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op Districts" sheetId="2" state="visible" r:id="rId2"/>
    <sheet name="Trends" sheetId="3" state="visible" r:id="rId3"/>
    <sheet name="Regulations" sheetId="4" state="visible" r:id="rId4"/>
    <sheet name="Black Bear" sheetId="5" state="visible" r:id="rId5"/>
    <sheet name="Data"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0%"/>
  </numFmts>
  <fonts count="7">
    <font>
      <name val="Calibri"/>
      <family val="2"/>
      <color theme="1"/>
      <sz val="11"/>
      <scheme val="minor"/>
    </font>
    <font>
      <name val="Arial"/>
      <b val="1"/>
      <color rgb="00FFFFFF"/>
    </font>
    <font>
      <name val="Arial"/>
    </font>
    <font>
      <name val="Arial"/>
      <b val="1"/>
      <color rgb="001F2A22"/>
      <sz val="16"/>
    </font>
    <font>
      <name val="Arial"/>
      <i val="1"/>
      <color rgb="005D6A60"/>
      <sz val="9"/>
    </font>
    <font>
      <name val="Arial"/>
      <b val="1"/>
      <color rgb="002F5D3A"/>
      <sz val="12"/>
    </font>
    <font>
      <name val="Arial"/>
      <b val="1"/>
    </font>
  </fonts>
  <fills count="5">
    <fill>
      <patternFill/>
    </fill>
    <fill>
      <patternFill patternType="gray125"/>
    </fill>
    <fill>
      <patternFill patternType="solid">
        <fgColor rgb="002F5D3A"/>
      </patternFill>
    </fill>
    <fill>
      <patternFill patternType="solid">
        <fgColor rgb="00F8E6D6"/>
      </patternFill>
    </fill>
    <fill>
      <patternFill patternType="solid">
        <fgColor rgb="00E2EFE2"/>
      </patternFill>
    </fill>
  </fills>
  <borders count="1">
    <border>
      <left/>
      <right/>
      <top/>
      <bottom/>
      <diagonal/>
    </border>
  </borders>
  <cellStyleXfs count="1">
    <xf numFmtId="0" fontId="0" fillId="0" borderId="0"/>
  </cellStyleXfs>
  <cellXfs count="17">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horizontal="center" wrapText="1"/>
    </xf>
    <xf numFmtId="0" fontId="2" fillId="0" borderId="0" pivotButton="0" quotePrefix="0" xfId="0"/>
    <xf numFmtId="3" fontId="2" fillId="0" borderId="0" pivotButton="0" quotePrefix="0" xfId="0"/>
    <xf numFmtId="0" fontId="5" fillId="0" borderId="0" pivotButton="0" quotePrefix="0" xfId="0"/>
    <xf numFmtId="1" fontId="2" fillId="0" borderId="0" pivotButton="0" quotePrefix="0" xfId="0"/>
    <xf numFmtId="49" fontId="2" fillId="0" borderId="0" pivotButton="0" quotePrefix="0" xfId="0"/>
    <xf numFmtId="49" fontId="2" fillId="3" borderId="0" pivotButton="0" quotePrefix="0" xfId="0"/>
    <xf numFmtId="9" fontId="2" fillId="0" borderId="0" pivotButton="0" quotePrefix="0" xfId="0"/>
    <xf numFmtId="49" fontId="2" fillId="4" borderId="0" pivotButton="0" quotePrefix="0" xfId="0"/>
    <xf numFmtId="0" fontId="6" fillId="0" borderId="0" pivotButton="0" quotePrefix="0" xfId="0"/>
    <xf numFmtId="0" fontId="2" fillId="4" borderId="0" pivotButton="0" quotePrefix="0" xfId="0"/>
    <xf numFmtId="165" fontId="2" fillId="0" borderId="0" pivotButton="0" quotePrefix="0" xfId="0"/>
    <xf numFmtId="0" fontId="2" fillId="3"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Animals harvested statewide</a:t>
            </a:r>
          </a:p>
        </rich>
      </tx>
    </title>
    <plotArea>
      <lineChart>
        <grouping val="standard"/>
        <ser>
          <idx val="0"/>
          <order val="0"/>
          <tx>
            <strRef>
              <f>'Summary'!B4</f>
            </strRef>
          </tx>
          <spPr>
            <a:ln w="28000">
              <a:solidFill>
                <a:srgbClr val="A0522D"/>
              </a:solidFill>
              <a:prstDash val="solid"/>
            </a:ln>
          </spPr>
          <marker>
            <symbol val="none"/>
            <spPr>
              <a:ln>
                <a:prstDash val="solid"/>
              </a:ln>
            </spPr>
          </marker>
          <cat>
            <numRef>
              <f>'Summary'!$A$5:$A$26</f>
            </numRef>
          </cat>
          <val>
            <numRef>
              <f>'Summary'!$B$5:$B$26</f>
            </numRef>
          </val>
          <smooth val="0"/>
        </ser>
        <ser>
          <idx val="1"/>
          <order val="1"/>
          <tx>
            <strRef>
              <f>'Summary'!C4</f>
            </strRef>
          </tx>
          <spPr>
            <a:ln w="28000">
              <a:solidFill>
                <a:srgbClr val="2F5D3A"/>
              </a:solidFill>
              <a:prstDash val="solid"/>
            </a:ln>
          </spPr>
          <marker>
            <symbol val="none"/>
            <spPr>
              <a:ln>
                <a:prstDash val="solid"/>
              </a:ln>
            </spPr>
          </marker>
          <cat>
            <numRef>
              <f>'Summary'!$A$5:$A$26</f>
            </numRef>
          </cat>
          <val>
            <numRef>
              <f>'Summary'!$C$5:$C$26</f>
            </numRef>
          </val>
          <smooth val="0"/>
        </ser>
        <ser>
          <idx val="2"/>
          <order val="2"/>
          <tx>
            <strRef>
              <f>'Summary'!D4</f>
            </strRef>
          </tx>
          <spPr>
            <a:ln w="28000">
              <a:solidFill>
                <a:srgbClr val="6B4E9B"/>
              </a:solidFill>
              <a:prstDash val="solid"/>
            </a:ln>
          </spPr>
          <marker>
            <symbol val="none"/>
            <spPr>
              <a:ln>
                <a:prstDash val="solid"/>
              </a:ln>
            </spPr>
          </marker>
          <cat>
            <numRef>
              <f>'Summary'!$A$5:$A$26</f>
            </numRef>
          </cat>
          <val>
            <numRef>
              <f>'Summary'!$D$5:$D$26</f>
            </numRef>
          </val>
          <smooth val="0"/>
        </ser>
        <ser>
          <idx val="3"/>
          <order val="3"/>
          <tx>
            <strRef>
              <f>'Summary'!E4</f>
            </strRef>
          </tx>
          <spPr>
            <a:ln w="28000">
              <a:solidFill>
                <a:srgbClr val="C08A1E"/>
              </a:solidFill>
              <a:prstDash val="solid"/>
            </a:ln>
          </spPr>
          <marker>
            <symbol val="none"/>
            <spPr>
              <a:ln>
                <a:prstDash val="solid"/>
              </a:ln>
            </spPr>
          </marker>
          <cat>
            <numRef>
              <f>'Summary'!$A$5:$A$26</f>
            </numRef>
          </cat>
          <val>
            <numRef>
              <f>'Summary'!$E$5:$E$26</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Animals</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Mule Deer: top 10 by harvest per hunter</a:t>
            </a:r>
          </a:p>
        </rich>
      </tx>
    </title>
    <plotArea>
      <barChart>
        <barDir val="bar"/>
        <grouping val="clustered"/>
        <ser>
          <idx val="0"/>
          <order val="0"/>
          <tx>
            <strRef>
              <f>'Top Districts'!G5</f>
            </strRef>
          </tx>
          <spPr>
            <a:solidFill>
              <a:srgbClr val="A0522D"/>
            </a:solidFill>
            <a:ln>
              <a:prstDash val="solid"/>
            </a:ln>
          </spPr>
          <cat>
            <numRef>
              <f>'Top Districts'!$B$6:$B$15</f>
            </numRef>
          </cat>
          <val>
            <numRef>
              <f>'Top Districts'!$G$6:$G$15</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Whitetail: top 10 by harvest per hunter</a:t>
            </a:r>
          </a:p>
        </rich>
      </tx>
    </title>
    <plotArea>
      <barChart>
        <barDir val="bar"/>
        <grouping val="clustered"/>
        <ser>
          <idx val="0"/>
          <order val="0"/>
          <tx>
            <strRef>
              <f>'Top Districts'!O5</f>
            </strRef>
          </tx>
          <spPr>
            <a:solidFill>
              <a:srgbClr val="2F5D3A"/>
            </a:solidFill>
            <a:ln>
              <a:prstDash val="solid"/>
            </a:ln>
          </spPr>
          <cat>
            <numRef>
              <f>'Top Districts'!$J$6:$J$15</f>
            </numRef>
          </cat>
          <val>
            <numRef>
              <f>'Top Districts'!$O$6:$O$15</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Elk: top 10 by harvest per hunter</a:t>
            </a:r>
          </a:p>
        </rich>
      </tx>
    </title>
    <plotArea>
      <barChart>
        <barDir val="bar"/>
        <grouping val="clustered"/>
        <ser>
          <idx val="0"/>
          <order val="0"/>
          <tx>
            <strRef>
              <f>'Top Districts'!W5</f>
            </strRef>
          </tx>
          <spPr>
            <a:solidFill>
              <a:srgbClr val="6B4E9B"/>
            </a:solidFill>
            <a:ln>
              <a:prstDash val="solid"/>
            </a:ln>
          </spPr>
          <cat>
            <numRef>
              <f>'Top Districts'!$R$6:$R$15</f>
            </numRef>
          </cat>
          <val>
            <numRef>
              <f>'Top Districts'!$W$6:$W$15</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Antelope: top 10 by harvest per hunter</a:t>
            </a:r>
          </a:p>
        </rich>
      </tx>
    </title>
    <plotArea>
      <barChart>
        <barDir val="bar"/>
        <grouping val="clustered"/>
        <ser>
          <idx val="0"/>
          <order val="0"/>
          <tx>
            <strRef>
              <f>'Top Districts'!AE5</f>
            </strRef>
          </tx>
          <spPr>
            <a:solidFill>
              <a:srgbClr val="C08A1E"/>
            </a:solidFill>
            <a:ln>
              <a:prstDash val="solid"/>
            </a:ln>
          </spPr>
          <cat>
            <numRef>
              <f>'Top Districts'!$Z$6:$Z$15</f>
            </numRef>
          </cat>
          <val>
            <numRef>
              <f>'Top Districts'!$AE$6:$AE$15</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 Type="http://schemas.openxmlformats.org/officeDocument/2006/relationships/chart" Target="/xl/charts/chart4.xml" Id="rId3" /><Relationship Type="http://schemas.openxmlformats.org/officeDocument/2006/relationships/chart" Target="/xl/charts/chart5.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32</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32</row>
      <rowOff>0</rowOff>
    </from>
    <ext cx="4320000" cy="2880000"/>
    <graphicFrame>
      <nvGraphicFramePr>
        <cNvPr id="2" name="Chart 2"/>
        <cNvGraphicFramePr/>
      </nvGraphicFramePr>
      <xfrm/>
      <a:graphic>
        <a:graphicData uri="http://schemas.openxmlformats.org/drawingml/2006/chart">
          <c:chart r:id="rId2"/>
        </a:graphicData>
      </a:graphic>
    </graphicFrame>
    <clientData/>
  </oneCellAnchor>
  <oneCellAnchor>
    <from>
      <col>16</col>
      <colOff>0</colOff>
      <row>32</row>
      <rowOff>0</rowOff>
    </from>
    <ext cx="4320000" cy="2880000"/>
    <graphicFrame>
      <nvGraphicFramePr>
        <cNvPr id="3" name="Chart 3"/>
        <cNvGraphicFramePr/>
      </nvGraphicFramePr>
      <xfrm/>
      <a:graphic>
        <a:graphicData uri="http://schemas.openxmlformats.org/drawingml/2006/chart">
          <c:chart r:id="rId3"/>
        </a:graphicData>
      </a:graphic>
    </graphicFrame>
    <clientData/>
  </oneCellAnchor>
  <oneCellAnchor>
    <from>
      <col>24</col>
      <colOff>0</colOff>
      <row>32</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ables/table1.xml><?xml version="1.0" encoding="utf-8"?>
<table xmlns="http://schemas.openxmlformats.org/spreadsheetml/2006/main" id="1" name="Regulations" displayName="Regulations" ref="A4:L1368" headerRowCount="1">
  <autoFilter ref="A4:L1368"/>
  <tableColumns count="12">
    <tableColumn id="1" name="District"/>
    <tableColumn id="2" name="Species"/>
    <tableColumn id="3" name="License"/>
    <tableColumn id="4" name="How you get it"/>
    <tableColumn id="5" name="Legal animal"/>
    <tableColumn id="6" name="Archery"/>
    <tableColumn id="7" name="General (rifle)"/>
    <tableColumn id="8" name="Muzzleloader"/>
    <tableColumn id="9" name="Late"/>
    <tableColumn id="10" name="Apply by"/>
    <tableColumn id="11" name="Quota"/>
    <tableColumn id="12" name="Details"/>
  </tableColumns>
  <tableStyleInfo name="TableStyleLight9" showRowStripes="1"/>
</table>
</file>

<file path=xl/tables/table2.xml><?xml version="1.0" encoding="utf-8"?>
<table xmlns="http://schemas.openxmlformats.org/spreadsheetml/2006/main" id="2" name="Harvest" displayName="Harvest" ref="A1:L11723" headerRowCount="1">
  <autoFilter ref="A1:L11723"/>
  <tableColumns count="12">
    <tableColumn id="1" name="District"/>
    <tableColumn id="2" name="Region"/>
    <tableColumn id="3" name="Species"/>
    <tableColumn id="4" name="Year"/>
    <tableColumn id="5" name="License"/>
    <tableColumn id="6" name="Hunters"/>
    <tableColumn id="7" name="Hunter days"/>
    <tableColumn id="8" name="Harvest"/>
    <tableColumn id="9" name="Bucks/Bulls"/>
    <tableColumn id="10" name="Does/Cows"/>
    <tableColumn id="11" name="Per hunter"/>
    <tableColumn id="12" name="Days per animal"/>
  </tableColumns>
  <tableStyleInfo name="TableStyleMedium7"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0" customWidth="1" min="1" max="1"/>
    <col width="13" customWidth="1" min="2" max="2"/>
    <col width="13" customWidth="1" min="3" max="3"/>
    <col width="13" customWidth="1" min="4" max="4"/>
    <col width="13" customWidth="1" min="5" max="5"/>
  </cols>
  <sheetData>
    <row r="1">
      <c r="A1" s="1" t="inlineStr">
        <is>
          <t>Montana big game harvest, statewide</t>
        </is>
      </c>
    </row>
    <row r="2">
      <c r="A2" s="2" t="inlineStr">
        <is>
          <t>Totals are formulas over the Data sheet, so they update if you edit it.</t>
        </is>
      </c>
    </row>
    <row r="4">
      <c r="A4" s="3" t="inlineStr">
        <is>
          <t>Year</t>
        </is>
      </c>
      <c r="B4" s="3" t="inlineStr">
        <is>
          <t>Mule Deer</t>
        </is>
      </c>
      <c r="C4" s="3" t="inlineStr">
        <is>
          <t>Whitetail</t>
        </is>
      </c>
      <c r="D4" s="3" t="inlineStr">
        <is>
          <t>Elk</t>
        </is>
      </c>
      <c r="E4" s="3" t="inlineStr">
        <is>
          <t>Antelope</t>
        </is>
      </c>
    </row>
    <row r="5">
      <c r="A5" s="4" t="n">
        <v>2004</v>
      </c>
      <c r="B5" s="5">
        <f>SUMIFS(Data!$H$2:$H$11723,Data!$C$2:$C$11723,"mule deer",Data!$D$2:$D$11723,$A5)</f>
        <v/>
      </c>
      <c r="C5" s="5">
        <f>SUMIFS(Data!$H$2:$H$11723,Data!$C$2:$C$11723,"whitetail",Data!$D$2:$D$11723,$A5)</f>
        <v/>
      </c>
      <c r="D5" s="5">
        <f>SUMIFS(Data!$H$2:$H$11723,Data!$C$2:$C$11723,"elk",Data!$D$2:$D$11723,$A5)</f>
        <v/>
      </c>
      <c r="E5" s="5">
        <f>SUMIFS(Data!$H$2:$H$11723,Data!$C$2:$C$11723,"antelope",Data!$D$2:$D$11723,$A5)</f>
        <v/>
      </c>
    </row>
    <row r="6">
      <c r="A6" s="4" t="n">
        <v>2005</v>
      </c>
      <c r="B6" s="5">
        <f>SUMIFS(Data!$H$2:$H$11723,Data!$C$2:$C$11723,"mule deer",Data!$D$2:$D$11723,$A6)</f>
        <v/>
      </c>
      <c r="C6" s="5">
        <f>SUMIFS(Data!$H$2:$H$11723,Data!$C$2:$C$11723,"whitetail",Data!$D$2:$D$11723,$A6)</f>
        <v/>
      </c>
      <c r="D6" s="5">
        <f>SUMIFS(Data!$H$2:$H$11723,Data!$C$2:$C$11723,"elk",Data!$D$2:$D$11723,$A6)</f>
        <v/>
      </c>
      <c r="E6" s="5">
        <f>SUMIFS(Data!$H$2:$H$11723,Data!$C$2:$C$11723,"antelope",Data!$D$2:$D$11723,$A6)</f>
        <v/>
      </c>
    </row>
    <row r="7">
      <c r="A7" s="4" t="n">
        <v>2006</v>
      </c>
      <c r="B7" s="5">
        <f>SUMIFS(Data!$H$2:$H$11723,Data!$C$2:$C$11723,"mule deer",Data!$D$2:$D$11723,$A7)</f>
        <v/>
      </c>
      <c r="C7" s="5">
        <f>SUMIFS(Data!$H$2:$H$11723,Data!$C$2:$C$11723,"whitetail",Data!$D$2:$D$11723,$A7)</f>
        <v/>
      </c>
      <c r="D7" s="5">
        <f>SUMIFS(Data!$H$2:$H$11723,Data!$C$2:$C$11723,"elk",Data!$D$2:$D$11723,$A7)</f>
        <v/>
      </c>
      <c r="E7" s="5">
        <f>SUMIFS(Data!$H$2:$H$11723,Data!$C$2:$C$11723,"antelope",Data!$D$2:$D$11723,$A7)</f>
        <v/>
      </c>
    </row>
    <row r="8">
      <c r="A8" s="4" t="n">
        <v>2007</v>
      </c>
      <c r="B8" s="5">
        <f>SUMIFS(Data!$H$2:$H$11723,Data!$C$2:$C$11723,"mule deer",Data!$D$2:$D$11723,$A8)</f>
        <v/>
      </c>
      <c r="C8" s="5">
        <f>SUMIFS(Data!$H$2:$H$11723,Data!$C$2:$C$11723,"whitetail",Data!$D$2:$D$11723,$A8)</f>
        <v/>
      </c>
      <c r="D8" s="5">
        <f>SUMIFS(Data!$H$2:$H$11723,Data!$C$2:$C$11723,"elk",Data!$D$2:$D$11723,$A8)</f>
        <v/>
      </c>
      <c r="E8" s="5">
        <f>SUMIFS(Data!$H$2:$H$11723,Data!$C$2:$C$11723,"antelope",Data!$D$2:$D$11723,$A8)</f>
        <v/>
      </c>
    </row>
    <row r="9">
      <c r="A9" s="4" t="n">
        <v>2008</v>
      </c>
      <c r="B9" s="5">
        <f>SUMIFS(Data!$H$2:$H$11723,Data!$C$2:$C$11723,"mule deer",Data!$D$2:$D$11723,$A9)</f>
        <v/>
      </c>
      <c r="C9" s="5">
        <f>SUMIFS(Data!$H$2:$H$11723,Data!$C$2:$C$11723,"whitetail",Data!$D$2:$D$11723,$A9)</f>
        <v/>
      </c>
      <c r="D9" s="5">
        <f>SUMIFS(Data!$H$2:$H$11723,Data!$C$2:$C$11723,"elk",Data!$D$2:$D$11723,$A9)</f>
        <v/>
      </c>
      <c r="E9" s="5">
        <f>SUMIFS(Data!$H$2:$H$11723,Data!$C$2:$C$11723,"antelope",Data!$D$2:$D$11723,$A9)</f>
        <v/>
      </c>
    </row>
    <row r="10">
      <c r="A10" s="4" t="n">
        <v>2009</v>
      </c>
      <c r="B10" s="5">
        <f>SUMIFS(Data!$H$2:$H$11723,Data!$C$2:$C$11723,"mule deer",Data!$D$2:$D$11723,$A10)</f>
        <v/>
      </c>
      <c r="C10" s="5">
        <f>SUMIFS(Data!$H$2:$H$11723,Data!$C$2:$C$11723,"whitetail",Data!$D$2:$D$11723,$A10)</f>
        <v/>
      </c>
      <c r="D10" s="5">
        <f>SUMIFS(Data!$H$2:$H$11723,Data!$C$2:$C$11723,"elk",Data!$D$2:$D$11723,$A10)</f>
        <v/>
      </c>
      <c r="E10" s="5">
        <f>SUMIFS(Data!$H$2:$H$11723,Data!$C$2:$C$11723,"antelope",Data!$D$2:$D$11723,$A10)</f>
        <v/>
      </c>
    </row>
    <row r="11">
      <c r="A11" s="4" t="n">
        <v>2010</v>
      </c>
      <c r="B11" s="5">
        <f>SUMIFS(Data!$H$2:$H$11723,Data!$C$2:$C$11723,"mule deer",Data!$D$2:$D$11723,$A11)</f>
        <v/>
      </c>
      <c r="C11" s="5">
        <f>SUMIFS(Data!$H$2:$H$11723,Data!$C$2:$C$11723,"whitetail",Data!$D$2:$D$11723,$A11)</f>
        <v/>
      </c>
      <c r="D11" s="5">
        <f>SUMIFS(Data!$H$2:$H$11723,Data!$C$2:$C$11723,"elk",Data!$D$2:$D$11723,$A11)</f>
        <v/>
      </c>
      <c r="E11" s="5">
        <f>SUMIFS(Data!$H$2:$H$11723,Data!$C$2:$C$11723,"antelope",Data!$D$2:$D$11723,$A11)</f>
        <v/>
      </c>
    </row>
    <row r="12">
      <c r="A12" s="4" t="n">
        <v>2011</v>
      </c>
      <c r="B12" s="5">
        <f>SUMIFS(Data!$H$2:$H$11723,Data!$C$2:$C$11723,"mule deer",Data!$D$2:$D$11723,$A12)</f>
        <v/>
      </c>
      <c r="C12" s="5">
        <f>SUMIFS(Data!$H$2:$H$11723,Data!$C$2:$C$11723,"whitetail",Data!$D$2:$D$11723,$A12)</f>
        <v/>
      </c>
      <c r="D12" s="5">
        <f>SUMIFS(Data!$H$2:$H$11723,Data!$C$2:$C$11723,"elk",Data!$D$2:$D$11723,$A12)</f>
        <v/>
      </c>
      <c r="E12" s="5">
        <f>SUMIFS(Data!$H$2:$H$11723,Data!$C$2:$C$11723,"antelope",Data!$D$2:$D$11723,$A12)</f>
        <v/>
      </c>
    </row>
    <row r="13">
      <c r="A13" s="4" t="n">
        <v>2012</v>
      </c>
      <c r="B13" s="5">
        <f>SUMIFS(Data!$H$2:$H$11723,Data!$C$2:$C$11723,"mule deer",Data!$D$2:$D$11723,$A13)</f>
        <v/>
      </c>
      <c r="C13" s="5">
        <f>SUMIFS(Data!$H$2:$H$11723,Data!$C$2:$C$11723,"whitetail",Data!$D$2:$D$11723,$A13)</f>
        <v/>
      </c>
      <c r="D13" s="5">
        <f>SUMIFS(Data!$H$2:$H$11723,Data!$C$2:$C$11723,"elk",Data!$D$2:$D$11723,$A13)</f>
        <v/>
      </c>
      <c r="E13" s="5">
        <f>SUMIFS(Data!$H$2:$H$11723,Data!$C$2:$C$11723,"antelope",Data!$D$2:$D$11723,$A13)</f>
        <v/>
      </c>
    </row>
    <row r="14">
      <c r="A14" s="4" t="n">
        <v>2013</v>
      </c>
      <c r="B14" s="5">
        <f>SUMIFS(Data!$H$2:$H$11723,Data!$C$2:$C$11723,"mule deer",Data!$D$2:$D$11723,$A14)</f>
        <v/>
      </c>
      <c r="C14" s="5">
        <f>SUMIFS(Data!$H$2:$H$11723,Data!$C$2:$C$11723,"whitetail",Data!$D$2:$D$11723,$A14)</f>
        <v/>
      </c>
      <c r="D14" s="5">
        <f>SUMIFS(Data!$H$2:$H$11723,Data!$C$2:$C$11723,"elk",Data!$D$2:$D$11723,$A14)</f>
        <v/>
      </c>
      <c r="E14" s="5">
        <f>SUMIFS(Data!$H$2:$H$11723,Data!$C$2:$C$11723,"antelope",Data!$D$2:$D$11723,$A14)</f>
        <v/>
      </c>
    </row>
    <row r="15">
      <c r="A15" s="4" t="n">
        <v>2014</v>
      </c>
      <c r="B15" s="5">
        <f>SUMIFS(Data!$H$2:$H$11723,Data!$C$2:$C$11723,"mule deer",Data!$D$2:$D$11723,$A15)</f>
        <v/>
      </c>
      <c r="C15" s="5">
        <f>SUMIFS(Data!$H$2:$H$11723,Data!$C$2:$C$11723,"whitetail",Data!$D$2:$D$11723,$A15)</f>
        <v/>
      </c>
      <c r="D15" s="5">
        <f>SUMIFS(Data!$H$2:$H$11723,Data!$C$2:$C$11723,"elk",Data!$D$2:$D$11723,$A15)</f>
        <v/>
      </c>
      <c r="E15" s="5">
        <f>SUMIFS(Data!$H$2:$H$11723,Data!$C$2:$C$11723,"antelope",Data!$D$2:$D$11723,$A15)</f>
        <v/>
      </c>
    </row>
    <row r="16">
      <c r="A16" s="4" t="n">
        <v>2015</v>
      </c>
      <c r="B16" s="5">
        <f>SUMIFS(Data!$H$2:$H$11723,Data!$C$2:$C$11723,"mule deer",Data!$D$2:$D$11723,$A16)</f>
        <v/>
      </c>
      <c r="C16" s="5">
        <f>SUMIFS(Data!$H$2:$H$11723,Data!$C$2:$C$11723,"whitetail",Data!$D$2:$D$11723,$A16)</f>
        <v/>
      </c>
      <c r="D16" s="5">
        <f>SUMIFS(Data!$H$2:$H$11723,Data!$C$2:$C$11723,"elk",Data!$D$2:$D$11723,$A16)</f>
        <v/>
      </c>
      <c r="E16" s="5">
        <f>SUMIFS(Data!$H$2:$H$11723,Data!$C$2:$C$11723,"antelope",Data!$D$2:$D$11723,$A16)</f>
        <v/>
      </c>
    </row>
    <row r="17">
      <c r="A17" s="4" t="n">
        <v>2016</v>
      </c>
      <c r="B17" s="5">
        <f>SUMIFS(Data!$H$2:$H$11723,Data!$C$2:$C$11723,"mule deer",Data!$D$2:$D$11723,$A17)</f>
        <v/>
      </c>
      <c r="C17" s="5">
        <f>SUMIFS(Data!$H$2:$H$11723,Data!$C$2:$C$11723,"whitetail",Data!$D$2:$D$11723,$A17)</f>
        <v/>
      </c>
      <c r="D17" s="5">
        <f>SUMIFS(Data!$H$2:$H$11723,Data!$C$2:$C$11723,"elk",Data!$D$2:$D$11723,$A17)</f>
        <v/>
      </c>
      <c r="E17" s="5">
        <f>SUMIFS(Data!$H$2:$H$11723,Data!$C$2:$C$11723,"antelope",Data!$D$2:$D$11723,$A17)</f>
        <v/>
      </c>
    </row>
    <row r="18">
      <c r="A18" s="4" t="n">
        <v>2017</v>
      </c>
      <c r="B18" s="5">
        <f>SUMIFS(Data!$H$2:$H$11723,Data!$C$2:$C$11723,"mule deer",Data!$D$2:$D$11723,$A18)</f>
        <v/>
      </c>
      <c r="C18" s="5">
        <f>SUMIFS(Data!$H$2:$H$11723,Data!$C$2:$C$11723,"whitetail",Data!$D$2:$D$11723,$A18)</f>
        <v/>
      </c>
      <c r="D18" s="5">
        <f>SUMIFS(Data!$H$2:$H$11723,Data!$C$2:$C$11723,"elk",Data!$D$2:$D$11723,$A18)</f>
        <v/>
      </c>
      <c r="E18" s="5">
        <f>SUMIFS(Data!$H$2:$H$11723,Data!$C$2:$C$11723,"antelope",Data!$D$2:$D$11723,$A18)</f>
        <v/>
      </c>
    </row>
    <row r="19">
      <c r="A19" s="4" t="n">
        <v>2018</v>
      </c>
      <c r="B19" s="5">
        <f>SUMIFS(Data!$H$2:$H$11723,Data!$C$2:$C$11723,"mule deer",Data!$D$2:$D$11723,$A19)</f>
        <v/>
      </c>
      <c r="C19" s="5">
        <f>SUMIFS(Data!$H$2:$H$11723,Data!$C$2:$C$11723,"whitetail",Data!$D$2:$D$11723,$A19)</f>
        <v/>
      </c>
      <c r="D19" s="5">
        <f>SUMIFS(Data!$H$2:$H$11723,Data!$C$2:$C$11723,"elk",Data!$D$2:$D$11723,$A19)</f>
        <v/>
      </c>
      <c r="E19" s="5">
        <f>SUMIFS(Data!$H$2:$H$11723,Data!$C$2:$C$11723,"antelope",Data!$D$2:$D$11723,$A19)</f>
        <v/>
      </c>
    </row>
    <row r="20">
      <c r="A20" s="4" t="n">
        <v>2019</v>
      </c>
      <c r="B20" s="5">
        <f>SUMIFS(Data!$H$2:$H$11723,Data!$C$2:$C$11723,"mule deer",Data!$D$2:$D$11723,$A20)</f>
        <v/>
      </c>
      <c r="C20" s="5">
        <f>SUMIFS(Data!$H$2:$H$11723,Data!$C$2:$C$11723,"whitetail",Data!$D$2:$D$11723,$A20)</f>
        <v/>
      </c>
      <c r="D20" s="5">
        <f>SUMIFS(Data!$H$2:$H$11723,Data!$C$2:$C$11723,"elk",Data!$D$2:$D$11723,$A20)</f>
        <v/>
      </c>
      <c r="E20" s="5">
        <f>SUMIFS(Data!$H$2:$H$11723,Data!$C$2:$C$11723,"antelope",Data!$D$2:$D$11723,$A20)</f>
        <v/>
      </c>
    </row>
    <row r="21">
      <c r="A21" s="4" t="n">
        <v>2020</v>
      </c>
      <c r="B21" s="5">
        <f>SUMIFS(Data!$H$2:$H$11723,Data!$C$2:$C$11723,"mule deer",Data!$D$2:$D$11723,$A21)</f>
        <v/>
      </c>
      <c r="C21" s="5">
        <f>SUMIFS(Data!$H$2:$H$11723,Data!$C$2:$C$11723,"whitetail",Data!$D$2:$D$11723,$A21)</f>
        <v/>
      </c>
      <c r="D21" s="5">
        <f>SUMIFS(Data!$H$2:$H$11723,Data!$C$2:$C$11723,"elk",Data!$D$2:$D$11723,$A21)</f>
        <v/>
      </c>
      <c r="E21" s="5">
        <f>SUMIFS(Data!$H$2:$H$11723,Data!$C$2:$C$11723,"antelope",Data!$D$2:$D$11723,$A21)</f>
        <v/>
      </c>
    </row>
    <row r="22">
      <c r="A22" s="4" t="n">
        <v>2021</v>
      </c>
      <c r="B22" s="5">
        <f>SUMIFS(Data!$H$2:$H$11723,Data!$C$2:$C$11723,"mule deer",Data!$D$2:$D$11723,$A22)</f>
        <v/>
      </c>
      <c r="C22" s="5">
        <f>SUMIFS(Data!$H$2:$H$11723,Data!$C$2:$C$11723,"whitetail",Data!$D$2:$D$11723,$A22)</f>
        <v/>
      </c>
      <c r="D22" s="5">
        <f>SUMIFS(Data!$H$2:$H$11723,Data!$C$2:$C$11723,"elk",Data!$D$2:$D$11723,$A22)</f>
        <v/>
      </c>
      <c r="E22" s="5">
        <f>SUMIFS(Data!$H$2:$H$11723,Data!$C$2:$C$11723,"antelope",Data!$D$2:$D$11723,$A22)</f>
        <v/>
      </c>
    </row>
    <row r="23">
      <c r="A23" s="4" t="n">
        <v>2022</v>
      </c>
      <c r="B23" s="5">
        <f>SUMIFS(Data!$H$2:$H$11723,Data!$C$2:$C$11723,"mule deer",Data!$D$2:$D$11723,$A23)</f>
        <v/>
      </c>
      <c r="C23" s="5">
        <f>SUMIFS(Data!$H$2:$H$11723,Data!$C$2:$C$11723,"whitetail",Data!$D$2:$D$11723,$A23)</f>
        <v/>
      </c>
      <c r="D23" s="5">
        <f>SUMIFS(Data!$H$2:$H$11723,Data!$C$2:$C$11723,"elk",Data!$D$2:$D$11723,$A23)</f>
        <v/>
      </c>
      <c r="E23" s="5">
        <f>SUMIFS(Data!$H$2:$H$11723,Data!$C$2:$C$11723,"antelope",Data!$D$2:$D$11723,$A23)</f>
        <v/>
      </c>
    </row>
    <row r="24">
      <c r="A24" s="4" t="n">
        <v>2023</v>
      </c>
      <c r="B24" s="5">
        <f>SUMIFS(Data!$H$2:$H$11723,Data!$C$2:$C$11723,"mule deer",Data!$D$2:$D$11723,$A24)</f>
        <v/>
      </c>
      <c r="C24" s="5">
        <f>SUMIFS(Data!$H$2:$H$11723,Data!$C$2:$C$11723,"whitetail",Data!$D$2:$D$11723,$A24)</f>
        <v/>
      </c>
      <c r="D24" s="5">
        <f>SUMIFS(Data!$H$2:$H$11723,Data!$C$2:$C$11723,"elk",Data!$D$2:$D$11723,$A24)</f>
        <v/>
      </c>
      <c r="E24" s="5">
        <f>SUMIFS(Data!$H$2:$H$11723,Data!$C$2:$C$11723,"antelope",Data!$D$2:$D$11723,$A24)</f>
        <v/>
      </c>
    </row>
    <row r="25">
      <c r="A25" s="4" t="n">
        <v>2024</v>
      </c>
      <c r="B25" s="5">
        <f>SUMIFS(Data!$H$2:$H$11723,Data!$C$2:$C$11723,"mule deer",Data!$D$2:$D$11723,$A25)</f>
        <v/>
      </c>
      <c r="C25" s="5">
        <f>SUMIFS(Data!$H$2:$H$11723,Data!$C$2:$C$11723,"whitetail",Data!$D$2:$D$11723,$A25)</f>
        <v/>
      </c>
      <c r="D25" s="5">
        <f>SUMIFS(Data!$H$2:$H$11723,Data!$C$2:$C$11723,"elk",Data!$D$2:$D$11723,$A25)</f>
        <v/>
      </c>
      <c r="E25" s="5">
        <f>SUMIFS(Data!$H$2:$H$11723,Data!$C$2:$C$11723,"antelope",Data!$D$2:$D$11723,$A25)</f>
        <v/>
      </c>
    </row>
    <row r="26">
      <c r="A26" s="4" t="n">
        <v>2025</v>
      </c>
      <c r="B26" s="5">
        <f>SUMIFS(Data!$H$2:$H$11723,Data!$C$2:$C$11723,"mule deer",Data!$D$2:$D$11723,$A26)</f>
        <v/>
      </c>
      <c r="C26" s="5">
        <f>SUMIFS(Data!$H$2:$H$11723,Data!$C$2:$C$11723,"whitetail",Data!$D$2:$D$11723,$A26)</f>
        <v/>
      </c>
      <c r="D26" s="5">
        <f>SUMIFS(Data!$H$2:$H$11723,Data!$C$2:$C$11723,"elk",Data!$D$2:$D$11723,$A26)</f>
        <v/>
      </c>
      <c r="E26" s="5">
        <f>SUMIFS(Data!$H$2:$H$11723,Data!$C$2:$C$11723,"antelope",Data!$D$2:$D$11723,$A26)</f>
        <v/>
      </c>
    </row>
    <row r="28">
      <c r="A28" s="2" t="inlineStr">
        <is>
          <t>Source: Montana FWP harvest estimates (myfwp.mt.gov).</t>
        </is>
      </c>
    </row>
    <row r="29">
      <c r="A29" s="2" t="inlineStr">
        <is>
          <t>Hunter numbers are surveyed every other year: deer in odd years, elk and antelope in even years.</t>
        </is>
      </c>
    </row>
    <row r="30">
      <c r="A30" s="2" t="inlineStr">
        <is>
          <t>General = buck/bull on a general license. Draw = buck/bull needs a permit or license from a drawing (lottery).</t>
        </is>
      </c>
    </row>
    <row r="31">
      <c r="A31" s="2" t="inlineStr">
        <is>
          <t>Antelope districts use their own numbering. Antelope licenses are all by drawing.</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E30"/>
  <sheetViews>
    <sheetView workbookViewId="0">
      <pane ySplit="5" topLeftCell="A6" activePane="bottomLeft" state="frozen"/>
      <selection pane="bottomLeft" activeCell="A1" sqref="A1"/>
    </sheetView>
  </sheetViews>
  <sheetFormatPr baseColWidth="8" defaultRowHeight="15"/>
  <cols>
    <col width="5" customWidth="1" min="1" max="1"/>
    <col width="9" customWidth="1" min="2" max="2"/>
    <col width="9" customWidth="1" min="3" max="3"/>
    <col width="9" customWidth="1" min="4" max="4"/>
    <col width="9" customWidth="1" min="5" max="5"/>
    <col width="9" customWidth="1" min="6" max="6"/>
    <col width="10" customWidth="1" min="7" max="7"/>
    <col width="5" customWidth="1" min="9" max="9"/>
    <col width="9" customWidth="1" min="10" max="10"/>
    <col width="9" customWidth="1" min="11" max="11"/>
    <col width="9" customWidth="1" min="12" max="12"/>
    <col width="9" customWidth="1" min="13" max="13"/>
    <col width="9" customWidth="1" min="14" max="14"/>
    <col width="10" customWidth="1" min="15" max="15"/>
    <col width="5" customWidth="1" min="17" max="17"/>
    <col width="9" customWidth="1" min="18" max="18"/>
    <col width="9" customWidth="1" min="19" max="19"/>
    <col width="9" customWidth="1" min="20" max="20"/>
    <col width="9" customWidth="1" min="21" max="21"/>
    <col width="9" customWidth="1" min="22" max="22"/>
    <col width="10" customWidth="1" min="23" max="23"/>
    <col width="5" customWidth="1" min="25" max="25"/>
    <col width="9" customWidth="1" min="26" max="26"/>
    <col width="9" customWidth="1" min="27" max="27"/>
    <col width="9" customWidth="1" min="28" max="28"/>
    <col width="9" customWidth="1" min="29" max="29"/>
    <col width="9" customWidth="1" min="30" max="30"/>
    <col width="10" customWidth="1" min="31" max="31"/>
  </cols>
  <sheetData>
    <row r="1">
      <c r="A1" s="1" t="inlineStr">
        <is>
          <t>Best-odds districts by species</t>
        </is>
      </c>
    </row>
    <row r="2">
      <c r="A2" s="2" t="inlineStr">
        <is>
          <t>Ranked by harvest per hunter, districts with 100+ hunters, using each species' latest surveyed year. Draw districts usually rank high because hunter numbers are capped.</t>
        </is>
      </c>
    </row>
    <row r="4">
      <c r="A4" s="6" t="inlineStr">
        <is>
          <t>Mule Deer, 2025</t>
        </is>
      </c>
      <c r="I4" s="6" t="inlineStr">
        <is>
          <t>Whitetail, 2025</t>
        </is>
      </c>
      <c r="Q4" s="6" t="inlineStr">
        <is>
          <t>Elk, 2024</t>
        </is>
      </c>
      <c r="Y4" s="6" t="inlineStr">
        <is>
          <t>Antelope, 2024</t>
        </is>
      </c>
    </row>
    <row r="5">
      <c r="A5" s="3" t="inlineStr">
        <is>
          <t>#</t>
        </is>
      </c>
      <c r="B5" s="3" t="inlineStr">
        <is>
          <t>District</t>
        </is>
      </c>
      <c r="C5" s="3" t="inlineStr">
        <is>
          <t>License</t>
        </is>
      </c>
      <c r="D5" s="3" t="inlineStr">
        <is>
          <t>Hunters</t>
        </is>
      </c>
      <c r="E5" s="3" t="inlineStr">
        <is>
          <t>Harvest</t>
        </is>
      </c>
      <c r="F5" s="3" t="inlineStr">
        <is>
          <t>Bucks</t>
        </is>
      </c>
      <c r="G5" s="3" t="inlineStr">
        <is>
          <t>Per hunter</t>
        </is>
      </c>
      <c r="I5" s="3" t="inlineStr">
        <is>
          <t>#</t>
        </is>
      </c>
      <c r="J5" s="3" t="inlineStr">
        <is>
          <t>District</t>
        </is>
      </c>
      <c r="K5" s="3" t="inlineStr">
        <is>
          <t>License</t>
        </is>
      </c>
      <c r="L5" s="3" t="inlineStr">
        <is>
          <t>Hunters</t>
        </is>
      </c>
      <c r="M5" s="3" t="inlineStr">
        <is>
          <t>Harvest</t>
        </is>
      </c>
      <c r="N5" s="3" t="inlineStr">
        <is>
          <t>Bucks</t>
        </is>
      </c>
      <c r="O5" s="3" t="inlineStr">
        <is>
          <t>Per hunter</t>
        </is>
      </c>
      <c r="Q5" s="3" t="inlineStr">
        <is>
          <t>#</t>
        </is>
      </c>
      <c r="R5" s="3" t="inlineStr">
        <is>
          <t>District</t>
        </is>
      </c>
      <c r="S5" s="3" t="inlineStr">
        <is>
          <t>License</t>
        </is>
      </c>
      <c r="T5" s="3" t="inlineStr">
        <is>
          <t>Hunters</t>
        </is>
      </c>
      <c r="U5" s="3" t="inlineStr">
        <is>
          <t>Harvest</t>
        </is>
      </c>
      <c r="V5" s="3" t="inlineStr">
        <is>
          <t>Bulls</t>
        </is>
      </c>
      <c r="W5" s="3" t="inlineStr">
        <is>
          <t>Per hunter</t>
        </is>
      </c>
      <c r="Y5" s="3" t="inlineStr">
        <is>
          <t>#</t>
        </is>
      </c>
      <c r="Z5" s="3" t="inlineStr">
        <is>
          <t>District</t>
        </is>
      </c>
      <c r="AA5" s="3" t="inlineStr">
        <is>
          <t>License</t>
        </is>
      </c>
      <c r="AB5" s="3" t="inlineStr">
        <is>
          <t>Hunters</t>
        </is>
      </c>
      <c r="AC5" s="3" t="inlineStr">
        <is>
          <t>Harvest</t>
        </is>
      </c>
      <c r="AD5" s="3" t="inlineStr">
        <is>
          <t>Bucks</t>
        </is>
      </c>
      <c r="AE5" s="3" t="inlineStr">
        <is>
          <t>Per hunter</t>
        </is>
      </c>
    </row>
    <row r="6">
      <c r="A6" s="7" t="n">
        <v>1</v>
      </c>
      <c r="B6" s="8" t="inlineStr">
        <is>
          <t>392</t>
        </is>
      </c>
      <c r="C6" s="9" t="inlineStr">
        <is>
          <t>Draw</t>
        </is>
      </c>
      <c r="D6" s="5" t="n">
        <v>691</v>
      </c>
      <c r="E6" s="5" t="n">
        <v>327</v>
      </c>
      <c r="F6" s="5" t="n">
        <v>290</v>
      </c>
      <c r="G6" s="10">
        <f>E6/D6</f>
        <v/>
      </c>
      <c r="I6" s="7" t="n">
        <v>1</v>
      </c>
      <c r="J6" s="8" t="inlineStr">
        <is>
          <t>170</t>
        </is>
      </c>
      <c r="K6" s="11" t="inlineStr">
        <is>
          <t>General</t>
        </is>
      </c>
      <c r="L6" s="5" t="n">
        <v>2713</v>
      </c>
      <c r="M6" s="5" t="n">
        <v>1750</v>
      </c>
      <c r="N6" s="5" t="n">
        <v>808</v>
      </c>
      <c r="O6" s="10">
        <f>M6/L6</f>
        <v/>
      </c>
      <c r="Q6" s="7" t="n">
        <v>1</v>
      </c>
      <c r="R6" s="8" t="inlineStr">
        <is>
          <t>455</t>
        </is>
      </c>
      <c r="S6" s="9" t="inlineStr">
        <is>
          <t>Draw</t>
        </is>
      </c>
      <c r="T6" s="5" t="n">
        <v>317</v>
      </c>
      <c r="U6" s="5" t="n">
        <v>148</v>
      </c>
      <c r="V6" s="5" t="n">
        <v>48</v>
      </c>
      <c r="W6" s="10">
        <f>U6/T6</f>
        <v/>
      </c>
      <c r="Y6" s="7" t="n">
        <v>1</v>
      </c>
      <c r="Z6" s="8" t="inlineStr">
        <is>
          <t>705</t>
        </is>
      </c>
      <c r="AA6" s="9" t="inlineStr">
        <is>
          <t>Draw</t>
        </is>
      </c>
      <c r="AB6" s="5" t="n">
        <v>1714</v>
      </c>
      <c r="AC6" s="5" t="n">
        <v>1594</v>
      </c>
      <c r="AD6" s="5" t="n">
        <v>1044</v>
      </c>
      <c r="AE6" s="10">
        <f>AC6/AB6</f>
        <v/>
      </c>
    </row>
    <row r="7">
      <c r="A7" s="7" t="n">
        <v>2</v>
      </c>
      <c r="B7" s="8" t="inlineStr">
        <is>
          <t>405</t>
        </is>
      </c>
      <c r="C7" s="11" t="inlineStr">
        <is>
          <t>General</t>
        </is>
      </c>
      <c r="D7" s="5" t="n">
        <v>1279</v>
      </c>
      <c r="E7" s="5" t="n">
        <v>588</v>
      </c>
      <c r="F7" s="5" t="n">
        <v>380</v>
      </c>
      <c r="G7" s="10">
        <f>E7/D7</f>
        <v/>
      </c>
      <c r="I7" s="7" t="n">
        <v>2</v>
      </c>
      <c r="J7" s="8" t="inlineStr">
        <is>
          <t>444</t>
        </is>
      </c>
      <c r="K7" s="11" t="inlineStr">
        <is>
          <t>General</t>
        </is>
      </c>
      <c r="L7" s="5" t="n">
        <v>840</v>
      </c>
      <c r="M7" s="5" t="n">
        <v>491</v>
      </c>
      <c r="N7" s="5" t="n">
        <v>265</v>
      </c>
      <c r="O7" s="10">
        <f>M7/L7</f>
        <v/>
      </c>
      <c r="Q7" s="7" t="n">
        <v>2</v>
      </c>
      <c r="R7" s="8" t="inlineStr">
        <is>
          <t>417</t>
        </is>
      </c>
      <c r="S7" s="9" t="inlineStr">
        <is>
          <t>Draw</t>
        </is>
      </c>
      <c r="T7" s="5" t="n">
        <v>662</v>
      </c>
      <c r="U7" s="5" t="n">
        <v>292</v>
      </c>
      <c r="V7" s="5" t="n">
        <v>185</v>
      </c>
      <c r="W7" s="10">
        <f>U7/T7</f>
        <v/>
      </c>
      <c r="Y7" s="7" t="n">
        <v>2</v>
      </c>
      <c r="Z7" s="8" t="inlineStr">
        <is>
          <t>440</t>
        </is>
      </c>
      <c r="AA7" s="9" t="inlineStr">
        <is>
          <t>Draw</t>
        </is>
      </c>
      <c r="AB7" s="5" t="n">
        <v>176</v>
      </c>
      <c r="AC7" s="5" t="n">
        <v>143</v>
      </c>
      <c r="AD7" s="5" t="n">
        <v>71</v>
      </c>
      <c r="AE7" s="10">
        <f>AC7/AB7</f>
        <v/>
      </c>
    </row>
    <row r="8">
      <c r="A8" s="7" t="n">
        <v>3</v>
      </c>
      <c r="B8" s="8" t="inlineStr">
        <is>
          <t>471</t>
        </is>
      </c>
      <c r="C8" s="11" t="inlineStr">
        <is>
          <t>General</t>
        </is>
      </c>
      <c r="D8" s="5" t="n">
        <v>640</v>
      </c>
      <c r="E8" s="5" t="n">
        <v>284</v>
      </c>
      <c r="F8" s="5" t="n">
        <v>266</v>
      </c>
      <c r="G8" s="10">
        <f>E8/D8</f>
        <v/>
      </c>
      <c r="I8" s="7" t="n">
        <v>3</v>
      </c>
      <c r="J8" s="8" t="inlineStr">
        <is>
          <t>260</t>
        </is>
      </c>
      <c r="K8" s="11" t="inlineStr">
        <is>
          <t>General</t>
        </is>
      </c>
      <c r="L8" s="5" t="n">
        <v>1130</v>
      </c>
      <c r="M8" s="5" t="n">
        <v>633</v>
      </c>
      <c r="N8" s="5" t="n">
        <v>215</v>
      </c>
      <c r="O8" s="10">
        <f>M8/L8</f>
        <v/>
      </c>
      <c r="Q8" s="7" t="n">
        <v>3</v>
      </c>
      <c r="R8" s="8" t="inlineStr">
        <is>
          <t>580S</t>
        </is>
      </c>
      <c r="S8" s="11" t="inlineStr">
        <is>
          <t>General</t>
        </is>
      </c>
      <c r="T8" s="5" t="n">
        <v>477</v>
      </c>
      <c r="U8" s="5" t="n">
        <v>198</v>
      </c>
      <c r="V8" s="5" t="n">
        <v>80</v>
      </c>
      <c r="W8" s="10">
        <f>U8/T8</f>
        <v/>
      </c>
      <c r="Y8" s="7" t="n">
        <v>3</v>
      </c>
      <c r="Z8" s="8" t="inlineStr">
        <is>
          <t>340</t>
        </is>
      </c>
      <c r="AA8" s="9" t="inlineStr">
        <is>
          <t>Draw</t>
        </is>
      </c>
      <c r="AB8" s="5" t="n">
        <v>417</v>
      </c>
      <c r="AC8" s="5" t="n">
        <v>335</v>
      </c>
      <c r="AD8" s="5" t="n">
        <v>174</v>
      </c>
      <c r="AE8" s="10">
        <f>AC8/AB8</f>
        <v/>
      </c>
    </row>
    <row r="9">
      <c r="A9" s="7" t="n">
        <v>4</v>
      </c>
      <c r="B9" s="8" t="inlineStr">
        <is>
          <t>640</t>
        </is>
      </c>
      <c r="C9" s="11" t="inlineStr">
        <is>
          <t>General</t>
        </is>
      </c>
      <c r="D9" s="5" t="n">
        <v>2776</v>
      </c>
      <c r="E9" s="5" t="n">
        <v>1225</v>
      </c>
      <c r="F9" s="5" t="n">
        <v>993</v>
      </c>
      <c r="G9" s="10">
        <f>E9/D9</f>
        <v/>
      </c>
      <c r="I9" s="7" t="n">
        <v>4</v>
      </c>
      <c r="J9" s="8" t="inlineStr">
        <is>
          <t>445</t>
        </is>
      </c>
      <c r="K9" s="11" t="inlineStr">
        <is>
          <t>General</t>
        </is>
      </c>
      <c r="L9" s="5" t="n">
        <v>1281</v>
      </c>
      <c r="M9" s="5" t="n">
        <v>658</v>
      </c>
      <c r="N9" s="5" t="n">
        <v>296</v>
      </c>
      <c r="O9" s="10">
        <f>M9/L9</f>
        <v/>
      </c>
      <c r="Q9" s="7" t="n">
        <v>4</v>
      </c>
      <c r="R9" s="8" t="inlineStr">
        <is>
          <t>445</t>
        </is>
      </c>
      <c r="S9" s="11" t="inlineStr">
        <is>
          <t>General</t>
        </is>
      </c>
      <c r="T9" s="5" t="n">
        <v>847</v>
      </c>
      <c r="U9" s="5" t="n">
        <v>350</v>
      </c>
      <c r="V9" s="5" t="n">
        <v>147</v>
      </c>
      <c r="W9" s="10">
        <f>U9/T9</f>
        <v/>
      </c>
      <c r="Y9" s="7" t="n">
        <v>4</v>
      </c>
      <c r="Z9" s="8" t="inlineStr">
        <is>
          <t>586</t>
        </is>
      </c>
      <c r="AA9" s="9" t="inlineStr">
        <is>
          <t>Draw</t>
        </is>
      </c>
      <c r="AB9" s="5" t="n">
        <v>392</v>
      </c>
      <c r="AC9" s="5" t="n">
        <v>306</v>
      </c>
      <c r="AD9" s="5" t="n">
        <v>203</v>
      </c>
      <c r="AE9" s="10">
        <f>AC9/AB9</f>
        <v/>
      </c>
    </row>
    <row r="10">
      <c r="A10" s="7" t="n">
        <v>5</v>
      </c>
      <c r="B10" s="8" t="inlineStr">
        <is>
          <t>403</t>
        </is>
      </c>
      <c r="C10" s="11" t="inlineStr">
        <is>
          <t>General</t>
        </is>
      </c>
      <c r="D10" s="5" t="n">
        <v>418</v>
      </c>
      <c r="E10" s="5" t="n">
        <v>183</v>
      </c>
      <c r="F10" s="5" t="n">
        <v>137</v>
      </c>
      <c r="G10" s="10">
        <f>E10/D10</f>
        <v/>
      </c>
      <c r="I10" s="7" t="n">
        <v>5</v>
      </c>
      <c r="J10" s="8" t="inlineStr">
        <is>
          <t>309</t>
        </is>
      </c>
      <c r="K10" s="11" t="inlineStr">
        <is>
          <t>General</t>
        </is>
      </c>
      <c r="L10" s="5" t="n">
        <v>802</v>
      </c>
      <c r="M10" s="5" t="n">
        <v>346</v>
      </c>
      <c r="N10" s="5" t="n">
        <v>174</v>
      </c>
      <c r="O10" s="10">
        <f>M10/L10</f>
        <v/>
      </c>
      <c r="Q10" s="7" t="n">
        <v>5</v>
      </c>
      <c r="R10" s="8" t="inlineStr">
        <is>
          <t>411W</t>
        </is>
      </c>
      <c r="S10" s="11" t="inlineStr">
        <is>
          <t>General</t>
        </is>
      </c>
      <c r="T10" s="5" t="n">
        <v>902</v>
      </c>
      <c r="U10" s="5" t="n">
        <v>355</v>
      </c>
      <c r="V10" s="5" t="n">
        <v>156</v>
      </c>
      <c r="W10" s="10">
        <f>U10/T10</f>
        <v/>
      </c>
      <c r="Y10" s="7" t="n">
        <v>5</v>
      </c>
      <c r="Z10" s="8" t="inlineStr">
        <is>
          <t>650</t>
        </is>
      </c>
      <c r="AA10" s="9" t="inlineStr">
        <is>
          <t>Draw</t>
        </is>
      </c>
      <c r="AB10" s="5" t="n">
        <v>459</v>
      </c>
      <c r="AC10" s="5" t="n">
        <v>344</v>
      </c>
      <c r="AD10" s="5" t="n">
        <v>264</v>
      </c>
      <c r="AE10" s="10">
        <f>AC10/AB10</f>
        <v/>
      </c>
    </row>
    <row r="11">
      <c r="A11" s="7" t="n">
        <v>6</v>
      </c>
      <c r="B11" s="8" t="inlineStr">
        <is>
          <t>652</t>
        </is>
      </c>
      <c r="C11" s="9" t="inlineStr">
        <is>
          <t>Draw</t>
        </is>
      </c>
      <c r="D11" s="5" t="n">
        <v>123</v>
      </c>
      <c r="E11" s="5" t="n">
        <v>52</v>
      </c>
      <c r="F11" s="5" t="n">
        <v>48</v>
      </c>
      <c r="G11" s="10">
        <f>E11/D11</f>
        <v/>
      </c>
      <c r="I11" s="7" t="n">
        <v>6</v>
      </c>
      <c r="J11" s="8" t="inlineStr">
        <is>
          <t>262</t>
        </is>
      </c>
      <c r="K11" s="11" t="inlineStr">
        <is>
          <t>General</t>
        </is>
      </c>
      <c r="L11" s="5" t="n">
        <v>804</v>
      </c>
      <c r="M11" s="5" t="n">
        <v>327</v>
      </c>
      <c r="N11" s="5" t="n">
        <v>172</v>
      </c>
      <c r="O11" s="10">
        <f>M11/L11</f>
        <v/>
      </c>
      <c r="Q11" s="7" t="n">
        <v>6</v>
      </c>
      <c r="R11" s="8" t="inlineStr">
        <is>
          <t>250</t>
        </is>
      </c>
      <c r="S11" s="9" t="inlineStr">
        <is>
          <t>Draw</t>
        </is>
      </c>
      <c r="T11" s="5" t="n">
        <v>130</v>
      </c>
      <c r="U11" s="5" t="n">
        <v>51</v>
      </c>
      <c r="V11" s="5" t="n">
        <v>36</v>
      </c>
      <c r="W11" s="10">
        <f>U11/T11</f>
        <v/>
      </c>
      <c r="Y11" s="7" t="n">
        <v>6</v>
      </c>
      <c r="Z11" s="8" t="inlineStr">
        <is>
          <t>620</t>
        </is>
      </c>
      <c r="AA11" s="9" t="inlineStr">
        <is>
          <t>Draw</t>
        </is>
      </c>
      <c r="AB11" s="5" t="n">
        <v>434</v>
      </c>
      <c r="AC11" s="5" t="n">
        <v>310</v>
      </c>
      <c r="AD11" s="5" t="n">
        <v>264</v>
      </c>
      <c r="AE11" s="10">
        <f>AC11/AB11</f>
        <v/>
      </c>
    </row>
    <row r="12">
      <c r="A12" s="7" t="n">
        <v>7</v>
      </c>
      <c r="B12" s="8" t="inlineStr">
        <is>
          <t>650</t>
        </is>
      </c>
      <c r="C12" s="11" t="inlineStr">
        <is>
          <t>General</t>
        </is>
      </c>
      <c r="D12" s="5" t="n">
        <v>2010</v>
      </c>
      <c r="E12" s="5" t="n">
        <v>843</v>
      </c>
      <c r="F12" s="5" t="n">
        <v>796</v>
      </c>
      <c r="G12" s="10">
        <f>E12/D12</f>
        <v/>
      </c>
      <c r="I12" s="7" t="n">
        <v>7</v>
      </c>
      <c r="J12" s="8" t="inlineStr">
        <is>
          <t>311</t>
        </is>
      </c>
      <c r="K12" s="11" t="inlineStr">
        <is>
          <t>General</t>
        </is>
      </c>
      <c r="L12" s="5" t="n">
        <v>1633</v>
      </c>
      <c r="M12" s="5" t="n">
        <v>653</v>
      </c>
      <c r="N12" s="5" t="n">
        <v>298</v>
      </c>
      <c r="O12" s="10">
        <f>M12/L12</f>
        <v/>
      </c>
      <c r="Q12" s="7" t="n">
        <v>7</v>
      </c>
      <c r="R12" s="8" t="inlineStr">
        <is>
          <t>411E</t>
        </is>
      </c>
      <c r="S12" s="11" t="inlineStr">
        <is>
          <t>General</t>
        </is>
      </c>
      <c r="T12" s="5" t="n">
        <v>1381</v>
      </c>
      <c r="U12" s="5" t="n">
        <v>534</v>
      </c>
      <c r="V12" s="5" t="n">
        <v>220</v>
      </c>
      <c r="W12" s="10">
        <f>U12/T12</f>
        <v/>
      </c>
      <c r="Y12" s="7" t="n">
        <v>7</v>
      </c>
      <c r="Z12" s="8" t="inlineStr">
        <is>
          <t>690</t>
        </is>
      </c>
      <c r="AA12" s="9" t="inlineStr">
        <is>
          <t>Draw</t>
        </is>
      </c>
      <c r="AB12" s="5" t="n">
        <v>341</v>
      </c>
      <c r="AC12" s="5" t="n">
        <v>239</v>
      </c>
      <c r="AD12" s="5" t="n">
        <v>171</v>
      </c>
      <c r="AE12" s="10">
        <f>AC12/AB12</f>
        <v/>
      </c>
    </row>
    <row r="13">
      <c r="A13" s="7" t="n">
        <v>8</v>
      </c>
      <c r="B13" s="8" t="inlineStr">
        <is>
          <t>704</t>
        </is>
      </c>
      <c r="C13" s="11" t="inlineStr">
        <is>
          <t>General</t>
        </is>
      </c>
      <c r="D13" s="5" t="n">
        <v>4306</v>
      </c>
      <c r="E13" s="5" t="n">
        <v>1770</v>
      </c>
      <c r="F13" s="5" t="n">
        <v>1720</v>
      </c>
      <c r="G13" s="10">
        <f>E13/D13</f>
        <v/>
      </c>
      <c r="I13" s="7" t="n">
        <v>8</v>
      </c>
      <c r="J13" s="8" t="inlineStr">
        <is>
          <t>121</t>
        </is>
      </c>
      <c r="K13" s="11" t="inlineStr">
        <is>
          <t>General</t>
        </is>
      </c>
      <c r="L13" s="5" t="n">
        <v>2639</v>
      </c>
      <c r="M13" s="5" t="n">
        <v>979</v>
      </c>
      <c r="N13" s="5" t="n">
        <v>868</v>
      </c>
      <c r="O13" s="10">
        <f>M13/L13</f>
        <v/>
      </c>
      <c r="Q13" s="7" t="n">
        <v>8</v>
      </c>
      <c r="R13" s="8" t="inlineStr">
        <is>
          <t>700</t>
        </is>
      </c>
      <c r="S13" s="9" t="inlineStr">
        <is>
          <t>Draw</t>
        </is>
      </c>
      <c r="T13" s="5" t="n">
        <v>1757</v>
      </c>
      <c r="U13" s="5" t="n">
        <v>660</v>
      </c>
      <c r="V13" s="5" t="n">
        <v>294</v>
      </c>
      <c r="W13" s="10">
        <f>U13/T13</f>
        <v/>
      </c>
      <c r="Y13" s="7" t="n">
        <v>8</v>
      </c>
      <c r="Z13" s="8" t="inlineStr">
        <is>
          <t>670</t>
        </is>
      </c>
      <c r="AA13" s="9" t="inlineStr">
        <is>
          <t>Draw</t>
        </is>
      </c>
      <c r="AB13" s="5" t="n">
        <v>314</v>
      </c>
      <c r="AC13" s="5" t="n">
        <v>220</v>
      </c>
      <c r="AD13" s="5" t="n">
        <v>187</v>
      </c>
      <c r="AE13" s="10">
        <f>AC13/AB13</f>
        <v/>
      </c>
    </row>
    <row r="14">
      <c r="A14" s="7" t="n">
        <v>9</v>
      </c>
      <c r="B14" s="8" t="inlineStr">
        <is>
          <t>690</t>
        </is>
      </c>
      <c r="C14" s="11" t="inlineStr">
        <is>
          <t>General</t>
        </is>
      </c>
      <c r="D14" s="5" t="n">
        <v>2914</v>
      </c>
      <c r="E14" s="5" t="n">
        <v>1194</v>
      </c>
      <c r="F14" s="5" t="n">
        <v>1087</v>
      </c>
      <c r="G14" s="10">
        <f>E14/D14</f>
        <v/>
      </c>
      <c r="I14" s="7" t="n">
        <v>9</v>
      </c>
      <c r="J14" s="8" t="inlineStr">
        <is>
          <t>100</t>
        </is>
      </c>
      <c r="K14" s="11" t="inlineStr">
        <is>
          <t>General</t>
        </is>
      </c>
      <c r="L14" s="5" t="n">
        <v>2765</v>
      </c>
      <c r="M14" s="5" t="n">
        <v>1021</v>
      </c>
      <c r="N14" s="5" t="n">
        <v>750</v>
      </c>
      <c r="O14" s="10">
        <f>M14/L14</f>
        <v/>
      </c>
      <c r="Q14" s="7" t="n">
        <v>9</v>
      </c>
      <c r="R14" s="8" t="inlineStr">
        <is>
          <t>702</t>
        </is>
      </c>
      <c r="S14" s="11" t="inlineStr">
        <is>
          <t>General</t>
        </is>
      </c>
      <c r="T14" s="5" t="n">
        <v>771</v>
      </c>
      <c r="U14" s="5" t="n">
        <v>284</v>
      </c>
      <c r="V14" s="5" t="n">
        <v>102</v>
      </c>
      <c r="W14" s="10">
        <f>U14/T14</f>
        <v/>
      </c>
      <c r="Y14" s="7" t="n">
        <v>9</v>
      </c>
      <c r="Z14" s="8" t="inlineStr">
        <is>
          <t>430</t>
        </is>
      </c>
      <c r="AA14" s="9" t="inlineStr">
        <is>
          <t>Draw</t>
        </is>
      </c>
      <c r="AB14" s="5" t="n">
        <v>214</v>
      </c>
      <c r="AC14" s="5" t="n">
        <v>148</v>
      </c>
      <c r="AD14" s="5" t="n">
        <v>112</v>
      </c>
      <c r="AE14" s="10">
        <f>AC14/AB14</f>
        <v/>
      </c>
    </row>
    <row r="15">
      <c r="A15" s="7" t="n">
        <v>10</v>
      </c>
      <c r="B15" s="8" t="inlineStr">
        <is>
          <t>705</t>
        </is>
      </c>
      <c r="C15" s="11" t="inlineStr">
        <is>
          <t>General</t>
        </is>
      </c>
      <c r="D15" s="5" t="n">
        <v>3585</v>
      </c>
      <c r="E15" s="5" t="n">
        <v>1463</v>
      </c>
      <c r="F15" s="5" t="n">
        <v>1409</v>
      </c>
      <c r="G15" s="10">
        <f>E15/D15</f>
        <v/>
      </c>
      <c r="I15" s="7" t="n">
        <v>10</v>
      </c>
      <c r="J15" s="8" t="inlineStr">
        <is>
          <t>101</t>
        </is>
      </c>
      <c r="K15" s="11" t="inlineStr">
        <is>
          <t>General</t>
        </is>
      </c>
      <c r="L15" s="5" t="n">
        <v>2913</v>
      </c>
      <c r="M15" s="5" t="n">
        <v>1066</v>
      </c>
      <c r="N15" s="5" t="n">
        <v>770</v>
      </c>
      <c r="O15" s="10">
        <f>M15/L15</f>
        <v/>
      </c>
      <c r="Q15" s="7" t="n">
        <v>10</v>
      </c>
      <c r="R15" s="8" t="inlineStr">
        <is>
          <t>580N</t>
        </is>
      </c>
      <c r="S15" s="11" t="inlineStr">
        <is>
          <t>General</t>
        </is>
      </c>
      <c r="T15" s="5" t="n">
        <v>1353</v>
      </c>
      <c r="U15" s="5" t="n">
        <v>482</v>
      </c>
      <c r="V15" s="5" t="n">
        <v>186</v>
      </c>
      <c r="W15" s="10">
        <f>U15/T15</f>
        <v/>
      </c>
      <c r="Y15" s="7" t="n">
        <v>10</v>
      </c>
      <c r="Z15" s="8" t="inlineStr">
        <is>
          <t>700</t>
        </is>
      </c>
      <c r="AA15" s="9" t="inlineStr">
        <is>
          <t>Draw</t>
        </is>
      </c>
      <c r="AB15" s="5" t="n">
        <v>1385</v>
      </c>
      <c r="AC15" s="5" t="n">
        <v>956</v>
      </c>
      <c r="AD15" s="5" t="n">
        <v>791</v>
      </c>
      <c r="AE15" s="10">
        <f>AC15/AB15</f>
        <v/>
      </c>
    </row>
    <row r="16">
      <c r="A16" s="7" t="n">
        <v>11</v>
      </c>
      <c r="B16" s="8" t="inlineStr">
        <is>
          <t>426</t>
        </is>
      </c>
      <c r="C16" s="11" t="inlineStr">
        <is>
          <t>General</t>
        </is>
      </c>
      <c r="D16" s="5" t="n">
        <v>835</v>
      </c>
      <c r="E16" s="5" t="n">
        <v>335</v>
      </c>
      <c r="F16" s="5" t="n">
        <v>316</v>
      </c>
      <c r="G16" s="10">
        <f>E16/D16</f>
        <v/>
      </c>
      <c r="I16" s="7" t="n">
        <v>11</v>
      </c>
      <c r="J16" s="8" t="inlineStr">
        <is>
          <t>261</t>
        </is>
      </c>
      <c r="K16" s="11" t="inlineStr">
        <is>
          <t>General</t>
        </is>
      </c>
      <c r="L16" s="5" t="n">
        <v>486</v>
      </c>
      <c r="M16" s="5" t="n">
        <v>174</v>
      </c>
      <c r="N16" s="5" t="n">
        <v>140</v>
      </c>
      <c r="O16" s="10">
        <f>M16/L16</f>
        <v/>
      </c>
      <c r="Q16" s="7" t="n">
        <v>11</v>
      </c>
      <c r="R16" s="8" t="inlineStr">
        <is>
          <t>446</t>
        </is>
      </c>
      <c r="S16" s="11" t="inlineStr">
        <is>
          <t>General</t>
        </is>
      </c>
      <c r="T16" s="5" t="n">
        <v>1140</v>
      </c>
      <c r="U16" s="5" t="n">
        <v>399</v>
      </c>
      <c r="V16" s="5" t="n">
        <v>167</v>
      </c>
      <c r="W16" s="10">
        <f>U16/T16</f>
        <v/>
      </c>
      <c r="Y16" s="7" t="n">
        <v>11</v>
      </c>
      <c r="Z16" s="8" t="inlineStr">
        <is>
          <t>480</t>
        </is>
      </c>
      <c r="AA16" s="9" t="inlineStr">
        <is>
          <t>Draw</t>
        </is>
      </c>
      <c r="AB16" s="5" t="n">
        <v>173</v>
      </c>
      <c r="AC16" s="5" t="n">
        <v>118</v>
      </c>
      <c r="AD16" s="5" t="n">
        <v>100</v>
      </c>
      <c r="AE16" s="10">
        <f>AC16/AB16</f>
        <v/>
      </c>
    </row>
    <row r="17">
      <c r="A17" s="7" t="n">
        <v>12</v>
      </c>
      <c r="B17" s="8" t="inlineStr">
        <is>
          <t>502</t>
        </is>
      </c>
      <c r="C17" s="11" t="inlineStr">
        <is>
          <t>General</t>
        </is>
      </c>
      <c r="D17" s="5" t="n">
        <v>1625</v>
      </c>
      <c r="E17" s="5" t="n">
        <v>650</v>
      </c>
      <c r="F17" s="5" t="n">
        <v>552</v>
      </c>
      <c r="G17" s="10">
        <f>E17/D17</f>
        <v/>
      </c>
      <c r="I17" s="7" t="n">
        <v>12</v>
      </c>
      <c r="J17" s="8" t="inlineStr">
        <is>
          <t>580</t>
        </is>
      </c>
      <c r="K17" s="11" t="inlineStr">
        <is>
          <t>General</t>
        </is>
      </c>
      <c r="L17" s="5" t="n">
        <v>1399</v>
      </c>
      <c r="M17" s="5" t="n">
        <v>496</v>
      </c>
      <c r="N17" s="5" t="n">
        <v>254</v>
      </c>
      <c r="O17" s="10">
        <f>M17/L17</f>
        <v/>
      </c>
      <c r="Q17" s="7" t="n">
        <v>12</v>
      </c>
      <c r="R17" s="8" t="inlineStr">
        <is>
          <t>317</t>
        </is>
      </c>
      <c r="S17" s="11" t="inlineStr">
        <is>
          <t>General</t>
        </is>
      </c>
      <c r="T17" s="5" t="n">
        <v>1303</v>
      </c>
      <c r="U17" s="5" t="n">
        <v>437</v>
      </c>
      <c r="V17" s="5" t="n">
        <v>94</v>
      </c>
      <c r="W17" s="10">
        <f>U17/T17</f>
        <v/>
      </c>
      <c r="Y17" s="7" t="n">
        <v>12</v>
      </c>
      <c r="Z17" s="8" t="inlineStr">
        <is>
          <t>701</t>
        </is>
      </c>
      <c r="AA17" s="9" t="inlineStr">
        <is>
          <t>Draw</t>
        </is>
      </c>
      <c r="AB17" s="5" t="n">
        <v>1093</v>
      </c>
      <c r="AC17" s="5" t="n">
        <v>728</v>
      </c>
      <c r="AD17" s="5" t="n">
        <v>627</v>
      </c>
      <c r="AE17" s="10">
        <f>AC17/AB17</f>
        <v/>
      </c>
    </row>
    <row r="18">
      <c r="A18" s="7" t="n">
        <v>13</v>
      </c>
      <c r="B18" s="8" t="inlineStr">
        <is>
          <t>600</t>
        </is>
      </c>
      <c r="C18" s="11" t="inlineStr">
        <is>
          <t>General</t>
        </is>
      </c>
      <c r="D18" s="5" t="n">
        <v>1998</v>
      </c>
      <c r="E18" s="5" t="n">
        <v>783</v>
      </c>
      <c r="F18" s="5" t="n">
        <v>568</v>
      </c>
      <c r="G18" s="10">
        <f>E18/D18</f>
        <v/>
      </c>
      <c r="I18" s="7" t="n">
        <v>13</v>
      </c>
      <c r="J18" s="8" t="inlineStr">
        <is>
          <t>250</t>
        </is>
      </c>
      <c r="K18" s="11" t="inlineStr">
        <is>
          <t>General</t>
        </is>
      </c>
      <c r="L18" s="5" t="n">
        <v>449</v>
      </c>
      <c r="M18" s="5" t="n">
        <v>157</v>
      </c>
      <c r="N18" s="5" t="n">
        <v>147</v>
      </c>
      <c r="O18" s="10">
        <f>M18/L18</f>
        <v/>
      </c>
      <c r="Q18" s="7" t="n">
        <v>13</v>
      </c>
      <c r="R18" s="8" t="inlineStr">
        <is>
          <t>704</t>
        </is>
      </c>
      <c r="S18" s="11" t="inlineStr">
        <is>
          <t>General</t>
        </is>
      </c>
      <c r="T18" s="5" t="n">
        <v>1601</v>
      </c>
      <c r="U18" s="5" t="n">
        <v>534</v>
      </c>
      <c r="V18" s="5" t="n">
        <v>233</v>
      </c>
      <c r="W18" s="10">
        <f>U18/T18</f>
        <v/>
      </c>
      <c r="Y18" s="7" t="n">
        <v>13</v>
      </c>
      <c r="Z18" s="8" t="inlineStr">
        <is>
          <t>704</t>
        </is>
      </c>
      <c r="AA18" s="9" t="inlineStr">
        <is>
          <t>Draw</t>
        </is>
      </c>
      <c r="AB18" s="5" t="n">
        <v>1015</v>
      </c>
      <c r="AC18" s="5" t="n">
        <v>668</v>
      </c>
      <c r="AD18" s="5" t="n">
        <v>507</v>
      </c>
      <c r="AE18" s="10">
        <f>AC18/AB18</f>
        <v/>
      </c>
    </row>
    <row r="19">
      <c r="A19" s="7" t="n">
        <v>14</v>
      </c>
      <c r="B19" s="8" t="inlineStr">
        <is>
          <t>316</t>
        </is>
      </c>
      <c r="C19" s="11" t="inlineStr">
        <is>
          <t>General</t>
        </is>
      </c>
      <c r="D19" s="5" t="n">
        <v>185</v>
      </c>
      <c r="E19" s="5" t="n">
        <v>72</v>
      </c>
      <c r="F19" s="5" t="n">
        <v>69</v>
      </c>
      <c r="G19" s="10">
        <f>E19/D19</f>
        <v/>
      </c>
      <c r="I19" s="7" t="n">
        <v>14</v>
      </c>
      <c r="J19" s="8" t="inlineStr">
        <is>
          <t>411</t>
        </is>
      </c>
      <c r="K19" s="11" t="inlineStr">
        <is>
          <t>General</t>
        </is>
      </c>
      <c r="L19" s="5" t="n">
        <v>2383</v>
      </c>
      <c r="M19" s="5" t="n">
        <v>831</v>
      </c>
      <c r="N19" s="5" t="n">
        <v>550</v>
      </c>
      <c r="O19" s="10">
        <f>M19/L19</f>
        <v/>
      </c>
      <c r="Q19" s="7" t="n">
        <v>14</v>
      </c>
      <c r="R19" s="8" t="inlineStr">
        <is>
          <t>701W</t>
        </is>
      </c>
      <c r="S19" s="11" t="inlineStr">
        <is>
          <t>General</t>
        </is>
      </c>
      <c r="T19" s="5" t="n">
        <v>219</v>
      </c>
      <c r="U19" s="5" t="n">
        <v>73</v>
      </c>
      <c r="V19" s="5" t="n">
        <v>30</v>
      </c>
      <c r="W19" s="10">
        <f>U19/T19</f>
        <v/>
      </c>
      <c r="Y19" s="7" t="n">
        <v>14</v>
      </c>
      <c r="Z19" s="8" t="inlineStr">
        <is>
          <t>630</t>
        </is>
      </c>
      <c r="AA19" s="9" t="inlineStr">
        <is>
          <t>Draw</t>
        </is>
      </c>
      <c r="AB19" s="5" t="n">
        <v>359</v>
      </c>
      <c r="AC19" s="5" t="n">
        <v>236</v>
      </c>
      <c r="AD19" s="5" t="n">
        <v>198</v>
      </c>
      <c r="AE19" s="10">
        <f>AC19/AB19</f>
        <v/>
      </c>
    </row>
    <row r="20">
      <c r="A20" s="7" t="n">
        <v>15</v>
      </c>
      <c r="B20" s="8" t="inlineStr">
        <is>
          <t>670</t>
        </is>
      </c>
      <c r="C20" s="11" t="inlineStr">
        <is>
          <t>General</t>
        </is>
      </c>
      <c r="D20" s="5" t="n">
        <v>2456</v>
      </c>
      <c r="E20" s="5" t="n">
        <v>955</v>
      </c>
      <c r="F20" s="5" t="n">
        <v>873</v>
      </c>
      <c r="G20" s="10">
        <f>E20/D20</f>
        <v/>
      </c>
      <c r="I20" s="7" t="n">
        <v>15</v>
      </c>
      <c r="J20" s="8" t="inlineStr">
        <is>
          <t>320</t>
        </is>
      </c>
      <c r="K20" s="11" t="inlineStr">
        <is>
          <t>General</t>
        </is>
      </c>
      <c r="L20" s="5" t="n">
        <v>2611</v>
      </c>
      <c r="M20" s="5" t="n">
        <v>909</v>
      </c>
      <c r="N20" s="5" t="n">
        <v>392</v>
      </c>
      <c r="O20" s="10">
        <f>M20/L20</f>
        <v/>
      </c>
      <c r="Q20" s="7" t="n">
        <v>15</v>
      </c>
      <c r="R20" s="8" t="inlineStr">
        <is>
          <t>690</t>
        </is>
      </c>
      <c r="S20" s="9" t="inlineStr">
        <is>
          <t>Draw</t>
        </is>
      </c>
      <c r="T20" s="5" t="n">
        <v>776</v>
      </c>
      <c r="U20" s="5" t="n">
        <v>257</v>
      </c>
      <c r="V20" s="5" t="n">
        <v>82</v>
      </c>
      <c r="W20" s="10">
        <f>U20/T20</f>
        <v/>
      </c>
      <c r="Y20" s="7" t="n">
        <v>15</v>
      </c>
      <c r="Z20" s="8" t="inlineStr">
        <is>
          <t>546</t>
        </is>
      </c>
      <c r="AA20" s="9" t="inlineStr">
        <is>
          <t>Draw</t>
        </is>
      </c>
      <c r="AB20" s="5" t="n">
        <v>335</v>
      </c>
      <c r="AC20" s="5" t="n">
        <v>220</v>
      </c>
      <c r="AD20" s="5" t="n">
        <v>153</v>
      </c>
      <c r="AE20" s="10">
        <f>AC20/AB20</f>
        <v/>
      </c>
    </row>
    <row r="21">
      <c r="A21" s="7" t="n">
        <v>16</v>
      </c>
      <c r="B21" s="8" t="inlineStr">
        <is>
          <t>401</t>
        </is>
      </c>
      <c r="C21" s="11" t="inlineStr">
        <is>
          <t>General</t>
        </is>
      </c>
      <c r="D21" s="5" t="n">
        <v>1204</v>
      </c>
      <c r="E21" s="5" t="n">
        <v>467</v>
      </c>
      <c r="F21" s="5" t="n">
        <v>332</v>
      </c>
      <c r="G21" s="10">
        <f>E21/D21</f>
        <v/>
      </c>
      <c r="I21" s="7" t="n">
        <v>16</v>
      </c>
      <c r="J21" s="8" t="inlineStr">
        <is>
          <t>412</t>
        </is>
      </c>
      <c r="K21" s="11" t="inlineStr">
        <is>
          <t>General</t>
        </is>
      </c>
      <c r="L21" s="5" t="n">
        <v>1139</v>
      </c>
      <c r="M21" s="5" t="n">
        <v>379</v>
      </c>
      <c r="N21" s="5" t="n">
        <v>226</v>
      </c>
      <c r="O21" s="10">
        <f>M21/L21</f>
        <v/>
      </c>
      <c r="Q21" s="7" t="n">
        <v>16</v>
      </c>
      <c r="R21" s="8" t="inlineStr">
        <is>
          <t>360</t>
        </is>
      </c>
      <c r="S21" s="11" t="inlineStr">
        <is>
          <t>General</t>
        </is>
      </c>
      <c r="T21" s="5" t="n">
        <v>3402</v>
      </c>
      <c r="U21" s="5" t="n">
        <v>1099</v>
      </c>
      <c r="V21" s="5" t="n">
        <v>377</v>
      </c>
      <c r="W21" s="10">
        <f>U21/T21</f>
        <v/>
      </c>
      <c r="Y21" s="7" t="n">
        <v>16</v>
      </c>
      <c r="Z21" s="8" t="inlineStr">
        <is>
          <t>404</t>
        </is>
      </c>
      <c r="AA21" s="9" t="inlineStr">
        <is>
          <t>Draw</t>
        </is>
      </c>
      <c r="AB21" s="5" t="n">
        <v>430</v>
      </c>
      <c r="AC21" s="5" t="n">
        <v>278</v>
      </c>
      <c r="AD21" s="5" t="n">
        <v>207</v>
      </c>
      <c r="AE21" s="10">
        <f>AC21/AB21</f>
        <v/>
      </c>
    </row>
    <row r="22">
      <c r="A22" s="7" t="n">
        <v>17</v>
      </c>
      <c r="B22" s="8" t="inlineStr">
        <is>
          <t>703</t>
        </is>
      </c>
      <c r="C22" s="11" t="inlineStr">
        <is>
          <t>General</t>
        </is>
      </c>
      <c r="D22" s="5" t="n">
        <v>3447</v>
      </c>
      <c r="E22" s="5" t="n">
        <v>1277</v>
      </c>
      <c r="F22" s="5" t="n">
        <v>1196</v>
      </c>
      <c r="G22" s="10">
        <f>E22/D22</f>
        <v/>
      </c>
      <c r="I22" s="7" t="n">
        <v>17</v>
      </c>
      <c r="J22" s="8" t="inlineStr">
        <is>
          <t>202</t>
        </is>
      </c>
      <c r="K22" s="11" t="inlineStr">
        <is>
          <t>General</t>
        </is>
      </c>
      <c r="L22" s="5" t="n">
        <v>1814</v>
      </c>
      <c r="M22" s="5" t="n">
        <v>598</v>
      </c>
      <c r="N22" s="5" t="n">
        <v>488</v>
      </c>
      <c r="O22" s="10">
        <f>M22/L22</f>
        <v/>
      </c>
      <c r="Q22" s="7" t="n">
        <v>17</v>
      </c>
      <c r="R22" s="8" t="inlineStr">
        <is>
          <t>314</t>
        </is>
      </c>
      <c r="S22" s="11" t="inlineStr">
        <is>
          <t>General</t>
        </is>
      </c>
      <c r="T22" s="5" t="n">
        <v>2182</v>
      </c>
      <c r="U22" s="5" t="n">
        <v>692</v>
      </c>
      <c r="V22" s="5" t="n">
        <v>215</v>
      </c>
      <c r="W22" s="10">
        <f>U22/T22</f>
        <v/>
      </c>
      <c r="Y22" s="7" t="n">
        <v>17</v>
      </c>
      <c r="Z22" s="8" t="inlineStr">
        <is>
          <t>471</t>
        </is>
      </c>
      <c r="AA22" s="9" t="inlineStr">
        <is>
          <t>Draw</t>
        </is>
      </c>
      <c r="AB22" s="5" t="n">
        <v>433</v>
      </c>
      <c r="AC22" s="5" t="n">
        <v>273</v>
      </c>
      <c r="AD22" s="5" t="n">
        <v>164</v>
      </c>
      <c r="AE22" s="10">
        <f>AC22/AB22</f>
        <v/>
      </c>
    </row>
    <row r="23">
      <c r="A23" s="7" t="n">
        <v>18</v>
      </c>
      <c r="B23" s="8" t="inlineStr">
        <is>
          <t>417</t>
        </is>
      </c>
      <c r="C23" s="9" t="inlineStr">
        <is>
          <t>Draw</t>
        </is>
      </c>
      <c r="D23" s="5" t="n">
        <v>253</v>
      </c>
      <c r="E23" s="5" t="n">
        <v>93</v>
      </c>
      <c r="F23" s="5" t="n">
        <v>84</v>
      </c>
      <c r="G23" s="10">
        <f>E23/D23</f>
        <v/>
      </c>
      <c r="I23" s="7" t="n">
        <v>18</v>
      </c>
      <c r="J23" s="8" t="inlineStr">
        <is>
          <t>418</t>
        </is>
      </c>
      <c r="K23" s="11" t="inlineStr">
        <is>
          <t>General</t>
        </is>
      </c>
      <c r="L23" s="5" t="n">
        <v>495</v>
      </c>
      <c r="M23" s="5" t="n">
        <v>159</v>
      </c>
      <c r="N23" s="5" t="n">
        <v>101</v>
      </c>
      <c r="O23" s="10">
        <f>M23/L23</f>
        <v/>
      </c>
      <c r="Q23" s="7" t="n">
        <v>18</v>
      </c>
      <c r="R23" s="8" t="inlineStr">
        <is>
          <t>535E</t>
        </is>
      </c>
      <c r="S23" s="11" t="inlineStr">
        <is>
          <t>General</t>
        </is>
      </c>
      <c r="T23" s="5" t="n">
        <v>1023</v>
      </c>
      <c r="U23" s="5" t="n">
        <v>323</v>
      </c>
      <c r="V23" s="5" t="n">
        <v>69</v>
      </c>
      <c r="W23" s="10">
        <f>U23/T23</f>
        <v/>
      </c>
      <c r="Y23" s="7" t="n">
        <v>18</v>
      </c>
      <c r="Z23" s="8" t="inlineStr">
        <is>
          <t>600</t>
        </is>
      </c>
      <c r="AA23" s="9" t="inlineStr">
        <is>
          <t>Draw</t>
        </is>
      </c>
      <c r="AB23" s="5" t="n">
        <v>321</v>
      </c>
      <c r="AC23" s="5" t="n">
        <v>200</v>
      </c>
      <c r="AD23" s="5" t="n">
        <v>166</v>
      </c>
      <c r="AE23" s="10">
        <f>AC23/AB23</f>
        <v/>
      </c>
    </row>
    <row r="24">
      <c r="A24" s="7" t="n">
        <v>19</v>
      </c>
      <c r="B24" s="8" t="inlineStr">
        <is>
          <t>702</t>
        </is>
      </c>
      <c r="C24" s="11" t="inlineStr">
        <is>
          <t>General</t>
        </is>
      </c>
      <c r="D24" s="5" t="n">
        <v>1740</v>
      </c>
      <c r="E24" s="5" t="n">
        <v>631</v>
      </c>
      <c r="F24" s="5" t="n">
        <v>560</v>
      </c>
      <c r="G24" s="10">
        <f>E24/D24</f>
        <v/>
      </c>
      <c r="I24" s="7" t="n">
        <v>19</v>
      </c>
      <c r="J24" s="8" t="inlineStr">
        <is>
          <t>240</t>
        </is>
      </c>
      <c r="K24" s="11" t="inlineStr">
        <is>
          <t>General</t>
        </is>
      </c>
      <c r="L24" s="5" t="n">
        <v>2009</v>
      </c>
      <c r="M24" s="5" t="n">
        <v>640</v>
      </c>
      <c r="N24" s="5" t="n">
        <v>441</v>
      </c>
      <c r="O24" s="10">
        <f>M24/L24</f>
        <v/>
      </c>
      <c r="Q24" s="7" t="n">
        <v>19</v>
      </c>
      <c r="R24" s="8" t="inlineStr">
        <is>
          <t>535W</t>
        </is>
      </c>
      <c r="S24" s="11" t="inlineStr">
        <is>
          <t>General</t>
        </is>
      </c>
      <c r="T24" s="5" t="n">
        <v>678</v>
      </c>
      <c r="U24" s="5" t="n">
        <v>213</v>
      </c>
      <c r="V24" s="5" t="n">
        <v>55</v>
      </c>
      <c r="W24" s="10">
        <f>U24/T24</f>
        <v/>
      </c>
      <c r="Y24" s="7" t="n">
        <v>19</v>
      </c>
      <c r="Z24" s="8" t="inlineStr">
        <is>
          <t>536</t>
        </is>
      </c>
      <c r="AA24" s="9" t="inlineStr">
        <is>
          <t>Draw</t>
        </is>
      </c>
      <c r="AB24" s="5" t="n">
        <v>303</v>
      </c>
      <c r="AC24" s="5" t="n">
        <v>188</v>
      </c>
      <c r="AD24" s="5" t="n">
        <v>174</v>
      </c>
      <c r="AE24" s="10">
        <f>AC24/AB24</f>
        <v/>
      </c>
    </row>
    <row r="25">
      <c r="A25" s="7" t="n">
        <v>20</v>
      </c>
      <c r="B25" s="8" t="inlineStr">
        <is>
          <t>400</t>
        </is>
      </c>
      <c r="C25" s="11" t="inlineStr">
        <is>
          <t>General</t>
        </is>
      </c>
      <c r="D25" s="5" t="n">
        <v>2000</v>
      </c>
      <c r="E25" s="5" t="n">
        <v>725</v>
      </c>
      <c r="F25" s="5" t="n">
        <v>573</v>
      </c>
      <c r="G25" s="10">
        <f>E25/D25</f>
        <v/>
      </c>
      <c r="I25" s="7" t="n">
        <v>20</v>
      </c>
      <c r="J25" s="8" t="inlineStr">
        <is>
          <t>110</t>
        </is>
      </c>
      <c r="K25" s="11" t="inlineStr">
        <is>
          <t>General</t>
        </is>
      </c>
      <c r="L25" s="5" t="n">
        <v>1344</v>
      </c>
      <c r="M25" s="5" t="n">
        <v>427</v>
      </c>
      <c r="N25" s="5" t="n">
        <v>345</v>
      </c>
      <c r="O25" s="10">
        <f>M25/L25</f>
        <v/>
      </c>
      <c r="Q25" s="7" t="n">
        <v>20</v>
      </c>
      <c r="R25" s="8" t="inlineStr">
        <is>
          <t>309</t>
        </is>
      </c>
      <c r="S25" s="11" t="inlineStr">
        <is>
          <t>General</t>
        </is>
      </c>
      <c r="T25" s="5" t="n">
        <v>377</v>
      </c>
      <c r="U25" s="5" t="n">
        <v>117</v>
      </c>
      <c r="V25" s="5" t="n">
        <v>42</v>
      </c>
      <c r="W25" s="10">
        <f>U25/T25</f>
        <v/>
      </c>
      <c r="Y25" s="7" t="n">
        <v>20</v>
      </c>
      <c r="Z25" s="8" t="inlineStr">
        <is>
          <t>506</t>
        </is>
      </c>
      <c r="AA25" s="9" t="inlineStr">
        <is>
          <t>Draw</t>
        </is>
      </c>
      <c r="AB25" s="5" t="n">
        <v>222</v>
      </c>
      <c r="AC25" s="5" t="n">
        <v>136</v>
      </c>
      <c r="AD25" s="5" t="n">
        <v>115</v>
      </c>
      <c r="AE25" s="10">
        <f>AC25/AB25</f>
        <v/>
      </c>
    </row>
    <row r="26">
      <c r="A26" s="7" t="n">
        <v>21</v>
      </c>
      <c r="B26" s="8" t="inlineStr">
        <is>
          <t>630</t>
        </is>
      </c>
      <c r="C26" s="11" t="inlineStr">
        <is>
          <t>General</t>
        </is>
      </c>
      <c r="D26" s="5" t="n">
        <v>1664</v>
      </c>
      <c r="E26" s="5" t="n">
        <v>598</v>
      </c>
      <c r="F26" s="5" t="n">
        <v>556</v>
      </c>
      <c r="G26" s="10">
        <f>E26/D26</f>
        <v/>
      </c>
      <c r="I26" s="7" t="n">
        <v>21</v>
      </c>
      <c r="J26" s="8" t="inlineStr">
        <is>
          <t>124</t>
        </is>
      </c>
      <c r="K26" s="11" t="inlineStr">
        <is>
          <t>General</t>
        </is>
      </c>
      <c r="L26" s="5" t="n">
        <v>441</v>
      </c>
      <c r="M26" s="5" t="n">
        <v>137</v>
      </c>
      <c r="N26" s="5" t="n">
        <v>107</v>
      </c>
      <c r="O26" s="10">
        <f>M26/L26</f>
        <v/>
      </c>
      <c r="Q26" s="7" t="n">
        <v>21</v>
      </c>
      <c r="R26" s="8" t="inlineStr">
        <is>
          <t>401</t>
        </is>
      </c>
      <c r="S26" s="11" t="inlineStr">
        <is>
          <t>General</t>
        </is>
      </c>
      <c r="T26" s="5" t="n">
        <v>405</v>
      </c>
      <c r="U26" s="5" t="n">
        <v>125</v>
      </c>
      <c r="V26" s="5" t="n">
        <v>65</v>
      </c>
      <c r="W26" s="10">
        <f>U26/T26</f>
        <v/>
      </c>
      <c r="Y26" s="7" t="n">
        <v>21</v>
      </c>
      <c r="Z26" s="8" t="inlineStr">
        <is>
          <t>490</t>
        </is>
      </c>
      <c r="AA26" s="9" t="inlineStr">
        <is>
          <t>Draw</t>
        </is>
      </c>
      <c r="AB26" s="5" t="n">
        <v>256</v>
      </c>
      <c r="AC26" s="5" t="n">
        <v>156</v>
      </c>
      <c r="AD26" s="5" t="n">
        <v>91</v>
      </c>
      <c r="AE26" s="10">
        <f>AC26/AB26</f>
        <v/>
      </c>
    </row>
    <row r="27">
      <c r="A27" s="7" t="n">
        <v>22</v>
      </c>
      <c r="B27" s="8" t="inlineStr">
        <is>
          <t>406</t>
        </is>
      </c>
      <c r="C27" s="11" t="inlineStr">
        <is>
          <t>General</t>
        </is>
      </c>
      <c r="D27" s="5" t="n">
        <v>731</v>
      </c>
      <c r="E27" s="5" t="n">
        <v>239</v>
      </c>
      <c r="F27" s="5" t="n">
        <v>158</v>
      </c>
      <c r="G27" s="10">
        <f>E27/D27</f>
        <v/>
      </c>
      <c r="I27" s="7" t="n">
        <v>22</v>
      </c>
      <c r="J27" s="8" t="inlineStr">
        <is>
          <t>285</t>
        </is>
      </c>
      <c r="K27" s="11" t="inlineStr">
        <is>
          <t>General</t>
        </is>
      </c>
      <c r="L27" s="5" t="n">
        <v>3133</v>
      </c>
      <c r="M27" s="5" t="n">
        <v>962</v>
      </c>
      <c r="N27" s="5" t="n">
        <v>868</v>
      </c>
      <c r="O27" s="10">
        <f>M27/L27</f>
        <v/>
      </c>
      <c r="Q27" s="7" t="n">
        <v>22</v>
      </c>
      <c r="R27" s="8" t="inlineStr">
        <is>
          <t>412</t>
        </is>
      </c>
      <c r="S27" s="11" t="inlineStr">
        <is>
          <t>General</t>
        </is>
      </c>
      <c r="T27" s="5" t="n">
        <v>614</v>
      </c>
      <c r="U27" s="5" t="n">
        <v>186</v>
      </c>
      <c r="V27" s="5" t="n">
        <v>107</v>
      </c>
      <c r="W27" s="10">
        <f>U27/T27</f>
        <v/>
      </c>
      <c r="Y27" s="7" t="n">
        <v>22</v>
      </c>
      <c r="Z27" s="8" t="inlineStr">
        <is>
          <t>516</t>
        </is>
      </c>
      <c r="AA27" s="9" t="inlineStr">
        <is>
          <t>Draw</t>
        </is>
      </c>
      <c r="AB27" s="5" t="n">
        <v>700</v>
      </c>
      <c r="AC27" s="5" t="n">
        <v>424</v>
      </c>
      <c r="AD27" s="5" t="n">
        <v>335</v>
      </c>
      <c r="AE27" s="10">
        <f>AC27/AB27</f>
        <v/>
      </c>
    </row>
    <row r="28">
      <c r="A28" s="7" t="n">
        <v>23</v>
      </c>
      <c r="B28" s="8" t="inlineStr">
        <is>
          <t>620</t>
        </is>
      </c>
      <c r="C28" s="11" t="inlineStr">
        <is>
          <t>General</t>
        </is>
      </c>
      <c r="D28" s="5" t="n">
        <v>1199</v>
      </c>
      <c r="E28" s="5" t="n">
        <v>392</v>
      </c>
      <c r="F28" s="5" t="n">
        <v>369</v>
      </c>
      <c r="G28" s="10">
        <f>E28/D28</f>
        <v/>
      </c>
      <c r="I28" s="7" t="n">
        <v>23</v>
      </c>
      <c r="J28" s="8" t="inlineStr">
        <is>
          <t>525</t>
        </is>
      </c>
      <c r="K28" s="11" t="inlineStr">
        <is>
          <t>General</t>
        </is>
      </c>
      <c r="L28" s="5" t="n">
        <v>2334</v>
      </c>
      <c r="M28" s="5" t="n">
        <v>714</v>
      </c>
      <c r="N28" s="5" t="n">
        <v>375</v>
      </c>
      <c r="O28" s="10">
        <f>M28/L28</f>
        <v/>
      </c>
      <c r="Q28" s="7" t="n">
        <v>23</v>
      </c>
      <c r="R28" s="8" t="inlineStr">
        <is>
          <t>590</t>
        </is>
      </c>
      <c r="S28" s="11" t="inlineStr">
        <is>
          <t>General</t>
        </is>
      </c>
      <c r="T28" s="5" t="n">
        <v>2494</v>
      </c>
      <c r="U28" s="5" t="n">
        <v>750</v>
      </c>
      <c r="V28" s="5" t="n">
        <v>310</v>
      </c>
      <c r="W28" s="10">
        <f>U28/T28</f>
        <v/>
      </c>
      <c r="Y28" s="7" t="n">
        <v>23</v>
      </c>
      <c r="Z28" s="8" t="inlineStr">
        <is>
          <t>702</t>
        </is>
      </c>
      <c r="AA28" s="9" t="inlineStr">
        <is>
          <t>Draw</t>
        </is>
      </c>
      <c r="AB28" s="5" t="n">
        <v>549</v>
      </c>
      <c r="AC28" s="5" t="n">
        <v>331</v>
      </c>
      <c r="AD28" s="5" t="n">
        <v>270</v>
      </c>
      <c r="AE28" s="10">
        <f>AC28/AB28</f>
        <v/>
      </c>
    </row>
    <row r="29">
      <c r="A29" s="7" t="n">
        <v>24</v>
      </c>
      <c r="B29" s="8" t="inlineStr">
        <is>
          <t>419</t>
        </is>
      </c>
      <c r="C29" s="11" t="inlineStr">
        <is>
          <t>General</t>
        </is>
      </c>
      <c r="D29" s="5" t="n">
        <v>861</v>
      </c>
      <c r="E29" s="5" t="n">
        <v>278</v>
      </c>
      <c r="F29" s="5" t="n">
        <v>257</v>
      </c>
      <c r="G29" s="10">
        <f>E29/D29</f>
        <v/>
      </c>
      <c r="I29" s="7" t="n">
        <v>24</v>
      </c>
      <c r="J29" s="8" t="inlineStr">
        <is>
          <t>421</t>
        </is>
      </c>
      <c r="K29" s="11" t="inlineStr">
        <is>
          <t>General</t>
        </is>
      </c>
      <c r="L29" s="5" t="n">
        <v>1325</v>
      </c>
      <c r="M29" s="5" t="n">
        <v>397</v>
      </c>
      <c r="N29" s="5" t="n">
        <v>218</v>
      </c>
      <c r="O29" s="10">
        <f>M29/L29</f>
        <v/>
      </c>
      <c r="Q29" s="7" t="n">
        <v>24</v>
      </c>
      <c r="R29" s="8" t="inlineStr">
        <is>
          <t>311</t>
        </is>
      </c>
      <c r="S29" s="11" t="inlineStr">
        <is>
          <t>General</t>
        </is>
      </c>
      <c r="T29" s="5" t="n">
        <v>794</v>
      </c>
      <c r="U29" s="5" t="n">
        <v>238</v>
      </c>
      <c r="V29" s="5" t="n">
        <v>75</v>
      </c>
      <c r="W29" s="10">
        <f>U29/T29</f>
        <v/>
      </c>
      <c r="Y29" s="7" t="n">
        <v>24</v>
      </c>
      <c r="Z29" s="8" t="inlineStr">
        <is>
          <t>640</t>
        </is>
      </c>
      <c r="AA29" s="9" t="inlineStr">
        <is>
          <t>Draw</t>
        </is>
      </c>
      <c r="AB29" s="5" t="n">
        <v>158</v>
      </c>
      <c r="AC29" s="5" t="n">
        <v>93</v>
      </c>
      <c r="AD29" s="5" t="n">
        <v>77</v>
      </c>
      <c r="AE29" s="10">
        <f>AC29/AB29</f>
        <v/>
      </c>
    </row>
    <row r="30">
      <c r="A30" s="7" t="n">
        <v>25</v>
      </c>
      <c r="B30" s="8" t="inlineStr">
        <is>
          <t>700</t>
        </is>
      </c>
      <c r="C30" s="11" t="inlineStr">
        <is>
          <t>General</t>
        </is>
      </c>
      <c r="D30" s="5" t="n">
        <v>3259</v>
      </c>
      <c r="E30" s="5" t="n">
        <v>1015</v>
      </c>
      <c r="F30" s="5" t="n">
        <v>886</v>
      </c>
      <c r="G30" s="10">
        <f>E30/D30</f>
        <v/>
      </c>
      <c r="I30" s="7" t="n">
        <v>25</v>
      </c>
      <c r="J30" s="8" t="inlineStr">
        <is>
          <t>104</t>
        </is>
      </c>
      <c r="K30" s="11" t="inlineStr">
        <is>
          <t>General</t>
        </is>
      </c>
      <c r="L30" s="5" t="n">
        <v>1575</v>
      </c>
      <c r="M30" s="5" t="n">
        <v>469</v>
      </c>
      <c r="N30" s="5" t="n">
        <v>337</v>
      </c>
      <c r="O30" s="10">
        <f>M30/L30</f>
        <v/>
      </c>
      <c r="Q30" s="7" t="n">
        <v>25</v>
      </c>
      <c r="R30" s="8" t="inlineStr">
        <is>
          <t>393</t>
        </is>
      </c>
      <c r="S30" s="11" t="inlineStr">
        <is>
          <t>General</t>
        </is>
      </c>
      <c r="T30" s="5" t="n">
        <v>2048</v>
      </c>
      <c r="U30" s="5" t="n">
        <v>590</v>
      </c>
      <c r="V30" s="5" t="n">
        <v>237</v>
      </c>
      <c r="W30" s="10">
        <f>U30/T30</f>
        <v/>
      </c>
      <c r="Y30" s="7" t="n">
        <v>25</v>
      </c>
      <c r="Z30" s="8" t="inlineStr">
        <is>
          <t>420</t>
        </is>
      </c>
      <c r="AA30" s="9" t="inlineStr">
        <is>
          <t>Draw</t>
        </is>
      </c>
      <c r="AB30" s="5" t="n">
        <v>178</v>
      </c>
      <c r="AC30" s="5" t="n">
        <v>103</v>
      </c>
      <c r="AD30" s="5" t="n">
        <v>81</v>
      </c>
      <c r="AE30" s="10">
        <f>AC30/AB30</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Y6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s>
  <sheetData>
    <row r="1">
      <c r="A1" s="1" t="inlineStr">
        <is>
          <t>Harvest by district and year</t>
        </is>
      </c>
    </row>
    <row r="2">
      <c r="A2" s="2" t="inlineStr">
        <is>
          <t>Darker green = more animals taken (shaded per species). Change compares the first and latest year.</t>
        </is>
      </c>
    </row>
    <row r="4">
      <c r="A4" s="6" t="inlineStr">
        <is>
          <t>Mule Deer</t>
        </is>
      </c>
    </row>
    <row r="5">
      <c r="A5" s="3" t="inlineStr">
        <is>
          <t>District</t>
        </is>
      </c>
      <c r="B5" s="3" t="inlineStr">
        <is>
          <t>License</t>
        </is>
      </c>
      <c r="C5" s="3" t="inlineStr">
        <is>
          <t>2004</t>
        </is>
      </c>
      <c r="D5" s="3" t="inlineStr">
        <is>
          <t>2005</t>
        </is>
      </c>
      <c r="E5" s="3" t="inlineStr">
        <is>
          <t>2006</t>
        </is>
      </c>
      <c r="F5" s="3" t="inlineStr">
        <is>
          <t>2007</t>
        </is>
      </c>
      <c r="G5" s="3" t="inlineStr">
        <is>
          <t>2008</t>
        </is>
      </c>
      <c r="H5" s="3" t="inlineStr">
        <is>
          <t>2009</t>
        </is>
      </c>
      <c r="I5" s="3" t="inlineStr">
        <is>
          <t>2010</t>
        </is>
      </c>
      <c r="J5" s="3" t="inlineStr">
        <is>
          <t>2011</t>
        </is>
      </c>
      <c r="K5" s="3" t="inlineStr">
        <is>
          <t>2012</t>
        </is>
      </c>
      <c r="L5" s="3" t="inlineStr">
        <is>
          <t>2013</t>
        </is>
      </c>
      <c r="M5" s="3" t="inlineStr">
        <is>
          <t>2014</t>
        </is>
      </c>
      <c r="N5" s="3" t="inlineStr">
        <is>
          <t>2015</t>
        </is>
      </c>
      <c r="O5" s="3" t="inlineStr">
        <is>
          <t>2016</t>
        </is>
      </c>
      <c r="P5" s="3" t="inlineStr">
        <is>
          <t>2017</t>
        </is>
      </c>
      <c r="Q5" s="3" t="inlineStr">
        <is>
          <t>2018</t>
        </is>
      </c>
      <c r="R5" s="3" t="inlineStr">
        <is>
          <t>2019</t>
        </is>
      </c>
      <c r="S5" s="3" t="inlineStr">
        <is>
          <t>2020</t>
        </is>
      </c>
      <c r="T5" s="3" t="inlineStr">
        <is>
          <t>2021</t>
        </is>
      </c>
      <c r="U5" s="3" t="inlineStr">
        <is>
          <t>2022</t>
        </is>
      </c>
      <c r="V5" s="3" t="inlineStr">
        <is>
          <t>2023</t>
        </is>
      </c>
      <c r="W5" s="3" t="inlineStr">
        <is>
          <t>2024</t>
        </is>
      </c>
      <c r="X5" s="3" t="inlineStr">
        <is>
          <t>2025</t>
        </is>
      </c>
      <c r="Y5" s="3" t="inlineStr">
        <is>
          <t>Change</t>
        </is>
      </c>
    </row>
    <row r="6">
      <c r="A6" s="12" t="inlineStr">
        <is>
          <t>100</t>
        </is>
      </c>
      <c r="B6" s="13" t="inlineStr">
        <is>
          <t>General</t>
        </is>
      </c>
      <c r="C6" s="5" t="n">
        <v>222</v>
      </c>
      <c r="D6" s="5" t="n">
        <v>258</v>
      </c>
      <c r="E6" s="5" t="n">
        <v>245</v>
      </c>
      <c r="F6" s="5" t="n">
        <v>187</v>
      </c>
      <c r="G6" s="5" t="n">
        <v>180</v>
      </c>
      <c r="H6" s="5" t="n">
        <v>198</v>
      </c>
      <c r="I6" s="5" t="n">
        <v>194</v>
      </c>
      <c r="J6" s="5" t="n">
        <v>91</v>
      </c>
      <c r="K6" s="5" t="n">
        <v>128</v>
      </c>
      <c r="L6" s="5" t="n">
        <v>119</v>
      </c>
      <c r="M6" s="5" t="n">
        <v>158</v>
      </c>
      <c r="N6" s="5" t="n">
        <v>115</v>
      </c>
      <c r="O6" s="5" t="n">
        <v>212</v>
      </c>
      <c r="P6" s="5" t="n">
        <v>97</v>
      </c>
      <c r="Q6" s="5" t="n">
        <v>66</v>
      </c>
      <c r="R6" s="5" t="n">
        <v>104</v>
      </c>
      <c r="S6" s="5" t="n">
        <v>137</v>
      </c>
      <c r="T6" s="5" t="n">
        <v>165</v>
      </c>
      <c r="U6" s="5" t="n">
        <v>176</v>
      </c>
      <c r="V6" s="5" t="n">
        <v>169</v>
      </c>
      <c r="W6" s="5" t="n">
        <v>113</v>
      </c>
      <c r="X6" s="5" t="n">
        <v>119</v>
      </c>
      <c r="Y6" s="14">
        <f>IF(AND(ISNUMBER(C6),C6&gt;0,ISNUMBER(X6)),X6/C6-1,"")</f>
        <v/>
      </c>
    </row>
    <row r="7">
      <c r="A7" s="12" t="inlineStr">
        <is>
          <t>101</t>
        </is>
      </c>
      <c r="B7" s="13" t="inlineStr">
        <is>
          <t>General</t>
        </is>
      </c>
      <c r="C7" s="5" t="n">
        <v>204</v>
      </c>
      <c r="D7" s="5" t="n">
        <v>203</v>
      </c>
      <c r="E7" s="5" t="n">
        <v>170</v>
      </c>
      <c r="F7" s="5" t="n">
        <v>122</v>
      </c>
      <c r="G7" s="5" t="n">
        <v>87</v>
      </c>
      <c r="H7" s="5" t="n">
        <v>71</v>
      </c>
      <c r="I7" s="5" t="n">
        <v>133</v>
      </c>
      <c r="J7" s="5" t="n">
        <v>73</v>
      </c>
      <c r="K7" s="5" t="n">
        <v>81</v>
      </c>
      <c r="L7" s="5" t="n">
        <v>90</v>
      </c>
      <c r="M7" s="5" t="n">
        <v>93</v>
      </c>
      <c r="N7" s="5" t="n">
        <v>57</v>
      </c>
      <c r="O7" s="5" t="n">
        <v>121</v>
      </c>
      <c r="P7" s="5" t="n">
        <v>50</v>
      </c>
      <c r="Q7" s="5" t="n">
        <v>63</v>
      </c>
      <c r="R7" s="5" t="n">
        <v>88</v>
      </c>
      <c r="S7" s="5" t="n">
        <v>66</v>
      </c>
      <c r="T7" s="5" t="n">
        <v>74</v>
      </c>
      <c r="U7" s="5" t="n">
        <v>110</v>
      </c>
      <c r="V7" s="5" t="n">
        <v>106</v>
      </c>
      <c r="W7" s="5" t="n">
        <v>125</v>
      </c>
      <c r="X7" s="5" t="n">
        <v>92</v>
      </c>
      <c r="Y7" s="14">
        <f>IF(AND(ISNUMBER(C7),C7&gt;0,ISNUMBER(X7)),X7/C7-1,"")</f>
        <v/>
      </c>
    </row>
    <row r="8">
      <c r="A8" s="12" t="inlineStr">
        <is>
          <t>102</t>
        </is>
      </c>
      <c r="B8" s="4" t="inlineStr"/>
      <c r="C8" s="5" t="n">
        <v>100</v>
      </c>
      <c r="D8" s="5" t="n">
        <v>137</v>
      </c>
      <c r="E8" s="5" t="n">
        <v>129</v>
      </c>
      <c r="F8" s="5" t="n">
        <v>103</v>
      </c>
      <c r="G8" s="5" t="n">
        <v>102</v>
      </c>
      <c r="H8" s="5" t="n">
        <v>48</v>
      </c>
      <c r="I8" s="5" t="n">
        <v>71</v>
      </c>
      <c r="J8" s="5" t="n">
        <v>52</v>
      </c>
      <c r="K8" s="5" t="n">
        <v>48</v>
      </c>
      <c r="L8" s="5" t="n">
        <v>91</v>
      </c>
      <c r="M8" s="5" t="n">
        <v>43</v>
      </c>
      <c r="N8" s="5" t="n">
        <v>49</v>
      </c>
      <c r="O8" s="5" t="n">
        <v>79</v>
      </c>
      <c r="P8" s="5" t="n">
        <v>41</v>
      </c>
      <c r="Q8" s="5" t="n">
        <v>28</v>
      </c>
      <c r="R8" s="5" t="n">
        <v>45</v>
      </c>
      <c r="S8" s="5" t="n">
        <v>27</v>
      </c>
      <c r="T8" s="5" t="n">
        <v>54</v>
      </c>
      <c r="U8" s="5" t="n"/>
      <c r="V8" s="5" t="n"/>
      <c r="W8" s="5" t="n"/>
      <c r="X8" s="5" t="n"/>
      <c r="Y8" s="14">
        <f>IF(AND(ISNUMBER(C8),C8&gt;0,ISNUMBER(X8)),X8/C8-1,"")</f>
        <v/>
      </c>
    </row>
    <row r="9">
      <c r="A9" s="12" t="inlineStr">
        <is>
          <t>103</t>
        </is>
      </c>
      <c r="B9" s="13" t="inlineStr">
        <is>
          <t>General</t>
        </is>
      </c>
      <c r="C9" s="5" t="n">
        <v>418</v>
      </c>
      <c r="D9" s="5" t="n">
        <v>320</v>
      </c>
      <c r="E9" s="5" t="n">
        <v>256</v>
      </c>
      <c r="F9" s="5" t="n">
        <v>249</v>
      </c>
      <c r="G9" s="5" t="n">
        <v>152</v>
      </c>
      <c r="H9" s="5" t="n">
        <v>172</v>
      </c>
      <c r="I9" s="5" t="n">
        <v>156</v>
      </c>
      <c r="J9" s="5" t="n">
        <v>124</v>
      </c>
      <c r="K9" s="5" t="n">
        <v>140</v>
      </c>
      <c r="L9" s="5" t="n">
        <v>155</v>
      </c>
      <c r="M9" s="5" t="n">
        <v>153</v>
      </c>
      <c r="N9" s="5" t="n">
        <v>115</v>
      </c>
      <c r="O9" s="5" t="n">
        <v>184</v>
      </c>
      <c r="P9" s="5" t="n">
        <v>119</v>
      </c>
      <c r="Q9" s="5" t="n">
        <v>112</v>
      </c>
      <c r="R9" s="5" t="n">
        <v>120</v>
      </c>
      <c r="S9" s="5" t="n">
        <v>159</v>
      </c>
      <c r="T9" s="5" t="n">
        <v>138</v>
      </c>
      <c r="U9" s="5" t="n">
        <v>158</v>
      </c>
      <c r="V9" s="5" t="n">
        <v>207</v>
      </c>
      <c r="W9" s="5" t="n">
        <v>233</v>
      </c>
      <c r="X9" s="5" t="n">
        <v>212</v>
      </c>
      <c r="Y9" s="14">
        <f>IF(AND(ISNUMBER(C9),C9&gt;0,ISNUMBER(X9)),X9/C9-1,"")</f>
        <v/>
      </c>
    </row>
    <row r="10">
      <c r="A10" s="12" t="inlineStr">
        <is>
          <t>104</t>
        </is>
      </c>
      <c r="B10" s="13" t="inlineStr">
        <is>
          <t>General</t>
        </is>
      </c>
      <c r="C10" s="5" t="n">
        <v>150</v>
      </c>
      <c r="D10" s="5" t="n">
        <v>166</v>
      </c>
      <c r="E10" s="5" t="n">
        <v>119</v>
      </c>
      <c r="F10" s="5" t="n">
        <v>108</v>
      </c>
      <c r="G10" s="5" t="n">
        <v>106</v>
      </c>
      <c r="H10" s="5" t="n">
        <v>80</v>
      </c>
      <c r="I10" s="5" t="n">
        <v>89</v>
      </c>
      <c r="J10" s="5" t="n">
        <v>49</v>
      </c>
      <c r="K10" s="5" t="n">
        <v>56</v>
      </c>
      <c r="L10" s="5" t="n">
        <v>79</v>
      </c>
      <c r="M10" s="5" t="n">
        <v>85</v>
      </c>
      <c r="N10" s="5" t="n">
        <v>83</v>
      </c>
      <c r="O10" s="5" t="n">
        <v>64</v>
      </c>
      <c r="P10" s="5" t="n">
        <v>29</v>
      </c>
      <c r="Q10" s="5" t="n">
        <v>70</v>
      </c>
      <c r="R10" s="5" t="n">
        <v>62</v>
      </c>
      <c r="S10" s="5" t="n">
        <v>81</v>
      </c>
      <c r="T10" s="5" t="n">
        <v>57</v>
      </c>
      <c r="U10" s="5" t="n">
        <v>39</v>
      </c>
      <c r="V10" s="5" t="n">
        <v>59</v>
      </c>
      <c r="W10" s="5" t="n">
        <v>66</v>
      </c>
      <c r="X10" s="5" t="n">
        <v>64</v>
      </c>
      <c r="Y10" s="14">
        <f>IF(AND(ISNUMBER(C10),C10&gt;0,ISNUMBER(X10)),X10/C10-1,"")</f>
        <v/>
      </c>
    </row>
    <row r="11">
      <c r="A11" s="12" t="inlineStr">
        <is>
          <t>109</t>
        </is>
      </c>
      <c r="B11" s="4" t="inlineStr"/>
      <c r="C11" s="5" t="n">
        <v>74</v>
      </c>
      <c r="D11" s="5" t="n">
        <v>87</v>
      </c>
      <c r="E11" s="5" t="n">
        <v>66</v>
      </c>
      <c r="F11" s="5" t="n">
        <v>42</v>
      </c>
      <c r="G11" s="5" t="n">
        <v>37</v>
      </c>
      <c r="H11" s="5" t="n">
        <v>89</v>
      </c>
      <c r="I11" s="5" t="n">
        <v>50</v>
      </c>
      <c r="J11" s="5" t="n">
        <v>26</v>
      </c>
      <c r="K11" s="5" t="n">
        <v>11</v>
      </c>
      <c r="L11" s="5" t="n">
        <v>25</v>
      </c>
      <c r="M11" s="5" t="n">
        <v>18</v>
      </c>
      <c r="N11" s="5" t="n">
        <v>39</v>
      </c>
      <c r="O11" s="5" t="n">
        <v>21</v>
      </c>
      <c r="P11" s="5" t="n">
        <v>12</v>
      </c>
      <c r="Q11" s="5" t="n">
        <v>37</v>
      </c>
      <c r="R11" s="5" t="n">
        <v>25</v>
      </c>
      <c r="S11" s="5" t="n">
        <v>55</v>
      </c>
      <c r="T11" s="5" t="n">
        <v>39</v>
      </c>
      <c r="U11" s="5" t="n"/>
      <c r="V11" s="5" t="n"/>
      <c r="W11" s="5" t="n"/>
      <c r="X11" s="5" t="n"/>
      <c r="Y11" s="14">
        <f>IF(AND(ISNUMBER(C11),C11&gt;0,ISNUMBER(X11)),X11/C11-1,"")</f>
        <v/>
      </c>
    </row>
    <row r="12">
      <c r="A12" s="12" t="inlineStr">
        <is>
          <t>110</t>
        </is>
      </c>
      <c r="B12" s="13" t="inlineStr">
        <is>
          <t>General</t>
        </is>
      </c>
      <c r="C12" s="5" t="n">
        <v>104</v>
      </c>
      <c r="D12" s="5" t="n">
        <v>182</v>
      </c>
      <c r="E12" s="5" t="n">
        <v>165</v>
      </c>
      <c r="F12" s="5" t="n">
        <v>90</v>
      </c>
      <c r="G12" s="5" t="n">
        <v>75</v>
      </c>
      <c r="H12" s="5" t="n">
        <v>89</v>
      </c>
      <c r="I12" s="5" t="n">
        <v>76</v>
      </c>
      <c r="J12" s="5" t="n">
        <v>25</v>
      </c>
      <c r="K12" s="5" t="n">
        <v>31</v>
      </c>
      <c r="L12" s="5" t="n">
        <v>68</v>
      </c>
      <c r="M12" s="5" t="n">
        <v>26</v>
      </c>
      <c r="N12" s="5" t="n">
        <v>26</v>
      </c>
      <c r="O12" s="5" t="n">
        <v>53</v>
      </c>
      <c r="P12" s="5" t="n">
        <v>30</v>
      </c>
      <c r="Q12" s="5" t="n">
        <v>38</v>
      </c>
      <c r="R12" s="5" t="n">
        <v>14</v>
      </c>
      <c r="S12" s="5" t="n">
        <v>30</v>
      </c>
      <c r="T12" s="5" t="n">
        <v>8</v>
      </c>
      <c r="U12" s="5" t="n">
        <v>20</v>
      </c>
      <c r="V12" s="5" t="n">
        <v>40</v>
      </c>
      <c r="W12" s="5" t="n">
        <v>25</v>
      </c>
      <c r="X12" s="5" t="n">
        <v>38</v>
      </c>
      <c r="Y12" s="14">
        <f>IF(AND(ISNUMBER(C12),C12&gt;0,ISNUMBER(X12)),X12/C12-1,"")</f>
        <v/>
      </c>
    </row>
    <row r="13">
      <c r="A13" s="12" t="inlineStr">
        <is>
          <t>120</t>
        </is>
      </c>
      <c r="B13" s="13" t="inlineStr">
        <is>
          <t>General</t>
        </is>
      </c>
      <c r="C13" s="5" t="n">
        <v>66</v>
      </c>
      <c r="D13" s="5" t="n">
        <v>93</v>
      </c>
      <c r="E13" s="5" t="n">
        <v>96</v>
      </c>
      <c r="F13" s="5" t="n">
        <v>103</v>
      </c>
      <c r="G13" s="5" t="n">
        <v>39</v>
      </c>
      <c r="H13" s="5" t="n">
        <v>67</v>
      </c>
      <c r="I13" s="5" t="n">
        <v>48</v>
      </c>
      <c r="J13" s="5" t="n">
        <v>43</v>
      </c>
      <c r="K13" s="5" t="n">
        <v>53</v>
      </c>
      <c r="L13" s="5" t="n">
        <v>40</v>
      </c>
      <c r="M13" s="5" t="n">
        <v>31</v>
      </c>
      <c r="N13" s="5" t="n">
        <v>42</v>
      </c>
      <c r="O13" s="5" t="n">
        <v>61</v>
      </c>
      <c r="P13" s="5" t="n">
        <v>19</v>
      </c>
      <c r="Q13" s="5" t="n">
        <v>28</v>
      </c>
      <c r="R13" s="5" t="n">
        <v>43</v>
      </c>
      <c r="S13" s="5" t="n">
        <v>37</v>
      </c>
      <c r="T13" s="5" t="n">
        <v>36</v>
      </c>
      <c r="U13" s="5" t="n">
        <v>49</v>
      </c>
      <c r="V13" s="5" t="n">
        <v>47</v>
      </c>
      <c r="W13" s="5" t="n">
        <v>34</v>
      </c>
      <c r="X13" s="5" t="n">
        <v>52</v>
      </c>
      <c r="Y13" s="14">
        <f>IF(AND(ISNUMBER(C13),C13&gt;0,ISNUMBER(X13)),X13/C13-1,"")</f>
        <v/>
      </c>
    </row>
    <row r="14">
      <c r="A14" s="12" t="inlineStr">
        <is>
          <t>121</t>
        </is>
      </c>
      <c r="B14" s="13" t="inlineStr">
        <is>
          <t>General</t>
        </is>
      </c>
      <c r="C14" s="5" t="n">
        <v>157</v>
      </c>
      <c r="D14" s="5" t="n">
        <v>256</v>
      </c>
      <c r="E14" s="5" t="n">
        <v>219</v>
      </c>
      <c r="F14" s="5" t="n">
        <v>187</v>
      </c>
      <c r="G14" s="5" t="n">
        <v>232</v>
      </c>
      <c r="H14" s="5" t="n">
        <v>128</v>
      </c>
      <c r="I14" s="5" t="n">
        <v>164</v>
      </c>
      <c r="J14" s="5" t="n">
        <v>118</v>
      </c>
      <c r="K14" s="5" t="n">
        <v>117</v>
      </c>
      <c r="L14" s="5" t="n">
        <v>97</v>
      </c>
      <c r="M14" s="5" t="n">
        <v>110</v>
      </c>
      <c r="N14" s="5" t="n">
        <v>98</v>
      </c>
      <c r="O14" s="5" t="n">
        <v>179</v>
      </c>
      <c r="P14" s="5" t="n">
        <v>92</v>
      </c>
      <c r="Q14" s="5" t="n">
        <v>106</v>
      </c>
      <c r="R14" s="5" t="n">
        <v>119</v>
      </c>
      <c r="S14" s="5" t="n">
        <v>72</v>
      </c>
      <c r="T14" s="5" t="n">
        <v>130</v>
      </c>
      <c r="U14" s="5" t="n">
        <v>120</v>
      </c>
      <c r="V14" s="5" t="n">
        <v>131</v>
      </c>
      <c r="W14" s="5" t="n">
        <v>169</v>
      </c>
      <c r="X14" s="5" t="n">
        <v>176</v>
      </c>
      <c r="Y14" s="14">
        <f>IF(AND(ISNUMBER(C14),C14&gt;0,ISNUMBER(X14)),X14/C14-1,"")</f>
        <v/>
      </c>
    </row>
    <row r="15">
      <c r="A15" s="12" t="inlineStr">
        <is>
          <t>122</t>
        </is>
      </c>
      <c r="B15" s="13" t="inlineStr">
        <is>
          <t>General</t>
        </is>
      </c>
      <c r="C15" s="5" t="n">
        <v>208</v>
      </c>
      <c r="D15" s="5" t="n">
        <v>201</v>
      </c>
      <c r="E15" s="5" t="n">
        <v>115</v>
      </c>
      <c r="F15" s="5" t="n">
        <v>176</v>
      </c>
      <c r="G15" s="5" t="n">
        <v>152</v>
      </c>
      <c r="H15" s="5" t="n">
        <v>117</v>
      </c>
      <c r="I15" s="5" t="n">
        <v>135</v>
      </c>
      <c r="J15" s="5" t="n">
        <v>116</v>
      </c>
      <c r="K15" s="5" t="n">
        <v>106</v>
      </c>
      <c r="L15" s="5" t="n">
        <v>120</v>
      </c>
      <c r="M15" s="5" t="n">
        <v>129</v>
      </c>
      <c r="N15" s="5" t="n">
        <v>172</v>
      </c>
      <c r="O15" s="5" t="n">
        <v>175</v>
      </c>
      <c r="P15" s="5" t="n">
        <v>106</v>
      </c>
      <c r="Q15" s="5" t="n">
        <v>113</v>
      </c>
      <c r="R15" s="5" t="n">
        <v>151</v>
      </c>
      <c r="S15" s="5" t="n">
        <v>117</v>
      </c>
      <c r="T15" s="5" t="n">
        <v>123</v>
      </c>
      <c r="U15" s="5" t="n">
        <v>158</v>
      </c>
      <c r="V15" s="5" t="n">
        <v>189</v>
      </c>
      <c r="W15" s="5" t="n">
        <v>201</v>
      </c>
      <c r="X15" s="5" t="n">
        <v>160</v>
      </c>
      <c r="Y15" s="14">
        <f>IF(AND(ISNUMBER(C15),C15&gt;0,ISNUMBER(X15)),X15/C15-1,"")</f>
        <v/>
      </c>
    </row>
    <row r="16">
      <c r="A16" s="12" t="inlineStr">
        <is>
          <t>123</t>
        </is>
      </c>
      <c r="B16" s="13" t="inlineStr">
        <is>
          <t>General</t>
        </is>
      </c>
      <c r="C16" s="5" t="n">
        <v>49</v>
      </c>
      <c r="D16" s="5" t="n">
        <v>51</v>
      </c>
      <c r="E16" s="5" t="n">
        <v>71</v>
      </c>
      <c r="F16" s="5" t="n">
        <v>32</v>
      </c>
      <c r="G16" s="5" t="n">
        <v>46</v>
      </c>
      <c r="H16" s="5" t="n">
        <v>59</v>
      </c>
      <c r="I16" s="5" t="n">
        <v>51</v>
      </c>
      <c r="J16" s="5" t="n">
        <v>27</v>
      </c>
      <c r="K16" s="5" t="n">
        <v>53</v>
      </c>
      <c r="L16" s="5" t="n">
        <v>25</v>
      </c>
      <c r="M16" s="5" t="n">
        <v>45</v>
      </c>
      <c r="N16" s="5" t="n">
        <v>20</v>
      </c>
      <c r="O16" s="5" t="n">
        <v>87</v>
      </c>
      <c r="P16" s="5" t="n">
        <v>26</v>
      </c>
      <c r="Q16" s="5" t="n">
        <v>46</v>
      </c>
      <c r="R16" s="5" t="n">
        <v>50</v>
      </c>
      <c r="S16" s="5" t="n">
        <v>13</v>
      </c>
      <c r="T16" s="5" t="n">
        <v>19</v>
      </c>
      <c r="U16" s="5" t="n">
        <v>26</v>
      </c>
      <c r="V16" s="5" t="n">
        <v>47</v>
      </c>
      <c r="W16" s="5" t="n">
        <v>72</v>
      </c>
      <c r="X16" s="5" t="n">
        <v>53</v>
      </c>
      <c r="Y16" s="14">
        <f>IF(AND(ISNUMBER(C16),C16&gt;0,ISNUMBER(X16)),X16/C16-1,"")</f>
        <v/>
      </c>
    </row>
    <row r="17">
      <c r="A17" s="12" t="inlineStr">
        <is>
          <t>124</t>
        </is>
      </c>
      <c r="B17" s="13" t="inlineStr">
        <is>
          <t>General</t>
        </is>
      </c>
      <c r="C17" s="5" t="n">
        <v>42</v>
      </c>
      <c r="D17" s="5" t="n">
        <v>47</v>
      </c>
      <c r="E17" s="5" t="n">
        <v>82</v>
      </c>
      <c r="F17" s="5" t="n">
        <v>53</v>
      </c>
      <c r="G17" s="5" t="n">
        <v>52</v>
      </c>
      <c r="H17" s="5" t="n">
        <v>39</v>
      </c>
      <c r="I17" s="5" t="n">
        <v>44</v>
      </c>
      <c r="J17" s="5" t="n">
        <v>33</v>
      </c>
      <c r="K17" s="5" t="n">
        <v>47</v>
      </c>
      <c r="L17" s="5" t="n">
        <v>45</v>
      </c>
      <c r="M17" s="5" t="n">
        <v>39</v>
      </c>
      <c r="N17" s="5" t="n">
        <v>29</v>
      </c>
      <c r="O17" s="5" t="n">
        <v>60</v>
      </c>
      <c r="P17" s="5" t="n">
        <v>53</v>
      </c>
      <c r="Q17" s="5" t="n">
        <v>41</v>
      </c>
      <c r="R17" s="5" t="n">
        <v>50</v>
      </c>
      <c r="S17" s="5" t="n">
        <v>44</v>
      </c>
      <c r="T17" s="5" t="n">
        <v>27</v>
      </c>
      <c r="U17" s="5" t="n">
        <v>71</v>
      </c>
      <c r="V17" s="5" t="n">
        <v>65</v>
      </c>
      <c r="W17" s="5" t="n">
        <v>53</v>
      </c>
      <c r="X17" s="5" t="n">
        <v>75</v>
      </c>
      <c r="Y17" s="14">
        <f>IF(AND(ISNUMBER(C17),C17&gt;0,ISNUMBER(X17)),X17/C17-1,"")</f>
        <v/>
      </c>
    </row>
    <row r="18">
      <c r="A18" s="12" t="inlineStr">
        <is>
          <t>130</t>
        </is>
      </c>
      <c r="B18" s="13" t="inlineStr">
        <is>
          <t>General</t>
        </is>
      </c>
      <c r="C18" s="5" t="n">
        <v>60</v>
      </c>
      <c r="D18" s="5" t="n">
        <v>52</v>
      </c>
      <c r="E18" s="5" t="n">
        <v>34</v>
      </c>
      <c r="F18" s="5" t="n">
        <v>45</v>
      </c>
      <c r="G18" s="5" t="n">
        <v>44</v>
      </c>
      <c r="H18" s="5" t="n">
        <v>35</v>
      </c>
      <c r="I18" s="5" t="n">
        <v>45</v>
      </c>
      <c r="J18" s="5" t="n">
        <v>17</v>
      </c>
      <c r="K18" s="5" t="n">
        <v>44</v>
      </c>
      <c r="L18" s="5" t="n">
        <v>20</v>
      </c>
      <c r="M18" s="5" t="n">
        <v>27</v>
      </c>
      <c r="N18" s="5" t="n">
        <v>24</v>
      </c>
      <c r="O18" s="5" t="n">
        <v>56</v>
      </c>
      <c r="P18" s="5" t="n">
        <v>34</v>
      </c>
      <c r="Q18" s="5" t="n">
        <v>33</v>
      </c>
      <c r="R18" s="5" t="n">
        <v>3</v>
      </c>
      <c r="S18" s="5" t="n">
        <v>33</v>
      </c>
      <c r="T18" s="5" t="n">
        <v>14</v>
      </c>
      <c r="U18" s="5" t="n">
        <v>33</v>
      </c>
      <c r="V18" s="5" t="n">
        <v>20</v>
      </c>
      <c r="W18" s="5" t="n">
        <v>32</v>
      </c>
      <c r="X18" s="5" t="n">
        <v>45</v>
      </c>
      <c r="Y18" s="14">
        <f>IF(AND(ISNUMBER(C18),C18&gt;0,ISNUMBER(X18)),X18/C18-1,"")</f>
        <v/>
      </c>
    </row>
    <row r="19">
      <c r="A19" s="12" t="inlineStr">
        <is>
          <t>132</t>
        </is>
      </c>
      <c r="B19" s="4" t="inlineStr"/>
      <c r="C19" s="5" t="n">
        <v>44</v>
      </c>
      <c r="D19" s="5" t="n">
        <v>24</v>
      </c>
      <c r="E19" s="5" t="n">
        <v>43</v>
      </c>
      <c r="F19" s="5" t="n">
        <v>29</v>
      </c>
      <c r="G19" s="5" t="n">
        <v>38</v>
      </c>
      <c r="H19" s="5" t="n">
        <v>27</v>
      </c>
      <c r="I19" s="5" t="n">
        <v>23</v>
      </c>
      <c r="J19" s="5" t="n">
        <v>15</v>
      </c>
      <c r="K19" s="5" t="n">
        <v>11</v>
      </c>
      <c r="L19" s="5" t="n">
        <v>37</v>
      </c>
      <c r="M19" s="5" t="n">
        <v>47</v>
      </c>
      <c r="N19" s="5" t="n">
        <v>14</v>
      </c>
      <c r="O19" s="5" t="n">
        <v>36</v>
      </c>
      <c r="P19" s="5" t="n">
        <v>30</v>
      </c>
      <c r="Q19" s="5" t="n">
        <v>22</v>
      </c>
      <c r="R19" s="5" t="n">
        <v>33</v>
      </c>
      <c r="S19" s="5" t="n"/>
      <c r="T19" s="5" t="n"/>
      <c r="U19" s="5" t="n"/>
      <c r="V19" s="5" t="n"/>
      <c r="W19" s="5" t="n"/>
      <c r="X19" s="5" t="n"/>
      <c r="Y19" s="14">
        <f>IF(AND(ISNUMBER(C19),C19&gt;0,ISNUMBER(X19)),X19/C19-1,"")</f>
        <v/>
      </c>
    </row>
    <row r="20">
      <c r="A20" s="12" t="inlineStr">
        <is>
          <t>140</t>
        </is>
      </c>
      <c r="B20" s="13" t="inlineStr">
        <is>
          <t>General</t>
        </is>
      </c>
      <c r="C20" s="5" t="n">
        <v>90</v>
      </c>
      <c r="D20" s="5" t="n">
        <v>53</v>
      </c>
      <c r="E20" s="5" t="n">
        <v>67</v>
      </c>
      <c r="F20" s="5" t="n">
        <v>60</v>
      </c>
      <c r="G20" s="5" t="n">
        <v>45</v>
      </c>
      <c r="H20" s="5" t="n">
        <v>53</v>
      </c>
      <c r="I20" s="5" t="n">
        <v>20</v>
      </c>
      <c r="J20" s="5" t="n">
        <v>20</v>
      </c>
      <c r="K20" s="5" t="n">
        <v>45</v>
      </c>
      <c r="L20" s="5" t="n">
        <v>28</v>
      </c>
      <c r="M20" s="5" t="n">
        <v>31</v>
      </c>
      <c r="N20" s="5" t="n">
        <v>23</v>
      </c>
      <c r="O20" s="5" t="n">
        <v>40</v>
      </c>
      <c r="P20" s="5" t="n">
        <v>21</v>
      </c>
      <c r="Q20" s="5" t="n">
        <v>9</v>
      </c>
      <c r="R20" s="5" t="n">
        <v>18</v>
      </c>
      <c r="S20" s="5" t="n">
        <v>10</v>
      </c>
      <c r="T20" s="5" t="n">
        <v>28</v>
      </c>
      <c r="U20" s="5" t="n">
        <v>36</v>
      </c>
      <c r="V20" s="5" t="n">
        <v>44</v>
      </c>
      <c r="W20" s="5" t="n">
        <v>31</v>
      </c>
      <c r="X20" s="5" t="n">
        <v>33</v>
      </c>
      <c r="Y20" s="14">
        <f>IF(AND(ISNUMBER(C20),C20&gt;0,ISNUMBER(X20)),X20/C20-1,"")</f>
        <v/>
      </c>
    </row>
    <row r="21">
      <c r="A21" s="12" t="inlineStr">
        <is>
          <t>141</t>
        </is>
      </c>
      <c r="B21" s="13" t="inlineStr">
        <is>
          <t>General</t>
        </is>
      </c>
      <c r="C21" s="5" t="n">
        <v>26</v>
      </c>
      <c r="D21" s="5" t="n">
        <v>38</v>
      </c>
      <c r="E21" s="5" t="n">
        <v>7</v>
      </c>
      <c r="F21" s="5" t="n">
        <v>19</v>
      </c>
      <c r="G21" s="5" t="n">
        <v>12</v>
      </c>
      <c r="H21" s="5" t="n">
        <v>9</v>
      </c>
      <c r="I21" s="5" t="n">
        <v>14</v>
      </c>
      <c r="J21" s="5" t="n"/>
      <c r="K21" s="5" t="n">
        <v>6</v>
      </c>
      <c r="L21" s="5" t="n">
        <v>6</v>
      </c>
      <c r="M21" s="5" t="n">
        <v>9</v>
      </c>
      <c r="N21" s="5" t="n">
        <v>6</v>
      </c>
      <c r="O21" s="5" t="n">
        <v>3</v>
      </c>
      <c r="P21" s="5" t="n">
        <v>9</v>
      </c>
      <c r="Q21" s="5" t="n">
        <v>3</v>
      </c>
      <c r="R21" s="5" t="n">
        <v>3</v>
      </c>
      <c r="S21" s="5" t="n"/>
      <c r="T21" s="5" t="n">
        <v>11</v>
      </c>
      <c r="U21" s="5" t="n">
        <v>7</v>
      </c>
      <c r="V21" s="5" t="n">
        <v>10</v>
      </c>
      <c r="W21" s="5" t="n">
        <v>3</v>
      </c>
      <c r="X21" s="5" t="n">
        <v>7</v>
      </c>
      <c r="Y21" s="14">
        <f>IF(AND(ISNUMBER(C21),C21&gt;0,ISNUMBER(X21)),X21/C21-1,"")</f>
        <v/>
      </c>
    </row>
    <row r="22">
      <c r="A22" s="12" t="inlineStr">
        <is>
          <t>150</t>
        </is>
      </c>
      <c r="B22" s="13" t="inlineStr">
        <is>
          <t>General</t>
        </is>
      </c>
      <c r="C22" s="5" t="n">
        <v>50</v>
      </c>
      <c r="D22" s="5" t="n">
        <v>97</v>
      </c>
      <c r="E22" s="5" t="n">
        <v>108</v>
      </c>
      <c r="F22" s="5" t="n">
        <v>58</v>
      </c>
      <c r="G22" s="5" t="n">
        <v>40</v>
      </c>
      <c r="H22" s="5" t="n">
        <v>24</v>
      </c>
      <c r="I22" s="5" t="n">
        <v>30</v>
      </c>
      <c r="J22" s="5" t="n">
        <v>17</v>
      </c>
      <c r="K22" s="5" t="n">
        <v>31</v>
      </c>
      <c r="L22" s="5" t="n">
        <v>58</v>
      </c>
      <c r="M22" s="5" t="n">
        <v>23</v>
      </c>
      <c r="N22" s="5" t="n">
        <v>20</v>
      </c>
      <c r="O22" s="5" t="n">
        <v>15</v>
      </c>
      <c r="P22" s="5" t="n">
        <v>23</v>
      </c>
      <c r="Q22" s="5" t="n"/>
      <c r="R22" s="5" t="n"/>
      <c r="S22" s="5" t="n">
        <v>7</v>
      </c>
      <c r="T22" s="5" t="n">
        <v>8</v>
      </c>
      <c r="U22" s="5" t="n">
        <v>10</v>
      </c>
      <c r="V22" s="5" t="n">
        <v>9</v>
      </c>
      <c r="W22" s="5" t="n">
        <v>12</v>
      </c>
      <c r="X22" s="5" t="n">
        <v>10</v>
      </c>
      <c r="Y22" s="14">
        <f>IF(AND(ISNUMBER(C22),C22&gt;0,ISNUMBER(X22)),X22/C22-1,"")</f>
        <v/>
      </c>
    </row>
    <row r="23">
      <c r="A23" s="12" t="inlineStr">
        <is>
          <t>151</t>
        </is>
      </c>
      <c r="B23" s="4" t="inlineStr"/>
      <c r="C23" s="5" t="n">
        <v>11</v>
      </c>
      <c r="D23" s="5" t="n">
        <v>13</v>
      </c>
      <c r="E23" s="5" t="n">
        <v>19</v>
      </c>
      <c r="F23" s="5" t="n">
        <v>6</v>
      </c>
      <c r="G23" s="5" t="n">
        <v>15</v>
      </c>
      <c r="H23" s="5" t="n">
        <v>20</v>
      </c>
      <c r="I23" s="5" t="n">
        <v>8</v>
      </c>
      <c r="J23" s="5" t="n"/>
      <c r="K23" s="5" t="n">
        <v>3</v>
      </c>
      <c r="L23" s="5" t="n">
        <v>3</v>
      </c>
      <c r="M23" s="5" t="n"/>
      <c r="N23" s="5" t="n">
        <v>3</v>
      </c>
      <c r="O23" s="5" t="n"/>
      <c r="P23" s="5" t="n">
        <v>6</v>
      </c>
      <c r="Q23" s="5" t="n">
        <v>3</v>
      </c>
      <c r="R23" s="5" t="n">
        <v>6</v>
      </c>
      <c r="S23" s="5" t="n"/>
      <c r="T23" s="5" t="n"/>
      <c r="U23" s="5" t="n"/>
      <c r="V23" s="5" t="n"/>
      <c r="W23" s="5" t="n"/>
      <c r="X23" s="5" t="n"/>
      <c r="Y23" s="14">
        <f>IF(AND(ISNUMBER(C23),C23&gt;0,ISNUMBER(X23)),X23/C23-1,"")</f>
        <v/>
      </c>
    </row>
    <row r="24">
      <c r="A24" s="12" t="inlineStr">
        <is>
          <t>170</t>
        </is>
      </c>
      <c r="B24" s="13" t="inlineStr">
        <is>
          <t>General</t>
        </is>
      </c>
      <c r="C24" s="5" t="n">
        <v>17</v>
      </c>
      <c r="D24" s="5" t="n">
        <v>23</v>
      </c>
      <c r="E24" s="5" t="n">
        <v>42</v>
      </c>
      <c r="F24" s="5" t="n">
        <v>20</v>
      </c>
      <c r="G24" s="5" t="n">
        <v>41</v>
      </c>
      <c r="H24" s="5" t="n">
        <v>41</v>
      </c>
      <c r="I24" s="5" t="n">
        <v>21</v>
      </c>
      <c r="J24" s="5" t="n">
        <v>31</v>
      </c>
      <c r="K24" s="5" t="n">
        <v>18</v>
      </c>
      <c r="L24" s="5" t="n">
        <v>3</v>
      </c>
      <c r="M24" s="5" t="n">
        <v>28</v>
      </c>
      <c r="N24" s="5" t="n">
        <v>26</v>
      </c>
      <c r="O24" s="5" t="n">
        <v>27</v>
      </c>
      <c r="P24" s="5" t="n">
        <v>27</v>
      </c>
      <c r="Q24" s="5" t="n">
        <v>23</v>
      </c>
      <c r="R24" s="5" t="n">
        <v>39</v>
      </c>
      <c r="S24" s="5" t="n">
        <v>14</v>
      </c>
      <c r="T24" s="5" t="n">
        <v>48</v>
      </c>
      <c r="U24" s="5" t="n">
        <v>40</v>
      </c>
      <c r="V24" s="5" t="n">
        <v>44</v>
      </c>
      <c r="W24" s="5" t="n">
        <v>36</v>
      </c>
      <c r="X24" s="5" t="n">
        <v>22</v>
      </c>
      <c r="Y24" s="14">
        <f>IF(AND(ISNUMBER(C24),C24&gt;0,ISNUMBER(X24)),X24/C24-1,"")</f>
        <v/>
      </c>
    </row>
    <row r="25">
      <c r="A25" s="12" t="inlineStr">
        <is>
          <t>200</t>
        </is>
      </c>
      <c r="B25" s="13" t="inlineStr">
        <is>
          <t>General</t>
        </is>
      </c>
      <c r="C25" s="5" t="n">
        <v>43</v>
      </c>
      <c r="D25" s="5" t="n">
        <v>58</v>
      </c>
      <c r="E25" s="5" t="n">
        <v>54</v>
      </c>
      <c r="F25" s="5" t="n">
        <v>43</v>
      </c>
      <c r="G25" s="5" t="n">
        <v>61</v>
      </c>
      <c r="H25" s="5" t="n">
        <v>17</v>
      </c>
      <c r="I25" s="5" t="n">
        <v>42</v>
      </c>
      <c r="J25" s="5" t="n">
        <v>20</v>
      </c>
      <c r="K25" s="5" t="n">
        <v>22</v>
      </c>
      <c r="L25" s="5" t="n">
        <v>17</v>
      </c>
      <c r="M25" s="5" t="n">
        <v>26</v>
      </c>
      <c r="N25" s="5" t="n">
        <v>12</v>
      </c>
      <c r="O25" s="5" t="n">
        <v>45</v>
      </c>
      <c r="P25" s="5" t="n">
        <v>30</v>
      </c>
      <c r="Q25" s="5" t="n">
        <v>43</v>
      </c>
      <c r="R25" s="5" t="n">
        <v>47</v>
      </c>
      <c r="S25" s="5" t="n">
        <v>39</v>
      </c>
      <c r="T25" s="5" t="n">
        <v>23</v>
      </c>
      <c r="U25" s="5" t="n">
        <v>10</v>
      </c>
      <c r="V25" s="5" t="n">
        <v>45</v>
      </c>
      <c r="W25" s="5" t="n">
        <v>34</v>
      </c>
      <c r="X25" s="5" t="n">
        <v>28</v>
      </c>
      <c r="Y25" s="14">
        <f>IF(AND(ISNUMBER(C25),C25&gt;0,ISNUMBER(X25)),X25/C25-1,"")</f>
        <v/>
      </c>
    </row>
    <row r="26">
      <c r="A26" s="12" t="inlineStr">
        <is>
          <t>201</t>
        </is>
      </c>
      <c r="B26" s="13" t="inlineStr">
        <is>
          <t>General</t>
        </is>
      </c>
      <c r="C26" s="5" t="n">
        <v>131</v>
      </c>
      <c r="D26" s="5" t="n">
        <v>104</v>
      </c>
      <c r="E26" s="5" t="n">
        <v>185</v>
      </c>
      <c r="F26" s="5" t="n">
        <v>87</v>
      </c>
      <c r="G26" s="5" t="n">
        <v>114</v>
      </c>
      <c r="H26" s="5" t="n">
        <v>77</v>
      </c>
      <c r="I26" s="5" t="n">
        <v>79</v>
      </c>
      <c r="J26" s="5" t="n">
        <v>67</v>
      </c>
      <c r="K26" s="5" t="n">
        <v>64</v>
      </c>
      <c r="L26" s="5" t="n">
        <v>76</v>
      </c>
      <c r="M26" s="5" t="n">
        <v>59</v>
      </c>
      <c r="N26" s="5" t="n">
        <v>79</v>
      </c>
      <c r="O26" s="5" t="n">
        <v>121</v>
      </c>
      <c r="P26" s="5" t="n">
        <v>34</v>
      </c>
      <c r="Q26" s="5" t="n">
        <v>68</v>
      </c>
      <c r="R26" s="5" t="n">
        <v>96</v>
      </c>
      <c r="S26" s="5" t="n">
        <v>60</v>
      </c>
      <c r="T26" s="5" t="n">
        <v>87</v>
      </c>
      <c r="U26" s="5" t="n">
        <v>166</v>
      </c>
      <c r="V26" s="5" t="n">
        <v>211</v>
      </c>
      <c r="W26" s="5" t="n">
        <v>205</v>
      </c>
      <c r="X26" s="5" t="n">
        <v>185</v>
      </c>
      <c r="Y26" s="14">
        <f>IF(AND(ISNUMBER(C26),C26&gt;0,ISNUMBER(X26)),X26/C26-1,"")</f>
        <v/>
      </c>
    </row>
    <row r="27">
      <c r="A27" s="12" t="inlineStr">
        <is>
          <t>202</t>
        </is>
      </c>
      <c r="B27" s="15" t="inlineStr">
        <is>
          <t>Draw</t>
        </is>
      </c>
      <c r="C27" s="5" t="n">
        <v>117</v>
      </c>
      <c r="D27" s="5" t="n">
        <v>98</v>
      </c>
      <c r="E27" s="5" t="n">
        <v>98</v>
      </c>
      <c r="F27" s="5" t="n">
        <v>91</v>
      </c>
      <c r="G27" s="5" t="n">
        <v>77</v>
      </c>
      <c r="H27" s="5" t="n">
        <v>61</v>
      </c>
      <c r="I27" s="5" t="n">
        <v>100</v>
      </c>
      <c r="J27" s="5" t="n">
        <v>48</v>
      </c>
      <c r="K27" s="5" t="n">
        <v>83</v>
      </c>
      <c r="L27" s="5" t="n">
        <v>74</v>
      </c>
      <c r="M27" s="5" t="n">
        <v>79</v>
      </c>
      <c r="N27" s="5" t="n">
        <v>81</v>
      </c>
      <c r="O27" s="5" t="n">
        <v>121</v>
      </c>
      <c r="P27" s="5" t="n">
        <v>81</v>
      </c>
      <c r="Q27" s="5" t="n">
        <v>88</v>
      </c>
      <c r="R27" s="5" t="n">
        <v>108</v>
      </c>
      <c r="S27" s="5" t="n">
        <v>104</v>
      </c>
      <c r="T27" s="5" t="n">
        <v>95</v>
      </c>
      <c r="U27" s="5" t="n">
        <v>67</v>
      </c>
      <c r="V27" s="5" t="n">
        <v>83</v>
      </c>
      <c r="W27" s="5" t="n">
        <v>99</v>
      </c>
      <c r="X27" s="5" t="n">
        <v>104</v>
      </c>
      <c r="Y27" s="14">
        <f>IF(AND(ISNUMBER(C27),C27&gt;0,ISNUMBER(X27)),X27/C27-1,"")</f>
        <v/>
      </c>
    </row>
    <row r="28">
      <c r="A28" s="12" t="inlineStr">
        <is>
          <t>203</t>
        </is>
      </c>
      <c r="B28" s="4" t="inlineStr"/>
      <c r="C28" s="5" t="n">
        <v>122</v>
      </c>
      <c r="D28" s="5" t="n">
        <v>128</v>
      </c>
      <c r="E28" s="5" t="n">
        <v>145</v>
      </c>
      <c r="F28" s="5" t="n">
        <v>139</v>
      </c>
      <c r="G28" s="5" t="n">
        <v>57</v>
      </c>
      <c r="H28" s="5" t="n">
        <v>68</v>
      </c>
      <c r="I28" s="5" t="n">
        <v>87</v>
      </c>
      <c r="J28" s="5" t="n">
        <v>115</v>
      </c>
      <c r="K28" s="5" t="n">
        <v>84</v>
      </c>
      <c r="L28" s="5" t="n">
        <v>73</v>
      </c>
      <c r="M28" s="5" t="n">
        <v>136</v>
      </c>
      <c r="N28" s="5" t="n">
        <v>121</v>
      </c>
      <c r="O28" s="5" t="n">
        <v>160</v>
      </c>
      <c r="P28" s="5" t="n">
        <v>118</v>
      </c>
      <c r="Q28" s="5" t="n">
        <v>128</v>
      </c>
      <c r="R28" s="5" t="n">
        <v>119</v>
      </c>
      <c r="S28" s="5" t="n">
        <v>134</v>
      </c>
      <c r="T28" s="5" t="n">
        <v>96</v>
      </c>
      <c r="U28" s="5" t="n"/>
      <c r="V28" s="5" t="n"/>
      <c r="W28" s="5" t="n"/>
      <c r="X28" s="5" t="n"/>
      <c r="Y28" s="14">
        <f>IF(AND(ISNUMBER(C28),C28&gt;0,ISNUMBER(X28)),X28/C28-1,"")</f>
        <v/>
      </c>
    </row>
    <row r="29">
      <c r="A29" s="12" t="inlineStr">
        <is>
          <t>204</t>
        </is>
      </c>
      <c r="B29" s="13" t="inlineStr">
        <is>
          <t>General</t>
        </is>
      </c>
      <c r="C29" s="5" t="n">
        <v>146</v>
      </c>
      <c r="D29" s="5" t="n">
        <v>137</v>
      </c>
      <c r="E29" s="5" t="n">
        <v>259</v>
      </c>
      <c r="F29" s="5" t="n">
        <v>106</v>
      </c>
      <c r="G29" s="5" t="n">
        <v>142</v>
      </c>
      <c r="H29" s="5" t="n">
        <v>89</v>
      </c>
      <c r="I29" s="5" t="n">
        <v>123</v>
      </c>
      <c r="J29" s="5" t="n">
        <v>129</v>
      </c>
      <c r="K29" s="5" t="n">
        <v>176</v>
      </c>
      <c r="L29" s="5" t="n">
        <v>146</v>
      </c>
      <c r="M29" s="5" t="n">
        <v>197</v>
      </c>
      <c r="N29" s="5" t="n">
        <v>166</v>
      </c>
      <c r="O29" s="5" t="n">
        <v>155</v>
      </c>
      <c r="P29" s="5" t="n">
        <v>147</v>
      </c>
      <c r="Q29" s="5" t="n">
        <v>109</v>
      </c>
      <c r="R29" s="5" t="n">
        <v>92</v>
      </c>
      <c r="S29" s="5" t="n">
        <v>70</v>
      </c>
      <c r="T29" s="5" t="n">
        <v>72</v>
      </c>
      <c r="U29" s="5" t="n">
        <v>95</v>
      </c>
      <c r="V29" s="5" t="n">
        <v>138</v>
      </c>
      <c r="W29" s="5" t="n">
        <v>67</v>
      </c>
      <c r="X29" s="5" t="n">
        <v>92</v>
      </c>
      <c r="Y29" s="14">
        <f>IF(AND(ISNUMBER(C29),C29&gt;0,ISNUMBER(X29)),X29/C29-1,"")</f>
        <v/>
      </c>
    </row>
    <row r="30">
      <c r="A30" s="12" t="inlineStr">
        <is>
          <t>210</t>
        </is>
      </c>
      <c r="B30" s="15" t="inlineStr">
        <is>
          <t>Draw</t>
        </is>
      </c>
      <c r="C30" s="5" t="n">
        <v>68</v>
      </c>
      <c r="D30" s="5" t="n">
        <v>112</v>
      </c>
      <c r="E30" s="5" t="n">
        <v>86</v>
      </c>
      <c r="F30" s="5" t="n">
        <v>115</v>
      </c>
      <c r="G30" s="5" t="n">
        <v>58</v>
      </c>
      <c r="H30" s="5" t="n">
        <v>77</v>
      </c>
      <c r="I30" s="5" t="n">
        <v>77</v>
      </c>
      <c r="J30" s="5" t="n">
        <v>64</v>
      </c>
      <c r="K30" s="5" t="n">
        <v>57</v>
      </c>
      <c r="L30" s="5" t="n">
        <v>54</v>
      </c>
      <c r="M30" s="5" t="n">
        <v>47</v>
      </c>
      <c r="N30" s="5" t="n">
        <v>44</v>
      </c>
      <c r="O30" s="5" t="n">
        <v>48</v>
      </c>
      <c r="P30" s="5" t="n">
        <v>50</v>
      </c>
      <c r="Q30" s="5" t="n">
        <v>63</v>
      </c>
      <c r="R30" s="5" t="n">
        <v>46</v>
      </c>
      <c r="S30" s="5" t="n">
        <v>70</v>
      </c>
      <c r="T30" s="5" t="n">
        <v>49</v>
      </c>
      <c r="U30" s="5" t="n">
        <v>57</v>
      </c>
      <c r="V30" s="5" t="n">
        <v>67</v>
      </c>
      <c r="W30" s="5" t="n">
        <v>74</v>
      </c>
      <c r="X30" s="5" t="n">
        <v>62</v>
      </c>
      <c r="Y30" s="14">
        <f>IF(AND(ISNUMBER(C30),C30&gt;0,ISNUMBER(X30)),X30/C30-1,"")</f>
        <v/>
      </c>
    </row>
    <row r="31">
      <c r="A31" s="12" t="inlineStr">
        <is>
          <t>211</t>
        </is>
      </c>
      <c r="B31" s="13" t="inlineStr">
        <is>
          <t>General</t>
        </is>
      </c>
      <c r="C31" s="5" t="n">
        <v>44</v>
      </c>
      <c r="D31" s="5" t="n">
        <v>37</v>
      </c>
      <c r="E31" s="5" t="n">
        <v>37</v>
      </c>
      <c r="F31" s="5" t="n">
        <v>33</v>
      </c>
      <c r="G31" s="5" t="n">
        <v>21</v>
      </c>
      <c r="H31" s="5" t="n">
        <v>17</v>
      </c>
      <c r="I31" s="5" t="n">
        <v>3</v>
      </c>
      <c r="J31" s="5" t="n">
        <v>14</v>
      </c>
      <c r="K31" s="5" t="n">
        <v>22</v>
      </c>
      <c r="L31" s="5" t="n">
        <v>17</v>
      </c>
      <c r="M31" s="5" t="n">
        <v>34</v>
      </c>
      <c r="N31" s="5" t="n">
        <v>19</v>
      </c>
      <c r="O31" s="5" t="n">
        <v>36</v>
      </c>
      <c r="P31" s="5" t="n">
        <v>27</v>
      </c>
      <c r="Q31" s="5" t="n">
        <v>25</v>
      </c>
      <c r="R31" s="5" t="n">
        <v>20</v>
      </c>
      <c r="S31" s="5" t="n">
        <v>24</v>
      </c>
      <c r="T31" s="5" t="n">
        <v>35</v>
      </c>
      <c r="U31" s="5" t="n">
        <v>31</v>
      </c>
      <c r="V31" s="5" t="n">
        <v>40</v>
      </c>
      <c r="W31" s="5" t="n">
        <v>53</v>
      </c>
      <c r="X31" s="5" t="n">
        <v>37</v>
      </c>
      <c r="Y31" s="14">
        <f>IF(AND(ISNUMBER(C31),C31&gt;0,ISNUMBER(X31)),X31/C31-1,"")</f>
        <v/>
      </c>
    </row>
    <row r="32">
      <c r="A32" s="12" t="inlineStr">
        <is>
          <t>212</t>
        </is>
      </c>
      <c r="B32" s="13" t="inlineStr">
        <is>
          <t>General</t>
        </is>
      </c>
      <c r="C32" s="5" t="n">
        <v>263</v>
      </c>
      <c r="D32" s="5" t="n">
        <v>332</v>
      </c>
      <c r="E32" s="5" t="n">
        <v>343</v>
      </c>
      <c r="F32" s="5" t="n">
        <v>180</v>
      </c>
      <c r="G32" s="5" t="n">
        <v>90</v>
      </c>
      <c r="H32" s="5" t="n">
        <v>155</v>
      </c>
      <c r="I32" s="5" t="n">
        <v>178</v>
      </c>
      <c r="J32" s="5" t="n">
        <v>170</v>
      </c>
      <c r="K32" s="5" t="n">
        <v>212</v>
      </c>
      <c r="L32" s="5" t="n">
        <v>240</v>
      </c>
      <c r="M32" s="5" t="n">
        <v>179</v>
      </c>
      <c r="N32" s="5" t="n">
        <v>265</v>
      </c>
      <c r="O32" s="5" t="n">
        <v>173</v>
      </c>
      <c r="P32" s="5" t="n">
        <v>148</v>
      </c>
      <c r="Q32" s="5" t="n">
        <v>88</v>
      </c>
      <c r="R32" s="5" t="n">
        <v>86</v>
      </c>
      <c r="S32" s="5" t="n">
        <v>55</v>
      </c>
      <c r="T32" s="5" t="n">
        <v>38</v>
      </c>
      <c r="U32" s="5" t="n">
        <v>49</v>
      </c>
      <c r="V32" s="5" t="n">
        <v>43</v>
      </c>
      <c r="W32" s="5" t="n">
        <v>62</v>
      </c>
      <c r="X32" s="5" t="n">
        <v>79</v>
      </c>
      <c r="Y32" s="14">
        <f>IF(AND(ISNUMBER(C32),C32&gt;0,ISNUMBER(X32)),X32/C32-1,"")</f>
        <v/>
      </c>
    </row>
    <row r="33">
      <c r="A33" s="12" t="inlineStr">
        <is>
          <t>213</t>
        </is>
      </c>
      <c r="B33" s="13" t="inlineStr">
        <is>
          <t>General</t>
        </is>
      </c>
      <c r="C33" s="5" t="n">
        <v>51</v>
      </c>
      <c r="D33" s="5" t="n">
        <v>95</v>
      </c>
      <c r="E33" s="5" t="n">
        <v>98</v>
      </c>
      <c r="F33" s="5" t="n">
        <v>56</v>
      </c>
      <c r="G33" s="5" t="n">
        <v>51</v>
      </c>
      <c r="H33" s="5" t="n">
        <v>45</v>
      </c>
      <c r="I33" s="5" t="n">
        <v>67</v>
      </c>
      <c r="J33" s="5" t="n">
        <v>65</v>
      </c>
      <c r="K33" s="5" t="n">
        <v>117</v>
      </c>
      <c r="L33" s="5" t="n">
        <v>124</v>
      </c>
      <c r="M33" s="5" t="n">
        <v>80</v>
      </c>
      <c r="N33" s="5" t="n">
        <v>121</v>
      </c>
      <c r="O33" s="5" t="n">
        <v>102</v>
      </c>
      <c r="P33" s="5" t="n">
        <v>81</v>
      </c>
      <c r="Q33" s="5" t="n">
        <v>99</v>
      </c>
      <c r="R33" s="5" t="n">
        <v>63</v>
      </c>
      <c r="S33" s="5" t="n">
        <v>141</v>
      </c>
      <c r="T33" s="5" t="n">
        <v>104</v>
      </c>
      <c r="U33" s="5" t="n">
        <v>129</v>
      </c>
      <c r="V33" s="5" t="n">
        <v>145</v>
      </c>
      <c r="W33" s="5" t="n">
        <v>180</v>
      </c>
      <c r="X33" s="5" t="n">
        <v>199</v>
      </c>
      <c r="Y33" s="14">
        <f>IF(AND(ISNUMBER(C33),C33&gt;0,ISNUMBER(X33)),X33/C33-1,"")</f>
        <v/>
      </c>
    </row>
    <row r="34">
      <c r="A34" s="12" t="inlineStr">
        <is>
          <t>214</t>
        </is>
      </c>
      <c r="B34" s="13" t="inlineStr">
        <is>
          <t>General</t>
        </is>
      </c>
      <c r="C34" s="5" t="n">
        <v>62</v>
      </c>
      <c r="D34" s="5" t="n">
        <v>107</v>
      </c>
      <c r="E34" s="5" t="n">
        <v>93</v>
      </c>
      <c r="F34" s="5" t="n">
        <v>35</v>
      </c>
      <c r="G34" s="5" t="n">
        <v>29</v>
      </c>
      <c r="H34" s="5" t="n">
        <v>36</v>
      </c>
      <c r="I34" s="5" t="n">
        <v>24</v>
      </c>
      <c r="J34" s="5" t="n">
        <v>30</v>
      </c>
      <c r="K34" s="5" t="n">
        <v>37</v>
      </c>
      <c r="L34" s="5" t="n">
        <v>15</v>
      </c>
      <c r="M34" s="5" t="n">
        <v>26</v>
      </c>
      <c r="N34" s="5" t="n">
        <v>54</v>
      </c>
      <c r="O34" s="5" t="n">
        <v>43</v>
      </c>
      <c r="P34" s="5" t="n">
        <v>22</v>
      </c>
      <c r="Q34" s="5" t="n">
        <v>30</v>
      </c>
      <c r="R34" s="5" t="n">
        <v>32</v>
      </c>
      <c r="S34" s="5" t="n">
        <v>23</v>
      </c>
      <c r="T34" s="5" t="n">
        <v>16</v>
      </c>
      <c r="U34" s="5" t="n">
        <v>20</v>
      </c>
      <c r="V34" s="5" t="n">
        <v>27</v>
      </c>
      <c r="W34" s="5" t="n">
        <v>45</v>
      </c>
      <c r="X34" s="5" t="n">
        <v>14</v>
      </c>
      <c r="Y34" s="14">
        <f>IF(AND(ISNUMBER(C34),C34&gt;0,ISNUMBER(X34)),X34/C34-1,"")</f>
        <v/>
      </c>
    </row>
    <row r="35">
      <c r="A35" s="12" t="inlineStr">
        <is>
          <t>215</t>
        </is>
      </c>
      <c r="B35" s="13" t="inlineStr">
        <is>
          <t>General</t>
        </is>
      </c>
      <c r="C35" s="5" t="n">
        <v>209</v>
      </c>
      <c r="D35" s="5" t="n">
        <v>221</v>
      </c>
      <c r="E35" s="5" t="n">
        <v>242</v>
      </c>
      <c r="F35" s="5" t="n">
        <v>138</v>
      </c>
      <c r="G35" s="5" t="n">
        <v>155</v>
      </c>
      <c r="H35" s="5" t="n">
        <v>168</v>
      </c>
      <c r="I35" s="5" t="n">
        <v>253</v>
      </c>
      <c r="J35" s="5" t="n">
        <v>190</v>
      </c>
      <c r="K35" s="5" t="n">
        <v>107</v>
      </c>
      <c r="L35" s="5" t="n">
        <v>135</v>
      </c>
      <c r="M35" s="5" t="n">
        <v>113</v>
      </c>
      <c r="N35" s="5" t="n">
        <v>164</v>
      </c>
      <c r="O35" s="5" t="n">
        <v>187</v>
      </c>
      <c r="P35" s="5" t="n">
        <v>182</v>
      </c>
      <c r="Q35" s="5" t="n">
        <v>136</v>
      </c>
      <c r="R35" s="5" t="n">
        <v>86</v>
      </c>
      <c r="S35" s="5" t="n">
        <v>100</v>
      </c>
      <c r="T35" s="5" t="n">
        <v>86</v>
      </c>
      <c r="U35" s="5" t="n">
        <v>150</v>
      </c>
      <c r="V35" s="5" t="n">
        <v>140</v>
      </c>
      <c r="W35" s="5" t="n">
        <v>188</v>
      </c>
      <c r="X35" s="5" t="n">
        <v>161</v>
      </c>
      <c r="Y35" s="14">
        <f>IF(AND(ISNUMBER(C35),C35&gt;0,ISNUMBER(X35)),X35/C35-1,"")</f>
        <v/>
      </c>
    </row>
    <row r="36">
      <c r="A36" s="12" t="inlineStr">
        <is>
          <t>216</t>
        </is>
      </c>
      <c r="B36" s="13" t="inlineStr">
        <is>
          <t>General</t>
        </is>
      </c>
      <c r="C36" s="5" t="n">
        <v>59</v>
      </c>
      <c r="D36" s="5" t="n">
        <v>92</v>
      </c>
      <c r="E36" s="5" t="n">
        <v>82</v>
      </c>
      <c r="F36" s="5" t="n">
        <v>47</v>
      </c>
      <c r="G36" s="5" t="n">
        <v>42</v>
      </c>
      <c r="H36" s="5" t="n">
        <v>15</v>
      </c>
      <c r="I36" s="5" t="n">
        <v>43</v>
      </c>
      <c r="J36" s="5" t="n">
        <v>25</v>
      </c>
      <c r="K36" s="5" t="n">
        <v>67</v>
      </c>
      <c r="L36" s="5" t="n">
        <v>56</v>
      </c>
      <c r="M36" s="5" t="n">
        <v>65</v>
      </c>
      <c r="N36" s="5" t="n">
        <v>89</v>
      </c>
      <c r="O36" s="5" t="n">
        <v>63</v>
      </c>
      <c r="P36" s="5" t="n">
        <v>80</v>
      </c>
      <c r="Q36" s="5" t="n">
        <v>98</v>
      </c>
      <c r="R36" s="5" t="n">
        <v>73</v>
      </c>
      <c r="S36" s="5" t="n">
        <v>73</v>
      </c>
      <c r="T36" s="5" t="n">
        <v>55</v>
      </c>
      <c r="U36" s="5" t="n">
        <v>74</v>
      </c>
      <c r="V36" s="5" t="n">
        <v>72</v>
      </c>
      <c r="W36" s="5" t="n">
        <v>75</v>
      </c>
      <c r="X36" s="5" t="n">
        <v>90</v>
      </c>
      <c r="Y36" s="14">
        <f>IF(AND(ISNUMBER(C36),C36&gt;0,ISNUMBER(X36)),X36/C36-1,"")</f>
        <v/>
      </c>
    </row>
    <row r="37">
      <c r="A37" s="12" t="inlineStr">
        <is>
          <t>217</t>
        </is>
      </c>
      <c r="B37" s="13" t="inlineStr">
        <is>
          <t>General</t>
        </is>
      </c>
      <c r="C37" s="5" t="n"/>
      <c r="D37" s="5" t="n"/>
      <c r="E37" s="5" t="n"/>
      <c r="F37" s="5" t="n"/>
      <c r="G37" s="5" t="n"/>
      <c r="H37" s="5" t="n"/>
      <c r="I37" s="5" t="n"/>
      <c r="J37" s="5" t="n"/>
      <c r="K37" s="5" t="n"/>
      <c r="L37" s="5" t="n"/>
      <c r="M37" s="5" t="n"/>
      <c r="N37" s="5" t="n"/>
      <c r="O37" s="5" t="n">
        <v>31</v>
      </c>
      <c r="P37" s="5" t="n">
        <v>59</v>
      </c>
      <c r="Q37" s="5" t="n">
        <v>57</v>
      </c>
      <c r="R37" s="5" t="n">
        <v>39</v>
      </c>
      <c r="S37" s="5" t="n">
        <v>13</v>
      </c>
      <c r="T37" s="5" t="n">
        <v>44</v>
      </c>
      <c r="U37" s="5" t="n">
        <v>40</v>
      </c>
      <c r="V37" s="5" t="n">
        <v>32</v>
      </c>
      <c r="W37" s="5" t="n">
        <v>44</v>
      </c>
      <c r="X37" s="5" t="n">
        <v>52</v>
      </c>
      <c r="Y37" s="14">
        <f>IF(AND(ISNUMBER(C37),C37&gt;0,ISNUMBER(X37)),X37/C37-1,"")</f>
        <v/>
      </c>
    </row>
    <row r="38">
      <c r="A38" s="12" t="inlineStr">
        <is>
          <t>240</t>
        </is>
      </c>
      <c r="B38" s="13" t="inlineStr">
        <is>
          <t>General</t>
        </is>
      </c>
      <c r="C38" s="5" t="n">
        <v>138</v>
      </c>
      <c r="D38" s="5" t="n">
        <v>155</v>
      </c>
      <c r="E38" s="5" t="n">
        <v>249</v>
      </c>
      <c r="F38" s="5" t="n">
        <v>164</v>
      </c>
      <c r="G38" s="5" t="n">
        <v>75</v>
      </c>
      <c r="H38" s="5" t="n">
        <v>81</v>
      </c>
      <c r="I38" s="5" t="n">
        <v>90</v>
      </c>
      <c r="J38" s="5" t="n">
        <v>79</v>
      </c>
      <c r="K38" s="5" t="n">
        <v>81</v>
      </c>
      <c r="L38" s="5" t="n">
        <v>115</v>
      </c>
      <c r="M38" s="5" t="n">
        <v>118</v>
      </c>
      <c r="N38" s="5" t="n">
        <v>106</v>
      </c>
      <c r="O38" s="5" t="n">
        <v>136</v>
      </c>
      <c r="P38" s="5" t="n">
        <v>106</v>
      </c>
      <c r="Q38" s="5" t="n">
        <v>100</v>
      </c>
      <c r="R38" s="5" t="n">
        <v>112</v>
      </c>
      <c r="S38" s="5" t="n">
        <v>120</v>
      </c>
      <c r="T38" s="5" t="n">
        <v>114</v>
      </c>
      <c r="U38" s="5" t="n">
        <v>108</v>
      </c>
      <c r="V38" s="5" t="n">
        <v>114</v>
      </c>
      <c r="W38" s="5" t="n">
        <v>132</v>
      </c>
      <c r="X38" s="5" t="n">
        <v>135</v>
      </c>
      <c r="Y38" s="14">
        <f>IF(AND(ISNUMBER(C38),C38&gt;0,ISNUMBER(X38)),X38/C38-1,"")</f>
        <v/>
      </c>
    </row>
    <row r="39">
      <c r="A39" s="12" t="inlineStr">
        <is>
          <t>250</t>
        </is>
      </c>
      <c r="B39" s="15" t="inlineStr">
        <is>
          <t>Draw</t>
        </is>
      </c>
      <c r="C39" s="5" t="n">
        <v>272</v>
      </c>
      <c r="D39" s="5" t="n">
        <v>264</v>
      </c>
      <c r="E39" s="5" t="n">
        <v>274</v>
      </c>
      <c r="F39" s="5" t="n">
        <v>176</v>
      </c>
      <c r="G39" s="5" t="n">
        <v>134</v>
      </c>
      <c r="H39" s="5" t="n">
        <v>88</v>
      </c>
      <c r="I39" s="5" t="n">
        <v>45</v>
      </c>
      <c r="J39" s="5" t="n">
        <v>29</v>
      </c>
      <c r="K39" s="5" t="n">
        <v>40</v>
      </c>
      <c r="L39" s="5" t="n">
        <v>61</v>
      </c>
      <c r="M39" s="5" t="n">
        <v>13</v>
      </c>
      <c r="N39" s="5" t="n">
        <v>21</v>
      </c>
      <c r="O39" s="5" t="n">
        <v>12</v>
      </c>
      <c r="P39" s="5" t="n">
        <v>21</v>
      </c>
      <c r="Q39" s="5" t="n">
        <v>10</v>
      </c>
      <c r="R39" s="5" t="n">
        <v>16</v>
      </c>
      <c r="S39" s="5" t="n">
        <v>14</v>
      </c>
      <c r="T39" s="5" t="n">
        <v>17</v>
      </c>
      <c r="U39" s="5" t="n">
        <v>22</v>
      </c>
      <c r="V39" s="5" t="n">
        <v>23</v>
      </c>
      <c r="W39" s="5" t="n">
        <v>17</v>
      </c>
      <c r="X39" s="5" t="n">
        <v>18</v>
      </c>
      <c r="Y39" s="14">
        <f>IF(AND(ISNUMBER(C39),C39&gt;0,ISNUMBER(X39)),X39/C39-1,"")</f>
        <v/>
      </c>
    </row>
    <row r="40">
      <c r="A40" s="12" t="inlineStr">
        <is>
          <t>260</t>
        </is>
      </c>
      <c r="B40" s="13" t="inlineStr">
        <is>
          <t>General</t>
        </is>
      </c>
      <c r="C40" s="5" t="n">
        <v>2</v>
      </c>
      <c r="D40" s="5" t="n">
        <v>7</v>
      </c>
      <c r="E40" s="5" t="n">
        <v>32</v>
      </c>
      <c r="F40" s="5" t="n">
        <v>55</v>
      </c>
      <c r="G40" s="5" t="n">
        <v>21</v>
      </c>
      <c r="H40" s="5" t="n">
        <v>27</v>
      </c>
      <c r="I40" s="5" t="n">
        <v>13</v>
      </c>
      <c r="J40" s="5" t="n">
        <v>6</v>
      </c>
      <c r="K40" s="5" t="n">
        <v>13</v>
      </c>
      <c r="L40" s="5" t="n">
        <v>10</v>
      </c>
      <c r="M40" s="5" t="n">
        <v>17</v>
      </c>
      <c r="N40" s="5" t="n">
        <v>12</v>
      </c>
      <c r="O40" s="5" t="n">
        <v>24</v>
      </c>
      <c r="P40" s="5" t="n">
        <v>21</v>
      </c>
      <c r="Q40" s="5" t="n">
        <v>20</v>
      </c>
      <c r="R40" s="5" t="n">
        <v>24</v>
      </c>
      <c r="S40" s="5" t="n">
        <v>16</v>
      </c>
      <c r="T40" s="5" t="n">
        <v>33</v>
      </c>
      <c r="U40" s="5" t="n">
        <v>42</v>
      </c>
      <c r="V40" s="5" t="n">
        <v>45</v>
      </c>
      <c r="W40" s="5" t="n">
        <v>6</v>
      </c>
      <c r="X40" s="5" t="n">
        <v>35</v>
      </c>
      <c r="Y40" s="14">
        <f>IF(AND(ISNUMBER(C40),C40&gt;0,ISNUMBER(X40)),X40/C40-1,"")</f>
        <v/>
      </c>
    </row>
    <row r="41">
      <c r="A41" s="12" t="inlineStr">
        <is>
          <t>261</t>
        </is>
      </c>
      <c r="B41" s="15" t="inlineStr">
        <is>
          <t>Draw</t>
        </is>
      </c>
      <c r="C41" s="5" t="n">
        <v>73</v>
      </c>
      <c r="D41" s="5" t="n">
        <v>93</v>
      </c>
      <c r="E41" s="5" t="n">
        <v>49</v>
      </c>
      <c r="F41" s="5" t="n">
        <v>53</v>
      </c>
      <c r="G41" s="5" t="n">
        <v>67</v>
      </c>
      <c r="H41" s="5" t="n">
        <v>51</v>
      </c>
      <c r="I41" s="5" t="n">
        <v>47</v>
      </c>
      <c r="J41" s="5" t="n">
        <v>81</v>
      </c>
      <c r="K41" s="5" t="n">
        <v>80</v>
      </c>
      <c r="L41" s="5" t="n">
        <v>57</v>
      </c>
      <c r="M41" s="5" t="n">
        <v>33</v>
      </c>
      <c r="N41" s="5" t="n">
        <v>13</v>
      </c>
      <c r="O41" s="5" t="n">
        <v>38</v>
      </c>
      <c r="P41" s="5" t="n">
        <v>42</v>
      </c>
      <c r="Q41" s="5" t="n">
        <v>24</v>
      </c>
      <c r="R41" s="5" t="n">
        <v>19</v>
      </c>
      <c r="S41" s="5" t="n">
        <v>18</v>
      </c>
      <c r="T41" s="5" t="n">
        <v>12</v>
      </c>
      <c r="U41" s="5" t="n">
        <v>14</v>
      </c>
      <c r="V41" s="5" t="n">
        <v>8</v>
      </c>
      <c r="W41" s="5" t="n">
        <v>15</v>
      </c>
      <c r="X41" s="5" t="n">
        <v>9</v>
      </c>
      <c r="Y41" s="14">
        <f>IF(AND(ISNUMBER(C41),C41&gt;0,ISNUMBER(X41)),X41/C41-1,"")</f>
        <v/>
      </c>
    </row>
    <row r="42">
      <c r="A42" s="12" t="inlineStr">
        <is>
          <t>262</t>
        </is>
      </c>
      <c r="B42" s="15" t="inlineStr">
        <is>
          <t>Draw</t>
        </is>
      </c>
      <c r="C42" s="5" t="n"/>
      <c r="D42" s="5" t="n"/>
      <c r="E42" s="5" t="n"/>
      <c r="F42" s="5" t="n"/>
      <c r="G42" s="5" t="n"/>
      <c r="H42" s="5" t="n"/>
      <c r="I42" s="5" t="n"/>
      <c r="J42" s="5" t="n"/>
      <c r="K42" s="5" t="n"/>
      <c r="L42" s="5" t="n"/>
      <c r="M42" s="5" t="n"/>
      <c r="N42" s="5" t="n">
        <v>62</v>
      </c>
      <c r="O42" s="5" t="n">
        <v>59</v>
      </c>
      <c r="P42" s="5" t="n">
        <v>61</v>
      </c>
      <c r="Q42" s="5" t="n">
        <v>116</v>
      </c>
      <c r="R42" s="5" t="n">
        <v>69</v>
      </c>
      <c r="S42" s="5" t="n">
        <v>78</v>
      </c>
      <c r="T42" s="5" t="n">
        <v>71</v>
      </c>
      <c r="U42" s="5" t="n">
        <v>50</v>
      </c>
      <c r="V42" s="5" t="n">
        <v>34</v>
      </c>
      <c r="W42" s="5" t="n">
        <v>47</v>
      </c>
      <c r="X42" s="5" t="n">
        <v>41</v>
      </c>
      <c r="Y42" s="14">
        <f>IF(AND(ISNUMBER(C42),C42&gt;0,ISNUMBER(X42)),X42/C42-1,"")</f>
        <v/>
      </c>
    </row>
    <row r="43">
      <c r="A43" s="12" t="inlineStr">
        <is>
          <t>270</t>
        </is>
      </c>
      <c r="B43" s="15" t="inlineStr">
        <is>
          <t>Draw</t>
        </is>
      </c>
      <c r="C43" s="5" t="n">
        <v>365</v>
      </c>
      <c r="D43" s="5" t="n">
        <v>437</v>
      </c>
      <c r="E43" s="5" t="n">
        <v>323</v>
      </c>
      <c r="F43" s="5" t="n">
        <v>252</v>
      </c>
      <c r="G43" s="5" t="n">
        <v>184</v>
      </c>
      <c r="H43" s="5" t="n">
        <v>118</v>
      </c>
      <c r="I43" s="5" t="n">
        <v>131</v>
      </c>
      <c r="J43" s="5" t="n">
        <v>72</v>
      </c>
      <c r="K43" s="5" t="n">
        <v>94</v>
      </c>
      <c r="L43" s="5" t="n">
        <v>59</v>
      </c>
      <c r="M43" s="5" t="n">
        <v>52</v>
      </c>
      <c r="N43" s="5" t="n">
        <v>56</v>
      </c>
      <c r="O43" s="5" t="n">
        <v>42</v>
      </c>
      <c r="P43" s="5" t="n">
        <v>49</v>
      </c>
      <c r="Q43" s="5" t="n">
        <v>76</v>
      </c>
      <c r="R43" s="5" t="n">
        <v>77</v>
      </c>
      <c r="S43" s="5" t="n">
        <v>86</v>
      </c>
      <c r="T43" s="5" t="n">
        <v>92</v>
      </c>
      <c r="U43" s="5" t="n">
        <v>67</v>
      </c>
      <c r="V43" s="5" t="n">
        <v>87</v>
      </c>
      <c r="W43" s="5" t="n">
        <v>80</v>
      </c>
      <c r="X43" s="5" t="n">
        <v>77</v>
      </c>
      <c r="Y43" s="14">
        <f>IF(AND(ISNUMBER(C43),C43&gt;0,ISNUMBER(X43)),X43/C43-1,"")</f>
        <v/>
      </c>
    </row>
    <row r="44">
      <c r="A44" s="12" t="inlineStr">
        <is>
          <t>280</t>
        </is>
      </c>
      <c r="B44" s="13" t="inlineStr">
        <is>
          <t>General</t>
        </is>
      </c>
      <c r="C44" s="5" t="n">
        <v>43</v>
      </c>
      <c r="D44" s="5" t="n">
        <v>64</v>
      </c>
      <c r="E44" s="5" t="n">
        <v>118</v>
      </c>
      <c r="F44" s="5" t="n">
        <v>25</v>
      </c>
      <c r="G44" s="5" t="n">
        <v>37</v>
      </c>
      <c r="H44" s="5" t="n">
        <v>34</v>
      </c>
      <c r="I44" s="5" t="n">
        <v>22</v>
      </c>
      <c r="J44" s="5" t="n">
        <v>30</v>
      </c>
      <c r="K44" s="5" t="n">
        <v>21</v>
      </c>
      <c r="L44" s="5" t="n">
        <v>11</v>
      </c>
      <c r="M44" s="5" t="n">
        <v>9</v>
      </c>
      <c r="N44" s="5" t="n">
        <v>11</v>
      </c>
      <c r="O44" s="5" t="n">
        <v>15</v>
      </c>
      <c r="P44" s="5" t="n">
        <v>6</v>
      </c>
      <c r="Q44" s="5" t="n">
        <v>9</v>
      </c>
      <c r="R44" s="5" t="n">
        <v>6</v>
      </c>
      <c r="S44" s="5" t="n">
        <v>5</v>
      </c>
      <c r="T44" s="5" t="n">
        <v>3</v>
      </c>
      <c r="U44" s="5" t="n">
        <v>7</v>
      </c>
      <c r="V44" s="5" t="n">
        <v>3</v>
      </c>
      <c r="W44" s="5" t="n">
        <v>12</v>
      </c>
      <c r="X44" s="5" t="n">
        <v>7</v>
      </c>
      <c r="Y44" s="14">
        <f>IF(AND(ISNUMBER(C44),C44&gt;0,ISNUMBER(X44)),X44/C44-1,"")</f>
        <v/>
      </c>
    </row>
    <row r="45">
      <c r="A45" s="12" t="inlineStr">
        <is>
          <t>281</t>
        </is>
      </c>
      <c r="B45" s="13" t="inlineStr">
        <is>
          <t>General</t>
        </is>
      </c>
      <c r="C45" s="5" t="n">
        <v>127</v>
      </c>
      <c r="D45" s="5" t="n">
        <v>169</v>
      </c>
      <c r="E45" s="5" t="n">
        <v>193</v>
      </c>
      <c r="F45" s="5" t="n">
        <v>142</v>
      </c>
      <c r="G45" s="5" t="n">
        <v>121</v>
      </c>
      <c r="H45" s="5" t="n">
        <v>84</v>
      </c>
      <c r="I45" s="5" t="n">
        <v>93</v>
      </c>
      <c r="J45" s="5" t="n">
        <v>78</v>
      </c>
      <c r="K45" s="5" t="n">
        <v>60</v>
      </c>
      <c r="L45" s="5" t="n">
        <v>46</v>
      </c>
      <c r="M45" s="5" t="n">
        <v>49</v>
      </c>
      <c r="N45" s="5" t="n">
        <v>56</v>
      </c>
      <c r="O45" s="5" t="n">
        <v>57</v>
      </c>
      <c r="P45" s="5" t="n">
        <v>44</v>
      </c>
      <c r="Q45" s="5" t="n">
        <v>60</v>
      </c>
      <c r="R45" s="5" t="n">
        <v>40</v>
      </c>
      <c r="S45" s="5" t="n">
        <v>28</v>
      </c>
      <c r="T45" s="5" t="n">
        <v>51</v>
      </c>
      <c r="U45" s="5" t="n">
        <v>71</v>
      </c>
      <c r="V45" s="5" t="n">
        <v>69</v>
      </c>
      <c r="W45" s="5" t="n">
        <v>75</v>
      </c>
      <c r="X45" s="5" t="n">
        <v>88</v>
      </c>
      <c r="Y45" s="14">
        <f>IF(AND(ISNUMBER(C45),C45&gt;0,ISNUMBER(X45)),X45/C45-1,"")</f>
        <v/>
      </c>
    </row>
    <row r="46">
      <c r="A46" s="12" t="inlineStr">
        <is>
          <t>282</t>
        </is>
      </c>
      <c r="B46" s="13" t="inlineStr">
        <is>
          <t>General</t>
        </is>
      </c>
      <c r="C46" s="5" t="n">
        <v>43</v>
      </c>
      <c r="D46" s="5" t="n">
        <v>15</v>
      </c>
      <c r="E46" s="5" t="n">
        <v>35</v>
      </c>
      <c r="F46" s="5" t="n">
        <v>8</v>
      </c>
      <c r="G46" s="5" t="n">
        <v>3</v>
      </c>
      <c r="H46" s="5" t="n">
        <v>5</v>
      </c>
      <c r="I46" s="5" t="n">
        <v>5</v>
      </c>
      <c r="J46" s="5" t="n"/>
      <c r="K46" s="5" t="n">
        <v>3</v>
      </c>
      <c r="L46" s="5" t="n">
        <v>3</v>
      </c>
      <c r="M46" s="5" t="n"/>
      <c r="N46" s="5" t="n"/>
      <c r="O46" s="5" t="n">
        <v>3</v>
      </c>
      <c r="P46" s="5" t="n">
        <v>3</v>
      </c>
      <c r="Q46" s="5" t="n">
        <v>6</v>
      </c>
      <c r="R46" s="5" t="n"/>
      <c r="S46" s="5" t="n">
        <v>7</v>
      </c>
      <c r="T46" s="5" t="n">
        <v>8</v>
      </c>
      <c r="U46" s="5" t="n">
        <v>17</v>
      </c>
      <c r="V46" s="5" t="n">
        <v>5</v>
      </c>
      <c r="W46" s="5" t="n">
        <v>11</v>
      </c>
      <c r="X46" s="5" t="n">
        <v>11</v>
      </c>
      <c r="Y46" s="14">
        <f>IF(AND(ISNUMBER(C46),C46&gt;0,ISNUMBER(X46)),X46/C46-1,"")</f>
        <v/>
      </c>
    </row>
    <row r="47">
      <c r="A47" s="12" t="inlineStr">
        <is>
          <t>283</t>
        </is>
      </c>
      <c r="B47" s="4" t="inlineStr"/>
      <c r="C47" s="5" t="n">
        <v>132</v>
      </c>
      <c r="D47" s="5" t="n">
        <v>145</v>
      </c>
      <c r="E47" s="5" t="n">
        <v>159</v>
      </c>
      <c r="F47" s="5" t="n">
        <v>106</v>
      </c>
      <c r="G47" s="5" t="n">
        <v>97</v>
      </c>
      <c r="H47" s="5" t="n">
        <v>77</v>
      </c>
      <c r="I47" s="5" t="n">
        <v>104</v>
      </c>
      <c r="J47" s="5" t="n">
        <v>56</v>
      </c>
      <c r="K47" s="5" t="n">
        <v>70</v>
      </c>
      <c r="L47" s="5" t="n">
        <v>54</v>
      </c>
      <c r="M47" s="5" t="n">
        <v>55</v>
      </c>
      <c r="N47" s="5" t="n">
        <v>44</v>
      </c>
      <c r="O47" s="5" t="n">
        <v>83</v>
      </c>
      <c r="P47" s="5" t="n">
        <v>45</v>
      </c>
      <c r="Q47" s="5" t="n">
        <v>57</v>
      </c>
      <c r="R47" s="5" t="n">
        <v>59</v>
      </c>
      <c r="S47" s="5" t="n">
        <v>31</v>
      </c>
      <c r="T47" s="5" t="n">
        <v>35</v>
      </c>
      <c r="U47" s="5" t="n"/>
      <c r="V47" s="5" t="n"/>
      <c r="W47" s="5" t="n"/>
      <c r="X47" s="5" t="n"/>
      <c r="Y47" s="14">
        <f>IF(AND(ISNUMBER(C47),C47&gt;0,ISNUMBER(X47)),X47/C47-1,"")</f>
        <v/>
      </c>
    </row>
    <row r="48">
      <c r="A48" s="12" t="inlineStr">
        <is>
          <t>284</t>
        </is>
      </c>
      <c r="B48" s="13" t="inlineStr">
        <is>
          <t>General</t>
        </is>
      </c>
      <c r="C48" s="5" t="n">
        <v>23</v>
      </c>
      <c r="D48" s="5" t="n">
        <v>11</v>
      </c>
      <c r="E48" s="5" t="n">
        <v>6</v>
      </c>
      <c r="F48" s="5" t="n">
        <v>3</v>
      </c>
      <c r="G48" s="5" t="n">
        <v>6</v>
      </c>
      <c r="H48" s="5" t="n">
        <v>3</v>
      </c>
      <c r="I48" s="5" t="n"/>
      <c r="J48" s="5" t="n">
        <v>6</v>
      </c>
      <c r="K48" s="5" t="n">
        <v>8</v>
      </c>
      <c r="L48" s="5" t="n">
        <v>3</v>
      </c>
      <c r="M48" s="5" t="n">
        <v>6</v>
      </c>
      <c r="N48" s="5" t="n">
        <v>14</v>
      </c>
      <c r="O48" s="5" t="n">
        <v>27</v>
      </c>
      <c r="P48" s="5" t="n">
        <v>3</v>
      </c>
      <c r="Q48" s="5" t="n">
        <v>10</v>
      </c>
      <c r="R48" s="5" t="n">
        <v>20</v>
      </c>
      <c r="S48" s="5" t="n">
        <v>5</v>
      </c>
      <c r="T48" s="5" t="n">
        <v>3</v>
      </c>
      <c r="U48" s="5" t="n">
        <v>10</v>
      </c>
      <c r="V48" s="5" t="n">
        <v>7</v>
      </c>
      <c r="W48" s="5" t="n">
        <v>3</v>
      </c>
      <c r="X48" s="5" t="n">
        <v>13</v>
      </c>
      <c r="Y48" s="14">
        <f>IF(AND(ISNUMBER(C48),C48&gt;0,ISNUMBER(X48)),X48/C48-1,"")</f>
        <v/>
      </c>
    </row>
    <row r="49">
      <c r="A49" s="12" t="inlineStr">
        <is>
          <t>285</t>
        </is>
      </c>
      <c r="B49" s="13" t="inlineStr">
        <is>
          <t>General</t>
        </is>
      </c>
      <c r="C49" s="5" t="n">
        <v>154</v>
      </c>
      <c r="D49" s="5" t="n">
        <v>142</v>
      </c>
      <c r="E49" s="5" t="n">
        <v>188</v>
      </c>
      <c r="F49" s="5" t="n">
        <v>133</v>
      </c>
      <c r="G49" s="5" t="n">
        <v>95</v>
      </c>
      <c r="H49" s="5" t="n">
        <v>100</v>
      </c>
      <c r="I49" s="5" t="n">
        <v>72</v>
      </c>
      <c r="J49" s="5" t="n">
        <v>40</v>
      </c>
      <c r="K49" s="5" t="n">
        <v>42</v>
      </c>
      <c r="L49" s="5" t="n">
        <v>34</v>
      </c>
      <c r="M49" s="5" t="n">
        <v>51</v>
      </c>
      <c r="N49" s="5" t="n">
        <v>60</v>
      </c>
      <c r="O49" s="5" t="n">
        <v>49</v>
      </c>
      <c r="P49" s="5" t="n">
        <v>56</v>
      </c>
      <c r="Q49" s="5" t="n">
        <v>41</v>
      </c>
      <c r="R49" s="5" t="n">
        <v>51</v>
      </c>
      <c r="S49" s="5" t="n">
        <v>40</v>
      </c>
      <c r="T49" s="5" t="n">
        <v>44</v>
      </c>
      <c r="U49" s="5" t="n">
        <v>85</v>
      </c>
      <c r="V49" s="5" t="n">
        <v>100</v>
      </c>
      <c r="W49" s="5" t="n">
        <v>109</v>
      </c>
      <c r="X49" s="5" t="n">
        <v>144</v>
      </c>
      <c r="Y49" s="14">
        <f>IF(AND(ISNUMBER(C49),C49&gt;0,ISNUMBER(X49)),X49/C49-1,"")</f>
        <v/>
      </c>
    </row>
    <row r="50">
      <c r="A50" s="12" t="inlineStr">
        <is>
          <t>290</t>
        </is>
      </c>
      <c r="B50" s="13" t="inlineStr">
        <is>
          <t>General</t>
        </is>
      </c>
      <c r="C50" s="5" t="n">
        <v>8</v>
      </c>
      <c r="D50" s="5" t="n">
        <v>6</v>
      </c>
      <c r="E50" s="5" t="n">
        <v>10</v>
      </c>
      <c r="F50" s="5" t="n">
        <v>26</v>
      </c>
      <c r="G50" s="5" t="n">
        <v>8</v>
      </c>
      <c r="H50" s="5" t="n">
        <v>4</v>
      </c>
      <c r="I50" s="5" t="n">
        <v>5</v>
      </c>
      <c r="J50" s="5" t="n">
        <v>3</v>
      </c>
      <c r="K50" s="5" t="n">
        <v>5</v>
      </c>
      <c r="L50" s="5" t="n">
        <v>9</v>
      </c>
      <c r="M50" s="5" t="n">
        <v>3</v>
      </c>
      <c r="N50" s="5" t="n">
        <v>8</v>
      </c>
      <c r="O50" s="5" t="n">
        <v>18</v>
      </c>
      <c r="P50" s="5" t="n">
        <v>15</v>
      </c>
      <c r="Q50" s="5" t="n">
        <v>13</v>
      </c>
      <c r="R50" s="5" t="n">
        <v>26</v>
      </c>
      <c r="S50" s="5" t="n">
        <v>17</v>
      </c>
      <c r="T50" s="5" t="n">
        <v>19</v>
      </c>
      <c r="U50" s="5" t="n">
        <v>26</v>
      </c>
      <c r="V50" s="5" t="n">
        <v>20</v>
      </c>
      <c r="W50" s="5" t="n">
        <v>9</v>
      </c>
      <c r="X50" s="5" t="n">
        <v>17</v>
      </c>
      <c r="Y50" s="14">
        <f>IF(AND(ISNUMBER(C50),C50&gt;0,ISNUMBER(X50)),X50/C50-1,"")</f>
        <v/>
      </c>
    </row>
    <row r="51">
      <c r="A51" s="12" t="inlineStr">
        <is>
          <t>291</t>
        </is>
      </c>
      <c r="B51" s="15" t="inlineStr">
        <is>
          <t>Draw</t>
        </is>
      </c>
      <c r="C51" s="5" t="n">
        <v>170</v>
      </c>
      <c r="D51" s="5" t="n">
        <v>118</v>
      </c>
      <c r="E51" s="5" t="n">
        <v>174</v>
      </c>
      <c r="F51" s="5" t="n">
        <v>113</v>
      </c>
      <c r="G51" s="5" t="n">
        <v>167</v>
      </c>
      <c r="H51" s="5" t="n">
        <v>187</v>
      </c>
      <c r="I51" s="5" t="n">
        <v>135</v>
      </c>
      <c r="J51" s="5" t="n">
        <v>152</v>
      </c>
      <c r="K51" s="5" t="n">
        <v>122</v>
      </c>
      <c r="L51" s="5" t="n">
        <v>91</v>
      </c>
      <c r="M51" s="5" t="n">
        <v>47</v>
      </c>
      <c r="N51" s="5" t="n">
        <v>57</v>
      </c>
      <c r="O51" s="5" t="n">
        <v>54</v>
      </c>
      <c r="P51" s="5" t="n">
        <v>62</v>
      </c>
      <c r="Q51" s="5" t="n">
        <v>53</v>
      </c>
      <c r="R51" s="5" t="n">
        <v>38</v>
      </c>
      <c r="S51" s="5" t="n">
        <v>50</v>
      </c>
      <c r="T51" s="5" t="n">
        <v>65</v>
      </c>
      <c r="U51" s="5" t="n">
        <v>39</v>
      </c>
      <c r="V51" s="5" t="n">
        <v>44</v>
      </c>
      <c r="W51" s="5" t="n">
        <v>60</v>
      </c>
      <c r="X51" s="5" t="n">
        <v>65</v>
      </c>
      <c r="Y51" s="14">
        <f>IF(AND(ISNUMBER(C51),C51&gt;0,ISNUMBER(X51)),X51/C51-1,"")</f>
        <v/>
      </c>
    </row>
    <row r="52">
      <c r="A52" s="12" t="inlineStr">
        <is>
          <t>292</t>
        </is>
      </c>
      <c r="B52" s="13" t="inlineStr">
        <is>
          <t>General</t>
        </is>
      </c>
      <c r="C52" s="5" t="n">
        <v>320</v>
      </c>
      <c r="D52" s="5" t="n">
        <v>382</v>
      </c>
      <c r="E52" s="5" t="n">
        <v>411</v>
      </c>
      <c r="F52" s="5" t="n">
        <v>373</v>
      </c>
      <c r="G52" s="5" t="n">
        <v>268</v>
      </c>
      <c r="H52" s="5" t="n">
        <v>268</v>
      </c>
      <c r="I52" s="5" t="n">
        <v>335</v>
      </c>
      <c r="J52" s="5" t="n">
        <v>205</v>
      </c>
      <c r="K52" s="5" t="n">
        <v>255</v>
      </c>
      <c r="L52" s="5" t="n">
        <v>198</v>
      </c>
      <c r="M52" s="5" t="n">
        <v>217</v>
      </c>
      <c r="N52" s="5" t="n">
        <v>250</v>
      </c>
      <c r="O52" s="5" t="n">
        <v>219</v>
      </c>
      <c r="P52" s="5" t="n">
        <v>211</v>
      </c>
      <c r="Q52" s="5" t="n">
        <v>125</v>
      </c>
      <c r="R52" s="5" t="n">
        <v>119</v>
      </c>
      <c r="S52" s="5" t="n">
        <v>123</v>
      </c>
      <c r="T52" s="5" t="n">
        <v>149</v>
      </c>
      <c r="U52" s="5" t="n">
        <v>112</v>
      </c>
      <c r="V52" s="5" t="n">
        <v>158</v>
      </c>
      <c r="W52" s="5" t="n">
        <v>235</v>
      </c>
      <c r="X52" s="5" t="n">
        <v>242</v>
      </c>
      <c r="Y52" s="14">
        <f>IF(AND(ISNUMBER(C52),C52&gt;0,ISNUMBER(X52)),X52/C52-1,"")</f>
        <v/>
      </c>
    </row>
    <row r="53">
      <c r="A53" s="12" t="inlineStr">
        <is>
          <t>293</t>
        </is>
      </c>
      <c r="B53" s="13" t="inlineStr">
        <is>
          <t>General</t>
        </is>
      </c>
      <c r="C53" s="5" t="n">
        <v>182</v>
      </c>
      <c r="D53" s="5" t="n">
        <v>200</v>
      </c>
      <c r="E53" s="5" t="n">
        <v>249</v>
      </c>
      <c r="F53" s="5" t="n">
        <v>146</v>
      </c>
      <c r="G53" s="5" t="n">
        <v>152</v>
      </c>
      <c r="H53" s="5" t="n">
        <v>119</v>
      </c>
      <c r="I53" s="5" t="n">
        <v>155</v>
      </c>
      <c r="J53" s="5" t="n">
        <v>121</v>
      </c>
      <c r="K53" s="5" t="n">
        <v>98</v>
      </c>
      <c r="L53" s="5" t="n">
        <v>105</v>
      </c>
      <c r="M53" s="5" t="n">
        <v>130</v>
      </c>
      <c r="N53" s="5" t="n">
        <v>192</v>
      </c>
      <c r="O53" s="5" t="n">
        <v>189</v>
      </c>
      <c r="P53" s="5" t="n">
        <v>89</v>
      </c>
      <c r="Q53" s="5" t="n">
        <v>52</v>
      </c>
      <c r="R53" s="5" t="n">
        <v>50</v>
      </c>
      <c r="S53" s="5" t="n">
        <v>54</v>
      </c>
      <c r="T53" s="5" t="n">
        <v>50</v>
      </c>
      <c r="U53" s="5" t="n">
        <v>81</v>
      </c>
      <c r="V53" s="5" t="n">
        <v>83</v>
      </c>
      <c r="W53" s="5" t="n">
        <v>60</v>
      </c>
      <c r="X53" s="5" t="n">
        <v>66</v>
      </c>
      <c r="Y53" s="14">
        <f>IF(AND(ISNUMBER(C53),C53&gt;0,ISNUMBER(X53)),X53/C53-1,"")</f>
        <v/>
      </c>
    </row>
    <row r="54">
      <c r="A54" s="12" t="inlineStr">
        <is>
          <t>298</t>
        </is>
      </c>
      <c r="B54" s="13" t="inlineStr">
        <is>
          <t>General</t>
        </is>
      </c>
      <c r="C54" s="5" t="n"/>
      <c r="D54" s="5" t="n"/>
      <c r="E54" s="5" t="n"/>
      <c r="F54" s="5" t="n"/>
      <c r="G54" s="5" t="n">
        <v>62</v>
      </c>
      <c r="H54" s="5" t="n">
        <v>115</v>
      </c>
      <c r="I54" s="5" t="n">
        <v>19</v>
      </c>
      <c r="J54" s="5" t="n">
        <v>56</v>
      </c>
      <c r="K54" s="5" t="n">
        <v>36</v>
      </c>
      <c r="L54" s="5" t="n">
        <v>39</v>
      </c>
      <c r="M54" s="5" t="n">
        <v>6</v>
      </c>
      <c r="N54" s="5" t="n">
        <v>20</v>
      </c>
      <c r="O54" s="5" t="n">
        <v>27</v>
      </c>
      <c r="P54" s="5" t="n">
        <v>12</v>
      </c>
      <c r="Q54" s="5" t="n">
        <v>14</v>
      </c>
      <c r="R54" s="5" t="n">
        <v>9</v>
      </c>
      <c r="S54" s="5" t="n">
        <v>4</v>
      </c>
      <c r="T54" s="5" t="n">
        <v>12</v>
      </c>
      <c r="U54" s="5" t="n">
        <v>17</v>
      </c>
      <c r="V54" s="5" t="n">
        <v>20</v>
      </c>
      <c r="W54" s="5" t="n">
        <v>28</v>
      </c>
      <c r="X54" s="5" t="n">
        <v>42</v>
      </c>
      <c r="Y54" s="14">
        <f>IF(AND(ISNUMBER(C54),C54&gt;0,ISNUMBER(X54)),X54/C54-1,"")</f>
        <v/>
      </c>
    </row>
    <row r="55">
      <c r="A55" s="12" t="inlineStr">
        <is>
          <t>300</t>
        </is>
      </c>
      <c r="B55" s="4" t="inlineStr"/>
      <c r="C55" s="5" t="n">
        <v>70</v>
      </c>
      <c r="D55" s="5" t="n">
        <v>103</v>
      </c>
      <c r="E55" s="5" t="n">
        <v>113</v>
      </c>
      <c r="F55" s="5" t="n">
        <v>87</v>
      </c>
      <c r="G55" s="5" t="n">
        <v>100</v>
      </c>
      <c r="H55" s="5" t="n">
        <v>85</v>
      </c>
      <c r="I55" s="5" t="n">
        <v>67</v>
      </c>
      <c r="J55" s="5" t="n">
        <v>52</v>
      </c>
      <c r="K55" s="5" t="n">
        <v>65</v>
      </c>
      <c r="L55" s="5" t="n">
        <v>54</v>
      </c>
      <c r="M55" s="5" t="n">
        <v>41</v>
      </c>
      <c r="N55" s="5" t="n">
        <v>85</v>
      </c>
      <c r="O55" s="5" t="n">
        <v>92</v>
      </c>
      <c r="P55" s="5" t="n">
        <v>104</v>
      </c>
      <c r="Q55" s="5" t="n">
        <v>95</v>
      </c>
      <c r="R55" s="5" t="n">
        <v>87</v>
      </c>
      <c r="S55" s="5" t="n">
        <v>122</v>
      </c>
      <c r="T55" s="5" t="n">
        <v>129</v>
      </c>
      <c r="U55" s="5" t="n"/>
      <c r="V55" s="5" t="n"/>
      <c r="W55" s="5" t="n"/>
      <c r="X55" s="5" t="n"/>
      <c r="Y55" s="14">
        <f>IF(AND(ISNUMBER(C55),C55&gt;0,ISNUMBER(X55)),X55/C55-1,"")</f>
        <v/>
      </c>
    </row>
    <row r="56">
      <c r="A56" s="12" t="inlineStr">
        <is>
          <t>301</t>
        </is>
      </c>
      <c r="B56" s="13" t="inlineStr">
        <is>
          <t>General</t>
        </is>
      </c>
      <c r="C56" s="5" t="n">
        <v>135</v>
      </c>
      <c r="D56" s="5" t="n">
        <v>114</v>
      </c>
      <c r="E56" s="5" t="n">
        <v>121</v>
      </c>
      <c r="F56" s="5" t="n">
        <v>103</v>
      </c>
      <c r="G56" s="5" t="n">
        <v>100</v>
      </c>
      <c r="H56" s="5" t="n">
        <v>82</v>
      </c>
      <c r="I56" s="5" t="n">
        <v>62</v>
      </c>
      <c r="J56" s="5" t="n">
        <v>50</v>
      </c>
      <c r="K56" s="5" t="n">
        <v>67</v>
      </c>
      <c r="L56" s="5" t="n">
        <v>69</v>
      </c>
      <c r="M56" s="5" t="n">
        <v>79</v>
      </c>
      <c r="N56" s="5" t="n">
        <v>66</v>
      </c>
      <c r="O56" s="5" t="n">
        <v>116</v>
      </c>
      <c r="P56" s="5" t="n">
        <v>97</v>
      </c>
      <c r="Q56" s="5" t="n">
        <v>120</v>
      </c>
      <c r="R56" s="5" t="n">
        <v>74</v>
      </c>
      <c r="S56" s="5" t="n">
        <v>74</v>
      </c>
      <c r="T56" s="5" t="n">
        <v>76</v>
      </c>
      <c r="U56" s="5" t="n">
        <v>105</v>
      </c>
      <c r="V56" s="5" t="n">
        <v>102</v>
      </c>
      <c r="W56" s="5" t="n">
        <v>99</v>
      </c>
      <c r="X56" s="5" t="n">
        <v>146</v>
      </c>
      <c r="Y56" s="14">
        <f>IF(AND(ISNUMBER(C56),C56&gt;0,ISNUMBER(X56)),X56/C56-1,"")</f>
        <v/>
      </c>
    </row>
    <row r="57">
      <c r="A57" s="12" t="inlineStr">
        <is>
          <t>302</t>
        </is>
      </c>
      <c r="B57" s="13" t="inlineStr">
        <is>
          <t>General</t>
        </is>
      </c>
      <c r="C57" s="5" t="n">
        <v>158</v>
      </c>
      <c r="D57" s="5" t="n">
        <v>148</v>
      </c>
      <c r="E57" s="5" t="n">
        <v>202</v>
      </c>
      <c r="F57" s="5" t="n">
        <v>165</v>
      </c>
      <c r="G57" s="5" t="n">
        <v>81</v>
      </c>
      <c r="H57" s="5" t="n">
        <v>85</v>
      </c>
      <c r="I57" s="5" t="n">
        <v>49</v>
      </c>
      <c r="J57" s="5" t="n">
        <v>43</v>
      </c>
      <c r="K57" s="5" t="n">
        <v>118</v>
      </c>
      <c r="L57" s="5" t="n">
        <v>130</v>
      </c>
      <c r="M57" s="5" t="n">
        <v>113</v>
      </c>
      <c r="N57" s="5" t="n">
        <v>176</v>
      </c>
      <c r="O57" s="5" t="n">
        <v>257</v>
      </c>
      <c r="P57" s="5" t="n">
        <v>202</v>
      </c>
      <c r="Q57" s="5" t="n">
        <v>193</v>
      </c>
      <c r="R57" s="5" t="n">
        <v>160</v>
      </c>
      <c r="S57" s="5" t="n">
        <v>167</v>
      </c>
      <c r="T57" s="5" t="n">
        <v>183</v>
      </c>
      <c r="U57" s="5" t="n">
        <v>130</v>
      </c>
      <c r="V57" s="5" t="n">
        <v>140</v>
      </c>
      <c r="W57" s="5" t="n">
        <v>194</v>
      </c>
      <c r="X57" s="5" t="n">
        <v>232</v>
      </c>
      <c r="Y57" s="14">
        <f>IF(AND(ISNUMBER(C57),C57&gt;0,ISNUMBER(X57)),X57/C57-1,"")</f>
        <v/>
      </c>
    </row>
    <row r="58">
      <c r="A58" s="12" t="inlineStr">
        <is>
          <t>303</t>
        </is>
      </c>
      <c r="B58" s="15" t="inlineStr">
        <is>
          <t>Draw</t>
        </is>
      </c>
      <c r="C58" s="5" t="n"/>
      <c r="D58" s="5" t="n"/>
      <c r="E58" s="5" t="n"/>
      <c r="F58" s="5" t="n"/>
      <c r="G58" s="5" t="n"/>
      <c r="H58" s="5" t="n"/>
      <c r="I58" s="5" t="n"/>
      <c r="J58" s="5" t="n"/>
      <c r="K58" s="5" t="n"/>
      <c r="L58" s="5" t="n"/>
      <c r="M58" s="5" t="n"/>
      <c r="N58" s="5" t="n"/>
      <c r="O58" s="5" t="n"/>
      <c r="P58" s="5" t="n"/>
      <c r="Q58" s="5" t="n"/>
      <c r="R58" s="5" t="n"/>
      <c r="S58" s="5" t="n"/>
      <c r="T58" s="5" t="n"/>
      <c r="U58" s="5" t="n">
        <v>68</v>
      </c>
      <c r="V58" s="5" t="n">
        <v>78</v>
      </c>
      <c r="W58" s="5" t="n">
        <v>50</v>
      </c>
      <c r="X58" s="5" t="n">
        <v>47</v>
      </c>
      <c r="Y58" s="14">
        <f>IF(AND(ISNUMBER(C58),C58&gt;0,ISNUMBER(X58)),X58/C58-1,"")</f>
        <v/>
      </c>
    </row>
    <row r="59">
      <c r="A59" s="12" t="inlineStr">
        <is>
          <t>304</t>
        </is>
      </c>
      <c r="B59" s="13" t="inlineStr">
        <is>
          <t>General</t>
        </is>
      </c>
      <c r="C59" s="5" t="n"/>
      <c r="D59" s="5" t="n"/>
      <c r="E59" s="5" t="n"/>
      <c r="F59" s="5" t="n"/>
      <c r="G59" s="5" t="n"/>
      <c r="H59" s="5" t="n"/>
      <c r="I59" s="5" t="n"/>
      <c r="J59" s="5" t="n"/>
      <c r="K59" s="5" t="n"/>
      <c r="L59" s="5" t="n"/>
      <c r="M59" s="5" t="n"/>
      <c r="N59" s="5" t="n"/>
      <c r="O59" s="5" t="n"/>
      <c r="P59" s="5" t="n"/>
      <c r="Q59" s="5" t="n"/>
      <c r="R59" s="5" t="n"/>
      <c r="S59" s="5" t="n"/>
      <c r="T59" s="5" t="n"/>
      <c r="U59" s="5" t="n">
        <v>108</v>
      </c>
      <c r="V59" s="5" t="n">
        <v>63</v>
      </c>
      <c r="W59" s="5" t="n">
        <v>103</v>
      </c>
      <c r="X59" s="5" t="n">
        <v>74</v>
      </c>
      <c r="Y59" s="14">
        <f>IF(AND(ISNUMBER(C59),C59&gt;0,ISNUMBER(X59)),X59/C59-1,"")</f>
        <v/>
      </c>
    </row>
    <row r="60">
      <c r="A60" s="12" t="inlineStr">
        <is>
          <t>309</t>
        </is>
      </c>
      <c r="B60" s="13" t="inlineStr">
        <is>
          <t>General</t>
        </is>
      </c>
      <c r="C60" s="5" t="n"/>
      <c r="D60" s="5" t="n">
        <v>25</v>
      </c>
      <c r="E60" s="5" t="n">
        <v>59</v>
      </c>
      <c r="F60" s="5" t="n">
        <v>47</v>
      </c>
      <c r="G60" s="5" t="n">
        <v>42</v>
      </c>
      <c r="H60" s="5" t="n">
        <v>32</v>
      </c>
      <c r="I60" s="5" t="n">
        <v>20</v>
      </c>
      <c r="J60" s="5" t="n">
        <v>37</v>
      </c>
      <c r="K60" s="5" t="n">
        <v>34</v>
      </c>
      <c r="L60" s="5" t="n">
        <v>38</v>
      </c>
      <c r="M60" s="5" t="n">
        <v>26</v>
      </c>
      <c r="N60" s="5" t="n">
        <v>17</v>
      </c>
      <c r="O60" s="5" t="n">
        <v>41</v>
      </c>
      <c r="P60" s="5" t="n">
        <v>34</v>
      </c>
      <c r="Q60" s="5" t="n">
        <v>86</v>
      </c>
      <c r="R60" s="5" t="n">
        <v>36</v>
      </c>
      <c r="S60" s="5" t="n">
        <v>48</v>
      </c>
      <c r="T60" s="5" t="n">
        <v>21</v>
      </c>
      <c r="U60" s="5" t="n">
        <v>33</v>
      </c>
      <c r="V60" s="5" t="n">
        <v>23</v>
      </c>
      <c r="W60" s="5" t="n">
        <v>40</v>
      </c>
      <c r="X60" s="5" t="n">
        <v>68</v>
      </c>
      <c r="Y60" s="14">
        <f>IF(AND(ISNUMBER(C60),C60&gt;0,ISNUMBER(X60)),X60/C60-1,"")</f>
        <v/>
      </c>
    </row>
    <row r="61">
      <c r="A61" s="12" t="inlineStr">
        <is>
          <t>310</t>
        </is>
      </c>
      <c r="B61" s="13" t="inlineStr">
        <is>
          <t>General</t>
        </is>
      </c>
      <c r="C61" s="5" t="n">
        <v>44</v>
      </c>
      <c r="D61" s="5" t="n">
        <v>47</v>
      </c>
      <c r="E61" s="5" t="n">
        <v>38</v>
      </c>
      <c r="F61" s="5" t="n">
        <v>33</v>
      </c>
      <c r="G61" s="5" t="n">
        <v>16</v>
      </c>
      <c r="H61" s="5" t="n">
        <v>18</v>
      </c>
      <c r="I61" s="5" t="n">
        <v>9</v>
      </c>
      <c r="J61" s="5" t="n">
        <v>26</v>
      </c>
      <c r="K61" s="5" t="n">
        <v>39</v>
      </c>
      <c r="L61" s="5" t="n">
        <v>6</v>
      </c>
      <c r="M61" s="5" t="n">
        <v>11</v>
      </c>
      <c r="N61" s="5" t="n">
        <v>20</v>
      </c>
      <c r="O61" s="5" t="n">
        <v>18</v>
      </c>
      <c r="P61" s="5" t="n">
        <v>35</v>
      </c>
      <c r="Q61" s="5" t="n">
        <v>28</v>
      </c>
      <c r="R61" s="5" t="n">
        <v>52</v>
      </c>
      <c r="S61" s="5" t="n">
        <v>17</v>
      </c>
      <c r="T61" s="5" t="n">
        <v>31</v>
      </c>
      <c r="U61" s="5" t="n">
        <v>32</v>
      </c>
      <c r="V61" s="5" t="n">
        <v>55</v>
      </c>
      <c r="W61" s="5" t="n">
        <v>39</v>
      </c>
      <c r="X61" s="5" t="n">
        <v>37</v>
      </c>
      <c r="Y61" s="14">
        <f>IF(AND(ISNUMBER(C61),C61&gt;0,ISNUMBER(X61)),X61/C61-1,"")</f>
        <v/>
      </c>
    </row>
    <row r="62">
      <c r="A62" s="12" t="inlineStr">
        <is>
          <t>311</t>
        </is>
      </c>
      <c r="B62" s="13" t="inlineStr">
        <is>
          <t>General</t>
        </is>
      </c>
      <c r="C62" s="5" t="n">
        <v>494</v>
      </c>
      <c r="D62" s="5" t="n">
        <v>437</v>
      </c>
      <c r="E62" s="5" t="n">
        <v>497</v>
      </c>
      <c r="F62" s="5" t="n">
        <v>395</v>
      </c>
      <c r="G62" s="5" t="n">
        <v>343</v>
      </c>
      <c r="H62" s="5" t="n">
        <v>231</v>
      </c>
      <c r="I62" s="5" t="n">
        <v>266</v>
      </c>
      <c r="J62" s="5" t="n">
        <v>293</v>
      </c>
      <c r="K62" s="5" t="n">
        <v>266</v>
      </c>
      <c r="L62" s="5" t="n">
        <v>311</v>
      </c>
      <c r="M62" s="5" t="n">
        <v>190</v>
      </c>
      <c r="N62" s="5" t="n">
        <v>268</v>
      </c>
      <c r="O62" s="5" t="n">
        <v>333</v>
      </c>
      <c r="P62" s="5" t="n">
        <v>437</v>
      </c>
      <c r="Q62" s="5" t="n">
        <v>364</v>
      </c>
      <c r="R62" s="5" t="n">
        <v>342</v>
      </c>
      <c r="S62" s="5" t="n">
        <v>336</v>
      </c>
      <c r="T62" s="5" t="n">
        <v>413</v>
      </c>
      <c r="U62" s="5" t="n">
        <v>306</v>
      </c>
      <c r="V62" s="5" t="n">
        <v>320</v>
      </c>
      <c r="W62" s="5" t="n">
        <v>395</v>
      </c>
      <c r="X62" s="5" t="n">
        <v>295</v>
      </c>
      <c r="Y62" s="14">
        <f>IF(AND(ISNUMBER(C62),C62&gt;0,ISNUMBER(X62)),X62/C62-1,"")</f>
        <v/>
      </c>
    </row>
    <row r="63">
      <c r="A63" s="12" t="inlineStr">
        <is>
          <t>312</t>
        </is>
      </c>
      <c r="B63" s="13" t="inlineStr">
        <is>
          <t>General</t>
        </is>
      </c>
      <c r="C63" s="5" t="n">
        <v>296</v>
      </c>
      <c r="D63" s="5" t="n">
        <v>363</v>
      </c>
      <c r="E63" s="5" t="n">
        <v>428</v>
      </c>
      <c r="F63" s="5" t="n">
        <v>309</v>
      </c>
      <c r="G63" s="5" t="n">
        <v>290</v>
      </c>
      <c r="H63" s="5" t="n">
        <v>207</v>
      </c>
      <c r="I63" s="5" t="n">
        <v>175</v>
      </c>
      <c r="J63" s="5" t="n">
        <v>172</v>
      </c>
      <c r="K63" s="5" t="n">
        <v>155</v>
      </c>
      <c r="L63" s="5" t="n">
        <v>211</v>
      </c>
      <c r="M63" s="5" t="n">
        <v>169</v>
      </c>
      <c r="N63" s="5" t="n">
        <v>152</v>
      </c>
      <c r="O63" s="5" t="n">
        <v>299</v>
      </c>
      <c r="P63" s="5" t="n">
        <v>169</v>
      </c>
      <c r="Q63" s="5" t="n">
        <v>186</v>
      </c>
      <c r="R63" s="5" t="n">
        <v>195</v>
      </c>
      <c r="S63" s="5" t="n">
        <v>216</v>
      </c>
      <c r="T63" s="5" t="n">
        <v>194</v>
      </c>
      <c r="U63" s="5" t="n">
        <v>191</v>
      </c>
      <c r="V63" s="5" t="n">
        <v>189</v>
      </c>
      <c r="W63" s="5" t="n">
        <v>171</v>
      </c>
      <c r="X63" s="5" t="n">
        <v>178</v>
      </c>
      <c r="Y63" s="14">
        <f>IF(AND(ISNUMBER(C63),C63&gt;0,ISNUMBER(X63)),X63/C63-1,"")</f>
        <v/>
      </c>
    </row>
    <row r="64">
      <c r="A64" s="12" t="inlineStr">
        <is>
          <t>313</t>
        </is>
      </c>
      <c r="B64" s="13" t="inlineStr">
        <is>
          <t>General</t>
        </is>
      </c>
      <c r="C64" s="5" t="n">
        <v>270</v>
      </c>
      <c r="D64" s="5" t="n">
        <v>336</v>
      </c>
      <c r="E64" s="5" t="n">
        <v>482</v>
      </c>
      <c r="F64" s="5" t="n">
        <v>299</v>
      </c>
      <c r="G64" s="5" t="n">
        <v>250</v>
      </c>
      <c r="H64" s="5" t="n">
        <v>287</v>
      </c>
      <c r="I64" s="5" t="n">
        <v>221</v>
      </c>
      <c r="J64" s="5" t="n">
        <v>230</v>
      </c>
      <c r="K64" s="5" t="n">
        <v>160</v>
      </c>
      <c r="L64" s="5" t="n">
        <v>246</v>
      </c>
      <c r="M64" s="5" t="n">
        <v>202</v>
      </c>
      <c r="N64" s="5" t="n">
        <v>206</v>
      </c>
      <c r="O64" s="5" t="n">
        <v>264</v>
      </c>
      <c r="P64" s="5" t="n">
        <v>303</v>
      </c>
      <c r="Q64" s="5" t="n">
        <v>258</v>
      </c>
      <c r="R64" s="5" t="n">
        <v>234</v>
      </c>
      <c r="S64" s="5" t="n">
        <v>174</v>
      </c>
      <c r="T64" s="5" t="n">
        <v>164</v>
      </c>
      <c r="U64" s="5" t="n">
        <v>189</v>
      </c>
      <c r="V64" s="5" t="n">
        <v>156</v>
      </c>
      <c r="W64" s="5" t="n">
        <v>233</v>
      </c>
      <c r="X64" s="5" t="n">
        <v>198</v>
      </c>
      <c r="Y64" s="14">
        <f>IF(AND(ISNUMBER(C64),C64&gt;0,ISNUMBER(X64)),X64/C64-1,"")</f>
        <v/>
      </c>
    </row>
    <row r="65">
      <c r="A65" s="12" t="inlineStr">
        <is>
          <t>314</t>
        </is>
      </c>
      <c r="B65" s="13" t="inlineStr">
        <is>
          <t>General</t>
        </is>
      </c>
      <c r="C65" s="5" t="n">
        <v>529</v>
      </c>
      <c r="D65" s="5" t="n">
        <v>380</v>
      </c>
      <c r="E65" s="5" t="n">
        <v>448</v>
      </c>
      <c r="F65" s="5" t="n">
        <v>370</v>
      </c>
      <c r="G65" s="5" t="n">
        <v>337</v>
      </c>
      <c r="H65" s="5" t="n">
        <v>303</v>
      </c>
      <c r="I65" s="5" t="n">
        <v>288</v>
      </c>
      <c r="J65" s="5" t="n">
        <v>312</v>
      </c>
      <c r="K65" s="5" t="n">
        <v>248</v>
      </c>
      <c r="L65" s="5" t="n">
        <v>231</v>
      </c>
      <c r="M65" s="5" t="n">
        <v>253</v>
      </c>
      <c r="N65" s="5" t="n">
        <v>186</v>
      </c>
      <c r="O65" s="5" t="n">
        <v>291</v>
      </c>
      <c r="P65" s="5" t="n">
        <v>218</v>
      </c>
      <c r="Q65" s="5" t="n">
        <v>244</v>
      </c>
      <c r="R65" s="5" t="n">
        <v>231</v>
      </c>
      <c r="S65" s="5" t="n">
        <v>192</v>
      </c>
      <c r="T65" s="5" t="n">
        <v>233</v>
      </c>
      <c r="U65" s="5" t="n">
        <v>236</v>
      </c>
      <c r="V65" s="5" t="n">
        <v>235</v>
      </c>
      <c r="W65" s="5" t="n">
        <v>335</v>
      </c>
      <c r="X65" s="5" t="n">
        <v>307</v>
      </c>
      <c r="Y65" s="14">
        <f>IF(AND(ISNUMBER(C65),C65&gt;0,ISNUMBER(X65)),X65/C65-1,"")</f>
        <v/>
      </c>
    </row>
    <row r="66">
      <c r="A66" s="12" t="inlineStr">
        <is>
          <t>315</t>
        </is>
      </c>
      <c r="B66" s="13" t="inlineStr">
        <is>
          <t>General</t>
        </is>
      </c>
      <c r="C66" s="5" t="n">
        <v>804</v>
      </c>
      <c r="D66" s="5" t="n">
        <v>612</v>
      </c>
      <c r="E66" s="5" t="n">
        <v>580</v>
      </c>
      <c r="F66" s="5" t="n">
        <v>577</v>
      </c>
      <c r="G66" s="5" t="n">
        <v>467</v>
      </c>
      <c r="H66" s="5" t="n">
        <v>468</v>
      </c>
      <c r="I66" s="5" t="n">
        <v>433</v>
      </c>
      <c r="J66" s="5" t="n">
        <v>400</v>
      </c>
      <c r="K66" s="5" t="n">
        <v>316</v>
      </c>
      <c r="L66" s="5" t="n">
        <v>256</v>
      </c>
      <c r="M66" s="5" t="n">
        <v>229</v>
      </c>
      <c r="N66" s="5" t="n">
        <v>246</v>
      </c>
      <c r="O66" s="5" t="n">
        <v>289</v>
      </c>
      <c r="P66" s="5" t="n">
        <v>265</v>
      </c>
      <c r="Q66" s="5" t="n">
        <v>204</v>
      </c>
      <c r="R66" s="5" t="n">
        <v>150</v>
      </c>
      <c r="S66" s="5" t="n">
        <v>247</v>
      </c>
      <c r="T66" s="5" t="n">
        <v>197</v>
      </c>
      <c r="U66" s="5" t="n">
        <v>293</v>
      </c>
      <c r="V66" s="5" t="n">
        <v>253</v>
      </c>
      <c r="W66" s="5" t="n">
        <v>321</v>
      </c>
      <c r="X66" s="5" t="n">
        <v>316</v>
      </c>
      <c r="Y66" s="14">
        <f>IF(AND(ISNUMBER(C66),C66&gt;0,ISNUMBER(X66)),X66/C66-1,"")</f>
        <v/>
      </c>
    </row>
    <row r="67">
      <c r="A67" s="12" t="inlineStr">
        <is>
          <t>316</t>
        </is>
      </c>
      <c r="B67" s="13" t="inlineStr">
        <is>
          <t>General</t>
        </is>
      </c>
      <c r="C67" s="5" t="n">
        <v>27</v>
      </c>
      <c r="D67" s="5" t="n">
        <v>35</v>
      </c>
      <c r="E67" s="5" t="n">
        <v>22</v>
      </c>
      <c r="F67" s="5" t="n">
        <v>30</v>
      </c>
      <c r="G67" s="5" t="n">
        <v>24</v>
      </c>
      <c r="H67" s="5" t="n">
        <v>23</v>
      </c>
      <c r="I67" s="5" t="n">
        <v>11</v>
      </c>
      <c r="J67" s="5" t="n">
        <v>6</v>
      </c>
      <c r="K67" s="5" t="n">
        <v>17</v>
      </c>
      <c r="L67" s="5" t="n">
        <v>14</v>
      </c>
      <c r="M67" s="5" t="n">
        <v>17</v>
      </c>
      <c r="N67" s="5" t="n">
        <v>22</v>
      </c>
      <c r="O67" s="5" t="n">
        <v>23</v>
      </c>
      <c r="P67" s="5" t="n">
        <v>30</v>
      </c>
      <c r="Q67" s="5" t="n">
        <v>27</v>
      </c>
      <c r="R67" s="5" t="n">
        <v>24</v>
      </c>
      <c r="S67" s="5" t="n"/>
      <c r="T67" s="5" t="n">
        <v>11</v>
      </c>
      <c r="U67" s="5" t="n">
        <v>17</v>
      </c>
      <c r="V67" s="5" t="n">
        <v>23</v>
      </c>
      <c r="W67" s="5" t="n">
        <v>42</v>
      </c>
      <c r="X67" s="5" t="n">
        <v>72</v>
      </c>
      <c r="Y67" s="14">
        <f>IF(AND(ISNUMBER(C67),C67&gt;0,ISNUMBER(X67)),X67/C67-1,"")</f>
        <v/>
      </c>
    </row>
    <row r="68">
      <c r="A68" s="12" t="inlineStr">
        <is>
          <t>317</t>
        </is>
      </c>
      <c r="B68" s="13" t="inlineStr">
        <is>
          <t>General</t>
        </is>
      </c>
      <c r="C68" s="5" t="n">
        <v>227</v>
      </c>
      <c r="D68" s="5" t="n">
        <v>212</v>
      </c>
      <c r="E68" s="5" t="n">
        <v>251</v>
      </c>
      <c r="F68" s="5" t="n">
        <v>203</v>
      </c>
      <c r="G68" s="5" t="n">
        <v>179</v>
      </c>
      <c r="H68" s="5" t="n">
        <v>134</v>
      </c>
      <c r="I68" s="5" t="n">
        <v>158</v>
      </c>
      <c r="J68" s="5" t="n">
        <v>178</v>
      </c>
      <c r="K68" s="5" t="n">
        <v>181</v>
      </c>
      <c r="L68" s="5" t="n">
        <v>178</v>
      </c>
      <c r="M68" s="5" t="n">
        <v>190</v>
      </c>
      <c r="N68" s="5" t="n">
        <v>163</v>
      </c>
      <c r="O68" s="5" t="n">
        <v>243</v>
      </c>
      <c r="P68" s="5" t="n">
        <v>247</v>
      </c>
      <c r="Q68" s="5" t="n">
        <v>306</v>
      </c>
      <c r="R68" s="5" t="n">
        <v>207</v>
      </c>
      <c r="S68" s="5" t="n">
        <v>195</v>
      </c>
      <c r="T68" s="5" t="n">
        <v>217</v>
      </c>
      <c r="U68" s="5" t="n">
        <v>298</v>
      </c>
      <c r="V68" s="5" t="n">
        <v>241</v>
      </c>
      <c r="W68" s="5" t="n">
        <v>184</v>
      </c>
      <c r="X68" s="5" t="n">
        <v>205</v>
      </c>
      <c r="Y68" s="14">
        <f>IF(AND(ISNUMBER(C68),C68&gt;0,ISNUMBER(X68)),X68/C68-1,"")</f>
        <v/>
      </c>
    </row>
    <row r="69">
      <c r="A69" s="12" t="inlineStr">
        <is>
          <t>318</t>
        </is>
      </c>
      <c r="B69" s="13" t="inlineStr">
        <is>
          <t>General</t>
        </is>
      </c>
      <c r="C69" s="5" t="n">
        <v>167</v>
      </c>
      <c r="D69" s="5" t="n">
        <v>122</v>
      </c>
      <c r="E69" s="5" t="n">
        <v>139</v>
      </c>
      <c r="F69" s="5" t="n">
        <v>109</v>
      </c>
      <c r="G69" s="5" t="n">
        <v>69</v>
      </c>
      <c r="H69" s="5" t="n">
        <v>81</v>
      </c>
      <c r="I69" s="5" t="n">
        <v>88</v>
      </c>
      <c r="J69" s="5" t="n">
        <v>95</v>
      </c>
      <c r="K69" s="5" t="n">
        <v>75</v>
      </c>
      <c r="L69" s="5" t="n">
        <v>107</v>
      </c>
      <c r="M69" s="5" t="n">
        <v>60</v>
      </c>
      <c r="N69" s="5" t="n">
        <v>110</v>
      </c>
      <c r="O69" s="5" t="n">
        <v>86</v>
      </c>
      <c r="P69" s="5" t="n">
        <v>98</v>
      </c>
      <c r="Q69" s="5" t="n">
        <v>68</v>
      </c>
      <c r="R69" s="5" t="n">
        <v>37</v>
      </c>
      <c r="S69" s="5" t="n">
        <v>90</v>
      </c>
      <c r="T69" s="5" t="n">
        <v>91</v>
      </c>
      <c r="U69" s="5" t="n">
        <v>93</v>
      </c>
      <c r="V69" s="5" t="n">
        <v>101</v>
      </c>
      <c r="W69" s="5" t="n">
        <v>151</v>
      </c>
      <c r="X69" s="5" t="n">
        <v>78</v>
      </c>
      <c r="Y69" s="14">
        <f>IF(AND(ISNUMBER(C69),C69&gt;0,ISNUMBER(X69)),X69/C69-1,"")</f>
        <v/>
      </c>
    </row>
    <row r="70">
      <c r="A70" s="12" t="inlineStr">
        <is>
          <t>319</t>
        </is>
      </c>
      <c r="B70" s="15" t="inlineStr">
        <is>
          <t>Draw</t>
        </is>
      </c>
      <c r="C70" s="5" t="n">
        <v>175</v>
      </c>
      <c r="D70" s="5" t="n">
        <v>225</v>
      </c>
      <c r="E70" s="5" t="n">
        <v>168</v>
      </c>
      <c r="F70" s="5" t="n">
        <v>143</v>
      </c>
      <c r="G70" s="5" t="n">
        <v>125</v>
      </c>
      <c r="H70" s="5" t="n">
        <v>78</v>
      </c>
      <c r="I70" s="5" t="n">
        <v>78</v>
      </c>
      <c r="J70" s="5" t="n">
        <v>76</v>
      </c>
      <c r="K70" s="5" t="n">
        <v>77</v>
      </c>
      <c r="L70" s="5" t="n">
        <v>84</v>
      </c>
      <c r="M70" s="5" t="n">
        <v>87</v>
      </c>
      <c r="N70" s="5" t="n">
        <v>103</v>
      </c>
      <c r="O70" s="5" t="n">
        <v>122</v>
      </c>
      <c r="P70" s="5" t="n">
        <v>88</v>
      </c>
      <c r="Q70" s="5" t="n">
        <v>69</v>
      </c>
      <c r="R70" s="5" t="n">
        <v>81</v>
      </c>
      <c r="S70" s="5" t="n">
        <v>66</v>
      </c>
      <c r="T70" s="5" t="n">
        <v>57</v>
      </c>
      <c r="U70" s="5" t="n">
        <v>106</v>
      </c>
      <c r="V70" s="5" t="n">
        <v>67</v>
      </c>
      <c r="W70" s="5" t="n">
        <v>94</v>
      </c>
      <c r="X70" s="5" t="n">
        <v>89</v>
      </c>
      <c r="Y70" s="14">
        <f>IF(AND(ISNUMBER(C70),C70&gt;0,ISNUMBER(X70)),X70/C70-1,"")</f>
        <v/>
      </c>
    </row>
    <row r="71">
      <c r="A71" s="12" t="inlineStr">
        <is>
          <t>320</t>
        </is>
      </c>
      <c r="B71" s="13" t="inlineStr">
        <is>
          <t>General</t>
        </is>
      </c>
      <c r="C71" s="5" t="n">
        <v>257</v>
      </c>
      <c r="D71" s="5" t="n">
        <v>306</v>
      </c>
      <c r="E71" s="5" t="n">
        <v>309</v>
      </c>
      <c r="F71" s="5" t="n">
        <v>257</v>
      </c>
      <c r="G71" s="5" t="n">
        <v>196</v>
      </c>
      <c r="H71" s="5" t="n">
        <v>126</v>
      </c>
      <c r="I71" s="5" t="n">
        <v>141</v>
      </c>
      <c r="J71" s="5" t="n">
        <v>101</v>
      </c>
      <c r="K71" s="5" t="n">
        <v>117</v>
      </c>
      <c r="L71" s="5" t="n">
        <v>136</v>
      </c>
      <c r="M71" s="5" t="n">
        <v>122</v>
      </c>
      <c r="N71" s="5" t="n">
        <v>135</v>
      </c>
      <c r="O71" s="5" t="n">
        <v>283</v>
      </c>
      <c r="P71" s="5" t="n">
        <v>269</v>
      </c>
      <c r="Q71" s="5" t="n">
        <v>217</v>
      </c>
      <c r="R71" s="5" t="n">
        <v>182</v>
      </c>
      <c r="S71" s="5" t="n">
        <v>208</v>
      </c>
      <c r="T71" s="5" t="n">
        <v>263</v>
      </c>
      <c r="U71" s="5" t="n">
        <v>434</v>
      </c>
      <c r="V71" s="5" t="n">
        <v>393</v>
      </c>
      <c r="W71" s="5" t="n">
        <v>381</v>
      </c>
      <c r="X71" s="5" t="n">
        <v>396</v>
      </c>
      <c r="Y71" s="14">
        <f>IF(AND(ISNUMBER(C71),C71&gt;0,ISNUMBER(X71)),X71/C71-1,"")</f>
        <v/>
      </c>
    </row>
    <row r="72">
      <c r="A72" s="12" t="inlineStr">
        <is>
          <t>321</t>
        </is>
      </c>
      <c r="B72" s="13" t="inlineStr">
        <is>
          <t>General</t>
        </is>
      </c>
      <c r="C72" s="5" t="n">
        <v>67</v>
      </c>
      <c r="D72" s="5" t="n">
        <v>58</v>
      </c>
      <c r="E72" s="5" t="n">
        <v>86</v>
      </c>
      <c r="F72" s="5" t="n">
        <v>45</v>
      </c>
      <c r="G72" s="5" t="n">
        <v>32</v>
      </c>
      <c r="H72" s="5" t="n">
        <v>37</v>
      </c>
      <c r="I72" s="5" t="n">
        <v>28</v>
      </c>
      <c r="J72" s="5" t="n">
        <v>22</v>
      </c>
      <c r="K72" s="5" t="n">
        <v>28</v>
      </c>
      <c r="L72" s="5" t="n">
        <v>17</v>
      </c>
      <c r="M72" s="5" t="n">
        <v>23</v>
      </c>
      <c r="N72" s="5" t="n">
        <v>9</v>
      </c>
      <c r="O72" s="5" t="n">
        <v>51</v>
      </c>
      <c r="P72" s="5" t="n">
        <v>32</v>
      </c>
      <c r="Q72" s="5" t="n">
        <v>28</v>
      </c>
      <c r="R72" s="5" t="n">
        <v>17</v>
      </c>
      <c r="S72" s="5" t="n">
        <v>29</v>
      </c>
      <c r="T72" s="5" t="n">
        <v>30</v>
      </c>
      <c r="U72" s="5" t="n">
        <v>54</v>
      </c>
      <c r="V72" s="5" t="n">
        <v>93</v>
      </c>
      <c r="W72" s="5" t="n">
        <v>65</v>
      </c>
      <c r="X72" s="5" t="n">
        <v>85</v>
      </c>
      <c r="Y72" s="14">
        <f>IF(AND(ISNUMBER(C72),C72&gt;0,ISNUMBER(X72)),X72/C72-1,"")</f>
        <v/>
      </c>
    </row>
    <row r="73">
      <c r="A73" s="12" t="inlineStr">
        <is>
          <t>322</t>
        </is>
      </c>
      <c r="B73" s="13" t="inlineStr">
        <is>
          <t>General</t>
        </is>
      </c>
      <c r="C73" s="5" t="n">
        <v>144</v>
      </c>
      <c r="D73" s="5" t="n">
        <v>351</v>
      </c>
      <c r="E73" s="5" t="n">
        <v>336</v>
      </c>
      <c r="F73" s="5" t="n">
        <v>332</v>
      </c>
      <c r="G73" s="5" t="n">
        <v>206</v>
      </c>
      <c r="H73" s="5" t="n">
        <v>223</v>
      </c>
      <c r="I73" s="5" t="n">
        <v>110</v>
      </c>
      <c r="J73" s="5" t="n">
        <v>131</v>
      </c>
      <c r="K73" s="5" t="n">
        <v>148</v>
      </c>
      <c r="L73" s="5" t="n">
        <v>184</v>
      </c>
      <c r="M73" s="5" t="n">
        <v>169</v>
      </c>
      <c r="N73" s="5" t="n">
        <v>163</v>
      </c>
      <c r="O73" s="5" t="n">
        <v>268</v>
      </c>
      <c r="P73" s="5" t="n">
        <v>230</v>
      </c>
      <c r="Q73" s="5" t="n">
        <v>323</v>
      </c>
      <c r="R73" s="5" t="n">
        <v>221</v>
      </c>
      <c r="S73" s="5" t="n">
        <v>220</v>
      </c>
      <c r="T73" s="5" t="n">
        <v>239</v>
      </c>
      <c r="U73" s="5" t="n">
        <v>1304</v>
      </c>
      <c r="V73" s="5" t="n">
        <v>1248</v>
      </c>
      <c r="W73" s="5" t="n">
        <v>338</v>
      </c>
      <c r="X73" s="5" t="n">
        <v>261</v>
      </c>
      <c r="Y73" s="14">
        <f>IF(AND(ISNUMBER(C73),C73&gt;0,ISNUMBER(X73)),X73/C73-1,"")</f>
        <v/>
      </c>
    </row>
    <row r="74">
      <c r="A74" s="12" t="inlineStr">
        <is>
          <t>323</t>
        </is>
      </c>
      <c r="B74" s="13" t="inlineStr">
        <is>
          <t>General</t>
        </is>
      </c>
      <c r="C74" s="5" t="n">
        <v>73</v>
      </c>
      <c r="D74" s="5" t="n">
        <v>60</v>
      </c>
      <c r="E74" s="5" t="n">
        <v>57</v>
      </c>
      <c r="F74" s="5" t="n">
        <v>46</v>
      </c>
      <c r="G74" s="5" t="n">
        <v>31</v>
      </c>
      <c r="H74" s="5" t="n">
        <v>37</v>
      </c>
      <c r="I74" s="5" t="n">
        <v>19</v>
      </c>
      <c r="J74" s="5" t="n">
        <v>20</v>
      </c>
      <c r="K74" s="5" t="n">
        <v>47</v>
      </c>
      <c r="L74" s="5" t="n">
        <v>45</v>
      </c>
      <c r="M74" s="5" t="n">
        <v>65</v>
      </c>
      <c r="N74" s="5" t="n">
        <v>49</v>
      </c>
      <c r="O74" s="5" t="n">
        <v>80</v>
      </c>
      <c r="P74" s="5" t="n">
        <v>53</v>
      </c>
      <c r="Q74" s="5" t="n">
        <v>77</v>
      </c>
      <c r="R74" s="5" t="n">
        <v>75</v>
      </c>
      <c r="S74" s="5" t="n">
        <v>55</v>
      </c>
      <c r="T74" s="5" t="n">
        <v>56</v>
      </c>
      <c r="U74" s="5" t="n"/>
      <c r="V74" s="5" t="n"/>
      <c r="W74" s="5" t="n">
        <v>474</v>
      </c>
      <c r="X74" s="5" t="n">
        <v>400</v>
      </c>
      <c r="Y74" s="14">
        <f>IF(AND(ISNUMBER(C74),C74&gt;0,ISNUMBER(X74)),X74/C74-1,"")</f>
        <v/>
      </c>
    </row>
    <row r="75">
      <c r="A75" s="12" t="inlineStr">
        <is>
          <t>324</t>
        </is>
      </c>
      <c r="B75" s="13" t="inlineStr">
        <is>
          <t>General</t>
        </is>
      </c>
      <c r="C75" s="5" t="n">
        <v>71</v>
      </c>
      <c r="D75" s="5" t="n">
        <v>68</v>
      </c>
      <c r="E75" s="5" t="n">
        <v>89</v>
      </c>
      <c r="F75" s="5" t="n">
        <v>54</v>
      </c>
      <c r="G75" s="5" t="n">
        <v>42</v>
      </c>
      <c r="H75" s="5" t="n">
        <v>44</v>
      </c>
      <c r="I75" s="5" t="n">
        <v>26</v>
      </c>
      <c r="J75" s="5" t="n">
        <v>22</v>
      </c>
      <c r="K75" s="5" t="n">
        <v>42</v>
      </c>
      <c r="L75" s="5" t="n">
        <v>25</v>
      </c>
      <c r="M75" s="5" t="n">
        <v>35</v>
      </c>
      <c r="N75" s="5" t="n">
        <v>50</v>
      </c>
      <c r="O75" s="5" t="n">
        <v>41</v>
      </c>
      <c r="P75" s="5" t="n">
        <v>44</v>
      </c>
      <c r="Q75" s="5" t="n">
        <v>31</v>
      </c>
      <c r="R75" s="5" t="n">
        <v>53</v>
      </c>
      <c r="S75" s="5" t="n">
        <v>43</v>
      </c>
      <c r="T75" s="5" t="n">
        <v>60</v>
      </c>
      <c r="U75" s="5" t="n"/>
      <c r="V75" s="5" t="n"/>
      <c r="W75" s="5" t="n">
        <v>295</v>
      </c>
      <c r="X75" s="5" t="n">
        <v>274</v>
      </c>
      <c r="Y75" s="14">
        <f>IF(AND(ISNUMBER(C75),C75&gt;0,ISNUMBER(X75)),X75/C75-1,"")</f>
        <v/>
      </c>
    </row>
    <row r="76">
      <c r="A76" s="12" t="inlineStr">
        <is>
          <t>325</t>
        </is>
      </c>
      <c r="B76" s="4" t="inlineStr"/>
      <c r="C76" s="5" t="n">
        <v>594</v>
      </c>
      <c r="D76" s="5" t="n">
        <v>458</v>
      </c>
      <c r="E76" s="5" t="n">
        <v>566</v>
      </c>
      <c r="F76" s="5" t="n">
        <v>408</v>
      </c>
      <c r="G76" s="5" t="n">
        <v>376</v>
      </c>
      <c r="H76" s="5" t="n">
        <v>366</v>
      </c>
      <c r="I76" s="5" t="n">
        <v>164</v>
      </c>
      <c r="J76" s="5" t="n">
        <v>177</v>
      </c>
      <c r="K76" s="5" t="n">
        <v>218</v>
      </c>
      <c r="L76" s="5" t="n">
        <v>209</v>
      </c>
      <c r="M76" s="5" t="n">
        <v>263</v>
      </c>
      <c r="N76" s="5" t="n">
        <v>263</v>
      </c>
      <c r="O76" s="5" t="n">
        <v>434</v>
      </c>
      <c r="P76" s="5" t="n">
        <v>309</v>
      </c>
      <c r="Q76" s="5" t="n">
        <v>334</v>
      </c>
      <c r="R76" s="5" t="n">
        <v>381</v>
      </c>
      <c r="S76" s="5" t="n">
        <v>371</v>
      </c>
      <c r="T76" s="5" t="n">
        <v>463</v>
      </c>
      <c r="U76" s="5" t="n"/>
      <c r="V76" s="5" t="n"/>
      <c r="W76" s="5" t="n"/>
      <c r="X76" s="5" t="n"/>
      <c r="Y76" s="14">
        <f>IF(AND(ISNUMBER(C76),C76&gt;0,ISNUMBER(X76)),X76/C76-1,"")</f>
        <v/>
      </c>
    </row>
    <row r="77">
      <c r="A77" s="12" t="inlineStr">
        <is>
          <t>326</t>
        </is>
      </c>
      <c r="B77" s="4" t="inlineStr"/>
      <c r="C77" s="5" t="n">
        <v>487</v>
      </c>
      <c r="D77" s="5" t="n">
        <v>403</v>
      </c>
      <c r="E77" s="5" t="n">
        <v>337</v>
      </c>
      <c r="F77" s="5" t="n">
        <v>380</v>
      </c>
      <c r="G77" s="5" t="n">
        <v>208</v>
      </c>
      <c r="H77" s="5" t="n">
        <v>224</v>
      </c>
      <c r="I77" s="5" t="n">
        <v>86</v>
      </c>
      <c r="J77" s="5" t="n">
        <v>119</v>
      </c>
      <c r="K77" s="5" t="n">
        <v>92</v>
      </c>
      <c r="L77" s="5" t="n">
        <v>70</v>
      </c>
      <c r="M77" s="5" t="n">
        <v>99</v>
      </c>
      <c r="N77" s="5" t="n">
        <v>97</v>
      </c>
      <c r="O77" s="5" t="n">
        <v>128</v>
      </c>
      <c r="P77" s="5" t="n">
        <v>156</v>
      </c>
      <c r="Q77" s="5" t="n">
        <v>93</v>
      </c>
      <c r="R77" s="5" t="n">
        <v>176</v>
      </c>
      <c r="S77" s="5" t="n">
        <v>147</v>
      </c>
      <c r="T77" s="5" t="n">
        <v>150</v>
      </c>
      <c r="U77" s="5" t="n"/>
      <c r="V77" s="5" t="n"/>
      <c r="W77" s="5" t="n"/>
      <c r="X77" s="5" t="n"/>
      <c r="Y77" s="14">
        <f>IF(AND(ISNUMBER(C77),C77&gt;0,ISNUMBER(X77)),X77/C77-1,"")</f>
        <v/>
      </c>
    </row>
    <row r="78">
      <c r="A78" s="12" t="inlineStr">
        <is>
          <t>327</t>
        </is>
      </c>
      <c r="B78" s="4" t="inlineStr"/>
      <c r="C78" s="5" t="n">
        <v>42</v>
      </c>
      <c r="D78" s="5" t="n">
        <v>32</v>
      </c>
      <c r="E78" s="5" t="n">
        <v>26</v>
      </c>
      <c r="F78" s="5" t="n">
        <v>50</v>
      </c>
      <c r="G78" s="5" t="n">
        <v>39</v>
      </c>
      <c r="H78" s="5" t="n">
        <v>34</v>
      </c>
      <c r="I78" s="5" t="n">
        <v>39</v>
      </c>
      <c r="J78" s="5" t="n">
        <v>28</v>
      </c>
      <c r="K78" s="5" t="n">
        <v>42</v>
      </c>
      <c r="L78" s="5" t="n">
        <v>33</v>
      </c>
      <c r="M78" s="5" t="n">
        <v>59</v>
      </c>
      <c r="N78" s="5" t="n">
        <v>83</v>
      </c>
      <c r="O78" s="5" t="n">
        <v>65</v>
      </c>
      <c r="P78" s="5" t="n">
        <v>29</v>
      </c>
      <c r="Q78" s="5" t="n">
        <v>69</v>
      </c>
      <c r="R78" s="5" t="n">
        <v>54</v>
      </c>
      <c r="S78" s="5" t="n">
        <v>60</v>
      </c>
      <c r="T78" s="5" t="n">
        <v>70</v>
      </c>
      <c r="U78" s="5" t="n"/>
      <c r="V78" s="5" t="n"/>
      <c r="W78" s="5" t="n"/>
      <c r="X78" s="5" t="n"/>
      <c r="Y78" s="14">
        <f>IF(AND(ISNUMBER(C78),C78&gt;0,ISNUMBER(X78)),X78/C78-1,"")</f>
        <v/>
      </c>
    </row>
    <row r="79">
      <c r="A79" s="12" t="inlineStr">
        <is>
          <t>328</t>
        </is>
      </c>
      <c r="B79" s="4" t="inlineStr"/>
      <c r="C79" s="5" t="n">
        <v>45</v>
      </c>
      <c r="D79" s="5" t="n">
        <v>48</v>
      </c>
      <c r="E79" s="5" t="n">
        <v>32</v>
      </c>
      <c r="F79" s="5" t="n">
        <v>44</v>
      </c>
      <c r="G79" s="5" t="n">
        <v>35</v>
      </c>
      <c r="H79" s="5" t="n">
        <v>19</v>
      </c>
      <c r="I79" s="5" t="n">
        <v>20</v>
      </c>
      <c r="J79" s="5" t="n">
        <v>39</v>
      </c>
      <c r="K79" s="5" t="n">
        <v>27</v>
      </c>
      <c r="L79" s="5" t="n">
        <v>38</v>
      </c>
      <c r="M79" s="5" t="n">
        <v>38</v>
      </c>
      <c r="N79" s="5" t="n">
        <v>31</v>
      </c>
      <c r="O79" s="5" t="n">
        <v>59</v>
      </c>
      <c r="P79" s="5" t="n">
        <v>19</v>
      </c>
      <c r="Q79" s="5" t="n">
        <v>28</v>
      </c>
      <c r="R79" s="5" t="n">
        <v>42</v>
      </c>
      <c r="S79" s="5" t="n">
        <v>37</v>
      </c>
      <c r="T79" s="5" t="n">
        <v>57</v>
      </c>
      <c r="U79" s="5" t="n"/>
      <c r="V79" s="5" t="n"/>
      <c r="W79" s="5" t="n"/>
      <c r="X79" s="5" t="n"/>
      <c r="Y79" s="14">
        <f>IF(AND(ISNUMBER(C79),C79&gt;0,ISNUMBER(X79)),X79/C79-1,"")</f>
        <v/>
      </c>
    </row>
    <row r="80">
      <c r="A80" s="12" t="inlineStr">
        <is>
          <t>329</t>
        </is>
      </c>
      <c r="B80" s="13" t="inlineStr">
        <is>
          <t>General</t>
        </is>
      </c>
      <c r="C80" s="5" t="n">
        <v>124</v>
      </c>
      <c r="D80" s="5" t="n">
        <v>138</v>
      </c>
      <c r="E80" s="5" t="n">
        <v>154</v>
      </c>
      <c r="F80" s="5" t="n">
        <v>108</v>
      </c>
      <c r="G80" s="5" t="n">
        <v>112</v>
      </c>
      <c r="H80" s="5" t="n">
        <v>70</v>
      </c>
      <c r="I80" s="5" t="n">
        <v>44</v>
      </c>
      <c r="J80" s="5" t="n">
        <v>60</v>
      </c>
      <c r="K80" s="5" t="n">
        <v>47</v>
      </c>
      <c r="L80" s="5" t="n">
        <v>61</v>
      </c>
      <c r="M80" s="5" t="n">
        <v>78</v>
      </c>
      <c r="N80" s="5" t="n">
        <v>74</v>
      </c>
      <c r="O80" s="5" t="n">
        <v>209</v>
      </c>
      <c r="P80" s="5" t="n">
        <v>162</v>
      </c>
      <c r="Q80" s="5" t="n">
        <v>152</v>
      </c>
      <c r="R80" s="5" t="n">
        <v>134</v>
      </c>
      <c r="S80" s="5" t="n">
        <v>156</v>
      </c>
      <c r="T80" s="5" t="n">
        <v>123</v>
      </c>
      <c r="U80" s="5" t="n">
        <v>116</v>
      </c>
      <c r="V80" s="5" t="n">
        <v>136</v>
      </c>
      <c r="W80" s="5" t="n">
        <v>160</v>
      </c>
      <c r="X80" s="5" t="n">
        <v>192</v>
      </c>
      <c r="Y80" s="14">
        <f>IF(AND(ISNUMBER(C80),C80&gt;0,ISNUMBER(X80)),X80/C80-1,"")</f>
        <v/>
      </c>
    </row>
    <row r="81">
      <c r="A81" s="12" t="inlineStr">
        <is>
          <t>330</t>
        </is>
      </c>
      <c r="B81" s="4" t="inlineStr"/>
      <c r="C81" s="5" t="n">
        <v>246</v>
      </c>
      <c r="D81" s="5" t="n">
        <v>260</v>
      </c>
      <c r="E81" s="5" t="n">
        <v>303</v>
      </c>
      <c r="F81" s="5" t="n">
        <v>199</v>
      </c>
      <c r="G81" s="5" t="n">
        <v>150</v>
      </c>
      <c r="H81" s="5" t="n">
        <v>150</v>
      </c>
      <c r="I81" s="5" t="n">
        <v>112</v>
      </c>
      <c r="J81" s="5" t="n">
        <v>115</v>
      </c>
      <c r="K81" s="5" t="n">
        <v>101</v>
      </c>
      <c r="L81" s="5" t="n">
        <v>125</v>
      </c>
      <c r="M81" s="5" t="n">
        <v>126</v>
      </c>
      <c r="N81" s="5" t="n">
        <v>154</v>
      </c>
      <c r="O81" s="5" t="n">
        <v>209</v>
      </c>
      <c r="P81" s="5" t="n">
        <v>152</v>
      </c>
      <c r="Q81" s="5" t="n">
        <v>154</v>
      </c>
      <c r="R81" s="5" t="n">
        <v>139</v>
      </c>
      <c r="S81" s="5" t="n">
        <v>189</v>
      </c>
      <c r="T81" s="5" t="n">
        <v>200</v>
      </c>
      <c r="U81" s="5" t="n"/>
      <c r="V81" s="5" t="n"/>
      <c r="W81" s="5" t="n"/>
      <c r="X81" s="5" t="n"/>
      <c r="Y81" s="14">
        <f>IF(AND(ISNUMBER(C81),C81&gt;0,ISNUMBER(X81)),X81/C81-1,"")</f>
        <v/>
      </c>
    </row>
    <row r="82">
      <c r="A82" s="12" t="inlineStr">
        <is>
          <t>331</t>
        </is>
      </c>
      <c r="B82" s="13" t="inlineStr">
        <is>
          <t>General</t>
        </is>
      </c>
      <c r="C82" s="5" t="n">
        <v>384</v>
      </c>
      <c r="D82" s="5" t="n">
        <v>392</v>
      </c>
      <c r="E82" s="5" t="n">
        <v>434</v>
      </c>
      <c r="F82" s="5" t="n">
        <v>332</v>
      </c>
      <c r="G82" s="5" t="n">
        <v>319</v>
      </c>
      <c r="H82" s="5" t="n">
        <v>241</v>
      </c>
      <c r="I82" s="5" t="n">
        <v>321</v>
      </c>
      <c r="J82" s="5" t="n">
        <v>334</v>
      </c>
      <c r="K82" s="5" t="n">
        <v>363</v>
      </c>
      <c r="L82" s="5" t="n">
        <v>347</v>
      </c>
      <c r="M82" s="5" t="n">
        <v>248</v>
      </c>
      <c r="N82" s="5" t="n">
        <v>334</v>
      </c>
      <c r="O82" s="5" t="n">
        <v>424</v>
      </c>
      <c r="P82" s="5" t="n">
        <v>351</v>
      </c>
      <c r="Q82" s="5" t="n">
        <v>348</v>
      </c>
      <c r="R82" s="5" t="n">
        <v>382</v>
      </c>
      <c r="S82" s="5" t="n">
        <v>380</v>
      </c>
      <c r="T82" s="5" t="n">
        <v>297</v>
      </c>
      <c r="U82" s="5" t="n">
        <v>345</v>
      </c>
      <c r="V82" s="5" t="n">
        <v>310</v>
      </c>
      <c r="W82" s="5" t="n">
        <v>481</v>
      </c>
      <c r="X82" s="5" t="n">
        <v>415</v>
      </c>
      <c r="Y82" s="14">
        <f>IF(AND(ISNUMBER(C82),C82&gt;0,ISNUMBER(X82)),X82/C82-1,"")</f>
        <v/>
      </c>
    </row>
    <row r="83">
      <c r="A83" s="12" t="inlineStr">
        <is>
          <t>332</t>
        </is>
      </c>
      <c r="B83" s="4" t="inlineStr"/>
      <c r="C83" s="5" t="n">
        <v>72</v>
      </c>
      <c r="D83" s="5" t="n">
        <v>153</v>
      </c>
      <c r="E83" s="5" t="n">
        <v>105</v>
      </c>
      <c r="F83" s="5" t="n">
        <v>39</v>
      </c>
      <c r="G83" s="5" t="n">
        <v>65</v>
      </c>
      <c r="H83" s="5" t="n">
        <v>23</v>
      </c>
      <c r="I83" s="5" t="n">
        <v>69</v>
      </c>
      <c r="J83" s="5" t="n">
        <v>35</v>
      </c>
      <c r="K83" s="5" t="n">
        <v>65</v>
      </c>
      <c r="L83" s="5" t="n">
        <v>45</v>
      </c>
      <c r="M83" s="5" t="n">
        <v>54</v>
      </c>
      <c r="N83" s="5" t="n">
        <v>57</v>
      </c>
      <c r="O83" s="5" t="n">
        <v>62</v>
      </c>
      <c r="P83" s="5" t="n">
        <v>62</v>
      </c>
      <c r="Q83" s="5" t="n">
        <v>34</v>
      </c>
      <c r="R83" s="5" t="n">
        <v>40</v>
      </c>
      <c r="S83" s="5" t="n">
        <v>53</v>
      </c>
      <c r="T83" s="5" t="n">
        <v>49</v>
      </c>
      <c r="U83" s="5" t="n"/>
      <c r="V83" s="5" t="n"/>
      <c r="W83" s="5" t="n"/>
      <c r="X83" s="5" t="n"/>
      <c r="Y83" s="14">
        <f>IF(AND(ISNUMBER(C83),C83&gt;0,ISNUMBER(X83)),X83/C83-1,"")</f>
        <v/>
      </c>
    </row>
    <row r="84">
      <c r="A84" s="12" t="inlineStr">
        <is>
          <t>333</t>
        </is>
      </c>
      <c r="B84" s="4" t="inlineStr"/>
      <c r="C84" s="5" t="n">
        <v>496</v>
      </c>
      <c r="D84" s="5" t="n">
        <v>463</v>
      </c>
      <c r="E84" s="5" t="n">
        <v>492</v>
      </c>
      <c r="F84" s="5" t="n">
        <v>393</v>
      </c>
      <c r="G84" s="5" t="n">
        <v>319</v>
      </c>
      <c r="H84" s="5" t="n">
        <v>270</v>
      </c>
      <c r="I84" s="5" t="n">
        <v>169</v>
      </c>
      <c r="J84" s="5" t="n">
        <v>145</v>
      </c>
      <c r="K84" s="5" t="n">
        <v>121</v>
      </c>
      <c r="L84" s="5" t="n">
        <v>148</v>
      </c>
      <c r="M84" s="5" t="n">
        <v>147</v>
      </c>
      <c r="N84" s="5" t="n">
        <v>122</v>
      </c>
      <c r="O84" s="5" t="n">
        <v>275</v>
      </c>
      <c r="P84" s="5" t="n">
        <v>190</v>
      </c>
      <c r="Q84" s="5" t="n">
        <v>226</v>
      </c>
      <c r="R84" s="5" t="n">
        <v>231</v>
      </c>
      <c r="S84" s="5" t="n">
        <v>236</v>
      </c>
      <c r="T84" s="5" t="n">
        <v>259</v>
      </c>
      <c r="U84" s="5" t="n"/>
      <c r="V84" s="5" t="n"/>
      <c r="W84" s="5" t="n"/>
      <c r="X84" s="5" t="n"/>
      <c r="Y84" s="14">
        <f>IF(AND(ISNUMBER(C84),C84&gt;0,ISNUMBER(X84)),X84/C84-1,"")</f>
        <v/>
      </c>
    </row>
    <row r="85">
      <c r="A85" s="12" t="inlineStr">
        <is>
          <t>334</t>
        </is>
      </c>
      <c r="B85" s="4" t="inlineStr"/>
      <c r="C85" s="5" t="n"/>
      <c r="D85" s="5" t="n"/>
      <c r="E85" s="5" t="n"/>
      <c r="F85" s="5" t="n"/>
      <c r="G85" s="5" t="n"/>
      <c r="H85" s="5" t="n"/>
      <c r="I85" s="5" t="n">
        <v>14</v>
      </c>
      <c r="J85" s="5" t="n">
        <v>11</v>
      </c>
      <c r="K85" s="5" t="n">
        <v>14</v>
      </c>
      <c r="L85" s="5" t="n">
        <v>16</v>
      </c>
      <c r="M85" s="5" t="n">
        <v>23</v>
      </c>
      <c r="N85" s="5" t="n">
        <v>26</v>
      </c>
      <c r="O85" s="5" t="n">
        <v>47</v>
      </c>
      <c r="P85" s="5" t="n">
        <v>17</v>
      </c>
      <c r="Q85" s="5" t="n">
        <v>25</v>
      </c>
      <c r="R85" s="5" t="n">
        <v>23</v>
      </c>
      <c r="S85" s="5" t="n">
        <v>33</v>
      </c>
      <c r="T85" s="5" t="n">
        <v>20</v>
      </c>
      <c r="U85" s="5" t="n"/>
      <c r="V85" s="5" t="n"/>
      <c r="W85" s="5" t="n"/>
      <c r="X85" s="5" t="n"/>
      <c r="Y85" s="14">
        <f>IF(AND(ISNUMBER(C85),C85&gt;0,ISNUMBER(X85)),X85/C85-1,"")</f>
        <v/>
      </c>
    </row>
    <row r="86">
      <c r="A86" s="12" t="inlineStr">
        <is>
          <t>335</t>
        </is>
      </c>
      <c r="B86" s="13" t="inlineStr">
        <is>
          <t>General</t>
        </is>
      </c>
      <c r="C86" s="5" t="n">
        <v>264</v>
      </c>
      <c r="D86" s="5" t="n">
        <v>254</v>
      </c>
      <c r="E86" s="5" t="n">
        <v>277</v>
      </c>
      <c r="F86" s="5" t="n">
        <v>225</v>
      </c>
      <c r="G86" s="5" t="n">
        <v>221</v>
      </c>
      <c r="H86" s="5" t="n">
        <v>201</v>
      </c>
      <c r="I86" s="5" t="n">
        <v>169</v>
      </c>
      <c r="J86" s="5" t="n">
        <v>225</v>
      </c>
      <c r="K86" s="5" t="n">
        <v>204</v>
      </c>
      <c r="L86" s="5" t="n">
        <v>174</v>
      </c>
      <c r="M86" s="5" t="n">
        <v>147</v>
      </c>
      <c r="N86" s="5" t="n">
        <v>207</v>
      </c>
      <c r="O86" s="5" t="n">
        <v>207</v>
      </c>
      <c r="P86" s="5" t="n">
        <v>202</v>
      </c>
      <c r="Q86" s="5" t="n">
        <v>214</v>
      </c>
      <c r="R86" s="5" t="n">
        <v>159</v>
      </c>
      <c r="S86" s="5" t="n">
        <v>162</v>
      </c>
      <c r="T86" s="5" t="n">
        <v>206</v>
      </c>
      <c r="U86" s="5" t="n">
        <v>249</v>
      </c>
      <c r="V86" s="5" t="n">
        <v>245</v>
      </c>
      <c r="W86" s="5" t="n">
        <v>244</v>
      </c>
      <c r="X86" s="5" t="n">
        <v>256</v>
      </c>
      <c r="Y86" s="14">
        <f>IF(AND(ISNUMBER(C86),C86&gt;0,ISNUMBER(X86)),X86/C86-1,"")</f>
        <v/>
      </c>
    </row>
    <row r="87">
      <c r="A87" s="12" t="inlineStr">
        <is>
          <t>339</t>
        </is>
      </c>
      <c r="B87" s="13" t="inlineStr">
        <is>
          <t>General</t>
        </is>
      </c>
      <c r="C87" s="5" t="n">
        <v>231</v>
      </c>
      <c r="D87" s="5" t="n">
        <v>294</v>
      </c>
      <c r="E87" s="5" t="n">
        <v>361</v>
      </c>
      <c r="F87" s="5" t="n">
        <v>244</v>
      </c>
      <c r="G87" s="5" t="n">
        <v>255</v>
      </c>
      <c r="H87" s="5" t="n">
        <v>180</v>
      </c>
      <c r="I87" s="5" t="n">
        <v>170</v>
      </c>
      <c r="J87" s="5" t="n">
        <v>172</v>
      </c>
      <c r="K87" s="5" t="n">
        <v>133</v>
      </c>
      <c r="L87" s="5" t="n">
        <v>142</v>
      </c>
      <c r="M87" s="5" t="n">
        <v>116</v>
      </c>
      <c r="N87" s="5" t="n">
        <v>117</v>
      </c>
      <c r="O87" s="5" t="n">
        <v>136</v>
      </c>
      <c r="P87" s="5" t="n">
        <v>100</v>
      </c>
      <c r="Q87" s="5" t="n">
        <v>126</v>
      </c>
      <c r="R87" s="5" t="n">
        <v>124</v>
      </c>
      <c r="S87" s="5" t="n">
        <v>118</v>
      </c>
      <c r="T87" s="5" t="n">
        <v>105</v>
      </c>
      <c r="U87" s="5" t="n">
        <v>110</v>
      </c>
      <c r="V87" s="5" t="n">
        <v>111</v>
      </c>
      <c r="W87" s="5" t="n">
        <v>121</v>
      </c>
      <c r="X87" s="5" t="n">
        <v>132</v>
      </c>
      <c r="Y87" s="14">
        <f>IF(AND(ISNUMBER(C87),C87&gt;0,ISNUMBER(X87)),X87/C87-1,"")</f>
        <v/>
      </c>
    </row>
    <row r="88">
      <c r="A88" s="12" t="inlineStr">
        <is>
          <t>340</t>
        </is>
      </c>
      <c r="B88" s="13" t="inlineStr">
        <is>
          <t>General</t>
        </is>
      </c>
      <c r="C88" s="5" t="n">
        <v>300</v>
      </c>
      <c r="D88" s="5" t="n">
        <v>347</v>
      </c>
      <c r="E88" s="5" t="n">
        <v>450</v>
      </c>
      <c r="F88" s="5" t="n">
        <v>334</v>
      </c>
      <c r="G88" s="5" t="n">
        <v>358</v>
      </c>
      <c r="H88" s="5" t="n">
        <v>280</v>
      </c>
      <c r="I88" s="5" t="n">
        <v>223</v>
      </c>
      <c r="J88" s="5" t="n">
        <v>308</v>
      </c>
      <c r="K88" s="5" t="n">
        <v>274</v>
      </c>
      <c r="L88" s="5" t="n">
        <v>267</v>
      </c>
      <c r="M88" s="5" t="n">
        <v>237</v>
      </c>
      <c r="N88" s="5" t="n">
        <v>278</v>
      </c>
      <c r="O88" s="5" t="n">
        <v>403</v>
      </c>
      <c r="P88" s="5" t="n">
        <v>321</v>
      </c>
      <c r="Q88" s="5" t="n">
        <v>547</v>
      </c>
      <c r="R88" s="5" t="n">
        <v>435</v>
      </c>
      <c r="S88" s="5" t="n">
        <v>403</v>
      </c>
      <c r="T88" s="5" t="n">
        <v>355</v>
      </c>
      <c r="U88" s="5" t="n">
        <v>187</v>
      </c>
      <c r="V88" s="5" t="n">
        <v>221</v>
      </c>
      <c r="W88" s="5" t="n">
        <v>307</v>
      </c>
      <c r="X88" s="5" t="n">
        <v>273</v>
      </c>
      <c r="Y88" s="14">
        <f>IF(AND(ISNUMBER(C88),C88&gt;0,ISNUMBER(X88)),X88/C88-1,"")</f>
        <v/>
      </c>
    </row>
    <row r="89">
      <c r="A89" s="12" t="inlineStr">
        <is>
          <t>341</t>
        </is>
      </c>
      <c r="B89" s="4" t="inlineStr"/>
      <c r="C89" s="5" t="n">
        <v>100</v>
      </c>
      <c r="D89" s="5" t="n">
        <v>138</v>
      </c>
      <c r="E89" s="5" t="n">
        <v>163</v>
      </c>
      <c r="F89" s="5" t="n">
        <v>94</v>
      </c>
      <c r="G89" s="5" t="n">
        <v>86</v>
      </c>
      <c r="H89" s="5" t="n">
        <v>44</v>
      </c>
      <c r="I89" s="5" t="n">
        <v>53</v>
      </c>
      <c r="J89" s="5" t="n">
        <v>31</v>
      </c>
      <c r="K89" s="5" t="n">
        <v>65</v>
      </c>
      <c r="L89" s="5" t="n">
        <v>37</v>
      </c>
      <c r="M89" s="5" t="n">
        <v>82</v>
      </c>
      <c r="N89" s="5" t="n">
        <v>118</v>
      </c>
      <c r="O89" s="5" t="n">
        <v>114</v>
      </c>
      <c r="P89" s="5" t="n">
        <v>110</v>
      </c>
      <c r="Q89" s="5" t="n">
        <v>88</v>
      </c>
      <c r="R89" s="5" t="n">
        <v>131</v>
      </c>
      <c r="S89" s="5" t="n">
        <v>114</v>
      </c>
      <c r="T89" s="5" t="n">
        <v>113</v>
      </c>
      <c r="U89" s="5" t="n"/>
      <c r="V89" s="5" t="n"/>
      <c r="W89" s="5" t="n"/>
      <c r="X89" s="5" t="n"/>
      <c r="Y89" s="14">
        <f>IF(AND(ISNUMBER(C89),C89&gt;0,ISNUMBER(X89)),X89/C89-1,"")</f>
        <v/>
      </c>
    </row>
    <row r="90">
      <c r="A90" s="12" t="inlineStr">
        <is>
          <t>343</t>
        </is>
      </c>
      <c r="B90" s="13" t="inlineStr">
        <is>
          <t>General</t>
        </is>
      </c>
      <c r="C90" s="5" t="n">
        <v>283</v>
      </c>
      <c r="D90" s="5" t="n">
        <v>267</v>
      </c>
      <c r="E90" s="5" t="n">
        <v>395</v>
      </c>
      <c r="F90" s="5" t="n">
        <v>258</v>
      </c>
      <c r="G90" s="5" t="n">
        <v>260</v>
      </c>
      <c r="H90" s="5" t="n">
        <v>273</v>
      </c>
      <c r="I90" s="5" t="n">
        <v>251</v>
      </c>
      <c r="J90" s="5" t="n">
        <v>235</v>
      </c>
      <c r="K90" s="5" t="n">
        <v>194</v>
      </c>
      <c r="L90" s="5" t="n">
        <v>153</v>
      </c>
      <c r="M90" s="5" t="n">
        <v>100</v>
      </c>
      <c r="N90" s="5" t="n">
        <v>166</v>
      </c>
      <c r="O90" s="5" t="n">
        <v>194</v>
      </c>
      <c r="P90" s="5" t="n">
        <v>157</v>
      </c>
      <c r="Q90" s="5" t="n">
        <v>178</v>
      </c>
      <c r="R90" s="5" t="n">
        <v>97</v>
      </c>
      <c r="S90" s="5" t="n">
        <v>128</v>
      </c>
      <c r="T90" s="5" t="n">
        <v>107</v>
      </c>
      <c r="U90" s="5" t="n">
        <v>104</v>
      </c>
      <c r="V90" s="5" t="n">
        <v>172</v>
      </c>
      <c r="W90" s="5" t="n">
        <v>201</v>
      </c>
      <c r="X90" s="5" t="n">
        <v>190</v>
      </c>
      <c r="Y90" s="14">
        <f>IF(AND(ISNUMBER(C90),C90&gt;0,ISNUMBER(X90)),X90/C90-1,"")</f>
        <v/>
      </c>
    </row>
    <row r="91">
      <c r="A91" s="12" t="inlineStr">
        <is>
          <t>350</t>
        </is>
      </c>
      <c r="B91" s="13" t="inlineStr">
        <is>
          <t>General</t>
        </is>
      </c>
      <c r="C91" s="5" t="n">
        <v>119</v>
      </c>
      <c r="D91" s="5" t="n">
        <v>197</v>
      </c>
      <c r="E91" s="5" t="n">
        <v>124</v>
      </c>
      <c r="F91" s="5" t="n">
        <v>143</v>
      </c>
      <c r="G91" s="5" t="n">
        <v>74</v>
      </c>
      <c r="H91" s="5" t="n">
        <v>99</v>
      </c>
      <c r="I91" s="5" t="n">
        <v>97</v>
      </c>
      <c r="J91" s="5" t="n">
        <v>84</v>
      </c>
      <c r="K91" s="5" t="n">
        <v>89</v>
      </c>
      <c r="L91" s="5" t="n">
        <v>101</v>
      </c>
      <c r="M91" s="5" t="n">
        <v>125</v>
      </c>
      <c r="N91" s="5" t="n">
        <v>86</v>
      </c>
      <c r="O91" s="5" t="n">
        <v>140</v>
      </c>
      <c r="P91" s="5" t="n">
        <v>107</v>
      </c>
      <c r="Q91" s="5" t="n">
        <v>65</v>
      </c>
      <c r="R91" s="5" t="n">
        <v>68</v>
      </c>
      <c r="S91" s="5" t="n">
        <v>75</v>
      </c>
      <c r="T91" s="5" t="n">
        <v>56</v>
      </c>
      <c r="U91" s="5" t="n">
        <v>122</v>
      </c>
      <c r="V91" s="5" t="n">
        <v>111</v>
      </c>
      <c r="W91" s="5" t="n">
        <v>125</v>
      </c>
      <c r="X91" s="5" t="n">
        <v>134</v>
      </c>
      <c r="Y91" s="14">
        <f>IF(AND(ISNUMBER(C91),C91&gt;0,ISNUMBER(X91)),X91/C91-1,"")</f>
        <v/>
      </c>
    </row>
    <row r="92">
      <c r="A92" s="12" t="inlineStr">
        <is>
          <t>360</t>
        </is>
      </c>
      <c r="B92" s="13" t="inlineStr">
        <is>
          <t>General</t>
        </is>
      </c>
      <c r="C92" s="5" t="n">
        <v>218</v>
      </c>
      <c r="D92" s="5" t="n">
        <v>174</v>
      </c>
      <c r="E92" s="5" t="n">
        <v>225</v>
      </c>
      <c r="F92" s="5" t="n">
        <v>181</v>
      </c>
      <c r="G92" s="5" t="n">
        <v>172</v>
      </c>
      <c r="H92" s="5" t="n">
        <v>142</v>
      </c>
      <c r="I92" s="5" t="n">
        <v>157</v>
      </c>
      <c r="J92" s="5" t="n">
        <v>78</v>
      </c>
      <c r="K92" s="5" t="n">
        <v>60</v>
      </c>
      <c r="L92" s="5" t="n">
        <v>95</v>
      </c>
      <c r="M92" s="5" t="n">
        <v>150</v>
      </c>
      <c r="N92" s="5" t="n">
        <v>196</v>
      </c>
      <c r="O92" s="5" t="n">
        <v>171</v>
      </c>
      <c r="P92" s="5" t="n">
        <v>214</v>
      </c>
      <c r="Q92" s="5" t="n">
        <v>202</v>
      </c>
      <c r="R92" s="5" t="n">
        <v>182</v>
      </c>
      <c r="S92" s="5" t="n">
        <v>146</v>
      </c>
      <c r="T92" s="5" t="n">
        <v>141</v>
      </c>
      <c r="U92" s="5" t="n">
        <v>198</v>
      </c>
      <c r="V92" s="5" t="n">
        <v>182</v>
      </c>
      <c r="W92" s="5" t="n">
        <v>221</v>
      </c>
      <c r="X92" s="5" t="n">
        <v>221</v>
      </c>
      <c r="Y92" s="14">
        <f>IF(AND(ISNUMBER(C92),C92&gt;0,ISNUMBER(X92)),X92/C92-1,"")</f>
        <v/>
      </c>
    </row>
    <row r="93">
      <c r="A93" s="12" t="inlineStr">
        <is>
          <t>361</t>
        </is>
      </c>
      <c r="B93" s="13" t="inlineStr">
        <is>
          <t>General</t>
        </is>
      </c>
      <c r="C93" s="5" t="n">
        <v>23</v>
      </c>
      <c r="D93" s="5" t="n">
        <v>12</v>
      </c>
      <c r="E93" s="5" t="n">
        <v>19</v>
      </c>
      <c r="F93" s="5" t="n">
        <v>6</v>
      </c>
      <c r="G93" s="5" t="n">
        <v>16</v>
      </c>
      <c r="H93" s="5" t="n">
        <v>22</v>
      </c>
      <c r="I93" s="5" t="n">
        <v>6</v>
      </c>
      <c r="J93" s="5" t="n">
        <v>17</v>
      </c>
      <c r="K93" s="5" t="n">
        <v>19</v>
      </c>
      <c r="L93" s="5" t="n">
        <v>9</v>
      </c>
      <c r="M93" s="5" t="n">
        <v>14</v>
      </c>
      <c r="N93" s="5" t="n">
        <v>29</v>
      </c>
      <c r="O93" s="5" t="n">
        <v>29</v>
      </c>
      <c r="P93" s="5" t="n">
        <v>12</v>
      </c>
      <c r="Q93" s="5" t="n">
        <v>23</v>
      </c>
      <c r="R93" s="5" t="n">
        <v>27</v>
      </c>
      <c r="S93" s="5" t="n">
        <v>15</v>
      </c>
      <c r="T93" s="5" t="n">
        <v>38</v>
      </c>
      <c r="U93" s="5" t="n">
        <v>28</v>
      </c>
      <c r="V93" s="5" t="n">
        <v>17</v>
      </c>
      <c r="W93" s="5" t="n">
        <v>29</v>
      </c>
      <c r="X93" s="5" t="n">
        <v>37</v>
      </c>
      <c r="Y93" s="14">
        <f>IF(AND(ISNUMBER(C93),C93&gt;0,ISNUMBER(X93)),X93/C93-1,"")</f>
        <v/>
      </c>
    </row>
    <row r="94">
      <c r="A94" s="12" t="inlineStr">
        <is>
          <t>362</t>
        </is>
      </c>
      <c r="B94" s="4" t="inlineStr"/>
      <c r="C94" s="5" t="n">
        <v>46</v>
      </c>
      <c r="D94" s="5" t="n">
        <v>48</v>
      </c>
      <c r="E94" s="5" t="n">
        <v>19</v>
      </c>
      <c r="F94" s="5" t="n">
        <v>43</v>
      </c>
      <c r="G94" s="5" t="n">
        <v>29</v>
      </c>
      <c r="H94" s="5" t="n">
        <v>21</v>
      </c>
      <c r="I94" s="5" t="n">
        <v>36</v>
      </c>
      <c r="J94" s="5" t="n">
        <v>17</v>
      </c>
      <c r="K94" s="5" t="n">
        <v>25</v>
      </c>
      <c r="L94" s="5" t="n">
        <v>28</v>
      </c>
      <c r="M94" s="5" t="n">
        <v>48</v>
      </c>
      <c r="N94" s="5" t="n">
        <v>51</v>
      </c>
      <c r="O94" s="5" t="n">
        <v>38</v>
      </c>
      <c r="P94" s="5" t="n">
        <v>18</v>
      </c>
      <c r="Q94" s="5" t="n">
        <v>36</v>
      </c>
      <c r="R94" s="5" t="n">
        <v>29</v>
      </c>
      <c r="S94" s="5" t="n">
        <v>29</v>
      </c>
      <c r="T94" s="5" t="n">
        <v>37</v>
      </c>
      <c r="U94" s="5" t="n"/>
      <c r="V94" s="5" t="n"/>
      <c r="W94" s="5" t="n"/>
      <c r="X94" s="5" t="n"/>
      <c r="Y94" s="14">
        <f>IF(AND(ISNUMBER(C94),C94&gt;0,ISNUMBER(X94)),X94/C94-1,"")</f>
        <v/>
      </c>
    </row>
    <row r="95">
      <c r="A95" s="12" t="inlineStr">
        <is>
          <t>370</t>
        </is>
      </c>
      <c r="B95" s="13" t="inlineStr">
        <is>
          <t>General</t>
        </is>
      </c>
      <c r="C95" s="5" t="n">
        <v>50</v>
      </c>
      <c r="D95" s="5" t="n">
        <v>72</v>
      </c>
      <c r="E95" s="5" t="n">
        <v>89</v>
      </c>
      <c r="F95" s="5" t="n">
        <v>86</v>
      </c>
      <c r="G95" s="5" t="n">
        <v>56</v>
      </c>
      <c r="H95" s="5" t="n">
        <v>84</v>
      </c>
      <c r="I95" s="5" t="n">
        <v>34</v>
      </c>
      <c r="J95" s="5" t="n">
        <v>56</v>
      </c>
      <c r="K95" s="5" t="n">
        <v>47</v>
      </c>
      <c r="L95" s="5" t="n">
        <v>31</v>
      </c>
      <c r="M95" s="5" t="n">
        <v>43</v>
      </c>
      <c r="N95" s="5" t="n">
        <v>46</v>
      </c>
      <c r="O95" s="5" t="n">
        <v>65</v>
      </c>
      <c r="P95" s="5" t="n">
        <v>53</v>
      </c>
      <c r="Q95" s="5" t="n">
        <v>49</v>
      </c>
      <c r="R95" s="5" t="n">
        <v>40</v>
      </c>
      <c r="S95" s="5" t="n">
        <v>27</v>
      </c>
      <c r="T95" s="5" t="n">
        <v>38</v>
      </c>
      <c r="U95" s="5" t="n">
        <v>49</v>
      </c>
      <c r="V95" s="5" t="n">
        <v>78</v>
      </c>
      <c r="W95" s="5" t="n">
        <v>81</v>
      </c>
      <c r="X95" s="5" t="n">
        <v>58</v>
      </c>
      <c r="Y95" s="14">
        <f>IF(AND(ISNUMBER(C95),C95&gt;0,ISNUMBER(X95)),X95/C95-1,"")</f>
        <v/>
      </c>
    </row>
    <row r="96">
      <c r="A96" s="12" t="inlineStr">
        <is>
          <t>380</t>
        </is>
      </c>
      <c r="B96" s="15" t="inlineStr">
        <is>
          <t>Draw</t>
        </is>
      </c>
      <c r="C96" s="5" t="n">
        <v>674</v>
      </c>
      <c r="D96" s="5" t="n">
        <v>751</v>
      </c>
      <c r="E96" s="5" t="n">
        <v>811</v>
      </c>
      <c r="F96" s="5" t="n">
        <v>644</v>
      </c>
      <c r="G96" s="5" t="n">
        <v>614</v>
      </c>
      <c r="H96" s="5" t="n">
        <v>539</v>
      </c>
      <c r="I96" s="5" t="n">
        <v>465</v>
      </c>
      <c r="J96" s="5" t="n">
        <v>441</v>
      </c>
      <c r="K96" s="5" t="n">
        <v>391</v>
      </c>
      <c r="L96" s="5" t="n">
        <v>322</v>
      </c>
      <c r="M96" s="5" t="n">
        <v>310</v>
      </c>
      <c r="N96" s="5" t="n">
        <v>422</v>
      </c>
      <c r="O96" s="5" t="n">
        <v>445</v>
      </c>
      <c r="P96" s="5" t="n">
        <v>402</v>
      </c>
      <c r="Q96" s="5" t="n">
        <v>431</v>
      </c>
      <c r="R96" s="5" t="n">
        <v>352</v>
      </c>
      <c r="S96" s="5" t="n">
        <v>402</v>
      </c>
      <c r="T96" s="5" t="n">
        <v>383</v>
      </c>
      <c r="U96" s="5" t="n">
        <v>325</v>
      </c>
      <c r="V96" s="5" t="n">
        <v>337</v>
      </c>
      <c r="W96" s="5" t="n">
        <v>371</v>
      </c>
      <c r="X96" s="5" t="n">
        <v>357</v>
      </c>
      <c r="Y96" s="14">
        <f>IF(AND(ISNUMBER(C96),C96&gt;0,ISNUMBER(X96)),X96/C96-1,"")</f>
        <v/>
      </c>
    </row>
    <row r="97">
      <c r="A97" s="12" t="inlineStr">
        <is>
          <t>388</t>
        </is>
      </c>
      <c r="B97" s="13" t="inlineStr">
        <is>
          <t>General</t>
        </is>
      </c>
      <c r="C97" s="5" t="n"/>
      <c r="D97" s="5" t="n"/>
      <c r="E97" s="5" t="n">
        <v>306</v>
      </c>
      <c r="F97" s="5" t="n">
        <v>256</v>
      </c>
      <c r="G97" s="5" t="n">
        <v>291</v>
      </c>
      <c r="H97" s="5" t="n">
        <v>157</v>
      </c>
      <c r="I97" s="5" t="n">
        <v>98</v>
      </c>
      <c r="J97" s="5" t="n">
        <v>95</v>
      </c>
      <c r="K97" s="5" t="n">
        <v>121</v>
      </c>
      <c r="L97" s="5" t="n">
        <v>106</v>
      </c>
      <c r="M97" s="5" t="n">
        <v>93</v>
      </c>
      <c r="N97" s="5" t="n">
        <v>80</v>
      </c>
      <c r="O97" s="5" t="n">
        <v>112</v>
      </c>
      <c r="P97" s="5" t="n">
        <v>113</v>
      </c>
      <c r="Q97" s="5" t="n">
        <v>109</v>
      </c>
      <c r="R97" s="5" t="n">
        <v>96</v>
      </c>
      <c r="S97" s="5" t="n">
        <v>113</v>
      </c>
      <c r="T97" s="5" t="n">
        <v>79</v>
      </c>
      <c r="U97" s="5" t="n">
        <v>97</v>
      </c>
      <c r="V97" s="5" t="n">
        <v>117</v>
      </c>
      <c r="W97" s="5" t="n">
        <v>161</v>
      </c>
      <c r="X97" s="5" t="n">
        <v>88</v>
      </c>
      <c r="Y97" s="14">
        <f>IF(AND(ISNUMBER(C97),C97&gt;0,ISNUMBER(X97)),X97/C97-1,"")</f>
        <v/>
      </c>
    </row>
    <row r="98">
      <c r="A98" s="12" t="inlineStr">
        <is>
          <t>390</t>
        </is>
      </c>
      <c r="B98" s="13" t="inlineStr">
        <is>
          <t>General</t>
        </is>
      </c>
      <c r="C98" s="5" t="n">
        <v>74</v>
      </c>
      <c r="D98" s="5" t="n">
        <v>91</v>
      </c>
      <c r="E98" s="5" t="n">
        <v>111</v>
      </c>
      <c r="F98" s="5" t="n">
        <v>97</v>
      </c>
      <c r="G98" s="5" t="n">
        <v>115</v>
      </c>
      <c r="H98" s="5" t="n">
        <v>100</v>
      </c>
      <c r="I98" s="5" t="n">
        <v>53</v>
      </c>
      <c r="J98" s="5" t="n">
        <v>79</v>
      </c>
      <c r="K98" s="5" t="n">
        <v>72</v>
      </c>
      <c r="L98" s="5" t="n">
        <v>62</v>
      </c>
      <c r="M98" s="5" t="n">
        <v>85</v>
      </c>
      <c r="N98" s="5" t="n">
        <v>92</v>
      </c>
      <c r="O98" s="5" t="n">
        <v>96</v>
      </c>
      <c r="P98" s="5" t="n">
        <v>125</v>
      </c>
      <c r="Q98" s="5" t="n">
        <v>158</v>
      </c>
      <c r="R98" s="5" t="n">
        <v>150</v>
      </c>
      <c r="S98" s="5" t="n">
        <v>160</v>
      </c>
      <c r="T98" s="5" t="n">
        <v>150</v>
      </c>
      <c r="U98" s="5" t="n">
        <v>150</v>
      </c>
      <c r="V98" s="5" t="n">
        <v>150</v>
      </c>
      <c r="W98" s="5" t="n">
        <v>147</v>
      </c>
      <c r="X98" s="5" t="n">
        <v>162</v>
      </c>
      <c r="Y98" s="14">
        <f>IF(AND(ISNUMBER(C98),C98&gt;0,ISNUMBER(X98)),X98/C98-1,"")</f>
        <v/>
      </c>
    </row>
    <row r="99">
      <c r="A99" s="12" t="inlineStr">
        <is>
          <t>391</t>
        </is>
      </c>
      <c r="B99" s="13" t="inlineStr">
        <is>
          <t>General</t>
        </is>
      </c>
      <c r="C99" s="5" t="n">
        <v>231</v>
      </c>
      <c r="D99" s="5" t="n">
        <v>282</v>
      </c>
      <c r="E99" s="5" t="n">
        <v>352</v>
      </c>
      <c r="F99" s="5" t="n">
        <v>274</v>
      </c>
      <c r="G99" s="5" t="n">
        <v>321</v>
      </c>
      <c r="H99" s="5" t="n">
        <v>239</v>
      </c>
      <c r="I99" s="5" t="n">
        <v>233</v>
      </c>
      <c r="J99" s="5" t="n">
        <v>223</v>
      </c>
      <c r="K99" s="5" t="n">
        <v>192</v>
      </c>
      <c r="L99" s="5" t="n">
        <v>223</v>
      </c>
      <c r="M99" s="5" t="n">
        <v>149</v>
      </c>
      <c r="N99" s="5" t="n">
        <v>215</v>
      </c>
      <c r="O99" s="5" t="n">
        <v>392</v>
      </c>
      <c r="P99" s="5" t="n">
        <v>363</v>
      </c>
      <c r="Q99" s="5" t="n">
        <v>401</v>
      </c>
      <c r="R99" s="5" t="n">
        <v>362</v>
      </c>
      <c r="S99" s="5" t="n">
        <v>515</v>
      </c>
      <c r="T99" s="5" t="n">
        <v>399</v>
      </c>
      <c r="U99" s="5" t="n">
        <v>365</v>
      </c>
      <c r="V99" s="5" t="n">
        <v>384</v>
      </c>
      <c r="W99" s="5" t="n">
        <v>432</v>
      </c>
      <c r="X99" s="5" t="n">
        <v>447</v>
      </c>
      <c r="Y99" s="14">
        <f>IF(AND(ISNUMBER(C99),C99&gt;0,ISNUMBER(X99)),X99/C99-1,"")</f>
        <v/>
      </c>
    </row>
    <row r="100">
      <c r="A100" s="12" t="inlineStr">
        <is>
          <t>392</t>
        </is>
      </c>
      <c r="B100" s="15" t="inlineStr">
        <is>
          <t>Draw</t>
        </is>
      </c>
      <c r="C100" s="5" t="n">
        <v>396</v>
      </c>
      <c r="D100" s="5" t="n">
        <v>371</v>
      </c>
      <c r="E100" s="5" t="n">
        <v>492</v>
      </c>
      <c r="F100" s="5" t="n">
        <v>417</v>
      </c>
      <c r="G100" s="5" t="n">
        <v>430</v>
      </c>
      <c r="H100" s="5" t="n">
        <v>305</v>
      </c>
      <c r="I100" s="5" t="n">
        <v>263</v>
      </c>
      <c r="J100" s="5" t="n">
        <v>291</v>
      </c>
      <c r="K100" s="5" t="n">
        <v>233</v>
      </c>
      <c r="L100" s="5" t="n">
        <v>254</v>
      </c>
      <c r="M100" s="5" t="n">
        <v>264</v>
      </c>
      <c r="N100" s="5" t="n">
        <v>333</v>
      </c>
      <c r="O100" s="5" t="n">
        <v>249</v>
      </c>
      <c r="P100" s="5" t="n">
        <v>195</v>
      </c>
      <c r="Q100" s="5" t="n">
        <v>216</v>
      </c>
      <c r="R100" s="5" t="n">
        <v>199</v>
      </c>
      <c r="S100" s="5" t="n">
        <v>196</v>
      </c>
      <c r="T100" s="5" t="n">
        <v>207</v>
      </c>
      <c r="U100" s="5" t="n">
        <v>235</v>
      </c>
      <c r="V100" s="5" t="n">
        <v>233</v>
      </c>
      <c r="W100" s="5" t="n">
        <v>211</v>
      </c>
      <c r="X100" s="5" t="n">
        <v>327</v>
      </c>
      <c r="Y100" s="14">
        <f>IF(AND(ISNUMBER(C100),C100&gt;0,ISNUMBER(X100)),X100/C100-1,"")</f>
        <v/>
      </c>
    </row>
    <row r="101">
      <c r="A101" s="12" t="inlineStr">
        <is>
          <t>393</t>
        </is>
      </c>
      <c r="B101" s="13" t="inlineStr">
        <is>
          <t>General</t>
        </is>
      </c>
      <c r="C101" s="5" t="n">
        <v>551</v>
      </c>
      <c r="D101" s="5" t="n">
        <v>546</v>
      </c>
      <c r="E101" s="5" t="n">
        <v>609</v>
      </c>
      <c r="F101" s="5" t="n">
        <v>438</v>
      </c>
      <c r="G101" s="5" t="n">
        <v>381</v>
      </c>
      <c r="H101" s="5" t="n">
        <v>340</v>
      </c>
      <c r="I101" s="5" t="n">
        <v>286</v>
      </c>
      <c r="J101" s="5" t="n">
        <v>288</v>
      </c>
      <c r="K101" s="5" t="n">
        <v>243</v>
      </c>
      <c r="L101" s="5" t="n">
        <v>257</v>
      </c>
      <c r="M101" s="5" t="n">
        <v>230</v>
      </c>
      <c r="N101" s="5" t="n">
        <v>194</v>
      </c>
      <c r="O101" s="5" t="n">
        <v>330</v>
      </c>
      <c r="P101" s="5" t="n">
        <v>295</v>
      </c>
      <c r="Q101" s="5" t="n">
        <v>282</v>
      </c>
      <c r="R101" s="5" t="n">
        <v>262</v>
      </c>
      <c r="S101" s="5" t="n">
        <v>354</v>
      </c>
      <c r="T101" s="5" t="n">
        <v>354</v>
      </c>
      <c r="U101" s="5" t="n">
        <v>332</v>
      </c>
      <c r="V101" s="5" t="n">
        <v>375</v>
      </c>
      <c r="W101" s="5" t="n">
        <v>345</v>
      </c>
      <c r="X101" s="5" t="n">
        <v>353</v>
      </c>
      <c r="Y101" s="14">
        <f>IF(AND(ISNUMBER(C101),C101&gt;0,ISNUMBER(X101)),X101/C101-1,"")</f>
        <v/>
      </c>
    </row>
    <row r="102">
      <c r="A102" s="12" t="inlineStr">
        <is>
          <t>400</t>
        </is>
      </c>
      <c r="B102" s="13" t="inlineStr">
        <is>
          <t>General</t>
        </is>
      </c>
      <c r="C102" s="5" t="n">
        <v>1034</v>
      </c>
      <c r="D102" s="5" t="n">
        <v>980</v>
      </c>
      <c r="E102" s="5" t="n">
        <v>982</v>
      </c>
      <c r="F102" s="5" t="n">
        <v>1120</v>
      </c>
      <c r="G102" s="5" t="n">
        <v>799</v>
      </c>
      <c r="H102" s="5" t="n">
        <v>868</v>
      </c>
      <c r="I102" s="5" t="n">
        <v>728</v>
      </c>
      <c r="J102" s="5" t="n">
        <v>685</v>
      </c>
      <c r="K102" s="5" t="n">
        <v>451</v>
      </c>
      <c r="L102" s="5" t="n">
        <v>408</v>
      </c>
      <c r="M102" s="5" t="n">
        <v>399</v>
      </c>
      <c r="N102" s="5" t="n">
        <v>451</v>
      </c>
      <c r="O102" s="5" t="n">
        <v>647</v>
      </c>
      <c r="P102" s="5" t="n">
        <v>646</v>
      </c>
      <c r="Q102" s="5" t="n">
        <v>582</v>
      </c>
      <c r="R102" s="5" t="n">
        <v>560</v>
      </c>
      <c r="S102" s="5" t="n">
        <v>742</v>
      </c>
      <c r="T102" s="5" t="n">
        <v>788</v>
      </c>
      <c r="U102" s="5" t="n">
        <v>642</v>
      </c>
      <c r="V102" s="5" t="n">
        <v>849</v>
      </c>
      <c r="W102" s="5" t="n">
        <v>759</v>
      </c>
      <c r="X102" s="5" t="n">
        <v>725</v>
      </c>
      <c r="Y102" s="14">
        <f>IF(AND(ISNUMBER(C102),C102&gt;0,ISNUMBER(X102)),X102/C102-1,"")</f>
        <v/>
      </c>
    </row>
    <row r="103">
      <c r="A103" s="12" t="inlineStr">
        <is>
          <t>401</t>
        </is>
      </c>
      <c r="B103" s="13" t="inlineStr">
        <is>
          <t>General</t>
        </is>
      </c>
      <c r="C103" s="5" t="n">
        <v>797</v>
      </c>
      <c r="D103" s="5" t="n">
        <v>608</v>
      </c>
      <c r="E103" s="5" t="n">
        <v>739</v>
      </c>
      <c r="F103" s="5" t="n">
        <v>795</v>
      </c>
      <c r="G103" s="5" t="n">
        <v>716</v>
      </c>
      <c r="H103" s="5" t="n">
        <v>778</v>
      </c>
      <c r="I103" s="5" t="n">
        <v>573</v>
      </c>
      <c r="J103" s="5" t="n">
        <v>538</v>
      </c>
      <c r="K103" s="5" t="n">
        <v>467</v>
      </c>
      <c r="L103" s="5" t="n">
        <v>431</v>
      </c>
      <c r="M103" s="5" t="n">
        <v>471</v>
      </c>
      <c r="N103" s="5" t="n">
        <v>614</v>
      </c>
      <c r="O103" s="5" t="n">
        <v>564</v>
      </c>
      <c r="P103" s="5" t="n">
        <v>602</v>
      </c>
      <c r="Q103" s="5" t="n">
        <v>493</v>
      </c>
      <c r="R103" s="5" t="n">
        <v>408</v>
      </c>
      <c r="S103" s="5" t="n">
        <v>432</v>
      </c>
      <c r="T103" s="5" t="n">
        <v>517</v>
      </c>
      <c r="U103" s="5" t="n">
        <v>511</v>
      </c>
      <c r="V103" s="5" t="n">
        <v>480</v>
      </c>
      <c r="W103" s="5" t="n">
        <v>443</v>
      </c>
      <c r="X103" s="5" t="n">
        <v>467</v>
      </c>
      <c r="Y103" s="14">
        <f>IF(AND(ISNUMBER(C103),C103&gt;0,ISNUMBER(X103)),X103/C103-1,"")</f>
        <v/>
      </c>
    </row>
    <row r="104">
      <c r="A104" s="12" t="inlineStr">
        <is>
          <t>403</t>
        </is>
      </c>
      <c r="B104" s="13" t="inlineStr">
        <is>
          <t>General</t>
        </is>
      </c>
      <c r="C104" s="5" t="n">
        <v>83</v>
      </c>
      <c r="D104" s="5" t="n">
        <v>60</v>
      </c>
      <c r="E104" s="5" t="n">
        <v>89</v>
      </c>
      <c r="F104" s="5" t="n">
        <v>89</v>
      </c>
      <c r="G104" s="5" t="n">
        <v>102</v>
      </c>
      <c r="H104" s="5" t="n">
        <v>92</v>
      </c>
      <c r="I104" s="5" t="n">
        <v>76</v>
      </c>
      <c r="J104" s="5" t="n">
        <v>112</v>
      </c>
      <c r="K104" s="5" t="n">
        <v>140</v>
      </c>
      <c r="L104" s="5" t="n">
        <v>118</v>
      </c>
      <c r="M104" s="5" t="n">
        <v>209</v>
      </c>
      <c r="N104" s="5" t="n">
        <v>183</v>
      </c>
      <c r="O104" s="5" t="n">
        <v>231</v>
      </c>
      <c r="P104" s="5" t="n">
        <v>200</v>
      </c>
      <c r="Q104" s="5" t="n">
        <v>236</v>
      </c>
      <c r="R104" s="5" t="n">
        <v>200</v>
      </c>
      <c r="S104" s="5" t="n">
        <v>172</v>
      </c>
      <c r="T104" s="5" t="n">
        <v>167</v>
      </c>
      <c r="U104" s="5" t="n">
        <v>198</v>
      </c>
      <c r="V104" s="5" t="n">
        <v>206</v>
      </c>
      <c r="W104" s="5" t="n">
        <v>243</v>
      </c>
      <c r="X104" s="5" t="n">
        <v>183</v>
      </c>
      <c r="Y104" s="14">
        <f>IF(AND(ISNUMBER(C104),C104&gt;0,ISNUMBER(X104)),X104/C104-1,"")</f>
        <v/>
      </c>
    </row>
    <row r="105">
      <c r="A105" s="12" t="inlineStr">
        <is>
          <t>404</t>
        </is>
      </c>
      <c r="B105" s="13" t="inlineStr">
        <is>
          <t>General</t>
        </is>
      </c>
      <c r="C105" s="5" t="n">
        <v>1117</v>
      </c>
      <c r="D105" s="5" t="n">
        <v>1347</v>
      </c>
      <c r="E105" s="5" t="n">
        <v>1255</v>
      </c>
      <c r="F105" s="5" t="n">
        <v>1220</v>
      </c>
      <c r="G105" s="5" t="n">
        <v>1064</v>
      </c>
      <c r="H105" s="5" t="n">
        <v>937</v>
      </c>
      <c r="I105" s="5" t="n">
        <v>682</v>
      </c>
      <c r="J105" s="5" t="n">
        <v>739</v>
      </c>
      <c r="K105" s="5" t="n">
        <v>608</v>
      </c>
      <c r="L105" s="5" t="n">
        <v>453</v>
      </c>
      <c r="M105" s="5" t="n">
        <v>368</v>
      </c>
      <c r="N105" s="5" t="n">
        <v>428</v>
      </c>
      <c r="O105" s="5" t="n">
        <v>643</v>
      </c>
      <c r="P105" s="5" t="n">
        <v>643</v>
      </c>
      <c r="Q105" s="5" t="n">
        <v>622</v>
      </c>
      <c r="R105" s="5" t="n">
        <v>606</v>
      </c>
      <c r="S105" s="5" t="n">
        <v>625</v>
      </c>
      <c r="T105" s="5" t="n">
        <v>651</v>
      </c>
      <c r="U105" s="5" t="n">
        <v>496</v>
      </c>
      <c r="V105" s="5" t="n">
        <v>636</v>
      </c>
      <c r="W105" s="5" t="n">
        <v>653</v>
      </c>
      <c r="X105" s="5" t="n">
        <v>491</v>
      </c>
      <c r="Y105" s="14">
        <f>IF(AND(ISNUMBER(C105),C105&gt;0,ISNUMBER(X105)),X105/C105-1,"")</f>
        <v/>
      </c>
    </row>
    <row r="106">
      <c r="A106" s="12" t="inlineStr">
        <is>
          <t>405</t>
        </is>
      </c>
      <c r="B106" s="13" t="inlineStr">
        <is>
          <t>General</t>
        </is>
      </c>
      <c r="C106" s="5" t="n">
        <v>665</v>
      </c>
      <c r="D106" s="5" t="n">
        <v>486</v>
      </c>
      <c r="E106" s="5" t="n">
        <v>713</v>
      </c>
      <c r="F106" s="5" t="n">
        <v>856</v>
      </c>
      <c r="G106" s="5" t="n">
        <v>557</v>
      </c>
      <c r="H106" s="5" t="n">
        <v>425</v>
      </c>
      <c r="I106" s="5" t="n">
        <v>433</v>
      </c>
      <c r="J106" s="5" t="n">
        <v>356</v>
      </c>
      <c r="K106" s="5" t="n">
        <v>467</v>
      </c>
      <c r="L106" s="5" t="n">
        <v>549</v>
      </c>
      <c r="M106" s="5" t="n">
        <v>426</v>
      </c>
      <c r="N106" s="5" t="n">
        <v>507</v>
      </c>
      <c r="O106" s="5" t="n">
        <v>617</v>
      </c>
      <c r="P106" s="5" t="n">
        <v>721</v>
      </c>
      <c r="Q106" s="5" t="n">
        <v>688</v>
      </c>
      <c r="R106" s="5" t="n">
        <v>562</v>
      </c>
      <c r="S106" s="5" t="n">
        <v>660</v>
      </c>
      <c r="T106" s="5" t="n">
        <v>574</v>
      </c>
      <c r="U106" s="5" t="n">
        <v>682</v>
      </c>
      <c r="V106" s="5" t="n">
        <v>583</v>
      </c>
      <c r="W106" s="5" t="n">
        <v>698</v>
      </c>
      <c r="X106" s="5" t="n">
        <v>588</v>
      </c>
      <c r="Y106" s="14">
        <f>IF(AND(ISNUMBER(C106),C106&gt;0,ISNUMBER(X106)),X106/C106-1,"")</f>
        <v/>
      </c>
    </row>
    <row r="107">
      <c r="A107" s="12" t="inlineStr">
        <is>
          <t>406</t>
        </is>
      </c>
      <c r="B107" s="13" t="inlineStr">
        <is>
          <t>General</t>
        </is>
      </c>
      <c r="C107" s="5" t="n">
        <v>414</v>
      </c>
      <c r="D107" s="5" t="n">
        <v>387</v>
      </c>
      <c r="E107" s="5" t="n">
        <v>473</v>
      </c>
      <c r="F107" s="5" t="n">
        <v>431</v>
      </c>
      <c r="G107" s="5" t="n">
        <v>441</v>
      </c>
      <c r="H107" s="5" t="n">
        <v>314</v>
      </c>
      <c r="I107" s="5" t="n">
        <v>317</v>
      </c>
      <c r="J107" s="5" t="n">
        <v>247</v>
      </c>
      <c r="K107" s="5" t="n">
        <v>163</v>
      </c>
      <c r="L107" s="5" t="n">
        <v>190</v>
      </c>
      <c r="M107" s="5" t="n">
        <v>182</v>
      </c>
      <c r="N107" s="5" t="n">
        <v>279</v>
      </c>
      <c r="O107" s="5" t="n">
        <v>259</v>
      </c>
      <c r="P107" s="5" t="n">
        <v>254</v>
      </c>
      <c r="Q107" s="5" t="n">
        <v>241</v>
      </c>
      <c r="R107" s="5" t="n">
        <v>285</v>
      </c>
      <c r="S107" s="5" t="n">
        <v>258</v>
      </c>
      <c r="T107" s="5" t="n">
        <v>210</v>
      </c>
      <c r="U107" s="5" t="n">
        <v>262</v>
      </c>
      <c r="V107" s="5" t="n">
        <v>275</v>
      </c>
      <c r="W107" s="5" t="n">
        <v>297</v>
      </c>
      <c r="X107" s="5" t="n">
        <v>239</v>
      </c>
      <c r="Y107" s="14">
        <f>IF(AND(ISNUMBER(C107),C107&gt;0,ISNUMBER(X107)),X107/C107-1,"")</f>
        <v/>
      </c>
    </row>
    <row r="108">
      <c r="A108" s="12" t="inlineStr">
        <is>
          <t>410</t>
        </is>
      </c>
      <c r="B108" s="15" t="inlineStr">
        <is>
          <t>Draw</t>
        </is>
      </c>
      <c r="C108" s="5" t="n">
        <v>641</v>
      </c>
      <c r="D108" s="5" t="n">
        <v>683</v>
      </c>
      <c r="E108" s="5" t="n">
        <v>945</v>
      </c>
      <c r="F108" s="5" t="n">
        <v>963</v>
      </c>
      <c r="G108" s="5" t="n">
        <v>937</v>
      </c>
      <c r="H108" s="5" t="n">
        <v>606</v>
      </c>
      <c r="I108" s="5" t="n">
        <v>449</v>
      </c>
      <c r="J108" s="5" t="n">
        <v>362</v>
      </c>
      <c r="K108" s="5" t="n">
        <v>349</v>
      </c>
      <c r="L108" s="5" t="n">
        <v>292</v>
      </c>
      <c r="M108" s="5" t="n">
        <v>443</v>
      </c>
      <c r="N108" s="5" t="n">
        <v>675</v>
      </c>
      <c r="O108" s="5" t="n">
        <v>744</v>
      </c>
      <c r="P108" s="5" t="n">
        <v>905</v>
      </c>
      <c r="Q108" s="5" t="n">
        <v>738</v>
      </c>
      <c r="R108" s="5" t="n">
        <v>844</v>
      </c>
      <c r="S108" s="5" t="n">
        <v>795</v>
      </c>
      <c r="T108" s="5" t="n">
        <v>538</v>
      </c>
      <c r="U108" s="5" t="n">
        <v>418</v>
      </c>
      <c r="V108" s="5" t="n">
        <v>373</v>
      </c>
      <c r="W108" s="5" t="n">
        <v>79</v>
      </c>
      <c r="X108" s="5" t="n">
        <v>92</v>
      </c>
      <c r="Y108" s="14">
        <f>IF(AND(ISNUMBER(C108),C108&gt;0,ISNUMBER(X108)),X108/C108-1,"")</f>
        <v/>
      </c>
    </row>
    <row r="109">
      <c r="A109" s="12" t="inlineStr">
        <is>
          <t>411</t>
        </is>
      </c>
      <c r="B109" s="13" t="inlineStr">
        <is>
          <t>General</t>
        </is>
      </c>
      <c r="C109" s="5" t="n">
        <v>1274</v>
      </c>
      <c r="D109" s="5" t="n">
        <v>1263</v>
      </c>
      <c r="E109" s="5" t="n">
        <v>1266</v>
      </c>
      <c r="F109" s="5" t="n">
        <v>1108</v>
      </c>
      <c r="G109" s="5" t="n">
        <v>1139</v>
      </c>
      <c r="H109" s="5" t="n">
        <v>809</v>
      </c>
      <c r="I109" s="5" t="n">
        <v>564</v>
      </c>
      <c r="J109" s="5" t="n">
        <v>481</v>
      </c>
      <c r="K109" s="5" t="n">
        <v>567</v>
      </c>
      <c r="L109" s="5" t="n">
        <v>543</v>
      </c>
      <c r="M109" s="5" t="n">
        <v>505</v>
      </c>
      <c r="N109" s="5" t="n">
        <v>592</v>
      </c>
      <c r="O109" s="5" t="n">
        <v>735</v>
      </c>
      <c r="P109" s="5" t="n">
        <v>707</v>
      </c>
      <c r="Q109" s="5" t="n">
        <v>600</v>
      </c>
      <c r="R109" s="5" t="n">
        <v>793</v>
      </c>
      <c r="S109" s="5" t="n">
        <v>707</v>
      </c>
      <c r="T109" s="5" t="n">
        <v>635</v>
      </c>
      <c r="U109" s="5" t="n">
        <v>435</v>
      </c>
      <c r="V109" s="5" t="n">
        <v>433</v>
      </c>
      <c r="W109" s="5" t="n">
        <v>439</v>
      </c>
      <c r="X109" s="5" t="n">
        <v>394</v>
      </c>
      <c r="Y109" s="14">
        <f>IF(AND(ISNUMBER(C109),C109&gt;0,ISNUMBER(X109)),X109/C109-1,"")</f>
        <v/>
      </c>
    </row>
    <row r="110">
      <c r="A110" s="12" t="inlineStr">
        <is>
          <t>412</t>
        </is>
      </c>
      <c r="B110" s="13" t="inlineStr">
        <is>
          <t>General</t>
        </is>
      </c>
      <c r="C110" s="5" t="n">
        <v>1164</v>
      </c>
      <c r="D110" s="5" t="n">
        <v>1002</v>
      </c>
      <c r="E110" s="5" t="n">
        <v>884</v>
      </c>
      <c r="F110" s="5" t="n">
        <v>1154</v>
      </c>
      <c r="G110" s="5" t="n">
        <v>834</v>
      </c>
      <c r="H110" s="5" t="n">
        <v>676</v>
      </c>
      <c r="I110" s="5" t="n">
        <v>489</v>
      </c>
      <c r="J110" s="5" t="n">
        <v>354</v>
      </c>
      <c r="K110" s="5" t="n">
        <v>362</v>
      </c>
      <c r="L110" s="5" t="n">
        <v>476</v>
      </c>
      <c r="M110" s="5" t="n">
        <v>390</v>
      </c>
      <c r="N110" s="5" t="n">
        <v>461</v>
      </c>
      <c r="O110" s="5" t="n">
        <v>500</v>
      </c>
      <c r="P110" s="5" t="n">
        <v>525</v>
      </c>
      <c r="Q110" s="5" t="n">
        <v>556</v>
      </c>
      <c r="R110" s="5" t="n">
        <v>488</v>
      </c>
      <c r="S110" s="5" t="n">
        <v>520</v>
      </c>
      <c r="T110" s="5" t="n">
        <v>524</v>
      </c>
      <c r="U110" s="5" t="n">
        <v>467</v>
      </c>
      <c r="V110" s="5" t="n">
        <v>393</v>
      </c>
      <c r="W110" s="5" t="n">
        <v>361</v>
      </c>
      <c r="X110" s="5" t="n">
        <v>353</v>
      </c>
      <c r="Y110" s="14">
        <f>IF(AND(ISNUMBER(C110),C110&gt;0,ISNUMBER(X110)),X110/C110-1,"")</f>
        <v/>
      </c>
    </row>
    <row r="111">
      <c r="A111" s="12" t="inlineStr">
        <is>
          <t>413</t>
        </is>
      </c>
      <c r="B111" s="13" t="inlineStr">
        <is>
          <t>General</t>
        </is>
      </c>
      <c r="C111" s="5" t="n">
        <v>1066</v>
      </c>
      <c r="D111" s="5" t="n">
        <v>959</v>
      </c>
      <c r="E111" s="5" t="n">
        <v>1120</v>
      </c>
      <c r="F111" s="5" t="n">
        <v>1049</v>
      </c>
      <c r="G111" s="5" t="n">
        <v>926</v>
      </c>
      <c r="H111" s="5" t="n">
        <v>654</v>
      </c>
      <c r="I111" s="5" t="n">
        <v>514</v>
      </c>
      <c r="J111" s="5" t="n">
        <v>537</v>
      </c>
      <c r="K111" s="5" t="n">
        <v>593</v>
      </c>
      <c r="L111" s="5" t="n">
        <v>730</v>
      </c>
      <c r="M111" s="5" t="n">
        <v>627</v>
      </c>
      <c r="N111" s="5" t="n">
        <v>722</v>
      </c>
      <c r="O111" s="5" t="n">
        <v>791</v>
      </c>
      <c r="P111" s="5" t="n">
        <v>793</v>
      </c>
      <c r="Q111" s="5" t="n">
        <v>669</v>
      </c>
      <c r="R111" s="5" t="n">
        <v>601</v>
      </c>
      <c r="S111" s="5" t="n">
        <v>570</v>
      </c>
      <c r="T111" s="5" t="n">
        <v>532</v>
      </c>
      <c r="U111" s="5" t="n">
        <v>776</v>
      </c>
      <c r="V111" s="5" t="n">
        <v>732</v>
      </c>
      <c r="W111" s="5" t="n">
        <v>754</v>
      </c>
      <c r="X111" s="5" t="n">
        <v>564</v>
      </c>
      <c r="Y111" s="14">
        <f>IF(AND(ISNUMBER(C111),C111&gt;0,ISNUMBER(X111)),X111/C111-1,"")</f>
        <v/>
      </c>
    </row>
    <row r="112">
      <c r="A112" s="12" t="inlineStr">
        <is>
          <t>415</t>
        </is>
      </c>
      <c r="B112" s="13" t="inlineStr">
        <is>
          <t>General</t>
        </is>
      </c>
      <c r="C112" s="5" t="n">
        <v>12</v>
      </c>
      <c r="D112" s="5" t="n">
        <v>10</v>
      </c>
      <c r="E112" s="5" t="n">
        <v>4</v>
      </c>
      <c r="F112" s="5" t="n">
        <v>10</v>
      </c>
      <c r="G112" s="5" t="n">
        <v>6</v>
      </c>
      <c r="H112" s="5" t="n">
        <v>20</v>
      </c>
      <c r="I112" s="5" t="n">
        <v>11</v>
      </c>
      <c r="J112" s="5" t="n">
        <v>3</v>
      </c>
      <c r="K112" s="5" t="n"/>
      <c r="L112" s="5" t="n">
        <v>3</v>
      </c>
      <c r="M112" s="5" t="n"/>
      <c r="N112" s="5" t="n">
        <v>23</v>
      </c>
      <c r="O112" s="5" t="n">
        <v>12</v>
      </c>
      <c r="P112" s="5" t="n">
        <v>15</v>
      </c>
      <c r="Q112" s="5" t="n">
        <v>3</v>
      </c>
      <c r="R112" s="5" t="n">
        <v>3</v>
      </c>
      <c r="S112" s="5" t="n">
        <v>10</v>
      </c>
      <c r="T112" s="5" t="n">
        <v>8</v>
      </c>
      <c r="U112" s="5" t="n">
        <v>7</v>
      </c>
      <c r="V112" s="5" t="n">
        <v>24</v>
      </c>
      <c r="W112" s="5" t="n">
        <v>18</v>
      </c>
      <c r="X112" s="5" t="n">
        <v>11</v>
      </c>
      <c r="Y112" s="14">
        <f>IF(AND(ISNUMBER(C112),C112&gt;0,ISNUMBER(X112)),X112/C112-1,"")</f>
        <v/>
      </c>
    </row>
    <row r="113">
      <c r="A113" s="12" t="inlineStr">
        <is>
          <t>416</t>
        </is>
      </c>
      <c r="B113" s="13" t="inlineStr">
        <is>
          <t>General</t>
        </is>
      </c>
      <c r="C113" s="5" t="n">
        <v>256</v>
      </c>
      <c r="D113" s="5" t="n">
        <v>268</v>
      </c>
      <c r="E113" s="5" t="n">
        <v>260</v>
      </c>
      <c r="F113" s="5" t="n">
        <v>219</v>
      </c>
      <c r="G113" s="5" t="n">
        <v>183</v>
      </c>
      <c r="H113" s="5" t="n">
        <v>177</v>
      </c>
      <c r="I113" s="5" t="n">
        <v>195</v>
      </c>
      <c r="J113" s="5" t="n">
        <v>167</v>
      </c>
      <c r="K113" s="5" t="n">
        <v>205</v>
      </c>
      <c r="L113" s="5" t="n">
        <v>205</v>
      </c>
      <c r="M113" s="5" t="n">
        <v>165</v>
      </c>
      <c r="N113" s="5" t="n">
        <v>179</v>
      </c>
      <c r="O113" s="5" t="n">
        <v>225</v>
      </c>
      <c r="P113" s="5" t="n">
        <v>210</v>
      </c>
      <c r="Q113" s="5" t="n">
        <v>206</v>
      </c>
      <c r="R113" s="5" t="n">
        <v>177</v>
      </c>
      <c r="S113" s="5" t="n">
        <v>122</v>
      </c>
      <c r="T113" s="5" t="n">
        <v>247</v>
      </c>
      <c r="U113" s="5" t="n">
        <v>353</v>
      </c>
      <c r="V113" s="5" t="n">
        <v>319</v>
      </c>
      <c r="W113" s="5" t="n">
        <v>291</v>
      </c>
      <c r="X113" s="5" t="n">
        <v>267</v>
      </c>
      <c r="Y113" s="14">
        <f>IF(AND(ISNUMBER(C113),C113&gt;0,ISNUMBER(X113)),X113/C113-1,"")</f>
        <v/>
      </c>
    </row>
    <row r="114">
      <c r="A114" s="12" t="inlineStr">
        <is>
          <t>417</t>
        </is>
      </c>
      <c r="B114" s="15" t="inlineStr">
        <is>
          <t>Draw</t>
        </is>
      </c>
      <c r="C114" s="5" t="n">
        <v>550</v>
      </c>
      <c r="D114" s="5" t="n">
        <v>543</v>
      </c>
      <c r="E114" s="5" t="n">
        <v>591</v>
      </c>
      <c r="F114" s="5" t="n">
        <v>687</v>
      </c>
      <c r="G114" s="5" t="n">
        <v>568</v>
      </c>
      <c r="H114" s="5" t="n">
        <v>399</v>
      </c>
      <c r="I114" s="5" t="n">
        <v>234</v>
      </c>
      <c r="J114" s="5" t="n">
        <v>245</v>
      </c>
      <c r="K114" s="5" t="n">
        <v>219</v>
      </c>
      <c r="L114" s="5" t="n">
        <v>266</v>
      </c>
      <c r="M114" s="5" t="n">
        <v>318</v>
      </c>
      <c r="N114" s="5" t="n">
        <v>407</v>
      </c>
      <c r="O114" s="5" t="n">
        <v>500</v>
      </c>
      <c r="P114" s="5" t="n">
        <v>433</v>
      </c>
      <c r="Q114" s="5" t="n">
        <v>465</v>
      </c>
      <c r="R114" s="5" t="n">
        <v>510</v>
      </c>
      <c r="S114" s="5" t="n">
        <v>471</v>
      </c>
      <c r="T114" s="5" t="n">
        <v>519</v>
      </c>
      <c r="U114" s="5" t="n">
        <v>339</v>
      </c>
      <c r="V114" s="5" t="n">
        <v>262</v>
      </c>
      <c r="W114" s="5" t="n">
        <v>74</v>
      </c>
      <c r="X114" s="5" t="n">
        <v>93</v>
      </c>
      <c r="Y114" s="14">
        <f>IF(AND(ISNUMBER(C114),C114&gt;0,ISNUMBER(X114)),X114/C114-1,"")</f>
        <v/>
      </c>
    </row>
    <row r="115">
      <c r="A115" s="12" t="inlineStr">
        <is>
          <t>418</t>
        </is>
      </c>
      <c r="B115" s="13" t="inlineStr">
        <is>
          <t>General</t>
        </is>
      </c>
      <c r="C115" s="5" t="n">
        <v>285</v>
      </c>
      <c r="D115" s="5" t="n">
        <v>163</v>
      </c>
      <c r="E115" s="5" t="n">
        <v>187</v>
      </c>
      <c r="F115" s="5" t="n">
        <v>158</v>
      </c>
      <c r="G115" s="5" t="n">
        <v>147</v>
      </c>
      <c r="H115" s="5" t="n">
        <v>145</v>
      </c>
      <c r="I115" s="5" t="n">
        <v>82</v>
      </c>
      <c r="J115" s="5" t="n">
        <v>120</v>
      </c>
      <c r="K115" s="5" t="n">
        <v>73</v>
      </c>
      <c r="L115" s="5" t="n">
        <v>137</v>
      </c>
      <c r="M115" s="5" t="n">
        <v>96</v>
      </c>
      <c r="N115" s="5" t="n">
        <v>175</v>
      </c>
      <c r="O115" s="5" t="n">
        <v>144</v>
      </c>
      <c r="P115" s="5" t="n">
        <v>115</v>
      </c>
      <c r="Q115" s="5" t="n">
        <v>156</v>
      </c>
      <c r="R115" s="5" t="n">
        <v>130</v>
      </c>
      <c r="S115" s="5" t="n">
        <v>118</v>
      </c>
      <c r="T115" s="5" t="n">
        <v>163</v>
      </c>
      <c r="U115" s="5" t="n">
        <v>97</v>
      </c>
      <c r="V115" s="5" t="n">
        <v>105</v>
      </c>
      <c r="W115" s="5" t="n">
        <v>150</v>
      </c>
      <c r="X115" s="5" t="n">
        <v>119</v>
      </c>
      <c r="Y115" s="14">
        <f>IF(AND(ISNUMBER(C115),C115&gt;0,ISNUMBER(X115)),X115/C115-1,"")</f>
        <v/>
      </c>
    </row>
    <row r="116">
      <c r="A116" s="12" t="inlineStr">
        <is>
          <t>419</t>
        </is>
      </c>
      <c r="B116" s="13" t="inlineStr">
        <is>
          <t>General</t>
        </is>
      </c>
      <c r="C116" s="5" t="n">
        <v>286</v>
      </c>
      <c r="D116" s="5" t="n">
        <v>302</v>
      </c>
      <c r="E116" s="5" t="n">
        <v>299</v>
      </c>
      <c r="F116" s="5" t="n">
        <v>375</v>
      </c>
      <c r="G116" s="5" t="n">
        <v>282</v>
      </c>
      <c r="H116" s="5" t="n">
        <v>135</v>
      </c>
      <c r="I116" s="5" t="n">
        <v>129</v>
      </c>
      <c r="J116" s="5" t="n">
        <v>140</v>
      </c>
      <c r="K116" s="5" t="n">
        <v>163</v>
      </c>
      <c r="L116" s="5" t="n">
        <v>174</v>
      </c>
      <c r="M116" s="5" t="n">
        <v>200</v>
      </c>
      <c r="N116" s="5" t="n">
        <v>227</v>
      </c>
      <c r="O116" s="5" t="n">
        <v>259</v>
      </c>
      <c r="P116" s="5" t="n">
        <v>323</v>
      </c>
      <c r="Q116" s="5" t="n">
        <v>298</v>
      </c>
      <c r="R116" s="5" t="n">
        <v>306</v>
      </c>
      <c r="S116" s="5" t="n">
        <v>322</v>
      </c>
      <c r="T116" s="5" t="n">
        <v>234</v>
      </c>
      <c r="U116" s="5" t="n">
        <v>242</v>
      </c>
      <c r="V116" s="5" t="n">
        <v>255</v>
      </c>
      <c r="W116" s="5" t="n">
        <v>316</v>
      </c>
      <c r="X116" s="5" t="n">
        <v>278</v>
      </c>
      <c r="Y116" s="14">
        <f>IF(AND(ISNUMBER(C116),C116&gt;0,ISNUMBER(X116)),X116/C116-1,"")</f>
        <v/>
      </c>
    </row>
    <row r="117">
      <c r="A117" s="12" t="inlineStr">
        <is>
          <t>420</t>
        </is>
      </c>
      <c r="B117" s="13" t="inlineStr">
        <is>
          <t>General</t>
        </is>
      </c>
      <c r="C117" s="5" t="n">
        <v>30</v>
      </c>
      <c r="D117" s="5" t="n">
        <v>41</v>
      </c>
      <c r="E117" s="5" t="n">
        <v>68</v>
      </c>
      <c r="F117" s="5" t="n">
        <v>25</v>
      </c>
      <c r="G117" s="5" t="n">
        <v>71</v>
      </c>
      <c r="H117" s="5" t="n">
        <v>33</v>
      </c>
      <c r="I117" s="5" t="n">
        <v>25</v>
      </c>
      <c r="J117" s="5" t="n">
        <v>28</v>
      </c>
      <c r="K117" s="5" t="n">
        <v>42</v>
      </c>
      <c r="L117" s="5" t="n">
        <v>31</v>
      </c>
      <c r="M117" s="5" t="n">
        <v>28</v>
      </c>
      <c r="N117" s="5" t="n">
        <v>46</v>
      </c>
      <c r="O117" s="5" t="n">
        <v>39</v>
      </c>
      <c r="P117" s="5" t="n">
        <v>71</v>
      </c>
      <c r="Q117" s="5" t="n">
        <v>31</v>
      </c>
      <c r="R117" s="5" t="n">
        <v>79</v>
      </c>
      <c r="S117" s="5" t="n">
        <v>44</v>
      </c>
      <c r="T117" s="5" t="n">
        <v>81</v>
      </c>
      <c r="U117" s="5" t="n">
        <v>40</v>
      </c>
      <c r="V117" s="5" t="n">
        <v>66</v>
      </c>
      <c r="W117" s="5" t="n">
        <v>71</v>
      </c>
      <c r="X117" s="5" t="n">
        <v>78</v>
      </c>
      <c r="Y117" s="14">
        <f>IF(AND(ISNUMBER(C117),C117&gt;0,ISNUMBER(X117)),X117/C117-1,"")</f>
        <v/>
      </c>
    </row>
    <row r="118">
      <c r="A118" s="12" t="inlineStr">
        <is>
          <t>421</t>
        </is>
      </c>
      <c r="B118" s="13" t="inlineStr">
        <is>
          <t>General</t>
        </is>
      </c>
      <c r="C118" s="5" t="n">
        <v>334</v>
      </c>
      <c r="D118" s="5" t="n">
        <v>454</v>
      </c>
      <c r="E118" s="5" t="n">
        <v>314</v>
      </c>
      <c r="F118" s="5" t="n">
        <v>344</v>
      </c>
      <c r="G118" s="5" t="n">
        <v>285</v>
      </c>
      <c r="H118" s="5" t="n">
        <v>278</v>
      </c>
      <c r="I118" s="5" t="n">
        <v>222</v>
      </c>
      <c r="J118" s="5" t="n">
        <v>169</v>
      </c>
      <c r="K118" s="5" t="n">
        <v>164</v>
      </c>
      <c r="L118" s="5" t="n">
        <v>188</v>
      </c>
      <c r="M118" s="5" t="n">
        <v>159</v>
      </c>
      <c r="N118" s="5" t="n">
        <v>197</v>
      </c>
      <c r="O118" s="5" t="n">
        <v>236</v>
      </c>
      <c r="P118" s="5" t="n">
        <v>168</v>
      </c>
      <c r="Q118" s="5" t="n">
        <v>165</v>
      </c>
      <c r="R118" s="5" t="n">
        <v>146</v>
      </c>
      <c r="S118" s="5" t="n">
        <v>213</v>
      </c>
      <c r="T118" s="5" t="n">
        <v>185</v>
      </c>
      <c r="U118" s="5" t="n">
        <v>296</v>
      </c>
      <c r="V118" s="5" t="n">
        <v>370</v>
      </c>
      <c r="W118" s="5" t="n">
        <v>413</v>
      </c>
      <c r="X118" s="5" t="n">
        <v>403</v>
      </c>
      <c r="Y118" s="14">
        <f>IF(AND(ISNUMBER(C118),C118&gt;0,ISNUMBER(X118)),X118/C118-1,"")</f>
        <v/>
      </c>
    </row>
    <row r="119">
      <c r="A119" s="12" t="inlineStr">
        <is>
          <t>422</t>
        </is>
      </c>
      <c r="B119" s="13" t="inlineStr">
        <is>
          <t>General</t>
        </is>
      </c>
      <c r="C119" s="5" t="n">
        <v>263</v>
      </c>
      <c r="D119" s="5" t="n">
        <v>164</v>
      </c>
      <c r="E119" s="5" t="n">
        <v>123</v>
      </c>
      <c r="F119" s="5" t="n">
        <v>141</v>
      </c>
      <c r="G119" s="5" t="n">
        <v>110</v>
      </c>
      <c r="H119" s="5" t="n">
        <v>79</v>
      </c>
      <c r="I119" s="5" t="n">
        <v>105</v>
      </c>
      <c r="J119" s="5" t="n">
        <v>64</v>
      </c>
      <c r="K119" s="5" t="n">
        <v>86</v>
      </c>
      <c r="L119" s="5" t="n">
        <v>70</v>
      </c>
      <c r="M119" s="5" t="n">
        <v>65</v>
      </c>
      <c r="N119" s="5" t="n">
        <v>72</v>
      </c>
      <c r="O119" s="5" t="n">
        <v>144</v>
      </c>
      <c r="P119" s="5" t="n">
        <v>140</v>
      </c>
      <c r="Q119" s="5" t="n">
        <v>87</v>
      </c>
      <c r="R119" s="5" t="n">
        <v>62</v>
      </c>
      <c r="S119" s="5" t="n">
        <v>73</v>
      </c>
      <c r="T119" s="5" t="n">
        <v>91</v>
      </c>
      <c r="U119" s="5" t="n">
        <v>80</v>
      </c>
      <c r="V119" s="5" t="n">
        <v>141</v>
      </c>
      <c r="W119" s="5" t="n">
        <v>136</v>
      </c>
      <c r="X119" s="5" t="n">
        <v>119</v>
      </c>
      <c r="Y119" s="14">
        <f>IF(AND(ISNUMBER(C119),C119&gt;0,ISNUMBER(X119)),X119/C119-1,"")</f>
        <v/>
      </c>
    </row>
    <row r="120">
      <c r="A120" s="12" t="inlineStr">
        <is>
          <t>423</t>
        </is>
      </c>
      <c r="B120" s="4" t="inlineStr"/>
      <c r="C120" s="5" t="n">
        <v>184</v>
      </c>
      <c r="D120" s="5" t="n">
        <v>231</v>
      </c>
      <c r="E120" s="5" t="n">
        <v>340</v>
      </c>
      <c r="F120" s="5" t="n">
        <v>278</v>
      </c>
      <c r="G120" s="5" t="n">
        <v>286</v>
      </c>
      <c r="H120" s="5" t="n">
        <v>298</v>
      </c>
      <c r="I120" s="5" t="n">
        <v>237</v>
      </c>
      <c r="J120" s="5" t="n">
        <v>167</v>
      </c>
      <c r="K120" s="5" t="n">
        <v>169</v>
      </c>
      <c r="L120" s="5" t="n">
        <v>227</v>
      </c>
      <c r="M120" s="5" t="n">
        <v>150</v>
      </c>
      <c r="N120" s="5" t="n">
        <v>134</v>
      </c>
      <c r="O120" s="5" t="n">
        <v>211</v>
      </c>
      <c r="P120" s="5" t="n">
        <v>157</v>
      </c>
      <c r="Q120" s="5" t="n">
        <v>135</v>
      </c>
      <c r="R120" s="5" t="n">
        <v>193</v>
      </c>
      <c r="S120" s="5" t="n">
        <v>146</v>
      </c>
      <c r="T120" s="5" t="n">
        <v>121</v>
      </c>
      <c r="U120" s="5" t="n"/>
      <c r="V120" s="5" t="n"/>
      <c r="W120" s="5" t="n"/>
      <c r="X120" s="5" t="n"/>
      <c r="Y120" s="14">
        <f>IF(AND(ISNUMBER(C120),C120&gt;0,ISNUMBER(X120)),X120/C120-1,"")</f>
        <v/>
      </c>
    </row>
    <row r="121">
      <c r="A121" s="12" t="inlineStr">
        <is>
          <t>424</t>
        </is>
      </c>
      <c r="B121" s="13" t="inlineStr">
        <is>
          <t>General</t>
        </is>
      </c>
      <c r="C121" s="5" t="n">
        <v>101</v>
      </c>
      <c r="D121" s="5" t="n">
        <v>52</v>
      </c>
      <c r="E121" s="5" t="n">
        <v>78</v>
      </c>
      <c r="F121" s="5" t="n">
        <v>51</v>
      </c>
      <c r="G121" s="5" t="n">
        <v>56</v>
      </c>
      <c r="H121" s="5" t="n">
        <v>38</v>
      </c>
      <c r="I121" s="5" t="n">
        <v>36</v>
      </c>
      <c r="J121" s="5" t="n">
        <v>8</v>
      </c>
      <c r="K121" s="5" t="n">
        <v>31</v>
      </c>
      <c r="L121" s="5" t="n">
        <v>28</v>
      </c>
      <c r="M121" s="5" t="n">
        <v>34</v>
      </c>
      <c r="N121" s="5" t="n">
        <v>37</v>
      </c>
      <c r="O121" s="5" t="n">
        <v>24</v>
      </c>
      <c r="P121" s="5" t="n">
        <v>26</v>
      </c>
      <c r="Q121" s="5" t="n">
        <v>18</v>
      </c>
      <c r="R121" s="5" t="n">
        <v>14</v>
      </c>
      <c r="S121" s="5" t="n">
        <v>7</v>
      </c>
      <c r="T121" s="5" t="n">
        <v>11</v>
      </c>
      <c r="U121" s="5" t="n">
        <v>29</v>
      </c>
      <c r="V121" s="5" t="n">
        <v>32</v>
      </c>
      <c r="W121" s="5" t="n">
        <v>36</v>
      </c>
      <c r="X121" s="5" t="n">
        <v>37</v>
      </c>
      <c r="Y121" s="14">
        <f>IF(AND(ISNUMBER(C121),C121&gt;0,ISNUMBER(X121)),X121/C121-1,"")</f>
        <v/>
      </c>
    </row>
    <row r="122">
      <c r="A122" s="12" t="inlineStr">
        <is>
          <t>425</t>
        </is>
      </c>
      <c r="B122" s="13" t="inlineStr">
        <is>
          <t>General</t>
        </is>
      </c>
      <c r="C122" s="5" t="n">
        <v>114</v>
      </c>
      <c r="D122" s="5" t="n">
        <v>96</v>
      </c>
      <c r="E122" s="5" t="n">
        <v>128</v>
      </c>
      <c r="F122" s="5" t="n">
        <v>151</v>
      </c>
      <c r="G122" s="5" t="n">
        <v>123</v>
      </c>
      <c r="H122" s="5" t="n">
        <v>62</v>
      </c>
      <c r="I122" s="5" t="n">
        <v>119</v>
      </c>
      <c r="J122" s="5" t="n">
        <v>132</v>
      </c>
      <c r="K122" s="5" t="n">
        <v>102</v>
      </c>
      <c r="L122" s="5" t="n">
        <v>98</v>
      </c>
      <c r="M122" s="5" t="n">
        <v>68</v>
      </c>
      <c r="N122" s="5" t="n">
        <v>63</v>
      </c>
      <c r="O122" s="5" t="n">
        <v>83</v>
      </c>
      <c r="P122" s="5" t="n">
        <v>124</v>
      </c>
      <c r="Q122" s="5" t="n">
        <v>81</v>
      </c>
      <c r="R122" s="5" t="n">
        <v>150</v>
      </c>
      <c r="S122" s="5" t="n">
        <v>105</v>
      </c>
      <c r="T122" s="5" t="n">
        <v>76</v>
      </c>
      <c r="U122" s="5" t="n">
        <v>99</v>
      </c>
      <c r="V122" s="5" t="n">
        <v>148</v>
      </c>
      <c r="W122" s="5" t="n">
        <v>130</v>
      </c>
      <c r="X122" s="5" t="n">
        <v>89</v>
      </c>
      <c r="Y122" s="14">
        <f>IF(AND(ISNUMBER(C122),C122&gt;0,ISNUMBER(X122)),X122/C122-1,"")</f>
        <v/>
      </c>
    </row>
    <row r="123">
      <c r="A123" s="12" t="inlineStr">
        <is>
          <t>426</t>
        </is>
      </c>
      <c r="B123" s="13" t="inlineStr">
        <is>
          <t>General</t>
        </is>
      </c>
      <c r="C123" s="5" t="n">
        <v>821</v>
      </c>
      <c r="D123" s="5" t="n">
        <v>844</v>
      </c>
      <c r="E123" s="5" t="n">
        <v>644</v>
      </c>
      <c r="F123" s="5" t="n">
        <v>788</v>
      </c>
      <c r="G123" s="5" t="n">
        <v>673</v>
      </c>
      <c r="H123" s="5" t="n">
        <v>328</v>
      </c>
      <c r="I123" s="5" t="n">
        <v>225</v>
      </c>
      <c r="J123" s="5" t="n">
        <v>299</v>
      </c>
      <c r="K123" s="5" t="n">
        <v>416</v>
      </c>
      <c r="L123" s="5" t="n">
        <v>396</v>
      </c>
      <c r="M123" s="5" t="n">
        <v>465</v>
      </c>
      <c r="N123" s="5" t="n">
        <v>544</v>
      </c>
      <c r="O123" s="5" t="n">
        <v>662</v>
      </c>
      <c r="P123" s="5" t="n">
        <v>664</v>
      </c>
      <c r="Q123" s="5" t="n">
        <v>636</v>
      </c>
      <c r="R123" s="5" t="n">
        <v>692</v>
      </c>
      <c r="S123" s="5" t="n">
        <v>720</v>
      </c>
      <c r="T123" s="5" t="n">
        <v>725</v>
      </c>
      <c r="U123" s="5" t="n">
        <v>556</v>
      </c>
      <c r="V123" s="5" t="n">
        <v>519</v>
      </c>
      <c r="W123" s="5" t="n">
        <v>498</v>
      </c>
      <c r="X123" s="5" t="n">
        <v>335</v>
      </c>
      <c r="Y123" s="14">
        <f>IF(AND(ISNUMBER(C123),C123&gt;0,ISNUMBER(X123)),X123/C123-1,"")</f>
        <v/>
      </c>
    </row>
    <row r="124">
      <c r="A124" s="12" t="inlineStr">
        <is>
          <t>432</t>
        </is>
      </c>
      <c r="B124" s="13" t="inlineStr">
        <is>
          <t>General</t>
        </is>
      </c>
      <c r="C124" s="5" t="n">
        <v>477</v>
      </c>
      <c r="D124" s="5" t="n">
        <v>355</v>
      </c>
      <c r="E124" s="5" t="n">
        <v>484</v>
      </c>
      <c r="F124" s="5" t="n">
        <v>405</v>
      </c>
      <c r="G124" s="5" t="n">
        <v>281</v>
      </c>
      <c r="H124" s="5" t="n">
        <v>218</v>
      </c>
      <c r="I124" s="5" t="n">
        <v>147</v>
      </c>
      <c r="J124" s="5" t="n">
        <v>185</v>
      </c>
      <c r="K124" s="5" t="n">
        <v>178</v>
      </c>
      <c r="L124" s="5" t="n">
        <v>243</v>
      </c>
      <c r="M124" s="5" t="n">
        <v>252</v>
      </c>
      <c r="N124" s="5" t="n">
        <v>284</v>
      </c>
      <c r="O124" s="5" t="n">
        <v>347</v>
      </c>
      <c r="P124" s="5" t="n">
        <v>363</v>
      </c>
      <c r="Q124" s="5" t="n">
        <v>277</v>
      </c>
      <c r="R124" s="5" t="n">
        <v>205</v>
      </c>
      <c r="S124" s="5" t="n">
        <v>254</v>
      </c>
      <c r="T124" s="5" t="n">
        <v>208</v>
      </c>
      <c r="U124" s="5" t="n"/>
      <c r="V124" s="5" t="n"/>
      <c r="W124" s="5" t="n"/>
      <c r="X124" s="5" t="n"/>
      <c r="Y124" s="14">
        <f>IF(AND(ISNUMBER(C124),C124&gt;0,ISNUMBER(X124)),X124/C124-1,"")</f>
        <v/>
      </c>
    </row>
    <row r="125">
      <c r="A125" s="12" t="inlineStr">
        <is>
          <t>441</t>
        </is>
      </c>
      <c r="B125" s="13" t="inlineStr">
        <is>
          <t>General</t>
        </is>
      </c>
      <c r="C125" s="5" t="n">
        <v>240</v>
      </c>
      <c r="D125" s="5" t="n">
        <v>192</v>
      </c>
      <c r="E125" s="5" t="n">
        <v>302</v>
      </c>
      <c r="F125" s="5" t="n">
        <v>365</v>
      </c>
      <c r="G125" s="5" t="n">
        <v>269</v>
      </c>
      <c r="H125" s="5" t="n">
        <v>179</v>
      </c>
      <c r="I125" s="5" t="n">
        <v>155</v>
      </c>
      <c r="J125" s="5" t="n">
        <v>167</v>
      </c>
      <c r="K125" s="5" t="n">
        <v>184</v>
      </c>
      <c r="L125" s="5" t="n">
        <v>210</v>
      </c>
      <c r="M125" s="5" t="n">
        <v>127</v>
      </c>
      <c r="N125" s="5" t="n">
        <v>98</v>
      </c>
      <c r="O125" s="5" t="n">
        <v>167</v>
      </c>
      <c r="P125" s="5" t="n">
        <v>122</v>
      </c>
      <c r="Q125" s="5" t="n">
        <v>81</v>
      </c>
      <c r="R125" s="5" t="n">
        <v>145</v>
      </c>
      <c r="S125" s="5" t="n">
        <v>83</v>
      </c>
      <c r="T125" s="5" t="n">
        <v>77</v>
      </c>
      <c r="U125" s="5" t="n">
        <v>71</v>
      </c>
      <c r="V125" s="5" t="n">
        <v>147</v>
      </c>
      <c r="W125" s="5" t="n">
        <v>125</v>
      </c>
      <c r="X125" s="5" t="n">
        <v>99</v>
      </c>
      <c r="Y125" s="14">
        <f>IF(AND(ISNUMBER(C125),C125&gt;0,ISNUMBER(X125)),X125/C125-1,"")</f>
        <v/>
      </c>
    </row>
    <row r="126">
      <c r="A126" s="12" t="inlineStr">
        <is>
          <t>442</t>
        </is>
      </c>
      <c r="B126" s="13" t="inlineStr">
        <is>
          <t>General</t>
        </is>
      </c>
      <c r="C126" s="5" t="n">
        <v>192</v>
      </c>
      <c r="D126" s="5" t="n">
        <v>89</v>
      </c>
      <c r="E126" s="5" t="n">
        <v>129</v>
      </c>
      <c r="F126" s="5" t="n">
        <v>104</v>
      </c>
      <c r="G126" s="5" t="n">
        <v>125</v>
      </c>
      <c r="H126" s="5" t="n">
        <v>80</v>
      </c>
      <c r="I126" s="5" t="n">
        <v>120</v>
      </c>
      <c r="J126" s="5" t="n">
        <v>85</v>
      </c>
      <c r="K126" s="5" t="n">
        <v>100</v>
      </c>
      <c r="L126" s="5" t="n">
        <v>131</v>
      </c>
      <c r="M126" s="5" t="n">
        <v>96</v>
      </c>
      <c r="N126" s="5" t="n">
        <v>80</v>
      </c>
      <c r="O126" s="5" t="n">
        <v>102</v>
      </c>
      <c r="P126" s="5" t="n">
        <v>100</v>
      </c>
      <c r="Q126" s="5" t="n">
        <v>44</v>
      </c>
      <c r="R126" s="5" t="n">
        <v>86</v>
      </c>
      <c r="S126" s="5" t="n">
        <v>53</v>
      </c>
      <c r="T126" s="5" t="n">
        <v>51</v>
      </c>
      <c r="U126" s="5" t="n">
        <v>22</v>
      </c>
      <c r="V126" s="5" t="n">
        <v>50</v>
      </c>
      <c r="W126" s="5" t="n">
        <v>37</v>
      </c>
      <c r="X126" s="5" t="n">
        <v>27</v>
      </c>
      <c r="Y126" s="14">
        <f>IF(AND(ISNUMBER(C126),C126&gt;0,ISNUMBER(X126)),X126/C126-1,"")</f>
        <v/>
      </c>
    </row>
    <row r="127">
      <c r="A127" s="12" t="inlineStr">
        <is>
          <t>444</t>
        </is>
      </c>
      <c r="B127" s="13" t="inlineStr">
        <is>
          <t>General</t>
        </is>
      </c>
      <c r="C127" s="5" t="n">
        <v>314</v>
      </c>
      <c r="D127" s="5" t="n">
        <v>314</v>
      </c>
      <c r="E127" s="5" t="n">
        <v>390</v>
      </c>
      <c r="F127" s="5" t="n">
        <v>405</v>
      </c>
      <c r="G127" s="5" t="n">
        <v>242</v>
      </c>
      <c r="H127" s="5" t="n">
        <v>212</v>
      </c>
      <c r="I127" s="5" t="n">
        <v>236</v>
      </c>
      <c r="J127" s="5" t="n">
        <v>181</v>
      </c>
      <c r="K127" s="5" t="n">
        <v>151</v>
      </c>
      <c r="L127" s="5" t="n">
        <v>135</v>
      </c>
      <c r="M127" s="5" t="n">
        <v>99</v>
      </c>
      <c r="N127" s="5" t="n">
        <v>89</v>
      </c>
      <c r="O127" s="5" t="n">
        <v>181</v>
      </c>
      <c r="P127" s="5" t="n">
        <v>159</v>
      </c>
      <c r="Q127" s="5" t="n">
        <v>162</v>
      </c>
      <c r="R127" s="5" t="n">
        <v>110</v>
      </c>
      <c r="S127" s="5" t="n">
        <v>171</v>
      </c>
      <c r="T127" s="5" t="n">
        <v>121</v>
      </c>
      <c r="U127" s="5" t="n">
        <v>147</v>
      </c>
      <c r="V127" s="5" t="n">
        <v>139</v>
      </c>
      <c r="W127" s="5" t="n">
        <v>159</v>
      </c>
      <c r="X127" s="5" t="n">
        <v>101</v>
      </c>
      <c r="Y127" s="14">
        <f>IF(AND(ISNUMBER(C127),C127&gt;0,ISNUMBER(X127)),X127/C127-1,"")</f>
        <v/>
      </c>
    </row>
    <row r="128">
      <c r="A128" s="12" t="inlineStr">
        <is>
          <t>445</t>
        </is>
      </c>
      <c r="B128" s="13" t="inlineStr">
        <is>
          <t>General</t>
        </is>
      </c>
      <c r="C128" s="5" t="n">
        <v>816</v>
      </c>
      <c r="D128" s="5" t="n">
        <v>676</v>
      </c>
      <c r="E128" s="5" t="n">
        <v>765</v>
      </c>
      <c r="F128" s="5" t="n">
        <v>925</v>
      </c>
      <c r="G128" s="5" t="n">
        <v>752</v>
      </c>
      <c r="H128" s="5" t="n">
        <v>519</v>
      </c>
      <c r="I128" s="5" t="n">
        <v>483</v>
      </c>
      <c r="J128" s="5" t="n">
        <v>410</v>
      </c>
      <c r="K128" s="5" t="n">
        <v>376</v>
      </c>
      <c r="L128" s="5" t="n">
        <v>504</v>
      </c>
      <c r="M128" s="5" t="n">
        <v>256</v>
      </c>
      <c r="N128" s="5" t="n">
        <v>309</v>
      </c>
      <c r="O128" s="5" t="n">
        <v>431</v>
      </c>
      <c r="P128" s="5" t="n">
        <v>330</v>
      </c>
      <c r="Q128" s="5" t="n">
        <v>403</v>
      </c>
      <c r="R128" s="5" t="n">
        <v>290</v>
      </c>
      <c r="S128" s="5" t="n">
        <v>236</v>
      </c>
      <c r="T128" s="5" t="n">
        <v>283</v>
      </c>
      <c r="U128" s="5" t="n">
        <v>249</v>
      </c>
      <c r="V128" s="5" t="n">
        <v>242</v>
      </c>
      <c r="W128" s="5" t="n">
        <v>319</v>
      </c>
      <c r="X128" s="5" t="n">
        <v>221</v>
      </c>
      <c r="Y128" s="14">
        <f>IF(AND(ISNUMBER(C128),C128&gt;0,ISNUMBER(X128)),X128/C128-1,"")</f>
        <v/>
      </c>
    </row>
    <row r="129">
      <c r="A129" s="12" t="inlineStr">
        <is>
          <t>446</t>
        </is>
      </c>
      <c r="B129" s="13" t="inlineStr">
        <is>
          <t>General</t>
        </is>
      </c>
      <c r="C129" s="5" t="n">
        <v>213</v>
      </c>
      <c r="D129" s="5" t="n">
        <v>171</v>
      </c>
      <c r="E129" s="5" t="n">
        <v>234</v>
      </c>
      <c r="F129" s="5" t="n">
        <v>138</v>
      </c>
      <c r="G129" s="5" t="n">
        <v>132</v>
      </c>
      <c r="H129" s="5" t="n">
        <v>100</v>
      </c>
      <c r="I129" s="5" t="n">
        <v>114</v>
      </c>
      <c r="J129" s="5" t="n">
        <v>122</v>
      </c>
      <c r="K129" s="5" t="n">
        <v>122</v>
      </c>
      <c r="L129" s="5" t="n">
        <v>119</v>
      </c>
      <c r="M129" s="5" t="n">
        <v>130</v>
      </c>
      <c r="N129" s="5" t="n">
        <v>188</v>
      </c>
      <c r="O129" s="5" t="n">
        <v>235</v>
      </c>
      <c r="P129" s="5" t="n">
        <v>146</v>
      </c>
      <c r="Q129" s="5" t="n">
        <v>128</v>
      </c>
      <c r="R129" s="5" t="n">
        <v>114</v>
      </c>
      <c r="S129" s="5" t="n">
        <v>145</v>
      </c>
      <c r="T129" s="5" t="n">
        <v>140</v>
      </c>
      <c r="U129" s="5" t="n">
        <v>81</v>
      </c>
      <c r="V129" s="5" t="n">
        <v>127</v>
      </c>
      <c r="W129" s="5" t="n">
        <v>136</v>
      </c>
      <c r="X129" s="5" t="n">
        <v>108</v>
      </c>
      <c r="Y129" s="14">
        <f>IF(AND(ISNUMBER(C129),C129&gt;0,ISNUMBER(X129)),X129/C129-1,"")</f>
        <v/>
      </c>
    </row>
    <row r="130">
      <c r="A130" s="12" t="inlineStr">
        <is>
          <t>447</t>
        </is>
      </c>
      <c r="B130" s="13" t="inlineStr">
        <is>
          <t>General</t>
        </is>
      </c>
      <c r="C130" s="5" t="n">
        <v>1102</v>
      </c>
      <c r="D130" s="5" t="n">
        <v>900</v>
      </c>
      <c r="E130" s="5" t="n">
        <v>940</v>
      </c>
      <c r="F130" s="5" t="n">
        <v>1009</v>
      </c>
      <c r="G130" s="5" t="n">
        <v>801</v>
      </c>
      <c r="H130" s="5" t="n">
        <v>601</v>
      </c>
      <c r="I130" s="5" t="n">
        <v>470</v>
      </c>
      <c r="J130" s="5" t="n">
        <v>387</v>
      </c>
      <c r="K130" s="5" t="n">
        <v>444</v>
      </c>
      <c r="L130" s="5" t="n">
        <v>588</v>
      </c>
      <c r="M130" s="5" t="n">
        <v>650</v>
      </c>
      <c r="N130" s="5" t="n">
        <v>741</v>
      </c>
      <c r="O130" s="5" t="n">
        <v>866</v>
      </c>
      <c r="P130" s="5" t="n">
        <v>805</v>
      </c>
      <c r="Q130" s="5" t="n">
        <v>710</v>
      </c>
      <c r="R130" s="5" t="n">
        <v>719</v>
      </c>
      <c r="S130" s="5" t="n">
        <v>670</v>
      </c>
      <c r="T130" s="5" t="n">
        <v>681</v>
      </c>
      <c r="U130" s="5" t="n">
        <v>630</v>
      </c>
      <c r="V130" s="5" t="n">
        <v>602</v>
      </c>
      <c r="W130" s="5" t="n">
        <v>581</v>
      </c>
      <c r="X130" s="5" t="n">
        <v>431</v>
      </c>
      <c r="Y130" s="14">
        <f>IF(AND(ISNUMBER(C130),C130&gt;0,ISNUMBER(X130)),X130/C130-1,"")</f>
        <v/>
      </c>
    </row>
    <row r="131">
      <c r="A131" s="12" t="inlineStr">
        <is>
          <t>448</t>
        </is>
      </c>
      <c r="B131" s="13" t="inlineStr">
        <is>
          <t>General</t>
        </is>
      </c>
      <c r="C131" s="5" t="n">
        <v>170</v>
      </c>
      <c r="D131" s="5" t="n">
        <v>122</v>
      </c>
      <c r="E131" s="5" t="n">
        <v>225</v>
      </c>
      <c r="F131" s="5" t="n">
        <v>205</v>
      </c>
      <c r="G131" s="5" t="n">
        <v>135</v>
      </c>
      <c r="H131" s="5" t="n">
        <v>132</v>
      </c>
      <c r="I131" s="5" t="n">
        <v>109</v>
      </c>
      <c r="J131" s="5" t="n">
        <v>87</v>
      </c>
      <c r="K131" s="5" t="n">
        <v>137</v>
      </c>
      <c r="L131" s="5" t="n">
        <v>127</v>
      </c>
      <c r="M131" s="5" t="n">
        <v>141</v>
      </c>
      <c r="N131" s="5" t="n">
        <v>153</v>
      </c>
      <c r="O131" s="5" t="n">
        <v>139</v>
      </c>
      <c r="P131" s="5" t="n">
        <v>144</v>
      </c>
      <c r="Q131" s="5" t="n">
        <v>131</v>
      </c>
      <c r="R131" s="5" t="n">
        <v>91</v>
      </c>
      <c r="S131" s="5" t="n">
        <v>133</v>
      </c>
      <c r="T131" s="5" t="n">
        <v>126</v>
      </c>
      <c r="U131" s="5" t="n">
        <v>144</v>
      </c>
      <c r="V131" s="5" t="n">
        <v>172</v>
      </c>
      <c r="W131" s="5" t="n">
        <v>174</v>
      </c>
      <c r="X131" s="5" t="n">
        <v>213</v>
      </c>
      <c r="Y131" s="14">
        <f>IF(AND(ISNUMBER(C131),C131&gt;0,ISNUMBER(X131)),X131/C131-1,"")</f>
        <v/>
      </c>
    </row>
    <row r="132">
      <c r="A132" s="12" t="inlineStr">
        <is>
          <t>449</t>
        </is>
      </c>
      <c r="B132" s="4" t="inlineStr"/>
      <c r="C132" s="5" t="n">
        <v>274</v>
      </c>
      <c r="D132" s="5" t="n">
        <v>141</v>
      </c>
      <c r="E132" s="5" t="n">
        <v>112</v>
      </c>
      <c r="F132" s="5" t="n">
        <v>121</v>
      </c>
      <c r="G132" s="5" t="n">
        <v>91</v>
      </c>
      <c r="H132" s="5" t="n">
        <v>106</v>
      </c>
      <c r="I132" s="5" t="n">
        <v>94</v>
      </c>
      <c r="J132" s="5" t="n">
        <v>87</v>
      </c>
      <c r="K132" s="5" t="n">
        <v>131</v>
      </c>
      <c r="L132" s="5" t="n">
        <v>109</v>
      </c>
      <c r="M132" s="5" t="n">
        <v>127</v>
      </c>
      <c r="N132" s="5" t="n">
        <v>152</v>
      </c>
      <c r="O132" s="5" t="n">
        <v>144</v>
      </c>
      <c r="P132" s="5" t="n">
        <v>61</v>
      </c>
      <c r="Q132" s="5" t="n">
        <v>77</v>
      </c>
      <c r="R132" s="5" t="n">
        <v>77</v>
      </c>
      <c r="S132" s="5" t="n"/>
      <c r="T132" s="5" t="n"/>
      <c r="U132" s="5" t="n"/>
      <c r="V132" s="5" t="n"/>
      <c r="W132" s="5" t="n"/>
      <c r="X132" s="5" t="n"/>
      <c r="Y132" s="14">
        <f>IF(AND(ISNUMBER(C132),C132&gt;0,ISNUMBER(X132)),X132/C132-1,"")</f>
        <v/>
      </c>
    </row>
    <row r="133">
      <c r="A133" s="12" t="inlineStr">
        <is>
          <t>450</t>
        </is>
      </c>
      <c r="B133" s="13" t="inlineStr">
        <is>
          <t>General</t>
        </is>
      </c>
      <c r="C133" s="5" t="n">
        <v>177</v>
      </c>
      <c r="D133" s="5" t="n">
        <v>157</v>
      </c>
      <c r="E133" s="5" t="n">
        <v>197</v>
      </c>
      <c r="F133" s="5" t="n">
        <v>132</v>
      </c>
      <c r="G133" s="5" t="n">
        <v>162</v>
      </c>
      <c r="H133" s="5" t="n">
        <v>70</v>
      </c>
      <c r="I133" s="5" t="n">
        <v>92</v>
      </c>
      <c r="J133" s="5" t="n">
        <v>92</v>
      </c>
      <c r="K133" s="5" t="n">
        <v>71</v>
      </c>
      <c r="L133" s="5" t="n">
        <v>80</v>
      </c>
      <c r="M133" s="5" t="n">
        <v>51</v>
      </c>
      <c r="N133" s="5" t="n">
        <v>72</v>
      </c>
      <c r="O133" s="5" t="n">
        <v>94</v>
      </c>
      <c r="P133" s="5" t="n">
        <v>107</v>
      </c>
      <c r="Q133" s="5" t="n">
        <v>80</v>
      </c>
      <c r="R133" s="5" t="n">
        <v>80</v>
      </c>
      <c r="S133" s="5" t="n">
        <v>90</v>
      </c>
      <c r="T133" s="5" t="n">
        <v>89</v>
      </c>
      <c r="U133" s="5" t="n">
        <v>129</v>
      </c>
      <c r="V133" s="5" t="n">
        <v>125</v>
      </c>
      <c r="W133" s="5" t="n">
        <v>114</v>
      </c>
      <c r="X133" s="5" t="n">
        <v>112</v>
      </c>
      <c r="Y133" s="14">
        <f>IF(AND(ISNUMBER(C133),C133&gt;0,ISNUMBER(X133)),X133/C133-1,"")</f>
        <v/>
      </c>
    </row>
    <row r="134">
      <c r="A134" s="12" t="inlineStr">
        <is>
          <t>451</t>
        </is>
      </c>
      <c r="B134" s="13" t="inlineStr">
        <is>
          <t>General</t>
        </is>
      </c>
      <c r="C134" s="5" t="n"/>
      <c r="D134" s="5" t="n"/>
      <c r="E134" s="5" t="n"/>
      <c r="F134" s="5" t="n"/>
      <c r="G134" s="5" t="n"/>
      <c r="H134" s="5" t="n"/>
      <c r="I134" s="5" t="n"/>
      <c r="J134" s="5" t="n"/>
      <c r="K134" s="5" t="n"/>
      <c r="L134" s="5" t="n"/>
      <c r="M134" s="5" t="n"/>
      <c r="N134" s="5" t="n"/>
      <c r="O134" s="5" t="n">
        <v>36</v>
      </c>
      <c r="P134" s="5" t="n">
        <v>21</v>
      </c>
      <c r="Q134" s="5" t="n">
        <v>20</v>
      </c>
      <c r="R134" s="5" t="n">
        <v>10</v>
      </c>
      <c r="S134" s="5" t="n">
        <v>10</v>
      </c>
      <c r="T134" s="5" t="n">
        <v>7</v>
      </c>
      <c r="U134" s="5" t="n">
        <v>16</v>
      </c>
      <c r="V134" s="5" t="n">
        <v>23</v>
      </c>
      <c r="W134" s="5" t="n">
        <v>30</v>
      </c>
      <c r="X134" s="5" t="n">
        <v>42</v>
      </c>
      <c r="Y134" s="14">
        <f>IF(AND(ISNUMBER(C134),C134&gt;0,ISNUMBER(X134)),X134/C134-1,"")</f>
        <v/>
      </c>
    </row>
    <row r="135">
      <c r="A135" s="12" t="inlineStr">
        <is>
          <t>452</t>
        </is>
      </c>
      <c r="B135" s="13" t="inlineStr">
        <is>
          <t>General</t>
        </is>
      </c>
      <c r="C135" s="5" t="n">
        <v>73</v>
      </c>
      <c r="D135" s="5" t="n">
        <v>68</v>
      </c>
      <c r="E135" s="5" t="n">
        <v>95</v>
      </c>
      <c r="F135" s="5" t="n">
        <v>30</v>
      </c>
      <c r="G135" s="5" t="n">
        <v>69</v>
      </c>
      <c r="H135" s="5" t="n">
        <v>35</v>
      </c>
      <c r="I135" s="5" t="n">
        <v>64</v>
      </c>
      <c r="J135" s="5" t="n">
        <v>41</v>
      </c>
      <c r="K135" s="5" t="n">
        <v>47</v>
      </c>
      <c r="L135" s="5" t="n">
        <v>48</v>
      </c>
      <c r="M135" s="5" t="n">
        <v>47</v>
      </c>
      <c r="N135" s="5" t="n">
        <v>46</v>
      </c>
      <c r="O135" s="5" t="n">
        <v>84</v>
      </c>
      <c r="P135" s="5" t="n">
        <v>76</v>
      </c>
      <c r="Q135" s="5" t="n">
        <v>64</v>
      </c>
      <c r="R135" s="5" t="n">
        <v>52</v>
      </c>
      <c r="S135" s="5" t="n">
        <v>111</v>
      </c>
      <c r="T135" s="5" t="n">
        <v>190</v>
      </c>
      <c r="U135" s="5" t="n">
        <v>148</v>
      </c>
      <c r="V135" s="5" t="n">
        <v>161</v>
      </c>
      <c r="W135" s="5" t="n">
        <v>211</v>
      </c>
      <c r="X135" s="5" t="n">
        <v>232</v>
      </c>
      <c r="Y135" s="14">
        <f>IF(AND(ISNUMBER(C135),C135&gt;0,ISNUMBER(X135)),X135/C135-1,"")</f>
        <v/>
      </c>
    </row>
    <row r="136">
      <c r="A136" s="12" t="inlineStr">
        <is>
          <t>454</t>
        </is>
      </c>
      <c r="B136" s="4" t="inlineStr"/>
      <c r="C136" s="5" t="n">
        <v>150</v>
      </c>
      <c r="D136" s="5" t="n">
        <v>150</v>
      </c>
      <c r="E136" s="5" t="n">
        <v>145</v>
      </c>
      <c r="F136" s="5" t="n">
        <v>135</v>
      </c>
      <c r="G136" s="5" t="n">
        <v>110</v>
      </c>
      <c r="H136" s="5" t="n">
        <v>100</v>
      </c>
      <c r="I136" s="5" t="n">
        <v>67</v>
      </c>
      <c r="J136" s="5" t="n">
        <v>84</v>
      </c>
      <c r="K136" s="5" t="n">
        <v>100</v>
      </c>
      <c r="L136" s="5" t="n">
        <v>81</v>
      </c>
      <c r="M136" s="5" t="n">
        <v>154</v>
      </c>
      <c r="N136" s="5" t="n">
        <v>123</v>
      </c>
      <c r="O136" s="5" t="n">
        <v>117</v>
      </c>
      <c r="P136" s="5" t="n">
        <v>76</v>
      </c>
      <c r="Q136" s="5" t="n">
        <v>61</v>
      </c>
      <c r="R136" s="5" t="n">
        <v>89</v>
      </c>
      <c r="S136" s="5" t="n">
        <v>105</v>
      </c>
      <c r="T136" s="5" t="n">
        <v>88</v>
      </c>
      <c r="U136" s="5" t="n"/>
      <c r="V136" s="5" t="n"/>
      <c r="W136" s="5" t="n"/>
      <c r="X136" s="5" t="n"/>
      <c r="Y136" s="14">
        <f>IF(AND(ISNUMBER(C136),C136&gt;0,ISNUMBER(X136)),X136/C136-1,"")</f>
        <v/>
      </c>
    </row>
    <row r="137">
      <c r="A137" s="12" t="inlineStr">
        <is>
          <t>455</t>
        </is>
      </c>
      <c r="B137" s="15" t="inlineStr">
        <is>
          <t>Draw</t>
        </is>
      </c>
      <c r="C137" s="5" t="n">
        <v>42</v>
      </c>
      <c r="D137" s="5" t="n">
        <v>43</v>
      </c>
      <c r="E137" s="5" t="n">
        <v>65</v>
      </c>
      <c r="F137" s="5" t="n">
        <v>66</v>
      </c>
      <c r="G137" s="5" t="n">
        <v>70</v>
      </c>
      <c r="H137" s="5" t="n">
        <v>34</v>
      </c>
      <c r="I137" s="5" t="n">
        <v>21</v>
      </c>
      <c r="J137" s="5" t="n">
        <v>25</v>
      </c>
      <c r="K137" s="5" t="n">
        <v>18</v>
      </c>
      <c r="L137" s="5" t="n">
        <v>25</v>
      </c>
      <c r="M137" s="5" t="n">
        <v>18</v>
      </c>
      <c r="N137" s="5" t="n">
        <v>12</v>
      </c>
      <c r="O137" s="5" t="n">
        <v>16</v>
      </c>
      <c r="P137" s="5" t="n">
        <v>23</v>
      </c>
      <c r="Q137" s="5" t="n">
        <v>10</v>
      </c>
      <c r="R137" s="5" t="n">
        <v>12</v>
      </c>
      <c r="S137" s="5" t="n">
        <v>10</v>
      </c>
      <c r="T137" s="5" t="n">
        <v>15</v>
      </c>
      <c r="U137" s="5" t="n">
        <v>12</v>
      </c>
      <c r="V137" s="5" t="n">
        <v>7</v>
      </c>
      <c r="W137" s="5" t="n">
        <v>6</v>
      </c>
      <c r="X137" s="5" t="n">
        <v>19</v>
      </c>
      <c r="Y137" s="14">
        <f>IF(AND(ISNUMBER(C137),C137&gt;0,ISNUMBER(X137)),X137/C137-1,"")</f>
        <v/>
      </c>
    </row>
    <row r="138">
      <c r="A138" s="12" t="inlineStr">
        <is>
          <t>471</t>
        </is>
      </c>
      <c r="B138" s="13" t="inlineStr">
        <is>
          <t>General</t>
        </is>
      </c>
      <c r="C138" s="5" t="n">
        <v>518</v>
      </c>
      <c r="D138" s="5" t="n">
        <v>334</v>
      </c>
      <c r="E138" s="5" t="n">
        <v>455</v>
      </c>
      <c r="F138" s="5" t="n">
        <v>442</v>
      </c>
      <c r="G138" s="5" t="n">
        <v>465</v>
      </c>
      <c r="H138" s="5" t="n">
        <v>369</v>
      </c>
      <c r="I138" s="5" t="n">
        <v>198</v>
      </c>
      <c r="J138" s="5" t="n">
        <v>203</v>
      </c>
      <c r="K138" s="5" t="n">
        <v>186</v>
      </c>
      <c r="L138" s="5" t="n">
        <v>257</v>
      </c>
      <c r="M138" s="5" t="n">
        <v>224</v>
      </c>
      <c r="N138" s="5" t="n">
        <v>339</v>
      </c>
      <c r="O138" s="5" t="n">
        <v>470</v>
      </c>
      <c r="P138" s="5" t="n">
        <v>387</v>
      </c>
      <c r="Q138" s="5" t="n">
        <v>398</v>
      </c>
      <c r="R138" s="5" t="n">
        <v>414</v>
      </c>
      <c r="S138" s="5" t="n">
        <v>453</v>
      </c>
      <c r="T138" s="5" t="n">
        <v>423</v>
      </c>
      <c r="U138" s="5" t="n">
        <v>408</v>
      </c>
      <c r="V138" s="5" t="n">
        <v>436</v>
      </c>
      <c r="W138" s="5" t="n">
        <v>422</v>
      </c>
      <c r="X138" s="5" t="n">
        <v>284</v>
      </c>
      <c r="Y138" s="14">
        <f>IF(AND(ISNUMBER(C138),C138&gt;0,ISNUMBER(X138)),X138/C138-1,"")</f>
        <v/>
      </c>
    </row>
    <row r="139">
      <c r="A139" s="12" t="inlineStr">
        <is>
          <t>500</t>
        </is>
      </c>
      <c r="B139" s="4" t="inlineStr"/>
      <c r="C139" s="5" t="n">
        <v>775</v>
      </c>
      <c r="D139" s="5" t="n">
        <v>468</v>
      </c>
      <c r="E139" s="5" t="n">
        <v>545</v>
      </c>
      <c r="F139" s="5" t="n">
        <v>695</v>
      </c>
      <c r="G139" s="5" t="n">
        <v>738</v>
      </c>
      <c r="H139" s="5" t="n">
        <v>835</v>
      </c>
      <c r="I139" s="5" t="n">
        <v>652</v>
      </c>
      <c r="J139" s="5" t="n">
        <v>820</v>
      </c>
      <c r="K139" s="5" t="n">
        <v>811</v>
      </c>
      <c r="L139" s="5" t="n">
        <v>657</v>
      </c>
      <c r="M139" s="5" t="n">
        <v>487</v>
      </c>
      <c r="N139" s="5" t="n">
        <v>708</v>
      </c>
      <c r="O139" s="5" t="n">
        <v>939</v>
      </c>
      <c r="P139" s="5" t="n">
        <v>1223</v>
      </c>
      <c r="Q139" s="5" t="n">
        <v>1003</v>
      </c>
      <c r="R139" s="5" t="n">
        <v>1048</v>
      </c>
      <c r="S139" s="5" t="n">
        <v>909</v>
      </c>
      <c r="T139" s="5" t="n">
        <v>751</v>
      </c>
      <c r="U139" s="5" t="n"/>
      <c r="V139" s="5" t="n"/>
      <c r="W139" s="5" t="n"/>
      <c r="X139" s="5" t="n"/>
      <c r="Y139" s="14">
        <f>IF(AND(ISNUMBER(C139),C139&gt;0,ISNUMBER(X139)),X139/C139-1,"")</f>
        <v/>
      </c>
    </row>
    <row r="140">
      <c r="A140" s="12" t="inlineStr">
        <is>
          <t>502</t>
        </is>
      </c>
      <c r="B140" s="13" t="inlineStr">
        <is>
          <t>General</t>
        </is>
      </c>
      <c r="C140" s="5" t="n">
        <v>824</v>
      </c>
      <c r="D140" s="5" t="n">
        <v>856</v>
      </c>
      <c r="E140" s="5" t="n">
        <v>773</v>
      </c>
      <c r="F140" s="5" t="n">
        <v>838</v>
      </c>
      <c r="G140" s="5" t="n">
        <v>967</v>
      </c>
      <c r="H140" s="5" t="n">
        <v>896</v>
      </c>
      <c r="I140" s="5" t="n">
        <v>746</v>
      </c>
      <c r="J140" s="5" t="n">
        <v>701</v>
      </c>
      <c r="K140" s="5" t="n">
        <v>615</v>
      </c>
      <c r="L140" s="5" t="n">
        <v>511</v>
      </c>
      <c r="M140" s="5" t="n">
        <v>372</v>
      </c>
      <c r="N140" s="5" t="n">
        <v>474</v>
      </c>
      <c r="O140" s="5" t="n">
        <v>558</v>
      </c>
      <c r="P140" s="5" t="n">
        <v>533</v>
      </c>
      <c r="Q140" s="5" t="n">
        <v>451</v>
      </c>
      <c r="R140" s="5" t="n">
        <v>605</v>
      </c>
      <c r="S140" s="5" t="n">
        <v>599</v>
      </c>
      <c r="T140" s="5" t="n">
        <v>477</v>
      </c>
      <c r="U140" s="5" t="n">
        <v>633</v>
      </c>
      <c r="V140" s="5" t="n">
        <v>565</v>
      </c>
      <c r="W140" s="5" t="n">
        <v>506</v>
      </c>
      <c r="X140" s="5" t="n">
        <v>650</v>
      </c>
      <c r="Y140" s="14">
        <f>IF(AND(ISNUMBER(C140),C140&gt;0,ISNUMBER(X140)),X140/C140-1,"")</f>
        <v/>
      </c>
    </row>
    <row r="141">
      <c r="A141" s="12" t="inlineStr">
        <is>
          <t>510</t>
        </is>
      </c>
      <c r="B141" s="4" t="inlineStr"/>
      <c r="C141" s="5" t="n">
        <v>231</v>
      </c>
      <c r="D141" s="5" t="n">
        <v>240</v>
      </c>
      <c r="E141" s="5" t="n">
        <v>223</v>
      </c>
      <c r="F141" s="5" t="n">
        <v>314</v>
      </c>
      <c r="G141" s="5" t="n">
        <v>237</v>
      </c>
      <c r="H141" s="5" t="n">
        <v>238</v>
      </c>
      <c r="I141" s="5" t="n">
        <v>188</v>
      </c>
      <c r="J141" s="5" t="n">
        <v>182</v>
      </c>
      <c r="K141" s="5" t="n">
        <v>229</v>
      </c>
      <c r="L141" s="5" t="n">
        <v>211</v>
      </c>
      <c r="M141" s="5" t="n">
        <v>173</v>
      </c>
      <c r="N141" s="5" t="n">
        <v>214</v>
      </c>
      <c r="O141" s="5" t="n">
        <v>199</v>
      </c>
      <c r="P141" s="5" t="n">
        <v>167</v>
      </c>
      <c r="Q141" s="5" t="n">
        <v>185</v>
      </c>
      <c r="R141" s="5" t="n">
        <v>134</v>
      </c>
      <c r="S141" s="5" t="n">
        <v>154</v>
      </c>
      <c r="T141" s="5" t="n">
        <v>106</v>
      </c>
      <c r="U141" s="5" t="n"/>
      <c r="V141" s="5" t="n"/>
      <c r="W141" s="5" t="n"/>
      <c r="X141" s="5" t="n"/>
      <c r="Y141" s="14">
        <f>IF(AND(ISNUMBER(C141),C141&gt;0,ISNUMBER(X141)),X141/C141-1,"")</f>
        <v/>
      </c>
    </row>
    <row r="142">
      <c r="A142" s="12" t="inlineStr">
        <is>
          <t>511</t>
        </is>
      </c>
      <c r="B142" s="4" t="inlineStr"/>
      <c r="C142" s="5" t="n">
        <v>370</v>
      </c>
      <c r="D142" s="5" t="n">
        <v>295</v>
      </c>
      <c r="E142" s="5" t="n">
        <v>278</v>
      </c>
      <c r="F142" s="5" t="n">
        <v>322</v>
      </c>
      <c r="G142" s="5" t="n">
        <v>307</v>
      </c>
      <c r="H142" s="5" t="n">
        <v>248</v>
      </c>
      <c r="I142" s="5" t="n">
        <v>147</v>
      </c>
      <c r="J142" s="5" t="n">
        <v>169</v>
      </c>
      <c r="K142" s="5" t="n">
        <v>119</v>
      </c>
      <c r="L142" s="5" t="n">
        <v>105</v>
      </c>
      <c r="M142" s="5" t="n">
        <v>110</v>
      </c>
      <c r="N142" s="5" t="n">
        <v>181</v>
      </c>
      <c r="O142" s="5" t="n">
        <v>168</v>
      </c>
      <c r="P142" s="5" t="n">
        <v>140</v>
      </c>
      <c r="Q142" s="5" t="n">
        <v>169</v>
      </c>
      <c r="R142" s="5" t="n">
        <v>149</v>
      </c>
      <c r="S142" s="5" t="n">
        <v>176</v>
      </c>
      <c r="T142" s="5" t="n">
        <v>148</v>
      </c>
      <c r="U142" s="5" t="n"/>
      <c r="V142" s="5" t="n"/>
      <c r="W142" s="5" t="n"/>
      <c r="X142" s="5" t="n"/>
      <c r="Y142" s="14">
        <f>IF(AND(ISNUMBER(C142),C142&gt;0,ISNUMBER(X142)),X142/C142-1,"")</f>
        <v/>
      </c>
    </row>
    <row r="143">
      <c r="A143" s="12" t="inlineStr">
        <is>
          <t>515</t>
        </is>
      </c>
      <c r="B143" s="13" t="inlineStr">
        <is>
          <t>General</t>
        </is>
      </c>
      <c r="C143" s="5" t="n"/>
      <c r="D143" s="5" t="n"/>
      <c r="E143" s="5" t="n"/>
      <c r="F143" s="5" t="n"/>
      <c r="G143" s="5" t="n"/>
      <c r="H143" s="5" t="n"/>
      <c r="I143" s="5" t="n"/>
      <c r="J143" s="5" t="n"/>
      <c r="K143" s="5" t="n"/>
      <c r="L143" s="5" t="n"/>
      <c r="M143" s="5" t="n"/>
      <c r="N143" s="5" t="n"/>
      <c r="O143" s="5" t="n"/>
      <c r="P143" s="5" t="n"/>
      <c r="Q143" s="5" t="n"/>
      <c r="R143" s="5" t="n"/>
      <c r="S143" s="5" t="n"/>
      <c r="T143" s="5" t="n"/>
      <c r="U143" s="5" t="n">
        <v>809</v>
      </c>
      <c r="V143" s="5" t="n">
        <v>747</v>
      </c>
      <c r="W143" s="5" t="n">
        <v>719</v>
      </c>
      <c r="X143" s="5" t="n">
        <v>680</v>
      </c>
      <c r="Y143" s="14">
        <f>IF(AND(ISNUMBER(C143),C143&gt;0,ISNUMBER(X143)),X143/C143-1,"")</f>
        <v/>
      </c>
    </row>
    <row r="144">
      <c r="A144" s="12" t="inlineStr">
        <is>
          <t>520</t>
        </is>
      </c>
      <c r="B144" s="4" t="inlineStr"/>
      <c r="C144" s="5" t="n">
        <v>927</v>
      </c>
      <c r="D144" s="5" t="n">
        <v>710</v>
      </c>
      <c r="E144" s="5" t="n">
        <v>666</v>
      </c>
      <c r="F144" s="5" t="n">
        <v>590</v>
      </c>
      <c r="G144" s="5" t="n">
        <v>451</v>
      </c>
      <c r="H144" s="5" t="n">
        <v>437</v>
      </c>
      <c r="I144" s="5" t="n">
        <v>428</v>
      </c>
      <c r="J144" s="5" t="n">
        <v>391</v>
      </c>
      <c r="K144" s="5" t="n">
        <v>361</v>
      </c>
      <c r="L144" s="5" t="n">
        <v>362</v>
      </c>
      <c r="M144" s="5" t="n">
        <v>300</v>
      </c>
      <c r="N144" s="5" t="n">
        <v>253</v>
      </c>
      <c r="O144" s="5" t="n">
        <v>391</v>
      </c>
      <c r="P144" s="5" t="n">
        <v>317</v>
      </c>
      <c r="Q144" s="5" t="n">
        <v>329</v>
      </c>
      <c r="R144" s="5" t="n">
        <v>295</v>
      </c>
      <c r="S144" s="5" t="n">
        <v>272</v>
      </c>
      <c r="T144" s="5" t="n">
        <v>187</v>
      </c>
      <c r="U144" s="5" t="n"/>
      <c r="V144" s="5" t="n"/>
      <c r="W144" s="5" t="n"/>
      <c r="X144" s="5" t="n"/>
      <c r="Y144" s="14">
        <f>IF(AND(ISNUMBER(C144),C144&gt;0,ISNUMBER(X144)),X144/C144-1,"")</f>
        <v/>
      </c>
    </row>
    <row r="145">
      <c r="A145" s="12" t="inlineStr">
        <is>
          <t>525</t>
        </is>
      </c>
      <c r="B145" s="13" t="inlineStr">
        <is>
          <t>General</t>
        </is>
      </c>
      <c r="C145" s="5" t="n"/>
      <c r="D145" s="5" t="n"/>
      <c r="E145" s="5" t="n"/>
      <c r="F145" s="5" t="n"/>
      <c r="G145" s="5" t="n"/>
      <c r="H145" s="5" t="n"/>
      <c r="I145" s="5" t="n"/>
      <c r="J145" s="5" t="n"/>
      <c r="K145" s="5" t="n"/>
      <c r="L145" s="5" t="n"/>
      <c r="M145" s="5" t="n"/>
      <c r="N145" s="5" t="n"/>
      <c r="O145" s="5" t="n"/>
      <c r="P145" s="5" t="n"/>
      <c r="Q145" s="5" t="n"/>
      <c r="R145" s="5" t="n"/>
      <c r="S145" s="5" t="n"/>
      <c r="T145" s="5" t="n"/>
      <c r="U145" s="5" t="n">
        <v>395</v>
      </c>
      <c r="V145" s="5" t="n">
        <v>377</v>
      </c>
      <c r="W145" s="5" t="n">
        <v>398</v>
      </c>
      <c r="X145" s="5" t="n">
        <v>484</v>
      </c>
      <c r="Y145" s="14">
        <f>IF(AND(ISNUMBER(C145),C145&gt;0,ISNUMBER(X145)),X145/C145-1,"")</f>
        <v/>
      </c>
    </row>
    <row r="146">
      <c r="A146" s="12" t="inlineStr">
        <is>
          <t>530</t>
        </is>
      </c>
      <c r="B146" s="4" t="inlineStr"/>
      <c r="C146" s="5" t="n">
        <v>638</v>
      </c>
      <c r="D146" s="5" t="n">
        <v>608</v>
      </c>
      <c r="E146" s="5" t="n">
        <v>699</v>
      </c>
      <c r="F146" s="5" t="n">
        <v>924</v>
      </c>
      <c r="G146" s="5" t="n">
        <v>853</v>
      </c>
      <c r="H146" s="5" t="n">
        <v>645</v>
      </c>
      <c r="I146" s="5" t="n">
        <v>495</v>
      </c>
      <c r="J146" s="5" t="n">
        <v>403</v>
      </c>
      <c r="K146" s="5" t="n">
        <v>476</v>
      </c>
      <c r="L146" s="5" t="n">
        <v>437</v>
      </c>
      <c r="M146" s="5" t="n">
        <v>333</v>
      </c>
      <c r="N146" s="5" t="n">
        <v>387</v>
      </c>
      <c r="O146" s="5" t="n">
        <v>433</v>
      </c>
      <c r="P146" s="5" t="n">
        <v>645</v>
      </c>
      <c r="Q146" s="5" t="n">
        <v>480</v>
      </c>
      <c r="R146" s="5" t="n">
        <v>613</v>
      </c>
      <c r="S146" s="5" t="n">
        <v>670</v>
      </c>
      <c r="T146" s="5" t="n">
        <v>460</v>
      </c>
      <c r="U146" s="5" t="n"/>
      <c r="V146" s="5" t="n"/>
      <c r="W146" s="5" t="n"/>
      <c r="X146" s="5" t="n"/>
      <c r="Y146" s="14">
        <f>IF(AND(ISNUMBER(C146),C146&gt;0,ISNUMBER(X146)),X146/C146-1,"")</f>
        <v/>
      </c>
    </row>
    <row r="147">
      <c r="A147" s="12" t="inlineStr">
        <is>
          <t>535</t>
        </is>
      </c>
      <c r="B147" s="15" t="inlineStr">
        <is>
          <t>Draw</t>
        </is>
      </c>
      <c r="C147" s="5" t="n"/>
      <c r="D147" s="5" t="n"/>
      <c r="E147" s="5" t="n"/>
      <c r="F147" s="5" t="n"/>
      <c r="G147" s="5" t="n"/>
      <c r="H147" s="5" t="n"/>
      <c r="I147" s="5" t="n"/>
      <c r="J147" s="5" t="n"/>
      <c r="K147" s="5" t="n"/>
      <c r="L147" s="5" t="n"/>
      <c r="M147" s="5" t="n"/>
      <c r="N147" s="5" t="n"/>
      <c r="O147" s="5" t="n"/>
      <c r="P147" s="5" t="n"/>
      <c r="Q147" s="5" t="n"/>
      <c r="R147" s="5" t="n"/>
      <c r="S147" s="5" t="n"/>
      <c r="T147" s="5" t="n"/>
      <c r="U147" s="5" t="n">
        <v>392</v>
      </c>
      <c r="V147" s="5" t="n">
        <v>423</v>
      </c>
      <c r="W147" s="5" t="n">
        <v>264</v>
      </c>
      <c r="X147" s="5" t="n">
        <v>311</v>
      </c>
      <c r="Y147" s="14">
        <f>IF(AND(ISNUMBER(C147),C147&gt;0,ISNUMBER(X147)),X147/C147-1,"")</f>
        <v/>
      </c>
    </row>
    <row r="148">
      <c r="A148" s="12" t="inlineStr">
        <is>
          <t>540</t>
        </is>
      </c>
      <c r="B148" s="13" t="inlineStr">
        <is>
          <t>General</t>
        </is>
      </c>
      <c r="C148" s="5" t="n">
        <v>356</v>
      </c>
      <c r="D148" s="5" t="n">
        <v>270</v>
      </c>
      <c r="E148" s="5" t="n">
        <v>261</v>
      </c>
      <c r="F148" s="5" t="n">
        <v>185</v>
      </c>
      <c r="G148" s="5" t="n">
        <v>215</v>
      </c>
      <c r="H148" s="5" t="n">
        <v>118</v>
      </c>
      <c r="I148" s="5" t="n">
        <v>109</v>
      </c>
      <c r="J148" s="5" t="n">
        <v>145</v>
      </c>
      <c r="K148" s="5" t="n">
        <v>183</v>
      </c>
      <c r="L148" s="5" t="n">
        <v>126</v>
      </c>
      <c r="M148" s="5" t="n">
        <v>153</v>
      </c>
      <c r="N148" s="5" t="n">
        <v>146</v>
      </c>
      <c r="O148" s="5" t="n">
        <v>181</v>
      </c>
      <c r="P148" s="5" t="n">
        <v>186</v>
      </c>
      <c r="Q148" s="5" t="n">
        <v>185</v>
      </c>
      <c r="R148" s="5" t="n">
        <v>130</v>
      </c>
      <c r="S148" s="5" t="n">
        <v>170</v>
      </c>
      <c r="T148" s="5" t="n">
        <v>133</v>
      </c>
      <c r="U148" s="5" t="n">
        <v>141</v>
      </c>
      <c r="V148" s="5" t="n">
        <v>82</v>
      </c>
      <c r="W148" s="5" t="n">
        <v>102</v>
      </c>
      <c r="X148" s="5" t="n">
        <v>123</v>
      </c>
      <c r="Y148" s="14">
        <f>IF(AND(ISNUMBER(C148),C148&gt;0,ISNUMBER(X148)),X148/C148-1,"")</f>
        <v/>
      </c>
    </row>
    <row r="149">
      <c r="A149" s="12" t="inlineStr">
        <is>
          <t>555</t>
        </is>
      </c>
      <c r="B149" s="13" t="inlineStr">
        <is>
          <t>General</t>
        </is>
      </c>
      <c r="C149" s="5" t="n"/>
      <c r="D149" s="5" t="n"/>
      <c r="E149" s="5" t="n"/>
      <c r="F149" s="5" t="n"/>
      <c r="G149" s="5" t="n"/>
      <c r="H149" s="5" t="n"/>
      <c r="I149" s="5" t="n"/>
      <c r="J149" s="5" t="n"/>
      <c r="K149" s="5" t="n"/>
      <c r="L149" s="5" t="n"/>
      <c r="M149" s="5" t="n"/>
      <c r="N149" s="5" t="n"/>
      <c r="O149" s="5" t="n"/>
      <c r="P149" s="5" t="n"/>
      <c r="Q149" s="5" t="n"/>
      <c r="R149" s="5" t="n"/>
      <c r="S149" s="5" t="n"/>
      <c r="T149" s="5" t="n"/>
      <c r="U149" s="5" t="n">
        <v>106</v>
      </c>
      <c r="V149" s="5" t="n">
        <v>172</v>
      </c>
      <c r="W149" s="5" t="n">
        <v>159</v>
      </c>
      <c r="X149" s="5" t="n">
        <v>174</v>
      </c>
      <c r="Y149" s="14">
        <f>IF(AND(ISNUMBER(C149),C149&gt;0,ISNUMBER(X149)),X149/C149-1,"")</f>
        <v/>
      </c>
    </row>
    <row r="150">
      <c r="A150" s="12" t="inlineStr">
        <is>
          <t>560</t>
        </is>
      </c>
      <c r="B150" s="4" t="inlineStr"/>
      <c r="C150" s="5" t="n">
        <v>621</v>
      </c>
      <c r="D150" s="5" t="n">
        <v>526</v>
      </c>
      <c r="E150" s="5" t="n">
        <v>517</v>
      </c>
      <c r="F150" s="5" t="n">
        <v>544</v>
      </c>
      <c r="G150" s="5" t="n">
        <v>454</v>
      </c>
      <c r="H150" s="5" t="n">
        <v>440</v>
      </c>
      <c r="I150" s="5" t="n">
        <v>402</v>
      </c>
      <c r="J150" s="5" t="n">
        <v>450</v>
      </c>
      <c r="K150" s="5" t="n">
        <v>416</v>
      </c>
      <c r="L150" s="5" t="n">
        <v>381</v>
      </c>
      <c r="M150" s="5" t="n">
        <v>358</v>
      </c>
      <c r="N150" s="5" t="n">
        <v>337</v>
      </c>
      <c r="O150" s="5" t="n">
        <v>358</v>
      </c>
      <c r="P150" s="5" t="n">
        <v>363</v>
      </c>
      <c r="Q150" s="5" t="n">
        <v>335</v>
      </c>
      <c r="R150" s="5" t="n">
        <v>350</v>
      </c>
      <c r="S150" s="5" t="n">
        <v>321</v>
      </c>
      <c r="T150" s="5" t="n">
        <v>263</v>
      </c>
      <c r="U150" s="5" t="n"/>
      <c r="V150" s="5" t="n"/>
      <c r="W150" s="5" t="n"/>
      <c r="X150" s="5" t="n"/>
      <c r="Y150" s="14">
        <f>IF(AND(ISNUMBER(C150),C150&gt;0,ISNUMBER(X150)),X150/C150-1,"")</f>
        <v/>
      </c>
    </row>
    <row r="151">
      <c r="A151" s="12" t="inlineStr">
        <is>
          <t>565</t>
        </is>
      </c>
      <c r="B151" s="13" t="inlineStr">
        <is>
          <t>General</t>
        </is>
      </c>
      <c r="C151" s="5" t="n"/>
      <c r="D151" s="5" t="n"/>
      <c r="E151" s="5" t="n"/>
      <c r="F151" s="5" t="n"/>
      <c r="G151" s="5" t="n"/>
      <c r="H151" s="5" t="n"/>
      <c r="I151" s="5" t="n"/>
      <c r="J151" s="5" t="n"/>
      <c r="K151" s="5" t="n"/>
      <c r="L151" s="5" t="n"/>
      <c r="M151" s="5" t="n"/>
      <c r="N151" s="5" t="n"/>
      <c r="O151" s="5" t="n"/>
      <c r="P151" s="5" t="n"/>
      <c r="Q151" s="5" t="n"/>
      <c r="R151" s="5" t="n"/>
      <c r="S151" s="5" t="n"/>
      <c r="T151" s="5" t="n"/>
      <c r="U151" s="5" t="n">
        <v>22</v>
      </c>
      <c r="V151" s="5" t="n">
        <v>3</v>
      </c>
      <c r="W151" s="5" t="n">
        <v>9</v>
      </c>
      <c r="X151" s="5" t="n">
        <v>14</v>
      </c>
      <c r="Y151" s="14">
        <f>IF(AND(ISNUMBER(C151),C151&gt;0,ISNUMBER(X151)),X151/C151-1,"")</f>
        <v/>
      </c>
    </row>
    <row r="152">
      <c r="A152" s="12" t="inlineStr">
        <is>
          <t>570</t>
        </is>
      </c>
      <c r="B152" s="4" t="inlineStr"/>
      <c r="C152" s="5" t="n">
        <v>869</v>
      </c>
      <c r="D152" s="5" t="n">
        <v>532</v>
      </c>
      <c r="E152" s="5" t="n">
        <v>521</v>
      </c>
      <c r="F152" s="5" t="n">
        <v>635</v>
      </c>
      <c r="G152" s="5" t="n">
        <v>631</v>
      </c>
      <c r="H152" s="5" t="n">
        <v>497</v>
      </c>
      <c r="I152" s="5" t="n">
        <v>368</v>
      </c>
      <c r="J152" s="5" t="n">
        <v>406</v>
      </c>
      <c r="K152" s="5" t="n">
        <v>390</v>
      </c>
      <c r="L152" s="5" t="n">
        <v>341</v>
      </c>
      <c r="M152" s="5" t="n">
        <v>382</v>
      </c>
      <c r="N152" s="5" t="n">
        <v>433</v>
      </c>
      <c r="O152" s="5" t="n">
        <v>580</v>
      </c>
      <c r="P152" s="5" t="n">
        <v>527</v>
      </c>
      <c r="Q152" s="5" t="n">
        <v>453</v>
      </c>
      <c r="R152" s="5" t="n">
        <v>349</v>
      </c>
      <c r="S152" s="5" t="n">
        <v>416</v>
      </c>
      <c r="T152" s="5" t="n">
        <v>312</v>
      </c>
      <c r="U152" s="5" t="n"/>
      <c r="V152" s="5" t="n"/>
      <c r="W152" s="5" t="n"/>
      <c r="X152" s="5" t="n"/>
      <c r="Y152" s="14">
        <f>IF(AND(ISNUMBER(C152),C152&gt;0,ISNUMBER(X152)),X152/C152-1,"")</f>
        <v/>
      </c>
    </row>
    <row r="153">
      <c r="A153" s="12" t="inlineStr">
        <is>
          <t>575</t>
        </is>
      </c>
      <c r="B153" s="13" t="inlineStr">
        <is>
          <t>General</t>
        </is>
      </c>
      <c r="C153" s="5" t="n">
        <v>1461</v>
      </c>
      <c r="D153" s="5" t="n">
        <v>1134</v>
      </c>
      <c r="E153" s="5" t="n">
        <v>1469</v>
      </c>
      <c r="F153" s="5" t="n">
        <v>1476</v>
      </c>
      <c r="G153" s="5" t="n">
        <v>1570</v>
      </c>
      <c r="H153" s="5" t="n">
        <v>1543</v>
      </c>
      <c r="I153" s="5" t="n">
        <v>1160</v>
      </c>
      <c r="J153" s="5" t="n">
        <v>964</v>
      </c>
      <c r="K153" s="5" t="n">
        <v>704</v>
      </c>
      <c r="L153" s="5" t="n">
        <v>717</v>
      </c>
      <c r="M153" s="5" t="n">
        <v>631</v>
      </c>
      <c r="N153" s="5" t="n">
        <v>769</v>
      </c>
      <c r="O153" s="5" t="n">
        <v>942</v>
      </c>
      <c r="P153" s="5" t="n">
        <v>818</v>
      </c>
      <c r="Q153" s="5" t="n">
        <v>669</v>
      </c>
      <c r="R153" s="5" t="n">
        <v>744</v>
      </c>
      <c r="S153" s="5" t="n">
        <v>739</v>
      </c>
      <c r="T153" s="5" t="n">
        <v>660</v>
      </c>
      <c r="U153" s="5" t="n">
        <v>654</v>
      </c>
      <c r="V153" s="5" t="n">
        <v>612</v>
      </c>
      <c r="W153" s="5" t="n">
        <v>659</v>
      </c>
      <c r="X153" s="5" t="n">
        <v>609</v>
      </c>
      <c r="Y153" s="14">
        <f>IF(AND(ISNUMBER(C153),C153&gt;0,ISNUMBER(X153)),X153/C153-1,"")</f>
        <v/>
      </c>
    </row>
    <row r="154">
      <c r="A154" s="12" t="inlineStr">
        <is>
          <t>580</t>
        </is>
      </c>
      <c r="B154" s="13" t="inlineStr">
        <is>
          <t>General</t>
        </is>
      </c>
      <c r="C154" s="5" t="n">
        <v>779</v>
      </c>
      <c r="D154" s="5" t="n">
        <v>606</v>
      </c>
      <c r="E154" s="5" t="n">
        <v>767</v>
      </c>
      <c r="F154" s="5" t="n">
        <v>606</v>
      </c>
      <c r="G154" s="5" t="n">
        <v>502</v>
      </c>
      <c r="H154" s="5" t="n">
        <v>569</v>
      </c>
      <c r="I154" s="5" t="n">
        <v>533</v>
      </c>
      <c r="J154" s="5" t="n">
        <v>553</v>
      </c>
      <c r="K154" s="5" t="n">
        <v>501</v>
      </c>
      <c r="L154" s="5" t="n">
        <v>493</v>
      </c>
      <c r="M154" s="5" t="n">
        <v>455</v>
      </c>
      <c r="N154" s="5" t="n">
        <v>372</v>
      </c>
      <c r="O154" s="5" t="n">
        <v>354</v>
      </c>
      <c r="P154" s="5" t="n">
        <v>336</v>
      </c>
      <c r="Q154" s="5" t="n">
        <v>300</v>
      </c>
      <c r="R154" s="5" t="n">
        <v>249</v>
      </c>
      <c r="S154" s="5" t="n">
        <v>224</v>
      </c>
      <c r="T154" s="5" t="n">
        <v>197</v>
      </c>
      <c r="U154" s="5" t="n">
        <v>226</v>
      </c>
      <c r="V154" s="5" t="n">
        <v>204</v>
      </c>
      <c r="W154" s="5" t="n">
        <v>217</v>
      </c>
      <c r="X154" s="5" t="n">
        <v>231</v>
      </c>
      <c r="Y154" s="14">
        <f>IF(AND(ISNUMBER(C154),C154&gt;0,ISNUMBER(X154)),X154/C154-1,"")</f>
        <v/>
      </c>
    </row>
    <row r="155">
      <c r="A155" s="12" t="inlineStr">
        <is>
          <t>590</t>
        </is>
      </c>
      <c r="B155" s="13" t="inlineStr">
        <is>
          <t>General</t>
        </is>
      </c>
      <c r="C155" s="5" t="n">
        <v>1442</v>
      </c>
      <c r="D155" s="5" t="n">
        <v>1292</v>
      </c>
      <c r="E155" s="5" t="n">
        <v>1606</v>
      </c>
      <c r="F155" s="5" t="n">
        <v>1384</v>
      </c>
      <c r="G155" s="5" t="n">
        <v>1505</v>
      </c>
      <c r="H155" s="5" t="n">
        <v>1705</v>
      </c>
      <c r="I155" s="5" t="n">
        <v>1454</v>
      </c>
      <c r="J155" s="5" t="n">
        <v>1540</v>
      </c>
      <c r="K155" s="5" t="n">
        <v>1708</v>
      </c>
      <c r="L155" s="5" t="n">
        <v>1353</v>
      </c>
      <c r="M155" s="5" t="n">
        <v>928</v>
      </c>
      <c r="N155" s="5" t="n">
        <v>1361</v>
      </c>
      <c r="O155" s="5" t="n">
        <v>1698</v>
      </c>
      <c r="P155" s="5" t="n">
        <v>1685</v>
      </c>
      <c r="Q155" s="5" t="n">
        <v>1503</v>
      </c>
      <c r="R155" s="5" t="n">
        <v>1531</v>
      </c>
      <c r="S155" s="5" t="n">
        <v>1501</v>
      </c>
      <c r="T155" s="5" t="n">
        <v>1001</v>
      </c>
      <c r="U155" s="5" t="n">
        <v>1034</v>
      </c>
      <c r="V155" s="5" t="n">
        <v>1033</v>
      </c>
      <c r="W155" s="5" t="n">
        <v>957</v>
      </c>
      <c r="X155" s="5" t="n">
        <v>1003</v>
      </c>
      <c r="Y155" s="14">
        <f>IF(AND(ISNUMBER(C155),C155&gt;0,ISNUMBER(X155)),X155/C155-1,"")</f>
        <v/>
      </c>
    </row>
    <row r="156">
      <c r="A156" s="12" t="inlineStr">
        <is>
          <t>600</t>
        </is>
      </c>
      <c r="B156" s="13" t="inlineStr">
        <is>
          <t>General</t>
        </is>
      </c>
      <c r="C156" s="5" t="n">
        <v>558</v>
      </c>
      <c r="D156" s="5" t="n">
        <v>731</v>
      </c>
      <c r="E156" s="5" t="n">
        <v>709</v>
      </c>
      <c r="F156" s="5" t="n">
        <v>901</v>
      </c>
      <c r="G156" s="5" t="n">
        <v>1026</v>
      </c>
      <c r="H156" s="5" t="n">
        <v>990</v>
      </c>
      <c r="I156" s="5" t="n">
        <v>901</v>
      </c>
      <c r="J156" s="5" t="n">
        <v>597</v>
      </c>
      <c r="K156" s="5" t="n">
        <v>723</v>
      </c>
      <c r="L156" s="5" t="n">
        <v>675</v>
      </c>
      <c r="M156" s="5" t="n">
        <v>603</v>
      </c>
      <c r="N156" s="5" t="n">
        <v>706</v>
      </c>
      <c r="O156" s="5" t="n">
        <v>848</v>
      </c>
      <c r="P156" s="5" t="n">
        <v>938</v>
      </c>
      <c r="Q156" s="5" t="n">
        <v>997</v>
      </c>
      <c r="R156" s="5" t="n">
        <v>984</v>
      </c>
      <c r="S156" s="5" t="n">
        <v>1281</v>
      </c>
      <c r="T156" s="5" t="n">
        <v>1352</v>
      </c>
      <c r="U156" s="5" t="n">
        <v>999</v>
      </c>
      <c r="V156" s="5" t="n">
        <v>1021</v>
      </c>
      <c r="W156" s="5" t="n">
        <v>865</v>
      </c>
      <c r="X156" s="5" t="n">
        <v>783</v>
      </c>
      <c r="Y156" s="14">
        <f>IF(AND(ISNUMBER(C156),C156&gt;0,ISNUMBER(X156)),X156/C156-1,"")</f>
        <v/>
      </c>
    </row>
    <row r="157">
      <c r="A157" s="12" t="inlineStr">
        <is>
          <t>610</t>
        </is>
      </c>
      <c r="B157" s="4" t="inlineStr"/>
      <c r="C157" s="5" t="n">
        <v>373</v>
      </c>
      <c r="D157" s="5" t="n">
        <v>407</v>
      </c>
      <c r="E157" s="5" t="n">
        <v>343</v>
      </c>
      <c r="F157" s="5" t="n">
        <v>447</v>
      </c>
      <c r="G157" s="5" t="n"/>
      <c r="H157" s="5" t="n"/>
      <c r="I157" s="5" t="n"/>
      <c r="J157" s="5" t="n"/>
      <c r="K157" s="5" t="n"/>
      <c r="L157" s="5" t="n"/>
      <c r="M157" s="5" t="n"/>
      <c r="N157" s="5" t="n"/>
      <c r="O157" s="5" t="n"/>
      <c r="P157" s="5" t="n"/>
      <c r="Q157" s="5" t="n"/>
      <c r="R157" s="5" t="n"/>
      <c r="S157" s="5" t="n"/>
      <c r="T157" s="5" t="n"/>
      <c r="U157" s="5" t="n"/>
      <c r="V157" s="5" t="n"/>
      <c r="W157" s="5" t="n"/>
      <c r="X157" s="5" t="n"/>
      <c r="Y157" s="14">
        <f>IF(AND(ISNUMBER(C157),C157&gt;0,ISNUMBER(X157)),X157/C157-1,"")</f>
        <v/>
      </c>
    </row>
    <row r="158">
      <c r="A158" s="12" t="inlineStr">
        <is>
          <t>611</t>
        </is>
      </c>
      <c r="B158" s="4" t="inlineStr"/>
      <c r="C158" s="5" t="n">
        <v>284</v>
      </c>
      <c r="D158" s="5" t="n">
        <v>312</v>
      </c>
      <c r="E158" s="5" t="n">
        <v>390</v>
      </c>
      <c r="F158" s="5" t="n">
        <v>614</v>
      </c>
      <c r="G158" s="5" t="n">
        <v>542</v>
      </c>
      <c r="H158" s="5" t="n">
        <v>583</v>
      </c>
      <c r="I158" s="5" t="n">
        <v>381</v>
      </c>
      <c r="J158" s="5" t="n">
        <v>220</v>
      </c>
      <c r="K158" s="5" t="n">
        <v>269</v>
      </c>
      <c r="L158" s="5" t="n">
        <v>314</v>
      </c>
      <c r="M158" s="5" t="n">
        <v>284</v>
      </c>
      <c r="N158" s="5" t="n">
        <v>381</v>
      </c>
      <c r="O158" s="5" t="n">
        <v>383</v>
      </c>
      <c r="P158" s="5" t="n">
        <v>484</v>
      </c>
      <c r="Q158" s="5" t="n">
        <v>711</v>
      </c>
      <c r="R158" s="5" t="n">
        <v>573</v>
      </c>
      <c r="S158" s="5" t="n"/>
      <c r="T158" s="5" t="n"/>
      <c r="U158" s="5" t="n"/>
      <c r="V158" s="5" t="n"/>
      <c r="W158" s="5" t="n"/>
      <c r="X158" s="5" t="n"/>
      <c r="Y158" s="14">
        <f>IF(AND(ISNUMBER(C158),C158&gt;0,ISNUMBER(X158)),X158/C158-1,"")</f>
        <v/>
      </c>
    </row>
    <row r="159">
      <c r="A159" s="12" t="inlineStr">
        <is>
          <t>620</t>
        </is>
      </c>
      <c r="B159" s="13" t="inlineStr">
        <is>
          <t>General</t>
        </is>
      </c>
      <c r="C159" s="5" t="n">
        <v>485</v>
      </c>
      <c r="D159" s="5" t="n">
        <v>550</v>
      </c>
      <c r="E159" s="5" t="n">
        <v>509</v>
      </c>
      <c r="F159" s="5" t="n">
        <v>779</v>
      </c>
      <c r="G159" s="5" t="n">
        <v>850</v>
      </c>
      <c r="H159" s="5" t="n">
        <v>792</v>
      </c>
      <c r="I159" s="5" t="n">
        <v>541</v>
      </c>
      <c r="J159" s="5" t="n">
        <v>457</v>
      </c>
      <c r="K159" s="5" t="n">
        <v>398</v>
      </c>
      <c r="L159" s="5" t="n">
        <v>328</v>
      </c>
      <c r="M159" s="5" t="n">
        <v>413</v>
      </c>
      <c r="N159" s="5" t="n">
        <v>583</v>
      </c>
      <c r="O159" s="5" t="n">
        <v>665</v>
      </c>
      <c r="P159" s="5" t="n">
        <v>882</v>
      </c>
      <c r="Q159" s="5" t="n">
        <v>744</v>
      </c>
      <c r="R159" s="5" t="n">
        <v>692</v>
      </c>
      <c r="S159" s="5" t="n">
        <v>1038</v>
      </c>
      <c r="T159" s="5" t="n">
        <v>958</v>
      </c>
      <c r="U159" s="5" t="n">
        <v>556</v>
      </c>
      <c r="V159" s="5" t="n">
        <v>474</v>
      </c>
      <c r="W159" s="5" t="n">
        <v>332</v>
      </c>
      <c r="X159" s="5" t="n">
        <v>392</v>
      </c>
      <c r="Y159" s="14">
        <f>IF(AND(ISNUMBER(C159),C159&gt;0,ISNUMBER(X159)),X159/C159-1,"")</f>
        <v/>
      </c>
    </row>
    <row r="160">
      <c r="A160" s="12" t="inlineStr">
        <is>
          <t>621</t>
        </is>
      </c>
      <c r="B160" s="13" t="inlineStr">
        <is>
          <t>General</t>
        </is>
      </c>
      <c r="C160" s="5" t="n">
        <v>277</v>
      </c>
      <c r="D160" s="5" t="n">
        <v>231</v>
      </c>
      <c r="E160" s="5" t="n">
        <v>223</v>
      </c>
      <c r="F160" s="5" t="n">
        <v>240</v>
      </c>
      <c r="G160" s="5" t="n">
        <v>192</v>
      </c>
      <c r="H160" s="5" t="n">
        <v>247</v>
      </c>
      <c r="I160" s="5" t="n">
        <v>259</v>
      </c>
      <c r="J160" s="5" t="n">
        <v>202</v>
      </c>
      <c r="K160" s="5" t="n">
        <v>188</v>
      </c>
      <c r="L160" s="5" t="n">
        <v>217</v>
      </c>
      <c r="M160" s="5" t="n">
        <v>206</v>
      </c>
      <c r="N160" s="5" t="n">
        <v>368</v>
      </c>
      <c r="O160" s="5" t="n">
        <v>437</v>
      </c>
      <c r="P160" s="5" t="n">
        <v>435</v>
      </c>
      <c r="Q160" s="5" t="n">
        <v>416</v>
      </c>
      <c r="R160" s="5" t="n">
        <v>518</v>
      </c>
      <c r="S160" s="5" t="n">
        <v>483</v>
      </c>
      <c r="T160" s="5" t="n">
        <v>403</v>
      </c>
      <c r="U160" s="5" t="n">
        <v>218</v>
      </c>
      <c r="V160" s="5" t="n">
        <v>242</v>
      </c>
      <c r="W160" s="5" t="n">
        <v>260</v>
      </c>
      <c r="X160" s="5" t="n">
        <v>229</v>
      </c>
      <c r="Y160" s="14">
        <f>IF(AND(ISNUMBER(C160),C160&gt;0,ISNUMBER(X160)),X160/C160-1,"")</f>
        <v/>
      </c>
    </row>
    <row r="161">
      <c r="A161" s="12" t="inlineStr">
        <is>
          <t>622</t>
        </is>
      </c>
      <c r="B161" s="13" t="inlineStr">
        <is>
          <t>General</t>
        </is>
      </c>
      <c r="C161" s="5" t="n">
        <v>140</v>
      </c>
      <c r="D161" s="5" t="n">
        <v>117</v>
      </c>
      <c r="E161" s="5" t="n">
        <v>106</v>
      </c>
      <c r="F161" s="5" t="n">
        <v>151</v>
      </c>
      <c r="G161" s="5" t="n">
        <v>158</v>
      </c>
      <c r="H161" s="5" t="n">
        <v>186</v>
      </c>
      <c r="I161" s="5" t="n">
        <v>160</v>
      </c>
      <c r="J161" s="5" t="n">
        <v>124</v>
      </c>
      <c r="K161" s="5" t="n">
        <v>74</v>
      </c>
      <c r="L161" s="5" t="n">
        <v>65</v>
      </c>
      <c r="M161" s="5" t="n">
        <v>62</v>
      </c>
      <c r="N161" s="5" t="n">
        <v>143</v>
      </c>
      <c r="O161" s="5" t="n">
        <v>173</v>
      </c>
      <c r="P161" s="5" t="n">
        <v>239</v>
      </c>
      <c r="Q161" s="5" t="n">
        <v>203</v>
      </c>
      <c r="R161" s="5" t="n">
        <v>204</v>
      </c>
      <c r="S161" s="5" t="n">
        <v>262</v>
      </c>
      <c r="T161" s="5" t="n">
        <v>250</v>
      </c>
      <c r="U161" s="5" t="n">
        <v>124</v>
      </c>
      <c r="V161" s="5" t="n">
        <v>167</v>
      </c>
      <c r="W161" s="5" t="n">
        <v>127</v>
      </c>
      <c r="X161" s="5" t="n">
        <v>75</v>
      </c>
      <c r="Y161" s="14">
        <f>IF(AND(ISNUMBER(C161),C161&gt;0,ISNUMBER(X161)),X161/C161-1,"")</f>
        <v/>
      </c>
    </row>
    <row r="162">
      <c r="A162" s="12" t="inlineStr">
        <is>
          <t>630</t>
        </is>
      </c>
      <c r="B162" s="13" t="inlineStr">
        <is>
          <t>General</t>
        </is>
      </c>
      <c r="C162" s="5" t="n">
        <v>607</v>
      </c>
      <c r="D162" s="5" t="n">
        <v>707</v>
      </c>
      <c r="E162" s="5" t="n">
        <v>752</v>
      </c>
      <c r="F162" s="5" t="n">
        <v>834</v>
      </c>
      <c r="G162" s="5" t="n">
        <v>855</v>
      </c>
      <c r="H162" s="5" t="n">
        <v>1058</v>
      </c>
      <c r="I162" s="5" t="n">
        <v>855</v>
      </c>
      <c r="J162" s="5" t="n">
        <v>306</v>
      </c>
      <c r="K162" s="5" t="n">
        <v>293</v>
      </c>
      <c r="L162" s="5" t="n">
        <v>280</v>
      </c>
      <c r="M162" s="5" t="n">
        <v>224</v>
      </c>
      <c r="N162" s="5" t="n">
        <v>485</v>
      </c>
      <c r="O162" s="5" t="n">
        <v>602</v>
      </c>
      <c r="P162" s="5" t="n">
        <v>929</v>
      </c>
      <c r="Q162" s="5" t="n">
        <v>808</v>
      </c>
      <c r="R162" s="5" t="n">
        <v>930</v>
      </c>
      <c r="S162" s="5" t="n">
        <v>947</v>
      </c>
      <c r="T162" s="5" t="n">
        <v>1101</v>
      </c>
      <c r="U162" s="5" t="n">
        <v>811</v>
      </c>
      <c r="V162" s="5" t="n">
        <v>954</v>
      </c>
      <c r="W162" s="5" t="n">
        <v>654</v>
      </c>
      <c r="X162" s="5" t="n">
        <v>598</v>
      </c>
      <c r="Y162" s="14">
        <f>IF(AND(ISNUMBER(C162),C162&gt;0,ISNUMBER(X162)),X162/C162-1,"")</f>
        <v/>
      </c>
    </row>
    <row r="163">
      <c r="A163" s="12" t="inlineStr">
        <is>
          <t>631</t>
        </is>
      </c>
      <c r="B163" s="4" t="inlineStr"/>
      <c r="C163" s="5" t="n">
        <v>122</v>
      </c>
      <c r="D163" s="5" t="n">
        <v>52</v>
      </c>
      <c r="E163" s="5" t="n">
        <v>61</v>
      </c>
      <c r="F163" s="5" t="n">
        <v>66</v>
      </c>
      <c r="G163" s="5" t="n">
        <v>90</v>
      </c>
      <c r="H163" s="5" t="n">
        <v>72</v>
      </c>
      <c r="I163" s="5" t="n">
        <v>42</v>
      </c>
      <c r="J163" s="5" t="n">
        <v>53</v>
      </c>
      <c r="K163" s="5" t="n">
        <v>39</v>
      </c>
      <c r="L163" s="5" t="n">
        <v>32</v>
      </c>
      <c r="M163" s="5" t="n">
        <v>40</v>
      </c>
      <c r="N163" s="5" t="n">
        <v>103</v>
      </c>
      <c r="O163" s="5" t="n">
        <v>67</v>
      </c>
      <c r="P163" s="5" t="n">
        <v>138</v>
      </c>
      <c r="Q163" s="5" t="n">
        <v>120</v>
      </c>
      <c r="R163" s="5" t="n">
        <v>112</v>
      </c>
      <c r="S163" s="5" t="n">
        <v>139</v>
      </c>
      <c r="T163" s="5" t="n">
        <v>112</v>
      </c>
      <c r="U163" s="5" t="n"/>
      <c r="V163" s="5" t="n"/>
      <c r="W163" s="5" t="n"/>
      <c r="X163" s="5" t="n"/>
      <c r="Y163" s="14">
        <f>IF(AND(ISNUMBER(C163),C163&gt;0,ISNUMBER(X163)),X163/C163-1,"")</f>
        <v/>
      </c>
    </row>
    <row r="164">
      <c r="A164" s="12" t="inlineStr">
        <is>
          <t>632</t>
        </is>
      </c>
      <c r="B164" s="4" t="inlineStr"/>
      <c r="C164" s="5" t="n">
        <v>144</v>
      </c>
      <c r="D164" s="5" t="n">
        <v>130</v>
      </c>
      <c r="E164" s="5" t="n">
        <v>125</v>
      </c>
      <c r="F164" s="5" t="n">
        <v>120</v>
      </c>
      <c r="G164" s="5" t="n">
        <v>137</v>
      </c>
      <c r="H164" s="5" t="n">
        <v>152</v>
      </c>
      <c r="I164" s="5" t="n">
        <v>163</v>
      </c>
      <c r="J164" s="5" t="n">
        <v>111</v>
      </c>
      <c r="K164" s="5" t="n">
        <v>75</v>
      </c>
      <c r="L164" s="5" t="n">
        <v>62</v>
      </c>
      <c r="M164" s="5" t="n">
        <v>82</v>
      </c>
      <c r="N164" s="5" t="n">
        <v>163</v>
      </c>
      <c r="O164" s="5" t="n">
        <v>187</v>
      </c>
      <c r="P164" s="5" t="n">
        <v>223</v>
      </c>
      <c r="Q164" s="5" t="n">
        <v>268</v>
      </c>
      <c r="R164" s="5" t="n">
        <v>247</v>
      </c>
      <c r="S164" s="5" t="n">
        <v>246</v>
      </c>
      <c r="T164" s="5" t="n">
        <v>207</v>
      </c>
      <c r="U164" s="5" t="n"/>
      <c r="V164" s="5" t="n"/>
      <c r="W164" s="5" t="n"/>
      <c r="X164" s="5" t="n"/>
      <c r="Y164" s="14">
        <f>IF(AND(ISNUMBER(C164),C164&gt;0,ISNUMBER(X164)),X164/C164-1,"")</f>
        <v/>
      </c>
    </row>
    <row r="165">
      <c r="A165" s="12" t="inlineStr">
        <is>
          <t>640</t>
        </is>
      </c>
      <c r="B165" s="13" t="inlineStr">
        <is>
          <t>General</t>
        </is>
      </c>
      <c r="C165" s="5" t="n">
        <v>345</v>
      </c>
      <c r="D165" s="5" t="n">
        <v>454</v>
      </c>
      <c r="E165" s="5" t="n">
        <v>464</v>
      </c>
      <c r="F165" s="5" t="n">
        <v>552</v>
      </c>
      <c r="G165" s="5" t="n">
        <v>417</v>
      </c>
      <c r="H165" s="5" t="n">
        <v>440</v>
      </c>
      <c r="I165" s="5" t="n">
        <v>510</v>
      </c>
      <c r="J165" s="5" t="n">
        <v>502</v>
      </c>
      <c r="K165" s="5" t="n">
        <v>687</v>
      </c>
      <c r="L165" s="5" t="n">
        <v>603</v>
      </c>
      <c r="M165" s="5" t="n">
        <v>378</v>
      </c>
      <c r="N165" s="5" t="n">
        <v>468</v>
      </c>
      <c r="O165" s="5" t="n">
        <v>633</v>
      </c>
      <c r="P165" s="5" t="n">
        <v>671</v>
      </c>
      <c r="Q165" s="5" t="n">
        <v>725</v>
      </c>
      <c r="R165" s="5" t="n">
        <v>723</v>
      </c>
      <c r="S165" s="5" t="n">
        <v>1590</v>
      </c>
      <c r="T165" s="5" t="n">
        <v>1962</v>
      </c>
      <c r="U165" s="5" t="n">
        <v>1811</v>
      </c>
      <c r="V165" s="5" t="n">
        <v>2230</v>
      </c>
      <c r="W165" s="5" t="n">
        <v>1678</v>
      </c>
      <c r="X165" s="5" t="n">
        <v>1225</v>
      </c>
      <c r="Y165" s="14">
        <f>IF(AND(ISNUMBER(C165),C165&gt;0,ISNUMBER(X165)),X165/C165-1,"")</f>
        <v/>
      </c>
    </row>
    <row r="166">
      <c r="A166" s="12" t="inlineStr">
        <is>
          <t>641</t>
        </is>
      </c>
      <c r="B166" s="4" t="inlineStr"/>
      <c r="C166" s="5" t="n">
        <v>48</v>
      </c>
      <c r="D166" s="5" t="n">
        <v>58</v>
      </c>
      <c r="E166" s="5" t="n">
        <v>59</v>
      </c>
      <c r="F166" s="5" t="n">
        <v>105</v>
      </c>
      <c r="G166" s="5" t="n">
        <v>172</v>
      </c>
      <c r="H166" s="5" t="n">
        <v>134</v>
      </c>
      <c r="I166" s="5" t="n">
        <v>97</v>
      </c>
      <c r="J166" s="5" t="n">
        <v>45</v>
      </c>
      <c r="K166" s="5" t="n">
        <v>114</v>
      </c>
      <c r="L166" s="5" t="n">
        <v>98</v>
      </c>
      <c r="M166" s="5" t="n">
        <v>45</v>
      </c>
      <c r="N166" s="5" t="n">
        <v>94</v>
      </c>
      <c r="O166" s="5" t="n">
        <v>157</v>
      </c>
      <c r="P166" s="5" t="n">
        <v>100</v>
      </c>
      <c r="Q166" s="5" t="n">
        <v>159</v>
      </c>
      <c r="R166" s="5" t="n">
        <v>172</v>
      </c>
      <c r="S166" s="5" t="n"/>
      <c r="T166" s="5" t="n"/>
      <c r="U166" s="5" t="n"/>
      <c r="V166" s="5" t="n"/>
      <c r="W166" s="5" t="n"/>
      <c r="X166" s="5" t="n"/>
      <c r="Y166" s="14">
        <f>IF(AND(ISNUMBER(C166),C166&gt;0,ISNUMBER(X166)),X166/C166-1,"")</f>
        <v/>
      </c>
    </row>
    <row r="167">
      <c r="A167" s="12" t="inlineStr">
        <is>
          <t>650</t>
        </is>
      </c>
      <c r="B167" s="13" t="inlineStr">
        <is>
          <t>General</t>
        </is>
      </c>
      <c r="C167" s="5" t="n">
        <v>578</v>
      </c>
      <c r="D167" s="5" t="n">
        <v>362</v>
      </c>
      <c r="E167" s="5" t="n">
        <v>407</v>
      </c>
      <c r="F167" s="5" t="n">
        <v>528</v>
      </c>
      <c r="G167" s="5" t="n">
        <v>583</v>
      </c>
      <c r="H167" s="5" t="n">
        <v>531</v>
      </c>
      <c r="I167" s="5" t="n">
        <v>421</v>
      </c>
      <c r="J167" s="5" t="n">
        <v>324</v>
      </c>
      <c r="K167" s="5" t="n">
        <v>340</v>
      </c>
      <c r="L167" s="5" t="n">
        <v>300</v>
      </c>
      <c r="M167" s="5" t="n">
        <v>257</v>
      </c>
      <c r="N167" s="5" t="n">
        <v>398</v>
      </c>
      <c r="O167" s="5" t="n">
        <v>620</v>
      </c>
      <c r="P167" s="5" t="n">
        <v>649</v>
      </c>
      <c r="Q167" s="5" t="n">
        <v>667</v>
      </c>
      <c r="R167" s="5" t="n">
        <v>775</v>
      </c>
      <c r="S167" s="5" t="n">
        <v>1742</v>
      </c>
      <c r="T167" s="5" t="n">
        <v>2002</v>
      </c>
      <c r="U167" s="5" t="n">
        <v>1443</v>
      </c>
      <c r="V167" s="5" t="n">
        <v>1334</v>
      </c>
      <c r="W167" s="5" t="n">
        <v>981</v>
      </c>
      <c r="X167" s="5" t="n">
        <v>843</v>
      </c>
      <c r="Y167" s="14">
        <f>IF(AND(ISNUMBER(C167),C167&gt;0,ISNUMBER(X167)),X167/C167-1,"")</f>
        <v/>
      </c>
    </row>
    <row r="168">
      <c r="A168" s="12" t="inlineStr">
        <is>
          <t>651</t>
        </is>
      </c>
      <c r="B168" s="4" t="inlineStr"/>
      <c r="C168" s="5" t="n">
        <v>565</v>
      </c>
      <c r="D168" s="5" t="n">
        <v>377</v>
      </c>
      <c r="E168" s="5" t="n">
        <v>541</v>
      </c>
      <c r="F168" s="5" t="n">
        <v>562</v>
      </c>
      <c r="G168" s="5" t="n">
        <v>532</v>
      </c>
      <c r="H168" s="5" t="n">
        <v>483</v>
      </c>
      <c r="I168" s="5" t="n">
        <v>526</v>
      </c>
      <c r="J168" s="5" t="n">
        <v>398</v>
      </c>
      <c r="K168" s="5" t="n">
        <v>536</v>
      </c>
      <c r="L168" s="5" t="n">
        <v>458</v>
      </c>
      <c r="M168" s="5" t="n">
        <v>379</v>
      </c>
      <c r="N168" s="5" t="n">
        <v>394</v>
      </c>
      <c r="O168" s="5" t="n">
        <v>634</v>
      </c>
      <c r="P168" s="5" t="n">
        <v>682</v>
      </c>
      <c r="Q168" s="5" t="n">
        <v>625</v>
      </c>
      <c r="R168" s="5" t="n">
        <v>779</v>
      </c>
      <c r="S168" s="5" t="n"/>
      <c r="T168" s="5" t="n"/>
      <c r="U168" s="5" t="n"/>
      <c r="V168" s="5" t="n"/>
      <c r="W168" s="5" t="n"/>
      <c r="X168" s="5" t="n"/>
      <c r="Y168" s="14">
        <f>IF(AND(ISNUMBER(C168),C168&gt;0,ISNUMBER(X168)),X168/C168-1,"")</f>
        <v/>
      </c>
    </row>
    <row r="169">
      <c r="A169" s="12" t="inlineStr">
        <is>
          <t>652</t>
        </is>
      </c>
      <c r="B169" s="15" t="inlineStr">
        <is>
          <t>Draw</t>
        </is>
      </c>
      <c r="C169" s="5" t="n">
        <v>124</v>
      </c>
      <c r="D169" s="5" t="n">
        <v>75</v>
      </c>
      <c r="E169" s="5" t="n">
        <v>75</v>
      </c>
      <c r="F169" s="5" t="n">
        <v>85</v>
      </c>
      <c r="G169" s="5" t="n">
        <v>104</v>
      </c>
      <c r="H169" s="5" t="n">
        <v>150</v>
      </c>
      <c r="I169" s="5" t="n">
        <v>138</v>
      </c>
      <c r="J169" s="5" t="n">
        <v>46</v>
      </c>
      <c r="K169" s="5" t="n">
        <v>22</v>
      </c>
      <c r="L169" s="5" t="n">
        <v>22</v>
      </c>
      <c r="M169" s="5" t="n">
        <v>24</v>
      </c>
      <c r="N169" s="5" t="n">
        <v>41</v>
      </c>
      <c r="O169" s="5" t="n">
        <v>47</v>
      </c>
      <c r="P169" s="5" t="n">
        <v>62</v>
      </c>
      <c r="Q169" s="5" t="n">
        <v>101</v>
      </c>
      <c r="R169" s="5" t="n">
        <v>84</v>
      </c>
      <c r="S169" s="5" t="n">
        <v>135</v>
      </c>
      <c r="T169" s="5" t="n">
        <v>156</v>
      </c>
      <c r="U169" s="5" t="n">
        <v>104</v>
      </c>
      <c r="V169" s="5" t="n">
        <v>87</v>
      </c>
      <c r="W169" s="5" t="n">
        <v>64</v>
      </c>
      <c r="X169" s="5" t="n">
        <v>52</v>
      </c>
      <c r="Y169" s="14">
        <f>IF(AND(ISNUMBER(C169),C169&gt;0,ISNUMBER(X169)),X169/C169-1,"")</f>
        <v/>
      </c>
    </row>
    <row r="170">
      <c r="A170" s="12" t="inlineStr">
        <is>
          <t>670</t>
        </is>
      </c>
      <c r="B170" s="13" t="inlineStr">
        <is>
          <t>General</t>
        </is>
      </c>
      <c r="C170" s="5" t="n">
        <v>732</v>
      </c>
      <c r="D170" s="5" t="n">
        <v>647</v>
      </c>
      <c r="E170" s="5" t="n">
        <v>728</v>
      </c>
      <c r="F170" s="5" t="n">
        <v>1008</v>
      </c>
      <c r="G170" s="5" t="n">
        <v>1189</v>
      </c>
      <c r="H170" s="5" t="n">
        <v>1322</v>
      </c>
      <c r="I170" s="5" t="n">
        <v>1293</v>
      </c>
      <c r="J170" s="5" t="n">
        <v>574</v>
      </c>
      <c r="K170" s="5" t="n">
        <v>852</v>
      </c>
      <c r="L170" s="5" t="n">
        <v>943</v>
      </c>
      <c r="M170" s="5" t="n">
        <v>711</v>
      </c>
      <c r="N170" s="5" t="n">
        <v>900</v>
      </c>
      <c r="O170" s="5" t="n">
        <v>1203</v>
      </c>
      <c r="P170" s="5" t="n">
        <v>1426</v>
      </c>
      <c r="Q170" s="5" t="n">
        <v>1135</v>
      </c>
      <c r="R170" s="5" t="n">
        <v>1527</v>
      </c>
      <c r="S170" s="5" t="n">
        <v>2247</v>
      </c>
      <c r="T170" s="5" t="n">
        <v>2917</v>
      </c>
      <c r="U170" s="5" t="n">
        <v>2306</v>
      </c>
      <c r="V170" s="5" t="n">
        <v>1923</v>
      </c>
      <c r="W170" s="5" t="n">
        <v>1200</v>
      </c>
      <c r="X170" s="5" t="n">
        <v>955</v>
      </c>
      <c r="Y170" s="14">
        <f>IF(AND(ISNUMBER(C170),C170&gt;0,ISNUMBER(X170)),X170/C170-1,"")</f>
        <v/>
      </c>
    </row>
    <row r="171">
      <c r="A171" s="12" t="inlineStr">
        <is>
          <t>680</t>
        </is>
      </c>
      <c r="B171" s="4" t="inlineStr"/>
      <c r="C171" s="5" t="n">
        <v>458</v>
      </c>
      <c r="D171" s="5" t="n">
        <v>407</v>
      </c>
      <c r="E171" s="5" t="n">
        <v>373</v>
      </c>
      <c r="F171" s="5" t="n">
        <v>617</v>
      </c>
      <c r="G171" s="5" t="n">
        <v>478</v>
      </c>
      <c r="H171" s="5" t="n">
        <v>542</v>
      </c>
      <c r="I171" s="5" t="n">
        <v>413</v>
      </c>
      <c r="J171" s="5" t="n">
        <v>429</v>
      </c>
      <c r="K171" s="5" t="n">
        <v>381</v>
      </c>
      <c r="L171" s="5" t="n">
        <v>424</v>
      </c>
      <c r="M171" s="5" t="n">
        <v>294</v>
      </c>
      <c r="N171" s="5" t="n">
        <v>326</v>
      </c>
      <c r="O171" s="5" t="n">
        <v>497</v>
      </c>
      <c r="P171" s="5" t="n">
        <v>599</v>
      </c>
      <c r="Q171" s="5" t="n">
        <v>572</v>
      </c>
      <c r="R171" s="5" t="n">
        <v>619</v>
      </c>
      <c r="S171" s="5" t="n"/>
      <c r="T171" s="5" t="n"/>
      <c r="U171" s="5" t="n"/>
      <c r="V171" s="5" t="n"/>
      <c r="W171" s="5" t="n"/>
      <c r="X171" s="5" t="n"/>
      <c r="Y171" s="14">
        <f>IF(AND(ISNUMBER(C171),C171&gt;0,ISNUMBER(X171)),X171/C171-1,"")</f>
        <v/>
      </c>
    </row>
    <row r="172">
      <c r="A172" s="12" t="inlineStr">
        <is>
          <t>690</t>
        </is>
      </c>
      <c r="B172" s="13" t="inlineStr">
        <is>
          <t>General</t>
        </is>
      </c>
      <c r="C172" s="5" t="n">
        <v>1007</v>
      </c>
      <c r="D172" s="5" t="n">
        <v>714</v>
      </c>
      <c r="E172" s="5" t="n">
        <v>898</v>
      </c>
      <c r="F172" s="5" t="n">
        <v>1126</v>
      </c>
      <c r="G172" s="5" t="n">
        <v>1196</v>
      </c>
      <c r="H172" s="5" t="n">
        <v>1346</v>
      </c>
      <c r="I172" s="5" t="n">
        <v>1011</v>
      </c>
      <c r="J172" s="5" t="n">
        <v>1175</v>
      </c>
      <c r="K172" s="5" t="n">
        <v>1233</v>
      </c>
      <c r="L172" s="5" t="n">
        <v>1359</v>
      </c>
      <c r="M172" s="5" t="n">
        <v>875</v>
      </c>
      <c r="N172" s="5" t="n">
        <v>1230</v>
      </c>
      <c r="O172" s="5" t="n">
        <v>1534</v>
      </c>
      <c r="P172" s="5" t="n">
        <v>1661</v>
      </c>
      <c r="Q172" s="5" t="n">
        <v>1493</v>
      </c>
      <c r="R172" s="5" t="n">
        <v>1591</v>
      </c>
      <c r="S172" s="5" t="n">
        <v>2232</v>
      </c>
      <c r="T172" s="5" t="n">
        <v>2362</v>
      </c>
      <c r="U172" s="5" t="n">
        <v>1692</v>
      </c>
      <c r="V172" s="5" t="n">
        <v>1520</v>
      </c>
      <c r="W172" s="5" t="n">
        <v>1315</v>
      </c>
      <c r="X172" s="5" t="n">
        <v>1194</v>
      </c>
      <c r="Y172" s="14">
        <f>IF(AND(ISNUMBER(C172),C172&gt;0,ISNUMBER(X172)),X172/C172-1,"")</f>
        <v/>
      </c>
    </row>
    <row r="173">
      <c r="A173" s="12" t="inlineStr">
        <is>
          <t>700</t>
        </is>
      </c>
      <c r="B173" s="13" t="inlineStr">
        <is>
          <t>General</t>
        </is>
      </c>
      <c r="C173" s="5" t="n">
        <v>2115</v>
      </c>
      <c r="D173" s="5" t="n">
        <v>2136</v>
      </c>
      <c r="E173" s="5" t="n">
        <v>2929</v>
      </c>
      <c r="F173" s="5" t="n">
        <v>2509</v>
      </c>
      <c r="G173" s="5" t="n">
        <v>2624</v>
      </c>
      <c r="H173" s="5" t="n">
        <v>2436</v>
      </c>
      <c r="I173" s="5" t="n">
        <v>1712</v>
      </c>
      <c r="J173" s="5" t="n">
        <v>1399</v>
      </c>
      <c r="K173" s="5" t="n">
        <v>996</v>
      </c>
      <c r="L173" s="5" t="n">
        <v>1064</v>
      </c>
      <c r="M173" s="5" t="n">
        <v>1215</v>
      </c>
      <c r="N173" s="5" t="n">
        <v>1839</v>
      </c>
      <c r="O173" s="5" t="n">
        <v>2842</v>
      </c>
      <c r="P173" s="5" t="n">
        <v>2894</v>
      </c>
      <c r="Q173" s="5" t="n">
        <v>2469</v>
      </c>
      <c r="R173" s="5" t="n">
        <v>2228</v>
      </c>
      <c r="S173" s="5" t="n">
        <v>2893</v>
      </c>
      <c r="T173" s="5" t="n">
        <v>2100</v>
      </c>
      <c r="U173" s="5" t="n">
        <v>1316</v>
      </c>
      <c r="V173" s="5" t="n">
        <v>1163</v>
      </c>
      <c r="W173" s="5" t="n">
        <v>835</v>
      </c>
      <c r="X173" s="5" t="n">
        <v>1015</v>
      </c>
      <c r="Y173" s="14">
        <f>IF(AND(ISNUMBER(C173),C173&gt;0,ISNUMBER(X173)),X173/C173-1,"")</f>
        <v/>
      </c>
    </row>
    <row r="174">
      <c r="A174" s="12" t="inlineStr">
        <is>
          <t>701</t>
        </is>
      </c>
      <c r="B174" s="13" t="inlineStr">
        <is>
          <t>General</t>
        </is>
      </c>
      <c r="C174" s="5" t="n">
        <v>1810</v>
      </c>
      <c r="D174" s="5" t="n">
        <v>1402</v>
      </c>
      <c r="E174" s="5" t="n">
        <v>2122</v>
      </c>
      <c r="F174" s="5" t="n">
        <v>1886</v>
      </c>
      <c r="G174" s="5" t="n">
        <v>2044</v>
      </c>
      <c r="H174" s="5" t="n">
        <v>1939</v>
      </c>
      <c r="I174" s="5" t="n">
        <v>1427</v>
      </c>
      <c r="J174" s="5" t="n">
        <v>1182</v>
      </c>
      <c r="K174" s="5" t="n">
        <v>1109</v>
      </c>
      <c r="L174" s="5" t="n">
        <v>1077</v>
      </c>
      <c r="M174" s="5" t="n">
        <v>1086</v>
      </c>
      <c r="N174" s="5" t="n">
        <v>1126</v>
      </c>
      <c r="O174" s="5" t="n">
        <v>2309</v>
      </c>
      <c r="P174" s="5" t="n">
        <v>2279</v>
      </c>
      <c r="Q174" s="5" t="n">
        <v>1822</v>
      </c>
      <c r="R174" s="5" t="n">
        <v>2183</v>
      </c>
      <c r="S174" s="5" t="n">
        <v>2247</v>
      </c>
      <c r="T174" s="5" t="n">
        <v>1561</v>
      </c>
      <c r="U174" s="5" t="n">
        <v>1376</v>
      </c>
      <c r="V174" s="5" t="n">
        <v>1038</v>
      </c>
      <c r="W174" s="5" t="n">
        <v>1181</v>
      </c>
      <c r="X174" s="5" t="n">
        <v>920</v>
      </c>
      <c r="Y174" s="14">
        <f>IF(AND(ISNUMBER(C174),C174&gt;0,ISNUMBER(X174)),X174/C174-1,"")</f>
        <v/>
      </c>
    </row>
    <row r="175">
      <c r="A175" s="12" t="inlineStr">
        <is>
          <t>702</t>
        </is>
      </c>
      <c r="B175" s="13" t="inlineStr">
        <is>
          <t>General</t>
        </is>
      </c>
      <c r="C175" s="5" t="n">
        <v>2044</v>
      </c>
      <c r="D175" s="5" t="n">
        <v>1371</v>
      </c>
      <c r="E175" s="5" t="n">
        <v>1692</v>
      </c>
      <c r="F175" s="5" t="n">
        <v>1813</v>
      </c>
      <c r="G175" s="5" t="n">
        <v>1510</v>
      </c>
      <c r="H175" s="5" t="n">
        <v>1643</v>
      </c>
      <c r="I175" s="5" t="n">
        <v>1272</v>
      </c>
      <c r="J175" s="5" t="n">
        <v>1224</v>
      </c>
      <c r="K175" s="5" t="n">
        <v>1042</v>
      </c>
      <c r="L175" s="5" t="n">
        <v>999</v>
      </c>
      <c r="M175" s="5" t="n">
        <v>934</v>
      </c>
      <c r="N175" s="5" t="n">
        <v>958</v>
      </c>
      <c r="O175" s="5" t="n">
        <v>1564</v>
      </c>
      <c r="P175" s="5" t="n">
        <v>1595</v>
      </c>
      <c r="Q175" s="5" t="n">
        <v>1409</v>
      </c>
      <c r="R175" s="5" t="n">
        <v>1413</v>
      </c>
      <c r="S175" s="5" t="n">
        <v>1403</v>
      </c>
      <c r="T175" s="5" t="n">
        <v>797</v>
      </c>
      <c r="U175" s="5" t="n">
        <v>875</v>
      </c>
      <c r="V175" s="5" t="n">
        <v>798</v>
      </c>
      <c r="W175" s="5" t="n">
        <v>819</v>
      </c>
      <c r="X175" s="5" t="n">
        <v>631</v>
      </c>
      <c r="Y175" s="14">
        <f>IF(AND(ISNUMBER(C175),C175&gt;0,ISNUMBER(X175)),X175/C175-1,"")</f>
        <v/>
      </c>
    </row>
    <row r="176">
      <c r="A176" s="12" t="inlineStr">
        <is>
          <t>703</t>
        </is>
      </c>
      <c r="B176" s="13" t="inlineStr">
        <is>
          <t>General</t>
        </is>
      </c>
      <c r="C176" s="5" t="n">
        <v>2340</v>
      </c>
      <c r="D176" s="5" t="n">
        <v>1978</v>
      </c>
      <c r="E176" s="5" t="n">
        <v>2025</v>
      </c>
      <c r="F176" s="5" t="n">
        <v>2145</v>
      </c>
      <c r="G176" s="5" t="n">
        <v>2531</v>
      </c>
      <c r="H176" s="5" t="n">
        <v>2478</v>
      </c>
      <c r="I176" s="5" t="n">
        <v>1846</v>
      </c>
      <c r="J176" s="5" t="n">
        <v>1328</v>
      </c>
      <c r="K176" s="5" t="n">
        <v>1317</v>
      </c>
      <c r="L176" s="5" t="n">
        <v>1324</v>
      </c>
      <c r="M176" s="5" t="n">
        <v>1149</v>
      </c>
      <c r="N176" s="5" t="n">
        <v>1523</v>
      </c>
      <c r="O176" s="5" t="n">
        <v>2651</v>
      </c>
      <c r="P176" s="5" t="n">
        <v>2882</v>
      </c>
      <c r="Q176" s="5" t="n">
        <v>2799</v>
      </c>
      <c r="R176" s="5" t="n">
        <v>2820</v>
      </c>
      <c r="S176" s="5" t="n">
        <v>2656</v>
      </c>
      <c r="T176" s="5" t="n">
        <v>1917</v>
      </c>
      <c r="U176" s="5" t="n">
        <v>1665</v>
      </c>
      <c r="V176" s="5" t="n">
        <v>1448</v>
      </c>
      <c r="W176" s="5" t="n">
        <v>1421</v>
      </c>
      <c r="X176" s="5" t="n">
        <v>1277</v>
      </c>
      <c r="Y176" s="14">
        <f>IF(AND(ISNUMBER(C176),C176&gt;0,ISNUMBER(X176)),X176/C176-1,"")</f>
        <v/>
      </c>
    </row>
    <row r="177">
      <c r="A177" s="12" t="inlineStr">
        <is>
          <t>704</t>
        </is>
      </c>
      <c r="B177" s="13" t="inlineStr">
        <is>
          <t>General</t>
        </is>
      </c>
      <c r="C177" s="5" t="n">
        <v>4003</v>
      </c>
      <c r="D177" s="5" t="n">
        <v>3181</v>
      </c>
      <c r="E177" s="5" t="n">
        <v>2858</v>
      </c>
      <c r="F177" s="5" t="n">
        <v>3385</v>
      </c>
      <c r="G177" s="5" t="n">
        <v>3296</v>
      </c>
      <c r="H177" s="5" t="n">
        <v>3161</v>
      </c>
      <c r="I177" s="5" t="n">
        <v>2506</v>
      </c>
      <c r="J177" s="5" t="n">
        <v>2231</v>
      </c>
      <c r="K177" s="5" t="n">
        <v>1824</v>
      </c>
      <c r="L177" s="5" t="n">
        <v>2050</v>
      </c>
      <c r="M177" s="5" t="n">
        <v>2016</v>
      </c>
      <c r="N177" s="5" t="n">
        <v>2057</v>
      </c>
      <c r="O177" s="5" t="n">
        <v>3241</v>
      </c>
      <c r="P177" s="5" t="n">
        <v>3512</v>
      </c>
      <c r="Q177" s="5" t="n">
        <v>3274</v>
      </c>
      <c r="R177" s="5" t="n">
        <v>3333</v>
      </c>
      <c r="S177" s="5" t="n">
        <v>3187</v>
      </c>
      <c r="T177" s="5" t="n">
        <v>2295</v>
      </c>
      <c r="U177" s="5" t="n">
        <v>1780</v>
      </c>
      <c r="V177" s="5" t="n">
        <v>1703</v>
      </c>
      <c r="W177" s="5" t="n">
        <v>1572</v>
      </c>
      <c r="X177" s="5" t="n">
        <v>1770</v>
      </c>
      <c r="Y177" s="14">
        <f>IF(AND(ISNUMBER(C177),C177&gt;0,ISNUMBER(X177)),X177/C177-1,"")</f>
        <v/>
      </c>
    </row>
    <row r="178">
      <c r="A178" s="12" t="inlineStr">
        <is>
          <t>705</t>
        </is>
      </c>
      <c r="B178" s="13" t="inlineStr">
        <is>
          <t>General</t>
        </is>
      </c>
      <c r="C178" s="5" t="n">
        <v>3866</v>
      </c>
      <c r="D178" s="5" t="n">
        <v>2945</v>
      </c>
      <c r="E178" s="5" t="n">
        <v>3148</v>
      </c>
      <c r="F178" s="5" t="n">
        <v>3524</v>
      </c>
      <c r="G178" s="5" t="n">
        <v>3151</v>
      </c>
      <c r="H178" s="5" t="n">
        <v>2996</v>
      </c>
      <c r="I178" s="5" t="n">
        <v>2131</v>
      </c>
      <c r="J178" s="5" t="n">
        <v>1663</v>
      </c>
      <c r="K178" s="5" t="n">
        <v>1689</v>
      </c>
      <c r="L178" s="5" t="n">
        <v>1792</v>
      </c>
      <c r="M178" s="5" t="n">
        <v>1800</v>
      </c>
      <c r="N178" s="5" t="n">
        <v>2677</v>
      </c>
      <c r="O178" s="5" t="n">
        <v>3298</v>
      </c>
      <c r="P178" s="5" t="n">
        <v>3835</v>
      </c>
      <c r="Q178" s="5" t="n">
        <v>3857</v>
      </c>
      <c r="R178" s="5" t="n">
        <v>3680</v>
      </c>
      <c r="S178" s="5" t="n">
        <v>3551</v>
      </c>
      <c r="T178" s="5" t="n">
        <v>2561</v>
      </c>
      <c r="U178" s="5" t="n">
        <v>1759</v>
      </c>
      <c r="V178" s="5" t="n">
        <v>1294</v>
      </c>
      <c r="W178" s="5" t="n">
        <v>1374</v>
      </c>
      <c r="X178" s="5" t="n">
        <v>1463</v>
      </c>
      <c r="Y178" s="14">
        <f>IF(AND(ISNUMBER(C178),C178&gt;0,ISNUMBER(X178)),X178/C178-1,"")</f>
        <v/>
      </c>
    </row>
    <row r="181">
      <c r="A181" s="6" t="inlineStr">
        <is>
          <t>Whitetail</t>
        </is>
      </c>
    </row>
    <row r="182">
      <c r="A182" s="3" t="inlineStr">
        <is>
          <t>District</t>
        </is>
      </c>
      <c r="B182" s="3" t="inlineStr">
        <is>
          <t>License</t>
        </is>
      </c>
      <c r="C182" s="3" t="inlineStr">
        <is>
          <t>2004</t>
        </is>
      </c>
      <c r="D182" s="3" t="inlineStr">
        <is>
          <t>2005</t>
        </is>
      </c>
      <c r="E182" s="3" t="inlineStr">
        <is>
          <t>2006</t>
        </is>
      </c>
      <c r="F182" s="3" t="inlineStr">
        <is>
          <t>2007</t>
        </is>
      </c>
      <c r="G182" s="3" t="inlineStr">
        <is>
          <t>2008</t>
        </is>
      </c>
      <c r="H182" s="3" t="inlineStr">
        <is>
          <t>2009</t>
        </is>
      </c>
      <c r="I182" s="3" t="inlineStr">
        <is>
          <t>2010</t>
        </is>
      </c>
      <c r="J182" s="3" t="inlineStr">
        <is>
          <t>2011</t>
        </is>
      </c>
      <c r="K182" s="3" t="inlineStr">
        <is>
          <t>2012</t>
        </is>
      </c>
      <c r="L182" s="3" t="inlineStr">
        <is>
          <t>2013</t>
        </is>
      </c>
      <c r="M182" s="3" t="inlineStr">
        <is>
          <t>2014</t>
        </is>
      </c>
      <c r="N182" s="3" t="inlineStr">
        <is>
          <t>2015</t>
        </is>
      </c>
      <c r="O182" s="3" t="inlineStr">
        <is>
          <t>2016</t>
        </is>
      </c>
      <c r="P182" s="3" t="inlineStr">
        <is>
          <t>2017</t>
        </is>
      </c>
      <c r="Q182" s="3" t="inlineStr">
        <is>
          <t>2018</t>
        </is>
      </c>
      <c r="R182" s="3" t="inlineStr">
        <is>
          <t>2019</t>
        </is>
      </c>
      <c r="S182" s="3" t="inlineStr">
        <is>
          <t>2020</t>
        </is>
      </c>
      <c r="T182" s="3" t="inlineStr">
        <is>
          <t>2021</t>
        </is>
      </c>
      <c r="U182" s="3" t="inlineStr">
        <is>
          <t>2022</t>
        </is>
      </c>
      <c r="V182" s="3" t="inlineStr">
        <is>
          <t>2023</t>
        </is>
      </c>
      <c r="W182" s="3" t="inlineStr">
        <is>
          <t>2024</t>
        </is>
      </c>
      <c r="X182" s="3" t="inlineStr">
        <is>
          <t>2025</t>
        </is>
      </c>
      <c r="Y182" s="3" t="inlineStr">
        <is>
          <t>Change</t>
        </is>
      </c>
    </row>
    <row r="183">
      <c r="A183" s="12" t="inlineStr">
        <is>
          <t>100</t>
        </is>
      </c>
      <c r="B183" s="13" t="inlineStr">
        <is>
          <t>General</t>
        </is>
      </c>
      <c r="C183" s="5" t="n">
        <v>1464</v>
      </c>
      <c r="D183" s="5" t="n">
        <v>1357</v>
      </c>
      <c r="E183" s="5" t="n">
        <v>1798</v>
      </c>
      <c r="F183" s="5" t="n">
        <v>1361</v>
      </c>
      <c r="G183" s="5" t="n">
        <v>1442</v>
      </c>
      <c r="H183" s="5" t="n">
        <v>954</v>
      </c>
      <c r="I183" s="5" t="n">
        <v>1091</v>
      </c>
      <c r="J183" s="5" t="n">
        <v>833</v>
      </c>
      <c r="K183" s="5" t="n">
        <v>822</v>
      </c>
      <c r="L183" s="5" t="n">
        <v>977</v>
      </c>
      <c r="M183" s="5" t="n">
        <v>945</v>
      </c>
      <c r="N183" s="5" t="n">
        <v>901</v>
      </c>
      <c r="O183" s="5" t="n">
        <v>1266</v>
      </c>
      <c r="P183" s="5" t="n">
        <v>1163</v>
      </c>
      <c r="Q183" s="5" t="n">
        <v>1040</v>
      </c>
      <c r="R183" s="5" t="n">
        <v>847</v>
      </c>
      <c r="S183" s="5" t="n">
        <v>1076</v>
      </c>
      <c r="T183" s="5" t="n">
        <v>1272</v>
      </c>
      <c r="U183" s="5" t="n">
        <v>1127</v>
      </c>
      <c r="V183" s="5" t="n">
        <v>1035</v>
      </c>
      <c r="W183" s="5" t="n">
        <v>1034</v>
      </c>
      <c r="X183" s="5" t="n">
        <v>1021</v>
      </c>
      <c r="Y183" s="14">
        <f>IF(AND(ISNUMBER(C183),C183&gt;0,ISNUMBER(X183)),X183/C183-1,"")</f>
        <v/>
      </c>
    </row>
    <row r="184">
      <c r="A184" s="12" t="inlineStr">
        <is>
          <t>101</t>
        </is>
      </c>
      <c r="B184" s="13" t="inlineStr">
        <is>
          <t>General</t>
        </is>
      </c>
      <c r="C184" s="5" t="n">
        <v>1177</v>
      </c>
      <c r="D184" s="5" t="n">
        <v>1413</v>
      </c>
      <c r="E184" s="5" t="n">
        <v>1568</v>
      </c>
      <c r="F184" s="5" t="n">
        <v>1438</v>
      </c>
      <c r="G184" s="5" t="n">
        <v>1103</v>
      </c>
      <c r="H184" s="5" t="n">
        <v>687</v>
      </c>
      <c r="I184" s="5" t="n">
        <v>755</v>
      </c>
      <c r="J184" s="5" t="n">
        <v>839</v>
      </c>
      <c r="K184" s="5" t="n">
        <v>838</v>
      </c>
      <c r="L184" s="5" t="n">
        <v>960</v>
      </c>
      <c r="M184" s="5" t="n">
        <v>1085</v>
      </c>
      <c r="N184" s="5" t="n">
        <v>1142</v>
      </c>
      <c r="O184" s="5" t="n">
        <v>1355</v>
      </c>
      <c r="P184" s="5" t="n">
        <v>1101</v>
      </c>
      <c r="Q184" s="5" t="n">
        <v>915</v>
      </c>
      <c r="R184" s="5" t="n">
        <v>931</v>
      </c>
      <c r="S184" s="5" t="n">
        <v>976</v>
      </c>
      <c r="T184" s="5" t="n">
        <v>896</v>
      </c>
      <c r="U184" s="5" t="n">
        <v>1126</v>
      </c>
      <c r="V184" s="5" t="n">
        <v>1176</v>
      </c>
      <c r="W184" s="5" t="n">
        <v>1441</v>
      </c>
      <c r="X184" s="5" t="n">
        <v>1066</v>
      </c>
      <c r="Y184" s="14">
        <f>IF(AND(ISNUMBER(C184),C184&gt;0,ISNUMBER(X184)),X184/C184-1,"")</f>
        <v/>
      </c>
    </row>
    <row r="185">
      <c r="A185" s="12" t="inlineStr">
        <is>
          <t>102</t>
        </is>
      </c>
      <c r="B185" s="4" t="inlineStr"/>
      <c r="C185" s="5" t="n">
        <v>1596</v>
      </c>
      <c r="D185" s="5" t="n">
        <v>1461</v>
      </c>
      <c r="E185" s="5" t="n">
        <v>1549</v>
      </c>
      <c r="F185" s="5" t="n">
        <v>1306</v>
      </c>
      <c r="G185" s="5" t="n">
        <v>936</v>
      </c>
      <c r="H185" s="5" t="n">
        <v>596</v>
      </c>
      <c r="I185" s="5" t="n">
        <v>690</v>
      </c>
      <c r="J185" s="5" t="n">
        <v>722</v>
      </c>
      <c r="K185" s="5" t="n">
        <v>631</v>
      </c>
      <c r="L185" s="5" t="n">
        <v>759</v>
      </c>
      <c r="M185" s="5" t="n">
        <v>808</v>
      </c>
      <c r="N185" s="5" t="n">
        <v>1001</v>
      </c>
      <c r="O185" s="5" t="n">
        <v>1201</v>
      </c>
      <c r="P185" s="5" t="n">
        <v>916</v>
      </c>
      <c r="Q185" s="5" t="n">
        <v>803</v>
      </c>
      <c r="R185" s="5" t="n">
        <v>656</v>
      </c>
      <c r="S185" s="5" t="n">
        <v>802</v>
      </c>
      <c r="T185" s="5" t="n">
        <v>766</v>
      </c>
      <c r="U185" s="5" t="n"/>
      <c r="V185" s="5" t="n"/>
      <c r="W185" s="5" t="n"/>
      <c r="X185" s="5" t="n"/>
      <c r="Y185" s="14">
        <f>IF(AND(ISNUMBER(C185),C185&gt;0,ISNUMBER(X185)),X185/C185-1,"")</f>
        <v/>
      </c>
    </row>
    <row r="186">
      <c r="A186" s="12" t="inlineStr">
        <is>
          <t>103</t>
        </is>
      </c>
      <c r="B186" s="13" t="inlineStr">
        <is>
          <t>General</t>
        </is>
      </c>
      <c r="C186" s="5" t="n">
        <v>1227</v>
      </c>
      <c r="D186" s="5" t="n">
        <v>1228</v>
      </c>
      <c r="E186" s="5" t="n">
        <v>1308</v>
      </c>
      <c r="F186" s="5" t="n">
        <v>1125</v>
      </c>
      <c r="G186" s="5" t="n">
        <v>829</v>
      </c>
      <c r="H186" s="5" t="n">
        <v>536</v>
      </c>
      <c r="I186" s="5" t="n">
        <v>648</v>
      </c>
      <c r="J186" s="5" t="n">
        <v>571</v>
      </c>
      <c r="K186" s="5" t="n">
        <v>550</v>
      </c>
      <c r="L186" s="5" t="n">
        <v>559</v>
      </c>
      <c r="M186" s="5" t="n">
        <v>742</v>
      </c>
      <c r="N186" s="5" t="n">
        <v>858</v>
      </c>
      <c r="O186" s="5" t="n">
        <v>934</v>
      </c>
      <c r="P186" s="5" t="n">
        <v>951</v>
      </c>
      <c r="Q186" s="5" t="n">
        <v>774</v>
      </c>
      <c r="R186" s="5" t="n">
        <v>732</v>
      </c>
      <c r="S186" s="5" t="n">
        <v>879</v>
      </c>
      <c r="T186" s="5" t="n">
        <v>1019</v>
      </c>
      <c r="U186" s="5" t="n">
        <v>1575</v>
      </c>
      <c r="V186" s="5" t="n">
        <v>1771</v>
      </c>
      <c r="W186" s="5" t="n">
        <v>1760</v>
      </c>
      <c r="X186" s="5" t="n">
        <v>1503</v>
      </c>
      <c r="Y186" s="14">
        <f>IF(AND(ISNUMBER(C186),C186&gt;0,ISNUMBER(X186)),X186/C186-1,"")</f>
        <v/>
      </c>
    </row>
    <row r="187">
      <c r="A187" s="12" t="inlineStr">
        <is>
          <t>104</t>
        </is>
      </c>
      <c r="B187" s="13" t="inlineStr">
        <is>
          <t>General</t>
        </is>
      </c>
      <c r="C187" s="5" t="n">
        <v>764</v>
      </c>
      <c r="D187" s="5" t="n">
        <v>802</v>
      </c>
      <c r="E187" s="5" t="n">
        <v>978</v>
      </c>
      <c r="F187" s="5" t="n">
        <v>945</v>
      </c>
      <c r="G187" s="5" t="n">
        <v>716</v>
      </c>
      <c r="H187" s="5" t="n">
        <v>397</v>
      </c>
      <c r="I187" s="5" t="n">
        <v>423</v>
      </c>
      <c r="J187" s="5" t="n">
        <v>518</v>
      </c>
      <c r="K187" s="5" t="n">
        <v>388</v>
      </c>
      <c r="L187" s="5" t="n">
        <v>448</v>
      </c>
      <c r="M187" s="5" t="n">
        <v>422</v>
      </c>
      <c r="N187" s="5" t="n">
        <v>472</v>
      </c>
      <c r="O187" s="5" t="n">
        <v>692</v>
      </c>
      <c r="P187" s="5" t="n">
        <v>420</v>
      </c>
      <c r="Q187" s="5" t="n">
        <v>456</v>
      </c>
      <c r="R187" s="5" t="n">
        <v>496</v>
      </c>
      <c r="S187" s="5" t="n">
        <v>678</v>
      </c>
      <c r="T187" s="5" t="n">
        <v>464</v>
      </c>
      <c r="U187" s="5" t="n">
        <v>480</v>
      </c>
      <c r="V187" s="5" t="n">
        <v>450</v>
      </c>
      <c r="W187" s="5" t="n">
        <v>551</v>
      </c>
      <c r="X187" s="5" t="n">
        <v>469</v>
      </c>
      <c r="Y187" s="14">
        <f>IF(AND(ISNUMBER(C187),C187&gt;0,ISNUMBER(X187)),X187/C187-1,"")</f>
        <v/>
      </c>
    </row>
    <row r="188">
      <c r="A188" s="12" t="inlineStr">
        <is>
          <t>109</t>
        </is>
      </c>
      <c r="B188" s="4" t="inlineStr"/>
      <c r="C188" s="5" t="n">
        <v>226</v>
      </c>
      <c r="D188" s="5" t="n">
        <v>267</v>
      </c>
      <c r="E188" s="5" t="n">
        <v>426</v>
      </c>
      <c r="F188" s="5" t="n">
        <v>465</v>
      </c>
      <c r="G188" s="5" t="n">
        <v>354</v>
      </c>
      <c r="H188" s="5" t="n">
        <v>152</v>
      </c>
      <c r="I188" s="5" t="n">
        <v>165</v>
      </c>
      <c r="J188" s="5" t="n">
        <v>135</v>
      </c>
      <c r="K188" s="5" t="n">
        <v>161</v>
      </c>
      <c r="L188" s="5" t="n">
        <v>154</v>
      </c>
      <c r="M188" s="5" t="n">
        <v>240</v>
      </c>
      <c r="N188" s="5" t="n">
        <v>267</v>
      </c>
      <c r="O188" s="5" t="n">
        <v>254</v>
      </c>
      <c r="P188" s="5" t="n">
        <v>197</v>
      </c>
      <c r="Q188" s="5" t="n">
        <v>269</v>
      </c>
      <c r="R188" s="5" t="n">
        <v>244</v>
      </c>
      <c r="S188" s="5" t="n">
        <v>177</v>
      </c>
      <c r="T188" s="5" t="n">
        <v>238</v>
      </c>
      <c r="U188" s="5" t="n"/>
      <c r="V188" s="5" t="n"/>
      <c r="W188" s="5" t="n"/>
      <c r="X188" s="5" t="n"/>
      <c r="Y188" s="14">
        <f>IF(AND(ISNUMBER(C188),C188&gt;0,ISNUMBER(X188)),X188/C188-1,"")</f>
        <v/>
      </c>
    </row>
    <row r="189">
      <c r="A189" s="12" t="inlineStr">
        <is>
          <t>110</t>
        </is>
      </c>
      <c r="B189" s="13" t="inlineStr">
        <is>
          <t>General</t>
        </is>
      </c>
      <c r="C189" s="5" t="n">
        <v>755</v>
      </c>
      <c r="D189" s="5" t="n">
        <v>754</v>
      </c>
      <c r="E189" s="5" t="n">
        <v>823</v>
      </c>
      <c r="F189" s="5" t="n">
        <v>555</v>
      </c>
      <c r="G189" s="5" t="n">
        <v>531</v>
      </c>
      <c r="H189" s="5" t="n">
        <v>457</v>
      </c>
      <c r="I189" s="5" t="n">
        <v>415</v>
      </c>
      <c r="J189" s="5" t="n">
        <v>319</v>
      </c>
      <c r="K189" s="5" t="n">
        <v>391</v>
      </c>
      <c r="L189" s="5" t="n">
        <v>367</v>
      </c>
      <c r="M189" s="5" t="n">
        <v>449</v>
      </c>
      <c r="N189" s="5" t="n">
        <v>405</v>
      </c>
      <c r="O189" s="5" t="n">
        <v>627</v>
      </c>
      <c r="P189" s="5" t="n">
        <v>396</v>
      </c>
      <c r="Q189" s="5" t="n">
        <v>331</v>
      </c>
      <c r="R189" s="5" t="n">
        <v>303</v>
      </c>
      <c r="S189" s="5" t="n">
        <v>317</v>
      </c>
      <c r="T189" s="5" t="n">
        <v>315</v>
      </c>
      <c r="U189" s="5" t="n">
        <v>408</v>
      </c>
      <c r="V189" s="5" t="n">
        <v>345</v>
      </c>
      <c r="W189" s="5" t="n">
        <v>479</v>
      </c>
      <c r="X189" s="5" t="n">
        <v>427</v>
      </c>
      <c r="Y189" s="14">
        <f>IF(AND(ISNUMBER(C189),C189&gt;0,ISNUMBER(X189)),X189/C189-1,"")</f>
        <v/>
      </c>
    </row>
    <row r="190">
      <c r="A190" s="12" t="inlineStr">
        <is>
          <t>120</t>
        </is>
      </c>
      <c r="B190" s="13" t="inlineStr">
        <is>
          <t>General</t>
        </is>
      </c>
      <c r="C190" s="5" t="n">
        <v>1020</v>
      </c>
      <c r="D190" s="5" t="n">
        <v>1299</v>
      </c>
      <c r="E190" s="5" t="n">
        <v>1150</v>
      </c>
      <c r="F190" s="5" t="n">
        <v>1188</v>
      </c>
      <c r="G190" s="5" t="n">
        <v>843</v>
      </c>
      <c r="H190" s="5" t="n">
        <v>528</v>
      </c>
      <c r="I190" s="5" t="n">
        <v>564</v>
      </c>
      <c r="J190" s="5" t="n">
        <v>545</v>
      </c>
      <c r="K190" s="5" t="n">
        <v>598</v>
      </c>
      <c r="L190" s="5" t="n">
        <v>642</v>
      </c>
      <c r="M190" s="5" t="n">
        <v>831</v>
      </c>
      <c r="N190" s="5" t="n">
        <v>809</v>
      </c>
      <c r="O190" s="5" t="n">
        <v>1207</v>
      </c>
      <c r="P190" s="5" t="n">
        <v>885</v>
      </c>
      <c r="Q190" s="5" t="n">
        <v>771</v>
      </c>
      <c r="R190" s="5" t="n">
        <v>660</v>
      </c>
      <c r="S190" s="5" t="n">
        <v>740</v>
      </c>
      <c r="T190" s="5" t="n">
        <v>620</v>
      </c>
      <c r="U190" s="5" t="n">
        <v>662</v>
      </c>
      <c r="V190" s="5" t="n">
        <v>657</v>
      </c>
      <c r="W190" s="5" t="n">
        <v>691</v>
      </c>
      <c r="X190" s="5" t="n">
        <v>642</v>
      </c>
      <c r="Y190" s="14">
        <f>IF(AND(ISNUMBER(C190),C190&gt;0,ISNUMBER(X190)),X190/C190-1,"")</f>
        <v/>
      </c>
    </row>
    <row r="191">
      <c r="A191" s="12" t="inlineStr">
        <is>
          <t>121</t>
        </is>
      </c>
      <c r="B191" s="13" t="inlineStr">
        <is>
          <t>General</t>
        </is>
      </c>
      <c r="C191" s="5" t="n">
        <v>1367</v>
      </c>
      <c r="D191" s="5" t="n">
        <v>1514</v>
      </c>
      <c r="E191" s="5" t="n">
        <v>1618</v>
      </c>
      <c r="F191" s="5" t="n">
        <v>1702</v>
      </c>
      <c r="G191" s="5" t="n">
        <v>1276</v>
      </c>
      <c r="H191" s="5" t="n">
        <v>903</v>
      </c>
      <c r="I191" s="5" t="n">
        <v>1043</v>
      </c>
      <c r="J191" s="5" t="n">
        <v>953</v>
      </c>
      <c r="K191" s="5" t="n">
        <v>1083</v>
      </c>
      <c r="L191" s="5" t="n">
        <v>1051</v>
      </c>
      <c r="M191" s="5" t="n">
        <v>1141</v>
      </c>
      <c r="N191" s="5" t="n">
        <v>1176</v>
      </c>
      <c r="O191" s="5" t="n">
        <v>1392</v>
      </c>
      <c r="P191" s="5" t="n">
        <v>1024</v>
      </c>
      <c r="Q191" s="5" t="n">
        <v>857</v>
      </c>
      <c r="R191" s="5" t="n">
        <v>831</v>
      </c>
      <c r="S191" s="5" t="n">
        <v>771</v>
      </c>
      <c r="T191" s="5" t="n">
        <v>753</v>
      </c>
      <c r="U191" s="5" t="n">
        <v>742</v>
      </c>
      <c r="V191" s="5" t="n">
        <v>808</v>
      </c>
      <c r="W191" s="5" t="n">
        <v>937</v>
      </c>
      <c r="X191" s="5" t="n">
        <v>979</v>
      </c>
      <c r="Y191" s="14">
        <f>IF(AND(ISNUMBER(C191),C191&gt;0,ISNUMBER(X191)),X191/C191-1,"")</f>
        <v/>
      </c>
    </row>
    <row r="192">
      <c r="A192" s="12" t="inlineStr">
        <is>
          <t>122</t>
        </is>
      </c>
      <c r="B192" s="13" t="inlineStr">
        <is>
          <t>General</t>
        </is>
      </c>
      <c r="C192" s="5" t="n">
        <v>642</v>
      </c>
      <c r="D192" s="5" t="n">
        <v>747</v>
      </c>
      <c r="E192" s="5" t="n">
        <v>623</v>
      </c>
      <c r="F192" s="5" t="n">
        <v>617</v>
      </c>
      <c r="G192" s="5" t="n">
        <v>406</v>
      </c>
      <c r="H192" s="5" t="n">
        <v>479</v>
      </c>
      <c r="I192" s="5" t="n">
        <v>417</v>
      </c>
      <c r="J192" s="5" t="n">
        <v>467</v>
      </c>
      <c r="K192" s="5" t="n">
        <v>526</v>
      </c>
      <c r="L192" s="5" t="n">
        <v>525</v>
      </c>
      <c r="M192" s="5" t="n">
        <v>712</v>
      </c>
      <c r="N192" s="5" t="n">
        <v>826</v>
      </c>
      <c r="O192" s="5" t="n">
        <v>887</v>
      </c>
      <c r="P192" s="5" t="n">
        <v>746</v>
      </c>
      <c r="Q192" s="5" t="n">
        <v>512</v>
      </c>
      <c r="R192" s="5" t="n">
        <v>466</v>
      </c>
      <c r="S192" s="5" t="n">
        <v>500</v>
      </c>
      <c r="T192" s="5" t="n">
        <v>478</v>
      </c>
      <c r="U192" s="5" t="n">
        <v>504</v>
      </c>
      <c r="V192" s="5" t="n">
        <v>514</v>
      </c>
      <c r="W192" s="5" t="n">
        <v>595</v>
      </c>
      <c r="X192" s="5" t="n">
        <v>634</v>
      </c>
      <c r="Y192" s="14">
        <f>IF(AND(ISNUMBER(C192),C192&gt;0,ISNUMBER(X192)),X192/C192-1,"")</f>
        <v/>
      </c>
    </row>
    <row r="193">
      <c r="A193" s="12" t="inlineStr">
        <is>
          <t>123</t>
        </is>
      </c>
      <c r="B193" s="13" t="inlineStr">
        <is>
          <t>General</t>
        </is>
      </c>
      <c r="C193" s="5" t="n">
        <v>200</v>
      </c>
      <c r="D193" s="5" t="n">
        <v>232</v>
      </c>
      <c r="E193" s="5" t="n">
        <v>302</v>
      </c>
      <c r="F193" s="5" t="n">
        <v>245</v>
      </c>
      <c r="G193" s="5" t="n">
        <v>160</v>
      </c>
      <c r="H193" s="5" t="n">
        <v>142</v>
      </c>
      <c r="I193" s="5" t="n">
        <v>178</v>
      </c>
      <c r="J193" s="5" t="n">
        <v>139</v>
      </c>
      <c r="K193" s="5" t="n">
        <v>171</v>
      </c>
      <c r="L193" s="5" t="n">
        <v>124</v>
      </c>
      <c r="M193" s="5" t="n">
        <v>164</v>
      </c>
      <c r="N193" s="5" t="n">
        <v>221</v>
      </c>
      <c r="O193" s="5" t="n">
        <v>235</v>
      </c>
      <c r="P193" s="5" t="n">
        <v>244</v>
      </c>
      <c r="Q193" s="5" t="n">
        <v>120</v>
      </c>
      <c r="R193" s="5" t="n">
        <v>148</v>
      </c>
      <c r="S193" s="5" t="n">
        <v>161</v>
      </c>
      <c r="T193" s="5" t="n">
        <v>107</v>
      </c>
      <c r="U193" s="5" t="n">
        <v>96</v>
      </c>
      <c r="V193" s="5" t="n">
        <v>134</v>
      </c>
      <c r="W193" s="5" t="n">
        <v>163</v>
      </c>
      <c r="X193" s="5" t="n">
        <v>161</v>
      </c>
      <c r="Y193" s="14">
        <f>IF(AND(ISNUMBER(C193),C193&gt;0,ISNUMBER(X193)),X193/C193-1,"")</f>
        <v/>
      </c>
    </row>
    <row r="194">
      <c r="A194" s="12" t="inlineStr">
        <is>
          <t>124</t>
        </is>
      </c>
      <c r="B194" s="13" t="inlineStr">
        <is>
          <t>General</t>
        </is>
      </c>
      <c r="C194" s="5" t="n">
        <v>250</v>
      </c>
      <c r="D194" s="5" t="n">
        <v>182</v>
      </c>
      <c r="E194" s="5" t="n">
        <v>247</v>
      </c>
      <c r="F194" s="5" t="n">
        <v>247</v>
      </c>
      <c r="G194" s="5" t="n">
        <v>185</v>
      </c>
      <c r="H194" s="5" t="n">
        <v>188</v>
      </c>
      <c r="I194" s="5" t="n">
        <v>201</v>
      </c>
      <c r="J194" s="5" t="n">
        <v>189</v>
      </c>
      <c r="K194" s="5" t="n">
        <v>222</v>
      </c>
      <c r="L194" s="5" t="n">
        <v>264</v>
      </c>
      <c r="M194" s="5" t="n">
        <v>248</v>
      </c>
      <c r="N194" s="5" t="n">
        <v>201</v>
      </c>
      <c r="O194" s="5" t="n">
        <v>216</v>
      </c>
      <c r="P194" s="5" t="n">
        <v>189</v>
      </c>
      <c r="Q194" s="5" t="n">
        <v>155</v>
      </c>
      <c r="R194" s="5" t="n">
        <v>105</v>
      </c>
      <c r="S194" s="5" t="n">
        <v>119</v>
      </c>
      <c r="T194" s="5" t="n">
        <v>99</v>
      </c>
      <c r="U194" s="5" t="n">
        <v>87</v>
      </c>
      <c r="V194" s="5" t="n">
        <v>114</v>
      </c>
      <c r="W194" s="5" t="n">
        <v>123</v>
      </c>
      <c r="X194" s="5" t="n">
        <v>137</v>
      </c>
      <c r="Y194" s="14">
        <f>IF(AND(ISNUMBER(C194),C194&gt;0,ISNUMBER(X194)),X194/C194-1,"")</f>
        <v/>
      </c>
    </row>
    <row r="195">
      <c r="A195" s="12" t="inlineStr">
        <is>
          <t>130</t>
        </is>
      </c>
      <c r="B195" s="13" t="inlineStr">
        <is>
          <t>General</t>
        </is>
      </c>
      <c r="C195" s="5" t="n">
        <v>1025</v>
      </c>
      <c r="D195" s="5" t="n">
        <v>1347</v>
      </c>
      <c r="E195" s="5" t="n">
        <v>1438</v>
      </c>
      <c r="F195" s="5" t="n">
        <v>1228</v>
      </c>
      <c r="G195" s="5" t="n">
        <v>1013</v>
      </c>
      <c r="H195" s="5" t="n">
        <v>649</v>
      </c>
      <c r="I195" s="5" t="n">
        <v>784</v>
      </c>
      <c r="J195" s="5" t="n">
        <v>602</v>
      </c>
      <c r="K195" s="5" t="n">
        <v>697</v>
      </c>
      <c r="L195" s="5" t="n">
        <v>736</v>
      </c>
      <c r="M195" s="5" t="n">
        <v>673</v>
      </c>
      <c r="N195" s="5" t="n">
        <v>597</v>
      </c>
      <c r="O195" s="5" t="n">
        <v>809</v>
      </c>
      <c r="P195" s="5" t="n">
        <v>803</v>
      </c>
      <c r="Q195" s="5" t="n">
        <v>591</v>
      </c>
      <c r="R195" s="5" t="n">
        <v>544</v>
      </c>
      <c r="S195" s="5" t="n">
        <v>557</v>
      </c>
      <c r="T195" s="5" t="n">
        <v>550</v>
      </c>
      <c r="U195" s="5" t="n">
        <v>522</v>
      </c>
      <c r="V195" s="5" t="n">
        <v>534</v>
      </c>
      <c r="W195" s="5" t="n">
        <v>568</v>
      </c>
      <c r="X195" s="5" t="n">
        <v>605</v>
      </c>
      <c r="Y195" s="14">
        <f>IF(AND(ISNUMBER(C195),C195&gt;0,ISNUMBER(X195)),X195/C195-1,"")</f>
        <v/>
      </c>
    </row>
    <row r="196">
      <c r="A196" s="12" t="inlineStr">
        <is>
          <t>132</t>
        </is>
      </c>
      <c r="B196" s="4" t="inlineStr"/>
      <c r="C196" s="5" t="n">
        <v>998</v>
      </c>
      <c r="D196" s="5" t="n">
        <v>813</v>
      </c>
      <c r="E196" s="5" t="n">
        <v>741</v>
      </c>
      <c r="F196" s="5" t="n">
        <v>703</v>
      </c>
      <c r="G196" s="5" t="n">
        <v>458</v>
      </c>
      <c r="H196" s="5" t="n">
        <v>448</v>
      </c>
      <c r="I196" s="5" t="n">
        <v>447</v>
      </c>
      <c r="J196" s="5" t="n">
        <v>487</v>
      </c>
      <c r="K196" s="5" t="n">
        <v>470</v>
      </c>
      <c r="L196" s="5" t="n">
        <v>455</v>
      </c>
      <c r="M196" s="5" t="n">
        <v>414</v>
      </c>
      <c r="N196" s="5" t="n">
        <v>374</v>
      </c>
      <c r="O196" s="5" t="n">
        <v>532</v>
      </c>
      <c r="P196" s="5" t="n">
        <v>491</v>
      </c>
      <c r="Q196" s="5" t="n">
        <v>444</v>
      </c>
      <c r="R196" s="5" t="n">
        <v>434</v>
      </c>
      <c r="S196" s="5" t="n"/>
      <c r="T196" s="5" t="n"/>
      <c r="U196" s="5" t="n"/>
      <c r="V196" s="5" t="n"/>
      <c r="W196" s="5" t="n"/>
      <c r="X196" s="5" t="n"/>
      <c r="Y196" s="14">
        <f>IF(AND(ISNUMBER(C196),C196&gt;0,ISNUMBER(X196)),X196/C196-1,"")</f>
        <v/>
      </c>
    </row>
    <row r="197">
      <c r="A197" s="12" t="inlineStr">
        <is>
          <t>140</t>
        </is>
      </c>
      <c r="B197" s="13" t="inlineStr">
        <is>
          <t>General</t>
        </is>
      </c>
      <c r="C197" s="5" t="n">
        <v>154</v>
      </c>
      <c r="D197" s="5" t="n">
        <v>122</v>
      </c>
      <c r="E197" s="5" t="n">
        <v>127</v>
      </c>
      <c r="F197" s="5" t="n">
        <v>111</v>
      </c>
      <c r="G197" s="5" t="n">
        <v>131</v>
      </c>
      <c r="H197" s="5" t="n">
        <v>98</v>
      </c>
      <c r="I197" s="5" t="n">
        <v>124</v>
      </c>
      <c r="J197" s="5" t="n">
        <v>78</v>
      </c>
      <c r="K197" s="5" t="n">
        <v>89</v>
      </c>
      <c r="L197" s="5" t="n">
        <v>88</v>
      </c>
      <c r="M197" s="5" t="n">
        <v>110</v>
      </c>
      <c r="N197" s="5" t="n">
        <v>129</v>
      </c>
      <c r="O197" s="5" t="n">
        <v>88</v>
      </c>
      <c r="P197" s="5" t="n">
        <v>118</v>
      </c>
      <c r="Q197" s="5" t="n">
        <v>108</v>
      </c>
      <c r="R197" s="5" t="n">
        <v>60</v>
      </c>
      <c r="S197" s="5" t="n">
        <v>158</v>
      </c>
      <c r="T197" s="5" t="n">
        <v>152</v>
      </c>
      <c r="U197" s="5" t="n">
        <v>105</v>
      </c>
      <c r="V197" s="5" t="n">
        <v>134</v>
      </c>
      <c r="W197" s="5" t="n">
        <v>180</v>
      </c>
      <c r="X197" s="5" t="n">
        <v>124</v>
      </c>
      <c r="Y197" s="14">
        <f>IF(AND(ISNUMBER(C197),C197&gt;0,ISNUMBER(X197)),X197/C197-1,"")</f>
        <v/>
      </c>
    </row>
    <row r="198">
      <c r="A198" s="12" t="inlineStr">
        <is>
          <t>141</t>
        </is>
      </c>
      <c r="B198" s="13" t="inlineStr">
        <is>
          <t>General</t>
        </is>
      </c>
      <c r="C198" s="5" t="n">
        <v>12</v>
      </c>
      <c r="D198" s="5" t="n">
        <v>26</v>
      </c>
      <c r="E198" s="5" t="n">
        <v>19</v>
      </c>
      <c r="F198" s="5" t="n">
        <v>10</v>
      </c>
      <c r="G198" s="5" t="n">
        <v>18</v>
      </c>
      <c r="H198" s="5" t="n">
        <v>3</v>
      </c>
      <c r="I198" s="5" t="n">
        <v>12</v>
      </c>
      <c r="J198" s="5" t="n">
        <v>11</v>
      </c>
      <c r="K198" s="5" t="n">
        <v>3</v>
      </c>
      <c r="L198" s="5" t="n">
        <v>11</v>
      </c>
      <c r="M198" s="5" t="n">
        <v>9</v>
      </c>
      <c r="N198" s="5" t="n">
        <v>6</v>
      </c>
      <c r="O198" s="5" t="n">
        <v>3</v>
      </c>
      <c r="P198" s="5" t="n">
        <v>24</v>
      </c>
      <c r="Q198" s="5" t="n">
        <v>10</v>
      </c>
      <c r="R198" s="5" t="n">
        <v>10</v>
      </c>
      <c r="S198" s="5" t="n">
        <v>7</v>
      </c>
      <c r="T198" s="5" t="n">
        <v>8</v>
      </c>
      <c r="U198" s="5" t="n">
        <v>3</v>
      </c>
      <c r="V198" s="5" t="n">
        <v>7</v>
      </c>
      <c r="W198" s="5" t="n">
        <v>19</v>
      </c>
      <c r="X198" s="5" t="n">
        <v>18</v>
      </c>
      <c r="Y198" s="14">
        <f>IF(AND(ISNUMBER(C198),C198&gt;0,ISNUMBER(X198)),X198/C198-1,"")</f>
        <v/>
      </c>
    </row>
    <row r="199">
      <c r="A199" s="12" t="inlineStr">
        <is>
          <t>150</t>
        </is>
      </c>
      <c r="B199" s="13" t="inlineStr">
        <is>
          <t>General</t>
        </is>
      </c>
      <c r="C199" s="5" t="n">
        <v>19</v>
      </c>
      <c r="D199" s="5" t="n">
        <v>54</v>
      </c>
      <c r="E199" s="5" t="n">
        <v>56</v>
      </c>
      <c r="F199" s="5" t="n">
        <v>36</v>
      </c>
      <c r="G199" s="5" t="n">
        <v>35</v>
      </c>
      <c r="H199" s="5" t="n">
        <v>11</v>
      </c>
      <c r="I199" s="5" t="n">
        <v>28</v>
      </c>
      <c r="J199" s="5" t="n">
        <v>20</v>
      </c>
      <c r="K199" s="5" t="n">
        <v>42</v>
      </c>
      <c r="L199" s="5" t="n">
        <v>42</v>
      </c>
      <c r="M199" s="5" t="n">
        <v>20</v>
      </c>
      <c r="N199" s="5" t="n">
        <v>6</v>
      </c>
      <c r="O199" s="5" t="n">
        <v>41</v>
      </c>
      <c r="P199" s="5" t="n">
        <v>14</v>
      </c>
      <c r="Q199" s="5" t="n">
        <v>13</v>
      </c>
      <c r="R199" s="5" t="n">
        <v>21</v>
      </c>
      <c r="S199" s="5" t="n">
        <v>10</v>
      </c>
      <c r="T199" s="5" t="n">
        <v>20</v>
      </c>
      <c r="U199" s="5" t="n">
        <v>30</v>
      </c>
      <c r="V199" s="5" t="n">
        <v>23</v>
      </c>
      <c r="W199" s="5" t="n">
        <v>9</v>
      </c>
      <c r="X199" s="5" t="n">
        <v>34</v>
      </c>
      <c r="Y199" s="14">
        <f>IF(AND(ISNUMBER(C199),C199&gt;0,ISNUMBER(X199)),X199/C199-1,"")</f>
        <v/>
      </c>
    </row>
    <row r="200">
      <c r="A200" s="12" t="inlineStr">
        <is>
          <t>151</t>
        </is>
      </c>
      <c r="B200" s="4" t="inlineStr"/>
      <c r="C200" s="5" t="n"/>
      <c r="D200" s="5" t="n"/>
      <c r="E200" s="5" t="n"/>
      <c r="F200" s="5" t="n">
        <v>6</v>
      </c>
      <c r="G200" s="5" t="n">
        <v>12</v>
      </c>
      <c r="H200" s="5" t="n">
        <v>3</v>
      </c>
      <c r="I200" s="5" t="n">
        <v>8</v>
      </c>
      <c r="J200" s="5" t="n">
        <v>8</v>
      </c>
      <c r="K200" s="5" t="n"/>
      <c r="L200" s="5" t="n">
        <v>3</v>
      </c>
      <c r="M200" s="5" t="n"/>
      <c r="N200" s="5" t="n">
        <v>3</v>
      </c>
      <c r="O200" s="5" t="n">
        <v>6</v>
      </c>
      <c r="P200" s="5" t="n">
        <v>3</v>
      </c>
      <c r="Q200" s="5" t="n">
        <v>6</v>
      </c>
      <c r="R200" s="5" t="n"/>
      <c r="S200" s="5" t="n"/>
      <c r="T200" s="5" t="n"/>
      <c r="U200" s="5" t="n"/>
      <c r="V200" s="5" t="n"/>
      <c r="W200" s="5" t="n"/>
      <c r="X200" s="5" t="n"/>
      <c r="Y200" s="14">
        <f>IF(AND(ISNUMBER(C200),C200&gt;0,ISNUMBER(X200)),X200/C200-1,"")</f>
        <v/>
      </c>
    </row>
    <row r="201">
      <c r="A201" s="12" t="inlineStr">
        <is>
          <t>170</t>
        </is>
      </c>
      <c r="B201" s="13" t="inlineStr">
        <is>
          <t>General</t>
        </is>
      </c>
      <c r="C201" s="5" t="n">
        <v>616</v>
      </c>
      <c r="D201" s="5" t="n">
        <v>771</v>
      </c>
      <c r="E201" s="5" t="n">
        <v>845</v>
      </c>
      <c r="F201" s="5" t="n">
        <v>960</v>
      </c>
      <c r="G201" s="5" t="n">
        <v>1496</v>
      </c>
      <c r="H201" s="5" t="n">
        <v>1120</v>
      </c>
      <c r="I201" s="5" t="n">
        <v>1207</v>
      </c>
      <c r="J201" s="5" t="n">
        <v>1097</v>
      </c>
      <c r="K201" s="5" t="n">
        <v>1269</v>
      </c>
      <c r="L201" s="5" t="n">
        <v>1315</v>
      </c>
      <c r="M201" s="5" t="n">
        <v>1363</v>
      </c>
      <c r="N201" s="5" t="n">
        <v>1578</v>
      </c>
      <c r="O201" s="5" t="n">
        <v>1426</v>
      </c>
      <c r="P201" s="5" t="n">
        <v>1397</v>
      </c>
      <c r="Q201" s="5" t="n">
        <v>1445</v>
      </c>
      <c r="R201" s="5" t="n">
        <v>1260</v>
      </c>
      <c r="S201" s="5" t="n">
        <v>1471</v>
      </c>
      <c r="T201" s="5" t="n">
        <v>1428</v>
      </c>
      <c r="U201" s="5" t="n">
        <v>1471</v>
      </c>
      <c r="V201" s="5" t="n">
        <v>1328</v>
      </c>
      <c r="W201" s="5" t="n">
        <v>1790</v>
      </c>
      <c r="X201" s="5" t="n">
        <v>1750</v>
      </c>
      <c r="Y201" s="14">
        <f>IF(AND(ISNUMBER(C201),C201&gt;0,ISNUMBER(X201)),X201/C201-1,"")</f>
        <v/>
      </c>
    </row>
    <row r="202">
      <c r="A202" s="12" t="inlineStr">
        <is>
          <t>200</t>
        </is>
      </c>
      <c r="B202" s="13" t="inlineStr">
        <is>
          <t>General</t>
        </is>
      </c>
      <c r="C202" s="5" t="n">
        <v>259</v>
      </c>
      <c r="D202" s="5" t="n">
        <v>367</v>
      </c>
      <c r="E202" s="5" t="n">
        <v>611</v>
      </c>
      <c r="F202" s="5" t="n">
        <v>371</v>
      </c>
      <c r="G202" s="5" t="n">
        <v>272</v>
      </c>
      <c r="H202" s="5" t="n">
        <v>205</v>
      </c>
      <c r="I202" s="5" t="n">
        <v>161</v>
      </c>
      <c r="J202" s="5" t="n">
        <v>153</v>
      </c>
      <c r="K202" s="5" t="n">
        <v>118</v>
      </c>
      <c r="L202" s="5" t="n">
        <v>96</v>
      </c>
      <c r="M202" s="5" t="n">
        <v>124</v>
      </c>
      <c r="N202" s="5" t="n">
        <v>152</v>
      </c>
      <c r="O202" s="5" t="n">
        <v>161</v>
      </c>
      <c r="P202" s="5" t="n">
        <v>192</v>
      </c>
      <c r="Q202" s="5" t="n">
        <v>191</v>
      </c>
      <c r="R202" s="5" t="n">
        <v>167</v>
      </c>
      <c r="S202" s="5" t="n">
        <v>190</v>
      </c>
      <c r="T202" s="5" t="n">
        <v>212</v>
      </c>
      <c r="U202" s="5" t="n">
        <v>184</v>
      </c>
      <c r="V202" s="5" t="n">
        <v>207</v>
      </c>
      <c r="W202" s="5" t="n">
        <v>201</v>
      </c>
      <c r="X202" s="5" t="n">
        <v>175</v>
      </c>
      <c r="Y202" s="14">
        <f>IF(AND(ISNUMBER(C202),C202&gt;0,ISNUMBER(X202)),X202/C202-1,"")</f>
        <v/>
      </c>
    </row>
    <row r="203">
      <c r="A203" s="12" t="inlineStr">
        <is>
          <t>201</t>
        </is>
      </c>
      <c r="B203" s="13" t="inlineStr">
        <is>
          <t>General</t>
        </is>
      </c>
      <c r="C203" s="5" t="n">
        <v>745</v>
      </c>
      <c r="D203" s="5" t="n">
        <v>1022</v>
      </c>
      <c r="E203" s="5" t="n">
        <v>1195</v>
      </c>
      <c r="F203" s="5" t="n">
        <v>955</v>
      </c>
      <c r="G203" s="5" t="n">
        <v>787</v>
      </c>
      <c r="H203" s="5" t="n">
        <v>546</v>
      </c>
      <c r="I203" s="5" t="n">
        <v>544</v>
      </c>
      <c r="J203" s="5" t="n">
        <v>470</v>
      </c>
      <c r="K203" s="5" t="n">
        <v>409</v>
      </c>
      <c r="L203" s="5" t="n">
        <v>438</v>
      </c>
      <c r="M203" s="5" t="n">
        <v>479</v>
      </c>
      <c r="N203" s="5" t="n">
        <v>433</v>
      </c>
      <c r="O203" s="5" t="n">
        <v>522</v>
      </c>
      <c r="P203" s="5" t="n">
        <v>525</v>
      </c>
      <c r="Q203" s="5" t="n">
        <v>522</v>
      </c>
      <c r="R203" s="5" t="n">
        <v>499</v>
      </c>
      <c r="S203" s="5" t="n">
        <v>561</v>
      </c>
      <c r="T203" s="5" t="n">
        <v>613</v>
      </c>
      <c r="U203" s="5" t="n">
        <v>863</v>
      </c>
      <c r="V203" s="5" t="n">
        <v>964</v>
      </c>
      <c r="W203" s="5" t="n">
        <v>1079</v>
      </c>
      <c r="X203" s="5" t="n">
        <v>841</v>
      </c>
      <c r="Y203" s="14">
        <f>IF(AND(ISNUMBER(C203),C203&gt;0,ISNUMBER(X203)),X203/C203-1,"")</f>
        <v/>
      </c>
    </row>
    <row r="204">
      <c r="A204" s="12" t="inlineStr">
        <is>
          <t>202</t>
        </is>
      </c>
      <c r="B204" s="13" t="inlineStr">
        <is>
          <t>General</t>
        </is>
      </c>
      <c r="C204" s="5" t="n">
        <v>573</v>
      </c>
      <c r="D204" s="5" t="n">
        <v>662</v>
      </c>
      <c r="E204" s="5" t="n">
        <v>1003</v>
      </c>
      <c r="F204" s="5" t="n">
        <v>713</v>
      </c>
      <c r="G204" s="5" t="n">
        <v>425</v>
      </c>
      <c r="H204" s="5" t="n">
        <v>339</v>
      </c>
      <c r="I204" s="5" t="n">
        <v>295</v>
      </c>
      <c r="J204" s="5" t="n">
        <v>309</v>
      </c>
      <c r="K204" s="5" t="n">
        <v>305</v>
      </c>
      <c r="L204" s="5" t="n">
        <v>305</v>
      </c>
      <c r="M204" s="5" t="n">
        <v>329</v>
      </c>
      <c r="N204" s="5" t="n">
        <v>347</v>
      </c>
      <c r="O204" s="5" t="n">
        <v>332</v>
      </c>
      <c r="P204" s="5" t="n">
        <v>409</v>
      </c>
      <c r="Q204" s="5" t="n">
        <v>414</v>
      </c>
      <c r="R204" s="5" t="n">
        <v>235</v>
      </c>
      <c r="S204" s="5" t="n">
        <v>412</v>
      </c>
      <c r="T204" s="5" t="n">
        <v>432</v>
      </c>
      <c r="U204" s="5" t="n">
        <v>606</v>
      </c>
      <c r="V204" s="5" t="n">
        <v>567</v>
      </c>
      <c r="W204" s="5" t="n">
        <v>547</v>
      </c>
      <c r="X204" s="5" t="n">
        <v>598</v>
      </c>
      <c r="Y204" s="14">
        <f>IF(AND(ISNUMBER(C204),C204&gt;0,ISNUMBER(X204)),X204/C204-1,"")</f>
        <v/>
      </c>
    </row>
    <row r="205">
      <c r="A205" s="12" t="inlineStr">
        <is>
          <t>203</t>
        </is>
      </c>
      <c r="B205" s="4" t="inlineStr"/>
      <c r="C205" s="5" t="n">
        <v>333</v>
      </c>
      <c r="D205" s="5" t="n">
        <v>359</v>
      </c>
      <c r="E205" s="5" t="n">
        <v>788</v>
      </c>
      <c r="F205" s="5" t="n">
        <v>665</v>
      </c>
      <c r="G205" s="5" t="n">
        <v>381</v>
      </c>
      <c r="H205" s="5" t="n">
        <v>259</v>
      </c>
      <c r="I205" s="5" t="n">
        <v>271</v>
      </c>
      <c r="J205" s="5" t="n">
        <v>270</v>
      </c>
      <c r="K205" s="5" t="n">
        <v>273</v>
      </c>
      <c r="L205" s="5" t="n">
        <v>261</v>
      </c>
      <c r="M205" s="5" t="n">
        <v>269</v>
      </c>
      <c r="N205" s="5" t="n">
        <v>240</v>
      </c>
      <c r="O205" s="5" t="n">
        <v>257</v>
      </c>
      <c r="P205" s="5" t="n">
        <v>262</v>
      </c>
      <c r="Q205" s="5" t="n">
        <v>269</v>
      </c>
      <c r="R205" s="5" t="n">
        <v>259</v>
      </c>
      <c r="S205" s="5" t="n">
        <v>391</v>
      </c>
      <c r="T205" s="5" t="n">
        <v>309</v>
      </c>
      <c r="U205" s="5" t="n"/>
      <c r="V205" s="5" t="n"/>
      <c r="W205" s="5" t="n"/>
      <c r="X205" s="5" t="n"/>
      <c r="Y205" s="14">
        <f>IF(AND(ISNUMBER(C205),C205&gt;0,ISNUMBER(X205)),X205/C205-1,"")</f>
        <v/>
      </c>
    </row>
    <row r="206">
      <c r="A206" s="12" t="inlineStr">
        <is>
          <t>204</t>
        </is>
      </c>
      <c r="B206" s="13" t="inlineStr">
        <is>
          <t>General</t>
        </is>
      </c>
      <c r="C206" s="5" t="n">
        <v>399</v>
      </c>
      <c r="D206" s="5" t="n">
        <v>518</v>
      </c>
      <c r="E206" s="5" t="n">
        <v>678</v>
      </c>
      <c r="F206" s="5" t="n">
        <v>447</v>
      </c>
      <c r="G206" s="5" t="n">
        <v>445</v>
      </c>
      <c r="H206" s="5" t="n">
        <v>319</v>
      </c>
      <c r="I206" s="5" t="n">
        <v>390</v>
      </c>
      <c r="J206" s="5" t="n">
        <v>360</v>
      </c>
      <c r="K206" s="5" t="n">
        <v>423</v>
      </c>
      <c r="L206" s="5" t="n">
        <v>273</v>
      </c>
      <c r="M206" s="5" t="n">
        <v>357</v>
      </c>
      <c r="N206" s="5" t="n">
        <v>326</v>
      </c>
      <c r="O206" s="5" t="n">
        <v>335</v>
      </c>
      <c r="P206" s="5" t="n">
        <v>225</v>
      </c>
      <c r="Q206" s="5" t="n">
        <v>249</v>
      </c>
      <c r="R206" s="5" t="n">
        <v>217</v>
      </c>
      <c r="S206" s="5" t="n">
        <v>388</v>
      </c>
      <c r="T206" s="5" t="n">
        <v>298</v>
      </c>
      <c r="U206" s="5" t="n">
        <v>418</v>
      </c>
      <c r="V206" s="5" t="n">
        <v>397</v>
      </c>
      <c r="W206" s="5" t="n">
        <v>402</v>
      </c>
      <c r="X206" s="5" t="n">
        <v>315</v>
      </c>
      <c r="Y206" s="14">
        <f>IF(AND(ISNUMBER(C206),C206&gt;0,ISNUMBER(X206)),X206/C206-1,"")</f>
        <v/>
      </c>
    </row>
    <row r="207">
      <c r="A207" s="12" t="inlineStr">
        <is>
          <t>210</t>
        </is>
      </c>
      <c r="B207" s="13" t="inlineStr">
        <is>
          <t>General</t>
        </is>
      </c>
      <c r="C207" s="5" t="n">
        <v>147</v>
      </c>
      <c r="D207" s="5" t="n">
        <v>218</v>
      </c>
      <c r="E207" s="5" t="n">
        <v>367</v>
      </c>
      <c r="F207" s="5" t="n">
        <v>244</v>
      </c>
      <c r="G207" s="5" t="n">
        <v>169</v>
      </c>
      <c r="H207" s="5" t="n">
        <v>94</v>
      </c>
      <c r="I207" s="5" t="n">
        <v>122</v>
      </c>
      <c r="J207" s="5" t="n">
        <v>121</v>
      </c>
      <c r="K207" s="5" t="n">
        <v>140</v>
      </c>
      <c r="L207" s="5" t="n">
        <v>151</v>
      </c>
      <c r="M207" s="5" t="n">
        <v>192</v>
      </c>
      <c r="N207" s="5" t="n">
        <v>166</v>
      </c>
      <c r="O207" s="5" t="n">
        <v>236</v>
      </c>
      <c r="P207" s="5" t="n">
        <v>236</v>
      </c>
      <c r="Q207" s="5" t="n">
        <v>397</v>
      </c>
      <c r="R207" s="5" t="n">
        <v>403</v>
      </c>
      <c r="S207" s="5" t="n">
        <v>377</v>
      </c>
      <c r="T207" s="5" t="n">
        <v>224</v>
      </c>
      <c r="U207" s="5" t="n">
        <v>241</v>
      </c>
      <c r="V207" s="5" t="n">
        <v>254</v>
      </c>
      <c r="W207" s="5" t="n">
        <v>277</v>
      </c>
      <c r="X207" s="5" t="n">
        <v>233</v>
      </c>
      <c r="Y207" s="14">
        <f>IF(AND(ISNUMBER(C207),C207&gt;0,ISNUMBER(X207)),X207/C207-1,"")</f>
        <v/>
      </c>
    </row>
    <row r="208">
      <c r="A208" s="12" t="inlineStr">
        <is>
          <t>211</t>
        </is>
      </c>
      <c r="B208" s="13" t="inlineStr">
        <is>
          <t>General</t>
        </is>
      </c>
      <c r="C208" s="5" t="n">
        <v>10</v>
      </c>
      <c r="D208" s="5" t="n">
        <v>21</v>
      </c>
      <c r="E208" s="5" t="n">
        <v>19</v>
      </c>
      <c r="F208" s="5" t="n">
        <v>30</v>
      </c>
      <c r="G208" s="5" t="n">
        <v>17</v>
      </c>
      <c r="H208" s="5" t="n">
        <v>12</v>
      </c>
      <c r="I208" s="5" t="n">
        <v>6</v>
      </c>
      <c r="J208" s="5" t="n">
        <v>11</v>
      </c>
      <c r="K208" s="5" t="n">
        <v>17</v>
      </c>
      <c r="L208" s="5" t="n">
        <v>16</v>
      </c>
      <c r="M208" s="5" t="n">
        <v>57</v>
      </c>
      <c r="N208" s="5" t="n">
        <v>52</v>
      </c>
      <c r="O208" s="5" t="n">
        <v>36</v>
      </c>
      <c r="P208" s="5" t="n">
        <v>26</v>
      </c>
      <c r="Q208" s="5" t="n">
        <v>25</v>
      </c>
      <c r="R208" s="5" t="n">
        <v>17</v>
      </c>
      <c r="S208" s="5" t="n">
        <v>33</v>
      </c>
      <c r="T208" s="5" t="n">
        <v>50</v>
      </c>
      <c r="U208" s="5" t="n">
        <v>39</v>
      </c>
      <c r="V208" s="5" t="n">
        <v>37</v>
      </c>
      <c r="W208" s="5" t="n">
        <v>28</v>
      </c>
      <c r="X208" s="5" t="n">
        <v>66</v>
      </c>
      <c r="Y208" s="14">
        <f>IF(AND(ISNUMBER(C208),C208&gt;0,ISNUMBER(X208)),X208/C208-1,"")</f>
        <v/>
      </c>
    </row>
    <row r="209">
      <c r="A209" s="12" t="inlineStr">
        <is>
          <t>212</t>
        </is>
      </c>
      <c r="B209" s="13" t="inlineStr">
        <is>
          <t>General</t>
        </is>
      </c>
      <c r="C209" s="5" t="n">
        <v>141</v>
      </c>
      <c r="D209" s="5" t="n">
        <v>198</v>
      </c>
      <c r="E209" s="5" t="n">
        <v>335</v>
      </c>
      <c r="F209" s="5" t="n">
        <v>291</v>
      </c>
      <c r="G209" s="5" t="n">
        <v>216</v>
      </c>
      <c r="H209" s="5" t="n">
        <v>132</v>
      </c>
      <c r="I209" s="5" t="n">
        <v>200</v>
      </c>
      <c r="J209" s="5" t="n">
        <v>163</v>
      </c>
      <c r="K209" s="5" t="n">
        <v>239</v>
      </c>
      <c r="L209" s="5" t="n">
        <v>237</v>
      </c>
      <c r="M209" s="5" t="n">
        <v>308</v>
      </c>
      <c r="N209" s="5" t="n">
        <v>340</v>
      </c>
      <c r="O209" s="5" t="n">
        <v>238</v>
      </c>
      <c r="P209" s="5" t="n">
        <v>255</v>
      </c>
      <c r="Q209" s="5" t="n">
        <v>247</v>
      </c>
      <c r="R209" s="5" t="n">
        <v>197</v>
      </c>
      <c r="S209" s="5" t="n">
        <v>81</v>
      </c>
      <c r="T209" s="5" t="n">
        <v>42</v>
      </c>
      <c r="U209" s="5" t="n">
        <v>28</v>
      </c>
      <c r="V209" s="5" t="n">
        <v>26</v>
      </c>
      <c r="W209" s="5" t="n">
        <v>50</v>
      </c>
      <c r="X209" s="5" t="n">
        <v>47</v>
      </c>
      <c r="Y209" s="14">
        <f>IF(AND(ISNUMBER(C209),C209&gt;0,ISNUMBER(X209)),X209/C209-1,"")</f>
        <v/>
      </c>
    </row>
    <row r="210">
      <c r="A210" s="12" t="inlineStr">
        <is>
          <t>213</t>
        </is>
      </c>
      <c r="B210" s="13" t="inlineStr">
        <is>
          <t>General</t>
        </is>
      </c>
      <c r="C210" s="5" t="n">
        <v>18</v>
      </c>
      <c r="D210" s="5" t="n">
        <v>51</v>
      </c>
      <c r="E210" s="5" t="n">
        <v>48</v>
      </c>
      <c r="F210" s="5" t="n">
        <v>50</v>
      </c>
      <c r="G210" s="5" t="n">
        <v>58</v>
      </c>
      <c r="H210" s="5" t="n">
        <v>6</v>
      </c>
      <c r="I210" s="5" t="n">
        <v>30</v>
      </c>
      <c r="J210" s="5" t="n">
        <v>39</v>
      </c>
      <c r="K210" s="5" t="n">
        <v>34</v>
      </c>
      <c r="L210" s="5" t="n">
        <v>23</v>
      </c>
      <c r="M210" s="5" t="n">
        <v>92</v>
      </c>
      <c r="N210" s="5" t="n">
        <v>96</v>
      </c>
      <c r="O210" s="5" t="n">
        <v>78</v>
      </c>
      <c r="P210" s="5" t="n">
        <v>120</v>
      </c>
      <c r="Q210" s="5" t="n">
        <v>162</v>
      </c>
      <c r="R210" s="5" t="n">
        <v>118</v>
      </c>
      <c r="S210" s="5" t="n">
        <v>326</v>
      </c>
      <c r="T210" s="5" t="n">
        <v>197</v>
      </c>
      <c r="U210" s="5" t="n">
        <v>176</v>
      </c>
      <c r="V210" s="5" t="n">
        <v>188</v>
      </c>
      <c r="W210" s="5" t="n">
        <v>156</v>
      </c>
      <c r="X210" s="5" t="n">
        <v>138</v>
      </c>
      <c r="Y210" s="14">
        <f>IF(AND(ISNUMBER(C210),C210&gt;0,ISNUMBER(X210)),X210/C210-1,"")</f>
        <v/>
      </c>
    </row>
    <row r="211">
      <c r="A211" s="12" t="inlineStr">
        <is>
          <t>214</t>
        </is>
      </c>
      <c r="B211" s="13" t="inlineStr">
        <is>
          <t>General</t>
        </is>
      </c>
      <c r="C211" s="5" t="n">
        <v>27</v>
      </c>
      <c r="D211" s="5" t="n">
        <v>16</v>
      </c>
      <c r="E211" s="5" t="n">
        <v>37</v>
      </c>
      <c r="F211" s="5" t="n">
        <v>40</v>
      </c>
      <c r="G211" s="5" t="n">
        <v>46</v>
      </c>
      <c r="H211" s="5" t="n">
        <v>22</v>
      </c>
      <c r="I211" s="5" t="n">
        <v>25</v>
      </c>
      <c r="J211" s="5" t="n">
        <v>19</v>
      </c>
      <c r="K211" s="5" t="n">
        <v>23</v>
      </c>
      <c r="L211" s="5" t="n">
        <v>19</v>
      </c>
      <c r="M211" s="5" t="n">
        <v>46</v>
      </c>
      <c r="N211" s="5" t="n">
        <v>69</v>
      </c>
      <c r="O211" s="5" t="n">
        <v>31</v>
      </c>
      <c r="P211" s="5" t="n">
        <v>57</v>
      </c>
      <c r="Q211" s="5" t="n">
        <v>53</v>
      </c>
      <c r="R211" s="5" t="n">
        <v>33</v>
      </c>
      <c r="S211" s="5" t="n">
        <v>35</v>
      </c>
      <c r="T211" s="5" t="n">
        <v>16</v>
      </c>
      <c r="U211" s="5" t="n">
        <v>53</v>
      </c>
      <c r="V211" s="5" t="n">
        <v>37</v>
      </c>
      <c r="W211" s="5" t="n">
        <v>52</v>
      </c>
      <c r="X211" s="5" t="n">
        <v>59</v>
      </c>
      <c r="Y211" s="14">
        <f>IF(AND(ISNUMBER(C211),C211&gt;0,ISNUMBER(X211)),X211/C211-1,"")</f>
        <v/>
      </c>
    </row>
    <row r="212">
      <c r="A212" s="12" t="inlineStr">
        <is>
          <t>215</t>
        </is>
      </c>
      <c r="B212" s="13" t="inlineStr">
        <is>
          <t>General</t>
        </is>
      </c>
      <c r="C212" s="5" t="n">
        <v>111</v>
      </c>
      <c r="D212" s="5" t="n">
        <v>188</v>
      </c>
      <c r="E212" s="5" t="n">
        <v>302</v>
      </c>
      <c r="F212" s="5" t="n">
        <v>185</v>
      </c>
      <c r="G212" s="5" t="n">
        <v>205</v>
      </c>
      <c r="H212" s="5" t="n">
        <v>128</v>
      </c>
      <c r="I212" s="5" t="n">
        <v>146</v>
      </c>
      <c r="J212" s="5" t="n">
        <v>132</v>
      </c>
      <c r="K212" s="5" t="n">
        <v>181</v>
      </c>
      <c r="L212" s="5" t="n">
        <v>125</v>
      </c>
      <c r="M212" s="5" t="n">
        <v>165</v>
      </c>
      <c r="N212" s="5" t="n">
        <v>228</v>
      </c>
      <c r="O212" s="5" t="n">
        <v>187</v>
      </c>
      <c r="P212" s="5" t="n">
        <v>189</v>
      </c>
      <c r="Q212" s="5" t="n">
        <v>336</v>
      </c>
      <c r="R212" s="5" t="n">
        <v>203</v>
      </c>
      <c r="S212" s="5" t="n">
        <v>200</v>
      </c>
      <c r="T212" s="5" t="n">
        <v>179</v>
      </c>
      <c r="U212" s="5" t="n">
        <v>127</v>
      </c>
      <c r="V212" s="5" t="n">
        <v>150</v>
      </c>
      <c r="W212" s="5" t="n">
        <v>146</v>
      </c>
      <c r="X212" s="5" t="n">
        <v>126</v>
      </c>
      <c r="Y212" s="14">
        <f>IF(AND(ISNUMBER(C212),C212&gt;0,ISNUMBER(X212)),X212/C212-1,"")</f>
        <v/>
      </c>
    </row>
    <row r="213">
      <c r="A213" s="12" t="inlineStr">
        <is>
          <t>216</t>
        </is>
      </c>
      <c r="B213" s="13" t="inlineStr">
        <is>
          <t>General</t>
        </is>
      </c>
      <c r="C213" s="5" t="n">
        <v>46</v>
      </c>
      <c r="D213" s="5" t="n">
        <v>68</v>
      </c>
      <c r="E213" s="5" t="n">
        <v>91</v>
      </c>
      <c r="F213" s="5" t="n">
        <v>70</v>
      </c>
      <c r="G213" s="5" t="n">
        <v>55</v>
      </c>
      <c r="H213" s="5" t="n">
        <v>30</v>
      </c>
      <c r="I213" s="5" t="n">
        <v>48</v>
      </c>
      <c r="J213" s="5" t="n">
        <v>51</v>
      </c>
      <c r="K213" s="5" t="n">
        <v>30</v>
      </c>
      <c r="L213" s="5" t="n">
        <v>22</v>
      </c>
      <c r="M213" s="5" t="n">
        <v>48</v>
      </c>
      <c r="N213" s="5" t="n">
        <v>78</v>
      </c>
      <c r="O213" s="5" t="n">
        <v>83</v>
      </c>
      <c r="P213" s="5" t="n">
        <v>58</v>
      </c>
      <c r="Q213" s="5" t="n">
        <v>118</v>
      </c>
      <c r="R213" s="5" t="n">
        <v>104</v>
      </c>
      <c r="S213" s="5" t="n">
        <v>94</v>
      </c>
      <c r="T213" s="5" t="n">
        <v>68</v>
      </c>
      <c r="U213" s="5" t="n">
        <v>98</v>
      </c>
      <c r="V213" s="5" t="n">
        <v>123</v>
      </c>
      <c r="W213" s="5" t="n">
        <v>105</v>
      </c>
      <c r="X213" s="5" t="n">
        <v>52</v>
      </c>
      <c r="Y213" s="14">
        <f>IF(AND(ISNUMBER(C213),C213&gt;0,ISNUMBER(X213)),X213/C213-1,"")</f>
        <v/>
      </c>
    </row>
    <row r="214">
      <c r="A214" s="12" t="inlineStr">
        <is>
          <t>217</t>
        </is>
      </c>
      <c r="B214" s="13" t="inlineStr">
        <is>
          <t>General</t>
        </is>
      </c>
      <c r="C214" s="5" t="n"/>
      <c r="D214" s="5" t="n"/>
      <c r="E214" s="5" t="n"/>
      <c r="F214" s="5" t="n"/>
      <c r="G214" s="5" t="n"/>
      <c r="H214" s="5" t="n"/>
      <c r="I214" s="5" t="n"/>
      <c r="J214" s="5" t="n"/>
      <c r="K214" s="5" t="n"/>
      <c r="L214" s="5" t="n"/>
      <c r="M214" s="5" t="n"/>
      <c r="N214" s="5" t="n"/>
      <c r="O214" s="5" t="n">
        <v>70</v>
      </c>
      <c r="P214" s="5" t="n">
        <v>103</v>
      </c>
      <c r="Q214" s="5" t="n">
        <v>180</v>
      </c>
      <c r="R214" s="5" t="n">
        <v>108</v>
      </c>
      <c r="S214" s="5" t="n">
        <v>122</v>
      </c>
      <c r="T214" s="5" t="n">
        <v>88</v>
      </c>
      <c r="U214" s="5" t="n">
        <v>114</v>
      </c>
      <c r="V214" s="5" t="n">
        <v>105</v>
      </c>
      <c r="W214" s="5" t="n">
        <v>97</v>
      </c>
      <c r="X214" s="5" t="n">
        <v>98</v>
      </c>
      <c r="Y214" s="14">
        <f>IF(AND(ISNUMBER(C214),C214&gt;0,ISNUMBER(X214)),X214/C214-1,"")</f>
        <v/>
      </c>
    </row>
    <row r="215">
      <c r="A215" s="12" t="inlineStr">
        <is>
          <t>240</t>
        </is>
      </c>
      <c r="B215" s="13" t="inlineStr">
        <is>
          <t>General</t>
        </is>
      </c>
      <c r="C215" s="5" t="n">
        <v>795</v>
      </c>
      <c r="D215" s="5" t="n">
        <v>1015</v>
      </c>
      <c r="E215" s="5" t="n">
        <v>1159</v>
      </c>
      <c r="F215" s="5" t="n">
        <v>888</v>
      </c>
      <c r="G215" s="5" t="n">
        <v>812</v>
      </c>
      <c r="H215" s="5" t="n">
        <v>600</v>
      </c>
      <c r="I215" s="5" t="n">
        <v>702</v>
      </c>
      <c r="J215" s="5" t="n">
        <v>648</v>
      </c>
      <c r="K215" s="5" t="n">
        <v>795</v>
      </c>
      <c r="L215" s="5" t="n">
        <v>669</v>
      </c>
      <c r="M215" s="5" t="n">
        <v>757</v>
      </c>
      <c r="N215" s="5" t="n">
        <v>577</v>
      </c>
      <c r="O215" s="5" t="n">
        <v>865</v>
      </c>
      <c r="P215" s="5" t="n">
        <v>723</v>
      </c>
      <c r="Q215" s="5" t="n">
        <v>719</v>
      </c>
      <c r="R215" s="5" t="n">
        <v>592</v>
      </c>
      <c r="S215" s="5" t="n">
        <v>798</v>
      </c>
      <c r="T215" s="5" t="n">
        <v>763</v>
      </c>
      <c r="U215" s="5" t="n">
        <v>763</v>
      </c>
      <c r="V215" s="5" t="n">
        <v>871</v>
      </c>
      <c r="W215" s="5" t="n">
        <v>776</v>
      </c>
      <c r="X215" s="5" t="n">
        <v>640</v>
      </c>
      <c r="Y215" s="14">
        <f>IF(AND(ISNUMBER(C215),C215&gt;0,ISNUMBER(X215)),X215/C215-1,"")</f>
        <v/>
      </c>
    </row>
    <row r="216">
      <c r="A216" s="12" t="inlineStr">
        <is>
          <t>250</t>
        </is>
      </c>
      <c r="B216" s="13" t="inlineStr">
        <is>
          <t>General</t>
        </is>
      </c>
      <c r="C216" s="5" t="n">
        <v>222</v>
      </c>
      <c r="D216" s="5" t="n">
        <v>342</v>
      </c>
      <c r="E216" s="5" t="n">
        <v>384</v>
      </c>
      <c r="F216" s="5" t="n">
        <v>315</v>
      </c>
      <c r="G216" s="5" t="n">
        <v>200</v>
      </c>
      <c r="H216" s="5" t="n">
        <v>130</v>
      </c>
      <c r="I216" s="5" t="n">
        <v>196</v>
      </c>
      <c r="J216" s="5" t="n">
        <v>170</v>
      </c>
      <c r="K216" s="5" t="n">
        <v>200</v>
      </c>
      <c r="L216" s="5" t="n">
        <v>166</v>
      </c>
      <c r="M216" s="5" t="n">
        <v>93</v>
      </c>
      <c r="N216" s="5" t="n">
        <v>68</v>
      </c>
      <c r="O216" s="5" t="n">
        <v>69</v>
      </c>
      <c r="P216" s="5" t="n">
        <v>67</v>
      </c>
      <c r="Q216" s="5" t="n">
        <v>60</v>
      </c>
      <c r="R216" s="5" t="n">
        <v>78</v>
      </c>
      <c r="S216" s="5" t="n">
        <v>86</v>
      </c>
      <c r="T216" s="5" t="n">
        <v>123</v>
      </c>
      <c r="U216" s="5" t="n">
        <v>158</v>
      </c>
      <c r="V216" s="5" t="n">
        <v>165</v>
      </c>
      <c r="W216" s="5" t="n">
        <v>155</v>
      </c>
      <c r="X216" s="5" t="n">
        <v>157</v>
      </c>
      <c r="Y216" s="14">
        <f>IF(AND(ISNUMBER(C216),C216&gt;0,ISNUMBER(X216)),X216/C216-1,"")</f>
        <v/>
      </c>
    </row>
    <row r="217">
      <c r="A217" s="12" t="inlineStr">
        <is>
          <t>260</t>
        </is>
      </c>
      <c r="B217" s="13" t="inlineStr">
        <is>
          <t>General</t>
        </is>
      </c>
      <c r="C217" s="5" t="n">
        <v>1065</v>
      </c>
      <c r="D217" s="5" t="n">
        <v>1325</v>
      </c>
      <c r="E217" s="5" t="n">
        <v>1283</v>
      </c>
      <c r="F217" s="5" t="n">
        <v>1301</v>
      </c>
      <c r="G217" s="5" t="n">
        <v>794</v>
      </c>
      <c r="H217" s="5" t="n">
        <v>687</v>
      </c>
      <c r="I217" s="5" t="n">
        <v>846</v>
      </c>
      <c r="J217" s="5" t="n">
        <v>685</v>
      </c>
      <c r="K217" s="5" t="n">
        <v>961</v>
      </c>
      <c r="L217" s="5" t="n">
        <v>742</v>
      </c>
      <c r="M217" s="5" t="n">
        <v>605</v>
      </c>
      <c r="N217" s="5" t="n">
        <v>698</v>
      </c>
      <c r="O217" s="5" t="n">
        <v>654</v>
      </c>
      <c r="P217" s="5" t="n">
        <v>765</v>
      </c>
      <c r="Q217" s="5" t="n">
        <v>652</v>
      </c>
      <c r="R217" s="5" t="n">
        <v>481</v>
      </c>
      <c r="S217" s="5" t="n">
        <v>730</v>
      </c>
      <c r="T217" s="5" t="n">
        <v>511</v>
      </c>
      <c r="U217" s="5" t="n">
        <v>751</v>
      </c>
      <c r="V217" s="5" t="n">
        <v>542</v>
      </c>
      <c r="W217" s="5" t="n">
        <v>736</v>
      </c>
      <c r="X217" s="5" t="n">
        <v>633</v>
      </c>
      <c r="Y217" s="14">
        <f>IF(AND(ISNUMBER(C217),C217&gt;0,ISNUMBER(X217)),X217/C217-1,"")</f>
        <v/>
      </c>
    </row>
    <row r="218">
      <c r="A218" s="12" t="inlineStr">
        <is>
          <t>261</t>
        </is>
      </c>
      <c r="B218" s="13" t="inlineStr">
        <is>
          <t>General</t>
        </is>
      </c>
      <c r="C218" s="5" t="n">
        <v>233</v>
      </c>
      <c r="D218" s="5" t="n">
        <v>188</v>
      </c>
      <c r="E218" s="5" t="n">
        <v>233</v>
      </c>
      <c r="F218" s="5" t="n">
        <v>225</v>
      </c>
      <c r="G218" s="5" t="n">
        <v>263</v>
      </c>
      <c r="H218" s="5" t="n">
        <v>178</v>
      </c>
      <c r="I218" s="5" t="n">
        <v>208</v>
      </c>
      <c r="J218" s="5" t="n">
        <v>245</v>
      </c>
      <c r="K218" s="5" t="n">
        <v>270</v>
      </c>
      <c r="L218" s="5" t="n">
        <v>297</v>
      </c>
      <c r="M218" s="5" t="n">
        <v>209</v>
      </c>
      <c r="N218" s="5" t="n">
        <v>133</v>
      </c>
      <c r="O218" s="5" t="n">
        <v>123</v>
      </c>
      <c r="P218" s="5" t="n">
        <v>188</v>
      </c>
      <c r="Q218" s="5" t="n">
        <v>111</v>
      </c>
      <c r="R218" s="5" t="n">
        <v>138</v>
      </c>
      <c r="S218" s="5" t="n">
        <v>169</v>
      </c>
      <c r="T218" s="5" t="n">
        <v>117</v>
      </c>
      <c r="U218" s="5" t="n">
        <v>160</v>
      </c>
      <c r="V218" s="5" t="n">
        <v>177</v>
      </c>
      <c r="W218" s="5" t="n">
        <v>132</v>
      </c>
      <c r="X218" s="5" t="n">
        <v>174</v>
      </c>
      <c r="Y218" s="14">
        <f>IF(AND(ISNUMBER(C218),C218&gt;0,ISNUMBER(X218)),X218/C218-1,"")</f>
        <v/>
      </c>
    </row>
    <row r="219">
      <c r="A219" s="12" t="inlineStr">
        <is>
          <t>262</t>
        </is>
      </c>
      <c r="B219" s="13" t="inlineStr">
        <is>
          <t>General</t>
        </is>
      </c>
      <c r="C219" s="5" t="n"/>
      <c r="D219" s="5" t="n"/>
      <c r="E219" s="5" t="n"/>
      <c r="F219" s="5" t="n"/>
      <c r="G219" s="5" t="n"/>
      <c r="H219" s="5" t="n"/>
      <c r="I219" s="5" t="n"/>
      <c r="J219" s="5" t="n"/>
      <c r="K219" s="5" t="n"/>
      <c r="L219" s="5" t="n"/>
      <c r="M219" s="5" t="n"/>
      <c r="N219" s="5" t="n">
        <v>309</v>
      </c>
      <c r="O219" s="5" t="n">
        <v>358</v>
      </c>
      <c r="P219" s="5" t="n">
        <v>355</v>
      </c>
      <c r="Q219" s="5" t="n">
        <v>392</v>
      </c>
      <c r="R219" s="5" t="n">
        <v>292</v>
      </c>
      <c r="S219" s="5" t="n">
        <v>388</v>
      </c>
      <c r="T219" s="5" t="n">
        <v>303</v>
      </c>
      <c r="U219" s="5" t="n">
        <v>427</v>
      </c>
      <c r="V219" s="5" t="n">
        <v>488</v>
      </c>
      <c r="W219" s="5" t="n">
        <v>405</v>
      </c>
      <c r="X219" s="5" t="n">
        <v>327</v>
      </c>
      <c r="Y219" s="14">
        <f>IF(AND(ISNUMBER(C219),C219&gt;0,ISNUMBER(X219)),X219/C219-1,"")</f>
        <v/>
      </c>
    </row>
    <row r="220">
      <c r="A220" s="12" t="inlineStr">
        <is>
          <t>270</t>
        </is>
      </c>
      <c r="B220" s="13" t="inlineStr">
        <is>
          <t>General</t>
        </is>
      </c>
      <c r="C220" s="5" t="n">
        <v>291</v>
      </c>
      <c r="D220" s="5" t="n">
        <v>344</v>
      </c>
      <c r="E220" s="5" t="n">
        <v>440</v>
      </c>
      <c r="F220" s="5" t="n">
        <v>354</v>
      </c>
      <c r="G220" s="5" t="n">
        <v>328</v>
      </c>
      <c r="H220" s="5" t="n">
        <v>199</v>
      </c>
      <c r="I220" s="5" t="n">
        <v>218</v>
      </c>
      <c r="J220" s="5" t="n">
        <v>224</v>
      </c>
      <c r="K220" s="5" t="n">
        <v>208</v>
      </c>
      <c r="L220" s="5" t="n">
        <v>231</v>
      </c>
      <c r="M220" s="5" t="n">
        <v>337</v>
      </c>
      <c r="N220" s="5" t="n">
        <v>270</v>
      </c>
      <c r="O220" s="5" t="n">
        <v>233</v>
      </c>
      <c r="P220" s="5" t="n">
        <v>257</v>
      </c>
      <c r="Q220" s="5" t="n">
        <v>194</v>
      </c>
      <c r="R220" s="5" t="n">
        <v>214</v>
      </c>
      <c r="S220" s="5" t="n">
        <v>205</v>
      </c>
      <c r="T220" s="5" t="n">
        <v>293</v>
      </c>
      <c r="U220" s="5" t="n">
        <v>279</v>
      </c>
      <c r="V220" s="5" t="n">
        <v>410</v>
      </c>
      <c r="W220" s="5" t="n">
        <v>414</v>
      </c>
      <c r="X220" s="5" t="n">
        <v>318</v>
      </c>
      <c r="Y220" s="14">
        <f>IF(AND(ISNUMBER(C220),C220&gt;0,ISNUMBER(X220)),X220/C220-1,"")</f>
        <v/>
      </c>
    </row>
    <row r="221">
      <c r="A221" s="12" t="inlineStr">
        <is>
          <t>280</t>
        </is>
      </c>
      <c r="B221" s="13" t="inlineStr">
        <is>
          <t>General</t>
        </is>
      </c>
      <c r="C221" s="5" t="n">
        <v>32</v>
      </c>
      <c r="D221" s="5" t="n">
        <v>16</v>
      </c>
      <c r="E221" s="5" t="n">
        <v>40</v>
      </c>
      <c r="F221" s="5" t="n">
        <v>21</v>
      </c>
      <c r="G221" s="5" t="n">
        <v>15</v>
      </c>
      <c r="H221" s="5" t="n">
        <v>18</v>
      </c>
      <c r="I221" s="5" t="n"/>
      <c r="J221" s="5" t="n">
        <v>14</v>
      </c>
      <c r="K221" s="5" t="n">
        <v>8</v>
      </c>
      <c r="L221" s="5" t="n">
        <v>3</v>
      </c>
      <c r="M221" s="5" t="n">
        <v>28</v>
      </c>
      <c r="N221" s="5" t="n">
        <v>6</v>
      </c>
      <c r="O221" s="5" t="n">
        <v>15</v>
      </c>
      <c r="P221" s="5" t="n">
        <v>21</v>
      </c>
      <c r="Q221" s="5" t="n">
        <v>9</v>
      </c>
      <c r="R221" s="5" t="n">
        <v>21</v>
      </c>
      <c r="S221" s="5" t="n">
        <v>7</v>
      </c>
      <c r="T221" s="5" t="n">
        <v>24</v>
      </c>
      <c r="U221" s="5" t="n">
        <v>30</v>
      </c>
      <c r="V221" s="5" t="n">
        <v>10</v>
      </c>
      <c r="W221" s="5" t="n">
        <v>25</v>
      </c>
      <c r="X221" s="5" t="n">
        <v>41</v>
      </c>
      <c r="Y221" s="14">
        <f>IF(AND(ISNUMBER(C221),C221&gt;0,ISNUMBER(X221)),X221/C221-1,"")</f>
        <v/>
      </c>
    </row>
    <row r="222">
      <c r="A222" s="12" t="inlineStr">
        <is>
          <t>281</t>
        </is>
      </c>
      <c r="B222" s="13" t="inlineStr">
        <is>
          <t>General</t>
        </is>
      </c>
      <c r="C222" s="5" t="n">
        <v>326</v>
      </c>
      <c r="D222" s="5" t="n">
        <v>486</v>
      </c>
      <c r="E222" s="5" t="n">
        <v>554</v>
      </c>
      <c r="F222" s="5" t="n">
        <v>343</v>
      </c>
      <c r="G222" s="5" t="n">
        <v>349</v>
      </c>
      <c r="H222" s="5" t="n">
        <v>173</v>
      </c>
      <c r="I222" s="5" t="n">
        <v>197</v>
      </c>
      <c r="J222" s="5" t="n">
        <v>125</v>
      </c>
      <c r="K222" s="5" t="n">
        <v>155</v>
      </c>
      <c r="L222" s="5" t="n">
        <v>209</v>
      </c>
      <c r="M222" s="5" t="n">
        <v>280</v>
      </c>
      <c r="N222" s="5" t="n">
        <v>315</v>
      </c>
      <c r="O222" s="5" t="n">
        <v>315</v>
      </c>
      <c r="P222" s="5" t="n">
        <v>239</v>
      </c>
      <c r="Q222" s="5" t="n">
        <v>295</v>
      </c>
      <c r="R222" s="5" t="n">
        <v>196</v>
      </c>
      <c r="S222" s="5" t="n">
        <v>236</v>
      </c>
      <c r="T222" s="5" t="n">
        <v>265</v>
      </c>
      <c r="U222" s="5" t="n">
        <v>217</v>
      </c>
      <c r="V222" s="5" t="n">
        <v>226</v>
      </c>
      <c r="W222" s="5" t="n">
        <v>279</v>
      </c>
      <c r="X222" s="5" t="n">
        <v>285</v>
      </c>
      <c r="Y222" s="14">
        <f>IF(AND(ISNUMBER(C222),C222&gt;0,ISNUMBER(X222)),X222/C222-1,"")</f>
        <v/>
      </c>
    </row>
    <row r="223">
      <c r="A223" s="12" t="inlineStr">
        <is>
          <t>282</t>
        </is>
      </c>
      <c r="B223" s="13" t="inlineStr">
        <is>
          <t>General</t>
        </is>
      </c>
      <c r="C223" s="5" t="n">
        <v>82</v>
      </c>
      <c r="D223" s="5" t="n">
        <v>79</v>
      </c>
      <c r="E223" s="5" t="n">
        <v>128</v>
      </c>
      <c r="F223" s="5" t="n">
        <v>90</v>
      </c>
      <c r="G223" s="5" t="n">
        <v>55</v>
      </c>
      <c r="H223" s="5" t="n">
        <v>53</v>
      </c>
      <c r="I223" s="5" t="n">
        <v>64</v>
      </c>
      <c r="J223" s="5" t="n">
        <v>13</v>
      </c>
      <c r="K223" s="5" t="n">
        <v>28</v>
      </c>
      <c r="L223" s="5" t="n">
        <v>24</v>
      </c>
      <c r="M223" s="5" t="n">
        <v>51</v>
      </c>
      <c r="N223" s="5" t="n">
        <v>70</v>
      </c>
      <c r="O223" s="5" t="n">
        <v>55</v>
      </c>
      <c r="P223" s="5" t="n">
        <v>66</v>
      </c>
      <c r="Q223" s="5" t="n">
        <v>80</v>
      </c>
      <c r="R223" s="5" t="n">
        <v>29</v>
      </c>
      <c r="S223" s="5" t="n">
        <v>50</v>
      </c>
      <c r="T223" s="5" t="n">
        <v>59</v>
      </c>
      <c r="U223" s="5" t="n">
        <v>77</v>
      </c>
      <c r="V223" s="5" t="n">
        <v>58</v>
      </c>
      <c r="W223" s="5" t="n">
        <v>85</v>
      </c>
      <c r="X223" s="5" t="n">
        <v>93</v>
      </c>
      <c r="Y223" s="14">
        <f>IF(AND(ISNUMBER(C223),C223&gt;0,ISNUMBER(X223)),X223/C223-1,"")</f>
        <v/>
      </c>
    </row>
    <row r="224">
      <c r="A224" s="12" t="inlineStr">
        <is>
          <t>283</t>
        </is>
      </c>
      <c r="B224" s="4" t="inlineStr"/>
      <c r="C224" s="5" t="n">
        <v>354</v>
      </c>
      <c r="D224" s="5" t="n">
        <v>366</v>
      </c>
      <c r="E224" s="5" t="n">
        <v>801</v>
      </c>
      <c r="F224" s="5" t="n">
        <v>582</v>
      </c>
      <c r="G224" s="5" t="n">
        <v>414</v>
      </c>
      <c r="H224" s="5" t="n">
        <v>245</v>
      </c>
      <c r="I224" s="5" t="n">
        <v>299</v>
      </c>
      <c r="J224" s="5" t="n">
        <v>204</v>
      </c>
      <c r="K224" s="5" t="n">
        <v>240</v>
      </c>
      <c r="L224" s="5" t="n">
        <v>259</v>
      </c>
      <c r="M224" s="5" t="n">
        <v>303</v>
      </c>
      <c r="N224" s="5" t="n">
        <v>309</v>
      </c>
      <c r="O224" s="5" t="n">
        <v>327</v>
      </c>
      <c r="P224" s="5" t="n">
        <v>343</v>
      </c>
      <c r="Q224" s="5" t="n">
        <v>337</v>
      </c>
      <c r="R224" s="5" t="n">
        <v>245</v>
      </c>
      <c r="S224" s="5" t="n">
        <v>276</v>
      </c>
      <c r="T224" s="5" t="n">
        <v>265</v>
      </c>
      <c r="U224" s="5" t="n"/>
      <c r="V224" s="5" t="n"/>
      <c r="W224" s="5" t="n"/>
      <c r="X224" s="5" t="n"/>
      <c r="Y224" s="14">
        <f>IF(AND(ISNUMBER(C224),C224&gt;0,ISNUMBER(X224)),X224/C224-1,"")</f>
        <v/>
      </c>
    </row>
    <row r="225">
      <c r="A225" s="12" t="inlineStr">
        <is>
          <t>284</t>
        </is>
      </c>
      <c r="B225" s="13" t="inlineStr">
        <is>
          <t>General</t>
        </is>
      </c>
      <c r="C225" s="5" t="n">
        <v>61</v>
      </c>
      <c r="D225" s="5" t="n">
        <v>86</v>
      </c>
      <c r="E225" s="5" t="n">
        <v>85</v>
      </c>
      <c r="F225" s="5" t="n">
        <v>68</v>
      </c>
      <c r="G225" s="5" t="n">
        <v>38</v>
      </c>
      <c r="H225" s="5" t="n">
        <v>24</v>
      </c>
      <c r="I225" s="5" t="n">
        <v>9</v>
      </c>
      <c r="J225" s="5" t="n">
        <v>3</v>
      </c>
      <c r="K225" s="5" t="n">
        <v>13</v>
      </c>
      <c r="L225" s="5" t="n">
        <v>11</v>
      </c>
      <c r="M225" s="5" t="n">
        <v>38</v>
      </c>
      <c r="N225" s="5" t="n">
        <v>57</v>
      </c>
      <c r="O225" s="5" t="n">
        <v>40</v>
      </c>
      <c r="P225" s="5" t="n">
        <v>36</v>
      </c>
      <c r="Q225" s="5" t="n">
        <v>22</v>
      </c>
      <c r="R225" s="5" t="n">
        <v>16</v>
      </c>
      <c r="S225" s="5" t="n">
        <v>17</v>
      </c>
      <c r="T225" s="5" t="n">
        <v>46</v>
      </c>
      <c r="U225" s="5" t="n">
        <v>23</v>
      </c>
      <c r="V225" s="5" t="n">
        <v>20</v>
      </c>
      <c r="W225" s="5" t="n">
        <v>35</v>
      </c>
      <c r="X225" s="5" t="n">
        <v>14</v>
      </c>
      <c r="Y225" s="14">
        <f>IF(AND(ISNUMBER(C225),C225&gt;0,ISNUMBER(X225)),X225/C225-1,"")</f>
        <v/>
      </c>
    </row>
    <row r="226">
      <c r="A226" s="12" t="inlineStr">
        <is>
          <t>285</t>
        </is>
      </c>
      <c r="B226" s="13" t="inlineStr">
        <is>
          <t>General</t>
        </is>
      </c>
      <c r="C226" s="5" t="n">
        <v>1217</v>
      </c>
      <c r="D226" s="5" t="n">
        <v>1160</v>
      </c>
      <c r="E226" s="5" t="n">
        <v>1973</v>
      </c>
      <c r="F226" s="5" t="n">
        <v>1145</v>
      </c>
      <c r="G226" s="5" t="n">
        <v>1087</v>
      </c>
      <c r="H226" s="5" t="n">
        <v>402</v>
      </c>
      <c r="I226" s="5" t="n">
        <v>616</v>
      </c>
      <c r="J226" s="5" t="n">
        <v>458</v>
      </c>
      <c r="K226" s="5" t="n">
        <v>531</v>
      </c>
      <c r="L226" s="5" t="n">
        <v>542</v>
      </c>
      <c r="M226" s="5" t="n">
        <v>622</v>
      </c>
      <c r="N226" s="5" t="n">
        <v>725</v>
      </c>
      <c r="O226" s="5" t="n">
        <v>831</v>
      </c>
      <c r="P226" s="5" t="n">
        <v>738</v>
      </c>
      <c r="Q226" s="5" t="n">
        <v>640</v>
      </c>
      <c r="R226" s="5" t="n">
        <v>574</v>
      </c>
      <c r="S226" s="5" t="n">
        <v>528</v>
      </c>
      <c r="T226" s="5" t="n">
        <v>659</v>
      </c>
      <c r="U226" s="5" t="n">
        <v>728</v>
      </c>
      <c r="V226" s="5" t="n">
        <v>829</v>
      </c>
      <c r="W226" s="5" t="n">
        <v>872</v>
      </c>
      <c r="X226" s="5" t="n">
        <v>962</v>
      </c>
      <c r="Y226" s="14">
        <f>IF(AND(ISNUMBER(C226),C226&gt;0,ISNUMBER(X226)),X226/C226-1,"")</f>
        <v/>
      </c>
    </row>
    <row r="227">
      <c r="A227" s="12" t="inlineStr">
        <is>
          <t>290</t>
        </is>
      </c>
      <c r="B227" s="13" t="inlineStr">
        <is>
          <t>General</t>
        </is>
      </c>
      <c r="C227" s="5" t="n">
        <v>101</v>
      </c>
      <c r="D227" s="5" t="n">
        <v>156</v>
      </c>
      <c r="E227" s="5" t="n">
        <v>116</v>
      </c>
      <c r="F227" s="5" t="n">
        <v>124</v>
      </c>
      <c r="G227" s="5" t="n">
        <v>59</v>
      </c>
      <c r="H227" s="5" t="n">
        <v>57</v>
      </c>
      <c r="I227" s="5" t="n">
        <v>24</v>
      </c>
      <c r="J227" s="5" t="n">
        <v>8</v>
      </c>
      <c r="K227" s="5" t="n">
        <v>43</v>
      </c>
      <c r="L227" s="5" t="n">
        <v>18</v>
      </c>
      <c r="M227" s="5" t="n">
        <v>89</v>
      </c>
      <c r="N227" s="5" t="n">
        <v>92</v>
      </c>
      <c r="O227" s="5" t="n">
        <v>83</v>
      </c>
      <c r="P227" s="5" t="n">
        <v>102</v>
      </c>
      <c r="Q227" s="5" t="n">
        <v>78</v>
      </c>
      <c r="R227" s="5" t="n">
        <v>98</v>
      </c>
      <c r="S227" s="5" t="n">
        <v>100</v>
      </c>
      <c r="T227" s="5" t="n">
        <v>52</v>
      </c>
      <c r="U227" s="5" t="n">
        <v>67</v>
      </c>
      <c r="V227" s="5" t="n">
        <v>54</v>
      </c>
      <c r="W227" s="5" t="n">
        <v>61</v>
      </c>
      <c r="X227" s="5" t="n">
        <v>71</v>
      </c>
      <c r="Y227" s="14">
        <f>IF(AND(ISNUMBER(C227),C227&gt;0,ISNUMBER(X227)),X227/C227-1,"")</f>
        <v/>
      </c>
    </row>
    <row r="228">
      <c r="A228" s="12" t="inlineStr">
        <is>
          <t>291</t>
        </is>
      </c>
      <c r="B228" s="13" t="inlineStr">
        <is>
          <t>General</t>
        </is>
      </c>
      <c r="C228" s="5" t="n">
        <v>33</v>
      </c>
      <c r="D228" s="5" t="n">
        <v>53</v>
      </c>
      <c r="E228" s="5" t="n">
        <v>65</v>
      </c>
      <c r="F228" s="5" t="n">
        <v>64</v>
      </c>
      <c r="G228" s="5" t="n">
        <v>28</v>
      </c>
      <c r="H228" s="5" t="n">
        <v>38</v>
      </c>
      <c r="I228" s="5" t="n">
        <v>25</v>
      </c>
      <c r="J228" s="5" t="n">
        <v>23</v>
      </c>
      <c r="K228" s="5" t="n">
        <v>10</v>
      </c>
      <c r="L228" s="5" t="n">
        <v>45</v>
      </c>
      <c r="M228" s="5" t="n">
        <v>37</v>
      </c>
      <c r="N228" s="5" t="n">
        <v>46</v>
      </c>
      <c r="O228" s="5" t="n">
        <v>36</v>
      </c>
      <c r="P228" s="5" t="n">
        <v>55</v>
      </c>
      <c r="Q228" s="5" t="n">
        <v>44</v>
      </c>
      <c r="R228" s="5" t="n">
        <v>58</v>
      </c>
      <c r="S228" s="5" t="n">
        <v>53</v>
      </c>
      <c r="T228" s="5" t="n">
        <v>62</v>
      </c>
      <c r="U228" s="5" t="n">
        <v>33</v>
      </c>
      <c r="V228" s="5" t="n">
        <v>23</v>
      </c>
      <c r="W228" s="5" t="n">
        <v>35</v>
      </c>
      <c r="X228" s="5" t="n">
        <v>45</v>
      </c>
      <c r="Y228" s="14">
        <f>IF(AND(ISNUMBER(C228),C228&gt;0,ISNUMBER(X228)),X228/C228-1,"")</f>
        <v/>
      </c>
    </row>
    <row r="229">
      <c r="A229" s="12" t="inlineStr">
        <is>
          <t>292</t>
        </is>
      </c>
      <c r="B229" s="13" t="inlineStr">
        <is>
          <t>General</t>
        </is>
      </c>
      <c r="C229" s="5" t="n">
        <v>377</v>
      </c>
      <c r="D229" s="5" t="n">
        <v>412</v>
      </c>
      <c r="E229" s="5" t="n">
        <v>742</v>
      </c>
      <c r="F229" s="5" t="n">
        <v>507</v>
      </c>
      <c r="G229" s="5" t="n">
        <v>354</v>
      </c>
      <c r="H229" s="5" t="n">
        <v>232</v>
      </c>
      <c r="I229" s="5" t="n">
        <v>289</v>
      </c>
      <c r="J229" s="5" t="n">
        <v>308</v>
      </c>
      <c r="K229" s="5" t="n">
        <v>219</v>
      </c>
      <c r="L229" s="5" t="n">
        <v>234</v>
      </c>
      <c r="M229" s="5" t="n">
        <v>318</v>
      </c>
      <c r="N229" s="5" t="n">
        <v>321</v>
      </c>
      <c r="O229" s="5" t="n">
        <v>370</v>
      </c>
      <c r="P229" s="5" t="n">
        <v>342</v>
      </c>
      <c r="Q229" s="5" t="n">
        <v>302</v>
      </c>
      <c r="R229" s="5" t="n">
        <v>287</v>
      </c>
      <c r="S229" s="5" t="n">
        <v>342</v>
      </c>
      <c r="T229" s="5" t="n">
        <v>300</v>
      </c>
      <c r="U229" s="5" t="n">
        <v>354</v>
      </c>
      <c r="V229" s="5" t="n">
        <v>311</v>
      </c>
      <c r="W229" s="5" t="n">
        <v>319</v>
      </c>
      <c r="X229" s="5" t="n">
        <v>289</v>
      </c>
      <c r="Y229" s="14">
        <f>IF(AND(ISNUMBER(C229),C229&gt;0,ISNUMBER(X229)),X229/C229-1,"")</f>
        <v/>
      </c>
    </row>
    <row r="230">
      <c r="A230" s="12" t="inlineStr">
        <is>
          <t>293</t>
        </is>
      </c>
      <c r="B230" s="13" t="inlineStr">
        <is>
          <t>General</t>
        </is>
      </c>
      <c r="C230" s="5" t="n">
        <v>153</v>
      </c>
      <c r="D230" s="5" t="n">
        <v>198</v>
      </c>
      <c r="E230" s="5" t="n">
        <v>265</v>
      </c>
      <c r="F230" s="5" t="n">
        <v>143</v>
      </c>
      <c r="G230" s="5" t="n">
        <v>173</v>
      </c>
      <c r="H230" s="5" t="n">
        <v>79</v>
      </c>
      <c r="I230" s="5" t="n">
        <v>104</v>
      </c>
      <c r="J230" s="5" t="n">
        <v>94</v>
      </c>
      <c r="K230" s="5" t="n">
        <v>104</v>
      </c>
      <c r="L230" s="5" t="n">
        <v>137</v>
      </c>
      <c r="M230" s="5" t="n">
        <v>152</v>
      </c>
      <c r="N230" s="5" t="n">
        <v>151</v>
      </c>
      <c r="O230" s="5" t="n">
        <v>127</v>
      </c>
      <c r="P230" s="5" t="n">
        <v>136</v>
      </c>
      <c r="Q230" s="5" t="n">
        <v>97</v>
      </c>
      <c r="R230" s="5" t="n">
        <v>70</v>
      </c>
      <c r="S230" s="5" t="n">
        <v>78</v>
      </c>
      <c r="T230" s="5" t="n">
        <v>119</v>
      </c>
      <c r="U230" s="5" t="n">
        <v>119</v>
      </c>
      <c r="V230" s="5" t="n">
        <v>131</v>
      </c>
      <c r="W230" s="5" t="n">
        <v>103</v>
      </c>
      <c r="X230" s="5" t="n">
        <v>176</v>
      </c>
      <c r="Y230" s="14">
        <f>IF(AND(ISNUMBER(C230),C230&gt;0,ISNUMBER(X230)),X230/C230-1,"")</f>
        <v/>
      </c>
    </row>
    <row r="231">
      <c r="A231" s="12" t="inlineStr">
        <is>
          <t>298</t>
        </is>
      </c>
      <c r="B231" s="13" t="inlineStr">
        <is>
          <t>General</t>
        </is>
      </c>
      <c r="C231" s="5" t="n"/>
      <c r="D231" s="5" t="n"/>
      <c r="E231" s="5" t="n"/>
      <c r="F231" s="5" t="n"/>
      <c r="G231" s="5" t="n">
        <v>43</v>
      </c>
      <c r="H231" s="5" t="n">
        <v>32</v>
      </c>
      <c r="I231" s="5" t="n">
        <v>23</v>
      </c>
      <c r="J231" s="5" t="n">
        <v>27</v>
      </c>
      <c r="K231" s="5" t="n">
        <v>35</v>
      </c>
      <c r="L231" s="5" t="n">
        <v>51</v>
      </c>
      <c r="M231" s="5" t="n">
        <v>59</v>
      </c>
      <c r="N231" s="5" t="n">
        <v>57</v>
      </c>
      <c r="O231" s="5" t="n">
        <v>57</v>
      </c>
      <c r="P231" s="5" t="n">
        <v>70</v>
      </c>
      <c r="Q231" s="5" t="n">
        <v>29</v>
      </c>
      <c r="R231" s="5" t="n">
        <v>44</v>
      </c>
      <c r="S231" s="5" t="n">
        <v>71</v>
      </c>
      <c r="T231" s="5" t="n">
        <v>40</v>
      </c>
      <c r="U231" s="5" t="n">
        <v>38</v>
      </c>
      <c r="V231" s="5" t="n">
        <v>38</v>
      </c>
      <c r="W231" s="5" t="n">
        <v>34</v>
      </c>
      <c r="X231" s="5" t="n">
        <v>66</v>
      </c>
      <c r="Y231" s="14">
        <f>IF(AND(ISNUMBER(C231),C231&gt;0,ISNUMBER(X231)),X231/C231-1,"")</f>
        <v/>
      </c>
    </row>
    <row r="232">
      <c r="A232" s="12" t="inlineStr">
        <is>
          <t>300</t>
        </is>
      </c>
      <c r="B232" s="4" t="inlineStr"/>
      <c r="C232" s="5" t="n">
        <v>24</v>
      </c>
      <c r="D232" s="5" t="n">
        <v>34</v>
      </c>
      <c r="E232" s="5" t="n">
        <v>46</v>
      </c>
      <c r="F232" s="5" t="n">
        <v>67</v>
      </c>
      <c r="G232" s="5" t="n">
        <v>68</v>
      </c>
      <c r="H232" s="5" t="n">
        <v>70</v>
      </c>
      <c r="I232" s="5" t="n">
        <v>60</v>
      </c>
      <c r="J232" s="5" t="n">
        <v>42</v>
      </c>
      <c r="K232" s="5" t="n">
        <v>27</v>
      </c>
      <c r="L232" s="5" t="n">
        <v>45</v>
      </c>
      <c r="M232" s="5" t="n">
        <v>29</v>
      </c>
      <c r="N232" s="5" t="n">
        <v>56</v>
      </c>
      <c r="O232" s="5" t="n">
        <v>68</v>
      </c>
      <c r="P232" s="5" t="n">
        <v>118</v>
      </c>
      <c r="Q232" s="5" t="n">
        <v>51</v>
      </c>
      <c r="R232" s="5" t="n">
        <v>49</v>
      </c>
      <c r="S232" s="5" t="n">
        <v>155</v>
      </c>
      <c r="T232" s="5" t="n">
        <v>46</v>
      </c>
      <c r="U232" s="5" t="n"/>
      <c r="V232" s="5" t="n"/>
      <c r="W232" s="5" t="n"/>
      <c r="X232" s="5" t="n"/>
      <c r="Y232" s="14">
        <f>IF(AND(ISNUMBER(C232),C232&gt;0,ISNUMBER(X232)),X232/C232-1,"")</f>
        <v/>
      </c>
    </row>
    <row r="233">
      <c r="A233" s="12" t="inlineStr">
        <is>
          <t>301</t>
        </is>
      </c>
      <c r="B233" s="13" t="inlineStr">
        <is>
          <t>General</t>
        </is>
      </c>
      <c r="C233" s="5" t="n">
        <v>337</v>
      </c>
      <c r="D233" s="5" t="n">
        <v>217</v>
      </c>
      <c r="E233" s="5" t="n">
        <v>130</v>
      </c>
      <c r="F233" s="5" t="n">
        <v>159</v>
      </c>
      <c r="G233" s="5" t="n">
        <v>137</v>
      </c>
      <c r="H233" s="5" t="n">
        <v>133</v>
      </c>
      <c r="I233" s="5" t="n">
        <v>111</v>
      </c>
      <c r="J233" s="5" t="n">
        <v>109</v>
      </c>
      <c r="K233" s="5" t="n">
        <v>120</v>
      </c>
      <c r="L233" s="5" t="n">
        <v>115</v>
      </c>
      <c r="M233" s="5" t="n">
        <v>107</v>
      </c>
      <c r="N233" s="5" t="n">
        <v>108</v>
      </c>
      <c r="O233" s="5" t="n">
        <v>176</v>
      </c>
      <c r="P233" s="5" t="n">
        <v>200</v>
      </c>
      <c r="Q233" s="5" t="n">
        <v>131</v>
      </c>
      <c r="R233" s="5" t="n">
        <v>119</v>
      </c>
      <c r="S233" s="5" t="n">
        <v>170</v>
      </c>
      <c r="T233" s="5" t="n">
        <v>146</v>
      </c>
      <c r="U233" s="5" t="n">
        <v>124</v>
      </c>
      <c r="V233" s="5" t="n">
        <v>139</v>
      </c>
      <c r="W233" s="5" t="n">
        <v>202</v>
      </c>
      <c r="X233" s="5" t="n">
        <v>169</v>
      </c>
      <c r="Y233" s="14">
        <f>IF(AND(ISNUMBER(C233),C233&gt;0,ISNUMBER(X233)),X233/C233-1,"")</f>
        <v/>
      </c>
    </row>
    <row r="234">
      <c r="A234" s="12" t="inlineStr">
        <is>
          <t>302</t>
        </is>
      </c>
      <c r="B234" s="13" t="inlineStr">
        <is>
          <t>General</t>
        </is>
      </c>
      <c r="C234" s="5" t="n">
        <v>23</v>
      </c>
      <c r="D234" s="5" t="n">
        <v>42</v>
      </c>
      <c r="E234" s="5" t="n">
        <v>33</v>
      </c>
      <c r="F234" s="5" t="n">
        <v>33</v>
      </c>
      <c r="G234" s="5" t="n">
        <v>40</v>
      </c>
      <c r="H234" s="5" t="n">
        <v>27</v>
      </c>
      <c r="I234" s="5" t="n">
        <v>27</v>
      </c>
      <c r="J234" s="5" t="n">
        <v>6</v>
      </c>
      <c r="K234" s="5" t="n">
        <v>24</v>
      </c>
      <c r="L234" s="5" t="n">
        <v>15</v>
      </c>
      <c r="M234" s="5" t="n">
        <v>28</v>
      </c>
      <c r="N234" s="5" t="n">
        <v>28</v>
      </c>
      <c r="O234" s="5" t="n">
        <v>24</v>
      </c>
      <c r="P234" s="5" t="n">
        <v>50</v>
      </c>
      <c r="Q234" s="5" t="n">
        <v>30</v>
      </c>
      <c r="R234" s="5" t="n">
        <v>49</v>
      </c>
      <c r="S234" s="5" t="n">
        <v>61</v>
      </c>
      <c r="T234" s="5" t="n">
        <v>32</v>
      </c>
      <c r="U234" s="5" t="n">
        <v>37</v>
      </c>
      <c r="V234" s="5" t="n">
        <v>85</v>
      </c>
      <c r="W234" s="5" t="n">
        <v>22</v>
      </c>
      <c r="X234" s="5" t="n">
        <v>42</v>
      </c>
      <c r="Y234" s="14">
        <f>IF(AND(ISNUMBER(C234),C234&gt;0,ISNUMBER(X234)),X234/C234-1,"")</f>
        <v/>
      </c>
    </row>
    <row r="235">
      <c r="A235" s="12" t="inlineStr">
        <is>
          <t>303</t>
        </is>
      </c>
      <c r="B235" s="13" t="inlineStr">
        <is>
          <t>General</t>
        </is>
      </c>
      <c r="C235" s="5" t="n"/>
      <c r="D235" s="5" t="n"/>
      <c r="E235" s="5" t="n"/>
      <c r="F235" s="5" t="n"/>
      <c r="G235" s="5" t="n"/>
      <c r="H235" s="5" t="n"/>
      <c r="I235" s="5" t="n"/>
      <c r="J235" s="5" t="n"/>
      <c r="K235" s="5" t="n"/>
      <c r="L235" s="5" t="n"/>
      <c r="M235" s="5" t="n"/>
      <c r="N235" s="5" t="n"/>
      <c r="O235" s="5" t="n"/>
      <c r="P235" s="5" t="n"/>
      <c r="Q235" s="5" t="n"/>
      <c r="R235" s="5" t="n"/>
      <c r="S235" s="5" t="n"/>
      <c r="T235" s="5" t="n"/>
      <c r="U235" s="5" t="n">
        <v>9</v>
      </c>
      <c r="V235" s="5" t="n">
        <v>25</v>
      </c>
      <c r="W235" s="5" t="n">
        <v>18</v>
      </c>
      <c r="X235" s="5" t="n">
        <v>28</v>
      </c>
      <c r="Y235" s="14">
        <f>IF(AND(ISNUMBER(C235),C235&gt;0,ISNUMBER(X235)),X235/C235-1,"")</f>
        <v/>
      </c>
    </row>
    <row r="236">
      <c r="A236" s="12" t="inlineStr">
        <is>
          <t>304</t>
        </is>
      </c>
      <c r="B236" s="13" t="inlineStr">
        <is>
          <t>General</t>
        </is>
      </c>
      <c r="C236" s="5" t="n"/>
      <c r="D236" s="5" t="n"/>
      <c r="E236" s="5" t="n"/>
      <c r="F236" s="5" t="n"/>
      <c r="G236" s="5" t="n"/>
      <c r="H236" s="5" t="n"/>
      <c r="I236" s="5" t="n"/>
      <c r="J236" s="5" t="n"/>
      <c r="K236" s="5" t="n"/>
      <c r="L236" s="5" t="n"/>
      <c r="M236" s="5" t="n"/>
      <c r="N236" s="5" t="n"/>
      <c r="O236" s="5" t="n"/>
      <c r="P236" s="5" t="n"/>
      <c r="Q236" s="5" t="n"/>
      <c r="R236" s="5" t="n"/>
      <c r="S236" s="5" t="n"/>
      <c r="T236" s="5" t="n"/>
      <c r="U236" s="5" t="n">
        <v>73</v>
      </c>
      <c r="V236" s="5" t="n">
        <v>105</v>
      </c>
      <c r="W236" s="5" t="n">
        <v>85</v>
      </c>
      <c r="X236" s="5" t="n">
        <v>110</v>
      </c>
      <c r="Y236" s="14">
        <f>IF(AND(ISNUMBER(C236),C236&gt;0,ISNUMBER(X236)),X236/C236-1,"")</f>
        <v/>
      </c>
    </row>
    <row r="237">
      <c r="A237" s="12" t="inlineStr">
        <is>
          <t>309</t>
        </is>
      </c>
      <c r="B237" s="13" t="inlineStr">
        <is>
          <t>General</t>
        </is>
      </c>
      <c r="C237" s="5" t="n"/>
      <c r="D237" s="5" t="n">
        <v>523</v>
      </c>
      <c r="E237" s="5" t="n">
        <v>438</v>
      </c>
      <c r="F237" s="5" t="n">
        <v>495</v>
      </c>
      <c r="G237" s="5" t="n">
        <v>533</v>
      </c>
      <c r="H237" s="5" t="n">
        <v>588</v>
      </c>
      <c r="I237" s="5" t="n">
        <v>554</v>
      </c>
      <c r="J237" s="5" t="n">
        <v>468</v>
      </c>
      <c r="K237" s="5" t="n">
        <v>713</v>
      </c>
      <c r="L237" s="5" t="n">
        <v>499</v>
      </c>
      <c r="M237" s="5" t="n">
        <v>427</v>
      </c>
      <c r="N237" s="5" t="n">
        <v>378</v>
      </c>
      <c r="O237" s="5" t="n">
        <v>476</v>
      </c>
      <c r="P237" s="5" t="n">
        <v>599</v>
      </c>
      <c r="Q237" s="5" t="n">
        <v>398</v>
      </c>
      <c r="R237" s="5" t="n">
        <v>412</v>
      </c>
      <c r="S237" s="5" t="n">
        <v>476</v>
      </c>
      <c r="T237" s="5" t="n">
        <v>498</v>
      </c>
      <c r="U237" s="5" t="n">
        <v>488</v>
      </c>
      <c r="V237" s="5" t="n">
        <v>398</v>
      </c>
      <c r="W237" s="5" t="n">
        <v>405</v>
      </c>
      <c r="X237" s="5" t="n">
        <v>346</v>
      </c>
      <c r="Y237" s="14">
        <f>IF(AND(ISNUMBER(C237),C237&gt;0,ISNUMBER(X237)),X237/C237-1,"")</f>
        <v/>
      </c>
    </row>
    <row r="238">
      <c r="A238" s="12" t="inlineStr">
        <is>
          <t>310</t>
        </is>
      </c>
      <c r="B238" s="13" t="inlineStr">
        <is>
          <t>General</t>
        </is>
      </c>
      <c r="C238" s="5" t="n">
        <v>8</v>
      </c>
      <c r="D238" s="5" t="n">
        <v>18</v>
      </c>
      <c r="E238" s="5" t="n">
        <v>44</v>
      </c>
      <c r="F238" s="5" t="n">
        <v>33</v>
      </c>
      <c r="G238" s="5" t="n">
        <v>45</v>
      </c>
      <c r="H238" s="5" t="n">
        <v>39</v>
      </c>
      <c r="I238" s="5" t="n">
        <v>26</v>
      </c>
      <c r="J238" s="5" t="n">
        <v>27</v>
      </c>
      <c r="K238" s="5" t="n">
        <v>31</v>
      </c>
      <c r="L238" s="5" t="n">
        <v>22</v>
      </c>
      <c r="M238" s="5" t="n">
        <v>13</v>
      </c>
      <c r="N238" s="5" t="n">
        <v>19</v>
      </c>
      <c r="O238" s="5" t="n">
        <v>21</v>
      </c>
      <c r="P238" s="5" t="n">
        <v>16</v>
      </c>
      <c r="Q238" s="5" t="n">
        <v>12</v>
      </c>
      <c r="R238" s="5" t="n">
        <v>14</v>
      </c>
      <c r="S238" s="5" t="n">
        <v>13</v>
      </c>
      <c r="T238" s="5" t="n">
        <v>11</v>
      </c>
      <c r="U238" s="5" t="n">
        <v>25</v>
      </c>
      <c r="V238" s="5" t="n">
        <v>36</v>
      </c>
      <c r="W238" s="5" t="n">
        <v>21</v>
      </c>
      <c r="X238" s="5" t="n">
        <v>38</v>
      </c>
      <c r="Y238" s="14">
        <f>IF(AND(ISNUMBER(C238),C238&gt;0,ISNUMBER(X238)),X238/C238-1,"")</f>
        <v/>
      </c>
    </row>
    <row r="239">
      <c r="A239" s="12" t="inlineStr">
        <is>
          <t>311</t>
        </is>
      </c>
      <c r="B239" s="13" t="inlineStr">
        <is>
          <t>General</t>
        </is>
      </c>
      <c r="C239" s="5" t="n">
        <v>788</v>
      </c>
      <c r="D239" s="5" t="n">
        <v>762</v>
      </c>
      <c r="E239" s="5" t="n">
        <v>869</v>
      </c>
      <c r="F239" s="5" t="n">
        <v>715</v>
      </c>
      <c r="G239" s="5" t="n">
        <v>661</v>
      </c>
      <c r="H239" s="5" t="n">
        <v>762</v>
      </c>
      <c r="I239" s="5" t="n">
        <v>551</v>
      </c>
      <c r="J239" s="5" t="n">
        <v>615</v>
      </c>
      <c r="K239" s="5" t="n">
        <v>704</v>
      </c>
      <c r="L239" s="5" t="n">
        <v>568</v>
      </c>
      <c r="M239" s="5" t="n">
        <v>516</v>
      </c>
      <c r="N239" s="5" t="n">
        <v>657</v>
      </c>
      <c r="O239" s="5" t="n">
        <v>786</v>
      </c>
      <c r="P239" s="5" t="n">
        <v>1139</v>
      </c>
      <c r="Q239" s="5" t="n">
        <v>788</v>
      </c>
      <c r="R239" s="5" t="n">
        <v>915</v>
      </c>
      <c r="S239" s="5" t="n">
        <v>850</v>
      </c>
      <c r="T239" s="5" t="n">
        <v>697</v>
      </c>
      <c r="U239" s="5" t="n">
        <v>629</v>
      </c>
      <c r="V239" s="5" t="n">
        <v>648</v>
      </c>
      <c r="W239" s="5" t="n">
        <v>692</v>
      </c>
      <c r="X239" s="5" t="n">
        <v>653</v>
      </c>
      <c r="Y239" s="14">
        <f>IF(AND(ISNUMBER(C239),C239&gt;0,ISNUMBER(X239)),X239/C239-1,"")</f>
        <v/>
      </c>
    </row>
    <row r="240">
      <c r="A240" s="12" t="inlineStr">
        <is>
          <t>312</t>
        </is>
      </c>
      <c r="B240" s="13" t="inlineStr">
        <is>
          <t>General</t>
        </is>
      </c>
      <c r="C240" s="5" t="n">
        <v>739</v>
      </c>
      <c r="D240" s="5" t="n">
        <v>748</v>
      </c>
      <c r="E240" s="5" t="n">
        <v>1024</v>
      </c>
      <c r="F240" s="5" t="n">
        <v>1249</v>
      </c>
      <c r="G240" s="5" t="n">
        <v>840</v>
      </c>
      <c r="H240" s="5" t="n">
        <v>938</v>
      </c>
      <c r="I240" s="5" t="n">
        <v>691</v>
      </c>
      <c r="J240" s="5" t="n">
        <v>783</v>
      </c>
      <c r="K240" s="5" t="n">
        <v>1008</v>
      </c>
      <c r="L240" s="5" t="n">
        <v>775</v>
      </c>
      <c r="M240" s="5" t="n">
        <v>1129</v>
      </c>
      <c r="N240" s="5" t="n">
        <v>1235</v>
      </c>
      <c r="O240" s="5" t="n">
        <v>1159</v>
      </c>
      <c r="P240" s="5" t="n">
        <v>825</v>
      </c>
      <c r="Q240" s="5" t="n">
        <v>630</v>
      </c>
      <c r="R240" s="5" t="n">
        <v>782</v>
      </c>
      <c r="S240" s="5" t="n">
        <v>680</v>
      </c>
      <c r="T240" s="5" t="n">
        <v>486</v>
      </c>
      <c r="U240" s="5" t="n">
        <v>503</v>
      </c>
      <c r="V240" s="5" t="n">
        <v>370</v>
      </c>
      <c r="W240" s="5" t="n">
        <v>535</v>
      </c>
      <c r="X240" s="5" t="n">
        <v>417</v>
      </c>
      <c r="Y240" s="14">
        <f>IF(AND(ISNUMBER(C240),C240&gt;0,ISNUMBER(X240)),X240/C240-1,"")</f>
        <v/>
      </c>
    </row>
    <row r="241">
      <c r="A241" s="12" t="inlineStr">
        <is>
          <t>313</t>
        </is>
      </c>
      <c r="B241" s="13" t="inlineStr">
        <is>
          <t>General</t>
        </is>
      </c>
      <c r="C241" s="5" t="n">
        <v>29</v>
      </c>
      <c r="D241" s="5" t="n">
        <v>12</v>
      </c>
      <c r="E241" s="5" t="n">
        <v>84</v>
      </c>
      <c r="F241" s="5" t="n">
        <v>60</v>
      </c>
      <c r="G241" s="5" t="n">
        <v>55</v>
      </c>
      <c r="H241" s="5" t="n">
        <v>56</v>
      </c>
      <c r="I241" s="5" t="n">
        <v>54</v>
      </c>
      <c r="J241" s="5" t="n">
        <v>36</v>
      </c>
      <c r="K241" s="5" t="n">
        <v>66</v>
      </c>
      <c r="L241" s="5" t="n">
        <v>59</v>
      </c>
      <c r="M241" s="5" t="n">
        <v>34</v>
      </c>
      <c r="N241" s="5" t="n">
        <v>99</v>
      </c>
      <c r="O241" s="5" t="n">
        <v>92</v>
      </c>
      <c r="P241" s="5" t="n">
        <v>78</v>
      </c>
      <c r="Q241" s="5" t="n">
        <v>54</v>
      </c>
      <c r="R241" s="5" t="n">
        <v>52</v>
      </c>
      <c r="S241" s="5" t="n">
        <v>40</v>
      </c>
      <c r="T241" s="5" t="n">
        <v>27</v>
      </c>
      <c r="U241" s="5" t="n">
        <v>37</v>
      </c>
      <c r="V241" s="5" t="n">
        <v>35</v>
      </c>
      <c r="W241" s="5" t="n">
        <v>24</v>
      </c>
      <c r="X241" s="5" t="n">
        <v>50</v>
      </c>
      <c r="Y241" s="14">
        <f>IF(AND(ISNUMBER(C241),C241&gt;0,ISNUMBER(X241)),X241/C241-1,"")</f>
        <v/>
      </c>
    </row>
    <row r="242">
      <c r="A242" s="12" t="inlineStr">
        <is>
          <t>314</t>
        </is>
      </c>
      <c r="B242" s="13" t="inlineStr">
        <is>
          <t>General</t>
        </is>
      </c>
      <c r="C242" s="5" t="n">
        <v>234</v>
      </c>
      <c r="D242" s="5" t="n">
        <v>208</v>
      </c>
      <c r="E242" s="5" t="n">
        <v>346</v>
      </c>
      <c r="F242" s="5" t="n">
        <v>230</v>
      </c>
      <c r="G242" s="5" t="n">
        <v>294</v>
      </c>
      <c r="H242" s="5" t="n">
        <v>227</v>
      </c>
      <c r="I242" s="5" t="n">
        <v>284</v>
      </c>
      <c r="J242" s="5" t="n">
        <v>238</v>
      </c>
      <c r="K242" s="5" t="n">
        <v>290</v>
      </c>
      <c r="L242" s="5" t="n">
        <v>265</v>
      </c>
      <c r="M242" s="5" t="n">
        <v>233</v>
      </c>
      <c r="N242" s="5" t="n">
        <v>293</v>
      </c>
      <c r="O242" s="5" t="n">
        <v>276</v>
      </c>
      <c r="P242" s="5" t="n">
        <v>238</v>
      </c>
      <c r="Q242" s="5" t="n">
        <v>179</v>
      </c>
      <c r="R242" s="5" t="n">
        <v>197</v>
      </c>
      <c r="S242" s="5" t="n">
        <v>213</v>
      </c>
      <c r="T242" s="5" t="n">
        <v>224</v>
      </c>
      <c r="U242" s="5" t="n">
        <v>207</v>
      </c>
      <c r="V242" s="5" t="n">
        <v>214</v>
      </c>
      <c r="W242" s="5" t="n">
        <v>238</v>
      </c>
      <c r="X242" s="5" t="n">
        <v>282</v>
      </c>
      <c r="Y242" s="14">
        <f>IF(AND(ISNUMBER(C242),C242&gt;0,ISNUMBER(X242)),X242/C242-1,"")</f>
        <v/>
      </c>
    </row>
    <row r="243">
      <c r="A243" s="12" t="inlineStr">
        <is>
          <t>315</t>
        </is>
      </c>
      <c r="B243" s="13" t="inlineStr">
        <is>
          <t>General</t>
        </is>
      </c>
      <c r="C243" s="5" t="n">
        <v>776</v>
      </c>
      <c r="D243" s="5" t="n">
        <v>636</v>
      </c>
      <c r="E243" s="5" t="n">
        <v>817</v>
      </c>
      <c r="F243" s="5" t="n">
        <v>736</v>
      </c>
      <c r="G243" s="5" t="n">
        <v>618</v>
      </c>
      <c r="H243" s="5" t="n">
        <v>751</v>
      </c>
      <c r="I243" s="5" t="n">
        <v>729</v>
      </c>
      <c r="J243" s="5" t="n">
        <v>722</v>
      </c>
      <c r="K243" s="5" t="n">
        <v>765</v>
      </c>
      <c r="L243" s="5" t="n">
        <v>592</v>
      </c>
      <c r="M243" s="5" t="n">
        <v>530</v>
      </c>
      <c r="N243" s="5" t="n">
        <v>619</v>
      </c>
      <c r="O243" s="5" t="n">
        <v>639</v>
      </c>
      <c r="P243" s="5" t="n">
        <v>654</v>
      </c>
      <c r="Q243" s="5" t="n">
        <v>375</v>
      </c>
      <c r="R243" s="5" t="n">
        <v>392</v>
      </c>
      <c r="S243" s="5" t="n">
        <v>457</v>
      </c>
      <c r="T243" s="5" t="n">
        <v>400</v>
      </c>
      <c r="U243" s="5" t="n">
        <v>379</v>
      </c>
      <c r="V243" s="5" t="n">
        <v>389</v>
      </c>
      <c r="W243" s="5" t="n">
        <v>381</v>
      </c>
      <c r="X243" s="5" t="n">
        <v>315</v>
      </c>
      <c r="Y243" s="14">
        <f>IF(AND(ISNUMBER(C243),C243&gt;0,ISNUMBER(X243)),X243/C243-1,"")</f>
        <v/>
      </c>
    </row>
    <row r="244">
      <c r="A244" s="12" t="inlineStr">
        <is>
          <t>316</t>
        </is>
      </c>
      <c r="B244" s="13" t="inlineStr">
        <is>
          <t>General</t>
        </is>
      </c>
      <c r="C244" s="5" t="n"/>
      <c r="D244" s="5" t="n">
        <v>4</v>
      </c>
      <c r="E244" s="5" t="n">
        <v>4</v>
      </c>
      <c r="F244" s="5" t="n">
        <v>8</v>
      </c>
      <c r="G244" s="5" t="n">
        <v>8</v>
      </c>
      <c r="H244" s="5" t="n">
        <v>5</v>
      </c>
      <c r="I244" s="5" t="n">
        <v>8</v>
      </c>
      <c r="J244" s="5" t="n">
        <v>3</v>
      </c>
      <c r="K244" s="5" t="n">
        <v>6</v>
      </c>
      <c r="L244" s="5" t="n">
        <v>3</v>
      </c>
      <c r="M244" s="5" t="n">
        <v>12</v>
      </c>
      <c r="N244" s="5" t="n">
        <v>6</v>
      </c>
      <c r="O244" s="5" t="n">
        <v>6</v>
      </c>
      <c r="P244" s="5" t="n">
        <v>3</v>
      </c>
      <c r="Q244" s="5" t="n">
        <v>6</v>
      </c>
      <c r="R244" s="5" t="n">
        <v>3</v>
      </c>
      <c r="S244" s="5" t="n"/>
      <c r="T244" s="5" t="n"/>
      <c r="U244" s="5" t="n">
        <v>12</v>
      </c>
      <c r="V244" s="5" t="n">
        <v>6</v>
      </c>
      <c r="W244" s="5" t="n">
        <v>6</v>
      </c>
      <c r="X244" s="5" t="n">
        <v>3</v>
      </c>
      <c r="Y244" s="14">
        <f>IF(AND(ISNUMBER(C244),C244&gt;0,ISNUMBER(X244)),X244/C244-1,"")</f>
        <v/>
      </c>
    </row>
    <row r="245">
      <c r="A245" s="12" t="inlineStr">
        <is>
          <t>317</t>
        </is>
      </c>
      <c r="B245" s="13" t="inlineStr">
        <is>
          <t>General</t>
        </is>
      </c>
      <c r="C245" s="5" t="n">
        <v>357</v>
      </c>
      <c r="D245" s="5" t="n">
        <v>277</v>
      </c>
      <c r="E245" s="5" t="n">
        <v>295</v>
      </c>
      <c r="F245" s="5" t="n">
        <v>348</v>
      </c>
      <c r="G245" s="5" t="n">
        <v>325</v>
      </c>
      <c r="H245" s="5" t="n">
        <v>269</v>
      </c>
      <c r="I245" s="5" t="n">
        <v>359</v>
      </c>
      <c r="J245" s="5" t="n">
        <v>349</v>
      </c>
      <c r="K245" s="5" t="n">
        <v>530</v>
      </c>
      <c r="L245" s="5" t="n">
        <v>506</v>
      </c>
      <c r="M245" s="5" t="n">
        <v>557</v>
      </c>
      <c r="N245" s="5" t="n">
        <v>577</v>
      </c>
      <c r="O245" s="5" t="n">
        <v>608</v>
      </c>
      <c r="P245" s="5" t="n">
        <v>637</v>
      </c>
      <c r="Q245" s="5" t="n">
        <v>569</v>
      </c>
      <c r="R245" s="5" t="n">
        <v>466</v>
      </c>
      <c r="S245" s="5" t="n">
        <v>462</v>
      </c>
      <c r="T245" s="5" t="n">
        <v>478</v>
      </c>
      <c r="U245" s="5" t="n">
        <v>424</v>
      </c>
      <c r="V245" s="5" t="n">
        <v>417</v>
      </c>
      <c r="W245" s="5" t="n">
        <v>451</v>
      </c>
      <c r="X245" s="5" t="n">
        <v>332</v>
      </c>
      <c r="Y245" s="14">
        <f>IF(AND(ISNUMBER(C245),C245&gt;0,ISNUMBER(X245)),X245/C245-1,"")</f>
        <v/>
      </c>
    </row>
    <row r="246">
      <c r="A246" s="12" t="inlineStr">
        <is>
          <t>318</t>
        </is>
      </c>
      <c r="B246" s="13" t="inlineStr">
        <is>
          <t>General</t>
        </is>
      </c>
      <c r="C246" s="5" t="n">
        <v>11</v>
      </c>
      <c r="D246" s="5" t="n">
        <v>16</v>
      </c>
      <c r="E246" s="5" t="n">
        <v>16</v>
      </c>
      <c r="F246" s="5" t="n">
        <v>18</v>
      </c>
      <c r="G246" s="5" t="n">
        <v>35</v>
      </c>
      <c r="H246" s="5" t="n">
        <v>20</v>
      </c>
      <c r="I246" s="5" t="n">
        <v>13</v>
      </c>
      <c r="J246" s="5" t="n">
        <v>6</v>
      </c>
      <c r="K246" s="5" t="n">
        <v>25</v>
      </c>
      <c r="L246" s="5" t="n">
        <v>9</v>
      </c>
      <c r="M246" s="5" t="n">
        <v>8</v>
      </c>
      <c r="N246" s="5" t="n">
        <v>18</v>
      </c>
      <c r="O246" s="5" t="n">
        <v>17</v>
      </c>
      <c r="P246" s="5" t="n">
        <v>27</v>
      </c>
      <c r="Q246" s="5" t="n">
        <v>19</v>
      </c>
      <c r="R246" s="5" t="n">
        <v>17</v>
      </c>
      <c r="S246" s="5" t="n">
        <v>10</v>
      </c>
      <c r="T246" s="5" t="n">
        <v>21</v>
      </c>
      <c r="U246" s="5" t="n">
        <v>20</v>
      </c>
      <c r="V246" s="5" t="n">
        <v>20</v>
      </c>
      <c r="W246" s="5" t="n">
        <v>12</v>
      </c>
      <c r="X246" s="5" t="n">
        <v>21</v>
      </c>
      <c r="Y246" s="14">
        <f>IF(AND(ISNUMBER(C246),C246&gt;0,ISNUMBER(X246)),X246/C246-1,"")</f>
        <v/>
      </c>
    </row>
    <row r="247">
      <c r="A247" s="12" t="inlineStr">
        <is>
          <t>319</t>
        </is>
      </c>
      <c r="B247" s="13" t="inlineStr">
        <is>
          <t>General</t>
        </is>
      </c>
      <c r="C247" s="5" t="n">
        <v>27</v>
      </c>
      <c r="D247" s="5" t="n">
        <v>43</v>
      </c>
      <c r="E247" s="5" t="n">
        <v>46</v>
      </c>
      <c r="F247" s="5" t="n">
        <v>32</v>
      </c>
      <c r="G247" s="5" t="n">
        <v>10</v>
      </c>
      <c r="H247" s="5" t="n">
        <v>22</v>
      </c>
      <c r="I247" s="5" t="n">
        <v>9</v>
      </c>
      <c r="J247" s="5" t="n">
        <v>27</v>
      </c>
      <c r="K247" s="5" t="n">
        <v>14</v>
      </c>
      <c r="L247" s="5" t="n">
        <v>16</v>
      </c>
      <c r="M247" s="5" t="n">
        <v>33</v>
      </c>
      <c r="N247" s="5" t="n">
        <v>25</v>
      </c>
      <c r="O247" s="5" t="n">
        <v>48</v>
      </c>
      <c r="P247" s="5" t="n">
        <v>29</v>
      </c>
      <c r="Q247" s="5" t="n">
        <v>44</v>
      </c>
      <c r="R247" s="5" t="n">
        <v>33</v>
      </c>
      <c r="S247" s="5" t="n">
        <v>31</v>
      </c>
      <c r="T247" s="5" t="n">
        <v>19</v>
      </c>
      <c r="U247" s="5" t="n">
        <v>24</v>
      </c>
      <c r="V247" s="5" t="n">
        <v>56</v>
      </c>
      <c r="W247" s="5" t="n">
        <v>58</v>
      </c>
      <c r="X247" s="5" t="n">
        <v>77</v>
      </c>
      <c r="Y247" s="14">
        <f>IF(AND(ISNUMBER(C247),C247&gt;0,ISNUMBER(X247)),X247/C247-1,"")</f>
        <v/>
      </c>
    </row>
    <row r="248">
      <c r="A248" s="12" t="inlineStr">
        <is>
          <t>320</t>
        </is>
      </c>
      <c r="B248" s="13" t="inlineStr">
        <is>
          <t>General</t>
        </is>
      </c>
      <c r="C248" s="5" t="n">
        <v>678</v>
      </c>
      <c r="D248" s="5" t="n">
        <v>693</v>
      </c>
      <c r="E248" s="5" t="n">
        <v>878</v>
      </c>
      <c r="F248" s="5" t="n">
        <v>839</v>
      </c>
      <c r="G248" s="5" t="n">
        <v>934</v>
      </c>
      <c r="H248" s="5" t="n">
        <v>781</v>
      </c>
      <c r="I248" s="5" t="n">
        <v>720</v>
      </c>
      <c r="J248" s="5" t="n">
        <v>700</v>
      </c>
      <c r="K248" s="5" t="n">
        <v>672</v>
      </c>
      <c r="L248" s="5" t="n">
        <v>575</v>
      </c>
      <c r="M248" s="5" t="n">
        <v>593</v>
      </c>
      <c r="N248" s="5" t="n">
        <v>643</v>
      </c>
      <c r="O248" s="5" t="n">
        <v>547</v>
      </c>
      <c r="P248" s="5" t="n">
        <v>713</v>
      </c>
      <c r="Q248" s="5" t="n">
        <v>654</v>
      </c>
      <c r="R248" s="5" t="n">
        <v>547</v>
      </c>
      <c r="S248" s="5" t="n">
        <v>623</v>
      </c>
      <c r="T248" s="5" t="n">
        <v>552</v>
      </c>
      <c r="U248" s="5" t="n">
        <v>921</v>
      </c>
      <c r="V248" s="5" t="n">
        <v>829</v>
      </c>
      <c r="W248" s="5" t="n">
        <v>997</v>
      </c>
      <c r="X248" s="5" t="n">
        <v>909</v>
      </c>
      <c r="Y248" s="14">
        <f>IF(AND(ISNUMBER(C248),C248&gt;0,ISNUMBER(X248)),X248/C248-1,"")</f>
        <v/>
      </c>
    </row>
    <row r="249">
      <c r="A249" s="12" t="inlineStr">
        <is>
          <t>321</t>
        </is>
      </c>
      <c r="B249" s="13" t="inlineStr">
        <is>
          <t>General</t>
        </is>
      </c>
      <c r="C249" s="5" t="n">
        <v>28</v>
      </c>
      <c r="D249" s="5" t="n">
        <v>37</v>
      </c>
      <c r="E249" s="5" t="n">
        <v>35</v>
      </c>
      <c r="F249" s="5" t="n">
        <v>33</v>
      </c>
      <c r="G249" s="5" t="n">
        <v>48</v>
      </c>
      <c r="H249" s="5" t="n">
        <v>69</v>
      </c>
      <c r="I249" s="5" t="n">
        <v>37</v>
      </c>
      <c r="J249" s="5" t="n">
        <v>11</v>
      </c>
      <c r="K249" s="5" t="n">
        <v>33</v>
      </c>
      <c r="L249" s="5" t="n">
        <v>25</v>
      </c>
      <c r="M249" s="5" t="n">
        <v>20</v>
      </c>
      <c r="N249" s="5" t="n">
        <v>49</v>
      </c>
      <c r="O249" s="5" t="n">
        <v>53</v>
      </c>
      <c r="P249" s="5" t="n">
        <v>54</v>
      </c>
      <c r="Q249" s="5" t="n">
        <v>29</v>
      </c>
      <c r="R249" s="5" t="n">
        <v>48</v>
      </c>
      <c r="S249" s="5" t="n">
        <v>22</v>
      </c>
      <c r="T249" s="5" t="n">
        <v>41</v>
      </c>
      <c r="U249" s="5" t="n">
        <v>40</v>
      </c>
      <c r="V249" s="5" t="n">
        <v>81</v>
      </c>
      <c r="W249" s="5" t="n">
        <v>45</v>
      </c>
      <c r="X249" s="5" t="n">
        <v>50</v>
      </c>
      <c r="Y249" s="14">
        <f>IF(AND(ISNUMBER(C249),C249&gt;0,ISNUMBER(X249)),X249/C249-1,"")</f>
        <v/>
      </c>
    </row>
    <row r="250">
      <c r="A250" s="12" t="inlineStr">
        <is>
          <t>322</t>
        </is>
      </c>
      <c r="B250" s="13" t="inlineStr">
        <is>
          <t>General</t>
        </is>
      </c>
      <c r="C250" s="5" t="n">
        <v>1010</v>
      </c>
      <c r="D250" s="5" t="n">
        <v>1020</v>
      </c>
      <c r="E250" s="5" t="n">
        <v>1172</v>
      </c>
      <c r="F250" s="5" t="n">
        <v>1303</v>
      </c>
      <c r="G250" s="5" t="n">
        <v>1025</v>
      </c>
      <c r="H250" s="5" t="n">
        <v>1106</v>
      </c>
      <c r="I250" s="5" t="n">
        <v>932</v>
      </c>
      <c r="J250" s="5" t="n">
        <v>906</v>
      </c>
      <c r="K250" s="5" t="n">
        <v>1153</v>
      </c>
      <c r="L250" s="5" t="n">
        <v>845</v>
      </c>
      <c r="M250" s="5" t="n">
        <v>979</v>
      </c>
      <c r="N250" s="5" t="n">
        <v>922</v>
      </c>
      <c r="O250" s="5" t="n">
        <v>818</v>
      </c>
      <c r="P250" s="5" t="n">
        <v>720</v>
      </c>
      <c r="Q250" s="5" t="n">
        <v>751</v>
      </c>
      <c r="R250" s="5" t="n">
        <v>850</v>
      </c>
      <c r="S250" s="5" t="n">
        <v>925</v>
      </c>
      <c r="T250" s="5" t="n">
        <v>675</v>
      </c>
      <c r="U250" s="5" t="n">
        <v>1072</v>
      </c>
      <c r="V250" s="5" t="n">
        <v>1022</v>
      </c>
      <c r="W250" s="5" t="n">
        <v>431</v>
      </c>
      <c r="X250" s="5" t="n">
        <v>427</v>
      </c>
      <c r="Y250" s="14">
        <f>IF(AND(ISNUMBER(C250),C250&gt;0,ISNUMBER(X250)),X250/C250-1,"")</f>
        <v/>
      </c>
    </row>
    <row r="251">
      <c r="A251" s="12" t="inlineStr">
        <is>
          <t>323</t>
        </is>
      </c>
      <c r="B251" s="13" t="inlineStr">
        <is>
          <t>General</t>
        </is>
      </c>
      <c r="C251" s="5" t="n">
        <v>22</v>
      </c>
      <c r="D251" s="5" t="n">
        <v>45</v>
      </c>
      <c r="E251" s="5" t="n">
        <v>56</v>
      </c>
      <c r="F251" s="5" t="n">
        <v>30</v>
      </c>
      <c r="G251" s="5" t="n">
        <v>36</v>
      </c>
      <c r="H251" s="5" t="n">
        <v>30</v>
      </c>
      <c r="I251" s="5" t="n">
        <v>25</v>
      </c>
      <c r="J251" s="5" t="n">
        <v>38</v>
      </c>
      <c r="K251" s="5" t="n">
        <v>14</v>
      </c>
      <c r="L251" s="5" t="n">
        <v>17</v>
      </c>
      <c r="M251" s="5" t="n">
        <v>19</v>
      </c>
      <c r="N251" s="5" t="n">
        <v>48</v>
      </c>
      <c r="O251" s="5" t="n">
        <v>9</v>
      </c>
      <c r="P251" s="5" t="n">
        <v>24</v>
      </c>
      <c r="Q251" s="5" t="n">
        <v>12</v>
      </c>
      <c r="R251" s="5" t="n">
        <v>48</v>
      </c>
      <c r="S251" s="5" t="n">
        <v>16</v>
      </c>
      <c r="T251" s="5" t="n">
        <v>22</v>
      </c>
      <c r="U251" s="5" t="n"/>
      <c r="V251" s="5" t="n"/>
      <c r="W251" s="5" t="n">
        <v>243</v>
      </c>
      <c r="X251" s="5" t="n">
        <v>271</v>
      </c>
      <c r="Y251" s="14">
        <f>IF(AND(ISNUMBER(C251),C251&gt;0,ISNUMBER(X251)),X251/C251-1,"")</f>
        <v/>
      </c>
    </row>
    <row r="252">
      <c r="A252" s="12" t="inlineStr">
        <is>
          <t>324</t>
        </is>
      </c>
      <c r="B252" s="13" t="inlineStr">
        <is>
          <t>General</t>
        </is>
      </c>
      <c r="C252" s="5" t="n">
        <v>105</v>
      </c>
      <c r="D252" s="5" t="n">
        <v>55</v>
      </c>
      <c r="E252" s="5" t="n">
        <v>81</v>
      </c>
      <c r="F252" s="5" t="n">
        <v>75</v>
      </c>
      <c r="G252" s="5" t="n">
        <v>42</v>
      </c>
      <c r="H252" s="5" t="n">
        <v>50</v>
      </c>
      <c r="I252" s="5" t="n">
        <v>36</v>
      </c>
      <c r="J252" s="5" t="n">
        <v>38</v>
      </c>
      <c r="K252" s="5" t="n">
        <v>50</v>
      </c>
      <c r="L252" s="5" t="n">
        <v>17</v>
      </c>
      <c r="M252" s="5" t="n">
        <v>47</v>
      </c>
      <c r="N252" s="5" t="n">
        <v>66</v>
      </c>
      <c r="O252" s="5" t="n">
        <v>66</v>
      </c>
      <c r="P252" s="5" t="n">
        <v>39</v>
      </c>
      <c r="Q252" s="5" t="n">
        <v>14</v>
      </c>
      <c r="R252" s="5" t="n">
        <v>65</v>
      </c>
      <c r="S252" s="5" t="n">
        <v>58</v>
      </c>
      <c r="T252" s="5" t="n">
        <v>70</v>
      </c>
      <c r="U252" s="5" t="n"/>
      <c r="V252" s="5" t="n"/>
      <c r="W252" s="5" t="n">
        <v>275</v>
      </c>
      <c r="X252" s="5" t="n">
        <v>299</v>
      </c>
      <c r="Y252" s="14">
        <f>IF(AND(ISNUMBER(C252),C252&gt;0,ISNUMBER(X252)),X252/C252-1,"")</f>
        <v/>
      </c>
    </row>
    <row r="253">
      <c r="A253" s="12" t="inlineStr">
        <is>
          <t>325</t>
        </is>
      </c>
      <c r="B253" s="4" t="inlineStr"/>
      <c r="C253" s="5" t="n">
        <v>219</v>
      </c>
      <c r="D253" s="5" t="n">
        <v>201</v>
      </c>
      <c r="E253" s="5" t="n">
        <v>219</v>
      </c>
      <c r="F253" s="5" t="n">
        <v>292</v>
      </c>
      <c r="G253" s="5" t="n">
        <v>262</v>
      </c>
      <c r="H253" s="5" t="n">
        <v>254</v>
      </c>
      <c r="I253" s="5" t="n">
        <v>265</v>
      </c>
      <c r="J253" s="5" t="n">
        <v>313</v>
      </c>
      <c r="K253" s="5" t="n">
        <v>351</v>
      </c>
      <c r="L253" s="5" t="n">
        <v>289</v>
      </c>
      <c r="M253" s="5" t="n">
        <v>389</v>
      </c>
      <c r="N253" s="5" t="n">
        <v>373</v>
      </c>
      <c r="O253" s="5" t="n">
        <v>340</v>
      </c>
      <c r="P253" s="5" t="n">
        <v>316</v>
      </c>
      <c r="Q253" s="5" t="n">
        <v>301</v>
      </c>
      <c r="R253" s="5" t="n">
        <v>362</v>
      </c>
      <c r="S253" s="5" t="n">
        <v>386</v>
      </c>
      <c r="T253" s="5" t="n">
        <v>313</v>
      </c>
      <c r="U253" s="5" t="n"/>
      <c r="V253" s="5" t="n"/>
      <c r="W253" s="5" t="n"/>
      <c r="X253" s="5" t="n"/>
      <c r="Y253" s="14">
        <f>IF(AND(ISNUMBER(C253),C253&gt;0,ISNUMBER(X253)),X253/C253-1,"")</f>
        <v/>
      </c>
    </row>
    <row r="254">
      <c r="A254" s="12" t="inlineStr">
        <is>
          <t>326</t>
        </is>
      </c>
      <c r="B254" s="4" t="inlineStr"/>
      <c r="C254" s="5" t="n">
        <v>175</v>
      </c>
      <c r="D254" s="5" t="n">
        <v>132</v>
      </c>
      <c r="E254" s="5" t="n">
        <v>193</v>
      </c>
      <c r="F254" s="5" t="n">
        <v>137</v>
      </c>
      <c r="G254" s="5" t="n">
        <v>138</v>
      </c>
      <c r="H254" s="5" t="n">
        <v>117</v>
      </c>
      <c r="I254" s="5" t="n">
        <v>112</v>
      </c>
      <c r="J254" s="5" t="n">
        <v>112</v>
      </c>
      <c r="K254" s="5" t="n">
        <v>138</v>
      </c>
      <c r="L254" s="5" t="n">
        <v>83</v>
      </c>
      <c r="M254" s="5" t="n">
        <v>122</v>
      </c>
      <c r="N254" s="5" t="n">
        <v>112</v>
      </c>
      <c r="O254" s="5" t="n">
        <v>107</v>
      </c>
      <c r="P254" s="5" t="n">
        <v>125</v>
      </c>
      <c r="Q254" s="5" t="n">
        <v>82</v>
      </c>
      <c r="R254" s="5" t="n">
        <v>145</v>
      </c>
      <c r="S254" s="5" t="n">
        <v>141</v>
      </c>
      <c r="T254" s="5" t="n">
        <v>114</v>
      </c>
      <c r="U254" s="5" t="n"/>
      <c r="V254" s="5" t="n"/>
      <c r="W254" s="5" t="n"/>
      <c r="X254" s="5" t="n"/>
      <c r="Y254" s="14">
        <f>IF(AND(ISNUMBER(C254),C254&gt;0,ISNUMBER(X254)),X254/C254-1,"")</f>
        <v/>
      </c>
    </row>
    <row r="255">
      <c r="A255" s="12" t="inlineStr">
        <is>
          <t>327</t>
        </is>
      </c>
      <c r="B255" s="4" t="inlineStr"/>
      <c r="C255" s="5" t="n">
        <v>14</v>
      </c>
      <c r="D255" s="5" t="n">
        <v>8</v>
      </c>
      <c r="E255" s="5" t="n">
        <v>19</v>
      </c>
      <c r="F255" s="5" t="n">
        <v>39</v>
      </c>
      <c r="G255" s="5" t="n">
        <v>20</v>
      </c>
      <c r="H255" s="5" t="n">
        <v>21</v>
      </c>
      <c r="I255" s="5" t="n">
        <v>6</v>
      </c>
      <c r="J255" s="5" t="n">
        <v>11</v>
      </c>
      <c r="K255" s="5" t="n">
        <v>6</v>
      </c>
      <c r="L255" s="5" t="n">
        <v>20</v>
      </c>
      <c r="M255" s="5" t="n">
        <v>29</v>
      </c>
      <c r="N255" s="5" t="n">
        <v>14</v>
      </c>
      <c r="O255" s="5" t="n">
        <v>21</v>
      </c>
      <c r="P255" s="5" t="n">
        <v>15</v>
      </c>
      <c r="Q255" s="5" t="n">
        <v>16</v>
      </c>
      <c r="R255" s="5" t="n">
        <v>41</v>
      </c>
      <c r="S255" s="5" t="n">
        <v>23</v>
      </c>
      <c r="T255" s="5" t="n">
        <v>22</v>
      </c>
      <c r="U255" s="5" t="n"/>
      <c r="V255" s="5" t="n"/>
      <c r="W255" s="5" t="n"/>
      <c r="X255" s="5" t="n"/>
      <c r="Y255" s="14">
        <f>IF(AND(ISNUMBER(C255),C255&gt;0,ISNUMBER(X255)),X255/C255-1,"")</f>
        <v/>
      </c>
    </row>
    <row r="256">
      <c r="A256" s="12" t="inlineStr">
        <is>
          <t>328</t>
        </is>
      </c>
      <c r="B256" s="4" t="inlineStr"/>
      <c r="C256" s="5" t="n">
        <v>9</v>
      </c>
      <c r="D256" s="5" t="n">
        <v>23</v>
      </c>
      <c r="E256" s="5" t="n">
        <v>11</v>
      </c>
      <c r="F256" s="5" t="n">
        <v>18</v>
      </c>
      <c r="G256" s="5" t="n">
        <v>2</v>
      </c>
      <c r="H256" s="5" t="n"/>
      <c r="I256" s="5" t="n">
        <v>14</v>
      </c>
      <c r="J256" s="5" t="n">
        <v>12</v>
      </c>
      <c r="K256" s="5" t="n">
        <v>8</v>
      </c>
      <c r="L256" s="5" t="n">
        <v>8</v>
      </c>
      <c r="M256" s="5" t="n"/>
      <c r="N256" s="5" t="n">
        <v>16</v>
      </c>
      <c r="O256" s="5" t="n">
        <v>9</v>
      </c>
      <c r="P256" s="5" t="n">
        <v>26</v>
      </c>
      <c r="Q256" s="5" t="n">
        <v>6</v>
      </c>
      <c r="R256" s="5" t="n">
        <v>10</v>
      </c>
      <c r="S256" s="5" t="n">
        <v>13</v>
      </c>
      <c r="T256" s="5" t="n">
        <v>4</v>
      </c>
      <c r="U256" s="5" t="n"/>
      <c r="V256" s="5" t="n"/>
      <c r="W256" s="5" t="n"/>
      <c r="X256" s="5" t="n"/>
      <c r="Y256" s="14">
        <f>IF(AND(ISNUMBER(C256),C256&gt;0,ISNUMBER(X256)),X256/C256-1,"")</f>
        <v/>
      </c>
    </row>
    <row r="257">
      <c r="A257" s="12" t="inlineStr">
        <is>
          <t>329</t>
        </is>
      </c>
      <c r="B257" s="13" t="inlineStr">
        <is>
          <t>General</t>
        </is>
      </c>
      <c r="C257" s="5" t="n">
        <v>61</v>
      </c>
      <c r="D257" s="5" t="n">
        <v>68</v>
      </c>
      <c r="E257" s="5" t="n">
        <v>88</v>
      </c>
      <c r="F257" s="5" t="n">
        <v>42</v>
      </c>
      <c r="G257" s="5" t="n">
        <v>42</v>
      </c>
      <c r="H257" s="5" t="n">
        <v>69</v>
      </c>
      <c r="I257" s="5" t="n">
        <v>44</v>
      </c>
      <c r="J257" s="5" t="n">
        <v>58</v>
      </c>
      <c r="K257" s="5" t="n">
        <v>59</v>
      </c>
      <c r="L257" s="5" t="n">
        <v>45</v>
      </c>
      <c r="M257" s="5" t="n">
        <v>76</v>
      </c>
      <c r="N257" s="5" t="n">
        <v>82</v>
      </c>
      <c r="O257" s="5" t="n">
        <v>89</v>
      </c>
      <c r="P257" s="5" t="n">
        <v>81</v>
      </c>
      <c r="Q257" s="5" t="n">
        <v>87</v>
      </c>
      <c r="R257" s="5" t="n">
        <v>62</v>
      </c>
      <c r="S257" s="5" t="n">
        <v>61</v>
      </c>
      <c r="T257" s="5" t="n">
        <v>24</v>
      </c>
      <c r="U257" s="5" t="n">
        <v>38</v>
      </c>
      <c r="V257" s="5" t="n">
        <v>68</v>
      </c>
      <c r="W257" s="5" t="n">
        <v>40</v>
      </c>
      <c r="X257" s="5" t="n">
        <v>35</v>
      </c>
      <c r="Y257" s="14">
        <f>IF(AND(ISNUMBER(C257),C257&gt;0,ISNUMBER(X257)),X257/C257-1,"")</f>
        <v/>
      </c>
    </row>
    <row r="258">
      <c r="A258" s="12" t="inlineStr">
        <is>
          <t>330</t>
        </is>
      </c>
      <c r="B258" s="4" t="inlineStr"/>
      <c r="C258" s="5" t="n">
        <v>298</v>
      </c>
      <c r="D258" s="5" t="n">
        <v>216</v>
      </c>
      <c r="E258" s="5" t="n">
        <v>303</v>
      </c>
      <c r="F258" s="5" t="n">
        <v>267</v>
      </c>
      <c r="G258" s="5" t="n">
        <v>214</v>
      </c>
      <c r="H258" s="5" t="n">
        <v>159</v>
      </c>
      <c r="I258" s="5" t="n">
        <v>171</v>
      </c>
      <c r="J258" s="5" t="n">
        <v>142</v>
      </c>
      <c r="K258" s="5" t="n">
        <v>114</v>
      </c>
      <c r="L258" s="5" t="n">
        <v>125</v>
      </c>
      <c r="M258" s="5" t="n">
        <v>140</v>
      </c>
      <c r="N258" s="5" t="n">
        <v>160</v>
      </c>
      <c r="O258" s="5" t="n">
        <v>181</v>
      </c>
      <c r="P258" s="5" t="n">
        <v>140</v>
      </c>
      <c r="Q258" s="5" t="n">
        <v>176</v>
      </c>
      <c r="R258" s="5" t="n">
        <v>131</v>
      </c>
      <c r="S258" s="5" t="n">
        <v>203</v>
      </c>
      <c r="T258" s="5" t="n">
        <v>168</v>
      </c>
      <c r="U258" s="5" t="n"/>
      <c r="V258" s="5" t="n"/>
      <c r="W258" s="5" t="n"/>
      <c r="X258" s="5" t="n"/>
      <c r="Y258" s="14">
        <f>IF(AND(ISNUMBER(C258),C258&gt;0,ISNUMBER(X258)),X258/C258-1,"")</f>
        <v/>
      </c>
    </row>
    <row r="259">
      <c r="A259" s="12" t="inlineStr">
        <is>
          <t>331</t>
        </is>
      </c>
      <c r="B259" s="13" t="inlineStr">
        <is>
          <t>General</t>
        </is>
      </c>
      <c r="C259" s="5" t="n">
        <v>194</v>
      </c>
      <c r="D259" s="5" t="n">
        <v>170</v>
      </c>
      <c r="E259" s="5" t="n">
        <v>260</v>
      </c>
      <c r="F259" s="5" t="n">
        <v>148</v>
      </c>
      <c r="G259" s="5" t="n">
        <v>164</v>
      </c>
      <c r="H259" s="5" t="n">
        <v>146</v>
      </c>
      <c r="I259" s="5" t="n">
        <v>153</v>
      </c>
      <c r="J259" s="5" t="n">
        <v>162</v>
      </c>
      <c r="K259" s="5" t="n">
        <v>162</v>
      </c>
      <c r="L259" s="5" t="n">
        <v>199</v>
      </c>
      <c r="M259" s="5" t="n">
        <v>200</v>
      </c>
      <c r="N259" s="5" t="n">
        <v>202</v>
      </c>
      <c r="O259" s="5" t="n">
        <v>232</v>
      </c>
      <c r="P259" s="5" t="n">
        <v>189</v>
      </c>
      <c r="Q259" s="5" t="n">
        <v>197</v>
      </c>
      <c r="R259" s="5" t="n">
        <v>166</v>
      </c>
      <c r="S259" s="5" t="n">
        <v>209</v>
      </c>
      <c r="T259" s="5" t="n">
        <v>135</v>
      </c>
      <c r="U259" s="5" t="n">
        <v>170</v>
      </c>
      <c r="V259" s="5" t="n">
        <v>153</v>
      </c>
      <c r="W259" s="5" t="n">
        <v>196</v>
      </c>
      <c r="X259" s="5" t="n">
        <v>161</v>
      </c>
      <c r="Y259" s="14">
        <f>IF(AND(ISNUMBER(C259),C259&gt;0,ISNUMBER(X259)),X259/C259-1,"")</f>
        <v/>
      </c>
    </row>
    <row r="260">
      <c r="A260" s="12" t="inlineStr">
        <is>
          <t>332</t>
        </is>
      </c>
      <c r="B260" s="4" t="inlineStr"/>
      <c r="C260" s="5" t="n">
        <v>27</v>
      </c>
      <c r="D260" s="5" t="n">
        <v>27</v>
      </c>
      <c r="E260" s="5" t="n">
        <v>36</v>
      </c>
      <c r="F260" s="5" t="n">
        <v>19</v>
      </c>
      <c r="G260" s="5" t="n">
        <v>17</v>
      </c>
      <c r="H260" s="5" t="n">
        <v>9</v>
      </c>
      <c r="I260" s="5" t="n">
        <v>31</v>
      </c>
      <c r="J260" s="5" t="n">
        <v>22</v>
      </c>
      <c r="K260" s="5" t="n">
        <v>35</v>
      </c>
      <c r="L260" s="5" t="n">
        <v>3</v>
      </c>
      <c r="M260" s="5" t="n">
        <v>10</v>
      </c>
      <c r="N260" s="5" t="n">
        <v>23</v>
      </c>
      <c r="O260" s="5" t="n">
        <v>24</v>
      </c>
      <c r="P260" s="5" t="n">
        <v>9</v>
      </c>
      <c r="Q260" s="5" t="n">
        <v>6</v>
      </c>
      <c r="R260" s="5" t="n">
        <v>14</v>
      </c>
      <c r="S260" s="5" t="n">
        <v>7</v>
      </c>
      <c r="T260" s="5" t="n">
        <v>21</v>
      </c>
      <c r="U260" s="5" t="n"/>
      <c r="V260" s="5" t="n"/>
      <c r="W260" s="5" t="n"/>
      <c r="X260" s="5" t="n"/>
      <c r="Y260" s="14">
        <f>IF(AND(ISNUMBER(C260),C260&gt;0,ISNUMBER(X260)),X260/C260-1,"")</f>
        <v/>
      </c>
    </row>
    <row r="261">
      <c r="A261" s="12" t="inlineStr">
        <is>
          <t>333</t>
        </is>
      </c>
      <c r="B261" s="4" t="inlineStr"/>
      <c r="C261" s="5" t="n">
        <v>835</v>
      </c>
      <c r="D261" s="5" t="n">
        <v>1045</v>
      </c>
      <c r="E261" s="5" t="n">
        <v>1233</v>
      </c>
      <c r="F261" s="5" t="n">
        <v>1256</v>
      </c>
      <c r="G261" s="5" t="n">
        <v>1085</v>
      </c>
      <c r="H261" s="5" t="n">
        <v>857</v>
      </c>
      <c r="I261" s="5" t="n">
        <v>717</v>
      </c>
      <c r="J261" s="5" t="n">
        <v>730</v>
      </c>
      <c r="K261" s="5" t="n">
        <v>759</v>
      </c>
      <c r="L261" s="5" t="n">
        <v>690</v>
      </c>
      <c r="M261" s="5" t="n">
        <v>613</v>
      </c>
      <c r="N261" s="5" t="n">
        <v>640</v>
      </c>
      <c r="O261" s="5" t="n">
        <v>754</v>
      </c>
      <c r="P261" s="5" t="n">
        <v>680</v>
      </c>
      <c r="Q261" s="5" t="n">
        <v>671</v>
      </c>
      <c r="R261" s="5" t="n">
        <v>644</v>
      </c>
      <c r="S261" s="5" t="n">
        <v>703</v>
      </c>
      <c r="T261" s="5" t="n">
        <v>494</v>
      </c>
      <c r="U261" s="5" t="n"/>
      <c r="V261" s="5" t="n"/>
      <c r="W261" s="5" t="n"/>
      <c r="X261" s="5" t="n"/>
      <c r="Y261" s="14">
        <f>IF(AND(ISNUMBER(C261),C261&gt;0,ISNUMBER(X261)),X261/C261-1,"")</f>
        <v/>
      </c>
    </row>
    <row r="262">
      <c r="A262" s="12" t="inlineStr">
        <is>
          <t>334</t>
        </is>
      </c>
      <c r="B262" s="4" t="inlineStr"/>
      <c r="C262" s="5" t="n"/>
      <c r="D262" s="5" t="n"/>
      <c r="E262" s="5" t="n"/>
      <c r="F262" s="5" t="n"/>
      <c r="G262" s="5" t="n"/>
      <c r="H262" s="5" t="n"/>
      <c r="I262" s="5" t="n">
        <v>11</v>
      </c>
      <c r="J262" s="5" t="n">
        <v>6</v>
      </c>
      <c r="K262" s="5" t="n">
        <v>6</v>
      </c>
      <c r="L262" s="5" t="n">
        <v>6</v>
      </c>
      <c r="M262" s="5" t="n">
        <v>11</v>
      </c>
      <c r="N262" s="5" t="n">
        <v>11</v>
      </c>
      <c r="O262" s="5" t="n"/>
      <c r="P262" s="5" t="n">
        <v>6</v>
      </c>
      <c r="Q262" s="5" t="n">
        <v>23</v>
      </c>
      <c r="R262" s="5" t="n">
        <v>7</v>
      </c>
      <c r="S262" s="5" t="n">
        <v>17</v>
      </c>
      <c r="T262" s="5" t="n">
        <v>8</v>
      </c>
      <c r="U262" s="5" t="n"/>
      <c r="V262" s="5" t="n"/>
      <c r="W262" s="5" t="n"/>
      <c r="X262" s="5" t="n"/>
      <c r="Y262" s="14">
        <f>IF(AND(ISNUMBER(C262),C262&gt;0,ISNUMBER(X262)),X262/C262-1,"")</f>
        <v/>
      </c>
    </row>
    <row r="263">
      <c r="A263" s="12" t="inlineStr">
        <is>
          <t>335</t>
        </is>
      </c>
      <c r="B263" s="13" t="inlineStr">
        <is>
          <t>General</t>
        </is>
      </c>
      <c r="C263" s="5" t="n">
        <v>30</v>
      </c>
      <c r="D263" s="5" t="n">
        <v>30</v>
      </c>
      <c r="E263" s="5" t="n">
        <v>36</v>
      </c>
      <c r="F263" s="5" t="n">
        <v>25</v>
      </c>
      <c r="G263" s="5" t="n">
        <v>28</v>
      </c>
      <c r="H263" s="5" t="n">
        <v>43</v>
      </c>
      <c r="I263" s="5" t="n">
        <v>37</v>
      </c>
      <c r="J263" s="5" t="n">
        <v>46</v>
      </c>
      <c r="K263" s="5" t="n">
        <v>32</v>
      </c>
      <c r="L263" s="5" t="n">
        <v>49</v>
      </c>
      <c r="M263" s="5" t="n">
        <v>54</v>
      </c>
      <c r="N263" s="5" t="n">
        <v>77</v>
      </c>
      <c r="O263" s="5" t="n">
        <v>43</v>
      </c>
      <c r="P263" s="5" t="n">
        <v>53</v>
      </c>
      <c r="Q263" s="5" t="n">
        <v>9</v>
      </c>
      <c r="R263" s="5" t="n">
        <v>37</v>
      </c>
      <c r="S263" s="5" t="n">
        <v>37</v>
      </c>
      <c r="T263" s="5" t="n">
        <v>39</v>
      </c>
      <c r="U263" s="5" t="n">
        <v>85</v>
      </c>
      <c r="V263" s="5" t="n">
        <v>40</v>
      </c>
      <c r="W263" s="5" t="n">
        <v>74</v>
      </c>
      <c r="X263" s="5" t="n">
        <v>74</v>
      </c>
      <c r="Y263" s="14">
        <f>IF(AND(ISNUMBER(C263),C263&gt;0,ISNUMBER(X263)),X263/C263-1,"")</f>
        <v/>
      </c>
    </row>
    <row r="264">
      <c r="A264" s="12" t="inlineStr">
        <is>
          <t>339</t>
        </is>
      </c>
      <c r="B264" s="13" t="inlineStr">
        <is>
          <t>General</t>
        </is>
      </c>
      <c r="C264" s="5" t="n">
        <v>104</v>
      </c>
      <c r="D264" s="5" t="n">
        <v>125</v>
      </c>
      <c r="E264" s="5" t="n">
        <v>135</v>
      </c>
      <c r="F264" s="5" t="n">
        <v>127</v>
      </c>
      <c r="G264" s="5" t="n">
        <v>57</v>
      </c>
      <c r="H264" s="5" t="n">
        <v>79</v>
      </c>
      <c r="I264" s="5" t="n">
        <v>67</v>
      </c>
      <c r="J264" s="5" t="n">
        <v>52</v>
      </c>
      <c r="K264" s="5" t="n">
        <v>98</v>
      </c>
      <c r="L264" s="5" t="n">
        <v>81</v>
      </c>
      <c r="M264" s="5" t="n">
        <v>84</v>
      </c>
      <c r="N264" s="5" t="n">
        <v>46</v>
      </c>
      <c r="O264" s="5" t="n">
        <v>53</v>
      </c>
      <c r="P264" s="5" t="n">
        <v>61</v>
      </c>
      <c r="Q264" s="5" t="n">
        <v>50</v>
      </c>
      <c r="R264" s="5" t="n">
        <v>66</v>
      </c>
      <c r="S264" s="5" t="n">
        <v>33</v>
      </c>
      <c r="T264" s="5" t="n">
        <v>50</v>
      </c>
      <c r="U264" s="5" t="n">
        <v>70</v>
      </c>
      <c r="V264" s="5" t="n">
        <v>57</v>
      </c>
      <c r="W264" s="5" t="n">
        <v>57</v>
      </c>
      <c r="X264" s="5" t="n">
        <v>69</v>
      </c>
      <c r="Y264" s="14">
        <f>IF(AND(ISNUMBER(C264),C264&gt;0,ISNUMBER(X264)),X264/C264-1,"")</f>
        <v/>
      </c>
    </row>
    <row r="265">
      <c r="A265" s="12" t="inlineStr">
        <is>
          <t>340</t>
        </is>
      </c>
      <c r="B265" s="13" t="inlineStr">
        <is>
          <t>General</t>
        </is>
      </c>
      <c r="C265" s="5" t="n">
        <v>581</v>
      </c>
      <c r="D265" s="5" t="n">
        <v>498</v>
      </c>
      <c r="E265" s="5" t="n">
        <v>987</v>
      </c>
      <c r="F265" s="5" t="n">
        <v>942</v>
      </c>
      <c r="G265" s="5" t="n">
        <v>637</v>
      </c>
      <c r="H265" s="5" t="n">
        <v>691</v>
      </c>
      <c r="I265" s="5" t="n">
        <v>743</v>
      </c>
      <c r="J265" s="5" t="n">
        <v>546</v>
      </c>
      <c r="K265" s="5" t="n">
        <v>754</v>
      </c>
      <c r="L265" s="5" t="n">
        <v>650</v>
      </c>
      <c r="M265" s="5" t="n">
        <v>788</v>
      </c>
      <c r="N265" s="5" t="n">
        <v>691</v>
      </c>
      <c r="O265" s="5" t="n">
        <v>772</v>
      </c>
      <c r="P265" s="5" t="n">
        <v>723</v>
      </c>
      <c r="Q265" s="5" t="n">
        <v>671</v>
      </c>
      <c r="R265" s="5" t="n">
        <v>553</v>
      </c>
      <c r="S265" s="5" t="n">
        <v>636</v>
      </c>
      <c r="T265" s="5" t="n">
        <v>444</v>
      </c>
      <c r="U265" s="5" t="n">
        <v>399</v>
      </c>
      <c r="V265" s="5" t="n">
        <v>424</v>
      </c>
      <c r="W265" s="5" t="n">
        <v>374</v>
      </c>
      <c r="X265" s="5" t="n">
        <v>331</v>
      </c>
      <c r="Y265" s="14">
        <f>IF(AND(ISNUMBER(C265),C265&gt;0,ISNUMBER(X265)),X265/C265-1,"")</f>
        <v/>
      </c>
    </row>
    <row r="266">
      <c r="A266" s="12" t="inlineStr">
        <is>
          <t>341</t>
        </is>
      </c>
      <c r="B266" s="4" t="inlineStr"/>
      <c r="C266" s="5" t="n">
        <v>38</v>
      </c>
      <c r="D266" s="5" t="n">
        <v>22</v>
      </c>
      <c r="E266" s="5" t="n">
        <v>19</v>
      </c>
      <c r="F266" s="5" t="n">
        <v>52</v>
      </c>
      <c r="G266" s="5" t="n">
        <v>22</v>
      </c>
      <c r="H266" s="5" t="n">
        <v>21</v>
      </c>
      <c r="I266" s="5" t="n">
        <v>34</v>
      </c>
      <c r="J266" s="5" t="n">
        <v>25</v>
      </c>
      <c r="K266" s="5" t="n">
        <v>38</v>
      </c>
      <c r="L266" s="5" t="n">
        <v>17</v>
      </c>
      <c r="M266" s="5" t="n">
        <v>28</v>
      </c>
      <c r="N266" s="5" t="n">
        <v>28</v>
      </c>
      <c r="O266" s="5" t="n">
        <v>64</v>
      </c>
      <c r="P266" s="5" t="n">
        <v>37</v>
      </c>
      <c r="Q266" s="5" t="n">
        <v>35</v>
      </c>
      <c r="R266" s="5" t="n">
        <v>17</v>
      </c>
      <c r="S266" s="5" t="n">
        <v>36</v>
      </c>
      <c r="T266" s="5" t="n">
        <v>58</v>
      </c>
      <c r="U266" s="5" t="n"/>
      <c r="V266" s="5" t="n"/>
      <c r="W266" s="5" t="n"/>
      <c r="X266" s="5" t="n"/>
      <c r="Y266" s="14">
        <f>IF(AND(ISNUMBER(C266),C266&gt;0,ISNUMBER(X266)),X266/C266-1,"")</f>
        <v/>
      </c>
    </row>
    <row r="267">
      <c r="A267" s="12" t="inlineStr">
        <is>
          <t>343</t>
        </is>
      </c>
      <c r="B267" s="13" t="inlineStr">
        <is>
          <t>General</t>
        </is>
      </c>
      <c r="C267" s="5" t="n">
        <v>68</v>
      </c>
      <c r="D267" s="5" t="n">
        <v>86</v>
      </c>
      <c r="E267" s="5" t="n">
        <v>102</v>
      </c>
      <c r="F267" s="5" t="n">
        <v>81</v>
      </c>
      <c r="G267" s="5" t="n">
        <v>61</v>
      </c>
      <c r="H267" s="5" t="n">
        <v>69</v>
      </c>
      <c r="I267" s="5" t="n">
        <v>77</v>
      </c>
      <c r="J267" s="5" t="n">
        <v>76</v>
      </c>
      <c r="K267" s="5" t="n">
        <v>74</v>
      </c>
      <c r="L267" s="5" t="n">
        <v>57</v>
      </c>
      <c r="M267" s="5" t="n">
        <v>48</v>
      </c>
      <c r="N267" s="5" t="n">
        <v>85</v>
      </c>
      <c r="O267" s="5" t="n">
        <v>55</v>
      </c>
      <c r="P267" s="5" t="n">
        <v>86</v>
      </c>
      <c r="Q267" s="5" t="n">
        <v>31</v>
      </c>
      <c r="R267" s="5" t="n">
        <v>33</v>
      </c>
      <c r="S267" s="5" t="n">
        <v>67</v>
      </c>
      <c r="T267" s="5" t="n">
        <v>50</v>
      </c>
      <c r="U267" s="5" t="n">
        <v>54</v>
      </c>
      <c r="V267" s="5" t="n">
        <v>66</v>
      </c>
      <c r="W267" s="5" t="n">
        <v>57</v>
      </c>
      <c r="X267" s="5" t="n">
        <v>52</v>
      </c>
      <c r="Y267" s="14">
        <f>IF(AND(ISNUMBER(C267),C267&gt;0,ISNUMBER(X267)),X267/C267-1,"")</f>
        <v/>
      </c>
    </row>
    <row r="268">
      <c r="A268" s="12" t="inlineStr">
        <is>
          <t>350</t>
        </is>
      </c>
      <c r="B268" s="13" t="inlineStr">
        <is>
          <t>General</t>
        </is>
      </c>
      <c r="C268" s="5" t="n">
        <v>38</v>
      </c>
      <c r="D268" s="5" t="n">
        <v>65</v>
      </c>
      <c r="E268" s="5" t="n">
        <v>54</v>
      </c>
      <c r="F268" s="5" t="n">
        <v>42</v>
      </c>
      <c r="G268" s="5" t="n">
        <v>56</v>
      </c>
      <c r="H268" s="5" t="n">
        <v>41</v>
      </c>
      <c r="I268" s="5" t="n">
        <v>74</v>
      </c>
      <c r="J268" s="5" t="n">
        <v>40</v>
      </c>
      <c r="K268" s="5" t="n">
        <v>71</v>
      </c>
      <c r="L268" s="5" t="n">
        <v>51</v>
      </c>
      <c r="M268" s="5" t="n">
        <v>27</v>
      </c>
      <c r="N268" s="5" t="n">
        <v>57</v>
      </c>
      <c r="O268" s="5" t="n">
        <v>52</v>
      </c>
      <c r="P268" s="5" t="n">
        <v>87</v>
      </c>
      <c r="Q268" s="5" t="n">
        <v>52</v>
      </c>
      <c r="R268" s="5" t="n">
        <v>50</v>
      </c>
      <c r="S268" s="5" t="n">
        <v>10</v>
      </c>
      <c r="T268" s="5" t="n">
        <v>29</v>
      </c>
      <c r="U268" s="5" t="n">
        <v>55</v>
      </c>
      <c r="V268" s="5" t="n">
        <v>50</v>
      </c>
      <c r="W268" s="5" t="n">
        <v>74</v>
      </c>
      <c r="X268" s="5" t="n">
        <v>49</v>
      </c>
      <c r="Y268" s="14">
        <f>IF(AND(ISNUMBER(C268),C268&gt;0,ISNUMBER(X268)),X268/C268-1,"")</f>
        <v/>
      </c>
    </row>
    <row r="269">
      <c r="A269" s="12" t="inlineStr">
        <is>
          <t>360</t>
        </is>
      </c>
      <c r="B269" s="13" t="inlineStr">
        <is>
          <t>General</t>
        </is>
      </c>
      <c r="C269" s="5" t="n">
        <v>360</v>
      </c>
      <c r="D269" s="5" t="n">
        <v>428</v>
      </c>
      <c r="E269" s="5" t="n">
        <v>352</v>
      </c>
      <c r="F269" s="5" t="n">
        <v>388</v>
      </c>
      <c r="G269" s="5" t="n">
        <v>325</v>
      </c>
      <c r="H269" s="5" t="n">
        <v>412</v>
      </c>
      <c r="I269" s="5" t="n">
        <v>408</v>
      </c>
      <c r="J269" s="5" t="n">
        <v>279</v>
      </c>
      <c r="K269" s="5" t="n">
        <v>385</v>
      </c>
      <c r="L269" s="5" t="n">
        <v>314</v>
      </c>
      <c r="M269" s="5" t="n">
        <v>334</v>
      </c>
      <c r="N269" s="5" t="n">
        <v>325</v>
      </c>
      <c r="O269" s="5" t="n">
        <v>339</v>
      </c>
      <c r="P269" s="5" t="n">
        <v>345</v>
      </c>
      <c r="Q269" s="5" t="n">
        <v>324</v>
      </c>
      <c r="R269" s="5" t="n">
        <v>283</v>
      </c>
      <c r="S269" s="5" t="n">
        <v>220</v>
      </c>
      <c r="T269" s="5" t="n">
        <v>200</v>
      </c>
      <c r="U269" s="5" t="n">
        <v>264</v>
      </c>
      <c r="V269" s="5" t="n">
        <v>201</v>
      </c>
      <c r="W269" s="5" t="n">
        <v>260</v>
      </c>
      <c r="X269" s="5" t="n">
        <v>262</v>
      </c>
      <c r="Y269" s="14">
        <f>IF(AND(ISNUMBER(C269),C269&gt;0,ISNUMBER(X269)),X269/C269-1,"")</f>
        <v/>
      </c>
    </row>
    <row r="270">
      <c r="A270" s="12" t="inlineStr">
        <is>
          <t>361</t>
        </is>
      </c>
      <c r="B270" s="13" t="inlineStr">
        <is>
          <t>General</t>
        </is>
      </c>
      <c r="C270" s="5" t="n">
        <v>14</v>
      </c>
      <c r="D270" s="5" t="n">
        <v>19</v>
      </c>
      <c r="E270" s="5" t="n">
        <v>15</v>
      </c>
      <c r="F270" s="5" t="n"/>
      <c r="G270" s="5" t="n">
        <v>6</v>
      </c>
      <c r="H270" s="5" t="n">
        <v>6</v>
      </c>
      <c r="I270" s="5" t="n">
        <v>8</v>
      </c>
      <c r="J270" s="5" t="n">
        <v>14</v>
      </c>
      <c r="K270" s="5" t="n">
        <v>8</v>
      </c>
      <c r="L270" s="5" t="n">
        <v>9</v>
      </c>
      <c r="M270" s="5" t="n">
        <v>9</v>
      </c>
      <c r="N270" s="5" t="n">
        <v>3</v>
      </c>
      <c r="O270" s="5" t="n">
        <v>3</v>
      </c>
      <c r="P270" s="5" t="n">
        <v>3</v>
      </c>
      <c r="Q270" s="5" t="n">
        <v>3</v>
      </c>
      <c r="R270" s="5" t="n">
        <v>3</v>
      </c>
      <c r="S270" s="5" t="n">
        <v>10</v>
      </c>
      <c r="T270" s="5" t="n"/>
      <c r="U270" s="5" t="n">
        <v>9</v>
      </c>
      <c r="V270" s="5" t="n">
        <v>10</v>
      </c>
      <c r="W270" s="5" t="n">
        <v>3</v>
      </c>
      <c r="X270" s="5" t="n">
        <v>8</v>
      </c>
      <c r="Y270" s="14">
        <f>IF(AND(ISNUMBER(C270),C270&gt;0,ISNUMBER(X270)),X270/C270-1,"")</f>
        <v/>
      </c>
    </row>
    <row r="271">
      <c r="A271" s="12" t="inlineStr">
        <is>
          <t>362</t>
        </is>
      </c>
      <c r="B271" s="4" t="inlineStr"/>
      <c r="C271" s="5" t="n">
        <v>9</v>
      </c>
      <c r="D271" s="5" t="n">
        <v>16</v>
      </c>
      <c r="E271" s="5" t="n">
        <v>6</v>
      </c>
      <c r="F271" s="5" t="n">
        <v>32</v>
      </c>
      <c r="G271" s="5" t="n">
        <v>21</v>
      </c>
      <c r="H271" s="5" t="n">
        <v>17</v>
      </c>
      <c r="I271" s="5" t="n">
        <v>9</v>
      </c>
      <c r="J271" s="5" t="n">
        <v>6</v>
      </c>
      <c r="K271" s="5" t="n">
        <v>14</v>
      </c>
      <c r="L271" s="5" t="n">
        <v>11</v>
      </c>
      <c r="M271" s="5" t="n">
        <v>22</v>
      </c>
      <c r="N271" s="5" t="n">
        <v>15</v>
      </c>
      <c r="O271" s="5" t="n">
        <v>12</v>
      </c>
      <c r="P271" s="5" t="n">
        <v>16</v>
      </c>
      <c r="Q271" s="5" t="n">
        <v>17</v>
      </c>
      <c r="R271" s="5" t="n">
        <v>7</v>
      </c>
      <c r="S271" s="5" t="n">
        <v>6</v>
      </c>
      <c r="T271" s="5" t="n">
        <v>3</v>
      </c>
      <c r="U271" s="5" t="n"/>
      <c r="V271" s="5" t="n"/>
      <c r="W271" s="5" t="n"/>
      <c r="X271" s="5" t="n"/>
      <c r="Y271" s="14">
        <f>IF(AND(ISNUMBER(C271),C271&gt;0,ISNUMBER(X271)),X271/C271-1,"")</f>
        <v/>
      </c>
    </row>
    <row r="272">
      <c r="A272" s="12" t="inlineStr">
        <is>
          <t>370</t>
        </is>
      </c>
      <c r="B272" s="13" t="inlineStr">
        <is>
          <t>General</t>
        </is>
      </c>
      <c r="C272" s="5" t="n">
        <v>45</v>
      </c>
      <c r="D272" s="5" t="n">
        <v>31</v>
      </c>
      <c r="E272" s="5" t="n">
        <v>37</v>
      </c>
      <c r="F272" s="5" t="n">
        <v>86</v>
      </c>
      <c r="G272" s="5" t="n">
        <v>69</v>
      </c>
      <c r="H272" s="5" t="n">
        <v>32</v>
      </c>
      <c r="I272" s="5" t="n">
        <v>37</v>
      </c>
      <c r="J272" s="5" t="n">
        <v>28</v>
      </c>
      <c r="K272" s="5" t="n">
        <v>43</v>
      </c>
      <c r="L272" s="5" t="n">
        <v>26</v>
      </c>
      <c r="M272" s="5" t="n">
        <v>49</v>
      </c>
      <c r="N272" s="5" t="n">
        <v>33</v>
      </c>
      <c r="O272" s="5" t="n">
        <v>12</v>
      </c>
      <c r="P272" s="5" t="n">
        <v>35</v>
      </c>
      <c r="Q272" s="5" t="n">
        <v>18</v>
      </c>
      <c r="R272" s="5" t="n">
        <v>25</v>
      </c>
      <c r="S272" s="5" t="n">
        <v>25</v>
      </c>
      <c r="T272" s="5" t="n">
        <v>20</v>
      </c>
      <c r="U272" s="5" t="n">
        <v>15</v>
      </c>
      <c r="V272" s="5" t="n">
        <v>43</v>
      </c>
      <c r="W272" s="5" t="n">
        <v>25</v>
      </c>
      <c r="X272" s="5" t="n">
        <v>37</v>
      </c>
      <c r="Y272" s="14">
        <f>IF(AND(ISNUMBER(C272),C272&gt;0,ISNUMBER(X272)),X272/C272-1,"")</f>
        <v/>
      </c>
    </row>
    <row r="273">
      <c r="A273" s="12" t="inlineStr">
        <is>
          <t>380</t>
        </is>
      </c>
      <c r="B273" s="13" t="inlineStr">
        <is>
          <t>General</t>
        </is>
      </c>
      <c r="C273" s="5" t="n">
        <v>394</v>
      </c>
      <c r="D273" s="5" t="n">
        <v>370</v>
      </c>
      <c r="E273" s="5" t="n">
        <v>462</v>
      </c>
      <c r="F273" s="5" t="n">
        <v>466</v>
      </c>
      <c r="G273" s="5" t="n">
        <v>395</v>
      </c>
      <c r="H273" s="5" t="n">
        <v>506</v>
      </c>
      <c r="I273" s="5" t="n">
        <v>398</v>
      </c>
      <c r="J273" s="5" t="n">
        <v>492</v>
      </c>
      <c r="K273" s="5" t="n">
        <v>523</v>
      </c>
      <c r="L273" s="5" t="n">
        <v>438</v>
      </c>
      <c r="M273" s="5" t="n">
        <v>444</v>
      </c>
      <c r="N273" s="5" t="n">
        <v>485</v>
      </c>
      <c r="O273" s="5" t="n">
        <v>533</v>
      </c>
      <c r="P273" s="5" t="n">
        <v>580</v>
      </c>
      <c r="Q273" s="5" t="n">
        <v>347</v>
      </c>
      <c r="R273" s="5" t="n">
        <v>419</v>
      </c>
      <c r="S273" s="5" t="n">
        <v>510</v>
      </c>
      <c r="T273" s="5" t="n">
        <v>467</v>
      </c>
      <c r="U273" s="5" t="n">
        <v>396</v>
      </c>
      <c r="V273" s="5" t="n">
        <v>360</v>
      </c>
      <c r="W273" s="5" t="n">
        <v>443</v>
      </c>
      <c r="X273" s="5" t="n">
        <v>366</v>
      </c>
      <c r="Y273" s="14">
        <f>IF(AND(ISNUMBER(C273),C273&gt;0,ISNUMBER(X273)),X273/C273-1,"")</f>
        <v/>
      </c>
    </row>
    <row r="274">
      <c r="A274" s="12" t="inlineStr">
        <is>
          <t>388</t>
        </is>
      </c>
      <c r="B274" s="13" t="inlineStr">
        <is>
          <t>General</t>
        </is>
      </c>
      <c r="C274" s="5" t="n"/>
      <c r="D274" s="5" t="n"/>
      <c r="E274" s="5" t="n">
        <v>162</v>
      </c>
      <c r="F274" s="5" t="n">
        <v>182</v>
      </c>
      <c r="G274" s="5" t="n">
        <v>144</v>
      </c>
      <c r="H274" s="5" t="n">
        <v>137</v>
      </c>
      <c r="I274" s="5" t="n">
        <v>156</v>
      </c>
      <c r="J274" s="5" t="n">
        <v>127</v>
      </c>
      <c r="K274" s="5" t="n">
        <v>166</v>
      </c>
      <c r="L274" s="5" t="n">
        <v>133</v>
      </c>
      <c r="M274" s="5" t="n">
        <v>138</v>
      </c>
      <c r="N274" s="5" t="n">
        <v>116</v>
      </c>
      <c r="O274" s="5" t="n">
        <v>168</v>
      </c>
      <c r="P274" s="5" t="n">
        <v>162</v>
      </c>
      <c r="Q274" s="5" t="n">
        <v>131</v>
      </c>
      <c r="R274" s="5" t="n">
        <v>99</v>
      </c>
      <c r="S274" s="5" t="n">
        <v>215</v>
      </c>
      <c r="T274" s="5" t="n">
        <v>137</v>
      </c>
      <c r="U274" s="5" t="n">
        <v>161</v>
      </c>
      <c r="V274" s="5" t="n">
        <v>185</v>
      </c>
      <c r="W274" s="5" t="n">
        <v>175</v>
      </c>
      <c r="X274" s="5" t="n">
        <v>145</v>
      </c>
      <c r="Y274" s="14">
        <f>IF(AND(ISNUMBER(C274),C274&gt;0,ISNUMBER(X274)),X274/C274-1,"")</f>
        <v/>
      </c>
    </row>
    <row r="275">
      <c r="A275" s="12" t="inlineStr">
        <is>
          <t>390</t>
        </is>
      </c>
      <c r="B275" s="13" t="inlineStr">
        <is>
          <t>General</t>
        </is>
      </c>
      <c r="C275" s="5" t="n">
        <v>59</v>
      </c>
      <c r="D275" s="5" t="n">
        <v>54</v>
      </c>
      <c r="E275" s="5" t="n">
        <v>58</v>
      </c>
      <c r="F275" s="5" t="n">
        <v>79</v>
      </c>
      <c r="G275" s="5" t="n">
        <v>78</v>
      </c>
      <c r="H275" s="5" t="n">
        <v>75</v>
      </c>
      <c r="I275" s="5" t="n">
        <v>58</v>
      </c>
      <c r="J275" s="5" t="n">
        <v>63</v>
      </c>
      <c r="K275" s="5" t="n">
        <v>92</v>
      </c>
      <c r="L275" s="5" t="n">
        <v>66</v>
      </c>
      <c r="M275" s="5" t="n">
        <v>73</v>
      </c>
      <c r="N275" s="5" t="n">
        <v>77</v>
      </c>
      <c r="O275" s="5" t="n">
        <v>89</v>
      </c>
      <c r="P275" s="5" t="n">
        <v>109</v>
      </c>
      <c r="Q275" s="5" t="n">
        <v>51</v>
      </c>
      <c r="R275" s="5" t="n">
        <v>98</v>
      </c>
      <c r="S275" s="5" t="n">
        <v>51</v>
      </c>
      <c r="T275" s="5" t="n">
        <v>71</v>
      </c>
      <c r="U275" s="5" t="n">
        <v>84</v>
      </c>
      <c r="V275" s="5" t="n">
        <v>72</v>
      </c>
      <c r="W275" s="5" t="n">
        <v>128</v>
      </c>
      <c r="X275" s="5" t="n">
        <v>70</v>
      </c>
      <c r="Y275" s="14">
        <f>IF(AND(ISNUMBER(C275),C275&gt;0,ISNUMBER(X275)),X275/C275-1,"")</f>
        <v/>
      </c>
    </row>
    <row r="276">
      <c r="A276" s="12" t="inlineStr">
        <is>
          <t>391</t>
        </is>
      </c>
      <c r="B276" s="13" t="inlineStr">
        <is>
          <t>General</t>
        </is>
      </c>
      <c r="C276" s="5" t="n">
        <v>132</v>
      </c>
      <c r="D276" s="5" t="n">
        <v>118</v>
      </c>
      <c r="E276" s="5" t="n">
        <v>183</v>
      </c>
      <c r="F276" s="5" t="n">
        <v>134</v>
      </c>
      <c r="G276" s="5" t="n">
        <v>177</v>
      </c>
      <c r="H276" s="5" t="n">
        <v>171</v>
      </c>
      <c r="I276" s="5" t="n">
        <v>173</v>
      </c>
      <c r="J276" s="5" t="n">
        <v>166</v>
      </c>
      <c r="K276" s="5" t="n">
        <v>190</v>
      </c>
      <c r="L276" s="5" t="n">
        <v>197</v>
      </c>
      <c r="M276" s="5" t="n">
        <v>155</v>
      </c>
      <c r="N276" s="5" t="n">
        <v>196</v>
      </c>
      <c r="O276" s="5" t="n">
        <v>269</v>
      </c>
      <c r="P276" s="5" t="n">
        <v>219</v>
      </c>
      <c r="Q276" s="5" t="n">
        <v>160</v>
      </c>
      <c r="R276" s="5" t="n">
        <v>183</v>
      </c>
      <c r="S276" s="5" t="n">
        <v>208</v>
      </c>
      <c r="T276" s="5" t="n">
        <v>160</v>
      </c>
      <c r="U276" s="5" t="n">
        <v>214</v>
      </c>
      <c r="V276" s="5" t="n">
        <v>220</v>
      </c>
      <c r="W276" s="5" t="n">
        <v>238</v>
      </c>
      <c r="X276" s="5" t="n">
        <v>229</v>
      </c>
      <c r="Y276" s="14">
        <f>IF(AND(ISNUMBER(C276),C276&gt;0,ISNUMBER(X276)),X276/C276-1,"")</f>
        <v/>
      </c>
    </row>
    <row r="277">
      <c r="A277" s="12" t="inlineStr">
        <is>
          <t>392</t>
        </is>
      </c>
      <c r="B277" s="13" t="inlineStr">
        <is>
          <t>General</t>
        </is>
      </c>
      <c r="C277" s="5" t="n">
        <v>87</v>
      </c>
      <c r="D277" s="5" t="n">
        <v>85</v>
      </c>
      <c r="E277" s="5" t="n">
        <v>148</v>
      </c>
      <c r="F277" s="5" t="n">
        <v>113</v>
      </c>
      <c r="G277" s="5" t="n">
        <v>94</v>
      </c>
      <c r="H277" s="5" t="n">
        <v>139</v>
      </c>
      <c r="I277" s="5" t="n">
        <v>105</v>
      </c>
      <c r="J277" s="5" t="n">
        <v>110</v>
      </c>
      <c r="K277" s="5" t="n">
        <v>104</v>
      </c>
      <c r="L277" s="5" t="n">
        <v>103</v>
      </c>
      <c r="M277" s="5" t="n">
        <v>127</v>
      </c>
      <c r="N277" s="5" t="n">
        <v>96</v>
      </c>
      <c r="O277" s="5" t="n">
        <v>51</v>
      </c>
      <c r="P277" s="5" t="n">
        <v>63</v>
      </c>
      <c r="Q277" s="5" t="n">
        <v>54</v>
      </c>
      <c r="R277" s="5" t="n">
        <v>37</v>
      </c>
      <c r="S277" s="5" t="n">
        <v>43</v>
      </c>
      <c r="T277" s="5" t="n">
        <v>38</v>
      </c>
      <c r="U277" s="5" t="n">
        <v>50</v>
      </c>
      <c r="V277" s="5" t="n">
        <v>40</v>
      </c>
      <c r="W277" s="5" t="n">
        <v>11</v>
      </c>
      <c r="X277" s="5" t="n">
        <v>14</v>
      </c>
      <c r="Y277" s="14">
        <f>IF(AND(ISNUMBER(C277),C277&gt;0,ISNUMBER(X277)),X277/C277-1,"")</f>
        <v/>
      </c>
    </row>
    <row r="278">
      <c r="A278" s="12" t="inlineStr">
        <is>
          <t>393</t>
        </is>
      </c>
      <c r="B278" s="13" t="inlineStr">
        <is>
          <t>General</t>
        </is>
      </c>
      <c r="C278" s="5" t="n">
        <v>187</v>
      </c>
      <c r="D278" s="5" t="n">
        <v>282</v>
      </c>
      <c r="E278" s="5" t="n">
        <v>264</v>
      </c>
      <c r="F278" s="5" t="n">
        <v>231</v>
      </c>
      <c r="G278" s="5" t="n">
        <v>283</v>
      </c>
      <c r="H278" s="5" t="n">
        <v>246</v>
      </c>
      <c r="I278" s="5" t="n">
        <v>232</v>
      </c>
      <c r="J278" s="5" t="n">
        <v>278</v>
      </c>
      <c r="K278" s="5" t="n">
        <v>298</v>
      </c>
      <c r="L278" s="5" t="n">
        <v>250</v>
      </c>
      <c r="M278" s="5" t="n">
        <v>269</v>
      </c>
      <c r="N278" s="5" t="n">
        <v>276</v>
      </c>
      <c r="O278" s="5" t="n">
        <v>300</v>
      </c>
      <c r="P278" s="5" t="n">
        <v>276</v>
      </c>
      <c r="Q278" s="5" t="n">
        <v>231</v>
      </c>
      <c r="R278" s="5" t="n">
        <v>213</v>
      </c>
      <c r="S278" s="5" t="n">
        <v>246</v>
      </c>
      <c r="T278" s="5" t="n">
        <v>218</v>
      </c>
      <c r="U278" s="5" t="n">
        <v>246</v>
      </c>
      <c r="V278" s="5" t="n">
        <v>233</v>
      </c>
      <c r="W278" s="5" t="n">
        <v>251</v>
      </c>
      <c r="X278" s="5" t="n">
        <v>244</v>
      </c>
      <c r="Y278" s="14">
        <f>IF(AND(ISNUMBER(C278),C278&gt;0,ISNUMBER(X278)),X278/C278-1,"")</f>
        <v/>
      </c>
    </row>
    <row r="279">
      <c r="A279" s="12" t="inlineStr">
        <is>
          <t>400</t>
        </is>
      </c>
      <c r="B279" s="13" t="inlineStr">
        <is>
          <t>General</t>
        </is>
      </c>
      <c r="C279" s="5" t="n">
        <v>264</v>
      </c>
      <c r="D279" s="5" t="n">
        <v>287</v>
      </c>
      <c r="E279" s="5" t="n">
        <v>326</v>
      </c>
      <c r="F279" s="5" t="n">
        <v>368</v>
      </c>
      <c r="G279" s="5" t="n">
        <v>444</v>
      </c>
      <c r="H279" s="5" t="n">
        <v>538</v>
      </c>
      <c r="I279" s="5" t="n">
        <v>512</v>
      </c>
      <c r="J279" s="5" t="n">
        <v>475</v>
      </c>
      <c r="K279" s="5" t="n">
        <v>439</v>
      </c>
      <c r="L279" s="5" t="n">
        <v>119</v>
      </c>
      <c r="M279" s="5" t="n">
        <v>96</v>
      </c>
      <c r="N279" s="5" t="n">
        <v>106</v>
      </c>
      <c r="O279" s="5" t="n">
        <v>142</v>
      </c>
      <c r="P279" s="5" t="n">
        <v>179</v>
      </c>
      <c r="Q279" s="5" t="n">
        <v>312</v>
      </c>
      <c r="R279" s="5" t="n">
        <v>342</v>
      </c>
      <c r="S279" s="5" t="n">
        <v>438</v>
      </c>
      <c r="T279" s="5" t="n">
        <v>408</v>
      </c>
      <c r="U279" s="5" t="n">
        <v>392</v>
      </c>
      <c r="V279" s="5" t="n">
        <v>465</v>
      </c>
      <c r="W279" s="5" t="n">
        <v>435</v>
      </c>
      <c r="X279" s="5" t="n">
        <v>366</v>
      </c>
      <c r="Y279" s="14">
        <f>IF(AND(ISNUMBER(C279),C279&gt;0,ISNUMBER(X279)),X279/C279-1,"")</f>
        <v/>
      </c>
    </row>
    <row r="280">
      <c r="A280" s="12" t="inlineStr">
        <is>
          <t>401</t>
        </is>
      </c>
      <c r="B280" s="13" t="inlineStr">
        <is>
          <t>General</t>
        </is>
      </c>
      <c r="C280" s="5" t="n">
        <v>317</v>
      </c>
      <c r="D280" s="5" t="n">
        <v>348</v>
      </c>
      <c r="E280" s="5" t="n">
        <v>505</v>
      </c>
      <c r="F280" s="5" t="n">
        <v>468</v>
      </c>
      <c r="G280" s="5" t="n">
        <v>439</v>
      </c>
      <c r="H280" s="5" t="n">
        <v>608</v>
      </c>
      <c r="I280" s="5" t="n">
        <v>490</v>
      </c>
      <c r="J280" s="5" t="n">
        <v>518</v>
      </c>
      <c r="K280" s="5" t="n">
        <v>596</v>
      </c>
      <c r="L280" s="5" t="n">
        <v>222</v>
      </c>
      <c r="M280" s="5" t="n">
        <v>195</v>
      </c>
      <c r="N280" s="5" t="n">
        <v>231</v>
      </c>
      <c r="O280" s="5" t="n">
        <v>244</v>
      </c>
      <c r="P280" s="5" t="n">
        <v>407</v>
      </c>
      <c r="Q280" s="5" t="n">
        <v>393</v>
      </c>
      <c r="R280" s="5" t="n">
        <v>346</v>
      </c>
      <c r="S280" s="5" t="n">
        <v>336</v>
      </c>
      <c r="T280" s="5" t="n">
        <v>337</v>
      </c>
      <c r="U280" s="5" t="n">
        <v>406</v>
      </c>
      <c r="V280" s="5" t="n">
        <v>320</v>
      </c>
      <c r="W280" s="5" t="n">
        <v>272</v>
      </c>
      <c r="X280" s="5" t="n">
        <v>291</v>
      </c>
      <c r="Y280" s="14">
        <f>IF(AND(ISNUMBER(C280),C280&gt;0,ISNUMBER(X280)),X280/C280-1,"")</f>
        <v/>
      </c>
    </row>
    <row r="281">
      <c r="A281" s="12" t="inlineStr">
        <is>
          <t>403</t>
        </is>
      </c>
      <c r="B281" s="13" t="inlineStr">
        <is>
          <t>General</t>
        </is>
      </c>
      <c r="C281" s="5" t="n">
        <v>39</v>
      </c>
      <c r="D281" s="5" t="n">
        <v>34</v>
      </c>
      <c r="E281" s="5" t="n">
        <v>74</v>
      </c>
      <c r="F281" s="5" t="n">
        <v>57</v>
      </c>
      <c r="G281" s="5" t="n">
        <v>69</v>
      </c>
      <c r="H281" s="5" t="n">
        <v>71</v>
      </c>
      <c r="I281" s="5" t="n">
        <v>65</v>
      </c>
      <c r="J281" s="5" t="n">
        <v>73</v>
      </c>
      <c r="K281" s="5" t="n">
        <v>104</v>
      </c>
      <c r="L281" s="5" t="n">
        <v>22</v>
      </c>
      <c r="M281" s="5" t="n">
        <v>52</v>
      </c>
      <c r="N281" s="5" t="n">
        <v>45</v>
      </c>
      <c r="O281" s="5" t="n">
        <v>45</v>
      </c>
      <c r="P281" s="5" t="n">
        <v>65</v>
      </c>
      <c r="Q281" s="5" t="n">
        <v>93</v>
      </c>
      <c r="R281" s="5" t="n">
        <v>78</v>
      </c>
      <c r="S281" s="5" t="n">
        <v>108</v>
      </c>
      <c r="T281" s="5" t="n">
        <v>55</v>
      </c>
      <c r="U281" s="5" t="n">
        <v>68</v>
      </c>
      <c r="V281" s="5" t="n">
        <v>64</v>
      </c>
      <c r="W281" s="5" t="n">
        <v>99</v>
      </c>
      <c r="X281" s="5" t="n">
        <v>42</v>
      </c>
      <c r="Y281" s="14">
        <f>IF(AND(ISNUMBER(C281),C281&gt;0,ISNUMBER(X281)),X281/C281-1,"")</f>
        <v/>
      </c>
    </row>
    <row r="282">
      <c r="A282" s="12" t="inlineStr">
        <is>
          <t>404</t>
        </is>
      </c>
      <c r="B282" s="13" t="inlineStr">
        <is>
          <t>General</t>
        </is>
      </c>
      <c r="C282" s="5" t="n">
        <v>986</v>
      </c>
      <c r="D282" s="5" t="n">
        <v>1110</v>
      </c>
      <c r="E282" s="5" t="n">
        <v>1102</v>
      </c>
      <c r="F282" s="5" t="n">
        <v>984</v>
      </c>
      <c r="G282" s="5" t="n">
        <v>981</v>
      </c>
      <c r="H282" s="5" t="n">
        <v>1088</v>
      </c>
      <c r="I282" s="5" t="n">
        <v>1082</v>
      </c>
      <c r="J282" s="5" t="n">
        <v>1206</v>
      </c>
      <c r="K282" s="5" t="n">
        <v>1325</v>
      </c>
      <c r="L282" s="5" t="n">
        <v>455</v>
      </c>
      <c r="M282" s="5" t="n">
        <v>400</v>
      </c>
      <c r="N282" s="5" t="n">
        <v>497</v>
      </c>
      <c r="O282" s="5" t="n">
        <v>513</v>
      </c>
      <c r="P282" s="5" t="n">
        <v>591</v>
      </c>
      <c r="Q282" s="5" t="n">
        <v>776</v>
      </c>
      <c r="R282" s="5" t="n">
        <v>917</v>
      </c>
      <c r="S282" s="5" t="n">
        <v>793</v>
      </c>
      <c r="T282" s="5" t="n">
        <v>608</v>
      </c>
      <c r="U282" s="5" t="n">
        <v>710</v>
      </c>
      <c r="V282" s="5" t="n">
        <v>580</v>
      </c>
      <c r="W282" s="5" t="n">
        <v>574</v>
      </c>
      <c r="X282" s="5" t="n">
        <v>503</v>
      </c>
      <c r="Y282" s="14">
        <f>IF(AND(ISNUMBER(C282),C282&gt;0,ISNUMBER(X282)),X282/C282-1,"")</f>
        <v/>
      </c>
    </row>
    <row r="283">
      <c r="A283" s="12" t="inlineStr">
        <is>
          <t>405</t>
        </is>
      </c>
      <c r="B283" s="13" t="inlineStr">
        <is>
          <t>General</t>
        </is>
      </c>
      <c r="C283" s="5" t="n">
        <v>95</v>
      </c>
      <c r="D283" s="5" t="n">
        <v>106</v>
      </c>
      <c r="E283" s="5" t="n">
        <v>87</v>
      </c>
      <c r="F283" s="5" t="n">
        <v>147</v>
      </c>
      <c r="G283" s="5" t="n">
        <v>175</v>
      </c>
      <c r="H283" s="5" t="n">
        <v>135</v>
      </c>
      <c r="I283" s="5" t="n">
        <v>165</v>
      </c>
      <c r="J283" s="5" t="n">
        <v>99</v>
      </c>
      <c r="K283" s="5" t="n">
        <v>129</v>
      </c>
      <c r="L283" s="5" t="n">
        <v>65</v>
      </c>
      <c r="M283" s="5" t="n">
        <v>48</v>
      </c>
      <c r="N283" s="5" t="n">
        <v>56</v>
      </c>
      <c r="O283" s="5" t="n">
        <v>75</v>
      </c>
      <c r="P283" s="5" t="n">
        <v>86</v>
      </c>
      <c r="Q283" s="5" t="n">
        <v>124</v>
      </c>
      <c r="R283" s="5" t="n">
        <v>145</v>
      </c>
      <c r="S283" s="5" t="n">
        <v>196</v>
      </c>
      <c r="T283" s="5" t="n">
        <v>145</v>
      </c>
      <c r="U283" s="5" t="n">
        <v>209</v>
      </c>
      <c r="V283" s="5" t="n">
        <v>188</v>
      </c>
      <c r="W283" s="5" t="n">
        <v>242</v>
      </c>
      <c r="X283" s="5" t="n">
        <v>207</v>
      </c>
      <c r="Y283" s="14">
        <f>IF(AND(ISNUMBER(C283),C283&gt;0,ISNUMBER(X283)),X283/C283-1,"")</f>
        <v/>
      </c>
    </row>
    <row r="284">
      <c r="A284" s="12" t="inlineStr">
        <is>
          <t>406</t>
        </is>
      </c>
      <c r="B284" s="13" t="inlineStr">
        <is>
          <t>General</t>
        </is>
      </c>
      <c r="C284" s="5" t="n">
        <v>175</v>
      </c>
      <c r="D284" s="5" t="n">
        <v>254</v>
      </c>
      <c r="E284" s="5" t="n">
        <v>304</v>
      </c>
      <c r="F284" s="5" t="n">
        <v>240</v>
      </c>
      <c r="G284" s="5" t="n">
        <v>271</v>
      </c>
      <c r="H284" s="5" t="n">
        <v>288</v>
      </c>
      <c r="I284" s="5" t="n">
        <v>222</v>
      </c>
      <c r="J284" s="5" t="n">
        <v>293</v>
      </c>
      <c r="K284" s="5" t="n">
        <v>336</v>
      </c>
      <c r="L284" s="5" t="n">
        <v>103</v>
      </c>
      <c r="M284" s="5" t="n">
        <v>173</v>
      </c>
      <c r="N284" s="5" t="n">
        <v>190</v>
      </c>
      <c r="O284" s="5" t="n">
        <v>221</v>
      </c>
      <c r="P284" s="5" t="n">
        <v>285</v>
      </c>
      <c r="Q284" s="5" t="n">
        <v>220</v>
      </c>
      <c r="R284" s="5" t="n">
        <v>238</v>
      </c>
      <c r="S284" s="5" t="n">
        <v>324</v>
      </c>
      <c r="T284" s="5" t="n">
        <v>276</v>
      </c>
      <c r="U284" s="5" t="n">
        <v>295</v>
      </c>
      <c r="V284" s="5" t="n">
        <v>233</v>
      </c>
      <c r="W284" s="5" t="n">
        <v>307</v>
      </c>
      <c r="X284" s="5" t="n">
        <v>207</v>
      </c>
      <c r="Y284" s="14">
        <f>IF(AND(ISNUMBER(C284),C284&gt;0,ISNUMBER(X284)),X284/C284-1,"")</f>
        <v/>
      </c>
    </row>
    <row r="285">
      <c r="A285" s="12" t="inlineStr">
        <is>
          <t>410</t>
        </is>
      </c>
      <c r="B285" s="13" t="inlineStr">
        <is>
          <t>General</t>
        </is>
      </c>
      <c r="C285" s="5" t="n">
        <v>132</v>
      </c>
      <c r="D285" s="5" t="n">
        <v>119</v>
      </c>
      <c r="E285" s="5" t="n">
        <v>244</v>
      </c>
      <c r="F285" s="5" t="n">
        <v>216</v>
      </c>
      <c r="G285" s="5" t="n">
        <v>202</v>
      </c>
      <c r="H285" s="5" t="n">
        <v>168</v>
      </c>
      <c r="I285" s="5" t="n">
        <v>127</v>
      </c>
      <c r="J285" s="5" t="n">
        <v>72</v>
      </c>
      <c r="K285" s="5" t="n">
        <v>107</v>
      </c>
      <c r="L285" s="5" t="n">
        <v>81</v>
      </c>
      <c r="M285" s="5" t="n">
        <v>98</v>
      </c>
      <c r="N285" s="5" t="n">
        <v>80</v>
      </c>
      <c r="O285" s="5" t="n">
        <v>78</v>
      </c>
      <c r="P285" s="5" t="n">
        <v>83</v>
      </c>
      <c r="Q285" s="5" t="n">
        <v>67</v>
      </c>
      <c r="R285" s="5" t="n">
        <v>134</v>
      </c>
      <c r="S285" s="5" t="n">
        <v>176</v>
      </c>
      <c r="T285" s="5" t="n">
        <v>114</v>
      </c>
      <c r="U285" s="5" t="n">
        <v>143</v>
      </c>
      <c r="V285" s="5" t="n">
        <v>92</v>
      </c>
      <c r="W285" s="5" t="n">
        <v>127</v>
      </c>
      <c r="X285" s="5" t="n">
        <v>129</v>
      </c>
      <c r="Y285" s="14">
        <f>IF(AND(ISNUMBER(C285),C285&gt;0,ISNUMBER(X285)),X285/C285-1,"")</f>
        <v/>
      </c>
    </row>
    <row r="286">
      <c r="A286" s="12" t="inlineStr">
        <is>
          <t>411</t>
        </is>
      </c>
      <c r="B286" s="13" t="inlineStr">
        <is>
          <t>General</t>
        </is>
      </c>
      <c r="C286" s="5" t="n">
        <v>1445</v>
      </c>
      <c r="D286" s="5" t="n">
        <v>1380</v>
      </c>
      <c r="E286" s="5" t="n">
        <v>1471</v>
      </c>
      <c r="F286" s="5" t="n">
        <v>1345</v>
      </c>
      <c r="G286" s="5" t="n">
        <v>1594</v>
      </c>
      <c r="H286" s="5" t="n">
        <v>1666</v>
      </c>
      <c r="I286" s="5" t="n">
        <v>1415</v>
      </c>
      <c r="J286" s="5" t="n">
        <v>985</v>
      </c>
      <c r="K286" s="5" t="n">
        <v>1315</v>
      </c>
      <c r="L286" s="5" t="n">
        <v>924</v>
      </c>
      <c r="M286" s="5" t="n">
        <v>708</v>
      </c>
      <c r="N286" s="5" t="n">
        <v>902</v>
      </c>
      <c r="O286" s="5" t="n">
        <v>821</v>
      </c>
      <c r="P286" s="5" t="n">
        <v>868</v>
      </c>
      <c r="Q286" s="5" t="n">
        <v>963</v>
      </c>
      <c r="R286" s="5" t="n">
        <v>1055</v>
      </c>
      <c r="S286" s="5" t="n">
        <v>1053</v>
      </c>
      <c r="T286" s="5" t="n">
        <v>1104</v>
      </c>
      <c r="U286" s="5" t="n">
        <v>1041</v>
      </c>
      <c r="V286" s="5" t="n">
        <v>953</v>
      </c>
      <c r="W286" s="5" t="n">
        <v>1100</v>
      </c>
      <c r="X286" s="5" t="n">
        <v>831</v>
      </c>
      <c r="Y286" s="14">
        <f>IF(AND(ISNUMBER(C286),C286&gt;0,ISNUMBER(X286)),X286/C286-1,"")</f>
        <v/>
      </c>
    </row>
    <row r="287">
      <c r="A287" s="12" t="inlineStr">
        <is>
          <t>412</t>
        </is>
      </c>
      <c r="B287" s="13" t="inlineStr">
        <is>
          <t>General</t>
        </is>
      </c>
      <c r="C287" s="5" t="n">
        <v>700</v>
      </c>
      <c r="D287" s="5" t="n">
        <v>841</v>
      </c>
      <c r="E287" s="5" t="n">
        <v>707</v>
      </c>
      <c r="F287" s="5" t="n">
        <v>666</v>
      </c>
      <c r="G287" s="5" t="n">
        <v>688</v>
      </c>
      <c r="H287" s="5" t="n">
        <v>548</v>
      </c>
      <c r="I287" s="5" t="n">
        <v>586</v>
      </c>
      <c r="J287" s="5" t="n">
        <v>324</v>
      </c>
      <c r="K287" s="5" t="n">
        <v>383</v>
      </c>
      <c r="L287" s="5" t="n">
        <v>212</v>
      </c>
      <c r="M287" s="5" t="n">
        <v>242</v>
      </c>
      <c r="N287" s="5" t="n">
        <v>299</v>
      </c>
      <c r="O287" s="5" t="n">
        <v>292</v>
      </c>
      <c r="P287" s="5" t="n">
        <v>326</v>
      </c>
      <c r="Q287" s="5" t="n">
        <v>427</v>
      </c>
      <c r="R287" s="5" t="n">
        <v>462</v>
      </c>
      <c r="S287" s="5" t="n">
        <v>495</v>
      </c>
      <c r="T287" s="5" t="n">
        <v>474</v>
      </c>
      <c r="U287" s="5" t="n">
        <v>451</v>
      </c>
      <c r="V287" s="5" t="n">
        <v>536</v>
      </c>
      <c r="W287" s="5" t="n">
        <v>524</v>
      </c>
      <c r="X287" s="5" t="n">
        <v>379</v>
      </c>
      <c r="Y287" s="14">
        <f>IF(AND(ISNUMBER(C287),C287&gt;0,ISNUMBER(X287)),X287/C287-1,"")</f>
        <v/>
      </c>
    </row>
    <row r="288">
      <c r="A288" s="12" t="inlineStr">
        <is>
          <t>413</t>
        </is>
      </c>
      <c r="B288" s="13" t="inlineStr">
        <is>
          <t>General</t>
        </is>
      </c>
      <c r="C288" s="5" t="n">
        <v>459</v>
      </c>
      <c r="D288" s="5" t="n">
        <v>458</v>
      </c>
      <c r="E288" s="5" t="n">
        <v>573</v>
      </c>
      <c r="F288" s="5" t="n">
        <v>592</v>
      </c>
      <c r="G288" s="5" t="n">
        <v>565</v>
      </c>
      <c r="H288" s="5" t="n">
        <v>562</v>
      </c>
      <c r="I288" s="5" t="n">
        <v>578</v>
      </c>
      <c r="J288" s="5" t="n">
        <v>545</v>
      </c>
      <c r="K288" s="5" t="n">
        <v>643</v>
      </c>
      <c r="L288" s="5" t="n">
        <v>525</v>
      </c>
      <c r="M288" s="5" t="n">
        <v>316</v>
      </c>
      <c r="N288" s="5" t="n">
        <v>373</v>
      </c>
      <c r="O288" s="5" t="n">
        <v>283</v>
      </c>
      <c r="P288" s="5" t="n">
        <v>380</v>
      </c>
      <c r="Q288" s="5" t="n">
        <v>540</v>
      </c>
      <c r="R288" s="5" t="n">
        <v>590</v>
      </c>
      <c r="S288" s="5" t="n">
        <v>619</v>
      </c>
      <c r="T288" s="5" t="n">
        <v>631</v>
      </c>
      <c r="U288" s="5" t="n">
        <v>770</v>
      </c>
      <c r="V288" s="5" t="n">
        <v>756</v>
      </c>
      <c r="W288" s="5" t="n">
        <v>907</v>
      </c>
      <c r="X288" s="5" t="n">
        <v>698</v>
      </c>
      <c r="Y288" s="14">
        <f>IF(AND(ISNUMBER(C288),C288&gt;0,ISNUMBER(X288)),X288/C288-1,"")</f>
        <v/>
      </c>
    </row>
    <row r="289">
      <c r="A289" s="12" t="inlineStr">
        <is>
          <t>415</t>
        </is>
      </c>
      <c r="B289" s="13" t="inlineStr">
        <is>
          <t>General</t>
        </is>
      </c>
      <c r="C289" s="5" t="n">
        <v>10</v>
      </c>
      <c r="D289" s="5" t="n">
        <v>4</v>
      </c>
      <c r="E289" s="5" t="n">
        <v>19</v>
      </c>
      <c r="F289" s="5" t="n">
        <v>20</v>
      </c>
      <c r="G289" s="5" t="n">
        <v>12</v>
      </c>
      <c r="H289" s="5" t="n">
        <v>21</v>
      </c>
      <c r="I289" s="5" t="n">
        <v>8</v>
      </c>
      <c r="J289" s="5" t="n">
        <v>20</v>
      </c>
      <c r="K289" s="5" t="n">
        <v>6</v>
      </c>
      <c r="L289" s="5" t="n">
        <v>3</v>
      </c>
      <c r="M289" s="5" t="n">
        <v>6</v>
      </c>
      <c r="N289" s="5" t="n">
        <v>12</v>
      </c>
      <c r="O289" s="5" t="n">
        <v>6</v>
      </c>
      <c r="P289" s="5" t="n">
        <v>11</v>
      </c>
      <c r="Q289" s="5" t="n">
        <v>10</v>
      </c>
      <c r="R289" s="5" t="n">
        <v>3</v>
      </c>
      <c r="S289" s="5" t="n">
        <v>17</v>
      </c>
      <c r="T289" s="5" t="n"/>
      <c r="U289" s="5" t="n">
        <v>13</v>
      </c>
      <c r="V289" s="5" t="n">
        <v>3</v>
      </c>
      <c r="W289" s="5" t="n">
        <v>15</v>
      </c>
      <c r="X289" s="5" t="n">
        <v>23</v>
      </c>
      <c r="Y289" s="14">
        <f>IF(AND(ISNUMBER(C289),C289&gt;0,ISNUMBER(X289)),X289/C289-1,"")</f>
        <v/>
      </c>
    </row>
    <row r="290">
      <c r="A290" s="12" t="inlineStr">
        <is>
          <t>416</t>
        </is>
      </c>
      <c r="B290" s="13" t="inlineStr">
        <is>
          <t>General</t>
        </is>
      </c>
      <c r="C290" s="5" t="n">
        <v>123</v>
      </c>
      <c r="D290" s="5" t="n">
        <v>173</v>
      </c>
      <c r="E290" s="5" t="n">
        <v>162</v>
      </c>
      <c r="F290" s="5" t="n">
        <v>143</v>
      </c>
      <c r="G290" s="5" t="n">
        <v>145</v>
      </c>
      <c r="H290" s="5" t="n">
        <v>120</v>
      </c>
      <c r="I290" s="5" t="n">
        <v>283</v>
      </c>
      <c r="J290" s="5" t="n">
        <v>190</v>
      </c>
      <c r="K290" s="5" t="n">
        <v>321</v>
      </c>
      <c r="L290" s="5" t="n">
        <v>205</v>
      </c>
      <c r="M290" s="5" t="n">
        <v>118</v>
      </c>
      <c r="N290" s="5" t="n">
        <v>126</v>
      </c>
      <c r="O290" s="5" t="n">
        <v>160</v>
      </c>
      <c r="P290" s="5" t="n">
        <v>205</v>
      </c>
      <c r="Q290" s="5" t="n">
        <v>132</v>
      </c>
      <c r="R290" s="5" t="n">
        <v>147</v>
      </c>
      <c r="S290" s="5" t="n">
        <v>155</v>
      </c>
      <c r="T290" s="5" t="n">
        <v>189</v>
      </c>
      <c r="U290" s="5" t="n">
        <v>225</v>
      </c>
      <c r="V290" s="5" t="n">
        <v>258</v>
      </c>
      <c r="W290" s="5" t="n">
        <v>287</v>
      </c>
      <c r="X290" s="5" t="n">
        <v>233</v>
      </c>
      <c r="Y290" s="14">
        <f>IF(AND(ISNUMBER(C290),C290&gt;0,ISNUMBER(X290)),X290/C290-1,"")</f>
        <v/>
      </c>
    </row>
    <row r="291">
      <c r="A291" s="12" t="inlineStr">
        <is>
          <t>417</t>
        </is>
      </c>
      <c r="B291" s="13" t="inlineStr">
        <is>
          <t>General</t>
        </is>
      </c>
      <c r="C291" s="5" t="n">
        <v>68</v>
      </c>
      <c r="D291" s="5" t="n">
        <v>105</v>
      </c>
      <c r="E291" s="5" t="n">
        <v>114</v>
      </c>
      <c r="F291" s="5" t="n">
        <v>165</v>
      </c>
      <c r="G291" s="5" t="n">
        <v>123</v>
      </c>
      <c r="H291" s="5" t="n">
        <v>83</v>
      </c>
      <c r="I291" s="5" t="n">
        <v>82</v>
      </c>
      <c r="J291" s="5" t="n">
        <v>39</v>
      </c>
      <c r="K291" s="5" t="n">
        <v>33</v>
      </c>
      <c r="L291" s="5" t="n">
        <v>28</v>
      </c>
      <c r="M291" s="5" t="n">
        <v>20</v>
      </c>
      <c r="N291" s="5" t="n">
        <v>43</v>
      </c>
      <c r="O291" s="5" t="n">
        <v>34</v>
      </c>
      <c r="P291" s="5" t="n">
        <v>61</v>
      </c>
      <c r="Q291" s="5" t="n">
        <v>41</v>
      </c>
      <c r="R291" s="5" t="n">
        <v>63</v>
      </c>
      <c r="S291" s="5" t="n">
        <v>76</v>
      </c>
      <c r="T291" s="5" t="n">
        <v>65</v>
      </c>
      <c r="U291" s="5" t="n">
        <v>48</v>
      </c>
      <c r="V291" s="5" t="n">
        <v>47</v>
      </c>
      <c r="W291" s="5" t="n">
        <v>65</v>
      </c>
      <c r="X291" s="5" t="n">
        <v>31</v>
      </c>
      <c r="Y291" s="14">
        <f>IF(AND(ISNUMBER(C291),C291&gt;0,ISNUMBER(X291)),X291/C291-1,"")</f>
        <v/>
      </c>
    </row>
    <row r="292">
      <c r="A292" s="12" t="inlineStr">
        <is>
          <t>418</t>
        </is>
      </c>
      <c r="B292" s="13" t="inlineStr">
        <is>
          <t>General</t>
        </is>
      </c>
      <c r="C292" s="5" t="n">
        <v>252</v>
      </c>
      <c r="D292" s="5" t="n">
        <v>209</v>
      </c>
      <c r="E292" s="5" t="n">
        <v>278</v>
      </c>
      <c r="F292" s="5" t="n">
        <v>261</v>
      </c>
      <c r="G292" s="5" t="n">
        <v>197</v>
      </c>
      <c r="H292" s="5" t="n">
        <v>155</v>
      </c>
      <c r="I292" s="5" t="n">
        <v>158</v>
      </c>
      <c r="J292" s="5" t="n">
        <v>175</v>
      </c>
      <c r="K292" s="5" t="n">
        <v>195</v>
      </c>
      <c r="L292" s="5" t="n">
        <v>139</v>
      </c>
      <c r="M292" s="5" t="n">
        <v>76</v>
      </c>
      <c r="N292" s="5" t="n">
        <v>105</v>
      </c>
      <c r="O292" s="5" t="n">
        <v>94</v>
      </c>
      <c r="P292" s="5" t="n">
        <v>130</v>
      </c>
      <c r="Q292" s="5" t="n">
        <v>124</v>
      </c>
      <c r="R292" s="5" t="n">
        <v>117</v>
      </c>
      <c r="S292" s="5" t="n">
        <v>157</v>
      </c>
      <c r="T292" s="5" t="n">
        <v>150</v>
      </c>
      <c r="U292" s="5" t="n">
        <v>242</v>
      </c>
      <c r="V292" s="5" t="n">
        <v>138</v>
      </c>
      <c r="W292" s="5" t="n">
        <v>199</v>
      </c>
      <c r="X292" s="5" t="n">
        <v>159</v>
      </c>
      <c r="Y292" s="14">
        <f>IF(AND(ISNUMBER(C292),C292&gt;0,ISNUMBER(X292)),X292/C292-1,"")</f>
        <v/>
      </c>
    </row>
    <row r="293">
      <c r="A293" s="12" t="inlineStr">
        <is>
          <t>419</t>
        </is>
      </c>
      <c r="B293" s="13" t="inlineStr">
        <is>
          <t>General</t>
        </is>
      </c>
      <c r="C293" s="5" t="n">
        <v>112</v>
      </c>
      <c r="D293" s="5" t="n">
        <v>101</v>
      </c>
      <c r="E293" s="5" t="n">
        <v>110</v>
      </c>
      <c r="F293" s="5" t="n">
        <v>160</v>
      </c>
      <c r="G293" s="5" t="n">
        <v>92</v>
      </c>
      <c r="H293" s="5" t="n">
        <v>96</v>
      </c>
      <c r="I293" s="5" t="n">
        <v>85</v>
      </c>
      <c r="J293" s="5" t="n">
        <v>42</v>
      </c>
      <c r="K293" s="5" t="n">
        <v>78</v>
      </c>
      <c r="L293" s="5" t="n">
        <v>28</v>
      </c>
      <c r="M293" s="5" t="n">
        <v>37</v>
      </c>
      <c r="N293" s="5" t="n">
        <v>52</v>
      </c>
      <c r="O293" s="5" t="n">
        <v>66</v>
      </c>
      <c r="P293" s="5" t="n">
        <v>71</v>
      </c>
      <c r="Q293" s="5" t="n">
        <v>81</v>
      </c>
      <c r="R293" s="5" t="n">
        <v>117</v>
      </c>
      <c r="S293" s="5" t="n">
        <v>120</v>
      </c>
      <c r="T293" s="5" t="n">
        <v>127</v>
      </c>
      <c r="U293" s="5" t="n">
        <v>225</v>
      </c>
      <c r="V293" s="5" t="n">
        <v>218</v>
      </c>
      <c r="W293" s="5" t="n">
        <v>271</v>
      </c>
      <c r="X293" s="5" t="n">
        <v>228</v>
      </c>
      <c r="Y293" s="14">
        <f>IF(AND(ISNUMBER(C293),C293&gt;0,ISNUMBER(X293)),X293/C293-1,"")</f>
        <v/>
      </c>
    </row>
    <row r="294">
      <c r="A294" s="12" t="inlineStr">
        <is>
          <t>420</t>
        </is>
      </c>
      <c r="B294" s="13" t="inlineStr">
        <is>
          <t>General</t>
        </is>
      </c>
      <c r="C294" s="5" t="n">
        <v>23</v>
      </c>
      <c r="D294" s="5" t="n">
        <v>21</v>
      </c>
      <c r="E294" s="5" t="n">
        <v>32</v>
      </c>
      <c r="F294" s="5" t="n">
        <v>42</v>
      </c>
      <c r="G294" s="5" t="n">
        <v>36</v>
      </c>
      <c r="H294" s="5" t="n">
        <v>41</v>
      </c>
      <c r="I294" s="5" t="n">
        <v>22</v>
      </c>
      <c r="J294" s="5" t="n">
        <v>31</v>
      </c>
      <c r="K294" s="5" t="n">
        <v>53</v>
      </c>
      <c r="L294" s="5" t="n">
        <v>18</v>
      </c>
      <c r="M294" s="5" t="n">
        <v>17</v>
      </c>
      <c r="N294" s="5" t="n">
        <v>23</v>
      </c>
      <c r="O294" s="5" t="n">
        <v>39</v>
      </c>
      <c r="P294" s="5" t="n">
        <v>32</v>
      </c>
      <c r="Q294" s="5" t="n">
        <v>56</v>
      </c>
      <c r="R294" s="5" t="n">
        <v>62</v>
      </c>
      <c r="S294" s="5" t="n">
        <v>61</v>
      </c>
      <c r="T294" s="5" t="n">
        <v>38</v>
      </c>
      <c r="U294" s="5" t="n">
        <v>51</v>
      </c>
      <c r="V294" s="5" t="n">
        <v>52</v>
      </c>
      <c r="W294" s="5" t="n">
        <v>43</v>
      </c>
      <c r="X294" s="5" t="n">
        <v>52</v>
      </c>
      <c r="Y294" s="14">
        <f>IF(AND(ISNUMBER(C294),C294&gt;0,ISNUMBER(X294)),X294/C294-1,"")</f>
        <v/>
      </c>
    </row>
    <row r="295">
      <c r="A295" s="12" t="inlineStr">
        <is>
          <t>421</t>
        </is>
      </c>
      <c r="B295" s="13" t="inlineStr">
        <is>
          <t>General</t>
        </is>
      </c>
      <c r="C295" s="5" t="n">
        <v>104</v>
      </c>
      <c r="D295" s="5" t="n">
        <v>198</v>
      </c>
      <c r="E295" s="5" t="n">
        <v>127</v>
      </c>
      <c r="F295" s="5" t="n">
        <v>83</v>
      </c>
      <c r="G295" s="5" t="n">
        <v>125</v>
      </c>
      <c r="H295" s="5" t="n">
        <v>124</v>
      </c>
      <c r="I295" s="5" t="n">
        <v>97</v>
      </c>
      <c r="J295" s="5" t="n">
        <v>92</v>
      </c>
      <c r="K295" s="5" t="n">
        <v>113</v>
      </c>
      <c r="L295" s="5" t="n">
        <v>47</v>
      </c>
      <c r="M295" s="5" t="n">
        <v>79</v>
      </c>
      <c r="N295" s="5" t="n">
        <v>73</v>
      </c>
      <c r="O295" s="5" t="n">
        <v>60</v>
      </c>
      <c r="P295" s="5" t="n">
        <v>103</v>
      </c>
      <c r="Q295" s="5" t="n">
        <v>121</v>
      </c>
      <c r="R295" s="5" t="n">
        <v>89</v>
      </c>
      <c r="S295" s="5" t="n">
        <v>198</v>
      </c>
      <c r="T295" s="5" t="n">
        <v>251</v>
      </c>
      <c r="U295" s="5" t="n">
        <v>379</v>
      </c>
      <c r="V295" s="5" t="n">
        <v>427</v>
      </c>
      <c r="W295" s="5" t="n">
        <v>407</v>
      </c>
      <c r="X295" s="5" t="n">
        <v>397</v>
      </c>
      <c r="Y295" s="14">
        <f>IF(AND(ISNUMBER(C295),C295&gt;0,ISNUMBER(X295)),X295/C295-1,"")</f>
        <v/>
      </c>
    </row>
    <row r="296">
      <c r="A296" s="12" t="inlineStr">
        <is>
          <t>422</t>
        </is>
      </c>
      <c r="B296" s="13" t="inlineStr">
        <is>
          <t>General</t>
        </is>
      </c>
      <c r="C296" s="5" t="n">
        <v>93</v>
      </c>
      <c r="D296" s="5" t="n">
        <v>72</v>
      </c>
      <c r="E296" s="5" t="n">
        <v>114</v>
      </c>
      <c r="F296" s="5" t="n">
        <v>67</v>
      </c>
      <c r="G296" s="5" t="n">
        <v>66</v>
      </c>
      <c r="H296" s="5" t="n">
        <v>86</v>
      </c>
      <c r="I296" s="5" t="n">
        <v>93</v>
      </c>
      <c r="J296" s="5" t="n">
        <v>69</v>
      </c>
      <c r="K296" s="5" t="n">
        <v>112</v>
      </c>
      <c r="L296" s="5" t="n">
        <v>87</v>
      </c>
      <c r="M296" s="5" t="n">
        <v>88</v>
      </c>
      <c r="N296" s="5" t="n">
        <v>100</v>
      </c>
      <c r="O296" s="5" t="n">
        <v>155</v>
      </c>
      <c r="P296" s="5" t="n">
        <v>194</v>
      </c>
      <c r="Q296" s="5" t="n">
        <v>196</v>
      </c>
      <c r="R296" s="5" t="n">
        <v>169</v>
      </c>
      <c r="S296" s="5" t="n">
        <v>167</v>
      </c>
      <c r="T296" s="5" t="n">
        <v>134</v>
      </c>
      <c r="U296" s="5" t="n">
        <v>119</v>
      </c>
      <c r="V296" s="5" t="n">
        <v>195</v>
      </c>
      <c r="W296" s="5" t="n">
        <v>137</v>
      </c>
      <c r="X296" s="5" t="n">
        <v>187</v>
      </c>
      <c r="Y296" s="14">
        <f>IF(AND(ISNUMBER(C296),C296&gt;0,ISNUMBER(X296)),X296/C296-1,"")</f>
        <v/>
      </c>
    </row>
    <row r="297">
      <c r="A297" s="12" t="inlineStr">
        <is>
          <t>423</t>
        </is>
      </c>
      <c r="B297" s="4" t="inlineStr"/>
      <c r="C297" s="5" t="n">
        <v>57</v>
      </c>
      <c r="D297" s="5" t="n">
        <v>82</v>
      </c>
      <c r="E297" s="5" t="n">
        <v>96</v>
      </c>
      <c r="F297" s="5" t="n">
        <v>88</v>
      </c>
      <c r="G297" s="5" t="n">
        <v>61</v>
      </c>
      <c r="H297" s="5" t="n">
        <v>66</v>
      </c>
      <c r="I297" s="5" t="n">
        <v>73</v>
      </c>
      <c r="J297" s="5" t="n">
        <v>127</v>
      </c>
      <c r="K297" s="5" t="n">
        <v>81</v>
      </c>
      <c r="L297" s="5" t="n">
        <v>88</v>
      </c>
      <c r="M297" s="5" t="n">
        <v>68</v>
      </c>
      <c r="N297" s="5" t="n">
        <v>79</v>
      </c>
      <c r="O297" s="5" t="n">
        <v>66</v>
      </c>
      <c r="P297" s="5" t="n">
        <v>87</v>
      </c>
      <c r="Q297" s="5" t="n">
        <v>65</v>
      </c>
      <c r="R297" s="5" t="n">
        <v>90</v>
      </c>
      <c r="S297" s="5" t="n">
        <v>146</v>
      </c>
      <c r="T297" s="5" t="n">
        <v>110</v>
      </c>
      <c r="U297" s="5" t="n"/>
      <c r="V297" s="5" t="n"/>
      <c r="W297" s="5" t="n"/>
      <c r="X297" s="5" t="n"/>
      <c r="Y297" s="14">
        <f>IF(AND(ISNUMBER(C297),C297&gt;0,ISNUMBER(X297)),X297/C297-1,"")</f>
        <v/>
      </c>
    </row>
    <row r="298">
      <c r="A298" s="12" t="inlineStr">
        <is>
          <t>424</t>
        </is>
      </c>
      <c r="B298" s="13" t="inlineStr">
        <is>
          <t>General</t>
        </is>
      </c>
      <c r="C298" s="5" t="n">
        <v>99</v>
      </c>
      <c r="D298" s="5" t="n">
        <v>25</v>
      </c>
      <c r="E298" s="5" t="n">
        <v>63</v>
      </c>
      <c r="F298" s="5" t="n">
        <v>55</v>
      </c>
      <c r="G298" s="5" t="n">
        <v>48</v>
      </c>
      <c r="H298" s="5" t="n">
        <v>33</v>
      </c>
      <c r="I298" s="5" t="n">
        <v>51</v>
      </c>
      <c r="J298" s="5" t="n">
        <v>25</v>
      </c>
      <c r="K298" s="5" t="n">
        <v>21</v>
      </c>
      <c r="L298" s="5" t="n">
        <v>31</v>
      </c>
      <c r="M298" s="5" t="n">
        <v>20</v>
      </c>
      <c r="N298" s="5" t="n">
        <v>17</v>
      </c>
      <c r="O298" s="5" t="n">
        <v>27</v>
      </c>
      <c r="P298" s="5" t="n">
        <v>12</v>
      </c>
      <c r="Q298" s="5" t="n">
        <v>13</v>
      </c>
      <c r="R298" s="5" t="n">
        <v>17</v>
      </c>
      <c r="S298" s="5" t="n">
        <v>14</v>
      </c>
      <c r="T298" s="5" t="n">
        <v>12</v>
      </c>
      <c r="U298" s="5" t="n">
        <v>23</v>
      </c>
      <c r="V298" s="5" t="n">
        <v>7</v>
      </c>
      <c r="W298" s="5" t="n">
        <v>15</v>
      </c>
      <c r="X298" s="5" t="n">
        <v>62</v>
      </c>
      <c r="Y298" s="14">
        <f>IF(AND(ISNUMBER(C298),C298&gt;0,ISNUMBER(X298)),X298/C298-1,"")</f>
        <v/>
      </c>
    </row>
    <row r="299">
      <c r="A299" s="12" t="inlineStr">
        <is>
          <t>425</t>
        </is>
      </c>
      <c r="B299" s="13" t="inlineStr">
        <is>
          <t>General</t>
        </is>
      </c>
      <c r="C299" s="5" t="n">
        <v>40</v>
      </c>
      <c r="D299" s="5" t="n">
        <v>71</v>
      </c>
      <c r="E299" s="5" t="n">
        <v>99</v>
      </c>
      <c r="F299" s="5" t="n">
        <v>49</v>
      </c>
      <c r="G299" s="5" t="n">
        <v>89</v>
      </c>
      <c r="H299" s="5" t="n">
        <v>89</v>
      </c>
      <c r="I299" s="5" t="n">
        <v>115</v>
      </c>
      <c r="J299" s="5" t="n">
        <v>123</v>
      </c>
      <c r="K299" s="5" t="n">
        <v>110</v>
      </c>
      <c r="L299" s="5" t="n">
        <v>45</v>
      </c>
      <c r="M299" s="5" t="n">
        <v>84</v>
      </c>
      <c r="N299" s="5" t="n">
        <v>67</v>
      </c>
      <c r="O299" s="5" t="n">
        <v>96</v>
      </c>
      <c r="P299" s="5" t="n">
        <v>125</v>
      </c>
      <c r="Q299" s="5" t="n">
        <v>62</v>
      </c>
      <c r="R299" s="5" t="n">
        <v>105</v>
      </c>
      <c r="S299" s="5" t="n">
        <v>219</v>
      </c>
      <c r="T299" s="5" t="n">
        <v>106</v>
      </c>
      <c r="U299" s="5" t="n">
        <v>115</v>
      </c>
      <c r="V299" s="5" t="n">
        <v>132</v>
      </c>
      <c r="W299" s="5" t="n">
        <v>110</v>
      </c>
      <c r="X299" s="5" t="n">
        <v>114</v>
      </c>
      <c r="Y299" s="14">
        <f>IF(AND(ISNUMBER(C299),C299&gt;0,ISNUMBER(X299)),X299/C299-1,"")</f>
        <v/>
      </c>
    </row>
    <row r="300">
      <c r="A300" s="12" t="inlineStr">
        <is>
          <t>426</t>
        </is>
      </c>
      <c r="B300" s="13" t="inlineStr">
        <is>
          <t>General</t>
        </is>
      </c>
      <c r="C300" s="5" t="n">
        <v>132</v>
      </c>
      <c r="D300" s="5" t="n">
        <v>128</v>
      </c>
      <c r="E300" s="5" t="n">
        <v>109</v>
      </c>
      <c r="F300" s="5" t="n">
        <v>123</v>
      </c>
      <c r="G300" s="5" t="n">
        <v>145</v>
      </c>
      <c r="H300" s="5" t="n">
        <v>124</v>
      </c>
      <c r="I300" s="5" t="n">
        <v>98</v>
      </c>
      <c r="J300" s="5" t="n">
        <v>31</v>
      </c>
      <c r="K300" s="5" t="n">
        <v>61</v>
      </c>
      <c r="L300" s="5" t="n">
        <v>34</v>
      </c>
      <c r="M300" s="5" t="n">
        <v>32</v>
      </c>
      <c r="N300" s="5" t="n">
        <v>26</v>
      </c>
      <c r="O300" s="5" t="n">
        <v>66</v>
      </c>
      <c r="P300" s="5" t="n">
        <v>63</v>
      </c>
      <c r="Q300" s="5" t="n">
        <v>92</v>
      </c>
      <c r="R300" s="5" t="n">
        <v>126</v>
      </c>
      <c r="S300" s="5" t="n">
        <v>88</v>
      </c>
      <c r="T300" s="5" t="n">
        <v>127</v>
      </c>
      <c r="U300" s="5" t="n">
        <v>159</v>
      </c>
      <c r="V300" s="5" t="n">
        <v>138</v>
      </c>
      <c r="W300" s="5" t="n">
        <v>129</v>
      </c>
      <c r="X300" s="5" t="n">
        <v>113</v>
      </c>
      <c r="Y300" s="14">
        <f>IF(AND(ISNUMBER(C300),C300&gt;0,ISNUMBER(X300)),X300/C300-1,"")</f>
        <v/>
      </c>
    </row>
    <row r="301">
      <c r="A301" s="12" t="inlineStr">
        <is>
          <t>432</t>
        </is>
      </c>
      <c r="B301" s="13" t="inlineStr">
        <is>
          <t>General</t>
        </is>
      </c>
      <c r="C301" s="5" t="n">
        <v>120</v>
      </c>
      <c r="D301" s="5" t="n">
        <v>105</v>
      </c>
      <c r="E301" s="5" t="n">
        <v>132</v>
      </c>
      <c r="F301" s="5" t="n">
        <v>120</v>
      </c>
      <c r="G301" s="5" t="n">
        <v>93</v>
      </c>
      <c r="H301" s="5" t="n">
        <v>118</v>
      </c>
      <c r="I301" s="5" t="n">
        <v>73</v>
      </c>
      <c r="J301" s="5" t="n">
        <v>87</v>
      </c>
      <c r="K301" s="5" t="n">
        <v>105</v>
      </c>
      <c r="L301" s="5" t="n">
        <v>76</v>
      </c>
      <c r="M301" s="5" t="n">
        <v>62</v>
      </c>
      <c r="N301" s="5" t="n">
        <v>62</v>
      </c>
      <c r="O301" s="5" t="n">
        <v>73</v>
      </c>
      <c r="P301" s="5" t="n">
        <v>74</v>
      </c>
      <c r="Q301" s="5" t="n">
        <v>125</v>
      </c>
      <c r="R301" s="5" t="n">
        <v>93</v>
      </c>
      <c r="S301" s="5" t="n">
        <v>97</v>
      </c>
      <c r="T301" s="5" t="n">
        <v>75</v>
      </c>
      <c r="U301" s="5" t="n"/>
      <c r="V301" s="5" t="n"/>
      <c r="W301" s="5" t="n"/>
      <c r="X301" s="5" t="n"/>
      <c r="Y301" s="14">
        <f>IF(AND(ISNUMBER(C301),C301&gt;0,ISNUMBER(X301)),X301/C301-1,"")</f>
        <v/>
      </c>
    </row>
    <row r="302">
      <c r="A302" s="12" t="inlineStr">
        <is>
          <t>441</t>
        </is>
      </c>
      <c r="B302" s="13" t="inlineStr">
        <is>
          <t>General</t>
        </is>
      </c>
      <c r="C302" s="5" t="n">
        <v>156</v>
      </c>
      <c r="D302" s="5" t="n">
        <v>186</v>
      </c>
      <c r="E302" s="5" t="n">
        <v>193</v>
      </c>
      <c r="F302" s="5" t="n">
        <v>212</v>
      </c>
      <c r="G302" s="5" t="n">
        <v>153</v>
      </c>
      <c r="H302" s="5" t="n">
        <v>154</v>
      </c>
      <c r="I302" s="5" t="n">
        <v>204</v>
      </c>
      <c r="J302" s="5" t="n">
        <v>172</v>
      </c>
      <c r="K302" s="5" t="n">
        <v>190</v>
      </c>
      <c r="L302" s="5" t="n">
        <v>130</v>
      </c>
      <c r="M302" s="5" t="n">
        <v>155</v>
      </c>
      <c r="N302" s="5" t="n">
        <v>203</v>
      </c>
      <c r="O302" s="5" t="n">
        <v>216</v>
      </c>
      <c r="P302" s="5" t="n">
        <v>240</v>
      </c>
      <c r="Q302" s="5" t="n">
        <v>189</v>
      </c>
      <c r="R302" s="5" t="n">
        <v>127</v>
      </c>
      <c r="S302" s="5" t="n">
        <v>164</v>
      </c>
      <c r="T302" s="5" t="n">
        <v>137</v>
      </c>
      <c r="U302" s="5" t="n">
        <v>161</v>
      </c>
      <c r="V302" s="5" t="n">
        <v>185</v>
      </c>
      <c r="W302" s="5" t="n">
        <v>149</v>
      </c>
      <c r="X302" s="5" t="n">
        <v>144</v>
      </c>
      <c r="Y302" s="14">
        <f>IF(AND(ISNUMBER(C302),C302&gt;0,ISNUMBER(X302)),X302/C302-1,"")</f>
        <v/>
      </c>
    </row>
    <row r="303">
      <c r="A303" s="12" t="inlineStr">
        <is>
          <t>442</t>
        </is>
      </c>
      <c r="B303" s="13" t="inlineStr">
        <is>
          <t>General</t>
        </is>
      </c>
      <c r="C303" s="5" t="n">
        <v>123</v>
      </c>
      <c r="D303" s="5" t="n">
        <v>49</v>
      </c>
      <c r="E303" s="5" t="n">
        <v>134</v>
      </c>
      <c r="F303" s="5" t="n">
        <v>114</v>
      </c>
      <c r="G303" s="5" t="n">
        <v>61</v>
      </c>
      <c r="H303" s="5" t="n">
        <v>80</v>
      </c>
      <c r="I303" s="5" t="n">
        <v>105</v>
      </c>
      <c r="J303" s="5" t="n">
        <v>121</v>
      </c>
      <c r="K303" s="5" t="n">
        <v>77</v>
      </c>
      <c r="L303" s="5" t="n">
        <v>109</v>
      </c>
      <c r="M303" s="5" t="n">
        <v>70</v>
      </c>
      <c r="N303" s="5" t="n">
        <v>70</v>
      </c>
      <c r="O303" s="5" t="n">
        <v>66</v>
      </c>
      <c r="P303" s="5" t="n">
        <v>82</v>
      </c>
      <c r="Q303" s="5" t="n">
        <v>71</v>
      </c>
      <c r="R303" s="5" t="n">
        <v>53</v>
      </c>
      <c r="S303" s="5" t="n">
        <v>96</v>
      </c>
      <c r="T303" s="5" t="n">
        <v>70</v>
      </c>
      <c r="U303" s="5" t="n">
        <v>90</v>
      </c>
      <c r="V303" s="5" t="n">
        <v>83</v>
      </c>
      <c r="W303" s="5" t="n">
        <v>79</v>
      </c>
      <c r="X303" s="5" t="n">
        <v>67</v>
      </c>
      <c r="Y303" s="14">
        <f>IF(AND(ISNUMBER(C303),C303&gt;0,ISNUMBER(X303)),X303/C303-1,"")</f>
        <v/>
      </c>
    </row>
    <row r="304">
      <c r="A304" s="12" t="inlineStr">
        <is>
          <t>444</t>
        </is>
      </c>
      <c r="B304" s="13" t="inlineStr">
        <is>
          <t>General</t>
        </is>
      </c>
      <c r="C304" s="5" t="n">
        <v>217</v>
      </c>
      <c r="D304" s="5" t="n">
        <v>230</v>
      </c>
      <c r="E304" s="5" t="n">
        <v>251</v>
      </c>
      <c r="F304" s="5" t="n">
        <v>384</v>
      </c>
      <c r="G304" s="5" t="n">
        <v>256</v>
      </c>
      <c r="H304" s="5" t="n">
        <v>298</v>
      </c>
      <c r="I304" s="5" t="n">
        <v>322</v>
      </c>
      <c r="J304" s="5" t="n">
        <v>401</v>
      </c>
      <c r="K304" s="5" t="n">
        <v>406</v>
      </c>
      <c r="L304" s="5" t="n">
        <v>247</v>
      </c>
      <c r="M304" s="5" t="n">
        <v>368</v>
      </c>
      <c r="N304" s="5" t="n">
        <v>443</v>
      </c>
      <c r="O304" s="5" t="n">
        <v>381</v>
      </c>
      <c r="P304" s="5" t="n">
        <v>351</v>
      </c>
      <c r="Q304" s="5" t="n">
        <v>486</v>
      </c>
      <c r="R304" s="5" t="n">
        <v>354</v>
      </c>
      <c r="S304" s="5" t="n">
        <v>511</v>
      </c>
      <c r="T304" s="5" t="n">
        <v>563</v>
      </c>
      <c r="U304" s="5" t="n">
        <v>379</v>
      </c>
      <c r="V304" s="5" t="n">
        <v>426</v>
      </c>
      <c r="W304" s="5" t="n">
        <v>577</v>
      </c>
      <c r="X304" s="5" t="n">
        <v>491</v>
      </c>
      <c r="Y304" s="14">
        <f>IF(AND(ISNUMBER(C304),C304&gt;0,ISNUMBER(X304)),X304/C304-1,"")</f>
        <v/>
      </c>
    </row>
    <row r="305">
      <c r="A305" s="12" t="inlineStr">
        <is>
          <t>445</t>
        </is>
      </c>
      <c r="B305" s="13" t="inlineStr">
        <is>
          <t>General</t>
        </is>
      </c>
      <c r="C305" s="5" t="n">
        <v>590</v>
      </c>
      <c r="D305" s="5" t="n">
        <v>429</v>
      </c>
      <c r="E305" s="5" t="n">
        <v>559</v>
      </c>
      <c r="F305" s="5" t="n">
        <v>692</v>
      </c>
      <c r="G305" s="5" t="n">
        <v>720</v>
      </c>
      <c r="H305" s="5" t="n">
        <v>1126</v>
      </c>
      <c r="I305" s="5" t="n">
        <v>879</v>
      </c>
      <c r="J305" s="5" t="n">
        <v>1079</v>
      </c>
      <c r="K305" s="5" t="n">
        <v>1016</v>
      </c>
      <c r="L305" s="5" t="n">
        <v>607</v>
      </c>
      <c r="M305" s="5" t="n">
        <v>246</v>
      </c>
      <c r="N305" s="5" t="n">
        <v>272</v>
      </c>
      <c r="O305" s="5" t="n">
        <v>343</v>
      </c>
      <c r="P305" s="5" t="n">
        <v>479</v>
      </c>
      <c r="Q305" s="5" t="n">
        <v>424</v>
      </c>
      <c r="R305" s="5" t="n">
        <v>601</v>
      </c>
      <c r="S305" s="5" t="n">
        <v>593</v>
      </c>
      <c r="T305" s="5" t="n">
        <v>538</v>
      </c>
      <c r="U305" s="5" t="n">
        <v>565</v>
      </c>
      <c r="V305" s="5" t="n">
        <v>548</v>
      </c>
      <c r="W305" s="5" t="n">
        <v>707</v>
      </c>
      <c r="X305" s="5" t="n">
        <v>658</v>
      </c>
      <c r="Y305" s="14">
        <f>IF(AND(ISNUMBER(C305),C305&gt;0,ISNUMBER(X305)),X305/C305-1,"")</f>
        <v/>
      </c>
    </row>
    <row r="306">
      <c r="A306" s="12" t="inlineStr">
        <is>
          <t>446</t>
        </is>
      </c>
      <c r="B306" s="13" t="inlineStr">
        <is>
          <t>General</t>
        </is>
      </c>
      <c r="C306" s="5" t="n">
        <v>148</v>
      </c>
      <c r="D306" s="5" t="n">
        <v>156</v>
      </c>
      <c r="E306" s="5" t="n">
        <v>166</v>
      </c>
      <c r="F306" s="5" t="n">
        <v>199</v>
      </c>
      <c r="G306" s="5" t="n">
        <v>184</v>
      </c>
      <c r="H306" s="5" t="n">
        <v>152</v>
      </c>
      <c r="I306" s="5" t="n">
        <v>193</v>
      </c>
      <c r="J306" s="5" t="n">
        <v>144</v>
      </c>
      <c r="K306" s="5" t="n">
        <v>195</v>
      </c>
      <c r="L306" s="5" t="n">
        <v>194</v>
      </c>
      <c r="M306" s="5" t="n">
        <v>189</v>
      </c>
      <c r="N306" s="5" t="n">
        <v>226</v>
      </c>
      <c r="O306" s="5" t="n">
        <v>216</v>
      </c>
      <c r="P306" s="5" t="n">
        <v>240</v>
      </c>
      <c r="Q306" s="5" t="n">
        <v>211</v>
      </c>
      <c r="R306" s="5" t="n">
        <v>267</v>
      </c>
      <c r="S306" s="5" t="n">
        <v>278</v>
      </c>
      <c r="T306" s="5" t="n">
        <v>225</v>
      </c>
      <c r="U306" s="5" t="n">
        <v>275</v>
      </c>
      <c r="V306" s="5" t="n">
        <v>218</v>
      </c>
      <c r="W306" s="5" t="n">
        <v>231</v>
      </c>
      <c r="X306" s="5" t="n">
        <v>187</v>
      </c>
      <c r="Y306" s="14">
        <f>IF(AND(ISNUMBER(C306),C306&gt;0,ISNUMBER(X306)),X306/C306-1,"")</f>
        <v/>
      </c>
    </row>
    <row r="307">
      <c r="A307" s="12" t="inlineStr">
        <is>
          <t>447</t>
        </is>
      </c>
      <c r="B307" s="13" t="inlineStr">
        <is>
          <t>General</t>
        </is>
      </c>
      <c r="C307" s="5" t="n">
        <v>389</v>
      </c>
      <c r="D307" s="5" t="n">
        <v>352</v>
      </c>
      <c r="E307" s="5" t="n">
        <v>447</v>
      </c>
      <c r="F307" s="5" t="n">
        <v>405</v>
      </c>
      <c r="G307" s="5" t="n">
        <v>462</v>
      </c>
      <c r="H307" s="5" t="n">
        <v>346</v>
      </c>
      <c r="I307" s="5" t="n">
        <v>412</v>
      </c>
      <c r="J307" s="5" t="n">
        <v>346</v>
      </c>
      <c r="K307" s="5" t="n">
        <v>275</v>
      </c>
      <c r="L307" s="5" t="n">
        <v>247</v>
      </c>
      <c r="M307" s="5" t="n">
        <v>220</v>
      </c>
      <c r="N307" s="5" t="n">
        <v>250</v>
      </c>
      <c r="O307" s="5" t="n">
        <v>285</v>
      </c>
      <c r="P307" s="5" t="n">
        <v>243</v>
      </c>
      <c r="Q307" s="5" t="n">
        <v>412</v>
      </c>
      <c r="R307" s="5" t="n">
        <v>309</v>
      </c>
      <c r="S307" s="5" t="n">
        <v>426</v>
      </c>
      <c r="T307" s="5" t="n">
        <v>353</v>
      </c>
      <c r="U307" s="5" t="n">
        <v>544</v>
      </c>
      <c r="V307" s="5" t="n">
        <v>441</v>
      </c>
      <c r="W307" s="5" t="n">
        <v>522</v>
      </c>
      <c r="X307" s="5" t="n">
        <v>376</v>
      </c>
      <c r="Y307" s="14">
        <f>IF(AND(ISNUMBER(C307),C307&gt;0,ISNUMBER(X307)),X307/C307-1,"")</f>
        <v/>
      </c>
    </row>
    <row r="308">
      <c r="A308" s="12" t="inlineStr">
        <is>
          <t>448</t>
        </is>
      </c>
      <c r="B308" s="13" t="inlineStr">
        <is>
          <t>General</t>
        </is>
      </c>
      <c r="C308" s="5" t="n">
        <v>55</v>
      </c>
      <c r="D308" s="5" t="n">
        <v>69</v>
      </c>
      <c r="E308" s="5" t="n">
        <v>48</v>
      </c>
      <c r="F308" s="5" t="n">
        <v>82</v>
      </c>
      <c r="G308" s="5" t="n">
        <v>64</v>
      </c>
      <c r="H308" s="5" t="n">
        <v>52</v>
      </c>
      <c r="I308" s="5" t="n">
        <v>28</v>
      </c>
      <c r="J308" s="5" t="n">
        <v>34</v>
      </c>
      <c r="K308" s="5" t="n">
        <v>58</v>
      </c>
      <c r="L308" s="5" t="n">
        <v>56</v>
      </c>
      <c r="M308" s="5" t="n">
        <v>40</v>
      </c>
      <c r="N308" s="5" t="n">
        <v>43</v>
      </c>
      <c r="O308" s="5" t="n">
        <v>42</v>
      </c>
      <c r="P308" s="5" t="n">
        <v>35</v>
      </c>
      <c r="Q308" s="5" t="n">
        <v>47</v>
      </c>
      <c r="R308" s="5" t="n">
        <v>64</v>
      </c>
      <c r="S308" s="5" t="n">
        <v>42</v>
      </c>
      <c r="T308" s="5" t="n">
        <v>68</v>
      </c>
      <c r="U308" s="5" t="n">
        <v>68</v>
      </c>
      <c r="V308" s="5" t="n">
        <v>84</v>
      </c>
      <c r="W308" s="5" t="n">
        <v>93</v>
      </c>
      <c r="X308" s="5" t="n">
        <v>91</v>
      </c>
      <c r="Y308" s="14">
        <f>IF(AND(ISNUMBER(C308),C308&gt;0,ISNUMBER(X308)),X308/C308-1,"")</f>
        <v/>
      </c>
    </row>
    <row r="309">
      <c r="A309" s="12" t="inlineStr">
        <is>
          <t>449</t>
        </is>
      </c>
      <c r="B309" s="4" t="inlineStr"/>
      <c r="C309" s="5" t="n">
        <v>111</v>
      </c>
      <c r="D309" s="5" t="n">
        <v>93</v>
      </c>
      <c r="E309" s="5" t="n">
        <v>85</v>
      </c>
      <c r="F309" s="5" t="n">
        <v>49</v>
      </c>
      <c r="G309" s="5" t="n">
        <v>56</v>
      </c>
      <c r="H309" s="5" t="n">
        <v>67</v>
      </c>
      <c r="I309" s="5" t="n">
        <v>76</v>
      </c>
      <c r="J309" s="5" t="n">
        <v>81</v>
      </c>
      <c r="K309" s="5" t="n">
        <v>94</v>
      </c>
      <c r="L309" s="5" t="n">
        <v>59</v>
      </c>
      <c r="M309" s="5" t="n">
        <v>84</v>
      </c>
      <c r="N309" s="5" t="n">
        <v>80</v>
      </c>
      <c r="O309" s="5" t="n">
        <v>82</v>
      </c>
      <c r="P309" s="5" t="n">
        <v>60</v>
      </c>
      <c r="Q309" s="5" t="n">
        <v>64</v>
      </c>
      <c r="R309" s="5" t="n">
        <v>49</v>
      </c>
      <c r="S309" s="5" t="n"/>
      <c r="T309" s="5" t="n"/>
      <c r="U309" s="5" t="n"/>
      <c r="V309" s="5" t="n"/>
      <c r="W309" s="5" t="n"/>
      <c r="X309" s="5" t="n"/>
      <c r="Y309" s="14">
        <f>IF(AND(ISNUMBER(C309),C309&gt;0,ISNUMBER(X309)),X309/C309-1,"")</f>
        <v/>
      </c>
    </row>
    <row r="310">
      <c r="A310" s="12" t="inlineStr">
        <is>
          <t>450</t>
        </is>
      </c>
      <c r="B310" s="13" t="inlineStr">
        <is>
          <t>General</t>
        </is>
      </c>
      <c r="C310" s="5" t="n">
        <v>163</v>
      </c>
      <c r="D310" s="5" t="n">
        <v>212</v>
      </c>
      <c r="E310" s="5" t="n">
        <v>150</v>
      </c>
      <c r="F310" s="5" t="n">
        <v>190</v>
      </c>
      <c r="G310" s="5" t="n">
        <v>135</v>
      </c>
      <c r="H310" s="5" t="n">
        <v>193</v>
      </c>
      <c r="I310" s="5" t="n">
        <v>148</v>
      </c>
      <c r="J310" s="5" t="n">
        <v>173</v>
      </c>
      <c r="K310" s="5" t="n">
        <v>214</v>
      </c>
      <c r="L310" s="5" t="n">
        <v>152</v>
      </c>
      <c r="M310" s="5" t="n">
        <v>110</v>
      </c>
      <c r="N310" s="5" t="n">
        <v>148</v>
      </c>
      <c r="O310" s="5" t="n">
        <v>181</v>
      </c>
      <c r="P310" s="5" t="n">
        <v>144</v>
      </c>
      <c r="Q310" s="5" t="n">
        <v>175</v>
      </c>
      <c r="R310" s="5" t="n">
        <v>92</v>
      </c>
      <c r="S310" s="5" t="n">
        <v>82</v>
      </c>
      <c r="T310" s="5" t="n">
        <v>76</v>
      </c>
      <c r="U310" s="5" t="n">
        <v>136</v>
      </c>
      <c r="V310" s="5" t="n">
        <v>156</v>
      </c>
      <c r="W310" s="5" t="n">
        <v>140</v>
      </c>
      <c r="X310" s="5" t="n">
        <v>115</v>
      </c>
      <c r="Y310" s="14">
        <f>IF(AND(ISNUMBER(C310),C310&gt;0,ISNUMBER(X310)),X310/C310-1,"")</f>
        <v/>
      </c>
    </row>
    <row r="311">
      <c r="A311" s="12" t="inlineStr">
        <is>
          <t>451</t>
        </is>
      </c>
      <c r="B311" s="13" t="inlineStr">
        <is>
          <t>General</t>
        </is>
      </c>
      <c r="C311" s="5" t="n"/>
      <c r="D311" s="5" t="n"/>
      <c r="E311" s="5" t="n"/>
      <c r="F311" s="5" t="n"/>
      <c r="G311" s="5" t="n"/>
      <c r="H311" s="5" t="n"/>
      <c r="I311" s="5" t="n"/>
      <c r="J311" s="5" t="n"/>
      <c r="K311" s="5" t="n"/>
      <c r="L311" s="5" t="n"/>
      <c r="M311" s="5" t="n"/>
      <c r="N311" s="5" t="n"/>
      <c r="O311" s="5" t="n">
        <v>3</v>
      </c>
      <c r="P311" s="5" t="n">
        <v>6</v>
      </c>
      <c r="Q311" s="5" t="n">
        <v>16</v>
      </c>
      <c r="R311" s="5" t="n">
        <v>3</v>
      </c>
      <c r="S311" s="5" t="n">
        <v>27</v>
      </c>
      <c r="T311" s="5" t="n">
        <v>15</v>
      </c>
      <c r="U311" s="5" t="n">
        <v>13</v>
      </c>
      <c r="V311" s="5" t="n">
        <v>17</v>
      </c>
      <c r="W311" s="5" t="n">
        <v>20</v>
      </c>
      <c r="X311" s="5" t="n">
        <v>3</v>
      </c>
      <c r="Y311" s="14">
        <f>IF(AND(ISNUMBER(C311),C311&gt;0,ISNUMBER(X311)),X311/C311-1,"")</f>
        <v/>
      </c>
    </row>
    <row r="312">
      <c r="A312" s="12" t="inlineStr">
        <is>
          <t>452</t>
        </is>
      </c>
      <c r="B312" s="13" t="inlineStr">
        <is>
          <t>General</t>
        </is>
      </c>
      <c r="C312" s="5" t="n">
        <v>48</v>
      </c>
      <c r="D312" s="5" t="n">
        <v>56</v>
      </c>
      <c r="E312" s="5" t="n">
        <v>56</v>
      </c>
      <c r="F312" s="5" t="n">
        <v>38</v>
      </c>
      <c r="G312" s="5" t="n">
        <v>50</v>
      </c>
      <c r="H312" s="5" t="n">
        <v>50</v>
      </c>
      <c r="I312" s="5" t="n">
        <v>45</v>
      </c>
      <c r="J312" s="5" t="n">
        <v>41</v>
      </c>
      <c r="K312" s="5" t="n">
        <v>41</v>
      </c>
      <c r="L312" s="5" t="n">
        <v>24</v>
      </c>
      <c r="M312" s="5" t="n">
        <v>44</v>
      </c>
      <c r="N312" s="5" t="n">
        <v>72</v>
      </c>
      <c r="O312" s="5" t="n">
        <v>50</v>
      </c>
      <c r="P312" s="5" t="n">
        <v>29</v>
      </c>
      <c r="Q312" s="5" t="n">
        <v>36</v>
      </c>
      <c r="R312" s="5" t="n">
        <v>55</v>
      </c>
      <c r="S312" s="5" t="n">
        <v>149</v>
      </c>
      <c r="T312" s="5" t="n">
        <v>123</v>
      </c>
      <c r="U312" s="5" t="n">
        <v>152</v>
      </c>
      <c r="V312" s="5" t="n">
        <v>93</v>
      </c>
      <c r="W312" s="5" t="n">
        <v>139</v>
      </c>
      <c r="X312" s="5" t="n">
        <v>113</v>
      </c>
      <c r="Y312" s="14">
        <f>IF(AND(ISNUMBER(C312),C312&gt;0,ISNUMBER(X312)),X312/C312-1,"")</f>
        <v/>
      </c>
    </row>
    <row r="313">
      <c r="A313" s="12" t="inlineStr">
        <is>
          <t>454</t>
        </is>
      </c>
      <c r="B313" s="4" t="inlineStr"/>
      <c r="C313" s="5" t="n">
        <v>39</v>
      </c>
      <c r="D313" s="5" t="n">
        <v>55</v>
      </c>
      <c r="E313" s="5" t="n">
        <v>67</v>
      </c>
      <c r="F313" s="5" t="n">
        <v>89</v>
      </c>
      <c r="G313" s="5" t="n">
        <v>59</v>
      </c>
      <c r="H313" s="5" t="n">
        <v>82</v>
      </c>
      <c r="I313" s="5" t="n">
        <v>37</v>
      </c>
      <c r="J313" s="5" t="n">
        <v>31</v>
      </c>
      <c r="K313" s="5" t="n">
        <v>60</v>
      </c>
      <c r="L313" s="5" t="n">
        <v>66</v>
      </c>
      <c r="M313" s="5" t="n">
        <v>53</v>
      </c>
      <c r="N313" s="5" t="n">
        <v>70</v>
      </c>
      <c r="O313" s="5" t="n">
        <v>38</v>
      </c>
      <c r="P313" s="5" t="n">
        <v>42</v>
      </c>
      <c r="Q313" s="5" t="n">
        <v>46</v>
      </c>
      <c r="R313" s="5" t="n">
        <v>32</v>
      </c>
      <c r="S313" s="5" t="n">
        <v>53</v>
      </c>
      <c r="T313" s="5" t="n">
        <v>31</v>
      </c>
      <c r="U313" s="5" t="n"/>
      <c r="V313" s="5" t="n"/>
      <c r="W313" s="5" t="n"/>
      <c r="X313" s="5" t="n"/>
      <c r="Y313" s="14">
        <f>IF(AND(ISNUMBER(C313),C313&gt;0,ISNUMBER(X313)),X313/C313-1,"")</f>
        <v/>
      </c>
    </row>
    <row r="314">
      <c r="A314" s="12" t="inlineStr">
        <is>
          <t>455</t>
        </is>
      </c>
      <c r="B314" s="13" t="inlineStr">
        <is>
          <t>General</t>
        </is>
      </c>
      <c r="C314" s="5" t="n">
        <v>21</v>
      </c>
      <c r="D314" s="5" t="n">
        <v>20</v>
      </c>
      <c r="E314" s="5" t="n">
        <v>23</v>
      </c>
      <c r="F314" s="5" t="n">
        <v>38</v>
      </c>
      <c r="G314" s="5" t="n">
        <v>30</v>
      </c>
      <c r="H314" s="5" t="n">
        <v>32</v>
      </c>
      <c r="I314" s="5" t="n">
        <v>28</v>
      </c>
      <c r="J314" s="5" t="n">
        <v>23</v>
      </c>
      <c r="K314" s="5" t="n">
        <v>19</v>
      </c>
      <c r="L314" s="5" t="n">
        <v>23</v>
      </c>
      <c r="M314" s="5" t="n">
        <v>21</v>
      </c>
      <c r="N314" s="5" t="n">
        <v>28</v>
      </c>
      <c r="O314" s="5" t="n">
        <v>20</v>
      </c>
      <c r="P314" s="5" t="n">
        <v>22</v>
      </c>
      <c r="Q314" s="5" t="n">
        <v>15</v>
      </c>
      <c r="R314" s="5" t="n">
        <v>19</v>
      </c>
      <c r="S314" s="5" t="n">
        <v>26</v>
      </c>
      <c r="T314" s="5" t="n">
        <v>27</v>
      </c>
      <c r="U314" s="5" t="n">
        <v>24</v>
      </c>
      <c r="V314" s="5" t="n">
        <v>24</v>
      </c>
      <c r="W314" s="5" t="n">
        <v>27</v>
      </c>
      <c r="X314" s="5" t="n">
        <v>16</v>
      </c>
      <c r="Y314" s="14">
        <f>IF(AND(ISNUMBER(C314),C314&gt;0,ISNUMBER(X314)),X314/C314-1,"")</f>
        <v/>
      </c>
    </row>
    <row r="315">
      <c r="A315" s="12" t="inlineStr">
        <is>
          <t>471</t>
        </is>
      </c>
      <c r="B315" s="13" t="inlineStr">
        <is>
          <t>General</t>
        </is>
      </c>
      <c r="C315" s="5" t="n">
        <v>67</v>
      </c>
      <c r="D315" s="5" t="n">
        <v>39</v>
      </c>
      <c r="E315" s="5" t="n">
        <v>46</v>
      </c>
      <c r="F315" s="5" t="n">
        <v>104</v>
      </c>
      <c r="G315" s="5" t="n">
        <v>75</v>
      </c>
      <c r="H315" s="5" t="n">
        <v>67</v>
      </c>
      <c r="I315" s="5" t="n">
        <v>57</v>
      </c>
      <c r="J315" s="5" t="n">
        <v>44</v>
      </c>
      <c r="K315" s="5" t="n">
        <v>31</v>
      </c>
      <c r="L315" s="5" t="n">
        <v>18</v>
      </c>
      <c r="M315" s="5" t="n">
        <v>33</v>
      </c>
      <c r="N315" s="5" t="n">
        <v>17</v>
      </c>
      <c r="O315" s="5" t="n">
        <v>46</v>
      </c>
      <c r="P315" s="5" t="n">
        <v>56</v>
      </c>
      <c r="Q315" s="5" t="n">
        <v>55</v>
      </c>
      <c r="R315" s="5" t="n">
        <v>87</v>
      </c>
      <c r="S315" s="5" t="n">
        <v>45</v>
      </c>
      <c r="T315" s="5" t="n">
        <v>59</v>
      </c>
      <c r="U315" s="5" t="n">
        <v>57</v>
      </c>
      <c r="V315" s="5" t="n">
        <v>74</v>
      </c>
      <c r="W315" s="5" t="n">
        <v>89</v>
      </c>
      <c r="X315" s="5" t="n">
        <v>45</v>
      </c>
      <c r="Y315" s="14">
        <f>IF(AND(ISNUMBER(C315),C315&gt;0,ISNUMBER(X315)),X315/C315-1,"")</f>
        <v/>
      </c>
    </row>
    <row r="316">
      <c r="A316" s="12" t="inlineStr">
        <is>
          <t>500</t>
        </is>
      </c>
      <c r="B316" s="4" t="inlineStr"/>
      <c r="C316" s="5" t="n">
        <v>203</v>
      </c>
      <c r="D316" s="5" t="n">
        <v>138</v>
      </c>
      <c r="E316" s="5" t="n">
        <v>297</v>
      </c>
      <c r="F316" s="5" t="n">
        <v>255</v>
      </c>
      <c r="G316" s="5" t="n">
        <v>256</v>
      </c>
      <c r="H316" s="5" t="n">
        <v>379</v>
      </c>
      <c r="I316" s="5" t="n">
        <v>320</v>
      </c>
      <c r="J316" s="5" t="n">
        <v>180</v>
      </c>
      <c r="K316" s="5" t="n">
        <v>261</v>
      </c>
      <c r="L316" s="5" t="n">
        <v>167</v>
      </c>
      <c r="M316" s="5" t="n">
        <v>105</v>
      </c>
      <c r="N316" s="5" t="n">
        <v>155</v>
      </c>
      <c r="O316" s="5" t="n">
        <v>161</v>
      </c>
      <c r="P316" s="5" t="n">
        <v>202</v>
      </c>
      <c r="Q316" s="5" t="n">
        <v>188</v>
      </c>
      <c r="R316" s="5" t="n">
        <v>237</v>
      </c>
      <c r="S316" s="5" t="n">
        <v>270</v>
      </c>
      <c r="T316" s="5" t="n">
        <v>212</v>
      </c>
      <c r="U316" s="5" t="n"/>
      <c r="V316" s="5" t="n"/>
      <c r="W316" s="5" t="n"/>
      <c r="X316" s="5" t="n"/>
      <c r="Y316" s="14">
        <f>IF(AND(ISNUMBER(C316),C316&gt;0,ISNUMBER(X316)),X316/C316-1,"")</f>
        <v/>
      </c>
    </row>
    <row r="317">
      <c r="A317" s="12" t="inlineStr">
        <is>
          <t>502</t>
        </is>
      </c>
      <c r="B317" s="13" t="inlineStr">
        <is>
          <t>General</t>
        </is>
      </c>
      <c r="C317" s="5" t="n">
        <v>446</v>
      </c>
      <c r="D317" s="5" t="n">
        <v>555</v>
      </c>
      <c r="E317" s="5" t="n">
        <v>650</v>
      </c>
      <c r="F317" s="5" t="n">
        <v>505</v>
      </c>
      <c r="G317" s="5" t="n">
        <v>466</v>
      </c>
      <c r="H317" s="5" t="n">
        <v>588</v>
      </c>
      <c r="I317" s="5" t="n">
        <v>460</v>
      </c>
      <c r="J317" s="5" t="n">
        <v>293</v>
      </c>
      <c r="K317" s="5" t="n">
        <v>378</v>
      </c>
      <c r="L317" s="5" t="n">
        <v>302</v>
      </c>
      <c r="M317" s="5" t="n">
        <v>150</v>
      </c>
      <c r="N317" s="5" t="n">
        <v>243</v>
      </c>
      <c r="O317" s="5" t="n">
        <v>358</v>
      </c>
      <c r="P317" s="5" t="n">
        <v>303</v>
      </c>
      <c r="Q317" s="5" t="n">
        <v>253</v>
      </c>
      <c r="R317" s="5" t="n">
        <v>331</v>
      </c>
      <c r="S317" s="5" t="n">
        <v>274</v>
      </c>
      <c r="T317" s="5" t="n">
        <v>277</v>
      </c>
      <c r="U317" s="5" t="n">
        <v>413</v>
      </c>
      <c r="V317" s="5" t="n">
        <v>319</v>
      </c>
      <c r="W317" s="5" t="n">
        <v>337</v>
      </c>
      <c r="X317" s="5" t="n">
        <v>302</v>
      </c>
      <c r="Y317" s="14">
        <f>IF(AND(ISNUMBER(C317),C317&gt;0,ISNUMBER(X317)),X317/C317-1,"")</f>
        <v/>
      </c>
    </row>
    <row r="318">
      <c r="A318" s="12" t="inlineStr">
        <is>
          <t>510</t>
        </is>
      </c>
      <c r="B318" s="4" t="inlineStr"/>
      <c r="C318" s="5" t="n">
        <v>45</v>
      </c>
      <c r="D318" s="5" t="n">
        <v>31</v>
      </c>
      <c r="E318" s="5" t="n">
        <v>127</v>
      </c>
      <c r="F318" s="5" t="n">
        <v>107</v>
      </c>
      <c r="G318" s="5" t="n">
        <v>65</v>
      </c>
      <c r="H318" s="5" t="n">
        <v>69</v>
      </c>
      <c r="I318" s="5" t="n">
        <v>81</v>
      </c>
      <c r="J318" s="5" t="n">
        <v>67</v>
      </c>
      <c r="K318" s="5" t="n">
        <v>85</v>
      </c>
      <c r="L318" s="5" t="n">
        <v>43</v>
      </c>
      <c r="M318" s="5" t="n">
        <v>37</v>
      </c>
      <c r="N318" s="5" t="n">
        <v>60</v>
      </c>
      <c r="O318" s="5" t="n">
        <v>46</v>
      </c>
      <c r="P318" s="5" t="n">
        <v>65</v>
      </c>
      <c r="Q318" s="5" t="n">
        <v>27</v>
      </c>
      <c r="R318" s="5" t="n">
        <v>63</v>
      </c>
      <c r="S318" s="5" t="n">
        <v>39</v>
      </c>
      <c r="T318" s="5" t="n">
        <v>39</v>
      </c>
      <c r="U318" s="5" t="n"/>
      <c r="V318" s="5" t="n"/>
      <c r="W318" s="5" t="n"/>
      <c r="X318" s="5" t="n"/>
      <c r="Y318" s="14">
        <f>IF(AND(ISNUMBER(C318),C318&gt;0,ISNUMBER(X318)),X318/C318-1,"")</f>
        <v/>
      </c>
    </row>
    <row r="319">
      <c r="A319" s="12" t="inlineStr">
        <is>
          <t>511</t>
        </is>
      </c>
      <c r="B319" s="4" t="inlineStr"/>
      <c r="C319" s="5" t="n">
        <v>210</v>
      </c>
      <c r="D319" s="5" t="n">
        <v>204</v>
      </c>
      <c r="E319" s="5" t="n">
        <v>308</v>
      </c>
      <c r="F319" s="5" t="n">
        <v>339</v>
      </c>
      <c r="G319" s="5" t="n">
        <v>236</v>
      </c>
      <c r="H319" s="5" t="n">
        <v>266</v>
      </c>
      <c r="I319" s="5" t="n">
        <v>266</v>
      </c>
      <c r="J319" s="5" t="n">
        <v>138</v>
      </c>
      <c r="K319" s="5" t="n">
        <v>201</v>
      </c>
      <c r="L319" s="5" t="n">
        <v>136</v>
      </c>
      <c r="M319" s="5" t="n">
        <v>93</v>
      </c>
      <c r="N319" s="5" t="n">
        <v>100</v>
      </c>
      <c r="O319" s="5" t="n">
        <v>171</v>
      </c>
      <c r="P319" s="5" t="n">
        <v>179</v>
      </c>
      <c r="Q319" s="5" t="n">
        <v>144</v>
      </c>
      <c r="R319" s="5" t="n">
        <v>151</v>
      </c>
      <c r="S319" s="5" t="n">
        <v>161</v>
      </c>
      <c r="T319" s="5" t="n">
        <v>123</v>
      </c>
      <c r="U319" s="5" t="n"/>
      <c r="V319" s="5" t="n"/>
      <c r="W319" s="5" t="n"/>
      <c r="X319" s="5" t="n"/>
      <c r="Y319" s="14">
        <f>IF(AND(ISNUMBER(C319),C319&gt;0,ISNUMBER(X319)),X319/C319-1,"")</f>
        <v/>
      </c>
    </row>
    <row r="320">
      <c r="A320" s="12" t="inlineStr">
        <is>
          <t>515</t>
        </is>
      </c>
      <c r="B320" s="13" t="inlineStr">
        <is>
          <t>General</t>
        </is>
      </c>
      <c r="C320" s="5" t="n"/>
      <c r="D320" s="5" t="n"/>
      <c r="E320" s="5" t="n"/>
      <c r="F320" s="5" t="n"/>
      <c r="G320" s="5" t="n"/>
      <c r="H320" s="5" t="n"/>
      <c r="I320" s="5" t="n"/>
      <c r="J320" s="5" t="n"/>
      <c r="K320" s="5" t="n"/>
      <c r="L320" s="5" t="n"/>
      <c r="M320" s="5" t="n"/>
      <c r="N320" s="5" t="n"/>
      <c r="O320" s="5" t="n"/>
      <c r="P320" s="5" t="n"/>
      <c r="Q320" s="5" t="n"/>
      <c r="R320" s="5" t="n"/>
      <c r="S320" s="5" t="n"/>
      <c r="T320" s="5" t="n"/>
      <c r="U320" s="5" t="n">
        <v>356</v>
      </c>
      <c r="V320" s="5" t="n">
        <v>433</v>
      </c>
      <c r="W320" s="5" t="n">
        <v>404</v>
      </c>
      <c r="X320" s="5" t="n">
        <v>416</v>
      </c>
      <c r="Y320" s="14">
        <f>IF(AND(ISNUMBER(C320),C320&gt;0,ISNUMBER(X320)),X320/C320-1,"")</f>
        <v/>
      </c>
    </row>
    <row r="321">
      <c r="A321" s="12" t="inlineStr">
        <is>
          <t>520</t>
        </is>
      </c>
      <c r="B321" s="4" t="inlineStr"/>
      <c r="C321" s="5" t="n">
        <v>801</v>
      </c>
      <c r="D321" s="5" t="n">
        <v>808</v>
      </c>
      <c r="E321" s="5" t="n">
        <v>921</v>
      </c>
      <c r="F321" s="5" t="n">
        <v>696</v>
      </c>
      <c r="G321" s="5" t="n">
        <v>732</v>
      </c>
      <c r="H321" s="5" t="n">
        <v>772</v>
      </c>
      <c r="I321" s="5" t="n">
        <v>746</v>
      </c>
      <c r="J321" s="5" t="n">
        <v>904</v>
      </c>
      <c r="K321" s="5" t="n">
        <v>937</v>
      </c>
      <c r="L321" s="5" t="n">
        <v>778</v>
      </c>
      <c r="M321" s="5" t="n">
        <v>576</v>
      </c>
      <c r="N321" s="5" t="n">
        <v>657</v>
      </c>
      <c r="O321" s="5" t="n">
        <v>739</v>
      </c>
      <c r="P321" s="5" t="n">
        <v>766</v>
      </c>
      <c r="Q321" s="5" t="n">
        <v>614</v>
      </c>
      <c r="R321" s="5" t="n">
        <v>521</v>
      </c>
      <c r="S321" s="5" t="n">
        <v>486</v>
      </c>
      <c r="T321" s="5" t="n">
        <v>529</v>
      </c>
      <c r="U321" s="5" t="n"/>
      <c r="V321" s="5" t="n"/>
      <c r="W321" s="5" t="n"/>
      <c r="X321" s="5" t="n"/>
      <c r="Y321" s="14">
        <f>IF(AND(ISNUMBER(C321),C321&gt;0,ISNUMBER(X321)),X321/C321-1,"")</f>
        <v/>
      </c>
    </row>
    <row r="322">
      <c r="A322" s="12" t="inlineStr">
        <is>
          <t>525</t>
        </is>
      </c>
      <c r="B322" s="13" t="inlineStr">
        <is>
          <t>General</t>
        </is>
      </c>
      <c r="C322" s="5" t="n"/>
      <c r="D322" s="5" t="n"/>
      <c r="E322" s="5" t="n"/>
      <c r="F322" s="5" t="n"/>
      <c r="G322" s="5" t="n"/>
      <c r="H322" s="5" t="n"/>
      <c r="I322" s="5" t="n"/>
      <c r="J322" s="5" t="n"/>
      <c r="K322" s="5" t="n"/>
      <c r="L322" s="5" t="n"/>
      <c r="M322" s="5" t="n"/>
      <c r="N322" s="5" t="n"/>
      <c r="O322" s="5" t="n"/>
      <c r="P322" s="5" t="n"/>
      <c r="Q322" s="5" t="n"/>
      <c r="R322" s="5" t="n"/>
      <c r="S322" s="5" t="n"/>
      <c r="T322" s="5" t="n"/>
      <c r="U322" s="5" t="n">
        <v>823</v>
      </c>
      <c r="V322" s="5" t="n">
        <v>643</v>
      </c>
      <c r="W322" s="5" t="n">
        <v>801</v>
      </c>
      <c r="X322" s="5" t="n">
        <v>714</v>
      </c>
      <c r="Y322" s="14">
        <f>IF(AND(ISNUMBER(C322),C322&gt;0,ISNUMBER(X322)),X322/C322-1,"")</f>
        <v/>
      </c>
    </row>
    <row r="323">
      <c r="A323" s="12" t="inlineStr">
        <is>
          <t>530</t>
        </is>
      </c>
      <c r="B323" s="4" t="inlineStr"/>
      <c r="C323" s="5" t="n">
        <v>281</v>
      </c>
      <c r="D323" s="5" t="n">
        <v>199</v>
      </c>
      <c r="E323" s="5" t="n">
        <v>347</v>
      </c>
      <c r="F323" s="5" t="n">
        <v>448</v>
      </c>
      <c r="G323" s="5" t="n">
        <v>290</v>
      </c>
      <c r="H323" s="5" t="n">
        <v>274</v>
      </c>
      <c r="I323" s="5" t="n">
        <v>308</v>
      </c>
      <c r="J323" s="5" t="n">
        <v>143</v>
      </c>
      <c r="K323" s="5" t="n">
        <v>151</v>
      </c>
      <c r="L323" s="5" t="n">
        <v>177</v>
      </c>
      <c r="M323" s="5" t="n">
        <v>121</v>
      </c>
      <c r="N323" s="5" t="n">
        <v>170</v>
      </c>
      <c r="O323" s="5" t="n">
        <v>189</v>
      </c>
      <c r="P323" s="5" t="n">
        <v>198</v>
      </c>
      <c r="Q323" s="5" t="n">
        <v>262</v>
      </c>
      <c r="R323" s="5" t="n">
        <v>249</v>
      </c>
      <c r="S323" s="5" t="n">
        <v>234</v>
      </c>
      <c r="T323" s="5" t="n">
        <v>307</v>
      </c>
      <c r="U323" s="5" t="n"/>
      <c r="V323" s="5" t="n"/>
      <c r="W323" s="5" t="n"/>
      <c r="X323" s="5" t="n"/>
      <c r="Y323" s="14">
        <f>IF(AND(ISNUMBER(C323),C323&gt;0,ISNUMBER(X323)),X323/C323-1,"")</f>
        <v/>
      </c>
    </row>
    <row r="324">
      <c r="A324" s="12" t="inlineStr">
        <is>
          <t>535</t>
        </is>
      </c>
      <c r="B324" s="13" t="inlineStr">
        <is>
          <t>General</t>
        </is>
      </c>
      <c r="C324" s="5" t="n"/>
      <c r="D324" s="5" t="n"/>
      <c r="E324" s="5" t="n"/>
      <c r="F324" s="5" t="n"/>
      <c r="G324" s="5" t="n"/>
      <c r="H324" s="5" t="n"/>
      <c r="I324" s="5" t="n"/>
      <c r="J324" s="5" t="n"/>
      <c r="K324" s="5" t="n"/>
      <c r="L324" s="5" t="n"/>
      <c r="M324" s="5" t="n"/>
      <c r="N324" s="5" t="n"/>
      <c r="O324" s="5" t="n"/>
      <c r="P324" s="5" t="n"/>
      <c r="Q324" s="5" t="n"/>
      <c r="R324" s="5" t="n"/>
      <c r="S324" s="5" t="n"/>
      <c r="T324" s="5" t="n"/>
      <c r="U324" s="5" t="n">
        <v>310</v>
      </c>
      <c r="V324" s="5" t="n">
        <v>339</v>
      </c>
      <c r="W324" s="5" t="n">
        <v>345</v>
      </c>
      <c r="X324" s="5" t="n">
        <v>260</v>
      </c>
      <c r="Y324" s="14">
        <f>IF(AND(ISNUMBER(C324),C324&gt;0,ISNUMBER(X324)),X324/C324-1,"")</f>
        <v/>
      </c>
    </row>
    <row r="325">
      <c r="A325" s="12" t="inlineStr">
        <is>
          <t>540</t>
        </is>
      </c>
      <c r="B325" s="13" t="inlineStr">
        <is>
          <t>General</t>
        </is>
      </c>
      <c r="C325" s="5" t="n">
        <v>142</v>
      </c>
      <c r="D325" s="5" t="n">
        <v>178</v>
      </c>
      <c r="E325" s="5" t="n">
        <v>228</v>
      </c>
      <c r="F325" s="5" t="n">
        <v>200</v>
      </c>
      <c r="G325" s="5" t="n">
        <v>186</v>
      </c>
      <c r="H325" s="5" t="n">
        <v>187</v>
      </c>
      <c r="I325" s="5" t="n">
        <v>142</v>
      </c>
      <c r="J325" s="5" t="n">
        <v>141</v>
      </c>
      <c r="K325" s="5" t="n">
        <v>176</v>
      </c>
      <c r="L325" s="5" t="n">
        <v>135</v>
      </c>
      <c r="M325" s="5" t="n">
        <v>80</v>
      </c>
      <c r="N325" s="5" t="n">
        <v>92</v>
      </c>
      <c r="O325" s="5" t="n">
        <v>104</v>
      </c>
      <c r="P325" s="5" t="n">
        <v>165</v>
      </c>
      <c r="Q325" s="5" t="n">
        <v>111</v>
      </c>
      <c r="R325" s="5" t="n">
        <v>113</v>
      </c>
      <c r="S325" s="5" t="n">
        <v>110</v>
      </c>
      <c r="T325" s="5" t="n">
        <v>78</v>
      </c>
      <c r="U325" s="5" t="n">
        <v>129</v>
      </c>
      <c r="V325" s="5" t="n">
        <v>128</v>
      </c>
      <c r="W325" s="5" t="n">
        <v>166</v>
      </c>
      <c r="X325" s="5" t="n">
        <v>158</v>
      </c>
      <c r="Y325" s="14">
        <f>IF(AND(ISNUMBER(C325),C325&gt;0,ISNUMBER(X325)),X325/C325-1,"")</f>
        <v/>
      </c>
    </row>
    <row r="326">
      <c r="A326" s="12" t="inlineStr">
        <is>
          <t>555</t>
        </is>
      </c>
      <c r="B326" s="13" t="inlineStr">
        <is>
          <t>General</t>
        </is>
      </c>
      <c r="C326" s="5" t="n"/>
      <c r="D326" s="5" t="n"/>
      <c r="E326" s="5" t="n"/>
      <c r="F326" s="5" t="n"/>
      <c r="G326" s="5" t="n"/>
      <c r="H326" s="5" t="n"/>
      <c r="I326" s="5" t="n"/>
      <c r="J326" s="5" t="n"/>
      <c r="K326" s="5" t="n"/>
      <c r="L326" s="5" t="n"/>
      <c r="M326" s="5" t="n"/>
      <c r="N326" s="5" t="n"/>
      <c r="O326" s="5" t="n"/>
      <c r="P326" s="5" t="n"/>
      <c r="Q326" s="5" t="n"/>
      <c r="R326" s="5" t="n"/>
      <c r="S326" s="5" t="n"/>
      <c r="T326" s="5" t="n"/>
      <c r="U326" s="5" t="n">
        <v>80</v>
      </c>
      <c r="V326" s="5" t="n">
        <v>64</v>
      </c>
      <c r="W326" s="5" t="n">
        <v>55</v>
      </c>
      <c r="X326" s="5" t="n">
        <v>86</v>
      </c>
      <c r="Y326" s="14">
        <f>IF(AND(ISNUMBER(C326),C326&gt;0,ISNUMBER(X326)),X326/C326-1,"")</f>
        <v/>
      </c>
    </row>
    <row r="327">
      <c r="A327" s="12" t="inlineStr">
        <is>
          <t>560</t>
        </is>
      </c>
      <c r="B327" s="4" t="inlineStr"/>
      <c r="C327" s="5" t="n">
        <v>376</v>
      </c>
      <c r="D327" s="5" t="n">
        <v>256</v>
      </c>
      <c r="E327" s="5" t="n">
        <v>397</v>
      </c>
      <c r="F327" s="5" t="n">
        <v>413</v>
      </c>
      <c r="G327" s="5" t="n">
        <v>455</v>
      </c>
      <c r="H327" s="5" t="n">
        <v>464</v>
      </c>
      <c r="I327" s="5" t="n">
        <v>382</v>
      </c>
      <c r="J327" s="5" t="n">
        <v>401</v>
      </c>
      <c r="K327" s="5" t="n">
        <v>603</v>
      </c>
      <c r="L327" s="5" t="n">
        <v>496</v>
      </c>
      <c r="M327" s="5" t="n">
        <v>406</v>
      </c>
      <c r="N327" s="5" t="n">
        <v>434</v>
      </c>
      <c r="O327" s="5" t="n">
        <v>473</v>
      </c>
      <c r="P327" s="5" t="n">
        <v>427</v>
      </c>
      <c r="Q327" s="5" t="n">
        <v>502</v>
      </c>
      <c r="R327" s="5" t="n">
        <v>542</v>
      </c>
      <c r="S327" s="5" t="n">
        <v>463</v>
      </c>
      <c r="T327" s="5" t="n">
        <v>405</v>
      </c>
      <c r="U327" s="5" t="n"/>
      <c r="V327" s="5" t="n"/>
      <c r="W327" s="5" t="n"/>
      <c r="X327" s="5" t="n"/>
      <c r="Y327" s="14">
        <f>IF(AND(ISNUMBER(C327),C327&gt;0,ISNUMBER(X327)),X327/C327-1,"")</f>
        <v/>
      </c>
    </row>
    <row r="328">
      <c r="A328" s="12" t="inlineStr">
        <is>
          <t>565</t>
        </is>
      </c>
      <c r="B328" s="13" t="inlineStr">
        <is>
          <t>General</t>
        </is>
      </c>
      <c r="C328" s="5" t="n"/>
      <c r="D328" s="5" t="n"/>
      <c r="E328" s="5" t="n"/>
      <c r="F328" s="5" t="n"/>
      <c r="G328" s="5" t="n"/>
      <c r="H328" s="5" t="n"/>
      <c r="I328" s="5" t="n"/>
      <c r="J328" s="5" t="n"/>
      <c r="K328" s="5" t="n"/>
      <c r="L328" s="5" t="n"/>
      <c r="M328" s="5" t="n"/>
      <c r="N328" s="5" t="n"/>
      <c r="O328" s="5" t="n"/>
      <c r="P328" s="5" t="n"/>
      <c r="Q328" s="5" t="n"/>
      <c r="R328" s="5" t="n"/>
      <c r="S328" s="5" t="n"/>
      <c r="T328" s="5" t="n"/>
      <c r="U328" s="5" t="n">
        <v>36</v>
      </c>
      <c r="V328" s="5" t="n">
        <v>25</v>
      </c>
      <c r="W328" s="5" t="n">
        <v>29</v>
      </c>
      <c r="X328" s="5" t="n">
        <v>27</v>
      </c>
      <c r="Y328" s="14">
        <f>IF(AND(ISNUMBER(C328),C328&gt;0,ISNUMBER(X328)),X328/C328-1,"")</f>
        <v/>
      </c>
    </row>
    <row r="329">
      <c r="A329" s="12" t="inlineStr">
        <is>
          <t>570</t>
        </is>
      </c>
      <c r="B329" s="4" t="inlineStr"/>
      <c r="C329" s="5" t="n">
        <v>705</v>
      </c>
      <c r="D329" s="5" t="n">
        <v>570</v>
      </c>
      <c r="E329" s="5" t="n">
        <v>682</v>
      </c>
      <c r="F329" s="5" t="n">
        <v>683</v>
      </c>
      <c r="G329" s="5" t="n">
        <v>542</v>
      </c>
      <c r="H329" s="5" t="n">
        <v>492</v>
      </c>
      <c r="I329" s="5" t="n">
        <v>537</v>
      </c>
      <c r="J329" s="5" t="n">
        <v>544</v>
      </c>
      <c r="K329" s="5" t="n">
        <v>584</v>
      </c>
      <c r="L329" s="5" t="n">
        <v>455</v>
      </c>
      <c r="M329" s="5" t="n">
        <v>267</v>
      </c>
      <c r="N329" s="5" t="n">
        <v>308</v>
      </c>
      <c r="O329" s="5" t="n">
        <v>354</v>
      </c>
      <c r="P329" s="5" t="n">
        <v>406</v>
      </c>
      <c r="Q329" s="5" t="n">
        <v>423</v>
      </c>
      <c r="R329" s="5" t="n">
        <v>376</v>
      </c>
      <c r="S329" s="5" t="n">
        <v>430</v>
      </c>
      <c r="T329" s="5" t="n">
        <v>326</v>
      </c>
      <c r="U329" s="5" t="n"/>
      <c r="V329" s="5" t="n"/>
      <c r="W329" s="5" t="n"/>
      <c r="X329" s="5" t="n"/>
      <c r="Y329" s="14">
        <f>IF(AND(ISNUMBER(C329),C329&gt;0,ISNUMBER(X329)),X329/C329-1,"")</f>
        <v/>
      </c>
    </row>
    <row r="330">
      <c r="A330" s="12" t="inlineStr">
        <is>
          <t>575</t>
        </is>
      </c>
      <c r="B330" s="13" t="inlineStr">
        <is>
          <t>General</t>
        </is>
      </c>
      <c r="C330" s="5" t="n">
        <v>928</v>
      </c>
      <c r="D330" s="5" t="n">
        <v>853</v>
      </c>
      <c r="E330" s="5" t="n">
        <v>1110</v>
      </c>
      <c r="F330" s="5" t="n">
        <v>1285</v>
      </c>
      <c r="G330" s="5" t="n">
        <v>1108</v>
      </c>
      <c r="H330" s="5" t="n">
        <v>1142</v>
      </c>
      <c r="I330" s="5" t="n">
        <v>1017</v>
      </c>
      <c r="J330" s="5" t="n">
        <v>1008</v>
      </c>
      <c r="K330" s="5" t="n">
        <v>1136</v>
      </c>
      <c r="L330" s="5" t="n">
        <v>909</v>
      </c>
      <c r="M330" s="5" t="n">
        <v>655</v>
      </c>
      <c r="N330" s="5" t="n">
        <v>758</v>
      </c>
      <c r="O330" s="5" t="n">
        <v>811</v>
      </c>
      <c r="P330" s="5" t="n">
        <v>820</v>
      </c>
      <c r="Q330" s="5" t="n">
        <v>645</v>
      </c>
      <c r="R330" s="5" t="n">
        <v>590</v>
      </c>
      <c r="S330" s="5" t="n">
        <v>577</v>
      </c>
      <c r="T330" s="5" t="n">
        <v>541</v>
      </c>
      <c r="U330" s="5" t="n">
        <v>612</v>
      </c>
      <c r="V330" s="5" t="n">
        <v>572</v>
      </c>
      <c r="W330" s="5" t="n">
        <v>742</v>
      </c>
      <c r="X330" s="5" t="n">
        <v>536</v>
      </c>
      <c r="Y330" s="14">
        <f>IF(AND(ISNUMBER(C330),C330&gt;0,ISNUMBER(X330)),X330/C330-1,"")</f>
        <v/>
      </c>
    </row>
    <row r="331">
      <c r="A331" s="12" t="inlineStr">
        <is>
          <t>580</t>
        </is>
      </c>
      <c r="B331" s="13" t="inlineStr">
        <is>
          <t>General</t>
        </is>
      </c>
      <c r="C331" s="5" t="n">
        <v>950</v>
      </c>
      <c r="D331" s="5" t="n">
        <v>881</v>
      </c>
      <c r="E331" s="5" t="n">
        <v>1033</v>
      </c>
      <c r="F331" s="5" t="n">
        <v>1026</v>
      </c>
      <c r="G331" s="5" t="n">
        <v>900</v>
      </c>
      <c r="H331" s="5" t="n">
        <v>756</v>
      </c>
      <c r="I331" s="5" t="n">
        <v>629</v>
      </c>
      <c r="J331" s="5" t="n">
        <v>828</v>
      </c>
      <c r="K331" s="5" t="n">
        <v>840</v>
      </c>
      <c r="L331" s="5" t="n">
        <v>783</v>
      </c>
      <c r="M331" s="5" t="n">
        <v>461</v>
      </c>
      <c r="N331" s="5" t="n">
        <v>474</v>
      </c>
      <c r="O331" s="5" t="n">
        <v>604</v>
      </c>
      <c r="P331" s="5" t="n">
        <v>574</v>
      </c>
      <c r="Q331" s="5" t="n">
        <v>534</v>
      </c>
      <c r="R331" s="5" t="n">
        <v>483</v>
      </c>
      <c r="S331" s="5" t="n">
        <v>707</v>
      </c>
      <c r="T331" s="5" t="n">
        <v>469</v>
      </c>
      <c r="U331" s="5" t="n">
        <v>515</v>
      </c>
      <c r="V331" s="5" t="n">
        <v>613</v>
      </c>
      <c r="W331" s="5" t="n">
        <v>588</v>
      </c>
      <c r="X331" s="5" t="n">
        <v>496</v>
      </c>
      <c r="Y331" s="14">
        <f>IF(AND(ISNUMBER(C331),C331&gt;0,ISNUMBER(X331)),X331/C331-1,"")</f>
        <v/>
      </c>
    </row>
    <row r="332">
      <c r="A332" s="12" t="inlineStr">
        <is>
          <t>590</t>
        </is>
      </c>
      <c r="B332" s="13" t="inlineStr">
        <is>
          <t>General</t>
        </is>
      </c>
      <c r="C332" s="5" t="n">
        <v>765</v>
      </c>
      <c r="D332" s="5" t="n">
        <v>752</v>
      </c>
      <c r="E332" s="5" t="n">
        <v>941</v>
      </c>
      <c r="F332" s="5" t="n">
        <v>727</v>
      </c>
      <c r="G332" s="5" t="n">
        <v>864</v>
      </c>
      <c r="H332" s="5" t="n">
        <v>880</v>
      </c>
      <c r="I332" s="5" t="n">
        <v>883</v>
      </c>
      <c r="J332" s="5" t="n">
        <v>615</v>
      </c>
      <c r="K332" s="5" t="n">
        <v>709</v>
      </c>
      <c r="L332" s="5" t="n">
        <v>530</v>
      </c>
      <c r="M332" s="5" t="n">
        <v>347</v>
      </c>
      <c r="N332" s="5" t="n">
        <v>453</v>
      </c>
      <c r="O332" s="5" t="n">
        <v>470</v>
      </c>
      <c r="P332" s="5" t="n">
        <v>597</v>
      </c>
      <c r="Q332" s="5" t="n">
        <v>568</v>
      </c>
      <c r="R332" s="5" t="n">
        <v>839</v>
      </c>
      <c r="S332" s="5" t="n">
        <v>941</v>
      </c>
      <c r="T332" s="5" t="n">
        <v>894</v>
      </c>
      <c r="U332" s="5" t="n">
        <v>1004</v>
      </c>
      <c r="V332" s="5" t="n">
        <v>836</v>
      </c>
      <c r="W332" s="5" t="n">
        <v>884</v>
      </c>
      <c r="X332" s="5" t="n">
        <v>731</v>
      </c>
      <c r="Y332" s="14">
        <f>IF(AND(ISNUMBER(C332),C332&gt;0,ISNUMBER(X332)),X332/C332-1,"")</f>
        <v/>
      </c>
    </row>
    <row r="333">
      <c r="A333" s="12" t="inlineStr">
        <is>
          <t>600</t>
        </is>
      </c>
      <c r="B333" s="13" t="inlineStr">
        <is>
          <t>General</t>
        </is>
      </c>
      <c r="C333" s="5" t="n">
        <v>351</v>
      </c>
      <c r="D333" s="5" t="n">
        <v>368</v>
      </c>
      <c r="E333" s="5" t="n">
        <v>369</v>
      </c>
      <c r="F333" s="5" t="n">
        <v>538</v>
      </c>
      <c r="G333" s="5" t="n">
        <v>595</v>
      </c>
      <c r="H333" s="5" t="n">
        <v>771</v>
      </c>
      <c r="I333" s="5" t="n">
        <v>634</v>
      </c>
      <c r="J333" s="5" t="n">
        <v>426</v>
      </c>
      <c r="K333" s="5" t="n">
        <v>523</v>
      </c>
      <c r="L333" s="5" t="n">
        <v>235</v>
      </c>
      <c r="M333" s="5" t="n">
        <v>187</v>
      </c>
      <c r="N333" s="5" t="n">
        <v>201</v>
      </c>
      <c r="O333" s="5" t="n">
        <v>412</v>
      </c>
      <c r="P333" s="5" t="n">
        <v>492</v>
      </c>
      <c r="Q333" s="5" t="n">
        <v>478</v>
      </c>
      <c r="R333" s="5" t="n">
        <v>422</v>
      </c>
      <c r="S333" s="5" t="n">
        <v>622</v>
      </c>
      <c r="T333" s="5" t="n">
        <v>532</v>
      </c>
      <c r="U333" s="5" t="n">
        <v>580</v>
      </c>
      <c r="V333" s="5" t="n">
        <v>530</v>
      </c>
      <c r="W333" s="5" t="n">
        <v>531</v>
      </c>
      <c r="X333" s="5" t="n">
        <v>272</v>
      </c>
      <c r="Y333" s="14">
        <f>IF(AND(ISNUMBER(C333),C333&gt;0,ISNUMBER(X333)),X333/C333-1,"")</f>
        <v/>
      </c>
    </row>
    <row r="334">
      <c r="A334" s="12" t="inlineStr">
        <is>
          <t>610</t>
        </is>
      </c>
      <c r="B334" s="4" t="inlineStr"/>
      <c r="C334" s="5" t="n">
        <v>134</v>
      </c>
      <c r="D334" s="5" t="n">
        <v>194</v>
      </c>
      <c r="E334" s="5" t="n">
        <v>156</v>
      </c>
      <c r="F334" s="5" t="n">
        <v>185</v>
      </c>
      <c r="G334" s="5" t="n"/>
      <c r="H334" s="5" t="n"/>
      <c r="I334" s="5" t="n"/>
      <c r="J334" s="5" t="n"/>
      <c r="K334" s="5" t="n"/>
      <c r="L334" s="5" t="n"/>
      <c r="M334" s="5" t="n"/>
      <c r="N334" s="5" t="n"/>
      <c r="O334" s="5" t="n"/>
      <c r="P334" s="5" t="n"/>
      <c r="Q334" s="5" t="n"/>
      <c r="R334" s="5" t="n"/>
      <c r="S334" s="5" t="n"/>
      <c r="T334" s="5" t="n"/>
      <c r="U334" s="5" t="n"/>
      <c r="V334" s="5" t="n"/>
      <c r="W334" s="5" t="n"/>
      <c r="X334" s="5" t="n"/>
      <c r="Y334" s="14">
        <f>IF(AND(ISNUMBER(C334),C334&gt;0,ISNUMBER(X334)),X334/C334-1,"")</f>
        <v/>
      </c>
    </row>
    <row r="335">
      <c r="A335" s="12" t="inlineStr">
        <is>
          <t>611</t>
        </is>
      </c>
      <c r="B335" s="4" t="inlineStr"/>
      <c r="C335" s="5" t="n">
        <v>163</v>
      </c>
      <c r="D335" s="5" t="n">
        <v>168</v>
      </c>
      <c r="E335" s="5" t="n">
        <v>210</v>
      </c>
      <c r="F335" s="5" t="n">
        <v>232</v>
      </c>
      <c r="G335" s="5" t="n">
        <v>275</v>
      </c>
      <c r="H335" s="5" t="n">
        <v>233</v>
      </c>
      <c r="I335" s="5" t="n">
        <v>198</v>
      </c>
      <c r="J335" s="5" t="n">
        <v>79</v>
      </c>
      <c r="K335" s="5" t="n">
        <v>155</v>
      </c>
      <c r="L335" s="5" t="n">
        <v>97</v>
      </c>
      <c r="M335" s="5" t="n">
        <v>119</v>
      </c>
      <c r="N335" s="5" t="n">
        <v>103</v>
      </c>
      <c r="O335" s="5" t="n">
        <v>132</v>
      </c>
      <c r="P335" s="5" t="n">
        <v>161</v>
      </c>
      <c r="Q335" s="5" t="n">
        <v>124</v>
      </c>
      <c r="R335" s="5" t="n">
        <v>134</v>
      </c>
      <c r="S335" s="5" t="n"/>
      <c r="T335" s="5" t="n"/>
      <c r="U335" s="5" t="n"/>
      <c r="V335" s="5" t="n"/>
      <c r="W335" s="5" t="n"/>
      <c r="X335" s="5" t="n"/>
      <c r="Y335" s="14">
        <f>IF(AND(ISNUMBER(C335),C335&gt;0,ISNUMBER(X335)),X335/C335-1,"")</f>
        <v/>
      </c>
    </row>
    <row r="336">
      <c r="A336" s="12" t="inlineStr">
        <is>
          <t>620</t>
        </is>
      </c>
      <c r="B336" s="13" t="inlineStr">
        <is>
          <t>General</t>
        </is>
      </c>
      <c r="C336" s="5" t="n">
        <v>133</v>
      </c>
      <c r="D336" s="5" t="n">
        <v>179</v>
      </c>
      <c r="E336" s="5" t="n">
        <v>205</v>
      </c>
      <c r="F336" s="5" t="n">
        <v>308</v>
      </c>
      <c r="G336" s="5" t="n">
        <v>327</v>
      </c>
      <c r="H336" s="5" t="n">
        <v>378</v>
      </c>
      <c r="I336" s="5" t="n">
        <v>455</v>
      </c>
      <c r="J336" s="5" t="n">
        <v>120</v>
      </c>
      <c r="K336" s="5" t="n">
        <v>126</v>
      </c>
      <c r="L336" s="5" t="n">
        <v>62</v>
      </c>
      <c r="M336" s="5" t="n">
        <v>71</v>
      </c>
      <c r="N336" s="5" t="n">
        <v>129</v>
      </c>
      <c r="O336" s="5" t="n">
        <v>160</v>
      </c>
      <c r="P336" s="5" t="n">
        <v>151</v>
      </c>
      <c r="Q336" s="5" t="n">
        <v>148</v>
      </c>
      <c r="R336" s="5" t="n">
        <v>194</v>
      </c>
      <c r="S336" s="5" t="n">
        <v>177</v>
      </c>
      <c r="T336" s="5" t="n">
        <v>144</v>
      </c>
      <c r="U336" s="5" t="n">
        <v>192</v>
      </c>
      <c r="V336" s="5" t="n">
        <v>166</v>
      </c>
      <c r="W336" s="5" t="n">
        <v>214</v>
      </c>
      <c r="X336" s="5" t="n">
        <v>46</v>
      </c>
      <c r="Y336" s="14">
        <f>IF(AND(ISNUMBER(C336),C336&gt;0,ISNUMBER(X336)),X336/C336-1,"")</f>
        <v/>
      </c>
    </row>
    <row r="337">
      <c r="A337" s="12" t="inlineStr">
        <is>
          <t>621</t>
        </is>
      </c>
      <c r="B337" s="13" t="inlineStr">
        <is>
          <t>General</t>
        </is>
      </c>
      <c r="C337" s="5" t="n">
        <v>28</v>
      </c>
      <c r="D337" s="5" t="n">
        <v>50</v>
      </c>
      <c r="E337" s="5" t="n">
        <v>75</v>
      </c>
      <c r="F337" s="5" t="n">
        <v>68</v>
      </c>
      <c r="G337" s="5" t="n">
        <v>101</v>
      </c>
      <c r="H337" s="5" t="n">
        <v>71</v>
      </c>
      <c r="I337" s="5" t="n">
        <v>46</v>
      </c>
      <c r="J337" s="5" t="n">
        <v>23</v>
      </c>
      <c r="K337" s="5" t="n">
        <v>27</v>
      </c>
      <c r="L337" s="5" t="n">
        <v>19</v>
      </c>
      <c r="M337" s="5" t="n">
        <v>20</v>
      </c>
      <c r="N337" s="5" t="n">
        <v>37</v>
      </c>
      <c r="O337" s="5" t="n">
        <v>70</v>
      </c>
      <c r="P337" s="5" t="n">
        <v>56</v>
      </c>
      <c r="Q337" s="5" t="n">
        <v>20</v>
      </c>
      <c r="R337" s="5" t="n">
        <v>52</v>
      </c>
      <c r="S337" s="5" t="n">
        <v>46</v>
      </c>
      <c r="T337" s="5" t="n">
        <v>67</v>
      </c>
      <c r="U337" s="5" t="n">
        <v>55</v>
      </c>
      <c r="V337" s="5" t="n">
        <v>78</v>
      </c>
      <c r="W337" s="5" t="n">
        <v>62</v>
      </c>
      <c r="X337" s="5" t="n">
        <v>38</v>
      </c>
      <c r="Y337" s="14">
        <f>IF(AND(ISNUMBER(C337),C337&gt;0,ISNUMBER(X337)),X337/C337-1,"")</f>
        <v/>
      </c>
    </row>
    <row r="338">
      <c r="A338" s="12" t="inlineStr">
        <is>
          <t>622</t>
        </is>
      </c>
      <c r="B338" s="13" t="inlineStr">
        <is>
          <t>General</t>
        </is>
      </c>
      <c r="C338" s="5" t="n">
        <v>6</v>
      </c>
      <c r="D338" s="5" t="n">
        <v>20</v>
      </c>
      <c r="E338" s="5" t="n">
        <v>29</v>
      </c>
      <c r="F338" s="5" t="n">
        <v>4</v>
      </c>
      <c r="G338" s="5" t="n">
        <v>33</v>
      </c>
      <c r="H338" s="5" t="n">
        <v>32</v>
      </c>
      <c r="I338" s="5" t="n">
        <v>41</v>
      </c>
      <c r="J338" s="5" t="n">
        <v>11</v>
      </c>
      <c r="K338" s="5" t="n">
        <v>8</v>
      </c>
      <c r="L338" s="5" t="n"/>
      <c r="M338" s="5" t="n">
        <v>6</v>
      </c>
      <c r="N338" s="5" t="n">
        <v>32</v>
      </c>
      <c r="O338" s="5" t="n">
        <v>29</v>
      </c>
      <c r="P338" s="5" t="n">
        <v>30</v>
      </c>
      <c r="Q338" s="5" t="n">
        <v>6</v>
      </c>
      <c r="R338" s="5" t="n"/>
      <c r="S338" s="5" t="n">
        <v>17</v>
      </c>
      <c r="T338" s="5" t="n">
        <v>4</v>
      </c>
      <c r="U338" s="5" t="n">
        <v>8</v>
      </c>
      <c r="V338" s="5" t="n">
        <v>17</v>
      </c>
      <c r="W338" s="5" t="n">
        <v>15</v>
      </c>
      <c r="X338" s="5" t="n">
        <v>23</v>
      </c>
      <c r="Y338" s="14">
        <f>IF(AND(ISNUMBER(C338),C338&gt;0,ISNUMBER(X338)),X338/C338-1,"")</f>
        <v/>
      </c>
    </row>
    <row r="339">
      <c r="A339" s="12" t="inlineStr">
        <is>
          <t>630</t>
        </is>
      </c>
      <c r="B339" s="13" t="inlineStr">
        <is>
          <t>General</t>
        </is>
      </c>
      <c r="C339" s="5" t="n">
        <v>749</v>
      </c>
      <c r="D339" s="5" t="n">
        <v>823</v>
      </c>
      <c r="E339" s="5" t="n">
        <v>1016</v>
      </c>
      <c r="F339" s="5" t="n">
        <v>1056</v>
      </c>
      <c r="G339" s="5" t="n">
        <v>1079</v>
      </c>
      <c r="H339" s="5" t="n">
        <v>1421</v>
      </c>
      <c r="I339" s="5" t="n">
        <v>840</v>
      </c>
      <c r="J339" s="5" t="n">
        <v>152</v>
      </c>
      <c r="K339" s="5" t="n">
        <v>142</v>
      </c>
      <c r="L339" s="5" t="n">
        <v>100</v>
      </c>
      <c r="M339" s="5" t="n">
        <v>105</v>
      </c>
      <c r="N339" s="5" t="n">
        <v>187</v>
      </c>
      <c r="O339" s="5" t="n">
        <v>269</v>
      </c>
      <c r="P339" s="5" t="n">
        <v>277</v>
      </c>
      <c r="Q339" s="5" t="n">
        <v>272</v>
      </c>
      <c r="R339" s="5" t="n">
        <v>265</v>
      </c>
      <c r="S339" s="5" t="n">
        <v>544</v>
      </c>
      <c r="T339" s="5" t="n">
        <v>310</v>
      </c>
      <c r="U339" s="5" t="n">
        <v>505</v>
      </c>
      <c r="V339" s="5" t="n">
        <v>352</v>
      </c>
      <c r="W339" s="5" t="n">
        <v>412</v>
      </c>
      <c r="X339" s="5" t="n">
        <v>202</v>
      </c>
      <c r="Y339" s="14">
        <f>IF(AND(ISNUMBER(C339),C339&gt;0,ISNUMBER(X339)),X339/C339-1,"")</f>
        <v/>
      </c>
    </row>
    <row r="340">
      <c r="A340" s="12" t="inlineStr">
        <is>
          <t>631</t>
        </is>
      </c>
      <c r="B340" s="4" t="inlineStr"/>
      <c r="C340" s="5" t="n">
        <v>8</v>
      </c>
      <c r="D340" s="5" t="n">
        <v>6</v>
      </c>
      <c r="E340" s="5" t="n">
        <v>23</v>
      </c>
      <c r="F340" s="5" t="n">
        <v>8</v>
      </c>
      <c r="G340" s="5" t="n">
        <v>18</v>
      </c>
      <c r="H340" s="5" t="n">
        <v>6</v>
      </c>
      <c r="I340" s="5" t="n">
        <v>12</v>
      </c>
      <c r="J340" s="5" t="n">
        <v>3</v>
      </c>
      <c r="K340" s="5" t="n">
        <v>6</v>
      </c>
      <c r="L340" s="5" t="n">
        <v>3</v>
      </c>
      <c r="M340" s="5" t="n">
        <v>3</v>
      </c>
      <c r="N340" s="5" t="n"/>
      <c r="O340" s="5" t="n">
        <v>9</v>
      </c>
      <c r="P340" s="5" t="n">
        <v>12</v>
      </c>
      <c r="Q340" s="5" t="n">
        <v>6</v>
      </c>
      <c r="R340" s="5" t="n">
        <v>19</v>
      </c>
      <c r="S340" s="5" t="n">
        <v>10</v>
      </c>
      <c r="T340" s="5" t="n"/>
      <c r="U340" s="5" t="n"/>
      <c r="V340" s="5" t="n"/>
      <c r="W340" s="5" t="n"/>
      <c r="X340" s="5" t="n"/>
      <c r="Y340" s="14">
        <f>IF(AND(ISNUMBER(C340),C340&gt;0,ISNUMBER(X340)),X340/C340-1,"")</f>
        <v/>
      </c>
    </row>
    <row r="341">
      <c r="A341" s="12" t="inlineStr">
        <is>
          <t>632</t>
        </is>
      </c>
      <c r="B341" s="4" t="inlineStr"/>
      <c r="C341" s="5" t="n">
        <v>2</v>
      </c>
      <c r="D341" s="5" t="n">
        <v>20</v>
      </c>
      <c r="E341" s="5" t="n">
        <v>52</v>
      </c>
      <c r="F341" s="5" t="n">
        <v>16</v>
      </c>
      <c r="G341" s="5" t="n">
        <v>35</v>
      </c>
      <c r="H341" s="5" t="n">
        <v>12</v>
      </c>
      <c r="I341" s="5" t="n">
        <v>26</v>
      </c>
      <c r="J341" s="5" t="n"/>
      <c r="K341" s="5" t="n">
        <v>3</v>
      </c>
      <c r="L341" s="5" t="n">
        <v>6</v>
      </c>
      <c r="M341" s="5" t="n">
        <v>3</v>
      </c>
      <c r="N341" s="5" t="n">
        <v>6</v>
      </c>
      <c r="O341" s="5" t="n">
        <v>23</v>
      </c>
      <c r="P341" s="5" t="n">
        <v>15</v>
      </c>
      <c r="Q341" s="5" t="n">
        <v>17</v>
      </c>
      <c r="R341" s="5" t="n">
        <v>19</v>
      </c>
      <c r="S341" s="5" t="n">
        <v>13</v>
      </c>
      <c r="T341" s="5" t="n">
        <v>9</v>
      </c>
      <c r="U341" s="5" t="n"/>
      <c r="V341" s="5" t="n"/>
      <c r="W341" s="5" t="n"/>
      <c r="X341" s="5" t="n"/>
      <c r="Y341" s="14">
        <f>IF(AND(ISNUMBER(C341),C341&gt;0,ISNUMBER(X341)),X341/C341-1,"")</f>
        <v/>
      </c>
    </row>
    <row r="342">
      <c r="A342" s="12" t="inlineStr">
        <is>
          <t>640</t>
        </is>
      </c>
      <c r="B342" s="13" t="inlineStr">
        <is>
          <t>General</t>
        </is>
      </c>
      <c r="C342" s="5" t="n">
        <v>428</v>
      </c>
      <c r="D342" s="5" t="n">
        <v>455</v>
      </c>
      <c r="E342" s="5" t="n">
        <v>619</v>
      </c>
      <c r="F342" s="5" t="n">
        <v>563</v>
      </c>
      <c r="G342" s="5" t="n">
        <v>418</v>
      </c>
      <c r="H342" s="5" t="n">
        <v>432</v>
      </c>
      <c r="I342" s="5" t="n">
        <v>462</v>
      </c>
      <c r="J342" s="5" t="n">
        <v>307</v>
      </c>
      <c r="K342" s="5" t="n">
        <v>464</v>
      </c>
      <c r="L342" s="5" t="n">
        <v>395</v>
      </c>
      <c r="M342" s="5" t="n">
        <v>314</v>
      </c>
      <c r="N342" s="5" t="n">
        <v>315</v>
      </c>
      <c r="O342" s="5" t="n">
        <v>417</v>
      </c>
      <c r="P342" s="5" t="n">
        <v>392</v>
      </c>
      <c r="Q342" s="5" t="n">
        <v>388</v>
      </c>
      <c r="R342" s="5" t="n">
        <v>317</v>
      </c>
      <c r="S342" s="5" t="n">
        <v>830</v>
      </c>
      <c r="T342" s="5" t="n">
        <v>784</v>
      </c>
      <c r="U342" s="5" t="n">
        <v>926</v>
      </c>
      <c r="V342" s="5" t="n">
        <v>850</v>
      </c>
      <c r="W342" s="5" t="n">
        <v>810</v>
      </c>
      <c r="X342" s="5" t="n">
        <v>470</v>
      </c>
      <c r="Y342" s="14">
        <f>IF(AND(ISNUMBER(C342),C342&gt;0,ISNUMBER(X342)),X342/C342-1,"")</f>
        <v/>
      </c>
    </row>
    <row r="343">
      <c r="A343" s="12" t="inlineStr">
        <is>
          <t>641</t>
        </is>
      </c>
      <c r="B343" s="4" t="inlineStr"/>
      <c r="C343" s="5" t="n">
        <v>210</v>
      </c>
      <c r="D343" s="5" t="n">
        <v>381</v>
      </c>
      <c r="E343" s="5" t="n">
        <v>262</v>
      </c>
      <c r="F343" s="5" t="n">
        <v>321</v>
      </c>
      <c r="G343" s="5" t="n">
        <v>565</v>
      </c>
      <c r="H343" s="5" t="n">
        <v>267</v>
      </c>
      <c r="I343" s="5" t="n">
        <v>187</v>
      </c>
      <c r="J343" s="5" t="n">
        <v>115</v>
      </c>
      <c r="K343" s="5" t="n">
        <v>235</v>
      </c>
      <c r="L343" s="5" t="n">
        <v>141</v>
      </c>
      <c r="M343" s="5" t="n">
        <v>155</v>
      </c>
      <c r="N343" s="5" t="n">
        <v>163</v>
      </c>
      <c r="O343" s="5" t="n">
        <v>229</v>
      </c>
      <c r="P343" s="5" t="n">
        <v>157</v>
      </c>
      <c r="Q343" s="5" t="n">
        <v>157</v>
      </c>
      <c r="R343" s="5" t="n">
        <v>152</v>
      </c>
      <c r="S343" s="5" t="n"/>
      <c r="T343" s="5" t="n"/>
      <c r="U343" s="5" t="n"/>
      <c r="V343" s="5" t="n"/>
      <c r="W343" s="5" t="n"/>
      <c r="X343" s="5" t="n"/>
      <c r="Y343" s="14">
        <f>IF(AND(ISNUMBER(C343),C343&gt;0,ISNUMBER(X343)),X343/C343-1,"")</f>
        <v/>
      </c>
    </row>
    <row r="344">
      <c r="A344" s="12" t="inlineStr">
        <is>
          <t>650</t>
        </is>
      </c>
      <c r="B344" s="13" t="inlineStr">
        <is>
          <t>General</t>
        </is>
      </c>
      <c r="C344" s="5" t="n">
        <v>227</v>
      </c>
      <c r="D344" s="5" t="n">
        <v>312</v>
      </c>
      <c r="E344" s="5" t="n">
        <v>428</v>
      </c>
      <c r="F344" s="5" t="n">
        <v>408</v>
      </c>
      <c r="G344" s="5" t="n">
        <v>345</v>
      </c>
      <c r="H344" s="5" t="n">
        <v>312</v>
      </c>
      <c r="I344" s="5" t="n">
        <v>329</v>
      </c>
      <c r="J344" s="5" t="n">
        <v>101</v>
      </c>
      <c r="K344" s="5" t="n">
        <v>155</v>
      </c>
      <c r="L344" s="5" t="n">
        <v>104</v>
      </c>
      <c r="M344" s="5" t="n">
        <v>158</v>
      </c>
      <c r="N344" s="5" t="n">
        <v>158</v>
      </c>
      <c r="O344" s="5" t="n">
        <v>287</v>
      </c>
      <c r="P344" s="5" t="n">
        <v>212</v>
      </c>
      <c r="Q344" s="5" t="n">
        <v>209</v>
      </c>
      <c r="R344" s="5" t="n">
        <v>236</v>
      </c>
      <c r="S344" s="5" t="n">
        <v>572</v>
      </c>
      <c r="T344" s="5" t="n">
        <v>388</v>
      </c>
      <c r="U344" s="5" t="n">
        <v>415</v>
      </c>
      <c r="V344" s="5" t="n">
        <v>375</v>
      </c>
      <c r="W344" s="5" t="n">
        <v>293</v>
      </c>
      <c r="X344" s="5" t="n">
        <v>182</v>
      </c>
      <c r="Y344" s="14">
        <f>IF(AND(ISNUMBER(C344),C344&gt;0,ISNUMBER(X344)),X344/C344-1,"")</f>
        <v/>
      </c>
    </row>
    <row r="345">
      <c r="A345" s="12" t="inlineStr">
        <is>
          <t>651</t>
        </is>
      </c>
      <c r="B345" s="4" t="inlineStr"/>
      <c r="C345" s="5" t="n">
        <v>652</v>
      </c>
      <c r="D345" s="5" t="n">
        <v>565</v>
      </c>
      <c r="E345" s="5" t="n">
        <v>541</v>
      </c>
      <c r="F345" s="5" t="n">
        <v>514</v>
      </c>
      <c r="G345" s="5" t="n">
        <v>683</v>
      </c>
      <c r="H345" s="5" t="n">
        <v>428</v>
      </c>
      <c r="I345" s="5" t="n">
        <v>459</v>
      </c>
      <c r="J345" s="5" t="n">
        <v>250</v>
      </c>
      <c r="K345" s="5" t="n">
        <v>357</v>
      </c>
      <c r="L345" s="5" t="n">
        <v>237</v>
      </c>
      <c r="M345" s="5" t="n">
        <v>203</v>
      </c>
      <c r="N345" s="5" t="n">
        <v>202</v>
      </c>
      <c r="O345" s="5" t="n">
        <v>339</v>
      </c>
      <c r="P345" s="5" t="n">
        <v>309</v>
      </c>
      <c r="Q345" s="5" t="n">
        <v>209</v>
      </c>
      <c r="R345" s="5" t="n">
        <v>195</v>
      </c>
      <c r="S345" s="5" t="n"/>
      <c r="T345" s="5" t="n"/>
      <c r="U345" s="5" t="n"/>
      <c r="V345" s="5" t="n"/>
      <c r="W345" s="5" t="n"/>
      <c r="X345" s="5" t="n"/>
      <c r="Y345" s="14">
        <f>IF(AND(ISNUMBER(C345),C345&gt;0,ISNUMBER(X345)),X345/C345-1,"")</f>
        <v/>
      </c>
    </row>
    <row r="346">
      <c r="A346" s="12" t="inlineStr">
        <is>
          <t>652</t>
        </is>
      </c>
      <c r="B346" s="13" t="inlineStr">
        <is>
          <t>General</t>
        </is>
      </c>
      <c r="C346" s="5" t="n">
        <v>13</v>
      </c>
      <c r="D346" s="5" t="n">
        <v>14</v>
      </c>
      <c r="E346" s="5" t="n">
        <v>9</v>
      </c>
      <c r="F346" s="5" t="n">
        <v>11</v>
      </c>
      <c r="G346" s="5" t="n">
        <v>18</v>
      </c>
      <c r="H346" s="5" t="n">
        <v>9</v>
      </c>
      <c r="I346" s="5" t="n">
        <v>23</v>
      </c>
      <c r="J346" s="5" t="n">
        <v>6</v>
      </c>
      <c r="K346" s="5" t="n">
        <v>9</v>
      </c>
      <c r="L346" s="5" t="n">
        <v>3</v>
      </c>
      <c r="M346" s="5" t="n">
        <v>9</v>
      </c>
      <c r="N346" s="5" t="n">
        <v>6</v>
      </c>
      <c r="O346" s="5" t="n">
        <v>12</v>
      </c>
      <c r="P346" s="5" t="n">
        <v>12</v>
      </c>
      <c r="Q346" s="5" t="n">
        <v>10</v>
      </c>
      <c r="R346" s="5" t="n">
        <v>10</v>
      </c>
      <c r="S346" s="5" t="n">
        <v>64</v>
      </c>
      <c r="T346" s="5" t="n">
        <v>4</v>
      </c>
      <c r="U346" s="5" t="n">
        <v>27</v>
      </c>
      <c r="V346" s="5" t="n">
        <v>19</v>
      </c>
      <c r="W346" s="5" t="n">
        <v>20</v>
      </c>
      <c r="X346" s="5" t="n">
        <v>8</v>
      </c>
      <c r="Y346" s="14">
        <f>IF(AND(ISNUMBER(C346),C346&gt;0,ISNUMBER(X346)),X346/C346-1,"")</f>
        <v/>
      </c>
    </row>
    <row r="347">
      <c r="A347" s="12" t="inlineStr">
        <is>
          <t>670</t>
        </is>
      </c>
      <c r="B347" s="13" t="inlineStr">
        <is>
          <t>General</t>
        </is>
      </c>
      <c r="C347" s="5" t="n">
        <v>366</v>
      </c>
      <c r="D347" s="5" t="n">
        <v>361</v>
      </c>
      <c r="E347" s="5" t="n">
        <v>448</v>
      </c>
      <c r="F347" s="5" t="n">
        <v>589</v>
      </c>
      <c r="G347" s="5" t="n">
        <v>748</v>
      </c>
      <c r="H347" s="5" t="n">
        <v>676</v>
      </c>
      <c r="I347" s="5" t="n">
        <v>769</v>
      </c>
      <c r="J347" s="5" t="n">
        <v>239</v>
      </c>
      <c r="K347" s="5" t="n">
        <v>402</v>
      </c>
      <c r="L347" s="5" t="n">
        <v>281</v>
      </c>
      <c r="M347" s="5" t="n">
        <v>283</v>
      </c>
      <c r="N347" s="5" t="n">
        <v>324</v>
      </c>
      <c r="O347" s="5" t="n">
        <v>415</v>
      </c>
      <c r="P347" s="5" t="n">
        <v>445</v>
      </c>
      <c r="Q347" s="5" t="n">
        <v>413</v>
      </c>
      <c r="R347" s="5" t="n">
        <v>420</v>
      </c>
      <c r="S347" s="5" t="n">
        <v>696</v>
      </c>
      <c r="T347" s="5" t="n">
        <v>542</v>
      </c>
      <c r="U347" s="5" t="n">
        <v>571</v>
      </c>
      <c r="V347" s="5" t="n">
        <v>488</v>
      </c>
      <c r="W347" s="5" t="n">
        <v>472</v>
      </c>
      <c r="X347" s="5" t="n">
        <v>213</v>
      </c>
      <c r="Y347" s="14">
        <f>IF(AND(ISNUMBER(C347),C347&gt;0,ISNUMBER(X347)),X347/C347-1,"")</f>
        <v/>
      </c>
    </row>
    <row r="348">
      <c r="A348" s="12" t="inlineStr">
        <is>
          <t>680</t>
        </is>
      </c>
      <c r="B348" s="4" t="inlineStr"/>
      <c r="C348" s="5" t="n">
        <v>53</v>
      </c>
      <c r="D348" s="5" t="n">
        <v>49</v>
      </c>
      <c r="E348" s="5" t="n">
        <v>33</v>
      </c>
      <c r="F348" s="5" t="n">
        <v>59</v>
      </c>
      <c r="G348" s="5" t="n">
        <v>45</v>
      </c>
      <c r="H348" s="5" t="n">
        <v>52</v>
      </c>
      <c r="I348" s="5" t="n">
        <v>52</v>
      </c>
      <c r="J348" s="5" t="n">
        <v>36</v>
      </c>
      <c r="K348" s="5" t="n">
        <v>31</v>
      </c>
      <c r="L348" s="5" t="n">
        <v>24</v>
      </c>
      <c r="M348" s="5" t="n">
        <v>20</v>
      </c>
      <c r="N348" s="5" t="n">
        <v>17</v>
      </c>
      <c r="O348" s="5" t="n">
        <v>35</v>
      </c>
      <c r="P348" s="5" t="n">
        <v>50</v>
      </c>
      <c r="Q348" s="5" t="n">
        <v>32</v>
      </c>
      <c r="R348" s="5" t="n">
        <v>71</v>
      </c>
      <c r="S348" s="5" t="n"/>
      <c r="T348" s="5" t="n"/>
      <c r="U348" s="5" t="n"/>
      <c r="V348" s="5" t="n"/>
      <c r="W348" s="5" t="n"/>
      <c r="X348" s="5" t="n"/>
      <c r="Y348" s="14">
        <f>IF(AND(ISNUMBER(C348),C348&gt;0,ISNUMBER(X348)),X348/C348-1,"")</f>
        <v/>
      </c>
    </row>
    <row r="349">
      <c r="A349" s="12" t="inlineStr">
        <is>
          <t>690</t>
        </is>
      </c>
      <c r="B349" s="13" t="inlineStr">
        <is>
          <t>General</t>
        </is>
      </c>
      <c r="C349" s="5" t="n">
        <v>350</v>
      </c>
      <c r="D349" s="5" t="n">
        <v>325</v>
      </c>
      <c r="E349" s="5" t="n">
        <v>409</v>
      </c>
      <c r="F349" s="5" t="n">
        <v>465</v>
      </c>
      <c r="G349" s="5" t="n">
        <v>520</v>
      </c>
      <c r="H349" s="5" t="n">
        <v>635</v>
      </c>
      <c r="I349" s="5" t="n">
        <v>540</v>
      </c>
      <c r="J349" s="5" t="n">
        <v>409</v>
      </c>
      <c r="K349" s="5" t="n">
        <v>474</v>
      </c>
      <c r="L349" s="5" t="n">
        <v>205</v>
      </c>
      <c r="M349" s="5" t="n">
        <v>246</v>
      </c>
      <c r="N349" s="5" t="n">
        <v>313</v>
      </c>
      <c r="O349" s="5" t="n">
        <v>388</v>
      </c>
      <c r="P349" s="5" t="n">
        <v>326</v>
      </c>
      <c r="Q349" s="5" t="n">
        <v>481</v>
      </c>
      <c r="R349" s="5" t="n">
        <v>502</v>
      </c>
      <c r="S349" s="5" t="n">
        <v>713</v>
      </c>
      <c r="T349" s="5" t="n">
        <v>528</v>
      </c>
      <c r="U349" s="5" t="n">
        <v>660</v>
      </c>
      <c r="V349" s="5" t="n">
        <v>530</v>
      </c>
      <c r="W349" s="5" t="n">
        <v>446</v>
      </c>
      <c r="X349" s="5" t="n">
        <v>350</v>
      </c>
      <c r="Y349" s="14">
        <f>IF(AND(ISNUMBER(C349),C349&gt;0,ISNUMBER(X349)),X349/C349-1,"")</f>
        <v/>
      </c>
    </row>
    <row r="350">
      <c r="A350" s="12" t="inlineStr">
        <is>
          <t>700</t>
        </is>
      </c>
      <c r="B350" s="13" t="inlineStr">
        <is>
          <t>General</t>
        </is>
      </c>
      <c r="C350" s="5" t="n">
        <v>278</v>
      </c>
      <c r="D350" s="5" t="n">
        <v>453</v>
      </c>
      <c r="E350" s="5" t="n">
        <v>919</v>
      </c>
      <c r="F350" s="5" t="n">
        <v>636</v>
      </c>
      <c r="G350" s="5" t="n">
        <v>890</v>
      </c>
      <c r="H350" s="5" t="n">
        <v>680</v>
      </c>
      <c r="I350" s="5" t="n">
        <v>624</v>
      </c>
      <c r="J350" s="5" t="n">
        <v>490</v>
      </c>
      <c r="K350" s="5" t="n">
        <v>451</v>
      </c>
      <c r="L350" s="5" t="n">
        <v>409</v>
      </c>
      <c r="M350" s="5" t="n">
        <v>592</v>
      </c>
      <c r="N350" s="5" t="n">
        <v>737</v>
      </c>
      <c r="O350" s="5" t="n">
        <v>658</v>
      </c>
      <c r="P350" s="5" t="n">
        <v>797</v>
      </c>
      <c r="Q350" s="5" t="n">
        <v>473</v>
      </c>
      <c r="R350" s="5" t="n">
        <v>527</v>
      </c>
      <c r="S350" s="5" t="n">
        <v>735</v>
      </c>
      <c r="T350" s="5" t="n">
        <v>774</v>
      </c>
      <c r="U350" s="5" t="n">
        <v>639</v>
      </c>
      <c r="V350" s="5" t="n">
        <v>716</v>
      </c>
      <c r="W350" s="5" t="n">
        <v>598</v>
      </c>
      <c r="X350" s="5" t="n">
        <v>480</v>
      </c>
      <c r="Y350" s="14">
        <f>IF(AND(ISNUMBER(C350),C350&gt;0,ISNUMBER(X350)),X350/C350-1,"")</f>
        <v/>
      </c>
    </row>
    <row r="351">
      <c r="A351" s="12" t="inlineStr">
        <is>
          <t>701</t>
        </is>
      </c>
      <c r="B351" s="13" t="inlineStr">
        <is>
          <t>General</t>
        </is>
      </c>
      <c r="C351" s="5" t="n">
        <v>968</v>
      </c>
      <c r="D351" s="5" t="n">
        <v>808</v>
      </c>
      <c r="E351" s="5" t="n">
        <v>1030</v>
      </c>
      <c r="F351" s="5" t="n">
        <v>772</v>
      </c>
      <c r="G351" s="5" t="n">
        <v>857</v>
      </c>
      <c r="H351" s="5" t="n">
        <v>949</v>
      </c>
      <c r="I351" s="5" t="n">
        <v>944</v>
      </c>
      <c r="J351" s="5" t="n">
        <v>779</v>
      </c>
      <c r="K351" s="5" t="n">
        <v>1077</v>
      </c>
      <c r="L351" s="5" t="n">
        <v>763</v>
      </c>
      <c r="M351" s="5" t="n">
        <v>946</v>
      </c>
      <c r="N351" s="5" t="n">
        <v>946</v>
      </c>
      <c r="O351" s="5" t="n">
        <v>1052</v>
      </c>
      <c r="P351" s="5" t="n">
        <v>1039</v>
      </c>
      <c r="Q351" s="5" t="n">
        <v>968</v>
      </c>
      <c r="R351" s="5" t="n">
        <v>1015</v>
      </c>
      <c r="S351" s="5" t="n">
        <v>1382</v>
      </c>
      <c r="T351" s="5" t="n">
        <v>1042</v>
      </c>
      <c r="U351" s="5" t="n">
        <v>1026</v>
      </c>
      <c r="V351" s="5" t="n">
        <v>1203</v>
      </c>
      <c r="W351" s="5" t="n">
        <v>940</v>
      </c>
      <c r="X351" s="5" t="n">
        <v>790</v>
      </c>
      <c r="Y351" s="14">
        <f>IF(AND(ISNUMBER(C351),C351&gt;0,ISNUMBER(X351)),X351/C351-1,"")</f>
        <v/>
      </c>
    </row>
    <row r="352">
      <c r="A352" s="12" t="inlineStr">
        <is>
          <t>702</t>
        </is>
      </c>
      <c r="B352" s="13" t="inlineStr">
        <is>
          <t>General</t>
        </is>
      </c>
      <c r="C352" s="5" t="n">
        <v>332</v>
      </c>
      <c r="D352" s="5" t="n">
        <v>292</v>
      </c>
      <c r="E352" s="5" t="n">
        <v>332</v>
      </c>
      <c r="F352" s="5" t="n">
        <v>267</v>
      </c>
      <c r="G352" s="5" t="n">
        <v>287</v>
      </c>
      <c r="H352" s="5" t="n">
        <v>311</v>
      </c>
      <c r="I352" s="5" t="n">
        <v>330</v>
      </c>
      <c r="J352" s="5" t="n">
        <v>387</v>
      </c>
      <c r="K352" s="5" t="n">
        <v>522</v>
      </c>
      <c r="L352" s="5" t="n">
        <v>292</v>
      </c>
      <c r="M352" s="5" t="n">
        <v>255</v>
      </c>
      <c r="N352" s="5" t="n">
        <v>364</v>
      </c>
      <c r="O352" s="5" t="n">
        <v>470</v>
      </c>
      <c r="P352" s="5" t="n">
        <v>464</v>
      </c>
      <c r="Q352" s="5" t="n">
        <v>342</v>
      </c>
      <c r="R352" s="5" t="n">
        <v>333</v>
      </c>
      <c r="S352" s="5" t="n">
        <v>390</v>
      </c>
      <c r="T352" s="5" t="n">
        <v>373</v>
      </c>
      <c r="U352" s="5" t="n">
        <v>422</v>
      </c>
      <c r="V352" s="5" t="n">
        <v>403</v>
      </c>
      <c r="W352" s="5" t="n">
        <v>382</v>
      </c>
      <c r="X352" s="5" t="n">
        <v>269</v>
      </c>
      <c r="Y352" s="14">
        <f>IF(AND(ISNUMBER(C352),C352&gt;0,ISNUMBER(X352)),X352/C352-1,"")</f>
        <v/>
      </c>
    </row>
    <row r="353">
      <c r="A353" s="12" t="inlineStr">
        <is>
          <t>703</t>
        </is>
      </c>
      <c r="B353" s="13" t="inlineStr">
        <is>
          <t>General</t>
        </is>
      </c>
      <c r="C353" s="5" t="n">
        <v>1487</v>
      </c>
      <c r="D353" s="5" t="n">
        <v>1474</v>
      </c>
      <c r="E353" s="5" t="n">
        <v>1347</v>
      </c>
      <c r="F353" s="5" t="n">
        <v>1528</v>
      </c>
      <c r="G353" s="5" t="n">
        <v>1948</v>
      </c>
      <c r="H353" s="5" t="n">
        <v>1743</v>
      </c>
      <c r="I353" s="5" t="n">
        <v>1801</v>
      </c>
      <c r="J353" s="5" t="n">
        <v>963</v>
      </c>
      <c r="K353" s="5" t="n">
        <v>1311</v>
      </c>
      <c r="L353" s="5" t="n">
        <v>935</v>
      </c>
      <c r="M353" s="5" t="n">
        <v>1044</v>
      </c>
      <c r="N353" s="5" t="n">
        <v>1089</v>
      </c>
      <c r="O353" s="5" t="n">
        <v>1097</v>
      </c>
      <c r="P353" s="5" t="n">
        <v>1098</v>
      </c>
      <c r="Q353" s="5" t="n">
        <v>1055</v>
      </c>
      <c r="R353" s="5" t="n">
        <v>1107</v>
      </c>
      <c r="S353" s="5" t="n">
        <v>1338</v>
      </c>
      <c r="T353" s="5" t="n">
        <v>934</v>
      </c>
      <c r="U353" s="5" t="n">
        <v>1109</v>
      </c>
      <c r="V353" s="5" t="n">
        <v>848</v>
      </c>
      <c r="W353" s="5" t="n">
        <v>815</v>
      </c>
      <c r="X353" s="5" t="n">
        <v>448</v>
      </c>
      <c r="Y353" s="14">
        <f>IF(AND(ISNUMBER(C353),C353&gt;0,ISNUMBER(X353)),X353/C353-1,"")</f>
        <v/>
      </c>
    </row>
    <row r="354">
      <c r="A354" s="12" t="inlineStr">
        <is>
          <t>704</t>
        </is>
      </c>
      <c r="B354" s="13" t="inlineStr">
        <is>
          <t>General</t>
        </is>
      </c>
      <c r="C354" s="5" t="n">
        <v>508</v>
      </c>
      <c r="D354" s="5" t="n">
        <v>609</v>
      </c>
      <c r="E354" s="5" t="n">
        <v>542</v>
      </c>
      <c r="F354" s="5" t="n">
        <v>628</v>
      </c>
      <c r="G354" s="5" t="n">
        <v>611</v>
      </c>
      <c r="H354" s="5" t="n">
        <v>789</v>
      </c>
      <c r="I354" s="5" t="n">
        <v>822</v>
      </c>
      <c r="J354" s="5" t="n">
        <v>664</v>
      </c>
      <c r="K354" s="5" t="n">
        <v>765</v>
      </c>
      <c r="L354" s="5" t="n">
        <v>604</v>
      </c>
      <c r="M354" s="5" t="n">
        <v>633</v>
      </c>
      <c r="N354" s="5" t="n">
        <v>692</v>
      </c>
      <c r="O354" s="5" t="n">
        <v>822</v>
      </c>
      <c r="P354" s="5" t="n">
        <v>807</v>
      </c>
      <c r="Q354" s="5" t="n">
        <v>778</v>
      </c>
      <c r="R354" s="5" t="n">
        <v>728</v>
      </c>
      <c r="S354" s="5" t="n">
        <v>1054</v>
      </c>
      <c r="T354" s="5" t="n">
        <v>893</v>
      </c>
      <c r="U354" s="5" t="n">
        <v>647</v>
      </c>
      <c r="V354" s="5" t="n">
        <v>756</v>
      </c>
      <c r="W354" s="5" t="n">
        <v>716</v>
      </c>
      <c r="X354" s="5" t="n">
        <v>652</v>
      </c>
      <c r="Y354" s="14">
        <f>IF(AND(ISNUMBER(C354),C354&gt;0,ISNUMBER(X354)),X354/C354-1,"")</f>
        <v/>
      </c>
    </row>
    <row r="355">
      <c r="A355" s="12" t="inlineStr">
        <is>
          <t>705</t>
        </is>
      </c>
      <c r="B355" s="13" t="inlineStr">
        <is>
          <t>General</t>
        </is>
      </c>
      <c r="C355" s="5" t="n">
        <v>1093</v>
      </c>
      <c r="D355" s="5" t="n">
        <v>1136</v>
      </c>
      <c r="E355" s="5" t="n">
        <v>1327</v>
      </c>
      <c r="F355" s="5" t="n">
        <v>1397</v>
      </c>
      <c r="G355" s="5" t="n">
        <v>1379</v>
      </c>
      <c r="H355" s="5" t="n">
        <v>1261</v>
      </c>
      <c r="I355" s="5" t="n">
        <v>1421</v>
      </c>
      <c r="J355" s="5" t="n">
        <v>1030</v>
      </c>
      <c r="K355" s="5" t="n">
        <v>1175</v>
      </c>
      <c r="L355" s="5" t="n">
        <v>998</v>
      </c>
      <c r="M355" s="5" t="n">
        <v>1021</v>
      </c>
      <c r="N355" s="5" t="n">
        <v>1336</v>
      </c>
      <c r="O355" s="5" t="n">
        <v>1552</v>
      </c>
      <c r="P355" s="5" t="n">
        <v>1401</v>
      </c>
      <c r="Q355" s="5" t="n">
        <v>1134</v>
      </c>
      <c r="R355" s="5" t="n">
        <v>1396</v>
      </c>
      <c r="S355" s="5" t="n">
        <v>1971</v>
      </c>
      <c r="T355" s="5" t="n">
        <v>1230</v>
      </c>
      <c r="U355" s="5" t="n">
        <v>824</v>
      </c>
      <c r="V355" s="5" t="n">
        <v>814</v>
      </c>
      <c r="W355" s="5" t="n">
        <v>899</v>
      </c>
      <c r="X355" s="5" t="n">
        <v>798</v>
      </c>
      <c r="Y355" s="14">
        <f>IF(AND(ISNUMBER(C355),C355&gt;0,ISNUMBER(X355)),X355/C355-1,"")</f>
        <v/>
      </c>
    </row>
    <row r="358">
      <c r="A358" s="6" t="inlineStr">
        <is>
          <t>Elk</t>
        </is>
      </c>
    </row>
    <row r="359">
      <c r="A359" s="3" t="inlineStr">
        <is>
          <t>District</t>
        </is>
      </c>
      <c r="B359" s="3" t="inlineStr">
        <is>
          <t>License</t>
        </is>
      </c>
      <c r="C359" s="3" t="inlineStr">
        <is>
          <t>2004</t>
        </is>
      </c>
      <c r="D359" s="3" t="inlineStr">
        <is>
          <t>2005</t>
        </is>
      </c>
      <c r="E359" s="3" t="inlineStr">
        <is>
          <t>2006</t>
        </is>
      </c>
      <c r="F359" s="3" t="inlineStr">
        <is>
          <t>2007</t>
        </is>
      </c>
      <c r="G359" s="3" t="inlineStr">
        <is>
          <t>2008</t>
        </is>
      </c>
      <c r="H359" s="3" t="inlineStr">
        <is>
          <t>2009</t>
        </is>
      </c>
      <c r="I359" s="3" t="inlineStr">
        <is>
          <t>2010</t>
        </is>
      </c>
      <c r="J359" s="3" t="inlineStr">
        <is>
          <t>2011</t>
        </is>
      </c>
      <c r="K359" s="3" t="inlineStr">
        <is>
          <t>2012</t>
        </is>
      </c>
      <c r="L359" s="3" t="inlineStr">
        <is>
          <t>2013</t>
        </is>
      </c>
      <c r="M359" s="3" t="inlineStr">
        <is>
          <t>2014</t>
        </is>
      </c>
      <c r="N359" s="3" t="inlineStr">
        <is>
          <t>2015</t>
        </is>
      </c>
      <c r="O359" s="3" t="inlineStr">
        <is>
          <t>2016</t>
        </is>
      </c>
      <c r="P359" s="3" t="inlineStr">
        <is>
          <t>2017</t>
        </is>
      </c>
      <c r="Q359" s="3" t="inlineStr">
        <is>
          <t>2018</t>
        </is>
      </c>
      <c r="R359" s="3" t="inlineStr">
        <is>
          <t>2019</t>
        </is>
      </c>
      <c r="S359" s="3" t="inlineStr">
        <is>
          <t>2020</t>
        </is>
      </c>
      <c r="T359" s="3" t="inlineStr">
        <is>
          <t>2021</t>
        </is>
      </c>
      <c r="U359" s="3" t="inlineStr">
        <is>
          <t>2022</t>
        </is>
      </c>
      <c r="V359" s="3" t="inlineStr">
        <is>
          <t>2023</t>
        </is>
      </c>
      <c r="W359" s="3" t="inlineStr">
        <is>
          <t>2024</t>
        </is>
      </c>
      <c r="X359" s="3" t="inlineStr">
        <is>
          <t>2025</t>
        </is>
      </c>
      <c r="Y359" s="3" t="inlineStr">
        <is>
          <t>Change</t>
        </is>
      </c>
    </row>
    <row r="360">
      <c r="A360" s="12" t="inlineStr">
        <is>
          <t>100</t>
        </is>
      </c>
      <c r="B360" s="13" t="inlineStr">
        <is>
          <t>General</t>
        </is>
      </c>
      <c r="C360" s="5" t="n">
        <v>124</v>
      </c>
      <c r="D360" s="5" t="n">
        <v>176</v>
      </c>
      <c r="E360" s="5" t="n">
        <v>203</v>
      </c>
      <c r="F360" s="5" t="n">
        <v>132</v>
      </c>
      <c r="G360" s="5" t="n">
        <v>83</v>
      </c>
      <c r="H360" s="5" t="n">
        <v>125</v>
      </c>
      <c r="I360" s="5" t="n">
        <v>113</v>
      </c>
      <c r="J360" s="5" t="n">
        <v>120</v>
      </c>
      <c r="K360" s="5" t="n">
        <v>65</v>
      </c>
      <c r="L360" s="5" t="n">
        <v>65</v>
      </c>
      <c r="M360" s="5" t="n">
        <v>94</v>
      </c>
      <c r="N360" s="5" t="n">
        <v>75</v>
      </c>
      <c r="O360" s="5" t="n">
        <v>73</v>
      </c>
      <c r="P360" s="5" t="n">
        <v>42</v>
      </c>
      <c r="Q360" s="5" t="n">
        <v>66</v>
      </c>
      <c r="R360" s="5" t="n">
        <v>50</v>
      </c>
      <c r="S360" s="5" t="n">
        <v>65</v>
      </c>
      <c r="T360" s="5" t="n">
        <v>74</v>
      </c>
      <c r="U360" s="5" t="n">
        <v>112</v>
      </c>
      <c r="V360" s="5" t="n">
        <v>106</v>
      </c>
      <c r="W360" s="5" t="n">
        <v>84</v>
      </c>
      <c r="X360" s="5" t="n">
        <v>103</v>
      </c>
      <c r="Y360" s="14">
        <f>IF(AND(ISNUMBER(C360),C360&gt;0,ISNUMBER(X360)),X360/C360-1,"")</f>
        <v/>
      </c>
    </row>
    <row r="361">
      <c r="A361" s="12" t="inlineStr">
        <is>
          <t>101</t>
        </is>
      </c>
      <c r="B361" s="13" t="inlineStr">
        <is>
          <t>General</t>
        </is>
      </c>
      <c r="C361" s="5" t="n">
        <v>86</v>
      </c>
      <c r="D361" s="5" t="n">
        <v>88</v>
      </c>
      <c r="E361" s="5" t="n">
        <v>132</v>
      </c>
      <c r="F361" s="5" t="n">
        <v>72</v>
      </c>
      <c r="G361" s="5" t="n">
        <v>98</v>
      </c>
      <c r="H361" s="5" t="n">
        <v>85</v>
      </c>
      <c r="I361" s="5" t="n">
        <v>112</v>
      </c>
      <c r="J361" s="5" t="n">
        <v>110</v>
      </c>
      <c r="K361" s="5" t="n">
        <v>61</v>
      </c>
      <c r="L361" s="5" t="n">
        <v>80</v>
      </c>
      <c r="M361" s="5" t="n">
        <v>63</v>
      </c>
      <c r="N361" s="5" t="n">
        <v>86</v>
      </c>
      <c r="O361" s="5" t="n">
        <v>87</v>
      </c>
      <c r="P361" s="5" t="n">
        <v>78</v>
      </c>
      <c r="Q361" s="5" t="n">
        <v>54</v>
      </c>
      <c r="R361" s="5" t="n">
        <v>60</v>
      </c>
      <c r="S361" s="5" t="n">
        <v>64</v>
      </c>
      <c r="T361" s="5" t="n">
        <v>53</v>
      </c>
      <c r="U361" s="5" t="n">
        <v>103</v>
      </c>
      <c r="V361" s="5" t="n">
        <v>74</v>
      </c>
      <c r="W361" s="5" t="n">
        <v>260</v>
      </c>
      <c r="X361" s="5" t="n">
        <v>195</v>
      </c>
      <c r="Y361" s="14">
        <f>IF(AND(ISNUMBER(C361),C361&gt;0,ISNUMBER(X361)),X361/C361-1,"")</f>
        <v/>
      </c>
    </row>
    <row r="362">
      <c r="A362" s="12" t="inlineStr">
        <is>
          <t>102</t>
        </is>
      </c>
      <c r="B362" s="4" t="inlineStr"/>
      <c r="C362" s="5" t="n">
        <v>35</v>
      </c>
      <c r="D362" s="5" t="n">
        <v>76</v>
      </c>
      <c r="E362" s="5" t="n">
        <v>52</v>
      </c>
      <c r="F362" s="5" t="n">
        <v>90</v>
      </c>
      <c r="G362" s="5" t="n">
        <v>51</v>
      </c>
      <c r="H362" s="5" t="n">
        <v>50</v>
      </c>
      <c r="I362" s="5" t="n">
        <v>42</v>
      </c>
      <c r="J362" s="5" t="n">
        <v>53</v>
      </c>
      <c r="K362" s="5" t="n">
        <v>36</v>
      </c>
      <c r="L362" s="5" t="n">
        <v>53</v>
      </c>
      <c r="M362" s="5" t="n">
        <v>38</v>
      </c>
      <c r="N362" s="5" t="n">
        <v>33</v>
      </c>
      <c r="O362" s="5" t="n">
        <v>35</v>
      </c>
      <c r="P362" s="5" t="n">
        <v>29</v>
      </c>
      <c r="Q362" s="5" t="n">
        <v>23</v>
      </c>
      <c r="R362" s="5" t="n">
        <v>32</v>
      </c>
      <c r="S362" s="5" t="n">
        <v>21</v>
      </c>
      <c r="T362" s="5" t="n">
        <v>29</v>
      </c>
      <c r="U362" s="5" t="n"/>
      <c r="V362" s="5" t="n"/>
      <c r="W362" s="5" t="n"/>
      <c r="X362" s="5" t="n"/>
      <c r="Y362" s="14">
        <f>IF(AND(ISNUMBER(C362),C362&gt;0,ISNUMBER(X362)),X362/C362-1,"")</f>
        <v/>
      </c>
    </row>
    <row r="363">
      <c r="A363" s="12" t="inlineStr">
        <is>
          <t>103</t>
        </is>
      </c>
      <c r="B363" s="13" t="inlineStr">
        <is>
          <t>General</t>
        </is>
      </c>
      <c r="C363" s="5" t="n">
        <v>139</v>
      </c>
      <c r="D363" s="5" t="n">
        <v>141</v>
      </c>
      <c r="E363" s="5" t="n">
        <v>160</v>
      </c>
      <c r="F363" s="5" t="n">
        <v>146</v>
      </c>
      <c r="G363" s="5" t="n">
        <v>116</v>
      </c>
      <c r="H363" s="5" t="n">
        <v>108</v>
      </c>
      <c r="I363" s="5" t="n">
        <v>119</v>
      </c>
      <c r="J363" s="5" t="n">
        <v>78</v>
      </c>
      <c r="K363" s="5" t="n">
        <v>32</v>
      </c>
      <c r="L363" s="5" t="n">
        <v>45</v>
      </c>
      <c r="M363" s="5" t="n">
        <v>64</v>
      </c>
      <c r="N363" s="5" t="n">
        <v>78</v>
      </c>
      <c r="O363" s="5" t="n">
        <v>63</v>
      </c>
      <c r="P363" s="5" t="n">
        <v>47</v>
      </c>
      <c r="Q363" s="5" t="n">
        <v>50</v>
      </c>
      <c r="R363" s="5" t="n">
        <v>61</v>
      </c>
      <c r="S363" s="5" t="n">
        <v>57</v>
      </c>
      <c r="T363" s="5" t="n">
        <v>88</v>
      </c>
      <c r="U363" s="5" t="n">
        <v>114</v>
      </c>
      <c r="V363" s="5" t="n">
        <v>92</v>
      </c>
      <c r="W363" s="5" t="n">
        <v>135</v>
      </c>
      <c r="X363" s="5" t="n">
        <v>154</v>
      </c>
      <c r="Y363" s="14">
        <f>IF(AND(ISNUMBER(C363),C363&gt;0,ISNUMBER(X363)),X363/C363-1,"")</f>
        <v/>
      </c>
    </row>
    <row r="364">
      <c r="A364" s="12" t="inlineStr">
        <is>
          <t>104</t>
        </is>
      </c>
      <c r="B364" s="13" t="inlineStr">
        <is>
          <t>General</t>
        </is>
      </c>
      <c r="C364" s="5" t="n">
        <v>124</v>
      </c>
      <c r="D364" s="5" t="n">
        <v>87</v>
      </c>
      <c r="E364" s="5" t="n">
        <v>169</v>
      </c>
      <c r="F364" s="5" t="n">
        <v>131</v>
      </c>
      <c r="G364" s="5" t="n">
        <v>111</v>
      </c>
      <c r="H364" s="5" t="n">
        <v>81</v>
      </c>
      <c r="I364" s="5" t="n">
        <v>108</v>
      </c>
      <c r="J364" s="5" t="n">
        <v>85</v>
      </c>
      <c r="K364" s="5" t="n">
        <v>53</v>
      </c>
      <c r="L364" s="5" t="n">
        <v>64</v>
      </c>
      <c r="M364" s="5" t="n">
        <v>45</v>
      </c>
      <c r="N364" s="5" t="n">
        <v>73</v>
      </c>
      <c r="O364" s="5" t="n">
        <v>64</v>
      </c>
      <c r="P364" s="5" t="n">
        <v>52</v>
      </c>
      <c r="Q364" s="5" t="n">
        <v>82</v>
      </c>
      <c r="R364" s="5" t="n">
        <v>31</v>
      </c>
      <c r="S364" s="5" t="n">
        <v>83</v>
      </c>
      <c r="T364" s="5" t="n">
        <v>73</v>
      </c>
      <c r="U364" s="5" t="n">
        <v>61</v>
      </c>
      <c r="V364" s="5" t="n">
        <v>31</v>
      </c>
      <c r="W364" s="5" t="n">
        <v>78</v>
      </c>
      <c r="X364" s="5" t="n">
        <v>91</v>
      </c>
      <c r="Y364" s="14">
        <f>IF(AND(ISNUMBER(C364),C364&gt;0,ISNUMBER(X364)),X364/C364-1,"")</f>
        <v/>
      </c>
    </row>
    <row r="365">
      <c r="A365" s="12" t="inlineStr">
        <is>
          <t>109</t>
        </is>
      </c>
      <c r="B365" s="4" t="inlineStr"/>
      <c r="C365" s="5" t="n">
        <v>29</v>
      </c>
      <c r="D365" s="5" t="n">
        <v>26</v>
      </c>
      <c r="E365" s="5" t="n">
        <v>30</v>
      </c>
      <c r="F365" s="5" t="n">
        <v>38</v>
      </c>
      <c r="G365" s="5" t="n">
        <v>33</v>
      </c>
      <c r="H365" s="5" t="n">
        <v>28</v>
      </c>
      <c r="I365" s="5" t="n">
        <v>38</v>
      </c>
      <c r="J365" s="5" t="n">
        <v>43</v>
      </c>
      <c r="K365" s="5" t="n">
        <v>42</v>
      </c>
      <c r="L365" s="5" t="n">
        <v>25</v>
      </c>
      <c r="M365" s="5" t="n">
        <v>24</v>
      </c>
      <c r="N365" s="5" t="n">
        <v>39</v>
      </c>
      <c r="O365" s="5" t="n">
        <v>35</v>
      </c>
      <c r="P365" s="5" t="n">
        <v>25</v>
      </c>
      <c r="Q365" s="5" t="n">
        <v>25</v>
      </c>
      <c r="R365" s="5" t="n">
        <v>33</v>
      </c>
      <c r="S365" s="5" t="n">
        <v>32</v>
      </c>
      <c r="T365" s="5" t="n">
        <v>28</v>
      </c>
      <c r="U365" s="5" t="n"/>
      <c r="V365" s="5" t="n"/>
      <c r="W365" s="5" t="n"/>
      <c r="X365" s="5" t="n"/>
      <c r="Y365" s="14">
        <f>IF(AND(ISNUMBER(C365),C365&gt;0,ISNUMBER(X365)),X365/C365-1,"")</f>
        <v/>
      </c>
    </row>
    <row r="366">
      <c r="A366" s="12" t="inlineStr">
        <is>
          <t>110</t>
        </is>
      </c>
      <c r="B366" s="13" t="inlineStr">
        <is>
          <t>General</t>
        </is>
      </c>
      <c r="C366" s="5" t="n">
        <v>85</v>
      </c>
      <c r="D366" s="5" t="n">
        <v>81</v>
      </c>
      <c r="E366" s="5" t="n">
        <v>74</v>
      </c>
      <c r="F366" s="5" t="n">
        <v>80</v>
      </c>
      <c r="G366" s="5" t="n">
        <v>55</v>
      </c>
      <c r="H366" s="5" t="n">
        <v>64</v>
      </c>
      <c r="I366" s="5" t="n">
        <v>84</v>
      </c>
      <c r="J366" s="5" t="n">
        <v>32</v>
      </c>
      <c r="K366" s="5" t="n">
        <v>28</v>
      </c>
      <c r="L366" s="5" t="n">
        <v>35</v>
      </c>
      <c r="M366" s="5" t="n">
        <v>25</v>
      </c>
      <c r="N366" s="5" t="n">
        <v>29</v>
      </c>
      <c r="O366" s="5" t="n">
        <v>23</v>
      </c>
      <c r="P366" s="5" t="n">
        <v>29</v>
      </c>
      <c r="Q366" s="5" t="n">
        <v>25</v>
      </c>
      <c r="R366" s="5" t="n">
        <v>12</v>
      </c>
      <c r="S366" s="5" t="n">
        <v>31</v>
      </c>
      <c r="T366" s="5" t="n">
        <v>27</v>
      </c>
      <c r="U366" s="5" t="n">
        <v>42</v>
      </c>
      <c r="V366" s="5" t="n">
        <v>24</v>
      </c>
      <c r="W366" s="5" t="n">
        <v>52</v>
      </c>
      <c r="X366" s="5" t="n">
        <v>40</v>
      </c>
      <c r="Y366" s="14">
        <f>IF(AND(ISNUMBER(C366),C366&gt;0,ISNUMBER(X366)),X366/C366-1,"")</f>
        <v/>
      </c>
    </row>
    <row r="367">
      <c r="A367" s="12" t="inlineStr">
        <is>
          <t>120</t>
        </is>
      </c>
      <c r="B367" s="13" t="inlineStr">
        <is>
          <t>General</t>
        </is>
      </c>
      <c r="C367" s="5" t="n">
        <v>40</v>
      </c>
      <c r="D367" s="5" t="n">
        <v>69</v>
      </c>
      <c r="E367" s="5" t="n">
        <v>77</v>
      </c>
      <c r="F367" s="5" t="n">
        <v>47</v>
      </c>
      <c r="G367" s="5" t="n">
        <v>46</v>
      </c>
      <c r="H367" s="5" t="n">
        <v>60</v>
      </c>
      <c r="I367" s="5" t="n">
        <v>50</v>
      </c>
      <c r="J367" s="5" t="n">
        <v>62</v>
      </c>
      <c r="K367" s="5" t="n">
        <v>25</v>
      </c>
      <c r="L367" s="5" t="n">
        <v>44</v>
      </c>
      <c r="M367" s="5" t="n">
        <v>31</v>
      </c>
      <c r="N367" s="5" t="n">
        <v>43</v>
      </c>
      <c r="O367" s="5" t="n">
        <v>30</v>
      </c>
      <c r="P367" s="5" t="n">
        <v>27</v>
      </c>
      <c r="Q367" s="5" t="n">
        <v>49</v>
      </c>
      <c r="R367" s="5" t="n">
        <v>22</v>
      </c>
      <c r="S367" s="5" t="n">
        <v>14</v>
      </c>
      <c r="T367" s="5" t="n">
        <v>36</v>
      </c>
      <c r="U367" s="5" t="n">
        <v>48</v>
      </c>
      <c r="V367" s="5" t="n">
        <v>75</v>
      </c>
      <c r="W367" s="5" t="n">
        <v>49</v>
      </c>
      <c r="X367" s="5" t="n">
        <v>66</v>
      </c>
      <c r="Y367" s="14">
        <f>IF(AND(ISNUMBER(C367),C367&gt;0,ISNUMBER(X367)),X367/C367-1,"")</f>
        <v/>
      </c>
    </row>
    <row r="368">
      <c r="A368" s="12" t="inlineStr">
        <is>
          <t>121</t>
        </is>
      </c>
      <c r="B368" s="13" t="inlineStr">
        <is>
          <t>General</t>
        </is>
      </c>
      <c r="C368" s="5" t="n">
        <v>348</v>
      </c>
      <c r="D368" s="5" t="n">
        <v>453</v>
      </c>
      <c r="E368" s="5" t="n">
        <v>491</v>
      </c>
      <c r="F368" s="5" t="n">
        <v>397</v>
      </c>
      <c r="G368" s="5" t="n">
        <v>321</v>
      </c>
      <c r="H368" s="5" t="n">
        <v>387</v>
      </c>
      <c r="I368" s="5" t="n">
        <v>476</v>
      </c>
      <c r="J368" s="5" t="n">
        <v>361</v>
      </c>
      <c r="K368" s="5" t="n">
        <v>282</v>
      </c>
      <c r="L368" s="5" t="n">
        <v>244</v>
      </c>
      <c r="M368" s="5" t="n">
        <v>246</v>
      </c>
      <c r="N368" s="5" t="n">
        <v>265</v>
      </c>
      <c r="O368" s="5" t="n">
        <v>283</v>
      </c>
      <c r="P368" s="5" t="n">
        <v>248</v>
      </c>
      <c r="Q368" s="5" t="n">
        <v>249</v>
      </c>
      <c r="R368" s="5" t="n">
        <v>194</v>
      </c>
      <c r="S368" s="5" t="n">
        <v>276</v>
      </c>
      <c r="T368" s="5" t="n">
        <v>216</v>
      </c>
      <c r="U368" s="5" t="n">
        <v>171</v>
      </c>
      <c r="V368" s="5" t="n">
        <v>226</v>
      </c>
      <c r="W368" s="5" t="n">
        <v>246</v>
      </c>
      <c r="X368" s="5" t="n">
        <v>237</v>
      </c>
      <c r="Y368" s="14">
        <f>IF(AND(ISNUMBER(C368),C368&gt;0,ISNUMBER(X368)),X368/C368-1,"")</f>
        <v/>
      </c>
    </row>
    <row r="369">
      <c r="A369" s="12" t="inlineStr">
        <is>
          <t>122</t>
        </is>
      </c>
      <c r="B369" s="13" t="inlineStr">
        <is>
          <t>General</t>
        </is>
      </c>
      <c r="C369" s="5" t="n">
        <v>67</v>
      </c>
      <c r="D369" s="5" t="n">
        <v>103</v>
      </c>
      <c r="E369" s="5" t="n">
        <v>102</v>
      </c>
      <c r="F369" s="5" t="n">
        <v>127</v>
      </c>
      <c r="G369" s="5" t="n">
        <v>78</v>
      </c>
      <c r="H369" s="5" t="n">
        <v>62</v>
      </c>
      <c r="I369" s="5" t="n">
        <v>79</v>
      </c>
      <c r="J369" s="5" t="n">
        <v>91</v>
      </c>
      <c r="K369" s="5" t="n">
        <v>55</v>
      </c>
      <c r="L369" s="5" t="n">
        <v>49</v>
      </c>
      <c r="M369" s="5" t="n">
        <v>57</v>
      </c>
      <c r="N369" s="5" t="n">
        <v>53</v>
      </c>
      <c r="O369" s="5" t="n">
        <v>77</v>
      </c>
      <c r="P369" s="5" t="n">
        <v>40</v>
      </c>
      <c r="Q369" s="5" t="n">
        <v>58</v>
      </c>
      <c r="R369" s="5" t="n">
        <v>64</v>
      </c>
      <c r="S369" s="5" t="n">
        <v>102</v>
      </c>
      <c r="T369" s="5" t="n">
        <v>65</v>
      </c>
      <c r="U369" s="5" t="n">
        <v>85</v>
      </c>
      <c r="V369" s="5" t="n">
        <v>93</v>
      </c>
      <c r="W369" s="5" t="n">
        <v>104</v>
      </c>
      <c r="X369" s="5" t="n">
        <v>135</v>
      </c>
      <c r="Y369" s="14">
        <f>IF(AND(ISNUMBER(C369),C369&gt;0,ISNUMBER(X369)),X369/C369-1,"")</f>
        <v/>
      </c>
    </row>
    <row r="370">
      <c r="A370" s="12" t="inlineStr">
        <is>
          <t>123</t>
        </is>
      </c>
      <c r="B370" s="13" t="inlineStr">
        <is>
          <t>General</t>
        </is>
      </c>
      <c r="C370" s="5" t="n">
        <v>81</v>
      </c>
      <c r="D370" s="5" t="n">
        <v>111</v>
      </c>
      <c r="E370" s="5" t="n">
        <v>138</v>
      </c>
      <c r="F370" s="5" t="n">
        <v>81</v>
      </c>
      <c r="G370" s="5" t="n">
        <v>52</v>
      </c>
      <c r="H370" s="5" t="n">
        <v>74</v>
      </c>
      <c r="I370" s="5" t="n">
        <v>87</v>
      </c>
      <c r="J370" s="5" t="n">
        <v>44</v>
      </c>
      <c r="K370" s="5" t="n">
        <v>59</v>
      </c>
      <c r="L370" s="5" t="n">
        <v>40</v>
      </c>
      <c r="M370" s="5" t="n">
        <v>35</v>
      </c>
      <c r="N370" s="5" t="n">
        <v>68</v>
      </c>
      <c r="O370" s="5" t="n">
        <v>69</v>
      </c>
      <c r="P370" s="5" t="n">
        <v>66</v>
      </c>
      <c r="Q370" s="5" t="n">
        <v>54</v>
      </c>
      <c r="R370" s="5" t="n">
        <v>57</v>
      </c>
      <c r="S370" s="5" t="n">
        <v>56</v>
      </c>
      <c r="T370" s="5" t="n">
        <v>44</v>
      </c>
      <c r="U370" s="5" t="n">
        <v>43</v>
      </c>
      <c r="V370" s="5" t="n">
        <v>38</v>
      </c>
      <c r="W370" s="5" t="n">
        <v>40</v>
      </c>
      <c r="X370" s="5" t="n">
        <v>34</v>
      </c>
      <c r="Y370" s="14">
        <f>IF(AND(ISNUMBER(C370),C370&gt;0,ISNUMBER(X370)),X370/C370-1,"")</f>
        <v/>
      </c>
    </row>
    <row r="371">
      <c r="A371" s="12" t="inlineStr">
        <is>
          <t>124</t>
        </is>
      </c>
      <c r="B371" s="13" t="inlineStr">
        <is>
          <t>General</t>
        </is>
      </c>
      <c r="C371" s="5" t="n">
        <v>30</v>
      </c>
      <c r="D371" s="5" t="n">
        <v>27</v>
      </c>
      <c r="E371" s="5" t="n">
        <v>61</v>
      </c>
      <c r="F371" s="5" t="n">
        <v>38</v>
      </c>
      <c r="G371" s="5" t="n">
        <v>36</v>
      </c>
      <c r="H371" s="5" t="n">
        <v>33</v>
      </c>
      <c r="I371" s="5" t="n">
        <v>39</v>
      </c>
      <c r="J371" s="5" t="n">
        <v>32</v>
      </c>
      <c r="K371" s="5" t="n">
        <v>32</v>
      </c>
      <c r="L371" s="5" t="n">
        <v>18</v>
      </c>
      <c r="M371" s="5" t="n">
        <v>22</v>
      </c>
      <c r="N371" s="5" t="n">
        <v>10</v>
      </c>
      <c r="O371" s="5" t="n">
        <v>18</v>
      </c>
      <c r="P371" s="5" t="n">
        <v>28</v>
      </c>
      <c r="Q371" s="5" t="n">
        <v>26</v>
      </c>
      <c r="R371" s="5" t="n">
        <v>23</v>
      </c>
      <c r="S371" s="5" t="n">
        <v>15</v>
      </c>
      <c r="T371" s="5" t="n">
        <v>26</v>
      </c>
      <c r="U371" s="5" t="n">
        <v>31</v>
      </c>
      <c r="V371" s="5" t="n">
        <v>35</v>
      </c>
      <c r="W371" s="5" t="n">
        <v>41</v>
      </c>
      <c r="X371" s="5" t="n">
        <v>33</v>
      </c>
      <c r="Y371" s="14">
        <f>IF(AND(ISNUMBER(C371),C371&gt;0,ISNUMBER(X371)),X371/C371-1,"")</f>
        <v/>
      </c>
    </row>
    <row r="372">
      <c r="A372" s="12" t="inlineStr">
        <is>
          <t>130</t>
        </is>
      </c>
      <c r="B372" s="13" t="inlineStr">
        <is>
          <t>General</t>
        </is>
      </c>
      <c r="C372" s="5" t="n">
        <v>90</v>
      </c>
      <c r="D372" s="5" t="n">
        <v>82</v>
      </c>
      <c r="E372" s="5" t="n">
        <v>71</v>
      </c>
      <c r="F372" s="5" t="n">
        <v>75</v>
      </c>
      <c r="G372" s="5" t="n">
        <v>83</v>
      </c>
      <c r="H372" s="5" t="n">
        <v>71</v>
      </c>
      <c r="I372" s="5" t="n">
        <v>67</v>
      </c>
      <c r="J372" s="5" t="n">
        <v>66</v>
      </c>
      <c r="K372" s="5" t="n">
        <v>29</v>
      </c>
      <c r="L372" s="5" t="n">
        <v>34</v>
      </c>
      <c r="M372" s="5" t="n">
        <v>45</v>
      </c>
      <c r="N372" s="5" t="n">
        <v>45</v>
      </c>
      <c r="O372" s="5" t="n">
        <v>28</v>
      </c>
      <c r="P372" s="5" t="n">
        <v>60</v>
      </c>
      <c r="Q372" s="5" t="n">
        <v>52</v>
      </c>
      <c r="R372" s="5" t="n">
        <v>35</v>
      </c>
      <c r="S372" s="5" t="n">
        <v>26</v>
      </c>
      <c r="T372" s="5" t="n">
        <v>40</v>
      </c>
      <c r="U372" s="5" t="n">
        <v>39</v>
      </c>
      <c r="V372" s="5" t="n">
        <v>48</v>
      </c>
      <c r="W372" s="5" t="n">
        <v>33</v>
      </c>
      <c r="X372" s="5" t="n">
        <v>44</v>
      </c>
      <c r="Y372" s="14">
        <f>IF(AND(ISNUMBER(C372),C372&gt;0,ISNUMBER(X372)),X372/C372-1,"")</f>
        <v/>
      </c>
    </row>
    <row r="373">
      <c r="A373" s="12" t="inlineStr">
        <is>
          <t>132</t>
        </is>
      </c>
      <c r="B373" s="4" t="inlineStr"/>
      <c r="C373" s="5" t="n">
        <v>53</v>
      </c>
      <c r="D373" s="5" t="n">
        <v>56</v>
      </c>
      <c r="E373" s="5" t="n">
        <v>26</v>
      </c>
      <c r="F373" s="5" t="n">
        <v>14</v>
      </c>
      <c r="G373" s="5" t="n">
        <v>9</v>
      </c>
      <c r="H373" s="5" t="n">
        <v>21</v>
      </c>
      <c r="I373" s="5" t="n">
        <v>42</v>
      </c>
      <c r="J373" s="5" t="n">
        <v>40</v>
      </c>
      <c r="K373" s="5" t="n">
        <v>4</v>
      </c>
      <c r="L373" s="5" t="n">
        <v>8</v>
      </c>
      <c r="M373" s="5" t="n">
        <v>25</v>
      </c>
      <c r="N373" s="5" t="n">
        <v>6</v>
      </c>
      <c r="O373" s="5" t="n">
        <v>19</v>
      </c>
      <c r="P373" s="5" t="n">
        <v>20</v>
      </c>
      <c r="Q373" s="5" t="n">
        <v>22</v>
      </c>
      <c r="R373" s="5" t="n">
        <v>11</v>
      </c>
      <c r="S373" s="5" t="n"/>
      <c r="T373" s="5" t="n"/>
      <c r="U373" s="5" t="n"/>
      <c r="V373" s="5" t="n"/>
      <c r="W373" s="5" t="n"/>
      <c r="X373" s="5" t="n"/>
      <c r="Y373" s="14">
        <f>IF(AND(ISNUMBER(C373),C373&gt;0,ISNUMBER(X373)),X373/C373-1,"")</f>
        <v/>
      </c>
    </row>
    <row r="374">
      <c r="A374" s="12" t="inlineStr">
        <is>
          <t>140</t>
        </is>
      </c>
      <c r="B374" s="13" t="inlineStr">
        <is>
          <t>General</t>
        </is>
      </c>
      <c r="C374" s="5" t="n">
        <v>93</v>
      </c>
      <c r="D374" s="5" t="n">
        <v>75</v>
      </c>
      <c r="E374" s="5" t="n">
        <v>99</v>
      </c>
      <c r="F374" s="5" t="n">
        <v>95</v>
      </c>
      <c r="G374" s="5" t="n">
        <v>67</v>
      </c>
      <c r="H374" s="5" t="n">
        <v>89</v>
      </c>
      <c r="I374" s="5" t="n">
        <v>121</v>
      </c>
      <c r="J374" s="5" t="n">
        <v>68</v>
      </c>
      <c r="K374" s="5" t="n">
        <v>31</v>
      </c>
      <c r="L374" s="5" t="n">
        <v>26</v>
      </c>
      <c r="M374" s="5" t="n">
        <v>13</v>
      </c>
      <c r="N374" s="5" t="n">
        <v>37</v>
      </c>
      <c r="O374" s="5" t="n">
        <v>28</v>
      </c>
      <c r="P374" s="5" t="n">
        <v>21</v>
      </c>
      <c r="Q374" s="5" t="n">
        <v>39</v>
      </c>
      <c r="R374" s="5" t="n">
        <v>24</v>
      </c>
      <c r="S374" s="5" t="n">
        <v>38</v>
      </c>
      <c r="T374" s="5" t="n">
        <v>8</v>
      </c>
      <c r="U374" s="5" t="n">
        <v>19</v>
      </c>
      <c r="V374" s="5" t="n">
        <v>24</v>
      </c>
      <c r="W374" s="5" t="n">
        <v>12</v>
      </c>
      <c r="X374" s="5" t="n">
        <v>33</v>
      </c>
      <c r="Y374" s="14">
        <f>IF(AND(ISNUMBER(C374),C374&gt;0,ISNUMBER(X374)),X374/C374-1,"")</f>
        <v/>
      </c>
    </row>
    <row r="375">
      <c r="A375" s="12" t="inlineStr">
        <is>
          <t>141</t>
        </is>
      </c>
      <c r="B375" s="13" t="inlineStr">
        <is>
          <t>General</t>
        </is>
      </c>
      <c r="C375" s="5" t="n">
        <v>43</v>
      </c>
      <c r="D375" s="5" t="n">
        <v>40</v>
      </c>
      <c r="E375" s="5" t="n">
        <v>34</v>
      </c>
      <c r="F375" s="5" t="n">
        <v>76</v>
      </c>
      <c r="G375" s="5" t="n">
        <v>24</v>
      </c>
      <c r="H375" s="5" t="n">
        <v>36</v>
      </c>
      <c r="I375" s="5" t="n">
        <v>36</v>
      </c>
      <c r="J375" s="5" t="n">
        <v>14</v>
      </c>
      <c r="K375" s="5" t="n">
        <v>17</v>
      </c>
      <c r="L375" s="5" t="n">
        <v>14</v>
      </c>
      <c r="M375" s="5" t="n">
        <v>11</v>
      </c>
      <c r="N375" s="5" t="n">
        <v>9</v>
      </c>
      <c r="O375" s="5" t="n">
        <v>10</v>
      </c>
      <c r="P375" s="5" t="n">
        <v>12</v>
      </c>
      <c r="Q375" s="5" t="n">
        <v>3</v>
      </c>
      <c r="R375" s="5" t="n">
        <v>21</v>
      </c>
      <c r="S375" s="5" t="n">
        <v>4</v>
      </c>
      <c r="T375" s="5" t="n"/>
      <c r="U375" s="5" t="n">
        <v>16</v>
      </c>
      <c r="V375" s="5" t="n">
        <v>12</v>
      </c>
      <c r="W375" s="5" t="n">
        <v>9</v>
      </c>
      <c r="X375" s="5" t="n">
        <v>15</v>
      </c>
      <c r="Y375" s="14">
        <f>IF(AND(ISNUMBER(C375),C375&gt;0,ISNUMBER(X375)),X375/C375-1,"")</f>
        <v/>
      </c>
    </row>
    <row r="376">
      <c r="A376" s="12" t="inlineStr">
        <is>
          <t>150</t>
        </is>
      </c>
      <c r="B376" s="13" t="inlineStr">
        <is>
          <t>General</t>
        </is>
      </c>
      <c r="C376" s="5" t="n">
        <v>102</v>
      </c>
      <c r="D376" s="5" t="n">
        <v>208</v>
      </c>
      <c r="E376" s="5" t="n">
        <v>252</v>
      </c>
      <c r="F376" s="5" t="n">
        <v>156</v>
      </c>
      <c r="G376" s="5" t="n">
        <v>133</v>
      </c>
      <c r="H376" s="5" t="n">
        <v>83</v>
      </c>
      <c r="I376" s="5" t="n">
        <v>78</v>
      </c>
      <c r="J376" s="5" t="n">
        <v>90</v>
      </c>
      <c r="K376" s="5" t="n">
        <v>117</v>
      </c>
      <c r="L376" s="5" t="n">
        <v>103</v>
      </c>
      <c r="M376" s="5" t="n">
        <v>64</v>
      </c>
      <c r="N376" s="5" t="n">
        <v>61</v>
      </c>
      <c r="O376" s="5" t="n">
        <v>79</v>
      </c>
      <c r="P376" s="5" t="n">
        <v>55</v>
      </c>
      <c r="Q376" s="5" t="n">
        <v>49</v>
      </c>
      <c r="R376" s="5" t="n">
        <v>52</v>
      </c>
      <c r="S376" s="5" t="n">
        <v>50</v>
      </c>
      <c r="T376" s="5" t="n">
        <v>41</v>
      </c>
      <c r="U376" s="5" t="n">
        <v>67</v>
      </c>
      <c r="V376" s="5" t="n">
        <v>49</v>
      </c>
      <c r="W376" s="5" t="n">
        <v>102</v>
      </c>
      <c r="X376" s="5" t="n">
        <v>47</v>
      </c>
      <c r="Y376" s="14">
        <f>IF(AND(ISNUMBER(C376),C376&gt;0,ISNUMBER(X376)),X376/C376-1,"")</f>
        <v/>
      </c>
    </row>
    <row r="377">
      <c r="A377" s="12" t="inlineStr">
        <is>
          <t>151</t>
        </is>
      </c>
      <c r="B377" s="4" t="inlineStr"/>
      <c r="C377" s="5" t="n">
        <v>44</v>
      </c>
      <c r="D377" s="5" t="n">
        <v>21</v>
      </c>
      <c r="E377" s="5" t="n">
        <v>19</v>
      </c>
      <c r="F377" s="5" t="n">
        <v>20</v>
      </c>
      <c r="G377" s="5" t="n">
        <v>30</v>
      </c>
      <c r="H377" s="5" t="n">
        <v>42</v>
      </c>
      <c r="I377" s="5" t="n">
        <v>28</v>
      </c>
      <c r="J377" s="5" t="n">
        <v>17</v>
      </c>
      <c r="K377" s="5" t="n">
        <v>21</v>
      </c>
      <c r="L377" s="5" t="n">
        <v>20</v>
      </c>
      <c r="M377" s="5" t="n">
        <v>6</v>
      </c>
      <c r="N377" s="5" t="n">
        <v>6</v>
      </c>
      <c r="O377" s="5" t="n">
        <v>10</v>
      </c>
      <c r="P377" s="5" t="n">
        <v>14</v>
      </c>
      <c r="Q377" s="5" t="n">
        <v>18</v>
      </c>
      <c r="R377" s="5" t="n">
        <v>3</v>
      </c>
      <c r="S377" s="5" t="n"/>
      <c r="T377" s="5" t="n"/>
      <c r="U377" s="5" t="n"/>
      <c r="V377" s="5" t="n"/>
      <c r="W377" s="5" t="n"/>
      <c r="X377" s="5" t="n"/>
      <c r="Y377" s="14">
        <f>IF(AND(ISNUMBER(C377),C377&gt;0,ISNUMBER(X377)),X377/C377-1,"")</f>
        <v/>
      </c>
    </row>
    <row r="378">
      <c r="A378" s="12" t="inlineStr">
        <is>
          <t>170</t>
        </is>
      </c>
      <c r="B378" s="13" t="inlineStr">
        <is>
          <t>General</t>
        </is>
      </c>
      <c r="C378" s="5" t="n">
        <v>31</v>
      </c>
      <c r="D378" s="5" t="n">
        <v>19</v>
      </c>
      <c r="E378" s="5" t="n">
        <v>18</v>
      </c>
      <c r="F378" s="5" t="n">
        <v>14</v>
      </c>
      <c r="G378" s="5" t="n">
        <v>12</v>
      </c>
      <c r="H378" s="5" t="n">
        <v>30</v>
      </c>
      <c r="I378" s="5" t="n">
        <v>8</v>
      </c>
      <c r="J378" s="5" t="n">
        <v>22</v>
      </c>
      <c r="K378" s="5" t="n">
        <v>14</v>
      </c>
      <c r="L378" s="5" t="n">
        <v>25</v>
      </c>
      <c r="M378" s="5" t="n">
        <v>17</v>
      </c>
      <c r="N378" s="5" t="n">
        <v>20</v>
      </c>
      <c r="O378" s="5" t="n">
        <v>28</v>
      </c>
      <c r="P378" s="5" t="n">
        <v>39</v>
      </c>
      <c r="Q378" s="5" t="n">
        <v>13</v>
      </c>
      <c r="R378" s="5" t="n">
        <v>15</v>
      </c>
      <c r="S378" s="5" t="n">
        <v>52</v>
      </c>
      <c r="T378" s="5" t="n">
        <v>31</v>
      </c>
      <c r="U378" s="5" t="n">
        <v>39</v>
      </c>
      <c r="V378" s="5" t="n">
        <v>45</v>
      </c>
      <c r="W378" s="5" t="n">
        <v>56</v>
      </c>
      <c r="X378" s="5" t="n">
        <v>67</v>
      </c>
      <c r="Y378" s="14">
        <f>IF(AND(ISNUMBER(C378),C378&gt;0,ISNUMBER(X378)),X378/C378-1,"")</f>
        <v/>
      </c>
    </row>
    <row r="379">
      <c r="A379" s="12" t="inlineStr">
        <is>
          <t>200</t>
        </is>
      </c>
      <c r="B379" s="13" t="inlineStr">
        <is>
          <t>General</t>
        </is>
      </c>
      <c r="C379" s="5" t="n">
        <v>80</v>
      </c>
      <c r="D379" s="5" t="n">
        <v>97</v>
      </c>
      <c r="E379" s="5" t="n">
        <v>136</v>
      </c>
      <c r="F379" s="5" t="n">
        <v>61</v>
      </c>
      <c r="G379" s="5" t="n">
        <v>51</v>
      </c>
      <c r="H379" s="5" t="n">
        <v>43</v>
      </c>
      <c r="I379" s="5" t="n">
        <v>57</v>
      </c>
      <c r="J379" s="5" t="n">
        <v>31</v>
      </c>
      <c r="K379" s="5" t="n">
        <v>22</v>
      </c>
      <c r="L379" s="5" t="n">
        <v>21</v>
      </c>
      <c r="M379" s="5" t="n">
        <v>32</v>
      </c>
      <c r="N379" s="5" t="n">
        <v>40</v>
      </c>
      <c r="O379" s="5" t="n">
        <v>28</v>
      </c>
      <c r="P379" s="5" t="n">
        <v>32</v>
      </c>
      <c r="Q379" s="5" t="n">
        <v>28</v>
      </c>
      <c r="R379" s="5" t="n">
        <v>30</v>
      </c>
      <c r="S379" s="5" t="n">
        <v>37</v>
      </c>
      <c r="T379" s="5" t="n">
        <v>16</v>
      </c>
      <c r="U379" s="5" t="n">
        <v>27</v>
      </c>
      <c r="V379" s="5" t="n">
        <v>35</v>
      </c>
      <c r="W379" s="5" t="n">
        <v>38</v>
      </c>
      <c r="X379" s="5" t="n">
        <v>20</v>
      </c>
      <c r="Y379" s="14">
        <f>IF(AND(ISNUMBER(C379),C379&gt;0,ISNUMBER(X379)),X379/C379-1,"")</f>
        <v/>
      </c>
    </row>
    <row r="380">
      <c r="A380" s="12" t="inlineStr">
        <is>
          <t>201</t>
        </is>
      </c>
      <c r="B380" s="13" t="inlineStr">
        <is>
          <t>General</t>
        </is>
      </c>
      <c r="C380" s="5" t="n">
        <v>102</v>
      </c>
      <c r="D380" s="5" t="n">
        <v>160</v>
      </c>
      <c r="E380" s="5" t="n">
        <v>191</v>
      </c>
      <c r="F380" s="5" t="n">
        <v>122</v>
      </c>
      <c r="G380" s="5" t="n">
        <v>129</v>
      </c>
      <c r="H380" s="5" t="n">
        <v>82</v>
      </c>
      <c r="I380" s="5" t="n">
        <v>105</v>
      </c>
      <c r="J380" s="5" t="n">
        <v>91</v>
      </c>
      <c r="K380" s="5" t="n">
        <v>79</v>
      </c>
      <c r="L380" s="5" t="n">
        <v>96</v>
      </c>
      <c r="M380" s="5" t="n">
        <v>78</v>
      </c>
      <c r="N380" s="5" t="n">
        <v>124</v>
      </c>
      <c r="O380" s="5" t="n">
        <v>111</v>
      </c>
      <c r="P380" s="5" t="n">
        <v>105</v>
      </c>
      <c r="Q380" s="5" t="n">
        <v>160</v>
      </c>
      <c r="R380" s="5" t="n">
        <v>108</v>
      </c>
      <c r="S380" s="5" t="n">
        <v>142</v>
      </c>
      <c r="T380" s="5" t="n">
        <v>121</v>
      </c>
      <c r="U380" s="5" t="n">
        <v>245</v>
      </c>
      <c r="V380" s="5" t="n">
        <v>287</v>
      </c>
      <c r="W380" s="5" t="n">
        <v>327</v>
      </c>
      <c r="X380" s="5" t="n">
        <v>274</v>
      </c>
      <c r="Y380" s="14">
        <f>IF(AND(ISNUMBER(C380),C380&gt;0,ISNUMBER(X380)),X380/C380-1,"")</f>
        <v/>
      </c>
    </row>
    <row r="381">
      <c r="A381" s="12" t="inlineStr">
        <is>
          <t>202</t>
        </is>
      </c>
      <c r="B381" s="13" t="inlineStr">
        <is>
          <t>General</t>
        </is>
      </c>
      <c r="C381" s="5" t="n">
        <v>149</v>
      </c>
      <c r="D381" s="5" t="n">
        <v>142</v>
      </c>
      <c r="E381" s="5" t="n">
        <v>152</v>
      </c>
      <c r="F381" s="5" t="n">
        <v>87</v>
      </c>
      <c r="G381" s="5" t="n">
        <v>73</v>
      </c>
      <c r="H381" s="5" t="n">
        <v>85</v>
      </c>
      <c r="I381" s="5" t="n">
        <v>67</v>
      </c>
      <c r="J381" s="5" t="n">
        <v>70</v>
      </c>
      <c r="K381" s="5" t="n">
        <v>45</v>
      </c>
      <c r="L381" s="5" t="n">
        <v>41</v>
      </c>
      <c r="M381" s="5" t="n">
        <v>49</v>
      </c>
      <c r="N381" s="5" t="n">
        <v>62</v>
      </c>
      <c r="O381" s="5" t="n">
        <v>53</v>
      </c>
      <c r="P381" s="5" t="n">
        <v>65</v>
      </c>
      <c r="Q381" s="5" t="n">
        <v>53</v>
      </c>
      <c r="R381" s="5" t="n">
        <v>56</v>
      </c>
      <c r="S381" s="5" t="n">
        <v>80</v>
      </c>
      <c r="T381" s="5" t="n">
        <v>89</v>
      </c>
      <c r="U381" s="5" t="n">
        <v>59</v>
      </c>
      <c r="V381" s="5" t="n">
        <v>58</v>
      </c>
      <c r="W381" s="5" t="n">
        <v>90</v>
      </c>
      <c r="X381" s="5" t="n">
        <v>79</v>
      </c>
      <c r="Y381" s="14">
        <f>IF(AND(ISNUMBER(C381),C381&gt;0,ISNUMBER(X381)),X381/C381-1,"")</f>
        <v/>
      </c>
    </row>
    <row r="382">
      <c r="A382" s="12" t="inlineStr">
        <is>
          <t>203</t>
        </is>
      </c>
      <c r="B382" s="4" t="inlineStr"/>
      <c r="C382" s="5" t="n">
        <v>98</v>
      </c>
      <c r="D382" s="5" t="n">
        <v>156</v>
      </c>
      <c r="E382" s="5" t="n">
        <v>136</v>
      </c>
      <c r="F382" s="5" t="n">
        <v>100</v>
      </c>
      <c r="G382" s="5" t="n">
        <v>101</v>
      </c>
      <c r="H382" s="5" t="n">
        <v>72</v>
      </c>
      <c r="I382" s="5" t="n">
        <v>43</v>
      </c>
      <c r="J382" s="5" t="n">
        <v>69</v>
      </c>
      <c r="K382" s="5" t="n">
        <v>33</v>
      </c>
      <c r="L382" s="5" t="n">
        <v>25</v>
      </c>
      <c r="M382" s="5" t="n">
        <v>37</v>
      </c>
      <c r="N382" s="5" t="n">
        <v>40</v>
      </c>
      <c r="O382" s="5" t="n">
        <v>47</v>
      </c>
      <c r="P382" s="5" t="n">
        <v>67</v>
      </c>
      <c r="Q382" s="5" t="n">
        <v>84</v>
      </c>
      <c r="R382" s="5" t="n">
        <v>58</v>
      </c>
      <c r="S382" s="5" t="n">
        <v>81</v>
      </c>
      <c r="T382" s="5" t="n">
        <v>53</v>
      </c>
      <c r="U382" s="5" t="n"/>
      <c r="V382" s="5" t="n"/>
      <c r="W382" s="5" t="n"/>
      <c r="X382" s="5" t="n"/>
      <c r="Y382" s="14">
        <f>IF(AND(ISNUMBER(C382),C382&gt;0,ISNUMBER(X382)),X382/C382-1,"")</f>
        <v/>
      </c>
    </row>
    <row r="383">
      <c r="A383" s="12" t="inlineStr">
        <is>
          <t>204</t>
        </is>
      </c>
      <c r="B383" s="13" t="inlineStr">
        <is>
          <t>General</t>
        </is>
      </c>
      <c r="C383" s="5" t="n">
        <v>273</v>
      </c>
      <c r="D383" s="5" t="n">
        <v>324</v>
      </c>
      <c r="E383" s="5" t="n">
        <v>233</v>
      </c>
      <c r="F383" s="5" t="n">
        <v>187</v>
      </c>
      <c r="G383" s="5" t="n">
        <v>108</v>
      </c>
      <c r="H383" s="5" t="n">
        <v>78</v>
      </c>
      <c r="I383" s="5" t="n">
        <v>88</v>
      </c>
      <c r="J383" s="5" t="n">
        <v>67</v>
      </c>
      <c r="K383" s="5" t="n">
        <v>51</v>
      </c>
      <c r="L383" s="5" t="n">
        <v>72</v>
      </c>
      <c r="M383" s="5" t="n">
        <v>106</v>
      </c>
      <c r="N383" s="5" t="n">
        <v>112</v>
      </c>
      <c r="O383" s="5" t="n">
        <v>128</v>
      </c>
      <c r="P383" s="5" t="n">
        <v>136</v>
      </c>
      <c r="Q383" s="5" t="n">
        <v>125</v>
      </c>
      <c r="R383" s="5" t="n">
        <v>79</v>
      </c>
      <c r="S383" s="5" t="n">
        <v>103</v>
      </c>
      <c r="T383" s="5" t="n">
        <v>112</v>
      </c>
      <c r="U383" s="5" t="n">
        <v>110</v>
      </c>
      <c r="V383" s="5" t="n">
        <v>58</v>
      </c>
      <c r="W383" s="5" t="n">
        <v>76</v>
      </c>
      <c r="X383" s="5" t="n">
        <v>113</v>
      </c>
      <c r="Y383" s="14">
        <f>IF(AND(ISNUMBER(C383),C383&gt;0,ISNUMBER(X383)),X383/C383-1,"")</f>
        <v/>
      </c>
    </row>
    <row r="384">
      <c r="A384" s="12" t="inlineStr">
        <is>
          <t>210</t>
        </is>
      </c>
      <c r="B384" s="13" t="inlineStr">
        <is>
          <t>General</t>
        </is>
      </c>
      <c r="C384" s="5" t="n">
        <v>247</v>
      </c>
      <c r="D384" s="5" t="n">
        <v>384</v>
      </c>
      <c r="E384" s="5" t="n">
        <v>307</v>
      </c>
      <c r="F384" s="5" t="n">
        <v>274</v>
      </c>
      <c r="G384" s="5" t="n">
        <v>179</v>
      </c>
      <c r="H384" s="5" t="n">
        <v>220</v>
      </c>
      <c r="I384" s="5" t="n">
        <v>261</v>
      </c>
      <c r="J384" s="5" t="n">
        <v>322</v>
      </c>
      <c r="K384" s="5" t="n">
        <v>188</v>
      </c>
      <c r="L384" s="5" t="n">
        <v>230</v>
      </c>
      <c r="M384" s="5" t="n">
        <v>272</v>
      </c>
      <c r="N384" s="5" t="n">
        <v>260</v>
      </c>
      <c r="O384" s="5" t="n">
        <v>335</v>
      </c>
      <c r="P384" s="5" t="n">
        <v>427</v>
      </c>
      <c r="Q384" s="5" t="n">
        <v>379</v>
      </c>
      <c r="R384" s="5" t="n">
        <v>230</v>
      </c>
      <c r="S384" s="5" t="n">
        <v>184</v>
      </c>
      <c r="T384" s="5" t="n">
        <v>188</v>
      </c>
      <c r="U384" s="5" t="n">
        <v>165</v>
      </c>
      <c r="V384" s="5" t="n">
        <v>145</v>
      </c>
      <c r="W384" s="5" t="n">
        <v>162</v>
      </c>
      <c r="X384" s="5" t="n">
        <v>172</v>
      </c>
      <c r="Y384" s="14">
        <f>IF(AND(ISNUMBER(C384),C384&gt;0,ISNUMBER(X384)),X384/C384-1,"")</f>
        <v/>
      </c>
    </row>
    <row r="385">
      <c r="A385" s="12" t="inlineStr">
        <is>
          <t>211</t>
        </is>
      </c>
      <c r="B385" s="13" t="inlineStr">
        <is>
          <t>General</t>
        </is>
      </c>
      <c r="C385" s="5" t="n">
        <v>139</v>
      </c>
      <c r="D385" s="5" t="n">
        <v>113</v>
      </c>
      <c r="E385" s="5" t="n">
        <v>155</v>
      </c>
      <c r="F385" s="5" t="n">
        <v>86</v>
      </c>
      <c r="G385" s="5" t="n">
        <v>51</v>
      </c>
      <c r="H385" s="5" t="n">
        <v>48</v>
      </c>
      <c r="I385" s="5" t="n">
        <v>84</v>
      </c>
      <c r="J385" s="5" t="n">
        <v>92</v>
      </c>
      <c r="K385" s="5" t="n">
        <v>60</v>
      </c>
      <c r="L385" s="5" t="n">
        <v>72</v>
      </c>
      <c r="M385" s="5" t="n">
        <v>94</v>
      </c>
      <c r="N385" s="5" t="n">
        <v>67</v>
      </c>
      <c r="O385" s="5" t="n">
        <v>57</v>
      </c>
      <c r="P385" s="5" t="n">
        <v>106</v>
      </c>
      <c r="Q385" s="5" t="n">
        <v>99</v>
      </c>
      <c r="R385" s="5" t="n">
        <v>93</v>
      </c>
      <c r="S385" s="5" t="n">
        <v>112</v>
      </c>
      <c r="T385" s="5" t="n">
        <v>125</v>
      </c>
      <c r="U385" s="5" t="n">
        <v>114</v>
      </c>
      <c r="V385" s="5" t="n">
        <v>108</v>
      </c>
      <c r="W385" s="5" t="n">
        <v>124</v>
      </c>
      <c r="X385" s="5" t="n">
        <v>100</v>
      </c>
      <c r="Y385" s="14">
        <f>IF(AND(ISNUMBER(C385),C385&gt;0,ISNUMBER(X385)),X385/C385-1,"")</f>
        <v/>
      </c>
    </row>
    <row r="386">
      <c r="A386" s="12" t="inlineStr">
        <is>
          <t>212</t>
        </is>
      </c>
      <c r="B386" s="13" t="inlineStr">
        <is>
          <t>General</t>
        </is>
      </c>
      <c r="C386" s="5" t="n">
        <v>287</v>
      </c>
      <c r="D386" s="5" t="n">
        <v>363</v>
      </c>
      <c r="E386" s="5" t="n">
        <v>390</v>
      </c>
      <c r="F386" s="5" t="n">
        <v>320</v>
      </c>
      <c r="G386" s="5" t="n">
        <v>269</v>
      </c>
      <c r="H386" s="5" t="n">
        <v>362</v>
      </c>
      <c r="I386" s="5" t="n">
        <v>379</v>
      </c>
      <c r="J386" s="5" t="n">
        <v>378</v>
      </c>
      <c r="K386" s="5" t="n">
        <v>364</v>
      </c>
      <c r="L386" s="5" t="n">
        <v>391</v>
      </c>
      <c r="M386" s="5" t="n">
        <v>394</v>
      </c>
      <c r="N386" s="5" t="n">
        <v>463</v>
      </c>
      <c r="O386" s="5" t="n"/>
      <c r="P386" s="5" t="n">
        <v>277</v>
      </c>
      <c r="Q386" s="5" t="n"/>
      <c r="R386" s="5" t="n"/>
      <c r="S386" s="5" t="n">
        <v>76</v>
      </c>
      <c r="T386" s="5" t="n">
        <v>30</v>
      </c>
      <c r="U386" s="5" t="n">
        <v>54</v>
      </c>
      <c r="V386" s="5" t="n">
        <v>43</v>
      </c>
      <c r="W386" s="5" t="n">
        <v>26</v>
      </c>
      <c r="X386" s="5" t="n">
        <v>38</v>
      </c>
      <c r="Y386" s="14">
        <f>IF(AND(ISNUMBER(C386),C386&gt;0,ISNUMBER(X386)),X386/C386-1,"")</f>
        <v/>
      </c>
    </row>
    <row r="387">
      <c r="A387" s="12" t="inlineStr">
        <is>
          <t>212E</t>
        </is>
      </c>
      <c r="B387" s="13" t="inlineStr">
        <is>
          <t>General</t>
        </is>
      </c>
      <c r="C387" s="5" t="n"/>
      <c r="D387" s="5" t="n"/>
      <c r="E387" s="5" t="n"/>
      <c r="F387" s="5" t="n"/>
      <c r="G387" s="5" t="n"/>
      <c r="H387" s="5" t="n"/>
      <c r="I387" s="5" t="n"/>
      <c r="J387" s="5" t="n"/>
      <c r="K387" s="5" t="n"/>
      <c r="L387" s="5" t="n"/>
      <c r="M387" s="5" t="n"/>
      <c r="N387" s="5" t="n"/>
      <c r="O387" s="5" t="n">
        <v>121</v>
      </c>
      <c r="P387" s="5" t="n"/>
      <c r="Q387" s="5" t="n">
        <v>255</v>
      </c>
      <c r="R387" s="5" t="n">
        <v>169</v>
      </c>
      <c r="S387" s="5" t="n"/>
      <c r="T387" s="5" t="n"/>
      <c r="U387" s="5" t="n"/>
      <c r="V387" s="5" t="n"/>
      <c r="W387" s="5" t="n"/>
      <c r="X387" s="5" t="n"/>
      <c r="Y387" s="14">
        <f>IF(AND(ISNUMBER(C387),C387&gt;0,ISNUMBER(X387)),X387/C387-1,"")</f>
        <v/>
      </c>
    </row>
    <row r="388">
      <c r="A388" s="12" t="inlineStr">
        <is>
          <t>212W</t>
        </is>
      </c>
      <c r="B388" s="13" t="inlineStr">
        <is>
          <t>General</t>
        </is>
      </c>
      <c r="C388" s="5" t="n"/>
      <c r="D388" s="5" t="n"/>
      <c r="E388" s="5" t="n"/>
      <c r="F388" s="5" t="n"/>
      <c r="G388" s="5" t="n"/>
      <c r="H388" s="5" t="n"/>
      <c r="I388" s="5" t="n"/>
      <c r="J388" s="5" t="n"/>
      <c r="K388" s="5" t="n"/>
      <c r="L388" s="5" t="n"/>
      <c r="M388" s="5" t="n"/>
      <c r="N388" s="5" t="n"/>
      <c r="O388" s="5" t="n">
        <v>45</v>
      </c>
      <c r="P388" s="5" t="n"/>
      <c r="Q388" s="5" t="n">
        <v>156</v>
      </c>
      <c r="R388" s="5" t="n">
        <v>127</v>
      </c>
      <c r="S388" s="5" t="n"/>
      <c r="T388" s="5" t="n"/>
      <c r="U388" s="5" t="n"/>
      <c r="V388" s="5" t="n"/>
      <c r="W388" s="5" t="n"/>
      <c r="X388" s="5" t="n"/>
      <c r="Y388" s="14">
        <f>IF(AND(ISNUMBER(C388),C388&gt;0,ISNUMBER(X388)),X388/C388-1,"")</f>
        <v/>
      </c>
    </row>
    <row r="389">
      <c r="A389" s="12" t="inlineStr">
        <is>
          <t>213</t>
        </is>
      </c>
      <c r="B389" s="13" t="inlineStr">
        <is>
          <t>General</t>
        </is>
      </c>
      <c r="C389" s="5" t="n">
        <v>174</v>
      </c>
      <c r="D389" s="5" t="n">
        <v>188</v>
      </c>
      <c r="E389" s="5" t="n">
        <v>153</v>
      </c>
      <c r="F389" s="5" t="n">
        <v>216</v>
      </c>
      <c r="G389" s="5" t="n">
        <v>75</v>
      </c>
      <c r="H389" s="5" t="n">
        <v>175</v>
      </c>
      <c r="I389" s="5" t="n">
        <v>225</v>
      </c>
      <c r="J389" s="5" t="n">
        <v>127</v>
      </c>
      <c r="K389" s="5" t="n">
        <v>121</v>
      </c>
      <c r="L389" s="5" t="n">
        <v>95</v>
      </c>
      <c r="M389" s="5" t="n">
        <v>220</v>
      </c>
      <c r="N389" s="5" t="n">
        <v>199</v>
      </c>
      <c r="O389" s="5" t="n">
        <v>151</v>
      </c>
      <c r="P389" s="5" t="n">
        <v>144</v>
      </c>
      <c r="Q389" s="5" t="n">
        <v>144</v>
      </c>
      <c r="R389" s="5" t="n">
        <v>127</v>
      </c>
      <c r="S389" s="5" t="n">
        <v>284</v>
      </c>
      <c r="T389" s="5" t="n">
        <v>349</v>
      </c>
      <c r="U389" s="5" t="n">
        <v>334</v>
      </c>
      <c r="V389" s="5" t="n">
        <v>294</v>
      </c>
      <c r="W389" s="5" t="n">
        <v>369</v>
      </c>
      <c r="X389" s="5" t="n">
        <v>325</v>
      </c>
      <c r="Y389" s="14">
        <f>IF(AND(ISNUMBER(C389),C389&gt;0,ISNUMBER(X389)),X389/C389-1,"")</f>
        <v/>
      </c>
    </row>
    <row r="390">
      <c r="A390" s="12" t="inlineStr">
        <is>
          <t>214</t>
        </is>
      </c>
      <c r="B390" s="13" t="inlineStr">
        <is>
          <t>General</t>
        </is>
      </c>
      <c r="C390" s="5" t="n">
        <v>58</v>
      </c>
      <c r="D390" s="5" t="n">
        <v>141</v>
      </c>
      <c r="E390" s="5" t="n">
        <v>88</v>
      </c>
      <c r="F390" s="5" t="n">
        <v>68</v>
      </c>
      <c r="G390" s="5" t="n">
        <v>52</v>
      </c>
      <c r="H390" s="5" t="n">
        <v>61</v>
      </c>
      <c r="I390" s="5" t="n">
        <v>58</v>
      </c>
      <c r="J390" s="5" t="n">
        <v>72</v>
      </c>
      <c r="K390" s="5" t="n">
        <v>59</v>
      </c>
      <c r="L390" s="5" t="n">
        <v>49</v>
      </c>
      <c r="M390" s="5" t="n">
        <v>92</v>
      </c>
      <c r="N390" s="5" t="n">
        <v>111</v>
      </c>
      <c r="O390" s="5" t="n">
        <v>79</v>
      </c>
      <c r="P390" s="5" t="n">
        <v>119</v>
      </c>
      <c r="Q390" s="5" t="n">
        <v>75</v>
      </c>
      <c r="R390" s="5" t="n">
        <v>52</v>
      </c>
      <c r="S390" s="5" t="n">
        <v>34</v>
      </c>
      <c r="T390" s="5" t="n">
        <v>15</v>
      </c>
      <c r="U390" s="5" t="n">
        <v>43</v>
      </c>
      <c r="V390" s="5" t="n">
        <v>59</v>
      </c>
      <c r="W390" s="5" t="n">
        <v>25</v>
      </c>
      <c r="X390" s="5" t="n">
        <v>25</v>
      </c>
      <c r="Y390" s="14">
        <f>IF(AND(ISNUMBER(C390),C390&gt;0,ISNUMBER(X390)),X390/C390-1,"")</f>
        <v/>
      </c>
    </row>
    <row r="391">
      <c r="A391" s="12" t="inlineStr">
        <is>
          <t>215</t>
        </is>
      </c>
      <c r="B391" s="13" t="inlineStr">
        <is>
          <t>General</t>
        </is>
      </c>
      <c r="C391" s="5" t="n">
        <v>249</v>
      </c>
      <c r="D391" s="5" t="n">
        <v>363</v>
      </c>
      <c r="E391" s="5" t="n">
        <v>375</v>
      </c>
      <c r="F391" s="5" t="n">
        <v>320</v>
      </c>
      <c r="G391" s="5" t="n">
        <v>356</v>
      </c>
      <c r="H391" s="5" t="n">
        <v>441</v>
      </c>
      <c r="I391" s="5" t="n">
        <v>533</v>
      </c>
      <c r="J391" s="5" t="n">
        <v>493</v>
      </c>
      <c r="K391" s="5" t="n">
        <v>498</v>
      </c>
      <c r="L391" s="5" t="n">
        <v>388</v>
      </c>
      <c r="M391" s="5" t="n">
        <v>487</v>
      </c>
      <c r="N391" s="5" t="n">
        <v>553</v>
      </c>
      <c r="O391" s="5" t="n">
        <v>659</v>
      </c>
      <c r="P391" s="5" t="n">
        <v>938</v>
      </c>
      <c r="Q391" s="5" t="n">
        <v>711</v>
      </c>
      <c r="R391" s="5" t="n">
        <v>522</v>
      </c>
      <c r="S391" s="5" t="n">
        <v>363</v>
      </c>
      <c r="T391" s="5" t="n">
        <v>298</v>
      </c>
      <c r="U391" s="5" t="n">
        <v>327</v>
      </c>
      <c r="V391" s="5" t="n">
        <v>331</v>
      </c>
      <c r="W391" s="5" t="n">
        <v>284</v>
      </c>
      <c r="X391" s="5" t="n">
        <v>346</v>
      </c>
      <c r="Y391" s="14">
        <f>IF(AND(ISNUMBER(C391),C391&gt;0,ISNUMBER(X391)),X391/C391-1,"")</f>
        <v/>
      </c>
    </row>
    <row r="392">
      <c r="A392" s="12" t="inlineStr">
        <is>
          <t>216</t>
        </is>
      </c>
      <c r="B392" s="13" t="inlineStr">
        <is>
          <t>General</t>
        </is>
      </c>
      <c r="C392" s="5" t="n">
        <v>70</v>
      </c>
      <c r="D392" s="5" t="n">
        <v>122</v>
      </c>
      <c r="E392" s="5" t="n">
        <v>97</v>
      </c>
      <c r="F392" s="5" t="n">
        <v>76</v>
      </c>
      <c r="G392" s="5" t="n">
        <v>51</v>
      </c>
      <c r="H392" s="5" t="n">
        <v>40</v>
      </c>
      <c r="I392" s="5" t="n">
        <v>59</v>
      </c>
      <c r="J392" s="5" t="n">
        <v>71</v>
      </c>
      <c r="K392" s="5" t="n">
        <v>65</v>
      </c>
      <c r="L392" s="5" t="n">
        <v>39</v>
      </c>
      <c r="M392" s="5" t="n">
        <v>59</v>
      </c>
      <c r="N392" s="5" t="n">
        <v>74</v>
      </c>
      <c r="O392" s="5" t="n">
        <v>35</v>
      </c>
      <c r="P392" s="5" t="n">
        <v>72</v>
      </c>
      <c r="Q392" s="5" t="n">
        <v>61</v>
      </c>
      <c r="R392" s="5" t="n">
        <v>52</v>
      </c>
      <c r="S392" s="5" t="n">
        <v>71</v>
      </c>
      <c r="T392" s="5" t="n">
        <v>49</v>
      </c>
      <c r="U392" s="5" t="n">
        <v>58</v>
      </c>
      <c r="V392" s="5" t="n">
        <v>39</v>
      </c>
      <c r="W392" s="5" t="n">
        <v>50</v>
      </c>
      <c r="X392" s="5" t="n">
        <v>44</v>
      </c>
      <c r="Y392" s="14">
        <f>IF(AND(ISNUMBER(C392),C392&gt;0,ISNUMBER(X392)),X392/C392-1,"")</f>
        <v/>
      </c>
    </row>
    <row r="393">
      <c r="A393" s="12" t="inlineStr">
        <is>
          <t>217</t>
        </is>
      </c>
      <c r="B393" s="15" t="inlineStr">
        <is>
          <t>Draw</t>
        </is>
      </c>
      <c r="C393" s="5" t="n"/>
      <c r="D393" s="5" t="n"/>
      <c r="E393" s="5" t="n"/>
      <c r="F393" s="5" t="n"/>
      <c r="G393" s="5" t="n"/>
      <c r="H393" s="5" t="n"/>
      <c r="I393" s="5" t="n"/>
      <c r="J393" s="5" t="n"/>
      <c r="K393" s="5" t="n"/>
      <c r="L393" s="5" t="n"/>
      <c r="M393" s="5" t="n"/>
      <c r="N393" s="5" t="n"/>
      <c r="O393" s="5" t="n">
        <v>301</v>
      </c>
      <c r="P393" s="5" t="n">
        <v>234</v>
      </c>
      <c r="Q393" s="5" t="n">
        <v>116</v>
      </c>
      <c r="R393" s="5" t="n">
        <v>79</v>
      </c>
      <c r="S393" s="5" t="n">
        <v>120</v>
      </c>
      <c r="T393" s="5" t="n">
        <v>81</v>
      </c>
      <c r="U393" s="5" t="n">
        <v>109</v>
      </c>
      <c r="V393" s="5" t="n">
        <v>87</v>
      </c>
      <c r="W393" s="5" t="n">
        <v>92</v>
      </c>
      <c r="X393" s="5" t="n">
        <v>105</v>
      </c>
      <c r="Y393" s="14">
        <f>IF(AND(ISNUMBER(C393),C393&gt;0,ISNUMBER(X393)),X393/C393-1,"")</f>
        <v/>
      </c>
    </row>
    <row r="394">
      <c r="A394" s="12" t="inlineStr">
        <is>
          <t>240</t>
        </is>
      </c>
      <c r="B394" s="13" t="inlineStr">
        <is>
          <t>General</t>
        </is>
      </c>
      <c r="C394" s="5" t="n">
        <v>285</v>
      </c>
      <c r="D394" s="5" t="n">
        <v>365</v>
      </c>
      <c r="E394" s="5" t="n">
        <v>298</v>
      </c>
      <c r="F394" s="5" t="n">
        <v>235</v>
      </c>
      <c r="G394" s="5" t="n">
        <v>120</v>
      </c>
      <c r="H394" s="5" t="n">
        <v>105</v>
      </c>
      <c r="I394" s="5" t="n">
        <v>114</v>
      </c>
      <c r="J394" s="5" t="n">
        <v>109</v>
      </c>
      <c r="K394" s="5" t="n">
        <v>102</v>
      </c>
      <c r="L394" s="5" t="n">
        <v>86</v>
      </c>
      <c r="M394" s="5" t="n">
        <v>204</v>
      </c>
      <c r="N394" s="5" t="n">
        <v>150</v>
      </c>
      <c r="O394" s="5" t="n">
        <v>169</v>
      </c>
      <c r="P394" s="5" t="n">
        <v>234</v>
      </c>
      <c r="Q394" s="5" t="n">
        <v>254</v>
      </c>
      <c r="R394" s="5" t="n">
        <v>227</v>
      </c>
      <c r="S394" s="5" t="n">
        <v>288</v>
      </c>
      <c r="T394" s="5" t="n">
        <v>207</v>
      </c>
      <c r="U394" s="5" t="n">
        <v>203</v>
      </c>
      <c r="V394" s="5" t="n">
        <v>136</v>
      </c>
      <c r="W394" s="5" t="n">
        <v>120</v>
      </c>
      <c r="X394" s="5" t="n">
        <v>136</v>
      </c>
      <c r="Y394" s="14">
        <f>IF(AND(ISNUMBER(C394),C394&gt;0,ISNUMBER(X394)),X394/C394-1,"")</f>
        <v/>
      </c>
    </row>
    <row r="395">
      <c r="A395" s="12" t="inlineStr">
        <is>
          <t>250</t>
        </is>
      </c>
      <c r="B395" s="15" t="inlineStr">
        <is>
          <t>Draw</t>
        </is>
      </c>
      <c r="C395" s="5" t="n">
        <v>380</v>
      </c>
      <c r="D395" s="5" t="n">
        <v>357</v>
      </c>
      <c r="E395" s="5" t="n">
        <v>283</v>
      </c>
      <c r="F395" s="5" t="n">
        <v>233</v>
      </c>
      <c r="G395" s="5" t="n">
        <v>136</v>
      </c>
      <c r="H395" s="5" t="n">
        <v>122</v>
      </c>
      <c r="I395" s="5" t="n">
        <v>67</v>
      </c>
      <c r="J395" s="5" t="n">
        <v>27</v>
      </c>
      <c r="K395" s="5" t="n">
        <v>25</v>
      </c>
      <c r="L395" s="5" t="n">
        <v>32</v>
      </c>
      <c r="M395" s="5" t="n">
        <v>22</v>
      </c>
      <c r="N395" s="5" t="n">
        <v>26</v>
      </c>
      <c r="O395" s="5" t="n">
        <v>32</v>
      </c>
      <c r="P395" s="5" t="n">
        <v>27</v>
      </c>
      <c r="Q395" s="5" t="n">
        <v>33</v>
      </c>
      <c r="R395" s="5" t="n">
        <v>46</v>
      </c>
      <c r="S395" s="5" t="n">
        <v>39</v>
      </c>
      <c r="T395" s="5" t="n">
        <v>36</v>
      </c>
      <c r="U395" s="5" t="n">
        <v>30</v>
      </c>
      <c r="V395" s="5" t="n">
        <v>18</v>
      </c>
      <c r="W395" s="5" t="n">
        <v>51</v>
      </c>
      <c r="X395" s="5" t="n">
        <v>38</v>
      </c>
      <c r="Y395" s="14">
        <f>IF(AND(ISNUMBER(C395),C395&gt;0,ISNUMBER(X395)),X395/C395-1,"")</f>
        <v/>
      </c>
    </row>
    <row r="396">
      <c r="A396" s="12" t="inlineStr">
        <is>
          <t>260</t>
        </is>
      </c>
      <c r="B396" s="13" t="inlineStr">
        <is>
          <t>General</t>
        </is>
      </c>
      <c r="C396" s="5" t="n">
        <v>8</v>
      </c>
      <c r="D396" s="5" t="n">
        <v>33</v>
      </c>
      <c r="E396" s="5" t="n">
        <v>39</v>
      </c>
      <c r="F396" s="5" t="n">
        <v>23</v>
      </c>
      <c r="G396" s="5" t="n">
        <v>27</v>
      </c>
      <c r="H396" s="5" t="n">
        <v>26</v>
      </c>
      <c r="I396" s="5" t="n">
        <v>38</v>
      </c>
      <c r="J396" s="5" t="n">
        <v>16</v>
      </c>
      <c r="K396" s="5" t="n">
        <v>31</v>
      </c>
      <c r="L396" s="5" t="n">
        <v>17</v>
      </c>
      <c r="M396" s="5" t="n">
        <v>26</v>
      </c>
      <c r="N396" s="5" t="n">
        <v>25</v>
      </c>
      <c r="O396" s="5" t="n">
        <v>38</v>
      </c>
      <c r="P396" s="5" t="n">
        <v>42</v>
      </c>
      <c r="Q396" s="5" t="n">
        <v>66</v>
      </c>
      <c r="R396" s="5" t="n">
        <v>50</v>
      </c>
      <c r="S396" s="5" t="n">
        <v>64</v>
      </c>
      <c r="T396" s="5" t="n">
        <v>43</v>
      </c>
      <c r="U396" s="5" t="n">
        <v>16</v>
      </c>
      <c r="V396" s="5" t="n">
        <v>32</v>
      </c>
      <c r="W396" s="5" t="n">
        <v>50</v>
      </c>
      <c r="X396" s="5" t="n">
        <v>33</v>
      </c>
      <c r="Y396" s="14">
        <f>IF(AND(ISNUMBER(C396),C396&gt;0,ISNUMBER(X396)),X396/C396-1,"")</f>
        <v/>
      </c>
    </row>
    <row r="397">
      <c r="A397" s="12" t="inlineStr">
        <is>
          <t>261</t>
        </is>
      </c>
      <c r="B397" s="13" t="inlineStr">
        <is>
          <t>General</t>
        </is>
      </c>
      <c r="C397" s="5" t="n">
        <v>188</v>
      </c>
      <c r="D397" s="5" t="n">
        <v>183</v>
      </c>
      <c r="E397" s="5" t="n">
        <v>209</v>
      </c>
      <c r="F397" s="5" t="n">
        <v>157</v>
      </c>
      <c r="G397" s="5" t="n">
        <v>75</v>
      </c>
      <c r="H397" s="5" t="n">
        <v>46</v>
      </c>
      <c r="I397" s="5" t="n">
        <v>79</v>
      </c>
      <c r="J397" s="5" t="n">
        <v>97</v>
      </c>
      <c r="K397" s="5" t="n">
        <v>115</v>
      </c>
      <c r="L397" s="5" t="n">
        <v>86</v>
      </c>
      <c r="M397" s="5" t="n">
        <v>93</v>
      </c>
      <c r="N397" s="5" t="n">
        <v>102</v>
      </c>
      <c r="O397" s="5" t="n">
        <v>110</v>
      </c>
      <c r="P397" s="5" t="n">
        <v>118</v>
      </c>
      <c r="Q397" s="5" t="n">
        <v>109</v>
      </c>
      <c r="R397" s="5" t="n">
        <v>107</v>
      </c>
      <c r="S397" s="5" t="n">
        <v>97</v>
      </c>
      <c r="T397" s="5" t="n">
        <v>54</v>
      </c>
      <c r="U397" s="5" t="n">
        <v>89</v>
      </c>
      <c r="V397" s="5" t="n">
        <v>25</v>
      </c>
      <c r="W397" s="5" t="n">
        <v>48</v>
      </c>
      <c r="X397" s="5" t="n">
        <v>57</v>
      </c>
      <c r="Y397" s="14">
        <f>IF(AND(ISNUMBER(C397),C397&gt;0,ISNUMBER(X397)),X397/C397-1,"")</f>
        <v/>
      </c>
    </row>
    <row r="398">
      <c r="A398" s="12" t="inlineStr">
        <is>
          <t>262</t>
        </is>
      </c>
      <c r="B398" s="13" t="inlineStr">
        <is>
          <t>General</t>
        </is>
      </c>
      <c r="C398" s="5" t="n"/>
      <c r="D398" s="5" t="n"/>
      <c r="E398" s="5" t="n"/>
      <c r="F398" s="5" t="n"/>
      <c r="G398" s="5" t="n"/>
      <c r="H398" s="5" t="n"/>
      <c r="I398" s="5" t="n"/>
      <c r="J398" s="5" t="n"/>
      <c r="K398" s="5" t="n"/>
      <c r="L398" s="5" t="n"/>
      <c r="M398" s="5" t="n">
        <v>73</v>
      </c>
      <c r="N398" s="5" t="n">
        <v>101</v>
      </c>
      <c r="O398" s="5" t="n">
        <v>56</v>
      </c>
      <c r="P398" s="5" t="n">
        <v>76</v>
      </c>
      <c r="Q398" s="5" t="n">
        <v>117</v>
      </c>
      <c r="R398" s="5" t="n">
        <v>45</v>
      </c>
      <c r="S398" s="5" t="n">
        <v>124</v>
      </c>
      <c r="T398" s="5" t="n">
        <v>122</v>
      </c>
      <c r="U398" s="5" t="n">
        <v>109</v>
      </c>
      <c r="V398" s="5" t="n">
        <v>113</v>
      </c>
      <c r="W398" s="5" t="n">
        <v>93</v>
      </c>
      <c r="X398" s="5" t="n">
        <v>184</v>
      </c>
      <c r="Y398" s="14">
        <f>IF(AND(ISNUMBER(C398),C398&gt;0,ISNUMBER(X398)),X398/C398-1,"")</f>
        <v/>
      </c>
    </row>
    <row r="399">
      <c r="A399" s="12" t="inlineStr">
        <is>
          <t>270</t>
        </is>
      </c>
      <c r="B399" s="15" t="inlineStr">
        <is>
          <t>Draw</t>
        </is>
      </c>
      <c r="C399" s="5" t="n">
        <v>505</v>
      </c>
      <c r="D399" s="5" t="n">
        <v>952</v>
      </c>
      <c r="E399" s="5" t="n">
        <v>618</v>
      </c>
      <c r="F399" s="5" t="n">
        <v>915</v>
      </c>
      <c r="G399" s="5" t="n">
        <v>374</v>
      </c>
      <c r="H399" s="5" t="n">
        <v>356</v>
      </c>
      <c r="I399" s="5" t="n">
        <v>372</v>
      </c>
      <c r="J399" s="5" t="n">
        <v>318</v>
      </c>
      <c r="K399" s="5" t="n">
        <v>283</v>
      </c>
      <c r="L399" s="5" t="n">
        <v>371</v>
      </c>
      <c r="M399" s="5" t="n">
        <v>430</v>
      </c>
      <c r="N399" s="5" t="n">
        <v>437</v>
      </c>
      <c r="O399" s="5" t="n">
        <v>348</v>
      </c>
      <c r="P399" s="5" t="n">
        <v>519</v>
      </c>
      <c r="Q399" s="5" t="n">
        <v>441</v>
      </c>
      <c r="R399" s="5" t="n">
        <v>461</v>
      </c>
      <c r="S399" s="5" t="n">
        <v>489</v>
      </c>
      <c r="T399" s="5" t="n">
        <v>408</v>
      </c>
      <c r="U399" s="5" t="n">
        <v>633</v>
      </c>
      <c r="V399" s="5" t="n">
        <v>424</v>
      </c>
      <c r="W399" s="5" t="n">
        <v>662</v>
      </c>
      <c r="X399" s="5" t="n">
        <v>621</v>
      </c>
      <c r="Y399" s="14">
        <f>IF(AND(ISNUMBER(C399),C399&gt;0,ISNUMBER(X399)),X399/C399-1,"")</f>
        <v/>
      </c>
    </row>
    <row r="400">
      <c r="A400" s="12" t="inlineStr">
        <is>
          <t>280</t>
        </is>
      </c>
      <c r="B400" s="13" t="inlineStr">
        <is>
          <t>General</t>
        </is>
      </c>
      <c r="C400" s="5" t="n">
        <v>70</v>
      </c>
      <c r="D400" s="5" t="n">
        <v>69</v>
      </c>
      <c r="E400" s="5" t="n">
        <v>108</v>
      </c>
      <c r="F400" s="5" t="n">
        <v>68</v>
      </c>
      <c r="G400" s="5" t="n">
        <v>75</v>
      </c>
      <c r="H400" s="5" t="n">
        <v>56</v>
      </c>
      <c r="I400" s="5" t="n">
        <v>63</v>
      </c>
      <c r="J400" s="5" t="n">
        <v>45</v>
      </c>
      <c r="K400" s="5" t="n">
        <v>43</v>
      </c>
      <c r="L400" s="5" t="n">
        <v>36</v>
      </c>
      <c r="M400" s="5" t="n">
        <v>23</v>
      </c>
      <c r="N400" s="5" t="n">
        <v>24</v>
      </c>
      <c r="O400" s="5" t="n">
        <v>16</v>
      </c>
      <c r="P400" s="5" t="n">
        <v>23</v>
      </c>
      <c r="Q400" s="5" t="n">
        <v>36</v>
      </c>
      <c r="R400" s="5" t="n">
        <v>15</v>
      </c>
      <c r="S400" s="5" t="n">
        <v>17</v>
      </c>
      <c r="T400" s="5" t="n">
        <v>22</v>
      </c>
      <c r="U400" s="5" t="n">
        <v>32</v>
      </c>
      <c r="V400" s="5" t="n">
        <v>21</v>
      </c>
      <c r="W400" s="5" t="n">
        <v>44</v>
      </c>
      <c r="X400" s="5" t="n">
        <v>17</v>
      </c>
      <c r="Y400" s="14">
        <f>IF(AND(ISNUMBER(C400),C400&gt;0,ISNUMBER(X400)),X400/C400-1,"")</f>
        <v/>
      </c>
    </row>
    <row r="401">
      <c r="A401" s="12" t="inlineStr">
        <is>
          <t>281</t>
        </is>
      </c>
      <c r="B401" s="13" t="inlineStr">
        <is>
          <t>General</t>
        </is>
      </c>
      <c r="C401" s="5" t="n">
        <v>124</v>
      </c>
      <c r="D401" s="5" t="n">
        <v>243</v>
      </c>
      <c r="E401" s="5" t="n">
        <v>209</v>
      </c>
      <c r="F401" s="5" t="n">
        <v>188</v>
      </c>
      <c r="G401" s="5" t="n">
        <v>176</v>
      </c>
      <c r="H401" s="5" t="n">
        <v>160</v>
      </c>
      <c r="I401" s="5" t="n">
        <v>183</v>
      </c>
      <c r="J401" s="5" t="n">
        <v>137</v>
      </c>
      <c r="K401" s="5" t="n">
        <v>119</v>
      </c>
      <c r="L401" s="5" t="n">
        <v>64</v>
      </c>
      <c r="M401" s="5" t="n">
        <v>130</v>
      </c>
      <c r="N401" s="5" t="n">
        <v>117</v>
      </c>
      <c r="O401" s="5" t="n">
        <v>135</v>
      </c>
      <c r="P401" s="5" t="n">
        <v>155</v>
      </c>
      <c r="Q401" s="5" t="n">
        <v>157</v>
      </c>
      <c r="R401" s="5" t="n">
        <v>91</v>
      </c>
      <c r="S401" s="5" t="n">
        <v>77</v>
      </c>
      <c r="T401" s="5" t="n">
        <v>52</v>
      </c>
      <c r="U401" s="5" t="n">
        <v>102</v>
      </c>
      <c r="V401" s="5" t="n">
        <v>79</v>
      </c>
      <c r="W401" s="5" t="n">
        <v>83</v>
      </c>
      <c r="X401" s="5" t="n">
        <v>77</v>
      </c>
      <c r="Y401" s="14">
        <f>IF(AND(ISNUMBER(C401),C401&gt;0,ISNUMBER(X401)),X401/C401-1,"")</f>
        <v/>
      </c>
    </row>
    <row r="402">
      <c r="A402" s="12" t="inlineStr">
        <is>
          <t>282</t>
        </is>
      </c>
      <c r="B402" s="13" t="inlineStr">
        <is>
          <t>General</t>
        </is>
      </c>
      <c r="C402" s="5" t="n">
        <v>38</v>
      </c>
      <c r="D402" s="5" t="n">
        <v>98</v>
      </c>
      <c r="E402" s="5" t="n">
        <v>46</v>
      </c>
      <c r="F402" s="5" t="n">
        <v>30</v>
      </c>
      <c r="G402" s="5" t="n">
        <v>47</v>
      </c>
      <c r="H402" s="5" t="n">
        <v>40</v>
      </c>
      <c r="I402" s="5" t="n">
        <v>35</v>
      </c>
      <c r="J402" s="5" t="n">
        <v>17</v>
      </c>
      <c r="K402" s="5" t="n">
        <v>14</v>
      </c>
      <c r="L402" s="5" t="n">
        <v>19</v>
      </c>
      <c r="M402" s="5" t="n">
        <v>12</v>
      </c>
      <c r="N402" s="5" t="n">
        <v>29</v>
      </c>
      <c r="O402" s="5" t="n">
        <v>21</v>
      </c>
      <c r="P402" s="5" t="n">
        <v>22</v>
      </c>
      <c r="Q402" s="5" t="n">
        <v>30</v>
      </c>
      <c r="R402" s="5" t="n">
        <v>10</v>
      </c>
      <c r="S402" s="5" t="n">
        <v>5</v>
      </c>
      <c r="T402" s="5" t="n">
        <v>17</v>
      </c>
      <c r="U402" s="5" t="n">
        <v>26</v>
      </c>
      <c r="V402" s="5" t="n">
        <v>4</v>
      </c>
      <c r="W402" s="5" t="n">
        <v>21</v>
      </c>
      <c r="X402" s="5" t="n">
        <v>31</v>
      </c>
      <c r="Y402" s="14">
        <f>IF(AND(ISNUMBER(C402),C402&gt;0,ISNUMBER(X402)),X402/C402-1,"")</f>
        <v/>
      </c>
    </row>
    <row r="403">
      <c r="A403" s="12" t="inlineStr">
        <is>
          <t>283</t>
        </is>
      </c>
      <c r="B403" s="4" t="inlineStr"/>
      <c r="C403" s="5" t="n">
        <v>123</v>
      </c>
      <c r="D403" s="5" t="n">
        <v>186</v>
      </c>
      <c r="E403" s="5" t="n">
        <v>246</v>
      </c>
      <c r="F403" s="5" t="n">
        <v>177</v>
      </c>
      <c r="G403" s="5" t="n">
        <v>194</v>
      </c>
      <c r="H403" s="5" t="n">
        <v>129</v>
      </c>
      <c r="I403" s="5" t="n">
        <v>134</v>
      </c>
      <c r="J403" s="5" t="n">
        <v>107</v>
      </c>
      <c r="K403" s="5" t="n">
        <v>89</v>
      </c>
      <c r="L403" s="5" t="n">
        <v>74</v>
      </c>
      <c r="M403" s="5" t="n">
        <v>101</v>
      </c>
      <c r="N403" s="5" t="n">
        <v>84</v>
      </c>
      <c r="O403" s="5" t="n">
        <v>96</v>
      </c>
      <c r="P403" s="5" t="n">
        <v>119</v>
      </c>
      <c r="Q403" s="5" t="n">
        <v>96</v>
      </c>
      <c r="R403" s="5" t="n">
        <v>51</v>
      </c>
      <c r="S403" s="5" t="n">
        <v>28</v>
      </c>
      <c r="T403" s="5" t="n">
        <v>44</v>
      </c>
      <c r="U403" s="5" t="n"/>
      <c r="V403" s="5" t="n"/>
      <c r="W403" s="5" t="n"/>
      <c r="X403" s="5" t="n"/>
      <c r="Y403" s="14">
        <f>IF(AND(ISNUMBER(C403),C403&gt;0,ISNUMBER(X403)),X403/C403-1,"")</f>
        <v/>
      </c>
    </row>
    <row r="404">
      <c r="A404" s="12" t="inlineStr">
        <is>
          <t>284</t>
        </is>
      </c>
      <c r="B404" s="13" t="inlineStr">
        <is>
          <t>General</t>
        </is>
      </c>
      <c r="C404" s="5" t="n">
        <v>27</v>
      </c>
      <c r="D404" s="5" t="n">
        <v>21</v>
      </c>
      <c r="E404" s="5" t="n">
        <v>13</v>
      </c>
      <c r="F404" s="5" t="n"/>
      <c r="G404" s="5" t="n">
        <v>3</v>
      </c>
      <c r="H404" s="5" t="n">
        <v>3</v>
      </c>
      <c r="I404" s="5" t="n">
        <v>3</v>
      </c>
      <c r="J404" s="5" t="n">
        <v>6</v>
      </c>
      <c r="K404" s="5" t="n">
        <v>3</v>
      </c>
      <c r="L404" s="5" t="n">
        <v>11</v>
      </c>
      <c r="M404" s="5" t="n">
        <v>6</v>
      </c>
      <c r="N404" s="5" t="n">
        <v>28</v>
      </c>
      <c r="O404" s="5" t="n">
        <v>35</v>
      </c>
      <c r="P404" s="5" t="n">
        <v>35</v>
      </c>
      <c r="Q404" s="5" t="n">
        <v>31</v>
      </c>
      <c r="R404" s="5" t="n">
        <v>21</v>
      </c>
      <c r="S404" s="5" t="n">
        <v>15</v>
      </c>
      <c r="T404" s="5" t="n">
        <v>43</v>
      </c>
      <c r="U404" s="5" t="n">
        <v>12</v>
      </c>
      <c r="V404" s="5" t="n">
        <v>26</v>
      </c>
      <c r="W404" s="5" t="n">
        <v>32</v>
      </c>
      <c r="X404" s="5" t="n">
        <v>15</v>
      </c>
      <c r="Y404" s="14">
        <f>IF(AND(ISNUMBER(C404),C404&gt;0,ISNUMBER(X404)),X404/C404-1,"")</f>
        <v/>
      </c>
    </row>
    <row r="405">
      <c r="A405" s="12" t="inlineStr">
        <is>
          <t>285</t>
        </is>
      </c>
      <c r="B405" s="13" t="inlineStr">
        <is>
          <t>General</t>
        </is>
      </c>
      <c r="C405" s="5" t="n">
        <v>167</v>
      </c>
      <c r="D405" s="5" t="n">
        <v>164</v>
      </c>
      <c r="E405" s="5" t="n">
        <v>207</v>
      </c>
      <c r="F405" s="5" t="n">
        <v>154</v>
      </c>
      <c r="G405" s="5" t="n">
        <v>182</v>
      </c>
      <c r="H405" s="5" t="n">
        <v>158</v>
      </c>
      <c r="I405" s="5" t="n">
        <v>175</v>
      </c>
      <c r="J405" s="5" t="n">
        <v>129</v>
      </c>
      <c r="K405" s="5" t="n">
        <v>64</v>
      </c>
      <c r="L405" s="5" t="n">
        <v>62</v>
      </c>
      <c r="M405" s="5" t="n">
        <v>79</v>
      </c>
      <c r="N405" s="5" t="n">
        <v>47</v>
      </c>
      <c r="O405" s="5" t="n">
        <v>110</v>
      </c>
      <c r="P405" s="5" t="n">
        <v>110</v>
      </c>
      <c r="Q405" s="5" t="n">
        <v>111</v>
      </c>
      <c r="R405" s="5" t="n">
        <v>68</v>
      </c>
      <c r="S405" s="5" t="n">
        <v>91</v>
      </c>
      <c r="T405" s="5" t="n">
        <v>70</v>
      </c>
      <c r="U405" s="5" t="n">
        <v>87</v>
      </c>
      <c r="V405" s="5" t="n">
        <v>89</v>
      </c>
      <c r="W405" s="5" t="n">
        <v>56</v>
      </c>
      <c r="X405" s="5" t="n">
        <v>113</v>
      </c>
      <c r="Y405" s="14">
        <f>IF(AND(ISNUMBER(C405),C405&gt;0,ISNUMBER(X405)),X405/C405-1,"")</f>
        <v/>
      </c>
    </row>
    <row r="406">
      <c r="A406" s="12" t="inlineStr">
        <is>
          <t>290</t>
        </is>
      </c>
      <c r="B406" s="13" t="inlineStr">
        <is>
          <t>General</t>
        </is>
      </c>
      <c r="C406" s="5" t="n">
        <v>42</v>
      </c>
      <c r="D406" s="5" t="n">
        <v>18</v>
      </c>
      <c r="E406" s="5" t="n">
        <v>36</v>
      </c>
      <c r="F406" s="5" t="n">
        <v>36</v>
      </c>
      <c r="G406" s="5" t="n">
        <v>83</v>
      </c>
      <c r="H406" s="5" t="n">
        <v>37</v>
      </c>
      <c r="I406" s="5" t="n">
        <v>46</v>
      </c>
      <c r="J406" s="5" t="n">
        <v>43</v>
      </c>
      <c r="K406" s="5" t="n">
        <v>25</v>
      </c>
      <c r="L406" s="5" t="n">
        <v>39</v>
      </c>
      <c r="M406" s="5" t="n">
        <v>40</v>
      </c>
      <c r="N406" s="5" t="n">
        <v>41</v>
      </c>
      <c r="O406" s="5" t="n">
        <v>87</v>
      </c>
      <c r="P406" s="5" t="n">
        <v>92</v>
      </c>
      <c r="Q406" s="5" t="n">
        <v>62</v>
      </c>
      <c r="R406" s="5" t="n">
        <v>18</v>
      </c>
      <c r="S406" s="5" t="n">
        <v>49</v>
      </c>
      <c r="T406" s="5" t="n">
        <v>42</v>
      </c>
      <c r="U406" s="5" t="n">
        <v>26</v>
      </c>
      <c r="V406" s="5" t="n">
        <v>46</v>
      </c>
      <c r="W406" s="5" t="n">
        <v>52</v>
      </c>
      <c r="X406" s="5" t="n">
        <v>80</v>
      </c>
      <c r="Y406" s="14">
        <f>IF(AND(ISNUMBER(C406),C406&gt;0,ISNUMBER(X406)),X406/C406-1,"")</f>
        <v/>
      </c>
    </row>
    <row r="407">
      <c r="A407" s="12" t="inlineStr">
        <is>
          <t>291</t>
        </is>
      </c>
      <c r="B407" s="13" t="inlineStr">
        <is>
          <t>General</t>
        </is>
      </c>
      <c r="C407" s="5" t="n">
        <v>208</v>
      </c>
      <c r="D407" s="5" t="n">
        <v>174</v>
      </c>
      <c r="E407" s="5" t="n">
        <v>173</v>
      </c>
      <c r="F407" s="5" t="n">
        <v>142</v>
      </c>
      <c r="G407" s="5" t="n">
        <v>131</v>
      </c>
      <c r="H407" s="5" t="n">
        <v>139</v>
      </c>
      <c r="I407" s="5" t="n">
        <v>145</v>
      </c>
      <c r="J407" s="5" t="n">
        <v>183</v>
      </c>
      <c r="K407" s="5" t="n">
        <v>158</v>
      </c>
      <c r="L407" s="5" t="n">
        <v>120</v>
      </c>
      <c r="M407" s="5" t="n">
        <v>174</v>
      </c>
      <c r="N407" s="5" t="n">
        <v>197</v>
      </c>
      <c r="O407" s="5" t="n">
        <v>240</v>
      </c>
      <c r="P407" s="5" t="n">
        <v>262</v>
      </c>
      <c r="Q407" s="5" t="n">
        <v>230</v>
      </c>
      <c r="R407" s="5" t="n">
        <v>169</v>
      </c>
      <c r="S407" s="5" t="n">
        <v>155</v>
      </c>
      <c r="T407" s="5" t="n">
        <v>86</v>
      </c>
      <c r="U407" s="5" t="n">
        <v>137</v>
      </c>
      <c r="V407" s="5" t="n">
        <v>102</v>
      </c>
      <c r="W407" s="5" t="n">
        <v>122</v>
      </c>
      <c r="X407" s="5" t="n">
        <v>133</v>
      </c>
      <c r="Y407" s="14">
        <f>IF(AND(ISNUMBER(C407),C407&gt;0,ISNUMBER(X407)),X407/C407-1,"")</f>
        <v/>
      </c>
    </row>
    <row r="408">
      <c r="A408" s="12" t="inlineStr">
        <is>
          <t>292</t>
        </is>
      </c>
      <c r="B408" s="13" t="inlineStr">
        <is>
          <t>General</t>
        </is>
      </c>
      <c r="C408" s="5" t="n">
        <v>333</v>
      </c>
      <c r="D408" s="5" t="n">
        <v>363</v>
      </c>
      <c r="E408" s="5" t="n">
        <v>428</v>
      </c>
      <c r="F408" s="5" t="n">
        <v>414</v>
      </c>
      <c r="G408" s="5" t="n">
        <v>346</v>
      </c>
      <c r="H408" s="5" t="n">
        <v>293</v>
      </c>
      <c r="I408" s="5" t="n">
        <v>192</v>
      </c>
      <c r="J408" s="5" t="n">
        <v>175</v>
      </c>
      <c r="K408" s="5" t="n">
        <v>104</v>
      </c>
      <c r="L408" s="5" t="n">
        <v>74</v>
      </c>
      <c r="M408" s="5" t="n">
        <v>160</v>
      </c>
      <c r="N408" s="5" t="n">
        <v>155</v>
      </c>
      <c r="O408" s="5" t="n">
        <v>130</v>
      </c>
      <c r="P408" s="5" t="n">
        <v>138</v>
      </c>
      <c r="Q408" s="5" t="n">
        <v>164</v>
      </c>
      <c r="R408" s="5" t="n">
        <v>127</v>
      </c>
      <c r="S408" s="5" t="n">
        <v>90</v>
      </c>
      <c r="T408" s="5" t="n">
        <v>95</v>
      </c>
      <c r="U408" s="5" t="n">
        <v>87</v>
      </c>
      <c r="V408" s="5" t="n">
        <v>97</v>
      </c>
      <c r="W408" s="5" t="n">
        <v>82</v>
      </c>
      <c r="X408" s="5" t="n">
        <v>121</v>
      </c>
      <c r="Y408" s="14">
        <f>IF(AND(ISNUMBER(C408),C408&gt;0,ISNUMBER(X408)),X408/C408-1,"")</f>
        <v/>
      </c>
    </row>
    <row r="409">
      <c r="A409" s="12" t="inlineStr">
        <is>
          <t>293</t>
        </is>
      </c>
      <c r="B409" s="13" t="inlineStr">
        <is>
          <t>General</t>
        </is>
      </c>
      <c r="C409" s="5" t="n">
        <v>199</v>
      </c>
      <c r="D409" s="5" t="n">
        <v>228</v>
      </c>
      <c r="E409" s="5" t="n">
        <v>288</v>
      </c>
      <c r="F409" s="5" t="n">
        <v>215</v>
      </c>
      <c r="G409" s="5" t="n">
        <v>289</v>
      </c>
      <c r="H409" s="5" t="n">
        <v>254</v>
      </c>
      <c r="I409" s="5" t="n">
        <v>172</v>
      </c>
      <c r="J409" s="5" t="n">
        <v>149</v>
      </c>
      <c r="K409" s="5" t="n">
        <v>179</v>
      </c>
      <c r="L409" s="5" t="n">
        <v>115</v>
      </c>
      <c r="M409" s="5" t="n">
        <v>171</v>
      </c>
      <c r="N409" s="5" t="n">
        <v>145</v>
      </c>
      <c r="O409" s="5" t="n">
        <v>184</v>
      </c>
      <c r="P409" s="5" t="n">
        <v>179</v>
      </c>
      <c r="Q409" s="5" t="n">
        <v>175</v>
      </c>
      <c r="R409" s="5" t="n">
        <v>168</v>
      </c>
      <c r="S409" s="5" t="n">
        <v>141</v>
      </c>
      <c r="T409" s="5" t="n">
        <v>124</v>
      </c>
      <c r="U409" s="5" t="n">
        <v>141</v>
      </c>
      <c r="V409" s="5" t="n">
        <v>135</v>
      </c>
      <c r="W409" s="5" t="n">
        <v>156</v>
      </c>
      <c r="X409" s="5" t="n">
        <v>231</v>
      </c>
      <c r="Y409" s="14">
        <f>IF(AND(ISNUMBER(C409),C409&gt;0,ISNUMBER(X409)),X409/C409-1,"")</f>
        <v/>
      </c>
    </row>
    <row r="410">
      <c r="A410" s="12" t="inlineStr">
        <is>
          <t>298</t>
        </is>
      </c>
      <c r="B410" s="13" t="inlineStr">
        <is>
          <t>General</t>
        </is>
      </c>
      <c r="C410" s="5" t="n"/>
      <c r="D410" s="5" t="n"/>
      <c r="E410" s="5" t="n"/>
      <c r="F410" s="5" t="n"/>
      <c r="G410" s="5" t="n">
        <v>206</v>
      </c>
      <c r="H410" s="5" t="n">
        <v>144</v>
      </c>
      <c r="I410" s="5" t="n">
        <v>184</v>
      </c>
      <c r="J410" s="5" t="n">
        <v>184</v>
      </c>
      <c r="K410" s="5" t="n">
        <v>145</v>
      </c>
      <c r="L410" s="5" t="n">
        <v>113</v>
      </c>
      <c r="M410" s="5" t="n">
        <v>143</v>
      </c>
      <c r="N410" s="5" t="n">
        <v>137</v>
      </c>
      <c r="O410" s="5" t="n">
        <v>128</v>
      </c>
      <c r="P410" s="5" t="n">
        <v>127</v>
      </c>
      <c r="Q410" s="5" t="n">
        <v>99</v>
      </c>
      <c r="R410" s="5" t="n">
        <v>74</v>
      </c>
      <c r="S410" s="5" t="n">
        <v>34</v>
      </c>
      <c r="T410" s="5" t="n">
        <v>46</v>
      </c>
      <c r="U410" s="5" t="n">
        <v>65</v>
      </c>
      <c r="V410" s="5" t="n">
        <v>43</v>
      </c>
      <c r="W410" s="5" t="n">
        <v>42</v>
      </c>
      <c r="X410" s="5" t="n">
        <v>56</v>
      </c>
      <c r="Y410" s="14">
        <f>IF(AND(ISNUMBER(C410),C410&gt;0,ISNUMBER(X410)),X410/C410-1,"")</f>
        <v/>
      </c>
    </row>
    <row r="411">
      <c r="A411" s="12" t="inlineStr">
        <is>
          <t>300</t>
        </is>
      </c>
      <c r="B411" s="4" t="inlineStr"/>
      <c r="C411" s="5" t="n">
        <v>259</v>
      </c>
      <c r="D411" s="5" t="n">
        <v>219</v>
      </c>
      <c r="E411" s="5" t="n">
        <v>251</v>
      </c>
      <c r="F411" s="5" t="n">
        <v>341</v>
      </c>
      <c r="G411" s="5" t="n">
        <v>542</v>
      </c>
      <c r="H411" s="5" t="n">
        <v>364</v>
      </c>
      <c r="I411" s="5" t="n">
        <v>278</v>
      </c>
      <c r="J411" s="5" t="n">
        <v>233</v>
      </c>
      <c r="K411" s="5" t="n">
        <v>227</v>
      </c>
      <c r="L411" s="5" t="n">
        <v>230</v>
      </c>
      <c r="M411" s="5" t="n">
        <v>370</v>
      </c>
      <c r="N411" s="5" t="n">
        <v>468</v>
      </c>
      <c r="O411" s="5" t="n">
        <v>260</v>
      </c>
      <c r="P411" s="5" t="n">
        <v>288</v>
      </c>
      <c r="Q411" s="5" t="n">
        <v>473</v>
      </c>
      <c r="R411" s="5" t="n">
        <v>415</v>
      </c>
      <c r="S411" s="5" t="n">
        <v>461</v>
      </c>
      <c r="T411" s="5" t="n">
        <v>386</v>
      </c>
      <c r="U411" s="5" t="n"/>
      <c r="V411" s="5" t="n"/>
      <c r="W411" s="5" t="n"/>
      <c r="X411" s="5" t="n"/>
      <c r="Y411" s="14">
        <f>IF(AND(ISNUMBER(C411),C411&gt;0,ISNUMBER(X411)),X411/C411-1,"")</f>
        <v/>
      </c>
    </row>
    <row r="412">
      <c r="A412" s="12" t="inlineStr">
        <is>
          <t>301</t>
        </is>
      </c>
      <c r="B412" s="13" t="inlineStr">
        <is>
          <t>General</t>
        </is>
      </c>
      <c r="C412" s="5" t="n">
        <v>118</v>
      </c>
      <c r="D412" s="5" t="n">
        <v>115</v>
      </c>
      <c r="E412" s="5" t="n">
        <v>121</v>
      </c>
      <c r="F412" s="5" t="n">
        <v>147</v>
      </c>
      <c r="G412" s="5" t="n">
        <v>162</v>
      </c>
      <c r="H412" s="5" t="n">
        <v>150</v>
      </c>
      <c r="I412" s="5" t="n">
        <v>137</v>
      </c>
      <c r="J412" s="5" t="n">
        <v>136</v>
      </c>
      <c r="K412" s="5" t="n">
        <v>114</v>
      </c>
      <c r="L412" s="5" t="n">
        <v>126</v>
      </c>
      <c r="M412" s="5" t="n">
        <v>120</v>
      </c>
      <c r="N412" s="5" t="n">
        <v>125</v>
      </c>
      <c r="O412" s="5" t="n">
        <v>92</v>
      </c>
      <c r="P412" s="5" t="n">
        <v>153</v>
      </c>
      <c r="Q412" s="5" t="n">
        <v>163</v>
      </c>
      <c r="R412" s="5" t="n">
        <v>135</v>
      </c>
      <c r="S412" s="5" t="n">
        <v>124</v>
      </c>
      <c r="T412" s="5" t="n">
        <v>144</v>
      </c>
      <c r="U412" s="5" t="n">
        <v>231</v>
      </c>
      <c r="V412" s="5" t="n">
        <v>123</v>
      </c>
      <c r="W412" s="5" t="n">
        <v>110</v>
      </c>
      <c r="X412" s="5" t="n">
        <v>153</v>
      </c>
      <c r="Y412" s="14">
        <f>IF(AND(ISNUMBER(C412),C412&gt;0,ISNUMBER(X412)),X412/C412-1,"")</f>
        <v/>
      </c>
    </row>
    <row r="413">
      <c r="A413" s="12" t="inlineStr">
        <is>
          <t>302</t>
        </is>
      </c>
      <c r="B413" s="13" t="inlineStr">
        <is>
          <t>General</t>
        </is>
      </c>
      <c r="C413" s="5" t="n">
        <v>136</v>
      </c>
      <c r="D413" s="5" t="n">
        <v>147</v>
      </c>
      <c r="E413" s="5" t="n">
        <v>191</v>
      </c>
      <c r="F413" s="5" t="n">
        <v>187</v>
      </c>
      <c r="G413" s="5" t="n">
        <v>274</v>
      </c>
      <c r="H413" s="5" t="n">
        <v>171</v>
      </c>
      <c r="I413" s="5" t="n">
        <v>191</v>
      </c>
      <c r="J413" s="5" t="n">
        <v>196</v>
      </c>
      <c r="K413" s="5" t="n">
        <v>249</v>
      </c>
      <c r="L413" s="5" t="n">
        <v>283</v>
      </c>
      <c r="M413" s="5" t="n">
        <v>248</v>
      </c>
      <c r="N413" s="5" t="n">
        <v>352</v>
      </c>
      <c r="O413" s="5" t="n">
        <v>218</v>
      </c>
      <c r="P413" s="5" t="n">
        <v>213</v>
      </c>
      <c r="Q413" s="5" t="n">
        <v>243</v>
      </c>
      <c r="R413" s="5" t="n">
        <v>258</v>
      </c>
      <c r="S413" s="5" t="n">
        <v>288</v>
      </c>
      <c r="T413" s="5" t="n">
        <v>305</v>
      </c>
      <c r="U413" s="5" t="n">
        <v>423</v>
      </c>
      <c r="V413" s="5" t="n">
        <v>258</v>
      </c>
      <c r="W413" s="5" t="n">
        <v>272</v>
      </c>
      <c r="X413" s="5" t="n">
        <v>235</v>
      </c>
      <c r="Y413" s="14">
        <f>IF(AND(ISNUMBER(C413),C413&gt;0,ISNUMBER(X413)),X413/C413-1,"")</f>
        <v/>
      </c>
    </row>
    <row r="414">
      <c r="A414" s="12" t="inlineStr">
        <is>
          <t>303</t>
        </is>
      </c>
      <c r="B414" s="13" t="inlineStr">
        <is>
          <t>General</t>
        </is>
      </c>
      <c r="C414" s="5" t="n"/>
      <c r="D414" s="5" t="n"/>
      <c r="E414" s="5" t="n"/>
      <c r="F414" s="5" t="n"/>
      <c r="G414" s="5" t="n"/>
      <c r="H414" s="5" t="n"/>
      <c r="I414" s="5" t="n"/>
      <c r="J414" s="5" t="n"/>
      <c r="K414" s="5" t="n"/>
      <c r="L414" s="5" t="n"/>
      <c r="M414" s="5" t="n"/>
      <c r="N414" s="5" t="n"/>
      <c r="O414" s="5" t="n"/>
      <c r="P414" s="5" t="n"/>
      <c r="Q414" s="5" t="n"/>
      <c r="R414" s="5" t="n"/>
      <c r="S414" s="5" t="n"/>
      <c r="T414" s="5" t="n"/>
      <c r="U414" s="5" t="n">
        <v>241</v>
      </c>
      <c r="V414" s="5" t="n">
        <v>171</v>
      </c>
      <c r="W414" s="5" t="n">
        <v>274</v>
      </c>
      <c r="X414" s="5" t="n">
        <v>271</v>
      </c>
      <c r="Y414" s="14">
        <f>IF(AND(ISNUMBER(C414),C414&gt;0,ISNUMBER(X414)),X414/C414-1,"")</f>
        <v/>
      </c>
    </row>
    <row r="415">
      <c r="A415" s="12" t="inlineStr">
        <is>
          <t>304</t>
        </is>
      </c>
      <c r="B415" s="13" t="inlineStr">
        <is>
          <t>General</t>
        </is>
      </c>
      <c r="C415" s="5" t="n"/>
      <c r="D415" s="5" t="n"/>
      <c r="E415" s="5" t="n"/>
      <c r="F415" s="5" t="n"/>
      <c r="G415" s="5" t="n"/>
      <c r="H415" s="5" t="n"/>
      <c r="I415" s="5" t="n"/>
      <c r="J415" s="5" t="n"/>
      <c r="K415" s="5" t="n"/>
      <c r="L415" s="5" t="n"/>
      <c r="M415" s="5" t="n"/>
      <c r="N415" s="5" t="n"/>
      <c r="O415" s="5" t="n"/>
      <c r="P415" s="5" t="n"/>
      <c r="Q415" s="5" t="n"/>
      <c r="R415" s="5" t="n"/>
      <c r="S415" s="5" t="n"/>
      <c r="T415" s="5" t="n"/>
      <c r="U415" s="5" t="n">
        <v>137</v>
      </c>
      <c r="V415" s="5" t="n">
        <v>63</v>
      </c>
      <c r="W415" s="5" t="n">
        <v>93</v>
      </c>
      <c r="X415" s="5" t="n">
        <v>83</v>
      </c>
      <c r="Y415" s="14">
        <f>IF(AND(ISNUMBER(C415),C415&gt;0,ISNUMBER(X415)),X415/C415-1,"")</f>
        <v/>
      </c>
    </row>
    <row r="416">
      <c r="A416" s="12" t="inlineStr">
        <is>
          <t>309</t>
        </is>
      </c>
      <c r="B416" s="13" t="inlineStr">
        <is>
          <t>General</t>
        </is>
      </c>
      <c r="C416" s="5" t="n"/>
      <c r="D416" s="5" t="n">
        <v>37</v>
      </c>
      <c r="E416" s="5" t="n">
        <v>15</v>
      </c>
      <c r="F416" s="5" t="n">
        <v>52</v>
      </c>
      <c r="G416" s="5" t="n">
        <v>64</v>
      </c>
      <c r="H416" s="5" t="n">
        <v>27</v>
      </c>
      <c r="I416" s="5" t="n">
        <v>44</v>
      </c>
      <c r="J416" s="5" t="n">
        <v>20</v>
      </c>
      <c r="K416" s="5" t="n">
        <v>25</v>
      </c>
      <c r="L416" s="5" t="n">
        <v>31</v>
      </c>
      <c r="M416" s="5" t="n">
        <v>52</v>
      </c>
      <c r="N416" s="5" t="n">
        <v>47</v>
      </c>
      <c r="O416" s="5" t="n">
        <v>57</v>
      </c>
      <c r="P416" s="5" t="n">
        <v>132</v>
      </c>
      <c r="Q416" s="5" t="n">
        <v>48</v>
      </c>
      <c r="R416" s="5" t="n">
        <v>54</v>
      </c>
      <c r="S416" s="5" t="n">
        <v>57</v>
      </c>
      <c r="T416" s="5" t="n">
        <v>74</v>
      </c>
      <c r="U416" s="5" t="n">
        <v>91</v>
      </c>
      <c r="V416" s="5" t="n">
        <v>58</v>
      </c>
      <c r="W416" s="5" t="n">
        <v>117</v>
      </c>
      <c r="X416" s="5" t="n">
        <v>37</v>
      </c>
      <c r="Y416" s="14">
        <f>IF(AND(ISNUMBER(C416),C416&gt;0,ISNUMBER(X416)),X416/C416-1,"")</f>
        <v/>
      </c>
    </row>
    <row r="417">
      <c r="A417" s="12" t="inlineStr">
        <is>
          <t>310</t>
        </is>
      </c>
      <c r="B417" s="13" t="inlineStr">
        <is>
          <t>General</t>
        </is>
      </c>
      <c r="C417" s="5" t="n">
        <v>141</v>
      </c>
      <c r="D417" s="5" t="n">
        <v>163</v>
      </c>
      <c r="E417" s="5" t="n">
        <v>93</v>
      </c>
      <c r="F417" s="5" t="n">
        <v>65</v>
      </c>
      <c r="G417" s="5" t="n">
        <v>62</v>
      </c>
      <c r="H417" s="5" t="n">
        <v>117</v>
      </c>
      <c r="I417" s="5" t="n">
        <v>170</v>
      </c>
      <c r="J417" s="5" t="n">
        <v>99</v>
      </c>
      <c r="K417" s="5" t="n">
        <v>128</v>
      </c>
      <c r="L417" s="5" t="n">
        <v>74</v>
      </c>
      <c r="M417" s="5" t="n">
        <v>108</v>
      </c>
      <c r="N417" s="5" t="n">
        <v>143</v>
      </c>
      <c r="O417" s="5" t="n">
        <v>112</v>
      </c>
      <c r="P417" s="5" t="n">
        <v>137</v>
      </c>
      <c r="Q417" s="5" t="n">
        <v>100</v>
      </c>
      <c r="R417" s="5" t="n">
        <v>97</v>
      </c>
      <c r="S417" s="5" t="n">
        <v>124</v>
      </c>
      <c r="T417" s="5" t="n">
        <v>108</v>
      </c>
      <c r="U417" s="5" t="n">
        <v>199</v>
      </c>
      <c r="V417" s="5" t="n">
        <v>78</v>
      </c>
      <c r="W417" s="5" t="n">
        <v>117</v>
      </c>
      <c r="X417" s="5" t="n">
        <v>58</v>
      </c>
      <c r="Y417" s="14">
        <f>IF(AND(ISNUMBER(C417),C417&gt;0,ISNUMBER(X417)),X417/C417-1,"")</f>
        <v/>
      </c>
    </row>
    <row r="418">
      <c r="A418" s="12" t="inlineStr">
        <is>
          <t>311</t>
        </is>
      </c>
      <c r="B418" s="13" t="inlineStr">
        <is>
          <t>General</t>
        </is>
      </c>
      <c r="C418" s="5" t="n">
        <v>268</v>
      </c>
      <c r="D418" s="5" t="n">
        <v>187</v>
      </c>
      <c r="E418" s="5" t="n">
        <v>196</v>
      </c>
      <c r="F418" s="5" t="n">
        <v>283</v>
      </c>
      <c r="G418" s="5" t="n">
        <v>135</v>
      </c>
      <c r="H418" s="5" t="n">
        <v>175</v>
      </c>
      <c r="I418" s="5" t="n">
        <v>255</v>
      </c>
      <c r="J418" s="5" t="n">
        <v>167</v>
      </c>
      <c r="K418" s="5" t="n">
        <v>233</v>
      </c>
      <c r="L418" s="5" t="n">
        <v>150</v>
      </c>
      <c r="M418" s="5" t="n">
        <v>258</v>
      </c>
      <c r="N418" s="5" t="n">
        <v>341</v>
      </c>
      <c r="O418" s="5" t="n">
        <v>224</v>
      </c>
      <c r="P418" s="5" t="n">
        <v>648</v>
      </c>
      <c r="Q418" s="5" t="n">
        <v>543</v>
      </c>
      <c r="R418" s="5" t="n">
        <v>440</v>
      </c>
      <c r="S418" s="5" t="n">
        <v>574</v>
      </c>
      <c r="T418" s="5" t="n">
        <v>447</v>
      </c>
      <c r="U418" s="5" t="n">
        <v>295</v>
      </c>
      <c r="V418" s="5" t="n">
        <v>215</v>
      </c>
      <c r="W418" s="5" t="n">
        <v>238</v>
      </c>
      <c r="X418" s="5" t="n">
        <v>198</v>
      </c>
      <c r="Y418" s="14">
        <f>IF(AND(ISNUMBER(C418),C418&gt;0,ISNUMBER(X418)),X418/C418-1,"")</f>
        <v/>
      </c>
    </row>
    <row r="419">
      <c r="A419" s="12" t="inlineStr">
        <is>
          <t>312</t>
        </is>
      </c>
      <c r="B419" s="13" t="inlineStr">
        <is>
          <t>General</t>
        </is>
      </c>
      <c r="C419" s="5" t="n">
        <v>202</v>
      </c>
      <c r="D419" s="5" t="n">
        <v>306</v>
      </c>
      <c r="E419" s="5" t="n">
        <v>313</v>
      </c>
      <c r="F419" s="5" t="n">
        <v>545</v>
      </c>
      <c r="G419" s="5" t="n">
        <v>309</v>
      </c>
      <c r="H419" s="5" t="n">
        <v>358</v>
      </c>
      <c r="I419" s="5" t="n">
        <v>327</v>
      </c>
      <c r="J419" s="5" t="n">
        <v>305</v>
      </c>
      <c r="K419" s="5" t="n">
        <v>332</v>
      </c>
      <c r="L419" s="5" t="n">
        <v>280</v>
      </c>
      <c r="M419" s="5" t="n">
        <v>375</v>
      </c>
      <c r="N419" s="5" t="n">
        <v>446</v>
      </c>
      <c r="O419" s="5" t="n">
        <v>475</v>
      </c>
      <c r="P419" s="5" t="n">
        <v>587</v>
      </c>
      <c r="Q419" s="5" t="n">
        <v>413</v>
      </c>
      <c r="R419" s="5" t="n">
        <v>381</v>
      </c>
      <c r="S419" s="5" t="n">
        <v>326</v>
      </c>
      <c r="T419" s="5" t="n">
        <v>266</v>
      </c>
      <c r="U419" s="5" t="n">
        <v>285</v>
      </c>
      <c r="V419" s="5" t="n">
        <v>240</v>
      </c>
      <c r="W419" s="5" t="n">
        <v>230</v>
      </c>
      <c r="X419" s="5" t="n">
        <v>281</v>
      </c>
      <c r="Y419" s="14">
        <f>IF(AND(ISNUMBER(C419),C419&gt;0,ISNUMBER(X419)),X419/C419-1,"")</f>
        <v/>
      </c>
    </row>
    <row r="420">
      <c r="A420" s="12" t="inlineStr">
        <is>
          <t>313</t>
        </is>
      </c>
      <c r="B420" s="13" t="inlineStr">
        <is>
          <t>General</t>
        </is>
      </c>
      <c r="C420" s="5" t="n">
        <v>521</v>
      </c>
      <c r="D420" s="5" t="n">
        <v>426</v>
      </c>
      <c r="E420" s="5" t="n">
        <v>454</v>
      </c>
      <c r="F420" s="5" t="n">
        <v>144</v>
      </c>
      <c r="G420" s="5" t="n">
        <v>154</v>
      </c>
      <c r="H420" s="5" t="n">
        <v>226</v>
      </c>
      <c r="I420" s="5" t="n">
        <v>393</v>
      </c>
      <c r="J420" s="5" t="n">
        <v>224</v>
      </c>
      <c r="K420" s="5" t="n">
        <v>185</v>
      </c>
      <c r="L420" s="5" t="n">
        <v>187</v>
      </c>
      <c r="M420" s="5" t="n">
        <v>349</v>
      </c>
      <c r="N420" s="5" t="n">
        <v>509</v>
      </c>
      <c r="O420" s="5" t="n">
        <v>154</v>
      </c>
      <c r="P420" s="5" t="n">
        <v>364</v>
      </c>
      <c r="Q420" s="5" t="n">
        <v>310</v>
      </c>
      <c r="R420" s="5" t="n">
        <v>321</v>
      </c>
      <c r="S420" s="5" t="n">
        <v>367</v>
      </c>
      <c r="T420" s="5" t="n">
        <v>318</v>
      </c>
      <c r="U420" s="5" t="n">
        <v>335</v>
      </c>
      <c r="V420" s="5" t="n">
        <v>289</v>
      </c>
      <c r="W420" s="5" t="n">
        <v>346</v>
      </c>
      <c r="X420" s="5" t="n">
        <v>282</v>
      </c>
      <c r="Y420" s="14">
        <f>IF(AND(ISNUMBER(C420),C420&gt;0,ISNUMBER(X420)),X420/C420-1,"")</f>
        <v/>
      </c>
    </row>
    <row r="421">
      <c r="A421" s="12" t="inlineStr">
        <is>
          <t>314</t>
        </is>
      </c>
      <c r="B421" s="13" t="inlineStr">
        <is>
          <t>General</t>
        </is>
      </c>
      <c r="C421" s="5" t="n">
        <v>537</v>
      </c>
      <c r="D421" s="5" t="n">
        <v>650</v>
      </c>
      <c r="E421" s="5" t="n">
        <v>536</v>
      </c>
      <c r="F421" s="5" t="n">
        <v>916</v>
      </c>
      <c r="G421" s="5" t="n">
        <v>795</v>
      </c>
      <c r="H421" s="5" t="n">
        <v>573</v>
      </c>
      <c r="I421" s="5" t="n">
        <v>728</v>
      </c>
      <c r="J421" s="5" t="n">
        <v>344</v>
      </c>
      <c r="K421" s="5" t="n">
        <v>282</v>
      </c>
      <c r="L421" s="5" t="n">
        <v>269</v>
      </c>
      <c r="M421" s="5" t="n">
        <v>470</v>
      </c>
      <c r="N421" s="5" t="n">
        <v>407</v>
      </c>
      <c r="O421" s="5" t="n">
        <v>332</v>
      </c>
      <c r="P421" s="5" t="n">
        <v>430</v>
      </c>
      <c r="Q421" s="5" t="n">
        <v>565</v>
      </c>
      <c r="R421" s="5" t="n">
        <v>435</v>
      </c>
      <c r="S421" s="5" t="n">
        <v>658</v>
      </c>
      <c r="T421" s="5" t="n">
        <v>669</v>
      </c>
      <c r="U421" s="5" t="n">
        <v>771</v>
      </c>
      <c r="V421" s="5" t="n">
        <v>617</v>
      </c>
      <c r="W421" s="5" t="n">
        <v>692</v>
      </c>
      <c r="X421" s="5" t="n">
        <v>460</v>
      </c>
      <c r="Y421" s="14">
        <f>IF(AND(ISNUMBER(C421),C421&gt;0,ISNUMBER(X421)),X421/C421-1,"")</f>
        <v/>
      </c>
    </row>
    <row r="422">
      <c r="A422" s="12" t="inlineStr">
        <is>
          <t>315</t>
        </is>
      </c>
      <c r="B422" s="13" t="inlineStr">
        <is>
          <t>General</t>
        </is>
      </c>
      <c r="C422" s="5" t="n">
        <v>381</v>
      </c>
      <c r="D422" s="5" t="n">
        <v>367</v>
      </c>
      <c r="E422" s="5" t="n">
        <v>339</v>
      </c>
      <c r="F422" s="5" t="n">
        <v>375</v>
      </c>
      <c r="G422" s="5" t="n">
        <v>535</v>
      </c>
      <c r="H422" s="5" t="n">
        <v>517</v>
      </c>
      <c r="I422" s="5" t="n">
        <v>545</v>
      </c>
      <c r="J422" s="5" t="n">
        <v>430</v>
      </c>
      <c r="K422" s="5" t="n">
        <v>451</v>
      </c>
      <c r="L422" s="5" t="n">
        <v>432</v>
      </c>
      <c r="M422" s="5" t="n">
        <v>433</v>
      </c>
      <c r="N422" s="5" t="n">
        <v>503</v>
      </c>
      <c r="O422" s="5" t="n">
        <v>349</v>
      </c>
      <c r="P422" s="5" t="n">
        <v>455</v>
      </c>
      <c r="Q422" s="5" t="n">
        <v>426</v>
      </c>
      <c r="R422" s="5" t="n">
        <v>319</v>
      </c>
      <c r="S422" s="5" t="n">
        <v>335</v>
      </c>
      <c r="T422" s="5" t="n">
        <v>414</v>
      </c>
      <c r="U422" s="5" t="n">
        <v>515</v>
      </c>
      <c r="V422" s="5" t="n">
        <v>390</v>
      </c>
      <c r="W422" s="5" t="n">
        <v>378</v>
      </c>
      <c r="X422" s="5" t="n">
        <v>389</v>
      </c>
      <c r="Y422" s="14">
        <f>IF(AND(ISNUMBER(C422),C422&gt;0,ISNUMBER(X422)),X422/C422-1,"")</f>
        <v/>
      </c>
    </row>
    <row r="423">
      <c r="A423" s="12" t="inlineStr">
        <is>
          <t>316</t>
        </is>
      </c>
      <c r="B423" s="13" t="inlineStr">
        <is>
          <t>General</t>
        </is>
      </c>
      <c r="C423" s="5" t="n">
        <v>60</v>
      </c>
      <c r="D423" s="5" t="n">
        <v>32</v>
      </c>
      <c r="E423" s="5" t="n">
        <v>34</v>
      </c>
      <c r="F423" s="5" t="n">
        <v>35</v>
      </c>
      <c r="G423" s="5" t="n">
        <v>17</v>
      </c>
      <c r="H423" s="5" t="n">
        <v>34</v>
      </c>
      <c r="I423" s="5" t="n">
        <v>44</v>
      </c>
      <c r="J423" s="5" t="n">
        <v>11</v>
      </c>
      <c r="K423" s="5" t="n">
        <v>14</v>
      </c>
      <c r="L423" s="5" t="n"/>
      <c r="M423" s="5" t="n">
        <v>11</v>
      </c>
      <c r="N423" s="5" t="n">
        <v>9</v>
      </c>
      <c r="O423" s="5" t="n">
        <v>16</v>
      </c>
      <c r="P423" s="5" t="n">
        <v>23</v>
      </c>
      <c r="Q423" s="5" t="n">
        <v>30</v>
      </c>
      <c r="R423" s="5" t="n">
        <v>22</v>
      </c>
      <c r="S423" s="5" t="n">
        <v>61</v>
      </c>
      <c r="T423" s="5" t="n">
        <v>42</v>
      </c>
      <c r="U423" s="5" t="n">
        <v>71</v>
      </c>
      <c r="V423" s="5" t="n">
        <v>37</v>
      </c>
      <c r="W423" s="5" t="n">
        <v>39</v>
      </c>
      <c r="X423" s="5" t="n">
        <v>28</v>
      </c>
      <c r="Y423" s="14">
        <f>IF(AND(ISNUMBER(C423),C423&gt;0,ISNUMBER(X423)),X423/C423-1,"")</f>
        <v/>
      </c>
    </row>
    <row r="424">
      <c r="A424" s="12" t="inlineStr">
        <is>
          <t>317</t>
        </is>
      </c>
      <c r="B424" s="13" t="inlineStr">
        <is>
          <t>General</t>
        </is>
      </c>
      <c r="C424" s="5" t="n">
        <v>142</v>
      </c>
      <c r="D424" s="5" t="n">
        <v>144</v>
      </c>
      <c r="E424" s="5" t="n">
        <v>219</v>
      </c>
      <c r="F424" s="5" t="n">
        <v>263</v>
      </c>
      <c r="G424" s="5" t="n">
        <v>157</v>
      </c>
      <c r="H424" s="5" t="n">
        <v>242</v>
      </c>
      <c r="I424" s="5" t="n">
        <v>232</v>
      </c>
      <c r="J424" s="5" t="n">
        <v>126</v>
      </c>
      <c r="K424" s="5" t="n">
        <v>131</v>
      </c>
      <c r="L424" s="5" t="n">
        <v>125</v>
      </c>
      <c r="M424" s="5" t="n">
        <v>167</v>
      </c>
      <c r="N424" s="5" t="n">
        <v>202</v>
      </c>
      <c r="O424" s="5" t="n">
        <v>166</v>
      </c>
      <c r="P424" s="5" t="n">
        <v>350</v>
      </c>
      <c r="Q424" s="5" t="n">
        <v>427</v>
      </c>
      <c r="R424" s="5" t="n">
        <v>343</v>
      </c>
      <c r="S424" s="5" t="n">
        <v>299</v>
      </c>
      <c r="T424" s="5" t="n">
        <v>315</v>
      </c>
      <c r="U424" s="5" t="n">
        <v>522</v>
      </c>
      <c r="V424" s="5" t="n">
        <v>362</v>
      </c>
      <c r="W424" s="5" t="n">
        <v>437</v>
      </c>
      <c r="X424" s="5" t="n">
        <v>379</v>
      </c>
      <c r="Y424" s="14">
        <f>IF(AND(ISNUMBER(C424),C424&gt;0,ISNUMBER(X424)),X424/C424-1,"")</f>
        <v/>
      </c>
    </row>
    <row r="425">
      <c r="A425" s="12" t="inlineStr">
        <is>
          <t>318</t>
        </is>
      </c>
      <c r="B425" s="13" t="inlineStr">
        <is>
          <t>General</t>
        </is>
      </c>
      <c r="C425" s="5" t="n">
        <v>94</v>
      </c>
      <c r="D425" s="5" t="n">
        <v>173</v>
      </c>
      <c r="E425" s="5" t="n">
        <v>143</v>
      </c>
      <c r="F425" s="5" t="n">
        <v>102</v>
      </c>
      <c r="G425" s="5" t="n">
        <v>126</v>
      </c>
      <c r="H425" s="5" t="n">
        <v>180</v>
      </c>
      <c r="I425" s="5" t="n">
        <v>227</v>
      </c>
      <c r="J425" s="5" t="n">
        <v>144</v>
      </c>
      <c r="K425" s="5" t="n">
        <v>180</v>
      </c>
      <c r="L425" s="5" t="n">
        <v>125</v>
      </c>
      <c r="M425" s="5" t="n">
        <v>187</v>
      </c>
      <c r="N425" s="5" t="n">
        <v>249</v>
      </c>
      <c r="O425" s="5" t="n">
        <v>114</v>
      </c>
      <c r="P425" s="5" t="n">
        <v>220</v>
      </c>
      <c r="Q425" s="5" t="n">
        <v>184</v>
      </c>
      <c r="R425" s="5" t="n">
        <v>159</v>
      </c>
      <c r="S425" s="5" t="n">
        <v>169</v>
      </c>
      <c r="T425" s="5" t="n">
        <v>138</v>
      </c>
      <c r="U425" s="5" t="n">
        <v>129</v>
      </c>
      <c r="V425" s="5" t="n">
        <v>135</v>
      </c>
      <c r="W425" s="5" t="n">
        <v>190</v>
      </c>
      <c r="X425" s="5" t="n">
        <v>210</v>
      </c>
      <c r="Y425" s="14">
        <f>IF(AND(ISNUMBER(C425),C425&gt;0,ISNUMBER(X425)),X425/C425-1,"")</f>
        <v/>
      </c>
    </row>
    <row r="426">
      <c r="A426" s="12" t="inlineStr">
        <is>
          <t>319</t>
        </is>
      </c>
      <c r="B426" s="13" t="inlineStr">
        <is>
          <t>General</t>
        </is>
      </c>
      <c r="C426" s="5" t="n">
        <v>344</v>
      </c>
      <c r="D426" s="5" t="n">
        <v>546</v>
      </c>
      <c r="E426" s="5" t="n">
        <v>222</v>
      </c>
      <c r="F426" s="5" t="n">
        <v>303</v>
      </c>
      <c r="G426" s="5" t="n">
        <v>176</v>
      </c>
      <c r="H426" s="5" t="n">
        <v>196</v>
      </c>
      <c r="I426" s="5" t="n">
        <v>139</v>
      </c>
      <c r="J426" s="5" t="n">
        <v>114</v>
      </c>
      <c r="K426" s="5" t="n">
        <v>209</v>
      </c>
      <c r="L426" s="5" t="n">
        <v>148</v>
      </c>
      <c r="M426" s="5" t="n">
        <v>200</v>
      </c>
      <c r="N426" s="5" t="n">
        <v>343</v>
      </c>
      <c r="O426" s="5" t="n">
        <v>189</v>
      </c>
      <c r="P426" s="5" t="n">
        <v>320</v>
      </c>
      <c r="Q426" s="5" t="n">
        <v>195</v>
      </c>
      <c r="R426" s="5" t="n">
        <v>172</v>
      </c>
      <c r="S426" s="5" t="n">
        <v>253</v>
      </c>
      <c r="T426" s="5" t="n">
        <v>211</v>
      </c>
      <c r="U426" s="5" t="n">
        <v>390</v>
      </c>
      <c r="V426" s="5" t="n">
        <v>271</v>
      </c>
      <c r="W426" s="5" t="n">
        <v>351</v>
      </c>
      <c r="X426" s="5" t="n">
        <v>332</v>
      </c>
      <c r="Y426" s="14">
        <f>IF(AND(ISNUMBER(C426),C426&gt;0,ISNUMBER(X426)),X426/C426-1,"")</f>
        <v/>
      </c>
    </row>
    <row r="427">
      <c r="A427" s="12" t="inlineStr">
        <is>
          <t>320</t>
        </is>
      </c>
      <c r="B427" s="13" t="inlineStr">
        <is>
          <t>General</t>
        </is>
      </c>
      <c r="C427" s="5" t="n">
        <v>204</v>
      </c>
      <c r="D427" s="5" t="n">
        <v>292</v>
      </c>
      <c r="E427" s="5" t="n">
        <v>275</v>
      </c>
      <c r="F427" s="5" t="n">
        <v>319</v>
      </c>
      <c r="G427" s="5" t="n">
        <v>325</v>
      </c>
      <c r="H427" s="5" t="n">
        <v>331</v>
      </c>
      <c r="I427" s="5" t="n">
        <v>223</v>
      </c>
      <c r="J427" s="5" t="n">
        <v>170</v>
      </c>
      <c r="K427" s="5" t="n">
        <v>166</v>
      </c>
      <c r="L427" s="5" t="n">
        <v>153</v>
      </c>
      <c r="M427" s="5" t="n">
        <v>152</v>
      </c>
      <c r="N427" s="5" t="n">
        <v>209</v>
      </c>
      <c r="O427" s="5" t="n">
        <v>161</v>
      </c>
      <c r="P427" s="5" t="n">
        <v>217</v>
      </c>
      <c r="Q427" s="5" t="n">
        <v>189</v>
      </c>
      <c r="R427" s="5" t="n">
        <v>233</v>
      </c>
      <c r="S427" s="5" t="n">
        <v>207</v>
      </c>
      <c r="T427" s="5" t="n">
        <v>279</v>
      </c>
      <c r="U427" s="5" t="n">
        <v>589</v>
      </c>
      <c r="V427" s="5" t="n">
        <v>407</v>
      </c>
      <c r="W427" s="5" t="n">
        <v>379</v>
      </c>
      <c r="X427" s="5" t="n">
        <v>451</v>
      </c>
      <c r="Y427" s="14">
        <f>IF(AND(ISNUMBER(C427),C427&gt;0,ISNUMBER(X427)),X427/C427-1,"")</f>
        <v/>
      </c>
    </row>
    <row r="428">
      <c r="A428" s="12" t="inlineStr">
        <is>
          <t>321</t>
        </is>
      </c>
      <c r="B428" s="13" t="inlineStr">
        <is>
          <t>General</t>
        </is>
      </c>
      <c r="C428" s="5" t="n">
        <v>353</v>
      </c>
      <c r="D428" s="5" t="n">
        <v>399</v>
      </c>
      <c r="E428" s="5" t="n">
        <v>316</v>
      </c>
      <c r="F428" s="5" t="n">
        <v>299</v>
      </c>
      <c r="G428" s="5" t="n">
        <v>365</v>
      </c>
      <c r="H428" s="5" t="n">
        <v>312</v>
      </c>
      <c r="I428" s="5" t="n">
        <v>283</v>
      </c>
      <c r="J428" s="5" t="n">
        <v>280</v>
      </c>
      <c r="K428" s="5" t="n">
        <v>269</v>
      </c>
      <c r="L428" s="5" t="n">
        <v>228</v>
      </c>
      <c r="M428" s="5" t="n">
        <v>332</v>
      </c>
      <c r="N428" s="5" t="n">
        <v>326</v>
      </c>
      <c r="O428" s="5" t="n">
        <v>173</v>
      </c>
      <c r="P428" s="5" t="n">
        <v>170</v>
      </c>
      <c r="Q428" s="5" t="n">
        <v>171</v>
      </c>
      <c r="R428" s="5" t="n">
        <v>98</v>
      </c>
      <c r="S428" s="5" t="n">
        <v>227</v>
      </c>
      <c r="T428" s="5" t="n">
        <v>207</v>
      </c>
      <c r="U428" s="5" t="n">
        <v>400</v>
      </c>
      <c r="V428" s="5" t="n">
        <v>412</v>
      </c>
      <c r="W428" s="5" t="n">
        <v>363</v>
      </c>
      <c r="X428" s="5" t="n">
        <v>544</v>
      </c>
      <c r="Y428" s="14">
        <f>IF(AND(ISNUMBER(C428),C428&gt;0,ISNUMBER(X428)),X428/C428-1,"")</f>
        <v/>
      </c>
    </row>
    <row r="429">
      <c r="A429" s="12" t="inlineStr">
        <is>
          <t>322</t>
        </is>
      </c>
      <c r="B429" s="13" t="inlineStr">
        <is>
          <t>General</t>
        </is>
      </c>
      <c r="C429" s="5" t="n">
        <v>132</v>
      </c>
      <c r="D429" s="5" t="n">
        <v>134</v>
      </c>
      <c r="E429" s="5" t="n">
        <v>149</v>
      </c>
      <c r="F429" s="5" t="n">
        <v>263</v>
      </c>
      <c r="G429" s="5" t="n">
        <v>278</v>
      </c>
      <c r="H429" s="5" t="n">
        <v>237</v>
      </c>
      <c r="I429" s="5" t="n">
        <v>144</v>
      </c>
      <c r="J429" s="5" t="n">
        <v>112</v>
      </c>
      <c r="K429" s="5" t="n">
        <v>137</v>
      </c>
      <c r="L429" s="5" t="n">
        <v>144</v>
      </c>
      <c r="M429" s="5" t="n">
        <v>231</v>
      </c>
      <c r="N429" s="5" t="n">
        <v>265</v>
      </c>
      <c r="O429" s="5" t="n">
        <v>170</v>
      </c>
      <c r="P429" s="5" t="n">
        <v>209</v>
      </c>
      <c r="Q429" s="5" t="n">
        <v>192</v>
      </c>
      <c r="R429" s="5" t="n">
        <v>224</v>
      </c>
      <c r="S429" s="5" t="n">
        <v>250</v>
      </c>
      <c r="T429" s="5" t="n">
        <v>530</v>
      </c>
      <c r="U429" s="5" t="n">
        <v>2865</v>
      </c>
      <c r="V429" s="5" t="n">
        <v>1651</v>
      </c>
      <c r="W429" s="5" t="n">
        <v>418</v>
      </c>
      <c r="X429" s="5" t="n">
        <v>284</v>
      </c>
      <c r="Y429" s="14">
        <f>IF(AND(ISNUMBER(C429),C429&gt;0,ISNUMBER(X429)),X429/C429-1,"")</f>
        <v/>
      </c>
    </row>
    <row r="430">
      <c r="A430" s="12" t="inlineStr">
        <is>
          <t>323</t>
        </is>
      </c>
      <c r="B430" s="13" t="inlineStr">
        <is>
          <t>General</t>
        </is>
      </c>
      <c r="C430" s="5" t="n">
        <v>284</v>
      </c>
      <c r="D430" s="5" t="n">
        <v>249</v>
      </c>
      <c r="E430" s="5" t="n">
        <v>138</v>
      </c>
      <c r="F430" s="5" t="n">
        <v>242</v>
      </c>
      <c r="G430" s="5" t="n">
        <v>199</v>
      </c>
      <c r="H430" s="5" t="n">
        <v>160</v>
      </c>
      <c r="I430" s="5" t="n">
        <v>175</v>
      </c>
      <c r="J430" s="5" t="n">
        <v>133</v>
      </c>
      <c r="K430" s="5" t="n">
        <v>182</v>
      </c>
      <c r="L430" s="5" t="n">
        <v>228</v>
      </c>
      <c r="M430" s="5" t="n">
        <v>329</v>
      </c>
      <c r="N430" s="5" t="n">
        <v>291</v>
      </c>
      <c r="O430" s="5" t="n">
        <v>143</v>
      </c>
      <c r="P430" s="5" t="n">
        <v>193</v>
      </c>
      <c r="Q430" s="5" t="n">
        <v>199</v>
      </c>
      <c r="R430" s="5" t="n">
        <v>187</v>
      </c>
      <c r="S430" s="5" t="n">
        <v>210</v>
      </c>
      <c r="T430" s="5" t="n">
        <v>240</v>
      </c>
      <c r="U430" s="5" t="n"/>
      <c r="V430" s="5" t="n"/>
      <c r="W430" s="5" t="n">
        <v>1013</v>
      </c>
      <c r="X430" s="5" t="n">
        <v>748</v>
      </c>
      <c r="Y430" s="14">
        <f>IF(AND(ISNUMBER(C430),C430&gt;0,ISNUMBER(X430)),X430/C430-1,"")</f>
        <v/>
      </c>
    </row>
    <row r="431">
      <c r="A431" s="12" t="inlineStr">
        <is>
          <t>324</t>
        </is>
      </c>
      <c r="B431" s="13" t="inlineStr">
        <is>
          <t>General</t>
        </is>
      </c>
      <c r="C431" s="5" t="n">
        <v>489</v>
      </c>
      <c r="D431" s="5" t="n">
        <v>366</v>
      </c>
      <c r="E431" s="5" t="n">
        <v>255</v>
      </c>
      <c r="F431" s="5" t="n">
        <v>377</v>
      </c>
      <c r="G431" s="5" t="n">
        <v>438</v>
      </c>
      <c r="H431" s="5" t="n">
        <v>255</v>
      </c>
      <c r="I431" s="5" t="n">
        <v>257</v>
      </c>
      <c r="J431" s="5" t="n">
        <v>262</v>
      </c>
      <c r="K431" s="5" t="n">
        <v>229</v>
      </c>
      <c r="L431" s="5" t="n">
        <v>176</v>
      </c>
      <c r="M431" s="5" t="n">
        <v>407</v>
      </c>
      <c r="N431" s="5" t="n">
        <v>574</v>
      </c>
      <c r="O431" s="5" t="n">
        <v>262</v>
      </c>
      <c r="P431" s="5" t="n">
        <v>328</v>
      </c>
      <c r="Q431" s="5" t="n">
        <v>281</v>
      </c>
      <c r="R431" s="5" t="n">
        <v>266</v>
      </c>
      <c r="S431" s="5" t="n">
        <v>400</v>
      </c>
      <c r="T431" s="5" t="n">
        <v>475</v>
      </c>
      <c r="U431" s="5" t="n"/>
      <c r="V431" s="5" t="n"/>
      <c r="W431" s="5" t="n">
        <v>614</v>
      </c>
      <c r="X431" s="5" t="n">
        <v>416</v>
      </c>
      <c r="Y431" s="14">
        <f>IF(AND(ISNUMBER(C431),C431&gt;0,ISNUMBER(X431)),X431/C431-1,"")</f>
        <v/>
      </c>
    </row>
    <row r="432">
      <c r="A432" s="12" t="inlineStr">
        <is>
          <t>325</t>
        </is>
      </c>
      <c r="B432" s="4" t="inlineStr"/>
      <c r="C432" s="5" t="n">
        <v>338</v>
      </c>
      <c r="D432" s="5" t="n">
        <v>251</v>
      </c>
      <c r="E432" s="5" t="n">
        <v>245</v>
      </c>
      <c r="F432" s="5" t="n">
        <v>437</v>
      </c>
      <c r="G432" s="5" t="n">
        <v>427</v>
      </c>
      <c r="H432" s="5" t="n">
        <v>317</v>
      </c>
      <c r="I432" s="5" t="n">
        <v>212</v>
      </c>
      <c r="J432" s="5" t="n">
        <v>244</v>
      </c>
      <c r="K432" s="5" t="n">
        <v>281</v>
      </c>
      <c r="L432" s="5" t="n">
        <v>187</v>
      </c>
      <c r="M432" s="5" t="n">
        <v>594</v>
      </c>
      <c r="N432" s="5" t="n">
        <v>970</v>
      </c>
      <c r="O432" s="5" t="n">
        <v>592</v>
      </c>
      <c r="P432" s="5" t="n">
        <v>491</v>
      </c>
      <c r="Q432" s="5" t="n">
        <v>444</v>
      </c>
      <c r="R432" s="5" t="n">
        <v>418</v>
      </c>
      <c r="S432" s="5" t="n">
        <v>434</v>
      </c>
      <c r="T432" s="5" t="n">
        <v>623</v>
      </c>
      <c r="U432" s="5" t="n"/>
      <c r="V432" s="5" t="n"/>
      <c r="W432" s="5" t="n"/>
      <c r="X432" s="5" t="n"/>
      <c r="Y432" s="14">
        <f>IF(AND(ISNUMBER(C432),C432&gt;0,ISNUMBER(X432)),X432/C432-1,"")</f>
        <v/>
      </c>
    </row>
    <row r="433">
      <c r="A433" s="12" t="inlineStr">
        <is>
          <t>326</t>
        </is>
      </c>
      <c r="B433" s="4" t="inlineStr"/>
      <c r="C433" s="5" t="n">
        <v>206</v>
      </c>
      <c r="D433" s="5" t="n">
        <v>139</v>
      </c>
      <c r="E433" s="5" t="n">
        <v>92</v>
      </c>
      <c r="F433" s="5" t="n">
        <v>156</v>
      </c>
      <c r="G433" s="5" t="n">
        <v>127</v>
      </c>
      <c r="H433" s="5" t="n">
        <v>66</v>
      </c>
      <c r="I433" s="5" t="n">
        <v>46</v>
      </c>
      <c r="J433" s="5" t="n">
        <v>76</v>
      </c>
      <c r="K433" s="5" t="n">
        <v>74</v>
      </c>
      <c r="L433" s="5" t="n">
        <v>78</v>
      </c>
      <c r="M433" s="5" t="n">
        <v>133</v>
      </c>
      <c r="N433" s="5" t="n">
        <v>173</v>
      </c>
      <c r="O433" s="5" t="n">
        <v>159</v>
      </c>
      <c r="P433" s="5" t="n">
        <v>151</v>
      </c>
      <c r="Q433" s="5" t="n">
        <v>85</v>
      </c>
      <c r="R433" s="5" t="n">
        <v>106</v>
      </c>
      <c r="S433" s="5" t="n">
        <v>179</v>
      </c>
      <c r="T433" s="5" t="n">
        <v>161</v>
      </c>
      <c r="U433" s="5" t="n"/>
      <c r="V433" s="5" t="n"/>
      <c r="W433" s="5" t="n"/>
      <c r="X433" s="5" t="n"/>
      <c r="Y433" s="14">
        <f>IF(AND(ISNUMBER(C433),C433&gt;0,ISNUMBER(X433)),X433/C433-1,"")</f>
        <v/>
      </c>
    </row>
    <row r="434">
      <c r="A434" s="12" t="inlineStr">
        <is>
          <t>327</t>
        </is>
      </c>
      <c r="B434" s="4" t="inlineStr"/>
      <c r="C434" s="5" t="n">
        <v>463</v>
      </c>
      <c r="D434" s="5" t="n">
        <v>248</v>
      </c>
      <c r="E434" s="5" t="n">
        <v>154</v>
      </c>
      <c r="F434" s="5" t="n">
        <v>265</v>
      </c>
      <c r="G434" s="5" t="n">
        <v>412</v>
      </c>
      <c r="H434" s="5" t="n">
        <v>186</v>
      </c>
      <c r="I434" s="5" t="n">
        <v>183</v>
      </c>
      <c r="J434" s="5" t="n">
        <v>225</v>
      </c>
      <c r="K434" s="5" t="n">
        <v>227</v>
      </c>
      <c r="L434" s="5" t="n">
        <v>270</v>
      </c>
      <c r="M434" s="5" t="n">
        <v>601</v>
      </c>
      <c r="N434" s="5" t="n">
        <v>648</v>
      </c>
      <c r="O434" s="5" t="n">
        <v>235</v>
      </c>
      <c r="P434" s="5" t="n">
        <v>251</v>
      </c>
      <c r="Q434" s="5" t="n">
        <v>264</v>
      </c>
      <c r="R434" s="5" t="n">
        <v>230</v>
      </c>
      <c r="S434" s="5" t="n">
        <v>431</v>
      </c>
      <c r="T434" s="5" t="n">
        <v>409</v>
      </c>
      <c r="U434" s="5" t="n"/>
      <c r="V434" s="5" t="n"/>
      <c r="W434" s="5" t="n"/>
      <c r="X434" s="5" t="n"/>
      <c r="Y434" s="14">
        <f>IF(AND(ISNUMBER(C434),C434&gt;0,ISNUMBER(X434)),X434/C434-1,"")</f>
        <v/>
      </c>
    </row>
    <row r="435">
      <c r="A435" s="12" t="inlineStr">
        <is>
          <t>328</t>
        </is>
      </c>
      <c r="B435" s="4" t="inlineStr"/>
      <c r="C435" s="5" t="n">
        <v>250</v>
      </c>
      <c r="D435" s="5" t="n">
        <v>233</v>
      </c>
      <c r="E435" s="5" t="n">
        <v>211</v>
      </c>
      <c r="F435" s="5" t="n">
        <v>205</v>
      </c>
      <c r="G435" s="5" t="n">
        <v>180</v>
      </c>
      <c r="H435" s="5" t="n">
        <v>188</v>
      </c>
      <c r="I435" s="5" t="n">
        <v>134</v>
      </c>
      <c r="J435" s="5" t="n">
        <v>125</v>
      </c>
      <c r="K435" s="5" t="n">
        <v>168</v>
      </c>
      <c r="L435" s="5" t="n">
        <v>164</v>
      </c>
      <c r="M435" s="5" t="n">
        <v>193</v>
      </c>
      <c r="N435" s="5" t="n">
        <v>264</v>
      </c>
      <c r="O435" s="5" t="n">
        <v>131</v>
      </c>
      <c r="P435" s="5" t="n">
        <v>189</v>
      </c>
      <c r="Q435" s="5" t="n">
        <v>191</v>
      </c>
      <c r="R435" s="5" t="n">
        <v>118</v>
      </c>
      <c r="S435" s="5" t="n">
        <v>186</v>
      </c>
      <c r="T435" s="5" t="n">
        <v>118</v>
      </c>
      <c r="U435" s="5" t="n"/>
      <c r="V435" s="5" t="n"/>
      <c r="W435" s="5" t="n"/>
      <c r="X435" s="5" t="n"/>
      <c r="Y435" s="14">
        <f>IF(AND(ISNUMBER(C435),C435&gt;0,ISNUMBER(X435)),X435/C435-1,"")</f>
        <v/>
      </c>
    </row>
    <row r="436">
      <c r="A436" s="12" t="inlineStr">
        <is>
          <t>329</t>
        </is>
      </c>
      <c r="B436" s="13" t="inlineStr">
        <is>
          <t>General</t>
        </is>
      </c>
      <c r="C436" s="5" t="n">
        <v>360</v>
      </c>
      <c r="D436" s="5" t="n">
        <v>510</v>
      </c>
      <c r="E436" s="5" t="n">
        <v>298</v>
      </c>
      <c r="F436" s="5" t="n">
        <v>363</v>
      </c>
      <c r="G436" s="5" t="n">
        <v>238</v>
      </c>
      <c r="H436" s="5" t="n">
        <v>355</v>
      </c>
      <c r="I436" s="5" t="n">
        <v>260</v>
      </c>
      <c r="J436" s="5" t="n">
        <v>188</v>
      </c>
      <c r="K436" s="5" t="n">
        <v>252</v>
      </c>
      <c r="L436" s="5" t="n">
        <v>208</v>
      </c>
      <c r="M436" s="5" t="n">
        <v>406</v>
      </c>
      <c r="N436" s="5" t="n">
        <v>615</v>
      </c>
      <c r="O436" s="5" t="n">
        <v>548</v>
      </c>
      <c r="P436" s="5" t="n">
        <v>734</v>
      </c>
      <c r="Q436" s="5" t="n">
        <v>416</v>
      </c>
      <c r="R436" s="5" t="n">
        <v>506</v>
      </c>
      <c r="S436" s="5" t="n">
        <v>492</v>
      </c>
      <c r="T436" s="5" t="n">
        <v>411</v>
      </c>
      <c r="U436" s="5" t="n">
        <v>551</v>
      </c>
      <c r="V436" s="5" t="n">
        <v>371</v>
      </c>
      <c r="W436" s="5" t="n">
        <v>410</v>
      </c>
      <c r="X436" s="5" t="n">
        <v>432</v>
      </c>
      <c r="Y436" s="14">
        <f>IF(AND(ISNUMBER(C436),C436&gt;0,ISNUMBER(X436)),X436/C436-1,"")</f>
        <v/>
      </c>
    </row>
    <row r="437">
      <c r="A437" s="12" t="inlineStr">
        <is>
          <t>330</t>
        </is>
      </c>
      <c r="B437" s="4" t="inlineStr"/>
      <c r="C437" s="5" t="n">
        <v>299</v>
      </c>
      <c r="D437" s="5" t="n">
        <v>270</v>
      </c>
      <c r="E437" s="5" t="n">
        <v>156</v>
      </c>
      <c r="F437" s="5" t="n">
        <v>308</v>
      </c>
      <c r="G437" s="5" t="n">
        <v>262</v>
      </c>
      <c r="H437" s="5" t="n">
        <v>177</v>
      </c>
      <c r="I437" s="5" t="n">
        <v>156</v>
      </c>
      <c r="J437" s="5" t="n">
        <v>112</v>
      </c>
      <c r="K437" s="5" t="n">
        <v>133</v>
      </c>
      <c r="L437" s="5" t="n">
        <v>123</v>
      </c>
      <c r="M437" s="5" t="n">
        <v>209</v>
      </c>
      <c r="N437" s="5" t="n">
        <v>227</v>
      </c>
      <c r="O437" s="5" t="n">
        <v>168</v>
      </c>
      <c r="P437" s="5" t="n">
        <v>137</v>
      </c>
      <c r="Q437" s="5" t="n">
        <v>166</v>
      </c>
      <c r="R437" s="5" t="n">
        <v>199</v>
      </c>
      <c r="S437" s="5" t="n">
        <v>177</v>
      </c>
      <c r="T437" s="5" t="n">
        <v>180</v>
      </c>
      <c r="U437" s="5" t="n"/>
      <c r="V437" s="5" t="n"/>
      <c r="W437" s="5" t="n"/>
      <c r="X437" s="5" t="n"/>
      <c r="Y437" s="14">
        <f>IF(AND(ISNUMBER(C437),C437&gt;0,ISNUMBER(X437)),X437/C437-1,"")</f>
        <v/>
      </c>
    </row>
    <row r="438">
      <c r="A438" s="12" t="inlineStr">
        <is>
          <t>331</t>
        </is>
      </c>
      <c r="B438" s="13" t="inlineStr">
        <is>
          <t>General</t>
        </is>
      </c>
      <c r="C438" s="5" t="n">
        <v>323</v>
      </c>
      <c r="D438" s="5" t="n">
        <v>448</v>
      </c>
      <c r="E438" s="5" t="n">
        <v>237</v>
      </c>
      <c r="F438" s="5" t="n">
        <v>299</v>
      </c>
      <c r="G438" s="5" t="n">
        <v>142</v>
      </c>
      <c r="H438" s="5" t="n">
        <v>237</v>
      </c>
      <c r="I438" s="5" t="n">
        <v>251</v>
      </c>
      <c r="J438" s="5" t="n">
        <v>170</v>
      </c>
      <c r="K438" s="5" t="n">
        <v>223</v>
      </c>
      <c r="L438" s="5" t="n">
        <v>217</v>
      </c>
      <c r="M438" s="5" t="n">
        <v>207</v>
      </c>
      <c r="N438" s="5" t="n">
        <v>288</v>
      </c>
      <c r="O438" s="5" t="n">
        <v>136</v>
      </c>
      <c r="P438" s="5" t="n">
        <v>307</v>
      </c>
      <c r="Q438" s="5" t="n">
        <v>333</v>
      </c>
      <c r="R438" s="5" t="n">
        <v>327</v>
      </c>
      <c r="S438" s="5" t="n">
        <v>277</v>
      </c>
      <c r="T438" s="5" t="n">
        <v>207</v>
      </c>
      <c r="U438" s="5" t="n">
        <v>583</v>
      </c>
      <c r="V438" s="5" t="n">
        <v>353</v>
      </c>
      <c r="W438" s="5" t="n">
        <v>597</v>
      </c>
      <c r="X438" s="5" t="n">
        <v>689</v>
      </c>
      <c r="Y438" s="14">
        <f>IF(AND(ISNUMBER(C438),C438&gt;0,ISNUMBER(X438)),X438/C438-1,"")</f>
        <v/>
      </c>
    </row>
    <row r="439">
      <c r="A439" s="12" t="inlineStr">
        <is>
          <t>332</t>
        </is>
      </c>
      <c r="B439" s="4" t="inlineStr"/>
      <c r="C439" s="5" t="n">
        <v>293</v>
      </c>
      <c r="D439" s="5" t="n">
        <v>476</v>
      </c>
      <c r="E439" s="5" t="n">
        <v>187</v>
      </c>
      <c r="F439" s="5" t="n">
        <v>243</v>
      </c>
      <c r="G439" s="5" t="n">
        <v>146</v>
      </c>
      <c r="H439" s="5" t="n">
        <v>213</v>
      </c>
      <c r="I439" s="5" t="n">
        <v>246</v>
      </c>
      <c r="J439" s="5" t="n">
        <v>208</v>
      </c>
      <c r="K439" s="5" t="n">
        <v>175</v>
      </c>
      <c r="L439" s="5" t="n">
        <v>130</v>
      </c>
      <c r="M439" s="5" t="n">
        <v>202</v>
      </c>
      <c r="N439" s="5" t="n">
        <v>225</v>
      </c>
      <c r="O439" s="5" t="n">
        <v>173</v>
      </c>
      <c r="P439" s="5" t="n">
        <v>277</v>
      </c>
      <c r="Q439" s="5" t="n">
        <v>244</v>
      </c>
      <c r="R439" s="5" t="n">
        <v>277</v>
      </c>
      <c r="S439" s="5" t="n">
        <v>248</v>
      </c>
      <c r="T439" s="5" t="n">
        <v>215</v>
      </c>
      <c r="U439" s="5" t="n"/>
      <c r="V439" s="5" t="n"/>
      <c r="W439" s="5" t="n"/>
      <c r="X439" s="5" t="n"/>
      <c r="Y439" s="14">
        <f>IF(AND(ISNUMBER(C439),C439&gt;0,ISNUMBER(X439)),X439/C439-1,"")</f>
        <v/>
      </c>
    </row>
    <row r="440">
      <c r="A440" s="12" t="inlineStr">
        <is>
          <t>333</t>
        </is>
      </c>
      <c r="B440" s="4" t="inlineStr"/>
      <c r="C440" s="5" t="n">
        <v>115</v>
      </c>
      <c r="D440" s="5" t="n">
        <v>194</v>
      </c>
      <c r="E440" s="5" t="n">
        <v>104</v>
      </c>
      <c r="F440" s="5" t="n">
        <v>160</v>
      </c>
      <c r="G440" s="5" t="n">
        <v>148</v>
      </c>
      <c r="H440" s="5" t="n">
        <v>140</v>
      </c>
      <c r="I440" s="5" t="n">
        <v>144</v>
      </c>
      <c r="J440" s="5" t="n">
        <v>88</v>
      </c>
      <c r="K440" s="5" t="n">
        <v>131</v>
      </c>
      <c r="L440" s="5" t="n">
        <v>101</v>
      </c>
      <c r="M440" s="5" t="n">
        <v>126</v>
      </c>
      <c r="N440" s="5" t="n">
        <v>126</v>
      </c>
      <c r="O440" s="5" t="n">
        <v>124</v>
      </c>
      <c r="P440" s="5" t="n">
        <v>229</v>
      </c>
      <c r="Q440" s="5" t="n">
        <v>173</v>
      </c>
      <c r="R440" s="5" t="n">
        <v>179</v>
      </c>
      <c r="S440" s="5" t="n">
        <v>280</v>
      </c>
      <c r="T440" s="5" t="n">
        <v>175</v>
      </c>
      <c r="U440" s="5" t="n"/>
      <c r="V440" s="5" t="n"/>
      <c r="W440" s="5" t="n"/>
      <c r="X440" s="5" t="n"/>
      <c r="Y440" s="14">
        <f>IF(AND(ISNUMBER(C440),C440&gt;0,ISNUMBER(X440)),X440/C440-1,"")</f>
        <v/>
      </c>
    </row>
    <row r="441">
      <c r="A441" s="12" t="inlineStr">
        <is>
          <t>334</t>
        </is>
      </c>
      <c r="B441" s="4" t="inlineStr"/>
      <c r="C441" s="5" t="n"/>
      <c r="D441" s="5" t="n"/>
      <c r="E441" s="5" t="n"/>
      <c r="F441" s="5" t="n"/>
      <c r="G441" s="5" t="n"/>
      <c r="H441" s="5" t="n"/>
      <c r="I441" s="5" t="n">
        <v>79</v>
      </c>
      <c r="J441" s="5" t="n">
        <v>68</v>
      </c>
      <c r="K441" s="5" t="n">
        <v>70</v>
      </c>
      <c r="L441" s="5" t="n">
        <v>77</v>
      </c>
      <c r="M441" s="5" t="n">
        <v>97</v>
      </c>
      <c r="N441" s="5" t="n">
        <v>93</v>
      </c>
      <c r="O441" s="5" t="n">
        <v>95</v>
      </c>
      <c r="P441" s="5" t="n">
        <v>102</v>
      </c>
      <c r="Q441" s="5" t="n">
        <v>128</v>
      </c>
      <c r="R441" s="5" t="n">
        <v>113</v>
      </c>
      <c r="S441" s="5" t="n">
        <v>69</v>
      </c>
      <c r="T441" s="5" t="n">
        <v>87</v>
      </c>
      <c r="U441" s="5" t="n"/>
      <c r="V441" s="5" t="n"/>
      <c r="W441" s="5" t="n"/>
      <c r="X441" s="5" t="n"/>
      <c r="Y441" s="14">
        <f>IF(AND(ISNUMBER(C441),C441&gt;0,ISNUMBER(X441)),X441/C441-1,"")</f>
        <v/>
      </c>
    </row>
    <row r="442">
      <c r="A442" s="12" t="inlineStr">
        <is>
          <t>335</t>
        </is>
      </c>
      <c r="B442" s="13" t="inlineStr">
        <is>
          <t>General</t>
        </is>
      </c>
      <c r="C442" s="5" t="n">
        <v>103</v>
      </c>
      <c r="D442" s="5" t="n">
        <v>169</v>
      </c>
      <c r="E442" s="5" t="n">
        <v>180</v>
      </c>
      <c r="F442" s="5" t="n">
        <v>122</v>
      </c>
      <c r="G442" s="5" t="n">
        <v>165</v>
      </c>
      <c r="H442" s="5" t="n">
        <v>85</v>
      </c>
      <c r="I442" s="5" t="n">
        <v>206</v>
      </c>
      <c r="J442" s="5" t="n">
        <v>154</v>
      </c>
      <c r="K442" s="5" t="n">
        <v>198</v>
      </c>
      <c r="L442" s="5" t="n">
        <v>197</v>
      </c>
      <c r="M442" s="5" t="n">
        <v>248</v>
      </c>
      <c r="N442" s="5" t="n">
        <v>221</v>
      </c>
      <c r="O442" s="5" t="n">
        <v>119</v>
      </c>
      <c r="P442" s="5" t="n">
        <v>320</v>
      </c>
      <c r="Q442" s="5" t="n">
        <v>161</v>
      </c>
      <c r="R442" s="5" t="n">
        <v>222</v>
      </c>
      <c r="S442" s="5" t="n">
        <v>239</v>
      </c>
      <c r="T442" s="5" t="n">
        <v>226</v>
      </c>
      <c r="U442" s="5" t="n">
        <v>226</v>
      </c>
      <c r="V442" s="5" t="n">
        <v>217</v>
      </c>
      <c r="W442" s="5" t="n">
        <v>186</v>
      </c>
      <c r="X442" s="5" t="n">
        <v>227</v>
      </c>
      <c r="Y442" s="14">
        <f>IF(AND(ISNUMBER(C442),C442&gt;0,ISNUMBER(X442)),X442/C442-1,"")</f>
        <v/>
      </c>
    </row>
    <row r="443">
      <c r="A443" s="12" t="inlineStr">
        <is>
          <t>339</t>
        </is>
      </c>
      <c r="B443" s="13" t="inlineStr">
        <is>
          <t>General</t>
        </is>
      </c>
      <c r="C443" s="5" t="n">
        <v>131</v>
      </c>
      <c r="D443" s="5" t="n">
        <v>198</v>
      </c>
      <c r="E443" s="5" t="n">
        <v>201</v>
      </c>
      <c r="F443" s="5" t="n">
        <v>182</v>
      </c>
      <c r="G443" s="5" t="n">
        <v>154</v>
      </c>
      <c r="H443" s="5" t="n">
        <v>199</v>
      </c>
      <c r="I443" s="5" t="n">
        <v>315</v>
      </c>
      <c r="J443" s="5" t="n">
        <v>289</v>
      </c>
      <c r="K443" s="5" t="n">
        <v>219</v>
      </c>
      <c r="L443" s="5" t="n">
        <v>158</v>
      </c>
      <c r="M443" s="5" t="n">
        <v>68</v>
      </c>
      <c r="N443" s="5" t="n">
        <v>127</v>
      </c>
      <c r="O443" s="5" t="n">
        <v>123</v>
      </c>
      <c r="P443" s="5" t="n">
        <v>102</v>
      </c>
      <c r="Q443" s="5" t="n">
        <v>88</v>
      </c>
      <c r="R443" s="5" t="n">
        <v>120</v>
      </c>
      <c r="S443" s="5" t="n">
        <v>85</v>
      </c>
      <c r="T443" s="5" t="n">
        <v>77</v>
      </c>
      <c r="U443" s="5" t="n">
        <v>177</v>
      </c>
      <c r="V443" s="5" t="n">
        <v>124</v>
      </c>
      <c r="W443" s="5" t="n">
        <v>194</v>
      </c>
      <c r="X443" s="5" t="n">
        <v>176</v>
      </c>
      <c r="Y443" s="14">
        <f>IF(AND(ISNUMBER(C443),C443&gt;0,ISNUMBER(X443)),X443/C443-1,"")</f>
        <v/>
      </c>
    </row>
    <row r="444">
      <c r="A444" s="12" t="inlineStr">
        <is>
          <t>340</t>
        </is>
      </c>
      <c r="B444" s="13" t="inlineStr">
        <is>
          <t>General</t>
        </is>
      </c>
      <c r="C444" s="5" t="n">
        <v>204</v>
      </c>
      <c r="D444" s="5" t="n">
        <v>358</v>
      </c>
      <c r="E444" s="5" t="n">
        <v>286</v>
      </c>
      <c r="F444" s="5" t="n">
        <v>252</v>
      </c>
      <c r="G444" s="5" t="n">
        <v>306</v>
      </c>
      <c r="H444" s="5" t="n">
        <v>296</v>
      </c>
      <c r="I444" s="5" t="n">
        <v>309</v>
      </c>
      <c r="J444" s="5" t="n">
        <v>311</v>
      </c>
      <c r="K444" s="5" t="n">
        <v>304</v>
      </c>
      <c r="L444" s="5" t="n">
        <v>341</v>
      </c>
      <c r="M444" s="5" t="n">
        <v>518</v>
      </c>
      <c r="N444" s="5" t="n">
        <v>607</v>
      </c>
      <c r="O444" s="5" t="n">
        <v>392</v>
      </c>
      <c r="P444" s="5" t="n">
        <v>414</v>
      </c>
      <c r="Q444" s="5" t="n">
        <v>344</v>
      </c>
      <c r="R444" s="5" t="n">
        <v>342</v>
      </c>
      <c r="S444" s="5" t="n">
        <v>380</v>
      </c>
      <c r="T444" s="5" t="n">
        <v>319</v>
      </c>
      <c r="U444" s="5" t="n">
        <v>327</v>
      </c>
      <c r="V444" s="5" t="n">
        <v>310</v>
      </c>
      <c r="W444" s="5" t="n">
        <v>387</v>
      </c>
      <c r="X444" s="5" t="n">
        <v>397</v>
      </c>
      <c r="Y444" s="14">
        <f>IF(AND(ISNUMBER(C444),C444&gt;0,ISNUMBER(X444)),X444/C444-1,"")</f>
        <v/>
      </c>
    </row>
    <row r="445">
      <c r="A445" s="12" t="inlineStr">
        <is>
          <t>341</t>
        </is>
      </c>
      <c r="B445" s="4" t="inlineStr"/>
      <c r="C445" s="5" t="n">
        <v>75</v>
      </c>
      <c r="D445" s="5" t="n">
        <v>223</v>
      </c>
      <c r="E445" s="5" t="n">
        <v>115</v>
      </c>
      <c r="F445" s="5" t="n">
        <v>89</v>
      </c>
      <c r="G445" s="5" t="n">
        <v>46</v>
      </c>
      <c r="H445" s="5" t="n">
        <v>56</v>
      </c>
      <c r="I445" s="5" t="n">
        <v>74</v>
      </c>
      <c r="J445" s="5" t="n">
        <v>39</v>
      </c>
      <c r="K445" s="5" t="n">
        <v>53</v>
      </c>
      <c r="L445" s="5" t="n">
        <v>73</v>
      </c>
      <c r="M445" s="5" t="n">
        <v>102</v>
      </c>
      <c r="N445" s="5" t="n">
        <v>181</v>
      </c>
      <c r="O445" s="5" t="n">
        <v>67</v>
      </c>
      <c r="P445" s="5" t="n">
        <v>145</v>
      </c>
      <c r="Q445" s="5" t="n">
        <v>93</v>
      </c>
      <c r="R445" s="5" t="n">
        <v>112</v>
      </c>
      <c r="S445" s="5" t="n">
        <v>120</v>
      </c>
      <c r="T445" s="5" t="n">
        <v>88</v>
      </c>
      <c r="U445" s="5" t="n"/>
      <c r="V445" s="5" t="n"/>
      <c r="W445" s="5" t="n"/>
      <c r="X445" s="5" t="n"/>
      <c r="Y445" s="14">
        <f>IF(AND(ISNUMBER(C445),C445&gt;0,ISNUMBER(X445)),X445/C445-1,"")</f>
        <v/>
      </c>
    </row>
    <row r="446">
      <c r="A446" s="12" t="inlineStr">
        <is>
          <t>343</t>
        </is>
      </c>
      <c r="B446" s="13" t="inlineStr">
        <is>
          <t>General</t>
        </is>
      </c>
      <c r="C446" s="5" t="n">
        <v>105</v>
      </c>
      <c r="D446" s="5" t="n">
        <v>159</v>
      </c>
      <c r="E446" s="5" t="n">
        <v>146</v>
      </c>
      <c r="F446" s="5" t="n">
        <v>131</v>
      </c>
      <c r="G446" s="5" t="n">
        <v>117</v>
      </c>
      <c r="H446" s="5" t="n">
        <v>219</v>
      </c>
      <c r="I446" s="5" t="n">
        <v>313</v>
      </c>
      <c r="J446" s="5" t="n">
        <v>183</v>
      </c>
      <c r="K446" s="5" t="n">
        <v>146</v>
      </c>
      <c r="L446" s="5" t="n">
        <v>84</v>
      </c>
      <c r="M446" s="5" t="n">
        <v>155</v>
      </c>
      <c r="N446" s="5" t="n">
        <v>168</v>
      </c>
      <c r="O446" s="5" t="n">
        <v>155</v>
      </c>
      <c r="P446" s="5" t="n">
        <v>172</v>
      </c>
      <c r="Q446" s="5" t="n">
        <v>127</v>
      </c>
      <c r="R446" s="5" t="n">
        <v>150</v>
      </c>
      <c r="S446" s="5" t="n">
        <v>151</v>
      </c>
      <c r="T446" s="5" t="n">
        <v>63</v>
      </c>
      <c r="U446" s="5" t="n">
        <v>168</v>
      </c>
      <c r="V446" s="5" t="n">
        <v>111</v>
      </c>
      <c r="W446" s="5" t="n">
        <v>153</v>
      </c>
      <c r="X446" s="5" t="n">
        <v>165</v>
      </c>
      <c r="Y446" s="14">
        <f>IF(AND(ISNUMBER(C446),C446&gt;0,ISNUMBER(X446)),X446/C446-1,"")</f>
        <v/>
      </c>
    </row>
    <row r="447">
      <c r="A447" s="12" t="inlineStr">
        <is>
          <t>350</t>
        </is>
      </c>
      <c r="B447" s="13" t="inlineStr">
        <is>
          <t>General</t>
        </is>
      </c>
      <c r="C447" s="5" t="n">
        <v>74</v>
      </c>
      <c r="D447" s="5" t="n">
        <v>125</v>
      </c>
      <c r="E447" s="5" t="n">
        <v>109</v>
      </c>
      <c r="F447" s="5" t="n">
        <v>67</v>
      </c>
      <c r="G447" s="5" t="n">
        <v>108</v>
      </c>
      <c r="H447" s="5" t="n">
        <v>114</v>
      </c>
      <c r="I447" s="5" t="n">
        <v>164</v>
      </c>
      <c r="J447" s="5" t="n">
        <v>120</v>
      </c>
      <c r="K447" s="5" t="n">
        <v>218</v>
      </c>
      <c r="L447" s="5" t="n">
        <v>118</v>
      </c>
      <c r="M447" s="5" t="n">
        <v>164</v>
      </c>
      <c r="N447" s="5" t="n">
        <v>205</v>
      </c>
      <c r="O447" s="5" t="n">
        <v>150</v>
      </c>
      <c r="P447" s="5" t="n">
        <v>289</v>
      </c>
      <c r="Q447" s="5" t="n">
        <v>138</v>
      </c>
      <c r="R447" s="5" t="n">
        <v>115</v>
      </c>
      <c r="S447" s="5" t="n">
        <v>68</v>
      </c>
      <c r="T447" s="5" t="n">
        <v>82</v>
      </c>
      <c r="U447" s="5" t="n">
        <v>64</v>
      </c>
      <c r="V447" s="5" t="n">
        <v>85</v>
      </c>
      <c r="W447" s="5" t="n">
        <v>99</v>
      </c>
      <c r="X447" s="5" t="n">
        <v>93</v>
      </c>
      <c r="Y447" s="14">
        <f>IF(AND(ISNUMBER(C447),C447&gt;0,ISNUMBER(X447)),X447/C447-1,"")</f>
        <v/>
      </c>
    </row>
    <row r="448">
      <c r="A448" s="12" t="inlineStr">
        <is>
          <t>360</t>
        </is>
      </c>
      <c r="B448" s="13" t="inlineStr">
        <is>
          <t>General</t>
        </is>
      </c>
      <c r="C448" s="5" t="n">
        <v>498</v>
      </c>
      <c r="D448" s="5" t="n">
        <v>510</v>
      </c>
      <c r="E448" s="5" t="n">
        <v>602</v>
      </c>
      <c r="F448" s="5" t="n">
        <v>566</v>
      </c>
      <c r="G448" s="5" t="n">
        <v>652</v>
      </c>
      <c r="H448" s="5" t="n">
        <v>505</v>
      </c>
      <c r="I448" s="5" t="n">
        <v>639</v>
      </c>
      <c r="J448" s="5" t="n">
        <v>286</v>
      </c>
      <c r="K448" s="5" t="n">
        <v>186</v>
      </c>
      <c r="L448" s="5" t="n">
        <v>220</v>
      </c>
      <c r="M448" s="5" t="n">
        <v>401</v>
      </c>
      <c r="N448" s="5" t="n">
        <v>721</v>
      </c>
      <c r="O448" s="5" t="n">
        <v>462</v>
      </c>
      <c r="P448" s="5" t="n">
        <v>545</v>
      </c>
      <c r="Q448" s="5" t="n">
        <v>633</v>
      </c>
      <c r="R448" s="5" t="n">
        <v>528</v>
      </c>
      <c r="S448" s="5" t="n">
        <v>533</v>
      </c>
      <c r="T448" s="5" t="n">
        <v>794</v>
      </c>
      <c r="U448" s="5" t="n">
        <v>1697</v>
      </c>
      <c r="V448" s="5" t="n">
        <v>714</v>
      </c>
      <c r="W448" s="5" t="n">
        <v>1099</v>
      </c>
      <c r="X448" s="5" t="n">
        <v>629</v>
      </c>
      <c r="Y448" s="14">
        <f>IF(AND(ISNUMBER(C448),C448&gt;0,ISNUMBER(X448)),X448/C448-1,"")</f>
        <v/>
      </c>
    </row>
    <row r="449">
      <c r="A449" s="12" t="inlineStr">
        <is>
          <t>361</t>
        </is>
      </c>
      <c r="B449" s="13" t="inlineStr">
        <is>
          <t>General</t>
        </is>
      </c>
      <c r="C449" s="5" t="n">
        <v>74</v>
      </c>
      <c r="D449" s="5" t="n">
        <v>78</v>
      </c>
      <c r="E449" s="5" t="n">
        <v>93</v>
      </c>
      <c r="F449" s="5" t="n">
        <v>65</v>
      </c>
      <c r="G449" s="5" t="n">
        <v>83</v>
      </c>
      <c r="H449" s="5" t="n">
        <v>57</v>
      </c>
      <c r="I449" s="5" t="n">
        <v>95</v>
      </c>
      <c r="J449" s="5" t="n">
        <v>91</v>
      </c>
      <c r="K449" s="5" t="n">
        <v>40</v>
      </c>
      <c r="L449" s="5" t="n">
        <v>35</v>
      </c>
      <c r="M449" s="5" t="n">
        <v>54</v>
      </c>
      <c r="N449" s="5" t="n">
        <v>60</v>
      </c>
      <c r="O449" s="5" t="n">
        <v>83</v>
      </c>
      <c r="P449" s="5" t="n">
        <v>69</v>
      </c>
      <c r="Q449" s="5" t="n">
        <v>47</v>
      </c>
      <c r="R449" s="5" t="n">
        <v>46</v>
      </c>
      <c r="S449" s="5" t="n">
        <v>48</v>
      </c>
      <c r="T449" s="5" t="n">
        <v>74</v>
      </c>
      <c r="U449" s="5" t="n">
        <v>106</v>
      </c>
      <c r="V449" s="5" t="n">
        <v>87</v>
      </c>
      <c r="W449" s="5" t="n">
        <v>87</v>
      </c>
      <c r="X449" s="5" t="n">
        <v>79</v>
      </c>
      <c r="Y449" s="14">
        <f>IF(AND(ISNUMBER(C449),C449&gt;0,ISNUMBER(X449)),X449/C449-1,"")</f>
        <v/>
      </c>
    </row>
    <row r="450">
      <c r="A450" s="12" t="inlineStr">
        <is>
          <t>362</t>
        </is>
      </c>
      <c r="B450" s="4" t="inlineStr"/>
      <c r="C450" s="5" t="n">
        <v>368</v>
      </c>
      <c r="D450" s="5" t="n">
        <v>353</v>
      </c>
      <c r="E450" s="5" t="n">
        <v>151</v>
      </c>
      <c r="F450" s="5" t="n">
        <v>187</v>
      </c>
      <c r="G450" s="5" t="n">
        <v>316</v>
      </c>
      <c r="H450" s="5" t="n">
        <v>203</v>
      </c>
      <c r="I450" s="5" t="n">
        <v>255</v>
      </c>
      <c r="J450" s="5" t="n">
        <v>166</v>
      </c>
      <c r="K450" s="5" t="n">
        <v>88</v>
      </c>
      <c r="L450" s="5" t="n">
        <v>102</v>
      </c>
      <c r="M450" s="5" t="n">
        <v>218</v>
      </c>
      <c r="N450" s="5" t="n">
        <v>339</v>
      </c>
      <c r="O450" s="5" t="n">
        <v>198</v>
      </c>
      <c r="P450" s="5" t="n">
        <v>260</v>
      </c>
      <c r="Q450" s="5" t="n">
        <v>176</v>
      </c>
      <c r="R450" s="5" t="n">
        <v>171</v>
      </c>
      <c r="S450" s="5" t="n">
        <v>289</v>
      </c>
      <c r="T450" s="5" t="n">
        <v>183</v>
      </c>
      <c r="U450" s="5" t="n"/>
      <c r="V450" s="5" t="n"/>
      <c r="W450" s="5" t="n"/>
      <c r="X450" s="5" t="n"/>
      <c r="Y450" s="14">
        <f>IF(AND(ISNUMBER(C450),C450&gt;0,ISNUMBER(X450)),X450/C450-1,"")</f>
        <v/>
      </c>
    </row>
    <row r="451">
      <c r="A451" s="12" t="inlineStr">
        <is>
          <t>370</t>
        </is>
      </c>
      <c r="B451" s="13" t="inlineStr">
        <is>
          <t>General</t>
        </is>
      </c>
      <c r="C451" s="5" t="n">
        <v>69</v>
      </c>
      <c r="D451" s="5" t="n">
        <v>95</v>
      </c>
      <c r="E451" s="5" t="n">
        <v>123</v>
      </c>
      <c r="F451" s="5" t="n">
        <v>109</v>
      </c>
      <c r="G451" s="5" t="n">
        <v>92</v>
      </c>
      <c r="H451" s="5" t="n">
        <v>112</v>
      </c>
      <c r="I451" s="5" t="n">
        <v>101</v>
      </c>
      <c r="J451" s="5" t="n">
        <v>101</v>
      </c>
      <c r="K451" s="5" t="n">
        <v>123</v>
      </c>
      <c r="L451" s="5" t="n">
        <v>93</v>
      </c>
      <c r="M451" s="5" t="n">
        <v>158</v>
      </c>
      <c r="N451" s="5" t="n">
        <v>141</v>
      </c>
      <c r="O451" s="5" t="n">
        <v>96</v>
      </c>
      <c r="P451" s="5" t="n">
        <v>186</v>
      </c>
      <c r="Q451" s="5" t="n">
        <v>105</v>
      </c>
      <c r="R451" s="5" t="n">
        <v>108</v>
      </c>
      <c r="S451" s="5" t="n">
        <v>120</v>
      </c>
      <c r="T451" s="5" t="n">
        <v>60</v>
      </c>
      <c r="U451" s="5" t="n">
        <v>88</v>
      </c>
      <c r="V451" s="5" t="n">
        <v>86</v>
      </c>
      <c r="W451" s="5" t="n">
        <v>80</v>
      </c>
      <c r="X451" s="5" t="n">
        <v>103</v>
      </c>
      <c r="Y451" s="14">
        <f>IF(AND(ISNUMBER(C451),C451&gt;0,ISNUMBER(X451)),X451/C451-1,"")</f>
        <v/>
      </c>
    </row>
    <row r="452">
      <c r="A452" s="12" t="inlineStr">
        <is>
          <t>380</t>
        </is>
      </c>
      <c r="B452" s="13" t="inlineStr">
        <is>
          <t>General</t>
        </is>
      </c>
      <c r="C452" s="5" t="n">
        <v>405</v>
      </c>
      <c r="D452" s="5" t="n">
        <v>552</v>
      </c>
      <c r="E452" s="5" t="n">
        <v>737</v>
      </c>
      <c r="F452" s="5" t="n">
        <v>762</v>
      </c>
      <c r="G452" s="5" t="n">
        <v>502</v>
      </c>
      <c r="H452" s="5" t="n">
        <v>638</v>
      </c>
      <c r="I452" s="5" t="n">
        <v>738</v>
      </c>
      <c r="J452" s="5" t="n">
        <v>546</v>
      </c>
      <c r="K452" s="5" t="n">
        <v>489</v>
      </c>
      <c r="L452" s="5" t="n">
        <v>487</v>
      </c>
      <c r="M452" s="5" t="n">
        <v>711</v>
      </c>
      <c r="N452" s="5" t="n">
        <v>716</v>
      </c>
      <c r="O452" s="5" t="n">
        <v>452</v>
      </c>
      <c r="P452" s="5" t="n">
        <v>808</v>
      </c>
      <c r="Q452" s="5" t="n">
        <v>644</v>
      </c>
      <c r="R452" s="5" t="n">
        <v>725</v>
      </c>
      <c r="S452" s="5" t="n">
        <v>795</v>
      </c>
      <c r="T452" s="5" t="n">
        <v>583</v>
      </c>
      <c r="U452" s="5" t="n">
        <v>680</v>
      </c>
      <c r="V452" s="5" t="n">
        <v>484</v>
      </c>
      <c r="W452" s="5" t="n">
        <v>474</v>
      </c>
      <c r="X452" s="5" t="n">
        <v>419</v>
      </c>
      <c r="Y452" s="14">
        <f>IF(AND(ISNUMBER(C452),C452&gt;0,ISNUMBER(X452)),X452/C452-1,"")</f>
        <v/>
      </c>
    </row>
    <row r="453">
      <c r="A453" s="12" t="inlineStr">
        <is>
          <t>388</t>
        </is>
      </c>
      <c r="B453" s="13" t="inlineStr">
        <is>
          <t>General</t>
        </is>
      </c>
      <c r="C453" s="5" t="n"/>
      <c r="D453" s="5" t="n"/>
      <c r="E453" s="5" t="n">
        <v>11</v>
      </c>
      <c r="F453" s="5" t="n"/>
      <c r="G453" s="5" t="n">
        <v>6</v>
      </c>
      <c r="H453" s="5" t="n">
        <v>23</v>
      </c>
      <c r="I453" s="5" t="n">
        <v>11</v>
      </c>
      <c r="J453" s="5" t="n">
        <v>22</v>
      </c>
      <c r="K453" s="5" t="n">
        <v>6</v>
      </c>
      <c r="L453" s="5" t="n">
        <v>11</v>
      </c>
      <c r="M453" s="5" t="n">
        <v>20</v>
      </c>
      <c r="N453" s="5" t="n">
        <v>32</v>
      </c>
      <c r="O453" s="5" t="n">
        <v>12</v>
      </c>
      <c r="P453" s="5" t="n">
        <v>20</v>
      </c>
      <c r="Q453" s="5" t="n">
        <v>27</v>
      </c>
      <c r="R453" s="5" t="n">
        <v>6</v>
      </c>
      <c r="S453" s="5" t="n">
        <v>49</v>
      </c>
      <c r="T453" s="5" t="n">
        <v>4</v>
      </c>
      <c r="U453" s="5" t="n">
        <v>38</v>
      </c>
      <c r="V453" s="5" t="n">
        <v>28</v>
      </c>
      <c r="W453" s="5" t="n">
        <v>27</v>
      </c>
      <c r="X453" s="5" t="n">
        <v>31</v>
      </c>
      <c r="Y453" s="14">
        <f>IF(AND(ISNUMBER(C453),C453&gt;0,ISNUMBER(X453)),X453/C453-1,"")</f>
        <v/>
      </c>
    </row>
    <row r="454">
      <c r="A454" s="12" t="inlineStr">
        <is>
          <t>390</t>
        </is>
      </c>
      <c r="B454" s="13" t="inlineStr">
        <is>
          <t>General</t>
        </is>
      </c>
      <c r="C454" s="5" t="n">
        <v>196</v>
      </c>
      <c r="D454" s="5" t="n">
        <v>230</v>
      </c>
      <c r="E454" s="5" t="n">
        <v>291</v>
      </c>
      <c r="F454" s="5" t="n">
        <v>495</v>
      </c>
      <c r="G454" s="5" t="n">
        <v>285</v>
      </c>
      <c r="H454" s="5" t="n">
        <v>183</v>
      </c>
      <c r="I454" s="5" t="n">
        <v>239</v>
      </c>
      <c r="J454" s="5" t="n">
        <v>124</v>
      </c>
      <c r="K454" s="5" t="n">
        <v>215</v>
      </c>
      <c r="L454" s="5" t="n">
        <v>206</v>
      </c>
      <c r="M454" s="5" t="n">
        <v>272</v>
      </c>
      <c r="N454" s="5" t="n">
        <v>309</v>
      </c>
      <c r="O454" s="5" t="n">
        <v>273</v>
      </c>
      <c r="P454" s="5" t="n">
        <v>453</v>
      </c>
      <c r="Q454" s="5" t="n">
        <v>318</v>
      </c>
      <c r="R454" s="5" t="n">
        <v>194</v>
      </c>
      <c r="S454" s="5" t="n">
        <v>288</v>
      </c>
      <c r="T454" s="5" t="n">
        <v>143</v>
      </c>
      <c r="U454" s="5" t="n">
        <v>202</v>
      </c>
      <c r="V454" s="5" t="n">
        <v>163</v>
      </c>
      <c r="W454" s="5" t="n">
        <v>214</v>
      </c>
      <c r="X454" s="5" t="n">
        <v>162</v>
      </c>
      <c r="Y454" s="14">
        <f>IF(AND(ISNUMBER(C454),C454&gt;0,ISNUMBER(X454)),X454/C454-1,"")</f>
        <v/>
      </c>
    </row>
    <row r="455">
      <c r="A455" s="12" t="inlineStr">
        <is>
          <t>391</t>
        </is>
      </c>
      <c r="B455" s="13" t="inlineStr">
        <is>
          <t>General</t>
        </is>
      </c>
      <c r="C455" s="5" t="n">
        <v>272</v>
      </c>
      <c r="D455" s="5" t="n">
        <v>294</v>
      </c>
      <c r="E455" s="5" t="n">
        <v>347</v>
      </c>
      <c r="F455" s="5" t="n">
        <v>354</v>
      </c>
      <c r="G455" s="5" t="n">
        <v>259</v>
      </c>
      <c r="H455" s="5" t="n">
        <v>306</v>
      </c>
      <c r="I455" s="5" t="n">
        <v>377</v>
      </c>
      <c r="J455" s="5" t="n">
        <v>262</v>
      </c>
      <c r="K455" s="5" t="n">
        <v>307</v>
      </c>
      <c r="L455" s="5" t="n">
        <v>311</v>
      </c>
      <c r="M455" s="5" t="n">
        <v>406</v>
      </c>
      <c r="N455" s="5" t="n">
        <v>498</v>
      </c>
      <c r="O455" s="5" t="n">
        <v>613</v>
      </c>
      <c r="P455" s="5" t="n">
        <v>841</v>
      </c>
      <c r="Q455" s="5" t="n">
        <v>505</v>
      </c>
      <c r="R455" s="5" t="n">
        <v>375</v>
      </c>
      <c r="S455" s="5" t="n">
        <v>323</v>
      </c>
      <c r="T455" s="5" t="n">
        <v>405</v>
      </c>
      <c r="U455" s="5" t="n">
        <v>287</v>
      </c>
      <c r="V455" s="5" t="n">
        <v>261</v>
      </c>
      <c r="W455" s="5" t="n"/>
      <c r="X455" s="5" t="n">
        <v>313</v>
      </c>
      <c r="Y455" s="14">
        <f>IF(AND(ISNUMBER(C455),C455&gt;0,ISNUMBER(X455)),X455/C455-1,"")</f>
        <v/>
      </c>
    </row>
    <row r="456">
      <c r="A456" s="12" t="inlineStr">
        <is>
          <t>391N</t>
        </is>
      </c>
      <c r="B456" s="13" t="inlineStr">
        <is>
          <t>General</t>
        </is>
      </c>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v>182</v>
      </c>
      <c r="X456" s="5" t="n"/>
      <c r="Y456" s="14">
        <f>IF(AND(ISNUMBER(C456),C456&gt;0,ISNUMBER(X456)),X456/C456-1,"")</f>
        <v/>
      </c>
    </row>
    <row r="457">
      <c r="A457" s="12" t="inlineStr">
        <is>
          <t>391S</t>
        </is>
      </c>
      <c r="B457" s="13" t="inlineStr">
        <is>
          <t>General</t>
        </is>
      </c>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v>150</v>
      </c>
      <c r="X457" s="5" t="n"/>
      <c r="Y457" s="14">
        <f>IF(AND(ISNUMBER(C457),C457&gt;0,ISNUMBER(X457)),X457/C457-1,"")</f>
        <v/>
      </c>
    </row>
    <row r="458">
      <c r="A458" s="12" t="inlineStr">
        <is>
          <t>392</t>
        </is>
      </c>
      <c r="B458" s="13" t="inlineStr">
        <is>
          <t>General</t>
        </is>
      </c>
      <c r="C458" s="5" t="n">
        <v>307</v>
      </c>
      <c r="D458" s="5" t="n">
        <v>310</v>
      </c>
      <c r="E458" s="5" t="n">
        <v>353</v>
      </c>
      <c r="F458" s="5" t="n">
        <v>404</v>
      </c>
      <c r="G458" s="5" t="n">
        <v>251</v>
      </c>
      <c r="H458" s="5" t="n">
        <v>337</v>
      </c>
      <c r="I458" s="5" t="n">
        <v>488</v>
      </c>
      <c r="J458" s="5" t="n">
        <v>360</v>
      </c>
      <c r="K458" s="5" t="n">
        <v>240</v>
      </c>
      <c r="L458" s="5" t="n">
        <v>317</v>
      </c>
      <c r="M458" s="5" t="n">
        <v>350</v>
      </c>
      <c r="N458" s="5" t="n">
        <v>457</v>
      </c>
      <c r="O458" s="5" t="n">
        <v>131</v>
      </c>
      <c r="P458" s="5" t="n">
        <v>158</v>
      </c>
      <c r="Q458" s="5" t="n">
        <v>187</v>
      </c>
      <c r="R458" s="5" t="n">
        <v>113</v>
      </c>
      <c r="S458" s="5" t="n">
        <v>127</v>
      </c>
      <c r="T458" s="5" t="n">
        <v>125</v>
      </c>
      <c r="U458" s="5" t="n">
        <v>125</v>
      </c>
      <c r="V458" s="5" t="n">
        <v>112</v>
      </c>
      <c r="W458" s="5" t="n">
        <v>111</v>
      </c>
      <c r="X458" s="5" t="n">
        <v>94</v>
      </c>
      <c r="Y458" s="14">
        <f>IF(AND(ISNUMBER(C458),C458&gt;0,ISNUMBER(X458)),X458/C458-1,"")</f>
        <v/>
      </c>
    </row>
    <row r="459">
      <c r="A459" s="12" t="inlineStr">
        <is>
          <t>393</t>
        </is>
      </c>
      <c r="B459" s="13" t="inlineStr">
        <is>
          <t>General</t>
        </is>
      </c>
      <c r="C459" s="5" t="n">
        <v>403</v>
      </c>
      <c r="D459" s="5" t="n">
        <v>498</v>
      </c>
      <c r="E459" s="5" t="n">
        <v>447</v>
      </c>
      <c r="F459" s="5" t="n">
        <v>599</v>
      </c>
      <c r="G459" s="5" t="n">
        <v>806</v>
      </c>
      <c r="H459" s="5" t="n">
        <v>471</v>
      </c>
      <c r="I459" s="5" t="n">
        <v>507</v>
      </c>
      <c r="J459" s="5" t="n">
        <v>469</v>
      </c>
      <c r="K459" s="5" t="n">
        <v>591</v>
      </c>
      <c r="L459" s="5" t="n">
        <v>444</v>
      </c>
      <c r="M459" s="5" t="n">
        <v>745</v>
      </c>
      <c r="N459" s="5" t="n">
        <v>940</v>
      </c>
      <c r="O459" s="5" t="n">
        <v>510</v>
      </c>
      <c r="P459" s="5" t="n">
        <v>773</v>
      </c>
      <c r="Q459" s="5" t="n">
        <v>576</v>
      </c>
      <c r="R459" s="5" t="n">
        <v>528</v>
      </c>
      <c r="S459" s="5" t="n">
        <v>565</v>
      </c>
      <c r="T459" s="5" t="n">
        <v>486</v>
      </c>
      <c r="U459" s="5" t="n">
        <v>636</v>
      </c>
      <c r="V459" s="5" t="n">
        <v>542</v>
      </c>
      <c r="W459" s="5" t="n">
        <v>590</v>
      </c>
      <c r="X459" s="5" t="n">
        <v>507</v>
      </c>
      <c r="Y459" s="14">
        <f>IF(AND(ISNUMBER(C459),C459&gt;0,ISNUMBER(X459)),X459/C459-1,"")</f>
        <v/>
      </c>
    </row>
    <row r="460">
      <c r="A460" s="12" t="inlineStr">
        <is>
          <t>400</t>
        </is>
      </c>
      <c r="B460" s="13" t="inlineStr">
        <is>
          <t>General</t>
        </is>
      </c>
      <c r="C460" s="5" t="n">
        <v>4</v>
      </c>
      <c r="D460" s="5" t="n">
        <v>26</v>
      </c>
      <c r="E460" s="5" t="n">
        <v>29</v>
      </c>
      <c r="F460" s="5" t="n">
        <v>14</v>
      </c>
      <c r="G460" s="5" t="n">
        <v>3</v>
      </c>
      <c r="H460" s="5" t="n">
        <v>5</v>
      </c>
      <c r="I460" s="5" t="n">
        <v>16</v>
      </c>
      <c r="J460" s="5" t="n">
        <v>6</v>
      </c>
      <c r="K460" s="5" t="n">
        <v>11</v>
      </c>
      <c r="L460" s="5" t="n">
        <v>3</v>
      </c>
      <c r="M460" s="5" t="n">
        <v>6</v>
      </c>
      <c r="N460" s="5" t="n">
        <v>15</v>
      </c>
      <c r="O460" s="5" t="n">
        <v>6</v>
      </c>
      <c r="P460" s="5" t="n">
        <v>14</v>
      </c>
      <c r="Q460" s="5" t="n">
        <v>12</v>
      </c>
      <c r="R460" s="5" t="n">
        <v>23</v>
      </c>
      <c r="S460" s="5" t="n">
        <v>90</v>
      </c>
      <c r="T460" s="5" t="n">
        <v>16</v>
      </c>
      <c r="U460" s="5" t="n">
        <v>20</v>
      </c>
      <c r="V460" s="5" t="n">
        <v>33</v>
      </c>
      <c r="W460" s="5" t="n">
        <v>29</v>
      </c>
      <c r="X460" s="5" t="n">
        <v>27</v>
      </c>
      <c r="Y460" s="14">
        <f>IF(AND(ISNUMBER(C460),C460&gt;0,ISNUMBER(X460)),X460/C460-1,"")</f>
        <v/>
      </c>
    </row>
    <row r="461">
      <c r="A461" s="12" t="inlineStr">
        <is>
          <t>401</t>
        </is>
      </c>
      <c r="B461" s="13" t="inlineStr">
        <is>
          <t>General</t>
        </is>
      </c>
      <c r="C461" s="5" t="n">
        <v>46</v>
      </c>
      <c r="D461" s="5" t="n">
        <v>71</v>
      </c>
      <c r="E461" s="5" t="n">
        <v>51</v>
      </c>
      <c r="F461" s="5" t="n">
        <v>79</v>
      </c>
      <c r="G461" s="5" t="n">
        <v>56</v>
      </c>
      <c r="H461" s="5" t="n">
        <v>54</v>
      </c>
      <c r="I461" s="5" t="n">
        <v>64</v>
      </c>
      <c r="J461" s="5" t="n">
        <v>39</v>
      </c>
      <c r="K461" s="5" t="n">
        <v>50</v>
      </c>
      <c r="L461" s="5" t="n">
        <v>62</v>
      </c>
      <c r="M461" s="5" t="n">
        <v>121</v>
      </c>
      <c r="N461" s="5" t="n">
        <v>169</v>
      </c>
      <c r="O461" s="5" t="n">
        <v>146</v>
      </c>
      <c r="P461" s="5" t="n">
        <v>106</v>
      </c>
      <c r="Q461" s="5" t="n">
        <v>101</v>
      </c>
      <c r="R461" s="5" t="n">
        <v>59</v>
      </c>
      <c r="S461" s="5" t="n">
        <v>49</v>
      </c>
      <c r="T461" s="5" t="n">
        <v>42</v>
      </c>
      <c r="U461" s="5" t="n">
        <v>98</v>
      </c>
      <c r="V461" s="5" t="n">
        <v>104</v>
      </c>
      <c r="W461" s="5" t="n">
        <v>125</v>
      </c>
      <c r="X461" s="5" t="n">
        <v>106</v>
      </c>
      <c r="Y461" s="14">
        <f>IF(AND(ISNUMBER(C461),C461&gt;0,ISNUMBER(X461)),X461/C461-1,"")</f>
        <v/>
      </c>
    </row>
    <row r="462">
      <c r="A462" s="12" t="inlineStr">
        <is>
          <t>403</t>
        </is>
      </c>
      <c r="B462" s="13" t="inlineStr">
        <is>
          <t>General</t>
        </is>
      </c>
      <c r="C462" s="5" t="n">
        <v>0</v>
      </c>
      <c r="D462" s="5" t="n">
        <v>0</v>
      </c>
      <c r="E462" s="5" t="n">
        <v>4</v>
      </c>
      <c r="F462" s="5" t="n">
        <v>0</v>
      </c>
      <c r="G462" s="5" t="n"/>
      <c r="H462" s="5" t="n">
        <v>3</v>
      </c>
      <c r="I462" s="5" t="n">
        <v>0</v>
      </c>
      <c r="J462" s="5" t="n"/>
      <c r="K462" s="5" t="n">
        <v>3</v>
      </c>
      <c r="L462" s="5" t="n">
        <v>3</v>
      </c>
      <c r="M462" s="5" t="n">
        <v>0</v>
      </c>
      <c r="N462" s="5" t="n"/>
      <c r="O462" s="5" t="n">
        <v>0</v>
      </c>
      <c r="P462" s="5" t="n">
        <v>5</v>
      </c>
      <c r="Q462" s="5" t="n">
        <v>6</v>
      </c>
      <c r="R462" s="5" t="n">
        <v>9</v>
      </c>
      <c r="S462" s="5" t="n">
        <v>7</v>
      </c>
      <c r="T462" s="5" t="n">
        <v>3</v>
      </c>
      <c r="U462" s="5" t="n">
        <v>6</v>
      </c>
      <c r="V462" s="5" t="n">
        <v>3</v>
      </c>
      <c r="W462" s="5" t="n">
        <v>6</v>
      </c>
      <c r="X462" s="5" t="n">
        <v>10</v>
      </c>
      <c r="Y462" s="14">
        <f>IF(AND(ISNUMBER(C462),C462&gt;0,ISNUMBER(X462)),X462/C462-1,"")</f>
        <v/>
      </c>
    </row>
    <row r="463">
      <c r="A463" s="12" t="inlineStr">
        <is>
          <t>404</t>
        </is>
      </c>
      <c r="B463" s="13" t="inlineStr">
        <is>
          <t>General</t>
        </is>
      </c>
      <c r="C463" s="5" t="n">
        <v>7</v>
      </c>
      <c r="D463" s="5" t="n">
        <v>18</v>
      </c>
      <c r="E463" s="5" t="n">
        <v>35</v>
      </c>
      <c r="F463" s="5" t="n">
        <v>21</v>
      </c>
      <c r="G463" s="5" t="n">
        <v>17</v>
      </c>
      <c r="H463" s="5" t="n">
        <v>24</v>
      </c>
      <c r="I463" s="5" t="n">
        <v>14</v>
      </c>
      <c r="J463" s="5" t="n">
        <v>17</v>
      </c>
      <c r="K463" s="5" t="n">
        <v>13</v>
      </c>
      <c r="L463" s="5" t="n">
        <v>26</v>
      </c>
      <c r="M463" s="5" t="n">
        <v>25</v>
      </c>
      <c r="N463" s="5" t="n">
        <v>47</v>
      </c>
      <c r="O463" s="5" t="n">
        <v>3</v>
      </c>
      <c r="P463" s="5" t="n">
        <v>23</v>
      </c>
      <c r="Q463" s="5" t="n">
        <v>19</v>
      </c>
      <c r="R463" s="5" t="n">
        <v>15</v>
      </c>
      <c r="S463" s="5" t="n">
        <v>23</v>
      </c>
      <c r="T463" s="5" t="n">
        <v>12</v>
      </c>
      <c r="U463" s="5" t="n">
        <v>15</v>
      </c>
      <c r="V463" s="5" t="n">
        <v>15</v>
      </c>
      <c r="W463" s="5" t="n">
        <v>17</v>
      </c>
      <c r="X463" s="5" t="n">
        <v>3</v>
      </c>
      <c r="Y463" s="14">
        <f>IF(AND(ISNUMBER(C463),C463&gt;0,ISNUMBER(X463)),X463/C463-1,"")</f>
        <v/>
      </c>
    </row>
    <row r="464">
      <c r="A464" s="12" t="inlineStr">
        <is>
          <t>405</t>
        </is>
      </c>
      <c r="B464" s="13" t="inlineStr">
        <is>
          <t>General</t>
        </is>
      </c>
      <c r="C464" s="5" t="n">
        <v>3</v>
      </c>
      <c r="D464" s="5" t="n">
        <v>4</v>
      </c>
      <c r="E464" s="5" t="n">
        <v>4</v>
      </c>
      <c r="F464" s="5" t="n">
        <v>5</v>
      </c>
      <c r="G464" s="5" t="n">
        <v>6</v>
      </c>
      <c r="H464" s="5" t="n">
        <v>9</v>
      </c>
      <c r="I464" s="5" t="n">
        <v>3</v>
      </c>
      <c r="J464" s="5" t="n">
        <v>3</v>
      </c>
      <c r="K464" s="5" t="n"/>
      <c r="L464" s="5" t="n">
        <v>6</v>
      </c>
      <c r="M464" s="5" t="n">
        <v>3</v>
      </c>
      <c r="N464" s="5" t="n">
        <v>6</v>
      </c>
      <c r="O464" s="5" t="n">
        <v>6</v>
      </c>
      <c r="P464" s="5" t="n">
        <v>6</v>
      </c>
      <c r="Q464" s="5" t="n"/>
      <c r="R464" s="5" t="n">
        <v>3</v>
      </c>
      <c r="S464" s="5" t="n">
        <v>7</v>
      </c>
      <c r="T464" s="5" t="n">
        <v>8</v>
      </c>
      <c r="U464" s="5" t="n">
        <v>15</v>
      </c>
      <c r="V464" s="5" t="n">
        <v>11</v>
      </c>
      <c r="W464" s="5" t="n">
        <v>14</v>
      </c>
      <c r="X464" s="5" t="n">
        <v>18</v>
      </c>
      <c r="Y464" s="14">
        <f>IF(AND(ISNUMBER(C464),C464&gt;0,ISNUMBER(X464)),X464/C464-1,"")</f>
        <v/>
      </c>
    </row>
    <row r="465">
      <c r="A465" s="12" t="inlineStr">
        <is>
          <t>406</t>
        </is>
      </c>
      <c r="B465" s="13" t="inlineStr">
        <is>
          <t>General</t>
        </is>
      </c>
      <c r="C465" s="5" t="n">
        <v>3</v>
      </c>
      <c r="D465" s="5" t="n">
        <v>5</v>
      </c>
      <c r="E465" s="5" t="n">
        <v>9</v>
      </c>
      <c r="F465" s="5" t="n">
        <v>5</v>
      </c>
      <c r="G465" s="5" t="n"/>
      <c r="H465" s="5" t="n">
        <v>4</v>
      </c>
      <c r="I465" s="5" t="n">
        <v>3</v>
      </c>
      <c r="J465" s="5" t="n"/>
      <c r="K465" s="5" t="n">
        <v>3</v>
      </c>
      <c r="L465" s="5" t="n">
        <v>11</v>
      </c>
      <c r="M465" s="5" t="n">
        <v>3</v>
      </c>
      <c r="N465" s="5" t="n">
        <v>3</v>
      </c>
      <c r="O465" s="5" t="n">
        <v>9</v>
      </c>
      <c r="P465" s="5" t="n">
        <v>13</v>
      </c>
      <c r="Q465" s="5" t="n">
        <v>3</v>
      </c>
      <c r="R465" s="5" t="n">
        <v>12</v>
      </c>
      <c r="S465" s="5" t="n">
        <v>3</v>
      </c>
      <c r="T465" s="5" t="n">
        <v>3</v>
      </c>
      <c r="U465" s="5" t="n">
        <v>6</v>
      </c>
      <c r="V465" s="5" t="n">
        <v>6</v>
      </c>
      <c r="W465" s="5" t="n">
        <v>11</v>
      </c>
      <c r="X465" s="5" t="n">
        <v>7</v>
      </c>
      <c r="Y465" s="14">
        <f>IF(AND(ISNUMBER(C465),C465&gt;0,ISNUMBER(X465)),X465/C465-1,"")</f>
        <v/>
      </c>
    </row>
    <row r="466">
      <c r="A466" s="12" t="inlineStr">
        <is>
          <t>410</t>
        </is>
      </c>
      <c r="B466" s="15" t="inlineStr">
        <is>
          <t>Draw</t>
        </is>
      </c>
      <c r="C466" s="5" t="n">
        <v>893</v>
      </c>
      <c r="D466" s="5" t="n">
        <v>765</v>
      </c>
      <c r="E466" s="5" t="n">
        <v>759</v>
      </c>
      <c r="F466" s="5" t="n">
        <v>568</v>
      </c>
      <c r="G466" s="5" t="n">
        <v>287</v>
      </c>
      <c r="H466" s="5" t="n">
        <v>318</v>
      </c>
      <c r="I466" s="5" t="n">
        <v>390</v>
      </c>
      <c r="J466" s="5" t="n">
        <v>389</v>
      </c>
      <c r="K466" s="5" t="n">
        <v>412</v>
      </c>
      <c r="L466" s="5" t="n">
        <v>531</v>
      </c>
      <c r="M466" s="5" t="n">
        <v>398</v>
      </c>
      <c r="N466" s="5" t="n">
        <v>776</v>
      </c>
      <c r="O466" s="5" t="n">
        <v>695</v>
      </c>
      <c r="P466" s="5" t="n">
        <v>595</v>
      </c>
      <c r="Q466" s="5" t="n">
        <v>651</v>
      </c>
      <c r="R466" s="5" t="n">
        <v>649</v>
      </c>
      <c r="S466" s="5" t="n">
        <v>950</v>
      </c>
      <c r="T466" s="5" t="n">
        <v>723</v>
      </c>
      <c r="U466" s="5" t="n">
        <v>452</v>
      </c>
      <c r="V466" s="5" t="n">
        <v>333</v>
      </c>
      <c r="W466" s="5" t="n">
        <v>378</v>
      </c>
      <c r="X466" s="5" t="n">
        <v>452</v>
      </c>
      <c r="Y466" s="14">
        <f>IF(AND(ISNUMBER(C466),C466&gt;0,ISNUMBER(X466)),X466/C466-1,"")</f>
        <v/>
      </c>
    </row>
    <row r="467">
      <c r="A467" s="12" t="inlineStr">
        <is>
          <t>411</t>
        </is>
      </c>
      <c r="B467" s="13" t="inlineStr">
        <is>
          <t>General</t>
        </is>
      </c>
      <c r="C467" s="5" t="n">
        <v>179</v>
      </c>
      <c r="D467" s="5" t="n">
        <v>239</v>
      </c>
      <c r="E467" s="5" t="n">
        <v>207</v>
      </c>
      <c r="F467" s="5" t="n">
        <v>258</v>
      </c>
      <c r="G467" s="5" t="n">
        <v>228</v>
      </c>
      <c r="H467" s="5" t="n">
        <v>238</v>
      </c>
      <c r="I467" s="5" t="n">
        <v>339</v>
      </c>
      <c r="J467" s="5" t="n">
        <v>271</v>
      </c>
      <c r="K467" s="5" t="n">
        <v>354</v>
      </c>
      <c r="L467" s="5" t="n">
        <v>315</v>
      </c>
      <c r="M467" s="5" t="n">
        <v>296</v>
      </c>
      <c r="N467" s="5" t="n">
        <v>336</v>
      </c>
      <c r="O467" s="5" t="n">
        <v>497</v>
      </c>
      <c r="P467" s="5" t="n">
        <v>630</v>
      </c>
      <c r="Q467" s="5" t="n">
        <v>560</v>
      </c>
      <c r="R467" s="5" t="n">
        <v>615</v>
      </c>
      <c r="S467" s="5" t="n">
        <v>700</v>
      </c>
      <c r="T467" s="5" t="n"/>
      <c r="U467" s="5" t="n"/>
      <c r="V467" s="5" t="n"/>
      <c r="W467" s="5" t="n"/>
      <c r="X467" s="5" t="n"/>
      <c r="Y467" s="14">
        <f>IF(AND(ISNUMBER(C467),C467&gt;0,ISNUMBER(X467)),X467/C467-1,"")</f>
        <v/>
      </c>
    </row>
    <row r="468">
      <c r="A468" s="12" t="inlineStr">
        <is>
          <t>411E</t>
        </is>
      </c>
      <c r="B468" s="13" t="inlineStr">
        <is>
          <t>General</t>
        </is>
      </c>
      <c r="C468" s="5" t="n"/>
      <c r="D468" s="5" t="n"/>
      <c r="E468" s="5" t="n"/>
      <c r="F468" s="5" t="n"/>
      <c r="G468" s="5" t="n"/>
      <c r="H468" s="5" t="n"/>
      <c r="I468" s="5" t="n"/>
      <c r="J468" s="5" t="n"/>
      <c r="K468" s="5" t="n"/>
      <c r="L468" s="5" t="n"/>
      <c r="M468" s="5" t="n"/>
      <c r="N468" s="5" t="n"/>
      <c r="O468" s="5" t="n"/>
      <c r="P468" s="5" t="n"/>
      <c r="Q468" s="5" t="n"/>
      <c r="R468" s="5" t="n"/>
      <c r="S468" s="5" t="n"/>
      <c r="T468" s="5" t="n">
        <v>348</v>
      </c>
      <c r="U468" s="5" t="n">
        <v>402</v>
      </c>
      <c r="V468" s="5" t="n">
        <v>523</v>
      </c>
      <c r="W468" s="5" t="n">
        <v>534</v>
      </c>
      <c r="X468" s="5" t="n">
        <v>525</v>
      </c>
      <c r="Y468" s="14">
        <f>IF(AND(ISNUMBER(C468),C468&gt;0,ISNUMBER(X468)),X468/C468-1,"")</f>
        <v/>
      </c>
    </row>
    <row r="469">
      <c r="A469" s="12" t="inlineStr">
        <is>
          <t>411W</t>
        </is>
      </c>
      <c r="B469" s="13" t="inlineStr">
        <is>
          <t>General</t>
        </is>
      </c>
      <c r="C469" s="5" t="n"/>
      <c r="D469" s="5" t="n"/>
      <c r="E469" s="5" t="n"/>
      <c r="F469" s="5" t="n"/>
      <c r="G469" s="5" t="n"/>
      <c r="H469" s="5" t="n"/>
      <c r="I469" s="5" t="n"/>
      <c r="J469" s="5" t="n"/>
      <c r="K469" s="5" t="n"/>
      <c r="L469" s="5" t="n"/>
      <c r="M469" s="5" t="n"/>
      <c r="N469" s="5" t="n"/>
      <c r="O469" s="5" t="n"/>
      <c r="P469" s="5" t="n"/>
      <c r="Q469" s="5" t="n"/>
      <c r="R469" s="5" t="n"/>
      <c r="S469" s="5" t="n"/>
      <c r="T469" s="5" t="n">
        <v>152</v>
      </c>
      <c r="U469" s="5" t="n">
        <v>293</v>
      </c>
      <c r="V469" s="5" t="n">
        <v>323</v>
      </c>
      <c r="W469" s="5" t="n">
        <v>355</v>
      </c>
      <c r="X469" s="5" t="n">
        <v>320</v>
      </c>
      <c r="Y469" s="14">
        <f>IF(AND(ISNUMBER(C469),C469&gt;0,ISNUMBER(X469)),X469/C469-1,"")</f>
        <v/>
      </c>
    </row>
    <row r="470">
      <c r="A470" s="12" t="inlineStr">
        <is>
          <t>412</t>
        </is>
      </c>
      <c r="B470" s="13" t="inlineStr">
        <is>
          <t>General</t>
        </is>
      </c>
      <c r="C470" s="5" t="n">
        <v>84</v>
      </c>
      <c r="D470" s="5" t="n">
        <v>83</v>
      </c>
      <c r="E470" s="5" t="n">
        <v>71</v>
      </c>
      <c r="F470" s="5" t="n">
        <v>143</v>
      </c>
      <c r="G470" s="5" t="n">
        <v>90</v>
      </c>
      <c r="H470" s="5" t="n">
        <v>101</v>
      </c>
      <c r="I470" s="5" t="n">
        <v>139</v>
      </c>
      <c r="J470" s="5" t="n">
        <v>139</v>
      </c>
      <c r="K470" s="5" t="n">
        <v>110</v>
      </c>
      <c r="L470" s="5" t="n">
        <v>170</v>
      </c>
      <c r="M470" s="5" t="n">
        <v>227</v>
      </c>
      <c r="N470" s="5" t="n">
        <v>207</v>
      </c>
      <c r="O470" s="5" t="n">
        <v>179</v>
      </c>
      <c r="P470" s="5" t="n">
        <v>225</v>
      </c>
      <c r="Q470" s="5" t="n">
        <v>206</v>
      </c>
      <c r="R470" s="5" t="n">
        <v>208</v>
      </c>
      <c r="S470" s="5" t="n">
        <v>175</v>
      </c>
      <c r="T470" s="5" t="n">
        <v>160</v>
      </c>
      <c r="U470" s="5" t="n">
        <v>150</v>
      </c>
      <c r="V470" s="5" t="n">
        <v>179</v>
      </c>
      <c r="W470" s="5" t="n">
        <v>186</v>
      </c>
      <c r="X470" s="5" t="n">
        <v>253</v>
      </c>
      <c r="Y470" s="14">
        <f>IF(AND(ISNUMBER(C470),C470&gt;0,ISNUMBER(X470)),X470/C470-1,"")</f>
        <v/>
      </c>
    </row>
    <row r="471">
      <c r="A471" s="12" t="inlineStr">
        <is>
          <t>413</t>
        </is>
      </c>
      <c r="B471" s="13" t="inlineStr">
        <is>
          <t>General</t>
        </is>
      </c>
      <c r="C471" s="5" t="n">
        <v>110</v>
      </c>
      <c r="D471" s="5" t="n">
        <v>119</v>
      </c>
      <c r="E471" s="5" t="n">
        <v>97</v>
      </c>
      <c r="F471" s="5" t="n">
        <v>251</v>
      </c>
      <c r="G471" s="5" t="n">
        <v>162</v>
      </c>
      <c r="H471" s="5" t="n">
        <v>112</v>
      </c>
      <c r="I471" s="5" t="n">
        <v>175</v>
      </c>
      <c r="J471" s="5" t="n">
        <v>123</v>
      </c>
      <c r="K471" s="5" t="n">
        <v>140</v>
      </c>
      <c r="L471" s="5" t="n">
        <v>132</v>
      </c>
      <c r="M471" s="5" t="n">
        <v>170</v>
      </c>
      <c r="N471" s="5" t="n">
        <v>172</v>
      </c>
      <c r="O471" s="5" t="n">
        <v>138</v>
      </c>
      <c r="P471" s="5" t="n">
        <v>146</v>
      </c>
      <c r="Q471" s="5" t="n">
        <v>164</v>
      </c>
      <c r="R471" s="5" t="n">
        <v>132</v>
      </c>
      <c r="S471" s="5" t="n">
        <v>141</v>
      </c>
      <c r="T471" s="5" t="n">
        <v>238</v>
      </c>
      <c r="U471" s="5" t="n">
        <v>406</v>
      </c>
      <c r="V471" s="5" t="n">
        <v>348</v>
      </c>
      <c r="W471" s="5" t="n">
        <v>317</v>
      </c>
      <c r="X471" s="5" t="n">
        <v>374</v>
      </c>
      <c r="Y471" s="14">
        <f>IF(AND(ISNUMBER(C471),C471&gt;0,ISNUMBER(X471)),X471/C471-1,"")</f>
        <v/>
      </c>
    </row>
    <row r="472">
      <c r="A472" s="12" t="inlineStr">
        <is>
          <t>415</t>
        </is>
      </c>
      <c r="B472" s="13" t="inlineStr">
        <is>
          <t>General</t>
        </is>
      </c>
      <c r="C472" s="5" t="n">
        <v>16</v>
      </c>
      <c r="D472" s="5" t="n">
        <v>21</v>
      </c>
      <c r="E472" s="5" t="n">
        <v>37</v>
      </c>
      <c r="F472" s="5" t="n">
        <v>36</v>
      </c>
      <c r="G472" s="5" t="n">
        <v>8</v>
      </c>
      <c r="H472" s="5" t="n">
        <v>33</v>
      </c>
      <c r="I472" s="5" t="n">
        <v>25</v>
      </c>
      <c r="J472" s="5" t="n">
        <v>25</v>
      </c>
      <c r="K472" s="5" t="n">
        <v>16</v>
      </c>
      <c r="L472" s="5" t="n">
        <v>16</v>
      </c>
      <c r="M472" s="5" t="n">
        <v>23</v>
      </c>
      <c r="N472" s="5" t="n">
        <v>29</v>
      </c>
      <c r="O472" s="5" t="n">
        <v>22</v>
      </c>
      <c r="P472" s="5" t="n">
        <v>34</v>
      </c>
      <c r="Q472" s="5" t="n">
        <v>25</v>
      </c>
      <c r="R472" s="5" t="n">
        <v>32</v>
      </c>
      <c r="S472" s="5" t="n">
        <v>11</v>
      </c>
      <c r="T472" s="5" t="n">
        <v>11</v>
      </c>
      <c r="U472" s="5" t="n">
        <v>16</v>
      </c>
      <c r="V472" s="5" t="n">
        <v>12</v>
      </c>
      <c r="W472" s="5" t="n">
        <v>12</v>
      </c>
      <c r="X472" s="5" t="n">
        <v>18</v>
      </c>
      <c r="Y472" s="14">
        <f>IF(AND(ISNUMBER(C472),C472&gt;0,ISNUMBER(X472)),X472/C472-1,"")</f>
        <v/>
      </c>
    </row>
    <row r="473">
      <c r="A473" s="12" t="inlineStr">
        <is>
          <t>416</t>
        </is>
      </c>
      <c r="B473" s="13" t="inlineStr">
        <is>
          <t>General</t>
        </is>
      </c>
      <c r="C473" s="5" t="n">
        <v>189</v>
      </c>
      <c r="D473" s="5" t="n">
        <v>240</v>
      </c>
      <c r="E473" s="5" t="n">
        <v>409</v>
      </c>
      <c r="F473" s="5" t="n">
        <v>408</v>
      </c>
      <c r="G473" s="5" t="n">
        <v>309</v>
      </c>
      <c r="H473" s="5" t="n">
        <v>304</v>
      </c>
      <c r="I473" s="5" t="n">
        <v>315</v>
      </c>
      <c r="J473" s="5" t="n">
        <v>280</v>
      </c>
      <c r="K473" s="5" t="n">
        <v>410</v>
      </c>
      <c r="L473" s="5" t="n">
        <v>402</v>
      </c>
      <c r="M473" s="5" t="n">
        <v>355</v>
      </c>
      <c r="N473" s="5" t="n">
        <v>293</v>
      </c>
      <c r="O473" s="5" t="n">
        <v>334</v>
      </c>
      <c r="P473" s="5" t="n">
        <v>406</v>
      </c>
      <c r="Q473" s="5" t="n">
        <v>357</v>
      </c>
      <c r="R473" s="5" t="n">
        <v>322</v>
      </c>
      <c r="S473" s="5" t="n">
        <v>365</v>
      </c>
      <c r="T473" s="5" t="n">
        <v>480</v>
      </c>
      <c r="U473" s="5" t="n">
        <v>695</v>
      </c>
      <c r="V473" s="5" t="n">
        <v>589</v>
      </c>
      <c r="W473" s="5" t="n">
        <v>620</v>
      </c>
      <c r="X473" s="5" t="n">
        <v>563</v>
      </c>
      <c r="Y473" s="14">
        <f>IF(AND(ISNUMBER(C473),C473&gt;0,ISNUMBER(X473)),X473/C473-1,"")</f>
        <v/>
      </c>
    </row>
    <row r="474">
      <c r="A474" s="12" t="inlineStr">
        <is>
          <t>417</t>
        </is>
      </c>
      <c r="B474" s="15" t="inlineStr">
        <is>
          <t>Draw</t>
        </is>
      </c>
      <c r="C474" s="5" t="n">
        <v>225</v>
      </c>
      <c r="D474" s="5" t="n">
        <v>221</v>
      </c>
      <c r="E474" s="5" t="n">
        <v>154</v>
      </c>
      <c r="F474" s="5" t="n">
        <v>168</v>
      </c>
      <c r="G474" s="5" t="n">
        <v>190</v>
      </c>
      <c r="H474" s="5" t="n">
        <v>155</v>
      </c>
      <c r="I474" s="5" t="n">
        <v>102</v>
      </c>
      <c r="J474" s="5" t="n">
        <v>197</v>
      </c>
      <c r="K474" s="5" t="n">
        <v>105</v>
      </c>
      <c r="L474" s="5" t="n">
        <v>123</v>
      </c>
      <c r="M474" s="5" t="n">
        <v>138</v>
      </c>
      <c r="N474" s="5" t="n">
        <v>155</v>
      </c>
      <c r="O474" s="5" t="n">
        <v>178</v>
      </c>
      <c r="P474" s="5" t="n">
        <v>160</v>
      </c>
      <c r="Q474" s="5" t="n">
        <v>206</v>
      </c>
      <c r="R474" s="5" t="n">
        <v>231</v>
      </c>
      <c r="S474" s="5" t="n">
        <v>334</v>
      </c>
      <c r="T474" s="5" t="n">
        <v>208</v>
      </c>
      <c r="U474" s="5" t="n">
        <v>278</v>
      </c>
      <c r="V474" s="5" t="n">
        <v>245</v>
      </c>
      <c r="W474" s="5" t="n">
        <v>292</v>
      </c>
      <c r="X474" s="5" t="n">
        <v>302</v>
      </c>
      <c r="Y474" s="14">
        <f>IF(AND(ISNUMBER(C474),C474&gt;0,ISNUMBER(X474)),X474/C474-1,"")</f>
        <v/>
      </c>
    </row>
    <row r="475">
      <c r="A475" s="12" t="inlineStr">
        <is>
          <t>418</t>
        </is>
      </c>
      <c r="B475" s="13" t="inlineStr">
        <is>
          <t>General</t>
        </is>
      </c>
      <c r="C475" s="5" t="n">
        <v>53</v>
      </c>
      <c r="D475" s="5" t="n">
        <v>95</v>
      </c>
      <c r="E475" s="5" t="n">
        <v>68</v>
      </c>
      <c r="F475" s="5" t="n">
        <v>81</v>
      </c>
      <c r="G475" s="5" t="n">
        <v>53</v>
      </c>
      <c r="H475" s="5" t="n">
        <v>48</v>
      </c>
      <c r="I475" s="5" t="n">
        <v>147</v>
      </c>
      <c r="J475" s="5" t="n">
        <v>46</v>
      </c>
      <c r="K475" s="5" t="n">
        <v>57</v>
      </c>
      <c r="L475" s="5" t="n">
        <v>50</v>
      </c>
      <c r="M475" s="5" t="n">
        <v>76</v>
      </c>
      <c r="N475" s="5" t="n">
        <v>75</v>
      </c>
      <c r="O475" s="5" t="n">
        <v>53</v>
      </c>
      <c r="P475" s="5" t="n">
        <v>82</v>
      </c>
      <c r="Q475" s="5" t="n">
        <v>69</v>
      </c>
      <c r="R475" s="5" t="n">
        <v>74</v>
      </c>
      <c r="S475" s="5" t="n">
        <v>100</v>
      </c>
      <c r="T475" s="5" t="n">
        <v>76</v>
      </c>
      <c r="U475" s="5" t="n">
        <v>103</v>
      </c>
      <c r="V475" s="5" t="n">
        <v>108</v>
      </c>
      <c r="W475" s="5" t="n">
        <v>114</v>
      </c>
      <c r="X475" s="5" t="n">
        <v>186</v>
      </c>
      <c r="Y475" s="14">
        <f>IF(AND(ISNUMBER(C475),C475&gt;0,ISNUMBER(X475)),X475/C475-1,"")</f>
        <v/>
      </c>
    </row>
    <row r="476">
      <c r="A476" s="12" t="inlineStr">
        <is>
          <t>419</t>
        </is>
      </c>
      <c r="B476" s="13" t="inlineStr">
        <is>
          <t>General</t>
        </is>
      </c>
      <c r="C476" s="5" t="n">
        <v>2</v>
      </c>
      <c r="D476" s="5" t="n">
        <v>11</v>
      </c>
      <c r="E476" s="5" t="n">
        <v>22</v>
      </c>
      <c r="F476" s="5" t="n">
        <v>5</v>
      </c>
      <c r="G476" s="5" t="n">
        <v>12</v>
      </c>
      <c r="H476" s="5" t="n">
        <v>8</v>
      </c>
      <c r="I476" s="5" t="n">
        <v>19</v>
      </c>
      <c r="J476" s="5" t="n">
        <v>5</v>
      </c>
      <c r="K476" s="5" t="n">
        <v>14</v>
      </c>
      <c r="L476" s="5" t="n">
        <v>43</v>
      </c>
      <c r="M476" s="5" t="n">
        <v>23</v>
      </c>
      <c r="N476" s="5" t="n">
        <v>29</v>
      </c>
      <c r="O476" s="5" t="n">
        <v>22</v>
      </c>
      <c r="P476" s="5" t="n">
        <v>40</v>
      </c>
      <c r="Q476" s="5" t="n">
        <v>31</v>
      </c>
      <c r="R476" s="5" t="n">
        <v>21</v>
      </c>
      <c r="S476" s="5" t="n">
        <v>29</v>
      </c>
      <c r="T476" s="5" t="n">
        <v>22</v>
      </c>
      <c r="U476" s="5" t="n">
        <v>61</v>
      </c>
      <c r="V476" s="5" t="n">
        <v>59</v>
      </c>
      <c r="W476" s="5" t="n">
        <v>42</v>
      </c>
      <c r="X476" s="5" t="n">
        <v>58</v>
      </c>
      <c r="Y476" s="14">
        <f>IF(AND(ISNUMBER(C476),C476&gt;0,ISNUMBER(X476)),X476/C476-1,"")</f>
        <v/>
      </c>
    </row>
    <row r="477">
      <c r="A477" s="12" t="inlineStr">
        <is>
          <t>420</t>
        </is>
      </c>
      <c r="B477" s="13" t="inlineStr">
        <is>
          <t>General</t>
        </is>
      </c>
      <c r="C477" s="5" t="n">
        <v>16</v>
      </c>
      <c r="D477" s="5" t="n">
        <v>48</v>
      </c>
      <c r="E477" s="5" t="n">
        <v>80</v>
      </c>
      <c r="F477" s="5" t="n">
        <v>81</v>
      </c>
      <c r="G477" s="5" t="n">
        <v>68</v>
      </c>
      <c r="H477" s="5" t="n">
        <v>99</v>
      </c>
      <c r="I477" s="5" t="n">
        <v>127</v>
      </c>
      <c r="J477" s="5" t="n">
        <v>108</v>
      </c>
      <c r="K477" s="5" t="n">
        <v>88</v>
      </c>
      <c r="L477" s="5" t="n">
        <v>50</v>
      </c>
      <c r="M477" s="5" t="n">
        <v>67</v>
      </c>
      <c r="N477" s="5" t="n">
        <v>87</v>
      </c>
      <c r="O477" s="5" t="n">
        <v>79</v>
      </c>
      <c r="P477" s="5" t="n">
        <v>79</v>
      </c>
      <c r="Q477" s="5" t="n">
        <v>73</v>
      </c>
      <c r="R477" s="5" t="n">
        <v>59</v>
      </c>
      <c r="S477" s="5" t="n">
        <v>39</v>
      </c>
      <c r="T477" s="5" t="n">
        <v>83</v>
      </c>
      <c r="U477" s="5" t="n">
        <v>58</v>
      </c>
      <c r="V477" s="5" t="n">
        <v>37</v>
      </c>
      <c r="W477" s="5" t="n">
        <v>80</v>
      </c>
      <c r="X477" s="5" t="n">
        <v>80</v>
      </c>
      <c r="Y477" s="14">
        <f>IF(AND(ISNUMBER(C477),C477&gt;0,ISNUMBER(X477)),X477/C477-1,"")</f>
        <v/>
      </c>
    </row>
    <row r="478">
      <c r="A478" s="12" t="inlineStr">
        <is>
          <t>421</t>
        </is>
      </c>
      <c r="B478" s="13" t="inlineStr">
        <is>
          <t>General</t>
        </is>
      </c>
      <c r="C478" s="5" t="n">
        <v>124</v>
      </c>
      <c r="D478" s="5" t="n">
        <v>163</v>
      </c>
      <c r="E478" s="5" t="n">
        <v>125</v>
      </c>
      <c r="F478" s="5" t="n">
        <v>171</v>
      </c>
      <c r="G478" s="5" t="n">
        <v>106</v>
      </c>
      <c r="H478" s="5" t="n">
        <v>104</v>
      </c>
      <c r="I478" s="5" t="n">
        <v>140</v>
      </c>
      <c r="J478" s="5" t="n">
        <v>112</v>
      </c>
      <c r="K478" s="5" t="n">
        <v>92</v>
      </c>
      <c r="L478" s="5" t="n">
        <v>169</v>
      </c>
      <c r="M478" s="5" t="n">
        <v>177</v>
      </c>
      <c r="N478" s="5" t="n">
        <v>175</v>
      </c>
      <c r="O478" s="5" t="n">
        <v>106</v>
      </c>
      <c r="P478" s="5" t="n">
        <v>87</v>
      </c>
      <c r="Q478" s="5" t="n">
        <v>118</v>
      </c>
      <c r="R478" s="5" t="n">
        <v>90</v>
      </c>
      <c r="S478" s="5" t="n">
        <v>89</v>
      </c>
      <c r="T478" s="5" t="n">
        <v>136</v>
      </c>
      <c r="U478" s="5" t="n">
        <v>103</v>
      </c>
      <c r="V478" s="5" t="n">
        <v>154</v>
      </c>
      <c r="W478" s="5" t="n">
        <v>167</v>
      </c>
      <c r="X478" s="5" t="n">
        <v>184</v>
      </c>
      <c r="Y478" s="14">
        <f>IF(AND(ISNUMBER(C478),C478&gt;0,ISNUMBER(X478)),X478/C478-1,"")</f>
        <v/>
      </c>
    </row>
    <row r="479">
      <c r="A479" s="12" t="inlineStr">
        <is>
          <t>422</t>
        </is>
      </c>
      <c r="B479" s="13" t="inlineStr">
        <is>
          <t>General</t>
        </is>
      </c>
      <c r="C479" s="5" t="n">
        <v>88</v>
      </c>
      <c r="D479" s="5" t="n">
        <v>80</v>
      </c>
      <c r="E479" s="5" t="n">
        <v>121</v>
      </c>
      <c r="F479" s="5" t="n">
        <v>72</v>
      </c>
      <c r="G479" s="5" t="n">
        <v>78</v>
      </c>
      <c r="H479" s="5" t="n">
        <v>102</v>
      </c>
      <c r="I479" s="5" t="n">
        <v>74</v>
      </c>
      <c r="J479" s="5" t="n">
        <v>96</v>
      </c>
      <c r="K479" s="5" t="n">
        <v>120</v>
      </c>
      <c r="L479" s="5" t="n">
        <v>174</v>
      </c>
      <c r="M479" s="5" t="n">
        <v>183</v>
      </c>
      <c r="N479" s="5" t="n">
        <v>165</v>
      </c>
      <c r="O479" s="5" t="n">
        <v>203</v>
      </c>
      <c r="P479" s="5" t="n">
        <v>242</v>
      </c>
      <c r="Q479" s="5" t="n">
        <v>165</v>
      </c>
      <c r="R479" s="5" t="n">
        <v>132</v>
      </c>
      <c r="S479" s="5" t="n">
        <v>145</v>
      </c>
      <c r="T479" s="5" t="n">
        <v>140</v>
      </c>
      <c r="U479" s="5" t="n">
        <v>133</v>
      </c>
      <c r="V479" s="5" t="n">
        <v>109</v>
      </c>
      <c r="W479" s="5" t="n">
        <v>151</v>
      </c>
      <c r="X479" s="5" t="n">
        <v>136</v>
      </c>
      <c r="Y479" s="14">
        <f>IF(AND(ISNUMBER(C479),C479&gt;0,ISNUMBER(X479)),X479/C479-1,"")</f>
        <v/>
      </c>
    </row>
    <row r="480">
      <c r="A480" s="12" t="inlineStr">
        <is>
          <t>423</t>
        </is>
      </c>
      <c r="B480" s="4" t="inlineStr"/>
      <c r="C480" s="5" t="n">
        <v>52</v>
      </c>
      <c r="D480" s="5" t="n">
        <v>117</v>
      </c>
      <c r="E480" s="5" t="n">
        <v>122</v>
      </c>
      <c r="F480" s="5" t="n">
        <v>138</v>
      </c>
      <c r="G480" s="5" t="n">
        <v>118</v>
      </c>
      <c r="H480" s="5" t="n">
        <v>74</v>
      </c>
      <c r="I480" s="5" t="n">
        <v>77</v>
      </c>
      <c r="J480" s="5" t="n">
        <v>92</v>
      </c>
      <c r="K480" s="5" t="n">
        <v>77</v>
      </c>
      <c r="L480" s="5" t="n">
        <v>91</v>
      </c>
      <c r="M480" s="5" t="n">
        <v>133</v>
      </c>
      <c r="N480" s="5" t="n">
        <v>129</v>
      </c>
      <c r="O480" s="5" t="n">
        <v>94</v>
      </c>
      <c r="P480" s="5" t="n">
        <v>93</v>
      </c>
      <c r="Q480" s="5" t="n">
        <v>108</v>
      </c>
      <c r="R480" s="5" t="n">
        <v>61</v>
      </c>
      <c r="S480" s="5" t="n">
        <v>75</v>
      </c>
      <c r="T480" s="5" t="n">
        <v>53</v>
      </c>
      <c r="U480" s="5" t="n"/>
      <c r="V480" s="5" t="n"/>
      <c r="W480" s="5" t="n"/>
      <c r="X480" s="5" t="n"/>
      <c r="Y480" s="14">
        <f>IF(AND(ISNUMBER(C480),C480&gt;0,ISNUMBER(X480)),X480/C480-1,"")</f>
        <v/>
      </c>
    </row>
    <row r="481">
      <c r="A481" s="12" t="inlineStr">
        <is>
          <t>424</t>
        </is>
      </c>
      <c r="B481" s="13" t="inlineStr">
        <is>
          <t>General</t>
        </is>
      </c>
      <c r="C481" s="5" t="n">
        <v>40</v>
      </c>
      <c r="D481" s="5" t="n">
        <v>46</v>
      </c>
      <c r="E481" s="5" t="n">
        <v>72</v>
      </c>
      <c r="F481" s="5" t="n">
        <v>25</v>
      </c>
      <c r="G481" s="5" t="n">
        <v>30</v>
      </c>
      <c r="H481" s="5" t="n">
        <v>21</v>
      </c>
      <c r="I481" s="5" t="n">
        <v>37</v>
      </c>
      <c r="J481" s="5" t="n">
        <v>58</v>
      </c>
      <c r="K481" s="5" t="n">
        <v>26</v>
      </c>
      <c r="L481" s="5" t="n">
        <v>23</v>
      </c>
      <c r="M481" s="5" t="n">
        <v>28</v>
      </c>
      <c r="N481" s="5" t="n">
        <v>18</v>
      </c>
      <c r="O481" s="5" t="n">
        <v>19</v>
      </c>
      <c r="P481" s="5" t="n">
        <v>32</v>
      </c>
      <c r="Q481" s="5" t="n">
        <v>25</v>
      </c>
      <c r="R481" s="5" t="n">
        <v>41</v>
      </c>
      <c r="S481" s="5" t="n">
        <v>33</v>
      </c>
      <c r="T481" s="5" t="n">
        <v>14</v>
      </c>
      <c r="U481" s="5" t="n">
        <v>28</v>
      </c>
      <c r="V481" s="5" t="n">
        <v>11</v>
      </c>
      <c r="W481" s="5" t="n">
        <v>29</v>
      </c>
      <c r="X481" s="5" t="n">
        <v>4</v>
      </c>
      <c r="Y481" s="14">
        <f>IF(AND(ISNUMBER(C481),C481&gt;0,ISNUMBER(X481)),X481/C481-1,"")</f>
        <v/>
      </c>
    </row>
    <row r="482">
      <c r="A482" s="12" t="inlineStr">
        <is>
          <t>425</t>
        </is>
      </c>
      <c r="B482" s="13" t="inlineStr">
        <is>
          <t>General</t>
        </is>
      </c>
      <c r="C482" s="5" t="n">
        <v>80</v>
      </c>
      <c r="D482" s="5" t="n">
        <v>65</v>
      </c>
      <c r="E482" s="5" t="n">
        <v>101</v>
      </c>
      <c r="F482" s="5" t="n">
        <v>135</v>
      </c>
      <c r="G482" s="5" t="n">
        <v>44</v>
      </c>
      <c r="H482" s="5" t="n">
        <v>70</v>
      </c>
      <c r="I482" s="5" t="n">
        <v>52</v>
      </c>
      <c r="J482" s="5" t="n">
        <v>75</v>
      </c>
      <c r="K482" s="5" t="n">
        <v>173</v>
      </c>
      <c r="L482" s="5" t="n">
        <v>160</v>
      </c>
      <c r="M482" s="5" t="n">
        <v>108</v>
      </c>
      <c r="N482" s="5" t="n">
        <v>177</v>
      </c>
      <c r="O482" s="5" t="n">
        <v>32</v>
      </c>
      <c r="P482" s="5" t="n">
        <v>86</v>
      </c>
      <c r="Q482" s="5" t="n">
        <v>72</v>
      </c>
      <c r="R482" s="5" t="n">
        <v>75</v>
      </c>
      <c r="S482" s="5" t="n">
        <v>78</v>
      </c>
      <c r="T482" s="5" t="n">
        <v>43</v>
      </c>
      <c r="U482" s="5" t="n">
        <v>51</v>
      </c>
      <c r="V482" s="5" t="n">
        <v>66</v>
      </c>
      <c r="W482" s="5" t="n">
        <v>76</v>
      </c>
      <c r="X482" s="5" t="n">
        <v>98</v>
      </c>
      <c r="Y482" s="14">
        <f>IF(AND(ISNUMBER(C482),C482&gt;0,ISNUMBER(X482)),X482/C482-1,"")</f>
        <v/>
      </c>
    </row>
    <row r="483">
      <c r="A483" s="12" t="inlineStr">
        <is>
          <t>426</t>
        </is>
      </c>
      <c r="B483" s="15" t="inlineStr">
        <is>
          <t>Draw</t>
        </is>
      </c>
      <c r="C483" s="5" t="n">
        <v>24</v>
      </c>
      <c r="D483" s="5" t="n">
        <v>20</v>
      </c>
      <c r="E483" s="5" t="n">
        <v>18</v>
      </c>
      <c r="F483" s="5" t="n">
        <v>50</v>
      </c>
      <c r="G483" s="5" t="n">
        <v>23</v>
      </c>
      <c r="H483" s="5" t="n">
        <v>36</v>
      </c>
      <c r="I483" s="5" t="n">
        <v>23</v>
      </c>
      <c r="J483" s="5" t="n">
        <v>50</v>
      </c>
      <c r="K483" s="5" t="n">
        <v>39</v>
      </c>
      <c r="L483" s="5" t="n">
        <v>43</v>
      </c>
      <c r="M483" s="5" t="n">
        <v>75</v>
      </c>
      <c r="N483" s="5" t="n">
        <v>110</v>
      </c>
      <c r="O483" s="5" t="n">
        <v>82</v>
      </c>
      <c r="P483" s="5" t="n">
        <v>79</v>
      </c>
      <c r="Q483" s="5" t="n">
        <v>68</v>
      </c>
      <c r="R483" s="5" t="n">
        <v>71</v>
      </c>
      <c r="S483" s="5" t="n">
        <v>90</v>
      </c>
      <c r="T483" s="5" t="n">
        <v>67</v>
      </c>
      <c r="U483" s="5" t="n">
        <v>91</v>
      </c>
      <c r="V483" s="5" t="n">
        <v>106</v>
      </c>
      <c r="W483" s="5" t="n">
        <v>89</v>
      </c>
      <c r="X483" s="5" t="n">
        <v>122</v>
      </c>
      <c r="Y483" s="14">
        <f>IF(AND(ISNUMBER(C483),C483&gt;0,ISNUMBER(X483)),X483/C483-1,"")</f>
        <v/>
      </c>
    </row>
    <row r="484">
      <c r="A484" s="12" t="inlineStr">
        <is>
          <t>432</t>
        </is>
      </c>
      <c r="B484" s="13" t="inlineStr">
        <is>
          <t>General</t>
        </is>
      </c>
      <c r="C484" s="5" t="n">
        <v>117</v>
      </c>
      <c r="D484" s="5" t="n">
        <v>123</v>
      </c>
      <c r="E484" s="5" t="n">
        <v>122</v>
      </c>
      <c r="F484" s="5" t="n">
        <v>139</v>
      </c>
      <c r="G484" s="5" t="n">
        <v>118</v>
      </c>
      <c r="H484" s="5" t="n">
        <v>140</v>
      </c>
      <c r="I484" s="5" t="n">
        <v>138</v>
      </c>
      <c r="J484" s="5" t="n">
        <v>125</v>
      </c>
      <c r="K484" s="5" t="n">
        <v>118</v>
      </c>
      <c r="L484" s="5" t="n">
        <v>94</v>
      </c>
      <c r="M484" s="5" t="n">
        <v>160</v>
      </c>
      <c r="N484" s="5" t="n">
        <v>108</v>
      </c>
      <c r="O484" s="5" t="n">
        <v>117</v>
      </c>
      <c r="P484" s="5" t="n">
        <v>128</v>
      </c>
      <c r="Q484" s="5" t="n">
        <v>174</v>
      </c>
      <c r="R484" s="5" t="n">
        <v>94</v>
      </c>
      <c r="S484" s="5" t="n">
        <v>154</v>
      </c>
      <c r="T484" s="5" t="n">
        <v>115</v>
      </c>
      <c r="U484" s="5" t="n"/>
      <c r="V484" s="5" t="n"/>
      <c r="W484" s="5" t="n"/>
      <c r="X484" s="5" t="n"/>
      <c r="Y484" s="14">
        <f>IF(AND(ISNUMBER(C484),C484&gt;0,ISNUMBER(X484)),X484/C484-1,"")</f>
        <v/>
      </c>
    </row>
    <row r="485">
      <c r="A485" s="12" t="inlineStr">
        <is>
          <t>441</t>
        </is>
      </c>
      <c r="B485" s="13" t="inlineStr">
        <is>
          <t>General</t>
        </is>
      </c>
      <c r="C485" s="5" t="n">
        <v>57</v>
      </c>
      <c r="D485" s="5" t="n">
        <v>49</v>
      </c>
      <c r="E485" s="5" t="n">
        <v>128</v>
      </c>
      <c r="F485" s="5" t="n">
        <v>112</v>
      </c>
      <c r="G485" s="5" t="n">
        <v>78</v>
      </c>
      <c r="H485" s="5" t="n">
        <v>105</v>
      </c>
      <c r="I485" s="5" t="n">
        <v>117</v>
      </c>
      <c r="J485" s="5" t="n">
        <v>72</v>
      </c>
      <c r="K485" s="5" t="n">
        <v>76</v>
      </c>
      <c r="L485" s="5" t="n">
        <v>92</v>
      </c>
      <c r="M485" s="5" t="n">
        <v>122</v>
      </c>
      <c r="N485" s="5" t="n">
        <v>100</v>
      </c>
      <c r="O485" s="5" t="n">
        <v>46</v>
      </c>
      <c r="P485" s="5" t="n">
        <v>51</v>
      </c>
      <c r="Q485" s="5" t="n">
        <v>65</v>
      </c>
      <c r="R485" s="5" t="n">
        <v>54</v>
      </c>
      <c r="S485" s="5" t="n">
        <v>69</v>
      </c>
      <c r="T485" s="5" t="n">
        <v>73</v>
      </c>
      <c r="U485" s="5" t="n">
        <v>64</v>
      </c>
      <c r="V485" s="5" t="n">
        <v>75</v>
      </c>
      <c r="W485" s="5" t="n">
        <v>98</v>
      </c>
      <c r="X485" s="5" t="n">
        <v>123</v>
      </c>
      <c r="Y485" s="14">
        <f>IF(AND(ISNUMBER(C485),C485&gt;0,ISNUMBER(X485)),X485/C485-1,"")</f>
        <v/>
      </c>
    </row>
    <row r="486">
      <c r="A486" s="12" t="inlineStr">
        <is>
          <t>442</t>
        </is>
      </c>
      <c r="B486" s="13" t="inlineStr">
        <is>
          <t>General</t>
        </is>
      </c>
      <c r="C486" s="5" t="n">
        <v>135</v>
      </c>
      <c r="D486" s="5" t="n">
        <v>121</v>
      </c>
      <c r="E486" s="5" t="n">
        <v>136</v>
      </c>
      <c r="F486" s="5" t="n">
        <v>164</v>
      </c>
      <c r="G486" s="5" t="n">
        <v>110</v>
      </c>
      <c r="H486" s="5" t="n">
        <v>120</v>
      </c>
      <c r="I486" s="5" t="n">
        <v>186</v>
      </c>
      <c r="J486" s="5" t="n">
        <v>160</v>
      </c>
      <c r="K486" s="5" t="n">
        <v>188</v>
      </c>
      <c r="L486" s="5" t="n">
        <v>187</v>
      </c>
      <c r="M486" s="5" t="n">
        <v>171</v>
      </c>
      <c r="N486" s="5" t="n">
        <v>256</v>
      </c>
      <c r="O486" s="5" t="n">
        <v>117</v>
      </c>
      <c r="P486" s="5" t="n">
        <v>161</v>
      </c>
      <c r="Q486" s="5" t="n">
        <v>116</v>
      </c>
      <c r="R486" s="5" t="n">
        <v>80</v>
      </c>
      <c r="S486" s="5" t="n">
        <v>103</v>
      </c>
      <c r="T486" s="5" t="n">
        <v>92</v>
      </c>
      <c r="U486" s="5" t="n">
        <v>98</v>
      </c>
      <c r="V486" s="5" t="n">
        <v>52</v>
      </c>
      <c r="W486" s="5" t="n">
        <v>58</v>
      </c>
      <c r="X486" s="5" t="n">
        <v>44</v>
      </c>
      <c r="Y486" s="14">
        <f>IF(AND(ISNUMBER(C486),C486&gt;0,ISNUMBER(X486)),X486/C486-1,"")</f>
        <v/>
      </c>
    </row>
    <row r="487">
      <c r="A487" s="12" t="inlineStr">
        <is>
          <t>444</t>
        </is>
      </c>
      <c r="B487" s="13" t="inlineStr">
        <is>
          <t>General</t>
        </is>
      </c>
      <c r="C487" s="5" t="n">
        <v>33</v>
      </c>
      <c r="D487" s="5" t="n">
        <v>38</v>
      </c>
      <c r="E487" s="5" t="n">
        <v>41</v>
      </c>
      <c r="F487" s="5" t="n">
        <v>25</v>
      </c>
      <c r="G487" s="5" t="n">
        <v>15</v>
      </c>
      <c r="H487" s="5" t="n">
        <v>36</v>
      </c>
      <c r="I487" s="5" t="n">
        <v>26</v>
      </c>
      <c r="J487" s="5" t="n">
        <v>33</v>
      </c>
      <c r="K487" s="5" t="n">
        <v>42</v>
      </c>
      <c r="L487" s="5" t="n">
        <v>28</v>
      </c>
      <c r="M487" s="5" t="n">
        <v>37</v>
      </c>
      <c r="N487" s="5" t="n">
        <v>32</v>
      </c>
      <c r="O487" s="5" t="n">
        <v>35</v>
      </c>
      <c r="P487" s="5" t="n">
        <v>48</v>
      </c>
      <c r="Q487" s="5" t="n">
        <v>25</v>
      </c>
      <c r="R487" s="5" t="n">
        <v>30</v>
      </c>
      <c r="S487" s="5" t="n">
        <v>22</v>
      </c>
      <c r="T487" s="5" t="n">
        <v>15</v>
      </c>
      <c r="U487" s="5" t="n">
        <v>16</v>
      </c>
      <c r="V487" s="5" t="n">
        <v>18</v>
      </c>
      <c r="W487" s="5" t="n">
        <v>18</v>
      </c>
      <c r="X487" s="5" t="n">
        <v>22</v>
      </c>
      <c r="Y487" s="14">
        <f>IF(AND(ISNUMBER(C487),C487&gt;0,ISNUMBER(X487)),X487/C487-1,"")</f>
        <v/>
      </c>
    </row>
    <row r="488">
      <c r="A488" s="12" t="inlineStr">
        <is>
          <t>445</t>
        </is>
      </c>
      <c r="B488" s="13" t="inlineStr">
        <is>
          <t>General</t>
        </is>
      </c>
      <c r="C488" s="5" t="n">
        <v>135</v>
      </c>
      <c r="D488" s="5" t="n">
        <v>155</v>
      </c>
      <c r="E488" s="5" t="n">
        <v>279</v>
      </c>
      <c r="F488" s="5" t="n">
        <v>313</v>
      </c>
      <c r="G488" s="5" t="n">
        <v>253</v>
      </c>
      <c r="H488" s="5" t="n">
        <v>280</v>
      </c>
      <c r="I488" s="5" t="n">
        <v>351</v>
      </c>
      <c r="J488" s="5" t="n">
        <v>289</v>
      </c>
      <c r="K488" s="5" t="n">
        <v>279</v>
      </c>
      <c r="L488" s="5" t="n">
        <v>317</v>
      </c>
      <c r="M488" s="5" t="n">
        <v>286</v>
      </c>
      <c r="N488" s="5" t="n">
        <v>391</v>
      </c>
      <c r="O488" s="5" t="n">
        <v>324</v>
      </c>
      <c r="P488" s="5" t="n">
        <v>341</v>
      </c>
      <c r="Q488" s="5" t="n">
        <v>305</v>
      </c>
      <c r="R488" s="5" t="n">
        <v>276</v>
      </c>
      <c r="S488" s="5" t="n">
        <v>311</v>
      </c>
      <c r="T488" s="5" t="n">
        <v>330</v>
      </c>
      <c r="U488" s="5" t="n">
        <v>266</v>
      </c>
      <c r="V488" s="5" t="n">
        <v>382</v>
      </c>
      <c r="W488" s="5" t="n">
        <v>350</v>
      </c>
      <c r="X488" s="5" t="n">
        <v>521</v>
      </c>
      <c r="Y488" s="14">
        <f>IF(AND(ISNUMBER(C488),C488&gt;0,ISNUMBER(X488)),X488/C488-1,"")</f>
        <v/>
      </c>
    </row>
    <row r="489">
      <c r="A489" s="12" t="inlineStr">
        <is>
          <t>446</t>
        </is>
      </c>
      <c r="B489" s="13" t="inlineStr">
        <is>
          <t>General</t>
        </is>
      </c>
      <c r="C489" s="5" t="n">
        <v>335</v>
      </c>
      <c r="D489" s="5" t="n">
        <v>303</v>
      </c>
      <c r="E489" s="5" t="n">
        <v>412</v>
      </c>
      <c r="F489" s="5" t="n">
        <v>416</v>
      </c>
      <c r="G489" s="5" t="n">
        <v>323</v>
      </c>
      <c r="H489" s="5" t="n">
        <v>286</v>
      </c>
      <c r="I489" s="5" t="n">
        <v>345</v>
      </c>
      <c r="J489" s="5" t="n">
        <v>352</v>
      </c>
      <c r="K489" s="5" t="n">
        <v>404</v>
      </c>
      <c r="L489" s="5" t="n">
        <v>417</v>
      </c>
      <c r="M489" s="5" t="n">
        <v>557</v>
      </c>
      <c r="N489" s="5" t="n">
        <v>1002</v>
      </c>
      <c r="O489" s="5" t="n">
        <v>513</v>
      </c>
      <c r="P489" s="5" t="n">
        <v>507</v>
      </c>
      <c r="Q489" s="5" t="n">
        <v>414</v>
      </c>
      <c r="R489" s="5" t="n">
        <v>334</v>
      </c>
      <c r="S489" s="5" t="n">
        <v>330</v>
      </c>
      <c r="T489" s="5" t="n">
        <v>391</v>
      </c>
      <c r="U489" s="5" t="n">
        <v>361</v>
      </c>
      <c r="V489" s="5" t="n">
        <v>432</v>
      </c>
      <c r="W489" s="5" t="n">
        <v>399</v>
      </c>
      <c r="X489" s="5" t="n">
        <v>294</v>
      </c>
      <c r="Y489" s="14">
        <f>IF(AND(ISNUMBER(C489),C489&gt;0,ISNUMBER(X489)),X489/C489-1,"")</f>
        <v/>
      </c>
    </row>
    <row r="490">
      <c r="A490" s="12" t="inlineStr">
        <is>
          <t>447</t>
        </is>
      </c>
      <c r="B490" s="15" t="inlineStr">
        <is>
          <t>Draw</t>
        </is>
      </c>
      <c r="C490" s="5" t="n">
        <v>109</v>
      </c>
      <c r="D490" s="5" t="n">
        <v>110</v>
      </c>
      <c r="E490" s="5" t="n">
        <v>148</v>
      </c>
      <c r="F490" s="5" t="n">
        <v>141</v>
      </c>
      <c r="G490" s="5" t="n">
        <v>182</v>
      </c>
      <c r="H490" s="5" t="n">
        <v>150</v>
      </c>
      <c r="I490" s="5" t="n">
        <v>209</v>
      </c>
      <c r="J490" s="5" t="n">
        <v>193</v>
      </c>
      <c r="K490" s="5" t="n">
        <v>125</v>
      </c>
      <c r="L490" s="5" t="n">
        <v>220</v>
      </c>
      <c r="M490" s="5" t="n">
        <v>303</v>
      </c>
      <c r="N490" s="5" t="n">
        <v>285</v>
      </c>
      <c r="O490" s="5" t="n">
        <v>224</v>
      </c>
      <c r="P490" s="5" t="n">
        <v>259</v>
      </c>
      <c r="Q490" s="5" t="n">
        <v>294</v>
      </c>
      <c r="R490" s="5" t="n">
        <v>270</v>
      </c>
      <c r="S490" s="5" t="n">
        <v>224</v>
      </c>
      <c r="T490" s="5" t="n">
        <v>246</v>
      </c>
      <c r="U490" s="5" t="n">
        <v>230</v>
      </c>
      <c r="V490" s="5" t="n">
        <v>286</v>
      </c>
      <c r="W490" s="5" t="n">
        <v>281</v>
      </c>
      <c r="X490" s="5" t="n">
        <v>277</v>
      </c>
      <c r="Y490" s="14">
        <f>IF(AND(ISNUMBER(C490),C490&gt;0,ISNUMBER(X490)),X490/C490-1,"")</f>
        <v/>
      </c>
    </row>
    <row r="491">
      <c r="A491" s="12" t="inlineStr">
        <is>
          <t>448</t>
        </is>
      </c>
      <c r="B491" s="13" t="inlineStr">
        <is>
          <t>General</t>
        </is>
      </c>
      <c r="C491" s="5" t="n">
        <v>120</v>
      </c>
      <c r="D491" s="5" t="n">
        <v>90</v>
      </c>
      <c r="E491" s="5" t="n">
        <v>70</v>
      </c>
      <c r="F491" s="5" t="n">
        <v>100</v>
      </c>
      <c r="G491" s="5" t="n">
        <v>67</v>
      </c>
      <c r="H491" s="5" t="n">
        <v>97</v>
      </c>
      <c r="I491" s="5" t="n">
        <v>176</v>
      </c>
      <c r="J491" s="5" t="n">
        <v>118</v>
      </c>
      <c r="K491" s="5" t="n">
        <v>214</v>
      </c>
      <c r="L491" s="5" t="n">
        <v>110</v>
      </c>
      <c r="M491" s="5" t="n">
        <v>148</v>
      </c>
      <c r="N491" s="5" t="n">
        <v>176</v>
      </c>
      <c r="O491" s="5" t="n">
        <v>118</v>
      </c>
      <c r="P491" s="5" t="n">
        <v>158</v>
      </c>
      <c r="Q491" s="5" t="n">
        <v>134</v>
      </c>
      <c r="R491" s="5" t="n">
        <v>124</v>
      </c>
      <c r="S491" s="5" t="n">
        <v>142</v>
      </c>
      <c r="T491" s="5" t="n">
        <v>116</v>
      </c>
      <c r="U491" s="5" t="n">
        <v>191</v>
      </c>
      <c r="V491" s="5" t="n">
        <v>143</v>
      </c>
      <c r="W491" s="5" t="n">
        <v>122</v>
      </c>
      <c r="X491" s="5" t="n">
        <v>124</v>
      </c>
      <c r="Y491" s="14">
        <f>IF(AND(ISNUMBER(C491),C491&gt;0,ISNUMBER(X491)),X491/C491-1,"")</f>
        <v/>
      </c>
    </row>
    <row r="492">
      <c r="A492" s="12" t="inlineStr">
        <is>
          <t>449</t>
        </is>
      </c>
      <c r="B492" s="4" t="inlineStr"/>
      <c r="C492" s="5" t="n">
        <v>137</v>
      </c>
      <c r="D492" s="5" t="n">
        <v>105</v>
      </c>
      <c r="E492" s="5" t="n">
        <v>111</v>
      </c>
      <c r="F492" s="5" t="n">
        <v>118</v>
      </c>
      <c r="G492" s="5" t="n">
        <v>97</v>
      </c>
      <c r="H492" s="5" t="n">
        <v>118</v>
      </c>
      <c r="I492" s="5" t="n">
        <v>131</v>
      </c>
      <c r="J492" s="5" t="n">
        <v>138</v>
      </c>
      <c r="K492" s="5" t="n">
        <v>144</v>
      </c>
      <c r="L492" s="5" t="n">
        <v>156</v>
      </c>
      <c r="M492" s="5" t="n">
        <v>152</v>
      </c>
      <c r="N492" s="5" t="n">
        <v>192</v>
      </c>
      <c r="O492" s="5" t="n">
        <v>105</v>
      </c>
      <c r="P492" s="5" t="n">
        <v>149</v>
      </c>
      <c r="Q492" s="5" t="n">
        <v>188</v>
      </c>
      <c r="R492" s="5" t="n">
        <v>141</v>
      </c>
      <c r="S492" s="5" t="n"/>
      <c r="T492" s="5" t="n"/>
      <c r="U492" s="5" t="n"/>
      <c r="V492" s="5" t="n"/>
      <c r="W492" s="5" t="n"/>
      <c r="X492" s="5" t="n"/>
      <c r="Y492" s="14">
        <f>IF(AND(ISNUMBER(C492),C492&gt;0,ISNUMBER(X492)),X492/C492-1,"")</f>
        <v/>
      </c>
    </row>
    <row r="493">
      <c r="A493" s="12" t="inlineStr">
        <is>
          <t>450</t>
        </is>
      </c>
      <c r="B493" s="13" t="inlineStr">
        <is>
          <t>General</t>
        </is>
      </c>
      <c r="C493" s="5" t="n">
        <v>20</v>
      </c>
      <c r="D493" s="5" t="n">
        <v>44</v>
      </c>
      <c r="E493" s="5" t="n">
        <v>37</v>
      </c>
      <c r="F493" s="5" t="n">
        <v>45</v>
      </c>
      <c r="G493" s="5" t="n">
        <v>49</v>
      </c>
      <c r="H493" s="5" t="n">
        <v>15</v>
      </c>
      <c r="I493" s="5" t="n">
        <v>29</v>
      </c>
      <c r="J493" s="5" t="n">
        <v>25</v>
      </c>
      <c r="K493" s="5" t="n">
        <v>27</v>
      </c>
      <c r="L493" s="5" t="n">
        <v>56</v>
      </c>
      <c r="M493" s="5" t="n">
        <v>42</v>
      </c>
      <c r="N493" s="5" t="n">
        <v>58</v>
      </c>
      <c r="O493" s="5" t="n">
        <v>38</v>
      </c>
      <c r="P493" s="5" t="n">
        <v>26</v>
      </c>
      <c r="Q493" s="5" t="n">
        <v>35</v>
      </c>
      <c r="R493" s="5" t="n">
        <v>36</v>
      </c>
      <c r="S493" s="5" t="n">
        <v>35</v>
      </c>
      <c r="T493" s="5" t="n">
        <v>37</v>
      </c>
      <c r="U493" s="5" t="n">
        <v>89</v>
      </c>
      <c r="V493" s="5" t="n">
        <v>61</v>
      </c>
      <c r="W493" s="5" t="n">
        <v>44</v>
      </c>
      <c r="X493" s="5" t="n">
        <v>53</v>
      </c>
      <c r="Y493" s="14">
        <f>IF(AND(ISNUMBER(C493),C493&gt;0,ISNUMBER(X493)),X493/C493-1,"")</f>
        <v/>
      </c>
    </row>
    <row r="494">
      <c r="A494" s="12" t="inlineStr">
        <is>
          <t>451</t>
        </is>
      </c>
      <c r="B494" s="13" t="inlineStr">
        <is>
          <t>General</t>
        </is>
      </c>
      <c r="C494" s="5" t="n"/>
      <c r="D494" s="5" t="n"/>
      <c r="E494" s="5" t="n"/>
      <c r="F494" s="5" t="n"/>
      <c r="G494" s="5" t="n"/>
      <c r="H494" s="5" t="n"/>
      <c r="I494" s="5" t="n"/>
      <c r="J494" s="5" t="n"/>
      <c r="K494" s="5" t="n"/>
      <c r="L494" s="5" t="n"/>
      <c r="M494" s="5" t="n"/>
      <c r="N494" s="5" t="n"/>
      <c r="O494" s="5" t="n">
        <v>100</v>
      </c>
      <c r="P494" s="5" t="n">
        <v>77</v>
      </c>
      <c r="Q494" s="5" t="n">
        <v>81</v>
      </c>
      <c r="R494" s="5" t="n">
        <v>74</v>
      </c>
      <c r="S494" s="5" t="n">
        <v>47</v>
      </c>
      <c r="T494" s="5" t="n">
        <v>44</v>
      </c>
      <c r="U494" s="5" t="n">
        <v>50</v>
      </c>
      <c r="V494" s="5" t="n">
        <v>30</v>
      </c>
      <c r="W494" s="5" t="n">
        <v>49</v>
      </c>
      <c r="X494" s="5" t="n">
        <v>39</v>
      </c>
      <c r="Y494" s="14">
        <f>IF(AND(ISNUMBER(C494),C494&gt;0,ISNUMBER(X494)),X494/C494-1,"")</f>
        <v/>
      </c>
    </row>
    <row r="495">
      <c r="A495" s="12" t="inlineStr">
        <is>
          <t>452</t>
        </is>
      </c>
      <c r="B495" s="13" t="inlineStr">
        <is>
          <t>General</t>
        </is>
      </c>
      <c r="C495" s="5" t="n">
        <v>124</v>
      </c>
      <c r="D495" s="5" t="n">
        <v>59</v>
      </c>
      <c r="E495" s="5" t="n">
        <v>176</v>
      </c>
      <c r="F495" s="5" t="n">
        <v>133</v>
      </c>
      <c r="G495" s="5" t="n">
        <v>89</v>
      </c>
      <c r="H495" s="5" t="n">
        <v>119</v>
      </c>
      <c r="I495" s="5" t="n">
        <v>165</v>
      </c>
      <c r="J495" s="5" t="n">
        <v>160</v>
      </c>
      <c r="K495" s="5" t="n">
        <v>160</v>
      </c>
      <c r="L495" s="5" t="n">
        <v>108</v>
      </c>
      <c r="M495" s="5" t="n">
        <v>197</v>
      </c>
      <c r="N495" s="5" t="n">
        <v>342</v>
      </c>
      <c r="O495" s="5" t="n">
        <v>180</v>
      </c>
      <c r="P495" s="5" t="n">
        <v>265</v>
      </c>
      <c r="Q495" s="5" t="n">
        <v>244</v>
      </c>
      <c r="R495" s="5" t="n">
        <v>249</v>
      </c>
      <c r="S495" s="5" t="n">
        <v>414</v>
      </c>
      <c r="T495" s="5" t="n">
        <v>335</v>
      </c>
      <c r="U495" s="5" t="n">
        <v>360</v>
      </c>
      <c r="V495" s="5" t="n">
        <v>284</v>
      </c>
      <c r="W495" s="5" t="n">
        <v>334</v>
      </c>
      <c r="X495" s="5" t="n">
        <v>299</v>
      </c>
      <c r="Y495" s="14">
        <f>IF(AND(ISNUMBER(C495),C495&gt;0,ISNUMBER(X495)),X495/C495-1,"")</f>
        <v/>
      </c>
    </row>
    <row r="496">
      <c r="A496" s="12" t="inlineStr">
        <is>
          <t>454</t>
        </is>
      </c>
      <c r="B496" s="4" t="inlineStr"/>
      <c r="C496" s="5" t="n">
        <v>157</v>
      </c>
      <c r="D496" s="5" t="n">
        <v>109</v>
      </c>
      <c r="E496" s="5" t="n">
        <v>244</v>
      </c>
      <c r="F496" s="5" t="n">
        <v>164</v>
      </c>
      <c r="G496" s="5" t="n">
        <v>134</v>
      </c>
      <c r="H496" s="5" t="n">
        <v>163</v>
      </c>
      <c r="I496" s="5" t="n">
        <v>146</v>
      </c>
      <c r="J496" s="5" t="n">
        <v>150</v>
      </c>
      <c r="K496" s="5" t="n">
        <v>122</v>
      </c>
      <c r="L496" s="5" t="n">
        <v>136</v>
      </c>
      <c r="M496" s="5" t="n">
        <v>162</v>
      </c>
      <c r="N496" s="5" t="n">
        <v>155</v>
      </c>
      <c r="O496" s="5" t="n">
        <v>126</v>
      </c>
      <c r="P496" s="5" t="n">
        <v>140</v>
      </c>
      <c r="Q496" s="5" t="n">
        <v>171</v>
      </c>
      <c r="R496" s="5" t="n">
        <v>165</v>
      </c>
      <c r="S496" s="5" t="n">
        <v>138</v>
      </c>
      <c r="T496" s="5" t="n">
        <v>77</v>
      </c>
      <c r="U496" s="5" t="n"/>
      <c r="V496" s="5" t="n"/>
      <c r="W496" s="5" t="n"/>
      <c r="X496" s="5" t="n"/>
      <c r="Y496" s="14">
        <f>IF(AND(ISNUMBER(C496),C496&gt;0,ISNUMBER(X496)),X496/C496-1,"")</f>
        <v/>
      </c>
    </row>
    <row r="497">
      <c r="A497" s="12" t="inlineStr">
        <is>
          <t>455</t>
        </is>
      </c>
      <c r="B497" s="15" t="inlineStr">
        <is>
          <t>Draw</t>
        </is>
      </c>
      <c r="C497" s="5" t="n">
        <v>43</v>
      </c>
      <c r="D497" s="5" t="n">
        <v>50</v>
      </c>
      <c r="E497" s="5" t="n">
        <v>66</v>
      </c>
      <c r="F497" s="5" t="n">
        <v>61</v>
      </c>
      <c r="G497" s="5" t="n">
        <v>76</v>
      </c>
      <c r="H497" s="5" t="n">
        <v>81</v>
      </c>
      <c r="I497" s="5" t="n">
        <v>105</v>
      </c>
      <c r="J497" s="5" t="n">
        <v>98</v>
      </c>
      <c r="K497" s="5" t="n">
        <v>84</v>
      </c>
      <c r="L497" s="5" t="n">
        <v>103</v>
      </c>
      <c r="M497" s="5" t="n">
        <v>131</v>
      </c>
      <c r="N497" s="5" t="n">
        <v>101</v>
      </c>
      <c r="O497" s="5" t="n">
        <v>91</v>
      </c>
      <c r="P497" s="5" t="n">
        <v>163</v>
      </c>
      <c r="Q497" s="5" t="n">
        <v>119</v>
      </c>
      <c r="R497" s="5" t="n">
        <v>210</v>
      </c>
      <c r="S497" s="5" t="n">
        <v>120</v>
      </c>
      <c r="T497" s="5" t="n">
        <v>104</v>
      </c>
      <c r="U497" s="5" t="n">
        <v>154</v>
      </c>
      <c r="V497" s="5" t="n">
        <v>101</v>
      </c>
      <c r="W497" s="5" t="n">
        <v>148</v>
      </c>
      <c r="X497" s="5" t="n">
        <v>124</v>
      </c>
      <c r="Y497" s="14">
        <f>IF(AND(ISNUMBER(C497),C497&gt;0,ISNUMBER(X497)),X497/C497-1,"")</f>
        <v/>
      </c>
    </row>
    <row r="498">
      <c r="A498" s="12" t="inlineStr">
        <is>
          <t>471</t>
        </is>
      </c>
      <c r="B498" s="13" t="inlineStr">
        <is>
          <t>General</t>
        </is>
      </c>
      <c r="C498" s="5" t="n">
        <v>3</v>
      </c>
      <c r="D498" s="5" t="n">
        <v>4</v>
      </c>
      <c r="E498" s="5" t="n">
        <v>4</v>
      </c>
      <c r="F498" s="5" t="n">
        <v>3</v>
      </c>
      <c r="G498" s="5" t="n">
        <v>15</v>
      </c>
      <c r="H498" s="5" t="n">
        <v>9</v>
      </c>
      <c r="I498" s="5" t="n">
        <v>3</v>
      </c>
      <c r="J498" s="5" t="n">
        <v>3</v>
      </c>
      <c r="K498" s="5" t="n">
        <v>2</v>
      </c>
      <c r="L498" s="5" t="n">
        <v>5</v>
      </c>
      <c r="M498" s="5" t="n">
        <v>10</v>
      </c>
      <c r="N498" s="5" t="n">
        <v>12</v>
      </c>
      <c r="O498" s="5" t="n">
        <v>6</v>
      </c>
      <c r="P498" s="5" t="n">
        <v>12</v>
      </c>
      <c r="Q498" s="5" t="n">
        <v>4</v>
      </c>
      <c r="R498" s="5" t="n">
        <v>12</v>
      </c>
      <c r="S498" s="5" t="n">
        <v>7</v>
      </c>
      <c r="T498" s="5" t="n">
        <v>23</v>
      </c>
      <c r="U498" s="5" t="n">
        <v>36</v>
      </c>
      <c r="V498" s="5" t="n">
        <v>26</v>
      </c>
      <c r="W498" s="5" t="n">
        <v>9</v>
      </c>
      <c r="X498" s="5" t="n">
        <v>15</v>
      </c>
      <c r="Y498" s="14">
        <f>IF(AND(ISNUMBER(C498),C498&gt;0,ISNUMBER(X498)),X498/C498-1,"")</f>
        <v/>
      </c>
    </row>
    <row r="499">
      <c r="A499" s="12" t="inlineStr">
        <is>
          <t>500</t>
        </is>
      </c>
      <c r="B499" s="4" t="inlineStr"/>
      <c r="C499" s="5" t="n">
        <v>28</v>
      </c>
      <c r="D499" s="5" t="n">
        <v>28</v>
      </c>
      <c r="E499" s="5" t="n">
        <v>31</v>
      </c>
      <c r="F499" s="5" t="n">
        <v>56</v>
      </c>
      <c r="G499" s="5" t="n">
        <v>23</v>
      </c>
      <c r="H499" s="5" t="n">
        <v>29</v>
      </c>
      <c r="I499" s="5" t="n">
        <v>30</v>
      </c>
      <c r="J499" s="5" t="n">
        <v>48</v>
      </c>
      <c r="K499" s="5" t="n">
        <v>31</v>
      </c>
      <c r="L499" s="5" t="n">
        <v>61</v>
      </c>
      <c r="M499" s="5" t="n">
        <v>44</v>
      </c>
      <c r="N499" s="5" t="n">
        <v>47</v>
      </c>
      <c r="O499" s="5" t="n">
        <v>60</v>
      </c>
      <c r="P499" s="5" t="n">
        <v>76</v>
      </c>
      <c r="Q499" s="5" t="n">
        <v>90</v>
      </c>
      <c r="R499" s="5" t="n">
        <v>88</v>
      </c>
      <c r="S499" s="5" t="n">
        <v>126</v>
      </c>
      <c r="T499" s="5" t="n">
        <v>66</v>
      </c>
      <c r="U499" s="5" t="n"/>
      <c r="V499" s="5" t="n"/>
      <c r="W499" s="5" t="n"/>
      <c r="X499" s="5" t="n"/>
      <c r="Y499" s="14">
        <f>IF(AND(ISNUMBER(C499),C499&gt;0,ISNUMBER(X499)),X499/C499-1,"")</f>
        <v/>
      </c>
    </row>
    <row r="500">
      <c r="A500" s="12" t="inlineStr">
        <is>
          <t>502</t>
        </is>
      </c>
      <c r="B500" s="15" t="inlineStr">
        <is>
          <t>Draw</t>
        </is>
      </c>
      <c r="C500" s="5" t="n">
        <v>15</v>
      </c>
      <c r="D500" s="5" t="n">
        <v>27</v>
      </c>
      <c r="E500" s="5" t="n">
        <v>23</v>
      </c>
      <c r="F500" s="5" t="n">
        <v>10</v>
      </c>
      <c r="G500" s="5" t="n">
        <v>16</v>
      </c>
      <c r="H500" s="5" t="n">
        <v>27</v>
      </c>
      <c r="I500" s="5" t="n">
        <v>7</v>
      </c>
      <c r="J500" s="5" t="n">
        <v>13</v>
      </c>
      <c r="K500" s="5" t="n">
        <v>36</v>
      </c>
      <c r="L500" s="5" t="n">
        <v>25</v>
      </c>
      <c r="M500" s="5" t="n">
        <v>38</v>
      </c>
      <c r="N500" s="5" t="n">
        <v>57</v>
      </c>
      <c r="O500" s="5" t="n">
        <v>22</v>
      </c>
      <c r="P500" s="5" t="n">
        <v>36</v>
      </c>
      <c r="Q500" s="5" t="n">
        <v>26</v>
      </c>
      <c r="R500" s="5" t="n">
        <v>41</v>
      </c>
      <c r="S500" s="5" t="n">
        <v>41</v>
      </c>
      <c r="T500" s="5" t="n">
        <v>46</v>
      </c>
      <c r="U500" s="5" t="n">
        <v>46</v>
      </c>
      <c r="V500" s="5" t="n">
        <v>115</v>
      </c>
      <c r="W500" s="5" t="n">
        <v>58</v>
      </c>
      <c r="X500" s="5" t="n">
        <v>70</v>
      </c>
      <c r="Y500" s="14">
        <f>IF(AND(ISNUMBER(C500),C500&gt;0,ISNUMBER(X500)),X500/C500-1,"")</f>
        <v/>
      </c>
    </row>
    <row r="501">
      <c r="A501" s="12" t="inlineStr">
        <is>
          <t>510</t>
        </is>
      </c>
      <c r="B501" s="4" t="inlineStr"/>
      <c r="C501" s="5" t="n">
        <v>7</v>
      </c>
      <c r="D501" s="5" t="n">
        <v>6</v>
      </c>
      <c r="E501" s="5" t="n">
        <v>4</v>
      </c>
      <c r="F501" s="5" t="n">
        <v>3</v>
      </c>
      <c r="G501" s="5" t="n">
        <v>3</v>
      </c>
      <c r="H501" s="5" t="n"/>
      <c r="I501" s="5" t="n">
        <v>3</v>
      </c>
      <c r="J501" s="5" t="n"/>
      <c r="K501" s="5" t="n">
        <v>11</v>
      </c>
      <c r="L501" s="5" t="n"/>
      <c r="M501" s="5" t="n"/>
      <c r="N501" s="5" t="n"/>
      <c r="O501" s="5" t="n"/>
      <c r="P501" s="5" t="n"/>
      <c r="Q501" s="5" t="n"/>
      <c r="R501" s="5" t="n"/>
      <c r="S501" s="5" t="n"/>
      <c r="T501" s="5" t="n"/>
      <c r="U501" s="5" t="n"/>
      <c r="V501" s="5" t="n"/>
      <c r="W501" s="5" t="n"/>
      <c r="X501" s="5" t="n"/>
      <c r="Y501" s="14">
        <f>IF(AND(ISNUMBER(C501),C501&gt;0,ISNUMBER(X501)),X501/C501-1,"")</f>
        <v/>
      </c>
    </row>
    <row r="502">
      <c r="A502" s="12" t="inlineStr">
        <is>
          <t>510E</t>
        </is>
      </c>
      <c r="B502" s="4" t="inlineStr"/>
      <c r="C502" s="5" t="n"/>
      <c r="D502" s="5" t="n"/>
      <c r="E502" s="5" t="n"/>
      <c r="F502" s="5" t="n"/>
      <c r="G502" s="5" t="n"/>
      <c r="H502" s="5" t="n"/>
      <c r="I502" s="5" t="n"/>
      <c r="J502" s="5" t="n"/>
      <c r="K502" s="5" t="n"/>
      <c r="L502" s="5" t="n">
        <v>3</v>
      </c>
      <c r="M502" s="5" t="n">
        <v>3</v>
      </c>
      <c r="N502" s="5" t="n"/>
      <c r="O502" s="5" t="n"/>
      <c r="P502" s="5" t="n"/>
      <c r="Q502" s="5" t="n">
        <v>3</v>
      </c>
      <c r="R502" s="5" t="n"/>
      <c r="S502" s="5" t="n"/>
      <c r="T502" s="5" t="n"/>
      <c r="U502" s="5" t="n"/>
      <c r="V502" s="5" t="n"/>
      <c r="W502" s="5" t="n"/>
      <c r="X502" s="5" t="n"/>
      <c r="Y502" s="14">
        <f>IF(AND(ISNUMBER(C502),C502&gt;0,ISNUMBER(X502)),X502/C502-1,"")</f>
        <v/>
      </c>
    </row>
    <row r="503">
      <c r="A503" s="12" t="inlineStr">
        <is>
          <t>510W</t>
        </is>
      </c>
      <c r="B503" s="4" t="inlineStr"/>
      <c r="C503" s="5" t="n"/>
      <c r="D503" s="5" t="n"/>
      <c r="E503" s="5" t="n"/>
      <c r="F503" s="5" t="n"/>
      <c r="G503" s="5" t="n"/>
      <c r="H503" s="5" t="n"/>
      <c r="I503" s="5" t="n"/>
      <c r="J503" s="5" t="n"/>
      <c r="K503" s="5" t="n"/>
      <c r="L503" s="5" t="n"/>
      <c r="M503" s="5" t="n">
        <v>6</v>
      </c>
      <c r="N503" s="5" t="n">
        <v>15</v>
      </c>
      <c r="O503" s="5" t="n">
        <v>9</v>
      </c>
      <c r="P503" s="5" t="n">
        <v>12</v>
      </c>
      <c r="Q503" s="5" t="n">
        <v>3</v>
      </c>
      <c r="R503" s="5" t="n">
        <v>18</v>
      </c>
      <c r="S503" s="5" t="n">
        <v>4</v>
      </c>
      <c r="T503" s="5" t="n"/>
      <c r="U503" s="5" t="n"/>
      <c r="V503" s="5" t="n"/>
      <c r="W503" s="5" t="n"/>
      <c r="X503" s="5" t="n"/>
      <c r="Y503" s="14">
        <f>IF(AND(ISNUMBER(C503),C503&gt;0,ISNUMBER(X503)),X503/C503-1,"")</f>
        <v/>
      </c>
    </row>
    <row r="504">
      <c r="A504" s="12" t="inlineStr">
        <is>
          <t>511</t>
        </is>
      </c>
      <c r="B504" s="4" t="inlineStr"/>
      <c r="C504" s="5" t="n">
        <v>15</v>
      </c>
      <c r="D504" s="5" t="n">
        <v>18</v>
      </c>
      <c r="E504" s="5" t="n">
        <v>13</v>
      </c>
      <c r="F504" s="5" t="n">
        <v>23</v>
      </c>
      <c r="G504" s="5" t="n">
        <v>20</v>
      </c>
      <c r="H504" s="5" t="n">
        <v>15</v>
      </c>
      <c r="I504" s="5" t="n">
        <v>50</v>
      </c>
      <c r="J504" s="5" t="n">
        <v>21</v>
      </c>
      <c r="K504" s="5" t="n">
        <v>23</v>
      </c>
      <c r="L504" s="5" t="n">
        <v>34</v>
      </c>
      <c r="M504" s="5" t="n">
        <v>40</v>
      </c>
      <c r="N504" s="5" t="n">
        <v>21</v>
      </c>
      <c r="O504" s="5" t="n">
        <v>47</v>
      </c>
      <c r="P504" s="5" t="n">
        <v>62</v>
      </c>
      <c r="Q504" s="5" t="n">
        <v>40</v>
      </c>
      <c r="R504" s="5" t="n">
        <v>50</v>
      </c>
      <c r="S504" s="5" t="n">
        <v>47</v>
      </c>
      <c r="T504" s="5" t="n">
        <v>83</v>
      </c>
      <c r="U504" s="5" t="n"/>
      <c r="V504" s="5" t="n"/>
      <c r="W504" s="5" t="n"/>
      <c r="X504" s="5" t="n"/>
      <c r="Y504" s="14">
        <f>IF(AND(ISNUMBER(C504),C504&gt;0,ISNUMBER(X504)),X504/C504-1,"")</f>
        <v/>
      </c>
    </row>
    <row r="505">
      <c r="A505" s="12" t="inlineStr">
        <is>
          <t>515</t>
        </is>
      </c>
      <c r="B505" s="13" t="inlineStr">
        <is>
          <t>General</t>
        </is>
      </c>
      <c r="C505" s="5" t="n"/>
      <c r="D505" s="5" t="n"/>
      <c r="E505" s="5" t="n"/>
      <c r="F505" s="5" t="n"/>
      <c r="G505" s="5" t="n"/>
      <c r="H505" s="5" t="n"/>
      <c r="I505" s="5" t="n"/>
      <c r="J505" s="5" t="n"/>
      <c r="K505" s="5" t="n"/>
      <c r="L505" s="5" t="n"/>
      <c r="M505" s="5" t="n"/>
      <c r="N505" s="5" t="n"/>
      <c r="O505" s="5" t="n"/>
      <c r="P505" s="5" t="n"/>
      <c r="Q505" s="5" t="n"/>
      <c r="R505" s="5" t="n"/>
      <c r="S505" s="5" t="n"/>
      <c r="T505" s="5" t="n"/>
      <c r="U505" s="5" t="n">
        <v>264</v>
      </c>
      <c r="V505" s="5" t="n">
        <v>268</v>
      </c>
      <c r="W505" s="5" t="n">
        <v>234</v>
      </c>
      <c r="X505" s="5" t="n">
        <v>340</v>
      </c>
      <c r="Y505" s="14">
        <f>IF(AND(ISNUMBER(C505),C505&gt;0,ISNUMBER(X505)),X505/C505-1,"")</f>
        <v/>
      </c>
    </row>
    <row r="506">
      <c r="A506" s="12" t="inlineStr">
        <is>
          <t>520</t>
        </is>
      </c>
      <c r="B506" s="4" t="inlineStr"/>
      <c r="C506" s="5" t="n">
        <v>154</v>
      </c>
      <c r="D506" s="5" t="n">
        <v>171</v>
      </c>
      <c r="E506" s="5" t="n">
        <v>136</v>
      </c>
      <c r="F506" s="5" t="n">
        <v>151</v>
      </c>
      <c r="G506" s="5" t="n">
        <v>124</v>
      </c>
      <c r="H506" s="5" t="n">
        <v>138</v>
      </c>
      <c r="I506" s="5" t="n">
        <v>190</v>
      </c>
      <c r="J506" s="5" t="n">
        <v>180</v>
      </c>
      <c r="K506" s="5" t="n">
        <v>200</v>
      </c>
      <c r="L506" s="5" t="n"/>
      <c r="M506" s="5" t="n"/>
      <c r="N506" s="5" t="n"/>
      <c r="O506" s="5" t="n"/>
      <c r="P506" s="5" t="n"/>
      <c r="Q506" s="5" t="n"/>
      <c r="R506" s="5" t="n"/>
      <c r="S506" s="5" t="n"/>
      <c r="T506" s="5" t="n"/>
      <c r="U506" s="5" t="n"/>
      <c r="V506" s="5" t="n"/>
      <c r="W506" s="5" t="n"/>
      <c r="X506" s="5" t="n"/>
      <c r="Y506" s="14">
        <f>IF(AND(ISNUMBER(C506),C506&gt;0,ISNUMBER(X506)),X506/C506-1,"")</f>
        <v/>
      </c>
    </row>
    <row r="507">
      <c r="A507" s="12" t="inlineStr">
        <is>
          <t>520E</t>
        </is>
      </c>
      <c r="B507" s="4" t="inlineStr"/>
      <c r="C507" s="5" t="n"/>
      <c r="D507" s="5" t="n"/>
      <c r="E507" s="5" t="n"/>
      <c r="F507" s="5" t="n"/>
      <c r="G507" s="5" t="n"/>
      <c r="H507" s="5" t="n"/>
      <c r="I507" s="5" t="n"/>
      <c r="J507" s="5" t="n"/>
      <c r="K507" s="5" t="n"/>
      <c r="L507" s="5" t="n"/>
      <c r="M507" s="5" t="n"/>
      <c r="N507" s="5" t="n"/>
      <c r="O507" s="5" t="n"/>
      <c r="P507" s="5" t="n">
        <v>88</v>
      </c>
      <c r="Q507" s="5" t="n"/>
      <c r="R507" s="5" t="n"/>
      <c r="S507" s="5" t="n"/>
      <c r="T507" s="5" t="n"/>
      <c r="U507" s="5" t="n"/>
      <c r="V507" s="5" t="n"/>
      <c r="W507" s="5" t="n"/>
      <c r="X507" s="5" t="n"/>
      <c r="Y507" s="14">
        <f>IF(AND(ISNUMBER(C507),C507&gt;0,ISNUMBER(X507)),X507/C507-1,"")</f>
        <v/>
      </c>
    </row>
    <row r="508">
      <c r="A508" s="12" t="inlineStr">
        <is>
          <t>520W</t>
        </is>
      </c>
      <c r="B508" s="4" t="inlineStr"/>
      <c r="C508" s="5" t="n"/>
      <c r="D508" s="5" t="n"/>
      <c r="E508" s="5" t="n"/>
      <c r="F508" s="5" t="n"/>
      <c r="G508" s="5" t="n"/>
      <c r="H508" s="5" t="n"/>
      <c r="I508" s="5" t="n"/>
      <c r="J508" s="5" t="n"/>
      <c r="K508" s="5" t="n"/>
      <c r="L508" s="5" t="n"/>
      <c r="M508" s="5" t="n"/>
      <c r="N508" s="5" t="n"/>
      <c r="O508" s="5" t="n"/>
      <c r="P508" s="5" t="n">
        <v>208</v>
      </c>
      <c r="Q508" s="5" t="n"/>
      <c r="R508" s="5" t="n"/>
      <c r="S508" s="5" t="n"/>
      <c r="T508" s="5" t="n"/>
      <c r="U508" s="5" t="n"/>
      <c r="V508" s="5" t="n"/>
      <c r="W508" s="5" t="n"/>
      <c r="X508" s="5" t="n"/>
      <c r="Y508" s="14">
        <f>IF(AND(ISNUMBER(C508),C508&gt;0,ISNUMBER(X508)),X508/C508-1,"")</f>
        <v/>
      </c>
    </row>
    <row r="509">
      <c r="A509" s="12" t="inlineStr">
        <is>
          <t>525</t>
        </is>
      </c>
      <c r="B509" s="13" t="inlineStr">
        <is>
          <t>General</t>
        </is>
      </c>
      <c r="C509" s="5" t="n"/>
      <c r="D509" s="5" t="n"/>
      <c r="E509" s="5" t="n"/>
      <c r="F509" s="5" t="n"/>
      <c r="G509" s="5" t="n"/>
      <c r="H509" s="5" t="n"/>
      <c r="I509" s="5" t="n"/>
      <c r="J509" s="5" t="n"/>
      <c r="K509" s="5" t="n"/>
      <c r="L509" s="5" t="n"/>
      <c r="M509" s="5" t="n"/>
      <c r="N509" s="5" t="n"/>
      <c r="O509" s="5" t="n"/>
      <c r="P509" s="5" t="n"/>
      <c r="Q509" s="5" t="n"/>
      <c r="R509" s="5" t="n"/>
      <c r="S509" s="5" t="n"/>
      <c r="T509" s="5" t="n"/>
      <c r="U509" s="5" t="n">
        <v>489</v>
      </c>
      <c r="V509" s="5" t="n">
        <v>533</v>
      </c>
      <c r="W509" s="5" t="n">
        <v>512</v>
      </c>
      <c r="X509" s="5" t="n">
        <v>421</v>
      </c>
      <c r="Y509" s="14">
        <f>IF(AND(ISNUMBER(C509),C509&gt;0,ISNUMBER(X509)),X509/C509-1,"")</f>
        <v/>
      </c>
    </row>
    <row r="510">
      <c r="A510" s="12" t="inlineStr">
        <is>
          <t>530</t>
        </is>
      </c>
      <c r="B510" s="4" t="inlineStr"/>
      <c r="C510" s="5" t="n">
        <v>50</v>
      </c>
      <c r="D510" s="5" t="n">
        <v>62</v>
      </c>
      <c r="E510" s="5" t="n">
        <v>76</v>
      </c>
      <c r="F510" s="5" t="n">
        <v>102</v>
      </c>
      <c r="G510" s="5" t="n">
        <v>23</v>
      </c>
      <c r="H510" s="5" t="n">
        <v>57</v>
      </c>
      <c r="I510" s="5" t="n">
        <v>38</v>
      </c>
      <c r="J510" s="5" t="n">
        <v>60</v>
      </c>
      <c r="K510" s="5" t="n">
        <v>57</v>
      </c>
      <c r="L510" s="5" t="n">
        <v>55</v>
      </c>
      <c r="M510" s="5" t="n">
        <v>88</v>
      </c>
      <c r="N510" s="5" t="n">
        <v>78</v>
      </c>
      <c r="O510" s="5" t="n">
        <v>173</v>
      </c>
      <c r="P510" s="5" t="n">
        <v>160</v>
      </c>
      <c r="Q510" s="5" t="n">
        <v>241</v>
      </c>
      <c r="R510" s="5" t="n">
        <v>218</v>
      </c>
      <c r="S510" s="5" t="n">
        <v>170</v>
      </c>
      <c r="T510" s="5" t="n">
        <v>230</v>
      </c>
      <c r="U510" s="5" t="n"/>
      <c r="V510" s="5" t="n"/>
      <c r="W510" s="5" t="n"/>
      <c r="X510" s="5" t="n"/>
      <c r="Y510" s="14">
        <f>IF(AND(ISNUMBER(C510),C510&gt;0,ISNUMBER(X510)),X510/C510-1,"")</f>
        <v/>
      </c>
    </row>
    <row r="511">
      <c r="A511" s="12" t="inlineStr">
        <is>
          <t>535E</t>
        </is>
      </c>
      <c r="B511" s="13" t="inlineStr">
        <is>
          <t>General</t>
        </is>
      </c>
      <c r="C511" s="5" t="n"/>
      <c r="D511" s="5" t="n"/>
      <c r="E511" s="5" t="n"/>
      <c r="F511" s="5" t="n"/>
      <c r="G511" s="5" t="n"/>
      <c r="H511" s="5" t="n"/>
      <c r="I511" s="5" t="n"/>
      <c r="J511" s="5" t="n"/>
      <c r="K511" s="5" t="n"/>
      <c r="L511" s="5" t="n"/>
      <c r="M511" s="5" t="n"/>
      <c r="N511" s="5" t="n"/>
      <c r="O511" s="5" t="n"/>
      <c r="P511" s="5" t="n"/>
      <c r="Q511" s="5" t="n"/>
      <c r="R511" s="5" t="n"/>
      <c r="S511" s="5" t="n"/>
      <c r="T511" s="5" t="n"/>
      <c r="U511" s="5" t="n">
        <v>181</v>
      </c>
      <c r="V511" s="5" t="n">
        <v>397</v>
      </c>
      <c r="W511" s="5" t="n">
        <v>323</v>
      </c>
      <c r="X511" s="5" t="n">
        <v>286</v>
      </c>
      <c r="Y511" s="14">
        <f>IF(AND(ISNUMBER(C511),C511&gt;0,ISNUMBER(X511)),X511/C511-1,"")</f>
        <v/>
      </c>
    </row>
    <row r="512">
      <c r="A512" s="12" t="inlineStr">
        <is>
          <t>535W</t>
        </is>
      </c>
      <c r="B512" s="13" t="inlineStr">
        <is>
          <t>General</t>
        </is>
      </c>
      <c r="C512" s="5" t="n"/>
      <c r="D512" s="5" t="n"/>
      <c r="E512" s="5" t="n"/>
      <c r="F512" s="5" t="n"/>
      <c r="G512" s="5" t="n"/>
      <c r="H512" s="5" t="n"/>
      <c r="I512" s="5" t="n"/>
      <c r="J512" s="5" t="n"/>
      <c r="K512" s="5" t="n"/>
      <c r="L512" s="5" t="n"/>
      <c r="M512" s="5" t="n"/>
      <c r="N512" s="5" t="n"/>
      <c r="O512" s="5" t="n"/>
      <c r="P512" s="5" t="n"/>
      <c r="Q512" s="5" t="n"/>
      <c r="R512" s="5" t="n"/>
      <c r="S512" s="5" t="n"/>
      <c r="T512" s="5" t="n"/>
      <c r="U512" s="5" t="n">
        <v>98</v>
      </c>
      <c r="V512" s="5" t="n">
        <v>230</v>
      </c>
      <c r="W512" s="5" t="n">
        <v>213</v>
      </c>
      <c r="X512" s="5" t="n">
        <v>196</v>
      </c>
      <c r="Y512" s="14">
        <f>IF(AND(ISNUMBER(C512),C512&gt;0,ISNUMBER(X512)),X512/C512-1,"")</f>
        <v/>
      </c>
    </row>
    <row r="513">
      <c r="A513" s="12" t="inlineStr">
        <is>
          <t>540</t>
        </is>
      </c>
      <c r="B513" s="13" t="inlineStr">
        <is>
          <t>General</t>
        </is>
      </c>
      <c r="C513" s="5" t="n">
        <v>141</v>
      </c>
      <c r="D513" s="5" t="n">
        <v>147</v>
      </c>
      <c r="E513" s="5" t="n">
        <v>147</v>
      </c>
      <c r="F513" s="5" t="n">
        <v>83</v>
      </c>
      <c r="G513" s="5" t="n">
        <v>118</v>
      </c>
      <c r="H513" s="5" t="n">
        <v>119</v>
      </c>
      <c r="I513" s="5" t="n">
        <v>234</v>
      </c>
      <c r="J513" s="5" t="n">
        <v>253</v>
      </c>
      <c r="K513" s="5" t="n">
        <v>151</v>
      </c>
      <c r="L513" s="5" t="n">
        <v>154</v>
      </c>
      <c r="M513" s="5" t="n">
        <v>268</v>
      </c>
      <c r="N513" s="5" t="n">
        <v>278</v>
      </c>
      <c r="O513" s="5" t="n">
        <v>243</v>
      </c>
      <c r="P513" s="5" t="n">
        <v>366</v>
      </c>
      <c r="Q513" s="5" t="n">
        <v>277</v>
      </c>
      <c r="R513" s="5" t="n">
        <v>350</v>
      </c>
      <c r="S513" s="5" t="n">
        <v>261</v>
      </c>
      <c r="T513" s="5" t="n">
        <v>268</v>
      </c>
      <c r="U513" s="5" t="n">
        <v>292</v>
      </c>
      <c r="V513" s="5" t="n">
        <v>299</v>
      </c>
      <c r="W513" s="5" t="n">
        <v>315</v>
      </c>
      <c r="X513" s="5" t="n">
        <v>205</v>
      </c>
      <c r="Y513" s="14">
        <f>IF(AND(ISNUMBER(C513),C513&gt;0,ISNUMBER(X513)),X513/C513-1,"")</f>
        <v/>
      </c>
    </row>
    <row r="514">
      <c r="A514" s="12" t="inlineStr">
        <is>
          <t>555</t>
        </is>
      </c>
      <c r="B514" s="15" t="inlineStr">
        <is>
          <t>Draw</t>
        </is>
      </c>
      <c r="C514" s="5" t="n"/>
      <c r="D514" s="5" t="n"/>
      <c r="E514" s="5" t="n"/>
      <c r="F514" s="5" t="n"/>
      <c r="G514" s="5" t="n"/>
      <c r="H514" s="5" t="n"/>
      <c r="I514" s="5" t="n"/>
      <c r="J514" s="5" t="n"/>
      <c r="K514" s="5" t="n"/>
      <c r="L514" s="5" t="n"/>
      <c r="M514" s="5" t="n"/>
      <c r="N514" s="5" t="n"/>
      <c r="O514" s="5" t="n"/>
      <c r="P514" s="5" t="n"/>
      <c r="Q514" s="5" t="n"/>
      <c r="R514" s="5" t="n"/>
      <c r="S514" s="5" t="n"/>
      <c r="T514" s="5" t="n"/>
      <c r="U514" s="5" t="n">
        <v>28</v>
      </c>
      <c r="V514" s="5" t="n">
        <v>30</v>
      </c>
      <c r="W514" s="5" t="n">
        <v>44</v>
      </c>
      <c r="X514" s="5" t="n">
        <v>59</v>
      </c>
      <c r="Y514" s="14">
        <f>IF(AND(ISNUMBER(C514),C514&gt;0,ISNUMBER(X514)),X514/C514-1,"")</f>
        <v/>
      </c>
    </row>
    <row r="515">
      <c r="A515" s="12" t="inlineStr">
        <is>
          <t>560</t>
        </is>
      </c>
      <c r="B515" s="4" t="inlineStr"/>
      <c r="C515" s="5" t="n">
        <v>157</v>
      </c>
      <c r="D515" s="5" t="n">
        <v>128</v>
      </c>
      <c r="E515" s="5" t="n">
        <v>160</v>
      </c>
      <c r="F515" s="5" t="n">
        <v>140</v>
      </c>
      <c r="G515" s="5" t="n">
        <v>278</v>
      </c>
      <c r="H515" s="5" t="n">
        <v>256</v>
      </c>
      <c r="I515" s="5" t="n">
        <v>174</v>
      </c>
      <c r="J515" s="5" t="n">
        <v>241</v>
      </c>
      <c r="K515" s="5" t="n">
        <v>244</v>
      </c>
      <c r="L515" s="5" t="n">
        <v>303</v>
      </c>
      <c r="M515" s="5" t="n">
        <v>330</v>
      </c>
      <c r="N515" s="5" t="n">
        <v>325</v>
      </c>
      <c r="O515" s="5" t="n"/>
      <c r="P515" s="5" t="n">
        <v>360</v>
      </c>
      <c r="Q515" s="5" t="n"/>
      <c r="R515" s="5" t="n"/>
      <c r="S515" s="5" t="n"/>
      <c r="T515" s="5" t="n"/>
      <c r="U515" s="5" t="n"/>
      <c r="V515" s="5" t="n"/>
      <c r="W515" s="5" t="n"/>
      <c r="X515" s="5" t="n"/>
      <c r="Y515" s="14">
        <f>IF(AND(ISNUMBER(C515),C515&gt;0,ISNUMBER(X515)),X515/C515-1,"")</f>
        <v/>
      </c>
    </row>
    <row r="516">
      <c r="A516" s="12" t="inlineStr">
        <is>
          <t>560N</t>
        </is>
      </c>
      <c r="B516" s="4" t="inlineStr"/>
      <c r="C516" s="5" t="n"/>
      <c r="D516" s="5" t="n"/>
      <c r="E516" s="5" t="n"/>
      <c r="F516" s="5" t="n"/>
      <c r="G516" s="5" t="n"/>
      <c r="H516" s="5" t="n"/>
      <c r="I516" s="5" t="n"/>
      <c r="J516" s="5" t="n"/>
      <c r="K516" s="5" t="n"/>
      <c r="L516" s="5" t="n"/>
      <c r="M516" s="5" t="n"/>
      <c r="N516" s="5" t="n"/>
      <c r="O516" s="5" t="n">
        <v>90</v>
      </c>
      <c r="P516" s="5" t="n"/>
      <c r="Q516" s="5" t="n">
        <v>279</v>
      </c>
      <c r="R516" s="5" t="n">
        <v>241</v>
      </c>
      <c r="S516" s="5" t="n">
        <v>216</v>
      </c>
      <c r="T516" s="5" t="n">
        <v>166</v>
      </c>
      <c r="U516" s="5" t="n"/>
      <c r="V516" s="5" t="n"/>
      <c r="W516" s="5" t="n"/>
      <c r="X516" s="5" t="n"/>
      <c r="Y516" s="14">
        <f>IF(AND(ISNUMBER(C516),C516&gt;0,ISNUMBER(X516)),X516/C516-1,"")</f>
        <v/>
      </c>
    </row>
    <row r="517">
      <c r="A517" s="12" t="inlineStr">
        <is>
          <t>560S</t>
        </is>
      </c>
      <c r="B517" s="4" t="inlineStr"/>
      <c r="C517" s="5" t="n"/>
      <c r="D517" s="5" t="n"/>
      <c r="E517" s="5" t="n"/>
      <c r="F517" s="5" t="n"/>
      <c r="G517" s="5" t="n"/>
      <c r="H517" s="5" t="n"/>
      <c r="I517" s="5" t="n"/>
      <c r="J517" s="5" t="n"/>
      <c r="K517" s="5" t="n"/>
      <c r="L517" s="5" t="n"/>
      <c r="M517" s="5" t="n"/>
      <c r="N517" s="5" t="n"/>
      <c r="O517" s="5" t="n">
        <v>12</v>
      </c>
      <c r="P517" s="5" t="n"/>
      <c r="Q517" s="5" t="n">
        <v>58</v>
      </c>
      <c r="R517" s="5" t="n">
        <v>83</v>
      </c>
      <c r="S517" s="5" t="n">
        <v>58</v>
      </c>
      <c r="T517" s="5" t="n">
        <v>43</v>
      </c>
      <c r="U517" s="5" t="n"/>
      <c r="V517" s="5" t="n"/>
      <c r="W517" s="5" t="n"/>
      <c r="X517" s="5" t="n"/>
      <c r="Y517" s="14">
        <f>IF(AND(ISNUMBER(C517),C517&gt;0,ISNUMBER(X517)),X517/C517-1,"")</f>
        <v/>
      </c>
    </row>
    <row r="518">
      <c r="A518" s="12" t="inlineStr">
        <is>
          <t>565</t>
        </is>
      </c>
      <c r="B518" s="13" t="inlineStr">
        <is>
          <t>General</t>
        </is>
      </c>
      <c r="C518" s="5" t="n"/>
      <c r="D518" s="5" t="n"/>
      <c r="E518" s="5" t="n"/>
      <c r="F518" s="5" t="n"/>
      <c r="G518" s="5" t="n"/>
      <c r="H518" s="5" t="n"/>
      <c r="I518" s="5" t="n"/>
      <c r="J518" s="5" t="n"/>
      <c r="K518" s="5" t="n"/>
      <c r="L518" s="5" t="n"/>
      <c r="M518" s="5" t="n"/>
      <c r="N518" s="5" t="n"/>
      <c r="O518" s="5" t="n"/>
      <c r="P518" s="5" t="n"/>
      <c r="Q518" s="5" t="n"/>
      <c r="R518" s="5" t="n"/>
      <c r="S518" s="5" t="n"/>
      <c r="T518" s="5" t="n"/>
      <c r="U518" s="5" t="n">
        <v>35</v>
      </c>
      <c r="V518" s="5" t="n">
        <v>39</v>
      </c>
      <c r="W518" s="5" t="n">
        <v>13</v>
      </c>
      <c r="X518" s="5" t="n">
        <v>18</v>
      </c>
      <c r="Y518" s="14">
        <f>IF(AND(ISNUMBER(C518),C518&gt;0,ISNUMBER(X518)),X518/C518-1,"")</f>
        <v/>
      </c>
    </row>
    <row r="519">
      <c r="A519" s="12" t="inlineStr">
        <is>
          <t>570</t>
        </is>
      </c>
      <c r="B519" s="4" t="inlineStr"/>
      <c r="C519" s="5" t="n">
        <v>16</v>
      </c>
      <c r="D519" s="5" t="n">
        <v>45</v>
      </c>
      <c r="E519" s="5" t="n">
        <v>25</v>
      </c>
      <c r="F519" s="5" t="n">
        <v>60</v>
      </c>
      <c r="G519" s="5" t="n">
        <v>70</v>
      </c>
      <c r="H519" s="5" t="n">
        <v>68</v>
      </c>
      <c r="I519" s="5" t="n">
        <v>58</v>
      </c>
      <c r="J519" s="5" t="n">
        <v>73</v>
      </c>
      <c r="K519" s="5" t="n">
        <v>80</v>
      </c>
      <c r="L519" s="5" t="n">
        <v>93</v>
      </c>
      <c r="M519" s="5" t="n">
        <v>105</v>
      </c>
      <c r="N519" s="5" t="n">
        <v>111</v>
      </c>
      <c r="O519" s="5" t="n">
        <v>97</v>
      </c>
      <c r="P519" s="5" t="n">
        <v>146</v>
      </c>
      <c r="Q519" s="5" t="n">
        <v>142</v>
      </c>
      <c r="R519" s="5" t="n">
        <v>170</v>
      </c>
      <c r="S519" s="5" t="n">
        <v>255</v>
      </c>
      <c r="T519" s="5" t="n">
        <v>174</v>
      </c>
      <c r="U519" s="5" t="n"/>
      <c r="V519" s="5" t="n"/>
      <c r="W519" s="5" t="n"/>
      <c r="X519" s="5" t="n"/>
      <c r="Y519" s="14">
        <f>IF(AND(ISNUMBER(C519),C519&gt;0,ISNUMBER(X519)),X519/C519-1,"")</f>
        <v/>
      </c>
    </row>
    <row r="520">
      <c r="A520" s="12" t="inlineStr">
        <is>
          <t>575</t>
        </is>
      </c>
      <c r="B520" s="13" t="inlineStr">
        <is>
          <t>General</t>
        </is>
      </c>
      <c r="C520" s="5" t="n">
        <v>47</v>
      </c>
      <c r="D520" s="5" t="n">
        <v>28</v>
      </c>
      <c r="E520" s="5" t="n">
        <v>70</v>
      </c>
      <c r="F520" s="5" t="n">
        <v>57</v>
      </c>
      <c r="G520" s="5" t="n">
        <v>56</v>
      </c>
      <c r="H520" s="5" t="n">
        <v>57</v>
      </c>
      <c r="I520" s="5" t="n">
        <v>42</v>
      </c>
      <c r="J520" s="5" t="n">
        <v>76</v>
      </c>
      <c r="K520" s="5" t="n">
        <v>50</v>
      </c>
      <c r="L520" s="5" t="n">
        <v>126</v>
      </c>
      <c r="M520" s="5" t="n">
        <v>118</v>
      </c>
      <c r="N520" s="5" t="n">
        <v>160</v>
      </c>
      <c r="O520" s="5" t="n">
        <v>137</v>
      </c>
      <c r="P520" s="5" t="n">
        <v>154</v>
      </c>
      <c r="Q520" s="5" t="n">
        <v>181</v>
      </c>
      <c r="R520" s="5" t="n">
        <v>127</v>
      </c>
      <c r="S520" s="5" t="n">
        <v>181</v>
      </c>
      <c r="T520" s="5" t="n">
        <v>135</v>
      </c>
      <c r="U520" s="5" t="n">
        <v>199</v>
      </c>
      <c r="V520" s="5" t="n">
        <v>215</v>
      </c>
      <c r="W520" s="5" t="n">
        <v>250</v>
      </c>
      <c r="X520" s="5" t="n">
        <v>245</v>
      </c>
      <c r="Y520" s="14">
        <f>IF(AND(ISNUMBER(C520),C520&gt;0,ISNUMBER(X520)),X520/C520-1,"")</f>
        <v/>
      </c>
    </row>
    <row r="521">
      <c r="A521" s="12" t="inlineStr">
        <is>
          <t>580</t>
        </is>
      </c>
      <c r="B521" s="13" t="inlineStr">
        <is>
          <t>General</t>
        </is>
      </c>
      <c r="C521" s="5" t="n">
        <v>334</v>
      </c>
      <c r="D521" s="5" t="n">
        <v>323</v>
      </c>
      <c r="E521" s="5" t="n">
        <v>363</v>
      </c>
      <c r="F521" s="5" t="n">
        <v>339</v>
      </c>
      <c r="G521" s="5" t="n">
        <v>286</v>
      </c>
      <c r="H521" s="5" t="n">
        <v>370</v>
      </c>
      <c r="I521" s="5" t="n">
        <v>385</v>
      </c>
      <c r="J521" s="5" t="n">
        <v>349</v>
      </c>
      <c r="K521" s="5" t="n">
        <v>393</v>
      </c>
      <c r="L521" s="5" t="n"/>
      <c r="M521" s="5" t="n"/>
      <c r="N521" s="5" t="n"/>
      <c r="O521" s="5" t="n"/>
      <c r="P521" s="5" t="n">
        <v>0</v>
      </c>
      <c r="Q521" s="5" t="n"/>
      <c r="R521" s="5" t="n"/>
      <c r="S521" s="5" t="n"/>
      <c r="T521" s="5" t="n"/>
      <c r="U521" s="5" t="n"/>
      <c r="V521" s="5" t="n"/>
      <c r="W521" s="5" t="n"/>
      <c r="X521" s="5" t="n"/>
      <c r="Y521" s="14">
        <f>IF(AND(ISNUMBER(C521),C521&gt;0,ISNUMBER(X521)),X521/C521-1,"")</f>
        <v/>
      </c>
    </row>
    <row r="522">
      <c r="A522" s="12" t="inlineStr">
        <is>
          <t>580N</t>
        </is>
      </c>
      <c r="B522" s="13" t="inlineStr">
        <is>
          <t>General</t>
        </is>
      </c>
      <c r="C522" s="5" t="n"/>
      <c r="D522" s="5" t="n"/>
      <c r="E522" s="5" t="n"/>
      <c r="F522" s="5" t="n"/>
      <c r="G522" s="5" t="n"/>
      <c r="H522" s="5" t="n"/>
      <c r="I522" s="5" t="n"/>
      <c r="J522" s="5" t="n"/>
      <c r="K522" s="5" t="n"/>
      <c r="L522" s="5" t="n">
        <v>288</v>
      </c>
      <c r="M522" s="5" t="n">
        <v>284</v>
      </c>
      <c r="N522" s="5" t="n">
        <v>424</v>
      </c>
      <c r="O522" s="5" t="n">
        <v>392</v>
      </c>
      <c r="P522" s="5" t="n">
        <v>453</v>
      </c>
      <c r="Q522" s="5" t="n">
        <v>562</v>
      </c>
      <c r="R522" s="5" t="n">
        <v>480</v>
      </c>
      <c r="S522" s="5" t="n">
        <v>413</v>
      </c>
      <c r="T522" s="5" t="n">
        <v>459</v>
      </c>
      <c r="U522" s="5" t="n">
        <v>508</v>
      </c>
      <c r="V522" s="5" t="n">
        <v>544</v>
      </c>
      <c r="W522" s="5" t="n">
        <v>482</v>
      </c>
      <c r="X522" s="5" t="n">
        <v>604</v>
      </c>
      <c r="Y522" s="14">
        <f>IF(AND(ISNUMBER(C522),C522&gt;0,ISNUMBER(X522)),X522/C522-1,"")</f>
        <v/>
      </c>
    </row>
    <row r="523">
      <c r="A523" s="12" t="inlineStr">
        <is>
          <t>580S</t>
        </is>
      </c>
      <c r="B523" s="13" t="inlineStr">
        <is>
          <t>General</t>
        </is>
      </c>
      <c r="C523" s="5" t="n"/>
      <c r="D523" s="5" t="n"/>
      <c r="E523" s="5" t="n"/>
      <c r="F523" s="5" t="n"/>
      <c r="G523" s="5" t="n"/>
      <c r="H523" s="5" t="n"/>
      <c r="I523" s="5" t="n"/>
      <c r="J523" s="5" t="n"/>
      <c r="K523" s="5" t="n"/>
      <c r="L523" s="5" t="n">
        <v>123</v>
      </c>
      <c r="M523" s="5" t="n">
        <v>138</v>
      </c>
      <c r="N523" s="5" t="n">
        <v>130</v>
      </c>
      <c r="O523" s="5" t="n">
        <v>95</v>
      </c>
      <c r="P523" s="5" t="n">
        <v>169</v>
      </c>
      <c r="Q523" s="5" t="n">
        <v>161</v>
      </c>
      <c r="R523" s="5" t="n">
        <v>137</v>
      </c>
      <c r="S523" s="5" t="n">
        <v>144</v>
      </c>
      <c r="T523" s="5" t="n">
        <v>145</v>
      </c>
      <c r="U523" s="5" t="n">
        <v>169</v>
      </c>
      <c r="V523" s="5" t="n">
        <v>266</v>
      </c>
      <c r="W523" s="5" t="n">
        <v>198</v>
      </c>
      <c r="X523" s="5" t="n">
        <v>198</v>
      </c>
      <c r="Y523" s="14">
        <f>IF(AND(ISNUMBER(C523),C523&gt;0,ISNUMBER(X523)),X523/C523-1,"")</f>
        <v/>
      </c>
    </row>
    <row r="524">
      <c r="A524" s="12" t="inlineStr">
        <is>
          <t>590</t>
        </is>
      </c>
      <c r="B524" s="13" t="inlineStr">
        <is>
          <t>General</t>
        </is>
      </c>
      <c r="C524" s="5" t="n">
        <v>357</v>
      </c>
      <c r="D524" s="5" t="n">
        <v>318</v>
      </c>
      <c r="E524" s="5" t="n">
        <v>416</v>
      </c>
      <c r="F524" s="5" t="n">
        <v>326</v>
      </c>
      <c r="G524" s="5" t="n">
        <v>296</v>
      </c>
      <c r="H524" s="5" t="n">
        <v>345</v>
      </c>
      <c r="I524" s="5" t="n">
        <v>365</v>
      </c>
      <c r="J524" s="5" t="n">
        <v>417</v>
      </c>
      <c r="K524" s="5" t="n">
        <v>497</v>
      </c>
      <c r="L524" s="5" t="n">
        <v>333</v>
      </c>
      <c r="M524" s="5" t="n">
        <v>394</v>
      </c>
      <c r="N524" s="5" t="n">
        <v>513</v>
      </c>
      <c r="O524" s="5" t="n"/>
      <c r="P524" s="5" t="n">
        <v>660</v>
      </c>
      <c r="Q524" s="5" t="n"/>
      <c r="R524" s="5" t="n"/>
      <c r="S524" s="5" t="n"/>
      <c r="T524" s="5" t="n"/>
      <c r="U524" s="5" t="n">
        <v>712</v>
      </c>
      <c r="V524" s="5" t="n">
        <v>651</v>
      </c>
      <c r="W524" s="5" t="n">
        <v>750</v>
      </c>
      <c r="X524" s="5" t="n">
        <v>766</v>
      </c>
      <c r="Y524" s="14">
        <f>IF(AND(ISNUMBER(C524),C524&gt;0,ISNUMBER(X524)),X524/C524-1,"")</f>
        <v/>
      </c>
    </row>
    <row r="525">
      <c r="A525" s="12" t="inlineStr">
        <is>
          <t>590N</t>
        </is>
      </c>
      <c r="B525" s="13" t="inlineStr">
        <is>
          <t>General</t>
        </is>
      </c>
      <c r="C525" s="5" t="n"/>
      <c r="D525" s="5" t="n"/>
      <c r="E525" s="5" t="n"/>
      <c r="F525" s="5" t="n"/>
      <c r="G525" s="5" t="n"/>
      <c r="H525" s="5" t="n"/>
      <c r="I525" s="5" t="n"/>
      <c r="J525" s="5" t="n"/>
      <c r="K525" s="5" t="n"/>
      <c r="L525" s="5" t="n"/>
      <c r="M525" s="5" t="n"/>
      <c r="N525" s="5" t="n"/>
      <c r="O525" s="5" t="n">
        <v>304</v>
      </c>
      <c r="P525" s="5" t="n"/>
      <c r="Q525" s="5" t="n">
        <v>484</v>
      </c>
      <c r="R525" s="5" t="n">
        <v>550</v>
      </c>
      <c r="S525" s="5" t="n">
        <v>642</v>
      </c>
      <c r="T525" s="5" t="n">
        <v>420</v>
      </c>
      <c r="U525" s="5" t="n"/>
      <c r="V525" s="5" t="n"/>
      <c r="W525" s="5" t="n"/>
      <c r="X525" s="5" t="n"/>
      <c r="Y525" s="14">
        <f>IF(AND(ISNUMBER(C525),C525&gt;0,ISNUMBER(X525)),X525/C525-1,"")</f>
        <v/>
      </c>
    </row>
    <row r="526">
      <c r="A526" s="12" t="inlineStr">
        <is>
          <t>590S</t>
        </is>
      </c>
      <c r="B526" s="13" t="inlineStr">
        <is>
          <t>General</t>
        </is>
      </c>
      <c r="C526" s="5" t="n"/>
      <c r="D526" s="5" t="n"/>
      <c r="E526" s="5" t="n"/>
      <c r="F526" s="5" t="n"/>
      <c r="G526" s="5" t="n"/>
      <c r="H526" s="5" t="n"/>
      <c r="I526" s="5" t="n"/>
      <c r="J526" s="5" t="n"/>
      <c r="K526" s="5" t="n"/>
      <c r="L526" s="5" t="n"/>
      <c r="M526" s="5" t="n"/>
      <c r="N526" s="5" t="n"/>
      <c r="O526" s="5" t="n">
        <v>58</v>
      </c>
      <c r="P526" s="5" t="n"/>
      <c r="Q526" s="5" t="n">
        <v>98</v>
      </c>
      <c r="R526" s="5" t="n">
        <v>148</v>
      </c>
      <c r="S526" s="5" t="n">
        <v>129</v>
      </c>
      <c r="T526" s="5" t="n">
        <v>61</v>
      </c>
      <c r="U526" s="5" t="n"/>
      <c r="V526" s="5" t="n"/>
      <c r="W526" s="5" t="n"/>
      <c r="X526" s="5" t="n"/>
      <c r="Y526" s="14">
        <f>IF(AND(ISNUMBER(C526),C526&gt;0,ISNUMBER(X526)),X526/C526-1,"")</f>
        <v/>
      </c>
    </row>
    <row r="527">
      <c r="A527" s="12" t="inlineStr">
        <is>
          <t>600</t>
        </is>
      </c>
      <c r="B527" s="13" t="inlineStr">
        <is>
          <t>General</t>
        </is>
      </c>
      <c r="C527" s="5" t="n"/>
      <c r="D527" s="5" t="n">
        <v>4</v>
      </c>
      <c r="E527" s="5" t="n"/>
      <c r="F527" s="5" t="n">
        <v>8</v>
      </c>
      <c r="G527" s="5" t="n">
        <v>7</v>
      </c>
      <c r="H527" s="5" t="n">
        <v>15</v>
      </c>
      <c r="I527" s="5" t="n">
        <v>3</v>
      </c>
      <c r="J527" s="5" t="n">
        <v>6</v>
      </c>
      <c r="K527" s="5" t="n">
        <v>3</v>
      </c>
      <c r="L527" s="5" t="n">
        <v>3</v>
      </c>
      <c r="M527" s="5" t="n">
        <v>6</v>
      </c>
      <c r="N527" s="5" t="n">
        <v>6</v>
      </c>
      <c r="O527" s="5" t="n">
        <v>3</v>
      </c>
      <c r="P527" s="5" t="n">
        <v>3</v>
      </c>
      <c r="Q527" s="5" t="n">
        <v>3</v>
      </c>
      <c r="R527" s="5" t="n">
        <v>9</v>
      </c>
      <c r="S527" s="5" t="n">
        <v>17</v>
      </c>
      <c r="T527" s="5" t="n">
        <v>16</v>
      </c>
      <c r="U527" s="5" t="n">
        <v>22</v>
      </c>
      <c r="V527" s="5" t="n">
        <v>9</v>
      </c>
      <c r="W527" s="5" t="n">
        <v>14</v>
      </c>
      <c r="X527" s="5" t="n">
        <v>22</v>
      </c>
      <c r="Y527" s="14">
        <f>IF(AND(ISNUMBER(C527),C527&gt;0,ISNUMBER(X527)),X527/C527-1,"")</f>
        <v/>
      </c>
    </row>
    <row r="528">
      <c r="A528" s="12" t="inlineStr">
        <is>
          <t>610</t>
        </is>
      </c>
      <c r="B528" s="4" t="inlineStr"/>
      <c r="C528" s="5" t="n">
        <v>7</v>
      </c>
      <c r="D528" s="5" t="n">
        <v>3</v>
      </c>
      <c r="E528" s="5" t="n">
        <v>4</v>
      </c>
      <c r="F528" s="5" t="n">
        <v>10</v>
      </c>
      <c r="G528" s="5" t="n"/>
      <c r="H528" s="5" t="n"/>
      <c r="I528" s="5" t="n"/>
      <c r="J528" s="5" t="n"/>
      <c r="K528" s="5" t="n"/>
      <c r="L528" s="5" t="n"/>
      <c r="M528" s="5" t="n"/>
      <c r="N528" s="5" t="n"/>
      <c r="O528" s="5" t="n"/>
      <c r="P528" s="5" t="n"/>
      <c r="Q528" s="5" t="n"/>
      <c r="R528" s="5" t="n"/>
      <c r="S528" s="5" t="n"/>
      <c r="T528" s="5" t="n"/>
      <c r="U528" s="5" t="n"/>
      <c r="V528" s="5" t="n"/>
      <c r="W528" s="5" t="n"/>
      <c r="X528" s="5" t="n"/>
      <c r="Y528" s="14">
        <f>IF(AND(ISNUMBER(C528),C528&gt;0,ISNUMBER(X528)),X528/C528-1,"")</f>
        <v/>
      </c>
    </row>
    <row r="529">
      <c r="A529" s="12" t="inlineStr">
        <is>
          <t>611</t>
        </is>
      </c>
      <c r="B529" s="4" t="inlineStr"/>
      <c r="C529" s="5" t="n">
        <v>0</v>
      </c>
      <c r="D529" s="5" t="n">
        <v>0</v>
      </c>
      <c r="E529" s="5" t="n"/>
      <c r="F529" s="5" t="n"/>
      <c r="G529" s="5" t="n"/>
      <c r="H529" s="5" t="n">
        <v>6</v>
      </c>
      <c r="I529" s="5" t="n"/>
      <c r="J529" s="5" t="n"/>
      <c r="K529" s="5" t="n"/>
      <c r="L529" s="5" t="n">
        <v>2</v>
      </c>
      <c r="M529" s="5" t="n">
        <v>3</v>
      </c>
      <c r="N529" s="5" t="n"/>
      <c r="O529" s="5" t="n"/>
      <c r="P529" s="5" t="n">
        <v>3</v>
      </c>
      <c r="Q529" s="5" t="n"/>
      <c r="R529" s="5" t="n">
        <v>2</v>
      </c>
      <c r="S529" s="5" t="n"/>
      <c r="T529" s="5" t="n"/>
      <c r="U529" s="5" t="n"/>
      <c r="V529" s="5" t="n"/>
      <c r="W529" s="5" t="n"/>
      <c r="X529" s="5" t="n"/>
      <c r="Y529" s="14">
        <f>IF(AND(ISNUMBER(C529),C529&gt;0,ISNUMBER(X529)),X529/C529-1,"")</f>
        <v/>
      </c>
    </row>
    <row r="530">
      <c r="A530" s="12" t="inlineStr">
        <is>
          <t>620</t>
        </is>
      </c>
      <c r="B530" s="15" t="inlineStr">
        <is>
          <t>Draw</t>
        </is>
      </c>
      <c r="C530" s="5" t="n">
        <v>112</v>
      </c>
      <c r="D530" s="5" t="n">
        <v>116</v>
      </c>
      <c r="E530" s="5" t="n">
        <v>166</v>
      </c>
      <c r="F530" s="5" t="n">
        <v>301</v>
      </c>
      <c r="G530" s="5" t="n">
        <v>218</v>
      </c>
      <c r="H530" s="5" t="n">
        <v>170</v>
      </c>
      <c r="I530" s="5" t="n">
        <v>114</v>
      </c>
      <c r="J530" s="5" t="n">
        <v>146</v>
      </c>
      <c r="K530" s="5" t="n">
        <v>111</v>
      </c>
      <c r="L530" s="5" t="n">
        <v>133</v>
      </c>
      <c r="M530" s="5" t="n">
        <v>112</v>
      </c>
      <c r="N530" s="5" t="n">
        <v>113</v>
      </c>
      <c r="O530" s="5" t="n">
        <v>150</v>
      </c>
      <c r="P530" s="5" t="n">
        <v>132</v>
      </c>
      <c r="Q530" s="5" t="n">
        <v>150</v>
      </c>
      <c r="R530" s="5" t="n">
        <v>132</v>
      </c>
      <c r="S530" s="5" t="n">
        <v>143</v>
      </c>
      <c r="T530" s="5" t="n">
        <v>135</v>
      </c>
      <c r="U530" s="5" t="n">
        <v>129</v>
      </c>
      <c r="V530" s="5" t="n">
        <v>92</v>
      </c>
      <c r="W530" s="5" t="n">
        <v>128</v>
      </c>
      <c r="X530" s="5" t="n">
        <v>117</v>
      </c>
      <c r="Y530" s="14">
        <f>IF(AND(ISNUMBER(C530),C530&gt;0,ISNUMBER(X530)),X530/C530-1,"")</f>
        <v/>
      </c>
    </row>
    <row r="531">
      <c r="A531" s="12" t="inlineStr">
        <is>
          <t>621</t>
        </is>
      </c>
      <c r="B531" s="15" t="inlineStr">
        <is>
          <t>Draw</t>
        </is>
      </c>
      <c r="C531" s="5" t="n">
        <v>222</v>
      </c>
      <c r="D531" s="5" t="n">
        <v>212</v>
      </c>
      <c r="E531" s="5" t="n">
        <v>371</v>
      </c>
      <c r="F531" s="5" t="n">
        <v>316</v>
      </c>
      <c r="G531" s="5" t="n">
        <v>171</v>
      </c>
      <c r="H531" s="5" t="n">
        <v>148</v>
      </c>
      <c r="I531" s="5" t="n">
        <v>114</v>
      </c>
      <c r="J531" s="5" t="n">
        <v>147</v>
      </c>
      <c r="K531" s="5" t="n">
        <v>136</v>
      </c>
      <c r="L531" s="5" t="n">
        <v>118</v>
      </c>
      <c r="M531" s="5" t="n">
        <v>85</v>
      </c>
      <c r="N531" s="5" t="n">
        <v>176</v>
      </c>
      <c r="O531" s="5" t="n">
        <v>200</v>
      </c>
      <c r="P531" s="5" t="n">
        <v>136</v>
      </c>
      <c r="Q531" s="5" t="n">
        <v>117</v>
      </c>
      <c r="R531" s="5" t="n">
        <v>94</v>
      </c>
      <c r="S531" s="5" t="n">
        <v>155</v>
      </c>
      <c r="T531" s="5" t="n">
        <v>144</v>
      </c>
      <c r="U531" s="5" t="n">
        <v>118</v>
      </c>
      <c r="V531" s="5" t="n">
        <v>126</v>
      </c>
      <c r="W531" s="5" t="n">
        <v>94</v>
      </c>
      <c r="X531" s="5" t="n">
        <v>93</v>
      </c>
      <c r="Y531" s="14">
        <f>IF(AND(ISNUMBER(C531),C531&gt;0,ISNUMBER(X531)),X531/C531-1,"")</f>
        <v/>
      </c>
    </row>
    <row r="532">
      <c r="A532" s="12" t="inlineStr">
        <is>
          <t>622</t>
        </is>
      </c>
      <c r="B532" s="15" t="inlineStr">
        <is>
          <t>Draw</t>
        </is>
      </c>
      <c r="C532" s="5" t="n">
        <v>111</v>
      </c>
      <c r="D532" s="5" t="n">
        <v>75</v>
      </c>
      <c r="E532" s="5" t="n">
        <v>211</v>
      </c>
      <c r="F532" s="5" t="n">
        <v>350</v>
      </c>
      <c r="G532" s="5" t="n">
        <v>346</v>
      </c>
      <c r="H532" s="5" t="n">
        <v>318</v>
      </c>
      <c r="I532" s="5" t="n">
        <v>307</v>
      </c>
      <c r="J532" s="5" t="n">
        <v>340</v>
      </c>
      <c r="K532" s="5" t="n">
        <v>141</v>
      </c>
      <c r="L532" s="5" t="n">
        <v>233</v>
      </c>
      <c r="M532" s="5" t="n">
        <v>119</v>
      </c>
      <c r="N532" s="5" t="n">
        <v>281</v>
      </c>
      <c r="O532" s="5" t="n">
        <v>248</v>
      </c>
      <c r="P532" s="5" t="n">
        <v>189</v>
      </c>
      <c r="Q532" s="5" t="n">
        <v>241</v>
      </c>
      <c r="R532" s="5" t="n">
        <v>201</v>
      </c>
      <c r="S532" s="5" t="n">
        <v>264</v>
      </c>
      <c r="T532" s="5" t="n">
        <v>234</v>
      </c>
      <c r="U532" s="5" t="n">
        <v>138</v>
      </c>
      <c r="V532" s="5" t="n">
        <v>152</v>
      </c>
      <c r="W532" s="5" t="n">
        <v>101</v>
      </c>
      <c r="X532" s="5" t="n">
        <v>102</v>
      </c>
      <c r="Y532" s="14">
        <f>IF(AND(ISNUMBER(C532),C532&gt;0,ISNUMBER(X532)),X532/C532-1,"")</f>
        <v/>
      </c>
    </row>
    <row r="533">
      <c r="A533" s="12" t="inlineStr">
        <is>
          <t>630</t>
        </is>
      </c>
      <c r="B533" s="15" t="inlineStr">
        <is>
          <t>Draw</t>
        </is>
      </c>
      <c r="C533" s="5" t="n">
        <v>7</v>
      </c>
      <c r="D533" s="5" t="n">
        <v>0</v>
      </c>
      <c r="E533" s="5" t="n">
        <v>9</v>
      </c>
      <c r="F533" s="5" t="n">
        <v>0</v>
      </c>
      <c r="G533" s="5" t="n">
        <v>3</v>
      </c>
      <c r="H533" s="5" t="n">
        <v>5</v>
      </c>
      <c r="I533" s="5" t="n">
        <v>10</v>
      </c>
      <c r="J533" s="5" t="n">
        <v>6</v>
      </c>
      <c r="K533" s="5" t="n">
        <v>5</v>
      </c>
      <c r="L533" s="5" t="n">
        <v>6</v>
      </c>
      <c r="M533" s="5" t="n">
        <v>9</v>
      </c>
      <c r="N533" s="5" t="n">
        <v>8</v>
      </c>
      <c r="O533" s="5" t="n">
        <v>24</v>
      </c>
      <c r="P533" s="5" t="n">
        <v>8</v>
      </c>
      <c r="Q533" s="5" t="n">
        <v>12</v>
      </c>
      <c r="R533" s="5" t="n">
        <v>18</v>
      </c>
      <c r="S533" s="5" t="n">
        <v>2</v>
      </c>
      <c r="T533" s="5" t="n">
        <v>14</v>
      </c>
      <c r="U533" s="5" t="n">
        <v>55</v>
      </c>
      <c r="V533" s="5" t="n">
        <v>59</v>
      </c>
      <c r="W533" s="5" t="n">
        <v>61</v>
      </c>
      <c r="X533" s="5" t="n">
        <v>54</v>
      </c>
      <c r="Y533" s="14">
        <f>IF(AND(ISNUMBER(C533),C533&gt;0,ISNUMBER(X533)),X533/C533-1,"")</f>
        <v/>
      </c>
    </row>
    <row r="534">
      <c r="A534" s="12" t="inlineStr">
        <is>
          <t>631</t>
        </is>
      </c>
      <c r="B534" s="4" t="inlineStr"/>
      <c r="C534" s="5" t="n">
        <v>124</v>
      </c>
      <c r="D534" s="5" t="n">
        <v>51</v>
      </c>
      <c r="E534" s="5" t="n">
        <v>144</v>
      </c>
      <c r="F534" s="5" t="n">
        <v>113</v>
      </c>
      <c r="G534" s="5" t="n">
        <v>101</v>
      </c>
      <c r="H534" s="5" t="n">
        <v>98</v>
      </c>
      <c r="I534" s="5" t="n">
        <v>100</v>
      </c>
      <c r="J534" s="5" t="n">
        <v>93</v>
      </c>
      <c r="K534" s="5" t="n">
        <v>73</v>
      </c>
      <c r="L534" s="5" t="n">
        <v>79</v>
      </c>
      <c r="M534" s="5" t="n">
        <v>56</v>
      </c>
      <c r="N534" s="5" t="n">
        <v>89</v>
      </c>
      <c r="O534" s="5" t="n">
        <v>103</v>
      </c>
      <c r="P534" s="5" t="n">
        <v>74</v>
      </c>
      <c r="Q534" s="5" t="n">
        <v>60</v>
      </c>
      <c r="R534" s="5" t="n">
        <v>44</v>
      </c>
      <c r="S534" s="5" t="n">
        <v>47</v>
      </c>
      <c r="T534" s="5" t="n">
        <v>64</v>
      </c>
      <c r="U534" s="5" t="n"/>
      <c r="V534" s="5" t="n"/>
      <c r="W534" s="5" t="n"/>
      <c r="X534" s="5" t="n"/>
      <c r="Y534" s="14">
        <f>IF(AND(ISNUMBER(C534),C534&gt;0,ISNUMBER(X534)),X534/C534-1,"")</f>
        <v/>
      </c>
    </row>
    <row r="535">
      <c r="A535" s="12" t="inlineStr">
        <is>
          <t>632</t>
        </is>
      </c>
      <c r="B535" s="4" t="inlineStr"/>
      <c r="C535" s="5" t="n">
        <v>31</v>
      </c>
      <c r="D535" s="5" t="n">
        <v>20</v>
      </c>
      <c r="E535" s="5" t="n">
        <v>37</v>
      </c>
      <c r="F535" s="5" t="n">
        <v>48</v>
      </c>
      <c r="G535" s="5" t="n">
        <v>36</v>
      </c>
      <c r="H535" s="5" t="n">
        <v>49</v>
      </c>
      <c r="I535" s="5" t="n">
        <v>36</v>
      </c>
      <c r="J535" s="5" t="n">
        <v>38</v>
      </c>
      <c r="K535" s="5" t="n">
        <v>22</v>
      </c>
      <c r="L535" s="5" t="n">
        <v>30</v>
      </c>
      <c r="M535" s="5" t="n">
        <v>37</v>
      </c>
      <c r="N535" s="5" t="n">
        <v>20</v>
      </c>
      <c r="O535" s="5" t="n">
        <v>37</v>
      </c>
      <c r="P535" s="5" t="n">
        <v>23</v>
      </c>
      <c r="Q535" s="5" t="n">
        <v>14</v>
      </c>
      <c r="R535" s="5" t="n">
        <v>19</v>
      </c>
      <c r="S535" s="5" t="n">
        <v>19</v>
      </c>
      <c r="T535" s="5" t="n">
        <v>16</v>
      </c>
      <c r="U535" s="5" t="n"/>
      <c r="V535" s="5" t="n"/>
      <c r="W535" s="5" t="n"/>
      <c r="X535" s="5" t="n"/>
      <c r="Y535" s="14">
        <f>IF(AND(ISNUMBER(C535),C535&gt;0,ISNUMBER(X535)),X535/C535-1,"")</f>
        <v/>
      </c>
    </row>
    <row r="536">
      <c r="A536" s="12" t="inlineStr">
        <is>
          <t>640</t>
        </is>
      </c>
      <c r="B536" s="13" t="inlineStr">
        <is>
          <t>General</t>
        </is>
      </c>
      <c r="C536" s="5" t="n">
        <v>1</v>
      </c>
      <c r="D536" s="5" t="n">
        <v>4</v>
      </c>
      <c r="E536" s="5" t="n">
        <v>4</v>
      </c>
      <c r="F536" s="5" t="n"/>
      <c r="G536" s="5" t="n">
        <v>3</v>
      </c>
      <c r="H536" s="5" t="n">
        <v>3</v>
      </c>
      <c r="I536" s="5" t="n">
        <v>17</v>
      </c>
      <c r="J536" s="5" t="n"/>
      <c r="K536" s="5" t="n"/>
      <c r="L536" s="5" t="n"/>
      <c r="M536" s="5" t="n">
        <v>3</v>
      </c>
      <c r="N536" s="5" t="n">
        <v>6</v>
      </c>
      <c r="O536" s="5" t="n">
        <v>3</v>
      </c>
      <c r="P536" s="5" t="n"/>
      <c r="Q536" s="5" t="n">
        <v>3</v>
      </c>
      <c r="R536" s="5" t="n">
        <v>3</v>
      </c>
      <c r="S536" s="5" t="n">
        <v>4</v>
      </c>
      <c r="T536" s="5" t="n">
        <v>4</v>
      </c>
      <c r="U536" s="5" t="n">
        <v>16</v>
      </c>
      <c r="V536" s="5" t="n">
        <v>14</v>
      </c>
      <c r="W536" s="5" t="n">
        <v>3</v>
      </c>
      <c r="X536" s="5" t="n">
        <v>27</v>
      </c>
      <c r="Y536" s="14">
        <f>IF(AND(ISNUMBER(C536),C536&gt;0,ISNUMBER(X536)),X536/C536-1,"")</f>
        <v/>
      </c>
    </row>
    <row r="537">
      <c r="A537" s="12" t="inlineStr">
        <is>
          <t>641</t>
        </is>
      </c>
      <c r="B537" s="4" t="inlineStr"/>
      <c r="C537" s="5" t="n"/>
      <c r="D537" s="5" t="n">
        <v>0</v>
      </c>
      <c r="E537" s="5" t="n"/>
      <c r="F537" s="5" t="n"/>
      <c r="G537" s="5" t="n"/>
      <c r="H537" s="5" t="n"/>
      <c r="I537" s="5" t="n"/>
      <c r="J537" s="5" t="n"/>
      <c r="K537" s="5" t="n"/>
      <c r="L537" s="5" t="n"/>
      <c r="M537" s="5" t="n"/>
      <c r="N537" s="5" t="n">
        <v>3</v>
      </c>
      <c r="O537" s="5" t="n">
        <v>3</v>
      </c>
      <c r="P537" s="5" t="n"/>
      <c r="Q537" s="5" t="n">
        <v>2</v>
      </c>
      <c r="R537" s="5" t="n"/>
      <c r="S537" s="5" t="n"/>
      <c r="T537" s="5" t="n"/>
      <c r="U537" s="5" t="n"/>
      <c r="V537" s="5" t="n"/>
      <c r="W537" s="5" t="n"/>
      <c r="X537" s="5" t="n"/>
      <c r="Y537" s="14">
        <f>IF(AND(ISNUMBER(C537),C537&gt;0,ISNUMBER(X537)),X537/C537-1,"")</f>
        <v/>
      </c>
    </row>
    <row r="538">
      <c r="A538" s="12" t="inlineStr">
        <is>
          <t>650</t>
        </is>
      </c>
      <c r="B538" s="13" t="inlineStr">
        <is>
          <t>General</t>
        </is>
      </c>
      <c r="C538" s="5" t="n">
        <v>0</v>
      </c>
      <c r="D538" s="5" t="n">
        <v>0</v>
      </c>
      <c r="E538" s="5" t="n">
        <v>4</v>
      </c>
      <c r="F538" s="5" t="n"/>
      <c r="G538" s="5" t="n">
        <v>3</v>
      </c>
      <c r="H538" s="5" t="n">
        <v>2</v>
      </c>
      <c r="I538" s="5" t="n"/>
      <c r="J538" s="5" t="n">
        <v>3</v>
      </c>
      <c r="K538" s="5" t="n"/>
      <c r="L538" s="5" t="n">
        <v>6</v>
      </c>
      <c r="M538" s="5" t="n"/>
      <c r="N538" s="5" t="n"/>
      <c r="O538" s="5" t="n"/>
      <c r="P538" s="5" t="n">
        <v>3</v>
      </c>
      <c r="Q538" s="5" t="n"/>
      <c r="R538" s="5" t="n"/>
      <c r="S538" s="5" t="n"/>
      <c r="T538" s="5" t="n">
        <v>4</v>
      </c>
      <c r="U538" s="5" t="n">
        <v>9</v>
      </c>
      <c r="V538" s="5" t="n">
        <v>6</v>
      </c>
      <c r="W538" s="5" t="n">
        <v>14</v>
      </c>
      <c r="X538" s="5" t="n">
        <v>4</v>
      </c>
      <c r="Y538" s="14">
        <f>IF(AND(ISNUMBER(C538),C538&gt;0,ISNUMBER(X538)),X538/C538-1,"")</f>
        <v/>
      </c>
    </row>
    <row r="539">
      <c r="A539" s="12" t="inlineStr">
        <is>
          <t>651</t>
        </is>
      </c>
      <c r="B539" s="4" t="inlineStr"/>
      <c r="C539" s="5" t="n">
        <v>3</v>
      </c>
      <c r="D539" s="5" t="n">
        <v>1</v>
      </c>
      <c r="E539" s="5" t="n"/>
      <c r="F539" s="5" t="n"/>
      <c r="G539" s="5" t="n"/>
      <c r="H539" s="5" t="n">
        <v>3</v>
      </c>
      <c r="I539" s="5" t="n">
        <v>18</v>
      </c>
      <c r="J539" s="5" t="n">
        <v>3</v>
      </c>
      <c r="K539" s="5" t="n">
        <v>4</v>
      </c>
      <c r="L539" s="5" t="n">
        <v>6</v>
      </c>
      <c r="M539" s="5" t="n"/>
      <c r="N539" s="5" t="n">
        <v>6</v>
      </c>
      <c r="O539" s="5" t="n">
        <v>3</v>
      </c>
      <c r="P539" s="5" t="n">
        <v>3</v>
      </c>
      <c r="Q539" s="5" t="n"/>
      <c r="R539" s="5" t="n">
        <v>14</v>
      </c>
      <c r="S539" s="5" t="n"/>
      <c r="T539" s="5" t="n"/>
      <c r="U539" s="5" t="n"/>
      <c r="V539" s="5" t="n"/>
      <c r="W539" s="5" t="n"/>
      <c r="X539" s="5" t="n"/>
      <c r="Y539" s="14">
        <f>IF(AND(ISNUMBER(C539),C539&gt;0,ISNUMBER(X539)),X539/C539-1,"")</f>
        <v/>
      </c>
    </row>
    <row r="540">
      <c r="A540" s="12" t="inlineStr">
        <is>
          <t>652</t>
        </is>
      </c>
      <c r="B540" s="13" t="inlineStr">
        <is>
          <t>General</t>
        </is>
      </c>
      <c r="C540" s="5" t="n">
        <v>0</v>
      </c>
      <c r="D540" s="5" t="n">
        <v>0</v>
      </c>
      <c r="E540" s="5" t="n">
        <v>4</v>
      </c>
      <c r="F540" s="5" t="n"/>
      <c r="G540" s="5" t="n"/>
      <c r="H540" s="5" t="n"/>
      <c r="I540" s="5" t="n"/>
      <c r="J540" s="5" t="n"/>
      <c r="K540" s="5" t="n">
        <v>2</v>
      </c>
      <c r="L540" s="5" t="n"/>
      <c r="M540" s="5" t="n"/>
      <c r="N540" s="5" t="n"/>
      <c r="O540" s="5" t="n"/>
      <c r="P540" s="5" t="n"/>
      <c r="Q540" s="5" t="n"/>
      <c r="R540" s="5" t="n"/>
      <c r="S540" s="5" t="n"/>
      <c r="T540" s="5" t="n">
        <v>3</v>
      </c>
      <c r="U540" s="5" t="n"/>
      <c r="V540" s="5" t="n">
        <v>3</v>
      </c>
      <c r="W540" s="5" t="n"/>
      <c r="X540" s="5" t="n"/>
      <c r="Y540" s="14">
        <f>IF(AND(ISNUMBER(C540),C540&gt;0,ISNUMBER(X540)),X540/C540-1,"")</f>
        <v/>
      </c>
    </row>
    <row r="541">
      <c r="A541" s="12" t="inlineStr">
        <is>
          <t>670</t>
        </is>
      </c>
      <c r="B541" s="13" t="inlineStr">
        <is>
          <t>General</t>
        </is>
      </c>
      <c r="C541" s="5" t="n">
        <v>0</v>
      </c>
      <c r="D541" s="5" t="n">
        <v>0</v>
      </c>
      <c r="E541" s="5" t="n"/>
      <c r="F541" s="5" t="n"/>
      <c r="G541" s="5" t="n">
        <v>5</v>
      </c>
      <c r="H541" s="5" t="n"/>
      <c r="I541" s="5" t="n">
        <v>8</v>
      </c>
      <c r="J541" s="5" t="n"/>
      <c r="K541" s="5" t="n">
        <v>8</v>
      </c>
      <c r="L541" s="5" t="n">
        <v>14</v>
      </c>
      <c r="M541" s="5" t="n">
        <v>3</v>
      </c>
      <c r="N541" s="5" t="n">
        <v>3</v>
      </c>
      <c r="O541" s="5" t="n"/>
      <c r="P541" s="5" t="n"/>
      <c r="Q541" s="5" t="n">
        <v>6</v>
      </c>
      <c r="R541" s="5" t="n"/>
      <c r="S541" s="5" t="n">
        <v>4</v>
      </c>
      <c r="T541" s="5" t="n">
        <v>7</v>
      </c>
      <c r="U541" s="5" t="n">
        <v>7</v>
      </c>
      <c r="V541" s="5" t="n">
        <v>3</v>
      </c>
      <c r="W541" s="5" t="n">
        <v>3</v>
      </c>
      <c r="X541" s="5" t="n">
        <v>8</v>
      </c>
      <c r="Y541" s="14">
        <f>IF(AND(ISNUMBER(C541),C541&gt;0,ISNUMBER(X541)),X541/C541-1,"")</f>
        <v/>
      </c>
    </row>
    <row r="542">
      <c r="A542" s="12" t="inlineStr">
        <is>
          <t>680</t>
        </is>
      </c>
      <c r="B542" s="4" t="inlineStr"/>
      <c r="C542" s="5" t="n">
        <v>9</v>
      </c>
      <c r="D542" s="5" t="n">
        <v>4</v>
      </c>
      <c r="E542" s="5" t="n">
        <v>6</v>
      </c>
      <c r="F542" s="5" t="n">
        <v>22</v>
      </c>
      <c r="G542" s="5" t="n">
        <v>10</v>
      </c>
      <c r="H542" s="5" t="n">
        <v>6</v>
      </c>
      <c r="I542" s="5" t="n">
        <v>3</v>
      </c>
      <c r="J542" s="5" t="n">
        <v>12</v>
      </c>
      <c r="K542" s="5" t="n">
        <v>6</v>
      </c>
      <c r="L542" s="5" t="n">
        <v>10</v>
      </c>
      <c r="M542" s="5" t="n">
        <v>6</v>
      </c>
      <c r="N542" s="5" t="n">
        <v>30</v>
      </c>
      <c r="O542" s="5" t="n">
        <v>32</v>
      </c>
      <c r="P542" s="5" t="n">
        <v>16</v>
      </c>
      <c r="Q542" s="5" t="n">
        <v>11</v>
      </c>
      <c r="R542" s="5" t="n">
        <v>9</v>
      </c>
      <c r="S542" s="5" t="n"/>
      <c r="T542" s="5" t="n"/>
      <c r="U542" s="5" t="n"/>
      <c r="V542" s="5" t="n"/>
      <c r="W542" s="5" t="n"/>
      <c r="X542" s="5" t="n"/>
      <c r="Y542" s="14">
        <f>IF(AND(ISNUMBER(C542),C542&gt;0,ISNUMBER(X542)),X542/C542-1,"")</f>
        <v/>
      </c>
    </row>
    <row r="543">
      <c r="A543" s="12" t="inlineStr">
        <is>
          <t>690</t>
        </is>
      </c>
      <c r="B543" s="15" t="inlineStr">
        <is>
          <t>Draw</t>
        </is>
      </c>
      <c r="C543" s="5" t="n">
        <v>47</v>
      </c>
      <c r="D543" s="5" t="n">
        <v>50</v>
      </c>
      <c r="E543" s="5" t="n">
        <v>73</v>
      </c>
      <c r="F543" s="5" t="n">
        <v>93</v>
      </c>
      <c r="G543" s="5" t="n">
        <v>72</v>
      </c>
      <c r="H543" s="5" t="n">
        <v>62</v>
      </c>
      <c r="I543" s="5" t="n">
        <v>134</v>
      </c>
      <c r="J543" s="5" t="n">
        <v>110</v>
      </c>
      <c r="K543" s="5" t="n">
        <v>69</v>
      </c>
      <c r="L543" s="5" t="n">
        <v>74</v>
      </c>
      <c r="M543" s="5" t="n">
        <v>71</v>
      </c>
      <c r="N543" s="5" t="n">
        <v>129</v>
      </c>
      <c r="O543" s="5" t="n">
        <v>106</v>
      </c>
      <c r="P543" s="5" t="n">
        <v>70</v>
      </c>
      <c r="Q543" s="5" t="n">
        <v>97</v>
      </c>
      <c r="R543" s="5" t="n">
        <v>107</v>
      </c>
      <c r="S543" s="5" t="n">
        <v>232</v>
      </c>
      <c r="T543" s="5" t="n">
        <v>179</v>
      </c>
      <c r="U543" s="5" t="n">
        <v>220</v>
      </c>
      <c r="V543" s="5" t="n">
        <v>209</v>
      </c>
      <c r="W543" s="5" t="n">
        <v>257</v>
      </c>
      <c r="X543" s="5" t="n">
        <v>349</v>
      </c>
      <c r="Y543" s="14">
        <f>IF(AND(ISNUMBER(C543),C543&gt;0,ISNUMBER(X543)),X543/C543-1,"")</f>
        <v/>
      </c>
    </row>
    <row r="544">
      <c r="A544" s="12" t="inlineStr">
        <is>
          <t>700</t>
        </is>
      </c>
      <c r="B544" s="15" t="inlineStr">
        <is>
          <t>Draw</t>
        </is>
      </c>
      <c r="C544" s="5" t="n">
        <v>252</v>
      </c>
      <c r="D544" s="5" t="n">
        <v>263</v>
      </c>
      <c r="E544" s="5" t="n">
        <v>404</v>
      </c>
      <c r="F544" s="5" t="n">
        <v>332</v>
      </c>
      <c r="G544" s="5" t="n">
        <v>381</v>
      </c>
      <c r="H544" s="5" t="n">
        <v>408</v>
      </c>
      <c r="I544" s="5" t="n">
        <v>387</v>
      </c>
      <c r="J544" s="5" t="n">
        <v>486</v>
      </c>
      <c r="K544" s="5" t="n">
        <v>423</v>
      </c>
      <c r="L544" s="5" t="n">
        <v>503</v>
      </c>
      <c r="M544" s="5" t="n">
        <v>377</v>
      </c>
      <c r="N544" s="5" t="n">
        <v>460</v>
      </c>
      <c r="O544" s="5" t="n">
        <v>578</v>
      </c>
      <c r="P544" s="5" t="n">
        <v>489</v>
      </c>
      <c r="Q544" s="5" t="n">
        <v>535</v>
      </c>
      <c r="R544" s="5" t="n">
        <v>493</v>
      </c>
      <c r="S544" s="5" t="n">
        <v>648</v>
      </c>
      <c r="T544" s="5" t="n">
        <v>499</v>
      </c>
      <c r="U544" s="5" t="n">
        <v>499</v>
      </c>
      <c r="V544" s="5" t="n">
        <v>518</v>
      </c>
      <c r="W544" s="5" t="n">
        <v>660</v>
      </c>
      <c r="X544" s="5" t="n">
        <v>588</v>
      </c>
      <c r="Y544" s="14">
        <f>IF(AND(ISNUMBER(C544),C544&gt;0,ISNUMBER(X544)),X544/C544-1,"")</f>
        <v/>
      </c>
    </row>
    <row r="545">
      <c r="A545" s="12" t="inlineStr">
        <is>
          <t>701</t>
        </is>
      </c>
      <c r="B545" s="13" t="inlineStr">
        <is>
          <t>General</t>
        </is>
      </c>
      <c r="C545" s="5" t="n">
        <v>13</v>
      </c>
      <c r="D545" s="5" t="n">
        <v>14</v>
      </c>
      <c r="E545" s="5" t="n">
        <v>21</v>
      </c>
      <c r="F545" s="5" t="n">
        <v>29</v>
      </c>
      <c r="G545" s="5" t="n">
        <v>24</v>
      </c>
      <c r="H545" s="5" t="n">
        <v>49</v>
      </c>
      <c r="I545" s="5" t="n">
        <v>70</v>
      </c>
      <c r="J545" s="5" t="n">
        <v>59</v>
      </c>
      <c r="K545" s="5" t="n">
        <v>47</v>
      </c>
      <c r="L545" s="5" t="n"/>
      <c r="M545" s="5" t="n"/>
      <c r="N545" s="5" t="n"/>
      <c r="O545" s="5" t="n"/>
      <c r="P545" s="5" t="n"/>
      <c r="Q545" s="5" t="n"/>
      <c r="R545" s="5" t="n"/>
      <c r="S545" s="5" t="n"/>
      <c r="T545" s="5" t="n"/>
      <c r="U545" s="5" t="n"/>
      <c r="V545" s="5" t="n"/>
      <c r="W545" s="5" t="n"/>
      <c r="X545" s="5" t="n"/>
      <c r="Y545" s="14">
        <f>IF(AND(ISNUMBER(C545),C545&gt;0,ISNUMBER(X545)),X545/C545-1,"")</f>
        <v/>
      </c>
    </row>
    <row r="546">
      <c r="A546" s="12" t="inlineStr">
        <is>
          <t>701E</t>
        </is>
      </c>
      <c r="B546" s="13" t="inlineStr">
        <is>
          <t>General</t>
        </is>
      </c>
      <c r="C546" s="5" t="n"/>
      <c r="D546" s="5" t="n"/>
      <c r="E546" s="5" t="n"/>
      <c r="F546" s="5" t="n"/>
      <c r="G546" s="5" t="n"/>
      <c r="H546" s="5" t="n"/>
      <c r="I546" s="5" t="n"/>
      <c r="J546" s="5" t="n"/>
      <c r="K546" s="5" t="n"/>
      <c r="L546" s="5" t="n">
        <v>26</v>
      </c>
      <c r="M546" s="5" t="n">
        <v>26</v>
      </c>
      <c r="N546" s="5" t="n">
        <v>27</v>
      </c>
      <c r="O546" s="5" t="n">
        <v>38</v>
      </c>
      <c r="P546" s="5" t="n">
        <v>50</v>
      </c>
      <c r="Q546" s="5" t="n"/>
      <c r="R546" s="5" t="n">
        <v>70</v>
      </c>
      <c r="S546" s="5" t="n">
        <v>83</v>
      </c>
      <c r="T546" s="5" t="n">
        <v>114</v>
      </c>
      <c r="U546" s="5" t="n">
        <v>77</v>
      </c>
      <c r="V546" s="5" t="n">
        <v>92</v>
      </c>
      <c r="W546" s="5" t="n">
        <v>105</v>
      </c>
      <c r="X546" s="5" t="n">
        <v>102</v>
      </c>
      <c r="Y546" s="14">
        <f>IF(AND(ISNUMBER(C546),C546&gt;0,ISNUMBER(X546)),X546/C546-1,"")</f>
        <v/>
      </c>
    </row>
    <row r="547">
      <c r="A547" s="12" t="inlineStr">
        <is>
          <t>701W</t>
        </is>
      </c>
      <c r="B547" s="13" t="inlineStr">
        <is>
          <t>General</t>
        </is>
      </c>
      <c r="C547" s="5" t="n"/>
      <c r="D547" s="5" t="n"/>
      <c r="E547" s="5" t="n"/>
      <c r="F547" s="5" t="n"/>
      <c r="G547" s="5" t="n"/>
      <c r="H547" s="5" t="n"/>
      <c r="I547" s="5" t="n"/>
      <c r="J547" s="5" t="n"/>
      <c r="K547" s="5" t="n"/>
      <c r="L547" s="5" t="n">
        <v>17</v>
      </c>
      <c r="M547" s="5" t="n">
        <v>31</v>
      </c>
      <c r="N547" s="5" t="n">
        <v>10</v>
      </c>
      <c r="O547" s="5" t="n">
        <v>30</v>
      </c>
      <c r="P547" s="5" t="n">
        <v>34</v>
      </c>
      <c r="Q547" s="5" t="n">
        <v>33</v>
      </c>
      <c r="R547" s="5" t="n">
        <v>22</v>
      </c>
      <c r="S547" s="5" t="n">
        <v>98</v>
      </c>
      <c r="T547" s="5" t="n">
        <v>17</v>
      </c>
      <c r="U547" s="5" t="n">
        <v>17</v>
      </c>
      <c r="V547" s="5" t="n">
        <v>42</v>
      </c>
      <c r="W547" s="5" t="n">
        <v>73</v>
      </c>
      <c r="X547" s="5" t="n">
        <v>37</v>
      </c>
      <c r="Y547" s="14">
        <f>IF(AND(ISNUMBER(C547),C547&gt;0,ISNUMBER(X547)),X547/C547-1,"")</f>
        <v/>
      </c>
    </row>
    <row r="548">
      <c r="A548" s="12" t="inlineStr">
        <is>
          <t>702</t>
        </is>
      </c>
      <c r="B548" s="13" t="inlineStr">
        <is>
          <t>General</t>
        </is>
      </c>
      <c r="C548" s="5" t="n">
        <v>36</v>
      </c>
      <c r="D548" s="5" t="n">
        <v>35</v>
      </c>
      <c r="E548" s="5" t="n">
        <v>37</v>
      </c>
      <c r="F548" s="5" t="n">
        <v>23</v>
      </c>
      <c r="G548" s="5" t="n">
        <v>48</v>
      </c>
      <c r="H548" s="5" t="n">
        <v>43</v>
      </c>
      <c r="I548" s="5" t="n">
        <v>85</v>
      </c>
      <c r="J548" s="5" t="n">
        <v>82</v>
      </c>
      <c r="K548" s="5" t="n">
        <v>128</v>
      </c>
      <c r="L548" s="5" t="n">
        <v>103</v>
      </c>
      <c r="M548" s="5" t="n">
        <v>150</v>
      </c>
      <c r="N548" s="5" t="n">
        <v>116</v>
      </c>
      <c r="O548" s="5" t="n">
        <v>104</v>
      </c>
      <c r="P548" s="5" t="n">
        <v>137</v>
      </c>
      <c r="Q548" s="5" t="n">
        <v>142</v>
      </c>
      <c r="R548" s="5" t="n">
        <v>189</v>
      </c>
      <c r="S548" s="5" t="n">
        <v>210</v>
      </c>
      <c r="T548" s="5" t="n">
        <v>224</v>
      </c>
      <c r="U548" s="5" t="n">
        <v>220</v>
      </c>
      <c r="V548" s="5" t="n">
        <v>184</v>
      </c>
      <c r="W548" s="5" t="n">
        <v>284</v>
      </c>
      <c r="X548" s="5" t="n">
        <v>263</v>
      </c>
      <c r="Y548" s="14">
        <f>IF(AND(ISNUMBER(C548),C548&gt;0,ISNUMBER(X548)),X548/C548-1,"")</f>
        <v/>
      </c>
    </row>
    <row r="549">
      <c r="A549" s="12" t="inlineStr">
        <is>
          <t>703</t>
        </is>
      </c>
      <c r="B549" s="13" t="inlineStr">
        <is>
          <t>General</t>
        </is>
      </c>
      <c r="C549" s="5" t="n">
        <v>3</v>
      </c>
      <c r="D549" s="5" t="n">
        <v>8</v>
      </c>
      <c r="E549" s="5" t="n">
        <v>20</v>
      </c>
      <c r="F549" s="5" t="n">
        <v>5</v>
      </c>
      <c r="G549" s="5" t="n">
        <v>8</v>
      </c>
      <c r="H549" s="5" t="n">
        <v>14</v>
      </c>
      <c r="I549" s="5" t="n">
        <v>12</v>
      </c>
      <c r="J549" s="5" t="n">
        <v>28</v>
      </c>
      <c r="K549" s="5" t="n">
        <v>11</v>
      </c>
      <c r="L549" s="5" t="n">
        <v>20</v>
      </c>
      <c r="M549" s="5" t="n">
        <v>38</v>
      </c>
      <c r="N549" s="5" t="n">
        <v>14</v>
      </c>
      <c r="O549" s="5" t="n">
        <v>21</v>
      </c>
      <c r="P549" s="5" t="n">
        <v>6</v>
      </c>
      <c r="Q549" s="5" t="n">
        <v>27</v>
      </c>
      <c r="R549" s="5" t="n">
        <v>33</v>
      </c>
      <c r="S549" s="5" t="n">
        <v>65</v>
      </c>
      <c r="T549" s="5" t="n">
        <v>41</v>
      </c>
      <c r="U549" s="5" t="n">
        <v>73</v>
      </c>
      <c r="V549" s="5" t="n">
        <v>94</v>
      </c>
      <c r="W549" s="5" t="n">
        <v>62</v>
      </c>
      <c r="X549" s="5" t="n">
        <v>111</v>
      </c>
      <c r="Y549" s="14">
        <f>IF(AND(ISNUMBER(C549),C549&gt;0,ISNUMBER(X549)),X549/C549-1,"")</f>
        <v/>
      </c>
    </row>
    <row r="550">
      <c r="A550" s="12" t="inlineStr">
        <is>
          <t>704</t>
        </is>
      </c>
      <c r="B550" s="13" t="inlineStr">
        <is>
          <t>General</t>
        </is>
      </c>
      <c r="C550" s="5" t="n">
        <v>86</v>
      </c>
      <c r="D550" s="5" t="n">
        <v>93</v>
      </c>
      <c r="E550" s="5" t="n">
        <v>109</v>
      </c>
      <c r="F550" s="5" t="n">
        <v>105</v>
      </c>
      <c r="G550" s="5" t="n">
        <v>161</v>
      </c>
      <c r="H550" s="5" t="n">
        <v>145</v>
      </c>
      <c r="I550" s="5" t="n">
        <v>141</v>
      </c>
      <c r="J550" s="5" t="n">
        <v>175</v>
      </c>
      <c r="K550" s="5" t="n">
        <v>148</v>
      </c>
      <c r="L550" s="5" t="n">
        <v>213</v>
      </c>
      <c r="M550" s="5" t="n">
        <v>217</v>
      </c>
      <c r="N550" s="5" t="n">
        <v>236</v>
      </c>
      <c r="O550" s="5" t="n">
        <v>224</v>
      </c>
      <c r="P550" s="5" t="n">
        <v>333</v>
      </c>
      <c r="Q550" s="5" t="n">
        <v>327</v>
      </c>
      <c r="R550" s="5" t="n">
        <v>301</v>
      </c>
      <c r="S550" s="5" t="n">
        <v>421</v>
      </c>
      <c r="T550" s="5" t="n">
        <v>401</v>
      </c>
      <c r="U550" s="5" t="n">
        <v>342</v>
      </c>
      <c r="V550" s="5" t="n">
        <v>396</v>
      </c>
      <c r="W550" s="5" t="n">
        <v>534</v>
      </c>
      <c r="X550" s="5" t="n">
        <v>492</v>
      </c>
      <c r="Y550" s="14">
        <f>IF(AND(ISNUMBER(C550),C550&gt;0,ISNUMBER(X550)),X550/C550-1,"")</f>
        <v/>
      </c>
    </row>
    <row r="551">
      <c r="A551" s="12" t="inlineStr">
        <is>
          <t>705</t>
        </is>
      </c>
      <c r="B551" s="13" t="inlineStr">
        <is>
          <t>General</t>
        </is>
      </c>
      <c r="C551" s="5" t="n">
        <v>28</v>
      </c>
      <c r="D551" s="5" t="n">
        <v>32</v>
      </c>
      <c r="E551" s="5" t="n">
        <v>56</v>
      </c>
      <c r="F551" s="5" t="n">
        <v>60</v>
      </c>
      <c r="G551" s="5" t="n">
        <v>27</v>
      </c>
      <c r="H551" s="5" t="n">
        <v>35</v>
      </c>
      <c r="I551" s="5" t="n">
        <v>51</v>
      </c>
      <c r="J551" s="5" t="n">
        <v>62</v>
      </c>
      <c r="K551" s="5" t="n">
        <v>49</v>
      </c>
      <c r="L551" s="5" t="n">
        <v>58</v>
      </c>
      <c r="M551" s="5" t="n">
        <v>96</v>
      </c>
      <c r="N551" s="5" t="n">
        <v>109</v>
      </c>
      <c r="O551" s="5" t="n">
        <v>90</v>
      </c>
      <c r="P551" s="5" t="n">
        <v>107</v>
      </c>
      <c r="Q551" s="5" t="n">
        <v>159</v>
      </c>
      <c r="R551" s="5" t="n">
        <v>166</v>
      </c>
      <c r="S551" s="5" t="n">
        <v>127</v>
      </c>
      <c r="T551" s="5" t="n">
        <v>154</v>
      </c>
      <c r="U551" s="5" t="n">
        <v>184</v>
      </c>
      <c r="V551" s="5" t="n">
        <v>171</v>
      </c>
      <c r="W551" s="5" t="n">
        <v>203</v>
      </c>
      <c r="X551" s="5" t="n">
        <v>145</v>
      </c>
      <c r="Y551" s="14">
        <f>IF(AND(ISNUMBER(C551),C551&gt;0,ISNUMBER(X551)),X551/C551-1,"")</f>
        <v/>
      </c>
    </row>
    <row r="554">
      <c r="A554" s="6" t="inlineStr">
        <is>
          <t>Antelope</t>
        </is>
      </c>
    </row>
    <row r="555">
      <c r="A555" s="3" t="inlineStr">
        <is>
          <t>District</t>
        </is>
      </c>
      <c r="B555" s="3" t="inlineStr">
        <is>
          <t>License</t>
        </is>
      </c>
      <c r="C555" s="3" t="inlineStr">
        <is>
          <t>2004</t>
        </is>
      </c>
      <c r="D555" s="3" t="inlineStr">
        <is>
          <t>2005</t>
        </is>
      </c>
      <c r="E555" s="3" t="inlineStr">
        <is>
          <t>2006</t>
        </is>
      </c>
      <c r="F555" s="3" t="inlineStr">
        <is>
          <t>2007</t>
        </is>
      </c>
      <c r="G555" s="3" t="inlineStr">
        <is>
          <t>2008</t>
        </is>
      </c>
      <c r="H555" s="3" t="inlineStr">
        <is>
          <t>2009</t>
        </is>
      </c>
      <c r="I555" s="3" t="inlineStr">
        <is>
          <t>2010</t>
        </is>
      </c>
      <c r="J555" s="3" t="inlineStr">
        <is>
          <t>2011</t>
        </is>
      </c>
      <c r="K555" s="3" t="inlineStr">
        <is>
          <t>2012</t>
        </is>
      </c>
      <c r="L555" s="3" t="inlineStr">
        <is>
          <t>2013</t>
        </is>
      </c>
      <c r="M555" s="3" t="inlineStr">
        <is>
          <t>2014</t>
        </is>
      </c>
      <c r="N555" s="3" t="inlineStr">
        <is>
          <t>2015</t>
        </is>
      </c>
      <c r="O555" s="3" t="inlineStr">
        <is>
          <t>2016</t>
        </is>
      </c>
      <c r="P555" s="3" t="inlineStr">
        <is>
          <t>2017</t>
        </is>
      </c>
      <c r="Q555" s="3" t="inlineStr">
        <is>
          <t>2018</t>
        </is>
      </c>
      <c r="R555" s="3" t="inlineStr">
        <is>
          <t>2019</t>
        </is>
      </c>
      <c r="S555" s="3" t="inlineStr">
        <is>
          <t>2020</t>
        </is>
      </c>
      <c r="T555" s="3" t="inlineStr">
        <is>
          <t>2021</t>
        </is>
      </c>
      <c r="U555" s="3" t="inlineStr">
        <is>
          <t>2022</t>
        </is>
      </c>
      <c r="V555" s="3" t="inlineStr">
        <is>
          <t>2023</t>
        </is>
      </c>
      <c r="W555" s="3" t="inlineStr">
        <is>
          <t>2024</t>
        </is>
      </c>
      <c r="X555" s="3" t="inlineStr">
        <is>
          <t>2025</t>
        </is>
      </c>
      <c r="Y555" s="3" t="inlineStr">
        <is>
          <t>Change</t>
        </is>
      </c>
    </row>
    <row r="556">
      <c r="A556" s="12" t="inlineStr">
        <is>
          <t>215</t>
        </is>
      </c>
      <c r="B556" s="15" t="inlineStr">
        <is>
          <t>Draw</t>
        </is>
      </c>
      <c r="C556" s="5" t="n">
        <v>19</v>
      </c>
      <c r="D556" s="5" t="n">
        <v>17</v>
      </c>
      <c r="E556" s="5" t="n">
        <v>17</v>
      </c>
      <c r="F556" s="5" t="n">
        <v>19</v>
      </c>
      <c r="G556" s="5" t="n">
        <v>23</v>
      </c>
      <c r="H556" s="5" t="n">
        <v>14</v>
      </c>
      <c r="I556" s="5" t="n">
        <v>38</v>
      </c>
      <c r="J556" s="5" t="n">
        <v>34</v>
      </c>
      <c r="K556" s="5" t="n">
        <v>23</v>
      </c>
      <c r="L556" s="5" t="n">
        <v>18</v>
      </c>
      <c r="M556" s="5" t="n">
        <v>21</v>
      </c>
      <c r="N556" s="5" t="n">
        <v>31</v>
      </c>
      <c r="O556" s="5" t="n">
        <v>17</v>
      </c>
      <c r="P556" s="5" t="n">
        <v>42</v>
      </c>
      <c r="Q556" s="5" t="n">
        <v>35</v>
      </c>
      <c r="R556" s="5" t="n">
        <v>27</v>
      </c>
      <c r="S556" s="5" t="n">
        <v>12</v>
      </c>
      <c r="T556" s="5" t="n">
        <v>5</v>
      </c>
      <c r="U556" s="5" t="n">
        <v>6</v>
      </c>
      <c r="V556" s="5" t="n">
        <v>2</v>
      </c>
      <c r="W556" s="5" t="n">
        <v>5</v>
      </c>
      <c r="X556" s="5" t="n">
        <v>3</v>
      </c>
      <c r="Y556" s="14">
        <f>IF(AND(ISNUMBER(C556),C556&gt;0,ISNUMBER(X556)),X556/C556-1,"")</f>
        <v/>
      </c>
    </row>
    <row r="557">
      <c r="A557" s="12" t="inlineStr">
        <is>
          <t>291</t>
        </is>
      </c>
      <c r="B557" s="15" t="inlineStr">
        <is>
          <t>Draw</t>
        </is>
      </c>
      <c r="C557" s="5" t="n"/>
      <c r="D557" s="5" t="n"/>
      <c r="E557" s="5" t="n"/>
      <c r="F557" s="5" t="n"/>
      <c r="G557" s="5" t="n">
        <v>4</v>
      </c>
      <c r="H557" s="5" t="n">
        <v>4</v>
      </c>
      <c r="I557" s="5" t="n">
        <v>3</v>
      </c>
      <c r="J557" s="5" t="n">
        <v>5</v>
      </c>
      <c r="K557" s="5" t="n">
        <v>2</v>
      </c>
      <c r="L557" s="5" t="n">
        <v>6</v>
      </c>
      <c r="M557" s="5" t="n">
        <v>9</v>
      </c>
      <c r="N557" s="5" t="n">
        <v>9</v>
      </c>
      <c r="O557" s="5" t="n">
        <v>5</v>
      </c>
      <c r="P557" s="5" t="n">
        <v>3</v>
      </c>
      <c r="Q557" s="5" t="n">
        <v>5</v>
      </c>
      <c r="R557" s="5" t="n">
        <v>2</v>
      </c>
      <c r="S557" s="5" t="n">
        <v>3</v>
      </c>
      <c r="T557" s="5" t="n">
        <v>1</v>
      </c>
      <c r="U557" s="5" t="n">
        <v>9</v>
      </c>
      <c r="V557" s="5" t="n">
        <v>1</v>
      </c>
      <c r="W557" s="5" t="n">
        <v>1</v>
      </c>
      <c r="X557" s="5" t="n"/>
      <c r="Y557" s="14">
        <f>IF(AND(ISNUMBER(C557),C557&gt;0,ISNUMBER(X557)),X557/C557-1,"")</f>
        <v/>
      </c>
    </row>
    <row r="558">
      <c r="A558" s="12" t="inlineStr">
        <is>
          <t>300</t>
        </is>
      </c>
      <c r="B558" s="15" t="inlineStr">
        <is>
          <t>Draw</t>
        </is>
      </c>
      <c r="C558" s="5" t="n">
        <v>180</v>
      </c>
      <c r="D558" s="5" t="n">
        <v>175</v>
      </c>
      <c r="E558" s="5" t="n">
        <v>150</v>
      </c>
      <c r="F558" s="5" t="n">
        <v>137</v>
      </c>
      <c r="G558" s="5" t="n">
        <v>127</v>
      </c>
      <c r="H558" s="5" t="n">
        <v>131</v>
      </c>
      <c r="I558" s="5" t="n">
        <v>195</v>
      </c>
      <c r="J558" s="5" t="n">
        <v>140</v>
      </c>
      <c r="K558" s="5" t="n">
        <v>114</v>
      </c>
      <c r="L558" s="5" t="n">
        <v>130</v>
      </c>
      <c r="M558" s="5" t="n">
        <v>150</v>
      </c>
      <c r="N558" s="5" t="n">
        <v>150</v>
      </c>
      <c r="O558" s="5" t="n">
        <v>132</v>
      </c>
      <c r="P558" s="5" t="n">
        <v>141</v>
      </c>
      <c r="Q558" s="5" t="n">
        <v>174</v>
      </c>
      <c r="R558" s="5" t="n">
        <v>89</v>
      </c>
      <c r="S558" s="5" t="n">
        <v>144</v>
      </c>
      <c r="T558" s="5" t="n">
        <v>172</v>
      </c>
      <c r="U558" s="5" t="n">
        <v>128</v>
      </c>
      <c r="V558" s="5" t="n">
        <v>96</v>
      </c>
      <c r="W558" s="5" t="n">
        <v>81</v>
      </c>
      <c r="X558" s="5" t="n">
        <v>80</v>
      </c>
      <c r="Y558" s="14">
        <f>IF(AND(ISNUMBER(C558),C558&gt;0,ISNUMBER(X558)),X558/C558-1,"")</f>
        <v/>
      </c>
    </row>
    <row r="559">
      <c r="A559" s="12" t="inlineStr">
        <is>
          <t>301</t>
        </is>
      </c>
      <c r="B559" s="15" t="inlineStr">
        <is>
          <t>Draw</t>
        </is>
      </c>
      <c r="C559" s="5" t="n">
        <v>19</v>
      </c>
      <c r="D559" s="5" t="n">
        <v>14</v>
      </c>
      <c r="E559" s="5" t="n">
        <v>18</v>
      </c>
      <c r="F559" s="5" t="n">
        <v>11</v>
      </c>
      <c r="G559" s="5" t="n">
        <v>15</v>
      </c>
      <c r="H559" s="5" t="n">
        <v>15</v>
      </c>
      <c r="I559" s="5" t="n">
        <v>11</v>
      </c>
      <c r="J559" s="5" t="n">
        <v>9</v>
      </c>
      <c r="K559" s="5" t="n">
        <v>7</v>
      </c>
      <c r="L559" s="5" t="n">
        <v>9</v>
      </c>
      <c r="M559" s="5" t="n">
        <v>4</v>
      </c>
      <c r="N559" s="5" t="n">
        <v>19</v>
      </c>
      <c r="O559" s="5" t="n">
        <v>13</v>
      </c>
      <c r="P559" s="5" t="n">
        <v>11</v>
      </c>
      <c r="Q559" s="5" t="n">
        <v>15</v>
      </c>
      <c r="R559" s="5" t="n">
        <v>3</v>
      </c>
      <c r="S559" s="5" t="n">
        <v>10</v>
      </c>
      <c r="T559" s="5" t="n">
        <v>17</v>
      </c>
      <c r="U559" s="5" t="n">
        <v>17</v>
      </c>
      <c r="V559" s="5" t="n">
        <v>19</v>
      </c>
      <c r="W559" s="5" t="n">
        <v>8</v>
      </c>
      <c r="X559" s="5" t="n">
        <v>9</v>
      </c>
      <c r="Y559" s="14">
        <f>IF(AND(ISNUMBER(C559),C559&gt;0,ISNUMBER(X559)),X559/C559-1,"")</f>
        <v/>
      </c>
    </row>
    <row r="560">
      <c r="A560" s="12" t="inlineStr">
        <is>
          <t>310</t>
        </is>
      </c>
      <c r="B560" s="15" t="inlineStr">
        <is>
          <t>Draw</t>
        </is>
      </c>
      <c r="C560" s="5" t="n">
        <v>109</v>
      </c>
      <c r="D560" s="5" t="n">
        <v>105</v>
      </c>
      <c r="E560" s="5" t="n">
        <v>160</v>
      </c>
      <c r="F560" s="5" t="n">
        <v>203</v>
      </c>
      <c r="G560" s="5" t="n">
        <v>227</v>
      </c>
      <c r="H560" s="5" t="n">
        <v>204</v>
      </c>
      <c r="I560" s="5" t="n">
        <v>260</v>
      </c>
      <c r="J560" s="5" t="n">
        <v>265</v>
      </c>
      <c r="K560" s="5" t="n">
        <v>254</v>
      </c>
      <c r="L560" s="5" t="n">
        <v>218</v>
      </c>
      <c r="M560" s="5" t="n">
        <v>125</v>
      </c>
      <c r="N560" s="5" t="n">
        <v>255</v>
      </c>
      <c r="O560" s="5" t="n">
        <v>272</v>
      </c>
      <c r="P560" s="5" t="n">
        <v>222</v>
      </c>
      <c r="Q560" s="5" t="n">
        <v>214</v>
      </c>
      <c r="R560" s="5" t="n">
        <v>205</v>
      </c>
      <c r="S560" s="5" t="n">
        <v>170</v>
      </c>
      <c r="T560" s="5" t="n">
        <v>142</v>
      </c>
      <c r="U560" s="5" t="n">
        <v>188</v>
      </c>
      <c r="V560" s="5" t="n">
        <v>133</v>
      </c>
      <c r="W560" s="5" t="n">
        <v>148</v>
      </c>
      <c r="X560" s="5" t="n">
        <v>71</v>
      </c>
      <c r="Y560" s="14">
        <f>IF(AND(ISNUMBER(C560),C560&gt;0,ISNUMBER(X560)),X560/C560-1,"")</f>
        <v/>
      </c>
    </row>
    <row r="561">
      <c r="A561" s="12" t="inlineStr">
        <is>
          <t>311</t>
        </is>
      </c>
      <c r="B561" s="15" t="inlineStr">
        <is>
          <t>Draw</t>
        </is>
      </c>
      <c r="C561" s="5" t="n">
        <v>62</v>
      </c>
      <c r="D561" s="5" t="n">
        <v>56</v>
      </c>
      <c r="E561" s="5" t="n">
        <v>165</v>
      </c>
      <c r="F561" s="5" t="n">
        <v>314</v>
      </c>
      <c r="G561" s="5" t="n">
        <v>307</v>
      </c>
      <c r="H561" s="5" t="n">
        <v>306</v>
      </c>
      <c r="I561" s="5" t="n">
        <v>187</v>
      </c>
      <c r="J561" s="5" t="n">
        <v>227</v>
      </c>
      <c r="K561" s="5" t="n">
        <v>195</v>
      </c>
      <c r="L561" s="5" t="n">
        <v>134</v>
      </c>
      <c r="M561" s="5" t="n">
        <v>87</v>
      </c>
      <c r="N561" s="5" t="n">
        <v>98</v>
      </c>
      <c r="O561" s="5" t="n">
        <v>88</v>
      </c>
      <c r="P561" s="5" t="n">
        <v>89</v>
      </c>
      <c r="Q561" s="5" t="n">
        <v>87</v>
      </c>
      <c r="R561" s="5" t="n">
        <v>62</v>
      </c>
      <c r="S561" s="5" t="n">
        <v>61</v>
      </c>
      <c r="T561" s="5" t="n">
        <v>49</v>
      </c>
      <c r="U561" s="5" t="n">
        <v>36</v>
      </c>
      <c r="V561" s="5" t="n">
        <v>29</v>
      </c>
      <c r="W561" s="5" t="n">
        <v>22</v>
      </c>
      <c r="X561" s="5" t="n">
        <v>41</v>
      </c>
      <c r="Y561" s="14">
        <f>IF(AND(ISNUMBER(C561),C561&gt;0,ISNUMBER(X561)),X561/C561-1,"")</f>
        <v/>
      </c>
    </row>
    <row r="562">
      <c r="A562" s="12" t="inlineStr">
        <is>
          <t>313</t>
        </is>
      </c>
      <c r="B562" s="15" t="inlineStr">
        <is>
          <t>Draw</t>
        </is>
      </c>
      <c r="C562" s="5" t="n"/>
      <c r="D562" s="5" t="n"/>
      <c r="E562" s="5" t="n"/>
      <c r="F562" s="5" t="n"/>
      <c r="G562" s="5" t="n"/>
      <c r="H562" s="5" t="n"/>
      <c r="I562" s="5" t="n"/>
      <c r="J562" s="5" t="n"/>
      <c r="K562" s="5" t="n"/>
      <c r="L562" s="5" t="n"/>
      <c r="M562" s="5" t="n"/>
      <c r="N562" s="5" t="n"/>
      <c r="O562" s="5" t="n">
        <v>10</v>
      </c>
      <c r="P562" s="5" t="n">
        <v>9</v>
      </c>
      <c r="Q562" s="5" t="n">
        <v>7</v>
      </c>
      <c r="R562" s="5" t="n">
        <v>17</v>
      </c>
      <c r="S562" s="5" t="n">
        <v>10</v>
      </c>
      <c r="T562" s="5" t="n">
        <v>15</v>
      </c>
      <c r="U562" s="5" t="n">
        <v>10</v>
      </c>
      <c r="V562" s="5" t="n">
        <v>7</v>
      </c>
      <c r="W562" s="5" t="n">
        <v>5</v>
      </c>
      <c r="X562" s="5" t="n">
        <v>5</v>
      </c>
      <c r="Y562" s="14">
        <f>IF(AND(ISNUMBER(C562),C562&gt;0,ISNUMBER(X562)),X562/C562-1,"")</f>
        <v/>
      </c>
    </row>
    <row r="563">
      <c r="A563" s="12" t="inlineStr">
        <is>
          <t>317</t>
        </is>
      </c>
      <c r="B563" s="15" t="inlineStr">
        <is>
          <t>Draw</t>
        </is>
      </c>
      <c r="C563" s="5" t="n"/>
      <c r="D563" s="5" t="n"/>
      <c r="E563" s="5" t="n"/>
      <c r="F563" s="5" t="n"/>
      <c r="G563" s="5" t="n"/>
      <c r="H563" s="5" t="n"/>
      <c r="I563" s="5" t="n"/>
      <c r="J563" s="5" t="n"/>
      <c r="K563" s="5" t="n"/>
      <c r="L563" s="5" t="n"/>
      <c r="M563" s="5" t="n"/>
      <c r="N563" s="5" t="n"/>
      <c r="O563" s="5" t="n"/>
      <c r="P563" s="5" t="n"/>
      <c r="Q563" s="5" t="n"/>
      <c r="R563" s="5" t="n"/>
      <c r="S563" s="5" t="n"/>
      <c r="T563" s="5" t="n"/>
      <c r="U563" s="5" t="n">
        <v>78</v>
      </c>
      <c r="V563" s="5" t="n">
        <v>22</v>
      </c>
      <c r="W563" s="5" t="n">
        <v>43</v>
      </c>
      <c r="X563" s="5" t="n">
        <v>36</v>
      </c>
      <c r="Y563" s="14">
        <f>IF(AND(ISNUMBER(C563),C563&gt;0,ISNUMBER(X563)),X563/C563-1,"")</f>
        <v/>
      </c>
    </row>
    <row r="564">
      <c r="A564" s="12" t="inlineStr">
        <is>
          <t>318</t>
        </is>
      </c>
      <c r="B564" s="15" t="inlineStr">
        <is>
          <t>Draw</t>
        </is>
      </c>
      <c r="C564" s="5" t="n">
        <v>84</v>
      </c>
      <c r="D564" s="5" t="n">
        <v>67</v>
      </c>
      <c r="E564" s="5" t="n">
        <v>295</v>
      </c>
      <c r="F564" s="5" t="n">
        <v>314</v>
      </c>
      <c r="G564" s="5" t="n">
        <v>264</v>
      </c>
      <c r="H564" s="5" t="n">
        <v>313</v>
      </c>
      <c r="I564" s="5" t="n">
        <v>415</v>
      </c>
      <c r="J564" s="5" t="n">
        <v>366</v>
      </c>
      <c r="K564" s="5" t="n">
        <v>364</v>
      </c>
      <c r="L564" s="5" t="n">
        <v>167</v>
      </c>
      <c r="M564" s="5" t="n">
        <v>243</v>
      </c>
      <c r="N564" s="5" t="n">
        <v>291</v>
      </c>
      <c r="O564" s="5" t="n">
        <v>278</v>
      </c>
      <c r="P564" s="5" t="n">
        <v>267</v>
      </c>
      <c r="Q564" s="5" t="n">
        <v>256</v>
      </c>
      <c r="R564" s="5" t="n">
        <v>101</v>
      </c>
      <c r="S564" s="5" t="n">
        <v>91</v>
      </c>
      <c r="T564" s="5" t="n">
        <v>88</v>
      </c>
      <c r="U564" s="5" t="n">
        <v>71</v>
      </c>
      <c r="V564" s="5" t="n">
        <v>40</v>
      </c>
      <c r="W564" s="5" t="n">
        <v>24</v>
      </c>
      <c r="X564" s="5" t="n">
        <v>37</v>
      </c>
      <c r="Y564" s="14">
        <f>IF(AND(ISNUMBER(C564),C564&gt;0,ISNUMBER(X564)),X564/C564-1,"")</f>
        <v/>
      </c>
    </row>
    <row r="565">
      <c r="A565" s="12" t="inlineStr">
        <is>
          <t>319</t>
        </is>
      </c>
      <c r="B565" s="15" t="inlineStr">
        <is>
          <t>Draw</t>
        </is>
      </c>
      <c r="C565" s="5" t="n">
        <v>27</v>
      </c>
      <c r="D565" s="5" t="n">
        <v>21</v>
      </c>
      <c r="E565" s="5" t="n">
        <v>39</v>
      </c>
      <c r="F565" s="5" t="n">
        <v>55</v>
      </c>
      <c r="G565" s="5" t="n">
        <v>37</v>
      </c>
      <c r="H565" s="5" t="n">
        <v>38</v>
      </c>
      <c r="I565" s="5" t="n">
        <v>33</v>
      </c>
      <c r="J565" s="5" t="n">
        <v>44</v>
      </c>
      <c r="K565" s="5" t="n">
        <v>42</v>
      </c>
      <c r="L565" s="5" t="n">
        <v>26</v>
      </c>
      <c r="M565" s="5" t="n">
        <v>39</v>
      </c>
      <c r="N565" s="5" t="n">
        <v>36</v>
      </c>
      <c r="O565" s="5" t="n">
        <v>38</v>
      </c>
      <c r="P565" s="5" t="n">
        <v>56</v>
      </c>
      <c r="Q565" s="5" t="n">
        <v>45</v>
      </c>
      <c r="R565" s="5" t="n">
        <v>43</v>
      </c>
      <c r="S565" s="5" t="n">
        <v>28</v>
      </c>
      <c r="T565" s="5" t="n">
        <v>37</v>
      </c>
      <c r="U565" s="5" t="n">
        <v>33</v>
      </c>
      <c r="V565" s="5" t="n">
        <v>37</v>
      </c>
      <c r="W565" s="5" t="n">
        <v>18</v>
      </c>
      <c r="X565" s="5" t="n">
        <v>33</v>
      </c>
      <c r="Y565" s="14">
        <f>IF(AND(ISNUMBER(C565),C565&gt;0,ISNUMBER(X565)),X565/C565-1,"")</f>
        <v/>
      </c>
    </row>
    <row r="566">
      <c r="A566" s="12" t="inlineStr">
        <is>
          <t>320</t>
        </is>
      </c>
      <c r="B566" s="15" t="inlineStr">
        <is>
          <t>Draw</t>
        </is>
      </c>
      <c r="C566" s="5" t="n">
        <v>168</v>
      </c>
      <c r="D566" s="5" t="n">
        <v>193</v>
      </c>
      <c r="E566" s="5" t="n">
        <v>228</v>
      </c>
      <c r="F566" s="5" t="n">
        <v>132</v>
      </c>
      <c r="G566" s="5" t="n">
        <v>104</v>
      </c>
      <c r="H566" s="5" t="n">
        <v>118</v>
      </c>
      <c r="I566" s="5" t="n">
        <v>67</v>
      </c>
      <c r="J566" s="5" t="n">
        <v>46</v>
      </c>
      <c r="K566" s="5" t="n">
        <v>45</v>
      </c>
      <c r="L566" s="5" t="n">
        <v>30</v>
      </c>
      <c r="M566" s="5" t="n">
        <v>31</v>
      </c>
      <c r="N566" s="5" t="n">
        <v>64</v>
      </c>
      <c r="O566" s="5" t="n">
        <v>63</v>
      </c>
      <c r="P566" s="5" t="n">
        <v>84</v>
      </c>
      <c r="Q566" s="5" t="n">
        <v>94</v>
      </c>
      <c r="R566" s="5" t="n">
        <v>45</v>
      </c>
      <c r="S566" s="5" t="n">
        <v>60</v>
      </c>
      <c r="T566" s="5" t="n">
        <v>52</v>
      </c>
      <c r="U566" s="5" t="n">
        <v>45</v>
      </c>
      <c r="V566" s="5" t="n">
        <v>81</v>
      </c>
      <c r="W566" s="5" t="n">
        <v>75</v>
      </c>
      <c r="X566" s="5" t="n">
        <v>95</v>
      </c>
      <c r="Y566" s="14">
        <f>IF(AND(ISNUMBER(C566),C566&gt;0,ISNUMBER(X566)),X566/C566-1,"")</f>
        <v/>
      </c>
    </row>
    <row r="567">
      <c r="A567" s="12" t="inlineStr">
        <is>
          <t>321</t>
        </is>
      </c>
      <c r="B567" s="4" t="inlineStr"/>
      <c r="C567" s="5" t="n">
        <v>257</v>
      </c>
      <c r="D567" s="5" t="n">
        <v>115</v>
      </c>
      <c r="E567" s="5" t="n">
        <v>150</v>
      </c>
      <c r="F567" s="5" t="n">
        <v>159</v>
      </c>
      <c r="G567" s="5" t="n">
        <v>167</v>
      </c>
      <c r="H567" s="5" t="n">
        <v>153</v>
      </c>
      <c r="I567" s="5" t="n">
        <v>239</v>
      </c>
      <c r="J567" s="5" t="n">
        <v>219</v>
      </c>
      <c r="K567" s="5" t="n">
        <v>259</v>
      </c>
      <c r="L567" s="5" t="n">
        <v>214</v>
      </c>
      <c r="M567" s="5" t="n">
        <v>225</v>
      </c>
      <c r="N567" s="5" t="n">
        <v>270</v>
      </c>
      <c r="O567" s="5" t="n">
        <v>236</v>
      </c>
      <c r="P567" s="5" t="n">
        <v>221</v>
      </c>
      <c r="Q567" s="5" t="n">
        <v>254</v>
      </c>
      <c r="R567" s="5" t="n">
        <v>229</v>
      </c>
      <c r="S567" s="5" t="n">
        <v>207</v>
      </c>
      <c r="T567" s="5" t="n">
        <v>194</v>
      </c>
      <c r="U567" s="5" t="n"/>
      <c r="V567" s="5" t="n"/>
      <c r="W567" s="5" t="n"/>
      <c r="X567" s="5" t="n"/>
      <c r="Y567" s="14">
        <f>IF(AND(ISNUMBER(C567),C567&gt;0,ISNUMBER(X567)),X567/C567-1,"")</f>
        <v/>
      </c>
    </row>
    <row r="568">
      <c r="A568" s="12" t="inlineStr">
        <is>
          <t>322</t>
        </is>
      </c>
      <c r="B568" s="15" t="inlineStr">
        <is>
          <t>Draw</t>
        </is>
      </c>
      <c r="C568" s="5" t="n"/>
      <c r="D568" s="5" t="n"/>
      <c r="E568" s="5" t="n"/>
      <c r="F568" s="5" t="n"/>
      <c r="G568" s="5" t="n"/>
      <c r="H568" s="5" t="n"/>
      <c r="I568" s="5" t="n"/>
      <c r="J568" s="5" t="n"/>
      <c r="K568" s="5" t="n"/>
      <c r="L568" s="5" t="n"/>
      <c r="M568" s="5" t="n"/>
      <c r="N568" s="5" t="n"/>
      <c r="O568" s="5" t="n"/>
      <c r="P568" s="5" t="n"/>
      <c r="Q568" s="5" t="n"/>
      <c r="R568" s="5" t="n"/>
      <c r="S568" s="5" t="n"/>
      <c r="T568" s="5" t="n"/>
      <c r="U568" s="5" t="n">
        <v>808</v>
      </c>
      <c r="V568" s="5" t="n">
        <v>432</v>
      </c>
      <c r="W568" s="5" t="n">
        <v>433</v>
      </c>
      <c r="X568" s="5" t="n">
        <v>408</v>
      </c>
      <c r="Y568" s="14">
        <f>IF(AND(ISNUMBER(C568),C568&gt;0,ISNUMBER(X568)),X568/C568-1,"")</f>
        <v/>
      </c>
    </row>
    <row r="569">
      <c r="A569" s="12" t="inlineStr">
        <is>
          <t>329</t>
        </is>
      </c>
      <c r="B569" s="15" t="inlineStr">
        <is>
          <t>Draw</t>
        </is>
      </c>
      <c r="C569" s="5" t="n">
        <v>153</v>
      </c>
      <c r="D569" s="5" t="n">
        <v>171</v>
      </c>
      <c r="E569" s="5" t="n"/>
      <c r="F569" s="5" t="n"/>
      <c r="G569" s="5" t="n"/>
      <c r="H569" s="5" t="n"/>
      <c r="I569" s="5" t="n"/>
      <c r="J569" s="5" t="n"/>
      <c r="K569" s="5" t="n"/>
      <c r="L569" s="5" t="n"/>
      <c r="M569" s="5" t="n"/>
      <c r="N569" s="5" t="n"/>
      <c r="O569" s="5" t="n"/>
      <c r="P569" s="5" t="n"/>
      <c r="Q569" s="5" t="n"/>
      <c r="R569" s="5" t="n"/>
      <c r="S569" s="5" t="n">
        <v>65</v>
      </c>
      <c r="T569" s="5" t="n">
        <v>34</v>
      </c>
      <c r="U569" s="5" t="n">
        <v>53</v>
      </c>
      <c r="V569" s="5" t="n">
        <v>51</v>
      </c>
      <c r="W569" s="5" t="n">
        <v>52</v>
      </c>
      <c r="X569" s="5" t="n">
        <v>48</v>
      </c>
      <c r="Y569" s="14">
        <f>IF(AND(ISNUMBER(C569),C569&gt;0,ISNUMBER(X569)),X569/C569-1,"")</f>
        <v/>
      </c>
    </row>
    <row r="570">
      <c r="A570" s="12" t="inlineStr">
        <is>
          <t>330</t>
        </is>
      </c>
      <c r="B570" s="4" t="inlineStr"/>
      <c r="C570" s="5" t="n">
        <v>319</v>
      </c>
      <c r="D570" s="5" t="n">
        <v>252</v>
      </c>
      <c r="E570" s="5" t="n">
        <v>385</v>
      </c>
      <c r="F570" s="5" t="n">
        <v>415</v>
      </c>
      <c r="G570" s="5" t="n">
        <v>387</v>
      </c>
      <c r="H570" s="5" t="n">
        <v>292</v>
      </c>
      <c r="I570" s="5" t="n">
        <v>481</v>
      </c>
      <c r="J570" s="5" t="n">
        <v>345</v>
      </c>
      <c r="K570" s="5" t="n">
        <v>367</v>
      </c>
      <c r="L570" s="5" t="n">
        <v>394</v>
      </c>
      <c r="M570" s="5" t="n">
        <v>358</v>
      </c>
      <c r="N570" s="5" t="n">
        <v>381</v>
      </c>
      <c r="O570" s="5" t="n">
        <v>407</v>
      </c>
      <c r="P570" s="5" t="n">
        <v>381</v>
      </c>
      <c r="Q570" s="5" t="n">
        <v>417</v>
      </c>
      <c r="R570" s="5" t="n">
        <v>442</v>
      </c>
      <c r="S570" s="5" t="n">
        <v>450</v>
      </c>
      <c r="T570" s="5" t="n">
        <v>468</v>
      </c>
      <c r="U570" s="5" t="n"/>
      <c r="V570" s="5" t="n"/>
      <c r="W570" s="5" t="n"/>
      <c r="X570" s="5" t="n"/>
      <c r="Y570" s="14">
        <f>IF(AND(ISNUMBER(C570),C570&gt;0,ISNUMBER(X570)),X570/C570-1,"")</f>
        <v/>
      </c>
    </row>
    <row r="571">
      <c r="A571" s="12" t="inlineStr">
        <is>
          <t>338</t>
        </is>
      </c>
      <c r="B571" s="15" t="inlineStr">
        <is>
          <t>Draw</t>
        </is>
      </c>
      <c r="C571" s="5" t="n">
        <v>159</v>
      </c>
      <c r="D571" s="5" t="n">
        <v>200</v>
      </c>
      <c r="E571" s="5" t="n">
        <v>217</v>
      </c>
      <c r="F571" s="5" t="n">
        <v>219</v>
      </c>
      <c r="G571" s="5" t="n">
        <v>242</v>
      </c>
      <c r="H571" s="5" t="n">
        <v>323</v>
      </c>
      <c r="I571" s="5" t="n">
        <v>300</v>
      </c>
      <c r="J571" s="5" t="n">
        <v>189</v>
      </c>
      <c r="K571" s="5" t="n">
        <v>185</v>
      </c>
      <c r="L571" s="5" t="n">
        <v>132</v>
      </c>
      <c r="M571" s="5" t="n">
        <v>67</v>
      </c>
      <c r="N571" s="5" t="n">
        <v>167</v>
      </c>
      <c r="O571" s="5" t="n">
        <v>140</v>
      </c>
      <c r="P571" s="5" t="n">
        <v>249</v>
      </c>
      <c r="Q571" s="5" t="n">
        <v>134</v>
      </c>
      <c r="R571" s="5" t="n">
        <v>83</v>
      </c>
      <c r="S571" s="5" t="n">
        <v>149</v>
      </c>
      <c r="T571" s="5" t="n">
        <v>68</v>
      </c>
      <c r="U571" s="5" t="n">
        <v>50</v>
      </c>
      <c r="V571" s="5" t="n">
        <v>79</v>
      </c>
      <c r="W571" s="5" t="n">
        <v>56</v>
      </c>
      <c r="X571" s="5" t="n">
        <v>87</v>
      </c>
      <c r="Y571" s="14">
        <f>IF(AND(ISNUMBER(C571),C571&gt;0,ISNUMBER(X571)),X571/C571-1,"")</f>
        <v/>
      </c>
    </row>
    <row r="572">
      <c r="A572" s="12" t="inlineStr">
        <is>
          <t>339</t>
        </is>
      </c>
      <c r="B572" s="15" t="inlineStr">
        <is>
          <t>Draw</t>
        </is>
      </c>
      <c r="C572" s="5" t="n">
        <v>79</v>
      </c>
      <c r="D572" s="5" t="n">
        <v>69</v>
      </c>
      <c r="E572" s="5" t="n">
        <v>76</v>
      </c>
      <c r="F572" s="5" t="n">
        <v>82</v>
      </c>
      <c r="G572" s="5" t="n">
        <v>60</v>
      </c>
      <c r="H572" s="5" t="n">
        <v>70</v>
      </c>
      <c r="I572" s="5" t="n">
        <v>80</v>
      </c>
      <c r="J572" s="5" t="n">
        <v>83</v>
      </c>
      <c r="K572" s="5" t="n">
        <v>63</v>
      </c>
      <c r="L572" s="5" t="n">
        <v>79</v>
      </c>
      <c r="M572" s="5" t="n">
        <v>116</v>
      </c>
      <c r="N572" s="5" t="n">
        <v>130</v>
      </c>
      <c r="O572" s="5" t="n">
        <v>148</v>
      </c>
      <c r="P572" s="5" t="n">
        <v>149</v>
      </c>
      <c r="Q572" s="5" t="n">
        <v>117</v>
      </c>
      <c r="R572" s="5" t="n">
        <v>75</v>
      </c>
      <c r="S572" s="5" t="n">
        <v>180</v>
      </c>
      <c r="T572" s="5" t="n">
        <v>69</v>
      </c>
      <c r="U572" s="5" t="n">
        <v>47</v>
      </c>
      <c r="V572" s="5" t="n">
        <v>44</v>
      </c>
      <c r="W572" s="5" t="n">
        <v>37</v>
      </c>
      <c r="X572" s="5" t="n">
        <v>42</v>
      </c>
      <c r="Y572" s="14">
        <f>IF(AND(ISNUMBER(C572),C572&gt;0,ISNUMBER(X572)),X572/C572-1,"")</f>
        <v/>
      </c>
    </row>
    <row r="573">
      <c r="A573" s="12" t="inlineStr">
        <is>
          <t>340</t>
        </is>
      </c>
      <c r="B573" s="15" t="inlineStr">
        <is>
          <t>Draw</t>
        </is>
      </c>
      <c r="C573" s="5" t="n">
        <v>46</v>
      </c>
      <c r="D573" s="5" t="n">
        <v>59</v>
      </c>
      <c r="E573" s="5" t="n">
        <v>49</v>
      </c>
      <c r="F573" s="5" t="n">
        <v>61</v>
      </c>
      <c r="G573" s="5" t="n">
        <v>76</v>
      </c>
      <c r="H573" s="5" t="n">
        <v>79</v>
      </c>
      <c r="I573" s="5" t="n">
        <v>77</v>
      </c>
      <c r="J573" s="5" t="n">
        <v>80</v>
      </c>
      <c r="K573" s="5" t="n">
        <v>81</v>
      </c>
      <c r="L573" s="5" t="n">
        <v>78</v>
      </c>
      <c r="M573" s="5" t="n">
        <v>122</v>
      </c>
      <c r="N573" s="5" t="n">
        <v>104</v>
      </c>
      <c r="O573" s="5" t="n">
        <v>108</v>
      </c>
      <c r="P573" s="5" t="n">
        <v>154</v>
      </c>
      <c r="Q573" s="5" t="n">
        <v>116</v>
      </c>
      <c r="R573" s="5" t="n">
        <v>83</v>
      </c>
      <c r="S573" s="5" t="n">
        <v>101</v>
      </c>
      <c r="T573" s="5" t="n">
        <v>92</v>
      </c>
      <c r="U573" s="5" t="n">
        <v>252</v>
      </c>
      <c r="V573" s="5" t="n">
        <v>247</v>
      </c>
      <c r="W573" s="5" t="n">
        <v>335</v>
      </c>
      <c r="X573" s="5" t="n">
        <v>320</v>
      </c>
      <c r="Y573" s="14">
        <f>IF(AND(ISNUMBER(C573),C573&gt;0,ISNUMBER(X573)),X573/C573-1,"")</f>
        <v/>
      </c>
    </row>
    <row r="574">
      <c r="A574" s="12" t="inlineStr">
        <is>
          <t>341</t>
        </is>
      </c>
      <c r="B574" s="4" t="inlineStr"/>
      <c r="C574" s="5" t="n">
        <v>87</v>
      </c>
      <c r="D574" s="5" t="n">
        <v>91</v>
      </c>
      <c r="E574" s="5" t="n">
        <v>114</v>
      </c>
      <c r="F574" s="5" t="n">
        <v>167</v>
      </c>
      <c r="G574" s="5" t="n">
        <v>170</v>
      </c>
      <c r="H574" s="5" t="n">
        <v>159</v>
      </c>
      <c r="I574" s="5" t="n">
        <v>201</v>
      </c>
      <c r="J574" s="5" t="n">
        <v>178</v>
      </c>
      <c r="K574" s="5" t="n">
        <v>182</v>
      </c>
      <c r="L574" s="5" t="n">
        <v>174</v>
      </c>
      <c r="M574" s="5" t="n">
        <v>143</v>
      </c>
      <c r="N574" s="5" t="n">
        <v>173</v>
      </c>
      <c r="O574" s="5" t="n">
        <v>287</v>
      </c>
      <c r="P574" s="5" t="n">
        <v>289</v>
      </c>
      <c r="Q574" s="5" t="n">
        <v>262</v>
      </c>
      <c r="R574" s="5" t="n">
        <v>277</v>
      </c>
      <c r="S574" s="5" t="n">
        <v>206</v>
      </c>
      <c r="T574" s="5" t="n">
        <v>200</v>
      </c>
      <c r="U574" s="5" t="n"/>
      <c r="V574" s="5" t="n"/>
      <c r="W574" s="5" t="n"/>
      <c r="X574" s="5" t="n"/>
      <c r="Y574" s="14">
        <f>IF(AND(ISNUMBER(C574),C574&gt;0,ISNUMBER(X574)),X574/C574-1,"")</f>
        <v/>
      </c>
    </row>
    <row r="575">
      <c r="A575" s="12" t="inlineStr">
        <is>
          <t>350</t>
        </is>
      </c>
      <c r="B575" s="15" t="inlineStr">
        <is>
          <t>Draw</t>
        </is>
      </c>
      <c r="C575" s="5" t="n">
        <v>12</v>
      </c>
      <c r="D575" s="5" t="n">
        <v>24</v>
      </c>
      <c r="E575" s="5" t="n">
        <v>22</v>
      </c>
      <c r="F575" s="5" t="n">
        <v>26</v>
      </c>
      <c r="G575" s="5" t="n">
        <v>32</v>
      </c>
      <c r="H575" s="5" t="n">
        <v>28</v>
      </c>
      <c r="I575" s="5" t="n">
        <v>24</v>
      </c>
      <c r="J575" s="5" t="n">
        <v>36</v>
      </c>
      <c r="K575" s="5" t="n">
        <v>37</v>
      </c>
      <c r="L575" s="5" t="n">
        <v>32</v>
      </c>
      <c r="M575" s="5" t="n">
        <v>30</v>
      </c>
      <c r="N575" s="5" t="n">
        <v>52</v>
      </c>
      <c r="O575" s="5" t="n">
        <v>48</v>
      </c>
      <c r="P575" s="5" t="n">
        <v>44</v>
      </c>
      <c r="Q575" s="5" t="n">
        <v>49</v>
      </c>
      <c r="R575" s="5" t="n">
        <v>42</v>
      </c>
      <c r="S575" s="5" t="n">
        <v>93</v>
      </c>
      <c r="T575" s="5" t="n">
        <v>59</v>
      </c>
      <c r="U575" s="5" t="n">
        <v>77</v>
      </c>
      <c r="V575" s="5" t="n">
        <v>70</v>
      </c>
      <c r="W575" s="5" t="n">
        <v>66</v>
      </c>
      <c r="X575" s="5" t="n">
        <v>107</v>
      </c>
      <c r="Y575" s="14">
        <f>IF(AND(ISNUMBER(C575),C575&gt;0,ISNUMBER(X575)),X575/C575-1,"")</f>
        <v/>
      </c>
    </row>
    <row r="576">
      <c r="A576" s="12" t="inlineStr">
        <is>
          <t>360</t>
        </is>
      </c>
      <c r="B576" s="15" t="inlineStr">
        <is>
          <t>Draw</t>
        </is>
      </c>
      <c r="C576" s="5" t="n">
        <v>305</v>
      </c>
      <c r="D576" s="5" t="n">
        <v>360</v>
      </c>
      <c r="E576" s="5" t="n">
        <v>359</v>
      </c>
      <c r="F576" s="5" t="n">
        <v>476</v>
      </c>
      <c r="G576" s="5" t="n">
        <v>444</v>
      </c>
      <c r="H576" s="5" t="n">
        <v>412</v>
      </c>
      <c r="I576" s="5" t="n">
        <v>469</v>
      </c>
      <c r="J576" s="5" t="n">
        <v>412</v>
      </c>
      <c r="K576" s="5" t="n">
        <v>390</v>
      </c>
      <c r="L576" s="5" t="n">
        <v>368</v>
      </c>
      <c r="M576" s="5" t="n">
        <v>379</v>
      </c>
      <c r="N576" s="5" t="n">
        <v>406</v>
      </c>
      <c r="O576" s="5" t="n">
        <v>424</v>
      </c>
      <c r="P576" s="5" t="n">
        <v>399</v>
      </c>
      <c r="Q576" s="5" t="n">
        <v>387</v>
      </c>
      <c r="R576" s="5" t="n">
        <v>259</v>
      </c>
      <c r="S576" s="5" t="n">
        <v>251</v>
      </c>
      <c r="T576" s="5" t="n">
        <v>161</v>
      </c>
      <c r="U576" s="5" t="n">
        <v>246</v>
      </c>
      <c r="V576" s="5" t="n">
        <v>160</v>
      </c>
      <c r="W576" s="5" t="n">
        <v>180</v>
      </c>
      <c r="X576" s="5" t="n">
        <v>158</v>
      </c>
      <c r="Y576" s="14">
        <f>IF(AND(ISNUMBER(C576),C576&gt;0,ISNUMBER(X576)),X576/C576-1,"")</f>
        <v/>
      </c>
    </row>
    <row r="577">
      <c r="A577" s="12" t="inlineStr">
        <is>
          <t>370</t>
        </is>
      </c>
      <c r="B577" s="15" t="inlineStr">
        <is>
          <t>Draw</t>
        </is>
      </c>
      <c r="C577" s="5" t="n">
        <v>52</v>
      </c>
      <c r="D577" s="5" t="n">
        <v>50</v>
      </c>
      <c r="E577" s="5" t="n">
        <v>52</v>
      </c>
      <c r="F577" s="5" t="n">
        <v>65</v>
      </c>
      <c r="G577" s="5" t="n">
        <v>42</v>
      </c>
      <c r="H577" s="5" t="n">
        <v>53</v>
      </c>
      <c r="I577" s="5" t="n">
        <v>56</v>
      </c>
      <c r="J577" s="5" t="n">
        <v>40</v>
      </c>
      <c r="K577" s="5" t="n">
        <v>31</v>
      </c>
      <c r="L577" s="5" t="n">
        <v>32</v>
      </c>
      <c r="M577" s="5" t="n">
        <v>31</v>
      </c>
      <c r="N577" s="5" t="n">
        <v>35</v>
      </c>
      <c r="O577" s="5" t="n">
        <v>54</v>
      </c>
      <c r="P577" s="5" t="n">
        <v>60</v>
      </c>
      <c r="Q577" s="5" t="n">
        <v>33</v>
      </c>
      <c r="R577" s="5" t="n">
        <v>38</v>
      </c>
      <c r="S577" s="5" t="n">
        <v>48</v>
      </c>
      <c r="T577" s="5" t="n">
        <v>38</v>
      </c>
      <c r="U577" s="5" t="n">
        <v>42</v>
      </c>
      <c r="V577" s="5" t="n">
        <v>61</v>
      </c>
      <c r="W577" s="5" t="n">
        <v>69</v>
      </c>
      <c r="X577" s="5" t="n">
        <v>68</v>
      </c>
      <c r="Y577" s="14">
        <f>IF(AND(ISNUMBER(C577),C577&gt;0,ISNUMBER(X577)),X577/C577-1,"")</f>
        <v/>
      </c>
    </row>
    <row r="578">
      <c r="A578" s="12" t="inlineStr">
        <is>
          <t>371</t>
        </is>
      </c>
      <c r="B578" s="15" t="inlineStr">
        <is>
          <t>Draw</t>
        </is>
      </c>
      <c r="C578" s="5" t="n">
        <v>44</v>
      </c>
      <c r="D578" s="5" t="n">
        <v>39</v>
      </c>
      <c r="E578" s="5" t="n">
        <v>43</v>
      </c>
      <c r="F578" s="5" t="n">
        <v>49</v>
      </c>
      <c r="G578" s="5" t="n">
        <v>59</v>
      </c>
      <c r="H578" s="5" t="n">
        <v>51</v>
      </c>
      <c r="I578" s="5" t="n">
        <v>102</v>
      </c>
      <c r="J578" s="5" t="n">
        <v>89</v>
      </c>
      <c r="K578" s="5" t="n">
        <v>88</v>
      </c>
      <c r="L578" s="5" t="n">
        <v>72</v>
      </c>
      <c r="M578" s="5" t="n">
        <v>52</v>
      </c>
      <c r="N578" s="5" t="n">
        <v>52</v>
      </c>
      <c r="O578" s="5" t="n">
        <v>62</v>
      </c>
      <c r="P578" s="5" t="n">
        <v>78</v>
      </c>
      <c r="Q578" s="5" t="n">
        <v>53</v>
      </c>
      <c r="R578" s="5" t="n">
        <v>53</v>
      </c>
      <c r="S578" s="5" t="n">
        <v>51</v>
      </c>
      <c r="T578" s="5" t="n">
        <v>29</v>
      </c>
      <c r="U578" s="5" t="n">
        <v>32</v>
      </c>
      <c r="V578" s="5" t="n">
        <v>18</v>
      </c>
      <c r="W578" s="5" t="n">
        <v>23</v>
      </c>
      <c r="X578" s="5" t="n">
        <v>38</v>
      </c>
      <c r="Y578" s="14">
        <f>IF(AND(ISNUMBER(C578),C578&gt;0,ISNUMBER(X578)),X578/C578-1,"")</f>
        <v/>
      </c>
    </row>
    <row r="579">
      <c r="A579" s="12" t="inlineStr">
        <is>
          <t>380</t>
        </is>
      </c>
      <c r="B579" s="15" t="inlineStr">
        <is>
          <t>Draw</t>
        </is>
      </c>
      <c r="C579" s="5" t="n">
        <v>72</v>
      </c>
      <c r="D579" s="5" t="n">
        <v>109</v>
      </c>
      <c r="E579" s="5" t="n">
        <v>119</v>
      </c>
      <c r="F579" s="5" t="n">
        <v>133</v>
      </c>
      <c r="G579" s="5" t="n">
        <v>96</v>
      </c>
      <c r="H579" s="5" t="n">
        <v>99</v>
      </c>
      <c r="I579" s="5" t="n">
        <v>67</v>
      </c>
      <c r="J579" s="5" t="n">
        <v>75</v>
      </c>
      <c r="K579" s="5" t="n">
        <v>84</v>
      </c>
      <c r="L579" s="5" t="n">
        <v>49</v>
      </c>
      <c r="M579" s="5" t="n">
        <v>64</v>
      </c>
      <c r="N579" s="5" t="n">
        <v>42</v>
      </c>
      <c r="O579" s="5" t="n">
        <v>86</v>
      </c>
      <c r="P579" s="5" t="n">
        <v>87</v>
      </c>
      <c r="Q579" s="5" t="n">
        <v>95</v>
      </c>
      <c r="R579" s="5" t="n">
        <v>59</v>
      </c>
      <c r="S579" s="5" t="n">
        <v>71</v>
      </c>
      <c r="T579" s="5" t="n">
        <v>25</v>
      </c>
      <c r="U579" s="5" t="n">
        <v>14</v>
      </c>
      <c r="V579" s="5" t="n">
        <v>29</v>
      </c>
      <c r="W579" s="5" t="n">
        <v>30</v>
      </c>
      <c r="X579" s="5" t="n">
        <v>19</v>
      </c>
      <c r="Y579" s="14">
        <f>IF(AND(ISNUMBER(C579),C579&gt;0,ISNUMBER(X579)),X579/C579-1,"")</f>
        <v/>
      </c>
    </row>
    <row r="580">
      <c r="A580" s="12" t="inlineStr">
        <is>
          <t>381</t>
        </is>
      </c>
      <c r="B580" s="15" t="inlineStr">
        <is>
          <t>Draw</t>
        </is>
      </c>
      <c r="C580" s="5" t="n">
        <v>21</v>
      </c>
      <c r="D580" s="5" t="n">
        <v>27</v>
      </c>
      <c r="E580" s="5" t="n">
        <v>32</v>
      </c>
      <c r="F580" s="5" t="n">
        <v>34</v>
      </c>
      <c r="G580" s="5" t="n">
        <v>14</v>
      </c>
      <c r="H580" s="5" t="n">
        <v>20</v>
      </c>
      <c r="I580" s="5" t="n">
        <v>19</v>
      </c>
      <c r="J580" s="5" t="n">
        <v>15</v>
      </c>
      <c r="K580" s="5" t="n">
        <v>13</v>
      </c>
      <c r="L580" s="5" t="n">
        <v>16</v>
      </c>
      <c r="M580" s="5" t="n">
        <v>11</v>
      </c>
      <c r="N580" s="5" t="n">
        <v>5</v>
      </c>
      <c r="O580" s="5" t="n">
        <v>2</v>
      </c>
      <c r="P580" s="5" t="n">
        <v>7</v>
      </c>
      <c r="Q580" s="5" t="n">
        <v>11</v>
      </c>
      <c r="R580" s="5" t="n">
        <v>2</v>
      </c>
      <c r="S580" s="5" t="n">
        <v>5</v>
      </c>
      <c r="T580" s="5" t="n">
        <v>7</v>
      </c>
      <c r="U580" s="5" t="n">
        <v>3</v>
      </c>
      <c r="V580" s="5" t="n">
        <v>3</v>
      </c>
      <c r="W580" s="5" t="n">
        <v>6</v>
      </c>
      <c r="X580" s="5" t="n">
        <v>6</v>
      </c>
      <c r="Y580" s="14">
        <f>IF(AND(ISNUMBER(C580),C580&gt;0,ISNUMBER(X580)),X580/C580-1,"")</f>
        <v/>
      </c>
    </row>
    <row r="581">
      <c r="A581" s="12" t="inlineStr">
        <is>
          <t>388</t>
        </is>
      </c>
      <c r="B581" s="15" t="inlineStr">
        <is>
          <t>Draw</t>
        </is>
      </c>
      <c r="C581" s="5" t="n"/>
      <c r="D581" s="5" t="n"/>
      <c r="E581" s="5" t="n"/>
      <c r="F581" s="5" t="n"/>
      <c r="G581" s="5" t="n">
        <v>55</v>
      </c>
      <c r="H581" s="5" t="n">
        <v>48</v>
      </c>
      <c r="I581" s="5" t="n">
        <v>35</v>
      </c>
      <c r="J581" s="5" t="n">
        <v>45</v>
      </c>
      <c r="K581" s="5" t="n">
        <v>44</v>
      </c>
      <c r="L581" s="5" t="n">
        <v>23</v>
      </c>
      <c r="M581" s="5" t="n">
        <v>39</v>
      </c>
      <c r="N581" s="5" t="n">
        <v>16</v>
      </c>
      <c r="O581" s="5" t="n">
        <v>27</v>
      </c>
      <c r="P581" s="5" t="n">
        <v>19</v>
      </c>
      <c r="Q581" s="5" t="n">
        <v>26</v>
      </c>
      <c r="R581" s="5" t="n">
        <v>27</v>
      </c>
      <c r="S581" s="5" t="n">
        <v>30</v>
      </c>
      <c r="T581" s="5" t="n">
        <v>33</v>
      </c>
      <c r="U581" s="5" t="n">
        <v>18</v>
      </c>
      <c r="V581" s="5" t="n">
        <v>8</v>
      </c>
      <c r="W581" s="5" t="n">
        <v>8</v>
      </c>
      <c r="X581" s="5" t="n">
        <v>10</v>
      </c>
      <c r="Y581" s="14">
        <f>IF(AND(ISNUMBER(C581),C581&gt;0,ISNUMBER(X581)),X581/C581-1,"")</f>
        <v/>
      </c>
    </row>
    <row r="582">
      <c r="A582" s="12" t="inlineStr">
        <is>
          <t>390</t>
        </is>
      </c>
      <c r="B582" s="15" t="inlineStr">
        <is>
          <t>Draw</t>
        </is>
      </c>
      <c r="C582" s="5" t="n">
        <v>95</v>
      </c>
      <c r="D582" s="5" t="n">
        <v>127</v>
      </c>
      <c r="E582" s="5" t="n">
        <v>123</v>
      </c>
      <c r="F582" s="5" t="n">
        <v>158</v>
      </c>
      <c r="G582" s="5" t="n">
        <v>157</v>
      </c>
      <c r="H582" s="5" t="n">
        <v>183</v>
      </c>
      <c r="I582" s="5" t="n">
        <v>121</v>
      </c>
      <c r="J582" s="5" t="n">
        <v>105</v>
      </c>
      <c r="K582" s="5" t="n">
        <v>118</v>
      </c>
      <c r="L582" s="5" t="n">
        <v>80</v>
      </c>
      <c r="M582" s="5" t="n">
        <v>57</v>
      </c>
      <c r="N582" s="5" t="n">
        <v>50</v>
      </c>
      <c r="O582" s="5" t="n">
        <v>40</v>
      </c>
      <c r="P582" s="5" t="n">
        <v>42</v>
      </c>
      <c r="Q582" s="5" t="n">
        <v>23</v>
      </c>
      <c r="R582" s="5" t="n">
        <v>30</v>
      </c>
      <c r="S582" s="5" t="n">
        <v>47</v>
      </c>
      <c r="T582" s="5" t="n">
        <v>40</v>
      </c>
      <c r="U582" s="5" t="n">
        <v>46</v>
      </c>
      <c r="V582" s="5" t="n">
        <v>49</v>
      </c>
      <c r="W582" s="5" t="n">
        <v>58</v>
      </c>
      <c r="X582" s="5" t="n">
        <v>61</v>
      </c>
      <c r="Y582" s="14">
        <f>IF(AND(ISNUMBER(C582),C582&gt;0,ISNUMBER(X582)),X582/C582-1,"")</f>
        <v/>
      </c>
    </row>
    <row r="583">
      <c r="A583" s="12" t="inlineStr">
        <is>
          <t>401</t>
        </is>
      </c>
      <c r="B583" s="15" t="inlineStr">
        <is>
          <t>Draw</t>
        </is>
      </c>
      <c r="C583" s="5" t="n">
        <v>227</v>
      </c>
      <c r="D583" s="5" t="n">
        <v>278</v>
      </c>
      <c r="E583" s="5" t="n">
        <v>424</v>
      </c>
      <c r="F583" s="5" t="n">
        <v>645</v>
      </c>
      <c r="G583" s="5" t="n">
        <v>684</v>
      </c>
      <c r="H583" s="5" t="n">
        <v>658</v>
      </c>
      <c r="I583" s="5" t="n">
        <v>880</v>
      </c>
      <c r="J583" s="5" t="n">
        <v>463</v>
      </c>
      <c r="K583" s="5" t="n">
        <v>396</v>
      </c>
      <c r="L583" s="5" t="n">
        <v>199</v>
      </c>
      <c r="M583" s="5" t="n">
        <v>187</v>
      </c>
      <c r="N583" s="5" t="n">
        <v>194</v>
      </c>
      <c r="O583" s="5" t="n">
        <v>241</v>
      </c>
      <c r="P583" s="5" t="n">
        <v>265</v>
      </c>
      <c r="Q583" s="5" t="n">
        <v>154</v>
      </c>
      <c r="R583" s="5" t="n">
        <v>146</v>
      </c>
      <c r="S583" s="5" t="n">
        <v>165</v>
      </c>
      <c r="T583" s="5" t="n">
        <v>181</v>
      </c>
      <c r="U583" s="5" t="n">
        <v>275</v>
      </c>
      <c r="V583" s="5" t="n">
        <v>207</v>
      </c>
      <c r="W583" s="5" t="n">
        <v>168</v>
      </c>
      <c r="X583" s="5" t="n">
        <v>204</v>
      </c>
      <c r="Y583" s="14">
        <f>IF(AND(ISNUMBER(C583),C583&gt;0,ISNUMBER(X583)),X583/C583-1,"")</f>
        <v/>
      </c>
    </row>
    <row r="584">
      <c r="A584" s="12" t="inlineStr">
        <is>
          <t>404</t>
        </is>
      </c>
      <c r="B584" s="15" t="inlineStr">
        <is>
          <t>Draw</t>
        </is>
      </c>
      <c r="C584" s="5" t="n">
        <v>152</v>
      </c>
      <c r="D584" s="5" t="n">
        <v>188</v>
      </c>
      <c r="E584" s="5" t="n">
        <v>309</v>
      </c>
      <c r="F584" s="5" t="n">
        <v>426</v>
      </c>
      <c r="G584" s="5" t="n">
        <v>407</v>
      </c>
      <c r="H584" s="5" t="n">
        <v>418</v>
      </c>
      <c r="I584" s="5" t="n">
        <v>659</v>
      </c>
      <c r="J584" s="5" t="n">
        <v>461</v>
      </c>
      <c r="K584" s="5" t="n">
        <v>297</v>
      </c>
      <c r="L584" s="5" t="n">
        <v>228</v>
      </c>
      <c r="M584" s="5" t="n">
        <v>193</v>
      </c>
      <c r="N584" s="5" t="n">
        <v>215</v>
      </c>
      <c r="O584" s="5" t="n">
        <v>274</v>
      </c>
      <c r="P584" s="5" t="n">
        <v>333</v>
      </c>
      <c r="Q584" s="5" t="n">
        <v>262</v>
      </c>
      <c r="R584" s="5" t="n">
        <v>275</v>
      </c>
      <c r="S584" s="5" t="n">
        <v>444</v>
      </c>
      <c r="T584" s="5" t="n">
        <v>371</v>
      </c>
      <c r="U584" s="5" t="n">
        <v>265</v>
      </c>
      <c r="V584" s="5" t="n">
        <v>216</v>
      </c>
      <c r="W584" s="5" t="n">
        <v>278</v>
      </c>
      <c r="X584" s="5" t="n">
        <v>232</v>
      </c>
      <c r="Y584" s="14">
        <f>IF(AND(ISNUMBER(C584),C584&gt;0,ISNUMBER(X584)),X584/C584-1,"")</f>
        <v/>
      </c>
    </row>
    <row r="585">
      <c r="A585" s="12" t="inlineStr">
        <is>
          <t>413</t>
        </is>
      </c>
      <c r="B585" s="15" t="inlineStr">
        <is>
          <t>Draw</t>
        </is>
      </c>
      <c r="C585" s="5" t="n">
        <v>163</v>
      </c>
      <c r="D585" s="5" t="n">
        <v>145</v>
      </c>
      <c r="E585" s="5" t="n">
        <v>125</v>
      </c>
      <c r="F585" s="5" t="n">
        <v>124</v>
      </c>
      <c r="G585" s="5" t="n">
        <v>106</v>
      </c>
      <c r="H585" s="5" t="n">
        <v>103</v>
      </c>
      <c r="I585" s="5" t="n">
        <v>118</v>
      </c>
      <c r="J585" s="5" t="n">
        <v>154</v>
      </c>
      <c r="K585" s="5" t="n">
        <v>128</v>
      </c>
      <c r="L585" s="5" t="n">
        <v>98</v>
      </c>
      <c r="M585" s="5" t="n">
        <v>97</v>
      </c>
      <c r="N585" s="5" t="n">
        <v>48</v>
      </c>
      <c r="O585" s="5" t="n">
        <v>65</v>
      </c>
      <c r="P585" s="5" t="n">
        <v>49</v>
      </c>
      <c r="Q585" s="5" t="n">
        <v>49</v>
      </c>
      <c r="R585" s="5" t="n">
        <v>18</v>
      </c>
      <c r="S585" s="5" t="n">
        <v>50</v>
      </c>
      <c r="T585" s="5" t="n">
        <v>54</v>
      </c>
      <c r="U585" s="5" t="n"/>
      <c r="V585" s="5" t="n"/>
      <c r="W585" s="5" t="n"/>
      <c r="X585" s="5" t="n"/>
      <c r="Y585" s="14">
        <f>IF(AND(ISNUMBER(C585),C585&gt;0,ISNUMBER(X585)),X585/C585-1,"")</f>
        <v/>
      </c>
    </row>
    <row r="586">
      <c r="A586" s="12" t="inlineStr">
        <is>
          <t>420</t>
        </is>
      </c>
      <c r="B586" s="15" t="inlineStr">
        <is>
          <t>Draw</t>
        </is>
      </c>
      <c r="C586" s="5" t="n">
        <v>408</v>
      </c>
      <c r="D586" s="5" t="n">
        <v>476</v>
      </c>
      <c r="E586" s="5" t="n">
        <v>234</v>
      </c>
      <c r="F586" s="5" t="n">
        <v>343</v>
      </c>
      <c r="G586" s="5" t="n">
        <v>124</v>
      </c>
      <c r="H586" s="5" t="n">
        <v>79</v>
      </c>
      <c r="I586" s="5" t="n">
        <v>34</v>
      </c>
      <c r="J586" s="5" t="n">
        <v>32</v>
      </c>
      <c r="K586" s="5" t="n">
        <v>39</v>
      </c>
      <c r="L586" s="5" t="n">
        <v>32</v>
      </c>
      <c r="M586" s="5" t="n">
        <v>31</v>
      </c>
      <c r="N586" s="5" t="n">
        <v>74</v>
      </c>
      <c r="O586" s="5" t="n">
        <v>74</v>
      </c>
      <c r="P586" s="5" t="n">
        <v>96</v>
      </c>
      <c r="Q586" s="5" t="n">
        <v>92</v>
      </c>
      <c r="R586" s="5" t="n">
        <v>102</v>
      </c>
      <c r="S586" s="5" t="n">
        <v>68</v>
      </c>
      <c r="T586" s="5" t="n">
        <v>83</v>
      </c>
      <c r="U586" s="5" t="n">
        <v>57</v>
      </c>
      <c r="V586" s="5" t="n">
        <v>33</v>
      </c>
      <c r="W586" s="5" t="n">
        <v>103</v>
      </c>
      <c r="X586" s="5" t="n">
        <v>78</v>
      </c>
      <c r="Y586" s="14">
        <f>IF(AND(ISNUMBER(C586),C586&gt;0,ISNUMBER(X586)),X586/C586-1,"")</f>
        <v/>
      </c>
    </row>
    <row r="587">
      <c r="A587" s="12" t="inlineStr">
        <is>
          <t>430</t>
        </is>
      </c>
      <c r="B587" s="15" t="inlineStr">
        <is>
          <t>Draw</t>
        </is>
      </c>
      <c r="C587" s="5" t="n">
        <v>342</v>
      </c>
      <c r="D587" s="5" t="n">
        <v>316</v>
      </c>
      <c r="E587" s="5" t="n">
        <v>215</v>
      </c>
      <c r="F587" s="5" t="n">
        <v>262</v>
      </c>
      <c r="G587" s="5" t="n">
        <v>124</v>
      </c>
      <c r="H587" s="5" t="n">
        <v>134</v>
      </c>
      <c r="I587" s="5" t="n">
        <v>132</v>
      </c>
      <c r="J587" s="5" t="n">
        <v>121</v>
      </c>
      <c r="K587" s="5" t="n">
        <v>70</v>
      </c>
      <c r="L587" s="5" t="n">
        <v>55</v>
      </c>
      <c r="M587" s="5" t="n">
        <v>44</v>
      </c>
      <c r="N587" s="5" t="n">
        <v>48</v>
      </c>
      <c r="O587" s="5" t="n">
        <v>50</v>
      </c>
      <c r="P587" s="5" t="n">
        <v>56</v>
      </c>
      <c r="Q587" s="5" t="n">
        <v>81</v>
      </c>
      <c r="R587" s="5" t="n">
        <v>53</v>
      </c>
      <c r="S587" s="5" t="n">
        <v>58</v>
      </c>
      <c r="T587" s="5" t="n">
        <v>73</v>
      </c>
      <c r="U587" s="5" t="n">
        <v>135</v>
      </c>
      <c r="V587" s="5" t="n">
        <v>126</v>
      </c>
      <c r="W587" s="5" t="n">
        <v>148</v>
      </c>
      <c r="X587" s="5" t="n">
        <v>192</v>
      </c>
      <c r="Y587" s="14">
        <f>IF(AND(ISNUMBER(C587),C587&gt;0,ISNUMBER(X587)),X587/C587-1,"")</f>
        <v/>
      </c>
    </row>
    <row r="588">
      <c r="A588" s="12" t="inlineStr">
        <is>
          <t>440</t>
        </is>
      </c>
      <c r="B588" s="15" t="inlineStr">
        <is>
          <t>Draw</t>
        </is>
      </c>
      <c r="C588" s="5" t="n">
        <v>74</v>
      </c>
      <c r="D588" s="5" t="n">
        <v>89</v>
      </c>
      <c r="E588" s="5" t="n">
        <v>176</v>
      </c>
      <c r="F588" s="5" t="n">
        <v>173</v>
      </c>
      <c r="G588" s="5" t="n">
        <v>91</v>
      </c>
      <c r="H588" s="5" t="n">
        <v>128</v>
      </c>
      <c r="I588" s="5" t="n">
        <v>108</v>
      </c>
      <c r="J588" s="5" t="n">
        <v>115</v>
      </c>
      <c r="K588" s="5" t="n">
        <v>87</v>
      </c>
      <c r="L588" s="5" t="n">
        <v>83</v>
      </c>
      <c r="M588" s="5" t="n">
        <v>55</v>
      </c>
      <c r="N588" s="5" t="n">
        <v>65</v>
      </c>
      <c r="O588" s="5" t="n">
        <v>91</v>
      </c>
      <c r="P588" s="5" t="n">
        <v>96</v>
      </c>
      <c r="Q588" s="5" t="n">
        <v>110</v>
      </c>
      <c r="R588" s="5" t="n">
        <v>78</v>
      </c>
      <c r="S588" s="5" t="n">
        <v>89</v>
      </c>
      <c r="T588" s="5" t="n">
        <v>85</v>
      </c>
      <c r="U588" s="5" t="n">
        <v>82</v>
      </c>
      <c r="V588" s="5" t="n">
        <v>91</v>
      </c>
      <c r="W588" s="5" t="n">
        <v>143</v>
      </c>
      <c r="X588" s="5" t="n">
        <v>132</v>
      </c>
      <c r="Y588" s="14">
        <f>IF(AND(ISNUMBER(C588),C588&gt;0,ISNUMBER(X588)),X588/C588-1,"")</f>
        <v/>
      </c>
    </row>
    <row r="589">
      <c r="A589" s="12" t="inlineStr">
        <is>
          <t>441</t>
        </is>
      </c>
      <c r="B589" s="15" t="inlineStr">
        <is>
          <t>Draw</t>
        </is>
      </c>
      <c r="C589" s="5" t="n">
        <v>10</v>
      </c>
      <c r="D589" s="5" t="n">
        <v>7</v>
      </c>
      <c r="E589" s="5" t="n">
        <v>1</v>
      </c>
      <c r="F589" s="5" t="n">
        <v>10</v>
      </c>
      <c r="G589" s="5" t="n">
        <v>7</v>
      </c>
      <c r="H589" s="5" t="n">
        <v>7</v>
      </c>
      <c r="I589" s="5" t="n">
        <v>15</v>
      </c>
      <c r="J589" s="5" t="n">
        <v>12</v>
      </c>
      <c r="K589" s="5" t="n">
        <v>18</v>
      </c>
      <c r="L589" s="5" t="n">
        <v>14</v>
      </c>
      <c r="M589" s="5" t="n">
        <v>10</v>
      </c>
      <c r="N589" s="5" t="n">
        <v>9</v>
      </c>
      <c r="O589" s="5" t="n">
        <v>16</v>
      </c>
      <c r="P589" s="5" t="n">
        <v>12</v>
      </c>
      <c r="Q589" s="5" t="n">
        <v>7</v>
      </c>
      <c r="R589" s="5" t="n">
        <v>4</v>
      </c>
      <c r="S589" s="5" t="n">
        <v>9</v>
      </c>
      <c r="T589" s="5" t="n">
        <v>11</v>
      </c>
      <c r="U589" s="5" t="n">
        <v>7</v>
      </c>
      <c r="V589" s="5" t="n">
        <v>9</v>
      </c>
      <c r="W589" s="5" t="n">
        <v>10</v>
      </c>
      <c r="X589" s="5" t="n">
        <v>10</v>
      </c>
      <c r="Y589" s="14">
        <f>IF(AND(ISNUMBER(C589),C589&gt;0,ISNUMBER(X589)),X589/C589-1,"")</f>
        <v/>
      </c>
    </row>
    <row r="590">
      <c r="A590" s="12" t="inlineStr">
        <is>
          <t>444</t>
        </is>
      </c>
      <c r="B590" s="15" t="inlineStr">
        <is>
          <t>Draw</t>
        </is>
      </c>
      <c r="C590" s="5" t="n">
        <v>107</v>
      </c>
      <c r="D590" s="5" t="n">
        <v>118</v>
      </c>
      <c r="E590" s="5" t="n">
        <v>207</v>
      </c>
      <c r="F590" s="5" t="n">
        <v>242</v>
      </c>
      <c r="G590" s="5" t="n">
        <v>151</v>
      </c>
      <c r="H590" s="5" t="n">
        <v>129</v>
      </c>
      <c r="I590" s="5" t="n">
        <v>145</v>
      </c>
      <c r="J590" s="5" t="n">
        <v>108</v>
      </c>
      <c r="K590" s="5" t="n">
        <v>105</v>
      </c>
      <c r="L590" s="5" t="n">
        <v>86</v>
      </c>
      <c r="M590" s="5" t="n">
        <v>100</v>
      </c>
      <c r="N590" s="5" t="n">
        <v>94</v>
      </c>
      <c r="O590" s="5" t="n">
        <v>79</v>
      </c>
      <c r="P590" s="5" t="n">
        <v>110</v>
      </c>
      <c r="Q590" s="5" t="n">
        <v>100</v>
      </c>
      <c r="R590" s="5" t="n">
        <v>92</v>
      </c>
      <c r="S590" s="5" t="n">
        <v>114</v>
      </c>
      <c r="T590" s="5" t="n">
        <v>106</v>
      </c>
      <c r="U590" s="5" t="n">
        <v>61</v>
      </c>
      <c r="V590" s="5" t="n">
        <v>94</v>
      </c>
      <c r="W590" s="5" t="n">
        <v>102</v>
      </c>
      <c r="X590" s="5" t="n">
        <v>92</v>
      </c>
      <c r="Y590" s="14">
        <f>IF(AND(ISNUMBER(C590),C590&gt;0,ISNUMBER(X590)),X590/C590-1,"")</f>
        <v/>
      </c>
    </row>
    <row r="591">
      <c r="A591" s="12" t="inlineStr">
        <is>
          <t>450</t>
        </is>
      </c>
      <c r="B591" s="15" t="inlineStr">
        <is>
          <t>Draw</t>
        </is>
      </c>
      <c r="C591" s="5" t="n">
        <v>541</v>
      </c>
      <c r="D591" s="5" t="n">
        <v>596</v>
      </c>
      <c r="E591" s="5" t="n">
        <v>544</v>
      </c>
      <c r="F591" s="5" t="n">
        <v>368</v>
      </c>
      <c r="G591" s="5" t="n">
        <v>229</v>
      </c>
      <c r="H591" s="5" t="n">
        <v>338</v>
      </c>
      <c r="I591" s="5" t="n">
        <v>273</v>
      </c>
      <c r="J591" s="5" t="n">
        <v>206</v>
      </c>
      <c r="K591" s="5" t="n">
        <v>190</v>
      </c>
      <c r="L591" s="5" t="n">
        <v>146</v>
      </c>
      <c r="M591" s="5" t="n">
        <v>170</v>
      </c>
      <c r="N591" s="5" t="n">
        <v>175</v>
      </c>
      <c r="O591" s="5" t="n">
        <v>178</v>
      </c>
      <c r="P591" s="5" t="n">
        <v>193</v>
      </c>
      <c r="Q591" s="5" t="n">
        <v>143</v>
      </c>
      <c r="R591" s="5" t="n">
        <v>25</v>
      </c>
      <c r="S591" s="5" t="n">
        <v>35</v>
      </c>
      <c r="T591" s="5" t="n">
        <v>49</v>
      </c>
      <c r="U591" s="5" t="n">
        <v>51</v>
      </c>
      <c r="V591" s="5" t="n">
        <v>58</v>
      </c>
      <c r="W591" s="5" t="n">
        <v>72</v>
      </c>
      <c r="X591" s="5" t="n">
        <v>98</v>
      </c>
      <c r="Y591" s="14">
        <f>IF(AND(ISNUMBER(C591),C591&gt;0,ISNUMBER(X591)),X591/C591-1,"")</f>
        <v/>
      </c>
    </row>
    <row r="592">
      <c r="A592" s="12" t="inlineStr">
        <is>
          <t>455</t>
        </is>
      </c>
      <c r="B592" s="15" t="inlineStr">
        <is>
          <t>Draw</t>
        </is>
      </c>
      <c r="C592" s="5" t="n">
        <v>1</v>
      </c>
      <c r="D592" s="5" t="n">
        <v>7</v>
      </c>
      <c r="E592" s="5" t="n">
        <v>5</v>
      </c>
      <c r="F592" s="5" t="n">
        <v>5</v>
      </c>
      <c r="G592" s="5" t="n">
        <v>3</v>
      </c>
      <c r="H592" s="5" t="n">
        <v>8</v>
      </c>
      <c r="I592" s="5" t="n">
        <v>3</v>
      </c>
      <c r="J592" s="5" t="n">
        <v>8</v>
      </c>
      <c r="K592" s="5" t="n">
        <v>5</v>
      </c>
      <c r="L592" s="5" t="n">
        <v>8</v>
      </c>
      <c r="M592" s="5" t="n">
        <v>3</v>
      </c>
      <c r="N592" s="5" t="n">
        <v>7</v>
      </c>
      <c r="O592" s="5" t="n">
        <v>11</v>
      </c>
      <c r="P592" s="5" t="n">
        <v>4</v>
      </c>
      <c r="Q592" s="5" t="n">
        <v>0</v>
      </c>
      <c r="R592" s="5" t="n">
        <v>0</v>
      </c>
      <c r="S592" s="5" t="n">
        <v>3</v>
      </c>
      <c r="T592" s="5" t="n">
        <v>2</v>
      </c>
      <c r="U592" s="5" t="n">
        <v>2</v>
      </c>
      <c r="V592" s="5" t="n">
        <v>2</v>
      </c>
      <c r="W592" s="5" t="n">
        <v>0</v>
      </c>
      <c r="X592" s="5" t="n">
        <v>6</v>
      </c>
      <c r="Y592" s="14">
        <f>IF(AND(ISNUMBER(C592),C592&gt;0,ISNUMBER(X592)),X592/C592-1,"")</f>
        <v/>
      </c>
    </row>
    <row r="593">
      <c r="A593" s="12" t="inlineStr">
        <is>
          <t>470</t>
        </is>
      </c>
      <c r="B593" s="4" t="inlineStr"/>
      <c r="C593" s="5" t="n">
        <v>168</v>
      </c>
      <c r="D593" s="5" t="n">
        <v>188</v>
      </c>
      <c r="E593" s="5" t="n">
        <v>197</v>
      </c>
      <c r="F593" s="5" t="n">
        <v>191</v>
      </c>
      <c r="G593" s="5" t="n">
        <v>181</v>
      </c>
      <c r="H593" s="5" t="n">
        <v>186</v>
      </c>
      <c r="I593" s="5" t="n">
        <v>147</v>
      </c>
      <c r="J593" s="5" t="n">
        <v>85</v>
      </c>
      <c r="K593" s="5" t="n">
        <v>62</v>
      </c>
      <c r="L593" s="5" t="n">
        <v>63</v>
      </c>
      <c r="M593" s="5" t="n">
        <v>81</v>
      </c>
      <c r="N593" s="5" t="n">
        <v>72</v>
      </c>
      <c r="O593" s="5" t="n">
        <v>97</v>
      </c>
      <c r="P593" s="5" t="n">
        <v>122</v>
      </c>
      <c r="Q593" s="5" t="n">
        <v>160</v>
      </c>
      <c r="R593" s="5" t="n">
        <v>152</v>
      </c>
      <c r="S593" s="5" t="n"/>
      <c r="T593" s="5" t="n"/>
      <c r="U593" s="5" t="n"/>
      <c r="V593" s="5" t="n"/>
      <c r="W593" s="5" t="n"/>
      <c r="X593" s="5" t="n"/>
      <c r="Y593" s="14">
        <f>IF(AND(ISNUMBER(C593),C593&gt;0,ISNUMBER(X593)),X593/C593-1,"")</f>
        <v/>
      </c>
    </row>
    <row r="594">
      <c r="A594" s="12" t="inlineStr">
        <is>
          <t>471</t>
        </is>
      </c>
      <c r="B594" s="15" t="inlineStr">
        <is>
          <t>Draw</t>
        </is>
      </c>
      <c r="C594" s="5" t="n">
        <v>224</v>
      </c>
      <c r="D594" s="5" t="n">
        <v>252</v>
      </c>
      <c r="E594" s="5" t="n">
        <v>239</v>
      </c>
      <c r="F594" s="5" t="n">
        <v>237</v>
      </c>
      <c r="G594" s="5" t="n">
        <v>45</v>
      </c>
      <c r="H594" s="5" t="n">
        <v>78</v>
      </c>
      <c r="I594" s="5" t="n">
        <v>60</v>
      </c>
      <c r="J594" s="5" t="n">
        <v>53</v>
      </c>
      <c r="K594" s="5" t="n">
        <v>109</v>
      </c>
      <c r="L594" s="5" t="n">
        <v>56</v>
      </c>
      <c r="M594" s="5" t="n">
        <v>58</v>
      </c>
      <c r="N594" s="5" t="n">
        <v>74</v>
      </c>
      <c r="O594" s="5" t="n">
        <v>153</v>
      </c>
      <c r="P594" s="5" t="n">
        <v>158</v>
      </c>
      <c r="Q594" s="5" t="n">
        <v>159</v>
      </c>
      <c r="R594" s="5" t="n">
        <v>243</v>
      </c>
      <c r="S594" s="5" t="n">
        <v>463</v>
      </c>
      <c r="T594" s="5" t="n">
        <v>337</v>
      </c>
      <c r="U594" s="5" t="n">
        <v>485</v>
      </c>
      <c r="V594" s="5" t="n">
        <v>315</v>
      </c>
      <c r="W594" s="5" t="n">
        <v>273</v>
      </c>
      <c r="X594" s="5" t="n">
        <v>430</v>
      </c>
      <c r="Y594" s="14">
        <f>IF(AND(ISNUMBER(C594),C594&gt;0,ISNUMBER(X594)),X594/C594-1,"")</f>
        <v/>
      </c>
    </row>
    <row r="595">
      <c r="A595" s="12" t="inlineStr">
        <is>
          <t>473</t>
        </is>
      </c>
      <c r="B595" s="4" t="inlineStr"/>
      <c r="C595" s="5" t="n">
        <v>105</v>
      </c>
      <c r="D595" s="5" t="n">
        <v>90</v>
      </c>
      <c r="E595" s="5" t="n">
        <v>100</v>
      </c>
      <c r="F595" s="5" t="n">
        <v>109</v>
      </c>
      <c r="G595" s="5" t="n">
        <v>130</v>
      </c>
      <c r="H595" s="5" t="n">
        <v>93</v>
      </c>
      <c r="I595" s="5" t="n">
        <v>91</v>
      </c>
      <c r="J595" s="5" t="n">
        <v>82</v>
      </c>
      <c r="K595" s="5" t="n"/>
      <c r="L595" s="5" t="n"/>
      <c r="M595" s="5" t="n"/>
      <c r="N595" s="5" t="n"/>
      <c r="O595" s="5" t="n"/>
      <c r="P595" s="5" t="n"/>
      <c r="Q595" s="5" t="n"/>
      <c r="R595" s="5" t="n"/>
      <c r="S595" s="5" t="n"/>
      <c r="T595" s="5" t="n"/>
      <c r="U595" s="5" t="n"/>
      <c r="V595" s="5" t="n"/>
      <c r="W595" s="5" t="n"/>
      <c r="X595" s="5" t="n"/>
      <c r="Y595" s="14">
        <f>IF(AND(ISNUMBER(C595),C595&gt;0,ISNUMBER(X595)),X595/C595-1,"")</f>
        <v/>
      </c>
    </row>
    <row r="596">
      <c r="A596" s="12" t="inlineStr">
        <is>
          <t>480</t>
        </is>
      </c>
      <c r="B596" s="15" t="inlineStr">
        <is>
          <t>Draw</t>
        </is>
      </c>
      <c r="C596" s="5" t="n">
        <v>1215</v>
      </c>
      <c r="D596" s="5" t="n">
        <v>1354</v>
      </c>
      <c r="E596" s="5" t="n">
        <v>1115</v>
      </c>
      <c r="F596" s="5" t="n">
        <v>1504</v>
      </c>
      <c r="G596" s="5" t="n">
        <v>951</v>
      </c>
      <c r="H596" s="5" t="n">
        <v>392</v>
      </c>
      <c r="I596" s="5" t="n">
        <v>131</v>
      </c>
      <c r="J596" s="5" t="n">
        <v>128</v>
      </c>
      <c r="K596" s="5" t="n">
        <v>126</v>
      </c>
      <c r="L596" s="5" t="n">
        <v>52</v>
      </c>
      <c r="M596" s="5" t="n">
        <v>73</v>
      </c>
      <c r="N596" s="5" t="n">
        <v>78</v>
      </c>
      <c r="O596" s="5" t="n">
        <v>95</v>
      </c>
      <c r="P596" s="5" t="n">
        <v>93</v>
      </c>
      <c r="Q596" s="5" t="n">
        <v>105</v>
      </c>
      <c r="R596" s="5" t="n">
        <v>95</v>
      </c>
      <c r="S596" s="5" t="n">
        <v>100</v>
      </c>
      <c r="T596" s="5" t="n">
        <v>121</v>
      </c>
      <c r="U596" s="5" t="n">
        <v>94</v>
      </c>
      <c r="V596" s="5" t="n">
        <v>85</v>
      </c>
      <c r="W596" s="5" t="n">
        <v>118</v>
      </c>
      <c r="X596" s="5" t="n">
        <v>206</v>
      </c>
      <c r="Y596" s="14">
        <f>IF(AND(ISNUMBER(C596),C596&gt;0,ISNUMBER(X596)),X596/C596-1,"")</f>
        <v/>
      </c>
    </row>
    <row r="597">
      <c r="A597" s="12" t="inlineStr">
        <is>
          <t>481</t>
        </is>
      </c>
      <c r="B597" s="15" t="inlineStr">
        <is>
          <t>Draw</t>
        </is>
      </c>
      <c r="C597" s="5" t="n">
        <v>858</v>
      </c>
      <c r="D597" s="5" t="n">
        <v>959</v>
      </c>
      <c r="E597" s="5" t="n">
        <v>1022</v>
      </c>
      <c r="F597" s="5" t="n">
        <v>1082</v>
      </c>
      <c r="G597" s="5" t="n">
        <v>741</v>
      </c>
      <c r="H597" s="5" t="n">
        <v>231</v>
      </c>
      <c r="I597" s="5" t="n">
        <v>52</v>
      </c>
      <c r="J597" s="5" t="n">
        <v>48</v>
      </c>
      <c r="K597" s="5" t="n">
        <v>22</v>
      </c>
      <c r="L597" s="5" t="n">
        <v>15</v>
      </c>
      <c r="M597" s="5" t="n">
        <v>22</v>
      </c>
      <c r="N597" s="5" t="n">
        <v>26</v>
      </c>
      <c r="O597" s="5" t="n">
        <v>35</v>
      </c>
      <c r="P597" s="5" t="n">
        <v>26</v>
      </c>
      <c r="Q597" s="5" t="n">
        <v>26</v>
      </c>
      <c r="R597" s="5" t="n">
        <v>32</v>
      </c>
      <c r="S597" s="5" t="n">
        <v>150</v>
      </c>
      <c r="T597" s="5" t="n">
        <v>225</v>
      </c>
      <c r="U597" s="5" t="n">
        <v>78</v>
      </c>
      <c r="V597" s="5" t="n">
        <v>57</v>
      </c>
      <c r="W597" s="5" t="n">
        <v>101</v>
      </c>
      <c r="X597" s="5" t="n">
        <v>150</v>
      </c>
      <c r="Y597" s="14">
        <f>IF(AND(ISNUMBER(C597),C597&gt;0,ISNUMBER(X597)),X597/C597-1,"")</f>
        <v/>
      </c>
    </row>
    <row r="598">
      <c r="A598" s="12" t="inlineStr">
        <is>
          <t>490</t>
        </is>
      </c>
      <c r="B598" s="15" t="inlineStr">
        <is>
          <t>Draw</t>
        </is>
      </c>
      <c r="C598" s="5" t="n">
        <v>497</v>
      </c>
      <c r="D598" s="5" t="n">
        <v>556</v>
      </c>
      <c r="E598" s="5" t="n">
        <v>467</v>
      </c>
      <c r="F598" s="5" t="n">
        <v>591</v>
      </c>
      <c r="G598" s="5" t="n">
        <v>253</v>
      </c>
      <c r="H598" s="5" t="n">
        <v>311</v>
      </c>
      <c r="I598" s="5" t="n">
        <v>373</v>
      </c>
      <c r="J598" s="5" t="n">
        <v>395</v>
      </c>
      <c r="K598" s="5" t="n">
        <v>334</v>
      </c>
      <c r="L598" s="5" t="n">
        <v>268</v>
      </c>
      <c r="M598" s="5" t="n">
        <v>273</v>
      </c>
      <c r="N598" s="5" t="n">
        <v>296</v>
      </c>
      <c r="O598" s="5" t="n">
        <v>254</v>
      </c>
      <c r="P598" s="5" t="n">
        <v>306</v>
      </c>
      <c r="Q598" s="5" t="n">
        <v>294</v>
      </c>
      <c r="R598" s="5" t="n">
        <v>271</v>
      </c>
      <c r="S598" s="5" t="n">
        <v>300</v>
      </c>
      <c r="T598" s="5" t="n">
        <v>285</v>
      </c>
      <c r="U598" s="5" t="n">
        <v>316</v>
      </c>
      <c r="V598" s="5" t="n">
        <v>115</v>
      </c>
      <c r="W598" s="5" t="n">
        <v>156</v>
      </c>
      <c r="X598" s="5" t="n">
        <v>174</v>
      </c>
      <c r="Y598" s="14">
        <f>IF(AND(ISNUMBER(C598),C598&gt;0,ISNUMBER(X598)),X598/C598-1,"")</f>
        <v/>
      </c>
    </row>
    <row r="599">
      <c r="A599" s="12" t="inlineStr">
        <is>
          <t>491</t>
        </is>
      </c>
      <c r="B599" s="4" t="inlineStr"/>
      <c r="C599" s="5" t="n">
        <v>233</v>
      </c>
      <c r="D599" s="5" t="n">
        <v>259</v>
      </c>
      <c r="E599" s="5" t="n">
        <v>246</v>
      </c>
      <c r="F599" s="5" t="n">
        <v>337</v>
      </c>
      <c r="G599" s="5" t="n">
        <v>258</v>
      </c>
      <c r="H599" s="5" t="n">
        <v>193</v>
      </c>
      <c r="I599" s="5" t="n">
        <v>190</v>
      </c>
      <c r="J599" s="5" t="n">
        <v>125</v>
      </c>
      <c r="K599" s="5" t="n">
        <v>116</v>
      </c>
      <c r="L599" s="5" t="n">
        <v>65</v>
      </c>
      <c r="M599" s="5" t="n">
        <v>53</v>
      </c>
      <c r="N599" s="5" t="n">
        <v>82</v>
      </c>
      <c r="O599" s="5" t="n">
        <v>73</v>
      </c>
      <c r="P599" s="5" t="n">
        <v>79</v>
      </c>
      <c r="Q599" s="5" t="n">
        <v>59</v>
      </c>
      <c r="R599" s="5" t="n">
        <v>40</v>
      </c>
      <c r="S599" s="5" t="n">
        <v>69</v>
      </c>
      <c r="T599" s="5" t="n">
        <v>48</v>
      </c>
      <c r="U599" s="5" t="n"/>
      <c r="V599" s="5" t="n"/>
      <c r="W599" s="5" t="n"/>
      <c r="X599" s="5" t="n"/>
      <c r="Y599" s="14">
        <f>IF(AND(ISNUMBER(C599),C599&gt;0,ISNUMBER(X599)),X599/C599-1,"")</f>
        <v/>
      </c>
    </row>
    <row r="600">
      <c r="A600" s="12" t="inlineStr">
        <is>
          <t>500</t>
        </is>
      </c>
      <c r="B600" s="4" t="inlineStr"/>
      <c r="C600" s="5" t="n">
        <v>678</v>
      </c>
      <c r="D600" s="5" t="n">
        <v>544</v>
      </c>
      <c r="E600" s="5" t="n">
        <v>458</v>
      </c>
      <c r="F600" s="5" t="n">
        <v>344</v>
      </c>
      <c r="G600" s="5" t="n">
        <v>175</v>
      </c>
      <c r="H600" s="5" t="n">
        <v>245</v>
      </c>
      <c r="I600" s="5" t="n">
        <v>301</v>
      </c>
      <c r="J600" s="5" t="n">
        <v>360</v>
      </c>
      <c r="K600" s="5" t="n">
        <v>267</v>
      </c>
      <c r="L600" s="5" t="n">
        <v>104</v>
      </c>
      <c r="M600" s="5" t="n">
        <v>163</v>
      </c>
      <c r="N600" s="5" t="n">
        <v>190</v>
      </c>
      <c r="O600" s="5" t="n">
        <v>228</v>
      </c>
      <c r="P600" s="5" t="n">
        <v>228</v>
      </c>
      <c r="Q600" s="5" t="n">
        <v>158</v>
      </c>
      <c r="R600" s="5" t="n">
        <v>114</v>
      </c>
      <c r="S600" s="5" t="n">
        <v>128</v>
      </c>
      <c r="T600" s="5" t="n">
        <v>146</v>
      </c>
      <c r="U600" s="5" t="n"/>
      <c r="V600" s="5" t="n"/>
      <c r="W600" s="5" t="n"/>
      <c r="X600" s="5" t="n"/>
      <c r="Y600" s="14">
        <f>IF(AND(ISNUMBER(C600),C600&gt;0,ISNUMBER(X600)),X600/C600-1,"")</f>
        <v/>
      </c>
    </row>
    <row r="601">
      <c r="A601" s="12" t="inlineStr">
        <is>
          <t>501</t>
        </is>
      </c>
      <c r="B601" s="4" t="inlineStr"/>
      <c r="C601" s="5" t="n">
        <v>682</v>
      </c>
      <c r="D601" s="5" t="n">
        <v>615</v>
      </c>
      <c r="E601" s="5" t="n">
        <v>571</v>
      </c>
      <c r="F601" s="5" t="n">
        <v>515</v>
      </c>
      <c r="G601" s="5" t="n">
        <v>242</v>
      </c>
      <c r="H601" s="5" t="n">
        <v>406</v>
      </c>
      <c r="I601" s="5" t="n">
        <v>186</v>
      </c>
      <c r="J601" s="5" t="n">
        <v>218</v>
      </c>
      <c r="K601" s="5" t="n">
        <v>179</v>
      </c>
      <c r="L601" s="5" t="n">
        <v>141</v>
      </c>
      <c r="M601" s="5" t="n">
        <v>180</v>
      </c>
      <c r="N601" s="5" t="n">
        <v>186</v>
      </c>
      <c r="O601" s="5" t="n">
        <v>141</v>
      </c>
      <c r="P601" s="5" t="n">
        <v>173</v>
      </c>
      <c r="Q601" s="5" t="n">
        <v>167</v>
      </c>
      <c r="R601" s="5" t="n">
        <v>201</v>
      </c>
      <c r="S601" s="5" t="n">
        <v>243</v>
      </c>
      <c r="T601" s="5" t="n">
        <v>150</v>
      </c>
      <c r="U601" s="5" t="n"/>
      <c r="V601" s="5" t="n"/>
      <c r="W601" s="5" t="n"/>
      <c r="X601" s="5" t="n"/>
      <c r="Y601" s="14">
        <f>IF(AND(ISNUMBER(C601),C601&gt;0,ISNUMBER(X601)),X601/C601-1,"")</f>
        <v/>
      </c>
    </row>
    <row r="602">
      <c r="A602" s="12" t="inlineStr">
        <is>
          <t>506</t>
        </is>
      </c>
      <c r="B602" s="15" t="inlineStr">
        <is>
          <t>Draw</t>
        </is>
      </c>
      <c r="C602" s="5" t="n"/>
      <c r="D602" s="5" t="n"/>
      <c r="E602" s="5" t="n"/>
      <c r="F602" s="5" t="n"/>
      <c r="G602" s="5" t="n"/>
      <c r="H602" s="5" t="n"/>
      <c r="I602" s="5" t="n"/>
      <c r="J602" s="5" t="n"/>
      <c r="K602" s="5" t="n"/>
      <c r="L602" s="5" t="n"/>
      <c r="M602" s="5" t="n"/>
      <c r="N602" s="5" t="n"/>
      <c r="O602" s="5" t="n"/>
      <c r="P602" s="5" t="n"/>
      <c r="Q602" s="5" t="n"/>
      <c r="R602" s="5" t="n"/>
      <c r="S602" s="5" t="n"/>
      <c r="T602" s="5" t="n"/>
      <c r="U602" s="5" t="n">
        <v>130</v>
      </c>
      <c r="V602" s="5" t="n">
        <v>110</v>
      </c>
      <c r="W602" s="5" t="n">
        <v>136</v>
      </c>
      <c r="X602" s="5" t="n">
        <v>64</v>
      </c>
      <c r="Y602" s="14">
        <f>IF(AND(ISNUMBER(C602),C602&gt;0,ISNUMBER(X602)),X602/C602-1,"")</f>
        <v/>
      </c>
    </row>
    <row r="603">
      <c r="A603" s="12" t="inlineStr">
        <is>
          <t>510</t>
        </is>
      </c>
      <c r="B603" s="4" t="inlineStr"/>
      <c r="C603" s="5" t="n">
        <v>452</v>
      </c>
      <c r="D603" s="5" t="n">
        <v>214</v>
      </c>
      <c r="E603" s="5" t="n">
        <v>197</v>
      </c>
      <c r="F603" s="5" t="n">
        <v>261</v>
      </c>
      <c r="G603" s="5" t="n">
        <v>357</v>
      </c>
      <c r="H603" s="5" t="n">
        <v>321</v>
      </c>
      <c r="I603" s="5" t="n">
        <v>443</v>
      </c>
      <c r="J603" s="5" t="n">
        <v>468</v>
      </c>
      <c r="K603" s="5" t="n">
        <v>349</v>
      </c>
      <c r="L603" s="5" t="n">
        <v>267</v>
      </c>
      <c r="M603" s="5" t="n">
        <v>300</v>
      </c>
      <c r="N603" s="5" t="n">
        <v>395</v>
      </c>
      <c r="O603" s="5" t="n">
        <v>431</v>
      </c>
      <c r="P603" s="5" t="n">
        <v>364</v>
      </c>
      <c r="Q603" s="5" t="n">
        <v>304</v>
      </c>
      <c r="R603" s="5" t="n">
        <v>282</v>
      </c>
      <c r="S603" s="5" t="n">
        <v>169</v>
      </c>
      <c r="T603" s="5" t="n">
        <v>157</v>
      </c>
      <c r="U603" s="5" t="n"/>
      <c r="V603" s="5" t="n"/>
      <c r="W603" s="5" t="n"/>
      <c r="X603" s="5" t="n"/>
      <c r="Y603" s="14">
        <f>IF(AND(ISNUMBER(C603),C603&gt;0,ISNUMBER(X603)),X603/C603-1,"")</f>
        <v/>
      </c>
    </row>
    <row r="604">
      <c r="A604" s="12" t="inlineStr">
        <is>
          <t>511</t>
        </is>
      </c>
      <c r="B604" s="4" t="inlineStr"/>
      <c r="C604" s="5" t="n">
        <v>149</v>
      </c>
      <c r="D604" s="5" t="n">
        <v>193</v>
      </c>
      <c r="E604" s="5" t="n">
        <v>160</v>
      </c>
      <c r="F604" s="5" t="n">
        <v>156</v>
      </c>
      <c r="G604" s="5" t="n">
        <v>181</v>
      </c>
      <c r="H604" s="5" t="n">
        <v>313</v>
      </c>
      <c r="I604" s="5" t="n">
        <v>278</v>
      </c>
      <c r="J604" s="5" t="n">
        <v>197</v>
      </c>
      <c r="K604" s="5" t="n">
        <v>190</v>
      </c>
      <c r="L604" s="5" t="n">
        <v>116</v>
      </c>
      <c r="M604" s="5" t="n">
        <v>88</v>
      </c>
      <c r="N604" s="5" t="n">
        <v>95</v>
      </c>
      <c r="O604" s="5" t="n">
        <v>92</v>
      </c>
      <c r="P604" s="5" t="n">
        <v>128</v>
      </c>
      <c r="Q604" s="5" t="n">
        <v>103</v>
      </c>
      <c r="R604" s="5" t="n">
        <v>95</v>
      </c>
      <c r="S604" s="5" t="n">
        <v>109</v>
      </c>
      <c r="T604" s="5" t="n">
        <v>101</v>
      </c>
      <c r="U604" s="5" t="n"/>
      <c r="V604" s="5" t="n"/>
      <c r="W604" s="5" t="n"/>
      <c r="X604" s="5" t="n"/>
      <c r="Y604" s="14">
        <f>IF(AND(ISNUMBER(C604),C604&gt;0,ISNUMBER(X604)),X604/C604-1,"")</f>
        <v/>
      </c>
    </row>
    <row r="605">
      <c r="A605" s="12" t="inlineStr">
        <is>
          <t>512</t>
        </is>
      </c>
      <c r="B605" s="4" t="inlineStr"/>
      <c r="C605" s="5" t="n">
        <v>51</v>
      </c>
      <c r="D605" s="5" t="n">
        <v>51</v>
      </c>
      <c r="E605" s="5" t="n">
        <v>51</v>
      </c>
      <c r="F605" s="5" t="n">
        <v>57</v>
      </c>
      <c r="G605" s="5" t="n">
        <v>52</v>
      </c>
      <c r="H605" s="5" t="n">
        <v>75</v>
      </c>
      <c r="I605" s="5" t="n">
        <v>75</v>
      </c>
      <c r="J605" s="5" t="n">
        <v>75</v>
      </c>
      <c r="K605" s="5" t="n">
        <v>65</v>
      </c>
      <c r="L605" s="5" t="n">
        <v>57</v>
      </c>
      <c r="M605" s="5" t="n">
        <v>63</v>
      </c>
      <c r="N605" s="5" t="n">
        <v>62</v>
      </c>
      <c r="O605" s="5" t="n">
        <v>68</v>
      </c>
      <c r="P605" s="5" t="n">
        <v>51</v>
      </c>
      <c r="Q605" s="5" t="n">
        <v>26</v>
      </c>
      <c r="R605" s="5" t="n">
        <v>21</v>
      </c>
      <c r="S605" s="5" t="n">
        <v>32</v>
      </c>
      <c r="T605" s="5" t="n">
        <v>26</v>
      </c>
      <c r="U605" s="5" t="n"/>
      <c r="V605" s="5" t="n"/>
      <c r="W605" s="5" t="n"/>
      <c r="X605" s="5" t="n"/>
      <c r="Y605" s="14">
        <f>IF(AND(ISNUMBER(C605),C605&gt;0,ISNUMBER(X605)),X605/C605-1,"")</f>
        <v/>
      </c>
    </row>
    <row r="606">
      <c r="A606" s="12" t="inlineStr">
        <is>
          <t>513</t>
        </is>
      </c>
      <c r="B606" s="4" t="inlineStr"/>
      <c r="C606" s="5" t="n">
        <v>992</v>
      </c>
      <c r="D606" s="5" t="n">
        <v>923</v>
      </c>
      <c r="E606" s="5" t="n">
        <v>848</v>
      </c>
      <c r="F606" s="5" t="n">
        <v>863</v>
      </c>
      <c r="G606" s="5" t="n">
        <v>325</v>
      </c>
      <c r="H606" s="5" t="n">
        <v>281</v>
      </c>
      <c r="I606" s="5" t="n">
        <v>199</v>
      </c>
      <c r="J606" s="5" t="n">
        <v>127</v>
      </c>
      <c r="K606" s="5" t="n">
        <v>100</v>
      </c>
      <c r="L606" s="5" t="n">
        <v>83</v>
      </c>
      <c r="M606" s="5" t="n">
        <v>112</v>
      </c>
      <c r="N606" s="5" t="n">
        <v>126</v>
      </c>
      <c r="O606" s="5" t="n">
        <v>168</v>
      </c>
      <c r="P606" s="5" t="n">
        <v>174</v>
      </c>
      <c r="Q606" s="5" t="n">
        <v>192</v>
      </c>
      <c r="R606" s="5" t="n">
        <v>197</v>
      </c>
      <c r="S606" s="5" t="n">
        <v>298</v>
      </c>
      <c r="T606" s="5" t="n">
        <v>145</v>
      </c>
      <c r="U606" s="5" t="n"/>
      <c r="V606" s="5" t="n"/>
      <c r="W606" s="5" t="n"/>
      <c r="X606" s="5" t="n"/>
      <c r="Y606" s="14">
        <f>IF(AND(ISNUMBER(C606),C606&gt;0,ISNUMBER(X606)),X606/C606-1,"")</f>
        <v/>
      </c>
    </row>
    <row r="607">
      <c r="A607" s="12" t="inlineStr">
        <is>
          <t>514</t>
        </is>
      </c>
      <c r="B607" s="4" t="inlineStr"/>
      <c r="C607" s="5" t="n">
        <v>52</v>
      </c>
      <c r="D607" s="5" t="n">
        <v>49</v>
      </c>
      <c r="E607" s="5" t="n">
        <v>89</v>
      </c>
      <c r="F607" s="5" t="n">
        <v>112</v>
      </c>
      <c r="G607" s="5" t="n">
        <v>73</v>
      </c>
      <c r="H607" s="5" t="n">
        <v>91</v>
      </c>
      <c r="I607" s="5" t="n">
        <v>91</v>
      </c>
      <c r="J607" s="5" t="n">
        <v>69</v>
      </c>
      <c r="K607" s="5" t="n">
        <v>110</v>
      </c>
      <c r="L607" s="5" t="n">
        <v>96</v>
      </c>
      <c r="M607" s="5" t="n">
        <v>82</v>
      </c>
      <c r="N607" s="5" t="n">
        <v>97</v>
      </c>
      <c r="O607" s="5" t="n">
        <v>92</v>
      </c>
      <c r="P607" s="5" t="n">
        <v>51</v>
      </c>
      <c r="Q607" s="5" t="n">
        <v>58</v>
      </c>
      <c r="R607" s="5" t="n">
        <v>50</v>
      </c>
      <c r="S607" s="5" t="n">
        <v>60</v>
      </c>
      <c r="T607" s="5" t="n">
        <v>41</v>
      </c>
      <c r="U607" s="5" t="n"/>
      <c r="V607" s="5" t="n"/>
      <c r="W607" s="5" t="n"/>
      <c r="X607" s="5" t="n"/>
      <c r="Y607" s="14">
        <f>IF(AND(ISNUMBER(C607),C607&gt;0,ISNUMBER(X607)),X607/C607-1,"")</f>
        <v/>
      </c>
    </row>
    <row r="608">
      <c r="A608" s="12" t="inlineStr">
        <is>
          <t>516</t>
        </is>
      </c>
      <c r="B608" s="15" t="inlineStr">
        <is>
          <t>Draw</t>
        </is>
      </c>
      <c r="C608" s="5" t="n"/>
      <c r="D608" s="5" t="n"/>
      <c r="E608" s="5" t="n"/>
      <c r="F608" s="5" t="n"/>
      <c r="G608" s="5" t="n"/>
      <c r="H608" s="5" t="n"/>
      <c r="I608" s="5" t="n"/>
      <c r="J608" s="5" t="n"/>
      <c r="K608" s="5" t="n"/>
      <c r="L608" s="5" t="n"/>
      <c r="M608" s="5" t="n"/>
      <c r="N608" s="5" t="n"/>
      <c r="O608" s="5" t="n"/>
      <c r="P608" s="5" t="n"/>
      <c r="Q608" s="5" t="n"/>
      <c r="R608" s="5" t="n"/>
      <c r="S608" s="5" t="n"/>
      <c r="T608" s="5" t="n"/>
      <c r="U608" s="5" t="n">
        <v>400</v>
      </c>
      <c r="V608" s="5" t="n">
        <v>395</v>
      </c>
      <c r="W608" s="5" t="n">
        <v>424</v>
      </c>
      <c r="X608" s="5" t="n">
        <v>332</v>
      </c>
      <c r="Y608" s="14">
        <f>IF(AND(ISNUMBER(C608),C608&gt;0,ISNUMBER(X608)),X608/C608-1,"")</f>
        <v/>
      </c>
    </row>
    <row r="609">
      <c r="A609" s="12" t="inlineStr">
        <is>
          <t>526</t>
        </is>
      </c>
      <c r="B609" s="15" t="inlineStr">
        <is>
          <t>Draw</t>
        </is>
      </c>
      <c r="C609" s="5" t="n"/>
      <c r="D609" s="5" t="n"/>
      <c r="E609" s="5" t="n"/>
      <c r="F609" s="5" t="n"/>
      <c r="G609" s="5" t="n"/>
      <c r="H609" s="5" t="n"/>
      <c r="I609" s="5" t="n"/>
      <c r="J609" s="5" t="n"/>
      <c r="K609" s="5" t="n"/>
      <c r="L609" s="5" t="n"/>
      <c r="M609" s="5" t="n"/>
      <c r="N609" s="5" t="n"/>
      <c r="O609" s="5" t="n"/>
      <c r="P609" s="5" t="n"/>
      <c r="Q609" s="5" t="n"/>
      <c r="R609" s="5" t="n"/>
      <c r="S609" s="5" t="n"/>
      <c r="T609" s="5" t="n"/>
      <c r="U609" s="5" t="n">
        <v>84</v>
      </c>
      <c r="V609" s="5" t="n">
        <v>119</v>
      </c>
      <c r="W609" s="5" t="n">
        <v>104</v>
      </c>
      <c r="X609" s="5" t="n">
        <v>104</v>
      </c>
      <c r="Y609" s="14">
        <f>IF(AND(ISNUMBER(C609),C609&gt;0,ISNUMBER(X609)),X609/C609-1,"")</f>
        <v/>
      </c>
    </row>
    <row r="610">
      <c r="A610" s="12" t="inlineStr">
        <is>
          <t>530</t>
        </is>
      </c>
      <c r="B610" s="4" t="inlineStr"/>
      <c r="C610" s="5" t="n">
        <v>1426</v>
      </c>
      <c r="D610" s="5" t="n">
        <v>1369</v>
      </c>
      <c r="E610" s="5" t="n">
        <v>1336</v>
      </c>
      <c r="F610" s="5" t="n">
        <v>942</v>
      </c>
      <c r="G610" s="5" t="n">
        <v>393</v>
      </c>
      <c r="H610" s="5" t="n">
        <v>354</v>
      </c>
      <c r="I610" s="5" t="n">
        <v>301</v>
      </c>
      <c r="J610" s="5" t="n">
        <v>183</v>
      </c>
      <c r="K610" s="5" t="n">
        <v>138</v>
      </c>
      <c r="L610" s="5" t="n">
        <v>97</v>
      </c>
      <c r="M610" s="5" t="n">
        <v>152</v>
      </c>
      <c r="N610" s="5" t="n">
        <v>140</v>
      </c>
      <c r="O610" s="5" t="n">
        <v>81</v>
      </c>
      <c r="P610" s="5" t="n">
        <v>119</v>
      </c>
      <c r="Q610" s="5" t="n">
        <v>118</v>
      </c>
      <c r="R610" s="5" t="n">
        <v>128</v>
      </c>
      <c r="S610" s="5" t="n">
        <v>127</v>
      </c>
      <c r="T610" s="5" t="n">
        <v>128</v>
      </c>
      <c r="U610" s="5" t="n"/>
      <c r="V610" s="5" t="n"/>
      <c r="W610" s="5" t="n"/>
      <c r="X610" s="5" t="n"/>
      <c r="Y610" s="14">
        <f>IF(AND(ISNUMBER(C610),C610&gt;0,ISNUMBER(X610)),X610/C610-1,"")</f>
        <v/>
      </c>
    </row>
    <row r="611">
      <c r="A611" s="12" t="inlineStr">
        <is>
          <t>536</t>
        </is>
      </c>
      <c r="B611" s="15" t="inlineStr">
        <is>
          <t>Draw</t>
        </is>
      </c>
      <c r="C611" s="5" t="n"/>
      <c r="D611" s="5" t="n"/>
      <c r="E611" s="5" t="n"/>
      <c r="F611" s="5" t="n"/>
      <c r="G611" s="5" t="n"/>
      <c r="H611" s="5" t="n"/>
      <c r="I611" s="5" t="n"/>
      <c r="J611" s="5" t="n"/>
      <c r="K611" s="5" t="n"/>
      <c r="L611" s="5" t="n"/>
      <c r="M611" s="5" t="n"/>
      <c r="N611" s="5" t="n"/>
      <c r="O611" s="5" t="n"/>
      <c r="P611" s="5" t="n"/>
      <c r="Q611" s="5" t="n"/>
      <c r="R611" s="5" t="n"/>
      <c r="S611" s="5" t="n"/>
      <c r="T611" s="5" t="n"/>
      <c r="U611" s="5" t="n">
        <v>181</v>
      </c>
      <c r="V611" s="5" t="n">
        <v>178</v>
      </c>
      <c r="W611" s="5" t="n">
        <v>188</v>
      </c>
      <c r="X611" s="5" t="n">
        <v>198</v>
      </c>
      <c r="Y611" s="14">
        <f>IF(AND(ISNUMBER(C611),C611&gt;0,ISNUMBER(X611)),X611/C611-1,"")</f>
        <v/>
      </c>
    </row>
    <row r="612">
      <c r="A612" s="12" t="inlineStr">
        <is>
          <t>540</t>
        </is>
      </c>
      <c r="B612" s="4" t="inlineStr"/>
      <c r="C612" s="5" t="n">
        <v>173</v>
      </c>
      <c r="D612" s="5" t="n">
        <v>157</v>
      </c>
      <c r="E612" s="5" t="n">
        <v>156</v>
      </c>
      <c r="F612" s="5" t="n">
        <v>127</v>
      </c>
      <c r="G612" s="5" t="n">
        <v>123</v>
      </c>
      <c r="H612" s="5" t="n">
        <v>92</v>
      </c>
      <c r="I612" s="5" t="n">
        <v>62</v>
      </c>
      <c r="J612" s="5" t="n">
        <v>43</v>
      </c>
      <c r="K612" s="5" t="n">
        <v>60</v>
      </c>
      <c r="L612" s="5" t="n">
        <v>51</v>
      </c>
      <c r="M612" s="5" t="n">
        <v>54</v>
      </c>
      <c r="N612" s="5" t="n">
        <v>100</v>
      </c>
      <c r="O612" s="5" t="n">
        <v>115</v>
      </c>
      <c r="P612" s="5" t="n">
        <v>141</v>
      </c>
      <c r="Q612" s="5" t="n">
        <v>161</v>
      </c>
      <c r="R612" s="5" t="n">
        <v>208</v>
      </c>
      <c r="S612" s="5" t="n">
        <v>139</v>
      </c>
      <c r="T612" s="5" t="n">
        <v>103</v>
      </c>
      <c r="U612" s="5" t="n"/>
      <c r="V612" s="5" t="n"/>
      <c r="W612" s="5" t="n"/>
      <c r="X612" s="5" t="n"/>
      <c r="Y612" s="14">
        <f>IF(AND(ISNUMBER(C612),C612&gt;0,ISNUMBER(X612)),X612/C612-1,"")</f>
        <v/>
      </c>
    </row>
    <row r="613">
      <c r="A613" s="12" t="inlineStr">
        <is>
          <t>546</t>
        </is>
      </c>
      <c r="B613" s="15" t="inlineStr">
        <is>
          <t>Draw</t>
        </is>
      </c>
      <c r="C613" s="5" t="n"/>
      <c r="D613" s="5" t="n"/>
      <c r="E613" s="5" t="n"/>
      <c r="F613" s="5" t="n"/>
      <c r="G613" s="5" t="n"/>
      <c r="H613" s="5" t="n"/>
      <c r="I613" s="5" t="n"/>
      <c r="J613" s="5" t="n"/>
      <c r="K613" s="5" t="n"/>
      <c r="L613" s="5" t="n"/>
      <c r="M613" s="5" t="n"/>
      <c r="N613" s="5" t="n"/>
      <c r="O613" s="5" t="n"/>
      <c r="P613" s="5" t="n"/>
      <c r="Q613" s="5" t="n"/>
      <c r="R613" s="5" t="n"/>
      <c r="S613" s="5" t="n"/>
      <c r="T613" s="5" t="n"/>
      <c r="U613" s="5" t="n">
        <v>194</v>
      </c>
      <c r="V613" s="5" t="n">
        <v>204</v>
      </c>
      <c r="W613" s="5" t="n">
        <v>220</v>
      </c>
      <c r="X613" s="5" t="n">
        <v>282</v>
      </c>
      <c r="Y613" s="14">
        <f>IF(AND(ISNUMBER(C613),C613&gt;0,ISNUMBER(X613)),X613/C613-1,"")</f>
        <v/>
      </c>
    </row>
    <row r="614">
      <c r="A614" s="12" t="inlineStr">
        <is>
          <t>550</t>
        </is>
      </c>
      <c r="B614" s="4" t="inlineStr"/>
      <c r="C614" s="5" t="n">
        <v>308</v>
      </c>
      <c r="D614" s="5" t="n">
        <v>152</v>
      </c>
      <c r="E614" s="5" t="n">
        <v>158</v>
      </c>
      <c r="F614" s="5" t="n">
        <v>298</v>
      </c>
      <c r="G614" s="5" t="n">
        <v>97</v>
      </c>
      <c r="H614" s="5" t="n">
        <v>147</v>
      </c>
      <c r="I614" s="5" t="n">
        <v>98</v>
      </c>
      <c r="J614" s="5" t="n">
        <v>94</v>
      </c>
      <c r="K614" s="5" t="n">
        <v>108</v>
      </c>
      <c r="L614" s="5" t="n">
        <v>77</v>
      </c>
      <c r="M614" s="5" t="n">
        <v>76</v>
      </c>
      <c r="N614" s="5" t="n">
        <v>80</v>
      </c>
      <c r="O614" s="5" t="n">
        <v>121</v>
      </c>
      <c r="P614" s="5" t="n">
        <v>260</v>
      </c>
      <c r="Q614" s="5" t="n">
        <v>203</v>
      </c>
      <c r="R614" s="5" t="n">
        <v>165</v>
      </c>
      <c r="S614" s="5" t="n">
        <v>177</v>
      </c>
      <c r="T614" s="5" t="n">
        <v>78</v>
      </c>
      <c r="U614" s="5" t="n"/>
      <c r="V614" s="5" t="n"/>
      <c r="W614" s="5" t="n"/>
      <c r="X614" s="5" t="n"/>
      <c r="Y614" s="14">
        <f>IF(AND(ISNUMBER(C614),C614&gt;0,ISNUMBER(X614)),X614/C614-1,"")</f>
        <v/>
      </c>
    </row>
    <row r="615">
      <c r="A615" s="12" t="inlineStr">
        <is>
          <t>556</t>
        </is>
      </c>
      <c r="B615" s="15" t="inlineStr">
        <is>
          <t>Draw</t>
        </is>
      </c>
      <c r="C615" s="5" t="n"/>
      <c r="D615" s="5" t="n"/>
      <c r="E615" s="5" t="n"/>
      <c r="F615" s="5" t="n"/>
      <c r="G615" s="5" t="n"/>
      <c r="H615" s="5" t="n"/>
      <c r="I615" s="5" t="n"/>
      <c r="J615" s="5" t="n"/>
      <c r="K615" s="5" t="n"/>
      <c r="L615" s="5" t="n"/>
      <c r="M615" s="5" t="n"/>
      <c r="N615" s="5" t="n"/>
      <c r="O615" s="5" t="n"/>
      <c r="P615" s="5" t="n"/>
      <c r="Q615" s="5" t="n"/>
      <c r="R615" s="5" t="n"/>
      <c r="S615" s="5" t="n"/>
      <c r="T615" s="5" t="n"/>
      <c r="U615" s="5" t="n">
        <v>52</v>
      </c>
      <c r="V615" s="5" t="n">
        <v>77</v>
      </c>
      <c r="W615" s="5" t="n">
        <v>71</v>
      </c>
      <c r="X615" s="5" t="n">
        <v>88</v>
      </c>
      <c r="Y615" s="14">
        <f>IF(AND(ISNUMBER(C615),C615&gt;0,ISNUMBER(X615)),X615/C615-1,"")</f>
        <v/>
      </c>
    </row>
    <row r="616">
      <c r="A616" s="12" t="inlineStr">
        <is>
          <t>560</t>
        </is>
      </c>
      <c r="B616" s="4" t="inlineStr"/>
      <c r="C616" s="5" t="n">
        <v>1077</v>
      </c>
      <c r="D616" s="5" t="n">
        <v>500</v>
      </c>
      <c r="E616" s="5" t="n">
        <v>1025</v>
      </c>
      <c r="F616" s="5" t="n">
        <v>818</v>
      </c>
      <c r="G616" s="5" t="n">
        <v>243</v>
      </c>
      <c r="H616" s="5" t="n">
        <v>406</v>
      </c>
      <c r="I616" s="5" t="n">
        <v>499</v>
      </c>
      <c r="J616" s="5" t="n">
        <v>417</v>
      </c>
      <c r="K616" s="5" t="n">
        <v>504</v>
      </c>
      <c r="L616" s="5" t="n">
        <v>234</v>
      </c>
      <c r="M616" s="5" t="n">
        <v>276</v>
      </c>
      <c r="N616" s="5" t="n">
        <v>307</v>
      </c>
      <c r="O616" s="5" t="n">
        <v>595</v>
      </c>
      <c r="P616" s="5" t="n">
        <v>641</v>
      </c>
      <c r="Q616" s="5" t="n">
        <v>546</v>
      </c>
      <c r="R616" s="5" t="n">
        <v>520</v>
      </c>
      <c r="S616" s="5" t="n">
        <v>446</v>
      </c>
      <c r="T616" s="5" t="n">
        <v>407</v>
      </c>
      <c r="U616" s="5" t="n"/>
      <c r="V616" s="5" t="n">
        <v>3</v>
      </c>
      <c r="W616" s="5" t="n"/>
      <c r="X616" s="5" t="n"/>
      <c r="Y616" s="14">
        <f>IF(AND(ISNUMBER(C616),C616&gt;0,ISNUMBER(X616)),X616/C616-1,"")</f>
        <v/>
      </c>
    </row>
    <row r="617">
      <c r="A617" s="12" t="inlineStr">
        <is>
          <t>570</t>
        </is>
      </c>
      <c r="B617" s="4" t="inlineStr"/>
      <c r="C617" s="5" t="n">
        <v>650</v>
      </c>
      <c r="D617" s="5" t="n">
        <v>318</v>
      </c>
      <c r="E617" s="5" t="n">
        <v>614</v>
      </c>
      <c r="F617" s="5" t="n">
        <v>496</v>
      </c>
      <c r="G617" s="5" t="n">
        <v>479</v>
      </c>
      <c r="H617" s="5" t="n">
        <v>739</v>
      </c>
      <c r="I617" s="5" t="n">
        <v>556</v>
      </c>
      <c r="J617" s="5" t="n">
        <v>580</v>
      </c>
      <c r="K617" s="5" t="n">
        <v>294</v>
      </c>
      <c r="L617" s="5" t="n">
        <v>276</v>
      </c>
      <c r="M617" s="5" t="n">
        <v>341</v>
      </c>
      <c r="N617" s="5" t="n">
        <v>468</v>
      </c>
      <c r="O617" s="5" t="n">
        <v>698</v>
      </c>
      <c r="P617" s="5" t="n">
        <v>703</v>
      </c>
      <c r="Q617" s="5" t="n">
        <v>776</v>
      </c>
      <c r="R617" s="5" t="n">
        <v>679</v>
      </c>
      <c r="S617" s="5" t="n">
        <v>706</v>
      </c>
      <c r="T617" s="5" t="n">
        <v>407</v>
      </c>
      <c r="U617" s="5" t="n"/>
      <c r="V617" s="5" t="n"/>
      <c r="W617" s="5" t="n"/>
      <c r="X617" s="5" t="n"/>
      <c r="Y617" s="14">
        <f>IF(AND(ISNUMBER(C617),C617&gt;0,ISNUMBER(X617)),X617/C617-1,"")</f>
        <v/>
      </c>
    </row>
    <row r="618">
      <c r="A618" s="12" t="inlineStr">
        <is>
          <t>571</t>
        </is>
      </c>
      <c r="B618" s="4" t="inlineStr"/>
      <c r="C618" s="5" t="n">
        <v>389</v>
      </c>
      <c r="D618" s="5" t="n">
        <v>211</v>
      </c>
      <c r="E618" s="5" t="n">
        <v>353</v>
      </c>
      <c r="F618" s="5" t="n">
        <v>263</v>
      </c>
      <c r="G618" s="5" t="n"/>
      <c r="H618" s="5" t="n"/>
      <c r="I618" s="5" t="n"/>
      <c r="J618" s="5" t="n"/>
      <c r="K618" s="5" t="n"/>
      <c r="L618" s="5" t="n"/>
      <c r="M618" s="5" t="n"/>
      <c r="N618" s="5" t="n"/>
      <c r="O618" s="5" t="n"/>
      <c r="P618" s="5" t="n"/>
      <c r="Q618" s="5" t="n"/>
      <c r="R618" s="5" t="n"/>
      <c r="S618" s="5" t="n"/>
      <c r="T618" s="5" t="n"/>
      <c r="U618" s="5" t="n"/>
      <c r="V618" s="5" t="n"/>
      <c r="W618" s="5" t="n"/>
      <c r="X618" s="5" t="n"/>
      <c r="Y618" s="14">
        <f>IF(AND(ISNUMBER(C618),C618&gt;0,ISNUMBER(X618)),X618/C618-1,"")</f>
        <v/>
      </c>
    </row>
    <row r="619">
      <c r="A619" s="12" t="inlineStr">
        <is>
          <t>572</t>
        </is>
      </c>
      <c r="B619" s="4" t="inlineStr"/>
      <c r="C619" s="5" t="n">
        <v>112</v>
      </c>
      <c r="D619" s="5" t="n">
        <v>130</v>
      </c>
      <c r="E619" s="5" t="n">
        <v>156</v>
      </c>
      <c r="F619" s="5" t="n">
        <v>159</v>
      </c>
      <c r="G619" s="5" t="n"/>
      <c r="H619" s="5" t="n"/>
      <c r="I619" s="5" t="n"/>
      <c r="J619" s="5" t="n"/>
      <c r="K619" s="5" t="n"/>
      <c r="L619" s="5" t="n"/>
      <c r="M619" s="5" t="n"/>
      <c r="N619" s="5" t="n"/>
      <c r="O619" s="5" t="n"/>
      <c r="P619" s="5" t="n"/>
      <c r="Q619" s="5" t="n"/>
      <c r="R619" s="5" t="n"/>
      <c r="S619" s="5" t="n"/>
      <c r="T619" s="5" t="n"/>
      <c r="U619" s="5" t="n"/>
      <c r="V619" s="5" t="n"/>
      <c r="W619" s="5" t="n"/>
      <c r="X619" s="5" t="n"/>
      <c r="Y619" s="14">
        <f>IF(AND(ISNUMBER(C619),C619&gt;0,ISNUMBER(X619)),X619/C619-1,"")</f>
        <v/>
      </c>
    </row>
    <row r="620">
      <c r="A620" s="12" t="inlineStr">
        <is>
          <t>576</t>
        </is>
      </c>
      <c r="B620" s="15" t="inlineStr">
        <is>
          <t>Draw</t>
        </is>
      </c>
      <c r="C620" s="5" t="n"/>
      <c r="D620" s="5" t="n"/>
      <c r="E620" s="5" t="n"/>
      <c r="F620" s="5" t="n"/>
      <c r="G620" s="5" t="n"/>
      <c r="H620" s="5" t="n"/>
      <c r="I620" s="5" t="n"/>
      <c r="J620" s="5" t="n"/>
      <c r="K620" s="5" t="n"/>
      <c r="L620" s="5" t="n"/>
      <c r="M620" s="5" t="n"/>
      <c r="N620" s="5" t="n"/>
      <c r="O620" s="5" t="n"/>
      <c r="P620" s="5" t="n"/>
      <c r="Q620" s="5" t="n"/>
      <c r="R620" s="5" t="n"/>
      <c r="S620" s="5" t="n"/>
      <c r="T620" s="5" t="n"/>
      <c r="U620" s="5" t="n">
        <v>875</v>
      </c>
      <c r="V620" s="5" t="n">
        <v>649</v>
      </c>
      <c r="W620" s="5" t="n">
        <v>503</v>
      </c>
      <c r="X620" s="5" t="n">
        <v>552</v>
      </c>
      <c r="Y620" s="14">
        <f>IF(AND(ISNUMBER(C620),C620&gt;0,ISNUMBER(X620)),X620/C620-1,"")</f>
        <v/>
      </c>
    </row>
    <row r="621">
      <c r="A621" s="12" t="inlineStr">
        <is>
          <t>586</t>
        </is>
      </c>
      <c r="B621" s="15" t="inlineStr">
        <is>
          <t>Draw</t>
        </is>
      </c>
      <c r="C621" s="5" t="n"/>
      <c r="D621" s="5" t="n"/>
      <c r="E621" s="5" t="n"/>
      <c r="F621" s="5" t="n"/>
      <c r="G621" s="5" t="n"/>
      <c r="H621" s="5" t="n"/>
      <c r="I621" s="5" t="n"/>
      <c r="J621" s="5" t="n"/>
      <c r="K621" s="5" t="n"/>
      <c r="L621" s="5" t="n"/>
      <c r="M621" s="5" t="n"/>
      <c r="N621" s="5" t="n"/>
      <c r="O621" s="5" t="n"/>
      <c r="P621" s="5" t="n"/>
      <c r="Q621" s="5" t="n"/>
      <c r="R621" s="5" t="n"/>
      <c r="S621" s="5" t="n"/>
      <c r="T621" s="5" t="n"/>
      <c r="U621" s="5" t="n">
        <v>239</v>
      </c>
      <c r="V621" s="5" t="n">
        <v>267</v>
      </c>
      <c r="W621" s="5" t="n">
        <v>306</v>
      </c>
      <c r="X621" s="5" t="n">
        <v>322</v>
      </c>
      <c r="Y621" s="14">
        <f>IF(AND(ISNUMBER(C621),C621&gt;0,ISNUMBER(X621)),X621/C621-1,"")</f>
        <v/>
      </c>
    </row>
    <row r="622">
      <c r="A622" s="12" t="inlineStr">
        <is>
          <t>590</t>
        </is>
      </c>
      <c r="B622" s="4" t="inlineStr"/>
      <c r="C622" s="5" t="n">
        <v>684</v>
      </c>
      <c r="D622" s="5" t="n">
        <v>556</v>
      </c>
      <c r="E622" s="5" t="n">
        <v>610</v>
      </c>
      <c r="F622" s="5" t="n">
        <v>693</v>
      </c>
      <c r="G622" s="5" t="n">
        <v>425</v>
      </c>
      <c r="H622" s="5" t="n">
        <v>509</v>
      </c>
      <c r="I622" s="5" t="n">
        <v>481</v>
      </c>
      <c r="J622" s="5" t="n">
        <v>446</v>
      </c>
      <c r="K622" s="5" t="n">
        <v>207</v>
      </c>
      <c r="L622" s="5" t="n">
        <v>344</v>
      </c>
      <c r="M622" s="5" t="n">
        <v>318</v>
      </c>
      <c r="N622" s="5" t="n">
        <v>286</v>
      </c>
      <c r="O622" s="5" t="n">
        <v>336</v>
      </c>
      <c r="P622" s="5" t="n">
        <v>323</v>
      </c>
      <c r="Q622" s="5" t="n">
        <v>190</v>
      </c>
      <c r="R622" s="5" t="n">
        <v>131</v>
      </c>
      <c r="S622" s="5" t="n">
        <v>187</v>
      </c>
      <c r="T622" s="5" t="n">
        <v>235</v>
      </c>
      <c r="U622" s="5" t="n"/>
      <c r="V622" s="5" t="n"/>
      <c r="W622" s="5" t="n"/>
      <c r="X622" s="5" t="n"/>
      <c r="Y622" s="14">
        <f>IF(AND(ISNUMBER(C622),C622&gt;0,ISNUMBER(X622)),X622/C622-1,"")</f>
        <v/>
      </c>
    </row>
    <row r="623">
      <c r="A623" s="12" t="inlineStr">
        <is>
          <t>596</t>
        </is>
      </c>
      <c r="B623" s="15" t="inlineStr">
        <is>
          <t>Draw</t>
        </is>
      </c>
      <c r="C623" s="5" t="n"/>
      <c r="D623" s="5" t="n"/>
      <c r="E623" s="5" t="n"/>
      <c r="F623" s="5" t="n"/>
      <c r="G623" s="5" t="n"/>
      <c r="H623" s="5" t="n"/>
      <c r="I623" s="5" t="n"/>
      <c r="J623" s="5" t="n"/>
      <c r="K623" s="5" t="n"/>
      <c r="L623" s="5" t="n"/>
      <c r="M623" s="5" t="n"/>
      <c r="N623" s="5" t="n"/>
      <c r="O623" s="5" t="n"/>
      <c r="P623" s="5" t="n"/>
      <c r="Q623" s="5" t="n"/>
      <c r="R623" s="5" t="n"/>
      <c r="S623" s="5" t="n"/>
      <c r="T623" s="5" t="n"/>
      <c r="U623" s="5" t="n">
        <v>123</v>
      </c>
      <c r="V623" s="5" t="n">
        <v>158</v>
      </c>
      <c r="W623" s="5" t="n">
        <v>108</v>
      </c>
      <c r="X623" s="5" t="n">
        <v>101</v>
      </c>
      <c r="Y623" s="14">
        <f>IF(AND(ISNUMBER(C623),C623&gt;0,ISNUMBER(X623)),X623/C623-1,"")</f>
        <v/>
      </c>
    </row>
    <row r="624">
      <c r="A624" s="12" t="inlineStr">
        <is>
          <t>600</t>
        </is>
      </c>
      <c r="B624" s="15" t="inlineStr">
        <is>
          <t>Draw</t>
        </is>
      </c>
      <c r="C624" s="5" t="n">
        <v>670</v>
      </c>
      <c r="D624" s="5" t="n">
        <v>673</v>
      </c>
      <c r="E624" s="5" t="n">
        <v>671</v>
      </c>
      <c r="F624" s="5" t="n">
        <v>752</v>
      </c>
      <c r="G624" s="5" t="n">
        <v>673</v>
      </c>
      <c r="H624" s="5" t="n">
        <v>626</v>
      </c>
      <c r="I624" s="5" t="n">
        <v>531</v>
      </c>
      <c r="J624" s="5" t="n">
        <v>137</v>
      </c>
      <c r="K624" s="5" t="n">
        <v>75</v>
      </c>
      <c r="L624" s="5" t="n">
        <v>67</v>
      </c>
      <c r="M624" s="5" t="n">
        <v>85</v>
      </c>
      <c r="N624" s="5" t="n">
        <v>87</v>
      </c>
      <c r="O624" s="5" t="n">
        <v>90</v>
      </c>
      <c r="P624" s="5" t="n">
        <v>123</v>
      </c>
      <c r="Q624" s="5" t="n">
        <v>91</v>
      </c>
      <c r="R624" s="5" t="n">
        <v>108</v>
      </c>
      <c r="S624" s="5" t="n">
        <v>208</v>
      </c>
      <c r="T624" s="5" t="n">
        <v>184</v>
      </c>
      <c r="U624" s="5" t="n">
        <v>213</v>
      </c>
      <c r="V624" s="5" t="n">
        <v>185</v>
      </c>
      <c r="W624" s="5" t="n">
        <v>200</v>
      </c>
      <c r="X624" s="5" t="n">
        <v>295</v>
      </c>
      <c r="Y624" s="14">
        <f>IF(AND(ISNUMBER(C624),C624&gt;0,ISNUMBER(X624)),X624/C624-1,"")</f>
        <v/>
      </c>
    </row>
    <row r="625">
      <c r="A625" s="12" t="inlineStr">
        <is>
          <t>610</t>
        </is>
      </c>
      <c r="B625" s="4" t="inlineStr"/>
      <c r="C625" s="5" t="n">
        <v>85</v>
      </c>
      <c r="D625" s="5" t="n">
        <v>8</v>
      </c>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14">
        <f>IF(AND(ISNUMBER(C625),C625&gt;0,ISNUMBER(X625)),X625/C625-1,"")</f>
        <v/>
      </c>
    </row>
    <row r="626">
      <c r="A626" s="12" t="inlineStr">
        <is>
          <t>620</t>
        </is>
      </c>
      <c r="B626" s="15" t="inlineStr">
        <is>
          <t>Draw</t>
        </is>
      </c>
      <c r="C626" s="5" t="n">
        <v>330</v>
      </c>
      <c r="D626" s="5" t="n">
        <v>385</v>
      </c>
      <c r="E626" s="5" t="n">
        <v>535</v>
      </c>
      <c r="F626" s="5" t="n">
        <v>1021</v>
      </c>
      <c r="G626" s="5" t="n">
        <v>807</v>
      </c>
      <c r="H626" s="5" t="n">
        <v>1012</v>
      </c>
      <c r="I626" s="5" t="n">
        <v>927</v>
      </c>
      <c r="J626" s="5" t="n">
        <v>296</v>
      </c>
      <c r="K626" s="5" t="n">
        <v>248</v>
      </c>
      <c r="L626" s="5" t="n">
        <v>170</v>
      </c>
      <c r="M626" s="5" t="n">
        <v>284</v>
      </c>
      <c r="N626" s="5" t="n">
        <v>259</v>
      </c>
      <c r="O626" s="5" t="n">
        <v>253</v>
      </c>
      <c r="P626" s="5" t="n">
        <v>296</v>
      </c>
      <c r="Q626" s="5" t="n">
        <v>142</v>
      </c>
      <c r="R626" s="5" t="n">
        <v>176</v>
      </c>
      <c r="S626" s="5" t="n">
        <v>383</v>
      </c>
      <c r="T626" s="5" t="n">
        <v>355</v>
      </c>
      <c r="U626" s="5" t="n">
        <v>267</v>
      </c>
      <c r="V626" s="5" t="n">
        <v>284</v>
      </c>
      <c r="W626" s="5" t="n">
        <v>310</v>
      </c>
      <c r="X626" s="5" t="n">
        <v>403</v>
      </c>
      <c r="Y626" s="14">
        <f>IF(AND(ISNUMBER(C626),C626&gt;0,ISNUMBER(X626)),X626/C626-1,"")</f>
        <v/>
      </c>
    </row>
    <row r="627">
      <c r="A627" s="12" t="inlineStr">
        <is>
          <t>630</t>
        </is>
      </c>
      <c r="B627" s="15" t="inlineStr">
        <is>
          <t>Draw</t>
        </is>
      </c>
      <c r="C627" s="5" t="n">
        <v>68</v>
      </c>
      <c r="D627" s="5" t="n">
        <v>97</v>
      </c>
      <c r="E627" s="5" t="n">
        <v>67</v>
      </c>
      <c r="F627" s="5" t="n">
        <v>123</v>
      </c>
      <c r="G627" s="5" t="n">
        <v>93</v>
      </c>
      <c r="H627" s="5" t="n">
        <v>114</v>
      </c>
      <c r="I627" s="5" t="n">
        <v>107</v>
      </c>
      <c r="J627" s="5" t="n">
        <v>11</v>
      </c>
      <c r="K627" s="5" t="n">
        <v>21</v>
      </c>
      <c r="L627" s="5" t="n">
        <v>12</v>
      </c>
      <c r="M627" s="5" t="n">
        <v>18</v>
      </c>
      <c r="N627" s="5" t="n">
        <v>18</v>
      </c>
      <c r="O627" s="5" t="n">
        <v>97</v>
      </c>
      <c r="P627" s="5" t="n">
        <v>86</v>
      </c>
      <c r="Q627" s="5" t="n">
        <v>85</v>
      </c>
      <c r="R627" s="5" t="n">
        <v>68</v>
      </c>
      <c r="S627" s="5" t="n">
        <v>129</v>
      </c>
      <c r="T627" s="5" t="n">
        <v>155</v>
      </c>
      <c r="U627" s="5" t="n">
        <v>183</v>
      </c>
      <c r="V627" s="5" t="n">
        <v>179</v>
      </c>
      <c r="W627" s="5" t="n">
        <v>236</v>
      </c>
      <c r="X627" s="5" t="n">
        <v>245</v>
      </c>
      <c r="Y627" s="14">
        <f>IF(AND(ISNUMBER(C627),C627&gt;0,ISNUMBER(X627)),X627/C627-1,"")</f>
        <v/>
      </c>
    </row>
    <row r="628">
      <c r="A628" s="12" t="inlineStr">
        <is>
          <t>640</t>
        </is>
      </c>
      <c r="B628" s="15" t="inlineStr">
        <is>
          <t>Draw</t>
        </is>
      </c>
      <c r="C628" s="5" t="n">
        <v>57</v>
      </c>
      <c r="D628" s="5" t="n">
        <v>8</v>
      </c>
      <c r="E628" s="5" t="n"/>
      <c r="F628" s="5" t="n"/>
      <c r="G628" s="5" t="n"/>
      <c r="H628" s="5" t="n"/>
      <c r="I628" s="5" t="n"/>
      <c r="J628" s="5" t="n"/>
      <c r="K628" s="5" t="n"/>
      <c r="L628" s="5" t="n"/>
      <c r="M628" s="5" t="n"/>
      <c r="N628" s="5" t="n"/>
      <c r="O628" s="5" t="n"/>
      <c r="P628" s="5" t="n"/>
      <c r="Q628" s="5" t="n"/>
      <c r="R628" s="5" t="n"/>
      <c r="S628" s="5" t="n">
        <v>74</v>
      </c>
      <c r="T628" s="5" t="n">
        <v>70</v>
      </c>
      <c r="U628" s="5" t="n">
        <v>125</v>
      </c>
      <c r="V628" s="5" t="n">
        <v>78</v>
      </c>
      <c r="W628" s="5" t="n">
        <v>93</v>
      </c>
      <c r="X628" s="5" t="n">
        <v>76</v>
      </c>
      <c r="Y628" s="14">
        <f>IF(AND(ISNUMBER(C628),C628&gt;0,ISNUMBER(X628)),X628/C628-1,"")</f>
        <v/>
      </c>
    </row>
    <row r="629">
      <c r="A629" s="12" t="inlineStr">
        <is>
          <t>650</t>
        </is>
      </c>
      <c r="B629" s="15" t="inlineStr">
        <is>
          <t>Draw</t>
        </is>
      </c>
      <c r="C629" s="5" t="n">
        <v>114</v>
      </c>
      <c r="D629" s="5" t="n">
        <v>256</v>
      </c>
      <c r="E629" s="5" t="n">
        <v>323</v>
      </c>
      <c r="F629" s="5" t="n">
        <v>395</v>
      </c>
      <c r="G629" s="5" t="n">
        <v>359</v>
      </c>
      <c r="H629" s="5" t="n">
        <v>445</v>
      </c>
      <c r="I629" s="5" t="n">
        <v>542</v>
      </c>
      <c r="J629" s="5" t="n">
        <v>106</v>
      </c>
      <c r="K629" s="5" t="n">
        <v>106</v>
      </c>
      <c r="L629" s="5" t="n">
        <v>120</v>
      </c>
      <c r="M629" s="5" t="n">
        <v>119</v>
      </c>
      <c r="N629" s="5" t="n">
        <v>133</v>
      </c>
      <c r="O629" s="5" t="n">
        <v>175</v>
      </c>
      <c r="P629" s="5" t="n">
        <v>171</v>
      </c>
      <c r="Q629" s="5" t="n">
        <v>262</v>
      </c>
      <c r="R629" s="5" t="n">
        <v>385</v>
      </c>
      <c r="S629" s="5" t="n">
        <v>506</v>
      </c>
      <c r="T629" s="5" t="n">
        <v>547</v>
      </c>
      <c r="U629" s="5" t="n">
        <v>569</v>
      </c>
      <c r="V629" s="5" t="n">
        <v>529</v>
      </c>
      <c r="W629" s="5" t="n">
        <v>344</v>
      </c>
      <c r="X629" s="5" t="n">
        <v>461</v>
      </c>
      <c r="Y629" s="14">
        <f>IF(AND(ISNUMBER(C629),C629&gt;0,ISNUMBER(X629)),X629/C629-1,"")</f>
        <v/>
      </c>
    </row>
    <row r="630">
      <c r="A630" s="12" t="inlineStr">
        <is>
          <t>651</t>
        </is>
      </c>
      <c r="B630" s="4" t="inlineStr"/>
      <c r="C630" s="5" t="n">
        <v>123</v>
      </c>
      <c r="D630" s="5" t="n">
        <v>17</v>
      </c>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14">
        <f>IF(AND(ISNUMBER(C630),C630&gt;0,ISNUMBER(X630)),X630/C630-1,"")</f>
        <v/>
      </c>
    </row>
    <row r="631">
      <c r="A631" s="12" t="inlineStr">
        <is>
          <t>670</t>
        </is>
      </c>
      <c r="B631" s="15" t="inlineStr">
        <is>
          <t>Draw</t>
        </is>
      </c>
      <c r="C631" s="5" t="n">
        <v>118</v>
      </c>
      <c r="D631" s="5" t="n">
        <v>176</v>
      </c>
      <c r="E631" s="5" t="n">
        <v>185</v>
      </c>
      <c r="F631" s="5" t="n">
        <v>199</v>
      </c>
      <c r="G631" s="5" t="n">
        <v>203</v>
      </c>
      <c r="H631" s="5" t="n">
        <v>204</v>
      </c>
      <c r="I631" s="5" t="n">
        <v>206</v>
      </c>
      <c r="J631" s="5" t="n">
        <v>17</v>
      </c>
      <c r="K631" s="5" t="n">
        <v>20</v>
      </c>
      <c r="L631" s="5" t="n">
        <v>14</v>
      </c>
      <c r="M631" s="5" t="n">
        <v>22</v>
      </c>
      <c r="N631" s="5" t="n">
        <v>26</v>
      </c>
      <c r="O631" s="5" t="n">
        <v>102</v>
      </c>
      <c r="P631" s="5" t="n">
        <v>150</v>
      </c>
      <c r="Q631" s="5" t="n">
        <v>159</v>
      </c>
      <c r="R631" s="5" t="n">
        <v>171</v>
      </c>
      <c r="S631" s="5" t="n">
        <v>412</v>
      </c>
      <c r="T631" s="5" t="n">
        <v>397</v>
      </c>
      <c r="U631" s="5" t="n">
        <v>295</v>
      </c>
      <c r="V631" s="5" t="n">
        <v>229</v>
      </c>
      <c r="W631" s="5" t="n">
        <v>220</v>
      </c>
      <c r="X631" s="5" t="n">
        <v>288</v>
      </c>
      <c r="Y631" s="14">
        <f>IF(AND(ISNUMBER(C631),C631&gt;0,ISNUMBER(X631)),X631/C631-1,"")</f>
        <v/>
      </c>
    </row>
    <row r="632">
      <c r="A632" s="12" t="inlineStr">
        <is>
          <t>690</t>
        </is>
      </c>
      <c r="B632" s="15" t="inlineStr">
        <is>
          <t>Draw</t>
        </is>
      </c>
      <c r="C632" s="5" t="n">
        <v>776</v>
      </c>
      <c r="D632" s="5" t="n">
        <v>759</v>
      </c>
      <c r="E632" s="5" t="n">
        <v>685</v>
      </c>
      <c r="F632" s="5" t="n">
        <v>877</v>
      </c>
      <c r="G632" s="5" t="n">
        <v>632</v>
      </c>
      <c r="H632" s="5" t="n">
        <v>808</v>
      </c>
      <c r="I632" s="5" t="n">
        <v>906</v>
      </c>
      <c r="J632" s="5" t="n">
        <v>527</v>
      </c>
      <c r="K632" s="5" t="n">
        <v>384</v>
      </c>
      <c r="L632" s="5" t="n">
        <v>363</v>
      </c>
      <c r="M632" s="5" t="n">
        <v>352</v>
      </c>
      <c r="N632" s="5" t="n">
        <v>373</v>
      </c>
      <c r="O632" s="5" t="n">
        <v>324</v>
      </c>
      <c r="P632" s="5" t="n">
        <v>415</v>
      </c>
      <c r="Q632" s="5" t="n">
        <v>376</v>
      </c>
      <c r="R632" s="5" t="n">
        <v>378</v>
      </c>
      <c r="S632" s="5" t="n">
        <v>391</v>
      </c>
      <c r="T632" s="5" t="n">
        <v>332</v>
      </c>
      <c r="U632" s="5" t="n">
        <v>397</v>
      </c>
      <c r="V632" s="5" t="n">
        <v>215</v>
      </c>
      <c r="W632" s="5" t="n">
        <v>239</v>
      </c>
      <c r="X632" s="5" t="n">
        <v>445</v>
      </c>
      <c r="Y632" s="14">
        <f>IF(AND(ISNUMBER(C632),C632&gt;0,ISNUMBER(X632)),X632/C632-1,"")</f>
        <v/>
      </c>
    </row>
    <row r="633">
      <c r="A633" s="12" t="inlineStr">
        <is>
          <t>700</t>
        </is>
      </c>
      <c r="B633" s="15" t="inlineStr">
        <is>
          <t>Draw</t>
        </is>
      </c>
      <c r="C633" s="5" t="n">
        <v>2239</v>
      </c>
      <c r="D633" s="5" t="n">
        <v>4025</v>
      </c>
      <c r="E633" s="5" t="n">
        <v>5072</v>
      </c>
      <c r="F633" s="5" t="n">
        <v>4349</v>
      </c>
      <c r="G633" s="5" t="n">
        <v>3041</v>
      </c>
      <c r="H633" s="5" t="n">
        <v>2960</v>
      </c>
      <c r="I633" s="5" t="n">
        <v>1789</v>
      </c>
      <c r="J633" s="5" t="n">
        <v>1020</v>
      </c>
      <c r="K633" s="5" t="n">
        <v>516</v>
      </c>
      <c r="L633" s="5" t="n">
        <v>494</v>
      </c>
      <c r="M633" s="5" t="n">
        <v>698</v>
      </c>
      <c r="N633" s="5" t="n">
        <v>1273</v>
      </c>
      <c r="O633" s="5" t="n">
        <v>1471</v>
      </c>
      <c r="P633" s="5" t="n">
        <v>1588</v>
      </c>
      <c r="Q633" s="5" t="n">
        <v>1353</v>
      </c>
      <c r="R633" s="5" t="n">
        <v>1473</v>
      </c>
      <c r="S633" s="5" t="n">
        <v>987</v>
      </c>
      <c r="T633" s="5" t="n">
        <v>779</v>
      </c>
      <c r="U633" s="5" t="n">
        <v>1047</v>
      </c>
      <c r="V633" s="5" t="n">
        <v>985</v>
      </c>
      <c r="W633" s="5" t="n">
        <v>956</v>
      </c>
      <c r="X633" s="5" t="n">
        <v>1052</v>
      </c>
      <c r="Y633" s="14">
        <f>IF(AND(ISNUMBER(C633),C633&gt;0,ISNUMBER(X633)),X633/C633-1,"")</f>
        <v/>
      </c>
    </row>
    <row r="634">
      <c r="A634" s="12" t="inlineStr">
        <is>
          <t>701</t>
        </is>
      </c>
      <c r="B634" s="15" t="inlineStr">
        <is>
          <t>Draw</t>
        </is>
      </c>
      <c r="C634" s="5" t="n">
        <v>3843</v>
      </c>
      <c r="D634" s="5" t="n">
        <v>2599</v>
      </c>
      <c r="E634" s="5" t="n">
        <v>3427</v>
      </c>
      <c r="F634" s="5" t="n">
        <v>3399</v>
      </c>
      <c r="G634" s="5" t="n">
        <v>2384</v>
      </c>
      <c r="H634" s="5" t="n">
        <v>2482</v>
      </c>
      <c r="I634" s="5" t="n">
        <v>1595</v>
      </c>
      <c r="J634" s="5" t="n">
        <v>610</v>
      </c>
      <c r="K634" s="5" t="n">
        <v>267</v>
      </c>
      <c r="L634" s="5" t="n">
        <v>208</v>
      </c>
      <c r="M634" s="5" t="n">
        <v>251</v>
      </c>
      <c r="N634" s="5" t="n">
        <v>411</v>
      </c>
      <c r="O634" s="5" t="n">
        <v>883</v>
      </c>
      <c r="P634" s="5" t="n">
        <v>657</v>
      </c>
      <c r="Q634" s="5" t="n">
        <v>785</v>
      </c>
      <c r="R634" s="5" t="n">
        <v>781</v>
      </c>
      <c r="S634" s="5" t="n">
        <v>917</v>
      </c>
      <c r="T634" s="5" t="n">
        <v>714</v>
      </c>
      <c r="U634" s="5" t="n">
        <v>820</v>
      </c>
      <c r="V634" s="5" t="n">
        <v>939</v>
      </c>
      <c r="W634" s="5" t="n">
        <v>728</v>
      </c>
      <c r="X634" s="5" t="n">
        <v>933</v>
      </c>
      <c r="Y634" s="14">
        <f>IF(AND(ISNUMBER(C634),C634&gt;0,ISNUMBER(X634)),X634/C634-1,"")</f>
        <v/>
      </c>
    </row>
    <row r="635">
      <c r="A635" s="12" t="inlineStr">
        <is>
          <t>702</t>
        </is>
      </c>
      <c r="B635" s="15" t="inlineStr">
        <is>
          <t>Draw</t>
        </is>
      </c>
      <c r="C635" s="5" t="n">
        <v>492</v>
      </c>
      <c r="D635" s="5" t="n">
        <v>444</v>
      </c>
      <c r="E635" s="5" t="n">
        <v>472</v>
      </c>
      <c r="F635" s="5" t="n">
        <v>580</v>
      </c>
      <c r="G635" s="5" t="n">
        <v>439</v>
      </c>
      <c r="H635" s="5" t="n">
        <v>503</v>
      </c>
      <c r="I635" s="5" t="n">
        <v>324</v>
      </c>
      <c r="J635" s="5" t="n">
        <v>145</v>
      </c>
      <c r="K635" s="5" t="n">
        <v>110</v>
      </c>
      <c r="L635" s="5" t="n">
        <v>59</v>
      </c>
      <c r="M635" s="5" t="n">
        <v>67</v>
      </c>
      <c r="N635" s="5" t="n">
        <v>129</v>
      </c>
      <c r="O635" s="5" t="n">
        <v>256</v>
      </c>
      <c r="P635" s="5" t="n">
        <v>237</v>
      </c>
      <c r="Q635" s="5" t="n">
        <v>235</v>
      </c>
      <c r="R635" s="5" t="n">
        <v>274</v>
      </c>
      <c r="S635" s="5" t="n">
        <v>337</v>
      </c>
      <c r="T635" s="5" t="n">
        <v>215</v>
      </c>
      <c r="U635" s="5" t="n">
        <v>212</v>
      </c>
      <c r="V635" s="5" t="n">
        <v>245</v>
      </c>
      <c r="W635" s="5" t="n">
        <v>331</v>
      </c>
      <c r="X635" s="5" t="n">
        <v>331</v>
      </c>
      <c r="Y635" s="14">
        <f>IF(AND(ISNUMBER(C635),C635&gt;0,ISNUMBER(X635)),X635/C635-1,"")</f>
        <v/>
      </c>
    </row>
    <row r="636">
      <c r="A636" s="12" t="inlineStr">
        <is>
          <t>703</t>
        </is>
      </c>
      <c r="B636" s="15" t="inlineStr">
        <is>
          <t>Draw</t>
        </is>
      </c>
      <c r="C636" s="5" t="n">
        <v>1324</v>
      </c>
      <c r="D636" s="5" t="n">
        <v>1063</v>
      </c>
      <c r="E636" s="5" t="n">
        <v>955</v>
      </c>
      <c r="F636" s="5" t="n">
        <v>1373</v>
      </c>
      <c r="G636" s="5" t="n">
        <v>1091</v>
      </c>
      <c r="H636" s="5" t="n">
        <v>1160</v>
      </c>
      <c r="I636" s="5" t="n">
        <v>568</v>
      </c>
      <c r="J636" s="5" t="n">
        <v>262</v>
      </c>
      <c r="K636" s="5" t="n">
        <v>157</v>
      </c>
      <c r="L636" s="5" t="n">
        <v>202</v>
      </c>
      <c r="M636" s="5" t="n">
        <v>156</v>
      </c>
      <c r="N636" s="5" t="n">
        <v>244</v>
      </c>
      <c r="O636" s="5" t="n">
        <v>545</v>
      </c>
      <c r="P636" s="5" t="n">
        <v>494</v>
      </c>
      <c r="Q636" s="5" t="n">
        <v>633</v>
      </c>
      <c r="R636" s="5" t="n">
        <v>618</v>
      </c>
      <c r="S636" s="5" t="n">
        <v>644</v>
      </c>
      <c r="T636" s="5" t="n">
        <v>430</v>
      </c>
      <c r="U636" s="5" t="n">
        <v>522</v>
      </c>
      <c r="V636" s="5" t="n">
        <v>449</v>
      </c>
      <c r="W636" s="5" t="n">
        <v>338</v>
      </c>
      <c r="X636" s="5" t="n">
        <v>459</v>
      </c>
      <c r="Y636" s="14">
        <f>IF(AND(ISNUMBER(C636),C636&gt;0,ISNUMBER(X636)),X636/C636-1,"")</f>
        <v/>
      </c>
    </row>
    <row r="637">
      <c r="A637" s="12" t="inlineStr">
        <is>
          <t>704</t>
        </is>
      </c>
      <c r="B637" s="15" t="inlineStr">
        <is>
          <t>Draw</t>
        </is>
      </c>
      <c r="C637" s="5" t="n">
        <v>991</v>
      </c>
      <c r="D637" s="5" t="n">
        <v>835</v>
      </c>
      <c r="E637" s="5" t="n">
        <v>1022</v>
      </c>
      <c r="F637" s="5" t="n">
        <v>1382</v>
      </c>
      <c r="G637" s="5" t="n">
        <v>934</v>
      </c>
      <c r="H637" s="5" t="n">
        <v>1036</v>
      </c>
      <c r="I637" s="5" t="n">
        <v>558</v>
      </c>
      <c r="J637" s="5" t="n">
        <v>344</v>
      </c>
      <c r="K637" s="5" t="n">
        <v>222</v>
      </c>
      <c r="L637" s="5" t="n">
        <v>239</v>
      </c>
      <c r="M637" s="5" t="n">
        <v>247</v>
      </c>
      <c r="N637" s="5" t="n">
        <v>394</v>
      </c>
      <c r="O637" s="5" t="n">
        <v>695</v>
      </c>
      <c r="P637" s="5" t="n">
        <v>635</v>
      </c>
      <c r="Q637" s="5" t="n">
        <v>681</v>
      </c>
      <c r="R637" s="5" t="n">
        <v>692</v>
      </c>
      <c r="S637" s="5" t="n">
        <v>1374</v>
      </c>
      <c r="T637" s="5" t="n">
        <v>687</v>
      </c>
      <c r="U637" s="5" t="n">
        <v>753</v>
      </c>
      <c r="V637" s="5" t="n">
        <v>879</v>
      </c>
      <c r="W637" s="5" t="n">
        <v>668</v>
      </c>
      <c r="X637" s="5" t="n">
        <v>708</v>
      </c>
      <c r="Y637" s="14">
        <f>IF(AND(ISNUMBER(C637),C637&gt;0,ISNUMBER(X637)),X637/C637-1,"")</f>
        <v/>
      </c>
    </row>
    <row r="638">
      <c r="A638" s="12" t="inlineStr">
        <is>
          <t>705</t>
        </is>
      </c>
      <c r="B638" s="15" t="inlineStr">
        <is>
          <t>Draw</t>
        </is>
      </c>
      <c r="C638" s="5" t="n">
        <v>2175</v>
      </c>
      <c r="D638" s="5" t="n">
        <v>1736</v>
      </c>
      <c r="E638" s="5" t="n">
        <v>2592</v>
      </c>
      <c r="F638" s="5" t="n">
        <v>2950</v>
      </c>
      <c r="G638" s="5" t="n">
        <v>2195</v>
      </c>
      <c r="H638" s="5" t="n">
        <v>1896</v>
      </c>
      <c r="I638" s="5" t="n">
        <v>965</v>
      </c>
      <c r="J638" s="5" t="n">
        <v>571</v>
      </c>
      <c r="K638" s="5" t="n">
        <v>361</v>
      </c>
      <c r="L638" s="5" t="n">
        <v>333</v>
      </c>
      <c r="M638" s="5" t="n">
        <v>362</v>
      </c>
      <c r="N638" s="5" t="n">
        <v>612</v>
      </c>
      <c r="O638" s="5" t="n">
        <v>1112</v>
      </c>
      <c r="P638" s="5" t="n">
        <v>1239</v>
      </c>
      <c r="Q638" s="5" t="n">
        <v>1293</v>
      </c>
      <c r="R638" s="5" t="n">
        <v>1255</v>
      </c>
      <c r="S638" s="5" t="n">
        <v>2237</v>
      </c>
      <c r="T638" s="5" t="n">
        <v>1135</v>
      </c>
      <c r="U638" s="5" t="n">
        <v>1255</v>
      </c>
      <c r="V638" s="5" t="n">
        <v>1337</v>
      </c>
      <c r="W638" s="5" t="n">
        <v>1594</v>
      </c>
      <c r="X638" s="5" t="n">
        <v>2091</v>
      </c>
      <c r="Y638" s="14">
        <f>IF(AND(ISNUMBER(C638),C638&gt;0,ISNUMBER(X638)),X638/C638-1,"")</f>
        <v/>
      </c>
    </row>
  </sheetData>
  <conditionalFormatting sqref="C6:X178">
    <cfRule type="colorScale" priority="1">
      <colorScale>
        <cfvo type="min"/>
        <cfvo type="percentile" val="95"/>
        <color rgb="00FFFDF8"/>
        <color rgb="005E9C6A"/>
      </colorScale>
    </cfRule>
  </conditionalFormatting>
  <conditionalFormatting sqref="Y6:Y178">
    <cfRule type="colorScale" priority="2">
      <colorScale>
        <cfvo type="num" val="-0.6"/>
        <cfvo type="num" val="0"/>
        <cfvo type="num" val="0.6"/>
        <color rgb="00E8A397"/>
        <color rgb="00FFFFFF"/>
        <color rgb="009CCB9F"/>
      </colorScale>
    </cfRule>
  </conditionalFormatting>
  <conditionalFormatting sqref="C183:X355">
    <cfRule type="colorScale" priority="3">
      <colorScale>
        <cfvo type="min"/>
        <cfvo type="percentile" val="95"/>
        <color rgb="00FFFDF8"/>
        <color rgb="005E9C6A"/>
      </colorScale>
    </cfRule>
  </conditionalFormatting>
  <conditionalFormatting sqref="Y183:Y355">
    <cfRule type="colorScale" priority="4">
      <colorScale>
        <cfvo type="num" val="-0.6"/>
        <cfvo type="num" val="0"/>
        <cfvo type="num" val="0.6"/>
        <color rgb="00E8A397"/>
        <color rgb="00FFFFFF"/>
        <color rgb="009CCB9F"/>
      </colorScale>
    </cfRule>
  </conditionalFormatting>
  <conditionalFormatting sqref="C360:X551">
    <cfRule type="colorScale" priority="5">
      <colorScale>
        <cfvo type="min"/>
        <cfvo type="percentile" val="95"/>
        <color rgb="00FFFDF8"/>
        <color rgb="005E9C6A"/>
      </colorScale>
    </cfRule>
  </conditionalFormatting>
  <conditionalFormatting sqref="Y360:Y551">
    <cfRule type="colorScale" priority="6">
      <colorScale>
        <cfvo type="num" val="-0.6"/>
        <cfvo type="num" val="0"/>
        <cfvo type="num" val="0.6"/>
        <color rgb="00E8A397"/>
        <color rgb="00FFFFFF"/>
        <color rgb="009CCB9F"/>
      </colorScale>
    </cfRule>
  </conditionalFormatting>
  <conditionalFormatting sqref="C556:X638">
    <cfRule type="colorScale" priority="7">
      <colorScale>
        <cfvo type="min"/>
        <cfvo type="percentile" val="95"/>
        <color rgb="00FFFDF8"/>
        <color rgb="005E9C6A"/>
      </colorScale>
    </cfRule>
  </conditionalFormatting>
  <conditionalFormatting sqref="Y556:Y638">
    <cfRule type="colorScale" priority="8">
      <colorScale>
        <cfvo type="num" val="-0.6"/>
        <cfvo type="num" val="0"/>
        <cfvo type="num" val="0.6"/>
        <color rgb="00E8A397"/>
        <color rgb="00FFFFFF"/>
        <color rgb="009CCB9F"/>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68"/>
  <sheetViews>
    <sheetView workbookViewId="0">
      <pane ySplit="4" topLeftCell="A5" activePane="bottomLeft" state="frozen"/>
      <selection pane="bottomLeft" activeCell="A1" sqref="A1"/>
    </sheetView>
  </sheetViews>
  <sheetFormatPr baseColWidth="8" defaultRowHeight="15"/>
  <cols>
    <col width="9" customWidth="1" min="1" max="1"/>
    <col width="11" customWidth="1" min="2" max="2"/>
    <col width="22" customWidth="1" min="3" max="3"/>
    <col width="16" customWidth="1" min="4" max="4"/>
    <col width="30" customWidth="1" min="5" max="5"/>
    <col width="15" customWidth="1" min="6" max="6"/>
    <col width="15" customWidth="1" min="7" max="7"/>
    <col width="14" customWidth="1" min="8" max="8"/>
    <col width="14" customWidth="1" min="9" max="9"/>
    <col width="10" customWidth="1" min="10" max="10"/>
    <col width="8" customWidth="1" min="11" max="11"/>
    <col width="70" customWidth="1" min="12" max="12"/>
  </cols>
  <sheetData>
    <row r="1">
      <c r="A1" s="1" t="inlineStr">
        <is>
          <t>2026 hunting opportunities by district</t>
        </is>
      </c>
    </row>
    <row r="2">
      <c r="A2" s="2" t="inlineStr">
        <is>
          <t>Read automatically from FWP's Deer, Elk &amp; Antelope regulations booklet. Always check the official booklet before you hunt.</t>
        </is>
      </c>
    </row>
    <row r="4">
      <c r="A4" s="3" t="inlineStr">
        <is>
          <t>District</t>
        </is>
      </c>
      <c r="B4" s="3" t="inlineStr">
        <is>
          <t>Species</t>
        </is>
      </c>
      <c r="C4" s="3" t="inlineStr">
        <is>
          <t>License</t>
        </is>
      </c>
      <c r="D4" s="3" t="inlineStr">
        <is>
          <t>How you get it</t>
        </is>
      </c>
      <c r="E4" s="3" t="inlineStr">
        <is>
          <t>Legal animal</t>
        </is>
      </c>
      <c r="F4" s="3" t="inlineStr">
        <is>
          <t>Archery</t>
        </is>
      </c>
      <c r="G4" s="3" t="inlineStr">
        <is>
          <t>General (rifle)</t>
        </is>
      </c>
      <c r="H4" s="3" t="inlineStr">
        <is>
          <t>Muzzleloader</t>
        </is>
      </c>
      <c r="I4" s="3" t="inlineStr">
        <is>
          <t>Late</t>
        </is>
      </c>
      <c r="J4" s="3" t="inlineStr">
        <is>
          <t>Apply by</t>
        </is>
      </c>
      <c r="K4" s="3" t="inlineStr">
        <is>
          <t>Quota</t>
        </is>
      </c>
      <c r="L4" s="3" t="inlineStr">
        <is>
          <t>Details</t>
        </is>
      </c>
    </row>
    <row r="5">
      <c r="A5" s="4" t="inlineStr">
        <is>
          <t>215</t>
        </is>
      </c>
      <c r="B5" s="4" t="inlineStr">
        <is>
          <t>antelope</t>
        </is>
      </c>
      <c r="C5" s="4" t="inlineStr">
        <is>
          <t>Antelope License: 215-20</t>
        </is>
      </c>
      <c r="D5" s="15" t="inlineStr">
        <is>
          <t>Drawing</t>
        </is>
      </c>
      <c r="E5" s="4" t="inlineStr">
        <is>
          <t>Either-sex Antelope</t>
        </is>
      </c>
      <c r="F5" s="4" t="inlineStr">
        <is>
          <t>Sept. 05-Oct. 09</t>
        </is>
      </c>
      <c r="G5" s="4" t="inlineStr">
        <is>
          <t>Oct. 10-Nov. 08</t>
        </is>
      </c>
      <c r="H5" s="4" t="n"/>
      <c r="I5" s="4" t="n"/>
      <c r="J5" s="4" t="inlineStr">
        <is>
          <t>June 1</t>
        </is>
      </c>
      <c r="K5" s="4" t="inlineStr">
        <is>
          <t>5</t>
        </is>
      </c>
      <c r="L5" s="4" t="n"/>
    </row>
    <row r="6">
      <c r="A6" s="4" t="inlineStr">
        <is>
          <t>215</t>
        </is>
      </c>
      <c r="B6" s="4" t="inlineStr">
        <is>
          <t>antelope</t>
        </is>
      </c>
      <c r="C6" s="4" t="inlineStr">
        <is>
          <t>Antelope B License: 215-30</t>
        </is>
      </c>
      <c r="D6" s="15" t="inlineStr">
        <is>
          <t>Drawing</t>
        </is>
      </c>
      <c r="E6" s="4" t="inlineStr">
        <is>
          <t>Doe/Fawn Antelope</t>
        </is>
      </c>
      <c r="F6" s="4" t="inlineStr">
        <is>
          <t>Sept. 05-Oct. 09</t>
        </is>
      </c>
      <c r="G6" s="4" t="inlineStr">
        <is>
          <t>Oct. 10-Nov. 08</t>
        </is>
      </c>
      <c r="H6" s="4" t="n"/>
      <c r="I6" s="4" t="n"/>
      <c r="J6" s="4" t="inlineStr">
        <is>
          <t>June 1</t>
        </is>
      </c>
      <c r="K6" s="4" t="inlineStr">
        <is>
          <t>1</t>
        </is>
      </c>
      <c r="L6" s="4" t="n"/>
    </row>
    <row r="7">
      <c r="A7" s="4" t="inlineStr">
        <is>
          <t>291</t>
        </is>
      </c>
      <c r="B7" s="4" t="inlineStr">
        <is>
          <t>antelope</t>
        </is>
      </c>
      <c r="C7" s="4" t="inlineStr">
        <is>
          <t>Antelope License: 291-20</t>
        </is>
      </c>
      <c r="D7" s="15" t="inlineStr">
        <is>
          <t>Drawing</t>
        </is>
      </c>
      <c r="E7" s="4" t="inlineStr">
        <is>
          <t>Either-sex Antelope</t>
        </is>
      </c>
      <c r="F7" s="4" t="inlineStr">
        <is>
          <t>Sept. 05-Oct. 09</t>
        </is>
      </c>
      <c r="G7" s="4" t="inlineStr">
        <is>
          <t>Oct. 10-Nov. 08</t>
        </is>
      </c>
      <c r="H7" s="4" t="n"/>
      <c r="I7" s="4" t="n"/>
      <c r="J7" s="4" t="inlineStr">
        <is>
          <t>June 1</t>
        </is>
      </c>
      <c r="K7" s="4" t="inlineStr">
        <is>
          <t>1</t>
        </is>
      </c>
      <c r="L7" s="4" t="n"/>
    </row>
    <row r="8">
      <c r="A8" s="4" t="inlineStr">
        <is>
          <t>291</t>
        </is>
      </c>
      <c r="B8" s="4" t="inlineStr">
        <is>
          <t>antelope</t>
        </is>
      </c>
      <c r="C8" s="4" t="inlineStr">
        <is>
          <t>Antelope B License: 291-30</t>
        </is>
      </c>
      <c r="D8" s="15" t="inlineStr">
        <is>
          <t>Drawing</t>
        </is>
      </c>
      <c r="E8" s="4" t="inlineStr">
        <is>
          <t>Doe/Fawn Antelope</t>
        </is>
      </c>
      <c r="F8" s="4" t="inlineStr">
        <is>
          <t>Sept. 05-Oct. 09</t>
        </is>
      </c>
      <c r="G8" s="4" t="inlineStr">
        <is>
          <t>Oct. 10-Nov. 08</t>
        </is>
      </c>
      <c r="H8" s="4" t="n"/>
      <c r="I8" s="4" t="n"/>
      <c r="J8" s="4" t="inlineStr">
        <is>
          <t>June 1</t>
        </is>
      </c>
      <c r="K8" s="4" t="inlineStr">
        <is>
          <t>1</t>
        </is>
      </c>
      <c r="L8" s="4" t="inlineStr">
        <is>
          <t>Region</t>
        </is>
      </c>
    </row>
    <row r="9">
      <c r="A9" s="4" t="inlineStr">
        <is>
          <t>300</t>
        </is>
      </c>
      <c r="B9" s="4" t="inlineStr">
        <is>
          <t>antelope</t>
        </is>
      </c>
      <c r="C9" s="4" t="inlineStr">
        <is>
          <t>Antelope License: 300-20</t>
        </is>
      </c>
      <c r="D9" s="15" t="inlineStr">
        <is>
          <t>Drawing</t>
        </is>
      </c>
      <c r="E9" s="4" t="inlineStr">
        <is>
          <t>Either-sex Antelope</t>
        </is>
      </c>
      <c r="F9" s="4" t="inlineStr">
        <is>
          <t>Sept. 05-Oct. 09</t>
        </is>
      </c>
      <c r="G9" s="4" t="inlineStr">
        <is>
          <t>Oct. 10-Nov. 08</t>
        </is>
      </c>
      <c r="H9" s="4" t="n"/>
      <c r="I9" s="4" t="n"/>
      <c r="J9" s="4" t="inlineStr">
        <is>
          <t>June 1</t>
        </is>
      </c>
      <c r="K9" s="4" t="inlineStr">
        <is>
          <t>125</t>
        </is>
      </c>
      <c r="L9" s="4" t="n"/>
    </row>
    <row r="10">
      <c r="A10" s="4" t="inlineStr">
        <is>
          <t>300</t>
        </is>
      </c>
      <c r="B10" s="4" t="inlineStr">
        <is>
          <t>antelope</t>
        </is>
      </c>
      <c r="C10" s="4" t="inlineStr">
        <is>
          <t>Antelope B License: 300-30</t>
        </is>
      </c>
      <c r="D10" s="15" t="inlineStr">
        <is>
          <t>Drawing</t>
        </is>
      </c>
      <c r="E10" s="4" t="inlineStr">
        <is>
          <t>Doe/Fawn Antelope</t>
        </is>
      </c>
      <c r="F10" s="4" t="inlineStr">
        <is>
          <t>Sept. 05-Oct. 09</t>
        </is>
      </c>
      <c r="G10" s="4" t="inlineStr">
        <is>
          <t>Oct. 10-Nov. 08</t>
        </is>
      </c>
      <c r="H10" s="4" t="n"/>
      <c r="I10" s="4" t="n"/>
      <c r="J10" s="4" t="inlineStr">
        <is>
          <t>June 1</t>
        </is>
      </c>
      <c r="K10" s="4" t="inlineStr">
        <is>
          <t>10</t>
        </is>
      </c>
      <c r="L10" s="4" t="n"/>
    </row>
    <row r="11">
      <c r="A11" s="4" t="inlineStr">
        <is>
          <t>300</t>
        </is>
      </c>
      <c r="B11" s="4" t="inlineStr">
        <is>
          <t>antelope</t>
        </is>
      </c>
      <c r="C11" s="4" t="inlineStr">
        <is>
          <t>Antelope License: 399-20</t>
        </is>
      </c>
      <c r="D11" s="15" t="inlineStr">
        <is>
          <t>Drawing</t>
        </is>
      </c>
      <c r="E11" s="4" t="inlineStr">
        <is>
          <t>Either-sex Antelope</t>
        </is>
      </c>
      <c r="F11" s="4" t="n"/>
      <c r="G11" s="4" t="inlineStr">
        <is>
          <t>Aug. 15-Nov. 08</t>
        </is>
      </c>
      <c r="H11" s="4" t="n"/>
      <c r="I11" s="4" t="n"/>
      <c r="J11" s="4" t="inlineStr">
        <is>
          <t>June 1</t>
        </is>
      </c>
      <c r="K11" s="4" t="inlineStr">
        <is>
          <t>500</t>
        </is>
      </c>
      <c r="L11" s="4" t="inlineStr">
        <is>
          <t>First and only choice. ArchEquip only.</t>
        </is>
      </c>
    </row>
    <row r="12">
      <c r="A12" s="4" t="inlineStr">
        <is>
          <t>301</t>
        </is>
      </c>
      <c r="B12" s="4" t="inlineStr">
        <is>
          <t>antelope</t>
        </is>
      </c>
      <c r="C12" s="4" t="inlineStr">
        <is>
          <t>Antelope License: 301-20</t>
        </is>
      </c>
      <c r="D12" s="15" t="inlineStr">
        <is>
          <t>Drawing</t>
        </is>
      </c>
      <c r="E12" s="4" t="inlineStr">
        <is>
          <t>Either-sex Antelope</t>
        </is>
      </c>
      <c r="F12" s="4" t="inlineStr">
        <is>
          <t>Sept. 05-Oct. 09</t>
        </is>
      </c>
      <c r="G12" s="4" t="inlineStr">
        <is>
          <t>Oct. 10-Nov. 08</t>
        </is>
      </c>
      <c r="H12" s="4" t="n"/>
      <c r="I12" s="4" t="n"/>
      <c r="J12" s="4" t="inlineStr">
        <is>
          <t>June 1</t>
        </is>
      </c>
      <c r="K12" s="4" t="inlineStr">
        <is>
          <t>20</t>
        </is>
      </c>
      <c r="L12" s="4" t="n"/>
    </row>
    <row r="13">
      <c r="A13" s="4" t="inlineStr">
        <is>
          <t>301</t>
        </is>
      </c>
      <c r="B13" s="4" t="inlineStr">
        <is>
          <t>antelope</t>
        </is>
      </c>
      <c r="C13" s="4" t="inlineStr">
        <is>
          <t>Antelope License: 399-20</t>
        </is>
      </c>
      <c r="D13" s="15" t="inlineStr">
        <is>
          <t>Drawing</t>
        </is>
      </c>
      <c r="E13" s="4" t="inlineStr">
        <is>
          <t>Either-sex Antelope</t>
        </is>
      </c>
      <c r="F13" s="4" t="n"/>
      <c r="G13" s="4" t="inlineStr">
        <is>
          <t>Aug. 15-Nov. 08</t>
        </is>
      </c>
      <c r="H13" s="4" t="n"/>
      <c r="I13" s="4" t="n"/>
      <c r="J13" s="4" t="inlineStr">
        <is>
          <t>June 1</t>
        </is>
      </c>
      <c r="K13" s="4" t="inlineStr">
        <is>
          <t>500</t>
        </is>
      </c>
      <c r="L13" s="4" t="inlineStr">
        <is>
          <t>First and only choice. ArchEquip only.</t>
        </is>
      </c>
    </row>
    <row r="14">
      <c r="A14" s="4" t="inlineStr">
        <is>
          <t>310</t>
        </is>
      </c>
      <c r="B14" s="4" t="inlineStr">
        <is>
          <t>antelope</t>
        </is>
      </c>
      <c r="C14" s="4" t="inlineStr">
        <is>
          <t>Antelope License: 310-20</t>
        </is>
      </c>
      <c r="D14" s="15" t="inlineStr">
        <is>
          <t>Drawing</t>
        </is>
      </c>
      <c r="E14" s="4" t="inlineStr">
        <is>
          <t>Either-sex Antelope</t>
        </is>
      </c>
      <c r="F14" s="4" t="inlineStr">
        <is>
          <t>Sept. 05-Oct. 09</t>
        </is>
      </c>
      <c r="G14" s="4" t="inlineStr">
        <is>
          <t>Oct. 10-Nov. 08</t>
        </is>
      </c>
      <c r="H14" s="4" t="n"/>
      <c r="I14" s="4" t="n"/>
      <c r="J14" s="4" t="inlineStr">
        <is>
          <t>June 1</t>
        </is>
      </c>
      <c r="K14" s="4" t="inlineStr">
        <is>
          <t>75</t>
        </is>
      </c>
      <c r="L14" s="4" t="n"/>
    </row>
    <row r="15">
      <c r="A15" s="4" t="inlineStr">
        <is>
          <t>310</t>
        </is>
      </c>
      <c r="B15" s="4" t="inlineStr">
        <is>
          <t>antelope</t>
        </is>
      </c>
      <c r="C15" s="4" t="inlineStr">
        <is>
          <t>Antelope B License: 310-30</t>
        </is>
      </c>
      <c r="D15" s="15" t="inlineStr">
        <is>
          <t>Drawing</t>
        </is>
      </c>
      <c r="E15" s="4" t="inlineStr">
        <is>
          <t>Doe/Fawn Antelope</t>
        </is>
      </c>
      <c r="F15" s="4" t="inlineStr">
        <is>
          <t>Sept. 05-Oct. 09</t>
        </is>
      </c>
      <c r="G15" s="4" t="inlineStr">
        <is>
          <t>Oct. 10-Nov. 08</t>
        </is>
      </c>
      <c r="H15" s="4" t="n"/>
      <c r="I15" s="4" t="n"/>
      <c r="J15" s="4" t="inlineStr">
        <is>
          <t>June 1</t>
        </is>
      </c>
      <c r="K15" s="4" t="inlineStr">
        <is>
          <t>50</t>
        </is>
      </c>
      <c r="L15" s="4" t="n"/>
    </row>
    <row r="16">
      <c r="A16" s="4" t="inlineStr">
        <is>
          <t>310</t>
        </is>
      </c>
      <c r="B16" s="4" t="inlineStr">
        <is>
          <t>antelope</t>
        </is>
      </c>
      <c r="C16" s="4" t="inlineStr">
        <is>
          <t>Antelope License: 399-20</t>
        </is>
      </c>
      <c r="D16" s="15" t="inlineStr">
        <is>
          <t>Drawing</t>
        </is>
      </c>
      <c r="E16" s="4" t="inlineStr">
        <is>
          <t>Either-sex Antelope</t>
        </is>
      </c>
      <c r="F16" s="4" t="n"/>
      <c r="G16" s="4" t="inlineStr">
        <is>
          <t>Aug. 15-Nov. 08</t>
        </is>
      </c>
      <c r="H16" s="4" t="n"/>
      <c r="I16" s="4" t="n"/>
      <c r="J16" s="4" t="inlineStr">
        <is>
          <t>June 1</t>
        </is>
      </c>
      <c r="K16" s="4" t="inlineStr">
        <is>
          <t>500</t>
        </is>
      </c>
      <c r="L16" s="4" t="inlineStr">
        <is>
          <t>First and only choice. ArchEquip only.</t>
        </is>
      </c>
    </row>
    <row r="17">
      <c r="A17" s="4" t="inlineStr">
        <is>
          <t>311</t>
        </is>
      </c>
      <c r="B17" s="4" t="inlineStr">
        <is>
          <t>antelope</t>
        </is>
      </c>
      <c r="C17" s="4" t="inlineStr">
        <is>
          <t>Antelope License: 311-20</t>
        </is>
      </c>
      <c r="D17" s="15" t="inlineStr">
        <is>
          <t>Drawing</t>
        </is>
      </c>
      <c r="E17" s="4" t="inlineStr">
        <is>
          <t>Either-sex Antelope</t>
        </is>
      </c>
      <c r="F17" s="4" t="inlineStr">
        <is>
          <t>Sept. 05-Oct. 09</t>
        </is>
      </c>
      <c r="G17" s="4" t="inlineStr">
        <is>
          <t>Oct. 10-Nov. 08</t>
        </is>
      </c>
      <c r="H17" s="4" t="n"/>
      <c r="I17" s="4" t="n"/>
      <c r="J17" s="4" t="inlineStr">
        <is>
          <t>June 1</t>
        </is>
      </c>
      <c r="K17" s="4" t="inlineStr">
        <is>
          <t>75</t>
        </is>
      </c>
      <c r="L17" s="4" t="n"/>
    </row>
    <row r="18">
      <c r="A18" s="4" t="inlineStr">
        <is>
          <t>311</t>
        </is>
      </c>
      <c r="B18" s="4" t="inlineStr">
        <is>
          <t>antelope</t>
        </is>
      </c>
      <c r="C18" s="4" t="inlineStr">
        <is>
          <t>Antelope License: 399-20</t>
        </is>
      </c>
      <c r="D18" s="15" t="inlineStr">
        <is>
          <t>Drawing</t>
        </is>
      </c>
      <c r="E18" s="4" t="inlineStr">
        <is>
          <t>Either-sex Antelope</t>
        </is>
      </c>
      <c r="F18" s="4" t="n"/>
      <c r="G18" s="4" t="inlineStr">
        <is>
          <t>Aug. 15-Nov. 08</t>
        </is>
      </c>
      <c r="H18" s="4" t="n"/>
      <c r="I18" s="4" t="n"/>
      <c r="J18" s="4" t="inlineStr">
        <is>
          <t>June 1</t>
        </is>
      </c>
      <c r="K18" s="4" t="inlineStr">
        <is>
          <t>500</t>
        </is>
      </c>
      <c r="L18" s="4" t="inlineStr">
        <is>
          <t>First and only choice. ArchEquip only.</t>
        </is>
      </c>
    </row>
    <row r="19">
      <c r="A19" s="4" t="inlineStr">
        <is>
          <t>313</t>
        </is>
      </c>
      <c r="B19" s="4" t="inlineStr">
        <is>
          <t>antelope</t>
        </is>
      </c>
      <c r="C19" s="4" t="inlineStr">
        <is>
          <t>Antelope License: 313-20</t>
        </is>
      </c>
      <c r="D19" s="15" t="inlineStr">
        <is>
          <t>Drawing</t>
        </is>
      </c>
      <c r="E19" s="4" t="inlineStr">
        <is>
          <t>Either-sex Antelope</t>
        </is>
      </c>
      <c r="F19" s="4" t="inlineStr">
        <is>
          <t>Sept. 05-Oct. 09</t>
        </is>
      </c>
      <c r="G19" s="4" t="inlineStr">
        <is>
          <t>Oct. 10-Nov. 08</t>
        </is>
      </c>
      <c r="H19" s="4" t="n"/>
      <c r="I19" s="4" t="n"/>
      <c r="J19" s="4" t="inlineStr">
        <is>
          <t>June 1</t>
        </is>
      </c>
      <c r="K19" s="4" t="inlineStr">
        <is>
          <t>10</t>
        </is>
      </c>
      <c r="L19" s="4" t="n"/>
    </row>
    <row r="20">
      <c r="A20" s="4" t="inlineStr">
        <is>
          <t>317</t>
        </is>
      </c>
      <c r="B20" s="4" t="inlineStr">
        <is>
          <t>antelope</t>
        </is>
      </c>
      <c r="C20" s="4" t="inlineStr">
        <is>
          <t>Antelope License: 317-20</t>
        </is>
      </c>
      <c r="D20" s="15" t="inlineStr">
        <is>
          <t>Drawing</t>
        </is>
      </c>
      <c r="E20" s="4" t="inlineStr">
        <is>
          <t>Either-sex Antelope</t>
        </is>
      </c>
      <c r="F20" s="4" t="inlineStr">
        <is>
          <t>Sept. 05-Oct. 09</t>
        </is>
      </c>
      <c r="G20" s="4" t="inlineStr">
        <is>
          <t>Oct. 10-Nov. 08</t>
        </is>
      </c>
      <c r="H20" s="4" t="n"/>
      <c r="I20" s="4" t="n"/>
      <c r="J20" s="4" t="inlineStr">
        <is>
          <t>June 1</t>
        </is>
      </c>
      <c r="K20" s="4" t="inlineStr">
        <is>
          <t>50</t>
        </is>
      </c>
      <c r="L20" s="4" t="n"/>
    </row>
    <row r="21">
      <c r="A21" s="4" t="inlineStr">
        <is>
          <t>317</t>
        </is>
      </c>
      <c r="B21" s="4" t="inlineStr">
        <is>
          <t>antelope</t>
        </is>
      </c>
      <c r="C21" s="4" t="inlineStr">
        <is>
          <t>Antelope License: 399-20</t>
        </is>
      </c>
      <c r="D21" s="15" t="inlineStr">
        <is>
          <t>Drawing</t>
        </is>
      </c>
      <c r="E21" s="4" t="inlineStr">
        <is>
          <t>Either-sex Antelope</t>
        </is>
      </c>
      <c r="F21" s="4" t="n"/>
      <c r="G21" s="4" t="inlineStr">
        <is>
          <t>Aug. 15-Nov. 08</t>
        </is>
      </c>
      <c r="H21" s="4" t="n"/>
      <c r="I21" s="4" t="n"/>
      <c r="J21" s="4" t="inlineStr">
        <is>
          <t>June 1</t>
        </is>
      </c>
      <c r="K21" s="4" t="inlineStr">
        <is>
          <t>500</t>
        </is>
      </c>
      <c r="L21" s="4" t="inlineStr">
        <is>
          <t>First and only choice. ArchEquip only.</t>
        </is>
      </c>
    </row>
    <row r="22">
      <c r="A22" s="4" t="inlineStr">
        <is>
          <t>318</t>
        </is>
      </c>
      <c r="B22" s="4" t="inlineStr">
        <is>
          <t>antelope</t>
        </is>
      </c>
      <c r="C22" s="4" t="inlineStr">
        <is>
          <t>Antelope License: 318-20</t>
        </is>
      </c>
      <c r="D22" s="15" t="inlineStr">
        <is>
          <t>Drawing</t>
        </is>
      </c>
      <c r="E22" s="4" t="inlineStr">
        <is>
          <t>Either-sex Antelope</t>
        </is>
      </c>
      <c r="F22" s="4" t="inlineStr">
        <is>
          <t>Sept. 05-Oct. 09</t>
        </is>
      </c>
      <c r="G22" s="4" t="inlineStr">
        <is>
          <t>Oct. 10-Nov. 08</t>
        </is>
      </c>
      <c r="H22" s="4" t="n"/>
      <c r="I22" s="4" t="n"/>
      <c r="J22" s="4" t="inlineStr">
        <is>
          <t>June 1</t>
        </is>
      </c>
      <c r="K22" s="4" t="inlineStr">
        <is>
          <t>50</t>
        </is>
      </c>
      <c r="L22" s="4" t="n"/>
    </row>
    <row r="23">
      <c r="A23" s="4" t="inlineStr">
        <is>
          <t>318</t>
        </is>
      </c>
      <c r="B23" s="4" t="inlineStr">
        <is>
          <t>antelope</t>
        </is>
      </c>
      <c r="C23" s="4" t="inlineStr">
        <is>
          <t>Antelope B License: 318-30</t>
        </is>
      </c>
      <c r="D23" s="15" t="inlineStr">
        <is>
          <t>Drawing</t>
        </is>
      </c>
      <c r="E23" s="4" t="inlineStr">
        <is>
          <t>Doe/Fawn Antelope</t>
        </is>
      </c>
      <c r="F23" s="4" t="inlineStr">
        <is>
          <t>Sept. 05-Oct. 09</t>
        </is>
      </c>
      <c r="G23" s="4" t="inlineStr">
        <is>
          <t>Oct. 10-Nov. 08</t>
        </is>
      </c>
      <c r="H23" s="4" t="n"/>
      <c r="I23" s="4" t="n"/>
      <c r="J23" s="4" t="inlineStr">
        <is>
          <t>June 1</t>
        </is>
      </c>
      <c r="K23" s="4" t="inlineStr">
        <is>
          <t>50</t>
        </is>
      </c>
      <c r="L23" s="4" t="n"/>
    </row>
    <row r="24">
      <c r="A24" s="4" t="inlineStr">
        <is>
          <t>318</t>
        </is>
      </c>
      <c r="B24" s="4" t="inlineStr">
        <is>
          <t>antelope</t>
        </is>
      </c>
      <c r="C24" s="4" t="inlineStr">
        <is>
          <t>Antelope License: 399-20</t>
        </is>
      </c>
      <c r="D24" s="15" t="inlineStr">
        <is>
          <t>Drawing</t>
        </is>
      </c>
      <c r="E24" s="4" t="inlineStr">
        <is>
          <t>Either-sex Antelope</t>
        </is>
      </c>
      <c r="F24" s="4" t="n"/>
      <c r="G24" s="4" t="inlineStr">
        <is>
          <t>Aug. 15-Nov. 08</t>
        </is>
      </c>
      <c r="H24" s="4" t="n"/>
      <c r="I24" s="4" t="n"/>
      <c r="J24" s="4" t="inlineStr">
        <is>
          <t>June 1</t>
        </is>
      </c>
      <c r="K24" s="4" t="inlineStr">
        <is>
          <t>500</t>
        </is>
      </c>
      <c r="L24" s="4" t="inlineStr">
        <is>
          <t>First and only choice. ArchEquip only.</t>
        </is>
      </c>
    </row>
    <row r="25">
      <c r="A25" s="4" t="inlineStr">
        <is>
          <t>319</t>
        </is>
      </c>
      <c r="B25" s="4" t="inlineStr">
        <is>
          <t>antelope</t>
        </is>
      </c>
      <c r="C25" s="4" t="inlineStr">
        <is>
          <t>Antelope License: 319-20</t>
        </is>
      </c>
      <c r="D25" s="15" t="inlineStr">
        <is>
          <t>Drawing</t>
        </is>
      </c>
      <c r="E25" s="4" t="inlineStr">
        <is>
          <t>Either-sex Antelope</t>
        </is>
      </c>
      <c r="F25" s="4" t="inlineStr">
        <is>
          <t>Sept. 05-Oct. 09</t>
        </is>
      </c>
      <c r="G25" s="4" t="inlineStr">
        <is>
          <t>Oct. 10-Nov. 08</t>
        </is>
      </c>
      <c r="H25" s="4" t="n"/>
      <c r="I25" s="4" t="n"/>
      <c r="J25" s="4" t="inlineStr">
        <is>
          <t>June 1</t>
        </is>
      </c>
      <c r="K25" s="4" t="inlineStr">
        <is>
          <t>50</t>
        </is>
      </c>
      <c r="L25" s="4" t="n"/>
    </row>
    <row r="26">
      <c r="A26" s="4" t="inlineStr">
        <is>
          <t>319</t>
        </is>
      </c>
      <c r="B26" s="4" t="inlineStr">
        <is>
          <t>antelope</t>
        </is>
      </c>
      <c r="C26" s="4" t="inlineStr">
        <is>
          <t>Antelope B License: 319-30</t>
        </is>
      </c>
      <c r="D26" s="15" t="inlineStr">
        <is>
          <t>Drawing</t>
        </is>
      </c>
      <c r="E26" s="4" t="inlineStr">
        <is>
          <t>Doe/Fawn Antelope</t>
        </is>
      </c>
      <c r="F26" s="4" t="inlineStr">
        <is>
          <t>Sept. 05-Oct. 09</t>
        </is>
      </c>
      <c r="G26" s="4" t="inlineStr">
        <is>
          <t>Oct. 10-Nov. 08</t>
        </is>
      </c>
      <c r="H26" s="4" t="n"/>
      <c r="I26" s="4" t="n"/>
      <c r="J26" s="4" t="inlineStr">
        <is>
          <t>June 1</t>
        </is>
      </c>
      <c r="K26" s="4" t="inlineStr">
        <is>
          <t>50</t>
        </is>
      </c>
      <c r="L26" s="4" t="n"/>
    </row>
    <row r="27">
      <c r="A27" s="4" t="inlineStr">
        <is>
          <t>319</t>
        </is>
      </c>
      <c r="B27" s="4" t="inlineStr">
        <is>
          <t>antelope</t>
        </is>
      </c>
      <c r="C27" s="4" t="inlineStr">
        <is>
          <t>Antelope License: 399-20</t>
        </is>
      </c>
      <c r="D27" s="15" t="inlineStr">
        <is>
          <t>Drawing</t>
        </is>
      </c>
      <c r="E27" s="4" t="inlineStr">
        <is>
          <t>Either-sex Antelope</t>
        </is>
      </c>
      <c r="F27" s="4" t="n"/>
      <c r="G27" s="4" t="inlineStr">
        <is>
          <t>Aug. 15-Nov. 08</t>
        </is>
      </c>
      <c r="H27" s="4" t="n"/>
      <c r="I27" s="4" t="n"/>
      <c r="J27" s="4" t="inlineStr">
        <is>
          <t>June 1</t>
        </is>
      </c>
      <c r="K27" s="4" t="inlineStr">
        <is>
          <t>500</t>
        </is>
      </c>
      <c r="L27" s="4" t="inlineStr">
        <is>
          <t>First and only choice. ArchEquip only. 137 2026 Deer • Elk • Antelope Visit fwp.mt.gov</t>
        </is>
      </c>
    </row>
    <row r="28">
      <c r="A28" s="4" t="inlineStr">
        <is>
          <t>320</t>
        </is>
      </c>
      <c r="B28" s="4" t="inlineStr">
        <is>
          <t>antelope</t>
        </is>
      </c>
      <c r="C28" s="4" t="inlineStr">
        <is>
          <t>Antelope License: 320-20</t>
        </is>
      </c>
      <c r="D28" s="15" t="inlineStr">
        <is>
          <t>Drawing</t>
        </is>
      </c>
      <c r="E28" s="4" t="inlineStr">
        <is>
          <t>Either-sex Antelope</t>
        </is>
      </c>
      <c r="F28" s="4" t="inlineStr">
        <is>
          <t>Sept. 05-Oct. 09</t>
        </is>
      </c>
      <c r="G28" s="4" t="inlineStr">
        <is>
          <t>Oct. 10-Nov. 08</t>
        </is>
      </c>
      <c r="H28" s="4" t="n"/>
      <c r="I28" s="4" t="n"/>
      <c r="J28" s="4" t="inlineStr">
        <is>
          <t>June 1</t>
        </is>
      </c>
      <c r="K28" s="4" t="inlineStr">
        <is>
          <t>25</t>
        </is>
      </c>
      <c r="L28" s="4" t="n"/>
    </row>
    <row r="29">
      <c r="A29" s="4" t="inlineStr">
        <is>
          <t>320</t>
        </is>
      </c>
      <c r="B29" s="4" t="inlineStr">
        <is>
          <t>antelope</t>
        </is>
      </c>
      <c r="C29" s="4" t="inlineStr">
        <is>
          <t>Antelope B License: 320-30</t>
        </is>
      </c>
      <c r="D29" s="15" t="inlineStr">
        <is>
          <t>Drawing</t>
        </is>
      </c>
      <c r="E29" s="4" t="inlineStr">
        <is>
          <t>Doe/Fawn Antelope</t>
        </is>
      </c>
      <c r="F29" s="4" t="inlineStr">
        <is>
          <t>Sept. 05-Oct. 09</t>
        </is>
      </c>
      <c r="G29" s="4" t="inlineStr">
        <is>
          <t>Oct. 10-Nov. 08</t>
        </is>
      </c>
      <c r="H29" s="4" t="n"/>
      <c r="I29" s="4" t="n"/>
      <c r="J29" s="4" t="inlineStr">
        <is>
          <t>June 1</t>
        </is>
      </c>
      <c r="K29" s="4" t="inlineStr">
        <is>
          <t>50</t>
        </is>
      </c>
      <c r="L29" s="4" t="n"/>
    </row>
    <row r="30">
      <c r="A30" s="4" t="inlineStr">
        <is>
          <t>320</t>
        </is>
      </c>
      <c r="B30" s="4" t="inlineStr">
        <is>
          <t>antelope</t>
        </is>
      </c>
      <c r="C30" s="4" t="inlineStr">
        <is>
          <t>Antelope License: 399-20</t>
        </is>
      </c>
      <c r="D30" s="15" t="inlineStr">
        <is>
          <t>Drawing</t>
        </is>
      </c>
      <c r="E30" s="4" t="inlineStr">
        <is>
          <t>Either-sex Antelope</t>
        </is>
      </c>
      <c r="F30" s="4" t="n"/>
      <c r="G30" s="4" t="inlineStr">
        <is>
          <t>Aug. 15-Nov. 08</t>
        </is>
      </c>
      <c r="H30" s="4" t="n"/>
      <c r="I30" s="4" t="n"/>
      <c r="J30" s="4" t="inlineStr">
        <is>
          <t>June 1</t>
        </is>
      </c>
      <c r="K30" s="4" t="inlineStr">
        <is>
          <t>500</t>
        </is>
      </c>
      <c r="L30" s="4" t="inlineStr">
        <is>
          <t>First and only choice. ArchEquip only.</t>
        </is>
      </c>
    </row>
    <row r="31">
      <c r="A31" s="4" t="inlineStr">
        <is>
          <t>322</t>
        </is>
      </c>
      <c r="B31" s="4" t="inlineStr">
        <is>
          <t>antelope</t>
        </is>
      </c>
      <c r="C31" s="4" t="inlineStr">
        <is>
          <t>Antelope License: 322-20</t>
        </is>
      </c>
      <c r="D31" s="15" t="inlineStr">
        <is>
          <t>Drawing</t>
        </is>
      </c>
      <c r="E31" s="4" t="inlineStr">
        <is>
          <t>Either-sex Antelope</t>
        </is>
      </c>
      <c r="F31" s="4" t="inlineStr">
        <is>
          <t>Sept. 05-Oct. 09</t>
        </is>
      </c>
      <c r="G31" s="4" t="inlineStr">
        <is>
          <t>Oct. 10-Nov. 08</t>
        </is>
      </c>
      <c r="H31" s="4" t="n"/>
      <c r="I31" s="4" t="n"/>
      <c r="J31" s="4" t="inlineStr">
        <is>
          <t>June 1</t>
        </is>
      </c>
      <c r="K31" s="4" t="inlineStr">
        <is>
          <t>300</t>
        </is>
      </c>
      <c r="L31" s="4" t="n"/>
    </row>
    <row r="32">
      <c r="A32" s="4" t="inlineStr">
        <is>
          <t>322</t>
        </is>
      </c>
      <c r="B32" s="4" t="inlineStr">
        <is>
          <t>antelope</t>
        </is>
      </c>
      <c r="C32" s="4" t="inlineStr">
        <is>
          <t>Antelope B License: 322-30</t>
        </is>
      </c>
      <c r="D32" s="15" t="inlineStr">
        <is>
          <t>Drawing</t>
        </is>
      </c>
      <c r="E32" s="4" t="inlineStr">
        <is>
          <t>Doe/Fawn Antelope</t>
        </is>
      </c>
      <c r="F32" s="4" t="inlineStr">
        <is>
          <t>Sept. 05-Oct. 09</t>
        </is>
      </c>
      <c r="G32" s="4" t="inlineStr">
        <is>
          <t>Oct. 10-Nov. 08</t>
        </is>
      </c>
      <c r="H32" s="4" t="n"/>
      <c r="I32" s="4" t="n"/>
      <c r="J32" s="4" t="inlineStr">
        <is>
          <t>June 1</t>
        </is>
      </c>
      <c r="K32" s="4" t="inlineStr">
        <is>
          <t>300</t>
        </is>
      </c>
      <c r="L32" s="4" t="n"/>
    </row>
    <row r="33">
      <c r="A33" s="4" t="inlineStr">
        <is>
          <t>322</t>
        </is>
      </c>
      <c r="B33" s="4" t="inlineStr">
        <is>
          <t>antelope</t>
        </is>
      </c>
      <c r="C33" s="4" t="inlineStr">
        <is>
          <t>Antelope License: 399-20</t>
        </is>
      </c>
      <c r="D33" s="15" t="inlineStr">
        <is>
          <t>Drawing</t>
        </is>
      </c>
      <c r="E33" s="4" t="inlineStr">
        <is>
          <t>Either-sex Antelope</t>
        </is>
      </c>
      <c r="F33" s="4" t="n"/>
      <c r="G33" s="4" t="inlineStr">
        <is>
          <t>Aug. 15-Nov. 08</t>
        </is>
      </c>
      <c r="H33" s="4" t="n"/>
      <c r="I33" s="4" t="n"/>
      <c r="J33" s="4" t="inlineStr">
        <is>
          <t>June 1</t>
        </is>
      </c>
      <c r="K33" s="4" t="inlineStr">
        <is>
          <t>500</t>
        </is>
      </c>
      <c r="L33" s="4" t="inlineStr">
        <is>
          <t>First and only choice. ArchEquip only.</t>
        </is>
      </c>
    </row>
    <row r="34">
      <c r="A34" s="4" t="inlineStr">
        <is>
          <t>329</t>
        </is>
      </c>
      <c r="B34" s="4" t="inlineStr">
        <is>
          <t>antelope</t>
        </is>
      </c>
      <c r="C34" s="4" t="inlineStr">
        <is>
          <t>Antelope License: 329-20</t>
        </is>
      </c>
      <c r="D34" s="15" t="inlineStr">
        <is>
          <t>Drawing</t>
        </is>
      </c>
      <c r="E34" s="4" t="inlineStr">
        <is>
          <t>Either-sex Antelope</t>
        </is>
      </c>
      <c r="F34" s="4" t="inlineStr">
        <is>
          <t>Sept. 05-Oct. 09</t>
        </is>
      </c>
      <c r="G34" s="4" t="inlineStr">
        <is>
          <t>Oct. 10-Nov. 08</t>
        </is>
      </c>
      <c r="H34" s="4" t="n"/>
      <c r="I34" s="4" t="n"/>
      <c r="J34" s="4" t="inlineStr">
        <is>
          <t>June 1</t>
        </is>
      </c>
      <c r="K34" s="4" t="inlineStr">
        <is>
          <t>100</t>
        </is>
      </c>
      <c r="L34" s="4" t="n"/>
    </row>
    <row r="35">
      <c r="A35" s="4" t="inlineStr">
        <is>
          <t>329</t>
        </is>
      </c>
      <c r="B35" s="4" t="inlineStr">
        <is>
          <t>antelope</t>
        </is>
      </c>
      <c r="C35" s="4" t="inlineStr">
        <is>
          <t>Antelope License: 399-20</t>
        </is>
      </c>
      <c r="D35" s="15" t="inlineStr">
        <is>
          <t>Drawing</t>
        </is>
      </c>
      <c r="E35" s="4" t="inlineStr">
        <is>
          <t>Either-sex Antelope</t>
        </is>
      </c>
      <c r="F35" s="4" t="n"/>
      <c r="G35" s="4" t="inlineStr">
        <is>
          <t>Aug. 15-Nov. 08</t>
        </is>
      </c>
      <c r="H35" s="4" t="n"/>
      <c r="I35" s="4" t="n"/>
      <c r="J35" s="4" t="inlineStr">
        <is>
          <t>June 1</t>
        </is>
      </c>
      <c r="K35" s="4" t="inlineStr">
        <is>
          <t>500</t>
        </is>
      </c>
      <c r="L35" s="4" t="inlineStr">
        <is>
          <t>First and only choice. ArchEquip only.</t>
        </is>
      </c>
    </row>
    <row r="36">
      <c r="A36" s="4" t="inlineStr">
        <is>
          <t>338</t>
        </is>
      </c>
      <c r="B36" s="4" t="inlineStr">
        <is>
          <t>antelope</t>
        </is>
      </c>
      <c r="C36" s="4" t="inlineStr">
        <is>
          <t>Antelope License: 338-20</t>
        </is>
      </c>
      <c r="D36" s="15" t="inlineStr">
        <is>
          <t>Drawing</t>
        </is>
      </c>
      <c r="E36" s="4" t="inlineStr">
        <is>
          <t>Either-sex Antelope</t>
        </is>
      </c>
      <c r="F36" s="4" t="inlineStr">
        <is>
          <t>Sept. 05-Oct. 09</t>
        </is>
      </c>
      <c r="G36" s="4" t="inlineStr">
        <is>
          <t>Oct. 10-Nov. 08</t>
        </is>
      </c>
      <c r="H36" s="4" t="n"/>
      <c r="I36" s="4" t="n"/>
      <c r="J36" s="4" t="inlineStr">
        <is>
          <t>June 1</t>
        </is>
      </c>
      <c r="K36" s="4" t="inlineStr">
        <is>
          <t>100</t>
        </is>
      </c>
      <c r="L36" s="4" t="n"/>
    </row>
    <row r="37">
      <c r="A37" s="4" t="inlineStr">
        <is>
          <t>338</t>
        </is>
      </c>
      <c r="B37" s="4" t="inlineStr">
        <is>
          <t>antelope</t>
        </is>
      </c>
      <c r="C37" s="4" t="inlineStr">
        <is>
          <t>Antelope License: 399-20</t>
        </is>
      </c>
      <c r="D37" s="15" t="inlineStr">
        <is>
          <t>Drawing</t>
        </is>
      </c>
      <c r="E37" s="4" t="inlineStr">
        <is>
          <t>Either-sex Antelope</t>
        </is>
      </c>
      <c r="F37" s="4" t="n"/>
      <c r="G37" s="4" t="inlineStr">
        <is>
          <t>Aug. 15-Nov. 08</t>
        </is>
      </c>
      <c r="H37" s="4" t="n"/>
      <c r="I37" s="4" t="n"/>
      <c r="J37" s="4" t="inlineStr">
        <is>
          <t>June 1</t>
        </is>
      </c>
      <c r="K37" s="4" t="inlineStr">
        <is>
          <t>500</t>
        </is>
      </c>
      <c r="L37" s="4" t="inlineStr">
        <is>
          <t>First and only choice. ArchEquip only.</t>
        </is>
      </c>
    </row>
    <row r="38">
      <c r="A38" s="4" t="inlineStr">
        <is>
          <t>339</t>
        </is>
      </c>
      <c r="B38" s="4" t="inlineStr">
        <is>
          <t>antelope</t>
        </is>
      </c>
      <c r="C38" s="4" t="inlineStr">
        <is>
          <t>Antelope License: 339-20</t>
        </is>
      </c>
      <c r="D38" s="15" t="inlineStr">
        <is>
          <t>Drawing</t>
        </is>
      </c>
      <c r="E38" s="4" t="inlineStr">
        <is>
          <t>Either-sex Antelope</t>
        </is>
      </c>
      <c r="F38" s="4" t="inlineStr">
        <is>
          <t>Sept. 05-Oct. 09</t>
        </is>
      </c>
      <c r="G38" s="4" t="inlineStr">
        <is>
          <t>Oct. 10-Nov. 08</t>
        </is>
      </c>
      <c r="H38" s="4" t="n"/>
      <c r="I38" s="4" t="n"/>
      <c r="J38" s="4" t="inlineStr">
        <is>
          <t>June 1</t>
        </is>
      </c>
      <c r="K38" s="4" t="inlineStr">
        <is>
          <t>75</t>
        </is>
      </c>
      <c r="L38" s="4" t="n"/>
    </row>
    <row r="39">
      <c r="A39" s="4" t="inlineStr">
        <is>
          <t>339</t>
        </is>
      </c>
      <c r="B39" s="4" t="inlineStr">
        <is>
          <t>antelope</t>
        </is>
      </c>
      <c r="C39" s="4" t="inlineStr">
        <is>
          <t>Antelope License: 399-20</t>
        </is>
      </c>
      <c r="D39" s="15" t="inlineStr">
        <is>
          <t>Drawing</t>
        </is>
      </c>
      <c r="E39" s="4" t="inlineStr">
        <is>
          <t>Either-sex Antelope</t>
        </is>
      </c>
      <c r="F39" s="4" t="n"/>
      <c r="G39" s="4" t="inlineStr">
        <is>
          <t>Aug. 15-Nov. 08</t>
        </is>
      </c>
      <c r="H39" s="4" t="n"/>
      <c r="I39" s="4" t="n"/>
      <c r="J39" s="4" t="inlineStr">
        <is>
          <t>June 1</t>
        </is>
      </c>
      <c r="K39" s="4" t="inlineStr">
        <is>
          <t>500</t>
        </is>
      </c>
      <c r="L39" s="4" t="inlineStr">
        <is>
          <t>First and only choice. ArchEquip only.</t>
        </is>
      </c>
    </row>
    <row r="40">
      <c r="A40" s="4" t="inlineStr">
        <is>
          <t>340</t>
        </is>
      </c>
      <c r="B40" s="4" t="inlineStr">
        <is>
          <t>antelope</t>
        </is>
      </c>
      <c r="C40" s="4" t="inlineStr">
        <is>
          <t>Antelope License: 340-20</t>
        </is>
      </c>
      <c r="D40" s="15" t="inlineStr">
        <is>
          <t>Drawing</t>
        </is>
      </c>
      <c r="E40" s="4" t="inlineStr">
        <is>
          <t>Either-sex Antelope</t>
        </is>
      </c>
      <c r="F40" s="4" t="inlineStr">
        <is>
          <t>Sept. 05-Oct. 09</t>
        </is>
      </c>
      <c r="G40" s="4" t="inlineStr">
        <is>
          <t>Oct. 10-Nov. 08</t>
        </is>
      </c>
      <c r="H40" s="4" t="n"/>
      <c r="I40" s="4" t="n"/>
      <c r="J40" s="4" t="inlineStr">
        <is>
          <t>June 1</t>
        </is>
      </c>
      <c r="K40" s="4" t="inlineStr">
        <is>
          <t>350</t>
        </is>
      </c>
      <c r="L40" s="4" t="inlineStr">
        <is>
          <t>Successful antelope either- sex 340-20 applicants may be ofered the opportunity to purchase one or more doe/fawn 340-30 (Quota: 300, Range 50-500) licenses valid in HD 340 during the same time periods and with the same restrictions.</t>
        </is>
      </c>
    </row>
    <row r="41">
      <c r="A41" s="4" t="inlineStr">
        <is>
          <t>340</t>
        </is>
      </c>
      <c r="B41" s="4" t="inlineStr">
        <is>
          <t>antelope</t>
        </is>
      </c>
      <c r="C41" s="4" t="inlineStr">
        <is>
          <t>Antelope License: 399-20</t>
        </is>
      </c>
      <c r="D41" s="15" t="inlineStr">
        <is>
          <t>Drawing</t>
        </is>
      </c>
      <c r="E41" s="4" t="inlineStr">
        <is>
          <t>Either-sex Antelope</t>
        </is>
      </c>
      <c r="F41" s="4" t="n"/>
      <c r="G41" s="4" t="inlineStr">
        <is>
          <t>Aug. 15-Nov. 08</t>
        </is>
      </c>
      <c r="H41" s="4" t="n"/>
      <c r="I41" s="4" t="n"/>
      <c r="J41" s="4" t="inlineStr">
        <is>
          <t>June 1</t>
        </is>
      </c>
      <c r="K41" s="4" t="inlineStr">
        <is>
          <t>500</t>
        </is>
      </c>
      <c r="L41" s="4" t="inlineStr">
        <is>
          <t>First and only choice. ArchEquip only.</t>
        </is>
      </c>
    </row>
    <row r="42">
      <c r="A42" s="4" t="inlineStr">
        <is>
          <t>350</t>
        </is>
      </c>
      <c r="B42" s="4" t="inlineStr">
        <is>
          <t>antelope</t>
        </is>
      </c>
      <c r="C42" s="4" t="inlineStr">
        <is>
          <t>Antelope License: 350-20</t>
        </is>
      </c>
      <c r="D42" s="15" t="inlineStr">
        <is>
          <t>Drawing</t>
        </is>
      </c>
      <c r="E42" s="4" t="inlineStr">
        <is>
          <t>Either-sex Antelope</t>
        </is>
      </c>
      <c r="F42" s="4" t="inlineStr">
        <is>
          <t>Sept. 05-Oct. 09</t>
        </is>
      </c>
      <c r="G42" s="4" t="inlineStr">
        <is>
          <t>Oct. 10-Nov. 08</t>
        </is>
      </c>
      <c r="H42" s="4" t="n"/>
      <c r="I42" s="4" t="n"/>
      <c r="J42" s="4" t="inlineStr">
        <is>
          <t>June 1</t>
        </is>
      </c>
      <c r="K42" s="4" t="inlineStr">
        <is>
          <t>55</t>
        </is>
      </c>
      <c r="L42" s="4" t="inlineStr">
        <is>
          <t>Successful antelope Either- sex 350-20 applicants may be ofered the opportunity to purchase one or more doe/fawn 350-30 (Quota: 100, Range 25-200) licenses valid in HD 350 during the same time periods and with the same restrictions.</t>
        </is>
      </c>
    </row>
    <row r="43">
      <c r="A43" s="4" t="inlineStr">
        <is>
          <t>350</t>
        </is>
      </c>
      <c r="B43" s="4" t="inlineStr">
        <is>
          <t>antelope</t>
        </is>
      </c>
      <c r="C43" s="4" t="inlineStr">
        <is>
          <t>Antelope License: 399-20</t>
        </is>
      </c>
      <c r="D43" s="15" t="inlineStr">
        <is>
          <t>Drawing</t>
        </is>
      </c>
      <c r="E43" s="4" t="inlineStr">
        <is>
          <t>Either-sex Antelope</t>
        </is>
      </c>
      <c r="F43" s="4" t="n"/>
      <c r="G43" s="4" t="inlineStr">
        <is>
          <t>Aug. 15-Nov. 08</t>
        </is>
      </c>
      <c r="H43" s="4" t="n"/>
      <c r="I43" s="4" t="n"/>
      <c r="J43" s="4" t="inlineStr">
        <is>
          <t>June 1</t>
        </is>
      </c>
      <c r="K43" s="4" t="inlineStr">
        <is>
          <t>500</t>
        </is>
      </c>
      <c r="L43" s="4" t="inlineStr">
        <is>
          <t>First and only choice. ArchEquip only.</t>
        </is>
      </c>
    </row>
    <row r="44">
      <c r="A44" s="4" t="inlineStr">
        <is>
          <t>360</t>
        </is>
      </c>
      <c r="B44" s="4" t="inlineStr">
        <is>
          <t>antelope</t>
        </is>
      </c>
      <c r="C44" s="4" t="inlineStr">
        <is>
          <t>Antelope License: 360-20</t>
        </is>
      </c>
      <c r="D44" s="15" t="inlineStr">
        <is>
          <t>Drawing</t>
        </is>
      </c>
      <c r="E44" s="4" t="inlineStr">
        <is>
          <t>Either-sex Antelope</t>
        </is>
      </c>
      <c r="F44" s="4" t="inlineStr">
        <is>
          <t>Sept. 05-Oct. 09</t>
        </is>
      </c>
      <c r="G44" s="4" t="inlineStr">
        <is>
          <t>Oct. 10-Nov. 08</t>
        </is>
      </c>
      <c r="H44" s="4" t="n"/>
      <c r="I44" s="4" t="n"/>
      <c r="J44" s="4" t="inlineStr">
        <is>
          <t>June 1</t>
        </is>
      </c>
      <c r="K44" s="4" t="inlineStr">
        <is>
          <t>350</t>
        </is>
      </c>
      <c r="L44" s="4" t="n"/>
    </row>
    <row r="45">
      <c r="A45" s="4" t="inlineStr">
        <is>
          <t>360</t>
        </is>
      </c>
      <c r="B45" s="4" t="inlineStr">
        <is>
          <t>antelope</t>
        </is>
      </c>
      <c r="C45" s="4" t="inlineStr">
        <is>
          <t>Antelope License: 399-20</t>
        </is>
      </c>
      <c r="D45" s="15" t="inlineStr">
        <is>
          <t>Drawing</t>
        </is>
      </c>
      <c r="E45" s="4" t="inlineStr">
        <is>
          <t>Either-sex Antelope</t>
        </is>
      </c>
      <c r="F45" s="4" t="n"/>
      <c r="G45" s="4" t="inlineStr">
        <is>
          <t>Aug. 15-Nov. 08</t>
        </is>
      </c>
      <c r="H45" s="4" t="n"/>
      <c r="I45" s="4" t="n"/>
      <c r="J45" s="4" t="inlineStr">
        <is>
          <t>June 1</t>
        </is>
      </c>
      <c r="K45" s="4" t="inlineStr">
        <is>
          <t>500</t>
        </is>
      </c>
      <c r="L45" s="4" t="inlineStr">
        <is>
          <t>First and only choice. ArchEquip only.</t>
        </is>
      </c>
    </row>
    <row r="46">
      <c r="A46" s="4" t="inlineStr">
        <is>
          <t>370</t>
        </is>
      </c>
      <c r="B46" s="4" t="inlineStr">
        <is>
          <t>antelope</t>
        </is>
      </c>
      <c r="C46" s="4" t="inlineStr">
        <is>
          <t>Antelope License: 370-20</t>
        </is>
      </c>
      <c r="D46" s="15" t="inlineStr">
        <is>
          <t>Drawing</t>
        </is>
      </c>
      <c r="E46" s="4" t="inlineStr">
        <is>
          <t>Either-sex Antelope</t>
        </is>
      </c>
      <c r="F46" s="4" t="inlineStr">
        <is>
          <t>Sept. 05-Oct. 09</t>
        </is>
      </c>
      <c r="G46" s="4" t="inlineStr">
        <is>
          <t>Oct. 10-Nov. 08</t>
        </is>
      </c>
      <c r="H46" s="4" t="n"/>
      <c r="I46" s="4" t="n"/>
      <c r="J46" s="4" t="inlineStr">
        <is>
          <t>June 1</t>
        </is>
      </c>
      <c r="K46" s="4" t="inlineStr">
        <is>
          <t>75</t>
        </is>
      </c>
      <c r="L46" s="4" t="inlineStr">
        <is>
          <t>Successful antelope Either- sex 370-20 applicants may be ofered the opportunity to purchase one or more doe/fawn 370-30 (Quota: 100, Range 25-250) licenses valid in HD 370 during the same time periods and with the same restrictions.</t>
        </is>
      </c>
    </row>
    <row r="47">
      <c r="A47" s="4" t="inlineStr">
        <is>
          <t>370</t>
        </is>
      </c>
      <c r="B47" s="4" t="inlineStr">
        <is>
          <t>antelope</t>
        </is>
      </c>
      <c r="C47" s="4" t="inlineStr">
        <is>
          <t>Antelope License: 399-20</t>
        </is>
      </c>
      <c r="D47" s="15" t="inlineStr">
        <is>
          <t>Drawing</t>
        </is>
      </c>
      <c r="E47" s="4" t="inlineStr">
        <is>
          <t>Either-sex Antelope</t>
        </is>
      </c>
      <c r="F47" s="4" t="n"/>
      <c r="G47" s="4" t="inlineStr">
        <is>
          <t>Aug. 15-Nov. 08</t>
        </is>
      </c>
      <c r="H47" s="4" t="n"/>
      <c r="I47" s="4" t="n"/>
      <c r="J47" s="4" t="inlineStr">
        <is>
          <t>June 1</t>
        </is>
      </c>
      <c r="K47" s="4" t="inlineStr">
        <is>
          <t>500</t>
        </is>
      </c>
      <c r="L47" s="4" t="inlineStr">
        <is>
          <t>First and only choice. ArchEquip only.</t>
        </is>
      </c>
    </row>
    <row r="48">
      <c r="A48" s="4" t="inlineStr">
        <is>
          <t>371</t>
        </is>
      </c>
      <c r="B48" s="4" t="inlineStr">
        <is>
          <t>antelope</t>
        </is>
      </c>
      <c r="C48" s="4" t="inlineStr">
        <is>
          <t>Antelope License: 371-20</t>
        </is>
      </c>
      <c r="D48" s="15" t="inlineStr">
        <is>
          <t>Drawing</t>
        </is>
      </c>
      <c r="E48" s="4" t="inlineStr">
        <is>
          <t>Either-sex Antelope</t>
        </is>
      </c>
      <c r="F48" s="4" t="inlineStr">
        <is>
          <t>Sept. 05-Oct. 09</t>
        </is>
      </c>
      <c r="G48" s="4" t="inlineStr">
        <is>
          <t>Oct. 10-Nov. 08</t>
        </is>
      </c>
      <c r="H48" s="4" t="n"/>
      <c r="I48" s="4" t="n"/>
      <c r="J48" s="4" t="inlineStr">
        <is>
          <t>June 1</t>
        </is>
      </c>
      <c r="K48" s="4" t="inlineStr">
        <is>
          <t>50</t>
        </is>
      </c>
      <c r="L48" s="4" t="n"/>
    </row>
    <row r="49">
      <c r="A49" s="4" t="inlineStr">
        <is>
          <t>371</t>
        </is>
      </c>
      <c r="B49" s="4" t="inlineStr">
        <is>
          <t>antelope</t>
        </is>
      </c>
      <c r="C49" s="4" t="inlineStr">
        <is>
          <t>Antelope B License: 371-30</t>
        </is>
      </c>
      <c r="D49" s="15" t="inlineStr">
        <is>
          <t>Drawing</t>
        </is>
      </c>
      <c r="E49" s="4" t="inlineStr">
        <is>
          <t>Doe/Fawn Antelope</t>
        </is>
      </c>
      <c r="F49" s="4" t="inlineStr">
        <is>
          <t>Sept. 05-Oct. 09</t>
        </is>
      </c>
      <c r="G49" s="4" t="inlineStr">
        <is>
          <t>Oct. 10-Nov. 08</t>
        </is>
      </c>
      <c r="H49" s="4" t="n"/>
      <c r="I49" s="4" t="n"/>
      <c r="J49" s="4" t="inlineStr">
        <is>
          <t>June 1</t>
        </is>
      </c>
      <c r="K49" s="4" t="inlineStr">
        <is>
          <t>25</t>
        </is>
      </c>
      <c r="L49" s="4" t="n"/>
    </row>
    <row r="50">
      <c r="A50" s="4" t="inlineStr">
        <is>
          <t>371</t>
        </is>
      </c>
      <c r="B50" s="4" t="inlineStr">
        <is>
          <t>antelope</t>
        </is>
      </c>
      <c r="C50" s="4" t="inlineStr">
        <is>
          <t>Antelope License: 399-20</t>
        </is>
      </c>
      <c r="D50" s="15" t="inlineStr">
        <is>
          <t>Drawing</t>
        </is>
      </c>
      <c r="E50" s="4" t="inlineStr">
        <is>
          <t>Either-sex Antelope</t>
        </is>
      </c>
      <c r="F50" s="4" t="n"/>
      <c r="G50" s="4" t="inlineStr">
        <is>
          <t>Aug. 15-Nov. 08</t>
        </is>
      </c>
      <c r="H50" s="4" t="n"/>
      <c r="I50" s="4" t="n"/>
      <c r="J50" s="4" t="inlineStr">
        <is>
          <t>June 1</t>
        </is>
      </c>
      <c r="K50" s="4" t="inlineStr">
        <is>
          <t>500</t>
        </is>
      </c>
      <c r="L50" s="4" t="inlineStr">
        <is>
          <t>First and only choice. ArchEquip only.</t>
        </is>
      </c>
    </row>
    <row r="51">
      <c r="A51" s="4" t="inlineStr">
        <is>
          <t>380</t>
        </is>
      </c>
      <c r="B51" s="4" t="inlineStr">
        <is>
          <t>antelope</t>
        </is>
      </c>
      <c r="C51" s="4" t="inlineStr">
        <is>
          <t>Antelope License: 380-20</t>
        </is>
      </c>
      <c r="D51" s="15" t="inlineStr">
        <is>
          <t>Drawing</t>
        </is>
      </c>
      <c r="E51" s="4" t="inlineStr">
        <is>
          <t>Either-sex Antelope</t>
        </is>
      </c>
      <c r="F51" s="4" t="inlineStr">
        <is>
          <t>Sept. 05-Oct. 09</t>
        </is>
      </c>
      <c r="G51" s="4" t="inlineStr">
        <is>
          <t>Oct. 10-Nov. 08</t>
        </is>
      </c>
      <c r="H51" s="4" t="n"/>
      <c r="I51" s="4" t="n"/>
      <c r="J51" s="4" t="inlineStr">
        <is>
          <t>June 1</t>
        </is>
      </c>
      <c r="K51" s="4" t="inlineStr">
        <is>
          <t>10</t>
        </is>
      </c>
      <c r="L51" s="4" t="inlineStr">
        <is>
          <t>Not valid in HD 380 portion of the Townsend WRA, except with the use of ArchEquip.</t>
        </is>
      </c>
    </row>
    <row r="52">
      <c r="A52" s="4" t="inlineStr">
        <is>
          <t>380</t>
        </is>
      </c>
      <c r="B52" s="4" t="inlineStr">
        <is>
          <t>antelope</t>
        </is>
      </c>
      <c r="C52" s="4" t="inlineStr">
        <is>
          <t>Antelope License: 399-20</t>
        </is>
      </c>
      <c r="D52" s="15" t="inlineStr">
        <is>
          <t>Drawing</t>
        </is>
      </c>
      <c r="E52" s="4" t="inlineStr">
        <is>
          <t>Either-sex Antelope</t>
        </is>
      </c>
      <c r="F52" s="4" t="n"/>
      <c r="G52" s="4" t="inlineStr">
        <is>
          <t>Aug. 15-Nov. 08</t>
        </is>
      </c>
      <c r="H52" s="4" t="n"/>
      <c r="I52" s="4" t="n"/>
      <c r="J52" s="4" t="inlineStr">
        <is>
          <t>June 1</t>
        </is>
      </c>
      <c r="K52" s="4" t="inlineStr">
        <is>
          <t>500</t>
        </is>
      </c>
      <c r="L52" s="4" t="inlineStr">
        <is>
          <t>First and only choice. ArchEquip only.</t>
        </is>
      </c>
    </row>
    <row r="53">
      <c r="A53" s="4" t="inlineStr">
        <is>
          <t>381</t>
        </is>
      </c>
      <c r="B53" s="4" t="inlineStr">
        <is>
          <t>antelope</t>
        </is>
      </c>
      <c r="C53" s="4" t="inlineStr">
        <is>
          <t>Antelope License: 381-20</t>
        </is>
      </c>
      <c r="D53" s="15" t="inlineStr">
        <is>
          <t>Drawing</t>
        </is>
      </c>
      <c r="E53" s="4" t="inlineStr">
        <is>
          <t>Either-sex Antelope</t>
        </is>
      </c>
      <c r="F53" s="4" t="inlineStr">
        <is>
          <t>Sept. 05-Oct. 09</t>
        </is>
      </c>
      <c r="G53" s="4" t="inlineStr">
        <is>
          <t>Oct. 10-Nov. 08</t>
        </is>
      </c>
      <c r="H53" s="4" t="n"/>
      <c r="I53" s="4" t="n"/>
      <c r="J53" s="4" t="inlineStr">
        <is>
          <t>June 1</t>
        </is>
      </c>
      <c r="K53" s="4" t="inlineStr">
        <is>
          <t>15</t>
        </is>
      </c>
      <c r="L53" s="4" t="n"/>
    </row>
    <row r="54">
      <c r="A54" s="4" t="inlineStr">
        <is>
          <t>381</t>
        </is>
      </c>
      <c r="B54" s="4" t="inlineStr">
        <is>
          <t>antelope</t>
        </is>
      </c>
      <c r="C54" s="4" t="inlineStr">
        <is>
          <t>Antelope License: 399-20</t>
        </is>
      </c>
      <c r="D54" s="15" t="inlineStr">
        <is>
          <t>Drawing</t>
        </is>
      </c>
      <c r="E54" s="4" t="inlineStr">
        <is>
          <t>Either-sex Antelope</t>
        </is>
      </c>
      <c r="F54" s="4" t="n"/>
      <c r="G54" s="4" t="inlineStr">
        <is>
          <t>Aug. 15-Nov. 08</t>
        </is>
      </c>
      <c r="H54" s="4" t="n"/>
      <c r="I54" s="4" t="n"/>
      <c r="J54" s="4" t="inlineStr">
        <is>
          <t>June 1</t>
        </is>
      </c>
      <c r="K54" s="4" t="inlineStr">
        <is>
          <t>500</t>
        </is>
      </c>
      <c r="L54" s="4" t="inlineStr">
        <is>
          <t>First and only choice. ArchEquip only.</t>
        </is>
      </c>
    </row>
    <row r="55">
      <c r="A55" s="4" t="inlineStr">
        <is>
          <t>388</t>
        </is>
      </c>
      <c r="B55" s="4" t="inlineStr">
        <is>
          <t>antelope</t>
        </is>
      </c>
      <c r="C55" s="4" t="inlineStr">
        <is>
          <t>Antelope License: 388-20</t>
        </is>
      </c>
      <c r="D55" s="15" t="inlineStr">
        <is>
          <t>Drawing</t>
        </is>
      </c>
      <c r="E55" s="4" t="inlineStr">
        <is>
          <t>Either-sex Antelope</t>
        </is>
      </c>
      <c r="F55" s="4" t="inlineStr">
        <is>
          <t>Sept. 05-Oct. 09</t>
        </is>
      </c>
      <c r="G55" s="4" t="inlineStr">
        <is>
          <t>Oct. 10-Nov. 08</t>
        </is>
      </c>
      <c r="H55" s="4" t="n"/>
      <c r="I55" s="4" t="n"/>
      <c r="J55" s="4" t="inlineStr">
        <is>
          <t>June 1</t>
        </is>
      </c>
      <c r="K55" s="4" t="inlineStr">
        <is>
          <t>15</t>
        </is>
      </c>
      <c r="L55" s="4" t="inlineStr">
        <is>
          <t>Successful antelope Either- sex 388-20 applicants may be ofered the opportunity to purchase one or more doe/fawn 388-31 (Quota: 30, Range 15-100) licenses valid in HD 388 during the same time periods and with the same restrictions. Valid both inside and outside Weapons Restriction Area.</t>
        </is>
      </c>
    </row>
    <row r="56">
      <c r="A56" s="4" t="inlineStr">
        <is>
          <t>388</t>
        </is>
      </c>
      <c r="B56" s="4" t="inlineStr">
        <is>
          <t>antelope</t>
        </is>
      </c>
      <c r="C56" s="4" t="inlineStr">
        <is>
          <t>Antelope License: 399-20</t>
        </is>
      </c>
      <c r="D56" s="15" t="inlineStr">
        <is>
          <t>Drawing</t>
        </is>
      </c>
      <c r="E56" s="4" t="inlineStr">
        <is>
          <t>Either-sex Antelope</t>
        </is>
      </c>
      <c r="F56" s="4" t="n"/>
      <c r="G56" s="4" t="inlineStr">
        <is>
          <t>Aug. 15-Nov. 08</t>
        </is>
      </c>
      <c r="H56" s="4" t="n"/>
      <c r="I56" s="4" t="n"/>
      <c r="J56" s="4" t="inlineStr">
        <is>
          <t>June 1</t>
        </is>
      </c>
      <c r="K56" s="4" t="inlineStr">
        <is>
          <t>500</t>
        </is>
      </c>
      <c r="L56" s="4" t="inlineStr">
        <is>
          <t>First and only choice. ArchEquip only.</t>
        </is>
      </c>
    </row>
    <row r="57">
      <c r="A57" s="4" t="inlineStr">
        <is>
          <t>390</t>
        </is>
      </c>
      <c r="B57" s="4" t="inlineStr">
        <is>
          <t>antelope</t>
        </is>
      </c>
      <c r="C57" s="4" t="inlineStr">
        <is>
          <t>Antelope License: 390-20</t>
        </is>
      </c>
      <c r="D57" s="15" t="inlineStr">
        <is>
          <t>Drawing</t>
        </is>
      </c>
      <c r="E57" s="4" t="inlineStr">
        <is>
          <t>Either-sex Antelope</t>
        </is>
      </c>
      <c r="F57" s="4" t="inlineStr">
        <is>
          <t>Sept. 05-Oct. 09</t>
        </is>
      </c>
      <c r="G57" s="4" t="inlineStr">
        <is>
          <t>Oct. 10-Nov. 08</t>
        </is>
      </c>
      <c r="H57" s="4" t="n"/>
      <c r="I57" s="4" t="n"/>
      <c r="J57" s="4" t="inlineStr">
        <is>
          <t>June 1</t>
        </is>
      </c>
      <c r="K57" s="4" t="inlineStr">
        <is>
          <t>25</t>
        </is>
      </c>
      <c r="L57" s="4" t="n"/>
    </row>
    <row r="58">
      <c r="A58" s="4" t="inlineStr">
        <is>
          <t>390</t>
        </is>
      </c>
      <c r="B58" s="4" t="inlineStr">
        <is>
          <t>antelope</t>
        </is>
      </c>
      <c r="C58" s="4" t="inlineStr">
        <is>
          <t>Antelope B License: 390-30</t>
        </is>
      </c>
      <c r="D58" s="15" t="inlineStr">
        <is>
          <t>Drawing</t>
        </is>
      </c>
      <c r="E58" s="4" t="inlineStr">
        <is>
          <t>Doe/Fawn Antelope</t>
        </is>
      </c>
      <c r="F58" s="4" t="inlineStr">
        <is>
          <t>Sept. 05-Oct. 09</t>
        </is>
      </c>
      <c r="G58" s="4" t="inlineStr">
        <is>
          <t>Oct. 10-Nov. 08</t>
        </is>
      </c>
      <c r="H58" s="4" t="n"/>
      <c r="I58" s="4" t="n"/>
      <c r="J58" s="4" t="inlineStr">
        <is>
          <t>June 1</t>
        </is>
      </c>
      <c r="K58" s="4" t="inlineStr">
        <is>
          <t>50</t>
        </is>
      </c>
      <c r="L58" s="4" t="n"/>
    </row>
    <row r="59">
      <c r="A59" s="4" t="inlineStr">
        <is>
          <t>390</t>
        </is>
      </c>
      <c r="B59" s="4" t="inlineStr">
        <is>
          <t>antelope</t>
        </is>
      </c>
      <c r="C59" s="4" t="inlineStr">
        <is>
          <t>Antelope License: 399-20</t>
        </is>
      </c>
      <c r="D59" s="15" t="inlineStr">
        <is>
          <t>Drawing</t>
        </is>
      </c>
      <c r="E59" s="4" t="inlineStr">
        <is>
          <t>Either-sex Antelope</t>
        </is>
      </c>
      <c r="F59" s="4" t="n"/>
      <c r="G59" s="4" t="inlineStr">
        <is>
          <t>Aug. 15-Nov. 08</t>
        </is>
      </c>
      <c r="H59" s="4" t="n"/>
      <c r="I59" s="4" t="n"/>
      <c r="J59" s="4" t="inlineStr">
        <is>
          <t>June 1</t>
        </is>
      </c>
      <c r="K59" s="4" t="inlineStr">
        <is>
          <t>500</t>
        </is>
      </c>
      <c r="L59" s="4" t="inlineStr">
        <is>
          <t>First and only choice. ArchEquip only. 139 2026 Deer • Elk • Antelope Visit fwp.mt.gov Region</t>
        </is>
      </c>
    </row>
    <row r="60">
      <c r="A60" s="4" t="inlineStr">
        <is>
          <t>401</t>
        </is>
      </c>
      <c r="B60" s="4" t="inlineStr">
        <is>
          <t>antelope</t>
        </is>
      </c>
      <c r="C60" s="4" t="inlineStr">
        <is>
          <t>Antelope License: 401-20</t>
        </is>
      </c>
      <c r="D60" s="15" t="inlineStr">
        <is>
          <t>Drawing</t>
        </is>
      </c>
      <c r="E60" s="4" t="inlineStr">
        <is>
          <t>Either-sex Antelope</t>
        </is>
      </c>
      <c r="F60" s="4" t="inlineStr">
        <is>
          <t>Sept. 05-Oct. 09</t>
        </is>
      </c>
      <c r="G60" s="4" t="inlineStr">
        <is>
          <t>Oct. 10-Nov. 08</t>
        </is>
      </c>
      <c r="H60" s="4" t="n"/>
      <c r="I60" s="4" t="n"/>
      <c r="J60" s="4" t="inlineStr">
        <is>
          <t>June 1</t>
        </is>
      </c>
      <c r="K60" s="4" t="inlineStr">
        <is>
          <t>200</t>
        </is>
      </c>
      <c r="L60" s="4" t="n"/>
    </row>
    <row r="61">
      <c r="A61" s="4" t="inlineStr">
        <is>
          <t>401</t>
        </is>
      </c>
      <c r="B61" s="4" t="inlineStr">
        <is>
          <t>antelope</t>
        </is>
      </c>
      <c r="C61" s="4" t="inlineStr">
        <is>
          <t>Antelope B License: 401-30</t>
        </is>
      </c>
      <c r="D61" s="15" t="inlineStr">
        <is>
          <t>Drawing</t>
        </is>
      </c>
      <c r="E61" s="4" t="inlineStr">
        <is>
          <t>Doe/Fawn Antelope</t>
        </is>
      </c>
      <c r="F61" s="4" t="inlineStr">
        <is>
          <t>Sept. 05-Oct. 09</t>
        </is>
      </c>
      <c r="G61" s="4" t="inlineStr">
        <is>
          <t>Oct. 10-Nov. 08</t>
        </is>
      </c>
      <c r="H61" s="4" t="n"/>
      <c r="I61" s="4" t="n"/>
      <c r="J61" s="4" t="inlineStr">
        <is>
          <t>June 1</t>
        </is>
      </c>
      <c r="K61" s="4" t="inlineStr">
        <is>
          <t>50</t>
        </is>
      </c>
      <c r="L61" s="4" t="n"/>
    </row>
    <row r="62">
      <c r="A62" s="4" t="inlineStr">
        <is>
          <t>401</t>
        </is>
      </c>
      <c r="B62" s="4" t="inlineStr">
        <is>
          <t>antelope</t>
        </is>
      </c>
      <c r="C62" s="4" t="inlineStr">
        <is>
          <t>Antelope License: 900-20</t>
        </is>
      </c>
      <c r="D62" s="15" t="inlineStr">
        <is>
          <t>Drawing</t>
        </is>
      </c>
      <c r="E62" s="4" t="inlineStr">
        <is>
          <t>Either-sex Antelope</t>
        </is>
      </c>
      <c r="F62" s="4" t="n"/>
      <c r="G62" s="4" t="inlineStr">
        <is>
          <t>Aug. 15-Nov. 08</t>
        </is>
      </c>
      <c r="H62" s="4" t="n"/>
      <c r="I62" s="4" t="n"/>
      <c r="J62" s="4" t="inlineStr">
        <is>
          <t>June 1</t>
        </is>
      </c>
      <c r="K62" s="4" t="inlineStr">
        <is>
          <t>5,600</t>
        </is>
      </c>
      <c r="L62" s="4" t="inlineStr">
        <is>
          <t>First and only choice. ArchEquip only.</t>
        </is>
      </c>
    </row>
    <row r="63">
      <c r="A63" s="4" t="inlineStr">
        <is>
          <t>404</t>
        </is>
      </c>
      <c r="B63" s="4" t="inlineStr">
        <is>
          <t>antelope</t>
        </is>
      </c>
      <c r="C63" s="4" t="inlineStr">
        <is>
          <t>Antelope License: 404-20</t>
        </is>
      </c>
      <c r="D63" s="15" t="inlineStr">
        <is>
          <t>Drawing</t>
        </is>
      </c>
      <c r="E63" s="4" t="inlineStr">
        <is>
          <t>Either-sex Antelope</t>
        </is>
      </c>
      <c r="F63" s="4" t="inlineStr">
        <is>
          <t>Sept. 05-Oct. 09</t>
        </is>
      </c>
      <c r="G63" s="4" t="inlineStr">
        <is>
          <t>Oct. 10-Nov. 08</t>
        </is>
      </c>
      <c r="H63" s="4" t="n"/>
      <c r="I63" s="4" t="n"/>
      <c r="J63" s="4" t="inlineStr">
        <is>
          <t>June 1</t>
        </is>
      </c>
      <c r="K63" s="4" t="inlineStr">
        <is>
          <t>200</t>
        </is>
      </c>
      <c r="L63" s="4" t="n"/>
    </row>
    <row r="64">
      <c r="A64" s="4" t="inlineStr">
        <is>
          <t>404</t>
        </is>
      </c>
      <c r="B64" s="4" t="inlineStr">
        <is>
          <t>antelope</t>
        </is>
      </c>
      <c r="C64" s="4" t="inlineStr">
        <is>
          <t>Antelope B License: 404-30</t>
        </is>
      </c>
      <c r="D64" s="15" t="inlineStr">
        <is>
          <t>Drawing</t>
        </is>
      </c>
      <c r="E64" s="4" t="inlineStr">
        <is>
          <t>Doe/Fawn Antelope</t>
        </is>
      </c>
      <c r="F64" s="4" t="inlineStr">
        <is>
          <t>Sept. 05-Oct. 09</t>
        </is>
      </c>
      <c r="G64" s="4" t="inlineStr">
        <is>
          <t>Oct. 10-Nov. 08</t>
        </is>
      </c>
      <c r="H64" s="4" t="n"/>
      <c r="I64" s="4" t="n"/>
      <c r="J64" s="4" t="inlineStr">
        <is>
          <t>June 1</t>
        </is>
      </c>
      <c r="K64" s="4" t="inlineStr">
        <is>
          <t>100</t>
        </is>
      </c>
      <c r="L64" s="4" t="n"/>
    </row>
    <row r="65">
      <c r="A65" s="4" t="inlineStr">
        <is>
          <t>404</t>
        </is>
      </c>
      <c r="B65" s="4" t="inlineStr">
        <is>
          <t>antelope</t>
        </is>
      </c>
      <c r="C65" s="4" t="inlineStr">
        <is>
          <t>Antelope License: 900-20</t>
        </is>
      </c>
      <c r="D65" s="15" t="inlineStr">
        <is>
          <t>Drawing</t>
        </is>
      </c>
      <c r="E65" s="4" t="inlineStr">
        <is>
          <t>Either-sex Antelope</t>
        </is>
      </c>
      <c r="F65" s="4" t="n"/>
      <c r="G65" s="4" t="inlineStr">
        <is>
          <t>Aug. 15-Nov. 08</t>
        </is>
      </c>
      <c r="H65" s="4" t="n"/>
      <c r="I65" s="4" t="n"/>
      <c r="J65" s="4" t="inlineStr">
        <is>
          <t>June 1</t>
        </is>
      </c>
      <c r="K65" s="4" t="inlineStr">
        <is>
          <t>5,600</t>
        </is>
      </c>
      <c r="L65" s="4" t="inlineStr">
        <is>
          <t>First and only choice. ArchEquip only.</t>
        </is>
      </c>
    </row>
    <row r="66">
      <c r="A66" s="4" t="inlineStr">
        <is>
          <t>413</t>
        </is>
      </c>
      <c r="B66" s="4" t="inlineStr">
        <is>
          <t>antelope</t>
        </is>
      </c>
      <c r="C66" s="4" t="inlineStr">
        <is>
          <t>Antelope License: 413-20</t>
        </is>
      </c>
      <c r="D66" s="15" t="inlineStr">
        <is>
          <t>Drawing</t>
        </is>
      </c>
      <c r="E66" s="4" t="inlineStr">
        <is>
          <t>Either-sex Antelope</t>
        </is>
      </c>
      <c r="F66" s="4" t="inlineStr">
        <is>
          <t>Sept. 05-Oct. 09</t>
        </is>
      </c>
      <c r="G66" s="4" t="inlineStr">
        <is>
          <t>Oct. 10-Nov. 08</t>
        </is>
      </c>
      <c r="H66" s="4" t="n"/>
      <c r="I66" s="4" t="n"/>
      <c r="J66" s="4" t="inlineStr">
        <is>
          <t>June 1</t>
        </is>
      </c>
      <c r="K66" s="4" t="inlineStr">
        <is>
          <t>50</t>
        </is>
      </c>
      <c r="L66" s="4" t="n"/>
    </row>
    <row r="67">
      <c r="A67" s="4" t="inlineStr">
        <is>
          <t>413</t>
        </is>
      </c>
      <c r="B67" s="4" t="inlineStr">
        <is>
          <t>antelope</t>
        </is>
      </c>
      <c r="C67" s="4" t="inlineStr">
        <is>
          <t>Antelope B License: 413-30</t>
        </is>
      </c>
      <c r="D67" s="15" t="inlineStr">
        <is>
          <t>Drawing</t>
        </is>
      </c>
      <c r="E67" s="4" t="inlineStr">
        <is>
          <t>Doe/Fawn Antelope</t>
        </is>
      </c>
      <c r="F67" s="4" t="inlineStr">
        <is>
          <t>Sept. 05-Oct. 09</t>
        </is>
      </c>
      <c r="G67" s="4" t="inlineStr">
        <is>
          <t>Oct. 10-Nov. 08</t>
        </is>
      </c>
      <c r="H67" s="4" t="n"/>
      <c r="I67" s="4" t="n"/>
      <c r="J67" s="4" t="inlineStr">
        <is>
          <t>June 1</t>
        </is>
      </c>
      <c r="K67" s="4" t="inlineStr">
        <is>
          <t>50</t>
        </is>
      </c>
      <c r="L67" s="4" t="n"/>
    </row>
    <row r="68">
      <c r="A68" s="4" t="inlineStr">
        <is>
          <t>413</t>
        </is>
      </c>
      <c r="B68" s="4" t="inlineStr">
        <is>
          <t>antelope</t>
        </is>
      </c>
      <c r="C68" s="4" t="inlineStr">
        <is>
          <t>Antelope License: 900-20</t>
        </is>
      </c>
      <c r="D68" s="15" t="inlineStr">
        <is>
          <t>Drawing</t>
        </is>
      </c>
      <c r="E68" s="4" t="inlineStr">
        <is>
          <t>Either-sex Antelope</t>
        </is>
      </c>
      <c r="F68" s="4" t="n"/>
      <c r="G68" s="4" t="inlineStr">
        <is>
          <t>Aug. 15-Nov. 08</t>
        </is>
      </c>
      <c r="H68" s="4" t="n"/>
      <c r="I68" s="4" t="n"/>
      <c r="J68" s="4" t="inlineStr">
        <is>
          <t>June 1</t>
        </is>
      </c>
      <c r="K68" s="4" t="inlineStr">
        <is>
          <t>5,600</t>
        </is>
      </c>
      <c r="L68" s="4" t="inlineStr">
        <is>
          <t>First and only choice. ArchEquip only.</t>
        </is>
      </c>
    </row>
    <row r="69">
      <c r="A69" s="4" t="inlineStr">
        <is>
          <t>420</t>
        </is>
      </c>
      <c r="B69" s="4" t="inlineStr">
        <is>
          <t>antelope</t>
        </is>
      </c>
      <c r="C69" s="4" t="inlineStr">
        <is>
          <t>Antelope License: 420-20</t>
        </is>
      </c>
      <c r="D69" s="15" t="inlineStr">
        <is>
          <t>Drawing</t>
        </is>
      </c>
      <c r="E69" s="4" t="inlineStr">
        <is>
          <t>Either-sex Antelope</t>
        </is>
      </c>
      <c r="F69" s="4" t="inlineStr">
        <is>
          <t>Sept. 05-Oct. 09</t>
        </is>
      </c>
      <c r="G69" s="4" t="inlineStr">
        <is>
          <t>Oct. 10-Nov. 08</t>
        </is>
      </c>
      <c r="H69" s="4" t="n"/>
      <c r="I69" s="4" t="n"/>
      <c r="J69" s="4" t="inlineStr">
        <is>
          <t>June 1</t>
        </is>
      </c>
      <c r="K69" s="4" t="inlineStr">
        <is>
          <t>75</t>
        </is>
      </c>
      <c r="L69" s="4" t="n"/>
    </row>
    <row r="70">
      <c r="A70" s="4" t="inlineStr">
        <is>
          <t>420</t>
        </is>
      </c>
      <c r="B70" s="4" t="inlineStr">
        <is>
          <t>antelope</t>
        </is>
      </c>
      <c r="C70" s="4" t="inlineStr">
        <is>
          <t>Antelope B License: 420-30</t>
        </is>
      </c>
      <c r="D70" s="15" t="inlineStr">
        <is>
          <t>Drawing</t>
        </is>
      </c>
      <c r="E70" s="4" t="inlineStr">
        <is>
          <t>Doe/Fawn Antelope</t>
        </is>
      </c>
      <c r="F70" s="4" t="inlineStr">
        <is>
          <t>Sept. 05-Oct. 09</t>
        </is>
      </c>
      <c r="G70" s="4" t="inlineStr">
        <is>
          <t>Oct. 10-Nov. 08</t>
        </is>
      </c>
      <c r="H70" s="4" t="n"/>
      <c r="I70" s="4" t="n"/>
      <c r="J70" s="4" t="inlineStr">
        <is>
          <t>June 1</t>
        </is>
      </c>
      <c r="K70" s="4" t="inlineStr">
        <is>
          <t>25</t>
        </is>
      </c>
      <c r="L70" s="4" t="n"/>
    </row>
    <row r="71">
      <c r="A71" s="4" t="inlineStr">
        <is>
          <t>420</t>
        </is>
      </c>
      <c r="B71" s="4" t="inlineStr">
        <is>
          <t>antelope</t>
        </is>
      </c>
      <c r="C71" s="4" t="inlineStr">
        <is>
          <t>Antelope License: 900-20</t>
        </is>
      </c>
      <c r="D71" s="15" t="inlineStr">
        <is>
          <t>Drawing</t>
        </is>
      </c>
      <c r="E71" s="4" t="inlineStr">
        <is>
          <t>Either-sex Antelope</t>
        </is>
      </c>
      <c r="F71" s="4" t="n"/>
      <c r="G71" s="4" t="inlineStr">
        <is>
          <t>Aug. 15-Nov. 08</t>
        </is>
      </c>
      <c r="H71" s="4" t="n"/>
      <c r="I71" s="4" t="n"/>
      <c r="J71" s="4" t="inlineStr">
        <is>
          <t>June 1</t>
        </is>
      </c>
      <c r="K71" s="4" t="inlineStr">
        <is>
          <t>5,600</t>
        </is>
      </c>
      <c r="L71" s="4" t="inlineStr">
        <is>
          <t>First and only choice. ArchEquip only.</t>
        </is>
      </c>
    </row>
    <row r="72">
      <c r="A72" s="4" t="inlineStr">
        <is>
          <t>430</t>
        </is>
      </c>
      <c r="B72" s="4" t="inlineStr">
        <is>
          <t>antelope</t>
        </is>
      </c>
      <c r="C72" s="4" t="inlineStr">
        <is>
          <t>Antelope License: 430-20</t>
        </is>
      </c>
      <c r="D72" s="15" t="inlineStr">
        <is>
          <t>Drawing</t>
        </is>
      </c>
      <c r="E72" s="4" t="inlineStr">
        <is>
          <t>Either-sex Antelope</t>
        </is>
      </c>
      <c r="F72" s="4" t="inlineStr">
        <is>
          <t>Sept. 05-Oct. 09</t>
        </is>
      </c>
      <c r="G72" s="4" t="inlineStr">
        <is>
          <t>Oct. 10-Nov. 08</t>
        </is>
      </c>
      <c r="H72" s="4" t="n"/>
      <c r="I72" s="4" t="n"/>
      <c r="J72" s="4" t="inlineStr">
        <is>
          <t>June 1</t>
        </is>
      </c>
      <c r="K72" s="4" t="inlineStr">
        <is>
          <t>150</t>
        </is>
      </c>
      <c r="L72" s="4" t="n"/>
    </row>
    <row r="73">
      <c r="A73" s="4" t="inlineStr">
        <is>
          <t>430</t>
        </is>
      </c>
      <c r="B73" s="4" t="inlineStr">
        <is>
          <t>antelope</t>
        </is>
      </c>
      <c r="C73" s="4" t="inlineStr">
        <is>
          <t>Antelope B License: 430-30</t>
        </is>
      </c>
      <c r="D73" s="15" t="inlineStr">
        <is>
          <t>Drawing</t>
        </is>
      </c>
      <c r="E73" s="4" t="inlineStr">
        <is>
          <t>Doe/Fawn Antelope</t>
        </is>
      </c>
      <c r="F73" s="4" t="inlineStr">
        <is>
          <t>Sept. 05-Oct. 09</t>
        </is>
      </c>
      <c r="G73" s="4" t="inlineStr">
        <is>
          <t>Oct. 10-Nov. 08</t>
        </is>
      </c>
      <c r="H73" s="4" t="n"/>
      <c r="I73" s="4" t="n"/>
      <c r="J73" s="4" t="inlineStr">
        <is>
          <t>June 1</t>
        </is>
      </c>
      <c r="K73" s="4" t="inlineStr">
        <is>
          <t>100</t>
        </is>
      </c>
      <c r="L73" s="4" t="n"/>
    </row>
    <row r="74">
      <c r="A74" s="4" t="inlineStr">
        <is>
          <t>430</t>
        </is>
      </c>
      <c r="B74" s="4" t="inlineStr">
        <is>
          <t>antelope</t>
        </is>
      </c>
      <c r="C74" s="4" t="inlineStr">
        <is>
          <t>Antelope License: 900-20</t>
        </is>
      </c>
      <c r="D74" s="15" t="inlineStr">
        <is>
          <t>Drawing</t>
        </is>
      </c>
      <c r="E74" s="4" t="inlineStr">
        <is>
          <t>Either-sex Antelope</t>
        </is>
      </c>
      <c r="F74" s="4" t="n"/>
      <c r="G74" s="4" t="inlineStr">
        <is>
          <t>Aug. 15-Nov. 08</t>
        </is>
      </c>
      <c r="H74" s="4" t="n"/>
      <c r="I74" s="4" t="n"/>
      <c r="J74" s="4" t="inlineStr">
        <is>
          <t>June 1</t>
        </is>
      </c>
      <c r="K74" s="4" t="inlineStr">
        <is>
          <t>5,600</t>
        </is>
      </c>
      <c r="L74" s="4" t="inlineStr">
        <is>
          <t>First and only choice. ArchEquip only.</t>
        </is>
      </c>
    </row>
    <row r="75">
      <c r="A75" s="4" t="inlineStr">
        <is>
          <t>440</t>
        </is>
      </c>
      <c r="B75" s="4" t="inlineStr">
        <is>
          <t>antelope</t>
        </is>
      </c>
      <c r="C75" s="4" t="inlineStr">
        <is>
          <t>Antelope License: 440-20</t>
        </is>
      </c>
      <c r="D75" s="15" t="inlineStr">
        <is>
          <t>Drawing</t>
        </is>
      </c>
      <c r="E75" s="4" t="inlineStr">
        <is>
          <t>Either-sex Antelope</t>
        </is>
      </c>
      <c r="F75" s="4" t="inlineStr">
        <is>
          <t>Sept. 05-Oct. 09</t>
        </is>
      </c>
      <c r="G75" s="4" t="inlineStr">
        <is>
          <t>Oct. 10-Nov. 08</t>
        </is>
      </c>
      <c r="H75" s="4" t="n"/>
      <c r="I75" s="4" t="n"/>
      <c r="J75" s="4" t="inlineStr">
        <is>
          <t>June 1</t>
        </is>
      </c>
      <c r="K75" s="4" t="inlineStr">
        <is>
          <t>125</t>
        </is>
      </c>
      <c r="L75" s="4" t="n"/>
    </row>
    <row r="76">
      <c r="A76" s="4" t="inlineStr">
        <is>
          <t>440</t>
        </is>
      </c>
      <c r="B76" s="4" t="inlineStr">
        <is>
          <t>antelope</t>
        </is>
      </c>
      <c r="C76" s="4" t="inlineStr">
        <is>
          <t>Antelope B License: 440-30</t>
        </is>
      </c>
      <c r="D76" s="15" t="inlineStr">
        <is>
          <t>Drawing</t>
        </is>
      </c>
      <c r="E76" s="4" t="inlineStr">
        <is>
          <t>Doe/Fawn Antelope</t>
        </is>
      </c>
      <c r="F76" s="4" t="inlineStr">
        <is>
          <t>Sept. 05-Oct. 09</t>
        </is>
      </c>
      <c r="G76" s="4" t="inlineStr">
        <is>
          <t>Oct. 10-Nov. 08</t>
        </is>
      </c>
      <c r="H76" s="4" t="n"/>
      <c r="I76" s="4" t="n"/>
      <c r="J76" s="4" t="inlineStr">
        <is>
          <t>June 1</t>
        </is>
      </c>
      <c r="K76" s="4" t="inlineStr">
        <is>
          <t>100</t>
        </is>
      </c>
      <c r="L76" s="4" t="n"/>
    </row>
    <row r="77">
      <c r="A77" s="4" t="inlineStr">
        <is>
          <t>440</t>
        </is>
      </c>
      <c r="B77" s="4" t="inlineStr">
        <is>
          <t>antelope</t>
        </is>
      </c>
      <c r="C77" s="4" t="inlineStr">
        <is>
          <t>Antelope License: 900-20</t>
        </is>
      </c>
      <c r="D77" s="15" t="inlineStr">
        <is>
          <t>Drawing</t>
        </is>
      </c>
      <c r="E77" s="4" t="inlineStr">
        <is>
          <t>Either-sex Antelope</t>
        </is>
      </c>
      <c r="F77" s="4" t="n"/>
      <c r="G77" s="4" t="inlineStr">
        <is>
          <t>Aug. 15-Nov. 08</t>
        </is>
      </c>
      <c r="H77" s="4" t="n"/>
      <c r="I77" s="4" t="n"/>
      <c r="J77" s="4" t="inlineStr">
        <is>
          <t>June 1</t>
        </is>
      </c>
      <c r="K77" s="4" t="inlineStr">
        <is>
          <t>5,600</t>
        </is>
      </c>
      <c r="L77" s="4" t="inlineStr">
        <is>
          <t>First and only choice. ArchEquip only.</t>
        </is>
      </c>
    </row>
    <row r="78">
      <c r="A78" s="4" t="inlineStr">
        <is>
          <t>441</t>
        </is>
      </c>
      <c r="B78" s="4" t="inlineStr">
        <is>
          <t>antelope</t>
        </is>
      </c>
      <c r="C78" s="4" t="inlineStr">
        <is>
          <t>Antelope License: 441-20</t>
        </is>
      </c>
      <c r="D78" s="15" t="inlineStr">
        <is>
          <t>Drawing</t>
        </is>
      </c>
      <c r="E78" s="4" t="inlineStr">
        <is>
          <t>Either-sex Antelope</t>
        </is>
      </c>
      <c r="F78" s="4" t="inlineStr">
        <is>
          <t>Sept. 05-Oct. 09</t>
        </is>
      </c>
      <c r="G78" s="4" t="inlineStr">
        <is>
          <t>Oct. 10-Nov. 08</t>
        </is>
      </c>
      <c r="H78" s="4" t="n"/>
      <c r="I78" s="4" t="n"/>
      <c r="J78" s="4" t="inlineStr">
        <is>
          <t>June 1</t>
        </is>
      </c>
      <c r="K78" s="4" t="inlineStr">
        <is>
          <t>20</t>
        </is>
      </c>
      <c r="L78" s="4" t="n"/>
    </row>
    <row r="79">
      <c r="A79" s="4" t="inlineStr">
        <is>
          <t>441</t>
        </is>
      </c>
      <c r="B79" s="4" t="inlineStr">
        <is>
          <t>antelope</t>
        </is>
      </c>
      <c r="C79" s="4" t="inlineStr">
        <is>
          <t>Antelope License: 900-20</t>
        </is>
      </c>
      <c r="D79" s="15" t="inlineStr">
        <is>
          <t>Drawing</t>
        </is>
      </c>
      <c r="E79" s="4" t="inlineStr">
        <is>
          <t>Either-sex Antelope</t>
        </is>
      </c>
      <c r="F79" s="4" t="n"/>
      <c r="G79" s="4" t="inlineStr">
        <is>
          <t>Aug. 15-Nov. 08</t>
        </is>
      </c>
      <c r="H79" s="4" t="n"/>
      <c r="I79" s="4" t="n"/>
      <c r="J79" s="4" t="inlineStr">
        <is>
          <t>June 1</t>
        </is>
      </c>
      <c r="K79" s="4" t="inlineStr">
        <is>
          <t>5,600</t>
        </is>
      </c>
      <c r="L79" s="4" t="inlineStr">
        <is>
          <t>First and only choice. ArchEquip only.</t>
        </is>
      </c>
    </row>
    <row r="80">
      <c r="A80" s="4" t="inlineStr">
        <is>
          <t>444</t>
        </is>
      </c>
      <c r="B80" s="4" t="inlineStr">
        <is>
          <t>antelope</t>
        </is>
      </c>
      <c r="C80" s="4" t="inlineStr">
        <is>
          <t>Antelope License: 444-20</t>
        </is>
      </c>
      <c r="D80" s="15" t="inlineStr">
        <is>
          <t>Drawing</t>
        </is>
      </c>
      <c r="E80" s="4" t="inlineStr">
        <is>
          <t>Either-sex Antelope</t>
        </is>
      </c>
      <c r="F80" s="4" t="inlineStr">
        <is>
          <t>Sept. 05-Oct. 09</t>
        </is>
      </c>
      <c r="G80" s="4" t="inlineStr">
        <is>
          <t>Oct. 10-Nov. 08</t>
        </is>
      </c>
      <c r="H80" s="4" t="n"/>
      <c r="I80" s="4" t="n"/>
      <c r="J80" s="4" t="inlineStr">
        <is>
          <t>June 1</t>
        </is>
      </c>
      <c r="K80" s="4" t="inlineStr">
        <is>
          <t>100</t>
        </is>
      </c>
      <c r="L80" s="4" t="n"/>
    </row>
    <row r="81">
      <c r="A81" s="4" t="inlineStr">
        <is>
          <t>444</t>
        </is>
      </c>
      <c r="B81" s="4" t="inlineStr">
        <is>
          <t>antelope</t>
        </is>
      </c>
      <c r="C81" s="4" t="inlineStr">
        <is>
          <t>Antelope B License: 444-30</t>
        </is>
      </c>
      <c r="D81" s="15" t="inlineStr">
        <is>
          <t>Drawing</t>
        </is>
      </c>
      <c r="E81" s="4" t="inlineStr">
        <is>
          <t>Doe/Fawn Antelope</t>
        </is>
      </c>
      <c r="F81" s="4" t="inlineStr">
        <is>
          <t>Sept. 05-Oct. 09</t>
        </is>
      </c>
      <c r="G81" s="4" t="inlineStr">
        <is>
          <t>Oct. 10-Nov. 08</t>
        </is>
      </c>
      <c r="H81" s="4" t="n"/>
      <c r="I81" s="4" t="n"/>
      <c r="J81" s="4" t="inlineStr">
        <is>
          <t>June 1</t>
        </is>
      </c>
      <c r="K81" s="4" t="inlineStr">
        <is>
          <t>50</t>
        </is>
      </c>
      <c r="L81" s="4" t="n"/>
    </row>
    <row r="82">
      <c r="A82" s="4" t="inlineStr">
        <is>
          <t>444</t>
        </is>
      </c>
      <c r="B82" s="4" t="inlineStr">
        <is>
          <t>antelope</t>
        </is>
      </c>
      <c r="C82" s="4" t="inlineStr">
        <is>
          <t>Antelope License: 900-20</t>
        </is>
      </c>
      <c r="D82" s="15" t="inlineStr">
        <is>
          <t>Drawing</t>
        </is>
      </c>
      <c r="E82" s="4" t="inlineStr">
        <is>
          <t>Either-sex Antelope</t>
        </is>
      </c>
      <c r="F82" s="4" t="n"/>
      <c r="G82" s="4" t="inlineStr">
        <is>
          <t>Aug. 15-Nov. 08</t>
        </is>
      </c>
      <c r="H82" s="4" t="n"/>
      <c r="I82" s="4" t="n"/>
      <c r="J82" s="4" t="inlineStr">
        <is>
          <t>June 1</t>
        </is>
      </c>
      <c r="K82" s="4" t="inlineStr">
        <is>
          <t>5,600</t>
        </is>
      </c>
      <c r="L82" s="4" t="inlineStr">
        <is>
          <t>First and only choice. ArchEquip only.</t>
        </is>
      </c>
    </row>
    <row r="83">
      <c r="A83" s="4" t="inlineStr">
        <is>
          <t>450</t>
        </is>
      </c>
      <c r="B83" s="4" t="inlineStr">
        <is>
          <t>antelope</t>
        </is>
      </c>
      <c r="C83" s="4" t="inlineStr">
        <is>
          <t>Antelope License: 450-20</t>
        </is>
      </c>
      <c r="D83" s="15" t="inlineStr">
        <is>
          <t>Drawing</t>
        </is>
      </c>
      <c r="E83" s="4" t="inlineStr">
        <is>
          <t>Either-sex Antelope</t>
        </is>
      </c>
      <c r="F83" s="4" t="inlineStr">
        <is>
          <t>Sept. 05-Oct. 09</t>
        </is>
      </c>
      <c r="G83" s="4" t="inlineStr">
        <is>
          <t>Oct. 10-Nov. 08</t>
        </is>
      </c>
      <c r="H83" s="4" t="n"/>
      <c r="I83" s="4" t="n"/>
      <c r="J83" s="4" t="inlineStr">
        <is>
          <t>June 1</t>
        </is>
      </c>
      <c r="K83" s="4" t="inlineStr">
        <is>
          <t>75</t>
        </is>
      </c>
      <c r="L83" s="4" t="n"/>
    </row>
    <row r="84">
      <c r="A84" s="4" t="inlineStr">
        <is>
          <t>450</t>
        </is>
      </c>
      <c r="B84" s="4" t="inlineStr">
        <is>
          <t>antelope</t>
        </is>
      </c>
      <c r="C84" s="4" t="inlineStr">
        <is>
          <t>Antelope B License: 450-30</t>
        </is>
      </c>
      <c r="D84" s="15" t="inlineStr">
        <is>
          <t>Drawing</t>
        </is>
      </c>
      <c r="E84" s="4" t="inlineStr">
        <is>
          <t>Doe/Fawn Antelope</t>
        </is>
      </c>
      <c r="F84" s="4" t="inlineStr">
        <is>
          <t>Sept. 05-Oct. 09</t>
        </is>
      </c>
      <c r="G84" s="4" t="inlineStr">
        <is>
          <t>Oct. 10-Nov. 08</t>
        </is>
      </c>
      <c r="H84" s="4" t="n"/>
      <c r="I84" s="4" t="n"/>
      <c r="J84" s="4" t="inlineStr">
        <is>
          <t>June 1</t>
        </is>
      </c>
      <c r="K84" s="4" t="inlineStr">
        <is>
          <t>75</t>
        </is>
      </c>
      <c r="L84" s="4" t="n"/>
    </row>
    <row r="85">
      <c r="A85" s="4" t="inlineStr">
        <is>
          <t>450</t>
        </is>
      </c>
      <c r="B85" s="4" t="inlineStr">
        <is>
          <t>antelope</t>
        </is>
      </c>
      <c r="C85" s="4" t="inlineStr">
        <is>
          <t>Antelope License: 900-20</t>
        </is>
      </c>
      <c r="D85" s="15" t="inlineStr">
        <is>
          <t>Drawing</t>
        </is>
      </c>
      <c r="E85" s="4" t="inlineStr">
        <is>
          <t>Either-sex Antelope</t>
        </is>
      </c>
      <c r="F85" s="4" t="n"/>
      <c r="G85" s="4" t="inlineStr">
        <is>
          <t>Aug. 15-Nov. 08</t>
        </is>
      </c>
      <c r="H85" s="4" t="n"/>
      <c r="I85" s="4" t="n"/>
      <c r="J85" s="4" t="inlineStr">
        <is>
          <t>June 1</t>
        </is>
      </c>
      <c r="K85" s="4" t="inlineStr">
        <is>
          <t>5,600</t>
        </is>
      </c>
      <c r="L85" s="4" t="inlineStr">
        <is>
          <t>First and only choice. ArchEquip only. 140 License Opportunity Apply by Date Quota Quota Range Archery Season Dates Season Dates Opportunity Specifc Information/Restrictions</t>
        </is>
      </c>
    </row>
    <row r="86">
      <c r="A86" s="4" t="inlineStr">
        <is>
          <t>455</t>
        </is>
      </c>
      <c r="B86" s="4" t="inlineStr">
        <is>
          <t>antelope</t>
        </is>
      </c>
      <c r="C86" s="4" t="inlineStr">
        <is>
          <t>Antelope License: 455-20</t>
        </is>
      </c>
      <c r="D86" s="15" t="inlineStr">
        <is>
          <t>Drawing</t>
        </is>
      </c>
      <c r="E86" s="4" t="inlineStr">
        <is>
          <t>Either-sex Antelope</t>
        </is>
      </c>
      <c r="F86" s="4" t="inlineStr">
        <is>
          <t>Sept. 05-Oct. 09</t>
        </is>
      </c>
      <c r="G86" s="4" t="inlineStr">
        <is>
          <t>Oct. 10-Nov. 08</t>
        </is>
      </c>
      <c r="H86" s="4" t="n"/>
      <c r="I86" s="4" t="n"/>
      <c r="J86" s="4" t="inlineStr">
        <is>
          <t>June 1</t>
        </is>
      </c>
      <c r="K86" s="4" t="inlineStr">
        <is>
          <t>2</t>
        </is>
      </c>
      <c r="L86" s="4" t="n"/>
    </row>
    <row r="87">
      <c r="A87" s="4" t="inlineStr">
        <is>
          <t>455</t>
        </is>
      </c>
      <c r="B87" s="4" t="inlineStr">
        <is>
          <t>antelope</t>
        </is>
      </c>
      <c r="C87" s="4" t="inlineStr">
        <is>
          <t>Antelope License: 900-20</t>
        </is>
      </c>
      <c r="D87" s="15" t="inlineStr">
        <is>
          <t>Drawing</t>
        </is>
      </c>
      <c r="E87" s="4" t="inlineStr">
        <is>
          <t>Either-sex Antelope</t>
        </is>
      </c>
      <c r="F87" s="4" t="n"/>
      <c r="G87" s="4" t="inlineStr">
        <is>
          <t>Aug. 15-Nov. 08</t>
        </is>
      </c>
      <c r="H87" s="4" t="n"/>
      <c r="I87" s="4" t="n"/>
      <c r="J87" s="4" t="inlineStr">
        <is>
          <t>June 1</t>
        </is>
      </c>
      <c r="K87" s="4" t="inlineStr">
        <is>
          <t>5,600</t>
        </is>
      </c>
      <c r="L87" s="4" t="inlineStr">
        <is>
          <t>First and only choice. ArchEquip only.</t>
        </is>
      </c>
    </row>
    <row r="88">
      <c r="A88" s="4" t="inlineStr">
        <is>
          <t>471</t>
        </is>
      </c>
      <c r="B88" s="4" t="inlineStr">
        <is>
          <t>antelope</t>
        </is>
      </c>
      <c r="C88" s="4" t="inlineStr">
        <is>
          <t>Antelope License: 471-20</t>
        </is>
      </c>
      <c r="D88" s="15" t="inlineStr">
        <is>
          <t>Drawing</t>
        </is>
      </c>
      <c r="E88" s="4" t="inlineStr">
        <is>
          <t>Either-sex Antelope</t>
        </is>
      </c>
      <c r="F88" s="4" t="inlineStr">
        <is>
          <t>Sept. 05-Oct. 09</t>
        </is>
      </c>
      <c r="G88" s="4" t="inlineStr">
        <is>
          <t>Oct. 10-Nov. 08</t>
        </is>
      </c>
      <c r="H88" s="4" t="n"/>
      <c r="I88" s="4" t="n"/>
      <c r="J88" s="4" t="inlineStr">
        <is>
          <t>June 1</t>
        </is>
      </c>
      <c r="K88" s="4" t="inlineStr">
        <is>
          <t>350</t>
        </is>
      </c>
      <c r="L88" s="4" t="n"/>
    </row>
    <row r="89">
      <c r="A89" s="4" t="inlineStr">
        <is>
          <t>471</t>
        </is>
      </c>
      <c r="B89" s="4" t="inlineStr">
        <is>
          <t>antelope</t>
        </is>
      </c>
      <c r="C89" s="4" t="inlineStr">
        <is>
          <t>Antelope B License: 471-30</t>
        </is>
      </c>
      <c r="D89" s="15" t="inlineStr">
        <is>
          <t>Drawing</t>
        </is>
      </c>
      <c r="E89" s="4" t="inlineStr">
        <is>
          <t>Doe/Fawn Antelope</t>
        </is>
      </c>
      <c r="F89" s="4" t="inlineStr">
        <is>
          <t>Sept. 05-Oct. 09</t>
        </is>
      </c>
      <c r="G89" s="4" t="inlineStr">
        <is>
          <t>Oct. 10-Nov. 08</t>
        </is>
      </c>
      <c r="H89" s="4" t="n"/>
      <c r="I89" s="4" t="n"/>
      <c r="J89" s="4" t="inlineStr">
        <is>
          <t>June 1</t>
        </is>
      </c>
      <c r="K89" s="4" t="inlineStr">
        <is>
          <t>450</t>
        </is>
      </c>
      <c r="L89" s="4" t="n"/>
    </row>
    <row r="90">
      <c r="A90" s="4" t="inlineStr">
        <is>
          <t>471</t>
        </is>
      </c>
      <c r="B90" s="4" t="inlineStr">
        <is>
          <t>antelope</t>
        </is>
      </c>
      <c r="C90" s="4" t="inlineStr">
        <is>
          <t>Antelope License: 900-20</t>
        </is>
      </c>
      <c r="D90" s="15" t="inlineStr">
        <is>
          <t>Drawing</t>
        </is>
      </c>
      <c r="E90" s="4" t="inlineStr">
        <is>
          <t>Either-sex Antelope</t>
        </is>
      </c>
      <c r="F90" s="4" t="n"/>
      <c r="G90" s="4" t="inlineStr">
        <is>
          <t>Aug. 15-Nov. 08</t>
        </is>
      </c>
      <c r="H90" s="4" t="n"/>
      <c r="I90" s="4" t="n"/>
      <c r="J90" s="4" t="inlineStr">
        <is>
          <t>June 1</t>
        </is>
      </c>
      <c r="K90" s="4" t="inlineStr">
        <is>
          <t>5,600</t>
        </is>
      </c>
      <c r="L90" s="4" t="inlineStr">
        <is>
          <t>First and only choice. ArchEquip only.</t>
        </is>
      </c>
    </row>
    <row r="91">
      <c r="A91" s="4" t="inlineStr">
        <is>
          <t>480</t>
        </is>
      </c>
      <c r="B91" s="4" t="inlineStr">
        <is>
          <t>antelope</t>
        </is>
      </c>
      <c r="C91" s="4" t="inlineStr">
        <is>
          <t>Antelope License: 480-20</t>
        </is>
      </c>
      <c r="D91" s="15" t="inlineStr">
        <is>
          <t>Drawing</t>
        </is>
      </c>
      <c r="E91" s="4" t="inlineStr">
        <is>
          <t>Either-sex Antelope</t>
        </is>
      </c>
      <c r="F91" s="4" t="inlineStr">
        <is>
          <t>Sept. 05-Oct. 09</t>
        </is>
      </c>
      <c r="G91" s="4" t="inlineStr">
        <is>
          <t>Oct. 10-Nov. 08</t>
        </is>
      </c>
      <c r="H91" s="4" t="n"/>
      <c r="I91" s="4" t="n"/>
      <c r="J91" s="4" t="inlineStr">
        <is>
          <t>June 1</t>
        </is>
      </c>
      <c r="K91" s="4" t="inlineStr">
        <is>
          <t>100</t>
        </is>
      </c>
      <c r="L91" s="4" t="n"/>
    </row>
    <row r="92">
      <c r="A92" s="4" t="inlineStr">
        <is>
          <t>480</t>
        </is>
      </c>
      <c r="B92" s="4" t="inlineStr">
        <is>
          <t>antelope</t>
        </is>
      </c>
      <c r="C92" s="4" t="inlineStr">
        <is>
          <t>Antelope B License: 480-30</t>
        </is>
      </c>
      <c r="D92" s="15" t="inlineStr">
        <is>
          <t>Drawing</t>
        </is>
      </c>
      <c r="E92" s="4" t="inlineStr">
        <is>
          <t>Doe/Fawn Antelope</t>
        </is>
      </c>
      <c r="F92" s="4" t="inlineStr">
        <is>
          <t>Sept. 05-Oct. 09</t>
        </is>
      </c>
      <c r="G92" s="4" t="inlineStr">
        <is>
          <t>Oct. 10-Nov. 08</t>
        </is>
      </c>
      <c r="H92" s="4" t="n"/>
      <c r="I92" s="4" t="n"/>
      <c r="J92" s="4" t="inlineStr">
        <is>
          <t>June 1</t>
        </is>
      </c>
      <c r="K92" s="4" t="inlineStr">
        <is>
          <t>100</t>
        </is>
      </c>
      <c r="L92" s="4" t="n"/>
    </row>
    <row r="93">
      <c r="A93" s="4" t="inlineStr">
        <is>
          <t>480</t>
        </is>
      </c>
      <c r="B93" s="4" t="inlineStr">
        <is>
          <t>antelope</t>
        </is>
      </c>
      <c r="C93" s="4" t="inlineStr">
        <is>
          <t>Antelope License: 900-20</t>
        </is>
      </c>
      <c r="D93" s="15" t="inlineStr">
        <is>
          <t>Drawing</t>
        </is>
      </c>
      <c r="E93" s="4" t="inlineStr">
        <is>
          <t>Either-sex Antelope</t>
        </is>
      </c>
      <c r="F93" s="4" t="n"/>
      <c r="G93" s="4" t="inlineStr">
        <is>
          <t>Aug. 15-Nov. 08</t>
        </is>
      </c>
      <c r="H93" s="4" t="n"/>
      <c r="I93" s="4" t="n"/>
      <c r="J93" s="4" t="inlineStr">
        <is>
          <t>June 1</t>
        </is>
      </c>
      <c r="K93" s="4" t="inlineStr">
        <is>
          <t>5,600</t>
        </is>
      </c>
      <c r="L93" s="4" t="inlineStr">
        <is>
          <t>First and only choice. ArchEquip only.</t>
        </is>
      </c>
    </row>
    <row r="94">
      <c r="A94" s="4" t="inlineStr">
        <is>
          <t>481</t>
        </is>
      </c>
      <c r="B94" s="4" t="inlineStr">
        <is>
          <t>antelope</t>
        </is>
      </c>
      <c r="C94" s="4" t="inlineStr">
        <is>
          <t>Antelope License: 481-20</t>
        </is>
      </c>
      <c r="D94" s="15" t="inlineStr">
        <is>
          <t>Drawing</t>
        </is>
      </c>
      <c r="E94" s="4" t="inlineStr">
        <is>
          <t>Either-sex Antelope</t>
        </is>
      </c>
      <c r="F94" s="4" t="inlineStr">
        <is>
          <t>Sept. 05-Oct. 09</t>
        </is>
      </c>
      <c r="G94" s="4" t="inlineStr">
        <is>
          <t>Oct. 10-Nov. 08</t>
        </is>
      </c>
      <c r="H94" s="4" t="n"/>
      <c r="I94" s="4" t="n"/>
      <c r="J94" s="4" t="inlineStr">
        <is>
          <t>June 1</t>
        </is>
      </c>
      <c r="K94" s="4" t="inlineStr">
        <is>
          <t>150</t>
        </is>
      </c>
      <c r="L94" s="4" t="n"/>
    </row>
    <row r="95">
      <c r="A95" s="4" t="inlineStr">
        <is>
          <t>481</t>
        </is>
      </c>
      <c r="B95" s="4" t="inlineStr">
        <is>
          <t>antelope</t>
        </is>
      </c>
      <c r="C95" s="4" t="inlineStr">
        <is>
          <t>Antelope B License: 481-30</t>
        </is>
      </c>
      <c r="D95" s="15" t="inlineStr">
        <is>
          <t>Drawing</t>
        </is>
      </c>
      <c r="E95" s="4" t="inlineStr">
        <is>
          <t>Doe/Fawn Antelope</t>
        </is>
      </c>
      <c r="F95" s="4" t="inlineStr">
        <is>
          <t>Sept. 05-Oct. 09</t>
        </is>
      </c>
      <c r="G95" s="4" t="inlineStr">
        <is>
          <t>Oct. 10-Nov. 08</t>
        </is>
      </c>
      <c r="H95" s="4" t="n"/>
      <c r="I95" s="4" t="n"/>
      <c r="J95" s="4" t="inlineStr">
        <is>
          <t>June 1</t>
        </is>
      </c>
      <c r="K95" s="4" t="inlineStr">
        <is>
          <t>100</t>
        </is>
      </c>
      <c r="L95" s="4" t="n"/>
    </row>
    <row r="96">
      <c r="A96" s="4" t="inlineStr">
        <is>
          <t>481</t>
        </is>
      </c>
      <c r="B96" s="4" t="inlineStr">
        <is>
          <t>antelope</t>
        </is>
      </c>
      <c r="C96" s="4" t="inlineStr">
        <is>
          <t>Antelope License: 900-20</t>
        </is>
      </c>
      <c r="D96" s="15" t="inlineStr">
        <is>
          <t>Drawing</t>
        </is>
      </c>
      <c r="E96" s="4" t="inlineStr">
        <is>
          <t>Either-sex Antelope</t>
        </is>
      </c>
      <c r="F96" s="4" t="n"/>
      <c r="G96" s="4" t="inlineStr">
        <is>
          <t>Aug. 15-Nov. 08</t>
        </is>
      </c>
      <c r="H96" s="4" t="n"/>
      <c r="I96" s="4" t="n"/>
      <c r="J96" s="4" t="inlineStr">
        <is>
          <t>June 1</t>
        </is>
      </c>
      <c r="K96" s="4" t="inlineStr">
        <is>
          <t>5,600</t>
        </is>
      </c>
      <c r="L96" s="4" t="inlineStr">
        <is>
          <t>First and only choice. ArchEquip only.</t>
        </is>
      </c>
    </row>
    <row r="97">
      <c r="A97" s="4" t="inlineStr">
        <is>
          <t>485</t>
        </is>
      </c>
      <c r="B97" s="4" t="inlineStr">
        <is>
          <t>antelope</t>
        </is>
      </c>
      <c r="C97" s="4" t="inlineStr">
        <is>
          <t>Antelope License: 485-20</t>
        </is>
      </c>
      <c r="D97" s="15" t="inlineStr">
        <is>
          <t>Drawing</t>
        </is>
      </c>
      <c r="E97" s="4" t="inlineStr">
        <is>
          <t>Either-sex Antelope</t>
        </is>
      </c>
      <c r="F97" s="4" t="inlineStr">
        <is>
          <t>Sept. 05-Oct. 09</t>
        </is>
      </c>
      <c r="G97" s="4" t="inlineStr">
        <is>
          <t>Oct. 10-Nov. 08</t>
        </is>
      </c>
      <c r="H97" s="4" t="n"/>
      <c r="I97" s="4" t="n"/>
      <c r="J97" s="4" t="inlineStr">
        <is>
          <t>June 1</t>
        </is>
      </c>
      <c r="K97" s="4" t="inlineStr">
        <is>
          <t>50</t>
        </is>
      </c>
      <c r="L97" s="4" t="n"/>
    </row>
    <row r="98">
      <c r="A98" s="4" t="inlineStr">
        <is>
          <t>485</t>
        </is>
      </c>
      <c r="B98" s="4" t="inlineStr">
        <is>
          <t>antelope</t>
        </is>
      </c>
      <c r="C98" s="4" t="inlineStr">
        <is>
          <t>Antelope B License: 485-30</t>
        </is>
      </c>
      <c r="D98" s="15" t="inlineStr">
        <is>
          <t>Drawing</t>
        </is>
      </c>
      <c r="E98" s="4" t="inlineStr">
        <is>
          <t>Doe/Fawn Antelope</t>
        </is>
      </c>
      <c r="F98" s="4" t="inlineStr">
        <is>
          <t>Sept. 05-Oct. 09</t>
        </is>
      </c>
      <c r="G98" s="4" t="inlineStr">
        <is>
          <t>Oct. 10-Nov. 08</t>
        </is>
      </c>
      <c r="H98" s="4" t="n"/>
      <c r="I98" s="4" t="n"/>
      <c r="J98" s="4" t="inlineStr">
        <is>
          <t>June 1</t>
        </is>
      </c>
      <c r="K98" s="4" t="inlineStr">
        <is>
          <t>50</t>
        </is>
      </c>
      <c r="L98" s="4" t="n"/>
    </row>
    <row r="99">
      <c r="A99" s="4" t="inlineStr">
        <is>
          <t>485</t>
        </is>
      </c>
      <c r="B99" s="4" t="inlineStr">
        <is>
          <t>antelope</t>
        </is>
      </c>
      <c r="C99" s="4" t="inlineStr">
        <is>
          <t>Antelope License: 900-20</t>
        </is>
      </c>
      <c r="D99" s="15" t="inlineStr">
        <is>
          <t>Drawing</t>
        </is>
      </c>
      <c r="E99" s="4" t="inlineStr">
        <is>
          <t>Either-sex Antelope</t>
        </is>
      </c>
      <c r="F99" s="4" t="n"/>
      <c r="G99" s="4" t="inlineStr">
        <is>
          <t>Aug. 15-Nov. 08</t>
        </is>
      </c>
      <c r="H99" s="4" t="n"/>
      <c r="I99" s="4" t="n"/>
      <c r="J99" s="4" t="inlineStr">
        <is>
          <t>June 1</t>
        </is>
      </c>
      <c r="K99" s="4" t="inlineStr">
        <is>
          <t>5,600</t>
        </is>
      </c>
      <c r="L99" s="4" t="inlineStr">
        <is>
          <t>First and only choice. ArchEquip only.</t>
        </is>
      </c>
    </row>
    <row r="100">
      <c r="A100" s="4" t="inlineStr">
        <is>
          <t>490</t>
        </is>
      </c>
      <c r="B100" s="4" t="inlineStr">
        <is>
          <t>antelope</t>
        </is>
      </c>
      <c r="C100" s="4" t="inlineStr">
        <is>
          <t>Antelope License: 490-20</t>
        </is>
      </c>
      <c r="D100" s="15" t="inlineStr">
        <is>
          <t>Drawing</t>
        </is>
      </c>
      <c r="E100" s="4" t="inlineStr">
        <is>
          <t>Either-sex Antelope</t>
        </is>
      </c>
      <c r="F100" s="4" t="inlineStr">
        <is>
          <t>Sept. 05-Oct. 09</t>
        </is>
      </c>
      <c r="G100" s="4" t="inlineStr">
        <is>
          <t>Oct. 10-Nov. 08</t>
        </is>
      </c>
      <c r="H100" s="4" t="n"/>
      <c r="I100" s="4" t="n"/>
      <c r="J100" s="4" t="inlineStr">
        <is>
          <t>June 1</t>
        </is>
      </c>
      <c r="K100" s="4" t="inlineStr">
        <is>
          <t>150</t>
        </is>
      </c>
      <c r="L100" s="4" t="n"/>
    </row>
    <row r="101">
      <c r="A101" s="4" t="inlineStr">
        <is>
          <t>490</t>
        </is>
      </c>
      <c r="B101" s="4" t="inlineStr">
        <is>
          <t>antelope</t>
        </is>
      </c>
      <c r="C101" s="4" t="inlineStr">
        <is>
          <t>Antelope B License: 490-30</t>
        </is>
      </c>
      <c r="D101" s="15" t="inlineStr">
        <is>
          <t>Drawing</t>
        </is>
      </c>
      <c r="E101" s="4" t="inlineStr">
        <is>
          <t>Doe/Fawn Antelope</t>
        </is>
      </c>
      <c r="F101" s="4" t="inlineStr">
        <is>
          <t>Sept. 05-Oct. 09</t>
        </is>
      </c>
      <c r="G101" s="4" t="inlineStr">
        <is>
          <t>Oct. 10-Nov. 08</t>
        </is>
      </c>
      <c r="H101" s="4" t="n"/>
      <c r="I101" s="4" t="n"/>
      <c r="J101" s="4" t="inlineStr">
        <is>
          <t>June 1</t>
        </is>
      </c>
      <c r="K101" s="4" t="inlineStr">
        <is>
          <t>125</t>
        </is>
      </c>
      <c r="L101" s="4" t="n"/>
    </row>
    <row r="102">
      <c r="A102" s="4" t="inlineStr">
        <is>
          <t>490</t>
        </is>
      </c>
      <c r="B102" s="4" t="inlineStr">
        <is>
          <t>antelope</t>
        </is>
      </c>
      <c r="C102" s="4" t="inlineStr">
        <is>
          <t>Antelope License: 900-20</t>
        </is>
      </c>
      <c r="D102" s="15" t="inlineStr">
        <is>
          <t>Drawing</t>
        </is>
      </c>
      <c r="E102" s="4" t="inlineStr">
        <is>
          <t>Either-sex Antelope</t>
        </is>
      </c>
      <c r="F102" s="4" t="n"/>
      <c r="G102" s="4" t="inlineStr">
        <is>
          <t>Aug. 15-Nov. 08</t>
        </is>
      </c>
      <c r="H102" s="4" t="n"/>
      <c r="I102" s="4" t="n"/>
      <c r="J102" s="4" t="inlineStr">
        <is>
          <t>June 1</t>
        </is>
      </c>
      <c r="K102" s="4" t="inlineStr">
        <is>
          <t>5,600</t>
        </is>
      </c>
      <c r="L102" s="4" t="inlineStr">
        <is>
          <t>First and only choice. ArchEquip only. Region</t>
        </is>
      </c>
    </row>
    <row r="103">
      <c r="A103" s="4" t="inlineStr">
        <is>
          <t>506</t>
        </is>
      </c>
      <c r="B103" s="4" t="inlineStr">
        <is>
          <t>antelope</t>
        </is>
      </c>
      <c r="C103" s="4" t="inlineStr">
        <is>
          <t>Antelope License: 506-20</t>
        </is>
      </c>
      <c r="D103" s="15" t="inlineStr">
        <is>
          <t>Drawing</t>
        </is>
      </c>
      <c r="E103" s="4" t="inlineStr">
        <is>
          <t>Either-sex Antelope</t>
        </is>
      </c>
      <c r="F103" s="4" t="inlineStr">
        <is>
          <t>Sept. 05-Oct. 09</t>
        </is>
      </c>
      <c r="G103" s="4" t="inlineStr">
        <is>
          <t>Oct. 10-Nov. 08</t>
        </is>
      </c>
      <c r="H103" s="4" t="n"/>
      <c r="I103" s="4" t="n"/>
      <c r="J103" s="4" t="inlineStr">
        <is>
          <t>June 1</t>
        </is>
      </c>
      <c r="K103" s="4" t="inlineStr">
        <is>
          <t>200</t>
        </is>
      </c>
      <c r="L103" s="4" t="n"/>
    </row>
    <row r="104">
      <c r="A104" s="4" t="inlineStr">
        <is>
          <t>506</t>
        </is>
      </c>
      <c r="B104" s="4" t="inlineStr">
        <is>
          <t>antelope</t>
        </is>
      </c>
      <c r="C104" s="4" t="inlineStr">
        <is>
          <t>Antelope License: 900-20</t>
        </is>
      </c>
      <c r="D104" s="15" t="inlineStr">
        <is>
          <t>Drawing</t>
        </is>
      </c>
      <c r="E104" s="4" t="inlineStr">
        <is>
          <t>Either-sex Antelope</t>
        </is>
      </c>
      <c r="F104" s="4" t="n"/>
      <c r="G104" s="4" t="inlineStr">
        <is>
          <t>Aug. 15-Nov. 08</t>
        </is>
      </c>
      <c r="H104" s="4" t="n"/>
      <c r="I104" s="4" t="n"/>
      <c r="J104" s="4" t="inlineStr">
        <is>
          <t>June 1</t>
        </is>
      </c>
      <c r="K104" s="4" t="inlineStr">
        <is>
          <t>5,600</t>
        </is>
      </c>
      <c r="L104" s="4" t="inlineStr">
        <is>
          <t>First and only choice. ArchEquip only.</t>
        </is>
      </c>
    </row>
    <row r="105">
      <c r="A105" s="4" t="inlineStr">
        <is>
          <t>516</t>
        </is>
      </c>
      <c r="B105" s="4" t="inlineStr">
        <is>
          <t>antelope</t>
        </is>
      </c>
      <c r="C105" s="4" t="inlineStr">
        <is>
          <t>Antelope License: 516-20</t>
        </is>
      </c>
      <c r="D105" s="15" t="inlineStr">
        <is>
          <t>Drawing</t>
        </is>
      </c>
      <c r="E105" s="4" t="inlineStr">
        <is>
          <t>Either-sex Antelope</t>
        </is>
      </c>
      <c r="F105" s="4" t="inlineStr">
        <is>
          <t>Sept. 05-Oct. 09</t>
        </is>
      </c>
      <c r="G105" s="4" t="inlineStr">
        <is>
          <t>Oct. 10-Nov. 08</t>
        </is>
      </c>
      <c r="H105" s="4" t="n"/>
      <c r="I105" s="4" t="n"/>
      <c r="J105" s="4" t="inlineStr">
        <is>
          <t>June 1</t>
        </is>
      </c>
      <c r="K105" s="4" t="inlineStr">
        <is>
          <t>700</t>
        </is>
      </c>
      <c r="L105" s="4" t="n"/>
    </row>
    <row r="106">
      <c r="A106" s="4" t="inlineStr">
        <is>
          <t>516</t>
        </is>
      </c>
      <c r="B106" s="4" t="inlineStr">
        <is>
          <t>antelope</t>
        </is>
      </c>
      <c r="C106" s="4" t="inlineStr">
        <is>
          <t>Antelope B License: 516-30</t>
        </is>
      </c>
      <c r="D106" s="15" t="inlineStr">
        <is>
          <t>Drawing</t>
        </is>
      </c>
      <c r="E106" s="4" t="inlineStr">
        <is>
          <t>Doe/Fawn Antelope</t>
        </is>
      </c>
      <c r="F106" s="4" t="inlineStr">
        <is>
          <t>Sept. 05-Oct. 09</t>
        </is>
      </c>
      <c r="G106" s="4" t="inlineStr">
        <is>
          <t>Oct. 10-Nov. 08</t>
        </is>
      </c>
      <c r="H106" s="4" t="n"/>
      <c r="I106" s="4" t="n"/>
      <c r="J106" s="4" t="inlineStr">
        <is>
          <t>June 1</t>
        </is>
      </c>
      <c r="K106" s="4" t="inlineStr">
        <is>
          <t>50</t>
        </is>
      </c>
      <c r="L106" s="4" t="n"/>
    </row>
    <row r="107">
      <c r="A107" s="4" t="inlineStr">
        <is>
          <t>516</t>
        </is>
      </c>
      <c r="B107" s="4" t="inlineStr">
        <is>
          <t>antelope</t>
        </is>
      </c>
      <c r="C107" s="4" t="inlineStr">
        <is>
          <t>Antelope License: 900-20</t>
        </is>
      </c>
      <c r="D107" s="15" t="inlineStr">
        <is>
          <t>Drawing</t>
        </is>
      </c>
      <c r="E107" s="4" t="inlineStr">
        <is>
          <t>Either-sex Antelope</t>
        </is>
      </c>
      <c r="F107" s="4" t="n"/>
      <c r="G107" s="4" t="inlineStr">
        <is>
          <t>Aug. 15-Nov. 08</t>
        </is>
      </c>
      <c r="H107" s="4" t="n"/>
      <c r="I107" s="4" t="n"/>
      <c r="J107" s="4" t="inlineStr">
        <is>
          <t>June 1</t>
        </is>
      </c>
      <c r="K107" s="4" t="inlineStr">
        <is>
          <t>5,600</t>
        </is>
      </c>
      <c r="L107" s="4" t="inlineStr">
        <is>
          <t>First and only choice. ArchEquip only.</t>
        </is>
      </c>
    </row>
    <row r="108">
      <c r="A108" s="4" t="inlineStr">
        <is>
          <t>526</t>
        </is>
      </c>
      <c r="B108" s="4" t="inlineStr">
        <is>
          <t>antelope</t>
        </is>
      </c>
      <c r="C108" s="4" t="inlineStr">
        <is>
          <t>Antelope License: 526-20</t>
        </is>
      </c>
      <c r="D108" s="15" t="inlineStr">
        <is>
          <t>Drawing</t>
        </is>
      </c>
      <c r="E108" s="4" t="inlineStr">
        <is>
          <t>Either-sex Antelope</t>
        </is>
      </c>
      <c r="F108" s="4" t="inlineStr">
        <is>
          <t>Sept. 05-Oct. 09</t>
        </is>
      </c>
      <c r="G108" s="4" t="inlineStr">
        <is>
          <t>Oct. 10-Nov. 08</t>
        </is>
      </c>
      <c r="H108" s="4" t="n"/>
      <c r="I108" s="4" t="n"/>
      <c r="J108" s="4" t="inlineStr">
        <is>
          <t>June 1</t>
        </is>
      </c>
      <c r="K108" s="4" t="inlineStr">
        <is>
          <t>250</t>
        </is>
      </c>
      <c r="L108" s="4" t="n"/>
    </row>
    <row r="109">
      <c r="A109" s="4" t="inlineStr">
        <is>
          <t>526</t>
        </is>
      </c>
      <c r="B109" s="4" t="inlineStr">
        <is>
          <t>antelope</t>
        </is>
      </c>
      <c r="C109" s="4" t="inlineStr">
        <is>
          <t>Antelope License: 900-20</t>
        </is>
      </c>
      <c r="D109" s="15" t="inlineStr">
        <is>
          <t>Drawing</t>
        </is>
      </c>
      <c r="E109" s="4" t="inlineStr">
        <is>
          <t>Either-sex Antelope</t>
        </is>
      </c>
      <c r="F109" s="4" t="n"/>
      <c r="G109" s="4" t="inlineStr">
        <is>
          <t>Aug. 15-Nov. 08</t>
        </is>
      </c>
      <c r="H109" s="4" t="n"/>
      <c r="I109" s="4" t="n"/>
      <c r="J109" s="4" t="inlineStr">
        <is>
          <t>June 1</t>
        </is>
      </c>
      <c r="K109" s="4" t="inlineStr">
        <is>
          <t>5,600</t>
        </is>
      </c>
      <c r="L109" s="4" t="inlineStr">
        <is>
          <t>First and only choice. ArchEquip only.</t>
        </is>
      </c>
    </row>
    <row r="110">
      <c r="A110" s="4" t="inlineStr">
        <is>
          <t>536</t>
        </is>
      </c>
      <c r="B110" s="4" t="inlineStr">
        <is>
          <t>antelope</t>
        </is>
      </c>
      <c r="C110" s="4" t="inlineStr">
        <is>
          <t>Antelope License: 536-20</t>
        </is>
      </c>
      <c r="D110" s="15" t="inlineStr">
        <is>
          <t>Drawing</t>
        </is>
      </c>
      <c r="E110" s="4" t="inlineStr">
        <is>
          <t>Either-sex Antelope</t>
        </is>
      </c>
      <c r="F110" s="4" t="inlineStr">
        <is>
          <t>Sept. 05-Oct. 09</t>
        </is>
      </c>
      <c r="G110" s="4" t="inlineStr">
        <is>
          <t>Oct. 10-Nov. 08</t>
        </is>
      </c>
      <c r="H110" s="4" t="n"/>
      <c r="I110" s="4" t="n"/>
      <c r="J110" s="4" t="inlineStr">
        <is>
          <t>June 1</t>
        </is>
      </c>
      <c r="K110" s="4" t="inlineStr">
        <is>
          <t>300</t>
        </is>
      </c>
      <c r="L110" s="4" t="n"/>
    </row>
    <row r="111">
      <c r="A111" s="4" t="inlineStr">
        <is>
          <t>536</t>
        </is>
      </c>
      <c r="B111" s="4" t="inlineStr">
        <is>
          <t>antelope</t>
        </is>
      </c>
      <c r="C111" s="4" t="inlineStr">
        <is>
          <t>Antelope License: 900-20</t>
        </is>
      </c>
      <c r="D111" s="15" t="inlineStr">
        <is>
          <t>Drawing</t>
        </is>
      </c>
      <c r="E111" s="4" t="inlineStr">
        <is>
          <t>Either-sex Antelope</t>
        </is>
      </c>
      <c r="F111" s="4" t="n"/>
      <c r="G111" s="4" t="inlineStr">
        <is>
          <t>Aug. 15-Nov. 08</t>
        </is>
      </c>
      <c r="H111" s="4" t="n"/>
      <c r="I111" s="4" t="n"/>
      <c r="J111" s="4" t="inlineStr">
        <is>
          <t>June 1</t>
        </is>
      </c>
      <c r="K111" s="4" t="inlineStr">
        <is>
          <t>5,600</t>
        </is>
      </c>
      <c r="L111" s="4" t="inlineStr">
        <is>
          <t>First and only choice. ArchEquip only. 141 2026 Deer • Elk • Antelope Visit fwp.mt.gov License Opportunity Apply by Date Quota Quota Range Archery Season Dates Season Dates Opportunity Specifc Information/Restrictions</t>
        </is>
      </c>
    </row>
    <row r="112">
      <c r="A112" s="4" t="inlineStr">
        <is>
          <t>546</t>
        </is>
      </c>
      <c r="B112" s="4" t="inlineStr">
        <is>
          <t>antelope</t>
        </is>
      </c>
      <c r="C112" s="4" t="inlineStr">
        <is>
          <t>Antelope License: 546-20</t>
        </is>
      </c>
      <c r="D112" s="15" t="inlineStr">
        <is>
          <t>Drawing</t>
        </is>
      </c>
      <c r="E112" s="4" t="inlineStr">
        <is>
          <t>Either-sex Antelope</t>
        </is>
      </c>
      <c r="F112" s="4" t="inlineStr">
        <is>
          <t>Sept. 05-Oct. 09</t>
        </is>
      </c>
      <c r="G112" s="4" t="inlineStr">
        <is>
          <t>Oct. 10-Nov. 08</t>
        </is>
      </c>
      <c r="H112" s="4" t="n"/>
      <c r="I112" s="4" t="n"/>
      <c r="J112" s="4" t="inlineStr">
        <is>
          <t>June 1</t>
        </is>
      </c>
      <c r="K112" s="4" t="inlineStr">
        <is>
          <t>400</t>
        </is>
      </c>
      <c r="L112" s="4" t="n"/>
    </row>
    <row r="113">
      <c r="A113" s="4" t="inlineStr">
        <is>
          <t>546</t>
        </is>
      </c>
      <c r="B113" s="4" t="inlineStr">
        <is>
          <t>antelope</t>
        </is>
      </c>
      <c r="C113" s="4" t="inlineStr">
        <is>
          <t>Antelope B License: 546-30</t>
        </is>
      </c>
      <c r="D113" s="15" t="inlineStr">
        <is>
          <t>Drawing</t>
        </is>
      </c>
      <c r="E113" s="4" t="inlineStr">
        <is>
          <t>Doe/Fawn Antelope</t>
        </is>
      </c>
      <c r="F113" s="4" t="inlineStr">
        <is>
          <t>Sept. 05-Oct. 09</t>
        </is>
      </c>
      <c r="G113" s="4" t="inlineStr">
        <is>
          <t>Oct. 10-Nov. 08</t>
        </is>
      </c>
      <c r="H113" s="4" t="n"/>
      <c r="I113" s="4" t="n"/>
      <c r="J113" s="4" t="inlineStr">
        <is>
          <t>June 1</t>
        </is>
      </c>
      <c r="K113" s="4" t="inlineStr">
        <is>
          <t>200</t>
        </is>
      </c>
      <c r="L113" s="4" t="n"/>
    </row>
    <row r="114">
      <c r="A114" s="4" t="inlineStr">
        <is>
          <t>546</t>
        </is>
      </c>
      <c r="B114" s="4" t="inlineStr">
        <is>
          <t>antelope</t>
        </is>
      </c>
      <c r="C114" s="4" t="inlineStr">
        <is>
          <t>Antelope License: 900-20</t>
        </is>
      </c>
      <c r="D114" s="15" t="inlineStr">
        <is>
          <t>Drawing</t>
        </is>
      </c>
      <c r="E114" s="4" t="inlineStr">
        <is>
          <t>Either-sex Antelope</t>
        </is>
      </c>
      <c r="F114" s="4" t="n"/>
      <c r="G114" s="4" t="inlineStr">
        <is>
          <t>Aug. 15-Nov. 08</t>
        </is>
      </c>
      <c r="H114" s="4" t="n"/>
      <c r="I114" s="4" t="n"/>
      <c r="J114" s="4" t="inlineStr">
        <is>
          <t>June 1</t>
        </is>
      </c>
      <c r="K114" s="4" t="inlineStr">
        <is>
          <t>5,600</t>
        </is>
      </c>
      <c r="L114" s="4" t="inlineStr">
        <is>
          <t>First and only choice. ArchEquip only.</t>
        </is>
      </c>
    </row>
    <row r="115">
      <c r="A115" s="4" t="inlineStr">
        <is>
          <t>556</t>
        </is>
      </c>
      <c r="B115" s="4" t="inlineStr">
        <is>
          <t>antelope</t>
        </is>
      </c>
      <c r="C115" s="4" t="inlineStr">
        <is>
          <t>Antelope License: 556-20</t>
        </is>
      </c>
      <c r="D115" s="15" t="inlineStr">
        <is>
          <t>Drawing</t>
        </is>
      </c>
      <c r="E115" s="4" t="inlineStr">
        <is>
          <t>Either-sex Antelope</t>
        </is>
      </c>
      <c r="F115" s="4" t="inlineStr">
        <is>
          <t>Sept. 05-Oct. 09</t>
        </is>
      </c>
      <c r="G115" s="4" t="inlineStr">
        <is>
          <t>Oct. 10-Nov. 08</t>
        </is>
      </c>
      <c r="H115" s="4" t="n"/>
      <c r="I115" s="4" t="n"/>
      <c r="J115" s="4" t="inlineStr">
        <is>
          <t>June 1</t>
        </is>
      </c>
      <c r="K115" s="4" t="inlineStr">
        <is>
          <t>125</t>
        </is>
      </c>
      <c r="L115" s="4" t="n"/>
    </row>
    <row r="116">
      <c r="A116" s="4" t="inlineStr">
        <is>
          <t>556</t>
        </is>
      </c>
      <c r="B116" s="4" t="inlineStr">
        <is>
          <t>antelope</t>
        </is>
      </c>
      <c r="C116" s="4" t="inlineStr">
        <is>
          <t>Antelope License: 900-20</t>
        </is>
      </c>
      <c r="D116" s="15" t="inlineStr">
        <is>
          <t>Drawing</t>
        </is>
      </c>
      <c r="E116" s="4" t="inlineStr">
        <is>
          <t>Either-sex Antelope</t>
        </is>
      </c>
      <c r="F116" s="4" t="n"/>
      <c r="G116" s="4" t="inlineStr">
        <is>
          <t>Aug. 15-Nov. 08</t>
        </is>
      </c>
      <c r="H116" s="4" t="n"/>
      <c r="I116" s="4" t="n"/>
      <c r="J116" s="4" t="inlineStr">
        <is>
          <t>June 1</t>
        </is>
      </c>
      <c r="K116" s="4" t="inlineStr">
        <is>
          <t>5,600</t>
        </is>
      </c>
      <c r="L116" s="4" t="inlineStr">
        <is>
          <t>First and only choice. ArchEquip only.</t>
        </is>
      </c>
    </row>
    <row r="117">
      <c r="A117" s="4" t="inlineStr">
        <is>
          <t>576</t>
        </is>
      </c>
      <c r="B117" s="4" t="inlineStr">
        <is>
          <t>antelope</t>
        </is>
      </c>
      <c r="C117" s="4" t="inlineStr">
        <is>
          <t>Antelope License: 576-20</t>
        </is>
      </c>
      <c r="D117" s="15" t="inlineStr">
        <is>
          <t>Drawing</t>
        </is>
      </c>
      <c r="E117" s="4" t="inlineStr">
        <is>
          <t>Either-sex Antelope</t>
        </is>
      </c>
      <c r="F117" s="4" t="inlineStr">
        <is>
          <t>Sept. 05-Oct. 09</t>
        </is>
      </c>
      <c r="G117" s="4" t="inlineStr">
        <is>
          <t>Oct. 10-Nov. 08</t>
        </is>
      </c>
      <c r="H117" s="4" t="n"/>
      <c r="I117" s="4" t="n"/>
      <c r="J117" s="4" t="inlineStr">
        <is>
          <t>June 1</t>
        </is>
      </c>
      <c r="K117" s="4" t="inlineStr">
        <is>
          <t>1,100</t>
        </is>
      </c>
      <c r="L117" s="4" t="n"/>
    </row>
    <row r="118">
      <c r="A118" s="4" t="inlineStr">
        <is>
          <t>576</t>
        </is>
      </c>
      <c r="B118" s="4" t="inlineStr">
        <is>
          <t>antelope</t>
        </is>
      </c>
      <c r="C118" s="4" t="inlineStr">
        <is>
          <t>Antelope B License: 576-30</t>
        </is>
      </c>
      <c r="D118" s="15" t="inlineStr">
        <is>
          <t>Drawing</t>
        </is>
      </c>
      <c r="E118" s="4" t="inlineStr">
        <is>
          <t>Doe/Fawn Antelope</t>
        </is>
      </c>
      <c r="F118" s="4" t="inlineStr">
        <is>
          <t>Sept. 05-Oct. 09</t>
        </is>
      </c>
      <c r="G118" s="4" t="inlineStr">
        <is>
          <t>Oct. 10-Nov. 08</t>
        </is>
      </c>
      <c r="H118" s="4" t="n"/>
      <c r="I118" s="4" t="n"/>
      <c r="J118" s="4" t="inlineStr">
        <is>
          <t>June 1</t>
        </is>
      </c>
      <c r="K118" s="4" t="inlineStr">
        <is>
          <t>50</t>
        </is>
      </c>
      <c r="L118" s="4" t="n"/>
    </row>
    <row r="119">
      <c r="A119" s="4" t="inlineStr">
        <is>
          <t>576</t>
        </is>
      </c>
      <c r="B119" s="4" t="inlineStr">
        <is>
          <t>antelope</t>
        </is>
      </c>
      <c r="C119" s="4" t="inlineStr">
        <is>
          <t>Antelope License: 900-20</t>
        </is>
      </c>
      <c r="D119" s="15" t="inlineStr">
        <is>
          <t>Drawing</t>
        </is>
      </c>
      <c r="E119" s="4" t="inlineStr">
        <is>
          <t>Either-sex Antelope</t>
        </is>
      </c>
      <c r="F119" s="4" t="n"/>
      <c r="G119" s="4" t="inlineStr">
        <is>
          <t>Aug. 15-Nov. 08</t>
        </is>
      </c>
      <c r="H119" s="4" t="n"/>
      <c r="I119" s="4" t="n"/>
      <c r="J119" s="4" t="inlineStr">
        <is>
          <t>June 1</t>
        </is>
      </c>
      <c r="K119" s="4" t="inlineStr">
        <is>
          <t>5,600</t>
        </is>
      </c>
      <c r="L119" s="4" t="inlineStr">
        <is>
          <t>First and only choice. ArchEquip only.</t>
        </is>
      </c>
    </row>
    <row r="120">
      <c r="A120" s="4" t="inlineStr">
        <is>
          <t>586</t>
        </is>
      </c>
      <c r="B120" s="4" t="inlineStr">
        <is>
          <t>antelope</t>
        </is>
      </c>
      <c r="C120" s="4" t="inlineStr">
        <is>
          <t>Antelope License: 586-20</t>
        </is>
      </c>
      <c r="D120" s="15" t="inlineStr">
        <is>
          <t>Drawing</t>
        </is>
      </c>
      <c r="E120" s="4" t="inlineStr">
        <is>
          <t>Either-sex Antelope</t>
        </is>
      </c>
      <c r="F120" s="4" t="inlineStr">
        <is>
          <t>Sept. 05-Oct. 09</t>
        </is>
      </c>
      <c r="G120" s="4" t="inlineStr">
        <is>
          <t>Oct. 10-Nov. 08</t>
        </is>
      </c>
      <c r="H120" s="4" t="n"/>
      <c r="I120" s="4" t="n"/>
      <c r="J120" s="4" t="inlineStr">
        <is>
          <t>June 1</t>
        </is>
      </c>
      <c r="K120" s="4" t="inlineStr">
        <is>
          <t>450</t>
        </is>
      </c>
      <c r="L120" s="4" t="n"/>
    </row>
    <row r="121">
      <c r="A121" s="4" t="inlineStr">
        <is>
          <t>586</t>
        </is>
      </c>
      <c r="B121" s="4" t="inlineStr">
        <is>
          <t>antelope</t>
        </is>
      </c>
      <c r="C121" s="4" t="inlineStr">
        <is>
          <t>Antelope B License: 586-30</t>
        </is>
      </c>
      <c r="D121" s="15" t="inlineStr">
        <is>
          <t>Drawing</t>
        </is>
      </c>
      <c r="E121" s="4" t="inlineStr">
        <is>
          <t>Doe/Fawn Antelope</t>
        </is>
      </c>
      <c r="F121" s="4" t="inlineStr">
        <is>
          <t>Sept. 05-Oct. 09</t>
        </is>
      </c>
      <c r="G121" s="4" t="inlineStr">
        <is>
          <t>Oct. 10-Nov. 08</t>
        </is>
      </c>
      <c r="H121" s="4" t="n"/>
      <c r="I121" s="4" t="n"/>
      <c r="J121" s="4" t="inlineStr">
        <is>
          <t>June 1</t>
        </is>
      </c>
      <c r="K121" s="4" t="inlineStr">
        <is>
          <t>200</t>
        </is>
      </c>
      <c r="L121" s="4" t="n"/>
    </row>
    <row r="122">
      <c r="A122" s="4" t="inlineStr">
        <is>
          <t>586</t>
        </is>
      </c>
      <c r="B122" s="4" t="inlineStr">
        <is>
          <t>antelope</t>
        </is>
      </c>
      <c r="C122" s="4" t="inlineStr">
        <is>
          <t>Antelope License: 900-20</t>
        </is>
      </c>
      <c r="D122" s="15" t="inlineStr">
        <is>
          <t>Drawing</t>
        </is>
      </c>
      <c r="E122" s="4" t="inlineStr">
        <is>
          <t>Either-sex Antelope</t>
        </is>
      </c>
      <c r="F122" s="4" t="n"/>
      <c r="G122" s="4" t="inlineStr">
        <is>
          <t>Aug. 15-Nov. 08</t>
        </is>
      </c>
      <c r="H122" s="4" t="n"/>
      <c r="I122" s="4" t="n"/>
      <c r="J122" s="4" t="inlineStr">
        <is>
          <t>June 1</t>
        </is>
      </c>
      <c r="K122" s="4" t="inlineStr">
        <is>
          <t>5,600</t>
        </is>
      </c>
      <c r="L122" s="4" t="inlineStr">
        <is>
          <t>First and only choice. ArchEquip only.</t>
        </is>
      </c>
    </row>
    <row r="123">
      <c r="A123" s="4" t="inlineStr">
        <is>
          <t>596</t>
        </is>
      </c>
      <c r="B123" s="4" t="inlineStr">
        <is>
          <t>antelope</t>
        </is>
      </c>
      <c r="C123" s="4" t="inlineStr">
        <is>
          <t>Antelope License: 596-20</t>
        </is>
      </c>
      <c r="D123" s="15" t="inlineStr">
        <is>
          <t>Drawing</t>
        </is>
      </c>
      <c r="E123" s="4" t="inlineStr">
        <is>
          <t>Either-sex Antelope</t>
        </is>
      </c>
      <c r="F123" s="4" t="inlineStr">
        <is>
          <t>Sept. 05-Oct. 09</t>
        </is>
      </c>
      <c r="G123" s="4" t="inlineStr">
        <is>
          <t>Oct. 10-Nov. 08</t>
        </is>
      </c>
      <c r="H123" s="4" t="n"/>
      <c r="I123" s="4" t="n"/>
      <c r="J123" s="4" t="inlineStr">
        <is>
          <t>June 1</t>
        </is>
      </c>
      <c r="K123" s="4" t="inlineStr">
        <is>
          <t>300</t>
        </is>
      </c>
      <c r="L123" s="4" t="n"/>
    </row>
    <row r="124">
      <c r="A124" s="4" t="inlineStr">
        <is>
          <t>596</t>
        </is>
      </c>
      <c r="B124" s="4" t="inlineStr">
        <is>
          <t>antelope</t>
        </is>
      </c>
      <c r="C124" s="4" t="inlineStr">
        <is>
          <t>Antelope B License: 596-30</t>
        </is>
      </c>
      <c r="D124" s="15" t="inlineStr">
        <is>
          <t>Drawing</t>
        </is>
      </c>
      <c r="E124" s="4" t="inlineStr">
        <is>
          <t>Doe/Fawn Antelope</t>
        </is>
      </c>
      <c r="F124" s="4" t="inlineStr">
        <is>
          <t>Sept. 05-Oct. 09</t>
        </is>
      </c>
      <c r="G124" s="4" t="inlineStr">
        <is>
          <t>Oct. 10-Nov. 08</t>
        </is>
      </c>
      <c r="H124" s="4" t="n"/>
      <c r="I124" s="4" t="n"/>
      <c r="J124" s="4" t="inlineStr">
        <is>
          <t>June 1</t>
        </is>
      </c>
      <c r="K124" s="4" t="inlineStr">
        <is>
          <t>150</t>
        </is>
      </c>
      <c r="L124" s="4" t="n"/>
    </row>
    <row r="125">
      <c r="A125" s="4" t="inlineStr">
        <is>
          <t>596</t>
        </is>
      </c>
      <c r="B125" s="4" t="inlineStr">
        <is>
          <t>antelope</t>
        </is>
      </c>
      <c r="C125" s="4" t="inlineStr">
        <is>
          <t>Antelope License: 900-20</t>
        </is>
      </c>
      <c r="D125" s="15" t="inlineStr">
        <is>
          <t>Drawing</t>
        </is>
      </c>
      <c r="E125" s="4" t="inlineStr">
        <is>
          <t>Either-sex Antelope</t>
        </is>
      </c>
      <c r="F125" s="4" t="n"/>
      <c r="G125" s="4" t="inlineStr">
        <is>
          <t>Aug. 15-Nov. 08</t>
        </is>
      </c>
      <c r="H125" s="4" t="n"/>
      <c r="I125" s="4" t="n"/>
      <c r="J125" s="4" t="inlineStr">
        <is>
          <t>June 1</t>
        </is>
      </c>
      <c r="K125" s="4" t="inlineStr">
        <is>
          <t>5,600</t>
        </is>
      </c>
      <c r="L125" s="4" t="inlineStr">
        <is>
          <t>First and only choice. ArchEquip only. Region</t>
        </is>
      </c>
    </row>
    <row r="126">
      <c r="A126" s="4" t="inlineStr">
        <is>
          <t>600</t>
        </is>
      </c>
      <c r="B126" s="4" t="inlineStr">
        <is>
          <t>antelope</t>
        </is>
      </c>
      <c r="C126" s="4" t="inlineStr">
        <is>
          <t>Antelope License: 600-20</t>
        </is>
      </c>
      <c r="D126" s="15" t="inlineStr">
        <is>
          <t>Drawing</t>
        </is>
      </c>
      <c r="E126" s="4" t="inlineStr">
        <is>
          <t>Either-sex Antelope</t>
        </is>
      </c>
      <c r="F126" s="4" t="inlineStr">
        <is>
          <t>Sept. 05-Oct. 09</t>
        </is>
      </c>
      <c r="G126" s="4" t="inlineStr">
        <is>
          <t>Oct. 10-Nov. 08</t>
        </is>
      </c>
      <c r="H126" s="4" t="n"/>
      <c r="I126" s="4" t="n"/>
      <c r="J126" s="4" t="inlineStr">
        <is>
          <t>June 1</t>
        </is>
      </c>
      <c r="K126" s="4" t="inlineStr">
        <is>
          <t>400</t>
        </is>
      </c>
      <c r="L126" s="4" t="n"/>
    </row>
    <row r="127">
      <c r="A127" s="4" t="inlineStr">
        <is>
          <t>600</t>
        </is>
      </c>
      <c r="B127" s="4" t="inlineStr">
        <is>
          <t>antelope</t>
        </is>
      </c>
      <c r="C127" s="4" t="inlineStr">
        <is>
          <t>Antelope B License: 600-30</t>
        </is>
      </c>
      <c r="D127" s="15" t="inlineStr">
        <is>
          <t>Drawing</t>
        </is>
      </c>
      <c r="E127" s="4" t="inlineStr">
        <is>
          <t>Doe/Fawn Antelope</t>
        </is>
      </c>
      <c r="F127" s="4" t="inlineStr">
        <is>
          <t>Sept. 05-Oct. 09</t>
        </is>
      </c>
      <c r="G127" s="4" t="inlineStr">
        <is>
          <t>Oct. 10-Nov. 08</t>
        </is>
      </c>
      <c r="H127" s="4" t="n"/>
      <c r="I127" s="4" t="n"/>
      <c r="J127" s="4" t="inlineStr">
        <is>
          <t>June 1</t>
        </is>
      </c>
      <c r="K127" s="4" t="inlineStr">
        <is>
          <t>100</t>
        </is>
      </c>
      <c r="L127" s="4" t="n"/>
    </row>
    <row r="128">
      <c r="A128" s="4" t="inlineStr">
        <is>
          <t>600</t>
        </is>
      </c>
      <c r="B128" s="4" t="inlineStr">
        <is>
          <t>antelope</t>
        </is>
      </c>
      <c r="C128" s="4" t="inlineStr">
        <is>
          <t>Antelope License: 900-20</t>
        </is>
      </c>
      <c r="D128" s="15" t="inlineStr">
        <is>
          <t>Drawing</t>
        </is>
      </c>
      <c r="E128" s="4" t="inlineStr">
        <is>
          <t>Either-sex Antelope</t>
        </is>
      </c>
      <c r="F128" s="4" t="n"/>
      <c r="G128" s="4" t="inlineStr">
        <is>
          <t>Aug. 15-Nov. 08</t>
        </is>
      </c>
      <c r="H128" s="4" t="n"/>
      <c r="I128" s="4" t="n"/>
      <c r="J128" s="4" t="inlineStr">
        <is>
          <t>June 1</t>
        </is>
      </c>
      <c r="K128" s="4" t="inlineStr">
        <is>
          <t>5,600</t>
        </is>
      </c>
      <c r="L128" s="4" t="inlineStr">
        <is>
          <t>First and only choice. ArchEquip only.</t>
        </is>
      </c>
    </row>
    <row r="129">
      <c r="A129" s="4" t="inlineStr">
        <is>
          <t>620</t>
        </is>
      </c>
      <c r="B129" s="4" t="inlineStr">
        <is>
          <t>antelope</t>
        </is>
      </c>
      <c r="C129" s="4" t="inlineStr">
        <is>
          <t>Antelope License: 620-20</t>
        </is>
      </c>
      <c r="D129" s="15" t="inlineStr">
        <is>
          <t>Drawing</t>
        </is>
      </c>
      <c r="E129" s="4" t="inlineStr">
        <is>
          <t>Either-sex Antelope</t>
        </is>
      </c>
      <c r="F129" s="4" t="inlineStr">
        <is>
          <t>Sept. 05-Oct. 09</t>
        </is>
      </c>
      <c r="G129" s="4" t="inlineStr">
        <is>
          <t>Oct. 10-Nov. 08</t>
        </is>
      </c>
      <c r="H129" s="4" t="n"/>
      <c r="I129" s="4" t="n"/>
      <c r="J129" s="4" t="inlineStr">
        <is>
          <t>June 1</t>
        </is>
      </c>
      <c r="K129" s="4" t="inlineStr">
        <is>
          <t>600</t>
        </is>
      </c>
      <c r="L129" s="4" t="n"/>
    </row>
    <row r="130">
      <c r="A130" s="4" t="inlineStr">
        <is>
          <t>620</t>
        </is>
      </c>
      <c r="B130" s="4" t="inlineStr">
        <is>
          <t>antelope</t>
        </is>
      </c>
      <c r="C130" s="4" t="inlineStr">
        <is>
          <t>Antelope B License: 620-30</t>
        </is>
      </c>
      <c r="D130" s="15" t="inlineStr">
        <is>
          <t>Drawing</t>
        </is>
      </c>
      <c r="E130" s="4" t="inlineStr">
        <is>
          <t>Doe/Fawn Antelope</t>
        </is>
      </c>
      <c r="F130" s="4" t="inlineStr">
        <is>
          <t>Sept. 05-Oct. 09</t>
        </is>
      </c>
      <c r="G130" s="4" t="inlineStr">
        <is>
          <t>Oct. 10-Nov. 08</t>
        </is>
      </c>
      <c r="H130" s="4" t="n"/>
      <c r="I130" s="4" t="n"/>
      <c r="J130" s="4" t="inlineStr">
        <is>
          <t>June 1</t>
        </is>
      </c>
      <c r="K130" s="4" t="inlineStr">
        <is>
          <t>100</t>
        </is>
      </c>
      <c r="L130" s="4" t="n"/>
    </row>
    <row r="131">
      <c r="A131" s="4" t="inlineStr">
        <is>
          <t>620</t>
        </is>
      </c>
      <c r="B131" s="4" t="inlineStr">
        <is>
          <t>antelope</t>
        </is>
      </c>
      <c r="C131" s="4" t="inlineStr">
        <is>
          <t>Antelope License: 900-20</t>
        </is>
      </c>
      <c r="D131" s="15" t="inlineStr">
        <is>
          <t>Drawing</t>
        </is>
      </c>
      <c r="E131" s="4" t="inlineStr">
        <is>
          <t>Either-sex Antelope</t>
        </is>
      </c>
      <c r="F131" s="4" t="n"/>
      <c r="G131" s="4" t="inlineStr">
        <is>
          <t>Aug. 15-Nov. 08</t>
        </is>
      </c>
      <c r="H131" s="4" t="n"/>
      <c r="I131" s="4" t="n"/>
      <c r="J131" s="4" t="inlineStr">
        <is>
          <t>June 1</t>
        </is>
      </c>
      <c r="K131" s="4" t="inlineStr">
        <is>
          <t>5,600</t>
        </is>
      </c>
      <c r="L131" s="4" t="inlineStr">
        <is>
          <t>First and only choice. ArchEquip only.</t>
        </is>
      </c>
    </row>
    <row r="132">
      <c r="A132" s="4" t="inlineStr">
        <is>
          <t>630</t>
        </is>
      </c>
      <c r="B132" s="4" t="inlineStr">
        <is>
          <t>antelope</t>
        </is>
      </c>
      <c r="C132" s="4" t="inlineStr">
        <is>
          <t>Antelope License: 630-20</t>
        </is>
      </c>
      <c r="D132" s="15" t="inlineStr">
        <is>
          <t>Drawing</t>
        </is>
      </c>
      <c r="E132" s="4" t="inlineStr">
        <is>
          <t>Either-sex Antelope</t>
        </is>
      </c>
      <c r="F132" s="4" t="inlineStr">
        <is>
          <t>Sept. 05-Oct. 09</t>
        </is>
      </c>
      <c r="G132" s="4" t="inlineStr">
        <is>
          <t>Oct. 10-Nov. 08</t>
        </is>
      </c>
      <c r="H132" s="4" t="n"/>
      <c r="I132" s="4" t="n"/>
      <c r="J132" s="4" t="inlineStr">
        <is>
          <t>June 1</t>
        </is>
      </c>
      <c r="K132" s="4" t="inlineStr">
        <is>
          <t>300</t>
        </is>
      </c>
      <c r="L132" s="4" t="n"/>
    </row>
    <row r="133">
      <c r="A133" s="4" t="inlineStr">
        <is>
          <t>630</t>
        </is>
      </c>
      <c r="B133" s="4" t="inlineStr">
        <is>
          <t>antelope</t>
        </is>
      </c>
      <c r="C133" s="4" t="inlineStr">
        <is>
          <t>Antelope B License: 630-30</t>
        </is>
      </c>
      <c r="D133" s="15" t="inlineStr">
        <is>
          <t>Drawing</t>
        </is>
      </c>
      <c r="E133" s="4" t="inlineStr">
        <is>
          <t>Doe/Fawn Antelope</t>
        </is>
      </c>
      <c r="F133" s="4" t="inlineStr">
        <is>
          <t>Sept. 05-Oct. 09</t>
        </is>
      </c>
      <c r="G133" s="4" t="inlineStr">
        <is>
          <t>Oct. 10-Nov. 08</t>
        </is>
      </c>
      <c r="H133" s="4" t="n"/>
      <c r="I133" s="4" t="n"/>
      <c r="J133" s="4" t="inlineStr">
        <is>
          <t>June 1</t>
        </is>
      </c>
      <c r="K133" s="4" t="inlineStr">
        <is>
          <t>50</t>
        </is>
      </c>
      <c r="L133" s="4" t="n"/>
    </row>
    <row r="134">
      <c r="A134" s="4" t="inlineStr">
        <is>
          <t>630</t>
        </is>
      </c>
      <c r="B134" s="4" t="inlineStr">
        <is>
          <t>antelope</t>
        </is>
      </c>
      <c r="C134" s="4" t="inlineStr">
        <is>
          <t>Antelope License: 900-20</t>
        </is>
      </c>
      <c r="D134" s="15" t="inlineStr">
        <is>
          <t>Drawing</t>
        </is>
      </c>
      <c r="E134" s="4" t="inlineStr">
        <is>
          <t>Either-sex Antelope</t>
        </is>
      </c>
      <c r="F134" s="4" t="n"/>
      <c r="G134" s="4" t="inlineStr">
        <is>
          <t>Aug. 15-Nov. 08</t>
        </is>
      </c>
      <c r="H134" s="4" t="n"/>
      <c r="I134" s="4" t="n"/>
      <c r="J134" s="4" t="inlineStr">
        <is>
          <t>June 1</t>
        </is>
      </c>
      <c r="K134" s="4" t="inlineStr">
        <is>
          <t>5,600</t>
        </is>
      </c>
      <c r="L134" s="4" t="inlineStr">
        <is>
          <t>First and only choice. ArchEquip only.</t>
        </is>
      </c>
    </row>
    <row r="135">
      <c r="A135" s="4" t="inlineStr">
        <is>
          <t>640</t>
        </is>
      </c>
      <c r="B135" s="4" t="inlineStr">
        <is>
          <t>antelope</t>
        </is>
      </c>
      <c r="C135" s="4" t="inlineStr">
        <is>
          <t>Antelope License: 640-20</t>
        </is>
      </c>
      <c r="D135" s="15" t="inlineStr">
        <is>
          <t>Drawing</t>
        </is>
      </c>
      <c r="E135" s="4" t="inlineStr">
        <is>
          <t>Either-sex Antelope</t>
        </is>
      </c>
      <c r="F135" s="4" t="inlineStr">
        <is>
          <t>Sept. 05-Oct. 09</t>
        </is>
      </c>
      <c r="G135" s="4" t="inlineStr">
        <is>
          <t>Oct. 10-Nov. 08</t>
        </is>
      </c>
      <c r="H135" s="4" t="n"/>
      <c r="I135" s="4" t="n"/>
      <c r="J135" s="4" t="inlineStr">
        <is>
          <t>June 1</t>
        </is>
      </c>
      <c r="K135" s="4" t="inlineStr">
        <is>
          <t>125</t>
        </is>
      </c>
      <c r="L135" s="4" t="n"/>
    </row>
    <row r="136">
      <c r="A136" s="4" t="inlineStr">
        <is>
          <t>640</t>
        </is>
      </c>
      <c r="B136" s="4" t="inlineStr">
        <is>
          <t>antelope</t>
        </is>
      </c>
      <c r="C136" s="4" t="inlineStr">
        <is>
          <t>Antelope B License: 640-30</t>
        </is>
      </c>
      <c r="D136" s="15" t="inlineStr">
        <is>
          <t>Drawing</t>
        </is>
      </c>
      <c r="E136" s="4" t="inlineStr">
        <is>
          <t>Doe/Fawn Antelope</t>
        </is>
      </c>
      <c r="F136" s="4" t="inlineStr">
        <is>
          <t>Sept. 05-Oct. 09</t>
        </is>
      </c>
      <c r="G136" s="4" t="inlineStr">
        <is>
          <t>Oct. 10-Nov. 08</t>
        </is>
      </c>
      <c r="H136" s="4" t="n"/>
      <c r="I136" s="4" t="n"/>
      <c r="J136" s="4" t="inlineStr">
        <is>
          <t>June 1</t>
        </is>
      </c>
      <c r="K136" s="4" t="inlineStr">
        <is>
          <t>25</t>
        </is>
      </c>
      <c r="L136" s="4" t="n"/>
    </row>
    <row r="137">
      <c r="A137" s="4" t="inlineStr">
        <is>
          <t>640</t>
        </is>
      </c>
      <c r="B137" s="4" t="inlineStr">
        <is>
          <t>antelope</t>
        </is>
      </c>
      <c r="C137" s="4" t="inlineStr">
        <is>
          <t>Antelope License: 900-20</t>
        </is>
      </c>
      <c r="D137" s="15" t="inlineStr">
        <is>
          <t>Drawing</t>
        </is>
      </c>
      <c r="E137" s="4" t="inlineStr">
        <is>
          <t>Either-sex Antelope</t>
        </is>
      </c>
      <c r="F137" s="4" t="n"/>
      <c r="G137" s="4" t="inlineStr">
        <is>
          <t>Aug. 15-Nov. 08</t>
        </is>
      </c>
      <c r="H137" s="4" t="n"/>
      <c r="I137" s="4" t="n"/>
      <c r="J137" s="4" t="inlineStr">
        <is>
          <t>June 1</t>
        </is>
      </c>
      <c r="K137" s="4" t="inlineStr">
        <is>
          <t>5,600</t>
        </is>
      </c>
      <c r="L137" s="4" t="inlineStr">
        <is>
          <t>First and only choice. ArchEquip only.</t>
        </is>
      </c>
    </row>
    <row r="138">
      <c r="A138" s="4" t="inlineStr">
        <is>
          <t>650</t>
        </is>
      </c>
      <c r="B138" s="4" t="inlineStr">
        <is>
          <t>antelope</t>
        </is>
      </c>
      <c r="C138" s="4" t="inlineStr">
        <is>
          <t>Antelope License: 650-20</t>
        </is>
      </c>
      <c r="D138" s="15" t="inlineStr">
        <is>
          <t>Drawing</t>
        </is>
      </c>
      <c r="E138" s="4" t="inlineStr">
        <is>
          <t>Either-sex Antelope</t>
        </is>
      </c>
      <c r="F138" s="4" t="inlineStr">
        <is>
          <t>Sept. 05-Oct. 09</t>
        </is>
      </c>
      <c r="G138" s="4" t="inlineStr">
        <is>
          <t>Oct. 10-Nov. 08</t>
        </is>
      </c>
      <c r="H138" s="4" t="n"/>
      <c r="I138" s="4" t="n"/>
      <c r="J138" s="4" t="inlineStr">
        <is>
          <t>June 1</t>
        </is>
      </c>
      <c r="K138" s="4" t="inlineStr">
        <is>
          <t>700</t>
        </is>
      </c>
      <c r="L138" s="4" t="n"/>
    </row>
    <row r="139">
      <c r="A139" s="4" t="inlineStr">
        <is>
          <t>650</t>
        </is>
      </c>
      <c r="B139" s="4" t="inlineStr">
        <is>
          <t>antelope</t>
        </is>
      </c>
      <c r="C139" s="4" t="inlineStr">
        <is>
          <t>Antelope B License: 650-30</t>
        </is>
      </c>
      <c r="D139" s="15" t="inlineStr">
        <is>
          <t>Drawing</t>
        </is>
      </c>
      <c r="E139" s="4" t="inlineStr">
        <is>
          <t>Doe/Fawn Antelope</t>
        </is>
      </c>
      <c r="F139" s="4" t="inlineStr">
        <is>
          <t>Sept. 05-Oct. 09</t>
        </is>
      </c>
      <c r="G139" s="4" t="inlineStr">
        <is>
          <t>Oct. 10-Nov. 08</t>
        </is>
      </c>
      <c r="H139" s="4" t="n"/>
      <c r="I139" s="4" t="n"/>
      <c r="J139" s="4" t="inlineStr">
        <is>
          <t>June 1</t>
        </is>
      </c>
      <c r="K139" s="4" t="inlineStr">
        <is>
          <t>250</t>
        </is>
      </c>
      <c r="L139" s="4" t="n"/>
    </row>
    <row r="140">
      <c r="A140" s="4" t="inlineStr">
        <is>
          <t>650</t>
        </is>
      </c>
      <c r="B140" s="4" t="inlineStr">
        <is>
          <t>antelope</t>
        </is>
      </c>
      <c r="C140" s="4" t="inlineStr">
        <is>
          <t>Antelope License: 900-20</t>
        </is>
      </c>
      <c r="D140" s="15" t="inlineStr">
        <is>
          <t>Drawing</t>
        </is>
      </c>
      <c r="E140" s="4" t="inlineStr">
        <is>
          <t>Either-sex Antelope</t>
        </is>
      </c>
      <c r="F140" s="4" t="n"/>
      <c r="G140" s="4" t="inlineStr">
        <is>
          <t>Aug. 15-Nov. 08</t>
        </is>
      </c>
      <c r="H140" s="4" t="n"/>
      <c r="I140" s="4" t="n"/>
      <c r="J140" s="4" t="inlineStr">
        <is>
          <t>June 1</t>
        </is>
      </c>
      <c r="K140" s="4" t="inlineStr">
        <is>
          <t>5,600</t>
        </is>
      </c>
      <c r="L140" s="4" t="inlineStr">
        <is>
          <t>First and only choice. ArchEquip only.</t>
        </is>
      </c>
    </row>
    <row r="141">
      <c r="A141" s="4" t="inlineStr">
        <is>
          <t>670</t>
        </is>
      </c>
      <c r="B141" s="4" t="inlineStr">
        <is>
          <t>antelope</t>
        </is>
      </c>
      <c r="C141" s="4" t="inlineStr">
        <is>
          <t>Antelope License: 670-20</t>
        </is>
      </c>
      <c r="D141" s="15" t="inlineStr">
        <is>
          <t>Drawing</t>
        </is>
      </c>
      <c r="E141" s="4" t="inlineStr">
        <is>
          <t>Either-sex Antelope</t>
        </is>
      </c>
      <c r="F141" s="4" t="inlineStr">
        <is>
          <t>Sept. 05-Oct. 09</t>
        </is>
      </c>
      <c r="G141" s="4" t="inlineStr">
        <is>
          <t>Oct. 10-Nov. 08</t>
        </is>
      </c>
      <c r="H141" s="4" t="n"/>
      <c r="I141" s="4" t="n"/>
      <c r="J141" s="4" t="inlineStr">
        <is>
          <t>June 1</t>
        </is>
      </c>
      <c r="K141" s="4" t="inlineStr">
        <is>
          <t>400</t>
        </is>
      </c>
      <c r="L141" s="4" t="n"/>
    </row>
    <row r="142">
      <c r="A142" s="4" t="inlineStr">
        <is>
          <t>670</t>
        </is>
      </c>
      <c r="B142" s="4" t="inlineStr">
        <is>
          <t>antelope</t>
        </is>
      </c>
      <c r="C142" s="4" t="inlineStr">
        <is>
          <t>Antelope B License: 670-30</t>
        </is>
      </c>
      <c r="D142" s="15" t="inlineStr">
        <is>
          <t>Drawing</t>
        </is>
      </c>
      <c r="E142" s="4" t="inlineStr">
        <is>
          <t>Doe/Fawn Antelope</t>
        </is>
      </c>
      <c r="F142" s="4" t="inlineStr">
        <is>
          <t>Sept. 05-Oct. 09</t>
        </is>
      </c>
      <c r="G142" s="4" t="inlineStr">
        <is>
          <t>Oct. 10-Nov. 08</t>
        </is>
      </c>
      <c r="H142" s="4" t="n"/>
      <c r="I142" s="4" t="n"/>
      <c r="J142" s="4" t="inlineStr">
        <is>
          <t>June 1</t>
        </is>
      </c>
      <c r="K142" s="4" t="inlineStr">
        <is>
          <t>50</t>
        </is>
      </c>
      <c r="L142" s="4" t="n"/>
    </row>
    <row r="143">
      <c r="A143" s="4" t="inlineStr">
        <is>
          <t>670</t>
        </is>
      </c>
      <c r="B143" s="4" t="inlineStr">
        <is>
          <t>antelope</t>
        </is>
      </c>
      <c r="C143" s="4" t="inlineStr">
        <is>
          <t>Antelope License: 900-20</t>
        </is>
      </c>
      <c r="D143" s="15" t="inlineStr">
        <is>
          <t>Drawing</t>
        </is>
      </c>
      <c r="E143" s="4" t="inlineStr">
        <is>
          <t>Either-sex Antelope</t>
        </is>
      </c>
      <c r="F143" s="4" t="n"/>
      <c r="G143" s="4" t="inlineStr">
        <is>
          <t>Aug. 15-Nov. 08</t>
        </is>
      </c>
      <c r="H143" s="4" t="n"/>
      <c r="I143" s="4" t="n"/>
      <c r="J143" s="4" t="inlineStr">
        <is>
          <t>June 1</t>
        </is>
      </c>
      <c r="K143" s="4" t="inlineStr">
        <is>
          <t>5,600</t>
        </is>
      </c>
      <c r="L143" s="4" t="inlineStr">
        <is>
          <t>First and only choice. ArchEquip only.</t>
        </is>
      </c>
    </row>
    <row r="144">
      <c r="A144" s="4" t="inlineStr">
        <is>
          <t>690</t>
        </is>
      </c>
      <c r="B144" s="4" t="inlineStr">
        <is>
          <t>antelope</t>
        </is>
      </c>
      <c r="C144" s="4" t="inlineStr">
        <is>
          <t>Antelope License: 690-20</t>
        </is>
      </c>
      <c r="D144" s="15" t="inlineStr">
        <is>
          <t>Drawing</t>
        </is>
      </c>
      <c r="E144" s="4" t="inlineStr">
        <is>
          <t>Either-sex Antelope</t>
        </is>
      </c>
      <c r="F144" s="4" t="inlineStr">
        <is>
          <t>Sept. 05-Oct. 09</t>
        </is>
      </c>
      <c r="G144" s="4" t="inlineStr">
        <is>
          <t>Oct. 10-Nov. 08</t>
        </is>
      </c>
      <c r="H144" s="4" t="n"/>
      <c r="I144" s="4" t="n"/>
      <c r="J144" s="4" t="inlineStr">
        <is>
          <t>June 1</t>
        </is>
      </c>
      <c r="K144" s="4" t="inlineStr">
        <is>
          <t>500</t>
        </is>
      </c>
      <c r="L144" s="4" t="n"/>
    </row>
    <row r="145">
      <c r="A145" s="4" t="inlineStr">
        <is>
          <t>690</t>
        </is>
      </c>
      <c r="B145" s="4" t="inlineStr">
        <is>
          <t>antelope</t>
        </is>
      </c>
      <c r="C145" s="4" t="inlineStr">
        <is>
          <t>Antelope B License: 690-30</t>
        </is>
      </c>
      <c r="D145" s="15" t="inlineStr">
        <is>
          <t>Drawing</t>
        </is>
      </c>
      <c r="E145" s="4" t="inlineStr">
        <is>
          <t>Doe/Fawn Antelope</t>
        </is>
      </c>
      <c r="F145" s="4" t="inlineStr">
        <is>
          <t>Sept. 05-Oct. 09</t>
        </is>
      </c>
      <c r="G145" s="4" t="inlineStr">
        <is>
          <t>Oct. 10-Nov. 08</t>
        </is>
      </c>
      <c r="H145" s="4" t="n"/>
      <c r="I145" s="4" t="n"/>
      <c r="J145" s="4" t="inlineStr">
        <is>
          <t>June 1</t>
        </is>
      </c>
      <c r="K145" s="4" t="inlineStr">
        <is>
          <t>200</t>
        </is>
      </c>
      <c r="L145" s="4" t="n"/>
    </row>
    <row r="146">
      <c r="A146" s="4" t="inlineStr">
        <is>
          <t>690</t>
        </is>
      </c>
      <c r="B146" s="4" t="inlineStr">
        <is>
          <t>antelope</t>
        </is>
      </c>
      <c r="C146" s="4" t="inlineStr">
        <is>
          <t>Antelope License: 900-20</t>
        </is>
      </c>
      <c r="D146" s="15" t="inlineStr">
        <is>
          <t>Drawing</t>
        </is>
      </c>
      <c r="E146" s="4" t="inlineStr">
        <is>
          <t>Either-sex Antelope</t>
        </is>
      </c>
      <c r="F146" s="4" t="n"/>
      <c r="G146" s="4" t="inlineStr">
        <is>
          <t>Aug. 15-Nov. 08</t>
        </is>
      </c>
      <c r="H146" s="4" t="n"/>
      <c r="I146" s="4" t="n"/>
      <c r="J146" s="4" t="inlineStr">
        <is>
          <t>June 1</t>
        </is>
      </c>
      <c r="K146" s="4" t="inlineStr">
        <is>
          <t>5,600</t>
        </is>
      </c>
      <c r="L146" s="4" t="inlineStr">
        <is>
          <t>First and only choice. ArchEquip only. Region</t>
        </is>
      </c>
    </row>
    <row r="147">
      <c r="A147" s="4" t="inlineStr">
        <is>
          <t>700</t>
        </is>
      </c>
      <c r="B147" s="4" t="inlineStr">
        <is>
          <t>antelope</t>
        </is>
      </c>
      <c r="C147" s="4" t="inlineStr">
        <is>
          <t>Antelope License: 900-20</t>
        </is>
      </c>
      <c r="D147" s="15" t="inlineStr">
        <is>
          <t>Drawing</t>
        </is>
      </c>
      <c r="E147" s="4" t="inlineStr">
        <is>
          <t>Either-sex Antelope</t>
        </is>
      </c>
      <c r="F147" s="4" t="n"/>
      <c r="G147" s="4" t="inlineStr">
        <is>
          <t>Aug. 15-Nov. 08</t>
        </is>
      </c>
      <c r="H147" s="4" t="n"/>
      <c r="I147" s="4" t="n"/>
      <c r="J147" s="4" t="inlineStr">
        <is>
          <t>June 1</t>
        </is>
      </c>
      <c r="K147" s="4" t="inlineStr">
        <is>
          <t>5,600</t>
        </is>
      </c>
      <c r="L147" s="4" t="inlineStr">
        <is>
          <t>First and only choice. ArchEquip only.</t>
        </is>
      </c>
    </row>
    <row r="148">
      <c r="A148" s="4" t="inlineStr">
        <is>
          <t>700</t>
        </is>
      </c>
      <c r="B148" s="4" t="inlineStr">
        <is>
          <t>antelope</t>
        </is>
      </c>
      <c r="C148" s="4" t="inlineStr">
        <is>
          <t>Antelope License: 007-21</t>
        </is>
      </c>
      <c r="D148" s="15" t="inlineStr">
        <is>
          <t>Drawing</t>
        </is>
      </c>
      <c r="E148" s="4" t="inlineStr">
        <is>
          <t>Either-sex Antelope</t>
        </is>
      </c>
      <c r="F148" s="4" t="inlineStr">
        <is>
          <t>Sept. 05-Oct. 09</t>
        </is>
      </c>
      <c r="G148" s="4" t="inlineStr">
        <is>
          <t>Oct. 10-Nov. 08</t>
        </is>
      </c>
      <c r="H148" s="4" t="n"/>
      <c r="I148" s="4" t="n"/>
      <c r="J148" s="4" t="inlineStr">
        <is>
          <t>June 1</t>
        </is>
      </c>
      <c r="K148" s="4" t="inlineStr">
        <is>
          <t>3,500</t>
        </is>
      </c>
      <c r="L148" s="4" t="n"/>
    </row>
    <row r="149">
      <c r="A149" s="4" t="inlineStr">
        <is>
          <t>700</t>
        </is>
      </c>
      <c r="B149" s="4" t="inlineStr">
        <is>
          <t>antelope</t>
        </is>
      </c>
      <c r="C149" s="4" t="inlineStr">
        <is>
          <t>Antelope B License: 007-31</t>
        </is>
      </c>
      <c r="D149" s="15" t="inlineStr">
        <is>
          <t>Drawing</t>
        </is>
      </c>
      <c r="E149" s="4" t="inlineStr">
        <is>
          <t>Doe/Fawn Antelope</t>
        </is>
      </c>
      <c r="F149" s="4" t="inlineStr">
        <is>
          <t>Sept. 05-Oct. 09</t>
        </is>
      </c>
      <c r="G149" s="4" t="inlineStr">
        <is>
          <t>Oct. 10-Nov. 08</t>
        </is>
      </c>
      <c r="H149" s="4" t="n"/>
      <c r="I149" s="4" t="n"/>
      <c r="J149" s="4" t="inlineStr">
        <is>
          <t>June 1</t>
        </is>
      </c>
      <c r="K149" s="4" t="inlineStr">
        <is>
          <t>500</t>
        </is>
      </c>
      <c r="L149" s="4" t="n"/>
    </row>
    <row r="150">
      <c r="A150" s="4" t="inlineStr">
        <is>
          <t>701</t>
        </is>
      </c>
      <c r="B150" s="4" t="inlineStr">
        <is>
          <t>antelope</t>
        </is>
      </c>
      <c r="C150" s="4" t="inlineStr">
        <is>
          <t>Antelope License: 900-20</t>
        </is>
      </c>
      <c r="D150" s="15" t="inlineStr">
        <is>
          <t>Drawing</t>
        </is>
      </c>
      <c r="E150" s="4" t="inlineStr">
        <is>
          <t>Either-sex Antelope</t>
        </is>
      </c>
      <c r="F150" s="4" t="n"/>
      <c r="G150" s="4" t="inlineStr">
        <is>
          <t>Aug. 15-Nov. 08</t>
        </is>
      </c>
      <c r="H150" s="4" t="n"/>
      <c r="I150" s="4" t="n"/>
      <c r="J150" s="4" t="inlineStr">
        <is>
          <t>June 1</t>
        </is>
      </c>
      <c r="K150" s="4" t="inlineStr">
        <is>
          <t>5,600</t>
        </is>
      </c>
      <c r="L150" s="4" t="inlineStr">
        <is>
          <t>First and only choice. ArchEquip only.</t>
        </is>
      </c>
    </row>
    <row r="151">
      <c r="A151" s="4" t="inlineStr">
        <is>
          <t>701</t>
        </is>
      </c>
      <c r="B151" s="4" t="inlineStr">
        <is>
          <t>antelope</t>
        </is>
      </c>
      <c r="C151" s="4" t="inlineStr">
        <is>
          <t>Antelope License: 007-21</t>
        </is>
      </c>
      <c r="D151" s="15" t="inlineStr">
        <is>
          <t>Drawing</t>
        </is>
      </c>
      <c r="E151" s="4" t="inlineStr">
        <is>
          <t>Either-sex Antelope</t>
        </is>
      </c>
      <c r="F151" s="4" t="inlineStr">
        <is>
          <t>Sept. 05-Oct. 09</t>
        </is>
      </c>
      <c r="G151" s="4" t="inlineStr">
        <is>
          <t>Oct. 10-Nov. 08</t>
        </is>
      </c>
      <c r="H151" s="4" t="n"/>
      <c r="I151" s="4" t="n"/>
      <c r="J151" s="4" t="inlineStr">
        <is>
          <t>June 1</t>
        </is>
      </c>
      <c r="K151" s="4" t="inlineStr">
        <is>
          <t>3,500</t>
        </is>
      </c>
      <c r="L151" s="4" t="n"/>
    </row>
    <row r="152">
      <c r="A152" s="4" t="inlineStr">
        <is>
          <t>701</t>
        </is>
      </c>
      <c r="B152" s="4" t="inlineStr">
        <is>
          <t>antelope</t>
        </is>
      </c>
      <c r="C152" s="4" t="inlineStr">
        <is>
          <t>Antelope B License: 007-31</t>
        </is>
      </c>
      <c r="D152" s="15" t="inlineStr">
        <is>
          <t>Drawing</t>
        </is>
      </c>
      <c r="E152" s="4" t="inlineStr">
        <is>
          <t>Doe/Fawn Antelope</t>
        </is>
      </c>
      <c r="F152" s="4" t="inlineStr">
        <is>
          <t>Sept. 05-Oct. 09</t>
        </is>
      </c>
      <c r="G152" s="4" t="inlineStr">
        <is>
          <t>Oct. 10-Nov. 08</t>
        </is>
      </c>
      <c r="H152" s="4" t="n"/>
      <c r="I152" s="4" t="n"/>
      <c r="J152" s="4" t="inlineStr">
        <is>
          <t>June 1</t>
        </is>
      </c>
      <c r="K152" s="4" t="inlineStr">
        <is>
          <t>500</t>
        </is>
      </c>
      <c r="L152" s="4" t="n"/>
    </row>
    <row r="153">
      <c r="A153" s="4" t="inlineStr">
        <is>
          <t>701</t>
        </is>
      </c>
      <c r="B153" s="4" t="inlineStr">
        <is>
          <t>antelope</t>
        </is>
      </c>
      <c r="C153" s="4" t="inlineStr">
        <is>
          <t>Antelope License: 007-20</t>
        </is>
      </c>
      <c r="D153" s="15" t="inlineStr">
        <is>
          <t>Drawing</t>
        </is>
      </c>
      <c r="E153" s="4" t="inlineStr">
        <is>
          <t>Either-sex Antelope</t>
        </is>
      </c>
      <c r="F153" s="4" t="inlineStr">
        <is>
          <t>Sept. 05-Oct. 09</t>
        </is>
      </c>
      <c r="G153" s="4" t="inlineStr">
        <is>
          <t>Oct. 10-Nov. 08</t>
        </is>
      </c>
      <c r="H153" s="4" t="n"/>
      <c r="I153" s="4" t="n"/>
      <c r="J153" s="4" t="inlineStr">
        <is>
          <t>June 1</t>
        </is>
      </c>
      <c r="K153" s="4" t="inlineStr">
        <is>
          <t>6,500</t>
        </is>
      </c>
      <c r="L153" s="4" t="inlineStr">
        <is>
          <t>Successful antelope either- sex 007-20 applicants may be ofered the opportunity to purchase one doe/fawn 705-30 (Quota: 750, Range 1-4,000) license valid in HD 705 during the same time periods.</t>
        </is>
      </c>
    </row>
    <row r="154">
      <c r="A154" s="4" t="inlineStr">
        <is>
          <t>701</t>
        </is>
      </c>
      <c r="B154" s="4" t="inlineStr">
        <is>
          <t>antelope</t>
        </is>
      </c>
      <c r="C154" s="4" t="inlineStr">
        <is>
          <t>Antelope B License: 007-30</t>
        </is>
      </c>
      <c r="D154" s="15" t="inlineStr">
        <is>
          <t>Drawing</t>
        </is>
      </c>
      <c r="E154" s="4" t="inlineStr">
        <is>
          <t>Doe/Fawn Antelope</t>
        </is>
      </c>
      <c r="F154" s="4" t="inlineStr">
        <is>
          <t>Sept. 05-Oct. 09</t>
        </is>
      </c>
      <c r="G154" s="4" t="inlineStr">
        <is>
          <t>Oct. 10-Nov. 08</t>
        </is>
      </c>
      <c r="H154" s="4" t="n"/>
      <c r="I154" s="4" t="n"/>
      <c r="J154" s="4" t="inlineStr">
        <is>
          <t>June 1</t>
        </is>
      </c>
      <c r="K154" s="4" t="inlineStr">
        <is>
          <t>1,000</t>
        </is>
      </c>
      <c r="L154" s="4" t="n"/>
    </row>
    <row r="155">
      <c r="A155" s="4" t="inlineStr">
        <is>
          <t>702</t>
        </is>
      </c>
      <c r="B155" s="4" t="inlineStr">
        <is>
          <t>antelope</t>
        </is>
      </c>
      <c r="C155" s="4" t="inlineStr">
        <is>
          <t>Antelope License: 900-20</t>
        </is>
      </c>
      <c r="D155" s="15" t="inlineStr">
        <is>
          <t>Drawing</t>
        </is>
      </c>
      <c r="E155" s="4" t="inlineStr">
        <is>
          <t>Either-sex Antelope</t>
        </is>
      </c>
      <c r="F155" s="4" t="n"/>
      <c r="G155" s="4" t="inlineStr">
        <is>
          <t>Aug. 15-Nov. 08</t>
        </is>
      </c>
      <c r="H155" s="4" t="n"/>
      <c r="I155" s="4" t="n"/>
      <c r="J155" s="4" t="inlineStr">
        <is>
          <t>June 1</t>
        </is>
      </c>
      <c r="K155" s="4" t="inlineStr">
        <is>
          <t>5,600</t>
        </is>
      </c>
      <c r="L155" s="4" t="inlineStr">
        <is>
          <t>First and only choice. ArchEquip only.</t>
        </is>
      </c>
    </row>
    <row r="156">
      <c r="A156" s="4" t="inlineStr">
        <is>
          <t>702</t>
        </is>
      </c>
      <c r="B156" s="4" t="inlineStr">
        <is>
          <t>antelope</t>
        </is>
      </c>
      <c r="C156" s="4" t="inlineStr">
        <is>
          <t>Antelope License: 007-20</t>
        </is>
      </c>
      <c r="D156" s="15" t="inlineStr">
        <is>
          <t>Drawing</t>
        </is>
      </c>
      <c r="E156" s="4" t="inlineStr">
        <is>
          <t>Either-sex Antelope</t>
        </is>
      </c>
      <c r="F156" s="4" t="inlineStr">
        <is>
          <t>Sept. 05-Oct. 09</t>
        </is>
      </c>
      <c r="G156" s="4" t="inlineStr">
        <is>
          <t>Oct. 10-Nov. 08</t>
        </is>
      </c>
      <c r="H156" s="4" t="n"/>
      <c r="I156" s="4" t="n"/>
      <c r="J156" s="4" t="inlineStr">
        <is>
          <t>June 1</t>
        </is>
      </c>
      <c r="K156" s="4" t="inlineStr">
        <is>
          <t>6,500</t>
        </is>
      </c>
      <c r="L156" s="4" t="inlineStr">
        <is>
          <t>Successful antelope either- sex 007-20 applicants may be ofered the opportunity to purchase one doe/fawn 705-30 (Quota: 750, Range 1-4,000) license valid in HD 705 during the same time periods.</t>
        </is>
      </c>
    </row>
    <row r="157">
      <c r="A157" s="4" t="inlineStr">
        <is>
          <t>702</t>
        </is>
      </c>
      <c r="B157" s="4" t="inlineStr">
        <is>
          <t>antelope</t>
        </is>
      </c>
      <c r="C157" s="4" t="inlineStr">
        <is>
          <t>Antelope B License: 007-30</t>
        </is>
      </c>
      <c r="D157" s="15" t="inlineStr">
        <is>
          <t>Drawing</t>
        </is>
      </c>
      <c r="E157" s="4" t="inlineStr">
        <is>
          <t>Doe/Fawn Antelope</t>
        </is>
      </c>
      <c r="F157" s="4" t="inlineStr">
        <is>
          <t>Sept. 05-Oct. 09</t>
        </is>
      </c>
      <c r="G157" s="4" t="inlineStr">
        <is>
          <t>Oct. 10-Nov. 08</t>
        </is>
      </c>
      <c r="H157" s="4" t="n"/>
      <c r="I157" s="4" t="n"/>
      <c r="J157" s="4" t="inlineStr">
        <is>
          <t>June 1</t>
        </is>
      </c>
      <c r="K157" s="4" t="inlineStr">
        <is>
          <t>1,000</t>
        </is>
      </c>
      <c r="L157" s="4" t="n"/>
    </row>
    <row r="158">
      <c r="A158" s="4" t="inlineStr">
        <is>
          <t>703</t>
        </is>
      </c>
      <c r="B158" s="4" t="inlineStr">
        <is>
          <t>antelope</t>
        </is>
      </c>
      <c r="C158" s="4" t="inlineStr">
        <is>
          <t>Antelope License: 900-20</t>
        </is>
      </c>
      <c r="D158" s="15" t="inlineStr">
        <is>
          <t>Drawing</t>
        </is>
      </c>
      <c r="E158" s="4" t="inlineStr">
        <is>
          <t>Either-sex Antelope</t>
        </is>
      </c>
      <c r="F158" s="4" t="n"/>
      <c r="G158" s="4" t="inlineStr">
        <is>
          <t>Aug. 15-Nov. 08</t>
        </is>
      </c>
      <c r="H158" s="4" t="n"/>
      <c r="I158" s="4" t="n"/>
      <c r="J158" s="4" t="inlineStr">
        <is>
          <t>June 1</t>
        </is>
      </c>
      <c r="K158" s="4" t="inlineStr">
        <is>
          <t>5,600</t>
        </is>
      </c>
      <c r="L158" s="4" t="inlineStr">
        <is>
          <t>First and only choice. ArchEquip only.</t>
        </is>
      </c>
    </row>
    <row r="159">
      <c r="A159" s="4" t="inlineStr">
        <is>
          <t>703</t>
        </is>
      </c>
      <c r="B159" s="4" t="inlineStr">
        <is>
          <t>antelope</t>
        </is>
      </c>
      <c r="C159" s="4" t="inlineStr">
        <is>
          <t>Antelope License: 007-21</t>
        </is>
      </c>
      <c r="D159" s="15" t="inlineStr">
        <is>
          <t>Drawing</t>
        </is>
      </c>
      <c r="E159" s="4" t="inlineStr">
        <is>
          <t>Either-sex Antelope</t>
        </is>
      </c>
      <c r="F159" s="4" t="inlineStr">
        <is>
          <t>Sept. 05-Oct. 09</t>
        </is>
      </c>
      <c r="G159" s="4" t="inlineStr">
        <is>
          <t>Oct. 10-Nov. 08</t>
        </is>
      </c>
      <c r="H159" s="4" t="n"/>
      <c r="I159" s="4" t="n"/>
      <c r="J159" s="4" t="inlineStr">
        <is>
          <t>June 1</t>
        </is>
      </c>
      <c r="K159" s="4" t="inlineStr">
        <is>
          <t>3,500</t>
        </is>
      </c>
      <c r="L159" s="4" t="n"/>
    </row>
    <row r="160">
      <c r="A160" s="4" t="inlineStr">
        <is>
          <t>703</t>
        </is>
      </c>
      <c r="B160" s="4" t="inlineStr">
        <is>
          <t>antelope</t>
        </is>
      </c>
      <c r="C160" s="4" t="inlineStr">
        <is>
          <t>Antelope B License: 007-31</t>
        </is>
      </c>
      <c r="D160" s="15" t="inlineStr">
        <is>
          <t>Drawing</t>
        </is>
      </c>
      <c r="E160" s="4" t="inlineStr">
        <is>
          <t>Doe/Fawn Antelope</t>
        </is>
      </c>
      <c r="F160" s="4" t="inlineStr">
        <is>
          <t>Sept. 05-Oct. 09</t>
        </is>
      </c>
      <c r="G160" s="4" t="inlineStr">
        <is>
          <t>Oct. 10-Nov. 08</t>
        </is>
      </c>
      <c r="H160" s="4" t="n"/>
      <c r="I160" s="4" t="n"/>
      <c r="J160" s="4" t="inlineStr">
        <is>
          <t>June 1</t>
        </is>
      </c>
      <c r="K160" s="4" t="inlineStr">
        <is>
          <t>500</t>
        </is>
      </c>
      <c r="L160" s="4" t="n"/>
    </row>
    <row r="161">
      <c r="A161" s="4" t="inlineStr">
        <is>
          <t>703</t>
        </is>
      </c>
      <c r="B161" s="4" t="inlineStr">
        <is>
          <t>antelope</t>
        </is>
      </c>
      <c r="C161" s="4" t="inlineStr">
        <is>
          <t>Antelope License: 007-20</t>
        </is>
      </c>
      <c r="D161" s="15" t="inlineStr">
        <is>
          <t>Drawing</t>
        </is>
      </c>
      <c r="E161" s="4" t="inlineStr">
        <is>
          <t>Either-sex Antelope</t>
        </is>
      </c>
      <c r="F161" s="4" t="inlineStr">
        <is>
          <t>Sept. 05-Oct. 09</t>
        </is>
      </c>
      <c r="G161" s="4" t="inlineStr">
        <is>
          <t>Oct. 10-Nov. 08</t>
        </is>
      </c>
      <c r="H161" s="4" t="n"/>
      <c r="I161" s="4" t="n"/>
      <c r="J161" s="4" t="inlineStr">
        <is>
          <t>June 1</t>
        </is>
      </c>
      <c r="K161" s="4" t="inlineStr">
        <is>
          <t>6,500</t>
        </is>
      </c>
      <c r="L161" s="4" t="inlineStr">
        <is>
          <t>Successful antelope either- sex 007-20 applicants may be ofered the opportunity to purchase one doe/fawn 705-30 (Quota: 750, Range 1-4,000) license valid in HD 705 during the same time periods.</t>
        </is>
      </c>
    </row>
    <row r="162">
      <c r="A162" s="4" t="inlineStr">
        <is>
          <t>703</t>
        </is>
      </c>
      <c r="B162" s="4" t="inlineStr">
        <is>
          <t>antelope</t>
        </is>
      </c>
      <c r="C162" s="4" t="inlineStr">
        <is>
          <t>Antelope B License: 007-30</t>
        </is>
      </c>
      <c r="D162" s="15" t="inlineStr">
        <is>
          <t>Drawing</t>
        </is>
      </c>
      <c r="E162" s="4" t="inlineStr">
        <is>
          <t>Doe/Fawn Antelope</t>
        </is>
      </c>
      <c r="F162" s="4" t="inlineStr">
        <is>
          <t>Sept. 05-Oct. 09</t>
        </is>
      </c>
      <c r="G162" s="4" t="inlineStr">
        <is>
          <t>Oct. 10-Nov. 08</t>
        </is>
      </c>
      <c r="H162" s="4" t="n"/>
      <c r="I162" s="4" t="n"/>
      <c r="J162" s="4" t="inlineStr">
        <is>
          <t>June 1</t>
        </is>
      </c>
      <c r="K162" s="4" t="inlineStr">
        <is>
          <t>1,000</t>
        </is>
      </c>
      <c r="L162" s="4" t="n"/>
    </row>
    <row r="163">
      <c r="A163" s="4" t="inlineStr">
        <is>
          <t>704</t>
        </is>
      </c>
      <c r="B163" s="4" t="inlineStr">
        <is>
          <t>antelope</t>
        </is>
      </c>
      <c r="C163" s="4" t="inlineStr">
        <is>
          <t>Antelope License: 900-20</t>
        </is>
      </c>
      <c r="D163" s="15" t="inlineStr">
        <is>
          <t>Drawing</t>
        </is>
      </c>
      <c r="E163" s="4" t="inlineStr">
        <is>
          <t>Either-sex Antelope</t>
        </is>
      </c>
      <c r="F163" s="4" t="n"/>
      <c r="G163" s="4" t="inlineStr">
        <is>
          <t>Aug. 15-Nov. 08</t>
        </is>
      </c>
      <c r="H163" s="4" t="n"/>
      <c r="I163" s="4" t="n"/>
      <c r="J163" s="4" t="inlineStr">
        <is>
          <t>June 1</t>
        </is>
      </c>
      <c r="K163" s="4" t="inlineStr">
        <is>
          <t>5,600</t>
        </is>
      </c>
      <c r="L163" s="4" t="inlineStr">
        <is>
          <t>First and only choice. ArchEquip only.</t>
        </is>
      </c>
    </row>
    <row r="164">
      <c r="A164" s="4" t="inlineStr">
        <is>
          <t>704</t>
        </is>
      </c>
      <c r="B164" s="4" t="inlineStr">
        <is>
          <t>antelope</t>
        </is>
      </c>
      <c r="C164" s="4" t="inlineStr">
        <is>
          <t>Antelope License: 007-20</t>
        </is>
      </c>
      <c r="D164" s="15" t="inlineStr">
        <is>
          <t>Drawing</t>
        </is>
      </c>
      <c r="E164" s="4" t="inlineStr">
        <is>
          <t>Either-sex Antelope</t>
        </is>
      </c>
      <c r="F164" s="4" t="inlineStr">
        <is>
          <t>Sept. 05-Oct. 09</t>
        </is>
      </c>
      <c r="G164" s="4" t="inlineStr">
        <is>
          <t>Oct. 10-Nov. 08</t>
        </is>
      </c>
      <c r="H164" s="4" t="n"/>
      <c r="I164" s="4" t="n"/>
      <c r="J164" s="4" t="inlineStr">
        <is>
          <t>June 1</t>
        </is>
      </c>
      <c r="K164" s="4" t="inlineStr">
        <is>
          <t>6,500</t>
        </is>
      </c>
      <c r="L164" s="4" t="inlineStr">
        <is>
          <t>Successful antelope either- sex 007-20 applicants may be ofered the opportunity to purchase one doe/fawn 705-30 (Quota: 750, Range 1-4,000) license valid in HD 705 during the same time periods.</t>
        </is>
      </c>
    </row>
    <row r="165">
      <c r="A165" s="4" t="inlineStr">
        <is>
          <t>704</t>
        </is>
      </c>
      <c r="B165" s="4" t="inlineStr">
        <is>
          <t>antelope</t>
        </is>
      </c>
      <c r="C165" s="4" t="inlineStr">
        <is>
          <t>Antelope B License: 007-30</t>
        </is>
      </c>
      <c r="D165" s="15" t="inlineStr">
        <is>
          <t>Drawing</t>
        </is>
      </c>
      <c r="E165" s="4" t="inlineStr">
        <is>
          <t>Doe/Fawn Antelope</t>
        </is>
      </c>
      <c r="F165" s="4" t="inlineStr">
        <is>
          <t>Sept. 05-Oct. 09</t>
        </is>
      </c>
      <c r="G165" s="4" t="inlineStr">
        <is>
          <t>Oct. 10-Nov. 08</t>
        </is>
      </c>
      <c r="H165" s="4" t="n"/>
      <c r="I165" s="4" t="n"/>
      <c r="J165" s="4" t="inlineStr">
        <is>
          <t>June 1</t>
        </is>
      </c>
      <c r="K165" s="4" t="inlineStr">
        <is>
          <t>1,000</t>
        </is>
      </c>
      <c r="L165" s="4" t="n"/>
    </row>
    <row r="166">
      <c r="A166" s="4" t="inlineStr">
        <is>
          <t>705</t>
        </is>
      </c>
      <c r="B166" s="4" t="inlineStr">
        <is>
          <t>antelope</t>
        </is>
      </c>
      <c r="C166" s="4" t="inlineStr">
        <is>
          <t>Antelope License: 900-20</t>
        </is>
      </c>
      <c r="D166" s="15" t="inlineStr">
        <is>
          <t>Drawing</t>
        </is>
      </c>
      <c r="E166" s="4" t="inlineStr">
        <is>
          <t>Either-sex Antelope</t>
        </is>
      </c>
      <c r="F166" s="4" t="n"/>
      <c r="G166" s="4" t="inlineStr">
        <is>
          <t>Aug. 15-Nov. 08</t>
        </is>
      </c>
      <c r="H166" s="4" t="n"/>
      <c r="I166" s="4" t="n"/>
      <c r="J166" s="4" t="inlineStr">
        <is>
          <t>June 1</t>
        </is>
      </c>
      <c r="K166" s="4" t="inlineStr">
        <is>
          <t>5,600</t>
        </is>
      </c>
      <c r="L166" s="4" t="inlineStr">
        <is>
          <t>First and only choice. ArchEquip only.</t>
        </is>
      </c>
    </row>
    <row r="167">
      <c r="A167" s="4" t="inlineStr">
        <is>
          <t>705</t>
        </is>
      </c>
      <c r="B167" s="4" t="inlineStr">
        <is>
          <t>antelope</t>
        </is>
      </c>
      <c r="C167" s="4" t="inlineStr">
        <is>
          <t>Antelope License: 007-20</t>
        </is>
      </c>
      <c r="D167" s="15" t="inlineStr">
        <is>
          <t>Drawing</t>
        </is>
      </c>
      <c r="E167" s="4" t="inlineStr">
        <is>
          <t>Either-sex Antelope</t>
        </is>
      </c>
      <c r="F167" s="4" t="inlineStr">
        <is>
          <t>Sept. 05-Oct. 09</t>
        </is>
      </c>
      <c r="G167" s="4" t="inlineStr">
        <is>
          <t>Oct. 10-Nov. 08</t>
        </is>
      </c>
      <c r="H167" s="4" t="n"/>
      <c r="I167" s="4" t="n"/>
      <c r="J167" s="4" t="inlineStr">
        <is>
          <t>June 1</t>
        </is>
      </c>
      <c r="K167" s="4" t="inlineStr">
        <is>
          <t>6,500</t>
        </is>
      </c>
      <c r="L167" s="4" t="inlineStr">
        <is>
          <t>Successful antelope either- sex 007-20 applicants may be ofered the opportunity to purchase one doe/fawn 705-30 (Quota: 750, Range 1-4,000) license valid in HD 705 during the same time periods.</t>
        </is>
      </c>
    </row>
    <row r="168">
      <c r="A168" s="4" t="inlineStr">
        <is>
          <t>705</t>
        </is>
      </c>
      <c r="B168" s="4" t="inlineStr">
        <is>
          <t>antelope</t>
        </is>
      </c>
      <c r="C168" s="4" t="inlineStr">
        <is>
          <t>Antelope B License: 007-30</t>
        </is>
      </c>
      <c r="D168" s="15" t="inlineStr">
        <is>
          <t>Drawing</t>
        </is>
      </c>
      <c r="E168" s="4" t="inlineStr">
        <is>
          <t>Doe/Fawn Antelope</t>
        </is>
      </c>
      <c r="F168" s="4" t="inlineStr">
        <is>
          <t>Sept. 05-Oct. 09</t>
        </is>
      </c>
      <c r="G168" s="4" t="inlineStr">
        <is>
          <t>Oct. 10-Nov. 08</t>
        </is>
      </c>
      <c r="H168" s="4" t="n"/>
      <c r="I168" s="4" t="n"/>
      <c r="J168" s="4" t="inlineStr">
        <is>
          <t>June 1</t>
        </is>
      </c>
      <c r="K168" s="4" t="inlineStr">
        <is>
          <t>1,000</t>
        </is>
      </c>
      <c r="L168" s="4" t="n"/>
    </row>
    <row r="169">
      <c r="A169" s="4" t="inlineStr">
        <is>
          <t>100</t>
        </is>
      </c>
      <c r="B169" s="4" t="inlineStr">
        <is>
          <t>elk</t>
        </is>
      </c>
      <c r="C169" s="4" t="inlineStr">
        <is>
          <t>General Elk License</t>
        </is>
      </c>
      <c r="D169" s="13" t="inlineStr">
        <is>
          <t>General license</t>
        </is>
      </c>
      <c r="E169" s="4" t="inlineStr">
        <is>
          <t>Brow-tined Bull Elk</t>
        </is>
      </c>
      <c r="F169" s="4" t="inlineStr">
        <is>
          <t>Sep 05-Oct 18</t>
        </is>
      </c>
      <c r="G169" s="4" t="inlineStr">
        <is>
          <t>Oct 24-Nov 29</t>
        </is>
      </c>
      <c r="H169" s="4" t="inlineStr">
        <is>
          <t>Dec 12-Dec 20</t>
        </is>
      </c>
      <c r="I169" s="4" t="n"/>
      <c r="J169" s="4" t="n"/>
      <c r="K169" s="4" t="n"/>
      <c r="L169" s="4" t="n"/>
    </row>
    <row r="170">
      <c r="A170" s="4" t="inlineStr">
        <is>
          <t>100</t>
        </is>
      </c>
      <c r="B170" s="4" t="inlineStr">
        <is>
          <t>elk</t>
        </is>
      </c>
      <c r="C170" s="4" t="inlineStr">
        <is>
          <t>Elk B License: 100-00</t>
        </is>
      </c>
      <c r="D170" s="15" t="inlineStr">
        <is>
          <t>Drawing</t>
        </is>
      </c>
      <c r="E170" s="4" t="inlineStr">
        <is>
          <t>Antlerless Elk</t>
        </is>
      </c>
      <c r="F170" s="4" t="inlineStr">
        <is>
          <t>Sep 05-Oct 18</t>
        </is>
      </c>
      <c r="G170" s="4" t="inlineStr">
        <is>
          <t>Oct 24-Nov 29</t>
        </is>
      </c>
      <c r="H170" s="4" t="inlineStr">
        <is>
          <t>Dec 12-Dec 20</t>
        </is>
      </c>
      <c r="I170" s="4" t="n"/>
      <c r="J170" s="4" t="inlineStr">
        <is>
          <t>Jun 1</t>
        </is>
      </c>
      <c r="K170" s="4" t="inlineStr">
        <is>
          <t>25</t>
        </is>
      </c>
      <c r="L170" s="4" t="inlineStr">
        <is>
          <t>Only valid on private land.</t>
        </is>
      </c>
    </row>
    <row r="171">
      <c r="A171" s="4" t="inlineStr">
        <is>
          <t>101</t>
        </is>
      </c>
      <c r="B171" s="4" t="inlineStr">
        <is>
          <t>elk</t>
        </is>
      </c>
      <c r="C171" s="4" t="inlineStr">
        <is>
          <t>General Elk License</t>
        </is>
      </c>
      <c r="D171" s="13" t="inlineStr">
        <is>
          <t>General license</t>
        </is>
      </c>
      <c r="E171" s="4" t="inlineStr">
        <is>
          <t>Brow-tined Bull Elk</t>
        </is>
      </c>
      <c r="F171" s="4" t="inlineStr">
        <is>
          <t>Sep 05-Oct 18</t>
        </is>
      </c>
      <c r="G171" s="4" t="inlineStr">
        <is>
          <t>Oct 24-Nov 29</t>
        </is>
      </c>
      <c r="H171" s="4" t="inlineStr">
        <is>
          <t>Dec 12-Dec 20</t>
        </is>
      </c>
      <c r="I171" s="4" t="n"/>
      <c r="J171" s="4" t="n"/>
      <c r="K171" s="4" t="n"/>
      <c r="L171" s="4" t="inlineStr">
        <is>
          <t>Not valid in North Tobacco Portion</t>
        </is>
      </c>
    </row>
    <row r="172">
      <c r="A172" s="4" t="inlineStr">
        <is>
          <t>101</t>
        </is>
      </c>
      <c r="B172" s="4" t="inlineStr">
        <is>
          <t>elk</t>
        </is>
      </c>
      <c r="C172" s="4" t="inlineStr">
        <is>
          <t>Elk B License: 101-00</t>
        </is>
      </c>
      <c r="D172" s="15" t="inlineStr">
        <is>
          <t>Drawing</t>
        </is>
      </c>
      <c r="E172" s="4" t="inlineStr">
        <is>
          <t>Antlerless Elk</t>
        </is>
      </c>
      <c r="F172" s="4" t="n"/>
      <c r="G172" s="4" t="n"/>
      <c r="H172" s="4" t="n"/>
      <c r="I172" s="4" t="inlineStr">
        <is>
          <t>Nov 30-Feb 15</t>
        </is>
      </c>
      <c r="J172" s="4" t="inlineStr">
        <is>
          <t>Jun 1</t>
        </is>
      </c>
      <c r="K172" s="4" t="inlineStr">
        <is>
          <t>50</t>
        </is>
      </c>
      <c r="L172" s="4" t="inlineStr">
        <is>
          <t>Only valid on private land. Secure access before applying.</t>
        </is>
      </c>
    </row>
    <row r="173">
      <c r="A173" s="4" t="inlineStr">
        <is>
          <t>101</t>
        </is>
      </c>
      <c r="B173" s="4" t="inlineStr">
        <is>
          <t>elk</t>
        </is>
      </c>
      <c r="C173" s="4" t="inlineStr">
        <is>
          <t>Elk B License: 101-01</t>
        </is>
      </c>
      <c r="D173" s="15" t="inlineStr">
        <is>
          <t>Drawing</t>
        </is>
      </c>
      <c r="E173" s="4" t="inlineStr">
        <is>
          <t>Antlerless Elk</t>
        </is>
      </c>
      <c r="F173" s="4" t="n"/>
      <c r="G173" s="4" t="inlineStr">
        <is>
          <t>Oct 24-Nov 29</t>
        </is>
      </c>
      <c r="H173" s="4" t="n"/>
      <c r="I173" s="4" t="n"/>
      <c r="J173" s="4" t="inlineStr">
        <is>
          <t>Jun 1</t>
        </is>
      </c>
      <c r="K173" s="4" t="inlineStr">
        <is>
          <t>25</t>
        </is>
      </c>
      <c r="L173" s="4" t="inlineStr">
        <is>
          <t>Only valid on private land. Secure access before applying.</t>
        </is>
      </c>
    </row>
    <row r="174">
      <c r="A174" s="4" t="inlineStr">
        <is>
          <t>101</t>
        </is>
      </c>
      <c r="B174" s="4" t="inlineStr">
        <is>
          <t>elk</t>
        </is>
      </c>
      <c r="C174" s="4" t="inlineStr">
        <is>
          <t>Elk Permit: 101-50</t>
        </is>
      </c>
      <c r="D174" s="15" t="inlineStr">
        <is>
          <t>Drawing</t>
        </is>
      </c>
      <c r="E174" s="4" t="inlineStr">
        <is>
          <t>Brow-tined Bull Elk</t>
        </is>
      </c>
      <c r="F174" s="4" t="inlineStr">
        <is>
          <t>Sep 05-Oct 18</t>
        </is>
      </c>
      <c r="G174" s="4" t="inlineStr">
        <is>
          <t>Oct 24-Nov 29</t>
        </is>
      </c>
      <c r="H174" s="4" t="inlineStr">
        <is>
          <t>Dec 12-Dec 20</t>
        </is>
      </c>
      <c r="I174" s="4" t="n"/>
      <c r="J174" s="4" t="inlineStr">
        <is>
          <t>April 1</t>
        </is>
      </c>
      <c r="K174" s="4" t="inlineStr">
        <is>
          <t>UNL</t>
        </is>
      </c>
      <c r="L174" s="4" t="inlineStr">
        <is>
          <t>Valid in HD 101, including the North Tobacco Portion. Permit must be used with valid General Elk License. Holders may not hunt antlered elk in any other HD.</t>
        </is>
      </c>
    </row>
    <row r="175">
      <c r="A175" s="4" t="inlineStr">
        <is>
          <t>103</t>
        </is>
      </c>
      <c r="B175" s="4" t="inlineStr">
        <is>
          <t>elk</t>
        </is>
      </c>
      <c r="C175" s="4" t="inlineStr">
        <is>
          <t>General Elk License</t>
        </is>
      </c>
      <c r="D175" s="13" t="inlineStr">
        <is>
          <t>General license</t>
        </is>
      </c>
      <c r="E175" s="4" t="inlineStr">
        <is>
          <t>Brow-tined Bull Elk</t>
        </is>
      </c>
      <c r="F175" s="4" t="inlineStr">
        <is>
          <t>Sep 05-Oct 18</t>
        </is>
      </c>
      <c r="G175" s="4" t="inlineStr">
        <is>
          <t>Oct 24-Nov 29</t>
        </is>
      </c>
      <c r="H175" s="4" t="inlineStr">
        <is>
          <t>Dec 12-Dec 20</t>
        </is>
      </c>
      <c r="I175" s="4" t="n"/>
      <c r="J175" s="4" t="n"/>
      <c r="K175" s="4" t="n"/>
      <c r="L175" s="4" t="n"/>
    </row>
    <row r="176">
      <c r="A176" s="4" t="inlineStr">
        <is>
          <t>103</t>
        </is>
      </c>
      <c r="B176" s="4" t="inlineStr">
        <is>
          <t>elk</t>
        </is>
      </c>
      <c r="C176" s="4" t="inlineStr">
        <is>
          <t>Elk B License: 103-00</t>
        </is>
      </c>
      <c r="D176" s="15" t="inlineStr">
        <is>
          <t>Drawing</t>
        </is>
      </c>
      <c r="E176" s="4" t="inlineStr">
        <is>
          <t>Antlerless Elk</t>
        </is>
      </c>
      <c r="F176" s="4" t="inlineStr">
        <is>
          <t>Sep 05-Oct 18</t>
        </is>
      </c>
      <c r="G176" s="4" t="inlineStr">
        <is>
          <t>Oct 24-Nov 29</t>
        </is>
      </c>
      <c r="H176" s="4" t="inlineStr">
        <is>
          <t>Dec 12-Dec 20</t>
        </is>
      </c>
      <c r="I176" s="4" t="n"/>
      <c r="J176" s="4" t="inlineStr">
        <is>
          <t>Jun 1</t>
        </is>
      </c>
      <c r="K176" s="4" t="inlineStr">
        <is>
          <t>25</t>
        </is>
      </c>
      <c r="L176" s="4" t="inlineStr">
        <is>
          <t>Only valid on private land. LICENSE/PERMIT OPPORTUNITY APPL Y BY DATE QUOTA QUOTA RANGE EARL Y SEASON DATES ARCHERY ONL Y SEASON DATES GENERAL SEASON DATES HERITAGE MUZZLELOADER SEASON DATES LATE SEASON DATES OPPORTUNITY SPECIFIC DETAILS AND/ORRESTRICTIONS</t>
        </is>
      </c>
    </row>
    <row r="177">
      <c r="A177" s="4" t="inlineStr">
        <is>
          <t>104</t>
        </is>
      </c>
      <c r="B177" s="4" t="inlineStr">
        <is>
          <t>elk</t>
        </is>
      </c>
      <c r="C177" s="4" t="inlineStr">
        <is>
          <t>General Elk License</t>
        </is>
      </c>
      <c r="D177" s="13" t="inlineStr">
        <is>
          <t>General license</t>
        </is>
      </c>
      <c r="E177" s="4" t="inlineStr">
        <is>
          <t>Brow-tined Bull Elk</t>
        </is>
      </c>
      <c r="F177" s="4" t="inlineStr">
        <is>
          <t>Sep 05-Oct 18</t>
        </is>
      </c>
      <c r="G177" s="4" t="inlineStr">
        <is>
          <t>Oct 24-Nov 29</t>
        </is>
      </c>
      <c r="H177" s="4" t="inlineStr">
        <is>
          <t>Dec 12-Dec 20</t>
        </is>
      </c>
      <c r="I177" s="4" t="n"/>
      <c r="J177" s="4" t="n"/>
      <c r="K177" s="4" t="n"/>
      <c r="L177" s="4" t="n"/>
    </row>
    <row r="178">
      <c r="A178" s="4" t="inlineStr">
        <is>
          <t>104</t>
        </is>
      </c>
      <c r="B178" s="4" t="inlineStr">
        <is>
          <t>elk</t>
        </is>
      </c>
      <c r="C178" s="4" t="inlineStr">
        <is>
          <t>Elk B License: 104-00</t>
        </is>
      </c>
      <c r="D178" s="15" t="inlineStr">
        <is>
          <t>Drawing</t>
        </is>
      </c>
      <c r="E178" s="4" t="inlineStr">
        <is>
          <t>Antlerless Elk</t>
        </is>
      </c>
      <c r="F178" s="4" t="inlineStr">
        <is>
          <t>Sep 05-Oct 18</t>
        </is>
      </c>
      <c r="G178" s="4" t="inlineStr">
        <is>
          <t>Oct 24-Nov 29</t>
        </is>
      </c>
      <c r="H178" s="4" t="inlineStr">
        <is>
          <t>Dec 12-Dec 20</t>
        </is>
      </c>
      <c r="I178" s="4" t="n"/>
      <c r="J178" s="4" t="inlineStr">
        <is>
          <t>Jun 1</t>
        </is>
      </c>
      <c r="K178" s="4" t="inlineStr">
        <is>
          <t>25</t>
        </is>
      </c>
      <c r="L178" s="4" t="inlineStr">
        <is>
          <t>Only valid on private land.</t>
        </is>
      </c>
    </row>
    <row r="179">
      <c r="A179" s="4" t="inlineStr">
        <is>
          <t>110</t>
        </is>
      </c>
      <c r="B179" s="4" t="inlineStr">
        <is>
          <t>elk</t>
        </is>
      </c>
      <c r="C179" s="4" t="inlineStr">
        <is>
          <t>General Elk License</t>
        </is>
      </c>
      <c r="D179" s="13" t="inlineStr">
        <is>
          <t>General license</t>
        </is>
      </c>
      <c r="E179" s="4" t="inlineStr">
        <is>
          <t>Brow-tined Bull Elk</t>
        </is>
      </c>
      <c r="F179" s="4" t="inlineStr">
        <is>
          <t>Sep 05-Oct 18</t>
        </is>
      </c>
      <c r="G179" s="4" t="inlineStr">
        <is>
          <t>Oct 24-Nov 29</t>
        </is>
      </c>
      <c r="H179" s="4" t="inlineStr">
        <is>
          <t>Dec 12-Dec 20</t>
        </is>
      </c>
      <c r="I179" s="4" t="n"/>
      <c r="J179" s="4" t="n"/>
      <c r="K179" s="4" t="n"/>
      <c r="L179" s="4" t="n"/>
    </row>
    <row r="180">
      <c r="A180" s="4" t="inlineStr">
        <is>
          <t>120</t>
        </is>
      </c>
      <c r="B180" s="4" t="inlineStr">
        <is>
          <t>elk</t>
        </is>
      </c>
      <c r="C180" s="4" t="inlineStr">
        <is>
          <t>General Elk License</t>
        </is>
      </c>
      <c r="D180" s="13" t="inlineStr">
        <is>
          <t>General license</t>
        </is>
      </c>
      <c r="E180" s="4" t="inlineStr">
        <is>
          <t>Brow-tined Bull Elk</t>
        </is>
      </c>
      <c r="F180" s="4" t="inlineStr">
        <is>
          <t>Sep 05-Oct 18</t>
        </is>
      </c>
      <c r="G180" s="4" t="inlineStr">
        <is>
          <t>Oct 24-Nov 29</t>
        </is>
      </c>
      <c r="H180" s="4" t="inlineStr">
        <is>
          <t>Dec 12-Dec 20</t>
        </is>
      </c>
      <c r="I180" s="4" t="n"/>
      <c r="J180" s="4" t="n"/>
      <c r="K180" s="4" t="n"/>
      <c r="L180" s="4" t="inlineStr">
        <is>
          <t>51 2026 Deer • Elk • Antelope Visit fwp.mt.gov LICENSE/PERMIT OPPORTUNITY APPL Y BY DATE QUOTA QUOTA RANGE EARL Y SEASON DATES ARCHERY ONL Y SEASON DATES GENERAL SEASON DATES HERITAGE MUZZLELOADER SEASON DATES LATE SEASON DATES OPPORTUNITY SPECIFIC DETAILS AND/ORRESTRICTIONS</t>
        </is>
      </c>
    </row>
    <row r="181">
      <c r="A181" s="4" t="inlineStr">
        <is>
          <t>121</t>
        </is>
      </c>
      <c r="B181" s="4" t="inlineStr">
        <is>
          <t>elk</t>
        </is>
      </c>
      <c r="C181" s="4" t="inlineStr">
        <is>
          <t>General Elk License</t>
        </is>
      </c>
      <c r="D181" s="13" t="inlineStr">
        <is>
          <t>General license</t>
        </is>
      </c>
      <c r="E181" s="4" t="inlineStr">
        <is>
          <t>Brow-tined Bull Elk</t>
        </is>
      </c>
      <c r="F181" s="4" t="inlineStr">
        <is>
          <t>Sep 05-Oct 18</t>
        </is>
      </c>
      <c r="G181" s="4" t="inlineStr">
        <is>
          <t>Oct 24-Nov 29</t>
        </is>
      </c>
      <c r="H181" s="4" t="inlineStr">
        <is>
          <t>Dec 12-Dec 20</t>
        </is>
      </c>
      <c r="I181" s="4" t="n"/>
      <c r="J181" s="4" t="n"/>
      <c r="K181" s="4" t="n"/>
      <c r="L181" s="4" t="n"/>
    </row>
    <row r="182">
      <c r="A182" s="4" t="inlineStr">
        <is>
          <t>121</t>
        </is>
      </c>
      <c r="B182" s="4" t="inlineStr">
        <is>
          <t>elk</t>
        </is>
      </c>
      <c r="C182" s="4" t="inlineStr">
        <is>
          <t>Elk B License: 121-00</t>
        </is>
      </c>
      <c r="D182" s="15" t="inlineStr">
        <is>
          <t>Drawing</t>
        </is>
      </c>
      <c r="E182" s="4" t="inlineStr">
        <is>
          <t>Antlerless Elk</t>
        </is>
      </c>
      <c r="F182" s="4" t="inlineStr">
        <is>
          <t>Sep 05-Oct 18</t>
        </is>
      </c>
      <c r="G182" s="4" t="inlineStr">
        <is>
          <t>Oct 24-Nov 29</t>
        </is>
      </c>
      <c r="H182" s="4" t="inlineStr">
        <is>
          <t>Dec 12-Dec 20</t>
        </is>
      </c>
      <c r="I182" s="4" t="n"/>
      <c r="J182" s="4" t="inlineStr">
        <is>
          <t>Jun 1</t>
        </is>
      </c>
      <c r="K182" s="4" t="inlineStr">
        <is>
          <t>150</t>
        </is>
      </c>
      <c r="L182" s="4" t="inlineStr">
        <is>
          <t>Only valid on private land.</t>
        </is>
      </c>
    </row>
    <row r="183">
      <c r="A183" s="4" t="inlineStr">
        <is>
          <t>121</t>
        </is>
      </c>
      <c r="B183" s="4" t="inlineStr">
        <is>
          <t>elk</t>
        </is>
      </c>
      <c r="C183" s="4" t="inlineStr">
        <is>
          <t>Elk B License: 121-01</t>
        </is>
      </c>
      <c r="D183" s="15" t="inlineStr">
        <is>
          <t>Drawing</t>
        </is>
      </c>
      <c r="E183" s="4" t="inlineStr">
        <is>
          <t>Antlerless Elk</t>
        </is>
      </c>
      <c r="F183" s="4" t="n"/>
      <c r="G183" s="4" t="n"/>
      <c r="H183" s="4" t="n"/>
      <c r="I183" s="4" t="inlineStr">
        <is>
          <t>Nov 30-Feb 15</t>
        </is>
      </c>
      <c r="J183" s="4" t="inlineStr">
        <is>
          <t>Jun 1</t>
        </is>
      </c>
      <c r="K183" s="4" t="inlineStr">
        <is>
          <t>20</t>
        </is>
      </c>
      <c r="L183" s="4" t="inlineStr">
        <is>
          <t>Only valid on private land.</t>
        </is>
      </c>
    </row>
    <row r="184">
      <c r="A184" s="4" t="inlineStr">
        <is>
          <t>122</t>
        </is>
      </c>
      <c r="B184" s="4" t="inlineStr">
        <is>
          <t>elk</t>
        </is>
      </c>
      <c r="C184" s="4" t="inlineStr">
        <is>
          <t>General Elk License</t>
        </is>
      </c>
      <c r="D184" s="13" t="inlineStr">
        <is>
          <t>General license</t>
        </is>
      </c>
      <c r="E184" s="4" t="inlineStr">
        <is>
          <t>Brow-tined Bull Elk</t>
        </is>
      </c>
      <c r="F184" s="4" t="inlineStr">
        <is>
          <t>Sep 05-Oct 18</t>
        </is>
      </c>
      <c r="G184" s="4" t="inlineStr">
        <is>
          <t>Oct 24-Nov 29</t>
        </is>
      </c>
      <c r="H184" s="4" t="inlineStr">
        <is>
          <t>Dec 12-Dec 20</t>
        </is>
      </c>
      <c r="I184" s="4" t="n"/>
      <c r="J184" s="4" t="n"/>
      <c r="K184" s="4" t="n"/>
      <c r="L184" s="4" t="n"/>
    </row>
    <row r="185">
      <c r="A185" s="4" t="inlineStr">
        <is>
          <t>122</t>
        </is>
      </c>
      <c r="B185" s="4" t="inlineStr">
        <is>
          <t>elk</t>
        </is>
      </c>
      <c r="C185" s="4" t="inlineStr">
        <is>
          <t>Elk B License: 122-00</t>
        </is>
      </c>
      <c r="D185" s="15" t="inlineStr">
        <is>
          <t>Drawing</t>
        </is>
      </c>
      <c r="E185" s="4" t="inlineStr">
        <is>
          <t>Antlerless Elk</t>
        </is>
      </c>
      <c r="F185" s="4" t="inlineStr">
        <is>
          <t>Sep 05-Oct 18</t>
        </is>
      </c>
      <c r="G185" s="4" t="inlineStr">
        <is>
          <t>Oct 24-Nov 29</t>
        </is>
      </c>
      <c r="H185" s="4" t="inlineStr">
        <is>
          <t>Dec 12-Dec 20</t>
        </is>
      </c>
      <c r="I185" s="4" t="n"/>
      <c r="J185" s="4" t="inlineStr">
        <is>
          <t>Jun 1</t>
        </is>
      </c>
      <c r="K185" s="4" t="inlineStr">
        <is>
          <t>25</t>
        </is>
      </c>
      <c r="L185" s="4" t="inlineStr">
        <is>
          <t>Only valid on private land.</t>
        </is>
      </c>
    </row>
    <row r="186">
      <c r="A186" s="4" t="inlineStr">
        <is>
          <t>123</t>
        </is>
      </c>
      <c r="B186" s="4" t="inlineStr">
        <is>
          <t>elk</t>
        </is>
      </c>
      <c r="C186" s="4" t="inlineStr">
        <is>
          <t>General Elk License</t>
        </is>
      </c>
      <c r="D186" s="13" t="inlineStr">
        <is>
          <t>General license</t>
        </is>
      </c>
      <c r="E186" s="4" t="inlineStr">
        <is>
          <t>Brow-tined Bull Elk</t>
        </is>
      </c>
      <c r="F186" s="4" t="inlineStr">
        <is>
          <t>Sep 05-Oct 18</t>
        </is>
      </c>
      <c r="G186" s="4" t="inlineStr">
        <is>
          <t>Oct 24-Nov 29</t>
        </is>
      </c>
      <c r="H186" s="4" t="inlineStr">
        <is>
          <t>Dec 12-Dec 20</t>
        </is>
      </c>
      <c r="I186" s="4" t="n"/>
      <c r="J186" s="4" t="n"/>
      <c r="K186" s="4" t="n"/>
      <c r="L186" s="4" t="n"/>
    </row>
    <row r="187">
      <c r="A187" s="4" t="inlineStr">
        <is>
          <t>123</t>
        </is>
      </c>
      <c r="B187" s="4" t="inlineStr">
        <is>
          <t>elk</t>
        </is>
      </c>
      <c r="C187" s="4" t="inlineStr">
        <is>
          <t>Elk B License: 123-00</t>
        </is>
      </c>
      <c r="D187" s="15" t="inlineStr">
        <is>
          <t>Drawing</t>
        </is>
      </c>
      <c r="E187" s="4" t="inlineStr">
        <is>
          <t>Antlerless Elk</t>
        </is>
      </c>
      <c r="F187" s="4" t="inlineStr">
        <is>
          <t>Sep 05-Oct 18</t>
        </is>
      </c>
      <c r="G187" s="4" t="inlineStr">
        <is>
          <t>Oct 24-Nov 29</t>
        </is>
      </c>
      <c r="H187" s="4" t="inlineStr">
        <is>
          <t>Dec 12-Dec 20</t>
        </is>
      </c>
      <c r="I187" s="4" t="n"/>
      <c r="J187" s="4" t="inlineStr">
        <is>
          <t>Jun 1</t>
        </is>
      </c>
      <c r="K187" s="4" t="inlineStr">
        <is>
          <t>25</t>
        </is>
      </c>
      <c r="L187" s="4" t="inlineStr">
        <is>
          <t>Only valid on private land. LICENSE/PERMIT OPPORTUNITY APPL Y BY DATE QUOTA QUOTA RANGE EARL Y SEASON DATES ARCHERY ONL Y SEASON DATES GENERAL SEASON DATES HERITAGE MUZZLELOADER SEASON DATES LATE SEASON DATES OPPORTUNITY SPECIFIC DETAILS AND/ORRESTRICTIONS</t>
        </is>
      </c>
    </row>
    <row r="188">
      <c r="A188" s="4" t="inlineStr">
        <is>
          <t>124</t>
        </is>
      </c>
      <c r="B188" s="4" t="inlineStr">
        <is>
          <t>elk</t>
        </is>
      </c>
      <c r="C188" s="4" t="inlineStr">
        <is>
          <t>General Elk License</t>
        </is>
      </c>
      <c r="D188" s="13" t="inlineStr">
        <is>
          <t>General license</t>
        </is>
      </c>
      <c r="E188" s="4" t="inlineStr">
        <is>
          <t>Brow-tined Bull Elk</t>
        </is>
      </c>
      <c r="F188" s="4" t="inlineStr">
        <is>
          <t>Sep 05-Oct 18</t>
        </is>
      </c>
      <c r="G188" s="4" t="inlineStr">
        <is>
          <t>Oct 24-Nov 29</t>
        </is>
      </c>
      <c r="H188" s="4" t="inlineStr">
        <is>
          <t>Dec 12-Dec 20</t>
        </is>
      </c>
      <c r="I188" s="4" t="n"/>
      <c r="J188" s="4" t="n"/>
      <c r="K188" s="4" t="n"/>
      <c r="L188" s="4" t="n"/>
    </row>
    <row r="189">
      <c r="A189" s="4" t="inlineStr">
        <is>
          <t>124</t>
        </is>
      </c>
      <c r="B189" s="4" t="inlineStr">
        <is>
          <t>elk</t>
        </is>
      </c>
      <c r="C189" s="4" t="inlineStr">
        <is>
          <t>Elk B License: 124-00</t>
        </is>
      </c>
      <c r="D189" s="15" t="inlineStr">
        <is>
          <t>Drawing</t>
        </is>
      </c>
      <c r="E189" s="4" t="inlineStr">
        <is>
          <t>Antlerless Elk</t>
        </is>
      </c>
      <c r="F189" s="4" t="inlineStr">
        <is>
          <t>Sep 05-Oct 18</t>
        </is>
      </c>
      <c r="G189" s="4" t="inlineStr">
        <is>
          <t>Oct 24-Nov 29</t>
        </is>
      </c>
      <c r="H189" s="4" t="inlineStr">
        <is>
          <t>Dec 12-Dec 20</t>
        </is>
      </c>
      <c r="I189" s="4" t="n"/>
      <c r="J189" s="4" t="inlineStr">
        <is>
          <t>Jun 1</t>
        </is>
      </c>
      <c r="K189" s="4" t="inlineStr">
        <is>
          <t>25</t>
        </is>
      </c>
      <c r="L189" s="4" t="inlineStr">
        <is>
          <t>Only valid on private land.</t>
        </is>
      </c>
    </row>
    <row r="190">
      <c r="A190" s="4" t="inlineStr">
        <is>
          <t>130</t>
        </is>
      </c>
      <c r="B190" s="4" t="inlineStr">
        <is>
          <t>elk</t>
        </is>
      </c>
      <c r="C190" s="4" t="inlineStr">
        <is>
          <t>General Elk License</t>
        </is>
      </c>
      <c r="D190" s="13" t="inlineStr">
        <is>
          <t>General license</t>
        </is>
      </c>
      <c r="E190" s="4" t="inlineStr">
        <is>
          <t>Brow-tined Bull Elk</t>
        </is>
      </c>
      <c r="F190" s="4" t="inlineStr">
        <is>
          <t>Sep 05-Oct 18</t>
        </is>
      </c>
      <c r="G190" s="4" t="inlineStr">
        <is>
          <t>Oct 24-Nov 29</t>
        </is>
      </c>
      <c r="H190" s="4" t="inlineStr">
        <is>
          <t>Dec 12-Dec 20</t>
        </is>
      </c>
      <c r="I190" s="4" t="n"/>
      <c r="J190" s="4" t="n"/>
      <c r="K190" s="4" t="n"/>
      <c r="L190" s="4" t="n"/>
    </row>
    <row r="191">
      <c r="A191" s="4" t="inlineStr">
        <is>
          <t>140</t>
        </is>
      </c>
      <c r="B191" s="4" t="inlineStr">
        <is>
          <t>elk</t>
        </is>
      </c>
      <c r="C191" s="4" t="inlineStr">
        <is>
          <t>General Elk License</t>
        </is>
      </c>
      <c r="D191" s="13" t="inlineStr">
        <is>
          <t>General license</t>
        </is>
      </c>
      <c r="E191" s="4" t="inlineStr">
        <is>
          <t>Brow-tined Bull Elk</t>
        </is>
      </c>
      <c r="F191" s="4" t="inlineStr">
        <is>
          <t>Sep 05-Oct 18</t>
        </is>
      </c>
      <c r="G191" s="4" t="inlineStr">
        <is>
          <t>Oct 24-Nov 29</t>
        </is>
      </c>
      <c r="H191" s="4" t="inlineStr">
        <is>
          <t>Dec 12-Dec 20</t>
        </is>
      </c>
      <c r="I191" s="4" t="n"/>
      <c r="J191" s="4" t="n"/>
      <c r="K191" s="4" t="n"/>
      <c r="L191" s="4" t="inlineStr">
        <is>
          <t>53 2026 Deer • Elk • Antelope Visit fwp.mt.gov LICENSE/PERMIT OPPORTUNITY APPL Y BY DATE QUOTA QUOTA RANGE EARL Y SEASON DATES ARCHERY ONL Y SEASON DATES GENERAL SEASON DATES HERITAGE MUZZLELOADER SEASON DATES LATE SEASON DATES OPPORTUNITY SPECIFIC DETAILS AND/ORRESTRICTIONS</t>
        </is>
      </c>
    </row>
    <row r="192">
      <c r="A192" s="4" t="inlineStr">
        <is>
          <t>141</t>
        </is>
      </c>
      <c r="B192" s="4" t="inlineStr">
        <is>
          <t>elk</t>
        </is>
      </c>
      <c r="C192" s="4" t="inlineStr">
        <is>
          <t>General Elk License</t>
        </is>
      </c>
      <c r="D192" s="13" t="inlineStr">
        <is>
          <t>General license</t>
        </is>
      </c>
      <c r="E192" s="4" t="inlineStr">
        <is>
          <t>Brow-tined Bull Elk</t>
        </is>
      </c>
      <c r="F192" s="4" t="inlineStr">
        <is>
          <t>Sep 05-Oct 18</t>
        </is>
      </c>
      <c r="G192" s="4" t="inlineStr">
        <is>
          <t>Oct 24-Nov 29</t>
        </is>
      </c>
      <c r="H192" s="4" t="inlineStr">
        <is>
          <t>Dec 12-Dec 20</t>
        </is>
      </c>
      <c r="I192" s="4" t="n"/>
      <c r="J192" s="4" t="n"/>
      <c r="K192" s="4" t="n"/>
      <c r="L192" s="4" t="n"/>
    </row>
    <row r="193">
      <c r="A193" s="4" t="inlineStr">
        <is>
          <t>150</t>
        </is>
      </c>
      <c r="B193" s="4" t="inlineStr">
        <is>
          <t>elk</t>
        </is>
      </c>
      <c r="C193" s="4" t="inlineStr">
        <is>
          <t>General Elk License</t>
        </is>
      </c>
      <c r="D193" s="13" t="inlineStr">
        <is>
          <t>General license</t>
        </is>
      </c>
      <c r="E193" s="4" t="inlineStr">
        <is>
          <t>Brow-tined Bull Elk</t>
        </is>
      </c>
      <c r="F193" s="4" t="inlineStr">
        <is>
          <t>Sep 05-Sep 14</t>
        </is>
      </c>
      <c r="G193" s="4" t="inlineStr">
        <is>
          <t>Sep 15-Nov 29</t>
        </is>
      </c>
      <c r="H193" s="4" t="inlineStr">
        <is>
          <t>Dec 12-Dec 20</t>
        </is>
      </c>
      <c r="I193" s="4" t="n"/>
      <c r="J193" s="4" t="n"/>
      <c r="K193" s="4" t="n"/>
      <c r="L193" s="4" t="n"/>
    </row>
    <row r="194">
      <c r="A194" s="4" t="inlineStr">
        <is>
          <t>170</t>
        </is>
      </c>
      <c r="B194" s="4" t="inlineStr">
        <is>
          <t>elk</t>
        </is>
      </c>
      <c r="C194" s="4" t="inlineStr">
        <is>
          <t>General Elk License</t>
        </is>
      </c>
      <c r="D194" s="13" t="inlineStr">
        <is>
          <t>General license</t>
        </is>
      </c>
      <c r="E194" s="4" t="inlineStr">
        <is>
          <t>Brow-tined Bull Elk</t>
        </is>
      </c>
      <c r="F194" s="4" t="inlineStr">
        <is>
          <t>Sep 05-Oct 18</t>
        </is>
      </c>
      <c r="G194" s="4" t="inlineStr">
        <is>
          <t>Oct 24-Nov 29</t>
        </is>
      </c>
      <c r="H194" s="4" t="inlineStr">
        <is>
          <t>Dec 12-Dec 20</t>
        </is>
      </c>
      <c r="I194" s="4" t="n"/>
      <c r="J194" s="4" t="n"/>
      <c r="K194" s="4" t="n"/>
      <c r="L194" s="4" t="n"/>
    </row>
    <row r="195">
      <c r="A195" s="4" t="inlineStr">
        <is>
          <t>170</t>
        </is>
      </c>
      <c r="B195" s="4" t="inlineStr">
        <is>
          <t>elk</t>
        </is>
      </c>
      <c r="C195" s="4" t="inlineStr">
        <is>
          <t>General Elk License</t>
        </is>
      </c>
      <c r="D195" s="13" t="inlineStr">
        <is>
          <t>General license</t>
        </is>
      </c>
      <c r="E195" s="4" t="inlineStr">
        <is>
          <t>Brow-tined Bull or Antlerless Elk</t>
        </is>
      </c>
      <c r="F195" s="4" t="n"/>
      <c r="G195" s="4" t="inlineStr">
        <is>
          <t>Oct 24-Nov 29</t>
        </is>
      </c>
      <c r="H195" s="4" t="inlineStr">
        <is>
          <t>Dec 12-Dec 20</t>
        </is>
      </c>
      <c r="I195" s="4" t="n"/>
      <c r="J195" s="4" t="n"/>
      <c r="K195" s="4" t="n"/>
      <c r="L195" s="4" t="inlineStr">
        <is>
          <t>Only valid north of Lake Blaine Road and West of Hwy 35.</t>
        </is>
      </c>
    </row>
    <row r="196">
      <c r="A196" s="4" t="inlineStr">
        <is>
          <t>170</t>
        </is>
      </c>
      <c r="B196" s="4" t="inlineStr">
        <is>
          <t>elk</t>
        </is>
      </c>
      <c r="C196" s="4" t="inlineStr">
        <is>
          <t>Elk B License: 170-00</t>
        </is>
      </c>
      <c r="D196" s="15" t="inlineStr">
        <is>
          <t>Drawing</t>
        </is>
      </c>
      <c r="E196" s="4" t="inlineStr">
        <is>
          <t>Antlerless Elk</t>
        </is>
      </c>
      <c r="F196" s="4" t="inlineStr">
        <is>
          <t>Sep 05-Oct 18</t>
        </is>
      </c>
      <c r="G196" s="4" t="inlineStr">
        <is>
          <t>Oct 24-Nov 29</t>
        </is>
      </c>
      <c r="H196" s="4" t="n"/>
      <c r="I196" s="4" t="inlineStr">
        <is>
          <t>Nov 30-Feb 15</t>
        </is>
      </c>
      <c r="J196" s="4" t="inlineStr">
        <is>
          <t>Jun 1</t>
        </is>
      </c>
      <c r="K196" s="4" t="inlineStr">
        <is>
          <t>100</t>
        </is>
      </c>
      <c r="L196" s="4" t="inlineStr">
        <is>
          <t>One per hunter. Only valid on private land north of Lake Blaine Road and west of Hwy 35. Secure access before applying. LICENSE/PERMIT OPPORTUNITY APPL Y BY DATE QUOTA QUOTA RANGE EARL Y SEASON DATES ARCHERY ONL Y SEASON DATES GENERAL SEASON DATES HERITAGE MUZZLELOADER SEASON DATES LATE SEASON DATES</t>
        </is>
      </c>
    </row>
    <row r="197">
      <c r="A197" s="4" t="inlineStr">
        <is>
          <t>200</t>
        </is>
      </c>
      <c r="B197" s="4" t="inlineStr">
        <is>
          <t>elk</t>
        </is>
      </c>
      <c r="C197" s="4" t="inlineStr">
        <is>
          <t>General Elk License</t>
        </is>
      </c>
      <c r="D197" s="13" t="inlineStr">
        <is>
          <t>General license</t>
        </is>
      </c>
      <c r="E197" s="4" t="inlineStr">
        <is>
          <t>Brow-tined Bull Elk</t>
        </is>
      </c>
      <c r="F197" s="4" t="inlineStr">
        <is>
          <t>Sep 05-Oct 18</t>
        </is>
      </c>
      <c r="G197" s="4" t="inlineStr">
        <is>
          <t>Oct 24-Nov 29</t>
        </is>
      </c>
      <c r="H197" s="4" t="inlineStr">
        <is>
          <t>Dec 12-Dec 20</t>
        </is>
      </c>
      <c r="I197" s="4" t="n"/>
      <c r="J197" s="4" t="n"/>
      <c r="K197" s="4" t="n"/>
      <c r="L197" s="4" t="n"/>
    </row>
    <row r="198">
      <c r="A198" s="4" t="inlineStr">
        <is>
          <t>200</t>
        </is>
      </c>
      <c r="B198" s="4" t="inlineStr">
        <is>
          <t>elk</t>
        </is>
      </c>
      <c r="C198" s="4" t="inlineStr">
        <is>
          <t>Elk B License: 200-00</t>
        </is>
      </c>
      <c r="D198" s="15" t="inlineStr">
        <is>
          <t>Drawing</t>
        </is>
      </c>
      <c r="E198" s="4" t="inlineStr">
        <is>
          <t>Antlerless Elk</t>
        </is>
      </c>
      <c r="F198" s="4" t="inlineStr">
        <is>
          <t>Sep 05-Oct 18</t>
        </is>
      </c>
      <c r="G198" s="4" t="inlineStr">
        <is>
          <t>Oct 24-Nov 29</t>
        </is>
      </c>
      <c r="H198" s="4" t="inlineStr">
        <is>
          <t>Dec 12-Dec 20</t>
        </is>
      </c>
      <c r="I198" s="4" t="n"/>
      <c r="J198" s="4" t="inlineStr">
        <is>
          <t>Jun 1</t>
        </is>
      </c>
      <c r="K198" s="4" t="inlineStr">
        <is>
          <t>5</t>
        </is>
      </c>
      <c r="L198" s="4" t="inlineStr">
        <is>
          <t>Only valid in Mullan Gulch area.</t>
        </is>
      </c>
    </row>
    <row r="199">
      <c r="A199" s="4" t="inlineStr">
        <is>
          <t>201</t>
        </is>
      </c>
      <c r="B199" s="4" t="inlineStr">
        <is>
          <t>elk</t>
        </is>
      </c>
      <c r="C199" s="4" t="inlineStr">
        <is>
          <t>General Elk License</t>
        </is>
      </c>
      <c r="D199" s="13" t="inlineStr">
        <is>
          <t>General license</t>
        </is>
      </c>
      <c r="E199" s="4" t="inlineStr">
        <is>
          <t>Brow-tined Bull or Antlerless Elk</t>
        </is>
      </c>
      <c r="F199" s="4" t="inlineStr">
        <is>
          <t>Sep 05-Oct 18</t>
        </is>
      </c>
      <c r="G199" s="4" t="n"/>
      <c r="H199" s="4" t="n"/>
      <c r="I199" s="4" t="n"/>
      <c r="J199" s="4" t="n"/>
      <c r="K199" s="4" t="n"/>
      <c r="L199" s="4" t="n"/>
    </row>
    <row r="200">
      <c r="A200" s="4" t="inlineStr">
        <is>
          <t>201</t>
        </is>
      </c>
      <c r="B200" s="4" t="inlineStr">
        <is>
          <t>elk</t>
        </is>
      </c>
      <c r="C200" s="4" t="inlineStr">
        <is>
          <t>General Elk License</t>
        </is>
      </c>
      <c r="D200" s="13" t="inlineStr">
        <is>
          <t>General license</t>
        </is>
      </c>
      <c r="E200" s="4" t="inlineStr">
        <is>
          <t>Brow-tined Bull Elk</t>
        </is>
      </c>
      <c r="F200" s="4" t="n"/>
      <c r="G200" s="4" t="inlineStr">
        <is>
          <t>Oct 24-Nov 29</t>
        </is>
      </c>
      <c r="H200" s="4" t="inlineStr">
        <is>
          <t>Dec 12-Dec 20</t>
        </is>
      </c>
      <c r="I200" s="4" t="n"/>
      <c r="J200" s="4" t="n"/>
      <c r="K200" s="4" t="n"/>
      <c r="L200" s="4" t="n"/>
    </row>
    <row r="201">
      <c r="A201" s="4" t="inlineStr">
        <is>
          <t>201</t>
        </is>
      </c>
      <c r="B201" s="4" t="inlineStr">
        <is>
          <t>elk</t>
        </is>
      </c>
      <c r="C201" s="4" t="inlineStr">
        <is>
          <t>General Elk License</t>
        </is>
      </c>
      <c r="D201" s="13" t="inlineStr">
        <is>
          <t>General license</t>
        </is>
      </c>
      <c r="E201" s="4" t="inlineStr">
        <is>
          <t>Brow-tined Bull or Antlerless Elk</t>
        </is>
      </c>
      <c r="F201" s="4" t="n"/>
      <c r="G201" s="4" t="inlineStr">
        <is>
          <t>Oct 24-Nov 29</t>
        </is>
      </c>
      <c r="H201" s="4" t="inlineStr">
        <is>
          <t>Dec 12-Dec 20</t>
        </is>
      </c>
      <c r="I201" s="4" t="n"/>
      <c r="J201" s="4" t="n"/>
      <c r="K201" s="4" t="n"/>
      <c r="L201" s="4" t="inlineStr">
        <is>
          <t>Only valid on private land excluding MKH Montana LLC lands. Only youth ages 12-15 and hunters with a PTHFV.Resident hunters 75 years old and older may harvest an antlerless elk on private land.</t>
        </is>
      </c>
    </row>
    <row r="202">
      <c r="A202" s="4" t="inlineStr">
        <is>
          <t>201</t>
        </is>
      </c>
      <c r="B202" s="4" t="inlineStr">
        <is>
          <t>elk</t>
        </is>
      </c>
      <c r="C202" s="4" t="inlineStr">
        <is>
          <t>Elk B License: 201-00</t>
        </is>
      </c>
      <c r="D202" s="15" t="inlineStr">
        <is>
          <t>Drawing</t>
        </is>
      </c>
      <c r="E202" s="4" t="inlineStr">
        <is>
          <t>Antlerless Elk</t>
        </is>
      </c>
      <c r="F202" s="4" t="inlineStr">
        <is>
          <t>Sep 05-Oct 18</t>
        </is>
      </c>
      <c r="G202" s="4" t="inlineStr">
        <is>
          <t>Oct 24-Nov 29</t>
        </is>
      </c>
      <c r="H202" s="4" t="inlineStr">
        <is>
          <t>Dec 12-Dec 20</t>
        </is>
      </c>
      <c r="I202" s="4" t="n"/>
      <c r="J202" s="4" t="inlineStr">
        <is>
          <t>Jun 1</t>
        </is>
      </c>
      <c r="K202" s="4" t="inlineStr">
        <is>
          <t>150</t>
        </is>
      </c>
      <c r="L202" s="4" t="n"/>
    </row>
    <row r="203">
      <c r="A203" s="4" t="inlineStr">
        <is>
          <t>201</t>
        </is>
      </c>
      <c r="B203" s="4" t="inlineStr">
        <is>
          <t>elk</t>
        </is>
      </c>
      <c r="C203" s="4" t="inlineStr">
        <is>
          <t>Elk B License: 201-01</t>
        </is>
      </c>
      <c r="D203" s="4" t="inlineStr">
        <is>
          <t>Over the counter</t>
        </is>
      </c>
      <c r="E203" s="4" t="inlineStr">
        <is>
          <t>Antlerless Elk</t>
        </is>
      </c>
      <c r="F203" s="4" t="inlineStr">
        <is>
          <t>Sep 05-Oct 18</t>
        </is>
      </c>
      <c r="G203" s="4" t="inlineStr">
        <is>
          <t>Oct 24-Nov 29</t>
        </is>
      </c>
      <c r="H203" s="4" t="inlineStr">
        <is>
          <t>Dec 12-Dec 20</t>
        </is>
      </c>
      <c r="I203" s="4" t="n"/>
      <c r="J203" s="4" t="inlineStr">
        <is>
          <t>OTC: Jun 15</t>
        </is>
      </c>
      <c r="K203" s="4" t="inlineStr">
        <is>
          <t>UNL</t>
        </is>
      </c>
      <c r="L203" s="4" t="inlineStr">
        <is>
          <t>Also valid in HD 260 with restrictions. See HD 260 for more info. One per hunter. Only valid on private land excluding MKH Montana LLC lands. Not valid in Mineral County. Must purchase before start of general rife season. 55 LICENSE/PERMIT OPPORTUNITY APPL Y BY DATE QUOTA QUOTA RANGE EARL Y SEASON D</t>
        </is>
      </c>
    </row>
    <row r="204">
      <c r="A204" s="4" t="inlineStr">
        <is>
          <t>202</t>
        </is>
      </c>
      <c r="B204" s="4" t="inlineStr">
        <is>
          <t>elk</t>
        </is>
      </c>
      <c r="C204" s="4" t="inlineStr">
        <is>
          <t>General Elk License</t>
        </is>
      </c>
      <c r="D204" s="13" t="inlineStr">
        <is>
          <t>General license</t>
        </is>
      </c>
      <c r="E204" s="4" t="inlineStr">
        <is>
          <t>Brow-tined Bull Elk</t>
        </is>
      </c>
      <c r="F204" s="4" t="inlineStr">
        <is>
          <t>Sep 05-Oct 18</t>
        </is>
      </c>
      <c r="G204" s="4" t="inlineStr">
        <is>
          <t>Oct 24-Nov 29</t>
        </is>
      </c>
      <c r="H204" s="4" t="inlineStr">
        <is>
          <t>Dec 12-Dec 20</t>
        </is>
      </c>
      <c r="I204" s="4" t="n"/>
      <c r="J204" s="4" t="n"/>
      <c r="K204" s="4" t="n"/>
      <c r="L204" s="4" t="n"/>
    </row>
    <row r="205">
      <c r="A205" s="4" t="inlineStr">
        <is>
          <t>202</t>
        </is>
      </c>
      <c r="B205" s="4" t="inlineStr">
        <is>
          <t>elk</t>
        </is>
      </c>
      <c r="C205" s="4" t="inlineStr">
        <is>
          <t>Elk B License: 202-00</t>
        </is>
      </c>
      <c r="D205" s="15" t="inlineStr">
        <is>
          <t>Drawing</t>
        </is>
      </c>
      <c r="E205" s="4" t="inlineStr">
        <is>
          <t>Antlerless Elk</t>
        </is>
      </c>
      <c r="F205" s="4" t="inlineStr">
        <is>
          <t>Sep 05-Oct 18</t>
        </is>
      </c>
      <c r="G205" s="4" t="inlineStr">
        <is>
          <t>Oct 24-Nov 29</t>
        </is>
      </c>
      <c r="H205" s="4" t="inlineStr">
        <is>
          <t>Dec 12-Dec 20</t>
        </is>
      </c>
      <c r="I205" s="4" t="n"/>
      <c r="J205" s="4" t="inlineStr">
        <is>
          <t>Jun 1</t>
        </is>
      </c>
      <c r="K205" s="4" t="inlineStr">
        <is>
          <t>75</t>
        </is>
      </c>
      <c r="L205" s="4" t="inlineStr">
        <is>
          <t>Only valid between Trout and Quartz Crks.</t>
        </is>
      </c>
    </row>
    <row r="206">
      <c r="A206" s="4" t="inlineStr">
        <is>
          <t>204</t>
        </is>
      </c>
      <c r="B206" s="4" t="inlineStr">
        <is>
          <t>elk</t>
        </is>
      </c>
      <c r="C206" s="4" t="inlineStr">
        <is>
          <t>General Elk License</t>
        </is>
      </c>
      <c r="D206" s="13" t="inlineStr">
        <is>
          <t>General license</t>
        </is>
      </c>
      <c r="E206" s="4" t="inlineStr">
        <is>
          <t>Brow-tined Bull or Antlerless Elk</t>
        </is>
      </c>
      <c r="F206" s="4" t="inlineStr">
        <is>
          <t>Sep 05-Oct 18</t>
        </is>
      </c>
      <c r="G206" s="4" t="n"/>
      <c r="H206" s="4" t="n"/>
      <c r="I206" s="4" t="n"/>
      <c r="J206" s="4" t="n"/>
      <c r="K206" s="4" t="n"/>
      <c r="L206" s="4" t="n"/>
    </row>
    <row r="207">
      <c r="A207" s="4" t="inlineStr">
        <is>
          <t>204</t>
        </is>
      </c>
      <c r="B207" s="4" t="inlineStr">
        <is>
          <t>elk</t>
        </is>
      </c>
      <c r="C207" s="4" t="inlineStr">
        <is>
          <t>General Elk License</t>
        </is>
      </c>
      <c r="D207" s="13" t="inlineStr">
        <is>
          <t>General license</t>
        </is>
      </c>
      <c r="E207" s="4" t="inlineStr">
        <is>
          <t>Antlerless Elk</t>
        </is>
      </c>
      <c r="F207" s="4" t="n"/>
      <c r="G207" s="4" t="inlineStr">
        <is>
          <t>Oct 24-Nov 29</t>
        </is>
      </c>
      <c r="H207" s="4" t="n"/>
      <c r="I207" s="4" t="inlineStr">
        <is>
          <t>Nov 30-Jan 08</t>
        </is>
      </c>
      <c r="J207" s="4" t="n"/>
      <c r="K207" s="4" t="n"/>
      <c r="L207" s="4" t="inlineStr">
        <is>
          <t>Only valid on private lands in north portion of 204 (Eight Mile-Turah).</t>
        </is>
      </c>
    </row>
    <row r="208">
      <c r="A208" s="4" t="inlineStr">
        <is>
          <t>204</t>
        </is>
      </c>
      <c r="B208" s="4" t="inlineStr">
        <is>
          <t>elk</t>
        </is>
      </c>
      <c r="C208" s="4" t="inlineStr">
        <is>
          <t>General Elk License</t>
        </is>
      </c>
      <c r="D208" s="13" t="inlineStr">
        <is>
          <t>General license</t>
        </is>
      </c>
      <c r="E208" s="4" t="inlineStr">
        <is>
          <t>Brow-tined Bull Elk</t>
        </is>
      </c>
      <c r="F208" s="4" t="n"/>
      <c r="G208" s="4" t="inlineStr">
        <is>
          <t>Oct 24-Nov 29</t>
        </is>
      </c>
      <c r="H208" s="4" t="inlineStr">
        <is>
          <t>Dec 12-Dec 20</t>
        </is>
      </c>
      <c r="I208" s="4" t="n"/>
      <c r="J208" s="4" t="n"/>
      <c r="K208" s="4" t="n"/>
      <c r="L208" s="4" t="n"/>
    </row>
    <row r="209">
      <c r="A209" s="4" t="inlineStr">
        <is>
          <t>204</t>
        </is>
      </c>
      <c r="B209" s="4" t="inlineStr">
        <is>
          <t>elk</t>
        </is>
      </c>
      <c r="C209" s="4" t="inlineStr">
        <is>
          <t>General Elk License</t>
        </is>
      </c>
      <c r="D209" s="13" t="inlineStr">
        <is>
          <t>General license</t>
        </is>
      </c>
      <c r="E209" s="4" t="inlineStr">
        <is>
          <t>Brow-tined Bull or Antlerless Elk</t>
        </is>
      </c>
      <c r="F209" s="4" t="n"/>
      <c r="G209" s="4" t="inlineStr">
        <is>
          <t>Oct 24-Nov 29</t>
        </is>
      </c>
      <c r="H209" s="4" t="inlineStr">
        <is>
          <t>Dec 12-Dec 20</t>
        </is>
      </c>
      <c r="I209" s="4" t="n"/>
      <c r="J209" s="4" t="n"/>
      <c r="K209" s="4" t="n"/>
      <c r="L209" s="4" t="inlineStr">
        <is>
          <t>Only youth ages 12-15 and hunters with a PTHFV. Resident hunters 75 years old and older may harvest an antlerless elk on private land.</t>
        </is>
      </c>
    </row>
    <row r="210">
      <c r="A210" s="4" t="inlineStr">
        <is>
          <t>204</t>
        </is>
      </c>
      <c r="B210" s="4" t="inlineStr">
        <is>
          <t>elk</t>
        </is>
      </c>
      <c r="C210" s="4" t="inlineStr">
        <is>
          <t>Elk B License: 204-00</t>
        </is>
      </c>
      <c r="D210" s="15" t="inlineStr">
        <is>
          <t>Drawing</t>
        </is>
      </c>
      <c r="E210" s="4" t="inlineStr">
        <is>
          <t>Antlerless Elk</t>
        </is>
      </c>
      <c r="F210" s="4" t="inlineStr">
        <is>
          <t>Sep 05-Oct 18</t>
        </is>
      </c>
      <c r="G210" s="4" t="inlineStr">
        <is>
          <t>Oct 24-Nov 29</t>
        </is>
      </c>
      <c r="H210" s="4" t="inlineStr">
        <is>
          <t>Dec 12-Dec 20</t>
        </is>
      </c>
      <c r="I210" s="4" t="n"/>
      <c r="J210" s="4" t="inlineStr">
        <is>
          <t>Jun 1</t>
        </is>
      </c>
      <c r="K210" s="4" t="inlineStr">
        <is>
          <t>100</t>
        </is>
      </c>
      <c r="L210" s="4" t="n"/>
    </row>
    <row r="211">
      <c r="A211" s="4" t="inlineStr">
        <is>
          <t>204</t>
        </is>
      </c>
      <c r="B211" s="4" t="inlineStr">
        <is>
          <t>elk</t>
        </is>
      </c>
      <c r="C211" s="4" t="inlineStr">
        <is>
          <t>Elk B License: 262-01</t>
        </is>
      </c>
      <c r="D211" s="4" t="inlineStr">
        <is>
          <t>Over the counter</t>
        </is>
      </c>
      <c r="E211" s="4" t="inlineStr">
        <is>
          <t>Antlerless Elk</t>
        </is>
      </c>
      <c r="F211" s="4" t="inlineStr">
        <is>
          <t>Sep 05-Oct 18</t>
        </is>
      </c>
      <c r="G211" s="4" t="inlineStr">
        <is>
          <t>Oct 24-Nov 29</t>
        </is>
      </c>
      <c r="H211" s="4" t="inlineStr">
        <is>
          <t>Dec 12-Dec 20</t>
        </is>
      </c>
      <c r="I211" s="4" t="n"/>
      <c r="J211" s="4" t="inlineStr">
        <is>
          <t>OTC: Jun 15</t>
        </is>
      </c>
      <c r="K211" s="4" t="inlineStr">
        <is>
          <t>UNL</t>
        </is>
      </c>
      <c r="L211" s="4" t="inlineStr">
        <is>
          <t>One per hunter. Only valid on private lands in HDs 204, 261, 262, and 270. Must purchase before start of general rife season. Restrictions apply, season dates may vary, see each HD for more info. One per hunter. Only valid on private lands in north portion of 204 (Eight Mile-Turah).</t>
        </is>
      </c>
    </row>
    <row r="212">
      <c r="A212" s="4" t="inlineStr">
        <is>
          <t>210</t>
        </is>
      </c>
      <c r="B212" s="4" t="inlineStr">
        <is>
          <t>elk</t>
        </is>
      </c>
      <c r="C212" s="4" t="inlineStr">
        <is>
          <t>General Elk License</t>
        </is>
      </c>
      <c r="D212" s="13" t="inlineStr">
        <is>
          <t>General license</t>
        </is>
      </c>
      <c r="E212" s="4" t="inlineStr">
        <is>
          <t>Brow-tined Bull or Antlerless Elk</t>
        </is>
      </c>
      <c r="F212" s="4" t="inlineStr">
        <is>
          <t>Sep 05-Oct 18</t>
        </is>
      </c>
      <c r="G212" s="4" t="n"/>
      <c r="H212" s="4" t="n"/>
      <c r="I212" s="4" t="n"/>
      <c r="J212" s="4" t="n"/>
      <c r="K212" s="4" t="n"/>
      <c r="L212" s="4" t="n"/>
    </row>
    <row r="213">
      <c r="A213" s="4" t="inlineStr">
        <is>
          <t>210</t>
        </is>
      </c>
      <c r="B213" s="4" t="inlineStr">
        <is>
          <t>elk</t>
        </is>
      </c>
      <c r="C213" s="4" t="inlineStr">
        <is>
          <t>General Elk License</t>
        </is>
      </c>
      <c r="D213" s="13" t="inlineStr">
        <is>
          <t>General license</t>
        </is>
      </c>
      <c r="E213" s="4" t="inlineStr">
        <is>
          <t>Brow-tined Bull Elk</t>
        </is>
      </c>
      <c r="F213" s="4" t="n"/>
      <c r="G213" s="4" t="inlineStr">
        <is>
          <t>Oct 24-Nov 29</t>
        </is>
      </c>
      <c r="H213" s="4" t="inlineStr">
        <is>
          <t>Dec 12-Dec 20</t>
        </is>
      </c>
      <c r="I213" s="4" t="n"/>
      <c r="J213" s="4" t="n"/>
      <c r="K213" s="4" t="n"/>
      <c r="L213" s="4" t="n"/>
    </row>
    <row r="214">
      <c r="A214" s="4" t="inlineStr">
        <is>
          <t>210</t>
        </is>
      </c>
      <c r="B214" s="4" t="inlineStr">
        <is>
          <t>elk</t>
        </is>
      </c>
      <c r="C214" s="4" t="inlineStr">
        <is>
          <t>General Elk License</t>
        </is>
      </c>
      <c r="D214" s="13" t="inlineStr">
        <is>
          <t>General license</t>
        </is>
      </c>
      <c r="E214" s="4" t="inlineStr">
        <is>
          <t>Brow-tined Bull or Antlerless Elk</t>
        </is>
      </c>
      <c r="F214" s="4" t="n"/>
      <c r="G214" s="4" t="inlineStr">
        <is>
          <t>Oct 24-Nov 29</t>
        </is>
      </c>
      <c r="H214" s="4" t="inlineStr">
        <is>
          <t>Dec 12-Dec 20</t>
        </is>
      </c>
      <c r="I214" s="4" t="n"/>
      <c r="J214" s="4" t="n"/>
      <c r="K214" s="4" t="n"/>
      <c r="L214" s="4" t="inlineStr">
        <is>
          <t>Only youth ages 12-15 and hunters with a PTHFV. Resident hunters 75 years old and older may harvest an antlerless elk on private land.</t>
        </is>
      </c>
    </row>
    <row r="215">
      <c r="A215" s="4" t="inlineStr">
        <is>
          <t>210</t>
        </is>
      </c>
      <c r="B215" s="4" t="inlineStr">
        <is>
          <t>elk</t>
        </is>
      </c>
      <c r="C215" s="4" t="inlineStr">
        <is>
          <t>Elk B License: 210-02</t>
        </is>
      </c>
      <c r="D215" s="15" t="inlineStr">
        <is>
          <t>Drawing</t>
        </is>
      </c>
      <c r="E215" s="4" t="inlineStr">
        <is>
          <t>Antlerless Elk</t>
        </is>
      </c>
      <c r="F215" s="4" t="inlineStr">
        <is>
          <t>Sep 05-Oct 18</t>
        </is>
      </c>
      <c r="G215" s="4" t="inlineStr">
        <is>
          <t>Oct 24-Nov 29</t>
        </is>
      </c>
      <c r="H215" s="4" t="inlineStr">
        <is>
          <t>Dec 12-Dec 20</t>
        </is>
      </c>
      <c r="I215" s="4" t="n"/>
      <c r="J215" s="4" t="inlineStr">
        <is>
          <t>Jun 1</t>
        </is>
      </c>
      <c r="K215" s="4" t="inlineStr">
        <is>
          <t>50</t>
        </is>
      </c>
      <c r="L215" s="4" t="n"/>
    </row>
    <row r="216">
      <c r="A216" s="4" t="inlineStr">
        <is>
          <t>210</t>
        </is>
      </c>
      <c r="B216" s="4" t="inlineStr">
        <is>
          <t>elk</t>
        </is>
      </c>
      <c r="C216" s="4" t="inlineStr">
        <is>
          <t>Elk B License: 210-03</t>
        </is>
      </c>
      <c r="D216" s="15" t="inlineStr">
        <is>
          <t>Drawing</t>
        </is>
      </c>
      <c r="E216" s="4" t="inlineStr">
        <is>
          <t>Antlerless Elk</t>
        </is>
      </c>
      <c r="F216" s="4" t="n"/>
      <c r="G216" s="4" t="n"/>
      <c r="H216" s="4" t="n"/>
      <c r="I216" s="4" t="inlineStr">
        <is>
          <t>Nov 30-Jan 08</t>
        </is>
      </c>
      <c r="J216" s="4" t="inlineStr">
        <is>
          <t>Jun 1</t>
        </is>
      </c>
      <c r="K216" s="4" t="inlineStr">
        <is>
          <t>300</t>
        </is>
      </c>
      <c r="L216" s="4" t="inlineStr">
        <is>
          <t>Valid on private lands in HDs 211, 212, 216 and south portion of 210 (Rattling Gulch-Henderson Creek). Valid on the above described private lands AND ALSO VALID on DNRC lands outside the National Forest Service boundary.</t>
        </is>
      </c>
    </row>
    <row r="217">
      <c r="A217" s="4" t="inlineStr">
        <is>
          <t>210</t>
        </is>
      </c>
      <c r="B217" s="4" t="inlineStr">
        <is>
          <t>elk</t>
        </is>
      </c>
      <c r="C217" s="4" t="inlineStr">
        <is>
          <t>Elk B License: 210-04</t>
        </is>
      </c>
      <c r="D217" s="15" t="inlineStr">
        <is>
          <t>Drawing</t>
        </is>
      </c>
      <c r="E217" s="4" t="inlineStr">
        <is>
          <t>Antlerless Elk</t>
        </is>
      </c>
      <c r="F217" s="4" t="inlineStr">
        <is>
          <t>Sep 05-Oct 18</t>
        </is>
      </c>
      <c r="G217" s="4" t="inlineStr">
        <is>
          <t>Oct 24-Nov 29</t>
        </is>
      </c>
      <c r="H217" s="4" t="inlineStr">
        <is>
          <t>Dec 12-Dec 20</t>
        </is>
      </c>
      <c r="I217" s="4" t="n"/>
      <c r="J217" s="4" t="inlineStr">
        <is>
          <t>Jun 1</t>
        </is>
      </c>
      <c r="K217" s="4" t="inlineStr">
        <is>
          <t>50</t>
        </is>
      </c>
      <c r="L217" s="4" t="inlineStr">
        <is>
          <t>Only valid on private lands in north portion of HD 210 (Rattling Gulch- Henderson Creek).</t>
        </is>
      </c>
    </row>
    <row r="218">
      <c r="A218" s="4" t="inlineStr">
        <is>
          <t>211</t>
        </is>
      </c>
      <c r="B218" s="4" t="inlineStr">
        <is>
          <t>elk</t>
        </is>
      </c>
      <c r="C218" s="4" t="inlineStr">
        <is>
          <t>General Elk License</t>
        </is>
      </c>
      <c r="D218" s="13" t="inlineStr">
        <is>
          <t>General license</t>
        </is>
      </c>
      <c r="E218" s="4" t="inlineStr">
        <is>
          <t>Brow-tined Bull or Antlerless Elk</t>
        </is>
      </c>
      <c r="F218" s="4" t="inlineStr">
        <is>
          <t>Sep 05-Oct 18</t>
        </is>
      </c>
      <c r="G218" s="4" t="n"/>
      <c r="H218" s="4" t="n"/>
      <c r="I218" s="4" t="n"/>
      <c r="J218" s="4" t="n"/>
      <c r="K218" s="4" t="n"/>
      <c r="L218" s="4" t="n"/>
    </row>
    <row r="219">
      <c r="A219" s="4" t="inlineStr">
        <is>
          <t>211</t>
        </is>
      </c>
      <c r="B219" s="4" t="inlineStr">
        <is>
          <t>elk</t>
        </is>
      </c>
      <c r="C219" s="4" t="inlineStr">
        <is>
          <t>General Elk License</t>
        </is>
      </c>
      <c r="D219" s="13" t="inlineStr">
        <is>
          <t>General license</t>
        </is>
      </c>
      <c r="E219" s="4" t="inlineStr">
        <is>
          <t>Brow-tined Bull Elk</t>
        </is>
      </c>
      <c r="F219" s="4" t="n"/>
      <c r="G219" s="4" t="inlineStr">
        <is>
          <t>Oct 24-Nov 29</t>
        </is>
      </c>
      <c r="H219" s="4" t="inlineStr">
        <is>
          <t>Dec 12-Dec 20</t>
        </is>
      </c>
      <c r="I219" s="4" t="n"/>
      <c r="J219" s="4" t="n"/>
      <c r="K219" s="4" t="n"/>
      <c r="L219" s="4" t="n"/>
    </row>
    <row r="220">
      <c r="A220" s="4" t="inlineStr">
        <is>
          <t>211</t>
        </is>
      </c>
      <c r="B220" s="4" t="inlineStr">
        <is>
          <t>elk</t>
        </is>
      </c>
      <c r="C220" s="4" t="inlineStr">
        <is>
          <t>General Elk License</t>
        </is>
      </c>
      <c r="D220" s="13" t="inlineStr">
        <is>
          <t>General license</t>
        </is>
      </c>
      <c r="E220" s="4" t="inlineStr">
        <is>
          <t>Brow-tined Bull or Antlerless Elk</t>
        </is>
      </c>
      <c r="F220" s="4" t="n"/>
      <c r="G220" s="4" t="inlineStr">
        <is>
          <t>Oct 24-Nov 29</t>
        </is>
      </c>
      <c r="H220" s="4" t="inlineStr">
        <is>
          <t>Dec 12-Dec 20</t>
        </is>
      </c>
      <c r="I220" s="4" t="n"/>
      <c r="J220" s="4" t="n"/>
      <c r="K220" s="4" t="n"/>
      <c r="L220" s="4" t="inlineStr">
        <is>
          <t>Only youth ages 12-15 and hunters with a PTHFV. Resident hunters 75 years old and older may harvest an antlerless elk on private land.</t>
        </is>
      </c>
    </row>
    <row r="221">
      <c r="A221" s="4" t="inlineStr">
        <is>
          <t>211</t>
        </is>
      </c>
      <c r="B221" s="4" t="inlineStr">
        <is>
          <t>elk</t>
        </is>
      </c>
      <c r="C221" s="4" t="inlineStr">
        <is>
          <t>Elk B License: 210-03</t>
        </is>
      </c>
      <c r="D221" s="15" t="inlineStr">
        <is>
          <t>Drawing</t>
        </is>
      </c>
      <c r="E221" s="4" t="inlineStr">
        <is>
          <t>Antlerless Elk</t>
        </is>
      </c>
      <c r="F221" s="4" t="n"/>
      <c r="G221" s="4" t="n"/>
      <c r="H221" s="4" t="n"/>
      <c r="I221" s="4" t="inlineStr">
        <is>
          <t>Nov 30-Jan 08</t>
        </is>
      </c>
      <c r="J221" s="4" t="inlineStr">
        <is>
          <t>Jun 1</t>
        </is>
      </c>
      <c r="K221" s="4" t="inlineStr">
        <is>
          <t>200</t>
        </is>
      </c>
      <c r="L221" s="4" t="inlineStr">
        <is>
          <t>Valid on private lands in HDs 211, 212, 216 and south portion of 210 (Rattling Gulch-Henderson Creek). Valid on the above described private lands AND ALSO VALID on DNRC lands outside the National Forest Service boundary.</t>
        </is>
      </c>
    </row>
    <row r="222">
      <c r="A222" s="4" t="inlineStr">
        <is>
          <t>211</t>
        </is>
      </c>
      <c r="B222" s="4" t="inlineStr">
        <is>
          <t>elk</t>
        </is>
      </c>
      <c r="C222" s="4" t="inlineStr">
        <is>
          <t>Elk B License: 211-00</t>
        </is>
      </c>
      <c r="D222" s="15" t="inlineStr">
        <is>
          <t>Drawing</t>
        </is>
      </c>
      <c r="E222" s="4" t="inlineStr">
        <is>
          <t>Antlerless Elk</t>
        </is>
      </c>
      <c r="F222" s="4" t="inlineStr">
        <is>
          <t>Sep 05-Oct 18</t>
        </is>
      </c>
      <c r="G222" s="4" t="inlineStr">
        <is>
          <t>Oct 24-Nov 29</t>
        </is>
      </c>
      <c r="H222" s="4" t="inlineStr">
        <is>
          <t>Dec 12-Dec 20</t>
        </is>
      </c>
      <c r="I222" s="4" t="n"/>
      <c r="J222" s="4" t="inlineStr">
        <is>
          <t>Jun 1</t>
        </is>
      </c>
      <c r="K222" s="4" t="inlineStr">
        <is>
          <t>150</t>
        </is>
      </c>
      <c r="L222" s="4" t="inlineStr">
        <is>
          <t>LICENSE/PERMIT OPPORTUNITY APPL Y BY DATE QUOTA QUOTA RANGE EARL Y SEASON DATES ARCHERY ONL Y SEASON DATES GENERAL SEASON DATES HERITAGE MUZZLELOADER SEASON DATES LATE SEASON DATES OPPORTUNITY SPECIFIC DETAILS AND/ORRESTRICTIONS</t>
        </is>
      </c>
    </row>
    <row r="223">
      <c r="A223" s="4" t="inlineStr">
        <is>
          <t>212</t>
        </is>
      </c>
      <c r="B223" s="4" t="inlineStr">
        <is>
          <t>elk</t>
        </is>
      </c>
      <c r="C223" s="4" t="inlineStr">
        <is>
          <t>General Elk License</t>
        </is>
      </c>
      <c r="D223" s="13" t="inlineStr">
        <is>
          <t>General license</t>
        </is>
      </c>
      <c r="E223" s="4" t="inlineStr">
        <is>
          <t>Brow-tined Bull or Antlerless Elk</t>
        </is>
      </c>
      <c r="F223" s="4" t="inlineStr">
        <is>
          <t>Sep 05-Oct 18</t>
        </is>
      </c>
      <c r="G223" s="4" t="n"/>
      <c r="H223" s="4" t="n"/>
      <c r="I223" s="4" t="n"/>
      <c r="J223" s="4" t="n"/>
      <c r="K223" s="4" t="n"/>
      <c r="L223" s="4" t="n"/>
    </row>
    <row r="224">
      <c r="A224" s="4" t="inlineStr">
        <is>
          <t>212</t>
        </is>
      </c>
      <c r="B224" s="4" t="inlineStr">
        <is>
          <t>elk</t>
        </is>
      </c>
      <c r="C224" s="4" t="inlineStr">
        <is>
          <t>General Elk License</t>
        </is>
      </c>
      <c r="D224" s="13" t="inlineStr">
        <is>
          <t>General license</t>
        </is>
      </c>
      <c r="E224" s="4" t="inlineStr">
        <is>
          <t>Brow-tined Bull Elk</t>
        </is>
      </c>
      <c r="F224" s="4" t="n"/>
      <c r="G224" s="4" t="inlineStr">
        <is>
          <t>Oct 24-Nov 29</t>
        </is>
      </c>
      <c r="H224" s="4" t="inlineStr">
        <is>
          <t>Dec 12-Dec 20</t>
        </is>
      </c>
      <c r="I224" s="4" t="n"/>
      <c r="J224" s="4" t="n"/>
      <c r="K224" s="4" t="n"/>
      <c r="L224" s="4" t="n"/>
    </row>
    <row r="225">
      <c r="A225" s="4" t="inlineStr">
        <is>
          <t>212</t>
        </is>
      </c>
      <c r="B225" s="4" t="inlineStr">
        <is>
          <t>elk</t>
        </is>
      </c>
      <c r="C225" s="4" t="inlineStr">
        <is>
          <t>General Elk License</t>
        </is>
      </c>
      <c r="D225" s="13" t="inlineStr">
        <is>
          <t>General license</t>
        </is>
      </c>
      <c r="E225" s="4" t="inlineStr">
        <is>
          <t>Brow-tined Bull or Antlerless Elk</t>
        </is>
      </c>
      <c r="F225" s="4" t="n"/>
      <c r="G225" s="4" t="inlineStr">
        <is>
          <t>Oct 24-Nov 29</t>
        </is>
      </c>
      <c r="H225" s="4" t="inlineStr">
        <is>
          <t>Dec 12-Dec 20</t>
        </is>
      </c>
      <c r="I225" s="4" t="n"/>
      <c r="J225" s="4" t="n"/>
      <c r="K225" s="4" t="n"/>
      <c r="L225" s="4" t="inlineStr">
        <is>
          <t>Only youth ages 12-15 and hunters with a PTHFV. Resident hunters 75 years old and older may harvest an antlerless elk on private land.</t>
        </is>
      </c>
    </row>
    <row r="226">
      <c r="A226" s="4" t="inlineStr">
        <is>
          <t>212</t>
        </is>
      </c>
      <c r="B226" s="4" t="inlineStr">
        <is>
          <t>elk</t>
        </is>
      </c>
      <c r="C226" s="4" t="inlineStr">
        <is>
          <t>Elk B License: 210-03</t>
        </is>
      </c>
      <c r="D226" s="15" t="inlineStr">
        <is>
          <t>Drawing</t>
        </is>
      </c>
      <c r="E226" s="4" t="inlineStr">
        <is>
          <t>Antlerless Elk</t>
        </is>
      </c>
      <c r="F226" s="4" t="n"/>
      <c r="G226" s="4" t="n"/>
      <c r="H226" s="4" t="n"/>
      <c r="I226" s="4" t="inlineStr">
        <is>
          <t>Nov 30-Jan 08</t>
        </is>
      </c>
      <c r="J226" s="4" t="inlineStr">
        <is>
          <t>Jun 1</t>
        </is>
      </c>
      <c r="K226" s="4" t="inlineStr">
        <is>
          <t>200</t>
        </is>
      </c>
      <c r="L226" s="4" t="inlineStr">
        <is>
          <t>Valid on private lands in HDs 211, 212, 216 and south portion of 210 (Rattling Gulch-Henderson Creek). Valid on the above described private lands AND ALSO VALID on DNRC lands outside the National Forest Service boundary.</t>
        </is>
      </c>
    </row>
    <row r="227">
      <c r="A227" s="4" t="inlineStr">
        <is>
          <t>212</t>
        </is>
      </c>
      <c r="B227" s="4" t="inlineStr">
        <is>
          <t>elk</t>
        </is>
      </c>
      <c r="C227" s="4" t="inlineStr">
        <is>
          <t>Elk B License: 212-00</t>
        </is>
      </c>
      <c r="D227" s="15" t="inlineStr">
        <is>
          <t>Drawing</t>
        </is>
      </c>
      <c r="E227" s="4" t="inlineStr">
        <is>
          <t>Antlerless Elk</t>
        </is>
      </c>
      <c r="F227" s="4" t="inlineStr">
        <is>
          <t>Sep 05-Oct 18</t>
        </is>
      </c>
      <c r="G227" s="4" t="inlineStr">
        <is>
          <t>Oct 24-Nov 29</t>
        </is>
      </c>
      <c r="H227" s="4" t="inlineStr">
        <is>
          <t>Dec 12-Dec 20</t>
        </is>
      </c>
      <c r="I227" s="4" t="n"/>
      <c r="J227" s="4" t="inlineStr">
        <is>
          <t>Jun 1</t>
        </is>
      </c>
      <c r="K227" s="4" t="inlineStr">
        <is>
          <t>30</t>
        </is>
      </c>
      <c r="L227" s="4" t="inlineStr">
        <is>
          <t>59 2026 Deer • Elk • Antelope Visit fwp.mt.gov LICENSE/PERMIT OPPORTUNITY APPL Y BY DATE QUOTA QUOTA RANGE EARL Y SEASON DATES ARCHERY ONL Y SEASON DATES GENERAL SEASON DATES HERITAGE MUZZLELOADER SEASON DATES LATE SEASON DATES OPPORTUNITY SPECIFIC DETAILS AND/ORRESTRICTIONS</t>
        </is>
      </c>
    </row>
    <row r="228">
      <c r="A228" s="4" t="inlineStr">
        <is>
          <t>213</t>
        </is>
      </c>
      <c r="B228" s="4" t="inlineStr">
        <is>
          <t>elk</t>
        </is>
      </c>
      <c r="C228" s="4" t="inlineStr">
        <is>
          <t>General Elk License</t>
        </is>
      </c>
      <c r="D228" s="13" t="inlineStr">
        <is>
          <t>General license</t>
        </is>
      </c>
      <c r="E228" s="4" t="inlineStr">
        <is>
          <t>Brow-tined Bull or Antlerless Elk</t>
        </is>
      </c>
      <c r="F228" s="4" t="inlineStr">
        <is>
          <t>Sep 05-Oct 18</t>
        </is>
      </c>
      <c r="G228" s="4" t="n"/>
      <c r="H228" s="4" t="n"/>
      <c r="I228" s="4" t="n"/>
      <c r="J228" s="4" t="n"/>
      <c r="K228" s="4" t="n"/>
      <c r="L228" s="4" t="n"/>
    </row>
    <row r="229">
      <c r="A229" s="4" t="inlineStr">
        <is>
          <t>213</t>
        </is>
      </c>
      <c r="B229" s="4" t="inlineStr">
        <is>
          <t>elk</t>
        </is>
      </c>
      <c r="C229" s="4" t="inlineStr">
        <is>
          <t>General Elk License</t>
        </is>
      </c>
      <c r="D229" s="13" t="inlineStr">
        <is>
          <t>General license</t>
        </is>
      </c>
      <c r="E229" s="4" t="inlineStr">
        <is>
          <t>Brow-tined Bull Elk</t>
        </is>
      </c>
      <c r="F229" s="4" t="n"/>
      <c r="G229" s="4" t="inlineStr">
        <is>
          <t>Oct 24-Nov 29</t>
        </is>
      </c>
      <c r="H229" s="4" t="inlineStr">
        <is>
          <t>Dec 12-Dec 20</t>
        </is>
      </c>
      <c r="I229" s="4" t="n"/>
      <c r="J229" s="4" t="n"/>
      <c r="K229" s="4" t="n"/>
      <c r="L229" s="4" t="n"/>
    </row>
    <row r="230">
      <c r="A230" s="4" t="inlineStr">
        <is>
          <t>213</t>
        </is>
      </c>
      <c r="B230" s="4" t="inlineStr">
        <is>
          <t>elk</t>
        </is>
      </c>
      <c r="C230" s="4" t="inlineStr">
        <is>
          <t>General Elk License</t>
        </is>
      </c>
      <c r="D230" s="13" t="inlineStr">
        <is>
          <t>General license</t>
        </is>
      </c>
      <c r="E230" s="4" t="inlineStr">
        <is>
          <t>Brow-tined Bull or Antlerless Elk</t>
        </is>
      </c>
      <c r="F230" s="4" t="n"/>
      <c r="G230" s="4" t="inlineStr">
        <is>
          <t>Oct 24-Nov 29</t>
        </is>
      </c>
      <c r="H230" s="4" t="n"/>
      <c r="I230" s="4" t="inlineStr">
        <is>
          <t>Nov 30-Jan 01</t>
        </is>
      </c>
      <c r="J230" s="4" t="n"/>
      <c r="K230" s="4" t="n"/>
      <c r="L230" s="4" t="inlineStr">
        <is>
          <t>Only valid Prison Ranch ArchEquip only area. Only youth ages 12-15 and hunters with a PTHFV. Resident hunters 75 years old and older may harvest an antlerless elk on private land.</t>
        </is>
      </c>
    </row>
    <row r="231">
      <c r="A231" s="4" t="inlineStr">
        <is>
          <t>213</t>
        </is>
      </c>
      <c r="B231" s="4" t="inlineStr">
        <is>
          <t>elk</t>
        </is>
      </c>
      <c r="C231" s="4" t="inlineStr">
        <is>
          <t>Elk B License: 213-00</t>
        </is>
      </c>
      <c r="D231" s="15" t="inlineStr">
        <is>
          <t>Drawing</t>
        </is>
      </c>
      <c r="E231" s="4" t="inlineStr">
        <is>
          <t>Antlerless Elk</t>
        </is>
      </c>
      <c r="F231" s="4" t="inlineStr">
        <is>
          <t>Sep 05-Oct 18</t>
        </is>
      </c>
      <c r="G231" s="4" t="inlineStr">
        <is>
          <t>Oct 24-Nov 29</t>
        </is>
      </c>
      <c r="H231" s="4" t="inlineStr">
        <is>
          <t>Dec 12-Dec 20</t>
        </is>
      </c>
      <c r="I231" s="4" t="n"/>
      <c r="J231" s="4" t="inlineStr">
        <is>
          <t>Jun 1</t>
        </is>
      </c>
      <c r="K231" s="4" t="inlineStr">
        <is>
          <t>375</t>
        </is>
      </c>
      <c r="L231" s="4" t="n"/>
    </row>
    <row r="232">
      <c r="A232" s="4" t="inlineStr">
        <is>
          <t>213</t>
        </is>
      </c>
      <c r="B232" s="4" t="inlineStr">
        <is>
          <t>elk</t>
        </is>
      </c>
      <c r="C232" s="4" t="inlineStr">
        <is>
          <t>Elk B License: 213-01</t>
        </is>
      </c>
      <c r="D232" s="15" t="inlineStr">
        <is>
          <t>Drawing</t>
        </is>
      </c>
      <c r="E232" s="4" t="inlineStr">
        <is>
          <t>Antlerless Elk</t>
        </is>
      </c>
      <c r="F232" s="4" t="n"/>
      <c r="G232" s="4" t="n"/>
      <c r="H232" s="4" t="n"/>
      <c r="I232" s="4" t="n"/>
      <c r="J232" s="4" t="inlineStr">
        <is>
          <t>Jun 1</t>
        </is>
      </c>
      <c r="K232" s="4" t="inlineStr">
        <is>
          <t>350</t>
        </is>
      </c>
      <c r="L232" s="4" t="inlineStr">
        <is>
          <t>Only valid on private land. Valid on the above described private lands AND ALSO VALID on DNRC lands outside the National Forest boundary. Not valid on FWP WMAs. Also valid on Montana State Prison Ranch in compliance with Prison Ranch access regulations. LICENSE/PERMIT OPPORTUNITY APPL Y BY DATE QUOT</t>
        </is>
      </c>
    </row>
    <row r="233">
      <c r="A233" s="4" t="inlineStr">
        <is>
          <t>214</t>
        </is>
      </c>
      <c r="B233" s="4" t="inlineStr">
        <is>
          <t>elk</t>
        </is>
      </c>
      <c r="C233" s="4" t="inlineStr">
        <is>
          <t>General Elk License</t>
        </is>
      </c>
      <c r="D233" s="13" t="inlineStr">
        <is>
          <t>General license</t>
        </is>
      </c>
      <c r="E233" s="4" t="inlineStr">
        <is>
          <t>Brow-tined Bull Elk</t>
        </is>
      </c>
      <c r="F233" s="4" t="inlineStr">
        <is>
          <t>Sep 05-Oct 18</t>
        </is>
      </c>
      <c r="G233" s="4" t="inlineStr">
        <is>
          <t>Oct 24-Nov 29</t>
        </is>
      </c>
      <c r="H233" s="4" t="inlineStr">
        <is>
          <t>Dec 12-Dec 20</t>
        </is>
      </c>
      <c r="I233" s="4" t="n"/>
      <c r="J233" s="4" t="n"/>
      <c r="K233" s="4" t="n"/>
      <c r="L233" s="4" t="n"/>
    </row>
    <row r="234">
      <c r="A234" s="4" t="inlineStr">
        <is>
          <t>215</t>
        </is>
      </c>
      <c r="B234" s="4" t="inlineStr">
        <is>
          <t>elk</t>
        </is>
      </c>
      <c r="C234" s="4" t="inlineStr">
        <is>
          <t>General Elk License</t>
        </is>
      </c>
      <c r="D234" s="13" t="inlineStr">
        <is>
          <t>General license</t>
        </is>
      </c>
      <c r="E234" s="4" t="inlineStr">
        <is>
          <t>Brow-tined Bull or Antlerless Elk</t>
        </is>
      </c>
      <c r="F234" s="4" t="inlineStr">
        <is>
          <t>Sep 05-Oct 18</t>
        </is>
      </c>
      <c r="G234" s="4" t="n"/>
      <c r="H234" s="4" t="n"/>
      <c r="I234" s="4" t="n"/>
      <c r="J234" s="4" t="n"/>
      <c r="K234" s="4" t="n"/>
      <c r="L234" s="4" t="n"/>
    </row>
    <row r="235">
      <c r="A235" s="4" t="inlineStr">
        <is>
          <t>215</t>
        </is>
      </c>
      <c r="B235" s="4" t="inlineStr">
        <is>
          <t>elk</t>
        </is>
      </c>
      <c r="C235" s="4" t="inlineStr">
        <is>
          <t>General Elk License</t>
        </is>
      </c>
      <c r="D235" s="13" t="inlineStr">
        <is>
          <t>General license</t>
        </is>
      </c>
      <c r="E235" s="4" t="inlineStr">
        <is>
          <t>Brow-tined Bull Elk</t>
        </is>
      </c>
      <c r="F235" s="4" t="n"/>
      <c r="G235" s="4" t="inlineStr">
        <is>
          <t>Oct 24-Nov 29</t>
        </is>
      </c>
      <c r="H235" s="4" t="inlineStr">
        <is>
          <t>Dec 12-Dec 20</t>
        </is>
      </c>
      <c r="I235" s="4" t="n"/>
      <c r="J235" s="4" t="n"/>
      <c r="K235" s="4" t="n"/>
      <c r="L235" s="4" t="n"/>
    </row>
    <row r="236">
      <c r="A236" s="4" t="inlineStr">
        <is>
          <t>215</t>
        </is>
      </c>
      <c r="B236" s="4" t="inlineStr">
        <is>
          <t>elk</t>
        </is>
      </c>
      <c r="C236" s="4" t="inlineStr">
        <is>
          <t>General Elk License</t>
        </is>
      </c>
      <c r="D236" s="13" t="inlineStr">
        <is>
          <t>General license</t>
        </is>
      </c>
      <c r="E236" s="4" t="inlineStr">
        <is>
          <t>Brow-tined Bull or Antlerless Elk</t>
        </is>
      </c>
      <c r="F236" s="4" t="n"/>
      <c r="G236" s="4" t="inlineStr">
        <is>
          <t>Oct 24-Nov 29</t>
        </is>
      </c>
      <c r="H236" s="4" t="inlineStr">
        <is>
          <t>Dec 12-Dec 20</t>
        </is>
      </c>
      <c r="I236" s="4" t="n"/>
      <c r="J236" s="4" t="n"/>
      <c r="K236" s="4" t="n"/>
      <c r="L236" s="4" t="inlineStr">
        <is>
          <t>Only youth ages 12-15 and hunters with a PTHFV. Resident hunters 75 years old and older may harvest an antlerless elk on private land.</t>
        </is>
      </c>
    </row>
    <row r="237">
      <c r="A237" s="4" t="inlineStr">
        <is>
          <t>215</t>
        </is>
      </c>
      <c r="B237" s="4" t="inlineStr">
        <is>
          <t>elk</t>
        </is>
      </c>
      <c r="C237" s="4" t="inlineStr">
        <is>
          <t>Elk B License: 215-01</t>
        </is>
      </c>
      <c r="D237" s="15" t="inlineStr">
        <is>
          <t>Drawing</t>
        </is>
      </c>
      <c r="E237" s="4" t="inlineStr">
        <is>
          <t>Antlerless Elk</t>
        </is>
      </c>
      <c r="F237" s="4" t="inlineStr">
        <is>
          <t>Sep 05-Oct 18</t>
        </is>
      </c>
      <c r="G237" s="4" t="inlineStr">
        <is>
          <t>Oct 24-Nov 29</t>
        </is>
      </c>
      <c r="H237" s="4" t="inlineStr">
        <is>
          <t>Dec 12-Dec 20</t>
        </is>
      </c>
      <c r="I237" s="4" t="n"/>
      <c r="J237" s="4" t="inlineStr">
        <is>
          <t>Jun 1</t>
        </is>
      </c>
      <c r="K237" s="4" t="inlineStr">
        <is>
          <t>250</t>
        </is>
      </c>
      <c r="L237" s="4" t="n"/>
    </row>
    <row r="238">
      <c r="A238" s="4" t="inlineStr">
        <is>
          <t>215</t>
        </is>
      </c>
      <c r="B238" s="4" t="inlineStr">
        <is>
          <t>elk</t>
        </is>
      </c>
      <c r="C238" s="4" t="inlineStr">
        <is>
          <t>Elk B License: 215-02</t>
        </is>
      </c>
      <c r="D238" s="15" t="inlineStr">
        <is>
          <t>Drawing</t>
        </is>
      </c>
      <c r="E238" s="4" t="inlineStr">
        <is>
          <t>Antlerless Elk</t>
        </is>
      </c>
      <c r="F238" s="4" t="n"/>
      <c r="G238" s="4" t="n"/>
      <c r="H238" s="4" t="n"/>
      <c r="I238" s="4" t="n"/>
      <c r="J238" s="4" t="inlineStr">
        <is>
          <t>Jun 1</t>
        </is>
      </c>
      <c r="K238" s="4" t="inlineStr">
        <is>
          <t>400</t>
        </is>
      </c>
      <c r="L238" s="4" t="inlineStr">
        <is>
          <t>Only valid on private lands and NOT VALID east of Brown’s Gulch Creek. Only valid on private lands and DNRC lands outside the National Forest Boundary. NOT VALID on FWP WMAs or east of Brown’s Gulch Creek. 61 2026 Deer • Elk • Antelope Visit fwp.mt.gov LICENSE/PERMIT OPPORTUNITY APPL Y BY DATE QUOTA</t>
        </is>
      </c>
    </row>
    <row r="239">
      <c r="A239" s="4" t="inlineStr">
        <is>
          <t>216</t>
        </is>
      </c>
      <c r="B239" s="4" t="inlineStr">
        <is>
          <t>elk</t>
        </is>
      </c>
      <c r="C239" s="4" t="inlineStr">
        <is>
          <t>General Elk License</t>
        </is>
      </c>
      <c r="D239" s="13" t="inlineStr">
        <is>
          <t>General license</t>
        </is>
      </c>
      <c r="E239" s="4" t="inlineStr">
        <is>
          <t>Brow-tined Bull or Antlerless Elk</t>
        </is>
      </c>
      <c r="F239" s="4" t="inlineStr">
        <is>
          <t>Sep 05-Oct 18</t>
        </is>
      </c>
      <c r="G239" s="4" t="n"/>
      <c r="H239" s="4" t="n"/>
      <c r="I239" s="4" t="n"/>
      <c r="J239" s="4" t="n"/>
      <c r="K239" s="4" t="n"/>
      <c r="L239" s="4" t="n"/>
    </row>
    <row r="240">
      <c r="A240" s="4" t="inlineStr">
        <is>
          <t>216</t>
        </is>
      </c>
      <c r="B240" s="4" t="inlineStr">
        <is>
          <t>elk</t>
        </is>
      </c>
      <c r="C240" s="4" t="inlineStr">
        <is>
          <t>General Elk License</t>
        </is>
      </c>
      <c r="D240" s="13" t="inlineStr">
        <is>
          <t>General license</t>
        </is>
      </c>
      <c r="E240" s="4" t="inlineStr">
        <is>
          <t>Brow-tined Bull Elk</t>
        </is>
      </c>
      <c r="F240" s="4" t="n"/>
      <c r="G240" s="4" t="inlineStr">
        <is>
          <t>Oct 24-Nov 29</t>
        </is>
      </c>
      <c r="H240" s="4" t="inlineStr">
        <is>
          <t>Dec 12-Dec 20</t>
        </is>
      </c>
      <c r="I240" s="4" t="n"/>
      <c r="J240" s="4" t="n"/>
      <c r="K240" s="4" t="n"/>
      <c r="L240" s="4" t="n"/>
    </row>
    <row r="241">
      <c r="A241" s="4" t="inlineStr">
        <is>
          <t>216</t>
        </is>
      </c>
      <c r="B241" s="4" t="inlineStr">
        <is>
          <t>elk</t>
        </is>
      </c>
      <c r="C241" s="4" t="inlineStr">
        <is>
          <t>General Elk License</t>
        </is>
      </c>
      <c r="D241" s="13" t="inlineStr">
        <is>
          <t>General license</t>
        </is>
      </c>
      <c r="E241" s="4" t="inlineStr">
        <is>
          <t>Brow-tined Bull or Antlerless Elk</t>
        </is>
      </c>
      <c r="F241" s="4" t="n"/>
      <c r="G241" s="4" t="inlineStr">
        <is>
          <t>Oct 24-Nov 29</t>
        </is>
      </c>
      <c r="H241" s="4" t="inlineStr">
        <is>
          <t>Dec 12-Dec 20</t>
        </is>
      </c>
      <c r="I241" s="4" t="n"/>
      <c r="J241" s="4" t="n"/>
      <c r="K241" s="4" t="n"/>
      <c r="L241" s="4" t="inlineStr">
        <is>
          <t>Only youth ages 12-15 and hunters with a PTHFV. Resident hunters 75 years old and older may harvest an antlerless elk on private land.</t>
        </is>
      </c>
    </row>
    <row r="242">
      <c r="A242" s="4" t="inlineStr">
        <is>
          <t>216</t>
        </is>
      </c>
      <c r="B242" s="4" t="inlineStr">
        <is>
          <t>elk</t>
        </is>
      </c>
      <c r="C242" s="4" t="inlineStr">
        <is>
          <t>Elk B License: 210-03</t>
        </is>
      </c>
      <c r="D242" s="15" t="inlineStr">
        <is>
          <t>Drawing</t>
        </is>
      </c>
      <c r="E242" s="4" t="inlineStr">
        <is>
          <t>Antlerless Elk</t>
        </is>
      </c>
      <c r="F242" s="4" t="n"/>
      <c r="G242" s="4" t="n"/>
      <c r="H242" s="4" t="n"/>
      <c r="I242" s="4" t="inlineStr">
        <is>
          <t>Nov 30-Jan 08</t>
        </is>
      </c>
      <c r="J242" s="4" t="inlineStr">
        <is>
          <t>Jun 1</t>
        </is>
      </c>
      <c r="K242" s="4" t="inlineStr">
        <is>
          <t>200</t>
        </is>
      </c>
      <c r="L242" s="4" t="inlineStr">
        <is>
          <t>Valid on private lands in HDs 211, 212, 216 and south portion of 210 (Rattling Gulch-Henderson Creek). Valid on the above described private lands AND ALSO VALID on DNRC lands outside the National Forest Service boundary.</t>
        </is>
      </c>
    </row>
    <row r="243">
      <c r="A243" s="4" t="inlineStr">
        <is>
          <t>216</t>
        </is>
      </c>
      <c r="B243" s="4" t="inlineStr">
        <is>
          <t>elk</t>
        </is>
      </c>
      <c r="C243" s="4" t="inlineStr">
        <is>
          <t>Elk B License: 216-00</t>
        </is>
      </c>
      <c r="D243" s="15" t="inlineStr">
        <is>
          <t>Drawing</t>
        </is>
      </c>
      <c r="E243" s="4" t="inlineStr">
        <is>
          <t>Antlerless Elk</t>
        </is>
      </c>
      <c r="F243" s="4" t="inlineStr">
        <is>
          <t>Sep 05-Oct 18</t>
        </is>
      </c>
      <c r="G243" s="4" t="inlineStr">
        <is>
          <t>Oct 24-Nov 29</t>
        </is>
      </c>
      <c r="H243" s="4" t="inlineStr">
        <is>
          <t>Dec 12-Dec 20</t>
        </is>
      </c>
      <c r="I243" s="4" t="n"/>
      <c r="J243" s="4" t="inlineStr">
        <is>
          <t>Jun 1</t>
        </is>
      </c>
      <c r="K243" s="4" t="inlineStr">
        <is>
          <t>75</t>
        </is>
      </c>
      <c r="L243" s="4" t="n"/>
    </row>
    <row r="244">
      <c r="A244" s="4" t="inlineStr">
        <is>
          <t>217</t>
        </is>
      </c>
      <c r="B244" s="4" t="inlineStr">
        <is>
          <t>elk</t>
        </is>
      </c>
      <c r="C244" s="4" t="inlineStr">
        <is>
          <t>General Elk License</t>
        </is>
      </c>
      <c r="D244" s="13" t="inlineStr">
        <is>
          <t>General license</t>
        </is>
      </c>
      <c r="E244" s="4" t="inlineStr">
        <is>
          <t>Antlerless Elk</t>
        </is>
      </c>
      <c r="F244" s="4" t="inlineStr">
        <is>
          <t>Sep 05-Oct 18</t>
        </is>
      </c>
      <c r="G244" s="4" t="inlineStr">
        <is>
          <t>Oct 19-Nov 29</t>
        </is>
      </c>
      <c r="H244" s="4" t="n"/>
      <c r="I244" s="4" t="n"/>
      <c r="J244" s="4" t="n"/>
      <c r="K244" s="4" t="n"/>
      <c r="L244" s="4" t="inlineStr">
        <is>
          <t>ArchEquip only. Only youth ages 12-15 and hunters with a PTHFV. Resident hunters 75 years old and older may harvest an antlerless elk on private land.</t>
        </is>
      </c>
    </row>
    <row r="245">
      <c r="A245" s="4" t="inlineStr">
        <is>
          <t>217</t>
        </is>
      </c>
      <c r="B245" s="4" t="inlineStr">
        <is>
          <t>elk</t>
        </is>
      </c>
      <c r="C245" s="4" t="inlineStr">
        <is>
          <t>Elk B License: 217-01</t>
        </is>
      </c>
      <c r="D245" s="15" t="inlineStr">
        <is>
          <t>Drawing</t>
        </is>
      </c>
      <c r="E245" s="4" t="inlineStr">
        <is>
          <t>Antlerless Elk</t>
        </is>
      </c>
      <c r="F245" s="4" t="inlineStr">
        <is>
          <t>Sep 05-Oct 18</t>
        </is>
      </c>
      <c r="G245" s="4" t="inlineStr">
        <is>
          <t>Oct 24-Nov 29</t>
        </is>
      </c>
      <c r="H245" s="4" t="inlineStr">
        <is>
          <t>Dec 12-Dec 20</t>
        </is>
      </c>
      <c r="I245" s="4" t="n"/>
      <c r="J245" s="4" t="inlineStr">
        <is>
          <t>Jun 1</t>
        </is>
      </c>
      <c r="K245" s="4" t="inlineStr">
        <is>
          <t>160</t>
        </is>
      </c>
      <c r="L245" s="4" t="n"/>
    </row>
    <row r="246">
      <c r="A246" s="4" t="inlineStr">
        <is>
          <t>217</t>
        </is>
      </c>
      <c r="B246" s="4" t="inlineStr">
        <is>
          <t>elk</t>
        </is>
      </c>
      <c r="C246" s="4" t="inlineStr">
        <is>
          <t>Elk B License: 217-02</t>
        </is>
      </c>
      <c r="D246" s="15" t="inlineStr">
        <is>
          <t>Drawing</t>
        </is>
      </c>
      <c r="E246" s="4" t="inlineStr">
        <is>
          <t>Antlerless Elk</t>
        </is>
      </c>
      <c r="F246" s="4" t="inlineStr">
        <is>
          <t>Sep 05-Oct 18</t>
        </is>
      </c>
      <c r="G246" s="4" t="inlineStr">
        <is>
          <t>Oct 24-Nov 29</t>
        </is>
      </c>
      <c r="H246" s="4" t="inlineStr">
        <is>
          <t>Dec 12-Dec 20</t>
        </is>
      </c>
      <c r="I246" s="4" t="n"/>
      <c r="J246" s="4" t="inlineStr">
        <is>
          <t>Jun 1</t>
        </is>
      </c>
      <c r="K246" s="4" t="inlineStr">
        <is>
          <t>150</t>
        </is>
      </c>
      <c r="L246" s="4" t="inlineStr">
        <is>
          <t>Valid on private land only.</t>
        </is>
      </c>
    </row>
    <row r="247">
      <c r="A247" s="4" t="inlineStr">
        <is>
          <t>217</t>
        </is>
      </c>
      <c r="B247" s="4" t="inlineStr">
        <is>
          <t>elk</t>
        </is>
      </c>
      <c r="C247" s="4" t="inlineStr">
        <is>
          <t>Elk Permit: 217-10</t>
        </is>
      </c>
      <c r="D247" s="15" t="inlineStr">
        <is>
          <t>Drawing</t>
        </is>
      </c>
      <c r="E247" s="4" t="inlineStr">
        <is>
          <t>Brow-tined Bull or Antlerless Elk</t>
        </is>
      </c>
      <c r="F247" s="4" t="inlineStr">
        <is>
          <t>Sep 05-Oct 18</t>
        </is>
      </c>
      <c r="G247" s="4" t="inlineStr">
        <is>
          <t>Oct 24-Nov 29</t>
        </is>
      </c>
      <c r="H247" s="4" t="inlineStr">
        <is>
          <t>Dec 12-Dec 20</t>
        </is>
      </c>
      <c r="I247" s="4" t="n"/>
      <c r="J247" s="4" t="inlineStr">
        <is>
          <t>April 1</t>
        </is>
      </c>
      <c r="K247" s="4" t="inlineStr">
        <is>
          <t>175</t>
        </is>
      </c>
      <c r="L247" s="4" t="inlineStr">
        <is>
          <t>Permit must be used with a valid General Elk License. Holders may not hunt Antlered Bull Elk in any other HDs during this described season.</t>
        </is>
      </c>
    </row>
    <row r="248">
      <c r="A248" s="4" t="inlineStr">
        <is>
          <t>217</t>
        </is>
      </c>
      <c r="B248" s="4" t="inlineStr">
        <is>
          <t>elk</t>
        </is>
      </c>
      <c r="C248" s="4" t="inlineStr">
        <is>
          <t>Elk Permit: 217-11</t>
        </is>
      </c>
      <c r="D248" s="15" t="inlineStr">
        <is>
          <t>Drawing</t>
        </is>
      </c>
      <c r="E248" s="4" t="inlineStr">
        <is>
          <t>Brow-tined Bull or Antlerless Elk</t>
        </is>
      </c>
      <c r="F248" s="4" t="inlineStr">
        <is>
          <t>Sep 05-Oct 18</t>
        </is>
      </c>
      <c r="G248" s="4" t="inlineStr">
        <is>
          <t>Oct 24-Nov 29</t>
        </is>
      </c>
      <c r="H248" s="4" t="inlineStr">
        <is>
          <t>Dec 12-Dec 20</t>
        </is>
      </c>
      <c r="I248" s="4" t="n"/>
      <c r="J248" s="4" t="inlineStr">
        <is>
          <t>April 1</t>
        </is>
      </c>
      <c r="K248" s="4" t="inlineStr">
        <is>
          <t>25</t>
        </is>
      </c>
      <c r="L248" s="4" t="inlineStr">
        <is>
          <t>Only youth ages 12-15. Permit must be used with a valid General Elk License. Holders may not hunt Antlered Bull Elk in any other HDs during this described season.</t>
        </is>
      </c>
    </row>
    <row r="249">
      <c r="A249" s="4" t="inlineStr">
        <is>
          <t>240</t>
        </is>
      </c>
      <c r="B249" s="4" t="inlineStr">
        <is>
          <t>elk</t>
        </is>
      </c>
      <c r="C249" s="4" t="inlineStr">
        <is>
          <t>General Elk License</t>
        </is>
      </c>
      <c r="D249" s="13" t="inlineStr">
        <is>
          <t>General license</t>
        </is>
      </c>
      <c r="E249" s="4" t="inlineStr">
        <is>
          <t>Brow-tined Bull or Antlerless Elk</t>
        </is>
      </c>
      <c r="F249" s="4" t="inlineStr">
        <is>
          <t>Sep 05-Oct 18</t>
        </is>
      </c>
      <c r="G249" s="4" t="n"/>
      <c r="H249" s="4" t="n"/>
      <c r="I249" s="4" t="n"/>
      <c r="J249" s="4" t="n"/>
      <c r="K249" s="4" t="n"/>
      <c r="L249" s="4" t="n"/>
    </row>
    <row r="250">
      <c r="A250" s="4" t="inlineStr">
        <is>
          <t>240</t>
        </is>
      </c>
      <c r="B250" s="4" t="inlineStr">
        <is>
          <t>elk</t>
        </is>
      </c>
      <c r="C250" s="4" t="inlineStr">
        <is>
          <t>General Elk License</t>
        </is>
      </c>
      <c r="D250" s="13" t="inlineStr">
        <is>
          <t>General license</t>
        </is>
      </c>
      <c r="E250" s="4" t="inlineStr">
        <is>
          <t>Antlerless Elk</t>
        </is>
      </c>
      <c r="F250" s="4" t="n"/>
      <c r="G250" s="4" t="inlineStr">
        <is>
          <t>Oct 24-Nov 01</t>
        </is>
      </c>
      <c r="H250" s="4" t="n"/>
      <c r="I250" s="4" t="n"/>
      <c r="J250" s="4" t="n"/>
      <c r="K250" s="4" t="n"/>
      <c r="L250" s="4" t="inlineStr">
        <is>
          <t>Only valid outside the National Forest boundary.</t>
        </is>
      </c>
    </row>
    <row r="251">
      <c r="A251" s="4" t="inlineStr">
        <is>
          <t>240</t>
        </is>
      </c>
      <c r="B251" s="4" t="inlineStr">
        <is>
          <t>elk</t>
        </is>
      </c>
      <c r="C251" s="4" t="inlineStr">
        <is>
          <t>General Elk License</t>
        </is>
      </c>
      <c r="D251" s="13" t="inlineStr">
        <is>
          <t>General license</t>
        </is>
      </c>
      <c r="E251" s="4" t="inlineStr">
        <is>
          <t>Brow-tined Bull Elk</t>
        </is>
      </c>
      <c r="F251" s="4" t="n"/>
      <c r="G251" s="4" t="inlineStr">
        <is>
          <t>Oct 24-Nov 29</t>
        </is>
      </c>
      <c r="H251" s="4" t="inlineStr">
        <is>
          <t>Dec 12-Dec 20</t>
        </is>
      </c>
      <c r="I251" s="4" t="n"/>
      <c r="J251" s="4" t="n"/>
      <c r="K251" s="4" t="n"/>
      <c r="L251" s="4" t="n"/>
    </row>
    <row r="252">
      <c r="A252" s="4" t="inlineStr">
        <is>
          <t>240</t>
        </is>
      </c>
      <c r="B252" s="4" t="inlineStr">
        <is>
          <t>elk</t>
        </is>
      </c>
      <c r="C252" s="4" t="inlineStr">
        <is>
          <t>General Elk License</t>
        </is>
      </c>
      <c r="D252" s="13" t="inlineStr">
        <is>
          <t>General license</t>
        </is>
      </c>
      <c r="E252" s="4" t="inlineStr">
        <is>
          <t>Brow-tined Bull or Antlerless Elk</t>
        </is>
      </c>
      <c r="F252" s="4" t="n"/>
      <c r="G252" s="4" t="inlineStr">
        <is>
          <t>Oct 24-Nov 29</t>
        </is>
      </c>
      <c r="H252" s="4" t="inlineStr">
        <is>
          <t>Dec 12-Dec 20</t>
        </is>
      </c>
      <c r="I252" s="4" t="n"/>
      <c r="J252" s="4" t="n"/>
      <c r="K252" s="4" t="n"/>
      <c r="L252" s="4" t="inlineStr">
        <is>
          <t>Only youth ages 12-15 and hunters with a PTHFV. Resident hunters 75 years old and older may harvest an antlerless elk on private land.</t>
        </is>
      </c>
    </row>
    <row r="253">
      <c r="A253" s="4" t="inlineStr">
        <is>
          <t>240</t>
        </is>
      </c>
      <c r="B253" s="4" t="inlineStr">
        <is>
          <t>elk</t>
        </is>
      </c>
      <c r="C253" s="4" t="inlineStr">
        <is>
          <t>Elk B License: 240-01</t>
        </is>
      </c>
      <c r="D253" s="15" t="inlineStr">
        <is>
          <t>Drawing</t>
        </is>
      </c>
      <c r="E253" s="4" t="inlineStr">
        <is>
          <t>Antlerless Elk</t>
        </is>
      </c>
      <c r="F253" s="4" t="inlineStr">
        <is>
          <t>Sep 05-Oct 18</t>
        </is>
      </c>
      <c r="G253" s="4" t="inlineStr">
        <is>
          <t>Oct 24-Nov 29</t>
        </is>
      </c>
      <c r="H253" s="4" t="inlineStr">
        <is>
          <t>Dec 12-Dec 20</t>
        </is>
      </c>
      <c r="I253" s="4" t="n"/>
      <c r="J253" s="4" t="inlineStr">
        <is>
          <t>Jun 1</t>
        </is>
      </c>
      <c r="K253" s="4" t="inlineStr">
        <is>
          <t>50</t>
        </is>
      </c>
      <c r="L253" s="4" t="inlineStr">
        <is>
          <t>Only valid on private land.</t>
        </is>
      </c>
    </row>
    <row r="254">
      <c r="A254" s="4" t="inlineStr">
        <is>
          <t>250</t>
        </is>
      </c>
      <c r="B254" s="4" t="inlineStr">
        <is>
          <t>elk</t>
        </is>
      </c>
      <c r="C254" s="4" t="inlineStr">
        <is>
          <t>Elk B License: 250-00</t>
        </is>
      </c>
      <c r="D254" s="15" t="inlineStr">
        <is>
          <t>Drawing</t>
        </is>
      </c>
      <c r="E254" s="4" t="inlineStr">
        <is>
          <t>Antlerless Elk</t>
        </is>
      </c>
      <c r="F254" s="4" t="inlineStr">
        <is>
          <t>Sep 05-Oct 18</t>
        </is>
      </c>
      <c r="G254" s="4" t="inlineStr">
        <is>
          <t>Oct 24-Nov 29</t>
        </is>
      </c>
      <c r="H254" s="4" t="inlineStr">
        <is>
          <t>Dec 12-Dec 20</t>
        </is>
      </c>
      <c r="I254" s="4" t="n"/>
      <c r="J254" s="4" t="inlineStr">
        <is>
          <t>Jun 1</t>
        </is>
      </c>
      <c r="K254" s="4" t="inlineStr">
        <is>
          <t>25</t>
        </is>
      </c>
      <c r="L254" s="4" t="n"/>
    </row>
    <row r="255">
      <c r="A255" s="4" t="inlineStr">
        <is>
          <t>250</t>
        </is>
      </c>
      <c r="B255" s="4" t="inlineStr">
        <is>
          <t>elk</t>
        </is>
      </c>
      <c r="C255" s="4" t="inlineStr">
        <is>
          <t>Elk Permit: 250-45</t>
        </is>
      </c>
      <c r="D255" s="15" t="inlineStr">
        <is>
          <t>Drawing</t>
        </is>
      </c>
      <c r="E255" s="4" t="inlineStr">
        <is>
          <t>Brow-tined Bull Elk</t>
        </is>
      </c>
      <c r="F255" s="4" t="inlineStr">
        <is>
          <t>Sep 05-Oct 18</t>
        </is>
      </c>
      <c r="G255" s="4" t="inlineStr">
        <is>
          <t>Oct 24-Nov 29</t>
        </is>
      </c>
      <c r="H255" s="4" t="inlineStr">
        <is>
          <t>Dec 12-Dec 20</t>
        </is>
      </c>
      <c r="I255" s="4" t="n"/>
      <c r="J255" s="4" t="inlineStr">
        <is>
          <t>April 1</t>
        </is>
      </c>
      <c r="K255" s="4" t="inlineStr">
        <is>
          <t>45</t>
        </is>
      </c>
      <c r="L255" s="4" t="inlineStr">
        <is>
          <t>Permit must be used with a valid General Elk License. Holders may not hunt Antlered Elk in any other HD during these described season dates.</t>
        </is>
      </c>
    </row>
    <row r="256">
      <c r="A256" s="4" t="inlineStr">
        <is>
          <t>250</t>
        </is>
      </c>
      <c r="B256" s="4" t="inlineStr">
        <is>
          <t>elk</t>
        </is>
      </c>
      <c r="C256" s="4" t="inlineStr">
        <is>
          <t>Elk Permit: 250-46</t>
        </is>
      </c>
      <c r="D256" s="15" t="inlineStr">
        <is>
          <t>Drawing</t>
        </is>
      </c>
      <c r="E256" s="4" t="inlineStr">
        <is>
          <t>Brow-tined Bull Elk</t>
        </is>
      </c>
      <c r="F256" s="4" t="n"/>
      <c r="G256" s="4" t="inlineStr">
        <is>
          <t>Oct 24-Nov 29</t>
        </is>
      </c>
      <c r="H256" s="4" t="inlineStr">
        <is>
          <t>Dec 12-Dec 20</t>
        </is>
      </c>
      <c r="I256" s="4" t="n"/>
      <c r="J256" s="4" t="inlineStr">
        <is>
          <t>April 1</t>
        </is>
      </c>
      <c r="K256" s="4" t="inlineStr">
        <is>
          <t>45</t>
        </is>
      </c>
      <c r="L256" s="4" t="inlineStr">
        <is>
          <t>NOT VALID DURING ARCHERY SEASON. Permit must be used with a valid General Elk License. Holders may not hunt Antlered Elk in any other HD during these described season dates. LICENSE/PERMIT OPPORTUNITY APPL Y BY DATE QUOTA QUOTA RANGE EARL Y SEASON DATES ARCHERY ONL Y SEASON DATES GENERAL SEASON DATE</t>
        </is>
      </c>
    </row>
    <row r="257">
      <c r="A257" s="4" t="inlineStr">
        <is>
          <t>260</t>
        </is>
      </c>
      <c r="B257" s="4" t="inlineStr">
        <is>
          <t>elk</t>
        </is>
      </c>
      <c r="C257" s="4" t="inlineStr">
        <is>
          <t>General Elk License</t>
        </is>
      </c>
      <c r="D257" s="13" t="inlineStr">
        <is>
          <t>General license</t>
        </is>
      </c>
      <c r="E257" s="4" t="inlineStr">
        <is>
          <t>Brow-tined Bull or Antlerless Elk</t>
        </is>
      </c>
      <c r="F257" s="4" t="inlineStr">
        <is>
          <t>Sep 05-Oct 18</t>
        </is>
      </c>
      <c r="G257" s="4" t="inlineStr">
        <is>
          <t>Oct 19-Nov 29</t>
        </is>
      </c>
      <c r="H257" s="4" t="n"/>
      <c r="I257" s="4" t="inlineStr">
        <is>
          <t>Nov 30-Jan 15</t>
        </is>
      </c>
      <c r="J257" s="4" t="n"/>
      <c r="K257" s="4" t="n"/>
      <c r="L257" s="4" t="inlineStr">
        <is>
          <t>ArchEquip only. NOT valid on Lee Metcalf Refuge.</t>
        </is>
      </c>
    </row>
    <row r="258">
      <c r="A258" s="4" t="inlineStr">
        <is>
          <t>260</t>
        </is>
      </c>
      <c r="B258" s="4" t="inlineStr">
        <is>
          <t>elk</t>
        </is>
      </c>
      <c r="C258" s="4" t="inlineStr">
        <is>
          <t>Elk B License: 201-01</t>
        </is>
      </c>
      <c r="D258" s="4" t="inlineStr">
        <is>
          <t>Over the counter</t>
        </is>
      </c>
      <c r="E258" s="4" t="inlineStr">
        <is>
          <t>Antlerless Elk</t>
        </is>
      </c>
      <c r="F258" s="4" t="n"/>
      <c r="G258" s="4" t="inlineStr">
        <is>
          <t>Oct 19-Nov 29</t>
        </is>
      </c>
      <c r="H258" s="4" t="n"/>
      <c r="I258" s="4" t="inlineStr">
        <is>
          <t>Nov 30-Jan 15</t>
        </is>
      </c>
      <c r="J258" s="4" t="inlineStr">
        <is>
          <t>OTC: Jun 15</t>
        </is>
      </c>
      <c r="K258" s="4" t="inlineStr">
        <is>
          <t>UNL</t>
        </is>
      </c>
      <c r="L258" s="4" t="inlineStr">
        <is>
          <t>Must purchase before the start of the general season. Only valid on private land. ArchEquip, shotgun, traditional handgun, muzzleloader, or crossbow only. Also valid in HD 201 with restrictions. See HD 201 for more info Must purchase before the start of the general season. Only valid on private land</t>
        </is>
      </c>
    </row>
    <row r="259">
      <c r="A259" s="4" t="inlineStr">
        <is>
          <t>261</t>
        </is>
      </c>
      <c r="B259" s="4" t="inlineStr">
        <is>
          <t>elk</t>
        </is>
      </c>
      <c r="C259" s="4" t="inlineStr">
        <is>
          <t>General Elk License</t>
        </is>
      </c>
      <c r="D259" s="13" t="inlineStr">
        <is>
          <t>General license</t>
        </is>
      </c>
      <c r="E259" s="4" t="inlineStr">
        <is>
          <t>Brow-tined Bull or Antlerless Elk</t>
        </is>
      </c>
      <c r="F259" s="4" t="inlineStr">
        <is>
          <t>Sep 05-Oct 18</t>
        </is>
      </c>
      <c r="G259" s="4" t="n"/>
      <c r="H259" s="4" t="n"/>
      <c r="I259" s="4" t="n"/>
      <c r="J259" s="4" t="n"/>
      <c r="K259" s="4" t="n"/>
      <c r="L259" s="4" t="n"/>
    </row>
    <row r="260">
      <c r="A260" s="4" t="inlineStr">
        <is>
          <t>261</t>
        </is>
      </c>
      <c r="B260" s="4" t="inlineStr">
        <is>
          <t>elk</t>
        </is>
      </c>
      <c r="C260" s="4" t="inlineStr">
        <is>
          <t>General Elk License</t>
        </is>
      </c>
      <c r="D260" s="13" t="inlineStr">
        <is>
          <t>General license</t>
        </is>
      </c>
      <c r="E260" s="4" t="inlineStr">
        <is>
          <t>Brow-tined Bull Elk</t>
        </is>
      </c>
      <c r="F260" s="4" t="n"/>
      <c r="G260" s="4" t="inlineStr">
        <is>
          <t>Oct 24-Nov 29</t>
        </is>
      </c>
      <c r="H260" s="4" t="inlineStr">
        <is>
          <t>Dec 12-Dec 20</t>
        </is>
      </c>
      <c r="I260" s="4" t="n"/>
      <c r="J260" s="4" t="n"/>
      <c r="K260" s="4" t="n"/>
      <c r="L260" s="4" t="n"/>
    </row>
    <row r="261">
      <c r="A261" s="4" t="inlineStr">
        <is>
          <t>261</t>
        </is>
      </c>
      <c r="B261" s="4" t="inlineStr">
        <is>
          <t>elk</t>
        </is>
      </c>
      <c r="C261" s="4" t="inlineStr">
        <is>
          <t>General Elk License</t>
        </is>
      </c>
      <c r="D261" s="13" t="inlineStr">
        <is>
          <t>General license</t>
        </is>
      </c>
      <c r="E261" s="4" t="inlineStr">
        <is>
          <t>Brow-tined Bull or Antlerless Elk</t>
        </is>
      </c>
      <c r="F261" s="4" t="n"/>
      <c r="G261" s="4" t="inlineStr">
        <is>
          <t>Oct 24-Nov 29</t>
        </is>
      </c>
      <c r="H261" s="4" t="inlineStr">
        <is>
          <t>Dec 12-Dec 20</t>
        </is>
      </c>
      <c r="I261" s="4" t="n"/>
      <c r="J261" s="4" t="n"/>
      <c r="K261" s="4" t="n"/>
      <c r="L261" s="4" t="inlineStr">
        <is>
          <t>Only youth ages 12-15 and hunters with a PTHFV. Resident hunters 75 years old and older may harvest an antlerless elk on private land.</t>
        </is>
      </c>
    </row>
    <row r="262">
      <c r="A262" s="4" t="inlineStr">
        <is>
          <t>261</t>
        </is>
      </c>
      <c r="B262" s="4" t="inlineStr">
        <is>
          <t>elk</t>
        </is>
      </c>
      <c r="C262" s="4" t="inlineStr">
        <is>
          <t>Elk B License: 261-00</t>
        </is>
      </c>
      <c r="D262" s="15" t="inlineStr">
        <is>
          <t>Drawing</t>
        </is>
      </c>
      <c r="E262" s="4" t="inlineStr">
        <is>
          <t>Antlerless Elk</t>
        </is>
      </c>
      <c r="F262" s="4" t="inlineStr">
        <is>
          <t>Sep 05-Oct 18</t>
        </is>
      </c>
      <c r="G262" s="4" t="inlineStr">
        <is>
          <t>Oct 24-Nov 29</t>
        </is>
      </c>
      <c r="H262" s="4" t="inlineStr">
        <is>
          <t>Dec 12-Dec 20</t>
        </is>
      </c>
      <c r="I262" s="4" t="n"/>
      <c r="J262" s="4" t="inlineStr">
        <is>
          <t>Jun 1</t>
        </is>
      </c>
      <c r="K262" s="4" t="inlineStr">
        <is>
          <t>50</t>
        </is>
      </c>
      <c r="L262" s="4" t="n"/>
    </row>
    <row r="263">
      <c r="A263" s="4" t="inlineStr">
        <is>
          <t>261</t>
        </is>
      </c>
      <c r="B263" s="4" t="inlineStr">
        <is>
          <t>elk</t>
        </is>
      </c>
      <c r="C263" s="4" t="inlineStr">
        <is>
          <t>Elk B License: 262-01</t>
        </is>
      </c>
      <c r="D263" s="4" t="inlineStr">
        <is>
          <t>Over the counter</t>
        </is>
      </c>
      <c r="E263" s="4" t="inlineStr">
        <is>
          <t>Antlerless Elk</t>
        </is>
      </c>
      <c r="F263" s="4" t="inlineStr">
        <is>
          <t>Sep 05-Oct 18</t>
        </is>
      </c>
      <c r="G263" s="4" t="inlineStr">
        <is>
          <t>Oct 24-Nov 29</t>
        </is>
      </c>
      <c r="H263" s="4" t="inlineStr">
        <is>
          <t>Dec 12-Dec 20</t>
        </is>
      </c>
      <c r="I263" s="4" t="n"/>
      <c r="J263" s="4" t="inlineStr">
        <is>
          <t>OTC: Jun 15</t>
        </is>
      </c>
      <c r="K263" s="4" t="inlineStr">
        <is>
          <t>UNL</t>
        </is>
      </c>
      <c r="L263" s="4" t="inlineStr">
        <is>
          <t>One per hunter. Only valid on private lands in HDs 204, 261, 262, and 270. Must purchase before start of general rife season. Restrictions apply, see each HD for more info.</t>
        </is>
      </c>
    </row>
    <row r="264">
      <c r="A264" s="4" t="inlineStr">
        <is>
          <t>262</t>
        </is>
      </c>
      <c r="B264" s="4" t="inlineStr">
        <is>
          <t>elk</t>
        </is>
      </c>
      <c r="C264" s="4" t="inlineStr">
        <is>
          <t>General Elk License</t>
        </is>
      </c>
      <c r="D264" s="13" t="inlineStr">
        <is>
          <t>General license</t>
        </is>
      </c>
      <c r="E264" s="4" t="inlineStr">
        <is>
          <t>Antlerless Elk</t>
        </is>
      </c>
      <c r="F264" s="4" t="inlineStr">
        <is>
          <t>Sep 05-Oct 18</t>
        </is>
      </c>
      <c r="G264" s="4" t="inlineStr">
        <is>
          <t>Oct 19-Nov 29</t>
        </is>
      </c>
      <c r="H264" s="4" t="n"/>
      <c r="I264" s="4" t="inlineStr">
        <is>
          <t>Nov 30-Feb 15</t>
        </is>
      </c>
      <c r="J264" s="4" t="n"/>
      <c r="K264" s="4" t="n"/>
      <c r="L264" s="4" t="inlineStr">
        <is>
          <t>ArchEquip only.</t>
        </is>
      </c>
    </row>
    <row r="265">
      <c r="A265" s="4" t="inlineStr">
        <is>
          <t>262</t>
        </is>
      </c>
      <c r="B265" s="4" t="inlineStr">
        <is>
          <t>elk</t>
        </is>
      </c>
      <c r="C265" s="4" t="inlineStr">
        <is>
          <t>General Elk License</t>
        </is>
      </c>
      <c r="D265" s="13" t="inlineStr">
        <is>
          <t>General license</t>
        </is>
      </c>
      <c r="E265" s="4" t="inlineStr">
        <is>
          <t>Brow-tined Bull Elk</t>
        </is>
      </c>
      <c r="F265" s="4" t="inlineStr">
        <is>
          <t>Sep 05-Oct 18</t>
        </is>
      </c>
      <c r="G265" s="4" t="inlineStr">
        <is>
          <t>Oct 19-Nov 29</t>
        </is>
      </c>
      <c r="H265" s="4" t="n"/>
      <c r="I265" s="4" t="inlineStr">
        <is>
          <t>Nov 30-Jan 15</t>
        </is>
      </c>
      <c r="J265" s="4" t="n"/>
      <c r="K265" s="4" t="n"/>
      <c r="L265" s="4" t="inlineStr">
        <is>
          <t>ArchEquip only.</t>
        </is>
      </c>
    </row>
    <row r="266">
      <c r="A266" s="4" t="inlineStr">
        <is>
          <t>262</t>
        </is>
      </c>
      <c r="B266" s="4" t="inlineStr">
        <is>
          <t>elk</t>
        </is>
      </c>
      <c r="C266" s="4" t="inlineStr">
        <is>
          <t>General Elk License</t>
        </is>
      </c>
      <c r="D266" s="13" t="inlineStr">
        <is>
          <t>General license</t>
        </is>
      </c>
      <c r="E266" s="4" t="inlineStr">
        <is>
          <t>Antlerless Elk</t>
        </is>
      </c>
      <c r="F266" s="4" t="n"/>
      <c r="G266" s="4" t="inlineStr">
        <is>
          <t>Oct 24-Nov 29</t>
        </is>
      </c>
      <c r="H266" s="4" t="inlineStr">
        <is>
          <t>Dec 12-Dec 20</t>
        </is>
      </c>
      <c r="I266" s="4" t="n"/>
      <c r="J266" s="4" t="n"/>
      <c r="K266" s="4" t="n"/>
      <c r="L266" s="4" t="inlineStr">
        <is>
          <t>Only youth ages 12-15 and hunters with a PTHFV. Resident hunters 75 years old and older may harvest an antlerless elk on private land.</t>
        </is>
      </c>
    </row>
    <row r="267">
      <c r="A267" s="4" t="inlineStr">
        <is>
          <t>262</t>
        </is>
      </c>
      <c r="B267" s="4" t="inlineStr">
        <is>
          <t>elk</t>
        </is>
      </c>
      <c r="C267" s="4" t="inlineStr">
        <is>
          <t>Elk B License: 262-01</t>
        </is>
      </c>
      <c r="D267" s="4" t="inlineStr">
        <is>
          <t>Over the counter</t>
        </is>
      </c>
      <c r="E267" s="4" t="inlineStr">
        <is>
          <t>Antlerless Elk</t>
        </is>
      </c>
      <c r="F267" s="4" t="inlineStr">
        <is>
          <t>Sep 05-Oct 18</t>
        </is>
      </c>
      <c r="G267" s="4" t="inlineStr">
        <is>
          <t>Oct 24-Nov 29</t>
        </is>
      </c>
      <c r="H267" s="4" t="n"/>
      <c r="I267" s="4" t="inlineStr">
        <is>
          <t>Nov 30-Jan 08</t>
        </is>
      </c>
      <c r="J267" s="4" t="inlineStr">
        <is>
          <t>OTC: Jun 15</t>
        </is>
      </c>
      <c r="K267" s="4" t="inlineStr">
        <is>
          <t>UNL</t>
        </is>
      </c>
      <c r="L267" s="4" t="inlineStr">
        <is>
          <t>One per hunter. Only valid on private lands in HDs 204, 261, 262, and 270. Must purchase before start of general rife season. Restrictions apply, season dates may vary, see each HD for more info.</t>
        </is>
      </c>
    </row>
    <row r="268">
      <c r="A268" s="4" t="inlineStr">
        <is>
          <t>262</t>
        </is>
      </c>
      <c r="B268" s="4" t="inlineStr">
        <is>
          <t>elk</t>
        </is>
      </c>
      <c r="C268" s="4" t="inlineStr">
        <is>
          <t>Elk Permit: 262-45</t>
        </is>
      </c>
      <c r="D268" s="15" t="inlineStr">
        <is>
          <t>Drawing</t>
        </is>
      </c>
      <c r="E268" s="4" t="inlineStr">
        <is>
          <t>Brow-tined Bull Elk</t>
        </is>
      </c>
      <c r="F268" s="4" t="n"/>
      <c r="G268" s="4" t="inlineStr">
        <is>
          <t>Oct 24-Nov 29</t>
        </is>
      </c>
      <c r="H268" s="4" t="inlineStr">
        <is>
          <t>Dec 12-Dec 20</t>
        </is>
      </c>
      <c r="I268" s="4" t="n"/>
      <c r="J268" s="4" t="inlineStr">
        <is>
          <t>April 1</t>
        </is>
      </c>
      <c r="K268" s="4" t="inlineStr">
        <is>
          <t>20</t>
        </is>
      </c>
      <c r="L268" s="4" t="inlineStr">
        <is>
          <t>Only valid on private land. Permit must be used with a valid General Elk License. Holders may not hunt Antlered Bull Elk in any other HDs during this described season.</t>
        </is>
      </c>
    </row>
    <row r="269">
      <c r="A269" s="4" t="inlineStr">
        <is>
          <t>270</t>
        </is>
      </c>
      <c r="B269" s="4" t="inlineStr">
        <is>
          <t>elk</t>
        </is>
      </c>
      <c r="C269" s="4" t="inlineStr">
        <is>
          <t>General Elk License</t>
        </is>
      </c>
      <c r="D269" s="13" t="inlineStr">
        <is>
          <t>General license</t>
        </is>
      </c>
      <c r="E269" s="4" t="inlineStr">
        <is>
          <t>Antlerless Elk</t>
        </is>
      </c>
      <c r="F269" s="4" t="inlineStr">
        <is>
          <t>Sep 05-Oct 18</t>
        </is>
      </c>
      <c r="G269" s="4" t="n"/>
      <c r="H269" s="4" t="n"/>
      <c r="I269" s="4" t="n"/>
      <c r="J269" s="4" t="n"/>
      <c r="K269" s="4" t="n"/>
      <c r="L269" s="4" t="n"/>
    </row>
    <row r="270">
      <c r="A270" s="4" t="inlineStr">
        <is>
          <t>270</t>
        </is>
      </c>
      <c r="B270" s="4" t="inlineStr">
        <is>
          <t>elk</t>
        </is>
      </c>
      <c r="C270" s="4" t="inlineStr">
        <is>
          <t>General Elk License</t>
        </is>
      </c>
      <c r="D270" s="13" t="inlineStr">
        <is>
          <t>General license</t>
        </is>
      </c>
      <c r="E270" s="4" t="inlineStr">
        <is>
          <t>Brow-tined Bull Elk</t>
        </is>
      </c>
      <c r="F270" s="4" t="inlineStr">
        <is>
          <t>Sep 05-Oct 18</t>
        </is>
      </c>
      <c r="G270" s="4" t="inlineStr">
        <is>
          <t>Oct 24-Nov 29</t>
        </is>
      </c>
      <c r="H270" s="4" t="inlineStr">
        <is>
          <t>Dec 12-Dec 20</t>
        </is>
      </c>
      <c r="I270" s="4" t="n"/>
      <c r="J270" s="4" t="n"/>
      <c r="K270" s="4" t="n"/>
      <c r="L270" s="4" t="inlineStr">
        <is>
          <t>Only youth ages 12-15.</t>
        </is>
      </c>
    </row>
    <row r="271">
      <c r="A271" s="4" t="inlineStr">
        <is>
          <t>270</t>
        </is>
      </c>
      <c r="B271" s="4" t="inlineStr">
        <is>
          <t>elk</t>
        </is>
      </c>
      <c r="C271" s="4" t="inlineStr">
        <is>
          <t>General Elk License</t>
        </is>
      </c>
      <c r="D271" s="13" t="inlineStr">
        <is>
          <t>General license</t>
        </is>
      </c>
      <c r="E271" s="4" t="inlineStr">
        <is>
          <t>Antlerless Elk</t>
        </is>
      </c>
      <c r="F271" s="4" t="n"/>
      <c r="G271" s="4" t="inlineStr">
        <is>
          <t>Oct 24-Nov 29</t>
        </is>
      </c>
      <c r="H271" s="4" t="inlineStr">
        <is>
          <t>Dec 12-Dec 20</t>
        </is>
      </c>
      <c r="I271" s="4" t="n"/>
      <c r="J271" s="4" t="n"/>
      <c r="K271" s="4" t="n"/>
      <c r="L271" s="4" t="inlineStr">
        <is>
          <t>Only youth ages 12-15 and hunters with a PTHFV. Only valid north of Rye Creek. Resident hunters 75 years old and older may harvest an antlerless elk on private land.</t>
        </is>
      </c>
    </row>
    <row r="272">
      <c r="A272" s="4" t="inlineStr">
        <is>
          <t>270</t>
        </is>
      </c>
      <c r="B272" s="4" t="inlineStr">
        <is>
          <t>elk</t>
        </is>
      </c>
      <c r="C272" s="4" t="inlineStr">
        <is>
          <t>Elk B License: 262-01</t>
        </is>
      </c>
      <c r="D272" s="4" t="inlineStr">
        <is>
          <t>Over the counter</t>
        </is>
      </c>
      <c r="E272" s="4" t="inlineStr">
        <is>
          <t>Antlerless Elk</t>
        </is>
      </c>
      <c r="F272" s="4" t="inlineStr">
        <is>
          <t>Sep 05-Oct 18</t>
        </is>
      </c>
      <c r="G272" s="4" t="inlineStr">
        <is>
          <t>Oct 24-Nov 29</t>
        </is>
      </c>
      <c r="H272" s="4" t="inlineStr">
        <is>
          <t>Dec 12-Dec 20</t>
        </is>
      </c>
      <c r="I272" s="4" t="n"/>
      <c r="J272" s="4" t="inlineStr">
        <is>
          <t>OTC: Jun 15</t>
        </is>
      </c>
      <c r="K272" s="4" t="inlineStr">
        <is>
          <t>UNL</t>
        </is>
      </c>
      <c r="L272" s="4" t="inlineStr">
        <is>
          <t>One per hunter. Only valid on private lands in HDs 204, 261, 262, and 270. Must purchase before start of general rife season. Restrictions apply, see each HD for more info.</t>
        </is>
      </c>
    </row>
    <row r="273">
      <c r="A273" s="4" t="inlineStr">
        <is>
          <t>270</t>
        </is>
      </c>
      <c r="B273" s="4" t="inlineStr">
        <is>
          <t>elk</t>
        </is>
      </c>
      <c r="C273" s="4" t="inlineStr">
        <is>
          <t>Elk B License: 270-01</t>
        </is>
      </c>
      <c r="D273" s="15" t="inlineStr">
        <is>
          <t>Drawing</t>
        </is>
      </c>
      <c r="E273" s="4" t="inlineStr">
        <is>
          <t>Antlerless Elk</t>
        </is>
      </c>
      <c r="F273" s="4" t="inlineStr">
        <is>
          <t>Sep 05-Oct 18</t>
        </is>
      </c>
      <c r="G273" s="4" t="inlineStr">
        <is>
          <t>Oct 24-Nov 29</t>
        </is>
      </c>
      <c r="H273" s="4" t="inlineStr">
        <is>
          <t>Dec 12-Dec 20</t>
        </is>
      </c>
      <c r="I273" s="4" t="n"/>
      <c r="J273" s="4" t="inlineStr">
        <is>
          <t>Jun 1</t>
        </is>
      </c>
      <c r="K273" s="4" t="inlineStr">
        <is>
          <t>300</t>
        </is>
      </c>
      <c r="L273" s="4" t="inlineStr">
        <is>
          <t>Only valid north of Rye Creek.</t>
        </is>
      </c>
    </row>
    <row r="274">
      <c r="A274" s="4" t="inlineStr">
        <is>
          <t>270</t>
        </is>
      </c>
      <c r="B274" s="4" t="inlineStr">
        <is>
          <t>elk</t>
        </is>
      </c>
      <c r="C274" s="4" t="inlineStr">
        <is>
          <t>Elk B License: 270-02</t>
        </is>
      </c>
      <c r="D274" s="15" t="inlineStr">
        <is>
          <t>Drawing</t>
        </is>
      </c>
      <c r="E274" s="4" t="inlineStr">
        <is>
          <t>Antlerless Elk</t>
        </is>
      </c>
      <c r="F274" s="4" t="inlineStr">
        <is>
          <t>Sep 05-Oct 18</t>
        </is>
      </c>
      <c r="G274" s="4" t="inlineStr">
        <is>
          <t>Oct 24-Nov 29</t>
        </is>
      </c>
      <c r="H274" s="4" t="inlineStr">
        <is>
          <t>Dec 12-Dec 20</t>
        </is>
      </c>
      <c r="I274" s="4" t="n"/>
      <c r="J274" s="4" t="inlineStr">
        <is>
          <t>Jun 1</t>
        </is>
      </c>
      <c r="K274" s="4" t="inlineStr">
        <is>
          <t>500</t>
        </is>
      </c>
      <c r="L274" s="4" t="inlineStr">
        <is>
          <t>Only valid south of Rye Creek.</t>
        </is>
      </c>
    </row>
    <row r="275">
      <c r="A275" s="4" t="inlineStr">
        <is>
          <t>270</t>
        </is>
      </c>
      <c r="B275" s="4" t="inlineStr">
        <is>
          <t>elk</t>
        </is>
      </c>
      <c r="C275" s="4" t="inlineStr">
        <is>
          <t>Elk Permit: 270-45</t>
        </is>
      </c>
      <c r="D275" s="15" t="inlineStr">
        <is>
          <t>Drawing</t>
        </is>
      </c>
      <c r="E275" s="4" t="inlineStr">
        <is>
          <t>Brow-tined Bull Elk</t>
        </is>
      </c>
      <c r="F275" s="4" t="inlineStr">
        <is>
          <t>Sep 05-Oct 18</t>
        </is>
      </c>
      <c r="G275" s="4" t="inlineStr">
        <is>
          <t>Oct 24-Nov 29</t>
        </is>
      </c>
      <c r="H275" s="4" t="inlineStr">
        <is>
          <t>Dec 12-Dec 20</t>
        </is>
      </c>
      <c r="I275" s="4" t="n"/>
      <c r="J275" s="4" t="inlineStr">
        <is>
          <t>April 1</t>
        </is>
      </c>
      <c r="K275" s="4" t="inlineStr">
        <is>
          <t>UNL</t>
        </is>
      </c>
      <c r="L275" s="4" t="inlineStr">
        <is>
          <t>One per hunter. 1st choice only. Permit must be used with a valid General Elk License.</t>
        </is>
      </c>
    </row>
    <row r="276">
      <c r="A276" s="4" t="inlineStr">
        <is>
          <t>280</t>
        </is>
      </c>
      <c r="B276" s="4" t="inlineStr">
        <is>
          <t>elk</t>
        </is>
      </c>
      <c r="C276" s="4" t="inlineStr">
        <is>
          <t>General Elk License</t>
        </is>
      </c>
      <c r="D276" s="13" t="inlineStr">
        <is>
          <t>General license</t>
        </is>
      </c>
      <c r="E276" s="4" t="inlineStr">
        <is>
          <t>Brow-tined Bull or Antlerless Elk</t>
        </is>
      </c>
      <c r="F276" s="4" t="inlineStr">
        <is>
          <t>Sep 05-Sep 14</t>
        </is>
      </c>
      <c r="G276" s="4" t="inlineStr">
        <is>
          <t>Sep 26-Nov 29</t>
        </is>
      </c>
      <c r="H276" s="4" t="inlineStr">
        <is>
          <t>Dec 12-Dec 20</t>
        </is>
      </c>
      <c r="I276" s="4" t="n"/>
      <c r="J276" s="4" t="n"/>
      <c r="K276" s="4" t="n"/>
      <c r="L276" s="4" t="n"/>
    </row>
    <row r="277">
      <c r="A277" s="4" t="inlineStr">
        <is>
          <t>280</t>
        </is>
      </c>
      <c r="B277" s="4" t="inlineStr">
        <is>
          <t>elk</t>
        </is>
      </c>
      <c r="C277" s="4" t="inlineStr">
        <is>
          <t>General Elk License</t>
        </is>
      </c>
      <c r="D277" s="13" t="inlineStr">
        <is>
          <t>General license</t>
        </is>
      </c>
      <c r="E277" s="4" t="inlineStr">
        <is>
          <t>Brow-tined Bull Elk</t>
        </is>
      </c>
      <c r="F277" s="4" t="n"/>
      <c r="G277" s="4" t="inlineStr">
        <is>
          <t>Sep 15-Sep 25</t>
        </is>
      </c>
      <c r="H277" s="4" t="n"/>
      <c r="I277" s="4" t="n"/>
      <c r="J277" s="4" t="n"/>
      <c r="K277" s="4" t="n"/>
      <c r="L277" s="4" t="n"/>
    </row>
    <row r="278">
      <c r="A278" s="4" t="inlineStr">
        <is>
          <t>280</t>
        </is>
      </c>
      <c r="B278" s="4" t="inlineStr">
        <is>
          <t>elk</t>
        </is>
      </c>
      <c r="C278" s="4" t="inlineStr">
        <is>
          <t>General Elk License</t>
        </is>
      </c>
      <c r="D278" s="13" t="inlineStr">
        <is>
          <t>General license</t>
        </is>
      </c>
      <c r="E278" s="4" t="inlineStr">
        <is>
          <t>Brow-tined Bull or Antlerless Elk</t>
        </is>
      </c>
      <c r="F278" s="4" t="n"/>
      <c r="G278" s="4" t="inlineStr">
        <is>
          <t>Sep 15-Sep 25</t>
        </is>
      </c>
      <c r="H278" s="4" t="n"/>
      <c r="I278" s="4" t="n"/>
      <c r="J278" s="4" t="n"/>
      <c r="K278" s="4" t="n"/>
      <c r="L278" s="4" t="inlineStr">
        <is>
          <t>Only youth ages 12-15.</t>
        </is>
      </c>
    </row>
    <row r="279">
      <c r="A279" s="4" t="inlineStr">
        <is>
          <t>281</t>
        </is>
      </c>
      <c r="B279" s="4" t="inlineStr">
        <is>
          <t>elk</t>
        </is>
      </c>
      <c r="C279" s="4" t="inlineStr">
        <is>
          <t>General Elk License</t>
        </is>
      </c>
      <c r="D279" s="13" t="inlineStr">
        <is>
          <t>General license</t>
        </is>
      </c>
      <c r="E279" s="4" t="inlineStr">
        <is>
          <t>Brow-tined Bull or Antlerless Elk</t>
        </is>
      </c>
      <c r="F279" s="4" t="inlineStr">
        <is>
          <t>Sep 05-Oct 18</t>
        </is>
      </c>
      <c r="G279" s="4" t="n"/>
      <c r="H279" s="4" t="n"/>
      <c r="I279" s="4" t="n"/>
      <c r="J279" s="4" t="n"/>
      <c r="K279" s="4" t="n"/>
      <c r="L279" s="4" t="n"/>
    </row>
    <row r="280">
      <c r="A280" s="4" t="inlineStr">
        <is>
          <t>281</t>
        </is>
      </c>
      <c r="B280" s="4" t="inlineStr">
        <is>
          <t>elk</t>
        </is>
      </c>
      <c r="C280" s="4" t="inlineStr">
        <is>
          <t>General Elk License</t>
        </is>
      </c>
      <c r="D280" s="13" t="inlineStr">
        <is>
          <t>General license</t>
        </is>
      </c>
      <c r="E280" s="4" t="inlineStr">
        <is>
          <t>Brow-tined Bull Elk</t>
        </is>
      </c>
      <c r="F280" s="4" t="n"/>
      <c r="G280" s="4" t="inlineStr">
        <is>
          <t>Oct 24-Nov 29</t>
        </is>
      </c>
      <c r="H280" s="4" t="inlineStr">
        <is>
          <t>Dec 12-Dec 20</t>
        </is>
      </c>
      <c r="I280" s="4" t="n"/>
      <c r="J280" s="4" t="n"/>
      <c r="K280" s="4" t="n"/>
      <c r="L280" s="4" t="n"/>
    </row>
    <row r="281">
      <c r="A281" s="4" t="inlineStr">
        <is>
          <t>281</t>
        </is>
      </c>
      <c r="B281" s="4" t="inlineStr">
        <is>
          <t>elk</t>
        </is>
      </c>
      <c r="C281" s="4" t="inlineStr">
        <is>
          <t>General Elk License</t>
        </is>
      </c>
      <c r="D281" s="13" t="inlineStr">
        <is>
          <t>General license</t>
        </is>
      </c>
      <c r="E281" s="4" t="inlineStr">
        <is>
          <t>Brow-tined Bull or Antlerless Elk</t>
        </is>
      </c>
      <c r="F281" s="4" t="n"/>
      <c r="G281" s="4" t="inlineStr">
        <is>
          <t>Oct 24-Nov 29</t>
        </is>
      </c>
      <c r="H281" s="4" t="inlineStr">
        <is>
          <t>Dec 12-Dec 20</t>
        </is>
      </c>
      <c r="I281" s="4" t="n"/>
      <c r="J281" s="4" t="n"/>
      <c r="K281" s="4" t="n"/>
      <c r="L281" s="4" t="inlineStr">
        <is>
          <t>Only youth ages 12-15. Resident hunters 75 years old and older may harvest an antlerless elk on private land.</t>
        </is>
      </c>
    </row>
    <row r="282">
      <c r="A282" s="4" t="inlineStr">
        <is>
          <t>281</t>
        </is>
      </c>
      <c r="B282" s="4" t="inlineStr">
        <is>
          <t>elk</t>
        </is>
      </c>
      <c r="C282" s="4" t="inlineStr">
        <is>
          <t>Elk B License: 281-01</t>
        </is>
      </c>
      <c r="D282" s="15" t="inlineStr">
        <is>
          <t>Drawing</t>
        </is>
      </c>
      <c r="E282" s="4" t="inlineStr">
        <is>
          <t>Antlerless Elk</t>
        </is>
      </c>
      <c r="F282" s="4" t="inlineStr">
        <is>
          <t>Sep 05-Oct 18</t>
        </is>
      </c>
      <c r="G282" s="4" t="inlineStr">
        <is>
          <t>Oct 24-Nov 29</t>
        </is>
      </c>
      <c r="H282" s="4" t="inlineStr">
        <is>
          <t>Dec 12-Dec 20</t>
        </is>
      </c>
      <c r="I282" s="4" t="n"/>
      <c r="J282" s="4" t="inlineStr">
        <is>
          <t>Jun 1</t>
        </is>
      </c>
      <c r="K282" s="4" t="inlineStr">
        <is>
          <t>25</t>
        </is>
      </c>
      <c r="L282" s="4" t="n"/>
    </row>
    <row r="283">
      <c r="A283" s="4" t="inlineStr">
        <is>
          <t>282</t>
        </is>
      </c>
      <c r="B283" s="4" t="inlineStr">
        <is>
          <t>elk</t>
        </is>
      </c>
      <c r="C283" s="4" t="inlineStr">
        <is>
          <t>General Elk License</t>
        </is>
      </c>
      <c r="D283" s="13" t="inlineStr">
        <is>
          <t>General license</t>
        </is>
      </c>
      <c r="E283" s="4" t="inlineStr">
        <is>
          <t>Brow-tined Bull or Antlerless Elk</t>
        </is>
      </c>
      <c r="F283" s="4" t="inlineStr">
        <is>
          <t>Sep 05-Oct 18</t>
        </is>
      </c>
      <c r="G283" s="4" t="n"/>
      <c r="H283" s="4" t="n"/>
      <c r="I283" s="4" t="n"/>
      <c r="J283" s="4" t="n"/>
      <c r="K283" s="4" t="n"/>
      <c r="L283" s="4" t="n"/>
    </row>
    <row r="284">
      <c r="A284" s="4" t="inlineStr">
        <is>
          <t>282</t>
        </is>
      </c>
      <c r="B284" s="4" t="inlineStr">
        <is>
          <t>elk</t>
        </is>
      </c>
      <c r="C284" s="4" t="inlineStr">
        <is>
          <t>Elk B License: 282-00</t>
        </is>
      </c>
      <c r="D284" s="15" t="inlineStr">
        <is>
          <t>Drawing</t>
        </is>
      </c>
      <c r="E284" s="4" t="inlineStr">
        <is>
          <t>Antlerless Elk</t>
        </is>
      </c>
      <c r="F284" s="4" t="inlineStr">
        <is>
          <t>Sep 05-Oct 18</t>
        </is>
      </c>
      <c r="G284" s="4" t="inlineStr">
        <is>
          <t>Oct 24-Nov 29</t>
        </is>
      </c>
      <c r="H284" s="4" t="inlineStr">
        <is>
          <t>Dec 12-Dec 20</t>
        </is>
      </c>
      <c r="I284" s="4" t="n"/>
      <c r="J284" s="4" t="inlineStr">
        <is>
          <t>Jun 1</t>
        </is>
      </c>
      <c r="K284" s="4" t="inlineStr">
        <is>
          <t>25</t>
        </is>
      </c>
      <c r="L284" s="4" t="n"/>
    </row>
    <row r="285">
      <c r="A285" s="4" t="inlineStr">
        <is>
          <t>282</t>
        </is>
      </c>
      <c r="B285" s="4" t="inlineStr">
        <is>
          <t>elk</t>
        </is>
      </c>
      <c r="C285" s="4" t="inlineStr">
        <is>
          <t>Elk Permit: 282-10</t>
        </is>
      </c>
      <c r="D285" s="15" t="inlineStr">
        <is>
          <t>Drawing</t>
        </is>
      </c>
      <c r="E285" s="4" t="inlineStr">
        <is>
          <t>Brow-tined Bull or Antlerless Elk</t>
        </is>
      </c>
      <c r="F285" s="4" t="inlineStr">
        <is>
          <t>Sep 05-Oct 18</t>
        </is>
      </c>
      <c r="G285" s="4" t="inlineStr">
        <is>
          <t>Oct 24-Nov 29</t>
        </is>
      </c>
      <c r="H285" s="4" t="inlineStr">
        <is>
          <t>Dec 12-Dec 20</t>
        </is>
      </c>
      <c r="I285" s="4" t="n"/>
      <c r="J285" s="4" t="inlineStr">
        <is>
          <t>April 1</t>
        </is>
      </c>
      <c r="K285" s="4" t="inlineStr">
        <is>
          <t>1</t>
        </is>
      </c>
      <c r="L285" s="4" t="inlineStr">
        <is>
          <t>Only youth ages 12-15. Permit must be used with a valid General Elk License. Holders may not hunt Antlered Elk in any other HD during these described season dates.</t>
        </is>
      </c>
    </row>
    <row r="286">
      <c r="A286" s="4" t="inlineStr">
        <is>
          <t>284</t>
        </is>
      </c>
      <c r="B286" s="4" t="inlineStr">
        <is>
          <t>elk</t>
        </is>
      </c>
      <c r="C286" s="4" t="inlineStr">
        <is>
          <t>General Elk License</t>
        </is>
      </c>
      <c r="D286" s="13" t="inlineStr">
        <is>
          <t>General license</t>
        </is>
      </c>
      <c r="E286" s="4" t="inlineStr">
        <is>
          <t>Brow-tined Bull or Antlerless Elk</t>
        </is>
      </c>
      <c r="F286" s="4" t="n"/>
      <c r="G286" s="4" t="inlineStr">
        <is>
          <t>Sep 05-Nov 29</t>
        </is>
      </c>
      <c r="H286" s="4" t="n"/>
      <c r="I286" s="4" t="n"/>
      <c r="J286" s="4" t="n"/>
      <c r="K286" s="4" t="n"/>
      <c r="L286" s="4" t="inlineStr">
        <is>
          <t>ArchEquip only. 69 2026 Deer • Elk • Antelope Visit fwp.mt.gov LICENSE/PERMIT OPPORTUNITY APPL Y BY DATE QUOTA QUOTA RANGE EARL Y SEASON DATES ARCHERY ONL Y SEASON DATES GENERAL SEASON DATES HERITAGE MUZZLELOADER SEASON DATES LATE SEASON DATES OPPORTUNITY SPECIFIC DETAILS AND/ORRESTRICTIONS</t>
        </is>
      </c>
    </row>
    <row r="287">
      <c r="A287" s="4" t="inlineStr">
        <is>
          <t>285</t>
        </is>
      </c>
      <c r="B287" s="4" t="inlineStr">
        <is>
          <t>elk</t>
        </is>
      </c>
      <c r="C287" s="4" t="inlineStr">
        <is>
          <t>General Elk License</t>
        </is>
      </c>
      <c r="D287" s="13" t="inlineStr">
        <is>
          <t>General license</t>
        </is>
      </c>
      <c r="E287" s="4" t="inlineStr">
        <is>
          <t>Brow-tined Bull or Antlerless Elk</t>
        </is>
      </c>
      <c r="F287" s="4" t="inlineStr">
        <is>
          <t>Sep 05-Oct 18</t>
        </is>
      </c>
      <c r="G287" s="4" t="n"/>
      <c r="H287" s="4" t="n"/>
      <c r="I287" s="4" t="n"/>
      <c r="J287" s="4" t="n"/>
      <c r="K287" s="4" t="n"/>
      <c r="L287" s="4" t="n"/>
    </row>
    <row r="288">
      <c r="A288" s="4" t="inlineStr">
        <is>
          <t>285</t>
        </is>
      </c>
      <c r="B288" s="4" t="inlineStr">
        <is>
          <t>elk</t>
        </is>
      </c>
      <c r="C288" s="4" t="inlineStr">
        <is>
          <t>General Elk License</t>
        </is>
      </c>
      <c r="D288" s="13" t="inlineStr">
        <is>
          <t>General license</t>
        </is>
      </c>
      <c r="E288" s="4" t="inlineStr">
        <is>
          <t>Brow-tined Bull Elk</t>
        </is>
      </c>
      <c r="F288" s="4" t="n"/>
      <c r="G288" s="4" t="inlineStr">
        <is>
          <t>Oct 24-Nov 29</t>
        </is>
      </c>
      <c r="H288" s="4" t="inlineStr">
        <is>
          <t>Dec 12-Dec 20</t>
        </is>
      </c>
      <c r="I288" s="4" t="n"/>
      <c r="J288" s="4" t="n"/>
      <c r="K288" s="4" t="n"/>
      <c r="L288" s="4" t="n"/>
    </row>
    <row r="289">
      <c r="A289" s="4" t="inlineStr">
        <is>
          <t>285</t>
        </is>
      </c>
      <c r="B289" s="4" t="inlineStr">
        <is>
          <t>elk</t>
        </is>
      </c>
      <c r="C289" s="4" t="inlineStr">
        <is>
          <t>General Elk License</t>
        </is>
      </c>
      <c r="D289" s="13" t="inlineStr">
        <is>
          <t>General license</t>
        </is>
      </c>
      <c r="E289" s="4" t="inlineStr">
        <is>
          <t>Brow-tined Bull or Antlerless Elk</t>
        </is>
      </c>
      <c r="F289" s="4" t="n"/>
      <c r="G289" s="4" t="inlineStr">
        <is>
          <t>Oct 24-Nov 29</t>
        </is>
      </c>
      <c r="H289" s="4" t="inlineStr">
        <is>
          <t>Dec 12-Dec 20</t>
        </is>
      </c>
      <c r="I289" s="4" t="n"/>
      <c r="J289" s="4" t="n"/>
      <c r="K289" s="4" t="n"/>
      <c r="L289" s="4" t="inlineStr">
        <is>
          <t>Only youth ages 12-15 and hunters with a PTHFV. Resident hunters 75 years old and older may harvest an antlerless elk on private land.</t>
        </is>
      </c>
    </row>
    <row r="290">
      <c r="A290" s="4" t="inlineStr">
        <is>
          <t>285</t>
        </is>
      </c>
      <c r="B290" s="4" t="inlineStr">
        <is>
          <t>elk</t>
        </is>
      </c>
      <c r="C290" s="4" t="inlineStr">
        <is>
          <t>Elk B License: 285-01</t>
        </is>
      </c>
      <c r="D290" s="15" t="inlineStr">
        <is>
          <t>Drawing</t>
        </is>
      </c>
      <c r="E290" s="4" t="inlineStr">
        <is>
          <t>Antlerless Elk</t>
        </is>
      </c>
      <c r="F290" s="4" t="inlineStr">
        <is>
          <t>Sep 05-Oct 18</t>
        </is>
      </c>
      <c r="G290" s="4" t="inlineStr">
        <is>
          <t>Oct 24-Nov 29</t>
        </is>
      </c>
      <c r="H290" s="4" t="inlineStr">
        <is>
          <t>Dec 12-Dec 20</t>
        </is>
      </c>
      <c r="I290" s="4" t="n"/>
      <c r="J290" s="4" t="inlineStr">
        <is>
          <t>Jun 1</t>
        </is>
      </c>
      <c r="K290" s="4" t="inlineStr">
        <is>
          <t>30</t>
        </is>
      </c>
      <c r="L290" s="4" t="inlineStr">
        <is>
          <t>Only valid on private lands, excluding Nature Conservancy lands/Montana Checkerboard lands.</t>
        </is>
      </c>
    </row>
    <row r="291">
      <c r="A291" s="4" t="inlineStr">
        <is>
          <t>290</t>
        </is>
      </c>
      <c r="B291" s="4" t="inlineStr">
        <is>
          <t>elk</t>
        </is>
      </c>
      <c r="C291" s="4" t="inlineStr">
        <is>
          <t>General Elk License</t>
        </is>
      </c>
      <c r="D291" s="13" t="inlineStr">
        <is>
          <t>General license</t>
        </is>
      </c>
      <c r="E291" s="4" t="inlineStr">
        <is>
          <t>Brow-tined Bull or Antlerless Elk</t>
        </is>
      </c>
      <c r="F291" s="4" t="inlineStr">
        <is>
          <t>Sep 05-Oct 18</t>
        </is>
      </c>
      <c r="G291" s="4" t="inlineStr">
        <is>
          <t>Oct 24-Nov 29</t>
        </is>
      </c>
      <c r="H291" s="4" t="n"/>
      <c r="I291" s="4" t="inlineStr">
        <is>
          <t>Nov 30-Jan 01</t>
        </is>
      </c>
      <c r="J291" s="4" t="n"/>
      <c r="K291" s="4" t="n"/>
      <c r="L291" s="4" t="inlineStr">
        <is>
          <t>ArchEquip Only.</t>
        </is>
      </c>
    </row>
    <row r="292">
      <c r="A292" s="4" t="inlineStr">
        <is>
          <t>290</t>
        </is>
      </c>
      <c r="B292" s="4" t="inlineStr">
        <is>
          <t>elk</t>
        </is>
      </c>
      <c r="C292" s="4" t="inlineStr">
        <is>
          <t>General Elk License</t>
        </is>
      </c>
      <c r="D292" s="13" t="inlineStr">
        <is>
          <t>General license</t>
        </is>
      </c>
      <c r="E292" s="4" t="inlineStr">
        <is>
          <t>Antlerless Elk</t>
        </is>
      </c>
      <c r="F292" s="4" t="n"/>
      <c r="G292" s="4" t="inlineStr">
        <is>
          <t>Oct 24-Nov 29</t>
        </is>
      </c>
      <c r="H292" s="4" t="inlineStr">
        <is>
          <t>Dec 12-Dec 20</t>
        </is>
      </c>
      <c r="I292" s="4" t="n"/>
      <c r="J292" s="4" t="n"/>
      <c r="K292" s="4" t="n"/>
      <c r="L292" s="4" t="inlineStr">
        <is>
          <t>Firearms allowed outside of East Ovando Archery Area/Aunt Molly WMA.</t>
        </is>
      </c>
    </row>
    <row r="293">
      <c r="A293" s="4" t="inlineStr">
        <is>
          <t>290</t>
        </is>
      </c>
      <c r="B293" s="4" t="inlineStr">
        <is>
          <t>elk</t>
        </is>
      </c>
      <c r="C293" s="4" t="inlineStr">
        <is>
          <t>Elk B License: 290-01</t>
        </is>
      </c>
      <c r="D293" s="15" t="inlineStr">
        <is>
          <t>Drawing</t>
        </is>
      </c>
      <c r="E293" s="4" t="inlineStr">
        <is>
          <t>Antlerless Elk</t>
        </is>
      </c>
      <c r="F293" s="4" t="inlineStr">
        <is>
          <t>Sep 05-Oct 18</t>
        </is>
      </c>
      <c r="G293" s="4" t="inlineStr">
        <is>
          <t>Oct 24-Nov 29</t>
        </is>
      </c>
      <c r="H293" s="4" t="n"/>
      <c r="I293" s="4" t="inlineStr">
        <is>
          <t>Nov 30-Jan 08</t>
        </is>
      </c>
      <c r="J293" s="4" t="inlineStr">
        <is>
          <t>Jun 1</t>
        </is>
      </c>
      <c r="K293" s="4" t="inlineStr">
        <is>
          <t>200</t>
        </is>
      </c>
      <c r="L293" s="4" t="inlineStr">
        <is>
          <t>Valid on private land only. Firearms allowed outside of East Ovando Archery Area. Also valid in HD 298 with restrictions. See HD 298 for more info. LICENSE/PERMIT OPPORTUNITY APPL Y BY DATE QUOTA QUOTA RANGE EARL Y SEASON DATES ARCHERY ONL Y SEASON DATES GENERAL SEASON DATES HERITAGE MUZZLELOADER SE</t>
        </is>
      </c>
    </row>
    <row r="294">
      <c r="A294" s="4" t="inlineStr">
        <is>
          <t>291</t>
        </is>
      </c>
      <c r="B294" s="4" t="inlineStr">
        <is>
          <t>elk</t>
        </is>
      </c>
      <c r="C294" s="4" t="inlineStr">
        <is>
          <t>General Elk License</t>
        </is>
      </c>
      <c r="D294" s="13" t="inlineStr">
        <is>
          <t>General license</t>
        </is>
      </c>
      <c r="E294" s="4" t="inlineStr">
        <is>
          <t>Brow-tined Bull or Antlerless Elk</t>
        </is>
      </c>
      <c r="F294" s="4" t="inlineStr">
        <is>
          <t>Sep 05-Oct 18</t>
        </is>
      </c>
      <c r="G294" s="4" t="n"/>
      <c r="H294" s="4" t="n"/>
      <c r="I294" s="4" t="n"/>
      <c r="J294" s="4" t="n"/>
      <c r="K294" s="4" t="n"/>
      <c r="L294" s="4" t="n"/>
    </row>
    <row r="295">
      <c r="A295" s="4" t="inlineStr">
        <is>
          <t>291</t>
        </is>
      </c>
      <c r="B295" s="4" t="inlineStr">
        <is>
          <t>elk</t>
        </is>
      </c>
      <c r="C295" s="4" t="inlineStr">
        <is>
          <t>General Elk License</t>
        </is>
      </c>
      <c r="D295" s="13" t="inlineStr">
        <is>
          <t>General license</t>
        </is>
      </c>
      <c r="E295" s="4" t="inlineStr">
        <is>
          <t>Brow-tined Bull Elk</t>
        </is>
      </c>
      <c r="F295" s="4" t="n"/>
      <c r="G295" s="4" t="inlineStr">
        <is>
          <t>Oct 24-Nov 29</t>
        </is>
      </c>
      <c r="H295" s="4" t="inlineStr">
        <is>
          <t>Dec 12-Dec 20</t>
        </is>
      </c>
      <c r="I295" s="4" t="n"/>
      <c r="J295" s="4" t="n"/>
      <c r="K295" s="4" t="n"/>
      <c r="L295" s="4" t="n"/>
    </row>
    <row r="296">
      <c r="A296" s="4" t="inlineStr">
        <is>
          <t>291</t>
        </is>
      </c>
      <c r="B296" s="4" t="inlineStr">
        <is>
          <t>elk</t>
        </is>
      </c>
      <c r="C296" s="4" t="inlineStr">
        <is>
          <t>General Elk License</t>
        </is>
      </c>
      <c r="D296" s="13" t="inlineStr">
        <is>
          <t>General license</t>
        </is>
      </c>
      <c r="E296" s="4" t="inlineStr">
        <is>
          <t>Brow-tined Bull or Antlerless Elk</t>
        </is>
      </c>
      <c r="F296" s="4" t="n"/>
      <c r="G296" s="4" t="inlineStr">
        <is>
          <t>Oct 24-Nov 29</t>
        </is>
      </c>
      <c r="H296" s="4" t="inlineStr">
        <is>
          <t>Dec 12-Dec 20</t>
        </is>
      </c>
      <c r="I296" s="4" t="n"/>
      <c r="J296" s="4" t="n"/>
      <c r="K296" s="4" t="n"/>
      <c r="L296" s="4" t="inlineStr">
        <is>
          <t>Only youth ages 12-15 and hunters with a PTHFV. Resident hunters 75 years old and older may harvest an antlerless elk on private land.</t>
        </is>
      </c>
    </row>
    <row r="297">
      <c r="A297" s="4" t="inlineStr">
        <is>
          <t>291</t>
        </is>
      </c>
      <c r="B297" s="4" t="inlineStr">
        <is>
          <t>elk</t>
        </is>
      </c>
      <c r="C297" s="4" t="inlineStr">
        <is>
          <t>Elk B License: 291-03</t>
        </is>
      </c>
      <c r="D297" s="15" t="inlineStr">
        <is>
          <t>Drawing</t>
        </is>
      </c>
      <c r="E297" s="4" t="inlineStr">
        <is>
          <t>Antlerless Elk</t>
        </is>
      </c>
      <c r="F297" s="4" t="n"/>
      <c r="G297" s="4" t="inlineStr">
        <is>
          <t>Oct 24-Nov 29</t>
        </is>
      </c>
      <c r="H297" s="4" t="inlineStr">
        <is>
          <t>Dec 12-Dec 20</t>
        </is>
      </c>
      <c r="I297" s="4" t="n"/>
      <c r="J297" s="4" t="inlineStr">
        <is>
          <t>Jun 1</t>
        </is>
      </c>
      <c r="K297" s="4" t="inlineStr">
        <is>
          <t>250</t>
        </is>
      </c>
      <c r="L297" s="4" t="inlineStr">
        <is>
          <t>Only valid on private lands.</t>
        </is>
      </c>
    </row>
    <row r="298">
      <c r="A298" s="4" t="inlineStr">
        <is>
          <t>292</t>
        </is>
      </c>
      <c r="B298" s="4" t="inlineStr">
        <is>
          <t>elk</t>
        </is>
      </c>
      <c r="C298" s="4" t="inlineStr">
        <is>
          <t>General Elk License</t>
        </is>
      </c>
      <c r="D298" s="13" t="inlineStr">
        <is>
          <t>General license</t>
        </is>
      </c>
      <c r="E298" s="4" t="inlineStr">
        <is>
          <t>Brow-tined Bull or Antlerless Elk</t>
        </is>
      </c>
      <c r="F298" s="4" t="inlineStr">
        <is>
          <t>Sep 05-Oct 18</t>
        </is>
      </c>
      <c r="G298" s="4" t="n"/>
      <c r="H298" s="4" t="n"/>
      <c r="I298" s="4" t="n"/>
      <c r="J298" s="4" t="n"/>
      <c r="K298" s="4" t="n"/>
      <c r="L298" s="4" t="n"/>
    </row>
    <row r="299">
      <c r="A299" s="4" t="inlineStr">
        <is>
          <t>292</t>
        </is>
      </c>
      <c r="B299" s="4" t="inlineStr">
        <is>
          <t>elk</t>
        </is>
      </c>
      <c r="C299" s="4" t="inlineStr">
        <is>
          <t>General Elk License</t>
        </is>
      </c>
      <c r="D299" s="13" t="inlineStr">
        <is>
          <t>General license</t>
        </is>
      </c>
      <c r="E299" s="4" t="inlineStr">
        <is>
          <t>Brow-tined Bull Elk</t>
        </is>
      </c>
      <c r="F299" s="4" t="n"/>
      <c r="G299" s="4" t="inlineStr">
        <is>
          <t>Oct 24-Nov 29</t>
        </is>
      </c>
      <c r="H299" s="4" t="inlineStr">
        <is>
          <t>Dec 12-Dec 20</t>
        </is>
      </c>
      <c r="I299" s="4" t="n"/>
      <c r="J299" s="4" t="n"/>
      <c r="K299" s="4" t="n"/>
      <c r="L299" s="4" t="n"/>
    </row>
    <row r="300">
      <c r="A300" s="4" t="inlineStr">
        <is>
          <t>292</t>
        </is>
      </c>
      <c r="B300" s="4" t="inlineStr">
        <is>
          <t>elk</t>
        </is>
      </c>
      <c r="C300" s="4" t="inlineStr">
        <is>
          <t>General Elk License</t>
        </is>
      </c>
      <c r="D300" s="13" t="inlineStr">
        <is>
          <t>General license</t>
        </is>
      </c>
      <c r="E300" s="4" t="inlineStr">
        <is>
          <t>Brow-tined Bull or Antlerless Elk</t>
        </is>
      </c>
      <c r="F300" s="4" t="n"/>
      <c r="G300" s="4" t="inlineStr">
        <is>
          <t>Oct 24-Nov 29</t>
        </is>
      </c>
      <c r="H300" s="4" t="inlineStr">
        <is>
          <t>Dec 12-Dec 20</t>
        </is>
      </c>
      <c r="I300" s="4" t="n"/>
      <c r="J300" s="4" t="n"/>
      <c r="K300" s="4" t="n"/>
      <c r="L300" s="4" t="inlineStr">
        <is>
          <t>Only youth ages 12-15 and hunters with a PTHFV. Resident hunters 75 years old and older may harvest an antlerless elk on private land.</t>
        </is>
      </c>
    </row>
    <row r="301">
      <c r="A301" s="4" t="inlineStr">
        <is>
          <t>292</t>
        </is>
      </c>
      <c r="B301" s="4" t="inlineStr">
        <is>
          <t>elk</t>
        </is>
      </c>
      <c r="C301" s="4" t="inlineStr">
        <is>
          <t>Elk B License: 292-01</t>
        </is>
      </c>
      <c r="D301" s="15" t="inlineStr">
        <is>
          <t>Drawing</t>
        </is>
      </c>
      <c r="E301" s="4" t="inlineStr">
        <is>
          <t>Antlerless Elk</t>
        </is>
      </c>
      <c r="F301" s="4" t="n"/>
      <c r="G301" s="4" t="inlineStr">
        <is>
          <t>Oct 24-Nov 29</t>
        </is>
      </c>
      <c r="H301" s="4" t="inlineStr">
        <is>
          <t>Dec 12-Dec 20</t>
        </is>
      </c>
      <c r="I301" s="4" t="n"/>
      <c r="J301" s="4" t="inlineStr">
        <is>
          <t>Jun 1</t>
        </is>
      </c>
      <c r="K301" s="4" t="inlineStr">
        <is>
          <t>50</t>
        </is>
      </c>
      <c r="L301" s="4" t="inlineStr">
        <is>
          <t>Only valid on private lands, within the Blackfoot watershed. Not valid on Nature Conservancy/Montana Checkerboard lands. 71 2026 Deer • Elk • Antelope Visit fwp.mt.gov LICENSE/PERMIT OPPORTUNITY APPL Y BY DATE QUOTA QUOTA RANGE EARL Y SEASON DATES ARCHERY ONL Y SEASON DATES GENERAL SEASON DATES HERI</t>
        </is>
      </c>
    </row>
    <row r="302">
      <c r="A302" s="4" t="inlineStr">
        <is>
          <t>293</t>
        </is>
      </c>
      <c r="B302" s="4" t="inlineStr">
        <is>
          <t>elk</t>
        </is>
      </c>
      <c r="C302" s="4" t="inlineStr">
        <is>
          <t>General Elk License</t>
        </is>
      </c>
      <c r="D302" s="13" t="inlineStr">
        <is>
          <t>General license</t>
        </is>
      </c>
      <c r="E302" s="4" t="inlineStr">
        <is>
          <t>Brow-tined Bull or Antlerless Elk</t>
        </is>
      </c>
      <c r="F302" s="4" t="inlineStr">
        <is>
          <t>Sep 05-Oct 18</t>
        </is>
      </c>
      <c r="G302" s="4" t="n"/>
      <c r="H302" s="4" t="n"/>
      <c r="I302" s="4" t="n"/>
      <c r="J302" s="4" t="n"/>
      <c r="K302" s="4" t="n"/>
      <c r="L302" s="4" t="n"/>
    </row>
    <row r="303">
      <c r="A303" s="4" t="inlineStr">
        <is>
          <t>293</t>
        </is>
      </c>
      <c r="B303" s="4" t="inlineStr">
        <is>
          <t>elk</t>
        </is>
      </c>
      <c r="C303" s="4" t="inlineStr">
        <is>
          <t>General Elk License</t>
        </is>
      </c>
      <c r="D303" s="13" t="inlineStr">
        <is>
          <t>General license</t>
        </is>
      </c>
      <c r="E303" s="4" t="inlineStr">
        <is>
          <t>Brow-tined Bull Elk</t>
        </is>
      </c>
      <c r="F303" s="4" t="n"/>
      <c r="G303" s="4" t="inlineStr">
        <is>
          <t>Oct 24-Nov 29</t>
        </is>
      </c>
      <c r="H303" s="4" t="inlineStr">
        <is>
          <t>Dec 12-Dec 20</t>
        </is>
      </c>
      <c r="I303" s="4" t="n"/>
      <c r="J303" s="4" t="n"/>
      <c r="K303" s="4" t="n"/>
      <c r="L303" s="4" t="n"/>
    </row>
    <row r="304">
      <c r="A304" s="4" t="inlineStr">
        <is>
          <t>293</t>
        </is>
      </c>
      <c r="B304" s="4" t="inlineStr">
        <is>
          <t>elk</t>
        </is>
      </c>
      <c r="C304" s="4" t="inlineStr">
        <is>
          <t>General Elk License</t>
        </is>
      </c>
      <c r="D304" s="13" t="inlineStr">
        <is>
          <t>General license</t>
        </is>
      </c>
      <c r="E304" s="4" t="inlineStr">
        <is>
          <t>Brow-tined Bull or Antlerless Elk</t>
        </is>
      </c>
      <c r="F304" s="4" t="n"/>
      <c r="G304" s="4" t="inlineStr">
        <is>
          <t>Oct 24-Nov 29</t>
        </is>
      </c>
      <c r="H304" s="4" t="inlineStr">
        <is>
          <t>Dec 12-Dec 20</t>
        </is>
      </c>
      <c r="I304" s="4" t="n"/>
      <c r="J304" s="4" t="n"/>
      <c r="K304" s="4" t="n"/>
      <c r="L304" s="4" t="inlineStr">
        <is>
          <t>Only youth ages 12-15 and hunters with a PTHFV. Resident hunters 75 years old and older may harvest an antlerless elk on private land.</t>
        </is>
      </c>
    </row>
    <row r="305">
      <c r="A305" s="4" t="inlineStr">
        <is>
          <t>293</t>
        </is>
      </c>
      <c r="B305" s="4" t="inlineStr">
        <is>
          <t>elk</t>
        </is>
      </c>
      <c r="C305" s="4" t="inlineStr">
        <is>
          <t>Elk B License: 293-00</t>
        </is>
      </c>
      <c r="D305" s="15" t="inlineStr">
        <is>
          <t>Drawing</t>
        </is>
      </c>
      <c r="E305" s="4" t="inlineStr">
        <is>
          <t>Antlerless Elk</t>
        </is>
      </c>
      <c r="F305" s="4" t="inlineStr">
        <is>
          <t>Sep 05-Oct 18</t>
        </is>
      </c>
      <c r="G305" s="4" t="inlineStr">
        <is>
          <t>Oct 24-Nov 29</t>
        </is>
      </c>
      <c r="H305" s="4" t="inlineStr">
        <is>
          <t>Dec 12-Dec 20</t>
        </is>
      </c>
      <c r="I305" s="4" t="n"/>
      <c r="J305" s="4" t="inlineStr">
        <is>
          <t>Jun 1</t>
        </is>
      </c>
      <c r="K305" s="4" t="inlineStr">
        <is>
          <t>25</t>
        </is>
      </c>
      <c r="L305" s="4" t="n"/>
    </row>
    <row r="306">
      <c r="A306" s="4" t="inlineStr">
        <is>
          <t>293</t>
        </is>
      </c>
      <c r="B306" s="4" t="inlineStr">
        <is>
          <t>elk</t>
        </is>
      </c>
      <c r="C306" s="4" t="inlineStr">
        <is>
          <t>Elk B License: 293-01</t>
        </is>
      </c>
      <c r="D306" s="15" t="inlineStr">
        <is>
          <t>Drawing</t>
        </is>
      </c>
      <c r="E306" s="4" t="inlineStr">
        <is>
          <t>Antlerless Elk</t>
        </is>
      </c>
      <c r="F306" s="4" t="n"/>
      <c r="G306" s="4" t="inlineStr">
        <is>
          <t>Oct 24-Nov 29</t>
        </is>
      </c>
      <c r="H306" s="4" t="inlineStr">
        <is>
          <t>Dec 12-Dec 20</t>
        </is>
      </c>
      <c r="I306" s="4" t="n"/>
      <c r="J306" s="4" t="inlineStr">
        <is>
          <t>Jun 1</t>
        </is>
      </c>
      <c r="K306" s="4" t="inlineStr">
        <is>
          <t>150</t>
        </is>
      </c>
      <c r="L306" s="4" t="inlineStr">
        <is>
          <t>Not valid in Lincoln Valley. Only valid on private lands in south portion of HD 293 (SE of Nevada-Ogden Rd at Rossin Gulch).</t>
        </is>
      </c>
    </row>
    <row r="307">
      <c r="A307" s="4" t="inlineStr">
        <is>
          <t>298</t>
        </is>
      </c>
      <c r="B307" s="4" t="inlineStr">
        <is>
          <t>elk</t>
        </is>
      </c>
      <c r="C307" s="4" t="inlineStr">
        <is>
          <t>General Elk License</t>
        </is>
      </c>
      <c r="D307" s="13" t="inlineStr">
        <is>
          <t>General license</t>
        </is>
      </c>
      <c r="E307" s="4" t="inlineStr">
        <is>
          <t>Brow-tined Bull or Antlerless Elk</t>
        </is>
      </c>
      <c r="F307" s="4" t="inlineStr">
        <is>
          <t>Sep 05-Oct 18</t>
        </is>
      </c>
      <c r="G307" s="4" t="inlineStr">
        <is>
          <t>Oct 24-Nov 29</t>
        </is>
      </c>
      <c r="H307" s="4" t="inlineStr">
        <is>
          <t>Dec 12-Dec 20</t>
        </is>
      </c>
      <c r="I307" s="4" t="n"/>
      <c r="J307" s="4" t="n"/>
      <c r="K307" s="4" t="n"/>
      <c r="L307" s="4" t="n"/>
    </row>
    <row r="308">
      <c r="A308" s="4" t="inlineStr">
        <is>
          <t>298</t>
        </is>
      </c>
      <c r="B308" s="4" t="inlineStr">
        <is>
          <t>elk</t>
        </is>
      </c>
      <c r="C308" s="4" t="inlineStr">
        <is>
          <t>Elk B License: 290-01</t>
        </is>
      </c>
      <c r="D308" s="15" t="inlineStr">
        <is>
          <t>Drawing</t>
        </is>
      </c>
      <c r="E308" s="4" t="inlineStr">
        <is>
          <t>Antlerless Elk</t>
        </is>
      </c>
      <c r="F308" s="4" t="inlineStr">
        <is>
          <t>Sep 05-Oct 18</t>
        </is>
      </c>
      <c r="G308" s="4" t="inlineStr">
        <is>
          <t>Oct 24-Nov 29</t>
        </is>
      </c>
      <c r="H308" s="4" t="n"/>
      <c r="I308" s="4" t="inlineStr">
        <is>
          <t>Nov 30-Jan 08</t>
        </is>
      </c>
      <c r="J308" s="4" t="inlineStr">
        <is>
          <t>Jun 1</t>
        </is>
      </c>
      <c r="K308" s="4" t="inlineStr">
        <is>
          <t>200</t>
        </is>
      </c>
      <c r="L308" s="4" t="inlineStr">
        <is>
          <t>Valid on private land only excluding Nature Conservancy lands. Also valid in HD 290 with restrictions. See HD 290 for more info. LICENSE/PERMIT OPPORTUNITY APPL Y BY DATE QUOTA QUOTA RANGE EARL Y SEASON DATES ARCHERY ONL Y SEASON DATES GENERAL SEASON DATES HERITAGE MUZZLELOADER SEASON DATES LATE SEA</t>
        </is>
      </c>
    </row>
    <row r="309">
      <c r="A309" s="4" t="inlineStr">
        <is>
          <t>301</t>
        </is>
      </c>
      <c r="B309" s="4" t="inlineStr">
        <is>
          <t>elk</t>
        </is>
      </c>
      <c r="C309" s="4" t="inlineStr">
        <is>
          <t>General Elk License</t>
        </is>
      </c>
      <c r="D309" s="13" t="inlineStr">
        <is>
          <t>General license</t>
        </is>
      </c>
      <c r="E309" s="4" t="inlineStr">
        <is>
          <t>Brow-tined Bull or Antlerless Elk</t>
        </is>
      </c>
      <c r="F309" s="4" t="inlineStr">
        <is>
          <t>Sep 05-Oct 18</t>
        </is>
      </c>
      <c r="G309" s="4" t="inlineStr">
        <is>
          <t>Oct 24-Nov 08</t>
        </is>
      </c>
      <c r="H309" s="4" t="n"/>
      <c r="I309" s="4" t="n"/>
      <c r="J309" s="4" t="n"/>
      <c r="K309" s="4" t="n"/>
      <c r="L309" s="4" t="n"/>
    </row>
    <row r="310">
      <c r="A310" s="4" t="inlineStr">
        <is>
          <t>301</t>
        </is>
      </c>
      <c r="B310" s="4" t="inlineStr">
        <is>
          <t>elk</t>
        </is>
      </c>
      <c r="C310" s="4" t="inlineStr">
        <is>
          <t>General Elk License</t>
        </is>
      </c>
      <c r="D310" s="13" t="inlineStr">
        <is>
          <t>General license</t>
        </is>
      </c>
      <c r="E310" s="4" t="inlineStr">
        <is>
          <t>Either-sex Elk</t>
        </is>
      </c>
      <c r="F310" s="4" t="inlineStr">
        <is>
          <t>Sep 05-Oct 18</t>
        </is>
      </c>
      <c r="G310" s="4" t="inlineStr">
        <is>
          <t>Oct 24-Nov 29</t>
        </is>
      </c>
      <c r="H310" s="4" t="inlineStr">
        <is>
          <t>Dec 12-Dec 20</t>
        </is>
      </c>
      <c r="I310" s="4" t="n"/>
      <c r="J310" s="4" t="n"/>
      <c r="K310" s="4" t="n"/>
      <c r="L310" s="4" t="inlineStr">
        <is>
          <t>Only youth ages 12-15 and hunters with a PTHFV. Resident hunters 75 years old and older may harvest an antlerless elk on private land.</t>
        </is>
      </c>
    </row>
    <row r="311">
      <c r="A311" s="4" t="inlineStr">
        <is>
          <t>301</t>
        </is>
      </c>
      <c r="B311" s="4" t="inlineStr">
        <is>
          <t>elk</t>
        </is>
      </c>
      <c r="C311" s="4" t="inlineStr">
        <is>
          <t>General Elk License</t>
        </is>
      </c>
      <c r="D311" s="13" t="inlineStr">
        <is>
          <t>General license</t>
        </is>
      </c>
      <c r="E311" s="4" t="inlineStr">
        <is>
          <t>Brow-tined Bull Elk</t>
        </is>
      </c>
      <c r="F311" s="4" t="n"/>
      <c r="G311" s="4" t="inlineStr">
        <is>
          <t>Nov 09-Nov 29</t>
        </is>
      </c>
      <c r="H311" s="4" t="inlineStr">
        <is>
          <t>Dec 12-Dec 20</t>
        </is>
      </c>
      <c r="I311" s="4" t="n"/>
      <c r="J311" s="4" t="n"/>
      <c r="K311" s="4" t="n"/>
      <c r="L311" s="4" t="n"/>
    </row>
    <row r="312">
      <c r="A312" s="4" t="inlineStr">
        <is>
          <t>301</t>
        </is>
      </c>
      <c r="B312" s="4" t="inlineStr">
        <is>
          <t>elk</t>
        </is>
      </c>
      <c r="C312" s="4" t="inlineStr">
        <is>
          <t>Elk B License: 397-00</t>
        </is>
      </c>
      <c r="D312" s="4" t="inlineStr">
        <is>
          <t>Over the counter</t>
        </is>
      </c>
      <c r="E312" s="4" t="inlineStr">
        <is>
          <t>Antlerless Elk</t>
        </is>
      </c>
      <c r="F312" s="4" t="n"/>
      <c r="G312" s="4" t="n"/>
      <c r="H312" s="4" t="n"/>
      <c r="I312" s="4" t="n"/>
      <c r="J312" s="4" t="inlineStr">
        <is>
          <t>OTC: Jun 15</t>
        </is>
      </c>
      <c r="K312" s="4" t="inlineStr">
        <is>
          <t>UNL</t>
        </is>
      </c>
      <c r="L312" s="4" t="inlineStr">
        <is>
          <t>One per hunter. Multi-district license. Only valid on private land. One per hunter. Multi-district license. Not valid on National Forest Lands.</t>
        </is>
      </c>
    </row>
    <row r="313">
      <c r="A313" s="4" t="inlineStr">
        <is>
          <t>302</t>
        </is>
      </c>
      <c r="B313" s="4" t="inlineStr">
        <is>
          <t>elk</t>
        </is>
      </c>
      <c r="C313" s="4" t="inlineStr">
        <is>
          <t>General Elk License</t>
        </is>
      </c>
      <c r="D313" s="13" t="inlineStr">
        <is>
          <t>General license</t>
        </is>
      </c>
      <c r="E313" s="4" t="inlineStr">
        <is>
          <t>Brow-tined Bull or Antlerless Elk</t>
        </is>
      </c>
      <c r="F313" s="4" t="inlineStr">
        <is>
          <t>Sep 05-Oct 18</t>
        </is>
      </c>
      <c r="G313" s="4" t="inlineStr">
        <is>
          <t>Oct 24-Nov 29</t>
        </is>
      </c>
      <c r="H313" s="4" t="inlineStr">
        <is>
          <t>Dec 12-Dec 20</t>
        </is>
      </c>
      <c r="I313" s="4" t="n"/>
      <c r="J313" s="4" t="n"/>
      <c r="K313" s="4" t="n"/>
      <c r="L313" s="4" t="n"/>
    </row>
    <row r="314">
      <c r="A314" s="4" t="inlineStr">
        <is>
          <t>302</t>
        </is>
      </c>
      <c r="B314" s="4" t="inlineStr">
        <is>
          <t>elk</t>
        </is>
      </c>
      <c r="C314" s="4" t="inlineStr">
        <is>
          <t>General Elk License</t>
        </is>
      </c>
      <c r="D314" s="13" t="inlineStr">
        <is>
          <t>General license</t>
        </is>
      </c>
      <c r="E314" s="4" t="inlineStr">
        <is>
          <t>Either-sex Elk</t>
        </is>
      </c>
      <c r="F314" s="4" t="inlineStr">
        <is>
          <t>Sep 05-Oct 18</t>
        </is>
      </c>
      <c r="G314" s="4" t="inlineStr">
        <is>
          <t>Oct 24-Nov 29</t>
        </is>
      </c>
      <c r="H314" s="4" t="inlineStr">
        <is>
          <t>Dec 12-Dec 20</t>
        </is>
      </c>
      <c r="I314" s="4" t="n"/>
      <c r="J314" s="4" t="n"/>
      <c r="K314" s="4" t="n"/>
      <c r="L314" s="4" t="inlineStr">
        <is>
          <t>Only youth ages 12-15 and hunters with a PTHFV. Resident hunters 75 years old and older may harvest an antlerless elk on private land.</t>
        </is>
      </c>
    </row>
    <row r="315">
      <c r="A315" s="4" t="inlineStr">
        <is>
          <t>302</t>
        </is>
      </c>
      <c r="B315" s="4" t="inlineStr">
        <is>
          <t>elk</t>
        </is>
      </c>
      <c r="C315" s="4" t="inlineStr">
        <is>
          <t>Elk B License: 399-00</t>
        </is>
      </c>
      <c r="D315" s="15" t="inlineStr">
        <is>
          <t>Drawing</t>
        </is>
      </c>
      <c r="E315" s="4" t="inlineStr">
        <is>
          <t>Antlerless Elk</t>
        </is>
      </c>
      <c r="F315" s="4" t="inlineStr">
        <is>
          <t>Sep 05-Oct 18</t>
        </is>
      </c>
      <c r="G315" s="4" t="inlineStr">
        <is>
          <t>Oct 24-Nov 29</t>
        </is>
      </c>
      <c r="H315" s="4" t="inlineStr">
        <is>
          <t>Dec 12-Dec 20</t>
        </is>
      </c>
      <c r="I315" s="4" t="n"/>
      <c r="J315" s="4" t="inlineStr">
        <is>
          <t>Jun 1</t>
        </is>
      </c>
      <c r="K315" s="4" t="inlineStr">
        <is>
          <t>500</t>
        </is>
      </c>
      <c r="L315" s="4" t="inlineStr">
        <is>
          <t>Multi-district license. 73 2026 Deer • Elk • Antelope Visit fwp.mt.gov LICENSE/PERMIT OPPORTUNITY APPL Y BY DATE QUOTA QUOTA RANGE EARL Y SEASON DATES ARCHERY ONL Y SEASON DATES GENERAL SEASON DATES HERITAGE MUZZLELOADER SEASON DATES LATE SEASON DATES OPPORTUNITY SPECIFIC DETAILS AND/ORRESTRICTIONS</t>
        </is>
      </c>
    </row>
    <row r="316">
      <c r="A316" s="4" t="inlineStr">
        <is>
          <t>303</t>
        </is>
      </c>
      <c r="B316" s="4" t="inlineStr">
        <is>
          <t>elk</t>
        </is>
      </c>
      <c r="C316" s="4" t="inlineStr">
        <is>
          <t>General Elk License</t>
        </is>
      </c>
      <c r="D316" s="13" t="inlineStr">
        <is>
          <t>General license</t>
        </is>
      </c>
      <c r="E316" s="4" t="inlineStr">
        <is>
          <t>Brow-tined Bull or Antlerless Elk</t>
        </is>
      </c>
      <c r="F316" s="4" t="inlineStr">
        <is>
          <t>Sep 05-Oct 18</t>
        </is>
      </c>
      <c r="G316" s="4" t="inlineStr">
        <is>
          <t>Oct 24-Nov 29</t>
        </is>
      </c>
      <c r="H316" s="4" t="inlineStr">
        <is>
          <t>Dec 12-Dec 20</t>
        </is>
      </c>
      <c r="I316" s="4" t="n"/>
      <c r="J316" s="4" t="n"/>
      <c r="K316" s="4" t="n"/>
      <c r="L316" s="4" t="n"/>
    </row>
    <row r="317">
      <c r="A317" s="4" t="inlineStr">
        <is>
          <t>303</t>
        </is>
      </c>
      <c r="B317" s="4" t="inlineStr">
        <is>
          <t>elk</t>
        </is>
      </c>
      <c r="C317" s="4" t="inlineStr">
        <is>
          <t>General Elk License</t>
        </is>
      </c>
      <c r="D317" s="13" t="inlineStr">
        <is>
          <t>General license</t>
        </is>
      </c>
      <c r="E317" s="4" t="inlineStr">
        <is>
          <t>Either-sex Elk</t>
        </is>
      </c>
      <c r="F317" s="4" t="inlineStr">
        <is>
          <t>Sep 05-Oct 18</t>
        </is>
      </c>
      <c r="G317" s="4" t="inlineStr">
        <is>
          <t>Oct 24-Nov 29</t>
        </is>
      </c>
      <c r="H317" s="4" t="inlineStr">
        <is>
          <t>Dec 12-Dec 20</t>
        </is>
      </c>
      <c r="I317" s="4" t="n"/>
      <c r="J317" s="4" t="n"/>
      <c r="K317" s="4" t="n"/>
      <c r="L317" s="4" t="inlineStr">
        <is>
          <t>Only youth ages 12-15 and hunters with a PTHFV.</t>
        </is>
      </c>
    </row>
    <row r="318">
      <c r="A318" s="4" t="inlineStr">
        <is>
          <t>303</t>
        </is>
      </c>
      <c r="B318" s="4" t="inlineStr">
        <is>
          <t>elk</t>
        </is>
      </c>
      <c r="C318" s="4" t="inlineStr">
        <is>
          <t>Elk B License: 399-00</t>
        </is>
      </c>
      <c r="D318" s="15" t="inlineStr">
        <is>
          <t>Drawing</t>
        </is>
      </c>
      <c r="E318" s="4" t="inlineStr">
        <is>
          <t>Antlerless Elk</t>
        </is>
      </c>
      <c r="F318" s="4" t="inlineStr">
        <is>
          <t>Sep 05-Oct 18</t>
        </is>
      </c>
      <c r="G318" s="4" t="inlineStr">
        <is>
          <t>Oct 24-Nov 29</t>
        </is>
      </c>
      <c r="H318" s="4" t="inlineStr">
        <is>
          <t>Dec 12-Dec 20</t>
        </is>
      </c>
      <c r="I318" s="4" t="n"/>
      <c r="J318" s="4" t="inlineStr">
        <is>
          <t>Jun 1</t>
        </is>
      </c>
      <c r="K318" s="4" t="inlineStr">
        <is>
          <t>500</t>
        </is>
      </c>
      <c r="L318" s="4" t="inlineStr">
        <is>
          <t>Multi-district license.</t>
        </is>
      </c>
    </row>
    <row r="319">
      <c r="A319" s="4" t="inlineStr">
        <is>
          <t>304</t>
        </is>
      </c>
      <c r="B319" s="4" t="inlineStr">
        <is>
          <t>elk</t>
        </is>
      </c>
      <c r="C319" s="4" t="inlineStr">
        <is>
          <t>General Elk License</t>
        </is>
      </c>
      <c r="D319" s="13" t="inlineStr">
        <is>
          <t>General license</t>
        </is>
      </c>
      <c r="E319" s="4" t="inlineStr">
        <is>
          <t>Brow-tined Bull or Antlerless Elk</t>
        </is>
      </c>
      <c r="F319" s="4" t="inlineStr">
        <is>
          <t>Sep 05-Oct 18</t>
        </is>
      </c>
      <c r="G319" s="4" t="inlineStr">
        <is>
          <t>Oct 24-Nov 29</t>
        </is>
      </c>
      <c r="H319" s="4" t="inlineStr">
        <is>
          <t>Dec 12-Dec 20</t>
        </is>
      </c>
      <c r="I319" s="4" t="n"/>
      <c r="J319" s="4" t="n"/>
      <c r="K319" s="4" t="n"/>
      <c r="L319" s="4" t="n"/>
    </row>
    <row r="320">
      <c r="A320" s="4" t="inlineStr">
        <is>
          <t>304</t>
        </is>
      </c>
      <c r="B320" s="4" t="inlineStr">
        <is>
          <t>elk</t>
        </is>
      </c>
      <c r="C320" s="4" t="inlineStr">
        <is>
          <t>General Elk License</t>
        </is>
      </c>
      <c r="D320" s="13" t="inlineStr">
        <is>
          <t>General license</t>
        </is>
      </c>
      <c r="E320" s="4" t="inlineStr">
        <is>
          <t>Either-sex Elk</t>
        </is>
      </c>
      <c r="F320" s="4" t="inlineStr">
        <is>
          <t>Sep 05-Oct 18</t>
        </is>
      </c>
      <c r="G320" s="4" t="inlineStr">
        <is>
          <t>Oct 24-Nov 29</t>
        </is>
      </c>
      <c r="H320" s="4" t="inlineStr">
        <is>
          <t>Dec 12-Dec 20</t>
        </is>
      </c>
      <c r="I320" s="4" t="n"/>
      <c r="J320" s="4" t="n"/>
      <c r="K320" s="4" t="n"/>
      <c r="L320" s="4" t="inlineStr">
        <is>
          <t>Only youth ages 12-15 and hunters with a PTHFV. LICENSE/PERMIT OPPORTUNITY APPL Y BY DATE QUOTA QUOTA RANGE EARL Y SEASON DATES ARCHERY ONL Y SEASON DATES GENERAL SEASON DATES HERITAGE MUZZLELOADER SEASON DATES LATE SEASON DATES OPPORTUNITY SPECIFIC DETAILS AND/ORRESTRICTIONS</t>
        </is>
      </c>
    </row>
    <row r="321">
      <c r="A321" s="4" t="inlineStr">
        <is>
          <t>309</t>
        </is>
      </c>
      <c r="B321" s="4" t="inlineStr">
        <is>
          <t>elk</t>
        </is>
      </c>
      <c r="C321" s="4" t="inlineStr">
        <is>
          <t>General Elk License</t>
        </is>
      </c>
      <c r="D321" s="13" t="inlineStr">
        <is>
          <t>General license</t>
        </is>
      </c>
      <c r="E321" s="4" t="inlineStr">
        <is>
          <t>Either-sex Elk</t>
        </is>
      </c>
      <c r="F321" s="4" t="n"/>
      <c r="G321" s="4" t="inlineStr">
        <is>
          <t>Sep 05-Nov 29</t>
        </is>
      </c>
      <c r="H321" s="4" t="inlineStr">
        <is>
          <t>Dec 12-Dec 20</t>
        </is>
      </c>
      <c r="I321" s="4" t="n"/>
      <c r="J321" s="4" t="n"/>
      <c r="K321" s="4" t="n"/>
      <c r="L321" s="4" t="n"/>
    </row>
    <row r="322">
      <c r="A322" s="4" t="inlineStr">
        <is>
          <t>309</t>
        </is>
      </c>
      <c r="B322" s="4" t="inlineStr">
        <is>
          <t>elk</t>
        </is>
      </c>
      <c r="C322" s="4" t="inlineStr">
        <is>
          <t>General Elk License</t>
        </is>
      </c>
      <c r="D322" s="13" t="inlineStr">
        <is>
          <t>General license</t>
        </is>
      </c>
      <c r="E322" s="4" t="inlineStr">
        <is>
          <t>Antlerless Elk</t>
        </is>
      </c>
      <c r="F322" s="4" t="n"/>
      <c r="G322" s="4" t="n"/>
      <c r="H322" s="4" t="n"/>
      <c r="I322" s="4" t="inlineStr">
        <is>
          <t>Nov 30-Feb 15</t>
        </is>
      </c>
      <c r="J322" s="4" t="n"/>
      <c r="K322" s="4" t="n"/>
      <c r="L322" s="4" t="n"/>
    </row>
    <row r="323">
      <c r="A323" s="4" t="inlineStr">
        <is>
          <t>309</t>
        </is>
      </c>
      <c r="B323" s="4" t="inlineStr">
        <is>
          <t>elk</t>
        </is>
      </c>
      <c r="C323" s="4" t="inlineStr">
        <is>
          <t>Elk B License: 397-00</t>
        </is>
      </c>
      <c r="D323" s="4" t="inlineStr">
        <is>
          <t>Over the counter</t>
        </is>
      </c>
      <c r="E323" s="4" t="inlineStr">
        <is>
          <t>Antlerless Elk</t>
        </is>
      </c>
      <c r="F323" s="4" t="n"/>
      <c r="G323" s="4" t="n"/>
      <c r="H323" s="4" t="n"/>
      <c r="I323" s="4" t="n"/>
      <c r="J323" s="4" t="inlineStr">
        <is>
          <t>OTC: Jun 15</t>
        </is>
      </c>
      <c r="K323" s="4" t="inlineStr">
        <is>
          <t>UNL</t>
        </is>
      </c>
      <c r="L323" s="4" t="inlineStr">
        <is>
          <t>One per hunter. Multi-district license. Only valid on private land. One per hunter. Multi-district license. Not valid on National Forest Lands.</t>
        </is>
      </c>
    </row>
    <row r="324">
      <c r="A324" s="4" t="inlineStr">
        <is>
          <t>310</t>
        </is>
      </c>
      <c r="B324" s="4" t="inlineStr">
        <is>
          <t>elk</t>
        </is>
      </c>
      <c r="C324" s="4" t="inlineStr">
        <is>
          <t>General Elk License</t>
        </is>
      </c>
      <c r="D324" s="13" t="inlineStr">
        <is>
          <t>General license</t>
        </is>
      </c>
      <c r="E324" s="4" t="inlineStr">
        <is>
          <t>Brow-tined Bull Elk</t>
        </is>
      </c>
      <c r="F324" s="4" t="inlineStr">
        <is>
          <t>Sep 05-Oct 18</t>
        </is>
      </c>
      <c r="G324" s="4" t="inlineStr">
        <is>
          <t>Oct 24-Nov 29</t>
        </is>
      </c>
      <c r="H324" s="4" t="inlineStr">
        <is>
          <t>Dec 12-Dec 20</t>
        </is>
      </c>
      <c r="I324" s="4" t="n"/>
      <c r="J324" s="4" t="n"/>
      <c r="K324" s="4" t="n"/>
      <c r="L324" s="4" t="inlineStr">
        <is>
          <t>Not valid on FWP and National Forest Lands in the Gallatin Special Management Area.</t>
        </is>
      </c>
    </row>
    <row r="325">
      <c r="A325" s="4" t="inlineStr">
        <is>
          <t>310</t>
        </is>
      </c>
      <c r="B325" s="4" t="inlineStr">
        <is>
          <t>elk</t>
        </is>
      </c>
      <c r="C325" s="4" t="inlineStr">
        <is>
          <t>Elk Permit: 310-46</t>
        </is>
      </c>
      <c r="D325" s="15" t="inlineStr">
        <is>
          <t>Drawing</t>
        </is>
      </c>
      <c r="E325" s="4" t="inlineStr">
        <is>
          <t>Brow-tined Bull Elk</t>
        </is>
      </c>
      <c r="F325" s="4" t="inlineStr">
        <is>
          <t>Sep 05-Oct 18</t>
        </is>
      </c>
      <c r="G325" s="4" t="inlineStr">
        <is>
          <t>Oct 24-Nov 29</t>
        </is>
      </c>
      <c r="H325" s="4" t="inlineStr">
        <is>
          <t>Dec 12-Dec 20</t>
        </is>
      </c>
      <c r="I325" s="4" t="n"/>
      <c r="J325" s="4" t="inlineStr">
        <is>
          <t>April 1</t>
        </is>
      </c>
      <c r="K325" s="4" t="inlineStr">
        <is>
          <t>5</t>
        </is>
      </c>
      <c r="L325" s="4" t="inlineStr">
        <is>
          <t xml:space="preserve">Only valid on FWP and National Forest Lands in the Gallatin Special Management Area. Permit must be used with a valid General Elk License. Holders may not hunt Antlered Elk in any other HD during these described season dates. 75 2026 Deer • Elk • Antelope Visit fwp.mt.gov LICENSE/PERMIT OPPORTUNITY </t>
        </is>
      </c>
    </row>
    <row r="326">
      <c r="A326" s="4" t="inlineStr">
        <is>
          <t>311</t>
        </is>
      </c>
      <c r="B326" s="4" t="inlineStr">
        <is>
          <t>elk</t>
        </is>
      </c>
      <c r="C326" s="4" t="inlineStr">
        <is>
          <t>General Elk License</t>
        </is>
      </c>
      <c r="D326" s="13" t="inlineStr">
        <is>
          <t>General license</t>
        </is>
      </c>
      <c r="E326" s="4" t="inlineStr">
        <is>
          <t>Brow-tined Bull or Antlerless Elk</t>
        </is>
      </c>
      <c r="F326" s="4" t="inlineStr">
        <is>
          <t>Sep 05-Oct 18</t>
        </is>
      </c>
      <c r="G326" s="4" t="inlineStr">
        <is>
          <t>Oct 24-Nov 29</t>
        </is>
      </c>
      <c r="H326" s="4" t="inlineStr">
        <is>
          <t>Dec 12-Dec 20</t>
        </is>
      </c>
      <c r="I326" s="4" t="n"/>
      <c r="J326" s="4" t="n"/>
      <c r="K326" s="4" t="n"/>
      <c r="L326" s="4" t="n"/>
    </row>
    <row r="327">
      <c r="A327" s="4" t="inlineStr">
        <is>
          <t>311</t>
        </is>
      </c>
      <c r="B327" s="4" t="inlineStr">
        <is>
          <t>elk</t>
        </is>
      </c>
      <c r="C327" s="4" t="inlineStr">
        <is>
          <t>General Elk License</t>
        </is>
      </c>
      <c r="D327" s="13" t="inlineStr">
        <is>
          <t>General license</t>
        </is>
      </c>
      <c r="E327" s="4" t="inlineStr">
        <is>
          <t>Either-sex Elk</t>
        </is>
      </c>
      <c r="F327" s="4" t="inlineStr">
        <is>
          <t>Sep 05-Oct 18</t>
        </is>
      </c>
      <c r="G327" s="4" t="inlineStr">
        <is>
          <t>Oct 24-Nov 29</t>
        </is>
      </c>
      <c r="H327" s="4" t="inlineStr">
        <is>
          <t>Dec 12-Dec 20</t>
        </is>
      </c>
      <c r="I327" s="4" t="n"/>
      <c r="J327" s="4" t="n"/>
      <c r="K327" s="4" t="n"/>
      <c r="L327" s="4" t="inlineStr">
        <is>
          <t>Only youth ages 12-15 and hunters with a PTHFV.</t>
        </is>
      </c>
    </row>
    <row r="328">
      <c r="A328" s="4" t="inlineStr">
        <is>
          <t>311</t>
        </is>
      </c>
      <c r="B328" s="4" t="inlineStr">
        <is>
          <t>elk</t>
        </is>
      </c>
      <c r="C328" s="4" t="inlineStr">
        <is>
          <t>General Elk License</t>
        </is>
      </c>
      <c r="D328" s="13" t="inlineStr">
        <is>
          <t>General license</t>
        </is>
      </c>
      <c r="E328" s="4" t="inlineStr">
        <is>
          <t>Antlerless Elk</t>
        </is>
      </c>
      <c r="F328" s="4" t="n"/>
      <c r="G328" s="4" t="n"/>
      <c r="H328" s="4" t="n"/>
      <c r="I328" s="4" t="inlineStr">
        <is>
          <t>Nov 30-Feb 15</t>
        </is>
      </c>
      <c r="J328" s="4" t="n"/>
      <c r="K328" s="4" t="n"/>
      <c r="L328" s="4" t="n"/>
    </row>
    <row r="329">
      <c r="A329" s="4" t="inlineStr">
        <is>
          <t>311</t>
        </is>
      </c>
      <c r="B329" s="4" t="inlineStr">
        <is>
          <t>elk</t>
        </is>
      </c>
      <c r="C329" s="4" t="inlineStr">
        <is>
          <t>Elk B License: 397-00</t>
        </is>
      </c>
      <c r="D329" s="4" t="inlineStr">
        <is>
          <t>Over the counter</t>
        </is>
      </c>
      <c r="E329" s="4" t="inlineStr">
        <is>
          <t>Antlerless Elk</t>
        </is>
      </c>
      <c r="F329" s="4" t="n"/>
      <c r="G329" s="4" t="n"/>
      <c r="H329" s="4" t="n"/>
      <c r="I329" s="4" t="n"/>
      <c r="J329" s="4" t="inlineStr">
        <is>
          <t>OTC: Jun 15</t>
        </is>
      </c>
      <c r="K329" s="4" t="inlineStr">
        <is>
          <t>UNL</t>
        </is>
      </c>
      <c r="L329" s="4" t="inlineStr">
        <is>
          <t>One per hunter. Only valid on private land. Multi-district license. One per hunter. Not valid on National Forest Lands. Multi- district license.</t>
        </is>
      </c>
    </row>
    <row r="330">
      <c r="A330" s="4" t="inlineStr">
        <is>
          <t>312</t>
        </is>
      </c>
      <c r="B330" s="4" t="inlineStr">
        <is>
          <t>elk</t>
        </is>
      </c>
      <c r="C330" s="4" t="inlineStr">
        <is>
          <t>General Elk License</t>
        </is>
      </c>
      <c r="D330" s="13" t="inlineStr">
        <is>
          <t>General license</t>
        </is>
      </c>
      <c r="E330" s="4" t="inlineStr">
        <is>
          <t>Brow-tined Bull or Antlerless Elk</t>
        </is>
      </c>
      <c r="F330" s="4" t="inlineStr">
        <is>
          <t>Sep 05-Oct 18</t>
        </is>
      </c>
      <c r="G330" s="4" t="inlineStr">
        <is>
          <t>Oct 24-Nov 29</t>
        </is>
      </c>
      <c r="H330" s="4" t="inlineStr">
        <is>
          <t>Dec 12-Dec 20</t>
        </is>
      </c>
      <c r="I330" s="4" t="n"/>
      <c r="J330" s="4" t="n"/>
      <c r="K330" s="4" t="n"/>
      <c r="L330" s="4" t="n"/>
    </row>
    <row r="331">
      <c r="A331" s="4" t="inlineStr">
        <is>
          <t>312</t>
        </is>
      </c>
      <c r="B331" s="4" t="inlineStr">
        <is>
          <t>elk</t>
        </is>
      </c>
      <c r="C331" s="4" t="inlineStr">
        <is>
          <t>General Elk License</t>
        </is>
      </c>
      <c r="D331" s="13" t="inlineStr">
        <is>
          <t>General license</t>
        </is>
      </c>
      <c r="E331" s="4" t="inlineStr">
        <is>
          <t>Either-sex Elk</t>
        </is>
      </c>
      <c r="F331" s="4" t="inlineStr">
        <is>
          <t>Sep 05-Oct 18</t>
        </is>
      </c>
      <c r="G331" s="4" t="inlineStr">
        <is>
          <t>Oct 24-Nov 29</t>
        </is>
      </c>
      <c r="H331" s="4" t="inlineStr">
        <is>
          <t>Dec 12-Dec 20</t>
        </is>
      </c>
      <c r="I331" s="4" t="n"/>
      <c r="J331" s="4" t="n"/>
      <c r="K331" s="4" t="n"/>
      <c r="L331" s="4" t="inlineStr">
        <is>
          <t>Only youth ages 12-15 and hunters with a PTHFV.</t>
        </is>
      </c>
    </row>
    <row r="332">
      <c r="A332" s="4" t="inlineStr">
        <is>
          <t>312</t>
        </is>
      </c>
      <c r="B332" s="4" t="inlineStr">
        <is>
          <t>elk</t>
        </is>
      </c>
      <c r="C332" s="4" t="inlineStr">
        <is>
          <t>General Elk License</t>
        </is>
      </c>
      <c r="D332" s="13" t="inlineStr">
        <is>
          <t>General license</t>
        </is>
      </c>
      <c r="E332" s="4" t="inlineStr">
        <is>
          <t>Antlerless Elk</t>
        </is>
      </c>
      <c r="F332" s="4" t="n"/>
      <c r="G332" s="4" t="n"/>
      <c r="H332" s="4" t="n"/>
      <c r="I332" s="4" t="inlineStr">
        <is>
          <t>Nov 30-Feb 15</t>
        </is>
      </c>
      <c r="J332" s="4" t="n"/>
      <c r="K332" s="4" t="n"/>
      <c r="L332" s="4" t="inlineStr">
        <is>
          <t>Not valid on National Forest Land.</t>
        </is>
      </c>
    </row>
    <row r="333">
      <c r="A333" s="4" t="inlineStr">
        <is>
          <t>312</t>
        </is>
      </c>
      <c r="B333" s="4" t="inlineStr">
        <is>
          <t>elk</t>
        </is>
      </c>
      <c r="C333" s="4" t="inlineStr">
        <is>
          <t>Elk B License: 397-00</t>
        </is>
      </c>
      <c r="D333" s="4" t="inlineStr">
        <is>
          <t>Over the counter</t>
        </is>
      </c>
      <c r="E333" s="4" t="inlineStr">
        <is>
          <t>Antlerless Elk</t>
        </is>
      </c>
      <c r="F333" s="4" t="n"/>
      <c r="G333" s="4" t="n"/>
      <c r="H333" s="4" t="n"/>
      <c r="I333" s="4" t="n"/>
      <c r="J333" s="4" t="inlineStr">
        <is>
          <t>OTC: Jun 15</t>
        </is>
      </c>
      <c r="K333" s="4" t="inlineStr">
        <is>
          <t>UNL</t>
        </is>
      </c>
      <c r="L333" s="4" t="inlineStr">
        <is>
          <t>One per hunter. Multi-district license. Only valid on private land. One per hunter. Multi-district license. Not valid on National Forest Lands.</t>
        </is>
      </c>
    </row>
    <row r="334">
      <c r="A334" s="4" t="inlineStr">
        <is>
          <t>313</t>
        </is>
      </c>
      <c r="B334" s="4" t="inlineStr">
        <is>
          <t>elk</t>
        </is>
      </c>
      <c r="C334" s="4" t="inlineStr">
        <is>
          <t>General Elk License</t>
        </is>
      </c>
      <c r="D334" s="13" t="inlineStr">
        <is>
          <t>General license</t>
        </is>
      </c>
      <c r="E334" s="4" t="inlineStr">
        <is>
          <t>Brow-tined Bull Elk</t>
        </is>
      </c>
      <c r="F334" s="4" t="inlineStr">
        <is>
          <t>Sep 05-Oct 18</t>
        </is>
      </c>
      <c r="G334" s="4" t="inlineStr">
        <is>
          <t>Oct 24-Nov 15</t>
        </is>
      </c>
      <c r="H334" s="4" t="n"/>
      <c r="I334" s="4" t="n"/>
      <c r="J334" s="4" t="n"/>
      <c r="K334" s="4" t="n"/>
      <c r="L334" s="4" t="n"/>
    </row>
    <row r="335">
      <c r="A335" s="4" t="inlineStr">
        <is>
          <t>313</t>
        </is>
      </c>
      <c r="B335" s="4" t="inlineStr">
        <is>
          <t>elk</t>
        </is>
      </c>
      <c r="C335" s="4" t="inlineStr">
        <is>
          <t>Elk B License: 313-00</t>
        </is>
      </c>
      <c r="D335" s="15" t="inlineStr">
        <is>
          <t>Drawing</t>
        </is>
      </c>
      <c r="E335" s="4" t="inlineStr">
        <is>
          <t>Antlerless Elk</t>
        </is>
      </c>
      <c r="F335" s="4" t="inlineStr">
        <is>
          <t>Sep 05-Oct 18</t>
        </is>
      </c>
      <c r="G335" s="4" t="inlineStr">
        <is>
          <t>Oct 24-Nov 29</t>
        </is>
      </c>
      <c r="H335" s="4" t="inlineStr">
        <is>
          <t>Dec 12-Dec 20</t>
        </is>
      </c>
      <c r="I335" s="4" t="n"/>
      <c r="J335" s="4" t="inlineStr">
        <is>
          <t>Jun 1</t>
        </is>
      </c>
      <c r="K335" s="4" t="inlineStr">
        <is>
          <t>50</t>
        </is>
      </c>
      <c r="L335" s="4" t="inlineStr">
        <is>
          <t>Only youth ages 12-15.</t>
        </is>
      </c>
    </row>
    <row r="336">
      <c r="A336" s="4" t="inlineStr">
        <is>
          <t>313</t>
        </is>
      </c>
      <c r="B336" s="4" t="inlineStr">
        <is>
          <t>elk</t>
        </is>
      </c>
      <c r="C336" s="4" t="inlineStr">
        <is>
          <t>Elk B License: 313-01</t>
        </is>
      </c>
      <c r="D336" s="15" t="inlineStr">
        <is>
          <t>Drawing</t>
        </is>
      </c>
      <c r="E336" s="4" t="inlineStr">
        <is>
          <t>Antlerless Elk</t>
        </is>
      </c>
      <c r="F336" s="4" t="inlineStr">
        <is>
          <t>Sep 05-Oct 18</t>
        </is>
      </c>
      <c r="G336" s="4" t="inlineStr">
        <is>
          <t>Oct 24-Nov 29</t>
        </is>
      </c>
      <c r="H336" s="4" t="inlineStr">
        <is>
          <t>Dec 12-Dec 20</t>
        </is>
      </c>
      <c r="I336" s="4" t="n"/>
      <c r="J336" s="4" t="inlineStr">
        <is>
          <t>Jun 1</t>
        </is>
      </c>
      <c r="K336" s="4" t="inlineStr">
        <is>
          <t>50</t>
        </is>
      </c>
      <c r="L336" s="4" t="n"/>
    </row>
    <row r="337">
      <c r="A337" s="4" t="inlineStr">
        <is>
          <t>313</t>
        </is>
      </c>
      <c r="B337" s="4" t="inlineStr">
        <is>
          <t>elk</t>
        </is>
      </c>
      <c r="C337" s="4" t="inlineStr">
        <is>
          <t>Elk B License: 317-00</t>
        </is>
      </c>
      <c r="D337" s="15" t="inlineStr">
        <is>
          <t>Drawing</t>
        </is>
      </c>
      <c r="E337" s="4" t="inlineStr">
        <is>
          <t>Antlerless Elk</t>
        </is>
      </c>
      <c r="F337" s="4" t="inlineStr">
        <is>
          <t>Sep 05-Oct 18</t>
        </is>
      </c>
      <c r="G337" s="4" t="inlineStr">
        <is>
          <t>Oct 24-Nov 29</t>
        </is>
      </c>
      <c r="H337" s="4" t="n"/>
      <c r="I337" s="4" t="inlineStr">
        <is>
          <t>Nov 30-Feb 15</t>
        </is>
      </c>
      <c r="J337" s="4" t="inlineStr">
        <is>
          <t>Jun 1</t>
        </is>
      </c>
      <c r="K337" s="4" t="inlineStr">
        <is>
          <t>500</t>
        </is>
      </c>
      <c r="L337" s="4" t="inlineStr">
        <is>
          <t>Only valid on private lands in HD 317 and private lands in the portion of HD 313 North of Dome Mountain WMA.</t>
        </is>
      </c>
    </row>
    <row r="338">
      <c r="A338" s="4" t="inlineStr">
        <is>
          <t>313</t>
        </is>
      </c>
      <c r="B338" s="4" t="inlineStr">
        <is>
          <t>elk</t>
        </is>
      </c>
      <c r="C338" s="4" t="inlineStr">
        <is>
          <t>Elk Permit: 313-45</t>
        </is>
      </c>
      <c r="D338" s="15" t="inlineStr">
        <is>
          <t>Drawing</t>
        </is>
      </c>
      <c r="E338" s="4" t="inlineStr">
        <is>
          <t>Brow-tined Bull Elk</t>
        </is>
      </c>
      <c r="F338" s="4" t="n"/>
      <c r="G338" s="4" t="inlineStr">
        <is>
          <t>Nov 16-Nov 29</t>
        </is>
      </c>
      <c r="H338" s="4" t="inlineStr">
        <is>
          <t>Dec 12-Dec 20</t>
        </is>
      </c>
      <c r="I338" s="4" t="n"/>
      <c r="J338" s="4" t="inlineStr">
        <is>
          <t>April 1</t>
        </is>
      </c>
      <c r="K338" s="4" t="inlineStr">
        <is>
          <t>50</t>
        </is>
      </c>
      <c r="L338" s="4" t="inlineStr">
        <is>
          <t>Permit must be used with a valid General Elk License. Holders may not hunt Antlered Elk in any other HD during these described season dates.</t>
        </is>
      </c>
    </row>
    <row r="339">
      <c r="A339" s="4" t="inlineStr">
        <is>
          <t>314</t>
        </is>
      </c>
      <c r="B339" s="4" t="inlineStr">
        <is>
          <t>elk</t>
        </is>
      </c>
      <c r="C339" s="4" t="inlineStr">
        <is>
          <t>General Elk License</t>
        </is>
      </c>
      <c r="D339" s="13" t="inlineStr">
        <is>
          <t>General license</t>
        </is>
      </c>
      <c r="E339" s="4" t="inlineStr">
        <is>
          <t>Brow-tined Bull or Antlerless Elk</t>
        </is>
      </c>
      <c r="F339" s="4" t="inlineStr">
        <is>
          <t>Sep 05-Oct 18</t>
        </is>
      </c>
      <c r="G339" s="4" t="n"/>
      <c r="H339" s="4" t="n"/>
      <c r="I339" s="4" t="n"/>
      <c r="J339" s="4" t="n"/>
      <c r="K339" s="4" t="n"/>
      <c r="L339" s="4" t="n"/>
    </row>
    <row r="340">
      <c r="A340" s="4" t="inlineStr">
        <is>
          <t>314</t>
        </is>
      </c>
      <c r="B340" s="4" t="inlineStr">
        <is>
          <t>elk</t>
        </is>
      </c>
      <c r="C340" s="4" t="inlineStr">
        <is>
          <t>General Elk License</t>
        </is>
      </c>
      <c r="D340" s="13" t="inlineStr">
        <is>
          <t>General license</t>
        </is>
      </c>
      <c r="E340" s="4" t="inlineStr">
        <is>
          <t>Either-sex Elk</t>
        </is>
      </c>
      <c r="F340" s="4" t="inlineStr">
        <is>
          <t>Sep 05-Oct 18</t>
        </is>
      </c>
      <c r="G340" s="4" t="inlineStr">
        <is>
          <t>Oct 24-Nov 29</t>
        </is>
      </c>
      <c r="H340" s="4" t="inlineStr">
        <is>
          <t>Dec 12-Dec 20</t>
        </is>
      </c>
      <c r="I340" s="4" t="n"/>
      <c r="J340" s="4" t="n"/>
      <c r="K340" s="4" t="n"/>
      <c r="L340" s="4" t="inlineStr">
        <is>
          <t>Only youth ages 12-15 and hunters with a PTHFV. Resident hunters 75 years old and older may harvest an antlerless elk on private land.</t>
        </is>
      </c>
    </row>
    <row r="341">
      <c r="A341" s="4" t="inlineStr">
        <is>
          <t>314</t>
        </is>
      </c>
      <c r="B341" s="4" t="inlineStr">
        <is>
          <t>elk</t>
        </is>
      </c>
      <c r="C341" s="4" t="inlineStr">
        <is>
          <t>General Elk License</t>
        </is>
      </c>
      <c r="D341" s="13" t="inlineStr">
        <is>
          <t>General license</t>
        </is>
      </c>
      <c r="E341" s="4" t="inlineStr">
        <is>
          <t>Brow-tined Bull Elk</t>
        </is>
      </c>
      <c r="F341" s="4" t="n"/>
      <c r="G341" s="4" t="inlineStr">
        <is>
          <t>Oct 24-Nov 29</t>
        </is>
      </c>
      <c r="H341" s="4" t="inlineStr">
        <is>
          <t>Dec 12-Dec 20</t>
        </is>
      </c>
      <c r="I341" s="4" t="n"/>
      <c r="J341" s="4" t="n"/>
      <c r="K341" s="4" t="n"/>
      <c r="L341" s="4" t="inlineStr">
        <is>
          <t>Only valid south of Rock Creek.</t>
        </is>
      </c>
    </row>
    <row r="342">
      <c r="A342" s="4" t="inlineStr">
        <is>
          <t>314</t>
        </is>
      </c>
      <c r="B342" s="4" t="inlineStr">
        <is>
          <t>elk</t>
        </is>
      </c>
      <c r="C342" s="4" t="inlineStr">
        <is>
          <t>General Elk License</t>
        </is>
      </c>
      <c r="D342" s="13" t="inlineStr">
        <is>
          <t>General license</t>
        </is>
      </c>
      <c r="E342" s="4" t="inlineStr">
        <is>
          <t>Brow-tined Bull or Antlerless Elk</t>
        </is>
      </c>
      <c r="F342" s="4" t="n"/>
      <c r="G342" s="4" t="inlineStr">
        <is>
          <t>Oct 24-Nov 29</t>
        </is>
      </c>
      <c r="H342" s="4" t="inlineStr">
        <is>
          <t>Dec 12-Dec 20</t>
        </is>
      </c>
      <c r="I342" s="4" t="n"/>
      <c r="J342" s="4" t="n"/>
      <c r="K342" s="4" t="n"/>
      <c r="L342" s="4" t="inlineStr">
        <is>
          <t>Only valid north of Rock Creek.</t>
        </is>
      </c>
    </row>
    <row r="343">
      <c r="A343" s="4" t="inlineStr">
        <is>
          <t>314</t>
        </is>
      </c>
      <c r="B343" s="4" t="inlineStr">
        <is>
          <t>elk</t>
        </is>
      </c>
      <c r="C343" s="4" t="inlineStr">
        <is>
          <t>General Elk License</t>
        </is>
      </c>
      <c r="D343" s="13" t="inlineStr">
        <is>
          <t>General license</t>
        </is>
      </c>
      <c r="E343" s="4" t="inlineStr">
        <is>
          <t>Antlerless Elk</t>
        </is>
      </c>
      <c r="F343" s="4" t="n"/>
      <c r="G343" s="4" t="n"/>
      <c r="H343" s="4" t="n"/>
      <c r="I343" s="4" t="inlineStr">
        <is>
          <t>Nov 30-Feb 15</t>
        </is>
      </c>
      <c r="J343" s="4" t="n"/>
      <c r="K343" s="4" t="n"/>
      <c r="L343" s="4" t="inlineStr">
        <is>
          <t>Only valid north of Rock Creek. Not valid on National Forest lands.</t>
        </is>
      </c>
    </row>
    <row r="344">
      <c r="A344" s="4" t="inlineStr">
        <is>
          <t>314</t>
        </is>
      </c>
      <c r="B344" s="4" t="inlineStr">
        <is>
          <t>elk</t>
        </is>
      </c>
      <c r="C344" s="4" t="inlineStr">
        <is>
          <t>Elk B License: 397-00</t>
        </is>
      </c>
      <c r="D344" s="4" t="inlineStr">
        <is>
          <t>Over the counter</t>
        </is>
      </c>
      <c r="E344" s="4" t="inlineStr">
        <is>
          <t>Antlerless Elk</t>
        </is>
      </c>
      <c r="F344" s="4" t="n"/>
      <c r="G344" s="4" t="n"/>
      <c r="H344" s="4" t="n"/>
      <c r="I344" s="4" t="n"/>
      <c r="J344" s="4" t="inlineStr">
        <is>
          <t>OTC: Jun 15</t>
        </is>
      </c>
      <c r="K344" s="4" t="inlineStr">
        <is>
          <t>UNL</t>
        </is>
      </c>
      <c r="L344" s="4" t="inlineStr">
        <is>
          <t>One per hunter. Multi-district license. In HD 314, only valid north of Rock Creek. Only valid on private land. One per hunter. Multi-district license. In HD 314, only valid north of Rock Creek. Not valid on National Forest Lands.</t>
        </is>
      </c>
    </row>
    <row r="345">
      <c r="A345" s="4" t="inlineStr">
        <is>
          <t>315</t>
        </is>
      </c>
      <c r="B345" s="4" t="inlineStr">
        <is>
          <t>elk</t>
        </is>
      </c>
      <c r="C345" s="4" t="inlineStr">
        <is>
          <t>General Elk License</t>
        </is>
      </c>
      <c r="D345" s="13" t="inlineStr">
        <is>
          <t>General license</t>
        </is>
      </c>
      <c r="E345" s="4" t="inlineStr">
        <is>
          <t>Either-sex Elk</t>
        </is>
      </c>
      <c r="F345" s="4" t="inlineStr">
        <is>
          <t>Sep 05-Oct 18</t>
        </is>
      </c>
      <c r="G345" s="4" t="inlineStr">
        <is>
          <t>Oct 24-Nov 29</t>
        </is>
      </c>
      <c r="H345" s="4" t="inlineStr">
        <is>
          <t>Dec 12-Dec 20</t>
        </is>
      </c>
      <c r="I345" s="4" t="n"/>
      <c r="J345" s="4" t="n"/>
      <c r="K345" s="4" t="n"/>
      <c r="L345" s="4" t="n"/>
    </row>
    <row r="346">
      <c r="A346" s="4" t="inlineStr">
        <is>
          <t>315</t>
        </is>
      </c>
      <c r="B346" s="4" t="inlineStr">
        <is>
          <t>elk</t>
        </is>
      </c>
      <c r="C346" s="4" t="inlineStr">
        <is>
          <t>General Elk License</t>
        </is>
      </c>
      <c r="D346" s="13" t="inlineStr">
        <is>
          <t>General license</t>
        </is>
      </c>
      <c r="E346" s="4" t="inlineStr">
        <is>
          <t>Antlerless Elk</t>
        </is>
      </c>
      <c r="F346" s="4" t="n"/>
      <c r="G346" s="4" t="n"/>
      <c r="H346" s="4" t="n"/>
      <c r="I346" s="4" t="inlineStr">
        <is>
          <t>Nov 30-Feb 15</t>
        </is>
      </c>
      <c r="J346" s="4" t="n"/>
      <c r="K346" s="4" t="n"/>
      <c r="L346" s="4" t="inlineStr">
        <is>
          <t>Not valid on National Forest Lands.</t>
        </is>
      </c>
    </row>
    <row r="347">
      <c r="A347" s="4" t="inlineStr">
        <is>
          <t>315</t>
        </is>
      </c>
      <c r="B347" s="4" t="inlineStr">
        <is>
          <t>elk</t>
        </is>
      </c>
      <c r="C347" s="4" t="inlineStr">
        <is>
          <t>Elk B License: 397-00</t>
        </is>
      </c>
      <c r="D347" s="4" t="inlineStr">
        <is>
          <t>Over the counter</t>
        </is>
      </c>
      <c r="E347" s="4" t="inlineStr">
        <is>
          <t>Antlerless Elk</t>
        </is>
      </c>
      <c r="F347" s="4" t="n"/>
      <c r="G347" s="4" t="n"/>
      <c r="H347" s="4" t="n"/>
      <c r="I347" s="4" t="n"/>
      <c r="J347" s="4" t="inlineStr">
        <is>
          <t>OTC: Jun 15</t>
        </is>
      </c>
      <c r="K347" s="4" t="inlineStr">
        <is>
          <t>UNL</t>
        </is>
      </c>
      <c r="L347" s="4" t="inlineStr">
        <is>
          <t>One per hunter. Multi-district license. Only valid on private land. One per hunter. Multi-district license. Not valid on National Forest Lands. LICENSE/PERMIT OPPORTUNITY APPL Y BY DATE QUOTA QUOTA RANGE EARL Y SEASON DATES ARCHERY ONL Y SEASON DATES GENERAL SEASON DATES HERITAGE MUZZLELOADER SEASON</t>
        </is>
      </c>
    </row>
    <row r="348">
      <c r="A348" s="4" t="inlineStr">
        <is>
          <t>316</t>
        </is>
      </c>
      <c r="B348" s="4" t="inlineStr">
        <is>
          <t>elk</t>
        </is>
      </c>
      <c r="C348" s="4" t="inlineStr">
        <is>
          <t>General Elk License</t>
        </is>
      </c>
      <c r="D348" s="13" t="inlineStr">
        <is>
          <t>General license</t>
        </is>
      </c>
      <c r="E348" s="4" t="inlineStr">
        <is>
          <t>Either-sex Elk</t>
        </is>
      </c>
      <c r="F348" s="4" t="n"/>
      <c r="G348" s="4" t="inlineStr">
        <is>
          <t>Sep 15-Oct 23</t>
        </is>
      </c>
      <c r="H348" s="4" t="n"/>
      <c r="I348" s="4" t="n"/>
      <c r="J348" s="4" t="n"/>
      <c r="K348" s="4" t="n"/>
      <c r="L348" s="4" t="n"/>
    </row>
    <row r="349">
      <c r="A349" s="4" t="inlineStr">
        <is>
          <t>316</t>
        </is>
      </c>
      <c r="B349" s="4" t="inlineStr">
        <is>
          <t>elk</t>
        </is>
      </c>
      <c r="C349" s="4" t="inlineStr">
        <is>
          <t>General Elk License</t>
        </is>
      </c>
      <c r="D349" s="13" t="inlineStr">
        <is>
          <t>General license</t>
        </is>
      </c>
      <c r="E349" s="4" t="inlineStr">
        <is>
          <t>Antlered Bull Elk</t>
        </is>
      </c>
      <c r="F349" s="4" t="n"/>
      <c r="G349" s="4" t="inlineStr">
        <is>
          <t>Oct 24-Nov 29</t>
        </is>
      </c>
      <c r="H349" s="4" t="inlineStr">
        <is>
          <t>Dec 12-Dec 20</t>
        </is>
      </c>
      <c r="I349" s="4" t="n"/>
      <c r="J349" s="4" t="n"/>
      <c r="K349" s="4" t="n"/>
      <c r="L349" s="4" t="n"/>
    </row>
    <row r="350">
      <c r="A350" s="4" t="inlineStr">
        <is>
          <t>316</t>
        </is>
      </c>
      <c r="B350" s="4" t="inlineStr">
        <is>
          <t>elk</t>
        </is>
      </c>
      <c r="C350" s="4" t="inlineStr">
        <is>
          <t>General Elk License</t>
        </is>
      </c>
      <c r="D350" s="13" t="inlineStr">
        <is>
          <t>General license</t>
        </is>
      </c>
      <c r="E350" s="4" t="inlineStr">
        <is>
          <t>Either-sex Elk</t>
        </is>
      </c>
      <c r="F350" s="4" t="n"/>
      <c r="G350" s="4" t="inlineStr">
        <is>
          <t>Oct 24-Nov 29</t>
        </is>
      </c>
      <c r="H350" s="4" t="inlineStr">
        <is>
          <t>Dec 12-Dec 20</t>
        </is>
      </c>
      <c r="I350" s="4" t="n"/>
      <c r="J350" s="4" t="n"/>
      <c r="K350" s="4" t="n"/>
      <c r="L350" s="4" t="inlineStr">
        <is>
          <t>Only youth ages 12-15 and hunters with a PTHFV. Resident hunters 75 years old and older may harvest an antlerless elk on private land.</t>
        </is>
      </c>
    </row>
    <row r="351">
      <c r="A351" s="4" t="inlineStr">
        <is>
          <t>317</t>
        </is>
      </c>
      <c r="B351" s="4" t="inlineStr">
        <is>
          <t>elk</t>
        </is>
      </c>
      <c r="C351" s="4" t="inlineStr">
        <is>
          <t>General Elk License</t>
        </is>
      </c>
      <c r="D351" s="13" t="inlineStr">
        <is>
          <t>General license</t>
        </is>
      </c>
      <c r="E351" s="4" t="inlineStr">
        <is>
          <t>Brow-tined Bull or Antlerless Elk</t>
        </is>
      </c>
      <c r="F351" s="4" t="inlineStr">
        <is>
          <t>Sep 05-Oct 18</t>
        </is>
      </c>
      <c r="G351" s="4" t="inlineStr">
        <is>
          <t>Oct 24-Nov 29</t>
        </is>
      </c>
      <c r="H351" s="4" t="inlineStr">
        <is>
          <t>Dec 12-Dec 20</t>
        </is>
      </c>
      <c r="I351" s="4" t="n"/>
      <c r="J351" s="4" t="n"/>
      <c r="K351" s="4" t="n"/>
      <c r="L351" s="4" t="n"/>
    </row>
    <row r="352">
      <c r="A352" s="4" t="inlineStr">
        <is>
          <t>317</t>
        </is>
      </c>
      <c r="B352" s="4" t="inlineStr">
        <is>
          <t>elk</t>
        </is>
      </c>
      <c r="C352" s="4" t="inlineStr">
        <is>
          <t>General Elk License</t>
        </is>
      </c>
      <c r="D352" s="13" t="inlineStr">
        <is>
          <t>General license</t>
        </is>
      </c>
      <c r="E352" s="4" t="inlineStr">
        <is>
          <t>Either-sex Elk</t>
        </is>
      </c>
      <c r="F352" s="4" t="inlineStr">
        <is>
          <t>Sep 05-Oct 18</t>
        </is>
      </c>
      <c r="G352" s="4" t="inlineStr">
        <is>
          <t>Oct 24-Nov 29</t>
        </is>
      </c>
      <c r="H352" s="4" t="inlineStr">
        <is>
          <t>Dec 12-Dec 20</t>
        </is>
      </c>
      <c r="I352" s="4" t="n"/>
      <c r="J352" s="4" t="n"/>
      <c r="K352" s="4" t="n"/>
      <c r="L352" s="4" t="inlineStr">
        <is>
          <t>Only youth ages 12-15 and hunters with a PTHFV.</t>
        </is>
      </c>
    </row>
    <row r="353">
      <c r="A353" s="4" t="inlineStr">
        <is>
          <t>317</t>
        </is>
      </c>
      <c r="B353" s="4" t="inlineStr">
        <is>
          <t>elk</t>
        </is>
      </c>
      <c r="C353" s="4" t="inlineStr">
        <is>
          <t>Elk B License: 317-00</t>
        </is>
      </c>
      <c r="D353" s="15" t="inlineStr">
        <is>
          <t>Drawing</t>
        </is>
      </c>
      <c r="E353" s="4" t="inlineStr">
        <is>
          <t>Antlerless Elk</t>
        </is>
      </c>
      <c r="F353" s="4" t="inlineStr">
        <is>
          <t>Sep 05-Oct 18</t>
        </is>
      </c>
      <c r="G353" s="4" t="inlineStr">
        <is>
          <t>Oct 24-Nov 29</t>
        </is>
      </c>
      <c r="H353" s="4" t="n"/>
      <c r="I353" s="4" t="inlineStr">
        <is>
          <t>Nov 30-Feb 15</t>
        </is>
      </c>
      <c r="J353" s="4" t="inlineStr">
        <is>
          <t>Jun 1</t>
        </is>
      </c>
      <c r="K353" s="4" t="inlineStr">
        <is>
          <t>500</t>
        </is>
      </c>
      <c r="L353" s="4" t="inlineStr">
        <is>
          <t>Only valid on private lands in HD 317 and private lands in the portion of HD 313 North of Dome Mountain WMA.</t>
        </is>
      </c>
    </row>
    <row r="354">
      <c r="A354" s="4" t="inlineStr">
        <is>
          <t>318</t>
        </is>
      </c>
      <c r="B354" s="4" t="inlineStr">
        <is>
          <t>elk</t>
        </is>
      </c>
      <c r="C354" s="4" t="inlineStr">
        <is>
          <t>General Elk License</t>
        </is>
      </c>
      <c r="D354" s="13" t="inlineStr">
        <is>
          <t>General license</t>
        </is>
      </c>
      <c r="E354" s="4" t="inlineStr">
        <is>
          <t>Brow-tined Bull or Antlerless Elk</t>
        </is>
      </c>
      <c r="F354" s="4" t="inlineStr">
        <is>
          <t>Sep 05-Oct 18</t>
        </is>
      </c>
      <c r="G354" s="4" t="n"/>
      <c r="H354" s="4" t="n"/>
      <c r="I354" s="4" t="n"/>
      <c r="J354" s="4" t="n"/>
      <c r="K354" s="4" t="n"/>
      <c r="L354" s="4" t="n"/>
    </row>
    <row r="355">
      <c r="A355" s="4" t="inlineStr">
        <is>
          <t>318</t>
        </is>
      </c>
      <c r="B355" s="4" t="inlineStr">
        <is>
          <t>elk</t>
        </is>
      </c>
      <c r="C355" s="4" t="inlineStr">
        <is>
          <t>General Elk License</t>
        </is>
      </c>
      <c r="D355" s="13" t="inlineStr">
        <is>
          <t>General license</t>
        </is>
      </c>
      <c r="E355" s="4" t="inlineStr">
        <is>
          <t>Either-sex Elk</t>
        </is>
      </c>
      <c r="F355" s="4" t="inlineStr">
        <is>
          <t>Sep 05-Oct 18</t>
        </is>
      </c>
      <c r="G355" s="4" t="inlineStr">
        <is>
          <t>Oct 24-Nov 29</t>
        </is>
      </c>
      <c r="H355" s="4" t="inlineStr">
        <is>
          <t>Dec 12-Dec 20</t>
        </is>
      </c>
      <c r="I355" s="4" t="n"/>
      <c r="J355" s="4" t="n"/>
      <c r="K355" s="4" t="n"/>
      <c r="L355" s="4" t="inlineStr">
        <is>
          <t>Only youth ages 12-15 and hunters with a PTHFV. Resident hunters 75 years old and older may harvest an antlerless elk on private land.</t>
        </is>
      </c>
    </row>
    <row r="356">
      <c r="A356" s="4" t="inlineStr">
        <is>
          <t>318</t>
        </is>
      </c>
      <c r="B356" s="4" t="inlineStr">
        <is>
          <t>elk</t>
        </is>
      </c>
      <c r="C356" s="4" t="inlineStr">
        <is>
          <t>General Elk License</t>
        </is>
      </c>
      <c r="D356" s="13" t="inlineStr">
        <is>
          <t>General license</t>
        </is>
      </c>
      <c r="E356" s="4" t="inlineStr">
        <is>
          <t>Brow-tined Bull Elk</t>
        </is>
      </c>
      <c r="F356" s="4" t="n"/>
      <c r="G356" s="4" t="inlineStr">
        <is>
          <t>Oct 24-Nov 29</t>
        </is>
      </c>
      <c r="H356" s="4" t="inlineStr">
        <is>
          <t>Dec 12-Dec 20</t>
        </is>
      </c>
      <c r="I356" s="4" t="n"/>
      <c r="J356" s="4" t="n"/>
      <c r="K356" s="4" t="n"/>
      <c r="L356" s="4" t="n"/>
    </row>
    <row r="357">
      <c r="A357" s="4" t="inlineStr">
        <is>
          <t>318</t>
        </is>
      </c>
      <c r="B357" s="4" t="inlineStr">
        <is>
          <t>elk</t>
        </is>
      </c>
      <c r="C357" s="4" t="inlineStr">
        <is>
          <t>Elk B License: 394-00</t>
        </is>
      </c>
      <c r="D357" s="15" t="inlineStr">
        <is>
          <t>Drawing</t>
        </is>
      </c>
      <c r="E357" s="4" t="inlineStr">
        <is>
          <t>Antlerless Elk</t>
        </is>
      </c>
      <c r="F357" s="4" t="inlineStr">
        <is>
          <t>Sep 05-Oct 18</t>
        </is>
      </c>
      <c r="G357" s="4" t="inlineStr">
        <is>
          <t>Oct 24-Nov 29</t>
        </is>
      </c>
      <c r="H357" s="4" t="inlineStr">
        <is>
          <t>Dec 12-Dec 20</t>
        </is>
      </c>
      <c r="I357" s="4" t="n"/>
      <c r="J357" s="4" t="inlineStr">
        <is>
          <t>Jun 1</t>
        </is>
      </c>
      <c r="K357" s="4" t="inlineStr">
        <is>
          <t>400</t>
        </is>
      </c>
      <c r="L357" s="4" t="inlineStr">
        <is>
          <t>Valid in HDs 318 and 335.</t>
        </is>
      </c>
    </row>
    <row r="358">
      <c r="A358" s="4" t="inlineStr">
        <is>
          <t>319</t>
        </is>
      </c>
      <c r="B358" s="4" t="inlineStr">
        <is>
          <t>elk</t>
        </is>
      </c>
      <c r="C358" s="4" t="inlineStr">
        <is>
          <t>General Elk License</t>
        </is>
      </c>
      <c r="D358" s="13" t="inlineStr">
        <is>
          <t>General license</t>
        </is>
      </c>
      <c r="E358" s="4" t="inlineStr">
        <is>
          <t>Brow-tined Bull or Antlerless Elk</t>
        </is>
      </c>
      <c r="F358" s="4" t="inlineStr">
        <is>
          <t>Sep 05-Oct 18</t>
        </is>
      </c>
      <c r="G358" s="4" t="inlineStr">
        <is>
          <t>Oct 24-Nov 08</t>
        </is>
      </c>
      <c r="H358" s="4" t="n"/>
      <c r="I358" s="4" t="n"/>
      <c r="J358" s="4" t="n"/>
      <c r="K358" s="4" t="n"/>
      <c r="L358" s="4" t="n"/>
    </row>
    <row r="359">
      <c r="A359" s="4" t="inlineStr">
        <is>
          <t>319</t>
        </is>
      </c>
      <c r="B359" s="4" t="inlineStr">
        <is>
          <t>elk</t>
        </is>
      </c>
      <c r="C359" s="4" t="inlineStr">
        <is>
          <t>General Elk License</t>
        </is>
      </c>
      <c r="D359" s="13" t="inlineStr">
        <is>
          <t>General license</t>
        </is>
      </c>
      <c r="E359" s="4" t="inlineStr">
        <is>
          <t>Either-sex Elk</t>
        </is>
      </c>
      <c r="F359" s="4" t="inlineStr">
        <is>
          <t>Sep 05-Oct 18</t>
        </is>
      </c>
      <c r="G359" s="4" t="inlineStr">
        <is>
          <t>Oct 24-Nov 29</t>
        </is>
      </c>
      <c r="H359" s="4" t="inlineStr">
        <is>
          <t>Dec 12-Dec 20</t>
        </is>
      </c>
      <c r="I359" s="4" t="n"/>
      <c r="J359" s="4" t="n"/>
      <c r="K359" s="4" t="n"/>
      <c r="L359" s="4" t="inlineStr">
        <is>
          <t>Only youth ages 12-15 and hunters with a PTHFV. Resident hunters 75 years old and older may harvest an antlerless elk on private land.</t>
        </is>
      </c>
    </row>
    <row r="360">
      <c r="A360" s="4" t="inlineStr">
        <is>
          <t>319</t>
        </is>
      </c>
      <c r="B360" s="4" t="inlineStr">
        <is>
          <t>elk</t>
        </is>
      </c>
      <c r="C360" s="4" t="inlineStr">
        <is>
          <t>General Elk License</t>
        </is>
      </c>
      <c r="D360" s="13" t="inlineStr">
        <is>
          <t>General license</t>
        </is>
      </c>
      <c r="E360" s="4" t="inlineStr">
        <is>
          <t>Brow-tined Bull Elk</t>
        </is>
      </c>
      <c r="F360" s="4" t="n"/>
      <c r="G360" s="4" t="inlineStr">
        <is>
          <t>Nov 09-Nov 29</t>
        </is>
      </c>
      <c r="H360" s="4" t="inlineStr">
        <is>
          <t>Dec 12-Dec 20</t>
        </is>
      </c>
      <c r="I360" s="4" t="n"/>
      <c r="J360" s="4" t="n"/>
      <c r="K360" s="4" t="n"/>
      <c r="L360" s="4" t="n"/>
    </row>
    <row r="361">
      <c r="A361" s="4" t="inlineStr">
        <is>
          <t>319</t>
        </is>
      </c>
      <c r="B361" s="4" t="inlineStr">
        <is>
          <t>elk</t>
        </is>
      </c>
      <c r="C361" s="4" t="inlineStr">
        <is>
          <t>Elk B License: 319-00</t>
        </is>
      </c>
      <c r="D361" s="15" t="inlineStr">
        <is>
          <t>Drawing</t>
        </is>
      </c>
      <c r="E361" s="4" t="inlineStr">
        <is>
          <t>Antlerless Elk</t>
        </is>
      </c>
      <c r="F361" s="4" t="inlineStr">
        <is>
          <t>Sep 05-Oct 18</t>
        </is>
      </c>
      <c r="G361" s="4" t="inlineStr">
        <is>
          <t>Oct 24-Nov 29</t>
        </is>
      </c>
      <c r="H361" s="4" t="inlineStr">
        <is>
          <t>Dec 12-Dec 20</t>
        </is>
      </c>
      <c r="I361" s="4" t="n"/>
      <c r="J361" s="4" t="inlineStr">
        <is>
          <t>Jun 1</t>
        </is>
      </c>
      <c r="K361" s="4" t="inlineStr">
        <is>
          <t>500</t>
        </is>
      </c>
      <c r="L361" s="4" t="n"/>
    </row>
    <row r="362">
      <c r="A362" s="4" t="inlineStr">
        <is>
          <t>320</t>
        </is>
      </c>
      <c r="B362" s="4" t="inlineStr">
        <is>
          <t>elk</t>
        </is>
      </c>
      <c r="C362" s="4" t="inlineStr">
        <is>
          <t>General Elk License</t>
        </is>
      </c>
      <c r="D362" s="13" t="inlineStr">
        <is>
          <t>General license</t>
        </is>
      </c>
      <c r="E362" s="4" t="inlineStr">
        <is>
          <t>Brow-tined Bull or Antlerless Elk</t>
        </is>
      </c>
      <c r="F362" s="4" t="inlineStr">
        <is>
          <t>Sep 05-Oct 18</t>
        </is>
      </c>
      <c r="G362" s="4" t="inlineStr">
        <is>
          <t>Oct 24-Nov 29</t>
        </is>
      </c>
      <c r="H362" s="4" t="inlineStr">
        <is>
          <t>Dec 12-Dec 20</t>
        </is>
      </c>
      <c r="I362" s="4" t="n"/>
      <c r="J362" s="4" t="n"/>
      <c r="K362" s="4" t="n"/>
      <c r="L362" s="4" t="n"/>
    </row>
    <row r="363">
      <c r="A363" s="4" t="inlineStr">
        <is>
          <t>320</t>
        </is>
      </c>
      <c r="B363" s="4" t="inlineStr">
        <is>
          <t>elk</t>
        </is>
      </c>
      <c r="C363" s="4" t="inlineStr">
        <is>
          <t>General Elk License</t>
        </is>
      </c>
      <c r="D363" s="13" t="inlineStr">
        <is>
          <t>General license</t>
        </is>
      </c>
      <c r="E363" s="4" t="inlineStr">
        <is>
          <t>Either-sex Elk</t>
        </is>
      </c>
      <c r="F363" s="4" t="inlineStr">
        <is>
          <t>Sep 05-Oct 18</t>
        </is>
      </c>
      <c r="G363" s="4" t="inlineStr">
        <is>
          <t>Oct 24-Nov 29</t>
        </is>
      </c>
      <c r="H363" s="4" t="inlineStr">
        <is>
          <t>Dec 12-Dec 20</t>
        </is>
      </c>
      <c r="I363" s="4" t="n"/>
      <c r="J363" s="4" t="n"/>
      <c r="K363" s="4" t="n"/>
      <c r="L363" s="4" t="inlineStr">
        <is>
          <t>Only youth ages 12-15 and hunters with a PTHFV.</t>
        </is>
      </c>
    </row>
    <row r="364">
      <c r="A364" s="4" t="inlineStr">
        <is>
          <t>320</t>
        </is>
      </c>
      <c r="B364" s="4" t="inlineStr">
        <is>
          <t>elk</t>
        </is>
      </c>
      <c r="C364" s="4" t="inlineStr">
        <is>
          <t>Elk B License: 320-00</t>
        </is>
      </c>
      <c r="D364" s="15" t="inlineStr">
        <is>
          <t>Drawing</t>
        </is>
      </c>
      <c r="E364" s="4" t="inlineStr">
        <is>
          <t>Antlerless Elk</t>
        </is>
      </c>
      <c r="F364" s="4" t="inlineStr">
        <is>
          <t>Sep 05-Oct 18</t>
        </is>
      </c>
      <c r="G364" s="4" t="inlineStr">
        <is>
          <t>Oct 24-Nov 29</t>
        </is>
      </c>
      <c r="H364" s="4" t="inlineStr">
        <is>
          <t>Dec 12-Dec 20</t>
        </is>
      </c>
      <c r="I364" s="4" t="n"/>
      <c r="J364" s="4" t="inlineStr">
        <is>
          <t>Jun 1</t>
        </is>
      </c>
      <c r="K364" s="4" t="inlineStr">
        <is>
          <t>200</t>
        </is>
      </c>
      <c r="L364" s="4" t="inlineStr">
        <is>
          <t>Not valid on National Forest Lands. LICENSE/PERMIT OPPORTUNITY APPL Y BY DATE QUOTA QUOTA RANGE EARL Y SEASON DATES ARCHERY ONL Y SEASON DATES GENERAL SEASON DATES HERITAGE MUZZLELOADER SEASON DATES LATE SEASON DATES OPPORTUNITY SPECIFIC DETAILS AND/ORRESTRICTIONS</t>
        </is>
      </c>
    </row>
    <row r="365">
      <c r="A365" s="4" t="inlineStr">
        <is>
          <t>321</t>
        </is>
      </c>
      <c r="B365" s="4" t="inlineStr">
        <is>
          <t>elk</t>
        </is>
      </c>
      <c r="C365" s="4" t="inlineStr">
        <is>
          <t>General Elk License</t>
        </is>
      </c>
      <c r="D365" s="13" t="inlineStr">
        <is>
          <t>General license</t>
        </is>
      </c>
      <c r="E365" s="4" t="inlineStr">
        <is>
          <t>Brow-tined Bull or Antlerless Elk</t>
        </is>
      </c>
      <c r="F365" s="4" t="inlineStr">
        <is>
          <t>Sep 05-Oct 18</t>
        </is>
      </c>
      <c r="G365" s="4" t="inlineStr">
        <is>
          <t>Oct 24-Nov 29</t>
        </is>
      </c>
      <c r="H365" s="4" t="inlineStr">
        <is>
          <t>Dec 12-Dec 20</t>
        </is>
      </c>
      <c r="I365" s="4" t="n"/>
      <c r="J365" s="4" t="n"/>
      <c r="K365" s="4" t="n"/>
      <c r="L365" s="4" t="n"/>
    </row>
    <row r="366">
      <c r="A366" s="4" t="inlineStr">
        <is>
          <t>321</t>
        </is>
      </c>
      <c r="B366" s="4" t="inlineStr">
        <is>
          <t>elk</t>
        </is>
      </c>
      <c r="C366" s="4" t="inlineStr">
        <is>
          <t>General Elk License</t>
        </is>
      </c>
      <c r="D366" s="13" t="inlineStr">
        <is>
          <t>General license</t>
        </is>
      </c>
      <c r="E366" s="4" t="inlineStr">
        <is>
          <t>Either-sex Elk</t>
        </is>
      </c>
      <c r="F366" s="4" t="inlineStr">
        <is>
          <t>Sep 05-Oct 18</t>
        </is>
      </c>
      <c r="G366" s="4" t="inlineStr">
        <is>
          <t>Oct 24-Nov 29</t>
        </is>
      </c>
      <c r="H366" s="4" t="inlineStr">
        <is>
          <t>Dec 12-Dec 20</t>
        </is>
      </c>
      <c r="I366" s="4" t="n"/>
      <c r="J366" s="4" t="n"/>
      <c r="K366" s="4" t="n"/>
      <c r="L366" s="4" t="inlineStr">
        <is>
          <t>Only youth ages 12-15 and hunters with a PTHFV.</t>
        </is>
      </c>
    </row>
    <row r="367">
      <c r="A367" s="4" t="inlineStr">
        <is>
          <t>321</t>
        </is>
      </c>
      <c r="B367" s="4" t="inlineStr">
        <is>
          <t>elk</t>
        </is>
      </c>
      <c r="C367" s="4" t="inlineStr">
        <is>
          <t>Elk B License: 321-00</t>
        </is>
      </c>
      <c r="D367" s="15" t="inlineStr">
        <is>
          <t>Drawing</t>
        </is>
      </c>
      <c r="E367" s="4" t="inlineStr">
        <is>
          <t>Antlerless Elk</t>
        </is>
      </c>
      <c r="F367" s="4" t="inlineStr">
        <is>
          <t>Sep 05-Oct 18</t>
        </is>
      </c>
      <c r="G367" s="4" t="inlineStr">
        <is>
          <t>Oct 24-Nov 29</t>
        </is>
      </c>
      <c r="H367" s="4" t="inlineStr">
        <is>
          <t>Dec 12-Dec 20</t>
        </is>
      </c>
      <c r="I367" s="4" t="n"/>
      <c r="J367" s="4" t="inlineStr">
        <is>
          <t>Jun 1</t>
        </is>
      </c>
      <c r="K367" s="4" t="inlineStr">
        <is>
          <t>200</t>
        </is>
      </c>
      <c r="L367" s="4" t="n"/>
    </row>
    <row r="368">
      <c r="A368" s="4" t="inlineStr">
        <is>
          <t>322</t>
        </is>
      </c>
      <c r="B368" s="4" t="inlineStr">
        <is>
          <t>elk</t>
        </is>
      </c>
      <c r="C368" s="4" t="inlineStr">
        <is>
          <t>General Elk License</t>
        </is>
      </c>
      <c r="D368" s="13" t="inlineStr">
        <is>
          <t>General license</t>
        </is>
      </c>
      <c r="E368" s="4" t="inlineStr">
        <is>
          <t>Brow-tined Bull or Antlerless Elk</t>
        </is>
      </c>
      <c r="F368" s="4" t="inlineStr">
        <is>
          <t>Sep 05-Oct 18</t>
        </is>
      </c>
      <c r="G368" s="4" t="inlineStr">
        <is>
          <t>Oct 24-Nov 29</t>
        </is>
      </c>
      <c r="H368" s="4" t="inlineStr">
        <is>
          <t>Dec 12-Dec 20</t>
        </is>
      </c>
      <c r="I368" s="4" t="n"/>
      <c r="J368" s="4" t="n"/>
      <c r="K368" s="4" t="n"/>
      <c r="L368" s="4" t="n"/>
    </row>
    <row r="369">
      <c r="A369" s="4" t="inlineStr">
        <is>
          <t>322</t>
        </is>
      </c>
      <c r="B369" s="4" t="inlineStr">
        <is>
          <t>elk</t>
        </is>
      </c>
      <c r="C369" s="4" t="inlineStr">
        <is>
          <t>General Elk License</t>
        </is>
      </c>
      <c r="D369" s="13" t="inlineStr">
        <is>
          <t>General license</t>
        </is>
      </c>
      <c r="E369" s="4" t="inlineStr">
        <is>
          <t>Either-sex Elk</t>
        </is>
      </c>
      <c r="F369" s="4" t="inlineStr">
        <is>
          <t>Sep 05-Oct 18</t>
        </is>
      </c>
      <c r="G369" s="4" t="inlineStr">
        <is>
          <t>Oct 24-Nov 29</t>
        </is>
      </c>
      <c r="H369" s="4" t="inlineStr">
        <is>
          <t>Dec 12-Dec 20</t>
        </is>
      </c>
      <c r="I369" s="4" t="n"/>
      <c r="J369" s="4" t="n"/>
      <c r="K369" s="4" t="n"/>
      <c r="L369" s="4" t="inlineStr">
        <is>
          <t>Only youth ages 12-15 and hunters with a PTHFV.</t>
        </is>
      </c>
    </row>
    <row r="370">
      <c r="A370" s="4" t="inlineStr">
        <is>
          <t>322</t>
        </is>
      </c>
      <c r="B370" s="4" t="inlineStr">
        <is>
          <t>elk</t>
        </is>
      </c>
      <c r="C370" s="4" t="inlineStr">
        <is>
          <t>Elk B License: 322-00</t>
        </is>
      </c>
      <c r="D370" s="15" t="inlineStr">
        <is>
          <t>Drawing</t>
        </is>
      </c>
      <c r="E370" s="4" t="inlineStr">
        <is>
          <t>Antlerless Elk</t>
        </is>
      </c>
      <c r="F370" s="4" t="inlineStr">
        <is>
          <t>Sep 05-Oct 18</t>
        </is>
      </c>
      <c r="G370" s="4" t="inlineStr">
        <is>
          <t>Oct 24-Nov 29</t>
        </is>
      </c>
      <c r="H370" s="4" t="inlineStr">
        <is>
          <t>Dec 12-Dec 20</t>
        </is>
      </c>
      <c r="I370" s="4" t="n"/>
      <c r="J370" s="4" t="inlineStr">
        <is>
          <t>Jun 1</t>
        </is>
      </c>
      <c r="K370" s="4" t="inlineStr">
        <is>
          <t>100</t>
        </is>
      </c>
      <c r="L370" s="4" t="inlineStr">
        <is>
          <t>Valid on private lands only.</t>
        </is>
      </c>
    </row>
    <row r="371">
      <c r="A371" s="4" t="inlineStr">
        <is>
          <t>323</t>
        </is>
      </c>
      <c r="B371" s="4" t="inlineStr">
        <is>
          <t>elk</t>
        </is>
      </c>
      <c r="C371" s="4" t="inlineStr">
        <is>
          <t>General Elk License</t>
        </is>
      </c>
      <c r="D371" s="13" t="inlineStr">
        <is>
          <t>General license</t>
        </is>
      </c>
      <c r="E371" s="4" t="inlineStr">
        <is>
          <t>Brow-tined Bull or Antlerless Elk</t>
        </is>
      </c>
      <c r="F371" s="4" t="inlineStr">
        <is>
          <t>Sep 05-Oct 18</t>
        </is>
      </c>
      <c r="G371" s="4" t="inlineStr">
        <is>
          <t>Oct 24-Nov 29</t>
        </is>
      </c>
      <c r="H371" s="4" t="inlineStr">
        <is>
          <t>Dec 12-Dec 20</t>
        </is>
      </c>
      <c r="I371" s="4" t="n"/>
      <c r="J371" s="4" t="n"/>
      <c r="K371" s="4" t="n"/>
      <c r="L371" s="4" t="inlineStr">
        <is>
          <t>Not valid on Wall Creek WMA and adjacent lands as posted.</t>
        </is>
      </c>
    </row>
    <row r="372">
      <c r="A372" s="4" t="inlineStr">
        <is>
          <t>323</t>
        </is>
      </c>
      <c r="B372" s="4" t="inlineStr">
        <is>
          <t>elk</t>
        </is>
      </c>
      <c r="C372" s="4" t="inlineStr">
        <is>
          <t>General Elk License</t>
        </is>
      </c>
      <c r="D372" s="13" t="inlineStr">
        <is>
          <t>General license</t>
        </is>
      </c>
      <c r="E372" s="4" t="inlineStr">
        <is>
          <t>Either-sex Elk</t>
        </is>
      </c>
      <c r="F372" s="4" t="inlineStr">
        <is>
          <t>Sep 05-Oct 18</t>
        </is>
      </c>
      <c r="G372" s="4" t="inlineStr">
        <is>
          <t>Oct 24-Nov 29</t>
        </is>
      </c>
      <c r="H372" s="4" t="inlineStr">
        <is>
          <t>Dec 12-Dec 20</t>
        </is>
      </c>
      <c r="I372" s="4" t="n"/>
      <c r="J372" s="4" t="n"/>
      <c r="K372" s="4" t="n"/>
      <c r="L372" s="4" t="inlineStr">
        <is>
          <t>Only youth ages 12-15 and hunters with a PTHFV. Not valid on Wall Creek WMA and adjacent lands as posted.</t>
        </is>
      </c>
    </row>
    <row r="373">
      <c r="A373" s="4" t="inlineStr">
        <is>
          <t>323</t>
        </is>
      </c>
      <c r="B373" s="4" t="inlineStr">
        <is>
          <t>elk</t>
        </is>
      </c>
      <c r="C373" s="4" t="inlineStr">
        <is>
          <t>Elk B License: 399-00</t>
        </is>
      </c>
      <c r="D373" s="15" t="inlineStr">
        <is>
          <t>Drawing</t>
        </is>
      </c>
      <c r="E373" s="4" t="inlineStr">
        <is>
          <t>Antlerless Elk</t>
        </is>
      </c>
      <c r="F373" s="4" t="inlineStr">
        <is>
          <t>Sep 05-Oct 18</t>
        </is>
      </c>
      <c r="G373" s="4" t="inlineStr">
        <is>
          <t>Oct 24-Nov 29</t>
        </is>
      </c>
      <c r="H373" s="4" t="inlineStr">
        <is>
          <t>Dec 12-Dec 20</t>
        </is>
      </c>
      <c r="I373" s="4" t="n"/>
      <c r="J373" s="4" t="inlineStr">
        <is>
          <t>Jun 1</t>
        </is>
      </c>
      <c r="K373" s="4" t="inlineStr">
        <is>
          <t>500</t>
        </is>
      </c>
      <c r="L373" s="4" t="inlineStr">
        <is>
          <t>Multi-district license. Valid on Wall Crk WMA and adjacent land as posted. 81 2026 Deer • Elk • Antelope Visit fwp.mt.gov LICENSE/PERMIT OPPORTUNITY APPL Y BY DATE QUOTA QUOTA RANGE EARL Y SEASON DATES ARCHERY ONL Y SEASON DATES GENERAL SEASON DATES HERITAGE MUZZLELOADER SEASON DATES LATE SEASON DAT</t>
        </is>
      </c>
    </row>
    <row r="374">
      <c r="A374" s="4" t="inlineStr">
        <is>
          <t>324</t>
        </is>
      </c>
      <c r="B374" s="4" t="inlineStr">
        <is>
          <t>elk</t>
        </is>
      </c>
      <c r="C374" s="4" t="inlineStr">
        <is>
          <t>General Elk License</t>
        </is>
      </c>
      <c r="D374" s="13" t="inlineStr">
        <is>
          <t>General license</t>
        </is>
      </c>
      <c r="E374" s="4" t="inlineStr">
        <is>
          <t>Brow-tined Bull or Antlerless Elk</t>
        </is>
      </c>
      <c r="F374" s="4" t="inlineStr">
        <is>
          <t>Sep 05-Oct 18</t>
        </is>
      </c>
      <c r="G374" s="4" t="inlineStr">
        <is>
          <t>Oct 24-Nov 29</t>
        </is>
      </c>
      <c r="H374" s="4" t="inlineStr">
        <is>
          <t>Dec 12-Dec 20</t>
        </is>
      </c>
      <c r="I374" s="4" t="n"/>
      <c r="J374" s="4" t="n"/>
      <c r="K374" s="4" t="n"/>
      <c r="L374" s="4" t="n"/>
    </row>
    <row r="375">
      <c r="A375" s="4" t="inlineStr">
        <is>
          <t>324</t>
        </is>
      </c>
      <c r="B375" s="4" t="inlineStr">
        <is>
          <t>elk</t>
        </is>
      </c>
      <c r="C375" s="4" t="inlineStr">
        <is>
          <t>General Elk License</t>
        </is>
      </c>
      <c r="D375" s="13" t="inlineStr">
        <is>
          <t>General license</t>
        </is>
      </c>
      <c r="E375" s="4" t="inlineStr">
        <is>
          <t>Either-sex Elk</t>
        </is>
      </c>
      <c r="F375" s="4" t="inlineStr">
        <is>
          <t>Sep 05-Oct 18</t>
        </is>
      </c>
      <c r="G375" s="4" t="inlineStr">
        <is>
          <t>Oct 24-Nov 29</t>
        </is>
      </c>
      <c r="H375" s="4" t="inlineStr">
        <is>
          <t>Dec 12-Dec 20</t>
        </is>
      </c>
      <c r="I375" s="4" t="n"/>
      <c r="J375" s="4" t="n"/>
      <c r="K375" s="4" t="n"/>
      <c r="L375" s="4" t="inlineStr">
        <is>
          <t>Only youth ages 12-15 and hunters with a PTHFV.</t>
        </is>
      </c>
    </row>
    <row r="376">
      <c r="A376" s="4" t="inlineStr">
        <is>
          <t>324</t>
        </is>
      </c>
      <c r="B376" s="4" t="inlineStr">
        <is>
          <t>elk</t>
        </is>
      </c>
      <c r="C376" s="4" t="inlineStr">
        <is>
          <t>Elk B License: 324-00</t>
        </is>
      </c>
      <c r="D376" s="15" t="inlineStr">
        <is>
          <t>Drawing</t>
        </is>
      </c>
      <c r="E376" s="4" t="inlineStr">
        <is>
          <t>Antlerless Elk</t>
        </is>
      </c>
      <c r="F376" s="4" t="inlineStr">
        <is>
          <t>Sep 05-Oct 18</t>
        </is>
      </c>
      <c r="G376" s="4" t="inlineStr">
        <is>
          <t>Oct 24-Nov 29</t>
        </is>
      </c>
      <c r="H376" s="4" t="inlineStr">
        <is>
          <t>Dec 12-Dec 20</t>
        </is>
      </c>
      <c r="I376" s="4" t="n"/>
      <c r="J376" s="4" t="inlineStr">
        <is>
          <t>Jun 1</t>
        </is>
      </c>
      <c r="K376" s="4" t="inlineStr">
        <is>
          <t>100</t>
        </is>
      </c>
      <c r="L376" s="4" t="inlineStr">
        <is>
          <t>Valid on private land only.</t>
        </is>
      </c>
    </row>
    <row r="377">
      <c r="A377" s="4" t="inlineStr">
        <is>
          <t>329</t>
        </is>
      </c>
      <c r="B377" s="4" t="inlineStr">
        <is>
          <t>elk</t>
        </is>
      </c>
      <c r="C377" s="4" t="inlineStr">
        <is>
          <t>General Elk License</t>
        </is>
      </c>
      <c r="D377" s="13" t="inlineStr">
        <is>
          <t>General license</t>
        </is>
      </c>
      <c r="E377" s="4" t="inlineStr">
        <is>
          <t>Brow-tined Bull or Antlerless Elk</t>
        </is>
      </c>
      <c r="F377" s="4" t="inlineStr">
        <is>
          <t>Sep 05-Oct 18</t>
        </is>
      </c>
      <c r="G377" s="4" t="inlineStr">
        <is>
          <t>Oct 24-Nov 29</t>
        </is>
      </c>
      <c r="H377" s="4" t="inlineStr">
        <is>
          <t>Dec 12-Dec 20</t>
        </is>
      </c>
      <c r="I377" s="4" t="n"/>
      <c r="J377" s="4" t="n"/>
      <c r="K377" s="4" t="n"/>
      <c r="L377" s="4" t="n"/>
    </row>
    <row r="378">
      <c r="A378" s="4" t="inlineStr">
        <is>
          <t>329</t>
        </is>
      </c>
      <c r="B378" s="4" t="inlineStr">
        <is>
          <t>elk</t>
        </is>
      </c>
      <c r="C378" s="4" t="inlineStr">
        <is>
          <t>General Elk License</t>
        </is>
      </c>
      <c r="D378" s="13" t="inlineStr">
        <is>
          <t>General license</t>
        </is>
      </c>
      <c r="E378" s="4" t="inlineStr">
        <is>
          <t>Either-sex Elk</t>
        </is>
      </c>
      <c r="F378" s="4" t="inlineStr">
        <is>
          <t>Sep 05-Oct 18</t>
        </is>
      </c>
      <c r="G378" s="4" t="inlineStr">
        <is>
          <t>Oct 24-Nov 29</t>
        </is>
      </c>
      <c r="H378" s="4" t="inlineStr">
        <is>
          <t>Dec 12-Dec 20</t>
        </is>
      </c>
      <c r="I378" s="4" t="n"/>
      <c r="J378" s="4" t="n"/>
      <c r="K378" s="4" t="n"/>
      <c r="L378" s="4" t="inlineStr">
        <is>
          <t>Only youth ages 12-15 and hunters with a PTHFV.</t>
        </is>
      </c>
    </row>
    <row r="379">
      <c r="A379" s="4" t="inlineStr">
        <is>
          <t>329</t>
        </is>
      </c>
      <c r="B379" s="4" t="inlineStr">
        <is>
          <t>elk</t>
        </is>
      </c>
      <c r="C379" s="4" t="inlineStr">
        <is>
          <t>Elk B License: 399-00</t>
        </is>
      </c>
      <c r="D379" s="15" t="inlineStr">
        <is>
          <t>Drawing</t>
        </is>
      </c>
      <c r="E379" s="4" t="inlineStr">
        <is>
          <t>Antlerless Elk</t>
        </is>
      </c>
      <c r="F379" s="4" t="inlineStr">
        <is>
          <t>Sep 05-Oct 18</t>
        </is>
      </c>
      <c r="G379" s="4" t="inlineStr">
        <is>
          <t>Oct 24-Nov 29</t>
        </is>
      </c>
      <c r="H379" s="4" t="inlineStr">
        <is>
          <t>Dec 12-Dec 20</t>
        </is>
      </c>
      <c r="I379" s="4" t="n"/>
      <c r="J379" s="4" t="inlineStr">
        <is>
          <t>Jun 1</t>
        </is>
      </c>
      <c r="K379" s="4" t="inlineStr">
        <is>
          <t>500</t>
        </is>
      </c>
      <c r="L379" s="4" t="inlineStr">
        <is>
          <t>Multi-district license.</t>
        </is>
      </c>
    </row>
    <row r="380">
      <c r="A380" s="4" t="inlineStr">
        <is>
          <t>331</t>
        </is>
      </c>
      <c r="B380" s="4" t="inlineStr">
        <is>
          <t>elk</t>
        </is>
      </c>
      <c r="C380" s="4" t="inlineStr">
        <is>
          <t>General Elk License</t>
        </is>
      </c>
      <c r="D380" s="13" t="inlineStr">
        <is>
          <t>General license</t>
        </is>
      </c>
      <c r="E380" s="4" t="inlineStr">
        <is>
          <t>Brow-tined Bull or Antlerless Elk</t>
        </is>
      </c>
      <c r="F380" s="4" t="inlineStr">
        <is>
          <t>Sep 05-Oct 18</t>
        </is>
      </c>
      <c r="G380" s="4" t="n"/>
      <c r="H380" s="4" t="n"/>
      <c r="I380" s="4" t="n"/>
      <c r="J380" s="4" t="n"/>
      <c r="K380" s="4" t="n"/>
      <c r="L380" s="4" t="n"/>
    </row>
    <row r="381">
      <c r="A381" s="4" t="inlineStr">
        <is>
          <t>331</t>
        </is>
      </c>
      <c r="B381" s="4" t="inlineStr">
        <is>
          <t>elk</t>
        </is>
      </c>
      <c r="C381" s="4" t="inlineStr">
        <is>
          <t>General Elk License</t>
        </is>
      </c>
      <c r="D381" s="13" t="inlineStr">
        <is>
          <t>General license</t>
        </is>
      </c>
      <c r="E381" s="4" t="inlineStr">
        <is>
          <t>Either-sex Elk</t>
        </is>
      </c>
      <c r="F381" s="4" t="inlineStr">
        <is>
          <t>Sep 05-Oct 18</t>
        </is>
      </c>
      <c r="G381" s="4" t="inlineStr">
        <is>
          <t>Oct 24-Nov 29</t>
        </is>
      </c>
      <c r="H381" s="4" t="inlineStr">
        <is>
          <t>Dec 12-Dec 20</t>
        </is>
      </c>
      <c r="I381" s="4" t="n"/>
      <c r="J381" s="4" t="n"/>
      <c r="K381" s="4" t="n"/>
      <c r="L381" s="4" t="inlineStr">
        <is>
          <t>Only youth ages 12-15 and hunters with a PTHFV. Resident hunters 75 years old and older may harvest an antlerless elk on private land.</t>
        </is>
      </c>
    </row>
    <row r="382">
      <c r="A382" s="4" t="inlineStr">
        <is>
          <t>331</t>
        </is>
      </c>
      <c r="B382" s="4" t="inlineStr">
        <is>
          <t>elk</t>
        </is>
      </c>
      <c r="C382" s="4" t="inlineStr">
        <is>
          <t>General Elk License</t>
        </is>
      </c>
      <c r="D382" s="13" t="inlineStr">
        <is>
          <t>General license</t>
        </is>
      </c>
      <c r="E382" s="4" t="inlineStr">
        <is>
          <t>Antlerless Elk</t>
        </is>
      </c>
      <c r="F382" s="4" t="n"/>
      <c r="G382" s="4" t="inlineStr">
        <is>
          <t>Oct 24-Nov 29</t>
        </is>
      </c>
      <c r="H382" s="4" t="inlineStr">
        <is>
          <t>Dec 12-Dec 20</t>
        </is>
      </c>
      <c r="I382" s="4" t="n"/>
      <c r="J382" s="4" t="n"/>
      <c r="K382" s="4" t="n"/>
      <c r="L382" s="4" t="inlineStr">
        <is>
          <t>Only valid on private land.</t>
        </is>
      </c>
    </row>
    <row r="383">
      <c r="A383" s="4" t="inlineStr">
        <is>
          <t>331</t>
        </is>
      </c>
      <c r="B383" s="4" t="inlineStr">
        <is>
          <t>elk</t>
        </is>
      </c>
      <c r="C383" s="4" t="inlineStr">
        <is>
          <t>General Elk License</t>
        </is>
      </c>
      <c r="D383" s="13" t="inlineStr">
        <is>
          <t>General license</t>
        </is>
      </c>
      <c r="E383" s="4" t="inlineStr">
        <is>
          <t>Brow-tined Bull Elk</t>
        </is>
      </c>
      <c r="F383" s="4" t="n"/>
      <c r="G383" s="4" t="inlineStr">
        <is>
          <t>Oct 24-Nov 29</t>
        </is>
      </c>
      <c r="H383" s="4" t="inlineStr">
        <is>
          <t>Dec 12-Dec 20</t>
        </is>
      </c>
      <c r="I383" s="4" t="n"/>
      <c r="J383" s="4" t="n"/>
      <c r="K383" s="4" t="n"/>
      <c r="L383" s="4" t="n"/>
    </row>
    <row r="384">
      <c r="A384" s="4" t="inlineStr">
        <is>
          <t>331</t>
        </is>
      </c>
      <c r="B384" s="4" t="inlineStr">
        <is>
          <t>elk</t>
        </is>
      </c>
      <c r="C384" s="4" t="inlineStr">
        <is>
          <t>Elk B License: 331-00</t>
        </is>
      </c>
      <c r="D384" s="15" t="inlineStr">
        <is>
          <t>Drawing</t>
        </is>
      </c>
      <c r="E384" s="4" t="inlineStr">
        <is>
          <t>Antlerless Elk</t>
        </is>
      </c>
      <c r="F384" s="4" t="inlineStr">
        <is>
          <t>Sep 05-Oct 18</t>
        </is>
      </c>
      <c r="G384" s="4" t="inlineStr">
        <is>
          <t>Oct 24-Nov 29</t>
        </is>
      </c>
      <c r="H384" s="4" t="inlineStr">
        <is>
          <t>Dec 12-Dec 20</t>
        </is>
      </c>
      <c r="I384" s="4" t="n"/>
      <c r="J384" s="4" t="inlineStr">
        <is>
          <t>Jun 1</t>
        </is>
      </c>
      <c r="K384" s="4" t="inlineStr">
        <is>
          <t>500</t>
        </is>
      </c>
      <c r="L384" s="4" t="n"/>
    </row>
    <row r="385">
      <c r="A385" s="4" t="inlineStr">
        <is>
          <t>335</t>
        </is>
      </c>
      <c r="B385" s="4" t="inlineStr">
        <is>
          <t>elk</t>
        </is>
      </c>
      <c r="C385" s="4" t="inlineStr">
        <is>
          <t>General Elk License</t>
        </is>
      </c>
      <c r="D385" s="13" t="inlineStr">
        <is>
          <t>General license</t>
        </is>
      </c>
      <c r="E385" s="4" t="inlineStr">
        <is>
          <t>Brow-tined Bull or Antlerless Elk</t>
        </is>
      </c>
      <c r="F385" s="4" t="inlineStr">
        <is>
          <t>Sep 05-Oct 18</t>
        </is>
      </c>
      <c r="G385" s="4" t="n"/>
      <c r="H385" s="4" t="n"/>
      <c r="I385" s="4" t="n"/>
      <c r="J385" s="4" t="n"/>
      <c r="K385" s="4" t="n"/>
      <c r="L385" s="4" t="n"/>
    </row>
    <row r="386">
      <c r="A386" s="4" t="inlineStr">
        <is>
          <t>335</t>
        </is>
      </c>
      <c r="B386" s="4" t="inlineStr">
        <is>
          <t>elk</t>
        </is>
      </c>
      <c r="C386" s="4" t="inlineStr">
        <is>
          <t>General Elk License</t>
        </is>
      </c>
      <c r="D386" s="13" t="inlineStr">
        <is>
          <t>General license</t>
        </is>
      </c>
      <c r="E386" s="4" t="inlineStr">
        <is>
          <t>Either-sex Elk</t>
        </is>
      </c>
      <c r="F386" s="4" t="inlineStr">
        <is>
          <t>Sep 05-Oct 18</t>
        </is>
      </c>
      <c r="G386" s="4" t="inlineStr">
        <is>
          <t>Oct 24-Nov 29</t>
        </is>
      </c>
      <c r="H386" s="4" t="inlineStr">
        <is>
          <t>Dec 12-Dec 20</t>
        </is>
      </c>
      <c r="I386" s="4" t="n"/>
      <c r="J386" s="4" t="n"/>
      <c r="K386" s="4" t="n"/>
      <c r="L386" s="4" t="inlineStr">
        <is>
          <t>Only youth ages 12-15 and hunters with a PTHFV.</t>
        </is>
      </c>
    </row>
    <row r="387">
      <c r="A387" s="4" t="inlineStr">
        <is>
          <t>335</t>
        </is>
      </c>
      <c r="B387" s="4" t="inlineStr">
        <is>
          <t>elk</t>
        </is>
      </c>
      <c r="C387" s="4" t="inlineStr">
        <is>
          <t>General Elk License</t>
        </is>
      </c>
      <c r="D387" s="13" t="inlineStr">
        <is>
          <t>General license</t>
        </is>
      </c>
      <c r="E387" s="4" t="inlineStr">
        <is>
          <t>Antlerless Elk</t>
        </is>
      </c>
      <c r="F387" s="4" t="n"/>
      <c r="G387" s="4" t="inlineStr">
        <is>
          <t>Oct 24-Nov 29</t>
        </is>
      </c>
      <c r="H387" s="4" t="inlineStr">
        <is>
          <t>Dec 12-Dec 20</t>
        </is>
      </c>
      <c r="I387" s="4" t="n"/>
      <c r="J387" s="4" t="n"/>
      <c r="K387" s="4" t="n"/>
      <c r="L387" s="4" t="inlineStr">
        <is>
          <t>Not valid on National Forest lands.</t>
        </is>
      </c>
    </row>
    <row r="388">
      <c r="A388" s="4" t="inlineStr">
        <is>
          <t>335</t>
        </is>
      </c>
      <c r="B388" s="4" t="inlineStr">
        <is>
          <t>elk</t>
        </is>
      </c>
      <c r="C388" s="4" t="inlineStr">
        <is>
          <t>General Elk License</t>
        </is>
      </c>
      <c r="D388" s="13" t="inlineStr">
        <is>
          <t>General license</t>
        </is>
      </c>
      <c r="E388" s="4" t="inlineStr">
        <is>
          <t>Brow-tined Bull Elk</t>
        </is>
      </c>
      <c r="F388" s="4" t="n"/>
      <c r="G388" s="4" t="inlineStr">
        <is>
          <t>Oct 24-Nov 29</t>
        </is>
      </c>
      <c r="H388" s="4" t="inlineStr">
        <is>
          <t>Dec 12-Dec 20</t>
        </is>
      </c>
      <c r="I388" s="4" t="n"/>
      <c r="J388" s="4" t="n"/>
      <c r="K388" s="4" t="n"/>
      <c r="L388" s="4" t="n"/>
    </row>
    <row r="389">
      <c r="A389" s="4" t="inlineStr">
        <is>
          <t>335</t>
        </is>
      </c>
      <c r="B389" s="4" t="inlineStr">
        <is>
          <t>elk</t>
        </is>
      </c>
      <c r="C389" s="4" t="inlineStr">
        <is>
          <t>Elk B License: 394-00</t>
        </is>
      </c>
      <c r="D389" s="15" t="inlineStr">
        <is>
          <t>Drawing</t>
        </is>
      </c>
      <c r="E389" s="4" t="inlineStr">
        <is>
          <t>Antlerless Elk</t>
        </is>
      </c>
      <c r="F389" s="4" t="inlineStr">
        <is>
          <t>Sep 05-Oct 18</t>
        </is>
      </c>
      <c r="G389" s="4" t="inlineStr">
        <is>
          <t>Oct 24-Nov 29</t>
        </is>
      </c>
      <c r="H389" s="4" t="inlineStr">
        <is>
          <t>Dec 12-Dec 20</t>
        </is>
      </c>
      <c r="I389" s="4" t="n"/>
      <c r="J389" s="4" t="inlineStr">
        <is>
          <t>Jun 1</t>
        </is>
      </c>
      <c r="K389" s="4" t="inlineStr">
        <is>
          <t>400</t>
        </is>
      </c>
      <c r="L389" s="4" t="inlineStr">
        <is>
          <t>Valid in HDs 318 and 335.</t>
        </is>
      </c>
    </row>
    <row r="390">
      <c r="A390" s="4" t="inlineStr">
        <is>
          <t>339</t>
        </is>
      </c>
      <c r="B390" s="4" t="inlineStr">
        <is>
          <t>elk</t>
        </is>
      </c>
      <c r="C390" s="4" t="inlineStr">
        <is>
          <t>General Elk License</t>
        </is>
      </c>
      <c r="D390" s="13" t="inlineStr">
        <is>
          <t>General license</t>
        </is>
      </c>
      <c r="E390" s="4" t="inlineStr">
        <is>
          <t>Spike Bull or Antlerless Elk</t>
        </is>
      </c>
      <c r="F390" s="4" t="inlineStr">
        <is>
          <t>Sep 05-Oct 18</t>
        </is>
      </c>
      <c r="G390" s="4" t="inlineStr">
        <is>
          <t>Nov 16-Nov 29</t>
        </is>
      </c>
      <c r="H390" s="4" t="inlineStr">
        <is>
          <t>Dec 12-Dec 20</t>
        </is>
      </c>
      <c r="I390" s="4" t="n"/>
      <c r="J390" s="4" t="n"/>
      <c r="K390" s="4" t="n"/>
      <c r="L390" s="4" t="n"/>
    </row>
    <row r="391">
      <c r="A391" s="4" t="inlineStr">
        <is>
          <t>339</t>
        </is>
      </c>
      <c r="B391" s="4" t="inlineStr">
        <is>
          <t>elk</t>
        </is>
      </c>
      <c r="C391" s="4" t="inlineStr">
        <is>
          <t>General Elk License</t>
        </is>
      </c>
      <c r="D391" s="13" t="inlineStr">
        <is>
          <t>General license</t>
        </is>
      </c>
      <c r="E391" s="4" t="inlineStr">
        <is>
          <t>Spike Bull Elk</t>
        </is>
      </c>
      <c r="F391" s="4" t="n"/>
      <c r="G391" s="4" t="inlineStr">
        <is>
          <t>Oct 24-Nov 15</t>
        </is>
      </c>
      <c r="H391" s="4" t="n"/>
      <c r="I391" s="4" t="n"/>
      <c r="J391" s="4" t="n"/>
      <c r="K391" s="4" t="n"/>
      <c r="L391" s="4" t="n"/>
    </row>
    <row r="392">
      <c r="A392" s="4" t="inlineStr">
        <is>
          <t>339</t>
        </is>
      </c>
      <c r="B392" s="4" t="inlineStr">
        <is>
          <t>elk</t>
        </is>
      </c>
      <c r="C392" s="4" t="inlineStr">
        <is>
          <t>General Elk License</t>
        </is>
      </c>
      <c r="D392" s="13" t="inlineStr">
        <is>
          <t>General license</t>
        </is>
      </c>
      <c r="E392" s="4" t="inlineStr">
        <is>
          <t>Spike Bull or Antlerless Elk</t>
        </is>
      </c>
      <c r="F392" s="4" t="n"/>
      <c r="G392" s="4" t="inlineStr">
        <is>
          <t>Oct 24-Nov 29</t>
        </is>
      </c>
      <c r="H392" s="4" t="inlineStr">
        <is>
          <t>Dec 12-Dec 20</t>
        </is>
      </c>
      <c r="I392" s="4" t="n"/>
      <c r="J392" s="4" t="n"/>
      <c r="K392" s="4" t="n"/>
      <c r="L392" s="4" t="inlineStr">
        <is>
          <t>Only youth ages 12-15 and hunters with a PTHFV. Resident hunters 75 years old and older may harvest an antlerless elk on private land.</t>
        </is>
      </c>
    </row>
    <row r="393">
      <c r="A393" s="4" t="inlineStr">
        <is>
          <t>339</t>
        </is>
      </c>
      <c r="B393" s="4" t="inlineStr">
        <is>
          <t>elk</t>
        </is>
      </c>
      <c r="C393" s="4" t="inlineStr">
        <is>
          <t>Elk B License: 396-00</t>
        </is>
      </c>
      <c r="D393" s="15" t="inlineStr">
        <is>
          <t>Drawing</t>
        </is>
      </c>
      <c r="E393" s="4" t="inlineStr">
        <is>
          <t>Antlerless Elk</t>
        </is>
      </c>
      <c r="F393" s="4" t="inlineStr">
        <is>
          <t>Sep 05-Oct 18</t>
        </is>
      </c>
      <c r="G393" s="4" t="inlineStr">
        <is>
          <t>Oct 24-Nov 29</t>
        </is>
      </c>
      <c r="H393" s="4" t="inlineStr">
        <is>
          <t>Dec 12-Dec 20</t>
        </is>
      </c>
      <c r="I393" s="4" t="n"/>
      <c r="J393" s="4" t="inlineStr">
        <is>
          <t>Jun 1</t>
        </is>
      </c>
      <c r="K393" s="4" t="inlineStr">
        <is>
          <t>600</t>
        </is>
      </c>
      <c r="L393" s="4" t="inlineStr">
        <is>
          <t>Valid in HDs 339 and 343.</t>
        </is>
      </c>
    </row>
    <row r="394">
      <c r="A394" s="4" t="inlineStr">
        <is>
          <t>339</t>
        </is>
      </c>
      <c r="B394" s="4" t="inlineStr">
        <is>
          <t>elk</t>
        </is>
      </c>
      <c r="C394" s="4" t="inlineStr">
        <is>
          <t>Elk Permit: 339-20</t>
        </is>
      </c>
      <c r="D394" s="15" t="inlineStr">
        <is>
          <t>Drawing</t>
        </is>
      </c>
      <c r="E394" s="4" t="inlineStr">
        <is>
          <t>Either-sex Elk</t>
        </is>
      </c>
      <c r="F394" s="4" t="inlineStr">
        <is>
          <t>Sep 05-Oct 18</t>
        </is>
      </c>
      <c r="G394" s="4" t="inlineStr">
        <is>
          <t>Oct 24-Nov 29</t>
        </is>
      </c>
      <c r="H394" s="4" t="inlineStr">
        <is>
          <t>Dec 12-Dec 20</t>
        </is>
      </c>
      <c r="I394" s="4" t="n"/>
      <c r="J394" s="4" t="inlineStr">
        <is>
          <t>April 1</t>
        </is>
      </c>
      <c r="K394" s="4" t="inlineStr">
        <is>
          <t>40</t>
        </is>
      </c>
      <c r="L394" s="4" t="inlineStr">
        <is>
          <t>Permit must be used with a valid General Elk License. Holders may not hunt Antlered Elk in any other HD during these described season dates.</t>
        </is>
      </c>
    </row>
    <row r="395">
      <c r="A395" s="4" t="inlineStr">
        <is>
          <t>340</t>
        </is>
      </c>
      <c r="B395" s="4" t="inlineStr">
        <is>
          <t>elk</t>
        </is>
      </c>
      <c r="C395" s="4" t="inlineStr">
        <is>
          <t>General Elk License</t>
        </is>
      </c>
      <c r="D395" s="13" t="inlineStr">
        <is>
          <t>General license</t>
        </is>
      </c>
      <c r="E395" s="4" t="inlineStr">
        <is>
          <t>Brow-tined Bull or Antlerless Elk</t>
        </is>
      </c>
      <c r="F395" s="4" t="inlineStr">
        <is>
          <t>Sep 05-Oct 18</t>
        </is>
      </c>
      <c r="G395" s="4" t="inlineStr">
        <is>
          <t>Oct 24-Nov 08</t>
        </is>
      </c>
      <c r="H395" s="4" t="n"/>
      <c r="I395" s="4" t="n"/>
      <c r="J395" s="4" t="n"/>
      <c r="K395" s="4" t="n"/>
      <c r="L395" s="4" t="n"/>
    </row>
    <row r="396">
      <c r="A396" s="4" t="inlineStr">
        <is>
          <t>340</t>
        </is>
      </c>
      <c r="B396" s="4" t="inlineStr">
        <is>
          <t>elk</t>
        </is>
      </c>
      <c r="C396" s="4" t="inlineStr">
        <is>
          <t>General Elk License</t>
        </is>
      </c>
      <c r="D396" s="13" t="inlineStr">
        <is>
          <t>General license</t>
        </is>
      </c>
      <c r="E396" s="4" t="inlineStr">
        <is>
          <t>Either-sex Elk</t>
        </is>
      </c>
      <c r="F396" s="4" t="inlineStr">
        <is>
          <t>Sep 05-Oct 18</t>
        </is>
      </c>
      <c r="G396" s="4" t="inlineStr">
        <is>
          <t>Oct 24-Nov 29</t>
        </is>
      </c>
      <c r="H396" s="4" t="inlineStr">
        <is>
          <t>Dec 12-Dec 20</t>
        </is>
      </c>
      <c r="I396" s="4" t="n"/>
      <c r="J396" s="4" t="n"/>
      <c r="K396" s="4" t="n"/>
      <c r="L396" s="4" t="inlineStr">
        <is>
          <t>Only youth ages 12-15 and hunters with a PTHFV. Resident hunters 75 years old and older may harvest an antlerless elk on private land.</t>
        </is>
      </c>
    </row>
    <row r="397">
      <c r="A397" s="4" t="inlineStr">
        <is>
          <t>340</t>
        </is>
      </c>
      <c r="B397" s="4" t="inlineStr">
        <is>
          <t>elk</t>
        </is>
      </c>
      <c r="C397" s="4" t="inlineStr">
        <is>
          <t>General Elk License</t>
        </is>
      </c>
      <c r="D397" s="13" t="inlineStr">
        <is>
          <t>General license</t>
        </is>
      </c>
      <c r="E397" s="4" t="inlineStr">
        <is>
          <t>Brow-tined Bull Elk</t>
        </is>
      </c>
      <c r="F397" s="4" t="n"/>
      <c r="G397" s="4" t="inlineStr">
        <is>
          <t>Nov 09-Nov 29</t>
        </is>
      </c>
      <c r="H397" s="4" t="inlineStr">
        <is>
          <t>Dec 12-Dec 20</t>
        </is>
      </c>
      <c r="I397" s="4" t="n"/>
      <c r="J397" s="4" t="n"/>
      <c r="K397" s="4" t="n"/>
      <c r="L397" s="4" t="n"/>
    </row>
    <row r="398">
      <c r="A398" s="4" t="inlineStr">
        <is>
          <t>340</t>
        </is>
      </c>
      <c r="B398" s="4" t="inlineStr">
        <is>
          <t>elk</t>
        </is>
      </c>
      <c r="C398" s="4" t="inlineStr">
        <is>
          <t>Elk B License: 340-00</t>
        </is>
      </c>
      <c r="D398" s="15" t="inlineStr">
        <is>
          <t>Drawing</t>
        </is>
      </c>
      <c r="E398" s="4" t="inlineStr">
        <is>
          <t>Antlerless Elk</t>
        </is>
      </c>
      <c r="F398" s="4" t="inlineStr">
        <is>
          <t>Sep 05-Oct 18</t>
        </is>
      </c>
      <c r="G398" s="4" t="inlineStr">
        <is>
          <t>Oct 24-Nov 29</t>
        </is>
      </c>
      <c r="H398" s="4" t="inlineStr">
        <is>
          <t>Dec 12-Dec 20</t>
        </is>
      </c>
      <c r="I398" s="4" t="n"/>
      <c r="J398" s="4" t="inlineStr">
        <is>
          <t>Jun 1</t>
        </is>
      </c>
      <c r="K398" s="4" t="inlineStr">
        <is>
          <t>400</t>
        </is>
      </c>
      <c r="L398" s="4" t="n"/>
    </row>
    <row r="399">
      <c r="A399" s="4" t="inlineStr">
        <is>
          <t>343</t>
        </is>
      </c>
      <c r="B399" s="4" t="inlineStr">
        <is>
          <t>elk</t>
        </is>
      </c>
      <c r="C399" s="4" t="inlineStr">
        <is>
          <t>General Elk License</t>
        </is>
      </c>
      <c r="D399" s="13" t="inlineStr">
        <is>
          <t>General license</t>
        </is>
      </c>
      <c r="E399" s="4" t="inlineStr">
        <is>
          <t>Brow-tined Bull or Antlerless Elk</t>
        </is>
      </c>
      <c r="F399" s="4" t="inlineStr">
        <is>
          <t>Sep 05-Oct 18</t>
        </is>
      </c>
      <c r="G399" s="4" t="inlineStr">
        <is>
          <t>Nov 16-Nov 29</t>
        </is>
      </c>
      <c r="H399" s="4" t="inlineStr">
        <is>
          <t>Dec 12-Dec 20</t>
        </is>
      </c>
      <c r="I399" s="4" t="n"/>
      <c r="J399" s="4" t="n"/>
      <c r="K399" s="4" t="n"/>
      <c r="L399" s="4" t="n"/>
    </row>
    <row r="400">
      <c r="A400" s="4" t="inlineStr">
        <is>
          <t>343</t>
        </is>
      </c>
      <c r="B400" s="4" t="inlineStr">
        <is>
          <t>elk</t>
        </is>
      </c>
      <c r="C400" s="4" t="inlineStr">
        <is>
          <t>General Elk License</t>
        </is>
      </c>
      <c r="D400" s="13" t="inlineStr">
        <is>
          <t>General license</t>
        </is>
      </c>
      <c r="E400" s="4" t="inlineStr">
        <is>
          <t>Either-sex Elk</t>
        </is>
      </c>
      <c r="F400" s="4" t="inlineStr">
        <is>
          <t>Sep 05-Oct 18</t>
        </is>
      </c>
      <c r="G400" s="4" t="inlineStr">
        <is>
          <t>Oct 24-Nov 29</t>
        </is>
      </c>
      <c r="H400" s="4" t="inlineStr">
        <is>
          <t>Dec 12-Dec 20</t>
        </is>
      </c>
      <c r="I400" s="4" t="n"/>
      <c r="J400" s="4" t="n"/>
      <c r="K400" s="4" t="n"/>
      <c r="L400" s="4" t="inlineStr">
        <is>
          <t>Only youth ages 12-15 and hunters with a PTHFV. Resident hunters 75 years old and older may harvest an antlerless elk on private land.</t>
        </is>
      </c>
    </row>
    <row r="401">
      <c r="A401" s="4" t="inlineStr">
        <is>
          <t>343</t>
        </is>
      </c>
      <c r="B401" s="4" t="inlineStr">
        <is>
          <t>elk</t>
        </is>
      </c>
      <c r="C401" s="4" t="inlineStr">
        <is>
          <t>General Elk License</t>
        </is>
      </c>
      <c r="D401" s="13" t="inlineStr">
        <is>
          <t>General license</t>
        </is>
      </c>
      <c r="E401" s="4" t="inlineStr">
        <is>
          <t>Brow-tined Bull Elk</t>
        </is>
      </c>
      <c r="F401" s="4" t="n"/>
      <c r="G401" s="4" t="inlineStr">
        <is>
          <t>Oct 24-Nov 15</t>
        </is>
      </c>
      <c r="H401" s="4" t="n"/>
      <c r="I401" s="4" t="n"/>
      <c r="J401" s="4" t="n"/>
      <c r="K401" s="4" t="n"/>
      <c r="L401" s="4" t="n"/>
    </row>
    <row r="402">
      <c r="A402" s="4" t="inlineStr">
        <is>
          <t>343</t>
        </is>
      </c>
      <c r="B402" s="4" t="inlineStr">
        <is>
          <t>elk</t>
        </is>
      </c>
      <c r="C402" s="4" t="inlineStr">
        <is>
          <t>Elk B License: 396-00</t>
        </is>
      </c>
      <c r="D402" s="15" t="inlineStr">
        <is>
          <t>Drawing</t>
        </is>
      </c>
      <c r="E402" s="4" t="inlineStr">
        <is>
          <t>Antlerless Elk</t>
        </is>
      </c>
      <c r="F402" s="4" t="inlineStr">
        <is>
          <t>Sep 05-Oct 18</t>
        </is>
      </c>
      <c r="G402" s="4" t="inlineStr">
        <is>
          <t>Oct 24-Nov 29</t>
        </is>
      </c>
      <c r="H402" s="4" t="inlineStr">
        <is>
          <t>Dec 12-Dec 20</t>
        </is>
      </c>
      <c r="I402" s="4" t="n"/>
      <c r="J402" s="4" t="inlineStr">
        <is>
          <t>Jun 1</t>
        </is>
      </c>
      <c r="K402" s="4" t="inlineStr">
        <is>
          <t>600</t>
        </is>
      </c>
      <c r="L402" s="4" t="inlineStr">
        <is>
          <t>Valid in HDs 339 and 343.</t>
        </is>
      </c>
    </row>
    <row r="403">
      <c r="A403" s="4" t="inlineStr">
        <is>
          <t>350</t>
        </is>
      </c>
      <c r="B403" s="4" t="inlineStr">
        <is>
          <t>elk</t>
        </is>
      </c>
      <c r="C403" s="4" t="inlineStr">
        <is>
          <t>General Elk License</t>
        </is>
      </c>
      <c r="D403" s="13" t="inlineStr">
        <is>
          <t>General license</t>
        </is>
      </c>
      <c r="E403" s="4" t="inlineStr">
        <is>
          <t>Brow-tined Bull or Antlerless Elk</t>
        </is>
      </c>
      <c r="F403" s="4" t="inlineStr">
        <is>
          <t>Sep 05-Oct 18</t>
        </is>
      </c>
      <c r="G403" s="4" t="n"/>
      <c r="H403" s="4" t="n"/>
      <c r="I403" s="4" t="n"/>
      <c r="J403" s="4" t="n"/>
      <c r="K403" s="4" t="n"/>
      <c r="L403" s="4" t="n"/>
    </row>
    <row r="404">
      <c r="A404" s="4" t="inlineStr">
        <is>
          <t>350</t>
        </is>
      </c>
      <c r="B404" s="4" t="inlineStr">
        <is>
          <t>elk</t>
        </is>
      </c>
      <c r="C404" s="4" t="inlineStr">
        <is>
          <t>General Elk License</t>
        </is>
      </c>
      <c r="D404" s="13" t="inlineStr">
        <is>
          <t>General license</t>
        </is>
      </c>
      <c r="E404" s="4" t="inlineStr">
        <is>
          <t>Either-sex Elk</t>
        </is>
      </c>
      <c r="F404" s="4" t="inlineStr">
        <is>
          <t>Sep 05-Oct 18</t>
        </is>
      </c>
      <c r="G404" s="4" t="inlineStr">
        <is>
          <t>Oct 24-Nov 29</t>
        </is>
      </c>
      <c r="H404" s="4" t="inlineStr">
        <is>
          <t>Dec 12-Dec 20</t>
        </is>
      </c>
      <c r="I404" s="4" t="n"/>
      <c r="J404" s="4" t="n"/>
      <c r="K404" s="4" t="n"/>
      <c r="L404" s="4" t="inlineStr">
        <is>
          <t>Only youth ages 12-15 and hunters with a PTHFV. Resident hunters 75 years old and older may harvest an antlerless elk on private land.</t>
        </is>
      </c>
    </row>
    <row r="405">
      <c r="A405" s="4" t="inlineStr">
        <is>
          <t>350</t>
        </is>
      </c>
      <c r="B405" s="4" t="inlineStr">
        <is>
          <t>elk</t>
        </is>
      </c>
      <c r="C405" s="4" t="inlineStr">
        <is>
          <t>General Elk License</t>
        </is>
      </c>
      <c r="D405" s="13" t="inlineStr">
        <is>
          <t>General license</t>
        </is>
      </c>
      <c r="E405" s="4" t="inlineStr">
        <is>
          <t>Brow-tined Bull Elk</t>
        </is>
      </c>
      <c r="F405" s="4" t="n"/>
      <c r="G405" s="4" t="inlineStr">
        <is>
          <t>Oct 24-Nov 29</t>
        </is>
      </c>
      <c r="H405" s="4" t="inlineStr">
        <is>
          <t>Dec 12-Dec 20</t>
        </is>
      </c>
      <c r="I405" s="4" t="n"/>
      <c r="J405" s="4" t="n"/>
      <c r="K405" s="4" t="n"/>
      <c r="L405" s="4" t="n"/>
    </row>
    <row r="406">
      <c r="A406" s="4" t="inlineStr">
        <is>
          <t>350</t>
        </is>
      </c>
      <c r="B406" s="4" t="inlineStr">
        <is>
          <t>elk</t>
        </is>
      </c>
      <c r="C406" s="4" t="inlineStr">
        <is>
          <t>Elk B License: 350-02</t>
        </is>
      </c>
      <c r="D406" s="15" t="inlineStr">
        <is>
          <t>Drawing</t>
        </is>
      </c>
      <c r="E406" s="4" t="inlineStr">
        <is>
          <t>Antlerless Elk</t>
        </is>
      </c>
      <c r="F406" s="4" t="inlineStr">
        <is>
          <t>Sep 05-Oct 18</t>
        </is>
      </c>
      <c r="G406" s="4" t="inlineStr">
        <is>
          <t>Oct 24-Nov 29</t>
        </is>
      </c>
      <c r="H406" s="4" t="inlineStr">
        <is>
          <t>Dec 12-Dec 20</t>
        </is>
      </c>
      <c r="I406" s="4" t="n"/>
      <c r="J406" s="4" t="inlineStr">
        <is>
          <t>Jun 1</t>
        </is>
      </c>
      <c r="K406" s="4" t="inlineStr">
        <is>
          <t>50</t>
        </is>
      </c>
      <c r="L406" s="4" t="n"/>
    </row>
    <row r="407">
      <c r="A407" s="4" t="inlineStr">
        <is>
          <t>360</t>
        </is>
      </c>
      <c r="B407" s="4" t="inlineStr">
        <is>
          <t>elk</t>
        </is>
      </c>
      <c r="C407" s="4" t="inlineStr">
        <is>
          <t>General Elk License</t>
        </is>
      </c>
      <c r="D407" s="13" t="inlineStr">
        <is>
          <t>General license</t>
        </is>
      </c>
      <c r="E407" s="4" t="inlineStr">
        <is>
          <t>Brow-tined Bull or Antlerless Elk</t>
        </is>
      </c>
      <c r="F407" s="4" t="inlineStr">
        <is>
          <t>Sep 05-Oct 18</t>
        </is>
      </c>
      <c r="G407" s="4" t="inlineStr">
        <is>
          <t>Oct 24-Nov 29</t>
        </is>
      </c>
      <c r="H407" s="4" t="inlineStr">
        <is>
          <t>Dec 12-Dec 20</t>
        </is>
      </c>
      <c r="I407" s="4" t="n"/>
      <c r="J407" s="4" t="n"/>
      <c r="K407" s="4" t="n"/>
      <c r="L407" s="4" t="n"/>
    </row>
    <row r="408">
      <c r="A408" s="4" t="inlineStr">
        <is>
          <t>360</t>
        </is>
      </c>
      <c r="B408" s="4" t="inlineStr">
        <is>
          <t>elk</t>
        </is>
      </c>
      <c r="C408" s="4" t="inlineStr">
        <is>
          <t>General Elk License</t>
        </is>
      </c>
      <c r="D408" s="13" t="inlineStr">
        <is>
          <t>General license</t>
        </is>
      </c>
      <c r="E408" s="4" t="inlineStr">
        <is>
          <t>Either-sex Elk</t>
        </is>
      </c>
      <c r="F408" s="4" t="inlineStr">
        <is>
          <t>Sep 05-Oct 18</t>
        </is>
      </c>
      <c r="G408" s="4" t="inlineStr">
        <is>
          <t>Oct 24-Nov 29</t>
        </is>
      </c>
      <c r="H408" s="4" t="inlineStr">
        <is>
          <t>Dec 12-Dec 20</t>
        </is>
      </c>
      <c r="I408" s="4" t="n"/>
      <c r="J408" s="4" t="n"/>
      <c r="K408" s="4" t="n"/>
      <c r="L408" s="4" t="inlineStr">
        <is>
          <t>Only youth ages 12-15 and hunters with a PTHFV.</t>
        </is>
      </c>
    </row>
    <row r="409">
      <c r="A409" s="4" t="inlineStr">
        <is>
          <t>360</t>
        </is>
      </c>
      <c r="B409" s="4" t="inlineStr">
        <is>
          <t>elk</t>
        </is>
      </c>
      <c r="C409" s="4" t="inlineStr">
        <is>
          <t>Elk B License: 360-00</t>
        </is>
      </c>
      <c r="D409" s="4" t="inlineStr">
        <is>
          <t>Over the counter</t>
        </is>
      </c>
      <c r="E409" s="4" t="inlineStr">
        <is>
          <t>Antlerless Elk</t>
        </is>
      </c>
      <c r="F409" s="4" t="inlineStr">
        <is>
          <t>Sep 05-Oct 18</t>
        </is>
      </c>
      <c r="G409" s="4" t="inlineStr">
        <is>
          <t>Oct 24-Nov 29</t>
        </is>
      </c>
      <c r="H409" s="4" t="inlineStr">
        <is>
          <t>Dec 12-Dec 20</t>
        </is>
      </c>
      <c r="I409" s="4" t="n"/>
      <c r="J409" s="4" t="inlineStr">
        <is>
          <t>OTC: Jun 15</t>
        </is>
      </c>
      <c r="K409" s="4" t="inlineStr">
        <is>
          <t>UNL</t>
        </is>
      </c>
      <c r="L409" s="4" t="inlineStr">
        <is>
          <t>Not valid on National Forest.</t>
        </is>
      </c>
    </row>
    <row r="410">
      <c r="A410" s="4" t="inlineStr">
        <is>
          <t>360</t>
        </is>
      </c>
      <c r="B410" s="4" t="inlineStr">
        <is>
          <t>elk</t>
        </is>
      </c>
      <c r="C410" s="4" t="inlineStr">
        <is>
          <t>Elk B License: 360-01</t>
        </is>
      </c>
      <c r="D410" s="15" t="inlineStr">
        <is>
          <t>Drawing</t>
        </is>
      </c>
      <c r="E410" s="4" t="inlineStr">
        <is>
          <t>Antlerless Elk</t>
        </is>
      </c>
      <c r="F410" s="4" t="inlineStr">
        <is>
          <t>Sep 05-Oct 18</t>
        </is>
      </c>
      <c r="G410" s="4" t="inlineStr">
        <is>
          <t>Oct 24-Nov 29</t>
        </is>
      </c>
      <c r="H410" s="4" t="inlineStr">
        <is>
          <t>Dec 12-Dec 20</t>
        </is>
      </c>
      <c r="I410" s="4" t="n"/>
      <c r="J410" s="4" t="inlineStr">
        <is>
          <t>Jun 1</t>
        </is>
      </c>
      <c r="K410" s="4" t="inlineStr">
        <is>
          <t>250</t>
        </is>
      </c>
      <c r="L410" s="4" t="inlineStr">
        <is>
          <t>85 2026 Deer • Elk • Antelope Visit fwp.mt.gov LICENSE/PERMIT OPPORTUNITY APPL Y BY DATE QUOTA QUOTA RANGE EARL Y SEASON DATES ARCHERY ONL Y SEASON DATES GENERAL SEASON DATES HERITAGE MUZZLELOADER SEASON DATES LATE SEASON DATES OPPORTUNITY SPECIFIC DETAILS AND/ORRESTRICTIONS</t>
        </is>
      </c>
    </row>
    <row r="411">
      <c r="A411" s="4" t="inlineStr">
        <is>
          <t>361</t>
        </is>
      </c>
      <c r="B411" s="4" t="inlineStr">
        <is>
          <t>elk</t>
        </is>
      </c>
      <c r="C411" s="4" t="inlineStr">
        <is>
          <t>General Elk License</t>
        </is>
      </c>
      <c r="D411" s="13" t="inlineStr">
        <is>
          <t>General license</t>
        </is>
      </c>
      <c r="E411" s="4" t="inlineStr">
        <is>
          <t>Brow-tined Bull or Antlerless Elk</t>
        </is>
      </c>
      <c r="F411" s="4" t="inlineStr">
        <is>
          <t>Sep 05-Oct 18</t>
        </is>
      </c>
      <c r="G411" s="4" t="n"/>
      <c r="H411" s="4" t="n"/>
      <c r="I411" s="4" t="n"/>
      <c r="J411" s="4" t="n"/>
      <c r="K411" s="4" t="n"/>
      <c r="L411" s="4" t="n"/>
    </row>
    <row r="412">
      <c r="A412" s="4" t="inlineStr">
        <is>
          <t>361</t>
        </is>
      </c>
      <c r="B412" s="4" t="inlineStr">
        <is>
          <t>elk</t>
        </is>
      </c>
      <c r="C412" s="4" t="inlineStr">
        <is>
          <t>General Elk License</t>
        </is>
      </c>
      <c r="D412" s="13" t="inlineStr">
        <is>
          <t>General license</t>
        </is>
      </c>
      <c r="E412" s="4" t="inlineStr">
        <is>
          <t>Either-sex Elk</t>
        </is>
      </c>
      <c r="F412" s="4" t="inlineStr">
        <is>
          <t>Sep 05-Oct 18</t>
        </is>
      </c>
      <c r="G412" s="4" t="inlineStr">
        <is>
          <t>Oct 24-Nov 29</t>
        </is>
      </c>
      <c r="H412" s="4" t="inlineStr">
        <is>
          <t>Dec 12-Dec 20</t>
        </is>
      </c>
      <c r="I412" s="4" t="n"/>
      <c r="J412" s="4" t="n"/>
      <c r="K412" s="4" t="n"/>
      <c r="L412" s="4" t="inlineStr">
        <is>
          <t>Only youth ages 12-15 and hunters with a PTHFV. Resident hunters 75 years old and older may harvest an antlerless elk on private land.</t>
        </is>
      </c>
    </row>
    <row r="413">
      <c r="A413" s="4" t="inlineStr">
        <is>
          <t>361</t>
        </is>
      </c>
      <c r="B413" s="4" t="inlineStr">
        <is>
          <t>elk</t>
        </is>
      </c>
      <c r="C413" s="4" t="inlineStr">
        <is>
          <t>General Elk License</t>
        </is>
      </c>
      <c r="D413" s="13" t="inlineStr">
        <is>
          <t>General license</t>
        </is>
      </c>
      <c r="E413" s="4" t="inlineStr">
        <is>
          <t>Brow-tined Bull Elk</t>
        </is>
      </c>
      <c r="F413" s="4" t="n"/>
      <c r="G413" s="4" t="inlineStr">
        <is>
          <t>Oct 24-Nov 29</t>
        </is>
      </c>
      <c r="H413" s="4" t="inlineStr">
        <is>
          <t>Dec 12-Dec 20</t>
        </is>
      </c>
      <c r="I413" s="4" t="n"/>
      <c r="J413" s="4" t="n"/>
      <c r="K413" s="4" t="n"/>
      <c r="L413" s="4" t="n"/>
    </row>
    <row r="414">
      <c r="A414" s="4" t="inlineStr">
        <is>
          <t>361</t>
        </is>
      </c>
      <c r="B414" s="4" t="inlineStr">
        <is>
          <t>elk</t>
        </is>
      </c>
      <c r="C414" s="4" t="inlineStr">
        <is>
          <t>Elk B License: 361-00</t>
        </is>
      </c>
      <c r="D414" s="15" t="inlineStr">
        <is>
          <t>Drawing</t>
        </is>
      </c>
      <c r="E414" s="4" t="inlineStr">
        <is>
          <t>Antlerless Elk</t>
        </is>
      </c>
      <c r="F414" s="4" t="inlineStr">
        <is>
          <t>Sep 05-Oct 18</t>
        </is>
      </c>
      <c r="G414" s="4" t="inlineStr">
        <is>
          <t>Oct 24-Nov 29</t>
        </is>
      </c>
      <c r="H414" s="4" t="inlineStr">
        <is>
          <t>Dec 12-Dec 20</t>
        </is>
      </c>
      <c r="I414" s="4" t="n"/>
      <c r="J414" s="4" t="inlineStr">
        <is>
          <t>Jun 1</t>
        </is>
      </c>
      <c r="K414" s="4" t="inlineStr">
        <is>
          <t>50</t>
        </is>
      </c>
      <c r="L414" s="4" t="n"/>
    </row>
    <row r="415">
      <c r="A415" s="4" t="inlineStr">
        <is>
          <t>370</t>
        </is>
      </c>
      <c r="B415" s="4" t="inlineStr">
        <is>
          <t>elk</t>
        </is>
      </c>
      <c r="C415" s="4" t="inlineStr">
        <is>
          <t>General Elk License</t>
        </is>
      </c>
      <c r="D415" s="13" t="inlineStr">
        <is>
          <t>General license</t>
        </is>
      </c>
      <c r="E415" s="4" t="inlineStr">
        <is>
          <t>Brow-tined Bull or Antlerless Elk</t>
        </is>
      </c>
      <c r="F415" s="4" t="inlineStr">
        <is>
          <t>Sep 05-Oct 18</t>
        </is>
      </c>
      <c r="G415" s="4" t="inlineStr">
        <is>
          <t>Oct 24-Nov 29</t>
        </is>
      </c>
      <c r="H415" s="4" t="inlineStr">
        <is>
          <t>Dec 12-Dec 20</t>
        </is>
      </c>
      <c r="I415" s="4" t="n"/>
      <c r="J415" s="4" t="n"/>
      <c r="K415" s="4" t="n"/>
      <c r="L415" s="4" t="n"/>
    </row>
    <row r="416">
      <c r="A416" s="4" t="inlineStr">
        <is>
          <t>370</t>
        </is>
      </c>
      <c r="B416" s="4" t="inlineStr">
        <is>
          <t>elk</t>
        </is>
      </c>
      <c r="C416" s="4" t="inlineStr">
        <is>
          <t>General Elk License</t>
        </is>
      </c>
      <c r="D416" s="13" t="inlineStr">
        <is>
          <t>General license</t>
        </is>
      </c>
      <c r="E416" s="4" t="inlineStr">
        <is>
          <t>Either-sex Elk</t>
        </is>
      </c>
      <c r="F416" s="4" t="inlineStr">
        <is>
          <t>Sep 05-Oct 18</t>
        </is>
      </c>
      <c r="G416" s="4" t="inlineStr">
        <is>
          <t>Oct 24-Nov 29</t>
        </is>
      </c>
      <c r="H416" s="4" t="inlineStr">
        <is>
          <t>Dec 12-Dec 20</t>
        </is>
      </c>
      <c r="I416" s="4" t="n"/>
      <c r="J416" s="4" t="n"/>
      <c r="K416" s="4" t="n"/>
      <c r="L416" s="4" t="inlineStr">
        <is>
          <t>Only youth ages 12-15 and hunters with a PTHFV.</t>
        </is>
      </c>
    </row>
    <row r="417">
      <c r="A417" s="4" t="inlineStr">
        <is>
          <t>370</t>
        </is>
      </c>
      <c r="B417" s="4" t="inlineStr">
        <is>
          <t>elk</t>
        </is>
      </c>
      <c r="C417" s="4" t="inlineStr">
        <is>
          <t>Elk B License: 370-02</t>
        </is>
      </c>
      <c r="D417" s="15" t="inlineStr">
        <is>
          <t>Drawing</t>
        </is>
      </c>
      <c r="E417" s="4" t="inlineStr">
        <is>
          <t>Antlerless Elk</t>
        </is>
      </c>
      <c r="F417" s="4" t="inlineStr">
        <is>
          <t>Sep 05-Oct 18</t>
        </is>
      </c>
      <c r="G417" s="4" t="inlineStr">
        <is>
          <t>Oct 24-Nov 29</t>
        </is>
      </c>
      <c r="H417" s="4" t="inlineStr">
        <is>
          <t>Dec 12-Dec 20</t>
        </is>
      </c>
      <c r="I417" s="4" t="n"/>
      <c r="J417" s="4" t="inlineStr">
        <is>
          <t>Jun 1</t>
        </is>
      </c>
      <c r="K417" s="4" t="inlineStr">
        <is>
          <t>100</t>
        </is>
      </c>
      <c r="L417" s="4" t="inlineStr">
        <is>
          <t>LICENSE/PERMIT OPPORTUNITY APPL Y BY DATE QUOTA QUOTA RANGE EARL Y SEASON DATES ARCHERY ONL Y SEASON DATES GENERAL SEASON DATES HERITAGE MUZZLELOADER SEASON DATES LATE SEASON DATES OPPORTUNITY SPECIFIC DETAILS AND/ORRESTRICTIONS</t>
        </is>
      </c>
    </row>
    <row r="418">
      <c r="A418" s="4" t="inlineStr">
        <is>
          <t>380</t>
        </is>
      </c>
      <c r="B418" s="4" t="inlineStr">
        <is>
          <t>elk</t>
        </is>
      </c>
      <c r="C418" s="4" t="inlineStr">
        <is>
          <t>General Elk License</t>
        </is>
      </c>
      <c r="D418" s="13" t="inlineStr">
        <is>
          <t>General license</t>
        </is>
      </c>
      <c r="E418" s="4" t="inlineStr">
        <is>
          <t>Spike Bull or Antlerless Elk</t>
        </is>
      </c>
      <c r="F418" s="4" t="inlineStr">
        <is>
          <t>Sep 05-Oct 18</t>
        </is>
      </c>
      <c r="G418" s="4" t="n"/>
      <c r="H418" s="4" t="n"/>
      <c r="I418" s="4" t="n"/>
      <c r="J418" s="4" t="n"/>
      <c r="K418" s="4" t="n"/>
      <c r="L418" s="4" t="n"/>
    </row>
    <row r="419">
      <c r="A419" s="4" t="inlineStr">
        <is>
          <t>380</t>
        </is>
      </c>
      <c r="B419" s="4" t="inlineStr">
        <is>
          <t>elk</t>
        </is>
      </c>
      <c r="C419" s="4" t="inlineStr">
        <is>
          <t>General Elk License</t>
        </is>
      </c>
      <c r="D419" s="13" t="inlineStr">
        <is>
          <t>General license</t>
        </is>
      </c>
      <c r="E419" s="4" t="inlineStr">
        <is>
          <t>Spike Bull Elk</t>
        </is>
      </c>
      <c r="F419" s="4" t="n"/>
      <c r="G419" s="4" t="inlineStr">
        <is>
          <t>Oct 24-Nov 29</t>
        </is>
      </c>
      <c r="H419" s="4" t="inlineStr">
        <is>
          <t>Dec 12-Dec 20</t>
        </is>
      </c>
      <c r="I419" s="4" t="n"/>
      <c r="J419" s="4" t="n"/>
      <c r="K419" s="4" t="n"/>
      <c r="L419" s="4" t="n"/>
    </row>
    <row r="420">
      <c r="A420" s="4" t="inlineStr">
        <is>
          <t>380</t>
        </is>
      </c>
      <c r="B420" s="4" t="inlineStr">
        <is>
          <t>elk</t>
        </is>
      </c>
      <c r="C420" s="4" t="inlineStr">
        <is>
          <t>General Elk License</t>
        </is>
      </c>
      <c r="D420" s="13" t="inlineStr">
        <is>
          <t>General license</t>
        </is>
      </c>
      <c r="E420" s="4" t="inlineStr">
        <is>
          <t>Spike Bull or Antlerless Elk</t>
        </is>
      </c>
      <c r="F420" s="4" t="n"/>
      <c r="G420" s="4" t="inlineStr">
        <is>
          <t>Oct 24-Nov 15</t>
        </is>
      </c>
      <c r="H420" s="4" t="n"/>
      <c r="I420" s="4" t="n"/>
      <c r="J420" s="4" t="n"/>
      <c r="K420" s="4" t="n"/>
      <c r="L420" s="4" t="inlineStr">
        <is>
          <t>Only youth ages 12-15 and hunters with a PTHFV. Resident hunters 75 years old and older may harvest an antlerless elk on private land.</t>
        </is>
      </c>
    </row>
    <row r="421">
      <c r="A421" s="4" t="inlineStr">
        <is>
          <t>380</t>
        </is>
      </c>
      <c r="B421" s="4" t="inlineStr">
        <is>
          <t>elk</t>
        </is>
      </c>
      <c r="C421" s="4" t="inlineStr">
        <is>
          <t>Elk B License: 380-00</t>
        </is>
      </c>
      <c r="D421" s="15" t="inlineStr">
        <is>
          <t>Drawing</t>
        </is>
      </c>
      <c r="E421" s="4" t="inlineStr">
        <is>
          <t>Antlerless Elk</t>
        </is>
      </c>
      <c r="F421" s="4" t="inlineStr">
        <is>
          <t>Sep 05-Oct 18</t>
        </is>
      </c>
      <c r="G421" s="4" t="inlineStr">
        <is>
          <t>Oct 24-Nov 29</t>
        </is>
      </c>
      <c r="H421" s="4" t="inlineStr">
        <is>
          <t>Dec 12-Dec 20</t>
        </is>
      </c>
      <c r="I421" s="4" t="n"/>
      <c r="J421" s="4" t="inlineStr">
        <is>
          <t>Jun 1</t>
        </is>
      </c>
      <c r="K421" s="4" t="inlineStr">
        <is>
          <t>325</t>
        </is>
      </c>
      <c r="L421" s="4" t="inlineStr">
        <is>
          <t>License not valid on National Forest lands and not valid of National Forest lands west of U.S. Hwy 12/287 between Indian Creek and Beaver Creek. License valid in the rest of the HD.</t>
        </is>
      </c>
    </row>
    <row r="422">
      <c r="A422" s="4" t="inlineStr">
        <is>
          <t>380</t>
        </is>
      </c>
      <c r="B422" s="4" t="inlineStr">
        <is>
          <t>elk</t>
        </is>
      </c>
      <c r="C422" s="4" t="inlineStr">
        <is>
          <t>Elk B License: 397-00</t>
        </is>
      </c>
      <c r="D422" s="4" t="inlineStr">
        <is>
          <t>Over the counter</t>
        </is>
      </c>
      <c r="E422" s="4" t="inlineStr">
        <is>
          <t>Antlerless Elk</t>
        </is>
      </c>
      <c r="F422" s="4" t="n"/>
      <c r="G422" s="4" t="n"/>
      <c r="H422" s="4" t="n"/>
      <c r="I422" s="4" t="inlineStr">
        <is>
          <t>Nov 30-Feb 15</t>
        </is>
      </c>
      <c r="J422" s="4" t="inlineStr">
        <is>
          <t>OTC: Jun 15</t>
        </is>
      </c>
      <c r="K422" s="4" t="inlineStr">
        <is>
          <t>UNL</t>
        </is>
      </c>
      <c r="L422" s="4" t="inlineStr">
        <is>
          <t>One per hunter, multi-district license. In HD 380 only valid in the area bounded by (between) U.S. Hwy 287, Price Rd/Old Boulder Rd, and the Lone Mtn Rd.</t>
        </is>
      </c>
    </row>
    <row r="423">
      <c r="A423" s="4" t="inlineStr">
        <is>
          <t>380</t>
        </is>
      </c>
      <c r="B423" s="4" t="inlineStr">
        <is>
          <t>elk</t>
        </is>
      </c>
      <c r="C423" s="4" t="inlineStr">
        <is>
          <t>Elk Permit: 380-20</t>
        </is>
      </c>
      <c r="D423" s="15" t="inlineStr">
        <is>
          <t>Drawing</t>
        </is>
      </c>
      <c r="E423" s="4" t="inlineStr">
        <is>
          <t>Either-sex Elk</t>
        </is>
      </c>
      <c r="F423" s="4" t="inlineStr">
        <is>
          <t>Sep 05-Oct 18</t>
        </is>
      </c>
      <c r="G423" s="4" t="inlineStr">
        <is>
          <t>Oct 24-Nov 29</t>
        </is>
      </c>
      <c r="H423" s="4" t="inlineStr">
        <is>
          <t>Dec 12-Dec 20</t>
        </is>
      </c>
      <c r="I423" s="4" t="n"/>
      <c r="J423" s="4" t="inlineStr">
        <is>
          <t>April 1</t>
        </is>
      </c>
      <c r="K423" s="4" t="inlineStr">
        <is>
          <t>100</t>
        </is>
      </c>
      <c r="L423" s="4" t="inlineStr">
        <is>
          <t>Permit must be used with a valid General Elk License. Holders may not hunt Antlered Elk in any other HD during these described season dates. 87 2026 Deer • Elk • Antelope Visit fwp.mt.gov LICENSE/PERMIT OPPORTUNITY APPL Y BY DATE QUOTA QUOTA RANGE EARL Y SEASON DATES ARCHERY ONL Y SEASON DATES GENER</t>
        </is>
      </c>
    </row>
    <row r="424">
      <c r="A424" s="4" t="inlineStr">
        <is>
          <t>388</t>
        </is>
      </c>
      <c r="B424" s="4" t="inlineStr">
        <is>
          <t>elk</t>
        </is>
      </c>
      <c r="C424" s="4" t="inlineStr">
        <is>
          <t>General Elk License</t>
        </is>
      </c>
      <c r="D424" s="13" t="inlineStr">
        <is>
          <t>General license</t>
        </is>
      </c>
      <c r="E424" s="4" t="inlineStr">
        <is>
          <t>Spike Bull or Antlerless Elk</t>
        </is>
      </c>
      <c r="F424" s="4" t="inlineStr">
        <is>
          <t>Sep 05-Oct 18</t>
        </is>
      </c>
      <c r="G424" s="4" t="inlineStr">
        <is>
          <t>Oct 24-Nov 29</t>
        </is>
      </c>
      <c r="H424" s="4" t="inlineStr">
        <is>
          <t>Dec 12-Dec 20</t>
        </is>
      </c>
      <c r="I424" s="4" t="n"/>
      <c r="J424" s="4" t="n"/>
      <c r="K424" s="4" t="n"/>
      <c r="L424" s="4" t="inlineStr">
        <is>
          <t>Outside Weapons Restriction Area. ELK Inside the Weapons Restriction Area</t>
        </is>
      </c>
    </row>
    <row r="425">
      <c r="A425" s="4" t="inlineStr">
        <is>
          <t>388</t>
        </is>
      </c>
      <c r="B425" s="4" t="inlineStr">
        <is>
          <t>elk</t>
        </is>
      </c>
      <c r="C425" s="4" t="inlineStr">
        <is>
          <t>General Elk License</t>
        </is>
      </c>
      <c r="D425" s="13" t="inlineStr">
        <is>
          <t>General license</t>
        </is>
      </c>
      <c r="E425" s="4" t="inlineStr">
        <is>
          <t>Spike Bull or Antlerless Elk</t>
        </is>
      </c>
      <c r="F425" s="4" t="n"/>
      <c r="G425" s="4" t="inlineStr">
        <is>
          <t>Aug 15-Jan 31</t>
        </is>
      </c>
      <c r="H425" s="4" t="inlineStr">
        <is>
          <t>Dec 12-Dec 20</t>
        </is>
      </c>
      <c r="I425" s="4" t="n"/>
      <c r="J425" s="4" t="n"/>
      <c r="K425" s="4" t="n"/>
      <c r="L425" s="4" t="inlineStr">
        <is>
          <t>Weapons Restriction Area.</t>
        </is>
      </c>
    </row>
    <row r="426">
      <c r="A426" s="4" t="inlineStr">
        <is>
          <t>390</t>
        </is>
      </c>
      <c r="B426" s="4" t="inlineStr">
        <is>
          <t>elk</t>
        </is>
      </c>
      <c r="C426" s="4" t="inlineStr">
        <is>
          <t>General Elk License</t>
        </is>
      </c>
      <c r="D426" s="13" t="inlineStr">
        <is>
          <t>General license</t>
        </is>
      </c>
      <c r="E426" s="4" t="inlineStr">
        <is>
          <t>Brow-tined Bull or Antlerless Elk</t>
        </is>
      </c>
      <c r="F426" s="4" t="inlineStr">
        <is>
          <t>Sep 05-Oct 18</t>
        </is>
      </c>
      <c r="G426" s="4" t="inlineStr">
        <is>
          <t>Oct 24-Nov 29</t>
        </is>
      </c>
      <c r="H426" s="4" t="inlineStr">
        <is>
          <t>Dec 12-Dec 20</t>
        </is>
      </c>
      <c r="I426" s="4" t="n"/>
      <c r="J426" s="4" t="n"/>
      <c r="K426" s="4" t="n"/>
      <c r="L426" s="4" t="n"/>
    </row>
    <row r="427">
      <c r="A427" s="4" t="inlineStr">
        <is>
          <t>390</t>
        </is>
      </c>
      <c r="B427" s="4" t="inlineStr">
        <is>
          <t>elk</t>
        </is>
      </c>
      <c r="C427" s="4" t="inlineStr">
        <is>
          <t>General Elk License</t>
        </is>
      </c>
      <c r="D427" s="13" t="inlineStr">
        <is>
          <t>General license</t>
        </is>
      </c>
      <c r="E427" s="4" t="inlineStr">
        <is>
          <t>Either-sex Elk</t>
        </is>
      </c>
      <c r="F427" s="4" t="inlineStr">
        <is>
          <t>Sep 05-Oct 18</t>
        </is>
      </c>
      <c r="G427" s="4" t="inlineStr">
        <is>
          <t>Oct 24-Nov 29</t>
        </is>
      </c>
      <c r="H427" s="4" t="inlineStr">
        <is>
          <t>Dec 12-Dec 20</t>
        </is>
      </c>
      <c r="I427" s="4" t="n"/>
      <c r="J427" s="4" t="n"/>
      <c r="K427" s="4" t="n"/>
      <c r="L427" s="4" t="inlineStr">
        <is>
          <t>Only youth ages 12-15 and hunters with a PTHFV.</t>
        </is>
      </c>
    </row>
    <row r="428">
      <c r="A428" s="4" t="inlineStr">
        <is>
          <t>390</t>
        </is>
      </c>
      <c r="B428" s="4" t="inlineStr">
        <is>
          <t>elk</t>
        </is>
      </c>
      <c r="C428" s="4" t="inlineStr">
        <is>
          <t>General Elk License</t>
        </is>
      </c>
      <c r="D428" s="13" t="inlineStr">
        <is>
          <t>General license</t>
        </is>
      </c>
      <c r="E428" s="4" t="inlineStr">
        <is>
          <t>Antlerless Elk</t>
        </is>
      </c>
      <c r="F428" s="4" t="n"/>
      <c r="G428" s="4" t="n"/>
      <c r="H428" s="4" t="n"/>
      <c r="I428" s="4" t="inlineStr">
        <is>
          <t>Nov 30-Feb 15</t>
        </is>
      </c>
      <c r="J428" s="4" t="n"/>
      <c r="K428" s="4" t="n"/>
      <c r="L428" s="4" t="inlineStr">
        <is>
          <t>Not Valid on National Forest Lands.</t>
        </is>
      </c>
    </row>
    <row r="429">
      <c r="A429" s="4" t="inlineStr">
        <is>
          <t>390</t>
        </is>
      </c>
      <c r="B429" s="4" t="inlineStr">
        <is>
          <t>elk</t>
        </is>
      </c>
      <c r="C429" s="4" t="inlineStr">
        <is>
          <t>Elk B License: 397-00</t>
        </is>
      </c>
      <c r="D429" s="4" t="inlineStr">
        <is>
          <t>Over the counter</t>
        </is>
      </c>
      <c r="E429" s="4" t="inlineStr">
        <is>
          <t>Antlerless Elk</t>
        </is>
      </c>
      <c r="F429" s="4" t="n"/>
      <c r="G429" s="4" t="n"/>
      <c r="H429" s="4" t="n"/>
      <c r="I429" s="4" t="n"/>
      <c r="J429" s="4" t="inlineStr">
        <is>
          <t>OTC: Jun 15</t>
        </is>
      </c>
      <c r="K429" s="4" t="inlineStr">
        <is>
          <t>UNL</t>
        </is>
      </c>
      <c r="L429" s="4" t="inlineStr">
        <is>
          <t>One per hunter, multi-district license. In HD 390, only valid on private land. One per hunter, multi-district license. In HD 390, not valid on National Forest Lands. LICENSE/PERMIT OPPORTUNITY APPL Y BY DATE QUOTA QUOTA RANGE EARL Y SEASON DATES ARCHERY ONL Y SEASON DATES GENERAL SEASON DATES HERITA</t>
        </is>
      </c>
    </row>
    <row r="430">
      <c r="A430" s="4" t="inlineStr">
        <is>
          <t>391</t>
        </is>
      </c>
      <c r="B430" s="4" t="inlineStr">
        <is>
          <t>elk</t>
        </is>
      </c>
      <c r="C430" s="4" t="inlineStr">
        <is>
          <t>General Elk License</t>
        </is>
      </c>
      <c r="D430" s="13" t="inlineStr">
        <is>
          <t>General license</t>
        </is>
      </c>
      <c r="E430" s="4" t="inlineStr">
        <is>
          <t>Brow-tined Bull or Antlerless Elk</t>
        </is>
      </c>
      <c r="F430" s="4" t="inlineStr">
        <is>
          <t>Sep 05-Oct 18</t>
        </is>
      </c>
      <c r="G430" s="4" t="n"/>
      <c r="H430" s="4" t="n"/>
      <c r="I430" s="4" t="n"/>
      <c r="J430" s="4" t="n"/>
      <c r="K430" s="4" t="n"/>
      <c r="L430" s="4" t="n"/>
    </row>
    <row r="431">
      <c r="A431" s="4" t="inlineStr">
        <is>
          <t>391</t>
        </is>
      </c>
      <c r="B431" s="4" t="inlineStr">
        <is>
          <t>elk</t>
        </is>
      </c>
      <c r="C431" s="4" t="inlineStr">
        <is>
          <t>General Elk License</t>
        </is>
      </c>
      <c r="D431" s="13" t="inlineStr">
        <is>
          <t>General license</t>
        </is>
      </c>
      <c r="E431" s="4" t="inlineStr">
        <is>
          <t>Antlerless Elk</t>
        </is>
      </c>
      <c r="F431" s="4" t="n"/>
      <c r="G431" s="4" t="inlineStr">
        <is>
          <t>Oct 24-Nov 29</t>
        </is>
      </c>
      <c r="H431" s="4" t="inlineStr">
        <is>
          <t>Dec 12-Dec 20</t>
        </is>
      </c>
      <c r="I431" s="4" t="n"/>
      <c r="J431" s="4" t="n"/>
      <c r="K431" s="4" t="n"/>
      <c r="L431" s="4" t="inlineStr">
        <is>
          <t>Not valid on National Forest Lands.</t>
        </is>
      </c>
    </row>
    <row r="432">
      <c r="A432" s="4" t="inlineStr">
        <is>
          <t>391</t>
        </is>
      </c>
      <c r="B432" s="4" t="inlineStr">
        <is>
          <t>elk</t>
        </is>
      </c>
      <c r="C432" s="4" t="inlineStr">
        <is>
          <t>General Elk License</t>
        </is>
      </c>
      <c r="D432" s="13" t="inlineStr">
        <is>
          <t>General license</t>
        </is>
      </c>
      <c r="E432" s="4" t="inlineStr">
        <is>
          <t>Brow-tined Bull Elk</t>
        </is>
      </c>
      <c r="F432" s="4" t="n"/>
      <c r="G432" s="4" t="inlineStr">
        <is>
          <t>Oct 24-Nov 29</t>
        </is>
      </c>
      <c r="H432" s="4" t="inlineStr">
        <is>
          <t>Dec 12-Dec 20</t>
        </is>
      </c>
      <c r="I432" s="4" t="n"/>
      <c r="J432" s="4" t="n"/>
      <c r="K432" s="4" t="n"/>
      <c r="L432" s="4" t="n"/>
    </row>
    <row r="433">
      <c r="A433" s="4" t="inlineStr">
        <is>
          <t>391</t>
        </is>
      </c>
      <c r="B433" s="4" t="inlineStr">
        <is>
          <t>elk</t>
        </is>
      </c>
      <c r="C433" s="4" t="inlineStr">
        <is>
          <t>General Elk License</t>
        </is>
      </c>
      <c r="D433" s="13" t="inlineStr">
        <is>
          <t>General license</t>
        </is>
      </c>
      <c r="E433" s="4" t="inlineStr">
        <is>
          <t>Antlerless Elk</t>
        </is>
      </c>
      <c r="F433" s="4" t="n"/>
      <c r="G433" s="4" t="n"/>
      <c r="H433" s="4" t="n"/>
      <c r="I433" s="4" t="inlineStr">
        <is>
          <t>Nov 30-Feb 15</t>
        </is>
      </c>
      <c r="J433" s="4" t="n"/>
      <c r="K433" s="4" t="n"/>
      <c r="L433" s="4" t="inlineStr">
        <is>
          <t>Only valid south of Duck Creek. Not valid on National Forest Lands.</t>
        </is>
      </c>
    </row>
    <row r="434">
      <c r="A434" s="4" t="inlineStr">
        <is>
          <t>391</t>
        </is>
      </c>
      <c r="B434" s="4" t="inlineStr">
        <is>
          <t>elk</t>
        </is>
      </c>
      <c r="C434" s="4" t="inlineStr">
        <is>
          <t>Elk B License: 391-00</t>
        </is>
      </c>
      <c r="D434" s="15" t="inlineStr">
        <is>
          <t>Drawing</t>
        </is>
      </c>
      <c r="E434" s="4" t="inlineStr">
        <is>
          <t>Antlerless Elk</t>
        </is>
      </c>
      <c r="F434" s="4" t="inlineStr">
        <is>
          <t>Sep 05-Oct 18</t>
        </is>
      </c>
      <c r="G434" s="4" t="inlineStr">
        <is>
          <t>Oct 24-Nov 29</t>
        </is>
      </c>
      <c r="H434" s="4" t="inlineStr">
        <is>
          <t>Dec 12-Dec 20</t>
        </is>
      </c>
      <c r="I434" s="4" t="n"/>
      <c r="J434" s="4" t="inlineStr">
        <is>
          <t>Jun 1</t>
        </is>
      </c>
      <c r="K434" s="4" t="inlineStr">
        <is>
          <t>175</t>
        </is>
      </c>
      <c r="L434" s="4" t="inlineStr">
        <is>
          <t>Not Valid on National Forest Lands.</t>
        </is>
      </c>
    </row>
    <row r="435">
      <c r="A435" s="4" t="inlineStr">
        <is>
          <t>391</t>
        </is>
      </c>
      <c r="B435" s="4" t="inlineStr">
        <is>
          <t>elk</t>
        </is>
      </c>
      <c r="C435" s="4" t="inlineStr">
        <is>
          <t>Elk B License: 397-00</t>
        </is>
      </c>
      <c r="D435" s="4" t="inlineStr">
        <is>
          <t>Over the counter</t>
        </is>
      </c>
      <c r="E435" s="4" t="inlineStr">
        <is>
          <t>Antlerless Elk</t>
        </is>
      </c>
      <c r="F435" s="4" t="inlineStr">
        <is>
          <t>Sep 05-Oct 18</t>
        </is>
      </c>
      <c r="G435" s="4" t="inlineStr">
        <is>
          <t>Oct 24-Nov 29</t>
        </is>
      </c>
      <c r="H435" s="4" t="n"/>
      <c r="I435" s="4" t="inlineStr">
        <is>
          <t>Nov 30-Feb 15</t>
        </is>
      </c>
      <c r="J435" s="4" t="inlineStr">
        <is>
          <t>OTC: Jun 15</t>
        </is>
      </c>
      <c r="K435" s="4" t="inlineStr">
        <is>
          <t>UNL</t>
        </is>
      </c>
      <c r="L435" s="4" t="inlineStr">
        <is>
          <t>One per hunter. Multi-district license. In HD 391, only valid south of Duck Creek. Not valid on National Forest Lands.</t>
        </is>
      </c>
    </row>
    <row r="436">
      <c r="A436" s="4" t="inlineStr">
        <is>
          <t>392</t>
        </is>
      </c>
      <c r="B436" s="4" t="inlineStr">
        <is>
          <t>elk</t>
        </is>
      </c>
      <c r="C436" s="4" t="inlineStr">
        <is>
          <t>General Elk License</t>
        </is>
      </c>
      <c r="D436" s="13" t="inlineStr">
        <is>
          <t>General license</t>
        </is>
      </c>
      <c r="E436" s="4" t="inlineStr">
        <is>
          <t>Brow-tined Bull or Antlerless Elk</t>
        </is>
      </c>
      <c r="F436" s="4" t="inlineStr">
        <is>
          <t>Sep 05-Oct 18</t>
        </is>
      </c>
      <c r="G436" s="4" t="n"/>
      <c r="H436" s="4" t="n"/>
      <c r="I436" s="4" t="n"/>
      <c r="J436" s="4" t="n"/>
      <c r="K436" s="4" t="n"/>
      <c r="L436" s="4" t="n"/>
    </row>
    <row r="437">
      <c r="A437" s="4" t="inlineStr">
        <is>
          <t>392</t>
        </is>
      </c>
      <c r="B437" s="4" t="inlineStr">
        <is>
          <t>elk</t>
        </is>
      </c>
      <c r="C437" s="4" t="inlineStr">
        <is>
          <t>General Elk License</t>
        </is>
      </c>
      <c r="D437" s="13" t="inlineStr">
        <is>
          <t>General license</t>
        </is>
      </c>
      <c r="E437" s="4" t="inlineStr">
        <is>
          <t>Brow-tined Bull Elk</t>
        </is>
      </c>
      <c r="F437" s="4" t="n"/>
      <c r="G437" s="4" t="inlineStr">
        <is>
          <t>Oct 24-Nov 29</t>
        </is>
      </c>
      <c r="H437" s="4" t="inlineStr">
        <is>
          <t>Dec 12-Dec 20</t>
        </is>
      </c>
      <c r="I437" s="4" t="n"/>
      <c r="J437" s="4" t="n"/>
      <c r="K437" s="4" t="n"/>
      <c r="L437" s="4" t="n"/>
    </row>
    <row r="438">
      <c r="A438" s="4" t="inlineStr">
        <is>
          <t>392</t>
        </is>
      </c>
      <c r="B438" s="4" t="inlineStr">
        <is>
          <t>elk</t>
        </is>
      </c>
      <c r="C438" s="4" t="inlineStr">
        <is>
          <t>Elk B License: 392-00</t>
        </is>
      </c>
      <c r="D438" s="15" t="inlineStr">
        <is>
          <t>Drawing</t>
        </is>
      </c>
      <c r="E438" s="4" t="inlineStr">
        <is>
          <t>Antlerless Elk</t>
        </is>
      </c>
      <c r="F438" s="4" t="inlineStr">
        <is>
          <t>Sep 05-Oct 18</t>
        </is>
      </c>
      <c r="G438" s="4" t="inlineStr">
        <is>
          <t>Oct 24-Nov 29</t>
        </is>
      </c>
      <c r="H438" s="4" t="inlineStr">
        <is>
          <t>Dec 12-Dec 20</t>
        </is>
      </c>
      <c r="I438" s="4" t="n"/>
      <c r="J438" s="4" t="inlineStr">
        <is>
          <t>Jun 1</t>
        </is>
      </c>
      <c r="K438" s="4" t="inlineStr">
        <is>
          <t>25</t>
        </is>
      </c>
      <c r="L438" s="4" t="inlineStr">
        <is>
          <t>89 2026 Deer • Elk • Antelope Visit fwp.mt.gov LICENSE/PERMIT OPPORTUNITY APPL Y BY DATE QUOTA QUOTA RANGE EARL Y SEASON DATES ARCHERY ONL Y SEASON DATES GENERAL SEASON DATES HERITAGE MUZZLELOADER SEASON DATES LATE SEASON DATES OPPORTUNITY SPECIFIC DETAILS AND/ORRESTRICTIONS</t>
        </is>
      </c>
    </row>
    <row r="439">
      <c r="A439" s="4" t="inlineStr">
        <is>
          <t>393</t>
        </is>
      </c>
      <c r="B439" s="4" t="inlineStr">
        <is>
          <t>elk</t>
        </is>
      </c>
      <c r="C439" s="4" t="inlineStr">
        <is>
          <t>General Elk License</t>
        </is>
      </c>
      <c r="D439" s="13" t="inlineStr">
        <is>
          <t>General license</t>
        </is>
      </c>
      <c r="E439" s="4" t="inlineStr">
        <is>
          <t>Brow-tined Bull or Antlerless Elk</t>
        </is>
      </c>
      <c r="F439" s="4" t="inlineStr">
        <is>
          <t>Sep 05-Oct 18</t>
        </is>
      </c>
      <c r="G439" s="4" t="inlineStr">
        <is>
          <t>Oct 24-Nov 29</t>
        </is>
      </c>
      <c r="H439" s="4" t="inlineStr">
        <is>
          <t>Dec 12-Dec 20</t>
        </is>
      </c>
      <c r="I439" s="4" t="n"/>
      <c r="J439" s="4" t="n"/>
      <c r="K439" s="4" t="n"/>
      <c r="L439" s="4" t="n"/>
    </row>
    <row r="440">
      <c r="A440" s="4" t="inlineStr">
        <is>
          <t>393</t>
        </is>
      </c>
      <c r="B440" s="4" t="inlineStr">
        <is>
          <t>elk</t>
        </is>
      </c>
      <c r="C440" s="4" t="inlineStr">
        <is>
          <t>General Elk License</t>
        </is>
      </c>
      <c r="D440" s="13" t="inlineStr">
        <is>
          <t>General license</t>
        </is>
      </c>
      <c r="E440" s="4" t="inlineStr">
        <is>
          <t>Either-sex Elk</t>
        </is>
      </c>
      <c r="F440" s="4" t="inlineStr">
        <is>
          <t>Sep 05-Oct 18</t>
        </is>
      </c>
      <c r="G440" s="4" t="inlineStr">
        <is>
          <t>Oct 24-Nov 29</t>
        </is>
      </c>
      <c r="H440" s="4" t="inlineStr">
        <is>
          <t>Dec 12-Dec 20</t>
        </is>
      </c>
      <c r="I440" s="4" t="n"/>
      <c r="J440" s="4" t="n"/>
      <c r="K440" s="4" t="n"/>
      <c r="L440" s="4" t="inlineStr">
        <is>
          <t>Only youth ages 12-15 and hunters with a PTHFV.</t>
        </is>
      </c>
    </row>
    <row r="441">
      <c r="A441" s="4" t="inlineStr">
        <is>
          <t>393</t>
        </is>
      </c>
      <c r="B441" s="4" t="inlineStr">
        <is>
          <t>elk</t>
        </is>
      </c>
      <c r="C441" s="4" t="inlineStr">
        <is>
          <t>General Elk License</t>
        </is>
      </c>
      <c r="D441" s="13" t="inlineStr">
        <is>
          <t>General license</t>
        </is>
      </c>
      <c r="E441" s="4" t="inlineStr">
        <is>
          <t>Antlerless Elk</t>
        </is>
      </c>
      <c r="F441" s="4" t="n"/>
      <c r="G441" s="4" t="n"/>
      <c r="H441" s="4" t="n"/>
      <c r="I441" s="4" t="inlineStr">
        <is>
          <t>Nov 30-Feb 15</t>
        </is>
      </c>
      <c r="J441" s="4" t="n"/>
      <c r="K441" s="4" t="n"/>
      <c r="L441" s="4" t="inlineStr">
        <is>
          <t>Not Valid on National Forest Lands.</t>
        </is>
      </c>
    </row>
    <row r="442">
      <c r="A442" s="4" t="inlineStr">
        <is>
          <t>393</t>
        </is>
      </c>
      <c r="B442" s="4" t="inlineStr">
        <is>
          <t>elk</t>
        </is>
      </c>
      <c r="C442" s="4" t="inlineStr">
        <is>
          <t>Elk B License: 397-00</t>
        </is>
      </c>
      <c r="D442" s="4" t="inlineStr">
        <is>
          <t>Over the counter</t>
        </is>
      </c>
      <c r="E442" s="4" t="inlineStr">
        <is>
          <t>Antlerless Elk</t>
        </is>
      </c>
      <c r="F442" s="4" t="n"/>
      <c r="G442" s="4" t="n"/>
      <c r="H442" s="4" t="n"/>
      <c r="I442" s="4" t="n"/>
      <c r="J442" s="4" t="inlineStr">
        <is>
          <t>OTC: Jun 15</t>
        </is>
      </c>
      <c r="K442" s="4" t="inlineStr">
        <is>
          <t>UNL</t>
        </is>
      </c>
      <c r="L442" s="4" t="inlineStr">
        <is>
          <t>One per hunter. Multi-district license. Only valid on private lands. One per hunter. Multi-district license. Not valid on National Forest Lands. Region</t>
        </is>
      </c>
    </row>
    <row r="443">
      <c r="A443" s="4" t="inlineStr">
        <is>
          <t>400</t>
        </is>
      </c>
      <c r="B443" s="4" t="inlineStr">
        <is>
          <t>elk</t>
        </is>
      </c>
      <c r="C443" s="4" t="inlineStr">
        <is>
          <t>General Elk License</t>
        </is>
      </c>
      <c r="D443" s="13" t="inlineStr">
        <is>
          <t>General license</t>
        </is>
      </c>
      <c r="E443" s="4" t="inlineStr">
        <is>
          <t>Either-sex Elk</t>
        </is>
      </c>
      <c r="F443" s="4" t="inlineStr">
        <is>
          <t>Sep 05-Oct 18</t>
        </is>
      </c>
      <c r="G443" s="4" t="inlineStr">
        <is>
          <t>Oct 24-Nov 29</t>
        </is>
      </c>
      <c r="H443" s="4" t="inlineStr">
        <is>
          <t>Dec 12-Dec 20</t>
        </is>
      </c>
      <c r="I443" s="4" t="n"/>
      <c r="J443" s="4" t="n"/>
      <c r="K443" s="4" t="n"/>
      <c r="L443" s="4" t="n"/>
    </row>
    <row r="444">
      <c r="A444" s="4" t="inlineStr">
        <is>
          <t>400</t>
        </is>
      </c>
      <c r="B444" s="4" t="inlineStr">
        <is>
          <t>elk</t>
        </is>
      </c>
      <c r="C444" s="4" t="inlineStr">
        <is>
          <t>Elk B License: 004-00</t>
        </is>
      </c>
      <c r="D444" s="4" t="inlineStr">
        <is>
          <t>Over the counter</t>
        </is>
      </c>
      <c r="E444" s="4" t="inlineStr">
        <is>
          <t>Antlerless Elk</t>
        </is>
      </c>
      <c r="F444" s="4" t="inlineStr">
        <is>
          <t>Sep 05-Oct 18</t>
        </is>
      </c>
      <c r="G444" s="4" t="inlineStr">
        <is>
          <t>Oct 24-Nov 29</t>
        </is>
      </c>
      <c r="H444" s="4" t="inlineStr">
        <is>
          <t>Dec 12-Dec 20</t>
        </is>
      </c>
      <c r="I444" s="4" t="n"/>
      <c r="J444" s="4" t="inlineStr">
        <is>
          <t>OTC: Jun 15</t>
        </is>
      </c>
      <c r="K444" s="4" t="inlineStr">
        <is>
          <t>UNL</t>
        </is>
      </c>
      <c r="L444" s="4" t="inlineStr">
        <is>
          <t>Not valid on National Forest lands, FWP WMAs, or CMR Refuge. Valid in all Region 4 HDs except HDs 410 and 455 as listed under each HD. LICENSE/PERMIT OPPORTUNITY APPL Y BY DATE QUOTA QUOTA RANGE EARL Y SEASON DATES ARCHERY ONL Y SEASON DATES GENERAL SEASON DATES HERITAGE MUZZLELOADER SEASON DATES LA</t>
        </is>
      </c>
    </row>
    <row r="445">
      <c r="A445" s="4" t="inlineStr">
        <is>
          <t>401</t>
        </is>
      </c>
      <c r="B445" s="4" t="inlineStr">
        <is>
          <t>elk</t>
        </is>
      </c>
      <c r="C445" s="4" t="inlineStr">
        <is>
          <t>General Elk License</t>
        </is>
      </c>
      <c r="D445" s="13" t="inlineStr">
        <is>
          <t>General license</t>
        </is>
      </c>
      <c r="E445" s="4" t="inlineStr">
        <is>
          <t>Either-sex Elk</t>
        </is>
      </c>
      <c r="F445" s="4" t="inlineStr">
        <is>
          <t>Sep 05-Oct 18</t>
        </is>
      </c>
      <c r="G445" s="4" t="n"/>
      <c r="H445" s="4" t="n"/>
      <c r="I445" s="4" t="n"/>
      <c r="J445" s="4" t="n"/>
      <c r="K445" s="4" t="n"/>
      <c r="L445" s="4" t="n"/>
    </row>
    <row r="446">
      <c r="A446" s="4" t="inlineStr">
        <is>
          <t>401</t>
        </is>
      </c>
      <c r="B446" s="4" t="inlineStr">
        <is>
          <t>elk</t>
        </is>
      </c>
      <c r="C446" s="4" t="inlineStr">
        <is>
          <t>General Elk License</t>
        </is>
      </c>
      <c r="D446" s="13" t="inlineStr">
        <is>
          <t>General license</t>
        </is>
      </c>
      <c r="E446" s="4" t="inlineStr">
        <is>
          <t>Antlerless Elk</t>
        </is>
      </c>
      <c r="F446" s="4" t="n"/>
      <c r="G446" s="4" t="inlineStr">
        <is>
          <t>Oct 24-Nov 29</t>
        </is>
      </c>
      <c r="H446" s="4" t="inlineStr">
        <is>
          <t>Dec 12-Dec 20</t>
        </is>
      </c>
      <c r="I446" s="4" t="n"/>
      <c r="J446" s="4" t="n"/>
      <c r="K446" s="4" t="n"/>
      <c r="L446" s="4" t="n"/>
    </row>
    <row r="447">
      <c r="A447" s="4" t="inlineStr">
        <is>
          <t>401</t>
        </is>
      </c>
      <c r="B447" s="4" t="inlineStr">
        <is>
          <t>elk</t>
        </is>
      </c>
      <c r="C447" s="4" t="inlineStr">
        <is>
          <t>Elk B License: 004-00</t>
        </is>
      </c>
      <c r="D447" s="4" t="inlineStr">
        <is>
          <t>Over the counter</t>
        </is>
      </c>
      <c r="E447" s="4" t="inlineStr">
        <is>
          <t>Antlerless Elk</t>
        </is>
      </c>
      <c r="F447" s="4" t="inlineStr">
        <is>
          <t>Sep 05-Oct 18</t>
        </is>
      </c>
      <c r="G447" s="4" t="inlineStr">
        <is>
          <t>Oct 24-Nov 29</t>
        </is>
      </c>
      <c r="H447" s="4" t="inlineStr">
        <is>
          <t>Dec 12-Dec 20</t>
        </is>
      </c>
      <c r="I447" s="4" t="n"/>
      <c r="J447" s="4" t="inlineStr">
        <is>
          <t>OTC: Jun 15</t>
        </is>
      </c>
      <c r="K447" s="4" t="inlineStr">
        <is>
          <t>UNL</t>
        </is>
      </c>
      <c r="L447" s="4" t="inlineStr">
        <is>
          <t>Not valid on National Forest lands, FWP WMAs, or CMR Refuge. Valid in all Region 4 HDs except HDs 410 and 455 as listed under each HD.</t>
        </is>
      </c>
    </row>
    <row r="448">
      <c r="A448" s="4" t="inlineStr">
        <is>
          <t>401</t>
        </is>
      </c>
      <c r="B448" s="4" t="inlineStr">
        <is>
          <t>elk</t>
        </is>
      </c>
      <c r="C448" s="4" t="inlineStr">
        <is>
          <t>Elk Permit: 401-20</t>
        </is>
      </c>
      <c r="D448" s="15" t="inlineStr">
        <is>
          <t>Drawing</t>
        </is>
      </c>
      <c r="E448" s="4" t="inlineStr">
        <is>
          <t>Either-sex Elk</t>
        </is>
      </c>
      <c r="F448" s="4" t="inlineStr">
        <is>
          <t>Sep 05-Oct 18</t>
        </is>
      </c>
      <c r="G448" s="4" t="inlineStr">
        <is>
          <t>Oct 24-Nov 29</t>
        </is>
      </c>
      <c r="H448" s="4" t="inlineStr">
        <is>
          <t>Dec 12-Dec 20</t>
        </is>
      </c>
      <c r="I448" s="4" t="n"/>
      <c r="J448" s="4" t="inlineStr">
        <is>
          <t>April 1</t>
        </is>
      </c>
      <c r="K448" s="4" t="inlineStr">
        <is>
          <t>50</t>
        </is>
      </c>
      <c r="L448" s="4" t="inlineStr">
        <is>
          <t>Permit must be used with a valid General Elk License. Holders may not hunt Antlered Elk in any other HD during these described season dates.</t>
        </is>
      </c>
    </row>
    <row r="449">
      <c r="A449" s="4" t="inlineStr">
        <is>
          <t>403</t>
        </is>
      </c>
      <c r="B449" s="4" t="inlineStr">
        <is>
          <t>elk</t>
        </is>
      </c>
      <c r="C449" s="4" t="inlineStr">
        <is>
          <t>General Elk License</t>
        </is>
      </c>
      <c r="D449" s="13" t="inlineStr">
        <is>
          <t>General license</t>
        </is>
      </c>
      <c r="E449" s="4" t="inlineStr">
        <is>
          <t>Either-sex Elk</t>
        </is>
      </c>
      <c r="F449" s="4" t="inlineStr">
        <is>
          <t>Sep 05-Oct 18</t>
        </is>
      </c>
      <c r="G449" s="4" t="inlineStr">
        <is>
          <t>Oct 24-Nov 29</t>
        </is>
      </c>
      <c r="H449" s="4" t="inlineStr">
        <is>
          <t>Dec 12-Dec 20</t>
        </is>
      </c>
      <c r="I449" s="4" t="n"/>
      <c r="J449" s="4" t="n"/>
      <c r="K449" s="4" t="n"/>
      <c r="L449" s="4" t="n"/>
    </row>
    <row r="450">
      <c r="A450" s="4" t="inlineStr">
        <is>
          <t>403</t>
        </is>
      </c>
      <c r="B450" s="4" t="inlineStr">
        <is>
          <t>elk</t>
        </is>
      </c>
      <c r="C450" s="4" t="inlineStr">
        <is>
          <t>Elk B License: 004-00</t>
        </is>
      </c>
      <c r="D450" s="4" t="inlineStr">
        <is>
          <t>Over the counter</t>
        </is>
      </c>
      <c r="E450" s="4" t="inlineStr">
        <is>
          <t>Antlerless Elk</t>
        </is>
      </c>
      <c r="F450" s="4" t="inlineStr">
        <is>
          <t>Sep 05-Oct 18</t>
        </is>
      </c>
      <c r="G450" s="4" t="inlineStr">
        <is>
          <t>Oct 24-Nov 29</t>
        </is>
      </c>
      <c r="H450" s="4" t="inlineStr">
        <is>
          <t>Dec 12-Dec 20</t>
        </is>
      </c>
      <c r="I450" s="4" t="n"/>
      <c r="J450" s="4" t="inlineStr">
        <is>
          <t>OTC: Jun 15</t>
        </is>
      </c>
      <c r="K450" s="4" t="inlineStr">
        <is>
          <t>UNL</t>
        </is>
      </c>
      <c r="L450" s="4" t="inlineStr">
        <is>
          <t>Not valid on National Forest lands, FWP WMAs, or CMR Refuge. Valid in all Region 4 HDs except HDs 410 and 455 as listed under each HD. 91 2026 Deer • Elk • Antelope Visit fwp.mt.gov LICENSE/PERMIT OPPORTUNITY APPL Y BY DATE QUOTA QUOTA RANGE EARL Y SEASON DATES ARCHERY ONL Y SEASON DATES GENERAL SEA</t>
        </is>
      </c>
    </row>
    <row r="451">
      <c r="A451" s="4" t="inlineStr">
        <is>
          <t>404</t>
        </is>
      </c>
      <c r="B451" s="4" t="inlineStr">
        <is>
          <t>elk</t>
        </is>
      </c>
      <c r="C451" s="4" t="inlineStr">
        <is>
          <t>General Elk License</t>
        </is>
      </c>
      <c r="D451" s="13" t="inlineStr">
        <is>
          <t>General license</t>
        </is>
      </c>
      <c r="E451" s="4" t="inlineStr">
        <is>
          <t>Either-sex Elk</t>
        </is>
      </c>
      <c r="F451" s="4" t="inlineStr">
        <is>
          <t>Sep 05-Oct 18</t>
        </is>
      </c>
      <c r="G451" s="4" t="inlineStr">
        <is>
          <t>Oct 24-Nov 29</t>
        </is>
      </c>
      <c r="H451" s="4" t="inlineStr">
        <is>
          <t>Dec 12-Dec 20</t>
        </is>
      </c>
      <c r="I451" s="4" t="n"/>
      <c r="J451" s="4" t="n"/>
      <c r="K451" s="4" t="n"/>
      <c r="L451" s="4" t="n"/>
    </row>
    <row r="452">
      <c r="A452" s="4" t="inlineStr">
        <is>
          <t>404</t>
        </is>
      </c>
      <c r="B452" s="4" t="inlineStr">
        <is>
          <t>elk</t>
        </is>
      </c>
      <c r="C452" s="4" t="inlineStr">
        <is>
          <t>Elk B License: 004-00</t>
        </is>
      </c>
      <c r="D452" s="4" t="inlineStr">
        <is>
          <t>Over the counter</t>
        </is>
      </c>
      <c r="E452" s="4" t="inlineStr">
        <is>
          <t>Antlerless Elk</t>
        </is>
      </c>
      <c r="F452" s="4" t="inlineStr">
        <is>
          <t>Sep 05-Oct 18</t>
        </is>
      </c>
      <c r="G452" s="4" t="inlineStr">
        <is>
          <t>Oct 24-Nov 29</t>
        </is>
      </c>
      <c r="H452" s="4" t="inlineStr">
        <is>
          <t>Dec 12-Dec 20</t>
        </is>
      </c>
      <c r="I452" s="4" t="n"/>
      <c r="J452" s="4" t="inlineStr">
        <is>
          <t>OTC: Jun 15</t>
        </is>
      </c>
      <c r="K452" s="4" t="inlineStr">
        <is>
          <t>UNL</t>
        </is>
      </c>
      <c r="L452" s="4" t="inlineStr">
        <is>
          <t>Not valid on National Forest lands, FWP WMAs, or CMR Refuge. Valid in all Region 4 HDs except HDs 410 and 455 as listed under each HD.</t>
        </is>
      </c>
    </row>
    <row r="453">
      <c r="A453" s="4" t="inlineStr">
        <is>
          <t>405</t>
        </is>
      </c>
      <c r="B453" s="4" t="inlineStr">
        <is>
          <t>elk</t>
        </is>
      </c>
      <c r="C453" s="4" t="inlineStr">
        <is>
          <t>General Elk License</t>
        </is>
      </c>
      <c r="D453" s="13" t="inlineStr">
        <is>
          <t>General license</t>
        </is>
      </c>
      <c r="E453" s="4" t="inlineStr">
        <is>
          <t>Either-sex Elk</t>
        </is>
      </c>
      <c r="F453" s="4" t="inlineStr">
        <is>
          <t>Sep 05-Oct 18</t>
        </is>
      </c>
      <c r="G453" s="4" t="inlineStr">
        <is>
          <t>Oct 24-Nov 29</t>
        </is>
      </c>
      <c r="H453" s="4" t="inlineStr">
        <is>
          <t>Dec 12-Dec 20</t>
        </is>
      </c>
      <c r="I453" s="4" t="n"/>
      <c r="J453" s="4" t="n"/>
      <c r="K453" s="4" t="n"/>
      <c r="L453" s="4" t="n"/>
    </row>
    <row r="454">
      <c r="A454" s="4" t="inlineStr">
        <is>
          <t>405</t>
        </is>
      </c>
      <c r="B454" s="4" t="inlineStr">
        <is>
          <t>elk</t>
        </is>
      </c>
      <c r="C454" s="4" t="inlineStr">
        <is>
          <t>Elk B License: 004-00</t>
        </is>
      </c>
      <c r="D454" s="4" t="inlineStr">
        <is>
          <t>Over the counter</t>
        </is>
      </c>
      <c r="E454" s="4" t="inlineStr">
        <is>
          <t>Antlerless Elk</t>
        </is>
      </c>
      <c r="F454" s="4" t="inlineStr">
        <is>
          <t>Sep 05-Oct 18</t>
        </is>
      </c>
      <c r="G454" s="4" t="inlineStr">
        <is>
          <t>Oct 24-Nov 29</t>
        </is>
      </c>
      <c r="H454" s="4" t="inlineStr">
        <is>
          <t>Dec 12-Dec 20</t>
        </is>
      </c>
      <c r="I454" s="4" t="n"/>
      <c r="J454" s="4" t="inlineStr">
        <is>
          <t>OTC: Jun 15</t>
        </is>
      </c>
      <c r="K454" s="4" t="inlineStr">
        <is>
          <t>UNL</t>
        </is>
      </c>
      <c r="L454" s="4" t="inlineStr">
        <is>
          <t>Not valid on National Forest lands, FWP WMAs, or CMR Refuge. Valid in all Region 4 HDs except HDs 410 and 455 as listed under each HD.</t>
        </is>
      </c>
    </row>
    <row r="455">
      <c r="A455" s="4" t="inlineStr">
        <is>
          <t>406</t>
        </is>
      </c>
      <c r="B455" s="4" t="inlineStr">
        <is>
          <t>elk</t>
        </is>
      </c>
      <c r="C455" s="4" t="inlineStr">
        <is>
          <t>General Elk License</t>
        </is>
      </c>
      <c r="D455" s="13" t="inlineStr">
        <is>
          <t>General license</t>
        </is>
      </c>
      <c r="E455" s="4" t="inlineStr">
        <is>
          <t>Either-sex Elk</t>
        </is>
      </c>
      <c r="F455" s="4" t="inlineStr">
        <is>
          <t>Sep 05-Oct 18</t>
        </is>
      </c>
      <c r="G455" s="4" t="inlineStr">
        <is>
          <t>Oct 24-Nov 29</t>
        </is>
      </c>
      <c r="H455" s="4" t="inlineStr">
        <is>
          <t>Dec 12-Dec 20</t>
        </is>
      </c>
      <c r="I455" s="4" t="n"/>
      <c r="J455" s="4" t="n"/>
      <c r="K455" s="4" t="n"/>
      <c r="L455" s="4" t="n"/>
    </row>
    <row r="456">
      <c r="A456" s="4" t="inlineStr">
        <is>
          <t>406</t>
        </is>
      </c>
      <c r="B456" s="4" t="inlineStr">
        <is>
          <t>elk</t>
        </is>
      </c>
      <c r="C456" s="4" t="inlineStr">
        <is>
          <t>Elk B License: 004-00</t>
        </is>
      </c>
      <c r="D456" s="4" t="inlineStr">
        <is>
          <t>Over the counter</t>
        </is>
      </c>
      <c r="E456" s="4" t="inlineStr">
        <is>
          <t>Antlerless Elk</t>
        </is>
      </c>
      <c r="F456" s="4" t="inlineStr">
        <is>
          <t>Sep 05-Oct 18</t>
        </is>
      </c>
      <c r="G456" s="4" t="inlineStr">
        <is>
          <t>Oct 24-Nov 29</t>
        </is>
      </c>
      <c r="H456" s="4" t="inlineStr">
        <is>
          <t>Dec 12-Dec 20</t>
        </is>
      </c>
      <c r="I456" s="4" t="n"/>
      <c r="J456" s="4" t="inlineStr">
        <is>
          <t>OTC: Jun 15</t>
        </is>
      </c>
      <c r="K456" s="4" t="inlineStr">
        <is>
          <t>UNL</t>
        </is>
      </c>
      <c r="L456" s="4" t="inlineStr">
        <is>
          <t>Not valid on National Forest lands, FWP WMAs, or CMR Refuge. Valid in all Region 4 HDs except HDs 410 and 455 as listed under each HD.</t>
        </is>
      </c>
    </row>
    <row r="457">
      <c r="A457" s="4" t="inlineStr">
        <is>
          <t>410</t>
        </is>
      </c>
      <c r="B457" s="4" t="inlineStr">
        <is>
          <t>elk</t>
        </is>
      </c>
      <c r="C457" s="4" t="inlineStr">
        <is>
          <t>Elk B License: 410-00</t>
        </is>
      </c>
      <c r="D457" s="15" t="inlineStr">
        <is>
          <t>Drawing</t>
        </is>
      </c>
      <c r="E457" s="4" t="inlineStr">
        <is>
          <t>Antlerless Elk</t>
        </is>
      </c>
      <c r="F457" s="4" t="inlineStr">
        <is>
          <t>Sep 05-Oct 18</t>
        </is>
      </c>
      <c r="G457" s="4" t="inlineStr">
        <is>
          <t>Oct 24-Nov 29</t>
        </is>
      </c>
      <c r="H457" s="4" t="inlineStr">
        <is>
          <t>Dec 12-Dec 20</t>
        </is>
      </c>
      <c r="I457" s="4" t="n"/>
      <c r="J457" s="4" t="inlineStr">
        <is>
          <t>Jun 1</t>
        </is>
      </c>
      <c r="K457" s="4" t="inlineStr">
        <is>
          <t>50</t>
        </is>
      </c>
      <c r="L457" s="4" t="n"/>
    </row>
    <row r="458">
      <c r="A458" s="4" t="inlineStr">
        <is>
          <t>410</t>
        </is>
      </c>
      <c r="B458" s="4" t="inlineStr">
        <is>
          <t>elk</t>
        </is>
      </c>
      <c r="C458" s="4" t="inlineStr">
        <is>
          <t>Elk B License: 410-01</t>
        </is>
      </c>
      <c r="D458" s="15" t="inlineStr">
        <is>
          <t>Drawing</t>
        </is>
      </c>
      <c r="E458" s="4" t="inlineStr">
        <is>
          <t>Antlerless Elk</t>
        </is>
      </c>
      <c r="F458" s="4" t="inlineStr">
        <is>
          <t>Sep 05-Oct 18</t>
        </is>
      </c>
      <c r="G458" s="4" t="n"/>
      <c r="H458" s="4" t="n"/>
      <c r="I458" s="4" t="n"/>
      <c r="J458" s="4" t="inlineStr">
        <is>
          <t>Jun 1</t>
        </is>
      </c>
      <c r="K458" s="4" t="inlineStr">
        <is>
          <t>300</t>
        </is>
      </c>
      <c r="L458" s="4" t="inlineStr">
        <is>
          <t>Only valid in HD 410.</t>
        </is>
      </c>
    </row>
    <row r="459">
      <c r="A459" s="4" t="inlineStr">
        <is>
          <t>410</t>
        </is>
      </c>
      <c r="B459" s="4" t="inlineStr">
        <is>
          <t>elk</t>
        </is>
      </c>
      <c r="C459" s="4" t="inlineStr">
        <is>
          <t>Elk B License: 410-02</t>
        </is>
      </c>
      <c r="D459" s="15" t="inlineStr">
        <is>
          <t>Drawing</t>
        </is>
      </c>
      <c r="E459" s="4" t="inlineStr">
        <is>
          <t>Antlerless Elk</t>
        </is>
      </c>
      <c r="F459" s="4" t="inlineStr">
        <is>
          <t>Sep 05-Oct 18</t>
        </is>
      </c>
      <c r="G459" s="4" t="inlineStr">
        <is>
          <t>Oct 24-Nov 29</t>
        </is>
      </c>
      <c r="H459" s="4" t="n"/>
      <c r="I459" s="4" t="n"/>
      <c r="J459" s="4" t="inlineStr">
        <is>
          <t>Jun 1</t>
        </is>
      </c>
      <c r="K459" s="4" t="inlineStr">
        <is>
          <t>700</t>
        </is>
      </c>
      <c r="L459" s="4" t="inlineStr">
        <is>
          <t>Only valid south of Crooked Creek (Sacagawea River). Not valid on CMR Refuge.</t>
        </is>
      </c>
    </row>
    <row r="460">
      <c r="A460" s="4" t="inlineStr">
        <is>
          <t>410</t>
        </is>
      </c>
      <c r="B460" s="4" t="inlineStr">
        <is>
          <t>elk</t>
        </is>
      </c>
      <c r="C460" s="4" t="inlineStr">
        <is>
          <t>Elk Permit: 410-20</t>
        </is>
      </c>
      <c r="D460" s="15" t="inlineStr">
        <is>
          <t>Drawing</t>
        </is>
      </c>
      <c r="E460" s="4" t="inlineStr">
        <is>
          <t>Either-sex Elk</t>
        </is>
      </c>
      <c r="F460" s="4" t="inlineStr">
        <is>
          <t>Sep 05-Oct 18</t>
        </is>
      </c>
      <c r="G460" s="4" t="inlineStr">
        <is>
          <t>Oct 24-Nov 29</t>
        </is>
      </c>
      <c r="H460" s="4" t="inlineStr">
        <is>
          <t>Dec 12-Dec 20</t>
        </is>
      </c>
      <c r="I460" s="4" t="n"/>
      <c r="J460" s="4" t="inlineStr">
        <is>
          <t>April 1</t>
        </is>
      </c>
      <c r="K460" s="4" t="inlineStr">
        <is>
          <t>75</t>
        </is>
      </c>
      <c r="L460" s="4" t="inlineStr">
        <is>
          <t>Permit must be used with a valid General Elk License. Holders may not hunt Antlered Elk in any other HD during these described season dates.</t>
        </is>
      </c>
    </row>
    <row r="461">
      <c r="A461" s="4" t="inlineStr">
        <is>
          <t>410</t>
        </is>
      </c>
      <c r="B461" s="4" t="inlineStr">
        <is>
          <t>elk</t>
        </is>
      </c>
      <c r="C461" s="4" t="inlineStr">
        <is>
          <t>Elk Permit: 410-21</t>
        </is>
      </c>
      <c r="D461" s="15" t="inlineStr">
        <is>
          <t>Drawing</t>
        </is>
      </c>
      <c r="E461" s="4" t="inlineStr">
        <is>
          <t>Either-sex Elk</t>
        </is>
      </c>
      <c r="F461" s="4" t="inlineStr">
        <is>
          <t>Sep 05-Oct 18</t>
        </is>
      </c>
      <c r="G461" s="4" t="n"/>
      <c r="H461" s="4" t="n"/>
      <c r="I461" s="4" t="n"/>
      <c r="J461" s="4" t="inlineStr">
        <is>
          <t>April 1</t>
        </is>
      </c>
      <c r="K461" s="4" t="inlineStr">
        <is>
          <t>1,000</t>
        </is>
      </c>
      <c r="L461" s="4" t="inlineStr">
        <is>
          <t xml:space="preserve">1st and 2nd choice only. Only valid in HD 410. Permit must be used with a valid General Elk License. Holders may not hunt Antlered Elk in any other HD during these described season dates. 93 2026 Deer • Elk • Antelope Visit fwp.mt.gov LICENSE/PERMIT OPPORTUNITY APPL Y BY DATE QUOTA QUOTA RANGE EARL </t>
        </is>
      </c>
    </row>
    <row r="462">
      <c r="A462" s="4" t="inlineStr">
        <is>
          <t>411</t>
        </is>
      </c>
      <c r="B462" s="4" t="inlineStr">
        <is>
          <t>elk</t>
        </is>
      </c>
      <c r="C462" s="4" t="inlineStr">
        <is>
          <t>General Elk License</t>
        </is>
      </c>
      <c r="D462" s="13" t="inlineStr">
        <is>
          <t>General license</t>
        </is>
      </c>
      <c r="E462" s="4" t="inlineStr">
        <is>
          <t>Antlerless Elk</t>
        </is>
      </c>
      <c r="F462" s="4" t="n"/>
      <c r="G462" s="4" t="n"/>
      <c r="H462" s="4" t="n"/>
      <c r="I462" s="4" t="n"/>
      <c r="J462" s="4" t="n"/>
      <c r="K462" s="4" t="n"/>
      <c r="L462" s="4" t="inlineStr">
        <is>
          <t>Only valid on private land.</t>
        </is>
      </c>
    </row>
    <row r="463">
      <c r="A463" s="4" t="inlineStr">
        <is>
          <t>411</t>
        </is>
      </c>
      <c r="B463" s="4" t="inlineStr">
        <is>
          <t>elk</t>
        </is>
      </c>
      <c r="C463" s="4" t="inlineStr">
        <is>
          <t>General Elk License</t>
        </is>
      </c>
      <c r="D463" s="13" t="inlineStr">
        <is>
          <t>General license</t>
        </is>
      </c>
      <c r="E463" s="4" t="inlineStr">
        <is>
          <t>Spike Bull or Antlerless Elk</t>
        </is>
      </c>
      <c r="F463" s="4" t="inlineStr">
        <is>
          <t>Sep 05-Oct 18</t>
        </is>
      </c>
      <c r="G463" s="4" t="inlineStr">
        <is>
          <t>Oct 24-Nov 29</t>
        </is>
      </c>
      <c r="H463" s="4" t="inlineStr">
        <is>
          <t>Dec 12-Dec 20</t>
        </is>
      </c>
      <c r="I463" s="4" t="n"/>
      <c r="J463" s="4" t="n"/>
      <c r="K463" s="4" t="n"/>
      <c r="L463" s="4" t="n"/>
    </row>
    <row r="464">
      <c r="A464" s="4" t="inlineStr">
        <is>
          <t>411</t>
        </is>
      </c>
      <c r="B464" s="4" t="inlineStr">
        <is>
          <t>elk</t>
        </is>
      </c>
      <c r="C464" s="4" t="inlineStr">
        <is>
          <t>Elk B License: 004-00</t>
        </is>
      </c>
      <c r="D464" s="4" t="inlineStr">
        <is>
          <t>Over the counter</t>
        </is>
      </c>
      <c r="E464" s="4" t="inlineStr">
        <is>
          <t>Antlerless Elk</t>
        </is>
      </c>
      <c r="F464" s="4" t="n"/>
      <c r="G464" s="4" t="n"/>
      <c r="H464" s="4" t="n"/>
      <c r="I464" s="4" t="n"/>
      <c r="J464" s="4" t="inlineStr">
        <is>
          <t>OTC: Jun 15</t>
        </is>
      </c>
      <c r="K464" s="4" t="inlineStr">
        <is>
          <t>UNL</t>
        </is>
      </c>
      <c r="L464" s="4" t="inlineStr">
        <is>
          <t>Only valid on private land.</t>
        </is>
      </c>
    </row>
    <row r="465">
      <c r="A465" s="4" t="inlineStr">
        <is>
          <t>411</t>
        </is>
      </c>
      <c r="B465" s="4" t="inlineStr">
        <is>
          <t>elk</t>
        </is>
      </c>
      <c r="C465" s="4" t="inlineStr">
        <is>
          <t>Elk B License: 004-00</t>
        </is>
      </c>
      <c r="D465" s="4" t="inlineStr">
        <is>
          <t>Over the counter</t>
        </is>
      </c>
      <c r="E465" s="4" t="inlineStr">
        <is>
          <t>Antlerless Elk</t>
        </is>
      </c>
      <c r="F465" s="4" t="inlineStr">
        <is>
          <t>Sep 05-Oct 18</t>
        </is>
      </c>
      <c r="G465" s="4" t="inlineStr">
        <is>
          <t>Oct 24-Nov 29</t>
        </is>
      </c>
      <c r="H465" s="4" t="n"/>
      <c r="I465" s="4" t="inlineStr">
        <is>
          <t>Nov 30-Feb 15</t>
        </is>
      </c>
      <c r="J465" s="4" t="inlineStr">
        <is>
          <t>OTC: Jun 15</t>
        </is>
      </c>
      <c r="K465" s="4" t="inlineStr">
        <is>
          <t>UNL</t>
        </is>
      </c>
      <c r="L465" s="4" t="inlineStr">
        <is>
          <t>Not valid on National Forest lands, FWP WMAs, or CMR Refuge. Valid in all Region 4 HDs except HDs 410 and 455 as listed under each HD.</t>
        </is>
      </c>
    </row>
    <row r="466">
      <c r="A466" s="4" t="inlineStr">
        <is>
          <t>411</t>
        </is>
      </c>
      <c r="B466" s="4" t="inlineStr">
        <is>
          <t>elk</t>
        </is>
      </c>
      <c r="C466" s="4" t="inlineStr">
        <is>
          <t>Elk B License: 411-00</t>
        </is>
      </c>
      <c r="D466" s="15" t="inlineStr">
        <is>
          <t>Drawing</t>
        </is>
      </c>
      <c r="E466" s="4" t="inlineStr">
        <is>
          <t>Antlerless Elk</t>
        </is>
      </c>
      <c r="F466" s="4" t="n"/>
      <c r="G466" s="4" t="n"/>
      <c r="H466" s="4" t="n"/>
      <c r="I466" s="4" t="n"/>
      <c r="J466" s="4" t="inlineStr">
        <is>
          <t>Jun 1</t>
        </is>
      </c>
      <c r="K466" s="4" t="inlineStr">
        <is>
          <t>1,200</t>
        </is>
      </c>
      <c r="L466" s="4" t="inlineStr">
        <is>
          <t>Only valid on private land. Valid in HDs 411 and 535.</t>
        </is>
      </c>
    </row>
    <row r="467">
      <c r="A467" s="4" t="inlineStr">
        <is>
          <t>411</t>
        </is>
      </c>
      <c r="B467" s="4" t="inlineStr">
        <is>
          <t>elk</t>
        </is>
      </c>
      <c r="C467" s="4" t="inlineStr">
        <is>
          <t>Elk Permit: 411-20</t>
        </is>
      </c>
      <c r="D467" s="15" t="inlineStr">
        <is>
          <t>Drawing</t>
        </is>
      </c>
      <c r="E467" s="4" t="inlineStr">
        <is>
          <t>Either-sex Elk</t>
        </is>
      </c>
      <c r="F467" s="4" t="inlineStr">
        <is>
          <t>Sep 05-Oct 18</t>
        </is>
      </c>
      <c r="G467" s="4" t="inlineStr">
        <is>
          <t>Oct 24-Nov 29</t>
        </is>
      </c>
      <c r="H467" s="4" t="inlineStr">
        <is>
          <t>Dec 12-Dec 20</t>
        </is>
      </c>
      <c r="I467" s="4" t="n"/>
      <c r="J467" s="4" t="inlineStr">
        <is>
          <t>April 1</t>
        </is>
      </c>
      <c r="K467" s="4" t="inlineStr">
        <is>
          <t>350</t>
        </is>
      </c>
      <c r="L467" s="4" t="inlineStr">
        <is>
          <t>1st and only choice. Only valid in HDs 411 and 535.Permit must be used with a valid General Elk License. Holders may not hunt Antlered Elk in any other HD during these described season dates.</t>
        </is>
      </c>
    </row>
    <row r="468">
      <c r="A468" s="4" t="inlineStr">
        <is>
          <t>411</t>
        </is>
      </c>
      <c r="B468" s="4" t="inlineStr">
        <is>
          <t>elk</t>
        </is>
      </c>
      <c r="C468" s="4" t="inlineStr">
        <is>
          <t>Elk Permit: 411-21</t>
        </is>
      </c>
      <c r="D468" s="15" t="inlineStr">
        <is>
          <t>Drawing</t>
        </is>
      </c>
      <c r="E468" s="4" t="inlineStr">
        <is>
          <t>Either-sex Elk</t>
        </is>
      </c>
      <c r="F468" s="4" t="inlineStr">
        <is>
          <t>Sep 05-Oct 18</t>
        </is>
      </c>
      <c r="G468" s="4" t="n"/>
      <c r="H468" s="4" t="n"/>
      <c r="I468" s="4" t="n"/>
      <c r="J468" s="4" t="inlineStr">
        <is>
          <t>April 1</t>
        </is>
      </c>
      <c r="K468" s="4" t="inlineStr">
        <is>
          <t>1000</t>
        </is>
      </c>
      <c r="L468" s="4" t="inlineStr">
        <is>
          <t>1st and only choice. Valid in 411 and 412. Permit must be used with a valid General Elk License. Holders may not hunt Antlered Elk in any other HD during these described season dates.</t>
        </is>
      </c>
    </row>
    <row r="469">
      <c r="A469" s="4" t="inlineStr">
        <is>
          <t>412</t>
        </is>
      </c>
      <c r="B469" s="4" t="inlineStr">
        <is>
          <t>elk</t>
        </is>
      </c>
      <c r="C469" s="4" t="inlineStr">
        <is>
          <t>General Elk License</t>
        </is>
      </c>
      <c r="D469" s="13" t="inlineStr">
        <is>
          <t>General license</t>
        </is>
      </c>
      <c r="E469" s="4" t="inlineStr">
        <is>
          <t>Antlerless Elk</t>
        </is>
      </c>
      <c r="F469" s="4" t="n"/>
      <c r="G469" s="4" t="n"/>
      <c r="H469" s="4" t="n"/>
      <c r="I469" s="4" t="n"/>
      <c r="J469" s="4" t="n"/>
      <c r="K469" s="4" t="n"/>
      <c r="L469" s="4" t="inlineStr">
        <is>
          <t>Only valid on private land.</t>
        </is>
      </c>
    </row>
    <row r="470">
      <c r="A470" s="4" t="inlineStr">
        <is>
          <t>412</t>
        </is>
      </c>
      <c r="B470" s="4" t="inlineStr">
        <is>
          <t>elk</t>
        </is>
      </c>
      <c r="C470" s="4" t="inlineStr">
        <is>
          <t>General Elk License</t>
        </is>
      </c>
      <c r="D470" s="13" t="inlineStr">
        <is>
          <t>General license</t>
        </is>
      </c>
      <c r="E470" s="4" t="inlineStr">
        <is>
          <t>Spike Bull or Antlerless Elk</t>
        </is>
      </c>
      <c r="F470" s="4" t="inlineStr">
        <is>
          <t>Sep 05-Oct 18</t>
        </is>
      </c>
      <c r="G470" s="4" t="inlineStr">
        <is>
          <t>Oct 24-Nov 29</t>
        </is>
      </c>
      <c r="H470" s="4" t="inlineStr">
        <is>
          <t>Dec 12-Dec 20</t>
        </is>
      </c>
      <c r="I470" s="4" t="n"/>
      <c r="J470" s="4" t="n"/>
      <c r="K470" s="4" t="n"/>
      <c r="L470" s="4" t="n"/>
    </row>
    <row r="471">
      <c r="A471" s="4" t="inlineStr">
        <is>
          <t>412</t>
        </is>
      </c>
      <c r="B471" s="4" t="inlineStr">
        <is>
          <t>elk</t>
        </is>
      </c>
      <c r="C471" s="4" t="inlineStr">
        <is>
          <t>Elk B License: 004-00</t>
        </is>
      </c>
      <c r="D471" s="4" t="inlineStr">
        <is>
          <t>Over the counter</t>
        </is>
      </c>
      <c r="E471" s="4" t="inlineStr">
        <is>
          <t>Antlerless Elk</t>
        </is>
      </c>
      <c r="F471" s="4" t="n"/>
      <c r="G471" s="4" t="n"/>
      <c r="H471" s="4" t="n"/>
      <c r="I471" s="4" t="n"/>
      <c r="J471" s="4" t="inlineStr">
        <is>
          <t>OTC: Jun 15</t>
        </is>
      </c>
      <c r="K471" s="4" t="inlineStr">
        <is>
          <t>UNL</t>
        </is>
      </c>
      <c r="L471" s="4" t="inlineStr">
        <is>
          <t>Only valid on private land. Not valid on National Forest lands, FWP WMAs, or CMR Refuge. Valid in all Region 4 HDs except HDs 410 and 455 as listed under each HD.</t>
        </is>
      </c>
    </row>
    <row r="472">
      <c r="A472" s="4" t="inlineStr">
        <is>
          <t>412</t>
        </is>
      </c>
      <c r="B472" s="4" t="inlineStr">
        <is>
          <t>elk</t>
        </is>
      </c>
      <c r="C472" s="4" t="inlineStr">
        <is>
          <t>Elk Permit: 411-21</t>
        </is>
      </c>
      <c r="D472" s="15" t="inlineStr">
        <is>
          <t>Drawing</t>
        </is>
      </c>
      <c r="E472" s="4" t="inlineStr">
        <is>
          <t>Either-sex Elk</t>
        </is>
      </c>
      <c r="F472" s="4" t="inlineStr">
        <is>
          <t>Sep 05-Oct 18</t>
        </is>
      </c>
      <c r="G472" s="4" t="n"/>
      <c r="H472" s="4" t="n"/>
      <c r="I472" s="4" t="n"/>
      <c r="J472" s="4" t="inlineStr">
        <is>
          <t>April 1</t>
        </is>
      </c>
      <c r="K472" s="4" t="inlineStr">
        <is>
          <t>1000</t>
        </is>
      </c>
      <c r="L472" s="4" t="inlineStr">
        <is>
          <t>1st and only choice. Valid in HDs 411 and 412. Permit must be used with a valid General Elk License. Holders may not hunt Antlered Elk in any other HD during these described season dates.</t>
        </is>
      </c>
    </row>
    <row r="473">
      <c r="A473" s="4" t="inlineStr">
        <is>
          <t>412</t>
        </is>
      </c>
      <c r="B473" s="4" t="inlineStr">
        <is>
          <t>elk</t>
        </is>
      </c>
      <c r="C473" s="4" t="inlineStr">
        <is>
          <t>Elk Permit: 412-20</t>
        </is>
      </c>
      <c r="D473" s="15" t="inlineStr">
        <is>
          <t>Drawing</t>
        </is>
      </c>
      <c r="E473" s="4" t="inlineStr">
        <is>
          <t>Either-sex Elk</t>
        </is>
      </c>
      <c r="F473" s="4" t="inlineStr">
        <is>
          <t>Sep 05-Oct 18</t>
        </is>
      </c>
      <c r="G473" s="4" t="inlineStr">
        <is>
          <t>Oct 24-Nov 29</t>
        </is>
      </c>
      <c r="H473" s="4" t="inlineStr">
        <is>
          <t>Dec 12-Dec 20</t>
        </is>
      </c>
      <c r="I473" s="4" t="n"/>
      <c r="J473" s="4" t="inlineStr">
        <is>
          <t>April 1</t>
        </is>
      </c>
      <c r="K473" s="4" t="inlineStr">
        <is>
          <t>120</t>
        </is>
      </c>
      <c r="L473" s="4" t="inlineStr">
        <is>
          <t>Permit must be used with a valid General Elk License. Holders may not hunt Antlered Elk in any other HD during these described season dates.</t>
        </is>
      </c>
    </row>
    <row r="474">
      <c r="A474" s="4" t="inlineStr">
        <is>
          <t>413</t>
        </is>
      </c>
      <c r="B474" s="4" t="inlineStr">
        <is>
          <t>elk</t>
        </is>
      </c>
      <c r="C474" s="4" t="inlineStr">
        <is>
          <t>General Elk License</t>
        </is>
      </c>
      <c r="D474" s="13" t="inlineStr">
        <is>
          <t>General license</t>
        </is>
      </c>
      <c r="E474" s="4" t="inlineStr">
        <is>
          <t>Brow-tined Bull or Antlerless Elk</t>
        </is>
      </c>
      <c r="F474" s="4" t="inlineStr">
        <is>
          <t>Sep 05-Oct 18</t>
        </is>
      </c>
      <c r="G474" s="4" t="inlineStr">
        <is>
          <t>Oct 24-Nov 29</t>
        </is>
      </c>
      <c r="H474" s="4" t="inlineStr">
        <is>
          <t>Dec 12-Dec 20</t>
        </is>
      </c>
      <c r="I474" s="4" t="n"/>
      <c r="J474" s="4" t="n"/>
      <c r="K474" s="4" t="n"/>
      <c r="L474" s="4" t="n"/>
    </row>
    <row r="475">
      <c r="A475" s="4" t="inlineStr">
        <is>
          <t>413</t>
        </is>
      </c>
      <c r="B475" s="4" t="inlineStr">
        <is>
          <t>elk</t>
        </is>
      </c>
      <c r="C475" s="4" t="inlineStr">
        <is>
          <t>Elk B License: 004-00</t>
        </is>
      </c>
      <c r="D475" s="4" t="inlineStr">
        <is>
          <t>Over the counter</t>
        </is>
      </c>
      <c r="E475" s="4" t="inlineStr">
        <is>
          <t>Antlerless Elk</t>
        </is>
      </c>
      <c r="F475" s="4" t="inlineStr">
        <is>
          <t>Sep 05-Oct 18</t>
        </is>
      </c>
      <c r="G475" s="4" t="inlineStr">
        <is>
          <t>Oct 24-Nov 29</t>
        </is>
      </c>
      <c r="H475" s="4" t="inlineStr">
        <is>
          <t>Dec 12-Dec 20</t>
        </is>
      </c>
      <c r="I475" s="4" t="n"/>
      <c r="J475" s="4" t="inlineStr">
        <is>
          <t>OTC: Jun 15</t>
        </is>
      </c>
      <c r="K475" s="4" t="inlineStr">
        <is>
          <t>UNL</t>
        </is>
      </c>
      <c r="L475" s="4" t="inlineStr">
        <is>
          <t>Not valid on National Forest lands, FWP WMAs, or CMR Refuge. Valid in all Region 4 HDs except HDs 410 and 455 as listed under each HD. 95 2026 Deer • Elk • Antelope Visit fwp.mt.gov LICENSE/PERMIT OPPORTUNITY APPL Y BY DATE QUOTA QUOTA RANGE EARL Y SEASON DATES ARCHERY ONL Y SEASON DATES GENERAL SEA</t>
        </is>
      </c>
    </row>
    <row r="476">
      <c r="A476" s="4" t="inlineStr">
        <is>
          <t>415</t>
        </is>
      </c>
      <c r="B476" s="4" t="inlineStr">
        <is>
          <t>elk</t>
        </is>
      </c>
      <c r="C476" s="4" t="inlineStr">
        <is>
          <t>General Elk License</t>
        </is>
      </c>
      <c r="D476" s="13" t="inlineStr">
        <is>
          <t>General license</t>
        </is>
      </c>
      <c r="E476" s="4" t="inlineStr">
        <is>
          <t>Antlered Bull Elk</t>
        </is>
      </c>
      <c r="F476" s="4" t="inlineStr">
        <is>
          <t>Sep 05-Oct 18</t>
        </is>
      </c>
      <c r="G476" s="4" t="inlineStr">
        <is>
          <t>Oct 24-Nov 29</t>
        </is>
      </c>
      <c r="H476" s="4" t="inlineStr">
        <is>
          <t>Dec 12-Dec 20</t>
        </is>
      </c>
      <c r="I476" s="4" t="n"/>
      <c r="J476" s="4" t="n"/>
      <c r="K476" s="4" t="n"/>
      <c r="L476" s="4" t="n"/>
    </row>
    <row r="477">
      <c r="A477" s="4" t="inlineStr">
        <is>
          <t>415</t>
        </is>
      </c>
      <c r="B477" s="4" t="inlineStr">
        <is>
          <t>elk</t>
        </is>
      </c>
      <c r="C477" s="4" t="inlineStr">
        <is>
          <t>Elk B License: 004-00</t>
        </is>
      </c>
      <c r="D477" s="4" t="inlineStr">
        <is>
          <t>Over the counter</t>
        </is>
      </c>
      <c r="E477" s="4" t="inlineStr">
        <is>
          <t>Antlerless Elk</t>
        </is>
      </c>
      <c r="F477" s="4" t="inlineStr">
        <is>
          <t>Sep 05-Oct 18</t>
        </is>
      </c>
      <c r="G477" s="4" t="inlineStr">
        <is>
          <t>Oct 24-Nov 29</t>
        </is>
      </c>
      <c r="H477" s="4" t="inlineStr">
        <is>
          <t>Dec 12-Dec 20</t>
        </is>
      </c>
      <c r="I477" s="4" t="n"/>
      <c r="J477" s="4" t="inlineStr">
        <is>
          <t>OTC: Jun 15</t>
        </is>
      </c>
      <c r="K477" s="4" t="inlineStr">
        <is>
          <t>UNL</t>
        </is>
      </c>
      <c r="L477" s="4" t="inlineStr">
        <is>
          <t>Not valid on National Forest lands, FWP WMAs, or CMR Refuge. Valid in all Region 4 HDs except HDs 410 and 455 as listed under each HD.</t>
        </is>
      </c>
    </row>
    <row r="478">
      <c r="A478" s="4" t="inlineStr">
        <is>
          <t>416</t>
        </is>
      </c>
      <c r="B478" s="4" t="inlineStr">
        <is>
          <t>elk</t>
        </is>
      </c>
      <c r="C478" s="4" t="inlineStr">
        <is>
          <t>General Elk License</t>
        </is>
      </c>
      <c r="D478" s="13" t="inlineStr">
        <is>
          <t>General license</t>
        </is>
      </c>
      <c r="E478" s="4" t="inlineStr">
        <is>
          <t>Brow-tined Bull or Antlerless Elk</t>
        </is>
      </c>
      <c r="F478" s="4" t="inlineStr">
        <is>
          <t>Sep 05-Oct 18</t>
        </is>
      </c>
      <c r="G478" s="4" t="inlineStr">
        <is>
          <t>Oct 24-Nov 29</t>
        </is>
      </c>
      <c r="H478" s="4" t="inlineStr">
        <is>
          <t>Dec 12-Dec 20</t>
        </is>
      </c>
      <c r="I478" s="4" t="n"/>
      <c r="J478" s="4" t="n"/>
      <c r="K478" s="4" t="n"/>
      <c r="L478" s="4" t="n"/>
    </row>
    <row r="479">
      <c r="A479" s="4" t="inlineStr">
        <is>
          <t>416</t>
        </is>
      </c>
      <c r="B479" s="4" t="inlineStr">
        <is>
          <t>elk</t>
        </is>
      </c>
      <c r="C479" s="4" t="inlineStr">
        <is>
          <t>Elk B License: 004-00</t>
        </is>
      </c>
      <c r="D479" s="4" t="inlineStr">
        <is>
          <t>Over the counter</t>
        </is>
      </c>
      <c r="E479" s="4" t="inlineStr">
        <is>
          <t>Antlerless Elk</t>
        </is>
      </c>
      <c r="F479" s="4" t="inlineStr">
        <is>
          <t>Sep 05-Oct 18</t>
        </is>
      </c>
      <c r="G479" s="4" t="inlineStr">
        <is>
          <t>Oct 24-Nov 29</t>
        </is>
      </c>
      <c r="H479" s="4" t="inlineStr">
        <is>
          <t>Dec 12-Dec 20</t>
        </is>
      </c>
      <c r="I479" s="4" t="n"/>
      <c r="J479" s="4" t="inlineStr">
        <is>
          <t>OTC: Jun 15</t>
        </is>
      </c>
      <c r="K479" s="4" t="inlineStr">
        <is>
          <t>UNL</t>
        </is>
      </c>
      <c r="L479" s="4" t="inlineStr">
        <is>
          <t>Not valid on National Forest lands, FWP WMAs, or CMR Refuge. Valid in all Region 4 HDs except HDs 410 and 455 as listed under each HD. LICENSE/PERMIT OPPORTUNITY APPL Y BY DATE QUOTA QUOTA RANGE EARL Y SEASON DATES ARCHERY ONL Y SEASON DATES GENERAL SEASON DATES HERITAGE MUZZLELOADER SEASON DATES LA</t>
        </is>
      </c>
    </row>
    <row r="480">
      <c r="A480" s="4" t="inlineStr">
        <is>
          <t>417</t>
        </is>
      </c>
      <c r="B480" s="4" t="inlineStr">
        <is>
          <t>elk</t>
        </is>
      </c>
      <c r="C480" s="4" t="inlineStr">
        <is>
          <t>General Elk License</t>
        </is>
      </c>
      <c r="D480" s="13" t="inlineStr">
        <is>
          <t>General license</t>
        </is>
      </c>
      <c r="E480" s="4" t="inlineStr">
        <is>
          <t>Antlerless Elk</t>
        </is>
      </c>
      <c r="F480" s="4" t="inlineStr">
        <is>
          <t>Sep 05-Oct 18</t>
        </is>
      </c>
      <c r="G480" s="4" t="inlineStr">
        <is>
          <t>Oct 24-Nov 29</t>
        </is>
      </c>
      <c r="H480" s="4" t="n"/>
      <c r="I480" s="4" t="inlineStr">
        <is>
          <t>Nov 30-Feb 15</t>
        </is>
      </c>
      <c r="J480" s="4" t="n"/>
      <c r="K480" s="4" t="n"/>
      <c r="L480" s="4" t="inlineStr">
        <is>
          <t>Only valid south of D-Y Trail to intersection of Knox Ridge Road, then south of Knox Ridge Road thereafter. Not valid west of Staford Ferry Rd.</t>
        </is>
      </c>
    </row>
    <row r="481">
      <c r="A481" s="4" t="inlineStr">
        <is>
          <t>417</t>
        </is>
      </c>
      <c r="B481" s="4" t="inlineStr">
        <is>
          <t>elk</t>
        </is>
      </c>
      <c r="C481" s="4" t="inlineStr">
        <is>
          <t>Elk B License: 004-00</t>
        </is>
      </c>
      <c r="D481" s="15" t="inlineStr">
        <is>
          <t>Drawing</t>
        </is>
      </c>
      <c r="E481" s="4" t="inlineStr">
        <is>
          <t>Antlerless Elk</t>
        </is>
      </c>
      <c r="F481" s="4" t="inlineStr">
        <is>
          <t>Sep 05-Oct 18</t>
        </is>
      </c>
      <c r="G481" s="4" t="inlineStr">
        <is>
          <t>Oct 24-Nov 29</t>
        </is>
      </c>
      <c r="H481" s="4" t="n"/>
      <c r="I481" s="4" t="inlineStr">
        <is>
          <t>Nov 30-Feb 15</t>
        </is>
      </c>
      <c r="J481" s="4" t="inlineStr">
        <is>
          <t>Jun 1</t>
        </is>
      </c>
      <c r="K481" s="4" t="inlineStr">
        <is>
          <t>UNL</t>
        </is>
      </c>
      <c r="L481" s="4" t="inlineStr">
        <is>
          <t>Only valid south of D-Y Trail to intersection of Knox Ridge Road, then south of Knox Ridge Road thereafter. Not valid west of Staford Ferry Rd. Not valid on National Forest lands, FWP WMAs, or CMR Refuge. Valid in all Region 4 HDs except HDs 410 and 455 as listed under each HD.</t>
        </is>
      </c>
    </row>
    <row r="482">
      <c r="A482" s="4" t="inlineStr">
        <is>
          <t>417</t>
        </is>
      </c>
      <c r="B482" s="4" t="inlineStr">
        <is>
          <t>elk</t>
        </is>
      </c>
      <c r="C482" s="4" t="inlineStr">
        <is>
          <t>Elk B License: 417-02</t>
        </is>
      </c>
      <c r="D482" s="15" t="inlineStr">
        <is>
          <t>Drawing</t>
        </is>
      </c>
      <c r="E482" s="4" t="inlineStr">
        <is>
          <t>Antlerless Elk</t>
        </is>
      </c>
      <c r="F482" s="4" t="inlineStr">
        <is>
          <t>Sep 05-Oct 18</t>
        </is>
      </c>
      <c r="G482" s="4" t="inlineStr">
        <is>
          <t>Oct 24-Nov 29</t>
        </is>
      </c>
      <c r="H482" s="4" t="inlineStr">
        <is>
          <t>Dec 12-Dec 20</t>
        </is>
      </c>
      <c r="I482" s="4" t="n"/>
      <c r="J482" s="4" t="inlineStr">
        <is>
          <t>Jun 1</t>
        </is>
      </c>
      <c r="K482" s="4" t="inlineStr">
        <is>
          <t>50</t>
        </is>
      </c>
      <c r="L482" s="4" t="n"/>
    </row>
    <row r="483">
      <c r="A483" s="4" t="inlineStr">
        <is>
          <t>417</t>
        </is>
      </c>
      <c r="B483" s="4" t="inlineStr">
        <is>
          <t>elk</t>
        </is>
      </c>
      <c r="C483" s="4" t="inlineStr">
        <is>
          <t>Elk Permit: 417-20</t>
        </is>
      </c>
      <c r="D483" s="15" t="inlineStr">
        <is>
          <t>Drawing</t>
        </is>
      </c>
      <c r="E483" s="4" t="inlineStr">
        <is>
          <t>Either-sex Elk</t>
        </is>
      </c>
      <c r="F483" s="4" t="inlineStr">
        <is>
          <t>Sep 05-Oct 18</t>
        </is>
      </c>
      <c r="G483" s="4" t="inlineStr">
        <is>
          <t>Oct 24-Nov 29</t>
        </is>
      </c>
      <c r="H483" s="4" t="inlineStr">
        <is>
          <t>Dec 12-Dec 20</t>
        </is>
      </c>
      <c r="I483" s="4" t="n"/>
      <c r="J483" s="4" t="inlineStr">
        <is>
          <t>April 1</t>
        </is>
      </c>
      <c r="K483" s="4" t="inlineStr">
        <is>
          <t>225</t>
        </is>
      </c>
      <c r="L483" s="4" t="inlineStr">
        <is>
          <t>1st and only choice. Permit must be used with a valid General Elk License. Holders may not hunt Antlered Elk in any other HD during these described season dates.</t>
        </is>
      </c>
    </row>
    <row r="484">
      <c r="A484" s="4" t="inlineStr">
        <is>
          <t>417</t>
        </is>
      </c>
      <c r="B484" s="4" t="inlineStr">
        <is>
          <t>elk</t>
        </is>
      </c>
      <c r="C484" s="4" t="inlineStr">
        <is>
          <t>Elk Permit: 417-21</t>
        </is>
      </c>
      <c r="D484" s="15" t="inlineStr">
        <is>
          <t>Drawing</t>
        </is>
      </c>
      <c r="E484" s="4" t="inlineStr">
        <is>
          <t>Either-sex Elk</t>
        </is>
      </c>
      <c r="F484" s="4" t="inlineStr">
        <is>
          <t>Sep 05-Oct 18</t>
        </is>
      </c>
      <c r="G484" s="4" t="n"/>
      <c r="H484" s="4" t="n"/>
      <c r="I484" s="4" t="n"/>
      <c r="J484" s="4" t="inlineStr">
        <is>
          <t>April 1</t>
        </is>
      </c>
      <c r="K484" s="4" t="inlineStr">
        <is>
          <t>300</t>
        </is>
      </c>
      <c r="L484" s="4" t="inlineStr">
        <is>
          <t>1st and only choice. Only valid in HDs 417 and 426. Permit must be used with a valid General Elk License. Holders may not hunt Antlered Elk in any other HD during these described season dates.</t>
        </is>
      </c>
    </row>
    <row r="485">
      <c r="A485" s="4" t="inlineStr">
        <is>
          <t>418</t>
        </is>
      </c>
      <c r="B485" s="4" t="inlineStr">
        <is>
          <t>elk</t>
        </is>
      </c>
      <c r="C485" s="4" t="inlineStr">
        <is>
          <t>General Elk License</t>
        </is>
      </c>
      <c r="D485" s="13" t="inlineStr">
        <is>
          <t>General license</t>
        </is>
      </c>
      <c r="E485" s="4" t="inlineStr">
        <is>
          <t>Antlerless Elk</t>
        </is>
      </c>
      <c r="F485" s="4" t="n"/>
      <c r="G485" s="4" t="n"/>
      <c r="H485" s="4" t="n"/>
      <c r="I485" s="4" t="inlineStr">
        <is>
          <t>Nov 30-Feb 15</t>
        </is>
      </c>
      <c r="J485" s="4" t="n"/>
      <c r="K485" s="4" t="n"/>
      <c r="L485" s="4" t="inlineStr">
        <is>
          <t>Not valid on National Forest Lands.</t>
        </is>
      </c>
    </row>
    <row r="486">
      <c r="A486" s="4" t="inlineStr">
        <is>
          <t>418</t>
        </is>
      </c>
      <c r="B486" s="4" t="inlineStr">
        <is>
          <t>elk</t>
        </is>
      </c>
      <c r="C486" s="4" t="inlineStr">
        <is>
          <t>General Elk License</t>
        </is>
      </c>
      <c r="D486" s="13" t="inlineStr">
        <is>
          <t>General license</t>
        </is>
      </c>
      <c r="E486" s="4" t="inlineStr">
        <is>
          <t>Brow-tined Bull or Antlerless Elk</t>
        </is>
      </c>
      <c r="F486" s="4" t="inlineStr">
        <is>
          <t>Sep 05-Oct 18</t>
        </is>
      </c>
      <c r="G486" s="4" t="inlineStr">
        <is>
          <t>Oct 24-Nov 29</t>
        </is>
      </c>
      <c r="H486" s="4" t="inlineStr">
        <is>
          <t>Dec 12-Dec 20</t>
        </is>
      </c>
      <c r="I486" s="4" t="n"/>
      <c r="J486" s="4" t="n"/>
      <c r="K486" s="4" t="n"/>
      <c r="L486" s="4" t="n"/>
    </row>
    <row r="487">
      <c r="A487" s="4" t="inlineStr">
        <is>
          <t>418</t>
        </is>
      </c>
      <c r="B487" s="4" t="inlineStr">
        <is>
          <t>elk</t>
        </is>
      </c>
      <c r="C487" s="4" t="inlineStr">
        <is>
          <t>Elk B License: 004-00</t>
        </is>
      </c>
      <c r="D487" s="4" t="inlineStr">
        <is>
          <t>Over the counter</t>
        </is>
      </c>
      <c r="E487" s="4" t="inlineStr">
        <is>
          <t>Antlerless Elk</t>
        </is>
      </c>
      <c r="F487" s="4" t="inlineStr">
        <is>
          <t>Sep 05-Oct 18</t>
        </is>
      </c>
      <c r="G487" s="4" t="inlineStr">
        <is>
          <t>Oct 24-Nov 29</t>
        </is>
      </c>
      <c r="H487" s="4" t="inlineStr">
        <is>
          <t>Dec 12-Dec 20</t>
        </is>
      </c>
      <c r="I487" s="4" t="inlineStr">
        <is>
          <t>Nov 30-Feb 15</t>
        </is>
      </c>
      <c r="J487" s="4" t="inlineStr">
        <is>
          <t>OTC: Jun 15</t>
        </is>
      </c>
      <c r="K487" s="4" t="inlineStr">
        <is>
          <t>UNL</t>
        </is>
      </c>
      <c r="L487" s="4" t="inlineStr">
        <is>
          <t>Not valid on National Forest lands, FWP WMAs, or CMR Refuge. Valid in all Region 4 HDs except HDs 410 and 455 as listed under each HD.</t>
        </is>
      </c>
    </row>
    <row r="488">
      <c r="A488" s="4" t="inlineStr">
        <is>
          <t>419</t>
        </is>
      </c>
      <c r="B488" s="4" t="inlineStr">
        <is>
          <t>elk</t>
        </is>
      </c>
      <c r="C488" s="4" t="inlineStr">
        <is>
          <t>General Elk License</t>
        </is>
      </c>
      <c r="D488" s="13" t="inlineStr">
        <is>
          <t>General license</t>
        </is>
      </c>
      <c r="E488" s="4" t="inlineStr">
        <is>
          <t>Either-sex Elk</t>
        </is>
      </c>
      <c r="F488" s="4" t="inlineStr">
        <is>
          <t>Sep 05-Oct 18</t>
        </is>
      </c>
      <c r="G488" s="4" t="inlineStr">
        <is>
          <t>Oct 24-Nov 29</t>
        </is>
      </c>
      <c r="H488" s="4" t="inlineStr">
        <is>
          <t>Dec 12-Dec 20</t>
        </is>
      </c>
      <c r="I488" s="4" t="n"/>
      <c r="J488" s="4" t="n"/>
      <c r="K488" s="4" t="n"/>
      <c r="L488" s="4" t="n"/>
    </row>
    <row r="489">
      <c r="A489" s="4" t="inlineStr">
        <is>
          <t>419</t>
        </is>
      </c>
      <c r="B489" s="4" t="inlineStr">
        <is>
          <t>elk</t>
        </is>
      </c>
      <c r="C489" s="4" t="inlineStr">
        <is>
          <t>General Elk License</t>
        </is>
      </c>
      <c r="D489" s="13" t="inlineStr">
        <is>
          <t>General license</t>
        </is>
      </c>
      <c r="E489" s="4" t="inlineStr">
        <is>
          <t>Antlerless Elk</t>
        </is>
      </c>
      <c r="F489" s="4" t="n"/>
      <c r="G489" s="4" t="n"/>
      <c r="H489" s="4" t="n"/>
      <c r="I489" s="4" t="inlineStr">
        <is>
          <t>Nov 30-Feb 15</t>
        </is>
      </c>
      <c r="J489" s="4" t="n"/>
      <c r="K489" s="4" t="n"/>
      <c r="L489" s="4" t="n"/>
    </row>
    <row r="490">
      <c r="A490" s="4" t="inlineStr">
        <is>
          <t>419</t>
        </is>
      </c>
      <c r="B490" s="4" t="inlineStr">
        <is>
          <t>elk</t>
        </is>
      </c>
      <c r="C490" s="4" t="inlineStr">
        <is>
          <t>Elk B License: 004-00</t>
        </is>
      </c>
      <c r="D490" s="4" t="inlineStr">
        <is>
          <t>Over the counter</t>
        </is>
      </c>
      <c r="E490" s="4" t="inlineStr">
        <is>
          <t>Antlerless Elk</t>
        </is>
      </c>
      <c r="F490" s="4" t="inlineStr">
        <is>
          <t>Sep 05-Oct 18</t>
        </is>
      </c>
      <c r="G490" s="4" t="inlineStr">
        <is>
          <t>Oct 24-Nov 29</t>
        </is>
      </c>
      <c r="H490" s="4" t="n"/>
      <c r="I490" s="4" t="inlineStr">
        <is>
          <t>Nov 30-Feb 15</t>
        </is>
      </c>
      <c r="J490" s="4" t="inlineStr">
        <is>
          <t>OTC: Jun 15</t>
        </is>
      </c>
      <c r="K490" s="4" t="inlineStr">
        <is>
          <t>UNL</t>
        </is>
      </c>
      <c r="L490" s="4" t="inlineStr">
        <is>
          <t>Not valid on National Forest lands, FWP WMAs, or CMR Refuge. Valid in all Region 4 HDs except HDs 410 and 455 as listed under each HD.</t>
        </is>
      </c>
    </row>
    <row r="491">
      <c r="A491" s="4" t="inlineStr">
        <is>
          <t>420</t>
        </is>
      </c>
      <c r="B491" s="4" t="inlineStr">
        <is>
          <t>elk</t>
        </is>
      </c>
      <c r="C491" s="4" t="inlineStr">
        <is>
          <t>General Elk License</t>
        </is>
      </c>
      <c r="D491" s="13" t="inlineStr">
        <is>
          <t>General license</t>
        </is>
      </c>
      <c r="E491" s="4" t="inlineStr">
        <is>
          <t>Brow-tined Bull or Antlerless Elk</t>
        </is>
      </c>
      <c r="F491" s="4" t="inlineStr">
        <is>
          <t>Sep 05-Oct 18</t>
        </is>
      </c>
      <c r="G491" s="4" t="n"/>
      <c r="H491" s="4" t="n"/>
      <c r="I491" s="4" t="n"/>
      <c r="J491" s="4" t="n"/>
      <c r="K491" s="4" t="n"/>
      <c r="L491" s="4" t="n"/>
    </row>
    <row r="492">
      <c r="A492" s="4" t="inlineStr">
        <is>
          <t>420</t>
        </is>
      </c>
      <c r="B492" s="4" t="inlineStr">
        <is>
          <t>elk</t>
        </is>
      </c>
      <c r="C492" s="4" t="inlineStr">
        <is>
          <t>Elk B License: 004-00</t>
        </is>
      </c>
      <c r="D492" s="4" t="inlineStr">
        <is>
          <t>Over the counter</t>
        </is>
      </c>
      <c r="E492" s="4" t="inlineStr">
        <is>
          <t>Antlerless Elk</t>
        </is>
      </c>
      <c r="F492" s="4" t="inlineStr">
        <is>
          <t>Sep 05-Oct 18</t>
        </is>
      </c>
      <c r="G492" s="4" t="inlineStr">
        <is>
          <t>Oct 24-Nov 29</t>
        </is>
      </c>
      <c r="H492" s="4" t="inlineStr">
        <is>
          <t>Dec 12-Dec 20</t>
        </is>
      </c>
      <c r="I492" s="4" t="n"/>
      <c r="J492" s="4" t="inlineStr">
        <is>
          <t>OTC: Jun 15</t>
        </is>
      </c>
      <c r="K492" s="4" t="inlineStr">
        <is>
          <t>UNL</t>
        </is>
      </c>
      <c r="L492" s="4" t="inlineStr">
        <is>
          <t>Not valid on National Forest lands, FWP WMAs, or CMR Refuge. Valid in all Region 4 HDs except HDs 410 and 455 as listed under each HD.</t>
        </is>
      </c>
    </row>
    <row r="493">
      <c r="A493" s="4" t="inlineStr">
        <is>
          <t>420</t>
        </is>
      </c>
      <c r="B493" s="4" t="inlineStr">
        <is>
          <t>elk</t>
        </is>
      </c>
      <c r="C493" s="4" t="inlineStr">
        <is>
          <t>Elk B License: 448-00</t>
        </is>
      </c>
      <c r="D493" s="15" t="inlineStr">
        <is>
          <t>Drawing</t>
        </is>
      </c>
      <c r="E493" s="4" t="inlineStr">
        <is>
          <t>Antlerless Elk</t>
        </is>
      </c>
      <c r="F493" s="4" t="inlineStr">
        <is>
          <t>Sep 05-Oct 18</t>
        </is>
      </c>
      <c r="G493" s="4" t="inlineStr">
        <is>
          <t>Oct 24-Nov 29</t>
        </is>
      </c>
      <c r="H493" s="4" t="inlineStr">
        <is>
          <t>Dec 12-Dec 20</t>
        </is>
      </c>
      <c r="I493" s="4" t="n"/>
      <c r="J493" s="4" t="inlineStr">
        <is>
          <t>Jun 1</t>
        </is>
      </c>
      <c r="K493" s="4" t="inlineStr">
        <is>
          <t>150</t>
        </is>
      </c>
      <c r="L493" s="4" t="inlineStr">
        <is>
          <t>Only valid in HDs 420 and 448.</t>
        </is>
      </c>
    </row>
    <row r="494">
      <c r="A494" s="4" t="inlineStr">
        <is>
          <t>420</t>
        </is>
      </c>
      <c r="B494" s="4" t="inlineStr">
        <is>
          <t>elk</t>
        </is>
      </c>
      <c r="C494" s="4" t="inlineStr">
        <is>
          <t>Elk Permit: 420-20</t>
        </is>
      </c>
      <c r="D494" s="15" t="inlineStr">
        <is>
          <t>Drawing</t>
        </is>
      </c>
      <c r="E494" s="4" t="inlineStr">
        <is>
          <t>Brow-tined Bull or Antlerless Elk</t>
        </is>
      </c>
      <c r="F494" s="4" t="inlineStr">
        <is>
          <t>Sep 05-Oct 18</t>
        </is>
      </c>
      <c r="G494" s="4" t="inlineStr">
        <is>
          <t>Oct 24-Nov 29</t>
        </is>
      </c>
      <c r="H494" s="4" t="inlineStr">
        <is>
          <t>Dec 12-Dec 20</t>
        </is>
      </c>
      <c r="I494" s="4" t="n"/>
      <c r="J494" s="4" t="inlineStr">
        <is>
          <t>April 1</t>
        </is>
      </c>
      <c r="K494" s="4" t="inlineStr">
        <is>
          <t>80</t>
        </is>
      </c>
      <c r="L494" s="4" t="inlineStr">
        <is>
          <t>Permit must be used with a valid General Elk License. Holders may not hunt Antlered Elk in any other HD during these described season dates. LICENSE/PERMIT OPPORTUNITY APPL Y BY DATE QUOTA QUOTA RANGE EARL Y SEASON DATES ARCHERY ONL Y SEASON DATES GENERAL SEASON DATES HERITAGE MUZZLELOADER SEASON DA</t>
        </is>
      </c>
    </row>
    <row r="495">
      <c r="A495" s="4" t="inlineStr">
        <is>
          <t>421</t>
        </is>
      </c>
      <c r="B495" s="4" t="inlineStr">
        <is>
          <t>elk</t>
        </is>
      </c>
      <c r="C495" s="4" t="inlineStr">
        <is>
          <t>General Elk License</t>
        </is>
      </c>
      <c r="D495" s="13" t="inlineStr">
        <is>
          <t>General license</t>
        </is>
      </c>
      <c r="E495" s="4" t="inlineStr">
        <is>
          <t>Antlerless Elk</t>
        </is>
      </c>
      <c r="F495" s="4" t="n"/>
      <c r="G495" s="4" t="n"/>
      <c r="H495" s="4" t="n"/>
      <c r="I495" s="4" t="inlineStr">
        <is>
          <t>Jan 01-Feb 15</t>
        </is>
      </c>
      <c r="J495" s="4" t="n"/>
      <c r="K495" s="4" t="n"/>
      <c r="L495" s="4" t="inlineStr">
        <is>
          <t>Only valid outside National Forest boundary.</t>
        </is>
      </c>
    </row>
    <row r="496">
      <c r="A496" s="4" t="inlineStr">
        <is>
          <t>421</t>
        </is>
      </c>
      <c r="B496" s="4" t="inlineStr">
        <is>
          <t>elk</t>
        </is>
      </c>
      <c r="C496" s="4" t="inlineStr">
        <is>
          <t>General Elk License</t>
        </is>
      </c>
      <c r="D496" s="13" t="inlineStr">
        <is>
          <t>General license</t>
        </is>
      </c>
      <c r="E496" s="4" t="inlineStr">
        <is>
          <t>Either-sex Elk</t>
        </is>
      </c>
      <c r="F496" s="4" t="inlineStr">
        <is>
          <t>Sep 05-Oct 18</t>
        </is>
      </c>
      <c r="G496" s="4" t="inlineStr">
        <is>
          <t>Oct 24-Nov 29</t>
        </is>
      </c>
      <c r="H496" s="4" t="inlineStr">
        <is>
          <t>Dec 12-Dec 20</t>
        </is>
      </c>
      <c r="I496" s="4" t="n"/>
      <c r="J496" s="4" t="n"/>
      <c r="K496" s="4" t="n"/>
      <c r="L496" s="4" t="n"/>
    </row>
    <row r="497">
      <c r="A497" s="4" t="inlineStr">
        <is>
          <t>421</t>
        </is>
      </c>
      <c r="B497" s="4" t="inlineStr">
        <is>
          <t>elk</t>
        </is>
      </c>
      <c r="C497" s="4" t="inlineStr">
        <is>
          <t>Elk B License: 004-00</t>
        </is>
      </c>
      <c r="D497" s="4" t="inlineStr">
        <is>
          <t>Over the counter</t>
        </is>
      </c>
      <c r="E497" s="4" t="inlineStr">
        <is>
          <t>Antlerless Elk</t>
        </is>
      </c>
      <c r="F497" s="4" t="inlineStr">
        <is>
          <t>Sep 05-Oct 18</t>
        </is>
      </c>
      <c r="G497" s="4" t="inlineStr">
        <is>
          <t>Oct 24-Nov 29</t>
        </is>
      </c>
      <c r="H497" s="4" t="inlineStr">
        <is>
          <t>Dec 12-Dec 20</t>
        </is>
      </c>
      <c r="I497" s="4" t="inlineStr">
        <is>
          <t>Jan 01-Feb 15</t>
        </is>
      </c>
      <c r="J497" s="4" t="inlineStr">
        <is>
          <t>OTC: Jun 15</t>
        </is>
      </c>
      <c r="K497" s="4" t="inlineStr">
        <is>
          <t>UNL</t>
        </is>
      </c>
      <c r="L497" s="4" t="inlineStr">
        <is>
          <t>Not valid on National Forest lands, FWP WMAs, or CMR Refuge. Valid in all Region 4 HDs except HDs 410 and 455 as listed under each HD.</t>
        </is>
      </c>
    </row>
    <row r="498">
      <c r="A498" s="4" t="inlineStr">
        <is>
          <t>422</t>
        </is>
      </c>
      <c r="B498" s="4" t="inlineStr">
        <is>
          <t>elk</t>
        </is>
      </c>
      <c r="C498" s="4" t="inlineStr">
        <is>
          <t>General Elk License</t>
        </is>
      </c>
      <c r="D498" s="13" t="inlineStr">
        <is>
          <t>General license</t>
        </is>
      </c>
      <c r="E498" s="4" t="inlineStr">
        <is>
          <t>Antlerless Elk</t>
        </is>
      </c>
      <c r="F498" s="4" t="n"/>
      <c r="G498" s="4" t="n"/>
      <c r="H498" s="4" t="n"/>
      <c r="I498" s="4" t="inlineStr">
        <is>
          <t>Jan 01-Feb 15</t>
        </is>
      </c>
      <c r="J498" s="4" t="n"/>
      <c r="K498" s="4" t="n"/>
      <c r="L498" s="4" t="inlineStr">
        <is>
          <t>Not valid on National Forest Land.</t>
        </is>
      </c>
    </row>
    <row r="499">
      <c r="A499" s="4" t="inlineStr">
        <is>
          <t>422</t>
        </is>
      </c>
      <c r="B499" s="4" t="inlineStr">
        <is>
          <t>elk</t>
        </is>
      </c>
      <c r="C499" s="4" t="inlineStr">
        <is>
          <t>General Elk License</t>
        </is>
      </c>
      <c r="D499" s="13" t="inlineStr">
        <is>
          <t>General license</t>
        </is>
      </c>
      <c r="E499" s="4" t="inlineStr">
        <is>
          <t>Either-sex Elk</t>
        </is>
      </c>
      <c r="F499" s="4" t="inlineStr">
        <is>
          <t>Sep 05-Oct 18</t>
        </is>
      </c>
      <c r="G499" s="4" t="inlineStr">
        <is>
          <t>Oct 24-Nov 29</t>
        </is>
      </c>
      <c r="H499" s="4" t="inlineStr">
        <is>
          <t>Dec 12-Dec 20</t>
        </is>
      </c>
      <c r="I499" s="4" t="n"/>
      <c r="J499" s="4" t="n"/>
      <c r="K499" s="4" t="n"/>
      <c r="L499" s="4" t="n"/>
    </row>
    <row r="500">
      <c r="A500" s="4" t="inlineStr">
        <is>
          <t>422</t>
        </is>
      </c>
      <c r="B500" s="4" t="inlineStr">
        <is>
          <t>elk</t>
        </is>
      </c>
      <c r="C500" s="4" t="inlineStr">
        <is>
          <t>Elk B License: 004-00</t>
        </is>
      </c>
      <c r="D500" s="4" t="inlineStr">
        <is>
          <t>Over the counter</t>
        </is>
      </c>
      <c r="E500" s="4" t="inlineStr">
        <is>
          <t>Antlerless Elk</t>
        </is>
      </c>
      <c r="F500" s="4" t="inlineStr">
        <is>
          <t>Sep 05-Oct 18</t>
        </is>
      </c>
      <c r="G500" s="4" t="inlineStr">
        <is>
          <t>Oct 24-Nov 29</t>
        </is>
      </c>
      <c r="H500" s="4" t="inlineStr">
        <is>
          <t>Dec 12-Dec 20</t>
        </is>
      </c>
      <c r="I500" s="4" t="inlineStr">
        <is>
          <t>Jan 01-Feb 15</t>
        </is>
      </c>
      <c r="J500" s="4" t="inlineStr">
        <is>
          <t>OTC: Jun 15</t>
        </is>
      </c>
      <c r="K500" s="4" t="inlineStr">
        <is>
          <t>UNL</t>
        </is>
      </c>
      <c r="L500" s="4" t="inlineStr">
        <is>
          <t>Not valid on National Forest lands, FWP WMAs, or CMR Refuge. Valid in all Region 4 HDs except HDs 410 and 455 as listed under each HD.</t>
        </is>
      </c>
    </row>
    <row r="501">
      <c r="A501" s="4" t="inlineStr">
        <is>
          <t>422</t>
        </is>
      </c>
      <c r="B501" s="4" t="inlineStr">
        <is>
          <t>elk</t>
        </is>
      </c>
      <c r="C501" s="4" t="inlineStr">
        <is>
          <t>Elk B License: 422-00</t>
        </is>
      </c>
      <c r="D501" s="15" t="inlineStr">
        <is>
          <t>Drawing</t>
        </is>
      </c>
      <c r="E501" s="4" t="inlineStr">
        <is>
          <t>Antlerless Elk</t>
        </is>
      </c>
      <c r="F501" s="4" t="n"/>
      <c r="G501" s="4" t="n"/>
      <c r="H501" s="4" t="n"/>
      <c r="I501" s="4" t="inlineStr">
        <is>
          <t>Jan 01-Feb 15</t>
        </is>
      </c>
      <c r="J501" s="4" t="inlineStr">
        <is>
          <t>Jun 1</t>
        </is>
      </c>
      <c r="K501" s="4" t="inlineStr">
        <is>
          <t>200</t>
        </is>
      </c>
      <c r="L501" s="4" t="inlineStr">
        <is>
          <t>Not valid on National Forest Lands. 99 2026 Deer • Elk • Antelope Visit fwp.mt.gov LICENSE/PERMIT OPPORTUNITY APPL Y BY DATE QUOTA QUOTA RANGE EARL Y SEASON DATES ARCHERY ONL Y SEASON DATES GENERAL SEASON DATES HERITAGE MUZZLELOADER SEASON DATES LATE SEASON DATES OPPORTUNITY SPECIFIC DETAILS AND/ORR</t>
        </is>
      </c>
    </row>
    <row r="502">
      <c r="A502" s="4" t="inlineStr">
        <is>
          <t>424</t>
        </is>
      </c>
      <c r="B502" s="4" t="inlineStr">
        <is>
          <t>elk</t>
        </is>
      </c>
      <c r="C502" s="4" t="inlineStr">
        <is>
          <t>General Elk License</t>
        </is>
      </c>
      <c r="D502" s="13" t="inlineStr">
        <is>
          <t>General license</t>
        </is>
      </c>
      <c r="E502" s="4" t="inlineStr">
        <is>
          <t>Antlerless Elk</t>
        </is>
      </c>
      <c r="F502" s="4" t="n"/>
      <c r="G502" s="4" t="inlineStr">
        <is>
          <t>Oct 24-Oct 27</t>
        </is>
      </c>
      <c r="H502" s="4" t="n"/>
      <c r="I502" s="4" t="n"/>
      <c r="J502" s="4" t="n"/>
      <c r="K502" s="4" t="n"/>
      <c r="L502" s="4" t="n"/>
    </row>
    <row r="503">
      <c r="A503" s="4" t="inlineStr">
        <is>
          <t>424</t>
        </is>
      </c>
      <c r="B503" s="4" t="inlineStr">
        <is>
          <t>elk</t>
        </is>
      </c>
      <c r="C503" s="4" t="inlineStr">
        <is>
          <t>General Elk License</t>
        </is>
      </c>
      <c r="D503" s="13" t="inlineStr">
        <is>
          <t>General license</t>
        </is>
      </c>
      <c r="E503" s="4" t="inlineStr">
        <is>
          <t>Brow-tined Bull Elk</t>
        </is>
      </c>
      <c r="F503" s="4" t="inlineStr">
        <is>
          <t>Sep 05-Oct 18</t>
        </is>
      </c>
      <c r="G503" s="4" t="inlineStr">
        <is>
          <t>Oct 28-Nov 29</t>
        </is>
      </c>
      <c r="H503" s="4" t="inlineStr">
        <is>
          <t>Dec 12-Dec 20</t>
        </is>
      </c>
      <c r="I503" s="4" t="n"/>
      <c r="J503" s="4" t="n"/>
      <c r="K503" s="4" t="n"/>
      <c r="L503" s="4" t="n"/>
    </row>
    <row r="504">
      <c r="A504" s="4" t="inlineStr">
        <is>
          <t>424</t>
        </is>
      </c>
      <c r="B504" s="4" t="inlineStr">
        <is>
          <t>elk</t>
        </is>
      </c>
      <c r="C504" s="4" t="inlineStr">
        <is>
          <t>Elk B License: 004-00</t>
        </is>
      </c>
      <c r="D504" s="4" t="inlineStr">
        <is>
          <t>Over the counter</t>
        </is>
      </c>
      <c r="E504" s="4" t="inlineStr">
        <is>
          <t>Antlerless Elk</t>
        </is>
      </c>
      <c r="F504" s="4" t="inlineStr">
        <is>
          <t>Sep 05-Oct 18</t>
        </is>
      </c>
      <c r="G504" s="4" t="inlineStr">
        <is>
          <t>Oct 24-Nov 29</t>
        </is>
      </c>
      <c r="H504" s="4" t="inlineStr">
        <is>
          <t>Dec 12-Dec 20</t>
        </is>
      </c>
      <c r="I504" s="4" t="n"/>
      <c r="J504" s="4" t="inlineStr">
        <is>
          <t>OTC: Jun 15</t>
        </is>
      </c>
      <c r="K504" s="4" t="inlineStr">
        <is>
          <t>UNL</t>
        </is>
      </c>
      <c r="L504" s="4" t="inlineStr">
        <is>
          <t>Not valid on National Forest lands, FWP WMAs, or CMR Refuge. Valid in all Region 4 HDs except HDs 410 and 455 as listed under each HD.</t>
        </is>
      </c>
    </row>
    <row r="505">
      <c r="A505" s="4" t="inlineStr">
        <is>
          <t>425</t>
        </is>
      </c>
      <c r="B505" s="4" t="inlineStr">
        <is>
          <t>elk</t>
        </is>
      </c>
      <c r="C505" s="4" t="inlineStr">
        <is>
          <t>General Elk License</t>
        </is>
      </c>
      <c r="D505" s="13" t="inlineStr">
        <is>
          <t>General license</t>
        </is>
      </c>
      <c r="E505" s="4" t="inlineStr">
        <is>
          <t>Brow-tined Bull or Antlerless Elk</t>
        </is>
      </c>
      <c r="F505" s="4" t="inlineStr">
        <is>
          <t>Sep 05-Oct 18</t>
        </is>
      </c>
      <c r="G505" s="4" t="n"/>
      <c r="H505" s="4" t="n"/>
      <c r="I505" s="4" t="n"/>
      <c r="J505" s="4" t="n"/>
      <c r="K505" s="4" t="n"/>
      <c r="L505" s="4" t="n"/>
    </row>
    <row r="506">
      <c r="A506" s="4" t="inlineStr">
        <is>
          <t>425</t>
        </is>
      </c>
      <c r="B506" s="4" t="inlineStr">
        <is>
          <t>elk</t>
        </is>
      </c>
      <c r="C506" s="4" t="inlineStr">
        <is>
          <t>General Elk License</t>
        </is>
      </c>
      <c r="D506" s="13" t="inlineStr">
        <is>
          <t>General license</t>
        </is>
      </c>
      <c r="E506" s="4" t="inlineStr">
        <is>
          <t>Antlerless Elk</t>
        </is>
      </c>
      <c r="F506" s="4" t="n"/>
      <c r="G506" s="4" t="inlineStr">
        <is>
          <t>Oct 24-Nov 29</t>
        </is>
      </c>
      <c r="H506" s="4" t="inlineStr">
        <is>
          <t>Dec 12-Dec 20</t>
        </is>
      </c>
      <c r="I506" s="4" t="n"/>
      <c r="J506" s="4" t="n"/>
      <c r="K506" s="4" t="n"/>
      <c r="L506" s="4" t="inlineStr">
        <is>
          <t>Only valid outside the Sun River WMA.</t>
        </is>
      </c>
    </row>
    <row r="507">
      <c r="A507" s="4" t="inlineStr">
        <is>
          <t>425</t>
        </is>
      </c>
      <c r="B507" s="4" t="inlineStr">
        <is>
          <t>elk</t>
        </is>
      </c>
      <c r="C507" s="4" t="inlineStr">
        <is>
          <t>Elk B License: 004-00</t>
        </is>
      </c>
      <c r="D507" s="4" t="inlineStr">
        <is>
          <t>Over the counter</t>
        </is>
      </c>
      <c r="E507" s="4" t="inlineStr">
        <is>
          <t>Antlerless Elk</t>
        </is>
      </c>
      <c r="F507" s="4" t="inlineStr">
        <is>
          <t>Sep 05-Oct 18</t>
        </is>
      </c>
      <c r="G507" s="4" t="inlineStr">
        <is>
          <t>Oct 24-Nov 29</t>
        </is>
      </c>
      <c r="H507" s="4" t="inlineStr">
        <is>
          <t>Dec 12-Dec 20</t>
        </is>
      </c>
      <c r="I507" s="4" t="n"/>
      <c r="J507" s="4" t="inlineStr">
        <is>
          <t>OTC: Jun 15</t>
        </is>
      </c>
      <c r="K507" s="4" t="inlineStr">
        <is>
          <t>UNL</t>
        </is>
      </c>
      <c r="L507" s="4" t="inlineStr">
        <is>
          <t>Not valid on National Forest lands, FWP WMAs, or CMR Refuge. Valid in all Region 4 HDs except HDs 410 and 455 as listed under each HD.</t>
        </is>
      </c>
    </row>
    <row r="508">
      <c r="A508" s="4" t="inlineStr">
        <is>
          <t>425</t>
        </is>
      </c>
      <c r="B508" s="4" t="inlineStr">
        <is>
          <t>elk</t>
        </is>
      </c>
      <c r="C508" s="4" t="inlineStr">
        <is>
          <t>Elk B License: 425-00</t>
        </is>
      </c>
      <c r="D508" s="15" t="inlineStr">
        <is>
          <t>Drawing</t>
        </is>
      </c>
      <c r="E508" s="4" t="inlineStr">
        <is>
          <t>Antlerless Elk</t>
        </is>
      </c>
      <c r="F508" s="4" t="n"/>
      <c r="G508" s="4" t="inlineStr">
        <is>
          <t>Oct 19-Oct 25</t>
        </is>
      </c>
      <c r="H508" s="4" t="n"/>
      <c r="I508" s="4" t="n"/>
      <c r="J508" s="4" t="inlineStr">
        <is>
          <t>Jun 1</t>
        </is>
      </c>
      <c r="K508" s="4" t="inlineStr">
        <is>
          <t>30</t>
        </is>
      </c>
      <c r="L508" s="4" t="inlineStr">
        <is>
          <t>Valid entire HD including Sun River WMA.</t>
        </is>
      </c>
    </row>
    <row r="509">
      <c r="A509" s="4" t="inlineStr">
        <is>
          <t>425</t>
        </is>
      </c>
      <c r="B509" s="4" t="inlineStr">
        <is>
          <t>elk</t>
        </is>
      </c>
      <c r="C509" s="4" t="inlineStr">
        <is>
          <t>Elk B License: 425-01</t>
        </is>
      </c>
      <c r="D509" s="15" t="inlineStr">
        <is>
          <t>Drawing</t>
        </is>
      </c>
      <c r="E509" s="4" t="inlineStr">
        <is>
          <t>Antlerless Elk</t>
        </is>
      </c>
      <c r="F509" s="4" t="n"/>
      <c r="G509" s="4" t="inlineStr">
        <is>
          <t>Oct 26-Nov 01</t>
        </is>
      </c>
      <c r="H509" s="4" t="n"/>
      <c r="I509" s="4" t="n"/>
      <c r="J509" s="4" t="inlineStr">
        <is>
          <t>Jun 1</t>
        </is>
      </c>
      <c r="K509" s="4" t="inlineStr">
        <is>
          <t>25</t>
        </is>
      </c>
      <c r="L509" s="4" t="inlineStr">
        <is>
          <t>Valid entire HD including Sun River WMA.</t>
        </is>
      </c>
    </row>
    <row r="510">
      <c r="A510" s="4" t="inlineStr">
        <is>
          <t>425</t>
        </is>
      </c>
      <c r="B510" s="4" t="inlineStr">
        <is>
          <t>elk</t>
        </is>
      </c>
      <c r="C510" s="4" t="inlineStr">
        <is>
          <t>Elk B License: 425-02</t>
        </is>
      </c>
      <c r="D510" s="15" t="inlineStr">
        <is>
          <t>Drawing</t>
        </is>
      </c>
      <c r="E510" s="4" t="inlineStr">
        <is>
          <t>Antlerless Elk</t>
        </is>
      </c>
      <c r="F510" s="4" t="n"/>
      <c r="G510" s="4" t="inlineStr">
        <is>
          <t>Nov 02-Nov 08</t>
        </is>
      </c>
      <c r="H510" s="4" t="n"/>
      <c r="I510" s="4" t="n"/>
      <c r="J510" s="4" t="inlineStr">
        <is>
          <t>Jun 1</t>
        </is>
      </c>
      <c r="K510" s="4" t="inlineStr">
        <is>
          <t>20</t>
        </is>
      </c>
      <c r="L510" s="4" t="inlineStr">
        <is>
          <t>Valid entire HD including Sun River WMA.</t>
        </is>
      </c>
    </row>
    <row r="511">
      <c r="A511" s="4" t="inlineStr">
        <is>
          <t>425</t>
        </is>
      </c>
      <c r="B511" s="4" t="inlineStr">
        <is>
          <t>elk</t>
        </is>
      </c>
      <c r="C511" s="4" t="inlineStr">
        <is>
          <t>Elk Permit: 425-20</t>
        </is>
      </c>
      <c r="D511" s="15" t="inlineStr">
        <is>
          <t>Drawing</t>
        </is>
      </c>
      <c r="E511" s="4" t="inlineStr">
        <is>
          <t>Either-sex Elk</t>
        </is>
      </c>
      <c r="F511" s="4" t="n"/>
      <c r="G511" s="4" t="inlineStr">
        <is>
          <t>Oct 24-Nov 29</t>
        </is>
      </c>
      <c r="H511" s="4" t="inlineStr">
        <is>
          <t>Dec 12-Dec 20</t>
        </is>
      </c>
      <c r="I511" s="4" t="n"/>
      <c r="J511" s="4" t="inlineStr">
        <is>
          <t>April 1</t>
        </is>
      </c>
      <c r="K511" s="4" t="inlineStr">
        <is>
          <t>5</t>
        </is>
      </c>
      <c r="L511" s="4" t="inlineStr">
        <is>
          <t>Valid entire HD including Sun River WMA. Permit must be used with a valid General Elk License. Holders may not hunt Antlered Elk in any other HD during these described season dates. LICENSE/PERMIT OPPORTUNITY APPL Y BY DATE QUOTA QUOTA RANGE EARL Y SEASON DATES ARCHERY ONL Y SEASON DATES GENERAL SEA</t>
        </is>
      </c>
    </row>
    <row r="512">
      <c r="A512" s="4" t="inlineStr">
        <is>
          <t>426</t>
        </is>
      </c>
      <c r="B512" s="4" t="inlineStr">
        <is>
          <t>elk</t>
        </is>
      </c>
      <c r="C512" s="4" t="inlineStr">
        <is>
          <t>General Elk License</t>
        </is>
      </c>
      <c r="D512" s="13" t="inlineStr">
        <is>
          <t>General license</t>
        </is>
      </c>
      <c r="E512" s="4" t="inlineStr">
        <is>
          <t>Antlerless Elk</t>
        </is>
      </c>
      <c r="F512" s="4" t="inlineStr">
        <is>
          <t>Sep 05-Oct 18</t>
        </is>
      </c>
      <c r="G512" s="4" t="inlineStr">
        <is>
          <t>Oct 24-Nov 29</t>
        </is>
      </c>
      <c r="H512" s="4" t="inlineStr">
        <is>
          <t>Dec 12-Dec 20</t>
        </is>
      </c>
      <c r="I512" s="4" t="n"/>
      <c r="J512" s="4" t="n"/>
      <c r="K512" s="4" t="n"/>
      <c r="L512" s="4" t="n"/>
    </row>
    <row r="513">
      <c r="A513" s="4" t="inlineStr">
        <is>
          <t>426</t>
        </is>
      </c>
      <c r="B513" s="4" t="inlineStr">
        <is>
          <t>elk</t>
        </is>
      </c>
      <c r="C513" s="4" t="inlineStr">
        <is>
          <t>Elk B License: 004-00</t>
        </is>
      </c>
      <c r="D513" s="4" t="inlineStr">
        <is>
          <t>Over the counter</t>
        </is>
      </c>
      <c r="E513" s="4" t="inlineStr">
        <is>
          <t>Antlerless Elk</t>
        </is>
      </c>
      <c r="F513" s="4" t="inlineStr">
        <is>
          <t>Sep 05-Oct 18</t>
        </is>
      </c>
      <c r="G513" s="4" t="inlineStr">
        <is>
          <t>Oct 24-Nov 29</t>
        </is>
      </c>
      <c r="H513" s="4" t="inlineStr">
        <is>
          <t>Dec 12-Dec 20</t>
        </is>
      </c>
      <c r="I513" s="4" t="n"/>
      <c r="J513" s="4" t="inlineStr">
        <is>
          <t>OTC: Jun 15</t>
        </is>
      </c>
      <c r="K513" s="4" t="inlineStr">
        <is>
          <t>UNL</t>
        </is>
      </c>
      <c r="L513" s="4" t="inlineStr">
        <is>
          <t>Not valid on National Forest lands, FWP WMAs, or CMR Refuge. Valid in all Region 4 HDs except HDs 410 and 455 as listed under each HD.</t>
        </is>
      </c>
    </row>
    <row r="514">
      <c r="A514" s="4" t="inlineStr">
        <is>
          <t>426</t>
        </is>
      </c>
      <c r="B514" s="4" t="inlineStr">
        <is>
          <t>elk</t>
        </is>
      </c>
      <c r="C514" s="4" t="inlineStr">
        <is>
          <t>Elk Permit: 417-21</t>
        </is>
      </c>
      <c r="D514" s="15" t="inlineStr">
        <is>
          <t>Drawing</t>
        </is>
      </c>
      <c r="E514" s="4" t="inlineStr">
        <is>
          <t>Either-sex Elk</t>
        </is>
      </c>
      <c r="F514" s="4" t="inlineStr">
        <is>
          <t>Sep 05-Oct 18</t>
        </is>
      </c>
      <c r="G514" s="4" t="n"/>
      <c r="H514" s="4" t="n"/>
      <c r="I514" s="4" t="n"/>
      <c r="J514" s="4" t="inlineStr">
        <is>
          <t>April 1</t>
        </is>
      </c>
      <c r="K514" s="4" t="inlineStr">
        <is>
          <t>300</t>
        </is>
      </c>
      <c r="L514" s="4" t="inlineStr">
        <is>
          <t>1st and only choice. Only valid in HDs 417 and 426. Permit must be used with a valid General Elk License. Holders may not hunt Antlered Elk in any other HD during these described season dates.</t>
        </is>
      </c>
    </row>
    <row r="515">
      <c r="A515" s="4" t="inlineStr">
        <is>
          <t>426</t>
        </is>
      </c>
      <c r="B515" s="4" t="inlineStr">
        <is>
          <t>elk</t>
        </is>
      </c>
      <c r="C515" s="4" t="inlineStr">
        <is>
          <t>Elk Permit: 426-20</t>
        </is>
      </c>
      <c r="D515" s="15" t="inlineStr">
        <is>
          <t>Drawing</t>
        </is>
      </c>
      <c r="E515" s="4" t="inlineStr">
        <is>
          <t>Either-sex Elk</t>
        </is>
      </c>
      <c r="F515" s="4" t="inlineStr">
        <is>
          <t>Sep 05-Oct 18</t>
        </is>
      </c>
      <c r="G515" s="4" t="inlineStr">
        <is>
          <t>Oct 24-Nov 29</t>
        </is>
      </c>
      <c r="H515" s="4" t="inlineStr">
        <is>
          <t>Dec 12-Dec 20</t>
        </is>
      </c>
      <c r="I515" s="4" t="n"/>
      <c r="J515" s="4" t="inlineStr">
        <is>
          <t>April 1</t>
        </is>
      </c>
      <c r="K515" s="4" t="inlineStr">
        <is>
          <t>60</t>
        </is>
      </c>
      <c r="L515" s="4" t="inlineStr">
        <is>
          <t>1st and only choice. Permit must be used with a valid General Elk License. Holders may not hunt Antlered Elk in any other HD during these described season dates.</t>
        </is>
      </c>
    </row>
    <row r="516">
      <c r="A516" s="4" t="inlineStr">
        <is>
          <t>432</t>
        </is>
      </c>
      <c r="B516" s="4" t="inlineStr">
        <is>
          <t>elk</t>
        </is>
      </c>
      <c r="C516" s="4" t="inlineStr">
        <is>
          <t>General Elk License</t>
        </is>
      </c>
      <c r="D516" s="13" t="inlineStr">
        <is>
          <t>General license</t>
        </is>
      </c>
      <c r="E516" s="4" t="inlineStr">
        <is>
          <t>Brow-tined Bull or Antlerless Elk</t>
        </is>
      </c>
      <c r="F516" s="4" t="inlineStr">
        <is>
          <t>Sep 05-Oct 18</t>
        </is>
      </c>
      <c r="G516" s="4" t="inlineStr">
        <is>
          <t>Oct 24-Nov 29</t>
        </is>
      </c>
      <c r="H516" s="4" t="inlineStr">
        <is>
          <t>Dec 12-Dec 20</t>
        </is>
      </c>
      <c r="I516" s="4" t="n"/>
      <c r="J516" s="4" t="n"/>
      <c r="K516" s="4" t="n"/>
      <c r="L516" s="4" t="n"/>
    </row>
    <row r="517">
      <c r="A517" s="4" t="inlineStr">
        <is>
          <t>432</t>
        </is>
      </c>
      <c r="B517" s="4" t="inlineStr">
        <is>
          <t>elk</t>
        </is>
      </c>
      <c r="C517" s="4" t="inlineStr">
        <is>
          <t>General Elk License</t>
        </is>
      </c>
      <c r="D517" s="13" t="inlineStr">
        <is>
          <t>General license</t>
        </is>
      </c>
      <c r="E517" s="4" t="inlineStr">
        <is>
          <t>Antlerless Elk</t>
        </is>
      </c>
      <c r="F517" s="4" t="n"/>
      <c r="G517" s="4" t="n"/>
      <c r="H517" s="4" t="n"/>
      <c r="I517" s="4" t="inlineStr">
        <is>
          <t>Jan 01-Feb 15</t>
        </is>
      </c>
      <c r="J517" s="4" t="n"/>
      <c r="K517" s="4" t="n"/>
      <c r="L517" s="4" t="inlineStr">
        <is>
          <t>Not valid on National Forest lands.</t>
        </is>
      </c>
    </row>
    <row r="518">
      <c r="A518" s="4" t="inlineStr">
        <is>
          <t>432</t>
        </is>
      </c>
      <c r="B518" s="4" t="inlineStr">
        <is>
          <t>elk</t>
        </is>
      </c>
      <c r="C518" s="4" t="inlineStr">
        <is>
          <t>Elk B License: 004-00</t>
        </is>
      </c>
      <c r="D518" s="4" t="inlineStr">
        <is>
          <t>Over the counter</t>
        </is>
      </c>
      <c r="E518" s="4" t="inlineStr">
        <is>
          <t>Antlerless Elk</t>
        </is>
      </c>
      <c r="F518" s="4" t="inlineStr">
        <is>
          <t>Sep 05-Oct 18</t>
        </is>
      </c>
      <c r="G518" s="4" t="inlineStr">
        <is>
          <t>Oct 24-Nov 29</t>
        </is>
      </c>
      <c r="H518" s="4" t="inlineStr">
        <is>
          <t>Dec 12-Dec 20</t>
        </is>
      </c>
      <c r="I518" s="4" t="inlineStr">
        <is>
          <t>Jan 01-Feb 15</t>
        </is>
      </c>
      <c r="J518" s="4" t="inlineStr">
        <is>
          <t>OTC: Jun 15</t>
        </is>
      </c>
      <c r="K518" s="4" t="inlineStr">
        <is>
          <t>UNL</t>
        </is>
      </c>
      <c r="L518" s="4" t="inlineStr">
        <is>
          <t>Not valid on National Forest lands, FWP WMAs, or CMR Refuge. Valid in all Region 4 HDs except HDs 410 and 455 as listed under each HD. 101 2026 Deer • Elk • Antelope Visit fwp.mt.gov LICENSE/PERMIT OPPORTUNITY APPL Y BY DATE QUOTA QUOTA RANGE EARL Y SEASON DATES ARCHERY ONL Y SEASON DATES GENERAL SE</t>
        </is>
      </c>
    </row>
    <row r="519">
      <c r="A519" s="4" t="inlineStr">
        <is>
          <t>441</t>
        </is>
      </c>
      <c r="B519" s="4" t="inlineStr">
        <is>
          <t>elk</t>
        </is>
      </c>
      <c r="C519" s="4" t="inlineStr">
        <is>
          <t>General Elk License</t>
        </is>
      </c>
      <c r="D519" s="13" t="inlineStr">
        <is>
          <t>General license</t>
        </is>
      </c>
      <c r="E519" s="4" t="inlineStr">
        <is>
          <t>Antlerless Elk</t>
        </is>
      </c>
      <c r="F519" s="4" t="inlineStr">
        <is>
          <t>Sep 05-Oct 18</t>
        </is>
      </c>
      <c r="G519" s="4" t="inlineStr">
        <is>
          <t>Oct 24-Nov 29</t>
        </is>
      </c>
      <c r="H519" s="4" t="inlineStr">
        <is>
          <t>Dec 12-Dec 20</t>
        </is>
      </c>
      <c r="I519" s="4" t="n"/>
      <c r="J519" s="4" t="n"/>
      <c r="K519" s="4" t="n"/>
      <c r="L519" s="4" t="n"/>
    </row>
    <row r="520">
      <c r="A520" s="4" t="inlineStr">
        <is>
          <t>441</t>
        </is>
      </c>
      <c r="B520" s="4" t="inlineStr">
        <is>
          <t>elk</t>
        </is>
      </c>
      <c r="C520" s="4" t="inlineStr">
        <is>
          <t>General Elk License</t>
        </is>
      </c>
      <c r="D520" s="13" t="inlineStr">
        <is>
          <t>General license</t>
        </is>
      </c>
      <c r="E520" s="4" t="inlineStr">
        <is>
          <t>Brow-tined Bull or Antlerless Elk</t>
        </is>
      </c>
      <c r="F520" s="4" t="inlineStr">
        <is>
          <t>Sep 05-Oct 18</t>
        </is>
      </c>
      <c r="G520" s="4" t="inlineStr">
        <is>
          <t>Oct 24-Nov 29</t>
        </is>
      </c>
      <c r="H520" s="4" t="inlineStr">
        <is>
          <t>Dec 12-Dec 20</t>
        </is>
      </c>
      <c r="I520" s="4" t="n"/>
      <c r="J520" s="4" t="n"/>
      <c r="K520" s="4" t="n"/>
      <c r="L520" s="4" t="inlineStr">
        <is>
          <t>Only valid in Bob Marshall Wilderness.</t>
        </is>
      </c>
    </row>
    <row r="521">
      <c r="A521" s="4" t="inlineStr">
        <is>
          <t>441</t>
        </is>
      </c>
      <c r="B521" s="4" t="inlineStr">
        <is>
          <t>elk</t>
        </is>
      </c>
      <c r="C521" s="4" t="inlineStr">
        <is>
          <t>General Elk License</t>
        </is>
      </c>
      <c r="D521" s="13" t="inlineStr">
        <is>
          <t>General license</t>
        </is>
      </c>
      <c r="E521" s="4" t="inlineStr">
        <is>
          <t>Either-sex Elk</t>
        </is>
      </c>
      <c r="F521" s="4" t="inlineStr">
        <is>
          <t>Sep 05-Oct 18</t>
        </is>
      </c>
      <c r="G521" s="4" t="n"/>
      <c r="H521" s="4" t="n"/>
      <c r="I521" s="4" t="n"/>
      <c r="J521" s="4" t="n"/>
      <c r="K521" s="4" t="n"/>
      <c r="L521" s="4" t="inlineStr">
        <is>
          <t>Only valid outside the Bob Marshall Wilderness.</t>
        </is>
      </c>
    </row>
    <row r="522">
      <c r="A522" s="4" t="inlineStr">
        <is>
          <t>441</t>
        </is>
      </c>
      <c r="B522" s="4" t="inlineStr">
        <is>
          <t>elk</t>
        </is>
      </c>
      <c r="C522" s="4" t="inlineStr">
        <is>
          <t>General Elk License</t>
        </is>
      </c>
      <c r="D522" s="13" t="inlineStr">
        <is>
          <t>General license</t>
        </is>
      </c>
      <c r="E522" s="4" t="inlineStr">
        <is>
          <t>Antlerless Elk</t>
        </is>
      </c>
      <c r="F522" s="4" t="n"/>
      <c r="G522" s="4" t="n"/>
      <c r="H522" s="4" t="n"/>
      <c r="I522" s="4" t="inlineStr">
        <is>
          <t>Jan 01-Feb 15</t>
        </is>
      </c>
      <c r="J522" s="4" t="n"/>
      <c r="K522" s="4" t="n"/>
      <c r="L522" s="4" t="inlineStr">
        <is>
          <t>Not valid on National Forest Lands or FWP WMAs.</t>
        </is>
      </c>
    </row>
    <row r="523">
      <c r="A523" s="4" t="inlineStr">
        <is>
          <t>441</t>
        </is>
      </c>
      <c r="B523" s="4" t="inlineStr">
        <is>
          <t>elk</t>
        </is>
      </c>
      <c r="C523" s="4" t="inlineStr">
        <is>
          <t>Elk B License: 004-00</t>
        </is>
      </c>
      <c r="D523" s="4" t="inlineStr">
        <is>
          <t>Over the counter</t>
        </is>
      </c>
      <c r="E523" s="4" t="inlineStr">
        <is>
          <t>Antlerless Elk</t>
        </is>
      </c>
      <c r="F523" s="4" t="inlineStr">
        <is>
          <t>Sep 05-Oct 18</t>
        </is>
      </c>
      <c r="G523" s="4" t="n"/>
      <c r="H523" s="4" t="inlineStr">
        <is>
          <t>Dec 12-Dec 20</t>
        </is>
      </c>
      <c r="I523" s="4" t="inlineStr">
        <is>
          <t>Jan 01-Feb 15</t>
        </is>
      </c>
      <c r="J523" s="4" t="inlineStr">
        <is>
          <t>OTC: Jun 15</t>
        </is>
      </c>
      <c r="K523" s="4" t="inlineStr">
        <is>
          <t>UNL</t>
        </is>
      </c>
      <c r="L523" s="4" t="inlineStr">
        <is>
          <t>Not valid on National Forest lands, FWP WMAs, or CMR Refuge. Valid in all Region 4 HDs except HDs 410 and 455 as listed under each HD.</t>
        </is>
      </c>
    </row>
    <row r="524">
      <c r="A524" s="4" t="inlineStr">
        <is>
          <t>441</t>
        </is>
      </c>
      <c r="B524" s="4" t="inlineStr">
        <is>
          <t>elk</t>
        </is>
      </c>
      <c r="C524" s="4" t="inlineStr">
        <is>
          <t>Elk Permit: 441-20</t>
        </is>
      </c>
      <c r="D524" s="15" t="inlineStr">
        <is>
          <t>Drawing</t>
        </is>
      </c>
      <c r="E524" s="4" t="inlineStr">
        <is>
          <t>Either-sex Elk</t>
        </is>
      </c>
      <c r="F524" s="4" t="inlineStr">
        <is>
          <t>Sep 05-Oct 18</t>
        </is>
      </c>
      <c r="G524" s="4" t="inlineStr">
        <is>
          <t>Oct 24-Nov 29</t>
        </is>
      </c>
      <c r="H524" s="4" t="inlineStr">
        <is>
          <t>Dec 12-Dec 20</t>
        </is>
      </c>
      <c r="I524" s="4" t="n"/>
      <c r="J524" s="4" t="inlineStr">
        <is>
          <t>April 1</t>
        </is>
      </c>
      <c r="K524" s="4" t="inlineStr">
        <is>
          <t>35</t>
        </is>
      </c>
      <c r="L524" s="4" t="inlineStr">
        <is>
          <t>Permit must be used with a valid General Elk License. Holders may not hunt Antlered Elk in any other HD during these described season dates. LICENSE/PERMIT OPPORTUNITY APPL Y BY DATE QUOTA QUOTA RANGE EARL Y SEASON DATES ARCHERY ONL Y SEASON DATES GENERAL SEASON DATES HERITAGE MUZZLELOADER SEASON DA</t>
        </is>
      </c>
    </row>
    <row r="525">
      <c r="A525" s="4" t="inlineStr">
        <is>
          <t>442</t>
        </is>
      </c>
      <c r="B525" s="4" t="inlineStr">
        <is>
          <t>elk</t>
        </is>
      </c>
      <c r="C525" s="4" t="inlineStr">
        <is>
          <t>General Elk License</t>
        </is>
      </c>
      <c r="D525" s="13" t="inlineStr">
        <is>
          <t>General license</t>
        </is>
      </c>
      <c r="E525" s="4" t="inlineStr">
        <is>
          <t>Brow-tined Bull or Antlerless Elk</t>
        </is>
      </c>
      <c r="F525" s="4" t="inlineStr">
        <is>
          <t>Sep 05-Oct 18</t>
        </is>
      </c>
      <c r="G525" s="4" t="n"/>
      <c r="H525" s="4" t="n"/>
      <c r="I525" s="4" t="n"/>
      <c r="J525" s="4" t="n"/>
      <c r="K525" s="4" t="n"/>
      <c r="L525" s="4" t="n"/>
    </row>
    <row r="526">
      <c r="A526" s="4" t="inlineStr">
        <is>
          <t>442</t>
        </is>
      </c>
      <c r="B526" s="4" t="inlineStr">
        <is>
          <t>elk</t>
        </is>
      </c>
      <c r="C526" s="4" t="inlineStr">
        <is>
          <t>General Elk License</t>
        </is>
      </c>
      <c r="D526" s="13" t="inlineStr">
        <is>
          <t>General license</t>
        </is>
      </c>
      <c r="E526" s="4" t="inlineStr">
        <is>
          <t>Antlerless Elk</t>
        </is>
      </c>
      <c r="F526" s="4" t="n"/>
      <c r="G526" s="4" t="inlineStr">
        <is>
          <t>Oct 24-Oct 27</t>
        </is>
      </c>
      <c r="H526" s="4" t="n"/>
      <c r="I526" s="4" t="n"/>
      <c r="J526" s="4" t="n"/>
      <c r="K526" s="4" t="n"/>
      <c r="L526" s="4" t="n"/>
    </row>
    <row r="527">
      <c r="A527" s="4" t="inlineStr">
        <is>
          <t>442</t>
        </is>
      </c>
      <c r="B527" s="4" t="inlineStr">
        <is>
          <t>elk</t>
        </is>
      </c>
      <c r="C527" s="4" t="inlineStr">
        <is>
          <t>General Elk License</t>
        </is>
      </c>
      <c r="D527" s="13" t="inlineStr">
        <is>
          <t>General license</t>
        </is>
      </c>
      <c r="E527" s="4" t="inlineStr">
        <is>
          <t>Brow-tined Bull or Antlerless Elk</t>
        </is>
      </c>
      <c r="F527" s="4" t="n"/>
      <c r="G527" s="4" t="inlineStr">
        <is>
          <t>Oct 28-Nov 29</t>
        </is>
      </c>
      <c r="H527" s="4" t="inlineStr">
        <is>
          <t>Dec 12-Dec 20</t>
        </is>
      </c>
      <c r="I527" s="4" t="n"/>
      <c r="J527" s="4" t="n"/>
      <c r="K527" s="4" t="n"/>
      <c r="L527" s="4" t="inlineStr">
        <is>
          <t>Quota = 50 antlerless or brow-tined bull elk through the Augusta check station. If quota is reached, the antlerless elk season will close on 12-hour notice. The brow-tined bull season will remain open until the end of the general rife and heritage muzzleloader seasons.</t>
        </is>
      </c>
    </row>
    <row r="528">
      <c r="A528" s="4" t="inlineStr">
        <is>
          <t>442</t>
        </is>
      </c>
      <c r="B528" s="4" t="inlineStr">
        <is>
          <t>elk</t>
        </is>
      </c>
      <c r="C528" s="4" t="inlineStr">
        <is>
          <t>Elk B License: 004-00</t>
        </is>
      </c>
      <c r="D528" s="4" t="inlineStr">
        <is>
          <t>Over the counter</t>
        </is>
      </c>
      <c r="E528" s="4" t="inlineStr">
        <is>
          <t>Antlerless Elk</t>
        </is>
      </c>
      <c r="F528" s="4" t="inlineStr">
        <is>
          <t>Sep 05-Oct 18</t>
        </is>
      </c>
      <c r="G528" s="4" t="inlineStr">
        <is>
          <t>Oct 24-Nov 29</t>
        </is>
      </c>
      <c r="H528" s="4" t="inlineStr">
        <is>
          <t>Dec 12-Dec 20</t>
        </is>
      </c>
      <c r="I528" s="4" t="n"/>
      <c r="J528" s="4" t="inlineStr">
        <is>
          <t>OTC: Jun 15</t>
        </is>
      </c>
      <c r="K528" s="4" t="inlineStr">
        <is>
          <t>UNL</t>
        </is>
      </c>
      <c r="L528" s="4" t="inlineStr">
        <is>
          <t>Not valid on National Forest lands, FWP WMAs, or CMR Refuge. Valid in all Region 4 HDs except HDs 410 and 455 as listed under each HD.</t>
        </is>
      </c>
    </row>
    <row r="529">
      <c r="A529" s="4" t="inlineStr">
        <is>
          <t>442</t>
        </is>
      </c>
      <c r="B529" s="4" t="inlineStr">
        <is>
          <t>elk</t>
        </is>
      </c>
      <c r="C529" s="4" t="inlineStr">
        <is>
          <t>Elk B License: 442-00</t>
        </is>
      </c>
      <c r="D529" s="15" t="inlineStr">
        <is>
          <t>Drawing</t>
        </is>
      </c>
      <c r="E529" s="4" t="inlineStr">
        <is>
          <t>Antlerless Elk</t>
        </is>
      </c>
      <c r="F529" s="4" t="inlineStr">
        <is>
          <t>Sep 05-Oct 18</t>
        </is>
      </c>
      <c r="G529" s="4" t="n"/>
      <c r="H529" s="4" t="n"/>
      <c r="I529" s="4" t="n"/>
      <c r="J529" s="4" t="inlineStr">
        <is>
          <t>Jun 1</t>
        </is>
      </c>
      <c r="K529" s="4" t="inlineStr">
        <is>
          <t>25</t>
        </is>
      </c>
      <c r="L529" s="4" t="inlineStr">
        <is>
          <t>Valid in entire HD. Until closed but no later than the end of the general rife/ heritage muzzleloader seasons based on HD 442 elk quota.</t>
        </is>
      </c>
    </row>
    <row r="530">
      <c r="A530" s="4" t="inlineStr">
        <is>
          <t>444</t>
        </is>
      </c>
      <c r="B530" s="4" t="inlineStr">
        <is>
          <t>elk</t>
        </is>
      </c>
      <c r="C530" s="4" t="inlineStr">
        <is>
          <t>General Elk License</t>
        </is>
      </c>
      <c r="D530" s="13" t="inlineStr">
        <is>
          <t>General license</t>
        </is>
      </c>
      <c r="E530" s="4" t="inlineStr">
        <is>
          <t>Either-sex Elk</t>
        </is>
      </c>
      <c r="F530" s="4" t="inlineStr">
        <is>
          <t>Sep 05-Oct 18</t>
        </is>
      </c>
      <c r="G530" s="4" t="inlineStr">
        <is>
          <t>Oct 24-Nov 29</t>
        </is>
      </c>
      <c r="H530" s="4" t="inlineStr">
        <is>
          <t>Dec 12-Dec 20</t>
        </is>
      </c>
      <c r="I530" s="4" t="n"/>
      <c r="J530" s="4" t="n"/>
      <c r="K530" s="4" t="n"/>
      <c r="L530" s="4" t="n"/>
    </row>
    <row r="531">
      <c r="A531" s="4" t="inlineStr">
        <is>
          <t>444</t>
        </is>
      </c>
      <c r="B531" s="4" t="inlineStr">
        <is>
          <t>elk</t>
        </is>
      </c>
      <c r="C531" s="4" t="inlineStr">
        <is>
          <t>Elk B License: 004-00</t>
        </is>
      </c>
      <c r="D531" s="4" t="inlineStr">
        <is>
          <t>Over the counter</t>
        </is>
      </c>
      <c r="E531" s="4" t="inlineStr">
        <is>
          <t>Antlerless Elk</t>
        </is>
      </c>
      <c r="F531" s="4" t="inlineStr">
        <is>
          <t>Sep 05-Oct 18</t>
        </is>
      </c>
      <c r="G531" s="4" t="inlineStr">
        <is>
          <t>Oct 24-Nov 29</t>
        </is>
      </c>
      <c r="H531" s="4" t="inlineStr">
        <is>
          <t>Dec 12-Dec 20</t>
        </is>
      </c>
      <c r="I531" s="4" t="n"/>
      <c r="J531" s="4" t="inlineStr">
        <is>
          <t>OTC: Jun 15</t>
        </is>
      </c>
      <c r="K531" s="4" t="inlineStr">
        <is>
          <t>UNL</t>
        </is>
      </c>
      <c r="L531" s="4" t="inlineStr">
        <is>
          <t>Not valid on National Forest lands, FWP WMAs, or CMR Refuge. Valid in all Region 4 HDs except HDs 410 and 455 as listed under each HD. 103 2026 Deer • Elk • Antelope Visit fwp.mt.gov LICENSE/PERMIT OPPORTUNITY APPL Y BY DATE QUOTA QUOTA RANGE EARL Y SEASON DATES ARCHERY ONL Y SEASON DATES GENERAL SE</t>
        </is>
      </c>
    </row>
    <row r="532">
      <c r="A532" s="4" t="inlineStr">
        <is>
          <t>445</t>
        </is>
      </c>
      <c r="B532" s="4" t="inlineStr">
        <is>
          <t>elk</t>
        </is>
      </c>
      <c r="C532" s="4" t="inlineStr">
        <is>
          <t>General Elk License</t>
        </is>
      </c>
      <c r="D532" s="13" t="inlineStr">
        <is>
          <t>General license</t>
        </is>
      </c>
      <c r="E532" s="4" t="inlineStr">
        <is>
          <t>Antlerless Elk</t>
        </is>
      </c>
      <c r="F532" s="4" t="n"/>
      <c r="G532" s="4" t="inlineStr">
        <is>
          <t>Oct 19-Oct 23</t>
        </is>
      </c>
      <c r="H532" s="4" t="n"/>
      <c r="I532" s="4" t="inlineStr">
        <is>
          <t>Nov 30-Feb 15</t>
        </is>
      </c>
      <c r="J532" s="4" t="n"/>
      <c r="K532" s="4" t="n"/>
      <c r="L532" s="4" t="inlineStr">
        <is>
          <t>Not valid on Beartooth WMA.</t>
        </is>
      </c>
    </row>
    <row r="533">
      <c r="A533" s="4" t="inlineStr">
        <is>
          <t>445</t>
        </is>
      </c>
      <c r="B533" s="4" t="inlineStr">
        <is>
          <t>elk</t>
        </is>
      </c>
      <c r="C533" s="4" t="inlineStr">
        <is>
          <t>General Elk License</t>
        </is>
      </c>
      <c r="D533" s="13" t="inlineStr">
        <is>
          <t>General license</t>
        </is>
      </c>
      <c r="E533" s="4" t="inlineStr">
        <is>
          <t>Either-sex Elk</t>
        </is>
      </c>
      <c r="F533" s="4" t="inlineStr">
        <is>
          <t>Sep 05-Oct 18</t>
        </is>
      </c>
      <c r="G533" s="4" t="inlineStr">
        <is>
          <t>Oct 24-Nov 08</t>
        </is>
      </c>
      <c r="H533" s="4" t="n"/>
      <c r="I533" s="4" t="n"/>
      <c r="J533" s="4" t="n"/>
      <c r="K533" s="4" t="n"/>
      <c r="L533" s="4" t="n"/>
    </row>
    <row r="534">
      <c r="A534" s="4" t="inlineStr">
        <is>
          <t>445</t>
        </is>
      </c>
      <c r="B534" s="4" t="inlineStr">
        <is>
          <t>elk</t>
        </is>
      </c>
      <c r="C534" s="4" t="inlineStr">
        <is>
          <t>General Elk License</t>
        </is>
      </c>
      <c r="D534" s="13" t="inlineStr">
        <is>
          <t>General license</t>
        </is>
      </c>
      <c r="E534" s="4" t="inlineStr">
        <is>
          <t>Antlerless Elk</t>
        </is>
      </c>
      <c r="F534" s="4" t="n"/>
      <c r="G534" s="4" t="inlineStr">
        <is>
          <t>Nov 09-Nov 29</t>
        </is>
      </c>
      <c r="H534" s="4" t="n"/>
      <c r="I534" s="4" t="n"/>
      <c r="J534" s="4" t="n"/>
      <c r="K534" s="4" t="n"/>
      <c r="L534" s="4" t="n"/>
    </row>
    <row r="535">
      <c r="A535" s="4" t="inlineStr">
        <is>
          <t>445</t>
        </is>
      </c>
      <c r="B535" s="4" t="inlineStr">
        <is>
          <t>elk</t>
        </is>
      </c>
      <c r="C535" s="4" t="inlineStr">
        <is>
          <t>Elk B License: 004-00</t>
        </is>
      </c>
      <c r="D535" s="4" t="inlineStr">
        <is>
          <t>Over the counter</t>
        </is>
      </c>
      <c r="E535" s="4" t="inlineStr">
        <is>
          <t>Antlerless Elk</t>
        </is>
      </c>
      <c r="F535" s="4" t="inlineStr">
        <is>
          <t>Sep 05-Oct 18</t>
        </is>
      </c>
      <c r="G535" s="4" t="inlineStr">
        <is>
          <t>Oct 19-Nov 29</t>
        </is>
      </c>
      <c r="H535" s="4" t="n"/>
      <c r="I535" s="4" t="inlineStr">
        <is>
          <t>Nov 30-Feb 15</t>
        </is>
      </c>
      <c r="J535" s="4" t="inlineStr">
        <is>
          <t>OTC: Jun 15</t>
        </is>
      </c>
      <c r="K535" s="4" t="inlineStr">
        <is>
          <t>UNL</t>
        </is>
      </c>
      <c r="L535" s="4" t="inlineStr">
        <is>
          <t>Not valid on National Forest lands, FWP WMAs, or CMR Refuge. Valid in all Region 4 HDs except HDs 410 and 455 as listed under each HD.</t>
        </is>
      </c>
    </row>
    <row r="536">
      <c r="A536" s="4" t="inlineStr">
        <is>
          <t>445</t>
        </is>
      </c>
      <c r="B536" s="4" t="inlineStr">
        <is>
          <t>elk</t>
        </is>
      </c>
      <c r="C536" s="4" t="inlineStr">
        <is>
          <t>Elk Permit: 445-20</t>
        </is>
      </c>
      <c r="D536" s="15" t="inlineStr">
        <is>
          <t>Drawing</t>
        </is>
      </c>
      <c r="E536" s="4" t="inlineStr">
        <is>
          <t>Either-sex Elk</t>
        </is>
      </c>
      <c r="F536" s="4" t="n"/>
      <c r="G536" s="4" t="inlineStr">
        <is>
          <t>Nov 09-Nov 29</t>
        </is>
      </c>
      <c r="H536" s="4" t="inlineStr">
        <is>
          <t>Dec 12-Dec 20</t>
        </is>
      </c>
      <c r="I536" s="4" t="n"/>
      <c r="J536" s="4" t="inlineStr">
        <is>
          <t>April 1</t>
        </is>
      </c>
      <c r="K536" s="4" t="inlineStr">
        <is>
          <t>35</t>
        </is>
      </c>
      <c r="L536" s="4" t="inlineStr">
        <is>
          <t>Permit must be used with a valid General Elk License. Holders may not hunt Antlered Elk in any other HD during these described season dates.</t>
        </is>
      </c>
    </row>
    <row r="537">
      <c r="A537" s="4" t="inlineStr">
        <is>
          <t>446</t>
        </is>
      </c>
      <c r="B537" s="4" t="inlineStr">
        <is>
          <t>elk</t>
        </is>
      </c>
      <c r="C537" s="4" t="inlineStr">
        <is>
          <t>General Elk License</t>
        </is>
      </c>
      <c r="D537" s="13" t="inlineStr">
        <is>
          <t>General license</t>
        </is>
      </c>
      <c r="E537" s="4" t="inlineStr">
        <is>
          <t>Antlerless Elk</t>
        </is>
      </c>
      <c r="F537" s="4" t="n"/>
      <c r="G537" s="4" t="inlineStr">
        <is>
          <t>Oct 19-Oct 23</t>
        </is>
      </c>
      <c r="H537" s="4" t="n"/>
      <c r="I537" s="4" t="inlineStr">
        <is>
          <t>Nov 30-Feb 15</t>
        </is>
      </c>
      <c r="J537" s="4" t="n"/>
      <c r="K537" s="4" t="n"/>
      <c r="L537" s="4" t="inlineStr">
        <is>
          <t>Not valid on National Forest Land or FWP WMAs.</t>
        </is>
      </c>
    </row>
    <row r="538">
      <c r="A538" s="4" t="inlineStr">
        <is>
          <t>446</t>
        </is>
      </c>
      <c r="B538" s="4" t="inlineStr">
        <is>
          <t>elk</t>
        </is>
      </c>
      <c r="C538" s="4" t="inlineStr">
        <is>
          <t>General Elk License</t>
        </is>
      </c>
      <c r="D538" s="13" t="inlineStr">
        <is>
          <t>General license</t>
        </is>
      </c>
      <c r="E538" s="4" t="inlineStr">
        <is>
          <t>Brow-tined Bull or Antlerless Elk</t>
        </is>
      </c>
      <c r="F538" s="4" t="inlineStr">
        <is>
          <t>Sep 05-Oct 18</t>
        </is>
      </c>
      <c r="G538" s="4" t="inlineStr">
        <is>
          <t>Oct 24-Nov 29</t>
        </is>
      </c>
      <c r="H538" s="4" t="inlineStr">
        <is>
          <t>Dec 12-Dec 20</t>
        </is>
      </c>
      <c r="I538" s="4" t="n"/>
      <c r="J538" s="4" t="n"/>
      <c r="K538" s="4" t="n"/>
      <c r="L538" s="4" t="n"/>
    </row>
    <row r="539">
      <c r="A539" s="4" t="inlineStr">
        <is>
          <t>446</t>
        </is>
      </c>
      <c r="B539" s="4" t="inlineStr">
        <is>
          <t>elk</t>
        </is>
      </c>
      <c r="C539" s="4" t="inlineStr">
        <is>
          <t>Elk B License: 004-00</t>
        </is>
      </c>
      <c r="D539" s="4" t="inlineStr">
        <is>
          <t>Over the counter</t>
        </is>
      </c>
      <c r="E539" s="4" t="inlineStr">
        <is>
          <t>Antlerless Elk</t>
        </is>
      </c>
      <c r="F539" s="4" t="inlineStr">
        <is>
          <t>Sep 05-Oct 18</t>
        </is>
      </c>
      <c r="G539" s="4" t="inlineStr">
        <is>
          <t>Oct 19-Nov 29</t>
        </is>
      </c>
      <c r="H539" s="4" t="n"/>
      <c r="I539" s="4" t="inlineStr">
        <is>
          <t>Nov 30-Feb 15</t>
        </is>
      </c>
      <c r="J539" s="4" t="inlineStr">
        <is>
          <t>OTC: Jun 15</t>
        </is>
      </c>
      <c r="K539" s="4" t="inlineStr">
        <is>
          <t>UNL</t>
        </is>
      </c>
      <c r="L539" s="4" t="inlineStr">
        <is>
          <t>Not valid on National Forest lands, FWP WMAs, or CMR Refuge. Valid in all Region 4 HDs except HDs 410 and 455 as listed under each HD. LICENSE/PERMIT OPPORTUNITY APPL Y BY DATE QUOTA QUOTA RANGE EARL Y SEASON DATES ARCHERY ONL Y SEASON DATES GENERAL SEASON DATES HERITAGE MUZZLELOADER SEASON DATES LA</t>
        </is>
      </c>
    </row>
    <row r="540">
      <c r="A540" s="4" t="inlineStr">
        <is>
          <t>447</t>
        </is>
      </c>
      <c r="B540" s="4" t="inlineStr">
        <is>
          <t>elk</t>
        </is>
      </c>
      <c r="C540" s="4" t="inlineStr">
        <is>
          <t>General Elk License</t>
        </is>
      </c>
      <c r="D540" s="13" t="inlineStr">
        <is>
          <t>General license</t>
        </is>
      </c>
      <c r="E540" s="4" t="inlineStr">
        <is>
          <t>Antlerless Elk</t>
        </is>
      </c>
      <c r="F540" s="4" t="inlineStr">
        <is>
          <t>Sep 05-Oct 18</t>
        </is>
      </c>
      <c r="G540" s="4" t="inlineStr">
        <is>
          <t>Oct 24-Nov 29</t>
        </is>
      </c>
      <c r="H540" s="4" t="inlineStr">
        <is>
          <t>Dec 12-Dec 20</t>
        </is>
      </c>
      <c r="I540" s="4" t="inlineStr">
        <is>
          <t>Nov 30-Feb 15</t>
        </is>
      </c>
      <c r="J540" s="4" t="n"/>
      <c r="K540" s="4" t="n"/>
      <c r="L540" s="4" t="inlineStr">
        <is>
          <t>Not valid on National Forest lands.</t>
        </is>
      </c>
    </row>
    <row r="541">
      <c r="A541" s="4" t="inlineStr">
        <is>
          <t>447</t>
        </is>
      </c>
      <c r="B541" s="4" t="inlineStr">
        <is>
          <t>elk</t>
        </is>
      </c>
      <c r="C541" s="4" t="inlineStr">
        <is>
          <t>Elk B License: 004-00</t>
        </is>
      </c>
      <c r="D541" s="4" t="inlineStr">
        <is>
          <t>Over the counter</t>
        </is>
      </c>
      <c r="E541" s="4" t="inlineStr">
        <is>
          <t>Antlerless Elk</t>
        </is>
      </c>
      <c r="F541" s="4" t="inlineStr">
        <is>
          <t>Sep 05-Oct 18</t>
        </is>
      </c>
      <c r="G541" s="4" t="inlineStr">
        <is>
          <t>Oct 24-Nov 29</t>
        </is>
      </c>
      <c r="H541" s="4" t="n"/>
      <c r="I541" s="4" t="inlineStr">
        <is>
          <t>Nov 30-Feb 15</t>
        </is>
      </c>
      <c r="J541" s="4" t="inlineStr">
        <is>
          <t>OTC: Jun 15</t>
        </is>
      </c>
      <c r="K541" s="4" t="inlineStr">
        <is>
          <t>UNL</t>
        </is>
      </c>
      <c r="L541" s="4" t="inlineStr">
        <is>
          <t>Not valid on National Forest lands, FWP WMAs, or CMR Refuge. Valid in all Region 4 HDs except HDs 410 and 455 as listed under each HD.</t>
        </is>
      </c>
    </row>
    <row r="542">
      <c r="A542" s="4" t="inlineStr">
        <is>
          <t>447</t>
        </is>
      </c>
      <c r="B542" s="4" t="inlineStr">
        <is>
          <t>elk</t>
        </is>
      </c>
      <c r="C542" s="4" t="inlineStr">
        <is>
          <t>Elk B License: 447-00</t>
        </is>
      </c>
      <c r="D542" s="15" t="inlineStr">
        <is>
          <t>Drawing</t>
        </is>
      </c>
      <c r="E542" s="4" t="inlineStr">
        <is>
          <t>Antlerless Elk</t>
        </is>
      </c>
      <c r="F542" s="4" t="n"/>
      <c r="G542" s="4" t="n"/>
      <c r="H542" s="4" t="n"/>
      <c r="I542" s="4" t="inlineStr">
        <is>
          <t>Nov 30-Feb 15</t>
        </is>
      </c>
      <c r="J542" s="4" t="inlineStr">
        <is>
          <t>Jun 1</t>
        </is>
      </c>
      <c r="K542" s="4" t="inlineStr">
        <is>
          <t>50</t>
        </is>
      </c>
      <c r="L542" s="4" t="inlineStr">
        <is>
          <t>Not valid on National Forest lands.</t>
        </is>
      </c>
    </row>
    <row r="543">
      <c r="A543" s="4" t="inlineStr">
        <is>
          <t>447</t>
        </is>
      </c>
      <c r="B543" s="4" t="inlineStr">
        <is>
          <t>elk</t>
        </is>
      </c>
      <c r="C543" s="4" t="inlineStr">
        <is>
          <t>Elk Permit: 447-20</t>
        </is>
      </c>
      <c r="D543" s="15" t="inlineStr">
        <is>
          <t>Drawing</t>
        </is>
      </c>
      <c r="E543" s="4" t="inlineStr">
        <is>
          <t>Either-sex Elk</t>
        </is>
      </c>
      <c r="F543" s="4" t="inlineStr">
        <is>
          <t>Sep 05-Oct 18</t>
        </is>
      </c>
      <c r="G543" s="4" t="inlineStr">
        <is>
          <t>Oct 24-Nov 29</t>
        </is>
      </c>
      <c r="H543" s="4" t="inlineStr">
        <is>
          <t>Dec 12-Dec 20</t>
        </is>
      </c>
      <c r="I543" s="4" t="n"/>
      <c r="J543" s="4" t="inlineStr">
        <is>
          <t>April 1</t>
        </is>
      </c>
      <c r="K543" s="4" t="inlineStr">
        <is>
          <t>100</t>
        </is>
      </c>
      <c r="L543" s="4" t="inlineStr">
        <is>
          <t>Permit must be used with a valid General Elk License. Holders may not hunt Antlered Elk in any other HD during these described season dates.</t>
        </is>
      </c>
    </row>
    <row r="544">
      <c r="A544" s="4" t="inlineStr">
        <is>
          <t>447</t>
        </is>
      </c>
      <c r="B544" s="4" t="inlineStr">
        <is>
          <t>elk</t>
        </is>
      </c>
      <c r="C544" s="4" t="inlineStr">
        <is>
          <t>Elk Permit: 447-21</t>
        </is>
      </c>
      <c r="D544" s="15" t="inlineStr">
        <is>
          <t>Drawing</t>
        </is>
      </c>
      <c r="E544" s="4" t="inlineStr">
        <is>
          <t>Either-sex Elk</t>
        </is>
      </c>
      <c r="F544" s="4" t="inlineStr">
        <is>
          <t>Sep 05-Oct 18</t>
        </is>
      </c>
      <c r="G544" s="4" t="n"/>
      <c r="H544" s="4" t="n"/>
      <c r="I544" s="4" t="n"/>
      <c r="J544" s="4" t="inlineStr">
        <is>
          <t>April 1</t>
        </is>
      </c>
      <c r="K544" s="4" t="inlineStr">
        <is>
          <t>400</t>
        </is>
      </c>
      <c r="L544" s="4" t="inlineStr">
        <is>
          <t>1st and only choice. Permit must be used with a valid General Elk License. Holders may not hunt Antlered Elk in any other HD during these described season dates. 105 2026 Deer • Elk • Antelope Visit fwp.mt.gov LICENSE/PERMIT OPPORTUNITY APPL Y BY DATE QUOTA QUOTA RANGE EARL Y SEASON DATES ARCHERY ON</t>
        </is>
      </c>
    </row>
    <row r="545">
      <c r="A545" s="4" t="inlineStr">
        <is>
          <t>448</t>
        </is>
      </c>
      <c r="B545" s="4" t="inlineStr">
        <is>
          <t>elk</t>
        </is>
      </c>
      <c r="C545" s="4" t="inlineStr">
        <is>
          <t>General Elk License</t>
        </is>
      </c>
      <c r="D545" s="13" t="inlineStr">
        <is>
          <t>General license</t>
        </is>
      </c>
      <c r="E545" s="4" t="inlineStr">
        <is>
          <t>Brow-tined Bull or Antlerless Elk</t>
        </is>
      </c>
      <c r="F545" s="4" t="inlineStr">
        <is>
          <t>Sep 05-Oct 18</t>
        </is>
      </c>
      <c r="G545" s="4" t="inlineStr">
        <is>
          <t>Oct 24-Nov 29</t>
        </is>
      </c>
      <c r="H545" s="4" t="inlineStr">
        <is>
          <t>Dec 12-Dec 20</t>
        </is>
      </c>
      <c r="I545" s="4" t="n"/>
      <c r="J545" s="4" t="n"/>
      <c r="K545" s="4" t="n"/>
      <c r="L545" s="4" t="n"/>
    </row>
    <row r="546">
      <c r="A546" s="4" t="inlineStr">
        <is>
          <t>448</t>
        </is>
      </c>
      <c r="B546" s="4" t="inlineStr">
        <is>
          <t>elk</t>
        </is>
      </c>
      <c r="C546" s="4" t="inlineStr">
        <is>
          <t>Elk B License: 004-00</t>
        </is>
      </c>
      <c r="D546" s="4" t="inlineStr">
        <is>
          <t>Over the counter</t>
        </is>
      </c>
      <c r="E546" s="4" t="inlineStr">
        <is>
          <t>Antlerless Elk</t>
        </is>
      </c>
      <c r="F546" s="4" t="inlineStr">
        <is>
          <t>Sep 05-Oct 18</t>
        </is>
      </c>
      <c r="G546" s="4" t="inlineStr">
        <is>
          <t>Oct 24-Nov 29</t>
        </is>
      </c>
      <c r="H546" s="4" t="inlineStr">
        <is>
          <t>Dec 12-Dec 20</t>
        </is>
      </c>
      <c r="I546" s="4" t="n"/>
      <c r="J546" s="4" t="inlineStr">
        <is>
          <t>OTC: Jun 15</t>
        </is>
      </c>
      <c r="K546" s="4" t="inlineStr">
        <is>
          <t>UNL</t>
        </is>
      </c>
      <c r="L546" s="4" t="inlineStr">
        <is>
          <t>Not valid on National Forest lands, FWP WMAs, or CMR Refuge. Valid in all Region 4 HDs except HDs 410 and 455 as listed under each HD.</t>
        </is>
      </c>
    </row>
    <row r="547">
      <c r="A547" s="4" t="inlineStr">
        <is>
          <t>448</t>
        </is>
      </c>
      <c r="B547" s="4" t="inlineStr">
        <is>
          <t>elk</t>
        </is>
      </c>
      <c r="C547" s="4" t="inlineStr">
        <is>
          <t>Elk B License: 448-00</t>
        </is>
      </c>
      <c r="D547" s="15" t="inlineStr">
        <is>
          <t>Drawing</t>
        </is>
      </c>
      <c r="E547" s="4" t="inlineStr">
        <is>
          <t>Antlerless Elk</t>
        </is>
      </c>
      <c r="F547" s="4" t="inlineStr">
        <is>
          <t>Sep 05-Oct 18</t>
        </is>
      </c>
      <c r="G547" s="4" t="inlineStr">
        <is>
          <t>Oct 24-Nov 29</t>
        </is>
      </c>
      <c r="H547" s="4" t="inlineStr">
        <is>
          <t>Dec 12-Dec 20</t>
        </is>
      </c>
      <c r="I547" s="4" t="n"/>
      <c r="J547" s="4" t="inlineStr">
        <is>
          <t>Jun 1</t>
        </is>
      </c>
      <c r="K547" s="4" t="inlineStr">
        <is>
          <t>150</t>
        </is>
      </c>
      <c r="L547" s="4" t="inlineStr">
        <is>
          <t>Only valid in HDs 420 and 448.</t>
        </is>
      </c>
    </row>
    <row r="548">
      <c r="A548" s="4" t="inlineStr">
        <is>
          <t>450</t>
        </is>
      </c>
      <c r="B548" s="4" t="inlineStr">
        <is>
          <t>elk</t>
        </is>
      </c>
      <c r="C548" s="4" t="inlineStr">
        <is>
          <t>General Elk License</t>
        </is>
      </c>
      <c r="D548" s="13" t="inlineStr">
        <is>
          <t>General license</t>
        </is>
      </c>
      <c r="E548" s="4" t="inlineStr">
        <is>
          <t>Brow-tined Bull or Antlerless Elk</t>
        </is>
      </c>
      <c r="F548" s="4" t="inlineStr">
        <is>
          <t>Sep 05-Oct 18</t>
        </is>
      </c>
      <c r="G548" s="4" t="inlineStr">
        <is>
          <t>Oct 24-Nov 29</t>
        </is>
      </c>
      <c r="H548" s="4" t="inlineStr">
        <is>
          <t>Dec 12-Dec 20</t>
        </is>
      </c>
      <c r="I548" s="4" t="n"/>
      <c r="J548" s="4" t="n"/>
      <c r="K548" s="4" t="n"/>
      <c r="L548" s="4" t="n"/>
    </row>
    <row r="549">
      <c r="A549" s="4" t="inlineStr">
        <is>
          <t>450</t>
        </is>
      </c>
      <c r="B549" s="4" t="inlineStr">
        <is>
          <t>elk</t>
        </is>
      </c>
      <c r="C549" s="4" t="inlineStr">
        <is>
          <t>Elk B License: 004-00</t>
        </is>
      </c>
      <c r="D549" s="4" t="inlineStr">
        <is>
          <t>Over the counter</t>
        </is>
      </c>
      <c r="E549" s="4" t="inlineStr">
        <is>
          <t>Antlerless Elk</t>
        </is>
      </c>
      <c r="F549" s="4" t="inlineStr">
        <is>
          <t>Sep 05-Oct 18</t>
        </is>
      </c>
      <c r="G549" s="4" t="inlineStr">
        <is>
          <t>Oct 24-Nov 29</t>
        </is>
      </c>
      <c r="H549" s="4" t="inlineStr">
        <is>
          <t>Dec 12-Dec 20</t>
        </is>
      </c>
      <c r="I549" s="4" t="n"/>
      <c r="J549" s="4" t="inlineStr">
        <is>
          <t>OTC: Jun 15</t>
        </is>
      </c>
      <c r="K549" s="4" t="inlineStr">
        <is>
          <t>UNL</t>
        </is>
      </c>
      <c r="L549" s="4" t="inlineStr">
        <is>
          <t>Not valid on National Forest lands, FWP WMAs, or CMR Refuge. Valid in all Region 4 HDs except HDs 410 and 455 as listed under each HD.</t>
        </is>
      </c>
    </row>
    <row r="550">
      <c r="A550" s="4" t="inlineStr">
        <is>
          <t>451</t>
        </is>
      </c>
      <c r="B550" s="4" t="inlineStr">
        <is>
          <t>elk</t>
        </is>
      </c>
      <c r="C550" s="4" t="inlineStr">
        <is>
          <t>General Elk License</t>
        </is>
      </c>
      <c r="D550" s="13" t="inlineStr">
        <is>
          <t>General license</t>
        </is>
      </c>
      <c r="E550" s="4" t="inlineStr">
        <is>
          <t>Antlerless Elk</t>
        </is>
      </c>
      <c r="F550" s="4" t="n"/>
      <c r="G550" s="4" t="inlineStr">
        <is>
          <t>Oct 19-Oct 23</t>
        </is>
      </c>
      <c r="H550" s="4" t="n"/>
      <c r="I550" s="4" t="inlineStr">
        <is>
          <t>Nov 30-Feb 15</t>
        </is>
      </c>
      <c r="J550" s="4" t="n"/>
      <c r="K550" s="4" t="n"/>
      <c r="L550" s="4" t="inlineStr">
        <is>
          <t>Not valid on National Forest Land or FWP WMAs.</t>
        </is>
      </c>
    </row>
    <row r="551">
      <c r="A551" s="4" t="inlineStr">
        <is>
          <t>451</t>
        </is>
      </c>
      <c r="B551" s="4" t="inlineStr">
        <is>
          <t>elk</t>
        </is>
      </c>
      <c r="C551" s="4" t="inlineStr">
        <is>
          <t>General Elk License</t>
        </is>
      </c>
      <c r="D551" s="13" t="inlineStr">
        <is>
          <t>General license</t>
        </is>
      </c>
      <c r="E551" s="4" t="inlineStr">
        <is>
          <t>Brow-tined Bull or Antlerless Elk</t>
        </is>
      </c>
      <c r="F551" s="4" t="inlineStr">
        <is>
          <t>Sep 05-Oct 18</t>
        </is>
      </c>
      <c r="G551" s="4" t="inlineStr">
        <is>
          <t>Oct 24-Nov 29</t>
        </is>
      </c>
      <c r="H551" s="4" t="inlineStr">
        <is>
          <t>Dec 12-Dec 20</t>
        </is>
      </c>
      <c r="I551" s="4" t="n"/>
      <c r="J551" s="4" t="n"/>
      <c r="K551" s="4" t="n"/>
      <c r="L551" s="4" t="n"/>
    </row>
    <row r="552">
      <c r="A552" s="4" t="inlineStr">
        <is>
          <t>451</t>
        </is>
      </c>
      <c r="B552" s="4" t="inlineStr">
        <is>
          <t>elk</t>
        </is>
      </c>
      <c r="C552" s="4" t="inlineStr">
        <is>
          <t>Elk B License: 004-00</t>
        </is>
      </c>
      <c r="D552" s="4" t="inlineStr">
        <is>
          <t>Over the counter</t>
        </is>
      </c>
      <c r="E552" s="4" t="inlineStr">
        <is>
          <t>Antlerless Elk</t>
        </is>
      </c>
      <c r="F552" s="4" t="inlineStr">
        <is>
          <t>Sep 05-Oct 18</t>
        </is>
      </c>
      <c r="G552" s="4" t="inlineStr">
        <is>
          <t>Oct 19-Nov 29</t>
        </is>
      </c>
      <c r="H552" s="4" t="n"/>
      <c r="I552" s="4" t="inlineStr">
        <is>
          <t>Nov 30-Feb 15</t>
        </is>
      </c>
      <c r="J552" s="4" t="inlineStr">
        <is>
          <t>OTC: Jun 15</t>
        </is>
      </c>
      <c r="K552" s="4" t="inlineStr">
        <is>
          <t>UNL</t>
        </is>
      </c>
      <c r="L552" s="4" t="inlineStr">
        <is>
          <t>Not valid on National Forest lands, FWP WMAs, or CMR Refuge. Valid in all Region 4 HDs except HDs 410 and 455 as listed under each HD. LICENSE/PERMIT OPPORTUNITY APPL Y BY DATE QUOTA QUOTA RANGE EARL Y SEASON DATES ARCHERY ONL Y SEASON DATES GENERAL SEASON DATES HERITAGE MUZZLELOADER SEASON DATES LA</t>
        </is>
      </c>
    </row>
    <row r="553">
      <c r="A553" s="4" t="inlineStr">
        <is>
          <t>452</t>
        </is>
      </c>
      <c r="B553" s="4" t="inlineStr">
        <is>
          <t>elk</t>
        </is>
      </c>
      <c r="C553" s="4" t="inlineStr">
        <is>
          <t>General Elk License</t>
        </is>
      </c>
      <c r="D553" s="13" t="inlineStr">
        <is>
          <t>General license</t>
        </is>
      </c>
      <c r="E553" s="4" t="inlineStr">
        <is>
          <t>Antlerless Elk</t>
        </is>
      </c>
      <c r="F553" s="4" t="n"/>
      <c r="G553" s="4" t="inlineStr">
        <is>
          <t>Oct 19-Oct 23</t>
        </is>
      </c>
      <c r="H553" s="4" t="n"/>
      <c r="I553" s="4" t="inlineStr">
        <is>
          <t>Nov 30-Feb 15</t>
        </is>
      </c>
      <c r="J553" s="4" t="n"/>
      <c r="K553" s="4" t="n"/>
      <c r="L553" s="4" t="inlineStr">
        <is>
          <t>Not valid on National Forest lands or FWP WMAs.</t>
        </is>
      </c>
    </row>
    <row r="554">
      <c r="A554" s="4" t="inlineStr">
        <is>
          <t>452</t>
        </is>
      </c>
      <c r="B554" s="4" t="inlineStr">
        <is>
          <t>elk</t>
        </is>
      </c>
      <c r="C554" s="4" t="inlineStr">
        <is>
          <t>General Elk License</t>
        </is>
      </c>
      <c r="D554" s="13" t="inlineStr">
        <is>
          <t>General license</t>
        </is>
      </c>
      <c r="E554" s="4" t="inlineStr">
        <is>
          <t>Brow-tined Bull or Antlerless Elk</t>
        </is>
      </c>
      <c r="F554" s="4" t="inlineStr">
        <is>
          <t>Sep 05-Oct 18</t>
        </is>
      </c>
      <c r="G554" s="4" t="inlineStr">
        <is>
          <t>Oct 24-Nov 29</t>
        </is>
      </c>
      <c r="H554" s="4" t="inlineStr">
        <is>
          <t>Dec 12-Dec 20</t>
        </is>
      </c>
      <c r="I554" s="4" t="n"/>
      <c r="J554" s="4" t="n"/>
      <c r="K554" s="4" t="n"/>
      <c r="L554" s="4" t="n"/>
    </row>
    <row r="555">
      <c r="A555" s="4" t="inlineStr">
        <is>
          <t>452</t>
        </is>
      </c>
      <c r="B555" s="4" t="inlineStr">
        <is>
          <t>elk</t>
        </is>
      </c>
      <c r="C555" s="4" t="inlineStr">
        <is>
          <t>Elk B License: 004-00</t>
        </is>
      </c>
      <c r="D555" s="4" t="inlineStr">
        <is>
          <t>Over the counter</t>
        </is>
      </c>
      <c r="E555" s="4" t="inlineStr">
        <is>
          <t>Antlerless Elk</t>
        </is>
      </c>
      <c r="F555" s="4" t="inlineStr">
        <is>
          <t>Sep 05-Oct 18</t>
        </is>
      </c>
      <c r="G555" s="4" t="inlineStr">
        <is>
          <t>Oct 19-Nov 29</t>
        </is>
      </c>
      <c r="H555" s="4" t="n"/>
      <c r="I555" s="4" t="inlineStr">
        <is>
          <t>Nov 30-Feb 15</t>
        </is>
      </c>
      <c r="J555" s="4" t="inlineStr">
        <is>
          <t>OTC: Jun 15</t>
        </is>
      </c>
      <c r="K555" s="4" t="inlineStr">
        <is>
          <t>UNL</t>
        </is>
      </c>
      <c r="L555" s="4" t="inlineStr">
        <is>
          <t>Not valid on National Forest lands, FWP WMAs, or CMR Refuge. Valid in all Region 4 HDs except HDs 410 and 455 as listed under each HD.</t>
        </is>
      </c>
    </row>
    <row r="556">
      <c r="A556" s="4" t="inlineStr">
        <is>
          <t>455</t>
        </is>
      </c>
      <c r="B556" s="4" t="inlineStr">
        <is>
          <t>elk</t>
        </is>
      </c>
      <c r="C556" s="4" t="inlineStr">
        <is>
          <t>Elk B License: 455-00</t>
        </is>
      </c>
      <c r="D556" s="15" t="inlineStr">
        <is>
          <t>Drawing</t>
        </is>
      </c>
      <c r="E556" s="4" t="inlineStr">
        <is>
          <t>Antlerless Elk</t>
        </is>
      </c>
      <c r="F556" s="4" t="inlineStr">
        <is>
          <t>Sep 05-Oct 18</t>
        </is>
      </c>
      <c r="G556" s="4" t="inlineStr">
        <is>
          <t>Oct 24-Nov 29</t>
        </is>
      </c>
      <c r="H556" s="4" t="inlineStr">
        <is>
          <t>Dec 12-Dec 20</t>
        </is>
      </c>
      <c r="I556" s="4" t="n"/>
      <c r="J556" s="4" t="inlineStr">
        <is>
          <t>Jun 1</t>
        </is>
      </c>
      <c r="K556" s="4" t="inlineStr">
        <is>
          <t>250</t>
        </is>
      </c>
      <c r="L556" s="4" t="inlineStr">
        <is>
          <t>Successful 455-00 license holders may use General Elk License to harvest 2nd antlerless elk in HD 455.</t>
        </is>
      </c>
    </row>
    <row r="557">
      <c r="A557" s="4" t="inlineStr">
        <is>
          <t>455</t>
        </is>
      </c>
      <c r="B557" s="4" t="inlineStr">
        <is>
          <t>elk</t>
        </is>
      </c>
      <c r="C557" s="4" t="inlineStr">
        <is>
          <t>Elk Permit: 455-20</t>
        </is>
      </c>
      <c r="D557" s="15" t="inlineStr">
        <is>
          <t>Drawing</t>
        </is>
      </c>
      <c r="E557" s="4" t="inlineStr">
        <is>
          <t>Either-sex Elk</t>
        </is>
      </c>
      <c r="F557" s="4" t="inlineStr">
        <is>
          <t>Sep 05-Oct 18</t>
        </is>
      </c>
      <c r="G557" s="4" t="inlineStr">
        <is>
          <t>Oct 24-Nov 29</t>
        </is>
      </c>
      <c r="H557" s="4" t="inlineStr">
        <is>
          <t>Dec 12-Dec 20</t>
        </is>
      </c>
      <c r="I557" s="4" t="n"/>
      <c r="J557" s="4" t="inlineStr">
        <is>
          <t>April 1</t>
        </is>
      </c>
      <c r="K557" s="4" t="inlineStr">
        <is>
          <t>55</t>
        </is>
      </c>
      <c r="L557" s="4" t="inlineStr">
        <is>
          <t>Permit must be used with a valid General Elk License. Holders may not hunt Antlered Elk in any other HD during these described season dates.</t>
        </is>
      </c>
    </row>
    <row r="558">
      <c r="A558" s="4" t="inlineStr">
        <is>
          <t>455</t>
        </is>
      </c>
      <c r="B558" s="4" t="inlineStr">
        <is>
          <t>elk</t>
        </is>
      </c>
      <c r="C558" s="4" t="inlineStr">
        <is>
          <t>Elk Permit: 455-21</t>
        </is>
      </c>
      <c r="D558" s="15" t="inlineStr">
        <is>
          <t>Drawing</t>
        </is>
      </c>
      <c r="E558" s="4" t="inlineStr">
        <is>
          <t>Either-sex Elk</t>
        </is>
      </c>
      <c r="F558" s="4" t="inlineStr">
        <is>
          <t>Sep 05-Oct 18</t>
        </is>
      </c>
      <c r="G558" s="4" t="n"/>
      <c r="H558" s="4" t="n"/>
      <c r="I558" s="4" t="n"/>
      <c r="J558" s="4" t="inlineStr">
        <is>
          <t>April 1</t>
        </is>
      </c>
      <c r="K558" s="4" t="inlineStr">
        <is>
          <t>100</t>
        </is>
      </c>
      <c r="L558" s="4" t="inlineStr">
        <is>
          <t>Permit must be used with a valid General Elk License. Holders may not hunt Antlered Elk in any other HD during these described season dates. 107 2026 Deer • Elk • Antelope Visit fwp.mt.gov LICENSE/PERMIT OPPORTUNITY APPL Y BY DATE QUOTA QUOTA RANGE EARL Y SEASON DATES ARCHERY ONL Y SEASON DATES GENE</t>
        </is>
      </c>
    </row>
    <row r="559">
      <c r="A559" s="4" t="inlineStr">
        <is>
          <t>471</t>
        </is>
      </c>
      <c r="B559" s="4" t="inlineStr">
        <is>
          <t>elk</t>
        </is>
      </c>
      <c r="C559" s="4" t="inlineStr">
        <is>
          <t>General Elk License</t>
        </is>
      </c>
      <c r="D559" s="13" t="inlineStr">
        <is>
          <t>General license</t>
        </is>
      </c>
      <c r="E559" s="4" t="inlineStr">
        <is>
          <t>Either-sex Elk</t>
        </is>
      </c>
      <c r="F559" s="4" t="inlineStr">
        <is>
          <t>Sep 05-Oct 18</t>
        </is>
      </c>
      <c r="G559" s="4" t="inlineStr">
        <is>
          <t>Oct 24-Nov 29</t>
        </is>
      </c>
      <c r="H559" s="4" t="inlineStr">
        <is>
          <t>Dec 12-Dec 20</t>
        </is>
      </c>
      <c r="I559" s="4" t="n"/>
      <c r="J559" s="4" t="n"/>
      <c r="K559" s="4" t="n"/>
      <c r="L559" s="4" t="n"/>
    </row>
    <row r="560">
      <c r="A560" s="4" t="inlineStr">
        <is>
          <t>471</t>
        </is>
      </c>
      <c r="B560" s="4" t="inlineStr">
        <is>
          <t>elk</t>
        </is>
      </c>
      <c r="C560" s="4" t="inlineStr">
        <is>
          <t>Elk B License: 004-00</t>
        </is>
      </c>
      <c r="D560" s="4" t="inlineStr">
        <is>
          <t>Over the counter</t>
        </is>
      </c>
      <c r="E560" s="4" t="inlineStr">
        <is>
          <t>Antlerless Elk</t>
        </is>
      </c>
      <c r="F560" s="4" t="inlineStr">
        <is>
          <t>Sep 05-Oct 18</t>
        </is>
      </c>
      <c r="G560" s="4" t="inlineStr">
        <is>
          <t>Oct 24-Nov 29</t>
        </is>
      </c>
      <c r="H560" s="4" t="inlineStr">
        <is>
          <t>Dec 12-Dec 20</t>
        </is>
      </c>
      <c r="I560" s="4" t="n"/>
      <c r="J560" s="4" t="inlineStr">
        <is>
          <t>OTC: Jun 15</t>
        </is>
      </c>
      <c r="K560" s="4" t="inlineStr">
        <is>
          <t>UNL</t>
        </is>
      </c>
      <c r="L560" s="4" t="inlineStr">
        <is>
          <t>Not valid on National Forest lands, FWP WMAs, or CMR Refuge. Valid in all Region 4 HDs except HDs 410 and 455 as listed under each HD. Region</t>
        </is>
      </c>
    </row>
    <row r="561">
      <c r="A561" s="4" t="inlineStr">
        <is>
          <t>502</t>
        </is>
      </c>
      <c r="B561" s="4" t="inlineStr">
        <is>
          <t>elk</t>
        </is>
      </c>
      <c r="C561" s="4" t="inlineStr">
        <is>
          <t>General Elk License</t>
        </is>
      </c>
      <c r="D561" s="13" t="inlineStr">
        <is>
          <t>General license</t>
        </is>
      </c>
      <c r="E561" s="4" t="inlineStr">
        <is>
          <t>Antlerless Elk</t>
        </is>
      </c>
      <c r="F561" s="4" t="n"/>
      <c r="G561" s="4" t="n"/>
      <c r="H561" s="4" t="n"/>
      <c r="I561" s="4" t="n"/>
      <c r="J561" s="4" t="n"/>
      <c r="K561" s="4" t="n"/>
      <c r="L561" s="4" t="inlineStr">
        <is>
          <t>Only valid on private land.</t>
        </is>
      </c>
    </row>
    <row r="562">
      <c r="A562" s="4" t="inlineStr">
        <is>
          <t>502</t>
        </is>
      </c>
      <c r="B562" s="4" t="inlineStr">
        <is>
          <t>elk</t>
        </is>
      </c>
      <c r="C562" s="4" t="inlineStr">
        <is>
          <t>General Elk License</t>
        </is>
      </c>
      <c r="D562" s="13" t="inlineStr">
        <is>
          <t>General license</t>
        </is>
      </c>
      <c r="E562" s="4" t="inlineStr">
        <is>
          <t>Antlerless Elk</t>
        </is>
      </c>
      <c r="F562" s="4" t="inlineStr">
        <is>
          <t>Sep 05-Oct 18</t>
        </is>
      </c>
      <c r="G562" s="4" t="inlineStr">
        <is>
          <t>Oct 24-Nov 29</t>
        </is>
      </c>
      <c r="H562" s="4" t="n"/>
      <c r="I562" s="4" t="inlineStr">
        <is>
          <t>Nov 30-Feb 15</t>
        </is>
      </c>
      <c r="J562" s="4" t="n"/>
      <c r="K562" s="4" t="n"/>
      <c r="L562" s="4" t="n"/>
    </row>
    <row r="563">
      <c r="A563" s="4" t="inlineStr">
        <is>
          <t>502</t>
        </is>
      </c>
      <c r="B563" s="4" t="inlineStr">
        <is>
          <t>elk</t>
        </is>
      </c>
      <c r="C563" s="4" t="inlineStr">
        <is>
          <t>Elk B License: 005-00</t>
        </is>
      </c>
      <c r="D563" s="4" t="inlineStr">
        <is>
          <t>Over the counter</t>
        </is>
      </c>
      <c r="E563" s="4" t="inlineStr">
        <is>
          <t>Antlerless Elk</t>
        </is>
      </c>
      <c r="F563" s="4" t="n"/>
      <c r="G563" s="4" t="n"/>
      <c r="H563" s="4" t="n"/>
      <c r="I563" s="4" t="n"/>
      <c r="J563" s="4" t="inlineStr">
        <is>
          <t>OTC: Jun 15</t>
        </is>
      </c>
      <c r="K563" s="4" t="inlineStr">
        <is>
          <t>UNL</t>
        </is>
      </c>
      <c r="L563" s="4" t="inlineStr">
        <is>
          <t>Only valid on private land.</t>
        </is>
      </c>
    </row>
    <row r="564">
      <c r="A564" s="4" t="inlineStr">
        <is>
          <t>502</t>
        </is>
      </c>
      <c r="B564" s="4" t="inlineStr">
        <is>
          <t>elk</t>
        </is>
      </c>
      <c r="C564" s="4" t="inlineStr">
        <is>
          <t>Elk Permit: 502-20</t>
        </is>
      </c>
      <c r="D564" s="15" t="inlineStr">
        <is>
          <t>Drawing</t>
        </is>
      </c>
      <c r="E564" s="4" t="inlineStr">
        <is>
          <t>Either-sex Elk</t>
        </is>
      </c>
      <c r="F564" s="4" t="inlineStr">
        <is>
          <t>Sep 05-Oct 18</t>
        </is>
      </c>
      <c r="G564" s="4" t="inlineStr">
        <is>
          <t>Oct 24-Nov 29</t>
        </is>
      </c>
      <c r="H564" s="4" t="inlineStr">
        <is>
          <t>Dec 12-Dec 20</t>
        </is>
      </c>
      <c r="I564" s="4" t="n"/>
      <c r="J564" s="4" t="inlineStr">
        <is>
          <t>April 1</t>
        </is>
      </c>
      <c r="K564" s="4" t="inlineStr">
        <is>
          <t>5</t>
        </is>
      </c>
      <c r="L564" s="4" t="inlineStr">
        <is>
          <t>Permit must be used with a valid General Elk License. Holders may not hunt Antlered Elk in any other HD during these described season dates.</t>
        </is>
      </c>
    </row>
    <row r="565">
      <c r="A565" s="4" t="inlineStr">
        <is>
          <t>502</t>
        </is>
      </c>
      <c r="B565" s="4" t="inlineStr">
        <is>
          <t>elk</t>
        </is>
      </c>
      <c r="C565" s="4" t="inlineStr">
        <is>
          <t>Elk Permit: 595-21</t>
        </is>
      </c>
      <c r="D565" s="15" t="inlineStr">
        <is>
          <t>Drawing</t>
        </is>
      </c>
      <c r="E565" s="4" t="inlineStr">
        <is>
          <t>Either-sex Elk</t>
        </is>
      </c>
      <c r="F565" s="4" t="inlineStr">
        <is>
          <t>Sep 05-Oct 18</t>
        </is>
      </c>
      <c r="G565" s="4" t="n"/>
      <c r="H565" s="4" t="n"/>
      <c r="I565" s="4" t="n"/>
      <c r="J565" s="4" t="inlineStr">
        <is>
          <t>April 1</t>
        </is>
      </c>
      <c r="K565" s="4" t="inlineStr">
        <is>
          <t>1,800</t>
        </is>
      </c>
      <c r="L565" s="4" t="inlineStr">
        <is>
          <t>1st and only choice. Valid in HDs 502, 535, 555, 590, and a portion of HD 701 north of the Yellowstone River, south of Hwy 12, west of Sumatra- Hysham Rd. Permit must be used with a valid General Elk License. Holders may not hunt Antlered Elk in any other HD during these described season dates. LICE</t>
        </is>
      </c>
    </row>
    <row r="566">
      <c r="A566" s="4" t="inlineStr">
        <is>
          <t>515</t>
        </is>
      </c>
      <c r="B566" s="4" t="inlineStr">
        <is>
          <t>elk</t>
        </is>
      </c>
      <c r="C566" s="4" t="inlineStr">
        <is>
          <t>General Elk License</t>
        </is>
      </c>
      <c r="D566" s="13" t="inlineStr">
        <is>
          <t>General license</t>
        </is>
      </c>
      <c r="E566" s="4" t="inlineStr">
        <is>
          <t>Antlerless Elk</t>
        </is>
      </c>
      <c r="F566" s="4" t="n"/>
      <c r="G566" s="4" t="n"/>
      <c r="H566" s="4" t="n"/>
      <c r="I566" s="4" t="n"/>
      <c r="J566" s="4" t="n"/>
      <c r="K566" s="4" t="n"/>
      <c r="L566" s="4" t="inlineStr">
        <is>
          <t>Only valid on private land.</t>
        </is>
      </c>
    </row>
    <row r="567">
      <c r="A567" s="4" t="inlineStr">
        <is>
          <t>515</t>
        </is>
      </c>
      <c r="B567" s="4" t="inlineStr">
        <is>
          <t>elk</t>
        </is>
      </c>
      <c r="C567" s="4" t="inlineStr">
        <is>
          <t>General Elk License</t>
        </is>
      </c>
      <c r="D567" s="13" t="inlineStr">
        <is>
          <t>General license</t>
        </is>
      </c>
      <c r="E567" s="4" t="inlineStr">
        <is>
          <t>Either-sex Elk</t>
        </is>
      </c>
      <c r="F567" s="4" t="inlineStr">
        <is>
          <t>Sep 05-Oct 18</t>
        </is>
      </c>
      <c r="G567" s="4" t="inlineStr">
        <is>
          <t>Oct 24-Nov 29</t>
        </is>
      </c>
      <c r="H567" s="4" t="inlineStr">
        <is>
          <t>Dec 12-Dec 20</t>
        </is>
      </c>
      <c r="I567" s="4" t="n"/>
      <c r="J567" s="4" t="n"/>
      <c r="K567" s="4" t="n"/>
      <c r="L567" s="4" t="n"/>
    </row>
    <row r="568">
      <c r="A568" s="4" t="inlineStr">
        <is>
          <t>515</t>
        </is>
      </c>
      <c r="B568" s="4" t="inlineStr">
        <is>
          <t>elk</t>
        </is>
      </c>
      <c r="C568" s="4" t="inlineStr">
        <is>
          <t>Elk B License: 005-00</t>
        </is>
      </c>
      <c r="D568" s="4" t="inlineStr">
        <is>
          <t>Over the counter</t>
        </is>
      </c>
      <c r="E568" s="4" t="inlineStr">
        <is>
          <t>Antlerless Elk</t>
        </is>
      </c>
      <c r="F568" s="4" t="n"/>
      <c r="G568" s="4" t="n"/>
      <c r="H568" s="4" t="n"/>
      <c r="I568" s="4" t="n"/>
      <c r="J568" s="4" t="inlineStr">
        <is>
          <t>OTC: Jun 15</t>
        </is>
      </c>
      <c r="K568" s="4" t="inlineStr">
        <is>
          <t>UNL</t>
        </is>
      </c>
      <c r="L568" s="4" t="inlineStr">
        <is>
          <t>Only valid on private land.</t>
        </is>
      </c>
    </row>
    <row r="569">
      <c r="A569" s="4" t="inlineStr">
        <is>
          <t>525</t>
        </is>
      </c>
      <c r="B569" s="4" t="inlineStr">
        <is>
          <t>elk</t>
        </is>
      </c>
      <c r="C569" s="4" t="inlineStr">
        <is>
          <t>General Elk License</t>
        </is>
      </c>
      <c r="D569" s="13" t="inlineStr">
        <is>
          <t>General license</t>
        </is>
      </c>
      <c r="E569" s="4" t="inlineStr">
        <is>
          <t>Antlerless Elk</t>
        </is>
      </c>
      <c r="F569" s="4" t="n"/>
      <c r="G569" s="4" t="n"/>
      <c r="H569" s="4" t="n"/>
      <c r="I569" s="4" t="n"/>
      <c r="J569" s="4" t="n"/>
      <c r="K569" s="4" t="n"/>
      <c r="L569" s="4" t="inlineStr">
        <is>
          <t>Only valid on private land.</t>
        </is>
      </c>
    </row>
    <row r="570">
      <c r="A570" s="4" t="inlineStr">
        <is>
          <t>525</t>
        </is>
      </c>
      <c r="B570" s="4" t="inlineStr">
        <is>
          <t>elk</t>
        </is>
      </c>
      <c r="C570" s="4" t="inlineStr">
        <is>
          <t>General Elk License</t>
        </is>
      </c>
      <c r="D570" s="13" t="inlineStr">
        <is>
          <t>General license</t>
        </is>
      </c>
      <c r="E570" s="4" t="inlineStr">
        <is>
          <t>Either-sex Elk</t>
        </is>
      </c>
      <c r="F570" s="4" t="inlineStr">
        <is>
          <t>Sep 05-Oct 18</t>
        </is>
      </c>
      <c r="G570" s="4" t="inlineStr">
        <is>
          <t>Oct 24-Nov 29</t>
        </is>
      </c>
      <c r="H570" s="4" t="inlineStr">
        <is>
          <t>Dec 12-Dec 20</t>
        </is>
      </c>
      <c r="I570" s="4" t="n"/>
      <c r="J570" s="4" t="n"/>
      <c r="K570" s="4" t="n"/>
      <c r="L570" s="4" t="n"/>
    </row>
    <row r="571">
      <c r="A571" s="4" t="inlineStr">
        <is>
          <t>525</t>
        </is>
      </c>
      <c r="B571" s="4" t="inlineStr">
        <is>
          <t>elk</t>
        </is>
      </c>
      <c r="C571" s="4" t="inlineStr">
        <is>
          <t>Elk B License: 005-00</t>
        </is>
      </c>
      <c r="D571" s="4" t="inlineStr">
        <is>
          <t>Over the counter</t>
        </is>
      </c>
      <c r="E571" s="4" t="inlineStr">
        <is>
          <t>Antlerless Elk</t>
        </is>
      </c>
      <c r="F571" s="4" t="n"/>
      <c r="G571" s="4" t="n"/>
      <c r="H571" s="4" t="n"/>
      <c r="I571" s="4" t="n"/>
      <c r="J571" s="4" t="inlineStr">
        <is>
          <t>OTC: Jun 15</t>
        </is>
      </c>
      <c r="K571" s="4" t="inlineStr">
        <is>
          <t>UNL</t>
        </is>
      </c>
      <c r="L571" s="4" t="inlineStr">
        <is>
          <t>Only valid on private land. Not valid on National Forest Lands. Not valid on National Forest Land or FWP WMAs. 109 2026 Deer • Elk • Antelope Visit fwp.mt.gov LICENSE/PERMIT OPPORTUNITY APPL Y BY DATE QUOTA QUOTA RANGE EARL Y SEASON DATES ARCHERY ONL Y SEASON DATES GENERAL SEASON DATES HERITAGE MUZZ</t>
        </is>
      </c>
    </row>
    <row r="572">
      <c r="A572" s="4" t="inlineStr">
        <is>
          <t>535</t>
        </is>
      </c>
      <c r="B572" s="4" t="inlineStr">
        <is>
          <t>elk</t>
        </is>
      </c>
      <c r="C572" s="4" t="inlineStr">
        <is>
          <t>General Elk License</t>
        </is>
      </c>
      <c r="D572" s="13" t="inlineStr">
        <is>
          <t>General license</t>
        </is>
      </c>
      <c r="E572" s="4" t="inlineStr">
        <is>
          <t>Antlerless Elk</t>
        </is>
      </c>
      <c r="F572" s="4" t="n"/>
      <c r="G572" s="4" t="n"/>
      <c r="H572" s="4" t="n"/>
      <c r="I572" s="4" t="n"/>
      <c r="J572" s="4" t="n"/>
      <c r="K572" s="4" t="n"/>
      <c r="L572" s="4" t="inlineStr">
        <is>
          <t>Only valid on private land.</t>
        </is>
      </c>
    </row>
    <row r="573">
      <c r="A573" s="4" t="inlineStr">
        <is>
          <t>535</t>
        </is>
      </c>
      <c r="B573" s="4" t="inlineStr">
        <is>
          <t>elk</t>
        </is>
      </c>
      <c r="C573" s="4" t="inlineStr">
        <is>
          <t>General Elk License</t>
        </is>
      </c>
      <c r="D573" s="13" t="inlineStr">
        <is>
          <t>General license</t>
        </is>
      </c>
      <c r="E573" s="4" t="inlineStr">
        <is>
          <t>Spike Bull or Antlerless Elk</t>
        </is>
      </c>
      <c r="F573" s="4" t="inlineStr">
        <is>
          <t>Sep 05-Oct 18</t>
        </is>
      </c>
      <c r="G573" s="4" t="inlineStr">
        <is>
          <t>Oct 24-Nov 29</t>
        </is>
      </c>
      <c r="H573" s="4" t="inlineStr">
        <is>
          <t>Dec 12-Dec 20</t>
        </is>
      </c>
      <c r="I573" s="4" t="n"/>
      <c r="J573" s="4" t="n"/>
      <c r="K573" s="4" t="n"/>
      <c r="L573" s="4" t="n"/>
    </row>
    <row r="574">
      <c r="A574" s="4" t="inlineStr">
        <is>
          <t>535</t>
        </is>
      </c>
      <c r="B574" s="4" t="inlineStr">
        <is>
          <t>elk</t>
        </is>
      </c>
      <c r="C574" s="4" t="inlineStr">
        <is>
          <t>Elk B License: 005-00</t>
        </is>
      </c>
      <c r="D574" s="4" t="inlineStr">
        <is>
          <t>Over the counter</t>
        </is>
      </c>
      <c r="E574" s="4" t="inlineStr">
        <is>
          <t>Antlerless Elk</t>
        </is>
      </c>
      <c r="F574" s="4" t="n"/>
      <c r="G574" s="4" t="n"/>
      <c r="H574" s="4" t="n"/>
      <c r="I574" s="4" t="n"/>
      <c r="J574" s="4" t="inlineStr">
        <is>
          <t>OTC: Jun 15</t>
        </is>
      </c>
      <c r="K574" s="4" t="inlineStr">
        <is>
          <t>UNL</t>
        </is>
      </c>
      <c r="L574" s="4" t="inlineStr">
        <is>
          <t>Only valid on private land. Not valid on National Forest Lands. Not valid on National Forest lands or FWP WMAs.</t>
        </is>
      </c>
    </row>
    <row r="575">
      <c r="A575" s="4" t="inlineStr">
        <is>
          <t>535</t>
        </is>
      </c>
      <c r="B575" s="4" t="inlineStr">
        <is>
          <t>elk</t>
        </is>
      </c>
      <c r="C575" s="4" t="inlineStr">
        <is>
          <t>Elk B License: 411-00</t>
        </is>
      </c>
      <c r="D575" s="15" t="inlineStr">
        <is>
          <t>Drawing</t>
        </is>
      </c>
      <c r="E575" s="4" t="inlineStr">
        <is>
          <t>Antlerless Elk</t>
        </is>
      </c>
      <c r="F575" s="4" t="n"/>
      <c r="G575" s="4" t="n"/>
      <c r="H575" s="4" t="n"/>
      <c r="I575" s="4" t="n"/>
      <c r="J575" s="4" t="inlineStr">
        <is>
          <t>Jun 1</t>
        </is>
      </c>
      <c r="K575" s="4" t="inlineStr">
        <is>
          <t>1,200</t>
        </is>
      </c>
      <c r="L575" s="4" t="inlineStr">
        <is>
          <t>Only valid on private land in HDs 411 and 535. Valid in HDs 411 and 535. Valid in HDs 411 and 535. Not valid on FWP WMAs.</t>
        </is>
      </c>
    </row>
    <row r="576">
      <c r="A576" s="4" t="inlineStr">
        <is>
          <t>535</t>
        </is>
      </c>
      <c r="B576" s="4" t="inlineStr">
        <is>
          <t>elk</t>
        </is>
      </c>
      <c r="C576" s="4" t="inlineStr">
        <is>
          <t>Elk Permit: 411-20</t>
        </is>
      </c>
      <c r="D576" s="15" t="inlineStr">
        <is>
          <t>Drawing</t>
        </is>
      </c>
      <c r="E576" s="4" t="inlineStr">
        <is>
          <t>Either-sex Elk</t>
        </is>
      </c>
      <c r="F576" s="4" t="inlineStr">
        <is>
          <t>Sep 05-Oct 18</t>
        </is>
      </c>
      <c r="G576" s="4" t="inlineStr">
        <is>
          <t>Oct 24-Nov 29</t>
        </is>
      </c>
      <c r="H576" s="4" t="inlineStr">
        <is>
          <t>Dec 12-Dec 20</t>
        </is>
      </c>
      <c r="I576" s="4" t="n"/>
      <c r="J576" s="4" t="inlineStr">
        <is>
          <t>April 1</t>
        </is>
      </c>
      <c r="K576" s="4" t="inlineStr">
        <is>
          <t>350</t>
        </is>
      </c>
      <c r="L576" s="4" t="inlineStr">
        <is>
          <t>1st and only choice. Valid in HDs 411 and 535. Permit must be used with a valid General Elk License. Holders may not hunt Antlered Elk in any other HD during these described season dates.</t>
        </is>
      </c>
    </row>
    <row r="577">
      <c r="A577" s="4" t="inlineStr">
        <is>
          <t>535</t>
        </is>
      </c>
      <c r="B577" s="4" t="inlineStr">
        <is>
          <t>elk</t>
        </is>
      </c>
      <c r="C577" s="4" t="inlineStr">
        <is>
          <t>Elk Permit: 595-21</t>
        </is>
      </c>
      <c r="D577" s="15" t="inlineStr">
        <is>
          <t>Drawing</t>
        </is>
      </c>
      <c r="E577" s="4" t="inlineStr">
        <is>
          <t>Either-sex Elk</t>
        </is>
      </c>
      <c r="F577" s="4" t="inlineStr">
        <is>
          <t>Sep 05-Oct 18</t>
        </is>
      </c>
      <c r="G577" s="4" t="n"/>
      <c r="H577" s="4" t="n"/>
      <c r="I577" s="4" t="n"/>
      <c r="J577" s="4" t="inlineStr">
        <is>
          <t>April 1</t>
        </is>
      </c>
      <c r="K577" s="4" t="inlineStr">
        <is>
          <t>1,800</t>
        </is>
      </c>
      <c r="L577" s="4" t="inlineStr">
        <is>
          <t>1st and only choice. Valid in HDs 502, 535, 555, 590, and a portion of HD 701 north of the Yellowstone River, south of Hwy 12, west of Sumatra- Hysham Rd. Permit must be used with a valid General Elk License. Holders may not hunt Antlered Elk in any other HD during these described season dates. LICE</t>
        </is>
      </c>
    </row>
    <row r="578">
      <c r="A578" s="4" t="inlineStr">
        <is>
          <t>540</t>
        </is>
      </c>
      <c r="B578" s="4" t="inlineStr">
        <is>
          <t>elk</t>
        </is>
      </c>
      <c r="C578" s="4" t="inlineStr">
        <is>
          <t>General Elk License</t>
        </is>
      </c>
      <c r="D578" s="13" t="inlineStr">
        <is>
          <t>General license</t>
        </is>
      </c>
      <c r="E578" s="4" t="inlineStr">
        <is>
          <t>Antlerless Elk</t>
        </is>
      </c>
      <c r="F578" s="4" t="n"/>
      <c r="G578" s="4" t="n"/>
      <c r="H578" s="4" t="n"/>
      <c r="I578" s="4" t="n"/>
      <c r="J578" s="4" t="n"/>
      <c r="K578" s="4" t="n"/>
      <c r="L578" s="4" t="inlineStr">
        <is>
          <t>Only valid on private land.</t>
        </is>
      </c>
    </row>
    <row r="579">
      <c r="A579" s="4" t="inlineStr">
        <is>
          <t>540</t>
        </is>
      </c>
      <c r="B579" s="4" t="inlineStr">
        <is>
          <t>elk</t>
        </is>
      </c>
      <c r="C579" s="4" t="inlineStr">
        <is>
          <t>General Elk License</t>
        </is>
      </c>
      <c r="D579" s="13" t="inlineStr">
        <is>
          <t>General license</t>
        </is>
      </c>
      <c r="E579" s="4" t="inlineStr">
        <is>
          <t>Either-sex Elk</t>
        </is>
      </c>
      <c r="F579" s="4" t="inlineStr">
        <is>
          <t>Sep 05-Oct 18</t>
        </is>
      </c>
      <c r="G579" s="4" t="inlineStr">
        <is>
          <t>Oct 24-Nov 29</t>
        </is>
      </c>
      <c r="H579" s="4" t="inlineStr">
        <is>
          <t>Dec 12-Dec 20</t>
        </is>
      </c>
      <c r="I579" s="4" t="n"/>
      <c r="J579" s="4" t="n"/>
      <c r="K579" s="4" t="n"/>
      <c r="L579" s="4" t="n"/>
    </row>
    <row r="580">
      <c r="A580" s="4" t="inlineStr">
        <is>
          <t>540</t>
        </is>
      </c>
      <c r="B580" s="4" t="inlineStr">
        <is>
          <t>elk</t>
        </is>
      </c>
      <c r="C580" s="4" t="inlineStr">
        <is>
          <t>Elk B License: 005-00</t>
        </is>
      </c>
      <c r="D580" s="4" t="inlineStr">
        <is>
          <t>Over the counter</t>
        </is>
      </c>
      <c r="E580" s="4" t="inlineStr">
        <is>
          <t>Antlerless Elk</t>
        </is>
      </c>
      <c r="F580" s="4" t="n"/>
      <c r="G580" s="4" t="n"/>
      <c r="H580" s="4" t="n"/>
      <c r="I580" s="4" t="n"/>
      <c r="J580" s="4" t="inlineStr">
        <is>
          <t>OTC: Jun 15</t>
        </is>
      </c>
      <c r="K580" s="4" t="inlineStr">
        <is>
          <t>UNL</t>
        </is>
      </c>
      <c r="L580" s="4" t="inlineStr">
        <is>
          <t>Only valid on private land. Not valid on National Forest Lands.</t>
        </is>
      </c>
    </row>
    <row r="581">
      <c r="A581" s="4" t="inlineStr">
        <is>
          <t>555</t>
        </is>
      </c>
      <c r="B581" s="4" t="inlineStr">
        <is>
          <t>elk</t>
        </is>
      </c>
      <c r="C581" s="4" t="inlineStr">
        <is>
          <t>Elk B License: 005-00</t>
        </is>
      </c>
      <c r="D581" s="4" t="inlineStr">
        <is>
          <t>Over the counter</t>
        </is>
      </c>
      <c r="E581" s="4" t="inlineStr">
        <is>
          <t>Antlerless Elk</t>
        </is>
      </c>
      <c r="F581" s="4" t="inlineStr">
        <is>
          <t>Sep 05-Oct 18</t>
        </is>
      </c>
      <c r="G581" s="4" t="inlineStr">
        <is>
          <t>Oct 24-Nov 29</t>
        </is>
      </c>
      <c r="H581" s="4" t="inlineStr">
        <is>
          <t>Dec 12-Dec 20</t>
        </is>
      </c>
      <c r="I581" s="4" t="inlineStr">
        <is>
          <t>Nov 30-Feb 15</t>
        </is>
      </c>
      <c r="J581" s="4" t="inlineStr">
        <is>
          <t>OTC: Jun 15</t>
        </is>
      </c>
      <c r="K581" s="4" t="inlineStr">
        <is>
          <t>UNL</t>
        </is>
      </c>
      <c r="L581" s="4" t="inlineStr">
        <is>
          <t>Not Valid on National Forest Lands.</t>
        </is>
      </c>
    </row>
    <row r="582">
      <c r="A582" s="4" t="inlineStr">
        <is>
          <t>555</t>
        </is>
      </c>
      <c r="B582" s="4" t="inlineStr">
        <is>
          <t>elk</t>
        </is>
      </c>
      <c r="C582" s="4" t="inlineStr">
        <is>
          <t>Elk B License: 555-00</t>
        </is>
      </c>
      <c r="D582" s="15" t="inlineStr">
        <is>
          <t>Drawing</t>
        </is>
      </c>
      <c r="E582" s="4" t="inlineStr">
        <is>
          <t>Antlerless Elk</t>
        </is>
      </c>
      <c r="F582" s="4" t="inlineStr">
        <is>
          <t>Sep 05-Oct 18</t>
        </is>
      </c>
      <c r="G582" s="4" t="inlineStr">
        <is>
          <t>Oct 24-Nov 29</t>
        </is>
      </c>
      <c r="H582" s="4" t="inlineStr">
        <is>
          <t>Dec 12-Dec 20</t>
        </is>
      </c>
      <c r="I582" s="4" t="n"/>
      <c r="J582" s="4" t="inlineStr">
        <is>
          <t>Jun 1</t>
        </is>
      </c>
      <c r="K582" s="4" t="inlineStr">
        <is>
          <t>30</t>
        </is>
      </c>
      <c r="L582" s="4" t="n"/>
    </row>
    <row r="583">
      <c r="A583" s="4" t="inlineStr">
        <is>
          <t>555</t>
        </is>
      </c>
      <c r="B583" s="4" t="inlineStr">
        <is>
          <t>elk</t>
        </is>
      </c>
      <c r="C583" s="4" t="inlineStr">
        <is>
          <t>Elk Permit: 555-20</t>
        </is>
      </c>
      <c r="D583" s="15" t="inlineStr">
        <is>
          <t>Drawing</t>
        </is>
      </c>
      <c r="E583" s="4" t="inlineStr">
        <is>
          <t>Either-sex Elk</t>
        </is>
      </c>
      <c r="F583" s="4" t="inlineStr">
        <is>
          <t>Sep 05-Oct 18</t>
        </is>
      </c>
      <c r="G583" s="4" t="inlineStr">
        <is>
          <t>Oct 24-Nov 29</t>
        </is>
      </c>
      <c r="H583" s="4" t="inlineStr">
        <is>
          <t>Dec 12-Dec 20</t>
        </is>
      </c>
      <c r="I583" s="4" t="n"/>
      <c r="J583" s="4" t="inlineStr">
        <is>
          <t>April 1</t>
        </is>
      </c>
      <c r="K583" s="4" t="inlineStr">
        <is>
          <t>25</t>
        </is>
      </c>
      <c r="L583" s="4" t="inlineStr">
        <is>
          <t>Permit must be used with a valid General Elk License. Holders may not hunt Antlered Elk in any other HD during these described season dates.</t>
        </is>
      </c>
    </row>
    <row r="584">
      <c r="A584" s="4" t="inlineStr">
        <is>
          <t>555</t>
        </is>
      </c>
      <c r="B584" s="4" t="inlineStr">
        <is>
          <t>elk</t>
        </is>
      </c>
      <c r="C584" s="4" t="inlineStr">
        <is>
          <t>Elk Permit: 595-21</t>
        </is>
      </c>
      <c r="D584" s="15" t="inlineStr">
        <is>
          <t>Drawing</t>
        </is>
      </c>
      <c r="E584" s="4" t="inlineStr">
        <is>
          <t>Either-sex Elk</t>
        </is>
      </c>
      <c r="F584" s="4" t="inlineStr">
        <is>
          <t>Sep 05-Oct 18</t>
        </is>
      </c>
      <c r="G584" s="4" t="n"/>
      <c r="H584" s="4" t="n"/>
      <c r="I584" s="4" t="n"/>
      <c r="J584" s="4" t="inlineStr">
        <is>
          <t>April 1</t>
        </is>
      </c>
      <c r="K584" s="4" t="inlineStr">
        <is>
          <t>1,800</t>
        </is>
      </c>
      <c r="L584" s="4" t="inlineStr">
        <is>
          <t xml:space="preserve">1st and only choice. Valid in HDs 502, 535, 555, 590, and a portion of HD 701 north of the Yellowstone River, south of Hwy 12, west of Sumatra- Hysham Rd. Permit must be used with a valid General Elk License. Holders may not hunt Antlered Elk in any other HD during these described season dates. 111 </t>
        </is>
      </c>
    </row>
    <row r="585">
      <c r="A585" s="4" t="inlineStr">
        <is>
          <t>565</t>
        </is>
      </c>
      <c r="B585" s="4" t="inlineStr">
        <is>
          <t>elk</t>
        </is>
      </c>
      <c r="C585" s="4" t="inlineStr">
        <is>
          <t>General Elk License</t>
        </is>
      </c>
      <c r="D585" s="13" t="inlineStr">
        <is>
          <t>General license</t>
        </is>
      </c>
      <c r="E585" s="4" t="inlineStr">
        <is>
          <t>Either-sex Elk</t>
        </is>
      </c>
      <c r="F585" s="4" t="inlineStr">
        <is>
          <t>Sep 05-Oct 18</t>
        </is>
      </c>
      <c r="G585" s="4" t="n"/>
      <c r="H585" s="4" t="n"/>
      <c r="I585" s="4" t="n"/>
      <c r="J585" s="4" t="n"/>
      <c r="K585" s="4" t="n"/>
      <c r="L585" s="4" t="n"/>
    </row>
    <row r="586">
      <c r="A586" s="4" t="inlineStr">
        <is>
          <t>565</t>
        </is>
      </c>
      <c r="B586" s="4" t="inlineStr">
        <is>
          <t>elk</t>
        </is>
      </c>
      <c r="C586" s="4" t="inlineStr">
        <is>
          <t>General Elk License</t>
        </is>
      </c>
      <c r="D586" s="13" t="inlineStr">
        <is>
          <t>General license</t>
        </is>
      </c>
      <c r="E586" s="4" t="inlineStr">
        <is>
          <t>Antlered Bull Elk</t>
        </is>
      </c>
      <c r="F586" s="4" t="n"/>
      <c r="G586" s="4" t="inlineStr">
        <is>
          <t>Oct 24-Nov 29</t>
        </is>
      </c>
      <c r="H586" s="4" t="inlineStr">
        <is>
          <t>Dec 12-Dec 20</t>
        </is>
      </c>
      <c r="I586" s="4" t="n"/>
      <c r="J586" s="4" t="n"/>
      <c r="K586" s="4" t="n"/>
      <c r="L586" s="4" t="n"/>
    </row>
    <row r="587">
      <c r="A587" s="4" t="inlineStr">
        <is>
          <t>575</t>
        </is>
      </c>
      <c r="B587" s="4" t="inlineStr">
        <is>
          <t>elk</t>
        </is>
      </c>
      <c r="C587" s="4" t="inlineStr">
        <is>
          <t>General Elk License</t>
        </is>
      </c>
      <c r="D587" s="13" t="inlineStr">
        <is>
          <t>General license</t>
        </is>
      </c>
      <c r="E587" s="4" t="inlineStr">
        <is>
          <t>Antlerless Elk</t>
        </is>
      </c>
      <c r="F587" s="4" t="n"/>
      <c r="G587" s="4" t="n"/>
      <c r="H587" s="4" t="n"/>
      <c r="I587" s="4" t="n"/>
      <c r="J587" s="4" t="n"/>
      <c r="K587" s="4" t="n"/>
      <c r="L587" s="4" t="inlineStr">
        <is>
          <t>Only valid on private land.</t>
        </is>
      </c>
    </row>
    <row r="588">
      <c r="A588" s="4" t="inlineStr">
        <is>
          <t>575</t>
        </is>
      </c>
      <c r="B588" s="4" t="inlineStr">
        <is>
          <t>elk</t>
        </is>
      </c>
      <c r="C588" s="4" t="inlineStr">
        <is>
          <t>General Elk License</t>
        </is>
      </c>
      <c r="D588" s="13" t="inlineStr">
        <is>
          <t>General license</t>
        </is>
      </c>
      <c r="E588" s="4" t="inlineStr">
        <is>
          <t>Either-sex Elk</t>
        </is>
      </c>
      <c r="F588" s="4" t="inlineStr">
        <is>
          <t>Sep 05-Oct 18</t>
        </is>
      </c>
      <c r="G588" s="4" t="inlineStr">
        <is>
          <t>Oct 24-Nov 29</t>
        </is>
      </c>
      <c r="H588" s="4" t="inlineStr">
        <is>
          <t>Dec 12-Dec 20</t>
        </is>
      </c>
      <c r="I588" s="4" t="n"/>
      <c r="J588" s="4" t="n"/>
      <c r="K588" s="4" t="n"/>
      <c r="L588" s="4" t="n"/>
    </row>
    <row r="589">
      <c r="A589" s="4" t="inlineStr">
        <is>
          <t>575</t>
        </is>
      </c>
      <c r="B589" s="4" t="inlineStr">
        <is>
          <t>elk</t>
        </is>
      </c>
      <c r="C589" s="4" t="inlineStr">
        <is>
          <t>Elk B License: 005-00</t>
        </is>
      </c>
      <c r="D589" s="4" t="inlineStr">
        <is>
          <t>Over the counter</t>
        </is>
      </c>
      <c r="E589" s="4" t="inlineStr">
        <is>
          <t>Antlerless Elk</t>
        </is>
      </c>
      <c r="F589" s="4" t="n"/>
      <c r="G589" s="4" t="n"/>
      <c r="H589" s="4" t="n"/>
      <c r="I589" s="4" t="n"/>
      <c r="J589" s="4" t="inlineStr">
        <is>
          <t>OTC: Jun 15</t>
        </is>
      </c>
      <c r="K589" s="4" t="inlineStr">
        <is>
          <t>UNL</t>
        </is>
      </c>
      <c r="L589" s="4" t="inlineStr">
        <is>
          <t>Only valid on private land.</t>
        </is>
      </c>
    </row>
    <row r="590">
      <c r="A590" s="4" t="inlineStr">
        <is>
          <t>580</t>
        </is>
      </c>
      <c r="B590" s="4" t="inlineStr">
        <is>
          <t>elk</t>
        </is>
      </c>
      <c r="C590" s="4" t="inlineStr">
        <is>
          <t>General Elk License</t>
        </is>
      </c>
      <c r="D590" s="13" t="inlineStr">
        <is>
          <t>General license</t>
        </is>
      </c>
      <c r="E590" s="4" t="inlineStr">
        <is>
          <t>Antlerless Elk</t>
        </is>
      </c>
      <c r="F590" s="4" t="n"/>
      <c r="G590" s="4" t="n"/>
      <c r="H590" s="4" t="n"/>
      <c r="I590" s="4" t="n"/>
      <c r="J590" s="4" t="n"/>
      <c r="K590" s="4" t="n"/>
      <c r="L590" s="4" t="inlineStr">
        <is>
          <t>Only valid on private land.</t>
        </is>
      </c>
    </row>
    <row r="591">
      <c r="A591" s="4" t="inlineStr">
        <is>
          <t>580</t>
        </is>
      </c>
      <c r="B591" s="4" t="inlineStr">
        <is>
          <t>elk</t>
        </is>
      </c>
      <c r="C591" s="4" t="inlineStr">
        <is>
          <t>General Elk License</t>
        </is>
      </c>
      <c r="D591" s="13" t="inlineStr">
        <is>
          <t>General license</t>
        </is>
      </c>
      <c r="E591" s="4" t="inlineStr">
        <is>
          <t>Either-sex Elk</t>
        </is>
      </c>
      <c r="F591" s="4" t="inlineStr">
        <is>
          <t>Sep 05-Oct 18</t>
        </is>
      </c>
      <c r="G591" s="4" t="inlineStr">
        <is>
          <t>Oct 24-Nov 29</t>
        </is>
      </c>
      <c r="H591" s="4" t="inlineStr">
        <is>
          <t>Dec 12-Dec 20</t>
        </is>
      </c>
      <c r="I591" s="4" t="n"/>
      <c r="J591" s="4" t="n"/>
      <c r="K591" s="4" t="n"/>
      <c r="L591" s="4" t="n"/>
    </row>
    <row r="592">
      <c r="A592" s="4" t="inlineStr">
        <is>
          <t>580</t>
        </is>
      </c>
      <c r="B592" s="4" t="inlineStr">
        <is>
          <t>elk</t>
        </is>
      </c>
      <c r="C592" s="4" t="inlineStr">
        <is>
          <t>Elk B License: 005-00</t>
        </is>
      </c>
      <c r="D592" s="4" t="inlineStr">
        <is>
          <t>Over the counter</t>
        </is>
      </c>
      <c r="E592" s="4" t="inlineStr">
        <is>
          <t>Antlerless Elk</t>
        </is>
      </c>
      <c r="F592" s="4" t="n"/>
      <c r="G592" s="4" t="n"/>
      <c r="H592" s="4" t="n"/>
      <c r="I592" s="4" t="n"/>
      <c r="J592" s="4" t="inlineStr">
        <is>
          <t>OTC: Jun 15</t>
        </is>
      </c>
      <c r="K592" s="4" t="inlineStr">
        <is>
          <t>UNL</t>
        </is>
      </c>
      <c r="L592" s="4" t="inlineStr">
        <is>
          <t>Only valid on private land. Not valid on National Forest Lands. LICENSE/PERMIT OPPORTUNITY APPL Y BY DATE QUOTA QUOTA RANGE EARL Y SEASON DATES ARCHERY ONL Y SEASON DATES GENERAL SEASON DATES HERITAGE MUZZLELOADER SEASON DATES LATE SEASON DATES OPPORTUNITY SPECIFIC DETAILS AND/ORRESTRICTIONS</t>
        </is>
      </c>
    </row>
    <row r="593">
      <c r="A593" s="4" t="inlineStr">
        <is>
          <t>590</t>
        </is>
      </c>
      <c r="B593" s="4" t="inlineStr">
        <is>
          <t>elk</t>
        </is>
      </c>
      <c r="C593" s="4" t="inlineStr">
        <is>
          <t>General Elk License</t>
        </is>
      </c>
      <c r="D593" s="13" t="inlineStr">
        <is>
          <t>General license</t>
        </is>
      </c>
      <c r="E593" s="4" t="inlineStr">
        <is>
          <t>Antlerless Elk</t>
        </is>
      </c>
      <c r="F593" s="4" t="n"/>
      <c r="G593" s="4" t="n"/>
      <c r="H593" s="4" t="n"/>
      <c r="I593" s="4" t="n"/>
      <c r="J593" s="4" t="n"/>
      <c r="K593" s="4" t="n"/>
      <c r="L593" s="4" t="inlineStr">
        <is>
          <t>Only valid on private land.</t>
        </is>
      </c>
    </row>
    <row r="594">
      <c r="A594" s="4" t="inlineStr">
        <is>
          <t>590</t>
        </is>
      </c>
      <c r="B594" s="4" t="inlineStr">
        <is>
          <t>elk</t>
        </is>
      </c>
      <c r="C594" s="4" t="inlineStr">
        <is>
          <t>General Elk License</t>
        </is>
      </c>
      <c r="D594" s="13" t="inlineStr">
        <is>
          <t>General license</t>
        </is>
      </c>
      <c r="E594" s="4" t="inlineStr">
        <is>
          <t>Spike Bull or Antlerless Elk</t>
        </is>
      </c>
      <c r="F594" s="4" t="inlineStr">
        <is>
          <t>Sep 05-Oct 18</t>
        </is>
      </c>
      <c r="G594" s="4" t="inlineStr">
        <is>
          <t>Oct 24-Nov 29</t>
        </is>
      </c>
      <c r="H594" s="4" t="inlineStr">
        <is>
          <t>Dec 12-Dec 20</t>
        </is>
      </c>
      <c r="I594" s="4" t="n"/>
      <c r="J594" s="4" t="n"/>
      <c r="K594" s="4" t="n"/>
      <c r="L594" s="4" t="n"/>
    </row>
    <row r="595">
      <c r="A595" s="4" t="inlineStr">
        <is>
          <t>590</t>
        </is>
      </c>
      <c r="B595" s="4" t="inlineStr">
        <is>
          <t>elk</t>
        </is>
      </c>
      <c r="C595" s="4" t="inlineStr">
        <is>
          <t>Elk B License: 005-00</t>
        </is>
      </c>
      <c r="D595" s="4" t="inlineStr">
        <is>
          <t>Over the counter</t>
        </is>
      </c>
      <c r="E595" s="4" t="inlineStr">
        <is>
          <t>Antlerless Elk</t>
        </is>
      </c>
      <c r="F595" s="4" t="n"/>
      <c r="G595" s="4" t="n"/>
      <c r="H595" s="4" t="n"/>
      <c r="I595" s="4" t="n"/>
      <c r="J595" s="4" t="inlineStr">
        <is>
          <t>OTC: Jun 15</t>
        </is>
      </c>
      <c r="K595" s="4" t="inlineStr">
        <is>
          <t>UNL</t>
        </is>
      </c>
      <c r="L595" s="4" t="inlineStr">
        <is>
          <t>Only valid on private land. Valid in HD 590 and portion of HD 701 north of the Yellowstone River, south of Hwy 12, west of Sumatra-Hysham Rd. Valid in HD 590 and portion of HD 701 north of the Yellowstone River, south of Hwy 12, west of Sumatra-Hysham Rd.</t>
        </is>
      </c>
    </row>
    <row r="596">
      <c r="A596" s="4" t="inlineStr">
        <is>
          <t>590</t>
        </is>
      </c>
      <c r="B596" s="4" t="inlineStr">
        <is>
          <t>elk</t>
        </is>
      </c>
      <c r="C596" s="4" t="inlineStr">
        <is>
          <t>Elk Permit: 590-20</t>
        </is>
      </c>
      <c r="D596" s="15" t="inlineStr">
        <is>
          <t>Drawing</t>
        </is>
      </c>
      <c r="E596" s="4" t="inlineStr">
        <is>
          <t>Either-sex Elk</t>
        </is>
      </c>
      <c r="F596" s="4" t="inlineStr">
        <is>
          <t>Sep 05-Oct 18</t>
        </is>
      </c>
      <c r="G596" s="4" t="inlineStr">
        <is>
          <t>Oct 24-Nov 29</t>
        </is>
      </c>
      <c r="H596" s="4" t="inlineStr">
        <is>
          <t>Dec 12-Dec 20</t>
        </is>
      </c>
      <c r="I596" s="4" t="n"/>
      <c r="J596" s="4" t="inlineStr">
        <is>
          <t>April 1</t>
        </is>
      </c>
      <c r="K596" s="4" t="inlineStr">
        <is>
          <t>380</t>
        </is>
      </c>
      <c r="L596" s="4" t="inlineStr">
        <is>
          <t>Permit must be used with a valid General Elk License. Holders may not hunt Antlered Elk in any other HD during these described season dates. Valid in HD 590 and a portion of HD 701 north of the Yellowstone River, south of Hwy 12, west of Sumatra-Hysham Rd.</t>
        </is>
      </c>
    </row>
    <row r="597">
      <c r="A597" s="4" t="inlineStr">
        <is>
          <t>590</t>
        </is>
      </c>
      <c r="B597" s="4" t="inlineStr">
        <is>
          <t>elk</t>
        </is>
      </c>
      <c r="C597" s="4" t="inlineStr">
        <is>
          <t>Elk Permit: 595-21</t>
        </is>
      </c>
      <c r="D597" s="15" t="inlineStr">
        <is>
          <t>Drawing</t>
        </is>
      </c>
      <c r="E597" s="4" t="inlineStr">
        <is>
          <t>Either-sex Elk</t>
        </is>
      </c>
      <c r="F597" s="4" t="inlineStr">
        <is>
          <t>Sep 05-Oct 18</t>
        </is>
      </c>
      <c r="G597" s="4" t="n"/>
      <c r="H597" s="4" t="n"/>
      <c r="I597" s="4" t="n"/>
      <c r="J597" s="4" t="inlineStr">
        <is>
          <t>April 1</t>
        </is>
      </c>
      <c r="K597" s="4" t="inlineStr">
        <is>
          <t>1,800</t>
        </is>
      </c>
      <c r="L597" s="4" t="inlineStr">
        <is>
          <t xml:space="preserve">1st and only choice. Valid in HDs 502, 535, 555, 590, and a portion of HD 701 north of the Yellowstone River, south of Hwy 12, west of Sumatra- Hysham Rd. Permit must be used with a valid General Elk License. Holders may not hunt Antlered Elk in any other HD during these described season dates. 113 </t>
        </is>
      </c>
    </row>
    <row r="598">
      <c r="A598" s="4" t="inlineStr">
        <is>
          <t>600</t>
        </is>
      </c>
      <c r="B598" s="4" t="inlineStr">
        <is>
          <t>elk</t>
        </is>
      </c>
      <c r="C598" s="4" t="inlineStr">
        <is>
          <t>General Elk License</t>
        </is>
      </c>
      <c r="D598" s="13" t="inlineStr">
        <is>
          <t>General license</t>
        </is>
      </c>
      <c r="E598" s="4" t="inlineStr">
        <is>
          <t>Either-sex Elk</t>
        </is>
      </c>
      <c r="F598" s="4" t="inlineStr">
        <is>
          <t>Sep 05-Oct 18</t>
        </is>
      </c>
      <c r="G598" s="4" t="inlineStr">
        <is>
          <t>Oct 24-Nov 29</t>
        </is>
      </c>
      <c r="H598" s="4" t="inlineStr">
        <is>
          <t>Dec 12-Dec 20</t>
        </is>
      </c>
      <c r="I598" s="4" t="n"/>
      <c r="J598" s="4" t="n"/>
      <c r="K598" s="4" t="n"/>
      <c r="L598" s="4" t="n"/>
    </row>
    <row r="599">
      <c r="A599" s="4" t="inlineStr">
        <is>
          <t>620</t>
        </is>
      </c>
      <c r="B599" s="4" t="inlineStr">
        <is>
          <t>elk</t>
        </is>
      </c>
      <c r="C599" s="4" t="inlineStr">
        <is>
          <t>Elk B License: 621-01</t>
        </is>
      </c>
      <c r="D599" s="15" t="inlineStr">
        <is>
          <t>Drawing</t>
        </is>
      </c>
      <c r="E599" s="4" t="inlineStr">
        <is>
          <t>Antlerless Elk</t>
        </is>
      </c>
      <c r="F599" s="4" t="inlineStr">
        <is>
          <t>Sep 05-Oct 18</t>
        </is>
      </c>
      <c r="G599" s="4" t="inlineStr">
        <is>
          <t>Oct 24-Nov 29</t>
        </is>
      </c>
      <c r="H599" s="4" t="inlineStr">
        <is>
          <t>Dec 12-Dec 20</t>
        </is>
      </c>
      <c r="I599" s="4" t="n"/>
      <c r="J599" s="4" t="inlineStr">
        <is>
          <t>Jun 1</t>
        </is>
      </c>
      <c r="K599" s="4" t="inlineStr">
        <is>
          <t>100</t>
        </is>
      </c>
      <c r="L599" s="4" t="inlineStr">
        <is>
          <t>Only valid in HD 620 and HD 621.</t>
        </is>
      </c>
    </row>
    <row r="600">
      <c r="A600" s="4" t="inlineStr">
        <is>
          <t>620</t>
        </is>
      </c>
      <c r="B600" s="4" t="inlineStr">
        <is>
          <t>elk</t>
        </is>
      </c>
      <c r="C600" s="4" t="inlineStr">
        <is>
          <t>Elk B License: 622-00</t>
        </is>
      </c>
      <c r="D600" s="15" t="inlineStr">
        <is>
          <t>Drawing</t>
        </is>
      </c>
      <c r="E600" s="4" t="inlineStr">
        <is>
          <t>Antlerless Elk</t>
        </is>
      </c>
      <c r="F600" s="4" t="inlineStr">
        <is>
          <t>Sep 05-Oct 18</t>
        </is>
      </c>
      <c r="G600" s="4" t="inlineStr">
        <is>
          <t>Oct 24-Nov 29</t>
        </is>
      </c>
      <c r="H600" s="4" t="inlineStr">
        <is>
          <t>Dec 12-Dec 20</t>
        </is>
      </c>
      <c r="I600" s="4" t="n"/>
      <c r="J600" s="4" t="inlineStr">
        <is>
          <t>Jun 1</t>
        </is>
      </c>
      <c r="K600" s="4" t="inlineStr">
        <is>
          <t>50</t>
        </is>
      </c>
      <c r="L600" s="4" t="inlineStr">
        <is>
          <t>Only valid in HDs 620 and 622.</t>
        </is>
      </c>
    </row>
    <row r="601">
      <c r="A601" s="4" t="inlineStr">
        <is>
          <t>620</t>
        </is>
      </c>
      <c r="B601" s="4" t="inlineStr">
        <is>
          <t>elk</t>
        </is>
      </c>
      <c r="C601" s="4" t="inlineStr">
        <is>
          <t>Elk B License: 698-00</t>
        </is>
      </c>
      <c r="D601" s="15" t="inlineStr">
        <is>
          <t>Drawing</t>
        </is>
      </c>
      <c r="E601" s="4" t="inlineStr">
        <is>
          <t>Antlerless Elk</t>
        </is>
      </c>
      <c r="F601" s="4" t="inlineStr">
        <is>
          <t>Sep 05-Oct 18</t>
        </is>
      </c>
      <c r="G601" s="4" t="inlineStr">
        <is>
          <t>Oct 24-Nov 29</t>
        </is>
      </c>
      <c r="H601" s="4" t="inlineStr">
        <is>
          <t>Dec 12-Dec 20</t>
        </is>
      </c>
      <c r="I601" s="4" t="n"/>
      <c r="J601" s="4" t="inlineStr">
        <is>
          <t>Jun 1</t>
        </is>
      </c>
      <c r="K601" s="4" t="inlineStr">
        <is>
          <t>100</t>
        </is>
      </c>
      <c r="L601" s="4" t="inlineStr">
        <is>
          <t>Valid in HDs 620, 621, 622. Not valid on CMR Refuge.</t>
        </is>
      </c>
    </row>
    <row r="602">
      <c r="A602" s="4" t="inlineStr">
        <is>
          <t>620</t>
        </is>
      </c>
      <c r="B602" s="4" t="inlineStr">
        <is>
          <t>elk</t>
        </is>
      </c>
      <c r="C602" s="4" t="inlineStr">
        <is>
          <t>Elk B License: 699-01</t>
        </is>
      </c>
      <c r="D602" s="15" t="inlineStr">
        <is>
          <t>Drawing</t>
        </is>
      </c>
      <c r="E602" s="4" t="inlineStr">
        <is>
          <t>Antlerless Elk</t>
        </is>
      </c>
      <c r="F602" s="4" t="n"/>
      <c r="G602" s="4" t="inlineStr">
        <is>
          <t>Oct 22-Nov 29</t>
        </is>
      </c>
      <c r="H602" s="4" t="inlineStr">
        <is>
          <t>Dec 12-Dec 20</t>
        </is>
      </c>
      <c r="I602" s="4" t="n"/>
      <c r="J602" s="4" t="inlineStr">
        <is>
          <t>Jun 1</t>
        </is>
      </c>
      <c r="K602" s="4" t="inlineStr">
        <is>
          <t>150</t>
        </is>
      </c>
      <c r="L602" s="4" t="inlineStr">
        <is>
          <t>Only youth ages 12-15. Only valid in HDs 620, 621, 622, 630, and 690.</t>
        </is>
      </c>
    </row>
    <row r="603">
      <c r="A603" s="4" t="inlineStr">
        <is>
          <t>620</t>
        </is>
      </c>
      <c r="B603" s="4" t="inlineStr">
        <is>
          <t>elk</t>
        </is>
      </c>
      <c r="C603" s="4" t="inlineStr">
        <is>
          <t>Elk Permit: 620-20</t>
        </is>
      </c>
      <c r="D603" s="15" t="inlineStr">
        <is>
          <t>Drawing</t>
        </is>
      </c>
      <c r="E603" s="4" t="inlineStr">
        <is>
          <t>Either-sex Elk</t>
        </is>
      </c>
      <c r="F603" s="4" t="n"/>
      <c r="G603" s="4" t="inlineStr">
        <is>
          <t>Oct 24-Nov 29</t>
        </is>
      </c>
      <c r="H603" s="4" t="inlineStr">
        <is>
          <t>Dec 12-Dec 20</t>
        </is>
      </c>
      <c r="I603" s="4" t="n"/>
      <c r="J603" s="4" t="inlineStr">
        <is>
          <t>April 1</t>
        </is>
      </c>
      <c r="K603" s="4" t="inlineStr">
        <is>
          <t>70</t>
        </is>
      </c>
      <c r="L603" s="4" t="inlineStr">
        <is>
          <t>Only valid in HDs 620, 621, and 622. Not valid on CMR refuge. Permit must be used with a valid General Elk License. Holders may not hunt Antlered Elk in any other HD during these described season dates.</t>
        </is>
      </c>
    </row>
    <row r="604">
      <c r="A604" s="4" t="inlineStr">
        <is>
          <t>620</t>
        </is>
      </c>
      <c r="B604" s="4" t="inlineStr">
        <is>
          <t>elk</t>
        </is>
      </c>
      <c r="C604" s="4" t="inlineStr">
        <is>
          <t>Elk Permit: 620-21</t>
        </is>
      </c>
      <c r="D604" s="15" t="inlineStr">
        <is>
          <t>Drawing</t>
        </is>
      </c>
      <c r="E604" s="4" t="inlineStr">
        <is>
          <t>Either-sex Elk</t>
        </is>
      </c>
      <c r="F604" s="4" t="inlineStr">
        <is>
          <t>Sep 05-Oct 18</t>
        </is>
      </c>
      <c r="G604" s="4" t="n"/>
      <c r="H604" s="4" t="n"/>
      <c r="I604" s="4" t="n"/>
      <c r="J604" s="4" t="inlineStr">
        <is>
          <t>April 1</t>
        </is>
      </c>
      <c r="K604" s="4" t="inlineStr">
        <is>
          <t>1,000</t>
        </is>
      </c>
      <c r="L604" s="4" t="inlineStr">
        <is>
          <t>1st and 2nd choice only. Only valid in HDs 620, 621, and 622. Permit must be used with a valid General Elk License. Holders may not hunt Antlered Elk in any other HD during these described season dates. 2026 Deer • Elk • Antelope Visit fwp.mt.gov LICENSE/PERMIT OPPORTUNITY APPL Y BY DATE QUOTA QUOTA</t>
        </is>
      </c>
    </row>
    <row r="605">
      <c r="A605" s="4" t="inlineStr">
        <is>
          <t>621</t>
        </is>
      </c>
      <c r="B605" s="4" t="inlineStr">
        <is>
          <t>elk</t>
        </is>
      </c>
      <c r="C605" s="4" t="inlineStr">
        <is>
          <t>Elk B License: 621-01</t>
        </is>
      </c>
      <c r="D605" s="15" t="inlineStr">
        <is>
          <t>Drawing</t>
        </is>
      </c>
      <c r="E605" s="4" t="inlineStr">
        <is>
          <t>Antlerless Elk</t>
        </is>
      </c>
      <c r="F605" s="4" t="inlineStr">
        <is>
          <t>Sep 05-Oct 18</t>
        </is>
      </c>
      <c r="G605" s="4" t="inlineStr">
        <is>
          <t>Oct 24-Nov 29</t>
        </is>
      </c>
      <c r="H605" s="4" t="inlineStr">
        <is>
          <t>Dec 12-Dec 20</t>
        </is>
      </c>
      <c r="I605" s="4" t="n"/>
      <c r="J605" s="4" t="inlineStr">
        <is>
          <t>Jun 1</t>
        </is>
      </c>
      <c r="K605" s="4" t="inlineStr">
        <is>
          <t>100</t>
        </is>
      </c>
      <c r="L605" s="4" t="inlineStr">
        <is>
          <t>Only valid in HD 620 and HD 621.</t>
        </is>
      </c>
    </row>
    <row r="606">
      <c r="A606" s="4" t="inlineStr">
        <is>
          <t>621</t>
        </is>
      </c>
      <c r="B606" s="4" t="inlineStr">
        <is>
          <t>elk</t>
        </is>
      </c>
      <c r="C606" s="4" t="inlineStr">
        <is>
          <t>Elk B License: 698-00</t>
        </is>
      </c>
      <c r="D606" s="15" t="inlineStr">
        <is>
          <t>Drawing</t>
        </is>
      </c>
      <c r="E606" s="4" t="inlineStr">
        <is>
          <t>Antlerless Elk</t>
        </is>
      </c>
      <c r="F606" s="4" t="inlineStr">
        <is>
          <t>Sep 05-Oct 18</t>
        </is>
      </c>
      <c r="G606" s="4" t="inlineStr">
        <is>
          <t>Oct 24-Nov 29</t>
        </is>
      </c>
      <c r="H606" s="4" t="inlineStr">
        <is>
          <t>Dec 12-Dec 20</t>
        </is>
      </c>
      <c r="I606" s="4" t="n"/>
      <c r="J606" s="4" t="inlineStr">
        <is>
          <t>Jun 1</t>
        </is>
      </c>
      <c r="K606" s="4" t="inlineStr">
        <is>
          <t>100</t>
        </is>
      </c>
      <c r="L606" s="4" t="inlineStr">
        <is>
          <t>Valid in HDs 620, 621, 622. Not valid on CMR Refuge.</t>
        </is>
      </c>
    </row>
    <row r="607">
      <c r="A607" s="4" t="inlineStr">
        <is>
          <t>621</t>
        </is>
      </c>
      <c r="B607" s="4" t="inlineStr">
        <is>
          <t>elk</t>
        </is>
      </c>
      <c r="C607" s="4" t="inlineStr">
        <is>
          <t>Elk B License: 699-01</t>
        </is>
      </c>
      <c r="D607" s="15" t="inlineStr">
        <is>
          <t>Drawing</t>
        </is>
      </c>
      <c r="E607" s="4" t="inlineStr">
        <is>
          <t>Antlerless Elk</t>
        </is>
      </c>
      <c r="F607" s="4" t="n"/>
      <c r="G607" s="4" t="inlineStr">
        <is>
          <t>Oct 22-Nov 29</t>
        </is>
      </c>
      <c r="H607" s="4" t="inlineStr">
        <is>
          <t>Dec 12-Dec 20</t>
        </is>
      </c>
      <c r="I607" s="4" t="n"/>
      <c r="J607" s="4" t="inlineStr">
        <is>
          <t>Jun 1</t>
        </is>
      </c>
      <c r="K607" s="4" t="inlineStr">
        <is>
          <t>150</t>
        </is>
      </c>
      <c r="L607" s="4" t="inlineStr">
        <is>
          <t>Only youth ages 12-15. Only valid in HDs 620, 621, 622, 630, and 690.</t>
        </is>
      </c>
    </row>
    <row r="608">
      <c r="A608" s="4" t="inlineStr">
        <is>
          <t>621</t>
        </is>
      </c>
      <c r="B608" s="4" t="inlineStr">
        <is>
          <t>elk</t>
        </is>
      </c>
      <c r="C608" s="4" t="inlineStr">
        <is>
          <t>Elk Permit: 620-20</t>
        </is>
      </c>
      <c r="D608" s="15" t="inlineStr">
        <is>
          <t>Drawing</t>
        </is>
      </c>
      <c r="E608" s="4" t="inlineStr">
        <is>
          <t>Either-sex Elk</t>
        </is>
      </c>
      <c r="F608" s="4" t="n"/>
      <c r="G608" s="4" t="inlineStr">
        <is>
          <t>Oct 24-Nov 29</t>
        </is>
      </c>
      <c r="H608" s="4" t="inlineStr">
        <is>
          <t>Dec 12-Dec 20</t>
        </is>
      </c>
      <c r="I608" s="4" t="n"/>
      <c r="J608" s="4" t="inlineStr">
        <is>
          <t>April 1</t>
        </is>
      </c>
      <c r="K608" s="4" t="inlineStr">
        <is>
          <t>70</t>
        </is>
      </c>
      <c r="L608" s="4" t="inlineStr">
        <is>
          <t>Only valid in HDs 620, 621, and 622. Not valid on CMR refuge. Permit must be used with a valid General Elk License. Holders may not hunt Antlered Elk in any other HD during these described season dates.</t>
        </is>
      </c>
    </row>
    <row r="609">
      <c r="A609" s="4" t="inlineStr">
        <is>
          <t>621</t>
        </is>
      </c>
      <c r="B609" s="4" t="inlineStr">
        <is>
          <t>elk</t>
        </is>
      </c>
      <c r="C609" s="4" t="inlineStr">
        <is>
          <t>Elk Permit: 620-21</t>
        </is>
      </c>
      <c r="D609" s="15" t="inlineStr">
        <is>
          <t>Drawing</t>
        </is>
      </c>
      <c r="E609" s="4" t="inlineStr">
        <is>
          <t>Either-sex Elk</t>
        </is>
      </c>
      <c r="F609" s="4" t="inlineStr">
        <is>
          <t>Sep 05-Oct 18</t>
        </is>
      </c>
      <c r="G609" s="4" t="n"/>
      <c r="H609" s="4" t="n"/>
      <c r="I609" s="4" t="n"/>
      <c r="J609" s="4" t="inlineStr">
        <is>
          <t>April 1</t>
        </is>
      </c>
      <c r="K609" s="4" t="inlineStr">
        <is>
          <t>1,000</t>
        </is>
      </c>
      <c r="L609" s="4" t="inlineStr">
        <is>
          <t>1st and 2nd choice only. Only valid in HDs 620, 621, and 622. Permit must be used with a valid General Elk License. Holders may not hunt Antlered Elk in any other HD during these described season dates.</t>
        </is>
      </c>
    </row>
    <row r="610">
      <c r="A610" s="4" t="inlineStr">
        <is>
          <t>621</t>
        </is>
      </c>
      <c r="B610" s="4" t="inlineStr">
        <is>
          <t>elk</t>
        </is>
      </c>
      <c r="C610" s="4" t="inlineStr">
        <is>
          <t>Elk Permit: 621-20</t>
        </is>
      </c>
      <c r="D610" s="15" t="inlineStr">
        <is>
          <t>Drawing</t>
        </is>
      </c>
      <c r="E610" s="4" t="inlineStr">
        <is>
          <t>Either-sex Elk</t>
        </is>
      </c>
      <c r="F610" s="4" t="n"/>
      <c r="G610" s="4" t="inlineStr">
        <is>
          <t>Oct 24-Nov 29</t>
        </is>
      </c>
      <c r="H610" s="4" t="inlineStr">
        <is>
          <t>Dec 12-Dec 20</t>
        </is>
      </c>
      <c r="I610" s="4" t="n"/>
      <c r="J610" s="4" t="inlineStr">
        <is>
          <t>April 1</t>
        </is>
      </c>
      <c r="K610" s="4" t="inlineStr">
        <is>
          <t>50</t>
        </is>
      </c>
      <c r="L610" s="4" t="inlineStr">
        <is>
          <t>Permit must be used with a valid General Elk License. Holders may not hunt Antlered Elk in any other HD during these described season dates.</t>
        </is>
      </c>
    </row>
    <row r="611">
      <c r="A611" s="4" t="inlineStr">
        <is>
          <t>622</t>
        </is>
      </c>
      <c r="B611" s="4" t="inlineStr">
        <is>
          <t>elk</t>
        </is>
      </c>
      <c r="C611" s="4" t="inlineStr">
        <is>
          <t>Elk B License: 622-00</t>
        </is>
      </c>
      <c r="D611" s="15" t="inlineStr">
        <is>
          <t>Drawing</t>
        </is>
      </c>
      <c r="E611" s="4" t="inlineStr">
        <is>
          <t>Antlerless Elk</t>
        </is>
      </c>
      <c r="F611" s="4" t="inlineStr">
        <is>
          <t>Sep 05-Oct 18</t>
        </is>
      </c>
      <c r="G611" s="4" t="inlineStr">
        <is>
          <t>Oct 24-Nov 29</t>
        </is>
      </c>
      <c r="H611" s="4" t="inlineStr">
        <is>
          <t>Dec 12-Dec 20</t>
        </is>
      </c>
      <c r="I611" s="4" t="n"/>
      <c r="J611" s="4" t="inlineStr">
        <is>
          <t>Jun 1</t>
        </is>
      </c>
      <c r="K611" s="4" t="inlineStr">
        <is>
          <t>50</t>
        </is>
      </c>
      <c r="L611" s="4" t="inlineStr">
        <is>
          <t>Only valid in HDs 620 and 622.</t>
        </is>
      </c>
    </row>
    <row r="612">
      <c r="A612" s="4" t="inlineStr">
        <is>
          <t>622</t>
        </is>
      </c>
      <c r="B612" s="4" t="inlineStr">
        <is>
          <t>elk</t>
        </is>
      </c>
      <c r="C612" s="4" t="inlineStr">
        <is>
          <t>Elk B License: 698-00</t>
        </is>
      </c>
      <c r="D612" s="15" t="inlineStr">
        <is>
          <t>Drawing</t>
        </is>
      </c>
      <c r="E612" s="4" t="inlineStr">
        <is>
          <t>Antlerless Elk</t>
        </is>
      </c>
      <c r="F612" s="4" t="inlineStr">
        <is>
          <t>Sep 05-Oct 18</t>
        </is>
      </c>
      <c r="G612" s="4" t="inlineStr">
        <is>
          <t>Oct 24-Nov 29</t>
        </is>
      </c>
      <c r="H612" s="4" t="inlineStr">
        <is>
          <t>Dec 12-Dec 20</t>
        </is>
      </c>
      <c r="I612" s="4" t="n"/>
      <c r="J612" s="4" t="inlineStr">
        <is>
          <t>Jun 1</t>
        </is>
      </c>
      <c r="K612" s="4" t="inlineStr">
        <is>
          <t>100</t>
        </is>
      </c>
      <c r="L612" s="4" t="inlineStr">
        <is>
          <t>Valid in HDs 620, 621, 622. Not valid on CMR Refuge.</t>
        </is>
      </c>
    </row>
    <row r="613">
      <c r="A613" s="4" t="inlineStr">
        <is>
          <t>622</t>
        </is>
      </c>
      <c r="B613" s="4" t="inlineStr">
        <is>
          <t>elk</t>
        </is>
      </c>
      <c r="C613" s="4" t="inlineStr">
        <is>
          <t>Elk B License: 699-01</t>
        </is>
      </c>
      <c r="D613" s="15" t="inlineStr">
        <is>
          <t>Drawing</t>
        </is>
      </c>
      <c r="E613" s="4" t="inlineStr">
        <is>
          <t>Antlerless Elk</t>
        </is>
      </c>
      <c r="F613" s="4" t="n"/>
      <c r="G613" s="4" t="inlineStr">
        <is>
          <t>Oct 22-Nov 29</t>
        </is>
      </c>
      <c r="H613" s="4" t="inlineStr">
        <is>
          <t>Dec 12-Dec 20</t>
        </is>
      </c>
      <c r="I613" s="4" t="n"/>
      <c r="J613" s="4" t="inlineStr">
        <is>
          <t>Jun 1</t>
        </is>
      </c>
      <c r="K613" s="4" t="inlineStr">
        <is>
          <t>150</t>
        </is>
      </c>
      <c r="L613" s="4" t="inlineStr">
        <is>
          <t>Only youth ages 12-15. Only valid in HDs 620, 621, 622, 630, and 690.</t>
        </is>
      </c>
    </row>
    <row r="614">
      <c r="A614" s="4" t="inlineStr">
        <is>
          <t>622</t>
        </is>
      </c>
      <c r="B614" s="4" t="inlineStr">
        <is>
          <t>elk</t>
        </is>
      </c>
      <c r="C614" s="4" t="inlineStr">
        <is>
          <t>Elk Permit: 620-20</t>
        </is>
      </c>
      <c r="D614" s="15" t="inlineStr">
        <is>
          <t>Drawing</t>
        </is>
      </c>
      <c r="E614" s="4" t="inlineStr">
        <is>
          <t>Either-sex Elk</t>
        </is>
      </c>
      <c r="F614" s="4" t="n"/>
      <c r="G614" s="4" t="inlineStr">
        <is>
          <t>Oct 24-Nov 29</t>
        </is>
      </c>
      <c r="H614" s="4" t="inlineStr">
        <is>
          <t>Dec 12-Dec 20</t>
        </is>
      </c>
      <c r="I614" s="4" t="n"/>
      <c r="J614" s="4" t="inlineStr">
        <is>
          <t>April 1</t>
        </is>
      </c>
      <c r="K614" s="4" t="inlineStr">
        <is>
          <t>70</t>
        </is>
      </c>
      <c r="L614" s="4" t="inlineStr">
        <is>
          <t>Only valid in HDs 620, 621, and 622. Not valid on CMR refuge. Permit must be used with a valid General Elk License. Holders may not hunt Antlered Elk in any other HD during these described season dates.</t>
        </is>
      </c>
    </row>
    <row r="615">
      <c r="A615" s="4" t="inlineStr">
        <is>
          <t>622</t>
        </is>
      </c>
      <c r="B615" s="4" t="inlineStr">
        <is>
          <t>elk</t>
        </is>
      </c>
      <c r="C615" s="4" t="inlineStr">
        <is>
          <t>Elk Permit: 620-21</t>
        </is>
      </c>
      <c r="D615" s="15" t="inlineStr">
        <is>
          <t>Drawing</t>
        </is>
      </c>
      <c r="E615" s="4" t="inlineStr">
        <is>
          <t>Either-sex Elk</t>
        </is>
      </c>
      <c r="F615" s="4" t="inlineStr">
        <is>
          <t>Sep 05-Oct 18</t>
        </is>
      </c>
      <c r="G615" s="4" t="n"/>
      <c r="H615" s="4" t="n"/>
      <c r="I615" s="4" t="n"/>
      <c r="J615" s="4" t="inlineStr">
        <is>
          <t>April 1</t>
        </is>
      </c>
      <c r="K615" s="4" t="inlineStr">
        <is>
          <t>1,000</t>
        </is>
      </c>
      <c r="L615" s="4" t="inlineStr">
        <is>
          <t>1st and 2nd choice only. Only valid in HDs 620, 621, and 622. Permit must be used with a valid General Elk License. Holders may not hunt Antlered Elk in any other HD during these described season dates.</t>
        </is>
      </c>
    </row>
    <row r="616">
      <c r="A616" s="4" t="inlineStr">
        <is>
          <t>622</t>
        </is>
      </c>
      <c r="B616" s="4" t="inlineStr">
        <is>
          <t>elk</t>
        </is>
      </c>
      <c r="C616" s="4" t="inlineStr">
        <is>
          <t>Elk Permit: 622-20</t>
        </is>
      </c>
      <c r="D616" s="15" t="inlineStr">
        <is>
          <t>Drawing</t>
        </is>
      </c>
      <c r="E616" s="4" t="inlineStr">
        <is>
          <t>Either-sex Elk</t>
        </is>
      </c>
      <c r="F616" s="4" t="n"/>
      <c r="G616" s="4" t="inlineStr">
        <is>
          <t>Oct 24-Nov 29</t>
        </is>
      </c>
      <c r="H616" s="4" t="inlineStr">
        <is>
          <t>Dec 12-Dec 20</t>
        </is>
      </c>
      <c r="I616" s="4" t="n"/>
      <c r="J616" s="4" t="inlineStr">
        <is>
          <t>April 1</t>
        </is>
      </c>
      <c r="K616" s="4" t="inlineStr">
        <is>
          <t>60</t>
        </is>
      </c>
      <c r="L616" s="4" t="inlineStr">
        <is>
          <t>Permit must be used with a valid General Elk License. Holders may not hunt Antlered Elk in any other HD during these described season dates.</t>
        </is>
      </c>
    </row>
    <row r="617">
      <c r="A617" s="4" t="inlineStr">
        <is>
          <t>630</t>
        </is>
      </c>
      <c r="B617" s="4" t="inlineStr">
        <is>
          <t>elk</t>
        </is>
      </c>
      <c r="C617" s="4" t="inlineStr">
        <is>
          <t>Elk B License: 630-00</t>
        </is>
      </c>
      <c r="D617" s="15" t="inlineStr">
        <is>
          <t>Drawing</t>
        </is>
      </c>
      <c r="E617" s="4" t="inlineStr">
        <is>
          <t>Antlerless Elk</t>
        </is>
      </c>
      <c r="F617" s="4" t="inlineStr">
        <is>
          <t>Sep 05-Oct 18</t>
        </is>
      </c>
      <c r="G617" s="4" t="inlineStr">
        <is>
          <t>Oct 24-Nov 29</t>
        </is>
      </c>
      <c r="H617" s="4" t="inlineStr">
        <is>
          <t>Dec 12-Dec 20</t>
        </is>
      </c>
      <c r="I617" s="4" t="n"/>
      <c r="J617" s="4" t="inlineStr">
        <is>
          <t>Jun 1</t>
        </is>
      </c>
      <c r="K617" s="4" t="inlineStr">
        <is>
          <t>50</t>
        </is>
      </c>
      <c r="L617" s="4" t="n"/>
    </row>
    <row r="618">
      <c r="A618" s="4" t="inlineStr">
        <is>
          <t>630</t>
        </is>
      </c>
      <c r="B618" s="4" t="inlineStr">
        <is>
          <t>elk</t>
        </is>
      </c>
      <c r="C618" s="4" t="inlineStr">
        <is>
          <t>Elk B License: 699-01</t>
        </is>
      </c>
      <c r="D618" s="15" t="inlineStr">
        <is>
          <t>Drawing</t>
        </is>
      </c>
      <c r="E618" s="4" t="inlineStr">
        <is>
          <t>Antlerless Elk</t>
        </is>
      </c>
      <c r="F618" s="4" t="n"/>
      <c r="G618" s="4" t="inlineStr">
        <is>
          <t>Oct 22-Nov 29</t>
        </is>
      </c>
      <c r="H618" s="4" t="inlineStr">
        <is>
          <t>Dec 12-Dec 20</t>
        </is>
      </c>
      <c r="I618" s="4" t="n"/>
      <c r="J618" s="4" t="inlineStr">
        <is>
          <t>Jun 1</t>
        </is>
      </c>
      <c r="K618" s="4" t="inlineStr">
        <is>
          <t>150</t>
        </is>
      </c>
      <c r="L618" s="4" t="inlineStr">
        <is>
          <t>Only youth ages 12-15. Only valid in HDs 620, 621, 622, 630, and 690.</t>
        </is>
      </c>
    </row>
    <row r="619">
      <c r="A619" s="4" t="inlineStr">
        <is>
          <t>630</t>
        </is>
      </c>
      <c r="B619" s="4" t="inlineStr">
        <is>
          <t>elk</t>
        </is>
      </c>
      <c r="C619" s="4" t="inlineStr">
        <is>
          <t>Elk Permit: 630-20</t>
        </is>
      </c>
      <c r="D619" s="15" t="inlineStr">
        <is>
          <t>Drawing</t>
        </is>
      </c>
      <c r="E619" s="4" t="inlineStr">
        <is>
          <t>Either-sex Elk</t>
        </is>
      </c>
      <c r="F619" s="4" t="n"/>
      <c r="G619" s="4" t="inlineStr">
        <is>
          <t>Oct 24-Nov 29</t>
        </is>
      </c>
      <c r="H619" s="4" t="inlineStr">
        <is>
          <t>Dec 12-Dec 20</t>
        </is>
      </c>
      <c r="I619" s="4" t="n"/>
      <c r="J619" s="4" t="inlineStr">
        <is>
          <t>April 1</t>
        </is>
      </c>
      <c r="K619" s="4" t="inlineStr">
        <is>
          <t>25</t>
        </is>
      </c>
      <c r="L619" s="4" t="inlineStr">
        <is>
          <t>Permit must be used with a valid General Elk License. Holders may not hunt Antlered Elk in any other HD during these described season dates.</t>
        </is>
      </c>
    </row>
    <row r="620">
      <c r="A620" s="4" t="inlineStr">
        <is>
          <t>630</t>
        </is>
      </c>
      <c r="B620" s="4" t="inlineStr">
        <is>
          <t>elk</t>
        </is>
      </c>
      <c r="C620" s="4" t="inlineStr">
        <is>
          <t>Elk Permit: 630-21</t>
        </is>
      </c>
      <c r="D620" s="15" t="inlineStr">
        <is>
          <t>Drawing</t>
        </is>
      </c>
      <c r="E620" s="4" t="inlineStr">
        <is>
          <t>Either-sex Elk</t>
        </is>
      </c>
      <c r="F620" s="4" t="inlineStr">
        <is>
          <t>Sep 05-Oct 18</t>
        </is>
      </c>
      <c r="G620" s="4" t="n"/>
      <c r="H620" s="4" t="n"/>
      <c r="I620" s="4" t="n"/>
      <c r="J620" s="4" t="inlineStr">
        <is>
          <t>April 1</t>
        </is>
      </c>
      <c r="K620" s="4" t="inlineStr">
        <is>
          <t>100</t>
        </is>
      </c>
      <c r="L620" s="4" t="inlineStr">
        <is>
          <t xml:space="preserve">Permit must be used with a valid General Elk License. Holders may not hunt Antlered Elk in any other HD during these described season dates. 2026 Deer • Elk • Antelope Visit fwp.mt.gov LICENSE/PERMIT OPPORTUNITY APPL Y BY DATE QUOTA QUOTA RANGE EARL Y SEASON DATES ARCHERY ONL Y SEASON DATES GENERAL </t>
        </is>
      </c>
    </row>
    <row r="621">
      <c r="A621" s="4" t="inlineStr">
        <is>
          <t>640</t>
        </is>
      </c>
      <c r="B621" s="4" t="inlineStr">
        <is>
          <t>elk</t>
        </is>
      </c>
      <c r="C621" s="4" t="inlineStr">
        <is>
          <t>General Elk License</t>
        </is>
      </c>
      <c r="D621" s="13" t="inlineStr">
        <is>
          <t>General license</t>
        </is>
      </c>
      <c r="E621" s="4" t="inlineStr">
        <is>
          <t>Either-sex Elk</t>
        </is>
      </c>
      <c r="F621" s="4" t="inlineStr">
        <is>
          <t>Sep 05-Oct 18</t>
        </is>
      </c>
      <c r="G621" s="4" t="inlineStr">
        <is>
          <t>Oct 24-Nov 29</t>
        </is>
      </c>
      <c r="H621" s="4" t="inlineStr">
        <is>
          <t>Dec 12-Dec 20</t>
        </is>
      </c>
      <c r="I621" s="4" t="n"/>
      <c r="J621" s="4" t="n"/>
      <c r="K621" s="4" t="n"/>
      <c r="L621" s="4" t="n"/>
    </row>
    <row r="622">
      <c r="A622" s="4" t="inlineStr">
        <is>
          <t>650</t>
        </is>
      </c>
      <c r="B622" s="4" t="inlineStr">
        <is>
          <t>elk</t>
        </is>
      </c>
      <c r="C622" s="4" t="inlineStr">
        <is>
          <t>General Elk License</t>
        </is>
      </c>
      <c r="D622" s="13" t="inlineStr">
        <is>
          <t>General license</t>
        </is>
      </c>
      <c r="E622" s="4" t="inlineStr">
        <is>
          <t>Either-sex Elk</t>
        </is>
      </c>
      <c r="F622" s="4" t="inlineStr">
        <is>
          <t>Sep 05-Oct 18</t>
        </is>
      </c>
      <c r="G622" s="4" t="inlineStr">
        <is>
          <t>Oct 24-Nov 29</t>
        </is>
      </c>
      <c r="H622" s="4" t="inlineStr">
        <is>
          <t>Dec 12-Dec 20</t>
        </is>
      </c>
      <c r="I622" s="4" t="n"/>
      <c r="J622" s="4" t="n"/>
      <c r="K622" s="4" t="n"/>
      <c r="L622" s="4" t="n"/>
    </row>
    <row r="623">
      <c r="A623" s="4" t="inlineStr">
        <is>
          <t>652</t>
        </is>
      </c>
      <c r="B623" s="4" t="inlineStr">
        <is>
          <t>elk</t>
        </is>
      </c>
      <c r="C623" s="4" t="inlineStr">
        <is>
          <t>General Elk License</t>
        </is>
      </c>
      <c r="D623" s="13" t="inlineStr">
        <is>
          <t>General license</t>
        </is>
      </c>
      <c r="E623" s="4" t="inlineStr">
        <is>
          <t>Either-sex Elk</t>
        </is>
      </c>
      <c r="F623" s="4" t="inlineStr">
        <is>
          <t>Sep 05-Oct 18</t>
        </is>
      </c>
      <c r="G623" s="4" t="inlineStr">
        <is>
          <t>Oct 24-Nov 29</t>
        </is>
      </c>
      <c r="H623" s="4" t="inlineStr">
        <is>
          <t>Dec 12-Dec 20</t>
        </is>
      </c>
      <c r="I623" s="4" t="n"/>
      <c r="J623" s="4" t="n"/>
      <c r="K623" s="4" t="n"/>
      <c r="L623" s="4" t="inlineStr">
        <is>
          <t>117 LICENSE/PERMIT OPPORTUNITY APPL Y BY DATE QUOTA QUOTA RANGE EARL Y SEASON DATES ARCHERY ONL Y SEASON DATES GENERAL SEASON DATES HERITAGE MUZZLELOADER SEASON DATES LATE SEASON DATES OPPORTUNITY SPECIFIC DETAILS AND/ORRESTRICTIONS</t>
        </is>
      </c>
    </row>
    <row r="624">
      <c r="A624" s="4" t="inlineStr">
        <is>
          <t>670</t>
        </is>
      </c>
      <c r="B624" s="4" t="inlineStr">
        <is>
          <t>elk</t>
        </is>
      </c>
      <c r="C624" s="4" t="inlineStr">
        <is>
          <t>General Elk License</t>
        </is>
      </c>
      <c r="D624" s="13" t="inlineStr">
        <is>
          <t>General license</t>
        </is>
      </c>
      <c r="E624" s="4" t="inlineStr">
        <is>
          <t>Either-sex Elk</t>
        </is>
      </c>
      <c r="F624" s="4" t="inlineStr">
        <is>
          <t>Sep 05-Oct 18</t>
        </is>
      </c>
      <c r="G624" s="4" t="inlineStr">
        <is>
          <t>Oct 24-Nov 29</t>
        </is>
      </c>
      <c r="H624" s="4" t="inlineStr">
        <is>
          <t>Dec 12-Dec 20</t>
        </is>
      </c>
      <c r="I624" s="4" t="n"/>
      <c r="J624" s="4" t="n"/>
      <c r="K624" s="4" t="n"/>
      <c r="L624" s="4" t="n"/>
    </row>
    <row r="625">
      <c r="A625" s="4" t="inlineStr">
        <is>
          <t>690</t>
        </is>
      </c>
      <c r="B625" s="4" t="inlineStr">
        <is>
          <t>elk</t>
        </is>
      </c>
      <c r="C625" s="4" t="inlineStr">
        <is>
          <t>General Elk License</t>
        </is>
      </c>
      <c r="D625" s="13" t="inlineStr">
        <is>
          <t>General license</t>
        </is>
      </c>
      <c r="E625" s="4" t="inlineStr">
        <is>
          <t>Antlerless Elk</t>
        </is>
      </c>
      <c r="F625" s="4" t="n"/>
      <c r="G625" s="4" t="inlineStr">
        <is>
          <t>Oct 24-Nov 29</t>
        </is>
      </c>
      <c r="H625" s="4" t="inlineStr">
        <is>
          <t>Dec 12-Dec 20</t>
        </is>
      </c>
      <c r="I625" s="4" t="n"/>
      <c r="J625" s="4" t="n"/>
      <c r="K625" s="4" t="n"/>
      <c r="L625" s="4" t="n"/>
    </row>
    <row r="626">
      <c r="A626" s="4" t="inlineStr">
        <is>
          <t>690</t>
        </is>
      </c>
      <c r="B626" s="4" t="inlineStr">
        <is>
          <t>elk</t>
        </is>
      </c>
      <c r="C626" s="4" t="inlineStr">
        <is>
          <t>Elk B License: 690-01</t>
        </is>
      </c>
      <c r="D626" s="15" t="inlineStr">
        <is>
          <t>Drawing</t>
        </is>
      </c>
      <c r="E626" s="4" t="inlineStr">
        <is>
          <t>Antlerless Elk</t>
        </is>
      </c>
      <c r="F626" s="4" t="n"/>
      <c r="G626" s="4" t="inlineStr">
        <is>
          <t>Oct 24-Nov 29</t>
        </is>
      </c>
      <c r="H626" s="4" t="inlineStr">
        <is>
          <t>Dec 12-Dec 20</t>
        </is>
      </c>
      <c r="I626" s="4" t="inlineStr">
        <is>
          <t>Dec 06-Jan 31</t>
        </is>
      </c>
      <c r="J626" s="4" t="inlineStr">
        <is>
          <t>Jun 1</t>
        </is>
      </c>
      <c r="K626" s="4" t="inlineStr">
        <is>
          <t>450</t>
        </is>
      </c>
      <c r="L626" s="4" t="inlineStr">
        <is>
          <t>690-01 license holders may use General Elk License to harvest 2nd antlerless elk in the same area and for the same duration the 690-01 is valid.</t>
        </is>
      </c>
    </row>
    <row r="627">
      <c r="A627" s="4" t="inlineStr">
        <is>
          <t>690</t>
        </is>
      </c>
      <c r="B627" s="4" t="inlineStr">
        <is>
          <t>elk</t>
        </is>
      </c>
      <c r="C627" s="4" t="inlineStr">
        <is>
          <t>Elk B License: 699-01</t>
        </is>
      </c>
      <c r="D627" s="15" t="inlineStr">
        <is>
          <t>Drawing</t>
        </is>
      </c>
      <c r="E627" s="4" t="inlineStr">
        <is>
          <t>Antlerless Elk</t>
        </is>
      </c>
      <c r="F627" s="4" t="n"/>
      <c r="G627" s="4" t="inlineStr">
        <is>
          <t>Oct 22-Nov 29</t>
        </is>
      </c>
      <c r="H627" s="4" t="inlineStr">
        <is>
          <t>Dec 12-Dec 20</t>
        </is>
      </c>
      <c r="I627" s="4" t="n"/>
      <c r="J627" s="4" t="inlineStr">
        <is>
          <t>Jun 1</t>
        </is>
      </c>
      <c r="K627" s="4" t="inlineStr">
        <is>
          <t>150</t>
        </is>
      </c>
      <c r="L627" s="4" t="inlineStr">
        <is>
          <t>Only youth ages 12-15. Only valid in HDs 620, 621, 622, 630 and 690.</t>
        </is>
      </c>
    </row>
    <row r="628">
      <c r="A628" s="4" t="inlineStr">
        <is>
          <t>690</t>
        </is>
      </c>
      <c r="B628" s="4" t="inlineStr">
        <is>
          <t>elk</t>
        </is>
      </c>
      <c r="C628" s="4" t="inlineStr">
        <is>
          <t>Elk Permit: 690-20</t>
        </is>
      </c>
      <c r="D628" s="15" t="inlineStr">
        <is>
          <t>Drawing</t>
        </is>
      </c>
      <c r="E628" s="4" t="inlineStr">
        <is>
          <t>Either-sex Elk</t>
        </is>
      </c>
      <c r="F628" s="4" t="n"/>
      <c r="G628" s="4" t="inlineStr">
        <is>
          <t>Oct 24-Nov 29</t>
        </is>
      </c>
      <c r="H628" s="4" t="inlineStr">
        <is>
          <t>Dec 12-Dec 20</t>
        </is>
      </c>
      <c r="I628" s="4" t="n"/>
      <c r="J628" s="4" t="inlineStr">
        <is>
          <t>April 1</t>
        </is>
      </c>
      <c r="K628" s="4" t="inlineStr">
        <is>
          <t>50</t>
        </is>
      </c>
      <c r="L628" s="4" t="inlineStr">
        <is>
          <t>Permit must be used with a valid General Elk License. Holders may not hunt Antlered Elk in any other HD during these described season dates.</t>
        </is>
      </c>
    </row>
    <row r="629">
      <c r="A629" s="4" t="inlineStr">
        <is>
          <t>690</t>
        </is>
      </c>
      <c r="B629" s="4" t="inlineStr">
        <is>
          <t>elk</t>
        </is>
      </c>
      <c r="C629" s="4" t="inlineStr">
        <is>
          <t>Elk Permit: 690-21</t>
        </is>
      </c>
      <c r="D629" s="15" t="inlineStr">
        <is>
          <t>Drawing</t>
        </is>
      </c>
      <c r="E629" s="4" t="inlineStr">
        <is>
          <t>Either-sex Elk</t>
        </is>
      </c>
      <c r="F629" s="4" t="inlineStr">
        <is>
          <t>Sep 05-Oct 18</t>
        </is>
      </c>
      <c r="G629" s="4" t="n"/>
      <c r="H629" s="4" t="n"/>
      <c r="I629" s="4" t="n"/>
      <c r="J629" s="4" t="inlineStr">
        <is>
          <t>April 1</t>
        </is>
      </c>
      <c r="K629" s="4" t="inlineStr">
        <is>
          <t>50</t>
        </is>
      </c>
      <c r="L629" s="4" t="inlineStr">
        <is>
          <t xml:space="preserve">Permit must be used with a valid General Elk License. Holders may not hunt Antlered Elk in any other HD during these described season dates. 2026 Deer • Elk • Antelope Visit fwp.mt.gov LICENSE/PERMIT OPPORTUNITY APPL Y BY DATE QUOTA QUOTA RANGE EARL Y SEASON DATES ARCHERY ONL Y SEASON DATES GENERAL </t>
        </is>
      </c>
    </row>
    <row r="630">
      <c r="A630" s="4" t="inlineStr">
        <is>
          <t>700</t>
        </is>
      </c>
      <c r="B630" s="4" t="inlineStr">
        <is>
          <t>elk</t>
        </is>
      </c>
      <c r="C630" s="4" t="inlineStr">
        <is>
          <t>Elk B License: 007-00</t>
        </is>
      </c>
      <c r="D630" s="15" t="inlineStr">
        <is>
          <t>Drawing</t>
        </is>
      </c>
      <c r="E630" s="4" t="inlineStr">
        <is>
          <t>Antlerless Elk</t>
        </is>
      </c>
      <c r="F630" s="4" t="inlineStr">
        <is>
          <t>Sep 05-Oct 18</t>
        </is>
      </c>
      <c r="G630" s="4" t="n"/>
      <c r="H630" s="4" t="n"/>
      <c r="I630" s="4" t="n"/>
      <c r="J630" s="4" t="inlineStr">
        <is>
          <t>Jun 1</t>
        </is>
      </c>
      <c r="K630" s="4" t="inlineStr">
        <is>
          <t>800</t>
        </is>
      </c>
      <c r="L630" s="4" t="inlineStr">
        <is>
          <t>Valid in all Region 7 HDs. Not valid on National Forest lands or CMR Refuge. Valid in all Region 7 HDs.</t>
        </is>
      </c>
    </row>
    <row r="631">
      <c r="A631" s="4" t="inlineStr">
        <is>
          <t>700</t>
        </is>
      </c>
      <c r="B631" s="4" t="inlineStr">
        <is>
          <t>elk</t>
        </is>
      </c>
      <c r="C631" s="4" t="inlineStr">
        <is>
          <t>Elk B License: 700-00</t>
        </is>
      </c>
      <c r="D631" s="15" t="inlineStr">
        <is>
          <t>Drawing</t>
        </is>
      </c>
      <c r="E631" s="4" t="inlineStr">
        <is>
          <t>Antlerless Elk</t>
        </is>
      </c>
      <c r="F631" s="4" t="inlineStr">
        <is>
          <t>Sep 05-Oct 18</t>
        </is>
      </c>
      <c r="G631" s="4" t="inlineStr">
        <is>
          <t>Oct 24-Nov 29</t>
        </is>
      </c>
      <c r="H631" s="4" t="inlineStr">
        <is>
          <t>Dec 12-Dec 20</t>
        </is>
      </c>
      <c r="I631" s="4" t="n"/>
      <c r="J631" s="4" t="inlineStr">
        <is>
          <t>Jun 1</t>
        </is>
      </c>
      <c r="K631" s="4" t="inlineStr">
        <is>
          <t>700</t>
        </is>
      </c>
      <c r="L631" s="4" t="n"/>
    </row>
    <row r="632">
      <c r="A632" s="4" t="inlineStr">
        <is>
          <t>700</t>
        </is>
      </c>
      <c r="B632" s="4" t="inlineStr">
        <is>
          <t>elk</t>
        </is>
      </c>
      <c r="C632" s="4" t="inlineStr">
        <is>
          <t>Elk Permit: 700-20</t>
        </is>
      </c>
      <c r="D632" s="15" t="inlineStr">
        <is>
          <t>Drawing</t>
        </is>
      </c>
      <c r="E632" s="4" t="inlineStr">
        <is>
          <t>Either-sex Elk</t>
        </is>
      </c>
      <c r="F632" s="4" t="inlineStr">
        <is>
          <t>Sep 05-Oct 18</t>
        </is>
      </c>
      <c r="G632" s="4" t="inlineStr">
        <is>
          <t>Oct 24-Nov 29</t>
        </is>
      </c>
      <c r="H632" s="4" t="inlineStr">
        <is>
          <t>Dec 12-Dec 20</t>
        </is>
      </c>
      <c r="I632" s="4" t="n"/>
      <c r="J632" s="4" t="inlineStr">
        <is>
          <t>April 1</t>
        </is>
      </c>
      <c r="K632" s="4" t="inlineStr">
        <is>
          <t>250</t>
        </is>
      </c>
      <c r="L632" s="4" t="inlineStr">
        <is>
          <t>Permit must be used with a valid General Elk License. Holders may not hunt Antlered Elk in any other HD during these described season dates.</t>
        </is>
      </c>
    </row>
    <row r="633">
      <c r="A633" s="4" t="inlineStr">
        <is>
          <t>700</t>
        </is>
      </c>
      <c r="B633" s="4" t="inlineStr">
        <is>
          <t>elk</t>
        </is>
      </c>
      <c r="C633" s="4" t="inlineStr">
        <is>
          <t>Elk Permit: 700-21</t>
        </is>
      </c>
      <c r="D633" s="15" t="inlineStr">
        <is>
          <t>Drawing</t>
        </is>
      </c>
      <c r="E633" s="4" t="inlineStr">
        <is>
          <t>Either-sex Elk</t>
        </is>
      </c>
      <c r="F633" s="4" t="inlineStr">
        <is>
          <t>Sep 05-Oct 18</t>
        </is>
      </c>
      <c r="G633" s="4" t="n"/>
      <c r="H633" s="4" t="n"/>
      <c r="I633" s="4" t="n"/>
      <c r="J633" s="4" t="inlineStr">
        <is>
          <t>April 1</t>
        </is>
      </c>
      <c r="K633" s="4" t="inlineStr">
        <is>
          <t>800</t>
        </is>
      </c>
      <c r="L633" s="4" t="inlineStr">
        <is>
          <t>1st and 2nd choice only. Permit must be used with a valid General Elk License. Holders may not hunt Antlered Elk in any other HD during these described season dates.</t>
        </is>
      </c>
    </row>
    <row r="634">
      <c r="A634" s="4" t="inlineStr">
        <is>
          <t>701</t>
        </is>
      </c>
      <c r="B634" s="4" t="inlineStr">
        <is>
          <t>elk</t>
        </is>
      </c>
      <c r="C634" s="4" t="inlineStr">
        <is>
          <t>General Elk License</t>
        </is>
      </c>
      <c r="D634" s="13" t="inlineStr">
        <is>
          <t>General license</t>
        </is>
      </c>
      <c r="E634" s="4" t="inlineStr">
        <is>
          <t>Antlerless Elk</t>
        </is>
      </c>
      <c r="F634" s="4" t="n"/>
      <c r="G634" s="4" t="n"/>
      <c r="H634" s="4" t="n"/>
      <c r="I634" s="4" t="n"/>
      <c r="J634" s="4" t="n"/>
      <c r="K634" s="4" t="n"/>
      <c r="L634" s="4" t="inlineStr">
        <is>
          <t>Valid in portion of HD 701 north of the Yellowstone River, south of Hwy 12 and west of Sumatra- Hysham Rd. Only valid on private land.</t>
        </is>
      </c>
    </row>
    <row r="635">
      <c r="A635" s="4" t="inlineStr">
        <is>
          <t>701</t>
        </is>
      </c>
      <c r="B635" s="4" t="inlineStr">
        <is>
          <t>elk</t>
        </is>
      </c>
      <c r="C635" s="4" t="inlineStr">
        <is>
          <t>General Elk License</t>
        </is>
      </c>
      <c r="D635" s="13" t="inlineStr">
        <is>
          <t>General license</t>
        </is>
      </c>
      <c r="E635" s="4" t="inlineStr">
        <is>
          <t>Either-sex Elk</t>
        </is>
      </c>
      <c r="F635" s="4" t="inlineStr">
        <is>
          <t>Sep 05-Oct 18</t>
        </is>
      </c>
      <c r="G635" s="4" t="inlineStr">
        <is>
          <t>Oct 24-Nov 29</t>
        </is>
      </c>
      <c r="H635" s="4" t="inlineStr">
        <is>
          <t>Dec 12-Dec 20</t>
        </is>
      </c>
      <c r="I635" s="4" t="n"/>
      <c r="J635" s="4" t="n"/>
      <c r="K635" s="4" t="n"/>
      <c r="L635" s="4" t="inlineStr">
        <is>
          <t>Only valid outside the portion of HD 701 north of Yellowstone River, south of Hwy 12 and west of Sumatra-Hysham Rd.</t>
        </is>
      </c>
    </row>
    <row r="636">
      <c r="A636" s="4" t="inlineStr">
        <is>
          <t>701</t>
        </is>
      </c>
      <c r="B636" s="4" t="inlineStr">
        <is>
          <t>elk</t>
        </is>
      </c>
      <c r="C636" s="4" t="inlineStr">
        <is>
          <t>General Elk License</t>
        </is>
      </c>
      <c r="D636" s="13" t="inlineStr">
        <is>
          <t>General license</t>
        </is>
      </c>
      <c r="E636" s="4" t="inlineStr">
        <is>
          <t>Spike Bull or Antlerless Elk</t>
        </is>
      </c>
      <c r="F636" s="4" t="inlineStr">
        <is>
          <t>Sep 05-Oct 18</t>
        </is>
      </c>
      <c r="G636" s="4" t="inlineStr">
        <is>
          <t>Oct 24-Nov 29</t>
        </is>
      </c>
      <c r="H636" s="4" t="inlineStr">
        <is>
          <t>Dec 12-Dec 20</t>
        </is>
      </c>
      <c r="I636" s="4" t="n"/>
      <c r="J636" s="4" t="n"/>
      <c r="K636" s="4" t="n"/>
      <c r="L636" s="4" t="inlineStr">
        <is>
          <t>Valid in portion of HD 701 north of the Yellowstone River, south of Hwy 12 and west of Sumatra- Hysham Rd.</t>
        </is>
      </c>
    </row>
    <row r="637">
      <c r="A637" s="4" t="inlineStr">
        <is>
          <t>701</t>
        </is>
      </c>
      <c r="B637" s="4" t="inlineStr">
        <is>
          <t>elk</t>
        </is>
      </c>
      <c r="C637" s="4" t="inlineStr">
        <is>
          <t>Elk B License: 007-00</t>
        </is>
      </c>
      <c r="D637" s="15" t="inlineStr">
        <is>
          <t>Drawing</t>
        </is>
      </c>
      <c r="E637" s="4" t="inlineStr">
        <is>
          <t>Antlerless Elk</t>
        </is>
      </c>
      <c r="F637" s="4" t="inlineStr">
        <is>
          <t>Sep 05-Oct 18</t>
        </is>
      </c>
      <c r="G637" s="4" t="n"/>
      <c r="H637" s="4" t="n"/>
      <c r="I637" s="4" t="n"/>
      <c r="J637" s="4" t="inlineStr">
        <is>
          <t>Jun 1</t>
        </is>
      </c>
      <c r="K637" s="4" t="inlineStr">
        <is>
          <t>800</t>
        </is>
      </c>
      <c r="L637" s="4" t="inlineStr">
        <is>
          <t>Valid in all Region 7 HDs. Not valid on National Forest lands or CMR Refuge. Valid in all Region 7 HDs.</t>
        </is>
      </c>
    </row>
    <row r="638">
      <c r="A638" s="4" t="inlineStr">
        <is>
          <t>701</t>
        </is>
      </c>
      <c r="B638" s="4" t="inlineStr">
        <is>
          <t>elk</t>
        </is>
      </c>
      <c r="C638" s="4" t="inlineStr">
        <is>
          <t>Elk Permit: 590-20</t>
        </is>
      </c>
      <c r="D638" s="15" t="inlineStr">
        <is>
          <t>Drawing</t>
        </is>
      </c>
      <c r="E638" s="4" t="inlineStr">
        <is>
          <t>Either-sex Elk</t>
        </is>
      </c>
      <c r="F638" s="4" t="inlineStr">
        <is>
          <t>Sep 05-Oct 18</t>
        </is>
      </c>
      <c r="G638" s="4" t="inlineStr">
        <is>
          <t>Oct 24-Nov 29</t>
        </is>
      </c>
      <c r="H638" s="4" t="inlineStr">
        <is>
          <t>Dec 12-Dec 20</t>
        </is>
      </c>
      <c r="I638" s="4" t="n"/>
      <c r="J638" s="4" t="inlineStr">
        <is>
          <t>April 1</t>
        </is>
      </c>
      <c r="K638" s="4" t="inlineStr">
        <is>
          <t>380</t>
        </is>
      </c>
      <c r="L638" s="4" t="inlineStr">
        <is>
          <t>Valid in HD 590 and portion of HD 701 north of the Yellowstone River, south of Hwy 12 and west of Sumatra-Hysham Rd. Permit must be used with a valid General Elk License. Holders may not hunt Antlered Elk in any other HD during these described season dates.</t>
        </is>
      </c>
    </row>
    <row r="639">
      <c r="A639" s="4" t="inlineStr">
        <is>
          <t>701</t>
        </is>
      </c>
      <c r="B639" s="4" t="inlineStr">
        <is>
          <t>elk</t>
        </is>
      </c>
      <c r="C639" s="4" t="inlineStr">
        <is>
          <t>Elk Permit: 595-21</t>
        </is>
      </c>
      <c r="D639" s="15" t="inlineStr">
        <is>
          <t>Drawing</t>
        </is>
      </c>
      <c r="E639" s="4" t="inlineStr">
        <is>
          <t>Either-sex Elk</t>
        </is>
      </c>
      <c r="F639" s="4" t="inlineStr">
        <is>
          <t>Sep 05-Oct 18</t>
        </is>
      </c>
      <c r="G639" s="4" t="n"/>
      <c r="H639" s="4" t="n"/>
      <c r="I639" s="4" t="n"/>
      <c r="J639" s="4" t="inlineStr">
        <is>
          <t>April 1</t>
        </is>
      </c>
      <c r="K639" s="4" t="inlineStr">
        <is>
          <t>1,800</t>
        </is>
      </c>
      <c r="L639" s="4" t="inlineStr">
        <is>
          <t>1st and only choice. Valid in HDs 502, 535, 555, 590 and a portion of HD 701 north of the Yellowstone River, south of Hwy 12, west of Sumatra-Hysham Rd. Permit must be used with a valid General Elk License. Holders may not hunt Antlered Elk in any other HD during these described season dates.</t>
        </is>
      </c>
    </row>
    <row r="640">
      <c r="A640" s="4" t="inlineStr">
        <is>
          <t>701</t>
        </is>
      </c>
      <c r="B640" s="4" t="inlineStr">
        <is>
          <t>elk</t>
        </is>
      </c>
      <c r="C640" s="4" t="inlineStr">
        <is>
          <t>Elk B License: 005-00</t>
        </is>
      </c>
      <c r="D640" s="4" t="inlineStr">
        <is>
          <t>Over the counter</t>
        </is>
      </c>
      <c r="E640" s="4" t="inlineStr">
        <is>
          <t>Antlerless Elk</t>
        </is>
      </c>
      <c r="F640" s="4" t="inlineStr">
        <is>
          <t>Sep 05-Oct 18</t>
        </is>
      </c>
      <c r="G640" s="4" t="inlineStr">
        <is>
          <t>Oct 24-Nov 29</t>
        </is>
      </c>
      <c r="H640" s="4" t="inlineStr">
        <is>
          <t>Dec 12-Dec 20</t>
        </is>
      </c>
      <c r="I640" s="4" t="inlineStr">
        <is>
          <t>Nov 30-Feb 15</t>
        </is>
      </c>
      <c r="J640" s="4" t="inlineStr">
        <is>
          <t>OTC: Jun 15</t>
        </is>
      </c>
      <c r="K640" s="4" t="inlineStr">
        <is>
          <t>UNL</t>
        </is>
      </c>
      <c r="L640" s="4" t="inlineStr">
        <is>
          <t>Valid in portion of HD 701 north of the Yellowstone River, south of Hwy 12 and west of Sumatra- Hysham Rd.</t>
        </is>
      </c>
    </row>
    <row r="641">
      <c r="A641" s="4" t="inlineStr">
        <is>
          <t>702</t>
        </is>
      </c>
      <c r="B641" s="4" t="inlineStr">
        <is>
          <t>elk</t>
        </is>
      </c>
      <c r="C641" s="4" t="inlineStr">
        <is>
          <t>General Elk License</t>
        </is>
      </c>
      <c r="D641" s="13" t="inlineStr">
        <is>
          <t>General license</t>
        </is>
      </c>
      <c r="E641" s="4" t="inlineStr">
        <is>
          <t>Spike Bull or Antlerless Elk</t>
        </is>
      </c>
      <c r="F641" s="4" t="inlineStr">
        <is>
          <t>Sep 05-Oct 18</t>
        </is>
      </c>
      <c r="G641" s="4" t="inlineStr">
        <is>
          <t>Oct 24-Nov 29</t>
        </is>
      </c>
      <c r="H641" s="4" t="inlineStr">
        <is>
          <t>Dec 12-Dec 20</t>
        </is>
      </c>
      <c r="I641" s="4" t="n"/>
      <c r="J641" s="4" t="n"/>
      <c r="K641" s="4" t="n"/>
      <c r="L641" s="4" t="n"/>
    </row>
    <row r="642">
      <c r="A642" s="4" t="inlineStr">
        <is>
          <t>702</t>
        </is>
      </c>
      <c r="B642" s="4" t="inlineStr">
        <is>
          <t>elk</t>
        </is>
      </c>
      <c r="C642" s="4" t="inlineStr">
        <is>
          <t>General Elk License</t>
        </is>
      </c>
      <c r="D642" s="13" t="inlineStr">
        <is>
          <t>General license</t>
        </is>
      </c>
      <c r="E642" s="4" t="inlineStr">
        <is>
          <t>Antlerless Elk</t>
        </is>
      </c>
      <c r="F642" s="4" t="n"/>
      <c r="G642" s="4" t="n"/>
      <c r="H642" s="4" t="n"/>
      <c r="I642" s="4" t="inlineStr">
        <is>
          <t>Nov 30-Feb 15</t>
        </is>
      </c>
      <c r="J642" s="4" t="n"/>
      <c r="K642" s="4" t="n"/>
      <c r="L642" s="4" t="inlineStr">
        <is>
          <t>Only valid on private land.</t>
        </is>
      </c>
    </row>
    <row r="643">
      <c r="A643" s="4" t="inlineStr">
        <is>
          <t>702</t>
        </is>
      </c>
      <c r="B643" s="4" t="inlineStr">
        <is>
          <t>elk</t>
        </is>
      </c>
      <c r="C643" s="4" t="inlineStr">
        <is>
          <t>Elk B License: 007-00</t>
        </is>
      </c>
      <c r="D643" s="15" t="inlineStr">
        <is>
          <t>Drawing</t>
        </is>
      </c>
      <c r="E643" s="4" t="inlineStr">
        <is>
          <t>Antlerless Elk</t>
        </is>
      </c>
      <c r="F643" s="4" t="inlineStr">
        <is>
          <t>Sep 05-Oct 18</t>
        </is>
      </c>
      <c r="G643" s="4" t="n"/>
      <c r="H643" s="4" t="n"/>
      <c r="I643" s="4" t="n"/>
      <c r="J643" s="4" t="inlineStr">
        <is>
          <t>Jun 1</t>
        </is>
      </c>
      <c r="K643" s="4" t="inlineStr">
        <is>
          <t>800</t>
        </is>
      </c>
      <c r="L643" s="4" t="inlineStr">
        <is>
          <t>Valid in all Region 7 HDs. Not valid on National Forest lands or CMR Refuge. Valid in all Region 7 HDs. Only valid on private land.</t>
        </is>
      </c>
    </row>
    <row r="644">
      <c r="A644" s="4" t="inlineStr">
        <is>
          <t>702</t>
        </is>
      </c>
      <c r="B644" s="4" t="inlineStr">
        <is>
          <t>elk</t>
        </is>
      </c>
      <c r="C644" s="4" t="inlineStr">
        <is>
          <t>Elk B License: 700-00</t>
        </is>
      </c>
      <c r="D644" s="15" t="inlineStr">
        <is>
          <t>Drawing</t>
        </is>
      </c>
      <c r="E644" s="4" t="inlineStr">
        <is>
          <t>Antlerless Elk</t>
        </is>
      </c>
      <c r="F644" s="4" t="n"/>
      <c r="G644" s="4" t="n"/>
      <c r="H644" s="4" t="n"/>
      <c r="I644" s="4" t="inlineStr">
        <is>
          <t>Nov 30-Feb 15</t>
        </is>
      </c>
      <c r="J644" s="4" t="inlineStr">
        <is>
          <t>Jun 1</t>
        </is>
      </c>
      <c r="K644" s="4" t="inlineStr">
        <is>
          <t>700</t>
        </is>
      </c>
      <c r="L644" s="4" t="inlineStr">
        <is>
          <t>Only valid on private land.</t>
        </is>
      </c>
    </row>
    <row r="645">
      <c r="A645" s="4" t="inlineStr">
        <is>
          <t>702</t>
        </is>
      </c>
      <c r="B645" s="4" t="inlineStr">
        <is>
          <t>elk</t>
        </is>
      </c>
      <c r="C645" s="4" t="inlineStr">
        <is>
          <t>Elk B License: 799-00</t>
        </is>
      </c>
      <c r="D645" s="15" t="inlineStr">
        <is>
          <t>Drawing</t>
        </is>
      </c>
      <c r="E645" s="4" t="inlineStr">
        <is>
          <t>Antlerless Elk</t>
        </is>
      </c>
      <c r="F645" s="4" t="inlineStr">
        <is>
          <t>Sep 05-Oct 18</t>
        </is>
      </c>
      <c r="G645" s="4" t="inlineStr">
        <is>
          <t>Oct 24-Nov 29</t>
        </is>
      </c>
      <c r="H645" s="4" t="inlineStr">
        <is>
          <t>Dec 12-Dec 20</t>
        </is>
      </c>
      <c r="I645" s="4" t="n"/>
      <c r="J645" s="4" t="inlineStr">
        <is>
          <t>Jun 1</t>
        </is>
      </c>
      <c r="K645" s="4" t="inlineStr">
        <is>
          <t>600</t>
        </is>
      </c>
      <c r="L645" s="4" t="inlineStr">
        <is>
          <t>Only valid in HDs 702, 704, and 705. Only valid on private land in HDs 702, 704, and 705.</t>
        </is>
      </c>
    </row>
    <row r="646">
      <c r="A646" s="4" t="inlineStr">
        <is>
          <t>702</t>
        </is>
      </c>
      <c r="B646" s="4" t="inlineStr">
        <is>
          <t>elk</t>
        </is>
      </c>
      <c r="C646" s="4" t="inlineStr">
        <is>
          <t>Elk Permit: 702-20</t>
        </is>
      </c>
      <c r="D646" s="15" t="inlineStr">
        <is>
          <t>Drawing</t>
        </is>
      </c>
      <c r="E646" s="4" t="inlineStr">
        <is>
          <t>Either-sex Elk</t>
        </is>
      </c>
      <c r="F646" s="4" t="inlineStr">
        <is>
          <t>Sep 05-Oct 18</t>
        </is>
      </c>
      <c r="G646" s="4" t="inlineStr">
        <is>
          <t>Oct 24-Nov 29</t>
        </is>
      </c>
      <c r="H646" s="4" t="inlineStr">
        <is>
          <t>Dec 12-Dec 20</t>
        </is>
      </c>
      <c r="I646" s="4" t="n"/>
      <c r="J646" s="4" t="inlineStr">
        <is>
          <t>April 1</t>
        </is>
      </c>
      <c r="K646" s="4" t="inlineStr">
        <is>
          <t>150</t>
        </is>
      </c>
      <c r="L646" s="4" t="inlineStr">
        <is>
          <t>Not valid on National Forest lands. Permit only valid in HD 702. Successful Either-sex elk permit 702-20 applicants may be ofered the opportunity to purchase one antlerless Elk B 798-00 License valid only where pemit is valid during the same time periods and with the same restrictions. Permit must b</t>
        </is>
      </c>
    </row>
    <row r="647">
      <c r="A647" s="4" t="inlineStr">
        <is>
          <t>702</t>
        </is>
      </c>
      <c r="B647" s="4" t="inlineStr">
        <is>
          <t>elk</t>
        </is>
      </c>
      <c r="C647" s="4" t="inlineStr">
        <is>
          <t>Elk Permit: 799-20</t>
        </is>
      </c>
      <c r="D647" s="15" t="inlineStr">
        <is>
          <t>Drawing</t>
        </is>
      </c>
      <c r="E647" s="4" t="inlineStr">
        <is>
          <t>Either-sex Elk</t>
        </is>
      </c>
      <c r="F647" s="4" t="inlineStr">
        <is>
          <t>Sep 05-Oct 18</t>
        </is>
      </c>
      <c r="G647" s="4" t="inlineStr">
        <is>
          <t>Oct 24-Nov 29</t>
        </is>
      </c>
      <c r="H647" s="4" t="inlineStr">
        <is>
          <t>Dec 12-Dec 20</t>
        </is>
      </c>
      <c r="I647" s="4" t="n"/>
      <c r="J647" s="4" t="inlineStr">
        <is>
          <t>April 1</t>
        </is>
      </c>
      <c r="K647" s="4" t="inlineStr">
        <is>
          <t>325</t>
        </is>
      </c>
      <c r="L647" s="4" t="inlineStr">
        <is>
          <t>1st and only choice. Only valid in HDs 702, 704, and 705. Permit must be used with a valid General Elk License. Holders may not hunt Antlered Elk in any other HD during these described season dates. Successful Either- sex elk permit 799-20 applicants may be ofered the opportunity to purchase one ant</t>
        </is>
      </c>
    </row>
    <row r="648">
      <c r="A648" s="4" t="inlineStr">
        <is>
          <t>702</t>
        </is>
      </c>
      <c r="B648" s="4" t="inlineStr">
        <is>
          <t>elk</t>
        </is>
      </c>
      <c r="C648" s="4" t="inlineStr">
        <is>
          <t>Elk Permit: 799-21</t>
        </is>
      </c>
      <c r="D648" s="15" t="inlineStr">
        <is>
          <t>Drawing</t>
        </is>
      </c>
      <c r="E648" s="4" t="inlineStr">
        <is>
          <t>Either-sex Elk</t>
        </is>
      </c>
      <c r="F648" s="4" t="inlineStr">
        <is>
          <t>Sep 05-Oct 18</t>
        </is>
      </c>
      <c r="G648" s="4" t="n"/>
      <c r="H648" s="4" t="n"/>
      <c r="I648" s="4" t="n"/>
      <c r="J648" s="4" t="inlineStr">
        <is>
          <t>April 1</t>
        </is>
      </c>
      <c r="K648" s="4" t="inlineStr">
        <is>
          <t>1,000</t>
        </is>
      </c>
      <c r="L648" s="4" t="inlineStr">
        <is>
          <t>1st and only choice. Only valid in HDs 702, 704, and 705. Permit must be used with a valid General Elk License. Holders may not hunt Antlered Elk in any other HD during these described season dates. Successful Either- sex elk permit 799-21 applicants may be ofered the opportunity to purchase one ant</t>
        </is>
      </c>
    </row>
    <row r="649">
      <c r="A649" s="4" t="inlineStr">
        <is>
          <t>703</t>
        </is>
      </c>
      <c r="B649" s="4" t="inlineStr">
        <is>
          <t>elk</t>
        </is>
      </c>
      <c r="C649" s="4" t="inlineStr">
        <is>
          <t>General Elk License</t>
        </is>
      </c>
      <c r="D649" s="13" t="inlineStr">
        <is>
          <t>General license</t>
        </is>
      </c>
      <c r="E649" s="4" t="inlineStr">
        <is>
          <t>Either-sex Elk</t>
        </is>
      </c>
      <c r="F649" s="4" t="inlineStr">
        <is>
          <t>Sep 05-Oct 18</t>
        </is>
      </c>
      <c r="G649" s="4" t="inlineStr">
        <is>
          <t>Oct 24-Nov 29</t>
        </is>
      </c>
      <c r="H649" s="4" t="inlineStr">
        <is>
          <t>Dec 12-Dec 20</t>
        </is>
      </c>
      <c r="I649" s="4" t="n"/>
      <c r="J649" s="4" t="n"/>
      <c r="K649" s="4" t="n"/>
      <c r="L649" s="4" t="n"/>
    </row>
    <row r="650">
      <c r="A650" s="4" t="inlineStr">
        <is>
          <t>703</t>
        </is>
      </c>
      <c r="B650" s="4" t="inlineStr">
        <is>
          <t>elk</t>
        </is>
      </c>
      <c r="C650" s="4" t="inlineStr">
        <is>
          <t>Elk B License: 007-00</t>
        </is>
      </c>
      <c r="D650" s="15" t="inlineStr">
        <is>
          <t>Drawing</t>
        </is>
      </c>
      <c r="E650" s="4" t="inlineStr">
        <is>
          <t>Antlerless Elk</t>
        </is>
      </c>
      <c r="F650" s="4" t="inlineStr">
        <is>
          <t>Sep 05-Oct 18</t>
        </is>
      </c>
      <c r="G650" s="4" t="n"/>
      <c r="H650" s="4" t="n"/>
      <c r="I650" s="4" t="n"/>
      <c r="J650" s="4" t="inlineStr">
        <is>
          <t>Jun 1</t>
        </is>
      </c>
      <c r="K650" s="4" t="inlineStr">
        <is>
          <t>800</t>
        </is>
      </c>
      <c r="L650" s="4" t="inlineStr">
        <is>
          <t>Valid in all Region 7 HDs. Not valid on National Forest lands or CMR Refuge. Valid in all Region 7 HDs. LICENSE/PERMIT OPPORTUNITY APPL Y BY DATE QUOTA QUOTA RANGE EARL Y SEASON DATES ARCHERY ONL Y SEASON DATES GENERAL SEASON DATES HERITAGE MUZZLELOADER SEASON DATES LATE SEASON DATES OPPORTUNITY SPE</t>
        </is>
      </c>
    </row>
    <row r="651">
      <c r="A651" s="4" t="inlineStr">
        <is>
          <t>704</t>
        </is>
      </c>
      <c r="B651" s="4" t="inlineStr">
        <is>
          <t>elk</t>
        </is>
      </c>
      <c r="C651" s="4" t="inlineStr">
        <is>
          <t>General Elk License</t>
        </is>
      </c>
      <c r="D651" s="13" t="inlineStr">
        <is>
          <t>General license</t>
        </is>
      </c>
      <c r="E651" s="4" t="inlineStr">
        <is>
          <t>Spike Bull or Antlerless Elk</t>
        </is>
      </c>
      <c r="F651" s="4" t="inlineStr">
        <is>
          <t>Sep 05-Oct 18</t>
        </is>
      </c>
      <c r="G651" s="4" t="n"/>
      <c r="H651" s="4" t="n"/>
      <c r="I651" s="4" t="n"/>
      <c r="J651" s="4" t="n"/>
      <c r="K651" s="4" t="n"/>
      <c r="L651" s="4" t="inlineStr">
        <is>
          <t>Not valid on National Forest lands.</t>
        </is>
      </c>
    </row>
    <row r="652">
      <c r="A652" s="4" t="inlineStr">
        <is>
          <t>704</t>
        </is>
      </c>
      <c r="B652" s="4" t="inlineStr">
        <is>
          <t>elk</t>
        </is>
      </c>
      <c r="C652" s="4" t="inlineStr">
        <is>
          <t>General Elk License</t>
        </is>
      </c>
      <c r="D652" s="13" t="inlineStr">
        <is>
          <t>General license</t>
        </is>
      </c>
      <c r="E652" s="4" t="inlineStr">
        <is>
          <t>Antlerless Elk</t>
        </is>
      </c>
      <c r="F652" s="4" t="n"/>
      <c r="G652" s="4" t="n"/>
      <c r="H652" s="4" t="n"/>
      <c r="I652" s="4" t="inlineStr">
        <is>
          <t>Nov 30-Feb 15</t>
        </is>
      </c>
      <c r="J652" s="4" t="n"/>
      <c r="K652" s="4" t="n"/>
      <c r="L652" s="4" t="inlineStr">
        <is>
          <t>Only valid on private land.</t>
        </is>
      </c>
    </row>
    <row r="653">
      <c r="A653" s="4" t="inlineStr">
        <is>
          <t>704</t>
        </is>
      </c>
      <c r="B653" s="4" t="inlineStr">
        <is>
          <t>elk</t>
        </is>
      </c>
      <c r="C653" s="4" t="inlineStr">
        <is>
          <t>Elk B License: 007-00</t>
        </is>
      </c>
      <c r="D653" s="15" t="inlineStr">
        <is>
          <t>Drawing</t>
        </is>
      </c>
      <c r="E653" s="4" t="inlineStr">
        <is>
          <t>Antlerless Elk</t>
        </is>
      </c>
      <c r="F653" s="4" t="inlineStr">
        <is>
          <t>Sep 05-Oct 18</t>
        </is>
      </c>
      <c r="G653" s="4" t="n"/>
      <c r="H653" s="4" t="n"/>
      <c r="I653" s="4" t="n"/>
      <c r="J653" s="4" t="inlineStr">
        <is>
          <t>Jun 1</t>
        </is>
      </c>
      <c r="K653" s="4" t="inlineStr">
        <is>
          <t>800</t>
        </is>
      </c>
      <c r="L653" s="4" t="inlineStr">
        <is>
          <t>Valid in all Region 7 HDs. Not valid on National Forest lands or CMR Refuge. Valid in all Region 7 HDs. Only valid on private land.</t>
        </is>
      </c>
    </row>
    <row r="654">
      <c r="A654" s="4" t="inlineStr">
        <is>
          <t>704</t>
        </is>
      </c>
      <c r="B654" s="4" t="inlineStr">
        <is>
          <t>elk</t>
        </is>
      </c>
      <c r="C654" s="4" t="inlineStr">
        <is>
          <t>Elk B License: 700-00</t>
        </is>
      </c>
      <c r="D654" s="15" t="inlineStr">
        <is>
          <t>Drawing</t>
        </is>
      </c>
      <c r="E654" s="4" t="inlineStr">
        <is>
          <t>Antlerless Elk</t>
        </is>
      </c>
      <c r="F654" s="4" t="n"/>
      <c r="G654" s="4" t="n"/>
      <c r="H654" s="4" t="n"/>
      <c r="I654" s="4" t="inlineStr">
        <is>
          <t>Nov 30-Feb 15</t>
        </is>
      </c>
      <c r="J654" s="4" t="inlineStr">
        <is>
          <t>Jun 1</t>
        </is>
      </c>
      <c r="K654" s="4" t="inlineStr">
        <is>
          <t>700</t>
        </is>
      </c>
      <c r="L654" s="4" t="inlineStr">
        <is>
          <t>Only valid on private land.</t>
        </is>
      </c>
    </row>
    <row r="655">
      <c r="A655" s="4" t="inlineStr">
        <is>
          <t>704</t>
        </is>
      </c>
      <c r="B655" s="4" t="inlineStr">
        <is>
          <t>elk</t>
        </is>
      </c>
      <c r="C655" s="4" t="inlineStr">
        <is>
          <t>Elk B License: 799-00</t>
        </is>
      </c>
      <c r="D655" s="15" t="inlineStr">
        <is>
          <t>Drawing</t>
        </is>
      </c>
      <c r="E655" s="4" t="inlineStr">
        <is>
          <t>Antlerless Elk</t>
        </is>
      </c>
      <c r="F655" s="4" t="inlineStr">
        <is>
          <t>Sep 05-Oct 18</t>
        </is>
      </c>
      <c r="G655" s="4" t="inlineStr">
        <is>
          <t>Oct 24-Nov 29</t>
        </is>
      </c>
      <c r="H655" s="4" t="inlineStr">
        <is>
          <t>Dec 12-Dec 20</t>
        </is>
      </c>
      <c r="I655" s="4" t="n"/>
      <c r="J655" s="4" t="inlineStr">
        <is>
          <t>Jun 1</t>
        </is>
      </c>
      <c r="K655" s="4" t="inlineStr">
        <is>
          <t>600</t>
        </is>
      </c>
      <c r="L655" s="4" t="inlineStr">
        <is>
          <t>Only valid in HDs 702, 704, and 705. Only valid on private land in HDs 702, 704, and 705.</t>
        </is>
      </c>
    </row>
    <row r="656">
      <c r="A656" s="4" t="inlineStr">
        <is>
          <t>704</t>
        </is>
      </c>
      <c r="B656" s="4" t="inlineStr">
        <is>
          <t>elk</t>
        </is>
      </c>
      <c r="C656" s="4" t="inlineStr">
        <is>
          <t>Elk Permit: 799-20</t>
        </is>
      </c>
      <c r="D656" s="15" t="inlineStr">
        <is>
          <t>Drawing</t>
        </is>
      </c>
      <c r="E656" s="4" t="inlineStr">
        <is>
          <t>Either-sex Elk</t>
        </is>
      </c>
      <c r="F656" s="4" t="inlineStr">
        <is>
          <t>Sep 05-Oct 18</t>
        </is>
      </c>
      <c r="G656" s="4" t="inlineStr">
        <is>
          <t>Oct 24-Nov 29</t>
        </is>
      </c>
      <c r="H656" s="4" t="inlineStr">
        <is>
          <t>Dec 12-Dec 20</t>
        </is>
      </c>
      <c r="I656" s="4" t="n"/>
      <c r="J656" s="4" t="inlineStr">
        <is>
          <t>April 1</t>
        </is>
      </c>
      <c r="K656" s="4" t="inlineStr">
        <is>
          <t>325</t>
        </is>
      </c>
      <c r="L656" s="4" t="inlineStr">
        <is>
          <t>1st and only choice. Only valid in HDs 702, 704, and 705. Permit must be used with a valid General Elk License. Holders may not hunt Antlered Elk in any other HD during these described season dates. Successful Either- sex elk permit 799-20 applicants may be ofered the opportunity to purchase one ant</t>
        </is>
      </c>
    </row>
    <row r="657">
      <c r="A657" s="4" t="inlineStr">
        <is>
          <t>704</t>
        </is>
      </c>
      <c r="B657" s="4" t="inlineStr">
        <is>
          <t>elk</t>
        </is>
      </c>
      <c r="C657" s="4" t="inlineStr">
        <is>
          <t>Elk Permit: 799-21</t>
        </is>
      </c>
      <c r="D657" s="15" t="inlineStr">
        <is>
          <t>Drawing</t>
        </is>
      </c>
      <c r="E657" s="4" t="inlineStr">
        <is>
          <t>Either-sex Elk</t>
        </is>
      </c>
      <c r="F657" s="4" t="inlineStr">
        <is>
          <t>Sep 05-Oct 18</t>
        </is>
      </c>
      <c r="G657" s="4" t="n"/>
      <c r="H657" s="4" t="n"/>
      <c r="I657" s="4" t="n"/>
      <c r="J657" s="4" t="inlineStr">
        <is>
          <t>April 1</t>
        </is>
      </c>
      <c r="K657" s="4" t="inlineStr">
        <is>
          <t>1,000</t>
        </is>
      </c>
      <c r="L657" s="4" t="inlineStr">
        <is>
          <t>1st and only choice. Only valid in HDs 702, 704, and 705. Permit must be used with a valid General Elk License. Holders may not hunt Antlered Elk in any other HD during these described season dates. Successful Either- sex elk permit 799-21 applicants may be ofered the opportunity to purchase one ant</t>
        </is>
      </c>
    </row>
    <row r="658">
      <c r="A658" s="4" t="inlineStr">
        <is>
          <t>705</t>
        </is>
      </c>
      <c r="B658" s="4" t="inlineStr">
        <is>
          <t>elk</t>
        </is>
      </c>
      <c r="C658" s="4" t="inlineStr">
        <is>
          <t>General Elk License</t>
        </is>
      </c>
      <c r="D658" s="13" t="inlineStr">
        <is>
          <t>General license</t>
        </is>
      </c>
      <c r="E658" s="4" t="inlineStr">
        <is>
          <t>Spike Bull or Antlerless Elk</t>
        </is>
      </c>
      <c r="F658" s="4" t="inlineStr">
        <is>
          <t>Sep 05-Oct 18</t>
        </is>
      </c>
      <c r="G658" s="4" t="n"/>
      <c r="H658" s="4" t="n"/>
      <c r="I658" s="4" t="n"/>
      <c r="J658" s="4" t="n"/>
      <c r="K658" s="4" t="n"/>
      <c r="L658" s="4" t="inlineStr">
        <is>
          <t>Not valid on National Forest lands.</t>
        </is>
      </c>
    </row>
    <row r="659">
      <c r="A659" s="4" t="inlineStr">
        <is>
          <t>705</t>
        </is>
      </c>
      <c r="B659" s="4" t="inlineStr">
        <is>
          <t>elk</t>
        </is>
      </c>
      <c r="C659" s="4" t="inlineStr">
        <is>
          <t>General Elk License</t>
        </is>
      </c>
      <c r="D659" s="13" t="inlineStr">
        <is>
          <t>General license</t>
        </is>
      </c>
      <c r="E659" s="4" t="inlineStr">
        <is>
          <t>Antlerless Elk</t>
        </is>
      </c>
      <c r="F659" s="4" t="n"/>
      <c r="G659" s="4" t="n"/>
      <c r="H659" s="4" t="n"/>
      <c r="I659" s="4" t="inlineStr">
        <is>
          <t>Nov 30-Feb 15</t>
        </is>
      </c>
      <c r="J659" s="4" t="n"/>
      <c r="K659" s="4" t="n"/>
      <c r="L659" s="4" t="inlineStr">
        <is>
          <t>Only valid on private land.</t>
        </is>
      </c>
    </row>
    <row r="660">
      <c r="A660" s="4" t="inlineStr">
        <is>
          <t>705</t>
        </is>
      </c>
      <c r="B660" s="4" t="inlineStr">
        <is>
          <t>elk</t>
        </is>
      </c>
      <c r="C660" s="4" t="inlineStr">
        <is>
          <t>Elk B License: 007-00</t>
        </is>
      </c>
      <c r="D660" s="15" t="inlineStr">
        <is>
          <t>Drawing</t>
        </is>
      </c>
      <c r="E660" s="4" t="inlineStr">
        <is>
          <t>Antlerless Elk</t>
        </is>
      </c>
      <c r="F660" s="4" t="inlineStr">
        <is>
          <t>Sep 05-Oct 18</t>
        </is>
      </c>
      <c r="G660" s="4" t="n"/>
      <c r="H660" s="4" t="n"/>
      <c r="I660" s="4" t="n"/>
      <c r="J660" s="4" t="inlineStr">
        <is>
          <t>Jun 1</t>
        </is>
      </c>
      <c r="K660" s="4" t="inlineStr">
        <is>
          <t>800</t>
        </is>
      </c>
      <c r="L660" s="4" t="inlineStr">
        <is>
          <t>Valid in all Region 7 HDs. Not valid on National Forest lands or CMR Refuge. Valid in all Region 7 HDs. Only valid on private land.</t>
        </is>
      </c>
    </row>
    <row r="661">
      <c r="A661" s="4" t="inlineStr">
        <is>
          <t>705</t>
        </is>
      </c>
      <c r="B661" s="4" t="inlineStr">
        <is>
          <t>elk</t>
        </is>
      </c>
      <c r="C661" s="4" t="inlineStr">
        <is>
          <t>Elk B License: 700-00</t>
        </is>
      </c>
      <c r="D661" s="15" t="inlineStr">
        <is>
          <t>Drawing</t>
        </is>
      </c>
      <c r="E661" s="4" t="inlineStr">
        <is>
          <t>Antlerless Elk</t>
        </is>
      </c>
      <c r="F661" s="4" t="n"/>
      <c r="G661" s="4" t="n"/>
      <c r="H661" s="4" t="n"/>
      <c r="I661" s="4" t="inlineStr">
        <is>
          <t>Nov 30-Feb 15</t>
        </is>
      </c>
      <c r="J661" s="4" t="inlineStr">
        <is>
          <t>Jun 1</t>
        </is>
      </c>
      <c r="K661" s="4" t="inlineStr">
        <is>
          <t>700</t>
        </is>
      </c>
      <c r="L661" s="4" t="inlineStr">
        <is>
          <t>Only valid on private land.</t>
        </is>
      </c>
    </row>
    <row r="662">
      <c r="A662" s="4" t="inlineStr">
        <is>
          <t>705</t>
        </is>
      </c>
      <c r="B662" s="4" t="inlineStr">
        <is>
          <t>elk</t>
        </is>
      </c>
      <c r="C662" s="4" t="inlineStr">
        <is>
          <t>Elk B License: 799-00</t>
        </is>
      </c>
      <c r="D662" s="15" t="inlineStr">
        <is>
          <t>Drawing</t>
        </is>
      </c>
      <c r="E662" s="4" t="inlineStr">
        <is>
          <t>Antlerless Elk</t>
        </is>
      </c>
      <c r="F662" s="4" t="inlineStr">
        <is>
          <t>Sep 05-Oct 18</t>
        </is>
      </c>
      <c r="G662" s="4" t="inlineStr">
        <is>
          <t>Oct 24-Nov 29</t>
        </is>
      </c>
      <c r="H662" s="4" t="inlineStr">
        <is>
          <t>Dec 12-Dec 20</t>
        </is>
      </c>
      <c r="I662" s="4" t="n"/>
      <c r="J662" s="4" t="inlineStr">
        <is>
          <t>Jun 1</t>
        </is>
      </c>
      <c r="K662" s="4" t="inlineStr">
        <is>
          <t>600</t>
        </is>
      </c>
      <c r="L662" s="4" t="inlineStr">
        <is>
          <t>Only valid in HDs 702, 704, and 705. Only valid on private land in HDs 702, 704, and 705.</t>
        </is>
      </c>
    </row>
    <row r="663">
      <c r="A663" s="4" t="inlineStr">
        <is>
          <t>705</t>
        </is>
      </c>
      <c r="B663" s="4" t="inlineStr">
        <is>
          <t>elk</t>
        </is>
      </c>
      <c r="C663" s="4" t="inlineStr">
        <is>
          <t>Elk Permit: 799-20</t>
        </is>
      </c>
      <c r="D663" s="15" t="inlineStr">
        <is>
          <t>Drawing</t>
        </is>
      </c>
      <c r="E663" s="4" t="inlineStr">
        <is>
          <t>Either-sex Elk</t>
        </is>
      </c>
      <c r="F663" s="4" t="inlineStr">
        <is>
          <t>Sep 05-Oct 18</t>
        </is>
      </c>
      <c r="G663" s="4" t="inlineStr">
        <is>
          <t>Oct 24-Nov 29</t>
        </is>
      </c>
      <c r="H663" s="4" t="inlineStr">
        <is>
          <t>Dec 12-Dec 20</t>
        </is>
      </c>
      <c r="I663" s="4" t="n"/>
      <c r="J663" s="4" t="inlineStr">
        <is>
          <t>April 1</t>
        </is>
      </c>
      <c r="K663" s="4" t="inlineStr">
        <is>
          <t>325</t>
        </is>
      </c>
      <c r="L663" s="4" t="inlineStr">
        <is>
          <t>1st and only choice. Only valid in HDs 702, 704, and 705. Permit must be used with a valid General Elk License. Holders may not hunt Antlered Elk in any other HD during these described season dates. Successful Either-sex elk permit 799-20 applicants may be ofered the opportunity to purchase one antl</t>
        </is>
      </c>
    </row>
    <row r="664">
      <c r="A664" s="4" t="inlineStr">
        <is>
          <t>705</t>
        </is>
      </c>
      <c r="B664" s="4" t="inlineStr">
        <is>
          <t>elk</t>
        </is>
      </c>
      <c r="C664" s="4" t="inlineStr">
        <is>
          <t>Elk Permit: 799-21</t>
        </is>
      </c>
      <c r="D664" s="15" t="inlineStr">
        <is>
          <t>Drawing</t>
        </is>
      </c>
      <c r="E664" s="4" t="inlineStr">
        <is>
          <t>Either-sex Elk</t>
        </is>
      </c>
      <c r="F664" s="4" t="inlineStr">
        <is>
          <t>Sep 05-Oct 18</t>
        </is>
      </c>
      <c r="G664" s="4" t="n"/>
      <c r="H664" s="4" t="n"/>
      <c r="I664" s="4" t="n"/>
      <c r="J664" s="4" t="inlineStr">
        <is>
          <t>April 1</t>
        </is>
      </c>
      <c r="K664" s="4" t="inlineStr">
        <is>
          <t>1,000</t>
        </is>
      </c>
      <c r="L664" s="4" t="inlineStr">
        <is>
          <t>1st and only choice. Only valid in HDs 702, 704, and 705. Permit must be used with a valid General Elk License. Holders may not hunt Antlered Elk in any other HD during these described season dates. Successful Either-sex elk permit 799-21 applicants may be ofered the opportunity to purchase one antl</t>
        </is>
      </c>
    </row>
    <row r="665">
      <c r="A665" s="4" t="inlineStr">
        <is>
          <t>100</t>
        </is>
      </c>
      <c r="B665" s="4" t="inlineStr">
        <is>
          <t>mule deer</t>
        </is>
      </c>
      <c r="C665" s="4" t="inlineStr">
        <is>
          <t>General Deer License</t>
        </is>
      </c>
      <c r="D665" s="13" t="inlineStr">
        <is>
          <t>General license</t>
        </is>
      </c>
      <c r="E665" s="4" t="inlineStr">
        <is>
          <t>Antlered Buck Mule Deer</t>
        </is>
      </c>
      <c r="F665" s="4" t="inlineStr">
        <is>
          <t>Sep 05-Oct 18</t>
        </is>
      </c>
      <c r="G665" s="4" t="inlineStr">
        <is>
          <t>Oct 24-Nov 29</t>
        </is>
      </c>
      <c r="H665" s="4" t="inlineStr">
        <is>
          <t>Dec 12-Dec 20</t>
        </is>
      </c>
      <c r="I665" s="4" t="n"/>
      <c r="J665" s="4" t="n"/>
      <c r="K665" s="4" t="n"/>
      <c r="L665" s="4" t="n"/>
    </row>
    <row r="666">
      <c r="A666" s="4" t="inlineStr">
        <is>
          <t>101</t>
        </is>
      </c>
      <c r="B666" s="4" t="inlineStr">
        <is>
          <t>mule deer</t>
        </is>
      </c>
      <c r="C666" s="4" t="inlineStr">
        <is>
          <t>General Deer License</t>
        </is>
      </c>
      <c r="D666" s="13" t="inlineStr">
        <is>
          <t>General license</t>
        </is>
      </c>
      <c r="E666" s="4" t="inlineStr">
        <is>
          <t>Antlered Buck Mule Deer</t>
        </is>
      </c>
      <c r="F666" s="4" t="inlineStr">
        <is>
          <t>Sep 05-Oct 18</t>
        </is>
      </c>
      <c r="G666" s="4" t="inlineStr">
        <is>
          <t>Oct 24-Nov 15</t>
        </is>
      </c>
      <c r="H666" s="4" t="n"/>
      <c r="I666" s="4" t="n"/>
      <c r="J666" s="4" t="n"/>
      <c r="K666" s="4" t="n"/>
      <c r="L666" s="4" t="n"/>
    </row>
    <row r="667">
      <c r="A667" s="4" t="inlineStr">
        <is>
          <t>101</t>
        </is>
      </c>
      <c r="B667" s="4" t="inlineStr">
        <is>
          <t>mule deer</t>
        </is>
      </c>
      <c r="C667" s="4" t="inlineStr">
        <is>
          <t>Deer Permit: 101-50</t>
        </is>
      </c>
      <c r="D667" s="15" t="inlineStr">
        <is>
          <t>Drawing</t>
        </is>
      </c>
      <c r="E667" s="4" t="inlineStr">
        <is>
          <t>Antlered Buck Mule Deer</t>
        </is>
      </c>
      <c r="F667" s="4" t="n"/>
      <c r="G667" s="4" t="inlineStr">
        <is>
          <t>Nov 16-Nov 29</t>
        </is>
      </c>
      <c r="H667" s="4" t="inlineStr">
        <is>
          <t>Dec 12-Dec 20</t>
        </is>
      </c>
      <c r="I667" s="4" t="n"/>
      <c r="J667" s="4" t="inlineStr">
        <is>
          <t>April 1</t>
        </is>
      </c>
      <c r="K667" s="4" t="inlineStr">
        <is>
          <t>15</t>
        </is>
      </c>
      <c r="L667" s="4" t="inlineStr">
        <is>
          <t>Permit must be used with a valid General Deer License. Holders may not hunt antlered buck mule deer in any other HD. 49 2026 Deer • Elk • Antelope Visit fwp.mt.gov LICENSE/PERMIT OPPORTUNITY APPL Y BY DATE QUOTA QUOTA RANGE EARL Y SEASON DATES ARCHERY ONL Y SEASON DATES GENERAL SEASON DATES HERITAGE</t>
        </is>
      </c>
    </row>
    <row r="668">
      <c r="A668" s="4" t="inlineStr">
        <is>
          <t>103</t>
        </is>
      </c>
      <c r="B668" s="4" t="inlineStr">
        <is>
          <t>mule deer</t>
        </is>
      </c>
      <c r="C668" s="4" t="inlineStr">
        <is>
          <t>General Deer License</t>
        </is>
      </c>
      <c r="D668" s="13" t="inlineStr">
        <is>
          <t>General license</t>
        </is>
      </c>
      <c r="E668" s="4" t="inlineStr">
        <is>
          <t>Antlered Buck Mule Deer</t>
        </is>
      </c>
      <c r="F668" s="4" t="inlineStr">
        <is>
          <t>Sep 05-Oct 18</t>
        </is>
      </c>
      <c r="G668" s="4" t="inlineStr">
        <is>
          <t>Oct 24-Nov 29</t>
        </is>
      </c>
      <c r="H668" s="4" t="inlineStr">
        <is>
          <t>Dec 12-Dec 20</t>
        </is>
      </c>
      <c r="I668" s="4" t="n"/>
      <c r="J668" s="4" t="n"/>
      <c r="K668" s="4" t="n"/>
      <c r="L668" s="4" t="inlineStr">
        <is>
          <t>Only valid outside the North Fisher Portion, see legal description.</t>
        </is>
      </c>
    </row>
    <row r="669">
      <c r="A669" s="4" t="inlineStr">
        <is>
          <t>103</t>
        </is>
      </c>
      <c r="B669" s="4" t="inlineStr">
        <is>
          <t>mule deer</t>
        </is>
      </c>
      <c r="C669" s="4" t="inlineStr">
        <is>
          <t>Deer Permit: 103-50</t>
        </is>
      </c>
      <c r="D669" s="15" t="inlineStr">
        <is>
          <t>Drawing</t>
        </is>
      </c>
      <c r="E669" s="4" t="inlineStr">
        <is>
          <t>Antlered Buck Mule Deer</t>
        </is>
      </c>
      <c r="F669" s="4" t="inlineStr">
        <is>
          <t>Sep 05-Oct 18</t>
        </is>
      </c>
      <c r="G669" s="4" t="inlineStr">
        <is>
          <t>Oct 24-Nov 29</t>
        </is>
      </c>
      <c r="H669" s="4" t="inlineStr">
        <is>
          <t>Dec 12-Dec 20</t>
        </is>
      </c>
      <c r="I669" s="4" t="n"/>
      <c r="J669" s="4" t="inlineStr">
        <is>
          <t>April 1</t>
        </is>
      </c>
      <c r="K669" s="4" t="inlineStr">
        <is>
          <t>13</t>
        </is>
      </c>
      <c r="L669" s="4" t="inlineStr">
        <is>
          <t xml:space="preserve">Only valid in the North Fisher Portion, see legal description. Permit must be used with a valid General Deer License. Holders may not hunt Antlered Buck Mule Deer outside the North Fisher Portion of HD 103 or in any other HD. Mandatory CWD sampling within 10 days of harvest. More information on CWD </t>
        </is>
      </c>
    </row>
    <row r="670">
      <c r="A670" s="4" t="inlineStr">
        <is>
          <t>104</t>
        </is>
      </c>
      <c r="B670" s="4" t="inlineStr">
        <is>
          <t>mule deer</t>
        </is>
      </c>
      <c r="C670" s="4" t="inlineStr">
        <is>
          <t>General Deer License</t>
        </is>
      </c>
      <c r="D670" s="13" t="inlineStr">
        <is>
          <t>General license</t>
        </is>
      </c>
      <c r="E670" s="4" t="inlineStr">
        <is>
          <t>Antlered Buck Mule Deer</t>
        </is>
      </c>
      <c r="F670" s="4" t="inlineStr">
        <is>
          <t>Sep 05-Oct 18</t>
        </is>
      </c>
      <c r="G670" s="4" t="inlineStr">
        <is>
          <t>Oct 24-Nov 29</t>
        </is>
      </c>
      <c r="H670" s="4" t="inlineStr">
        <is>
          <t>Dec 12-Dec 20</t>
        </is>
      </c>
      <c r="I670" s="4" t="n"/>
      <c r="J670" s="4" t="n"/>
      <c r="K670" s="4" t="n"/>
      <c r="L670" s="4" t="n"/>
    </row>
    <row r="671">
      <c r="A671" s="4" t="inlineStr">
        <is>
          <t>110</t>
        </is>
      </c>
      <c r="B671" s="4" t="inlineStr">
        <is>
          <t>mule deer</t>
        </is>
      </c>
      <c r="C671" s="4" t="inlineStr">
        <is>
          <t>General Deer License</t>
        </is>
      </c>
      <c r="D671" s="13" t="inlineStr">
        <is>
          <t>General license</t>
        </is>
      </c>
      <c r="E671" s="4" t="inlineStr">
        <is>
          <t>Antlered Buck Mule Deer</t>
        </is>
      </c>
      <c r="F671" s="4" t="inlineStr">
        <is>
          <t>Sep 05-Oct 18</t>
        </is>
      </c>
      <c r="G671" s="4" t="inlineStr">
        <is>
          <t>Oct 24-Nov 29</t>
        </is>
      </c>
      <c r="H671" s="4" t="inlineStr">
        <is>
          <t>Dec 12-Dec 20</t>
        </is>
      </c>
      <c r="I671" s="4" t="n"/>
      <c r="J671" s="4" t="n"/>
      <c r="K671" s="4" t="n"/>
      <c r="L671" s="4" t="n"/>
    </row>
    <row r="672">
      <c r="A672" s="4" t="inlineStr">
        <is>
          <t>120</t>
        </is>
      </c>
      <c r="B672" s="4" t="inlineStr">
        <is>
          <t>mule deer</t>
        </is>
      </c>
      <c r="C672" s="4" t="inlineStr">
        <is>
          <t>General Deer License</t>
        </is>
      </c>
      <c r="D672" s="13" t="inlineStr">
        <is>
          <t>General license</t>
        </is>
      </c>
      <c r="E672" s="4" t="inlineStr">
        <is>
          <t>Antlered Buck Mule Deer</t>
        </is>
      </c>
      <c r="F672" s="4" t="inlineStr">
        <is>
          <t>Sep 05-Oct 18</t>
        </is>
      </c>
      <c r="G672" s="4" t="inlineStr">
        <is>
          <t>Oct 24-Nov 29</t>
        </is>
      </c>
      <c r="H672" s="4" t="inlineStr">
        <is>
          <t>Dec 12-Dec 20</t>
        </is>
      </c>
      <c r="I672" s="4" t="n"/>
      <c r="J672" s="4" t="n"/>
      <c r="K672" s="4" t="n"/>
      <c r="L672" s="4" t="n"/>
    </row>
    <row r="673">
      <c r="A673" s="4" t="inlineStr">
        <is>
          <t>121</t>
        </is>
      </c>
      <c r="B673" s="4" t="inlineStr">
        <is>
          <t>mule deer</t>
        </is>
      </c>
      <c r="C673" s="4" t="inlineStr">
        <is>
          <t>General Deer License</t>
        </is>
      </c>
      <c r="D673" s="13" t="inlineStr">
        <is>
          <t>General license</t>
        </is>
      </c>
      <c r="E673" s="4" t="inlineStr">
        <is>
          <t>Antlered Buck Mule Deer</t>
        </is>
      </c>
      <c r="F673" s="4" t="inlineStr">
        <is>
          <t>Sep 05-Oct 18</t>
        </is>
      </c>
      <c r="G673" s="4" t="inlineStr">
        <is>
          <t>Oct 24-Nov 29</t>
        </is>
      </c>
      <c r="H673" s="4" t="inlineStr">
        <is>
          <t>Dec 12-Dec 20</t>
        </is>
      </c>
      <c r="I673" s="4" t="n"/>
      <c r="J673" s="4" t="n"/>
      <c r="K673" s="4" t="n"/>
      <c r="L673" s="4" t="n"/>
    </row>
    <row r="674">
      <c r="A674" s="4" t="inlineStr">
        <is>
          <t>122</t>
        </is>
      </c>
      <c r="B674" s="4" t="inlineStr">
        <is>
          <t>mule deer</t>
        </is>
      </c>
      <c r="C674" s="4" t="inlineStr">
        <is>
          <t>General Deer License</t>
        </is>
      </c>
      <c r="D674" s="13" t="inlineStr">
        <is>
          <t>General license</t>
        </is>
      </c>
      <c r="E674" s="4" t="inlineStr">
        <is>
          <t>Antlered Buck Mule Deer</t>
        </is>
      </c>
      <c r="F674" s="4" t="inlineStr">
        <is>
          <t>Sep 05-Oct 18</t>
        </is>
      </c>
      <c r="G674" s="4" t="inlineStr">
        <is>
          <t>Oct 24-Nov 29</t>
        </is>
      </c>
      <c r="H674" s="4" t="inlineStr">
        <is>
          <t>Dec 12-Dec 20</t>
        </is>
      </c>
      <c r="I674" s="4" t="n"/>
      <c r="J674" s="4" t="n"/>
      <c r="K674" s="4" t="n"/>
      <c r="L674" s="4" t="n"/>
    </row>
    <row r="675">
      <c r="A675" s="4" t="inlineStr">
        <is>
          <t>123</t>
        </is>
      </c>
      <c r="B675" s="4" t="inlineStr">
        <is>
          <t>mule deer</t>
        </is>
      </c>
      <c r="C675" s="4" t="inlineStr">
        <is>
          <t>General Deer License</t>
        </is>
      </c>
      <c r="D675" s="13" t="inlineStr">
        <is>
          <t>General license</t>
        </is>
      </c>
      <c r="E675" s="4" t="inlineStr">
        <is>
          <t>Antlered Buck Mule Deer</t>
        </is>
      </c>
      <c r="F675" s="4" t="inlineStr">
        <is>
          <t>Sep 05-Oct 18</t>
        </is>
      </c>
      <c r="G675" s="4" t="inlineStr">
        <is>
          <t>Oct 24-Nov 29</t>
        </is>
      </c>
      <c r="H675" s="4" t="inlineStr">
        <is>
          <t>Dec 12-Dec 20</t>
        </is>
      </c>
      <c r="I675" s="4" t="n"/>
      <c r="J675" s="4" t="n"/>
      <c r="K675" s="4" t="n"/>
      <c r="L675" s="4" t="n"/>
    </row>
    <row r="676">
      <c r="A676" s="4" t="inlineStr">
        <is>
          <t>124</t>
        </is>
      </c>
      <c r="B676" s="4" t="inlineStr">
        <is>
          <t>mule deer</t>
        </is>
      </c>
      <c r="C676" s="4" t="inlineStr">
        <is>
          <t>General Deer License</t>
        </is>
      </c>
      <c r="D676" s="13" t="inlineStr">
        <is>
          <t>General license</t>
        </is>
      </c>
      <c r="E676" s="4" t="inlineStr">
        <is>
          <t>Antlered Buck Mule Deer</t>
        </is>
      </c>
      <c r="F676" s="4" t="inlineStr">
        <is>
          <t>Sep 05-Oct 18</t>
        </is>
      </c>
      <c r="G676" s="4" t="inlineStr">
        <is>
          <t>Oct 24-Nov 29</t>
        </is>
      </c>
      <c r="H676" s="4" t="inlineStr">
        <is>
          <t>Dec 12-Dec 20</t>
        </is>
      </c>
      <c r="I676" s="4" t="n"/>
      <c r="J676" s="4" t="n"/>
      <c r="K676" s="4" t="n"/>
      <c r="L676" s="4" t="n"/>
    </row>
    <row r="677">
      <c r="A677" s="4" t="inlineStr">
        <is>
          <t>130</t>
        </is>
      </c>
      <c r="B677" s="4" t="inlineStr">
        <is>
          <t>mule deer</t>
        </is>
      </c>
      <c r="C677" s="4" t="inlineStr">
        <is>
          <t>General Deer License</t>
        </is>
      </c>
      <c r="D677" s="13" t="inlineStr">
        <is>
          <t>General license</t>
        </is>
      </c>
      <c r="E677" s="4" t="inlineStr">
        <is>
          <t>Antlered Buck Mule Deer</t>
        </is>
      </c>
      <c r="F677" s="4" t="inlineStr">
        <is>
          <t>Sep 05-Oct 18</t>
        </is>
      </c>
      <c r="G677" s="4" t="inlineStr">
        <is>
          <t>Oct 24-Nov 29</t>
        </is>
      </c>
      <c r="H677" s="4" t="inlineStr">
        <is>
          <t>Dec 12-Dec 20</t>
        </is>
      </c>
      <c r="I677" s="4" t="n"/>
      <c r="J677" s="4" t="n"/>
      <c r="K677" s="4" t="n"/>
      <c r="L677" s="4" t="n"/>
    </row>
    <row r="678">
      <c r="A678" s="4" t="inlineStr">
        <is>
          <t>130</t>
        </is>
      </c>
      <c r="B678" s="4" t="inlineStr">
        <is>
          <t>mule deer</t>
        </is>
      </c>
      <c r="C678" s="4" t="inlineStr">
        <is>
          <t>Deer Permit: 130-50</t>
        </is>
      </c>
      <c r="D678" s="15" t="inlineStr">
        <is>
          <t>Drawing</t>
        </is>
      </c>
      <c r="E678" s="4" t="inlineStr">
        <is>
          <t>Antlered Buck Mule Deer</t>
        </is>
      </c>
      <c r="F678" s="4" t="inlineStr">
        <is>
          <t>Sep 05-Sep 14</t>
        </is>
      </c>
      <c r="G678" s="4" t="inlineStr">
        <is>
          <t>Sep 15-Nov 29</t>
        </is>
      </c>
      <c r="H678" s="4" t="inlineStr">
        <is>
          <t>Dec 12-Dec 20</t>
        </is>
      </c>
      <c r="I678" s="4" t="n"/>
      <c r="J678" s="4" t="inlineStr">
        <is>
          <t>April 1</t>
        </is>
      </c>
      <c r="K678" s="4" t="inlineStr">
        <is>
          <t>10</t>
        </is>
      </c>
      <c r="L678" s="4" t="inlineStr">
        <is>
          <t>Permit must be used with a valid General Deer License. Holders may not hunt Antlered Buck Mule Deer in any other HD. Only valid in Mission Mtns Wilderness portion of Flathead National Forest.</t>
        </is>
      </c>
    </row>
    <row r="679">
      <c r="A679" s="4" t="inlineStr">
        <is>
          <t>140</t>
        </is>
      </c>
      <c r="B679" s="4" t="inlineStr">
        <is>
          <t>mule deer</t>
        </is>
      </c>
      <c r="C679" s="4" t="inlineStr">
        <is>
          <t>General Deer License</t>
        </is>
      </c>
      <c r="D679" s="13" t="inlineStr">
        <is>
          <t>General license</t>
        </is>
      </c>
      <c r="E679" s="4" t="inlineStr">
        <is>
          <t>Antlered Buck Mule Deer</t>
        </is>
      </c>
      <c r="F679" s="4" t="inlineStr">
        <is>
          <t>Sep 05-Oct 18</t>
        </is>
      </c>
      <c r="G679" s="4" t="inlineStr">
        <is>
          <t>Oct 24-Nov 29</t>
        </is>
      </c>
      <c r="H679" s="4" t="inlineStr">
        <is>
          <t>Dec 12-Dec 20</t>
        </is>
      </c>
      <c r="I679" s="4" t="n"/>
      <c r="J679" s="4" t="n"/>
      <c r="K679" s="4" t="n"/>
      <c r="L679" s="4" t="n"/>
    </row>
    <row r="680">
      <c r="A680" s="4" t="inlineStr">
        <is>
          <t>141</t>
        </is>
      </c>
      <c r="B680" s="4" t="inlineStr">
        <is>
          <t>mule deer</t>
        </is>
      </c>
      <c r="C680" s="4" t="inlineStr">
        <is>
          <t>General Deer License</t>
        </is>
      </c>
      <c r="D680" s="13" t="inlineStr">
        <is>
          <t>General license</t>
        </is>
      </c>
      <c r="E680" s="4" t="inlineStr">
        <is>
          <t>Antlered Buck Mule Deer</t>
        </is>
      </c>
      <c r="F680" s="4" t="inlineStr">
        <is>
          <t>Sep 05-Oct 18</t>
        </is>
      </c>
      <c r="G680" s="4" t="inlineStr">
        <is>
          <t>Oct 24-Nov 29</t>
        </is>
      </c>
      <c r="H680" s="4" t="inlineStr">
        <is>
          <t>Dec 12-Dec 20</t>
        </is>
      </c>
      <c r="I680" s="4" t="n"/>
      <c r="J680" s="4" t="n"/>
      <c r="K680" s="4" t="n"/>
      <c r="L680" s="4" t="n"/>
    </row>
    <row r="681">
      <c r="A681" s="4" t="inlineStr">
        <is>
          <t>150</t>
        </is>
      </c>
      <c r="B681" s="4" t="inlineStr">
        <is>
          <t>mule deer</t>
        </is>
      </c>
      <c r="C681" s="4" t="inlineStr">
        <is>
          <t>General Deer License</t>
        </is>
      </c>
      <c r="D681" s="13" t="inlineStr">
        <is>
          <t>General license</t>
        </is>
      </c>
      <c r="E681" s="4" t="inlineStr">
        <is>
          <t>Antlered Buck Mule Deer</t>
        </is>
      </c>
      <c r="F681" s="4" t="inlineStr">
        <is>
          <t>Sep 05-Sep 14</t>
        </is>
      </c>
      <c r="G681" s="4" t="inlineStr">
        <is>
          <t>Sep 15-Nov 29</t>
        </is>
      </c>
      <c r="H681" s="4" t="inlineStr">
        <is>
          <t>Dec 12-Dec 20</t>
        </is>
      </c>
      <c r="I681" s="4" t="n"/>
      <c r="J681" s="4" t="n"/>
      <c r="K681" s="4" t="n"/>
      <c r="L681" s="4" t="n"/>
    </row>
    <row r="682">
      <c r="A682" s="4" t="inlineStr">
        <is>
          <t>170</t>
        </is>
      </c>
      <c r="B682" s="4" t="inlineStr">
        <is>
          <t>mule deer</t>
        </is>
      </c>
      <c r="C682" s="4" t="inlineStr">
        <is>
          <t>General Deer License</t>
        </is>
      </c>
      <c r="D682" s="13" t="inlineStr">
        <is>
          <t>General license</t>
        </is>
      </c>
      <c r="E682" s="4" t="inlineStr">
        <is>
          <t>Antlered Buck Mule Deer</t>
        </is>
      </c>
      <c r="F682" s="4" t="inlineStr">
        <is>
          <t>Sep 05-Oct 18</t>
        </is>
      </c>
      <c r="G682" s="4" t="inlineStr">
        <is>
          <t>Oct 24-Nov 29</t>
        </is>
      </c>
      <c r="H682" s="4" t="inlineStr">
        <is>
          <t>Dec 12-Dec 20</t>
        </is>
      </c>
      <c r="I682" s="4" t="n"/>
      <c r="J682" s="4" t="n"/>
      <c r="K682" s="4" t="n"/>
      <c r="L682" s="4" t="n"/>
    </row>
    <row r="683">
      <c r="A683" s="4" t="inlineStr">
        <is>
          <t>200</t>
        </is>
      </c>
      <c r="B683" s="4" t="inlineStr">
        <is>
          <t>mule deer</t>
        </is>
      </c>
      <c r="C683" s="4" t="inlineStr">
        <is>
          <t>General Deer License</t>
        </is>
      </c>
      <c r="D683" s="13" t="inlineStr">
        <is>
          <t>General license</t>
        </is>
      </c>
      <c r="E683" s="4" t="inlineStr">
        <is>
          <t>Antlered Buck Mule Deer</t>
        </is>
      </c>
      <c r="F683" s="4" t="inlineStr">
        <is>
          <t>Sep 05-Oct 18</t>
        </is>
      </c>
      <c r="G683" s="4" t="inlineStr">
        <is>
          <t>Oct 24-Nov 29</t>
        </is>
      </c>
      <c r="H683" s="4" t="inlineStr">
        <is>
          <t>Dec 12-Dec 20</t>
        </is>
      </c>
      <c r="I683" s="4" t="n"/>
      <c r="J683" s="4" t="n"/>
      <c r="K683" s="4" t="n"/>
      <c r="L683" s="4" t="n"/>
    </row>
    <row r="684">
      <c r="A684" s="4" t="inlineStr">
        <is>
          <t>201</t>
        </is>
      </c>
      <c r="B684" s="4" t="inlineStr">
        <is>
          <t>mule deer</t>
        </is>
      </c>
      <c r="C684" s="4" t="inlineStr">
        <is>
          <t>General Deer License</t>
        </is>
      </c>
      <c r="D684" s="13" t="inlineStr">
        <is>
          <t>General license</t>
        </is>
      </c>
      <c r="E684" s="4" t="inlineStr">
        <is>
          <t>Antlered Buck Mule Deer</t>
        </is>
      </c>
      <c r="F684" s="4" t="inlineStr">
        <is>
          <t>Sep 05-Oct 18</t>
        </is>
      </c>
      <c r="G684" s="4" t="inlineStr">
        <is>
          <t>Oct 24-Nov 29</t>
        </is>
      </c>
      <c r="H684" s="4" t="inlineStr">
        <is>
          <t>Dec 12-Dec 20</t>
        </is>
      </c>
      <c r="I684" s="4" t="n"/>
      <c r="J684" s="4" t="n"/>
      <c r="K684" s="4" t="n"/>
      <c r="L684" s="4" t="n"/>
    </row>
    <row r="685">
      <c r="A685" s="4" t="inlineStr">
        <is>
          <t>202</t>
        </is>
      </c>
      <c r="B685" s="4" t="inlineStr">
        <is>
          <t>mule deer</t>
        </is>
      </c>
      <c r="C685" s="4" t="inlineStr">
        <is>
          <t>Deer Permit: 202-50</t>
        </is>
      </c>
      <c r="D685" s="15" t="inlineStr">
        <is>
          <t>Drawing</t>
        </is>
      </c>
      <c r="E685" s="4" t="inlineStr">
        <is>
          <t>Antlered Buck Mule Deer</t>
        </is>
      </c>
      <c r="F685" s="4" t="inlineStr">
        <is>
          <t>Sep 05-Oct 18</t>
        </is>
      </c>
      <c r="G685" s="4" t="inlineStr">
        <is>
          <t>Oct 24-Nov 29</t>
        </is>
      </c>
      <c r="H685" s="4" t="inlineStr">
        <is>
          <t>Dec 12-Dec 20</t>
        </is>
      </c>
      <c r="I685" s="4" t="n"/>
      <c r="J685" s="4" t="inlineStr">
        <is>
          <t>April 1</t>
        </is>
      </c>
      <c r="K685" s="4" t="inlineStr">
        <is>
          <t>150</t>
        </is>
      </c>
      <c r="L685" s="4" t="inlineStr">
        <is>
          <t>Permit must be used with a valid General Deer License. Holders may not hunt Antlered Buck Mule Deer in any other HD.</t>
        </is>
      </c>
    </row>
    <row r="686">
      <c r="A686" s="4" t="inlineStr">
        <is>
          <t>204</t>
        </is>
      </c>
      <c r="B686" s="4" t="inlineStr">
        <is>
          <t>mule deer</t>
        </is>
      </c>
      <c r="C686" s="4" t="inlineStr">
        <is>
          <t>General Deer License</t>
        </is>
      </c>
      <c r="D686" s="13" t="inlineStr">
        <is>
          <t>General license</t>
        </is>
      </c>
      <c r="E686" s="4" t="inlineStr">
        <is>
          <t>Antlered Buck Mule Deer</t>
        </is>
      </c>
      <c r="F686" s="4" t="inlineStr">
        <is>
          <t>Sep 05-Oct 18</t>
        </is>
      </c>
      <c r="G686" s="4" t="inlineStr">
        <is>
          <t>Oct 24-Nov 15</t>
        </is>
      </c>
      <c r="H686" s="4" t="n"/>
      <c r="I686" s="4" t="n"/>
      <c r="J686" s="4" t="n"/>
      <c r="K686" s="4" t="n"/>
      <c r="L686" s="4" t="n"/>
    </row>
    <row r="687">
      <c r="A687" s="4" t="inlineStr">
        <is>
          <t>204</t>
        </is>
      </c>
      <c r="B687" s="4" t="inlineStr">
        <is>
          <t>mule deer</t>
        </is>
      </c>
      <c r="C687" s="4" t="inlineStr">
        <is>
          <t>Deer B License: 204-00</t>
        </is>
      </c>
      <c r="D687" s="15" t="inlineStr">
        <is>
          <t>Drawing</t>
        </is>
      </c>
      <c r="E687" s="4" t="inlineStr">
        <is>
          <t>Antlerless Mule Deer</t>
        </is>
      </c>
      <c r="F687" s="4" t="inlineStr">
        <is>
          <t>Sep 05-Oct 18</t>
        </is>
      </c>
      <c r="G687" s="4" t="inlineStr">
        <is>
          <t>Oct 24-Nov 29</t>
        </is>
      </c>
      <c r="H687" s="4" t="inlineStr">
        <is>
          <t>Dec 12-Dec 20</t>
        </is>
      </c>
      <c r="I687" s="4" t="n"/>
      <c r="J687" s="4" t="inlineStr">
        <is>
          <t>Jun 1</t>
        </is>
      </c>
      <c r="K687" s="4" t="inlineStr">
        <is>
          <t>25</t>
        </is>
      </c>
      <c r="L687" s="4" t="inlineStr">
        <is>
          <t>Only valid on private land.</t>
        </is>
      </c>
    </row>
    <row r="688">
      <c r="A688" s="4" t="inlineStr">
        <is>
          <t>210</t>
        </is>
      </c>
      <c r="B688" s="4" t="inlineStr">
        <is>
          <t>mule deer</t>
        </is>
      </c>
      <c r="C688" s="4" t="inlineStr">
        <is>
          <t>General Deer License</t>
        </is>
      </c>
      <c r="D688" s="13" t="inlineStr">
        <is>
          <t>General license</t>
        </is>
      </c>
      <c r="E688" s="4" t="inlineStr">
        <is>
          <t>Antlerless Mule Deer</t>
        </is>
      </c>
      <c r="F688" s="4" t="inlineStr">
        <is>
          <t>Sep 05-Oct 18</t>
        </is>
      </c>
      <c r="G688" s="4" t="inlineStr">
        <is>
          <t>Oct 24-Nov 29</t>
        </is>
      </c>
      <c r="H688" s="4" t="inlineStr">
        <is>
          <t>Dec 12-Dec 20</t>
        </is>
      </c>
      <c r="I688" s="4" t="n"/>
      <c r="J688" s="4" t="n"/>
      <c r="K688" s="4" t="n"/>
      <c r="L688" s="4" t="inlineStr">
        <is>
          <t>Only valid outside National Forest boundary and NOT valid on FWP WMAs or BLM lands. Only youth ages 10-15.</t>
        </is>
      </c>
    </row>
    <row r="689">
      <c r="A689" s="4" t="inlineStr">
        <is>
          <t>210</t>
        </is>
      </c>
      <c r="B689" s="4" t="inlineStr">
        <is>
          <t>mule deer</t>
        </is>
      </c>
      <c r="C689" s="4" t="inlineStr">
        <is>
          <t>Deer B License: 210-01</t>
        </is>
      </c>
      <c r="D689" s="15" t="inlineStr">
        <is>
          <t>Drawing</t>
        </is>
      </c>
      <c r="E689" s="4" t="inlineStr">
        <is>
          <t>Antlerless Mule Deer</t>
        </is>
      </c>
      <c r="F689" s="4" t="inlineStr">
        <is>
          <t>Sep 05-Oct 18</t>
        </is>
      </c>
      <c r="G689" s="4" t="inlineStr">
        <is>
          <t>Oct 24-Nov 29</t>
        </is>
      </c>
      <c r="H689" s="4" t="inlineStr">
        <is>
          <t>Dec 12-Dec 20</t>
        </is>
      </c>
      <c r="I689" s="4" t="n"/>
      <c r="J689" s="4" t="inlineStr">
        <is>
          <t>Jun 1</t>
        </is>
      </c>
      <c r="K689" s="4" t="inlineStr">
        <is>
          <t>55</t>
        </is>
      </c>
      <c r="L689" s="4" t="inlineStr">
        <is>
          <t>Only valid on private land.</t>
        </is>
      </c>
    </row>
    <row r="690">
      <c r="A690" s="4" t="inlineStr">
        <is>
          <t>210</t>
        </is>
      </c>
      <c r="B690" s="4" t="inlineStr">
        <is>
          <t>mule deer</t>
        </is>
      </c>
      <c r="C690" s="4" t="inlineStr">
        <is>
          <t>Deer Permit: 210-50</t>
        </is>
      </c>
      <c r="D690" s="15" t="inlineStr">
        <is>
          <t>Drawing</t>
        </is>
      </c>
      <c r="E690" s="4" t="inlineStr">
        <is>
          <t>Antlered Buck Mule Deer</t>
        </is>
      </c>
      <c r="F690" s="4" t="inlineStr">
        <is>
          <t>Sep 05-Oct 18</t>
        </is>
      </c>
      <c r="G690" s="4" t="inlineStr">
        <is>
          <t>Oct 24-Nov 29</t>
        </is>
      </c>
      <c r="H690" s="4" t="inlineStr">
        <is>
          <t>Dec 12-Dec 20</t>
        </is>
      </c>
      <c r="I690" s="4" t="n"/>
      <c r="J690" s="4" t="inlineStr">
        <is>
          <t>April 1</t>
        </is>
      </c>
      <c r="K690" s="4" t="inlineStr">
        <is>
          <t>50</t>
        </is>
      </c>
      <c r="L690" s="4" t="inlineStr">
        <is>
          <t>Permit must be used with a valid General Deer License. Holders may not hunt Antlered Buck Mule Deer in any other HD. 57 2026 Deer • Elk • Antelope Visit fwp.mt.gov LICENSE/PERMIT OPPORTUNITY APPL Y BY DATE QUOTA QUOTA RANGE EARL Y SEASON DATES ARCHERY ONL Y SEASON DATES GENERAL SEASON DATES HERITAGE</t>
        </is>
      </c>
    </row>
    <row r="691">
      <c r="A691" s="4" t="inlineStr">
        <is>
          <t>211</t>
        </is>
      </c>
      <c r="B691" s="4" t="inlineStr">
        <is>
          <t>mule deer</t>
        </is>
      </c>
      <c r="C691" s="4" t="inlineStr">
        <is>
          <t>General Deer License</t>
        </is>
      </c>
      <c r="D691" s="13" t="inlineStr">
        <is>
          <t>General license</t>
        </is>
      </c>
      <c r="E691" s="4" t="inlineStr">
        <is>
          <t>Antlered Buck Mule Deer</t>
        </is>
      </c>
      <c r="F691" s="4" t="inlineStr">
        <is>
          <t>Sep 05-Oct 18</t>
        </is>
      </c>
      <c r="G691" s="4" t="inlineStr">
        <is>
          <t>Oct 24-Nov 29</t>
        </is>
      </c>
      <c r="H691" s="4" t="inlineStr">
        <is>
          <t>Dec 12-Dec 20</t>
        </is>
      </c>
      <c r="I691" s="4" t="n"/>
      <c r="J691" s="4" t="n"/>
      <c r="K691" s="4" t="n"/>
      <c r="L691" s="4" t="n"/>
    </row>
    <row r="692">
      <c r="A692" s="4" t="inlineStr">
        <is>
          <t>212</t>
        </is>
      </c>
      <c r="B692" s="4" t="inlineStr">
        <is>
          <t>mule deer</t>
        </is>
      </c>
      <c r="C692" s="4" t="inlineStr">
        <is>
          <t>General Deer License</t>
        </is>
      </c>
      <c r="D692" s="13" t="inlineStr">
        <is>
          <t>General license</t>
        </is>
      </c>
      <c r="E692" s="4" t="inlineStr">
        <is>
          <t>Antlerless Mule Deer</t>
        </is>
      </c>
      <c r="F692" s="4" t="inlineStr">
        <is>
          <t>Sep 05-Oct 18</t>
        </is>
      </c>
      <c r="G692" s="4" t="inlineStr">
        <is>
          <t>Oct 24-Nov 29</t>
        </is>
      </c>
      <c r="H692" s="4" t="inlineStr">
        <is>
          <t>Dec 12-Dec 20</t>
        </is>
      </c>
      <c r="I692" s="4" t="n"/>
      <c r="J692" s="4" t="n"/>
      <c r="K692" s="4" t="n"/>
      <c r="L692" s="4" t="inlineStr">
        <is>
          <t>Only valid outside National Forest boundary and NOT valid on FWP WMAs or BLM lands. Only youth ages 10-15.</t>
        </is>
      </c>
    </row>
    <row r="693">
      <c r="A693" s="4" t="inlineStr">
        <is>
          <t>212</t>
        </is>
      </c>
      <c r="B693" s="4" t="inlineStr">
        <is>
          <t>mule deer</t>
        </is>
      </c>
      <c r="C693" s="4" t="inlineStr">
        <is>
          <t>General Deer License</t>
        </is>
      </c>
      <c r="D693" s="13" t="inlineStr">
        <is>
          <t>General license</t>
        </is>
      </c>
      <c r="E693" s="4" t="inlineStr">
        <is>
          <t>Antlered Buck Mule Deer</t>
        </is>
      </c>
      <c r="F693" s="4" t="inlineStr">
        <is>
          <t>Sep 05-Oct 18</t>
        </is>
      </c>
      <c r="G693" s="4" t="inlineStr">
        <is>
          <t>Oct 24-Nov 15</t>
        </is>
      </c>
      <c r="H693" s="4" t="n"/>
      <c r="I693" s="4" t="n"/>
      <c r="J693" s="4" t="n"/>
      <c r="K693" s="4" t="n"/>
      <c r="L693" s="4" t="n"/>
    </row>
    <row r="694">
      <c r="A694" s="4" t="inlineStr">
        <is>
          <t>212</t>
        </is>
      </c>
      <c r="B694" s="4" t="inlineStr">
        <is>
          <t>mule deer</t>
        </is>
      </c>
      <c r="C694" s="4" t="inlineStr">
        <is>
          <t>Deer B License: 212-00</t>
        </is>
      </c>
      <c r="D694" s="15" t="inlineStr">
        <is>
          <t>Drawing</t>
        </is>
      </c>
      <c r="E694" s="4" t="inlineStr">
        <is>
          <t>Antlerless Mule Deer</t>
        </is>
      </c>
      <c r="F694" s="4" t="inlineStr">
        <is>
          <t>Sep 05-Oct 18</t>
        </is>
      </c>
      <c r="G694" s="4" t="inlineStr">
        <is>
          <t>Oct 24-Nov 29</t>
        </is>
      </c>
      <c r="H694" s="4" t="inlineStr">
        <is>
          <t>Dec 12-Dec 20</t>
        </is>
      </c>
      <c r="I694" s="4" t="n"/>
      <c r="J694" s="4" t="inlineStr">
        <is>
          <t>Jun 1</t>
        </is>
      </c>
      <c r="K694" s="4" t="inlineStr">
        <is>
          <t>40</t>
        </is>
      </c>
      <c r="L694" s="4" t="inlineStr">
        <is>
          <t>Only valid on private land.</t>
        </is>
      </c>
    </row>
    <row r="695">
      <c r="A695" s="4" t="inlineStr">
        <is>
          <t>213</t>
        </is>
      </c>
      <c r="B695" s="4" t="inlineStr">
        <is>
          <t>mule deer</t>
        </is>
      </c>
      <c r="C695" s="4" t="inlineStr">
        <is>
          <t>General Deer License</t>
        </is>
      </c>
      <c r="D695" s="13" t="inlineStr">
        <is>
          <t>General license</t>
        </is>
      </c>
      <c r="E695" s="4" t="inlineStr">
        <is>
          <t>Antlerless Mule Deer</t>
        </is>
      </c>
      <c r="F695" s="4" t="inlineStr">
        <is>
          <t>Sep 05-Oct 18</t>
        </is>
      </c>
      <c r="G695" s="4" t="inlineStr">
        <is>
          <t>Oct 24-Nov 29</t>
        </is>
      </c>
      <c r="H695" s="4" t="inlineStr">
        <is>
          <t>Dec 12-Dec 20</t>
        </is>
      </c>
      <c r="I695" s="4" t="n"/>
      <c r="J695" s="4" t="n"/>
      <c r="K695" s="4" t="n"/>
      <c r="L695" s="4" t="inlineStr">
        <is>
          <t>Only valid outside National Forest boundary and NOT valid on FWP WMAs or BLM lands. Only youth ages 10-15.</t>
        </is>
      </c>
    </row>
    <row r="696">
      <c r="A696" s="4" t="inlineStr">
        <is>
          <t>213</t>
        </is>
      </c>
      <c r="B696" s="4" t="inlineStr">
        <is>
          <t>mule deer</t>
        </is>
      </c>
      <c r="C696" s="4" t="inlineStr">
        <is>
          <t>General Deer License</t>
        </is>
      </c>
      <c r="D696" s="13" t="inlineStr">
        <is>
          <t>General license</t>
        </is>
      </c>
      <c r="E696" s="4" t="inlineStr">
        <is>
          <t>Antlered Buck Mule Deer</t>
        </is>
      </c>
      <c r="F696" s="4" t="inlineStr">
        <is>
          <t>Sep 05-Oct 18</t>
        </is>
      </c>
      <c r="G696" s="4" t="inlineStr">
        <is>
          <t>Oct 24-Nov 15</t>
        </is>
      </c>
      <c r="H696" s="4" t="n"/>
      <c r="I696" s="4" t="n"/>
      <c r="J696" s="4" t="n"/>
      <c r="K696" s="4" t="n"/>
      <c r="L696" s="4" t="n"/>
    </row>
    <row r="697">
      <c r="A697" s="4" t="inlineStr">
        <is>
          <t>213</t>
        </is>
      </c>
      <c r="B697" s="4" t="inlineStr">
        <is>
          <t>mule deer</t>
        </is>
      </c>
      <c r="C697" s="4" t="inlineStr">
        <is>
          <t>Deer B License: 213-00</t>
        </is>
      </c>
      <c r="D697" s="15" t="inlineStr">
        <is>
          <t>Drawing</t>
        </is>
      </c>
      <c r="E697" s="4" t="inlineStr">
        <is>
          <t>Antlerless Mule Deer</t>
        </is>
      </c>
      <c r="F697" s="4" t="inlineStr">
        <is>
          <t>Sep 05-Oct 18</t>
        </is>
      </c>
      <c r="G697" s="4" t="inlineStr">
        <is>
          <t>Oct 24-Nov 29</t>
        </is>
      </c>
      <c r="H697" s="4" t="inlineStr">
        <is>
          <t>Dec 12-Dec 20</t>
        </is>
      </c>
      <c r="I697" s="4" t="n"/>
      <c r="J697" s="4" t="inlineStr">
        <is>
          <t>Jun 1</t>
        </is>
      </c>
      <c r="K697" s="4" t="inlineStr">
        <is>
          <t>75</t>
        </is>
      </c>
      <c r="L697" s="4" t="inlineStr">
        <is>
          <t>Only valid outside National Forest boundary and NOT valid on FWP WMAs or BLM lands.</t>
        </is>
      </c>
    </row>
    <row r="698">
      <c r="A698" s="4" t="inlineStr">
        <is>
          <t>214</t>
        </is>
      </c>
      <c r="B698" s="4" t="inlineStr">
        <is>
          <t>mule deer</t>
        </is>
      </c>
      <c r="C698" s="4" t="inlineStr">
        <is>
          <t>General Deer License</t>
        </is>
      </c>
      <c r="D698" s="13" t="inlineStr">
        <is>
          <t>General license</t>
        </is>
      </c>
      <c r="E698" s="4" t="inlineStr">
        <is>
          <t>Antlerless Mule Deer</t>
        </is>
      </c>
      <c r="F698" s="4" t="inlineStr">
        <is>
          <t>Sep 05-Oct 18</t>
        </is>
      </c>
      <c r="G698" s="4" t="inlineStr">
        <is>
          <t>Oct 24-Nov 29</t>
        </is>
      </c>
      <c r="H698" s="4" t="inlineStr">
        <is>
          <t>Dec 12-Dec 20</t>
        </is>
      </c>
      <c r="I698" s="4" t="n"/>
      <c r="J698" s="4" t="n"/>
      <c r="K698" s="4" t="n"/>
      <c r="L698" s="4" t="inlineStr">
        <is>
          <t>Only valid outside National Forest boundary and NOT valid on FWP WMAs or BLM lands. Only youth ages 10-15.</t>
        </is>
      </c>
    </row>
    <row r="699">
      <c r="A699" s="4" t="inlineStr">
        <is>
          <t>214</t>
        </is>
      </c>
      <c r="B699" s="4" t="inlineStr">
        <is>
          <t>mule deer</t>
        </is>
      </c>
      <c r="C699" s="4" t="inlineStr">
        <is>
          <t>General Deer License</t>
        </is>
      </c>
      <c r="D699" s="13" t="inlineStr">
        <is>
          <t>General license</t>
        </is>
      </c>
      <c r="E699" s="4" t="inlineStr">
        <is>
          <t>Antlered Buck Mule Deer</t>
        </is>
      </c>
      <c r="F699" s="4" t="inlineStr">
        <is>
          <t>Sep 05-Oct 18</t>
        </is>
      </c>
      <c r="G699" s="4" t="inlineStr">
        <is>
          <t>Oct 24-Nov 15</t>
        </is>
      </c>
      <c r="H699" s="4" t="n"/>
      <c r="I699" s="4" t="n"/>
      <c r="J699" s="4" t="n"/>
      <c r="K699" s="4" t="n"/>
      <c r="L699" s="4" t="n"/>
    </row>
    <row r="700">
      <c r="A700" s="4" t="inlineStr">
        <is>
          <t>215</t>
        </is>
      </c>
      <c r="B700" s="4" t="inlineStr">
        <is>
          <t>mule deer</t>
        </is>
      </c>
      <c r="C700" s="4" t="inlineStr">
        <is>
          <t>General Deer License</t>
        </is>
      </c>
      <c r="D700" s="13" t="inlineStr">
        <is>
          <t>General license</t>
        </is>
      </c>
      <c r="E700" s="4" t="inlineStr">
        <is>
          <t>Antlerless Mule Deer</t>
        </is>
      </c>
      <c r="F700" s="4" t="inlineStr">
        <is>
          <t>Sep 05-Oct 18</t>
        </is>
      </c>
      <c r="G700" s="4" t="inlineStr">
        <is>
          <t>Oct 24-Nov 29</t>
        </is>
      </c>
      <c r="H700" s="4" t="inlineStr">
        <is>
          <t>Dec 12-Dec 20</t>
        </is>
      </c>
      <c r="I700" s="4" t="n"/>
      <c r="J700" s="4" t="n"/>
      <c r="K700" s="4" t="n"/>
      <c r="L700" s="4" t="inlineStr">
        <is>
          <t>Only valid outside National Forest boundary and NOT valid on FWP WMAs or BLM lands. Only youth ages 10-15.</t>
        </is>
      </c>
    </row>
    <row r="701">
      <c r="A701" s="4" t="inlineStr">
        <is>
          <t>215</t>
        </is>
      </c>
      <c r="B701" s="4" t="inlineStr">
        <is>
          <t>mule deer</t>
        </is>
      </c>
      <c r="C701" s="4" t="inlineStr">
        <is>
          <t>General Deer License</t>
        </is>
      </c>
      <c r="D701" s="13" t="inlineStr">
        <is>
          <t>General license</t>
        </is>
      </c>
      <c r="E701" s="4" t="inlineStr">
        <is>
          <t>Antlered Buck Mule Deer</t>
        </is>
      </c>
      <c r="F701" s="4" t="inlineStr">
        <is>
          <t>Sep 05-Oct 18</t>
        </is>
      </c>
      <c r="G701" s="4" t="inlineStr">
        <is>
          <t>Oct 24-Nov 15</t>
        </is>
      </c>
      <c r="H701" s="4" t="n"/>
      <c r="I701" s="4" t="n"/>
      <c r="J701" s="4" t="n"/>
      <c r="K701" s="4" t="n"/>
      <c r="L701" s="4" t="n"/>
    </row>
    <row r="702">
      <c r="A702" s="4" t="inlineStr">
        <is>
          <t>215</t>
        </is>
      </c>
      <c r="B702" s="4" t="inlineStr">
        <is>
          <t>mule deer</t>
        </is>
      </c>
      <c r="C702" s="4" t="inlineStr">
        <is>
          <t>Deer B License: 215-00</t>
        </is>
      </c>
      <c r="D702" s="15" t="inlineStr">
        <is>
          <t>Drawing</t>
        </is>
      </c>
      <c r="E702" s="4" t="inlineStr">
        <is>
          <t>Antlerless Mule Deer</t>
        </is>
      </c>
      <c r="F702" s="4" t="inlineStr">
        <is>
          <t>Sep 05-Oct 18</t>
        </is>
      </c>
      <c r="G702" s="4" t="inlineStr">
        <is>
          <t>Oct 24-Nov 29</t>
        </is>
      </c>
      <c r="H702" s="4" t="inlineStr">
        <is>
          <t>Dec 12-Dec 20</t>
        </is>
      </c>
      <c r="I702" s="4" t="n"/>
      <c r="J702" s="4" t="inlineStr">
        <is>
          <t>Jun 1</t>
        </is>
      </c>
      <c r="K702" s="4" t="inlineStr">
        <is>
          <t>75</t>
        </is>
      </c>
      <c r="L702" s="4" t="inlineStr">
        <is>
          <t>Only valid outside the National Forest Boundary and Not valid on FWP WMAs.</t>
        </is>
      </c>
    </row>
    <row r="703">
      <c r="A703" s="4" t="inlineStr">
        <is>
          <t>216</t>
        </is>
      </c>
      <c r="B703" s="4" t="inlineStr">
        <is>
          <t>mule deer</t>
        </is>
      </c>
      <c r="C703" s="4" t="inlineStr">
        <is>
          <t>General Deer License</t>
        </is>
      </c>
      <c r="D703" s="13" t="inlineStr">
        <is>
          <t>General license</t>
        </is>
      </c>
      <c r="E703" s="4" t="inlineStr">
        <is>
          <t>Antlered Buck Mule Deer</t>
        </is>
      </c>
      <c r="F703" s="4" t="inlineStr">
        <is>
          <t>Sep 05-Oct 18</t>
        </is>
      </c>
      <c r="G703" s="4" t="inlineStr">
        <is>
          <t>Oct 24-Nov 29</t>
        </is>
      </c>
      <c r="H703" s="4" t="inlineStr">
        <is>
          <t>Dec 12-Dec 20</t>
        </is>
      </c>
      <c r="I703" s="4" t="n"/>
      <c r="J703" s="4" t="n"/>
      <c r="K703" s="4" t="n"/>
      <c r="L703" s="4" t="n"/>
    </row>
    <row r="704">
      <c r="A704" s="4" t="inlineStr">
        <is>
          <t>217</t>
        </is>
      </c>
      <c r="B704" s="4" t="inlineStr">
        <is>
          <t>mule deer</t>
        </is>
      </c>
      <c r="C704" s="4" t="inlineStr">
        <is>
          <t>General Deer License</t>
        </is>
      </c>
      <c r="D704" s="13" t="inlineStr">
        <is>
          <t>General license</t>
        </is>
      </c>
      <c r="E704" s="4" t="inlineStr">
        <is>
          <t>Antlerless Mule Deer</t>
        </is>
      </c>
      <c r="F704" s="4" t="inlineStr">
        <is>
          <t>Sep 05-Oct 18</t>
        </is>
      </c>
      <c r="G704" s="4" t="inlineStr">
        <is>
          <t>Oct 24-Nov 29</t>
        </is>
      </c>
      <c r="H704" s="4" t="inlineStr">
        <is>
          <t>Dec 12-Dec 20</t>
        </is>
      </c>
      <c r="I704" s="4" t="n"/>
      <c r="J704" s="4" t="n"/>
      <c r="K704" s="4" t="n"/>
      <c r="L704" s="4" t="inlineStr">
        <is>
          <t>Only valid outside National Forest boundary. NOT valid on BLM lands. Only youth ages 10-15.</t>
        </is>
      </c>
    </row>
    <row r="705">
      <c r="A705" s="4" t="inlineStr">
        <is>
          <t>217</t>
        </is>
      </c>
      <c r="B705" s="4" t="inlineStr">
        <is>
          <t>mule deer</t>
        </is>
      </c>
      <c r="C705" s="4" t="inlineStr">
        <is>
          <t>General Deer License</t>
        </is>
      </c>
      <c r="D705" s="13" t="inlineStr">
        <is>
          <t>General license</t>
        </is>
      </c>
      <c r="E705" s="4" t="inlineStr">
        <is>
          <t>Antlered Buck Mule Deer</t>
        </is>
      </c>
      <c r="F705" s="4" t="inlineStr">
        <is>
          <t>Sep 05-Oct 18</t>
        </is>
      </c>
      <c r="G705" s="4" t="inlineStr">
        <is>
          <t>Oct 24-Nov 15</t>
        </is>
      </c>
      <c r="H705" s="4" t="n"/>
      <c r="I705" s="4" t="n"/>
      <c r="J705" s="4" t="n"/>
      <c r="K705" s="4" t="n"/>
      <c r="L705" s="4" t="n"/>
    </row>
    <row r="706">
      <c r="A706" s="4" t="inlineStr">
        <is>
          <t>217</t>
        </is>
      </c>
      <c r="B706" s="4" t="inlineStr">
        <is>
          <t>mule deer</t>
        </is>
      </c>
      <c r="C706" s="4" t="inlineStr">
        <is>
          <t>Deer B License: 217-00</t>
        </is>
      </c>
      <c r="D706" s="15" t="inlineStr">
        <is>
          <t>Drawing</t>
        </is>
      </c>
      <c r="E706" s="4" t="inlineStr">
        <is>
          <t>Antlerless Mule Deer</t>
        </is>
      </c>
      <c r="F706" s="4" t="inlineStr">
        <is>
          <t>Sep 05-Oct 18</t>
        </is>
      </c>
      <c r="G706" s="4" t="inlineStr">
        <is>
          <t>Oct 24-Nov 29</t>
        </is>
      </c>
      <c r="H706" s="4" t="inlineStr">
        <is>
          <t>Dec 12-Dec 20</t>
        </is>
      </c>
      <c r="I706" s="4" t="n"/>
      <c r="J706" s="4" t="inlineStr">
        <is>
          <t>Jun 1</t>
        </is>
      </c>
      <c r="K706" s="4" t="inlineStr">
        <is>
          <t>65</t>
        </is>
      </c>
      <c r="L706" s="4" t="inlineStr">
        <is>
          <t>Only valid on private land.</t>
        </is>
      </c>
    </row>
    <row r="707">
      <c r="A707" s="4" t="inlineStr">
        <is>
          <t>240</t>
        </is>
      </c>
      <c r="B707" s="4" t="inlineStr">
        <is>
          <t>mule deer</t>
        </is>
      </c>
      <c r="C707" s="4" t="inlineStr">
        <is>
          <t>General Deer License</t>
        </is>
      </c>
      <c r="D707" s="13" t="inlineStr">
        <is>
          <t>General license</t>
        </is>
      </c>
      <c r="E707" s="4" t="inlineStr">
        <is>
          <t>Antlered Buck Mule Deer</t>
        </is>
      </c>
      <c r="F707" s="4" t="inlineStr">
        <is>
          <t>Sep 05-Oct 18</t>
        </is>
      </c>
      <c r="G707" s="4" t="inlineStr">
        <is>
          <t>Oct 24-Nov 15</t>
        </is>
      </c>
      <c r="H707" s="4" t="n"/>
      <c r="I707" s="4" t="n"/>
      <c r="J707" s="4" t="n"/>
      <c r="K707" s="4" t="n"/>
      <c r="L707" s="4" t="n"/>
    </row>
    <row r="708">
      <c r="A708" s="4" t="inlineStr">
        <is>
          <t>240</t>
        </is>
      </c>
      <c r="B708" s="4" t="inlineStr">
        <is>
          <t>mule deer</t>
        </is>
      </c>
      <c r="C708" s="4" t="inlineStr">
        <is>
          <t>Deer Permit: 240-50</t>
        </is>
      </c>
      <c r="D708" s="15" t="inlineStr">
        <is>
          <t>Drawing</t>
        </is>
      </c>
      <c r="E708" s="4" t="inlineStr">
        <is>
          <t>Antlered Buck Mule Deer</t>
        </is>
      </c>
      <c r="F708" s="4" t="n"/>
      <c r="G708" s="4" t="inlineStr">
        <is>
          <t>Oct 01-Nov 29</t>
        </is>
      </c>
      <c r="H708" s="4" t="inlineStr">
        <is>
          <t>Dec 12-Dec 20</t>
        </is>
      </c>
      <c r="I708" s="4" t="n"/>
      <c r="J708" s="4" t="inlineStr">
        <is>
          <t>April 1</t>
        </is>
      </c>
      <c r="K708" s="4" t="inlineStr">
        <is>
          <t>25</t>
        </is>
      </c>
      <c r="L708" s="4" t="inlineStr">
        <is>
          <t>Only valid inside wilderness boundary. Permit must be used with a valid General Deer License. Holders may not hunt Antlered Buck Mule Deer in any other HD. 63 2026 Deer • Elk • Antelope Visit fwp.mt.gov LICENSE/PERMIT OPPORTUNITY APPL Y BY DATE QUOTA QUOTA RANGE EARL Y SEASON DATES ARCHERY ONL Y SEA</t>
        </is>
      </c>
    </row>
    <row r="709">
      <c r="A709" s="4" t="inlineStr">
        <is>
          <t>250</t>
        </is>
      </c>
      <c r="B709" s="4" t="inlineStr">
        <is>
          <t>mule deer</t>
        </is>
      </c>
      <c r="C709" s="4" t="inlineStr">
        <is>
          <t>Deer Permit: 250-50</t>
        </is>
      </c>
      <c r="D709" s="15" t="inlineStr">
        <is>
          <t>Drawing</t>
        </is>
      </c>
      <c r="E709" s="4" t="inlineStr">
        <is>
          <t>Antlered Buck Mule Deer</t>
        </is>
      </c>
      <c r="F709" s="4" t="inlineStr">
        <is>
          <t>Sep 05-Oct 18</t>
        </is>
      </c>
      <c r="G709" s="4" t="inlineStr">
        <is>
          <t>Oct 24-Nov 29</t>
        </is>
      </c>
      <c r="H709" s="4" t="inlineStr">
        <is>
          <t>Dec 12-Dec 20</t>
        </is>
      </c>
      <c r="I709" s="4" t="n"/>
      <c r="J709" s="4" t="inlineStr">
        <is>
          <t>April 1</t>
        </is>
      </c>
      <c r="K709" s="4" t="inlineStr">
        <is>
          <t>25</t>
        </is>
      </c>
      <c r="L709" s="4" t="inlineStr">
        <is>
          <t>Permit must be used with a valid General Deer License. Holders may not hunt Antlered Buck Mule Deer in any other HD.</t>
        </is>
      </c>
    </row>
    <row r="710">
      <c r="A710" s="4" t="inlineStr">
        <is>
          <t>260</t>
        </is>
      </c>
      <c r="B710" s="4" t="inlineStr">
        <is>
          <t>mule deer</t>
        </is>
      </c>
      <c r="C710" s="4" t="inlineStr">
        <is>
          <t>General Deer License</t>
        </is>
      </c>
      <c r="D710" s="13" t="inlineStr">
        <is>
          <t>General license</t>
        </is>
      </c>
      <c r="E710" s="4" t="inlineStr">
        <is>
          <t>Either-sex Mule Deer</t>
        </is>
      </c>
      <c r="F710" s="4" t="inlineStr">
        <is>
          <t>Sep 05-Oct 18</t>
        </is>
      </c>
      <c r="G710" s="4" t="inlineStr">
        <is>
          <t>Oct 19-Nov 29</t>
        </is>
      </c>
      <c r="H710" s="4" t="n"/>
      <c r="I710" s="4" t="inlineStr">
        <is>
          <t>Nov 30-Jan 15</t>
        </is>
      </c>
      <c r="J710" s="4" t="n"/>
      <c r="K710" s="4" t="n"/>
      <c r="L710" s="4" t="inlineStr">
        <is>
          <t>ArchEquip only.</t>
        </is>
      </c>
    </row>
    <row r="711">
      <c r="A711" s="4" t="inlineStr">
        <is>
          <t>261</t>
        </is>
      </c>
      <c r="B711" s="4" t="inlineStr">
        <is>
          <t>mule deer</t>
        </is>
      </c>
      <c r="C711" s="4" t="inlineStr">
        <is>
          <t>Deer B License: 261-01</t>
        </is>
      </c>
      <c r="D711" s="15" t="inlineStr">
        <is>
          <t>Drawing</t>
        </is>
      </c>
      <c r="E711" s="4" t="inlineStr">
        <is>
          <t>Antlerless Mule Deer</t>
        </is>
      </c>
      <c r="F711" s="4" t="inlineStr">
        <is>
          <t>Sep 05-Oct 18</t>
        </is>
      </c>
      <c r="G711" s="4" t="inlineStr">
        <is>
          <t>Oct 24-Nov 29</t>
        </is>
      </c>
      <c r="H711" s="4" t="inlineStr">
        <is>
          <t>Dec 12-Dec 20</t>
        </is>
      </c>
      <c r="I711" s="4" t="n"/>
      <c r="J711" s="4" t="inlineStr">
        <is>
          <t>Jun 1</t>
        </is>
      </c>
      <c r="K711" s="4" t="inlineStr">
        <is>
          <t>10</t>
        </is>
      </c>
      <c r="L711" s="4" t="inlineStr">
        <is>
          <t>Only valid on private land.</t>
        </is>
      </c>
    </row>
    <row r="712">
      <c r="A712" s="4" t="inlineStr">
        <is>
          <t>261</t>
        </is>
      </c>
      <c r="B712" s="4" t="inlineStr">
        <is>
          <t>mule deer</t>
        </is>
      </c>
      <c r="C712" s="4" t="inlineStr">
        <is>
          <t>Deer Permit: 261-50</t>
        </is>
      </c>
      <c r="D712" s="15" t="inlineStr">
        <is>
          <t>Drawing</t>
        </is>
      </c>
      <c r="E712" s="4" t="inlineStr">
        <is>
          <t>Antlered Buck Mule Deer</t>
        </is>
      </c>
      <c r="F712" s="4" t="inlineStr">
        <is>
          <t>Sep 05-Oct 18</t>
        </is>
      </c>
      <c r="G712" s="4" t="inlineStr">
        <is>
          <t>Oct 24-Nov 29</t>
        </is>
      </c>
      <c r="H712" s="4" t="inlineStr">
        <is>
          <t>Dec 12-Dec 20</t>
        </is>
      </c>
      <c r="I712" s="4" t="n"/>
      <c r="J712" s="4" t="inlineStr">
        <is>
          <t>April 1</t>
        </is>
      </c>
      <c r="K712" s="4" t="inlineStr">
        <is>
          <t>10</t>
        </is>
      </c>
      <c r="L712" s="4" t="inlineStr">
        <is>
          <t>Permit must be used with a valid General Deer License. Holders may not hunt Antlered Buck Mule Deer in any other HD. 65 2026 Deer • Elk • Antelope Visit fwp.mt.gov LICENSE/PERMIT OPPORTUNITY APPL Y BY DATE QUOTA QUOTA RANGE EARL Y SEASON DATES ARCHERY ONL Y SEASON DATES GENERAL SEASON DATES HERITAGE</t>
        </is>
      </c>
    </row>
    <row r="713">
      <c r="A713" s="4" t="inlineStr">
        <is>
          <t>262</t>
        </is>
      </c>
      <c r="B713" s="4" t="inlineStr">
        <is>
          <t>mule deer</t>
        </is>
      </c>
      <c r="C713" s="4" t="inlineStr">
        <is>
          <t>General Deer License</t>
        </is>
      </c>
      <c r="D713" s="13" t="inlineStr">
        <is>
          <t>General license</t>
        </is>
      </c>
      <c r="E713" s="4" t="inlineStr">
        <is>
          <t>Antlerless Mule Deer</t>
        </is>
      </c>
      <c r="F713" s="4" t="inlineStr">
        <is>
          <t>Sep 05-Oct 18</t>
        </is>
      </c>
      <c r="G713" s="4" t="inlineStr">
        <is>
          <t>Oct 19-Nov 29</t>
        </is>
      </c>
      <c r="H713" s="4" t="n"/>
      <c r="I713" s="4" t="inlineStr">
        <is>
          <t>Nov 30-Jan 15</t>
        </is>
      </c>
      <c r="J713" s="4" t="n"/>
      <c r="K713" s="4" t="n"/>
      <c r="L713" s="4" t="inlineStr">
        <is>
          <t>ArchEquip only.</t>
        </is>
      </c>
    </row>
    <row r="714">
      <c r="A714" s="4" t="inlineStr">
        <is>
          <t>262</t>
        </is>
      </c>
      <c r="B714" s="4" t="inlineStr">
        <is>
          <t>mule deer</t>
        </is>
      </c>
      <c r="C714" s="4" t="inlineStr">
        <is>
          <t>Deer B License: 262-00</t>
        </is>
      </c>
      <c r="D714" s="15" t="inlineStr">
        <is>
          <t>Drawing</t>
        </is>
      </c>
      <c r="E714" s="4" t="inlineStr">
        <is>
          <t>Antlerless Mule Deer</t>
        </is>
      </c>
      <c r="F714" s="4" t="n"/>
      <c r="G714" s="4" t="n"/>
      <c r="H714" s="4" t="n"/>
      <c r="I714" s="4" t="inlineStr">
        <is>
          <t>Nov 30-Jan 15</t>
        </is>
      </c>
      <c r="J714" s="4" t="inlineStr">
        <is>
          <t>Jun 1</t>
        </is>
      </c>
      <c r="K714" s="4" t="inlineStr">
        <is>
          <t>100</t>
        </is>
      </c>
      <c r="L714" s="4" t="inlineStr">
        <is>
          <t>ArchEquip, shotgun, traditional handgun, muzzleloader, or crossbow only. Only valid on private land. Only valid on private land.</t>
        </is>
      </c>
    </row>
    <row r="715">
      <c r="A715" s="4" t="inlineStr">
        <is>
          <t>262</t>
        </is>
      </c>
      <c r="B715" s="4" t="inlineStr">
        <is>
          <t>mule deer</t>
        </is>
      </c>
      <c r="C715" s="4" t="inlineStr">
        <is>
          <t>Deer Permit: 262-51</t>
        </is>
      </c>
      <c r="D715" s="15" t="inlineStr">
        <is>
          <t>Drawing</t>
        </is>
      </c>
      <c r="E715" s="4" t="inlineStr">
        <is>
          <t>Antlered Buck Mule Deer</t>
        </is>
      </c>
      <c r="F715" s="4" t="inlineStr">
        <is>
          <t>Sep 05-Oct 18</t>
        </is>
      </c>
      <c r="G715" s="4" t="inlineStr">
        <is>
          <t>Oct 24-Nov 29</t>
        </is>
      </c>
      <c r="H715" s="4" t="inlineStr">
        <is>
          <t>Dec 12-Dec 20</t>
        </is>
      </c>
      <c r="I715" s="4" t="n"/>
      <c r="J715" s="4" t="inlineStr">
        <is>
          <t>April 1</t>
        </is>
      </c>
      <c r="K715" s="4" t="inlineStr">
        <is>
          <t>20</t>
        </is>
      </c>
      <c r="L715" s="4" t="inlineStr">
        <is>
          <t>Permit must be used with a valid General Deer License. Holders may not hunt Antlered Buck Mule Deer in any other HD.</t>
        </is>
      </c>
    </row>
    <row r="716">
      <c r="A716" s="4" t="inlineStr">
        <is>
          <t>262</t>
        </is>
      </c>
      <c r="B716" s="4" t="inlineStr">
        <is>
          <t>mule deer</t>
        </is>
      </c>
      <c r="C716" s="4" t="inlineStr">
        <is>
          <t>Deer Permit: 262-52</t>
        </is>
      </c>
      <c r="D716" s="15" t="inlineStr">
        <is>
          <t>Drawing</t>
        </is>
      </c>
      <c r="E716" s="4" t="inlineStr">
        <is>
          <t>Antlered Buck Mule Deer</t>
        </is>
      </c>
      <c r="F716" s="4" t="inlineStr">
        <is>
          <t>Sep 05-Oct 18</t>
        </is>
      </c>
      <c r="G716" s="4" t="inlineStr">
        <is>
          <t>Oct 24-Nov 29</t>
        </is>
      </c>
      <c r="H716" s="4" t="inlineStr">
        <is>
          <t>Dec 12-Dec 20</t>
        </is>
      </c>
      <c r="I716" s="4" t="n"/>
      <c r="J716" s="4" t="inlineStr">
        <is>
          <t>April 1</t>
        </is>
      </c>
      <c r="K716" s="4" t="inlineStr">
        <is>
          <t>10</t>
        </is>
      </c>
      <c r="L716" s="4" t="inlineStr">
        <is>
          <t>Only youth ages 12-15. Permit must be used with a valid General Deer License. Holders may not hunt Antlered Buck Mule Deer in any other HD. LICENSE/PERMIT OPPORTUNITY APPL Y BY DATE QUOTA QUOTA RANGE EARL Y SEASON DATES ARCHERY ONL Y SEASON DATES GENERAL SEASON DATES HERITAGE MUZZLELOADER SEASON DAT</t>
        </is>
      </c>
    </row>
    <row r="717">
      <c r="A717" s="4" t="inlineStr">
        <is>
          <t>270</t>
        </is>
      </c>
      <c r="B717" s="4" t="inlineStr">
        <is>
          <t>mule deer</t>
        </is>
      </c>
      <c r="C717" s="4" t="inlineStr">
        <is>
          <t>Deer B License: 270-01</t>
        </is>
      </c>
      <c r="D717" s="15" t="inlineStr">
        <is>
          <t>Drawing</t>
        </is>
      </c>
      <c r="E717" s="4" t="inlineStr">
        <is>
          <t>Antlerless Mule Deer</t>
        </is>
      </c>
      <c r="F717" s="4" t="inlineStr">
        <is>
          <t>Sep 05-Oct 18</t>
        </is>
      </c>
      <c r="G717" s="4" t="inlineStr">
        <is>
          <t>Oct 24-Nov 29</t>
        </is>
      </c>
      <c r="H717" s="4" t="inlineStr">
        <is>
          <t>Dec 12-Dec 20</t>
        </is>
      </c>
      <c r="I717" s="4" t="n"/>
      <c r="J717" s="4" t="inlineStr">
        <is>
          <t>Jun 1</t>
        </is>
      </c>
      <c r="K717" s="4" t="inlineStr">
        <is>
          <t>25</t>
        </is>
      </c>
      <c r="L717" s="4" t="n"/>
    </row>
    <row r="718">
      <c r="A718" s="4" t="inlineStr">
        <is>
          <t>270</t>
        </is>
      </c>
      <c r="B718" s="4" t="inlineStr">
        <is>
          <t>mule deer</t>
        </is>
      </c>
      <c r="C718" s="4" t="inlineStr">
        <is>
          <t>Deer Permit: 270-50</t>
        </is>
      </c>
      <c r="D718" s="15" t="inlineStr">
        <is>
          <t>Drawing</t>
        </is>
      </c>
      <c r="E718" s="4" t="inlineStr">
        <is>
          <t>Antlered Buck Mule Deer</t>
        </is>
      </c>
      <c r="F718" s="4" t="inlineStr">
        <is>
          <t>Sep 05-Oct 18</t>
        </is>
      </c>
      <c r="G718" s="4" t="inlineStr">
        <is>
          <t>Oct 24-Nov 29</t>
        </is>
      </c>
      <c r="H718" s="4" t="inlineStr">
        <is>
          <t>Dec 12-Dec 20</t>
        </is>
      </c>
      <c r="I718" s="4" t="n"/>
      <c r="J718" s="4" t="inlineStr">
        <is>
          <t>April 1</t>
        </is>
      </c>
      <c r="K718" s="4" t="inlineStr">
        <is>
          <t>45</t>
        </is>
      </c>
      <c r="L718" s="4" t="inlineStr">
        <is>
          <t>Permit must be used with a valid General Deer License. Holders may not hunt Antlered Buck Mule Deer in any other HD.</t>
        </is>
      </c>
    </row>
    <row r="719">
      <c r="A719" s="4" t="inlineStr">
        <is>
          <t>270</t>
        </is>
      </c>
      <c r="B719" s="4" t="inlineStr">
        <is>
          <t>mule deer</t>
        </is>
      </c>
      <c r="C719" s="4" t="inlineStr">
        <is>
          <t>Deer Permit: 270-51</t>
        </is>
      </c>
      <c r="D719" s="15" t="inlineStr">
        <is>
          <t>Drawing</t>
        </is>
      </c>
      <c r="E719" s="4" t="inlineStr">
        <is>
          <t>Antlered Buck Mule Deer</t>
        </is>
      </c>
      <c r="F719" s="4" t="inlineStr">
        <is>
          <t>Sep 05-Oct 18</t>
        </is>
      </c>
      <c r="G719" s="4" t="inlineStr">
        <is>
          <t>Oct 24-Nov 29</t>
        </is>
      </c>
      <c r="H719" s="4" t="inlineStr">
        <is>
          <t>Dec 12-Dec 20</t>
        </is>
      </c>
      <c r="I719" s="4" t="n"/>
      <c r="J719" s="4" t="inlineStr">
        <is>
          <t>April 1</t>
        </is>
      </c>
      <c r="K719" s="4" t="inlineStr">
        <is>
          <t>15</t>
        </is>
      </c>
      <c r="L719" s="4" t="inlineStr">
        <is>
          <t>Antlers must be 3 points or fewer on one side (not including eye guard). Mandatory check required. Successful applicants will be contacted by FWP staf. Permit must be used with a valid General Deer License. Holders may not hunt Antlered Buck Mule Deer in any other HD. 67 2026 Deer • Elk • Antelope V</t>
        </is>
      </c>
    </row>
    <row r="720">
      <c r="A720" s="4" t="inlineStr">
        <is>
          <t>280</t>
        </is>
      </c>
      <c r="B720" s="4" t="inlineStr">
        <is>
          <t>mule deer</t>
        </is>
      </c>
      <c r="C720" s="4" t="inlineStr">
        <is>
          <t>General Deer License</t>
        </is>
      </c>
      <c r="D720" s="13" t="inlineStr">
        <is>
          <t>General license</t>
        </is>
      </c>
      <c r="E720" s="4" t="inlineStr">
        <is>
          <t>Antlered Buck Mule Deer</t>
        </is>
      </c>
      <c r="F720" s="4" t="inlineStr">
        <is>
          <t>Sep 05-Sep 14</t>
        </is>
      </c>
      <c r="G720" s="4" t="inlineStr">
        <is>
          <t>Sep 15-Nov 29</t>
        </is>
      </c>
      <c r="H720" s="4" t="inlineStr">
        <is>
          <t>Dec 12-Dec 20</t>
        </is>
      </c>
      <c r="I720" s="4" t="n"/>
      <c r="J720" s="4" t="n"/>
      <c r="K720" s="4" t="n"/>
      <c r="L720" s="4" t="n"/>
    </row>
    <row r="721">
      <c r="A721" s="4" t="inlineStr">
        <is>
          <t>281</t>
        </is>
      </c>
      <c r="B721" s="4" t="inlineStr">
        <is>
          <t>mule deer</t>
        </is>
      </c>
      <c r="C721" s="4" t="inlineStr">
        <is>
          <t>General Deer License</t>
        </is>
      </c>
      <c r="D721" s="13" t="inlineStr">
        <is>
          <t>General license</t>
        </is>
      </c>
      <c r="E721" s="4" t="inlineStr">
        <is>
          <t>Antlered Buck Mule Deer</t>
        </is>
      </c>
      <c r="F721" s="4" t="inlineStr">
        <is>
          <t>Sep 05-Oct 18</t>
        </is>
      </c>
      <c r="G721" s="4" t="inlineStr">
        <is>
          <t>Oct 24-Nov 29</t>
        </is>
      </c>
      <c r="H721" s="4" t="inlineStr">
        <is>
          <t>Dec 12-Dec 20</t>
        </is>
      </c>
      <c r="I721" s="4" t="n"/>
      <c r="J721" s="4" t="n"/>
      <c r="K721" s="4" t="n"/>
      <c r="L721" s="4" t="n"/>
    </row>
    <row r="722">
      <c r="A722" s="4" t="inlineStr">
        <is>
          <t>282</t>
        </is>
      </c>
      <c r="B722" s="4" t="inlineStr">
        <is>
          <t>mule deer</t>
        </is>
      </c>
      <c r="C722" s="4" t="inlineStr">
        <is>
          <t>General Deer License</t>
        </is>
      </c>
      <c r="D722" s="13" t="inlineStr">
        <is>
          <t>General license</t>
        </is>
      </c>
      <c r="E722" s="4" t="inlineStr">
        <is>
          <t>Antlered Buck Mule Deer</t>
        </is>
      </c>
      <c r="F722" s="4" t="inlineStr">
        <is>
          <t>Sep 05-Oct 18</t>
        </is>
      </c>
      <c r="G722" s="4" t="n"/>
      <c r="H722" s="4" t="n"/>
      <c r="I722" s="4" t="n"/>
      <c r="J722" s="4" t="n"/>
      <c r="K722" s="4" t="n"/>
      <c r="L722" s="4" t="n"/>
    </row>
    <row r="723">
      <c r="A723" s="4" t="inlineStr">
        <is>
          <t>282</t>
        </is>
      </c>
      <c r="B723" s="4" t="inlineStr">
        <is>
          <t>mule deer</t>
        </is>
      </c>
      <c r="C723" s="4" t="inlineStr">
        <is>
          <t>Deer Permit: 282-50</t>
        </is>
      </c>
      <c r="D723" s="15" t="inlineStr">
        <is>
          <t>Drawing</t>
        </is>
      </c>
      <c r="E723" s="4" t="inlineStr">
        <is>
          <t>Antlered Buck Mule Deer</t>
        </is>
      </c>
      <c r="F723" s="4" t="inlineStr">
        <is>
          <t>Sep 05-Oct 18</t>
        </is>
      </c>
      <c r="G723" s="4" t="inlineStr">
        <is>
          <t>Oct 24-Nov 29</t>
        </is>
      </c>
      <c r="H723" s="4" t="inlineStr">
        <is>
          <t>Dec 12-Dec 20</t>
        </is>
      </c>
      <c r="I723" s="4" t="n"/>
      <c r="J723" s="4" t="inlineStr">
        <is>
          <t>April 1</t>
        </is>
      </c>
      <c r="K723" s="4" t="inlineStr">
        <is>
          <t>6</t>
        </is>
      </c>
      <c r="L723" s="4" t="inlineStr">
        <is>
          <t>Permit must be used with a valid General Deer License. Holders may not hunt Antlered Buck Mule Deer in any other HD.</t>
        </is>
      </c>
    </row>
    <row r="724">
      <c r="A724" s="4" t="inlineStr">
        <is>
          <t>284</t>
        </is>
      </c>
      <c r="B724" s="4" t="inlineStr">
        <is>
          <t>mule deer</t>
        </is>
      </c>
      <c r="C724" s="4" t="inlineStr">
        <is>
          <t>General Deer License</t>
        </is>
      </c>
      <c r="D724" s="13" t="inlineStr">
        <is>
          <t>General license</t>
        </is>
      </c>
      <c r="E724" s="4" t="inlineStr">
        <is>
          <t>Antlered Buck Mule Deer</t>
        </is>
      </c>
      <c r="F724" s="4" t="n"/>
      <c r="G724" s="4" t="inlineStr">
        <is>
          <t>Sep 05-Nov 29</t>
        </is>
      </c>
      <c r="H724" s="4" t="n"/>
      <c r="I724" s="4" t="n"/>
      <c r="J724" s="4" t="n"/>
      <c r="K724" s="4" t="n"/>
      <c r="L724" s="4" t="inlineStr">
        <is>
          <t>ArchEquip only.</t>
        </is>
      </c>
    </row>
    <row r="725">
      <c r="A725" s="4" t="inlineStr">
        <is>
          <t>285</t>
        </is>
      </c>
      <c r="B725" s="4" t="inlineStr">
        <is>
          <t>mule deer</t>
        </is>
      </c>
      <c r="C725" s="4" t="inlineStr">
        <is>
          <t>General Deer License</t>
        </is>
      </c>
      <c r="D725" s="13" t="inlineStr">
        <is>
          <t>General license</t>
        </is>
      </c>
      <c r="E725" s="4" t="inlineStr">
        <is>
          <t>Antlered Buck Mule Deer</t>
        </is>
      </c>
      <c r="F725" s="4" t="inlineStr">
        <is>
          <t>Sep 05-Oct 18</t>
        </is>
      </c>
      <c r="G725" s="4" t="inlineStr">
        <is>
          <t>Oct 24-Nov 29</t>
        </is>
      </c>
      <c r="H725" s="4" t="inlineStr">
        <is>
          <t>Dec 12-Dec 20</t>
        </is>
      </c>
      <c r="I725" s="4" t="n"/>
      <c r="J725" s="4" t="n"/>
      <c r="K725" s="4" t="n"/>
      <c r="L725" s="4" t="n"/>
    </row>
    <row r="726">
      <c r="A726" s="4" t="inlineStr">
        <is>
          <t>290</t>
        </is>
      </c>
      <c r="B726" s="4" t="inlineStr">
        <is>
          <t>mule deer</t>
        </is>
      </c>
      <c r="C726" s="4" t="inlineStr">
        <is>
          <t>General Deer License</t>
        </is>
      </c>
      <c r="D726" s="13" t="inlineStr">
        <is>
          <t>General license</t>
        </is>
      </c>
      <c r="E726" s="4" t="inlineStr">
        <is>
          <t>Antlered Buck Mule Deer</t>
        </is>
      </c>
      <c r="F726" s="4" t="n"/>
      <c r="G726" s="4" t="inlineStr">
        <is>
          <t>Sep 05-Nov 29</t>
        </is>
      </c>
      <c r="H726" s="4" t="n"/>
      <c r="I726" s="4" t="inlineStr">
        <is>
          <t>Nov 30-Dec 15</t>
        </is>
      </c>
      <c r="J726" s="4" t="n"/>
      <c r="K726" s="4" t="n"/>
      <c r="L726" s="4" t="inlineStr">
        <is>
          <t>ArchEquip only.</t>
        </is>
      </c>
    </row>
    <row r="727">
      <c r="A727" s="4" t="inlineStr">
        <is>
          <t>291</t>
        </is>
      </c>
      <c r="B727" s="4" t="inlineStr">
        <is>
          <t>mule deer</t>
        </is>
      </c>
      <c r="C727" s="4" t="inlineStr">
        <is>
          <t>Deer Permit: 291-50</t>
        </is>
      </c>
      <c r="D727" s="15" t="inlineStr">
        <is>
          <t>Drawing</t>
        </is>
      </c>
      <c r="E727" s="4" t="inlineStr">
        <is>
          <t>Antlered Buck Mule Deer</t>
        </is>
      </c>
      <c r="F727" s="4" t="inlineStr">
        <is>
          <t>Sep 05-Oct 18</t>
        </is>
      </c>
      <c r="G727" s="4" t="inlineStr">
        <is>
          <t>Oct 24-Nov 29</t>
        </is>
      </c>
      <c r="H727" s="4" t="inlineStr">
        <is>
          <t>Dec 12-Dec 20</t>
        </is>
      </c>
      <c r="I727" s="4" t="n"/>
      <c r="J727" s="4" t="inlineStr">
        <is>
          <t>April 1</t>
        </is>
      </c>
      <c r="K727" s="4" t="inlineStr">
        <is>
          <t>30</t>
        </is>
      </c>
      <c r="L727" s="4" t="inlineStr">
        <is>
          <t>Permit must be used with a valid General Deer License. Holders may not hunt Antlered Buck Mule Deer in any other HD.</t>
        </is>
      </c>
    </row>
    <row r="728">
      <c r="A728" s="4" t="inlineStr">
        <is>
          <t>291</t>
        </is>
      </c>
      <c r="B728" s="4" t="inlineStr">
        <is>
          <t>mule deer</t>
        </is>
      </c>
      <c r="C728" s="4" t="inlineStr">
        <is>
          <t>Deer Permit: 291-51</t>
        </is>
      </c>
      <c r="D728" s="15" t="inlineStr">
        <is>
          <t>Drawing</t>
        </is>
      </c>
      <c r="E728" s="4" t="inlineStr">
        <is>
          <t>Antlered Buck Mule Deer</t>
        </is>
      </c>
      <c r="F728" s="4" t="inlineStr">
        <is>
          <t>Sep 05-Oct 18</t>
        </is>
      </c>
      <c r="G728" s="4" t="inlineStr">
        <is>
          <t>Oct 24-Nov 29</t>
        </is>
      </c>
      <c r="H728" s="4" t="inlineStr">
        <is>
          <t>Dec 12-Dec 20</t>
        </is>
      </c>
      <c r="I728" s="4" t="n"/>
      <c r="J728" s="4" t="inlineStr">
        <is>
          <t>April 1</t>
        </is>
      </c>
      <c r="K728" s="4" t="inlineStr">
        <is>
          <t>30</t>
        </is>
      </c>
      <c r="L728" s="4" t="inlineStr">
        <is>
          <t>Only youth ages 12-15. Permit must be used with a valid General Deer License. Holders may not hunt Antlered Buck Mule Deer in any other HD.</t>
        </is>
      </c>
    </row>
    <row r="729">
      <c r="A729" s="4" t="inlineStr">
        <is>
          <t>292</t>
        </is>
      </c>
      <c r="B729" s="4" t="inlineStr">
        <is>
          <t>mule deer</t>
        </is>
      </c>
      <c r="C729" s="4" t="inlineStr">
        <is>
          <t>General Deer License</t>
        </is>
      </c>
      <c r="D729" s="13" t="inlineStr">
        <is>
          <t>General license</t>
        </is>
      </c>
      <c r="E729" s="4" t="inlineStr">
        <is>
          <t>Antlered Buck Mule Deer</t>
        </is>
      </c>
      <c r="F729" s="4" t="inlineStr">
        <is>
          <t>Sep 05-Oct 18</t>
        </is>
      </c>
      <c r="G729" s="4" t="inlineStr">
        <is>
          <t>Oct 24-Nov 15</t>
        </is>
      </c>
      <c r="H729" s="4" t="n"/>
      <c r="I729" s="4" t="n"/>
      <c r="J729" s="4" t="n"/>
      <c r="K729" s="4" t="n"/>
      <c r="L729" s="4" t="n"/>
    </row>
    <row r="730">
      <c r="A730" s="4" t="inlineStr">
        <is>
          <t>293</t>
        </is>
      </c>
      <c r="B730" s="4" t="inlineStr">
        <is>
          <t>mule deer</t>
        </is>
      </c>
      <c r="C730" s="4" t="inlineStr">
        <is>
          <t>General Deer License</t>
        </is>
      </c>
      <c r="D730" s="13" t="inlineStr">
        <is>
          <t>General license</t>
        </is>
      </c>
      <c r="E730" s="4" t="inlineStr">
        <is>
          <t>Antlered Buck Mule Deer</t>
        </is>
      </c>
      <c r="F730" s="4" t="inlineStr">
        <is>
          <t>Sep 05-Oct 18</t>
        </is>
      </c>
      <c r="G730" s="4" t="inlineStr">
        <is>
          <t>Oct 24-Nov 29</t>
        </is>
      </c>
      <c r="H730" s="4" t="inlineStr">
        <is>
          <t>Dec 12-Dec 20</t>
        </is>
      </c>
      <c r="I730" s="4" t="n"/>
      <c r="J730" s="4" t="n"/>
      <c r="K730" s="4" t="n"/>
      <c r="L730" s="4" t="n"/>
    </row>
    <row r="731">
      <c r="A731" s="4" t="inlineStr">
        <is>
          <t>298</t>
        </is>
      </c>
      <c r="B731" s="4" t="inlineStr">
        <is>
          <t>mule deer</t>
        </is>
      </c>
      <c r="C731" s="4" t="inlineStr">
        <is>
          <t>General Deer License</t>
        </is>
      </c>
      <c r="D731" s="13" t="inlineStr">
        <is>
          <t>General license</t>
        </is>
      </c>
      <c r="E731" s="4" t="inlineStr">
        <is>
          <t>Antlered Buck Mule Deer</t>
        </is>
      </c>
      <c r="F731" s="4" t="inlineStr">
        <is>
          <t>Sep 05-Oct 18</t>
        </is>
      </c>
      <c r="G731" s="4" t="inlineStr">
        <is>
          <t>Oct 24-Nov 15</t>
        </is>
      </c>
      <c r="H731" s="4" t="n"/>
      <c r="I731" s="4" t="n"/>
      <c r="J731" s="4" t="n"/>
      <c r="K731" s="4" t="n"/>
      <c r="L731" s="4" t="n"/>
    </row>
    <row r="732">
      <c r="A732" s="4" t="inlineStr">
        <is>
          <t>301</t>
        </is>
      </c>
      <c r="B732" s="4" t="inlineStr">
        <is>
          <t>mule deer</t>
        </is>
      </c>
      <c r="C732" s="4" t="inlineStr">
        <is>
          <t>General Deer License</t>
        </is>
      </c>
      <c r="D732" s="13" t="inlineStr">
        <is>
          <t>General license</t>
        </is>
      </c>
      <c r="E732" s="4" t="inlineStr">
        <is>
          <t>Antlered Buck Mule Deer</t>
        </is>
      </c>
      <c r="F732" s="4" t="inlineStr">
        <is>
          <t>Sep 05-Oct 18</t>
        </is>
      </c>
      <c r="G732" s="4" t="inlineStr">
        <is>
          <t>Oct 24-Nov 29</t>
        </is>
      </c>
      <c r="H732" s="4" t="inlineStr">
        <is>
          <t>Dec 12-Dec 20</t>
        </is>
      </c>
      <c r="I732" s="4" t="n"/>
      <c r="J732" s="4" t="n"/>
      <c r="K732" s="4" t="n"/>
      <c r="L732" s="4" t="n"/>
    </row>
    <row r="733">
      <c r="A733" s="4" t="inlineStr">
        <is>
          <t>302</t>
        </is>
      </c>
      <c r="B733" s="4" t="inlineStr">
        <is>
          <t>mule deer</t>
        </is>
      </c>
      <c r="C733" s="4" t="inlineStr">
        <is>
          <t>General Deer License</t>
        </is>
      </c>
      <c r="D733" s="13" t="inlineStr">
        <is>
          <t>General license</t>
        </is>
      </c>
      <c r="E733" s="4" t="inlineStr">
        <is>
          <t>Either-sex Mule Deer</t>
        </is>
      </c>
      <c r="F733" s="4" t="inlineStr">
        <is>
          <t>Sep 05-Oct 18</t>
        </is>
      </c>
      <c r="G733" s="4" t="inlineStr">
        <is>
          <t>Oct 24-Nov 29</t>
        </is>
      </c>
      <c r="H733" s="4" t="inlineStr">
        <is>
          <t>Dec 12-Dec 20</t>
        </is>
      </c>
      <c r="I733" s="4" t="n"/>
      <c r="J733" s="4" t="n"/>
      <c r="K733" s="4" t="n"/>
      <c r="L733" s="4" t="n"/>
    </row>
    <row r="734">
      <c r="A734" s="4" t="inlineStr">
        <is>
          <t>303</t>
        </is>
      </c>
      <c r="B734" s="4" t="inlineStr">
        <is>
          <t>mule deer</t>
        </is>
      </c>
      <c r="C734" s="4" t="inlineStr">
        <is>
          <t>General Deer License</t>
        </is>
      </c>
      <c r="D734" s="13" t="inlineStr">
        <is>
          <t>General license</t>
        </is>
      </c>
      <c r="E734" s="4" t="inlineStr">
        <is>
          <t>Antlerless Mule Deer</t>
        </is>
      </c>
      <c r="F734" s="4" t="inlineStr">
        <is>
          <t>Sep 05-Oct 18</t>
        </is>
      </c>
      <c r="G734" s="4" t="inlineStr">
        <is>
          <t>Oct 24-Nov 29</t>
        </is>
      </c>
      <c r="H734" s="4" t="inlineStr">
        <is>
          <t>Dec 12-Dec 20</t>
        </is>
      </c>
      <c r="I734" s="4" t="n"/>
      <c r="J734" s="4" t="n"/>
      <c r="K734" s="4" t="n"/>
      <c r="L734" s="4" t="n"/>
    </row>
    <row r="735">
      <c r="A735" s="4" t="inlineStr">
        <is>
          <t>303</t>
        </is>
      </c>
      <c r="B735" s="4" t="inlineStr">
        <is>
          <t>mule deer</t>
        </is>
      </c>
      <c r="C735" s="4" t="inlineStr">
        <is>
          <t>Deer Permit: 300-50</t>
        </is>
      </c>
      <c r="D735" s="15" t="inlineStr">
        <is>
          <t>Drawing</t>
        </is>
      </c>
      <c r="E735" s="4" t="inlineStr">
        <is>
          <t>Antlered Buck Mule Deer</t>
        </is>
      </c>
      <c r="F735" s="4" t="inlineStr">
        <is>
          <t>Sep 05-Oct 18</t>
        </is>
      </c>
      <c r="G735" s="4" t="inlineStr">
        <is>
          <t>Oct 24-Nov 29</t>
        </is>
      </c>
      <c r="H735" s="4" t="inlineStr">
        <is>
          <t>Dec 12-Dec 20</t>
        </is>
      </c>
      <c r="I735" s="4" t="n"/>
      <c r="J735" s="4" t="inlineStr">
        <is>
          <t>April 1</t>
        </is>
      </c>
      <c r="K735" s="4" t="inlineStr">
        <is>
          <t>30</t>
        </is>
      </c>
      <c r="L735" s="4" t="inlineStr">
        <is>
          <t>Permit must be used with a valid General Deer License. Holders may not hunt Antlered Buck Mule Deer in any other HD.</t>
        </is>
      </c>
    </row>
    <row r="736">
      <c r="A736" s="4" t="inlineStr">
        <is>
          <t>304</t>
        </is>
      </c>
      <c r="B736" s="4" t="inlineStr">
        <is>
          <t>mule deer</t>
        </is>
      </c>
      <c r="C736" s="4" t="inlineStr">
        <is>
          <t>General Deer License</t>
        </is>
      </c>
      <c r="D736" s="13" t="inlineStr">
        <is>
          <t>General license</t>
        </is>
      </c>
      <c r="E736" s="4" t="inlineStr">
        <is>
          <t>Either-sex Mule Deer</t>
        </is>
      </c>
      <c r="F736" s="4" t="inlineStr">
        <is>
          <t>Sep 05-Oct 18</t>
        </is>
      </c>
      <c r="G736" s="4" t="n"/>
      <c r="H736" s="4" t="n"/>
      <c r="I736" s="4" t="n"/>
      <c r="J736" s="4" t="n"/>
      <c r="K736" s="4" t="n"/>
      <c r="L736" s="4" t="n"/>
    </row>
    <row r="737">
      <c r="A737" s="4" t="inlineStr">
        <is>
          <t>304</t>
        </is>
      </c>
      <c r="B737" s="4" t="inlineStr">
        <is>
          <t>mule deer</t>
        </is>
      </c>
      <c r="C737" s="4" t="inlineStr">
        <is>
          <t>General Deer License</t>
        </is>
      </c>
      <c r="D737" s="13" t="inlineStr">
        <is>
          <t>General license</t>
        </is>
      </c>
      <c r="E737" s="4" t="inlineStr">
        <is>
          <t>Antlered Buck Mule Deer</t>
        </is>
      </c>
      <c r="F737" s="4" t="n"/>
      <c r="G737" s="4" t="inlineStr">
        <is>
          <t>Oct 24-Nov 29</t>
        </is>
      </c>
      <c r="H737" s="4" t="inlineStr">
        <is>
          <t>Dec 12-Dec 20</t>
        </is>
      </c>
      <c r="I737" s="4" t="n"/>
      <c r="J737" s="4" t="n"/>
      <c r="K737" s="4" t="n"/>
      <c r="L737" s="4" t="n"/>
    </row>
    <row r="738">
      <c r="A738" s="4" t="inlineStr">
        <is>
          <t>309</t>
        </is>
      </c>
      <c r="B738" s="4" t="inlineStr">
        <is>
          <t>mule deer</t>
        </is>
      </c>
      <c r="C738" s="4" t="inlineStr">
        <is>
          <t>General Deer License</t>
        </is>
      </c>
      <c r="D738" s="13" t="inlineStr">
        <is>
          <t>General license</t>
        </is>
      </c>
      <c r="E738" s="4" t="inlineStr">
        <is>
          <t>Either-sex Mule Deer</t>
        </is>
      </c>
      <c r="F738" s="4" t="n"/>
      <c r="G738" s="4" t="inlineStr">
        <is>
          <t>Sep 05-Nov 29</t>
        </is>
      </c>
      <c r="H738" s="4" t="inlineStr">
        <is>
          <t>Dec 12-Dec 20</t>
        </is>
      </c>
      <c r="I738" s="4" t="n"/>
      <c r="J738" s="4" t="n"/>
      <c r="K738" s="4" t="n"/>
      <c r="L738" s="4" t="n"/>
    </row>
    <row r="739">
      <c r="A739" s="4" t="inlineStr">
        <is>
          <t>310</t>
        </is>
      </c>
      <c r="B739" s="4" t="inlineStr">
        <is>
          <t>mule deer</t>
        </is>
      </c>
      <c r="C739" s="4" t="inlineStr">
        <is>
          <t>General Deer License</t>
        </is>
      </c>
      <c r="D739" s="13" t="inlineStr">
        <is>
          <t>General license</t>
        </is>
      </c>
      <c r="E739" s="4" t="inlineStr">
        <is>
          <t>Either-sex Mule Deer</t>
        </is>
      </c>
      <c r="F739" s="4" t="inlineStr">
        <is>
          <t>Sep 05-Oct 18</t>
        </is>
      </c>
      <c r="G739" s="4" t="n"/>
      <c r="H739" s="4" t="n"/>
      <c r="I739" s="4" t="n"/>
      <c r="J739" s="4" t="n"/>
      <c r="K739" s="4" t="n"/>
      <c r="L739" s="4" t="n"/>
    </row>
    <row r="740">
      <c r="A740" s="4" t="inlineStr">
        <is>
          <t>310</t>
        </is>
      </c>
      <c r="B740" s="4" t="inlineStr">
        <is>
          <t>mule deer</t>
        </is>
      </c>
      <c r="C740" s="4" t="inlineStr">
        <is>
          <t>General Deer License</t>
        </is>
      </c>
      <c r="D740" s="13" t="inlineStr">
        <is>
          <t>General license</t>
        </is>
      </c>
      <c r="E740" s="4" t="inlineStr">
        <is>
          <t>Antlered Buck Mule Deer</t>
        </is>
      </c>
      <c r="F740" s="4" t="n"/>
      <c r="G740" s="4" t="inlineStr">
        <is>
          <t>Oct 24-Nov 29</t>
        </is>
      </c>
      <c r="H740" s="4" t="inlineStr">
        <is>
          <t>Dec 12-Dec 20</t>
        </is>
      </c>
      <c r="I740" s="4" t="n"/>
      <c r="J740" s="4" t="n"/>
      <c r="K740" s="4" t="n"/>
      <c r="L740" s="4" t="n"/>
    </row>
    <row r="741">
      <c r="A741" s="4" t="inlineStr">
        <is>
          <t>311</t>
        </is>
      </c>
      <c r="B741" s="4" t="inlineStr">
        <is>
          <t>mule deer</t>
        </is>
      </c>
      <c r="C741" s="4" t="inlineStr">
        <is>
          <t>General Deer License</t>
        </is>
      </c>
      <c r="D741" s="13" t="inlineStr">
        <is>
          <t>General license</t>
        </is>
      </c>
      <c r="E741" s="4" t="inlineStr">
        <is>
          <t>Either-sex Mule Deer</t>
        </is>
      </c>
      <c r="F741" s="4" t="inlineStr">
        <is>
          <t>Sep 05-Oct 18</t>
        </is>
      </c>
      <c r="G741" s="4" t="n"/>
      <c r="H741" s="4" t="n"/>
      <c r="I741" s="4" t="n"/>
      <c r="J741" s="4" t="n"/>
      <c r="K741" s="4" t="n"/>
      <c r="L741" s="4" t="n"/>
    </row>
    <row r="742">
      <c r="A742" s="4" t="inlineStr">
        <is>
          <t>311</t>
        </is>
      </c>
      <c r="B742" s="4" t="inlineStr">
        <is>
          <t>mule deer</t>
        </is>
      </c>
      <c r="C742" s="4" t="inlineStr">
        <is>
          <t>General Deer License</t>
        </is>
      </c>
      <c r="D742" s="13" t="inlineStr">
        <is>
          <t>General license</t>
        </is>
      </c>
      <c r="E742" s="4" t="inlineStr">
        <is>
          <t>Antlered Buck Mule Deer</t>
        </is>
      </c>
      <c r="F742" s="4" t="n"/>
      <c r="G742" s="4" t="inlineStr">
        <is>
          <t>Oct 24-Nov 29</t>
        </is>
      </c>
      <c r="H742" s="4" t="inlineStr">
        <is>
          <t>Dec 12-Dec 20</t>
        </is>
      </c>
      <c r="I742" s="4" t="n"/>
      <c r="J742" s="4" t="n"/>
      <c r="K742" s="4" t="n"/>
      <c r="L742" s="4" t="n"/>
    </row>
    <row r="743">
      <c r="A743" s="4" t="inlineStr">
        <is>
          <t>311</t>
        </is>
      </c>
      <c r="B743" s="4" t="inlineStr">
        <is>
          <t>mule deer</t>
        </is>
      </c>
      <c r="C743" s="4" t="inlineStr">
        <is>
          <t>Deer B License: 311-01</t>
        </is>
      </c>
      <c r="D743" s="15" t="inlineStr">
        <is>
          <t>Drawing</t>
        </is>
      </c>
      <c r="E743" s="4" t="inlineStr">
        <is>
          <t>Antlerless Mule Deer</t>
        </is>
      </c>
      <c r="F743" s="4" t="inlineStr">
        <is>
          <t>Sep 05-Oct 18</t>
        </is>
      </c>
      <c r="G743" s="4" t="inlineStr">
        <is>
          <t>Oct 24-Nov 29</t>
        </is>
      </c>
      <c r="H743" s="4" t="inlineStr">
        <is>
          <t>Dec 12-Dec 20</t>
        </is>
      </c>
      <c r="I743" s="4" t="n"/>
      <c r="J743" s="4" t="inlineStr">
        <is>
          <t>Jun 1</t>
        </is>
      </c>
      <c r="K743" s="4" t="inlineStr">
        <is>
          <t>200</t>
        </is>
      </c>
      <c r="L743" s="4" t="n"/>
    </row>
    <row r="744">
      <c r="A744" s="4" t="inlineStr">
        <is>
          <t>312</t>
        </is>
      </c>
      <c r="B744" s="4" t="inlineStr">
        <is>
          <t>mule deer</t>
        </is>
      </c>
      <c r="C744" s="4" t="inlineStr">
        <is>
          <t>General Deer License</t>
        </is>
      </c>
      <c r="D744" s="13" t="inlineStr">
        <is>
          <t>General license</t>
        </is>
      </c>
      <c r="E744" s="4" t="inlineStr">
        <is>
          <t>Antlerless Mule Deer</t>
        </is>
      </c>
      <c r="F744" s="4" t="inlineStr">
        <is>
          <t>Sep 05-Oct 18</t>
        </is>
      </c>
      <c r="G744" s="4" t="n"/>
      <c r="H744" s="4" t="n"/>
      <c r="I744" s="4" t="n"/>
      <c r="J744" s="4" t="n"/>
      <c r="K744" s="4" t="n"/>
      <c r="L744" s="4" t="inlineStr">
        <is>
          <t>Only valid east of Springhill/ Rocky Mtn Rd.</t>
        </is>
      </c>
    </row>
    <row r="745">
      <c r="A745" s="4" t="inlineStr">
        <is>
          <t>312</t>
        </is>
      </c>
      <c r="B745" s="4" t="inlineStr">
        <is>
          <t>mule deer</t>
        </is>
      </c>
      <c r="C745" s="4" t="inlineStr">
        <is>
          <t>General Deer License</t>
        </is>
      </c>
      <c r="D745" s="13" t="inlineStr">
        <is>
          <t>General license</t>
        </is>
      </c>
      <c r="E745" s="4" t="inlineStr">
        <is>
          <t>Either-sex Mule Deer</t>
        </is>
      </c>
      <c r="F745" s="4" t="inlineStr">
        <is>
          <t>Sep 05-Oct 18</t>
        </is>
      </c>
      <c r="G745" s="4" t="n"/>
      <c r="H745" s="4" t="n"/>
      <c r="I745" s="4" t="n"/>
      <c r="J745" s="4" t="n"/>
      <c r="K745" s="4" t="n"/>
      <c r="L745" s="4" t="inlineStr">
        <is>
          <t>Only valid west of Springhill/ Rocky Mtn Rd.</t>
        </is>
      </c>
    </row>
    <row r="746">
      <c r="A746" s="4" t="inlineStr">
        <is>
          <t>312</t>
        </is>
      </c>
      <c r="B746" s="4" t="inlineStr">
        <is>
          <t>mule deer</t>
        </is>
      </c>
      <c r="C746" s="4" t="inlineStr">
        <is>
          <t>General Deer License</t>
        </is>
      </c>
      <c r="D746" s="13" t="inlineStr">
        <is>
          <t>General license</t>
        </is>
      </c>
      <c r="E746" s="4" t="inlineStr">
        <is>
          <t>Antlered Buck Mule Deer</t>
        </is>
      </c>
      <c r="F746" s="4" t="n"/>
      <c r="G746" s="4" t="inlineStr">
        <is>
          <t>Oct 24-Nov 29</t>
        </is>
      </c>
      <c r="H746" s="4" t="inlineStr">
        <is>
          <t>Dec 12-Dec 20</t>
        </is>
      </c>
      <c r="I746" s="4" t="n"/>
      <c r="J746" s="4" t="n"/>
      <c r="K746" s="4" t="n"/>
      <c r="L746" s="4" t="inlineStr">
        <is>
          <t>Only valid west of Springhill/ Rocky Mtn Rd.</t>
        </is>
      </c>
    </row>
    <row r="747">
      <c r="A747" s="4" t="inlineStr">
        <is>
          <t>312</t>
        </is>
      </c>
      <c r="B747" s="4" t="inlineStr">
        <is>
          <t>mule deer</t>
        </is>
      </c>
      <c r="C747" s="4" t="inlineStr">
        <is>
          <t>Deer B License: 312-01</t>
        </is>
      </c>
      <c r="D747" s="15" t="inlineStr">
        <is>
          <t>Drawing</t>
        </is>
      </c>
      <c r="E747" s="4" t="inlineStr">
        <is>
          <t>Antlerless Mule Deer</t>
        </is>
      </c>
      <c r="F747" s="4" t="inlineStr">
        <is>
          <t>Sep 05-Oct 18</t>
        </is>
      </c>
      <c r="G747" s="4" t="inlineStr">
        <is>
          <t>Oct 24-Nov 29</t>
        </is>
      </c>
      <c r="H747" s="4" t="inlineStr">
        <is>
          <t>Dec 12-Dec 20</t>
        </is>
      </c>
      <c r="I747" s="4" t="n"/>
      <c r="J747" s="4" t="inlineStr">
        <is>
          <t>Jun 1</t>
        </is>
      </c>
      <c r="K747" s="4" t="inlineStr">
        <is>
          <t>50</t>
        </is>
      </c>
      <c r="L747" s="4" t="inlineStr">
        <is>
          <t>Only valid on private land.</t>
        </is>
      </c>
    </row>
    <row r="748">
      <c r="A748" s="4" t="inlineStr">
        <is>
          <t>312</t>
        </is>
      </c>
      <c r="B748" s="4" t="inlineStr">
        <is>
          <t>mule deer</t>
        </is>
      </c>
      <c r="C748" s="4" t="inlineStr">
        <is>
          <t>Deer Permit: 312-50</t>
        </is>
      </c>
      <c r="D748" s="15" t="inlineStr">
        <is>
          <t>Drawing</t>
        </is>
      </c>
      <c r="E748" s="4" t="inlineStr">
        <is>
          <t>Antlered Buck Mule Deer</t>
        </is>
      </c>
      <c r="F748" s="4" t="inlineStr">
        <is>
          <t>Sep 05-Oct 18</t>
        </is>
      </c>
      <c r="G748" s="4" t="inlineStr">
        <is>
          <t>Oct 24-Nov 29</t>
        </is>
      </c>
      <c r="H748" s="4" t="inlineStr">
        <is>
          <t>Dec 12-Dec 20</t>
        </is>
      </c>
      <c r="I748" s="4" t="n"/>
      <c r="J748" s="4" t="inlineStr">
        <is>
          <t>April 1</t>
        </is>
      </c>
      <c r="K748" s="4" t="inlineStr">
        <is>
          <t>40</t>
        </is>
      </c>
      <c r="L748" s="4" t="inlineStr">
        <is>
          <t>Only valid east of Springhill/ Rocky Mtn Rd. Permit must be used with a valid General Deer License. Holders may not hunt Antlered Buck Mule Deer in any other HD. LICENSE/PERMIT OPPORTUNITY APPL Y BY DATE QUOTA QUOTA RANGE EARL Y SEASON DATES ARCHERY ONL Y SEASON DATES GENERAL SEASON DATES HERITAGE M</t>
        </is>
      </c>
    </row>
    <row r="749">
      <c r="A749" s="4" t="inlineStr">
        <is>
          <t>313</t>
        </is>
      </c>
      <c r="B749" s="4" t="inlineStr">
        <is>
          <t>mule deer</t>
        </is>
      </c>
      <c r="C749" s="4" t="inlineStr">
        <is>
          <t>General Deer License</t>
        </is>
      </c>
      <c r="D749" s="13" t="inlineStr">
        <is>
          <t>General license</t>
        </is>
      </c>
      <c r="E749" s="4" t="inlineStr">
        <is>
          <t>Antlered Buck Mule Deer</t>
        </is>
      </c>
      <c r="F749" s="4" t="inlineStr">
        <is>
          <t>Sep 05-Oct 18</t>
        </is>
      </c>
      <c r="G749" s="4" t="inlineStr">
        <is>
          <t>Oct 24-Nov 15</t>
        </is>
      </c>
      <c r="H749" s="4" t="n"/>
      <c r="I749" s="4" t="n"/>
      <c r="J749" s="4" t="n"/>
      <c r="K749" s="4" t="n"/>
      <c r="L749" s="4" t="n"/>
    </row>
    <row r="750">
      <c r="A750" s="4" t="inlineStr">
        <is>
          <t>313</t>
        </is>
      </c>
      <c r="B750" s="4" t="inlineStr">
        <is>
          <t>mule deer</t>
        </is>
      </c>
      <c r="C750" s="4" t="inlineStr">
        <is>
          <t>Deer B License: 313-01</t>
        </is>
      </c>
      <c r="D750" s="15" t="inlineStr">
        <is>
          <t>Drawing</t>
        </is>
      </c>
      <c r="E750" s="4" t="inlineStr">
        <is>
          <t>Antlerless Mule Deer</t>
        </is>
      </c>
      <c r="F750" s="4" t="inlineStr">
        <is>
          <t>Sep 05-Oct 18</t>
        </is>
      </c>
      <c r="G750" s="4" t="inlineStr">
        <is>
          <t>Oct 24-Nov 29</t>
        </is>
      </c>
      <c r="H750" s="4" t="inlineStr">
        <is>
          <t>Dec 12-Dec 20</t>
        </is>
      </c>
      <c r="I750" s="4" t="n"/>
      <c r="J750" s="4" t="inlineStr">
        <is>
          <t>Jun 1</t>
        </is>
      </c>
      <c r="K750" s="4" t="inlineStr">
        <is>
          <t>20</t>
        </is>
      </c>
      <c r="L750" s="4" t="inlineStr">
        <is>
          <t>Only valid on private land.</t>
        </is>
      </c>
    </row>
    <row r="751">
      <c r="A751" s="4" t="inlineStr">
        <is>
          <t>314</t>
        </is>
      </c>
      <c r="B751" s="4" t="inlineStr">
        <is>
          <t>mule deer</t>
        </is>
      </c>
      <c r="C751" s="4" t="inlineStr">
        <is>
          <t>General Deer License</t>
        </is>
      </c>
      <c r="D751" s="13" t="inlineStr">
        <is>
          <t>General license</t>
        </is>
      </c>
      <c r="E751" s="4" t="inlineStr">
        <is>
          <t>Antlered Buck Mule Deer</t>
        </is>
      </c>
      <c r="F751" s="4" t="inlineStr">
        <is>
          <t>Sep 05-Oct 18</t>
        </is>
      </c>
      <c r="G751" s="4" t="inlineStr">
        <is>
          <t>Oct 24-Nov 29</t>
        </is>
      </c>
      <c r="H751" s="4" t="inlineStr">
        <is>
          <t>Dec 12-Dec 20</t>
        </is>
      </c>
      <c r="I751" s="4" t="n"/>
      <c r="J751" s="4" t="n"/>
      <c r="K751" s="4" t="n"/>
      <c r="L751" s="4" t="n"/>
    </row>
    <row r="752">
      <c r="A752" s="4" t="inlineStr">
        <is>
          <t>314</t>
        </is>
      </c>
      <c r="B752" s="4" t="inlineStr">
        <is>
          <t>mule deer</t>
        </is>
      </c>
      <c r="C752" s="4" t="inlineStr">
        <is>
          <t>Deer B License: 314-01</t>
        </is>
      </c>
      <c r="D752" s="15" t="inlineStr">
        <is>
          <t>Drawing</t>
        </is>
      </c>
      <c r="E752" s="4" t="inlineStr">
        <is>
          <t>Antlerless Mule Deer</t>
        </is>
      </c>
      <c r="F752" s="4" t="inlineStr">
        <is>
          <t>Sep 05-Oct 18</t>
        </is>
      </c>
      <c r="G752" s="4" t="inlineStr">
        <is>
          <t>Oct 24-Nov 29</t>
        </is>
      </c>
      <c r="H752" s="4" t="inlineStr">
        <is>
          <t>Dec 12-Dec 20</t>
        </is>
      </c>
      <c r="I752" s="4" t="n"/>
      <c r="J752" s="4" t="inlineStr">
        <is>
          <t>Jun 1</t>
        </is>
      </c>
      <c r="K752" s="4" t="inlineStr">
        <is>
          <t>100</t>
        </is>
      </c>
      <c r="L752" s="4" t="inlineStr">
        <is>
          <t>Only valid on private land.</t>
        </is>
      </c>
    </row>
    <row r="753">
      <c r="A753" s="4" t="inlineStr">
        <is>
          <t>315</t>
        </is>
      </c>
      <c r="B753" s="4" t="inlineStr">
        <is>
          <t>mule deer</t>
        </is>
      </c>
      <c r="C753" s="4" t="inlineStr">
        <is>
          <t>General Deer License</t>
        </is>
      </c>
      <c r="D753" s="13" t="inlineStr">
        <is>
          <t>General license</t>
        </is>
      </c>
      <c r="E753" s="4" t="inlineStr">
        <is>
          <t>Antlered Buck Mule Deer</t>
        </is>
      </c>
      <c r="F753" s="4" t="inlineStr">
        <is>
          <t>Sep 05-Oct 18</t>
        </is>
      </c>
      <c r="G753" s="4" t="inlineStr">
        <is>
          <t>Oct 24-Nov 29</t>
        </is>
      </c>
      <c r="H753" s="4" t="inlineStr">
        <is>
          <t>Dec 12-Dec 20</t>
        </is>
      </c>
      <c r="I753" s="4" t="n"/>
      <c r="J753" s="4" t="n"/>
      <c r="K753" s="4" t="n"/>
      <c r="L753" s="4" t="n"/>
    </row>
    <row r="754">
      <c r="A754" s="4" t="inlineStr">
        <is>
          <t>315</t>
        </is>
      </c>
      <c r="B754" s="4" t="inlineStr">
        <is>
          <t>mule deer</t>
        </is>
      </c>
      <c r="C754" s="4" t="inlineStr">
        <is>
          <t>Deer B License: 315-02</t>
        </is>
      </c>
      <c r="D754" s="15" t="inlineStr">
        <is>
          <t>Drawing</t>
        </is>
      </c>
      <c r="E754" s="4" t="inlineStr">
        <is>
          <t>Antlerless Mule Deer</t>
        </is>
      </c>
      <c r="F754" s="4" t="inlineStr">
        <is>
          <t>Sep 05-Oct 18</t>
        </is>
      </c>
      <c r="G754" s="4" t="inlineStr">
        <is>
          <t>Oct 24-Nov 29</t>
        </is>
      </c>
      <c r="H754" s="4" t="inlineStr">
        <is>
          <t>Dec 12-Dec 20</t>
        </is>
      </c>
      <c r="I754" s="4" t="n"/>
      <c r="J754" s="4" t="inlineStr">
        <is>
          <t>Jun 1</t>
        </is>
      </c>
      <c r="K754" s="4" t="inlineStr">
        <is>
          <t>70</t>
        </is>
      </c>
      <c r="L754" s="4" t="inlineStr">
        <is>
          <t>Valid on private land only.</t>
        </is>
      </c>
    </row>
    <row r="755">
      <c r="A755" s="4" t="inlineStr">
        <is>
          <t>316</t>
        </is>
      </c>
      <c r="B755" s="4" t="inlineStr">
        <is>
          <t>mule deer</t>
        </is>
      </c>
      <c r="C755" s="4" t="inlineStr">
        <is>
          <t>General Deer License</t>
        </is>
      </c>
      <c r="D755" s="13" t="inlineStr">
        <is>
          <t>General license</t>
        </is>
      </c>
      <c r="E755" s="4" t="inlineStr">
        <is>
          <t>Antlered Buck Mule Deer</t>
        </is>
      </c>
      <c r="F755" s="4" t="n"/>
      <c r="G755" s="4" t="inlineStr">
        <is>
          <t>Sep 15-Nov 29</t>
        </is>
      </c>
      <c r="H755" s="4" t="inlineStr">
        <is>
          <t>Dec 12-Dec 20</t>
        </is>
      </c>
      <c r="I755" s="4" t="n"/>
      <c r="J755" s="4" t="n"/>
      <c r="K755" s="4" t="n"/>
      <c r="L755" s="4" t="n"/>
    </row>
    <row r="756">
      <c r="A756" s="4" t="inlineStr">
        <is>
          <t>317</t>
        </is>
      </c>
      <c r="B756" s="4" t="inlineStr">
        <is>
          <t>mule deer</t>
        </is>
      </c>
      <c r="C756" s="4" t="inlineStr">
        <is>
          <t>General Deer License</t>
        </is>
      </c>
      <c r="D756" s="13" t="inlineStr">
        <is>
          <t>General license</t>
        </is>
      </c>
      <c r="E756" s="4" t="inlineStr">
        <is>
          <t>Antlered Buck Mule Deer</t>
        </is>
      </c>
      <c r="F756" s="4" t="inlineStr">
        <is>
          <t>Sep 05-Oct 18</t>
        </is>
      </c>
      <c r="G756" s="4" t="inlineStr">
        <is>
          <t>Oct 24-Nov 29</t>
        </is>
      </c>
      <c r="H756" s="4" t="inlineStr">
        <is>
          <t>Dec 12-Dec 20</t>
        </is>
      </c>
      <c r="I756" s="4" t="n"/>
      <c r="J756" s="4" t="n"/>
      <c r="K756" s="4" t="n"/>
      <c r="L756" s="4" t="n"/>
    </row>
    <row r="757">
      <c r="A757" s="4" t="inlineStr">
        <is>
          <t>317</t>
        </is>
      </c>
      <c r="B757" s="4" t="inlineStr">
        <is>
          <t>mule deer</t>
        </is>
      </c>
      <c r="C757" s="4" t="inlineStr">
        <is>
          <t>Deer B License: 317-01</t>
        </is>
      </c>
      <c r="D757" s="15" t="inlineStr">
        <is>
          <t>Drawing</t>
        </is>
      </c>
      <c r="E757" s="4" t="inlineStr">
        <is>
          <t>Antlerless Mule Deer</t>
        </is>
      </c>
      <c r="F757" s="4" t="inlineStr">
        <is>
          <t>Sep 05-Oct 18</t>
        </is>
      </c>
      <c r="G757" s="4" t="inlineStr">
        <is>
          <t>Oct 24-Nov 29</t>
        </is>
      </c>
      <c r="H757" s="4" t="inlineStr">
        <is>
          <t>Dec 12-Dec 20</t>
        </is>
      </c>
      <c r="I757" s="4" t="n"/>
      <c r="J757" s="4" t="inlineStr">
        <is>
          <t>Jun 1</t>
        </is>
      </c>
      <c r="K757" s="4" t="inlineStr">
        <is>
          <t>85</t>
        </is>
      </c>
      <c r="L757" s="4" t="inlineStr">
        <is>
          <t>Only valid on private land.</t>
        </is>
      </c>
    </row>
    <row r="758">
      <c r="A758" s="4" t="inlineStr">
        <is>
          <t>318</t>
        </is>
      </c>
      <c r="B758" s="4" t="inlineStr">
        <is>
          <t>mule deer</t>
        </is>
      </c>
      <c r="C758" s="4" t="inlineStr">
        <is>
          <t>General Deer License</t>
        </is>
      </c>
      <c r="D758" s="13" t="inlineStr">
        <is>
          <t>General license</t>
        </is>
      </c>
      <c r="E758" s="4" t="inlineStr">
        <is>
          <t>Either-sex Mule Deer</t>
        </is>
      </c>
      <c r="F758" s="4" t="inlineStr">
        <is>
          <t>Sep 05-Oct 18</t>
        </is>
      </c>
      <c r="G758" s="4" t="n"/>
      <c r="H758" s="4" t="n"/>
      <c r="I758" s="4" t="n"/>
      <c r="J758" s="4" t="n"/>
      <c r="K758" s="4" t="n"/>
      <c r="L758" s="4" t="n"/>
    </row>
    <row r="759">
      <c r="A759" s="4" t="inlineStr">
        <is>
          <t>318</t>
        </is>
      </c>
      <c r="B759" s="4" t="inlineStr">
        <is>
          <t>mule deer</t>
        </is>
      </c>
      <c r="C759" s="4" t="inlineStr">
        <is>
          <t>General Deer License</t>
        </is>
      </c>
      <c r="D759" s="13" t="inlineStr">
        <is>
          <t>General license</t>
        </is>
      </c>
      <c r="E759" s="4" t="inlineStr">
        <is>
          <t>Antlered Buck Mule Deer</t>
        </is>
      </c>
      <c r="F759" s="4" t="n"/>
      <c r="G759" s="4" t="inlineStr">
        <is>
          <t>Oct 24-Nov 29</t>
        </is>
      </c>
      <c r="H759" s="4" t="inlineStr">
        <is>
          <t>Dec 12-Dec 20</t>
        </is>
      </c>
      <c r="I759" s="4" t="n"/>
      <c r="J759" s="4" t="n"/>
      <c r="K759" s="4" t="n"/>
      <c r="L759" s="4" t="n"/>
    </row>
    <row r="760">
      <c r="A760" s="4" t="inlineStr">
        <is>
          <t>318</t>
        </is>
      </c>
      <c r="B760" s="4" t="inlineStr">
        <is>
          <t>mule deer</t>
        </is>
      </c>
      <c r="C760" s="4" t="inlineStr">
        <is>
          <t>Deer B License: 318-00</t>
        </is>
      </c>
      <c r="D760" s="15" t="inlineStr">
        <is>
          <t>Drawing</t>
        </is>
      </c>
      <c r="E760" s="4" t="inlineStr">
        <is>
          <t>Antlerless Mule Deer</t>
        </is>
      </c>
      <c r="F760" s="4" t="inlineStr">
        <is>
          <t>Sep 05-Oct 18</t>
        </is>
      </c>
      <c r="G760" s="4" t="inlineStr">
        <is>
          <t>Oct 24-Nov 29</t>
        </is>
      </c>
      <c r="H760" s="4" t="inlineStr">
        <is>
          <t>Dec 12-Dec 20</t>
        </is>
      </c>
      <c r="I760" s="4" t="n"/>
      <c r="J760" s="4" t="inlineStr">
        <is>
          <t>Jun 1</t>
        </is>
      </c>
      <c r="K760" s="4" t="inlineStr">
        <is>
          <t>25</t>
        </is>
      </c>
      <c r="L760" s="4" t="inlineStr">
        <is>
          <t>Only valid on private land. 79 2026 Deer • Elk • Antelope Visit fwp.mt.gov LICENSE/PERMIT OPPORTUNITY APPL Y BY DATE QUOTA QUOTA RANGE EARL Y SEASON DATES ARCHERY ONL Y SEASON DATES GENERAL SEASON DATES HERITAGE MUZZLELOADER SEASON DATES LATE SEASON DATES OPPORTUNITY SPECIFIC DETAILS AND/ORRESTRICTI</t>
        </is>
      </c>
    </row>
    <row r="761">
      <c r="A761" s="4" t="inlineStr">
        <is>
          <t>319</t>
        </is>
      </c>
      <c r="B761" s="4" t="inlineStr">
        <is>
          <t>mule deer</t>
        </is>
      </c>
      <c r="C761" s="4" t="inlineStr">
        <is>
          <t>Deer B License: 319-01</t>
        </is>
      </c>
      <c r="D761" s="15" t="inlineStr">
        <is>
          <t>Drawing</t>
        </is>
      </c>
      <c r="E761" s="4" t="inlineStr">
        <is>
          <t>Antlerless Mule Deer</t>
        </is>
      </c>
      <c r="F761" s="4" t="inlineStr">
        <is>
          <t>Sep 05-Oct 18</t>
        </is>
      </c>
      <c r="G761" s="4" t="inlineStr">
        <is>
          <t>Oct 24-Nov 29</t>
        </is>
      </c>
      <c r="H761" s="4" t="inlineStr">
        <is>
          <t>Dec 12-Dec 20</t>
        </is>
      </c>
      <c r="I761" s="4" t="n"/>
      <c r="J761" s="4" t="inlineStr">
        <is>
          <t>Jun 1</t>
        </is>
      </c>
      <c r="K761" s="4" t="inlineStr">
        <is>
          <t>50</t>
        </is>
      </c>
      <c r="L761" s="4" t="inlineStr">
        <is>
          <t>Only valid on private land.</t>
        </is>
      </c>
    </row>
    <row r="762">
      <c r="A762" s="4" t="inlineStr">
        <is>
          <t>319</t>
        </is>
      </c>
      <c r="B762" s="4" t="inlineStr">
        <is>
          <t>mule deer</t>
        </is>
      </c>
      <c r="C762" s="4" t="inlineStr">
        <is>
          <t>Deer Permit: 319-50</t>
        </is>
      </c>
      <c r="D762" s="15" t="inlineStr">
        <is>
          <t>Drawing</t>
        </is>
      </c>
      <c r="E762" s="4" t="inlineStr">
        <is>
          <t>Antlered Buck Mule Deer</t>
        </is>
      </c>
      <c r="F762" s="4" t="inlineStr">
        <is>
          <t>Sep 05-Oct 18</t>
        </is>
      </c>
      <c r="G762" s="4" t="inlineStr">
        <is>
          <t>Oct 24-Nov 29</t>
        </is>
      </c>
      <c r="H762" s="4" t="inlineStr">
        <is>
          <t>Dec 12-Dec 20</t>
        </is>
      </c>
      <c r="I762" s="4" t="n"/>
      <c r="J762" s="4" t="inlineStr">
        <is>
          <t>April 1</t>
        </is>
      </c>
      <c r="K762" s="4" t="inlineStr">
        <is>
          <t>125</t>
        </is>
      </c>
      <c r="L762" s="4" t="inlineStr">
        <is>
          <t>One per hunter. Permit must be used with a valid General Deer License. Holders may not hunt Antlered Buck Mule Deer in any other HD.</t>
        </is>
      </c>
    </row>
    <row r="763">
      <c r="A763" s="4" t="inlineStr">
        <is>
          <t>320</t>
        </is>
      </c>
      <c r="B763" s="4" t="inlineStr">
        <is>
          <t>mule deer</t>
        </is>
      </c>
      <c r="C763" s="4" t="inlineStr">
        <is>
          <t>General Deer License</t>
        </is>
      </c>
      <c r="D763" s="13" t="inlineStr">
        <is>
          <t>General license</t>
        </is>
      </c>
      <c r="E763" s="4" t="inlineStr">
        <is>
          <t>Either-sex Mule Deer</t>
        </is>
      </c>
      <c r="F763" s="4" t="inlineStr">
        <is>
          <t>Sep 05-Oct 18</t>
        </is>
      </c>
      <c r="G763" s="4" t="inlineStr">
        <is>
          <t>Oct 24-Nov 29</t>
        </is>
      </c>
      <c r="H763" s="4" t="inlineStr">
        <is>
          <t>Dec 12-Dec 20</t>
        </is>
      </c>
      <c r="I763" s="4" t="n"/>
      <c r="J763" s="4" t="n"/>
      <c r="K763" s="4" t="n"/>
      <c r="L763" s="4" t="n"/>
    </row>
    <row r="764">
      <c r="A764" s="4" t="inlineStr">
        <is>
          <t>321</t>
        </is>
      </c>
      <c r="B764" s="4" t="inlineStr">
        <is>
          <t>mule deer</t>
        </is>
      </c>
      <c r="C764" s="4" t="inlineStr">
        <is>
          <t>General Deer License</t>
        </is>
      </c>
      <c r="D764" s="13" t="inlineStr">
        <is>
          <t>General license</t>
        </is>
      </c>
      <c r="E764" s="4" t="inlineStr">
        <is>
          <t>Either-sex Mule Deer</t>
        </is>
      </c>
      <c r="F764" s="4" t="inlineStr">
        <is>
          <t>Sep 05-Oct 18</t>
        </is>
      </c>
      <c r="G764" s="4" t="inlineStr">
        <is>
          <t>Oct 24-Nov 29</t>
        </is>
      </c>
      <c r="H764" s="4" t="inlineStr">
        <is>
          <t>Dec 12-Dec 20</t>
        </is>
      </c>
      <c r="I764" s="4" t="n"/>
      <c r="J764" s="4" t="n"/>
      <c r="K764" s="4" t="n"/>
      <c r="L764" s="4" t="n"/>
    </row>
    <row r="765">
      <c r="A765" s="4" t="inlineStr">
        <is>
          <t>322</t>
        </is>
      </c>
      <c r="B765" s="4" t="inlineStr">
        <is>
          <t>mule deer</t>
        </is>
      </c>
      <c r="C765" s="4" t="inlineStr">
        <is>
          <t>General Deer License</t>
        </is>
      </c>
      <c r="D765" s="13" t="inlineStr">
        <is>
          <t>General license</t>
        </is>
      </c>
      <c r="E765" s="4" t="inlineStr">
        <is>
          <t>Either-sex Mule Deer</t>
        </is>
      </c>
      <c r="F765" s="4" t="inlineStr">
        <is>
          <t>Sep 05-Oct 18</t>
        </is>
      </c>
      <c r="G765" s="4" t="inlineStr">
        <is>
          <t>Oct 24-Nov 29</t>
        </is>
      </c>
      <c r="H765" s="4" t="inlineStr">
        <is>
          <t>Dec 12-Dec 20</t>
        </is>
      </c>
      <c r="I765" s="4" t="n"/>
      <c r="J765" s="4" t="n"/>
      <c r="K765" s="4" t="n"/>
      <c r="L765" s="4" t="n"/>
    </row>
    <row r="766">
      <c r="A766" s="4" t="inlineStr">
        <is>
          <t>323</t>
        </is>
      </c>
      <c r="B766" s="4" t="inlineStr">
        <is>
          <t>mule deer</t>
        </is>
      </c>
      <c r="C766" s="4" t="inlineStr">
        <is>
          <t>General Deer License</t>
        </is>
      </c>
      <c r="D766" s="13" t="inlineStr">
        <is>
          <t>General license</t>
        </is>
      </c>
      <c r="E766" s="4" t="inlineStr">
        <is>
          <t>Either-sex Mule Deer</t>
        </is>
      </c>
      <c r="F766" s="4" t="inlineStr">
        <is>
          <t>Sep 05-Oct 18</t>
        </is>
      </c>
      <c r="G766" s="4" t="inlineStr">
        <is>
          <t>Oct 24-Nov 29</t>
        </is>
      </c>
      <c r="H766" s="4" t="inlineStr">
        <is>
          <t>Dec 12-Dec 20</t>
        </is>
      </c>
      <c r="I766" s="4" t="n"/>
      <c r="J766" s="4" t="n"/>
      <c r="K766" s="4" t="n"/>
      <c r="L766" s="4" t="n"/>
    </row>
    <row r="767">
      <c r="A767" s="4" t="inlineStr">
        <is>
          <t>324</t>
        </is>
      </c>
      <c r="B767" s="4" t="inlineStr">
        <is>
          <t>mule deer</t>
        </is>
      </c>
      <c r="C767" s="4" t="inlineStr">
        <is>
          <t>General Deer License</t>
        </is>
      </c>
      <c r="D767" s="13" t="inlineStr">
        <is>
          <t>General license</t>
        </is>
      </c>
      <c r="E767" s="4" t="inlineStr">
        <is>
          <t>Either-sex Mule Deer</t>
        </is>
      </c>
      <c r="F767" s="4" t="inlineStr">
        <is>
          <t>Sep 05-Oct 18</t>
        </is>
      </c>
      <c r="G767" s="4" t="inlineStr">
        <is>
          <t>Oct 24-Nov 29</t>
        </is>
      </c>
      <c r="H767" s="4" t="inlineStr">
        <is>
          <t>Dec 12-Dec 20</t>
        </is>
      </c>
      <c r="I767" s="4" t="n"/>
      <c r="J767" s="4" t="n"/>
      <c r="K767" s="4" t="n"/>
      <c r="L767" s="4" t="n"/>
    </row>
    <row r="768">
      <c r="A768" s="4" t="inlineStr">
        <is>
          <t>329</t>
        </is>
      </c>
      <c r="B768" s="4" t="inlineStr">
        <is>
          <t>mule deer</t>
        </is>
      </c>
      <c r="C768" s="4" t="inlineStr">
        <is>
          <t>General Deer License</t>
        </is>
      </c>
      <c r="D768" s="13" t="inlineStr">
        <is>
          <t>General license</t>
        </is>
      </c>
      <c r="E768" s="4" t="inlineStr">
        <is>
          <t>Either-sex Mule Deer</t>
        </is>
      </c>
      <c r="F768" s="4" t="inlineStr">
        <is>
          <t>Sep 05-Oct 18</t>
        </is>
      </c>
      <c r="G768" s="4" t="inlineStr">
        <is>
          <t>Oct 24-Nov 29</t>
        </is>
      </c>
      <c r="H768" s="4" t="inlineStr">
        <is>
          <t>Dec 12-Dec 20</t>
        </is>
      </c>
      <c r="I768" s="4" t="n"/>
      <c r="J768" s="4" t="n"/>
      <c r="K768" s="4" t="n"/>
      <c r="L768" s="4" t="n"/>
    </row>
    <row r="769">
      <c r="A769" s="4" t="inlineStr">
        <is>
          <t>331</t>
        </is>
      </c>
      <c r="B769" s="4" t="inlineStr">
        <is>
          <t>mule deer</t>
        </is>
      </c>
      <c r="C769" s="4" t="inlineStr">
        <is>
          <t>General Deer License</t>
        </is>
      </c>
      <c r="D769" s="13" t="inlineStr">
        <is>
          <t>General license</t>
        </is>
      </c>
      <c r="E769" s="4" t="inlineStr">
        <is>
          <t>Either-sex Mule Deer</t>
        </is>
      </c>
      <c r="F769" s="4" t="inlineStr">
        <is>
          <t>Sep 05-Oct 18</t>
        </is>
      </c>
      <c r="G769" s="4" t="inlineStr">
        <is>
          <t>Oct 24-Nov 29</t>
        </is>
      </c>
      <c r="H769" s="4" t="inlineStr">
        <is>
          <t>Dec 12-Dec 20</t>
        </is>
      </c>
      <c r="I769" s="4" t="n"/>
      <c r="J769" s="4" t="n"/>
      <c r="K769" s="4" t="n"/>
      <c r="L769" s="4" t="n"/>
    </row>
    <row r="770">
      <c r="A770" s="4" t="inlineStr">
        <is>
          <t>335</t>
        </is>
      </c>
      <c r="B770" s="4" t="inlineStr">
        <is>
          <t>mule deer</t>
        </is>
      </c>
      <c r="C770" s="4" t="inlineStr">
        <is>
          <t>General Deer License</t>
        </is>
      </c>
      <c r="D770" s="13" t="inlineStr">
        <is>
          <t>General license</t>
        </is>
      </c>
      <c r="E770" s="4" t="inlineStr">
        <is>
          <t>Either-sex Mule Deer</t>
        </is>
      </c>
      <c r="F770" s="4" t="inlineStr">
        <is>
          <t>Sep 05-Oct 18</t>
        </is>
      </c>
      <c r="G770" s="4" t="n"/>
      <c r="H770" s="4" t="n"/>
      <c r="I770" s="4" t="n"/>
      <c r="J770" s="4" t="n"/>
      <c r="K770" s="4" t="n"/>
      <c r="L770" s="4" t="n"/>
    </row>
    <row r="771">
      <c r="A771" s="4" t="inlineStr">
        <is>
          <t>335</t>
        </is>
      </c>
      <c r="B771" s="4" t="inlineStr">
        <is>
          <t>mule deer</t>
        </is>
      </c>
      <c r="C771" s="4" t="inlineStr">
        <is>
          <t>General Deer License</t>
        </is>
      </c>
      <c r="D771" s="13" t="inlineStr">
        <is>
          <t>General license</t>
        </is>
      </c>
      <c r="E771" s="4" t="inlineStr">
        <is>
          <t>Antlered Buck Mule Deer</t>
        </is>
      </c>
      <c r="F771" s="4" t="n"/>
      <c r="G771" s="4" t="inlineStr">
        <is>
          <t>Oct 24-Nov 29</t>
        </is>
      </c>
      <c r="H771" s="4" t="inlineStr">
        <is>
          <t>Dec 12-Dec 20</t>
        </is>
      </c>
      <c r="I771" s="4" t="n"/>
      <c r="J771" s="4" t="n"/>
      <c r="K771" s="4" t="n"/>
      <c r="L771" s="4" t="n"/>
    </row>
    <row r="772">
      <c r="A772" s="4" t="inlineStr">
        <is>
          <t>335</t>
        </is>
      </c>
      <c r="B772" s="4" t="inlineStr">
        <is>
          <t>mule deer</t>
        </is>
      </c>
      <c r="C772" s="4" t="inlineStr">
        <is>
          <t>Deer B License: 335-00</t>
        </is>
      </c>
      <c r="D772" s="15" t="inlineStr">
        <is>
          <t>Drawing</t>
        </is>
      </c>
      <c r="E772" s="4" t="inlineStr">
        <is>
          <t>Antlerless Mule Deer</t>
        </is>
      </c>
      <c r="F772" s="4" t="inlineStr">
        <is>
          <t>Sep 05-Oct 18</t>
        </is>
      </c>
      <c r="G772" s="4" t="inlineStr">
        <is>
          <t>Oct 24-Nov 29</t>
        </is>
      </c>
      <c r="H772" s="4" t="inlineStr">
        <is>
          <t>Dec 12-Dec 20</t>
        </is>
      </c>
      <c r="I772" s="4" t="n"/>
      <c r="J772" s="4" t="inlineStr">
        <is>
          <t>Jun 1</t>
        </is>
      </c>
      <c r="K772" s="4" t="inlineStr">
        <is>
          <t>25</t>
        </is>
      </c>
      <c r="L772" s="4" t="inlineStr">
        <is>
          <t>Only valid on private land.</t>
        </is>
      </c>
    </row>
    <row r="773">
      <c r="A773" s="4" t="inlineStr">
        <is>
          <t>339</t>
        </is>
      </c>
      <c r="B773" s="4" t="inlineStr">
        <is>
          <t>mule deer</t>
        </is>
      </c>
      <c r="C773" s="4" t="inlineStr">
        <is>
          <t>General Deer License</t>
        </is>
      </c>
      <c r="D773" s="13" t="inlineStr">
        <is>
          <t>General license</t>
        </is>
      </c>
      <c r="E773" s="4" t="inlineStr">
        <is>
          <t>Either-sex Mule Deer</t>
        </is>
      </c>
      <c r="F773" s="4" t="inlineStr">
        <is>
          <t>Sep 05-Oct 18</t>
        </is>
      </c>
      <c r="G773" s="4" t="n"/>
      <c r="H773" s="4" t="n"/>
      <c r="I773" s="4" t="n"/>
      <c r="J773" s="4" t="n"/>
      <c r="K773" s="4" t="n"/>
      <c r="L773" s="4" t="n"/>
    </row>
    <row r="774">
      <c r="A774" s="4" t="inlineStr">
        <is>
          <t>339</t>
        </is>
      </c>
      <c r="B774" s="4" t="inlineStr">
        <is>
          <t>mule deer</t>
        </is>
      </c>
      <c r="C774" s="4" t="inlineStr">
        <is>
          <t>General Deer License</t>
        </is>
      </c>
      <c r="D774" s="13" t="inlineStr">
        <is>
          <t>General license</t>
        </is>
      </c>
      <c r="E774" s="4" t="inlineStr">
        <is>
          <t>Antlered Buck Mule Deer</t>
        </is>
      </c>
      <c r="F774" s="4" t="n"/>
      <c r="G774" s="4" t="inlineStr">
        <is>
          <t>Oct 24-Nov 29</t>
        </is>
      </c>
      <c r="H774" s="4" t="inlineStr">
        <is>
          <t>Dec 12-Dec 20</t>
        </is>
      </c>
      <c r="I774" s="4" t="n"/>
      <c r="J774" s="4" t="n"/>
      <c r="K774" s="4" t="n"/>
      <c r="L774" s="4" t="n"/>
    </row>
    <row r="775">
      <c r="A775" s="4" t="inlineStr">
        <is>
          <t>339</t>
        </is>
      </c>
      <c r="B775" s="4" t="inlineStr">
        <is>
          <t>mule deer</t>
        </is>
      </c>
      <c r="C775" s="4" t="inlineStr">
        <is>
          <t>Deer B License: 396-01</t>
        </is>
      </c>
      <c r="D775" s="15" t="inlineStr">
        <is>
          <t>Drawing</t>
        </is>
      </c>
      <c r="E775" s="4" t="inlineStr">
        <is>
          <t>Antlerless Mule Deer</t>
        </is>
      </c>
      <c r="F775" s="4" t="inlineStr">
        <is>
          <t>Sep 05-Oct 18</t>
        </is>
      </c>
      <c r="G775" s="4" t="inlineStr">
        <is>
          <t>Oct 24-Nov 29</t>
        </is>
      </c>
      <c r="H775" s="4" t="inlineStr">
        <is>
          <t>Dec 12-Dec 20</t>
        </is>
      </c>
      <c r="I775" s="4" t="n"/>
      <c r="J775" s="4" t="inlineStr">
        <is>
          <t>Jun 1</t>
        </is>
      </c>
      <c r="K775" s="4" t="inlineStr">
        <is>
          <t>25</t>
        </is>
      </c>
      <c r="L775" s="4" t="inlineStr">
        <is>
          <t>Only valid on private land. Also valid in HD 343. 83 2026 Deer • Elk • Antelope Visit fwp.mt.gov LICENSE/PERMIT OPPORTUNITY APPL Y BY DATE QUOTA QUOTA RANGE EARL Y SEASON DATES ARCHERY ONL Y SEASON DATES GENERAL SEASON DATES HERITAGE MUZZLELOADER SEASON DATES LATE SEASON DATES OPPORTUNITY SPECIFIC D</t>
        </is>
      </c>
    </row>
    <row r="776">
      <c r="A776" s="4" t="inlineStr">
        <is>
          <t>340</t>
        </is>
      </c>
      <c r="B776" s="4" t="inlineStr">
        <is>
          <t>mule deer</t>
        </is>
      </c>
      <c r="C776" s="4" t="inlineStr">
        <is>
          <t>General Deer License</t>
        </is>
      </c>
      <c r="D776" s="13" t="inlineStr">
        <is>
          <t>General license</t>
        </is>
      </c>
      <c r="E776" s="4" t="inlineStr">
        <is>
          <t>Either-sex Mule Deer</t>
        </is>
      </c>
      <c r="F776" s="4" t="inlineStr">
        <is>
          <t>Sep 05-Oct 18</t>
        </is>
      </c>
      <c r="G776" s="4" t="n"/>
      <c r="H776" s="4" t="n"/>
      <c r="I776" s="4" t="n"/>
      <c r="J776" s="4" t="n"/>
      <c r="K776" s="4" t="n"/>
      <c r="L776" s="4" t="n"/>
    </row>
    <row r="777">
      <c r="A777" s="4" t="inlineStr">
        <is>
          <t>340</t>
        </is>
      </c>
      <c r="B777" s="4" t="inlineStr">
        <is>
          <t>mule deer</t>
        </is>
      </c>
      <c r="C777" s="4" t="inlineStr">
        <is>
          <t>General Deer License</t>
        </is>
      </c>
      <c r="D777" s="13" t="inlineStr">
        <is>
          <t>General license</t>
        </is>
      </c>
      <c r="E777" s="4" t="inlineStr">
        <is>
          <t>Antlered Buck Mule Deer</t>
        </is>
      </c>
      <c r="F777" s="4" t="n"/>
      <c r="G777" s="4" t="inlineStr">
        <is>
          <t>Oct 24-Nov 29</t>
        </is>
      </c>
      <c r="H777" s="4" t="inlineStr">
        <is>
          <t>Dec 12-Dec 20</t>
        </is>
      </c>
      <c r="I777" s="4" t="n"/>
      <c r="J777" s="4" t="n"/>
      <c r="K777" s="4" t="n"/>
      <c r="L777" s="4" t="n"/>
    </row>
    <row r="778">
      <c r="A778" s="4" t="inlineStr">
        <is>
          <t>340</t>
        </is>
      </c>
      <c r="B778" s="4" t="inlineStr">
        <is>
          <t>mule deer</t>
        </is>
      </c>
      <c r="C778" s="4" t="inlineStr">
        <is>
          <t>Deer B License: 340-00</t>
        </is>
      </c>
      <c r="D778" s="15" t="inlineStr">
        <is>
          <t>Drawing</t>
        </is>
      </c>
      <c r="E778" s="4" t="inlineStr">
        <is>
          <t>Antlerless Mule Deer</t>
        </is>
      </c>
      <c r="F778" s="4" t="inlineStr">
        <is>
          <t>Sep 05-Oct 18</t>
        </is>
      </c>
      <c r="G778" s="4" t="inlineStr">
        <is>
          <t>Oct 24-Nov 29</t>
        </is>
      </c>
      <c r="H778" s="4" t="inlineStr">
        <is>
          <t>Dec 12-Dec 20</t>
        </is>
      </c>
      <c r="I778" s="4" t="n"/>
      <c r="J778" s="4" t="inlineStr">
        <is>
          <t>Jun 1</t>
        </is>
      </c>
      <c r="K778" s="4" t="inlineStr">
        <is>
          <t>100</t>
        </is>
      </c>
      <c r="L778" s="4" t="inlineStr">
        <is>
          <t>Only valid on private land.</t>
        </is>
      </c>
    </row>
    <row r="779">
      <c r="A779" s="4" t="inlineStr">
        <is>
          <t>343</t>
        </is>
      </c>
      <c r="B779" s="4" t="inlineStr">
        <is>
          <t>mule deer</t>
        </is>
      </c>
      <c r="C779" s="4" t="inlineStr">
        <is>
          <t>General Deer License</t>
        </is>
      </c>
      <c r="D779" s="13" t="inlineStr">
        <is>
          <t>General license</t>
        </is>
      </c>
      <c r="E779" s="4" t="inlineStr">
        <is>
          <t>Either-sex Mule Deer</t>
        </is>
      </c>
      <c r="F779" s="4" t="inlineStr">
        <is>
          <t>Sep 05-Oct 18</t>
        </is>
      </c>
      <c r="G779" s="4" t="n"/>
      <c r="H779" s="4" t="n"/>
      <c r="I779" s="4" t="n"/>
      <c r="J779" s="4" t="n"/>
      <c r="K779" s="4" t="n"/>
      <c r="L779" s="4" t="n"/>
    </row>
    <row r="780">
      <c r="A780" s="4" t="inlineStr">
        <is>
          <t>343</t>
        </is>
      </c>
      <c r="B780" s="4" t="inlineStr">
        <is>
          <t>mule deer</t>
        </is>
      </c>
      <c r="C780" s="4" t="inlineStr">
        <is>
          <t>General Deer License</t>
        </is>
      </c>
      <c r="D780" s="13" t="inlineStr">
        <is>
          <t>General license</t>
        </is>
      </c>
      <c r="E780" s="4" t="inlineStr">
        <is>
          <t>Antlered Buck Mule Deer</t>
        </is>
      </c>
      <c r="F780" s="4" t="n"/>
      <c r="G780" s="4" t="inlineStr">
        <is>
          <t>Oct 24-Nov 29</t>
        </is>
      </c>
      <c r="H780" s="4" t="inlineStr">
        <is>
          <t>Dec 12-Dec 20</t>
        </is>
      </c>
      <c r="I780" s="4" t="n"/>
      <c r="J780" s="4" t="n"/>
      <c r="K780" s="4" t="n"/>
      <c r="L780" s="4" t="n"/>
    </row>
    <row r="781">
      <c r="A781" s="4" t="inlineStr">
        <is>
          <t>343</t>
        </is>
      </c>
      <c r="B781" s="4" t="inlineStr">
        <is>
          <t>mule deer</t>
        </is>
      </c>
      <c r="C781" s="4" t="inlineStr">
        <is>
          <t>Deer B License: 396-01</t>
        </is>
      </c>
      <c r="D781" s="15" t="inlineStr">
        <is>
          <t>Drawing</t>
        </is>
      </c>
      <c r="E781" s="4" t="inlineStr">
        <is>
          <t>Antlerless Mule Deer</t>
        </is>
      </c>
      <c r="F781" s="4" t="inlineStr">
        <is>
          <t>Sep 05-Oct 18</t>
        </is>
      </c>
      <c r="G781" s="4" t="inlineStr">
        <is>
          <t>Oct 24-Nov 29</t>
        </is>
      </c>
      <c r="H781" s="4" t="inlineStr">
        <is>
          <t>Dec 12-Dec 20</t>
        </is>
      </c>
      <c r="I781" s="4" t="n"/>
      <c r="J781" s="4" t="inlineStr">
        <is>
          <t>Jun 1</t>
        </is>
      </c>
      <c r="K781" s="4" t="inlineStr">
        <is>
          <t>25</t>
        </is>
      </c>
      <c r="L781" s="4" t="inlineStr">
        <is>
          <t>Only valid on private land. Also valid in HD 339. LICENSE/PERMIT OPPORTUNITY APPL Y BY DATE QUOTA QUOTA RANGE EARL Y SEASON DATES ARCHERY ONL Y SEASON DATES GENERAL SEASON DATES HERITAGE MUZZLELOADER SEASON DATES LATE SEASON DATES OPPORTUNITY SPECIFIC DETAILS AND/ORRESTRICTIONS NOTE: Canyon Creek WM</t>
        </is>
      </c>
    </row>
    <row r="782">
      <c r="A782" s="4" t="inlineStr">
        <is>
          <t>350</t>
        </is>
      </c>
      <c r="B782" s="4" t="inlineStr">
        <is>
          <t>mule deer</t>
        </is>
      </c>
      <c r="C782" s="4" t="inlineStr">
        <is>
          <t>General Deer License</t>
        </is>
      </c>
      <c r="D782" s="13" t="inlineStr">
        <is>
          <t>General license</t>
        </is>
      </c>
      <c r="E782" s="4" t="inlineStr">
        <is>
          <t>Either-sex Mule Deer</t>
        </is>
      </c>
      <c r="F782" s="4" t="inlineStr">
        <is>
          <t>Sep 05-Oct 18</t>
        </is>
      </c>
      <c r="G782" s="4" t="n"/>
      <c r="H782" s="4" t="n"/>
      <c r="I782" s="4" t="n"/>
      <c r="J782" s="4" t="n"/>
      <c r="K782" s="4" t="n"/>
      <c r="L782" s="4" t="n"/>
    </row>
    <row r="783">
      <c r="A783" s="4" t="inlineStr">
        <is>
          <t>350</t>
        </is>
      </c>
      <c r="B783" s="4" t="inlineStr">
        <is>
          <t>mule deer</t>
        </is>
      </c>
      <c r="C783" s="4" t="inlineStr">
        <is>
          <t>General Deer License</t>
        </is>
      </c>
      <c r="D783" s="13" t="inlineStr">
        <is>
          <t>General license</t>
        </is>
      </c>
      <c r="E783" s="4" t="inlineStr">
        <is>
          <t>Antlered Buck Mule Deer</t>
        </is>
      </c>
      <c r="F783" s="4" t="n"/>
      <c r="G783" s="4" t="inlineStr">
        <is>
          <t>Oct 24-Nov 29</t>
        </is>
      </c>
      <c r="H783" s="4" t="inlineStr">
        <is>
          <t>Dec 12-Dec 20</t>
        </is>
      </c>
      <c r="I783" s="4" t="n"/>
      <c r="J783" s="4" t="n"/>
      <c r="K783" s="4" t="n"/>
      <c r="L783" s="4" t="n"/>
    </row>
    <row r="784">
      <c r="A784" s="4" t="inlineStr">
        <is>
          <t>350</t>
        </is>
      </c>
      <c r="B784" s="4" t="inlineStr">
        <is>
          <t>mule deer</t>
        </is>
      </c>
      <c r="C784" s="4" t="inlineStr">
        <is>
          <t>Deer B License: 350-01</t>
        </is>
      </c>
      <c r="D784" s="15" t="inlineStr">
        <is>
          <t>Drawing</t>
        </is>
      </c>
      <c r="E784" s="4" t="inlineStr">
        <is>
          <t>Antlerless Mule Deer</t>
        </is>
      </c>
      <c r="F784" s="4" t="inlineStr">
        <is>
          <t>Sep 05-Oct 18</t>
        </is>
      </c>
      <c r="G784" s="4" t="inlineStr">
        <is>
          <t>Oct 24-Nov 29</t>
        </is>
      </c>
      <c r="H784" s="4" t="inlineStr">
        <is>
          <t>Dec 12-Dec 20</t>
        </is>
      </c>
      <c r="I784" s="4" t="n"/>
      <c r="J784" s="4" t="inlineStr">
        <is>
          <t>Jun 1</t>
        </is>
      </c>
      <c r="K784" s="4" t="inlineStr">
        <is>
          <t>50</t>
        </is>
      </c>
      <c r="L784" s="4" t="inlineStr">
        <is>
          <t>Only valid on private land.</t>
        </is>
      </c>
    </row>
    <row r="785">
      <c r="A785" s="4" t="inlineStr">
        <is>
          <t>360</t>
        </is>
      </c>
      <c r="B785" s="4" t="inlineStr">
        <is>
          <t>mule deer</t>
        </is>
      </c>
      <c r="C785" s="4" t="inlineStr">
        <is>
          <t>General Deer License</t>
        </is>
      </c>
      <c r="D785" s="13" t="inlineStr">
        <is>
          <t>General license</t>
        </is>
      </c>
      <c r="E785" s="4" t="inlineStr">
        <is>
          <t>Either-sex Mule Deer</t>
        </is>
      </c>
      <c r="F785" s="4" t="inlineStr">
        <is>
          <t>Sep 05-Oct 18</t>
        </is>
      </c>
      <c r="G785" s="4" t="n"/>
      <c r="H785" s="4" t="n"/>
      <c r="I785" s="4" t="n"/>
      <c r="J785" s="4" t="n"/>
      <c r="K785" s="4" t="n"/>
      <c r="L785" s="4" t="n"/>
    </row>
    <row r="786">
      <c r="A786" s="4" t="inlineStr">
        <is>
          <t>360</t>
        </is>
      </c>
      <c r="B786" s="4" t="inlineStr">
        <is>
          <t>mule deer</t>
        </is>
      </c>
      <c r="C786" s="4" t="inlineStr">
        <is>
          <t>General Deer License</t>
        </is>
      </c>
      <c r="D786" s="13" t="inlineStr">
        <is>
          <t>General license</t>
        </is>
      </c>
      <c r="E786" s="4" t="inlineStr">
        <is>
          <t>Antlered Buck Mule Deer</t>
        </is>
      </c>
      <c r="F786" s="4" t="n"/>
      <c r="G786" s="4" t="inlineStr">
        <is>
          <t>Oct 24-Nov 29</t>
        </is>
      </c>
      <c r="H786" s="4" t="inlineStr">
        <is>
          <t>Dec 12-Dec 20</t>
        </is>
      </c>
      <c r="I786" s="4" t="n"/>
      <c r="J786" s="4" t="n"/>
      <c r="K786" s="4" t="n"/>
      <c r="L786" s="4" t="n"/>
    </row>
    <row r="787">
      <c r="A787" s="4" t="inlineStr">
        <is>
          <t>361</t>
        </is>
      </c>
      <c r="B787" s="4" t="inlineStr">
        <is>
          <t>mule deer</t>
        </is>
      </c>
      <c r="C787" s="4" t="inlineStr">
        <is>
          <t>General Deer License</t>
        </is>
      </c>
      <c r="D787" s="13" t="inlineStr">
        <is>
          <t>General license</t>
        </is>
      </c>
      <c r="E787" s="4" t="inlineStr">
        <is>
          <t>Either-sex Mule Deer</t>
        </is>
      </c>
      <c r="F787" s="4" t="inlineStr">
        <is>
          <t>Sep 05-Oct 18</t>
        </is>
      </c>
      <c r="G787" s="4" t="n"/>
      <c r="H787" s="4" t="n"/>
      <c r="I787" s="4" t="n"/>
      <c r="J787" s="4" t="n"/>
      <c r="K787" s="4" t="n"/>
      <c r="L787" s="4" t="n"/>
    </row>
    <row r="788">
      <c r="A788" s="4" t="inlineStr">
        <is>
          <t>361</t>
        </is>
      </c>
      <c r="B788" s="4" t="inlineStr">
        <is>
          <t>mule deer</t>
        </is>
      </c>
      <c r="C788" s="4" t="inlineStr">
        <is>
          <t>General Deer License</t>
        </is>
      </c>
      <c r="D788" s="13" t="inlineStr">
        <is>
          <t>General license</t>
        </is>
      </c>
      <c r="E788" s="4" t="inlineStr">
        <is>
          <t>Antlered Buck Mule Deer</t>
        </is>
      </c>
      <c r="F788" s="4" t="n"/>
      <c r="G788" s="4" t="inlineStr">
        <is>
          <t>Oct 24-Nov 29</t>
        </is>
      </c>
      <c r="H788" s="4" t="inlineStr">
        <is>
          <t>Dec 12-Dec 20</t>
        </is>
      </c>
      <c r="I788" s="4" t="n"/>
      <c r="J788" s="4" t="n"/>
      <c r="K788" s="4" t="n"/>
      <c r="L788" s="4" t="n"/>
    </row>
    <row r="789">
      <c r="A789" s="4" t="inlineStr">
        <is>
          <t>370</t>
        </is>
      </c>
      <c r="B789" s="4" t="inlineStr">
        <is>
          <t>mule deer</t>
        </is>
      </c>
      <c r="C789" s="4" t="inlineStr">
        <is>
          <t>General Deer License</t>
        </is>
      </c>
      <c r="D789" s="13" t="inlineStr">
        <is>
          <t>General license</t>
        </is>
      </c>
      <c r="E789" s="4" t="inlineStr">
        <is>
          <t>Either-sex Mule Deer</t>
        </is>
      </c>
      <c r="F789" s="4" t="inlineStr">
        <is>
          <t>Sep 05-Oct 18</t>
        </is>
      </c>
      <c r="G789" s="4" t="n"/>
      <c r="H789" s="4" t="n"/>
      <c r="I789" s="4" t="n"/>
      <c r="J789" s="4" t="n"/>
      <c r="K789" s="4" t="n"/>
      <c r="L789" s="4" t="n"/>
    </row>
    <row r="790">
      <c r="A790" s="4" t="inlineStr">
        <is>
          <t>370</t>
        </is>
      </c>
      <c r="B790" s="4" t="inlineStr">
        <is>
          <t>mule deer</t>
        </is>
      </c>
      <c r="C790" s="4" t="inlineStr">
        <is>
          <t>General Deer License</t>
        </is>
      </c>
      <c r="D790" s="13" t="inlineStr">
        <is>
          <t>General license</t>
        </is>
      </c>
      <c r="E790" s="4" t="inlineStr">
        <is>
          <t>Antlered Buck Mule Deer</t>
        </is>
      </c>
      <c r="F790" s="4" t="n"/>
      <c r="G790" s="4" t="inlineStr">
        <is>
          <t>Oct 24-Nov 29</t>
        </is>
      </c>
      <c r="H790" s="4" t="inlineStr">
        <is>
          <t>Dec 12-Dec 20</t>
        </is>
      </c>
      <c r="I790" s="4" t="n"/>
      <c r="J790" s="4" t="n"/>
      <c r="K790" s="4" t="n"/>
      <c r="L790" s="4" t="n"/>
    </row>
    <row r="791">
      <c r="A791" s="4" t="inlineStr">
        <is>
          <t>370</t>
        </is>
      </c>
      <c r="B791" s="4" t="inlineStr">
        <is>
          <t>mule deer</t>
        </is>
      </c>
      <c r="C791" s="4" t="inlineStr">
        <is>
          <t>Deer B License: 370-01</t>
        </is>
      </c>
      <c r="D791" s="15" t="inlineStr">
        <is>
          <t>Drawing</t>
        </is>
      </c>
      <c r="E791" s="4" t="inlineStr">
        <is>
          <t>Antlerless Mule Deer</t>
        </is>
      </c>
      <c r="F791" s="4" t="inlineStr">
        <is>
          <t>Sep 05-Oct 18</t>
        </is>
      </c>
      <c r="G791" s="4" t="inlineStr">
        <is>
          <t>Oct 24-Nov 29</t>
        </is>
      </c>
      <c r="H791" s="4" t="inlineStr">
        <is>
          <t>Dec 12-Dec 20</t>
        </is>
      </c>
      <c r="I791" s="4" t="n"/>
      <c r="J791" s="4" t="inlineStr">
        <is>
          <t>Jun 1</t>
        </is>
      </c>
      <c r="K791" s="4" t="inlineStr">
        <is>
          <t>50</t>
        </is>
      </c>
      <c r="L791" s="4" t="inlineStr">
        <is>
          <t>Only valid on private land.</t>
        </is>
      </c>
    </row>
    <row r="792">
      <c r="A792" s="4" t="inlineStr">
        <is>
          <t>380</t>
        </is>
      </c>
      <c r="B792" s="4" t="inlineStr">
        <is>
          <t>mule deer</t>
        </is>
      </c>
      <c r="C792" s="4" t="inlineStr">
        <is>
          <t>General Deer License</t>
        </is>
      </c>
      <c r="D792" s="13" t="inlineStr">
        <is>
          <t>General license</t>
        </is>
      </c>
      <c r="E792" s="4" t="inlineStr">
        <is>
          <t>Antlerless Mule Deer</t>
        </is>
      </c>
      <c r="F792" s="4" t="inlineStr">
        <is>
          <t>Sep 05-Oct 18</t>
        </is>
      </c>
      <c r="G792" s="4" t="n"/>
      <c r="H792" s="4" t="n"/>
      <c r="I792" s="4" t="n"/>
      <c r="J792" s="4" t="n"/>
      <c r="K792" s="4" t="n"/>
      <c r="L792" s="4" t="n"/>
    </row>
    <row r="793">
      <c r="A793" s="4" t="inlineStr">
        <is>
          <t>380</t>
        </is>
      </c>
      <c r="B793" s="4" t="inlineStr">
        <is>
          <t>mule deer</t>
        </is>
      </c>
      <c r="C793" s="4" t="inlineStr">
        <is>
          <t>Deer B License: 380-02</t>
        </is>
      </c>
      <c r="D793" s="15" t="inlineStr">
        <is>
          <t>Drawing</t>
        </is>
      </c>
      <c r="E793" s="4" t="inlineStr">
        <is>
          <t>Antlerless Mule Deer</t>
        </is>
      </c>
      <c r="F793" s="4" t="inlineStr">
        <is>
          <t>Sep 05-Oct 18</t>
        </is>
      </c>
      <c r="G793" s="4" t="inlineStr">
        <is>
          <t>Oct 24-Nov 29</t>
        </is>
      </c>
      <c r="H793" s="4" t="inlineStr">
        <is>
          <t>Dec 12-Dec 20</t>
        </is>
      </c>
      <c r="I793" s="4" t="n"/>
      <c r="J793" s="4" t="inlineStr">
        <is>
          <t>Jun 1</t>
        </is>
      </c>
      <c r="K793" s="4" t="inlineStr">
        <is>
          <t>75</t>
        </is>
      </c>
      <c r="L793" s="4" t="inlineStr">
        <is>
          <t>Not valid on National Forest lands.</t>
        </is>
      </c>
    </row>
    <row r="794">
      <c r="A794" s="4" t="inlineStr">
        <is>
          <t>380</t>
        </is>
      </c>
      <c r="B794" s="4" t="inlineStr">
        <is>
          <t>mule deer</t>
        </is>
      </c>
      <c r="C794" s="4" t="inlineStr">
        <is>
          <t>Deer Permit: 380-50</t>
        </is>
      </c>
      <c r="D794" s="15" t="inlineStr">
        <is>
          <t>Drawing</t>
        </is>
      </c>
      <c r="E794" s="4" t="inlineStr">
        <is>
          <t>Antlered Buck Mule Deer</t>
        </is>
      </c>
      <c r="F794" s="4" t="inlineStr">
        <is>
          <t>Sep 05-Oct 18</t>
        </is>
      </c>
      <c r="G794" s="4" t="inlineStr">
        <is>
          <t>Oct 24-Nov 29</t>
        </is>
      </c>
      <c r="H794" s="4" t="inlineStr">
        <is>
          <t>Dec 12-Dec 20</t>
        </is>
      </c>
      <c r="I794" s="4" t="n"/>
      <c r="J794" s="4" t="inlineStr">
        <is>
          <t>April 1</t>
        </is>
      </c>
      <c r="K794" s="4" t="inlineStr">
        <is>
          <t>700</t>
        </is>
      </c>
      <c r="L794" s="4" t="inlineStr">
        <is>
          <t>One per hunter. Permit must be used with a valid General Deer License. Holders may not hunt Antlered Buck Mule Deer in any other HD.</t>
        </is>
      </c>
    </row>
    <row r="795">
      <c r="A795" s="4" t="inlineStr">
        <is>
          <t>388</t>
        </is>
      </c>
      <c r="B795" s="4" t="inlineStr">
        <is>
          <t>mule deer</t>
        </is>
      </c>
      <c r="C795" s="4" t="inlineStr">
        <is>
          <t>General Deer License</t>
        </is>
      </c>
      <c r="D795" s="13" t="inlineStr">
        <is>
          <t>General license</t>
        </is>
      </c>
      <c r="E795" s="4" t="inlineStr">
        <is>
          <t>Either-sex Mule Deer</t>
        </is>
      </c>
      <c r="F795" s="4" t="inlineStr">
        <is>
          <t>Sep 05-Oct 18</t>
        </is>
      </c>
      <c r="G795" s="4" t="inlineStr">
        <is>
          <t>Oct 24-Nov 29</t>
        </is>
      </c>
      <c r="H795" s="4" t="inlineStr">
        <is>
          <t>Dec 12-Dec 20</t>
        </is>
      </c>
      <c r="I795" s="4" t="n"/>
      <c r="J795" s="4" t="n"/>
      <c r="K795" s="4" t="n"/>
      <c r="L795" s="4" t="inlineStr">
        <is>
          <t>Outside Weapons Restriction Area.</t>
        </is>
      </c>
    </row>
    <row r="796">
      <c r="A796" s="4" t="inlineStr">
        <is>
          <t>388</t>
        </is>
      </c>
      <c r="B796" s="4" t="inlineStr">
        <is>
          <t>mule deer</t>
        </is>
      </c>
      <c r="C796" s="4" t="inlineStr">
        <is>
          <t>Deer B License: 388-00</t>
        </is>
      </c>
      <c r="D796" s="4" t="inlineStr">
        <is>
          <t>Over the counter</t>
        </is>
      </c>
      <c r="E796" s="4" t="inlineStr">
        <is>
          <t>Antlerless Mule Deer</t>
        </is>
      </c>
      <c r="F796" s="4" t="inlineStr">
        <is>
          <t>Sep 05-Oct 18</t>
        </is>
      </c>
      <c r="G796" s="4" t="inlineStr">
        <is>
          <t>Oct 24-Nov 29</t>
        </is>
      </c>
      <c r="H796" s="4" t="inlineStr">
        <is>
          <t>Dec 12-Dec 20</t>
        </is>
      </c>
      <c r="I796" s="4" t="n"/>
      <c r="J796" s="4" t="inlineStr">
        <is>
          <t>OTC: Jun 15</t>
        </is>
      </c>
      <c r="K796" s="4" t="inlineStr">
        <is>
          <t>UNL</t>
        </is>
      </c>
      <c r="L796" s="4" t="inlineStr">
        <is>
          <t>Outside Weapons Restriction Area. Two per hunter. DEER Inside the Weapons Restriction Area General Deer License Either-sex Mule Deer Sep 05-NOV 29 Dec 12-Dec 20 - Weapons Restriction Area.</t>
        </is>
      </c>
    </row>
    <row r="797">
      <c r="A797" s="4" t="inlineStr">
        <is>
          <t>388</t>
        </is>
      </c>
      <c r="B797" s="4" t="inlineStr">
        <is>
          <t>mule deer</t>
        </is>
      </c>
      <c r="C797" s="4" t="inlineStr">
        <is>
          <t>Deer B License: 388-00</t>
        </is>
      </c>
      <c r="D797" s="4" t="inlineStr">
        <is>
          <t>Over the counter</t>
        </is>
      </c>
      <c r="E797" s="4" t="inlineStr">
        <is>
          <t>Antlerless Mule Deer</t>
        </is>
      </c>
      <c r="F797" s="4" t="n"/>
      <c r="G797" s="4" t="inlineStr">
        <is>
          <t>Sep 05-Nov 29</t>
        </is>
      </c>
      <c r="H797" s="4" t="inlineStr">
        <is>
          <t>Dec 12-Dec 20</t>
        </is>
      </c>
      <c r="I797" s="4" t="n"/>
      <c r="J797" s="4" t="inlineStr">
        <is>
          <t>OTC: Jun 15</t>
        </is>
      </c>
      <c r="K797" s="4" t="inlineStr">
        <is>
          <t>UNL</t>
        </is>
      </c>
      <c r="L797" s="4" t="inlineStr">
        <is>
          <t>Weapons Restriction Area. Two per hunter.</t>
        </is>
      </c>
    </row>
    <row r="798">
      <c r="A798" s="4" t="inlineStr">
        <is>
          <t>390</t>
        </is>
      </c>
      <c r="B798" s="4" t="inlineStr">
        <is>
          <t>mule deer</t>
        </is>
      </c>
      <c r="C798" s="4" t="inlineStr">
        <is>
          <t>General Deer License</t>
        </is>
      </c>
      <c r="D798" s="13" t="inlineStr">
        <is>
          <t>General license</t>
        </is>
      </c>
      <c r="E798" s="4" t="inlineStr">
        <is>
          <t>Either-sex Mule Deer</t>
        </is>
      </c>
      <c r="F798" s="4" t="inlineStr">
        <is>
          <t>Sep 05-Oct 18</t>
        </is>
      </c>
      <c r="G798" s="4" t="n"/>
      <c r="H798" s="4" t="n"/>
      <c r="I798" s="4" t="n"/>
      <c r="J798" s="4" t="n"/>
      <c r="K798" s="4" t="n"/>
      <c r="L798" s="4" t="n"/>
    </row>
    <row r="799">
      <c r="A799" s="4" t="inlineStr">
        <is>
          <t>390</t>
        </is>
      </c>
      <c r="B799" s="4" t="inlineStr">
        <is>
          <t>mule deer</t>
        </is>
      </c>
      <c r="C799" s="4" t="inlineStr">
        <is>
          <t>General Deer License</t>
        </is>
      </c>
      <c r="D799" s="13" t="inlineStr">
        <is>
          <t>General license</t>
        </is>
      </c>
      <c r="E799" s="4" t="inlineStr">
        <is>
          <t>Antlered Buck Mule Deer</t>
        </is>
      </c>
      <c r="F799" s="4" t="n"/>
      <c r="G799" s="4" t="inlineStr">
        <is>
          <t>Oct 24-Nov 29</t>
        </is>
      </c>
      <c r="H799" s="4" t="inlineStr">
        <is>
          <t>Dec 12-Dec 20</t>
        </is>
      </c>
      <c r="I799" s="4" t="n"/>
      <c r="J799" s="4" t="n"/>
      <c r="K799" s="4" t="n"/>
      <c r="L799" s="4" t="n"/>
    </row>
    <row r="800">
      <c r="A800" s="4" t="inlineStr">
        <is>
          <t>390</t>
        </is>
      </c>
      <c r="B800" s="4" t="inlineStr">
        <is>
          <t>mule deer</t>
        </is>
      </c>
      <c r="C800" s="4" t="inlineStr">
        <is>
          <t>Deer B License: 390-01</t>
        </is>
      </c>
      <c r="D800" s="15" t="inlineStr">
        <is>
          <t>Drawing</t>
        </is>
      </c>
      <c r="E800" s="4" t="inlineStr">
        <is>
          <t>Antlerless Mule Deer</t>
        </is>
      </c>
      <c r="F800" s="4" t="inlineStr">
        <is>
          <t>Sep 05-Oct 18</t>
        </is>
      </c>
      <c r="G800" s="4" t="inlineStr">
        <is>
          <t>Oct 24-Nov 29</t>
        </is>
      </c>
      <c r="H800" s="4" t="inlineStr">
        <is>
          <t>Dec 12-Dec 20</t>
        </is>
      </c>
      <c r="I800" s="4" t="n"/>
      <c r="J800" s="4" t="inlineStr">
        <is>
          <t>Jun 1</t>
        </is>
      </c>
      <c r="K800" s="4" t="inlineStr">
        <is>
          <t>75</t>
        </is>
      </c>
      <c r="L800" s="4" t="inlineStr">
        <is>
          <t>Only valid on private land.</t>
        </is>
      </c>
    </row>
    <row r="801">
      <c r="A801" s="4" t="inlineStr">
        <is>
          <t>391</t>
        </is>
      </c>
      <c r="B801" s="4" t="inlineStr">
        <is>
          <t>mule deer</t>
        </is>
      </c>
      <c r="C801" s="4" t="inlineStr">
        <is>
          <t>General Deer License</t>
        </is>
      </c>
      <c r="D801" s="13" t="inlineStr">
        <is>
          <t>General license</t>
        </is>
      </c>
      <c r="E801" s="4" t="inlineStr">
        <is>
          <t>Either-sex Mule Deer</t>
        </is>
      </c>
      <c r="F801" s="4" t="inlineStr">
        <is>
          <t>Sep 05-Oct 18</t>
        </is>
      </c>
      <c r="G801" s="4" t="n"/>
      <c r="H801" s="4" t="n"/>
      <c r="I801" s="4" t="n"/>
      <c r="J801" s="4" t="n"/>
      <c r="K801" s="4" t="n"/>
      <c r="L801" s="4" t="n"/>
    </row>
    <row r="802">
      <c r="A802" s="4" t="inlineStr">
        <is>
          <t>391</t>
        </is>
      </c>
      <c r="B802" s="4" t="inlineStr">
        <is>
          <t>mule deer</t>
        </is>
      </c>
      <c r="C802" s="4" t="inlineStr">
        <is>
          <t>General Deer License</t>
        </is>
      </c>
      <c r="D802" s="13" t="inlineStr">
        <is>
          <t>General license</t>
        </is>
      </c>
      <c r="E802" s="4" t="inlineStr">
        <is>
          <t>Antlered Buck Mule Deer</t>
        </is>
      </c>
      <c r="F802" s="4" t="n"/>
      <c r="G802" s="4" t="inlineStr">
        <is>
          <t>Oct 24-Nov 29</t>
        </is>
      </c>
      <c r="H802" s="4" t="inlineStr">
        <is>
          <t>Dec 12-Dec 20</t>
        </is>
      </c>
      <c r="I802" s="4" t="n"/>
      <c r="J802" s="4" t="n"/>
      <c r="K802" s="4" t="n"/>
      <c r="L802" s="4" t="n"/>
    </row>
    <row r="803">
      <c r="A803" s="4" t="inlineStr">
        <is>
          <t>391</t>
        </is>
      </c>
      <c r="B803" s="4" t="inlineStr">
        <is>
          <t>mule deer</t>
        </is>
      </c>
      <c r="C803" s="4" t="inlineStr">
        <is>
          <t>Deer B License: 391-02</t>
        </is>
      </c>
      <c r="D803" s="15" t="inlineStr">
        <is>
          <t>Drawing</t>
        </is>
      </c>
      <c r="E803" s="4" t="inlineStr">
        <is>
          <t>Antlerless Mule Deer</t>
        </is>
      </c>
      <c r="F803" s="4" t="inlineStr">
        <is>
          <t>Sep 05-Oct 18</t>
        </is>
      </c>
      <c r="G803" s="4" t="inlineStr">
        <is>
          <t>Oct 24-Nov 29</t>
        </is>
      </c>
      <c r="H803" s="4" t="inlineStr">
        <is>
          <t>Dec 12-Dec 20</t>
        </is>
      </c>
      <c r="I803" s="4" t="n"/>
      <c r="J803" s="4" t="inlineStr">
        <is>
          <t>Jun 1</t>
        </is>
      </c>
      <c r="K803" s="4" t="inlineStr">
        <is>
          <t>175</t>
        </is>
      </c>
      <c r="L803" s="4" t="inlineStr">
        <is>
          <t>Only valid on private land.</t>
        </is>
      </c>
    </row>
    <row r="804">
      <c r="A804" s="4" t="inlineStr">
        <is>
          <t>392</t>
        </is>
      </c>
      <c r="B804" s="4" t="inlineStr">
        <is>
          <t>mule deer</t>
        </is>
      </c>
      <c r="C804" s="4" t="inlineStr">
        <is>
          <t>General Deer License</t>
        </is>
      </c>
      <c r="D804" s="13" t="inlineStr">
        <is>
          <t>General license</t>
        </is>
      </c>
      <c r="E804" s="4" t="inlineStr">
        <is>
          <t>Antlerless Mule Deer</t>
        </is>
      </c>
      <c r="F804" s="4" t="inlineStr">
        <is>
          <t>Sep 05-Oct 18</t>
        </is>
      </c>
      <c r="G804" s="4" t="n"/>
      <c r="H804" s="4" t="n"/>
      <c r="I804" s="4" t="n"/>
      <c r="J804" s="4" t="n"/>
      <c r="K804" s="4" t="n"/>
      <c r="L804" s="4" t="n"/>
    </row>
    <row r="805">
      <c r="A805" s="4" t="inlineStr">
        <is>
          <t>392</t>
        </is>
      </c>
      <c r="B805" s="4" t="inlineStr">
        <is>
          <t>mule deer</t>
        </is>
      </c>
      <c r="C805" s="4" t="inlineStr">
        <is>
          <t>Deer B License: 392-01</t>
        </is>
      </c>
      <c r="D805" s="15" t="inlineStr">
        <is>
          <t>Drawing</t>
        </is>
      </c>
      <c r="E805" s="4" t="inlineStr">
        <is>
          <t>Antlerless Mule Deer</t>
        </is>
      </c>
      <c r="F805" s="4" t="inlineStr">
        <is>
          <t>Sep 05-Oct 18</t>
        </is>
      </c>
      <c r="G805" s="4" t="inlineStr">
        <is>
          <t>Oct 24-Nov 29</t>
        </is>
      </c>
      <c r="H805" s="4" t="inlineStr">
        <is>
          <t>Dec 12-Dec 20</t>
        </is>
      </c>
      <c r="I805" s="4" t="n"/>
      <c r="J805" s="4" t="inlineStr">
        <is>
          <t>Jun 1</t>
        </is>
      </c>
      <c r="K805" s="4" t="inlineStr">
        <is>
          <t>50</t>
        </is>
      </c>
      <c r="L805" s="4" t="n"/>
    </row>
    <row r="806">
      <c r="A806" s="4" t="inlineStr">
        <is>
          <t>392</t>
        </is>
      </c>
      <c r="B806" s="4" t="inlineStr">
        <is>
          <t>mule deer</t>
        </is>
      </c>
      <c r="C806" s="4" t="inlineStr">
        <is>
          <t>Deer Permit: 392-50</t>
        </is>
      </c>
      <c r="D806" s="15" t="inlineStr">
        <is>
          <t>Drawing</t>
        </is>
      </c>
      <c r="E806" s="4" t="inlineStr">
        <is>
          <t>Antlered Buck Mule Deer</t>
        </is>
      </c>
      <c r="F806" s="4" t="inlineStr">
        <is>
          <t>Sep 05-Oct 18</t>
        </is>
      </c>
      <c r="G806" s="4" t="inlineStr">
        <is>
          <t>Oct 24-Nov 29</t>
        </is>
      </c>
      <c r="H806" s="4" t="inlineStr">
        <is>
          <t>Dec 12-Dec 20</t>
        </is>
      </c>
      <c r="I806" s="4" t="n"/>
      <c r="J806" s="4" t="inlineStr">
        <is>
          <t>April 1</t>
        </is>
      </c>
      <c r="K806" s="4" t="inlineStr">
        <is>
          <t>500</t>
        </is>
      </c>
      <c r="L806" s="4" t="inlineStr">
        <is>
          <t>Permit must be used with a valid General Deer License. Holders may not hunt Antlered Buck Mule Deer in any other HD.</t>
        </is>
      </c>
    </row>
    <row r="807">
      <c r="A807" s="4" t="inlineStr">
        <is>
          <t>393</t>
        </is>
      </c>
      <c r="B807" s="4" t="inlineStr">
        <is>
          <t>mule deer</t>
        </is>
      </c>
      <c r="C807" s="4" t="inlineStr">
        <is>
          <t>General Deer License</t>
        </is>
      </c>
      <c r="D807" s="13" t="inlineStr">
        <is>
          <t>General license</t>
        </is>
      </c>
      <c r="E807" s="4" t="inlineStr">
        <is>
          <t>Antlered Buck Mule Deer</t>
        </is>
      </c>
      <c r="F807" s="4" t="inlineStr">
        <is>
          <t>Sep 05-Oct 18</t>
        </is>
      </c>
      <c r="G807" s="4" t="inlineStr">
        <is>
          <t>Oct 24-Nov 29</t>
        </is>
      </c>
      <c r="H807" s="4" t="inlineStr">
        <is>
          <t>Dec 12-Dec 20</t>
        </is>
      </c>
      <c r="I807" s="4" t="n"/>
      <c r="J807" s="4" t="n"/>
      <c r="K807" s="4" t="n"/>
      <c r="L807" s="4" t="n"/>
    </row>
    <row r="808">
      <c r="A808" s="4" t="inlineStr">
        <is>
          <t>393</t>
        </is>
      </c>
      <c r="B808" s="4" t="inlineStr">
        <is>
          <t>mule deer</t>
        </is>
      </c>
      <c r="C808" s="4" t="inlineStr">
        <is>
          <t>Deer B License: 393-01</t>
        </is>
      </c>
      <c r="D808" s="15" t="inlineStr">
        <is>
          <t>Drawing</t>
        </is>
      </c>
      <c r="E808" s="4" t="inlineStr">
        <is>
          <t>Antlerless Mule Deer</t>
        </is>
      </c>
      <c r="F808" s="4" t="inlineStr">
        <is>
          <t>Sep 05-Oct 18</t>
        </is>
      </c>
      <c r="G808" s="4" t="inlineStr">
        <is>
          <t>Oct 24-Nov 29</t>
        </is>
      </c>
      <c r="H808" s="4" t="inlineStr">
        <is>
          <t>Dec 12-Dec 20</t>
        </is>
      </c>
      <c r="I808" s="4" t="n"/>
      <c r="J808" s="4" t="inlineStr">
        <is>
          <t>Jun 1</t>
        </is>
      </c>
      <c r="K808" s="4" t="inlineStr">
        <is>
          <t>100</t>
        </is>
      </c>
      <c r="L808" s="4" t="inlineStr">
        <is>
          <t>Valid on private land only.</t>
        </is>
      </c>
    </row>
    <row r="809">
      <c r="A809" s="4" t="inlineStr">
        <is>
          <t>400</t>
        </is>
      </c>
      <c r="B809" s="4" t="inlineStr">
        <is>
          <t>mule deer</t>
        </is>
      </c>
      <c r="C809" s="4" t="inlineStr">
        <is>
          <t>General Deer License</t>
        </is>
      </c>
      <c r="D809" s="13" t="inlineStr">
        <is>
          <t>General license</t>
        </is>
      </c>
      <c r="E809" s="4" t="inlineStr">
        <is>
          <t>Either-sex Mule Deer</t>
        </is>
      </c>
      <c r="F809" s="4" t="inlineStr">
        <is>
          <t>Sep 05-Oct 18</t>
        </is>
      </c>
      <c r="G809" s="4" t="n"/>
      <c r="H809" s="4" t="n"/>
      <c r="I809" s="4" t="n"/>
      <c r="J809" s="4" t="n"/>
      <c r="K809" s="4" t="n"/>
      <c r="L809" s="4" t="n"/>
    </row>
    <row r="810">
      <c r="A810" s="4" t="inlineStr">
        <is>
          <t>400</t>
        </is>
      </c>
      <c r="B810" s="4" t="inlineStr">
        <is>
          <t>mule deer</t>
        </is>
      </c>
      <c r="C810" s="4" t="inlineStr">
        <is>
          <t>General Deer License</t>
        </is>
      </c>
      <c r="D810" s="13" t="inlineStr">
        <is>
          <t>General license</t>
        </is>
      </c>
      <c r="E810" s="4" t="inlineStr">
        <is>
          <t>Either-sex Mule Deer</t>
        </is>
      </c>
      <c r="F810" s="4" t="n"/>
      <c r="G810" s="4" t="inlineStr">
        <is>
          <t>Oct 24-Nov 15</t>
        </is>
      </c>
      <c r="H810" s="4" t="n"/>
      <c r="I810" s="4" t="n"/>
      <c r="J810" s="4" t="n"/>
      <c r="K810" s="4" t="n"/>
      <c r="L810" s="4" t="inlineStr">
        <is>
          <t>3-week general season.</t>
        </is>
      </c>
    </row>
    <row r="811">
      <c r="A811" s="4" t="inlineStr">
        <is>
          <t>400</t>
        </is>
      </c>
      <c r="B811" s="4" t="inlineStr">
        <is>
          <t>mule deer</t>
        </is>
      </c>
      <c r="C811" s="4" t="inlineStr">
        <is>
          <t>Deer B License: 400-00</t>
        </is>
      </c>
      <c r="D811" s="15" t="inlineStr">
        <is>
          <t>Drawing</t>
        </is>
      </c>
      <c r="E811" s="4" t="inlineStr">
        <is>
          <t>Antlerless Mule Deer</t>
        </is>
      </c>
      <c r="F811" s="4" t="inlineStr">
        <is>
          <t>Sep 05-Oct 18</t>
        </is>
      </c>
      <c r="G811" s="4" t="inlineStr">
        <is>
          <t>Oct 24-Nov 15</t>
        </is>
      </c>
      <c r="H811" s="4" t="n"/>
      <c r="I811" s="4" t="n"/>
      <c r="J811" s="4" t="inlineStr">
        <is>
          <t>Jun 1</t>
        </is>
      </c>
      <c r="K811" s="4" t="inlineStr">
        <is>
          <t>300</t>
        </is>
      </c>
      <c r="L811" s="4" t="n"/>
    </row>
    <row r="812">
      <c r="A812" s="4" t="inlineStr">
        <is>
          <t>400</t>
        </is>
      </c>
      <c r="B812" s="4" t="inlineStr">
        <is>
          <t>mule deer</t>
        </is>
      </c>
      <c r="C812" s="4" t="inlineStr">
        <is>
          <t>Deer Permit: 400-50</t>
        </is>
      </c>
      <c r="D812" s="15" t="inlineStr">
        <is>
          <t>Drawing</t>
        </is>
      </c>
      <c r="E812" s="4" t="inlineStr">
        <is>
          <t>Antlered Buck Mule Deer</t>
        </is>
      </c>
      <c r="F812" s="4" t="n"/>
      <c r="G812" s="4" t="inlineStr">
        <is>
          <t>Nov 16-Nov 29</t>
        </is>
      </c>
      <c r="H812" s="4" t="inlineStr">
        <is>
          <t>Dec 12-Dec 20</t>
        </is>
      </c>
      <c r="I812" s="4" t="n"/>
      <c r="J812" s="4" t="inlineStr">
        <is>
          <t>April 1</t>
        </is>
      </c>
      <c r="K812" s="4" t="inlineStr">
        <is>
          <t>110</t>
        </is>
      </c>
      <c r="L812" s="4" t="inlineStr">
        <is>
          <t>Permit must be used with a valid General Deer License. Holders may not hunt Antlered Buck Mule Deer in any other HD.</t>
        </is>
      </c>
    </row>
    <row r="813">
      <c r="A813" s="4" t="inlineStr">
        <is>
          <t>401</t>
        </is>
      </c>
      <c r="B813" s="4" t="inlineStr">
        <is>
          <t>mule deer</t>
        </is>
      </c>
      <c r="C813" s="4" t="inlineStr">
        <is>
          <t>General Deer License</t>
        </is>
      </c>
      <c r="D813" s="13" t="inlineStr">
        <is>
          <t>General license</t>
        </is>
      </c>
      <c r="E813" s="4" t="inlineStr">
        <is>
          <t>Either-sex Mule Deer</t>
        </is>
      </c>
      <c r="F813" s="4" t="inlineStr">
        <is>
          <t>Sep 05-Oct 18</t>
        </is>
      </c>
      <c r="G813" s="4" t="inlineStr">
        <is>
          <t>Oct 24-Nov 15</t>
        </is>
      </c>
      <c r="H813" s="4" t="n"/>
      <c r="I813" s="4" t="n"/>
      <c r="J813" s="4" t="n"/>
      <c r="K813" s="4" t="n"/>
      <c r="L813" s="4" t="inlineStr">
        <is>
          <t>3 week general season.</t>
        </is>
      </c>
    </row>
    <row r="814">
      <c r="A814" s="4" t="inlineStr">
        <is>
          <t>401</t>
        </is>
      </c>
      <c r="B814" s="4" t="inlineStr">
        <is>
          <t>mule deer</t>
        </is>
      </c>
      <c r="C814" s="4" t="inlineStr">
        <is>
          <t>Deer B License: 401-00</t>
        </is>
      </c>
      <c r="D814" s="15" t="inlineStr">
        <is>
          <t>Drawing</t>
        </is>
      </c>
      <c r="E814" s="4" t="inlineStr">
        <is>
          <t>Antlerless Mule Deer</t>
        </is>
      </c>
      <c r="F814" s="4" t="inlineStr">
        <is>
          <t>Sep 05-Oct 18</t>
        </is>
      </c>
      <c r="G814" s="4" t="inlineStr">
        <is>
          <t>Oct 24-Nov 15</t>
        </is>
      </c>
      <c r="H814" s="4" t="n"/>
      <c r="I814" s="4" t="n"/>
      <c r="J814" s="4" t="inlineStr">
        <is>
          <t>Jun 1</t>
        </is>
      </c>
      <c r="K814" s="4" t="inlineStr">
        <is>
          <t>200</t>
        </is>
      </c>
      <c r="L814" s="4" t="n"/>
    </row>
    <row r="815">
      <c r="A815" s="4" t="inlineStr">
        <is>
          <t>401</t>
        </is>
      </c>
      <c r="B815" s="4" t="inlineStr">
        <is>
          <t>mule deer</t>
        </is>
      </c>
      <c r="C815" s="4" t="inlineStr">
        <is>
          <t>Deer Permit: 401-50</t>
        </is>
      </c>
      <c r="D815" s="15" t="inlineStr">
        <is>
          <t>Drawing</t>
        </is>
      </c>
      <c r="E815" s="4" t="inlineStr">
        <is>
          <t>Antlered Buck Mule Deer</t>
        </is>
      </c>
      <c r="F815" s="4" t="n"/>
      <c r="G815" s="4" t="inlineStr">
        <is>
          <t>Nov 16-Nov 29</t>
        </is>
      </c>
      <c r="H815" s="4" t="inlineStr">
        <is>
          <t>Dec 12-Dec 20</t>
        </is>
      </c>
      <c r="I815" s="4" t="n"/>
      <c r="J815" s="4" t="inlineStr">
        <is>
          <t>April 1</t>
        </is>
      </c>
      <c r="K815" s="4" t="inlineStr">
        <is>
          <t>135</t>
        </is>
      </c>
      <c r="L815" s="4" t="inlineStr">
        <is>
          <t>Permit must be used with a valid General Deer License. Holders may not hunt Antlered Buck Mule Deer in any other HD.</t>
        </is>
      </c>
    </row>
    <row r="816">
      <c r="A816" s="4" t="inlineStr">
        <is>
          <t>403</t>
        </is>
      </c>
      <c r="B816" s="4" t="inlineStr">
        <is>
          <t>mule deer</t>
        </is>
      </c>
      <c r="C816" s="4" t="inlineStr">
        <is>
          <t>General Deer License</t>
        </is>
      </c>
      <c r="D816" s="13" t="inlineStr">
        <is>
          <t>General license</t>
        </is>
      </c>
      <c r="E816" s="4" t="inlineStr">
        <is>
          <t>Either-sex Mule Deer</t>
        </is>
      </c>
      <c r="F816" s="4" t="inlineStr">
        <is>
          <t>Sep 05-Oct 18</t>
        </is>
      </c>
      <c r="G816" s="4" t="inlineStr">
        <is>
          <t>Oct 24-Nov 15</t>
        </is>
      </c>
      <c r="H816" s="4" t="n"/>
      <c r="I816" s="4" t="n"/>
      <c r="J816" s="4" t="n"/>
      <c r="K816" s="4" t="n"/>
      <c r="L816" s="4" t="inlineStr">
        <is>
          <t>3 week general season.</t>
        </is>
      </c>
    </row>
    <row r="817">
      <c r="A817" s="4" t="inlineStr">
        <is>
          <t>403</t>
        </is>
      </c>
      <c r="B817" s="4" t="inlineStr">
        <is>
          <t>mule deer</t>
        </is>
      </c>
      <c r="C817" s="4" t="inlineStr">
        <is>
          <t>Deer B License: 403-00</t>
        </is>
      </c>
      <c r="D817" s="15" t="inlineStr">
        <is>
          <t>Drawing</t>
        </is>
      </c>
      <c r="E817" s="4" t="inlineStr">
        <is>
          <t>Antlerless Mule Deer</t>
        </is>
      </c>
      <c r="F817" s="4" t="inlineStr">
        <is>
          <t>Sep 05-Oct 18</t>
        </is>
      </c>
      <c r="G817" s="4" t="inlineStr">
        <is>
          <t>Oct 24-Nov 15</t>
        </is>
      </c>
      <c r="H817" s="4" t="n"/>
      <c r="I817" s="4" t="n"/>
      <c r="J817" s="4" t="inlineStr">
        <is>
          <t>Jun 1</t>
        </is>
      </c>
      <c r="K817" s="4" t="inlineStr">
        <is>
          <t>100</t>
        </is>
      </c>
      <c r="L817" s="4" t="n"/>
    </row>
    <row r="818">
      <c r="A818" s="4" t="inlineStr">
        <is>
          <t>403</t>
        </is>
      </c>
      <c r="B818" s="4" t="inlineStr">
        <is>
          <t>mule deer</t>
        </is>
      </c>
      <c r="C818" s="4" t="inlineStr">
        <is>
          <t>Deer Permit: 403-50</t>
        </is>
      </c>
      <c r="D818" s="15" t="inlineStr">
        <is>
          <t>Drawing</t>
        </is>
      </c>
      <c r="E818" s="4" t="inlineStr">
        <is>
          <t>Antlered Buck Mule Deer</t>
        </is>
      </c>
      <c r="F818" s="4" t="n"/>
      <c r="G818" s="4" t="inlineStr">
        <is>
          <t>Nov 16-Nov 29</t>
        </is>
      </c>
      <c r="H818" s="4" t="inlineStr">
        <is>
          <t>Dec 12-Dec 20</t>
        </is>
      </c>
      <c r="I818" s="4" t="n"/>
      <c r="J818" s="4" t="inlineStr">
        <is>
          <t>April 1</t>
        </is>
      </c>
      <c r="K818" s="4" t="inlineStr">
        <is>
          <t>30</t>
        </is>
      </c>
      <c r="L818" s="4" t="inlineStr">
        <is>
          <t>Permit must be used with a valid General Deer License. Holders may not hunt Antlered Buck Mule Deer in any other HD.</t>
        </is>
      </c>
    </row>
    <row r="819">
      <c r="A819" s="4" t="inlineStr">
        <is>
          <t>404</t>
        </is>
      </c>
      <c r="B819" s="4" t="inlineStr">
        <is>
          <t>mule deer</t>
        </is>
      </c>
      <c r="C819" s="4" t="inlineStr">
        <is>
          <t>General Deer License</t>
        </is>
      </c>
      <c r="D819" s="13" t="inlineStr">
        <is>
          <t>General license</t>
        </is>
      </c>
      <c r="E819" s="4" t="inlineStr">
        <is>
          <t>Either-sex Mule Deer</t>
        </is>
      </c>
      <c r="F819" s="4" t="inlineStr">
        <is>
          <t>Sep 05-Oct 18</t>
        </is>
      </c>
      <c r="G819" s="4" t="inlineStr">
        <is>
          <t>Oct 24-Nov 29</t>
        </is>
      </c>
      <c r="H819" s="4" t="inlineStr">
        <is>
          <t>Dec 12-Dec 20</t>
        </is>
      </c>
      <c r="I819" s="4" t="n"/>
      <c r="J819" s="4" t="n"/>
      <c r="K819" s="4" t="n"/>
      <c r="L819" s="4" t="n"/>
    </row>
    <row r="820">
      <c r="A820" s="4" t="inlineStr">
        <is>
          <t>404</t>
        </is>
      </c>
      <c r="B820" s="4" t="inlineStr">
        <is>
          <t>mule deer</t>
        </is>
      </c>
      <c r="C820" s="4" t="inlineStr">
        <is>
          <t>Deer B License: 404-00</t>
        </is>
      </c>
      <c r="D820" s="15" t="inlineStr">
        <is>
          <t>Drawing</t>
        </is>
      </c>
      <c r="E820" s="4" t="inlineStr">
        <is>
          <t>Antlerless Mule Deer</t>
        </is>
      </c>
      <c r="F820" s="4" t="inlineStr">
        <is>
          <t>Sep 05-Oct 18</t>
        </is>
      </c>
      <c r="G820" s="4" t="inlineStr">
        <is>
          <t>Oct 24-Nov 29</t>
        </is>
      </c>
      <c r="H820" s="4" t="inlineStr">
        <is>
          <t>Dec 12-Dec 20</t>
        </is>
      </c>
      <c r="I820" s="4" t="n"/>
      <c r="J820" s="4" t="inlineStr">
        <is>
          <t>Jun 1</t>
        </is>
      </c>
      <c r="K820" s="4" t="inlineStr">
        <is>
          <t>100</t>
        </is>
      </c>
      <c r="L820" s="4" t="n"/>
    </row>
    <row r="821">
      <c r="A821" s="4" t="inlineStr">
        <is>
          <t>405</t>
        </is>
      </c>
      <c r="B821" s="4" t="inlineStr">
        <is>
          <t>mule deer</t>
        </is>
      </c>
      <c r="C821" s="4" t="inlineStr">
        <is>
          <t>General Deer License</t>
        </is>
      </c>
      <c r="D821" s="13" t="inlineStr">
        <is>
          <t>General license</t>
        </is>
      </c>
      <c r="E821" s="4" t="inlineStr">
        <is>
          <t>Either-sex Mule Deer</t>
        </is>
      </c>
      <c r="F821" s="4" t="inlineStr">
        <is>
          <t>Sep 05-Oct 18</t>
        </is>
      </c>
      <c r="G821" s="4" t="inlineStr">
        <is>
          <t>Oct 24-Nov 29</t>
        </is>
      </c>
      <c r="H821" s="4" t="inlineStr">
        <is>
          <t>Dec 12-Dec 20</t>
        </is>
      </c>
      <c r="I821" s="4" t="n"/>
      <c r="J821" s="4" t="n"/>
      <c r="K821" s="4" t="n"/>
      <c r="L821" s="4" t="n"/>
    </row>
    <row r="822">
      <c r="A822" s="4" t="inlineStr">
        <is>
          <t>405</t>
        </is>
      </c>
      <c r="B822" s="4" t="inlineStr">
        <is>
          <t>mule deer</t>
        </is>
      </c>
      <c r="C822" s="4" t="inlineStr">
        <is>
          <t>Deer B License: 405-00</t>
        </is>
      </c>
      <c r="D822" s="15" t="inlineStr">
        <is>
          <t>Drawing</t>
        </is>
      </c>
      <c r="E822" s="4" t="inlineStr">
        <is>
          <t>Antlerless Mule Deer</t>
        </is>
      </c>
      <c r="F822" s="4" t="inlineStr">
        <is>
          <t>Sep 05-Oct 18</t>
        </is>
      </c>
      <c r="G822" s="4" t="inlineStr">
        <is>
          <t>Oct 24-Nov 29</t>
        </is>
      </c>
      <c r="H822" s="4" t="inlineStr">
        <is>
          <t>Dec 12-Dec 20</t>
        </is>
      </c>
      <c r="I822" s="4" t="n"/>
      <c r="J822" s="4" t="inlineStr">
        <is>
          <t>Jun 1</t>
        </is>
      </c>
      <c r="K822" s="4" t="inlineStr">
        <is>
          <t>400</t>
        </is>
      </c>
      <c r="L822" s="4" t="n"/>
    </row>
    <row r="823">
      <c r="A823" s="4" t="inlineStr">
        <is>
          <t>406</t>
        </is>
      </c>
      <c r="B823" s="4" t="inlineStr">
        <is>
          <t>mule deer</t>
        </is>
      </c>
      <c r="C823" s="4" t="inlineStr">
        <is>
          <t>General Deer License</t>
        </is>
      </c>
      <c r="D823" s="13" t="inlineStr">
        <is>
          <t>General license</t>
        </is>
      </c>
      <c r="E823" s="4" t="inlineStr">
        <is>
          <t>Either-sex Mule Deer</t>
        </is>
      </c>
      <c r="F823" s="4" t="inlineStr">
        <is>
          <t>Sep 05-Oct 18</t>
        </is>
      </c>
      <c r="G823" s="4" t="inlineStr">
        <is>
          <t>Oct 24-Nov 15</t>
        </is>
      </c>
      <c r="H823" s="4" t="n"/>
      <c r="I823" s="4" t="n"/>
      <c r="J823" s="4" t="n"/>
      <c r="K823" s="4" t="n"/>
      <c r="L823" s="4" t="inlineStr">
        <is>
          <t>3 week general season.</t>
        </is>
      </c>
    </row>
    <row r="824">
      <c r="A824" s="4" t="inlineStr">
        <is>
          <t>406</t>
        </is>
      </c>
      <c r="B824" s="4" t="inlineStr">
        <is>
          <t>mule deer</t>
        </is>
      </c>
      <c r="C824" s="4" t="inlineStr">
        <is>
          <t>Deer B License: 406-00</t>
        </is>
      </c>
      <c r="D824" s="15" t="inlineStr">
        <is>
          <t>Drawing</t>
        </is>
      </c>
      <c r="E824" s="4" t="inlineStr">
        <is>
          <t>Antlerless Mule Deer</t>
        </is>
      </c>
      <c r="F824" s="4" t="inlineStr">
        <is>
          <t>Sep 05-Oct 18</t>
        </is>
      </c>
      <c r="G824" s="4" t="inlineStr">
        <is>
          <t>Oct 24-Nov 15</t>
        </is>
      </c>
      <c r="H824" s="4" t="n"/>
      <c r="I824" s="4" t="n"/>
      <c r="J824" s="4" t="inlineStr">
        <is>
          <t>Jun 1</t>
        </is>
      </c>
      <c r="K824" s="4" t="inlineStr">
        <is>
          <t>200</t>
        </is>
      </c>
      <c r="L824" s="4" t="n"/>
    </row>
    <row r="825">
      <c r="A825" s="4" t="inlineStr">
        <is>
          <t>406</t>
        </is>
      </c>
      <c r="B825" s="4" t="inlineStr">
        <is>
          <t>mule deer</t>
        </is>
      </c>
      <c r="C825" s="4" t="inlineStr">
        <is>
          <t>Deer Permit: 406-50</t>
        </is>
      </c>
      <c r="D825" s="15" t="inlineStr">
        <is>
          <t>Drawing</t>
        </is>
      </c>
      <c r="E825" s="4" t="inlineStr">
        <is>
          <t>Antlered Buck Mule Deer</t>
        </is>
      </c>
      <c r="F825" s="4" t="n"/>
      <c r="G825" s="4" t="inlineStr">
        <is>
          <t>Nov 16-Nov 29</t>
        </is>
      </c>
      <c r="H825" s="4" t="inlineStr">
        <is>
          <t>Dec 12-Dec 20</t>
        </is>
      </c>
      <c r="I825" s="4" t="n"/>
      <c r="J825" s="4" t="inlineStr">
        <is>
          <t>April 1</t>
        </is>
      </c>
      <c r="K825" s="4" t="inlineStr">
        <is>
          <t>45</t>
        </is>
      </c>
      <c r="L825" s="4" t="inlineStr">
        <is>
          <t>Permit must be used with a valid General Deer License. Holders may not hunt Antlered Buck Mule Deer in any other HD.</t>
        </is>
      </c>
    </row>
    <row r="826">
      <c r="A826" s="4" t="inlineStr">
        <is>
          <t>410</t>
        </is>
      </c>
      <c r="B826" s="4" t="inlineStr">
        <is>
          <t>mule deer</t>
        </is>
      </c>
      <c r="C826" s="4" t="inlineStr">
        <is>
          <t>Deer B License: 410-00</t>
        </is>
      </c>
      <c r="D826" s="15" t="inlineStr">
        <is>
          <t>Drawing</t>
        </is>
      </c>
      <c r="E826" s="4" t="inlineStr">
        <is>
          <t>Antlerless Mule Deer</t>
        </is>
      </c>
      <c r="F826" s="4" t="inlineStr">
        <is>
          <t>Sep 05-Oct 18</t>
        </is>
      </c>
      <c r="G826" s="4" t="inlineStr">
        <is>
          <t>Oct 24-Nov 29</t>
        </is>
      </c>
      <c r="H826" s="4" t="inlineStr">
        <is>
          <t>Dec 12-Dec 20</t>
        </is>
      </c>
      <c r="I826" s="4" t="n"/>
      <c r="J826" s="4" t="inlineStr">
        <is>
          <t>Jun 1</t>
        </is>
      </c>
      <c r="K826" s="4" t="inlineStr">
        <is>
          <t>5</t>
        </is>
      </c>
      <c r="L826" s="4" t="inlineStr">
        <is>
          <t>Only valid on private land.</t>
        </is>
      </c>
    </row>
    <row r="827">
      <c r="A827" s="4" t="inlineStr">
        <is>
          <t>410</t>
        </is>
      </c>
      <c r="B827" s="4" t="inlineStr">
        <is>
          <t>mule deer</t>
        </is>
      </c>
      <c r="C827" s="4" t="inlineStr">
        <is>
          <t>Deer Permit: 410-50</t>
        </is>
      </c>
      <c r="D827" s="15" t="inlineStr">
        <is>
          <t>Drawing</t>
        </is>
      </c>
      <c r="E827" s="4" t="inlineStr">
        <is>
          <t>Antlered Buck Mule Deer</t>
        </is>
      </c>
      <c r="F827" s="4" t="inlineStr">
        <is>
          <t>Sep 05-Oct 18</t>
        </is>
      </c>
      <c r="G827" s="4" t="inlineStr">
        <is>
          <t>Oct 24-Nov 29</t>
        </is>
      </c>
      <c r="H827" s="4" t="inlineStr">
        <is>
          <t>Dec 12-Dec 20</t>
        </is>
      </c>
      <c r="I827" s="4" t="n"/>
      <c r="J827" s="4" t="inlineStr">
        <is>
          <t>April 1</t>
        </is>
      </c>
      <c r="K827" s="4" t="inlineStr">
        <is>
          <t>100</t>
        </is>
      </c>
      <c r="L827" s="4" t="inlineStr">
        <is>
          <t>Permit must be used with a valid General Deer License. Holders may not hunt Antlered Buck Mule Deer in any other HD. ELK Hunting by Drawing Only</t>
        </is>
      </c>
    </row>
    <row r="828">
      <c r="A828" s="4" t="inlineStr">
        <is>
          <t>411</t>
        </is>
      </c>
      <c r="B828" s="4" t="inlineStr">
        <is>
          <t>mule deer</t>
        </is>
      </c>
      <c r="C828" s="4" t="inlineStr">
        <is>
          <t>General Deer License</t>
        </is>
      </c>
      <c r="D828" s="13" t="inlineStr">
        <is>
          <t>General license</t>
        </is>
      </c>
      <c r="E828" s="4" t="inlineStr">
        <is>
          <t>Antlered Buck Mule Deer</t>
        </is>
      </c>
      <c r="F828" s="4" t="inlineStr">
        <is>
          <t>Sep 05-Oct 18</t>
        </is>
      </c>
      <c r="G828" s="4" t="inlineStr">
        <is>
          <t>Oct 24-Nov 29</t>
        </is>
      </c>
      <c r="H828" s="4" t="inlineStr">
        <is>
          <t>Dec 12-Dec 20</t>
        </is>
      </c>
      <c r="I828" s="4" t="n"/>
      <c r="J828" s="4" t="n"/>
      <c r="K828" s="4" t="n"/>
      <c r="L828" s="4" t="n"/>
    </row>
    <row r="829">
      <c r="A829" s="4" t="inlineStr">
        <is>
          <t>411</t>
        </is>
      </c>
      <c r="B829" s="4" t="inlineStr">
        <is>
          <t>mule deer</t>
        </is>
      </c>
      <c r="C829" s="4" t="inlineStr">
        <is>
          <t>Deer B License: 411-01</t>
        </is>
      </c>
      <c r="D829" s="15" t="inlineStr">
        <is>
          <t>Drawing</t>
        </is>
      </c>
      <c r="E829" s="4" t="inlineStr">
        <is>
          <t>Antlerless Mule Deer</t>
        </is>
      </c>
      <c r="F829" s="4" t="inlineStr">
        <is>
          <t>Sep 05-Oct 18</t>
        </is>
      </c>
      <c r="G829" s="4" t="inlineStr">
        <is>
          <t>Oct 24-Nov 29</t>
        </is>
      </c>
      <c r="H829" s="4" t="inlineStr">
        <is>
          <t>Dec 12-Dec 20</t>
        </is>
      </c>
      <c r="I829" s="4" t="n"/>
      <c r="J829" s="4" t="inlineStr">
        <is>
          <t>Jun 1</t>
        </is>
      </c>
      <c r="K829" s="4" t="inlineStr">
        <is>
          <t>50</t>
        </is>
      </c>
      <c r="L829" s="4" t="inlineStr">
        <is>
          <t>Only valid on private land.</t>
        </is>
      </c>
    </row>
    <row r="830">
      <c r="A830" s="4" t="inlineStr">
        <is>
          <t>412</t>
        </is>
      </c>
      <c r="B830" s="4" t="inlineStr">
        <is>
          <t>mule deer</t>
        </is>
      </c>
      <c r="C830" s="4" t="inlineStr">
        <is>
          <t>General Deer License</t>
        </is>
      </c>
      <c r="D830" s="13" t="inlineStr">
        <is>
          <t>General license</t>
        </is>
      </c>
      <c r="E830" s="4" t="inlineStr">
        <is>
          <t>Antlered Buck Mule Deer</t>
        </is>
      </c>
      <c r="F830" s="4" t="inlineStr">
        <is>
          <t>Sep 05-Oct 18</t>
        </is>
      </c>
      <c r="G830" s="4" t="inlineStr">
        <is>
          <t>Oct 24-Nov 29</t>
        </is>
      </c>
      <c r="H830" s="4" t="inlineStr">
        <is>
          <t>Dec 12-Dec 20</t>
        </is>
      </c>
      <c r="I830" s="4" t="n"/>
      <c r="J830" s="4" t="n"/>
      <c r="K830" s="4" t="n"/>
      <c r="L830" s="4" t="n"/>
    </row>
    <row r="831">
      <c r="A831" s="4" t="inlineStr">
        <is>
          <t>412</t>
        </is>
      </c>
      <c r="B831" s="4" t="inlineStr">
        <is>
          <t>mule deer</t>
        </is>
      </c>
      <c r="C831" s="4" t="inlineStr">
        <is>
          <t>Deer B License: 412-01</t>
        </is>
      </c>
      <c r="D831" s="15" t="inlineStr">
        <is>
          <t>Drawing</t>
        </is>
      </c>
      <c r="E831" s="4" t="inlineStr">
        <is>
          <t>Antlerless Mule Deer</t>
        </is>
      </c>
      <c r="F831" s="4" t="inlineStr">
        <is>
          <t>Sep 05-Oct 18</t>
        </is>
      </c>
      <c r="G831" s="4" t="inlineStr">
        <is>
          <t>Oct 24-Nov 29</t>
        </is>
      </c>
      <c r="H831" s="4" t="inlineStr">
        <is>
          <t>Dec 12-Dec 20</t>
        </is>
      </c>
      <c r="I831" s="4" t="n"/>
      <c r="J831" s="4" t="inlineStr">
        <is>
          <t>Jun 1</t>
        </is>
      </c>
      <c r="K831" s="4" t="inlineStr">
        <is>
          <t>50</t>
        </is>
      </c>
      <c r="L831" s="4" t="inlineStr">
        <is>
          <t>Only valid on private land. LICENSE/PERMIT OPPORTUNITY APPL Y BY DATE QUOTA QUOTA RANGE EARL Y SEASON DATES ARCHERY ONL Y SEASON DATES GENERAL SEASON DATES HERITAGE MUZZLELOADER SEASON DATES LATE SEASON DATES OPPORTUNITY SPECIFIC DETAILS AND/ORRESTRICTIONS</t>
        </is>
      </c>
    </row>
    <row r="832">
      <c r="A832" s="4" t="inlineStr">
        <is>
          <t>413</t>
        </is>
      </c>
      <c r="B832" s="4" t="inlineStr">
        <is>
          <t>mule deer</t>
        </is>
      </c>
      <c r="C832" s="4" t="inlineStr">
        <is>
          <t>General Deer License</t>
        </is>
      </c>
      <c r="D832" s="13" t="inlineStr">
        <is>
          <t>General license</t>
        </is>
      </c>
      <c r="E832" s="4" t="inlineStr">
        <is>
          <t>Antlered Buck Mule Deer</t>
        </is>
      </c>
      <c r="F832" s="4" t="inlineStr">
        <is>
          <t>Sep 05-Oct 18</t>
        </is>
      </c>
      <c r="G832" s="4" t="inlineStr">
        <is>
          <t>Oct 24-Nov 29</t>
        </is>
      </c>
      <c r="H832" s="4" t="inlineStr">
        <is>
          <t>Dec 12-Dec 20</t>
        </is>
      </c>
      <c r="I832" s="4" t="n"/>
      <c r="J832" s="4" t="n"/>
      <c r="K832" s="4" t="n"/>
      <c r="L832" s="4" t="n"/>
    </row>
    <row r="833">
      <c r="A833" s="4" t="inlineStr">
        <is>
          <t>413</t>
        </is>
      </c>
      <c r="B833" s="4" t="inlineStr">
        <is>
          <t>mule deer</t>
        </is>
      </c>
      <c r="C833" s="4" t="inlineStr">
        <is>
          <t>Deer B License: 413-00</t>
        </is>
      </c>
      <c r="D833" s="15" t="inlineStr">
        <is>
          <t>Drawing</t>
        </is>
      </c>
      <c r="E833" s="4" t="inlineStr">
        <is>
          <t>Antlerless Mule Deer</t>
        </is>
      </c>
      <c r="F833" s="4" t="inlineStr">
        <is>
          <t>Sep 05-Oct 18</t>
        </is>
      </c>
      <c r="G833" s="4" t="inlineStr">
        <is>
          <t>Oct 24-Nov 29</t>
        </is>
      </c>
      <c r="H833" s="4" t="inlineStr">
        <is>
          <t>Dec 12-Dec 20</t>
        </is>
      </c>
      <c r="I833" s="4" t="n"/>
      <c r="J833" s="4" t="inlineStr">
        <is>
          <t>Jun 1</t>
        </is>
      </c>
      <c r="K833" s="4" t="inlineStr">
        <is>
          <t>100</t>
        </is>
      </c>
      <c r="L833" s="4" t="inlineStr">
        <is>
          <t>Only valid on private land.</t>
        </is>
      </c>
    </row>
    <row r="834">
      <c r="A834" s="4" t="inlineStr">
        <is>
          <t>415</t>
        </is>
      </c>
      <c r="B834" s="4" t="inlineStr">
        <is>
          <t>mule deer</t>
        </is>
      </c>
      <c r="C834" s="4" t="inlineStr">
        <is>
          <t>General Deer License</t>
        </is>
      </c>
      <c r="D834" s="13" t="inlineStr">
        <is>
          <t>General license</t>
        </is>
      </c>
      <c r="E834" s="4" t="inlineStr">
        <is>
          <t>Antlered Buck Mule Deer</t>
        </is>
      </c>
      <c r="F834" s="4" t="inlineStr">
        <is>
          <t>Sep 05-Oct 18</t>
        </is>
      </c>
      <c r="G834" s="4" t="inlineStr">
        <is>
          <t>Oct 24-Nov 29</t>
        </is>
      </c>
      <c r="H834" s="4" t="inlineStr">
        <is>
          <t>Dec 12-Dec 20</t>
        </is>
      </c>
      <c r="I834" s="4" t="n"/>
      <c r="J834" s="4" t="n"/>
      <c r="K834" s="4" t="n"/>
      <c r="L834" s="4" t="n"/>
    </row>
    <row r="835">
      <c r="A835" s="4" t="inlineStr">
        <is>
          <t>416</t>
        </is>
      </c>
      <c r="B835" s="4" t="inlineStr">
        <is>
          <t>mule deer</t>
        </is>
      </c>
      <c r="C835" s="4" t="inlineStr">
        <is>
          <t>General Deer License</t>
        </is>
      </c>
      <c r="D835" s="13" t="inlineStr">
        <is>
          <t>General license</t>
        </is>
      </c>
      <c r="E835" s="4" t="inlineStr">
        <is>
          <t>Antlered Buck Mule Deer</t>
        </is>
      </c>
      <c r="F835" s="4" t="inlineStr">
        <is>
          <t>Sep 05-Oct 18</t>
        </is>
      </c>
      <c r="G835" s="4" t="inlineStr">
        <is>
          <t>Oct 24-Nov 29</t>
        </is>
      </c>
      <c r="H835" s="4" t="inlineStr">
        <is>
          <t>Dec 12-Dec 20</t>
        </is>
      </c>
      <c r="I835" s="4" t="n"/>
      <c r="J835" s="4" t="n"/>
      <c r="K835" s="4" t="n"/>
      <c r="L835" s="4" t="n"/>
    </row>
    <row r="836">
      <c r="A836" s="4" t="inlineStr">
        <is>
          <t>417</t>
        </is>
      </c>
      <c r="B836" s="4" t="inlineStr">
        <is>
          <t>mule deer</t>
        </is>
      </c>
      <c r="C836" s="4" t="inlineStr">
        <is>
          <t>Deer B License: 417-00</t>
        </is>
      </c>
      <c r="D836" s="15" t="inlineStr">
        <is>
          <t>Drawing</t>
        </is>
      </c>
      <c r="E836" s="4" t="inlineStr">
        <is>
          <t>Antlerless Mule Deer</t>
        </is>
      </c>
      <c r="F836" s="4" t="inlineStr">
        <is>
          <t>Sep 05-Oct 18</t>
        </is>
      </c>
      <c r="G836" s="4" t="inlineStr">
        <is>
          <t>Oct 24-Nov 29</t>
        </is>
      </c>
      <c r="H836" s="4" t="inlineStr">
        <is>
          <t>Dec 12-Dec 20</t>
        </is>
      </c>
      <c r="I836" s="4" t="n"/>
      <c r="J836" s="4" t="inlineStr">
        <is>
          <t>Jun 1</t>
        </is>
      </c>
      <c r="K836" s="4" t="inlineStr">
        <is>
          <t>25</t>
        </is>
      </c>
      <c r="L836" s="4" t="inlineStr">
        <is>
          <t>Only valid on private land.</t>
        </is>
      </c>
    </row>
    <row r="837">
      <c r="A837" s="4" t="inlineStr">
        <is>
          <t>417</t>
        </is>
      </c>
      <c r="B837" s="4" t="inlineStr">
        <is>
          <t>mule deer</t>
        </is>
      </c>
      <c r="C837" s="4" t="inlineStr">
        <is>
          <t>Deer Permit: 417-50</t>
        </is>
      </c>
      <c r="D837" s="15" t="inlineStr">
        <is>
          <t>Drawing</t>
        </is>
      </c>
      <c r="E837" s="4" t="inlineStr">
        <is>
          <t>Antlered Buck Mule Deer</t>
        </is>
      </c>
      <c r="F837" s="4" t="inlineStr">
        <is>
          <t>Sep 05-Oct 18</t>
        </is>
      </c>
      <c r="G837" s="4" t="inlineStr">
        <is>
          <t>Oct 24-Nov 29</t>
        </is>
      </c>
      <c r="H837" s="4" t="inlineStr">
        <is>
          <t>Dec 12-Dec 20</t>
        </is>
      </c>
      <c r="I837" s="4" t="n"/>
      <c r="J837" s="4" t="inlineStr">
        <is>
          <t>April 1</t>
        </is>
      </c>
      <c r="K837" s="4" t="inlineStr">
        <is>
          <t>100</t>
        </is>
      </c>
      <c r="L837" s="4" t="inlineStr">
        <is>
          <t>Permit must be used with a valid General Deer License. Holders may not hunt Antlered Buck Mule Deer in any other HD.</t>
        </is>
      </c>
    </row>
    <row r="838">
      <c r="A838" s="4" t="inlineStr">
        <is>
          <t>418</t>
        </is>
      </c>
      <c r="B838" s="4" t="inlineStr">
        <is>
          <t>mule deer</t>
        </is>
      </c>
      <c r="C838" s="4" t="inlineStr">
        <is>
          <t>General Deer License</t>
        </is>
      </c>
      <c r="D838" s="13" t="inlineStr">
        <is>
          <t>General license</t>
        </is>
      </c>
      <c r="E838" s="4" t="inlineStr">
        <is>
          <t>Antlered Buck Mule Deer</t>
        </is>
      </c>
      <c r="F838" s="4" t="inlineStr">
        <is>
          <t>Sep 05-Oct 18</t>
        </is>
      </c>
      <c r="G838" s="4" t="inlineStr">
        <is>
          <t>Oct 24-Nov 29</t>
        </is>
      </c>
      <c r="H838" s="4" t="inlineStr">
        <is>
          <t>Dec 12-Dec 20</t>
        </is>
      </c>
      <c r="I838" s="4" t="n"/>
      <c r="J838" s="4" t="n"/>
      <c r="K838" s="4" t="n"/>
      <c r="L838" s="4" t="n"/>
    </row>
    <row r="839">
      <c r="A839" s="4" t="inlineStr">
        <is>
          <t>418</t>
        </is>
      </c>
      <c r="B839" s="4" t="inlineStr">
        <is>
          <t>mule deer</t>
        </is>
      </c>
      <c r="C839" s="4" t="inlineStr">
        <is>
          <t>Deer B License: 418-00</t>
        </is>
      </c>
      <c r="D839" s="15" t="inlineStr">
        <is>
          <t>Drawing</t>
        </is>
      </c>
      <c r="E839" s="4" t="inlineStr">
        <is>
          <t>Antlerless Mule Deer</t>
        </is>
      </c>
      <c r="F839" s="4" t="inlineStr">
        <is>
          <t>Sep 05-Oct 18</t>
        </is>
      </c>
      <c r="G839" s="4" t="inlineStr">
        <is>
          <t>Oct 24-Nov 29</t>
        </is>
      </c>
      <c r="H839" s="4" t="inlineStr">
        <is>
          <t>Dec 12-Dec 20</t>
        </is>
      </c>
      <c r="I839" s="4" t="n"/>
      <c r="J839" s="4" t="inlineStr">
        <is>
          <t>Jun 1</t>
        </is>
      </c>
      <c r="K839" s="4" t="inlineStr">
        <is>
          <t>50</t>
        </is>
      </c>
      <c r="L839" s="4" t="inlineStr">
        <is>
          <t>Only valid on private land. 97 2026 Deer • Elk • Antelope Visit fwp.mt.gov LICENSE/PERMIT OPPORTUNITY APPL Y BY DATE QUOTA QUOTA RANGE EARL Y SEASON DATES ARCHERY ONL Y SEASON DATES GENERAL SEASON DATES HERITAGE MUZZLELOADER SEASON DATES LATE SEASON DATES OPPORTUNITY SPECIFIC DETAILS AND/ORRESTRICTI</t>
        </is>
      </c>
    </row>
    <row r="840">
      <c r="A840" s="4" t="inlineStr">
        <is>
          <t>419</t>
        </is>
      </c>
      <c r="B840" s="4" t="inlineStr">
        <is>
          <t>mule deer</t>
        </is>
      </c>
      <c r="C840" s="4" t="inlineStr">
        <is>
          <t>General Deer License</t>
        </is>
      </c>
      <c r="D840" s="13" t="inlineStr">
        <is>
          <t>General license</t>
        </is>
      </c>
      <c r="E840" s="4" t="inlineStr">
        <is>
          <t>Antlered Buck Mule Deer</t>
        </is>
      </c>
      <c r="F840" s="4" t="inlineStr">
        <is>
          <t>Sep 05-Oct 18</t>
        </is>
      </c>
      <c r="G840" s="4" t="inlineStr">
        <is>
          <t>Oct 24-Nov 29</t>
        </is>
      </c>
      <c r="H840" s="4" t="inlineStr">
        <is>
          <t>Dec 12-Dec 20</t>
        </is>
      </c>
      <c r="I840" s="4" t="n"/>
      <c r="J840" s="4" t="n"/>
      <c r="K840" s="4" t="n"/>
      <c r="L840" s="4" t="n"/>
    </row>
    <row r="841">
      <c r="A841" s="4" t="inlineStr">
        <is>
          <t>419</t>
        </is>
      </c>
      <c r="B841" s="4" t="inlineStr">
        <is>
          <t>mule deer</t>
        </is>
      </c>
      <c r="C841" s="4" t="inlineStr">
        <is>
          <t>Deer B License: 419-00</t>
        </is>
      </c>
      <c r="D841" s="15" t="inlineStr">
        <is>
          <t>Drawing</t>
        </is>
      </c>
      <c r="E841" s="4" t="inlineStr">
        <is>
          <t>Antlerless Mule Deer</t>
        </is>
      </c>
      <c r="F841" s="4" t="inlineStr">
        <is>
          <t>Sep 05-Oct 18</t>
        </is>
      </c>
      <c r="G841" s="4" t="inlineStr">
        <is>
          <t>Oct 24-Nov 29</t>
        </is>
      </c>
      <c r="H841" s="4" t="inlineStr">
        <is>
          <t>Dec 12-Dec 20</t>
        </is>
      </c>
      <c r="I841" s="4" t="n"/>
      <c r="J841" s="4" t="inlineStr">
        <is>
          <t>Jun 1</t>
        </is>
      </c>
      <c r="K841" s="4" t="inlineStr">
        <is>
          <t>50</t>
        </is>
      </c>
      <c r="L841" s="4" t="inlineStr">
        <is>
          <t>Only valid on private land.</t>
        </is>
      </c>
    </row>
    <row r="842">
      <c r="A842" s="4" t="inlineStr">
        <is>
          <t>420</t>
        </is>
      </c>
      <c r="B842" s="4" t="inlineStr">
        <is>
          <t>mule deer</t>
        </is>
      </c>
      <c r="C842" s="4" t="inlineStr">
        <is>
          <t>General Deer License</t>
        </is>
      </c>
      <c r="D842" s="13" t="inlineStr">
        <is>
          <t>General license</t>
        </is>
      </c>
      <c r="E842" s="4" t="inlineStr">
        <is>
          <t>Antlered Buck Mule Deer</t>
        </is>
      </c>
      <c r="F842" s="4" t="inlineStr">
        <is>
          <t>Sep 05-Oct 18</t>
        </is>
      </c>
      <c r="G842" s="4" t="inlineStr">
        <is>
          <t>Oct 24-Nov 29</t>
        </is>
      </c>
      <c r="H842" s="4" t="inlineStr">
        <is>
          <t>Dec 12-Dec 20</t>
        </is>
      </c>
      <c r="I842" s="4" t="n"/>
      <c r="J842" s="4" t="n"/>
      <c r="K842" s="4" t="n"/>
      <c r="L842" s="4" t="n"/>
    </row>
    <row r="843">
      <c r="A843" s="4" t="inlineStr">
        <is>
          <t>421</t>
        </is>
      </c>
      <c r="B843" s="4" t="inlineStr">
        <is>
          <t>mule deer</t>
        </is>
      </c>
      <c r="C843" s="4" t="inlineStr">
        <is>
          <t>General Deer License</t>
        </is>
      </c>
      <c r="D843" s="13" t="inlineStr">
        <is>
          <t>General license</t>
        </is>
      </c>
      <c r="E843" s="4" t="inlineStr">
        <is>
          <t>Either-sex Mule Deer</t>
        </is>
      </c>
      <c r="F843" s="4" t="inlineStr">
        <is>
          <t>Sep 05-Oct 18</t>
        </is>
      </c>
      <c r="G843" s="4" t="inlineStr">
        <is>
          <t>Oct 24-Nov 29</t>
        </is>
      </c>
      <c r="H843" s="4" t="inlineStr">
        <is>
          <t>Dec 12-Dec 20</t>
        </is>
      </c>
      <c r="I843" s="4" t="n"/>
      <c r="J843" s="4" t="n"/>
      <c r="K843" s="4" t="n"/>
      <c r="L843" s="4" t="n"/>
    </row>
    <row r="844">
      <c r="A844" s="4" t="inlineStr">
        <is>
          <t>422</t>
        </is>
      </c>
      <c r="B844" s="4" t="inlineStr">
        <is>
          <t>mule deer</t>
        </is>
      </c>
      <c r="C844" s="4" t="inlineStr">
        <is>
          <t>General Deer License</t>
        </is>
      </c>
      <c r="D844" s="13" t="inlineStr">
        <is>
          <t>General license</t>
        </is>
      </c>
      <c r="E844" s="4" t="inlineStr">
        <is>
          <t>Either-sex Mule Deer</t>
        </is>
      </c>
      <c r="F844" s="4" t="inlineStr">
        <is>
          <t>Sep 05-Oct 18</t>
        </is>
      </c>
      <c r="G844" s="4" t="inlineStr">
        <is>
          <t>Oct 24-Nov 29</t>
        </is>
      </c>
      <c r="H844" s="4" t="inlineStr">
        <is>
          <t>Dec 12-Dec 20</t>
        </is>
      </c>
      <c r="I844" s="4" t="n"/>
      <c r="J844" s="4" t="n"/>
      <c r="K844" s="4" t="n"/>
      <c r="L844" s="4" t="inlineStr">
        <is>
          <t>Only valid outside National Forest boundary.</t>
        </is>
      </c>
    </row>
    <row r="845">
      <c r="A845" s="4" t="inlineStr">
        <is>
          <t>422</t>
        </is>
      </c>
      <c r="B845" s="4" t="inlineStr">
        <is>
          <t>mule deer</t>
        </is>
      </c>
      <c r="C845" s="4" t="inlineStr">
        <is>
          <t>General Deer License</t>
        </is>
      </c>
      <c r="D845" s="13" t="inlineStr">
        <is>
          <t>General license</t>
        </is>
      </c>
      <c r="E845" s="4" t="inlineStr">
        <is>
          <t>Antlered Buck Mule Deer</t>
        </is>
      </c>
      <c r="F845" s="4" t="inlineStr">
        <is>
          <t>Sep 05-Oct 18</t>
        </is>
      </c>
      <c r="G845" s="4" t="inlineStr">
        <is>
          <t>Oct 24-Nov 29</t>
        </is>
      </c>
      <c r="H845" s="4" t="inlineStr">
        <is>
          <t>Dec 12-Dec 20</t>
        </is>
      </c>
      <c r="I845" s="4" t="n"/>
      <c r="J845" s="4" t="n"/>
      <c r="K845" s="4" t="n"/>
      <c r="L845" s="4" t="inlineStr">
        <is>
          <t>Only valid inside National Forest boundary.</t>
        </is>
      </c>
    </row>
    <row r="846">
      <c r="A846" s="4" t="inlineStr">
        <is>
          <t>424</t>
        </is>
      </c>
      <c r="B846" s="4" t="inlineStr">
        <is>
          <t>mule deer</t>
        </is>
      </c>
      <c r="C846" s="4" t="inlineStr">
        <is>
          <t>General Deer License</t>
        </is>
      </c>
      <c r="D846" s="13" t="inlineStr">
        <is>
          <t>General license</t>
        </is>
      </c>
      <c r="E846" s="4" t="inlineStr">
        <is>
          <t>Antlered Buck Mule Deer</t>
        </is>
      </c>
      <c r="F846" s="4" t="inlineStr">
        <is>
          <t>Sep 05-Oct 18</t>
        </is>
      </c>
      <c r="G846" s="4" t="inlineStr">
        <is>
          <t>Oct 24-Nov 29</t>
        </is>
      </c>
      <c r="H846" s="4" t="inlineStr">
        <is>
          <t>Dec 12-Dec 20</t>
        </is>
      </c>
      <c r="I846" s="4" t="n"/>
      <c r="J846" s="4" t="n"/>
      <c r="K846" s="4" t="n"/>
      <c r="L846" s="4" t="n"/>
    </row>
    <row r="847">
      <c r="A847" s="4" t="inlineStr">
        <is>
          <t>425</t>
        </is>
      </c>
      <c r="B847" s="4" t="inlineStr">
        <is>
          <t>mule deer</t>
        </is>
      </c>
      <c r="C847" s="4" t="inlineStr">
        <is>
          <t>General Deer License</t>
        </is>
      </c>
      <c r="D847" s="13" t="inlineStr">
        <is>
          <t>General license</t>
        </is>
      </c>
      <c r="E847" s="4" t="inlineStr">
        <is>
          <t>Either-sex Mule Deer</t>
        </is>
      </c>
      <c r="F847" s="4" t="inlineStr">
        <is>
          <t>Sep 05-Oct 18</t>
        </is>
      </c>
      <c r="G847" s="4" t="inlineStr">
        <is>
          <t>Oct 24-Nov 29</t>
        </is>
      </c>
      <c r="H847" s="4" t="inlineStr">
        <is>
          <t>Dec 12-Dec 20</t>
        </is>
      </c>
      <c r="I847" s="4" t="n"/>
      <c r="J847" s="4" t="n"/>
      <c r="K847" s="4" t="n"/>
      <c r="L847" s="4" t="n"/>
    </row>
    <row r="848">
      <c r="A848" s="4" t="inlineStr">
        <is>
          <t>426</t>
        </is>
      </c>
      <c r="B848" s="4" t="inlineStr">
        <is>
          <t>mule deer</t>
        </is>
      </c>
      <c r="C848" s="4" t="inlineStr">
        <is>
          <t>General Deer License</t>
        </is>
      </c>
      <c r="D848" s="13" t="inlineStr">
        <is>
          <t>General license</t>
        </is>
      </c>
      <c r="E848" s="4" t="inlineStr">
        <is>
          <t>Antlered Buck Mule Deer</t>
        </is>
      </c>
      <c r="F848" s="4" t="inlineStr">
        <is>
          <t>Sep 05-Oct 18</t>
        </is>
      </c>
      <c r="G848" s="4" t="inlineStr">
        <is>
          <t>Oct 24-Nov 15</t>
        </is>
      </c>
      <c r="H848" s="4" t="n"/>
      <c r="I848" s="4" t="n"/>
      <c r="J848" s="4" t="n"/>
      <c r="K848" s="4" t="n"/>
      <c r="L848" s="4" t="n"/>
    </row>
    <row r="849">
      <c r="A849" s="4" t="inlineStr">
        <is>
          <t>426</t>
        </is>
      </c>
      <c r="B849" s="4" t="inlineStr">
        <is>
          <t>mule deer</t>
        </is>
      </c>
      <c r="C849" s="4" t="inlineStr">
        <is>
          <t>Deer B License: 426-00</t>
        </is>
      </c>
      <c r="D849" s="15" t="inlineStr">
        <is>
          <t>Drawing</t>
        </is>
      </c>
      <c r="E849" s="4" t="inlineStr">
        <is>
          <t>Antlerless Mule Deer</t>
        </is>
      </c>
      <c r="F849" s="4" t="inlineStr">
        <is>
          <t>Sep 05-Oct 18</t>
        </is>
      </c>
      <c r="G849" s="4" t="inlineStr">
        <is>
          <t>Oct 24-Nov 29</t>
        </is>
      </c>
      <c r="H849" s="4" t="inlineStr">
        <is>
          <t>Dec 12-Dec 20</t>
        </is>
      </c>
      <c r="I849" s="4" t="n"/>
      <c r="J849" s="4" t="inlineStr">
        <is>
          <t>Jun 1</t>
        </is>
      </c>
      <c r="K849" s="4" t="inlineStr">
        <is>
          <t>50</t>
        </is>
      </c>
      <c r="L849" s="4" t="inlineStr">
        <is>
          <t>Only valid on private land.</t>
        </is>
      </c>
    </row>
    <row r="850">
      <c r="A850" s="4" t="inlineStr">
        <is>
          <t>426</t>
        </is>
      </c>
      <c r="B850" s="4" t="inlineStr">
        <is>
          <t>mule deer</t>
        </is>
      </c>
      <c r="C850" s="4" t="inlineStr">
        <is>
          <t>Deer Permit: 426-50</t>
        </is>
      </c>
      <c r="D850" s="15" t="inlineStr">
        <is>
          <t>Drawing</t>
        </is>
      </c>
      <c r="E850" s="4" t="inlineStr">
        <is>
          <t>Antlered Buck Mule Deer</t>
        </is>
      </c>
      <c r="F850" s="4" t="n"/>
      <c r="G850" s="4" t="inlineStr">
        <is>
          <t>Nov 16-Nov 29</t>
        </is>
      </c>
      <c r="H850" s="4" t="inlineStr">
        <is>
          <t>Dec 12-Dec 20</t>
        </is>
      </c>
      <c r="I850" s="4" t="n"/>
      <c r="J850" s="4" t="inlineStr">
        <is>
          <t>April 1</t>
        </is>
      </c>
      <c r="K850" s="4" t="inlineStr">
        <is>
          <t>75</t>
        </is>
      </c>
      <c r="L850" s="4" t="inlineStr">
        <is>
          <t>Permit must be used with a valid General Deer License. Holders may not hunt Antlered Buck Mule Deer in any other HD.</t>
        </is>
      </c>
    </row>
    <row r="851">
      <c r="A851" s="4" t="inlineStr">
        <is>
          <t>432</t>
        </is>
      </c>
      <c r="B851" s="4" t="inlineStr">
        <is>
          <t>mule deer</t>
        </is>
      </c>
      <c r="C851" s="4" t="inlineStr">
        <is>
          <t>General Deer License</t>
        </is>
      </c>
      <c r="D851" s="13" t="inlineStr">
        <is>
          <t>General license</t>
        </is>
      </c>
      <c r="E851" s="4" t="inlineStr">
        <is>
          <t>Antlered Buck Mule Deer</t>
        </is>
      </c>
      <c r="F851" s="4" t="inlineStr">
        <is>
          <t>Sep 05-Oct 18</t>
        </is>
      </c>
      <c r="G851" s="4" t="inlineStr">
        <is>
          <t>Oct 24-Nov 29</t>
        </is>
      </c>
      <c r="H851" s="4" t="inlineStr">
        <is>
          <t>Dec 12-Dec 20</t>
        </is>
      </c>
      <c r="I851" s="4" t="n"/>
      <c r="J851" s="4" t="n"/>
      <c r="K851" s="4" t="n"/>
      <c r="L851" s="4" t="n"/>
    </row>
    <row r="852">
      <c r="A852" s="4" t="inlineStr">
        <is>
          <t>432</t>
        </is>
      </c>
      <c r="B852" s="4" t="inlineStr">
        <is>
          <t>mule deer</t>
        </is>
      </c>
      <c r="C852" s="4" t="inlineStr">
        <is>
          <t>Deer B License: 432-00</t>
        </is>
      </c>
      <c r="D852" s="15" t="inlineStr">
        <is>
          <t>Drawing</t>
        </is>
      </c>
      <c r="E852" s="4" t="inlineStr">
        <is>
          <t>Antlerless Mule Deer</t>
        </is>
      </c>
      <c r="F852" s="4" t="inlineStr">
        <is>
          <t>Sep 05-Oct 18</t>
        </is>
      </c>
      <c r="G852" s="4" t="inlineStr">
        <is>
          <t>Oct 24-Nov 29</t>
        </is>
      </c>
      <c r="H852" s="4" t="inlineStr">
        <is>
          <t>Dec 12-Dec 20</t>
        </is>
      </c>
      <c r="I852" s="4" t="n"/>
      <c r="J852" s="4" t="inlineStr">
        <is>
          <t>Jun 1</t>
        </is>
      </c>
      <c r="K852" s="4" t="inlineStr">
        <is>
          <t>50</t>
        </is>
      </c>
      <c r="L852" s="4" t="inlineStr">
        <is>
          <t>Only valid on private land.</t>
        </is>
      </c>
    </row>
    <row r="853">
      <c r="A853" s="4" t="inlineStr">
        <is>
          <t>441</t>
        </is>
      </c>
      <c r="B853" s="4" t="inlineStr">
        <is>
          <t>mule deer</t>
        </is>
      </c>
      <c r="C853" s="4" t="inlineStr">
        <is>
          <t>General Deer License</t>
        </is>
      </c>
      <c r="D853" s="13" t="inlineStr">
        <is>
          <t>General license</t>
        </is>
      </c>
      <c r="E853" s="4" t="inlineStr">
        <is>
          <t>Antlered Buck Mule Deer</t>
        </is>
      </c>
      <c r="F853" s="4" t="n"/>
      <c r="G853" s="4" t="inlineStr">
        <is>
          <t>Oct 24-Nov 29</t>
        </is>
      </c>
      <c r="H853" s="4" t="inlineStr">
        <is>
          <t>Dec 12-Dec 20</t>
        </is>
      </c>
      <c r="I853" s="4" t="n"/>
      <c r="J853" s="4" t="n"/>
      <c r="K853" s="4" t="n"/>
      <c r="L853" s="4" t="inlineStr">
        <is>
          <t>Only valid within National Forest boundary.</t>
        </is>
      </c>
    </row>
    <row r="854">
      <c r="A854" s="4" t="inlineStr">
        <is>
          <t>441</t>
        </is>
      </c>
      <c r="B854" s="4" t="inlineStr">
        <is>
          <t>mule deer</t>
        </is>
      </c>
      <c r="C854" s="4" t="inlineStr">
        <is>
          <t>General Deer License</t>
        </is>
      </c>
      <c r="D854" s="13" t="inlineStr">
        <is>
          <t>General license</t>
        </is>
      </c>
      <c r="E854" s="4" t="inlineStr">
        <is>
          <t>Antlered Buck Mule Deer</t>
        </is>
      </c>
      <c r="F854" s="4" t="inlineStr">
        <is>
          <t>Sep 05-Oct 18</t>
        </is>
      </c>
      <c r="G854" s="4" t="inlineStr">
        <is>
          <t>Oct 24-Nov 08</t>
        </is>
      </c>
      <c r="H854" s="4" t="n"/>
      <c r="I854" s="4" t="n"/>
      <c r="J854" s="4" t="n"/>
      <c r="K854" s="4" t="n"/>
      <c r="L854" s="4" t="inlineStr">
        <is>
          <t>2 week general season.</t>
        </is>
      </c>
    </row>
    <row r="855">
      <c r="A855" s="4" t="inlineStr">
        <is>
          <t>441</t>
        </is>
      </c>
      <c r="B855" s="4" t="inlineStr">
        <is>
          <t>mule deer</t>
        </is>
      </c>
      <c r="C855" s="4" t="inlineStr">
        <is>
          <t>Deer Permit: 441-50</t>
        </is>
      </c>
      <c r="D855" s="15" t="inlineStr">
        <is>
          <t>Drawing</t>
        </is>
      </c>
      <c r="E855" s="4" t="inlineStr">
        <is>
          <t>Antlered Buck Mule Deer</t>
        </is>
      </c>
      <c r="F855" s="4" t="n"/>
      <c r="G855" s="4" t="inlineStr">
        <is>
          <t>Nov 09-Nov 29</t>
        </is>
      </c>
      <c r="H855" s="4" t="inlineStr">
        <is>
          <t>Dec 12-Dec 20</t>
        </is>
      </c>
      <c r="I855" s="4" t="n"/>
      <c r="J855" s="4" t="inlineStr">
        <is>
          <t>April 1</t>
        </is>
      </c>
      <c r="K855" s="4" t="inlineStr">
        <is>
          <t>35</t>
        </is>
      </c>
      <c r="L855" s="4" t="inlineStr">
        <is>
          <t>Permit must be used with a valid General Deer License. Holders may not hunt Antlered Buck Mule Deer in any other HD.</t>
        </is>
      </c>
    </row>
    <row r="856">
      <c r="A856" s="4" t="inlineStr">
        <is>
          <t>442</t>
        </is>
      </c>
      <c r="B856" s="4" t="inlineStr">
        <is>
          <t>mule deer</t>
        </is>
      </c>
      <c r="C856" s="4" t="inlineStr">
        <is>
          <t>General Deer License</t>
        </is>
      </c>
      <c r="D856" s="13" t="inlineStr">
        <is>
          <t>General license</t>
        </is>
      </c>
      <c r="E856" s="4" t="inlineStr">
        <is>
          <t>Antlered Buck Mule Deer</t>
        </is>
      </c>
      <c r="F856" s="4" t="inlineStr">
        <is>
          <t>Sep 05-Oct 18</t>
        </is>
      </c>
      <c r="G856" s="4" t="inlineStr">
        <is>
          <t>Oct 24-Nov 29</t>
        </is>
      </c>
      <c r="H856" s="4" t="inlineStr">
        <is>
          <t>Dec 12-Dec 20</t>
        </is>
      </c>
      <c r="I856" s="4" t="n"/>
      <c r="J856" s="4" t="n"/>
      <c r="K856" s="4" t="n"/>
      <c r="L856" s="4" t="n"/>
    </row>
    <row r="857">
      <c r="A857" s="4" t="inlineStr">
        <is>
          <t>444</t>
        </is>
      </c>
      <c r="B857" s="4" t="inlineStr">
        <is>
          <t>mule deer</t>
        </is>
      </c>
      <c r="C857" s="4" t="inlineStr">
        <is>
          <t>General Deer License</t>
        </is>
      </c>
      <c r="D857" s="13" t="inlineStr">
        <is>
          <t>General license</t>
        </is>
      </c>
      <c r="E857" s="4" t="inlineStr">
        <is>
          <t>Either-sex Mule Deer</t>
        </is>
      </c>
      <c r="F857" s="4" t="inlineStr">
        <is>
          <t>Sep 05-Oct 18</t>
        </is>
      </c>
      <c r="G857" s="4" t="inlineStr">
        <is>
          <t>Oct 24-Nov 29</t>
        </is>
      </c>
      <c r="H857" s="4" t="inlineStr">
        <is>
          <t>Dec 12-Dec 20</t>
        </is>
      </c>
      <c r="I857" s="4" t="n"/>
      <c r="J857" s="4" t="n"/>
      <c r="K857" s="4" t="n"/>
      <c r="L857" s="4" t="n"/>
    </row>
    <row r="858">
      <c r="A858" s="4" t="inlineStr">
        <is>
          <t>444</t>
        </is>
      </c>
      <c r="B858" s="4" t="inlineStr">
        <is>
          <t>mule deer</t>
        </is>
      </c>
      <c r="C858" s="4" t="inlineStr">
        <is>
          <t>Deer B License: 444-00</t>
        </is>
      </c>
      <c r="D858" s="15" t="inlineStr">
        <is>
          <t>Drawing</t>
        </is>
      </c>
      <c r="E858" s="4" t="inlineStr">
        <is>
          <t>Antlerless Mule Deer</t>
        </is>
      </c>
      <c r="F858" s="4" t="inlineStr">
        <is>
          <t>Sep 05-Oct 18</t>
        </is>
      </c>
      <c r="G858" s="4" t="inlineStr">
        <is>
          <t>Oct 24-Nov 29</t>
        </is>
      </c>
      <c r="H858" s="4" t="inlineStr">
        <is>
          <t>Dec 12-Dec 20</t>
        </is>
      </c>
      <c r="I858" s="4" t="n"/>
      <c r="J858" s="4" t="inlineStr">
        <is>
          <t>Jun 1</t>
        </is>
      </c>
      <c r="K858" s="4" t="inlineStr">
        <is>
          <t>50</t>
        </is>
      </c>
      <c r="L858" s="4" t="inlineStr">
        <is>
          <t>Only valid on private land.</t>
        </is>
      </c>
    </row>
    <row r="859">
      <c r="A859" s="4" t="inlineStr">
        <is>
          <t>445</t>
        </is>
      </c>
      <c r="B859" s="4" t="inlineStr">
        <is>
          <t>mule deer</t>
        </is>
      </c>
      <c r="C859" s="4" t="inlineStr">
        <is>
          <t>General Deer License</t>
        </is>
      </c>
      <c r="D859" s="13" t="inlineStr">
        <is>
          <t>General license</t>
        </is>
      </c>
      <c r="E859" s="4" t="inlineStr">
        <is>
          <t>Antlered Buck Mule Deer</t>
        </is>
      </c>
      <c r="F859" s="4" t="inlineStr">
        <is>
          <t>Sep 05-Oct 18</t>
        </is>
      </c>
      <c r="G859" s="4" t="inlineStr">
        <is>
          <t>Oct 24-Nov 29</t>
        </is>
      </c>
      <c r="H859" s="4" t="inlineStr">
        <is>
          <t>Dec 12-Dec 20</t>
        </is>
      </c>
      <c r="I859" s="4" t="n"/>
      <c r="J859" s="4" t="n"/>
      <c r="K859" s="4" t="n"/>
      <c r="L859" s="4" t="n"/>
    </row>
    <row r="860">
      <c r="A860" s="4" t="inlineStr">
        <is>
          <t>445</t>
        </is>
      </c>
      <c r="B860" s="4" t="inlineStr">
        <is>
          <t>mule deer</t>
        </is>
      </c>
      <c r="C860" s="4" t="inlineStr">
        <is>
          <t>Deer B License: 445-00</t>
        </is>
      </c>
      <c r="D860" s="15" t="inlineStr">
        <is>
          <t>Drawing</t>
        </is>
      </c>
      <c r="E860" s="4" t="inlineStr">
        <is>
          <t>Antlerless Mule Deer</t>
        </is>
      </c>
      <c r="F860" s="4" t="inlineStr">
        <is>
          <t>Sep 05-Oct 18</t>
        </is>
      </c>
      <c r="G860" s="4" t="inlineStr">
        <is>
          <t>Oct 24-Nov 29</t>
        </is>
      </c>
      <c r="H860" s="4" t="inlineStr">
        <is>
          <t>Dec 12-Dec 20</t>
        </is>
      </c>
      <c r="I860" s="4" t="n"/>
      <c r="J860" s="4" t="inlineStr">
        <is>
          <t>Jun 1</t>
        </is>
      </c>
      <c r="K860" s="4" t="inlineStr">
        <is>
          <t>25</t>
        </is>
      </c>
      <c r="L860" s="4" t="inlineStr">
        <is>
          <t>Only valid on private land.</t>
        </is>
      </c>
    </row>
    <row r="861">
      <c r="A861" s="4" t="inlineStr">
        <is>
          <t>446</t>
        </is>
      </c>
      <c r="B861" s="4" t="inlineStr">
        <is>
          <t>mule deer</t>
        </is>
      </c>
      <c r="C861" s="4" t="inlineStr">
        <is>
          <t>General Deer License</t>
        </is>
      </c>
      <c r="D861" s="13" t="inlineStr">
        <is>
          <t>General license</t>
        </is>
      </c>
      <c r="E861" s="4" t="inlineStr">
        <is>
          <t>Antlered Buck Mule Deer</t>
        </is>
      </c>
      <c r="F861" s="4" t="inlineStr">
        <is>
          <t>Sep 05-Oct 18</t>
        </is>
      </c>
      <c r="G861" s="4" t="inlineStr">
        <is>
          <t>Oct 24-Nov 29</t>
        </is>
      </c>
      <c r="H861" s="4" t="inlineStr">
        <is>
          <t>Dec 12-Dec 20</t>
        </is>
      </c>
      <c r="I861" s="4" t="n"/>
      <c r="J861" s="4" t="n"/>
      <c r="K861" s="4" t="n"/>
      <c r="L861" s="4" t="n"/>
    </row>
    <row r="862">
      <c r="A862" s="4" t="inlineStr">
        <is>
          <t>447</t>
        </is>
      </c>
      <c r="B862" s="4" t="inlineStr">
        <is>
          <t>mule deer</t>
        </is>
      </c>
      <c r="C862" s="4" t="inlineStr">
        <is>
          <t>General Deer License</t>
        </is>
      </c>
      <c r="D862" s="13" t="inlineStr">
        <is>
          <t>General license</t>
        </is>
      </c>
      <c r="E862" s="4" t="inlineStr">
        <is>
          <t>Antlered Buck Mule Deer</t>
        </is>
      </c>
      <c r="F862" s="4" t="inlineStr">
        <is>
          <t>Sep 05-Oct 18</t>
        </is>
      </c>
      <c r="G862" s="4" t="inlineStr">
        <is>
          <t>Oct 24-Nov 15</t>
        </is>
      </c>
      <c r="H862" s="4" t="n"/>
      <c r="I862" s="4" t="n"/>
      <c r="J862" s="4" t="n"/>
      <c r="K862" s="4" t="n"/>
      <c r="L862" s="4" t="inlineStr">
        <is>
          <t>Only valid outside National Forest boundary.</t>
        </is>
      </c>
    </row>
    <row r="863">
      <c r="A863" s="4" t="inlineStr">
        <is>
          <t>447</t>
        </is>
      </c>
      <c r="B863" s="4" t="inlineStr">
        <is>
          <t>mule deer</t>
        </is>
      </c>
      <c r="C863" s="4" t="inlineStr">
        <is>
          <t>Deer B License: 447-00</t>
        </is>
      </c>
      <c r="D863" s="15" t="inlineStr">
        <is>
          <t>Drawing</t>
        </is>
      </c>
      <c r="E863" s="4" t="inlineStr">
        <is>
          <t>Antlerless Mule Deer</t>
        </is>
      </c>
      <c r="F863" s="4" t="inlineStr">
        <is>
          <t>Sep 05-Oct 18</t>
        </is>
      </c>
      <c r="G863" s="4" t="inlineStr">
        <is>
          <t>Oct 24-Nov 29</t>
        </is>
      </c>
      <c r="H863" s="4" t="inlineStr">
        <is>
          <t>Dec 12-Dec 20</t>
        </is>
      </c>
      <c r="I863" s="4" t="n"/>
      <c r="J863" s="4" t="inlineStr">
        <is>
          <t>Jun 1</t>
        </is>
      </c>
      <c r="K863" s="4" t="inlineStr">
        <is>
          <t>50</t>
        </is>
      </c>
      <c r="L863" s="4" t="inlineStr">
        <is>
          <t>Only valid on private land.</t>
        </is>
      </c>
    </row>
    <row r="864">
      <c r="A864" s="4" t="inlineStr">
        <is>
          <t>447</t>
        </is>
      </c>
      <c r="B864" s="4" t="inlineStr">
        <is>
          <t>mule deer</t>
        </is>
      </c>
      <c r="C864" s="4" t="inlineStr">
        <is>
          <t>Deer Permit: 447-50</t>
        </is>
      </c>
      <c r="D864" s="15" t="inlineStr">
        <is>
          <t>Drawing</t>
        </is>
      </c>
      <c r="E864" s="4" t="inlineStr">
        <is>
          <t>Antlered Buck Mule Deer</t>
        </is>
      </c>
      <c r="F864" s="4" t="n"/>
      <c r="G864" s="4" t="inlineStr">
        <is>
          <t>Nov 16-Nov 29</t>
        </is>
      </c>
      <c r="H864" s="4" t="inlineStr">
        <is>
          <t>Dec 12-Dec 20</t>
        </is>
      </c>
      <c r="I864" s="4" t="n"/>
      <c r="J864" s="4" t="inlineStr">
        <is>
          <t>April 1</t>
        </is>
      </c>
      <c r="K864" s="4" t="inlineStr">
        <is>
          <t>50</t>
        </is>
      </c>
      <c r="L864" s="4" t="inlineStr">
        <is>
          <t>Only valid outside National Forest boundary. Permit must be used with a valid General Deer License. Holders may not hunt Antlered Buck Mule Deer in any other HD.</t>
        </is>
      </c>
    </row>
    <row r="865">
      <c r="A865" s="4" t="inlineStr">
        <is>
          <t>447</t>
        </is>
      </c>
      <c r="B865" s="4" t="inlineStr">
        <is>
          <t>mule deer</t>
        </is>
      </c>
      <c r="C865" s="4" t="inlineStr">
        <is>
          <t>Deer Permit: 447-51</t>
        </is>
      </c>
      <c r="D865" s="15" t="inlineStr">
        <is>
          <t>Drawing</t>
        </is>
      </c>
      <c r="E865" s="4" t="inlineStr">
        <is>
          <t>Antlered Buck Mule Deer</t>
        </is>
      </c>
      <c r="F865" s="4" t="inlineStr">
        <is>
          <t>Sep 05-Oct 18</t>
        </is>
      </c>
      <c r="G865" s="4" t="inlineStr">
        <is>
          <t>Oct 24-Nov 29</t>
        </is>
      </c>
      <c r="H865" s="4" t="inlineStr">
        <is>
          <t>Dec 12-Dec 20</t>
        </is>
      </c>
      <c r="I865" s="4" t="n"/>
      <c r="J865" s="4" t="inlineStr">
        <is>
          <t>April 1</t>
        </is>
      </c>
      <c r="K865" s="4" t="inlineStr">
        <is>
          <t>20</t>
        </is>
      </c>
      <c r="L865" s="4" t="inlineStr">
        <is>
          <t>Only valid inside National Forest boundary. Permit must be used with a valid General Deer License. Holders may not hunt Antlered Buck Mule Deer in any other HD.</t>
        </is>
      </c>
    </row>
    <row r="866">
      <c r="A866" s="4" t="inlineStr">
        <is>
          <t>448</t>
        </is>
      </c>
      <c r="B866" s="4" t="inlineStr">
        <is>
          <t>mule deer</t>
        </is>
      </c>
      <c r="C866" s="4" t="inlineStr">
        <is>
          <t>General Deer License</t>
        </is>
      </c>
      <c r="D866" s="13" t="inlineStr">
        <is>
          <t>General license</t>
        </is>
      </c>
      <c r="E866" s="4" t="inlineStr">
        <is>
          <t>Antlered Buck Mule Deer</t>
        </is>
      </c>
      <c r="F866" s="4" t="inlineStr">
        <is>
          <t>Sep 05-Oct 18</t>
        </is>
      </c>
      <c r="G866" s="4" t="inlineStr">
        <is>
          <t>Oct 24-Nov 29</t>
        </is>
      </c>
      <c r="H866" s="4" t="inlineStr">
        <is>
          <t>Dec 12-Dec 20</t>
        </is>
      </c>
      <c r="I866" s="4" t="n"/>
      <c r="J866" s="4" t="n"/>
      <c r="K866" s="4" t="n"/>
      <c r="L866" s="4" t="n"/>
    </row>
    <row r="867">
      <c r="A867" s="4" t="inlineStr">
        <is>
          <t>448</t>
        </is>
      </c>
      <c r="B867" s="4" t="inlineStr">
        <is>
          <t>mule deer</t>
        </is>
      </c>
      <c r="C867" s="4" t="inlineStr">
        <is>
          <t>Deer B License: 448-00</t>
        </is>
      </c>
      <c r="D867" s="15" t="inlineStr">
        <is>
          <t>Drawing</t>
        </is>
      </c>
      <c r="E867" s="4" t="inlineStr">
        <is>
          <t>Antlerless Mule Deer</t>
        </is>
      </c>
      <c r="F867" s="4" t="inlineStr">
        <is>
          <t>Sep 05-Oct 18</t>
        </is>
      </c>
      <c r="G867" s="4" t="inlineStr">
        <is>
          <t>Oct 24-Nov 29</t>
        </is>
      </c>
      <c r="H867" s="4" t="inlineStr">
        <is>
          <t>Dec 12-Dec 20</t>
        </is>
      </c>
      <c r="I867" s="4" t="n"/>
      <c r="J867" s="4" t="inlineStr">
        <is>
          <t>Jun 1</t>
        </is>
      </c>
      <c r="K867" s="4" t="inlineStr">
        <is>
          <t>100</t>
        </is>
      </c>
      <c r="L867" s="4" t="inlineStr">
        <is>
          <t>Only valid on private land.</t>
        </is>
      </c>
    </row>
    <row r="868">
      <c r="A868" s="4" t="inlineStr">
        <is>
          <t>450</t>
        </is>
      </c>
      <c r="B868" s="4" t="inlineStr">
        <is>
          <t>mule deer</t>
        </is>
      </c>
      <c r="C868" s="4" t="inlineStr">
        <is>
          <t>General Deer License</t>
        </is>
      </c>
      <c r="D868" s="13" t="inlineStr">
        <is>
          <t>General license</t>
        </is>
      </c>
      <c r="E868" s="4" t="inlineStr">
        <is>
          <t>Either-sex Mule Deer</t>
        </is>
      </c>
      <c r="F868" s="4" t="inlineStr">
        <is>
          <t>Sep 05-Oct 18</t>
        </is>
      </c>
      <c r="G868" s="4" t="inlineStr">
        <is>
          <t>Oct 24-Nov 29</t>
        </is>
      </c>
      <c r="H868" s="4" t="inlineStr">
        <is>
          <t>Dec 12-Dec 20</t>
        </is>
      </c>
      <c r="I868" s="4" t="n"/>
      <c r="J868" s="4" t="n"/>
      <c r="K868" s="4" t="n"/>
      <c r="L868" s="4" t="n"/>
    </row>
    <row r="869">
      <c r="A869" s="4" t="inlineStr">
        <is>
          <t>451</t>
        </is>
      </c>
      <c r="B869" s="4" t="inlineStr">
        <is>
          <t>mule deer</t>
        </is>
      </c>
      <c r="C869" s="4" t="inlineStr">
        <is>
          <t>General Deer License</t>
        </is>
      </c>
      <c r="D869" s="13" t="inlineStr">
        <is>
          <t>General license</t>
        </is>
      </c>
      <c r="E869" s="4" t="inlineStr">
        <is>
          <t>Antlered Buck Mule Deer</t>
        </is>
      </c>
      <c r="F869" s="4" t="inlineStr">
        <is>
          <t>Sep 05-Oct 18</t>
        </is>
      </c>
      <c r="G869" s="4" t="inlineStr">
        <is>
          <t>Oct 24-Nov 29</t>
        </is>
      </c>
      <c r="H869" s="4" t="inlineStr">
        <is>
          <t>Dec 12-Dec 20</t>
        </is>
      </c>
      <c r="I869" s="4" t="n"/>
      <c r="J869" s="4" t="n"/>
      <c r="K869" s="4" t="n"/>
      <c r="L869" s="4" t="n"/>
    </row>
    <row r="870">
      <c r="A870" s="4" t="inlineStr">
        <is>
          <t>452</t>
        </is>
      </c>
      <c r="B870" s="4" t="inlineStr">
        <is>
          <t>mule deer</t>
        </is>
      </c>
      <c r="C870" s="4" t="inlineStr">
        <is>
          <t>General Deer License</t>
        </is>
      </c>
      <c r="D870" s="13" t="inlineStr">
        <is>
          <t>General license</t>
        </is>
      </c>
      <c r="E870" s="4" t="inlineStr">
        <is>
          <t>Antlered Buck Mule Deer</t>
        </is>
      </c>
      <c r="F870" s="4" t="inlineStr">
        <is>
          <t>Sep 05-Oct 18</t>
        </is>
      </c>
      <c r="G870" s="4" t="inlineStr">
        <is>
          <t>Oct 24-Nov 29</t>
        </is>
      </c>
      <c r="H870" s="4" t="inlineStr">
        <is>
          <t>Dec 12-Dec 20</t>
        </is>
      </c>
      <c r="I870" s="4" t="n"/>
      <c r="J870" s="4" t="n"/>
      <c r="K870" s="4" t="n"/>
      <c r="L870" s="4" t="n"/>
    </row>
    <row r="871">
      <c r="A871" s="4" t="inlineStr">
        <is>
          <t>455</t>
        </is>
      </c>
      <c r="B871" s="4" t="inlineStr">
        <is>
          <t>mule deer</t>
        </is>
      </c>
      <c r="C871" s="4" t="inlineStr">
        <is>
          <t>Deer Permit: 455-60</t>
        </is>
      </c>
      <c r="D871" s="15" t="inlineStr">
        <is>
          <t>Drawing</t>
        </is>
      </c>
      <c r="E871" s="4" t="inlineStr">
        <is>
          <t>Antlered Buck Mule Deer</t>
        </is>
      </c>
      <c r="F871" s="4" t="inlineStr">
        <is>
          <t>Sep 05-Oct 18</t>
        </is>
      </c>
      <c r="G871" s="4" t="inlineStr">
        <is>
          <t>Oct 24-Nov 29</t>
        </is>
      </c>
      <c r="H871" s="4" t="inlineStr">
        <is>
          <t>Dec 12-Dec 20</t>
        </is>
      </c>
      <c r="I871" s="4" t="n"/>
      <c r="J871" s="4" t="inlineStr">
        <is>
          <t>April 1</t>
        </is>
      </c>
      <c r="K871" s="4" t="inlineStr">
        <is>
          <t>15</t>
        </is>
      </c>
      <c r="L871" s="4" t="inlineStr">
        <is>
          <t>Permit must be used with a valid General Deer License. Holders may not hunt Antlered Buck Mule Deer in any other HD.</t>
        </is>
      </c>
    </row>
    <row r="872">
      <c r="A872" s="4" t="inlineStr">
        <is>
          <t>471</t>
        </is>
      </c>
      <c r="B872" s="4" t="inlineStr">
        <is>
          <t>mule deer</t>
        </is>
      </c>
      <c r="C872" s="4" t="inlineStr">
        <is>
          <t>General Deer License</t>
        </is>
      </c>
      <c r="D872" s="13" t="inlineStr">
        <is>
          <t>General license</t>
        </is>
      </c>
      <c r="E872" s="4" t="inlineStr">
        <is>
          <t>Antlered Buck Mule Deer</t>
        </is>
      </c>
      <c r="F872" s="4" t="inlineStr">
        <is>
          <t>Sep 05-Oct 18</t>
        </is>
      </c>
      <c r="G872" s="4" t="inlineStr">
        <is>
          <t>Oct 24-Nov 15</t>
        </is>
      </c>
      <c r="H872" s="4" t="n"/>
      <c r="I872" s="4" t="n"/>
      <c r="J872" s="4" t="n"/>
      <c r="K872" s="4" t="n"/>
      <c r="L872" s="4" t="n"/>
    </row>
    <row r="873">
      <c r="A873" s="4" t="inlineStr">
        <is>
          <t>471</t>
        </is>
      </c>
      <c r="B873" s="4" t="inlineStr">
        <is>
          <t>mule deer</t>
        </is>
      </c>
      <c r="C873" s="4" t="inlineStr">
        <is>
          <t>Deer B License: 471-00</t>
        </is>
      </c>
      <c r="D873" s="15" t="inlineStr">
        <is>
          <t>Drawing</t>
        </is>
      </c>
      <c r="E873" s="4" t="inlineStr">
        <is>
          <t>Antlerless Mule Deer</t>
        </is>
      </c>
      <c r="F873" s="4" t="inlineStr">
        <is>
          <t>Sep 05-Oct 18</t>
        </is>
      </c>
      <c r="G873" s="4" t="inlineStr">
        <is>
          <t>Oct 24-Nov 29</t>
        </is>
      </c>
      <c r="H873" s="4" t="inlineStr">
        <is>
          <t>Dec 12-Dec 20</t>
        </is>
      </c>
      <c r="I873" s="4" t="n"/>
      <c r="J873" s="4" t="inlineStr">
        <is>
          <t>Jun 1</t>
        </is>
      </c>
      <c r="K873" s="4" t="inlineStr">
        <is>
          <t>50</t>
        </is>
      </c>
      <c r="L873" s="4" t="inlineStr">
        <is>
          <t>Only valid on private land.</t>
        </is>
      </c>
    </row>
    <row r="874">
      <c r="A874" s="4" t="inlineStr">
        <is>
          <t>471</t>
        </is>
      </c>
      <c r="B874" s="4" t="inlineStr">
        <is>
          <t>mule deer</t>
        </is>
      </c>
      <c r="C874" s="4" t="inlineStr">
        <is>
          <t>Deer Permit: 471-50</t>
        </is>
      </c>
      <c r="D874" s="15" t="inlineStr">
        <is>
          <t>Drawing</t>
        </is>
      </c>
      <c r="E874" s="4" t="inlineStr">
        <is>
          <t>Antlered Buck Mule Deer</t>
        </is>
      </c>
      <c r="F874" s="4" t="n"/>
      <c r="G874" s="4" t="inlineStr">
        <is>
          <t>Nov 16-Nov 29</t>
        </is>
      </c>
      <c r="H874" s="4" t="inlineStr">
        <is>
          <t>Dec 12-Dec 20</t>
        </is>
      </c>
      <c r="I874" s="4" t="n"/>
      <c r="J874" s="4" t="inlineStr">
        <is>
          <t>April 1</t>
        </is>
      </c>
      <c r="K874" s="4" t="inlineStr">
        <is>
          <t>80</t>
        </is>
      </c>
      <c r="L874" s="4" t="n"/>
    </row>
    <row r="875">
      <c r="A875" s="4" t="inlineStr">
        <is>
          <t>502</t>
        </is>
      </c>
      <c r="B875" s="4" t="inlineStr">
        <is>
          <t>mule deer</t>
        </is>
      </c>
      <c r="C875" s="4" t="inlineStr">
        <is>
          <t>General Deer License</t>
        </is>
      </c>
      <c r="D875" s="13" t="inlineStr">
        <is>
          <t>General license</t>
        </is>
      </c>
      <c r="E875" s="4" t="inlineStr">
        <is>
          <t>Antlered Buck Mule Deer</t>
        </is>
      </c>
      <c r="F875" s="4" t="inlineStr">
        <is>
          <t>Sep 05-Oct 18</t>
        </is>
      </c>
      <c r="G875" s="4" t="inlineStr">
        <is>
          <t>Oct 24-Nov 29</t>
        </is>
      </c>
      <c r="H875" s="4" t="inlineStr">
        <is>
          <t>Dec 12-Dec 20</t>
        </is>
      </c>
      <c r="I875" s="4" t="n"/>
      <c r="J875" s="4" t="n"/>
      <c r="K875" s="4" t="n"/>
      <c r="L875" s="4" t="n"/>
    </row>
    <row r="876">
      <c r="A876" s="4" t="inlineStr">
        <is>
          <t>502</t>
        </is>
      </c>
      <c r="B876" s="4" t="inlineStr">
        <is>
          <t>mule deer</t>
        </is>
      </c>
      <c r="C876" s="4" t="inlineStr">
        <is>
          <t>General Deer License</t>
        </is>
      </c>
      <c r="D876" s="13" t="inlineStr">
        <is>
          <t>General license</t>
        </is>
      </c>
      <c r="E876" s="4" t="inlineStr">
        <is>
          <t>Either-sex Mule Deer</t>
        </is>
      </c>
      <c r="F876" s="4" t="inlineStr">
        <is>
          <t>Sep 05-Oct 18</t>
        </is>
      </c>
      <c r="G876" s="4" t="inlineStr">
        <is>
          <t>Oct 24-Nov 29</t>
        </is>
      </c>
      <c r="H876" s="4" t="inlineStr">
        <is>
          <t>Dec 12-Dec 20</t>
        </is>
      </c>
      <c r="I876" s="4" t="n"/>
      <c r="J876" s="4" t="n"/>
      <c r="K876" s="4" t="n"/>
      <c r="L876" s="4" t="inlineStr">
        <is>
          <t>Only youth ages 10-15. Only valid on private land.</t>
        </is>
      </c>
    </row>
    <row r="877">
      <c r="A877" s="4" t="inlineStr">
        <is>
          <t>502</t>
        </is>
      </c>
      <c r="B877" s="4" t="inlineStr">
        <is>
          <t>mule deer</t>
        </is>
      </c>
      <c r="C877" s="4" t="inlineStr">
        <is>
          <t>Deer B License: 502-00</t>
        </is>
      </c>
      <c r="D877" s="15" t="inlineStr">
        <is>
          <t>Drawing</t>
        </is>
      </c>
      <c r="E877" s="4" t="inlineStr">
        <is>
          <t>Antlerless Mule Deer</t>
        </is>
      </c>
      <c r="F877" s="4" t="inlineStr">
        <is>
          <t>Sep 05-Oct 18</t>
        </is>
      </c>
      <c r="G877" s="4" t="inlineStr">
        <is>
          <t>Oct 24-Nov 29</t>
        </is>
      </c>
      <c r="H877" s="4" t="inlineStr">
        <is>
          <t>Dec 12-Dec 20</t>
        </is>
      </c>
      <c r="I877" s="4" t="n"/>
      <c r="J877" s="4" t="inlineStr">
        <is>
          <t>Jun 1</t>
        </is>
      </c>
      <c r="K877" s="4" t="inlineStr">
        <is>
          <t>150</t>
        </is>
      </c>
      <c r="L877" s="4" t="n"/>
    </row>
    <row r="878">
      <c r="A878" s="4" t="inlineStr">
        <is>
          <t>515</t>
        </is>
      </c>
      <c r="B878" s="4" t="inlineStr">
        <is>
          <t>mule deer</t>
        </is>
      </c>
      <c r="C878" s="4" t="inlineStr">
        <is>
          <t>General Deer License</t>
        </is>
      </c>
      <c r="D878" s="13" t="inlineStr">
        <is>
          <t>General license</t>
        </is>
      </c>
      <c r="E878" s="4" t="inlineStr">
        <is>
          <t>Antlered Buck Mule Deer</t>
        </is>
      </c>
      <c r="F878" s="4" t="inlineStr">
        <is>
          <t>Sep 05-Oct 18</t>
        </is>
      </c>
      <c r="G878" s="4" t="inlineStr">
        <is>
          <t>Oct 24-Nov 29</t>
        </is>
      </c>
      <c r="H878" s="4" t="inlineStr">
        <is>
          <t>Dec 12-Dec 20</t>
        </is>
      </c>
      <c r="I878" s="4" t="n"/>
      <c r="J878" s="4" t="n"/>
      <c r="K878" s="4" t="n"/>
      <c r="L878" s="4" t="n"/>
    </row>
    <row r="879">
      <c r="A879" s="4" t="inlineStr">
        <is>
          <t>515</t>
        </is>
      </c>
      <c r="B879" s="4" t="inlineStr">
        <is>
          <t>mule deer</t>
        </is>
      </c>
      <c r="C879" s="4" t="inlineStr">
        <is>
          <t>General Deer License</t>
        </is>
      </c>
      <c r="D879" s="13" t="inlineStr">
        <is>
          <t>General license</t>
        </is>
      </c>
      <c r="E879" s="4" t="inlineStr">
        <is>
          <t>Either-sex Mule Deer</t>
        </is>
      </c>
      <c r="F879" s="4" t="inlineStr">
        <is>
          <t>Sep 05-Oct 18</t>
        </is>
      </c>
      <c r="G879" s="4" t="inlineStr">
        <is>
          <t>Oct 24-Nov 29</t>
        </is>
      </c>
      <c r="H879" s="4" t="inlineStr">
        <is>
          <t>Dec 12-Dec 20</t>
        </is>
      </c>
      <c r="I879" s="4" t="n"/>
      <c r="J879" s="4" t="n"/>
      <c r="K879" s="4" t="n"/>
      <c r="L879" s="4" t="inlineStr">
        <is>
          <t>Only youth ages 10-15. Only valid on private land.</t>
        </is>
      </c>
    </row>
    <row r="880">
      <c r="A880" s="4" t="inlineStr">
        <is>
          <t>515</t>
        </is>
      </c>
      <c r="B880" s="4" t="inlineStr">
        <is>
          <t>mule deer</t>
        </is>
      </c>
      <c r="C880" s="4" t="inlineStr">
        <is>
          <t>Deer B License: 515-00</t>
        </is>
      </c>
      <c r="D880" s="15" t="inlineStr">
        <is>
          <t>Drawing</t>
        </is>
      </c>
      <c r="E880" s="4" t="inlineStr">
        <is>
          <t>Antlerless Mule Deer</t>
        </is>
      </c>
      <c r="F880" s="4" t="inlineStr">
        <is>
          <t>Sep 05-Oct 18</t>
        </is>
      </c>
      <c r="G880" s="4" t="inlineStr">
        <is>
          <t>Oct 24-Nov 29</t>
        </is>
      </c>
      <c r="H880" s="4" t="inlineStr">
        <is>
          <t>Dec 12-Dec 20</t>
        </is>
      </c>
      <c r="I880" s="4" t="n"/>
      <c r="J880" s="4" t="inlineStr">
        <is>
          <t>Jun 1</t>
        </is>
      </c>
      <c r="K880" s="4" t="inlineStr">
        <is>
          <t>100</t>
        </is>
      </c>
      <c r="L880" s="4" t="n"/>
    </row>
    <row r="881">
      <c r="A881" s="4" t="inlineStr">
        <is>
          <t>525</t>
        </is>
      </c>
      <c r="B881" s="4" t="inlineStr">
        <is>
          <t>mule deer</t>
        </is>
      </c>
      <c r="C881" s="4" t="inlineStr">
        <is>
          <t>General Deer License</t>
        </is>
      </c>
      <c r="D881" s="13" t="inlineStr">
        <is>
          <t>General license</t>
        </is>
      </c>
      <c r="E881" s="4" t="inlineStr">
        <is>
          <t>Antlered Buck Mule Deer</t>
        </is>
      </c>
      <c r="F881" s="4" t="inlineStr">
        <is>
          <t>Sep 05-Oct 18</t>
        </is>
      </c>
      <c r="G881" s="4" t="inlineStr">
        <is>
          <t>Oct 24-Nov 29</t>
        </is>
      </c>
      <c r="H881" s="4" t="inlineStr">
        <is>
          <t>Dec 12-Dec 20</t>
        </is>
      </c>
      <c r="I881" s="4" t="n"/>
      <c r="J881" s="4" t="n"/>
      <c r="K881" s="4" t="n"/>
      <c r="L881" s="4" t="n"/>
    </row>
    <row r="882">
      <c r="A882" s="4" t="inlineStr">
        <is>
          <t>525</t>
        </is>
      </c>
      <c r="B882" s="4" t="inlineStr">
        <is>
          <t>mule deer</t>
        </is>
      </c>
      <c r="C882" s="4" t="inlineStr">
        <is>
          <t>General Deer License</t>
        </is>
      </c>
      <c r="D882" s="13" t="inlineStr">
        <is>
          <t>General license</t>
        </is>
      </c>
      <c r="E882" s="4" t="inlineStr">
        <is>
          <t>Either-sex Mule Deer</t>
        </is>
      </c>
      <c r="F882" s="4" t="inlineStr">
        <is>
          <t>Sep 05-Oct 18</t>
        </is>
      </c>
      <c r="G882" s="4" t="inlineStr">
        <is>
          <t>Oct 24-Nov 29</t>
        </is>
      </c>
      <c r="H882" s="4" t="inlineStr">
        <is>
          <t>Dec 12-Dec 20</t>
        </is>
      </c>
      <c r="I882" s="4" t="n"/>
      <c r="J882" s="4" t="n"/>
      <c r="K882" s="4" t="n"/>
      <c r="L882" s="4" t="inlineStr">
        <is>
          <t>Only youth ages 10-15. Only valid on private land.</t>
        </is>
      </c>
    </row>
    <row r="883">
      <c r="A883" s="4" t="inlineStr">
        <is>
          <t>525</t>
        </is>
      </c>
      <c r="B883" s="4" t="inlineStr">
        <is>
          <t>mule deer</t>
        </is>
      </c>
      <c r="C883" s="4" t="inlineStr">
        <is>
          <t>Deer B License: 525-00</t>
        </is>
      </c>
      <c r="D883" s="15" t="inlineStr">
        <is>
          <t>Drawing</t>
        </is>
      </c>
      <c r="E883" s="4" t="inlineStr">
        <is>
          <t>Antlerless Mule Deer</t>
        </is>
      </c>
      <c r="F883" s="4" t="inlineStr">
        <is>
          <t>Sep 05-Oct 18</t>
        </is>
      </c>
      <c r="G883" s="4" t="inlineStr">
        <is>
          <t>Oct 24-Nov 29</t>
        </is>
      </c>
      <c r="H883" s="4" t="inlineStr">
        <is>
          <t>Dec 12-Dec 20</t>
        </is>
      </c>
      <c r="I883" s="4" t="n"/>
      <c r="J883" s="4" t="inlineStr">
        <is>
          <t>Jun 1</t>
        </is>
      </c>
      <c r="K883" s="4" t="inlineStr">
        <is>
          <t>50</t>
        </is>
      </c>
      <c r="L883" s="4" t="inlineStr">
        <is>
          <t>Not valid on National Forest Land or FWP WMAs.</t>
        </is>
      </c>
    </row>
    <row r="884">
      <c r="A884" s="4" t="inlineStr">
        <is>
          <t>535</t>
        </is>
      </c>
      <c r="B884" s="4" t="inlineStr">
        <is>
          <t>mule deer</t>
        </is>
      </c>
      <c r="C884" s="4" t="inlineStr">
        <is>
          <t>General Deer License</t>
        </is>
      </c>
      <c r="D884" s="13" t="inlineStr">
        <is>
          <t>General license</t>
        </is>
      </c>
      <c r="E884" s="4" t="inlineStr">
        <is>
          <t>Antlerless Mule Deer</t>
        </is>
      </c>
      <c r="F884" s="4" t="inlineStr">
        <is>
          <t>Sep 05-Oct 18</t>
        </is>
      </c>
      <c r="G884" s="4" t="inlineStr">
        <is>
          <t>Oct 24-Nov 29</t>
        </is>
      </c>
      <c r="H884" s="4" t="inlineStr">
        <is>
          <t>Dec 12-Dec 20</t>
        </is>
      </c>
      <c r="I884" s="4" t="n"/>
      <c r="J884" s="4" t="n"/>
      <c r="K884" s="4" t="n"/>
      <c r="L884" s="4" t="inlineStr">
        <is>
          <t>Only youth ages 10-15. Only valid on private land.</t>
        </is>
      </c>
    </row>
    <row r="885">
      <c r="A885" s="4" t="inlineStr">
        <is>
          <t>535</t>
        </is>
      </c>
      <c r="B885" s="4" t="inlineStr">
        <is>
          <t>mule deer</t>
        </is>
      </c>
      <c r="C885" s="4" t="inlineStr">
        <is>
          <t>Deer B License: 535-00</t>
        </is>
      </c>
      <c r="D885" s="15" t="inlineStr">
        <is>
          <t>Drawing</t>
        </is>
      </c>
      <c r="E885" s="4" t="inlineStr">
        <is>
          <t>Antlerless Mule Deer</t>
        </is>
      </c>
      <c r="F885" s="4" t="inlineStr">
        <is>
          <t>Sep 05-Oct 18</t>
        </is>
      </c>
      <c r="G885" s="4" t="inlineStr">
        <is>
          <t>Oct 24-Nov 29</t>
        </is>
      </c>
      <c r="H885" s="4" t="inlineStr">
        <is>
          <t>Dec 12-Dec 20</t>
        </is>
      </c>
      <c r="I885" s="4" t="n"/>
      <c r="J885" s="4" t="inlineStr">
        <is>
          <t>Jun 1</t>
        </is>
      </c>
      <c r="K885" s="4" t="inlineStr">
        <is>
          <t>50</t>
        </is>
      </c>
      <c r="L885" s="4" t="inlineStr">
        <is>
          <t>Only valid on private land.</t>
        </is>
      </c>
    </row>
    <row r="886">
      <c r="A886" s="4" t="inlineStr">
        <is>
          <t>535</t>
        </is>
      </c>
      <c r="B886" s="4" t="inlineStr">
        <is>
          <t>mule deer</t>
        </is>
      </c>
      <c r="C886" s="4" t="inlineStr">
        <is>
          <t>Deer Permit: 535-50</t>
        </is>
      </c>
      <c r="D886" s="15" t="inlineStr">
        <is>
          <t>Drawing</t>
        </is>
      </c>
      <c r="E886" s="4" t="inlineStr">
        <is>
          <t>Antlered Buck Mule Deer</t>
        </is>
      </c>
      <c r="F886" s="4" t="inlineStr">
        <is>
          <t>Sep 05-Oct 18</t>
        </is>
      </c>
      <c r="G886" s="4" t="inlineStr">
        <is>
          <t>Oct 24-Nov 29</t>
        </is>
      </c>
      <c r="H886" s="4" t="inlineStr">
        <is>
          <t>Dec 12-Dec 20</t>
        </is>
      </c>
      <c r="I886" s="4" t="n"/>
      <c r="J886" s="4" t="inlineStr">
        <is>
          <t>April 1</t>
        </is>
      </c>
      <c r="K886" s="4" t="inlineStr">
        <is>
          <t>500</t>
        </is>
      </c>
      <c r="L886" s="4" t="inlineStr">
        <is>
          <t>Permit must be used with a valid General Deer License. Holders may not hunt Antlered Buck Mule Deer in any other HD.</t>
        </is>
      </c>
    </row>
    <row r="887">
      <c r="A887" s="4" t="inlineStr">
        <is>
          <t>540</t>
        </is>
      </c>
      <c r="B887" s="4" t="inlineStr">
        <is>
          <t>mule deer</t>
        </is>
      </c>
      <c r="C887" s="4" t="inlineStr">
        <is>
          <t>General Deer License</t>
        </is>
      </c>
      <c r="D887" s="13" t="inlineStr">
        <is>
          <t>General license</t>
        </is>
      </c>
      <c r="E887" s="4" t="inlineStr">
        <is>
          <t>Antlered Buck Mule Deer</t>
        </is>
      </c>
      <c r="F887" s="4" t="inlineStr">
        <is>
          <t>Sep 05-Oct 18</t>
        </is>
      </c>
      <c r="G887" s="4" t="inlineStr">
        <is>
          <t>Oct 24-Nov 29</t>
        </is>
      </c>
      <c r="H887" s="4" t="inlineStr">
        <is>
          <t>Dec 12-Dec 20</t>
        </is>
      </c>
      <c r="I887" s="4" t="n"/>
      <c r="J887" s="4" t="n"/>
      <c r="K887" s="4" t="n"/>
      <c r="L887" s="4" t="n"/>
    </row>
    <row r="888">
      <c r="A888" s="4" t="inlineStr">
        <is>
          <t>540</t>
        </is>
      </c>
      <c r="B888" s="4" t="inlineStr">
        <is>
          <t>mule deer</t>
        </is>
      </c>
      <c r="C888" s="4" t="inlineStr">
        <is>
          <t>General Deer License</t>
        </is>
      </c>
      <c r="D888" s="13" t="inlineStr">
        <is>
          <t>General license</t>
        </is>
      </c>
      <c r="E888" s="4" t="inlineStr">
        <is>
          <t>Either-sex Mule Deer</t>
        </is>
      </c>
      <c r="F888" s="4" t="inlineStr">
        <is>
          <t>Sep 05-Oct 18</t>
        </is>
      </c>
      <c r="G888" s="4" t="inlineStr">
        <is>
          <t>Oct 24-Nov 29</t>
        </is>
      </c>
      <c r="H888" s="4" t="inlineStr">
        <is>
          <t>Dec 12-Dec 20</t>
        </is>
      </c>
      <c r="I888" s="4" t="n"/>
      <c r="J888" s="4" t="n"/>
      <c r="K888" s="4" t="n"/>
      <c r="L888" s="4" t="inlineStr">
        <is>
          <t>Only youth ages 10-15. Only valid on private land.</t>
        </is>
      </c>
    </row>
    <row r="889">
      <c r="A889" s="4" t="inlineStr">
        <is>
          <t>555</t>
        </is>
      </c>
      <c r="B889" s="4" t="inlineStr">
        <is>
          <t>mule deer</t>
        </is>
      </c>
      <c r="C889" s="4" t="inlineStr">
        <is>
          <t>General Deer License</t>
        </is>
      </c>
      <c r="D889" s="13" t="inlineStr">
        <is>
          <t>General license</t>
        </is>
      </c>
      <c r="E889" s="4" t="inlineStr">
        <is>
          <t>Antlered Buck Mule Deer</t>
        </is>
      </c>
      <c r="F889" s="4" t="inlineStr">
        <is>
          <t>Sep 05-Oct 18</t>
        </is>
      </c>
      <c r="G889" s="4" t="inlineStr">
        <is>
          <t>Oct 24-Nov 29</t>
        </is>
      </c>
      <c r="H889" s="4" t="inlineStr">
        <is>
          <t>Dec 12-Dec 20</t>
        </is>
      </c>
      <c r="I889" s="4" t="n"/>
      <c r="J889" s="4" t="n"/>
      <c r="K889" s="4" t="n"/>
      <c r="L889" s="4" t="n"/>
    </row>
    <row r="890">
      <c r="A890" s="4" t="inlineStr">
        <is>
          <t>555</t>
        </is>
      </c>
      <c r="B890" s="4" t="inlineStr">
        <is>
          <t>mule deer</t>
        </is>
      </c>
      <c r="C890" s="4" t="inlineStr">
        <is>
          <t>General Deer License</t>
        </is>
      </c>
      <c r="D890" s="13" t="inlineStr">
        <is>
          <t>General license</t>
        </is>
      </c>
      <c r="E890" s="4" t="inlineStr">
        <is>
          <t>Either-sex Mule Deer</t>
        </is>
      </c>
      <c r="F890" s="4" t="inlineStr">
        <is>
          <t>Sep 05-Oct 18</t>
        </is>
      </c>
      <c r="G890" s="4" t="inlineStr">
        <is>
          <t>Oct 24-Nov 29</t>
        </is>
      </c>
      <c r="H890" s="4" t="inlineStr">
        <is>
          <t>Dec 12-Dec 20</t>
        </is>
      </c>
      <c r="I890" s="4" t="n"/>
      <c r="J890" s="4" t="n"/>
      <c r="K890" s="4" t="n"/>
      <c r="L890" s="4" t="inlineStr">
        <is>
          <t>Only youth ages 10-15. Only valid on private land.</t>
        </is>
      </c>
    </row>
    <row r="891">
      <c r="A891" s="4" t="inlineStr">
        <is>
          <t>555</t>
        </is>
      </c>
      <c r="B891" s="4" t="inlineStr">
        <is>
          <t>mule deer</t>
        </is>
      </c>
      <c r="C891" s="4" t="inlineStr">
        <is>
          <t>Deer B License: 555-00</t>
        </is>
      </c>
      <c r="D891" s="15" t="inlineStr">
        <is>
          <t>Drawing</t>
        </is>
      </c>
      <c r="E891" s="4" t="inlineStr">
        <is>
          <t>Antlerless Mule Deer</t>
        </is>
      </c>
      <c r="F891" s="4" t="inlineStr">
        <is>
          <t>Sep 05-Oct 18</t>
        </is>
      </c>
      <c r="G891" s="4" t="inlineStr">
        <is>
          <t>Oct 24-Nov 29</t>
        </is>
      </c>
      <c r="H891" s="4" t="inlineStr">
        <is>
          <t>Dec 12-Dec 20</t>
        </is>
      </c>
      <c r="I891" s="4" t="n"/>
      <c r="J891" s="4" t="inlineStr">
        <is>
          <t>Jun 1</t>
        </is>
      </c>
      <c r="K891" s="4" t="inlineStr">
        <is>
          <t>150</t>
        </is>
      </c>
      <c r="L891" s="4" t="inlineStr">
        <is>
          <t>ELK Hunting By Drawing Only</t>
        </is>
      </c>
    </row>
    <row r="892">
      <c r="A892" s="4" t="inlineStr">
        <is>
          <t>565</t>
        </is>
      </c>
      <c r="B892" s="4" t="inlineStr">
        <is>
          <t>mule deer</t>
        </is>
      </c>
      <c r="C892" s="4" t="inlineStr">
        <is>
          <t>General Deer License</t>
        </is>
      </c>
      <c r="D892" s="13" t="inlineStr">
        <is>
          <t>General license</t>
        </is>
      </c>
      <c r="E892" s="4" t="inlineStr">
        <is>
          <t>Antlered Buck Mule Deer</t>
        </is>
      </c>
      <c r="F892" s="4" t="inlineStr">
        <is>
          <t>Sep 05-Oct 18</t>
        </is>
      </c>
      <c r="G892" s="4" t="inlineStr">
        <is>
          <t>Oct 24-Nov 29</t>
        </is>
      </c>
      <c r="H892" s="4" t="inlineStr">
        <is>
          <t>Dec 12-Dec 20</t>
        </is>
      </c>
      <c r="I892" s="4" t="n"/>
      <c r="J892" s="4" t="n"/>
      <c r="K892" s="4" t="n"/>
      <c r="L892" s="4" t="n"/>
    </row>
    <row r="893">
      <c r="A893" s="4" t="inlineStr">
        <is>
          <t>565</t>
        </is>
      </c>
      <c r="B893" s="4" t="inlineStr">
        <is>
          <t>mule deer</t>
        </is>
      </c>
      <c r="C893" s="4" t="inlineStr">
        <is>
          <t>General Deer License</t>
        </is>
      </c>
      <c r="D893" s="13" t="inlineStr">
        <is>
          <t>General license</t>
        </is>
      </c>
      <c r="E893" s="4" t="inlineStr">
        <is>
          <t>Either-sex Mule Deer</t>
        </is>
      </c>
      <c r="F893" s="4" t="inlineStr">
        <is>
          <t>Sep 05-Oct 18</t>
        </is>
      </c>
      <c r="G893" s="4" t="inlineStr">
        <is>
          <t>Oct 24-Nov 29</t>
        </is>
      </c>
      <c r="H893" s="4" t="inlineStr">
        <is>
          <t>Dec 12-Dec 20</t>
        </is>
      </c>
      <c r="I893" s="4" t="n"/>
      <c r="J893" s="4" t="n"/>
      <c r="K893" s="4" t="n"/>
      <c r="L893" s="4" t="inlineStr">
        <is>
          <t>Only youth ages 10-15. Only valid on private land.</t>
        </is>
      </c>
    </row>
    <row r="894">
      <c r="A894" s="4" t="inlineStr">
        <is>
          <t>575</t>
        </is>
      </c>
      <c r="B894" s="4" t="inlineStr">
        <is>
          <t>mule deer</t>
        </is>
      </c>
      <c r="C894" s="4" t="inlineStr">
        <is>
          <t>General Deer License</t>
        </is>
      </c>
      <c r="D894" s="13" t="inlineStr">
        <is>
          <t>General license</t>
        </is>
      </c>
      <c r="E894" s="4" t="inlineStr">
        <is>
          <t>Antlered Buck Mule Deer</t>
        </is>
      </c>
      <c r="F894" s="4" t="inlineStr">
        <is>
          <t>Sep 05-Oct 18</t>
        </is>
      </c>
      <c r="G894" s="4" t="inlineStr">
        <is>
          <t>Oct 24-Nov 29</t>
        </is>
      </c>
      <c r="H894" s="4" t="inlineStr">
        <is>
          <t>Dec 12-Dec 20</t>
        </is>
      </c>
      <c r="I894" s="4" t="n"/>
      <c r="J894" s="4" t="n"/>
      <c r="K894" s="4" t="n"/>
      <c r="L894" s="4" t="n"/>
    </row>
    <row r="895">
      <c r="A895" s="4" t="inlineStr">
        <is>
          <t>575</t>
        </is>
      </c>
      <c r="B895" s="4" t="inlineStr">
        <is>
          <t>mule deer</t>
        </is>
      </c>
      <c r="C895" s="4" t="inlineStr">
        <is>
          <t>General Deer License</t>
        </is>
      </c>
      <c r="D895" s="13" t="inlineStr">
        <is>
          <t>General license</t>
        </is>
      </c>
      <c r="E895" s="4" t="inlineStr">
        <is>
          <t>Either-sex Mule Deer</t>
        </is>
      </c>
      <c r="F895" s="4" t="inlineStr">
        <is>
          <t>Sep 05-Oct 18</t>
        </is>
      </c>
      <c r="G895" s="4" t="inlineStr">
        <is>
          <t>Oct 24-Nov 29</t>
        </is>
      </c>
      <c r="H895" s="4" t="inlineStr">
        <is>
          <t>Dec 12-Dec 20</t>
        </is>
      </c>
      <c r="I895" s="4" t="n"/>
      <c r="J895" s="4" t="n"/>
      <c r="K895" s="4" t="n"/>
      <c r="L895" s="4" t="inlineStr">
        <is>
          <t>Only youth ages 10-15. Only valid on private land.</t>
        </is>
      </c>
    </row>
    <row r="896">
      <c r="A896" s="4" t="inlineStr">
        <is>
          <t>575</t>
        </is>
      </c>
      <c r="B896" s="4" t="inlineStr">
        <is>
          <t>mule deer</t>
        </is>
      </c>
      <c r="C896" s="4" t="inlineStr">
        <is>
          <t>Deer B License: 575-00</t>
        </is>
      </c>
      <c r="D896" s="15" t="inlineStr">
        <is>
          <t>Drawing</t>
        </is>
      </c>
      <c r="E896" s="4" t="inlineStr">
        <is>
          <t>Antlerless Mule Deer</t>
        </is>
      </c>
      <c r="F896" s="4" t="inlineStr">
        <is>
          <t>Sep 05-Oct 18</t>
        </is>
      </c>
      <c r="G896" s="4" t="inlineStr">
        <is>
          <t>Oct 24-Nov 29</t>
        </is>
      </c>
      <c r="H896" s="4" t="inlineStr">
        <is>
          <t>Dec 12-Dec 20</t>
        </is>
      </c>
      <c r="I896" s="4" t="n"/>
      <c r="J896" s="4" t="inlineStr">
        <is>
          <t>Jun 1</t>
        </is>
      </c>
      <c r="K896" s="4" t="inlineStr">
        <is>
          <t>500</t>
        </is>
      </c>
      <c r="L896" s="4" t="n"/>
    </row>
    <row r="897">
      <c r="A897" s="4" t="inlineStr">
        <is>
          <t>580</t>
        </is>
      </c>
      <c r="B897" s="4" t="inlineStr">
        <is>
          <t>mule deer</t>
        </is>
      </c>
      <c r="C897" s="4" t="inlineStr">
        <is>
          <t>General Deer License</t>
        </is>
      </c>
      <c r="D897" s="13" t="inlineStr">
        <is>
          <t>General license</t>
        </is>
      </c>
      <c r="E897" s="4" t="inlineStr">
        <is>
          <t>Antlered Buck Mule Deer</t>
        </is>
      </c>
      <c r="F897" s="4" t="inlineStr">
        <is>
          <t>Sep 05-Oct 18</t>
        </is>
      </c>
      <c r="G897" s="4" t="inlineStr">
        <is>
          <t>Oct 24-Nov 29</t>
        </is>
      </c>
      <c r="H897" s="4" t="inlineStr">
        <is>
          <t>Dec 12-Dec 20</t>
        </is>
      </c>
      <c r="I897" s="4" t="n"/>
      <c r="J897" s="4" t="n"/>
      <c r="K897" s="4" t="n"/>
      <c r="L897" s="4" t="n"/>
    </row>
    <row r="898">
      <c r="A898" s="4" t="inlineStr">
        <is>
          <t>580</t>
        </is>
      </c>
      <c r="B898" s="4" t="inlineStr">
        <is>
          <t>mule deer</t>
        </is>
      </c>
      <c r="C898" s="4" t="inlineStr">
        <is>
          <t>General Deer License</t>
        </is>
      </c>
      <c r="D898" s="13" t="inlineStr">
        <is>
          <t>General license</t>
        </is>
      </c>
      <c r="E898" s="4" t="inlineStr">
        <is>
          <t>Either-sex Mule Deer</t>
        </is>
      </c>
      <c r="F898" s="4" t="inlineStr">
        <is>
          <t>Sep 05-Oct 18</t>
        </is>
      </c>
      <c r="G898" s="4" t="inlineStr">
        <is>
          <t>Oct 24-Nov 29</t>
        </is>
      </c>
      <c r="H898" s="4" t="inlineStr">
        <is>
          <t>Dec 12-Dec 20</t>
        </is>
      </c>
      <c r="I898" s="4" t="n"/>
      <c r="J898" s="4" t="n"/>
      <c r="K898" s="4" t="n"/>
      <c r="L898" s="4" t="inlineStr">
        <is>
          <t>Only youth ages 10-15. Only valid on private land.</t>
        </is>
      </c>
    </row>
    <row r="899">
      <c r="A899" s="4" t="inlineStr">
        <is>
          <t>580</t>
        </is>
      </c>
      <c r="B899" s="4" t="inlineStr">
        <is>
          <t>mule deer</t>
        </is>
      </c>
      <c r="C899" s="4" t="inlineStr">
        <is>
          <t>Deer B License: 580-00</t>
        </is>
      </c>
      <c r="D899" s="15" t="inlineStr">
        <is>
          <t>Drawing</t>
        </is>
      </c>
      <c r="E899" s="4" t="inlineStr">
        <is>
          <t>Antlerless Mule Deer</t>
        </is>
      </c>
      <c r="F899" s="4" t="inlineStr">
        <is>
          <t>Sep 05-Oct 18</t>
        </is>
      </c>
      <c r="G899" s="4" t="inlineStr">
        <is>
          <t>Oct 24-Nov 29</t>
        </is>
      </c>
      <c r="H899" s="4" t="inlineStr">
        <is>
          <t>Dec 12-Dec 20</t>
        </is>
      </c>
      <c r="I899" s="4" t="n"/>
      <c r="J899" s="4" t="inlineStr">
        <is>
          <t>Jun 1</t>
        </is>
      </c>
      <c r="K899" s="4" t="inlineStr">
        <is>
          <t>50</t>
        </is>
      </c>
      <c r="L899" s="4" t="inlineStr">
        <is>
          <t>Only valid on private land.</t>
        </is>
      </c>
    </row>
    <row r="900">
      <c r="A900" s="4" t="inlineStr">
        <is>
          <t>590</t>
        </is>
      </c>
      <c r="B900" s="4" t="inlineStr">
        <is>
          <t>mule deer</t>
        </is>
      </c>
      <c r="C900" s="4" t="inlineStr">
        <is>
          <t>General Deer License</t>
        </is>
      </c>
      <c r="D900" s="13" t="inlineStr">
        <is>
          <t>General license</t>
        </is>
      </c>
      <c r="E900" s="4" t="inlineStr">
        <is>
          <t>Antlered Buck Mule Deer</t>
        </is>
      </c>
      <c r="F900" s="4" t="inlineStr">
        <is>
          <t>Sep 05-Oct 18</t>
        </is>
      </c>
      <c r="G900" s="4" t="inlineStr">
        <is>
          <t>Oct 24-Nov 29</t>
        </is>
      </c>
      <c r="H900" s="4" t="inlineStr">
        <is>
          <t>Dec 12-Dec 20</t>
        </is>
      </c>
      <c r="I900" s="4" t="n"/>
      <c r="J900" s="4" t="n"/>
      <c r="K900" s="4" t="n"/>
      <c r="L900" s="4" t="n"/>
    </row>
    <row r="901">
      <c r="A901" s="4" t="inlineStr">
        <is>
          <t>590</t>
        </is>
      </c>
      <c r="B901" s="4" t="inlineStr">
        <is>
          <t>mule deer</t>
        </is>
      </c>
      <c r="C901" s="4" t="inlineStr">
        <is>
          <t>General Deer License</t>
        </is>
      </c>
      <c r="D901" s="13" t="inlineStr">
        <is>
          <t>General license</t>
        </is>
      </c>
      <c r="E901" s="4" t="inlineStr">
        <is>
          <t>Either-sex Mule Deer</t>
        </is>
      </c>
      <c r="F901" s="4" t="inlineStr">
        <is>
          <t>Sep 05-Oct 18</t>
        </is>
      </c>
      <c r="G901" s="4" t="inlineStr">
        <is>
          <t>Oct 24-Nov 29</t>
        </is>
      </c>
      <c r="H901" s="4" t="inlineStr">
        <is>
          <t>Dec 12-Dec 20</t>
        </is>
      </c>
      <c r="I901" s="4" t="n"/>
      <c r="J901" s="4" t="n"/>
      <c r="K901" s="4" t="n"/>
      <c r="L901" s="4" t="inlineStr">
        <is>
          <t>Only youth ages 10-15. Only valid on private land.</t>
        </is>
      </c>
    </row>
    <row r="902">
      <c r="A902" s="4" t="inlineStr">
        <is>
          <t>590</t>
        </is>
      </c>
      <c r="B902" s="4" t="inlineStr">
        <is>
          <t>mule deer</t>
        </is>
      </c>
      <c r="C902" s="4" t="inlineStr">
        <is>
          <t>Deer B License: 590-00</t>
        </is>
      </c>
      <c r="D902" s="15" t="inlineStr">
        <is>
          <t>Drawing</t>
        </is>
      </c>
      <c r="E902" s="4" t="inlineStr">
        <is>
          <t>Antlerless Mule Deer</t>
        </is>
      </c>
      <c r="F902" s="4" t="inlineStr">
        <is>
          <t>Sep 05-Oct 18</t>
        </is>
      </c>
      <c r="G902" s="4" t="inlineStr">
        <is>
          <t>Oct 24-Nov 29</t>
        </is>
      </c>
      <c r="H902" s="4" t="inlineStr">
        <is>
          <t>Dec 12-Dec 20</t>
        </is>
      </c>
      <c r="I902" s="4" t="n"/>
      <c r="J902" s="4" t="inlineStr">
        <is>
          <t>Jun 1</t>
        </is>
      </c>
      <c r="K902" s="4" t="inlineStr">
        <is>
          <t>100</t>
        </is>
      </c>
      <c r="L902" s="4" t="n"/>
    </row>
    <row r="903">
      <c r="A903" s="4" t="inlineStr">
        <is>
          <t>600</t>
        </is>
      </c>
      <c r="B903" s="4" t="inlineStr">
        <is>
          <t>mule deer</t>
        </is>
      </c>
      <c r="C903" s="4" t="inlineStr">
        <is>
          <t>General Deer License</t>
        </is>
      </c>
      <c r="D903" s="13" t="inlineStr">
        <is>
          <t>General license</t>
        </is>
      </c>
      <c r="E903" s="4" t="inlineStr">
        <is>
          <t>Antlerless Mule Deer</t>
        </is>
      </c>
      <c r="F903" s="4" t="inlineStr">
        <is>
          <t>Sep 05-Oct 18</t>
        </is>
      </c>
      <c r="G903" s="4" t="inlineStr">
        <is>
          <t>Oct 24-Nov 29</t>
        </is>
      </c>
      <c r="H903" s="4" t="inlineStr">
        <is>
          <t>Dec 12-Dec 20</t>
        </is>
      </c>
      <c r="I903" s="4" t="n"/>
      <c r="J903" s="4" t="n"/>
      <c r="K903" s="4" t="n"/>
      <c r="L903" s="4" t="inlineStr">
        <is>
          <t>Only valid on private land.</t>
        </is>
      </c>
    </row>
    <row r="904">
      <c r="A904" s="4" t="inlineStr">
        <is>
          <t>600</t>
        </is>
      </c>
      <c r="B904" s="4" t="inlineStr">
        <is>
          <t>mule deer</t>
        </is>
      </c>
      <c r="C904" s="4" t="inlineStr">
        <is>
          <t>General Deer License</t>
        </is>
      </c>
      <c r="D904" s="13" t="inlineStr">
        <is>
          <t>General license</t>
        </is>
      </c>
      <c r="E904" s="4" t="inlineStr">
        <is>
          <t>Antlered Buck Mule Deer</t>
        </is>
      </c>
      <c r="F904" s="4" t="inlineStr">
        <is>
          <t>Sep 05-Oct 18</t>
        </is>
      </c>
      <c r="G904" s="4" t="inlineStr">
        <is>
          <t>Oct 24-Nov 29</t>
        </is>
      </c>
      <c r="H904" s="4" t="inlineStr">
        <is>
          <t>Dec 12-Dec 20</t>
        </is>
      </c>
      <c r="I904" s="4" t="n"/>
      <c r="J904" s="4" t="n"/>
      <c r="K904" s="4" t="n"/>
      <c r="L904" s="4" t="n"/>
    </row>
    <row r="905">
      <c r="A905" s="4" t="inlineStr">
        <is>
          <t>600</t>
        </is>
      </c>
      <c r="B905" s="4" t="inlineStr">
        <is>
          <t>mule deer</t>
        </is>
      </c>
      <c r="C905" s="4" t="inlineStr">
        <is>
          <t>Deer B License: 600-01</t>
        </is>
      </c>
      <c r="D905" s="15" t="inlineStr">
        <is>
          <t>Drawing</t>
        </is>
      </c>
      <c r="E905" s="4" t="inlineStr">
        <is>
          <t>Antlerless Mule Deer</t>
        </is>
      </c>
      <c r="F905" s="4" t="inlineStr">
        <is>
          <t>Sep 05-Oct 18</t>
        </is>
      </c>
      <c r="G905" s="4" t="inlineStr">
        <is>
          <t>Oct 24-Nov 29</t>
        </is>
      </c>
      <c r="H905" s="4" t="inlineStr">
        <is>
          <t>Dec 12-Dec 20</t>
        </is>
      </c>
      <c r="I905" s="4" t="n"/>
      <c r="J905" s="4" t="inlineStr">
        <is>
          <t>Jun 1</t>
        </is>
      </c>
      <c r="K905" s="4" t="inlineStr">
        <is>
          <t>500</t>
        </is>
      </c>
      <c r="L905" s="4" t="inlineStr">
        <is>
          <t>Only valid on private land.</t>
        </is>
      </c>
    </row>
    <row r="906">
      <c r="A906" s="4" t="inlineStr">
        <is>
          <t>620</t>
        </is>
      </c>
      <c r="B906" s="4" t="inlineStr">
        <is>
          <t>mule deer</t>
        </is>
      </c>
      <c r="C906" s="4" t="inlineStr">
        <is>
          <t>General Deer License</t>
        </is>
      </c>
      <c r="D906" s="13" t="inlineStr">
        <is>
          <t>General license</t>
        </is>
      </c>
      <c r="E906" s="4" t="inlineStr">
        <is>
          <t>Antlerless Mule Deer</t>
        </is>
      </c>
      <c r="F906" s="4" t="inlineStr">
        <is>
          <t>Sep 05-Oct 18</t>
        </is>
      </c>
      <c r="G906" s="4" t="inlineStr">
        <is>
          <t>Oct 24-Nov 29</t>
        </is>
      </c>
      <c r="H906" s="4" t="inlineStr">
        <is>
          <t>Dec 12-Dec 20</t>
        </is>
      </c>
      <c r="I906" s="4" t="n"/>
      <c r="J906" s="4" t="n"/>
      <c r="K906" s="4" t="n"/>
      <c r="L906" s="4" t="inlineStr">
        <is>
          <t>Only valid on private land.</t>
        </is>
      </c>
    </row>
    <row r="907">
      <c r="A907" s="4" t="inlineStr">
        <is>
          <t>620</t>
        </is>
      </c>
      <c r="B907" s="4" t="inlineStr">
        <is>
          <t>mule deer</t>
        </is>
      </c>
      <c r="C907" s="4" t="inlineStr">
        <is>
          <t>General Deer License</t>
        </is>
      </c>
      <c r="D907" s="13" t="inlineStr">
        <is>
          <t>General license</t>
        </is>
      </c>
      <c r="E907" s="4" t="inlineStr">
        <is>
          <t>Antlered Buck Mule Deer</t>
        </is>
      </c>
      <c r="F907" s="4" t="inlineStr">
        <is>
          <t>Sep 05-Oct 18</t>
        </is>
      </c>
      <c r="G907" s="4" t="inlineStr">
        <is>
          <t>Oct 24-Nov 29</t>
        </is>
      </c>
      <c r="H907" s="4" t="inlineStr">
        <is>
          <t>Dec 12-Dec 20</t>
        </is>
      </c>
      <c r="I907" s="4" t="n"/>
      <c r="J907" s="4" t="n"/>
      <c r="K907" s="4" t="n"/>
      <c r="L907" s="4" t="n"/>
    </row>
    <row r="908">
      <c r="A908" s="4" t="inlineStr">
        <is>
          <t>620</t>
        </is>
      </c>
      <c r="B908" s="4" t="inlineStr">
        <is>
          <t>mule deer</t>
        </is>
      </c>
      <c r="C908" s="4" t="inlineStr">
        <is>
          <t>Deer B License: 620-00</t>
        </is>
      </c>
      <c r="D908" s="15" t="inlineStr">
        <is>
          <t>Drawing</t>
        </is>
      </c>
      <c r="E908" s="4" t="inlineStr">
        <is>
          <t>Antlerless Mule Deer</t>
        </is>
      </c>
      <c r="F908" s="4" t="inlineStr">
        <is>
          <t>Sep 05-Oct 18</t>
        </is>
      </c>
      <c r="G908" s="4" t="inlineStr">
        <is>
          <t>Oct 24-Nov 29</t>
        </is>
      </c>
      <c r="H908" s="4" t="inlineStr">
        <is>
          <t>Dec 12-Dec 20</t>
        </is>
      </c>
      <c r="I908" s="4" t="n"/>
      <c r="J908" s="4" t="inlineStr">
        <is>
          <t>Jun 1</t>
        </is>
      </c>
      <c r="K908" s="4" t="inlineStr">
        <is>
          <t>50</t>
        </is>
      </c>
      <c r="L908" s="4" t="inlineStr">
        <is>
          <t>Only valid on private land in HD 620. ELK Hunting by Drawing Only</t>
        </is>
      </c>
    </row>
    <row r="909">
      <c r="A909" s="4" t="inlineStr">
        <is>
          <t>621</t>
        </is>
      </c>
      <c r="B909" s="4" t="inlineStr">
        <is>
          <t>mule deer</t>
        </is>
      </c>
      <c r="C909" s="4" t="inlineStr">
        <is>
          <t>General Deer License</t>
        </is>
      </c>
      <c r="D909" s="13" t="inlineStr">
        <is>
          <t>General license</t>
        </is>
      </c>
      <c r="E909" s="4" t="inlineStr">
        <is>
          <t>Antlered Buck Mule Deer</t>
        </is>
      </c>
      <c r="F909" s="4" t="inlineStr">
        <is>
          <t>Sep 05-Oct 18</t>
        </is>
      </c>
      <c r="G909" s="4" t="inlineStr">
        <is>
          <t>Oct 24-Nov 29</t>
        </is>
      </c>
      <c r="H909" s="4" t="inlineStr">
        <is>
          <t>Dec 12-Dec 20</t>
        </is>
      </c>
      <c r="I909" s="4" t="n"/>
      <c r="J909" s="4" t="n"/>
      <c r="K909" s="4" t="n"/>
      <c r="L909" s="4" t="n"/>
    </row>
    <row r="910">
      <c r="A910" s="4" t="inlineStr">
        <is>
          <t>622</t>
        </is>
      </c>
      <c r="B910" s="4" t="inlineStr">
        <is>
          <t>mule deer</t>
        </is>
      </c>
      <c r="C910" s="4" t="inlineStr">
        <is>
          <t>General Deer License</t>
        </is>
      </c>
      <c r="D910" s="13" t="inlineStr">
        <is>
          <t>General license</t>
        </is>
      </c>
      <c r="E910" s="4" t="inlineStr">
        <is>
          <t>Antlered Buck Mule Deer</t>
        </is>
      </c>
      <c r="F910" s="4" t="inlineStr">
        <is>
          <t>Sep 05-Oct 18</t>
        </is>
      </c>
      <c r="G910" s="4" t="inlineStr">
        <is>
          <t>Oct 24-Nov 29</t>
        </is>
      </c>
      <c r="H910" s="4" t="inlineStr">
        <is>
          <t>Dec 12-Dec 20</t>
        </is>
      </c>
      <c r="I910" s="4" t="n"/>
      <c r="J910" s="4" t="n"/>
      <c r="K910" s="4" t="n"/>
      <c r="L910" s="4" t="n"/>
    </row>
    <row r="911">
      <c r="A911" s="4" t="inlineStr">
        <is>
          <t>630</t>
        </is>
      </c>
      <c r="B911" s="4" t="inlineStr">
        <is>
          <t>mule deer</t>
        </is>
      </c>
      <c r="C911" s="4" t="inlineStr">
        <is>
          <t>General Deer License</t>
        </is>
      </c>
      <c r="D911" s="13" t="inlineStr">
        <is>
          <t>General license</t>
        </is>
      </c>
      <c r="E911" s="4" t="inlineStr">
        <is>
          <t>Antlerless Mule Deer</t>
        </is>
      </c>
      <c r="F911" s="4" t="inlineStr">
        <is>
          <t>Sep 05-Oct 18</t>
        </is>
      </c>
      <c r="G911" s="4" t="inlineStr">
        <is>
          <t>Oct 24-Nov 29</t>
        </is>
      </c>
      <c r="H911" s="4" t="inlineStr">
        <is>
          <t>Dec 12-Dec 20</t>
        </is>
      </c>
      <c r="I911" s="4" t="n"/>
      <c r="J911" s="4" t="n"/>
      <c r="K911" s="4" t="n"/>
      <c r="L911" s="4" t="inlineStr">
        <is>
          <t>Only valid on private land.</t>
        </is>
      </c>
    </row>
    <row r="912">
      <c r="A912" s="4" t="inlineStr">
        <is>
          <t>630</t>
        </is>
      </c>
      <c r="B912" s="4" t="inlineStr">
        <is>
          <t>mule deer</t>
        </is>
      </c>
      <c r="C912" s="4" t="inlineStr">
        <is>
          <t>General Deer License</t>
        </is>
      </c>
      <c r="D912" s="13" t="inlineStr">
        <is>
          <t>General license</t>
        </is>
      </c>
      <c r="E912" s="4" t="inlineStr">
        <is>
          <t>Antlered Buck Mule Deer</t>
        </is>
      </c>
      <c r="F912" s="4" t="inlineStr">
        <is>
          <t>Sep 05-Oct 18</t>
        </is>
      </c>
      <c r="G912" s="4" t="inlineStr">
        <is>
          <t>Oct 24-Nov 29</t>
        </is>
      </c>
      <c r="H912" s="4" t="inlineStr">
        <is>
          <t>Dec 12-Dec 20</t>
        </is>
      </c>
      <c r="I912" s="4" t="n"/>
      <c r="J912" s="4" t="n"/>
      <c r="K912" s="4" t="n"/>
      <c r="L912" s="4" t="n"/>
    </row>
    <row r="913">
      <c r="A913" s="4" t="inlineStr">
        <is>
          <t>630</t>
        </is>
      </c>
      <c r="B913" s="4" t="inlineStr">
        <is>
          <t>mule deer</t>
        </is>
      </c>
      <c r="C913" s="4" t="inlineStr">
        <is>
          <t>Deer B License: 630-00</t>
        </is>
      </c>
      <c r="D913" s="15" t="inlineStr">
        <is>
          <t>Drawing</t>
        </is>
      </c>
      <c r="E913" s="4" t="inlineStr">
        <is>
          <t>Antlerless Mule Deer</t>
        </is>
      </c>
      <c r="F913" s="4" t="inlineStr">
        <is>
          <t>Sep 05-Oct 18</t>
        </is>
      </c>
      <c r="G913" s="4" t="inlineStr">
        <is>
          <t>Oct 24-Nov 29</t>
        </is>
      </c>
      <c r="H913" s="4" t="inlineStr">
        <is>
          <t>Dec 12-Dec 20</t>
        </is>
      </c>
      <c r="I913" s="4" t="n"/>
      <c r="J913" s="4" t="inlineStr">
        <is>
          <t>Jun 1</t>
        </is>
      </c>
      <c r="K913" s="4" t="inlineStr">
        <is>
          <t>100</t>
        </is>
      </c>
      <c r="L913" s="4" t="inlineStr">
        <is>
          <t>Only valid on private land. ELK Hunting by Drawing Only</t>
        </is>
      </c>
    </row>
    <row r="914">
      <c r="A914" s="4" t="inlineStr">
        <is>
          <t>640</t>
        </is>
      </c>
      <c r="B914" s="4" t="inlineStr">
        <is>
          <t>mule deer</t>
        </is>
      </c>
      <c r="C914" s="4" t="inlineStr">
        <is>
          <t>General Deer License</t>
        </is>
      </c>
      <c r="D914" s="13" t="inlineStr">
        <is>
          <t>General license</t>
        </is>
      </c>
      <c r="E914" s="4" t="inlineStr">
        <is>
          <t>Antlerless Mule Deer</t>
        </is>
      </c>
      <c r="F914" s="4" t="inlineStr">
        <is>
          <t>Sep 05-Oct 18</t>
        </is>
      </c>
      <c r="G914" s="4" t="inlineStr">
        <is>
          <t>Oct 24-Nov 29</t>
        </is>
      </c>
      <c r="H914" s="4" t="inlineStr">
        <is>
          <t>Dec 12-Dec 20</t>
        </is>
      </c>
      <c r="I914" s="4" t="n"/>
      <c r="J914" s="4" t="n"/>
      <c r="K914" s="4" t="n"/>
      <c r="L914" s="4" t="inlineStr">
        <is>
          <t>Only valid on private land.</t>
        </is>
      </c>
    </row>
    <row r="915">
      <c r="A915" s="4" t="inlineStr">
        <is>
          <t>640</t>
        </is>
      </c>
      <c r="B915" s="4" t="inlineStr">
        <is>
          <t>mule deer</t>
        </is>
      </c>
      <c r="C915" s="4" t="inlineStr">
        <is>
          <t>General Deer License</t>
        </is>
      </c>
      <c r="D915" s="13" t="inlineStr">
        <is>
          <t>General license</t>
        </is>
      </c>
      <c r="E915" s="4" t="inlineStr">
        <is>
          <t>Antlered Buck Mule Deer</t>
        </is>
      </c>
      <c r="F915" s="4" t="inlineStr">
        <is>
          <t>Sep 05-Oct 18</t>
        </is>
      </c>
      <c r="G915" s="4" t="inlineStr">
        <is>
          <t>Oct 24-Nov 29</t>
        </is>
      </c>
      <c r="H915" s="4" t="inlineStr">
        <is>
          <t>Dec 12-Dec 20</t>
        </is>
      </c>
      <c r="I915" s="4" t="n"/>
      <c r="J915" s="4" t="n"/>
      <c r="K915" s="4" t="n"/>
      <c r="L915" s="4" t="n"/>
    </row>
    <row r="916">
      <c r="A916" s="4" t="inlineStr">
        <is>
          <t>640</t>
        </is>
      </c>
      <c r="B916" s="4" t="inlineStr">
        <is>
          <t>mule deer</t>
        </is>
      </c>
      <c r="C916" s="4" t="inlineStr">
        <is>
          <t>Deer B License: 640-00</t>
        </is>
      </c>
      <c r="D916" s="15" t="inlineStr">
        <is>
          <t>Drawing</t>
        </is>
      </c>
      <c r="E916" s="4" t="inlineStr">
        <is>
          <t>Antlerless Mule Deer</t>
        </is>
      </c>
      <c r="F916" s="4" t="inlineStr">
        <is>
          <t>Sep 05-Oct 18</t>
        </is>
      </c>
      <c r="G916" s="4" t="inlineStr">
        <is>
          <t>Oct 24-Nov 29</t>
        </is>
      </c>
      <c r="H916" s="4" t="inlineStr">
        <is>
          <t>Dec 12-Dec 20</t>
        </is>
      </c>
      <c r="I916" s="4" t="n"/>
      <c r="J916" s="4" t="inlineStr">
        <is>
          <t>Jun 1</t>
        </is>
      </c>
      <c r="K916" s="4" t="inlineStr">
        <is>
          <t>500</t>
        </is>
      </c>
      <c r="L916" s="4" t="inlineStr">
        <is>
          <t>Only valid on private land.</t>
        </is>
      </c>
    </row>
    <row r="917">
      <c r="A917" s="4" t="inlineStr">
        <is>
          <t>650</t>
        </is>
      </c>
      <c r="B917" s="4" t="inlineStr">
        <is>
          <t>mule deer</t>
        </is>
      </c>
      <c r="C917" s="4" t="inlineStr">
        <is>
          <t>General Deer License</t>
        </is>
      </c>
      <c r="D917" s="13" t="inlineStr">
        <is>
          <t>General license</t>
        </is>
      </c>
      <c r="E917" s="4" t="inlineStr">
        <is>
          <t>Antlerless Mule Deer</t>
        </is>
      </c>
      <c r="F917" s="4" t="inlineStr">
        <is>
          <t>Sep 05-Oct 18</t>
        </is>
      </c>
      <c r="G917" s="4" t="inlineStr">
        <is>
          <t>Oct 24-Nov 29</t>
        </is>
      </c>
      <c r="H917" s="4" t="inlineStr">
        <is>
          <t>Dec 12-Dec 20</t>
        </is>
      </c>
      <c r="I917" s="4" t="n"/>
      <c r="J917" s="4" t="n"/>
      <c r="K917" s="4" t="n"/>
      <c r="L917" s="4" t="inlineStr">
        <is>
          <t>Only valid on private land.</t>
        </is>
      </c>
    </row>
    <row r="918">
      <c r="A918" s="4" t="inlineStr">
        <is>
          <t>650</t>
        </is>
      </c>
      <c r="B918" s="4" t="inlineStr">
        <is>
          <t>mule deer</t>
        </is>
      </c>
      <c r="C918" s="4" t="inlineStr">
        <is>
          <t>General Deer License</t>
        </is>
      </c>
      <c r="D918" s="13" t="inlineStr">
        <is>
          <t>General license</t>
        </is>
      </c>
      <c r="E918" s="4" t="inlineStr">
        <is>
          <t>Antlered Buck Mule Deer</t>
        </is>
      </c>
      <c r="F918" s="4" t="inlineStr">
        <is>
          <t>Sep 05-Oct 18</t>
        </is>
      </c>
      <c r="G918" s="4" t="inlineStr">
        <is>
          <t>Oct 24-Nov 29</t>
        </is>
      </c>
      <c r="H918" s="4" t="inlineStr">
        <is>
          <t>Dec 12-Dec 20</t>
        </is>
      </c>
      <c r="I918" s="4" t="n"/>
      <c r="J918" s="4" t="n"/>
      <c r="K918" s="4" t="n"/>
      <c r="L918" s="4" t="n"/>
    </row>
    <row r="919">
      <c r="A919" s="4" t="inlineStr">
        <is>
          <t>650</t>
        </is>
      </c>
      <c r="B919" s="4" t="inlineStr">
        <is>
          <t>mule deer</t>
        </is>
      </c>
      <c r="C919" s="4" t="inlineStr">
        <is>
          <t>Deer B License: 650-00</t>
        </is>
      </c>
      <c r="D919" s="15" t="inlineStr">
        <is>
          <t>Drawing</t>
        </is>
      </c>
      <c r="E919" s="4" t="inlineStr">
        <is>
          <t>Antlerless Mule Deer</t>
        </is>
      </c>
      <c r="F919" s="4" t="inlineStr">
        <is>
          <t>Sep 05-Oct 18</t>
        </is>
      </c>
      <c r="G919" s="4" t="inlineStr">
        <is>
          <t>Oct 24-Nov 29</t>
        </is>
      </c>
      <c r="H919" s="4" t="inlineStr">
        <is>
          <t>Dec 12-Dec 20</t>
        </is>
      </c>
      <c r="I919" s="4" t="n"/>
      <c r="J919" s="4" t="inlineStr">
        <is>
          <t>Jun 1</t>
        </is>
      </c>
      <c r="K919" s="4" t="inlineStr">
        <is>
          <t>50</t>
        </is>
      </c>
      <c r="L919" s="4" t="inlineStr">
        <is>
          <t>Only valid on private land.</t>
        </is>
      </c>
    </row>
    <row r="920">
      <c r="A920" s="4" t="inlineStr">
        <is>
          <t>652</t>
        </is>
      </c>
      <c r="B920" s="4" t="inlineStr">
        <is>
          <t>mule deer</t>
        </is>
      </c>
      <c r="C920" s="4" t="inlineStr">
        <is>
          <t>Deer B License: 652-01</t>
        </is>
      </c>
      <c r="D920" s="15" t="inlineStr">
        <is>
          <t>Drawing</t>
        </is>
      </c>
      <c r="E920" s="4" t="inlineStr">
        <is>
          <t>Antlerless Mule Deer</t>
        </is>
      </c>
      <c r="F920" s="4" t="inlineStr">
        <is>
          <t>Sep 05-Oct 18</t>
        </is>
      </c>
      <c r="G920" s="4" t="inlineStr">
        <is>
          <t>Oct 24-Nov 29</t>
        </is>
      </c>
      <c r="H920" s="4" t="inlineStr">
        <is>
          <t>Dec 12-Dec 20</t>
        </is>
      </c>
      <c r="I920" s="4" t="n"/>
      <c r="J920" s="4" t="inlineStr">
        <is>
          <t>Jun 1</t>
        </is>
      </c>
      <c r="K920" s="4" t="inlineStr">
        <is>
          <t>25</t>
        </is>
      </c>
      <c r="L920" s="4" t="inlineStr">
        <is>
          <t>Only valid on private land.</t>
        </is>
      </c>
    </row>
    <row r="921">
      <c r="A921" s="4" t="inlineStr">
        <is>
          <t>652</t>
        </is>
      </c>
      <c r="B921" s="4" t="inlineStr">
        <is>
          <t>mule deer</t>
        </is>
      </c>
      <c r="C921" s="4" t="inlineStr">
        <is>
          <t>Deer Permit: 652-50</t>
        </is>
      </c>
      <c r="D921" s="15" t="inlineStr">
        <is>
          <t>Drawing</t>
        </is>
      </c>
      <c r="E921" s="4" t="inlineStr">
        <is>
          <t>Antlered Buck Mule Deer</t>
        </is>
      </c>
      <c r="F921" s="4" t="inlineStr">
        <is>
          <t>Sep 05-Oct 18</t>
        </is>
      </c>
      <c r="G921" s="4" t="inlineStr">
        <is>
          <t>Oct 24-Nov 29</t>
        </is>
      </c>
      <c r="H921" s="4" t="inlineStr">
        <is>
          <t>Dec 12-Dec 20</t>
        </is>
      </c>
      <c r="I921" s="4" t="n"/>
      <c r="J921" s="4" t="inlineStr">
        <is>
          <t>April 1</t>
        </is>
      </c>
      <c r="K921" s="4" t="inlineStr">
        <is>
          <t>100</t>
        </is>
      </c>
      <c r="L921" s="4" t="inlineStr">
        <is>
          <t>Permit must be used with a valid General Deer License. Holders may not hunt Antlered Buck Mule Deer in any other HD.</t>
        </is>
      </c>
    </row>
    <row r="922">
      <c r="A922" s="4" t="inlineStr">
        <is>
          <t>670</t>
        </is>
      </c>
      <c r="B922" s="4" t="inlineStr">
        <is>
          <t>mule deer</t>
        </is>
      </c>
      <c r="C922" s="4" t="inlineStr">
        <is>
          <t>General Deer License</t>
        </is>
      </c>
      <c r="D922" s="13" t="inlineStr">
        <is>
          <t>General license</t>
        </is>
      </c>
      <c r="E922" s="4" t="inlineStr">
        <is>
          <t>Antlerless Mule Deer</t>
        </is>
      </c>
      <c r="F922" s="4" t="inlineStr">
        <is>
          <t>Sep 05-Oct 18</t>
        </is>
      </c>
      <c r="G922" s="4" t="inlineStr">
        <is>
          <t>Oct 24-Nov 29</t>
        </is>
      </c>
      <c r="H922" s="4" t="inlineStr">
        <is>
          <t>Dec 12-Dec 20</t>
        </is>
      </c>
      <c r="I922" s="4" t="n"/>
      <c r="J922" s="4" t="n"/>
      <c r="K922" s="4" t="n"/>
      <c r="L922" s="4" t="inlineStr">
        <is>
          <t>Only valid on private land.</t>
        </is>
      </c>
    </row>
    <row r="923">
      <c r="A923" s="4" t="inlineStr">
        <is>
          <t>670</t>
        </is>
      </c>
      <c r="B923" s="4" t="inlineStr">
        <is>
          <t>mule deer</t>
        </is>
      </c>
      <c r="C923" s="4" t="inlineStr">
        <is>
          <t>General Deer License</t>
        </is>
      </c>
      <c r="D923" s="13" t="inlineStr">
        <is>
          <t>General license</t>
        </is>
      </c>
      <c r="E923" s="4" t="inlineStr">
        <is>
          <t>Antlered Buck Mule Deer</t>
        </is>
      </c>
      <c r="F923" s="4" t="inlineStr">
        <is>
          <t>Sep 05-Oct 18</t>
        </is>
      </c>
      <c r="G923" s="4" t="inlineStr">
        <is>
          <t>Oct 24-Nov 29</t>
        </is>
      </c>
      <c r="H923" s="4" t="inlineStr">
        <is>
          <t>Dec 12-Dec 20</t>
        </is>
      </c>
      <c r="I923" s="4" t="n"/>
      <c r="J923" s="4" t="n"/>
      <c r="K923" s="4" t="n"/>
      <c r="L923" s="4" t="n"/>
    </row>
    <row r="924">
      <c r="A924" s="4" t="inlineStr">
        <is>
          <t>670</t>
        </is>
      </c>
      <c r="B924" s="4" t="inlineStr">
        <is>
          <t>mule deer</t>
        </is>
      </c>
      <c r="C924" s="4" t="inlineStr">
        <is>
          <t>Deer B License: 670-00</t>
        </is>
      </c>
      <c r="D924" s="15" t="inlineStr">
        <is>
          <t>Drawing</t>
        </is>
      </c>
      <c r="E924" s="4" t="inlineStr">
        <is>
          <t>Antlerless Mule Deer</t>
        </is>
      </c>
      <c r="F924" s="4" t="inlineStr">
        <is>
          <t>Sep 05-Oct 18</t>
        </is>
      </c>
      <c r="G924" s="4" t="inlineStr">
        <is>
          <t>Oct 24-Nov 29</t>
        </is>
      </c>
      <c r="H924" s="4" t="inlineStr">
        <is>
          <t>Dec 12-Dec 20</t>
        </is>
      </c>
      <c r="I924" s="4" t="n"/>
      <c r="J924" s="4" t="inlineStr">
        <is>
          <t>Jun 1</t>
        </is>
      </c>
      <c r="K924" s="4" t="inlineStr">
        <is>
          <t>100</t>
        </is>
      </c>
      <c r="L924" s="4" t="inlineStr">
        <is>
          <t>Only valid on private land.</t>
        </is>
      </c>
    </row>
    <row r="925">
      <c r="A925" s="4" t="inlineStr">
        <is>
          <t>690</t>
        </is>
      </c>
      <c r="B925" s="4" t="inlineStr">
        <is>
          <t>mule deer</t>
        </is>
      </c>
      <c r="C925" s="4" t="inlineStr">
        <is>
          <t>General Deer License</t>
        </is>
      </c>
      <c r="D925" s="13" t="inlineStr">
        <is>
          <t>General license</t>
        </is>
      </c>
      <c r="E925" s="4" t="inlineStr">
        <is>
          <t>Antlerless Mule Deer</t>
        </is>
      </c>
      <c r="F925" s="4" t="inlineStr">
        <is>
          <t>Sep 05-Oct 18</t>
        </is>
      </c>
      <c r="G925" s="4" t="inlineStr">
        <is>
          <t>Oct 24-Nov 29</t>
        </is>
      </c>
      <c r="H925" s="4" t="inlineStr">
        <is>
          <t>Dec 12-Dec 20</t>
        </is>
      </c>
      <c r="I925" s="4" t="n"/>
      <c r="J925" s="4" t="n"/>
      <c r="K925" s="4" t="n"/>
      <c r="L925" s="4" t="inlineStr">
        <is>
          <t>Only valid on private land.</t>
        </is>
      </c>
    </row>
    <row r="926">
      <c r="A926" s="4" t="inlineStr">
        <is>
          <t>690</t>
        </is>
      </c>
      <c r="B926" s="4" t="inlineStr">
        <is>
          <t>mule deer</t>
        </is>
      </c>
      <c r="C926" s="4" t="inlineStr">
        <is>
          <t>General Deer License</t>
        </is>
      </c>
      <c r="D926" s="13" t="inlineStr">
        <is>
          <t>General license</t>
        </is>
      </c>
      <c r="E926" s="4" t="inlineStr">
        <is>
          <t>Antlered Buck Mule Deer</t>
        </is>
      </c>
      <c r="F926" s="4" t="inlineStr">
        <is>
          <t>Sep 05-Oct 18</t>
        </is>
      </c>
      <c r="G926" s="4" t="inlineStr">
        <is>
          <t>Oct 24-Nov 29</t>
        </is>
      </c>
      <c r="H926" s="4" t="inlineStr">
        <is>
          <t>Dec 12-Dec 20</t>
        </is>
      </c>
      <c r="I926" s="4" t="n"/>
      <c r="J926" s="4" t="n"/>
      <c r="K926" s="4" t="n"/>
      <c r="L926" s="4" t="n"/>
    </row>
    <row r="927">
      <c r="A927" s="4" t="inlineStr">
        <is>
          <t>690</t>
        </is>
      </c>
      <c r="B927" s="4" t="inlineStr">
        <is>
          <t>mule deer</t>
        </is>
      </c>
      <c r="C927" s="4" t="inlineStr">
        <is>
          <t>Deer B License: 690-00</t>
        </is>
      </c>
      <c r="D927" s="15" t="inlineStr">
        <is>
          <t>Drawing</t>
        </is>
      </c>
      <c r="E927" s="4" t="inlineStr">
        <is>
          <t>Antlerless Mule Deer</t>
        </is>
      </c>
      <c r="F927" s="4" t="inlineStr">
        <is>
          <t>Sep 05-Oct 18</t>
        </is>
      </c>
      <c r="G927" s="4" t="inlineStr">
        <is>
          <t>Oct 24-Nov 29</t>
        </is>
      </c>
      <c r="H927" s="4" t="inlineStr">
        <is>
          <t>Dec 12-Dec 20</t>
        </is>
      </c>
      <c r="I927" s="4" t="n"/>
      <c r="J927" s="4" t="inlineStr">
        <is>
          <t>Jun 1</t>
        </is>
      </c>
      <c r="K927" s="4" t="inlineStr">
        <is>
          <t>100</t>
        </is>
      </c>
      <c r="L927" s="4" t="inlineStr">
        <is>
          <t>Only valid on private land.</t>
        </is>
      </c>
    </row>
    <row r="928">
      <c r="A928" s="4" t="inlineStr">
        <is>
          <t>700</t>
        </is>
      </c>
      <c r="B928" s="4" t="inlineStr">
        <is>
          <t>mule deer</t>
        </is>
      </c>
      <c r="C928" s="4" t="inlineStr">
        <is>
          <t>General Deer License</t>
        </is>
      </c>
      <c r="D928" s="13" t="inlineStr">
        <is>
          <t>General license</t>
        </is>
      </c>
      <c r="E928" s="4" t="inlineStr">
        <is>
          <t>Antlerless Mule Deer</t>
        </is>
      </c>
      <c r="F928" s="4" t="inlineStr">
        <is>
          <t>Sep 05-Oct 18</t>
        </is>
      </c>
      <c r="G928" s="4" t="inlineStr">
        <is>
          <t>Oct 24-Nov 29</t>
        </is>
      </c>
      <c r="H928" s="4" t="inlineStr">
        <is>
          <t>Dec 12-Dec 20</t>
        </is>
      </c>
      <c r="I928" s="4" t="n"/>
      <c r="J928" s="4" t="n"/>
      <c r="K928" s="4" t="n"/>
      <c r="L928" s="4" t="inlineStr">
        <is>
          <t>Only valid on private lands.</t>
        </is>
      </c>
    </row>
    <row r="929">
      <c r="A929" s="4" t="inlineStr">
        <is>
          <t>700</t>
        </is>
      </c>
      <c r="B929" s="4" t="inlineStr">
        <is>
          <t>mule deer</t>
        </is>
      </c>
      <c r="C929" s="4" t="inlineStr">
        <is>
          <t>General Deer License</t>
        </is>
      </c>
      <c r="D929" s="13" t="inlineStr">
        <is>
          <t>General license</t>
        </is>
      </c>
      <c r="E929" s="4" t="inlineStr">
        <is>
          <t>Antlered Buck Mule Deer</t>
        </is>
      </c>
      <c r="F929" s="4" t="inlineStr">
        <is>
          <t>Sep 05-Oct 18</t>
        </is>
      </c>
      <c r="G929" s="4" t="inlineStr">
        <is>
          <t>Oct 24-Nov 29</t>
        </is>
      </c>
      <c r="H929" s="4" t="inlineStr">
        <is>
          <t>Dec 12-Dec 20</t>
        </is>
      </c>
      <c r="I929" s="4" t="n"/>
      <c r="J929" s="4" t="n"/>
      <c r="K929" s="4" t="n"/>
      <c r="L929" s="4" t="n"/>
    </row>
    <row r="930">
      <c r="A930" s="4" t="inlineStr">
        <is>
          <t>700</t>
        </is>
      </c>
      <c r="B930" s="4" t="inlineStr">
        <is>
          <t>mule deer</t>
        </is>
      </c>
      <c r="C930" s="4" t="inlineStr">
        <is>
          <t>Deer B License: 007-03</t>
        </is>
      </c>
      <c r="D930" s="15" t="inlineStr">
        <is>
          <t>Drawing</t>
        </is>
      </c>
      <c r="E930" s="4" t="inlineStr">
        <is>
          <t>Antlerless Mule Deer</t>
        </is>
      </c>
      <c r="F930" s="4" t="inlineStr">
        <is>
          <t>Sep 05-Oct 18</t>
        </is>
      </c>
      <c r="G930" s="4" t="inlineStr">
        <is>
          <t>Oct 24-Nov 29</t>
        </is>
      </c>
      <c r="H930" s="4" t="inlineStr">
        <is>
          <t>Dec 12-Dec 20</t>
        </is>
      </c>
      <c r="I930" s="4" t="n"/>
      <c r="J930" s="4" t="inlineStr">
        <is>
          <t>Jun 1</t>
        </is>
      </c>
      <c r="K930" s="4" t="inlineStr">
        <is>
          <t>1,000</t>
        </is>
      </c>
      <c r="L930" s="4" t="inlineStr">
        <is>
          <t>Only valid on private lands. Valid in all Region 7 HDs Elk Hunting by Drawing Only</t>
        </is>
      </c>
    </row>
    <row r="931">
      <c r="A931" s="4" t="inlineStr">
        <is>
          <t>701</t>
        </is>
      </c>
      <c r="B931" s="4" t="inlineStr">
        <is>
          <t>mule deer</t>
        </is>
      </c>
      <c r="C931" s="4" t="inlineStr">
        <is>
          <t>General Deer License</t>
        </is>
      </c>
      <c r="D931" s="13" t="inlineStr">
        <is>
          <t>General license</t>
        </is>
      </c>
      <c r="E931" s="4" t="inlineStr">
        <is>
          <t>Antlerless Mule Deer</t>
        </is>
      </c>
      <c r="F931" s="4" t="inlineStr">
        <is>
          <t>Sep 05-Oct 18</t>
        </is>
      </c>
      <c r="G931" s="4" t="inlineStr">
        <is>
          <t>Oct 24-Nov 29</t>
        </is>
      </c>
      <c r="H931" s="4" t="inlineStr">
        <is>
          <t>Dec 12-Dec 20</t>
        </is>
      </c>
      <c r="I931" s="4" t="n"/>
      <c r="J931" s="4" t="n"/>
      <c r="K931" s="4" t="n"/>
      <c r="L931" s="4" t="inlineStr">
        <is>
          <t>Only valid on private lands.</t>
        </is>
      </c>
    </row>
    <row r="932">
      <c r="A932" s="4" t="inlineStr">
        <is>
          <t>701</t>
        </is>
      </c>
      <c r="B932" s="4" t="inlineStr">
        <is>
          <t>mule deer</t>
        </is>
      </c>
      <c r="C932" s="4" t="inlineStr">
        <is>
          <t>General Deer License</t>
        </is>
      </c>
      <c r="D932" s="13" t="inlineStr">
        <is>
          <t>General license</t>
        </is>
      </c>
      <c r="E932" s="4" t="inlineStr">
        <is>
          <t>Antlered Buck Mule Deer</t>
        </is>
      </c>
      <c r="F932" s="4" t="inlineStr">
        <is>
          <t>Sep 05-Oct 18</t>
        </is>
      </c>
      <c r="G932" s="4" t="inlineStr">
        <is>
          <t>Oct 24-Nov 29</t>
        </is>
      </c>
      <c r="H932" s="4" t="inlineStr">
        <is>
          <t>Dec 12-Dec 20</t>
        </is>
      </c>
      <c r="I932" s="4" t="n"/>
      <c r="J932" s="4" t="n"/>
      <c r="K932" s="4" t="n"/>
      <c r="L932" s="4" t="n"/>
    </row>
    <row r="933">
      <c r="A933" s="4" t="inlineStr">
        <is>
          <t>701</t>
        </is>
      </c>
      <c r="B933" s="4" t="inlineStr">
        <is>
          <t>mule deer</t>
        </is>
      </c>
      <c r="C933" s="4" t="inlineStr">
        <is>
          <t>Deer B License: 007-03</t>
        </is>
      </c>
      <c r="D933" s="15" t="inlineStr">
        <is>
          <t>Drawing</t>
        </is>
      </c>
      <c r="E933" s="4" t="inlineStr">
        <is>
          <t>Antlerless Mule Deer</t>
        </is>
      </c>
      <c r="F933" s="4" t="inlineStr">
        <is>
          <t>Sep 05-Oct 18</t>
        </is>
      </c>
      <c r="G933" s="4" t="inlineStr">
        <is>
          <t>Oct 24-Nov 29</t>
        </is>
      </c>
      <c r="H933" s="4" t="inlineStr">
        <is>
          <t>Dec 12-Dec 20</t>
        </is>
      </c>
      <c r="I933" s="4" t="n"/>
      <c r="J933" s="4" t="inlineStr">
        <is>
          <t>Jun 1</t>
        </is>
      </c>
      <c r="K933" s="4" t="inlineStr">
        <is>
          <t>1,000</t>
        </is>
      </c>
      <c r="L933" s="4" t="inlineStr">
        <is>
          <t>Only valid on private lands. Valid in all Region 7 HDs 119 2026 Deer • Elk • Antelope Visit fwp.mt.gov LICENSE/PERMIT OPPORTUNITY APPL Y BY DATE QUOTA QUOTA RANGE EARL Y SEASON DATES ARCHERY ONL Y SEASON DATES GENERAL SEASON DATES HERITAGE MUZZLELOADER SEASON DATES LATE SEASON DATES OPPORTUNITY SPEC</t>
        </is>
      </c>
    </row>
    <row r="934">
      <c r="A934" s="4" t="inlineStr">
        <is>
          <t>702</t>
        </is>
      </c>
      <c r="B934" s="4" t="inlineStr">
        <is>
          <t>mule deer</t>
        </is>
      </c>
      <c r="C934" s="4" t="inlineStr">
        <is>
          <t>General Deer License</t>
        </is>
      </c>
      <c r="D934" s="13" t="inlineStr">
        <is>
          <t>General license</t>
        </is>
      </c>
      <c r="E934" s="4" t="inlineStr">
        <is>
          <t>Antlerless Mule Deer</t>
        </is>
      </c>
      <c r="F934" s="4" t="inlineStr">
        <is>
          <t>Sep 05-Oct 18</t>
        </is>
      </c>
      <c r="G934" s="4" t="inlineStr">
        <is>
          <t>Oct 24-Nov 29</t>
        </is>
      </c>
      <c r="H934" s="4" t="inlineStr">
        <is>
          <t>Dec 12-Dec 20</t>
        </is>
      </c>
      <c r="I934" s="4" t="n"/>
      <c r="J934" s="4" t="n"/>
      <c r="K934" s="4" t="n"/>
      <c r="L934" s="4" t="inlineStr">
        <is>
          <t>Only valid on private lands.</t>
        </is>
      </c>
    </row>
    <row r="935">
      <c r="A935" s="4" t="inlineStr">
        <is>
          <t>702</t>
        </is>
      </c>
      <c r="B935" s="4" t="inlineStr">
        <is>
          <t>mule deer</t>
        </is>
      </c>
      <c r="C935" s="4" t="inlineStr">
        <is>
          <t>General Deer License</t>
        </is>
      </c>
      <c r="D935" s="13" t="inlineStr">
        <is>
          <t>General license</t>
        </is>
      </c>
      <c r="E935" s="4" t="inlineStr">
        <is>
          <t>Antlered Buck Mule Deer</t>
        </is>
      </c>
      <c r="F935" s="4" t="inlineStr">
        <is>
          <t>Sep 05-Oct 18</t>
        </is>
      </c>
      <c r="G935" s="4" t="inlineStr">
        <is>
          <t>Oct 24-Nov 29</t>
        </is>
      </c>
      <c r="H935" s="4" t="inlineStr">
        <is>
          <t>Dec 12-Dec 20</t>
        </is>
      </c>
      <c r="I935" s="4" t="n"/>
      <c r="J935" s="4" t="n"/>
      <c r="K935" s="4" t="n"/>
      <c r="L935" s="4" t="n"/>
    </row>
    <row r="936">
      <c r="A936" s="4" t="inlineStr">
        <is>
          <t>702</t>
        </is>
      </c>
      <c r="B936" s="4" t="inlineStr">
        <is>
          <t>mule deer</t>
        </is>
      </c>
      <c r="C936" s="4" t="inlineStr">
        <is>
          <t>Deer B License: 007-03</t>
        </is>
      </c>
      <c r="D936" s="15" t="inlineStr">
        <is>
          <t>Drawing</t>
        </is>
      </c>
      <c r="E936" s="4" t="inlineStr">
        <is>
          <t>Antlerless Mule Deer</t>
        </is>
      </c>
      <c r="F936" s="4" t="inlineStr">
        <is>
          <t>Sep 05-Oct 18</t>
        </is>
      </c>
      <c r="G936" s="4" t="inlineStr">
        <is>
          <t>Oct 24-Nov 29</t>
        </is>
      </c>
      <c r="H936" s="4" t="inlineStr">
        <is>
          <t>Dec 12-Dec 20</t>
        </is>
      </c>
      <c r="I936" s="4" t="n"/>
      <c r="J936" s="4" t="inlineStr">
        <is>
          <t>Jun 1</t>
        </is>
      </c>
      <c r="K936" s="4" t="inlineStr">
        <is>
          <t>1,000</t>
        </is>
      </c>
      <c r="L936" s="4" t="inlineStr">
        <is>
          <t>Only valid on private lands. Valid in all Region 7 HDs LICENSE/PERMIT OPPORTUNITY APPL Y BY DATE QUOTA QUOTA RANGE EARL Y SEASON DATES ARCHERY ONL Y SEASON DATES GENERAL SEASON DATES HERITAGE MUZZLELOADER SEASON DATES LATE SEASON DATES OPPORTUNITY SPECIFIC DETAILS AND/ORRESTRICTIONS NOTE: Elk primar</t>
        </is>
      </c>
    </row>
    <row r="937">
      <c r="A937" s="4" t="inlineStr">
        <is>
          <t>703</t>
        </is>
      </c>
      <c r="B937" s="4" t="inlineStr">
        <is>
          <t>mule deer</t>
        </is>
      </c>
      <c r="C937" s="4" t="inlineStr">
        <is>
          <t>General Deer License</t>
        </is>
      </c>
      <c r="D937" s="13" t="inlineStr">
        <is>
          <t>General license</t>
        </is>
      </c>
      <c r="E937" s="4" t="inlineStr">
        <is>
          <t>Antlerless Mule Deer</t>
        </is>
      </c>
      <c r="F937" s="4" t="inlineStr">
        <is>
          <t>Sep 05-Oct 18</t>
        </is>
      </c>
      <c r="G937" s="4" t="inlineStr">
        <is>
          <t>Oct 24-Nov 29</t>
        </is>
      </c>
      <c r="H937" s="4" t="inlineStr">
        <is>
          <t>Dec 12-Dec 20</t>
        </is>
      </c>
      <c r="I937" s="4" t="n"/>
      <c r="J937" s="4" t="n"/>
      <c r="K937" s="4" t="n"/>
      <c r="L937" s="4" t="inlineStr">
        <is>
          <t>Only valid on private lands.</t>
        </is>
      </c>
    </row>
    <row r="938">
      <c r="A938" s="4" t="inlineStr">
        <is>
          <t>703</t>
        </is>
      </c>
      <c r="B938" s="4" t="inlineStr">
        <is>
          <t>mule deer</t>
        </is>
      </c>
      <c r="C938" s="4" t="inlineStr">
        <is>
          <t>General Deer License</t>
        </is>
      </c>
      <c r="D938" s="13" t="inlineStr">
        <is>
          <t>General license</t>
        </is>
      </c>
      <c r="E938" s="4" t="inlineStr">
        <is>
          <t>Antlered Buck Mule Deer</t>
        </is>
      </c>
      <c r="F938" s="4" t="inlineStr">
        <is>
          <t>Sep 05-Oct 18</t>
        </is>
      </c>
      <c r="G938" s="4" t="inlineStr">
        <is>
          <t>Oct 24-Nov 29</t>
        </is>
      </c>
      <c r="H938" s="4" t="inlineStr">
        <is>
          <t>Dec 12-Dec 20</t>
        </is>
      </c>
      <c r="I938" s="4" t="n"/>
      <c r="J938" s="4" t="n"/>
      <c r="K938" s="4" t="n"/>
      <c r="L938" s="4" t="n"/>
    </row>
    <row r="939">
      <c r="A939" s="4" t="inlineStr">
        <is>
          <t>703</t>
        </is>
      </c>
      <c r="B939" s="4" t="inlineStr">
        <is>
          <t>mule deer</t>
        </is>
      </c>
      <c r="C939" s="4" t="inlineStr">
        <is>
          <t>Deer B License: 007-03</t>
        </is>
      </c>
      <c r="D939" s="15" t="inlineStr">
        <is>
          <t>Drawing</t>
        </is>
      </c>
      <c r="E939" s="4" t="inlineStr">
        <is>
          <t>Antlerless Mule Deer</t>
        </is>
      </c>
      <c r="F939" s="4" t="inlineStr">
        <is>
          <t>Sep 05-Oct 18</t>
        </is>
      </c>
      <c r="G939" s="4" t="inlineStr">
        <is>
          <t>Oct 24-Nov 29</t>
        </is>
      </c>
      <c r="H939" s="4" t="inlineStr">
        <is>
          <t>Dec 12-Dec 20</t>
        </is>
      </c>
      <c r="I939" s="4" t="n"/>
      <c r="J939" s="4" t="inlineStr">
        <is>
          <t>Jun 1</t>
        </is>
      </c>
      <c r="K939" s="4" t="inlineStr">
        <is>
          <t>1,000</t>
        </is>
      </c>
      <c r="L939" s="4" t="inlineStr">
        <is>
          <t>Only valid on private lands. Valid in all Region 7 HDs</t>
        </is>
      </c>
    </row>
    <row r="940">
      <c r="A940" s="4" t="inlineStr">
        <is>
          <t>704</t>
        </is>
      </c>
      <c r="B940" s="4" t="inlineStr">
        <is>
          <t>mule deer</t>
        </is>
      </c>
      <c r="C940" s="4" t="inlineStr">
        <is>
          <t>General Deer License</t>
        </is>
      </c>
      <c r="D940" s="13" t="inlineStr">
        <is>
          <t>General license</t>
        </is>
      </c>
      <c r="E940" s="4" t="inlineStr">
        <is>
          <t>Antlerless Mule Deer</t>
        </is>
      </c>
      <c r="F940" s="4" t="inlineStr">
        <is>
          <t>Sep 05-Oct 18</t>
        </is>
      </c>
      <c r="G940" s="4" t="inlineStr">
        <is>
          <t>Oct 24-Nov 29</t>
        </is>
      </c>
      <c r="H940" s="4" t="inlineStr">
        <is>
          <t>Dec 12-Dec 20</t>
        </is>
      </c>
      <c r="I940" s="4" t="n"/>
      <c r="J940" s="4" t="n"/>
      <c r="K940" s="4" t="n"/>
      <c r="L940" s="4" t="inlineStr">
        <is>
          <t>Only valid on private lands.</t>
        </is>
      </c>
    </row>
    <row r="941">
      <c r="A941" s="4" t="inlineStr">
        <is>
          <t>704</t>
        </is>
      </c>
      <c r="B941" s="4" t="inlineStr">
        <is>
          <t>mule deer</t>
        </is>
      </c>
      <c r="C941" s="4" t="inlineStr">
        <is>
          <t>General Deer License</t>
        </is>
      </c>
      <c r="D941" s="13" t="inlineStr">
        <is>
          <t>General license</t>
        </is>
      </c>
      <c r="E941" s="4" t="inlineStr">
        <is>
          <t>Antlered Buck Mule Deer</t>
        </is>
      </c>
      <c r="F941" s="4" t="inlineStr">
        <is>
          <t>Sep 05-Oct 18</t>
        </is>
      </c>
      <c r="G941" s="4" t="inlineStr">
        <is>
          <t>Oct 24-Nov 29</t>
        </is>
      </c>
      <c r="H941" s="4" t="inlineStr">
        <is>
          <t>Dec 12-Dec 20</t>
        </is>
      </c>
      <c r="I941" s="4" t="n"/>
      <c r="J941" s="4" t="n"/>
      <c r="K941" s="4" t="n"/>
      <c r="L941" s="4" t="n"/>
    </row>
    <row r="942">
      <c r="A942" s="4" t="inlineStr">
        <is>
          <t>704</t>
        </is>
      </c>
      <c r="B942" s="4" t="inlineStr">
        <is>
          <t>mule deer</t>
        </is>
      </c>
      <c r="C942" s="4" t="inlineStr">
        <is>
          <t>Deer B License: 007-03</t>
        </is>
      </c>
      <c r="D942" s="15" t="inlineStr">
        <is>
          <t>Drawing</t>
        </is>
      </c>
      <c r="E942" s="4" t="inlineStr">
        <is>
          <t>Antlerless Mule Deer</t>
        </is>
      </c>
      <c r="F942" s="4" t="inlineStr">
        <is>
          <t>Sep 05-Oct 18</t>
        </is>
      </c>
      <c r="G942" s="4" t="inlineStr">
        <is>
          <t>Oct 24-Nov 29</t>
        </is>
      </c>
      <c r="H942" s="4" t="inlineStr">
        <is>
          <t>Dec 12-Dec 20</t>
        </is>
      </c>
      <c r="I942" s="4" t="n"/>
      <c r="J942" s="4" t="inlineStr">
        <is>
          <t>Jun 1</t>
        </is>
      </c>
      <c r="K942" s="4" t="inlineStr">
        <is>
          <t>1,000</t>
        </is>
      </c>
      <c r="L942" s="4" t="inlineStr">
        <is>
          <t>Only valid on private lands. Valid in all Region 7 HDs</t>
        </is>
      </c>
    </row>
    <row r="943">
      <c r="A943" s="4" t="inlineStr">
        <is>
          <t>705</t>
        </is>
      </c>
      <c r="B943" s="4" t="inlineStr">
        <is>
          <t>mule deer</t>
        </is>
      </c>
      <c r="C943" s="4" t="inlineStr">
        <is>
          <t>General Deer License</t>
        </is>
      </c>
      <c r="D943" s="13" t="inlineStr">
        <is>
          <t>General license</t>
        </is>
      </c>
      <c r="E943" s="4" t="inlineStr">
        <is>
          <t>Antlerless Mule Deer</t>
        </is>
      </c>
      <c r="F943" s="4" t="inlineStr">
        <is>
          <t>Sep 05-Oct 18</t>
        </is>
      </c>
      <c r="G943" s="4" t="inlineStr">
        <is>
          <t>Oct 24-Nov 29</t>
        </is>
      </c>
      <c r="H943" s="4" t="inlineStr">
        <is>
          <t>Dec 12-Dec 20</t>
        </is>
      </c>
      <c r="I943" s="4" t="n"/>
      <c r="J943" s="4" t="n"/>
      <c r="K943" s="4" t="n"/>
      <c r="L943" s="4" t="inlineStr">
        <is>
          <t>Only valid on private lands.</t>
        </is>
      </c>
    </row>
    <row r="944">
      <c r="A944" s="4" t="inlineStr">
        <is>
          <t>705</t>
        </is>
      </c>
      <c r="B944" s="4" t="inlineStr">
        <is>
          <t>mule deer</t>
        </is>
      </c>
      <c r="C944" s="4" t="inlineStr">
        <is>
          <t>General Deer License</t>
        </is>
      </c>
      <c r="D944" s="13" t="inlineStr">
        <is>
          <t>General license</t>
        </is>
      </c>
      <c r="E944" s="4" t="inlineStr">
        <is>
          <t>Antlered Buck Mule Deer</t>
        </is>
      </c>
      <c r="F944" s="4" t="inlineStr">
        <is>
          <t>Sep 05-Oct 18</t>
        </is>
      </c>
      <c r="G944" s="4" t="inlineStr">
        <is>
          <t>Oct 24-Nov 29</t>
        </is>
      </c>
      <c r="H944" s="4" t="inlineStr">
        <is>
          <t>Dec 12-Dec 20</t>
        </is>
      </c>
      <c r="I944" s="4" t="n"/>
      <c r="J944" s="4" t="n"/>
      <c r="K944" s="4" t="n"/>
      <c r="L944" s="4" t="n"/>
    </row>
    <row r="945">
      <c r="A945" s="4" t="inlineStr">
        <is>
          <t>705</t>
        </is>
      </c>
      <c r="B945" s="4" t="inlineStr">
        <is>
          <t>mule deer</t>
        </is>
      </c>
      <c r="C945" s="4" t="inlineStr">
        <is>
          <t>Deer B License: 007-03</t>
        </is>
      </c>
      <c r="D945" s="15" t="inlineStr">
        <is>
          <t>Drawing</t>
        </is>
      </c>
      <c r="E945" s="4" t="inlineStr">
        <is>
          <t>Antlerless Mule Deer</t>
        </is>
      </c>
      <c r="F945" s="4" t="inlineStr">
        <is>
          <t>Sep 05-Oct 18</t>
        </is>
      </c>
      <c r="G945" s="4" t="inlineStr">
        <is>
          <t>Oct 24-Nov 29</t>
        </is>
      </c>
      <c r="H945" s="4" t="inlineStr">
        <is>
          <t>Dec 12-Dec 20</t>
        </is>
      </c>
      <c r="I945" s="4" t="n"/>
      <c r="J945" s="4" t="inlineStr">
        <is>
          <t>Jun 1</t>
        </is>
      </c>
      <c r="K945" s="4" t="inlineStr">
        <is>
          <t>1,000</t>
        </is>
      </c>
      <c r="L945" s="4" t="inlineStr">
        <is>
          <t>Only valid on private lands. Valid in all Region 7 HDs</t>
        </is>
      </c>
    </row>
    <row r="946">
      <c r="A946" s="4" t="inlineStr">
        <is>
          <t>100</t>
        </is>
      </c>
      <c r="B946" s="4" t="inlineStr">
        <is>
          <t>whitetail</t>
        </is>
      </c>
      <c r="C946" s="4" t="inlineStr">
        <is>
          <t>General Deer License</t>
        </is>
      </c>
      <c r="D946" s="13" t="inlineStr">
        <is>
          <t>General license</t>
        </is>
      </c>
      <c r="E946" s="4" t="inlineStr">
        <is>
          <t>Either-sex White-tailed Deer</t>
        </is>
      </c>
      <c r="F946" s="4" t="inlineStr">
        <is>
          <t>Sep 05-Oct 18</t>
        </is>
      </c>
      <c r="G946" s="4" t="inlineStr">
        <is>
          <t>Oct 24-Oct 30</t>
        </is>
      </c>
      <c r="H946" s="4" t="n"/>
      <c r="I946" s="4" t="n"/>
      <c r="J946" s="4" t="n"/>
      <c r="K946" s="4" t="n"/>
      <c r="L946" s="4" t="n"/>
    </row>
    <row r="947">
      <c r="A947" s="4" t="inlineStr">
        <is>
          <t>100</t>
        </is>
      </c>
      <c r="B947" s="4" t="inlineStr">
        <is>
          <t>whitetail</t>
        </is>
      </c>
      <c r="C947" s="4" t="inlineStr">
        <is>
          <t>General Deer License</t>
        </is>
      </c>
      <c r="D947" s="13" t="inlineStr">
        <is>
          <t>General license</t>
        </is>
      </c>
      <c r="E947" s="4" t="inlineStr">
        <is>
          <t>Antlered Buck White-tailed Deer</t>
        </is>
      </c>
      <c r="F947" s="4" t="n"/>
      <c r="G947" s="4" t="inlineStr">
        <is>
          <t>Oct 31-Nov 29</t>
        </is>
      </c>
      <c r="H947" s="4" t="inlineStr">
        <is>
          <t>Dec 12-Dec 20</t>
        </is>
      </c>
      <c r="I947" s="4" t="n"/>
      <c r="J947" s="4" t="n"/>
      <c r="K947" s="4" t="n"/>
      <c r="L947" s="4" t="n"/>
    </row>
    <row r="948">
      <c r="A948" s="4" t="inlineStr">
        <is>
          <t>100</t>
        </is>
      </c>
      <c r="B948" s="4" t="inlineStr">
        <is>
          <t>whitetail</t>
        </is>
      </c>
      <c r="C948" s="4" t="inlineStr">
        <is>
          <t>General Deer License</t>
        </is>
      </c>
      <c r="D948" s="13" t="inlineStr">
        <is>
          <t>General license</t>
        </is>
      </c>
      <c r="E948" s="4" t="inlineStr">
        <is>
          <t>Either-sex White-tailed Deer</t>
        </is>
      </c>
      <c r="F948" s="4" t="n"/>
      <c r="G948" s="4" t="inlineStr">
        <is>
          <t>Oct 31-Nov 29</t>
        </is>
      </c>
      <c r="H948" s="4" t="inlineStr">
        <is>
          <t>Dec 12-Dec 20</t>
        </is>
      </c>
      <c r="I948" s="4" t="n"/>
      <c r="J948" s="4" t="n"/>
      <c r="K948" s="4" t="n"/>
      <c r="L948" s="4" t="inlineStr">
        <is>
          <t>Only youth ages 10-15 and hunters with a PTHFV.</t>
        </is>
      </c>
    </row>
    <row r="949">
      <c r="A949" s="4" t="inlineStr">
        <is>
          <t>100</t>
        </is>
      </c>
      <c r="B949" s="4" t="inlineStr">
        <is>
          <t>whitetail</t>
        </is>
      </c>
      <c r="C949" s="4" t="inlineStr">
        <is>
          <t>Deer B License: 100-00</t>
        </is>
      </c>
      <c r="D949" s="15" t="inlineStr">
        <is>
          <t>Drawing</t>
        </is>
      </c>
      <c r="E949" s="4" t="inlineStr">
        <is>
          <t>Antlerless White-tailed Deer</t>
        </is>
      </c>
      <c r="F949" s="4" t="inlineStr">
        <is>
          <t>Sep 05-Oct 18</t>
        </is>
      </c>
      <c r="G949" s="4" t="inlineStr">
        <is>
          <t>Oct 24-Nov 29</t>
        </is>
      </c>
      <c r="H949" s="4" t="inlineStr">
        <is>
          <t>Dec 12-Dec 20</t>
        </is>
      </c>
      <c r="I949" s="4" t="n"/>
      <c r="J949" s="4" t="inlineStr">
        <is>
          <t>Jun 1</t>
        </is>
      </c>
      <c r="K949" s="4" t="inlineStr">
        <is>
          <t>100</t>
        </is>
      </c>
      <c r="L949" s="4" t="n"/>
    </row>
    <row r="950">
      <c r="A950" s="4" t="inlineStr">
        <is>
          <t>100</t>
        </is>
      </c>
      <c r="B950" s="4" t="inlineStr">
        <is>
          <t>whitetail</t>
        </is>
      </c>
      <c r="C950" s="4" t="inlineStr">
        <is>
          <t>Deer B License: 199-20</t>
        </is>
      </c>
      <c r="D950" s="15" t="inlineStr">
        <is>
          <t>Drawing</t>
        </is>
      </c>
      <c r="E950" s="4" t="inlineStr">
        <is>
          <t>Either-sex White-tailed Deer</t>
        </is>
      </c>
      <c r="F950" s="4" t="inlineStr">
        <is>
          <t>Sep 05-Oct 18</t>
        </is>
      </c>
      <c r="G950" s="4" t="inlineStr">
        <is>
          <t>Oct 24-Nov 29</t>
        </is>
      </c>
      <c r="H950" s="4" t="inlineStr">
        <is>
          <t>Dec 12-Dec 20</t>
        </is>
      </c>
      <c r="I950" s="4" t="n"/>
      <c r="J950" s="4" t="inlineStr">
        <is>
          <t>Jun 1</t>
        </is>
      </c>
      <c r="K950" s="4" t="inlineStr">
        <is>
          <t>2,000</t>
        </is>
      </c>
      <c r="L950" s="4" t="inlineStr">
        <is>
          <t>Only valid in the Libby CWD Management Zone. 1 per hunter. Mandatory CWD sampling within 10 days of harvest. More information on CWD sample submission on page 4.</t>
        </is>
      </c>
    </row>
    <row r="951">
      <c r="A951" s="4" t="inlineStr">
        <is>
          <t>101</t>
        </is>
      </c>
      <c r="B951" s="4" t="inlineStr">
        <is>
          <t>whitetail</t>
        </is>
      </c>
      <c r="C951" s="4" t="inlineStr">
        <is>
          <t>General Deer License</t>
        </is>
      </c>
      <c r="D951" s="13" t="inlineStr">
        <is>
          <t>General license</t>
        </is>
      </c>
      <c r="E951" s="4" t="inlineStr">
        <is>
          <t>Either-sex White-tailed Deer</t>
        </is>
      </c>
      <c r="F951" s="4" t="inlineStr">
        <is>
          <t>Sep 05-Oct 18</t>
        </is>
      </c>
      <c r="G951" s="4" t="inlineStr">
        <is>
          <t>Oct 24-Oct 30</t>
        </is>
      </c>
      <c r="H951" s="4" t="n"/>
      <c r="I951" s="4" t="n"/>
      <c r="J951" s="4" t="n"/>
      <c r="K951" s="4" t="n"/>
      <c r="L951" s="4" t="n"/>
    </row>
    <row r="952">
      <c r="A952" s="4" t="inlineStr">
        <is>
          <t>101</t>
        </is>
      </c>
      <c r="B952" s="4" t="inlineStr">
        <is>
          <t>whitetail</t>
        </is>
      </c>
      <c r="C952" s="4" t="inlineStr">
        <is>
          <t>General Deer License</t>
        </is>
      </c>
      <c r="D952" s="13" t="inlineStr">
        <is>
          <t>General license</t>
        </is>
      </c>
      <c r="E952" s="4" t="inlineStr">
        <is>
          <t>Antlered Buck White-tailed Deer</t>
        </is>
      </c>
      <c r="F952" s="4" t="n"/>
      <c r="G952" s="4" t="inlineStr">
        <is>
          <t>Oct 31-Nov 29</t>
        </is>
      </c>
      <c r="H952" s="4" t="inlineStr">
        <is>
          <t>Dec 12-Dec 20</t>
        </is>
      </c>
      <c r="I952" s="4" t="n"/>
      <c r="J952" s="4" t="n"/>
      <c r="K952" s="4" t="n"/>
      <c r="L952" s="4" t="n"/>
    </row>
    <row r="953">
      <c r="A953" s="4" t="inlineStr">
        <is>
          <t>101</t>
        </is>
      </c>
      <c r="B953" s="4" t="inlineStr">
        <is>
          <t>whitetail</t>
        </is>
      </c>
      <c r="C953" s="4" t="inlineStr">
        <is>
          <t>General Deer License</t>
        </is>
      </c>
      <c r="D953" s="13" t="inlineStr">
        <is>
          <t>General license</t>
        </is>
      </c>
      <c r="E953" s="4" t="inlineStr">
        <is>
          <t>Either-sex White-tailed Deer</t>
        </is>
      </c>
      <c r="F953" s="4" t="n"/>
      <c r="G953" s="4" t="inlineStr">
        <is>
          <t>Oct 31-Nov 29</t>
        </is>
      </c>
      <c r="H953" s="4" t="inlineStr">
        <is>
          <t>Dec 12-Dec 20</t>
        </is>
      </c>
      <c r="I953" s="4" t="n"/>
      <c r="J953" s="4" t="n"/>
      <c r="K953" s="4" t="n"/>
      <c r="L953" s="4" t="inlineStr">
        <is>
          <t>Only youth ages 10-15 and hunters with a PTHFV.</t>
        </is>
      </c>
    </row>
    <row r="954">
      <c r="A954" s="4" t="inlineStr">
        <is>
          <t>101</t>
        </is>
      </c>
      <c r="B954" s="4" t="inlineStr">
        <is>
          <t>whitetail</t>
        </is>
      </c>
      <c r="C954" s="4" t="inlineStr">
        <is>
          <t>Deer B License: 101-00</t>
        </is>
      </c>
      <c r="D954" s="15" t="inlineStr">
        <is>
          <t>Drawing</t>
        </is>
      </c>
      <c r="E954" s="4" t="inlineStr">
        <is>
          <t>Antlerless White-tailed Deer</t>
        </is>
      </c>
      <c r="F954" s="4" t="inlineStr">
        <is>
          <t>Sep 05-Oct 18</t>
        </is>
      </c>
      <c r="G954" s="4" t="inlineStr">
        <is>
          <t>Oct 24-Nov 29</t>
        </is>
      </c>
      <c r="H954" s="4" t="inlineStr">
        <is>
          <t>Dec 12-Dec 20</t>
        </is>
      </c>
      <c r="I954" s="4" t="n"/>
      <c r="J954" s="4" t="inlineStr">
        <is>
          <t>Jun 1</t>
        </is>
      </c>
      <c r="K954" s="4" t="inlineStr">
        <is>
          <t>200</t>
        </is>
      </c>
      <c r="L954" s="4" t="n"/>
    </row>
    <row r="955">
      <c r="A955" s="4" t="inlineStr">
        <is>
          <t>103</t>
        </is>
      </c>
      <c r="B955" s="4" t="inlineStr">
        <is>
          <t>whitetail</t>
        </is>
      </c>
      <c r="C955" s="4" t="inlineStr">
        <is>
          <t>General Deer License</t>
        </is>
      </c>
      <c r="D955" s="13" t="inlineStr">
        <is>
          <t>General license</t>
        </is>
      </c>
      <c r="E955" s="4" t="inlineStr">
        <is>
          <t>Either-sex White-tailed Deer</t>
        </is>
      </c>
      <c r="F955" s="4" t="inlineStr">
        <is>
          <t>Sep 05-Oct 18</t>
        </is>
      </c>
      <c r="G955" s="4" t="inlineStr">
        <is>
          <t>Oct 24-Oct 30</t>
        </is>
      </c>
      <c r="H955" s="4" t="n"/>
      <c r="I955" s="4" t="n"/>
      <c r="J955" s="4" t="n"/>
      <c r="K955" s="4" t="n"/>
      <c r="L955" s="4" t="n"/>
    </row>
    <row r="956">
      <c r="A956" s="4" t="inlineStr">
        <is>
          <t>103</t>
        </is>
      </c>
      <c r="B956" s="4" t="inlineStr">
        <is>
          <t>whitetail</t>
        </is>
      </c>
      <c r="C956" s="4" t="inlineStr">
        <is>
          <t>General Deer License</t>
        </is>
      </c>
      <c r="D956" s="13" t="inlineStr">
        <is>
          <t>General license</t>
        </is>
      </c>
      <c r="E956" s="4" t="inlineStr">
        <is>
          <t>Antlered Buck White-tailed Deer</t>
        </is>
      </c>
      <c r="F956" s="4" t="n"/>
      <c r="G956" s="4" t="inlineStr">
        <is>
          <t>Oct 31-Nov 29</t>
        </is>
      </c>
      <c r="H956" s="4" t="inlineStr">
        <is>
          <t>Dec 12-Dec 20</t>
        </is>
      </c>
      <c r="I956" s="4" t="n"/>
      <c r="J956" s="4" t="n"/>
      <c r="K956" s="4" t="n"/>
      <c r="L956" s="4" t="n"/>
    </row>
    <row r="957">
      <c r="A957" s="4" t="inlineStr">
        <is>
          <t>103</t>
        </is>
      </c>
      <c r="B957" s="4" t="inlineStr">
        <is>
          <t>whitetail</t>
        </is>
      </c>
      <c r="C957" s="4" t="inlineStr">
        <is>
          <t>General Deer License</t>
        </is>
      </c>
      <c r="D957" s="13" t="inlineStr">
        <is>
          <t>General license</t>
        </is>
      </c>
      <c r="E957" s="4" t="inlineStr">
        <is>
          <t>Either-sex White-tailed Deer</t>
        </is>
      </c>
      <c r="F957" s="4" t="n"/>
      <c r="G957" s="4" t="inlineStr">
        <is>
          <t>Oct 31-Nov 29</t>
        </is>
      </c>
      <c r="H957" s="4" t="inlineStr">
        <is>
          <t>Dec 12-Dec 20</t>
        </is>
      </c>
      <c r="I957" s="4" t="n"/>
      <c r="J957" s="4" t="n"/>
      <c r="K957" s="4" t="n"/>
      <c r="L957" s="4" t="inlineStr">
        <is>
          <t>Only youth ages 10-15 and hunters with a PTHFV.</t>
        </is>
      </c>
    </row>
    <row r="958">
      <c r="A958" s="4" t="inlineStr">
        <is>
          <t>103</t>
        </is>
      </c>
      <c r="B958" s="4" t="inlineStr">
        <is>
          <t>whitetail</t>
        </is>
      </c>
      <c r="C958" s="4" t="inlineStr">
        <is>
          <t>Deer B License: 103-00</t>
        </is>
      </c>
      <c r="D958" s="15" t="inlineStr">
        <is>
          <t>Drawing</t>
        </is>
      </c>
      <c r="E958" s="4" t="inlineStr">
        <is>
          <t>Antlerless White-tailed Deer</t>
        </is>
      </c>
      <c r="F958" s="4" t="inlineStr">
        <is>
          <t>Sep 05-Oct 18</t>
        </is>
      </c>
      <c r="G958" s="4" t="inlineStr">
        <is>
          <t>Oct 24-Nov 29</t>
        </is>
      </c>
      <c r="H958" s="4" t="inlineStr">
        <is>
          <t>Dec 12-Dec 20</t>
        </is>
      </c>
      <c r="I958" s="4" t="n"/>
      <c r="J958" s="4" t="inlineStr">
        <is>
          <t>Jun 1</t>
        </is>
      </c>
      <c r="K958" s="4" t="inlineStr">
        <is>
          <t>150</t>
        </is>
      </c>
      <c r="L958" s="4" t="n"/>
    </row>
    <row r="959">
      <c r="A959" s="4" t="inlineStr">
        <is>
          <t>103</t>
        </is>
      </c>
      <c r="B959" s="4" t="inlineStr">
        <is>
          <t>whitetail</t>
        </is>
      </c>
      <c r="C959" s="4" t="inlineStr">
        <is>
          <t>Deer B License: 199-20</t>
        </is>
      </c>
      <c r="D959" s="15" t="inlineStr">
        <is>
          <t>Drawing</t>
        </is>
      </c>
      <c r="E959" s="4" t="inlineStr">
        <is>
          <t>Either-sex White-tailed Deer</t>
        </is>
      </c>
      <c r="F959" s="4" t="inlineStr">
        <is>
          <t>Sep 05-Oct 18</t>
        </is>
      </c>
      <c r="G959" s="4" t="inlineStr">
        <is>
          <t>Oct 24-Nov 29</t>
        </is>
      </c>
      <c r="H959" s="4" t="inlineStr">
        <is>
          <t>Dec 12-Dec 20</t>
        </is>
      </c>
      <c r="I959" s="4" t="n"/>
      <c r="J959" s="4" t="inlineStr">
        <is>
          <t>Jun 1</t>
        </is>
      </c>
      <c r="K959" s="4" t="inlineStr">
        <is>
          <t>2,000</t>
        </is>
      </c>
      <c r="L959" s="4" t="inlineStr">
        <is>
          <t>Only valid in the Libby CWD Management Zone. 1 per hunter. Mandatory CWD sampling within 10 days of harvest. More information on CWD sample submission on page 4.</t>
        </is>
      </c>
    </row>
    <row r="960">
      <c r="A960" s="4" t="inlineStr">
        <is>
          <t>104</t>
        </is>
      </c>
      <c r="B960" s="4" t="inlineStr">
        <is>
          <t>whitetail</t>
        </is>
      </c>
      <c r="C960" s="4" t="inlineStr">
        <is>
          <t>General Deer License</t>
        </is>
      </c>
      <c r="D960" s="13" t="inlineStr">
        <is>
          <t>General license</t>
        </is>
      </c>
      <c r="E960" s="4" t="inlineStr">
        <is>
          <t>Either-sex White-tailed Deer</t>
        </is>
      </c>
      <c r="F960" s="4" t="inlineStr">
        <is>
          <t>Sep 05-Oct 18</t>
        </is>
      </c>
      <c r="G960" s="4" t="inlineStr">
        <is>
          <t>Oct 24-Oct 30</t>
        </is>
      </c>
      <c r="H960" s="4" t="n"/>
      <c r="I960" s="4" t="n"/>
      <c r="J960" s="4" t="n"/>
      <c r="K960" s="4" t="n"/>
      <c r="L960" s="4" t="n"/>
    </row>
    <row r="961">
      <c r="A961" s="4" t="inlineStr">
        <is>
          <t>104</t>
        </is>
      </c>
      <c r="B961" s="4" t="inlineStr">
        <is>
          <t>whitetail</t>
        </is>
      </c>
      <c r="C961" s="4" t="inlineStr">
        <is>
          <t>General Deer License</t>
        </is>
      </c>
      <c r="D961" s="13" t="inlineStr">
        <is>
          <t>General license</t>
        </is>
      </c>
      <c r="E961" s="4" t="inlineStr">
        <is>
          <t>Antlered Buck White-tailed Deer</t>
        </is>
      </c>
      <c r="F961" s="4" t="n"/>
      <c r="G961" s="4" t="inlineStr">
        <is>
          <t>Oct 31-Nov 29</t>
        </is>
      </c>
      <c r="H961" s="4" t="inlineStr">
        <is>
          <t>Dec 12-Dec 20</t>
        </is>
      </c>
      <c r="I961" s="4" t="n"/>
      <c r="J961" s="4" t="n"/>
      <c r="K961" s="4" t="n"/>
      <c r="L961" s="4" t="n"/>
    </row>
    <row r="962">
      <c r="A962" s="4" t="inlineStr">
        <is>
          <t>104</t>
        </is>
      </c>
      <c r="B962" s="4" t="inlineStr">
        <is>
          <t>whitetail</t>
        </is>
      </c>
      <c r="C962" s="4" t="inlineStr">
        <is>
          <t>General Deer License</t>
        </is>
      </c>
      <c r="D962" s="13" t="inlineStr">
        <is>
          <t>General license</t>
        </is>
      </c>
      <c r="E962" s="4" t="inlineStr">
        <is>
          <t>Either-sex White-tailed Deer</t>
        </is>
      </c>
      <c r="F962" s="4" t="n"/>
      <c r="G962" s="4" t="inlineStr">
        <is>
          <t>Oct 31-Nov 29</t>
        </is>
      </c>
      <c r="H962" s="4" t="inlineStr">
        <is>
          <t>Dec 12-Dec 20</t>
        </is>
      </c>
      <c r="I962" s="4" t="n"/>
      <c r="J962" s="4" t="n"/>
      <c r="K962" s="4" t="n"/>
      <c r="L962" s="4" t="inlineStr">
        <is>
          <t>Only youth ages 10-15 and hunters with a PTHFV.</t>
        </is>
      </c>
    </row>
    <row r="963">
      <c r="A963" s="4" t="inlineStr">
        <is>
          <t>104</t>
        </is>
      </c>
      <c r="B963" s="4" t="inlineStr">
        <is>
          <t>whitetail</t>
        </is>
      </c>
      <c r="C963" s="4" t="inlineStr">
        <is>
          <t>Deer B License: 104-00</t>
        </is>
      </c>
      <c r="D963" s="15" t="inlineStr">
        <is>
          <t>Drawing</t>
        </is>
      </c>
      <c r="E963" s="4" t="inlineStr">
        <is>
          <t>Antlerless White-tailed Deer</t>
        </is>
      </c>
      <c r="F963" s="4" t="inlineStr">
        <is>
          <t>Sep 05-Oct 18</t>
        </is>
      </c>
      <c r="G963" s="4" t="inlineStr">
        <is>
          <t>Oct 24-Nov 29</t>
        </is>
      </c>
      <c r="H963" s="4" t="inlineStr">
        <is>
          <t>Dec 12-Dec 20</t>
        </is>
      </c>
      <c r="I963" s="4" t="n"/>
      <c r="J963" s="4" t="inlineStr">
        <is>
          <t>Jun 1</t>
        </is>
      </c>
      <c r="K963" s="4" t="inlineStr">
        <is>
          <t>100</t>
        </is>
      </c>
      <c r="L963" s="4" t="n"/>
    </row>
    <row r="964">
      <c r="A964" s="4" t="inlineStr">
        <is>
          <t>104</t>
        </is>
      </c>
      <c r="B964" s="4" t="inlineStr">
        <is>
          <t>whitetail</t>
        </is>
      </c>
      <c r="C964" s="4" t="inlineStr">
        <is>
          <t>Deer B License: 199-20</t>
        </is>
      </c>
      <c r="D964" s="15" t="inlineStr">
        <is>
          <t>Drawing</t>
        </is>
      </c>
      <c r="E964" s="4" t="inlineStr">
        <is>
          <t>Either-sex White-tailed Deer</t>
        </is>
      </c>
      <c r="F964" s="4" t="inlineStr">
        <is>
          <t>Sep 05-Oct 18</t>
        </is>
      </c>
      <c r="G964" s="4" t="inlineStr">
        <is>
          <t>Oct 24-Nov 29</t>
        </is>
      </c>
      <c r="H964" s="4" t="inlineStr">
        <is>
          <t>Dec 12-Dec 20</t>
        </is>
      </c>
      <c r="I964" s="4" t="n"/>
      <c r="J964" s="4" t="inlineStr">
        <is>
          <t>Jun 1</t>
        </is>
      </c>
      <c r="K964" s="4" t="inlineStr">
        <is>
          <t>2,000</t>
        </is>
      </c>
      <c r="L964" s="4" t="inlineStr">
        <is>
          <t>Only valid in the Libby CWD Management Zone. 1 per hunter. Mandatory CWD sampling within 10 days of harvest. More information on CWD sample submission on page 4.</t>
        </is>
      </c>
    </row>
    <row r="965">
      <c r="A965" s="4" t="inlineStr">
        <is>
          <t>110</t>
        </is>
      </c>
      <c r="B965" s="4" t="inlineStr">
        <is>
          <t>whitetail</t>
        </is>
      </c>
      <c r="C965" s="4" t="inlineStr">
        <is>
          <t>General Deer License</t>
        </is>
      </c>
      <c r="D965" s="13" t="inlineStr">
        <is>
          <t>General license</t>
        </is>
      </c>
      <c r="E965" s="4" t="inlineStr">
        <is>
          <t>Either-sex White-tailed Deer</t>
        </is>
      </c>
      <c r="F965" s="4" t="inlineStr">
        <is>
          <t>Sep 05-Oct 18</t>
        </is>
      </c>
      <c r="G965" s="4" t="inlineStr">
        <is>
          <t>Oct 24-Oct 30</t>
        </is>
      </c>
      <c r="H965" s="4" t="n"/>
      <c r="I965" s="4" t="n"/>
      <c r="J965" s="4" t="n"/>
      <c r="K965" s="4" t="n"/>
      <c r="L965" s="4" t="n"/>
    </row>
    <row r="966">
      <c r="A966" s="4" t="inlineStr">
        <is>
          <t>110</t>
        </is>
      </c>
      <c r="B966" s="4" t="inlineStr">
        <is>
          <t>whitetail</t>
        </is>
      </c>
      <c r="C966" s="4" t="inlineStr">
        <is>
          <t>General Deer License</t>
        </is>
      </c>
      <c r="D966" s="13" t="inlineStr">
        <is>
          <t>General license</t>
        </is>
      </c>
      <c r="E966" s="4" t="inlineStr">
        <is>
          <t>Antlered Buck White-tailed Deer</t>
        </is>
      </c>
      <c r="F966" s="4" t="n"/>
      <c r="G966" s="4" t="inlineStr">
        <is>
          <t>Oct 31-Nov 29</t>
        </is>
      </c>
      <c r="H966" s="4" t="inlineStr">
        <is>
          <t>Dec 12-Dec 20</t>
        </is>
      </c>
      <c r="I966" s="4" t="n"/>
      <c r="J966" s="4" t="n"/>
      <c r="K966" s="4" t="n"/>
      <c r="L966" s="4" t="n"/>
    </row>
    <row r="967">
      <c r="A967" s="4" t="inlineStr">
        <is>
          <t>110</t>
        </is>
      </c>
      <c r="B967" s="4" t="inlineStr">
        <is>
          <t>whitetail</t>
        </is>
      </c>
      <c r="C967" s="4" t="inlineStr">
        <is>
          <t>General Deer License</t>
        </is>
      </c>
      <c r="D967" s="13" t="inlineStr">
        <is>
          <t>General license</t>
        </is>
      </c>
      <c r="E967" s="4" t="inlineStr">
        <is>
          <t>Either-sex White-tailed Deer</t>
        </is>
      </c>
      <c r="F967" s="4" t="n"/>
      <c r="G967" s="4" t="inlineStr">
        <is>
          <t>Oct 31-Nov 29</t>
        </is>
      </c>
      <c r="H967" s="4" t="inlineStr">
        <is>
          <t>Dec 12-Dec 20</t>
        </is>
      </c>
      <c r="I967" s="4" t="n"/>
      <c r="J967" s="4" t="n"/>
      <c r="K967" s="4" t="n"/>
      <c r="L967" s="4" t="inlineStr">
        <is>
          <t>Only youth ages 10-15 and hunters with a PTHFV.</t>
        </is>
      </c>
    </row>
    <row r="968">
      <c r="A968" s="4" t="inlineStr">
        <is>
          <t>110</t>
        </is>
      </c>
      <c r="B968" s="4" t="inlineStr">
        <is>
          <t>whitetail</t>
        </is>
      </c>
      <c r="C968" s="4" t="inlineStr">
        <is>
          <t>Deer B License: 110-00</t>
        </is>
      </c>
      <c r="D968" s="15" t="inlineStr">
        <is>
          <t>Drawing</t>
        </is>
      </c>
      <c r="E968" s="4" t="inlineStr">
        <is>
          <t>Antlerless White-tailed Deer</t>
        </is>
      </c>
      <c r="F968" s="4" t="inlineStr">
        <is>
          <t>Sep 05-Oct 18</t>
        </is>
      </c>
      <c r="G968" s="4" t="inlineStr">
        <is>
          <t>Oct 24-Nov 29</t>
        </is>
      </c>
      <c r="H968" s="4" t="inlineStr">
        <is>
          <t>Dec 12-Dec 20</t>
        </is>
      </c>
      <c r="I968" s="4" t="n"/>
      <c r="J968" s="4" t="inlineStr">
        <is>
          <t>Jun 1</t>
        </is>
      </c>
      <c r="K968" s="4" t="inlineStr">
        <is>
          <t>100</t>
        </is>
      </c>
      <c r="L968" s="4" t="inlineStr">
        <is>
          <t>Only valid on private land.</t>
        </is>
      </c>
    </row>
    <row r="969">
      <c r="A969" s="4" t="inlineStr">
        <is>
          <t>120</t>
        </is>
      </c>
      <c r="B969" s="4" t="inlineStr">
        <is>
          <t>whitetail</t>
        </is>
      </c>
      <c r="C969" s="4" t="inlineStr">
        <is>
          <t>General Deer License</t>
        </is>
      </c>
      <c r="D969" s="13" t="inlineStr">
        <is>
          <t>General license</t>
        </is>
      </c>
      <c r="E969" s="4" t="inlineStr">
        <is>
          <t>Either-sex White-tailed Deer</t>
        </is>
      </c>
      <c r="F969" s="4" t="inlineStr">
        <is>
          <t>Sep 05-Oct 18</t>
        </is>
      </c>
      <c r="G969" s="4" t="inlineStr">
        <is>
          <t>Oct 24-Oct 30</t>
        </is>
      </c>
      <c r="H969" s="4" t="n"/>
      <c r="I969" s="4" t="n"/>
      <c r="J969" s="4" t="n"/>
      <c r="K969" s="4" t="n"/>
      <c r="L969" s="4" t="n"/>
    </row>
    <row r="970">
      <c r="A970" s="4" t="inlineStr">
        <is>
          <t>120</t>
        </is>
      </c>
      <c r="B970" s="4" t="inlineStr">
        <is>
          <t>whitetail</t>
        </is>
      </c>
      <c r="C970" s="4" t="inlineStr">
        <is>
          <t>General Deer License</t>
        </is>
      </c>
      <c r="D970" s="13" t="inlineStr">
        <is>
          <t>General license</t>
        </is>
      </c>
      <c r="E970" s="4" t="inlineStr">
        <is>
          <t>Antlered Buck White-tailed Deer</t>
        </is>
      </c>
      <c r="F970" s="4" t="n"/>
      <c r="G970" s="4" t="inlineStr">
        <is>
          <t>Oct 31-Nov 29</t>
        </is>
      </c>
      <c r="H970" s="4" t="inlineStr">
        <is>
          <t>Dec 12-Dec 20</t>
        </is>
      </c>
      <c r="I970" s="4" t="n"/>
      <c r="J970" s="4" t="n"/>
      <c r="K970" s="4" t="n"/>
      <c r="L970" s="4" t="n"/>
    </row>
    <row r="971">
      <c r="A971" s="4" t="inlineStr">
        <is>
          <t>120</t>
        </is>
      </c>
      <c r="B971" s="4" t="inlineStr">
        <is>
          <t>whitetail</t>
        </is>
      </c>
      <c r="C971" s="4" t="inlineStr">
        <is>
          <t>General Deer License</t>
        </is>
      </c>
      <c r="D971" s="13" t="inlineStr">
        <is>
          <t>General license</t>
        </is>
      </c>
      <c r="E971" s="4" t="inlineStr">
        <is>
          <t>Either-sex White-tailed Deer</t>
        </is>
      </c>
      <c r="F971" s="4" t="n"/>
      <c r="G971" s="4" t="inlineStr">
        <is>
          <t>Oct 31-Nov 29</t>
        </is>
      </c>
      <c r="H971" s="4" t="inlineStr">
        <is>
          <t>Dec 12-Dec 20</t>
        </is>
      </c>
      <c r="I971" s="4" t="n"/>
      <c r="J971" s="4" t="n"/>
      <c r="K971" s="4" t="n"/>
      <c r="L971" s="4" t="inlineStr">
        <is>
          <t>Only youth ages 10-15 and hunters with a PTHFV.</t>
        </is>
      </c>
    </row>
    <row r="972">
      <c r="A972" s="4" t="inlineStr">
        <is>
          <t>120</t>
        </is>
      </c>
      <c r="B972" s="4" t="inlineStr">
        <is>
          <t>whitetail</t>
        </is>
      </c>
      <c r="C972" s="4" t="inlineStr">
        <is>
          <t>Deer B License: 120-00</t>
        </is>
      </c>
      <c r="D972" s="15" t="inlineStr">
        <is>
          <t>Drawing</t>
        </is>
      </c>
      <c r="E972" s="4" t="inlineStr">
        <is>
          <t>Antlerless White-tailed Deer</t>
        </is>
      </c>
      <c r="F972" s="4" t="inlineStr">
        <is>
          <t>Sep 05-Oct 18</t>
        </is>
      </c>
      <c r="G972" s="4" t="inlineStr">
        <is>
          <t>Oct 24-Nov 29</t>
        </is>
      </c>
      <c r="H972" s="4" t="inlineStr">
        <is>
          <t>Dec 12-Dec 20</t>
        </is>
      </c>
      <c r="I972" s="4" t="n"/>
      <c r="J972" s="4" t="inlineStr">
        <is>
          <t>Jun 1</t>
        </is>
      </c>
      <c r="K972" s="4" t="inlineStr">
        <is>
          <t>75</t>
        </is>
      </c>
      <c r="L972" s="4" t="n"/>
    </row>
    <row r="973">
      <c r="A973" s="4" t="inlineStr">
        <is>
          <t>121</t>
        </is>
      </c>
      <c r="B973" s="4" t="inlineStr">
        <is>
          <t>whitetail</t>
        </is>
      </c>
      <c r="C973" s="4" t="inlineStr">
        <is>
          <t>General Deer License</t>
        </is>
      </c>
      <c r="D973" s="13" t="inlineStr">
        <is>
          <t>General license</t>
        </is>
      </c>
      <c r="E973" s="4" t="inlineStr">
        <is>
          <t>Either-sex White-tailed Deer</t>
        </is>
      </c>
      <c r="F973" s="4" t="inlineStr">
        <is>
          <t>Sep 05-Oct 18</t>
        </is>
      </c>
      <c r="G973" s="4" t="inlineStr">
        <is>
          <t>Oct 24-Oct 30</t>
        </is>
      </c>
      <c r="H973" s="4" t="n"/>
      <c r="I973" s="4" t="n"/>
      <c r="J973" s="4" t="n"/>
      <c r="K973" s="4" t="n"/>
      <c r="L973" s="4" t="n"/>
    </row>
    <row r="974">
      <c r="A974" s="4" t="inlineStr">
        <is>
          <t>121</t>
        </is>
      </c>
      <c r="B974" s="4" t="inlineStr">
        <is>
          <t>whitetail</t>
        </is>
      </c>
      <c r="C974" s="4" t="inlineStr">
        <is>
          <t>General Deer License</t>
        </is>
      </c>
      <c r="D974" s="13" t="inlineStr">
        <is>
          <t>General license</t>
        </is>
      </c>
      <c r="E974" s="4" t="inlineStr">
        <is>
          <t>Antlered Buck White-tailed Deer</t>
        </is>
      </c>
      <c r="F974" s="4" t="n"/>
      <c r="G974" s="4" t="inlineStr">
        <is>
          <t>Oct 31-Nov 29</t>
        </is>
      </c>
      <c r="H974" s="4" t="inlineStr">
        <is>
          <t>Dec 12-Dec 20</t>
        </is>
      </c>
      <c r="I974" s="4" t="n"/>
      <c r="J974" s="4" t="n"/>
      <c r="K974" s="4" t="n"/>
      <c r="L974" s="4" t="n"/>
    </row>
    <row r="975">
      <c r="A975" s="4" t="inlineStr">
        <is>
          <t>121</t>
        </is>
      </c>
      <c r="B975" s="4" t="inlineStr">
        <is>
          <t>whitetail</t>
        </is>
      </c>
      <c r="C975" s="4" t="inlineStr">
        <is>
          <t>General Deer License</t>
        </is>
      </c>
      <c r="D975" s="13" t="inlineStr">
        <is>
          <t>General license</t>
        </is>
      </c>
      <c r="E975" s="4" t="inlineStr">
        <is>
          <t>Either-sex White-tailed Deer</t>
        </is>
      </c>
      <c r="F975" s="4" t="n"/>
      <c r="G975" s="4" t="inlineStr">
        <is>
          <t>Oct 31-Nov 29</t>
        </is>
      </c>
      <c r="H975" s="4" t="inlineStr">
        <is>
          <t>Dec 12-Dec 20</t>
        </is>
      </c>
      <c r="I975" s="4" t="n"/>
      <c r="J975" s="4" t="n"/>
      <c r="K975" s="4" t="n"/>
      <c r="L975" s="4" t="inlineStr">
        <is>
          <t>Only youth ages 10-15 and hunters with a PTHFV.</t>
        </is>
      </c>
    </row>
    <row r="976">
      <c r="A976" s="4" t="inlineStr">
        <is>
          <t>121</t>
        </is>
      </c>
      <c r="B976" s="4" t="inlineStr">
        <is>
          <t>whitetail</t>
        </is>
      </c>
      <c r="C976" s="4" t="inlineStr">
        <is>
          <t>Deer B License: 121-00</t>
        </is>
      </c>
      <c r="D976" s="15" t="inlineStr">
        <is>
          <t>Drawing</t>
        </is>
      </c>
      <c r="E976" s="4" t="inlineStr">
        <is>
          <t>Antlerless White-tailed Deer</t>
        </is>
      </c>
      <c r="F976" s="4" t="inlineStr">
        <is>
          <t>Sep 05-Oct 18</t>
        </is>
      </c>
      <c r="G976" s="4" t="inlineStr">
        <is>
          <t>Oct 24-Nov 29</t>
        </is>
      </c>
      <c r="H976" s="4" t="inlineStr">
        <is>
          <t>Dec 12-Dec 20</t>
        </is>
      </c>
      <c r="I976" s="4" t="n"/>
      <c r="J976" s="4" t="inlineStr">
        <is>
          <t>Jun 1</t>
        </is>
      </c>
      <c r="K976" s="4" t="inlineStr">
        <is>
          <t>150</t>
        </is>
      </c>
      <c r="L976" s="4" t="n"/>
    </row>
    <row r="977">
      <c r="A977" s="4" t="inlineStr">
        <is>
          <t>122</t>
        </is>
      </c>
      <c r="B977" s="4" t="inlineStr">
        <is>
          <t>whitetail</t>
        </is>
      </c>
      <c r="C977" s="4" t="inlineStr">
        <is>
          <t>General Deer License</t>
        </is>
      </c>
      <c r="D977" s="13" t="inlineStr">
        <is>
          <t>General license</t>
        </is>
      </c>
      <c r="E977" s="4" t="inlineStr">
        <is>
          <t>Either-sex White-tailed Deer</t>
        </is>
      </c>
      <c r="F977" s="4" t="inlineStr">
        <is>
          <t>Sep 05-Oct 18</t>
        </is>
      </c>
      <c r="G977" s="4" t="inlineStr">
        <is>
          <t>Oct 24-Oct 30</t>
        </is>
      </c>
      <c r="H977" s="4" t="n"/>
      <c r="I977" s="4" t="n"/>
      <c r="J977" s="4" t="n"/>
      <c r="K977" s="4" t="n"/>
      <c r="L977" s="4" t="n"/>
    </row>
    <row r="978">
      <c r="A978" s="4" t="inlineStr">
        <is>
          <t>122</t>
        </is>
      </c>
      <c r="B978" s="4" t="inlineStr">
        <is>
          <t>whitetail</t>
        </is>
      </c>
      <c r="C978" s="4" t="inlineStr">
        <is>
          <t>General Deer License</t>
        </is>
      </c>
      <c r="D978" s="13" t="inlineStr">
        <is>
          <t>General license</t>
        </is>
      </c>
      <c r="E978" s="4" t="inlineStr">
        <is>
          <t>Antlered Buck White-tailed Deer</t>
        </is>
      </c>
      <c r="F978" s="4" t="n"/>
      <c r="G978" s="4" t="inlineStr">
        <is>
          <t>Oct 31-Nov 29</t>
        </is>
      </c>
      <c r="H978" s="4" t="inlineStr">
        <is>
          <t>Dec 12-Dec 20</t>
        </is>
      </c>
      <c r="I978" s="4" t="n"/>
      <c r="J978" s="4" t="n"/>
      <c r="K978" s="4" t="n"/>
      <c r="L978" s="4" t="n"/>
    </row>
    <row r="979">
      <c r="A979" s="4" t="inlineStr">
        <is>
          <t>122</t>
        </is>
      </c>
      <c r="B979" s="4" t="inlineStr">
        <is>
          <t>whitetail</t>
        </is>
      </c>
      <c r="C979" s="4" t="inlineStr">
        <is>
          <t>General Deer License</t>
        </is>
      </c>
      <c r="D979" s="13" t="inlineStr">
        <is>
          <t>General license</t>
        </is>
      </c>
      <c r="E979" s="4" t="inlineStr">
        <is>
          <t>Either-sex White-tailed Deer</t>
        </is>
      </c>
      <c r="F979" s="4" t="n"/>
      <c r="G979" s="4" t="inlineStr">
        <is>
          <t>Oct 31-Nov 29</t>
        </is>
      </c>
      <c r="H979" s="4" t="inlineStr">
        <is>
          <t>Dec 12-Dec 20</t>
        </is>
      </c>
      <c r="I979" s="4" t="n"/>
      <c r="J979" s="4" t="n"/>
      <c r="K979" s="4" t="n"/>
      <c r="L979" s="4" t="inlineStr">
        <is>
          <t>Only youth ages 10-15 and hunters with a PTHFV.</t>
        </is>
      </c>
    </row>
    <row r="980">
      <c r="A980" s="4" t="inlineStr">
        <is>
          <t>122</t>
        </is>
      </c>
      <c r="B980" s="4" t="inlineStr">
        <is>
          <t>whitetail</t>
        </is>
      </c>
      <c r="C980" s="4" t="inlineStr">
        <is>
          <t>Deer B License: 122-00</t>
        </is>
      </c>
      <c r="D980" s="15" t="inlineStr">
        <is>
          <t>Drawing</t>
        </is>
      </c>
      <c r="E980" s="4" t="inlineStr">
        <is>
          <t>Antlerless White-tailed Deer</t>
        </is>
      </c>
      <c r="F980" s="4" t="inlineStr">
        <is>
          <t>Sep 05-Oct 18</t>
        </is>
      </c>
      <c r="G980" s="4" t="inlineStr">
        <is>
          <t>Oct 24-Nov 29</t>
        </is>
      </c>
      <c r="H980" s="4" t="inlineStr">
        <is>
          <t>Dec 12-Dec 20</t>
        </is>
      </c>
      <c r="I980" s="4" t="n"/>
      <c r="J980" s="4" t="inlineStr">
        <is>
          <t>Jun 1</t>
        </is>
      </c>
      <c r="K980" s="4" t="inlineStr">
        <is>
          <t>100</t>
        </is>
      </c>
      <c r="L980" s="4" t="n"/>
    </row>
    <row r="981">
      <c r="A981" s="4" t="inlineStr">
        <is>
          <t>123</t>
        </is>
      </c>
      <c r="B981" s="4" t="inlineStr">
        <is>
          <t>whitetail</t>
        </is>
      </c>
      <c r="C981" s="4" t="inlineStr">
        <is>
          <t>General Deer License</t>
        </is>
      </c>
      <c r="D981" s="13" t="inlineStr">
        <is>
          <t>General license</t>
        </is>
      </c>
      <c r="E981" s="4" t="inlineStr">
        <is>
          <t>Either-sex White-tailed Deer</t>
        </is>
      </c>
      <c r="F981" s="4" t="inlineStr">
        <is>
          <t>Sep 05-Oct 18</t>
        </is>
      </c>
      <c r="G981" s="4" t="inlineStr">
        <is>
          <t>Oct 24-Oct 30</t>
        </is>
      </c>
      <c r="H981" s="4" t="n"/>
      <c r="I981" s="4" t="n"/>
      <c r="J981" s="4" t="n"/>
      <c r="K981" s="4" t="n"/>
      <c r="L981" s="4" t="n"/>
    </row>
    <row r="982">
      <c r="A982" s="4" t="inlineStr">
        <is>
          <t>123</t>
        </is>
      </c>
      <c r="B982" s="4" t="inlineStr">
        <is>
          <t>whitetail</t>
        </is>
      </c>
      <c r="C982" s="4" t="inlineStr">
        <is>
          <t>General Deer License</t>
        </is>
      </c>
      <c r="D982" s="13" t="inlineStr">
        <is>
          <t>General license</t>
        </is>
      </c>
      <c r="E982" s="4" t="inlineStr">
        <is>
          <t>Either-sex White-tailed Deer</t>
        </is>
      </c>
      <c r="F982" s="4" t="n"/>
      <c r="G982" s="4" t="inlineStr">
        <is>
          <t>Oct 24-Nov 29</t>
        </is>
      </c>
      <c r="H982" s="4" t="inlineStr">
        <is>
          <t>Dec 12-Dec 20</t>
        </is>
      </c>
      <c r="I982" s="4" t="n"/>
      <c r="J982" s="4" t="n"/>
      <c r="K982" s="4" t="n"/>
      <c r="L982" s="4" t="inlineStr">
        <is>
          <t>Only youth ages 10-15 and hunters with a PTHFV.</t>
        </is>
      </c>
    </row>
    <row r="983">
      <c r="A983" s="4" t="inlineStr">
        <is>
          <t>123</t>
        </is>
      </c>
      <c r="B983" s="4" t="inlineStr">
        <is>
          <t>whitetail</t>
        </is>
      </c>
      <c r="C983" s="4" t="inlineStr">
        <is>
          <t>General Deer License</t>
        </is>
      </c>
      <c r="D983" s="13" t="inlineStr">
        <is>
          <t>General license</t>
        </is>
      </c>
      <c r="E983" s="4" t="inlineStr">
        <is>
          <t>Antlered Buck White-tailed Deer</t>
        </is>
      </c>
      <c r="F983" s="4" t="n"/>
      <c r="G983" s="4" t="inlineStr">
        <is>
          <t>Oct 31-Nov 29</t>
        </is>
      </c>
      <c r="H983" s="4" t="inlineStr">
        <is>
          <t>Dec 12-Dec 20</t>
        </is>
      </c>
      <c r="I983" s="4" t="n"/>
      <c r="J983" s="4" t="n"/>
      <c r="K983" s="4" t="n"/>
      <c r="L983" s="4" t="n"/>
    </row>
    <row r="984">
      <c r="A984" s="4" t="inlineStr">
        <is>
          <t>123</t>
        </is>
      </c>
      <c r="B984" s="4" t="inlineStr">
        <is>
          <t>whitetail</t>
        </is>
      </c>
      <c r="C984" s="4" t="inlineStr">
        <is>
          <t>Deer B License: 123-00</t>
        </is>
      </c>
      <c r="D984" s="15" t="inlineStr">
        <is>
          <t>Drawing</t>
        </is>
      </c>
      <c r="E984" s="4" t="inlineStr">
        <is>
          <t>Antlerless White-tailed Deer</t>
        </is>
      </c>
      <c r="F984" s="4" t="inlineStr">
        <is>
          <t>Sep 05-Oct 18</t>
        </is>
      </c>
      <c r="G984" s="4" t="inlineStr">
        <is>
          <t>Oct 24-Nov 29</t>
        </is>
      </c>
      <c r="H984" s="4" t="inlineStr">
        <is>
          <t>Dec 12-Dec 20</t>
        </is>
      </c>
      <c r="I984" s="4" t="n"/>
      <c r="J984" s="4" t="inlineStr">
        <is>
          <t>Jun 1</t>
        </is>
      </c>
      <c r="K984" s="4" t="inlineStr">
        <is>
          <t>25</t>
        </is>
      </c>
      <c r="L984" s="4" t="n"/>
    </row>
    <row r="985">
      <c r="A985" s="4" t="inlineStr">
        <is>
          <t>124</t>
        </is>
      </c>
      <c r="B985" s="4" t="inlineStr">
        <is>
          <t>whitetail</t>
        </is>
      </c>
      <c r="C985" s="4" t="inlineStr">
        <is>
          <t>General Deer License</t>
        </is>
      </c>
      <c r="D985" s="13" t="inlineStr">
        <is>
          <t>General license</t>
        </is>
      </c>
      <c r="E985" s="4" t="inlineStr">
        <is>
          <t>Either-sex White-tailed Deer</t>
        </is>
      </c>
      <c r="F985" s="4" t="inlineStr">
        <is>
          <t>Sep 05-Oct 18</t>
        </is>
      </c>
      <c r="G985" s="4" t="inlineStr">
        <is>
          <t>Oct 24-Oct 30</t>
        </is>
      </c>
      <c r="H985" s="4" t="n"/>
      <c r="I985" s="4" t="n"/>
      <c r="J985" s="4" t="n"/>
      <c r="K985" s="4" t="n"/>
      <c r="L985" s="4" t="n"/>
    </row>
    <row r="986">
      <c r="A986" s="4" t="inlineStr">
        <is>
          <t>124</t>
        </is>
      </c>
      <c r="B986" s="4" t="inlineStr">
        <is>
          <t>whitetail</t>
        </is>
      </c>
      <c r="C986" s="4" t="inlineStr">
        <is>
          <t>General Deer License</t>
        </is>
      </c>
      <c r="D986" s="13" t="inlineStr">
        <is>
          <t>General license</t>
        </is>
      </c>
      <c r="E986" s="4" t="inlineStr">
        <is>
          <t>Antlered Buck White-tailed Deer</t>
        </is>
      </c>
      <c r="F986" s="4" t="n"/>
      <c r="G986" s="4" t="inlineStr">
        <is>
          <t>Oct 31-Nov 29</t>
        </is>
      </c>
      <c r="H986" s="4" t="inlineStr">
        <is>
          <t>Dec 12-Dec 20</t>
        </is>
      </c>
      <c r="I986" s="4" t="n"/>
      <c r="J986" s="4" t="n"/>
      <c r="K986" s="4" t="n"/>
      <c r="L986" s="4" t="n"/>
    </row>
    <row r="987">
      <c r="A987" s="4" t="inlineStr">
        <is>
          <t>124</t>
        </is>
      </c>
      <c r="B987" s="4" t="inlineStr">
        <is>
          <t>whitetail</t>
        </is>
      </c>
      <c r="C987" s="4" t="inlineStr">
        <is>
          <t>General Deer License</t>
        </is>
      </c>
      <c r="D987" s="13" t="inlineStr">
        <is>
          <t>General license</t>
        </is>
      </c>
      <c r="E987" s="4" t="inlineStr">
        <is>
          <t>Either-sex White-tailed Deer</t>
        </is>
      </c>
      <c r="F987" s="4" t="n"/>
      <c r="G987" s="4" t="inlineStr">
        <is>
          <t>Oct 31-Nov 29</t>
        </is>
      </c>
      <c r="H987" s="4" t="inlineStr">
        <is>
          <t>Dec 12-Dec 20</t>
        </is>
      </c>
      <c r="I987" s="4" t="n"/>
      <c r="J987" s="4" t="n"/>
      <c r="K987" s="4" t="n"/>
      <c r="L987" s="4" t="inlineStr">
        <is>
          <t>Only youth ages 10-15 and hunters with a PTHFV.</t>
        </is>
      </c>
    </row>
    <row r="988">
      <c r="A988" s="4" t="inlineStr">
        <is>
          <t>124</t>
        </is>
      </c>
      <c r="B988" s="4" t="inlineStr">
        <is>
          <t>whitetail</t>
        </is>
      </c>
      <c r="C988" s="4" t="inlineStr">
        <is>
          <t>Deer B License: 124-00</t>
        </is>
      </c>
      <c r="D988" s="15" t="inlineStr">
        <is>
          <t>Drawing</t>
        </is>
      </c>
      <c r="E988" s="4" t="inlineStr">
        <is>
          <t>Antlerless White-tailed Deer</t>
        </is>
      </c>
      <c r="F988" s="4" t="inlineStr">
        <is>
          <t>Sep 05-Oct 18</t>
        </is>
      </c>
      <c r="G988" s="4" t="inlineStr">
        <is>
          <t>Oct 24-Nov 29</t>
        </is>
      </c>
      <c r="H988" s="4" t="inlineStr">
        <is>
          <t>Dec 12-Dec 20</t>
        </is>
      </c>
      <c r="I988" s="4" t="n"/>
      <c r="J988" s="4" t="inlineStr">
        <is>
          <t>Jun 1</t>
        </is>
      </c>
      <c r="K988" s="4" t="inlineStr">
        <is>
          <t>25</t>
        </is>
      </c>
      <c r="L988" s="4" t="n"/>
    </row>
    <row r="989">
      <c r="A989" s="4" t="inlineStr">
        <is>
          <t>130</t>
        </is>
      </c>
      <c r="B989" s="4" t="inlineStr">
        <is>
          <t>whitetail</t>
        </is>
      </c>
      <c r="C989" s="4" t="inlineStr">
        <is>
          <t>General Deer License</t>
        </is>
      </c>
      <c r="D989" s="13" t="inlineStr">
        <is>
          <t>General license</t>
        </is>
      </c>
      <c r="E989" s="4" t="inlineStr">
        <is>
          <t>Either-sex White-tailed Deer</t>
        </is>
      </c>
      <c r="F989" s="4" t="inlineStr">
        <is>
          <t>Sep 05-Oct 18</t>
        </is>
      </c>
      <c r="G989" s="4" t="n"/>
      <c r="H989" s="4" t="n"/>
      <c r="I989" s="4" t="n"/>
      <c r="J989" s="4" t="n"/>
      <c r="K989" s="4" t="n"/>
      <c r="L989" s="4" t="n"/>
    </row>
    <row r="990">
      <c r="A990" s="4" t="inlineStr">
        <is>
          <t>130</t>
        </is>
      </c>
      <c r="B990" s="4" t="inlineStr">
        <is>
          <t>whitetail</t>
        </is>
      </c>
      <c r="C990" s="4" t="inlineStr">
        <is>
          <t>General Deer License</t>
        </is>
      </c>
      <c r="D990" s="13" t="inlineStr">
        <is>
          <t>General license</t>
        </is>
      </c>
      <c r="E990" s="4" t="inlineStr">
        <is>
          <t>Antlered Buck White-tailed Deer</t>
        </is>
      </c>
      <c r="F990" s="4" t="n"/>
      <c r="G990" s="4" t="inlineStr">
        <is>
          <t>Oct 24-Nov 29</t>
        </is>
      </c>
      <c r="H990" s="4" t="inlineStr">
        <is>
          <t>Dec 12-Dec 20</t>
        </is>
      </c>
      <c r="I990" s="4" t="n"/>
      <c r="J990" s="4" t="n"/>
      <c r="K990" s="4" t="n"/>
      <c r="L990" s="4" t="n"/>
    </row>
    <row r="991">
      <c r="A991" s="4" t="inlineStr">
        <is>
          <t>130</t>
        </is>
      </c>
      <c r="B991" s="4" t="inlineStr">
        <is>
          <t>whitetail</t>
        </is>
      </c>
      <c r="C991" s="4" t="inlineStr">
        <is>
          <t>General Deer License</t>
        </is>
      </c>
      <c r="D991" s="13" t="inlineStr">
        <is>
          <t>General license</t>
        </is>
      </c>
      <c r="E991" s="4" t="inlineStr">
        <is>
          <t>Either-sex White-tailed Deer</t>
        </is>
      </c>
      <c r="F991" s="4" t="n"/>
      <c r="G991" s="4" t="inlineStr">
        <is>
          <t>Oct 24-Nov 29</t>
        </is>
      </c>
      <c r="H991" s="4" t="inlineStr">
        <is>
          <t>Dec 12-Dec 20</t>
        </is>
      </c>
      <c r="I991" s="4" t="n"/>
      <c r="J991" s="4" t="n"/>
      <c r="K991" s="4" t="n"/>
      <c r="L991" s="4" t="inlineStr">
        <is>
          <t>Only youth ages 10-15 and hunters with a PTHFV.</t>
        </is>
      </c>
    </row>
    <row r="992">
      <c r="A992" s="4" t="inlineStr">
        <is>
          <t>130</t>
        </is>
      </c>
      <c r="B992" s="4" t="inlineStr">
        <is>
          <t>whitetail</t>
        </is>
      </c>
      <c r="C992" s="4" t="inlineStr">
        <is>
          <t>Deer B License: 130-00</t>
        </is>
      </c>
      <c r="D992" s="15" t="inlineStr">
        <is>
          <t>Drawing</t>
        </is>
      </c>
      <c r="E992" s="4" t="inlineStr">
        <is>
          <t>Antlerless White-tailed Deer</t>
        </is>
      </c>
      <c r="F992" s="4" t="inlineStr">
        <is>
          <t>Sep 05-Oct 18</t>
        </is>
      </c>
      <c r="G992" s="4" t="inlineStr">
        <is>
          <t>Oct 24-Nov 29</t>
        </is>
      </c>
      <c r="H992" s="4" t="inlineStr">
        <is>
          <t>Dec 12-Dec 20</t>
        </is>
      </c>
      <c r="I992" s="4" t="n"/>
      <c r="J992" s="4" t="inlineStr">
        <is>
          <t>Jun 1</t>
        </is>
      </c>
      <c r="K992" s="4" t="inlineStr">
        <is>
          <t>50</t>
        </is>
      </c>
      <c r="L992" s="4" t="n"/>
    </row>
    <row r="993">
      <c r="A993" s="4" t="inlineStr">
        <is>
          <t>140</t>
        </is>
      </c>
      <c r="B993" s="4" t="inlineStr">
        <is>
          <t>whitetail</t>
        </is>
      </c>
      <c r="C993" s="4" t="inlineStr">
        <is>
          <t>General Deer License</t>
        </is>
      </c>
      <c r="D993" s="13" t="inlineStr">
        <is>
          <t>General license</t>
        </is>
      </c>
      <c r="E993" s="4" t="inlineStr">
        <is>
          <t>Either-sex White-tailed Deer</t>
        </is>
      </c>
      <c r="F993" s="4" t="inlineStr">
        <is>
          <t>Sep 05-Oct 18</t>
        </is>
      </c>
      <c r="G993" s="4" t="inlineStr">
        <is>
          <t>Oct 24-Oct 30</t>
        </is>
      </c>
      <c r="H993" s="4" t="n"/>
      <c r="I993" s="4" t="n"/>
      <c r="J993" s="4" t="n"/>
      <c r="K993" s="4" t="n"/>
      <c r="L993" s="4" t="n"/>
    </row>
    <row r="994">
      <c r="A994" s="4" t="inlineStr">
        <is>
          <t>140</t>
        </is>
      </c>
      <c r="B994" s="4" t="inlineStr">
        <is>
          <t>whitetail</t>
        </is>
      </c>
      <c r="C994" s="4" t="inlineStr">
        <is>
          <t>General Deer License</t>
        </is>
      </c>
      <c r="D994" s="13" t="inlineStr">
        <is>
          <t>General license</t>
        </is>
      </c>
      <c r="E994" s="4" t="inlineStr">
        <is>
          <t>Antlered Buck White-tailed Deer</t>
        </is>
      </c>
      <c r="F994" s="4" t="n"/>
      <c r="G994" s="4" t="inlineStr">
        <is>
          <t>Oct 31-Nov 29</t>
        </is>
      </c>
      <c r="H994" s="4" t="inlineStr">
        <is>
          <t>Dec 12-Dec 20</t>
        </is>
      </c>
      <c r="I994" s="4" t="n"/>
      <c r="J994" s="4" t="n"/>
      <c r="K994" s="4" t="n"/>
      <c r="L994" s="4" t="n"/>
    </row>
    <row r="995">
      <c r="A995" s="4" t="inlineStr">
        <is>
          <t>140</t>
        </is>
      </c>
      <c r="B995" s="4" t="inlineStr">
        <is>
          <t>whitetail</t>
        </is>
      </c>
      <c r="C995" s="4" t="inlineStr">
        <is>
          <t>General Deer License</t>
        </is>
      </c>
      <c r="D995" s="13" t="inlineStr">
        <is>
          <t>General license</t>
        </is>
      </c>
      <c r="E995" s="4" t="inlineStr">
        <is>
          <t>Either-sex White-tailed Deer</t>
        </is>
      </c>
      <c r="F995" s="4" t="n"/>
      <c r="G995" s="4" t="inlineStr">
        <is>
          <t>Oct 31-Nov 29</t>
        </is>
      </c>
      <c r="H995" s="4" t="inlineStr">
        <is>
          <t>Dec 12-Dec 20</t>
        </is>
      </c>
      <c r="I995" s="4" t="n"/>
      <c r="J995" s="4" t="n"/>
      <c r="K995" s="4" t="n"/>
      <c r="L995" s="4" t="inlineStr">
        <is>
          <t>Only youth ages 10-15.</t>
        </is>
      </c>
    </row>
    <row r="996">
      <c r="A996" s="4" t="inlineStr">
        <is>
          <t>141</t>
        </is>
      </c>
      <c r="B996" s="4" t="inlineStr">
        <is>
          <t>whitetail</t>
        </is>
      </c>
      <c r="C996" s="4" t="inlineStr">
        <is>
          <t>General Deer License</t>
        </is>
      </c>
      <c r="D996" s="13" t="inlineStr">
        <is>
          <t>General license</t>
        </is>
      </c>
      <c r="E996" s="4" t="inlineStr">
        <is>
          <t>Either-sex White-tailed Deer</t>
        </is>
      </c>
      <c r="F996" s="4" t="inlineStr">
        <is>
          <t>Sep 05-Oct 18</t>
        </is>
      </c>
      <c r="G996" s="4" t="inlineStr">
        <is>
          <t>Oct 24-Oct 30</t>
        </is>
      </c>
      <c r="H996" s="4" t="n"/>
      <c r="I996" s="4" t="n"/>
      <c r="J996" s="4" t="n"/>
      <c r="K996" s="4" t="n"/>
      <c r="L996" s="4" t="n"/>
    </row>
    <row r="997">
      <c r="A997" s="4" t="inlineStr">
        <is>
          <t>141</t>
        </is>
      </c>
      <c r="B997" s="4" t="inlineStr">
        <is>
          <t>whitetail</t>
        </is>
      </c>
      <c r="C997" s="4" t="inlineStr">
        <is>
          <t>General Deer License</t>
        </is>
      </c>
      <c r="D997" s="13" t="inlineStr">
        <is>
          <t>General license</t>
        </is>
      </c>
      <c r="E997" s="4" t="inlineStr">
        <is>
          <t>Either-sex White-tailed Deer</t>
        </is>
      </c>
      <c r="F997" s="4" t="n"/>
      <c r="G997" s="4" t="inlineStr">
        <is>
          <t>Oct 31-Nov 29</t>
        </is>
      </c>
      <c r="H997" s="4" t="inlineStr">
        <is>
          <t>Dec 12-Dec 20</t>
        </is>
      </c>
      <c r="I997" s="4" t="n"/>
      <c r="J997" s="4" t="n"/>
      <c r="K997" s="4" t="n"/>
      <c r="L997" s="4" t="inlineStr">
        <is>
          <t>Only youth ages 10-15.</t>
        </is>
      </c>
    </row>
    <row r="998">
      <c r="A998" s="4" t="inlineStr">
        <is>
          <t>141</t>
        </is>
      </c>
      <c r="B998" s="4" t="inlineStr">
        <is>
          <t>whitetail</t>
        </is>
      </c>
      <c r="C998" s="4" t="inlineStr">
        <is>
          <t>General Deer License</t>
        </is>
      </c>
      <c r="D998" s="13" t="inlineStr">
        <is>
          <t>General license</t>
        </is>
      </c>
      <c r="E998" s="4" t="inlineStr">
        <is>
          <t>Antlered Buck White-tailed Deer</t>
        </is>
      </c>
      <c r="F998" s="4" t="n"/>
      <c r="G998" s="4" t="inlineStr">
        <is>
          <t>Oct 31-Nov 29</t>
        </is>
      </c>
      <c r="H998" s="4" t="inlineStr">
        <is>
          <t>Dec 12-Dec 20</t>
        </is>
      </c>
      <c r="I998" s="4" t="n"/>
      <c r="J998" s="4" t="n"/>
      <c r="K998" s="4" t="n"/>
      <c r="L998" s="4" t="n"/>
    </row>
    <row r="999">
      <c r="A999" s="4" t="inlineStr">
        <is>
          <t>150</t>
        </is>
      </c>
      <c r="B999" s="4" t="inlineStr">
        <is>
          <t>whitetail</t>
        </is>
      </c>
      <c r="C999" s="4" t="inlineStr">
        <is>
          <t>General Deer License</t>
        </is>
      </c>
      <c r="D999" s="13" t="inlineStr">
        <is>
          <t>General license</t>
        </is>
      </c>
      <c r="E999" s="4" t="inlineStr">
        <is>
          <t>Either-sex White-tailed Deer</t>
        </is>
      </c>
      <c r="F999" s="4" t="inlineStr">
        <is>
          <t>Sep 05-Sep 14</t>
        </is>
      </c>
      <c r="G999" s="4" t="inlineStr">
        <is>
          <t>Sep 15-Nov 29</t>
        </is>
      </c>
      <c r="H999" s="4" t="inlineStr">
        <is>
          <t>Dec 12-Dec 20</t>
        </is>
      </c>
      <c r="I999" s="4" t="n"/>
      <c r="J999" s="4" t="n"/>
      <c r="K999" s="4" t="n"/>
      <c r="L999" s="4" t="n"/>
    </row>
    <row r="1000">
      <c r="A1000" s="4" t="inlineStr">
        <is>
          <t>170</t>
        </is>
      </c>
      <c r="B1000" s="4" t="inlineStr">
        <is>
          <t>whitetail</t>
        </is>
      </c>
      <c r="C1000" s="4" t="inlineStr">
        <is>
          <t>General Deer License</t>
        </is>
      </c>
      <c r="D1000" s="13" t="inlineStr">
        <is>
          <t>General license</t>
        </is>
      </c>
      <c r="E1000" s="4" t="inlineStr">
        <is>
          <t>Either-sex White-tailed Deer</t>
        </is>
      </c>
      <c r="F1000" s="4" t="inlineStr">
        <is>
          <t>Sep 05-Oct 18</t>
        </is>
      </c>
      <c r="G1000" s="4" t="inlineStr">
        <is>
          <t>Oct 24-Nov 29</t>
        </is>
      </c>
      <c r="H1000" s="4" t="inlineStr">
        <is>
          <t>Dec 12-Dec 20</t>
        </is>
      </c>
      <c r="I1000" s="4" t="n"/>
      <c r="J1000" s="4" t="n"/>
      <c r="K1000" s="4" t="n"/>
      <c r="L1000" s="4" t="n"/>
    </row>
    <row r="1001">
      <c r="A1001" s="4" t="inlineStr">
        <is>
          <t>170</t>
        </is>
      </c>
      <c r="B1001" s="4" t="inlineStr">
        <is>
          <t>whitetail</t>
        </is>
      </c>
      <c r="C1001" s="4" t="inlineStr">
        <is>
          <t>Deer B License: 170-00</t>
        </is>
      </c>
      <c r="D1001" s="4" t="inlineStr">
        <is>
          <t>Over the counter</t>
        </is>
      </c>
      <c r="E1001" s="4" t="inlineStr">
        <is>
          <t>Antlerless White-tailed Deer</t>
        </is>
      </c>
      <c r="F1001" s="4" t="inlineStr">
        <is>
          <t>Sep 05-Oct 18</t>
        </is>
      </c>
      <c r="G1001" s="4" t="inlineStr">
        <is>
          <t>Oct 24-Nov 29</t>
        </is>
      </c>
      <c r="H1001" s="4" t="inlineStr">
        <is>
          <t>Dec 12-Dec 20</t>
        </is>
      </c>
      <c r="I1001" s="4" t="n"/>
      <c r="J1001" s="4" t="inlineStr">
        <is>
          <t>OTC: Jun 15</t>
        </is>
      </c>
      <c r="K1001" s="4" t="inlineStr">
        <is>
          <t>UNL</t>
        </is>
      </c>
      <c r="L1001" s="4" t="inlineStr">
        <is>
          <t>Two per hunter. ArchEquip only (outside of CWD Management Zone). Two per hunter. Only valid in Kalispell CWD Management Zone. Two per hunter.</t>
        </is>
      </c>
    </row>
    <row r="1002">
      <c r="A1002" s="4" t="inlineStr">
        <is>
          <t>170</t>
        </is>
      </c>
      <c r="B1002" s="4" t="inlineStr">
        <is>
          <t>whitetail</t>
        </is>
      </c>
      <c r="C1002" s="4" t="inlineStr">
        <is>
          <t>Deer B License: 170-20</t>
        </is>
      </c>
      <c r="D1002" s="4" t="inlineStr">
        <is>
          <t>Over the counter</t>
        </is>
      </c>
      <c r="E1002" s="4" t="inlineStr">
        <is>
          <t>Either-sex White-tailed Deer</t>
        </is>
      </c>
      <c r="F1002" s="4" t="inlineStr">
        <is>
          <t>Sep 05-Oct 18</t>
        </is>
      </c>
      <c r="G1002" s="4" t="inlineStr">
        <is>
          <t>Oct 24-Nov 29</t>
        </is>
      </c>
      <c r="H1002" s="4" t="n"/>
      <c r="I1002" s="4" t="inlineStr">
        <is>
          <t>Nov 30-Jan 15</t>
        </is>
      </c>
      <c r="J1002" s="4" t="inlineStr">
        <is>
          <t>OTC: Jun 15</t>
        </is>
      </c>
      <c r="K1002" s="4" t="inlineStr">
        <is>
          <t>UNL</t>
        </is>
      </c>
      <c r="L1002" s="4" t="inlineStr">
        <is>
          <t>Only valid in Kalispell CWD Management Zone. One per hunter. Mandatory CWD sampling within 10 days of harvest.</t>
        </is>
      </c>
    </row>
    <row r="1003">
      <c r="A1003" s="4" t="inlineStr">
        <is>
          <t>200</t>
        </is>
      </c>
      <c r="B1003" s="4" t="inlineStr">
        <is>
          <t>whitetail</t>
        </is>
      </c>
      <c r="C1003" s="4" t="inlineStr">
        <is>
          <t>General Deer License</t>
        </is>
      </c>
      <c r="D1003" s="13" t="inlineStr">
        <is>
          <t>General license</t>
        </is>
      </c>
      <c r="E1003" s="4" t="inlineStr">
        <is>
          <t>Either-sex White-tailed Deer</t>
        </is>
      </c>
      <c r="F1003" s="4" t="inlineStr">
        <is>
          <t>Sep 05-Oct 18</t>
        </is>
      </c>
      <c r="G1003" s="4" t="inlineStr">
        <is>
          <t>Oct 24-Oct 30</t>
        </is>
      </c>
      <c r="H1003" s="4" t="n"/>
      <c r="I1003" s="4" t="n"/>
      <c r="J1003" s="4" t="n"/>
      <c r="K1003" s="4" t="n"/>
      <c r="L1003" s="4" t="n"/>
    </row>
    <row r="1004">
      <c r="A1004" s="4" t="inlineStr">
        <is>
          <t>200</t>
        </is>
      </c>
      <c r="B1004" s="4" t="inlineStr">
        <is>
          <t>whitetail</t>
        </is>
      </c>
      <c r="C1004" s="4" t="inlineStr">
        <is>
          <t>General Deer License</t>
        </is>
      </c>
      <c r="D1004" s="13" t="inlineStr">
        <is>
          <t>General license</t>
        </is>
      </c>
      <c r="E1004" s="4" t="inlineStr">
        <is>
          <t>Antlered Buck White-tailed Deer</t>
        </is>
      </c>
      <c r="F1004" s="4" t="n"/>
      <c r="G1004" s="4" t="inlineStr">
        <is>
          <t>Oct 31-Nov 29</t>
        </is>
      </c>
      <c r="H1004" s="4" t="inlineStr">
        <is>
          <t>Dec 12-Dec 20</t>
        </is>
      </c>
      <c r="I1004" s="4" t="n"/>
      <c r="J1004" s="4" t="n"/>
      <c r="K1004" s="4" t="n"/>
      <c r="L1004" s="4" t="n"/>
    </row>
    <row r="1005">
      <c r="A1005" s="4" t="inlineStr">
        <is>
          <t>200</t>
        </is>
      </c>
      <c r="B1005" s="4" t="inlineStr">
        <is>
          <t>whitetail</t>
        </is>
      </c>
      <c r="C1005" s="4" t="inlineStr">
        <is>
          <t>General Deer License</t>
        </is>
      </c>
      <c r="D1005" s="13" t="inlineStr">
        <is>
          <t>General license</t>
        </is>
      </c>
      <c r="E1005" s="4" t="inlineStr">
        <is>
          <t>Either-sex White-tailed Deer</t>
        </is>
      </c>
      <c r="F1005" s="4" t="n"/>
      <c r="G1005" s="4" t="inlineStr">
        <is>
          <t>Oct 31-Nov 29</t>
        </is>
      </c>
      <c r="H1005" s="4" t="inlineStr">
        <is>
          <t>Dec 12-Dec 20</t>
        </is>
      </c>
      <c r="I1005" s="4" t="n"/>
      <c r="J1005" s="4" t="n"/>
      <c r="K1005" s="4" t="n"/>
      <c r="L1005" s="4" t="inlineStr">
        <is>
          <t>Only youth ages 10-15.</t>
        </is>
      </c>
    </row>
    <row r="1006">
      <c r="A1006" s="4" t="inlineStr">
        <is>
          <t>200</t>
        </is>
      </c>
      <c r="B1006" s="4" t="inlineStr">
        <is>
          <t>whitetail</t>
        </is>
      </c>
      <c r="C1006" s="4" t="inlineStr">
        <is>
          <t>Deer B License: 200-00</t>
        </is>
      </c>
      <c r="D1006" s="15" t="inlineStr">
        <is>
          <t>Drawing</t>
        </is>
      </c>
      <c r="E1006" s="4" t="inlineStr">
        <is>
          <t>Antlerless White-tailed Deer</t>
        </is>
      </c>
      <c r="F1006" s="4" t="inlineStr">
        <is>
          <t>Sep 05-Oct 18</t>
        </is>
      </c>
      <c r="G1006" s="4" t="inlineStr">
        <is>
          <t>Oct 24-Nov 29</t>
        </is>
      </c>
      <c r="H1006" s="4" t="inlineStr">
        <is>
          <t>Dec 12-Dec 20</t>
        </is>
      </c>
      <c r="I1006" s="4" t="n"/>
      <c r="J1006" s="4" t="inlineStr">
        <is>
          <t>Jun 1</t>
        </is>
      </c>
      <c r="K1006" s="4" t="inlineStr">
        <is>
          <t>25</t>
        </is>
      </c>
      <c r="L1006" s="4" t="n"/>
    </row>
    <row r="1007">
      <c r="A1007" s="4" t="inlineStr">
        <is>
          <t>201</t>
        </is>
      </c>
      <c r="B1007" s="4" t="inlineStr">
        <is>
          <t>whitetail</t>
        </is>
      </c>
      <c r="C1007" s="4" t="inlineStr">
        <is>
          <t>General Deer License</t>
        </is>
      </c>
      <c r="D1007" s="13" t="inlineStr">
        <is>
          <t>General license</t>
        </is>
      </c>
      <c r="E1007" s="4" t="inlineStr">
        <is>
          <t>Either-sex White-tailed Deer</t>
        </is>
      </c>
      <c r="F1007" s="4" t="inlineStr">
        <is>
          <t>Sep 05-Oct 18</t>
        </is>
      </c>
      <c r="G1007" s="4" t="inlineStr">
        <is>
          <t>Oct 24-Oct 30</t>
        </is>
      </c>
      <c r="H1007" s="4" t="n"/>
      <c r="I1007" s="4" t="n"/>
      <c r="J1007" s="4" t="n"/>
      <c r="K1007" s="4" t="n"/>
      <c r="L1007" s="4" t="n"/>
    </row>
    <row r="1008">
      <c r="A1008" s="4" t="inlineStr">
        <is>
          <t>201</t>
        </is>
      </c>
      <c r="B1008" s="4" t="inlineStr">
        <is>
          <t>whitetail</t>
        </is>
      </c>
      <c r="C1008" s="4" t="inlineStr">
        <is>
          <t>General Deer License</t>
        </is>
      </c>
      <c r="D1008" s="13" t="inlineStr">
        <is>
          <t>General license</t>
        </is>
      </c>
      <c r="E1008" s="4" t="inlineStr">
        <is>
          <t>Antlered Buck White-tailed Deer</t>
        </is>
      </c>
      <c r="F1008" s="4" t="n"/>
      <c r="G1008" s="4" t="inlineStr">
        <is>
          <t>Oct 31-Nov 29</t>
        </is>
      </c>
      <c r="H1008" s="4" t="inlineStr">
        <is>
          <t>Dec 12-Dec 20</t>
        </is>
      </c>
      <c r="I1008" s="4" t="n"/>
      <c r="J1008" s="4" t="n"/>
      <c r="K1008" s="4" t="n"/>
      <c r="L1008" s="4" t="n"/>
    </row>
    <row r="1009">
      <c r="A1009" s="4" t="inlineStr">
        <is>
          <t>201</t>
        </is>
      </c>
      <c r="B1009" s="4" t="inlineStr">
        <is>
          <t>whitetail</t>
        </is>
      </c>
      <c r="C1009" s="4" t="inlineStr">
        <is>
          <t>General Deer License</t>
        </is>
      </c>
      <c r="D1009" s="13" t="inlineStr">
        <is>
          <t>General license</t>
        </is>
      </c>
      <c r="E1009" s="4" t="inlineStr">
        <is>
          <t>Either-sex White-tailed Deer</t>
        </is>
      </c>
      <c r="F1009" s="4" t="n"/>
      <c r="G1009" s="4" t="inlineStr">
        <is>
          <t>Oct 31-Nov 29</t>
        </is>
      </c>
      <c r="H1009" s="4" t="inlineStr">
        <is>
          <t>Dec 12-Dec 20</t>
        </is>
      </c>
      <c r="I1009" s="4" t="n"/>
      <c r="J1009" s="4" t="n"/>
      <c r="K1009" s="4" t="n"/>
      <c r="L1009" s="4" t="inlineStr">
        <is>
          <t>Only youth ages 10-15.</t>
        </is>
      </c>
    </row>
    <row r="1010">
      <c r="A1010" s="4" t="inlineStr">
        <is>
          <t>201</t>
        </is>
      </c>
      <c r="B1010" s="4" t="inlineStr">
        <is>
          <t>whitetail</t>
        </is>
      </c>
      <c r="C1010" s="4" t="inlineStr">
        <is>
          <t>Deer B License: 201-00</t>
        </is>
      </c>
      <c r="D1010" s="15" t="inlineStr">
        <is>
          <t>Drawing</t>
        </is>
      </c>
      <c r="E1010" s="4" t="inlineStr">
        <is>
          <t>Antlerless White-tailed Deer</t>
        </is>
      </c>
      <c r="F1010" s="4" t="inlineStr">
        <is>
          <t>Sep 05-Oct 18</t>
        </is>
      </c>
      <c r="G1010" s="4" t="inlineStr">
        <is>
          <t>Oct 24-Nov 29</t>
        </is>
      </c>
      <c r="H1010" s="4" t="inlineStr">
        <is>
          <t>Dec 12-Dec 20</t>
        </is>
      </c>
      <c r="I1010" s="4" t="n"/>
      <c r="J1010" s="4" t="inlineStr">
        <is>
          <t>Jun 1</t>
        </is>
      </c>
      <c r="K1010" s="4" t="inlineStr">
        <is>
          <t>150</t>
        </is>
      </c>
      <c r="L1010" s="4" t="n"/>
    </row>
    <row r="1011">
      <c r="A1011" s="4" t="inlineStr">
        <is>
          <t>201</t>
        </is>
      </c>
      <c r="B1011" s="4" t="inlineStr">
        <is>
          <t>whitetail</t>
        </is>
      </c>
      <c r="C1011" s="4" t="inlineStr">
        <is>
          <t>Deer B License: 260-01</t>
        </is>
      </c>
      <c r="D1011" s="4" t="inlineStr">
        <is>
          <t>Over the counter</t>
        </is>
      </c>
      <c r="E1011" s="4" t="inlineStr">
        <is>
          <t>Antlerless White-tailed Deer</t>
        </is>
      </c>
      <c r="F1011" s="4" t="inlineStr">
        <is>
          <t>Sep 05-Oct 18</t>
        </is>
      </c>
      <c r="G1011" s="4" t="inlineStr">
        <is>
          <t>Oct 19-Nov 29</t>
        </is>
      </c>
      <c r="H1011" s="4" t="n"/>
      <c r="I1011" s="4" t="inlineStr">
        <is>
          <t>Nov 30-Jan 15</t>
        </is>
      </c>
      <c r="J1011" s="4" t="inlineStr">
        <is>
          <t>OTC: Jun 15</t>
        </is>
      </c>
      <c r="K1011" s="4" t="inlineStr">
        <is>
          <t>UNL</t>
        </is>
      </c>
      <c r="L1011" s="4" t="inlineStr">
        <is>
          <t>ArchEquip only. Hunters may purchase up to three 260-01 antlerless white-tailed deer B licenses per hunter. Only valid east of HWY 93 in HD 201. Also valid in 204, 240, 260, 261, 262, and 270.</t>
        </is>
      </c>
    </row>
    <row r="1012">
      <c r="A1012" s="4" t="inlineStr">
        <is>
          <t>202</t>
        </is>
      </c>
      <c r="B1012" s="4" t="inlineStr">
        <is>
          <t>whitetail</t>
        </is>
      </c>
      <c r="C1012" s="4" t="inlineStr">
        <is>
          <t>General Deer License</t>
        </is>
      </c>
      <c r="D1012" s="13" t="inlineStr">
        <is>
          <t>General license</t>
        </is>
      </c>
      <c r="E1012" s="4" t="inlineStr">
        <is>
          <t>Either-sex White-tailed Deer</t>
        </is>
      </c>
      <c r="F1012" s="4" t="inlineStr">
        <is>
          <t>Sep 05-Oct 18</t>
        </is>
      </c>
      <c r="G1012" s="4" t="inlineStr">
        <is>
          <t>Oct 24-Oct 30</t>
        </is>
      </c>
      <c r="H1012" s="4" t="n"/>
      <c r="I1012" s="4" t="n"/>
      <c r="J1012" s="4" t="n"/>
      <c r="K1012" s="4" t="n"/>
      <c r="L1012" s="4" t="n"/>
    </row>
    <row r="1013">
      <c r="A1013" s="4" t="inlineStr">
        <is>
          <t>202</t>
        </is>
      </c>
      <c r="B1013" s="4" t="inlineStr">
        <is>
          <t>whitetail</t>
        </is>
      </c>
      <c r="C1013" s="4" t="inlineStr">
        <is>
          <t>General Deer License</t>
        </is>
      </c>
      <c r="D1013" s="13" t="inlineStr">
        <is>
          <t>General license</t>
        </is>
      </c>
      <c r="E1013" s="4" t="inlineStr">
        <is>
          <t>Antlered Buck White-tailed Deer</t>
        </is>
      </c>
      <c r="F1013" s="4" t="n"/>
      <c r="G1013" s="4" t="inlineStr">
        <is>
          <t>Oct 31-Nov 29</t>
        </is>
      </c>
      <c r="H1013" s="4" t="inlineStr">
        <is>
          <t>Dec 12-Dec 20</t>
        </is>
      </c>
      <c r="I1013" s="4" t="n"/>
      <c r="J1013" s="4" t="n"/>
      <c r="K1013" s="4" t="n"/>
      <c r="L1013" s="4" t="n"/>
    </row>
    <row r="1014">
      <c r="A1014" s="4" t="inlineStr">
        <is>
          <t>202</t>
        </is>
      </c>
      <c r="B1014" s="4" t="inlineStr">
        <is>
          <t>whitetail</t>
        </is>
      </c>
      <c r="C1014" s="4" t="inlineStr">
        <is>
          <t>General Deer License</t>
        </is>
      </c>
      <c r="D1014" s="13" t="inlineStr">
        <is>
          <t>General license</t>
        </is>
      </c>
      <c r="E1014" s="4" t="inlineStr">
        <is>
          <t>Either-sex White-tailed Deer</t>
        </is>
      </c>
      <c r="F1014" s="4" t="n"/>
      <c r="G1014" s="4" t="inlineStr">
        <is>
          <t>Oct 31-Nov 29</t>
        </is>
      </c>
      <c r="H1014" s="4" t="inlineStr">
        <is>
          <t>Dec 12-Dec 20</t>
        </is>
      </c>
      <c r="I1014" s="4" t="n"/>
      <c r="J1014" s="4" t="n"/>
      <c r="K1014" s="4" t="n"/>
      <c r="L1014" s="4" t="inlineStr">
        <is>
          <t>Only youth ages 10-15.</t>
        </is>
      </c>
    </row>
    <row r="1015">
      <c r="A1015" s="4" t="inlineStr">
        <is>
          <t>202</t>
        </is>
      </c>
      <c r="B1015" s="4" t="inlineStr">
        <is>
          <t>whitetail</t>
        </is>
      </c>
      <c r="C1015" s="4" t="inlineStr">
        <is>
          <t>Deer B License: 202-00</t>
        </is>
      </c>
      <c r="D1015" s="15" t="inlineStr">
        <is>
          <t>Drawing</t>
        </is>
      </c>
      <c r="E1015" s="4" t="inlineStr">
        <is>
          <t>Antlerless White-tailed Deer</t>
        </is>
      </c>
      <c r="F1015" s="4" t="inlineStr">
        <is>
          <t>Sep 05-Oct 18</t>
        </is>
      </c>
      <c r="G1015" s="4" t="inlineStr">
        <is>
          <t>Oct 24-Nov 29</t>
        </is>
      </c>
      <c r="H1015" s="4" t="inlineStr">
        <is>
          <t>Dec 12-Dec 20</t>
        </is>
      </c>
      <c r="I1015" s="4" t="n"/>
      <c r="J1015" s="4" t="inlineStr">
        <is>
          <t>Jun 1</t>
        </is>
      </c>
      <c r="K1015" s="4" t="inlineStr">
        <is>
          <t>75</t>
        </is>
      </c>
      <c r="L1015" s="4" t="n"/>
    </row>
    <row r="1016">
      <c r="A1016" s="4" t="inlineStr">
        <is>
          <t>204</t>
        </is>
      </c>
      <c r="B1016" s="4" t="inlineStr">
        <is>
          <t>whitetail</t>
        </is>
      </c>
      <c r="C1016" s="4" t="inlineStr">
        <is>
          <t>General Deer License</t>
        </is>
      </c>
      <c r="D1016" s="13" t="inlineStr">
        <is>
          <t>General license</t>
        </is>
      </c>
      <c r="E1016" s="4" t="inlineStr">
        <is>
          <t>Either-sex White-tailed Deer</t>
        </is>
      </c>
      <c r="F1016" s="4" t="inlineStr">
        <is>
          <t>Sep 05-Oct 18</t>
        </is>
      </c>
      <c r="G1016" s="4" t="n"/>
      <c r="H1016" s="4" t="n"/>
      <c r="I1016" s="4" t="n"/>
      <c r="J1016" s="4" t="n"/>
      <c r="K1016" s="4" t="n"/>
      <c r="L1016" s="4" t="n"/>
    </row>
    <row r="1017">
      <c r="A1017" s="4" t="inlineStr">
        <is>
          <t>204</t>
        </is>
      </c>
      <c r="B1017" s="4" t="inlineStr">
        <is>
          <t>whitetail</t>
        </is>
      </c>
      <c r="C1017" s="4" t="inlineStr">
        <is>
          <t>General Deer License</t>
        </is>
      </c>
      <c r="D1017" s="13" t="inlineStr">
        <is>
          <t>General license</t>
        </is>
      </c>
      <c r="E1017" s="4" t="inlineStr">
        <is>
          <t>Either-sex White-tailed Deer</t>
        </is>
      </c>
      <c r="F1017" s="4" t="inlineStr">
        <is>
          <t>Sep 05-Oct 18</t>
        </is>
      </c>
      <c r="G1017" s="4" t="inlineStr">
        <is>
          <t>Oct 24-Nov 29</t>
        </is>
      </c>
      <c r="H1017" s="4" t="inlineStr">
        <is>
          <t>Dec 12-Dec 20</t>
        </is>
      </c>
      <c r="I1017" s="4" t="n"/>
      <c r="J1017" s="4" t="n"/>
      <c r="K1017" s="4" t="n"/>
      <c r="L1017" s="4" t="inlineStr">
        <is>
          <t>Private land only.</t>
        </is>
      </c>
    </row>
    <row r="1018">
      <c r="A1018" s="4" t="inlineStr">
        <is>
          <t>204</t>
        </is>
      </c>
      <c r="B1018" s="4" t="inlineStr">
        <is>
          <t>whitetail</t>
        </is>
      </c>
      <c r="C1018" s="4" t="inlineStr">
        <is>
          <t>General Deer License</t>
        </is>
      </c>
      <c r="D1018" s="13" t="inlineStr">
        <is>
          <t>General license</t>
        </is>
      </c>
      <c r="E1018" s="4" t="inlineStr">
        <is>
          <t>Antlered Buck White-tailed Deer</t>
        </is>
      </c>
      <c r="F1018" s="4" t="n"/>
      <c r="G1018" s="4" t="inlineStr">
        <is>
          <t>Oct 24-Nov 29</t>
        </is>
      </c>
      <c r="H1018" s="4" t="inlineStr">
        <is>
          <t>Dec 12-Dec 20</t>
        </is>
      </c>
      <c r="I1018" s="4" t="n"/>
      <c r="J1018" s="4" t="n"/>
      <c r="K1018" s="4" t="n"/>
      <c r="L1018" s="4" t="n"/>
    </row>
    <row r="1019">
      <c r="A1019" s="4" t="inlineStr">
        <is>
          <t>204</t>
        </is>
      </c>
      <c r="B1019" s="4" t="inlineStr">
        <is>
          <t>whitetail</t>
        </is>
      </c>
      <c r="C1019" s="4" t="inlineStr">
        <is>
          <t>General Deer License</t>
        </is>
      </c>
      <c r="D1019" s="13" t="inlineStr">
        <is>
          <t>General license</t>
        </is>
      </c>
      <c r="E1019" s="4" t="inlineStr">
        <is>
          <t>Either-sex White-tailed Deer</t>
        </is>
      </c>
      <c r="F1019" s="4" t="n"/>
      <c r="G1019" s="4" t="inlineStr">
        <is>
          <t>Oct 24-Nov 29</t>
        </is>
      </c>
      <c r="H1019" s="4" t="inlineStr">
        <is>
          <t>Dec 12-Dec 20</t>
        </is>
      </c>
      <c r="I1019" s="4" t="n"/>
      <c r="J1019" s="4" t="n"/>
      <c r="K1019" s="4" t="n"/>
      <c r="L1019" s="4" t="inlineStr">
        <is>
          <t>Only youth ages 10-15.</t>
        </is>
      </c>
    </row>
    <row r="1020">
      <c r="A1020" s="4" t="inlineStr">
        <is>
          <t>204</t>
        </is>
      </c>
      <c r="B1020" s="4" t="inlineStr">
        <is>
          <t>whitetail</t>
        </is>
      </c>
      <c r="C1020" s="4" t="inlineStr">
        <is>
          <t>Deer B License: 260-01</t>
        </is>
      </c>
      <c r="D1020" s="4" t="inlineStr">
        <is>
          <t>Over the counter</t>
        </is>
      </c>
      <c r="E1020" s="4" t="inlineStr">
        <is>
          <t>Antlerless White-tailed Deer</t>
        </is>
      </c>
      <c r="F1020" s="4" t="inlineStr">
        <is>
          <t>Sep 05-Oct 18</t>
        </is>
      </c>
      <c r="G1020" s="4" t="inlineStr">
        <is>
          <t>Oct 19-Nov 29</t>
        </is>
      </c>
      <c r="H1020" s="4" t="n"/>
      <c r="I1020" s="4" t="inlineStr">
        <is>
          <t>Nov 30-Jan 15</t>
        </is>
      </c>
      <c r="J1020" s="4" t="inlineStr">
        <is>
          <t>OTC: Jun 15</t>
        </is>
      </c>
      <c r="K1020" s="4" t="inlineStr">
        <is>
          <t>UNL</t>
        </is>
      </c>
      <c r="L1020" s="4" t="inlineStr">
        <is>
          <t>ArchEquip only. Hunters may purchase up to three 260-01 antlerless white-tailed deer B licenses per hunter. Only valid in HDs 201 east of Hwy 93, 204, 240, 260, 261, 262, and 270.</t>
        </is>
      </c>
    </row>
    <row r="1021">
      <c r="A1021" s="4" t="inlineStr">
        <is>
          <t>204</t>
        </is>
      </c>
      <c r="B1021" s="4" t="inlineStr">
        <is>
          <t>whitetail</t>
        </is>
      </c>
      <c r="C1021" s="4" t="inlineStr">
        <is>
          <t>Deer B License: 299-00</t>
        </is>
      </c>
      <c r="D1021" s="4" t="inlineStr">
        <is>
          <t>Over the counter</t>
        </is>
      </c>
      <c r="E1021" s="4" t="inlineStr">
        <is>
          <t>Antlerless White-tailed Deer</t>
        </is>
      </c>
      <c r="F1021" s="4" t="inlineStr">
        <is>
          <t>Sep 05-Oct 18</t>
        </is>
      </c>
      <c r="G1021" s="4" t="inlineStr">
        <is>
          <t>Oct 24-Nov 29</t>
        </is>
      </c>
      <c r="H1021" s="4" t="inlineStr">
        <is>
          <t>Dec 12-Dec 20</t>
        </is>
      </c>
      <c r="I1021" s="4" t="n"/>
      <c r="J1021" s="4" t="inlineStr">
        <is>
          <t>OTC: Jun 15</t>
        </is>
      </c>
      <c r="K1021" s="4" t="inlineStr">
        <is>
          <t>UNL</t>
        </is>
      </c>
      <c r="L1021" s="4" t="inlineStr">
        <is>
          <t>One per hunter. Only valid on private land in HDs 204, 240, 261, and 270. 2026 Deer • Elk • Antelope Visit fwp.mt.gov LICENSE/PERMIT OPPORTUNITY APPL Y BY DATE QUOTA QUOTA RANGE EARL Y SEASON DATES ARCHERY ONL Y SEASON DATES GENERAL SEASON DATES HERITAGE MUZZLELOADER SEASON DATES LATE SEASON DATES O</t>
        </is>
      </c>
    </row>
    <row r="1022">
      <c r="A1022" s="4" t="inlineStr">
        <is>
          <t>210</t>
        </is>
      </c>
      <c r="B1022" s="4" t="inlineStr">
        <is>
          <t>whitetail</t>
        </is>
      </c>
      <c r="C1022" s="4" t="inlineStr">
        <is>
          <t>General Deer License</t>
        </is>
      </c>
      <c r="D1022" s="13" t="inlineStr">
        <is>
          <t>General license</t>
        </is>
      </c>
      <c r="E1022" s="4" t="inlineStr">
        <is>
          <t>Either-sex White-tailed Deer</t>
        </is>
      </c>
      <c r="F1022" s="4" t="inlineStr">
        <is>
          <t>Sep 05-Oct 18</t>
        </is>
      </c>
      <c r="G1022" s="4" t="inlineStr">
        <is>
          <t>Oct 24-Oct 30</t>
        </is>
      </c>
      <c r="H1022" s="4" t="n"/>
      <c r="I1022" s="4" t="n"/>
      <c r="J1022" s="4" t="n"/>
      <c r="K1022" s="4" t="n"/>
      <c r="L1022" s="4" t="n"/>
    </row>
    <row r="1023">
      <c r="A1023" s="4" t="inlineStr">
        <is>
          <t>210</t>
        </is>
      </c>
      <c r="B1023" s="4" t="inlineStr">
        <is>
          <t>whitetail</t>
        </is>
      </c>
      <c r="C1023" s="4" t="inlineStr">
        <is>
          <t>General Deer License</t>
        </is>
      </c>
      <c r="D1023" s="13" t="inlineStr">
        <is>
          <t>General license</t>
        </is>
      </c>
      <c r="E1023" s="4" t="inlineStr">
        <is>
          <t>Antlered Buck White-tailed Deer</t>
        </is>
      </c>
      <c r="F1023" s="4" t="n"/>
      <c r="G1023" s="4" t="inlineStr">
        <is>
          <t>Oct 31-Nov 29</t>
        </is>
      </c>
      <c r="H1023" s="4" t="inlineStr">
        <is>
          <t>Dec 12-Dec 20</t>
        </is>
      </c>
      <c r="I1023" s="4" t="n"/>
      <c r="J1023" s="4" t="n"/>
      <c r="K1023" s="4" t="n"/>
      <c r="L1023" s="4" t="n"/>
    </row>
    <row r="1024">
      <c r="A1024" s="4" t="inlineStr">
        <is>
          <t>210</t>
        </is>
      </c>
      <c r="B1024" s="4" t="inlineStr">
        <is>
          <t>whitetail</t>
        </is>
      </c>
      <c r="C1024" s="4" t="inlineStr">
        <is>
          <t>General Deer License</t>
        </is>
      </c>
      <c r="D1024" s="13" t="inlineStr">
        <is>
          <t>General license</t>
        </is>
      </c>
      <c r="E1024" s="4" t="inlineStr">
        <is>
          <t>Either-sex White-tailed Deer</t>
        </is>
      </c>
      <c r="F1024" s="4" t="n"/>
      <c r="G1024" s="4" t="inlineStr">
        <is>
          <t>Oct 31-Nov 29</t>
        </is>
      </c>
      <c r="H1024" s="4" t="inlineStr">
        <is>
          <t>Dec 12-Dec 20</t>
        </is>
      </c>
      <c r="I1024" s="4" t="n"/>
      <c r="J1024" s="4" t="n"/>
      <c r="K1024" s="4" t="n"/>
      <c r="L1024" s="4" t="inlineStr">
        <is>
          <t>Only youth ages 10-15.</t>
        </is>
      </c>
    </row>
    <row r="1025">
      <c r="A1025" s="4" t="inlineStr">
        <is>
          <t>210</t>
        </is>
      </c>
      <c r="B1025" s="4" t="inlineStr">
        <is>
          <t>whitetail</t>
        </is>
      </c>
      <c r="C1025" s="4" t="inlineStr">
        <is>
          <t>Deer B License: 210-00</t>
        </is>
      </c>
      <c r="D1025" s="15" t="inlineStr">
        <is>
          <t>Drawing</t>
        </is>
      </c>
      <c r="E1025" s="4" t="inlineStr">
        <is>
          <t>Antlerless White-tailed Deer</t>
        </is>
      </c>
      <c r="F1025" s="4" t="inlineStr">
        <is>
          <t>Sep 05-Oct 18</t>
        </is>
      </c>
      <c r="G1025" s="4" t="inlineStr">
        <is>
          <t>Oct 24-Nov 29</t>
        </is>
      </c>
      <c r="H1025" s="4" t="inlineStr">
        <is>
          <t>Dec 12-Dec 20</t>
        </is>
      </c>
      <c r="I1025" s="4" t="n"/>
      <c r="J1025" s="4" t="inlineStr">
        <is>
          <t>Jun 1</t>
        </is>
      </c>
      <c r="K1025" s="4" t="inlineStr">
        <is>
          <t>75</t>
        </is>
      </c>
      <c r="L1025" s="4" t="n"/>
    </row>
    <row r="1026">
      <c r="A1026" s="4" t="inlineStr">
        <is>
          <t>210</t>
        </is>
      </c>
      <c r="B1026" s="4" t="inlineStr">
        <is>
          <t>whitetail</t>
        </is>
      </c>
      <c r="C1026" s="4" t="inlineStr">
        <is>
          <t>Deer B License: 210-02</t>
        </is>
      </c>
      <c r="D1026" s="4" t="inlineStr">
        <is>
          <t>Over the counter</t>
        </is>
      </c>
      <c r="E1026" s="4" t="inlineStr">
        <is>
          <t>Antlerless White-tailed Deer</t>
        </is>
      </c>
      <c r="F1026" s="4" t="inlineStr">
        <is>
          <t>Sep 05-Oct 18</t>
        </is>
      </c>
      <c r="G1026" s="4" t="inlineStr">
        <is>
          <t>Oct 24-Nov 29</t>
        </is>
      </c>
      <c r="H1026" s="4" t="n"/>
      <c r="I1026" s="4" t="inlineStr">
        <is>
          <t>Nov 30-Jan 01</t>
        </is>
      </c>
      <c r="J1026" s="4" t="inlineStr">
        <is>
          <t>OTC: Jun 15</t>
        </is>
      </c>
      <c r="K1026" s="4" t="inlineStr">
        <is>
          <t>UNL</t>
        </is>
      </c>
      <c r="L1026" s="4" t="inlineStr">
        <is>
          <t>Valid outside the National Forest Boundary and NOT valid on FWP WMAs or BLM lands. Up to two per hunter.</t>
        </is>
      </c>
    </row>
    <row r="1027">
      <c r="A1027" s="4" t="inlineStr">
        <is>
          <t>211</t>
        </is>
      </c>
      <c r="B1027" s="4" t="inlineStr">
        <is>
          <t>whitetail</t>
        </is>
      </c>
      <c r="C1027" s="4" t="inlineStr">
        <is>
          <t>General Deer License</t>
        </is>
      </c>
      <c r="D1027" s="13" t="inlineStr">
        <is>
          <t>General license</t>
        </is>
      </c>
      <c r="E1027" s="4" t="inlineStr">
        <is>
          <t>Either-sex White-tailed Deer</t>
        </is>
      </c>
      <c r="F1027" s="4" t="inlineStr">
        <is>
          <t>Sep 05-Oct 18</t>
        </is>
      </c>
      <c r="G1027" s="4" t="inlineStr">
        <is>
          <t>Oct 24-Oct 30</t>
        </is>
      </c>
      <c r="H1027" s="4" t="n"/>
      <c r="I1027" s="4" t="n"/>
      <c r="J1027" s="4" t="n"/>
      <c r="K1027" s="4" t="n"/>
      <c r="L1027" s="4" t="n"/>
    </row>
    <row r="1028">
      <c r="A1028" s="4" t="inlineStr">
        <is>
          <t>211</t>
        </is>
      </c>
      <c r="B1028" s="4" t="inlineStr">
        <is>
          <t>whitetail</t>
        </is>
      </c>
      <c r="C1028" s="4" t="inlineStr">
        <is>
          <t>General Deer License</t>
        </is>
      </c>
      <c r="D1028" s="13" t="inlineStr">
        <is>
          <t>General license</t>
        </is>
      </c>
      <c r="E1028" s="4" t="inlineStr">
        <is>
          <t>Antlered Buck White-tailed Deer</t>
        </is>
      </c>
      <c r="F1028" s="4" t="n"/>
      <c r="G1028" s="4" t="inlineStr">
        <is>
          <t>Oct 31-Nov 29</t>
        </is>
      </c>
      <c r="H1028" s="4" t="inlineStr">
        <is>
          <t>Dec 12-Dec 20</t>
        </is>
      </c>
      <c r="I1028" s="4" t="n"/>
      <c r="J1028" s="4" t="n"/>
      <c r="K1028" s="4" t="n"/>
      <c r="L1028" s="4" t="n"/>
    </row>
    <row r="1029">
      <c r="A1029" s="4" t="inlineStr">
        <is>
          <t>211</t>
        </is>
      </c>
      <c r="B1029" s="4" t="inlineStr">
        <is>
          <t>whitetail</t>
        </is>
      </c>
      <c r="C1029" s="4" t="inlineStr">
        <is>
          <t>General Deer License</t>
        </is>
      </c>
      <c r="D1029" s="13" t="inlineStr">
        <is>
          <t>General license</t>
        </is>
      </c>
      <c r="E1029" s="4" t="inlineStr">
        <is>
          <t>Either-sex White-tailed Deer</t>
        </is>
      </c>
      <c r="F1029" s="4" t="n"/>
      <c r="G1029" s="4" t="inlineStr">
        <is>
          <t>Oct 31-Nov 29</t>
        </is>
      </c>
      <c r="H1029" s="4" t="inlineStr">
        <is>
          <t>Dec 12-Dec 20</t>
        </is>
      </c>
      <c r="I1029" s="4" t="n"/>
      <c r="J1029" s="4" t="n"/>
      <c r="K1029" s="4" t="n"/>
      <c r="L1029" s="4" t="inlineStr">
        <is>
          <t>Only youth ages 10-15.</t>
        </is>
      </c>
    </row>
    <row r="1030">
      <c r="A1030" s="4" t="inlineStr">
        <is>
          <t>211</t>
        </is>
      </c>
      <c r="B1030" s="4" t="inlineStr">
        <is>
          <t>whitetail</t>
        </is>
      </c>
      <c r="C1030" s="4" t="inlineStr">
        <is>
          <t>Deer B License: 211-00</t>
        </is>
      </c>
      <c r="D1030" s="15" t="inlineStr">
        <is>
          <t>Drawing</t>
        </is>
      </c>
      <c r="E1030" s="4" t="inlineStr">
        <is>
          <t>Antlerless White-tailed Deer</t>
        </is>
      </c>
      <c r="F1030" s="4" t="inlineStr">
        <is>
          <t>Sep 05-Oct 18</t>
        </is>
      </c>
      <c r="G1030" s="4" t="inlineStr">
        <is>
          <t>Oct 24-Nov 29</t>
        </is>
      </c>
      <c r="H1030" s="4" t="inlineStr">
        <is>
          <t>Dec 12-Dec 20</t>
        </is>
      </c>
      <c r="I1030" s="4" t="n"/>
      <c r="J1030" s="4" t="inlineStr">
        <is>
          <t>Jun 1</t>
        </is>
      </c>
      <c r="K1030" s="4" t="inlineStr">
        <is>
          <t>25</t>
        </is>
      </c>
      <c r="L1030" s="4" t="n"/>
    </row>
    <row r="1031">
      <c r="A1031" s="4" t="inlineStr">
        <is>
          <t>212</t>
        </is>
      </c>
      <c r="B1031" s="4" t="inlineStr">
        <is>
          <t>whitetail</t>
        </is>
      </c>
      <c r="C1031" s="4" t="inlineStr">
        <is>
          <t>General Deer License</t>
        </is>
      </c>
      <c r="D1031" s="13" t="inlineStr">
        <is>
          <t>General license</t>
        </is>
      </c>
      <c r="E1031" s="4" t="inlineStr">
        <is>
          <t>Either-sex White-tailed Deer</t>
        </is>
      </c>
      <c r="F1031" s="4" t="inlineStr">
        <is>
          <t>Sep 05-Oct 18</t>
        </is>
      </c>
      <c r="G1031" s="4" t="inlineStr">
        <is>
          <t>Oct 24-Nov 29</t>
        </is>
      </c>
      <c r="H1031" s="4" t="inlineStr">
        <is>
          <t>Dec 12-Dec 20</t>
        </is>
      </c>
      <c r="I1031" s="4" t="n"/>
      <c r="J1031" s="4" t="n"/>
      <c r="K1031" s="4" t="n"/>
      <c r="L1031" s="4" t="n"/>
    </row>
    <row r="1032">
      <c r="A1032" s="4" t="inlineStr">
        <is>
          <t>212</t>
        </is>
      </c>
      <c r="B1032" s="4" t="inlineStr">
        <is>
          <t>whitetail</t>
        </is>
      </c>
      <c r="C1032" s="4" t="inlineStr">
        <is>
          <t>Deer B License: 212-02</t>
        </is>
      </c>
      <c r="D1032" s="4" t="inlineStr">
        <is>
          <t>Over the counter</t>
        </is>
      </c>
      <c r="E1032" s="4" t="inlineStr">
        <is>
          <t>Antlerless White-tailed Deer</t>
        </is>
      </c>
      <c r="F1032" s="4" t="inlineStr">
        <is>
          <t>Sep 05-Oct 18</t>
        </is>
      </c>
      <c r="G1032" s="4" t="inlineStr">
        <is>
          <t>Oct 24-Nov 29</t>
        </is>
      </c>
      <c r="H1032" s="4" t="n"/>
      <c r="I1032" s="4" t="inlineStr">
        <is>
          <t>Nov 30-Jan 01</t>
        </is>
      </c>
      <c r="J1032" s="4" t="inlineStr">
        <is>
          <t>OTC: Jun 15</t>
        </is>
      </c>
      <c r="K1032" s="4" t="inlineStr">
        <is>
          <t>UNL</t>
        </is>
      </c>
      <c r="L1032" s="4" t="inlineStr">
        <is>
          <t>Valid outside the National Forest Boundary and NOT valid on FWP WMAs or BLM lands. One per hunter.</t>
        </is>
      </c>
    </row>
    <row r="1033">
      <c r="A1033" s="4" t="inlineStr">
        <is>
          <t>213</t>
        </is>
      </c>
      <c r="B1033" s="4" t="inlineStr">
        <is>
          <t>whitetail</t>
        </is>
      </c>
      <c r="C1033" s="4" t="inlineStr">
        <is>
          <t>General Deer License</t>
        </is>
      </c>
      <c r="D1033" s="13" t="inlineStr">
        <is>
          <t>General license</t>
        </is>
      </c>
      <c r="E1033" s="4" t="inlineStr">
        <is>
          <t>Either-sex White-tailed Deer</t>
        </is>
      </c>
      <c r="F1033" s="4" t="inlineStr">
        <is>
          <t>Sep 05-Oct 18</t>
        </is>
      </c>
      <c r="G1033" s="4" t="inlineStr">
        <is>
          <t>Oct 24-Nov 29</t>
        </is>
      </c>
      <c r="H1033" s="4" t="inlineStr">
        <is>
          <t>Dec 12-Dec 20</t>
        </is>
      </c>
      <c r="I1033" s="4" t="n"/>
      <c r="J1033" s="4" t="n"/>
      <c r="K1033" s="4" t="n"/>
      <c r="L1033" s="4" t="n"/>
    </row>
    <row r="1034">
      <c r="A1034" s="4" t="inlineStr">
        <is>
          <t>213</t>
        </is>
      </c>
      <c r="B1034" s="4" t="inlineStr">
        <is>
          <t>whitetail</t>
        </is>
      </c>
      <c r="C1034" s="4" t="inlineStr">
        <is>
          <t>General Deer License</t>
        </is>
      </c>
      <c r="D1034" s="13" t="inlineStr">
        <is>
          <t>General license</t>
        </is>
      </c>
      <c r="E1034" s="4" t="inlineStr">
        <is>
          <t>Either-sex White-tailed Deer</t>
        </is>
      </c>
      <c r="F1034" s="4" t="n"/>
      <c r="G1034" s="4" t="n"/>
      <c r="H1034" s="4" t="n"/>
      <c r="I1034" s="4" t="inlineStr">
        <is>
          <t>Nov 30-Jan 01</t>
        </is>
      </c>
      <c r="J1034" s="4" t="n"/>
      <c r="K1034" s="4" t="n"/>
      <c r="L1034" s="4" t="inlineStr">
        <is>
          <t>Only valid on Prison Ranch ArchEquip only area.</t>
        </is>
      </c>
    </row>
    <row r="1035">
      <c r="A1035" s="4" t="inlineStr">
        <is>
          <t>213</t>
        </is>
      </c>
      <c r="B1035" s="4" t="inlineStr">
        <is>
          <t>whitetail</t>
        </is>
      </c>
      <c r="C1035" s="4" t="inlineStr">
        <is>
          <t>Deer B License: 213-02</t>
        </is>
      </c>
      <c r="D1035" s="4" t="inlineStr">
        <is>
          <t>Over the counter</t>
        </is>
      </c>
      <c r="E1035" s="4" t="inlineStr">
        <is>
          <t>Antlerless White-tailed Deer</t>
        </is>
      </c>
      <c r="F1035" s="4" t="inlineStr">
        <is>
          <t>Sep 05-Oct 18</t>
        </is>
      </c>
      <c r="G1035" s="4" t="inlineStr">
        <is>
          <t>Oct 24-Nov 29</t>
        </is>
      </c>
      <c r="H1035" s="4" t="inlineStr">
        <is>
          <t>Dec 12-Dec 20</t>
        </is>
      </c>
      <c r="I1035" s="4" t="n"/>
      <c r="J1035" s="4" t="inlineStr">
        <is>
          <t>OTC: Jun 15</t>
        </is>
      </c>
      <c r="K1035" s="4" t="inlineStr">
        <is>
          <t>UNL</t>
        </is>
      </c>
      <c r="L1035" s="4" t="inlineStr">
        <is>
          <t>Valid outside the National Forest Boundary and NOT valid on FWP WMAs or BLM lands. Up to two per hunter. Valid on private lands and also valid on Prison Ranch ArchEquip only area. Up to two per hunter.</t>
        </is>
      </c>
    </row>
    <row r="1036">
      <c r="A1036" s="4" t="inlineStr">
        <is>
          <t>213</t>
        </is>
      </c>
      <c r="B1036" s="4" t="inlineStr">
        <is>
          <t>whitetail</t>
        </is>
      </c>
      <c r="C1036" s="4" t="inlineStr">
        <is>
          <t>Deer B License: 213-20</t>
        </is>
      </c>
      <c r="D1036" s="4" t="inlineStr">
        <is>
          <t>Over the counter</t>
        </is>
      </c>
      <c r="E1036" s="4" t="inlineStr">
        <is>
          <t>Either-sex White-tailed Deer</t>
        </is>
      </c>
      <c r="F1036" s="4" t="inlineStr">
        <is>
          <t>Sep 05-Oct 23</t>
        </is>
      </c>
      <c r="G1036" s="4" t="inlineStr">
        <is>
          <t>Oct 24-Nov 29</t>
        </is>
      </c>
      <c r="H1036" s="4" t="n"/>
      <c r="I1036" s="4" t="inlineStr">
        <is>
          <t>Nov 30-Jan 01</t>
        </is>
      </c>
      <c r="J1036" s="4" t="inlineStr">
        <is>
          <t>OTC: Jun 15</t>
        </is>
      </c>
      <c r="K1036" s="4" t="inlineStr">
        <is>
          <t>UNL</t>
        </is>
      </c>
      <c r="L1036" s="4" t="inlineStr">
        <is>
          <t>Up to two per hunter. Only valid on the Prison Ranch ArchEquip only area. Legal description and map available from FWP-R2 HQ 406- 542-5500.</t>
        </is>
      </c>
    </row>
    <row r="1037">
      <c r="A1037" s="4" t="inlineStr">
        <is>
          <t>214</t>
        </is>
      </c>
      <c r="B1037" s="4" t="inlineStr">
        <is>
          <t>whitetail</t>
        </is>
      </c>
      <c r="C1037" s="4" t="inlineStr">
        <is>
          <t>General Deer License</t>
        </is>
      </c>
      <c r="D1037" s="13" t="inlineStr">
        <is>
          <t>General license</t>
        </is>
      </c>
      <c r="E1037" s="4" t="inlineStr">
        <is>
          <t>Either-sex White-tailed Deer</t>
        </is>
      </c>
      <c r="F1037" s="4" t="inlineStr">
        <is>
          <t>Sep 05-Oct 18</t>
        </is>
      </c>
      <c r="G1037" s="4" t="inlineStr">
        <is>
          <t>Oct 24-Oct 30</t>
        </is>
      </c>
      <c r="H1037" s="4" t="n"/>
      <c r="I1037" s="4" t="n"/>
      <c r="J1037" s="4" t="n"/>
      <c r="K1037" s="4" t="n"/>
      <c r="L1037" s="4" t="n"/>
    </row>
    <row r="1038">
      <c r="A1038" s="4" t="inlineStr">
        <is>
          <t>214</t>
        </is>
      </c>
      <c r="B1038" s="4" t="inlineStr">
        <is>
          <t>whitetail</t>
        </is>
      </c>
      <c r="C1038" s="4" t="inlineStr">
        <is>
          <t>General Deer License</t>
        </is>
      </c>
      <c r="D1038" s="13" t="inlineStr">
        <is>
          <t>General license</t>
        </is>
      </c>
      <c r="E1038" s="4" t="inlineStr">
        <is>
          <t>Antlered Buck White-tailed Deer</t>
        </is>
      </c>
      <c r="F1038" s="4" t="n"/>
      <c r="G1038" s="4" t="inlineStr">
        <is>
          <t>Oct 31-Nov 29</t>
        </is>
      </c>
      <c r="H1038" s="4" t="inlineStr">
        <is>
          <t>Dec 12-Dec 20</t>
        </is>
      </c>
      <c r="I1038" s="4" t="n"/>
      <c r="J1038" s="4" t="n"/>
      <c r="K1038" s="4" t="n"/>
      <c r="L1038" s="4" t="n"/>
    </row>
    <row r="1039">
      <c r="A1039" s="4" t="inlineStr">
        <is>
          <t>214</t>
        </is>
      </c>
      <c r="B1039" s="4" t="inlineStr">
        <is>
          <t>whitetail</t>
        </is>
      </c>
      <c r="C1039" s="4" t="inlineStr">
        <is>
          <t>General Deer License</t>
        </is>
      </c>
      <c r="D1039" s="13" t="inlineStr">
        <is>
          <t>General license</t>
        </is>
      </c>
      <c r="E1039" s="4" t="inlineStr">
        <is>
          <t>Either-sex White-tailed Deer</t>
        </is>
      </c>
      <c r="F1039" s="4" t="n"/>
      <c r="G1039" s="4" t="inlineStr">
        <is>
          <t>Oct 31-Nov 29</t>
        </is>
      </c>
      <c r="H1039" s="4" t="inlineStr">
        <is>
          <t>Dec 12-Dec 20</t>
        </is>
      </c>
      <c r="I1039" s="4" t="n"/>
      <c r="J1039" s="4" t="n"/>
      <c r="K1039" s="4" t="n"/>
      <c r="L1039" s="4" t="inlineStr">
        <is>
          <t>Only youth ages 10-15.</t>
        </is>
      </c>
    </row>
    <row r="1040">
      <c r="A1040" s="4" t="inlineStr">
        <is>
          <t>215</t>
        </is>
      </c>
      <c r="B1040" s="4" t="inlineStr">
        <is>
          <t>whitetail</t>
        </is>
      </c>
      <c r="C1040" s="4" t="inlineStr">
        <is>
          <t>General Deer License</t>
        </is>
      </c>
      <c r="D1040" s="13" t="inlineStr">
        <is>
          <t>General license</t>
        </is>
      </c>
      <c r="E1040" s="4" t="inlineStr">
        <is>
          <t>Either-sex White-tailed Deer</t>
        </is>
      </c>
      <c r="F1040" s="4" t="inlineStr">
        <is>
          <t>Sep 05-Oct 18</t>
        </is>
      </c>
      <c r="G1040" s="4" t="inlineStr">
        <is>
          <t>Oct 24-Nov 29</t>
        </is>
      </c>
      <c r="H1040" s="4" t="inlineStr">
        <is>
          <t>Dec 12-Dec 20</t>
        </is>
      </c>
      <c r="I1040" s="4" t="n"/>
      <c r="J1040" s="4" t="n"/>
      <c r="K1040" s="4" t="n"/>
      <c r="L1040" s="4" t="n"/>
    </row>
    <row r="1041">
      <c r="A1041" s="4" t="inlineStr">
        <is>
          <t>215</t>
        </is>
      </c>
      <c r="B1041" s="4" t="inlineStr">
        <is>
          <t>whitetail</t>
        </is>
      </c>
      <c r="C1041" s="4" t="inlineStr">
        <is>
          <t>Deer B License: 215-02</t>
        </is>
      </c>
      <c r="D1041" s="4" t="inlineStr">
        <is>
          <t>Over the counter</t>
        </is>
      </c>
      <c r="E1041" s="4" t="inlineStr">
        <is>
          <t>Antlerless White-tailed Deer</t>
        </is>
      </c>
      <c r="F1041" s="4" t="inlineStr">
        <is>
          <t>Sep 05-Oct 18</t>
        </is>
      </c>
      <c r="G1041" s="4" t="inlineStr">
        <is>
          <t>Oct 24-Nov 29</t>
        </is>
      </c>
      <c r="H1041" s="4" t="inlineStr">
        <is>
          <t>Dec 12-Dec 20</t>
        </is>
      </c>
      <c r="I1041" s="4" t="n"/>
      <c r="J1041" s="4" t="inlineStr">
        <is>
          <t>OTC: Jun 15</t>
        </is>
      </c>
      <c r="K1041" s="4" t="inlineStr">
        <is>
          <t>UNL</t>
        </is>
      </c>
      <c r="L1041" s="4" t="inlineStr">
        <is>
          <t>Valid outside the National Forest Boundary and NOT valid on FWP WMAs or BLM lands. One per hunter. Only valid on private lands outside the National Forest Boundary and NOT valid on FWP WMAs or BLM lands. One per hunter.</t>
        </is>
      </c>
    </row>
    <row r="1042">
      <c r="A1042" s="4" t="inlineStr">
        <is>
          <t>216</t>
        </is>
      </c>
      <c r="B1042" s="4" t="inlineStr">
        <is>
          <t>whitetail</t>
        </is>
      </c>
      <c r="C1042" s="4" t="inlineStr">
        <is>
          <t>General Deer License</t>
        </is>
      </c>
      <c r="D1042" s="13" t="inlineStr">
        <is>
          <t>General license</t>
        </is>
      </c>
      <c r="E1042" s="4" t="inlineStr">
        <is>
          <t>Either-sex White-tailed Deer</t>
        </is>
      </c>
      <c r="F1042" s="4" t="inlineStr">
        <is>
          <t>Sep 05-Oct 18</t>
        </is>
      </c>
      <c r="G1042" s="4" t="inlineStr">
        <is>
          <t>Oct 24-Oct 30</t>
        </is>
      </c>
      <c r="H1042" s="4" t="n"/>
      <c r="I1042" s="4" t="n"/>
      <c r="J1042" s="4" t="n"/>
      <c r="K1042" s="4" t="n"/>
      <c r="L1042" s="4" t="n"/>
    </row>
    <row r="1043">
      <c r="A1043" s="4" t="inlineStr">
        <is>
          <t>216</t>
        </is>
      </c>
      <c r="B1043" s="4" t="inlineStr">
        <is>
          <t>whitetail</t>
        </is>
      </c>
      <c r="C1043" s="4" t="inlineStr">
        <is>
          <t>General Deer License</t>
        </is>
      </c>
      <c r="D1043" s="13" t="inlineStr">
        <is>
          <t>General license</t>
        </is>
      </c>
      <c r="E1043" s="4" t="inlineStr">
        <is>
          <t>Antlered Buck White-tailed Deer</t>
        </is>
      </c>
      <c r="F1043" s="4" t="n"/>
      <c r="G1043" s="4" t="inlineStr">
        <is>
          <t>Oct 31-Nov 29</t>
        </is>
      </c>
      <c r="H1043" s="4" t="inlineStr">
        <is>
          <t>Dec 12-Dec 20</t>
        </is>
      </c>
      <c r="I1043" s="4" t="n"/>
      <c r="J1043" s="4" t="n"/>
      <c r="K1043" s="4" t="n"/>
      <c r="L1043" s="4" t="n"/>
    </row>
    <row r="1044">
      <c r="A1044" s="4" t="inlineStr">
        <is>
          <t>216</t>
        </is>
      </c>
      <c r="B1044" s="4" t="inlineStr">
        <is>
          <t>whitetail</t>
        </is>
      </c>
      <c r="C1044" s="4" t="inlineStr">
        <is>
          <t>General Deer License</t>
        </is>
      </c>
      <c r="D1044" s="13" t="inlineStr">
        <is>
          <t>General license</t>
        </is>
      </c>
      <c r="E1044" s="4" t="inlineStr">
        <is>
          <t>Either-sex White-tailed Deer</t>
        </is>
      </c>
      <c r="F1044" s="4" t="n"/>
      <c r="G1044" s="4" t="inlineStr">
        <is>
          <t>Oct 31-Nov 29</t>
        </is>
      </c>
      <c r="H1044" s="4" t="inlineStr">
        <is>
          <t>Dec 12-Dec 20</t>
        </is>
      </c>
      <c r="I1044" s="4" t="n"/>
      <c r="J1044" s="4" t="n"/>
      <c r="K1044" s="4" t="n"/>
      <c r="L1044" s="4" t="inlineStr">
        <is>
          <t>Only youth ages 10-15.</t>
        </is>
      </c>
    </row>
    <row r="1045">
      <c r="A1045" s="4" t="inlineStr">
        <is>
          <t>216</t>
        </is>
      </c>
      <c r="B1045" s="4" t="inlineStr">
        <is>
          <t>whitetail</t>
        </is>
      </c>
      <c r="C1045" s="4" t="inlineStr">
        <is>
          <t>Deer B License: 216-00</t>
        </is>
      </c>
      <c r="D1045" s="15" t="inlineStr">
        <is>
          <t>Drawing</t>
        </is>
      </c>
      <c r="E1045" s="4" t="inlineStr">
        <is>
          <t>Antlerless White-tailed Deer</t>
        </is>
      </c>
      <c r="F1045" s="4" t="inlineStr">
        <is>
          <t>Sep 05-Oct 18</t>
        </is>
      </c>
      <c r="G1045" s="4" t="inlineStr">
        <is>
          <t>Oct 24-Nov 29</t>
        </is>
      </c>
      <c r="H1045" s="4" t="inlineStr">
        <is>
          <t>Dec 12-Dec 20</t>
        </is>
      </c>
      <c r="I1045" s="4" t="n"/>
      <c r="J1045" s="4" t="inlineStr">
        <is>
          <t>Jun 1</t>
        </is>
      </c>
      <c r="K1045" s="4" t="inlineStr">
        <is>
          <t>25</t>
        </is>
      </c>
      <c r="L1045" s="4" t="n"/>
    </row>
    <row r="1046">
      <c r="A1046" s="4" t="inlineStr">
        <is>
          <t>216</t>
        </is>
      </c>
      <c r="B1046" s="4" t="inlineStr">
        <is>
          <t>whitetail</t>
        </is>
      </c>
      <c r="C1046" s="4" t="inlineStr">
        <is>
          <t>Deer B License: 216-01</t>
        </is>
      </c>
      <c r="D1046" s="4" t="inlineStr">
        <is>
          <t>Over the counter</t>
        </is>
      </c>
      <c r="E1046" s="4" t="inlineStr">
        <is>
          <t>Antlerless White-tailed Deer</t>
        </is>
      </c>
      <c r="F1046" s="4" t="inlineStr">
        <is>
          <t>Sep 05-Oct 18</t>
        </is>
      </c>
      <c r="G1046" s="4" t="inlineStr">
        <is>
          <t>Oct 24-Nov 29</t>
        </is>
      </c>
      <c r="H1046" s="4" t="n"/>
      <c r="I1046" s="4" t="inlineStr">
        <is>
          <t>Nov 30-Jan 01</t>
        </is>
      </c>
      <c r="J1046" s="4" t="inlineStr">
        <is>
          <t>OTC: Jun 15</t>
        </is>
      </c>
      <c r="K1046" s="4" t="inlineStr">
        <is>
          <t>UNL</t>
        </is>
      </c>
      <c r="L1046" s="4" t="inlineStr">
        <is>
          <t>Valid outside the National Forest Boundary. NOT valid on BLM lands. One per hunter.</t>
        </is>
      </c>
    </row>
    <row r="1047">
      <c r="A1047" s="4" t="inlineStr">
        <is>
          <t>217</t>
        </is>
      </c>
      <c r="B1047" s="4" t="inlineStr">
        <is>
          <t>whitetail</t>
        </is>
      </c>
      <c r="C1047" s="4" t="inlineStr">
        <is>
          <t>General Deer License</t>
        </is>
      </c>
      <c r="D1047" s="13" t="inlineStr">
        <is>
          <t>General license</t>
        </is>
      </c>
      <c r="E1047" s="4" t="inlineStr">
        <is>
          <t>Either-sex White-tailed Deer</t>
        </is>
      </c>
      <c r="F1047" s="4" t="inlineStr">
        <is>
          <t>Sep 05-Oct 18</t>
        </is>
      </c>
      <c r="G1047" s="4" t="inlineStr">
        <is>
          <t>Oct 24-Nov 29</t>
        </is>
      </c>
      <c r="H1047" s="4" t="inlineStr">
        <is>
          <t>Dec 12-Dec 20</t>
        </is>
      </c>
      <c r="I1047" s="4" t="n"/>
      <c r="J1047" s="4" t="n"/>
      <c r="K1047" s="4" t="n"/>
      <c r="L1047" s="4" t="n"/>
    </row>
    <row r="1048">
      <c r="A1048" s="4" t="inlineStr">
        <is>
          <t>217</t>
        </is>
      </c>
      <c r="B1048" s="4" t="inlineStr">
        <is>
          <t>whitetail</t>
        </is>
      </c>
      <c r="C1048" s="4" t="inlineStr">
        <is>
          <t>Deer B License: 217-01</t>
        </is>
      </c>
      <c r="D1048" s="4" t="inlineStr">
        <is>
          <t>Over the counter</t>
        </is>
      </c>
      <c r="E1048" s="4" t="inlineStr">
        <is>
          <t>Antlerless White-tailed Deer</t>
        </is>
      </c>
      <c r="F1048" s="4" t="inlineStr">
        <is>
          <t>Sep 05-Oct 18</t>
        </is>
      </c>
      <c r="G1048" s="4" t="inlineStr">
        <is>
          <t>Oct 24-Nov 29</t>
        </is>
      </c>
      <c r="H1048" s="4" t="n"/>
      <c r="I1048" s="4" t="inlineStr">
        <is>
          <t>Nov 30-Jan 01</t>
        </is>
      </c>
      <c r="J1048" s="4" t="inlineStr">
        <is>
          <t>OTC: Jun 15</t>
        </is>
      </c>
      <c r="K1048" s="4" t="inlineStr">
        <is>
          <t>UNL</t>
        </is>
      </c>
      <c r="L1048" s="4" t="inlineStr">
        <is>
          <t xml:space="preserve">Valid outside the National Forest Boundary. NOT valid on BLM lands. Up to two per hunter. LICENSE/PERMIT OPPORTUNITY APPL Y BY DATE QUOTA QUOTA RANGE EARL Y SEASON DATES ARCHERY ONL Y SEASON DATES GENERAL SEASON DATES HERITAGE MUZZLELOADER SEASON DATES LATE SEASON DATES OPPORTUNITY SPECIFIC DETAILS </t>
        </is>
      </c>
    </row>
    <row r="1049">
      <c r="A1049" s="4" t="inlineStr">
        <is>
          <t>240</t>
        </is>
      </c>
      <c r="B1049" s="4" t="inlineStr">
        <is>
          <t>whitetail</t>
        </is>
      </c>
      <c r="C1049" s="4" t="inlineStr">
        <is>
          <t>General Deer License</t>
        </is>
      </c>
      <c r="D1049" s="13" t="inlineStr">
        <is>
          <t>General license</t>
        </is>
      </c>
      <c r="E1049" s="4" t="inlineStr">
        <is>
          <t>Either-sex White-tailed Deer</t>
        </is>
      </c>
      <c r="F1049" s="4" t="inlineStr">
        <is>
          <t>Sep 05-Oct 18</t>
        </is>
      </c>
      <c r="G1049" s="4" t="inlineStr">
        <is>
          <t>Oct 24-Nov 29</t>
        </is>
      </c>
      <c r="H1049" s="4" t="inlineStr">
        <is>
          <t>Dec 12-Dec 20</t>
        </is>
      </c>
      <c r="I1049" s="4" t="n"/>
      <c r="J1049" s="4" t="n"/>
      <c r="K1049" s="4" t="n"/>
      <c r="L1049" s="4" t="inlineStr">
        <is>
          <t>Only valid on private land.</t>
        </is>
      </c>
    </row>
    <row r="1050">
      <c r="A1050" s="4" t="inlineStr">
        <is>
          <t>240</t>
        </is>
      </c>
      <c r="B1050" s="4" t="inlineStr">
        <is>
          <t>whitetail</t>
        </is>
      </c>
      <c r="C1050" s="4" t="inlineStr">
        <is>
          <t>General Deer License</t>
        </is>
      </c>
      <c r="D1050" s="13" t="inlineStr">
        <is>
          <t>General license</t>
        </is>
      </c>
      <c r="E1050" s="4" t="inlineStr">
        <is>
          <t>Either-sex White-tailed Deer</t>
        </is>
      </c>
      <c r="F1050" s="4" t="inlineStr">
        <is>
          <t>Sep 05-Oct 18</t>
        </is>
      </c>
      <c r="G1050" s="4" t="n"/>
      <c r="H1050" s="4" t="n"/>
      <c r="I1050" s="4" t="n"/>
      <c r="J1050" s="4" t="n"/>
      <c r="K1050" s="4" t="n"/>
      <c r="L1050" s="4" t="n"/>
    </row>
    <row r="1051">
      <c r="A1051" s="4" t="inlineStr">
        <is>
          <t>240</t>
        </is>
      </c>
      <c r="B1051" s="4" t="inlineStr">
        <is>
          <t>whitetail</t>
        </is>
      </c>
      <c r="C1051" s="4" t="inlineStr">
        <is>
          <t>General Deer License</t>
        </is>
      </c>
      <c r="D1051" s="13" t="inlineStr">
        <is>
          <t>General license</t>
        </is>
      </c>
      <c r="E1051" s="4" t="inlineStr">
        <is>
          <t>Antlered Buck White-tailed Deer</t>
        </is>
      </c>
      <c r="F1051" s="4" t="n"/>
      <c r="G1051" s="4" t="inlineStr">
        <is>
          <t>Oct 24-Nov 29</t>
        </is>
      </c>
      <c r="H1051" s="4" t="inlineStr">
        <is>
          <t>Dec 12-Dec 20</t>
        </is>
      </c>
      <c r="I1051" s="4" t="n"/>
      <c r="J1051" s="4" t="n"/>
      <c r="K1051" s="4" t="n"/>
      <c r="L1051" s="4" t="n"/>
    </row>
    <row r="1052">
      <c r="A1052" s="4" t="inlineStr">
        <is>
          <t>240</t>
        </is>
      </c>
      <c r="B1052" s="4" t="inlineStr">
        <is>
          <t>whitetail</t>
        </is>
      </c>
      <c r="C1052" s="4" t="inlineStr">
        <is>
          <t>General Deer License</t>
        </is>
      </c>
      <c r="D1052" s="13" t="inlineStr">
        <is>
          <t>General license</t>
        </is>
      </c>
      <c r="E1052" s="4" t="inlineStr">
        <is>
          <t>Either-sex White-tailed Deer</t>
        </is>
      </c>
      <c r="F1052" s="4" t="n"/>
      <c r="G1052" s="4" t="inlineStr">
        <is>
          <t>Oct 24-Nov 29</t>
        </is>
      </c>
      <c r="H1052" s="4" t="inlineStr">
        <is>
          <t>Dec 12-Dec 20</t>
        </is>
      </c>
      <c r="I1052" s="4" t="n"/>
      <c r="J1052" s="4" t="n"/>
      <c r="K1052" s="4" t="n"/>
      <c r="L1052" s="4" t="inlineStr">
        <is>
          <t>Only youth ages 10-15.</t>
        </is>
      </c>
    </row>
    <row r="1053">
      <c r="A1053" s="4" t="inlineStr">
        <is>
          <t>240</t>
        </is>
      </c>
      <c r="B1053" s="4" t="inlineStr">
        <is>
          <t>whitetail</t>
        </is>
      </c>
      <c r="C1053" s="4" t="inlineStr">
        <is>
          <t>Deer B License: 260-01</t>
        </is>
      </c>
      <c r="D1053" s="4" t="inlineStr">
        <is>
          <t>Over the counter</t>
        </is>
      </c>
      <c r="E1053" s="4" t="inlineStr">
        <is>
          <t>Antlerless White-tailed Deer</t>
        </is>
      </c>
      <c r="F1053" s="4" t="inlineStr">
        <is>
          <t>Sep 05-Oct 18</t>
        </is>
      </c>
      <c r="G1053" s="4" t="inlineStr">
        <is>
          <t>Oct 19-Nov 29</t>
        </is>
      </c>
      <c r="H1053" s="4" t="n"/>
      <c r="I1053" s="4" t="inlineStr">
        <is>
          <t>Nov 30-Jan 15</t>
        </is>
      </c>
      <c r="J1053" s="4" t="inlineStr">
        <is>
          <t>OTC: Jun 15</t>
        </is>
      </c>
      <c r="K1053" s="4" t="inlineStr">
        <is>
          <t>UNL</t>
        </is>
      </c>
      <c r="L1053" s="4" t="inlineStr">
        <is>
          <t>ArchEquip only. Hunters may purchase up to three 260-01 antlerless white-tailed deer B licenses per hunter. Only valid in HDs 201 east of Hwy 93, 204, 240, 260, 261, 262, and 270.</t>
        </is>
      </c>
    </row>
    <row r="1054">
      <c r="A1054" s="4" t="inlineStr">
        <is>
          <t>240</t>
        </is>
      </c>
      <c r="B1054" s="4" t="inlineStr">
        <is>
          <t>whitetail</t>
        </is>
      </c>
      <c r="C1054" s="4" t="inlineStr">
        <is>
          <t>Deer B License: 299-00</t>
        </is>
      </c>
      <c r="D1054" s="4" t="inlineStr">
        <is>
          <t>Over the counter</t>
        </is>
      </c>
      <c r="E1054" s="4" t="inlineStr">
        <is>
          <t>Antlerless White-tailed Deer</t>
        </is>
      </c>
      <c r="F1054" s="4" t="inlineStr">
        <is>
          <t>Sep 05-Oct 18</t>
        </is>
      </c>
      <c r="G1054" s="4" t="inlineStr">
        <is>
          <t>Oct 24-Nov 29</t>
        </is>
      </c>
      <c r="H1054" s="4" t="inlineStr">
        <is>
          <t>Dec 12-Dec 20</t>
        </is>
      </c>
      <c r="I1054" s="4" t="n"/>
      <c r="J1054" s="4" t="inlineStr">
        <is>
          <t>OTC: Jun 15</t>
        </is>
      </c>
      <c r="K1054" s="4" t="inlineStr">
        <is>
          <t>UNL</t>
        </is>
      </c>
      <c r="L1054" s="4" t="inlineStr">
        <is>
          <t>One per hunter. Only valid on private land in HDs 204, 240, 261, and 270.</t>
        </is>
      </c>
    </row>
    <row r="1055">
      <c r="A1055" s="4" t="inlineStr">
        <is>
          <t>250</t>
        </is>
      </c>
      <c r="B1055" s="4" t="inlineStr">
        <is>
          <t>whitetail</t>
        </is>
      </c>
      <c r="C1055" s="4" t="inlineStr">
        <is>
          <t>General Deer License</t>
        </is>
      </c>
      <c r="D1055" s="13" t="inlineStr">
        <is>
          <t>General license</t>
        </is>
      </c>
      <c r="E1055" s="4" t="inlineStr">
        <is>
          <t>Antlered Buck White-tailed Deer</t>
        </is>
      </c>
      <c r="F1055" s="4" t="n"/>
      <c r="G1055" s="4" t="inlineStr">
        <is>
          <t>Oct 24-Nov 29</t>
        </is>
      </c>
      <c r="H1055" s="4" t="inlineStr">
        <is>
          <t>Dec 12-Dec 20</t>
        </is>
      </c>
      <c r="I1055" s="4" t="n"/>
      <c r="J1055" s="4" t="n"/>
      <c r="K1055" s="4" t="n"/>
      <c r="L1055" s="4" t="inlineStr">
        <is>
          <t>Either-sex White-tailed Deer</t>
        </is>
      </c>
    </row>
    <row r="1056">
      <c r="A1056" s="4" t="inlineStr">
        <is>
          <t>250</t>
        </is>
      </c>
      <c r="B1056" s="4" t="inlineStr">
        <is>
          <t>whitetail</t>
        </is>
      </c>
      <c r="C1056" s="4" t="inlineStr">
        <is>
          <t>General Deer License</t>
        </is>
      </c>
      <c r="D1056" s="13" t="inlineStr">
        <is>
          <t>General license</t>
        </is>
      </c>
      <c r="E1056" s="4" t="inlineStr">
        <is>
          <t>Either-sex White-tailed Deer</t>
        </is>
      </c>
      <c r="F1056" s="4" t="n"/>
      <c r="G1056" s="4" t="inlineStr">
        <is>
          <t>Oct 24-Nov 29</t>
        </is>
      </c>
      <c r="H1056" s="4" t="inlineStr">
        <is>
          <t>Dec 12-Dec 20</t>
        </is>
      </c>
      <c r="I1056" s="4" t="n"/>
      <c r="J1056" s="4" t="n"/>
      <c r="K1056" s="4" t="n"/>
      <c r="L1056" s="4" t="inlineStr">
        <is>
          <t>Only youth ages 10-15.</t>
        </is>
      </c>
    </row>
    <row r="1057">
      <c r="A1057" s="4" t="inlineStr">
        <is>
          <t>260</t>
        </is>
      </c>
      <c r="B1057" s="4" t="inlineStr">
        <is>
          <t>whitetail</t>
        </is>
      </c>
      <c r="C1057" s="4" t="inlineStr">
        <is>
          <t>General Deer License</t>
        </is>
      </c>
      <c r="D1057" s="13" t="inlineStr">
        <is>
          <t>General license</t>
        </is>
      </c>
      <c r="E1057" s="4" t="inlineStr">
        <is>
          <t>Either-sex White-tailed Deer</t>
        </is>
      </c>
      <c r="F1057" s="4" t="inlineStr">
        <is>
          <t>Sep 05-Oct 18</t>
        </is>
      </c>
      <c r="G1057" s="4" t="inlineStr">
        <is>
          <t>Oct 19-Nov 29</t>
        </is>
      </c>
      <c r="H1057" s="4" t="n"/>
      <c r="I1057" s="4" t="inlineStr">
        <is>
          <t>Nov 30-Jan 15</t>
        </is>
      </c>
      <c r="J1057" s="4" t="n"/>
      <c r="K1057" s="4" t="n"/>
      <c r="L1057" s="4" t="inlineStr">
        <is>
          <t>ArchEquip only.</t>
        </is>
      </c>
    </row>
    <row r="1058">
      <c r="A1058" s="4" t="inlineStr">
        <is>
          <t>260</t>
        </is>
      </c>
      <c r="B1058" s="4" t="inlineStr">
        <is>
          <t>whitetail</t>
        </is>
      </c>
      <c r="C1058" s="4" t="inlineStr">
        <is>
          <t>Deer B License: 260-01</t>
        </is>
      </c>
      <c r="D1058" s="4" t="inlineStr">
        <is>
          <t>Over the counter</t>
        </is>
      </c>
      <c r="E1058" s="4" t="inlineStr">
        <is>
          <t>Antlerless White-tailed Deer</t>
        </is>
      </c>
      <c r="F1058" s="4" t="inlineStr">
        <is>
          <t>Sep 05-Oct 18</t>
        </is>
      </c>
      <c r="G1058" s="4" t="inlineStr">
        <is>
          <t>Oct 19-Nov 29</t>
        </is>
      </c>
      <c r="H1058" s="4" t="n"/>
      <c r="I1058" s="4" t="inlineStr">
        <is>
          <t>Nov 30-Jan 15</t>
        </is>
      </c>
      <c r="J1058" s="4" t="inlineStr">
        <is>
          <t>OTC: Jun 15</t>
        </is>
      </c>
      <c r="K1058" s="4" t="inlineStr">
        <is>
          <t>UNL</t>
        </is>
      </c>
      <c r="L1058" s="4" t="inlineStr">
        <is>
          <t>ArchEquip only. Hunters may purchase up to three 260-01 antlerless white-tailed deer B Licenses per hunter. Only valid in HDs 201 east of Hwy 93, 204, 240, 260, 261, 262, and 270.</t>
        </is>
      </c>
    </row>
    <row r="1059">
      <c r="A1059" s="4" t="inlineStr">
        <is>
          <t>260</t>
        </is>
      </c>
      <c r="B1059" s="4" t="inlineStr">
        <is>
          <t>whitetail</t>
        </is>
      </c>
      <c r="C1059" s="4" t="inlineStr">
        <is>
          <t>Deer B License: 260-20</t>
        </is>
      </c>
      <c r="D1059" s="15" t="inlineStr">
        <is>
          <t>Drawing</t>
        </is>
      </c>
      <c r="E1059" s="4" t="inlineStr">
        <is>
          <t>Either-sex White-tailed Deer</t>
        </is>
      </c>
      <c r="F1059" s="4" t="inlineStr">
        <is>
          <t>Sep 05-Oct 18</t>
        </is>
      </c>
      <c r="G1059" s="4" t="inlineStr">
        <is>
          <t>Oct 19-Nov 29</t>
        </is>
      </c>
      <c r="H1059" s="4" t="n"/>
      <c r="I1059" s="4" t="inlineStr">
        <is>
          <t>Nov 30-Jan 15</t>
        </is>
      </c>
      <c r="J1059" s="4" t="inlineStr">
        <is>
          <t>Jun 1</t>
        </is>
      </c>
      <c r="K1059" s="4" t="inlineStr">
        <is>
          <t>300</t>
        </is>
      </c>
      <c r="L1059" s="4" t="inlineStr">
        <is>
          <t>ArchEquip Only.</t>
        </is>
      </c>
    </row>
    <row r="1060">
      <c r="A1060" s="4" t="inlineStr">
        <is>
          <t>261</t>
        </is>
      </c>
      <c r="B1060" s="4" t="inlineStr">
        <is>
          <t>whitetail</t>
        </is>
      </c>
      <c r="C1060" s="4" t="inlineStr">
        <is>
          <t>General Deer License</t>
        </is>
      </c>
      <c r="D1060" s="13" t="inlineStr">
        <is>
          <t>General license</t>
        </is>
      </c>
      <c r="E1060" s="4" t="inlineStr">
        <is>
          <t>Either-sex White-tailed Deer</t>
        </is>
      </c>
      <c r="F1060" s="4" t="inlineStr">
        <is>
          <t>Sep 05-Oct 18</t>
        </is>
      </c>
      <c r="G1060" s="4" t="inlineStr">
        <is>
          <t>Oct 24-Nov 29</t>
        </is>
      </c>
      <c r="H1060" s="4" t="inlineStr">
        <is>
          <t>Dec 12-Dec 20</t>
        </is>
      </c>
      <c r="I1060" s="4" t="n"/>
      <c r="J1060" s="4" t="n"/>
      <c r="K1060" s="4" t="n"/>
      <c r="L1060" s="4" t="inlineStr">
        <is>
          <t>Only valid on private land.</t>
        </is>
      </c>
    </row>
    <row r="1061">
      <c r="A1061" s="4" t="inlineStr">
        <is>
          <t>261</t>
        </is>
      </c>
      <c r="B1061" s="4" t="inlineStr">
        <is>
          <t>whitetail</t>
        </is>
      </c>
      <c r="C1061" s="4" t="inlineStr">
        <is>
          <t>General Deer License</t>
        </is>
      </c>
      <c r="D1061" s="13" t="inlineStr">
        <is>
          <t>General license</t>
        </is>
      </c>
      <c r="E1061" s="4" t="inlineStr">
        <is>
          <t>Either-sex White-tailed Deer</t>
        </is>
      </c>
      <c r="F1061" s="4" t="inlineStr">
        <is>
          <t>Sep 05-Oct 18</t>
        </is>
      </c>
      <c r="G1061" s="4" t="n"/>
      <c r="H1061" s="4" t="n"/>
      <c r="I1061" s="4" t="n"/>
      <c r="J1061" s="4" t="n"/>
      <c r="K1061" s="4" t="n"/>
      <c r="L1061" s="4" t="n"/>
    </row>
    <row r="1062">
      <c r="A1062" s="4" t="inlineStr">
        <is>
          <t>261</t>
        </is>
      </c>
      <c r="B1062" s="4" t="inlineStr">
        <is>
          <t>whitetail</t>
        </is>
      </c>
      <c r="C1062" s="4" t="inlineStr">
        <is>
          <t>General Deer License</t>
        </is>
      </c>
      <c r="D1062" s="13" t="inlineStr">
        <is>
          <t>General license</t>
        </is>
      </c>
      <c r="E1062" s="4" t="inlineStr">
        <is>
          <t>Antlered Buck White-tailed Deer</t>
        </is>
      </c>
      <c r="F1062" s="4" t="n"/>
      <c r="G1062" s="4" t="inlineStr">
        <is>
          <t>Oct 24-Nov 29</t>
        </is>
      </c>
      <c r="H1062" s="4" t="inlineStr">
        <is>
          <t>Dec 12-Dec 20</t>
        </is>
      </c>
      <c r="I1062" s="4" t="n"/>
      <c r="J1062" s="4" t="n"/>
      <c r="K1062" s="4" t="n"/>
      <c r="L1062" s="4" t="n"/>
    </row>
    <row r="1063">
      <c r="A1063" s="4" t="inlineStr">
        <is>
          <t>261</t>
        </is>
      </c>
      <c r="B1063" s="4" t="inlineStr">
        <is>
          <t>whitetail</t>
        </is>
      </c>
      <c r="C1063" s="4" t="inlineStr">
        <is>
          <t>General Deer License</t>
        </is>
      </c>
      <c r="D1063" s="13" t="inlineStr">
        <is>
          <t>General license</t>
        </is>
      </c>
      <c r="E1063" s="4" t="inlineStr">
        <is>
          <t>Either-sex White-tailed Deer</t>
        </is>
      </c>
      <c r="F1063" s="4" t="n"/>
      <c r="G1063" s="4" t="inlineStr">
        <is>
          <t>Oct 24-Nov 29</t>
        </is>
      </c>
      <c r="H1063" s="4" t="inlineStr">
        <is>
          <t>Dec 12-Dec 20</t>
        </is>
      </c>
      <c r="I1063" s="4" t="n"/>
      <c r="J1063" s="4" t="n"/>
      <c r="K1063" s="4" t="n"/>
      <c r="L1063" s="4" t="inlineStr">
        <is>
          <t>Only youth ages 10-15.</t>
        </is>
      </c>
    </row>
    <row r="1064">
      <c r="A1064" s="4" t="inlineStr">
        <is>
          <t>261</t>
        </is>
      </c>
      <c r="B1064" s="4" t="inlineStr">
        <is>
          <t>whitetail</t>
        </is>
      </c>
      <c r="C1064" s="4" t="inlineStr">
        <is>
          <t>Deer B License: 260-01</t>
        </is>
      </c>
      <c r="D1064" s="4" t="inlineStr">
        <is>
          <t>Over the counter</t>
        </is>
      </c>
      <c r="E1064" s="4" t="inlineStr">
        <is>
          <t>Antlerless White-tailed Deer</t>
        </is>
      </c>
      <c r="F1064" s="4" t="inlineStr">
        <is>
          <t>Sep 05-Oct 18</t>
        </is>
      </c>
      <c r="G1064" s="4" t="inlineStr">
        <is>
          <t>Oct 19-Nov 29</t>
        </is>
      </c>
      <c r="H1064" s="4" t="n"/>
      <c r="I1064" s="4" t="inlineStr">
        <is>
          <t>Nov 30-Jan 15</t>
        </is>
      </c>
      <c r="J1064" s="4" t="inlineStr">
        <is>
          <t>OTC: Jun 15</t>
        </is>
      </c>
      <c r="K1064" s="4" t="inlineStr">
        <is>
          <t>UNL</t>
        </is>
      </c>
      <c r="L1064" s="4" t="inlineStr">
        <is>
          <t>ArchEquip only. Hunters may purchase up to three 260-01 antlerless white-tailed deer B licenses per hunter. Only valid in HDs 201 east of Hwy 93, 204, 240, 260, 261, 262, and 270.</t>
        </is>
      </c>
    </row>
    <row r="1065">
      <c r="A1065" s="4" t="inlineStr">
        <is>
          <t>261</t>
        </is>
      </c>
      <c r="B1065" s="4" t="inlineStr">
        <is>
          <t>whitetail</t>
        </is>
      </c>
      <c r="C1065" s="4" t="inlineStr">
        <is>
          <t>Deer B License: 299-00</t>
        </is>
      </c>
      <c r="D1065" s="4" t="inlineStr">
        <is>
          <t>Over the counter</t>
        </is>
      </c>
      <c r="E1065" s="4" t="inlineStr">
        <is>
          <t>Antlerless White-tailed Deer</t>
        </is>
      </c>
      <c r="F1065" s="4" t="inlineStr">
        <is>
          <t>Sep 05-Oct 18</t>
        </is>
      </c>
      <c r="G1065" s="4" t="inlineStr">
        <is>
          <t>Oct 24-Nov 29</t>
        </is>
      </c>
      <c r="H1065" s="4" t="inlineStr">
        <is>
          <t>Dec 12-Dec 20</t>
        </is>
      </c>
      <c r="I1065" s="4" t="n"/>
      <c r="J1065" s="4" t="inlineStr">
        <is>
          <t>OTC: Jun 15</t>
        </is>
      </c>
      <c r="K1065" s="4" t="inlineStr">
        <is>
          <t>UNL</t>
        </is>
      </c>
      <c r="L1065" s="4" t="inlineStr">
        <is>
          <t>One per hunter. Only valid on private land in HDs 204, 240, 261, and 270.</t>
        </is>
      </c>
    </row>
    <row r="1066">
      <c r="A1066" s="4" t="inlineStr">
        <is>
          <t>262</t>
        </is>
      </c>
      <c r="B1066" s="4" t="inlineStr">
        <is>
          <t>whitetail</t>
        </is>
      </c>
      <c r="C1066" s="4" t="inlineStr">
        <is>
          <t>General Deer License</t>
        </is>
      </c>
      <c r="D1066" s="13" t="inlineStr">
        <is>
          <t>General license</t>
        </is>
      </c>
      <c r="E1066" s="4" t="inlineStr">
        <is>
          <t>Either-sex White-tailed Deer</t>
        </is>
      </c>
      <c r="F1066" s="4" t="inlineStr">
        <is>
          <t>Sep 05-Oct 18</t>
        </is>
      </c>
      <c r="G1066" s="4" t="inlineStr">
        <is>
          <t>Oct 24-Nov 29</t>
        </is>
      </c>
      <c r="H1066" s="4" t="inlineStr">
        <is>
          <t>Dec 12-Dec 20</t>
        </is>
      </c>
      <c r="I1066" s="4" t="n"/>
      <c r="J1066" s="4" t="n"/>
      <c r="K1066" s="4" t="n"/>
      <c r="L1066" s="4" t="n"/>
    </row>
    <row r="1067">
      <c r="A1067" s="4" t="inlineStr">
        <is>
          <t>262</t>
        </is>
      </c>
      <c r="B1067" s="4" t="inlineStr">
        <is>
          <t>whitetail</t>
        </is>
      </c>
      <c r="C1067" s="4" t="inlineStr">
        <is>
          <t>Deer B License: 260-01</t>
        </is>
      </c>
      <c r="D1067" s="4" t="inlineStr">
        <is>
          <t>Over the counter</t>
        </is>
      </c>
      <c r="E1067" s="4" t="inlineStr">
        <is>
          <t>Antlerless White-tailed Deer</t>
        </is>
      </c>
      <c r="F1067" s="4" t="inlineStr">
        <is>
          <t>Sep 05-Oct 18</t>
        </is>
      </c>
      <c r="G1067" s="4" t="inlineStr">
        <is>
          <t>Oct 19-Nov 29</t>
        </is>
      </c>
      <c r="H1067" s="4" t="n"/>
      <c r="I1067" s="4" t="inlineStr">
        <is>
          <t>Nov 30-Jan 15</t>
        </is>
      </c>
      <c r="J1067" s="4" t="inlineStr">
        <is>
          <t>OTC: Jun 15</t>
        </is>
      </c>
      <c r="K1067" s="4" t="inlineStr">
        <is>
          <t>UNL</t>
        </is>
      </c>
      <c r="L1067" s="4" t="inlineStr">
        <is>
          <t>ArchEquip only. Hunters may purchase up to three 260-01 antlerless white-tailed deer B licenses per hunter. Only valid in HDs 201 east of Hwy 93, 204, 240, 260, 261, 262, and 270.</t>
        </is>
      </c>
    </row>
    <row r="1068">
      <c r="A1068" s="4" t="inlineStr">
        <is>
          <t>262</t>
        </is>
      </c>
      <c r="B1068" s="4" t="inlineStr">
        <is>
          <t>whitetail</t>
        </is>
      </c>
      <c r="C1068" s="4" t="inlineStr">
        <is>
          <t>Deer B License: 262-02</t>
        </is>
      </c>
      <c r="D1068" s="4" t="inlineStr">
        <is>
          <t>Over the counter</t>
        </is>
      </c>
      <c r="E1068" s="4" t="inlineStr">
        <is>
          <t>Antlerless White-tailed Deer</t>
        </is>
      </c>
      <c r="F1068" s="4" t="n"/>
      <c r="G1068" s="4" t="inlineStr">
        <is>
          <t>Oct 24-Nov 29</t>
        </is>
      </c>
      <c r="H1068" s="4" t="n"/>
      <c r="I1068" s="4" t="inlineStr">
        <is>
          <t>Nov 30-Jan 15</t>
        </is>
      </c>
      <c r="J1068" s="4" t="inlineStr">
        <is>
          <t>OTC: Jun 15</t>
        </is>
      </c>
      <c r="K1068" s="4" t="inlineStr">
        <is>
          <t>UNL</t>
        </is>
      </c>
      <c r="L1068" s="4" t="inlineStr">
        <is>
          <t>ArchEquip, shotgun, traditional handgun, muzzleloader, or crossbow only. Up to three 262- 02 Deer B Licenses per hunter. Up to three 262-02 Deer B Licenses per hunter.</t>
        </is>
      </c>
    </row>
    <row r="1069">
      <c r="A1069" s="4" t="inlineStr">
        <is>
          <t>270</t>
        </is>
      </c>
      <c r="B1069" s="4" t="inlineStr">
        <is>
          <t>whitetail</t>
        </is>
      </c>
      <c r="C1069" s="4" t="inlineStr">
        <is>
          <t>General Deer License</t>
        </is>
      </c>
      <c r="D1069" s="13" t="inlineStr">
        <is>
          <t>General license</t>
        </is>
      </c>
      <c r="E1069" s="4" t="inlineStr">
        <is>
          <t>Either-sex White-tailed Deer</t>
        </is>
      </c>
      <c r="F1069" s="4" t="inlineStr">
        <is>
          <t>Sep 05-Oct 18</t>
        </is>
      </c>
      <c r="G1069" s="4" t="inlineStr">
        <is>
          <t>Oct 24-Nov 29</t>
        </is>
      </c>
      <c r="H1069" s="4" t="inlineStr">
        <is>
          <t>Dec 12-Dec 20</t>
        </is>
      </c>
      <c r="I1069" s="4" t="n"/>
      <c r="J1069" s="4" t="n"/>
      <c r="K1069" s="4" t="n"/>
      <c r="L1069" s="4" t="inlineStr">
        <is>
          <t>Only valid on private land.</t>
        </is>
      </c>
    </row>
    <row r="1070">
      <c r="A1070" s="4" t="inlineStr">
        <is>
          <t>270</t>
        </is>
      </c>
      <c r="B1070" s="4" t="inlineStr">
        <is>
          <t>whitetail</t>
        </is>
      </c>
      <c r="C1070" s="4" t="inlineStr">
        <is>
          <t>General Deer License</t>
        </is>
      </c>
      <c r="D1070" s="13" t="inlineStr">
        <is>
          <t>General license</t>
        </is>
      </c>
      <c r="E1070" s="4" t="inlineStr">
        <is>
          <t>Either-sex White-tailed Deer</t>
        </is>
      </c>
      <c r="F1070" s="4" t="inlineStr">
        <is>
          <t>Sep 05-Oct 18</t>
        </is>
      </c>
      <c r="G1070" s="4" t="n"/>
      <c r="H1070" s="4" t="n"/>
      <c r="I1070" s="4" t="n"/>
      <c r="J1070" s="4" t="n"/>
      <c r="K1070" s="4" t="n"/>
      <c r="L1070" s="4" t="n"/>
    </row>
    <row r="1071">
      <c r="A1071" s="4" t="inlineStr">
        <is>
          <t>270</t>
        </is>
      </c>
      <c r="B1071" s="4" t="inlineStr">
        <is>
          <t>whitetail</t>
        </is>
      </c>
      <c r="C1071" s="4" t="inlineStr">
        <is>
          <t>General Deer License</t>
        </is>
      </c>
      <c r="D1071" s="13" t="inlineStr">
        <is>
          <t>General license</t>
        </is>
      </c>
      <c r="E1071" s="4" t="inlineStr">
        <is>
          <t>Antlered Buck White-tailed Deer</t>
        </is>
      </c>
      <c r="F1071" s="4" t="n"/>
      <c r="G1071" s="4" t="inlineStr">
        <is>
          <t>Oct 24-Nov 29</t>
        </is>
      </c>
      <c r="H1071" s="4" t="inlineStr">
        <is>
          <t>Dec 12-Dec 20</t>
        </is>
      </c>
      <c r="I1071" s="4" t="n"/>
      <c r="J1071" s="4" t="n"/>
      <c r="K1071" s="4" t="n"/>
      <c r="L1071" s="4" t="n"/>
    </row>
    <row r="1072">
      <c r="A1072" s="4" t="inlineStr">
        <is>
          <t>270</t>
        </is>
      </c>
      <c r="B1072" s="4" t="inlineStr">
        <is>
          <t>whitetail</t>
        </is>
      </c>
      <c r="C1072" s="4" t="inlineStr">
        <is>
          <t>General Deer License</t>
        </is>
      </c>
      <c r="D1072" s="13" t="inlineStr">
        <is>
          <t>General license</t>
        </is>
      </c>
      <c r="E1072" s="4" t="inlineStr">
        <is>
          <t>Either-sex White-tailed Deer</t>
        </is>
      </c>
      <c r="F1072" s="4" t="n"/>
      <c r="G1072" s="4" t="inlineStr">
        <is>
          <t>Oct 24-Nov 29</t>
        </is>
      </c>
      <c r="H1072" s="4" t="inlineStr">
        <is>
          <t>Dec 12-Dec 20</t>
        </is>
      </c>
      <c r="I1072" s="4" t="n"/>
      <c r="J1072" s="4" t="n"/>
      <c r="K1072" s="4" t="n"/>
      <c r="L1072" s="4" t="inlineStr">
        <is>
          <t>Only youth ages 10-15.</t>
        </is>
      </c>
    </row>
    <row r="1073">
      <c r="A1073" s="4" t="inlineStr">
        <is>
          <t>270</t>
        </is>
      </c>
      <c r="B1073" s="4" t="inlineStr">
        <is>
          <t>whitetail</t>
        </is>
      </c>
      <c r="C1073" s="4" t="inlineStr">
        <is>
          <t>Deer B License: 260-01</t>
        </is>
      </c>
      <c r="D1073" s="4" t="inlineStr">
        <is>
          <t>Over the counter</t>
        </is>
      </c>
      <c r="E1073" s="4" t="inlineStr">
        <is>
          <t>Antlerless White-tailed Deer</t>
        </is>
      </c>
      <c r="F1073" s="4" t="inlineStr">
        <is>
          <t>Sep 05-Oct 18</t>
        </is>
      </c>
      <c r="G1073" s="4" t="inlineStr">
        <is>
          <t>Oct 19-Nov 29</t>
        </is>
      </c>
      <c r="H1073" s="4" t="n"/>
      <c r="I1073" s="4" t="inlineStr">
        <is>
          <t>Nov 30-Jan 15</t>
        </is>
      </c>
      <c r="J1073" s="4" t="inlineStr">
        <is>
          <t>OTC: Jun 15</t>
        </is>
      </c>
      <c r="K1073" s="4" t="inlineStr">
        <is>
          <t>UNL</t>
        </is>
      </c>
      <c r="L1073" s="4" t="inlineStr">
        <is>
          <t>ArchEquip only. Hunters may purchase up to three 260-01 antlerless white-tailed deer B licenses per hunter. Only valid in HDs 201 east of Hwy 93, 204, 240, 260, 261, 262, and 270.</t>
        </is>
      </c>
    </row>
    <row r="1074">
      <c r="A1074" s="4" t="inlineStr">
        <is>
          <t>270</t>
        </is>
      </c>
      <c r="B1074" s="4" t="inlineStr">
        <is>
          <t>whitetail</t>
        </is>
      </c>
      <c r="C1074" s="4" t="inlineStr">
        <is>
          <t>Deer B License: 299-00</t>
        </is>
      </c>
      <c r="D1074" s="4" t="inlineStr">
        <is>
          <t>Over the counter</t>
        </is>
      </c>
      <c r="E1074" s="4" t="inlineStr">
        <is>
          <t>Antlerless White-tailed Deer</t>
        </is>
      </c>
      <c r="F1074" s="4" t="inlineStr">
        <is>
          <t>Sep 05-Oct 18</t>
        </is>
      </c>
      <c r="G1074" s="4" t="inlineStr">
        <is>
          <t>Oct 24-Nov 29</t>
        </is>
      </c>
      <c r="H1074" s="4" t="inlineStr">
        <is>
          <t>Dec 12-Dec 20</t>
        </is>
      </c>
      <c r="I1074" s="4" t="n"/>
      <c r="J1074" s="4" t="inlineStr">
        <is>
          <t>OTC: Jun 15</t>
        </is>
      </c>
      <c r="K1074" s="4" t="inlineStr">
        <is>
          <t>UNL</t>
        </is>
      </c>
      <c r="L1074" s="4" t="inlineStr">
        <is>
          <t>One per hunter. Only valid on private land in HDs 204, 240, 261, and 270.</t>
        </is>
      </c>
    </row>
    <row r="1075">
      <c r="A1075" s="4" t="inlineStr">
        <is>
          <t>280</t>
        </is>
      </c>
      <c r="B1075" s="4" t="inlineStr">
        <is>
          <t>whitetail</t>
        </is>
      </c>
      <c r="C1075" s="4" t="inlineStr">
        <is>
          <t>General Deer License</t>
        </is>
      </c>
      <c r="D1075" s="13" t="inlineStr">
        <is>
          <t>General license</t>
        </is>
      </c>
      <c r="E1075" s="4" t="inlineStr">
        <is>
          <t>Antlered Buck White-tailed Deer</t>
        </is>
      </c>
      <c r="F1075" s="4" t="inlineStr">
        <is>
          <t>Sep 05-Sep 14</t>
        </is>
      </c>
      <c r="G1075" s="4" t="inlineStr">
        <is>
          <t>Sep 15-Nov 29</t>
        </is>
      </c>
      <c r="H1075" s="4" t="inlineStr">
        <is>
          <t>Dec 12-Dec 20</t>
        </is>
      </c>
      <c r="I1075" s="4" t="n"/>
      <c r="J1075" s="4" t="n"/>
      <c r="K1075" s="4" t="n"/>
      <c r="L1075" s="4" t="n"/>
    </row>
    <row r="1076">
      <c r="A1076" s="4" t="inlineStr">
        <is>
          <t>280</t>
        </is>
      </c>
      <c r="B1076" s="4" t="inlineStr">
        <is>
          <t>whitetail</t>
        </is>
      </c>
      <c r="C1076" s="4" t="inlineStr">
        <is>
          <t>General Deer License</t>
        </is>
      </c>
      <c r="D1076" s="13" t="inlineStr">
        <is>
          <t>General license</t>
        </is>
      </c>
      <c r="E1076" s="4" t="inlineStr">
        <is>
          <t>Either-sex White-tailed Deer</t>
        </is>
      </c>
      <c r="F1076" s="4" t="n"/>
      <c r="G1076" s="4" t="inlineStr">
        <is>
          <t>Sep 15-Nov 29</t>
        </is>
      </c>
      <c r="H1076" s="4" t="inlineStr">
        <is>
          <t>Dec 12-Dec 20</t>
        </is>
      </c>
      <c r="I1076" s="4" t="n"/>
      <c r="J1076" s="4" t="n"/>
      <c r="K1076" s="4" t="n"/>
      <c r="L1076" s="4" t="inlineStr">
        <is>
          <t>Only youth ages 10-15.</t>
        </is>
      </c>
    </row>
    <row r="1077">
      <c r="A1077" s="4" t="inlineStr">
        <is>
          <t>281</t>
        </is>
      </c>
      <c r="B1077" s="4" t="inlineStr">
        <is>
          <t>whitetail</t>
        </is>
      </c>
      <c r="C1077" s="4" t="inlineStr">
        <is>
          <t>General Deer License</t>
        </is>
      </c>
      <c r="D1077" s="13" t="inlineStr">
        <is>
          <t>General license</t>
        </is>
      </c>
      <c r="E1077" s="4" t="inlineStr">
        <is>
          <t>Either-sex White-tailed Deer</t>
        </is>
      </c>
      <c r="F1077" s="4" t="inlineStr">
        <is>
          <t>Sep 05-Oct 18</t>
        </is>
      </c>
      <c r="G1077" s="4" t="inlineStr">
        <is>
          <t>Oct 24-Oct 30</t>
        </is>
      </c>
      <c r="H1077" s="4" t="n"/>
      <c r="I1077" s="4" t="n"/>
      <c r="J1077" s="4" t="n"/>
      <c r="K1077" s="4" t="n"/>
      <c r="L1077" s="4" t="n"/>
    </row>
    <row r="1078">
      <c r="A1078" s="4" t="inlineStr">
        <is>
          <t>281</t>
        </is>
      </c>
      <c r="B1078" s="4" t="inlineStr">
        <is>
          <t>whitetail</t>
        </is>
      </c>
      <c r="C1078" s="4" t="inlineStr">
        <is>
          <t>General Deer License</t>
        </is>
      </c>
      <c r="D1078" s="13" t="inlineStr">
        <is>
          <t>General license</t>
        </is>
      </c>
      <c r="E1078" s="4" t="inlineStr">
        <is>
          <t>Antlered Buck White-tailed Deer</t>
        </is>
      </c>
      <c r="F1078" s="4" t="n"/>
      <c r="G1078" s="4" t="inlineStr">
        <is>
          <t>Oct 31-Nov 29</t>
        </is>
      </c>
      <c r="H1078" s="4" t="inlineStr">
        <is>
          <t>Dec 12-Dec 20</t>
        </is>
      </c>
      <c r="I1078" s="4" t="n"/>
      <c r="J1078" s="4" t="n"/>
      <c r="K1078" s="4" t="n"/>
      <c r="L1078" s="4" t="n"/>
    </row>
    <row r="1079">
      <c r="A1079" s="4" t="inlineStr">
        <is>
          <t>281</t>
        </is>
      </c>
      <c r="B1079" s="4" t="inlineStr">
        <is>
          <t>whitetail</t>
        </is>
      </c>
      <c r="C1079" s="4" t="inlineStr">
        <is>
          <t>General Deer License</t>
        </is>
      </c>
      <c r="D1079" s="13" t="inlineStr">
        <is>
          <t>General license</t>
        </is>
      </c>
      <c r="E1079" s="4" t="inlineStr">
        <is>
          <t>Either-sex White-tailed Deer</t>
        </is>
      </c>
      <c r="F1079" s="4" t="n"/>
      <c r="G1079" s="4" t="inlineStr">
        <is>
          <t>Oct 31-Nov 29</t>
        </is>
      </c>
      <c r="H1079" s="4" t="inlineStr">
        <is>
          <t>Dec 12-Dec 20</t>
        </is>
      </c>
      <c r="I1079" s="4" t="n"/>
      <c r="J1079" s="4" t="n"/>
      <c r="K1079" s="4" t="n"/>
      <c r="L1079" s="4" t="inlineStr">
        <is>
          <t>Only youth ages 10-15.</t>
        </is>
      </c>
    </row>
    <row r="1080">
      <c r="A1080" s="4" t="inlineStr">
        <is>
          <t>281</t>
        </is>
      </c>
      <c r="B1080" s="4" t="inlineStr">
        <is>
          <t>whitetail</t>
        </is>
      </c>
      <c r="C1080" s="4" t="inlineStr">
        <is>
          <t>Deer B License: 281-00</t>
        </is>
      </c>
      <c r="D1080" s="15" t="inlineStr">
        <is>
          <t>Drawing</t>
        </is>
      </c>
      <c r="E1080" s="4" t="inlineStr">
        <is>
          <t>Antlerless White-tailed Deer</t>
        </is>
      </c>
      <c r="F1080" s="4" t="inlineStr">
        <is>
          <t>Sep 05-Oct 18</t>
        </is>
      </c>
      <c r="G1080" s="4" t="inlineStr">
        <is>
          <t>Oct 24-Nov 29</t>
        </is>
      </c>
      <c r="H1080" s="4" t="inlineStr">
        <is>
          <t>Dec 12-Dec 20</t>
        </is>
      </c>
      <c r="I1080" s="4" t="n"/>
      <c r="J1080" s="4" t="inlineStr">
        <is>
          <t>Jun 1</t>
        </is>
      </c>
      <c r="K1080" s="4" t="inlineStr">
        <is>
          <t>25</t>
        </is>
      </c>
      <c r="L1080" s="4" t="inlineStr">
        <is>
          <t>LICENSE/PERMIT OPPORTUNITY APPL Y BY DATE QUOTA QUOTA RANGE EARL Y SEASON DATES ARCHERY ONL Y SEASON DATES GENERAL SEASON DATES HERITAGE MUZZLELOADER SEASON DATES LATE SEASON DATES OPPORTUNITY SPECIFIC DETAILS AND/ORRESTRICTIONS</t>
        </is>
      </c>
    </row>
    <row r="1081">
      <c r="A1081" s="4" t="inlineStr">
        <is>
          <t>282</t>
        </is>
      </c>
      <c r="B1081" s="4" t="inlineStr">
        <is>
          <t>whitetail</t>
        </is>
      </c>
      <c r="C1081" s="4" t="inlineStr">
        <is>
          <t>General Deer License</t>
        </is>
      </c>
      <c r="D1081" s="13" t="inlineStr">
        <is>
          <t>General license</t>
        </is>
      </c>
      <c r="E1081" s="4" t="inlineStr">
        <is>
          <t>Antlered Buck White-tailed Deer</t>
        </is>
      </c>
      <c r="F1081" s="4" t="inlineStr">
        <is>
          <t>Sep 05-Oct 18</t>
        </is>
      </c>
      <c r="G1081" s="4" t="n"/>
      <c r="H1081" s="4" t="n"/>
      <c r="I1081" s="4" t="n"/>
      <c r="J1081" s="4" t="n"/>
      <c r="K1081" s="4" t="n"/>
      <c r="L1081" s="4" t="n"/>
    </row>
    <row r="1082">
      <c r="A1082" s="4" t="inlineStr">
        <is>
          <t>282</t>
        </is>
      </c>
      <c r="B1082" s="4" t="inlineStr">
        <is>
          <t>whitetail</t>
        </is>
      </c>
      <c r="C1082" s="4" t="inlineStr">
        <is>
          <t>Deer B License: 282-00</t>
        </is>
      </c>
      <c r="D1082" s="15" t="inlineStr">
        <is>
          <t>Drawing</t>
        </is>
      </c>
      <c r="E1082" s="4" t="inlineStr">
        <is>
          <t>Antlerless White-tailed Deer</t>
        </is>
      </c>
      <c r="F1082" s="4" t="inlineStr">
        <is>
          <t>Sep 05-Oct 18</t>
        </is>
      </c>
      <c r="G1082" s="4" t="inlineStr">
        <is>
          <t>Oct 24-Nov 29</t>
        </is>
      </c>
      <c r="H1082" s="4" t="inlineStr">
        <is>
          <t>Dec 12-Dec 20</t>
        </is>
      </c>
      <c r="I1082" s="4" t="n"/>
      <c r="J1082" s="4" t="inlineStr">
        <is>
          <t>Jun 1</t>
        </is>
      </c>
      <c r="K1082" s="4" t="inlineStr">
        <is>
          <t>25</t>
        </is>
      </c>
      <c r="L1082" s="4" t="n"/>
    </row>
    <row r="1083">
      <c r="A1083" s="4" t="inlineStr">
        <is>
          <t>282</t>
        </is>
      </c>
      <c r="B1083" s="4" t="inlineStr">
        <is>
          <t>whitetail</t>
        </is>
      </c>
      <c r="C1083" s="4" t="inlineStr">
        <is>
          <t>Deer Permit: 282-51</t>
        </is>
      </c>
      <c r="D1083" s="15" t="inlineStr">
        <is>
          <t>Drawing</t>
        </is>
      </c>
      <c r="E1083" s="4" t="inlineStr">
        <is>
          <t>Antlered Buck White-tailed Deer</t>
        </is>
      </c>
      <c r="F1083" s="4" t="inlineStr">
        <is>
          <t>Sep 05-Oct 18</t>
        </is>
      </c>
      <c r="G1083" s="4" t="inlineStr">
        <is>
          <t>Oct 24-Nov 29</t>
        </is>
      </c>
      <c r="H1083" s="4" t="inlineStr">
        <is>
          <t>Dec 12-Dec 20</t>
        </is>
      </c>
      <c r="I1083" s="4" t="n"/>
      <c r="J1083" s="4" t="inlineStr">
        <is>
          <t>April 1</t>
        </is>
      </c>
      <c r="K1083" s="4" t="inlineStr">
        <is>
          <t>25</t>
        </is>
      </c>
      <c r="L1083" s="4" t="inlineStr">
        <is>
          <t>Permit must be used with a valid General Deer License. Holders may not hunt Antlered Buck White-tailed Deer in any other HD.</t>
        </is>
      </c>
    </row>
    <row r="1084">
      <c r="A1084" s="4" t="inlineStr">
        <is>
          <t>284</t>
        </is>
      </c>
      <c r="B1084" s="4" t="inlineStr">
        <is>
          <t>whitetail</t>
        </is>
      </c>
      <c r="C1084" s="4" t="inlineStr">
        <is>
          <t>General Deer License</t>
        </is>
      </c>
      <c r="D1084" s="13" t="inlineStr">
        <is>
          <t>General license</t>
        </is>
      </c>
      <c r="E1084" s="4" t="inlineStr">
        <is>
          <t>Antlered Buck White-tailed Deer</t>
        </is>
      </c>
      <c r="F1084" s="4" t="n"/>
      <c r="G1084" s="4" t="inlineStr">
        <is>
          <t>Sep 05-Nov 29</t>
        </is>
      </c>
      <c r="H1084" s="4" t="n"/>
      <c r="I1084" s="4" t="n"/>
      <c r="J1084" s="4" t="n"/>
      <c r="K1084" s="4" t="n"/>
      <c r="L1084" s="4" t="inlineStr">
        <is>
          <t>ArchEquip only.</t>
        </is>
      </c>
    </row>
    <row r="1085">
      <c r="A1085" s="4" t="inlineStr">
        <is>
          <t>285</t>
        </is>
      </c>
      <c r="B1085" s="4" t="inlineStr">
        <is>
          <t>whitetail</t>
        </is>
      </c>
      <c r="C1085" s="4" t="inlineStr">
        <is>
          <t>General Deer License</t>
        </is>
      </c>
      <c r="D1085" s="13" t="inlineStr">
        <is>
          <t>General license</t>
        </is>
      </c>
      <c r="E1085" s="4" t="inlineStr">
        <is>
          <t>Either-sex White-tailed Deer</t>
        </is>
      </c>
      <c r="F1085" s="4" t="inlineStr">
        <is>
          <t>Sep 05-Oct 18</t>
        </is>
      </c>
      <c r="G1085" s="4" t="inlineStr">
        <is>
          <t>Oct 24-Oct 30</t>
        </is>
      </c>
      <c r="H1085" s="4" t="n"/>
      <c r="I1085" s="4" t="n"/>
      <c r="J1085" s="4" t="n"/>
      <c r="K1085" s="4" t="n"/>
      <c r="L1085" s="4" t="n"/>
    </row>
    <row r="1086">
      <c r="A1086" s="4" t="inlineStr">
        <is>
          <t>285</t>
        </is>
      </c>
      <c r="B1086" s="4" t="inlineStr">
        <is>
          <t>whitetail</t>
        </is>
      </c>
      <c r="C1086" s="4" t="inlineStr">
        <is>
          <t>General Deer License</t>
        </is>
      </c>
      <c r="D1086" s="13" t="inlineStr">
        <is>
          <t>General license</t>
        </is>
      </c>
      <c r="E1086" s="4" t="inlineStr">
        <is>
          <t>Antlered Buck White-tailed Deer</t>
        </is>
      </c>
      <c r="F1086" s="4" t="n"/>
      <c r="G1086" s="4" t="inlineStr">
        <is>
          <t>Oct 31-Nov 29</t>
        </is>
      </c>
      <c r="H1086" s="4" t="inlineStr">
        <is>
          <t>Dec 12-Dec 20</t>
        </is>
      </c>
      <c r="I1086" s="4" t="n"/>
      <c r="J1086" s="4" t="n"/>
      <c r="K1086" s="4" t="n"/>
      <c r="L1086" s="4" t="n"/>
    </row>
    <row r="1087">
      <c r="A1087" s="4" t="inlineStr">
        <is>
          <t>285</t>
        </is>
      </c>
      <c r="B1087" s="4" t="inlineStr">
        <is>
          <t>whitetail</t>
        </is>
      </c>
      <c r="C1087" s="4" t="inlineStr">
        <is>
          <t>General Deer License</t>
        </is>
      </c>
      <c r="D1087" s="13" t="inlineStr">
        <is>
          <t>General license</t>
        </is>
      </c>
      <c r="E1087" s="4" t="inlineStr">
        <is>
          <t>Either-sex White-tailed Deer</t>
        </is>
      </c>
      <c r="F1087" s="4" t="n"/>
      <c r="G1087" s="4" t="inlineStr">
        <is>
          <t>Oct 31-Nov 29</t>
        </is>
      </c>
      <c r="H1087" s="4" t="inlineStr">
        <is>
          <t>Dec 12-Dec 20</t>
        </is>
      </c>
      <c r="I1087" s="4" t="n"/>
      <c r="J1087" s="4" t="n"/>
      <c r="K1087" s="4" t="n"/>
      <c r="L1087" s="4" t="inlineStr">
        <is>
          <t>Only youth ages 10-15.</t>
        </is>
      </c>
    </row>
    <row r="1088">
      <c r="A1088" s="4" t="inlineStr">
        <is>
          <t>285</t>
        </is>
      </c>
      <c r="B1088" s="4" t="inlineStr">
        <is>
          <t>whitetail</t>
        </is>
      </c>
      <c r="C1088" s="4" t="inlineStr">
        <is>
          <t>Deer B License: 285-00</t>
        </is>
      </c>
      <c r="D1088" s="15" t="inlineStr">
        <is>
          <t>Drawing</t>
        </is>
      </c>
      <c r="E1088" s="4" t="inlineStr">
        <is>
          <t>Antlerless White-tailed Deer</t>
        </is>
      </c>
      <c r="F1088" s="4" t="inlineStr">
        <is>
          <t>Sep 05-Oct 18</t>
        </is>
      </c>
      <c r="G1088" s="4" t="inlineStr">
        <is>
          <t>Oct 24-Nov 29</t>
        </is>
      </c>
      <c r="H1088" s="4" t="inlineStr">
        <is>
          <t>Dec 12-Dec 20</t>
        </is>
      </c>
      <c r="I1088" s="4" t="n"/>
      <c r="J1088" s="4" t="inlineStr">
        <is>
          <t>Jun 1</t>
        </is>
      </c>
      <c r="K1088" s="4" t="inlineStr">
        <is>
          <t>100</t>
        </is>
      </c>
      <c r="L1088" s="4" t="n"/>
    </row>
    <row r="1089">
      <c r="A1089" s="4" t="inlineStr">
        <is>
          <t>290</t>
        </is>
      </c>
      <c r="B1089" s="4" t="inlineStr">
        <is>
          <t>whitetail</t>
        </is>
      </c>
      <c r="C1089" s="4" t="inlineStr">
        <is>
          <t>General Deer License</t>
        </is>
      </c>
      <c r="D1089" s="13" t="inlineStr">
        <is>
          <t>General license</t>
        </is>
      </c>
      <c r="E1089" s="4" t="inlineStr">
        <is>
          <t>Either-sex White-tailed Deer</t>
        </is>
      </c>
      <c r="F1089" s="4" t="n"/>
      <c r="G1089" s="4" t="inlineStr">
        <is>
          <t>Sep 05-Nov 29</t>
        </is>
      </c>
      <c r="H1089" s="4" t="n"/>
      <c r="I1089" s="4" t="inlineStr">
        <is>
          <t>Nov 30-Dec 15</t>
        </is>
      </c>
      <c r="J1089" s="4" t="n"/>
      <c r="K1089" s="4" t="n"/>
      <c r="L1089" s="4" t="inlineStr">
        <is>
          <t>ArchEquip only.</t>
        </is>
      </c>
    </row>
    <row r="1090">
      <c r="A1090" s="4" t="inlineStr">
        <is>
          <t>290</t>
        </is>
      </c>
      <c r="B1090" s="4" t="inlineStr">
        <is>
          <t>whitetail</t>
        </is>
      </c>
      <c r="C1090" s="4" t="inlineStr">
        <is>
          <t>Deer B License: 290-00</t>
        </is>
      </c>
      <c r="D1090" s="4" t="inlineStr">
        <is>
          <t>Over the counter</t>
        </is>
      </c>
      <c r="E1090" s="4" t="inlineStr">
        <is>
          <t>Antlerless White-tailed Deer</t>
        </is>
      </c>
      <c r="F1090" s="4" t="n"/>
      <c r="G1090" s="4" t="inlineStr">
        <is>
          <t>Sep 05-Nov 29</t>
        </is>
      </c>
      <c r="H1090" s="4" t="n"/>
      <c r="I1090" s="4" t="inlineStr">
        <is>
          <t>Nov 30-Dec 15</t>
        </is>
      </c>
      <c r="J1090" s="4" t="inlineStr">
        <is>
          <t>OTC: Jun 15</t>
        </is>
      </c>
      <c r="K1090" s="4" t="inlineStr">
        <is>
          <t>UNL</t>
        </is>
      </c>
      <c r="L1090" s="4" t="inlineStr">
        <is>
          <t>ArchEquip only. Up to three OTC B Licenses per hunter.</t>
        </is>
      </c>
    </row>
    <row r="1091">
      <c r="A1091" s="4" t="inlineStr">
        <is>
          <t>290</t>
        </is>
      </c>
      <c r="B1091" s="4" t="inlineStr">
        <is>
          <t>whitetail</t>
        </is>
      </c>
      <c r="C1091" s="4" t="inlineStr">
        <is>
          <t>Deer B License: 290-01</t>
        </is>
      </c>
      <c r="D1091" s="15" t="inlineStr">
        <is>
          <t>Drawing</t>
        </is>
      </c>
      <c r="E1091" s="4" t="inlineStr">
        <is>
          <t>Antlerless White-tailed Deer</t>
        </is>
      </c>
      <c r="F1091" s="4" t="inlineStr">
        <is>
          <t>Sep 05-Oct 18</t>
        </is>
      </c>
      <c r="G1091" s="4" t="n"/>
      <c r="H1091" s="4" t="n"/>
      <c r="I1091" s="4" t="n"/>
      <c r="J1091" s="4" t="inlineStr">
        <is>
          <t>Jun 1</t>
        </is>
      </c>
      <c r="K1091" s="4" t="inlineStr">
        <is>
          <t>25</t>
        </is>
      </c>
      <c r="L1091" s="4" t="inlineStr">
        <is>
          <t>Only valid on private land. Valid on private land only. Firearms allowed outside of East Ovando Archery Area.</t>
        </is>
      </c>
    </row>
    <row r="1092">
      <c r="A1092" s="4" t="inlineStr">
        <is>
          <t>290</t>
        </is>
      </c>
      <c r="B1092" s="4" t="inlineStr">
        <is>
          <t>whitetail</t>
        </is>
      </c>
      <c r="C1092" s="4" t="inlineStr">
        <is>
          <t>Deer B License: 290-02</t>
        </is>
      </c>
      <c r="D1092" s="15" t="inlineStr">
        <is>
          <t>Drawing</t>
        </is>
      </c>
      <c r="E1092" s="4" t="inlineStr">
        <is>
          <t>Either-sex White-tailed Deer</t>
        </is>
      </c>
      <c r="F1092" s="4" t="inlineStr">
        <is>
          <t>Sep 05-Oct 18</t>
        </is>
      </c>
      <c r="G1092" s="4" t="inlineStr">
        <is>
          <t>Oct 19-Nov 29</t>
        </is>
      </c>
      <c r="H1092" s="4" t="n"/>
      <c r="I1092" s="4" t="inlineStr">
        <is>
          <t>Nov 30-Jan 01</t>
        </is>
      </c>
      <c r="J1092" s="4" t="inlineStr">
        <is>
          <t>Jun 1</t>
        </is>
      </c>
      <c r="K1092" s="4" t="inlineStr">
        <is>
          <t>50</t>
        </is>
      </c>
      <c r="L1092" s="4" t="inlineStr">
        <is>
          <t>ArchEquip only.</t>
        </is>
      </c>
    </row>
    <row r="1093">
      <c r="A1093" s="4" t="inlineStr">
        <is>
          <t>291</t>
        </is>
      </c>
      <c r="B1093" s="4" t="inlineStr">
        <is>
          <t>whitetail</t>
        </is>
      </c>
      <c r="C1093" s="4" t="inlineStr">
        <is>
          <t>General Deer License</t>
        </is>
      </c>
      <c r="D1093" s="13" t="inlineStr">
        <is>
          <t>General license</t>
        </is>
      </c>
      <c r="E1093" s="4" t="inlineStr">
        <is>
          <t>Antlered Buck White-tailed Deer</t>
        </is>
      </c>
      <c r="F1093" s="4" t="n"/>
      <c r="G1093" s="4" t="inlineStr">
        <is>
          <t>Oct 24-Nov 29</t>
        </is>
      </c>
      <c r="H1093" s="4" t="inlineStr">
        <is>
          <t>Dec 12-Dec 20</t>
        </is>
      </c>
      <c r="I1093" s="4" t="n"/>
      <c r="J1093" s="4" t="n"/>
      <c r="K1093" s="4" t="n"/>
      <c r="L1093" s="4" t="n"/>
    </row>
    <row r="1094">
      <c r="A1094" s="4" t="inlineStr">
        <is>
          <t>291</t>
        </is>
      </c>
      <c r="B1094" s="4" t="inlineStr">
        <is>
          <t>whitetail</t>
        </is>
      </c>
      <c r="C1094" s="4" t="inlineStr">
        <is>
          <t>General Deer License</t>
        </is>
      </c>
      <c r="D1094" s="13" t="inlineStr">
        <is>
          <t>General license</t>
        </is>
      </c>
      <c r="E1094" s="4" t="inlineStr">
        <is>
          <t>Either-sex White-tailed Deer</t>
        </is>
      </c>
      <c r="F1094" s="4" t="inlineStr">
        <is>
          <t>Sep 05-Oct 18</t>
        </is>
      </c>
      <c r="G1094" s="4" t="n"/>
      <c r="H1094" s="4" t="n"/>
      <c r="I1094" s="4" t="n"/>
      <c r="J1094" s="4" t="n"/>
      <c r="K1094" s="4" t="n"/>
      <c r="L1094" s="4" t="n"/>
    </row>
    <row r="1095">
      <c r="A1095" s="4" t="inlineStr">
        <is>
          <t>291</t>
        </is>
      </c>
      <c r="B1095" s="4" t="inlineStr">
        <is>
          <t>whitetail</t>
        </is>
      </c>
      <c r="C1095" s="4" t="inlineStr">
        <is>
          <t>General Deer License</t>
        </is>
      </c>
      <c r="D1095" s="13" t="inlineStr">
        <is>
          <t>General license</t>
        </is>
      </c>
      <c r="E1095" s="4" t="inlineStr">
        <is>
          <t>Either-sex White-tailed Deer</t>
        </is>
      </c>
      <c r="F1095" s="4" t="n"/>
      <c r="G1095" s="4" t="inlineStr">
        <is>
          <t>Oct 24-Nov 29</t>
        </is>
      </c>
      <c r="H1095" s="4" t="inlineStr">
        <is>
          <t>Dec 12-Dec 20</t>
        </is>
      </c>
      <c r="I1095" s="4" t="n"/>
      <c r="J1095" s="4" t="n"/>
      <c r="K1095" s="4" t="n"/>
      <c r="L1095" s="4" t="inlineStr">
        <is>
          <t>Only youth ages 10-15.</t>
        </is>
      </c>
    </row>
    <row r="1096">
      <c r="A1096" s="4" t="inlineStr">
        <is>
          <t>291</t>
        </is>
      </c>
      <c r="B1096" s="4" t="inlineStr">
        <is>
          <t>whitetail</t>
        </is>
      </c>
      <c r="C1096" s="4" t="inlineStr">
        <is>
          <t>Deer B License: 291-00</t>
        </is>
      </c>
      <c r="D1096" s="15" t="inlineStr">
        <is>
          <t>Drawing</t>
        </is>
      </c>
      <c r="E1096" s="4" t="inlineStr">
        <is>
          <t>Antlerless White-tailed Deer</t>
        </is>
      </c>
      <c r="F1096" s="4" t="inlineStr">
        <is>
          <t>Sep 05-Oct 18</t>
        </is>
      </c>
      <c r="G1096" s="4" t="inlineStr">
        <is>
          <t>Oct 24-Nov 29</t>
        </is>
      </c>
      <c r="H1096" s="4" t="inlineStr">
        <is>
          <t>Dec 12-Dec 20</t>
        </is>
      </c>
      <c r="I1096" s="4" t="n"/>
      <c r="J1096" s="4" t="inlineStr">
        <is>
          <t>Jun 1</t>
        </is>
      </c>
      <c r="K1096" s="4" t="inlineStr">
        <is>
          <t>50</t>
        </is>
      </c>
      <c r="L1096" s="4" t="n"/>
    </row>
    <row r="1097">
      <c r="A1097" s="4" t="inlineStr">
        <is>
          <t>292</t>
        </is>
      </c>
      <c r="B1097" s="4" t="inlineStr">
        <is>
          <t>whitetail</t>
        </is>
      </c>
      <c r="C1097" s="4" t="inlineStr">
        <is>
          <t>General Deer License</t>
        </is>
      </c>
      <c r="D1097" s="13" t="inlineStr">
        <is>
          <t>General license</t>
        </is>
      </c>
      <c r="E1097" s="4" t="inlineStr">
        <is>
          <t>Either-sex White-tailed Deer</t>
        </is>
      </c>
      <c r="F1097" s="4" t="inlineStr">
        <is>
          <t>Sep 05-Oct 18</t>
        </is>
      </c>
      <c r="G1097" s="4" t="inlineStr">
        <is>
          <t>Oct 24-Oct 30</t>
        </is>
      </c>
      <c r="H1097" s="4" t="n"/>
      <c r="I1097" s="4" t="n"/>
      <c r="J1097" s="4" t="n"/>
      <c r="K1097" s="4" t="n"/>
      <c r="L1097" s="4" t="n"/>
    </row>
    <row r="1098">
      <c r="A1098" s="4" t="inlineStr">
        <is>
          <t>292</t>
        </is>
      </c>
      <c r="B1098" s="4" t="inlineStr">
        <is>
          <t>whitetail</t>
        </is>
      </c>
      <c r="C1098" s="4" t="inlineStr">
        <is>
          <t>General Deer License</t>
        </is>
      </c>
      <c r="D1098" s="13" t="inlineStr">
        <is>
          <t>General license</t>
        </is>
      </c>
      <c r="E1098" s="4" t="inlineStr">
        <is>
          <t>Antlered Buck White-tailed Deer</t>
        </is>
      </c>
      <c r="F1098" s="4" t="n"/>
      <c r="G1098" s="4" t="inlineStr">
        <is>
          <t>Oct 31-Nov 29</t>
        </is>
      </c>
      <c r="H1098" s="4" t="inlineStr">
        <is>
          <t>Dec 12-Dec 20</t>
        </is>
      </c>
      <c r="I1098" s="4" t="n"/>
      <c r="J1098" s="4" t="n"/>
      <c r="K1098" s="4" t="n"/>
      <c r="L1098" s="4" t="n"/>
    </row>
    <row r="1099">
      <c r="A1099" s="4" t="inlineStr">
        <is>
          <t>292</t>
        </is>
      </c>
      <c r="B1099" s="4" t="inlineStr">
        <is>
          <t>whitetail</t>
        </is>
      </c>
      <c r="C1099" s="4" t="inlineStr">
        <is>
          <t>General Deer License</t>
        </is>
      </c>
      <c r="D1099" s="13" t="inlineStr">
        <is>
          <t>General license</t>
        </is>
      </c>
      <c r="E1099" s="4" t="inlineStr">
        <is>
          <t>Either-sex White-tailed Deer</t>
        </is>
      </c>
      <c r="F1099" s="4" t="n"/>
      <c r="G1099" s="4" t="inlineStr">
        <is>
          <t>Oct 31-Nov 29</t>
        </is>
      </c>
      <c r="H1099" s="4" t="inlineStr">
        <is>
          <t>Dec 12-Dec 20</t>
        </is>
      </c>
      <c r="I1099" s="4" t="n"/>
      <c r="J1099" s="4" t="n"/>
      <c r="K1099" s="4" t="n"/>
      <c r="L1099" s="4" t="inlineStr">
        <is>
          <t>Only youth ages 10-15.</t>
        </is>
      </c>
    </row>
    <row r="1100">
      <c r="A1100" s="4" t="inlineStr">
        <is>
          <t>292</t>
        </is>
      </c>
      <c r="B1100" s="4" t="inlineStr">
        <is>
          <t>whitetail</t>
        </is>
      </c>
      <c r="C1100" s="4" t="inlineStr">
        <is>
          <t>Deer B License: 292-00</t>
        </is>
      </c>
      <c r="D1100" s="15" t="inlineStr">
        <is>
          <t>Drawing</t>
        </is>
      </c>
      <c r="E1100" s="4" t="inlineStr">
        <is>
          <t>Antlerless White-tailed Deer</t>
        </is>
      </c>
      <c r="F1100" s="4" t="inlineStr">
        <is>
          <t>Sep 05-Oct 18</t>
        </is>
      </c>
      <c r="G1100" s="4" t="inlineStr">
        <is>
          <t>Oct 24-Nov 29</t>
        </is>
      </c>
      <c r="H1100" s="4" t="inlineStr">
        <is>
          <t>Dec 12-Dec 20</t>
        </is>
      </c>
      <c r="I1100" s="4" t="n"/>
      <c r="J1100" s="4" t="inlineStr">
        <is>
          <t>Jun 1</t>
        </is>
      </c>
      <c r="K1100" s="4" t="inlineStr">
        <is>
          <t>100</t>
        </is>
      </c>
      <c r="L1100" s="4" t="inlineStr">
        <is>
          <t>Only valid on private land within the Blackfoot watershed.</t>
        </is>
      </c>
    </row>
    <row r="1101">
      <c r="A1101" s="4" t="inlineStr">
        <is>
          <t>293</t>
        </is>
      </c>
      <c r="B1101" s="4" t="inlineStr">
        <is>
          <t>whitetail</t>
        </is>
      </c>
      <c r="C1101" s="4" t="inlineStr">
        <is>
          <t>General Deer License</t>
        </is>
      </c>
      <c r="D1101" s="13" t="inlineStr">
        <is>
          <t>General license</t>
        </is>
      </c>
      <c r="E1101" s="4" t="inlineStr">
        <is>
          <t>Either-sex White-tailed Deer</t>
        </is>
      </c>
      <c r="F1101" s="4" t="inlineStr">
        <is>
          <t>Sep 05-Oct 18</t>
        </is>
      </c>
      <c r="G1101" s="4" t="inlineStr">
        <is>
          <t>Oct 24-Oct 30</t>
        </is>
      </c>
      <c r="H1101" s="4" t="n"/>
      <c r="I1101" s="4" t="n"/>
      <c r="J1101" s="4" t="n"/>
      <c r="K1101" s="4" t="n"/>
      <c r="L1101" s="4" t="n"/>
    </row>
    <row r="1102">
      <c r="A1102" s="4" t="inlineStr">
        <is>
          <t>293</t>
        </is>
      </c>
      <c r="B1102" s="4" t="inlineStr">
        <is>
          <t>whitetail</t>
        </is>
      </c>
      <c r="C1102" s="4" t="inlineStr">
        <is>
          <t>General Deer License</t>
        </is>
      </c>
      <c r="D1102" s="13" t="inlineStr">
        <is>
          <t>General license</t>
        </is>
      </c>
      <c r="E1102" s="4" t="inlineStr">
        <is>
          <t>Antlered Buck White-tailed Deer</t>
        </is>
      </c>
      <c r="F1102" s="4" t="n"/>
      <c r="G1102" s="4" t="inlineStr">
        <is>
          <t>Oct 31-Nov 29</t>
        </is>
      </c>
      <c r="H1102" s="4" t="inlineStr">
        <is>
          <t>Dec 12-Dec 20</t>
        </is>
      </c>
      <c r="I1102" s="4" t="n"/>
      <c r="J1102" s="4" t="n"/>
      <c r="K1102" s="4" t="n"/>
      <c r="L1102" s="4" t="n"/>
    </row>
    <row r="1103">
      <c r="A1103" s="4" t="inlineStr">
        <is>
          <t>293</t>
        </is>
      </c>
      <c r="B1103" s="4" t="inlineStr">
        <is>
          <t>whitetail</t>
        </is>
      </c>
      <c r="C1103" s="4" t="inlineStr">
        <is>
          <t>General Deer License</t>
        </is>
      </c>
      <c r="D1103" s="13" t="inlineStr">
        <is>
          <t>General license</t>
        </is>
      </c>
      <c r="E1103" s="4" t="inlineStr">
        <is>
          <t>Either-sex White-tailed Deer</t>
        </is>
      </c>
      <c r="F1103" s="4" t="n"/>
      <c r="G1103" s="4" t="inlineStr">
        <is>
          <t>Oct 31-Nov 29</t>
        </is>
      </c>
      <c r="H1103" s="4" t="inlineStr">
        <is>
          <t>Dec 12-Dec 20</t>
        </is>
      </c>
      <c r="I1103" s="4" t="n"/>
      <c r="J1103" s="4" t="n"/>
      <c r="K1103" s="4" t="n"/>
      <c r="L1103" s="4" t="inlineStr">
        <is>
          <t>Only youth ages 10-15.</t>
        </is>
      </c>
    </row>
    <row r="1104">
      <c r="A1104" s="4" t="inlineStr">
        <is>
          <t>298</t>
        </is>
      </c>
      <c r="B1104" s="4" t="inlineStr">
        <is>
          <t>whitetail</t>
        </is>
      </c>
      <c r="C1104" s="4" t="inlineStr">
        <is>
          <t>General Deer License</t>
        </is>
      </c>
      <c r="D1104" s="13" t="inlineStr">
        <is>
          <t>General license</t>
        </is>
      </c>
      <c r="E1104" s="4" t="inlineStr">
        <is>
          <t>Either-sex White-tailed Deer</t>
        </is>
      </c>
      <c r="F1104" s="4" t="inlineStr">
        <is>
          <t>Sep 05-Oct 18</t>
        </is>
      </c>
      <c r="G1104" s="4" t="inlineStr">
        <is>
          <t>Oct 24-Oct 30</t>
        </is>
      </c>
      <c r="H1104" s="4" t="n"/>
      <c r="I1104" s="4" t="n"/>
      <c r="J1104" s="4" t="n"/>
      <c r="K1104" s="4" t="n"/>
      <c r="L1104" s="4" t="n"/>
    </row>
    <row r="1105">
      <c r="A1105" s="4" t="inlineStr">
        <is>
          <t>298</t>
        </is>
      </c>
      <c r="B1105" s="4" t="inlineStr">
        <is>
          <t>whitetail</t>
        </is>
      </c>
      <c r="C1105" s="4" t="inlineStr">
        <is>
          <t>General Deer License</t>
        </is>
      </c>
      <c r="D1105" s="13" t="inlineStr">
        <is>
          <t>General license</t>
        </is>
      </c>
      <c r="E1105" s="4" t="inlineStr">
        <is>
          <t>Antlered Buck White-tailed Deer</t>
        </is>
      </c>
      <c r="F1105" s="4" t="n"/>
      <c r="G1105" s="4" t="inlineStr">
        <is>
          <t>Oct 31-Nov 29</t>
        </is>
      </c>
      <c r="H1105" s="4" t="inlineStr">
        <is>
          <t>Dec 12-Dec 20</t>
        </is>
      </c>
      <c r="I1105" s="4" t="n"/>
      <c r="J1105" s="4" t="n"/>
      <c r="K1105" s="4" t="n"/>
      <c r="L1105" s="4" t="n"/>
    </row>
    <row r="1106">
      <c r="A1106" s="4" t="inlineStr">
        <is>
          <t>298</t>
        </is>
      </c>
      <c r="B1106" s="4" t="inlineStr">
        <is>
          <t>whitetail</t>
        </is>
      </c>
      <c r="C1106" s="4" t="inlineStr">
        <is>
          <t>General Deer License</t>
        </is>
      </c>
      <c r="D1106" s="13" t="inlineStr">
        <is>
          <t>General license</t>
        </is>
      </c>
      <c r="E1106" s="4" t="inlineStr">
        <is>
          <t>Either-sex White-tailed Deer</t>
        </is>
      </c>
      <c r="F1106" s="4" t="n"/>
      <c r="G1106" s="4" t="inlineStr">
        <is>
          <t>Oct 31-Nov 29</t>
        </is>
      </c>
      <c r="H1106" s="4" t="inlineStr">
        <is>
          <t>Dec 12-Dec 20</t>
        </is>
      </c>
      <c r="I1106" s="4" t="n"/>
      <c r="J1106" s="4" t="n"/>
      <c r="K1106" s="4" t="n"/>
      <c r="L1106" s="4" t="inlineStr">
        <is>
          <t>Only youth ages 10-15.</t>
        </is>
      </c>
    </row>
    <row r="1107">
      <c r="A1107" s="4" t="inlineStr">
        <is>
          <t>301</t>
        </is>
      </c>
      <c r="B1107" s="4" t="inlineStr">
        <is>
          <t>whitetail</t>
        </is>
      </c>
      <c r="C1107" s="4" t="inlineStr">
        <is>
          <t>General Deer License</t>
        </is>
      </c>
      <c r="D1107" s="13" t="inlineStr">
        <is>
          <t>General license</t>
        </is>
      </c>
      <c r="E1107" s="4" t="inlineStr">
        <is>
          <t>Either-sex White-tailed Deer</t>
        </is>
      </c>
      <c r="F1107" s="4" t="inlineStr">
        <is>
          <t>Sep 05-Oct 18</t>
        </is>
      </c>
      <c r="G1107" s="4" t="inlineStr">
        <is>
          <t>Oct 24-Nov 29</t>
        </is>
      </c>
      <c r="H1107" s="4" t="inlineStr">
        <is>
          <t>Dec 12-Dec 20</t>
        </is>
      </c>
      <c r="I1107" s="4" t="n"/>
      <c r="J1107" s="4" t="n"/>
      <c r="K1107" s="4" t="n"/>
      <c r="L1107" s="4" t="n"/>
    </row>
    <row r="1108">
      <c r="A1108" s="4" t="inlineStr">
        <is>
          <t>301</t>
        </is>
      </c>
      <c r="B1108" s="4" t="inlineStr">
        <is>
          <t>whitetail</t>
        </is>
      </c>
      <c r="C1108" s="4" t="inlineStr">
        <is>
          <t>Deer B License: 003-00</t>
        </is>
      </c>
      <c r="D1108" s="4" t="inlineStr">
        <is>
          <t>Over the counter</t>
        </is>
      </c>
      <c r="E1108" s="4" t="inlineStr">
        <is>
          <t>Antlerless White-tailed Deer</t>
        </is>
      </c>
      <c r="F1108" s="4" t="inlineStr">
        <is>
          <t>Sep 05-Oct 18</t>
        </is>
      </c>
      <c r="G1108" s="4" t="inlineStr">
        <is>
          <t>Oct 24-Nov 29</t>
        </is>
      </c>
      <c r="H1108" s="4" t="inlineStr">
        <is>
          <t>Dec 12-Dec 20</t>
        </is>
      </c>
      <c r="I1108" s="4" t="n"/>
      <c r="J1108" s="4" t="inlineStr">
        <is>
          <t>OTC: Jun 15</t>
        </is>
      </c>
      <c r="K1108" s="4" t="inlineStr">
        <is>
          <t>UNL</t>
        </is>
      </c>
      <c r="L1108" s="4" t="inlineStr">
        <is>
          <t>One per hunter. Valid in all Region 3 HDs.</t>
        </is>
      </c>
    </row>
    <row r="1109">
      <c r="A1109" s="4" t="inlineStr">
        <is>
          <t>302</t>
        </is>
      </c>
      <c r="B1109" s="4" t="inlineStr">
        <is>
          <t>whitetail</t>
        </is>
      </c>
      <c r="C1109" s="4" t="inlineStr">
        <is>
          <t>General Deer License</t>
        </is>
      </c>
      <c r="D1109" s="13" t="inlineStr">
        <is>
          <t>General license</t>
        </is>
      </c>
      <c r="E1109" s="4" t="inlineStr">
        <is>
          <t>Either-sex White-tailed Deer</t>
        </is>
      </c>
      <c r="F1109" s="4" t="inlineStr">
        <is>
          <t>Sep 05-Oct 18</t>
        </is>
      </c>
      <c r="G1109" s="4" t="inlineStr">
        <is>
          <t>Oct 24-Nov 29</t>
        </is>
      </c>
      <c r="H1109" s="4" t="inlineStr">
        <is>
          <t>Dec 12-Dec 20</t>
        </is>
      </c>
      <c r="I1109" s="4" t="n"/>
      <c r="J1109" s="4" t="n"/>
      <c r="K1109" s="4" t="n"/>
      <c r="L1109" s="4" t="n"/>
    </row>
    <row r="1110">
      <c r="A1110" s="4" t="inlineStr">
        <is>
          <t>302</t>
        </is>
      </c>
      <c r="B1110" s="4" t="inlineStr">
        <is>
          <t>whitetail</t>
        </is>
      </c>
      <c r="C1110" s="4" t="inlineStr">
        <is>
          <t>Deer B License: 003-00</t>
        </is>
      </c>
      <c r="D1110" s="4" t="inlineStr">
        <is>
          <t>Over the counter</t>
        </is>
      </c>
      <c r="E1110" s="4" t="inlineStr">
        <is>
          <t>Antlerless White-tailed Deer</t>
        </is>
      </c>
      <c r="F1110" s="4" t="inlineStr">
        <is>
          <t>Sep 05-Oct 18</t>
        </is>
      </c>
      <c r="G1110" s="4" t="inlineStr">
        <is>
          <t>Oct 24-Nov 29</t>
        </is>
      </c>
      <c r="H1110" s="4" t="inlineStr">
        <is>
          <t>Dec 12-Dec 20</t>
        </is>
      </c>
      <c r="I1110" s="4" t="n"/>
      <c r="J1110" s="4" t="inlineStr">
        <is>
          <t>OTC: Jun 15</t>
        </is>
      </c>
      <c r="K1110" s="4" t="inlineStr">
        <is>
          <t>UNL</t>
        </is>
      </c>
      <c r="L1110" s="4" t="inlineStr">
        <is>
          <t>One per hunter. Valid in all Region 3 HDs.</t>
        </is>
      </c>
    </row>
    <row r="1111">
      <c r="A1111" s="4" t="inlineStr">
        <is>
          <t>302</t>
        </is>
      </c>
      <c r="B1111" s="4" t="inlineStr">
        <is>
          <t>whitetail</t>
        </is>
      </c>
      <c r="C1111" s="4" t="inlineStr">
        <is>
          <t>Deer B License: 399-00</t>
        </is>
      </c>
      <c r="D1111" s="4" t="inlineStr">
        <is>
          <t>Over the counter</t>
        </is>
      </c>
      <c r="E1111" s="4" t="inlineStr">
        <is>
          <t>Antlerless White-tailed Deer</t>
        </is>
      </c>
      <c r="F1111" s="4" t="inlineStr">
        <is>
          <t>Sep 05-Oct 18</t>
        </is>
      </c>
      <c r="G1111" s="4" t="inlineStr">
        <is>
          <t>Oct 24-Nov 29</t>
        </is>
      </c>
      <c r="H1111" s="4" t="inlineStr">
        <is>
          <t>Dec 12-Dec 20</t>
        </is>
      </c>
      <c r="I1111" s="4" t="n"/>
      <c r="J1111" s="4" t="inlineStr">
        <is>
          <t>OTC: Jun 15</t>
        </is>
      </c>
      <c r="K1111" s="4" t="inlineStr">
        <is>
          <t>UNL</t>
        </is>
      </c>
      <c r="L1111" s="4" t="inlineStr">
        <is>
          <t>Per hunter license quota set annually. Valid in HDs 302, 303, 320, 322, 323, 324, 329, 331, 340, and 360.</t>
        </is>
      </c>
    </row>
    <row r="1112">
      <c r="A1112" s="4" t="inlineStr">
        <is>
          <t>303</t>
        </is>
      </c>
      <c r="B1112" s="4" t="inlineStr">
        <is>
          <t>whitetail</t>
        </is>
      </c>
      <c r="C1112" s="4" t="inlineStr">
        <is>
          <t>General Deer License</t>
        </is>
      </c>
      <c r="D1112" s="13" t="inlineStr">
        <is>
          <t>General license</t>
        </is>
      </c>
      <c r="E1112" s="4" t="inlineStr">
        <is>
          <t>Either-sex White-tailed Deer</t>
        </is>
      </c>
      <c r="F1112" s="4" t="inlineStr">
        <is>
          <t>Sep 05-Oct 18</t>
        </is>
      </c>
      <c r="G1112" s="4" t="inlineStr">
        <is>
          <t>Oct 24-Nov 29</t>
        </is>
      </c>
      <c r="H1112" s="4" t="inlineStr">
        <is>
          <t>Dec 12-Dec 20</t>
        </is>
      </c>
      <c r="I1112" s="4" t="n"/>
      <c r="J1112" s="4" t="n"/>
      <c r="K1112" s="4" t="n"/>
      <c r="L1112" s="4" t="n"/>
    </row>
    <row r="1113">
      <c r="A1113" s="4" t="inlineStr">
        <is>
          <t>303</t>
        </is>
      </c>
      <c r="B1113" s="4" t="inlineStr">
        <is>
          <t>whitetail</t>
        </is>
      </c>
      <c r="C1113" s="4" t="inlineStr">
        <is>
          <t>Deer B License: 003-00</t>
        </is>
      </c>
      <c r="D1113" s="4" t="inlineStr">
        <is>
          <t>Over the counter</t>
        </is>
      </c>
      <c r="E1113" s="4" t="inlineStr">
        <is>
          <t>Antlerless White-tailed Deer</t>
        </is>
      </c>
      <c r="F1113" s="4" t="inlineStr">
        <is>
          <t>Sep 05-Oct 18</t>
        </is>
      </c>
      <c r="G1113" s="4" t="inlineStr">
        <is>
          <t>Oct 24-Nov 29</t>
        </is>
      </c>
      <c r="H1113" s="4" t="inlineStr">
        <is>
          <t>Dec 12-Dec 20</t>
        </is>
      </c>
      <c r="I1113" s="4" t="n"/>
      <c r="J1113" s="4" t="inlineStr">
        <is>
          <t>OTC: Jun 15</t>
        </is>
      </c>
      <c r="K1113" s="4" t="inlineStr">
        <is>
          <t>UNL</t>
        </is>
      </c>
      <c r="L1113" s="4" t="inlineStr">
        <is>
          <t>One per hunter. Valid in all Region 3 HDs.</t>
        </is>
      </c>
    </row>
    <row r="1114">
      <c r="A1114" s="4" t="inlineStr">
        <is>
          <t>303</t>
        </is>
      </c>
      <c r="B1114" s="4" t="inlineStr">
        <is>
          <t>whitetail</t>
        </is>
      </c>
      <c r="C1114" s="4" t="inlineStr">
        <is>
          <t>Deer B License: 399-00</t>
        </is>
      </c>
      <c r="D1114" s="4" t="inlineStr">
        <is>
          <t>Over the counter</t>
        </is>
      </c>
      <c r="E1114" s="4" t="inlineStr">
        <is>
          <t>Antlerless White-tailed Deer</t>
        </is>
      </c>
      <c r="F1114" s="4" t="inlineStr">
        <is>
          <t>Sep 05-Oct 18</t>
        </is>
      </c>
      <c r="G1114" s="4" t="inlineStr">
        <is>
          <t>Oct 24-Nov 29</t>
        </is>
      </c>
      <c r="H1114" s="4" t="inlineStr">
        <is>
          <t>Dec 12-Dec 20</t>
        </is>
      </c>
      <c r="I1114" s="4" t="n"/>
      <c r="J1114" s="4" t="inlineStr">
        <is>
          <t>OTC: Jun 15</t>
        </is>
      </c>
      <c r="K1114" s="4" t="inlineStr">
        <is>
          <t>UNL</t>
        </is>
      </c>
      <c r="L1114" s="4" t="inlineStr">
        <is>
          <t>Per hunter license quota set annually. Valid in HDs 302, 303, 320, 322, 323, 324, 329, 331, 340, and 360.</t>
        </is>
      </c>
    </row>
    <row r="1115">
      <c r="A1115" s="4" t="inlineStr">
        <is>
          <t>304</t>
        </is>
      </c>
      <c r="B1115" s="4" t="inlineStr">
        <is>
          <t>whitetail</t>
        </is>
      </c>
      <c r="C1115" s="4" t="inlineStr">
        <is>
          <t>General Deer License</t>
        </is>
      </c>
      <c r="D1115" s="13" t="inlineStr">
        <is>
          <t>General license</t>
        </is>
      </c>
      <c r="E1115" s="4" t="inlineStr">
        <is>
          <t>Either-sex White-tailed Deer</t>
        </is>
      </c>
      <c r="F1115" s="4" t="inlineStr">
        <is>
          <t>Sep 05-Oct 18</t>
        </is>
      </c>
      <c r="G1115" s="4" t="inlineStr">
        <is>
          <t>Oct 24-Nov 29</t>
        </is>
      </c>
      <c r="H1115" s="4" t="inlineStr">
        <is>
          <t>Dec 12-Dec 20</t>
        </is>
      </c>
      <c r="I1115" s="4" t="n"/>
      <c r="J1115" s="4" t="n"/>
      <c r="K1115" s="4" t="n"/>
      <c r="L1115" s="4" t="n"/>
    </row>
    <row r="1116">
      <c r="A1116" s="4" t="inlineStr">
        <is>
          <t>304</t>
        </is>
      </c>
      <c r="B1116" s="4" t="inlineStr">
        <is>
          <t>whitetail</t>
        </is>
      </c>
      <c r="C1116" s="4" t="inlineStr">
        <is>
          <t>Deer B License: 003-00</t>
        </is>
      </c>
      <c r="D1116" s="4" t="inlineStr">
        <is>
          <t>Over the counter</t>
        </is>
      </c>
      <c r="E1116" s="4" t="inlineStr">
        <is>
          <t>Antlerless White-tailed Deer</t>
        </is>
      </c>
      <c r="F1116" s="4" t="inlineStr">
        <is>
          <t>Sep 05-Oct 18</t>
        </is>
      </c>
      <c r="G1116" s="4" t="inlineStr">
        <is>
          <t>Oct 24-Nov 29</t>
        </is>
      </c>
      <c r="H1116" s="4" t="inlineStr">
        <is>
          <t>Dec 12-Dec 20</t>
        </is>
      </c>
      <c r="I1116" s="4" t="n"/>
      <c r="J1116" s="4" t="inlineStr">
        <is>
          <t>OTC: Jun 15</t>
        </is>
      </c>
      <c r="K1116" s="4" t="inlineStr">
        <is>
          <t>UNL</t>
        </is>
      </c>
      <c r="L1116" s="4" t="inlineStr">
        <is>
          <t>One per hunter. Valid in all Region 3 HDs.</t>
        </is>
      </c>
    </row>
    <row r="1117">
      <c r="A1117" s="4" t="inlineStr">
        <is>
          <t>304</t>
        </is>
      </c>
      <c r="B1117" s="4" t="inlineStr">
        <is>
          <t>whitetail</t>
        </is>
      </c>
      <c r="C1117" s="4" t="inlineStr">
        <is>
          <t>Deer B License: 398-00</t>
        </is>
      </c>
      <c r="D1117" s="4" t="inlineStr">
        <is>
          <t>Over the counter</t>
        </is>
      </c>
      <c r="E1117" s="4" t="inlineStr">
        <is>
          <t>Antlerless White-tailed Deer</t>
        </is>
      </c>
      <c r="F1117" s="4" t="inlineStr">
        <is>
          <t>Sep 05-Oct 18</t>
        </is>
      </c>
      <c r="G1117" s="4" t="inlineStr">
        <is>
          <t>Oct 24-Nov 29</t>
        </is>
      </c>
      <c r="H1117" s="4" t="inlineStr">
        <is>
          <t>Dec 12-Dec 20</t>
        </is>
      </c>
      <c r="I1117" s="4" t="n"/>
      <c r="J1117" s="4" t="inlineStr">
        <is>
          <t>OTC: Jun 15</t>
        </is>
      </c>
      <c r="K1117" s="4" t="inlineStr">
        <is>
          <t>UNL</t>
        </is>
      </c>
      <c r="L1117" s="4" t="inlineStr">
        <is>
          <t>One to three B licenses per hunter may be ofered for purchase. Multi-district license.</t>
        </is>
      </c>
    </row>
    <row r="1118">
      <c r="A1118" s="4" t="inlineStr">
        <is>
          <t>309</t>
        </is>
      </c>
      <c r="B1118" s="4" t="inlineStr">
        <is>
          <t>whitetail</t>
        </is>
      </c>
      <c r="C1118" s="4" t="inlineStr">
        <is>
          <t>General Deer License</t>
        </is>
      </c>
      <c r="D1118" s="13" t="inlineStr">
        <is>
          <t>General license</t>
        </is>
      </c>
      <c r="E1118" s="4" t="inlineStr">
        <is>
          <t>Antlerless White-tailed Deer</t>
        </is>
      </c>
      <c r="F1118" s="4" t="n"/>
      <c r="G1118" s="4" t="n"/>
      <c r="H1118" s="4" t="n"/>
      <c r="I1118" s="4" t="inlineStr">
        <is>
          <t>Nov 30-Jan 31</t>
        </is>
      </c>
      <c r="J1118" s="4" t="n"/>
      <c r="K1118" s="4" t="n"/>
      <c r="L1118" s="4" t="n"/>
    </row>
    <row r="1119">
      <c r="A1119" s="4" t="inlineStr">
        <is>
          <t>309</t>
        </is>
      </c>
      <c r="B1119" s="4" t="inlineStr">
        <is>
          <t>whitetail</t>
        </is>
      </c>
      <c r="C1119" s="4" t="inlineStr">
        <is>
          <t>General Deer License</t>
        </is>
      </c>
      <c r="D1119" s="13" t="inlineStr">
        <is>
          <t>General license</t>
        </is>
      </c>
      <c r="E1119" s="4" t="inlineStr">
        <is>
          <t>Either-sex White-tailed Deer</t>
        </is>
      </c>
      <c r="F1119" s="4" t="n"/>
      <c r="G1119" s="4" t="inlineStr">
        <is>
          <t>Sep 05-Nov 29</t>
        </is>
      </c>
      <c r="H1119" s="4" t="inlineStr">
        <is>
          <t>Dec 12-Dec 20</t>
        </is>
      </c>
      <c r="I1119" s="4" t="n"/>
      <c r="J1119" s="4" t="n"/>
      <c r="K1119" s="4" t="n"/>
      <c r="L1119" s="4" t="n"/>
    </row>
    <row r="1120">
      <c r="A1120" s="4" t="inlineStr">
        <is>
          <t>309</t>
        </is>
      </c>
      <c r="B1120" s="4" t="inlineStr">
        <is>
          <t>whitetail</t>
        </is>
      </c>
      <c r="C1120" s="4" t="inlineStr">
        <is>
          <t>Deer B License: 003-00</t>
        </is>
      </c>
      <c r="D1120" s="4" t="inlineStr">
        <is>
          <t>Over the counter</t>
        </is>
      </c>
      <c r="E1120" s="4" t="inlineStr">
        <is>
          <t>Antlerless White-tailed Deer</t>
        </is>
      </c>
      <c r="F1120" s="4" t="n"/>
      <c r="G1120" s="4" t="inlineStr">
        <is>
          <t>Sep 05-Nov 29</t>
        </is>
      </c>
      <c r="H1120" s="4" t="n"/>
      <c r="I1120" s="4" t="inlineStr">
        <is>
          <t>Nov 30-Jan 31</t>
        </is>
      </c>
      <c r="J1120" s="4" t="inlineStr">
        <is>
          <t>OTC: Jun 15</t>
        </is>
      </c>
      <c r="K1120" s="4" t="inlineStr">
        <is>
          <t>UNL</t>
        </is>
      </c>
      <c r="L1120" s="4" t="inlineStr">
        <is>
          <t>One per hunter. Valid in all Region 3 HDs.</t>
        </is>
      </c>
    </row>
    <row r="1121">
      <c r="A1121" s="4" t="inlineStr">
        <is>
          <t>309</t>
        </is>
      </c>
      <c r="B1121" s="4" t="inlineStr">
        <is>
          <t>whitetail</t>
        </is>
      </c>
      <c r="C1121" s="4" t="inlineStr">
        <is>
          <t>Deer B License: 398-00</t>
        </is>
      </c>
      <c r="D1121" s="4" t="inlineStr">
        <is>
          <t>Over the counter</t>
        </is>
      </c>
      <c r="E1121" s="4" t="inlineStr">
        <is>
          <t>Antlerless White-tailed Deer</t>
        </is>
      </c>
      <c r="F1121" s="4" t="n"/>
      <c r="G1121" s="4" t="inlineStr">
        <is>
          <t>Sep 05-Nov 29</t>
        </is>
      </c>
      <c r="H1121" s="4" t="n"/>
      <c r="I1121" s="4" t="inlineStr">
        <is>
          <t>Nov 30-Jan 31</t>
        </is>
      </c>
      <c r="J1121" s="4" t="inlineStr">
        <is>
          <t>OTC: Jun 15</t>
        </is>
      </c>
      <c r="K1121" s="4" t="inlineStr">
        <is>
          <t>UNL</t>
        </is>
      </c>
      <c r="L1121" s="4" t="inlineStr">
        <is>
          <t>One to three B licenses per hunter may be ofered for purchase. Multi-district license.</t>
        </is>
      </c>
    </row>
    <row r="1122">
      <c r="A1122" s="4" t="inlineStr">
        <is>
          <t>310</t>
        </is>
      </c>
      <c r="B1122" s="4" t="inlineStr">
        <is>
          <t>whitetail</t>
        </is>
      </c>
      <c r="C1122" s="4" t="inlineStr">
        <is>
          <t>General Deer License</t>
        </is>
      </c>
      <c r="D1122" s="13" t="inlineStr">
        <is>
          <t>General license</t>
        </is>
      </c>
      <c r="E1122" s="4" t="inlineStr">
        <is>
          <t>Either-sex White-tailed Deer</t>
        </is>
      </c>
      <c r="F1122" s="4" t="inlineStr">
        <is>
          <t>Sep 05-Oct 18</t>
        </is>
      </c>
      <c r="G1122" s="4" t="inlineStr">
        <is>
          <t>Oct 24-Nov 29</t>
        </is>
      </c>
      <c r="H1122" s="4" t="inlineStr">
        <is>
          <t>Dec 12-Dec 20</t>
        </is>
      </c>
      <c r="I1122" s="4" t="n"/>
      <c r="J1122" s="4" t="n"/>
      <c r="K1122" s="4" t="n"/>
      <c r="L1122" s="4" t="n"/>
    </row>
    <row r="1123">
      <c r="A1123" s="4" t="inlineStr">
        <is>
          <t>310</t>
        </is>
      </c>
      <c r="B1123" s="4" t="inlineStr">
        <is>
          <t>whitetail</t>
        </is>
      </c>
      <c r="C1123" s="4" t="inlineStr">
        <is>
          <t>Deer B License: 003-00</t>
        </is>
      </c>
      <c r="D1123" s="4" t="inlineStr">
        <is>
          <t>Over the counter</t>
        </is>
      </c>
      <c r="E1123" s="4" t="inlineStr">
        <is>
          <t>Antlerless White-tailed Deer</t>
        </is>
      </c>
      <c r="F1123" s="4" t="inlineStr">
        <is>
          <t>Sep 05-Oct 18</t>
        </is>
      </c>
      <c r="G1123" s="4" t="inlineStr">
        <is>
          <t>Oct 24-Nov 29</t>
        </is>
      </c>
      <c r="H1123" s="4" t="inlineStr">
        <is>
          <t>Dec 12-Dec 20</t>
        </is>
      </c>
      <c r="I1123" s="4" t="n"/>
      <c r="J1123" s="4" t="inlineStr">
        <is>
          <t>OTC: Jun 15</t>
        </is>
      </c>
      <c r="K1123" s="4" t="inlineStr">
        <is>
          <t>UNL</t>
        </is>
      </c>
      <c r="L1123" s="4" t="inlineStr">
        <is>
          <t>One per hunter. Valid in all Region 3 HDs.</t>
        </is>
      </c>
    </row>
    <row r="1124">
      <c r="A1124" s="4" t="inlineStr">
        <is>
          <t>311</t>
        </is>
      </c>
      <c r="B1124" s="4" t="inlineStr">
        <is>
          <t>whitetail</t>
        </is>
      </c>
      <c r="C1124" s="4" t="inlineStr">
        <is>
          <t>General Deer License</t>
        </is>
      </c>
      <c r="D1124" s="13" t="inlineStr">
        <is>
          <t>General license</t>
        </is>
      </c>
      <c r="E1124" s="4" t="inlineStr">
        <is>
          <t>Either-sex White-tailed Deer</t>
        </is>
      </c>
      <c r="F1124" s="4" t="inlineStr">
        <is>
          <t>Sep 05-Oct 18</t>
        </is>
      </c>
      <c r="G1124" s="4" t="inlineStr">
        <is>
          <t>Oct 24-Nov 29</t>
        </is>
      </c>
      <c r="H1124" s="4" t="inlineStr">
        <is>
          <t>Dec 12-Dec 20</t>
        </is>
      </c>
      <c r="I1124" s="4" t="n"/>
      <c r="J1124" s="4" t="n"/>
      <c r="K1124" s="4" t="n"/>
      <c r="L1124" s="4" t="n"/>
    </row>
    <row r="1125">
      <c r="A1125" s="4" t="inlineStr">
        <is>
          <t>311</t>
        </is>
      </c>
      <c r="B1125" s="4" t="inlineStr">
        <is>
          <t>whitetail</t>
        </is>
      </c>
      <c r="C1125" s="4" t="inlineStr">
        <is>
          <t>Deer B License: 003-00</t>
        </is>
      </c>
      <c r="D1125" s="4" t="inlineStr">
        <is>
          <t>Over the counter</t>
        </is>
      </c>
      <c r="E1125" s="4" t="inlineStr">
        <is>
          <t>Antlerless White-tailed Deer</t>
        </is>
      </c>
      <c r="F1125" s="4" t="inlineStr">
        <is>
          <t>Sep 05-Oct 18</t>
        </is>
      </c>
      <c r="G1125" s="4" t="inlineStr">
        <is>
          <t>Oct 24-Nov 29</t>
        </is>
      </c>
      <c r="H1125" s="4" t="inlineStr">
        <is>
          <t>Dec 12-Dec 20</t>
        </is>
      </c>
      <c r="I1125" s="4" t="n"/>
      <c r="J1125" s="4" t="inlineStr">
        <is>
          <t>OTC: Jun 15</t>
        </is>
      </c>
      <c r="K1125" s="4" t="inlineStr">
        <is>
          <t>UNL</t>
        </is>
      </c>
      <c r="L1125" s="4" t="inlineStr">
        <is>
          <t>One per hunter. Valid in all Region 3 HDs.</t>
        </is>
      </c>
    </row>
    <row r="1126">
      <c r="A1126" s="4" t="inlineStr">
        <is>
          <t>311</t>
        </is>
      </c>
      <c r="B1126" s="4" t="inlineStr">
        <is>
          <t>whitetail</t>
        </is>
      </c>
      <c r="C1126" s="4" t="inlineStr">
        <is>
          <t>Deer B License: 398-00</t>
        </is>
      </c>
      <c r="D1126" s="4" t="inlineStr">
        <is>
          <t>Over the counter</t>
        </is>
      </c>
      <c r="E1126" s="4" t="inlineStr">
        <is>
          <t>Antlerless White-tailed Deer</t>
        </is>
      </c>
      <c r="F1126" s="4" t="inlineStr">
        <is>
          <t>Sep 05-Oct 18</t>
        </is>
      </c>
      <c r="G1126" s="4" t="inlineStr">
        <is>
          <t>Oct 24-Nov 29</t>
        </is>
      </c>
      <c r="H1126" s="4" t="inlineStr">
        <is>
          <t>Dec 12-Dec 20</t>
        </is>
      </c>
      <c r="I1126" s="4" t="n"/>
      <c r="J1126" s="4" t="inlineStr">
        <is>
          <t>OTC: Jun 15</t>
        </is>
      </c>
      <c r="K1126" s="4" t="inlineStr">
        <is>
          <t>UNL</t>
        </is>
      </c>
      <c r="L1126" s="4" t="inlineStr">
        <is>
          <t>One to three B licenses per hunter may be ofered for purchase. Multi-district license.</t>
        </is>
      </c>
    </row>
    <row r="1127">
      <c r="A1127" s="4" t="inlineStr">
        <is>
          <t>312</t>
        </is>
      </c>
      <c r="B1127" s="4" t="inlineStr">
        <is>
          <t>whitetail</t>
        </is>
      </c>
      <c r="C1127" s="4" t="inlineStr">
        <is>
          <t>General Deer License</t>
        </is>
      </c>
      <c r="D1127" s="13" t="inlineStr">
        <is>
          <t>General license</t>
        </is>
      </c>
      <c r="E1127" s="4" t="inlineStr">
        <is>
          <t>Either-sex White-tailed Deer</t>
        </is>
      </c>
      <c r="F1127" s="4" t="inlineStr">
        <is>
          <t>Sep 05-Oct 18</t>
        </is>
      </c>
      <c r="G1127" s="4" t="inlineStr">
        <is>
          <t>Oct 24-Nov 29</t>
        </is>
      </c>
      <c r="H1127" s="4" t="inlineStr">
        <is>
          <t>Dec 12-Dec 20</t>
        </is>
      </c>
      <c r="I1127" s="4" t="n"/>
      <c r="J1127" s="4" t="n"/>
      <c r="K1127" s="4" t="n"/>
      <c r="L1127" s="4" t="n"/>
    </row>
    <row r="1128">
      <c r="A1128" s="4" t="inlineStr">
        <is>
          <t>312</t>
        </is>
      </c>
      <c r="B1128" s="4" t="inlineStr">
        <is>
          <t>whitetail</t>
        </is>
      </c>
      <c r="C1128" s="4" t="inlineStr">
        <is>
          <t>Deer B License: 003-00</t>
        </is>
      </c>
      <c r="D1128" s="4" t="inlineStr">
        <is>
          <t>Over the counter</t>
        </is>
      </c>
      <c r="E1128" s="4" t="inlineStr">
        <is>
          <t>Antlerless White-tailed Deer</t>
        </is>
      </c>
      <c r="F1128" s="4" t="inlineStr">
        <is>
          <t>Sep 05-Oct 18</t>
        </is>
      </c>
      <c r="G1128" s="4" t="inlineStr">
        <is>
          <t>Oct 24-Nov 29</t>
        </is>
      </c>
      <c r="H1128" s="4" t="inlineStr">
        <is>
          <t>Dec 12-Dec 20</t>
        </is>
      </c>
      <c r="I1128" s="4" t="n"/>
      <c r="J1128" s="4" t="inlineStr">
        <is>
          <t>OTC: Jun 15</t>
        </is>
      </c>
      <c r="K1128" s="4" t="inlineStr">
        <is>
          <t>UNL</t>
        </is>
      </c>
      <c r="L1128" s="4" t="inlineStr">
        <is>
          <t>One per hunter. Valid in all Region 3 HDs.</t>
        </is>
      </c>
    </row>
    <row r="1129">
      <c r="A1129" s="4" t="inlineStr">
        <is>
          <t>312</t>
        </is>
      </c>
      <c r="B1129" s="4" t="inlineStr">
        <is>
          <t>whitetail</t>
        </is>
      </c>
      <c r="C1129" s="4" t="inlineStr">
        <is>
          <t>Deer B License: 398-00</t>
        </is>
      </c>
      <c r="D1129" s="4" t="inlineStr">
        <is>
          <t>Over the counter</t>
        </is>
      </c>
      <c r="E1129" s="4" t="inlineStr">
        <is>
          <t>Antlerless White-tailed Deer</t>
        </is>
      </c>
      <c r="F1129" s="4" t="inlineStr">
        <is>
          <t>Sep 05-Oct 18</t>
        </is>
      </c>
      <c r="G1129" s="4" t="inlineStr">
        <is>
          <t>Oct 24-Nov 29</t>
        </is>
      </c>
      <c r="H1129" s="4" t="inlineStr">
        <is>
          <t>Dec 12-Dec 20</t>
        </is>
      </c>
      <c r="I1129" s="4" t="n"/>
      <c r="J1129" s="4" t="inlineStr">
        <is>
          <t>OTC: Jun 15</t>
        </is>
      </c>
      <c r="K1129" s="4" t="inlineStr">
        <is>
          <t>UNL</t>
        </is>
      </c>
      <c r="L1129" s="4" t="inlineStr">
        <is>
          <t>One to three B licenses per hunter may be ofered for purchase. Multi-district license.</t>
        </is>
      </c>
    </row>
    <row r="1130">
      <c r="A1130" s="4" t="inlineStr">
        <is>
          <t>313</t>
        </is>
      </c>
      <c r="B1130" s="4" t="inlineStr">
        <is>
          <t>whitetail</t>
        </is>
      </c>
      <c r="C1130" s="4" t="inlineStr">
        <is>
          <t>General Deer License</t>
        </is>
      </c>
      <c r="D1130" s="13" t="inlineStr">
        <is>
          <t>General license</t>
        </is>
      </c>
      <c r="E1130" s="4" t="inlineStr">
        <is>
          <t>Either-sex White-tailed Deer</t>
        </is>
      </c>
      <c r="F1130" s="4" t="inlineStr">
        <is>
          <t>Sep 05-Oct 18</t>
        </is>
      </c>
      <c r="G1130" s="4" t="inlineStr">
        <is>
          <t>Oct 24-Nov 29</t>
        </is>
      </c>
      <c r="H1130" s="4" t="inlineStr">
        <is>
          <t>Dec 12-Dec 20</t>
        </is>
      </c>
      <c r="I1130" s="4" t="n"/>
      <c r="J1130" s="4" t="n"/>
      <c r="K1130" s="4" t="n"/>
      <c r="L1130" s="4" t="n"/>
    </row>
    <row r="1131">
      <c r="A1131" s="4" t="inlineStr">
        <is>
          <t>313</t>
        </is>
      </c>
      <c r="B1131" s="4" t="inlineStr">
        <is>
          <t>whitetail</t>
        </is>
      </c>
      <c r="C1131" s="4" t="inlineStr">
        <is>
          <t>Deer B License: 003-00</t>
        </is>
      </c>
      <c r="D1131" s="4" t="inlineStr">
        <is>
          <t>Over the counter</t>
        </is>
      </c>
      <c r="E1131" s="4" t="inlineStr">
        <is>
          <t>Antlerless White-tailed Deer</t>
        </is>
      </c>
      <c r="F1131" s="4" t="inlineStr">
        <is>
          <t>Sep 05-Oct 18</t>
        </is>
      </c>
      <c r="G1131" s="4" t="inlineStr">
        <is>
          <t>Oct 24-Nov 29</t>
        </is>
      </c>
      <c r="H1131" s="4" t="inlineStr">
        <is>
          <t>Dec 12-Dec 20</t>
        </is>
      </c>
      <c r="I1131" s="4" t="n"/>
      <c r="J1131" s="4" t="inlineStr">
        <is>
          <t>OTC: Jun 15</t>
        </is>
      </c>
      <c r="K1131" s="4" t="inlineStr">
        <is>
          <t>UNL</t>
        </is>
      </c>
      <c r="L1131" s="4" t="inlineStr">
        <is>
          <t>One per hunter. Valid in all Region 3 HDs.</t>
        </is>
      </c>
    </row>
    <row r="1132">
      <c r="A1132" s="4" t="inlineStr">
        <is>
          <t>314</t>
        </is>
      </c>
      <c r="B1132" s="4" t="inlineStr">
        <is>
          <t>whitetail</t>
        </is>
      </c>
      <c r="C1132" s="4" t="inlineStr">
        <is>
          <t>General Deer License</t>
        </is>
      </c>
      <c r="D1132" s="13" t="inlineStr">
        <is>
          <t>General license</t>
        </is>
      </c>
      <c r="E1132" s="4" t="inlineStr">
        <is>
          <t>Either-sex White-tailed Deer</t>
        </is>
      </c>
      <c r="F1132" s="4" t="inlineStr">
        <is>
          <t>Sep 05-Oct 18</t>
        </is>
      </c>
      <c r="G1132" s="4" t="inlineStr">
        <is>
          <t>Oct 24-Nov 29</t>
        </is>
      </c>
      <c r="H1132" s="4" t="inlineStr">
        <is>
          <t>Dec 12-Dec 20</t>
        </is>
      </c>
      <c r="I1132" s="4" t="n"/>
      <c r="J1132" s="4" t="n"/>
      <c r="K1132" s="4" t="n"/>
      <c r="L1132" s="4" t="n"/>
    </row>
    <row r="1133">
      <c r="A1133" s="4" t="inlineStr">
        <is>
          <t>314</t>
        </is>
      </c>
      <c r="B1133" s="4" t="inlineStr">
        <is>
          <t>whitetail</t>
        </is>
      </c>
      <c r="C1133" s="4" t="inlineStr">
        <is>
          <t>General Deer License</t>
        </is>
      </c>
      <c r="D1133" s="13" t="inlineStr">
        <is>
          <t>General license</t>
        </is>
      </c>
      <c r="E1133" s="4" t="inlineStr">
        <is>
          <t>Antlerless White-tailed Deer</t>
        </is>
      </c>
      <c r="F1133" s="4" t="n"/>
      <c r="G1133" s="4" t="n"/>
      <c r="H1133" s="4" t="n"/>
      <c r="I1133" s="4" t="inlineStr">
        <is>
          <t>Nov 30-Jan 31</t>
        </is>
      </c>
      <c r="J1133" s="4" t="n"/>
      <c r="K1133" s="4" t="n"/>
      <c r="L1133" s="4" t="n"/>
    </row>
    <row r="1134">
      <c r="A1134" s="4" t="inlineStr">
        <is>
          <t>314</t>
        </is>
      </c>
      <c r="B1134" s="4" t="inlineStr">
        <is>
          <t>whitetail</t>
        </is>
      </c>
      <c r="C1134" s="4" t="inlineStr">
        <is>
          <t>Deer B License: 003-00</t>
        </is>
      </c>
      <c r="D1134" s="4" t="inlineStr">
        <is>
          <t>Over the counter</t>
        </is>
      </c>
      <c r="E1134" s="4" t="inlineStr">
        <is>
          <t>Antlerless White-tailed Deer</t>
        </is>
      </c>
      <c r="F1134" s="4" t="inlineStr">
        <is>
          <t>Sep 05-Oct 18</t>
        </is>
      </c>
      <c r="G1134" s="4" t="inlineStr">
        <is>
          <t>Oct 24-Nov 29</t>
        </is>
      </c>
      <c r="H1134" s="4" t="inlineStr">
        <is>
          <t>Dec 12-Dec 20</t>
        </is>
      </c>
      <c r="I1134" s="4" t="inlineStr">
        <is>
          <t>Nov 30-Jan 31</t>
        </is>
      </c>
      <c r="J1134" s="4" t="inlineStr">
        <is>
          <t>OTC: Jun 15</t>
        </is>
      </c>
      <c r="K1134" s="4" t="inlineStr">
        <is>
          <t>UNL</t>
        </is>
      </c>
      <c r="L1134" s="4" t="inlineStr">
        <is>
          <t>One per hunter. Valid in all Region 3 HDs.</t>
        </is>
      </c>
    </row>
    <row r="1135">
      <c r="A1135" s="4" t="inlineStr">
        <is>
          <t>314</t>
        </is>
      </c>
      <c r="B1135" s="4" t="inlineStr">
        <is>
          <t>whitetail</t>
        </is>
      </c>
      <c r="C1135" s="4" t="inlineStr">
        <is>
          <t>Deer B License: 397-00</t>
        </is>
      </c>
      <c r="D1135" s="4" t="inlineStr">
        <is>
          <t>Over the counter</t>
        </is>
      </c>
      <c r="E1135" s="4" t="inlineStr">
        <is>
          <t>Antlerless White-tailed Deer</t>
        </is>
      </c>
      <c r="F1135" s="4" t="inlineStr">
        <is>
          <t>Sep 05-Oct 18</t>
        </is>
      </c>
      <c r="G1135" s="4" t="inlineStr">
        <is>
          <t>Oct 24-Nov 29</t>
        </is>
      </c>
      <c r="H1135" s="4" t="inlineStr">
        <is>
          <t>Dec 12-Dec 20</t>
        </is>
      </c>
      <c r="I1135" s="4" t="inlineStr">
        <is>
          <t>Nov 30-Jan 31</t>
        </is>
      </c>
      <c r="J1135" s="4" t="inlineStr">
        <is>
          <t>OTC: Jun 15</t>
        </is>
      </c>
      <c r="K1135" s="4" t="inlineStr">
        <is>
          <t>UNL</t>
        </is>
      </c>
      <c r="L1135" s="4" t="inlineStr">
        <is>
          <t>Up to two licenses per hunter. Valid in HDs 314 and 317 only. 77 2026 Deer • Elk • Antelope Visit fwp.mt.gov LICENSE/PERMIT OPPORTUNITY APPL Y BY DATE QUOTA QUOTA RANGE EARL Y SEASON DATES ARCHERY ONL Y SEASON DATES GENERAL SEASON DATES HERITAGE MUZZLELOADER SEASON DATES LATE SEASON DATES OPPORTUNIT</t>
        </is>
      </c>
    </row>
    <row r="1136">
      <c r="A1136" s="4" t="inlineStr">
        <is>
          <t>315</t>
        </is>
      </c>
      <c r="B1136" s="4" t="inlineStr">
        <is>
          <t>whitetail</t>
        </is>
      </c>
      <c r="C1136" s="4" t="inlineStr">
        <is>
          <t>General Deer License</t>
        </is>
      </c>
      <c r="D1136" s="13" t="inlineStr">
        <is>
          <t>General license</t>
        </is>
      </c>
      <c r="E1136" s="4" t="inlineStr">
        <is>
          <t>Either-sex White-tailed Deer</t>
        </is>
      </c>
      <c r="F1136" s="4" t="inlineStr">
        <is>
          <t>Sep 05-Oct 18</t>
        </is>
      </c>
      <c r="G1136" s="4" t="inlineStr">
        <is>
          <t>Oct 24-Nov 29</t>
        </is>
      </c>
      <c r="H1136" s="4" t="inlineStr">
        <is>
          <t>Dec 12-Dec 20</t>
        </is>
      </c>
      <c r="I1136" s="4" t="n"/>
      <c r="J1136" s="4" t="n"/>
      <c r="K1136" s="4" t="n"/>
      <c r="L1136" s="4" t="n"/>
    </row>
    <row r="1137">
      <c r="A1137" s="4" t="inlineStr">
        <is>
          <t>315</t>
        </is>
      </c>
      <c r="B1137" s="4" t="inlineStr">
        <is>
          <t>whitetail</t>
        </is>
      </c>
      <c r="C1137" s="4" t="inlineStr">
        <is>
          <t>Deer B License: 003-00</t>
        </is>
      </c>
      <c r="D1137" s="4" t="inlineStr">
        <is>
          <t>Over the counter</t>
        </is>
      </c>
      <c r="E1137" s="4" t="inlineStr">
        <is>
          <t>Antlerless White-tailed Deer</t>
        </is>
      </c>
      <c r="F1137" s="4" t="inlineStr">
        <is>
          <t>Sep 05-Oct 18</t>
        </is>
      </c>
      <c r="G1137" s="4" t="inlineStr">
        <is>
          <t>Oct 24-Nov 29</t>
        </is>
      </c>
      <c r="H1137" s="4" t="inlineStr">
        <is>
          <t>Dec 12-Dec 20</t>
        </is>
      </c>
      <c r="I1137" s="4" t="n"/>
      <c r="J1137" s="4" t="inlineStr">
        <is>
          <t>OTC: Jun 15</t>
        </is>
      </c>
      <c r="K1137" s="4" t="inlineStr">
        <is>
          <t>UNL</t>
        </is>
      </c>
      <c r="L1137" s="4" t="inlineStr">
        <is>
          <t>One per hunter. Valid in all Region 3 HDs.</t>
        </is>
      </c>
    </row>
    <row r="1138">
      <c r="A1138" s="4" t="inlineStr">
        <is>
          <t>315</t>
        </is>
      </c>
      <c r="B1138" s="4" t="inlineStr">
        <is>
          <t>whitetail</t>
        </is>
      </c>
      <c r="C1138" s="4" t="inlineStr">
        <is>
          <t>Deer B License: 315-01</t>
        </is>
      </c>
      <c r="D1138" s="15" t="inlineStr">
        <is>
          <t>Drawing</t>
        </is>
      </c>
      <c r="E1138" s="4" t="inlineStr">
        <is>
          <t>Antlerless White-tailed Deer</t>
        </is>
      </c>
      <c r="F1138" s="4" t="inlineStr">
        <is>
          <t>Sep 05-Oct 18</t>
        </is>
      </c>
      <c r="G1138" s="4" t="inlineStr">
        <is>
          <t>Oct 24-Nov 29</t>
        </is>
      </c>
      <c r="H1138" s="4" t="inlineStr">
        <is>
          <t>Dec 12-Dec 20</t>
        </is>
      </c>
      <c r="I1138" s="4" t="n"/>
      <c r="J1138" s="4" t="inlineStr">
        <is>
          <t>Jun 1</t>
        </is>
      </c>
      <c r="K1138" s="4" t="inlineStr">
        <is>
          <t>250</t>
        </is>
      </c>
      <c r="L1138" s="4" t="n"/>
    </row>
    <row r="1139">
      <c r="A1139" s="4" t="inlineStr">
        <is>
          <t>316</t>
        </is>
      </c>
      <c r="B1139" s="4" t="inlineStr">
        <is>
          <t>whitetail</t>
        </is>
      </c>
      <c r="C1139" s="4" t="inlineStr">
        <is>
          <t>General Deer License</t>
        </is>
      </c>
      <c r="D1139" s="13" t="inlineStr">
        <is>
          <t>General license</t>
        </is>
      </c>
      <c r="E1139" s="4" t="inlineStr">
        <is>
          <t>Antlered Buck White-tailed Deer</t>
        </is>
      </c>
      <c r="F1139" s="4" t="n"/>
      <c r="G1139" s="4" t="inlineStr">
        <is>
          <t>Sep 15-Nov 29</t>
        </is>
      </c>
      <c r="H1139" s="4" t="inlineStr">
        <is>
          <t>Dec 12-Dec 20</t>
        </is>
      </c>
      <c r="I1139" s="4" t="n"/>
      <c r="J1139" s="4" t="n"/>
      <c r="K1139" s="4" t="n"/>
      <c r="L1139" s="4" t="n"/>
    </row>
    <row r="1140">
      <c r="A1140" s="4" t="inlineStr">
        <is>
          <t>316</t>
        </is>
      </c>
      <c r="B1140" s="4" t="inlineStr">
        <is>
          <t>whitetail</t>
        </is>
      </c>
      <c r="C1140" s="4" t="inlineStr">
        <is>
          <t>Deer B License: 003-00</t>
        </is>
      </c>
      <c r="D1140" s="4" t="inlineStr">
        <is>
          <t>Over the counter</t>
        </is>
      </c>
      <c r="E1140" s="4" t="inlineStr">
        <is>
          <t>Antlerless White-tailed Deer</t>
        </is>
      </c>
      <c r="F1140" s="4" t="n"/>
      <c r="G1140" s="4" t="inlineStr">
        <is>
          <t>Oct 24-Nov 29</t>
        </is>
      </c>
      <c r="H1140" s="4" t="inlineStr">
        <is>
          <t>Dec 12-Dec 20</t>
        </is>
      </c>
      <c r="I1140" s="4" t="n"/>
      <c r="J1140" s="4" t="inlineStr">
        <is>
          <t>OTC: Jun 15</t>
        </is>
      </c>
      <c r="K1140" s="4" t="inlineStr">
        <is>
          <t>UNL</t>
        </is>
      </c>
      <c r="L1140" s="4" t="inlineStr">
        <is>
          <t>One per hunter. Valid in all Region 3 HDs.</t>
        </is>
      </c>
    </row>
    <row r="1141">
      <c r="A1141" s="4" t="inlineStr">
        <is>
          <t>317</t>
        </is>
      </c>
      <c r="B1141" s="4" t="inlineStr">
        <is>
          <t>whitetail</t>
        </is>
      </c>
      <c r="C1141" s="4" t="inlineStr">
        <is>
          <t>General Deer License</t>
        </is>
      </c>
      <c r="D1141" s="13" t="inlineStr">
        <is>
          <t>General license</t>
        </is>
      </c>
      <c r="E1141" s="4" t="inlineStr">
        <is>
          <t>Either-sex White-tailed Deer</t>
        </is>
      </c>
      <c r="F1141" s="4" t="inlineStr">
        <is>
          <t>Sep 05-Oct 18</t>
        </is>
      </c>
      <c r="G1141" s="4" t="inlineStr">
        <is>
          <t>Oct 24-Nov 29</t>
        </is>
      </c>
      <c r="H1141" s="4" t="inlineStr">
        <is>
          <t>Dec 12-Dec 20</t>
        </is>
      </c>
      <c r="I1141" s="4" t="n"/>
      <c r="J1141" s="4" t="n"/>
      <c r="K1141" s="4" t="n"/>
      <c r="L1141" s="4" t="n"/>
    </row>
    <row r="1142">
      <c r="A1142" s="4" t="inlineStr">
        <is>
          <t>317</t>
        </is>
      </c>
      <c r="B1142" s="4" t="inlineStr">
        <is>
          <t>whitetail</t>
        </is>
      </c>
      <c r="C1142" s="4" t="inlineStr">
        <is>
          <t>General Deer License</t>
        </is>
      </c>
      <c r="D1142" s="13" t="inlineStr">
        <is>
          <t>General license</t>
        </is>
      </c>
      <c r="E1142" s="4" t="inlineStr">
        <is>
          <t>Antlerless White-tailed Deer</t>
        </is>
      </c>
      <c r="F1142" s="4" t="n"/>
      <c r="G1142" s="4" t="n"/>
      <c r="H1142" s="4" t="n"/>
      <c r="I1142" s="4" t="inlineStr">
        <is>
          <t>Nov 30-Jan 31</t>
        </is>
      </c>
      <c r="J1142" s="4" t="n"/>
      <c r="K1142" s="4" t="n"/>
      <c r="L1142" s="4" t="n"/>
    </row>
    <row r="1143">
      <c r="A1143" s="4" t="inlineStr">
        <is>
          <t>317</t>
        </is>
      </c>
      <c r="B1143" s="4" t="inlineStr">
        <is>
          <t>whitetail</t>
        </is>
      </c>
      <c r="C1143" s="4" t="inlineStr">
        <is>
          <t>Deer B License: 003-00</t>
        </is>
      </c>
      <c r="D1143" s="4" t="inlineStr">
        <is>
          <t>Over the counter</t>
        </is>
      </c>
      <c r="E1143" s="4" t="inlineStr">
        <is>
          <t>Antlerless White-tailed Deer</t>
        </is>
      </c>
      <c r="F1143" s="4" t="inlineStr">
        <is>
          <t>Sep 05-Oct 18</t>
        </is>
      </c>
      <c r="G1143" s="4" t="inlineStr">
        <is>
          <t>Oct 24-Nov 29</t>
        </is>
      </c>
      <c r="H1143" s="4" t="inlineStr">
        <is>
          <t>Dec 12-Dec 20</t>
        </is>
      </c>
      <c r="I1143" s="4" t="inlineStr">
        <is>
          <t>Nov 30-Jan 31</t>
        </is>
      </c>
      <c r="J1143" s="4" t="inlineStr">
        <is>
          <t>OTC: Jun 15</t>
        </is>
      </c>
      <c r="K1143" s="4" t="inlineStr">
        <is>
          <t>UNL</t>
        </is>
      </c>
      <c r="L1143" s="4" t="inlineStr">
        <is>
          <t>One per hunter. Valid in all Region 3 HDs.</t>
        </is>
      </c>
    </row>
    <row r="1144">
      <c r="A1144" s="4" t="inlineStr">
        <is>
          <t>317</t>
        </is>
      </c>
      <c r="B1144" s="4" t="inlineStr">
        <is>
          <t>whitetail</t>
        </is>
      </c>
      <c r="C1144" s="4" t="inlineStr">
        <is>
          <t>Deer B License: 397-00</t>
        </is>
      </c>
      <c r="D1144" s="4" t="inlineStr">
        <is>
          <t>Over the counter</t>
        </is>
      </c>
      <c r="E1144" s="4" t="inlineStr">
        <is>
          <t>Antlerless White-tailed Deer</t>
        </is>
      </c>
      <c r="F1144" s="4" t="inlineStr">
        <is>
          <t>Sep 05-Oct 18</t>
        </is>
      </c>
      <c r="G1144" s="4" t="inlineStr">
        <is>
          <t>Oct 24-Nov 29</t>
        </is>
      </c>
      <c r="H1144" s="4" t="inlineStr">
        <is>
          <t>Dec 12-Dec 20</t>
        </is>
      </c>
      <c r="I1144" s="4" t="inlineStr">
        <is>
          <t>Nov 30-Jan 31</t>
        </is>
      </c>
      <c r="J1144" s="4" t="inlineStr">
        <is>
          <t>OTC: Jun 15</t>
        </is>
      </c>
      <c r="K1144" s="4" t="inlineStr">
        <is>
          <t>UNL</t>
        </is>
      </c>
      <c r="L1144" s="4" t="inlineStr">
        <is>
          <t>Up to two licenses per hunter. Valid in HDs 314 and 317 only.</t>
        </is>
      </c>
    </row>
    <row r="1145">
      <c r="A1145" s="4" t="inlineStr">
        <is>
          <t>318</t>
        </is>
      </c>
      <c r="B1145" s="4" t="inlineStr">
        <is>
          <t>whitetail</t>
        </is>
      </c>
      <c r="C1145" s="4" t="inlineStr">
        <is>
          <t>General Deer License</t>
        </is>
      </c>
      <c r="D1145" s="13" t="inlineStr">
        <is>
          <t>General license</t>
        </is>
      </c>
      <c r="E1145" s="4" t="inlineStr">
        <is>
          <t>Either-sex White-tailed Deer</t>
        </is>
      </c>
      <c r="F1145" s="4" t="inlineStr">
        <is>
          <t>Sep 05-Oct 18</t>
        </is>
      </c>
      <c r="G1145" s="4" t="inlineStr">
        <is>
          <t>Oct 24-Nov 29</t>
        </is>
      </c>
      <c r="H1145" s="4" t="inlineStr">
        <is>
          <t>Dec 12-Dec 20</t>
        </is>
      </c>
      <c r="I1145" s="4" t="n"/>
      <c r="J1145" s="4" t="n"/>
      <c r="K1145" s="4" t="n"/>
      <c r="L1145" s="4" t="n"/>
    </row>
    <row r="1146">
      <c r="A1146" s="4" t="inlineStr">
        <is>
          <t>318</t>
        </is>
      </c>
      <c r="B1146" s="4" t="inlineStr">
        <is>
          <t>whitetail</t>
        </is>
      </c>
      <c r="C1146" s="4" t="inlineStr">
        <is>
          <t>Deer B License: 003-00</t>
        </is>
      </c>
      <c r="D1146" s="4" t="inlineStr">
        <is>
          <t>Over the counter</t>
        </is>
      </c>
      <c r="E1146" s="4" t="inlineStr">
        <is>
          <t>Antlerless White-tailed Deer</t>
        </is>
      </c>
      <c r="F1146" s="4" t="inlineStr">
        <is>
          <t>Sep 05-Oct 18</t>
        </is>
      </c>
      <c r="G1146" s="4" t="inlineStr">
        <is>
          <t>Oct 24-Nov 29</t>
        </is>
      </c>
      <c r="H1146" s="4" t="inlineStr">
        <is>
          <t>Dec 12-Dec 20</t>
        </is>
      </c>
      <c r="I1146" s="4" t="n"/>
      <c r="J1146" s="4" t="inlineStr">
        <is>
          <t>OTC: Jun 15</t>
        </is>
      </c>
      <c r="K1146" s="4" t="inlineStr">
        <is>
          <t>UNL</t>
        </is>
      </c>
      <c r="L1146" s="4" t="inlineStr">
        <is>
          <t>One per hunter. Valid in all Region 3 HDs.</t>
        </is>
      </c>
    </row>
    <row r="1147">
      <c r="A1147" s="4" t="inlineStr">
        <is>
          <t>319</t>
        </is>
      </c>
      <c r="B1147" s="4" t="inlineStr">
        <is>
          <t>whitetail</t>
        </is>
      </c>
      <c r="C1147" s="4" t="inlineStr">
        <is>
          <t>General Deer License</t>
        </is>
      </c>
      <c r="D1147" s="13" t="inlineStr">
        <is>
          <t>General license</t>
        </is>
      </c>
      <c r="E1147" s="4" t="inlineStr">
        <is>
          <t>Either-sex White-tailed Deer</t>
        </is>
      </c>
      <c r="F1147" s="4" t="inlineStr">
        <is>
          <t>Sep 05-Oct 18</t>
        </is>
      </c>
      <c r="G1147" s="4" t="inlineStr">
        <is>
          <t>Oct 24-Nov 29</t>
        </is>
      </c>
      <c r="H1147" s="4" t="inlineStr">
        <is>
          <t>Dec 12-Dec 20</t>
        </is>
      </c>
      <c r="I1147" s="4" t="n"/>
      <c r="J1147" s="4" t="n"/>
      <c r="K1147" s="4" t="n"/>
      <c r="L1147" s="4" t="n"/>
    </row>
    <row r="1148">
      <c r="A1148" s="4" t="inlineStr">
        <is>
          <t>319</t>
        </is>
      </c>
      <c r="B1148" s="4" t="inlineStr">
        <is>
          <t>whitetail</t>
        </is>
      </c>
      <c r="C1148" s="4" t="inlineStr">
        <is>
          <t>Deer B License: 003-00</t>
        </is>
      </c>
      <c r="D1148" s="4" t="inlineStr">
        <is>
          <t>Over the counter</t>
        </is>
      </c>
      <c r="E1148" s="4" t="inlineStr">
        <is>
          <t>Antlerless White-tailed Deer</t>
        </is>
      </c>
      <c r="F1148" s="4" t="inlineStr">
        <is>
          <t>Sep 05-Oct 18</t>
        </is>
      </c>
      <c r="G1148" s="4" t="inlineStr">
        <is>
          <t>Oct 24-Nov 29</t>
        </is>
      </c>
      <c r="H1148" s="4" t="inlineStr">
        <is>
          <t>Dec 12-Dec 20</t>
        </is>
      </c>
      <c r="I1148" s="4" t="n"/>
      <c r="J1148" s="4" t="inlineStr">
        <is>
          <t>OTC: Jun 15</t>
        </is>
      </c>
      <c r="K1148" s="4" t="inlineStr">
        <is>
          <t>UNL</t>
        </is>
      </c>
      <c r="L1148" s="4" t="inlineStr">
        <is>
          <t>One per hunter. Valid in all Region 3 HDs.</t>
        </is>
      </c>
    </row>
    <row r="1149">
      <c r="A1149" s="4" t="inlineStr">
        <is>
          <t>320</t>
        </is>
      </c>
      <c r="B1149" s="4" t="inlineStr">
        <is>
          <t>whitetail</t>
        </is>
      </c>
      <c r="C1149" s="4" t="inlineStr">
        <is>
          <t>General Deer License</t>
        </is>
      </c>
      <c r="D1149" s="13" t="inlineStr">
        <is>
          <t>General license</t>
        </is>
      </c>
      <c r="E1149" s="4" t="inlineStr">
        <is>
          <t>Either-sex White-tailed Deer</t>
        </is>
      </c>
      <c r="F1149" s="4" t="inlineStr">
        <is>
          <t>Sep 05-Oct 18</t>
        </is>
      </c>
      <c r="G1149" s="4" t="inlineStr">
        <is>
          <t>Oct 24-Nov 29</t>
        </is>
      </c>
      <c r="H1149" s="4" t="inlineStr">
        <is>
          <t>Dec 12-Dec 20</t>
        </is>
      </c>
      <c r="I1149" s="4" t="n"/>
      <c r="J1149" s="4" t="n"/>
      <c r="K1149" s="4" t="n"/>
      <c r="L1149" s="4" t="n"/>
    </row>
    <row r="1150">
      <c r="A1150" s="4" t="inlineStr">
        <is>
          <t>320</t>
        </is>
      </c>
      <c r="B1150" s="4" t="inlineStr">
        <is>
          <t>whitetail</t>
        </is>
      </c>
      <c r="C1150" s="4" t="inlineStr">
        <is>
          <t>Deer B License: 003-00</t>
        </is>
      </c>
      <c r="D1150" s="4" t="inlineStr">
        <is>
          <t>Over the counter</t>
        </is>
      </c>
      <c r="E1150" s="4" t="inlineStr">
        <is>
          <t>Antlerless White-tailed Deer</t>
        </is>
      </c>
      <c r="F1150" s="4" t="inlineStr">
        <is>
          <t>Sep 05-Oct 18</t>
        </is>
      </c>
      <c r="G1150" s="4" t="inlineStr">
        <is>
          <t>Oct 24-Nov 29</t>
        </is>
      </c>
      <c r="H1150" s="4" t="inlineStr">
        <is>
          <t>Dec 12-Dec 20</t>
        </is>
      </c>
      <c r="I1150" s="4" t="n"/>
      <c r="J1150" s="4" t="inlineStr">
        <is>
          <t>OTC: Jun 15</t>
        </is>
      </c>
      <c r="K1150" s="4" t="inlineStr">
        <is>
          <t>UNL</t>
        </is>
      </c>
      <c r="L1150" s="4" t="inlineStr">
        <is>
          <t>One per hunter. Valid in all Region 3 HDs.</t>
        </is>
      </c>
    </row>
    <row r="1151">
      <c r="A1151" s="4" t="inlineStr">
        <is>
          <t>320</t>
        </is>
      </c>
      <c r="B1151" s="4" t="inlineStr">
        <is>
          <t>whitetail</t>
        </is>
      </c>
      <c r="C1151" s="4" t="inlineStr">
        <is>
          <t>Deer B License: 399-00</t>
        </is>
      </c>
      <c r="D1151" s="4" t="inlineStr">
        <is>
          <t>Over the counter</t>
        </is>
      </c>
      <c r="E1151" s="4" t="inlineStr">
        <is>
          <t>Antlerless White-tailed Deer</t>
        </is>
      </c>
      <c r="F1151" s="4" t="inlineStr">
        <is>
          <t>Sep 05-Oct 18</t>
        </is>
      </c>
      <c r="G1151" s="4" t="inlineStr">
        <is>
          <t>Oct 24-Nov 29</t>
        </is>
      </c>
      <c r="H1151" s="4" t="inlineStr">
        <is>
          <t>Dec 12-Dec 20</t>
        </is>
      </c>
      <c r="I1151" s="4" t="n"/>
      <c r="J1151" s="4" t="inlineStr">
        <is>
          <t>OTC: Jun 15</t>
        </is>
      </c>
      <c r="K1151" s="4" t="inlineStr">
        <is>
          <t>UNL</t>
        </is>
      </c>
      <c r="L1151" s="4" t="inlineStr">
        <is>
          <t>Per hunter quota set annually. Multi-district license.</t>
        </is>
      </c>
    </row>
    <row r="1152">
      <c r="A1152" s="4" t="inlineStr">
        <is>
          <t>321</t>
        </is>
      </c>
      <c r="B1152" s="4" t="inlineStr">
        <is>
          <t>whitetail</t>
        </is>
      </c>
      <c r="C1152" s="4" t="inlineStr">
        <is>
          <t>General Deer License</t>
        </is>
      </c>
      <c r="D1152" s="13" t="inlineStr">
        <is>
          <t>General license</t>
        </is>
      </c>
      <c r="E1152" s="4" t="inlineStr">
        <is>
          <t>Either-sex White-tailed Deer</t>
        </is>
      </c>
      <c r="F1152" s="4" t="inlineStr">
        <is>
          <t>Sep 05-Oct 18</t>
        </is>
      </c>
      <c r="G1152" s="4" t="inlineStr">
        <is>
          <t>Oct 24-Nov 29</t>
        </is>
      </c>
      <c r="H1152" s="4" t="inlineStr">
        <is>
          <t>Dec 12-Dec 20</t>
        </is>
      </c>
      <c r="I1152" s="4" t="n"/>
      <c r="J1152" s="4" t="n"/>
      <c r="K1152" s="4" t="n"/>
      <c r="L1152" s="4" t="n"/>
    </row>
    <row r="1153">
      <c r="A1153" s="4" t="inlineStr">
        <is>
          <t>321</t>
        </is>
      </c>
      <c r="B1153" s="4" t="inlineStr">
        <is>
          <t>whitetail</t>
        </is>
      </c>
      <c r="C1153" s="4" t="inlineStr">
        <is>
          <t>Deer B License: 003-00</t>
        </is>
      </c>
      <c r="D1153" s="4" t="inlineStr">
        <is>
          <t>Over the counter</t>
        </is>
      </c>
      <c r="E1153" s="4" t="inlineStr">
        <is>
          <t>Antlerless White-tailed Deer</t>
        </is>
      </c>
      <c r="F1153" s="4" t="inlineStr">
        <is>
          <t>Sep 05-Oct 18</t>
        </is>
      </c>
      <c r="G1153" s="4" t="inlineStr">
        <is>
          <t>Oct 24-Nov 29</t>
        </is>
      </c>
      <c r="H1153" s="4" t="inlineStr">
        <is>
          <t>Dec 12-Dec 20</t>
        </is>
      </c>
      <c r="I1153" s="4" t="n"/>
      <c r="J1153" s="4" t="inlineStr">
        <is>
          <t>OTC: Jun 15</t>
        </is>
      </c>
      <c r="K1153" s="4" t="inlineStr">
        <is>
          <t>UNL</t>
        </is>
      </c>
      <c r="L1153" s="4" t="inlineStr">
        <is>
          <t>One per hunter. Valid in all Region 3 HDs.</t>
        </is>
      </c>
    </row>
    <row r="1154">
      <c r="A1154" s="4" t="inlineStr">
        <is>
          <t>322</t>
        </is>
      </c>
      <c r="B1154" s="4" t="inlineStr">
        <is>
          <t>whitetail</t>
        </is>
      </c>
      <c r="C1154" s="4" t="inlineStr">
        <is>
          <t>General Deer License</t>
        </is>
      </c>
      <c r="D1154" s="13" t="inlineStr">
        <is>
          <t>General license</t>
        </is>
      </c>
      <c r="E1154" s="4" t="inlineStr">
        <is>
          <t>Either-sex White-tailed Deer</t>
        </is>
      </c>
      <c r="F1154" s="4" t="inlineStr">
        <is>
          <t>Sep 05-Oct 18</t>
        </is>
      </c>
      <c r="G1154" s="4" t="inlineStr">
        <is>
          <t>Oct 24-Nov 29</t>
        </is>
      </c>
      <c r="H1154" s="4" t="inlineStr">
        <is>
          <t>Dec 12-Dec 20</t>
        </is>
      </c>
      <c r="I1154" s="4" t="n"/>
      <c r="J1154" s="4" t="n"/>
      <c r="K1154" s="4" t="n"/>
      <c r="L1154" s="4" t="n"/>
    </row>
    <row r="1155">
      <c r="A1155" s="4" t="inlineStr">
        <is>
          <t>322</t>
        </is>
      </c>
      <c r="B1155" s="4" t="inlineStr">
        <is>
          <t>whitetail</t>
        </is>
      </c>
      <c r="C1155" s="4" t="inlineStr">
        <is>
          <t>Deer B License: 003-00</t>
        </is>
      </c>
      <c r="D1155" s="4" t="inlineStr">
        <is>
          <t>Over the counter</t>
        </is>
      </c>
      <c r="E1155" s="4" t="inlineStr">
        <is>
          <t>Antlerless White-tailed Deer</t>
        </is>
      </c>
      <c r="F1155" s="4" t="inlineStr">
        <is>
          <t>Sep 05-Oct 18</t>
        </is>
      </c>
      <c r="G1155" s="4" t="inlineStr">
        <is>
          <t>Oct 24-Nov 29</t>
        </is>
      </c>
      <c r="H1155" s="4" t="inlineStr">
        <is>
          <t>Dec 12-Dec 20</t>
        </is>
      </c>
      <c r="I1155" s="4" t="n"/>
      <c r="J1155" s="4" t="inlineStr">
        <is>
          <t>OTC: Jun 15</t>
        </is>
      </c>
      <c r="K1155" s="4" t="inlineStr">
        <is>
          <t>UNL</t>
        </is>
      </c>
      <c r="L1155" s="4" t="inlineStr">
        <is>
          <t>One per hunter. Valid in all Region 3 HDs.</t>
        </is>
      </c>
    </row>
    <row r="1156">
      <c r="A1156" s="4" t="inlineStr">
        <is>
          <t>322</t>
        </is>
      </c>
      <c r="B1156" s="4" t="inlineStr">
        <is>
          <t>whitetail</t>
        </is>
      </c>
      <c r="C1156" s="4" t="inlineStr">
        <is>
          <t>Deer B License: 399-00</t>
        </is>
      </c>
      <c r="D1156" s="4" t="inlineStr">
        <is>
          <t>Over the counter</t>
        </is>
      </c>
      <c r="E1156" s="4" t="inlineStr">
        <is>
          <t>Antlerless White-tailed Deer</t>
        </is>
      </c>
      <c r="F1156" s="4" t="inlineStr">
        <is>
          <t>Sep 05-Oct 18</t>
        </is>
      </c>
      <c r="G1156" s="4" t="inlineStr">
        <is>
          <t>Oct 24-Nov 29</t>
        </is>
      </c>
      <c r="H1156" s="4" t="inlineStr">
        <is>
          <t>Dec 12-Dec 20</t>
        </is>
      </c>
      <c r="I1156" s="4" t="n"/>
      <c r="J1156" s="4" t="inlineStr">
        <is>
          <t>OTC: Jun 15</t>
        </is>
      </c>
      <c r="K1156" s="4" t="inlineStr">
        <is>
          <t>UNL</t>
        </is>
      </c>
      <c r="L1156" s="4" t="inlineStr">
        <is>
          <t>Per hunter license quota set annually. Multi-district license.</t>
        </is>
      </c>
    </row>
    <row r="1157">
      <c r="A1157" s="4" t="inlineStr">
        <is>
          <t>323</t>
        </is>
      </c>
      <c r="B1157" s="4" t="inlineStr">
        <is>
          <t>whitetail</t>
        </is>
      </c>
      <c r="C1157" s="4" t="inlineStr">
        <is>
          <t>General Deer License</t>
        </is>
      </c>
      <c r="D1157" s="13" t="inlineStr">
        <is>
          <t>General license</t>
        </is>
      </c>
      <c r="E1157" s="4" t="inlineStr">
        <is>
          <t>Either-sex White-tailed Deer</t>
        </is>
      </c>
      <c r="F1157" s="4" t="inlineStr">
        <is>
          <t>Sep 05-Oct 18</t>
        </is>
      </c>
      <c r="G1157" s="4" t="inlineStr">
        <is>
          <t>Oct 24-Nov 29</t>
        </is>
      </c>
      <c r="H1157" s="4" t="inlineStr">
        <is>
          <t>Dec 12-Dec 20</t>
        </is>
      </c>
      <c r="I1157" s="4" t="n"/>
      <c r="J1157" s="4" t="n"/>
      <c r="K1157" s="4" t="n"/>
      <c r="L1157" s="4" t="n"/>
    </row>
    <row r="1158">
      <c r="A1158" s="4" t="inlineStr">
        <is>
          <t>323</t>
        </is>
      </c>
      <c r="B1158" s="4" t="inlineStr">
        <is>
          <t>whitetail</t>
        </is>
      </c>
      <c r="C1158" s="4" t="inlineStr">
        <is>
          <t>Deer B License: 003-00</t>
        </is>
      </c>
      <c r="D1158" s="4" t="inlineStr">
        <is>
          <t>Over the counter</t>
        </is>
      </c>
      <c r="E1158" s="4" t="inlineStr">
        <is>
          <t>Antlerless White-tailed Deer</t>
        </is>
      </c>
      <c r="F1158" s="4" t="inlineStr">
        <is>
          <t>Sep 05-Oct 18</t>
        </is>
      </c>
      <c r="G1158" s="4" t="inlineStr">
        <is>
          <t>Oct 24-Nov 29</t>
        </is>
      </c>
      <c r="H1158" s="4" t="inlineStr">
        <is>
          <t>Dec 12-Dec 20</t>
        </is>
      </c>
      <c r="I1158" s="4" t="n"/>
      <c r="J1158" s="4" t="inlineStr">
        <is>
          <t>OTC: Jun 15</t>
        </is>
      </c>
      <c r="K1158" s="4" t="inlineStr">
        <is>
          <t>UNL</t>
        </is>
      </c>
      <c r="L1158" s="4" t="inlineStr">
        <is>
          <t>One per hunter. Valid in all Region 3 HDs.</t>
        </is>
      </c>
    </row>
    <row r="1159">
      <c r="A1159" s="4" t="inlineStr">
        <is>
          <t>323</t>
        </is>
      </c>
      <c r="B1159" s="4" t="inlineStr">
        <is>
          <t>whitetail</t>
        </is>
      </c>
      <c r="C1159" s="4" t="inlineStr">
        <is>
          <t>Deer B License: 399-00</t>
        </is>
      </c>
      <c r="D1159" s="4" t="inlineStr">
        <is>
          <t>Over the counter</t>
        </is>
      </c>
      <c r="E1159" s="4" t="inlineStr">
        <is>
          <t>Antlerless White-tailed Deer</t>
        </is>
      </c>
      <c r="F1159" s="4" t="inlineStr">
        <is>
          <t>Sep 05-Oct 18</t>
        </is>
      </c>
      <c r="G1159" s="4" t="inlineStr">
        <is>
          <t>Oct 24-Nov 29</t>
        </is>
      </c>
      <c r="H1159" s="4" t="inlineStr">
        <is>
          <t>Dec 12-Dec 20</t>
        </is>
      </c>
      <c r="I1159" s="4" t="n"/>
      <c r="J1159" s="4" t="inlineStr">
        <is>
          <t>OTC: Jun 15</t>
        </is>
      </c>
      <c r="K1159" s="4" t="inlineStr">
        <is>
          <t>UNL</t>
        </is>
      </c>
      <c r="L1159" s="4" t="inlineStr">
        <is>
          <t>Per hunter license quota set annually. Multi-district license.</t>
        </is>
      </c>
    </row>
    <row r="1160">
      <c r="A1160" s="4" t="inlineStr">
        <is>
          <t>324</t>
        </is>
      </c>
      <c r="B1160" s="4" t="inlineStr">
        <is>
          <t>whitetail</t>
        </is>
      </c>
      <c r="C1160" s="4" t="inlineStr">
        <is>
          <t>General Deer License</t>
        </is>
      </c>
      <c r="D1160" s="13" t="inlineStr">
        <is>
          <t>General license</t>
        </is>
      </c>
      <c r="E1160" s="4" t="inlineStr">
        <is>
          <t>Either-sex White-tailed Deer</t>
        </is>
      </c>
      <c r="F1160" s="4" t="inlineStr">
        <is>
          <t>Sep 05-Oct 18</t>
        </is>
      </c>
      <c r="G1160" s="4" t="inlineStr">
        <is>
          <t>Oct 24-Nov 29</t>
        </is>
      </c>
      <c r="H1160" s="4" t="inlineStr">
        <is>
          <t>Dec 12-Dec 20</t>
        </is>
      </c>
      <c r="I1160" s="4" t="n"/>
      <c r="J1160" s="4" t="n"/>
      <c r="K1160" s="4" t="n"/>
      <c r="L1160" s="4" t="n"/>
    </row>
    <row r="1161">
      <c r="A1161" s="4" t="inlineStr">
        <is>
          <t>324</t>
        </is>
      </c>
      <c r="B1161" s="4" t="inlineStr">
        <is>
          <t>whitetail</t>
        </is>
      </c>
      <c r="C1161" s="4" t="inlineStr">
        <is>
          <t>Deer B License: 003-00</t>
        </is>
      </c>
      <c r="D1161" s="4" t="inlineStr">
        <is>
          <t>Over the counter</t>
        </is>
      </c>
      <c r="E1161" s="4" t="inlineStr">
        <is>
          <t>Antlerless White-tailed Deer</t>
        </is>
      </c>
      <c r="F1161" s="4" t="inlineStr">
        <is>
          <t>Sep 05-Oct 18</t>
        </is>
      </c>
      <c r="G1161" s="4" t="inlineStr">
        <is>
          <t>Oct 24-Nov 29</t>
        </is>
      </c>
      <c r="H1161" s="4" t="inlineStr">
        <is>
          <t>Dec 12-Dec 20</t>
        </is>
      </c>
      <c r="I1161" s="4" t="n"/>
      <c r="J1161" s="4" t="inlineStr">
        <is>
          <t>OTC: Jun 15</t>
        </is>
      </c>
      <c r="K1161" s="4" t="inlineStr">
        <is>
          <t>UNL</t>
        </is>
      </c>
      <c r="L1161" s="4" t="inlineStr">
        <is>
          <t>One per hunter. Valid in all Region 3 HDs.</t>
        </is>
      </c>
    </row>
    <row r="1162">
      <c r="A1162" s="4" t="inlineStr">
        <is>
          <t>324</t>
        </is>
      </c>
      <c r="B1162" s="4" t="inlineStr">
        <is>
          <t>whitetail</t>
        </is>
      </c>
      <c r="C1162" s="4" t="inlineStr">
        <is>
          <t>Deer B License: 399-00</t>
        </is>
      </c>
      <c r="D1162" s="4" t="inlineStr">
        <is>
          <t>Over the counter</t>
        </is>
      </c>
      <c r="E1162" s="4" t="inlineStr">
        <is>
          <t>Antlerless White-tailed Deer</t>
        </is>
      </c>
      <c r="F1162" s="4" t="inlineStr">
        <is>
          <t>Sep 05-Oct 18</t>
        </is>
      </c>
      <c r="G1162" s="4" t="inlineStr">
        <is>
          <t>Oct 24-Nov 29</t>
        </is>
      </c>
      <c r="H1162" s="4" t="inlineStr">
        <is>
          <t>Dec 12-Dec 20</t>
        </is>
      </c>
      <c r="I1162" s="4" t="n"/>
      <c r="J1162" s="4" t="inlineStr">
        <is>
          <t>OTC: Jun 15</t>
        </is>
      </c>
      <c r="K1162" s="4" t="inlineStr">
        <is>
          <t>UNL</t>
        </is>
      </c>
      <c r="L1162" s="4" t="inlineStr">
        <is>
          <t>Per hunter license quota set annually. Multi-district license.</t>
        </is>
      </c>
    </row>
    <row r="1163">
      <c r="A1163" s="4" t="inlineStr">
        <is>
          <t>329</t>
        </is>
      </c>
      <c r="B1163" s="4" t="inlineStr">
        <is>
          <t>whitetail</t>
        </is>
      </c>
      <c r="C1163" s="4" t="inlineStr">
        <is>
          <t>General Deer License</t>
        </is>
      </c>
      <c r="D1163" s="13" t="inlineStr">
        <is>
          <t>General license</t>
        </is>
      </c>
      <c r="E1163" s="4" t="inlineStr">
        <is>
          <t>Either-sex White-tailed Deer</t>
        </is>
      </c>
      <c r="F1163" s="4" t="inlineStr">
        <is>
          <t>Sep 05-Oct 18</t>
        </is>
      </c>
      <c r="G1163" s="4" t="inlineStr">
        <is>
          <t>Oct 24-Nov 29</t>
        </is>
      </c>
      <c r="H1163" s="4" t="inlineStr">
        <is>
          <t>Dec 12-Dec 20</t>
        </is>
      </c>
      <c r="I1163" s="4" t="n"/>
      <c r="J1163" s="4" t="n"/>
      <c r="K1163" s="4" t="n"/>
      <c r="L1163" s="4" t="n"/>
    </row>
    <row r="1164">
      <c r="A1164" s="4" t="inlineStr">
        <is>
          <t>329</t>
        </is>
      </c>
      <c r="B1164" s="4" t="inlineStr">
        <is>
          <t>whitetail</t>
        </is>
      </c>
      <c r="C1164" s="4" t="inlineStr">
        <is>
          <t>Deer B License: 003-00</t>
        </is>
      </c>
      <c r="D1164" s="4" t="inlineStr">
        <is>
          <t>Over the counter</t>
        </is>
      </c>
      <c r="E1164" s="4" t="inlineStr">
        <is>
          <t>Antlerless White-tailed Deer</t>
        </is>
      </c>
      <c r="F1164" s="4" t="inlineStr">
        <is>
          <t>Sep 05-Oct 18</t>
        </is>
      </c>
      <c r="G1164" s="4" t="inlineStr">
        <is>
          <t>Oct 24-Nov 29</t>
        </is>
      </c>
      <c r="H1164" s="4" t="inlineStr">
        <is>
          <t>Dec 12-Dec 20</t>
        </is>
      </c>
      <c r="I1164" s="4" t="n"/>
      <c r="J1164" s="4" t="inlineStr">
        <is>
          <t>OTC: Jun 15</t>
        </is>
      </c>
      <c r="K1164" s="4" t="inlineStr">
        <is>
          <t>UNL</t>
        </is>
      </c>
      <c r="L1164" s="4" t="inlineStr">
        <is>
          <t>One per hunter. Valid in all Region 3 HDs.</t>
        </is>
      </c>
    </row>
    <row r="1165">
      <c r="A1165" s="4" t="inlineStr">
        <is>
          <t>329</t>
        </is>
      </c>
      <c r="B1165" s="4" t="inlineStr">
        <is>
          <t>whitetail</t>
        </is>
      </c>
      <c r="C1165" s="4" t="inlineStr">
        <is>
          <t>Deer B License: 399-00</t>
        </is>
      </c>
      <c r="D1165" s="4" t="inlineStr">
        <is>
          <t>Over the counter</t>
        </is>
      </c>
      <c r="E1165" s="4" t="inlineStr">
        <is>
          <t>Antlerless White-tailed Deer</t>
        </is>
      </c>
      <c r="F1165" s="4" t="inlineStr">
        <is>
          <t>Sep 05-Oct 18</t>
        </is>
      </c>
      <c r="G1165" s="4" t="inlineStr">
        <is>
          <t>Oct 24-Nov 29</t>
        </is>
      </c>
      <c r="H1165" s="4" t="inlineStr">
        <is>
          <t>Dec 12-Dec 20</t>
        </is>
      </c>
      <c r="I1165" s="4" t="n"/>
      <c r="J1165" s="4" t="inlineStr">
        <is>
          <t>OTC: Jun 15</t>
        </is>
      </c>
      <c r="K1165" s="4" t="inlineStr">
        <is>
          <t>UNL</t>
        </is>
      </c>
      <c r="L1165" s="4" t="inlineStr">
        <is>
          <t>Per hunter license quota set annually. Valid in HDs 302, 303, 320, 322, 323, 324, 329, 331, 340, and 360.</t>
        </is>
      </c>
    </row>
    <row r="1166">
      <c r="A1166" s="4" t="inlineStr">
        <is>
          <t>331</t>
        </is>
      </c>
      <c r="B1166" s="4" t="inlineStr">
        <is>
          <t>whitetail</t>
        </is>
      </c>
      <c r="C1166" s="4" t="inlineStr">
        <is>
          <t>General Deer License</t>
        </is>
      </c>
      <c r="D1166" s="13" t="inlineStr">
        <is>
          <t>General license</t>
        </is>
      </c>
      <c r="E1166" s="4" t="inlineStr">
        <is>
          <t>Either-sex White-tailed Deer</t>
        </is>
      </c>
      <c r="F1166" s="4" t="inlineStr">
        <is>
          <t>Sep 05-Oct 18</t>
        </is>
      </c>
      <c r="G1166" s="4" t="inlineStr">
        <is>
          <t>Oct 24-Nov 29</t>
        </is>
      </c>
      <c r="H1166" s="4" t="inlineStr">
        <is>
          <t>Dec 12-Dec 20</t>
        </is>
      </c>
      <c r="I1166" s="4" t="n"/>
      <c r="J1166" s="4" t="n"/>
      <c r="K1166" s="4" t="n"/>
      <c r="L1166" s="4" t="n"/>
    </row>
    <row r="1167">
      <c r="A1167" s="4" t="inlineStr">
        <is>
          <t>331</t>
        </is>
      </c>
      <c r="B1167" s="4" t="inlineStr">
        <is>
          <t>whitetail</t>
        </is>
      </c>
      <c r="C1167" s="4" t="inlineStr">
        <is>
          <t>Deer B License: 003-00</t>
        </is>
      </c>
      <c r="D1167" s="4" t="inlineStr">
        <is>
          <t>Over the counter</t>
        </is>
      </c>
      <c r="E1167" s="4" t="inlineStr">
        <is>
          <t>Antlerless White-tailed Deer</t>
        </is>
      </c>
      <c r="F1167" s="4" t="inlineStr">
        <is>
          <t>Sep 05-Oct 18</t>
        </is>
      </c>
      <c r="G1167" s="4" t="inlineStr">
        <is>
          <t>Oct 24-Nov 29</t>
        </is>
      </c>
      <c r="H1167" s="4" t="inlineStr">
        <is>
          <t>Dec 12-Dec 20</t>
        </is>
      </c>
      <c r="I1167" s="4" t="n"/>
      <c r="J1167" s="4" t="inlineStr">
        <is>
          <t>OTC: Jun 15</t>
        </is>
      </c>
      <c r="K1167" s="4" t="inlineStr">
        <is>
          <t>UNL</t>
        </is>
      </c>
      <c r="L1167" s="4" t="inlineStr">
        <is>
          <t>One per hunter. Valid in all Region 3 HDs.</t>
        </is>
      </c>
    </row>
    <row r="1168">
      <c r="A1168" s="4" t="inlineStr">
        <is>
          <t>331</t>
        </is>
      </c>
      <c r="B1168" s="4" t="inlineStr">
        <is>
          <t>whitetail</t>
        </is>
      </c>
      <c r="C1168" s="4" t="inlineStr">
        <is>
          <t>Deer B License: 331-01</t>
        </is>
      </c>
      <c r="D1168" s="15" t="inlineStr">
        <is>
          <t>Drawing</t>
        </is>
      </c>
      <c r="E1168" s="4" t="inlineStr">
        <is>
          <t>Antlerless White-tailed Deer</t>
        </is>
      </c>
      <c r="F1168" s="4" t="inlineStr">
        <is>
          <t>Sep 05-Oct 18</t>
        </is>
      </c>
      <c r="G1168" s="4" t="inlineStr">
        <is>
          <t>Oct 24-Nov 29</t>
        </is>
      </c>
      <c r="H1168" s="4" t="inlineStr">
        <is>
          <t>Dec 12-Dec 20</t>
        </is>
      </c>
      <c r="I1168" s="4" t="n"/>
      <c r="J1168" s="4" t="inlineStr">
        <is>
          <t>Jun 1</t>
        </is>
      </c>
      <c r="K1168" s="4" t="inlineStr">
        <is>
          <t>25</t>
        </is>
      </c>
      <c r="L1168" s="4" t="n"/>
    </row>
    <row r="1169">
      <c r="A1169" s="4" t="inlineStr">
        <is>
          <t>331</t>
        </is>
      </c>
      <c r="B1169" s="4" t="inlineStr">
        <is>
          <t>whitetail</t>
        </is>
      </c>
      <c r="C1169" s="4" t="inlineStr">
        <is>
          <t>Deer B License: 399-00</t>
        </is>
      </c>
      <c r="D1169" s="4" t="inlineStr">
        <is>
          <t>Over the counter</t>
        </is>
      </c>
      <c r="E1169" s="4" t="inlineStr">
        <is>
          <t>Antlerless White-tailed Deer</t>
        </is>
      </c>
      <c r="F1169" s="4" t="inlineStr">
        <is>
          <t>Sep 05-Oct 18</t>
        </is>
      </c>
      <c r="G1169" s="4" t="inlineStr">
        <is>
          <t>Oct 24-Nov 29</t>
        </is>
      </c>
      <c r="H1169" s="4" t="inlineStr">
        <is>
          <t>Dec 12-Dec 20</t>
        </is>
      </c>
      <c r="I1169" s="4" t="n"/>
      <c r="J1169" s="4" t="inlineStr">
        <is>
          <t>OTC: Jun 15</t>
        </is>
      </c>
      <c r="K1169" s="4" t="inlineStr">
        <is>
          <t>UNL</t>
        </is>
      </c>
      <c r="L1169" s="4" t="inlineStr">
        <is>
          <t>Per hunter license quota set annually. Valid in HDs 302, 303, 320, 322, 323, 324, 329, 331, 340, and 360. LICENSE/PERMIT OPPORTUNITY APPL Y BY DATE QUOTA QUOTA RANGE EARL Y SEASON DATES ARCHERY ONL Y SEASON DATES GENERAL SEASON DATES HERITAGE MUZZLELOADER SEASON DATES LATE SEASON DATES OPPORTUNITY S</t>
        </is>
      </c>
    </row>
    <row r="1170">
      <c r="A1170" s="4" t="inlineStr">
        <is>
          <t>335</t>
        </is>
      </c>
      <c r="B1170" s="4" t="inlineStr">
        <is>
          <t>whitetail</t>
        </is>
      </c>
      <c r="C1170" s="4" t="inlineStr">
        <is>
          <t>General Deer License</t>
        </is>
      </c>
      <c r="D1170" s="13" t="inlineStr">
        <is>
          <t>General license</t>
        </is>
      </c>
      <c r="E1170" s="4" t="inlineStr">
        <is>
          <t>Either-sex White-tailed Deer</t>
        </is>
      </c>
      <c r="F1170" s="4" t="inlineStr">
        <is>
          <t>Sep 05-Oct 18</t>
        </is>
      </c>
      <c r="G1170" s="4" t="inlineStr">
        <is>
          <t>Oct 24-Nov 29</t>
        </is>
      </c>
      <c r="H1170" s="4" t="inlineStr">
        <is>
          <t>Dec 12-Dec 20</t>
        </is>
      </c>
      <c r="I1170" s="4" t="n"/>
      <c r="J1170" s="4" t="n"/>
      <c r="K1170" s="4" t="n"/>
      <c r="L1170" s="4" t="n"/>
    </row>
    <row r="1171">
      <c r="A1171" s="4" t="inlineStr">
        <is>
          <t>335</t>
        </is>
      </c>
      <c r="B1171" s="4" t="inlineStr">
        <is>
          <t>whitetail</t>
        </is>
      </c>
      <c r="C1171" s="4" t="inlineStr">
        <is>
          <t>Deer B License: 003-00</t>
        </is>
      </c>
      <c r="D1171" s="4" t="inlineStr">
        <is>
          <t>Over the counter</t>
        </is>
      </c>
      <c r="E1171" s="4" t="inlineStr">
        <is>
          <t>Antlerless White-tailed Deer</t>
        </is>
      </c>
      <c r="F1171" s="4" t="inlineStr">
        <is>
          <t>Sep 05-Oct 18</t>
        </is>
      </c>
      <c r="G1171" s="4" t="inlineStr">
        <is>
          <t>Oct 24-Nov 29</t>
        </is>
      </c>
      <c r="H1171" s="4" t="inlineStr">
        <is>
          <t>Dec 12-Dec 20</t>
        </is>
      </c>
      <c r="I1171" s="4" t="n"/>
      <c r="J1171" s="4" t="inlineStr">
        <is>
          <t>OTC: Jun 15</t>
        </is>
      </c>
      <c r="K1171" s="4" t="inlineStr">
        <is>
          <t>UNL</t>
        </is>
      </c>
      <c r="L1171" s="4" t="inlineStr">
        <is>
          <t>One per hunter. Valid in all Region 3 HDs.</t>
        </is>
      </c>
    </row>
    <row r="1172">
      <c r="A1172" s="4" t="inlineStr">
        <is>
          <t>339</t>
        </is>
      </c>
      <c r="B1172" s="4" t="inlineStr">
        <is>
          <t>whitetail</t>
        </is>
      </c>
      <c r="C1172" s="4" t="inlineStr">
        <is>
          <t>General Deer License</t>
        </is>
      </c>
      <c r="D1172" s="13" t="inlineStr">
        <is>
          <t>General license</t>
        </is>
      </c>
      <c r="E1172" s="4" t="inlineStr">
        <is>
          <t>Either-sex White-tailed Deer</t>
        </is>
      </c>
      <c r="F1172" s="4" t="n"/>
      <c r="G1172" s="4" t="inlineStr">
        <is>
          <t>Oct 24-Nov 29</t>
        </is>
      </c>
      <c r="H1172" s="4" t="inlineStr">
        <is>
          <t>Dec 12-Dec 20</t>
        </is>
      </c>
      <c r="I1172" s="4" t="n"/>
      <c r="J1172" s="4" t="n"/>
      <c r="K1172" s="4" t="n"/>
      <c r="L1172" s="4" t="n"/>
    </row>
    <row r="1173">
      <c r="A1173" s="4" t="inlineStr">
        <is>
          <t>339</t>
        </is>
      </c>
      <c r="B1173" s="4" t="inlineStr">
        <is>
          <t>whitetail</t>
        </is>
      </c>
      <c r="C1173" s="4" t="inlineStr">
        <is>
          <t>Deer B License: 003-00</t>
        </is>
      </c>
      <c r="D1173" s="4" t="inlineStr">
        <is>
          <t>Over the counter</t>
        </is>
      </c>
      <c r="E1173" s="4" t="inlineStr">
        <is>
          <t>Antlerless White-tailed Deer</t>
        </is>
      </c>
      <c r="F1173" s="4" t="inlineStr">
        <is>
          <t>Sep 05-Oct 18</t>
        </is>
      </c>
      <c r="G1173" s="4" t="inlineStr">
        <is>
          <t>Oct 24-Nov 29</t>
        </is>
      </c>
      <c r="H1173" s="4" t="inlineStr">
        <is>
          <t>Dec 12-Dec 20</t>
        </is>
      </c>
      <c r="I1173" s="4" t="n"/>
      <c r="J1173" s="4" t="inlineStr">
        <is>
          <t>OTC: Jun 15</t>
        </is>
      </c>
      <c r="K1173" s="4" t="inlineStr">
        <is>
          <t>UNL</t>
        </is>
      </c>
      <c r="L1173" s="4" t="inlineStr">
        <is>
          <t>One per hunter. Valid in all Region 3 HDs.</t>
        </is>
      </c>
    </row>
    <row r="1174">
      <c r="A1174" s="4" t="inlineStr">
        <is>
          <t>340</t>
        </is>
      </c>
      <c r="B1174" s="4" t="inlineStr">
        <is>
          <t>whitetail</t>
        </is>
      </c>
      <c r="C1174" s="4" t="inlineStr">
        <is>
          <t>General Deer License</t>
        </is>
      </c>
      <c r="D1174" s="13" t="inlineStr">
        <is>
          <t>General license</t>
        </is>
      </c>
      <c r="E1174" s="4" t="inlineStr">
        <is>
          <t>Either-sex White-tailed Deer</t>
        </is>
      </c>
      <c r="F1174" s="4" t="inlineStr">
        <is>
          <t>Sep 05-Oct 18</t>
        </is>
      </c>
      <c r="G1174" s="4" t="inlineStr">
        <is>
          <t>Oct 24-Nov 29</t>
        </is>
      </c>
      <c r="H1174" s="4" t="inlineStr">
        <is>
          <t>Dec 12-Dec 20</t>
        </is>
      </c>
      <c r="I1174" s="4" t="n"/>
      <c r="J1174" s="4" t="n"/>
      <c r="K1174" s="4" t="n"/>
      <c r="L1174" s="4" t="n"/>
    </row>
    <row r="1175">
      <c r="A1175" s="4" t="inlineStr">
        <is>
          <t>340</t>
        </is>
      </c>
      <c r="B1175" s="4" t="inlineStr">
        <is>
          <t>whitetail</t>
        </is>
      </c>
      <c r="C1175" s="4" t="inlineStr">
        <is>
          <t>Deer B License: 003-00</t>
        </is>
      </c>
      <c r="D1175" s="4" t="inlineStr">
        <is>
          <t>Over the counter</t>
        </is>
      </c>
      <c r="E1175" s="4" t="inlineStr">
        <is>
          <t>Antlerless White-tailed Deer</t>
        </is>
      </c>
      <c r="F1175" s="4" t="inlineStr">
        <is>
          <t>Sep 05-Oct 18</t>
        </is>
      </c>
      <c r="G1175" s="4" t="inlineStr">
        <is>
          <t>Oct 24-Nov 29</t>
        </is>
      </c>
      <c r="H1175" s="4" t="inlineStr">
        <is>
          <t>Dec 12-Dec 20</t>
        </is>
      </c>
      <c r="I1175" s="4" t="n"/>
      <c r="J1175" s="4" t="inlineStr">
        <is>
          <t>OTC: Jun 15</t>
        </is>
      </c>
      <c r="K1175" s="4" t="inlineStr">
        <is>
          <t>UNL</t>
        </is>
      </c>
      <c r="L1175" s="4" t="inlineStr">
        <is>
          <t>One per hunter. Valid in all Region 3 HDs.</t>
        </is>
      </c>
    </row>
    <row r="1176">
      <c r="A1176" s="4" t="inlineStr">
        <is>
          <t>340</t>
        </is>
      </c>
      <c r="B1176" s="4" t="inlineStr">
        <is>
          <t>whitetail</t>
        </is>
      </c>
      <c r="C1176" s="4" t="inlineStr">
        <is>
          <t>Deer B License: 399-00</t>
        </is>
      </c>
      <c r="D1176" s="4" t="inlineStr">
        <is>
          <t>Over the counter</t>
        </is>
      </c>
      <c r="E1176" s="4" t="inlineStr">
        <is>
          <t>Antlerless White-tailed Deer</t>
        </is>
      </c>
      <c r="F1176" s="4" t="inlineStr">
        <is>
          <t>Sep 05-Oct 18</t>
        </is>
      </c>
      <c r="G1176" s="4" t="inlineStr">
        <is>
          <t>Oct 24-Nov 29</t>
        </is>
      </c>
      <c r="H1176" s="4" t="inlineStr">
        <is>
          <t>Dec 12-Dec 20</t>
        </is>
      </c>
      <c r="I1176" s="4" t="n"/>
      <c r="J1176" s="4" t="inlineStr">
        <is>
          <t>OTC: Jun 15</t>
        </is>
      </c>
      <c r="K1176" s="4" t="inlineStr">
        <is>
          <t>UNL</t>
        </is>
      </c>
      <c r="L1176" s="4" t="inlineStr">
        <is>
          <t>Per hunter license quota set annually. Multi-district license.</t>
        </is>
      </c>
    </row>
    <row r="1177">
      <c r="A1177" s="4" t="inlineStr">
        <is>
          <t>343</t>
        </is>
      </c>
      <c r="B1177" s="4" t="inlineStr">
        <is>
          <t>whitetail</t>
        </is>
      </c>
      <c r="C1177" s="4" t="inlineStr">
        <is>
          <t>General Deer License</t>
        </is>
      </c>
      <c r="D1177" s="13" t="inlineStr">
        <is>
          <t>General license</t>
        </is>
      </c>
      <c r="E1177" s="4" t="inlineStr">
        <is>
          <t>Either-sex White-tailed Deer</t>
        </is>
      </c>
      <c r="F1177" s="4" t="inlineStr">
        <is>
          <t>Sep 05-Oct 18</t>
        </is>
      </c>
      <c r="G1177" s="4" t="inlineStr">
        <is>
          <t>Oct 24-Nov 29</t>
        </is>
      </c>
      <c r="H1177" s="4" t="inlineStr">
        <is>
          <t>Dec 12-Dec 20</t>
        </is>
      </c>
      <c r="I1177" s="4" t="n"/>
      <c r="J1177" s="4" t="n"/>
      <c r="K1177" s="4" t="n"/>
      <c r="L1177" s="4" t="n"/>
    </row>
    <row r="1178">
      <c r="A1178" s="4" t="inlineStr">
        <is>
          <t>343</t>
        </is>
      </c>
      <c r="B1178" s="4" t="inlineStr">
        <is>
          <t>whitetail</t>
        </is>
      </c>
      <c r="C1178" s="4" t="inlineStr">
        <is>
          <t>Deer B License: 003-00</t>
        </is>
      </c>
      <c r="D1178" s="4" t="inlineStr">
        <is>
          <t>Over the counter</t>
        </is>
      </c>
      <c r="E1178" s="4" t="inlineStr">
        <is>
          <t>Antlerless White-tailed Deer</t>
        </is>
      </c>
      <c r="F1178" s="4" t="inlineStr">
        <is>
          <t>Sep 05-Oct 18</t>
        </is>
      </c>
      <c r="G1178" s="4" t="inlineStr">
        <is>
          <t>Oct 24-Nov 29</t>
        </is>
      </c>
      <c r="H1178" s="4" t="inlineStr">
        <is>
          <t>Dec 12-Dec 20</t>
        </is>
      </c>
      <c r="I1178" s="4" t="n"/>
      <c r="J1178" s="4" t="inlineStr">
        <is>
          <t>OTC: Jun 15</t>
        </is>
      </c>
      <c r="K1178" s="4" t="inlineStr">
        <is>
          <t>UNL</t>
        </is>
      </c>
      <c r="L1178" s="4" t="inlineStr">
        <is>
          <t>One per hunter. Valid in all Region 3 HDs.</t>
        </is>
      </c>
    </row>
    <row r="1179">
      <c r="A1179" s="4" t="inlineStr">
        <is>
          <t>350</t>
        </is>
      </c>
      <c r="B1179" s="4" t="inlineStr">
        <is>
          <t>whitetail</t>
        </is>
      </c>
      <c r="C1179" s="4" t="inlineStr">
        <is>
          <t>General Deer License</t>
        </is>
      </c>
      <c r="D1179" s="13" t="inlineStr">
        <is>
          <t>General license</t>
        </is>
      </c>
      <c r="E1179" s="4" t="inlineStr">
        <is>
          <t>Either-sex White-tailed Deer</t>
        </is>
      </c>
      <c r="F1179" s="4" t="inlineStr">
        <is>
          <t>Sep 05-Oct 18</t>
        </is>
      </c>
      <c r="G1179" s="4" t="inlineStr">
        <is>
          <t>Oct 24-Nov 29</t>
        </is>
      </c>
      <c r="H1179" s="4" t="inlineStr">
        <is>
          <t>Dec 12-Dec 20</t>
        </is>
      </c>
      <c r="I1179" s="4" t="n"/>
      <c r="J1179" s="4" t="n"/>
      <c r="K1179" s="4" t="n"/>
      <c r="L1179" s="4" t="n"/>
    </row>
    <row r="1180">
      <c r="A1180" s="4" t="inlineStr">
        <is>
          <t>350</t>
        </is>
      </c>
      <c r="B1180" s="4" t="inlineStr">
        <is>
          <t>whitetail</t>
        </is>
      </c>
      <c r="C1180" s="4" t="inlineStr">
        <is>
          <t>Deer B License: 003-00</t>
        </is>
      </c>
      <c r="D1180" s="4" t="inlineStr">
        <is>
          <t>Over the counter</t>
        </is>
      </c>
      <c r="E1180" s="4" t="inlineStr">
        <is>
          <t>Antlerless White-tailed Deer</t>
        </is>
      </c>
      <c r="F1180" s="4" t="inlineStr">
        <is>
          <t>Sep 05-Oct 18</t>
        </is>
      </c>
      <c r="G1180" s="4" t="inlineStr">
        <is>
          <t>Oct 24-Nov 29</t>
        </is>
      </c>
      <c r="H1180" s="4" t="inlineStr">
        <is>
          <t>Dec 12-Dec 20</t>
        </is>
      </c>
      <c r="I1180" s="4" t="n"/>
      <c r="J1180" s="4" t="inlineStr">
        <is>
          <t>OTC: Jun 15</t>
        </is>
      </c>
      <c r="K1180" s="4" t="inlineStr">
        <is>
          <t>UNL</t>
        </is>
      </c>
      <c r="L1180" s="4" t="inlineStr">
        <is>
          <t>One per hunter. Valid in all Region 3 HDs.</t>
        </is>
      </c>
    </row>
    <row r="1181">
      <c r="A1181" s="4" t="inlineStr">
        <is>
          <t>360</t>
        </is>
      </c>
      <c r="B1181" s="4" t="inlineStr">
        <is>
          <t>whitetail</t>
        </is>
      </c>
      <c r="C1181" s="4" t="inlineStr">
        <is>
          <t>General Deer License</t>
        </is>
      </c>
      <c r="D1181" s="13" t="inlineStr">
        <is>
          <t>General license</t>
        </is>
      </c>
      <c r="E1181" s="4" t="inlineStr">
        <is>
          <t>Either-sex White-tailed Deer</t>
        </is>
      </c>
      <c r="F1181" s="4" t="inlineStr">
        <is>
          <t>Sep 05-Oct 18</t>
        </is>
      </c>
      <c r="G1181" s="4" t="inlineStr">
        <is>
          <t>Oct 24-Nov 29</t>
        </is>
      </c>
      <c r="H1181" s="4" t="inlineStr">
        <is>
          <t>Dec 12-Dec 20</t>
        </is>
      </c>
      <c r="I1181" s="4" t="n"/>
      <c r="J1181" s="4" t="n"/>
      <c r="K1181" s="4" t="n"/>
      <c r="L1181" s="4" t="n"/>
    </row>
    <row r="1182">
      <c r="A1182" s="4" t="inlineStr">
        <is>
          <t>360</t>
        </is>
      </c>
      <c r="B1182" s="4" t="inlineStr">
        <is>
          <t>whitetail</t>
        </is>
      </c>
      <c r="C1182" s="4" t="inlineStr">
        <is>
          <t>Deer B License: 003-00</t>
        </is>
      </c>
      <c r="D1182" s="4" t="inlineStr">
        <is>
          <t>Over the counter</t>
        </is>
      </c>
      <c r="E1182" s="4" t="inlineStr">
        <is>
          <t>Antlerless White-tailed Deer</t>
        </is>
      </c>
      <c r="F1182" s="4" t="inlineStr">
        <is>
          <t>Sep 05-Oct 18</t>
        </is>
      </c>
      <c r="G1182" s="4" t="inlineStr">
        <is>
          <t>Oct 24-Nov 29</t>
        </is>
      </c>
      <c r="H1182" s="4" t="inlineStr">
        <is>
          <t>Dec 12-Dec 20</t>
        </is>
      </c>
      <c r="I1182" s="4" t="n"/>
      <c r="J1182" s="4" t="inlineStr">
        <is>
          <t>OTC: Jun 15</t>
        </is>
      </c>
      <c r="K1182" s="4" t="inlineStr">
        <is>
          <t>UNL</t>
        </is>
      </c>
      <c r="L1182" s="4" t="inlineStr">
        <is>
          <t>One per hunter. Valid in all Region 3 HDs.</t>
        </is>
      </c>
    </row>
    <row r="1183">
      <c r="A1183" s="4" t="inlineStr">
        <is>
          <t>360</t>
        </is>
      </c>
      <c r="B1183" s="4" t="inlineStr">
        <is>
          <t>whitetail</t>
        </is>
      </c>
      <c r="C1183" s="4" t="inlineStr">
        <is>
          <t>Deer B License: 399-00</t>
        </is>
      </c>
      <c r="D1183" s="4" t="inlineStr">
        <is>
          <t>Over the counter</t>
        </is>
      </c>
      <c r="E1183" s="4" t="inlineStr">
        <is>
          <t>Antlerless White-tailed Deer</t>
        </is>
      </c>
      <c r="F1183" s="4" t="inlineStr">
        <is>
          <t>Sep 05-Oct 18</t>
        </is>
      </c>
      <c r="G1183" s="4" t="inlineStr">
        <is>
          <t>Oct 24-Nov 29</t>
        </is>
      </c>
      <c r="H1183" s="4" t="inlineStr">
        <is>
          <t>Dec 12-Dec 20</t>
        </is>
      </c>
      <c r="I1183" s="4" t="n"/>
      <c r="J1183" s="4" t="inlineStr">
        <is>
          <t>OTC: Jun 15</t>
        </is>
      </c>
      <c r="K1183" s="4" t="inlineStr">
        <is>
          <t>UNL</t>
        </is>
      </c>
      <c r="L1183" s="4" t="inlineStr">
        <is>
          <t>Per hunter license quota set annually. Multi-district license.</t>
        </is>
      </c>
    </row>
    <row r="1184">
      <c r="A1184" s="4" t="inlineStr">
        <is>
          <t>361</t>
        </is>
      </c>
      <c r="B1184" s="4" t="inlineStr">
        <is>
          <t>whitetail</t>
        </is>
      </c>
      <c r="C1184" s="4" t="inlineStr">
        <is>
          <t>General Deer License</t>
        </is>
      </c>
      <c r="D1184" s="13" t="inlineStr">
        <is>
          <t>General license</t>
        </is>
      </c>
      <c r="E1184" s="4" t="inlineStr">
        <is>
          <t>Either-sex White-tailed Deer</t>
        </is>
      </c>
      <c r="F1184" s="4" t="inlineStr">
        <is>
          <t>Sep 05-Oct 18</t>
        </is>
      </c>
      <c r="G1184" s="4" t="inlineStr">
        <is>
          <t>Oct 24-Nov 29</t>
        </is>
      </c>
      <c r="H1184" s="4" t="inlineStr">
        <is>
          <t>Dec 12-Dec 20</t>
        </is>
      </c>
      <c r="I1184" s="4" t="n"/>
      <c r="J1184" s="4" t="n"/>
      <c r="K1184" s="4" t="n"/>
      <c r="L1184" s="4" t="n"/>
    </row>
    <row r="1185">
      <c r="A1185" s="4" t="inlineStr">
        <is>
          <t>361</t>
        </is>
      </c>
      <c r="B1185" s="4" t="inlineStr">
        <is>
          <t>whitetail</t>
        </is>
      </c>
      <c r="C1185" s="4" t="inlineStr">
        <is>
          <t>Deer B License: 003-00</t>
        </is>
      </c>
      <c r="D1185" s="4" t="inlineStr">
        <is>
          <t>Over the counter</t>
        </is>
      </c>
      <c r="E1185" s="4" t="inlineStr">
        <is>
          <t>Antlerless White-tailed Deer</t>
        </is>
      </c>
      <c r="F1185" s="4" t="inlineStr">
        <is>
          <t>Sep 05-Oct 18</t>
        </is>
      </c>
      <c r="G1185" s="4" t="inlineStr">
        <is>
          <t>Oct 24-Nov 29</t>
        </is>
      </c>
      <c r="H1185" s="4" t="inlineStr">
        <is>
          <t>Dec 12-Dec 20</t>
        </is>
      </c>
      <c r="I1185" s="4" t="n"/>
      <c r="J1185" s="4" t="inlineStr">
        <is>
          <t>OTC: Jun 15</t>
        </is>
      </c>
      <c r="K1185" s="4" t="inlineStr">
        <is>
          <t>UNL</t>
        </is>
      </c>
      <c r="L1185" s="4" t="inlineStr">
        <is>
          <t>One per hunter. Valid in all Region 3 HDs.</t>
        </is>
      </c>
    </row>
    <row r="1186">
      <c r="A1186" s="4" t="inlineStr">
        <is>
          <t>370</t>
        </is>
      </c>
      <c r="B1186" s="4" t="inlineStr">
        <is>
          <t>whitetail</t>
        </is>
      </c>
      <c r="C1186" s="4" t="inlineStr">
        <is>
          <t>General Deer License</t>
        </is>
      </c>
      <c r="D1186" s="13" t="inlineStr">
        <is>
          <t>General license</t>
        </is>
      </c>
      <c r="E1186" s="4" t="inlineStr">
        <is>
          <t>Either-sex White-tailed Deer</t>
        </is>
      </c>
      <c r="F1186" s="4" t="inlineStr">
        <is>
          <t>Sep 05-Oct 18</t>
        </is>
      </c>
      <c r="G1186" s="4" t="inlineStr">
        <is>
          <t>Oct 24-Nov 29</t>
        </is>
      </c>
      <c r="H1186" s="4" t="inlineStr">
        <is>
          <t>Dec 12-Dec 20</t>
        </is>
      </c>
      <c r="I1186" s="4" t="n"/>
      <c r="J1186" s="4" t="n"/>
      <c r="K1186" s="4" t="n"/>
      <c r="L1186" s="4" t="n"/>
    </row>
    <row r="1187">
      <c r="A1187" s="4" t="inlineStr">
        <is>
          <t>370</t>
        </is>
      </c>
      <c r="B1187" s="4" t="inlineStr">
        <is>
          <t>whitetail</t>
        </is>
      </c>
      <c r="C1187" s="4" t="inlineStr">
        <is>
          <t>Deer B License: 003-00</t>
        </is>
      </c>
      <c r="D1187" s="4" t="inlineStr">
        <is>
          <t>Over the counter</t>
        </is>
      </c>
      <c r="E1187" s="4" t="inlineStr">
        <is>
          <t>Antlerless White-tailed Deer</t>
        </is>
      </c>
      <c r="F1187" s="4" t="inlineStr">
        <is>
          <t>Sep 05-Oct 18</t>
        </is>
      </c>
      <c r="G1187" s="4" t="inlineStr">
        <is>
          <t>Oct 24-Nov 29</t>
        </is>
      </c>
      <c r="H1187" s="4" t="inlineStr">
        <is>
          <t>Dec 12-Dec 20</t>
        </is>
      </c>
      <c r="I1187" s="4" t="n"/>
      <c r="J1187" s="4" t="inlineStr">
        <is>
          <t>OTC: Jun 15</t>
        </is>
      </c>
      <c r="K1187" s="4" t="inlineStr">
        <is>
          <t>UNL</t>
        </is>
      </c>
      <c r="L1187" s="4" t="inlineStr">
        <is>
          <t>One per hunter. Valid in all Region 3 HDs.</t>
        </is>
      </c>
    </row>
    <row r="1188">
      <c r="A1188" s="4" t="inlineStr">
        <is>
          <t>380</t>
        </is>
      </c>
      <c r="B1188" s="4" t="inlineStr">
        <is>
          <t>whitetail</t>
        </is>
      </c>
      <c r="C1188" s="4" t="inlineStr">
        <is>
          <t>General Deer License</t>
        </is>
      </c>
      <c r="D1188" s="13" t="inlineStr">
        <is>
          <t>General license</t>
        </is>
      </c>
      <c r="E1188" s="4" t="inlineStr">
        <is>
          <t>Either-sex White-tailed Deer</t>
        </is>
      </c>
      <c r="F1188" s="4" t="inlineStr">
        <is>
          <t>Sep 05-Oct 18</t>
        </is>
      </c>
      <c r="G1188" s="4" t="n"/>
      <c r="H1188" s="4" t="n"/>
      <c r="I1188" s="4" t="n"/>
      <c r="J1188" s="4" t="n"/>
      <c r="K1188" s="4" t="n"/>
      <c r="L1188" s="4" t="n"/>
    </row>
    <row r="1189">
      <c r="A1189" s="4" t="inlineStr">
        <is>
          <t>380</t>
        </is>
      </c>
      <c r="B1189" s="4" t="inlineStr">
        <is>
          <t>whitetail</t>
        </is>
      </c>
      <c r="C1189" s="4" t="inlineStr">
        <is>
          <t>General Deer License</t>
        </is>
      </c>
      <c r="D1189" s="13" t="inlineStr">
        <is>
          <t>General license</t>
        </is>
      </c>
      <c r="E1189" s="4" t="inlineStr">
        <is>
          <t>Antlered Buck White-tailed Deer</t>
        </is>
      </c>
      <c r="F1189" s="4" t="n"/>
      <c r="G1189" s="4" t="inlineStr">
        <is>
          <t>Oct 24-Nov 29</t>
        </is>
      </c>
      <c r="H1189" s="4" t="inlineStr">
        <is>
          <t>Dec 12-Dec 20</t>
        </is>
      </c>
      <c r="I1189" s="4" t="n"/>
      <c r="J1189" s="4" t="n"/>
      <c r="K1189" s="4" t="n"/>
      <c r="L1189" s="4" t="inlineStr">
        <is>
          <t>Only valid on Canyon Ferry WMA.</t>
        </is>
      </c>
    </row>
    <row r="1190">
      <c r="A1190" s="4" t="inlineStr">
        <is>
          <t>380</t>
        </is>
      </c>
      <c r="B1190" s="4" t="inlineStr">
        <is>
          <t>whitetail</t>
        </is>
      </c>
      <c r="C1190" s="4" t="inlineStr">
        <is>
          <t>General Deer License</t>
        </is>
      </c>
      <c r="D1190" s="13" t="inlineStr">
        <is>
          <t>General license</t>
        </is>
      </c>
      <c r="E1190" s="4" t="inlineStr">
        <is>
          <t>Either-sex White-tailed Deer</t>
        </is>
      </c>
      <c r="F1190" s="4" t="n"/>
      <c r="G1190" s="4" t="inlineStr">
        <is>
          <t>Oct 24-Nov 29</t>
        </is>
      </c>
      <c r="H1190" s="4" t="inlineStr">
        <is>
          <t>Dec 12-Dec 20</t>
        </is>
      </c>
      <c r="I1190" s="4" t="n"/>
      <c r="J1190" s="4" t="n"/>
      <c r="K1190" s="4" t="n"/>
      <c r="L1190" s="4" t="inlineStr">
        <is>
          <t>Not valid on Canyon Ferry WMA.</t>
        </is>
      </c>
    </row>
    <row r="1191">
      <c r="A1191" s="4" t="inlineStr">
        <is>
          <t>380</t>
        </is>
      </c>
      <c r="B1191" s="4" t="inlineStr">
        <is>
          <t>whitetail</t>
        </is>
      </c>
      <c r="C1191" s="4" t="inlineStr">
        <is>
          <t>Deer B License: 003-00</t>
        </is>
      </c>
      <c r="D1191" s="4" t="inlineStr">
        <is>
          <t>Over the counter</t>
        </is>
      </c>
      <c r="E1191" s="4" t="inlineStr">
        <is>
          <t>Antlerless White-tailed Deer</t>
        </is>
      </c>
      <c r="F1191" s="4" t="inlineStr">
        <is>
          <t>Sep 05-Oct 18</t>
        </is>
      </c>
      <c r="G1191" s="4" t="inlineStr">
        <is>
          <t>Oct 24-Nov 29</t>
        </is>
      </c>
      <c r="H1191" s="4" t="inlineStr">
        <is>
          <t>Dec 12-Dec 20</t>
        </is>
      </c>
      <c r="I1191" s="4" t="n"/>
      <c r="J1191" s="4" t="inlineStr">
        <is>
          <t>OTC: Jun 15</t>
        </is>
      </c>
      <c r="K1191" s="4" t="inlineStr">
        <is>
          <t>UNL</t>
        </is>
      </c>
      <c r="L1191" s="4" t="inlineStr">
        <is>
          <t>One per hunter. Valid in all Region 3 HDs, not valid on Canyon Ferry WMA.</t>
        </is>
      </c>
    </row>
    <row r="1192">
      <c r="A1192" s="4" t="inlineStr">
        <is>
          <t>380</t>
        </is>
      </c>
      <c r="B1192" s="4" t="inlineStr">
        <is>
          <t>whitetail</t>
        </is>
      </c>
      <c r="C1192" s="4" t="inlineStr">
        <is>
          <t>Deer B License: 395-01</t>
        </is>
      </c>
      <c r="D1192" s="15" t="inlineStr">
        <is>
          <t>Drawing</t>
        </is>
      </c>
      <c r="E1192" s="4" t="inlineStr">
        <is>
          <t>Antlerless White-tailed Deer</t>
        </is>
      </c>
      <c r="F1192" s="4" t="inlineStr">
        <is>
          <t>Sep 05-Oct 18</t>
        </is>
      </c>
      <c r="G1192" s="4" t="inlineStr">
        <is>
          <t>Oct 24-Nov 29</t>
        </is>
      </c>
      <c r="H1192" s="4" t="inlineStr">
        <is>
          <t>Dec 12-Dec 20</t>
        </is>
      </c>
      <c r="I1192" s="4" t="n"/>
      <c r="J1192" s="4" t="inlineStr">
        <is>
          <t>Jun 1</t>
        </is>
      </c>
      <c r="K1192" s="4" t="inlineStr">
        <is>
          <t>50</t>
        </is>
      </c>
      <c r="L1192" s="4" t="inlineStr">
        <is>
          <t>Only valid on Canyon Ferry WMA-including Canyon Ferry WMA in HDs 380 and 391.</t>
        </is>
      </c>
    </row>
    <row r="1193">
      <c r="A1193" s="4" t="inlineStr">
        <is>
          <t>388</t>
        </is>
      </c>
      <c r="B1193" s="4" t="inlineStr">
        <is>
          <t>whitetail</t>
        </is>
      </c>
      <c r="C1193" s="4" t="inlineStr">
        <is>
          <t>General Deer License</t>
        </is>
      </c>
      <c r="D1193" s="13" t="inlineStr">
        <is>
          <t>General license</t>
        </is>
      </c>
      <c r="E1193" s="4" t="inlineStr">
        <is>
          <t>Either-sex White-tailed Deer</t>
        </is>
      </c>
      <c r="F1193" s="4" t="inlineStr">
        <is>
          <t>Sep 05-Oct 18</t>
        </is>
      </c>
      <c r="G1193" s="4" t="inlineStr">
        <is>
          <t>Oct 24-Nov 29</t>
        </is>
      </c>
      <c r="H1193" s="4" t="inlineStr">
        <is>
          <t>Dec 12-Dec 20</t>
        </is>
      </c>
      <c r="I1193" s="4" t="n"/>
      <c r="J1193" s="4" t="n"/>
      <c r="K1193" s="4" t="n"/>
      <c r="L1193" s="4" t="inlineStr">
        <is>
          <t>Outside Weapons Restriction Area.</t>
        </is>
      </c>
    </row>
    <row r="1194">
      <c r="A1194" s="4" t="inlineStr">
        <is>
          <t>388</t>
        </is>
      </c>
      <c r="B1194" s="4" t="inlineStr">
        <is>
          <t>whitetail</t>
        </is>
      </c>
      <c r="C1194" s="4" t="inlineStr">
        <is>
          <t>Deer B License: 003-00</t>
        </is>
      </c>
      <c r="D1194" s="4" t="inlineStr">
        <is>
          <t>Over the counter</t>
        </is>
      </c>
      <c r="E1194" s="4" t="inlineStr">
        <is>
          <t>Antlerless White-tailed Deer</t>
        </is>
      </c>
      <c r="F1194" s="4" t="inlineStr">
        <is>
          <t>Sep 05-Oct 18</t>
        </is>
      </c>
      <c r="G1194" s="4" t="inlineStr">
        <is>
          <t>Oct 24-Nov 29</t>
        </is>
      </c>
      <c r="H1194" s="4" t="inlineStr">
        <is>
          <t>Dec 12-Dec 20</t>
        </is>
      </c>
      <c r="I1194" s="4" t="n"/>
      <c r="J1194" s="4" t="inlineStr">
        <is>
          <t>OTC: Jun 15</t>
        </is>
      </c>
      <c r="K1194" s="4" t="inlineStr">
        <is>
          <t>UNL</t>
        </is>
      </c>
      <c r="L1194" s="4" t="inlineStr">
        <is>
          <t>One per hunter. Valid in all Region 3 HDs. Outside Weapons Restriction Area.</t>
        </is>
      </c>
    </row>
    <row r="1195">
      <c r="A1195" s="4" t="inlineStr">
        <is>
          <t>388</t>
        </is>
      </c>
      <c r="B1195" s="4" t="inlineStr">
        <is>
          <t>whitetail</t>
        </is>
      </c>
      <c r="C1195" s="4" t="inlineStr">
        <is>
          <t>Deer B License: 388-00</t>
        </is>
      </c>
      <c r="D1195" s="15" t="inlineStr">
        <is>
          <t>Drawing</t>
        </is>
      </c>
      <c r="E1195" s="4" t="inlineStr">
        <is>
          <t>Either-sex White-tailed Deer</t>
        </is>
      </c>
      <c r="F1195" s="4" t="n"/>
      <c r="G1195" s="4" t="inlineStr">
        <is>
          <t>Sep 05-Nov 29</t>
        </is>
      </c>
      <c r="H1195" s="4" t="inlineStr">
        <is>
          <t>Dec 12-Dec 20</t>
        </is>
      </c>
      <c r="I1195" s="4" t="n"/>
      <c r="J1195" s="4" t="n"/>
      <c r="K1195" s="4" t="n"/>
      <c r="L1195" s="4" t="inlineStr">
        <is>
          <t>Weapons Restriction Area.</t>
        </is>
      </c>
    </row>
    <row r="1196">
      <c r="A1196" s="4" t="inlineStr">
        <is>
          <t>388</t>
        </is>
      </c>
      <c r="B1196" s="4" t="inlineStr">
        <is>
          <t>whitetail</t>
        </is>
      </c>
      <c r="C1196" s="4" t="inlineStr">
        <is>
          <t>Deer B License: 388-00</t>
        </is>
      </c>
      <c r="D1196" s="15" t="inlineStr">
        <is>
          <t>Drawing</t>
        </is>
      </c>
      <c r="E1196" s="4" t="inlineStr">
        <is>
          <t>Antlerless White-tailed Deer</t>
        </is>
      </c>
      <c r="F1196" s="4" t="n"/>
      <c r="G1196" s="4" t="n"/>
      <c r="H1196" s="4" t="n"/>
      <c r="I1196" s="4" t="inlineStr">
        <is>
          <t>Nov 30-Jan 31</t>
        </is>
      </c>
      <c r="J1196" s="4" t="n"/>
      <c r="K1196" s="4" t="n"/>
      <c r="L1196" s="4" t="inlineStr">
        <is>
          <t>Weapons Restriction Area.</t>
        </is>
      </c>
    </row>
    <row r="1197">
      <c r="A1197" s="4" t="inlineStr">
        <is>
          <t>388</t>
        </is>
      </c>
      <c r="B1197" s="4" t="inlineStr">
        <is>
          <t>whitetail</t>
        </is>
      </c>
      <c r="C1197" s="4" t="inlineStr">
        <is>
          <t>Deer B License: 003-00</t>
        </is>
      </c>
      <c r="D1197" s="4" t="inlineStr">
        <is>
          <t>Over the counter</t>
        </is>
      </c>
      <c r="E1197" s="4" t="inlineStr">
        <is>
          <t>Antlerless White-tailed Deer</t>
        </is>
      </c>
      <c r="F1197" s="4" t="n"/>
      <c r="G1197" s="4" t="inlineStr">
        <is>
          <t>Sep 05-Jan 31</t>
        </is>
      </c>
      <c r="H1197" s="4" t="inlineStr">
        <is>
          <t>Dec 12-Dec 20</t>
        </is>
      </c>
      <c r="I1197" s="4" t="n"/>
      <c r="J1197" s="4" t="inlineStr">
        <is>
          <t>OTC: Jun 15</t>
        </is>
      </c>
      <c r="K1197" s="4" t="inlineStr">
        <is>
          <t>UNL</t>
        </is>
      </c>
      <c r="L1197" s="4" t="inlineStr">
        <is>
          <t>One per hunter. Valid in all Region 3 HDs. Weapons Restriction Area ELK Outside the Weapons Restriction Area</t>
        </is>
      </c>
    </row>
    <row r="1198">
      <c r="A1198" s="4" t="inlineStr">
        <is>
          <t>390</t>
        </is>
      </c>
      <c r="B1198" s="4" t="inlineStr">
        <is>
          <t>whitetail</t>
        </is>
      </c>
      <c r="C1198" s="4" t="inlineStr">
        <is>
          <t>General Deer License</t>
        </is>
      </c>
      <c r="D1198" s="13" t="inlineStr">
        <is>
          <t>General license</t>
        </is>
      </c>
      <c r="E1198" s="4" t="inlineStr">
        <is>
          <t>Either-sex White-tailed Deer</t>
        </is>
      </c>
      <c r="F1198" s="4" t="inlineStr">
        <is>
          <t>Sep 05-Oct 18</t>
        </is>
      </c>
      <c r="G1198" s="4" t="inlineStr">
        <is>
          <t>Oct 24-Nov 29</t>
        </is>
      </c>
      <c r="H1198" s="4" t="inlineStr">
        <is>
          <t>Dec 12-Dec 20</t>
        </is>
      </c>
      <c r="I1198" s="4" t="n"/>
      <c r="J1198" s="4" t="n"/>
      <c r="K1198" s="4" t="n"/>
      <c r="L1198" s="4" t="n"/>
    </row>
    <row r="1199">
      <c r="A1199" s="4" t="inlineStr">
        <is>
          <t>390</t>
        </is>
      </c>
      <c r="B1199" s="4" t="inlineStr">
        <is>
          <t>whitetail</t>
        </is>
      </c>
      <c r="C1199" s="4" t="inlineStr">
        <is>
          <t>Deer B License: 003-00</t>
        </is>
      </c>
      <c r="D1199" s="4" t="inlineStr">
        <is>
          <t>Over the counter</t>
        </is>
      </c>
      <c r="E1199" s="4" t="inlineStr">
        <is>
          <t>Antlerless White-tailed Deer</t>
        </is>
      </c>
      <c r="F1199" s="4" t="inlineStr">
        <is>
          <t>Sep 05-Oct 18</t>
        </is>
      </c>
      <c r="G1199" s="4" t="inlineStr">
        <is>
          <t>Oct 24-Nov 29</t>
        </is>
      </c>
      <c r="H1199" s="4" t="inlineStr">
        <is>
          <t>Dec 12-Dec 20</t>
        </is>
      </c>
      <c r="I1199" s="4" t="n"/>
      <c r="J1199" s="4" t="inlineStr">
        <is>
          <t>OTC: Jun 15</t>
        </is>
      </c>
      <c r="K1199" s="4" t="inlineStr">
        <is>
          <t>UNL</t>
        </is>
      </c>
      <c r="L1199" s="4" t="inlineStr">
        <is>
          <t>One per hunter. Valid in all Region 3 HDs.</t>
        </is>
      </c>
    </row>
    <row r="1200">
      <c r="A1200" s="4" t="inlineStr">
        <is>
          <t>391</t>
        </is>
      </c>
      <c r="B1200" s="4" t="inlineStr">
        <is>
          <t>whitetail</t>
        </is>
      </c>
      <c r="C1200" s="4" t="inlineStr">
        <is>
          <t>General Deer License</t>
        </is>
      </c>
      <c r="D1200" s="13" t="inlineStr">
        <is>
          <t>General license</t>
        </is>
      </c>
      <c r="E1200" s="4" t="inlineStr">
        <is>
          <t>Either-sex White-tailed Deer</t>
        </is>
      </c>
      <c r="F1200" s="4" t="inlineStr">
        <is>
          <t>Sep 05-Oct 18</t>
        </is>
      </c>
      <c r="G1200" s="4" t="n"/>
      <c r="H1200" s="4" t="n"/>
      <c r="I1200" s="4" t="n"/>
      <c r="J1200" s="4" t="n"/>
      <c r="K1200" s="4" t="n"/>
      <c r="L1200" s="4" t="n"/>
    </row>
    <row r="1201">
      <c r="A1201" s="4" t="inlineStr">
        <is>
          <t>391</t>
        </is>
      </c>
      <c r="B1201" s="4" t="inlineStr">
        <is>
          <t>whitetail</t>
        </is>
      </c>
      <c r="C1201" s="4" t="inlineStr">
        <is>
          <t>General Deer License</t>
        </is>
      </c>
      <c r="D1201" s="13" t="inlineStr">
        <is>
          <t>General license</t>
        </is>
      </c>
      <c r="E1201" s="4" t="inlineStr">
        <is>
          <t>Antlered Buck White-tailed Deer</t>
        </is>
      </c>
      <c r="F1201" s="4" t="n"/>
      <c r="G1201" s="4" t="inlineStr">
        <is>
          <t>Oct 24-Nov 29</t>
        </is>
      </c>
      <c r="H1201" s="4" t="inlineStr">
        <is>
          <t>Dec 12-Dec 20</t>
        </is>
      </c>
      <c r="I1201" s="4" t="n"/>
      <c r="J1201" s="4" t="n"/>
      <c r="K1201" s="4" t="n"/>
      <c r="L1201" s="4" t="inlineStr">
        <is>
          <t>Only valid on Canyon Ferry WMA.</t>
        </is>
      </c>
    </row>
    <row r="1202">
      <c r="A1202" s="4" t="inlineStr">
        <is>
          <t>391</t>
        </is>
      </c>
      <c r="B1202" s="4" t="inlineStr">
        <is>
          <t>whitetail</t>
        </is>
      </c>
      <c r="C1202" s="4" t="inlineStr">
        <is>
          <t>General Deer License</t>
        </is>
      </c>
      <c r="D1202" s="13" t="inlineStr">
        <is>
          <t>General license</t>
        </is>
      </c>
      <c r="E1202" s="4" t="inlineStr">
        <is>
          <t>Either-sex White-tailed Deer</t>
        </is>
      </c>
      <c r="F1202" s="4" t="n"/>
      <c r="G1202" s="4" t="inlineStr">
        <is>
          <t>Oct 24-Nov 29</t>
        </is>
      </c>
      <c r="H1202" s="4" t="inlineStr">
        <is>
          <t>Dec 12-Dec 20</t>
        </is>
      </c>
      <c r="I1202" s="4" t="n"/>
      <c r="J1202" s="4" t="n"/>
      <c r="K1202" s="4" t="n"/>
      <c r="L1202" s="4" t="inlineStr">
        <is>
          <t>Not valid on Canyon Ferry WMA.</t>
        </is>
      </c>
    </row>
    <row r="1203">
      <c r="A1203" s="4" t="inlineStr">
        <is>
          <t>391</t>
        </is>
      </c>
      <c r="B1203" s="4" t="inlineStr">
        <is>
          <t>whitetail</t>
        </is>
      </c>
      <c r="C1203" s="4" t="inlineStr">
        <is>
          <t>Deer B License: 003-00</t>
        </is>
      </c>
      <c r="D1203" s="4" t="inlineStr">
        <is>
          <t>Over the counter</t>
        </is>
      </c>
      <c r="E1203" s="4" t="inlineStr">
        <is>
          <t>Antlerless White-tailed Deer</t>
        </is>
      </c>
      <c r="F1203" s="4" t="inlineStr">
        <is>
          <t>Sep 05-Oct 18</t>
        </is>
      </c>
      <c r="G1203" s="4" t="inlineStr">
        <is>
          <t>Oct 24-Nov 29</t>
        </is>
      </c>
      <c r="H1203" s="4" t="inlineStr">
        <is>
          <t>Dec 12-Dec 20</t>
        </is>
      </c>
      <c r="I1203" s="4" t="n"/>
      <c r="J1203" s="4" t="inlineStr">
        <is>
          <t>OTC: Jun 15</t>
        </is>
      </c>
      <c r="K1203" s="4" t="inlineStr">
        <is>
          <t>UNL</t>
        </is>
      </c>
      <c r="L1203" s="4" t="inlineStr">
        <is>
          <t>One per hunter. Valid in all Region 3 HDs, not valid on Canyon Ferry WMA.</t>
        </is>
      </c>
    </row>
    <row r="1204">
      <c r="A1204" s="4" t="inlineStr">
        <is>
          <t>391</t>
        </is>
      </c>
      <c r="B1204" s="4" t="inlineStr">
        <is>
          <t>whitetail</t>
        </is>
      </c>
      <c r="C1204" s="4" t="inlineStr">
        <is>
          <t>Deer B License: 395-01</t>
        </is>
      </c>
      <c r="D1204" s="4" t="inlineStr">
        <is>
          <t>Over the counter</t>
        </is>
      </c>
      <c r="E1204" s="4" t="inlineStr">
        <is>
          <t>Antlerless White-tailed Deer</t>
        </is>
      </c>
      <c r="F1204" s="4" t="inlineStr">
        <is>
          <t>Sep 05-Oct 18</t>
        </is>
      </c>
      <c r="G1204" s="4" t="inlineStr">
        <is>
          <t>Oct 24-Nov 29</t>
        </is>
      </c>
      <c r="H1204" s="4" t="inlineStr">
        <is>
          <t>Dec 12-Dec 20</t>
        </is>
      </c>
      <c r="I1204" s="4" t="n"/>
      <c r="J1204" s="4" t="inlineStr">
        <is>
          <t>OTC: Jun 15</t>
        </is>
      </c>
      <c r="K1204" s="4" t="inlineStr">
        <is>
          <t>50</t>
        </is>
      </c>
      <c r="L1204" s="4" t="inlineStr">
        <is>
          <t>Only valid on Canyon Ferry WMA-including Canyon Ferry WMA in HDs 380 and 391.</t>
        </is>
      </c>
    </row>
    <row r="1205">
      <c r="A1205" s="4" t="inlineStr">
        <is>
          <t>392</t>
        </is>
      </c>
      <c r="B1205" s="4" t="inlineStr">
        <is>
          <t>whitetail</t>
        </is>
      </c>
      <c r="C1205" s="4" t="inlineStr">
        <is>
          <t>General Deer License</t>
        </is>
      </c>
      <c r="D1205" s="13" t="inlineStr">
        <is>
          <t>General license</t>
        </is>
      </c>
      <c r="E1205" s="4" t="inlineStr">
        <is>
          <t>Either-sex White-tailed Deer</t>
        </is>
      </c>
      <c r="F1205" s="4" t="inlineStr">
        <is>
          <t>Sep 05-Oct 18</t>
        </is>
      </c>
      <c r="G1205" s="4" t="inlineStr">
        <is>
          <t>Oct 24-Nov 29</t>
        </is>
      </c>
      <c r="H1205" s="4" t="inlineStr">
        <is>
          <t>Dec 12-Dec 20</t>
        </is>
      </c>
      <c r="I1205" s="4" t="n"/>
      <c r="J1205" s="4" t="n"/>
      <c r="K1205" s="4" t="n"/>
      <c r="L1205" s="4" t="n"/>
    </row>
    <row r="1206">
      <c r="A1206" s="4" t="inlineStr">
        <is>
          <t>392</t>
        </is>
      </c>
      <c r="B1206" s="4" t="inlineStr">
        <is>
          <t>whitetail</t>
        </is>
      </c>
      <c r="C1206" s="4" t="inlineStr">
        <is>
          <t>Deer B License: 003-00</t>
        </is>
      </c>
      <c r="D1206" s="4" t="inlineStr">
        <is>
          <t>Over the counter</t>
        </is>
      </c>
      <c r="E1206" s="4" t="inlineStr">
        <is>
          <t>Antlerless White-tailed Deer</t>
        </is>
      </c>
      <c r="F1206" s="4" t="inlineStr">
        <is>
          <t>Sep 05-Oct 18</t>
        </is>
      </c>
      <c r="G1206" s="4" t="inlineStr">
        <is>
          <t>Oct 24-Nov 29</t>
        </is>
      </c>
      <c r="H1206" s="4" t="inlineStr">
        <is>
          <t>Dec 12-Dec 20</t>
        </is>
      </c>
      <c r="I1206" s="4" t="n"/>
      <c r="J1206" s="4" t="inlineStr">
        <is>
          <t>OTC: Jun 15</t>
        </is>
      </c>
      <c r="K1206" s="4" t="inlineStr">
        <is>
          <t>UNL</t>
        </is>
      </c>
      <c r="L1206" s="4" t="inlineStr">
        <is>
          <t>One per hunter. Valid in all Region 3 HDs.</t>
        </is>
      </c>
    </row>
    <row r="1207">
      <c r="A1207" s="4" t="inlineStr">
        <is>
          <t>393</t>
        </is>
      </c>
      <c r="B1207" s="4" t="inlineStr">
        <is>
          <t>whitetail</t>
        </is>
      </c>
      <c r="C1207" s="4" t="inlineStr">
        <is>
          <t>General Deer License</t>
        </is>
      </c>
      <c r="D1207" s="13" t="inlineStr">
        <is>
          <t>General license</t>
        </is>
      </c>
      <c r="E1207" s="4" t="inlineStr">
        <is>
          <t>Either-sex White-tailed Deer</t>
        </is>
      </c>
      <c r="F1207" s="4" t="inlineStr">
        <is>
          <t>Sep 05-Oct 18</t>
        </is>
      </c>
      <c r="G1207" s="4" t="inlineStr">
        <is>
          <t>Oct 24-Nov 29</t>
        </is>
      </c>
      <c r="H1207" s="4" t="inlineStr">
        <is>
          <t>Dec 12-Dec 20</t>
        </is>
      </c>
      <c r="I1207" s="4" t="n"/>
      <c r="J1207" s="4" t="n"/>
      <c r="K1207" s="4" t="n"/>
      <c r="L1207" s="4" t="n"/>
    </row>
    <row r="1208">
      <c r="A1208" s="4" t="inlineStr">
        <is>
          <t>393</t>
        </is>
      </c>
      <c r="B1208" s="4" t="inlineStr">
        <is>
          <t>whitetail</t>
        </is>
      </c>
      <c r="C1208" s="4" t="inlineStr">
        <is>
          <t>Deer B License: 003-00</t>
        </is>
      </c>
      <c r="D1208" s="4" t="inlineStr">
        <is>
          <t>Over the counter</t>
        </is>
      </c>
      <c r="E1208" s="4" t="inlineStr">
        <is>
          <t>Antlerless White-tailed Deer</t>
        </is>
      </c>
      <c r="F1208" s="4" t="inlineStr">
        <is>
          <t>Sep 05-Oct 18</t>
        </is>
      </c>
      <c r="G1208" s="4" t="inlineStr">
        <is>
          <t>Oct 24-Nov 29</t>
        </is>
      </c>
      <c r="H1208" s="4" t="inlineStr">
        <is>
          <t>Dec 12-Dec 20</t>
        </is>
      </c>
      <c r="I1208" s="4" t="n"/>
      <c r="J1208" s="4" t="inlineStr">
        <is>
          <t>OTC: Jun 15</t>
        </is>
      </c>
      <c r="K1208" s="4" t="inlineStr">
        <is>
          <t>UNL</t>
        </is>
      </c>
      <c r="L1208" s="4" t="inlineStr">
        <is>
          <t>One per hunter. Valid in all Region 3 HDs.</t>
        </is>
      </c>
    </row>
    <row r="1209">
      <c r="A1209" s="4" t="inlineStr">
        <is>
          <t>400</t>
        </is>
      </c>
      <c r="B1209" s="4" t="inlineStr">
        <is>
          <t>whitetail</t>
        </is>
      </c>
      <c r="C1209" s="4" t="inlineStr">
        <is>
          <t>General Deer License</t>
        </is>
      </c>
      <c r="D1209" s="13" t="inlineStr">
        <is>
          <t>General license</t>
        </is>
      </c>
      <c r="E1209" s="4" t="inlineStr">
        <is>
          <t>Either-sex White-tailed Deer</t>
        </is>
      </c>
      <c r="F1209" s="4" t="inlineStr">
        <is>
          <t>Sep 05-Oct 18</t>
        </is>
      </c>
      <c r="G1209" s="4" t="n"/>
      <c r="H1209" s="4" t="n"/>
      <c r="I1209" s="4" t="n"/>
      <c r="J1209" s="4" t="n"/>
      <c r="K1209" s="4" t="n"/>
      <c r="L1209" s="4" t="n"/>
    </row>
    <row r="1210">
      <c r="A1210" s="4" t="inlineStr">
        <is>
          <t>400</t>
        </is>
      </c>
      <c r="B1210" s="4" t="inlineStr">
        <is>
          <t>whitetail</t>
        </is>
      </c>
      <c r="C1210" s="4" t="inlineStr">
        <is>
          <t>General Deer License</t>
        </is>
      </c>
      <c r="D1210" s="13" t="inlineStr">
        <is>
          <t>General license</t>
        </is>
      </c>
      <c r="E1210" s="4" t="inlineStr">
        <is>
          <t>Either-sex White-tailed Deer</t>
        </is>
      </c>
      <c r="F1210" s="4" t="n"/>
      <c r="G1210" s="4" t="inlineStr">
        <is>
          <t>Oct 24-Nov 15</t>
        </is>
      </c>
      <c r="H1210" s="4" t="n"/>
      <c r="I1210" s="4" t="n"/>
      <c r="J1210" s="4" t="n"/>
      <c r="K1210" s="4" t="n"/>
      <c r="L1210" s="4" t="inlineStr">
        <is>
          <t>3-week general season.</t>
        </is>
      </c>
    </row>
    <row r="1211">
      <c r="A1211" s="4" t="inlineStr">
        <is>
          <t>400</t>
        </is>
      </c>
      <c r="B1211" s="4" t="inlineStr">
        <is>
          <t>whitetail</t>
        </is>
      </c>
      <c r="C1211" s="4" t="inlineStr">
        <is>
          <t>Deer B License: 004-00</t>
        </is>
      </c>
      <c r="D1211" s="4" t="inlineStr">
        <is>
          <t>Over the counter</t>
        </is>
      </c>
      <c r="E1211" s="4" t="inlineStr">
        <is>
          <t>Antlerless White-tailed Deer</t>
        </is>
      </c>
      <c r="F1211" s="4" t="inlineStr">
        <is>
          <t>Sep 05-Oct 18</t>
        </is>
      </c>
      <c r="G1211" s="4" t="inlineStr">
        <is>
          <t>Oct 24-Nov 15</t>
        </is>
      </c>
      <c r="H1211" s="4" t="n"/>
      <c r="I1211" s="4" t="n"/>
      <c r="J1211" s="4" t="inlineStr">
        <is>
          <t>OTC: Jun 15</t>
        </is>
      </c>
      <c r="K1211" s="4" t="inlineStr">
        <is>
          <t>UNL</t>
        </is>
      </c>
      <c r="L1211" s="4" t="inlineStr">
        <is>
          <t>One per hunter. Valid in all Region 4 HDs except HD 455.</t>
        </is>
      </c>
    </row>
    <row r="1212">
      <c r="A1212" s="4" t="inlineStr">
        <is>
          <t>400</t>
        </is>
      </c>
      <c r="B1212" s="4" t="inlineStr">
        <is>
          <t>whitetail</t>
        </is>
      </c>
      <c r="C1212" s="4" t="inlineStr">
        <is>
          <t>Deer B License: 004-01</t>
        </is>
      </c>
      <c r="D1212" s="15" t="inlineStr">
        <is>
          <t>Drawing</t>
        </is>
      </c>
      <c r="E1212" s="4" t="inlineStr">
        <is>
          <t>Antlerless White-tailed Deer</t>
        </is>
      </c>
      <c r="F1212" s="4" t="inlineStr">
        <is>
          <t>Sep 05-Oct 18</t>
        </is>
      </c>
      <c r="G1212" s="4" t="inlineStr">
        <is>
          <t>Oct 24-Nov 15</t>
        </is>
      </c>
      <c r="H1212" s="4" t="n"/>
      <c r="I1212" s="4" t="n"/>
      <c r="J1212" s="4" t="inlineStr">
        <is>
          <t>Jun 1</t>
        </is>
      </c>
      <c r="K1212" s="4" t="inlineStr">
        <is>
          <t>2,000</t>
        </is>
      </c>
      <c r="L1212" s="4" t="inlineStr">
        <is>
          <t>Valid in all Region 4 HDs except HD 455.</t>
        </is>
      </c>
    </row>
    <row r="1213">
      <c r="A1213" s="4" t="inlineStr">
        <is>
          <t>400</t>
        </is>
      </c>
      <c r="B1213" s="4" t="inlineStr">
        <is>
          <t>whitetail</t>
        </is>
      </c>
      <c r="C1213" s="4" t="inlineStr">
        <is>
          <t>Deer Permit: 400-51</t>
        </is>
      </c>
      <c r="D1213" s="15" t="inlineStr">
        <is>
          <t>Drawing</t>
        </is>
      </c>
      <c r="E1213" s="4" t="inlineStr">
        <is>
          <t>Antlered Buck White-tailed Deer</t>
        </is>
      </c>
      <c r="F1213" s="4" t="n"/>
      <c r="G1213" s="4" t="inlineStr">
        <is>
          <t>Nov 16-Nov 29</t>
        </is>
      </c>
      <c r="H1213" s="4" t="inlineStr">
        <is>
          <t>Dec 12-Dec 20</t>
        </is>
      </c>
      <c r="I1213" s="4" t="n"/>
      <c r="J1213" s="4" t="inlineStr">
        <is>
          <t>April 1</t>
        </is>
      </c>
      <c r="K1213" s="4" t="inlineStr">
        <is>
          <t>35</t>
        </is>
      </c>
      <c r="L1213" s="4" t="inlineStr">
        <is>
          <t>Permit must be used with a valid General Deer License.</t>
        </is>
      </c>
    </row>
    <row r="1214">
      <c r="A1214" s="4" t="inlineStr">
        <is>
          <t>401</t>
        </is>
      </c>
      <c r="B1214" s="4" t="inlineStr">
        <is>
          <t>whitetail</t>
        </is>
      </c>
      <c r="C1214" s="4" t="inlineStr">
        <is>
          <t>General Deer License</t>
        </is>
      </c>
      <c r="D1214" s="13" t="inlineStr">
        <is>
          <t>General license</t>
        </is>
      </c>
      <c r="E1214" s="4" t="inlineStr">
        <is>
          <t>Either-sex White-tailed Deer</t>
        </is>
      </c>
      <c r="F1214" s="4" t="inlineStr">
        <is>
          <t>Sep 05-Oct 18</t>
        </is>
      </c>
      <c r="G1214" s="4" t="inlineStr">
        <is>
          <t>Oct 24-Nov 15</t>
        </is>
      </c>
      <c r="H1214" s="4" t="n"/>
      <c r="I1214" s="4" t="n"/>
      <c r="J1214" s="4" t="n"/>
      <c r="K1214" s="4" t="n"/>
      <c r="L1214" s="4" t="inlineStr">
        <is>
          <t>3 week general season.</t>
        </is>
      </c>
    </row>
    <row r="1215">
      <c r="A1215" s="4" t="inlineStr">
        <is>
          <t>401</t>
        </is>
      </c>
      <c r="B1215" s="4" t="inlineStr">
        <is>
          <t>whitetail</t>
        </is>
      </c>
      <c r="C1215" s="4" t="inlineStr">
        <is>
          <t>Deer B License: 004-00</t>
        </is>
      </c>
      <c r="D1215" s="4" t="inlineStr">
        <is>
          <t>Over the counter</t>
        </is>
      </c>
      <c r="E1215" s="4" t="inlineStr">
        <is>
          <t>Antlerless White-tailed Deer</t>
        </is>
      </c>
      <c r="F1215" s="4" t="inlineStr">
        <is>
          <t>Sep 05-Oct 18</t>
        </is>
      </c>
      <c r="G1215" s="4" t="inlineStr">
        <is>
          <t>Oct 24-Nov 29</t>
        </is>
      </c>
      <c r="H1215" s="4" t="n"/>
      <c r="I1215" s="4" t="n"/>
      <c r="J1215" s="4" t="inlineStr">
        <is>
          <t>OTC: Jun 15</t>
        </is>
      </c>
      <c r="K1215" s="4" t="inlineStr">
        <is>
          <t>UNL</t>
        </is>
      </c>
      <c r="L1215" s="4" t="inlineStr">
        <is>
          <t>One per hunter. Valid in all Region 4 HDs except HD 455.</t>
        </is>
      </c>
    </row>
    <row r="1216">
      <c r="A1216" s="4" t="inlineStr">
        <is>
          <t>401</t>
        </is>
      </c>
      <c r="B1216" s="4" t="inlineStr">
        <is>
          <t>whitetail</t>
        </is>
      </c>
      <c r="C1216" s="4" t="inlineStr">
        <is>
          <t>Deer B License: 004-01</t>
        </is>
      </c>
      <c r="D1216" s="15" t="inlineStr">
        <is>
          <t>Drawing</t>
        </is>
      </c>
      <c r="E1216" s="4" t="inlineStr">
        <is>
          <t>Antlerless White-tailed Deer</t>
        </is>
      </c>
      <c r="F1216" s="4" t="inlineStr">
        <is>
          <t>Sep 05-Oct 18</t>
        </is>
      </c>
      <c r="G1216" s="4" t="inlineStr">
        <is>
          <t>Oct 24-Nov 15</t>
        </is>
      </c>
      <c r="H1216" s="4" t="n"/>
      <c r="I1216" s="4" t="n"/>
      <c r="J1216" s="4" t="inlineStr">
        <is>
          <t>Jun 1</t>
        </is>
      </c>
      <c r="K1216" s="4" t="inlineStr">
        <is>
          <t>2,000</t>
        </is>
      </c>
      <c r="L1216" s="4" t="inlineStr">
        <is>
          <t>Valid in all Region 4 HDs except HD 455.</t>
        </is>
      </c>
    </row>
    <row r="1217">
      <c r="A1217" s="4" t="inlineStr">
        <is>
          <t>401</t>
        </is>
      </c>
      <c r="B1217" s="4" t="inlineStr">
        <is>
          <t>whitetail</t>
        </is>
      </c>
      <c r="C1217" s="4" t="inlineStr">
        <is>
          <t>Deer Permit: 401-51</t>
        </is>
      </c>
      <c r="D1217" s="15" t="inlineStr">
        <is>
          <t>Drawing</t>
        </is>
      </c>
      <c r="E1217" s="4" t="inlineStr">
        <is>
          <t>Antlered Buck White-tailed Deer</t>
        </is>
      </c>
      <c r="F1217" s="4" t="n"/>
      <c r="G1217" s="4" t="inlineStr">
        <is>
          <t>Nov 16-Nov 29</t>
        </is>
      </c>
      <c r="H1217" s="4" t="inlineStr">
        <is>
          <t>Dec 12-Dec 20</t>
        </is>
      </c>
      <c r="I1217" s="4" t="n"/>
      <c r="J1217" s="4" t="inlineStr">
        <is>
          <t>April 1</t>
        </is>
      </c>
      <c r="K1217" s="4" t="inlineStr">
        <is>
          <t>45</t>
        </is>
      </c>
      <c r="L1217" s="4" t="inlineStr">
        <is>
          <t>Permit must be used with a valid General Deer License.</t>
        </is>
      </c>
    </row>
    <row r="1218">
      <c r="A1218" s="4" t="inlineStr">
        <is>
          <t>403</t>
        </is>
      </c>
      <c r="B1218" s="4" t="inlineStr">
        <is>
          <t>whitetail</t>
        </is>
      </c>
      <c r="C1218" s="4" t="inlineStr">
        <is>
          <t>General Deer License</t>
        </is>
      </c>
      <c r="D1218" s="13" t="inlineStr">
        <is>
          <t>General license</t>
        </is>
      </c>
      <c r="E1218" s="4" t="inlineStr">
        <is>
          <t>Either-sex White-tailed Deer</t>
        </is>
      </c>
      <c r="F1218" s="4" t="inlineStr">
        <is>
          <t>Sep 05-Oct 18</t>
        </is>
      </c>
      <c r="G1218" s="4" t="inlineStr">
        <is>
          <t>Oct 24-Nov 15</t>
        </is>
      </c>
      <c r="H1218" s="4" t="n"/>
      <c r="I1218" s="4" t="n"/>
      <c r="J1218" s="4" t="n"/>
      <c r="K1218" s="4" t="n"/>
      <c r="L1218" s="4" t="inlineStr">
        <is>
          <t>3 week general season.</t>
        </is>
      </c>
    </row>
    <row r="1219">
      <c r="A1219" s="4" t="inlineStr">
        <is>
          <t>403</t>
        </is>
      </c>
      <c r="B1219" s="4" t="inlineStr">
        <is>
          <t>whitetail</t>
        </is>
      </c>
      <c r="C1219" s="4" t="inlineStr">
        <is>
          <t>Deer B License: 004-00</t>
        </is>
      </c>
      <c r="D1219" s="4" t="inlineStr">
        <is>
          <t>Over the counter</t>
        </is>
      </c>
      <c r="E1219" s="4" t="inlineStr">
        <is>
          <t>Antlerless White-tailed Deer</t>
        </is>
      </c>
      <c r="F1219" s="4" t="inlineStr">
        <is>
          <t>Sep 05-Oct 18</t>
        </is>
      </c>
      <c r="G1219" s="4" t="inlineStr">
        <is>
          <t>Oct 24-Nov 15</t>
        </is>
      </c>
      <c r="H1219" s="4" t="n"/>
      <c r="I1219" s="4" t="n"/>
      <c r="J1219" s="4" t="inlineStr">
        <is>
          <t>OTC: Jun 15</t>
        </is>
      </c>
      <c r="K1219" s="4" t="inlineStr">
        <is>
          <t>UNL</t>
        </is>
      </c>
      <c r="L1219" s="4" t="inlineStr">
        <is>
          <t>One per hunter. Valid in all Region 4 HDs except HD 455.</t>
        </is>
      </c>
    </row>
    <row r="1220">
      <c r="A1220" s="4" t="inlineStr">
        <is>
          <t>403</t>
        </is>
      </c>
      <c r="B1220" s="4" t="inlineStr">
        <is>
          <t>whitetail</t>
        </is>
      </c>
      <c r="C1220" s="4" t="inlineStr">
        <is>
          <t>Deer B License: 004-01</t>
        </is>
      </c>
      <c r="D1220" s="15" t="inlineStr">
        <is>
          <t>Drawing</t>
        </is>
      </c>
      <c r="E1220" s="4" t="inlineStr">
        <is>
          <t>Antlerless White-tailed Deer</t>
        </is>
      </c>
      <c r="F1220" s="4" t="inlineStr">
        <is>
          <t>Sep 05-Oct 18</t>
        </is>
      </c>
      <c r="G1220" s="4" t="inlineStr">
        <is>
          <t>Oct 24-Nov 15</t>
        </is>
      </c>
      <c r="H1220" s="4" t="n"/>
      <c r="I1220" s="4" t="n"/>
      <c r="J1220" s="4" t="inlineStr">
        <is>
          <t>Jun 1</t>
        </is>
      </c>
      <c r="K1220" s="4" t="inlineStr">
        <is>
          <t>2,000</t>
        </is>
      </c>
      <c r="L1220" s="4" t="inlineStr">
        <is>
          <t>Valid in all Region 4 HDs except HD 455.</t>
        </is>
      </c>
    </row>
    <row r="1221">
      <c r="A1221" s="4" t="inlineStr">
        <is>
          <t>403</t>
        </is>
      </c>
      <c r="B1221" s="4" t="inlineStr">
        <is>
          <t>whitetail</t>
        </is>
      </c>
      <c r="C1221" s="4" t="inlineStr">
        <is>
          <t>Deer Permit: 403-51</t>
        </is>
      </c>
      <c r="D1221" s="15" t="inlineStr">
        <is>
          <t>Drawing</t>
        </is>
      </c>
      <c r="E1221" s="4" t="inlineStr">
        <is>
          <t>Antlered Buck White-tailed Deer</t>
        </is>
      </c>
      <c r="F1221" s="4" t="n"/>
      <c r="G1221" s="4" t="inlineStr">
        <is>
          <t>Nov 16-Nov 29</t>
        </is>
      </c>
      <c r="H1221" s="4" t="inlineStr">
        <is>
          <t>Dec 12-Dec 20</t>
        </is>
      </c>
      <c r="I1221" s="4" t="n"/>
      <c r="J1221" s="4" t="inlineStr">
        <is>
          <t>April 1</t>
        </is>
      </c>
      <c r="K1221" s="4" t="inlineStr">
        <is>
          <t>10</t>
        </is>
      </c>
      <c r="L1221" s="4" t="inlineStr">
        <is>
          <t>Permit must be used with a valid General Deer License.</t>
        </is>
      </c>
    </row>
    <row r="1222">
      <c r="A1222" s="4" t="inlineStr">
        <is>
          <t>404</t>
        </is>
      </c>
      <c r="B1222" s="4" t="inlineStr">
        <is>
          <t>whitetail</t>
        </is>
      </c>
      <c r="C1222" s="4" t="inlineStr">
        <is>
          <t>General Deer License</t>
        </is>
      </c>
      <c r="D1222" s="13" t="inlineStr">
        <is>
          <t>General license</t>
        </is>
      </c>
      <c r="E1222" s="4" t="inlineStr">
        <is>
          <t>Either-sex White-tailed Deer</t>
        </is>
      </c>
      <c r="F1222" s="4" t="inlineStr">
        <is>
          <t>Sep 05-Oct 18</t>
        </is>
      </c>
      <c r="G1222" s="4" t="inlineStr">
        <is>
          <t>Oct 24-Nov 29</t>
        </is>
      </c>
      <c r="H1222" s="4" t="inlineStr">
        <is>
          <t>Dec 12-Dec 20</t>
        </is>
      </c>
      <c r="I1222" s="4" t="n"/>
      <c r="J1222" s="4" t="n"/>
      <c r="K1222" s="4" t="n"/>
      <c r="L1222" s="4" t="n"/>
    </row>
    <row r="1223">
      <c r="A1223" s="4" t="inlineStr">
        <is>
          <t>404</t>
        </is>
      </c>
      <c r="B1223" s="4" t="inlineStr">
        <is>
          <t>whitetail</t>
        </is>
      </c>
      <c r="C1223" s="4" t="inlineStr">
        <is>
          <t>Deer B License: 004-00</t>
        </is>
      </c>
      <c r="D1223" s="4" t="inlineStr">
        <is>
          <t>Over the counter</t>
        </is>
      </c>
      <c r="E1223" s="4" t="inlineStr">
        <is>
          <t>Antlerless White-tailed Deer</t>
        </is>
      </c>
      <c r="F1223" s="4" t="inlineStr">
        <is>
          <t>Sep 05-Oct 18</t>
        </is>
      </c>
      <c r="G1223" s="4" t="inlineStr">
        <is>
          <t>Oct 24-Nov 29</t>
        </is>
      </c>
      <c r="H1223" s="4" t="inlineStr">
        <is>
          <t>Dec 12-Dec 20</t>
        </is>
      </c>
      <c r="I1223" s="4" t="n"/>
      <c r="J1223" s="4" t="inlineStr">
        <is>
          <t>OTC: Jun 15</t>
        </is>
      </c>
      <c r="K1223" s="4" t="inlineStr">
        <is>
          <t>UNL</t>
        </is>
      </c>
      <c r="L1223" s="4" t="inlineStr">
        <is>
          <t>One per hunter. Valid in all Region 4 HDs except HD 455.</t>
        </is>
      </c>
    </row>
    <row r="1224">
      <c r="A1224" s="4" t="inlineStr">
        <is>
          <t>404</t>
        </is>
      </c>
      <c r="B1224" s="4" t="inlineStr">
        <is>
          <t>whitetail</t>
        </is>
      </c>
      <c r="C1224" s="4" t="inlineStr">
        <is>
          <t>Deer B License: 004-01</t>
        </is>
      </c>
      <c r="D1224" s="15" t="inlineStr">
        <is>
          <t>Drawing</t>
        </is>
      </c>
      <c r="E1224" s="4" t="inlineStr">
        <is>
          <t>Antlerless White-tailed Deer</t>
        </is>
      </c>
      <c r="F1224" s="4" t="inlineStr">
        <is>
          <t>Sep 05-Oct 18</t>
        </is>
      </c>
      <c r="G1224" s="4" t="inlineStr">
        <is>
          <t>Oct 24-Nov 29</t>
        </is>
      </c>
      <c r="H1224" s="4" t="inlineStr">
        <is>
          <t>Dec 12-Dec 20</t>
        </is>
      </c>
      <c r="I1224" s="4" t="n"/>
      <c r="J1224" s="4" t="inlineStr">
        <is>
          <t>Jun 1</t>
        </is>
      </c>
      <c r="K1224" s="4" t="inlineStr">
        <is>
          <t>2,000</t>
        </is>
      </c>
      <c r="L1224" s="4" t="inlineStr">
        <is>
          <t>Valid in all Region 4 HDs except HD 455.</t>
        </is>
      </c>
    </row>
    <row r="1225">
      <c r="A1225" s="4" t="inlineStr">
        <is>
          <t>405</t>
        </is>
      </c>
      <c r="B1225" s="4" t="inlineStr">
        <is>
          <t>whitetail</t>
        </is>
      </c>
      <c r="C1225" s="4" t="inlineStr">
        <is>
          <t>General Deer License</t>
        </is>
      </c>
      <c r="D1225" s="13" t="inlineStr">
        <is>
          <t>General license</t>
        </is>
      </c>
      <c r="E1225" s="4" t="inlineStr">
        <is>
          <t>Either-sex White-tailed Deer</t>
        </is>
      </c>
      <c r="F1225" s="4" t="inlineStr">
        <is>
          <t>Sep 05-Oct 18</t>
        </is>
      </c>
      <c r="G1225" s="4" t="inlineStr">
        <is>
          <t>Oct 24-Nov 29</t>
        </is>
      </c>
      <c r="H1225" s="4" t="inlineStr">
        <is>
          <t>Dec 12-Dec 20</t>
        </is>
      </c>
      <c r="I1225" s="4" t="n"/>
      <c r="J1225" s="4" t="n"/>
      <c r="K1225" s="4" t="n"/>
      <c r="L1225" s="4" t="n"/>
    </row>
    <row r="1226">
      <c r="A1226" s="4" t="inlineStr">
        <is>
          <t>405</t>
        </is>
      </c>
      <c r="B1226" s="4" t="inlineStr">
        <is>
          <t>whitetail</t>
        </is>
      </c>
      <c r="C1226" s="4" t="inlineStr">
        <is>
          <t>Deer B License: 004-00</t>
        </is>
      </c>
      <c r="D1226" s="4" t="inlineStr">
        <is>
          <t>Over the counter</t>
        </is>
      </c>
      <c r="E1226" s="4" t="inlineStr">
        <is>
          <t>Antlerless White-tailed Deer</t>
        </is>
      </c>
      <c r="F1226" s="4" t="inlineStr">
        <is>
          <t>Sep 05-Oct 18</t>
        </is>
      </c>
      <c r="G1226" s="4" t="inlineStr">
        <is>
          <t>Oct 24-Nov 29</t>
        </is>
      </c>
      <c r="H1226" s="4" t="inlineStr">
        <is>
          <t>Dec 12-Dec 20</t>
        </is>
      </c>
      <c r="I1226" s="4" t="n"/>
      <c r="J1226" s="4" t="inlineStr">
        <is>
          <t>OTC: Jun 15</t>
        </is>
      </c>
      <c r="K1226" s="4" t="inlineStr">
        <is>
          <t>UNL</t>
        </is>
      </c>
      <c r="L1226" s="4" t="inlineStr">
        <is>
          <t>One per hunter. Valid in all Region 4 HDs except HD 455.</t>
        </is>
      </c>
    </row>
    <row r="1227">
      <c r="A1227" s="4" t="inlineStr">
        <is>
          <t>405</t>
        </is>
      </c>
      <c r="B1227" s="4" t="inlineStr">
        <is>
          <t>whitetail</t>
        </is>
      </c>
      <c r="C1227" s="4" t="inlineStr">
        <is>
          <t>Deer B License: 004-01</t>
        </is>
      </c>
      <c r="D1227" s="15" t="inlineStr">
        <is>
          <t>Drawing</t>
        </is>
      </c>
      <c r="E1227" s="4" t="inlineStr">
        <is>
          <t>Antlerless White-tailed Deer</t>
        </is>
      </c>
      <c r="F1227" s="4" t="inlineStr">
        <is>
          <t>Sep 05-Oct 18</t>
        </is>
      </c>
      <c r="G1227" s="4" t="inlineStr">
        <is>
          <t>Oct 24-Nov 29</t>
        </is>
      </c>
      <c r="H1227" s="4" t="inlineStr">
        <is>
          <t>Dec 12-Dec 20</t>
        </is>
      </c>
      <c r="I1227" s="4" t="n"/>
      <c r="J1227" s="4" t="inlineStr">
        <is>
          <t>Jun 1</t>
        </is>
      </c>
      <c r="K1227" s="4" t="inlineStr">
        <is>
          <t>2,000</t>
        </is>
      </c>
      <c r="L1227" s="4" t="inlineStr">
        <is>
          <t>Valid in all Region 4 HDs except HD 455.</t>
        </is>
      </c>
    </row>
    <row r="1228">
      <c r="A1228" s="4" t="inlineStr">
        <is>
          <t>406</t>
        </is>
      </c>
      <c r="B1228" s="4" t="inlineStr">
        <is>
          <t>whitetail</t>
        </is>
      </c>
      <c r="C1228" s="4" t="inlineStr">
        <is>
          <t>General Deer License</t>
        </is>
      </c>
      <c r="D1228" s="13" t="inlineStr">
        <is>
          <t>General license</t>
        </is>
      </c>
      <c r="E1228" s="4" t="inlineStr">
        <is>
          <t>Either-sex White-tailed Deer</t>
        </is>
      </c>
      <c r="F1228" s="4" t="inlineStr">
        <is>
          <t>Sep 05-Oct 18</t>
        </is>
      </c>
      <c r="G1228" s="4" t="inlineStr">
        <is>
          <t>Oct 24-Nov 15</t>
        </is>
      </c>
      <c r="H1228" s="4" t="n"/>
      <c r="I1228" s="4" t="n"/>
      <c r="J1228" s="4" t="n"/>
      <c r="K1228" s="4" t="n"/>
      <c r="L1228" s="4" t="inlineStr">
        <is>
          <t>3 week general season.</t>
        </is>
      </c>
    </row>
    <row r="1229">
      <c r="A1229" s="4" t="inlineStr">
        <is>
          <t>406</t>
        </is>
      </c>
      <c r="B1229" s="4" t="inlineStr">
        <is>
          <t>whitetail</t>
        </is>
      </c>
      <c r="C1229" s="4" t="inlineStr">
        <is>
          <t>Deer B License: 004-00</t>
        </is>
      </c>
      <c r="D1229" s="4" t="inlineStr">
        <is>
          <t>Over the counter</t>
        </is>
      </c>
      <c r="E1229" s="4" t="inlineStr">
        <is>
          <t>Antlerless White-tailed Deer</t>
        </is>
      </c>
      <c r="F1229" s="4" t="inlineStr">
        <is>
          <t>Sep 05-Oct 18</t>
        </is>
      </c>
      <c r="G1229" s="4" t="inlineStr">
        <is>
          <t>Oct 24-Nov 15</t>
        </is>
      </c>
      <c r="H1229" s="4" t="n"/>
      <c r="I1229" s="4" t="n"/>
      <c r="J1229" s="4" t="inlineStr">
        <is>
          <t>OTC: Jun 15</t>
        </is>
      </c>
      <c r="K1229" s="4" t="inlineStr">
        <is>
          <t>UNL</t>
        </is>
      </c>
      <c r="L1229" s="4" t="inlineStr">
        <is>
          <t>One per hunter. Valid in all Region 4 HDs except HD 455.</t>
        </is>
      </c>
    </row>
    <row r="1230">
      <c r="A1230" s="4" t="inlineStr">
        <is>
          <t>406</t>
        </is>
      </c>
      <c r="B1230" s="4" t="inlineStr">
        <is>
          <t>whitetail</t>
        </is>
      </c>
      <c r="C1230" s="4" t="inlineStr">
        <is>
          <t>Deer B License: 004-01</t>
        </is>
      </c>
      <c r="D1230" s="15" t="inlineStr">
        <is>
          <t>Drawing</t>
        </is>
      </c>
      <c r="E1230" s="4" t="inlineStr">
        <is>
          <t>Antlerless White-tailed Deer</t>
        </is>
      </c>
      <c r="F1230" s="4" t="inlineStr">
        <is>
          <t>Sep 05-Oct 18</t>
        </is>
      </c>
      <c r="G1230" s="4" t="inlineStr">
        <is>
          <t>Oct 24-Nov 15</t>
        </is>
      </c>
      <c r="H1230" s="4" t="n"/>
      <c r="I1230" s="4" t="n"/>
      <c r="J1230" s="4" t="inlineStr">
        <is>
          <t>Jun 1</t>
        </is>
      </c>
      <c r="K1230" s="4" t="inlineStr">
        <is>
          <t>2,000</t>
        </is>
      </c>
      <c r="L1230" s="4" t="inlineStr">
        <is>
          <t>Valid in all Region 4 HDs except HD 455.</t>
        </is>
      </c>
    </row>
    <row r="1231">
      <c r="A1231" s="4" t="inlineStr">
        <is>
          <t>406</t>
        </is>
      </c>
      <c r="B1231" s="4" t="inlineStr">
        <is>
          <t>whitetail</t>
        </is>
      </c>
      <c r="C1231" s="4" t="inlineStr">
        <is>
          <t>Deer Permit: 406-51</t>
        </is>
      </c>
      <c r="D1231" s="15" t="inlineStr">
        <is>
          <t>Drawing</t>
        </is>
      </c>
      <c r="E1231" s="4" t="inlineStr">
        <is>
          <t>Antlered Buck White-tailed Deer</t>
        </is>
      </c>
      <c r="F1231" s="4" t="n"/>
      <c r="G1231" s="4" t="inlineStr">
        <is>
          <t>Nov 16-Nov 29</t>
        </is>
      </c>
      <c r="H1231" s="4" t="inlineStr">
        <is>
          <t>Dec 12-Dec 20</t>
        </is>
      </c>
      <c r="I1231" s="4" t="n"/>
      <c r="J1231" s="4" t="inlineStr">
        <is>
          <t>April 1</t>
        </is>
      </c>
      <c r="K1231" s="4" t="inlineStr">
        <is>
          <t>25</t>
        </is>
      </c>
      <c r="L1231" s="4" t="inlineStr">
        <is>
          <t>Permit must be used with a valid General Deer License. LICENSE/PERMIT OPPORTUNITY APPL Y BY DATE QUOTA QUOTA RANGE EARL Y SEASON DATES ARCHERY ONL Y SEASON DATES GENERAL SEASON DATES HERITAGE MUZZLELOADER SEASON DATES LATE SEASON DATES OPPORTUNITY SPECIFIC DETAILS AND/ORRESTRICTIONS NOTE: Marias Riv</t>
        </is>
      </c>
    </row>
    <row r="1232">
      <c r="A1232" s="4" t="inlineStr">
        <is>
          <t>410</t>
        </is>
      </c>
      <c r="B1232" s="4" t="inlineStr">
        <is>
          <t>whitetail</t>
        </is>
      </c>
      <c r="C1232" s="4" t="inlineStr">
        <is>
          <t>General Deer License</t>
        </is>
      </c>
      <c r="D1232" s="13" t="inlineStr">
        <is>
          <t>General license</t>
        </is>
      </c>
      <c r="E1232" s="4" t="inlineStr">
        <is>
          <t>Either-sex White-tailed Deer</t>
        </is>
      </c>
      <c r="F1232" s="4" t="inlineStr">
        <is>
          <t>Sep 05-Oct 18</t>
        </is>
      </c>
      <c r="G1232" s="4" t="inlineStr">
        <is>
          <t>Oct 24-Nov 29</t>
        </is>
      </c>
      <c r="H1232" s="4" t="inlineStr">
        <is>
          <t>Dec 12-Dec 20</t>
        </is>
      </c>
      <c r="I1232" s="4" t="n"/>
      <c r="J1232" s="4" t="n"/>
      <c r="K1232" s="4" t="n"/>
      <c r="L1232" s="4" t="n"/>
    </row>
    <row r="1233">
      <c r="A1233" s="4" t="inlineStr">
        <is>
          <t>410</t>
        </is>
      </c>
      <c r="B1233" s="4" t="inlineStr">
        <is>
          <t>whitetail</t>
        </is>
      </c>
      <c r="C1233" s="4" t="inlineStr">
        <is>
          <t>Deer B License: 004-00</t>
        </is>
      </c>
      <c r="D1233" s="4" t="inlineStr">
        <is>
          <t>Over the counter</t>
        </is>
      </c>
      <c r="E1233" s="4" t="inlineStr">
        <is>
          <t>Antlerless White-tailed Deer</t>
        </is>
      </c>
      <c r="F1233" s="4" t="inlineStr">
        <is>
          <t>Sep 05-Oct 18</t>
        </is>
      </c>
      <c r="G1233" s="4" t="inlineStr">
        <is>
          <t>Oct 24-Nov 29</t>
        </is>
      </c>
      <c r="H1233" s="4" t="inlineStr">
        <is>
          <t>Dec 12-Dec 20</t>
        </is>
      </c>
      <c r="I1233" s="4" t="n"/>
      <c r="J1233" s="4" t="inlineStr">
        <is>
          <t>OTC: Jun 15</t>
        </is>
      </c>
      <c r="K1233" s="4" t="inlineStr">
        <is>
          <t>UNL</t>
        </is>
      </c>
      <c r="L1233" s="4" t="inlineStr">
        <is>
          <t>One per hunter. Valid in all Region 4 HDs except HD 455.</t>
        </is>
      </c>
    </row>
    <row r="1234">
      <c r="A1234" s="4" t="inlineStr">
        <is>
          <t>410</t>
        </is>
      </c>
      <c r="B1234" s="4" t="inlineStr">
        <is>
          <t>whitetail</t>
        </is>
      </c>
      <c r="C1234" s="4" t="inlineStr">
        <is>
          <t>Deer B License: 004-01</t>
        </is>
      </c>
      <c r="D1234" s="15" t="inlineStr">
        <is>
          <t>Drawing</t>
        </is>
      </c>
      <c r="E1234" s="4" t="inlineStr">
        <is>
          <t>Antlerless White-tailed Deer</t>
        </is>
      </c>
      <c r="F1234" s="4" t="inlineStr">
        <is>
          <t>Sep 05-Oct 18</t>
        </is>
      </c>
      <c r="G1234" s="4" t="inlineStr">
        <is>
          <t>Oct 24-Nov 29</t>
        </is>
      </c>
      <c r="H1234" s="4" t="inlineStr">
        <is>
          <t>Dec 12-Dec 20</t>
        </is>
      </c>
      <c r="I1234" s="4" t="n"/>
      <c r="J1234" s="4" t="inlineStr">
        <is>
          <t>Jun 1</t>
        </is>
      </c>
      <c r="K1234" s="4" t="inlineStr">
        <is>
          <t>2,000</t>
        </is>
      </c>
      <c r="L1234" s="4" t="inlineStr">
        <is>
          <t>Valid in all Region 4 HDs except HD 455.</t>
        </is>
      </c>
    </row>
    <row r="1235">
      <c r="A1235" s="4" t="inlineStr">
        <is>
          <t>411</t>
        </is>
      </c>
      <c r="B1235" s="4" t="inlineStr">
        <is>
          <t>whitetail</t>
        </is>
      </c>
      <c r="C1235" s="4" t="inlineStr">
        <is>
          <t>General Deer License</t>
        </is>
      </c>
      <c r="D1235" s="13" t="inlineStr">
        <is>
          <t>General license</t>
        </is>
      </c>
      <c r="E1235" s="4" t="inlineStr">
        <is>
          <t>Either-sex White-tailed Deer</t>
        </is>
      </c>
      <c r="F1235" s="4" t="inlineStr">
        <is>
          <t>Sep 05-Oct 18</t>
        </is>
      </c>
      <c r="G1235" s="4" t="inlineStr">
        <is>
          <t>Oct 24-Nov 29</t>
        </is>
      </c>
      <c r="H1235" s="4" t="inlineStr">
        <is>
          <t>Dec 12-Dec 20</t>
        </is>
      </c>
      <c r="I1235" s="4" t="n"/>
      <c r="J1235" s="4" t="n"/>
      <c r="K1235" s="4" t="n"/>
      <c r="L1235" s="4" t="n"/>
    </row>
    <row r="1236">
      <c r="A1236" s="4" t="inlineStr">
        <is>
          <t>411</t>
        </is>
      </c>
      <c r="B1236" s="4" t="inlineStr">
        <is>
          <t>whitetail</t>
        </is>
      </c>
      <c r="C1236" s="4" t="inlineStr">
        <is>
          <t>Deer B License: 004-00</t>
        </is>
      </c>
      <c r="D1236" s="4" t="inlineStr">
        <is>
          <t>Over the counter</t>
        </is>
      </c>
      <c r="E1236" s="4" t="inlineStr">
        <is>
          <t>Antlerless White-tailed Deer</t>
        </is>
      </c>
      <c r="F1236" s="4" t="inlineStr">
        <is>
          <t>Sep 05-Oct 18</t>
        </is>
      </c>
      <c r="G1236" s="4" t="inlineStr">
        <is>
          <t>Oct 24-Nov 29</t>
        </is>
      </c>
      <c r="H1236" s="4" t="inlineStr">
        <is>
          <t>Dec 12-Dec 20</t>
        </is>
      </c>
      <c r="I1236" s="4" t="n"/>
      <c r="J1236" s="4" t="inlineStr">
        <is>
          <t>OTC: Jun 15</t>
        </is>
      </c>
      <c r="K1236" s="4" t="inlineStr">
        <is>
          <t>UNL</t>
        </is>
      </c>
      <c r="L1236" s="4" t="inlineStr">
        <is>
          <t>One per hunter. Valid in all Region 4 HDs except HD 455.</t>
        </is>
      </c>
    </row>
    <row r="1237">
      <c r="A1237" s="4" t="inlineStr">
        <is>
          <t>411</t>
        </is>
      </c>
      <c r="B1237" s="4" t="inlineStr">
        <is>
          <t>whitetail</t>
        </is>
      </c>
      <c r="C1237" s="4" t="inlineStr">
        <is>
          <t>Deer B License: 004-01</t>
        </is>
      </c>
      <c r="D1237" s="15" t="inlineStr">
        <is>
          <t>Drawing</t>
        </is>
      </c>
      <c r="E1237" s="4" t="inlineStr">
        <is>
          <t>Antlerless White-tailed Deer</t>
        </is>
      </c>
      <c r="F1237" s="4" t="inlineStr">
        <is>
          <t>Sep 05-Oct 18</t>
        </is>
      </c>
      <c r="G1237" s="4" t="inlineStr">
        <is>
          <t>Oct 24-Nov 29</t>
        </is>
      </c>
      <c r="H1237" s="4" t="inlineStr">
        <is>
          <t>Dec 12-Dec 20</t>
        </is>
      </c>
      <c r="I1237" s="4" t="n"/>
      <c r="J1237" s="4" t="inlineStr">
        <is>
          <t>Jun 1</t>
        </is>
      </c>
      <c r="K1237" s="4" t="inlineStr">
        <is>
          <t>2,000</t>
        </is>
      </c>
      <c r="L1237" s="4" t="inlineStr">
        <is>
          <t>Valid in all Region 4 HDs except HD 455.</t>
        </is>
      </c>
    </row>
    <row r="1238">
      <c r="A1238" s="4" t="inlineStr">
        <is>
          <t>412</t>
        </is>
      </c>
      <c r="B1238" s="4" t="inlineStr">
        <is>
          <t>whitetail</t>
        </is>
      </c>
      <c r="C1238" s="4" t="inlineStr">
        <is>
          <t>General Deer License</t>
        </is>
      </c>
      <c r="D1238" s="13" t="inlineStr">
        <is>
          <t>General license</t>
        </is>
      </c>
      <c r="E1238" s="4" t="inlineStr">
        <is>
          <t>Either-sex White-tailed Deer</t>
        </is>
      </c>
      <c r="F1238" s="4" t="inlineStr">
        <is>
          <t>Sep 05-Oct 18</t>
        </is>
      </c>
      <c r="G1238" s="4" t="inlineStr">
        <is>
          <t>Oct 24-Nov 29</t>
        </is>
      </c>
      <c r="H1238" s="4" t="inlineStr">
        <is>
          <t>Dec 12-Dec 20</t>
        </is>
      </c>
      <c r="I1238" s="4" t="n"/>
      <c r="J1238" s="4" t="n"/>
      <c r="K1238" s="4" t="n"/>
      <c r="L1238" s="4" t="n"/>
    </row>
    <row r="1239">
      <c r="A1239" s="4" t="inlineStr">
        <is>
          <t>412</t>
        </is>
      </c>
      <c r="B1239" s="4" t="inlineStr">
        <is>
          <t>whitetail</t>
        </is>
      </c>
      <c r="C1239" s="4" t="inlineStr">
        <is>
          <t>Deer B License: 004-00</t>
        </is>
      </c>
      <c r="D1239" s="4" t="inlineStr">
        <is>
          <t>Over the counter</t>
        </is>
      </c>
      <c r="E1239" s="4" t="inlineStr">
        <is>
          <t>Antlerless White-tailed Deer</t>
        </is>
      </c>
      <c r="F1239" s="4" t="inlineStr">
        <is>
          <t>Sep 05-Oct 18</t>
        </is>
      </c>
      <c r="G1239" s="4" t="inlineStr">
        <is>
          <t>Oct 24-Nov 29</t>
        </is>
      </c>
      <c r="H1239" s="4" t="inlineStr">
        <is>
          <t>Dec 12-Dec 20</t>
        </is>
      </c>
      <c r="I1239" s="4" t="n"/>
      <c r="J1239" s="4" t="inlineStr">
        <is>
          <t>OTC: Jun 15</t>
        </is>
      </c>
      <c r="K1239" s="4" t="inlineStr">
        <is>
          <t>UNL</t>
        </is>
      </c>
      <c r="L1239" s="4" t="inlineStr">
        <is>
          <t>One per hunter. Valid in all Region 4 HDs except HD 455.</t>
        </is>
      </c>
    </row>
    <row r="1240">
      <c r="A1240" s="4" t="inlineStr">
        <is>
          <t>412</t>
        </is>
      </c>
      <c r="B1240" s="4" t="inlineStr">
        <is>
          <t>whitetail</t>
        </is>
      </c>
      <c r="C1240" s="4" t="inlineStr">
        <is>
          <t>Deer B License: 004-01</t>
        </is>
      </c>
      <c r="D1240" s="15" t="inlineStr">
        <is>
          <t>Drawing</t>
        </is>
      </c>
      <c r="E1240" s="4" t="inlineStr">
        <is>
          <t>Antlerless White-tailed Deer</t>
        </is>
      </c>
      <c r="F1240" s="4" t="inlineStr">
        <is>
          <t>Sep 05-Oct 18</t>
        </is>
      </c>
      <c r="G1240" s="4" t="inlineStr">
        <is>
          <t>Oct 24-Nov 29</t>
        </is>
      </c>
      <c r="H1240" s="4" t="inlineStr">
        <is>
          <t>Dec 12-Dec 20</t>
        </is>
      </c>
      <c r="I1240" s="4" t="n"/>
      <c r="J1240" s="4" t="inlineStr">
        <is>
          <t>Jun 1</t>
        </is>
      </c>
      <c r="K1240" s="4" t="inlineStr">
        <is>
          <t>2,000</t>
        </is>
      </c>
      <c r="L1240" s="4" t="inlineStr">
        <is>
          <t>Valid in all Region 4 HDs except HD 455.</t>
        </is>
      </c>
    </row>
    <row r="1241">
      <c r="A1241" s="4" t="inlineStr">
        <is>
          <t>413</t>
        </is>
      </c>
      <c r="B1241" s="4" t="inlineStr">
        <is>
          <t>whitetail</t>
        </is>
      </c>
      <c r="C1241" s="4" t="inlineStr">
        <is>
          <t>General Deer License</t>
        </is>
      </c>
      <c r="D1241" s="13" t="inlineStr">
        <is>
          <t>General license</t>
        </is>
      </c>
      <c r="E1241" s="4" t="inlineStr">
        <is>
          <t>Antlerless White-tailed Deer</t>
        </is>
      </c>
      <c r="F1241" s="4" t="n"/>
      <c r="G1241" s="4" t="n"/>
      <c r="H1241" s="4" t="n"/>
      <c r="I1241" s="4" t="inlineStr">
        <is>
          <t>Nov 30-Jan 15</t>
        </is>
      </c>
      <c r="J1241" s="4" t="n"/>
      <c r="K1241" s="4" t="n"/>
      <c r="L1241" s="4" t="inlineStr">
        <is>
          <t>Only valid in Great Falls portion of HD 413. See Legal Description.</t>
        </is>
      </c>
    </row>
    <row r="1242">
      <c r="A1242" s="4" t="inlineStr">
        <is>
          <t>413</t>
        </is>
      </c>
      <c r="B1242" s="4" t="inlineStr">
        <is>
          <t>whitetail</t>
        </is>
      </c>
      <c r="C1242" s="4" t="inlineStr">
        <is>
          <t>General Deer License</t>
        </is>
      </c>
      <c r="D1242" s="13" t="inlineStr">
        <is>
          <t>General license</t>
        </is>
      </c>
      <c r="E1242" s="4" t="inlineStr">
        <is>
          <t>Either-sex White-tailed Deer</t>
        </is>
      </c>
      <c r="F1242" s="4" t="inlineStr">
        <is>
          <t>Sep 05-Oct 18</t>
        </is>
      </c>
      <c r="G1242" s="4" t="inlineStr">
        <is>
          <t>Oct 24-Nov 29</t>
        </is>
      </c>
      <c r="H1242" s="4" t="inlineStr">
        <is>
          <t>Dec 12-Dec 20</t>
        </is>
      </c>
      <c r="I1242" s="4" t="n"/>
      <c r="J1242" s="4" t="n"/>
      <c r="K1242" s="4" t="n"/>
      <c r="L1242" s="4" t="n"/>
    </row>
    <row r="1243">
      <c r="A1243" s="4" t="inlineStr">
        <is>
          <t>413</t>
        </is>
      </c>
      <c r="B1243" s="4" t="inlineStr">
        <is>
          <t>whitetail</t>
        </is>
      </c>
      <c r="C1243" s="4" t="inlineStr">
        <is>
          <t>Deer B License: 004-00</t>
        </is>
      </c>
      <c r="D1243" s="4" t="inlineStr">
        <is>
          <t>Over the counter</t>
        </is>
      </c>
      <c r="E1243" s="4" t="inlineStr">
        <is>
          <t>Antlerless White-tailed Deer</t>
        </is>
      </c>
      <c r="F1243" s="4" t="inlineStr">
        <is>
          <t>Sep 05-Oct 18</t>
        </is>
      </c>
      <c r="G1243" s="4" t="inlineStr">
        <is>
          <t>Oct 24-Nov 29</t>
        </is>
      </c>
      <c r="H1243" s="4" t="inlineStr">
        <is>
          <t>Dec 12-Dec 20</t>
        </is>
      </c>
      <c r="I1243" s="4" t="n"/>
      <c r="J1243" s="4" t="inlineStr">
        <is>
          <t>OTC: Jun 15</t>
        </is>
      </c>
      <c r="K1243" s="4" t="inlineStr">
        <is>
          <t>UNL</t>
        </is>
      </c>
      <c r="L1243" s="4" t="inlineStr">
        <is>
          <t>One per hunter. Valid in all Region 4 HDs except HD 455. Only valid in Great Falls portion of HD 413. See Legal Description.</t>
        </is>
      </c>
    </row>
    <row r="1244">
      <c r="A1244" s="4" t="inlineStr">
        <is>
          <t>413</t>
        </is>
      </c>
      <c r="B1244" s="4" t="inlineStr">
        <is>
          <t>whitetail</t>
        </is>
      </c>
      <c r="C1244" s="4" t="inlineStr">
        <is>
          <t>Deer B License: 004-01</t>
        </is>
      </c>
      <c r="D1244" s="15" t="inlineStr">
        <is>
          <t>Drawing</t>
        </is>
      </c>
      <c r="E1244" s="4" t="inlineStr">
        <is>
          <t>Antlerless White-tailed Deer</t>
        </is>
      </c>
      <c r="F1244" s="4" t="inlineStr">
        <is>
          <t>Sep 05-Oct 18</t>
        </is>
      </c>
      <c r="G1244" s="4" t="inlineStr">
        <is>
          <t>Oct 24-Nov 29</t>
        </is>
      </c>
      <c r="H1244" s="4" t="inlineStr">
        <is>
          <t>Dec 12-Dec 20</t>
        </is>
      </c>
      <c r="I1244" s="4" t="n"/>
      <c r="J1244" s="4" t="inlineStr">
        <is>
          <t>Jun 1</t>
        </is>
      </c>
      <c r="K1244" s="4" t="inlineStr">
        <is>
          <t>2,000</t>
        </is>
      </c>
      <c r="L1244" s="4" t="inlineStr">
        <is>
          <t>Valid in all Region 4 HDs except HD 455. Only valid in Great Falls portion of HD 413. See Legal Description.</t>
        </is>
      </c>
    </row>
    <row r="1245">
      <c r="A1245" s="4" t="inlineStr">
        <is>
          <t>415</t>
        </is>
      </c>
      <c r="B1245" s="4" t="inlineStr">
        <is>
          <t>whitetail</t>
        </is>
      </c>
      <c r="C1245" s="4" t="inlineStr">
        <is>
          <t>General Deer License</t>
        </is>
      </c>
      <c r="D1245" s="13" t="inlineStr">
        <is>
          <t>General license</t>
        </is>
      </c>
      <c r="E1245" s="4" t="inlineStr">
        <is>
          <t>Either-sex White-tailed Deer</t>
        </is>
      </c>
      <c r="F1245" s="4" t="inlineStr">
        <is>
          <t>Sep 05-Oct 18</t>
        </is>
      </c>
      <c r="G1245" s="4" t="inlineStr">
        <is>
          <t>Oct 24-Nov 29</t>
        </is>
      </c>
      <c r="H1245" s="4" t="inlineStr">
        <is>
          <t>Dec 12-Dec 20</t>
        </is>
      </c>
      <c r="I1245" s="4" t="n"/>
      <c r="J1245" s="4" t="n"/>
      <c r="K1245" s="4" t="n"/>
      <c r="L1245" s="4" t="n"/>
    </row>
    <row r="1246">
      <c r="A1246" s="4" t="inlineStr">
        <is>
          <t>415</t>
        </is>
      </c>
      <c r="B1246" s="4" t="inlineStr">
        <is>
          <t>whitetail</t>
        </is>
      </c>
      <c r="C1246" s="4" t="inlineStr">
        <is>
          <t>Deer B License: 004-00</t>
        </is>
      </c>
      <c r="D1246" s="4" t="inlineStr">
        <is>
          <t>Over the counter</t>
        </is>
      </c>
      <c r="E1246" s="4" t="inlineStr">
        <is>
          <t>Antlerless White-tailed Deer</t>
        </is>
      </c>
      <c r="F1246" s="4" t="inlineStr">
        <is>
          <t>Sep 05-Oct 18</t>
        </is>
      </c>
      <c r="G1246" s="4" t="inlineStr">
        <is>
          <t>Oct 24-Nov 29</t>
        </is>
      </c>
      <c r="H1246" s="4" t="inlineStr">
        <is>
          <t>Dec 12-Dec 20</t>
        </is>
      </c>
      <c r="I1246" s="4" t="n"/>
      <c r="J1246" s="4" t="inlineStr">
        <is>
          <t>OTC: Jun 15</t>
        </is>
      </c>
      <c r="K1246" s="4" t="inlineStr">
        <is>
          <t>UNL</t>
        </is>
      </c>
      <c r="L1246" s="4" t="inlineStr">
        <is>
          <t>One per hunter. Valid in all Region 4 HDs except HD 455.</t>
        </is>
      </c>
    </row>
    <row r="1247">
      <c r="A1247" s="4" t="inlineStr">
        <is>
          <t>415</t>
        </is>
      </c>
      <c r="B1247" s="4" t="inlineStr">
        <is>
          <t>whitetail</t>
        </is>
      </c>
      <c r="C1247" s="4" t="inlineStr">
        <is>
          <t>Deer B License: 004-01</t>
        </is>
      </c>
      <c r="D1247" s="15" t="inlineStr">
        <is>
          <t>Drawing</t>
        </is>
      </c>
      <c r="E1247" s="4" t="inlineStr">
        <is>
          <t>Antlerless White-tailed Deer</t>
        </is>
      </c>
      <c r="F1247" s="4" t="inlineStr">
        <is>
          <t>Sep 05-Oct 18</t>
        </is>
      </c>
      <c r="G1247" s="4" t="inlineStr">
        <is>
          <t>Oct 24-Nov 29</t>
        </is>
      </c>
      <c r="H1247" s="4" t="inlineStr">
        <is>
          <t>Dec 12-Dec 20</t>
        </is>
      </c>
      <c r="I1247" s="4" t="n"/>
      <c r="J1247" s="4" t="inlineStr">
        <is>
          <t>Jun 1</t>
        </is>
      </c>
      <c r="K1247" s="4" t="inlineStr">
        <is>
          <t>2,000</t>
        </is>
      </c>
      <c r="L1247" s="4" t="inlineStr">
        <is>
          <t>Valid in all Region 4 HDs except HD 455.</t>
        </is>
      </c>
    </row>
    <row r="1248">
      <c r="A1248" s="4" t="inlineStr">
        <is>
          <t>416</t>
        </is>
      </c>
      <c r="B1248" s="4" t="inlineStr">
        <is>
          <t>whitetail</t>
        </is>
      </c>
      <c r="C1248" s="4" t="inlineStr">
        <is>
          <t>General Deer License</t>
        </is>
      </c>
      <c r="D1248" s="13" t="inlineStr">
        <is>
          <t>General license</t>
        </is>
      </c>
      <c r="E1248" s="4" t="inlineStr">
        <is>
          <t>Either-sex White-tailed Deer</t>
        </is>
      </c>
      <c r="F1248" s="4" t="inlineStr">
        <is>
          <t>Sep 05-Oct 18</t>
        </is>
      </c>
      <c r="G1248" s="4" t="inlineStr">
        <is>
          <t>Oct 24-Nov 29</t>
        </is>
      </c>
      <c r="H1248" s="4" t="inlineStr">
        <is>
          <t>Dec 12-Dec 20</t>
        </is>
      </c>
      <c r="I1248" s="4" t="n"/>
      <c r="J1248" s="4" t="n"/>
      <c r="K1248" s="4" t="n"/>
      <c r="L1248" s="4" t="n"/>
    </row>
    <row r="1249">
      <c r="A1249" s="4" t="inlineStr">
        <is>
          <t>416</t>
        </is>
      </c>
      <c r="B1249" s="4" t="inlineStr">
        <is>
          <t>whitetail</t>
        </is>
      </c>
      <c r="C1249" s="4" t="inlineStr">
        <is>
          <t>Deer B License: 004-00</t>
        </is>
      </c>
      <c r="D1249" s="4" t="inlineStr">
        <is>
          <t>Over the counter</t>
        </is>
      </c>
      <c r="E1249" s="4" t="inlineStr">
        <is>
          <t>Antlerless White-tailed Deer</t>
        </is>
      </c>
      <c r="F1249" s="4" t="inlineStr">
        <is>
          <t>Sep 05-Oct 18</t>
        </is>
      </c>
      <c r="G1249" s="4" t="inlineStr">
        <is>
          <t>Oct 24-Nov 29</t>
        </is>
      </c>
      <c r="H1249" s="4" t="inlineStr">
        <is>
          <t>Dec 12-Dec 20</t>
        </is>
      </c>
      <c r="I1249" s="4" t="n"/>
      <c r="J1249" s="4" t="inlineStr">
        <is>
          <t>OTC: Jun 15</t>
        </is>
      </c>
      <c r="K1249" s="4" t="inlineStr">
        <is>
          <t>UNL</t>
        </is>
      </c>
      <c r="L1249" s="4" t="inlineStr">
        <is>
          <t>One per hunter. Valid in all Region 4 HDs except HD 455.</t>
        </is>
      </c>
    </row>
    <row r="1250">
      <c r="A1250" s="4" t="inlineStr">
        <is>
          <t>416</t>
        </is>
      </c>
      <c r="B1250" s="4" t="inlineStr">
        <is>
          <t>whitetail</t>
        </is>
      </c>
      <c r="C1250" s="4" t="inlineStr">
        <is>
          <t>Deer B License: 004-01</t>
        </is>
      </c>
      <c r="D1250" s="15" t="inlineStr">
        <is>
          <t>Drawing</t>
        </is>
      </c>
      <c r="E1250" s="4" t="inlineStr">
        <is>
          <t>Antlerless White-tailed Deer</t>
        </is>
      </c>
      <c r="F1250" s="4" t="inlineStr">
        <is>
          <t>Sep 05-Oct 18</t>
        </is>
      </c>
      <c r="G1250" s="4" t="inlineStr">
        <is>
          <t>Oct 24-Nov 29</t>
        </is>
      </c>
      <c r="H1250" s="4" t="inlineStr">
        <is>
          <t>Dec 12-Dec 20</t>
        </is>
      </c>
      <c r="I1250" s="4" t="n"/>
      <c r="J1250" s="4" t="inlineStr">
        <is>
          <t>Jun 1</t>
        </is>
      </c>
      <c r="K1250" s="4" t="inlineStr">
        <is>
          <t>2,000</t>
        </is>
      </c>
      <c r="L1250" s="4" t="inlineStr">
        <is>
          <t>Valid in all Region 4 HDs except HD 455.</t>
        </is>
      </c>
    </row>
    <row r="1251">
      <c r="A1251" s="4" t="inlineStr">
        <is>
          <t>417</t>
        </is>
      </c>
      <c r="B1251" s="4" t="inlineStr">
        <is>
          <t>whitetail</t>
        </is>
      </c>
      <c r="C1251" s="4" t="inlineStr">
        <is>
          <t>General Deer License</t>
        </is>
      </c>
      <c r="D1251" s="13" t="inlineStr">
        <is>
          <t>General license</t>
        </is>
      </c>
      <c r="E1251" s="4" t="inlineStr">
        <is>
          <t>Either-sex White-tailed Deer</t>
        </is>
      </c>
      <c r="F1251" s="4" t="inlineStr">
        <is>
          <t>Sep 05-Oct 18</t>
        </is>
      </c>
      <c r="G1251" s="4" t="inlineStr">
        <is>
          <t>Oct 24-Nov 29</t>
        </is>
      </c>
      <c r="H1251" s="4" t="inlineStr">
        <is>
          <t>Dec 12-Dec 20</t>
        </is>
      </c>
      <c r="I1251" s="4" t="n"/>
      <c r="J1251" s="4" t="n"/>
      <c r="K1251" s="4" t="n"/>
      <c r="L1251" s="4" t="n"/>
    </row>
    <row r="1252">
      <c r="A1252" s="4" t="inlineStr">
        <is>
          <t>417</t>
        </is>
      </c>
      <c r="B1252" s="4" t="inlineStr">
        <is>
          <t>whitetail</t>
        </is>
      </c>
      <c r="C1252" s="4" t="inlineStr">
        <is>
          <t>Deer B License: 004-00</t>
        </is>
      </c>
      <c r="D1252" s="4" t="inlineStr">
        <is>
          <t>Over the counter</t>
        </is>
      </c>
      <c r="E1252" s="4" t="inlineStr">
        <is>
          <t>Antlerless White-tailed Deer</t>
        </is>
      </c>
      <c r="F1252" s="4" t="inlineStr">
        <is>
          <t>Sep 05-Oct 18</t>
        </is>
      </c>
      <c r="G1252" s="4" t="inlineStr">
        <is>
          <t>Oct 24-Nov 29</t>
        </is>
      </c>
      <c r="H1252" s="4" t="inlineStr">
        <is>
          <t>Dec 12-Dec 20</t>
        </is>
      </c>
      <c r="I1252" s="4" t="n"/>
      <c r="J1252" s="4" t="inlineStr">
        <is>
          <t>OTC: Jun 15</t>
        </is>
      </c>
      <c r="K1252" s="4" t="inlineStr">
        <is>
          <t>UNL</t>
        </is>
      </c>
      <c r="L1252" s="4" t="inlineStr">
        <is>
          <t>One per hunter. Valid in all Region 4 HDs except HD 455.</t>
        </is>
      </c>
    </row>
    <row r="1253">
      <c r="A1253" s="4" t="inlineStr">
        <is>
          <t>417</t>
        </is>
      </c>
      <c r="B1253" s="4" t="inlineStr">
        <is>
          <t>whitetail</t>
        </is>
      </c>
      <c r="C1253" s="4" t="inlineStr">
        <is>
          <t>Deer B License: 004-01</t>
        </is>
      </c>
      <c r="D1253" s="15" t="inlineStr">
        <is>
          <t>Drawing</t>
        </is>
      </c>
      <c r="E1253" s="4" t="inlineStr">
        <is>
          <t>Antlerless White-tailed Deer</t>
        </is>
      </c>
      <c r="F1253" s="4" t="inlineStr">
        <is>
          <t>Sep 05-Oct 18</t>
        </is>
      </c>
      <c r="G1253" s="4" t="inlineStr">
        <is>
          <t>Oct 24-Nov 29</t>
        </is>
      </c>
      <c r="H1253" s="4" t="inlineStr">
        <is>
          <t>Dec 12-Dec 20</t>
        </is>
      </c>
      <c r="I1253" s="4" t="n"/>
      <c r="J1253" s="4" t="inlineStr">
        <is>
          <t>Jun 1</t>
        </is>
      </c>
      <c r="K1253" s="4" t="inlineStr">
        <is>
          <t>2,000</t>
        </is>
      </c>
      <c r="L1253" s="4" t="inlineStr">
        <is>
          <t>Valid in all Region 4 HDs except HD 455.</t>
        </is>
      </c>
    </row>
    <row r="1254">
      <c r="A1254" s="4" t="inlineStr">
        <is>
          <t>418</t>
        </is>
      </c>
      <c r="B1254" s="4" t="inlineStr">
        <is>
          <t>whitetail</t>
        </is>
      </c>
      <c r="C1254" s="4" t="inlineStr">
        <is>
          <t>General Deer License</t>
        </is>
      </c>
      <c r="D1254" s="13" t="inlineStr">
        <is>
          <t>General license</t>
        </is>
      </c>
      <c r="E1254" s="4" t="inlineStr">
        <is>
          <t>Either-sex White-tailed Deer</t>
        </is>
      </c>
      <c r="F1254" s="4" t="inlineStr">
        <is>
          <t>Sep 05-Oct 18</t>
        </is>
      </c>
      <c r="G1254" s="4" t="inlineStr">
        <is>
          <t>Oct 24-Nov 29</t>
        </is>
      </c>
      <c r="H1254" s="4" t="inlineStr">
        <is>
          <t>Dec 12-Dec 20</t>
        </is>
      </c>
      <c r="I1254" s="4" t="n"/>
      <c r="J1254" s="4" t="n"/>
      <c r="K1254" s="4" t="n"/>
      <c r="L1254" s="4" t="n"/>
    </row>
    <row r="1255">
      <c r="A1255" s="4" t="inlineStr">
        <is>
          <t>418</t>
        </is>
      </c>
      <c r="B1255" s="4" t="inlineStr">
        <is>
          <t>whitetail</t>
        </is>
      </c>
      <c r="C1255" s="4" t="inlineStr">
        <is>
          <t>Deer B License: 004-00</t>
        </is>
      </c>
      <c r="D1255" s="4" t="inlineStr">
        <is>
          <t>Over the counter</t>
        </is>
      </c>
      <c r="E1255" s="4" t="inlineStr">
        <is>
          <t>Antlerless White-tailed Deer</t>
        </is>
      </c>
      <c r="F1255" s="4" t="inlineStr">
        <is>
          <t>Sep 05-Oct 18</t>
        </is>
      </c>
      <c r="G1255" s="4" t="inlineStr">
        <is>
          <t>Oct 24-Nov 29</t>
        </is>
      </c>
      <c r="H1255" s="4" t="inlineStr">
        <is>
          <t>Dec 12-Dec 20</t>
        </is>
      </c>
      <c r="I1255" s="4" t="n"/>
      <c r="J1255" s="4" t="inlineStr">
        <is>
          <t>OTC: Jun 15</t>
        </is>
      </c>
      <c r="K1255" s="4" t="inlineStr">
        <is>
          <t>UNL</t>
        </is>
      </c>
      <c r="L1255" s="4" t="inlineStr">
        <is>
          <t>One per hunter. Valid in all Region 4 HDs except HD 455.</t>
        </is>
      </c>
    </row>
    <row r="1256">
      <c r="A1256" s="4" t="inlineStr">
        <is>
          <t>418</t>
        </is>
      </c>
      <c r="B1256" s="4" t="inlineStr">
        <is>
          <t>whitetail</t>
        </is>
      </c>
      <c r="C1256" s="4" t="inlineStr">
        <is>
          <t>Deer B License: 004-01</t>
        </is>
      </c>
      <c r="D1256" s="15" t="inlineStr">
        <is>
          <t>Drawing</t>
        </is>
      </c>
      <c r="E1256" s="4" t="inlineStr">
        <is>
          <t>Antlerless White-tailed Deer</t>
        </is>
      </c>
      <c r="F1256" s="4" t="inlineStr">
        <is>
          <t>Sep 05-Oct 18</t>
        </is>
      </c>
      <c r="G1256" s="4" t="inlineStr">
        <is>
          <t>Oct 24-Nov 29</t>
        </is>
      </c>
      <c r="H1256" s="4" t="inlineStr">
        <is>
          <t>Dec 12-Dec 20</t>
        </is>
      </c>
      <c r="I1256" s="4" t="n"/>
      <c r="J1256" s="4" t="inlineStr">
        <is>
          <t>Jun 1</t>
        </is>
      </c>
      <c r="K1256" s="4" t="inlineStr">
        <is>
          <t>2,000</t>
        </is>
      </c>
      <c r="L1256" s="4" t="inlineStr">
        <is>
          <t>Valid in all Region 4 HDs except HD 455.</t>
        </is>
      </c>
    </row>
    <row r="1257">
      <c r="A1257" s="4" t="inlineStr">
        <is>
          <t>419</t>
        </is>
      </c>
      <c r="B1257" s="4" t="inlineStr">
        <is>
          <t>whitetail</t>
        </is>
      </c>
      <c r="C1257" s="4" t="inlineStr">
        <is>
          <t>General Deer License</t>
        </is>
      </c>
      <c r="D1257" s="13" t="inlineStr">
        <is>
          <t>General license</t>
        </is>
      </c>
      <c r="E1257" s="4" t="inlineStr">
        <is>
          <t>Either-sex White-tailed Deer</t>
        </is>
      </c>
      <c r="F1257" s="4" t="inlineStr">
        <is>
          <t>Sep 05-Oct 18</t>
        </is>
      </c>
      <c r="G1257" s="4" t="inlineStr">
        <is>
          <t>Oct 24-Nov 29</t>
        </is>
      </c>
      <c r="H1257" s="4" t="inlineStr">
        <is>
          <t>Dec 12-Dec 20</t>
        </is>
      </c>
      <c r="I1257" s="4" t="n"/>
      <c r="J1257" s="4" t="n"/>
      <c r="K1257" s="4" t="n"/>
      <c r="L1257" s="4" t="n"/>
    </row>
    <row r="1258">
      <c r="A1258" s="4" t="inlineStr">
        <is>
          <t>419</t>
        </is>
      </c>
      <c r="B1258" s="4" t="inlineStr">
        <is>
          <t>whitetail</t>
        </is>
      </c>
      <c r="C1258" s="4" t="inlineStr">
        <is>
          <t>Deer B License: 004-00</t>
        </is>
      </c>
      <c r="D1258" s="4" t="inlineStr">
        <is>
          <t>Over the counter</t>
        </is>
      </c>
      <c r="E1258" s="4" t="inlineStr">
        <is>
          <t>Antlerless White-tailed Deer</t>
        </is>
      </c>
      <c r="F1258" s="4" t="inlineStr">
        <is>
          <t>Sep 05-Oct 18</t>
        </is>
      </c>
      <c r="G1258" s="4" t="inlineStr">
        <is>
          <t>Oct 24-Nov 29</t>
        </is>
      </c>
      <c r="H1258" s="4" t="inlineStr">
        <is>
          <t>Dec 12-Dec 20</t>
        </is>
      </c>
      <c r="I1258" s="4" t="n"/>
      <c r="J1258" s="4" t="inlineStr">
        <is>
          <t>OTC: Jun 15</t>
        </is>
      </c>
      <c r="K1258" s="4" t="inlineStr">
        <is>
          <t>UNL</t>
        </is>
      </c>
      <c r="L1258" s="4" t="inlineStr">
        <is>
          <t>One per hunter. Valid in all Region 4 HDs except HD 455.</t>
        </is>
      </c>
    </row>
    <row r="1259">
      <c r="A1259" s="4" t="inlineStr">
        <is>
          <t>419</t>
        </is>
      </c>
      <c r="B1259" s="4" t="inlineStr">
        <is>
          <t>whitetail</t>
        </is>
      </c>
      <c r="C1259" s="4" t="inlineStr">
        <is>
          <t>Deer B License: 004-01</t>
        </is>
      </c>
      <c r="D1259" s="15" t="inlineStr">
        <is>
          <t>Drawing</t>
        </is>
      </c>
      <c r="E1259" s="4" t="inlineStr">
        <is>
          <t>Antlerless White-tailed Deer</t>
        </is>
      </c>
      <c r="F1259" s="4" t="inlineStr">
        <is>
          <t>Sep 05-Oct 18</t>
        </is>
      </c>
      <c r="G1259" s="4" t="inlineStr">
        <is>
          <t>Oct 24-Nov 29</t>
        </is>
      </c>
      <c r="H1259" s="4" t="inlineStr">
        <is>
          <t>Dec 12-Dec 20</t>
        </is>
      </c>
      <c r="I1259" s="4" t="n"/>
      <c r="J1259" s="4" t="inlineStr">
        <is>
          <t>Jun 1</t>
        </is>
      </c>
      <c r="K1259" s="4" t="inlineStr">
        <is>
          <t>2,000</t>
        </is>
      </c>
      <c r="L1259" s="4" t="inlineStr">
        <is>
          <t>Valid in all Region 4 HDs except HD 455.</t>
        </is>
      </c>
    </row>
    <row r="1260">
      <c r="A1260" s="4" t="inlineStr">
        <is>
          <t>420</t>
        </is>
      </c>
      <c r="B1260" s="4" t="inlineStr">
        <is>
          <t>whitetail</t>
        </is>
      </c>
      <c r="C1260" s="4" t="inlineStr">
        <is>
          <t>General Deer License</t>
        </is>
      </c>
      <c r="D1260" s="13" t="inlineStr">
        <is>
          <t>General license</t>
        </is>
      </c>
      <c r="E1260" s="4" t="inlineStr">
        <is>
          <t>Either-sex White-tailed Deer</t>
        </is>
      </c>
      <c r="F1260" s="4" t="inlineStr">
        <is>
          <t>Sep 05-Oct 18</t>
        </is>
      </c>
      <c r="G1260" s="4" t="inlineStr">
        <is>
          <t>Oct 24-Nov 29</t>
        </is>
      </c>
      <c r="H1260" s="4" t="inlineStr">
        <is>
          <t>Dec 12-Dec 20</t>
        </is>
      </c>
      <c r="I1260" s="4" t="n"/>
      <c r="J1260" s="4" t="n"/>
      <c r="K1260" s="4" t="n"/>
      <c r="L1260" s="4" t="n"/>
    </row>
    <row r="1261">
      <c r="A1261" s="4" t="inlineStr">
        <is>
          <t>420</t>
        </is>
      </c>
      <c r="B1261" s="4" t="inlineStr">
        <is>
          <t>whitetail</t>
        </is>
      </c>
      <c r="C1261" s="4" t="inlineStr">
        <is>
          <t>Deer B License: 004-00</t>
        </is>
      </c>
      <c r="D1261" s="4" t="inlineStr">
        <is>
          <t>Over the counter</t>
        </is>
      </c>
      <c r="E1261" s="4" t="inlineStr">
        <is>
          <t>Antlerless White-tailed Deer</t>
        </is>
      </c>
      <c r="F1261" s="4" t="inlineStr">
        <is>
          <t>Sep 05-Oct 18</t>
        </is>
      </c>
      <c r="G1261" s="4" t="inlineStr">
        <is>
          <t>Oct 24-Nov 29</t>
        </is>
      </c>
      <c r="H1261" s="4" t="inlineStr">
        <is>
          <t>Dec 12-Dec 20</t>
        </is>
      </c>
      <c r="I1261" s="4" t="n"/>
      <c r="J1261" s="4" t="inlineStr">
        <is>
          <t>OTC: Jun 15</t>
        </is>
      </c>
      <c r="K1261" s="4" t="inlineStr">
        <is>
          <t>UNL</t>
        </is>
      </c>
      <c r="L1261" s="4" t="inlineStr">
        <is>
          <t>One per hunter. Valid in all Region 4 HDs except HD 455.</t>
        </is>
      </c>
    </row>
    <row r="1262">
      <c r="A1262" s="4" t="inlineStr">
        <is>
          <t>420</t>
        </is>
      </c>
      <c r="B1262" s="4" t="inlineStr">
        <is>
          <t>whitetail</t>
        </is>
      </c>
      <c r="C1262" s="4" t="inlineStr">
        <is>
          <t>Deer B License: 004-01</t>
        </is>
      </c>
      <c r="D1262" s="15" t="inlineStr">
        <is>
          <t>Drawing</t>
        </is>
      </c>
      <c r="E1262" s="4" t="inlineStr">
        <is>
          <t>Antlerless White-tailed Deer</t>
        </is>
      </c>
      <c r="F1262" s="4" t="inlineStr">
        <is>
          <t>Sep 05-Oct 18</t>
        </is>
      </c>
      <c r="G1262" s="4" t="inlineStr">
        <is>
          <t>Oct 24-Nov 29</t>
        </is>
      </c>
      <c r="H1262" s="4" t="inlineStr">
        <is>
          <t>Dec 12-Dec 20</t>
        </is>
      </c>
      <c r="I1262" s="4" t="n"/>
      <c r="J1262" s="4" t="inlineStr">
        <is>
          <t>Jun 1</t>
        </is>
      </c>
      <c r="K1262" s="4" t="inlineStr">
        <is>
          <t>2,000</t>
        </is>
      </c>
      <c r="L1262" s="4" t="inlineStr">
        <is>
          <t>Valid in all Region 4 HDs except HD 455.</t>
        </is>
      </c>
    </row>
    <row r="1263">
      <c r="A1263" s="4" t="inlineStr">
        <is>
          <t>421</t>
        </is>
      </c>
      <c r="B1263" s="4" t="inlineStr">
        <is>
          <t>whitetail</t>
        </is>
      </c>
      <c r="C1263" s="4" t="inlineStr">
        <is>
          <t>General Deer License</t>
        </is>
      </c>
      <c r="D1263" s="13" t="inlineStr">
        <is>
          <t>General license</t>
        </is>
      </c>
      <c r="E1263" s="4" t="inlineStr">
        <is>
          <t>Either-sex White-tailed Deer</t>
        </is>
      </c>
      <c r="F1263" s="4" t="inlineStr">
        <is>
          <t>Sep 05-Oct 18</t>
        </is>
      </c>
      <c r="G1263" s="4" t="inlineStr">
        <is>
          <t>Oct 24-Nov 29</t>
        </is>
      </c>
      <c r="H1263" s="4" t="inlineStr">
        <is>
          <t>Dec 12-Dec 20</t>
        </is>
      </c>
      <c r="I1263" s="4" t="n"/>
      <c r="J1263" s="4" t="n"/>
      <c r="K1263" s="4" t="n"/>
      <c r="L1263" s="4" t="n"/>
    </row>
    <row r="1264">
      <c r="A1264" s="4" t="inlineStr">
        <is>
          <t>421</t>
        </is>
      </c>
      <c r="B1264" s="4" t="inlineStr">
        <is>
          <t>whitetail</t>
        </is>
      </c>
      <c r="C1264" s="4" t="inlineStr">
        <is>
          <t>Deer B License: 004-00</t>
        </is>
      </c>
      <c r="D1264" s="4" t="inlineStr">
        <is>
          <t>Over the counter</t>
        </is>
      </c>
      <c r="E1264" s="4" t="inlineStr">
        <is>
          <t>Antlerless White-tailed Deer</t>
        </is>
      </c>
      <c r="F1264" s="4" t="inlineStr">
        <is>
          <t>Sep 05-Oct 18</t>
        </is>
      </c>
      <c r="G1264" s="4" t="inlineStr">
        <is>
          <t>Oct 24-Nov 29</t>
        </is>
      </c>
      <c r="H1264" s="4" t="inlineStr">
        <is>
          <t>Dec 12-Dec 20</t>
        </is>
      </c>
      <c r="I1264" s="4" t="n"/>
      <c r="J1264" s="4" t="inlineStr">
        <is>
          <t>OTC: Jun 15</t>
        </is>
      </c>
      <c r="K1264" s="4" t="inlineStr">
        <is>
          <t>UNL</t>
        </is>
      </c>
      <c r="L1264" s="4" t="inlineStr">
        <is>
          <t>One per hunter. Valid in all Region 4 HDs except HD 455.</t>
        </is>
      </c>
    </row>
    <row r="1265">
      <c r="A1265" s="4" t="inlineStr">
        <is>
          <t>421</t>
        </is>
      </c>
      <c r="B1265" s="4" t="inlineStr">
        <is>
          <t>whitetail</t>
        </is>
      </c>
      <c r="C1265" s="4" t="inlineStr">
        <is>
          <t>Deer B License: 004-01</t>
        </is>
      </c>
      <c r="D1265" s="15" t="inlineStr">
        <is>
          <t>Drawing</t>
        </is>
      </c>
      <c r="E1265" s="4" t="inlineStr">
        <is>
          <t>Antlerless White-tailed Deer</t>
        </is>
      </c>
      <c r="F1265" s="4" t="inlineStr">
        <is>
          <t>Sep 05-Oct 18</t>
        </is>
      </c>
      <c r="G1265" s="4" t="inlineStr">
        <is>
          <t>Oct 24-Nov 29</t>
        </is>
      </c>
      <c r="H1265" s="4" t="inlineStr">
        <is>
          <t>Dec 12-Dec 20</t>
        </is>
      </c>
      <c r="I1265" s="4" t="n"/>
      <c r="J1265" s="4" t="inlineStr">
        <is>
          <t>Jun 1</t>
        </is>
      </c>
      <c r="K1265" s="4" t="inlineStr">
        <is>
          <t>2,000</t>
        </is>
      </c>
      <c r="L1265" s="4" t="inlineStr">
        <is>
          <t>Valid in all Region 4 HDs except HD 455.</t>
        </is>
      </c>
    </row>
    <row r="1266">
      <c r="A1266" s="4" t="inlineStr">
        <is>
          <t>422</t>
        </is>
      </c>
      <c r="B1266" s="4" t="inlineStr">
        <is>
          <t>whitetail</t>
        </is>
      </c>
      <c r="C1266" s="4" t="inlineStr">
        <is>
          <t>General Deer License</t>
        </is>
      </c>
      <c r="D1266" s="13" t="inlineStr">
        <is>
          <t>General license</t>
        </is>
      </c>
      <c r="E1266" s="4" t="inlineStr">
        <is>
          <t>Either-sex White-tailed Deer</t>
        </is>
      </c>
      <c r="F1266" s="4" t="inlineStr">
        <is>
          <t>Sep 05-Oct 18</t>
        </is>
      </c>
      <c r="G1266" s="4" t="inlineStr">
        <is>
          <t>Oct 24-Nov 29</t>
        </is>
      </c>
      <c r="H1266" s="4" t="inlineStr">
        <is>
          <t>Dec 12-Dec 20</t>
        </is>
      </c>
      <c r="I1266" s="4" t="n"/>
      <c r="J1266" s="4" t="n"/>
      <c r="K1266" s="4" t="n"/>
      <c r="L1266" s="4" t="n"/>
    </row>
    <row r="1267">
      <c r="A1267" s="4" t="inlineStr">
        <is>
          <t>422</t>
        </is>
      </c>
      <c r="B1267" s="4" t="inlineStr">
        <is>
          <t>whitetail</t>
        </is>
      </c>
      <c r="C1267" s="4" t="inlineStr">
        <is>
          <t>Deer B License: 004-00</t>
        </is>
      </c>
      <c r="D1267" s="4" t="inlineStr">
        <is>
          <t>Over the counter</t>
        </is>
      </c>
      <c r="E1267" s="4" t="inlineStr">
        <is>
          <t>Antlerless White-tailed Deer</t>
        </is>
      </c>
      <c r="F1267" s="4" t="inlineStr">
        <is>
          <t>Sep 05-Oct 18</t>
        </is>
      </c>
      <c r="G1267" s="4" t="inlineStr">
        <is>
          <t>Oct 24-Nov 29</t>
        </is>
      </c>
      <c r="H1267" s="4" t="inlineStr">
        <is>
          <t>Dec 12-Dec 20</t>
        </is>
      </c>
      <c r="I1267" s="4" t="n"/>
      <c r="J1267" s="4" t="inlineStr">
        <is>
          <t>OTC: Jun 15</t>
        </is>
      </c>
      <c r="K1267" s="4" t="inlineStr">
        <is>
          <t>UNL</t>
        </is>
      </c>
      <c r="L1267" s="4" t="inlineStr">
        <is>
          <t>One per hunter. Valid in all Region 4 HDs except HD 455.</t>
        </is>
      </c>
    </row>
    <row r="1268">
      <c r="A1268" s="4" t="inlineStr">
        <is>
          <t>422</t>
        </is>
      </c>
      <c r="B1268" s="4" t="inlineStr">
        <is>
          <t>whitetail</t>
        </is>
      </c>
      <c r="C1268" s="4" t="inlineStr">
        <is>
          <t>Deer B License: 004-01</t>
        </is>
      </c>
      <c r="D1268" s="15" t="inlineStr">
        <is>
          <t>Drawing</t>
        </is>
      </c>
      <c r="E1268" s="4" t="inlineStr">
        <is>
          <t>Antlerless White-tailed Deer</t>
        </is>
      </c>
      <c r="F1268" s="4" t="inlineStr">
        <is>
          <t>Sep 05-Oct 18</t>
        </is>
      </c>
      <c r="G1268" s="4" t="inlineStr">
        <is>
          <t>Oct 24-Nov 29</t>
        </is>
      </c>
      <c r="H1268" s="4" t="inlineStr">
        <is>
          <t>Dec 12-Dec 20</t>
        </is>
      </c>
      <c r="I1268" s="4" t="n"/>
      <c r="J1268" s="4" t="inlineStr">
        <is>
          <t>Jun 1</t>
        </is>
      </c>
      <c r="K1268" s="4" t="inlineStr">
        <is>
          <t>2,000</t>
        </is>
      </c>
      <c r="L1268" s="4" t="inlineStr">
        <is>
          <t>Valid in all Region 4 HDs except HD 455.</t>
        </is>
      </c>
    </row>
    <row r="1269">
      <c r="A1269" s="4" t="inlineStr">
        <is>
          <t>424</t>
        </is>
      </c>
      <c r="B1269" s="4" t="inlineStr">
        <is>
          <t>whitetail</t>
        </is>
      </c>
      <c r="C1269" s="4" t="inlineStr">
        <is>
          <t>General Deer License</t>
        </is>
      </c>
      <c r="D1269" s="13" t="inlineStr">
        <is>
          <t>General license</t>
        </is>
      </c>
      <c r="E1269" s="4" t="inlineStr">
        <is>
          <t>Either-sex White-tailed Deer</t>
        </is>
      </c>
      <c r="F1269" s="4" t="inlineStr">
        <is>
          <t>Sep 05-Oct 18</t>
        </is>
      </c>
      <c r="G1269" s="4" t="inlineStr">
        <is>
          <t>Oct 24-Nov 29</t>
        </is>
      </c>
      <c r="H1269" s="4" t="inlineStr">
        <is>
          <t>Dec 12-Dec 20</t>
        </is>
      </c>
      <c r="I1269" s="4" t="n"/>
      <c r="J1269" s="4" t="n"/>
      <c r="K1269" s="4" t="n"/>
      <c r="L1269" s="4" t="n"/>
    </row>
    <row r="1270">
      <c r="A1270" s="4" t="inlineStr">
        <is>
          <t>424</t>
        </is>
      </c>
      <c r="B1270" s="4" t="inlineStr">
        <is>
          <t>whitetail</t>
        </is>
      </c>
      <c r="C1270" s="4" t="inlineStr">
        <is>
          <t>Deer B License: 004-00</t>
        </is>
      </c>
      <c r="D1270" s="4" t="inlineStr">
        <is>
          <t>Over the counter</t>
        </is>
      </c>
      <c r="E1270" s="4" t="inlineStr">
        <is>
          <t>Antlerless White-tailed Deer</t>
        </is>
      </c>
      <c r="F1270" s="4" t="inlineStr">
        <is>
          <t>Sep 05-Oct 18</t>
        </is>
      </c>
      <c r="G1270" s="4" t="inlineStr">
        <is>
          <t>Oct 24-Nov 29</t>
        </is>
      </c>
      <c r="H1270" s="4" t="inlineStr">
        <is>
          <t>Dec 12-Dec 20</t>
        </is>
      </c>
      <c r="I1270" s="4" t="n"/>
      <c r="J1270" s="4" t="inlineStr">
        <is>
          <t>OTC: Jun 15</t>
        </is>
      </c>
      <c r="K1270" s="4" t="inlineStr">
        <is>
          <t>UNL</t>
        </is>
      </c>
      <c r="L1270" s="4" t="inlineStr">
        <is>
          <t>One per hunter. Valid in all Region 4 HDs except HD 455.</t>
        </is>
      </c>
    </row>
    <row r="1271">
      <c r="A1271" s="4" t="inlineStr">
        <is>
          <t>424</t>
        </is>
      </c>
      <c r="B1271" s="4" t="inlineStr">
        <is>
          <t>whitetail</t>
        </is>
      </c>
      <c r="C1271" s="4" t="inlineStr">
        <is>
          <t>Deer B License: 004-01</t>
        </is>
      </c>
      <c r="D1271" s="15" t="inlineStr">
        <is>
          <t>Drawing</t>
        </is>
      </c>
      <c r="E1271" s="4" t="inlineStr">
        <is>
          <t>Antlerless White-tailed Deer</t>
        </is>
      </c>
      <c r="F1271" s="4" t="inlineStr">
        <is>
          <t>Sep 05-Oct 18</t>
        </is>
      </c>
      <c r="G1271" s="4" t="inlineStr">
        <is>
          <t>Oct 24-Nov 29</t>
        </is>
      </c>
      <c r="H1271" s="4" t="inlineStr">
        <is>
          <t>Dec 12-Dec 20</t>
        </is>
      </c>
      <c r="I1271" s="4" t="n"/>
      <c r="J1271" s="4" t="inlineStr">
        <is>
          <t>Jun 1</t>
        </is>
      </c>
      <c r="K1271" s="4" t="inlineStr">
        <is>
          <t>2,000</t>
        </is>
      </c>
      <c r="L1271" s="4" t="inlineStr">
        <is>
          <t>Valid in all Region 4 HDs except HD 455.</t>
        </is>
      </c>
    </row>
    <row r="1272">
      <c r="A1272" s="4" t="inlineStr">
        <is>
          <t>425</t>
        </is>
      </c>
      <c r="B1272" s="4" t="inlineStr">
        <is>
          <t>whitetail</t>
        </is>
      </c>
      <c r="C1272" s="4" t="inlineStr">
        <is>
          <t>General Deer License</t>
        </is>
      </c>
      <c r="D1272" s="13" t="inlineStr">
        <is>
          <t>General license</t>
        </is>
      </c>
      <c r="E1272" s="4" t="inlineStr">
        <is>
          <t>Either-sex White-tailed Deer</t>
        </is>
      </c>
      <c r="F1272" s="4" t="inlineStr">
        <is>
          <t>Sep 05-Oct 18</t>
        </is>
      </c>
      <c r="G1272" s="4" t="inlineStr">
        <is>
          <t>Oct 24-Nov 29</t>
        </is>
      </c>
      <c r="H1272" s="4" t="inlineStr">
        <is>
          <t>Dec 12-Dec 20</t>
        </is>
      </c>
      <c r="I1272" s="4" t="n"/>
      <c r="J1272" s="4" t="n"/>
      <c r="K1272" s="4" t="n"/>
      <c r="L1272" s="4" t="n"/>
    </row>
    <row r="1273">
      <c r="A1273" s="4" t="inlineStr">
        <is>
          <t>425</t>
        </is>
      </c>
      <c r="B1273" s="4" t="inlineStr">
        <is>
          <t>whitetail</t>
        </is>
      </c>
      <c r="C1273" s="4" t="inlineStr">
        <is>
          <t>Deer B License: 004-00</t>
        </is>
      </c>
      <c r="D1273" s="4" t="inlineStr">
        <is>
          <t>Over the counter</t>
        </is>
      </c>
      <c r="E1273" s="4" t="inlineStr">
        <is>
          <t>Antlerless White-tailed Deer</t>
        </is>
      </c>
      <c r="F1273" s="4" t="inlineStr">
        <is>
          <t>Sep 05-Oct 18</t>
        </is>
      </c>
      <c r="G1273" s="4" t="inlineStr">
        <is>
          <t>Oct 24-Nov 29</t>
        </is>
      </c>
      <c r="H1273" s="4" t="inlineStr">
        <is>
          <t>Dec 12-Dec 20</t>
        </is>
      </c>
      <c r="I1273" s="4" t="n"/>
      <c r="J1273" s="4" t="inlineStr">
        <is>
          <t>OTC: Jun 15</t>
        </is>
      </c>
      <c r="K1273" s="4" t="inlineStr">
        <is>
          <t>UNL</t>
        </is>
      </c>
      <c r="L1273" s="4" t="inlineStr">
        <is>
          <t>One per hunter. Valid in all Region 4 HDs except HD 455.</t>
        </is>
      </c>
    </row>
    <row r="1274">
      <c r="A1274" s="4" t="inlineStr">
        <is>
          <t>425</t>
        </is>
      </c>
      <c r="B1274" s="4" t="inlineStr">
        <is>
          <t>whitetail</t>
        </is>
      </c>
      <c r="C1274" s="4" t="inlineStr">
        <is>
          <t>Deer B License: 004-01</t>
        </is>
      </c>
      <c r="D1274" s="15" t="inlineStr">
        <is>
          <t>Drawing</t>
        </is>
      </c>
      <c r="E1274" s="4" t="inlineStr">
        <is>
          <t>Antlerless White-tailed Deer</t>
        </is>
      </c>
      <c r="F1274" s="4" t="inlineStr">
        <is>
          <t>Sep 05-Oct 18</t>
        </is>
      </c>
      <c r="G1274" s="4" t="inlineStr">
        <is>
          <t>Oct 24-Nov 29</t>
        </is>
      </c>
      <c r="H1274" s="4" t="inlineStr">
        <is>
          <t>Dec 12-Dec 20</t>
        </is>
      </c>
      <c r="I1274" s="4" t="n"/>
      <c r="J1274" s="4" t="inlineStr">
        <is>
          <t>Jun 1</t>
        </is>
      </c>
      <c r="K1274" s="4" t="inlineStr">
        <is>
          <t>2,000</t>
        </is>
      </c>
      <c r="L1274" s="4" t="inlineStr">
        <is>
          <t>Valid in all Region 4 HDs except HD 455.</t>
        </is>
      </c>
    </row>
    <row r="1275">
      <c r="A1275" s="4" t="inlineStr">
        <is>
          <t>426</t>
        </is>
      </c>
      <c r="B1275" s="4" t="inlineStr">
        <is>
          <t>whitetail</t>
        </is>
      </c>
      <c r="C1275" s="4" t="inlineStr">
        <is>
          <t>General Deer License</t>
        </is>
      </c>
      <c r="D1275" s="13" t="inlineStr">
        <is>
          <t>General license</t>
        </is>
      </c>
      <c r="E1275" s="4" t="inlineStr">
        <is>
          <t>Either-sex White-tailed Deer</t>
        </is>
      </c>
      <c r="F1275" s="4" t="inlineStr">
        <is>
          <t>Sep 05-Oct 18</t>
        </is>
      </c>
      <c r="G1275" s="4" t="inlineStr">
        <is>
          <t>Oct 24-Nov 29</t>
        </is>
      </c>
      <c r="H1275" s="4" t="inlineStr">
        <is>
          <t>Dec 12-Dec 20</t>
        </is>
      </c>
      <c r="I1275" s="4" t="n"/>
      <c r="J1275" s="4" t="n"/>
      <c r="K1275" s="4" t="n"/>
      <c r="L1275" s="4" t="n"/>
    </row>
    <row r="1276">
      <c r="A1276" s="4" t="inlineStr">
        <is>
          <t>426</t>
        </is>
      </c>
      <c r="B1276" s="4" t="inlineStr">
        <is>
          <t>whitetail</t>
        </is>
      </c>
      <c r="C1276" s="4" t="inlineStr">
        <is>
          <t>Deer B License: 004-00</t>
        </is>
      </c>
      <c r="D1276" s="4" t="inlineStr">
        <is>
          <t>Over the counter</t>
        </is>
      </c>
      <c r="E1276" s="4" t="inlineStr">
        <is>
          <t>Antlerless White-tailed Deer</t>
        </is>
      </c>
      <c r="F1276" s="4" t="inlineStr">
        <is>
          <t>Sep 05-Oct 18</t>
        </is>
      </c>
      <c r="G1276" s="4" t="inlineStr">
        <is>
          <t>Oct 24-Nov 29</t>
        </is>
      </c>
      <c r="H1276" s="4" t="inlineStr">
        <is>
          <t>Dec 12-Dec 20</t>
        </is>
      </c>
      <c r="I1276" s="4" t="n"/>
      <c r="J1276" s="4" t="inlineStr">
        <is>
          <t>OTC: Jun 15</t>
        </is>
      </c>
      <c r="K1276" s="4" t="inlineStr">
        <is>
          <t>UNL</t>
        </is>
      </c>
      <c r="L1276" s="4" t="inlineStr">
        <is>
          <t>One per hunter. Valid in all Region 4 HDs except HD 455.</t>
        </is>
      </c>
    </row>
    <row r="1277">
      <c r="A1277" s="4" t="inlineStr">
        <is>
          <t>426</t>
        </is>
      </c>
      <c r="B1277" s="4" t="inlineStr">
        <is>
          <t>whitetail</t>
        </is>
      </c>
      <c r="C1277" s="4" t="inlineStr">
        <is>
          <t>Deer B License: 004-01</t>
        </is>
      </c>
      <c r="D1277" s="15" t="inlineStr">
        <is>
          <t>Drawing</t>
        </is>
      </c>
      <c r="E1277" s="4" t="inlineStr">
        <is>
          <t>Antlerless White-tailed Deer</t>
        </is>
      </c>
      <c r="F1277" s="4" t="inlineStr">
        <is>
          <t>Sep 05-Oct 18</t>
        </is>
      </c>
      <c r="G1277" s="4" t="inlineStr">
        <is>
          <t>Oct 24-Nov 29</t>
        </is>
      </c>
      <c r="H1277" s="4" t="inlineStr">
        <is>
          <t>Dec 12-Dec 20</t>
        </is>
      </c>
      <c r="I1277" s="4" t="n"/>
      <c r="J1277" s="4" t="inlineStr">
        <is>
          <t>Jun 1</t>
        </is>
      </c>
      <c r="K1277" s="4" t="inlineStr">
        <is>
          <t>2,000</t>
        </is>
      </c>
      <c r="L1277" s="4" t="inlineStr">
        <is>
          <t>Valid in all Region 4 HDs except HD 455.</t>
        </is>
      </c>
    </row>
    <row r="1278">
      <c r="A1278" s="4" t="inlineStr">
        <is>
          <t>432</t>
        </is>
      </c>
      <c r="B1278" s="4" t="inlineStr">
        <is>
          <t>whitetail</t>
        </is>
      </c>
      <c r="C1278" s="4" t="inlineStr">
        <is>
          <t>General Deer License</t>
        </is>
      </c>
      <c r="D1278" s="13" t="inlineStr">
        <is>
          <t>General license</t>
        </is>
      </c>
      <c r="E1278" s="4" t="inlineStr">
        <is>
          <t>Either-sex White-tailed Deer</t>
        </is>
      </c>
      <c r="F1278" s="4" t="inlineStr">
        <is>
          <t>Sep 05-Oct 18</t>
        </is>
      </c>
      <c r="G1278" s="4" t="inlineStr">
        <is>
          <t>Oct 24-Nov 29</t>
        </is>
      </c>
      <c r="H1278" s="4" t="inlineStr">
        <is>
          <t>Dec 12-Dec 20</t>
        </is>
      </c>
      <c r="I1278" s="4" t="n"/>
      <c r="J1278" s="4" t="n"/>
      <c r="K1278" s="4" t="n"/>
      <c r="L1278" s="4" t="n"/>
    </row>
    <row r="1279">
      <c r="A1279" s="4" t="inlineStr">
        <is>
          <t>432</t>
        </is>
      </c>
      <c r="B1279" s="4" t="inlineStr">
        <is>
          <t>whitetail</t>
        </is>
      </c>
      <c r="C1279" s="4" t="inlineStr">
        <is>
          <t>Deer B License: 004-00</t>
        </is>
      </c>
      <c r="D1279" s="4" t="inlineStr">
        <is>
          <t>Over the counter</t>
        </is>
      </c>
      <c r="E1279" s="4" t="inlineStr">
        <is>
          <t>Antlerless White-tailed Deer</t>
        </is>
      </c>
      <c r="F1279" s="4" t="inlineStr">
        <is>
          <t>Sep 05-Oct 18</t>
        </is>
      </c>
      <c r="G1279" s="4" t="inlineStr">
        <is>
          <t>Oct 24-Nov 29</t>
        </is>
      </c>
      <c r="H1279" s="4" t="inlineStr">
        <is>
          <t>Dec 12-Dec 20</t>
        </is>
      </c>
      <c r="I1279" s="4" t="n"/>
      <c r="J1279" s="4" t="inlineStr">
        <is>
          <t>OTC: Jun 15</t>
        </is>
      </c>
      <c r="K1279" s="4" t="inlineStr">
        <is>
          <t>UNL</t>
        </is>
      </c>
      <c r="L1279" s="4" t="inlineStr">
        <is>
          <t>One per hunter. Valid in all Region 4 HDs except HD 455.</t>
        </is>
      </c>
    </row>
    <row r="1280">
      <c r="A1280" s="4" t="inlineStr">
        <is>
          <t>432</t>
        </is>
      </c>
      <c r="B1280" s="4" t="inlineStr">
        <is>
          <t>whitetail</t>
        </is>
      </c>
      <c r="C1280" s="4" t="inlineStr">
        <is>
          <t>Deer B License: 004-01</t>
        </is>
      </c>
      <c r="D1280" s="15" t="inlineStr">
        <is>
          <t>Drawing</t>
        </is>
      </c>
      <c r="E1280" s="4" t="inlineStr">
        <is>
          <t>Antlerless White-tailed Deer</t>
        </is>
      </c>
      <c r="F1280" s="4" t="inlineStr">
        <is>
          <t>Sep 05-Oct 18</t>
        </is>
      </c>
      <c r="G1280" s="4" t="inlineStr">
        <is>
          <t>Oct 24-Nov 29</t>
        </is>
      </c>
      <c r="H1280" s="4" t="inlineStr">
        <is>
          <t>Dec 12-Dec 20</t>
        </is>
      </c>
      <c r="I1280" s="4" t="n"/>
      <c r="J1280" s="4" t="inlineStr">
        <is>
          <t>Jun 1</t>
        </is>
      </c>
      <c r="K1280" s="4" t="inlineStr">
        <is>
          <t>2,000</t>
        </is>
      </c>
      <c r="L1280" s="4" t="inlineStr">
        <is>
          <t>Valid in all Region 4 HDs except HD 455.</t>
        </is>
      </c>
    </row>
    <row r="1281">
      <c r="A1281" s="4" t="inlineStr">
        <is>
          <t>441</t>
        </is>
      </c>
      <c r="B1281" s="4" t="inlineStr">
        <is>
          <t>whitetail</t>
        </is>
      </c>
      <c r="C1281" s="4" t="inlineStr">
        <is>
          <t>General Deer License</t>
        </is>
      </c>
      <c r="D1281" s="13" t="inlineStr">
        <is>
          <t>General license</t>
        </is>
      </c>
      <c r="E1281" s="4" t="inlineStr">
        <is>
          <t>Either-sex White-tailed Deer</t>
        </is>
      </c>
      <c r="F1281" s="4" t="inlineStr">
        <is>
          <t>Sep 05-Oct 18</t>
        </is>
      </c>
      <c r="G1281" s="4" t="inlineStr">
        <is>
          <t>Oct 24-Nov 29</t>
        </is>
      </c>
      <c r="H1281" s="4" t="inlineStr">
        <is>
          <t>Dec 12-Dec 20</t>
        </is>
      </c>
      <c r="I1281" s="4" t="n"/>
      <c r="J1281" s="4" t="n"/>
      <c r="K1281" s="4" t="n"/>
      <c r="L1281" s="4" t="inlineStr">
        <is>
          <t>5 week general season.</t>
        </is>
      </c>
    </row>
    <row r="1282">
      <c r="A1282" s="4" t="inlineStr">
        <is>
          <t>441</t>
        </is>
      </c>
      <c r="B1282" s="4" t="inlineStr">
        <is>
          <t>whitetail</t>
        </is>
      </c>
      <c r="C1282" s="4" t="inlineStr">
        <is>
          <t>Deer B License: 004-00</t>
        </is>
      </c>
      <c r="D1282" s="4" t="inlineStr">
        <is>
          <t>Over the counter</t>
        </is>
      </c>
      <c r="E1282" s="4" t="inlineStr">
        <is>
          <t>Antlerless White-tailed Deer</t>
        </is>
      </c>
      <c r="F1282" s="4" t="inlineStr">
        <is>
          <t>Sep 05-Oct 18</t>
        </is>
      </c>
      <c r="G1282" s="4" t="inlineStr">
        <is>
          <t>Oct 24-Nov 29</t>
        </is>
      </c>
      <c r="H1282" s="4" t="inlineStr">
        <is>
          <t>Dec 12-Dec 20</t>
        </is>
      </c>
      <c r="I1282" s="4" t="n"/>
      <c r="J1282" s="4" t="inlineStr">
        <is>
          <t>OTC: Jun 15</t>
        </is>
      </c>
      <c r="K1282" s="4" t="inlineStr">
        <is>
          <t>UNL</t>
        </is>
      </c>
      <c r="L1282" s="4" t="inlineStr">
        <is>
          <t>One per hunter. Valid in all Region 4 HDs except HD 455.</t>
        </is>
      </c>
    </row>
    <row r="1283">
      <c r="A1283" s="4" t="inlineStr">
        <is>
          <t>441</t>
        </is>
      </c>
      <c r="B1283" s="4" t="inlineStr">
        <is>
          <t>whitetail</t>
        </is>
      </c>
      <c r="C1283" s="4" t="inlineStr">
        <is>
          <t>Deer B License: 004-01</t>
        </is>
      </c>
      <c r="D1283" s="15" t="inlineStr">
        <is>
          <t>Drawing</t>
        </is>
      </c>
      <c r="E1283" s="4" t="inlineStr">
        <is>
          <t>Antlerless White-tailed Deer</t>
        </is>
      </c>
      <c r="F1283" s="4" t="inlineStr">
        <is>
          <t>Sep 05-Oct 18</t>
        </is>
      </c>
      <c r="G1283" s="4" t="inlineStr">
        <is>
          <t>Oct 24-Nov 29</t>
        </is>
      </c>
      <c r="H1283" s="4" t="inlineStr">
        <is>
          <t>Dec 12-Dec 20</t>
        </is>
      </c>
      <c r="I1283" s="4" t="n"/>
      <c r="J1283" s="4" t="inlineStr">
        <is>
          <t>Jun 1</t>
        </is>
      </c>
      <c r="K1283" s="4" t="inlineStr">
        <is>
          <t>2,000</t>
        </is>
      </c>
      <c r="L1283" s="4" t="inlineStr">
        <is>
          <t>Valid in all Region 4 HDs except HD 455.</t>
        </is>
      </c>
    </row>
    <row r="1284">
      <c r="A1284" s="4" t="inlineStr">
        <is>
          <t>442</t>
        </is>
      </c>
      <c r="B1284" s="4" t="inlineStr">
        <is>
          <t>whitetail</t>
        </is>
      </c>
      <c r="C1284" s="4" t="inlineStr">
        <is>
          <t>General Deer License</t>
        </is>
      </c>
      <c r="D1284" s="13" t="inlineStr">
        <is>
          <t>General license</t>
        </is>
      </c>
      <c r="E1284" s="4" t="inlineStr">
        <is>
          <t>Either-sex White-tailed Deer</t>
        </is>
      </c>
      <c r="F1284" s="4" t="inlineStr">
        <is>
          <t>Sep 05-Oct 18</t>
        </is>
      </c>
      <c r="G1284" s="4" t="inlineStr">
        <is>
          <t>Oct 24-Nov 29</t>
        </is>
      </c>
      <c r="H1284" s="4" t="inlineStr">
        <is>
          <t>Dec 12-Dec 20</t>
        </is>
      </c>
      <c r="I1284" s="4" t="n"/>
      <c r="J1284" s="4" t="n"/>
      <c r="K1284" s="4" t="n"/>
      <c r="L1284" s="4" t="n"/>
    </row>
    <row r="1285">
      <c r="A1285" s="4" t="inlineStr">
        <is>
          <t>442</t>
        </is>
      </c>
      <c r="B1285" s="4" t="inlineStr">
        <is>
          <t>whitetail</t>
        </is>
      </c>
      <c r="C1285" s="4" t="inlineStr">
        <is>
          <t>Deer B License: 004-00</t>
        </is>
      </c>
      <c r="D1285" s="4" t="inlineStr">
        <is>
          <t>Over the counter</t>
        </is>
      </c>
      <c r="E1285" s="4" t="inlineStr">
        <is>
          <t>Antlerless White-tailed Deer</t>
        </is>
      </c>
      <c r="F1285" s="4" t="inlineStr">
        <is>
          <t>Sep 05-Oct 18</t>
        </is>
      </c>
      <c r="G1285" s="4" t="inlineStr">
        <is>
          <t>Oct 24-Nov 29</t>
        </is>
      </c>
      <c r="H1285" s="4" t="inlineStr">
        <is>
          <t>Dec 12-Dec 20</t>
        </is>
      </c>
      <c r="I1285" s="4" t="n"/>
      <c r="J1285" s="4" t="inlineStr">
        <is>
          <t>OTC: Jun 15</t>
        </is>
      </c>
      <c r="K1285" s="4" t="inlineStr">
        <is>
          <t>UNL</t>
        </is>
      </c>
      <c r="L1285" s="4" t="inlineStr">
        <is>
          <t>One per hunter. Valid in all Region 4 HDs except HD 455.</t>
        </is>
      </c>
    </row>
    <row r="1286">
      <c r="A1286" s="4" t="inlineStr">
        <is>
          <t>442</t>
        </is>
      </c>
      <c r="B1286" s="4" t="inlineStr">
        <is>
          <t>whitetail</t>
        </is>
      </c>
      <c r="C1286" s="4" t="inlineStr">
        <is>
          <t>Deer B License: 004-01</t>
        </is>
      </c>
      <c r="D1286" s="15" t="inlineStr">
        <is>
          <t>Drawing</t>
        </is>
      </c>
      <c r="E1286" s="4" t="inlineStr">
        <is>
          <t>Antlerless White-tailed Deer</t>
        </is>
      </c>
      <c r="F1286" s="4" t="inlineStr">
        <is>
          <t>Sep 05-Oct 18</t>
        </is>
      </c>
      <c r="G1286" s="4" t="inlineStr">
        <is>
          <t>Oct 24-Nov 29</t>
        </is>
      </c>
      <c r="H1286" s="4" t="inlineStr">
        <is>
          <t>Dec 12-Dec 20</t>
        </is>
      </c>
      <c r="I1286" s="4" t="n"/>
      <c r="J1286" s="4" t="inlineStr">
        <is>
          <t>Jun 1</t>
        </is>
      </c>
      <c r="K1286" s="4" t="inlineStr">
        <is>
          <t>2,000</t>
        </is>
      </c>
      <c r="L1286" s="4" t="inlineStr">
        <is>
          <t>Valid in all Region 4 HDs except HD 455.</t>
        </is>
      </c>
    </row>
    <row r="1287">
      <c r="A1287" s="4" t="inlineStr">
        <is>
          <t>444</t>
        </is>
      </c>
      <c r="B1287" s="4" t="inlineStr">
        <is>
          <t>whitetail</t>
        </is>
      </c>
      <c r="C1287" s="4" t="inlineStr">
        <is>
          <t>General Deer License</t>
        </is>
      </c>
      <c r="D1287" s="13" t="inlineStr">
        <is>
          <t>General license</t>
        </is>
      </c>
      <c r="E1287" s="4" t="inlineStr">
        <is>
          <t>Either-sex White-tailed Deer</t>
        </is>
      </c>
      <c r="F1287" s="4" t="inlineStr">
        <is>
          <t>Sep 05-Oct 18</t>
        </is>
      </c>
      <c r="G1287" s="4" t="inlineStr">
        <is>
          <t>Oct 24-Nov 29</t>
        </is>
      </c>
      <c r="H1287" s="4" t="inlineStr">
        <is>
          <t>Dec 12-Dec 20</t>
        </is>
      </c>
      <c r="I1287" s="4" t="n"/>
      <c r="J1287" s="4" t="n"/>
      <c r="K1287" s="4" t="n"/>
      <c r="L1287" s="4" t="n"/>
    </row>
    <row r="1288">
      <c r="A1288" s="4" t="inlineStr">
        <is>
          <t>444</t>
        </is>
      </c>
      <c r="B1288" s="4" t="inlineStr">
        <is>
          <t>whitetail</t>
        </is>
      </c>
      <c r="C1288" s="4" t="inlineStr">
        <is>
          <t>Deer B License: 004-00</t>
        </is>
      </c>
      <c r="D1288" s="4" t="inlineStr">
        <is>
          <t>Over the counter</t>
        </is>
      </c>
      <c r="E1288" s="4" t="inlineStr">
        <is>
          <t>Antlerless White-tailed Deer</t>
        </is>
      </c>
      <c r="F1288" s="4" t="inlineStr">
        <is>
          <t>Sep 05-Oct 18</t>
        </is>
      </c>
      <c r="G1288" s="4" t="inlineStr">
        <is>
          <t>Oct 24-Nov 29</t>
        </is>
      </c>
      <c r="H1288" s="4" t="inlineStr">
        <is>
          <t>Dec 12-Dec 20</t>
        </is>
      </c>
      <c r="I1288" s="4" t="n"/>
      <c r="J1288" s="4" t="inlineStr">
        <is>
          <t>OTC: Jun 15</t>
        </is>
      </c>
      <c r="K1288" s="4" t="inlineStr">
        <is>
          <t>UNL</t>
        </is>
      </c>
      <c r="L1288" s="4" t="inlineStr">
        <is>
          <t>One per hunter. Valid in all Region 4 HDs except HD 455.</t>
        </is>
      </c>
    </row>
    <row r="1289">
      <c r="A1289" s="4" t="inlineStr">
        <is>
          <t>444</t>
        </is>
      </c>
      <c r="B1289" s="4" t="inlineStr">
        <is>
          <t>whitetail</t>
        </is>
      </c>
      <c r="C1289" s="4" t="inlineStr">
        <is>
          <t>Deer B License: 004-01</t>
        </is>
      </c>
      <c r="D1289" s="15" t="inlineStr">
        <is>
          <t>Drawing</t>
        </is>
      </c>
      <c r="E1289" s="4" t="inlineStr">
        <is>
          <t>Antlerless White-tailed Deer</t>
        </is>
      </c>
      <c r="F1289" s="4" t="inlineStr">
        <is>
          <t>Sep 05-Oct 18</t>
        </is>
      </c>
      <c r="G1289" s="4" t="inlineStr">
        <is>
          <t>Oct 24-Nov 29</t>
        </is>
      </c>
      <c r="H1289" s="4" t="inlineStr">
        <is>
          <t>Dec 12-Dec 20</t>
        </is>
      </c>
      <c r="I1289" s="4" t="n"/>
      <c r="J1289" s="4" t="inlineStr">
        <is>
          <t>Jun 1</t>
        </is>
      </c>
      <c r="K1289" s="4" t="inlineStr">
        <is>
          <t>2,000</t>
        </is>
      </c>
      <c r="L1289" s="4" t="inlineStr">
        <is>
          <t>Valid in all Region 4 HDs except HD 455.</t>
        </is>
      </c>
    </row>
    <row r="1290">
      <c r="A1290" s="4" t="inlineStr">
        <is>
          <t>445</t>
        </is>
      </c>
      <c r="B1290" s="4" t="inlineStr">
        <is>
          <t>whitetail</t>
        </is>
      </c>
      <c r="C1290" s="4" t="inlineStr">
        <is>
          <t>General Deer License</t>
        </is>
      </c>
      <c r="D1290" s="13" t="inlineStr">
        <is>
          <t>General license</t>
        </is>
      </c>
      <c r="E1290" s="4" t="inlineStr">
        <is>
          <t>Either-sex White-tailed Deer</t>
        </is>
      </c>
      <c r="F1290" s="4" t="inlineStr">
        <is>
          <t>Sep 05-Oct 18</t>
        </is>
      </c>
      <c r="G1290" s="4" t="inlineStr">
        <is>
          <t>Oct 24-Nov 29</t>
        </is>
      </c>
      <c r="H1290" s="4" t="inlineStr">
        <is>
          <t>Dec 12-Dec 20</t>
        </is>
      </c>
      <c r="I1290" s="4" t="n"/>
      <c r="J1290" s="4" t="n"/>
      <c r="K1290" s="4" t="n"/>
      <c r="L1290" s="4" t="n"/>
    </row>
    <row r="1291">
      <c r="A1291" s="4" t="inlineStr">
        <is>
          <t>445</t>
        </is>
      </c>
      <c r="B1291" s="4" t="inlineStr">
        <is>
          <t>whitetail</t>
        </is>
      </c>
      <c r="C1291" s="4" t="inlineStr">
        <is>
          <t>Deer B License: 004-00</t>
        </is>
      </c>
      <c r="D1291" s="4" t="inlineStr">
        <is>
          <t>Over the counter</t>
        </is>
      </c>
      <c r="E1291" s="4" t="inlineStr">
        <is>
          <t>Antlerless White-tailed Deer</t>
        </is>
      </c>
      <c r="F1291" s="4" t="inlineStr">
        <is>
          <t>Sep 05-Oct 18</t>
        </is>
      </c>
      <c r="G1291" s="4" t="inlineStr">
        <is>
          <t>Oct 24-Nov 29</t>
        </is>
      </c>
      <c r="H1291" s="4" t="inlineStr">
        <is>
          <t>Dec 12-Dec 20</t>
        </is>
      </c>
      <c r="I1291" s="4" t="n"/>
      <c r="J1291" s="4" t="inlineStr">
        <is>
          <t>OTC: Jun 15</t>
        </is>
      </c>
      <c r="K1291" s="4" t="inlineStr">
        <is>
          <t>UNL</t>
        </is>
      </c>
      <c r="L1291" s="4" t="inlineStr">
        <is>
          <t>One per hunter. Valid in all Region 4 HDs except HD 455.</t>
        </is>
      </c>
    </row>
    <row r="1292">
      <c r="A1292" s="4" t="inlineStr">
        <is>
          <t>445</t>
        </is>
      </c>
      <c r="B1292" s="4" t="inlineStr">
        <is>
          <t>whitetail</t>
        </is>
      </c>
      <c r="C1292" s="4" t="inlineStr">
        <is>
          <t>Deer B License: 004-01</t>
        </is>
      </c>
      <c r="D1292" s="15" t="inlineStr">
        <is>
          <t>Drawing</t>
        </is>
      </c>
      <c r="E1292" s="4" t="inlineStr">
        <is>
          <t>Antlerless White-tailed Deer</t>
        </is>
      </c>
      <c r="F1292" s="4" t="inlineStr">
        <is>
          <t>Sep 05-Oct 18</t>
        </is>
      </c>
      <c r="G1292" s="4" t="inlineStr">
        <is>
          <t>Oct 24-Nov 29</t>
        </is>
      </c>
      <c r="H1292" s="4" t="inlineStr">
        <is>
          <t>Dec 12-Dec 20</t>
        </is>
      </c>
      <c r="I1292" s="4" t="n"/>
      <c r="J1292" s="4" t="inlineStr">
        <is>
          <t>Jun 1</t>
        </is>
      </c>
      <c r="K1292" s="4" t="inlineStr">
        <is>
          <t>2,000</t>
        </is>
      </c>
      <c r="L1292" s="4" t="inlineStr">
        <is>
          <t>Valid in all Region 4 HDs except HD 455.</t>
        </is>
      </c>
    </row>
    <row r="1293">
      <c r="A1293" s="4" t="inlineStr">
        <is>
          <t>446</t>
        </is>
      </c>
      <c r="B1293" s="4" t="inlineStr">
        <is>
          <t>whitetail</t>
        </is>
      </c>
      <c r="C1293" s="4" t="inlineStr">
        <is>
          <t>General Deer License</t>
        </is>
      </c>
      <c r="D1293" s="13" t="inlineStr">
        <is>
          <t>General license</t>
        </is>
      </c>
      <c r="E1293" s="4" t="inlineStr">
        <is>
          <t>Either-sex White-tailed Deer</t>
        </is>
      </c>
      <c r="F1293" s="4" t="inlineStr">
        <is>
          <t>Sep 05-Oct 18</t>
        </is>
      </c>
      <c r="G1293" s="4" t="inlineStr">
        <is>
          <t>Oct 24-Nov 29</t>
        </is>
      </c>
      <c r="H1293" s="4" t="inlineStr">
        <is>
          <t>Dec 12-Dec 20</t>
        </is>
      </c>
      <c r="I1293" s="4" t="n"/>
      <c r="J1293" s="4" t="n"/>
      <c r="K1293" s="4" t="n"/>
      <c r="L1293" s="4" t="n"/>
    </row>
    <row r="1294">
      <c r="A1294" s="4" t="inlineStr">
        <is>
          <t>446</t>
        </is>
      </c>
      <c r="B1294" s="4" t="inlineStr">
        <is>
          <t>whitetail</t>
        </is>
      </c>
      <c r="C1294" s="4" t="inlineStr">
        <is>
          <t>Deer B License: 004-00</t>
        </is>
      </c>
      <c r="D1294" s="4" t="inlineStr">
        <is>
          <t>Over the counter</t>
        </is>
      </c>
      <c r="E1294" s="4" t="inlineStr">
        <is>
          <t>Antlerless White-tailed Deer</t>
        </is>
      </c>
      <c r="F1294" s="4" t="inlineStr">
        <is>
          <t>Sep 05-Oct 18</t>
        </is>
      </c>
      <c r="G1294" s="4" t="inlineStr">
        <is>
          <t>Oct 24-Nov 29</t>
        </is>
      </c>
      <c r="H1294" s="4" t="inlineStr">
        <is>
          <t>Dec 12-Dec 20</t>
        </is>
      </c>
      <c r="I1294" s="4" t="n"/>
      <c r="J1294" s="4" t="inlineStr">
        <is>
          <t>OTC: Jun 15</t>
        </is>
      </c>
      <c r="K1294" s="4" t="inlineStr">
        <is>
          <t>UNL</t>
        </is>
      </c>
      <c r="L1294" s="4" t="inlineStr">
        <is>
          <t>One per hunter. Valid in all Region 4 HDs except HD 455.</t>
        </is>
      </c>
    </row>
    <row r="1295">
      <c r="A1295" s="4" t="inlineStr">
        <is>
          <t>446</t>
        </is>
      </c>
      <c r="B1295" s="4" t="inlineStr">
        <is>
          <t>whitetail</t>
        </is>
      </c>
      <c r="C1295" s="4" t="inlineStr">
        <is>
          <t>Deer B License: 004-01</t>
        </is>
      </c>
      <c r="D1295" s="15" t="inlineStr">
        <is>
          <t>Drawing</t>
        </is>
      </c>
      <c r="E1295" s="4" t="inlineStr">
        <is>
          <t>Antlerless White-tailed Deer</t>
        </is>
      </c>
      <c r="F1295" s="4" t="inlineStr">
        <is>
          <t>Sep 05-Oct 18</t>
        </is>
      </c>
      <c r="G1295" s="4" t="inlineStr">
        <is>
          <t>Oct 24-Nov 29</t>
        </is>
      </c>
      <c r="H1295" s="4" t="inlineStr">
        <is>
          <t>Dec 12-Dec 20</t>
        </is>
      </c>
      <c r="I1295" s="4" t="n"/>
      <c r="J1295" s="4" t="inlineStr">
        <is>
          <t>Jun 1</t>
        </is>
      </c>
      <c r="K1295" s="4" t="inlineStr">
        <is>
          <t>2,000</t>
        </is>
      </c>
      <c r="L1295" s="4" t="inlineStr">
        <is>
          <t>Valid in all Region 4 HDs except HD 455.</t>
        </is>
      </c>
    </row>
    <row r="1296">
      <c r="A1296" s="4" t="inlineStr">
        <is>
          <t>447</t>
        </is>
      </c>
      <c r="B1296" s="4" t="inlineStr">
        <is>
          <t>whitetail</t>
        </is>
      </c>
      <c r="C1296" s="4" t="inlineStr">
        <is>
          <t>General Deer License</t>
        </is>
      </c>
      <c r="D1296" s="13" t="inlineStr">
        <is>
          <t>General license</t>
        </is>
      </c>
      <c r="E1296" s="4" t="inlineStr">
        <is>
          <t>Either-sex White-tailed Deer</t>
        </is>
      </c>
      <c r="F1296" s="4" t="inlineStr">
        <is>
          <t>Sep 05-Oct 18</t>
        </is>
      </c>
      <c r="G1296" s="4" t="inlineStr">
        <is>
          <t>Oct 24-Nov 29</t>
        </is>
      </c>
      <c r="H1296" s="4" t="inlineStr">
        <is>
          <t>Dec 12-Dec 20</t>
        </is>
      </c>
      <c r="I1296" s="4" t="n"/>
      <c r="J1296" s="4" t="n"/>
      <c r="K1296" s="4" t="n"/>
      <c r="L1296" s="4" t="n"/>
    </row>
    <row r="1297">
      <c r="A1297" s="4" t="inlineStr">
        <is>
          <t>447</t>
        </is>
      </c>
      <c r="B1297" s="4" t="inlineStr">
        <is>
          <t>whitetail</t>
        </is>
      </c>
      <c r="C1297" s="4" t="inlineStr">
        <is>
          <t>Deer B License: 004-00</t>
        </is>
      </c>
      <c r="D1297" s="4" t="inlineStr">
        <is>
          <t>Over the counter</t>
        </is>
      </c>
      <c r="E1297" s="4" t="inlineStr">
        <is>
          <t>Antlerless White-tailed Deer</t>
        </is>
      </c>
      <c r="F1297" s="4" t="inlineStr">
        <is>
          <t>Sep 05-Oct 18</t>
        </is>
      </c>
      <c r="G1297" s="4" t="inlineStr">
        <is>
          <t>Oct 24-Nov 29</t>
        </is>
      </c>
      <c r="H1297" s="4" t="inlineStr">
        <is>
          <t>Dec 12-Dec 20</t>
        </is>
      </c>
      <c r="I1297" s="4" t="n"/>
      <c r="J1297" s="4" t="inlineStr">
        <is>
          <t>OTC: Jun 15</t>
        </is>
      </c>
      <c r="K1297" s="4" t="inlineStr">
        <is>
          <t>UNL</t>
        </is>
      </c>
      <c r="L1297" s="4" t="inlineStr">
        <is>
          <t>One per hunter. Valid in all Region 4 HDs except HD 455.</t>
        </is>
      </c>
    </row>
    <row r="1298">
      <c r="A1298" s="4" t="inlineStr">
        <is>
          <t>447</t>
        </is>
      </c>
      <c r="B1298" s="4" t="inlineStr">
        <is>
          <t>whitetail</t>
        </is>
      </c>
      <c r="C1298" s="4" t="inlineStr">
        <is>
          <t>Deer B License: 004-01</t>
        </is>
      </c>
      <c r="D1298" s="15" t="inlineStr">
        <is>
          <t>Drawing</t>
        </is>
      </c>
      <c r="E1298" s="4" t="inlineStr">
        <is>
          <t>Antlerless White-tailed Deer</t>
        </is>
      </c>
      <c r="F1298" s="4" t="inlineStr">
        <is>
          <t>Sep 05-Oct 18</t>
        </is>
      </c>
      <c r="G1298" s="4" t="inlineStr">
        <is>
          <t>Oct 24-Nov 29</t>
        </is>
      </c>
      <c r="H1298" s="4" t="inlineStr">
        <is>
          <t>Dec 12-Dec 20</t>
        </is>
      </c>
      <c r="I1298" s="4" t="n"/>
      <c r="J1298" s="4" t="inlineStr">
        <is>
          <t>Jun 1</t>
        </is>
      </c>
      <c r="K1298" s="4" t="inlineStr">
        <is>
          <t>2,000</t>
        </is>
      </c>
      <c r="L1298" s="4" t="inlineStr">
        <is>
          <t>Valid in all Region 4 HDs except HD 455.</t>
        </is>
      </c>
    </row>
    <row r="1299">
      <c r="A1299" s="4" t="inlineStr">
        <is>
          <t>448</t>
        </is>
      </c>
      <c r="B1299" s="4" t="inlineStr">
        <is>
          <t>whitetail</t>
        </is>
      </c>
      <c r="C1299" s="4" t="inlineStr">
        <is>
          <t>General Deer License</t>
        </is>
      </c>
      <c r="D1299" s="13" t="inlineStr">
        <is>
          <t>General license</t>
        </is>
      </c>
      <c r="E1299" s="4" t="inlineStr">
        <is>
          <t>Either-sex White-tailed Deer</t>
        </is>
      </c>
      <c r="F1299" s="4" t="inlineStr">
        <is>
          <t>Sep 05-Oct 18</t>
        </is>
      </c>
      <c r="G1299" s="4" t="inlineStr">
        <is>
          <t>Oct 24-Nov 29</t>
        </is>
      </c>
      <c r="H1299" s="4" t="inlineStr">
        <is>
          <t>Dec 12-Dec 20</t>
        </is>
      </c>
      <c r="I1299" s="4" t="n"/>
      <c r="J1299" s="4" t="n"/>
      <c r="K1299" s="4" t="n"/>
      <c r="L1299" s="4" t="n"/>
    </row>
    <row r="1300">
      <c r="A1300" s="4" t="inlineStr">
        <is>
          <t>448</t>
        </is>
      </c>
      <c r="B1300" s="4" t="inlineStr">
        <is>
          <t>whitetail</t>
        </is>
      </c>
      <c r="C1300" s="4" t="inlineStr">
        <is>
          <t>Deer B License: 004-00</t>
        </is>
      </c>
      <c r="D1300" s="4" t="inlineStr">
        <is>
          <t>Over the counter</t>
        </is>
      </c>
      <c r="E1300" s="4" t="inlineStr">
        <is>
          <t>Antlerless White-tailed Deer</t>
        </is>
      </c>
      <c r="F1300" s="4" t="inlineStr">
        <is>
          <t>Sep 05-Oct 18</t>
        </is>
      </c>
      <c r="G1300" s="4" t="inlineStr">
        <is>
          <t>Oct 24-Nov 29</t>
        </is>
      </c>
      <c r="H1300" s="4" t="inlineStr">
        <is>
          <t>Dec 12-Dec 20</t>
        </is>
      </c>
      <c r="I1300" s="4" t="n"/>
      <c r="J1300" s="4" t="inlineStr">
        <is>
          <t>OTC: Jun 15</t>
        </is>
      </c>
      <c r="K1300" s="4" t="inlineStr">
        <is>
          <t>UNL</t>
        </is>
      </c>
      <c r="L1300" s="4" t="inlineStr">
        <is>
          <t>One per hunter. Valid in allRegion 4 HDs except HD 455.</t>
        </is>
      </c>
    </row>
    <row r="1301">
      <c r="A1301" s="4" t="inlineStr">
        <is>
          <t>448</t>
        </is>
      </c>
      <c r="B1301" s="4" t="inlineStr">
        <is>
          <t>whitetail</t>
        </is>
      </c>
      <c r="C1301" s="4" t="inlineStr">
        <is>
          <t>Deer B License: 004-01</t>
        </is>
      </c>
      <c r="D1301" s="15" t="inlineStr">
        <is>
          <t>Drawing</t>
        </is>
      </c>
      <c r="E1301" s="4" t="inlineStr">
        <is>
          <t>Antlerless White-tailed Deer</t>
        </is>
      </c>
      <c r="F1301" s="4" t="inlineStr">
        <is>
          <t>Sep 05-Oct 18</t>
        </is>
      </c>
      <c r="G1301" s="4" t="inlineStr">
        <is>
          <t>Oct 24-Nov 29</t>
        </is>
      </c>
      <c r="H1301" s="4" t="inlineStr">
        <is>
          <t>Dec 12-Dec 20</t>
        </is>
      </c>
      <c r="I1301" s="4" t="n"/>
      <c r="J1301" s="4" t="inlineStr">
        <is>
          <t>Jun 1</t>
        </is>
      </c>
      <c r="K1301" s="4" t="inlineStr">
        <is>
          <t>2,000</t>
        </is>
      </c>
      <c r="L1301" s="4" t="inlineStr">
        <is>
          <t>Valid in all Region 4 HDs except HD 455.</t>
        </is>
      </c>
    </row>
    <row r="1302">
      <c r="A1302" s="4" t="inlineStr">
        <is>
          <t>450</t>
        </is>
      </c>
      <c r="B1302" s="4" t="inlineStr">
        <is>
          <t>whitetail</t>
        </is>
      </c>
      <c r="C1302" s="4" t="inlineStr">
        <is>
          <t>General Deer License</t>
        </is>
      </c>
      <c r="D1302" s="13" t="inlineStr">
        <is>
          <t>General license</t>
        </is>
      </c>
      <c r="E1302" s="4" t="inlineStr">
        <is>
          <t>Either-sex White-tailed Deer</t>
        </is>
      </c>
      <c r="F1302" s="4" t="inlineStr">
        <is>
          <t>Sep 05-Oct 18</t>
        </is>
      </c>
      <c r="G1302" s="4" t="inlineStr">
        <is>
          <t>Oct 24-Nov 29</t>
        </is>
      </c>
      <c r="H1302" s="4" t="inlineStr">
        <is>
          <t>Dec 12-Dec 20</t>
        </is>
      </c>
      <c r="I1302" s="4" t="n"/>
      <c r="J1302" s="4" t="n"/>
      <c r="K1302" s="4" t="n"/>
      <c r="L1302" s="4" t="n"/>
    </row>
    <row r="1303">
      <c r="A1303" s="4" t="inlineStr">
        <is>
          <t>450</t>
        </is>
      </c>
      <c r="B1303" s="4" t="inlineStr">
        <is>
          <t>whitetail</t>
        </is>
      </c>
      <c r="C1303" s="4" t="inlineStr">
        <is>
          <t>Deer B License: 004-00</t>
        </is>
      </c>
      <c r="D1303" s="4" t="inlineStr">
        <is>
          <t>Over the counter</t>
        </is>
      </c>
      <c r="E1303" s="4" t="inlineStr">
        <is>
          <t>Antlerless White-tailed Deer</t>
        </is>
      </c>
      <c r="F1303" s="4" t="inlineStr">
        <is>
          <t>Sep 05-Oct 18</t>
        </is>
      </c>
      <c r="G1303" s="4" t="inlineStr">
        <is>
          <t>Oct 24-Nov 29</t>
        </is>
      </c>
      <c r="H1303" s="4" t="inlineStr">
        <is>
          <t>Dec 12-Dec 20</t>
        </is>
      </c>
      <c r="I1303" s="4" t="n"/>
      <c r="J1303" s="4" t="inlineStr">
        <is>
          <t>OTC: Jun 15</t>
        </is>
      </c>
      <c r="K1303" s="4" t="inlineStr">
        <is>
          <t>UNL</t>
        </is>
      </c>
      <c r="L1303" s="4" t="inlineStr">
        <is>
          <t>One per hunter. Valid in allRegion 4 HDs except HD 455.</t>
        </is>
      </c>
    </row>
    <row r="1304">
      <c r="A1304" s="4" t="inlineStr">
        <is>
          <t>450</t>
        </is>
      </c>
      <c r="B1304" s="4" t="inlineStr">
        <is>
          <t>whitetail</t>
        </is>
      </c>
      <c r="C1304" s="4" t="inlineStr">
        <is>
          <t>Deer B License: 004-01</t>
        </is>
      </c>
      <c r="D1304" s="15" t="inlineStr">
        <is>
          <t>Drawing</t>
        </is>
      </c>
      <c r="E1304" s="4" t="inlineStr">
        <is>
          <t>Antlerless White-tailed Deer</t>
        </is>
      </c>
      <c r="F1304" s="4" t="inlineStr">
        <is>
          <t>Sep 05-Oct 18</t>
        </is>
      </c>
      <c r="G1304" s="4" t="inlineStr">
        <is>
          <t>Oct 24-Nov 29</t>
        </is>
      </c>
      <c r="H1304" s="4" t="inlineStr">
        <is>
          <t>Dec 12-Dec 20</t>
        </is>
      </c>
      <c r="I1304" s="4" t="n"/>
      <c r="J1304" s="4" t="inlineStr">
        <is>
          <t>Jun 1</t>
        </is>
      </c>
      <c r="K1304" s="4" t="inlineStr">
        <is>
          <t>2,000</t>
        </is>
      </c>
      <c r="L1304" s="4" t="inlineStr">
        <is>
          <t>Valid in all Region 4 HDs except HD 455.</t>
        </is>
      </c>
    </row>
    <row r="1305">
      <c r="A1305" s="4" t="inlineStr">
        <is>
          <t>451</t>
        </is>
      </c>
      <c r="B1305" s="4" t="inlineStr">
        <is>
          <t>whitetail</t>
        </is>
      </c>
      <c r="C1305" s="4" t="inlineStr">
        <is>
          <t>General Deer License</t>
        </is>
      </c>
      <c r="D1305" s="13" t="inlineStr">
        <is>
          <t>General license</t>
        </is>
      </c>
      <c r="E1305" s="4" t="inlineStr">
        <is>
          <t>Either-sex White-tailed Deer</t>
        </is>
      </c>
      <c r="F1305" s="4" t="inlineStr">
        <is>
          <t>Sep 05-Oct 18</t>
        </is>
      </c>
      <c r="G1305" s="4" t="inlineStr">
        <is>
          <t>Oct 24-Nov 29</t>
        </is>
      </c>
      <c r="H1305" s="4" t="inlineStr">
        <is>
          <t>Dec 12-Dec 20</t>
        </is>
      </c>
      <c r="I1305" s="4" t="n"/>
      <c r="J1305" s="4" t="n"/>
      <c r="K1305" s="4" t="n"/>
      <c r="L1305" s="4" t="n"/>
    </row>
    <row r="1306">
      <c r="A1306" s="4" t="inlineStr">
        <is>
          <t>451</t>
        </is>
      </c>
      <c r="B1306" s="4" t="inlineStr">
        <is>
          <t>whitetail</t>
        </is>
      </c>
      <c r="C1306" s="4" t="inlineStr">
        <is>
          <t>Deer B License: 004-00</t>
        </is>
      </c>
      <c r="D1306" s="4" t="inlineStr">
        <is>
          <t>Over the counter</t>
        </is>
      </c>
      <c r="E1306" s="4" t="inlineStr">
        <is>
          <t>Antlerless White-tailed Deer</t>
        </is>
      </c>
      <c r="F1306" s="4" t="inlineStr">
        <is>
          <t>Sep 05-Oct 18</t>
        </is>
      </c>
      <c r="G1306" s="4" t="inlineStr">
        <is>
          <t>Oct 24-Nov 29</t>
        </is>
      </c>
      <c r="H1306" s="4" t="inlineStr">
        <is>
          <t>Dec 12-Dec 20</t>
        </is>
      </c>
      <c r="I1306" s="4" t="n"/>
      <c r="J1306" s="4" t="inlineStr">
        <is>
          <t>OTC: Jun 15</t>
        </is>
      </c>
      <c r="K1306" s="4" t="inlineStr">
        <is>
          <t>UNL</t>
        </is>
      </c>
      <c r="L1306" s="4" t="inlineStr">
        <is>
          <t>One per hunter. Valid in all Region 4 HDs except HD 455.</t>
        </is>
      </c>
    </row>
    <row r="1307">
      <c r="A1307" s="4" t="inlineStr">
        <is>
          <t>451</t>
        </is>
      </c>
      <c r="B1307" s="4" t="inlineStr">
        <is>
          <t>whitetail</t>
        </is>
      </c>
      <c r="C1307" s="4" t="inlineStr">
        <is>
          <t>Deer B License: 004-01</t>
        </is>
      </c>
      <c r="D1307" s="15" t="inlineStr">
        <is>
          <t>Drawing</t>
        </is>
      </c>
      <c r="E1307" s="4" t="inlineStr">
        <is>
          <t>Antlerless White-tailed Deer</t>
        </is>
      </c>
      <c r="F1307" s="4" t="inlineStr">
        <is>
          <t>Sep 05-Oct 18</t>
        </is>
      </c>
      <c r="G1307" s="4" t="inlineStr">
        <is>
          <t>Oct 24-Nov 29</t>
        </is>
      </c>
      <c r="H1307" s="4" t="inlineStr">
        <is>
          <t>Dec 12-Dec 20</t>
        </is>
      </c>
      <c r="I1307" s="4" t="n"/>
      <c r="J1307" s="4" t="inlineStr">
        <is>
          <t>Jun 1</t>
        </is>
      </c>
      <c r="K1307" s="4" t="inlineStr">
        <is>
          <t>2,000</t>
        </is>
      </c>
      <c r="L1307" s="4" t="inlineStr">
        <is>
          <t>Valid in all Region 4 HDs except HD 455.</t>
        </is>
      </c>
    </row>
    <row r="1308">
      <c r="A1308" s="4" t="inlineStr">
        <is>
          <t>452</t>
        </is>
      </c>
      <c r="B1308" s="4" t="inlineStr">
        <is>
          <t>whitetail</t>
        </is>
      </c>
      <c r="C1308" s="4" t="inlineStr">
        <is>
          <t>General Deer License</t>
        </is>
      </c>
      <c r="D1308" s="13" t="inlineStr">
        <is>
          <t>General license</t>
        </is>
      </c>
      <c r="E1308" s="4" t="inlineStr">
        <is>
          <t>Either-sex White-tailed Deer</t>
        </is>
      </c>
      <c r="F1308" s="4" t="inlineStr">
        <is>
          <t>Sep 05-Oct 18</t>
        </is>
      </c>
      <c r="G1308" s="4" t="inlineStr">
        <is>
          <t>Oct 24-Nov 29</t>
        </is>
      </c>
      <c r="H1308" s="4" t="inlineStr">
        <is>
          <t>Dec 12-Dec 20</t>
        </is>
      </c>
      <c r="I1308" s="4" t="n"/>
      <c r="J1308" s="4" t="n"/>
      <c r="K1308" s="4" t="n"/>
      <c r="L1308" s="4" t="n"/>
    </row>
    <row r="1309">
      <c r="A1309" s="4" t="inlineStr">
        <is>
          <t>452</t>
        </is>
      </c>
      <c r="B1309" s="4" t="inlineStr">
        <is>
          <t>whitetail</t>
        </is>
      </c>
      <c r="C1309" s="4" t="inlineStr">
        <is>
          <t>Deer B License: 004-00</t>
        </is>
      </c>
      <c r="D1309" s="4" t="inlineStr">
        <is>
          <t>Over the counter</t>
        </is>
      </c>
      <c r="E1309" s="4" t="inlineStr">
        <is>
          <t>Antlerless White-tailed Deer</t>
        </is>
      </c>
      <c r="F1309" s="4" t="inlineStr">
        <is>
          <t>Sep 05-Oct 18</t>
        </is>
      </c>
      <c r="G1309" s="4" t="inlineStr">
        <is>
          <t>Oct 24-Nov 29</t>
        </is>
      </c>
      <c r="H1309" s="4" t="inlineStr">
        <is>
          <t>Dec 12-Dec 20</t>
        </is>
      </c>
      <c r="I1309" s="4" t="n"/>
      <c r="J1309" s="4" t="inlineStr">
        <is>
          <t>OTC: Jun 15</t>
        </is>
      </c>
      <c r="K1309" s="4" t="inlineStr">
        <is>
          <t>UNL</t>
        </is>
      </c>
      <c r="L1309" s="4" t="inlineStr">
        <is>
          <t>One per hunter. Valid in all Region 4 HDs except HD 455.</t>
        </is>
      </c>
    </row>
    <row r="1310">
      <c r="A1310" s="4" t="inlineStr">
        <is>
          <t>452</t>
        </is>
      </c>
      <c r="B1310" s="4" t="inlineStr">
        <is>
          <t>whitetail</t>
        </is>
      </c>
      <c r="C1310" s="4" t="inlineStr">
        <is>
          <t>Deer B License: 004-01</t>
        </is>
      </c>
      <c r="D1310" s="15" t="inlineStr">
        <is>
          <t>Drawing</t>
        </is>
      </c>
      <c r="E1310" s="4" t="inlineStr">
        <is>
          <t>Antlerless White-tailed Deer</t>
        </is>
      </c>
      <c r="F1310" s="4" t="inlineStr">
        <is>
          <t>Sep 05-Oct 18</t>
        </is>
      </c>
      <c r="G1310" s="4" t="inlineStr">
        <is>
          <t>Oct 24-Nov 29</t>
        </is>
      </c>
      <c r="H1310" s="4" t="inlineStr">
        <is>
          <t>Dec 12-Dec 20</t>
        </is>
      </c>
      <c r="I1310" s="4" t="n"/>
      <c r="J1310" s="4" t="inlineStr">
        <is>
          <t>Jun 1</t>
        </is>
      </c>
      <c r="K1310" s="4" t="inlineStr">
        <is>
          <t>2,000</t>
        </is>
      </c>
      <c r="L1310" s="4" t="inlineStr">
        <is>
          <t>Valid in all Region 4 HDs except HD 455.</t>
        </is>
      </c>
    </row>
    <row r="1311">
      <c r="A1311" s="4" t="inlineStr">
        <is>
          <t>455</t>
        </is>
      </c>
      <c r="B1311" s="4" t="inlineStr">
        <is>
          <t>whitetail</t>
        </is>
      </c>
      <c r="C1311" s="4" t="inlineStr">
        <is>
          <t>General Deer License</t>
        </is>
      </c>
      <c r="D1311" s="13" t="inlineStr">
        <is>
          <t>General license</t>
        </is>
      </c>
      <c r="E1311" s="4" t="inlineStr">
        <is>
          <t>Either-sex White-tailed Deer</t>
        </is>
      </c>
      <c r="F1311" s="4" t="inlineStr">
        <is>
          <t>Sep 05-Oct 18</t>
        </is>
      </c>
      <c r="G1311" s="4" t="n"/>
      <c r="H1311" s="4" t="n"/>
      <c r="I1311" s="4" t="n"/>
      <c r="J1311" s="4" t="n"/>
      <c r="K1311" s="4" t="n"/>
      <c r="L1311" s="4" t="n"/>
    </row>
    <row r="1312">
      <c r="A1312" s="4" t="inlineStr">
        <is>
          <t>455</t>
        </is>
      </c>
      <c r="B1312" s="4" t="inlineStr">
        <is>
          <t>whitetail</t>
        </is>
      </c>
      <c r="C1312" s="4" t="inlineStr">
        <is>
          <t>Deer B License: 455-00</t>
        </is>
      </c>
      <c r="D1312" s="15" t="inlineStr">
        <is>
          <t>Drawing</t>
        </is>
      </c>
      <c r="E1312" s="4" t="inlineStr">
        <is>
          <t>Antlerless White-tailed Deer</t>
        </is>
      </c>
      <c r="F1312" s="4" t="inlineStr">
        <is>
          <t>Sep 05-Oct 18</t>
        </is>
      </c>
      <c r="G1312" s="4" t="inlineStr">
        <is>
          <t>Oct 24-Nov 29</t>
        </is>
      </c>
      <c r="H1312" s="4" t="inlineStr">
        <is>
          <t>Dec 12-Dec 20</t>
        </is>
      </c>
      <c r="I1312" s="4" t="n"/>
      <c r="J1312" s="4" t="inlineStr">
        <is>
          <t>Jun 1</t>
        </is>
      </c>
      <c r="K1312" s="4" t="inlineStr">
        <is>
          <t>20</t>
        </is>
      </c>
      <c r="L1312" s="4" t="n"/>
    </row>
    <row r="1313">
      <c r="A1313" s="4" t="inlineStr">
        <is>
          <t>455</t>
        </is>
      </c>
      <c r="B1313" s="4" t="inlineStr">
        <is>
          <t>whitetail</t>
        </is>
      </c>
      <c r="C1313" s="4" t="inlineStr">
        <is>
          <t>Deer Permit: 455-60</t>
        </is>
      </c>
      <c r="D1313" s="15" t="inlineStr">
        <is>
          <t>Drawing</t>
        </is>
      </c>
      <c r="E1313" s="4" t="inlineStr">
        <is>
          <t>Either-sex White-tailed Deer</t>
        </is>
      </c>
      <c r="F1313" s="4" t="inlineStr">
        <is>
          <t>Sep 05-Oct 18</t>
        </is>
      </c>
      <c r="G1313" s="4" t="inlineStr">
        <is>
          <t>Oct 24-Nov 29</t>
        </is>
      </c>
      <c r="H1313" s="4" t="inlineStr">
        <is>
          <t>Dec 12-Dec 20</t>
        </is>
      </c>
      <c r="I1313" s="4" t="n"/>
      <c r="J1313" s="4" t="inlineStr">
        <is>
          <t>April 1</t>
        </is>
      </c>
      <c r="K1313" s="4" t="inlineStr">
        <is>
          <t>15</t>
        </is>
      </c>
      <c r="L1313" s="4" t="inlineStr">
        <is>
          <t>Permit must be used with a valid General Deer License. Holders may not hunt Antlered Buck Mule Deer in any other HD. ELK hunting by drawing only</t>
        </is>
      </c>
    </row>
    <row r="1314">
      <c r="A1314" s="4" t="inlineStr">
        <is>
          <t>471</t>
        </is>
      </c>
      <c r="B1314" s="4" t="inlineStr">
        <is>
          <t>whitetail</t>
        </is>
      </c>
      <c r="C1314" s="4" t="inlineStr">
        <is>
          <t>General Deer License</t>
        </is>
      </c>
      <c r="D1314" s="13" t="inlineStr">
        <is>
          <t>General license</t>
        </is>
      </c>
      <c r="E1314" s="4" t="inlineStr">
        <is>
          <t>Either-sex White-tailed Deer</t>
        </is>
      </c>
      <c r="F1314" s="4" t="inlineStr">
        <is>
          <t>Sep 05-Oct 18</t>
        </is>
      </c>
      <c r="G1314" s="4" t="inlineStr">
        <is>
          <t>Oct 24-Nov 29</t>
        </is>
      </c>
      <c r="H1314" s="4" t="inlineStr">
        <is>
          <t>Dec 12-Dec 20</t>
        </is>
      </c>
      <c r="I1314" s="4" t="n"/>
      <c r="J1314" s="4" t="n"/>
      <c r="K1314" s="4" t="n"/>
      <c r="L1314" s="4" t="n"/>
    </row>
    <row r="1315">
      <c r="A1315" s="4" t="inlineStr">
        <is>
          <t>471</t>
        </is>
      </c>
      <c r="B1315" s="4" t="inlineStr">
        <is>
          <t>whitetail</t>
        </is>
      </c>
      <c r="C1315" s="4" t="inlineStr">
        <is>
          <t>Deer B License: 004-00</t>
        </is>
      </c>
      <c r="D1315" s="4" t="inlineStr">
        <is>
          <t>Over the counter</t>
        </is>
      </c>
      <c r="E1315" s="4" t="inlineStr">
        <is>
          <t>Antlerless White-tailed Deer</t>
        </is>
      </c>
      <c r="F1315" s="4" t="inlineStr">
        <is>
          <t>Sep 05-Oct 18</t>
        </is>
      </c>
      <c r="G1315" s="4" t="inlineStr">
        <is>
          <t>Oct 24-Nov 29</t>
        </is>
      </c>
      <c r="H1315" s="4" t="inlineStr">
        <is>
          <t>Dec 12-Dec 20</t>
        </is>
      </c>
      <c r="I1315" s="4" t="n"/>
      <c r="J1315" s="4" t="inlineStr">
        <is>
          <t>OTC: Jun 15</t>
        </is>
      </c>
      <c r="K1315" s="4" t="inlineStr">
        <is>
          <t>UNL</t>
        </is>
      </c>
      <c r="L1315" s="4" t="inlineStr">
        <is>
          <t>One per hunter. Valid in all Region 4 HDs except HD 455.</t>
        </is>
      </c>
    </row>
    <row r="1316">
      <c r="A1316" s="4" t="inlineStr">
        <is>
          <t>471</t>
        </is>
      </c>
      <c r="B1316" s="4" t="inlineStr">
        <is>
          <t>whitetail</t>
        </is>
      </c>
      <c r="C1316" s="4" t="inlineStr">
        <is>
          <t>Deer B License: 004-01</t>
        </is>
      </c>
      <c r="D1316" s="15" t="inlineStr">
        <is>
          <t>Drawing</t>
        </is>
      </c>
      <c r="E1316" s="4" t="inlineStr">
        <is>
          <t>Antlerless White-tailed Deer</t>
        </is>
      </c>
      <c r="F1316" s="4" t="inlineStr">
        <is>
          <t>Sep 05-Oct 18</t>
        </is>
      </c>
      <c r="G1316" s="4" t="inlineStr">
        <is>
          <t>Oct 24-Nov 29</t>
        </is>
      </c>
      <c r="H1316" s="4" t="inlineStr">
        <is>
          <t>Dec 12-Dec 20</t>
        </is>
      </c>
      <c r="I1316" s="4" t="n"/>
      <c r="J1316" s="4" t="inlineStr">
        <is>
          <t>Jun 1</t>
        </is>
      </c>
      <c r="K1316" s="4" t="inlineStr">
        <is>
          <t>2,000</t>
        </is>
      </c>
      <c r="L1316" s="4" t="inlineStr">
        <is>
          <t>Valid in all Region 4 HDs except HD 455.</t>
        </is>
      </c>
    </row>
    <row r="1317">
      <c r="A1317" s="4" t="inlineStr">
        <is>
          <t>502</t>
        </is>
      </c>
      <c r="B1317" s="4" t="inlineStr">
        <is>
          <t>whitetail</t>
        </is>
      </c>
      <c r="C1317" s="4" t="inlineStr">
        <is>
          <t>General Deer License</t>
        </is>
      </c>
      <c r="D1317" s="13" t="inlineStr">
        <is>
          <t>General license</t>
        </is>
      </c>
      <c r="E1317" s="4" t="inlineStr">
        <is>
          <t>Either-sex White-tailed Deer</t>
        </is>
      </c>
      <c r="F1317" s="4" t="inlineStr">
        <is>
          <t>Sep 05-Oct 18</t>
        </is>
      </c>
      <c r="G1317" s="4" t="inlineStr">
        <is>
          <t>Oct 24-Nov 29</t>
        </is>
      </c>
      <c r="H1317" s="4" t="inlineStr">
        <is>
          <t>Dec 12-Dec 20</t>
        </is>
      </c>
      <c r="I1317" s="4" t="n"/>
      <c r="J1317" s="4" t="n"/>
      <c r="K1317" s="4" t="n"/>
      <c r="L1317" s="4" t="n"/>
    </row>
    <row r="1318">
      <c r="A1318" s="4" t="inlineStr">
        <is>
          <t>502</t>
        </is>
      </c>
      <c r="B1318" s="4" t="inlineStr">
        <is>
          <t>whitetail</t>
        </is>
      </c>
      <c r="C1318" s="4" t="inlineStr">
        <is>
          <t>Deer B License: 005-00</t>
        </is>
      </c>
      <c r="D1318" s="15" t="inlineStr">
        <is>
          <t>Drawing</t>
        </is>
      </c>
      <c r="E1318" s="4" t="inlineStr">
        <is>
          <t>Antlerless White-tailed Deer</t>
        </is>
      </c>
      <c r="F1318" s="4" t="inlineStr">
        <is>
          <t>Sep 05-Oct 18</t>
        </is>
      </c>
      <c r="G1318" s="4" t="inlineStr">
        <is>
          <t>Oct 24-Nov 29</t>
        </is>
      </c>
      <c r="H1318" s="4" t="inlineStr">
        <is>
          <t>Dec 12-Dec 20</t>
        </is>
      </c>
      <c r="I1318" s="4" t="n"/>
      <c r="J1318" s="4" t="inlineStr">
        <is>
          <t>Jun 1</t>
        </is>
      </c>
      <c r="K1318" s="4" t="inlineStr">
        <is>
          <t>4,500</t>
        </is>
      </c>
      <c r="L1318" s="4" t="inlineStr">
        <is>
          <t>Valid in all R5 HDs.</t>
        </is>
      </c>
    </row>
    <row r="1319">
      <c r="A1319" s="4" t="inlineStr">
        <is>
          <t>515</t>
        </is>
      </c>
      <c r="B1319" s="4" t="inlineStr">
        <is>
          <t>whitetail</t>
        </is>
      </c>
      <c r="C1319" s="4" t="inlineStr">
        <is>
          <t>General Deer License</t>
        </is>
      </c>
      <c r="D1319" s="13" t="inlineStr">
        <is>
          <t>General license</t>
        </is>
      </c>
      <c r="E1319" s="4" t="inlineStr">
        <is>
          <t>Either-sex White-tailed Deer</t>
        </is>
      </c>
      <c r="F1319" s="4" t="inlineStr">
        <is>
          <t>Sep 05-Oct 18</t>
        </is>
      </c>
      <c r="G1319" s="4" t="inlineStr">
        <is>
          <t>Oct 24-Nov 29</t>
        </is>
      </c>
      <c r="H1319" s="4" t="inlineStr">
        <is>
          <t>Dec 12-Dec 20</t>
        </is>
      </c>
      <c r="I1319" s="4" t="n"/>
      <c r="J1319" s="4" t="n"/>
      <c r="K1319" s="4" t="n"/>
      <c r="L1319" s="4" t="n"/>
    </row>
    <row r="1320">
      <c r="A1320" s="4" t="inlineStr">
        <is>
          <t>515</t>
        </is>
      </c>
      <c r="B1320" s="4" t="inlineStr">
        <is>
          <t>whitetail</t>
        </is>
      </c>
      <c r="C1320" s="4" t="inlineStr">
        <is>
          <t>Deer B License: 005-00</t>
        </is>
      </c>
      <c r="D1320" s="15" t="inlineStr">
        <is>
          <t>Drawing</t>
        </is>
      </c>
      <c r="E1320" s="4" t="inlineStr">
        <is>
          <t>Antlerless White-tailed Deer</t>
        </is>
      </c>
      <c r="F1320" s="4" t="inlineStr">
        <is>
          <t>Sep 05-Oct 18</t>
        </is>
      </c>
      <c r="G1320" s="4" t="inlineStr">
        <is>
          <t>Oct 24-Nov 29</t>
        </is>
      </c>
      <c r="H1320" s="4" t="inlineStr">
        <is>
          <t>Dec 12-Dec 20</t>
        </is>
      </c>
      <c r="I1320" s="4" t="n"/>
      <c r="J1320" s="4" t="inlineStr">
        <is>
          <t>Jun 1</t>
        </is>
      </c>
      <c r="K1320" s="4" t="inlineStr">
        <is>
          <t>4,500</t>
        </is>
      </c>
      <c r="L1320" s="4" t="inlineStr">
        <is>
          <t>Valid in all R5 HDs.</t>
        </is>
      </c>
    </row>
    <row r="1321">
      <c r="A1321" s="4" t="inlineStr">
        <is>
          <t>525</t>
        </is>
      </c>
      <c r="B1321" s="4" t="inlineStr">
        <is>
          <t>whitetail</t>
        </is>
      </c>
      <c r="C1321" s="4" t="inlineStr">
        <is>
          <t>General Deer License</t>
        </is>
      </c>
      <c r="D1321" s="13" t="inlineStr">
        <is>
          <t>General license</t>
        </is>
      </c>
      <c r="E1321" s="4" t="inlineStr">
        <is>
          <t>Either-sex White-tailed Deer</t>
        </is>
      </c>
      <c r="F1321" s="4" t="inlineStr">
        <is>
          <t>Sep 05-Oct 18</t>
        </is>
      </c>
      <c r="G1321" s="4" t="inlineStr">
        <is>
          <t>Oct 24-Nov 29</t>
        </is>
      </c>
      <c r="H1321" s="4" t="inlineStr">
        <is>
          <t>Dec 12-Dec 20</t>
        </is>
      </c>
      <c r="I1321" s="4" t="n"/>
      <c r="J1321" s="4" t="n"/>
      <c r="K1321" s="4" t="n"/>
      <c r="L1321" s="4" t="n"/>
    </row>
    <row r="1322">
      <c r="A1322" s="4" t="inlineStr">
        <is>
          <t>525</t>
        </is>
      </c>
      <c r="B1322" s="4" t="inlineStr">
        <is>
          <t>whitetail</t>
        </is>
      </c>
      <c r="C1322" s="4" t="inlineStr">
        <is>
          <t>Deer B License: 005-00</t>
        </is>
      </c>
      <c r="D1322" s="15" t="inlineStr">
        <is>
          <t>Drawing</t>
        </is>
      </c>
      <c r="E1322" s="4" t="inlineStr">
        <is>
          <t>Antlerless White-tailed Deer</t>
        </is>
      </c>
      <c r="F1322" s="4" t="inlineStr">
        <is>
          <t>Sep 05-Oct 18</t>
        </is>
      </c>
      <c r="G1322" s="4" t="inlineStr">
        <is>
          <t>Oct 24-Nov 29</t>
        </is>
      </c>
      <c r="H1322" s="4" t="inlineStr">
        <is>
          <t>Dec 12-Dec 20</t>
        </is>
      </c>
      <c r="I1322" s="4" t="n"/>
      <c r="J1322" s="4" t="inlineStr">
        <is>
          <t>Jun 1</t>
        </is>
      </c>
      <c r="K1322" s="4" t="inlineStr">
        <is>
          <t>4,500</t>
        </is>
      </c>
      <c r="L1322" s="4" t="inlineStr">
        <is>
          <t>Valid in all R5 HDs.</t>
        </is>
      </c>
    </row>
    <row r="1323">
      <c r="A1323" s="4" t="inlineStr">
        <is>
          <t>535</t>
        </is>
      </c>
      <c r="B1323" s="4" t="inlineStr">
        <is>
          <t>whitetail</t>
        </is>
      </c>
      <c r="C1323" s="4" t="inlineStr">
        <is>
          <t>General Deer License</t>
        </is>
      </c>
      <c r="D1323" s="13" t="inlineStr">
        <is>
          <t>General license</t>
        </is>
      </c>
      <c r="E1323" s="4" t="inlineStr">
        <is>
          <t>Either-sex White-tailed Deer</t>
        </is>
      </c>
      <c r="F1323" s="4" t="inlineStr">
        <is>
          <t>Sep 05-Oct 18</t>
        </is>
      </c>
      <c r="G1323" s="4" t="inlineStr">
        <is>
          <t>Oct 24-Nov 29</t>
        </is>
      </c>
      <c r="H1323" s="4" t="inlineStr">
        <is>
          <t>Dec 12-Dec 20</t>
        </is>
      </c>
      <c r="I1323" s="4" t="n"/>
      <c r="J1323" s="4" t="n"/>
      <c r="K1323" s="4" t="n"/>
      <c r="L1323" s="4" t="n"/>
    </row>
    <row r="1324">
      <c r="A1324" s="4" t="inlineStr">
        <is>
          <t>535</t>
        </is>
      </c>
      <c r="B1324" s="4" t="inlineStr">
        <is>
          <t>whitetail</t>
        </is>
      </c>
      <c r="C1324" s="4" t="inlineStr">
        <is>
          <t>Deer B License: 005-00</t>
        </is>
      </c>
      <c r="D1324" s="15" t="inlineStr">
        <is>
          <t>Drawing</t>
        </is>
      </c>
      <c r="E1324" s="4" t="inlineStr">
        <is>
          <t>Antlerless White-tailed Deer</t>
        </is>
      </c>
      <c r="F1324" s="4" t="inlineStr">
        <is>
          <t>Sep 05-Oct 18</t>
        </is>
      </c>
      <c r="G1324" s="4" t="inlineStr">
        <is>
          <t>Oct 24-Nov 29</t>
        </is>
      </c>
      <c r="H1324" s="4" t="inlineStr">
        <is>
          <t>Dec 12-Dec 20</t>
        </is>
      </c>
      <c r="I1324" s="4" t="n"/>
      <c r="J1324" s="4" t="inlineStr">
        <is>
          <t>Jun 1</t>
        </is>
      </c>
      <c r="K1324" s="4" t="inlineStr">
        <is>
          <t>4,500</t>
        </is>
      </c>
      <c r="L1324" s="4" t="inlineStr">
        <is>
          <t>Valid in all R5 HDs.</t>
        </is>
      </c>
    </row>
    <row r="1325">
      <c r="A1325" s="4" t="inlineStr">
        <is>
          <t>540</t>
        </is>
      </c>
      <c r="B1325" s="4" t="inlineStr">
        <is>
          <t>whitetail</t>
        </is>
      </c>
      <c r="C1325" s="4" t="inlineStr">
        <is>
          <t>General Deer License</t>
        </is>
      </c>
      <c r="D1325" s="13" t="inlineStr">
        <is>
          <t>General license</t>
        </is>
      </c>
      <c r="E1325" s="4" t="inlineStr">
        <is>
          <t>Either-sex White-tailed Deer</t>
        </is>
      </c>
      <c r="F1325" s="4" t="inlineStr">
        <is>
          <t>Sep 05-Oct 18</t>
        </is>
      </c>
      <c r="G1325" s="4" t="inlineStr">
        <is>
          <t>Oct 24-Nov 29</t>
        </is>
      </c>
      <c r="H1325" s="4" t="inlineStr">
        <is>
          <t>Dec 12-Dec 20</t>
        </is>
      </c>
      <c r="I1325" s="4" t="n"/>
      <c r="J1325" s="4" t="n"/>
      <c r="K1325" s="4" t="n"/>
      <c r="L1325" s="4" t="n"/>
    </row>
    <row r="1326">
      <c r="A1326" s="4" t="inlineStr">
        <is>
          <t>540</t>
        </is>
      </c>
      <c r="B1326" s="4" t="inlineStr">
        <is>
          <t>whitetail</t>
        </is>
      </c>
      <c r="C1326" s="4" t="inlineStr">
        <is>
          <t>Deer B License: 005-00</t>
        </is>
      </c>
      <c r="D1326" s="15" t="inlineStr">
        <is>
          <t>Drawing</t>
        </is>
      </c>
      <c r="E1326" s="4" t="inlineStr">
        <is>
          <t>Antlerless White-tailed Deer</t>
        </is>
      </c>
      <c r="F1326" s="4" t="inlineStr">
        <is>
          <t>Sep 05-Oct 18</t>
        </is>
      </c>
      <c r="G1326" s="4" t="inlineStr">
        <is>
          <t>Oct 24-Nov 29</t>
        </is>
      </c>
      <c r="H1326" s="4" t="inlineStr">
        <is>
          <t>Dec 12-Dec 20</t>
        </is>
      </c>
      <c r="I1326" s="4" t="n"/>
      <c r="J1326" s="4" t="inlineStr">
        <is>
          <t>Jun 1</t>
        </is>
      </c>
      <c r="K1326" s="4" t="inlineStr">
        <is>
          <t>4,500</t>
        </is>
      </c>
      <c r="L1326" s="4" t="inlineStr">
        <is>
          <t>Valid in all R5 HDs.</t>
        </is>
      </c>
    </row>
    <row r="1327">
      <c r="A1327" s="4" t="inlineStr">
        <is>
          <t>555</t>
        </is>
      </c>
      <c r="B1327" s="4" t="inlineStr">
        <is>
          <t>whitetail</t>
        </is>
      </c>
      <c r="C1327" s="4" t="inlineStr">
        <is>
          <t>General Deer License</t>
        </is>
      </c>
      <c r="D1327" s="13" t="inlineStr">
        <is>
          <t>General license</t>
        </is>
      </c>
      <c r="E1327" s="4" t="inlineStr">
        <is>
          <t>Either-sex White-tailed Deer</t>
        </is>
      </c>
      <c r="F1327" s="4" t="inlineStr">
        <is>
          <t>Sep 05-Oct 18</t>
        </is>
      </c>
      <c r="G1327" s="4" t="inlineStr">
        <is>
          <t>Oct 24-Nov 29</t>
        </is>
      </c>
      <c r="H1327" s="4" t="inlineStr">
        <is>
          <t>Dec 12-Dec 20</t>
        </is>
      </c>
      <c r="I1327" s="4" t="n"/>
      <c r="J1327" s="4" t="n"/>
      <c r="K1327" s="4" t="n"/>
      <c r="L1327" s="4" t="n"/>
    </row>
    <row r="1328">
      <c r="A1328" s="4" t="inlineStr">
        <is>
          <t>555</t>
        </is>
      </c>
      <c r="B1328" s="4" t="inlineStr">
        <is>
          <t>whitetail</t>
        </is>
      </c>
      <c r="C1328" s="4" t="inlineStr">
        <is>
          <t>Deer B License: 005-00</t>
        </is>
      </c>
      <c r="D1328" s="15" t="inlineStr">
        <is>
          <t>Drawing</t>
        </is>
      </c>
      <c r="E1328" s="4" t="inlineStr">
        <is>
          <t>Antlerless White-tailed Deer</t>
        </is>
      </c>
      <c r="F1328" s="4" t="inlineStr">
        <is>
          <t>Sep 05-Oct 18</t>
        </is>
      </c>
      <c r="G1328" s="4" t="inlineStr">
        <is>
          <t>Oct 24-Nov 29</t>
        </is>
      </c>
      <c r="H1328" s="4" t="inlineStr">
        <is>
          <t>Dec 12-Dec 20</t>
        </is>
      </c>
      <c r="I1328" s="4" t="n"/>
      <c r="J1328" s="4" t="inlineStr">
        <is>
          <t>Jun 1</t>
        </is>
      </c>
      <c r="K1328" s="4" t="inlineStr">
        <is>
          <t>4,500</t>
        </is>
      </c>
      <c r="L1328" s="4" t="inlineStr">
        <is>
          <t>Valid in all R5 HDs.</t>
        </is>
      </c>
    </row>
    <row r="1329">
      <c r="A1329" s="4" t="inlineStr">
        <is>
          <t>565</t>
        </is>
      </c>
      <c r="B1329" s="4" t="inlineStr">
        <is>
          <t>whitetail</t>
        </is>
      </c>
      <c r="C1329" s="4" t="inlineStr">
        <is>
          <t>General Deer License</t>
        </is>
      </c>
      <c r="D1329" s="13" t="inlineStr">
        <is>
          <t>General license</t>
        </is>
      </c>
      <c r="E1329" s="4" t="inlineStr">
        <is>
          <t>Either-sex White-tailed Deer</t>
        </is>
      </c>
      <c r="F1329" s="4" t="inlineStr">
        <is>
          <t>Sep 05-Oct 18</t>
        </is>
      </c>
      <c r="G1329" s="4" t="inlineStr">
        <is>
          <t>Oct 24-Nov 29</t>
        </is>
      </c>
      <c r="H1329" s="4" t="inlineStr">
        <is>
          <t>Dec 12-Dec 20</t>
        </is>
      </c>
      <c r="I1329" s="4" t="n"/>
      <c r="J1329" s="4" t="n"/>
      <c r="K1329" s="4" t="n"/>
      <c r="L1329" s="4" t="n"/>
    </row>
    <row r="1330">
      <c r="A1330" s="4" t="inlineStr">
        <is>
          <t>565</t>
        </is>
      </c>
      <c r="B1330" s="4" t="inlineStr">
        <is>
          <t>whitetail</t>
        </is>
      </c>
      <c r="C1330" s="4" t="inlineStr">
        <is>
          <t>Deer B License: 005-00</t>
        </is>
      </c>
      <c r="D1330" s="15" t="inlineStr">
        <is>
          <t>Drawing</t>
        </is>
      </c>
      <c r="E1330" s="4" t="inlineStr">
        <is>
          <t>Antlerless White-tailed Deer</t>
        </is>
      </c>
      <c r="F1330" s="4" t="inlineStr">
        <is>
          <t>Sep 05-Oct 18</t>
        </is>
      </c>
      <c r="G1330" s="4" t="inlineStr">
        <is>
          <t>Oct 24-Nov 29</t>
        </is>
      </c>
      <c r="H1330" s="4" t="inlineStr">
        <is>
          <t>Dec 12-Dec 20</t>
        </is>
      </c>
      <c r="I1330" s="4" t="n"/>
      <c r="J1330" s="4" t="inlineStr">
        <is>
          <t>Jun 1</t>
        </is>
      </c>
      <c r="K1330" s="4" t="inlineStr">
        <is>
          <t>4,500</t>
        </is>
      </c>
      <c r="L1330" s="4" t="inlineStr">
        <is>
          <t>Valid in all R5 HDs.</t>
        </is>
      </c>
    </row>
    <row r="1331">
      <c r="A1331" s="4" t="inlineStr">
        <is>
          <t>575</t>
        </is>
      </c>
      <c r="B1331" s="4" t="inlineStr">
        <is>
          <t>whitetail</t>
        </is>
      </c>
      <c r="C1331" s="4" t="inlineStr">
        <is>
          <t>General Deer License</t>
        </is>
      </c>
      <c r="D1331" s="13" t="inlineStr">
        <is>
          <t>General license</t>
        </is>
      </c>
      <c r="E1331" s="4" t="inlineStr">
        <is>
          <t>Either-sex White-tailed Deer</t>
        </is>
      </c>
      <c r="F1331" s="4" t="inlineStr">
        <is>
          <t>Sep 05-Oct 18</t>
        </is>
      </c>
      <c r="G1331" s="4" t="inlineStr">
        <is>
          <t>Oct 24-Nov 29</t>
        </is>
      </c>
      <c r="H1331" s="4" t="inlineStr">
        <is>
          <t>Dec 12-Dec 20</t>
        </is>
      </c>
      <c r="I1331" s="4" t="n"/>
      <c r="J1331" s="4" t="n"/>
      <c r="K1331" s="4" t="n"/>
      <c r="L1331" s="4" t="n"/>
    </row>
    <row r="1332">
      <c r="A1332" s="4" t="inlineStr">
        <is>
          <t>575</t>
        </is>
      </c>
      <c r="B1332" s="4" t="inlineStr">
        <is>
          <t>whitetail</t>
        </is>
      </c>
      <c r="C1332" s="4" t="inlineStr">
        <is>
          <t>Deer B License: 005-00</t>
        </is>
      </c>
      <c r="D1332" s="15" t="inlineStr">
        <is>
          <t>Drawing</t>
        </is>
      </c>
      <c r="E1332" s="4" t="inlineStr">
        <is>
          <t>Antlerless White-tailed Deer</t>
        </is>
      </c>
      <c r="F1332" s="4" t="inlineStr">
        <is>
          <t>Sep 05-Oct 18</t>
        </is>
      </c>
      <c r="G1332" s="4" t="inlineStr">
        <is>
          <t>Oct 24-Nov 29</t>
        </is>
      </c>
      <c r="H1332" s="4" t="inlineStr">
        <is>
          <t>Dec 12-Dec 20</t>
        </is>
      </c>
      <c r="I1332" s="4" t="n"/>
      <c r="J1332" s="4" t="inlineStr">
        <is>
          <t>Jun 1</t>
        </is>
      </c>
      <c r="K1332" s="4" t="inlineStr">
        <is>
          <t>4,500</t>
        </is>
      </c>
      <c r="L1332" s="4" t="inlineStr">
        <is>
          <t>Valid in all R5 HDs.</t>
        </is>
      </c>
    </row>
    <row r="1333">
      <c r="A1333" s="4" t="inlineStr">
        <is>
          <t>580</t>
        </is>
      </c>
      <c r="B1333" s="4" t="inlineStr">
        <is>
          <t>whitetail</t>
        </is>
      </c>
      <c r="C1333" s="4" t="inlineStr">
        <is>
          <t>General Deer License</t>
        </is>
      </c>
      <c r="D1333" s="13" t="inlineStr">
        <is>
          <t>General license</t>
        </is>
      </c>
      <c r="E1333" s="4" t="inlineStr">
        <is>
          <t>Either-sex White-tailed Deer</t>
        </is>
      </c>
      <c r="F1333" s="4" t="inlineStr">
        <is>
          <t>Sep 05-Oct 18</t>
        </is>
      </c>
      <c r="G1333" s="4" t="inlineStr">
        <is>
          <t>Oct 24-Nov 29</t>
        </is>
      </c>
      <c r="H1333" s="4" t="inlineStr">
        <is>
          <t>Dec 12-Dec 20</t>
        </is>
      </c>
      <c r="I1333" s="4" t="n"/>
      <c r="J1333" s="4" t="n"/>
      <c r="K1333" s="4" t="n"/>
      <c r="L1333" s="4" t="n"/>
    </row>
    <row r="1334">
      <c r="A1334" s="4" t="inlineStr">
        <is>
          <t>580</t>
        </is>
      </c>
      <c r="B1334" s="4" t="inlineStr">
        <is>
          <t>whitetail</t>
        </is>
      </c>
      <c r="C1334" s="4" t="inlineStr">
        <is>
          <t>Deer B License: 005-00</t>
        </is>
      </c>
      <c r="D1334" s="15" t="inlineStr">
        <is>
          <t>Drawing</t>
        </is>
      </c>
      <c r="E1334" s="4" t="inlineStr">
        <is>
          <t>Antlerless White-tailed Deer</t>
        </is>
      </c>
      <c r="F1334" s="4" t="inlineStr">
        <is>
          <t>Sep 05-Oct 18</t>
        </is>
      </c>
      <c r="G1334" s="4" t="inlineStr">
        <is>
          <t>Oct 24-Nov 29</t>
        </is>
      </c>
      <c r="H1334" s="4" t="inlineStr">
        <is>
          <t>Dec 12-Dec 20</t>
        </is>
      </c>
      <c r="I1334" s="4" t="n"/>
      <c r="J1334" s="4" t="inlineStr">
        <is>
          <t>Jun 1</t>
        </is>
      </c>
      <c r="K1334" s="4" t="inlineStr">
        <is>
          <t>4,500</t>
        </is>
      </c>
      <c r="L1334" s="4" t="inlineStr">
        <is>
          <t>Valid in all R5 HDs.</t>
        </is>
      </c>
    </row>
    <row r="1335">
      <c r="A1335" s="4" t="inlineStr">
        <is>
          <t>590</t>
        </is>
      </c>
      <c r="B1335" s="4" t="inlineStr">
        <is>
          <t>whitetail</t>
        </is>
      </c>
      <c r="C1335" s="4" t="inlineStr">
        <is>
          <t>General Deer License</t>
        </is>
      </c>
      <c r="D1335" s="13" t="inlineStr">
        <is>
          <t>General license</t>
        </is>
      </c>
      <c r="E1335" s="4" t="inlineStr">
        <is>
          <t>Either-sex White-tailed Deer</t>
        </is>
      </c>
      <c r="F1335" s="4" t="inlineStr">
        <is>
          <t>Sep 05-Oct 18</t>
        </is>
      </c>
      <c r="G1335" s="4" t="inlineStr">
        <is>
          <t>Oct 24-Nov 29</t>
        </is>
      </c>
      <c r="H1335" s="4" t="inlineStr">
        <is>
          <t>Dec 12-Dec 20</t>
        </is>
      </c>
      <c r="I1335" s="4" t="n"/>
      <c r="J1335" s="4" t="n"/>
      <c r="K1335" s="4" t="n"/>
      <c r="L1335" s="4" t="n"/>
    </row>
    <row r="1336">
      <c r="A1336" s="4" t="inlineStr">
        <is>
          <t>590</t>
        </is>
      </c>
      <c r="B1336" s="4" t="inlineStr">
        <is>
          <t>whitetail</t>
        </is>
      </c>
      <c r="C1336" s="4" t="inlineStr">
        <is>
          <t>Deer B License: 005-00</t>
        </is>
      </c>
      <c r="D1336" s="15" t="inlineStr">
        <is>
          <t>Drawing</t>
        </is>
      </c>
      <c r="E1336" s="4" t="inlineStr">
        <is>
          <t>Antlerless White-tailed Deer</t>
        </is>
      </c>
      <c r="F1336" s="4" t="inlineStr">
        <is>
          <t>Sep 05-Oct 18</t>
        </is>
      </c>
      <c r="G1336" s="4" t="inlineStr">
        <is>
          <t>Oct 24-Nov 29</t>
        </is>
      </c>
      <c r="H1336" s="4" t="inlineStr">
        <is>
          <t>Dec 12-Dec 20</t>
        </is>
      </c>
      <c r="I1336" s="4" t="n"/>
      <c r="J1336" s="4" t="inlineStr">
        <is>
          <t>Jun 1</t>
        </is>
      </c>
      <c r="K1336" s="4" t="inlineStr">
        <is>
          <t>4,500</t>
        </is>
      </c>
      <c r="L1336" s="4" t="inlineStr">
        <is>
          <t>Valid in all R5 HDs.</t>
        </is>
      </c>
    </row>
    <row r="1337">
      <c r="A1337" s="4" t="inlineStr">
        <is>
          <t>600</t>
        </is>
      </c>
      <c r="B1337" s="4" t="inlineStr">
        <is>
          <t>whitetail</t>
        </is>
      </c>
      <c r="C1337" s="4" t="inlineStr">
        <is>
          <t>General Deer License</t>
        </is>
      </c>
      <c r="D1337" s="13" t="inlineStr">
        <is>
          <t>General license</t>
        </is>
      </c>
      <c r="E1337" s="4" t="inlineStr">
        <is>
          <t>Either-sex White-tailed Deer</t>
        </is>
      </c>
      <c r="F1337" s="4" t="inlineStr">
        <is>
          <t>Sep 05-Oct 18</t>
        </is>
      </c>
      <c r="G1337" s="4" t="inlineStr">
        <is>
          <t>Oct 24-Nov 29</t>
        </is>
      </c>
      <c r="H1337" s="4" t="inlineStr">
        <is>
          <t>Dec 12-Dec 20</t>
        </is>
      </c>
      <c r="I1337" s="4" t="n"/>
      <c r="J1337" s="4" t="n"/>
      <c r="K1337" s="4" t="n"/>
      <c r="L1337" s="4" t="n"/>
    </row>
    <row r="1338">
      <c r="A1338" s="4" t="inlineStr">
        <is>
          <t>600</t>
        </is>
      </c>
      <c r="B1338" s="4" t="inlineStr">
        <is>
          <t>whitetail</t>
        </is>
      </c>
      <c r="C1338" s="4" t="inlineStr">
        <is>
          <t>Deer B License: 006-00</t>
        </is>
      </c>
      <c r="D1338" s="15" t="inlineStr">
        <is>
          <t>Drawing</t>
        </is>
      </c>
      <c r="E1338" s="4" t="inlineStr">
        <is>
          <t>Antlerless White-tailed Deer</t>
        </is>
      </c>
      <c r="F1338" s="4" t="inlineStr">
        <is>
          <t>Sep 05-Oct 18</t>
        </is>
      </c>
      <c r="G1338" s="4" t="inlineStr">
        <is>
          <t>Oct 24-Nov 29</t>
        </is>
      </c>
      <c r="H1338" s="4" t="inlineStr">
        <is>
          <t>Dec 12-Dec 20</t>
        </is>
      </c>
      <c r="I1338" s="4" t="n"/>
      <c r="J1338" s="4" t="inlineStr">
        <is>
          <t>Jun 1</t>
        </is>
      </c>
      <c r="K1338" s="4" t="inlineStr">
        <is>
          <t>2,000</t>
        </is>
      </c>
      <c r="L1338" s="4" t="inlineStr">
        <is>
          <t>Up to two per hunter. Valid in all R6 HDs.</t>
        </is>
      </c>
    </row>
    <row r="1339">
      <c r="A1339" s="4" t="inlineStr">
        <is>
          <t>620</t>
        </is>
      </c>
      <c r="B1339" s="4" t="inlineStr">
        <is>
          <t>whitetail</t>
        </is>
      </c>
      <c r="C1339" s="4" t="inlineStr">
        <is>
          <t>General Deer License</t>
        </is>
      </c>
      <c r="D1339" s="13" t="inlineStr">
        <is>
          <t>General license</t>
        </is>
      </c>
      <c r="E1339" s="4" t="inlineStr">
        <is>
          <t>Either-sex White-tailed Deer</t>
        </is>
      </c>
      <c r="F1339" s="4" t="inlineStr">
        <is>
          <t>Sep 05-Oct 18</t>
        </is>
      </c>
      <c r="G1339" s="4" t="inlineStr">
        <is>
          <t>Oct 24-Nov 29</t>
        </is>
      </c>
      <c r="H1339" s="4" t="inlineStr">
        <is>
          <t>Dec 12-Dec 20</t>
        </is>
      </c>
      <c r="I1339" s="4" t="n"/>
      <c r="J1339" s="4" t="n"/>
      <c r="K1339" s="4" t="n"/>
      <c r="L1339" s="4" t="n"/>
    </row>
    <row r="1340">
      <c r="A1340" s="4" t="inlineStr">
        <is>
          <t>620</t>
        </is>
      </c>
      <c r="B1340" s="4" t="inlineStr">
        <is>
          <t>whitetail</t>
        </is>
      </c>
      <c r="C1340" s="4" t="inlineStr">
        <is>
          <t>Deer B License: 006-00</t>
        </is>
      </c>
      <c r="D1340" s="15" t="inlineStr">
        <is>
          <t>Drawing</t>
        </is>
      </c>
      <c r="E1340" s="4" t="inlineStr">
        <is>
          <t>Antlerless White-tailed Deer</t>
        </is>
      </c>
      <c r="F1340" s="4" t="inlineStr">
        <is>
          <t>Sep 05-Oct 18</t>
        </is>
      </c>
      <c r="G1340" s="4" t="inlineStr">
        <is>
          <t>Oct 24-Nov 29</t>
        </is>
      </c>
      <c r="H1340" s="4" t="inlineStr">
        <is>
          <t>Dec 12-Dec 20</t>
        </is>
      </c>
      <c r="I1340" s="4" t="n"/>
      <c r="J1340" s="4" t="inlineStr">
        <is>
          <t>Jun 1</t>
        </is>
      </c>
      <c r="K1340" s="4" t="inlineStr">
        <is>
          <t>2,000</t>
        </is>
      </c>
      <c r="L1340" s="4" t="inlineStr">
        <is>
          <t>Up to two per hunter. Valid in all R6 HDs.</t>
        </is>
      </c>
    </row>
    <row r="1341">
      <c r="A1341" s="4" t="inlineStr">
        <is>
          <t>621</t>
        </is>
      </c>
      <c r="B1341" s="4" t="inlineStr">
        <is>
          <t>whitetail</t>
        </is>
      </c>
      <c r="C1341" s="4" t="inlineStr">
        <is>
          <t>General Deer License</t>
        </is>
      </c>
      <c r="D1341" s="13" t="inlineStr">
        <is>
          <t>General license</t>
        </is>
      </c>
      <c r="E1341" s="4" t="inlineStr">
        <is>
          <t>Either-sex White-tailed Deer</t>
        </is>
      </c>
      <c r="F1341" s="4" t="inlineStr">
        <is>
          <t>Sep 05-Oct 18</t>
        </is>
      </c>
      <c r="G1341" s="4" t="inlineStr">
        <is>
          <t>Oct 24-Nov 29</t>
        </is>
      </c>
      <c r="H1341" s="4" t="inlineStr">
        <is>
          <t>Dec 12-Dec 20</t>
        </is>
      </c>
      <c r="I1341" s="4" t="n"/>
      <c r="J1341" s="4" t="n"/>
      <c r="K1341" s="4" t="n"/>
      <c r="L1341" s="4" t="n"/>
    </row>
    <row r="1342">
      <c r="A1342" s="4" t="inlineStr">
        <is>
          <t>621</t>
        </is>
      </c>
      <c r="B1342" s="4" t="inlineStr">
        <is>
          <t>whitetail</t>
        </is>
      </c>
      <c r="C1342" s="4" t="inlineStr">
        <is>
          <t>Deer B License: 006-00</t>
        </is>
      </c>
      <c r="D1342" s="15" t="inlineStr">
        <is>
          <t>Drawing</t>
        </is>
      </c>
      <c r="E1342" s="4" t="inlineStr">
        <is>
          <t>Antlerless White-tailed Deer</t>
        </is>
      </c>
      <c r="F1342" s="4" t="inlineStr">
        <is>
          <t>Sep 05-Oct 18</t>
        </is>
      </c>
      <c r="G1342" s="4" t="inlineStr">
        <is>
          <t>Oct 24-Nov 29</t>
        </is>
      </c>
      <c r="H1342" s="4" t="inlineStr">
        <is>
          <t>Dec 12-Dec 20</t>
        </is>
      </c>
      <c r="I1342" s="4" t="n"/>
      <c r="J1342" s="4" t="inlineStr">
        <is>
          <t>Jun 1</t>
        </is>
      </c>
      <c r="K1342" s="4" t="inlineStr">
        <is>
          <t>2,000</t>
        </is>
      </c>
      <c r="L1342" s="4" t="inlineStr">
        <is>
          <t>Up to two per hunter. Valid in all R6 HDs. ELK Hunting by Drawing Only</t>
        </is>
      </c>
    </row>
    <row r="1343">
      <c r="A1343" s="4" t="inlineStr">
        <is>
          <t>622</t>
        </is>
      </c>
      <c r="B1343" s="4" t="inlineStr">
        <is>
          <t>whitetail</t>
        </is>
      </c>
      <c r="C1343" s="4" t="inlineStr">
        <is>
          <t>General Deer License</t>
        </is>
      </c>
      <c r="D1343" s="13" t="inlineStr">
        <is>
          <t>General license</t>
        </is>
      </c>
      <c r="E1343" s="4" t="inlineStr">
        <is>
          <t>Either-sex White-tailed Deer</t>
        </is>
      </c>
      <c r="F1343" s="4" t="inlineStr">
        <is>
          <t>Sep 05-Oct 18</t>
        </is>
      </c>
      <c r="G1343" s="4" t="inlineStr">
        <is>
          <t>Oct 24-Nov 29</t>
        </is>
      </c>
      <c r="H1343" s="4" t="inlineStr">
        <is>
          <t>Dec 12-Dec 20</t>
        </is>
      </c>
      <c r="I1343" s="4" t="n"/>
      <c r="J1343" s="4" t="n"/>
      <c r="K1343" s="4" t="n"/>
      <c r="L1343" s="4" t="n"/>
    </row>
    <row r="1344">
      <c r="A1344" s="4" t="inlineStr">
        <is>
          <t>622</t>
        </is>
      </c>
      <c r="B1344" s="4" t="inlineStr">
        <is>
          <t>whitetail</t>
        </is>
      </c>
      <c r="C1344" s="4" t="inlineStr">
        <is>
          <t>Deer B License: 006-00</t>
        </is>
      </c>
      <c r="D1344" s="15" t="inlineStr">
        <is>
          <t>Drawing</t>
        </is>
      </c>
      <c r="E1344" s="4" t="inlineStr">
        <is>
          <t>Antlerless White-tailed Deer</t>
        </is>
      </c>
      <c r="F1344" s="4" t="inlineStr">
        <is>
          <t>Sep 05-Oct 18</t>
        </is>
      </c>
      <c r="G1344" s="4" t="inlineStr">
        <is>
          <t>Oct 24-Nov 29</t>
        </is>
      </c>
      <c r="H1344" s="4" t="inlineStr">
        <is>
          <t>Dec 12-Dec 20</t>
        </is>
      </c>
      <c r="I1344" s="4" t="n"/>
      <c r="J1344" s="4" t="inlineStr">
        <is>
          <t>Jun 1</t>
        </is>
      </c>
      <c r="K1344" s="4" t="inlineStr">
        <is>
          <t>2,000</t>
        </is>
      </c>
      <c r="L1344" s="4" t="inlineStr">
        <is>
          <t>Up to two per hunter. Valid in all R6 HDs. 115 LICENSE/PERMIT OPPORTUNITY APPL Y BY DATE QUOTA QUOTA RANGE EARL Y SEASON DATES ARCHERY ONL Y SEASON DATES GENERAL SEASON DATES HERITAGE MUZZLELOADER SEASON DATES LATE SEASON DATES OPPORTUNITY SPECIFIC DETAILS AND/ORRESTRICTIONS NOTE: HD 622 Check Restr</t>
        </is>
      </c>
    </row>
    <row r="1345">
      <c r="A1345" s="4" t="inlineStr">
        <is>
          <t>630</t>
        </is>
      </c>
      <c r="B1345" s="4" t="inlineStr">
        <is>
          <t>whitetail</t>
        </is>
      </c>
      <c r="C1345" s="4" t="inlineStr">
        <is>
          <t>General Deer License</t>
        </is>
      </c>
      <c r="D1345" s="13" t="inlineStr">
        <is>
          <t>General license</t>
        </is>
      </c>
      <c r="E1345" s="4" t="inlineStr">
        <is>
          <t>Either-sex White-tailed Deer</t>
        </is>
      </c>
      <c r="F1345" s="4" t="inlineStr">
        <is>
          <t>Sep 05-Oct 18</t>
        </is>
      </c>
      <c r="G1345" s="4" t="inlineStr">
        <is>
          <t>Oct 24-Nov 29</t>
        </is>
      </c>
      <c r="H1345" s="4" t="inlineStr">
        <is>
          <t>Dec 12-Dec 20</t>
        </is>
      </c>
      <c r="I1345" s="4" t="n"/>
      <c r="J1345" s="4" t="n"/>
      <c r="K1345" s="4" t="n"/>
      <c r="L1345" s="4" t="n"/>
    </row>
    <row r="1346">
      <c r="A1346" s="4" t="inlineStr">
        <is>
          <t>630</t>
        </is>
      </c>
      <c r="B1346" s="4" t="inlineStr">
        <is>
          <t>whitetail</t>
        </is>
      </c>
      <c r="C1346" s="4" t="inlineStr">
        <is>
          <t>Deer B License: 006-00</t>
        </is>
      </c>
      <c r="D1346" s="15" t="inlineStr">
        <is>
          <t>Drawing</t>
        </is>
      </c>
      <c r="E1346" s="4" t="inlineStr">
        <is>
          <t>Antlerless White-tailed Deer</t>
        </is>
      </c>
      <c r="F1346" s="4" t="inlineStr">
        <is>
          <t>Sep 05-Oct 18</t>
        </is>
      </c>
      <c r="G1346" s="4" t="inlineStr">
        <is>
          <t>Oct 24-Nov 29</t>
        </is>
      </c>
      <c r="H1346" s="4" t="inlineStr">
        <is>
          <t>Dec 12-Dec 20</t>
        </is>
      </c>
      <c r="I1346" s="4" t="n"/>
      <c r="J1346" s="4" t="inlineStr">
        <is>
          <t>Jun 1</t>
        </is>
      </c>
      <c r="K1346" s="4" t="inlineStr">
        <is>
          <t>2,000</t>
        </is>
      </c>
      <c r="L1346" s="4" t="inlineStr">
        <is>
          <t>Up to two per hunter. Valid in all R6 HDs.</t>
        </is>
      </c>
    </row>
    <row r="1347">
      <c r="A1347" s="4" t="inlineStr">
        <is>
          <t>640</t>
        </is>
      </c>
      <c r="B1347" s="4" t="inlineStr">
        <is>
          <t>whitetail</t>
        </is>
      </c>
      <c r="C1347" s="4" t="inlineStr">
        <is>
          <t>General Deer License</t>
        </is>
      </c>
      <c r="D1347" s="13" t="inlineStr">
        <is>
          <t>General license</t>
        </is>
      </c>
      <c r="E1347" s="4" t="inlineStr">
        <is>
          <t>Either-sex White-tailed Deer</t>
        </is>
      </c>
      <c r="F1347" s="4" t="inlineStr">
        <is>
          <t>Sep 05-Oct 18</t>
        </is>
      </c>
      <c r="G1347" s="4" t="inlineStr">
        <is>
          <t>Oct 24-Nov 29</t>
        </is>
      </c>
      <c r="H1347" s="4" t="inlineStr">
        <is>
          <t>Dec 12-Dec 20</t>
        </is>
      </c>
      <c r="I1347" s="4" t="n"/>
      <c r="J1347" s="4" t="n"/>
      <c r="K1347" s="4" t="n"/>
      <c r="L1347" s="4" t="n"/>
    </row>
    <row r="1348">
      <c r="A1348" s="4" t="inlineStr">
        <is>
          <t>640</t>
        </is>
      </c>
      <c r="B1348" s="4" t="inlineStr">
        <is>
          <t>whitetail</t>
        </is>
      </c>
      <c r="C1348" s="4" t="inlineStr">
        <is>
          <t>Deer B License: 006-00</t>
        </is>
      </c>
      <c r="D1348" s="15" t="inlineStr">
        <is>
          <t>Drawing</t>
        </is>
      </c>
      <c r="E1348" s="4" t="inlineStr">
        <is>
          <t>Antlerless White-tailed Deer</t>
        </is>
      </c>
      <c r="F1348" s="4" t="inlineStr">
        <is>
          <t>Sep 05-Oct 18</t>
        </is>
      </c>
      <c r="G1348" s="4" t="inlineStr">
        <is>
          <t>Oct 24-Nov 29</t>
        </is>
      </c>
      <c r="H1348" s="4" t="inlineStr">
        <is>
          <t>Dec 12-Dec 20</t>
        </is>
      </c>
      <c r="I1348" s="4" t="n"/>
      <c r="J1348" s="4" t="inlineStr">
        <is>
          <t>Jun 1</t>
        </is>
      </c>
      <c r="K1348" s="4" t="inlineStr">
        <is>
          <t>2,000</t>
        </is>
      </c>
      <c r="L1348" s="4" t="inlineStr">
        <is>
          <t>Up to two per hunter. Valid in all R6 HDs.</t>
        </is>
      </c>
    </row>
    <row r="1349">
      <c r="A1349" s="4" t="inlineStr">
        <is>
          <t>650</t>
        </is>
      </c>
      <c r="B1349" s="4" t="inlineStr">
        <is>
          <t>whitetail</t>
        </is>
      </c>
      <c r="C1349" s="4" t="inlineStr">
        <is>
          <t>General Deer License</t>
        </is>
      </c>
      <c r="D1349" s="13" t="inlineStr">
        <is>
          <t>General license</t>
        </is>
      </c>
      <c r="E1349" s="4" t="inlineStr">
        <is>
          <t>Either-sex White-tailed Deer</t>
        </is>
      </c>
      <c r="F1349" s="4" t="inlineStr">
        <is>
          <t>Sep 05-Oct 18</t>
        </is>
      </c>
      <c r="G1349" s="4" t="inlineStr">
        <is>
          <t>Oct 24-Nov 29</t>
        </is>
      </c>
      <c r="H1349" s="4" t="inlineStr">
        <is>
          <t>Dec 12-Dec 20</t>
        </is>
      </c>
      <c r="I1349" s="4" t="n"/>
      <c r="J1349" s="4" t="n"/>
      <c r="K1349" s="4" t="n"/>
      <c r="L1349" s="4" t="n"/>
    </row>
    <row r="1350">
      <c r="A1350" s="4" t="inlineStr">
        <is>
          <t>650</t>
        </is>
      </c>
      <c r="B1350" s="4" t="inlineStr">
        <is>
          <t>whitetail</t>
        </is>
      </c>
      <c r="C1350" s="4" t="inlineStr">
        <is>
          <t>Deer B License: 006-00</t>
        </is>
      </c>
      <c r="D1350" s="15" t="inlineStr">
        <is>
          <t>Drawing</t>
        </is>
      </c>
      <c r="E1350" s="4" t="inlineStr">
        <is>
          <t>Antlerless White-tailed Deer</t>
        </is>
      </c>
      <c r="F1350" s="4" t="inlineStr">
        <is>
          <t>Sep 05-Oct 18</t>
        </is>
      </c>
      <c r="G1350" s="4" t="inlineStr">
        <is>
          <t>Oct 24-Nov 29</t>
        </is>
      </c>
      <c r="H1350" s="4" t="inlineStr">
        <is>
          <t>Dec 12-Dec 20</t>
        </is>
      </c>
      <c r="I1350" s="4" t="n"/>
      <c r="J1350" s="4" t="inlineStr">
        <is>
          <t>Jun 1</t>
        </is>
      </c>
      <c r="K1350" s="4" t="inlineStr">
        <is>
          <t>2,000</t>
        </is>
      </c>
      <c r="L1350" s="4" t="inlineStr">
        <is>
          <t>Up to two per hunter. Valid in all R6 HDs.</t>
        </is>
      </c>
    </row>
    <row r="1351">
      <c r="A1351" s="4" t="inlineStr">
        <is>
          <t>652</t>
        </is>
      </c>
      <c r="B1351" s="4" t="inlineStr">
        <is>
          <t>whitetail</t>
        </is>
      </c>
      <c r="C1351" s="4" t="inlineStr">
        <is>
          <t>General Deer License</t>
        </is>
      </c>
      <c r="D1351" s="13" t="inlineStr">
        <is>
          <t>General license</t>
        </is>
      </c>
      <c r="E1351" s="4" t="inlineStr">
        <is>
          <t>Either-sex White-tailed Deer</t>
        </is>
      </c>
      <c r="F1351" s="4" t="inlineStr">
        <is>
          <t>Sep 05-Oct 18</t>
        </is>
      </c>
      <c r="G1351" s="4" t="inlineStr">
        <is>
          <t>Oct 24-Nov 29</t>
        </is>
      </c>
      <c r="H1351" s="4" t="inlineStr">
        <is>
          <t>Dec 12-Dec 20</t>
        </is>
      </c>
      <c r="I1351" s="4" t="n"/>
      <c r="J1351" s="4" t="n"/>
      <c r="K1351" s="4" t="n"/>
      <c r="L1351" s="4" t="n"/>
    </row>
    <row r="1352">
      <c r="A1352" s="4" t="inlineStr">
        <is>
          <t>652</t>
        </is>
      </c>
      <c r="B1352" s="4" t="inlineStr">
        <is>
          <t>whitetail</t>
        </is>
      </c>
      <c r="C1352" s="4" t="inlineStr">
        <is>
          <t>Deer B License: 006-00</t>
        </is>
      </c>
      <c r="D1352" s="15" t="inlineStr">
        <is>
          <t>Drawing</t>
        </is>
      </c>
      <c r="E1352" s="4" t="inlineStr">
        <is>
          <t>Antlerless White-tailed Deer</t>
        </is>
      </c>
      <c r="F1352" s="4" t="inlineStr">
        <is>
          <t>Sep 05-Oct 18</t>
        </is>
      </c>
      <c r="G1352" s="4" t="inlineStr">
        <is>
          <t>Oct 24-Nov 29</t>
        </is>
      </c>
      <c r="H1352" s="4" t="inlineStr">
        <is>
          <t>Dec 12-Dec 20</t>
        </is>
      </c>
      <c r="I1352" s="4" t="n"/>
      <c r="J1352" s="4" t="inlineStr">
        <is>
          <t>Jun 1</t>
        </is>
      </c>
      <c r="K1352" s="4" t="inlineStr">
        <is>
          <t>2,000</t>
        </is>
      </c>
      <c r="L1352" s="4" t="inlineStr">
        <is>
          <t>Up to two per hunter. Valid in all R6 HDs.</t>
        </is>
      </c>
    </row>
    <row r="1353">
      <c r="A1353" s="4" t="inlineStr">
        <is>
          <t>670</t>
        </is>
      </c>
      <c r="B1353" s="4" t="inlineStr">
        <is>
          <t>whitetail</t>
        </is>
      </c>
      <c r="C1353" s="4" t="inlineStr">
        <is>
          <t>General Deer License</t>
        </is>
      </c>
      <c r="D1353" s="13" t="inlineStr">
        <is>
          <t>General license</t>
        </is>
      </c>
      <c r="E1353" s="4" t="inlineStr">
        <is>
          <t>Either-sex White-tailed Deer</t>
        </is>
      </c>
      <c r="F1353" s="4" t="inlineStr">
        <is>
          <t>Sep 05-Oct 18</t>
        </is>
      </c>
      <c r="G1353" s="4" t="inlineStr">
        <is>
          <t>Oct 24-Nov 29</t>
        </is>
      </c>
      <c r="H1353" s="4" t="inlineStr">
        <is>
          <t>Dec 12-Dec 20</t>
        </is>
      </c>
      <c r="I1353" s="4" t="n"/>
      <c r="J1353" s="4" t="n"/>
      <c r="K1353" s="4" t="n"/>
      <c r="L1353" s="4" t="n"/>
    </row>
    <row r="1354">
      <c r="A1354" s="4" t="inlineStr">
        <is>
          <t>670</t>
        </is>
      </c>
      <c r="B1354" s="4" t="inlineStr">
        <is>
          <t>whitetail</t>
        </is>
      </c>
      <c r="C1354" s="4" t="inlineStr">
        <is>
          <t>Deer B License: 006-00</t>
        </is>
      </c>
      <c r="D1354" s="15" t="inlineStr">
        <is>
          <t>Drawing</t>
        </is>
      </c>
      <c r="E1354" s="4" t="inlineStr">
        <is>
          <t>Antlerless White-tailed Deer</t>
        </is>
      </c>
      <c r="F1354" s="4" t="inlineStr">
        <is>
          <t>Sep 05-Oct 18</t>
        </is>
      </c>
      <c r="G1354" s="4" t="inlineStr">
        <is>
          <t>Oct 24-Nov 29</t>
        </is>
      </c>
      <c r="H1354" s="4" t="inlineStr">
        <is>
          <t>Dec 12-Dec 20</t>
        </is>
      </c>
      <c r="I1354" s="4" t="n"/>
      <c r="J1354" s="4" t="inlineStr">
        <is>
          <t>Jun 1</t>
        </is>
      </c>
      <c r="K1354" s="4" t="inlineStr">
        <is>
          <t>2,000</t>
        </is>
      </c>
      <c r="L1354" s="4" t="inlineStr">
        <is>
          <t>Up to two per hunter. Valid in all R6 HDs.</t>
        </is>
      </c>
    </row>
    <row r="1355">
      <c r="A1355" s="4" t="inlineStr">
        <is>
          <t>690</t>
        </is>
      </c>
      <c r="B1355" s="4" t="inlineStr">
        <is>
          <t>whitetail</t>
        </is>
      </c>
      <c r="C1355" s="4" t="inlineStr">
        <is>
          <t>General Deer License</t>
        </is>
      </c>
      <c r="D1355" s="13" t="inlineStr">
        <is>
          <t>General license</t>
        </is>
      </c>
      <c r="E1355" s="4" t="inlineStr">
        <is>
          <t>Either-sex White-tailed Deer</t>
        </is>
      </c>
      <c r="F1355" s="4" t="inlineStr">
        <is>
          <t>Sep 05-Oct 18</t>
        </is>
      </c>
      <c r="G1355" s="4" t="inlineStr">
        <is>
          <t>Oct 24-Nov 29</t>
        </is>
      </c>
      <c r="H1355" s="4" t="inlineStr">
        <is>
          <t>Dec 12-Dec 20</t>
        </is>
      </c>
      <c r="I1355" s="4" t="n"/>
      <c r="J1355" s="4" t="n"/>
      <c r="K1355" s="4" t="n"/>
      <c r="L1355" s="4" t="n"/>
    </row>
    <row r="1356">
      <c r="A1356" s="4" t="inlineStr">
        <is>
          <t>690</t>
        </is>
      </c>
      <c r="B1356" s="4" t="inlineStr">
        <is>
          <t>whitetail</t>
        </is>
      </c>
      <c r="C1356" s="4" t="inlineStr">
        <is>
          <t>Deer B License: 006-00</t>
        </is>
      </c>
      <c r="D1356" s="15" t="inlineStr">
        <is>
          <t>Drawing</t>
        </is>
      </c>
      <c r="E1356" s="4" t="inlineStr">
        <is>
          <t>Antlerless White-tailed Deer</t>
        </is>
      </c>
      <c r="F1356" s="4" t="inlineStr">
        <is>
          <t>Sep 05-Oct 18</t>
        </is>
      </c>
      <c r="G1356" s="4" t="inlineStr">
        <is>
          <t>Oct 24-Nov 29</t>
        </is>
      </c>
      <c r="H1356" s="4" t="inlineStr">
        <is>
          <t>Dec 12-Dec 20</t>
        </is>
      </c>
      <c r="I1356" s="4" t="n"/>
      <c r="J1356" s="4" t="inlineStr">
        <is>
          <t>Jun 1</t>
        </is>
      </c>
      <c r="K1356" s="4" t="inlineStr">
        <is>
          <t>2,000</t>
        </is>
      </c>
      <c r="L1356" s="4" t="inlineStr">
        <is>
          <t>Up to two per hunter. Valid in all R6 HDs.</t>
        </is>
      </c>
    </row>
    <row r="1357">
      <c r="A1357" s="4" t="inlineStr">
        <is>
          <t>700</t>
        </is>
      </c>
      <c r="B1357" s="4" t="inlineStr">
        <is>
          <t>whitetail</t>
        </is>
      </c>
      <c r="C1357" s="4" t="inlineStr">
        <is>
          <t>General Deer License</t>
        </is>
      </c>
      <c r="D1357" s="13" t="inlineStr">
        <is>
          <t>General license</t>
        </is>
      </c>
      <c r="E1357" s="4" t="inlineStr">
        <is>
          <t>Either-sex White-tailed Deer</t>
        </is>
      </c>
      <c r="F1357" s="4" t="inlineStr">
        <is>
          <t>Sep 05-Oct 18</t>
        </is>
      </c>
      <c r="G1357" s="4" t="inlineStr">
        <is>
          <t>Oct 24-Nov 29</t>
        </is>
      </c>
      <c r="H1357" s="4" t="inlineStr">
        <is>
          <t>Dec 12-Dec 20</t>
        </is>
      </c>
      <c r="I1357" s="4" t="n"/>
      <c r="J1357" s="4" t="n"/>
      <c r="K1357" s="4" t="n"/>
      <c r="L1357" s="4" t="n"/>
    </row>
    <row r="1358">
      <c r="A1358" s="4" t="inlineStr">
        <is>
          <t>700</t>
        </is>
      </c>
      <c r="B1358" s="4" t="inlineStr">
        <is>
          <t>whitetail</t>
        </is>
      </c>
      <c r="C1358" s="4" t="inlineStr">
        <is>
          <t>Deer B License: 007-00</t>
        </is>
      </c>
      <c r="D1358" s="15" t="inlineStr">
        <is>
          <t>Drawing</t>
        </is>
      </c>
      <c r="E1358" s="4" t="inlineStr">
        <is>
          <t>Antlerless White-tailed Deer</t>
        </is>
      </c>
      <c r="F1358" s="4" t="inlineStr">
        <is>
          <t>Sep 05-Oct 18</t>
        </is>
      </c>
      <c r="G1358" s="4" t="inlineStr">
        <is>
          <t>Oct 24-Nov 29</t>
        </is>
      </c>
      <c r="H1358" s="4" t="inlineStr">
        <is>
          <t>Dec 12-Dec 20</t>
        </is>
      </c>
      <c r="I1358" s="4" t="n"/>
      <c r="J1358" s="4" t="inlineStr">
        <is>
          <t>Jun 1</t>
        </is>
      </c>
      <c r="K1358" s="4" t="inlineStr">
        <is>
          <t>6,000</t>
        </is>
      </c>
      <c r="L1358" s="4" t="inlineStr">
        <is>
          <t>Valid in all Region 7 HDs.</t>
        </is>
      </c>
    </row>
    <row r="1359">
      <c r="A1359" s="4" t="inlineStr">
        <is>
          <t>701</t>
        </is>
      </c>
      <c r="B1359" s="4" t="inlineStr">
        <is>
          <t>whitetail</t>
        </is>
      </c>
      <c r="C1359" s="4" t="inlineStr">
        <is>
          <t>General Deer License</t>
        </is>
      </c>
      <c r="D1359" s="13" t="inlineStr">
        <is>
          <t>General license</t>
        </is>
      </c>
      <c r="E1359" s="4" t="inlineStr">
        <is>
          <t>Either-sex White-tailed Deer</t>
        </is>
      </c>
      <c r="F1359" s="4" t="inlineStr">
        <is>
          <t>Sep 05-Oct 18</t>
        </is>
      </c>
      <c r="G1359" s="4" t="inlineStr">
        <is>
          <t>Oct 24-Nov 29</t>
        </is>
      </c>
      <c r="H1359" s="4" t="inlineStr">
        <is>
          <t>Dec 12-Dec 20</t>
        </is>
      </c>
      <c r="I1359" s="4" t="n"/>
      <c r="J1359" s="4" t="n"/>
      <c r="K1359" s="4" t="n"/>
      <c r="L1359" s="4" t="n"/>
    </row>
    <row r="1360">
      <c r="A1360" s="4" t="inlineStr">
        <is>
          <t>701</t>
        </is>
      </c>
      <c r="B1360" s="4" t="inlineStr">
        <is>
          <t>whitetail</t>
        </is>
      </c>
      <c r="C1360" s="4" t="inlineStr">
        <is>
          <t>Deer B License: 007-00</t>
        </is>
      </c>
      <c r="D1360" s="15" t="inlineStr">
        <is>
          <t>Drawing</t>
        </is>
      </c>
      <c r="E1360" s="4" t="inlineStr">
        <is>
          <t>Antlerless White-tailed Deer</t>
        </is>
      </c>
      <c r="F1360" s="4" t="inlineStr">
        <is>
          <t>Sep 05-Oct 18</t>
        </is>
      </c>
      <c r="G1360" s="4" t="inlineStr">
        <is>
          <t>Oct 24-Nov 29</t>
        </is>
      </c>
      <c r="H1360" s="4" t="inlineStr">
        <is>
          <t>Dec 12-Dec 20</t>
        </is>
      </c>
      <c r="I1360" s="4" t="n"/>
      <c r="J1360" s="4" t="inlineStr">
        <is>
          <t>Jun 1</t>
        </is>
      </c>
      <c r="K1360" s="4" t="inlineStr">
        <is>
          <t>6,000</t>
        </is>
      </c>
      <c r="L1360" s="4" t="inlineStr">
        <is>
          <t>Valid in all Region 7 HDs.</t>
        </is>
      </c>
    </row>
    <row r="1361">
      <c r="A1361" s="4" t="inlineStr">
        <is>
          <t>702</t>
        </is>
      </c>
      <c r="B1361" s="4" t="inlineStr">
        <is>
          <t>whitetail</t>
        </is>
      </c>
      <c r="C1361" s="4" t="inlineStr">
        <is>
          <t>General Deer License</t>
        </is>
      </c>
      <c r="D1361" s="13" t="inlineStr">
        <is>
          <t>General license</t>
        </is>
      </c>
      <c r="E1361" s="4" t="inlineStr">
        <is>
          <t>Either-sex White-tailed Deer</t>
        </is>
      </c>
      <c r="F1361" s="4" t="inlineStr">
        <is>
          <t>Sep 05-Oct 18</t>
        </is>
      </c>
      <c r="G1361" s="4" t="inlineStr">
        <is>
          <t>Oct 24-Nov 29</t>
        </is>
      </c>
      <c r="H1361" s="4" t="inlineStr">
        <is>
          <t>Dec 12-Dec 20</t>
        </is>
      </c>
      <c r="I1361" s="4" t="n"/>
      <c r="J1361" s="4" t="n"/>
      <c r="K1361" s="4" t="n"/>
      <c r="L1361" s="4" t="n"/>
    </row>
    <row r="1362">
      <c r="A1362" s="4" t="inlineStr">
        <is>
          <t>702</t>
        </is>
      </c>
      <c r="B1362" s="4" t="inlineStr">
        <is>
          <t>whitetail</t>
        </is>
      </c>
      <c r="C1362" s="4" t="inlineStr">
        <is>
          <t>Deer B License: 007-00</t>
        </is>
      </c>
      <c r="D1362" s="15" t="inlineStr">
        <is>
          <t>Drawing</t>
        </is>
      </c>
      <c r="E1362" s="4" t="inlineStr">
        <is>
          <t>Antlerless White-tailed Deer</t>
        </is>
      </c>
      <c r="F1362" s="4" t="inlineStr">
        <is>
          <t>Sep 05-Oct 18</t>
        </is>
      </c>
      <c r="G1362" s="4" t="inlineStr">
        <is>
          <t>Oct 24-Nov 29</t>
        </is>
      </c>
      <c r="H1362" s="4" t="inlineStr">
        <is>
          <t>Dec 12-Dec 20</t>
        </is>
      </c>
      <c r="I1362" s="4" t="n"/>
      <c r="J1362" s="4" t="inlineStr">
        <is>
          <t>Jun 1</t>
        </is>
      </c>
      <c r="K1362" s="4" t="inlineStr">
        <is>
          <t>6,000</t>
        </is>
      </c>
      <c r="L1362" s="4" t="inlineStr">
        <is>
          <t>Valid in all Region 7 HDs.</t>
        </is>
      </c>
    </row>
    <row r="1363">
      <c r="A1363" s="4" t="inlineStr">
        <is>
          <t>703</t>
        </is>
      </c>
      <c r="B1363" s="4" t="inlineStr">
        <is>
          <t>whitetail</t>
        </is>
      </c>
      <c r="C1363" s="4" t="inlineStr">
        <is>
          <t>General Deer License</t>
        </is>
      </c>
      <c r="D1363" s="13" t="inlineStr">
        <is>
          <t>General license</t>
        </is>
      </c>
      <c r="E1363" s="4" t="inlineStr">
        <is>
          <t>Either-sex White-tailed Deer</t>
        </is>
      </c>
      <c r="F1363" s="4" t="inlineStr">
        <is>
          <t>Sep 05-Oct 18</t>
        </is>
      </c>
      <c r="G1363" s="4" t="inlineStr">
        <is>
          <t>Oct 24-Nov 29</t>
        </is>
      </c>
      <c r="H1363" s="4" t="inlineStr">
        <is>
          <t>Dec 12-Dec 20</t>
        </is>
      </c>
      <c r="I1363" s="4" t="n"/>
      <c r="J1363" s="4" t="n"/>
      <c r="K1363" s="4" t="n"/>
      <c r="L1363" s="4" t="n"/>
    </row>
    <row r="1364">
      <c r="A1364" s="4" t="inlineStr">
        <is>
          <t>703</t>
        </is>
      </c>
      <c r="B1364" s="4" t="inlineStr">
        <is>
          <t>whitetail</t>
        </is>
      </c>
      <c r="C1364" s="4" t="inlineStr">
        <is>
          <t>Deer B License: 007-00</t>
        </is>
      </c>
      <c r="D1364" s="15" t="inlineStr">
        <is>
          <t>Drawing</t>
        </is>
      </c>
      <c r="E1364" s="4" t="inlineStr">
        <is>
          <t>Antlerless White-tailed Deer</t>
        </is>
      </c>
      <c r="F1364" s="4" t="inlineStr">
        <is>
          <t>Sep 05-Oct 18</t>
        </is>
      </c>
      <c r="G1364" s="4" t="inlineStr">
        <is>
          <t>Oct 24-Nov 29</t>
        </is>
      </c>
      <c r="H1364" s="4" t="inlineStr">
        <is>
          <t>Dec 12-Dec 20</t>
        </is>
      </c>
      <c r="I1364" s="4" t="n"/>
      <c r="J1364" s="4" t="inlineStr">
        <is>
          <t>Jun 1</t>
        </is>
      </c>
      <c r="K1364" s="4" t="inlineStr">
        <is>
          <t>6,000</t>
        </is>
      </c>
      <c r="L1364" s="4" t="inlineStr">
        <is>
          <t>Valid in all Region 7 HDs.</t>
        </is>
      </c>
    </row>
    <row r="1365">
      <c r="A1365" s="4" t="inlineStr">
        <is>
          <t>704</t>
        </is>
      </c>
      <c r="B1365" s="4" t="inlineStr">
        <is>
          <t>whitetail</t>
        </is>
      </c>
      <c r="C1365" s="4" t="inlineStr">
        <is>
          <t>General Deer License</t>
        </is>
      </c>
      <c r="D1365" s="13" t="inlineStr">
        <is>
          <t>General license</t>
        </is>
      </c>
      <c r="E1365" s="4" t="inlineStr">
        <is>
          <t>Either-sex White-tailed Deer</t>
        </is>
      </c>
      <c r="F1365" s="4" t="inlineStr">
        <is>
          <t>Sep 05-Oct 18</t>
        </is>
      </c>
      <c r="G1365" s="4" t="inlineStr">
        <is>
          <t>Oct 24-Nov 29</t>
        </is>
      </c>
      <c r="H1365" s="4" t="inlineStr">
        <is>
          <t>Dec 12-Dec 20</t>
        </is>
      </c>
      <c r="I1365" s="4" t="n"/>
      <c r="J1365" s="4" t="n"/>
      <c r="K1365" s="4" t="n"/>
      <c r="L1365" s="4" t="n"/>
    </row>
    <row r="1366">
      <c r="A1366" s="4" t="inlineStr">
        <is>
          <t>704</t>
        </is>
      </c>
      <c r="B1366" s="4" t="inlineStr">
        <is>
          <t>whitetail</t>
        </is>
      </c>
      <c r="C1366" s="4" t="inlineStr">
        <is>
          <t>Deer B License: 007-00</t>
        </is>
      </c>
      <c r="D1366" s="15" t="inlineStr">
        <is>
          <t>Drawing</t>
        </is>
      </c>
      <c r="E1366" s="4" t="inlineStr">
        <is>
          <t>Antlerless White-tailed Deer</t>
        </is>
      </c>
      <c r="F1366" s="4" t="inlineStr">
        <is>
          <t>Sep 05-Oct 18</t>
        </is>
      </c>
      <c r="G1366" s="4" t="inlineStr">
        <is>
          <t>Oct 24-Nov 29</t>
        </is>
      </c>
      <c r="H1366" s="4" t="inlineStr">
        <is>
          <t>Dec 12-Dec 20</t>
        </is>
      </c>
      <c r="I1366" s="4" t="n"/>
      <c r="J1366" s="4" t="inlineStr">
        <is>
          <t>Jun 1</t>
        </is>
      </c>
      <c r="K1366" s="4" t="inlineStr">
        <is>
          <t>6,000</t>
        </is>
      </c>
      <c r="L1366" s="4" t="inlineStr">
        <is>
          <t>Valid in all Region 7 HDs.</t>
        </is>
      </c>
    </row>
    <row r="1367">
      <c r="A1367" s="4" t="inlineStr">
        <is>
          <t>705</t>
        </is>
      </c>
      <c r="B1367" s="4" t="inlineStr">
        <is>
          <t>whitetail</t>
        </is>
      </c>
      <c r="C1367" s="4" t="inlineStr">
        <is>
          <t>General Deer License</t>
        </is>
      </c>
      <c r="D1367" s="13" t="inlineStr">
        <is>
          <t>General license</t>
        </is>
      </c>
      <c r="E1367" s="4" t="inlineStr">
        <is>
          <t>Either-sex White-tailed Deer</t>
        </is>
      </c>
      <c r="F1367" s="4" t="inlineStr">
        <is>
          <t>Sep 05-Oct 18</t>
        </is>
      </c>
      <c r="G1367" s="4" t="inlineStr">
        <is>
          <t>Oct 24-Nov 29</t>
        </is>
      </c>
      <c r="H1367" s="4" t="inlineStr">
        <is>
          <t>Dec 12-Dec 20</t>
        </is>
      </c>
      <c r="I1367" s="4" t="n"/>
      <c r="J1367" s="4" t="n"/>
      <c r="K1367" s="4" t="n"/>
      <c r="L1367" s="4" t="n"/>
    </row>
    <row r="1368">
      <c r="A1368" s="4" t="inlineStr">
        <is>
          <t>705</t>
        </is>
      </c>
      <c r="B1368" s="4" t="inlineStr">
        <is>
          <t>whitetail</t>
        </is>
      </c>
      <c r="C1368" s="4" t="inlineStr">
        <is>
          <t>Deer B License: 007-00</t>
        </is>
      </c>
      <c r="D1368" s="15" t="inlineStr">
        <is>
          <t>Drawing</t>
        </is>
      </c>
      <c r="E1368" s="4" t="inlineStr">
        <is>
          <t>Antlerless White-tailed Deer</t>
        </is>
      </c>
      <c r="F1368" s="4" t="inlineStr">
        <is>
          <t>Sep 05-Oct 18</t>
        </is>
      </c>
      <c r="G1368" s="4" t="inlineStr">
        <is>
          <t>Oct 24-Nov 29</t>
        </is>
      </c>
      <c r="H1368" s="4" t="inlineStr">
        <is>
          <t>Dec 12-Dec 20</t>
        </is>
      </c>
      <c r="I1368" s="4" t="n"/>
      <c r="J1368" s="4" t="inlineStr">
        <is>
          <t>Jun 1</t>
        </is>
      </c>
      <c r="K1368" s="4" t="inlineStr">
        <is>
          <t>6,000</t>
        </is>
      </c>
      <c r="L1368" s="4" t="inlineStr">
        <is>
          <t>Valid in all Region 7 HDs.</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6" customWidth="1" min="1" max="1"/>
    <col width="10" customWidth="1" min="2" max="2"/>
    <col width="12" customWidth="1" min="3" max="3"/>
    <col width="15" customWidth="1" min="4" max="4"/>
    <col width="15" customWidth="1" min="5" max="5"/>
    <col width="13" customWidth="1" min="6" max="6"/>
    <col width="12" customWidth="1" min="7" max="7"/>
  </cols>
  <sheetData>
    <row r="1">
      <c r="A1" s="1" t="inlineStr">
        <is>
          <t>Black bear harvest 2026, season so far</t>
        </is>
      </c>
    </row>
    <row r="2">
      <c r="A2" s="2" t="inlineStr">
        <is>
          <t>From FWP's quota status page, updated Oct 22, 2026 11:14 AM. FWP doesn't publish multi-year bear harvest by district.</t>
        </is>
      </c>
    </row>
    <row r="4">
      <c r="A4" s="3" t="inlineStr">
        <is>
          <t>BMU</t>
        </is>
      </c>
      <c r="B4" s="3" t="inlineStr">
        <is>
          <t>Status</t>
        </is>
      </c>
      <c r="C4" s="3" t="inlineStr">
        <is>
          <t>Closed on</t>
        </is>
      </c>
      <c r="D4" s="3" t="inlineStr">
        <is>
          <t>Bears reported</t>
        </is>
      </c>
      <c r="E4" s="3" t="inlineStr">
        <is>
          <t>Female harvest</t>
        </is>
      </c>
      <c r="F4" s="3" t="inlineStr">
        <is>
          <t>Female quota</t>
        </is>
      </c>
      <c r="G4" s="3" t="inlineStr">
        <is>
          <t>Total quota</t>
        </is>
      </c>
    </row>
    <row r="5">
      <c r="A5" s="4" t="inlineStr">
        <is>
          <t>100</t>
        </is>
      </c>
      <c r="B5" s="13" t="inlineStr">
        <is>
          <t>OPEN</t>
        </is>
      </c>
      <c r="C5" s="4" t="n"/>
      <c r="D5" s="4" t="n">
        <v>17</v>
      </c>
      <c r="E5" s="4" t="n"/>
      <c r="F5" s="4" t="n"/>
      <c r="G5" s="4" t="n"/>
    </row>
    <row r="6">
      <c r="A6" s="4" t="inlineStr">
        <is>
          <t>101</t>
        </is>
      </c>
      <c r="B6" s="13" t="inlineStr">
        <is>
          <t>OPEN</t>
        </is>
      </c>
      <c r="C6" s="4" t="n"/>
      <c r="D6" s="4" t="n">
        <v>9</v>
      </c>
      <c r="E6" s="4" t="n"/>
      <c r="F6" s="4" t="n"/>
      <c r="G6" s="4" t="n"/>
    </row>
    <row r="7">
      <c r="A7" s="4" t="inlineStr">
        <is>
          <t>103</t>
        </is>
      </c>
      <c r="B7" s="13" t="inlineStr">
        <is>
          <t>OPEN</t>
        </is>
      </c>
      <c r="C7" s="4" t="n"/>
      <c r="D7" s="4" t="n">
        <v>22</v>
      </c>
      <c r="E7" s="4" t="n"/>
      <c r="F7" s="4" t="n"/>
      <c r="G7" s="4" t="n"/>
    </row>
    <row r="8">
      <c r="A8" s="4" t="inlineStr">
        <is>
          <t>104</t>
        </is>
      </c>
      <c r="B8" s="13" t="inlineStr">
        <is>
          <t>OPEN</t>
        </is>
      </c>
      <c r="C8" s="4" t="n"/>
      <c r="D8" s="4" t="n">
        <v>15</v>
      </c>
      <c r="E8" s="4" t="n"/>
      <c r="F8" s="4" t="n"/>
      <c r="G8" s="4" t="n"/>
    </row>
    <row r="9">
      <c r="A9" s="4" t="inlineStr">
        <is>
          <t>110</t>
        </is>
      </c>
      <c r="B9" s="13" t="inlineStr">
        <is>
          <t>OPEN</t>
        </is>
      </c>
      <c r="C9" s="4" t="n"/>
      <c r="D9" s="4" t="n">
        <v>4</v>
      </c>
      <c r="E9" s="4" t="n"/>
      <c r="F9" s="4" t="n"/>
      <c r="G9" s="4" t="n"/>
    </row>
    <row r="10">
      <c r="A10" s="4" t="inlineStr">
        <is>
          <t>120</t>
        </is>
      </c>
      <c r="B10" s="13" t="inlineStr">
        <is>
          <t>OPEN</t>
        </is>
      </c>
      <c r="C10" s="4" t="n"/>
      <c r="D10" s="4" t="n">
        <v>17</v>
      </c>
      <c r="E10" s="4" t="n"/>
      <c r="F10" s="4" t="n"/>
      <c r="G10" s="4" t="n"/>
    </row>
    <row r="11">
      <c r="A11" s="4" t="inlineStr">
        <is>
          <t>121</t>
        </is>
      </c>
      <c r="B11" s="13" t="inlineStr">
        <is>
          <t>OPEN</t>
        </is>
      </c>
      <c r="C11" s="4" t="n"/>
      <c r="D11" s="4" t="n">
        <v>25</v>
      </c>
      <c r="E11" s="4" t="n"/>
      <c r="F11" s="4" t="n"/>
      <c r="G11" s="4" t="n"/>
    </row>
    <row r="12">
      <c r="A12" s="4" t="inlineStr">
        <is>
          <t>122</t>
        </is>
      </c>
      <c r="B12" s="13" t="inlineStr">
        <is>
          <t>OPEN</t>
        </is>
      </c>
      <c r="C12" s="4" t="n"/>
      <c r="D12" s="4" t="n">
        <v>27</v>
      </c>
      <c r="E12" s="4" t="n"/>
      <c r="F12" s="4" t="n"/>
      <c r="G12" s="4" t="n"/>
    </row>
    <row r="13">
      <c r="A13" s="4" t="inlineStr">
        <is>
          <t>123</t>
        </is>
      </c>
      <c r="B13" s="13" t="inlineStr">
        <is>
          <t>OPEN</t>
        </is>
      </c>
      <c r="C13" s="4" t="n"/>
      <c r="D13" s="4" t="n">
        <v>12</v>
      </c>
      <c r="E13" s="4" t="n"/>
      <c r="F13" s="4" t="n"/>
      <c r="G13" s="4" t="n"/>
    </row>
    <row r="14">
      <c r="A14" s="4" t="inlineStr">
        <is>
          <t>130</t>
        </is>
      </c>
      <c r="B14" s="13" t="inlineStr">
        <is>
          <t>OPEN</t>
        </is>
      </c>
      <c r="C14" s="4" t="n"/>
      <c r="D14" s="4" t="n">
        <v>12</v>
      </c>
      <c r="E14" s="4" t="n"/>
      <c r="F14" s="4" t="n"/>
      <c r="G14" s="4" t="n"/>
    </row>
    <row r="15">
      <c r="A15" s="4" t="inlineStr">
        <is>
          <t>140</t>
        </is>
      </c>
      <c r="B15" s="13" t="inlineStr">
        <is>
          <t>OPEN</t>
        </is>
      </c>
      <c r="C15" s="4" t="n"/>
      <c r="D15" s="4" t="n">
        <v>6</v>
      </c>
      <c r="E15" s="4" t="n"/>
      <c r="F15" s="4" t="n"/>
      <c r="G15" s="4" t="n"/>
    </row>
    <row r="16">
      <c r="A16" s="4" t="inlineStr">
        <is>
          <t>141</t>
        </is>
      </c>
      <c r="B16" s="13" t="inlineStr">
        <is>
          <t>OPEN</t>
        </is>
      </c>
      <c r="C16" s="4" t="n"/>
      <c r="D16" s="4" t="n">
        <v>4</v>
      </c>
      <c r="E16" s="4" t="n"/>
      <c r="F16" s="4" t="n"/>
      <c r="G16" s="4" t="n"/>
    </row>
    <row r="17">
      <c r="A17" s="4" t="inlineStr">
        <is>
          <t>150</t>
        </is>
      </c>
      <c r="B17" s="13" t="inlineStr">
        <is>
          <t>OPEN</t>
        </is>
      </c>
      <c r="C17" s="4" t="n"/>
      <c r="D17" s="4" t="n">
        <v>3</v>
      </c>
      <c r="E17" s="4" t="n"/>
      <c r="F17" s="4" t="n"/>
      <c r="G17" s="4" t="n"/>
    </row>
    <row r="18">
      <c r="A18" s="4" t="inlineStr">
        <is>
          <t>170</t>
        </is>
      </c>
      <c r="B18" s="13" t="inlineStr">
        <is>
          <t>OPEN</t>
        </is>
      </c>
      <c r="C18" s="4" t="n"/>
      <c r="D18" s="4" t="n">
        <v>14</v>
      </c>
      <c r="E18" s="4" t="n"/>
      <c r="F18" s="4" t="n"/>
      <c r="G18" s="4" t="n"/>
    </row>
    <row r="19">
      <c r="A19" s="4" t="inlineStr">
        <is>
          <t>200</t>
        </is>
      </c>
      <c r="B19" s="13" t="inlineStr">
        <is>
          <t>OPEN</t>
        </is>
      </c>
      <c r="C19" s="4" t="n"/>
      <c r="D19" s="4" t="n">
        <v>29</v>
      </c>
      <c r="E19" s="4" t="n"/>
      <c r="F19" s="4" t="n"/>
      <c r="G19" s="4" t="n"/>
    </row>
    <row r="20">
      <c r="A20" s="4" t="inlineStr">
        <is>
          <t>216</t>
        </is>
      </c>
      <c r="B20" s="13" t="inlineStr">
        <is>
          <t>OPEN</t>
        </is>
      </c>
      <c r="C20" s="4" t="n"/>
      <c r="D20" s="4" t="n">
        <v>29</v>
      </c>
      <c r="E20" s="4" t="n"/>
      <c r="F20" s="4" t="n"/>
      <c r="G20" s="4" t="n"/>
    </row>
    <row r="21">
      <c r="A21" s="4" t="inlineStr">
        <is>
          <t>240</t>
        </is>
      </c>
      <c r="B21" s="13" t="inlineStr">
        <is>
          <t>OPEN</t>
        </is>
      </c>
      <c r="C21" s="4" t="n"/>
      <c r="D21" s="4" t="n">
        <v>9</v>
      </c>
      <c r="E21" s="4" t="n"/>
      <c r="F21" s="4" t="n"/>
      <c r="G21" s="4" t="n"/>
    </row>
    <row r="22">
      <c r="A22" s="4" t="inlineStr">
        <is>
          <t>280</t>
        </is>
      </c>
      <c r="B22" s="13" t="inlineStr">
        <is>
          <t>OPEN</t>
        </is>
      </c>
      <c r="C22" s="4" t="n"/>
      <c r="D22" s="4" t="n">
        <v>12</v>
      </c>
      <c r="E22" s="4" t="n"/>
      <c r="F22" s="4" t="n"/>
      <c r="G22" s="4" t="n"/>
    </row>
    <row r="23">
      <c r="A23" s="4" t="inlineStr">
        <is>
          <t>290</t>
        </is>
      </c>
      <c r="B23" s="13" t="inlineStr">
        <is>
          <t>OPEN</t>
        </is>
      </c>
      <c r="C23" s="4" t="n"/>
      <c r="D23" s="4" t="n">
        <v>29</v>
      </c>
      <c r="E23" s="4" t="n"/>
      <c r="F23" s="4" t="n"/>
      <c r="G23" s="4" t="n"/>
    </row>
    <row r="24">
      <c r="A24" s="4" t="inlineStr">
        <is>
          <t>300</t>
        </is>
      </c>
      <c r="B24" s="13" t="inlineStr">
        <is>
          <t>OPEN</t>
        </is>
      </c>
      <c r="C24" s="4" t="n"/>
      <c r="D24" s="4" t="n">
        <v>3</v>
      </c>
      <c r="E24" s="4" t="n"/>
      <c r="F24" s="4" t="n"/>
      <c r="G24" s="4" t="n"/>
    </row>
    <row r="25">
      <c r="A25" s="4" t="inlineStr">
        <is>
          <t>301</t>
        </is>
      </c>
      <c r="B25" s="13" t="inlineStr">
        <is>
          <t>OPEN</t>
        </is>
      </c>
      <c r="C25" s="4" t="n"/>
      <c r="D25" s="4" t="n">
        <v>11</v>
      </c>
      <c r="E25" s="4" t="n"/>
      <c r="F25" s="4" t="n"/>
      <c r="G25" s="4" t="n"/>
    </row>
    <row r="26">
      <c r="A26" s="4" t="inlineStr">
        <is>
          <t>309</t>
        </is>
      </c>
      <c r="B26" s="13" t="inlineStr">
        <is>
          <t>OPEN</t>
        </is>
      </c>
      <c r="C26" s="4" t="n"/>
      <c r="D26" s="4" t="n">
        <v>6</v>
      </c>
      <c r="E26" s="4" t="n"/>
      <c r="F26" s="4" t="n"/>
      <c r="G26" s="4" t="n"/>
    </row>
    <row r="27">
      <c r="A27" s="4" t="inlineStr">
        <is>
          <t>316</t>
        </is>
      </c>
      <c r="B27" s="13" t="inlineStr">
        <is>
          <t>OPEN</t>
        </is>
      </c>
      <c r="C27" s="4" t="n"/>
      <c r="D27" s="4" t="n">
        <v>19</v>
      </c>
      <c r="E27" s="4" t="n"/>
      <c r="F27" s="4" t="n"/>
      <c r="G27" s="4" t="n"/>
    </row>
    <row r="28">
      <c r="A28" s="4" t="inlineStr">
        <is>
          <t>317</t>
        </is>
      </c>
      <c r="B28" s="13" t="inlineStr">
        <is>
          <t>OPEN</t>
        </is>
      </c>
      <c r="C28" s="4" t="n"/>
      <c r="D28" s="4" t="n">
        <v>17</v>
      </c>
      <c r="E28" s="4" t="n"/>
      <c r="F28" s="4" t="n"/>
      <c r="G28" s="4" t="n"/>
    </row>
    <row r="29">
      <c r="A29" s="4" t="inlineStr">
        <is>
          <t>319</t>
        </is>
      </c>
      <c r="B29" s="13" t="inlineStr">
        <is>
          <t>OPEN</t>
        </is>
      </c>
      <c r="C29" s="4" t="n"/>
      <c r="D29" s="4" t="n">
        <v>47</v>
      </c>
      <c r="E29" s="4" t="n"/>
      <c r="F29" s="4" t="n"/>
      <c r="G29" s="4" t="n"/>
    </row>
    <row r="30">
      <c r="A30" s="4" t="inlineStr">
        <is>
          <t>341</t>
        </is>
      </c>
      <c r="B30" s="13" t="inlineStr">
        <is>
          <t>OPEN</t>
        </is>
      </c>
      <c r="C30" s="4" t="n"/>
      <c r="D30" s="4" t="n">
        <v>30</v>
      </c>
      <c r="E30" s="4" t="n"/>
      <c r="F30" s="4" t="n"/>
      <c r="G30" s="4" t="n"/>
    </row>
    <row r="31">
      <c r="A31" s="4" t="inlineStr">
        <is>
          <t>411</t>
        </is>
      </c>
      <c r="B31" s="15" t="inlineStr">
        <is>
          <t>CLOSED</t>
        </is>
      </c>
      <c r="C31" s="4" t="n"/>
      <c r="D31" s="4" t="n">
        <v>11</v>
      </c>
      <c r="E31" s="4" t="n">
        <v>5</v>
      </c>
      <c r="F31" s="4" t="n">
        <v>4</v>
      </c>
      <c r="G31" s="4" t="n"/>
    </row>
    <row r="32">
      <c r="A32" s="4" t="inlineStr">
        <is>
          <t>420</t>
        </is>
      </c>
      <c r="B32" s="13" t="inlineStr">
        <is>
          <t>OPEN</t>
        </is>
      </c>
      <c r="C32" s="4" t="n"/>
      <c r="D32" s="4" t="n">
        <v>38</v>
      </c>
      <c r="E32" s="4" t="n">
        <v>9</v>
      </c>
      <c r="F32" s="4" t="n">
        <v>10</v>
      </c>
      <c r="G32" s="4" t="n"/>
    </row>
    <row r="33">
      <c r="A33" s="4" t="inlineStr">
        <is>
          <t>440</t>
        </is>
      </c>
      <c r="B33" s="13" t="inlineStr">
        <is>
          <t>OPEN</t>
        </is>
      </c>
      <c r="C33" s="4" t="n"/>
      <c r="D33" s="4" t="n">
        <v>16</v>
      </c>
      <c r="E33" s="4" t="n">
        <v>5</v>
      </c>
      <c r="F33" s="4" t="n">
        <v>6</v>
      </c>
      <c r="G33" s="4" t="n"/>
    </row>
    <row r="34">
      <c r="A34" s="4" t="inlineStr">
        <is>
          <t>450</t>
        </is>
      </c>
      <c r="B34" s="13" t="inlineStr">
        <is>
          <t>OPEN</t>
        </is>
      </c>
      <c r="C34" s="4" t="n"/>
      <c r="D34" s="4" t="n">
        <v>21</v>
      </c>
      <c r="E34" s="4" t="n">
        <v>7</v>
      </c>
      <c r="F34" s="4" t="n">
        <v>14</v>
      </c>
      <c r="G34" s="4" t="n"/>
    </row>
    <row r="35">
      <c r="A35" s="4" t="inlineStr">
        <is>
          <t>510</t>
        </is>
      </c>
      <c r="B35" s="15" t="inlineStr">
        <is>
          <t>CLOSED</t>
        </is>
      </c>
      <c r="C35" s="4" t="n"/>
      <c r="D35" s="4" t="n">
        <v>7</v>
      </c>
      <c r="E35" s="4" t="n">
        <v>2</v>
      </c>
      <c r="F35" s="4" t="n">
        <v>2</v>
      </c>
      <c r="G35" s="4" t="n"/>
    </row>
    <row r="36">
      <c r="A36" s="4" t="inlineStr">
        <is>
          <t>520</t>
        </is>
      </c>
      <c r="B36" s="15" t="inlineStr">
        <is>
          <t>CLOSED</t>
        </is>
      </c>
      <c r="C36" s="4" t="n"/>
      <c r="D36" s="4" t="n">
        <v>30</v>
      </c>
      <c r="E36" s="4" t="n">
        <v>15</v>
      </c>
      <c r="F36" s="4" t="n">
        <v>10</v>
      </c>
      <c r="G36" s="4" t="n"/>
    </row>
    <row r="37">
      <c r="A37" s="4" t="inlineStr">
        <is>
          <t>580</t>
        </is>
      </c>
      <c r="B37" s="13" t="inlineStr">
        <is>
          <t>OPEN</t>
        </is>
      </c>
      <c r="C37" s="4" t="n"/>
      <c r="D37" s="4" t="n">
        <v>37</v>
      </c>
      <c r="E37" s="4" t="n"/>
      <c r="F37" s="4" t="n"/>
      <c r="G37" s="4" t="n"/>
    </row>
    <row r="38">
      <c r="A38" s="4" t="inlineStr">
        <is>
          <t>600</t>
        </is>
      </c>
      <c r="B38" s="13" t="inlineStr">
        <is>
          <t>OPEN</t>
        </is>
      </c>
      <c r="C38" s="4" t="n"/>
      <c r="D38" s="4" t="n">
        <v>0</v>
      </c>
      <c r="E38" s="4" t="n"/>
      <c r="F38" s="4" t="n"/>
      <c r="G38" s="4" t="n">
        <v>4</v>
      </c>
    </row>
    <row r="39">
      <c r="A39" s="4" t="inlineStr">
        <is>
          <t>700 (no hounds)</t>
        </is>
      </c>
      <c r="B39" s="15" t="inlineStr">
        <is>
          <t>CLOSED</t>
        </is>
      </c>
      <c r="C39" s="4" t="n"/>
      <c r="D39" s="4" t="n">
        <v>19</v>
      </c>
      <c r="E39" s="4" t="n"/>
      <c r="F39" s="4" t="n"/>
      <c r="G39" s="4" t="n">
        <v>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72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2" customWidth="1" min="3" max="3"/>
    <col width="8" customWidth="1" min="4" max="4"/>
    <col width="10" customWidth="1" min="5" max="5"/>
    <col width="10" customWidth="1" min="6" max="6"/>
    <col width="12" customWidth="1" min="7" max="7"/>
    <col width="10" customWidth="1" min="8" max="8"/>
    <col width="12" customWidth="1" min="9" max="9"/>
    <col width="11" customWidth="1" min="10" max="10"/>
    <col width="11" customWidth="1" min="11" max="11"/>
    <col width="10" customWidth="1" min="12" max="12"/>
  </cols>
  <sheetData>
    <row r="1">
      <c r="A1" s="3" t="inlineStr">
        <is>
          <t>District</t>
        </is>
      </c>
      <c r="B1" s="3" t="inlineStr">
        <is>
          <t>Region</t>
        </is>
      </c>
      <c r="C1" s="3" t="inlineStr">
        <is>
          <t>Species</t>
        </is>
      </c>
      <c r="D1" s="3" t="inlineStr">
        <is>
          <t>Year</t>
        </is>
      </c>
      <c r="E1" s="3" t="inlineStr">
        <is>
          <t>License</t>
        </is>
      </c>
      <c r="F1" s="3" t="inlineStr">
        <is>
          <t>Hunters</t>
        </is>
      </c>
      <c r="G1" s="3" t="inlineStr">
        <is>
          <t>Hunter days</t>
        </is>
      </c>
      <c r="H1" s="3" t="inlineStr">
        <is>
          <t>Harvest</t>
        </is>
      </c>
      <c r="I1" s="3" t="inlineStr">
        <is>
          <t>Bucks/Bulls</t>
        </is>
      </c>
      <c r="J1" s="3" t="inlineStr">
        <is>
          <t>Does/Cows</t>
        </is>
      </c>
      <c r="K1" s="3" t="inlineStr">
        <is>
          <t>Per hunter</t>
        </is>
      </c>
      <c r="L1" s="3" t="inlineStr">
        <is>
          <t>Days per animal</t>
        </is>
      </c>
    </row>
    <row r="2">
      <c r="A2" s="4" t="inlineStr">
        <is>
          <t>215</t>
        </is>
      </c>
      <c r="B2" s="4" t="n">
        <v>2</v>
      </c>
      <c r="C2" s="4" t="inlineStr">
        <is>
          <t>antelope</t>
        </is>
      </c>
      <c r="D2" s="4" t="n">
        <v>2004</v>
      </c>
      <c r="E2" s="15" t="inlineStr">
        <is>
          <t>Draw</t>
        </is>
      </c>
      <c r="F2" s="5" t="n">
        <v>37</v>
      </c>
      <c r="G2" s="5" t="n">
        <v>143</v>
      </c>
      <c r="H2" s="5" t="n">
        <v>19</v>
      </c>
      <c r="I2" s="5" t="n">
        <v>6</v>
      </c>
      <c r="J2" s="5" t="n">
        <v>14</v>
      </c>
      <c r="K2" s="10">
        <f>IF(F2&gt;0,H2/F2,"")</f>
        <v/>
      </c>
      <c r="L2" s="16">
        <f>IF(AND(G2&gt;0,H2&gt;0),G2/H2,"")</f>
        <v/>
      </c>
    </row>
    <row r="3">
      <c r="A3" s="4" t="inlineStr">
        <is>
          <t>215</t>
        </is>
      </c>
      <c r="B3" s="4" t="n">
        <v>2</v>
      </c>
      <c r="C3" s="4" t="inlineStr">
        <is>
          <t>antelope</t>
        </is>
      </c>
      <c r="D3" s="4" t="n">
        <v>2005</v>
      </c>
      <c r="E3" s="15" t="inlineStr">
        <is>
          <t>Draw</t>
        </is>
      </c>
      <c r="F3" s="5" t="n">
        <v>26</v>
      </c>
      <c r="G3" s="5" t="n">
        <v>113</v>
      </c>
      <c r="H3" s="5" t="n">
        <v>17</v>
      </c>
      <c r="I3" s="5" t="n">
        <v>10</v>
      </c>
      <c r="J3" s="5" t="n">
        <v>5</v>
      </c>
      <c r="K3" s="10">
        <f>IF(F3&gt;0,H3/F3,"")</f>
        <v/>
      </c>
      <c r="L3" s="16">
        <f>IF(AND(G3&gt;0,H3&gt;0),G3/H3,"")</f>
        <v/>
      </c>
    </row>
    <row r="4">
      <c r="A4" s="4" t="inlineStr">
        <is>
          <t>215</t>
        </is>
      </c>
      <c r="B4" s="4" t="n">
        <v>2</v>
      </c>
      <c r="C4" s="4" t="inlineStr">
        <is>
          <t>antelope</t>
        </is>
      </c>
      <c r="D4" s="4" t="n">
        <v>2006</v>
      </c>
      <c r="E4" s="15" t="inlineStr">
        <is>
          <t>Draw</t>
        </is>
      </c>
      <c r="F4" s="5" t="n">
        <v>26</v>
      </c>
      <c r="G4" s="5" t="n">
        <v>57</v>
      </c>
      <c r="H4" s="5" t="n">
        <v>17</v>
      </c>
      <c r="I4" s="5" t="n">
        <v>8</v>
      </c>
      <c r="J4" s="5" t="n">
        <v>9</v>
      </c>
      <c r="K4" s="10">
        <f>IF(F4&gt;0,H4/F4,"")</f>
        <v/>
      </c>
      <c r="L4" s="16">
        <f>IF(AND(G4&gt;0,H4&gt;0),G4/H4,"")</f>
        <v/>
      </c>
    </row>
    <row r="5">
      <c r="A5" s="4" t="inlineStr">
        <is>
          <t>215</t>
        </is>
      </c>
      <c r="B5" s="4" t="n">
        <v>2</v>
      </c>
      <c r="C5" s="4" t="inlineStr">
        <is>
          <t>antelope</t>
        </is>
      </c>
      <c r="D5" s="4" t="n">
        <v>2007</v>
      </c>
      <c r="E5" s="15" t="inlineStr">
        <is>
          <t>Draw</t>
        </is>
      </c>
      <c r="F5" s="5" t="n">
        <v>29</v>
      </c>
      <c r="G5" s="5" t="n">
        <v>50</v>
      </c>
      <c r="H5" s="5" t="n">
        <v>19</v>
      </c>
      <c r="I5" s="5" t="n">
        <v>6</v>
      </c>
      <c r="J5" s="5" t="n">
        <v>11</v>
      </c>
      <c r="K5" s="10">
        <f>IF(F5&gt;0,H5/F5,"")</f>
        <v/>
      </c>
      <c r="L5" s="16">
        <f>IF(AND(G5&gt;0,H5&gt;0),G5/H5,"")</f>
        <v/>
      </c>
    </row>
    <row r="6">
      <c r="A6" s="4" t="inlineStr">
        <is>
          <t>215</t>
        </is>
      </c>
      <c r="B6" s="4" t="n">
        <v>2</v>
      </c>
      <c r="C6" s="4" t="inlineStr">
        <is>
          <t>antelope</t>
        </is>
      </c>
      <c r="D6" s="4" t="n">
        <v>2008</v>
      </c>
      <c r="E6" s="15" t="inlineStr">
        <is>
          <t>Draw</t>
        </is>
      </c>
      <c r="F6" s="5" t="n">
        <v>25</v>
      </c>
      <c r="G6" s="5" t="n">
        <v>77</v>
      </c>
      <c r="H6" s="5" t="n">
        <v>23</v>
      </c>
      <c r="I6" s="5" t="n">
        <v>6</v>
      </c>
      <c r="J6" s="5" t="n">
        <v>14</v>
      </c>
      <c r="K6" s="10">
        <f>IF(F6&gt;0,H6/F6,"")</f>
        <v/>
      </c>
      <c r="L6" s="16">
        <f>IF(AND(G6&gt;0,H6&gt;0),G6/H6,"")</f>
        <v/>
      </c>
    </row>
    <row r="7">
      <c r="A7" s="4" t="inlineStr">
        <is>
          <t>215</t>
        </is>
      </c>
      <c r="B7" s="4" t="n">
        <v>2</v>
      </c>
      <c r="C7" s="4" t="inlineStr">
        <is>
          <t>antelope</t>
        </is>
      </c>
      <c r="D7" s="4" t="n">
        <v>2009</v>
      </c>
      <c r="E7" s="15" t="inlineStr">
        <is>
          <t>Draw</t>
        </is>
      </c>
      <c r="F7" s="5" t="n">
        <v>26</v>
      </c>
      <c r="G7" s="5" t="n">
        <v>124</v>
      </c>
      <c r="H7" s="5" t="n">
        <v>14</v>
      </c>
      <c r="I7" s="5" t="n">
        <v>4</v>
      </c>
      <c r="J7" s="5" t="n">
        <v>9</v>
      </c>
      <c r="K7" s="10">
        <f>IF(F7&gt;0,H7/F7,"")</f>
        <v/>
      </c>
      <c r="L7" s="16">
        <f>IF(AND(G7&gt;0,H7&gt;0),G7/H7,"")</f>
        <v/>
      </c>
    </row>
    <row r="8">
      <c r="A8" s="4" t="inlineStr">
        <is>
          <t>215</t>
        </is>
      </c>
      <c r="B8" s="4" t="n">
        <v>2</v>
      </c>
      <c r="C8" s="4" t="inlineStr">
        <is>
          <t>antelope</t>
        </is>
      </c>
      <c r="D8" s="4" t="n">
        <v>2010</v>
      </c>
      <c r="E8" s="15" t="inlineStr">
        <is>
          <t>Draw</t>
        </is>
      </c>
      <c r="F8" s="5" t="n">
        <v>51</v>
      </c>
      <c r="G8" s="5" t="n">
        <v>138</v>
      </c>
      <c r="H8" s="5" t="n">
        <v>38</v>
      </c>
      <c r="I8" s="5" t="n">
        <v>19</v>
      </c>
      <c r="J8" s="5" t="n">
        <v>19</v>
      </c>
      <c r="K8" s="10">
        <f>IF(F8&gt;0,H8/F8,"")</f>
        <v/>
      </c>
      <c r="L8" s="16">
        <f>IF(AND(G8&gt;0,H8&gt;0),G8/H8,"")</f>
        <v/>
      </c>
    </row>
    <row r="9">
      <c r="A9" s="4" t="inlineStr">
        <is>
          <t>215</t>
        </is>
      </c>
      <c r="B9" s="4" t="n">
        <v>2</v>
      </c>
      <c r="C9" s="4" t="inlineStr">
        <is>
          <t>antelope</t>
        </is>
      </c>
      <c r="D9" s="4" t="n">
        <v>2011</v>
      </c>
      <c r="E9" s="15" t="inlineStr">
        <is>
          <t>Draw</t>
        </is>
      </c>
      <c r="F9" s="5" t="n">
        <v>48</v>
      </c>
      <c r="G9" s="5" t="n">
        <v>167</v>
      </c>
      <c r="H9" s="5" t="n">
        <v>34</v>
      </c>
      <c r="I9" s="5" t="n">
        <v>20</v>
      </c>
      <c r="J9" s="5" t="n">
        <v>14</v>
      </c>
      <c r="K9" s="10">
        <f>IF(F9&gt;0,H9/F9,"")</f>
        <v/>
      </c>
      <c r="L9" s="16">
        <f>IF(AND(G9&gt;0,H9&gt;0),G9/H9,"")</f>
        <v/>
      </c>
    </row>
    <row r="10">
      <c r="A10" s="4" t="inlineStr">
        <is>
          <t>215</t>
        </is>
      </c>
      <c r="B10" s="4" t="n">
        <v>2</v>
      </c>
      <c r="C10" s="4" t="inlineStr">
        <is>
          <t>antelope</t>
        </is>
      </c>
      <c r="D10" s="4" t="n">
        <v>2012</v>
      </c>
      <c r="E10" s="15" t="inlineStr">
        <is>
          <t>Draw</t>
        </is>
      </c>
      <c r="F10" s="5" t="n">
        <v>29</v>
      </c>
      <c r="G10" s="5" t="n">
        <v>121</v>
      </c>
      <c r="H10" s="5" t="n">
        <v>23</v>
      </c>
      <c r="I10" s="5" t="n">
        <v>19</v>
      </c>
      <c r="J10" s="5" t="n">
        <v>4</v>
      </c>
      <c r="K10" s="10">
        <f>IF(F10&gt;0,H10/F10,"")</f>
        <v/>
      </c>
      <c r="L10" s="16">
        <f>IF(AND(G10&gt;0,H10&gt;0),G10/H10,"")</f>
        <v/>
      </c>
    </row>
    <row r="11">
      <c r="A11" s="4" t="inlineStr">
        <is>
          <t>215</t>
        </is>
      </c>
      <c r="B11" s="4" t="n">
        <v>2</v>
      </c>
      <c r="C11" s="4" t="inlineStr">
        <is>
          <t>antelope</t>
        </is>
      </c>
      <c r="D11" s="4" t="n">
        <v>2013</v>
      </c>
      <c r="E11" s="15" t="inlineStr">
        <is>
          <t>Draw</t>
        </is>
      </c>
      <c r="F11" s="5" t="n"/>
      <c r="G11" s="5" t="n"/>
      <c r="H11" s="5" t="n">
        <v>18</v>
      </c>
      <c r="I11" s="5" t="n">
        <v>15</v>
      </c>
      <c r="J11" s="5" t="n">
        <v>3</v>
      </c>
      <c r="K11" s="10">
        <f>IF(F11&gt;0,H11/F11,"")</f>
        <v/>
      </c>
      <c r="L11" s="16">
        <f>IF(AND(G11&gt;0,H11&gt;0),G11/H11,"")</f>
        <v/>
      </c>
    </row>
    <row r="12">
      <c r="A12" s="4" t="inlineStr">
        <is>
          <t>215</t>
        </is>
      </c>
      <c r="B12" s="4" t="n">
        <v>2</v>
      </c>
      <c r="C12" s="4" t="inlineStr">
        <is>
          <t>antelope</t>
        </is>
      </c>
      <c r="D12" s="4" t="n">
        <v>2014</v>
      </c>
      <c r="E12" s="15" t="inlineStr">
        <is>
          <t>Draw</t>
        </is>
      </c>
      <c r="F12" s="5" t="n">
        <v>42</v>
      </c>
      <c r="G12" s="5" t="n">
        <v>112</v>
      </c>
      <c r="H12" s="5" t="n">
        <v>21</v>
      </c>
      <c r="I12" s="5" t="n">
        <v>17</v>
      </c>
      <c r="J12" s="5" t="n">
        <v>4</v>
      </c>
      <c r="K12" s="10">
        <f>IF(F12&gt;0,H12/F12,"")</f>
        <v/>
      </c>
      <c r="L12" s="16">
        <f>IF(AND(G12&gt;0,H12&gt;0),G12/H12,"")</f>
        <v/>
      </c>
    </row>
    <row r="13">
      <c r="A13" s="4" t="inlineStr">
        <is>
          <t>215</t>
        </is>
      </c>
      <c r="B13" s="4" t="n">
        <v>2</v>
      </c>
      <c r="C13" s="4" t="inlineStr">
        <is>
          <t>antelope</t>
        </is>
      </c>
      <c r="D13" s="4" t="n">
        <v>2015</v>
      </c>
      <c r="E13" s="15" t="inlineStr">
        <is>
          <t>Draw</t>
        </is>
      </c>
      <c r="F13" s="5" t="n">
        <v>34</v>
      </c>
      <c r="G13" s="5" t="n">
        <v>193</v>
      </c>
      <c r="H13" s="5" t="n">
        <v>31</v>
      </c>
      <c r="I13" s="5" t="n">
        <v>26</v>
      </c>
      <c r="J13" s="5" t="n">
        <v>5</v>
      </c>
      <c r="K13" s="10">
        <f>IF(F13&gt;0,H13/F13,"")</f>
        <v/>
      </c>
      <c r="L13" s="16">
        <f>IF(AND(G13&gt;0,H13&gt;0),G13/H13,"")</f>
        <v/>
      </c>
    </row>
    <row r="14">
      <c r="A14" s="4" t="inlineStr">
        <is>
          <t>215</t>
        </is>
      </c>
      <c r="B14" s="4" t="n">
        <v>2</v>
      </c>
      <c r="C14" s="4" t="inlineStr">
        <is>
          <t>antelope</t>
        </is>
      </c>
      <c r="D14" s="4" t="n">
        <v>2016</v>
      </c>
      <c r="E14" s="15" t="inlineStr">
        <is>
          <t>Draw</t>
        </is>
      </c>
      <c r="F14" s="5" t="n"/>
      <c r="G14" s="5" t="n"/>
      <c r="H14" s="5" t="n">
        <v>17</v>
      </c>
      <c r="I14" s="5" t="n">
        <v>14</v>
      </c>
      <c r="J14" s="5" t="n">
        <v>3</v>
      </c>
      <c r="K14" s="10">
        <f>IF(F14&gt;0,H14/F14,"")</f>
        <v/>
      </c>
      <c r="L14" s="16">
        <f>IF(AND(G14&gt;0,H14&gt;0),G14/H14,"")</f>
        <v/>
      </c>
    </row>
    <row r="15">
      <c r="A15" s="4" t="inlineStr">
        <is>
          <t>215</t>
        </is>
      </c>
      <c r="B15" s="4" t="n">
        <v>2</v>
      </c>
      <c r="C15" s="4" t="inlineStr">
        <is>
          <t>antelope</t>
        </is>
      </c>
      <c r="D15" s="4" t="n">
        <v>2017</v>
      </c>
      <c r="E15" s="15" t="inlineStr">
        <is>
          <t>Draw</t>
        </is>
      </c>
      <c r="F15" s="5" t="n"/>
      <c r="G15" s="5" t="n"/>
      <c r="H15" s="5" t="n">
        <v>42</v>
      </c>
      <c r="I15" s="5" t="n">
        <v>24</v>
      </c>
      <c r="J15" s="5" t="n">
        <v>17</v>
      </c>
      <c r="K15" s="10">
        <f>IF(F15&gt;0,H15/F15,"")</f>
        <v/>
      </c>
      <c r="L15" s="16">
        <f>IF(AND(G15&gt;0,H15&gt;0),G15/H15,"")</f>
        <v/>
      </c>
    </row>
    <row r="16">
      <c r="A16" s="4" t="inlineStr">
        <is>
          <t>215</t>
        </is>
      </c>
      <c r="B16" s="4" t="n">
        <v>2</v>
      </c>
      <c r="C16" s="4" t="inlineStr">
        <is>
          <t>antelope</t>
        </is>
      </c>
      <c r="D16" s="4" t="n">
        <v>2018</v>
      </c>
      <c r="E16" s="15" t="inlineStr">
        <is>
          <t>Draw</t>
        </is>
      </c>
      <c r="F16" s="5" t="n">
        <v>40</v>
      </c>
      <c r="G16" s="5" t="n">
        <v>40</v>
      </c>
      <c r="H16" s="5" t="n">
        <v>35</v>
      </c>
      <c r="I16" s="5" t="n">
        <v>19</v>
      </c>
      <c r="J16" s="5" t="n">
        <v>16</v>
      </c>
      <c r="K16" s="10">
        <f>IF(F16&gt;0,H16/F16,"")</f>
        <v/>
      </c>
      <c r="L16" s="16">
        <f>IF(AND(G16&gt;0,H16&gt;0),G16/H16,"")</f>
        <v/>
      </c>
    </row>
    <row r="17">
      <c r="A17" s="4" t="inlineStr">
        <is>
          <t>215</t>
        </is>
      </c>
      <c r="B17" s="4" t="n">
        <v>2</v>
      </c>
      <c r="C17" s="4" t="inlineStr">
        <is>
          <t>antelope</t>
        </is>
      </c>
      <c r="D17" s="4" t="n">
        <v>2019</v>
      </c>
      <c r="E17" s="15" t="inlineStr">
        <is>
          <t>Draw</t>
        </is>
      </c>
      <c r="F17" s="5" t="n"/>
      <c r="G17" s="5" t="n"/>
      <c r="H17" s="5" t="n">
        <v>27</v>
      </c>
      <c r="I17" s="5" t="n">
        <v>15</v>
      </c>
      <c r="J17" s="5" t="n">
        <v>10</v>
      </c>
      <c r="K17" s="10">
        <f>IF(F17&gt;0,H17/F17,"")</f>
        <v/>
      </c>
      <c r="L17" s="16">
        <f>IF(AND(G17&gt;0,H17&gt;0),G17/H17,"")</f>
        <v/>
      </c>
    </row>
    <row r="18">
      <c r="A18" s="4" t="inlineStr">
        <is>
          <t>215</t>
        </is>
      </c>
      <c r="B18" s="4" t="n">
        <v>2</v>
      </c>
      <c r="C18" s="4" t="inlineStr">
        <is>
          <t>antelope</t>
        </is>
      </c>
      <c r="D18" s="4" t="n">
        <v>2020</v>
      </c>
      <c r="E18" s="15" t="inlineStr">
        <is>
          <t>Draw</t>
        </is>
      </c>
      <c r="F18" s="5" t="n">
        <v>23</v>
      </c>
      <c r="G18" s="5" t="n">
        <v>78</v>
      </c>
      <c r="H18" s="5" t="n">
        <v>12</v>
      </c>
      <c r="I18" s="5" t="n">
        <v>5</v>
      </c>
      <c r="J18" s="5" t="n">
        <v>7</v>
      </c>
      <c r="K18" s="10">
        <f>IF(F18&gt;0,H18/F18,"")</f>
        <v/>
      </c>
      <c r="L18" s="16">
        <f>IF(AND(G18&gt;0,H18&gt;0),G18/H18,"")</f>
        <v/>
      </c>
    </row>
    <row r="19">
      <c r="A19" s="4" t="inlineStr">
        <is>
          <t>215</t>
        </is>
      </c>
      <c r="B19" s="4" t="n">
        <v>2</v>
      </c>
      <c r="C19" s="4" t="inlineStr">
        <is>
          <t>antelope</t>
        </is>
      </c>
      <c r="D19" s="4" t="n">
        <v>2021</v>
      </c>
      <c r="E19" s="15" t="inlineStr">
        <is>
          <t>Draw</t>
        </is>
      </c>
      <c r="F19" s="5" t="n"/>
      <c r="G19" s="5" t="n"/>
      <c r="H19" s="5" t="n">
        <v>5</v>
      </c>
      <c r="I19" s="5" t="n">
        <v>2</v>
      </c>
      <c r="J19" s="5" t="n">
        <v>3</v>
      </c>
      <c r="K19" s="10">
        <f>IF(F19&gt;0,H19/F19,"")</f>
        <v/>
      </c>
      <c r="L19" s="16">
        <f>IF(AND(G19&gt;0,H19&gt;0),G19/H19,"")</f>
        <v/>
      </c>
    </row>
    <row r="20">
      <c r="A20" s="4" t="inlineStr">
        <is>
          <t>215</t>
        </is>
      </c>
      <c r="B20" s="4" t="n">
        <v>2</v>
      </c>
      <c r="C20" s="4" t="inlineStr">
        <is>
          <t>antelope</t>
        </is>
      </c>
      <c r="D20" s="4" t="n">
        <v>2022</v>
      </c>
      <c r="E20" s="15" t="inlineStr">
        <is>
          <t>Draw</t>
        </is>
      </c>
      <c r="F20" s="5" t="n">
        <v>10</v>
      </c>
      <c r="G20" s="5" t="n">
        <v>100</v>
      </c>
      <c r="H20" s="5" t="n">
        <v>6</v>
      </c>
      <c r="I20" s="5" t="n">
        <v>3</v>
      </c>
      <c r="J20" s="5" t="n">
        <v>4</v>
      </c>
      <c r="K20" s="10">
        <f>IF(F20&gt;0,H20/F20,"")</f>
        <v/>
      </c>
      <c r="L20" s="16">
        <f>IF(AND(G20&gt;0,H20&gt;0),G20/H20,"")</f>
        <v/>
      </c>
    </row>
    <row r="21">
      <c r="A21" s="4" t="inlineStr">
        <is>
          <t>215</t>
        </is>
      </c>
      <c r="B21" s="4" t="n">
        <v>2</v>
      </c>
      <c r="C21" s="4" t="inlineStr">
        <is>
          <t>antelope</t>
        </is>
      </c>
      <c r="D21" s="4" t="n">
        <v>2023</v>
      </c>
      <c r="E21" s="15" t="inlineStr">
        <is>
          <t>Draw</t>
        </is>
      </c>
      <c r="F21" s="5" t="n"/>
      <c r="G21" s="5" t="n"/>
      <c r="H21" s="5" t="n">
        <v>2</v>
      </c>
      <c r="I21" s="5" t="n">
        <v>2</v>
      </c>
      <c r="J21" s="5" t="n">
        <v>0</v>
      </c>
      <c r="K21" s="10">
        <f>IF(F21&gt;0,H21/F21,"")</f>
        <v/>
      </c>
      <c r="L21" s="16">
        <f>IF(AND(G21&gt;0,H21&gt;0),G21/H21,"")</f>
        <v/>
      </c>
    </row>
    <row r="22">
      <c r="A22" s="4" t="inlineStr">
        <is>
          <t>215</t>
        </is>
      </c>
      <c r="B22" s="4" t="n">
        <v>2</v>
      </c>
      <c r="C22" s="4" t="inlineStr">
        <is>
          <t>antelope</t>
        </is>
      </c>
      <c r="D22" s="4" t="n">
        <v>2024</v>
      </c>
      <c r="E22" s="15" t="inlineStr">
        <is>
          <t>Draw</t>
        </is>
      </c>
      <c r="F22" s="5" t="n">
        <v>10</v>
      </c>
      <c r="G22" s="5" t="n">
        <v>28</v>
      </c>
      <c r="H22" s="5" t="n">
        <v>5</v>
      </c>
      <c r="I22" s="5" t="n">
        <v>5</v>
      </c>
      <c r="J22" s="5" t="n">
        <v>0</v>
      </c>
      <c r="K22" s="10">
        <f>IF(F22&gt;0,H22/F22,"")</f>
        <v/>
      </c>
      <c r="L22" s="16">
        <f>IF(AND(G22&gt;0,H22&gt;0),G22/H22,"")</f>
        <v/>
      </c>
    </row>
    <row r="23">
      <c r="A23" s="4" t="inlineStr">
        <is>
          <t>215</t>
        </is>
      </c>
      <c r="B23" s="4" t="n">
        <v>2</v>
      </c>
      <c r="C23" s="4" t="inlineStr">
        <is>
          <t>antelope</t>
        </is>
      </c>
      <c r="D23" s="4" t="n">
        <v>2025</v>
      </c>
      <c r="E23" s="15" t="inlineStr">
        <is>
          <t>Draw</t>
        </is>
      </c>
      <c r="F23" s="5" t="n"/>
      <c r="G23" s="5" t="n"/>
      <c r="H23" s="5" t="n">
        <v>3</v>
      </c>
      <c r="I23" s="5" t="n">
        <v>3</v>
      </c>
      <c r="J23" s="5" t="n">
        <v>0</v>
      </c>
      <c r="K23" s="10">
        <f>IF(F23&gt;0,H23/F23,"")</f>
        <v/>
      </c>
      <c r="L23" s="16">
        <f>IF(AND(G23&gt;0,H23&gt;0),G23/H23,"")</f>
        <v/>
      </c>
    </row>
    <row r="24">
      <c r="A24" s="4" t="inlineStr">
        <is>
          <t>291</t>
        </is>
      </c>
      <c r="B24" s="4" t="n">
        <v>2</v>
      </c>
      <c r="C24" s="4" t="inlineStr">
        <is>
          <t>antelope</t>
        </is>
      </c>
      <c r="D24" s="4" t="n">
        <v>2008</v>
      </c>
      <c r="E24" s="15" t="inlineStr">
        <is>
          <t>Draw</t>
        </is>
      </c>
      <c r="F24" s="5" t="n">
        <v>5</v>
      </c>
      <c r="G24" s="5" t="n">
        <v>5</v>
      </c>
      <c r="H24" s="5" t="n">
        <v>4</v>
      </c>
      <c r="I24" s="5" t="n">
        <v>0</v>
      </c>
      <c r="J24" s="5" t="n">
        <v>4</v>
      </c>
      <c r="K24" s="10">
        <f>IF(F24&gt;0,H24/F24,"")</f>
        <v/>
      </c>
      <c r="L24" s="16">
        <f>IF(AND(G24&gt;0,H24&gt;0),G24/H24,"")</f>
        <v/>
      </c>
    </row>
    <row r="25">
      <c r="A25" s="4" t="inlineStr">
        <is>
          <t>291</t>
        </is>
      </c>
      <c r="B25" s="4" t="n">
        <v>2</v>
      </c>
      <c r="C25" s="4" t="inlineStr">
        <is>
          <t>antelope</t>
        </is>
      </c>
      <c r="D25" s="4" t="n">
        <v>2009</v>
      </c>
      <c r="E25" s="15" t="inlineStr">
        <is>
          <t>Draw</t>
        </is>
      </c>
      <c r="F25" s="5" t="n">
        <v>10</v>
      </c>
      <c r="G25" s="5" t="n">
        <v>63</v>
      </c>
      <c r="H25" s="5" t="n">
        <v>4</v>
      </c>
      <c r="I25" s="5" t="n">
        <v>4</v>
      </c>
      <c r="J25" s="5" t="n">
        <v>0</v>
      </c>
      <c r="K25" s="10">
        <f>IF(F25&gt;0,H25/F25,"")</f>
        <v/>
      </c>
      <c r="L25" s="16">
        <f>IF(AND(G25&gt;0,H25&gt;0),G25/H25,"")</f>
        <v/>
      </c>
    </row>
    <row r="26">
      <c r="A26" s="4" t="inlineStr">
        <is>
          <t>291</t>
        </is>
      </c>
      <c r="B26" s="4" t="n">
        <v>2</v>
      </c>
      <c r="C26" s="4" t="inlineStr">
        <is>
          <t>antelope</t>
        </is>
      </c>
      <c r="D26" s="4" t="n">
        <v>2010</v>
      </c>
      <c r="E26" s="15" t="inlineStr">
        <is>
          <t>Draw</t>
        </is>
      </c>
      <c r="F26" s="5" t="n">
        <v>7</v>
      </c>
      <c r="G26" s="5" t="n">
        <v>20</v>
      </c>
      <c r="H26" s="5" t="n">
        <v>3</v>
      </c>
      <c r="I26" s="5" t="n">
        <v>2</v>
      </c>
      <c r="J26" s="5" t="n">
        <v>2</v>
      </c>
      <c r="K26" s="10">
        <f>IF(F26&gt;0,H26/F26,"")</f>
        <v/>
      </c>
      <c r="L26" s="16">
        <f>IF(AND(G26&gt;0,H26&gt;0),G26/H26,"")</f>
        <v/>
      </c>
    </row>
    <row r="27">
      <c r="A27" s="4" t="inlineStr">
        <is>
          <t>291</t>
        </is>
      </c>
      <c r="B27" s="4" t="n">
        <v>2</v>
      </c>
      <c r="C27" s="4" t="inlineStr">
        <is>
          <t>antelope</t>
        </is>
      </c>
      <c r="D27" s="4" t="n">
        <v>2011</v>
      </c>
      <c r="E27" s="15" t="inlineStr">
        <is>
          <t>Draw</t>
        </is>
      </c>
      <c r="F27" s="5" t="n">
        <v>6</v>
      </c>
      <c r="G27" s="5" t="n">
        <v>19</v>
      </c>
      <c r="H27" s="5" t="n">
        <v>5</v>
      </c>
      <c r="I27" s="5" t="n">
        <v>2</v>
      </c>
      <c r="J27" s="5" t="n">
        <v>3</v>
      </c>
      <c r="K27" s="10">
        <f>IF(F27&gt;0,H27/F27,"")</f>
        <v/>
      </c>
      <c r="L27" s="16">
        <f>IF(AND(G27&gt;0,H27&gt;0),G27/H27,"")</f>
        <v/>
      </c>
    </row>
    <row r="28">
      <c r="A28" s="4" t="inlineStr">
        <is>
          <t>291</t>
        </is>
      </c>
      <c r="B28" s="4" t="n">
        <v>2</v>
      </c>
      <c r="C28" s="4" t="inlineStr">
        <is>
          <t>antelope</t>
        </is>
      </c>
      <c r="D28" s="4" t="n">
        <v>2012</v>
      </c>
      <c r="E28" s="15" t="inlineStr">
        <is>
          <t>Draw</t>
        </is>
      </c>
      <c r="F28" s="5" t="n">
        <v>9</v>
      </c>
      <c r="G28" s="5" t="n">
        <v>38</v>
      </c>
      <c r="H28" s="5" t="n">
        <v>2</v>
      </c>
      <c r="I28" s="5" t="n">
        <v>1</v>
      </c>
      <c r="J28" s="5" t="n">
        <v>1</v>
      </c>
      <c r="K28" s="10">
        <f>IF(F28&gt;0,H28/F28,"")</f>
        <v/>
      </c>
      <c r="L28" s="16">
        <f>IF(AND(G28&gt;0,H28&gt;0),G28/H28,"")</f>
        <v/>
      </c>
    </row>
    <row r="29">
      <c r="A29" s="4" t="inlineStr">
        <is>
          <t>291</t>
        </is>
      </c>
      <c r="B29" s="4" t="n">
        <v>2</v>
      </c>
      <c r="C29" s="4" t="inlineStr">
        <is>
          <t>antelope</t>
        </is>
      </c>
      <c r="D29" s="4" t="n">
        <v>2013</v>
      </c>
      <c r="E29" s="15" t="inlineStr">
        <is>
          <t>Draw</t>
        </is>
      </c>
      <c r="F29" s="5" t="n"/>
      <c r="G29" s="5" t="n"/>
      <c r="H29" s="5" t="n">
        <v>6</v>
      </c>
      <c r="I29" s="5" t="n">
        <v>3</v>
      </c>
      <c r="J29" s="5" t="n">
        <v>3</v>
      </c>
      <c r="K29" s="10">
        <f>IF(F29&gt;0,H29/F29,"")</f>
        <v/>
      </c>
      <c r="L29" s="16">
        <f>IF(AND(G29&gt;0,H29&gt;0),G29/H29,"")</f>
        <v/>
      </c>
    </row>
    <row r="30">
      <c r="A30" s="4" t="inlineStr">
        <is>
          <t>291</t>
        </is>
      </c>
      <c r="B30" s="4" t="n">
        <v>2</v>
      </c>
      <c r="C30" s="4" t="inlineStr">
        <is>
          <t>antelope</t>
        </is>
      </c>
      <c r="D30" s="4" t="n">
        <v>2014</v>
      </c>
      <c r="E30" s="15" t="inlineStr">
        <is>
          <t>Draw</t>
        </is>
      </c>
      <c r="F30" s="5" t="n">
        <v>13</v>
      </c>
      <c r="G30" s="5" t="n">
        <v>50</v>
      </c>
      <c r="H30" s="5" t="n">
        <v>9</v>
      </c>
      <c r="I30" s="5" t="n">
        <v>4</v>
      </c>
      <c r="J30" s="5" t="n">
        <v>5</v>
      </c>
      <c r="K30" s="10">
        <f>IF(F30&gt;0,H30/F30,"")</f>
        <v/>
      </c>
      <c r="L30" s="16">
        <f>IF(AND(G30&gt;0,H30&gt;0),G30/H30,"")</f>
        <v/>
      </c>
    </row>
    <row r="31">
      <c r="A31" s="4" t="inlineStr">
        <is>
          <t>291</t>
        </is>
      </c>
      <c r="B31" s="4" t="n">
        <v>2</v>
      </c>
      <c r="C31" s="4" t="inlineStr">
        <is>
          <t>antelope</t>
        </is>
      </c>
      <c r="D31" s="4" t="n">
        <v>2015</v>
      </c>
      <c r="E31" s="15" t="inlineStr">
        <is>
          <t>Draw</t>
        </is>
      </c>
      <c r="F31" s="5" t="n">
        <v>10</v>
      </c>
      <c r="G31" s="5" t="n">
        <v>26</v>
      </c>
      <c r="H31" s="5" t="n">
        <v>9</v>
      </c>
      <c r="I31" s="5" t="n">
        <v>4</v>
      </c>
      <c r="J31" s="5" t="n">
        <v>5</v>
      </c>
      <c r="K31" s="10">
        <f>IF(F31&gt;0,H31/F31,"")</f>
        <v/>
      </c>
      <c r="L31" s="16">
        <f>IF(AND(G31&gt;0,H31&gt;0),G31/H31,"")</f>
        <v/>
      </c>
    </row>
    <row r="32">
      <c r="A32" s="4" t="inlineStr">
        <is>
          <t>291</t>
        </is>
      </c>
      <c r="B32" s="4" t="n">
        <v>2</v>
      </c>
      <c r="C32" s="4" t="inlineStr">
        <is>
          <t>antelope</t>
        </is>
      </c>
      <c r="D32" s="4" t="n">
        <v>2016</v>
      </c>
      <c r="E32" s="15" t="inlineStr">
        <is>
          <t>Draw</t>
        </is>
      </c>
      <c r="F32" s="5" t="n"/>
      <c r="G32" s="5" t="n"/>
      <c r="H32" s="5" t="n">
        <v>5</v>
      </c>
      <c r="I32" s="5" t="n">
        <v>4</v>
      </c>
      <c r="J32" s="5" t="n">
        <v>1</v>
      </c>
      <c r="K32" s="10">
        <f>IF(F32&gt;0,H32/F32,"")</f>
        <v/>
      </c>
      <c r="L32" s="16">
        <f>IF(AND(G32&gt;0,H32&gt;0),G32/H32,"")</f>
        <v/>
      </c>
    </row>
    <row r="33">
      <c r="A33" s="4" t="inlineStr">
        <is>
          <t>291</t>
        </is>
      </c>
      <c r="B33" s="4" t="n">
        <v>2</v>
      </c>
      <c r="C33" s="4" t="inlineStr">
        <is>
          <t>antelope</t>
        </is>
      </c>
      <c r="D33" s="4" t="n">
        <v>2017</v>
      </c>
      <c r="E33" s="15" t="inlineStr">
        <is>
          <t>Draw</t>
        </is>
      </c>
      <c r="F33" s="5" t="n"/>
      <c r="G33" s="5" t="n"/>
      <c r="H33" s="5" t="n">
        <v>3</v>
      </c>
      <c r="I33" s="5" t="n">
        <v>1</v>
      </c>
      <c r="J33" s="5" t="n">
        <v>2</v>
      </c>
      <c r="K33" s="10">
        <f>IF(F33&gt;0,H33/F33,"")</f>
        <v/>
      </c>
      <c r="L33" s="16">
        <f>IF(AND(G33&gt;0,H33&gt;0),G33/H33,"")</f>
        <v/>
      </c>
    </row>
    <row r="34">
      <c r="A34" s="4" t="inlineStr">
        <is>
          <t>291</t>
        </is>
      </c>
      <c r="B34" s="4" t="n">
        <v>2</v>
      </c>
      <c r="C34" s="4" t="inlineStr">
        <is>
          <t>antelope</t>
        </is>
      </c>
      <c r="D34" s="4" t="n">
        <v>2018</v>
      </c>
      <c r="E34" s="15" t="inlineStr">
        <is>
          <t>Draw</t>
        </is>
      </c>
      <c r="F34" s="5" t="n">
        <v>23</v>
      </c>
      <c r="G34" s="5" t="n">
        <v>138</v>
      </c>
      <c r="H34" s="5" t="n">
        <v>5</v>
      </c>
      <c r="I34" s="5" t="n">
        <v>3</v>
      </c>
      <c r="J34" s="5" t="n">
        <v>3</v>
      </c>
      <c r="K34" s="10">
        <f>IF(F34&gt;0,H34/F34,"")</f>
        <v/>
      </c>
      <c r="L34" s="16">
        <f>IF(AND(G34&gt;0,H34&gt;0),G34/H34,"")</f>
        <v/>
      </c>
    </row>
    <row r="35">
      <c r="A35" s="4" t="inlineStr">
        <is>
          <t>291</t>
        </is>
      </c>
      <c r="B35" s="4" t="n">
        <v>2</v>
      </c>
      <c r="C35" s="4" t="inlineStr">
        <is>
          <t>antelope</t>
        </is>
      </c>
      <c r="D35" s="4" t="n">
        <v>2019</v>
      </c>
      <c r="E35" s="15" t="inlineStr">
        <is>
          <t>Draw</t>
        </is>
      </c>
      <c r="F35" s="5" t="n"/>
      <c r="G35" s="5" t="n"/>
      <c r="H35" s="5" t="n">
        <v>2</v>
      </c>
      <c r="I35" s="5" t="n">
        <v>0</v>
      </c>
      <c r="J35" s="5" t="n">
        <v>2</v>
      </c>
      <c r="K35" s="10">
        <f>IF(F35&gt;0,H35/F35,"")</f>
        <v/>
      </c>
      <c r="L35" s="16">
        <f>IF(AND(G35&gt;0,H35&gt;0),G35/H35,"")</f>
        <v/>
      </c>
    </row>
    <row r="36">
      <c r="A36" s="4" t="inlineStr">
        <is>
          <t>291</t>
        </is>
      </c>
      <c r="B36" s="4" t="n">
        <v>2</v>
      </c>
      <c r="C36" s="4" t="inlineStr">
        <is>
          <t>antelope</t>
        </is>
      </c>
      <c r="D36" s="4" t="n">
        <v>2020</v>
      </c>
      <c r="E36" s="15" t="inlineStr">
        <is>
          <t>Draw</t>
        </is>
      </c>
      <c r="F36" s="5" t="n">
        <v>19</v>
      </c>
      <c r="G36" s="5" t="n">
        <v>83</v>
      </c>
      <c r="H36" s="5" t="n">
        <v>3</v>
      </c>
      <c r="I36" s="5" t="n">
        <v>3</v>
      </c>
      <c r="J36" s="5" t="n">
        <v>0</v>
      </c>
      <c r="K36" s="10">
        <f>IF(F36&gt;0,H36/F36,"")</f>
        <v/>
      </c>
      <c r="L36" s="16">
        <f>IF(AND(G36&gt;0,H36&gt;0),G36/H36,"")</f>
        <v/>
      </c>
    </row>
    <row r="37">
      <c r="A37" s="4" t="inlineStr">
        <is>
          <t>291</t>
        </is>
      </c>
      <c r="B37" s="4" t="n">
        <v>2</v>
      </c>
      <c r="C37" s="4" t="inlineStr">
        <is>
          <t>antelope</t>
        </is>
      </c>
      <c r="D37" s="4" t="n">
        <v>2021</v>
      </c>
      <c r="E37" s="15" t="inlineStr">
        <is>
          <t>Draw</t>
        </is>
      </c>
      <c r="F37" s="5" t="n"/>
      <c r="G37" s="5" t="n"/>
      <c r="H37" s="5" t="n">
        <v>1</v>
      </c>
      <c r="I37" s="5" t="n">
        <v>1</v>
      </c>
      <c r="J37" s="5" t="n">
        <v>0</v>
      </c>
      <c r="K37" s="10">
        <f>IF(F37&gt;0,H37/F37,"")</f>
        <v/>
      </c>
      <c r="L37" s="16">
        <f>IF(AND(G37&gt;0,H37&gt;0),G37/H37,"")</f>
        <v/>
      </c>
    </row>
    <row r="38">
      <c r="A38" s="4" t="inlineStr">
        <is>
          <t>291</t>
        </is>
      </c>
      <c r="B38" s="4" t="n">
        <v>2</v>
      </c>
      <c r="C38" s="4" t="inlineStr">
        <is>
          <t>antelope</t>
        </is>
      </c>
      <c r="D38" s="4" t="n">
        <v>2022</v>
      </c>
      <c r="E38" s="15" t="inlineStr">
        <is>
          <t>Draw</t>
        </is>
      </c>
      <c r="F38" s="5" t="n">
        <v>16</v>
      </c>
      <c r="G38" s="5" t="n">
        <v>113</v>
      </c>
      <c r="H38" s="5" t="n">
        <v>9</v>
      </c>
      <c r="I38" s="5" t="n">
        <v>3</v>
      </c>
      <c r="J38" s="5" t="n">
        <v>6</v>
      </c>
      <c r="K38" s="10">
        <f>IF(F38&gt;0,H38/F38,"")</f>
        <v/>
      </c>
      <c r="L38" s="16">
        <f>IF(AND(G38&gt;0,H38&gt;0),G38/H38,"")</f>
        <v/>
      </c>
    </row>
    <row r="39">
      <c r="A39" s="4" t="inlineStr">
        <is>
          <t>291</t>
        </is>
      </c>
      <c r="B39" s="4" t="n">
        <v>2</v>
      </c>
      <c r="C39" s="4" t="inlineStr">
        <is>
          <t>antelope</t>
        </is>
      </c>
      <c r="D39" s="4" t="n">
        <v>2023</v>
      </c>
      <c r="E39" s="15" t="inlineStr">
        <is>
          <t>Draw</t>
        </is>
      </c>
      <c r="F39" s="5" t="n"/>
      <c r="G39" s="5" t="n"/>
      <c r="H39" s="5" t="n">
        <v>1</v>
      </c>
      <c r="I39" s="5" t="n">
        <v>1</v>
      </c>
      <c r="J39" s="5" t="n">
        <v>0</v>
      </c>
      <c r="K39" s="10">
        <f>IF(F39&gt;0,H39/F39,"")</f>
        <v/>
      </c>
      <c r="L39" s="16">
        <f>IF(AND(G39&gt;0,H39&gt;0),G39/H39,"")</f>
        <v/>
      </c>
    </row>
    <row r="40">
      <c r="A40" s="4" t="inlineStr">
        <is>
          <t>291</t>
        </is>
      </c>
      <c r="B40" s="4" t="n">
        <v>2</v>
      </c>
      <c r="C40" s="4" t="inlineStr">
        <is>
          <t>antelope</t>
        </is>
      </c>
      <c r="D40" s="4" t="n">
        <v>2024</v>
      </c>
      <c r="E40" s="15" t="inlineStr">
        <is>
          <t>Draw</t>
        </is>
      </c>
      <c r="F40" s="5" t="n">
        <v>2</v>
      </c>
      <c r="G40" s="5" t="n">
        <v>7</v>
      </c>
      <c r="H40" s="5" t="n">
        <v>1</v>
      </c>
      <c r="I40" s="5" t="n">
        <v>1</v>
      </c>
      <c r="J40" s="5" t="n">
        <v>0</v>
      </c>
      <c r="K40" s="10">
        <f>IF(F40&gt;0,H40/F40,"")</f>
        <v/>
      </c>
      <c r="L40" s="16">
        <f>IF(AND(G40&gt;0,H40&gt;0),G40/H40,"")</f>
        <v/>
      </c>
    </row>
    <row r="41">
      <c r="A41" s="4" t="inlineStr">
        <is>
          <t>300</t>
        </is>
      </c>
      <c r="B41" s="4" t="n">
        <v>3</v>
      </c>
      <c r="C41" s="4" t="inlineStr">
        <is>
          <t>antelope</t>
        </is>
      </c>
      <c r="D41" s="4" t="n">
        <v>2004</v>
      </c>
      <c r="E41" s="15" t="inlineStr">
        <is>
          <t>Draw</t>
        </is>
      </c>
      <c r="F41" s="5" t="n">
        <v>399</v>
      </c>
      <c r="G41" s="5" t="n">
        <v>1227</v>
      </c>
      <c r="H41" s="5" t="n">
        <v>180</v>
      </c>
      <c r="I41" s="5" t="n">
        <v>124</v>
      </c>
      <c r="J41" s="5" t="n">
        <v>53</v>
      </c>
      <c r="K41" s="10">
        <f>IF(F41&gt;0,H41/F41,"")</f>
        <v/>
      </c>
      <c r="L41" s="16">
        <f>IF(AND(G41&gt;0,H41&gt;0),G41/H41,"")</f>
        <v/>
      </c>
    </row>
    <row r="42">
      <c r="A42" s="4" t="inlineStr">
        <is>
          <t>300</t>
        </is>
      </c>
      <c r="B42" s="4" t="n">
        <v>3</v>
      </c>
      <c r="C42" s="4" t="inlineStr">
        <is>
          <t>antelope</t>
        </is>
      </c>
      <c r="D42" s="4" t="n">
        <v>2005</v>
      </c>
      <c r="E42" s="15" t="inlineStr">
        <is>
          <t>Draw</t>
        </is>
      </c>
      <c r="F42" s="5" t="n">
        <v>423</v>
      </c>
      <c r="G42" s="5" t="n">
        <v>1178</v>
      </c>
      <c r="H42" s="5" t="n">
        <v>175</v>
      </c>
      <c r="I42" s="5" t="n">
        <v>122</v>
      </c>
      <c r="J42" s="5" t="n">
        <v>47</v>
      </c>
      <c r="K42" s="10">
        <f>IF(F42&gt;0,H42/F42,"")</f>
        <v/>
      </c>
      <c r="L42" s="16">
        <f>IF(AND(G42&gt;0,H42&gt;0),G42/H42,"")</f>
        <v/>
      </c>
    </row>
    <row r="43">
      <c r="A43" s="4" t="inlineStr">
        <is>
          <t>300</t>
        </is>
      </c>
      <c r="B43" s="4" t="n">
        <v>3</v>
      </c>
      <c r="C43" s="4" t="inlineStr">
        <is>
          <t>antelope</t>
        </is>
      </c>
      <c r="D43" s="4" t="n">
        <v>2006</v>
      </c>
      <c r="E43" s="15" t="inlineStr">
        <is>
          <t>Draw</t>
        </is>
      </c>
      <c r="F43" s="5" t="n">
        <v>309</v>
      </c>
      <c r="G43" s="5" t="n">
        <v>926</v>
      </c>
      <c r="H43" s="5" t="n">
        <v>150</v>
      </c>
      <c r="I43" s="5" t="n">
        <v>88</v>
      </c>
      <c r="J43" s="5" t="n">
        <v>55</v>
      </c>
      <c r="K43" s="10">
        <f>IF(F43&gt;0,H43/F43,"")</f>
        <v/>
      </c>
      <c r="L43" s="16">
        <f>IF(AND(G43&gt;0,H43&gt;0),G43/H43,"")</f>
        <v/>
      </c>
    </row>
    <row r="44">
      <c r="A44" s="4" t="inlineStr">
        <is>
          <t>300</t>
        </is>
      </c>
      <c r="B44" s="4" t="n">
        <v>3</v>
      </c>
      <c r="C44" s="4" t="inlineStr">
        <is>
          <t>antelope</t>
        </is>
      </c>
      <c r="D44" s="4" t="n">
        <v>2007</v>
      </c>
      <c r="E44" s="15" t="inlineStr">
        <is>
          <t>Draw</t>
        </is>
      </c>
      <c r="F44" s="5" t="n">
        <v>283</v>
      </c>
      <c r="G44" s="5" t="n">
        <v>843</v>
      </c>
      <c r="H44" s="5" t="n">
        <v>137</v>
      </c>
      <c r="I44" s="5" t="n">
        <v>84</v>
      </c>
      <c r="J44" s="5" t="n">
        <v>53</v>
      </c>
      <c r="K44" s="10">
        <f>IF(F44&gt;0,H44/F44,"")</f>
        <v/>
      </c>
      <c r="L44" s="16">
        <f>IF(AND(G44&gt;0,H44&gt;0),G44/H44,"")</f>
        <v/>
      </c>
    </row>
    <row r="45">
      <c r="A45" s="4" t="inlineStr">
        <is>
          <t>300</t>
        </is>
      </c>
      <c r="B45" s="4" t="n">
        <v>3</v>
      </c>
      <c r="C45" s="4" t="inlineStr">
        <is>
          <t>antelope</t>
        </is>
      </c>
      <c r="D45" s="4" t="n">
        <v>2008</v>
      </c>
      <c r="E45" s="15" t="inlineStr">
        <is>
          <t>Draw</t>
        </is>
      </c>
      <c r="F45" s="5" t="n">
        <v>240</v>
      </c>
      <c r="G45" s="5" t="n">
        <v>683</v>
      </c>
      <c r="H45" s="5" t="n">
        <v>127</v>
      </c>
      <c r="I45" s="5" t="n">
        <v>90</v>
      </c>
      <c r="J45" s="5" t="n">
        <v>37</v>
      </c>
      <c r="K45" s="10">
        <f>IF(F45&gt;0,H45/F45,"")</f>
        <v/>
      </c>
      <c r="L45" s="16">
        <f>IF(AND(G45&gt;0,H45&gt;0),G45/H45,"")</f>
        <v/>
      </c>
    </row>
    <row r="46">
      <c r="A46" s="4" t="inlineStr">
        <is>
          <t>300</t>
        </is>
      </c>
      <c r="B46" s="4" t="n">
        <v>3</v>
      </c>
      <c r="C46" s="4" t="inlineStr">
        <is>
          <t>antelope</t>
        </is>
      </c>
      <c r="D46" s="4" t="n">
        <v>2009</v>
      </c>
      <c r="E46" s="15" t="inlineStr">
        <is>
          <t>Draw</t>
        </is>
      </c>
      <c r="F46" s="5" t="n">
        <v>254</v>
      </c>
      <c r="G46" s="5" t="n">
        <v>640</v>
      </c>
      <c r="H46" s="5" t="n">
        <v>131</v>
      </c>
      <c r="I46" s="5" t="n">
        <v>92</v>
      </c>
      <c r="J46" s="5" t="n">
        <v>39</v>
      </c>
      <c r="K46" s="10">
        <f>IF(F46&gt;0,H46/F46,"")</f>
        <v/>
      </c>
      <c r="L46" s="16">
        <f>IF(AND(G46&gt;0,H46&gt;0),G46/H46,"")</f>
        <v/>
      </c>
    </row>
    <row r="47">
      <c r="A47" s="4" t="inlineStr">
        <is>
          <t>300</t>
        </is>
      </c>
      <c r="B47" s="4" t="n">
        <v>3</v>
      </c>
      <c r="C47" s="4" t="inlineStr">
        <is>
          <t>antelope</t>
        </is>
      </c>
      <c r="D47" s="4" t="n">
        <v>2010</v>
      </c>
      <c r="E47" s="15" t="inlineStr">
        <is>
          <t>Draw</t>
        </is>
      </c>
      <c r="F47" s="5" t="n">
        <v>273</v>
      </c>
      <c r="G47" s="5" t="n">
        <v>904</v>
      </c>
      <c r="H47" s="5" t="n">
        <v>195</v>
      </c>
      <c r="I47" s="5" t="n">
        <v>133</v>
      </c>
      <c r="J47" s="5" t="n">
        <v>56</v>
      </c>
      <c r="K47" s="10">
        <f>IF(F47&gt;0,H47/F47,"")</f>
        <v/>
      </c>
      <c r="L47" s="16">
        <f>IF(AND(G47&gt;0,H47&gt;0),G47/H47,"")</f>
        <v/>
      </c>
    </row>
    <row r="48">
      <c r="A48" s="4" t="inlineStr">
        <is>
          <t>300</t>
        </is>
      </c>
      <c r="B48" s="4" t="n">
        <v>3</v>
      </c>
      <c r="C48" s="4" t="inlineStr">
        <is>
          <t>antelope</t>
        </is>
      </c>
      <c r="D48" s="4" t="n">
        <v>2011</v>
      </c>
      <c r="E48" s="15" t="inlineStr">
        <is>
          <t>Draw</t>
        </is>
      </c>
      <c r="F48" s="5" t="n">
        <v>291</v>
      </c>
      <c r="G48" s="5" t="n">
        <v>809</v>
      </c>
      <c r="H48" s="5" t="n">
        <v>140</v>
      </c>
      <c r="I48" s="5" t="n">
        <v>83</v>
      </c>
      <c r="J48" s="5" t="n">
        <v>57</v>
      </c>
      <c r="K48" s="10">
        <f>IF(F48&gt;0,H48/F48,"")</f>
        <v/>
      </c>
      <c r="L48" s="16">
        <f>IF(AND(G48&gt;0,H48&gt;0),G48/H48,"")</f>
        <v/>
      </c>
    </row>
    <row r="49">
      <c r="A49" s="4" t="inlineStr">
        <is>
          <t>300</t>
        </is>
      </c>
      <c r="B49" s="4" t="n">
        <v>3</v>
      </c>
      <c r="C49" s="4" t="inlineStr">
        <is>
          <t>antelope</t>
        </is>
      </c>
      <c r="D49" s="4" t="n">
        <v>2012</v>
      </c>
      <c r="E49" s="15" t="inlineStr">
        <is>
          <t>Draw</t>
        </is>
      </c>
      <c r="F49" s="5" t="n">
        <v>234</v>
      </c>
      <c r="G49" s="5" t="n">
        <v>614</v>
      </c>
      <c r="H49" s="5" t="n">
        <v>114</v>
      </c>
      <c r="I49" s="5" t="n">
        <v>66</v>
      </c>
      <c r="J49" s="5" t="n">
        <v>43</v>
      </c>
      <c r="K49" s="10">
        <f>IF(F49&gt;0,H49/F49,"")</f>
        <v/>
      </c>
      <c r="L49" s="16">
        <f>IF(AND(G49&gt;0,H49&gt;0),G49/H49,"")</f>
        <v/>
      </c>
    </row>
    <row r="50">
      <c r="A50" s="4" t="inlineStr">
        <is>
          <t>300</t>
        </is>
      </c>
      <c r="B50" s="4" t="n">
        <v>3</v>
      </c>
      <c r="C50" s="4" t="inlineStr">
        <is>
          <t>antelope</t>
        </is>
      </c>
      <c r="D50" s="4" t="n">
        <v>2013</v>
      </c>
      <c r="E50" s="15" t="inlineStr">
        <is>
          <t>Draw</t>
        </is>
      </c>
      <c r="F50" s="5" t="n"/>
      <c r="G50" s="5" t="n"/>
      <c r="H50" s="5" t="n">
        <v>130</v>
      </c>
      <c r="I50" s="5" t="n">
        <v>80</v>
      </c>
      <c r="J50" s="5" t="n">
        <v>46</v>
      </c>
      <c r="K50" s="10">
        <f>IF(F50&gt;0,H50/F50,"")</f>
        <v/>
      </c>
      <c r="L50" s="16">
        <f>IF(AND(G50&gt;0,H50&gt;0),G50/H50,"")</f>
        <v/>
      </c>
    </row>
    <row r="51">
      <c r="A51" s="4" t="inlineStr">
        <is>
          <t>300</t>
        </is>
      </c>
      <c r="B51" s="4" t="n">
        <v>3</v>
      </c>
      <c r="C51" s="4" t="inlineStr">
        <is>
          <t>antelope</t>
        </is>
      </c>
      <c r="D51" s="4" t="n">
        <v>2014</v>
      </c>
      <c r="E51" s="15" t="inlineStr">
        <is>
          <t>Draw</t>
        </is>
      </c>
      <c r="F51" s="5" t="n">
        <v>263</v>
      </c>
      <c r="G51" s="5" t="n">
        <v>795</v>
      </c>
      <c r="H51" s="5" t="n">
        <v>150</v>
      </c>
      <c r="I51" s="5" t="n">
        <v>98</v>
      </c>
      <c r="J51" s="5" t="n">
        <v>46</v>
      </c>
      <c r="K51" s="10">
        <f>IF(F51&gt;0,H51/F51,"")</f>
        <v/>
      </c>
      <c r="L51" s="16">
        <f>IF(AND(G51&gt;0,H51&gt;0),G51/H51,"")</f>
        <v/>
      </c>
    </row>
    <row r="52">
      <c r="A52" s="4" t="inlineStr">
        <is>
          <t>300</t>
        </is>
      </c>
      <c r="B52" s="4" t="n">
        <v>3</v>
      </c>
      <c r="C52" s="4" t="inlineStr">
        <is>
          <t>antelope</t>
        </is>
      </c>
      <c r="D52" s="4" t="n">
        <v>2015</v>
      </c>
      <c r="E52" s="15" t="inlineStr">
        <is>
          <t>Draw</t>
        </is>
      </c>
      <c r="F52" s="5" t="n">
        <v>253</v>
      </c>
      <c r="G52" s="5" t="n">
        <v>734</v>
      </c>
      <c r="H52" s="5" t="n">
        <v>150</v>
      </c>
      <c r="I52" s="5" t="n">
        <v>95</v>
      </c>
      <c r="J52" s="5" t="n">
        <v>51</v>
      </c>
      <c r="K52" s="10">
        <f>IF(F52&gt;0,H52/F52,"")</f>
        <v/>
      </c>
      <c r="L52" s="16">
        <f>IF(AND(G52&gt;0,H52&gt;0),G52/H52,"")</f>
        <v/>
      </c>
    </row>
    <row r="53">
      <c r="A53" s="4" t="inlineStr">
        <is>
          <t>300</t>
        </is>
      </c>
      <c r="B53" s="4" t="n">
        <v>3</v>
      </c>
      <c r="C53" s="4" t="inlineStr">
        <is>
          <t>antelope</t>
        </is>
      </c>
      <c r="D53" s="4" t="n">
        <v>2016</v>
      </c>
      <c r="E53" s="15" t="inlineStr">
        <is>
          <t>Draw</t>
        </is>
      </c>
      <c r="F53" s="5" t="n"/>
      <c r="G53" s="5" t="n"/>
      <c r="H53" s="5" t="n">
        <v>132</v>
      </c>
      <c r="I53" s="5" t="n">
        <v>95</v>
      </c>
      <c r="J53" s="5" t="n">
        <v>38</v>
      </c>
      <c r="K53" s="10">
        <f>IF(F53&gt;0,H53/F53,"")</f>
        <v/>
      </c>
      <c r="L53" s="16">
        <f>IF(AND(G53&gt;0,H53&gt;0),G53/H53,"")</f>
        <v/>
      </c>
    </row>
    <row r="54">
      <c r="A54" s="4" t="inlineStr">
        <is>
          <t>300</t>
        </is>
      </c>
      <c r="B54" s="4" t="n">
        <v>3</v>
      </c>
      <c r="C54" s="4" t="inlineStr">
        <is>
          <t>antelope</t>
        </is>
      </c>
      <c r="D54" s="4" t="n">
        <v>2017</v>
      </c>
      <c r="E54" s="15" t="inlineStr">
        <is>
          <t>Draw</t>
        </is>
      </c>
      <c r="F54" s="5" t="n"/>
      <c r="G54" s="5" t="n"/>
      <c r="H54" s="5" t="n">
        <v>141</v>
      </c>
      <c r="I54" s="5" t="n">
        <v>95</v>
      </c>
      <c r="J54" s="5" t="n">
        <v>46</v>
      </c>
      <c r="K54" s="10">
        <f>IF(F54&gt;0,H54/F54,"")</f>
        <v/>
      </c>
      <c r="L54" s="16">
        <f>IF(AND(G54&gt;0,H54&gt;0),G54/H54,"")</f>
        <v/>
      </c>
    </row>
    <row r="55">
      <c r="A55" s="4" t="inlineStr">
        <is>
          <t>300</t>
        </is>
      </c>
      <c r="B55" s="4" t="n">
        <v>3</v>
      </c>
      <c r="C55" s="4" t="inlineStr">
        <is>
          <t>antelope</t>
        </is>
      </c>
      <c r="D55" s="4" t="n">
        <v>2018</v>
      </c>
      <c r="E55" s="15" t="inlineStr">
        <is>
          <t>Draw</t>
        </is>
      </c>
      <c r="F55" s="5" t="n">
        <v>274</v>
      </c>
      <c r="G55" s="5" t="n">
        <v>707</v>
      </c>
      <c r="H55" s="5" t="n">
        <v>174</v>
      </c>
      <c r="I55" s="5" t="n">
        <v>128</v>
      </c>
      <c r="J55" s="5" t="n">
        <v>43</v>
      </c>
      <c r="K55" s="10">
        <f>IF(F55&gt;0,H55/F55,"")</f>
        <v/>
      </c>
      <c r="L55" s="16">
        <f>IF(AND(G55&gt;0,H55&gt;0),G55/H55,"")</f>
        <v/>
      </c>
    </row>
    <row r="56">
      <c r="A56" s="4" t="inlineStr">
        <is>
          <t>300</t>
        </is>
      </c>
      <c r="B56" s="4" t="n">
        <v>3</v>
      </c>
      <c r="C56" s="4" t="inlineStr">
        <is>
          <t>antelope</t>
        </is>
      </c>
      <c r="D56" s="4" t="n">
        <v>2019</v>
      </c>
      <c r="E56" s="15" t="inlineStr">
        <is>
          <t>Draw</t>
        </is>
      </c>
      <c r="F56" s="5" t="n"/>
      <c r="G56" s="5" t="n"/>
      <c r="H56" s="5" t="n">
        <v>89</v>
      </c>
      <c r="I56" s="5" t="n">
        <v>60</v>
      </c>
      <c r="J56" s="5" t="n">
        <v>25</v>
      </c>
      <c r="K56" s="10">
        <f>IF(F56&gt;0,H56/F56,"")</f>
        <v/>
      </c>
      <c r="L56" s="16">
        <f>IF(AND(G56&gt;0,H56&gt;0),G56/H56,"")</f>
        <v/>
      </c>
    </row>
    <row r="57">
      <c r="A57" s="4" t="inlineStr">
        <is>
          <t>300</t>
        </is>
      </c>
      <c r="B57" s="4" t="n">
        <v>3</v>
      </c>
      <c r="C57" s="4" t="inlineStr">
        <is>
          <t>antelope</t>
        </is>
      </c>
      <c r="D57" s="4" t="n">
        <v>2020</v>
      </c>
      <c r="E57" s="15" t="inlineStr">
        <is>
          <t>Draw</t>
        </is>
      </c>
      <c r="F57" s="5" t="n">
        <v>274</v>
      </c>
      <c r="G57" s="5" t="n">
        <v>981</v>
      </c>
      <c r="H57" s="5" t="n">
        <v>144</v>
      </c>
      <c r="I57" s="5" t="n">
        <v>91</v>
      </c>
      <c r="J57" s="5" t="n">
        <v>51</v>
      </c>
      <c r="K57" s="10">
        <f>IF(F57&gt;0,H57/F57,"")</f>
        <v/>
      </c>
      <c r="L57" s="16">
        <f>IF(AND(G57&gt;0,H57&gt;0),G57/H57,"")</f>
        <v/>
      </c>
    </row>
    <row r="58">
      <c r="A58" s="4" t="inlineStr">
        <is>
          <t>300</t>
        </is>
      </c>
      <c r="B58" s="4" t="n">
        <v>3</v>
      </c>
      <c r="C58" s="4" t="inlineStr">
        <is>
          <t>antelope</t>
        </is>
      </c>
      <c r="D58" s="4" t="n">
        <v>2021</v>
      </c>
      <c r="E58" s="15" t="inlineStr">
        <is>
          <t>Draw</t>
        </is>
      </c>
      <c r="F58" s="5" t="n"/>
      <c r="G58" s="5" t="n"/>
      <c r="H58" s="5" t="n">
        <v>172</v>
      </c>
      <c r="I58" s="5" t="n">
        <v>124</v>
      </c>
      <c r="J58" s="5" t="n">
        <v>49</v>
      </c>
      <c r="K58" s="10">
        <f>IF(F58&gt;0,H58/F58,"")</f>
        <v/>
      </c>
      <c r="L58" s="16">
        <f>IF(AND(G58&gt;0,H58&gt;0),G58/H58,"")</f>
        <v/>
      </c>
    </row>
    <row r="59">
      <c r="A59" s="4" t="inlineStr">
        <is>
          <t>300</t>
        </is>
      </c>
      <c r="B59" s="4" t="n">
        <v>3</v>
      </c>
      <c r="C59" s="4" t="inlineStr">
        <is>
          <t>antelope</t>
        </is>
      </c>
      <c r="D59" s="4" t="n">
        <v>2022</v>
      </c>
      <c r="E59" s="15" t="inlineStr">
        <is>
          <t>Draw</t>
        </is>
      </c>
      <c r="F59" s="5" t="n">
        <v>222</v>
      </c>
      <c r="G59" s="5" t="n">
        <v>864</v>
      </c>
      <c r="H59" s="5" t="n">
        <v>128</v>
      </c>
      <c r="I59" s="5" t="n">
        <v>95</v>
      </c>
      <c r="J59" s="5" t="n">
        <v>31</v>
      </c>
      <c r="K59" s="10">
        <f>IF(F59&gt;0,H59/F59,"")</f>
        <v/>
      </c>
      <c r="L59" s="16">
        <f>IF(AND(G59&gt;0,H59&gt;0),G59/H59,"")</f>
        <v/>
      </c>
    </row>
    <row r="60">
      <c r="A60" s="4" t="inlineStr">
        <is>
          <t>300</t>
        </is>
      </c>
      <c r="B60" s="4" t="n">
        <v>3</v>
      </c>
      <c r="C60" s="4" t="inlineStr">
        <is>
          <t>antelope</t>
        </is>
      </c>
      <c r="D60" s="4" t="n">
        <v>2023</v>
      </c>
      <c r="E60" s="15" t="inlineStr">
        <is>
          <t>Draw</t>
        </is>
      </c>
      <c r="F60" s="5" t="n"/>
      <c r="G60" s="5" t="n"/>
      <c r="H60" s="5" t="n">
        <v>96</v>
      </c>
      <c r="I60" s="5" t="n">
        <v>76</v>
      </c>
      <c r="J60" s="5" t="n">
        <v>20</v>
      </c>
      <c r="K60" s="10">
        <f>IF(F60&gt;0,H60/F60,"")</f>
        <v/>
      </c>
      <c r="L60" s="16">
        <f>IF(AND(G60&gt;0,H60&gt;0),G60/H60,"")</f>
        <v/>
      </c>
    </row>
    <row r="61">
      <c r="A61" s="4" t="inlineStr">
        <is>
          <t>300</t>
        </is>
      </c>
      <c r="B61" s="4" t="n">
        <v>3</v>
      </c>
      <c r="C61" s="4" t="inlineStr">
        <is>
          <t>antelope</t>
        </is>
      </c>
      <c r="D61" s="4" t="n">
        <v>2024</v>
      </c>
      <c r="E61" s="15" t="inlineStr">
        <is>
          <t>Draw</t>
        </is>
      </c>
      <c r="F61" s="5" t="n">
        <v>236</v>
      </c>
      <c r="G61" s="5" t="n">
        <v>895</v>
      </c>
      <c r="H61" s="5" t="n">
        <v>81</v>
      </c>
      <c r="I61" s="5" t="n">
        <v>61</v>
      </c>
      <c r="J61" s="5" t="n">
        <v>18</v>
      </c>
      <c r="K61" s="10">
        <f>IF(F61&gt;0,H61/F61,"")</f>
        <v/>
      </c>
      <c r="L61" s="16">
        <f>IF(AND(G61&gt;0,H61&gt;0),G61/H61,"")</f>
        <v/>
      </c>
    </row>
    <row r="62">
      <c r="A62" s="4" t="inlineStr">
        <is>
          <t>300</t>
        </is>
      </c>
      <c r="B62" s="4" t="n">
        <v>3</v>
      </c>
      <c r="C62" s="4" t="inlineStr">
        <is>
          <t>antelope</t>
        </is>
      </c>
      <c r="D62" s="4" t="n">
        <v>2025</v>
      </c>
      <c r="E62" s="15" t="inlineStr">
        <is>
          <t>Draw</t>
        </is>
      </c>
      <c r="F62" s="5" t="n"/>
      <c r="G62" s="5" t="n"/>
      <c r="H62" s="5" t="n">
        <v>80</v>
      </c>
      <c r="I62" s="5" t="n">
        <v>63</v>
      </c>
      <c r="J62" s="5" t="n">
        <v>13</v>
      </c>
      <c r="K62" s="10">
        <f>IF(F62&gt;0,H62/F62,"")</f>
        <v/>
      </c>
      <c r="L62" s="16">
        <f>IF(AND(G62&gt;0,H62&gt;0),G62/H62,"")</f>
        <v/>
      </c>
    </row>
    <row r="63">
      <c r="A63" s="4" t="inlineStr">
        <is>
          <t>301</t>
        </is>
      </c>
      <c r="B63" s="4" t="n">
        <v>3</v>
      </c>
      <c r="C63" s="4" t="inlineStr">
        <is>
          <t>antelope</t>
        </is>
      </c>
      <c r="D63" s="4" t="n">
        <v>2004</v>
      </c>
      <c r="E63" s="15" t="inlineStr">
        <is>
          <t>Draw</t>
        </is>
      </c>
      <c r="F63" s="5" t="n">
        <v>62</v>
      </c>
      <c r="G63" s="5" t="n">
        <v>121</v>
      </c>
      <c r="H63" s="5" t="n">
        <v>19</v>
      </c>
      <c r="I63" s="5" t="n">
        <v>15</v>
      </c>
      <c r="J63" s="5" t="n">
        <v>4</v>
      </c>
      <c r="K63" s="10">
        <f>IF(F63&gt;0,H63/F63,"")</f>
        <v/>
      </c>
      <c r="L63" s="16">
        <f>IF(AND(G63&gt;0,H63&gt;0),G63/H63,"")</f>
        <v/>
      </c>
    </row>
    <row r="64">
      <c r="A64" s="4" t="inlineStr">
        <is>
          <t>301</t>
        </is>
      </c>
      <c r="B64" s="4" t="n">
        <v>3</v>
      </c>
      <c r="C64" s="4" t="inlineStr">
        <is>
          <t>antelope</t>
        </is>
      </c>
      <c r="D64" s="4" t="n">
        <v>2005</v>
      </c>
      <c r="E64" s="15" t="inlineStr">
        <is>
          <t>Draw</t>
        </is>
      </c>
      <c r="F64" s="5" t="n">
        <v>62</v>
      </c>
      <c r="G64" s="5" t="n">
        <v>151</v>
      </c>
      <c r="H64" s="5" t="n">
        <v>14</v>
      </c>
      <c r="I64" s="5" t="n">
        <v>12</v>
      </c>
      <c r="J64" s="5" t="n">
        <v>2</v>
      </c>
      <c r="K64" s="10">
        <f>IF(F64&gt;0,H64/F64,"")</f>
        <v/>
      </c>
      <c r="L64" s="16">
        <f>IF(AND(G64&gt;0,H64&gt;0),G64/H64,"")</f>
        <v/>
      </c>
    </row>
    <row r="65">
      <c r="A65" s="4" t="inlineStr">
        <is>
          <t>301</t>
        </is>
      </c>
      <c r="B65" s="4" t="n">
        <v>3</v>
      </c>
      <c r="C65" s="4" t="inlineStr">
        <is>
          <t>antelope</t>
        </is>
      </c>
      <c r="D65" s="4" t="n">
        <v>2006</v>
      </c>
      <c r="E65" s="15" t="inlineStr">
        <is>
          <t>Draw</t>
        </is>
      </c>
      <c r="F65" s="5" t="n">
        <v>35</v>
      </c>
      <c r="G65" s="5" t="n">
        <v>81</v>
      </c>
      <c r="H65" s="5" t="n">
        <v>18</v>
      </c>
      <c r="I65" s="5" t="n">
        <v>8</v>
      </c>
      <c r="J65" s="5" t="n">
        <v>6</v>
      </c>
      <c r="K65" s="10">
        <f>IF(F65&gt;0,H65/F65,"")</f>
        <v/>
      </c>
      <c r="L65" s="16">
        <f>IF(AND(G65&gt;0,H65&gt;0),G65/H65,"")</f>
        <v/>
      </c>
    </row>
    <row r="66">
      <c r="A66" s="4" t="inlineStr">
        <is>
          <t>301</t>
        </is>
      </c>
      <c r="B66" s="4" t="n">
        <v>3</v>
      </c>
      <c r="C66" s="4" t="inlineStr">
        <is>
          <t>antelope</t>
        </is>
      </c>
      <c r="D66" s="4" t="n">
        <v>2007</v>
      </c>
      <c r="E66" s="15" t="inlineStr">
        <is>
          <t>Draw</t>
        </is>
      </c>
      <c r="F66" s="5" t="n">
        <v>44</v>
      </c>
      <c r="G66" s="5" t="n">
        <v>216</v>
      </c>
      <c r="H66" s="5" t="n">
        <v>11</v>
      </c>
      <c r="I66" s="5" t="n">
        <v>9</v>
      </c>
      <c r="J66" s="5" t="n">
        <v>0</v>
      </c>
      <c r="K66" s="10">
        <f>IF(F66&gt;0,H66/F66,"")</f>
        <v/>
      </c>
      <c r="L66" s="16">
        <f>IF(AND(G66&gt;0,H66&gt;0),G66/H66,"")</f>
        <v/>
      </c>
    </row>
    <row r="67">
      <c r="A67" s="4" t="inlineStr">
        <is>
          <t>301</t>
        </is>
      </c>
      <c r="B67" s="4" t="n">
        <v>3</v>
      </c>
      <c r="C67" s="4" t="inlineStr">
        <is>
          <t>antelope</t>
        </is>
      </c>
      <c r="D67" s="4" t="n">
        <v>2008</v>
      </c>
      <c r="E67" s="15" t="inlineStr">
        <is>
          <t>Draw</t>
        </is>
      </c>
      <c r="F67" s="5" t="n">
        <v>21</v>
      </c>
      <c r="G67" s="5" t="n">
        <v>68</v>
      </c>
      <c r="H67" s="5" t="n">
        <v>15</v>
      </c>
      <c r="I67" s="5" t="n">
        <v>8</v>
      </c>
      <c r="J67" s="5" t="n">
        <v>7</v>
      </c>
      <c r="K67" s="10">
        <f>IF(F67&gt;0,H67/F67,"")</f>
        <v/>
      </c>
      <c r="L67" s="16">
        <f>IF(AND(G67&gt;0,H67&gt;0),G67/H67,"")</f>
        <v/>
      </c>
    </row>
    <row r="68">
      <c r="A68" s="4" t="inlineStr">
        <is>
          <t>301</t>
        </is>
      </c>
      <c r="B68" s="4" t="n">
        <v>3</v>
      </c>
      <c r="C68" s="4" t="inlineStr">
        <is>
          <t>antelope</t>
        </is>
      </c>
      <c r="D68" s="4" t="n">
        <v>2009</v>
      </c>
      <c r="E68" s="15" t="inlineStr">
        <is>
          <t>Draw</t>
        </is>
      </c>
      <c r="F68" s="5" t="n">
        <v>26</v>
      </c>
      <c r="G68" s="5" t="n">
        <v>165</v>
      </c>
      <c r="H68" s="5" t="n">
        <v>15</v>
      </c>
      <c r="I68" s="5" t="n">
        <v>11</v>
      </c>
      <c r="J68" s="5" t="n">
        <v>4</v>
      </c>
      <c r="K68" s="10">
        <f>IF(F68&gt;0,H68/F68,"")</f>
        <v/>
      </c>
      <c r="L68" s="16">
        <f>IF(AND(G68&gt;0,H68&gt;0),G68/H68,"")</f>
        <v/>
      </c>
    </row>
    <row r="69">
      <c r="A69" s="4" t="inlineStr">
        <is>
          <t>301</t>
        </is>
      </c>
      <c r="B69" s="4" t="n">
        <v>3</v>
      </c>
      <c r="C69" s="4" t="inlineStr">
        <is>
          <t>antelope</t>
        </is>
      </c>
      <c r="D69" s="4" t="n">
        <v>2010</v>
      </c>
      <c r="E69" s="15" t="inlineStr">
        <is>
          <t>Draw</t>
        </is>
      </c>
      <c r="F69" s="5" t="n">
        <v>25</v>
      </c>
      <c r="G69" s="5" t="n">
        <v>76</v>
      </c>
      <c r="H69" s="5" t="n">
        <v>11</v>
      </c>
      <c r="I69" s="5" t="n">
        <v>7</v>
      </c>
      <c r="J69" s="5" t="n">
        <v>4</v>
      </c>
      <c r="K69" s="10">
        <f>IF(F69&gt;0,H69/F69,"")</f>
        <v/>
      </c>
      <c r="L69" s="16">
        <f>IF(AND(G69&gt;0,H69&gt;0),G69/H69,"")</f>
        <v/>
      </c>
    </row>
    <row r="70">
      <c r="A70" s="4" t="inlineStr">
        <is>
          <t>301</t>
        </is>
      </c>
      <c r="B70" s="4" t="n">
        <v>3</v>
      </c>
      <c r="C70" s="4" t="inlineStr">
        <is>
          <t>antelope</t>
        </is>
      </c>
      <c r="D70" s="4" t="n">
        <v>2011</v>
      </c>
      <c r="E70" s="15" t="inlineStr">
        <is>
          <t>Draw</t>
        </is>
      </c>
      <c r="F70" s="5" t="n">
        <v>23</v>
      </c>
      <c r="G70" s="5" t="n">
        <v>55</v>
      </c>
      <c r="H70" s="5" t="n">
        <v>9</v>
      </c>
      <c r="I70" s="5" t="n">
        <v>7</v>
      </c>
      <c r="J70" s="5" t="n">
        <v>2</v>
      </c>
      <c r="K70" s="10">
        <f>IF(F70&gt;0,H70/F70,"")</f>
        <v/>
      </c>
      <c r="L70" s="16">
        <f>IF(AND(G70&gt;0,H70&gt;0),G70/H70,"")</f>
        <v/>
      </c>
    </row>
    <row r="71">
      <c r="A71" s="4" t="inlineStr">
        <is>
          <t>301</t>
        </is>
      </c>
      <c r="B71" s="4" t="n">
        <v>3</v>
      </c>
      <c r="C71" s="4" t="inlineStr">
        <is>
          <t>antelope</t>
        </is>
      </c>
      <c r="D71" s="4" t="n">
        <v>2012</v>
      </c>
      <c r="E71" s="15" t="inlineStr">
        <is>
          <t>Draw</t>
        </is>
      </c>
      <c r="F71" s="5" t="n">
        <v>26</v>
      </c>
      <c r="G71" s="5" t="n">
        <v>110</v>
      </c>
      <c r="H71" s="5" t="n">
        <v>7</v>
      </c>
      <c r="I71" s="5" t="n">
        <v>5</v>
      </c>
      <c r="J71" s="5" t="n">
        <v>2</v>
      </c>
      <c r="K71" s="10">
        <f>IF(F71&gt;0,H71/F71,"")</f>
        <v/>
      </c>
      <c r="L71" s="16">
        <f>IF(AND(G71&gt;0,H71&gt;0),G71/H71,"")</f>
        <v/>
      </c>
    </row>
    <row r="72">
      <c r="A72" s="4" t="inlineStr">
        <is>
          <t>301</t>
        </is>
      </c>
      <c r="B72" s="4" t="n">
        <v>3</v>
      </c>
      <c r="C72" s="4" t="inlineStr">
        <is>
          <t>antelope</t>
        </is>
      </c>
      <c r="D72" s="4" t="n">
        <v>2013</v>
      </c>
      <c r="E72" s="15" t="inlineStr">
        <is>
          <t>Draw</t>
        </is>
      </c>
      <c r="F72" s="5" t="n"/>
      <c r="G72" s="5" t="n"/>
      <c r="H72" s="5" t="n">
        <v>9</v>
      </c>
      <c r="I72" s="5" t="n">
        <v>8</v>
      </c>
      <c r="J72" s="5" t="n">
        <v>2</v>
      </c>
      <c r="K72" s="10">
        <f>IF(F72&gt;0,H72/F72,"")</f>
        <v/>
      </c>
      <c r="L72" s="16">
        <f>IF(AND(G72&gt;0,H72&gt;0),G72/H72,"")</f>
        <v/>
      </c>
    </row>
    <row r="73">
      <c r="A73" s="4" t="inlineStr">
        <is>
          <t>301</t>
        </is>
      </c>
      <c r="B73" s="4" t="n">
        <v>3</v>
      </c>
      <c r="C73" s="4" t="inlineStr">
        <is>
          <t>antelope</t>
        </is>
      </c>
      <c r="D73" s="4" t="n">
        <v>2014</v>
      </c>
      <c r="E73" s="15" t="inlineStr">
        <is>
          <t>Draw</t>
        </is>
      </c>
      <c r="F73" s="5" t="n">
        <v>17</v>
      </c>
      <c r="G73" s="5" t="n">
        <v>68</v>
      </c>
      <c r="H73" s="5" t="n">
        <v>4</v>
      </c>
      <c r="I73" s="5" t="n">
        <v>1</v>
      </c>
      <c r="J73" s="5" t="n">
        <v>3</v>
      </c>
      <c r="K73" s="10">
        <f>IF(F73&gt;0,H73/F73,"")</f>
        <v/>
      </c>
      <c r="L73" s="16">
        <f>IF(AND(G73&gt;0,H73&gt;0),G73/H73,"")</f>
        <v/>
      </c>
    </row>
    <row r="74">
      <c r="A74" s="4" t="inlineStr">
        <is>
          <t>301</t>
        </is>
      </c>
      <c r="B74" s="4" t="n">
        <v>3</v>
      </c>
      <c r="C74" s="4" t="inlineStr">
        <is>
          <t>antelope</t>
        </is>
      </c>
      <c r="D74" s="4" t="n">
        <v>2015</v>
      </c>
      <c r="E74" s="15" t="inlineStr">
        <is>
          <t>Draw</t>
        </is>
      </c>
      <c r="F74" s="5" t="n">
        <v>35</v>
      </c>
      <c r="G74" s="5" t="n">
        <v>106</v>
      </c>
      <c r="H74" s="5" t="n">
        <v>19</v>
      </c>
      <c r="I74" s="5" t="n">
        <v>15</v>
      </c>
      <c r="J74" s="5" t="n">
        <v>4</v>
      </c>
      <c r="K74" s="10">
        <f>IF(F74&gt;0,H74/F74,"")</f>
        <v/>
      </c>
      <c r="L74" s="16">
        <f>IF(AND(G74&gt;0,H74&gt;0),G74/H74,"")</f>
        <v/>
      </c>
    </row>
    <row r="75">
      <c r="A75" s="4" t="inlineStr">
        <is>
          <t>301</t>
        </is>
      </c>
      <c r="B75" s="4" t="n">
        <v>3</v>
      </c>
      <c r="C75" s="4" t="inlineStr">
        <is>
          <t>antelope</t>
        </is>
      </c>
      <c r="D75" s="4" t="n">
        <v>2016</v>
      </c>
      <c r="E75" s="15" t="inlineStr">
        <is>
          <t>Draw</t>
        </is>
      </c>
      <c r="F75" s="5" t="n"/>
      <c r="G75" s="5" t="n"/>
      <c r="H75" s="5" t="n">
        <v>13</v>
      </c>
      <c r="I75" s="5" t="n">
        <v>8</v>
      </c>
      <c r="J75" s="5" t="n">
        <v>6</v>
      </c>
      <c r="K75" s="10">
        <f>IF(F75&gt;0,H75/F75,"")</f>
        <v/>
      </c>
      <c r="L75" s="16">
        <f>IF(AND(G75&gt;0,H75&gt;0),G75/H75,"")</f>
        <v/>
      </c>
    </row>
    <row r="76">
      <c r="A76" s="4" t="inlineStr">
        <is>
          <t>301</t>
        </is>
      </c>
      <c r="B76" s="4" t="n">
        <v>3</v>
      </c>
      <c r="C76" s="4" t="inlineStr">
        <is>
          <t>antelope</t>
        </is>
      </c>
      <c r="D76" s="4" t="n">
        <v>2017</v>
      </c>
      <c r="E76" s="15" t="inlineStr">
        <is>
          <t>Draw</t>
        </is>
      </c>
      <c r="F76" s="5" t="n"/>
      <c r="G76" s="5" t="n"/>
      <c r="H76" s="5" t="n">
        <v>11</v>
      </c>
      <c r="I76" s="5" t="n">
        <v>9</v>
      </c>
      <c r="J76" s="5" t="n">
        <v>2</v>
      </c>
      <c r="K76" s="10">
        <f>IF(F76&gt;0,H76/F76,"")</f>
        <v/>
      </c>
      <c r="L76" s="16">
        <f>IF(AND(G76&gt;0,H76&gt;0),G76/H76,"")</f>
        <v/>
      </c>
    </row>
    <row r="77">
      <c r="A77" s="4" t="inlineStr">
        <is>
          <t>301</t>
        </is>
      </c>
      <c r="B77" s="4" t="n">
        <v>3</v>
      </c>
      <c r="C77" s="4" t="inlineStr">
        <is>
          <t>antelope</t>
        </is>
      </c>
      <c r="D77" s="4" t="n">
        <v>2018</v>
      </c>
      <c r="E77" s="15" t="inlineStr">
        <is>
          <t>Draw</t>
        </is>
      </c>
      <c r="F77" s="5" t="n">
        <v>35</v>
      </c>
      <c r="G77" s="5" t="n">
        <v>110</v>
      </c>
      <c r="H77" s="5" t="n">
        <v>15</v>
      </c>
      <c r="I77" s="5" t="n">
        <v>13</v>
      </c>
      <c r="J77" s="5" t="n">
        <v>2</v>
      </c>
      <c r="K77" s="10">
        <f>IF(F77&gt;0,H77/F77,"")</f>
        <v/>
      </c>
      <c r="L77" s="16">
        <f>IF(AND(G77&gt;0,H77&gt;0),G77/H77,"")</f>
        <v/>
      </c>
    </row>
    <row r="78">
      <c r="A78" s="4" t="inlineStr">
        <is>
          <t>301</t>
        </is>
      </c>
      <c r="B78" s="4" t="n">
        <v>3</v>
      </c>
      <c r="C78" s="4" t="inlineStr">
        <is>
          <t>antelope</t>
        </is>
      </c>
      <c r="D78" s="4" t="n">
        <v>2019</v>
      </c>
      <c r="E78" s="15" t="inlineStr">
        <is>
          <t>Draw</t>
        </is>
      </c>
      <c r="F78" s="5" t="n"/>
      <c r="G78" s="5" t="n"/>
      <c r="H78" s="5" t="n">
        <v>3</v>
      </c>
      <c r="I78" s="5" t="n">
        <v>3</v>
      </c>
      <c r="J78" s="5" t="n">
        <v>0</v>
      </c>
      <c r="K78" s="10">
        <f>IF(F78&gt;0,H78/F78,"")</f>
        <v/>
      </c>
      <c r="L78" s="16">
        <f>IF(AND(G78&gt;0,H78&gt;0),G78/H78,"")</f>
        <v/>
      </c>
    </row>
    <row r="79">
      <c r="A79" s="4" t="inlineStr">
        <is>
          <t>301</t>
        </is>
      </c>
      <c r="B79" s="4" t="n">
        <v>3</v>
      </c>
      <c r="C79" s="4" t="inlineStr">
        <is>
          <t>antelope</t>
        </is>
      </c>
      <c r="D79" s="4" t="n">
        <v>2020</v>
      </c>
      <c r="E79" s="15" t="inlineStr">
        <is>
          <t>Draw</t>
        </is>
      </c>
      <c r="F79" s="5" t="n">
        <v>36</v>
      </c>
      <c r="G79" s="5" t="n">
        <v>128</v>
      </c>
      <c r="H79" s="5" t="n">
        <v>10</v>
      </c>
      <c r="I79" s="5" t="n">
        <v>10</v>
      </c>
      <c r="J79" s="5" t="n">
        <v>0</v>
      </c>
      <c r="K79" s="10">
        <f>IF(F79&gt;0,H79/F79,"")</f>
        <v/>
      </c>
      <c r="L79" s="16">
        <f>IF(AND(G79&gt;0,H79&gt;0),G79/H79,"")</f>
        <v/>
      </c>
    </row>
    <row r="80">
      <c r="A80" s="4" t="inlineStr">
        <is>
          <t>301</t>
        </is>
      </c>
      <c r="B80" s="4" t="n">
        <v>3</v>
      </c>
      <c r="C80" s="4" t="inlineStr">
        <is>
          <t>antelope</t>
        </is>
      </c>
      <c r="D80" s="4" t="n">
        <v>2021</v>
      </c>
      <c r="E80" s="15" t="inlineStr">
        <is>
          <t>Draw</t>
        </is>
      </c>
      <c r="F80" s="5" t="n"/>
      <c r="G80" s="5" t="n"/>
      <c r="H80" s="5" t="n">
        <v>17</v>
      </c>
      <c r="I80" s="5" t="n">
        <v>13</v>
      </c>
      <c r="J80" s="5" t="n">
        <v>3</v>
      </c>
      <c r="K80" s="10">
        <f>IF(F80&gt;0,H80/F80,"")</f>
        <v/>
      </c>
      <c r="L80" s="16">
        <f>IF(AND(G80&gt;0,H80&gt;0),G80/H80,"")</f>
        <v/>
      </c>
    </row>
    <row r="81">
      <c r="A81" s="4" t="inlineStr">
        <is>
          <t>301</t>
        </is>
      </c>
      <c r="B81" s="4" t="n">
        <v>3</v>
      </c>
      <c r="C81" s="4" t="inlineStr">
        <is>
          <t>antelope</t>
        </is>
      </c>
      <c r="D81" s="4" t="n">
        <v>2022</v>
      </c>
      <c r="E81" s="15" t="inlineStr">
        <is>
          <t>Draw</t>
        </is>
      </c>
      <c r="F81" s="5" t="n">
        <v>41</v>
      </c>
      <c r="G81" s="5" t="n">
        <v>141</v>
      </c>
      <c r="H81" s="5" t="n">
        <v>17</v>
      </c>
      <c r="I81" s="5" t="n">
        <v>8</v>
      </c>
      <c r="J81" s="5" t="n">
        <v>9</v>
      </c>
      <c r="K81" s="10">
        <f>IF(F81&gt;0,H81/F81,"")</f>
        <v/>
      </c>
      <c r="L81" s="16">
        <f>IF(AND(G81&gt;0,H81&gt;0),G81/H81,"")</f>
        <v/>
      </c>
    </row>
    <row r="82">
      <c r="A82" s="4" t="inlineStr">
        <is>
          <t>301</t>
        </is>
      </c>
      <c r="B82" s="4" t="n">
        <v>3</v>
      </c>
      <c r="C82" s="4" t="inlineStr">
        <is>
          <t>antelope</t>
        </is>
      </c>
      <c r="D82" s="4" t="n">
        <v>2023</v>
      </c>
      <c r="E82" s="15" t="inlineStr">
        <is>
          <t>Draw</t>
        </is>
      </c>
      <c r="F82" s="5" t="n"/>
      <c r="G82" s="5" t="n"/>
      <c r="H82" s="5" t="n">
        <v>19</v>
      </c>
      <c r="I82" s="5" t="n">
        <v>17</v>
      </c>
      <c r="J82" s="5" t="n">
        <v>2</v>
      </c>
      <c r="K82" s="10">
        <f>IF(F82&gt;0,H82/F82,"")</f>
        <v/>
      </c>
      <c r="L82" s="16">
        <f>IF(AND(G82&gt;0,H82&gt;0),G82/H82,"")</f>
        <v/>
      </c>
    </row>
    <row r="83">
      <c r="A83" s="4" t="inlineStr">
        <is>
          <t>301</t>
        </is>
      </c>
      <c r="B83" s="4" t="n">
        <v>3</v>
      </c>
      <c r="C83" s="4" t="inlineStr">
        <is>
          <t>antelope</t>
        </is>
      </c>
      <c r="D83" s="4" t="n">
        <v>2024</v>
      </c>
      <c r="E83" s="15" t="inlineStr">
        <is>
          <t>Draw</t>
        </is>
      </c>
      <c r="F83" s="5" t="n">
        <v>25</v>
      </c>
      <c r="G83" s="5" t="n">
        <v>100</v>
      </c>
      <c r="H83" s="5" t="n">
        <v>8</v>
      </c>
      <c r="I83" s="5" t="n">
        <v>8</v>
      </c>
      <c r="J83" s="5" t="n">
        <v>0</v>
      </c>
      <c r="K83" s="10">
        <f>IF(F83&gt;0,H83/F83,"")</f>
        <v/>
      </c>
      <c r="L83" s="16">
        <f>IF(AND(G83&gt;0,H83&gt;0),G83/H83,"")</f>
        <v/>
      </c>
    </row>
    <row r="84">
      <c r="A84" s="4" t="inlineStr">
        <is>
          <t>301</t>
        </is>
      </c>
      <c r="B84" s="4" t="n">
        <v>3</v>
      </c>
      <c r="C84" s="4" t="inlineStr">
        <is>
          <t>antelope</t>
        </is>
      </c>
      <c r="D84" s="4" t="n">
        <v>2025</v>
      </c>
      <c r="E84" s="15" t="inlineStr">
        <is>
          <t>Draw</t>
        </is>
      </c>
      <c r="F84" s="5" t="n"/>
      <c r="G84" s="5" t="n"/>
      <c r="H84" s="5" t="n">
        <v>9</v>
      </c>
      <c r="I84" s="5" t="n">
        <v>7</v>
      </c>
      <c r="J84" s="5" t="n">
        <v>2</v>
      </c>
      <c r="K84" s="10">
        <f>IF(F84&gt;0,H84/F84,"")</f>
        <v/>
      </c>
      <c r="L84" s="16">
        <f>IF(AND(G84&gt;0,H84&gt;0),G84/H84,"")</f>
        <v/>
      </c>
    </row>
    <row r="85">
      <c r="A85" s="4" t="inlineStr">
        <is>
          <t>310</t>
        </is>
      </c>
      <c r="B85" s="4" t="n">
        <v>3</v>
      </c>
      <c r="C85" s="4" t="inlineStr">
        <is>
          <t>antelope</t>
        </is>
      </c>
      <c r="D85" s="4" t="n">
        <v>2004</v>
      </c>
      <c r="E85" s="15" t="inlineStr">
        <is>
          <t>Draw</t>
        </is>
      </c>
      <c r="F85" s="5" t="n">
        <v>199</v>
      </c>
      <c r="G85" s="5" t="n">
        <v>622</v>
      </c>
      <c r="H85" s="5" t="n">
        <v>109</v>
      </c>
      <c r="I85" s="5" t="n">
        <v>63</v>
      </c>
      <c r="J85" s="5" t="n">
        <v>43</v>
      </c>
      <c r="K85" s="10">
        <f>IF(F85&gt;0,H85/F85,"")</f>
        <v/>
      </c>
      <c r="L85" s="16">
        <f>IF(AND(G85&gt;0,H85&gt;0),G85/H85,"")</f>
        <v/>
      </c>
    </row>
    <row r="86">
      <c r="A86" s="4" t="inlineStr">
        <is>
          <t>310</t>
        </is>
      </c>
      <c r="B86" s="4" t="n">
        <v>3</v>
      </c>
      <c r="C86" s="4" t="inlineStr">
        <is>
          <t>antelope</t>
        </is>
      </c>
      <c r="D86" s="4" t="n">
        <v>2005</v>
      </c>
      <c r="E86" s="15" t="inlineStr">
        <is>
          <t>Draw</t>
        </is>
      </c>
      <c r="F86" s="5" t="n">
        <v>195</v>
      </c>
      <c r="G86" s="5" t="n">
        <v>611</v>
      </c>
      <c r="H86" s="5" t="n">
        <v>105</v>
      </c>
      <c r="I86" s="5" t="n">
        <v>77</v>
      </c>
      <c r="J86" s="5" t="n">
        <v>23</v>
      </c>
      <c r="K86" s="10">
        <f>IF(F86&gt;0,H86/F86,"")</f>
        <v/>
      </c>
      <c r="L86" s="16">
        <f>IF(AND(G86&gt;0,H86&gt;0),G86/H86,"")</f>
        <v/>
      </c>
    </row>
    <row r="87">
      <c r="A87" s="4" t="inlineStr">
        <is>
          <t>310</t>
        </is>
      </c>
      <c r="B87" s="4" t="n">
        <v>3</v>
      </c>
      <c r="C87" s="4" t="inlineStr">
        <is>
          <t>antelope</t>
        </is>
      </c>
      <c r="D87" s="4" t="n">
        <v>2006</v>
      </c>
      <c r="E87" s="15" t="inlineStr">
        <is>
          <t>Draw</t>
        </is>
      </c>
      <c r="F87" s="5" t="n">
        <v>273</v>
      </c>
      <c r="G87" s="5" t="n">
        <v>788</v>
      </c>
      <c r="H87" s="5" t="n">
        <v>160</v>
      </c>
      <c r="I87" s="5" t="n">
        <v>97</v>
      </c>
      <c r="J87" s="5" t="n">
        <v>57</v>
      </c>
      <c r="K87" s="10">
        <f>IF(F87&gt;0,H87/F87,"")</f>
        <v/>
      </c>
      <c r="L87" s="16">
        <f>IF(AND(G87&gt;0,H87&gt;0),G87/H87,"")</f>
        <v/>
      </c>
    </row>
    <row r="88">
      <c r="A88" s="4" t="inlineStr">
        <is>
          <t>310</t>
        </is>
      </c>
      <c r="B88" s="4" t="n">
        <v>3</v>
      </c>
      <c r="C88" s="4" t="inlineStr">
        <is>
          <t>antelope</t>
        </is>
      </c>
      <c r="D88" s="4" t="n">
        <v>2007</v>
      </c>
      <c r="E88" s="15" t="inlineStr">
        <is>
          <t>Draw</t>
        </is>
      </c>
      <c r="F88" s="5" t="n">
        <v>358</v>
      </c>
      <c r="G88" s="5" t="n">
        <v>1264</v>
      </c>
      <c r="H88" s="5" t="n">
        <v>203</v>
      </c>
      <c r="I88" s="5" t="n">
        <v>114</v>
      </c>
      <c r="J88" s="5" t="n">
        <v>88</v>
      </c>
      <c r="K88" s="10">
        <f>IF(F88&gt;0,H88/F88,"")</f>
        <v/>
      </c>
      <c r="L88" s="16">
        <f>IF(AND(G88&gt;0,H88&gt;0),G88/H88,"")</f>
        <v/>
      </c>
    </row>
    <row r="89">
      <c r="A89" s="4" t="inlineStr">
        <is>
          <t>310</t>
        </is>
      </c>
      <c r="B89" s="4" t="n">
        <v>3</v>
      </c>
      <c r="C89" s="4" t="inlineStr">
        <is>
          <t>antelope</t>
        </is>
      </c>
      <c r="D89" s="4" t="n">
        <v>2008</v>
      </c>
      <c r="E89" s="15" t="inlineStr">
        <is>
          <t>Draw</t>
        </is>
      </c>
      <c r="F89" s="5" t="n">
        <v>331</v>
      </c>
      <c r="G89" s="5" t="n">
        <v>1121</v>
      </c>
      <c r="H89" s="5" t="n">
        <v>227</v>
      </c>
      <c r="I89" s="5" t="n">
        <v>110</v>
      </c>
      <c r="J89" s="5" t="n">
        <v>115</v>
      </c>
      <c r="K89" s="10">
        <f>IF(F89&gt;0,H89/F89,"")</f>
        <v/>
      </c>
      <c r="L89" s="16">
        <f>IF(AND(G89&gt;0,H89&gt;0),G89/H89,"")</f>
        <v/>
      </c>
    </row>
    <row r="90">
      <c r="A90" s="4" t="inlineStr">
        <is>
          <t>310</t>
        </is>
      </c>
      <c r="B90" s="4" t="n">
        <v>3</v>
      </c>
      <c r="C90" s="4" t="inlineStr">
        <is>
          <t>antelope</t>
        </is>
      </c>
      <c r="D90" s="4" t="n">
        <v>2009</v>
      </c>
      <c r="E90" s="15" t="inlineStr">
        <is>
          <t>Draw</t>
        </is>
      </c>
      <c r="F90" s="5" t="n">
        <v>363</v>
      </c>
      <c r="G90" s="5" t="n">
        <v>1391</v>
      </c>
      <c r="H90" s="5" t="n">
        <v>204</v>
      </c>
      <c r="I90" s="5" t="n">
        <v>115</v>
      </c>
      <c r="J90" s="5" t="n">
        <v>87</v>
      </c>
      <c r="K90" s="10">
        <f>IF(F90&gt;0,H90/F90,"")</f>
        <v/>
      </c>
      <c r="L90" s="16">
        <f>IF(AND(G90&gt;0,H90&gt;0),G90/H90,"")</f>
        <v/>
      </c>
    </row>
    <row r="91">
      <c r="A91" s="4" t="inlineStr">
        <is>
          <t>310</t>
        </is>
      </c>
      <c r="B91" s="4" t="n">
        <v>3</v>
      </c>
      <c r="C91" s="4" t="inlineStr">
        <is>
          <t>antelope</t>
        </is>
      </c>
      <c r="D91" s="4" t="n">
        <v>2010</v>
      </c>
      <c r="E91" s="15" t="inlineStr">
        <is>
          <t>Draw</t>
        </is>
      </c>
      <c r="F91" s="5" t="n">
        <v>364</v>
      </c>
      <c r="G91" s="5" t="n">
        <v>1066</v>
      </c>
      <c r="H91" s="5" t="n">
        <v>260</v>
      </c>
      <c r="I91" s="5" t="n">
        <v>112</v>
      </c>
      <c r="J91" s="5" t="n">
        <v>148</v>
      </c>
      <c r="K91" s="10">
        <f>IF(F91&gt;0,H91/F91,"")</f>
        <v/>
      </c>
      <c r="L91" s="16">
        <f>IF(AND(G91&gt;0,H91&gt;0),G91/H91,"")</f>
        <v/>
      </c>
    </row>
    <row r="92">
      <c r="A92" s="4" t="inlineStr">
        <is>
          <t>310</t>
        </is>
      </c>
      <c r="B92" s="4" t="n">
        <v>3</v>
      </c>
      <c r="C92" s="4" t="inlineStr">
        <is>
          <t>antelope</t>
        </is>
      </c>
      <c r="D92" s="4" t="n">
        <v>2011</v>
      </c>
      <c r="E92" s="15" t="inlineStr">
        <is>
          <t>Draw</t>
        </is>
      </c>
      <c r="F92" s="5" t="n">
        <v>389</v>
      </c>
      <c r="G92" s="5" t="n">
        <v>1288</v>
      </c>
      <c r="H92" s="5" t="n">
        <v>265</v>
      </c>
      <c r="I92" s="5" t="n">
        <v>112</v>
      </c>
      <c r="J92" s="5" t="n">
        <v>151</v>
      </c>
      <c r="K92" s="10">
        <f>IF(F92&gt;0,H92/F92,"")</f>
        <v/>
      </c>
      <c r="L92" s="16">
        <f>IF(AND(G92&gt;0,H92&gt;0),G92/H92,"")</f>
        <v/>
      </c>
    </row>
    <row r="93">
      <c r="A93" s="4" t="inlineStr">
        <is>
          <t>310</t>
        </is>
      </c>
      <c r="B93" s="4" t="n">
        <v>3</v>
      </c>
      <c r="C93" s="4" t="inlineStr">
        <is>
          <t>antelope</t>
        </is>
      </c>
      <c r="D93" s="4" t="n">
        <v>2012</v>
      </c>
      <c r="E93" s="15" t="inlineStr">
        <is>
          <t>Draw</t>
        </is>
      </c>
      <c r="F93" s="5" t="n">
        <v>401</v>
      </c>
      <c r="G93" s="5" t="n">
        <v>1232</v>
      </c>
      <c r="H93" s="5" t="n">
        <v>254</v>
      </c>
      <c r="I93" s="5" t="n">
        <v>126</v>
      </c>
      <c r="J93" s="5" t="n">
        <v>124</v>
      </c>
      <c r="K93" s="10">
        <f>IF(F93&gt;0,H93/F93,"")</f>
        <v/>
      </c>
      <c r="L93" s="16">
        <f>IF(AND(G93&gt;0,H93&gt;0),G93/H93,"")</f>
        <v/>
      </c>
    </row>
    <row r="94">
      <c r="A94" s="4" t="inlineStr">
        <is>
          <t>310</t>
        </is>
      </c>
      <c r="B94" s="4" t="n">
        <v>3</v>
      </c>
      <c r="C94" s="4" t="inlineStr">
        <is>
          <t>antelope</t>
        </is>
      </c>
      <c r="D94" s="4" t="n">
        <v>2013</v>
      </c>
      <c r="E94" s="15" t="inlineStr">
        <is>
          <t>Draw</t>
        </is>
      </c>
      <c r="F94" s="5" t="n"/>
      <c r="G94" s="5" t="n"/>
      <c r="H94" s="5" t="n">
        <v>218</v>
      </c>
      <c r="I94" s="5" t="n">
        <v>90</v>
      </c>
      <c r="J94" s="5" t="n">
        <v>126</v>
      </c>
      <c r="K94" s="10">
        <f>IF(F94&gt;0,H94/F94,"")</f>
        <v/>
      </c>
      <c r="L94" s="16">
        <f>IF(AND(G94&gt;0,H94&gt;0),G94/H94,"")</f>
        <v/>
      </c>
    </row>
    <row r="95">
      <c r="A95" s="4" t="inlineStr">
        <is>
          <t>310</t>
        </is>
      </c>
      <c r="B95" s="4" t="n">
        <v>3</v>
      </c>
      <c r="C95" s="4" t="inlineStr">
        <is>
          <t>antelope</t>
        </is>
      </c>
      <c r="D95" s="4" t="n">
        <v>2014</v>
      </c>
      <c r="E95" s="15" t="inlineStr">
        <is>
          <t>Draw</t>
        </is>
      </c>
      <c r="F95" s="5" t="n">
        <v>246</v>
      </c>
      <c r="G95" s="5" t="n">
        <v>872</v>
      </c>
      <c r="H95" s="5" t="n">
        <v>125</v>
      </c>
      <c r="I95" s="5" t="n">
        <v>59</v>
      </c>
      <c r="J95" s="5" t="n">
        <v>66</v>
      </c>
      <c r="K95" s="10">
        <f>IF(F95&gt;0,H95/F95,"")</f>
        <v/>
      </c>
      <c r="L95" s="16">
        <f>IF(AND(G95&gt;0,H95&gt;0),G95/H95,"")</f>
        <v/>
      </c>
    </row>
    <row r="96">
      <c r="A96" s="4" t="inlineStr">
        <is>
          <t>310</t>
        </is>
      </c>
      <c r="B96" s="4" t="n">
        <v>3</v>
      </c>
      <c r="C96" s="4" t="inlineStr">
        <is>
          <t>antelope</t>
        </is>
      </c>
      <c r="D96" s="4" t="n">
        <v>2015</v>
      </c>
      <c r="E96" s="15" t="inlineStr">
        <is>
          <t>Draw</t>
        </is>
      </c>
      <c r="F96" s="5" t="n">
        <v>377</v>
      </c>
      <c r="G96" s="5" t="n">
        <v>1291</v>
      </c>
      <c r="H96" s="5" t="n">
        <v>255</v>
      </c>
      <c r="I96" s="5" t="n">
        <v>136</v>
      </c>
      <c r="J96" s="5" t="n">
        <v>108</v>
      </c>
      <c r="K96" s="10">
        <f>IF(F96&gt;0,H96/F96,"")</f>
        <v/>
      </c>
      <c r="L96" s="16">
        <f>IF(AND(G96&gt;0,H96&gt;0),G96/H96,"")</f>
        <v/>
      </c>
    </row>
    <row r="97">
      <c r="A97" s="4" t="inlineStr">
        <is>
          <t>310</t>
        </is>
      </c>
      <c r="B97" s="4" t="n">
        <v>3</v>
      </c>
      <c r="C97" s="4" t="inlineStr">
        <is>
          <t>antelope</t>
        </is>
      </c>
      <c r="D97" s="4" t="n">
        <v>2016</v>
      </c>
      <c r="E97" s="15" t="inlineStr">
        <is>
          <t>Draw</t>
        </is>
      </c>
      <c r="F97" s="5" t="n"/>
      <c r="G97" s="5" t="n"/>
      <c r="H97" s="5" t="n">
        <v>272</v>
      </c>
      <c r="I97" s="5" t="n">
        <v>142</v>
      </c>
      <c r="J97" s="5" t="n">
        <v>125</v>
      </c>
      <c r="K97" s="10">
        <f>IF(F97&gt;0,H97/F97,"")</f>
        <v/>
      </c>
      <c r="L97" s="16">
        <f>IF(AND(G97&gt;0,H97&gt;0),G97/H97,"")</f>
        <v/>
      </c>
    </row>
    <row r="98">
      <c r="A98" s="4" t="inlineStr">
        <is>
          <t>310</t>
        </is>
      </c>
      <c r="B98" s="4" t="n">
        <v>3</v>
      </c>
      <c r="C98" s="4" t="inlineStr">
        <is>
          <t>antelope</t>
        </is>
      </c>
      <c r="D98" s="4" t="n">
        <v>2017</v>
      </c>
      <c r="E98" s="15" t="inlineStr">
        <is>
          <t>Draw</t>
        </is>
      </c>
      <c r="F98" s="5" t="n"/>
      <c r="G98" s="5" t="n"/>
      <c r="H98" s="5" t="n">
        <v>222</v>
      </c>
      <c r="I98" s="5" t="n">
        <v>112</v>
      </c>
      <c r="J98" s="5" t="n">
        <v>105</v>
      </c>
      <c r="K98" s="10">
        <f>IF(F98&gt;0,H98/F98,"")</f>
        <v/>
      </c>
      <c r="L98" s="16">
        <f>IF(AND(G98&gt;0,H98&gt;0),G98/H98,"")</f>
        <v/>
      </c>
    </row>
    <row r="99">
      <c r="A99" s="4" t="inlineStr">
        <is>
          <t>310</t>
        </is>
      </c>
      <c r="B99" s="4" t="n">
        <v>3</v>
      </c>
      <c r="C99" s="4" t="inlineStr">
        <is>
          <t>antelope</t>
        </is>
      </c>
      <c r="D99" s="4" t="n">
        <v>2018</v>
      </c>
      <c r="E99" s="15" t="inlineStr">
        <is>
          <t>Draw</t>
        </is>
      </c>
      <c r="F99" s="5" t="n">
        <v>378</v>
      </c>
      <c r="G99" s="5" t="n">
        <v>1116</v>
      </c>
      <c r="H99" s="5" t="n">
        <v>214</v>
      </c>
      <c r="I99" s="5" t="n">
        <v>122</v>
      </c>
      <c r="J99" s="5" t="n">
        <v>89</v>
      </c>
      <c r="K99" s="10">
        <f>IF(F99&gt;0,H99/F99,"")</f>
        <v/>
      </c>
      <c r="L99" s="16">
        <f>IF(AND(G99&gt;0,H99&gt;0),G99/H99,"")</f>
        <v/>
      </c>
    </row>
    <row r="100">
      <c r="A100" s="4" t="inlineStr">
        <is>
          <t>310</t>
        </is>
      </c>
      <c r="B100" s="4" t="n">
        <v>3</v>
      </c>
      <c r="C100" s="4" t="inlineStr">
        <is>
          <t>antelope</t>
        </is>
      </c>
      <c r="D100" s="4" t="n">
        <v>2019</v>
      </c>
      <c r="E100" s="15" t="inlineStr">
        <is>
          <t>Draw</t>
        </is>
      </c>
      <c r="F100" s="5" t="n"/>
      <c r="G100" s="5" t="n"/>
      <c r="H100" s="5" t="n">
        <v>205</v>
      </c>
      <c r="I100" s="5" t="n">
        <v>120</v>
      </c>
      <c r="J100" s="5" t="n">
        <v>78</v>
      </c>
      <c r="K100" s="10">
        <f>IF(F100&gt;0,H100/F100,"")</f>
        <v/>
      </c>
      <c r="L100" s="16">
        <f>IF(AND(G100&gt;0,H100&gt;0),G100/H100,"")</f>
        <v/>
      </c>
    </row>
    <row r="101">
      <c r="A101" s="4" t="inlineStr">
        <is>
          <t>310</t>
        </is>
      </c>
      <c r="B101" s="4" t="n">
        <v>3</v>
      </c>
      <c r="C101" s="4" t="inlineStr">
        <is>
          <t>antelope</t>
        </is>
      </c>
      <c r="D101" s="4" t="n">
        <v>2020</v>
      </c>
      <c r="E101" s="15" t="inlineStr">
        <is>
          <t>Draw</t>
        </is>
      </c>
      <c r="F101" s="5" t="n">
        <v>273</v>
      </c>
      <c r="G101" s="5" t="n">
        <v>967</v>
      </c>
      <c r="H101" s="5" t="n">
        <v>170</v>
      </c>
      <c r="I101" s="5" t="n">
        <v>82</v>
      </c>
      <c r="J101" s="5" t="n">
        <v>88</v>
      </c>
      <c r="K101" s="10">
        <f>IF(F101&gt;0,H101/F101,"")</f>
        <v/>
      </c>
      <c r="L101" s="16">
        <f>IF(AND(G101&gt;0,H101&gt;0),G101/H101,"")</f>
        <v/>
      </c>
    </row>
    <row r="102">
      <c r="A102" s="4" t="inlineStr">
        <is>
          <t>310</t>
        </is>
      </c>
      <c r="B102" s="4" t="n">
        <v>3</v>
      </c>
      <c r="C102" s="4" t="inlineStr">
        <is>
          <t>antelope</t>
        </is>
      </c>
      <c r="D102" s="4" t="n">
        <v>2021</v>
      </c>
      <c r="E102" s="15" t="inlineStr">
        <is>
          <t>Draw</t>
        </is>
      </c>
      <c r="F102" s="5" t="n"/>
      <c r="G102" s="5" t="n"/>
      <c r="H102" s="5" t="n">
        <v>142</v>
      </c>
      <c r="I102" s="5" t="n">
        <v>87</v>
      </c>
      <c r="J102" s="5" t="n">
        <v>53</v>
      </c>
      <c r="K102" s="10">
        <f>IF(F102&gt;0,H102/F102,"")</f>
        <v/>
      </c>
      <c r="L102" s="16">
        <f>IF(AND(G102&gt;0,H102&gt;0),G102/H102,"")</f>
        <v/>
      </c>
    </row>
    <row r="103">
      <c r="A103" s="4" t="inlineStr">
        <is>
          <t>310</t>
        </is>
      </c>
      <c r="B103" s="4" t="n">
        <v>3</v>
      </c>
      <c r="C103" s="4" t="inlineStr">
        <is>
          <t>antelope</t>
        </is>
      </c>
      <c r="D103" s="4" t="n">
        <v>2022</v>
      </c>
      <c r="E103" s="15" t="inlineStr">
        <is>
          <t>Draw</t>
        </is>
      </c>
      <c r="F103" s="5" t="n">
        <v>263</v>
      </c>
      <c r="G103" s="5" t="n">
        <v>1027</v>
      </c>
      <c r="H103" s="5" t="n">
        <v>188</v>
      </c>
      <c r="I103" s="5" t="n">
        <v>114</v>
      </c>
      <c r="J103" s="5" t="n">
        <v>75</v>
      </c>
      <c r="K103" s="10">
        <f>IF(F103&gt;0,H103/F103,"")</f>
        <v/>
      </c>
      <c r="L103" s="16">
        <f>IF(AND(G103&gt;0,H103&gt;0),G103/H103,"")</f>
        <v/>
      </c>
    </row>
    <row r="104">
      <c r="A104" s="4" t="inlineStr">
        <is>
          <t>310</t>
        </is>
      </c>
      <c r="B104" s="4" t="n">
        <v>3</v>
      </c>
      <c r="C104" s="4" t="inlineStr">
        <is>
          <t>antelope</t>
        </is>
      </c>
      <c r="D104" s="4" t="n">
        <v>2023</v>
      </c>
      <c r="E104" s="15" t="inlineStr">
        <is>
          <t>Draw</t>
        </is>
      </c>
      <c r="F104" s="5" t="n"/>
      <c r="G104" s="5" t="n"/>
      <c r="H104" s="5" t="n">
        <v>133</v>
      </c>
      <c r="I104" s="5" t="n">
        <v>68</v>
      </c>
      <c r="J104" s="5" t="n">
        <v>66</v>
      </c>
      <c r="K104" s="10">
        <f>IF(F104&gt;0,H104/F104,"")</f>
        <v/>
      </c>
      <c r="L104" s="16">
        <f>IF(AND(G104&gt;0,H104&gt;0),G104/H104,"")</f>
        <v/>
      </c>
    </row>
    <row r="105">
      <c r="A105" s="4" t="inlineStr">
        <is>
          <t>310</t>
        </is>
      </c>
      <c r="B105" s="4" t="n">
        <v>3</v>
      </c>
      <c r="C105" s="4" t="inlineStr">
        <is>
          <t>antelope</t>
        </is>
      </c>
      <c r="D105" s="4" t="n">
        <v>2024</v>
      </c>
      <c r="E105" s="15" t="inlineStr">
        <is>
          <t>Draw</t>
        </is>
      </c>
      <c r="F105" s="5" t="n">
        <v>265</v>
      </c>
      <c r="G105" s="5" t="n">
        <v>1006</v>
      </c>
      <c r="H105" s="5" t="n">
        <v>148</v>
      </c>
      <c r="I105" s="5" t="n">
        <v>67</v>
      </c>
      <c r="J105" s="5" t="n">
        <v>73</v>
      </c>
      <c r="K105" s="10">
        <f>IF(F105&gt;0,H105/F105,"")</f>
        <v/>
      </c>
      <c r="L105" s="16">
        <f>IF(AND(G105&gt;0,H105&gt;0),G105/H105,"")</f>
        <v/>
      </c>
    </row>
    <row r="106">
      <c r="A106" s="4" t="inlineStr">
        <is>
          <t>310</t>
        </is>
      </c>
      <c r="B106" s="4" t="n">
        <v>3</v>
      </c>
      <c r="C106" s="4" t="inlineStr">
        <is>
          <t>antelope</t>
        </is>
      </c>
      <c r="D106" s="4" t="n">
        <v>2025</v>
      </c>
      <c r="E106" s="15" t="inlineStr">
        <is>
          <t>Draw</t>
        </is>
      </c>
      <c r="F106" s="5" t="n"/>
      <c r="G106" s="5" t="n"/>
      <c r="H106" s="5" t="n">
        <v>71</v>
      </c>
      <c r="I106" s="5" t="n">
        <v>58</v>
      </c>
      <c r="J106" s="5" t="n">
        <v>14</v>
      </c>
      <c r="K106" s="10">
        <f>IF(F106&gt;0,H106/F106,"")</f>
        <v/>
      </c>
      <c r="L106" s="16">
        <f>IF(AND(G106&gt;0,H106&gt;0),G106/H106,"")</f>
        <v/>
      </c>
    </row>
    <row r="107">
      <c r="A107" s="4" t="inlineStr">
        <is>
          <t>311</t>
        </is>
      </c>
      <c r="B107" s="4" t="n">
        <v>3</v>
      </c>
      <c r="C107" s="4" t="inlineStr">
        <is>
          <t>antelope</t>
        </is>
      </c>
      <c r="D107" s="4" t="n">
        <v>2004</v>
      </c>
      <c r="E107" s="15" t="inlineStr">
        <is>
          <t>Draw</t>
        </is>
      </c>
      <c r="F107" s="5" t="n">
        <v>126</v>
      </c>
      <c r="G107" s="5" t="n">
        <v>455</v>
      </c>
      <c r="H107" s="5" t="n">
        <v>62</v>
      </c>
      <c r="I107" s="5" t="n">
        <v>50</v>
      </c>
      <c r="J107" s="5" t="n">
        <v>11</v>
      </c>
      <c r="K107" s="10">
        <f>IF(F107&gt;0,H107/F107,"")</f>
        <v/>
      </c>
      <c r="L107" s="16">
        <f>IF(AND(G107&gt;0,H107&gt;0),G107/H107,"")</f>
        <v/>
      </c>
    </row>
    <row r="108">
      <c r="A108" s="4" t="inlineStr">
        <is>
          <t>311</t>
        </is>
      </c>
      <c r="B108" s="4" t="n">
        <v>3</v>
      </c>
      <c r="C108" s="4" t="inlineStr">
        <is>
          <t>antelope</t>
        </is>
      </c>
      <c r="D108" s="4" t="n">
        <v>2005</v>
      </c>
      <c r="E108" s="15" t="inlineStr">
        <is>
          <t>Draw</t>
        </is>
      </c>
      <c r="F108" s="5" t="n">
        <v>113</v>
      </c>
      <c r="G108" s="5" t="n">
        <v>492</v>
      </c>
      <c r="H108" s="5" t="n">
        <v>56</v>
      </c>
      <c r="I108" s="5" t="n">
        <v>50</v>
      </c>
      <c r="J108" s="5" t="n">
        <v>4</v>
      </c>
      <c r="K108" s="10">
        <f>IF(F108&gt;0,H108/F108,"")</f>
        <v/>
      </c>
      <c r="L108" s="16">
        <f>IF(AND(G108&gt;0,H108&gt;0),G108/H108,"")</f>
        <v/>
      </c>
    </row>
    <row r="109">
      <c r="A109" s="4" t="inlineStr">
        <is>
          <t>311</t>
        </is>
      </c>
      <c r="B109" s="4" t="n">
        <v>3</v>
      </c>
      <c r="C109" s="4" t="inlineStr">
        <is>
          <t>antelope</t>
        </is>
      </c>
      <c r="D109" s="4" t="n">
        <v>2006</v>
      </c>
      <c r="E109" s="15" t="inlineStr">
        <is>
          <t>Draw</t>
        </is>
      </c>
      <c r="F109" s="5" t="n">
        <v>223</v>
      </c>
      <c r="G109" s="5" t="n">
        <v>901</v>
      </c>
      <c r="H109" s="5" t="n">
        <v>165</v>
      </c>
      <c r="I109" s="5" t="n">
        <v>102</v>
      </c>
      <c r="J109" s="5" t="n">
        <v>50</v>
      </c>
      <c r="K109" s="10">
        <f>IF(F109&gt;0,H109/F109,"")</f>
        <v/>
      </c>
      <c r="L109" s="16">
        <f>IF(AND(G109&gt;0,H109&gt;0),G109/H109,"")</f>
        <v/>
      </c>
    </row>
    <row r="110">
      <c r="A110" s="4" t="inlineStr">
        <is>
          <t>311</t>
        </is>
      </c>
      <c r="B110" s="4" t="n">
        <v>3</v>
      </c>
      <c r="C110" s="4" t="inlineStr">
        <is>
          <t>antelope</t>
        </is>
      </c>
      <c r="D110" s="4" t="n">
        <v>2007</v>
      </c>
      <c r="E110" s="15" t="inlineStr">
        <is>
          <t>Draw</t>
        </is>
      </c>
      <c r="F110" s="5" t="n">
        <v>419</v>
      </c>
      <c r="G110" s="5" t="n">
        <v>1927</v>
      </c>
      <c r="H110" s="5" t="n">
        <v>314</v>
      </c>
      <c r="I110" s="5" t="n">
        <v>175</v>
      </c>
      <c r="J110" s="5" t="n">
        <v>125</v>
      </c>
      <c r="K110" s="10">
        <f>IF(F110&gt;0,H110/F110,"")</f>
        <v/>
      </c>
      <c r="L110" s="16">
        <f>IF(AND(G110&gt;0,H110&gt;0),G110/H110,"")</f>
        <v/>
      </c>
    </row>
    <row r="111">
      <c r="A111" s="4" t="inlineStr">
        <is>
          <t>311</t>
        </is>
      </c>
      <c r="B111" s="4" t="n">
        <v>3</v>
      </c>
      <c r="C111" s="4" t="inlineStr">
        <is>
          <t>antelope</t>
        </is>
      </c>
      <c r="D111" s="4" t="n">
        <v>2008</v>
      </c>
      <c r="E111" s="15" t="inlineStr">
        <is>
          <t>Draw</t>
        </is>
      </c>
      <c r="F111" s="5" t="n">
        <v>427</v>
      </c>
      <c r="G111" s="5" t="n">
        <v>1956</v>
      </c>
      <c r="H111" s="5" t="n">
        <v>307</v>
      </c>
      <c r="I111" s="5" t="n">
        <v>153</v>
      </c>
      <c r="J111" s="5" t="n">
        <v>149</v>
      </c>
      <c r="K111" s="10">
        <f>IF(F111&gt;0,H111/F111,"")</f>
        <v/>
      </c>
      <c r="L111" s="16">
        <f>IF(AND(G111&gt;0,H111&gt;0),G111/H111,"")</f>
        <v/>
      </c>
    </row>
    <row r="112">
      <c r="A112" s="4" t="inlineStr">
        <is>
          <t>311</t>
        </is>
      </c>
      <c r="B112" s="4" t="n">
        <v>3</v>
      </c>
      <c r="C112" s="4" t="inlineStr">
        <is>
          <t>antelope</t>
        </is>
      </c>
      <c r="D112" s="4" t="n">
        <v>2009</v>
      </c>
      <c r="E112" s="15" t="inlineStr">
        <is>
          <t>Draw</t>
        </is>
      </c>
      <c r="F112" s="5" t="n">
        <v>456</v>
      </c>
      <c r="G112" s="5" t="n">
        <v>1795</v>
      </c>
      <c r="H112" s="5" t="n">
        <v>306</v>
      </c>
      <c r="I112" s="5" t="n">
        <v>168</v>
      </c>
      <c r="J112" s="5" t="n">
        <v>129</v>
      </c>
      <c r="K112" s="10">
        <f>IF(F112&gt;0,H112/F112,"")</f>
        <v/>
      </c>
      <c r="L112" s="16">
        <f>IF(AND(G112&gt;0,H112&gt;0),G112/H112,"")</f>
        <v/>
      </c>
    </row>
    <row r="113">
      <c r="A113" s="4" t="inlineStr">
        <is>
          <t>311</t>
        </is>
      </c>
      <c r="B113" s="4" t="n">
        <v>3</v>
      </c>
      <c r="C113" s="4" t="inlineStr">
        <is>
          <t>antelope</t>
        </is>
      </c>
      <c r="D113" s="4" t="n">
        <v>2010</v>
      </c>
      <c r="E113" s="15" t="inlineStr">
        <is>
          <t>Draw</t>
        </is>
      </c>
      <c r="F113" s="5" t="n">
        <v>343</v>
      </c>
      <c r="G113" s="5" t="n">
        <v>1398</v>
      </c>
      <c r="H113" s="5" t="n">
        <v>187</v>
      </c>
      <c r="I113" s="5" t="n">
        <v>90</v>
      </c>
      <c r="J113" s="5" t="n">
        <v>94</v>
      </c>
      <c r="K113" s="10">
        <f>IF(F113&gt;0,H113/F113,"")</f>
        <v/>
      </c>
      <c r="L113" s="16">
        <f>IF(AND(G113&gt;0,H113&gt;0),G113/H113,"")</f>
        <v/>
      </c>
    </row>
    <row r="114">
      <c r="A114" s="4" t="inlineStr">
        <is>
          <t>311</t>
        </is>
      </c>
      <c r="B114" s="4" t="n">
        <v>3</v>
      </c>
      <c r="C114" s="4" t="inlineStr">
        <is>
          <t>antelope</t>
        </is>
      </c>
      <c r="D114" s="4" t="n">
        <v>2011</v>
      </c>
      <c r="E114" s="15" t="inlineStr">
        <is>
          <t>Draw</t>
        </is>
      </c>
      <c r="F114" s="5" t="n">
        <v>344</v>
      </c>
      <c r="G114" s="5" t="n">
        <v>1298</v>
      </c>
      <c r="H114" s="5" t="n">
        <v>227</v>
      </c>
      <c r="I114" s="5" t="n">
        <v>109</v>
      </c>
      <c r="J114" s="5" t="n">
        <v>115</v>
      </c>
      <c r="K114" s="10">
        <f>IF(F114&gt;0,H114/F114,"")</f>
        <v/>
      </c>
      <c r="L114" s="16">
        <f>IF(AND(G114&gt;0,H114&gt;0),G114/H114,"")</f>
        <v/>
      </c>
    </row>
    <row r="115">
      <c r="A115" s="4" t="inlineStr">
        <is>
          <t>311</t>
        </is>
      </c>
      <c r="B115" s="4" t="n">
        <v>3</v>
      </c>
      <c r="C115" s="4" t="inlineStr">
        <is>
          <t>antelope</t>
        </is>
      </c>
      <c r="D115" s="4" t="n">
        <v>2012</v>
      </c>
      <c r="E115" s="15" t="inlineStr">
        <is>
          <t>Draw</t>
        </is>
      </c>
      <c r="F115" s="5" t="n">
        <v>296</v>
      </c>
      <c r="G115" s="5" t="n">
        <v>1021</v>
      </c>
      <c r="H115" s="5" t="n">
        <v>195</v>
      </c>
      <c r="I115" s="5" t="n">
        <v>125</v>
      </c>
      <c r="J115" s="5" t="n">
        <v>66</v>
      </c>
      <c r="K115" s="10">
        <f>IF(F115&gt;0,H115/F115,"")</f>
        <v/>
      </c>
      <c r="L115" s="16">
        <f>IF(AND(G115&gt;0,H115&gt;0),G115/H115,"")</f>
        <v/>
      </c>
    </row>
    <row r="116">
      <c r="A116" s="4" t="inlineStr">
        <is>
          <t>311</t>
        </is>
      </c>
      <c r="B116" s="4" t="n">
        <v>3</v>
      </c>
      <c r="C116" s="4" t="inlineStr">
        <is>
          <t>antelope</t>
        </is>
      </c>
      <c r="D116" s="4" t="n">
        <v>2013</v>
      </c>
      <c r="E116" s="15" t="inlineStr">
        <is>
          <t>Draw</t>
        </is>
      </c>
      <c r="F116" s="5" t="n"/>
      <c r="G116" s="5" t="n"/>
      <c r="H116" s="5" t="n">
        <v>134</v>
      </c>
      <c r="I116" s="5" t="n">
        <v>83</v>
      </c>
      <c r="J116" s="5" t="n">
        <v>42</v>
      </c>
      <c r="K116" s="10">
        <f>IF(F116&gt;0,H116/F116,"")</f>
        <v/>
      </c>
      <c r="L116" s="16">
        <f>IF(AND(G116&gt;0,H116&gt;0),G116/H116,"")</f>
        <v/>
      </c>
    </row>
    <row r="117">
      <c r="A117" s="4" t="inlineStr">
        <is>
          <t>311</t>
        </is>
      </c>
      <c r="B117" s="4" t="n">
        <v>3</v>
      </c>
      <c r="C117" s="4" t="inlineStr">
        <is>
          <t>antelope</t>
        </is>
      </c>
      <c r="D117" s="4" t="n">
        <v>2014</v>
      </c>
      <c r="E117" s="15" t="inlineStr">
        <is>
          <t>Draw</t>
        </is>
      </c>
      <c r="F117" s="5" t="n">
        <v>182</v>
      </c>
      <c r="G117" s="5" t="n">
        <v>707</v>
      </c>
      <c r="H117" s="5" t="n">
        <v>87</v>
      </c>
      <c r="I117" s="5" t="n">
        <v>59</v>
      </c>
      <c r="J117" s="5" t="n">
        <v>26</v>
      </c>
      <c r="K117" s="10">
        <f>IF(F117&gt;0,H117/F117,"")</f>
        <v/>
      </c>
      <c r="L117" s="16">
        <f>IF(AND(G117&gt;0,H117&gt;0),G117/H117,"")</f>
        <v/>
      </c>
    </row>
    <row r="118">
      <c r="A118" s="4" t="inlineStr">
        <is>
          <t>311</t>
        </is>
      </c>
      <c r="B118" s="4" t="n">
        <v>3</v>
      </c>
      <c r="C118" s="4" t="inlineStr">
        <is>
          <t>antelope</t>
        </is>
      </c>
      <c r="D118" s="4" t="n">
        <v>2015</v>
      </c>
      <c r="E118" s="15" t="inlineStr">
        <is>
          <t>Draw</t>
        </is>
      </c>
      <c r="F118" s="5" t="n">
        <v>218</v>
      </c>
      <c r="G118" s="5" t="n">
        <v>991</v>
      </c>
      <c r="H118" s="5" t="n">
        <v>98</v>
      </c>
      <c r="I118" s="5" t="n">
        <v>71</v>
      </c>
      <c r="J118" s="5" t="n">
        <v>24</v>
      </c>
      <c r="K118" s="10">
        <f>IF(F118&gt;0,H118/F118,"")</f>
        <v/>
      </c>
      <c r="L118" s="16">
        <f>IF(AND(G118&gt;0,H118&gt;0),G118/H118,"")</f>
        <v/>
      </c>
    </row>
    <row r="119">
      <c r="A119" s="4" t="inlineStr">
        <is>
          <t>311</t>
        </is>
      </c>
      <c r="B119" s="4" t="n">
        <v>3</v>
      </c>
      <c r="C119" s="4" t="inlineStr">
        <is>
          <t>antelope</t>
        </is>
      </c>
      <c r="D119" s="4" t="n">
        <v>2016</v>
      </c>
      <c r="E119" s="15" t="inlineStr">
        <is>
          <t>Draw</t>
        </is>
      </c>
      <c r="F119" s="5" t="n"/>
      <c r="G119" s="5" t="n"/>
      <c r="H119" s="5" t="n">
        <v>88</v>
      </c>
      <c r="I119" s="5" t="n">
        <v>69</v>
      </c>
      <c r="J119" s="5" t="n">
        <v>19</v>
      </c>
      <c r="K119" s="10">
        <f>IF(F119&gt;0,H119/F119,"")</f>
        <v/>
      </c>
      <c r="L119" s="16">
        <f>IF(AND(G119&gt;0,H119&gt;0),G119/H119,"")</f>
        <v/>
      </c>
    </row>
    <row r="120">
      <c r="A120" s="4" t="inlineStr">
        <is>
          <t>311</t>
        </is>
      </c>
      <c r="B120" s="4" t="n">
        <v>3</v>
      </c>
      <c r="C120" s="4" t="inlineStr">
        <is>
          <t>antelope</t>
        </is>
      </c>
      <c r="D120" s="4" t="n">
        <v>2017</v>
      </c>
      <c r="E120" s="15" t="inlineStr">
        <is>
          <t>Draw</t>
        </is>
      </c>
      <c r="F120" s="5" t="n"/>
      <c r="G120" s="5" t="n"/>
      <c r="H120" s="5" t="n">
        <v>89</v>
      </c>
      <c r="I120" s="5" t="n">
        <v>74</v>
      </c>
      <c r="J120" s="5" t="n">
        <v>13</v>
      </c>
      <c r="K120" s="10">
        <f>IF(F120&gt;0,H120/F120,"")</f>
        <v/>
      </c>
      <c r="L120" s="16">
        <f>IF(AND(G120&gt;0,H120&gt;0),G120/H120,"")</f>
        <v/>
      </c>
    </row>
    <row r="121">
      <c r="A121" s="4" t="inlineStr">
        <is>
          <t>311</t>
        </is>
      </c>
      <c r="B121" s="4" t="n">
        <v>3</v>
      </c>
      <c r="C121" s="4" t="inlineStr">
        <is>
          <t>antelope</t>
        </is>
      </c>
      <c r="D121" s="4" t="n">
        <v>2018</v>
      </c>
      <c r="E121" s="15" t="inlineStr">
        <is>
          <t>Draw</t>
        </is>
      </c>
      <c r="F121" s="5" t="n">
        <v>80</v>
      </c>
      <c r="G121" s="5" t="n">
        <v>796</v>
      </c>
      <c r="H121" s="5" t="n">
        <v>87</v>
      </c>
      <c r="I121" s="5" t="n">
        <v>52</v>
      </c>
      <c r="J121" s="5" t="n">
        <v>35</v>
      </c>
      <c r="K121" s="10">
        <f>IF(F121&gt;0,H121/F121,"")</f>
        <v/>
      </c>
      <c r="L121" s="16">
        <f>IF(AND(G121&gt;0,H121&gt;0),G121/H121,"")</f>
        <v/>
      </c>
    </row>
    <row r="122">
      <c r="A122" s="4" t="inlineStr">
        <is>
          <t>311</t>
        </is>
      </c>
      <c r="B122" s="4" t="n">
        <v>3</v>
      </c>
      <c r="C122" s="4" t="inlineStr">
        <is>
          <t>antelope</t>
        </is>
      </c>
      <c r="D122" s="4" t="n">
        <v>2019</v>
      </c>
      <c r="E122" s="15" t="inlineStr">
        <is>
          <t>Draw</t>
        </is>
      </c>
      <c r="F122" s="5" t="n"/>
      <c r="G122" s="5" t="n"/>
      <c r="H122" s="5" t="n">
        <v>62</v>
      </c>
      <c r="I122" s="5" t="n">
        <v>48</v>
      </c>
      <c r="J122" s="5" t="n">
        <v>14</v>
      </c>
      <c r="K122" s="10">
        <f>IF(F122&gt;0,H122/F122,"")</f>
        <v/>
      </c>
      <c r="L122" s="16">
        <f>IF(AND(G122&gt;0,H122&gt;0),G122/H122,"")</f>
        <v/>
      </c>
    </row>
    <row r="123">
      <c r="A123" s="4" t="inlineStr">
        <is>
          <t>311</t>
        </is>
      </c>
      <c r="B123" s="4" t="n">
        <v>3</v>
      </c>
      <c r="C123" s="4" t="inlineStr">
        <is>
          <t>antelope</t>
        </is>
      </c>
      <c r="D123" s="4" t="n">
        <v>2020</v>
      </c>
      <c r="E123" s="15" t="inlineStr">
        <is>
          <t>Draw</t>
        </is>
      </c>
      <c r="F123" s="5" t="n">
        <v>163</v>
      </c>
      <c r="G123" s="5" t="n">
        <v>580</v>
      </c>
      <c r="H123" s="5" t="n">
        <v>61</v>
      </c>
      <c r="I123" s="5" t="n">
        <v>41</v>
      </c>
      <c r="J123" s="5" t="n">
        <v>20</v>
      </c>
      <c r="K123" s="10">
        <f>IF(F123&gt;0,H123/F123,"")</f>
        <v/>
      </c>
      <c r="L123" s="16">
        <f>IF(AND(G123&gt;0,H123&gt;0),G123/H123,"")</f>
        <v/>
      </c>
    </row>
    <row r="124">
      <c r="A124" s="4" t="inlineStr">
        <is>
          <t>311</t>
        </is>
      </c>
      <c r="B124" s="4" t="n">
        <v>3</v>
      </c>
      <c r="C124" s="4" t="inlineStr">
        <is>
          <t>antelope</t>
        </is>
      </c>
      <c r="D124" s="4" t="n">
        <v>2021</v>
      </c>
      <c r="E124" s="15" t="inlineStr">
        <is>
          <t>Draw</t>
        </is>
      </c>
      <c r="F124" s="5" t="n"/>
      <c r="G124" s="5" t="n"/>
      <c r="H124" s="5" t="n">
        <v>49</v>
      </c>
      <c r="I124" s="5" t="n">
        <v>32</v>
      </c>
      <c r="J124" s="5" t="n">
        <v>18</v>
      </c>
      <c r="K124" s="10">
        <f>IF(F124&gt;0,H124/F124,"")</f>
        <v/>
      </c>
      <c r="L124" s="16">
        <f>IF(AND(G124&gt;0,H124&gt;0),G124/H124,"")</f>
        <v/>
      </c>
    </row>
    <row r="125">
      <c r="A125" s="4" t="inlineStr">
        <is>
          <t>311</t>
        </is>
      </c>
      <c r="B125" s="4" t="n">
        <v>3</v>
      </c>
      <c r="C125" s="4" t="inlineStr">
        <is>
          <t>antelope</t>
        </is>
      </c>
      <c r="D125" s="4" t="n">
        <v>2022</v>
      </c>
      <c r="E125" s="15" t="inlineStr">
        <is>
          <t>Draw</t>
        </is>
      </c>
      <c r="F125" s="5" t="n">
        <v>130</v>
      </c>
      <c r="G125" s="5" t="n">
        <v>510</v>
      </c>
      <c r="H125" s="5" t="n">
        <v>36</v>
      </c>
      <c r="I125" s="5" t="n">
        <v>28</v>
      </c>
      <c r="J125" s="5" t="n">
        <v>8</v>
      </c>
      <c r="K125" s="10">
        <f>IF(F125&gt;0,H125/F125,"")</f>
        <v/>
      </c>
      <c r="L125" s="16">
        <f>IF(AND(G125&gt;0,H125&gt;0),G125/H125,"")</f>
        <v/>
      </c>
    </row>
    <row r="126">
      <c r="A126" s="4" t="inlineStr">
        <is>
          <t>311</t>
        </is>
      </c>
      <c r="B126" s="4" t="n">
        <v>3</v>
      </c>
      <c r="C126" s="4" t="inlineStr">
        <is>
          <t>antelope</t>
        </is>
      </c>
      <c r="D126" s="4" t="n">
        <v>2023</v>
      </c>
      <c r="E126" s="15" t="inlineStr">
        <is>
          <t>Draw</t>
        </is>
      </c>
      <c r="F126" s="5" t="n"/>
      <c r="G126" s="5" t="n"/>
      <c r="H126" s="5" t="n">
        <v>29</v>
      </c>
      <c r="I126" s="5" t="n">
        <v>26</v>
      </c>
      <c r="J126" s="5" t="n">
        <v>3</v>
      </c>
      <c r="K126" s="10">
        <f>IF(F126&gt;0,H126/F126,"")</f>
        <v/>
      </c>
      <c r="L126" s="16">
        <f>IF(AND(G126&gt;0,H126&gt;0),G126/H126,"")</f>
        <v/>
      </c>
    </row>
    <row r="127">
      <c r="A127" s="4" t="inlineStr">
        <is>
          <t>311</t>
        </is>
      </c>
      <c r="B127" s="4" t="n">
        <v>3</v>
      </c>
      <c r="C127" s="4" t="inlineStr">
        <is>
          <t>antelope</t>
        </is>
      </c>
      <c r="D127" s="4" t="n">
        <v>2024</v>
      </c>
      <c r="E127" s="15" t="inlineStr">
        <is>
          <t>Draw</t>
        </is>
      </c>
      <c r="F127" s="5" t="n">
        <v>110</v>
      </c>
      <c r="G127" s="5" t="n">
        <v>517</v>
      </c>
      <c r="H127" s="5" t="n">
        <v>22</v>
      </c>
      <c r="I127" s="5" t="n">
        <v>17</v>
      </c>
      <c r="J127" s="5" t="n">
        <v>4</v>
      </c>
      <c r="K127" s="10">
        <f>IF(F127&gt;0,H127/F127,"")</f>
        <v/>
      </c>
      <c r="L127" s="16">
        <f>IF(AND(G127&gt;0,H127&gt;0),G127/H127,"")</f>
        <v/>
      </c>
    </row>
    <row r="128">
      <c r="A128" s="4" t="inlineStr">
        <is>
          <t>311</t>
        </is>
      </c>
      <c r="B128" s="4" t="n">
        <v>3</v>
      </c>
      <c r="C128" s="4" t="inlineStr">
        <is>
          <t>antelope</t>
        </is>
      </c>
      <c r="D128" s="4" t="n">
        <v>2025</v>
      </c>
      <c r="E128" s="15" t="inlineStr">
        <is>
          <t>Draw</t>
        </is>
      </c>
      <c r="F128" s="5" t="n"/>
      <c r="G128" s="5" t="n"/>
      <c r="H128" s="5" t="n">
        <v>41</v>
      </c>
      <c r="I128" s="5" t="n">
        <v>33</v>
      </c>
      <c r="J128" s="5" t="n">
        <v>9</v>
      </c>
      <c r="K128" s="10">
        <f>IF(F128&gt;0,H128/F128,"")</f>
        <v/>
      </c>
      <c r="L128" s="16">
        <f>IF(AND(G128&gt;0,H128&gt;0),G128/H128,"")</f>
        <v/>
      </c>
    </row>
    <row r="129">
      <c r="A129" s="4" t="inlineStr">
        <is>
          <t>313</t>
        </is>
      </c>
      <c r="B129" s="4" t="n">
        <v>3</v>
      </c>
      <c r="C129" s="4" t="inlineStr">
        <is>
          <t>antelope</t>
        </is>
      </c>
      <c r="D129" s="4" t="n">
        <v>2016</v>
      </c>
      <c r="E129" s="15" t="inlineStr">
        <is>
          <t>Draw</t>
        </is>
      </c>
      <c r="F129" s="5" t="n"/>
      <c r="G129" s="5" t="n"/>
      <c r="H129" s="5" t="n">
        <v>10</v>
      </c>
      <c r="I129" s="5" t="n">
        <v>10</v>
      </c>
      <c r="J129" s="5" t="n">
        <v>0</v>
      </c>
      <c r="K129" s="10">
        <f>IF(F129&gt;0,H129/F129,"")</f>
        <v/>
      </c>
      <c r="L129" s="16">
        <f>IF(AND(G129&gt;0,H129&gt;0),G129/H129,"")</f>
        <v/>
      </c>
    </row>
    <row r="130">
      <c r="A130" s="4" t="inlineStr">
        <is>
          <t>313</t>
        </is>
      </c>
      <c r="B130" s="4" t="n">
        <v>3</v>
      </c>
      <c r="C130" s="4" t="inlineStr">
        <is>
          <t>antelope</t>
        </is>
      </c>
      <c r="D130" s="4" t="n">
        <v>2017</v>
      </c>
      <c r="E130" s="15" t="inlineStr">
        <is>
          <t>Draw</t>
        </is>
      </c>
      <c r="F130" s="5" t="n"/>
      <c r="G130" s="5" t="n"/>
      <c r="H130" s="5" t="n">
        <v>9</v>
      </c>
      <c r="I130" s="5" t="n">
        <v>9</v>
      </c>
      <c r="J130" s="5" t="n">
        <v>0</v>
      </c>
      <c r="K130" s="10">
        <f>IF(F130&gt;0,H130/F130,"")</f>
        <v/>
      </c>
      <c r="L130" s="16">
        <f>IF(AND(G130&gt;0,H130&gt;0),G130/H130,"")</f>
        <v/>
      </c>
    </row>
    <row r="131">
      <c r="A131" s="4" t="inlineStr">
        <is>
          <t>313</t>
        </is>
      </c>
      <c r="B131" s="4" t="n">
        <v>3</v>
      </c>
      <c r="C131" s="4" t="inlineStr">
        <is>
          <t>antelope</t>
        </is>
      </c>
      <c r="D131" s="4" t="n">
        <v>2018</v>
      </c>
      <c r="E131" s="15" t="inlineStr">
        <is>
          <t>Draw</t>
        </is>
      </c>
      <c r="F131" s="5" t="n">
        <v>18</v>
      </c>
      <c r="G131" s="5" t="n">
        <v>45</v>
      </c>
      <c r="H131" s="5" t="n">
        <v>7</v>
      </c>
      <c r="I131" s="5" t="n">
        <v>6</v>
      </c>
      <c r="J131" s="5" t="n">
        <v>1</v>
      </c>
      <c r="K131" s="10">
        <f>IF(F131&gt;0,H131/F131,"")</f>
        <v/>
      </c>
      <c r="L131" s="16">
        <f>IF(AND(G131&gt;0,H131&gt;0),G131/H131,"")</f>
        <v/>
      </c>
    </row>
    <row r="132">
      <c r="A132" s="4" t="inlineStr">
        <is>
          <t>313</t>
        </is>
      </c>
      <c r="B132" s="4" t="n">
        <v>3</v>
      </c>
      <c r="C132" s="4" t="inlineStr">
        <is>
          <t>antelope</t>
        </is>
      </c>
      <c r="D132" s="4" t="n">
        <v>2019</v>
      </c>
      <c r="E132" s="15" t="inlineStr">
        <is>
          <t>Draw</t>
        </is>
      </c>
      <c r="F132" s="5" t="n"/>
      <c r="G132" s="5" t="n"/>
      <c r="H132" s="5" t="n">
        <v>17</v>
      </c>
      <c r="I132" s="5" t="n">
        <v>17</v>
      </c>
      <c r="J132" s="5" t="n">
        <v>0</v>
      </c>
      <c r="K132" s="10">
        <f>IF(F132&gt;0,H132/F132,"")</f>
        <v/>
      </c>
      <c r="L132" s="16">
        <f>IF(AND(G132&gt;0,H132&gt;0),G132/H132,"")</f>
        <v/>
      </c>
    </row>
    <row r="133">
      <c r="A133" s="4" t="inlineStr">
        <is>
          <t>313</t>
        </is>
      </c>
      <c r="B133" s="4" t="n">
        <v>3</v>
      </c>
      <c r="C133" s="4" t="inlineStr">
        <is>
          <t>antelope</t>
        </is>
      </c>
      <c r="D133" s="4" t="n">
        <v>2020</v>
      </c>
      <c r="E133" s="15" t="inlineStr">
        <is>
          <t>Draw</t>
        </is>
      </c>
      <c r="F133" s="5" t="n">
        <v>12</v>
      </c>
      <c r="G133" s="5" t="n">
        <v>47</v>
      </c>
      <c r="H133" s="5" t="n">
        <v>10</v>
      </c>
      <c r="I133" s="5" t="n">
        <v>9</v>
      </c>
      <c r="J133" s="5" t="n">
        <v>0</v>
      </c>
      <c r="K133" s="10">
        <f>IF(F133&gt;0,H133/F133,"")</f>
        <v/>
      </c>
      <c r="L133" s="16">
        <f>IF(AND(G133&gt;0,H133&gt;0),G133/H133,"")</f>
        <v/>
      </c>
    </row>
    <row r="134">
      <c r="A134" s="4" t="inlineStr">
        <is>
          <t>313</t>
        </is>
      </c>
      <c r="B134" s="4" t="n">
        <v>3</v>
      </c>
      <c r="C134" s="4" t="inlineStr">
        <is>
          <t>antelope</t>
        </is>
      </c>
      <c r="D134" s="4" t="n">
        <v>2021</v>
      </c>
      <c r="E134" s="15" t="inlineStr">
        <is>
          <t>Draw</t>
        </is>
      </c>
      <c r="F134" s="5" t="n"/>
      <c r="G134" s="5" t="n"/>
      <c r="H134" s="5" t="n">
        <v>15</v>
      </c>
      <c r="I134" s="5" t="n">
        <v>15</v>
      </c>
      <c r="J134" s="5" t="n">
        <v>0</v>
      </c>
      <c r="K134" s="10">
        <f>IF(F134&gt;0,H134/F134,"")</f>
        <v/>
      </c>
      <c r="L134" s="16">
        <f>IF(AND(G134&gt;0,H134&gt;0),G134/H134,"")</f>
        <v/>
      </c>
    </row>
    <row r="135">
      <c r="A135" s="4" t="inlineStr">
        <is>
          <t>313</t>
        </is>
      </c>
      <c r="B135" s="4" t="n">
        <v>3</v>
      </c>
      <c r="C135" s="4" t="inlineStr">
        <is>
          <t>antelope</t>
        </is>
      </c>
      <c r="D135" s="4" t="n">
        <v>2022</v>
      </c>
      <c r="E135" s="15" t="inlineStr">
        <is>
          <t>Draw</t>
        </is>
      </c>
      <c r="F135" s="5" t="n">
        <v>14</v>
      </c>
      <c r="G135" s="5" t="n">
        <v>66</v>
      </c>
      <c r="H135" s="5" t="n">
        <v>10</v>
      </c>
      <c r="I135" s="5" t="n">
        <v>8</v>
      </c>
      <c r="J135" s="5" t="n">
        <v>2</v>
      </c>
      <c r="K135" s="10">
        <f>IF(F135&gt;0,H135/F135,"")</f>
        <v/>
      </c>
      <c r="L135" s="16">
        <f>IF(AND(G135&gt;0,H135&gt;0),G135/H135,"")</f>
        <v/>
      </c>
    </row>
    <row r="136">
      <c r="A136" s="4" t="inlineStr">
        <is>
          <t>313</t>
        </is>
      </c>
      <c r="B136" s="4" t="n">
        <v>3</v>
      </c>
      <c r="C136" s="4" t="inlineStr">
        <is>
          <t>antelope</t>
        </is>
      </c>
      <c r="D136" s="4" t="n">
        <v>2023</v>
      </c>
      <c r="E136" s="15" t="inlineStr">
        <is>
          <t>Draw</t>
        </is>
      </c>
      <c r="F136" s="5" t="n"/>
      <c r="G136" s="5" t="n"/>
      <c r="H136" s="5" t="n">
        <v>7</v>
      </c>
      <c r="I136" s="5" t="n">
        <v>5</v>
      </c>
      <c r="J136" s="5" t="n">
        <v>2</v>
      </c>
      <c r="K136" s="10">
        <f>IF(F136&gt;0,H136/F136,"")</f>
        <v/>
      </c>
      <c r="L136" s="16">
        <f>IF(AND(G136&gt;0,H136&gt;0),G136/H136,"")</f>
        <v/>
      </c>
    </row>
    <row r="137">
      <c r="A137" s="4" t="inlineStr">
        <is>
          <t>313</t>
        </is>
      </c>
      <c r="B137" s="4" t="n">
        <v>3</v>
      </c>
      <c r="C137" s="4" t="inlineStr">
        <is>
          <t>antelope</t>
        </is>
      </c>
      <c r="D137" s="4" t="n">
        <v>2024</v>
      </c>
      <c r="E137" s="15" t="inlineStr">
        <is>
          <t>Draw</t>
        </is>
      </c>
      <c r="F137" s="5" t="n">
        <v>8</v>
      </c>
      <c r="G137" s="5" t="n">
        <v>27</v>
      </c>
      <c r="H137" s="5" t="n">
        <v>5</v>
      </c>
      <c r="I137" s="5" t="n">
        <v>5</v>
      </c>
      <c r="J137" s="5" t="n">
        <v>0</v>
      </c>
      <c r="K137" s="10">
        <f>IF(F137&gt;0,H137/F137,"")</f>
        <v/>
      </c>
      <c r="L137" s="16">
        <f>IF(AND(G137&gt;0,H137&gt;0),G137/H137,"")</f>
        <v/>
      </c>
    </row>
    <row r="138">
      <c r="A138" s="4" t="inlineStr">
        <is>
          <t>313</t>
        </is>
      </c>
      <c r="B138" s="4" t="n">
        <v>3</v>
      </c>
      <c r="C138" s="4" t="inlineStr">
        <is>
          <t>antelope</t>
        </is>
      </c>
      <c r="D138" s="4" t="n">
        <v>2025</v>
      </c>
      <c r="E138" s="15" t="inlineStr">
        <is>
          <t>Draw</t>
        </is>
      </c>
      <c r="F138" s="5" t="n"/>
      <c r="G138" s="5" t="n"/>
      <c r="H138" s="5" t="n">
        <v>5</v>
      </c>
      <c r="I138" s="5" t="n">
        <v>3</v>
      </c>
      <c r="J138" s="5" t="n">
        <v>2</v>
      </c>
      <c r="K138" s="10">
        <f>IF(F138&gt;0,H138/F138,"")</f>
        <v/>
      </c>
      <c r="L138" s="16">
        <f>IF(AND(G138&gt;0,H138&gt;0),G138/H138,"")</f>
        <v/>
      </c>
    </row>
    <row r="139">
      <c r="A139" s="4" t="inlineStr">
        <is>
          <t>317</t>
        </is>
      </c>
      <c r="B139" s="4" t="n">
        <v>3</v>
      </c>
      <c r="C139" s="4" t="inlineStr">
        <is>
          <t>antelope</t>
        </is>
      </c>
      <c r="D139" s="4" t="n">
        <v>2022</v>
      </c>
      <c r="E139" s="15" t="inlineStr">
        <is>
          <t>Draw</t>
        </is>
      </c>
      <c r="F139" s="5" t="n">
        <v>79</v>
      </c>
      <c r="G139" s="5" t="n">
        <v>275</v>
      </c>
      <c r="H139" s="5" t="n">
        <v>78</v>
      </c>
      <c r="I139" s="5" t="n">
        <v>41</v>
      </c>
      <c r="J139" s="5" t="n">
        <v>37</v>
      </c>
      <c r="K139" s="10">
        <f>IF(F139&gt;0,H139/F139,"")</f>
        <v/>
      </c>
      <c r="L139" s="16">
        <f>IF(AND(G139&gt;0,H139&gt;0),G139/H139,"")</f>
        <v/>
      </c>
    </row>
    <row r="140">
      <c r="A140" s="4" t="inlineStr">
        <is>
          <t>317</t>
        </is>
      </c>
      <c r="B140" s="4" t="n">
        <v>3</v>
      </c>
      <c r="C140" s="4" t="inlineStr">
        <is>
          <t>antelope</t>
        </is>
      </c>
      <c r="D140" s="4" t="n">
        <v>2023</v>
      </c>
      <c r="E140" s="15" t="inlineStr">
        <is>
          <t>Draw</t>
        </is>
      </c>
      <c r="F140" s="5" t="n"/>
      <c r="G140" s="5" t="n"/>
      <c r="H140" s="5" t="n">
        <v>22</v>
      </c>
      <c r="I140" s="5" t="n">
        <v>19</v>
      </c>
      <c r="J140" s="5" t="n">
        <v>4</v>
      </c>
      <c r="K140" s="10">
        <f>IF(F140&gt;0,H140/F140,"")</f>
        <v/>
      </c>
      <c r="L140" s="16">
        <f>IF(AND(G140&gt;0,H140&gt;0),G140/H140,"")</f>
        <v/>
      </c>
    </row>
    <row r="141">
      <c r="A141" s="4" t="inlineStr">
        <is>
          <t>317</t>
        </is>
      </c>
      <c r="B141" s="4" t="n">
        <v>3</v>
      </c>
      <c r="C141" s="4" t="inlineStr">
        <is>
          <t>antelope</t>
        </is>
      </c>
      <c r="D141" s="4" t="n">
        <v>2024</v>
      </c>
      <c r="E141" s="15" t="inlineStr">
        <is>
          <t>Draw</t>
        </is>
      </c>
      <c r="F141" s="5" t="n">
        <v>68</v>
      </c>
      <c r="G141" s="5" t="n">
        <v>284</v>
      </c>
      <c r="H141" s="5" t="n">
        <v>43</v>
      </c>
      <c r="I141" s="5" t="n">
        <v>32</v>
      </c>
      <c r="J141" s="5" t="n">
        <v>9</v>
      </c>
      <c r="K141" s="10">
        <f>IF(F141&gt;0,H141/F141,"")</f>
        <v/>
      </c>
      <c r="L141" s="16">
        <f>IF(AND(G141&gt;0,H141&gt;0),G141/H141,"")</f>
        <v/>
      </c>
    </row>
    <row r="142">
      <c r="A142" s="4" t="inlineStr">
        <is>
          <t>317</t>
        </is>
      </c>
      <c r="B142" s="4" t="n">
        <v>3</v>
      </c>
      <c r="C142" s="4" t="inlineStr">
        <is>
          <t>antelope</t>
        </is>
      </c>
      <c r="D142" s="4" t="n">
        <v>2025</v>
      </c>
      <c r="E142" s="15" t="inlineStr">
        <is>
          <t>Draw</t>
        </is>
      </c>
      <c r="F142" s="5" t="n"/>
      <c r="G142" s="5" t="n"/>
      <c r="H142" s="5" t="n">
        <v>36</v>
      </c>
      <c r="I142" s="5" t="n">
        <v>36</v>
      </c>
      <c r="J142" s="5" t="n">
        <v>0</v>
      </c>
      <c r="K142" s="10">
        <f>IF(F142&gt;0,H142/F142,"")</f>
        <v/>
      </c>
      <c r="L142" s="16">
        <f>IF(AND(G142&gt;0,H142&gt;0),G142/H142,"")</f>
        <v/>
      </c>
    </row>
    <row r="143">
      <c r="A143" s="4" t="inlineStr">
        <is>
          <t>318</t>
        </is>
      </c>
      <c r="B143" s="4" t="n">
        <v>3</v>
      </c>
      <c r="C143" s="4" t="inlineStr">
        <is>
          <t>antelope</t>
        </is>
      </c>
      <c r="D143" s="4" t="n">
        <v>2004</v>
      </c>
      <c r="E143" s="15" t="inlineStr">
        <is>
          <t>Draw</t>
        </is>
      </c>
      <c r="F143" s="5" t="n">
        <v>228</v>
      </c>
      <c r="G143" s="5" t="n">
        <v>643</v>
      </c>
      <c r="H143" s="5" t="n">
        <v>84</v>
      </c>
      <c r="I143" s="5" t="n">
        <v>64</v>
      </c>
      <c r="J143" s="5" t="n">
        <v>19</v>
      </c>
      <c r="K143" s="10">
        <f>IF(F143&gt;0,H143/F143,"")</f>
        <v/>
      </c>
      <c r="L143" s="16">
        <f>IF(AND(G143&gt;0,H143&gt;0),G143/H143,"")</f>
        <v/>
      </c>
    </row>
    <row r="144">
      <c r="A144" s="4" t="inlineStr">
        <is>
          <t>318</t>
        </is>
      </c>
      <c r="B144" s="4" t="n">
        <v>3</v>
      </c>
      <c r="C144" s="4" t="inlineStr">
        <is>
          <t>antelope</t>
        </is>
      </c>
      <c r="D144" s="4" t="n">
        <v>2005</v>
      </c>
      <c r="E144" s="15" t="inlineStr">
        <is>
          <t>Draw</t>
        </is>
      </c>
      <c r="F144" s="5" t="n">
        <v>205</v>
      </c>
      <c r="G144" s="5" t="n">
        <v>690</v>
      </c>
      <c r="H144" s="5" t="n">
        <v>67</v>
      </c>
      <c r="I144" s="5" t="n">
        <v>56</v>
      </c>
      <c r="J144" s="5" t="n">
        <v>9</v>
      </c>
      <c r="K144" s="10">
        <f>IF(F144&gt;0,H144/F144,"")</f>
        <v/>
      </c>
      <c r="L144" s="16">
        <f>IF(AND(G144&gt;0,H144&gt;0),G144/H144,"")</f>
        <v/>
      </c>
    </row>
    <row r="145">
      <c r="A145" s="4" t="inlineStr">
        <is>
          <t>318</t>
        </is>
      </c>
      <c r="B145" s="4" t="n">
        <v>3</v>
      </c>
      <c r="C145" s="4" t="inlineStr">
        <is>
          <t>antelope</t>
        </is>
      </c>
      <c r="D145" s="4" t="n">
        <v>2006</v>
      </c>
      <c r="E145" s="15" t="inlineStr">
        <is>
          <t>Draw</t>
        </is>
      </c>
      <c r="F145" s="5" t="n">
        <v>444</v>
      </c>
      <c r="G145" s="5" t="n">
        <v>1225</v>
      </c>
      <c r="H145" s="5" t="n">
        <v>295</v>
      </c>
      <c r="I145" s="5" t="n">
        <v>202</v>
      </c>
      <c r="J145" s="5" t="n">
        <v>90</v>
      </c>
      <c r="K145" s="10">
        <f>IF(F145&gt;0,H145/F145,"")</f>
        <v/>
      </c>
      <c r="L145" s="16">
        <f>IF(AND(G145&gt;0,H145&gt;0),G145/H145,"")</f>
        <v/>
      </c>
    </row>
    <row r="146">
      <c r="A146" s="4" t="inlineStr">
        <is>
          <t>318</t>
        </is>
      </c>
      <c r="B146" s="4" t="n">
        <v>3</v>
      </c>
      <c r="C146" s="4" t="inlineStr">
        <is>
          <t>antelope</t>
        </is>
      </c>
      <c r="D146" s="4" t="n">
        <v>2007</v>
      </c>
      <c r="E146" s="15" t="inlineStr">
        <is>
          <t>Draw</t>
        </is>
      </c>
      <c r="F146" s="5" t="n">
        <v>505</v>
      </c>
      <c r="G146" s="5" t="n">
        <v>1421</v>
      </c>
      <c r="H146" s="5" t="n">
        <v>314</v>
      </c>
      <c r="I146" s="5" t="n">
        <v>179</v>
      </c>
      <c r="J146" s="5" t="n">
        <v>127</v>
      </c>
      <c r="K146" s="10">
        <f>IF(F146&gt;0,H146/F146,"")</f>
        <v/>
      </c>
      <c r="L146" s="16">
        <f>IF(AND(G146&gt;0,H146&gt;0),G146/H146,"")</f>
        <v/>
      </c>
    </row>
    <row r="147">
      <c r="A147" s="4" t="inlineStr">
        <is>
          <t>318</t>
        </is>
      </c>
      <c r="B147" s="4" t="n">
        <v>3</v>
      </c>
      <c r="C147" s="4" t="inlineStr">
        <is>
          <t>antelope</t>
        </is>
      </c>
      <c r="D147" s="4" t="n">
        <v>2008</v>
      </c>
      <c r="E147" s="15" t="inlineStr">
        <is>
          <t>Draw</t>
        </is>
      </c>
      <c r="F147" s="5" t="n">
        <v>447</v>
      </c>
      <c r="G147" s="5" t="n">
        <v>1438</v>
      </c>
      <c r="H147" s="5" t="n">
        <v>264</v>
      </c>
      <c r="I147" s="5" t="n">
        <v>150</v>
      </c>
      <c r="J147" s="5" t="n">
        <v>110</v>
      </c>
      <c r="K147" s="10">
        <f>IF(F147&gt;0,H147/F147,"")</f>
        <v/>
      </c>
      <c r="L147" s="16">
        <f>IF(AND(G147&gt;0,H147&gt;0),G147/H147,"")</f>
        <v/>
      </c>
    </row>
    <row r="148">
      <c r="A148" s="4" t="inlineStr">
        <is>
          <t>318</t>
        </is>
      </c>
      <c r="B148" s="4" t="n">
        <v>3</v>
      </c>
      <c r="C148" s="4" t="inlineStr">
        <is>
          <t>antelope</t>
        </is>
      </c>
      <c r="D148" s="4" t="n">
        <v>2009</v>
      </c>
      <c r="E148" s="15" t="inlineStr">
        <is>
          <t>Draw</t>
        </is>
      </c>
      <c r="F148" s="5" t="n">
        <v>487</v>
      </c>
      <c r="G148" s="5" t="n">
        <v>1239</v>
      </c>
      <c r="H148" s="5" t="n">
        <v>313</v>
      </c>
      <c r="I148" s="5" t="n">
        <v>186</v>
      </c>
      <c r="J148" s="5" t="n">
        <v>114</v>
      </c>
      <c r="K148" s="10">
        <f>IF(F148&gt;0,H148/F148,"")</f>
        <v/>
      </c>
      <c r="L148" s="16">
        <f>IF(AND(G148&gt;0,H148&gt;0),G148/H148,"")</f>
        <v/>
      </c>
    </row>
    <row r="149">
      <c r="A149" s="4" t="inlineStr">
        <is>
          <t>318</t>
        </is>
      </c>
      <c r="B149" s="4" t="n">
        <v>3</v>
      </c>
      <c r="C149" s="4" t="inlineStr">
        <is>
          <t>antelope</t>
        </is>
      </c>
      <c r="D149" s="4" t="n">
        <v>2010</v>
      </c>
      <c r="E149" s="15" t="inlineStr">
        <is>
          <t>Draw</t>
        </is>
      </c>
      <c r="F149" s="5" t="n">
        <v>621</v>
      </c>
      <c r="G149" s="5" t="n">
        <v>1697</v>
      </c>
      <c r="H149" s="5" t="n">
        <v>415</v>
      </c>
      <c r="I149" s="5" t="n">
        <v>198</v>
      </c>
      <c r="J149" s="5" t="n">
        <v>207</v>
      </c>
      <c r="K149" s="10">
        <f>IF(F149&gt;0,H149/F149,"")</f>
        <v/>
      </c>
      <c r="L149" s="16">
        <f>IF(AND(G149&gt;0,H149&gt;0),G149/H149,"")</f>
        <v/>
      </c>
    </row>
    <row r="150">
      <c r="A150" s="4" t="inlineStr">
        <is>
          <t>318</t>
        </is>
      </c>
      <c r="B150" s="4" t="n">
        <v>3</v>
      </c>
      <c r="C150" s="4" t="inlineStr">
        <is>
          <t>antelope</t>
        </is>
      </c>
      <c r="D150" s="4" t="n">
        <v>2011</v>
      </c>
      <c r="E150" s="15" t="inlineStr">
        <is>
          <t>Draw</t>
        </is>
      </c>
      <c r="F150" s="5" t="n">
        <v>632</v>
      </c>
      <c r="G150" s="5" t="n">
        <v>1947</v>
      </c>
      <c r="H150" s="5" t="n">
        <v>366</v>
      </c>
      <c r="I150" s="5" t="n">
        <v>160</v>
      </c>
      <c r="J150" s="5" t="n">
        <v>187</v>
      </c>
      <c r="K150" s="10">
        <f>IF(F150&gt;0,H150/F150,"")</f>
        <v/>
      </c>
      <c r="L150" s="16">
        <f>IF(AND(G150&gt;0,H150&gt;0),G150/H150,"")</f>
        <v/>
      </c>
    </row>
    <row r="151">
      <c r="A151" s="4" t="inlineStr">
        <is>
          <t>318</t>
        </is>
      </c>
      <c r="B151" s="4" t="n">
        <v>3</v>
      </c>
      <c r="C151" s="4" t="inlineStr">
        <is>
          <t>antelope</t>
        </is>
      </c>
      <c r="D151" s="4" t="n">
        <v>2012</v>
      </c>
      <c r="E151" s="15" t="inlineStr">
        <is>
          <t>Draw</t>
        </is>
      </c>
      <c r="F151" s="5" t="n">
        <v>609</v>
      </c>
      <c r="G151" s="5" t="n">
        <v>1857</v>
      </c>
      <c r="H151" s="5" t="n">
        <v>364</v>
      </c>
      <c r="I151" s="5" t="n">
        <v>147</v>
      </c>
      <c r="J151" s="5" t="n">
        <v>180</v>
      </c>
      <c r="K151" s="10">
        <f>IF(F151&gt;0,H151/F151,"")</f>
        <v/>
      </c>
      <c r="L151" s="16">
        <f>IF(AND(G151&gt;0,H151&gt;0),G151/H151,"")</f>
        <v/>
      </c>
    </row>
    <row r="152">
      <c r="A152" s="4" t="inlineStr">
        <is>
          <t>318</t>
        </is>
      </c>
      <c r="B152" s="4" t="n">
        <v>3</v>
      </c>
      <c r="C152" s="4" t="inlineStr">
        <is>
          <t>antelope</t>
        </is>
      </c>
      <c r="D152" s="4" t="n">
        <v>2013</v>
      </c>
      <c r="E152" s="15" t="inlineStr">
        <is>
          <t>Draw</t>
        </is>
      </c>
      <c r="F152" s="5" t="n"/>
      <c r="G152" s="5" t="n"/>
      <c r="H152" s="5" t="n">
        <v>167</v>
      </c>
      <c r="I152" s="5" t="n">
        <v>81</v>
      </c>
      <c r="J152" s="5" t="n">
        <v>78</v>
      </c>
      <c r="K152" s="10">
        <f>IF(F152&gt;0,H152/F152,"")</f>
        <v/>
      </c>
      <c r="L152" s="16">
        <f>IF(AND(G152&gt;0,H152&gt;0),G152/H152,"")</f>
        <v/>
      </c>
    </row>
    <row r="153">
      <c r="A153" s="4" t="inlineStr">
        <is>
          <t>318</t>
        </is>
      </c>
      <c r="B153" s="4" t="n">
        <v>3</v>
      </c>
      <c r="C153" s="4" t="inlineStr">
        <is>
          <t>antelope</t>
        </is>
      </c>
      <c r="D153" s="4" t="n">
        <v>2014</v>
      </c>
      <c r="E153" s="15" t="inlineStr">
        <is>
          <t>Draw</t>
        </is>
      </c>
      <c r="F153" s="5" t="n">
        <v>464</v>
      </c>
      <c r="G153" s="5" t="n">
        <v>1432</v>
      </c>
      <c r="H153" s="5" t="n">
        <v>243</v>
      </c>
      <c r="I153" s="5" t="n">
        <v>110</v>
      </c>
      <c r="J153" s="5" t="n">
        <v>133</v>
      </c>
      <c r="K153" s="10">
        <f>IF(F153&gt;0,H153/F153,"")</f>
        <v/>
      </c>
      <c r="L153" s="16">
        <f>IF(AND(G153&gt;0,H153&gt;0),G153/H153,"")</f>
        <v/>
      </c>
    </row>
    <row r="154">
      <c r="A154" s="4" t="inlineStr">
        <is>
          <t>318</t>
        </is>
      </c>
      <c r="B154" s="4" t="n">
        <v>3</v>
      </c>
      <c r="C154" s="4" t="inlineStr">
        <is>
          <t>antelope</t>
        </is>
      </c>
      <c r="D154" s="4" t="n">
        <v>2015</v>
      </c>
      <c r="E154" s="15" t="inlineStr">
        <is>
          <t>Draw</t>
        </is>
      </c>
      <c r="F154" s="5" t="n">
        <v>465</v>
      </c>
      <c r="G154" s="5" t="n">
        <v>1260</v>
      </c>
      <c r="H154" s="5" t="n">
        <v>291</v>
      </c>
      <c r="I154" s="5" t="n">
        <v>133</v>
      </c>
      <c r="J154" s="5" t="n">
        <v>154</v>
      </c>
      <c r="K154" s="10">
        <f>IF(F154&gt;0,H154/F154,"")</f>
        <v/>
      </c>
      <c r="L154" s="16">
        <f>IF(AND(G154&gt;0,H154&gt;0),G154/H154,"")</f>
        <v/>
      </c>
    </row>
    <row r="155">
      <c r="A155" s="4" t="inlineStr">
        <is>
          <t>318</t>
        </is>
      </c>
      <c r="B155" s="4" t="n">
        <v>3</v>
      </c>
      <c r="C155" s="4" t="inlineStr">
        <is>
          <t>antelope</t>
        </is>
      </c>
      <c r="D155" s="4" t="n">
        <v>2016</v>
      </c>
      <c r="E155" s="15" t="inlineStr">
        <is>
          <t>Draw</t>
        </is>
      </c>
      <c r="F155" s="5" t="n"/>
      <c r="G155" s="5" t="n"/>
      <c r="H155" s="5" t="n">
        <v>278</v>
      </c>
      <c r="I155" s="5" t="n">
        <v>130</v>
      </c>
      <c r="J155" s="5" t="n">
        <v>140</v>
      </c>
      <c r="K155" s="10">
        <f>IF(F155&gt;0,H155/F155,"")</f>
        <v/>
      </c>
      <c r="L155" s="16">
        <f>IF(AND(G155&gt;0,H155&gt;0),G155/H155,"")</f>
        <v/>
      </c>
    </row>
    <row r="156">
      <c r="A156" s="4" t="inlineStr">
        <is>
          <t>318</t>
        </is>
      </c>
      <c r="B156" s="4" t="n">
        <v>3</v>
      </c>
      <c r="C156" s="4" t="inlineStr">
        <is>
          <t>antelope</t>
        </is>
      </c>
      <c r="D156" s="4" t="n">
        <v>2017</v>
      </c>
      <c r="E156" s="15" t="inlineStr">
        <is>
          <t>Draw</t>
        </is>
      </c>
      <c r="F156" s="5" t="n"/>
      <c r="G156" s="5" t="n"/>
      <c r="H156" s="5" t="n">
        <v>267</v>
      </c>
      <c r="I156" s="5" t="n">
        <v>153</v>
      </c>
      <c r="J156" s="5" t="n">
        <v>111</v>
      </c>
      <c r="K156" s="10">
        <f>IF(F156&gt;0,H156/F156,"")</f>
        <v/>
      </c>
      <c r="L156" s="16">
        <f>IF(AND(G156&gt;0,H156&gt;0),G156/H156,"")</f>
        <v/>
      </c>
    </row>
    <row r="157">
      <c r="A157" s="4" t="inlineStr">
        <is>
          <t>318</t>
        </is>
      </c>
      <c r="B157" s="4" t="n">
        <v>3</v>
      </c>
      <c r="C157" s="4" t="inlineStr">
        <is>
          <t>antelope</t>
        </is>
      </c>
      <c r="D157" s="4" t="n">
        <v>2018</v>
      </c>
      <c r="E157" s="15" t="inlineStr">
        <is>
          <t>Draw</t>
        </is>
      </c>
      <c r="F157" s="5" t="n">
        <v>499</v>
      </c>
      <c r="G157" s="5" t="n">
        <v>1613</v>
      </c>
      <c r="H157" s="5" t="n">
        <v>256</v>
      </c>
      <c r="I157" s="5" t="n">
        <v>119</v>
      </c>
      <c r="J157" s="5" t="n">
        <v>131</v>
      </c>
      <c r="K157" s="10">
        <f>IF(F157&gt;0,H157/F157,"")</f>
        <v/>
      </c>
      <c r="L157" s="16">
        <f>IF(AND(G157&gt;0,H157&gt;0),G157/H157,"")</f>
        <v/>
      </c>
    </row>
    <row r="158">
      <c r="A158" s="4" t="inlineStr">
        <is>
          <t>318</t>
        </is>
      </c>
      <c r="B158" s="4" t="n">
        <v>3</v>
      </c>
      <c r="C158" s="4" t="inlineStr">
        <is>
          <t>antelope</t>
        </is>
      </c>
      <c r="D158" s="4" t="n">
        <v>2019</v>
      </c>
      <c r="E158" s="15" t="inlineStr">
        <is>
          <t>Draw</t>
        </is>
      </c>
      <c r="F158" s="5" t="n"/>
      <c r="G158" s="5" t="n"/>
      <c r="H158" s="5" t="n">
        <v>101</v>
      </c>
      <c r="I158" s="5" t="n">
        <v>58</v>
      </c>
      <c r="J158" s="5" t="n">
        <v>41</v>
      </c>
      <c r="K158" s="10">
        <f>IF(F158&gt;0,H158/F158,"")</f>
        <v/>
      </c>
      <c r="L158" s="16">
        <f>IF(AND(G158&gt;0,H158&gt;0),G158/H158,"")</f>
        <v/>
      </c>
    </row>
    <row r="159">
      <c r="A159" s="4" t="inlineStr">
        <is>
          <t>318</t>
        </is>
      </c>
      <c r="B159" s="4" t="n">
        <v>3</v>
      </c>
      <c r="C159" s="4" t="inlineStr">
        <is>
          <t>antelope</t>
        </is>
      </c>
      <c r="D159" s="4" t="n">
        <v>2020</v>
      </c>
      <c r="E159" s="15" t="inlineStr">
        <is>
          <t>Draw</t>
        </is>
      </c>
      <c r="F159" s="5" t="n">
        <v>198</v>
      </c>
      <c r="G159" s="5" t="n">
        <v>635</v>
      </c>
      <c r="H159" s="5" t="n">
        <v>91</v>
      </c>
      <c r="I159" s="5" t="n">
        <v>52</v>
      </c>
      <c r="J159" s="5" t="n">
        <v>33</v>
      </c>
      <c r="K159" s="10">
        <f>IF(F159&gt;0,H159/F159,"")</f>
        <v/>
      </c>
      <c r="L159" s="16">
        <f>IF(AND(G159&gt;0,H159&gt;0),G159/H159,"")</f>
        <v/>
      </c>
    </row>
    <row r="160">
      <c r="A160" s="4" t="inlineStr">
        <is>
          <t>318</t>
        </is>
      </c>
      <c r="B160" s="4" t="n">
        <v>3</v>
      </c>
      <c r="C160" s="4" t="inlineStr">
        <is>
          <t>antelope</t>
        </is>
      </c>
      <c r="D160" s="4" t="n">
        <v>2021</v>
      </c>
      <c r="E160" s="15" t="inlineStr">
        <is>
          <t>Draw</t>
        </is>
      </c>
      <c r="F160" s="5" t="n"/>
      <c r="G160" s="5" t="n"/>
      <c r="H160" s="5" t="n">
        <v>88</v>
      </c>
      <c r="I160" s="5" t="n">
        <v>50</v>
      </c>
      <c r="J160" s="5" t="n">
        <v>37</v>
      </c>
      <c r="K160" s="10">
        <f>IF(F160&gt;0,H160/F160,"")</f>
        <v/>
      </c>
      <c r="L160" s="16">
        <f>IF(AND(G160&gt;0,H160&gt;0),G160/H160,"")</f>
        <v/>
      </c>
    </row>
    <row r="161">
      <c r="A161" s="4" t="inlineStr">
        <is>
          <t>318</t>
        </is>
      </c>
      <c r="B161" s="4" t="n">
        <v>3</v>
      </c>
      <c r="C161" s="4" t="inlineStr">
        <is>
          <t>antelope</t>
        </is>
      </c>
      <c r="D161" s="4" t="n">
        <v>2022</v>
      </c>
      <c r="E161" s="15" t="inlineStr">
        <is>
          <t>Draw</t>
        </is>
      </c>
      <c r="F161" s="5" t="n">
        <v>172</v>
      </c>
      <c r="G161" s="5" t="n">
        <v>544</v>
      </c>
      <c r="H161" s="5" t="n">
        <v>71</v>
      </c>
      <c r="I161" s="5" t="n">
        <v>40</v>
      </c>
      <c r="J161" s="5" t="n">
        <v>31</v>
      </c>
      <c r="K161" s="10">
        <f>IF(F161&gt;0,H161/F161,"")</f>
        <v/>
      </c>
      <c r="L161" s="16">
        <f>IF(AND(G161&gt;0,H161&gt;0),G161/H161,"")</f>
        <v/>
      </c>
    </row>
    <row r="162">
      <c r="A162" s="4" t="inlineStr">
        <is>
          <t>318</t>
        </is>
      </c>
      <c r="B162" s="4" t="n">
        <v>3</v>
      </c>
      <c r="C162" s="4" t="inlineStr">
        <is>
          <t>antelope</t>
        </is>
      </c>
      <c r="D162" s="4" t="n">
        <v>2023</v>
      </c>
      <c r="E162" s="15" t="inlineStr">
        <is>
          <t>Draw</t>
        </is>
      </c>
      <c r="F162" s="5" t="n"/>
      <c r="G162" s="5" t="n"/>
      <c r="H162" s="5" t="n">
        <v>40</v>
      </c>
      <c r="I162" s="5" t="n">
        <v>30</v>
      </c>
      <c r="J162" s="5" t="n">
        <v>10</v>
      </c>
      <c r="K162" s="10">
        <f>IF(F162&gt;0,H162/F162,"")</f>
        <v/>
      </c>
      <c r="L162" s="16">
        <f>IF(AND(G162&gt;0,H162&gt;0),G162/H162,"")</f>
        <v/>
      </c>
    </row>
    <row r="163">
      <c r="A163" s="4" t="inlineStr">
        <is>
          <t>318</t>
        </is>
      </c>
      <c r="B163" s="4" t="n">
        <v>3</v>
      </c>
      <c r="C163" s="4" t="inlineStr">
        <is>
          <t>antelope</t>
        </is>
      </c>
      <c r="D163" s="4" t="n">
        <v>2024</v>
      </c>
      <c r="E163" s="15" t="inlineStr">
        <is>
          <t>Draw</t>
        </is>
      </c>
      <c r="F163" s="5" t="n">
        <v>100</v>
      </c>
      <c r="G163" s="5" t="n">
        <v>514</v>
      </c>
      <c r="H163" s="5" t="n">
        <v>24</v>
      </c>
      <c r="I163" s="5" t="n">
        <v>10</v>
      </c>
      <c r="J163" s="5" t="n">
        <v>13</v>
      </c>
      <c r="K163" s="10">
        <f>IF(F163&gt;0,H163/F163,"")</f>
        <v/>
      </c>
      <c r="L163" s="16">
        <f>IF(AND(G163&gt;0,H163&gt;0),G163/H163,"")</f>
        <v/>
      </c>
    </row>
    <row r="164">
      <c r="A164" s="4" t="inlineStr">
        <is>
          <t>318</t>
        </is>
      </c>
      <c r="B164" s="4" t="n">
        <v>3</v>
      </c>
      <c r="C164" s="4" t="inlineStr">
        <is>
          <t>antelope</t>
        </is>
      </c>
      <c r="D164" s="4" t="n">
        <v>2025</v>
      </c>
      <c r="E164" s="15" t="inlineStr">
        <is>
          <t>Draw</t>
        </is>
      </c>
      <c r="F164" s="5" t="n"/>
      <c r="G164" s="5" t="n"/>
      <c r="H164" s="5" t="n">
        <v>37</v>
      </c>
      <c r="I164" s="5" t="n">
        <v>23</v>
      </c>
      <c r="J164" s="5" t="n">
        <v>15</v>
      </c>
      <c r="K164" s="10">
        <f>IF(F164&gt;0,H164/F164,"")</f>
        <v/>
      </c>
      <c r="L164" s="16">
        <f>IF(AND(G164&gt;0,H164&gt;0),G164/H164,"")</f>
        <v/>
      </c>
    </row>
    <row r="165">
      <c r="A165" s="4" t="inlineStr">
        <is>
          <t>319</t>
        </is>
      </c>
      <c r="B165" s="4" t="n">
        <v>3</v>
      </c>
      <c r="C165" s="4" t="inlineStr">
        <is>
          <t>antelope</t>
        </is>
      </c>
      <c r="D165" s="4" t="n">
        <v>2004</v>
      </c>
      <c r="E165" s="15" t="inlineStr">
        <is>
          <t>Draw</t>
        </is>
      </c>
      <c r="F165" s="5" t="n">
        <v>72</v>
      </c>
      <c r="G165" s="5" t="n">
        <v>311</v>
      </c>
      <c r="H165" s="5" t="n">
        <v>27</v>
      </c>
      <c r="I165" s="5" t="n">
        <v>21</v>
      </c>
      <c r="J165" s="5" t="n">
        <v>6</v>
      </c>
      <c r="K165" s="10">
        <f>IF(F165&gt;0,H165/F165,"")</f>
        <v/>
      </c>
      <c r="L165" s="16">
        <f>IF(AND(G165&gt;0,H165&gt;0),G165/H165,"")</f>
        <v/>
      </c>
    </row>
    <row r="166">
      <c r="A166" s="4" t="inlineStr">
        <is>
          <t>319</t>
        </is>
      </c>
      <c r="B166" s="4" t="n">
        <v>3</v>
      </c>
      <c r="C166" s="4" t="inlineStr">
        <is>
          <t>antelope</t>
        </is>
      </c>
      <c r="D166" s="4" t="n">
        <v>2005</v>
      </c>
      <c r="E166" s="15" t="inlineStr">
        <is>
          <t>Draw</t>
        </is>
      </c>
      <c r="F166" s="5" t="n">
        <v>54</v>
      </c>
      <c r="G166" s="5" t="n">
        <v>173</v>
      </c>
      <c r="H166" s="5" t="n">
        <v>21</v>
      </c>
      <c r="I166" s="5" t="n">
        <v>19</v>
      </c>
      <c r="J166" s="5" t="n">
        <v>1</v>
      </c>
      <c r="K166" s="10">
        <f>IF(F166&gt;0,H166/F166,"")</f>
        <v/>
      </c>
      <c r="L166" s="16">
        <f>IF(AND(G166&gt;0,H166&gt;0),G166/H166,"")</f>
        <v/>
      </c>
    </row>
    <row r="167">
      <c r="A167" s="4" t="inlineStr">
        <is>
          <t>319</t>
        </is>
      </c>
      <c r="B167" s="4" t="n">
        <v>3</v>
      </c>
      <c r="C167" s="4" t="inlineStr">
        <is>
          <t>antelope</t>
        </is>
      </c>
      <c r="D167" s="4" t="n">
        <v>2006</v>
      </c>
      <c r="E167" s="15" t="inlineStr">
        <is>
          <t>Draw</t>
        </is>
      </c>
      <c r="F167" s="5" t="n">
        <v>68</v>
      </c>
      <c r="G167" s="5" t="n">
        <v>268</v>
      </c>
      <c r="H167" s="5" t="n">
        <v>39</v>
      </c>
      <c r="I167" s="5" t="n">
        <v>31</v>
      </c>
      <c r="J167" s="5" t="n">
        <v>8</v>
      </c>
      <c r="K167" s="10">
        <f>IF(F167&gt;0,H167/F167,"")</f>
        <v/>
      </c>
      <c r="L167" s="16">
        <f>IF(AND(G167&gt;0,H167&gt;0),G167/H167,"")</f>
        <v/>
      </c>
    </row>
    <row r="168">
      <c r="A168" s="4" t="inlineStr">
        <is>
          <t>319</t>
        </is>
      </c>
      <c r="B168" s="4" t="n">
        <v>3</v>
      </c>
      <c r="C168" s="4" t="inlineStr">
        <is>
          <t>antelope</t>
        </is>
      </c>
      <c r="D168" s="4" t="n">
        <v>2007</v>
      </c>
      <c r="E168" s="15" t="inlineStr">
        <is>
          <t>Draw</t>
        </is>
      </c>
      <c r="F168" s="5" t="n">
        <v>99</v>
      </c>
      <c r="G168" s="5" t="n">
        <v>378</v>
      </c>
      <c r="H168" s="5" t="n">
        <v>55</v>
      </c>
      <c r="I168" s="5" t="n">
        <v>51</v>
      </c>
      <c r="J168" s="5" t="n">
        <v>4</v>
      </c>
      <c r="K168" s="10">
        <f>IF(F168&gt;0,H168/F168,"")</f>
        <v/>
      </c>
      <c r="L168" s="16">
        <f>IF(AND(G168&gt;0,H168&gt;0),G168/H168,"")</f>
        <v/>
      </c>
    </row>
    <row r="169">
      <c r="A169" s="4" t="inlineStr">
        <is>
          <t>319</t>
        </is>
      </c>
      <c r="B169" s="4" t="n">
        <v>3</v>
      </c>
      <c r="C169" s="4" t="inlineStr">
        <is>
          <t>antelope</t>
        </is>
      </c>
      <c r="D169" s="4" t="n">
        <v>2008</v>
      </c>
      <c r="E169" s="15" t="inlineStr">
        <is>
          <t>Draw</t>
        </is>
      </c>
      <c r="F169" s="5" t="n">
        <v>82</v>
      </c>
      <c r="G169" s="5" t="n">
        <v>318</v>
      </c>
      <c r="H169" s="5" t="n">
        <v>37</v>
      </c>
      <c r="I169" s="5" t="n">
        <v>27</v>
      </c>
      <c r="J169" s="5" t="n">
        <v>10</v>
      </c>
      <c r="K169" s="10">
        <f>IF(F169&gt;0,H169/F169,"")</f>
        <v/>
      </c>
      <c r="L169" s="16">
        <f>IF(AND(G169&gt;0,H169&gt;0),G169/H169,"")</f>
        <v/>
      </c>
    </row>
    <row r="170">
      <c r="A170" s="4" t="inlineStr">
        <is>
          <t>319</t>
        </is>
      </c>
      <c r="B170" s="4" t="n">
        <v>3</v>
      </c>
      <c r="C170" s="4" t="inlineStr">
        <is>
          <t>antelope</t>
        </is>
      </c>
      <c r="D170" s="4" t="n">
        <v>2009</v>
      </c>
      <c r="E170" s="15" t="inlineStr">
        <is>
          <t>Draw</t>
        </is>
      </c>
      <c r="F170" s="5" t="n">
        <v>86</v>
      </c>
      <c r="G170" s="5" t="n">
        <v>250</v>
      </c>
      <c r="H170" s="5" t="n">
        <v>38</v>
      </c>
      <c r="I170" s="5" t="n">
        <v>23</v>
      </c>
      <c r="J170" s="5" t="n">
        <v>15</v>
      </c>
      <c r="K170" s="10">
        <f>IF(F170&gt;0,H170/F170,"")</f>
        <v/>
      </c>
      <c r="L170" s="16">
        <f>IF(AND(G170&gt;0,H170&gt;0),G170/H170,"")</f>
        <v/>
      </c>
    </row>
    <row r="171">
      <c r="A171" s="4" t="inlineStr">
        <is>
          <t>319</t>
        </is>
      </c>
      <c r="B171" s="4" t="n">
        <v>3</v>
      </c>
      <c r="C171" s="4" t="inlineStr">
        <is>
          <t>antelope</t>
        </is>
      </c>
      <c r="D171" s="4" t="n">
        <v>2010</v>
      </c>
      <c r="E171" s="15" t="inlineStr">
        <is>
          <t>Draw</t>
        </is>
      </c>
      <c r="F171" s="5" t="n">
        <v>61</v>
      </c>
      <c r="G171" s="5" t="n">
        <v>205</v>
      </c>
      <c r="H171" s="5" t="n">
        <v>33</v>
      </c>
      <c r="I171" s="5" t="n">
        <v>20</v>
      </c>
      <c r="J171" s="5" t="n">
        <v>14</v>
      </c>
      <c r="K171" s="10">
        <f>IF(F171&gt;0,H171/F171,"")</f>
        <v/>
      </c>
      <c r="L171" s="16">
        <f>IF(AND(G171&gt;0,H171&gt;0),G171/H171,"")</f>
        <v/>
      </c>
    </row>
    <row r="172">
      <c r="A172" s="4" t="inlineStr">
        <is>
          <t>319</t>
        </is>
      </c>
      <c r="B172" s="4" t="n">
        <v>3</v>
      </c>
      <c r="C172" s="4" t="inlineStr">
        <is>
          <t>antelope</t>
        </is>
      </c>
      <c r="D172" s="4" t="n">
        <v>2011</v>
      </c>
      <c r="E172" s="15" t="inlineStr">
        <is>
          <t>Draw</t>
        </is>
      </c>
      <c r="F172" s="5" t="n">
        <v>77</v>
      </c>
      <c r="G172" s="5" t="n">
        <v>274</v>
      </c>
      <c r="H172" s="5" t="n">
        <v>44</v>
      </c>
      <c r="I172" s="5" t="n">
        <v>30</v>
      </c>
      <c r="J172" s="5" t="n">
        <v>14</v>
      </c>
      <c r="K172" s="10">
        <f>IF(F172&gt;0,H172/F172,"")</f>
        <v/>
      </c>
      <c r="L172" s="16">
        <f>IF(AND(G172&gt;0,H172&gt;0),G172/H172,"")</f>
        <v/>
      </c>
    </row>
    <row r="173">
      <c r="A173" s="4" t="inlineStr">
        <is>
          <t>319</t>
        </is>
      </c>
      <c r="B173" s="4" t="n">
        <v>3</v>
      </c>
      <c r="C173" s="4" t="inlineStr">
        <is>
          <t>antelope</t>
        </is>
      </c>
      <c r="D173" s="4" t="n">
        <v>2012</v>
      </c>
      <c r="E173" s="15" t="inlineStr">
        <is>
          <t>Draw</t>
        </is>
      </c>
      <c r="F173" s="5" t="n">
        <v>95</v>
      </c>
      <c r="G173" s="5" t="n">
        <v>449</v>
      </c>
      <c r="H173" s="5" t="n">
        <v>42</v>
      </c>
      <c r="I173" s="5" t="n">
        <v>26</v>
      </c>
      <c r="J173" s="5" t="n">
        <v>16</v>
      </c>
      <c r="K173" s="10">
        <f>IF(F173&gt;0,H173/F173,"")</f>
        <v/>
      </c>
      <c r="L173" s="16">
        <f>IF(AND(G173&gt;0,H173&gt;0),G173/H173,"")</f>
        <v/>
      </c>
    </row>
    <row r="174">
      <c r="A174" s="4" t="inlineStr">
        <is>
          <t>319</t>
        </is>
      </c>
      <c r="B174" s="4" t="n">
        <v>3</v>
      </c>
      <c r="C174" s="4" t="inlineStr">
        <is>
          <t>antelope</t>
        </is>
      </c>
      <c r="D174" s="4" t="n">
        <v>2013</v>
      </c>
      <c r="E174" s="15" t="inlineStr">
        <is>
          <t>Draw</t>
        </is>
      </c>
      <c r="F174" s="5" t="n"/>
      <c r="G174" s="5" t="n"/>
      <c r="H174" s="5" t="n">
        <v>26</v>
      </c>
      <c r="I174" s="5" t="n">
        <v>16</v>
      </c>
      <c r="J174" s="5" t="n">
        <v>10</v>
      </c>
      <c r="K174" s="10">
        <f>IF(F174&gt;0,H174/F174,"")</f>
        <v/>
      </c>
      <c r="L174" s="16">
        <f>IF(AND(G174&gt;0,H174&gt;0),G174/H174,"")</f>
        <v/>
      </c>
    </row>
    <row r="175">
      <c r="A175" s="4" t="inlineStr">
        <is>
          <t>319</t>
        </is>
      </c>
      <c r="B175" s="4" t="n">
        <v>3</v>
      </c>
      <c r="C175" s="4" t="inlineStr">
        <is>
          <t>antelope</t>
        </is>
      </c>
      <c r="D175" s="4" t="n">
        <v>2014</v>
      </c>
      <c r="E175" s="15" t="inlineStr">
        <is>
          <t>Draw</t>
        </is>
      </c>
      <c r="F175" s="5" t="n">
        <v>114</v>
      </c>
      <c r="G175" s="5" t="n">
        <v>411</v>
      </c>
      <c r="H175" s="5" t="n">
        <v>39</v>
      </c>
      <c r="I175" s="5" t="n">
        <v>30</v>
      </c>
      <c r="J175" s="5" t="n">
        <v>9</v>
      </c>
      <c r="K175" s="10">
        <f>IF(F175&gt;0,H175/F175,"")</f>
        <v/>
      </c>
      <c r="L175" s="16">
        <f>IF(AND(G175&gt;0,H175&gt;0),G175/H175,"")</f>
        <v/>
      </c>
    </row>
    <row r="176">
      <c r="A176" s="4" t="inlineStr">
        <is>
          <t>319</t>
        </is>
      </c>
      <c r="B176" s="4" t="n">
        <v>3</v>
      </c>
      <c r="C176" s="4" t="inlineStr">
        <is>
          <t>antelope</t>
        </is>
      </c>
      <c r="D176" s="4" t="n">
        <v>2015</v>
      </c>
      <c r="E176" s="15" t="inlineStr">
        <is>
          <t>Draw</t>
        </is>
      </c>
      <c r="F176" s="5" t="n">
        <v>79</v>
      </c>
      <c r="G176" s="5" t="n">
        <v>238</v>
      </c>
      <c r="H176" s="5" t="n">
        <v>36</v>
      </c>
      <c r="I176" s="5" t="n">
        <v>23</v>
      </c>
      <c r="J176" s="5" t="n">
        <v>13</v>
      </c>
      <c r="K176" s="10">
        <f>IF(F176&gt;0,H176/F176,"")</f>
        <v/>
      </c>
      <c r="L176" s="16">
        <f>IF(AND(G176&gt;0,H176&gt;0),G176/H176,"")</f>
        <v/>
      </c>
    </row>
    <row r="177">
      <c r="A177" s="4" t="inlineStr">
        <is>
          <t>319</t>
        </is>
      </c>
      <c r="B177" s="4" t="n">
        <v>3</v>
      </c>
      <c r="C177" s="4" t="inlineStr">
        <is>
          <t>antelope</t>
        </is>
      </c>
      <c r="D177" s="4" t="n">
        <v>2016</v>
      </c>
      <c r="E177" s="15" t="inlineStr">
        <is>
          <t>Draw</t>
        </is>
      </c>
      <c r="F177" s="5" t="n"/>
      <c r="G177" s="5" t="n"/>
      <c r="H177" s="5" t="n">
        <v>38</v>
      </c>
      <c r="I177" s="5" t="n">
        <v>29</v>
      </c>
      <c r="J177" s="5" t="n">
        <v>9</v>
      </c>
      <c r="K177" s="10">
        <f>IF(F177&gt;0,H177/F177,"")</f>
        <v/>
      </c>
      <c r="L177" s="16">
        <f>IF(AND(G177&gt;0,H177&gt;0),G177/H177,"")</f>
        <v/>
      </c>
    </row>
    <row r="178">
      <c r="A178" s="4" t="inlineStr">
        <is>
          <t>319</t>
        </is>
      </c>
      <c r="B178" s="4" t="n">
        <v>3</v>
      </c>
      <c r="C178" s="4" t="inlineStr">
        <is>
          <t>antelope</t>
        </is>
      </c>
      <c r="D178" s="4" t="n">
        <v>2017</v>
      </c>
      <c r="E178" s="15" t="inlineStr">
        <is>
          <t>Draw</t>
        </is>
      </c>
      <c r="F178" s="5" t="n"/>
      <c r="G178" s="5" t="n"/>
      <c r="H178" s="5" t="n">
        <v>56</v>
      </c>
      <c r="I178" s="5" t="n">
        <v>30</v>
      </c>
      <c r="J178" s="5" t="n">
        <v>25</v>
      </c>
      <c r="K178" s="10">
        <f>IF(F178&gt;0,H178/F178,"")</f>
        <v/>
      </c>
      <c r="L178" s="16">
        <f>IF(AND(G178&gt;0,H178&gt;0),G178/H178,"")</f>
        <v/>
      </c>
    </row>
    <row r="179">
      <c r="A179" s="4" t="inlineStr">
        <is>
          <t>319</t>
        </is>
      </c>
      <c r="B179" s="4" t="n">
        <v>3</v>
      </c>
      <c r="C179" s="4" t="inlineStr">
        <is>
          <t>antelope</t>
        </is>
      </c>
      <c r="D179" s="4" t="n">
        <v>2018</v>
      </c>
      <c r="E179" s="15" t="inlineStr">
        <is>
          <t>Draw</t>
        </is>
      </c>
      <c r="F179" s="5" t="n">
        <v>110</v>
      </c>
      <c r="G179" s="5" t="n">
        <v>415</v>
      </c>
      <c r="H179" s="5" t="n">
        <v>45</v>
      </c>
      <c r="I179" s="5" t="n">
        <v>32</v>
      </c>
      <c r="J179" s="5" t="n">
        <v>13</v>
      </c>
      <c r="K179" s="10">
        <f>IF(F179&gt;0,H179/F179,"")</f>
        <v/>
      </c>
      <c r="L179" s="16">
        <f>IF(AND(G179&gt;0,H179&gt;0),G179/H179,"")</f>
        <v/>
      </c>
    </row>
    <row r="180">
      <c r="A180" s="4" t="inlineStr">
        <is>
          <t>319</t>
        </is>
      </c>
      <c r="B180" s="4" t="n">
        <v>3</v>
      </c>
      <c r="C180" s="4" t="inlineStr">
        <is>
          <t>antelope</t>
        </is>
      </c>
      <c r="D180" s="4" t="n">
        <v>2019</v>
      </c>
      <c r="E180" s="15" t="inlineStr">
        <is>
          <t>Draw</t>
        </is>
      </c>
      <c r="F180" s="5" t="n"/>
      <c r="G180" s="5" t="n"/>
      <c r="H180" s="5" t="n">
        <v>43</v>
      </c>
      <c r="I180" s="5" t="n">
        <v>28</v>
      </c>
      <c r="J180" s="5" t="n">
        <v>15</v>
      </c>
      <c r="K180" s="10">
        <f>IF(F180&gt;0,H180/F180,"")</f>
        <v/>
      </c>
      <c r="L180" s="16">
        <f>IF(AND(G180&gt;0,H180&gt;0),G180/H180,"")</f>
        <v/>
      </c>
    </row>
    <row r="181">
      <c r="A181" s="4" t="inlineStr">
        <is>
          <t>319</t>
        </is>
      </c>
      <c r="B181" s="4" t="n">
        <v>3</v>
      </c>
      <c r="C181" s="4" t="inlineStr">
        <is>
          <t>antelope</t>
        </is>
      </c>
      <c r="D181" s="4" t="n">
        <v>2020</v>
      </c>
      <c r="E181" s="15" t="inlineStr">
        <is>
          <t>Draw</t>
        </is>
      </c>
      <c r="F181" s="5" t="n">
        <v>84</v>
      </c>
      <c r="G181" s="5" t="n">
        <v>445</v>
      </c>
      <c r="H181" s="5" t="n">
        <v>28</v>
      </c>
      <c r="I181" s="5" t="n">
        <v>18</v>
      </c>
      <c r="J181" s="5" t="n">
        <v>10</v>
      </c>
      <c r="K181" s="10">
        <f>IF(F181&gt;0,H181/F181,"")</f>
        <v/>
      </c>
      <c r="L181" s="16">
        <f>IF(AND(G181&gt;0,H181&gt;0),G181/H181,"")</f>
        <v/>
      </c>
    </row>
    <row r="182">
      <c r="A182" s="4" t="inlineStr">
        <is>
          <t>319</t>
        </is>
      </c>
      <c r="B182" s="4" t="n">
        <v>3</v>
      </c>
      <c r="C182" s="4" t="inlineStr">
        <is>
          <t>antelope</t>
        </is>
      </c>
      <c r="D182" s="4" t="n">
        <v>2021</v>
      </c>
      <c r="E182" s="15" t="inlineStr">
        <is>
          <t>Draw</t>
        </is>
      </c>
      <c r="F182" s="5" t="n"/>
      <c r="G182" s="5" t="n"/>
      <c r="H182" s="5" t="n">
        <v>37</v>
      </c>
      <c r="I182" s="5" t="n">
        <v>19</v>
      </c>
      <c r="J182" s="5" t="n">
        <v>18</v>
      </c>
      <c r="K182" s="10">
        <f>IF(F182&gt;0,H182/F182,"")</f>
        <v/>
      </c>
      <c r="L182" s="16">
        <f>IF(AND(G182&gt;0,H182&gt;0),G182/H182,"")</f>
        <v/>
      </c>
    </row>
    <row r="183">
      <c r="A183" s="4" t="inlineStr">
        <is>
          <t>319</t>
        </is>
      </c>
      <c r="B183" s="4" t="n">
        <v>3</v>
      </c>
      <c r="C183" s="4" t="inlineStr">
        <is>
          <t>antelope</t>
        </is>
      </c>
      <c r="D183" s="4" t="n">
        <v>2022</v>
      </c>
      <c r="E183" s="15" t="inlineStr">
        <is>
          <t>Draw</t>
        </is>
      </c>
      <c r="F183" s="5" t="n">
        <v>95</v>
      </c>
      <c r="G183" s="5" t="n">
        <v>352</v>
      </c>
      <c r="H183" s="5" t="n">
        <v>33</v>
      </c>
      <c r="I183" s="5" t="n">
        <v>18</v>
      </c>
      <c r="J183" s="5" t="n">
        <v>14</v>
      </c>
      <c r="K183" s="10">
        <f>IF(F183&gt;0,H183/F183,"")</f>
        <v/>
      </c>
      <c r="L183" s="16">
        <f>IF(AND(G183&gt;0,H183&gt;0),G183/H183,"")</f>
        <v/>
      </c>
    </row>
    <row r="184">
      <c r="A184" s="4" t="inlineStr">
        <is>
          <t>319</t>
        </is>
      </c>
      <c r="B184" s="4" t="n">
        <v>3</v>
      </c>
      <c r="C184" s="4" t="inlineStr">
        <is>
          <t>antelope</t>
        </is>
      </c>
      <c r="D184" s="4" t="n">
        <v>2023</v>
      </c>
      <c r="E184" s="15" t="inlineStr">
        <is>
          <t>Draw</t>
        </is>
      </c>
      <c r="F184" s="5" t="n"/>
      <c r="G184" s="5" t="n"/>
      <c r="H184" s="5" t="n">
        <v>37</v>
      </c>
      <c r="I184" s="5" t="n">
        <v>10</v>
      </c>
      <c r="J184" s="5" t="n">
        <v>27</v>
      </c>
      <c r="K184" s="10">
        <f>IF(F184&gt;0,H184/F184,"")</f>
        <v/>
      </c>
      <c r="L184" s="16">
        <f>IF(AND(G184&gt;0,H184&gt;0),G184/H184,"")</f>
        <v/>
      </c>
    </row>
    <row r="185">
      <c r="A185" s="4" t="inlineStr">
        <is>
          <t>319</t>
        </is>
      </c>
      <c r="B185" s="4" t="n">
        <v>3</v>
      </c>
      <c r="C185" s="4" t="inlineStr">
        <is>
          <t>antelope</t>
        </is>
      </c>
      <c r="D185" s="4" t="n">
        <v>2024</v>
      </c>
      <c r="E185" s="15" t="inlineStr">
        <is>
          <t>Draw</t>
        </is>
      </c>
      <c r="F185" s="5" t="n">
        <v>76</v>
      </c>
      <c r="G185" s="5" t="n">
        <v>516</v>
      </c>
      <c r="H185" s="5" t="n">
        <v>18</v>
      </c>
      <c r="I185" s="5" t="n">
        <v>9</v>
      </c>
      <c r="J185" s="5" t="n">
        <v>9</v>
      </c>
      <c r="K185" s="10">
        <f>IF(F185&gt;0,H185/F185,"")</f>
        <v/>
      </c>
      <c r="L185" s="16">
        <f>IF(AND(G185&gt;0,H185&gt;0),G185/H185,"")</f>
        <v/>
      </c>
    </row>
    <row r="186">
      <c r="A186" s="4" t="inlineStr">
        <is>
          <t>319</t>
        </is>
      </c>
      <c r="B186" s="4" t="n">
        <v>3</v>
      </c>
      <c r="C186" s="4" t="inlineStr">
        <is>
          <t>antelope</t>
        </is>
      </c>
      <c r="D186" s="4" t="n">
        <v>2025</v>
      </c>
      <c r="E186" s="15" t="inlineStr">
        <is>
          <t>Draw</t>
        </is>
      </c>
      <c r="F186" s="5" t="n"/>
      <c r="G186" s="5" t="n"/>
      <c r="H186" s="5" t="n">
        <v>33</v>
      </c>
      <c r="I186" s="5" t="n">
        <v>13</v>
      </c>
      <c r="J186" s="5" t="n">
        <v>17</v>
      </c>
      <c r="K186" s="10">
        <f>IF(F186&gt;0,H186/F186,"")</f>
        <v/>
      </c>
      <c r="L186" s="16">
        <f>IF(AND(G186&gt;0,H186&gt;0),G186/H186,"")</f>
        <v/>
      </c>
    </row>
    <row r="187">
      <c r="A187" s="4" t="inlineStr">
        <is>
          <t>320</t>
        </is>
      </c>
      <c r="B187" s="4" t="n">
        <v>3</v>
      </c>
      <c r="C187" s="4" t="inlineStr">
        <is>
          <t>antelope</t>
        </is>
      </c>
      <c r="D187" s="4" t="n">
        <v>2004</v>
      </c>
      <c r="E187" s="15" t="inlineStr">
        <is>
          <t>Draw</t>
        </is>
      </c>
      <c r="F187" s="5" t="n">
        <v>282</v>
      </c>
      <c r="G187" s="5" t="n">
        <v>948</v>
      </c>
      <c r="H187" s="5" t="n">
        <v>168</v>
      </c>
      <c r="I187" s="5" t="n">
        <v>92</v>
      </c>
      <c r="J187" s="5" t="n">
        <v>72</v>
      </c>
      <c r="K187" s="10">
        <f>IF(F187&gt;0,H187/F187,"")</f>
        <v/>
      </c>
      <c r="L187" s="16">
        <f>IF(AND(G187&gt;0,H187&gt;0),G187/H187,"")</f>
        <v/>
      </c>
    </row>
    <row r="188">
      <c r="A188" s="4" t="inlineStr">
        <is>
          <t>320</t>
        </is>
      </c>
      <c r="B188" s="4" t="n">
        <v>3</v>
      </c>
      <c r="C188" s="4" t="inlineStr">
        <is>
          <t>antelope</t>
        </is>
      </c>
      <c r="D188" s="4" t="n">
        <v>2005</v>
      </c>
      <c r="E188" s="15" t="inlineStr">
        <is>
          <t>Draw</t>
        </is>
      </c>
      <c r="F188" s="5" t="n">
        <v>337</v>
      </c>
      <c r="G188" s="5" t="n">
        <v>1168</v>
      </c>
      <c r="H188" s="5" t="n">
        <v>193</v>
      </c>
      <c r="I188" s="5" t="n">
        <v>116</v>
      </c>
      <c r="J188" s="5" t="n">
        <v>72</v>
      </c>
      <c r="K188" s="10">
        <f>IF(F188&gt;0,H188/F188,"")</f>
        <v/>
      </c>
      <c r="L188" s="16">
        <f>IF(AND(G188&gt;0,H188&gt;0),G188/H188,"")</f>
        <v/>
      </c>
    </row>
    <row r="189">
      <c r="A189" s="4" t="inlineStr">
        <is>
          <t>320</t>
        </is>
      </c>
      <c r="B189" s="4" t="n">
        <v>3</v>
      </c>
      <c r="C189" s="4" t="inlineStr">
        <is>
          <t>antelope</t>
        </is>
      </c>
      <c r="D189" s="4" t="n">
        <v>2006</v>
      </c>
      <c r="E189" s="15" t="inlineStr">
        <is>
          <t>Draw</t>
        </is>
      </c>
      <c r="F189" s="5" t="n">
        <v>311</v>
      </c>
      <c r="G189" s="5" t="n">
        <v>936</v>
      </c>
      <c r="H189" s="5" t="n">
        <v>228</v>
      </c>
      <c r="I189" s="5" t="n">
        <v>109</v>
      </c>
      <c r="J189" s="5" t="n">
        <v>101</v>
      </c>
      <c r="K189" s="10">
        <f>IF(F189&gt;0,H189/F189,"")</f>
        <v/>
      </c>
      <c r="L189" s="16">
        <f>IF(AND(G189&gt;0,H189&gt;0),G189/H189,"")</f>
        <v/>
      </c>
    </row>
    <row r="190">
      <c r="A190" s="4" t="inlineStr">
        <is>
          <t>320</t>
        </is>
      </c>
      <c r="B190" s="4" t="n">
        <v>3</v>
      </c>
      <c r="C190" s="4" t="inlineStr">
        <is>
          <t>antelope</t>
        </is>
      </c>
      <c r="D190" s="4" t="n">
        <v>2007</v>
      </c>
      <c r="E190" s="15" t="inlineStr">
        <is>
          <t>Draw</t>
        </is>
      </c>
      <c r="F190" s="5" t="n">
        <v>202</v>
      </c>
      <c r="G190" s="5" t="n">
        <v>563</v>
      </c>
      <c r="H190" s="5" t="n">
        <v>132</v>
      </c>
      <c r="I190" s="5" t="n">
        <v>68</v>
      </c>
      <c r="J190" s="5" t="n">
        <v>56</v>
      </c>
      <c r="K190" s="10">
        <f>IF(F190&gt;0,H190/F190,"")</f>
        <v/>
      </c>
      <c r="L190" s="16">
        <f>IF(AND(G190&gt;0,H190&gt;0),G190/H190,"")</f>
        <v/>
      </c>
    </row>
    <row r="191">
      <c r="A191" s="4" t="inlineStr">
        <is>
          <t>320</t>
        </is>
      </c>
      <c r="B191" s="4" t="n">
        <v>3</v>
      </c>
      <c r="C191" s="4" t="inlineStr">
        <is>
          <t>antelope</t>
        </is>
      </c>
      <c r="D191" s="4" t="n">
        <v>2008</v>
      </c>
      <c r="E191" s="15" t="inlineStr">
        <is>
          <t>Draw</t>
        </is>
      </c>
      <c r="F191" s="5" t="n">
        <v>194</v>
      </c>
      <c r="G191" s="5" t="n">
        <v>747</v>
      </c>
      <c r="H191" s="5" t="n">
        <v>104</v>
      </c>
      <c r="I191" s="5" t="n">
        <v>59</v>
      </c>
      <c r="J191" s="5" t="n">
        <v>45</v>
      </c>
      <c r="K191" s="10">
        <f>IF(F191&gt;0,H191/F191,"")</f>
        <v/>
      </c>
      <c r="L191" s="16">
        <f>IF(AND(G191&gt;0,H191&gt;0),G191/H191,"")</f>
        <v/>
      </c>
    </row>
    <row r="192">
      <c r="A192" s="4" t="inlineStr">
        <is>
          <t>320</t>
        </is>
      </c>
      <c r="B192" s="4" t="n">
        <v>3</v>
      </c>
      <c r="C192" s="4" t="inlineStr">
        <is>
          <t>antelope</t>
        </is>
      </c>
      <c r="D192" s="4" t="n">
        <v>2009</v>
      </c>
      <c r="E192" s="15" t="inlineStr">
        <is>
          <t>Draw</t>
        </is>
      </c>
      <c r="F192" s="5" t="n">
        <v>219</v>
      </c>
      <c r="G192" s="5" t="n">
        <v>887</v>
      </c>
      <c r="H192" s="5" t="n">
        <v>118</v>
      </c>
      <c r="I192" s="5" t="n">
        <v>72</v>
      </c>
      <c r="J192" s="5" t="n">
        <v>46</v>
      </c>
      <c r="K192" s="10">
        <f>IF(F192&gt;0,H192/F192,"")</f>
        <v/>
      </c>
      <c r="L192" s="16">
        <f>IF(AND(G192&gt;0,H192&gt;0),G192/H192,"")</f>
        <v/>
      </c>
    </row>
    <row r="193">
      <c r="A193" s="4" t="inlineStr">
        <is>
          <t>320</t>
        </is>
      </c>
      <c r="B193" s="4" t="n">
        <v>3</v>
      </c>
      <c r="C193" s="4" t="inlineStr">
        <is>
          <t>antelope</t>
        </is>
      </c>
      <c r="D193" s="4" t="n">
        <v>2010</v>
      </c>
      <c r="E193" s="15" t="inlineStr">
        <is>
          <t>Draw</t>
        </is>
      </c>
      <c r="F193" s="5" t="n">
        <v>124</v>
      </c>
      <c r="G193" s="5" t="n">
        <v>539</v>
      </c>
      <c r="H193" s="5" t="n">
        <v>67</v>
      </c>
      <c r="I193" s="5" t="n">
        <v>35</v>
      </c>
      <c r="J193" s="5" t="n">
        <v>31</v>
      </c>
      <c r="K193" s="10">
        <f>IF(F193&gt;0,H193/F193,"")</f>
        <v/>
      </c>
      <c r="L193" s="16">
        <f>IF(AND(G193&gt;0,H193&gt;0),G193/H193,"")</f>
        <v/>
      </c>
    </row>
    <row r="194">
      <c r="A194" s="4" t="inlineStr">
        <is>
          <t>320</t>
        </is>
      </c>
      <c r="B194" s="4" t="n">
        <v>3</v>
      </c>
      <c r="C194" s="4" t="inlineStr">
        <is>
          <t>antelope</t>
        </is>
      </c>
      <c r="D194" s="4" t="n">
        <v>2011</v>
      </c>
      <c r="E194" s="15" t="inlineStr">
        <is>
          <t>Draw</t>
        </is>
      </c>
      <c r="F194" s="5" t="n">
        <v>78</v>
      </c>
      <c r="G194" s="5" t="n">
        <v>384</v>
      </c>
      <c r="H194" s="5" t="n">
        <v>46</v>
      </c>
      <c r="I194" s="5" t="n">
        <v>25</v>
      </c>
      <c r="J194" s="5" t="n">
        <v>20</v>
      </c>
      <c r="K194" s="10">
        <f>IF(F194&gt;0,H194/F194,"")</f>
        <v/>
      </c>
      <c r="L194" s="16">
        <f>IF(AND(G194&gt;0,H194&gt;0),G194/H194,"")</f>
        <v/>
      </c>
    </row>
    <row r="195">
      <c r="A195" s="4" t="inlineStr">
        <is>
          <t>320</t>
        </is>
      </c>
      <c r="B195" s="4" t="n">
        <v>3</v>
      </c>
      <c r="C195" s="4" t="inlineStr">
        <is>
          <t>antelope</t>
        </is>
      </c>
      <c r="D195" s="4" t="n">
        <v>2012</v>
      </c>
      <c r="E195" s="15" t="inlineStr">
        <is>
          <t>Draw</t>
        </is>
      </c>
      <c r="F195" s="5" t="n">
        <v>93</v>
      </c>
      <c r="G195" s="5" t="n">
        <v>284</v>
      </c>
      <c r="H195" s="5" t="n">
        <v>45</v>
      </c>
      <c r="I195" s="5" t="n">
        <v>32</v>
      </c>
      <c r="J195" s="5" t="n">
        <v>13</v>
      </c>
      <c r="K195" s="10">
        <f>IF(F195&gt;0,H195/F195,"")</f>
        <v/>
      </c>
      <c r="L195" s="16">
        <f>IF(AND(G195&gt;0,H195&gt;0),G195/H195,"")</f>
        <v/>
      </c>
    </row>
    <row r="196">
      <c r="A196" s="4" t="inlineStr">
        <is>
          <t>320</t>
        </is>
      </c>
      <c r="B196" s="4" t="n">
        <v>3</v>
      </c>
      <c r="C196" s="4" t="inlineStr">
        <is>
          <t>antelope</t>
        </is>
      </c>
      <c r="D196" s="4" t="n">
        <v>2013</v>
      </c>
      <c r="E196" s="15" t="inlineStr">
        <is>
          <t>Draw</t>
        </is>
      </c>
      <c r="F196" s="5" t="n"/>
      <c r="G196" s="5" t="n"/>
      <c r="H196" s="5" t="n">
        <v>30</v>
      </c>
      <c r="I196" s="5" t="n">
        <v>23</v>
      </c>
      <c r="J196" s="5" t="n">
        <v>7</v>
      </c>
      <c r="K196" s="10">
        <f>IF(F196&gt;0,H196/F196,"")</f>
        <v/>
      </c>
      <c r="L196" s="16">
        <f>IF(AND(G196&gt;0,H196&gt;0),G196/H196,"")</f>
        <v/>
      </c>
    </row>
    <row r="197">
      <c r="A197" s="4" t="inlineStr">
        <is>
          <t>320</t>
        </is>
      </c>
      <c r="B197" s="4" t="n">
        <v>3</v>
      </c>
      <c r="C197" s="4" t="inlineStr">
        <is>
          <t>antelope</t>
        </is>
      </c>
      <c r="D197" s="4" t="n">
        <v>2014</v>
      </c>
      <c r="E197" s="15" t="inlineStr">
        <is>
          <t>Draw</t>
        </is>
      </c>
      <c r="F197" s="5" t="n">
        <v>59</v>
      </c>
      <c r="G197" s="5" t="n">
        <v>243</v>
      </c>
      <c r="H197" s="5" t="n">
        <v>31</v>
      </c>
      <c r="I197" s="5" t="n">
        <v>18</v>
      </c>
      <c r="J197" s="5" t="n">
        <v>10</v>
      </c>
      <c r="K197" s="10">
        <f>IF(F197&gt;0,H197/F197,"")</f>
        <v/>
      </c>
      <c r="L197" s="16">
        <f>IF(AND(G197&gt;0,H197&gt;0),G197/H197,"")</f>
        <v/>
      </c>
    </row>
    <row r="198">
      <c r="A198" s="4" t="inlineStr">
        <is>
          <t>320</t>
        </is>
      </c>
      <c r="B198" s="4" t="n">
        <v>3</v>
      </c>
      <c r="C198" s="4" t="inlineStr">
        <is>
          <t>antelope</t>
        </is>
      </c>
      <c r="D198" s="4" t="n">
        <v>2015</v>
      </c>
      <c r="E198" s="15" t="inlineStr">
        <is>
          <t>Draw</t>
        </is>
      </c>
      <c r="F198" s="5" t="n">
        <v>118</v>
      </c>
      <c r="G198" s="5" t="n">
        <v>574</v>
      </c>
      <c r="H198" s="5" t="n">
        <v>64</v>
      </c>
      <c r="I198" s="5" t="n">
        <v>41</v>
      </c>
      <c r="J198" s="5" t="n">
        <v>21</v>
      </c>
      <c r="K198" s="10">
        <f>IF(F198&gt;0,H198/F198,"")</f>
        <v/>
      </c>
      <c r="L198" s="16">
        <f>IF(AND(G198&gt;0,H198&gt;0),G198/H198,"")</f>
        <v/>
      </c>
    </row>
    <row r="199">
      <c r="A199" s="4" t="inlineStr">
        <is>
          <t>320</t>
        </is>
      </c>
      <c r="B199" s="4" t="n">
        <v>3</v>
      </c>
      <c r="C199" s="4" t="inlineStr">
        <is>
          <t>antelope</t>
        </is>
      </c>
      <c r="D199" s="4" t="n">
        <v>2016</v>
      </c>
      <c r="E199" s="15" t="inlineStr">
        <is>
          <t>Draw</t>
        </is>
      </c>
      <c r="F199" s="5" t="n"/>
      <c r="G199" s="5" t="n"/>
      <c r="H199" s="5" t="n">
        <v>63</v>
      </c>
      <c r="I199" s="5" t="n">
        <v>45</v>
      </c>
      <c r="J199" s="5" t="n">
        <v>17</v>
      </c>
      <c r="K199" s="10">
        <f>IF(F199&gt;0,H199/F199,"")</f>
        <v/>
      </c>
      <c r="L199" s="16">
        <f>IF(AND(G199&gt;0,H199&gt;0),G199/H199,"")</f>
        <v/>
      </c>
    </row>
    <row r="200">
      <c r="A200" s="4" t="inlineStr">
        <is>
          <t>320</t>
        </is>
      </c>
      <c r="B200" s="4" t="n">
        <v>3</v>
      </c>
      <c r="C200" s="4" t="inlineStr">
        <is>
          <t>antelope</t>
        </is>
      </c>
      <c r="D200" s="4" t="n">
        <v>2017</v>
      </c>
      <c r="E200" s="15" t="inlineStr">
        <is>
          <t>Draw</t>
        </is>
      </c>
      <c r="F200" s="5" t="n"/>
      <c r="G200" s="5" t="n"/>
      <c r="H200" s="5" t="n">
        <v>84</v>
      </c>
      <c r="I200" s="5" t="n">
        <v>52</v>
      </c>
      <c r="J200" s="5" t="n">
        <v>30</v>
      </c>
      <c r="K200" s="10">
        <f>IF(F200&gt;0,H200/F200,"")</f>
        <v/>
      </c>
      <c r="L200" s="16">
        <f>IF(AND(G200&gt;0,H200&gt;0),G200/H200,"")</f>
        <v/>
      </c>
    </row>
    <row r="201">
      <c r="A201" s="4" t="inlineStr">
        <is>
          <t>320</t>
        </is>
      </c>
      <c r="B201" s="4" t="n">
        <v>3</v>
      </c>
      <c r="C201" s="4" t="inlineStr">
        <is>
          <t>antelope</t>
        </is>
      </c>
      <c r="D201" s="4" t="n">
        <v>2018</v>
      </c>
      <c r="E201" s="15" t="inlineStr">
        <is>
          <t>Draw</t>
        </is>
      </c>
      <c r="F201" s="5" t="n">
        <v>182</v>
      </c>
      <c r="G201" s="5" t="n">
        <v>678</v>
      </c>
      <c r="H201" s="5" t="n">
        <v>94</v>
      </c>
      <c r="I201" s="5" t="n">
        <v>48</v>
      </c>
      <c r="J201" s="5" t="n">
        <v>42</v>
      </c>
      <c r="K201" s="10">
        <f>IF(F201&gt;0,H201/F201,"")</f>
        <v/>
      </c>
      <c r="L201" s="16">
        <f>IF(AND(G201&gt;0,H201&gt;0),G201/H201,"")</f>
        <v/>
      </c>
    </row>
    <row r="202">
      <c r="A202" s="4" t="inlineStr">
        <is>
          <t>320</t>
        </is>
      </c>
      <c r="B202" s="4" t="n">
        <v>3</v>
      </c>
      <c r="C202" s="4" t="inlineStr">
        <is>
          <t>antelope</t>
        </is>
      </c>
      <c r="D202" s="4" t="n">
        <v>2019</v>
      </c>
      <c r="E202" s="15" t="inlineStr">
        <is>
          <t>Draw</t>
        </is>
      </c>
      <c r="F202" s="5" t="n"/>
      <c r="G202" s="5" t="n"/>
      <c r="H202" s="5" t="n">
        <v>45</v>
      </c>
      <c r="I202" s="5" t="n">
        <v>36</v>
      </c>
      <c r="J202" s="5" t="n">
        <v>8</v>
      </c>
      <c r="K202" s="10">
        <f>IF(F202&gt;0,H202/F202,"")</f>
        <v/>
      </c>
      <c r="L202" s="16">
        <f>IF(AND(G202&gt;0,H202&gt;0),G202/H202,"")</f>
        <v/>
      </c>
    </row>
    <row r="203">
      <c r="A203" s="4" t="inlineStr">
        <is>
          <t>320</t>
        </is>
      </c>
      <c r="B203" s="4" t="n">
        <v>3</v>
      </c>
      <c r="C203" s="4" t="inlineStr">
        <is>
          <t>antelope</t>
        </is>
      </c>
      <c r="D203" s="4" t="n">
        <v>2020</v>
      </c>
      <c r="E203" s="15" t="inlineStr">
        <is>
          <t>Draw</t>
        </is>
      </c>
      <c r="F203" s="5" t="n">
        <v>98</v>
      </c>
      <c r="G203" s="5" t="n">
        <v>324</v>
      </c>
      <c r="H203" s="5" t="n">
        <v>60</v>
      </c>
      <c r="I203" s="5" t="n">
        <v>46</v>
      </c>
      <c r="J203" s="5" t="n">
        <v>12</v>
      </c>
      <c r="K203" s="10">
        <f>IF(F203&gt;0,H203/F203,"")</f>
        <v/>
      </c>
      <c r="L203" s="16">
        <f>IF(AND(G203&gt;0,H203&gt;0),G203/H203,"")</f>
        <v/>
      </c>
    </row>
    <row r="204">
      <c r="A204" s="4" t="inlineStr">
        <is>
          <t>320</t>
        </is>
      </c>
      <c r="B204" s="4" t="n">
        <v>3</v>
      </c>
      <c r="C204" s="4" t="inlineStr">
        <is>
          <t>antelope</t>
        </is>
      </c>
      <c r="D204" s="4" t="n">
        <v>2021</v>
      </c>
      <c r="E204" s="15" t="inlineStr">
        <is>
          <t>Draw</t>
        </is>
      </c>
      <c r="F204" s="5" t="n"/>
      <c r="G204" s="5" t="n"/>
      <c r="H204" s="5" t="n">
        <v>52</v>
      </c>
      <c r="I204" s="5" t="n">
        <v>35</v>
      </c>
      <c r="J204" s="5" t="n">
        <v>17</v>
      </c>
      <c r="K204" s="10">
        <f>IF(F204&gt;0,H204/F204,"")</f>
        <v/>
      </c>
      <c r="L204" s="16">
        <f>IF(AND(G204&gt;0,H204&gt;0),G204/H204,"")</f>
        <v/>
      </c>
    </row>
    <row r="205">
      <c r="A205" s="4" t="inlineStr">
        <is>
          <t>320</t>
        </is>
      </c>
      <c r="B205" s="4" t="n">
        <v>3</v>
      </c>
      <c r="C205" s="4" t="inlineStr">
        <is>
          <t>antelope</t>
        </is>
      </c>
      <c r="D205" s="4" t="n">
        <v>2022</v>
      </c>
      <c r="E205" s="15" t="inlineStr">
        <is>
          <t>Draw</t>
        </is>
      </c>
      <c r="F205" s="5" t="n">
        <v>95</v>
      </c>
      <c r="G205" s="5" t="n">
        <v>496</v>
      </c>
      <c r="H205" s="5" t="n">
        <v>45</v>
      </c>
      <c r="I205" s="5" t="n">
        <v>25</v>
      </c>
      <c r="J205" s="5" t="n">
        <v>21</v>
      </c>
      <c r="K205" s="10">
        <f>IF(F205&gt;0,H205/F205,"")</f>
        <v/>
      </c>
      <c r="L205" s="16">
        <f>IF(AND(G205&gt;0,H205&gt;0),G205/H205,"")</f>
        <v/>
      </c>
    </row>
    <row r="206">
      <c r="A206" s="4" t="inlineStr">
        <is>
          <t>320</t>
        </is>
      </c>
      <c r="B206" s="4" t="n">
        <v>3</v>
      </c>
      <c r="C206" s="4" t="inlineStr">
        <is>
          <t>antelope</t>
        </is>
      </c>
      <c r="D206" s="4" t="n">
        <v>2023</v>
      </c>
      <c r="E206" s="15" t="inlineStr">
        <is>
          <t>Draw</t>
        </is>
      </c>
      <c r="F206" s="5" t="n"/>
      <c r="G206" s="5" t="n"/>
      <c r="H206" s="5" t="n">
        <v>81</v>
      </c>
      <c r="I206" s="5" t="n">
        <v>53</v>
      </c>
      <c r="J206" s="5" t="n">
        <v>28</v>
      </c>
      <c r="K206" s="10">
        <f>IF(F206&gt;0,H206/F206,"")</f>
        <v/>
      </c>
      <c r="L206" s="16">
        <f>IF(AND(G206&gt;0,H206&gt;0),G206/H206,"")</f>
        <v/>
      </c>
    </row>
    <row r="207">
      <c r="A207" s="4" t="inlineStr">
        <is>
          <t>320</t>
        </is>
      </c>
      <c r="B207" s="4" t="n">
        <v>3</v>
      </c>
      <c r="C207" s="4" t="inlineStr">
        <is>
          <t>antelope</t>
        </is>
      </c>
      <c r="D207" s="4" t="n">
        <v>2024</v>
      </c>
      <c r="E207" s="15" t="inlineStr">
        <is>
          <t>Draw</t>
        </is>
      </c>
      <c r="F207" s="5" t="n">
        <v>138</v>
      </c>
      <c r="G207" s="5" t="n">
        <v>644</v>
      </c>
      <c r="H207" s="5" t="n">
        <v>75</v>
      </c>
      <c r="I207" s="5" t="n">
        <v>50</v>
      </c>
      <c r="J207" s="5" t="n">
        <v>24</v>
      </c>
      <c r="K207" s="10">
        <f>IF(F207&gt;0,H207/F207,"")</f>
        <v/>
      </c>
      <c r="L207" s="16">
        <f>IF(AND(G207&gt;0,H207&gt;0),G207/H207,"")</f>
        <v/>
      </c>
    </row>
    <row r="208">
      <c r="A208" s="4" t="inlineStr">
        <is>
          <t>320</t>
        </is>
      </c>
      <c r="B208" s="4" t="n">
        <v>3</v>
      </c>
      <c r="C208" s="4" t="inlineStr">
        <is>
          <t>antelope</t>
        </is>
      </c>
      <c r="D208" s="4" t="n">
        <v>2025</v>
      </c>
      <c r="E208" s="15" t="inlineStr">
        <is>
          <t>Draw</t>
        </is>
      </c>
      <c r="F208" s="5" t="n"/>
      <c r="G208" s="5" t="n"/>
      <c r="H208" s="5" t="n">
        <v>95</v>
      </c>
      <c r="I208" s="5" t="n">
        <v>63</v>
      </c>
      <c r="J208" s="5" t="n">
        <v>32</v>
      </c>
      <c r="K208" s="10">
        <f>IF(F208&gt;0,H208/F208,"")</f>
        <v/>
      </c>
      <c r="L208" s="16">
        <f>IF(AND(G208&gt;0,H208&gt;0),G208/H208,"")</f>
        <v/>
      </c>
    </row>
    <row r="209">
      <c r="A209" s="4" t="inlineStr">
        <is>
          <t>321</t>
        </is>
      </c>
      <c r="B209" s="4" t="n">
        <v>3</v>
      </c>
      <c r="C209" s="4" t="inlineStr">
        <is>
          <t>antelope</t>
        </is>
      </c>
      <c r="D209" s="4" t="n">
        <v>2004</v>
      </c>
      <c r="E209" s="4" t="inlineStr"/>
      <c r="F209" s="5" t="n">
        <v>469</v>
      </c>
      <c r="G209" s="5" t="n">
        <v>1298</v>
      </c>
      <c r="H209" s="5" t="n">
        <v>257</v>
      </c>
      <c r="I209" s="5" t="n">
        <v>171</v>
      </c>
      <c r="J209" s="5" t="n">
        <v>74</v>
      </c>
      <c r="K209" s="10">
        <f>IF(F209&gt;0,H209/F209,"")</f>
        <v/>
      </c>
      <c r="L209" s="16">
        <f>IF(AND(G209&gt;0,H209&gt;0),G209/H209,"")</f>
        <v/>
      </c>
    </row>
    <row r="210">
      <c r="A210" s="4" t="inlineStr">
        <is>
          <t>321</t>
        </is>
      </c>
      <c r="B210" s="4" t="n">
        <v>3</v>
      </c>
      <c r="C210" s="4" t="inlineStr">
        <is>
          <t>antelope</t>
        </is>
      </c>
      <c r="D210" s="4" t="n">
        <v>2005</v>
      </c>
      <c r="E210" s="4" t="inlineStr"/>
      <c r="F210" s="5" t="n">
        <v>265</v>
      </c>
      <c r="G210" s="5" t="n">
        <v>901</v>
      </c>
      <c r="H210" s="5" t="n">
        <v>115</v>
      </c>
      <c r="I210" s="5" t="n">
        <v>90</v>
      </c>
      <c r="J210" s="5" t="n">
        <v>23</v>
      </c>
      <c r="K210" s="10">
        <f>IF(F210&gt;0,H210/F210,"")</f>
        <v/>
      </c>
      <c r="L210" s="16">
        <f>IF(AND(G210&gt;0,H210&gt;0),G210/H210,"")</f>
        <v/>
      </c>
    </row>
    <row r="211">
      <c r="A211" s="4" t="inlineStr">
        <is>
          <t>321</t>
        </is>
      </c>
      <c r="B211" s="4" t="n">
        <v>3</v>
      </c>
      <c r="C211" s="4" t="inlineStr">
        <is>
          <t>antelope</t>
        </is>
      </c>
      <c r="D211" s="4" t="n">
        <v>2006</v>
      </c>
      <c r="E211" s="4" t="inlineStr"/>
      <c r="F211" s="5" t="n">
        <v>216</v>
      </c>
      <c r="G211" s="5" t="n">
        <v>576</v>
      </c>
      <c r="H211" s="5" t="n">
        <v>150</v>
      </c>
      <c r="I211" s="5" t="n">
        <v>130</v>
      </c>
      <c r="J211" s="5" t="n">
        <v>17</v>
      </c>
      <c r="K211" s="10">
        <f>IF(F211&gt;0,H211/F211,"")</f>
        <v/>
      </c>
      <c r="L211" s="16">
        <f>IF(AND(G211&gt;0,H211&gt;0),G211/H211,"")</f>
        <v/>
      </c>
    </row>
    <row r="212">
      <c r="A212" s="4" t="inlineStr">
        <is>
          <t>321</t>
        </is>
      </c>
      <c r="B212" s="4" t="n">
        <v>3</v>
      </c>
      <c r="C212" s="4" t="inlineStr">
        <is>
          <t>antelope</t>
        </is>
      </c>
      <c r="D212" s="4" t="n">
        <v>2007</v>
      </c>
      <c r="E212" s="4" t="inlineStr"/>
      <c r="F212" s="5" t="n">
        <v>262</v>
      </c>
      <c r="G212" s="5" t="n">
        <v>1229</v>
      </c>
      <c r="H212" s="5" t="n">
        <v>159</v>
      </c>
      <c r="I212" s="5" t="n">
        <v>122</v>
      </c>
      <c r="J212" s="5" t="n">
        <v>36</v>
      </c>
      <c r="K212" s="10">
        <f>IF(F212&gt;0,H212/F212,"")</f>
        <v/>
      </c>
      <c r="L212" s="16">
        <f>IF(AND(G212&gt;0,H212&gt;0),G212/H212,"")</f>
        <v/>
      </c>
    </row>
    <row r="213">
      <c r="A213" s="4" t="inlineStr">
        <is>
          <t>321</t>
        </is>
      </c>
      <c r="B213" s="4" t="n">
        <v>3</v>
      </c>
      <c r="C213" s="4" t="inlineStr">
        <is>
          <t>antelope</t>
        </is>
      </c>
      <c r="D213" s="4" t="n">
        <v>2008</v>
      </c>
      <c r="E213" s="4" t="inlineStr"/>
      <c r="F213" s="5" t="n">
        <v>285</v>
      </c>
      <c r="G213" s="5" t="n">
        <v>1131</v>
      </c>
      <c r="H213" s="5" t="n">
        <v>167</v>
      </c>
      <c r="I213" s="5" t="n">
        <v>126</v>
      </c>
      <c r="J213" s="5" t="n">
        <v>41</v>
      </c>
      <c r="K213" s="10">
        <f>IF(F213&gt;0,H213/F213,"")</f>
        <v/>
      </c>
      <c r="L213" s="16">
        <f>IF(AND(G213&gt;0,H213&gt;0),G213/H213,"")</f>
        <v/>
      </c>
    </row>
    <row r="214">
      <c r="A214" s="4" t="inlineStr">
        <is>
          <t>321</t>
        </is>
      </c>
      <c r="B214" s="4" t="n">
        <v>3</v>
      </c>
      <c r="C214" s="4" t="inlineStr">
        <is>
          <t>antelope</t>
        </is>
      </c>
      <c r="D214" s="4" t="n">
        <v>2009</v>
      </c>
      <c r="E214" s="4" t="inlineStr"/>
      <c r="F214" s="5" t="n">
        <v>303</v>
      </c>
      <c r="G214" s="5" t="n">
        <v>1081</v>
      </c>
      <c r="H214" s="5" t="n">
        <v>153</v>
      </c>
      <c r="I214" s="5" t="n">
        <v>126</v>
      </c>
      <c r="J214" s="5" t="n">
        <v>25</v>
      </c>
      <c r="K214" s="10">
        <f>IF(F214&gt;0,H214/F214,"")</f>
        <v/>
      </c>
      <c r="L214" s="16">
        <f>IF(AND(G214&gt;0,H214&gt;0),G214/H214,"")</f>
        <v/>
      </c>
    </row>
    <row r="215">
      <c r="A215" s="4" t="inlineStr">
        <is>
          <t>321</t>
        </is>
      </c>
      <c r="B215" s="4" t="n">
        <v>3</v>
      </c>
      <c r="C215" s="4" t="inlineStr">
        <is>
          <t>antelope</t>
        </is>
      </c>
      <c r="D215" s="4" t="n">
        <v>2010</v>
      </c>
      <c r="E215" s="4" t="inlineStr"/>
      <c r="F215" s="5" t="n">
        <v>328</v>
      </c>
      <c r="G215" s="5" t="n">
        <v>1054</v>
      </c>
      <c r="H215" s="5" t="n">
        <v>239</v>
      </c>
      <c r="I215" s="5" t="n">
        <v>159</v>
      </c>
      <c r="J215" s="5" t="n">
        <v>75</v>
      </c>
      <c r="K215" s="10">
        <f>IF(F215&gt;0,H215/F215,"")</f>
        <v/>
      </c>
      <c r="L215" s="16">
        <f>IF(AND(G215&gt;0,H215&gt;0),G215/H215,"")</f>
        <v/>
      </c>
    </row>
    <row r="216">
      <c r="A216" s="4" t="inlineStr">
        <is>
          <t>321</t>
        </is>
      </c>
      <c r="B216" s="4" t="n">
        <v>3</v>
      </c>
      <c r="C216" s="4" t="inlineStr">
        <is>
          <t>antelope</t>
        </is>
      </c>
      <c r="D216" s="4" t="n">
        <v>2011</v>
      </c>
      <c r="E216" s="4" t="inlineStr"/>
      <c r="F216" s="5" t="n">
        <v>322</v>
      </c>
      <c r="G216" s="5" t="n">
        <v>993</v>
      </c>
      <c r="H216" s="5" t="n">
        <v>219</v>
      </c>
      <c r="I216" s="5" t="n">
        <v>154</v>
      </c>
      <c r="J216" s="5" t="n">
        <v>64</v>
      </c>
      <c r="K216" s="10">
        <f>IF(F216&gt;0,H216/F216,"")</f>
        <v/>
      </c>
      <c r="L216" s="16">
        <f>IF(AND(G216&gt;0,H216&gt;0),G216/H216,"")</f>
        <v/>
      </c>
    </row>
    <row r="217">
      <c r="A217" s="4" t="inlineStr">
        <is>
          <t>321</t>
        </is>
      </c>
      <c r="B217" s="4" t="n">
        <v>3</v>
      </c>
      <c r="C217" s="4" t="inlineStr">
        <is>
          <t>antelope</t>
        </is>
      </c>
      <c r="D217" s="4" t="n">
        <v>2012</v>
      </c>
      <c r="E217" s="4" t="inlineStr"/>
      <c r="F217" s="5" t="n">
        <v>369</v>
      </c>
      <c r="G217" s="5" t="n">
        <v>1063</v>
      </c>
      <c r="H217" s="5" t="n">
        <v>259</v>
      </c>
      <c r="I217" s="5" t="n">
        <v>176</v>
      </c>
      <c r="J217" s="5" t="n">
        <v>82</v>
      </c>
      <c r="K217" s="10">
        <f>IF(F217&gt;0,H217/F217,"")</f>
        <v/>
      </c>
      <c r="L217" s="16">
        <f>IF(AND(G217&gt;0,H217&gt;0),G217/H217,"")</f>
        <v/>
      </c>
    </row>
    <row r="218">
      <c r="A218" s="4" t="inlineStr">
        <is>
          <t>321</t>
        </is>
      </c>
      <c r="B218" s="4" t="n">
        <v>3</v>
      </c>
      <c r="C218" s="4" t="inlineStr">
        <is>
          <t>antelope</t>
        </is>
      </c>
      <c r="D218" s="4" t="n">
        <v>2013</v>
      </c>
      <c r="E218" s="4" t="inlineStr"/>
      <c r="F218" s="5" t="n"/>
      <c r="G218" s="5" t="n"/>
      <c r="H218" s="5" t="n">
        <v>214</v>
      </c>
      <c r="I218" s="5" t="n">
        <v>163</v>
      </c>
      <c r="J218" s="5" t="n">
        <v>49</v>
      </c>
      <c r="K218" s="10">
        <f>IF(F218&gt;0,H218/F218,"")</f>
        <v/>
      </c>
      <c r="L218" s="16">
        <f>IF(AND(G218&gt;0,H218&gt;0),G218/H218,"")</f>
        <v/>
      </c>
    </row>
    <row r="219">
      <c r="A219" s="4" t="inlineStr">
        <is>
          <t>321</t>
        </is>
      </c>
      <c r="B219" s="4" t="n">
        <v>3</v>
      </c>
      <c r="C219" s="4" t="inlineStr">
        <is>
          <t>antelope</t>
        </is>
      </c>
      <c r="D219" s="4" t="n">
        <v>2014</v>
      </c>
      <c r="E219" s="4" t="inlineStr"/>
      <c r="F219" s="5" t="n">
        <v>357</v>
      </c>
      <c r="G219" s="5" t="n">
        <v>1172</v>
      </c>
      <c r="H219" s="5" t="n">
        <v>225</v>
      </c>
      <c r="I219" s="5" t="n">
        <v>170</v>
      </c>
      <c r="J219" s="5" t="n">
        <v>53</v>
      </c>
      <c r="K219" s="10">
        <f>IF(F219&gt;0,H219/F219,"")</f>
        <v/>
      </c>
      <c r="L219" s="16">
        <f>IF(AND(G219&gt;0,H219&gt;0),G219/H219,"")</f>
        <v/>
      </c>
    </row>
    <row r="220">
      <c r="A220" s="4" t="inlineStr">
        <is>
          <t>321</t>
        </is>
      </c>
      <c r="B220" s="4" t="n">
        <v>3</v>
      </c>
      <c r="C220" s="4" t="inlineStr">
        <is>
          <t>antelope</t>
        </is>
      </c>
      <c r="D220" s="4" t="n">
        <v>2015</v>
      </c>
      <c r="E220" s="4" t="inlineStr"/>
      <c r="F220" s="5" t="n">
        <v>442</v>
      </c>
      <c r="G220" s="5" t="n">
        <v>1740</v>
      </c>
      <c r="H220" s="5" t="n">
        <v>270</v>
      </c>
      <c r="I220" s="5" t="n">
        <v>196</v>
      </c>
      <c r="J220" s="5" t="n">
        <v>71</v>
      </c>
      <c r="K220" s="10">
        <f>IF(F220&gt;0,H220/F220,"")</f>
        <v/>
      </c>
      <c r="L220" s="16">
        <f>IF(AND(G220&gt;0,H220&gt;0),G220/H220,"")</f>
        <v/>
      </c>
    </row>
    <row r="221">
      <c r="A221" s="4" t="inlineStr">
        <is>
          <t>321</t>
        </is>
      </c>
      <c r="B221" s="4" t="n">
        <v>3</v>
      </c>
      <c r="C221" s="4" t="inlineStr">
        <is>
          <t>antelope</t>
        </is>
      </c>
      <c r="D221" s="4" t="n">
        <v>2016</v>
      </c>
      <c r="E221" s="4" t="inlineStr"/>
      <c r="F221" s="5" t="n"/>
      <c r="G221" s="5" t="n"/>
      <c r="H221" s="5" t="n">
        <v>236</v>
      </c>
      <c r="I221" s="5" t="n">
        <v>172</v>
      </c>
      <c r="J221" s="5" t="n">
        <v>64</v>
      </c>
      <c r="K221" s="10">
        <f>IF(F221&gt;0,H221/F221,"")</f>
        <v/>
      </c>
      <c r="L221" s="16">
        <f>IF(AND(G221&gt;0,H221&gt;0),G221/H221,"")</f>
        <v/>
      </c>
    </row>
    <row r="222">
      <c r="A222" s="4" t="inlineStr">
        <is>
          <t>321</t>
        </is>
      </c>
      <c r="B222" s="4" t="n">
        <v>3</v>
      </c>
      <c r="C222" s="4" t="inlineStr">
        <is>
          <t>antelope</t>
        </is>
      </c>
      <c r="D222" s="4" t="n">
        <v>2017</v>
      </c>
      <c r="E222" s="4" t="inlineStr"/>
      <c r="F222" s="5" t="n"/>
      <c r="G222" s="5" t="n"/>
      <c r="H222" s="5" t="n">
        <v>221</v>
      </c>
      <c r="I222" s="5" t="n">
        <v>166</v>
      </c>
      <c r="J222" s="5" t="n">
        <v>55</v>
      </c>
      <c r="K222" s="10">
        <f>IF(F222&gt;0,H222/F222,"")</f>
        <v/>
      </c>
      <c r="L222" s="16">
        <f>IF(AND(G222&gt;0,H222&gt;0),G222/H222,"")</f>
        <v/>
      </c>
    </row>
    <row r="223">
      <c r="A223" s="4" t="inlineStr">
        <is>
          <t>321</t>
        </is>
      </c>
      <c r="B223" s="4" t="n">
        <v>3</v>
      </c>
      <c r="C223" s="4" t="inlineStr">
        <is>
          <t>antelope</t>
        </is>
      </c>
      <c r="D223" s="4" t="n">
        <v>2018</v>
      </c>
      <c r="E223" s="4" t="inlineStr"/>
      <c r="F223" s="5" t="n">
        <v>446</v>
      </c>
      <c r="G223" s="5" t="n">
        <v>1712</v>
      </c>
      <c r="H223" s="5" t="n">
        <v>254</v>
      </c>
      <c r="I223" s="5" t="n">
        <v>197</v>
      </c>
      <c r="J223" s="5" t="n">
        <v>55</v>
      </c>
      <c r="K223" s="10">
        <f>IF(F223&gt;0,H223/F223,"")</f>
        <v/>
      </c>
      <c r="L223" s="16">
        <f>IF(AND(G223&gt;0,H223&gt;0),G223/H223,"")</f>
        <v/>
      </c>
    </row>
    <row r="224">
      <c r="A224" s="4" t="inlineStr">
        <is>
          <t>321</t>
        </is>
      </c>
      <c r="B224" s="4" t="n">
        <v>3</v>
      </c>
      <c r="C224" s="4" t="inlineStr">
        <is>
          <t>antelope</t>
        </is>
      </c>
      <c r="D224" s="4" t="n">
        <v>2019</v>
      </c>
      <c r="E224" s="4" t="inlineStr"/>
      <c r="F224" s="5" t="n"/>
      <c r="G224" s="5" t="n"/>
      <c r="H224" s="5" t="n">
        <v>229</v>
      </c>
      <c r="I224" s="5" t="n">
        <v>165</v>
      </c>
      <c r="J224" s="5" t="n">
        <v>54</v>
      </c>
      <c r="K224" s="10">
        <f>IF(F224&gt;0,H224/F224,"")</f>
        <v/>
      </c>
      <c r="L224" s="16">
        <f>IF(AND(G224&gt;0,H224&gt;0),G224/H224,"")</f>
        <v/>
      </c>
    </row>
    <row r="225">
      <c r="A225" s="4" t="inlineStr">
        <is>
          <t>321</t>
        </is>
      </c>
      <c r="B225" s="4" t="n">
        <v>3</v>
      </c>
      <c r="C225" s="4" t="inlineStr">
        <is>
          <t>antelope</t>
        </is>
      </c>
      <c r="D225" s="4" t="n">
        <v>2020</v>
      </c>
      <c r="E225" s="4" t="inlineStr"/>
      <c r="F225" s="5" t="n">
        <v>411</v>
      </c>
      <c r="G225" s="5" t="n">
        <v>1664</v>
      </c>
      <c r="H225" s="5" t="n">
        <v>207</v>
      </c>
      <c r="I225" s="5" t="n">
        <v>157</v>
      </c>
      <c r="J225" s="5" t="n">
        <v>49</v>
      </c>
      <c r="K225" s="10">
        <f>IF(F225&gt;0,H225/F225,"")</f>
        <v/>
      </c>
      <c r="L225" s="16">
        <f>IF(AND(G225&gt;0,H225&gt;0),G225/H225,"")</f>
        <v/>
      </c>
    </row>
    <row r="226">
      <c r="A226" s="4" t="inlineStr">
        <is>
          <t>321</t>
        </is>
      </c>
      <c r="B226" s="4" t="n">
        <v>3</v>
      </c>
      <c r="C226" s="4" t="inlineStr">
        <is>
          <t>antelope</t>
        </is>
      </c>
      <c r="D226" s="4" t="n">
        <v>2021</v>
      </c>
      <c r="E226" s="4" t="inlineStr"/>
      <c r="F226" s="5" t="n"/>
      <c r="G226" s="5" t="n"/>
      <c r="H226" s="5" t="n">
        <v>194</v>
      </c>
      <c r="I226" s="5" t="n">
        <v>143</v>
      </c>
      <c r="J226" s="5" t="n">
        <v>51</v>
      </c>
      <c r="K226" s="10">
        <f>IF(F226&gt;0,H226/F226,"")</f>
        <v/>
      </c>
      <c r="L226" s="16">
        <f>IF(AND(G226&gt;0,H226&gt;0),G226/H226,"")</f>
        <v/>
      </c>
    </row>
    <row r="227">
      <c r="A227" s="4" t="inlineStr">
        <is>
          <t>322</t>
        </is>
      </c>
      <c r="B227" s="4" t="n">
        <v>3</v>
      </c>
      <c r="C227" s="4" t="inlineStr">
        <is>
          <t>antelope</t>
        </is>
      </c>
      <c r="D227" s="4" t="n">
        <v>2022</v>
      </c>
      <c r="E227" s="15" t="inlineStr">
        <is>
          <t>Draw</t>
        </is>
      </c>
      <c r="F227" s="5" t="n">
        <v>1129</v>
      </c>
      <c r="G227" s="5" t="n">
        <v>4180</v>
      </c>
      <c r="H227" s="5" t="n">
        <v>808</v>
      </c>
      <c r="I227" s="5" t="n">
        <v>477</v>
      </c>
      <c r="J227" s="5" t="n">
        <v>328</v>
      </c>
      <c r="K227" s="10">
        <f>IF(F227&gt;0,H227/F227,"")</f>
        <v/>
      </c>
      <c r="L227" s="16">
        <f>IF(AND(G227&gt;0,H227&gt;0),G227/H227,"")</f>
        <v/>
      </c>
    </row>
    <row r="228">
      <c r="A228" s="4" t="inlineStr">
        <is>
          <t>322</t>
        </is>
      </c>
      <c r="B228" s="4" t="n">
        <v>3</v>
      </c>
      <c r="C228" s="4" t="inlineStr">
        <is>
          <t>antelope</t>
        </is>
      </c>
      <c r="D228" s="4" t="n">
        <v>2023</v>
      </c>
      <c r="E228" s="15" t="inlineStr">
        <is>
          <t>Draw</t>
        </is>
      </c>
      <c r="F228" s="5" t="n"/>
      <c r="G228" s="5" t="n"/>
      <c r="H228" s="5" t="n">
        <v>432</v>
      </c>
      <c r="I228" s="5" t="n">
        <v>271</v>
      </c>
      <c r="J228" s="5" t="n">
        <v>159</v>
      </c>
      <c r="K228" s="10">
        <f>IF(F228&gt;0,H228/F228,"")</f>
        <v/>
      </c>
      <c r="L228" s="16">
        <f>IF(AND(G228&gt;0,H228&gt;0),G228/H228,"")</f>
        <v/>
      </c>
    </row>
    <row r="229">
      <c r="A229" s="4" t="inlineStr">
        <is>
          <t>322</t>
        </is>
      </c>
      <c r="B229" s="4" t="n">
        <v>3</v>
      </c>
      <c r="C229" s="4" t="inlineStr">
        <is>
          <t>antelope</t>
        </is>
      </c>
      <c r="D229" s="4" t="n">
        <v>2024</v>
      </c>
      <c r="E229" s="15" t="inlineStr">
        <is>
          <t>Draw</t>
        </is>
      </c>
      <c r="F229" s="5" t="n">
        <v>753</v>
      </c>
      <c r="G229" s="5" t="n">
        <v>3101</v>
      </c>
      <c r="H229" s="5" t="n">
        <v>433</v>
      </c>
      <c r="I229" s="5" t="n">
        <v>241</v>
      </c>
      <c r="J229" s="5" t="n">
        <v>182</v>
      </c>
      <c r="K229" s="10">
        <f>IF(F229&gt;0,H229/F229,"")</f>
        <v/>
      </c>
      <c r="L229" s="16">
        <f>IF(AND(G229&gt;0,H229&gt;0),G229/H229,"")</f>
        <v/>
      </c>
    </row>
    <row r="230">
      <c r="A230" s="4" t="inlineStr">
        <is>
          <t>322</t>
        </is>
      </c>
      <c r="B230" s="4" t="n">
        <v>3</v>
      </c>
      <c r="C230" s="4" t="inlineStr">
        <is>
          <t>antelope</t>
        </is>
      </c>
      <c r="D230" s="4" t="n">
        <v>2025</v>
      </c>
      <c r="E230" s="15" t="inlineStr">
        <is>
          <t>Draw</t>
        </is>
      </c>
      <c r="F230" s="5" t="n"/>
      <c r="G230" s="5" t="n"/>
      <c r="H230" s="5" t="n">
        <v>408</v>
      </c>
      <c r="I230" s="5" t="n">
        <v>231</v>
      </c>
      <c r="J230" s="5" t="n">
        <v>168</v>
      </c>
      <c r="K230" s="10">
        <f>IF(F230&gt;0,H230/F230,"")</f>
        <v/>
      </c>
      <c r="L230" s="16">
        <f>IF(AND(G230&gt;0,H230&gt;0),G230/H230,"")</f>
        <v/>
      </c>
    </row>
    <row r="231">
      <c r="A231" s="4" t="inlineStr">
        <is>
          <t>329</t>
        </is>
      </c>
      <c r="B231" s="4" t="n">
        <v>3</v>
      </c>
      <c r="C231" s="4" t="inlineStr">
        <is>
          <t>antelope</t>
        </is>
      </c>
      <c r="D231" s="4" t="n">
        <v>2004</v>
      </c>
      <c r="E231" s="15" t="inlineStr">
        <is>
          <t>Draw</t>
        </is>
      </c>
      <c r="F231" s="5" t="n">
        <v>325</v>
      </c>
      <c r="G231" s="5" t="n">
        <v>878</v>
      </c>
      <c r="H231" s="5" t="n">
        <v>153</v>
      </c>
      <c r="I231" s="5" t="n">
        <v>109</v>
      </c>
      <c r="J231" s="5" t="n">
        <v>43</v>
      </c>
      <c r="K231" s="10">
        <f>IF(F231&gt;0,H231/F231,"")</f>
        <v/>
      </c>
      <c r="L231" s="16">
        <f>IF(AND(G231&gt;0,H231&gt;0),G231/H231,"")</f>
        <v/>
      </c>
    </row>
    <row r="232">
      <c r="A232" s="4" t="inlineStr">
        <is>
          <t>329</t>
        </is>
      </c>
      <c r="B232" s="4" t="n">
        <v>3</v>
      </c>
      <c r="C232" s="4" t="inlineStr">
        <is>
          <t>antelope</t>
        </is>
      </c>
      <c r="D232" s="4" t="n">
        <v>2005</v>
      </c>
      <c r="E232" s="15" t="inlineStr">
        <is>
          <t>Draw</t>
        </is>
      </c>
      <c r="F232" s="5" t="n">
        <v>306</v>
      </c>
      <c r="G232" s="5" t="n">
        <v>734</v>
      </c>
      <c r="H232" s="5" t="n">
        <v>171</v>
      </c>
      <c r="I232" s="5" t="n">
        <v>130</v>
      </c>
      <c r="J232" s="5" t="n">
        <v>40</v>
      </c>
      <c r="K232" s="10">
        <f>IF(F232&gt;0,H232/F232,"")</f>
        <v/>
      </c>
      <c r="L232" s="16">
        <f>IF(AND(G232&gt;0,H232&gt;0),G232/H232,"")</f>
        <v/>
      </c>
    </row>
    <row r="233">
      <c r="A233" s="4" t="inlineStr">
        <is>
          <t>329</t>
        </is>
      </c>
      <c r="B233" s="4" t="n">
        <v>3</v>
      </c>
      <c r="C233" s="4" t="inlineStr">
        <is>
          <t>antelope</t>
        </is>
      </c>
      <c r="D233" s="4" t="n">
        <v>2020</v>
      </c>
      <c r="E233" s="15" t="inlineStr">
        <is>
          <t>Draw</t>
        </is>
      </c>
      <c r="F233" s="5" t="n">
        <v>131</v>
      </c>
      <c r="G233" s="5" t="n">
        <v>522</v>
      </c>
      <c r="H233" s="5" t="n">
        <v>65</v>
      </c>
      <c r="I233" s="5" t="n">
        <v>40</v>
      </c>
      <c r="J233" s="5" t="n">
        <v>26</v>
      </c>
      <c r="K233" s="10">
        <f>IF(F233&gt;0,H233/F233,"")</f>
        <v/>
      </c>
      <c r="L233" s="16">
        <f>IF(AND(G233&gt;0,H233&gt;0),G233/H233,"")</f>
        <v/>
      </c>
    </row>
    <row r="234">
      <c r="A234" s="4" t="inlineStr">
        <is>
          <t>329</t>
        </is>
      </c>
      <c r="B234" s="4" t="n">
        <v>3</v>
      </c>
      <c r="C234" s="4" t="inlineStr">
        <is>
          <t>antelope</t>
        </is>
      </c>
      <c r="D234" s="4" t="n">
        <v>2021</v>
      </c>
      <c r="E234" s="15" t="inlineStr">
        <is>
          <t>Draw</t>
        </is>
      </c>
      <c r="F234" s="5" t="n"/>
      <c r="G234" s="5" t="n"/>
      <c r="H234" s="5" t="n">
        <v>34</v>
      </c>
      <c r="I234" s="5" t="n">
        <v>28</v>
      </c>
      <c r="J234" s="5" t="n">
        <v>6</v>
      </c>
      <c r="K234" s="10">
        <f>IF(F234&gt;0,H234/F234,"")</f>
        <v/>
      </c>
      <c r="L234" s="16">
        <f>IF(AND(G234&gt;0,H234&gt;0),G234/H234,"")</f>
        <v/>
      </c>
    </row>
    <row r="235">
      <c r="A235" s="4" t="inlineStr">
        <is>
          <t>329</t>
        </is>
      </c>
      <c r="B235" s="4" t="n">
        <v>3</v>
      </c>
      <c r="C235" s="4" t="inlineStr">
        <is>
          <t>antelope</t>
        </is>
      </c>
      <c r="D235" s="4" t="n">
        <v>2022</v>
      </c>
      <c r="E235" s="15" t="inlineStr">
        <is>
          <t>Draw</t>
        </is>
      </c>
      <c r="F235" s="5" t="n">
        <v>112</v>
      </c>
      <c r="G235" s="5" t="n">
        <v>319</v>
      </c>
      <c r="H235" s="5" t="n">
        <v>53</v>
      </c>
      <c r="I235" s="5" t="n">
        <v>45</v>
      </c>
      <c r="J235" s="5" t="n">
        <v>8</v>
      </c>
      <c r="K235" s="10">
        <f>IF(F235&gt;0,H235/F235,"")</f>
        <v/>
      </c>
      <c r="L235" s="16">
        <f>IF(AND(G235&gt;0,H235&gt;0),G235/H235,"")</f>
        <v/>
      </c>
    </row>
    <row r="236">
      <c r="A236" s="4" t="inlineStr">
        <is>
          <t>329</t>
        </is>
      </c>
      <c r="B236" s="4" t="n">
        <v>3</v>
      </c>
      <c r="C236" s="4" t="inlineStr">
        <is>
          <t>antelope</t>
        </is>
      </c>
      <c r="D236" s="4" t="n">
        <v>2023</v>
      </c>
      <c r="E236" s="15" t="inlineStr">
        <is>
          <t>Draw</t>
        </is>
      </c>
      <c r="F236" s="5" t="n"/>
      <c r="G236" s="5" t="n"/>
      <c r="H236" s="5" t="n">
        <v>51</v>
      </c>
      <c r="I236" s="5" t="n">
        <v>40</v>
      </c>
      <c r="J236" s="5" t="n">
        <v>10</v>
      </c>
      <c r="K236" s="10">
        <f>IF(F236&gt;0,H236/F236,"")</f>
        <v/>
      </c>
      <c r="L236" s="16">
        <f>IF(AND(G236&gt;0,H236&gt;0),G236/H236,"")</f>
        <v/>
      </c>
    </row>
    <row r="237">
      <c r="A237" s="4" t="inlineStr">
        <is>
          <t>329</t>
        </is>
      </c>
      <c r="B237" s="4" t="n">
        <v>3</v>
      </c>
      <c r="C237" s="4" t="inlineStr">
        <is>
          <t>antelope</t>
        </is>
      </c>
      <c r="D237" s="4" t="n">
        <v>2024</v>
      </c>
      <c r="E237" s="15" t="inlineStr">
        <is>
          <t>Draw</t>
        </is>
      </c>
      <c r="F237" s="5" t="n">
        <v>111</v>
      </c>
      <c r="G237" s="5" t="n">
        <v>391</v>
      </c>
      <c r="H237" s="5" t="n">
        <v>52</v>
      </c>
      <c r="I237" s="5" t="n">
        <v>41</v>
      </c>
      <c r="J237" s="5" t="n">
        <v>10</v>
      </c>
      <c r="K237" s="10">
        <f>IF(F237&gt;0,H237/F237,"")</f>
        <v/>
      </c>
      <c r="L237" s="16">
        <f>IF(AND(G237&gt;0,H237&gt;0),G237/H237,"")</f>
        <v/>
      </c>
    </row>
    <row r="238">
      <c r="A238" s="4" t="inlineStr">
        <is>
          <t>329</t>
        </is>
      </c>
      <c r="B238" s="4" t="n">
        <v>3</v>
      </c>
      <c r="C238" s="4" t="inlineStr">
        <is>
          <t>antelope</t>
        </is>
      </c>
      <c r="D238" s="4" t="n">
        <v>2025</v>
      </c>
      <c r="E238" s="15" t="inlineStr">
        <is>
          <t>Draw</t>
        </is>
      </c>
      <c r="F238" s="5" t="n"/>
      <c r="G238" s="5" t="n"/>
      <c r="H238" s="5" t="n">
        <v>48</v>
      </c>
      <c r="I238" s="5" t="n">
        <v>32</v>
      </c>
      <c r="J238" s="5" t="n">
        <v>16</v>
      </c>
      <c r="K238" s="10">
        <f>IF(F238&gt;0,H238/F238,"")</f>
        <v/>
      </c>
      <c r="L238" s="16">
        <f>IF(AND(G238&gt;0,H238&gt;0),G238/H238,"")</f>
        <v/>
      </c>
    </row>
    <row r="239">
      <c r="A239" s="4" t="inlineStr">
        <is>
          <t>330</t>
        </is>
      </c>
      <c r="B239" s="4" t="n">
        <v>3</v>
      </c>
      <c r="C239" s="4" t="inlineStr">
        <is>
          <t>antelope</t>
        </is>
      </c>
      <c r="D239" s="4" t="n">
        <v>2004</v>
      </c>
      <c r="E239" s="4" t="inlineStr"/>
      <c r="F239" s="5" t="n">
        <v>599</v>
      </c>
      <c r="G239" s="5" t="n">
        <v>1642</v>
      </c>
      <c r="H239" s="5" t="n">
        <v>319</v>
      </c>
      <c r="I239" s="5" t="n">
        <v>142</v>
      </c>
      <c r="J239" s="5" t="n">
        <v>152</v>
      </c>
      <c r="K239" s="10">
        <f>IF(F239&gt;0,H239/F239,"")</f>
        <v/>
      </c>
      <c r="L239" s="16">
        <f>IF(AND(G239&gt;0,H239&gt;0),G239/H239,"")</f>
        <v/>
      </c>
    </row>
    <row r="240">
      <c r="A240" s="4" t="inlineStr">
        <is>
          <t>330</t>
        </is>
      </c>
      <c r="B240" s="4" t="n">
        <v>3</v>
      </c>
      <c r="C240" s="4" t="inlineStr">
        <is>
          <t>antelope</t>
        </is>
      </c>
      <c r="D240" s="4" t="n">
        <v>2005</v>
      </c>
      <c r="E240" s="4" t="inlineStr"/>
      <c r="F240" s="5" t="n">
        <v>528</v>
      </c>
      <c r="G240" s="5" t="n">
        <v>1354</v>
      </c>
      <c r="H240" s="5" t="n">
        <v>252</v>
      </c>
      <c r="I240" s="5" t="n">
        <v>174</v>
      </c>
      <c r="J240" s="5" t="n">
        <v>75</v>
      </c>
      <c r="K240" s="10">
        <f>IF(F240&gt;0,H240/F240,"")</f>
        <v/>
      </c>
      <c r="L240" s="16">
        <f>IF(AND(G240&gt;0,H240&gt;0),G240/H240,"")</f>
        <v/>
      </c>
    </row>
    <row r="241">
      <c r="A241" s="4" t="inlineStr">
        <is>
          <t>330</t>
        </is>
      </c>
      <c r="B241" s="4" t="n">
        <v>3</v>
      </c>
      <c r="C241" s="4" t="inlineStr">
        <is>
          <t>antelope</t>
        </is>
      </c>
      <c r="D241" s="4" t="n">
        <v>2006</v>
      </c>
      <c r="E241" s="4" t="inlineStr"/>
      <c r="F241" s="5" t="n">
        <v>541</v>
      </c>
      <c r="G241" s="5" t="n">
        <v>1347</v>
      </c>
      <c r="H241" s="5" t="n">
        <v>385</v>
      </c>
      <c r="I241" s="5" t="n">
        <v>186</v>
      </c>
      <c r="J241" s="5" t="n">
        <v>179</v>
      </c>
      <c r="K241" s="10">
        <f>IF(F241&gt;0,H241/F241,"")</f>
        <v/>
      </c>
      <c r="L241" s="16">
        <f>IF(AND(G241&gt;0,H241&gt;0),G241/H241,"")</f>
        <v/>
      </c>
    </row>
    <row r="242">
      <c r="A242" s="4" t="inlineStr">
        <is>
          <t>330</t>
        </is>
      </c>
      <c r="B242" s="4" t="n">
        <v>3</v>
      </c>
      <c r="C242" s="4" t="inlineStr">
        <is>
          <t>antelope</t>
        </is>
      </c>
      <c r="D242" s="4" t="n">
        <v>2007</v>
      </c>
      <c r="E242" s="4" t="inlineStr"/>
      <c r="F242" s="5" t="n">
        <v>564</v>
      </c>
      <c r="G242" s="5" t="n">
        <v>1492</v>
      </c>
      <c r="H242" s="5" t="n">
        <v>415</v>
      </c>
      <c r="I242" s="5" t="n">
        <v>201</v>
      </c>
      <c r="J242" s="5" t="n">
        <v>210</v>
      </c>
      <c r="K242" s="10">
        <f>IF(F242&gt;0,H242/F242,"")</f>
        <v/>
      </c>
      <c r="L242" s="16">
        <f>IF(AND(G242&gt;0,H242&gt;0),G242/H242,"")</f>
        <v/>
      </c>
    </row>
    <row r="243">
      <c r="A243" s="4" t="inlineStr">
        <is>
          <t>330</t>
        </is>
      </c>
      <c r="B243" s="4" t="n">
        <v>3</v>
      </c>
      <c r="C243" s="4" t="inlineStr">
        <is>
          <t>antelope</t>
        </is>
      </c>
      <c r="D243" s="4" t="n">
        <v>2008</v>
      </c>
      <c r="E243" s="4" t="inlineStr"/>
      <c r="F243" s="5" t="n">
        <v>608</v>
      </c>
      <c r="G243" s="5" t="n">
        <v>1608</v>
      </c>
      <c r="H243" s="5" t="n">
        <v>387</v>
      </c>
      <c r="I243" s="5" t="n">
        <v>213</v>
      </c>
      <c r="J243" s="5" t="n">
        <v>158</v>
      </c>
      <c r="K243" s="10">
        <f>IF(F243&gt;0,H243/F243,"")</f>
        <v/>
      </c>
      <c r="L243" s="16">
        <f>IF(AND(G243&gt;0,H243&gt;0),G243/H243,"")</f>
        <v/>
      </c>
    </row>
    <row r="244">
      <c r="A244" s="4" t="inlineStr">
        <is>
          <t>330</t>
        </is>
      </c>
      <c r="B244" s="4" t="n">
        <v>3</v>
      </c>
      <c r="C244" s="4" t="inlineStr">
        <is>
          <t>antelope</t>
        </is>
      </c>
      <c r="D244" s="4" t="n">
        <v>2009</v>
      </c>
      <c r="E244" s="4" t="inlineStr"/>
      <c r="F244" s="5" t="n">
        <v>489</v>
      </c>
      <c r="G244" s="5" t="n">
        <v>1363</v>
      </c>
      <c r="H244" s="5" t="n">
        <v>292</v>
      </c>
      <c r="I244" s="5" t="n">
        <v>155</v>
      </c>
      <c r="J244" s="5" t="n">
        <v>120</v>
      </c>
      <c r="K244" s="10">
        <f>IF(F244&gt;0,H244/F244,"")</f>
        <v/>
      </c>
      <c r="L244" s="16">
        <f>IF(AND(G244&gt;0,H244&gt;0),G244/H244,"")</f>
        <v/>
      </c>
    </row>
    <row r="245">
      <c r="A245" s="4" t="inlineStr">
        <is>
          <t>330</t>
        </is>
      </c>
      <c r="B245" s="4" t="n">
        <v>3</v>
      </c>
      <c r="C245" s="4" t="inlineStr">
        <is>
          <t>antelope</t>
        </is>
      </c>
      <c r="D245" s="4" t="n">
        <v>2010</v>
      </c>
      <c r="E245" s="4" t="inlineStr"/>
      <c r="F245" s="5" t="n">
        <v>628</v>
      </c>
      <c r="G245" s="5" t="n">
        <v>2068</v>
      </c>
      <c r="H245" s="5" t="n">
        <v>481</v>
      </c>
      <c r="I245" s="5" t="n">
        <v>276</v>
      </c>
      <c r="J245" s="5" t="n">
        <v>189</v>
      </c>
      <c r="K245" s="10">
        <f>IF(F245&gt;0,H245/F245,"")</f>
        <v/>
      </c>
      <c r="L245" s="16">
        <f>IF(AND(G245&gt;0,H245&gt;0),G245/H245,"")</f>
        <v/>
      </c>
    </row>
    <row r="246">
      <c r="A246" s="4" t="inlineStr">
        <is>
          <t>330</t>
        </is>
      </c>
      <c r="B246" s="4" t="n">
        <v>3</v>
      </c>
      <c r="C246" s="4" t="inlineStr">
        <is>
          <t>antelope</t>
        </is>
      </c>
      <c r="D246" s="4" t="n">
        <v>2011</v>
      </c>
      <c r="E246" s="4" t="inlineStr"/>
      <c r="F246" s="5" t="n">
        <v>511</v>
      </c>
      <c r="G246" s="5" t="n">
        <v>1694</v>
      </c>
      <c r="H246" s="5" t="n">
        <v>345</v>
      </c>
      <c r="I246" s="5" t="n">
        <v>176</v>
      </c>
      <c r="J246" s="5" t="n">
        <v>158</v>
      </c>
      <c r="K246" s="10">
        <f>IF(F246&gt;0,H246/F246,"")</f>
        <v/>
      </c>
      <c r="L246" s="16">
        <f>IF(AND(G246&gt;0,H246&gt;0),G246/H246,"")</f>
        <v/>
      </c>
    </row>
    <row r="247">
      <c r="A247" s="4" t="inlineStr">
        <is>
          <t>330</t>
        </is>
      </c>
      <c r="B247" s="4" t="n">
        <v>3</v>
      </c>
      <c r="C247" s="4" t="inlineStr">
        <is>
          <t>antelope</t>
        </is>
      </c>
      <c r="D247" s="4" t="n">
        <v>2012</v>
      </c>
      <c r="E247" s="4" t="inlineStr"/>
      <c r="F247" s="5" t="n">
        <v>561</v>
      </c>
      <c r="G247" s="5" t="n">
        <v>1636</v>
      </c>
      <c r="H247" s="5" t="n">
        <v>367</v>
      </c>
      <c r="I247" s="5" t="n">
        <v>191</v>
      </c>
      <c r="J247" s="5" t="n">
        <v>159</v>
      </c>
      <c r="K247" s="10">
        <f>IF(F247&gt;0,H247/F247,"")</f>
        <v/>
      </c>
      <c r="L247" s="16">
        <f>IF(AND(G247&gt;0,H247&gt;0),G247/H247,"")</f>
        <v/>
      </c>
    </row>
    <row r="248">
      <c r="A248" s="4" t="inlineStr">
        <is>
          <t>330</t>
        </is>
      </c>
      <c r="B248" s="4" t="n">
        <v>3</v>
      </c>
      <c r="C248" s="4" t="inlineStr">
        <is>
          <t>antelope</t>
        </is>
      </c>
      <c r="D248" s="4" t="n">
        <v>2013</v>
      </c>
      <c r="E248" s="4" t="inlineStr"/>
      <c r="F248" s="5" t="n"/>
      <c r="G248" s="5" t="n"/>
      <c r="H248" s="5" t="n">
        <v>394</v>
      </c>
      <c r="I248" s="5" t="n">
        <v>218</v>
      </c>
      <c r="J248" s="5" t="n">
        <v>170</v>
      </c>
      <c r="K248" s="10">
        <f>IF(F248&gt;0,H248/F248,"")</f>
        <v/>
      </c>
      <c r="L248" s="16">
        <f>IF(AND(G248&gt;0,H248&gt;0),G248/H248,"")</f>
        <v/>
      </c>
    </row>
    <row r="249">
      <c r="A249" s="4" t="inlineStr">
        <is>
          <t>330</t>
        </is>
      </c>
      <c r="B249" s="4" t="n">
        <v>3</v>
      </c>
      <c r="C249" s="4" t="inlineStr">
        <is>
          <t>antelope</t>
        </is>
      </c>
      <c r="D249" s="4" t="n">
        <v>2014</v>
      </c>
      <c r="E249" s="4" t="inlineStr"/>
      <c r="F249" s="5" t="n">
        <v>556</v>
      </c>
      <c r="G249" s="5" t="n">
        <v>1697</v>
      </c>
      <c r="H249" s="5" t="n">
        <v>358</v>
      </c>
      <c r="I249" s="5" t="n">
        <v>205</v>
      </c>
      <c r="J249" s="5" t="n">
        <v>138</v>
      </c>
      <c r="K249" s="10">
        <f>IF(F249&gt;0,H249/F249,"")</f>
        <v/>
      </c>
      <c r="L249" s="16">
        <f>IF(AND(G249&gt;0,H249&gt;0),G249/H249,"")</f>
        <v/>
      </c>
    </row>
    <row r="250">
      <c r="A250" s="4" t="inlineStr">
        <is>
          <t>330</t>
        </is>
      </c>
      <c r="B250" s="4" t="n">
        <v>3</v>
      </c>
      <c r="C250" s="4" t="inlineStr">
        <is>
          <t>antelope</t>
        </is>
      </c>
      <c r="D250" s="4" t="n">
        <v>2015</v>
      </c>
      <c r="E250" s="4" t="inlineStr"/>
      <c r="F250" s="5" t="n">
        <v>556</v>
      </c>
      <c r="G250" s="5" t="n">
        <v>1487</v>
      </c>
      <c r="H250" s="5" t="n">
        <v>381</v>
      </c>
      <c r="I250" s="5" t="n">
        <v>227</v>
      </c>
      <c r="J250" s="5" t="n">
        <v>145</v>
      </c>
      <c r="K250" s="10">
        <f>IF(F250&gt;0,H250/F250,"")</f>
        <v/>
      </c>
      <c r="L250" s="16">
        <f>IF(AND(G250&gt;0,H250&gt;0),G250/H250,"")</f>
        <v/>
      </c>
    </row>
    <row r="251">
      <c r="A251" s="4" t="inlineStr">
        <is>
          <t>330</t>
        </is>
      </c>
      <c r="B251" s="4" t="n">
        <v>3</v>
      </c>
      <c r="C251" s="4" t="inlineStr">
        <is>
          <t>antelope</t>
        </is>
      </c>
      <c r="D251" s="4" t="n">
        <v>2016</v>
      </c>
      <c r="E251" s="4" t="inlineStr"/>
      <c r="F251" s="5" t="n"/>
      <c r="G251" s="5" t="n"/>
      <c r="H251" s="5" t="n">
        <v>407</v>
      </c>
      <c r="I251" s="5" t="n">
        <v>214</v>
      </c>
      <c r="J251" s="5" t="n">
        <v>179</v>
      </c>
      <c r="K251" s="10">
        <f>IF(F251&gt;0,H251/F251,"")</f>
        <v/>
      </c>
      <c r="L251" s="16">
        <f>IF(AND(G251&gt;0,H251&gt;0),G251/H251,"")</f>
        <v/>
      </c>
    </row>
    <row r="252">
      <c r="A252" s="4" t="inlineStr">
        <is>
          <t>330</t>
        </is>
      </c>
      <c r="B252" s="4" t="n">
        <v>3</v>
      </c>
      <c r="C252" s="4" t="inlineStr">
        <is>
          <t>antelope</t>
        </is>
      </c>
      <c r="D252" s="4" t="n">
        <v>2017</v>
      </c>
      <c r="E252" s="4" t="inlineStr"/>
      <c r="F252" s="5" t="n"/>
      <c r="G252" s="5" t="n"/>
      <c r="H252" s="5" t="n">
        <v>381</v>
      </c>
      <c r="I252" s="5" t="n">
        <v>214</v>
      </c>
      <c r="J252" s="5" t="n">
        <v>159</v>
      </c>
      <c r="K252" s="10">
        <f>IF(F252&gt;0,H252/F252,"")</f>
        <v/>
      </c>
      <c r="L252" s="16">
        <f>IF(AND(G252&gt;0,H252&gt;0),G252/H252,"")</f>
        <v/>
      </c>
    </row>
    <row r="253">
      <c r="A253" s="4" t="inlineStr">
        <is>
          <t>330</t>
        </is>
      </c>
      <c r="B253" s="4" t="n">
        <v>3</v>
      </c>
      <c r="C253" s="4" t="inlineStr">
        <is>
          <t>antelope</t>
        </is>
      </c>
      <c r="D253" s="4" t="n">
        <v>2018</v>
      </c>
      <c r="E253" s="4" t="inlineStr"/>
      <c r="F253" s="5" t="n">
        <v>592</v>
      </c>
      <c r="G253" s="5" t="n">
        <v>1701</v>
      </c>
      <c r="H253" s="5" t="n">
        <v>417</v>
      </c>
      <c r="I253" s="5" t="n">
        <v>233</v>
      </c>
      <c r="J253" s="5" t="n">
        <v>161</v>
      </c>
      <c r="K253" s="10">
        <f>IF(F253&gt;0,H253/F253,"")</f>
        <v/>
      </c>
      <c r="L253" s="16">
        <f>IF(AND(G253&gt;0,H253&gt;0),G253/H253,"")</f>
        <v/>
      </c>
    </row>
    <row r="254">
      <c r="A254" s="4" t="inlineStr">
        <is>
          <t>330</t>
        </is>
      </c>
      <c r="B254" s="4" t="n">
        <v>3</v>
      </c>
      <c r="C254" s="4" t="inlineStr">
        <is>
          <t>antelope</t>
        </is>
      </c>
      <c r="D254" s="4" t="n">
        <v>2019</v>
      </c>
      <c r="E254" s="4" t="inlineStr"/>
      <c r="F254" s="5" t="n"/>
      <c r="G254" s="5" t="n"/>
      <c r="H254" s="5" t="n">
        <v>442</v>
      </c>
      <c r="I254" s="5" t="n">
        <v>234</v>
      </c>
      <c r="J254" s="5" t="n">
        <v>190</v>
      </c>
      <c r="K254" s="10">
        <f>IF(F254&gt;0,H254/F254,"")</f>
        <v/>
      </c>
      <c r="L254" s="16">
        <f>IF(AND(G254&gt;0,H254&gt;0),G254/H254,"")</f>
        <v/>
      </c>
    </row>
    <row r="255">
      <c r="A255" s="4" t="inlineStr">
        <is>
          <t>330</t>
        </is>
      </c>
      <c r="B255" s="4" t="n">
        <v>3</v>
      </c>
      <c r="C255" s="4" t="inlineStr">
        <is>
          <t>antelope</t>
        </is>
      </c>
      <c r="D255" s="4" t="n">
        <v>2020</v>
      </c>
      <c r="E255" s="4" t="inlineStr"/>
      <c r="F255" s="5" t="n">
        <v>678</v>
      </c>
      <c r="G255" s="5" t="n">
        <v>2228</v>
      </c>
      <c r="H255" s="5" t="n">
        <v>450</v>
      </c>
      <c r="I255" s="5" t="n">
        <v>243</v>
      </c>
      <c r="J255" s="5" t="n">
        <v>202</v>
      </c>
      <c r="K255" s="10">
        <f>IF(F255&gt;0,H255/F255,"")</f>
        <v/>
      </c>
      <c r="L255" s="16">
        <f>IF(AND(G255&gt;0,H255&gt;0),G255/H255,"")</f>
        <v/>
      </c>
    </row>
    <row r="256">
      <c r="A256" s="4" t="inlineStr">
        <is>
          <t>330</t>
        </is>
      </c>
      <c r="B256" s="4" t="n">
        <v>3</v>
      </c>
      <c r="C256" s="4" t="inlineStr">
        <is>
          <t>antelope</t>
        </is>
      </c>
      <c r="D256" s="4" t="n">
        <v>2021</v>
      </c>
      <c r="E256" s="4" t="inlineStr"/>
      <c r="F256" s="5" t="n"/>
      <c r="G256" s="5" t="n"/>
      <c r="H256" s="5" t="n">
        <v>468</v>
      </c>
      <c r="I256" s="5" t="n">
        <v>257</v>
      </c>
      <c r="J256" s="5" t="n">
        <v>197</v>
      </c>
      <c r="K256" s="10">
        <f>IF(F256&gt;0,H256/F256,"")</f>
        <v/>
      </c>
      <c r="L256" s="16">
        <f>IF(AND(G256&gt;0,H256&gt;0),G256/H256,"")</f>
        <v/>
      </c>
    </row>
    <row r="257">
      <c r="A257" s="4" t="inlineStr">
        <is>
          <t>338</t>
        </is>
      </c>
      <c r="B257" s="4" t="n">
        <v>3</v>
      </c>
      <c r="C257" s="4" t="inlineStr">
        <is>
          <t>antelope</t>
        </is>
      </c>
      <c r="D257" s="4" t="n">
        <v>2004</v>
      </c>
      <c r="E257" s="15" t="inlineStr">
        <is>
          <t>Draw</t>
        </is>
      </c>
      <c r="F257" s="5" t="n">
        <v>368</v>
      </c>
      <c r="G257" s="5" t="n">
        <v>1388</v>
      </c>
      <c r="H257" s="5" t="n">
        <v>159</v>
      </c>
      <c r="I257" s="5" t="n">
        <v>121</v>
      </c>
      <c r="J257" s="5" t="n">
        <v>38</v>
      </c>
      <c r="K257" s="10">
        <f>IF(F257&gt;0,H257/F257,"")</f>
        <v/>
      </c>
      <c r="L257" s="16">
        <f>IF(AND(G257&gt;0,H257&gt;0),G257/H257,"")</f>
        <v/>
      </c>
    </row>
    <row r="258">
      <c r="A258" s="4" t="inlineStr">
        <is>
          <t>338</t>
        </is>
      </c>
      <c r="B258" s="4" t="n">
        <v>3</v>
      </c>
      <c r="C258" s="4" t="inlineStr">
        <is>
          <t>antelope</t>
        </is>
      </c>
      <c r="D258" s="4" t="n">
        <v>2005</v>
      </c>
      <c r="E258" s="15" t="inlineStr">
        <is>
          <t>Draw</t>
        </is>
      </c>
      <c r="F258" s="5" t="n">
        <v>423</v>
      </c>
      <c r="G258" s="5" t="n">
        <v>1501</v>
      </c>
      <c r="H258" s="5" t="n">
        <v>200</v>
      </c>
      <c r="I258" s="5" t="n">
        <v>160</v>
      </c>
      <c r="J258" s="5" t="n">
        <v>35</v>
      </c>
      <c r="K258" s="10">
        <f>IF(F258&gt;0,H258/F258,"")</f>
        <v/>
      </c>
      <c r="L258" s="16">
        <f>IF(AND(G258&gt;0,H258&gt;0),G258/H258,"")</f>
        <v/>
      </c>
    </row>
    <row r="259">
      <c r="A259" s="4" t="inlineStr">
        <is>
          <t>338</t>
        </is>
      </c>
      <c r="B259" s="4" t="n">
        <v>3</v>
      </c>
      <c r="C259" s="4" t="inlineStr">
        <is>
          <t>antelope</t>
        </is>
      </c>
      <c r="D259" s="4" t="n">
        <v>2006</v>
      </c>
      <c r="E259" s="15" t="inlineStr">
        <is>
          <t>Draw</t>
        </is>
      </c>
      <c r="F259" s="5" t="n">
        <v>402</v>
      </c>
      <c r="G259" s="5" t="n">
        <v>1249</v>
      </c>
      <c r="H259" s="5" t="n">
        <v>217</v>
      </c>
      <c r="I259" s="5" t="n">
        <v>168</v>
      </c>
      <c r="J259" s="5" t="n">
        <v>38</v>
      </c>
      <c r="K259" s="10">
        <f>IF(F259&gt;0,H259/F259,"")</f>
        <v/>
      </c>
      <c r="L259" s="16">
        <f>IF(AND(G259&gt;0,H259&gt;0),G259/H259,"")</f>
        <v/>
      </c>
    </row>
    <row r="260">
      <c r="A260" s="4" t="inlineStr">
        <is>
          <t>338</t>
        </is>
      </c>
      <c r="B260" s="4" t="n">
        <v>3</v>
      </c>
      <c r="C260" s="4" t="inlineStr">
        <is>
          <t>antelope</t>
        </is>
      </c>
      <c r="D260" s="4" t="n">
        <v>2007</v>
      </c>
      <c r="E260" s="15" t="inlineStr">
        <is>
          <t>Draw</t>
        </is>
      </c>
      <c r="F260" s="5" t="n">
        <v>368</v>
      </c>
      <c r="G260" s="5" t="n">
        <v>1297</v>
      </c>
      <c r="H260" s="5" t="n">
        <v>219</v>
      </c>
      <c r="I260" s="5" t="n">
        <v>168</v>
      </c>
      <c r="J260" s="5" t="n">
        <v>51</v>
      </c>
      <c r="K260" s="10">
        <f>IF(F260&gt;0,H260/F260,"")</f>
        <v/>
      </c>
      <c r="L260" s="16">
        <f>IF(AND(G260&gt;0,H260&gt;0),G260/H260,"")</f>
        <v/>
      </c>
    </row>
    <row r="261">
      <c r="A261" s="4" t="inlineStr">
        <is>
          <t>338</t>
        </is>
      </c>
      <c r="B261" s="4" t="n">
        <v>3</v>
      </c>
      <c r="C261" s="4" t="inlineStr">
        <is>
          <t>antelope</t>
        </is>
      </c>
      <c r="D261" s="4" t="n">
        <v>2008</v>
      </c>
      <c r="E261" s="15" t="inlineStr">
        <is>
          <t>Draw</t>
        </is>
      </c>
      <c r="F261" s="5" t="n">
        <v>351</v>
      </c>
      <c r="G261" s="5" t="n">
        <v>1155</v>
      </c>
      <c r="H261" s="5" t="n">
        <v>242</v>
      </c>
      <c r="I261" s="5" t="n">
        <v>144</v>
      </c>
      <c r="J261" s="5" t="n">
        <v>98</v>
      </c>
      <c r="K261" s="10">
        <f>IF(F261&gt;0,H261/F261,"")</f>
        <v/>
      </c>
      <c r="L261" s="16">
        <f>IF(AND(G261&gt;0,H261&gt;0),G261/H261,"")</f>
        <v/>
      </c>
    </row>
    <row r="262">
      <c r="A262" s="4" t="inlineStr">
        <is>
          <t>338</t>
        </is>
      </c>
      <c r="B262" s="4" t="n">
        <v>3</v>
      </c>
      <c r="C262" s="4" t="inlineStr">
        <is>
          <t>antelope</t>
        </is>
      </c>
      <c r="D262" s="4" t="n">
        <v>2009</v>
      </c>
      <c r="E262" s="15" t="inlineStr">
        <is>
          <t>Draw</t>
        </is>
      </c>
      <c r="F262" s="5" t="n">
        <v>504</v>
      </c>
      <c r="G262" s="5" t="n">
        <v>1867</v>
      </c>
      <c r="H262" s="5" t="n">
        <v>323</v>
      </c>
      <c r="I262" s="5" t="n">
        <v>190</v>
      </c>
      <c r="J262" s="5" t="n">
        <v>119</v>
      </c>
      <c r="K262" s="10">
        <f>IF(F262&gt;0,H262/F262,"")</f>
        <v/>
      </c>
      <c r="L262" s="16">
        <f>IF(AND(G262&gt;0,H262&gt;0),G262/H262,"")</f>
        <v/>
      </c>
    </row>
    <row r="263">
      <c r="A263" s="4" t="inlineStr">
        <is>
          <t>338</t>
        </is>
      </c>
      <c r="B263" s="4" t="n">
        <v>3</v>
      </c>
      <c r="C263" s="4" t="inlineStr">
        <is>
          <t>antelope</t>
        </is>
      </c>
      <c r="D263" s="4" t="n">
        <v>2010</v>
      </c>
      <c r="E263" s="15" t="inlineStr">
        <is>
          <t>Draw</t>
        </is>
      </c>
      <c r="F263" s="5" t="n">
        <v>456</v>
      </c>
      <c r="G263" s="5" t="n">
        <v>1994</v>
      </c>
      <c r="H263" s="5" t="n">
        <v>300</v>
      </c>
      <c r="I263" s="5" t="n">
        <v>156</v>
      </c>
      <c r="J263" s="5" t="n">
        <v>142</v>
      </c>
      <c r="K263" s="10">
        <f>IF(F263&gt;0,H263/F263,"")</f>
        <v/>
      </c>
      <c r="L263" s="16">
        <f>IF(AND(G263&gt;0,H263&gt;0),G263/H263,"")</f>
        <v/>
      </c>
    </row>
    <row r="264">
      <c r="A264" s="4" t="inlineStr">
        <is>
          <t>338</t>
        </is>
      </c>
      <c r="B264" s="4" t="n">
        <v>3</v>
      </c>
      <c r="C264" s="4" t="inlineStr">
        <is>
          <t>antelope</t>
        </is>
      </c>
      <c r="D264" s="4" t="n">
        <v>2011</v>
      </c>
      <c r="E264" s="15" t="inlineStr">
        <is>
          <t>Draw</t>
        </is>
      </c>
      <c r="F264" s="5" t="n">
        <v>358</v>
      </c>
      <c r="G264" s="5" t="n">
        <v>1474</v>
      </c>
      <c r="H264" s="5" t="n">
        <v>189</v>
      </c>
      <c r="I264" s="5" t="n">
        <v>107</v>
      </c>
      <c r="J264" s="5" t="n">
        <v>80</v>
      </c>
      <c r="K264" s="10">
        <f>IF(F264&gt;0,H264/F264,"")</f>
        <v/>
      </c>
      <c r="L264" s="16">
        <f>IF(AND(G264&gt;0,H264&gt;0),G264/H264,"")</f>
        <v/>
      </c>
    </row>
    <row r="265">
      <c r="A265" s="4" t="inlineStr">
        <is>
          <t>338</t>
        </is>
      </c>
      <c r="B265" s="4" t="n">
        <v>3</v>
      </c>
      <c r="C265" s="4" t="inlineStr">
        <is>
          <t>antelope</t>
        </is>
      </c>
      <c r="D265" s="4" t="n">
        <v>2012</v>
      </c>
      <c r="E265" s="15" t="inlineStr">
        <is>
          <t>Draw</t>
        </is>
      </c>
      <c r="F265" s="5" t="n">
        <v>302</v>
      </c>
      <c r="G265" s="5" t="n">
        <v>1240</v>
      </c>
      <c r="H265" s="5" t="n">
        <v>185</v>
      </c>
      <c r="I265" s="5" t="n">
        <v>96</v>
      </c>
      <c r="J265" s="5" t="n">
        <v>80</v>
      </c>
      <c r="K265" s="10">
        <f>IF(F265&gt;0,H265/F265,"")</f>
        <v/>
      </c>
      <c r="L265" s="16">
        <f>IF(AND(G265&gt;0,H265&gt;0),G265/H265,"")</f>
        <v/>
      </c>
    </row>
    <row r="266">
      <c r="A266" s="4" t="inlineStr">
        <is>
          <t>338</t>
        </is>
      </c>
      <c r="B266" s="4" t="n">
        <v>3</v>
      </c>
      <c r="C266" s="4" t="inlineStr">
        <is>
          <t>antelope</t>
        </is>
      </c>
      <c r="D266" s="4" t="n">
        <v>2013</v>
      </c>
      <c r="E266" s="15" t="inlineStr">
        <is>
          <t>Draw</t>
        </is>
      </c>
      <c r="F266" s="5" t="n"/>
      <c r="G266" s="5" t="n"/>
      <c r="H266" s="5" t="n">
        <v>132</v>
      </c>
      <c r="I266" s="5" t="n">
        <v>85</v>
      </c>
      <c r="J266" s="5" t="n">
        <v>45</v>
      </c>
      <c r="K266" s="10">
        <f>IF(F266&gt;0,H266/F266,"")</f>
        <v/>
      </c>
      <c r="L266" s="16">
        <f>IF(AND(G266&gt;0,H266&gt;0),G266/H266,"")</f>
        <v/>
      </c>
    </row>
    <row r="267">
      <c r="A267" s="4" t="inlineStr">
        <is>
          <t>338</t>
        </is>
      </c>
      <c r="B267" s="4" t="n">
        <v>3</v>
      </c>
      <c r="C267" s="4" t="inlineStr">
        <is>
          <t>antelope</t>
        </is>
      </c>
      <c r="D267" s="4" t="n">
        <v>2014</v>
      </c>
      <c r="E267" s="15" t="inlineStr">
        <is>
          <t>Draw</t>
        </is>
      </c>
      <c r="F267" s="5" t="n">
        <v>139</v>
      </c>
      <c r="G267" s="5" t="n">
        <v>504</v>
      </c>
      <c r="H267" s="5" t="n">
        <v>67</v>
      </c>
      <c r="I267" s="5" t="n">
        <v>54</v>
      </c>
      <c r="J267" s="5" t="n">
        <v>14</v>
      </c>
      <c r="K267" s="10">
        <f>IF(F267&gt;0,H267/F267,"")</f>
        <v/>
      </c>
      <c r="L267" s="16">
        <f>IF(AND(G267&gt;0,H267&gt;0),G267/H267,"")</f>
        <v/>
      </c>
    </row>
    <row r="268">
      <c r="A268" s="4" t="inlineStr">
        <is>
          <t>338</t>
        </is>
      </c>
      <c r="B268" s="4" t="n">
        <v>3</v>
      </c>
      <c r="C268" s="4" t="inlineStr">
        <is>
          <t>antelope</t>
        </is>
      </c>
      <c r="D268" s="4" t="n">
        <v>2015</v>
      </c>
      <c r="E268" s="15" t="inlineStr">
        <is>
          <t>Draw</t>
        </is>
      </c>
      <c r="F268" s="5" t="n">
        <v>323</v>
      </c>
      <c r="G268" s="5" t="n">
        <v>1243</v>
      </c>
      <c r="H268" s="5" t="n">
        <v>167</v>
      </c>
      <c r="I268" s="5" t="n">
        <v>141</v>
      </c>
      <c r="J268" s="5" t="n">
        <v>25</v>
      </c>
      <c r="K268" s="10">
        <f>IF(F268&gt;0,H268/F268,"")</f>
        <v/>
      </c>
      <c r="L268" s="16">
        <f>IF(AND(G268&gt;0,H268&gt;0),G268/H268,"")</f>
        <v/>
      </c>
    </row>
    <row r="269">
      <c r="A269" s="4" t="inlineStr">
        <is>
          <t>338</t>
        </is>
      </c>
      <c r="B269" s="4" t="n">
        <v>3</v>
      </c>
      <c r="C269" s="4" t="inlineStr">
        <is>
          <t>antelope</t>
        </is>
      </c>
      <c r="D269" s="4" t="n">
        <v>2016</v>
      </c>
      <c r="E269" s="15" t="inlineStr">
        <is>
          <t>Draw</t>
        </is>
      </c>
      <c r="F269" s="5" t="n"/>
      <c r="G269" s="5" t="n"/>
      <c r="H269" s="5" t="n">
        <v>140</v>
      </c>
      <c r="I269" s="5" t="n">
        <v>113</v>
      </c>
      <c r="J269" s="5" t="n">
        <v>28</v>
      </c>
      <c r="K269" s="10">
        <f>IF(F269&gt;0,H269/F269,"")</f>
        <v/>
      </c>
      <c r="L269" s="16">
        <f>IF(AND(G269&gt;0,H269&gt;0),G269/H269,"")</f>
        <v/>
      </c>
    </row>
    <row r="270">
      <c r="A270" s="4" t="inlineStr">
        <is>
          <t>338</t>
        </is>
      </c>
      <c r="B270" s="4" t="n">
        <v>3</v>
      </c>
      <c r="C270" s="4" t="inlineStr">
        <is>
          <t>antelope</t>
        </is>
      </c>
      <c r="D270" s="4" t="n">
        <v>2017</v>
      </c>
      <c r="E270" s="15" t="inlineStr">
        <is>
          <t>Draw</t>
        </is>
      </c>
      <c r="F270" s="5" t="n"/>
      <c r="G270" s="5" t="n"/>
      <c r="H270" s="5" t="n">
        <v>249</v>
      </c>
      <c r="I270" s="5" t="n">
        <v>162</v>
      </c>
      <c r="J270" s="5" t="n">
        <v>87</v>
      </c>
      <c r="K270" s="10">
        <f>IF(F270&gt;0,H270/F270,"")</f>
        <v/>
      </c>
      <c r="L270" s="16">
        <f>IF(AND(G270&gt;0,H270&gt;0),G270/H270,"")</f>
        <v/>
      </c>
    </row>
    <row r="271">
      <c r="A271" s="4" t="inlineStr">
        <is>
          <t>338</t>
        </is>
      </c>
      <c r="B271" s="4" t="n">
        <v>3</v>
      </c>
      <c r="C271" s="4" t="inlineStr">
        <is>
          <t>antelope</t>
        </is>
      </c>
      <c r="D271" s="4" t="n">
        <v>2018</v>
      </c>
      <c r="E271" s="15" t="inlineStr">
        <is>
          <t>Draw</t>
        </is>
      </c>
      <c r="F271" s="5" t="n">
        <v>323</v>
      </c>
      <c r="G271" s="5" t="n">
        <v>1403</v>
      </c>
      <c r="H271" s="5" t="n">
        <v>134</v>
      </c>
      <c r="I271" s="5" t="n">
        <v>91</v>
      </c>
      <c r="J271" s="5" t="n">
        <v>41</v>
      </c>
      <c r="K271" s="10">
        <f>IF(F271&gt;0,H271/F271,"")</f>
        <v/>
      </c>
      <c r="L271" s="16">
        <f>IF(AND(G271&gt;0,H271&gt;0),G271/H271,"")</f>
        <v/>
      </c>
    </row>
    <row r="272">
      <c r="A272" s="4" t="inlineStr">
        <is>
          <t>338</t>
        </is>
      </c>
      <c r="B272" s="4" t="n">
        <v>3</v>
      </c>
      <c r="C272" s="4" t="inlineStr">
        <is>
          <t>antelope</t>
        </is>
      </c>
      <c r="D272" s="4" t="n">
        <v>2019</v>
      </c>
      <c r="E272" s="15" t="inlineStr">
        <is>
          <t>Draw</t>
        </is>
      </c>
      <c r="F272" s="5" t="n"/>
      <c r="G272" s="5" t="n"/>
      <c r="H272" s="5" t="n">
        <v>83</v>
      </c>
      <c r="I272" s="5" t="n">
        <v>66</v>
      </c>
      <c r="J272" s="5" t="n">
        <v>17</v>
      </c>
      <c r="K272" s="10">
        <f>IF(F272&gt;0,H272/F272,"")</f>
        <v/>
      </c>
      <c r="L272" s="16">
        <f>IF(AND(G272&gt;0,H272&gt;0),G272/H272,"")</f>
        <v/>
      </c>
    </row>
    <row r="273">
      <c r="A273" s="4" t="inlineStr">
        <is>
          <t>338</t>
        </is>
      </c>
      <c r="B273" s="4" t="n">
        <v>3</v>
      </c>
      <c r="C273" s="4" t="inlineStr">
        <is>
          <t>antelope</t>
        </is>
      </c>
      <c r="D273" s="4" t="n">
        <v>2020</v>
      </c>
      <c r="E273" s="15" t="inlineStr">
        <is>
          <t>Draw</t>
        </is>
      </c>
      <c r="F273" s="5" t="n">
        <v>211</v>
      </c>
      <c r="G273" s="5" t="n">
        <v>1186</v>
      </c>
      <c r="H273" s="5" t="n">
        <v>149</v>
      </c>
      <c r="I273" s="5" t="n">
        <v>102</v>
      </c>
      <c r="J273" s="5" t="n">
        <v>45</v>
      </c>
      <c r="K273" s="10">
        <f>IF(F273&gt;0,H273/F273,"")</f>
        <v/>
      </c>
      <c r="L273" s="16">
        <f>IF(AND(G273&gt;0,H273&gt;0),G273/H273,"")</f>
        <v/>
      </c>
    </row>
    <row r="274">
      <c r="A274" s="4" t="inlineStr">
        <is>
          <t>338</t>
        </is>
      </c>
      <c r="B274" s="4" t="n">
        <v>3</v>
      </c>
      <c r="C274" s="4" t="inlineStr">
        <is>
          <t>antelope</t>
        </is>
      </c>
      <c r="D274" s="4" t="n">
        <v>2021</v>
      </c>
      <c r="E274" s="15" t="inlineStr">
        <is>
          <t>Draw</t>
        </is>
      </c>
      <c r="F274" s="5" t="n"/>
      <c r="G274" s="5" t="n"/>
      <c r="H274" s="5" t="n">
        <v>68</v>
      </c>
      <c r="I274" s="5" t="n">
        <v>47</v>
      </c>
      <c r="J274" s="5" t="n">
        <v>19</v>
      </c>
      <c r="K274" s="10">
        <f>IF(F274&gt;0,H274/F274,"")</f>
        <v/>
      </c>
      <c r="L274" s="16">
        <f>IF(AND(G274&gt;0,H274&gt;0),G274/H274,"")</f>
        <v/>
      </c>
    </row>
    <row r="275">
      <c r="A275" s="4" t="inlineStr">
        <is>
          <t>338</t>
        </is>
      </c>
      <c r="B275" s="4" t="n">
        <v>3</v>
      </c>
      <c r="C275" s="4" t="inlineStr">
        <is>
          <t>antelope</t>
        </is>
      </c>
      <c r="D275" s="4" t="n">
        <v>2022</v>
      </c>
      <c r="E275" s="15" t="inlineStr">
        <is>
          <t>Draw</t>
        </is>
      </c>
      <c r="F275" s="5" t="n">
        <v>116</v>
      </c>
      <c r="G275" s="5" t="n">
        <v>586</v>
      </c>
      <c r="H275" s="5" t="n">
        <v>50</v>
      </c>
      <c r="I275" s="5" t="n">
        <v>38</v>
      </c>
      <c r="J275" s="5" t="n">
        <v>13</v>
      </c>
      <c r="K275" s="10">
        <f>IF(F275&gt;0,H275/F275,"")</f>
        <v/>
      </c>
      <c r="L275" s="16">
        <f>IF(AND(G275&gt;0,H275&gt;0),G275/H275,"")</f>
        <v/>
      </c>
    </row>
    <row r="276">
      <c r="A276" s="4" t="inlineStr">
        <is>
          <t>338</t>
        </is>
      </c>
      <c r="B276" s="4" t="n">
        <v>3</v>
      </c>
      <c r="C276" s="4" t="inlineStr">
        <is>
          <t>antelope</t>
        </is>
      </c>
      <c r="D276" s="4" t="n">
        <v>2023</v>
      </c>
      <c r="E276" s="15" t="inlineStr">
        <is>
          <t>Draw</t>
        </is>
      </c>
      <c r="F276" s="5" t="n"/>
      <c r="G276" s="5" t="n"/>
      <c r="H276" s="5" t="n">
        <v>79</v>
      </c>
      <c r="I276" s="5" t="n">
        <v>59</v>
      </c>
      <c r="J276" s="5" t="n">
        <v>21</v>
      </c>
      <c r="K276" s="10">
        <f>IF(F276&gt;0,H276/F276,"")</f>
        <v/>
      </c>
      <c r="L276" s="16">
        <f>IF(AND(G276&gt;0,H276&gt;0),G276/H276,"")</f>
        <v/>
      </c>
    </row>
    <row r="277">
      <c r="A277" s="4" t="inlineStr">
        <is>
          <t>338</t>
        </is>
      </c>
      <c r="B277" s="4" t="n">
        <v>3</v>
      </c>
      <c r="C277" s="4" t="inlineStr">
        <is>
          <t>antelope</t>
        </is>
      </c>
      <c r="D277" s="4" t="n">
        <v>2024</v>
      </c>
      <c r="E277" s="15" t="inlineStr">
        <is>
          <t>Draw</t>
        </is>
      </c>
      <c r="F277" s="5" t="n">
        <v>139</v>
      </c>
      <c r="G277" s="5" t="n">
        <v>721</v>
      </c>
      <c r="H277" s="5" t="n">
        <v>56</v>
      </c>
      <c r="I277" s="5" t="n">
        <v>51</v>
      </c>
      <c r="J277" s="5" t="n">
        <v>5</v>
      </c>
      <c r="K277" s="10">
        <f>IF(F277&gt;0,H277/F277,"")</f>
        <v/>
      </c>
      <c r="L277" s="16">
        <f>IF(AND(G277&gt;0,H277&gt;0),G277/H277,"")</f>
        <v/>
      </c>
    </row>
    <row r="278">
      <c r="A278" s="4" t="inlineStr">
        <is>
          <t>338</t>
        </is>
      </c>
      <c r="B278" s="4" t="n">
        <v>3</v>
      </c>
      <c r="C278" s="4" t="inlineStr">
        <is>
          <t>antelope</t>
        </is>
      </c>
      <c r="D278" s="4" t="n">
        <v>2025</v>
      </c>
      <c r="E278" s="15" t="inlineStr">
        <is>
          <t>Draw</t>
        </is>
      </c>
      <c r="F278" s="5" t="n"/>
      <c r="G278" s="5" t="n"/>
      <c r="H278" s="5" t="n">
        <v>87</v>
      </c>
      <c r="I278" s="5" t="n">
        <v>85</v>
      </c>
      <c r="J278" s="5" t="n">
        <v>2</v>
      </c>
      <c r="K278" s="10">
        <f>IF(F278&gt;0,H278/F278,"")</f>
        <v/>
      </c>
      <c r="L278" s="16">
        <f>IF(AND(G278&gt;0,H278&gt;0),G278/H278,"")</f>
        <v/>
      </c>
    </row>
    <row r="279">
      <c r="A279" s="4" t="inlineStr">
        <is>
          <t>339</t>
        </is>
      </c>
      <c r="B279" s="4" t="n">
        <v>3</v>
      </c>
      <c r="C279" s="4" t="inlineStr">
        <is>
          <t>antelope</t>
        </is>
      </c>
      <c r="D279" s="4" t="n">
        <v>2004</v>
      </c>
      <c r="E279" s="15" t="inlineStr">
        <is>
          <t>Draw</t>
        </is>
      </c>
      <c r="F279" s="5" t="n">
        <v>130</v>
      </c>
      <c r="G279" s="5" t="n">
        <v>493</v>
      </c>
      <c r="H279" s="5" t="n">
        <v>79</v>
      </c>
      <c r="I279" s="5" t="n">
        <v>69</v>
      </c>
      <c r="J279" s="5" t="n">
        <v>10</v>
      </c>
      <c r="K279" s="10">
        <f>IF(F279&gt;0,H279/F279,"")</f>
        <v/>
      </c>
      <c r="L279" s="16">
        <f>IF(AND(G279&gt;0,H279&gt;0),G279/H279,"")</f>
        <v/>
      </c>
    </row>
    <row r="280">
      <c r="A280" s="4" t="inlineStr">
        <is>
          <t>339</t>
        </is>
      </c>
      <c r="B280" s="4" t="n">
        <v>3</v>
      </c>
      <c r="C280" s="4" t="inlineStr">
        <is>
          <t>antelope</t>
        </is>
      </c>
      <c r="D280" s="4" t="n">
        <v>2005</v>
      </c>
      <c r="E280" s="15" t="inlineStr">
        <is>
          <t>Draw</t>
        </is>
      </c>
      <c r="F280" s="5" t="n">
        <v>150</v>
      </c>
      <c r="G280" s="5" t="n">
        <v>543</v>
      </c>
      <c r="H280" s="5" t="n">
        <v>69</v>
      </c>
      <c r="I280" s="5" t="n">
        <v>50</v>
      </c>
      <c r="J280" s="5" t="n">
        <v>14</v>
      </c>
      <c r="K280" s="10">
        <f>IF(F280&gt;0,H280/F280,"")</f>
        <v/>
      </c>
      <c r="L280" s="16">
        <f>IF(AND(G280&gt;0,H280&gt;0),G280/H280,"")</f>
        <v/>
      </c>
    </row>
    <row r="281">
      <c r="A281" s="4" t="inlineStr">
        <is>
          <t>339</t>
        </is>
      </c>
      <c r="B281" s="4" t="n">
        <v>3</v>
      </c>
      <c r="C281" s="4" t="inlineStr">
        <is>
          <t>antelope</t>
        </is>
      </c>
      <c r="D281" s="4" t="n">
        <v>2006</v>
      </c>
      <c r="E281" s="15" t="inlineStr">
        <is>
          <t>Draw</t>
        </is>
      </c>
      <c r="F281" s="5" t="n">
        <v>124</v>
      </c>
      <c r="G281" s="5" t="n">
        <v>412</v>
      </c>
      <c r="H281" s="5" t="n">
        <v>76</v>
      </c>
      <c r="I281" s="5" t="n">
        <v>56</v>
      </c>
      <c r="J281" s="5" t="n">
        <v>18</v>
      </c>
      <c r="K281" s="10">
        <f>IF(F281&gt;0,H281/F281,"")</f>
        <v/>
      </c>
      <c r="L281" s="16">
        <f>IF(AND(G281&gt;0,H281&gt;0),G281/H281,"")</f>
        <v/>
      </c>
    </row>
    <row r="282">
      <c r="A282" s="4" t="inlineStr">
        <is>
          <t>339</t>
        </is>
      </c>
      <c r="B282" s="4" t="n">
        <v>3</v>
      </c>
      <c r="C282" s="4" t="inlineStr">
        <is>
          <t>antelope</t>
        </is>
      </c>
      <c r="D282" s="4" t="n">
        <v>2007</v>
      </c>
      <c r="E282" s="15" t="inlineStr">
        <is>
          <t>Draw</t>
        </is>
      </c>
      <c r="F282" s="5" t="n">
        <v>131</v>
      </c>
      <c r="G282" s="5" t="n">
        <v>416</v>
      </c>
      <c r="H282" s="5" t="n">
        <v>82</v>
      </c>
      <c r="I282" s="5" t="n">
        <v>49</v>
      </c>
      <c r="J282" s="5" t="n">
        <v>30</v>
      </c>
      <c r="K282" s="10">
        <f>IF(F282&gt;0,H282/F282,"")</f>
        <v/>
      </c>
      <c r="L282" s="16">
        <f>IF(AND(G282&gt;0,H282&gt;0),G282/H282,"")</f>
        <v/>
      </c>
    </row>
    <row r="283">
      <c r="A283" s="4" t="inlineStr">
        <is>
          <t>339</t>
        </is>
      </c>
      <c r="B283" s="4" t="n">
        <v>3</v>
      </c>
      <c r="C283" s="4" t="inlineStr">
        <is>
          <t>antelope</t>
        </is>
      </c>
      <c r="D283" s="4" t="n">
        <v>2008</v>
      </c>
      <c r="E283" s="15" t="inlineStr">
        <is>
          <t>Draw</t>
        </is>
      </c>
      <c r="F283" s="5" t="n">
        <v>109</v>
      </c>
      <c r="G283" s="5" t="n">
        <v>448</v>
      </c>
      <c r="H283" s="5" t="n">
        <v>60</v>
      </c>
      <c r="I283" s="5" t="n">
        <v>39</v>
      </c>
      <c r="J283" s="5" t="n">
        <v>21</v>
      </c>
      <c r="K283" s="10">
        <f>IF(F283&gt;0,H283/F283,"")</f>
        <v/>
      </c>
      <c r="L283" s="16">
        <f>IF(AND(G283&gt;0,H283&gt;0),G283/H283,"")</f>
        <v/>
      </c>
    </row>
    <row r="284">
      <c r="A284" s="4" t="inlineStr">
        <is>
          <t>339</t>
        </is>
      </c>
      <c r="B284" s="4" t="n">
        <v>3</v>
      </c>
      <c r="C284" s="4" t="inlineStr">
        <is>
          <t>antelope</t>
        </is>
      </c>
      <c r="D284" s="4" t="n">
        <v>2009</v>
      </c>
      <c r="E284" s="15" t="inlineStr">
        <is>
          <t>Draw</t>
        </is>
      </c>
      <c r="F284" s="5" t="n">
        <v>108</v>
      </c>
      <c r="G284" s="5" t="n">
        <v>383</v>
      </c>
      <c r="H284" s="5" t="n">
        <v>70</v>
      </c>
      <c r="I284" s="5" t="n">
        <v>50</v>
      </c>
      <c r="J284" s="5" t="n">
        <v>21</v>
      </c>
      <c r="K284" s="10">
        <f>IF(F284&gt;0,H284/F284,"")</f>
        <v/>
      </c>
      <c r="L284" s="16">
        <f>IF(AND(G284&gt;0,H284&gt;0),G284/H284,"")</f>
        <v/>
      </c>
    </row>
    <row r="285">
      <c r="A285" s="4" t="inlineStr">
        <is>
          <t>339</t>
        </is>
      </c>
      <c r="B285" s="4" t="n">
        <v>3</v>
      </c>
      <c r="C285" s="4" t="inlineStr">
        <is>
          <t>antelope</t>
        </is>
      </c>
      <c r="D285" s="4" t="n">
        <v>2010</v>
      </c>
      <c r="E285" s="15" t="inlineStr">
        <is>
          <t>Draw</t>
        </is>
      </c>
      <c r="F285" s="5" t="n">
        <v>125</v>
      </c>
      <c r="G285" s="5" t="n">
        <v>494</v>
      </c>
      <c r="H285" s="5" t="n">
        <v>80</v>
      </c>
      <c r="I285" s="5" t="n">
        <v>61</v>
      </c>
      <c r="J285" s="5" t="n">
        <v>18</v>
      </c>
      <c r="K285" s="10">
        <f>IF(F285&gt;0,H285/F285,"")</f>
        <v/>
      </c>
      <c r="L285" s="16">
        <f>IF(AND(G285&gt;0,H285&gt;0),G285/H285,"")</f>
        <v/>
      </c>
    </row>
    <row r="286">
      <c r="A286" s="4" t="inlineStr">
        <is>
          <t>339</t>
        </is>
      </c>
      <c r="B286" s="4" t="n">
        <v>3</v>
      </c>
      <c r="C286" s="4" t="inlineStr">
        <is>
          <t>antelope</t>
        </is>
      </c>
      <c r="D286" s="4" t="n">
        <v>2011</v>
      </c>
      <c r="E286" s="15" t="inlineStr">
        <is>
          <t>Draw</t>
        </is>
      </c>
      <c r="F286" s="5" t="n">
        <v>117</v>
      </c>
      <c r="G286" s="5" t="n">
        <v>381</v>
      </c>
      <c r="H286" s="5" t="n">
        <v>83</v>
      </c>
      <c r="I286" s="5" t="n">
        <v>73</v>
      </c>
      <c r="J286" s="5" t="n">
        <v>10</v>
      </c>
      <c r="K286" s="10">
        <f>IF(F286&gt;0,H286/F286,"")</f>
        <v/>
      </c>
      <c r="L286" s="16">
        <f>IF(AND(G286&gt;0,H286&gt;0),G286/H286,"")</f>
        <v/>
      </c>
    </row>
    <row r="287">
      <c r="A287" s="4" t="inlineStr">
        <is>
          <t>339</t>
        </is>
      </c>
      <c r="B287" s="4" t="n">
        <v>3</v>
      </c>
      <c r="C287" s="4" t="inlineStr">
        <is>
          <t>antelope</t>
        </is>
      </c>
      <c r="D287" s="4" t="n">
        <v>2012</v>
      </c>
      <c r="E287" s="15" t="inlineStr">
        <is>
          <t>Draw</t>
        </is>
      </c>
      <c r="F287" s="5" t="n">
        <v>114</v>
      </c>
      <c r="G287" s="5" t="n">
        <v>505</v>
      </c>
      <c r="H287" s="5" t="n">
        <v>63</v>
      </c>
      <c r="I287" s="5" t="n">
        <v>45</v>
      </c>
      <c r="J287" s="5" t="n">
        <v>18</v>
      </c>
      <c r="K287" s="10">
        <f>IF(F287&gt;0,H287/F287,"")</f>
        <v/>
      </c>
      <c r="L287" s="16">
        <f>IF(AND(G287&gt;0,H287&gt;0),G287/H287,"")</f>
        <v/>
      </c>
    </row>
    <row r="288">
      <c r="A288" s="4" t="inlineStr">
        <is>
          <t>339</t>
        </is>
      </c>
      <c r="B288" s="4" t="n">
        <v>3</v>
      </c>
      <c r="C288" s="4" t="inlineStr">
        <is>
          <t>antelope</t>
        </is>
      </c>
      <c r="D288" s="4" t="n">
        <v>2013</v>
      </c>
      <c r="E288" s="15" t="inlineStr">
        <is>
          <t>Draw</t>
        </is>
      </c>
      <c r="F288" s="5" t="n"/>
      <c r="G288" s="5" t="n"/>
      <c r="H288" s="5" t="n">
        <v>79</v>
      </c>
      <c r="I288" s="5" t="n">
        <v>61</v>
      </c>
      <c r="J288" s="5" t="n">
        <v>18</v>
      </c>
      <c r="K288" s="10">
        <f>IF(F288&gt;0,H288/F288,"")</f>
        <v/>
      </c>
      <c r="L288" s="16">
        <f>IF(AND(G288&gt;0,H288&gt;0),G288/H288,"")</f>
        <v/>
      </c>
    </row>
    <row r="289">
      <c r="A289" s="4" t="inlineStr">
        <is>
          <t>339</t>
        </is>
      </c>
      <c r="B289" s="4" t="n">
        <v>3</v>
      </c>
      <c r="C289" s="4" t="inlineStr">
        <is>
          <t>antelope</t>
        </is>
      </c>
      <c r="D289" s="4" t="n">
        <v>2014</v>
      </c>
      <c r="E289" s="15" t="inlineStr">
        <is>
          <t>Draw</t>
        </is>
      </c>
      <c r="F289" s="5" t="n">
        <v>177</v>
      </c>
      <c r="G289" s="5" t="n">
        <v>615</v>
      </c>
      <c r="H289" s="5" t="n">
        <v>116</v>
      </c>
      <c r="I289" s="5" t="n">
        <v>87</v>
      </c>
      <c r="J289" s="5" t="n">
        <v>29</v>
      </c>
      <c r="K289" s="10">
        <f>IF(F289&gt;0,H289/F289,"")</f>
        <v/>
      </c>
      <c r="L289" s="16">
        <f>IF(AND(G289&gt;0,H289&gt;0),G289/H289,"")</f>
        <v/>
      </c>
    </row>
    <row r="290">
      <c r="A290" s="4" t="inlineStr">
        <is>
          <t>339</t>
        </is>
      </c>
      <c r="B290" s="4" t="n">
        <v>3</v>
      </c>
      <c r="C290" s="4" t="inlineStr">
        <is>
          <t>antelope</t>
        </is>
      </c>
      <c r="D290" s="4" t="n">
        <v>2015</v>
      </c>
      <c r="E290" s="15" t="inlineStr">
        <is>
          <t>Draw</t>
        </is>
      </c>
      <c r="F290" s="5" t="n">
        <v>202</v>
      </c>
      <c r="G290" s="5" t="n">
        <v>901</v>
      </c>
      <c r="H290" s="5" t="n">
        <v>130</v>
      </c>
      <c r="I290" s="5" t="n">
        <v>105</v>
      </c>
      <c r="J290" s="5" t="n">
        <v>25</v>
      </c>
      <c r="K290" s="10">
        <f>IF(F290&gt;0,H290/F290,"")</f>
        <v/>
      </c>
      <c r="L290" s="16">
        <f>IF(AND(G290&gt;0,H290&gt;0),G290/H290,"")</f>
        <v/>
      </c>
    </row>
    <row r="291">
      <c r="A291" s="4" t="inlineStr">
        <is>
          <t>339</t>
        </is>
      </c>
      <c r="B291" s="4" t="n">
        <v>3</v>
      </c>
      <c r="C291" s="4" t="inlineStr">
        <is>
          <t>antelope</t>
        </is>
      </c>
      <c r="D291" s="4" t="n">
        <v>2016</v>
      </c>
      <c r="E291" s="15" t="inlineStr">
        <is>
          <t>Draw</t>
        </is>
      </c>
      <c r="F291" s="5" t="n"/>
      <c r="G291" s="5" t="n"/>
      <c r="H291" s="5" t="n">
        <v>148</v>
      </c>
      <c r="I291" s="5" t="n">
        <v>83</v>
      </c>
      <c r="J291" s="5" t="n">
        <v>62</v>
      </c>
      <c r="K291" s="10">
        <f>IF(F291&gt;0,H291/F291,"")</f>
        <v/>
      </c>
      <c r="L291" s="16">
        <f>IF(AND(G291&gt;0,H291&gt;0),G291/H291,"")</f>
        <v/>
      </c>
    </row>
    <row r="292">
      <c r="A292" s="4" t="inlineStr">
        <is>
          <t>339</t>
        </is>
      </c>
      <c r="B292" s="4" t="n">
        <v>3</v>
      </c>
      <c r="C292" s="4" t="inlineStr">
        <is>
          <t>antelope</t>
        </is>
      </c>
      <c r="D292" s="4" t="n">
        <v>2017</v>
      </c>
      <c r="E292" s="15" t="inlineStr">
        <is>
          <t>Draw</t>
        </is>
      </c>
      <c r="F292" s="5" t="n"/>
      <c r="G292" s="5" t="n"/>
      <c r="H292" s="5" t="n">
        <v>149</v>
      </c>
      <c r="I292" s="5" t="n">
        <v>97</v>
      </c>
      <c r="J292" s="5" t="n">
        <v>48</v>
      </c>
      <c r="K292" s="10">
        <f>IF(F292&gt;0,H292/F292,"")</f>
        <v/>
      </c>
      <c r="L292" s="16">
        <f>IF(AND(G292&gt;0,H292&gt;0),G292/H292,"")</f>
        <v/>
      </c>
    </row>
    <row r="293">
      <c r="A293" s="4" t="inlineStr">
        <is>
          <t>339</t>
        </is>
      </c>
      <c r="B293" s="4" t="n">
        <v>3</v>
      </c>
      <c r="C293" s="4" t="inlineStr">
        <is>
          <t>antelope</t>
        </is>
      </c>
      <c r="D293" s="4" t="n">
        <v>2018</v>
      </c>
      <c r="E293" s="15" t="inlineStr">
        <is>
          <t>Draw</t>
        </is>
      </c>
      <c r="F293" s="5" t="n">
        <v>165</v>
      </c>
      <c r="G293" s="5" t="n">
        <v>859</v>
      </c>
      <c r="H293" s="5" t="n">
        <v>117</v>
      </c>
      <c r="I293" s="5" t="n">
        <v>84</v>
      </c>
      <c r="J293" s="5" t="n">
        <v>32</v>
      </c>
      <c r="K293" s="10">
        <f>IF(F293&gt;0,H293/F293,"")</f>
        <v/>
      </c>
      <c r="L293" s="16">
        <f>IF(AND(G293&gt;0,H293&gt;0),G293/H293,"")</f>
        <v/>
      </c>
    </row>
    <row r="294">
      <c r="A294" s="4" t="inlineStr">
        <is>
          <t>339</t>
        </is>
      </c>
      <c r="B294" s="4" t="n">
        <v>3</v>
      </c>
      <c r="C294" s="4" t="inlineStr">
        <is>
          <t>antelope</t>
        </is>
      </c>
      <c r="D294" s="4" t="n">
        <v>2019</v>
      </c>
      <c r="E294" s="15" t="inlineStr">
        <is>
          <t>Draw</t>
        </is>
      </c>
      <c r="F294" s="5" t="n"/>
      <c r="G294" s="5" t="n"/>
      <c r="H294" s="5" t="n">
        <v>75</v>
      </c>
      <c r="I294" s="5" t="n">
        <v>47</v>
      </c>
      <c r="J294" s="5" t="n">
        <v>26</v>
      </c>
      <c r="K294" s="10">
        <f>IF(F294&gt;0,H294/F294,"")</f>
        <v/>
      </c>
      <c r="L294" s="16">
        <f>IF(AND(G294&gt;0,H294&gt;0),G294/H294,"")</f>
        <v/>
      </c>
    </row>
    <row r="295">
      <c r="A295" s="4" t="inlineStr">
        <is>
          <t>339</t>
        </is>
      </c>
      <c r="B295" s="4" t="n">
        <v>3</v>
      </c>
      <c r="C295" s="4" t="inlineStr">
        <is>
          <t>antelope</t>
        </is>
      </c>
      <c r="D295" s="4" t="n">
        <v>2020</v>
      </c>
      <c r="E295" s="15" t="inlineStr">
        <is>
          <t>Draw</t>
        </is>
      </c>
      <c r="F295" s="5" t="n">
        <v>168</v>
      </c>
      <c r="G295" s="5" t="n">
        <v>815</v>
      </c>
      <c r="H295" s="5" t="n">
        <v>180</v>
      </c>
      <c r="I295" s="5" t="n">
        <v>151</v>
      </c>
      <c r="J295" s="5" t="n">
        <v>29</v>
      </c>
      <c r="K295" s="10">
        <f>IF(F295&gt;0,H295/F295,"")</f>
        <v/>
      </c>
      <c r="L295" s="16">
        <f>IF(AND(G295&gt;0,H295&gt;0),G295/H295,"")</f>
        <v/>
      </c>
    </row>
    <row r="296">
      <c r="A296" s="4" t="inlineStr">
        <is>
          <t>339</t>
        </is>
      </c>
      <c r="B296" s="4" t="n">
        <v>3</v>
      </c>
      <c r="C296" s="4" t="inlineStr">
        <is>
          <t>antelope</t>
        </is>
      </c>
      <c r="D296" s="4" t="n">
        <v>2021</v>
      </c>
      <c r="E296" s="15" t="inlineStr">
        <is>
          <t>Draw</t>
        </is>
      </c>
      <c r="F296" s="5" t="n"/>
      <c r="G296" s="5" t="n"/>
      <c r="H296" s="5" t="n">
        <v>69</v>
      </c>
      <c r="I296" s="5" t="n">
        <v>47</v>
      </c>
      <c r="J296" s="5" t="n">
        <v>22</v>
      </c>
      <c r="K296" s="10">
        <f>IF(F296&gt;0,H296/F296,"")</f>
        <v/>
      </c>
      <c r="L296" s="16">
        <f>IF(AND(G296&gt;0,H296&gt;0),G296/H296,"")</f>
        <v/>
      </c>
    </row>
    <row r="297">
      <c r="A297" s="4" t="inlineStr">
        <is>
          <t>339</t>
        </is>
      </c>
      <c r="B297" s="4" t="n">
        <v>3</v>
      </c>
      <c r="C297" s="4" t="inlineStr">
        <is>
          <t>antelope</t>
        </is>
      </c>
      <c r="D297" s="4" t="n">
        <v>2022</v>
      </c>
      <c r="E297" s="15" t="inlineStr">
        <is>
          <t>Draw</t>
        </is>
      </c>
      <c r="F297" s="5" t="n">
        <v>92</v>
      </c>
      <c r="G297" s="5" t="n">
        <v>551</v>
      </c>
      <c r="H297" s="5" t="n">
        <v>47</v>
      </c>
      <c r="I297" s="5" t="n">
        <v>24</v>
      </c>
      <c r="J297" s="5" t="n">
        <v>23</v>
      </c>
      <c r="K297" s="10">
        <f>IF(F297&gt;0,H297/F297,"")</f>
        <v/>
      </c>
      <c r="L297" s="16">
        <f>IF(AND(G297&gt;0,H297&gt;0),G297/H297,"")</f>
        <v/>
      </c>
    </row>
    <row r="298">
      <c r="A298" s="4" t="inlineStr">
        <is>
          <t>339</t>
        </is>
      </c>
      <c r="B298" s="4" t="n">
        <v>3</v>
      </c>
      <c r="C298" s="4" t="inlineStr">
        <is>
          <t>antelope</t>
        </is>
      </c>
      <c r="D298" s="4" t="n">
        <v>2023</v>
      </c>
      <c r="E298" s="15" t="inlineStr">
        <is>
          <t>Draw</t>
        </is>
      </c>
      <c r="F298" s="5" t="n"/>
      <c r="G298" s="5" t="n"/>
      <c r="H298" s="5" t="n">
        <v>44</v>
      </c>
      <c r="I298" s="5" t="n">
        <v>37</v>
      </c>
      <c r="J298" s="5" t="n">
        <v>7</v>
      </c>
      <c r="K298" s="10">
        <f>IF(F298&gt;0,H298/F298,"")</f>
        <v/>
      </c>
      <c r="L298" s="16">
        <f>IF(AND(G298&gt;0,H298&gt;0),G298/H298,"")</f>
        <v/>
      </c>
    </row>
    <row r="299">
      <c r="A299" s="4" t="inlineStr">
        <is>
          <t>339</t>
        </is>
      </c>
      <c r="B299" s="4" t="n">
        <v>3</v>
      </c>
      <c r="C299" s="4" t="inlineStr">
        <is>
          <t>antelope</t>
        </is>
      </c>
      <c r="D299" s="4" t="n">
        <v>2024</v>
      </c>
      <c r="E299" s="15" t="inlineStr">
        <is>
          <t>Draw</t>
        </is>
      </c>
      <c r="F299" s="5" t="n">
        <v>67</v>
      </c>
      <c r="G299" s="5" t="n">
        <v>253</v>
      </c>
      <c r="H299" s="5" t="n">
        <v>37</v>
      </c>
      <c r="I299" s="5" t="n">
        <v>30</v>
      </c>
      <c r="J299" s="5" t="n">
        <v>7</v>
      </c>
      <c r="K299" s="10">
        <f>IF(F299&gt;0,H299/F299,"")</f>
        <v/>
      </c>
      <c r="L299" s="16">
        <f>IF(AND(G299&gt;0,H299&gt;0),G299/H299,"")</f>
        <v/>
      </c>
    </row>
    <row r="300">
      <c r="A300" s="4" t="inlineStr">
        <is>
          <t>339</t>
        </is>
      </c>
      <c r="B300" s="4" t="n">
        <v>3</v>
      </c>
      <c r="C300" s="4" t="inlineStr">
        <is>
          <t>antelope</t>
        </is>
      </c>
      <c r="D300" s="4" t="n">
        <v>2025</v>
      </c>
      <c r="E300" s="15" t="inlineStr">
        <is>
          <t>Draw</t>
        </is>
      </c>
      <c r="F300" s="5" t="n"/>
      <c r="G300" s="5" t="n"/>
      <c r="H300" s="5" t="n">
        <v>42</v>
      </c>
      <c r="I300" s="5" t="n">
        <v>41</v>
      </c>
      <c r="J300" s="5" t="n">
        <v>2</v>
      </c>
      <c r="K300" s="10">
        <f>IF(F300&gt;0,H300/F300,"")</f>
        <v/>
      </c>
      <c r="L300" s="16">
        <f>IF(AND(G300&gt;0,H300&gt;0),G300/H300,"")</f>
        <v/>
      </c>
    </row>
    <row r="301">
      <c r="A301" s="4" t="inlineStr">
        <is>
          <t>340</t>
        </is>
      </c>
      <c r="B301" s="4" t="n">
        <v>3</v>
      </c>
      <c r="C301" s="4" t="inlineStr">
        <is>
          <t>antelope</t>
        </is>
      </c>
      <c r="D301" s="4" t="n">
        <v>2004</v>
      </c>
      <c r="E301" s="15" t="inlineStr">
        <is>
          <t>Draw</t>
        </is>
      </c>
      <c r="F301" s="5" t="n">
        <v>97</v>
      </c>
      <c r="G301" s="5" t="n">
        <v>287</v>
      </c>
      <c r="H301" s="5" t="n">
        <v>46</v>
      </c>
      <c r="I301" s="5" t="n">
        <v>34</v>
      </c>
      <c r="J301" s="5" t="n">
        <v>11</v>
      </c>
      <c r="K301" s="10">
        <f>IF(F301&gt;0,H301/F301,"")</f>
        <v/>
      </c>
      <c r="L301" s="16">
        <f>IF(AND(G301&gt;0,H301&gt;0),G301/H301,"")</f>
        <v/>
      </c>
    </row>
    <row r="302">
      <c r="A302" s="4" t="inlineStr">
        <is>
          <t>340</t>
        </is>
      </c>
      <c r="B302" s="4" t="n">
        <v>3</v>
      </c>
      <c r="C302" s="4" t="inlineStr">
        <is>
          <t>antelope</t>
        </is>
      </c>
      <c r="D302" s="4" t="n">
        <v>2005</v>
      </c>
      <c r="E302" s="15" t="inlineStr">
        <is>
          <t>Draw</t>
        </is>
      </c>
      <c r="F302" s="5" t="n">
        <v>97</v>
      </c>
      <c r="G302" s="5" t="n">
        <v>287</v>
      </c>
      <c r="H302" s="5" t="n">
        <v>59</v>
      </c>
      <c r="I302" s="5" t="n">
        <v>37</v>
      </c>
      <c r="J302" s="5" t="n">
        <v>19</v>
      </c>
      <c r="K302" s="10">
        <f>IF(F302&gt;0,H302/F302,"")</f>
        <v/>
      </c>
      <c r="L302" s="16">
        <f>IF(AND(G302&gt;0,H302&gt;0),G302/H302,"")</f>
        <v/>
      </c>
    </row>
    <row r="303">
      <c r="A303" s="4" t="inlineStr">
        <is>
          <t>340</t>
        </is>
      </c>
      <c r="B303" s="4" t="n">
        <v>3</v>
      </c>
      <c r="C303" s="4" t="inlineStr">
        <is>
          <t>antelope</t>
        </is>
      </c>
      <c r="D303" s="4" t="n">
        <v>2006</v>
      </c>
      <c r="E303" s="15" t="inlineStr">
        <is>
          <t>Draw</t>
        </is>
      </c>
      <c r="F303" s="5" t="n">
        <v>94</v>
      </c>
      <c r="G303" s="5" t="n">
        <v>351</v>
      </c>
      <c r="H303" s="5" t="n">
        <v>49</v>
      </c>
      <c r="I303" s="5" t="n">
        <v>27</v>
      </c>
      <c r="J303" s="5" t="n">
        <v>20</v>
      </c>
      <c r="K303" s="10">
        <f>IF(F303&gt;0,H303/F303,"")</f>
        <v/>
      </c>
      <c r="L303" s="16">
        <f>IF(AND(G303&gt;0,H303&gt;0),G303/H303,"")</f>
        <v/>
      </c>
    </row>
    <row r="304">
      <c r="A304" s="4" t="inlineStr">
        <is>
          <t>340</t>
        </is>
      </c>
      <c r="B304" s="4" t="n">
        <v>3</v>
      </c>
      <c r="C304" s="4" t="inlineStr">
        <is>
          <t>antelope</t>
        </is>
      </c>
      <c r="D304" s="4" t="n">
        <v>2007</v>
      </c>
      <c r="E304" s="15" t="inlineStr">
        <is>
          <t>Draw</t>
        </is>
      </c>
      <c r="F304" s="5" t="n">
        <v>79</v>
      </c>
      <c r="G304" s="5" t="n">
        <v>262</v>
      </c>
      <c r="H304" s="5" t="n">
        <v>61</v>
      </c>
      <c r="I304" s="5" t="n">
        <v>41</v>
      </c>
      <c r="J304" s="5" t="n">
        <v>20</v>
      </c>
      <c r="K304" s="10">
        <f>IF(F304&gt;0,H304/F304,"")</f>
        <v/>
      </c>
      <c r="L304" s="16">
        <f>IF(AND(G304&gt;0,H304&gt;0),G304/H304,"")</f>
        <v/>
      </c>
    </row>
    <row r="305">
      <c r="A305" s="4" t="inlineStr">
        <is>
          <t>340</t>
        </is>
      </c>
      <c r="B305" s="4" t="n">
        <v>3</v>
      </c>
      <c r="C305" s="4" t="inlineStr">
        <is>
          <t>antelope</t>
        </is>
      </c>
      <c r="D305" s="4" t="n">
        <v>2008</v>
      </c>
      <c r="E305" s="15" t="inlineStr">
        <is>
          <t>Draw</t>
        </is>
      </c>
      <c r="F305" s="5" t="n">
        <v>121</v>
      </c>
      <c r="G305" s="5" t="n">
        <v>415</v>
      </c>
      <c r="H305" s="5" t="n">
        <v>76</v>
      </c>
      <c r="I305" s="5" t="n">
        <v>50</v>
      </c>
      <c r="J305" s="5" t="n">
        <v>25</v>
      </c>
      <c r="K305" s="10">
        <f>IF(F305&gt;0,H305/F305,"")</f>
        <v/>
      </c>
      <c r="L305" s="16">
        <f>IF(AND(G305&gt;0,H305&gt;0),G305/H305,"")</f>
        <v/>
      </c>
    </row>
    <row r="306">
      <c r="A306" s="4" t="inlineStr">
        <is>
          <t>340</t>
        </is>
      </c>
      <c r="B306" s="4" t="n">
        <v>3</v>
      </c>
      <c r="C306" s="4" t="inlineStr">
        <is>
          <t>antelope</t>
        </is>
      </c>
      <c r="D306" s="4" t="n">
        <v>2009</v>
      </c>
      <c r="E306" s="15" t="inlineStr">
        <is>
          <t>Draw</t>
        </is>
      </c>
      <c r="F306" s="5" t="n">
        <v>132</v>
      </c>
      <c r="G306" s="5" t="n">
        <v>374</v>
      </c>
      <c r="H306" s="5" t="n">
        <v>79</v>
      </c>
      <c r="I306" s="5" t="n">
        <v>58</v>
      </c>
      <c r="J306" s="5" t="n">
        <v>20</v>
      </c>
      <c r="K306" s="10">
        <f>IF(F306&gt;0,H306/F306,"")</f>
        <v/>
      </c>
      <c r="L306" s="16">
        <f>IF(AND(G306&gt;0,H306&gt;0),G306/H306,"")</f>
        <v/>
      </c>
    </row>
    <row r="307">
      <c r="A307" s="4" t="inlineStr">
        <is>
          <t>340</t>
        </is>
      </c>
      <c r="B307" s="4" t="n">
        <v>3</v>
      </c>
      <c r="C307" s="4" t="inlineStr">
        <is>
          <t>antelope</t>
        </is>
      </c>
      <c r="D307" s="4" t="n">
        <v>2010</v>
      </c>
      <c r="E307" s="15" t="inlineStr">
        <is>
          <t>Draw</t>
        </is>
      </c>
      <c r="F307" s="5" t="n">
        <v>135</v>
      </c>
      <c r="G307" s="5" t="n">
        <v>586</v>
      </c>
      <c r="H307" s="5" t="n">
        <v>77</v>
      </c>
      <c r="I307" s="5" t="n">
        <v>46</v>
      </c>
      <c r="J307" s="5" t="n">
        <v>27</v>
      </c>
      <c r="K307" s="10">
        <f>IF(F307&gt;0,H307/F307,"")</f>
        <v/>
      </c>
      <c r="L307" s="16">
        <f>IF(AND(G307&gt;0,H307&gt;0),G307/H307,"")</f>
        <v/>
      </c>
    </row>
    <row r="308">
      <c r="A308" s="4" t="inlineStr">
        <is>
          <t>340</t>
        </is>
      </c>
      <c r="B308" s="4" t="n">
        <v>3</v>
      </c>
      <c r="C308" s="4" t="inlineStr">
        <is>
          <t>antelope</t>
        </is>
      </c>
      <c r="D308" s="4" t="n">
        <v>2011</v>
      </c>
      <c r="E308" s="15" t="inlineStr">
        <is>
          <t>Draw</t>
        </is>
      </c>
      <c r="F308" s="5" t="n">
        <v>130</v>
      </c>
      <c r="G308" s="5" t="n">
        <v>520</v>
      </c>
      <c r="H308" s="5" t="n">
        <v>80</v>
      </c>
      <c r="I308" s="5" t="n">
        <v>56</v>
      </c>
      <c r="J308" s="5" t="n">
        <v>23</v>
      </c>
      <c r="K308" s="10">
        <f>IF(F308&gt;0,H308/F308,"")</f>
        <v/>
      </c>
      <c r="L308" s="16">
        <f>IF(AND(G308&gt;0,H308&gt;0),G308/H308,"")</f>
        <v/>
      </c>
    </row>
    <row r="309">
      <c r="A309" s="4" t="inlineStr">
        <is>
          <t>340</t>
        </is>
      </c>
      <c r="B309" s="4" t="n">
        <v>3</v>
      </c>
      <c r="C309" s="4" t="inlineStr">
        <is>
          <t>antelope</t>
        </is>
      </c>
      <c r="D309" s="4" t="n">
        <v>2012</v>
      </c>
      <c r="E309" s="15" t="inlineStr">
        <is>
          <t>Draw</t>
        </is>
      </c>
      <c r="F309" s="5" t="n">
        <v>141</v>
      </c>
      <c r="G309" s="5" t="n">
        <v>430</v>
      </c>
      <c r="H309" s="5" t="n">
        <v>81</v>
      </c>
      <c r="I309" s="5" t="n">
        <v>53</v>
      </c>
      <c r="J309" s="5" t="n">
        <v>24</v>
      </c>
      <c r="K309" s="10">
        <f>IF(F309&gt;0,H309/F309,"")</f>
        <v/>
      </c>
      <c r="L309" s="16">
        <f>IF(AND(G309&gt;0,H309&gt;0),G309/H309,"")</f>
        <v/>
      </c>
    </row>
    <row r="310">
      <c r="A310" s="4" t="inlineStr">
        <is>
          <t>340</t>
        </is>
      </c>
      <c r="B310" s="4" t="n">
        <v>3</v>
      </c>
      <c r="C310" s="4" t="inlineStr">
        <is>
          <t>antelope</t>
        </is>
      </c>
      <c r="D310" s="4" t="n">
        <v>2013</v>
      </c>
      <c r="E310" s="15" t="inlineStr">
        <is>
          <t>Draw</t>
        </is>
      </c>
      <c r="F310" s="5" t="n"/>
      <c r="G310" s="5" t="n"/>
      <c r="H310" s="5" t="n">
        <v>78</v>
      </c>
      <c r="I310" s="5" t="n">
        <v>51</v>
      </c>
      <c r="J310" s="5" t="n">
        <v>25</v>
      </c>
      <c r="K310" s="10">
        <f>IF(F310&gt;0,H310/F310,"")</f>
        <v/>
      </c>
      <c r="L310" s="16">
        <f>IF(AND(G310&gt;0,H310&gt;0),G310/H310,"")</f>
        <v/>
      </c>
    </row>
    <row r="311">
      <c r="A311" s="4" t="inlineStr">
        <is>
          <t>340</t>
        </is>
      </c>
      <c r="B311" s="4" t="n">
        <v>3</v>
      </c>
      <c r="C311" s="4" t="inlineStr">
        <is>
          <t>antelope</t>
        </is>
      </c>
      <c r="D311" s="4" t="n">
        <v>2014</v>
      </c>
      <c r="E311" s="15" t="inlineStr">
        <is>
          <t>Draw</t>
        </is>
      </c>
      <c r="F311" s="5" t="n">
        <v>188</v>
      </c>
      <c r="G311" s="5" t="n">
        <v>637</v>
      </c>
      <c r="H311" s="5" t="n">
        <v>122</v>
      </c>
      <c r="I311" s="5" t="n">
        <v>74</v>
      </c>
      <c r="J311" s="5" t="n">
        <v>45</v>
      </c>
      <c r="K311" s="10">
        <f>IF(F311&gt;0,H311/F311,"")</f>
        <v/>
      </c>
      <c r="L311" s="16">
        <f>IF(AND(G311&gt;0,H311&gt;0),G311/H311,"")</f>
        <v/>
      </c>
    </row>
    <row r="312">
      <c r="A312" s="4" t="inlineStr">
        <is>
          <t>340</t>
        </is>
      </c>
      <c r="B312" s="4" t="n">
        <v>3</v>
      </c>
      <c r="C312" s="4" t="inlineStr">
        <is>
          <t>antelope</t>
        </is>
      </c>
      <c r="D312" s="4" t="n">
        <v>2015</v>
      </c>
      <c r="E312" s="15" t="inlineStr">
        <is>
          <t>Draw</t>
        </is>
      </c>
      <c r="F312" s="5" t="n">
        <v>168</v>
      </c>
      <c r="G312" s="5" t="n">
        <v>740</v>
      </c>
      <c r="H312" s="5" t="n">
        <v>104</v>
      </c>
      <c r="I312" s="5" t="n">
        <v>71</v>
      </c>
      <c r="J312" s="5" t="n">
        <v>31</v>
      </c>
      <c r="K312" s="10">
        <f>IF(F312&gt;0,H312/F312,"")</f>
        <v/>
      </c>
      <c r="L312" s="16">
        <f>IF(AND(G312&gt;0,H312&gt;0),G312/H312,"")</f>
        <v/>
      </c>
    </row>
    <row r="313">
      <c r="A313" s="4" t="inlineStr">
        <is>
          <t>340</t>
        </is>
      </c>
      <c r="B313" s="4" t="n">
        <v>3</v>
      </c>
      <c r="C313" s="4" t="inlineStr">
        <is>
          <t>antelope</t>
        </is>
      </c>
      <c r="D313" s="4" t="n">
        <v>2016</v>
      </c>
      <c r="E313" s="15" t="inlineStr">
        <is>
          <t>Draw</t>
        </is>
      </c>
      <c r="F313" s="5" t="n"/>
      <c r="G313" s="5" t="n"/>
      <c r="H313" s="5" t="n">
        <v>108</v>
      </c>
      <c r="I313" s="5" t="n">
        <v>55</v>
      </c>
      <c r="J313" s="5" t="n">
        <v>51</v>
      </c>
      <c r="K313" s="10">
        <f>IF(F313&gt;0,H313/F313,"")</f>
        <v/>
      </c>
      <c r="L313" s="16">
        <f>IF(AND(G313&gt;0,H313&gt;0),G313/H313,"")</f>
        <v/>
      </c>
    </row>
    <row r="314">
      <c r="A314" s="4" t="inlineStr">
        <is>
          <t>340</t>
        </is>
      </c>
      <c r="B314" s="4" t="n">
        <v>3</v>
      </c>
      <c r="C314" s="4" t="inlineStr">
        <is>
          <t>antelope</t>
        </is>
      </c>
      <c r="D314" s="4" t="n">
        <v>2017</v>
      </c>
      <c r="E314" s="15" t="inlineStr">
        <is>
          <t>Draw</t>
        </is>
      </c>
      <c r="F314" s="5" t="n"/>
      <c r="G314" s="5" t="n"/>
      <c r="H314" s="5" t="n">
        <v>154</v>
      </c>
      <c r="I314" s="5" t="n">
        <v>89</v>
      </c>
      <c r="J314" s="5" t="n">
        <v>63</v>
      </c>
      <c r="K314" s="10">
        <f>IF(F314&gt;0,H314/F314,"")</f>
        <v/>
      </c>
      <c r="L314" s="16">
        <f>IF(AND(G314&gt;0,H314&gt;0),G314/H314,"")</f>
        <v/>
      </c>
    </row>
    <row r="315">
      <c r="A315" s="4" t="inlineStr">
        <is>
          <t>340</t>
        </is>
      </c>
      <c r="B315" s="4" t="n">
        <v>3</v>
      </c>
      <c r="C315" s="4" t="inlineStr">
        <is>
          <t>antelope</t>
        </is>
      </c>
      <c r="D315" s="4" t="n">
        <v>2018</v>
      </c>
      <c r="E315" s="15" t="inlineStr">
        <is>
          <t>Draw</t>
        </is>
      </c>
      <c r="F315" s="5" t="n">
        <v>122</v>
      </c>
      <c r="G315" s="5" t="n">
        <v>1100</v>
      </c>
      <c r="H315" s="5" t="n">
        <v>116</v>
      </c>
      <c r="I315" s="5" t="n">
        <v>66</v>
      </c>
      <c r="J315" s="5" t="n">
        <v>50</v>
      </c>
      <c r="K315" s="10">
        <f>IF(F315&gt;0,H315/F315,"")</f>
        <v/>
      </c>
      <c r="L315" s="16">
        <f>IF(AND(G315&gt;0,H315&gt;0),G315/H315,"")</f>
        <v/>
      </c>
    </row>
    <row r="316">
      <c r="A316" s="4" t="inlineStr">
        <is>
          <t>340</t>
        </is>
      </c>
      <c r="B316" s="4" t="n">
        <v>3</v>
      </c>
      <c r="C316" s="4" t="inlineStr">
        <is>
          <t>antelope</t>
        </is>
      </c>
      <c r="D316" s="4" t="n">
        <v>2019</v>
      </c>
      <c r="E316" s="15" t="inlineStr">
        <is>
          <t>Draw</t>
        </is>
      </c>
      <c r="F316" s="5" t="n"/>
      <c r="G316" s="5" t="n"/>
      <c r="H316" s="5" t="n">
        <v>83</v>
      </c>
      <c r="I316" s="5" t="n">
        <v>56</v>
      </c>
      <c r="J316" s="5" t="n">
        <v>25</v>
      </c>
      <c r="K316" s="10">
        <f>IF(F316&gt;0,H316/F316,"")</f>
        <v/>
      </c>
      <c r="L316" s="16">
        <f>IF(AND(G316&gt;0,H316&gt;0),G316/H316,"")</f>
        <v/>
      </c>
    </row>
    <row r="317">
      <c r="A317" s="4" t="inlineStr">
        <is>
          <t>340</t>
        </is>
      </c>
      <c r="B317" s="4" t="n">
        <v>3</v>
      </c>
      <c r="C317" s="4" t="inlineStr">
        <is>
          <t>antelope</t>
        </is>
      </c>
      <c r="D317" s="4" t="n">
        <v>2020</v>
      </c>
      <c r="E317" s="15" t="inlineStr">
        <is>
          <t>Draw</t>
        </is>
      </c>
      <c r="F317" s="5" t="n">
        <v>121</v>
      </c>
      <c r="G317" s="5" t="n">
        <v>603</v>
      </c>
      <c r="H317" s="5" t="n">
        <v>101</v>
      </c>
      <c r="I317" s="5" t="n">
        <v>50</v>
      </c>
      <c r="J317" s="5" t="n">
        <v>50</v>
      </c>
      <c r="K317" s="10">
        <f>IF(F317&gt;0,H317/F317,"")</f>
        <v/>
      </c>
      <c r="L317" s="16">
        <f>IF(AND(G317&gt;0,H317&gt;0),G317/H317,"")</f>
        <v/>
      </c>
    </row>
    <row r="318">
      <c r="A318" s="4" t="inlineStr">
        <is>
          <t>340</t>
        </is>
      </c>
      <c r="B318" s="4" t="n">
        <v>3</v>
      </c>
      <c r="C318" s="4" t="inlineStr">
        <is>
          <t>antelope</t>
        </is>
      </c>
      <c r="D318" s="4" t="n">
        <v>2021</v>
      </c>
      <c r="E318" s="15" t="inlineStr">
        <is>
          <t>Draw</t>
        </is>
      </c>
      <c r="F318" s="5" t="n"/>
      <c r="G318" s="5" t="n"/>
      <c r="H318" s="5" t="n">
        <v>92</v>
      </c>
      <c r="I318" s="5" t="n">
        <v>52</v>
      </c>
      <c r="J318" s="5" t="n">
        <v>40</v>
      </c>
      <c r="K318" s="10">
        <f>IF(F318&gt;0,H318/F318,"")</f>
        <v/>
      </c>
      <c r="L318" s="16">
        <f>IF(AND(G318&gt;0,H318&gt;0),G318/H318,"")</f>
        <v/>
      </c>
    </row>
    <row r="319">
      <c r="A319" s="4" t="inlineStr">
        <is>
          <t>340</t>
        </is>
      </c>
      <c r="B319" s="4" t="n">
        <v>3</v>
      </c>
      <c r="C319" s="4" t="inlineStr">
        <is>
          <t>antelope</t>
        </is>
      </c>
      <c r="D319" s="4" t="n">
        <v>2022</v>
      </c>
      <c r="E319" s="15" t="inlineStr">
        <is>
          <t>Draw</t>
        </is>
      </c>
      <c r="F319" s="5" t="n">
        <v>396</v>
      </c>
      <c r="G319" s="5" t="n">
        <v>1733</v>
      </c>
      <c r="H319" s="5" t="n">
        <v>252</v>
      </c>
      <c r="I319" s="5" t="n">
        <v>205</v>
      </c>
      <c r="J319" s="5" t="n">
        <v>48</v>
      </c>
      <c r="K319" s="10">
        <f>IF(F319&gt;0,H319/F319,"")</f>
        <v/>
      </c>
      <c r="L319" s="16">
        <f>IF(AND(G319&gt;0,H319&gt;0),G319/H319,"")</f>
        <v/>
      </c>
    </row>
    <row r="320">
      <c r="A320" s="4" t="inlineStr">
        <is>
          <t>340</t>
        </is>
      </c>
      <c r="B320" s="4" t="n">
        <v>3</v>
      </c>
      <c r="C320" s="4" t="inlineStr">
        <is>
          <t>antelope</t>
        </is>
      </c>
      <c r="D320" s="4" t="n">
        <v>2023</v>
      </c>
      <c r="E320" s="15" t="inlineStr">
        <is>
          <t>Draw</t>
        </is>
      </c>
      <c r="F320" s="5" t="n"/>
      <c r="G320" s="5" t="n"/>
      <c r="H320" s="5" t="n">
        <v>247</v>
      </c>
      <c r="I320" s="5" t="n">
        <v>150</v>
      </c>
      <c r="J320" s="5" t="n">
        <v>92</v>
      </c>
      <c r="K320" s="10">
        <f>IF(F320&gt;0,H320/F320,"")</f>
        <v/>
      </c>
      <c r="L320" s="16">
        <f>IF(AND(G320&gt;0,H320&gt;0),G320/H320,"")</f>
        <v/>
      </c>
    </row>
    <row r="321">
      <c r="A321" s="4" t="inlineStr">
        <is>
          <t>340</t>
        </is>
      </c>
      <c r="B321" s="4" t="n">
        <v>3</v>
      </c>
      <c r="C321" s="4" t="inlineStr">
        <is>
          <t>antelope</t>
        </is>
      </c>
      <c r="D321" s="4" t="n">
        <v>2024</v>
      </c>
      <c r="E321" s="15" t="inlineStr">
        <is>
          <t>Draw</t>
        </is>
      </c>
      <c r="F321" s="5" t="n">
        <v>417</v>
      </c>
      <c r="G321" s="5" t="n">
        <v>1998</v>
      </c>
      <c r="H321" s="5" t="n">
        <v>335</v>
      </c>
      <c r="I321" s="5" t="n">
        <v>174</v>
      </c>
      <c r="J321" s="5" t="n">
        <v>152</v>
      </c>
      <c r="K321" s="10">
        <f>IF(F321&gt;0,H321/F321,"")</f>
        <v/>
      </c>
      <c r="L321" s="16">
        <f>IF(AND(G321&gt;0,H321&gt;0),G321/H321,"")</f>
        <v/>
      </c>
    </row>
    <row r="322">
      <c r="A322" s="4" t="inlineStr">
        <is>
          <t>340</t>
        </is>
      </c>
      <c r="B322" s="4" t="n">
        <v>3</v>
      </c>
      <c r="C322" s="4" t="inlineStr">
        <is>
          <t>antelope</t>
        </is>
      </c>
      <c r="D322" s="4" t="n">
        <v>2025</v>
      </c>
      <c r="E322" s="15" t="inlineStr">
        <is>
          <t>Draw</t>
        </is>
      </c>
      <c r="F322" s="5" t="n"/>
      <c r="G322" s="5" t="n"/>
      <c r="H322" s="5" t="n">
        <v>320</v>
      </c>
      <c r="I322" s="5" t="n">
        <v>179</v>
      </c>
      <c r="J322" s="5" t="n">
        <v>137</v>
      </c>
      <c r="K322" s="10">
        <f>IF(F322&gt;0,H322/F322,"")</f>
        <v/>
      </c>
      <c r="L322" s="16">
        <f>IF(AND(G322&gt;0,H322&gt;0),G322/H322,"")</f>
        <v/>
      </c>
    </row>
    <row r="323">
      <c r="A323" s="4" t="inlineStr">
        <is>
          <t>341</t>
        </is>
      </c>
      <c r="B323" s="4" t="n">
        <v>3</v>
      </c>
      <c r="C323" s="4" t="inlineStr">
        <is>
          <t>antelope</t>
        </is>
      </c>
      <c r="D323" s="4" t="n">
        <v>2004</v>
      </c>
      <c r="E323" s="4" t="inlineStr"/>
      <c r="F323" s="5" t="n">
        <v>174</v>
      </c>
      <c r="G323" s="5" t="n">
        <v>622</v>
      </c>
      <c r="H323" s="5" t="n">
        <v>87</v>
      </c>
      <c r="I323" s="5" t="n">
        <v>70</v>
      </c>
      <c r="J323" s="5" t="n">
        <v>16</v>
      </c>
      <c r="K323" s="10">
        <f>IF(F323&gt;0,H323/F323,"")</f>
        <v/>
      </c>
      <c r="L323" s="16">
        <f>IF(AND(G323&gt;0,H323&gt;0),G323/H323,"")</f>
        <v/>
      </c>
    </row>
    <row r="324">
      <c r="A324" s="4" t="inlineStr">
        <is>
          <t>341</t>
        </is>
      </c>
      <c r="B324" s="4" t="n">
        <v>3</v>
      </c>
      <c r="C324" s="4" t="inlineStr">
        <is>
          <t>antelope</t>
        </is>
      </c>
      <c r="D324" s="4" t="n">
        <v>2005</v>
      </c>
      <c r="E324" s="4" t="inlineStr"/>
      <c r="F324" s="5" t="n">
        <v>207</v>
      </c>
      <c r="G324" s="5" t="n">
        <v>705</v>
      </c>
      <c r="H324" s="5" t="n">
        <v>91</v>
      </c>
      <c r="I324" s="5" t="n">
        <v>79</v>
      </c>
      <c r="J324" s="5" t="n">
        <v>12</v>
      </c>
      <c r="K324" s="10">
        <f>IF(F324&gt;0,H324/F324,"")</f>
        <v/>
      </c>
      <c r="L324" s="16">
        <f>IF(AND(G324&gt;0,H324&gt;0),G324/H324,"")</f>
        <v/>
      </c>
    </row>
    <row r="325">
      <c r="A325" s="4" t="inlineStr">
        <is>
          <t>341</t>
        </is>
      </c>
      <c r="B325" s="4" t="n">
        <v>3</v>
      </c>
      <c r="C325" s="4" t="inlineStr">
        <is>
          <t>antelope</t>
        </is>
      </c>
      <c r="D325" s="4" t="n">
        <v>2006</v>
      </c>
      <c r="E325" s="4" t="inlineStr"/>
      <c r="F325" s="5" t="n">
        <v>220</v>
      </c>
      <c r="G325" s="5" t="n">
        <v>644</v>
      </c>
      <c r="H325" s="5" t="n">
        <v>114</v>
      </c>
      <c r="I325" s="5" t="n">
        <v>99</v>
      </c>
      <c r="J325" s="5" t="n">
        <v>15</v>
      </c>
      <c r="K325" s="10">
        <f>IF(F325&gt;0,H325/F325,"")</f>
        <v/>
      </c>
      <c r="L325" s="16">
        <f>IF(AND(G325&gt;0,H325&gt;0),G325/H325,"")</f>
        <v/>
      </c>
    </row>
    <row r="326">
      <c r="A326" s="4" t="inlineStr">
        <is>
          <t>341</t>
        </is>
      </c>
      <c r="B326" s="4" t="n">
        <v>3</v>
      </c>
      <c r="C326" s="4" t="inlineStr">
        <is>
          <t>antelope</t>
        </is>
      </c>
      <c r="D326" s="4" t="n">
        <v>2007</v>
      </c>
      <c r="E326" s="4" t="inlineStr"/>
      <c r="F326" s="5" t="n">
        <v>225</v>
      </c>
      <c r="G326" s="5" t="n">
        <v>770</v>
      </c>
      <c r="H326" s="5" t="n">
        <v>167</v>
      </c>
      <c r="I326" s="5" t="n">
        <v>126</v>
      </c>
      <c r="J326" s="5" t="n">
        <v>41</v>
      </c>
      <c r="K326" s="10">
        <f>IF(F326&gt;0,H326/F326,"")</f>
        <v/>
      </c>
      <c r="L326" s="16">
        <f>IF(AND(G326&gt;0,H326&gt;0),G326/H326,"")</f>
        <v/>
      </c>
    </row>
    <row r="327">
      <c r="A327" s="4" t="inlineStr">
        <is>
          <t>341</t>
        </is>
      </c>
      <c r="B327" s="4" t="n">
        <v>3</v>
      </c>
      <c r="C327" s="4" t="inlineStr">
        <is>
          <t>antelope</t>
        </is>
      </c>
      <c r="D327" s="4" t="n">
        <v>2008</v>
      </c>
      <c r="E327" s="4" t="inlineStr"/>
      <c r="F327" s="5" t="n">
        <v>213</v>
      </c>
      <c r="G327" s="5" t="n">
        <v>847</v>
      </c>
      <c r="H327" s="5" t="n">
        <v>170</v>
      </c>
      <c r="I327" s="5" t="n">
        <v>106</v>
      </c>
      <c r="J327" s="5" t="n">
        <v>62</v>
      </c>
      <c r="K327" s="10">
        <f>IF(F327&gt;0,H327/F327,"")</f>
        <v/>
      </c>
      <c r="L327" s="16">
        <f>IF(AND(G327&gt;0,H327&gt;0),G327/H327,"")</f>
        <v/>
      </c>
    </row>
    <row r="328">
      <c r="A328" s="4" t="inlineStr">
        <is>
          <t>341</t>
        </is>
      </c>
      <c r="B328" s="4" t="n">
        <v>3</v>
      </c>
      <c r="C328" s="4" t="inlineStr">
        <is>
          <t>antelope</t>
        </is>
      </c>
      <c r="D328" s="4" t="n">
        <v>2009</v>
      </c>
      <c r="E328" s="4" t="inlineStr"/>
      <c r="F328" s="5" t="n">
        <v>225</v>
      </c>
      <c r="G328" s="5" t="n">
        <v>817</v>
      </c>
      <c r="H328" s="5" t="n">
        <v>159</v>
      </c>
      <c r="I328" s="5" t="n">
        <v>102</v>
      </c>
      <c r="J328" s="5" t="n">
        <v>57</v>
      </c>
      <c r="K328" s="10">
        <f>IF(F328&gt;0,H328/F328,"")</f>
        <v/>
      </c>
      <c r="L328" s="16">
        <f>IF(AND(G328&gt;0,H328&gt;0),G328/H328,"")</f>
        <v/>
      </c>
    </row>
    <row r="329">
      <c r="A329" s="4" t="inlineStr">
        <is>
          <t>341</t>
        </is>
      </c>
      <c r="B329" s="4" t="n">
        <v>3</v>
      </c>
      <c r="C329" s="4" t="inlineStr">
        <is>
          <t>antelope</t>
        </is>
      </c>
      <c r="D329" s="4" t="n">
        <v>2010</v>
      </c>
      <c r="E329" s="4" t="inlineStr"/>
      <c r="F329" s="5" t="n">
        <v>277</v>
      </c>
      <c r="G329" s="5" t="n">
        <v>1050</v>
      </c>
      <c r="H329" s="5" t="n">
        <v>201</v>
      </c>
      <c r="I329" s="5" t="n">
        <v>130</v>
      </c>
      <c r="J329" s="5" t="n">
        <v>71</v>
      </c>
      <c r="K329" s="10">
        <f>IF(F329&gt;0,H329/F329,"")</f>
        <v/>
      </c>
      <c r="L329" s="16">
        <f>IF(AND(G329&gt;0,H329&gt;0),G329/H329,"")</f>
        <v/>
      </c>
    </row>
    <row r="330">
      <c r="A330" s="4" t="inlineStr">
        <is>
          <t>341</t>
        </is>
      </c>
      <c r="B330" s="4" t="n">
        <v>3</v>
      </c>
      <c r="C330" s="4" t="inlineStr">
        <is>
          <t>antelope</t>
        </is>
      </c>
      <c r="D330" s="4" t="n">
        <v>2011</v>
      </c>
      <c r="E330" s="4" t="inlineStr"/>
      <c r="F330" s="5" t="n">
        <v>269</v>
      </c>
      <c r="G330" s="5" t="n">
        <v>1041</v>
      </c>
      <c r="H330" s="5" t="n">
        <v>178</v>
      </c>
      <c r="I330" s="5" t="n">
        <v>99</v>
      </c>
      <c r="J330" s="5" t="n">
        <v>78</v>
      </c>
      <c r="K330" s="10">
        <f>IF(F330&gt;0,H330/F330,"")</f>
        <v/>
      </c>
      <c r="L330" s="16">
        <f>IF(AND(G330&gt;0,H330&gt;0),G330/H330,"")</f>
        <v/>
      </c>
    </row>
    <row r="331">
      <c r="A331" s="4" t="inlineStr">
        <is>
          <t>341</t>
        </is>
      </c>
      <c r="B331" s="4" t="n">
        <v>3</v>
      </c>
      <c r="C331" s="4" t="inlineStr">
        <is>
          <t>antelope</t>
        </is>
      </c>
      <c r="D331" s="4" t="n">
        <v>2012</v>
      </c>
      <c r="E331" s="4" t="inlineStr"/>
      <c r="F331" s="5" t="n">
        <v>293</v>
      </c>
      <c r="G331" s="5" t="n">
        <v>1037</v>
      </c>
      <c r="H331" s="5" t="n">
        <v>182</v>
      </c>
      <c r="I331" s="5" t="n">
        <v>125</v>
      </c>
      <c r="J331" s="5" t="n">
        <v>55</v>
      </c>
      <c r="K331" s="10">
        <f>IF(F331&gt;0,H331/F331,"")</f>
        <v/>
      </c>
      <c r="L331" s="16">
        <f>IF(AND(G331&gt;0,H331&gt;0),G331/H331,"")</f>
        <v/>
      </c>
    </row>
    <row r="332">
      <c r="A332" s="4" t="inlineStr">
        <is>
          <t>341</t>
        </is>
      </c>
      <c r="B332" s="4" t="n">
        <v>3</v>
      </c>
      <c r="C332" s="4" t="inlineStr">
        <is>
          <t>antelope</t>
        </is>
      </c>
      <c r="D332" s="4" t="n">
        <v>2013</v>
      </c>
      <c r="E332" s="4" t="inlineStr"/>
      <c r="F332" s="5" t="n"/>
      <c r="G332" s="5" t="n"/>
      <c r="H332" s="5" t="n">
        <v>174</v>
      </c>
      <c r="I332" s="5" t="n">
        <v>119</v>
      </c>
      <c r="J332" s="5" t="n">
        <v>55</v>
      </c>
      <c r="K332" s="10">
        <f>IF(F332&gt;0,H332/F332,"")</f>
        <v/>
      </c>
      <c r="L332" s="16">
        <f>IF(AND(G332&gt;0,H332&gt;0),G332/H332,"")</f>
        <v/>
      </c>
    </row>
    <row r="333">
      <c r="A333" s="4" t="inlineStr">
        <is>
          <t>341</t>
        </is>
      </c>
      <c r="B333" s="4" t="n">
        <v>3</v>
      </c>
      <c r="C333" s="4" t="inlineStr">
        <is>
          <t>antelope</t>
        </is>
      </c>
      <c r="D333" s="4" t="n">
        <v>2014</v>
      </c>
      <c r="E333" s="4" t="inlineStr"/>
      <c r="F333" s="5" t="n">
        <v>202</v>
      </c>
      <c r="G333" s="5" t="n">
        <v>798</v>
      </c>
      <c r="H333" s="5" t="n">
        <v>143</v>
      </c>
      <c r="I333" s="5" t="n">
        <v>74</v>
      </c>
      <c r="J333" s="5" t="n">
        <v>62</v>
      </c>
      <c r="K333" s="10">
        <f>IF(F333&gt;0,H333/F333,"")</f>
        <v/>
      </c>
      <c r="L333" s="16">
        <f>IF(AND(G333&gt;0,H333&gt;0),G333/H333,"")</f>
        <v/>
      </c>
    </row>
    <row r="334">
      <c r="A334" s="4" t="inlineStr">
        <is>
          <t>341</t>
        </is>
      </c>
      <c r="B334" s="4" t="n">
        <v>3</v>
      </c>
      <c r="C334" s="4" t="inlineStr">
        <is>
          <t>antelope</t>
        </is>
      </c>
      <c r="D334" s="4" t="n">
        <v>2015</v>
      </c>
      <c r="E334" s="4" t="inlineStr"/>
      <c r="F334" s="5" t="n">
        <v>252</v>
      </c>
      <c r="G334" s="5" t="n">
        <v>913</v>
      </c>
      <c r="H334" s="5" t="n">
        <v>173</v>
      </c>
      <c r="I334" s="5" t="n">
        <v>114</v>
      </c>
      <c r="J334" s="5" t="n">
        <v>55</v>
      </c>
      <c r="K334" s="10">
        <f>IF(F334&gt;0,H334/F334,"")</f>
        <v/>
      </c>
      <c r="L334" s="16">
        <f>IF(AND(G334&gt;0,H334&gt;0),G334/H334,"")</f>
        <v/>
      </c>
    </row>
    <row r="335">
      <c r="A335" s="4" t="inlineStr">
        <is>
          <t>341</t>
        </is>
      </c>
      <c r="B335" s="4" t="n">
        <v>3</v>
      </c>
      <c r="C335" s="4" t="inlineStr">
        <is>
          <t>antelope</t>
        </is>
      </c>
      <c r="D335" s="4" t="n">
        <v>2016</v>
      </c>
      <c r="E335" s="4" t="inlineStr"/>
      <c r="F335" s="5" t="n"/>
      <c r="G335" s="5" t="n"/>
      <c r="H335" s="5" t="n">
        <v>287</v>
      </c>
      <c r="I335" s="5" t="n">
        <v>185</v>
      </c>
      <c r="J335" s="5" t="n">
        <v>93</v>
      </c>
      <c r="K335" s="10">
        <f>IF(F335&gt;0,H335/F335,"")</f>
        <v/>
      </c>
      <c r="L335" s="16">
        <f>IF(AND(G335&gt;0,H335&gt;0),G335/H335,"")</f>
        <v/>
      </c>
    </row>
    <row r="336">
      <c r="A336" s="4" t="inlineStr">
        <is>
          <t>341</t>
        </is>
      </c>
      <c r="B336" s="4" t="n">
        <v>3</v>
      </c>
      <c r="C336" s="4" t="inlineStr">
        <is>
          <t>antelope</t>
        </is>
      </c>
      <c r="D336" s="4" t="n">
        <v>2017</v>
      </c>
      <c r="E336" s="4" t="inlineStr"/>
      <c r="F336" s="5" t="n"/>
      <c r="G336" s="5" t="n"/>
      <c r="H336" s="5" t="n">
        <v>289</v>
      </c>
      <c r="I336" s="5" t="n">
        <v>177</v>
      </c>
      <c r="J336" s="5" t="n">
        <v>105</v>
      </c>
      <c r="K336" s="10">
        <f>IF(F336&gt;0,H336/F336,"")</f>
        <v/>
      </c>
      <c r="L336" s="16">
        <f>IF(AND(G336&gt;0,H336&gt;0),G336/H336,"")</f>
        <v/>
      </c>
    </row>
    <row r="337">
      <c r="A337" s="4" t="inlineStr">
        <is>
          <t>341</t>
        </is>
      </c>
      <c r="B337" s="4" t="n">
        <v>3</v>
      </c>
      <c r="C337" s="4" t="inlineStr">
        <is>
          <t>antelope</t>
        </is>
      </c>
      <c r="D337" s="4" t="n">
        <v>2018</v>
      </c>
      <c r="E337" s="4" t="inlineStr"/>
      <c r="F337" s="5" t="n">
        <v>402</v>
      </c>
      <c r="G337" s="5" t="n">
        <v>2145</v>
      </c>
      <c r="H337" s="5" t="n">
        <v>262</v>
      </c>
      <c r="I337" s="5" t="n">
        <v>164</v>
      </c>
      <c r="J337" s="5" t="n">
        <v>95</v>
      </c>
      <c r="K337" s="10">
        <f>IF(F337&gt;0,H337/F337,"")</f>
        <v/>
      </c>
      <c r="L337" s="16">
        <f>IF(AND(G337&gt;0,H337&gt;0),G337/H337,"")</f>
        <v/>
      </c>
    </row>
    <row r="338">
      <c r="A338" s="4" t="inlineStr">
        <is>
          <t>341</t>
        </is>
      </c>
      <c r="B338" s="4" t="n">
        <v>3</v>
      </c>
      <c r="C338" s="4" t="inlineStr">
        <is>
          <t>antelope</t>
        </is>
      </c>
      <c r="D338" s="4" t="n">
        <v>2019</v>
      </c>
      <c r="E338" s="4" t="inlineStr"/>
      <c r="F338" s="5" t="n"/>
      <c r="G338" s="5" t="n"/>
      <c r="H338" s="5" t="n">
        <v>277</v>
      </c>
      <c r="I338" s="5" t="n">
        <v>175</v>
      </c>
      <c r="J338" s="5" t="n">
        <v>97</v>
      </c>
      <c r="K338" s="10">
        <f>IF(F338&gt;0,H338/F338,"")</f>
        <v/>
      </c>
      <c r="L338" s="16">
        <f>IF(AND(G338&gt;0,H338&gt;0),G338/H338,"")</f>
        <v/>
      </c>
    </row>
    <row r="339">
      <c r="A339" s="4" t="inlineStr">
        <is>
          <t>341</t>
        </is>
      </c>
      <c r="B339" s="4" t="n">
        <v>3</v>
      </c>
      <c r="C339" s="4" t="inlineStr">
        <is>
          <t>antelope</t>
        </is>
      </c>
      <c r="D339" s="4" t="n">
        <v>2020</v>
      </c>
      <c r="E339" s="4" t="inlineStr"/>
      <c r="F339" s="5" t="n">
        <v>282</v>
      </c>
      <c r="G339" s="5" t="n">
        <v>1204</v>
      </c>
      <c r="H339" s="5" t="n">
        <v>206</v>
      </c>
      <c r="I339" s="5" t="n">
        <v>131</v>
      </c>
      <c r="J339" s="5" t="n">
        <v>75</v>
      </c>
      <c r="K339" s="10">
        <f>IF(F339&gt;0,H339/F339,"")</f>
        <v/>
      </c>
      <c r="L339" s="16">
        <f>IF(AND(G339&gt;0,H339&gt;0),G339/H339,"")</f>
        <v/>
      </c>
    </row>
    <row r="340">
      <c r="A340" s="4" t="inlineStr">
        <is>
          <t>341</t>
        </is>
      </c>
      <c r="B340" s="4" t="n">
        <v>3</v>
      </c>
      <c r="C340" s="4" t="inlineStr">
        <is>
          <t>antelope</t>
        </is>
      </c>
      <c r="D340" s="4" t="n">
        <v>2021</v>
      </c>
      <c r="E340" s="4" t="inlineStr"/>
      <c r="F340" s="5" t="n"/>
      <c r="G340" s="5" t="n"/>
      <c r="H340" s="5" t="n">
        <v>200</v>
      </c>
      <c r="I340" s="5" t="n">
        <v>121</v>
      </c>
      <c r="J340" s="5" t="n">
        <v>76</v>
      </c>
      <c r="K340" s="10">
        <f>IF(F340&gt;0,H340/F340,"")</f>
        <v/>
      </c>
      <c r="L340" s="16">
        <f>IF(AND(G340&gt;0,H340&gt;0),G340/H340,"")</f>
        <v/>
      </c>
    </row>
    <row r="341">
      <c r="A341" s="4" t="inlineStr">
        <is>
          <t>350</t>
        </is>
      </c>
      <c r="B341" s="4" t="n">
        <v>3</v>
      </c>
      <c r="C341" s="4" t="inlineStr">
        <is>
          <t>antelope</t>
        </is>
      </c>
      <c r="D341" s="4" t="n">
        <v>2004</v>
      </c>
      <c r="E341" s="15" t="inlineStr">
        <is>
          <t>Draw</t>
        </is>
      </c>
      <c r="F341" s="5" t="n">
        <v>59</v>
      </c>
      <c r="G341" s="5" t="n">
        <v>232</v>
      </c>
      <c r="H341" s="5" t="n">
        <v>12</v>
      </c>
      <c r="I341" s="5" t="n">
        <v>10</v>
      </c>
      <c r="J341" s="5" t="n">
        <v>1</v>
      </c>
      <c r="K341" s="10">
        <f>IF(F341&gt;0,H341/F341,"")</f>
        <v/>
      </c>
      <c r="L341" s="16">
        <f>IF(AND(G341&gt;0,H341&gt;0),G341/H341,"")</f>
        <v/>
      </c>
    </row>
    <row r="342">
      <c r="A342" s="4" t="inlineStr">
        <is>
          <t>350</t>
        </is>
      </c>
      <c r="B342" s="4" t="n">
        <v>3</v>
      </c>
      <c r="C342" s="4" t="inlineStr">
        <is>
          <t>antelope</t>
        </is>
      </c>
      <c r="D342" s="4" t="n">
        <v>2005</v>
      </c>
      <c r="E342" s="15" t="inlineStr">
        <is>
          <t>Draw</t>
        </is>
      </c>
      <c r="F342" s="5" t="n">
        <v>69</v>
      </c>
      <c r="G342" s="5" t="n">
        <v>254</v>
      </c>
      <c r="H342" s="5" t="n">
        <v>24</v>
      </c>
      <c r="I342" s="5" t="n">
        <v>18</v>
      </c>
      <c r="J342" s="5" t="n">
        <v>6</v>
      </c>
      <c r="K342" s="10">
        <f>IF(F342&gt;0,H342/F342,"")</f>
        <v/>
      </c>
      <c r="L342" s="16">
        <f>IF(AND(G342&gt;0,H342&gt;0),G342/H342,"")</f>
        <v/>
      </c>
    </row>
    <row r="343">
      <c r="A343" s="4" t="inlineStr">
        <is>
          <t>350</t>
        </is>
      </c>
      <c r="B343" s="4" t="n">
        <v>3</v>
      </c>
      <c r="C343" s="4" t="inlineStr">
        <is>
          <t>antelope</t>
        </is>
      </c>
      <c r="D343" s="4" t="n">
        <v>2006</v>
      </c>
      <c r="E343" s="15" t="inlineStr">
        <is>
          <t>Draw</t>
        </is>
      </c>
      <c r="F343" s="5" t="n">
        <v>69</v>
      </c>
      <c r="G343" s="5" t="n">
        <v>209</v>
      </c>
      <c r="H343" s="5" t="n">
        <v>22</v>
      </c>
      <c r="I343" s="5" t="n">
        <v>11</v>
      </c>
      <c r="J343" s="5" t="n">
        <v>11</v>
      </c>
      <c r="K343" s="10">
        <f>IF(F343&gt;0,H343/F343,"")</f>
        <v/>
      </c>
      <c r="L343" s="16">
        <f>IF(AND(G343&gt;0,H343&gt;0),G343/H343,"")</f>
        <v/>
      </c>
    </row>
    <row r="344">
      <c r="A344" s="4" t="inlineStr">
        <is>
          <t>350</t>
        </is>
      </c>
      <c r="B344" s="4" t="n">
        <v>3</v>
      </c>
      <c r="C344" s="4" t="inlineStr">
        <is>
          <t>antelope</t>
        </is>
      </c>
      <c r="D344" s="4" t="n">
        <v>2007</v>
      </c>
      <c r="E344" s="15" t="inlineStr">
        <is>
          <t>Draw</t>
        </is>
      </c>
      <c r="F344" s="5" t="n">
        <v>60</v>
      </c>
      <c r="G344" s="5" t="n">
        <v>391</v>
      </c>
      <c r="H344" s="5" t="n">
        <v>26</v>
      </c>
      <c r="I344" s="5" t="n">
        <v>10</v>
      </c>
      <c r="J344" s="5" t="n">
        <v>14</v>
      </c>
      <c r="K344" s="10">
        <f>IF(F344&gt;0,H344/F344,"")</f>
        <v/>
      </c>
      <c r="L344" s="16">
        <f>IF(AND(G344&gt;0,H344&gt;0),G344/H344,"")</f>
        <v/>
      </c>
    </row>
    <row r="345">
      <c r="A345" s="4" t="inlineStr">
        <is>
          <t>350</t>
        </is>
      </c>
      <c r="B345" s="4" t="n">
        <v>3</v>
      </c>
      <c r="C345" s="4" t="inlineStr">
        <is>
          <t>antelope</t>
        </is>
      </c>
      <c r="D345" s="4" t="n">
        <v>2008</v>
      </c>
      <c r="E345" s="15" t="inlineStr">
        <is>
          <t>Draw</t>
        </is>
      </c>
      <c r="F345" s="5" t="n">
        <v>66</v>
      </c>
      <c r="G345" s="5" t="n">
        <v>251</v>
      </c>
      <c r="H345" s="5" t="n">
        <v>32</v>
      </c>
      <c r="I345" s="5" t="n">
        <v>22</v>
      </c>
      <c r="J345" s="5" t="n">
        <v>10</v>
      </c>
      <c r="K345" s="10">
        <f>IF(F345&gt;0,H345/F345,"")</f>
        <v/>
      </c>
      <c r="L345" s="16">
        <f>IF(AND(G345&gt;0,H345&gt;0),G345/H345,"")</f>
        <v/>
      </c>
    </row>
    <row r="346">
      <c r="A346" s="4" t="inlineStr">
        <is>
          <t>350</t>
        </is>
      </c>
      <c r="B346" s="4" t="n">
        <v>3</v>
      </c>
      <c r="C346" s="4" t="inlineStr">
        <is>
          <t>antelope</t>
        </is>
      </c>
      <c r="D346" s="4" t="n">
        <v>2009</v>
      </c>
      <c r="E346" s="15" t="inlineStr">
        <is>
          <t>Draw</t>
        </is>
      </c>
      <c r="F346" s="5" t="n">
        <v>67</v>
      </c>
      <c r="G346" s="5" t="n">
        <v>238</v>
      </c>
      <c r="H346" s="5" t="n">
        <v>28</v>
      </c>
      <c r="I346" s="5" t="n">
        <v>20</v>
      </c>
      <c r="J346" s="5" t="n">
        <v>8</v>
      </c>
      <c r="K346" s="10">
        <f>IF(F346&gt;0,H346/F346,"")</f>
        <v/>
      </c>
      <c r="L346" s="16">
        <f>IF(AND(G346&gt;0,H346&gt;0),G346/H346,"")</f>
        <v/>
      </c>
    </row>
    <row r="347">
      <c r="A347" s="4" t="inlineStr">
        <is>
          <t>350</t>
        </is>
      </c>
      <c r="B347" s="4" t="n">
        <v>3</v>
      </c>
      <c r="C347" s="4" t="inlineStr">
        <is>
          <t>antelope</t>
        </is>
      </c>
      <c r="D347" s="4" t="n">
        <v>2010</v>
      </c>
      <c r="E347" s="15" t="inlineStr">
        <is>
          <t>Draw</t>
        </is>
      </c>
      <c r="F347" s="5" t="n">
        <v>72</v>
      </c>
      <c r="G347" s="5" t="n">
        <v>361</v>
      </c>
      <c r="H347" s="5" t="n">
        <v>24</v>
      </c>
      <c r="I347" s="5" t="n">
        <v>18</v>
      </c>
      <c r="J347" s="5" t="n">
        <v>6</v>
      </c>
      <c r="K347" s="10">
        <f>IF(F347&gt;0,H347/F347,"")</f>
        <v/>
      </c>
      <c r="L347" s="16">
        <f>IF(AND(G347&gt;0,H347&gt;0),G347/H347,"")</f>
        <v/>
      </c>
    </row>
    <row r="348">
      <c r="A348" s="4" t="inlineStr">
        <is>
          <t>350</t>
        </is>
      </c>
      <c r="B348" s="4" t="n">
        <v>3</v>
      </c>
      <c r="C348" s="4" t="inlineStr">
        <is>
          <t>antelope</t>
        </is>
      </c>
      <c r="D348" s="4" t="n">
        <v>2011</v>
      </c>
      <c r="E348" s="15" t="inlineStr">
        <is>
          <t>Draw</t>
        </is>
      </c>
      <c r="F348" s="5" t="n">
        <v>67</v>
      </c>
      <c r="G348" s="5" t="n">
        <v>263</v>
      </c>
      <c r="H348" s="5" t="n">
        <v>36</v>
      </c>
      <c r="I348" s="5" t="n">
        <v>27</v>
      </c>
      <c r="J348" s="5" t="n">
        <v>9</v>
      </c>
      <c r="K348" s="10">
        <f>IF(F348&gt;0,H348/F348,"")</f>
        <v/>
      </c>
      <c r="L348" s="16">
        <f>IF(AND(G348&gt;0,H348&gt;0),G348/H348,"")</f>
        <v/>
      </c>
    </row>
    <row r="349">
      <c r="A349" s="4" t="inlineStr">
        <is>
          <t>350</t>
        </is>
      </c>
      <c r="B349" s="4" t="n">
        <v>3</v>
      </c>
      <c r="C349" s="4" t="inlineStr">
        <is>
          <t>antelope</t>
        </is>
      </c>
      <c r="D349" s="4" t="n">
        <v>2012</v>
      </c>
      <c r="E349" s="15" t="inlineStr">
        <is>
          <t>Draw</t>
        </is>
      </c>
      <c r="F349" s="5" t="n">
        <v>64</v>
      </c>
      <c r="G349" s="5" t="n">
        <v>334</v>
      </c>
      <c r="H349" s="5" t="n">
        <v>37</v>
      </c>
      <c r="I349" s="5" t="n">
        <v>28</v>
      </c>
      <c r="J349" s="5" t="n">
        <v>8</v>
      </c>
      <c r="K349" s="10">
        <f>IF(F349&gt;0,H349/F349,"")</f>
        <v/>
      </c>
      <c r="L349" s="16">
        <f>IF(AND(G349&gt;0,H349&gt;0),G349/H349,"")</f>
        <v/>
      </c>
    </row>
    <row r="350">
      <c r="A350" s="4" t="inlineStr">
        <is>
          <t>350</t>
        </is>
      </c>
      <c r="B350" s="4" t="n">
        <v>3</v>
      </c>
      <c r="C350" s="4" t="inlineStr">
        <is>
          <t>antelope</t>
        </is>
      </c>
      <c r="D350" s="4" t="n">
        <v>2013</v>
      </c>
      <c r="E350" s="15" t="inlineStr">
        <is>
          <t>Draw</t>
        </is>
      </c>
      <c r="F350" s="5" t="n"/>
      <c r="G350" s="5" t="n"/>
      <c r="H350" s="5" t="n">
        <v>32</v>
      </c>
      <c r="I350" s="5" t="n">
        <v>18</v>
      </c>
      <c r="J350" s="5" t="n">
        <v>15</v>
      </c>
      <c r="K350" s="10">
        <f>IF(F350&gt;0,H350/F350,"")</f>
        <v/>
      </c>
      <c r="L350" s="16">
        <f>IF(AND(G350&gt;0,H350&gt;0),G350/H350,"")</f>
        <v/>
      </c>
    </row>
    <row r="351">
      <c r="A351" s="4" t="inlineStr">
        <is>
          <t>350</t>
        </is>
      </c>
      <c r="B351" s="4" t="n">
        <v>3</v>
      </c>
      <c r="C351" s="4" t="inlineStr">
        <is>
          <t>antelope</t>
        </is>
      </c>
      <c r="D351" s="4" t="n">
        <v>2014</v>
      </c>
      <c r="E351" s="15" t="inlineStr">
        <is>
          <t>Draw</t>
        </is>
      </c>
      <c r="F351" s="5" t="n">
        <v>61</v>
      </c>
      <c r="G351" s="5" t="n">
        <v>251</v>
      </c>
      <c r="H351" s="5" t="n">
        <v>30</v>
      </c>
      <c r="I351" s="5" t="n">
        <v>19</v>
      </c>
      <c r="J351" s="5" t="n">
        <v>11</v>
      </c>
      <c r="K351" s="10">
        <f>IF(F351&gt;0,H351/F351,"")</f>
        <v/>
      </c>
      <c r="L351" s="16">
        <f>IF(AND(G351&gt;0,H351&gt;0),G351/H351,"")</f>
        <v/>
      </c>
    </row>
    <row r="352">
      <c r="A352" s="4" t="inlineStr">
        <is>
          <t>350</t>
        </is>
      </c>
      <c r="B352" s="4" t="n">
        <v>3</v>
      </c>
      <c r="C352" s="4" t="inlineStr">
        <is>
          <t>antelope</t>
        </is>
      </c>
      <c r="D352" s="4" t="n">
        <v>2015</v>
      </c>
      <c r="E352" s="15" t="inlineStr">
        <is>
          <t>Draw</t>
        </is>
      </c>
      <c r="F352" s="5" t="n">
        <v>105</v>
      </c>
      <c r="G352" s="5" t="n">
        <v>356</v>
      </c>
      <c r="H352" s="5" t="n">
        <v>52</v>
      </c>
      <c r="I352" s="5" t="n">
        <v>32</v>
      </c>
      <c r="J352" s="5" t="n">
        <v>18</v>
      </c>
      <c r="K352" s="10">
        <f>IF(F352&gt;0,H352/F352,"")</f>
        <v/>
      </c>
      <c r="L352" s="16">
        <f>IF(AND(G352&gt;0,H352&gt;0),G352/H352,"")</f>
        <v/>
      </c>
    </row>
    <row r="353">
      <c r="A353" s="4" t="inlineStr">
        <is>
          <t>350</t>
        </is>
      </c>
      <c r="B353" s="4" t="n">
        <v>3</v>
      </c>
      <c r="C353" s="4" t="inlineStr">
        <is>
          <t>antelope</t>
        </is>
      </c>
      <c r="D353" s="4" t="n">
        <v>2016</v>
      </c>
      <c r="E353" s="15" t="inlineStr">
        <is>
          <t>Draw</t>
        </is>
      </c>
      <c r="F353" s="5" t="n"/>
      <c r="G353" s="5" t="n"/>
      <c r="H353" s="5" t="n">
        <v>48</v>
      </c>
      <c r="I353" s="5" t="n">
        <v>28</v>
      </c>
      <c r="J353" s="5" t="n">
        <v>21</v>
      </c>
      <c r="K353" s="10">
        <f>IF(F353&gt;0,H353/F353,"")</f>
        <v/>
      </c>
      <c r="L353" s="16">
        <f>IF(AND(G353&gt;0,H353&gt;0),G353/H353,"")</f>
        <v/>
      </c>
    </row>
    <row r="354">
      <c r="A354" s="4" t="inlineStr">
        <is>
          <t>350</t>
        </is>
      </c>
      <c r="B354" s="4" t="n">
        <v>3</v>
      </c>
      <c r="C354" s="4" t="inlineStr">
        <is>
          <t>antelope</t>
        </is>
      </c>
      <c r="D354" s="4" t="n">
        <v>2017</v>
      </c>
      <c r="E354" s="15" t="inlineStr">
        <is>
          <t>Draw</t>
        </is>
      </c>
      <c r="F354" s="5" t="n"/>
      <c r="G354" s="5" t="n"/>
      <c r="H354" s="5" t="n">
        <v>44</v>
      </c>
      <c r="I354" s="5" t="n">
        <v>27</v>
      </c>
      <c r="J354" s="5" t="n">
        <v>17</v>
      </c>
      <c r="K354" s="10">
        <f>IF(F354&gt;0,H354/F354,"")</f>
        <v/>
      </c>
      <c r="L354" s="16">
        <f>IF(AND(G354&gt;0,H354&gt;0),G354/H354,"")</f>
        <v/>
      </c>
    </row>
    <row r="355">
      <c r="A355" s="4" t="inlineStr">
        <is>
          <t>350</t>
        </is>
      </c>
      <c r="B355" s="4" t="n">
        <v>3</v>
      </c>
      <c r="C355" s="4" t="inlineStr">
        <is>
          <t>antelope</t>
        </is>
      </c>
      <c r="D355" s="4" t="n">
        <v>2018</v>
      </c>
      <c r="E355" s="15" t="inlineStr">
        <is>
          <t>Draw</t>
        </is>
      </c>
      <c r="F355" s="5" t="n">
        <v>81</v>
      </c>
      <c r="G355" s="5" t="n">
        <v>409</v>
      </c>
      <c r="H355" s="5" t="n">
        <v>49</v>
      </c>
      <c r="I355" s="5" t="n">
        <v>25</v>
      </c>
      <c r="J355" s="5" t="n">
        <v>21</v>
      </c>
      <c r="K355" s="10">
        <f>IF(F355&gt;0,H355/F355,"")</f>
        <v/>
      </c>
      <c r="L355" s="16">
        <f>IF(AND(G355&gt;0,H355&gt;0),G355/H355,"")</f>
        <v/>
      </c>
    </row>
    <row r="356">
      <c r="A356" s="4" t="inlineStr">
        <is>
          <t>350</t>
        </is>
      </c>
      <c r="B356" s="4" t="n">
        <v>3</v>
      </c>
      <c r="C356" s="4" t="inlineStr">
        <is>
          <t>antelope</t>
        </is>
      </c>
      <c r="D356" s="4" t="n">
        <v>2019</v>
      </c>
      <c r="E356" s="15" t="inlineStr">
        <is>
          <t>Draw</t>
        </is>
      </c>
      <c r="F356" s="5" t="n"/>
      <c r="G356" s="5" t="n"/>
      <c r="H356" s="5" t="n">
        <v>42</v>
      </c>
      <c r="I356" s="5" t="n">
        <v>25</v>
      </c>
      <c r="J356" s="5" t="n">
        <v>17</v>
      </c>
      <c r="K356" s="10">
        <f>IF(F356&gt;0,H356/F356,"")</f>
        <v/>
      </c>
      <c r="L356" s="16">
        <f>IF(AND(G356&gt;0,H356&gt;0),G356/H356,"")</f>
        <v/>
      </c>
    </row>
    <row r="357">
      <c r="A357" s="4" t="inlineStr">
        <is>
          <t>350</t>
        </is>
      </c>
      <c r="B357" s="4" t="n">
        <v>3</v>
      </c>
      <c r="C357" s="4" t="inlineStr">
        <is>
          <t>antelope</t>
        </is>
      </c>
      <c r="D357" s="4" t="n">
        <v>2020</v>
      </c>
      <c r="E357" s="15" t="inlineStr">
        <is>
          <t>Draw</t>
        </is>
      </c>
      <c r="F357" s="5" t="n">
        <v>84</v>
      </c>
      <c r="G357" s="5" t="n">
        <v>296</v>
      </c>
      <c r="H357" s="5" t="n">
        <v>93</v>
      </c>
      <c r="I357" s="5" t="n">
        <v>47</v>
      </c>
      <c r="J357" s="5" t="n">
        <v>44</v>
      </c>
      <c r="K357" s="10">
        <f>IF(F357&gt;0,H357/F357,"")</f>
        <v/>
      </c>
      <c r="L357" s="16">
        <f>IF(AND(G357&gt;0,H357&gt;0),G357/H357,"")</f>
        <v/>
      </c>
    </row>
    <row r="358">
      <c r="A358" s="4" t="inlineStr">
        <is>
          <t>350</t>
        </is>
      </c>
      <c r="B358" s="4" t="n">
        <v>3</v>
      </c>
      <c r="C358" s="4" t="inlineStr">
        <is>
          <t>antelope</t>
        </is>
      </c>
      <c r="D358" s="4" t="n">
        <v>2021</v>
      </c>
      <c r="E358" s="15" t="inlineStr">
        <is>
          <t>Draw</t>
        </is>
      </c>
      <c r="F358" s="5" t="n"/>
      <c r="G358" s="5" t="n"/>
      <c r="H358" s="5" t="n">
        <v>59</v>
      </c>
      <c r="I358" s="5" t="n">
        <v>26</v>
      </c>
      <c r="J358" s="5" t="n">
        <v>29</v>
      </c>
      <c r="K358" s="10">
        <f>IF(F358&gt;0,H358/F358,"")</f>
        <v/>
      </c>
      <c r="L358" s="16">
        <f>IF(AND(G358&gt;0,H358&gt;0),G358/H358,"")</f>
        <v/>
      </c>
    </row>
    <row r="359">
      <c r="A359" s="4" t="inlineStr">
        <is>
          <t>350</t>
        </is>
      </c>
      <c r="B359" s="4" t="n">
        <v>3</v>
      </c>
      <c r="C359" s="4" t="inlineStr">
        <is>
          <t>antelope</t>
        </is>
      </c>
      <c r="D359" s="4" t="n">
        <v>2022</v>
      </c>
      <c r="E359" s="15" t="inlineStr">
        <is>
          <t>Draw</t>
        </is>
      </c>
      <c r="F359" s="5" t="n">
        <v>105</v>
      </c>
      <c r="G359" s="5" t="n">
        <v>691</v>
      </c>
      <c r="H359" s="5" t="n">
        <v>77</v>
      </c>
      <c r="I359" s="5" t="n">
        <v>41</v>
      </c>
      <c r="J359" s="5" t="n">
        <v>36</v>
      </c>
      <c r="K359" s="10">
        <f>IF(F359&gt;0,H359/F359,"")</f>
        <v/>
      </c>
      <c r="L359" s="16">
        <f>IF(AND(G359&gt;0,H359&gt;0),G359/H359,"")</f>
        <v/>
      </c>
    </row>
    <row r="360">
      <c r="A360" s="4" t="inlineStr">
        <is>
          <t>350</t>
        </is>
      </c>
      <c r="B360" s="4" t="n">
        <v>3</v>
      </c>
      <c r="C360" s="4" t="inlineStr">
        <is>
          <t>antelope</t>
        </is>
      </c>
      <c r="D360" s="4" t="n">
        <v>2023</v>
      </c>
      <c r="E360" s="15" t="inlineStr">
        <is>
          <t>Draw</t>
        </is>
      </c>
      <c r="F360" s="5" t="n"/>
      <c r="G360" s="5" t="n"/>
      <c r="H360" s="5" t="n">
        <v>70</v>
      </c>
      <c r="I360" s="5" t="n">
        <v>39</v>
      </c>
      <c r="J360" s="5" t="n">
        <v>32</v>
      </c>
      <c r="K360" s="10">
        <f>IF(F360&gt;0,H360/F360,"")</f>
        <v/>
      </c>
      <c r="L360" s="16">
        <f>IF(AND(G360&gt;0,H360&gt;0),G360/H360,"")</f>
        <v/>
      </c>
    </row>
    <row r="361">
      <c r="A361" s="4" t="inlineStr">
        <is>
          <t>350</t>
        </is>
      </c>
      <c r="B361" s="4" t="n">
        <v>3</v>
      </c>
      <c r="C361" s="4" t="inlineStr">
        <is>
          <t>antelope</t>
        </is>
      </c>
      <c r="D361" s="4" t="n">
        <v>2024</v>
      </c>
      <c r="E361" s="15" t="inlineStr">
        <is>
          <t>Draw</t>
        </is>
      </c>
      <c r="F361" s="5" t="n">
        <v>85</v>
      </c>
      <c r="G361" s="5" t="n">
        <v>420</v>
      </c>
      <c r="H361" s="5" t="n">
        <v>66</v>
      </c>
      <c r="I361" s="5" t="n">
        <v>33</v>
      </c>
      <c r="J361" s="5" t="n">
        <v>34</v>
      </c>
      <c r="K361" s="10">
        <f>IF(F361&gt;0,H361/F361,"")</f>
        <v/>
      </c>
      <c r="L361" s="16">
        <f>IF(AND(G361&gt;0,H361&gt;0),G361/H361,"")</f>
        <v/>
      </c>
    </row>
    <row r="362">
      <c r="A362" s="4" t="inlineStr">
        <is>
          <t>350</t>
        </is>
      </c>
      <c r="B362" s="4" t="n">
        <v>3</v>
      </c>
      <c r="C362" s="4" t="inlineStr">
        <is>
          <t>antelope</t>
        </is>
      </c>
      <c r="D362" s="4" t="n">
        <v>2025</v>
      </c>
      <c r="E362" s="15" t="inlineStr">
        <is>
          <t>Draw</t>
        </is>
      </c>
      <c r="F362" s="5" t="n"/>
      <c r="G362" s="5" t="n"/>
      <c r="H362" s="5" t="n">
        <v>107</v>
      </c>
      <c r="I362" s="5" t="n">
        <v>43</v>
      </c>
      <c r="J362" s="5" t="n">
        <v>64</v>
      </c>
      <c r="K362" s="10">
        <f>IF(F362&gt;0,H362/F362,"")</f>
        <v/>
      </c>
      <c r="L362" s="16">
        <f>IF(AND(G362&gt;0,H362&gt;0),G362/H362,"")</f>
        <v/>
      </c>
    </row>
    <row r="363">
      <c r="A363" s="4" t="inlineStr">
        <is>
          <t>360</t>
        </is>
      </c>
      <c r="B363" s="4" t="n">
        <v>3</v>
      </c>
      <c r="C363" s="4" t="inlineStr">
        <is>
          <t>antelope</t>
        </is>
      </c>
      <c r="D363" s="4" t="n">
        <v>2004</v>
      </c>
      <c r="E363" s="15" t="inlineStr">
        <is>
          <t>Draw</t>
        </is>
      </c>
      <c r="F363" s="5" t="n">
        <v>505</v>
      </c>
      <c r="G363" s="5" t="n">
        <v>1326</v>
      </c>
      <c r="H363" s="5" t="n">
        <v>305</v>
      </c>
      <c r="I363" s="5" t="n">
        <v>203</v>
      </c>
      <c r="J363" s="5" t="n">
        <v>89</v>
      </c>
      <c r="K363" s="10">
        <f>IF(F363&gt;0,H363/F363,"")</f>
        <v/>
      </c>
      <c r="L363" s="16">
        <f>IF(AND(G363&gt;0,H363&gt;0),G363/H363,"")</f>
        <v/>
      </c>
    </row>
    <row r="364">
      <c r="A364" s="4" t="inlineStr">
        <is>
          <t>360</t>
        </is>
      </c>
      <c r="B364" s="4" t="n">
        <v>3</v>
      </c>
      <c r="C364" s="4" t="inlineStr">
        <is>
          <t>antelope</t>
        </is>
      </c>
      <c r="D364" s="4" t="n">
        <v>2005</v>
      </c>
      <c r="E364" s="15" t="inlineStr">
        <is>
          <t>Draw</t>
        </is>
      </c>
      <c r="F364" s="5" t="n">
        <v>449</v>
      </c>
      <c r="G364" s="5" t="n">
        <v>1359</v>
      </c>
      <c r="H364" s="5" t="n">
        <v>360</v>
      </c>
      <c r="I364" s="5" t="n">
        <v>209</v>
      </c>
      <c r="J364" s="5" t="n">
        <v>144</v>
      </c>
      <c r="K364" s="10">
        <f>IF(F364&gt;0,H364/F364,"")</f>
        <v/>
      </c>
      <c r="L364" s="16">
        <f>IF(AND(G364&gt;0,H364&gt;0),G364/H364,"")</f>
        <v/>
      </c>
    </row>
    <row r="365">
      <c r="A365" s="4" t="inlineStr">
        <is>
          <t>360</t>
        </is>
      </c>
      <c r="B365" s="4" t="n">
        <v>3</v>
      </c>
      <c r="C365" s="4" t="inlineStr">
        <is>
          <t>antelope</t>
        </is>
      </c>
      <c r="D365" s="4" t="n">
        <v>2006</v>
      </c>
      <c r="E365" s="15" t="inlineStr">
        <is>
          <t>Draw</t>
        </is>
      </c>
      <c r="F365" s="5" t="n">
        <v>379</v>
      </c>
      <c r="G365" s="5" t="n">
        <v>1182</v>
      </c>
      <c r="H365" s="5" t="n">
        <v>359</v>
      </c>
      <c r="I365" s="5" t="n">
        <v>213</v>
      </c>
      <c r="J365" s="5" t="n">
        <v>133</v>
      </c>
      <c r="K365" s="10">
        <f>IF(F365&gt;0,H365/F365,"")</f>
        <v/>
      </c>
      <c r="L365" s="16">
        <f>IF(AND(G365&gt;0,H365&gt;0),G365/H365,"")</f>
        <v/>
      </c>
    </row>
    <row r="366">
      <c r="A366" s="4" t="inlineStr">
        <is>
          <t>360</t>
        </is>
      </c>
      <c r="B366" s="4" t="n">
        <v>3</v>
      </c>
      <c r="C366" s="4" t="inlineStr">
        <is>
          <t>antelope</t>
        </is>
      </c>
      <c r="D366" s="4" t="n">
        <v>2007</v>
      </c>
      <c r="E366" s="15" t="inlineStr">
        <is>
          <t>Draw</t>
        </is>
      </c>
      <c r="F366" s="5" t="n">
        <v>477</v>
      </c>
      <c r="G366" s="5" t="n">
        <v>1554</v>
      </c>
      <c r="H366" s="5" t="n">
        <v>476</v>
      </c>
      <c r="I366" s="5" t="n">
        <v>241</v>
      </c>
      <c r="J366" s="5" t="n">
        <v>234</v>
      </c>
      <c r="K366" s="10">
        <f>IF(F366&gt;0,H366/F366,"")</f>
        <v/>
      </c>
      <c r="L366" s="16">
        <f>IF(AND(G366&gt;0,H366&gt;0),G366/H366,"")</f>
        <v/>
      </c>
    </row>
    <row r="367">
      <c r="A367" s="4" t="inlineStr">
        <is>
          <t>360</t>
        </is>
      </c>
      <c r="B367" s="4" t="n">
        <v>3</v>
      </c>
      <c r="C367" s="4" t="inlineStr">
        <is>
          <t>antelope</t>
        </is>
      </c>
      <c r="D367" s="4" t="n">
        <v>2008</v>
      </c>
      <c r="E367" s="15" t="inlineStr">
        <is>
          <t>Draw</t>
        </is>
      </c>
      <c r="F367" s="5" t="n">
        <v>462</v>
      </c>
      <c r="G367" s="5" t="n">
        <v>1587</v>
      </c>
      <c r="H367" s="5" t="n">
        <v>444</v>
      </c>
      <c r="I367" s="5" t="n">
        <v>261</v>
      </c>
      <c r="J367" s="5" t="n">
        <v>174</v>
      </c>
      <c r="K367" s="10">
        <f>IF(F367&gt;0,H367/F367,"")</f>
        <v/>
      </c>
      <c r="L367" s="16">
        <f>IF(AND(G367&gt;0,H367&gt;0),G367/H367,"")</f>
        <v/>
      </c>
    </row>
    <row r="368">
      <c r="A368" s="4" t="inlineStr">
        <is>
          <t>360</t>
        </is>
      </c>
      <c r="B368" s="4" t="n">
        <v>3</v>
      </c>
      <c r="C368" s="4" t="inlineStr">
        <is>
          <t>antelope</t>
        </is>
      </c>
      <c r="D368" s="4" t="n">
        <v>2009</v>
      </c>
      <c r="E368" s="15" t="inlineStr">
        <is>
          <t>Draw</t>
        </is>
      </c>
      <c r="F368" s="5" t="n">
        <v>483</v>
      </c>
      <c r="G368" s="5" t="n">
        <v>1586</v>
      </c>
      <c r="H368" s="5" t="n">
        <v>412</v>
      </c>
      <c r="I368" s="5" t="n">
        <v>222</v>
      </c>
      <c r="J368" s="5" t="n">
        <v>177</v>
      </c>
      <c r="K368" s="10">
        <f>IF(F368&gt;0,H368/F368,"")</f>
        <v/>
      </c>
      <c r="L368" s="16">
        <f>IF(AND(G368&gt;0,H368&gt;0),G368/H368,"")</f>
        <v/>
      </c>
    </row>
    <row r="369">
      <c r="A369" s="4" t="inlineStr">
        <is>
          <t>360</t>
        </is>
      </c>
      <c r="B369" s="4" t="n">
        <v>3</v>
      </c>
      <c r="C369" s="4" t="inlineStr">
        <is>
          <t>antelope</t>
        </is>
      </c>
      <c r="D369" s="4" t="n">
        <v>2010</v>
      </c>
      <c r="E369" s="15" t="inlineStr">
        <is>
          <t>Draw</t>
        </is>
      </c>
      <c r="F369" s="5" t="n">
        <v>441</v>
      </c>
      <c r="G369" s="5" t="n">
        <v>1394</v>
      </c>
      <c r="H369" s="5" t="n">
        <v>469</v>
      </c>
      <c r="I369" s="5" t="n">
        <v>228</v>
      </c>
      <c r="J369" s="5" t="n">
        <v>231</v>
      </c>
      <c r="K369" s="10">
        <f>IF(F369&gt;0,H369/F369,"")</f>
        <v/>
      </c>
      <c r="L369" s="16">
        <f>IF(AND(G369&gt;0,H369&gt;0),G369/H369,"")</f>
        <v/>
      </c>
    </row>
    <row r="370">
      <c r="A370" s="4" t="inlineStr">
        <is>
          <t>360</t>
        </is>
      </c>
      <c r="B370" s="4" t="n">
        <v>3</v>
      </c>
      <c r="C370" s="4" t="inlineStr">
        <is>
          <t>antelope</t>
        </is>
      </c>
      <c r="D370" s="4" t="n">
        <v>2011</v>
      </c>
      <c r="E370" s="15" t="inlineStr">
        <is>
          <t>Draw</t>
        </is>
      </c>
      <c r="F370" s="5" t="n">
        <v>492</v>
      </c>
      <c r="G370" s="5" t="n">
        <v>1741</v>
      </c>
      <c r="H370" s="5" t="n">
        <v>412</v>
      </c>
      <c r="I370" s="5" t="n">
        <v>236</v>
      </c>
      <c r="J370" s="5" t="n">
        <v>167</v>
      </c>
      <c r="K370" s="10">
        <f>IF(F370&gt;0,H370/F370,"")</f>
        <v/>
      </c>
      <c r="L370" s="16">
        <f>IF(AND(G370&gt;0,H370&gt;0),G370/H370,"")</f>
        <v/>
      </c>
    </row>
    <row r="371">
      <c r="A371" s="4" t="inlineStr">
        <is>
          <t>360</t>
        </is>
      </c>
      <c r="B371" s="4" t="n">
        <v>3</v>
      </c>
      <c r="C371" s="4" t="inlineStr">
        <is>
          <t>antelope</t>
        </is>
      </c>
      <c r="D371" s="4" t="n">
        <v>2012</v>
      </c>
      <c r="E371" s="15" t="inlineStr">
        <is>
          <t>Draw</t>
        </is>
      </c>
      <c r="F371" s="5" t="n">
        <v>493</v>
      </c>
      <c r="G371" s="5" t="n">
        <v>2039</v>
      </c>
      <c r="H371" s="5" t="n">
        <v>390</v>
      </c>
      <c r="I371" s="5" t="n">
        <v>234</v>
      </c>
      <c r="J371" s="5" t="n">
        <v>150</v>
      </c>
      <c r="K371" s="10">
        <f>IF(F371&gt;0,H371/F371,"")</f>
        <v/>
      </c>
      <c r="L371" s="16">
        <f>IF(AND(G371&gt;0,H371&gt;0),G371/H371,"")</f>
        <v/>
      </c>
    </row>
    <row r="372">
      <c r="A372" s="4" t="inlineStr">
        <is>
          <t>360</t>
        </is>
      </c>
      <c r="B372" s="4" t="n">
        <v>3</v>
      </c>
      <c r="C372" s="4" t="inlineStr">
        <is>
          <t>antelope</t>
        </is>
      </c>
      <c r="D372" s="4" t="n">
        <v>2013</v>
      </c>
      <c r="E372" s="15" t="inlineStr">
        <is>
          <t>Draw</t>
        </is>
      </c>
      <c r="F372" s="5" t="n"/>
      <c r="G372" s="5" t="n"/>
      <c r="H372" s="5" t="n">
        <v>368</v>
      </c>
      <c r="I372" s="5" t="n">
        <v>186</v>
      </c>
      <c r="J372" s="5" t="n">
        <v>181</v>
      </c>
      <c r="K372" s="10">
        <f>IF(F372&gt;0,H372/F372,"")</f>
        <v/>
      </c>
      <c r="L372" s="16">
        <f>IF(AND(G372&gt;0,H372&gt;0),G372/H372,"")</f>
        <v/>
      </c>
    </row>
    <row r="373">
      <c r="A373" s="4" t="inlineStr">
        <is>
          <t>360</t>
        </is>
      </c>
      <c r="B373" s="4" t="n">
        <v>3</v>
      </c>
      <c r="C373" s="4" t="inlineStr">
        <is>
          <t>antelope</t>
        </is>
      </c>
      <c r="D373" s="4" t="n">
        <v>2014</v>
      </c>
      <c r="E373" s="15" t="inlineStr">
        <is>
          <t>Draw</t>
        </is>
      </c>
      <c r="F373" s="5" t="n">
        <v>476</v>
      </c>
      <c r="G373" s="5" t="n">
        <v>1491</v>
      </c>
      <c r="H373" s="5" t="n">
        <v>379</v>
      </c>
      <c r="I373" s="5" t="n">
        <v>203</v>
      </c>
      <c r="J373" s="5" t="n">
        <v>173</v>
      </c>
      <c r="K373" s="10">
        <f>IF(F373&gt;0,H373/F373,"")</f>
        <v/>
      </c>
      <c r="L373" s="16">
        <f>IF(AND(G373&gt;0,H373&gt;0),G373/H373,"")</f>
        <v/>
      </c>
    </row>
    <row r="374">
      <c r="A374" s="4" t="inlineStr">
        <is>
          <t>360</t>
        </is>
      </c>
      <c r="B374" s="4" t="n">
        <v>3</v>
      </c>
      <c r="C374" s="4" t="inlineStr">
        <is>
          <t>antelope</t>
        </is>
      </c>
      <c r="D374" s="4" t="n">
        <v>2015</v>
      </c>
      <c r="E374" s="15" t="inlineStr">
        <is>
          <t>Draw</t>
        </is>
      </c>
      <c r="F374" s="5" t="n">
        <v>482</v>
      </c>
      <c r="G374" s="5" t="n">
        <v>1456</v>
      </c>
      <c r="H374" s="5" t="n">
        <v>406</v>
      </c>
      <c r="I374" s="5" t="n">
        <v>228</v>
      </c>
      <c r="J374" s="5" t="n">
        <v>178</v>
      </c>
      <c r="K374" s="10">
        <f>IF(F374&gt;0,H374/F374,"")</f>
        <v/>
      </c>
      <c r="L374" s="16">
        <f>IF(AND(G374&gt;0,H374&gt;0),G374/H374,"")</f>
        <v/>
      </c>
    </row>
    <row r="375">
      <c r="A375" s="4" t="inlineStr">
        <is>
          <t>360</t>
        </is>
      </c>
      <c r="B375" s="4" t="n">
        <v>3</v>
      </c>
      <c r="C375" s="4" t="inlineStr">
        <is>
          <t>antelope</t>
        </is>
      </c>
      <c r="D375" s="4" t="n">
        <v>2016</v>
      </c>
      <c r="E375" s="15" t="inlineStr">
        <is>
          <t>Draw</t>
        </is>
      </c>
      <c r="F375" s="5" t="n"/>
      <c r="G375" s="5" t="n"/>
      <c r="H375" s="5" t="n">
        <v>424</v>
      </c>
      <c r="I375" s="5" t="n">
        <v>250</v>
      </c>
      <c r="J375" s="5" t="n">
        <v>171</v>
      </c>
      <c r="K375" s="10">
        <f>IF(F375&gt;0,H375/F375,"")</f>
        <v/>
      </c>
      <c r="L375" s="16">
        <f>IF(AND(G375&gt;0,H375&gt;0),G375/H375,"")</f>
        <v/>
      </c>
    </row>
    <row r="376">
      <c r="A376" s="4" t="inlineStr">
        <is>
          <t>360</t>
        </is>
      </c>
      <c r="B376" s="4" t="n">
        <v>3</v>
      </c>
      <c r="C376" s="4" t="inlineStr">
        <is>
          <t>antelope</t>
        </is>
      </c>
      <c r="D376" s="4" t="n">
        <v>2017</v>
      </c>
      <c r="E376" s="15" t="inlineStr">
        <is>
          <t>Draw</t>
        </is>
      </c>
      <c r="F376" s="5" t="n"/>
      <c r="G376" s="5" t="n"/>
      <c r="H376" s="5" t="n">
        <v>399</v>
      </c>
      <c r="I376" s="5" t="n">
        <v>222</v>
      </c>
      <c r="J376" s="5" t="n">
        <v>174</v>
      </c>
      <c r="K376" s="10">
        <f>IF(F376&gt;0,H376/F376,"")</f>
        <v/>
      </c>
      <c r="L376" s="16">
        <f>IF(AND(G376&gt;0,H376&gt;0),G376/H376,"")</f>
        <v/>
      </c>
    </row>
    <row r="377">
      <c r="A377" s="4" t="inlineStr">
        <is>
          <t>360</t>
        </is>
      </c>
      <c r="B377" s="4" t="n">
        <v>3</v>
      </c>
      <c r="C377" s="4" t="inlineStr">
        <is>
          <t>antelope</t>
        </is>
      </c>
      <c r="D377" s="4" t="n">
        <v>2018</v>
      </c>
      <c r="E377" s="15" t="inlineStr">
        <is>
          <t>Draw</t>
        </is>
      </c>
      <c r="F377" s="5" t="n">
        <v>447</v>
      </c>
      <c r="G377" s="5" t="n">
        <v>1979</v>
      </c>
      <c r="H377" s="5" t="n">
        <v>387</v>
      </c>
      <c r="I377" s="5" t="n">
        <v>234</v>
      </c>
      <c r="J377" s="5" t="n">
        <v>146</v>
      </c>
      <c r="K377" s="10">
        <f>IF(F377&gt;0,H377/F377,"")</f>
        <v/>
      </c>
      <c r="L377" s="16">
        <f>IF(AND(G377&gt;0,H377&gt;0),G377/H377,"")</f>
        <v/>
      </c>
    </row>
    <row r="378">
      <c r="A378" s="4" t="inlineStr">
        <is>
          <t>360</t>
        </is>
      </c>
      <c r="B378" s="4" t="n">
        <v>3</v>
      </c>
      <c r="C378" s="4" t="inlineStr">
        <is>
          <t>antelope</t>
        </is>
      </c>
      <c r="D378" s="4" t="n">
        <v>2019</v>
      </c>
      <c r="E378" s="15" t="inlineStr">
        <is>
          <t>Draw</t>
        </is>
      </c>
      <c r="F378" s="5" t="n"/>
      <c r="G378" s="5" t="n"/>
      <c r="H378" s="5" t="n">
        <v>259</v>
      </c>
      <c r="I378" s="5" t="n">
        <v>163</v>
      </c>
      <c r="J378" s="5" t="n">
        <v>94</v>
      </c>
      <c r="K378" s="10">
        <f>IF(F378&gt;0,H378/F378,"")</f>
        <v/>
      </c>
      <c r="L378" s="16">
        <f>IF(AND(G378&gt;0,H378&gt;0),G378/H378,"")</f>
        <v/>
      </c>
    </row>
    <row r="379">
      <c r="A379" s="4" t="inlineStr">
        <is>
          <t>360</t>
        </is>
      </c>
      <c r="B379" s="4" t="n">
        <v>3</v>
      </c>
      <c r="C379" s="4" t="inlineStr">
        <is>
          <t>antelope</t>
        </is>
      </c>
      <c r="D379" s="4" t="n">
        <v>2020</v>
      </c>
      <c r="E379" s="15" t="inlineStr">
        <is>
          <t>Draw</t>
        </is>
      </c>
      <c r="F379" s="5" t="n">
        <v>453</v>
      </c>
      <c r="G379" s="5" t="n">
        <v>1600</v>
      </c>
      <c r="H379" s="5" t="n">
        <v>251</v>
      </c>
      <c r="I379" s="5" t="n">
        <v>148</v>
      </c>
      <c r="J379" s="5" t="n">
        <v>97</v>
      </c>
      <c r="K379" s="10">
        <f>IF(F379&gt;0,H379/F379,"")</f>
        <v/>
      </c>
      <c r="L379" s="16">
        <f>IF(AND(G379&gt;0,H379&gt;0),G379/H379,"")</f>
        <v/>
      </c>
    </row>
    <row r="380">
      <c r="A380" s="4" t="inlineStr">
        <is>
          <t>360</t>
        </is>
      </c>
      <c r="B380" s="4" t="n">
        <v>3</v>
      </c>
      <c r="C380" s="4" t="inlineStr">
        <is>
          <t>antelope</t>
        </is>
      </c>
      <c r="D380" s="4" t="n">
        <v>2021</v>
      </c>
      <c r="E380" s="15" t="inlineStr">
        <is>
          <t>Draw</t>
        </is>
      </c>
      <c r="F380" s="5" t="n"/>
      <c r="G380" s="5" t="n"/>
      <c r="H380" s="5" t="n">
        <v>161</v>
      </c>
      <c r="I380" s="5" t="n">
        <v>101</v>
      </c>
      <c r="J380" s="5" t="n">
        <v>60</v>
      </c>
      <c r="K380" s="10">
        <f>IF(F380&gt;0,H380/F380,"")</f>
        <v/>
      </c>
      <c r="L380" s="16">
        <f>IF(AND(G380&gt;0,H380&gt;0),G380/H380,"")</f>
        <v/>
      </c>
    </row>
    <row r="381">
      <c r="A381" s="4" t="inlineStr">
        <is>
          <t>360</t>
        </is>
      </c>
      <c r="B381" s="4" t="n">
        <v>3</v>
      </c>
      <c r="C381" s="4" t="inlineStr">
        <is>
          <t>antelope</t>
        </is>
      </c>
      <c r="D381" s="4" t="n">
        <v>2022</v>
      </c>
      <c r="E381" s="15" t="inlineStr">
        <is>
          <t>Draw</t>
        </is>
      </c>
      <c r="F381" s="5" t="n">
        <v>438</v>
      </c>
      <c r="G381" s="5" t="n">
        <v>1575</v>
      </c>
      <c r="H381" s="5" t="n">
        <v>246</v>
      </c>
      <c r="I381" s="5" t="n">
        <v>155</v>
      </c>
      <c r="J381" s="5" t="n">
        <v>90</v>
      </c>
      <c r="K381" s="10">
        <f>IF(F381&gt;0,H381/F381,"")</f>
        <v/>
      </c>
      <c r="L381" s="16">
        <f>IF(AND(G381&gt;0,H381&gt;0),G381/H381,"")</f>
        <v/>
      </c>
    </row>
    <row r="382">
      <c r="A382" s="4" t="inlineStr">
        <is>
          <t>360</t>
        </is>
      </c>
      <c r="B382" s="4" t="n">
        <v>3</v>
      </c>
      <c r="C382" s="4" t="inlineStr">
        <is>
          <t>antelope</t>
        </is>
      </c>
      <c r="D382" s="4" t="n">
        <v>2023</v>
      </c>
      <c r="E382" s="15" t="inlineStr">
        <is>
          <t>Draw</t>
        </is>
      </c>
      <c r="F382" s="5" t="n"/>
      <c r="G382" s="5" t="n"/>
      <c r="H382" s="5" t="n">
        <v>160</v>
      </c>
      <c r="I382" s="5" t="n">
        <v>119</v>
      </c>
      <c r="J382" s="5" t="n">
        <v>41</v>
      </c>
      <c r="K382" s="10">
        <f>IF(F382&gt;0,H382/F382,"")</f>
        <v/>
      </c>
      <c r="L382" s="16">
        <f>IF(AND(G382&gt;0,H382&gt;0),G382/H382,"")</f>
        <v/>
      </c>
    </row>
    <row r="383">
      <c r="A383" s="4" t="inlineStr">
        <is>
          <t>360</t>
        </is>
      </c>
      <c r="B383" s="4" t="n">
        <v>3</v>
      </c>
      <c r="C383" s="4" t="inlineStr">
        <is>
          <t>antelope</t>
        </is>
      </c>
      <c r="D383" s="4" t="n">
        <v>2024</v>
      </c>
      <c r="E383" s="15" t="inlineStr">
        <is>
          <t>Draw</t>
        </is>
      </c>
      <c r="F383" s="5" t="n">
        <v>333</v>
      </c>
      <c r="G383" s="5" t="n">
        <v>1411</v>
      </c>
      <c r="H383" s="5" t="n">
        <v>180</v>
      </c>
      <c r="I383" s="5" t="n">
        <v>126</v>
      </c>
      <c r="J383" s="5" t="n">
        <v>54</v>
      </c>
      <c r="K383" s="10">
        <f>IF(F383&gt;0,H383/F383,"")</f>
        <v/>
      </c>
      <c r="L383" s="16">
        <f>IF(AND(G383&gt;0,H383&gt;0),G383/H383,"")</f>
        <v/>
      </c>
    </row>
    <row r="384">
      <c r="A384" s="4" t="inlineStr">
        <is>
          <t>360</t>
        </is>
      </c>
      <c r="B384" s="4" t="n">
        <v>3</v>
      </c>
      <c r="C384" s="4" t="inlineStr">
        <is>
          <t>antelope</t>
        </is>
      </c>
      <c r="D384" s="4" t="n">
        <v>2025</v>
      </c>
      <c r="E384" s="15" t="inlineStr">
        <is>
          <t>Draw</t>
        </is>
      </c>
      <c r="F384" s="5" t="n"/>
      <c r="G384" s="5" t="n"/>
      <c r="H384" s="5" t="n">
        <v>158</v>
      </c>
      <c r="I384" s="5" t="n">
        <v>117</v>
      </c>
      <c r="J384" s="5" t="n">
        <v>41</v>
      </c>
      <c r="K384" s="10">
        <f>IF(F384&gt;0,H384/F384,"")</f>
        <v/>
      </c>
      <c r="L384" s="16">
        <f>IF(AND(G384&gt;0,H384&gt;0),G384/H384,"")</f>
        <v/>
      </c>
    </row>
    <row r="385">
      <c r="A385" s="4" t="inlineStr">
        <is>
          <t>370</t>
        </is>
      </c>
      <c r="B385" s="4" t="n">
        <v>3</v>
      </c>
      <c r="C385" s="4" t="inlineStr">
        <is>
          <t>antelope</t>
        </is>
      </c>
      <c r="D385" s="4" t="n">
        <v>2004</v>
      </c>
      <c r="E385" s="15" t="inlineStr">
        <is>
          <t>Draw</t>
        </is>
      </c>
      <c r="F385" s="5" t="n">
        <v>127</v>
      </c>
      <c r="G385" s="5" t="n">
        <v>333</v>
      </c>
      <c r="H385" s="5" t="n">
        <v>52</v>
      </c>
      <c r="I385" s="5" t="n">
        <v>22</v>
      </c>
      <c r="J385" s="5" t="n">
        <v>30</v>
      </c>
      <c r="K385" s="10">
        <f>IF(F385&gt;0,H385/F385,"")</f>
        <v/>
      </c>
      <c r="L385" s="16">
        <f>IF(AND(G385&gt;0,H385&gt;0),G385/H385,"")</f>
        <v/>
      </c>
    </row>
    <row r="386">
      <c r="A386" s="4" t="inlineStr">
        <is>
          <t>370</t>
        </is>
      </c>
      <c r="B386" s="4" t="n">
        <v>3</v>
      </c>
      <c r="C386" s="4" t="inlineStr">
        <is>
          <t>antelope</t>
        </is>
      </c>
      <c r="D386" s="4" t="n">
        <v>2005</v>
      </c>
      <c r="E386" s="15" t="inlineStr">
        <is>
          <t>Draw</t>
        </is>
      </c>
      <c r="F386" s="5" t="n">
        <v>115</v>
      </c>
      <c r="G386" s="5" t="n">
        <v>376</v>
      </c>
      <c r="H386" s="5" t="n">
        <v>50</v>
      </c>
      <c r="I386" s="5" t="n">
        <v>24</v>
      </c>
      <c r="J386" s="5" t="n">
        <v>23</v>
      </c>
      <c r="K386" s="10">
        <f>IF(F386&gt;0,H386/F386,"")</f>
        <v/>
      </c>
      <c r="L386" s="16">
        <f>IF(AND(G386&gt;0,H386&gt;0),G386/H386,"")</f>
        <v/>
      </c>
    </row>
    <row r="387">
      <c r="A387" s="4" t="inlineStr">
        <is>
          <t>370</t>
        </is>
      </c>
      <c r="B387" s="4" t="n">
        <v>3</v>
      </c>
      <c r="C387" s="4" t="inlineStr">
        <is>
          <t>antelope</t>
        </is>
      </c>
      <c r="D387" s="4" t="n">
        <v>2006</v>
      </c>
      <c r="E387" s="15" t="inlineStr">
        <is>
          <t>Draw</t>
        </is>
      </c>
      <c r="F387" s="5" t="n">
        <v>113</v>
      </c>
      <c r="G387" s="5" t="n">
        <v>346</v>
      </c>
      <c r="H387" s="5" t="n">
        <v>52</v>
      </c>
      <c r="I387" s="5" t="n">
        <v>23</v>
      </c>
      <c r="J387" s="5" t="n">
        <v>19</v>
      </c>
      <c r="K387" s="10">
        <f>IF(F387&gt;0,H387/F387,"")</f>
        <v/>
      </c>
      <c r="L387" s="16">
        <f>IF(AND(G387&gt;0,H387&gt;0),G387/H387,"")</f>
        <v/>
      </c>
    </row>
    <row r="388">
      <c r="A388" s="4" t="inlineStr">
        <is>
          <t>370</t>
        </is>
      </c>
      <c r="B388" s="4" t="n">
        <v>3</v>
      </c>
      <c r="C388" s="4" t="inlineStr">
        <is>
          <t>antelope</t>
        </is>
      </c>
      <c r="D388" s="4" t="n">
        <v>2007</v>
      </c>
      <c r="E388" s="15" t="inlineStr">
        <is>
          <t>Draw</t>
        </is>
      </c>
      <c r="F388" s="5" t="n">
        <v>125</v>
      </c>
      <c r="G388" s="5" t="n">
        <v>348</v>
      </c>
      <c r="H388" s="5" t="n">
        <v>65</v>
      </c>
      <c r="I388" s="5" t="n">
        <v>38</v>
      </c>
      <c r="J388" s="5" t="n">
        <v>23</v>
      </c>
      <c r="K388" s="10">
        <f>IF(F388&gt;0,H388/F388,"")</f>
        <v/>
      </c>
      <c r="L388" s="16">
        <f>IF(AND(G388&gt;0,H388&gt;0),G388/H388,"")</f>
        <v/>
      </c>
    </row>
    <row r="389">
      <c r="A389" s="4" t="inlineStr">
        <is>
          <t>370</t>
        </is>
      </c>
      <c r="B389" s="4" t="n">
        <v>3</v>
      </c>
      <c r="C389" s="4" t="inlineStr">
        <is>
          <t>antelope</t>
        </is>
      </c>
      <c r="D389" s="4" t="n">
        <v>2008</v>
      </c>
      <c r="E389" s="15" t="inlineStr">
        <is>
          <t>Draw</t>
        </is>
      </c>
      <c r="F389" s="5" t="n">
        <v>119</v>
      </c>
      <c r="G389" s="5" t="n">
        <v>437</v>
      </c>
      <c r="H389" s="5" t="n">
        <v>42</v>
      </c>
      <c r="I389" s="5" t="n">
        <v>27</v>
      </c>
      <c r="J389" s="5" t="n">
        <v>15</v>
      </c>
      <c r="K389" s="10">
        <f>IF(F389&gt;0,H389/F389,"")</f>
        <v/>
      </c>
      <c r="L389" s="16">
        <f>IF(AND(G389&gt;0,H389&gt;0),G389/H389,"")</f>
        <v/>
      </c>
    </row>
    <row r="390">
      <c r="A390" s="4" t="inlineStr">
        <is>
          <t>370</t>
        </is>
      </c>
      <c r="B390" s="4" t="n">
        <v>3</v>
      </c>
      <c r="C390" s="4" t="inlineStr">
        <is>
          <t>antelope</t>
        </is>
      </c>
      <c r="D390" s="4" t="n">
        <v>2009</v>
      </c>
      <c r="E390" s="15" t="inlineStr">
        <is>
          <t>Draw</t>
        </is>
      </c>
      <c r="F390" s="5" t="n">
        <v>106</v>
      </c>
      <c r="G390" s="5" t="n">
        <v>371</v>
      </c>
      <c r="H390" s="5" t="n">
        <v>53</v>
      </c>
      <c r="I390" s="5" t="n">
        <v>25</v>
      </c>
      <c r="J390" s="5" t="n">
        <v>28</v>
      </c>
      <c r="K390" s="10">
        <f>IF(F390&gt;0,H390/F390,"")</f>
        <v/>
      </c>
      <c r="L390" s="16">
        <f>IF(AND(G390&gt;0,H390&gt;0),G390/H390,"")</f>
        <v/>
      </c>
    </row>
    <row r="391">
      <c r="A391" s="4" t="inlineStr">
        <is>
          <t>370</t>
        </is>
      </c>
      <c r="B391" s="4" t="n">
        <v>3</v>
      </c>
      <c r="C391" s="4" t="inlineStr">
        <is>
          <t>antelope</t>
        </is>
      </c>
      <c r="D391" s="4" t="n">
        <v>2010</v>
      </c>
      <c r="E391" s="15" t="inlineStr">
        <is>
          <t>Draw</t>
        </is>
      </c>
      <c r="F391" s="5" t="n">
        <v>144</v>
      </c>
      <c r="G391" s="5" t="n">
        <v>468</v>
      </c>
      <c r="H391" s="5" t="n">
        <v>56</v>
      </c>
      <c r="I391" s="5" t="n">
        <v>19</v>
      </c>
      <c r="J391" s="5" t="n">
        <v>35</v>
      </c>
      <c r="K391" s="10">
        <f>IF(F391&gt;0,H391/F391,"")</f>
        <v/>
      </c>
      <c r="L391" s="16">
        <f>IF(AND(G391&gt;0,H391&gt;0),G391/H391,"")</f>
        <v/>
      </c>
    </row>
    <row r="392">
      <c r="A392" s="4" t="inlineStr">
        <is>
          <t>370</t>
        </is>
      </c>
      <c r="B392" s="4" t="n">
        <v>3</v>
      </c>
      <c r="C392" s="4" t="inlineStr">
        <is>
          <t>antelope</t>
        </is>
      </c>
      <c r="D392" s="4" t="n">
        <v>2011</v>
      </c>
      <c r="E392" s="15" t="inlineStr">
        <is>
          <t>Draw</t>
        </is>
      </c>
      <c r="F392" s="5" t="n">
        <v>120</v>
      </c>
      <c r="G392" s="5" t="n">
        <v>385</v>
      </c>
      <c r="H392" s="5" t="n">
        <v>40</v>
      </c>
      <c r="I392" s="5" t="n">
        <v>13</v>
      </c>
      <c r="J392" s="5" t="n">
        <v>24</v>
      </c>
      <c r="K392" s="10">
        <f>IF(F392&gt;0,H392/F392,"")</f>
        <v/>
      </c>
      <c r="L392" s="16">
        <f>IF(AND(G392&gt;0,H392&gt;0),G392/H392,"")</f>
        <v/>
      </c>
    </row>
    <row r="393">
      <c r="A393" s="4" t="inlineStr">
        <is>
          <t>370</t>
        </is>
      </c>
      <c r="B393" s="4" t="n">
        <v>3</v>
      </c>
      <c r="C393" s="4" t="inlineStr">
        <is>
          <t>antelope</t>
        </is>
      </c>
      <c r="D393" s="4" t="n">
        <v>2012</v>
      </c>
      <c r="E393" s="15" t="inlineStr">
        <is>
          <t>Draw</t>
        </is>
      </c>
      <c r="F393" s="5" t="n">
        <v>113</v>
      </c>
      <c r="G393" s="5" t="n">
        <v>420</v>
      </c>
      <c r="H393" s="5" t="n">
        <v>31</v>
      </c>
      <c r="I393" s="5" t="n">
        <v>19</v>
      </c>
      <c r="J393" s="5" t="n">
        <v>13</v>
      </c>
      <c r="K393" s="10">
        <f>IF(F393&gt;0,H393/F393,"")</f>
        <v/>
      </c>
      <c r="L393" s="16">
        <f>IF(AND(G393&gt;0,H393&gt;0),G393/H393,"")</f>
        <v/>
      </c>
    </row>
    <row r="394">
      <c r="A394" s="4" t="inlineStr">
        <is>
          <t>370</t>
        </is>
      </c>
      <c r="B394" s="4" t="n">
        <v>3</v>
      </c>
      <c r="C394" s="4" t="inlineStr">
        <is>
          <t>antelope</t>
        </is>
      </c>
      <c r="D394" s="4" t="n">
        <v>2013</v>
      </c>
      <c r="E394" s="15" t="inlineStr">
        <is>
          <t>Draw</t>
        </is>
      </c>
      <c r="F394" s="5" t="n"/>
      <c r="G394" s="5" t="n"/>
      <c r="H394" s="5" t="n">
        <v>32</v>
      </c>
      <c r="I394" s="5" t="n">
        <v>14</v>
      </c>
      <c r="J394" s="5" t="n">
        <v>18</v>
      </c>
      <c r="K394" s="10">
        <f>IF(F394&gt;0,H394/F394,"")</f>
        <v/>
      </c>
      <c r="L394" s="16">
        <f>IF(AND(G394&gt;0,H394&gt;0),G394/H394,"")</f>
        <v/>
      </c>
    </row>
    <row r="395">
      <c r="A395" s="4" t="inlineStr">
        <is>
          <t>370</t>
        </is>
      </c>
      <c r="B395" s="4" t="n">
        <v>3</v>
      </c>
      <c r="C395" s="4" t="inlineStr">
        <is>
          <t>antelope</t>
        </is>
      </c>
      <c r="D395" s="4" t="n">
        <v>2014</v>
      </c>
      <c r="E395" s="15" t="inlineStr">
        <is>
          <t>Draw</t>
        </is>
      </c>
      <c r="F395" s="5" t="n">
        <v>110</v>
      </c>
      <c r="G395" s="5" t="n">
        <v>520</v>
      </c>
      <c r="H395" s="5" t="n">
        <v>31</v>
      </c>
      <c r="I395" s="5" t="n">
        <v>13</v>
      </c>
      <c r="J395" s="5" t="n">
        <v>14</v>
      </c>
      <c r="K395" s="10">
        <f>IF(F395&gt;0,H395/F395,"")</f>
        <v/>
      </c>
      <c r="L395" s="16">
        <f>IF(AND(G395&gt;0,H395&gt;0),G395/H395,"")</f>
        <v/>
      </c>
    </row>
    <row r="396">
      <c r="A396" s="4" t="inlineStr">
        <is>
          <t>370</t>
        </is>
      </c>
      <c r="B396" s="4" t="n">
        <v>3</v>
      </c>
      <c r="C396" s="4" t="inlineStr">
        <is>
          <t>antelope</t>
        </is>
      </c>
      <c r="D396" s="4" t="n">
        <v>2015</v>
      </c>
      <c r="E396" s="15" t="inlineStr">
        <is>
          <t>Draw</t>
        </is>
      </c>
      <c r="F396" s="5" t="n">
        <v>95</v>
      </c>
      <c r="G396" s="5" t="n">
        <v>323</v>
      </c>
      <c r="H396" s="5" t="n">
        <v>35</v>
      </c>
      <c r="I396" s="5" t="n">
        <v>17</v>
      </c>
      <c r="J396" s="5" t="n">
        <v>18</v>
      </c>
      <c r="K396" s="10">
        <f>IF(F396&gt;0,H396/F396,"")</f>
        <v/>
      </c>
      <c r="L396" s="16">
        <f>IF(AND(G396&gt;0,H396&gt;0),G396/H396,"")</f>
        <v/>
      </c>
    </row>
    <row r="397">
      <c r="A397" s="4" t="inlineStr">
        <is>
          <t>370</t>
        </is>
      </c>
      <c r="B397" s="4" t="n">
        <v>3</v>
      </c>
      <c r="C397" s="4" t="inlineStr">
        <is>
          <t>antelope</t>
        </is>
      </c>
      <c r="D397" s="4" t="n">
        <v>2016</v>
      </c>
      <c r="E397" s="15" t="inlineStr">
        <is>
          <t>Draw</t>
        </is>
      </c>
      <c r="F397" s="5" t="n"/>
      <c r="G397" s="5" t="n"/>
      <c r="H397" s="5" t="n">
        <v>54</v>
      </c>
      <c r="I397" s="5" t="n">
        <v>27</v>
      </c>
      <c r="J397" s="5" t="n">
        <v>27</v>
      </c>
      <c r="K397" s="10">
        <f>IF(F397&gt;0,H397/F397,"")</f>
        <v/>
      </c>
      <c r="L397" s="16">
        <f>IF(AND(G397&gt;0,H397&gt;0),G397/H397,"")</f>
        <v/>
      </c>
    </row>
    <row r="398">
      <c r="A398" s="4" t="inlineStr">
        <is>
          <t>370</t>
        </is>
      </c>
      <c r="B398" s="4" t="n">
        <v>3</v>
      </c>
      <c r="C398" s="4" t="inlineStr">
        <is>
          <t>antelope</t>
        </is>
      </c>
      <c r="D398" s="4" t="n">
        <v>2017</v>
      </c>
      <c r="E398" s="15" t="inlineStr">
        <is>
          <t>Draw</t>
        </is>
      </c>
      <c r="F398" s="5" t="n"/>
      <c r="G398" s="5" t="n"/>
      <c r="H398" s="5" t="n">
        <v>60</v>
      </c>
      <c r="I398" s="5" t="n">
        <v>29</v>
      </c>
      <c r="J398" s="5" t="n">
        <v>27</v>
      </c>
      <c r="K398" s="10">
        <f>IF(F398&gt;0,H398/F398,"")</f>
        <v/>
      </c>
      <c r="L398" s="16">
        <f>IF(AND(G398&gt;0,H398&gt;0),G398/H398,"")</f>
        <v/>
      </c>
    </row>
    <row r="399">
      <c r="A399" s="4" t="inlineStr">
        <is>
          <t>370</t>
        </is>
      </c>
      <c r="B399" s="4" t="n">
        <v>3</v>
      </c>
      <c r="C399" s="4" t="inlineStr">
        <is>
          <t>antelope</t>
        </is>
      </c>
      <c r="D399" s="4" t="n">
        <v>2018</v>
      </c>
      <c r="E399" s="15" t="inlineStr">
        <is>
          <t>Draw</t>
        </is>
      </c>
      <c r="F399" s="5" t="n">
        <v>124</v>
      </c>
      <c r="G399" s="5" t="n">
        <v>399</v>
      </c>
      <c r="H399" s="5" t="n">
        <v>33</v>
      </c>
      <c r="I399" s="5" t="n">
        <v>25</v>
      </c>
      <c r="J399" s="5" t="n">
        <v>8</v>
      </c>
      <c r="K399" s="10">
        <f>IF(F399&gt;0,H399/F399,"")</f>
        <v/>
      </c>
      <c r="L399" s="16">
        <f>IF(AND(G399&gt;0,H399&gt;0),G399/H399,"")</f>
        <v/>
      </c>
    </row>
    <row r="400">
      <c r="A400" s="4" t="inlineStr">
        <is>
          <t>370</t>
        </is>
      </c>
      <c r="B400" s="4" t="n">
        <v>3</v>
      </c>
      <c r="C400" s="4" t="inlineStr">
        <is>
          <t>antelope</t>
        </is>
      </c>
      <c r="D400" s="4" t="n">
        <v>2019</v>
      </c>
      <c r="E400" s="15" t="inlineStr">
        <is>
          <t>Draw</t>
        </is>
      </c>
      <c r="F400" s="5" t="n"/>
      <c r="G400" s="5" t="n"/>
      <c r="H400" s="5" t="n">
        <v>38</v>
      </c>
      <c r="I400" s="5" t="n">
        <v>26</v>
      </c>
      <c r="J400" s="5" t="n">
        <v>13</v>
      </c>
      <c r="K400" s="10">
        <f>IF(F400&gt;0,H400/F400,"")</f>
        <v/>
      </c>
      <c r="L400" s="16">
        <f>IF(AND(G400&gt;0,H400&gt;0),G400/H400,"")</f>
        <v/>
      </c>
    </row>
    <row r="401">
      <c r="A401" s="4" t="inlineStr">
        <is>
          <t>370</t>
        </is>
      </c>
      <c r="B401" s="4" t="n">
        <v>3</v>
      </c>
      <c r="C401" s="4" t="inlineStr">
        <is>
          <t>antelope</t>
        </is>
      </c>
      <c r="D401" s="4" t="n">
        <v>2020</v>
      </c>
      <c r="E401" s="15" t="inlineStr">
        <is>
          <t>Draw</t>
        </is>
      </c>
      <c r="F401" s="5" t="n">
        <v>92</v>
      </c>
      <c r="G401" s="5" t="n">
        <v>321</v>
      </c>
      <c r="H401" s="5" t="n">
        <v>48</v>
      </c>
      <c r="I401" s="5" t="n">
        <v>33</v>
      </c>
      <c r="J401" s="5" t="n">
        <v>13</v>
      </c>
      <c r="K401" s="10">
        <f>IF(F401&gt;0,H401/F401,"")</f>
        <v/>
      </c>
      <c r="L401" s="16">
        <f>IF(AND(G401&gt;0,H401&gt;0),G401/H401,"")</f>
        <v/>
      </c>
    </row>
    <row r="402">
      <c r="A402" s="4" t="inlineStr">
        <is>
          <t>370</t>
        </is>
      </c>
      <c r="B402" s="4" t="n">
        <v>3</v>
      </c>
      <c r="C402" s="4" t="inlineStr">
        <is>
          <t>antelope</t>
        </is>
      </c>
      <c r="D402" s="4" t="n">
        <v>2021</v>
      </c>
      <c r="E402" s="15" t="inlineStr">
        <is>
          <t>Draw</t>
        </is>
      </c>
      <c r="F402" s="5" t="n"/>
      <c r="G402" s="5" t="n"/>
      <c r="H402" s="5" t="n">
        <v>38</v>
      </c>
      <c r="I402" s="5" t="n">
        <v>32</v>
      </c>
      <c r="J402" s="5" t="n">
        <v>6</v>
      </c>
      <c r="K402" s="10">
        <f>IF(F402&gt;0,H402/F402,"")</f>
        <v/>
      </c>
      <c r="L402" s="16">
        <f>IF(AND(G402&gt;0,H402&gt;0),G402/H402,"")</f>
        <v/>
      </c>
    </row>
    <row r="403">
      <c r="A403" s="4" t="inlineStr">
        <is>
          <t>370</t>
        </is>
      </c>
      <c r="B403" s="4" t="n">
        <v>3</v>
      </c>
      <c r="C403" s="4" t="inlineStr">
        <is>
          <t>antelope</t>
        </is>
      </c>
      <c r="D403" s="4" t="n">
        <v>2022</v>
      </c>
      <c r="E403" s="15" t="inlineStr">
        <is>
          <t>Draw</t>
        </is>
      </c>
      <c r="F403" s="5" t="n">
        <v>72</v>
      </c>
      <c r="G403" s="5" t="n">
        <v>410</v>
      </c>
      <c r="H403" s="5" t="n">
        <v>42</v>
      </c>
      <c r="I403" s="5" t="n">
        <v>34</v>
      </c>
      <c r="J403" s="5" t="n">
        <v>9</v>
      </c>
      <c r="K403" s="10">
        <f>IF(F403&gt;0,H403/F403,"")</f>
        <v/>
      </c>
      <c r="L403" s="16">
        <f>IF(AND(G403&gt;0,H403&gt;0),G403/H403,"")</f>
        <v/>
      </c>
    </row>
    <row r="404">
      <c r="A404" s="4" t="inlineStr">
        <is>
          <t>370</t>
        </is>
      </c>
      <c r="B404" s="4" t="n">
        <v>3</v>
      </c>
      <c r="C404" s="4" t="inlineStr">
        <is>
          <t>antelope</t>
        </is>
      </c>
      <c r="D404" s="4" t="n">
        <v>2023</v>
      </c>
      <c r="E404" s="15" t="inlineStr">
        <is>
          <t>Draw</t>
        </is>
      </c>
      <c r="F404" s="5" t="n"/>
      <c r="G404" s="5" t="n"/>
      <c r="H404" s="5" t="n">
        <v>61</v>
      </c>
      <c r="I404" s="5" t="n">
        <v>41</v>
      </c>
      <c r="J404" s="5" t="n">
        <v>18</v>
      </c>
      <c r="K404" s="10">
        <f>IF(F404&gt;0,H404/F404,"")</f>
        <v/>
      </c>
      <c r="L404" s="16">
        <f>IF(AND(G404&gt;0,H404&gt;0),G404/H404,"")</f>
        <v/>
      </c>
    </row>
    <row r="405">
      <c r="A405" s="4" t="inlineStr">
        <is>
          <t>370</t>
        </is>
      </c>
      <c r="B405" s="4" t="n">
        <v>3</v>
      </c>
      <c r="C405" s="4" t="inlineStr">
        <is>
          <t>antelope</t>
        </is>
      </c>
      <c r="D405" s="4" t="n">
        <v>2024</v>
      </c>
      <c r="E405" s="15" t="inlineStr">
        <is>
          <t>Draw</t>
        </is>
      </c>
      <c r="F405" s="5" t="n">
        <v>90</v>
      </c>
      <c r="G405" s="5" t="n">
        <v>490</v>
      </c>
      <c r="H405" s="5" t="n">
        <v>69</v>
      </c>
      <c r="I405" s="5" t="n">
        <v>49</v>
      </c>
      <c r="J405" s="5" t="n">
        <v>20</v>
      </c>
      <c r="K405" s="10">
        <f>IF(F405&gt;0,H405/F405,"")</f>
        <v/>
      </c>
      <c r="L405" s="16">
        <f>IF(AND(G405&gt;0,H405&gt;0),G405/H405,"")</f>
        <v/>
      </c>
    </row>
    <row r="406">
      <c r="A406" s="4" t="inlineStr">
        <is>
          <t>370</t>
        </is>
      </c>
      <c r="B406" s="4" t="n">
        <v>3</v>
      </c>
      <c r="C406" s="4" t="inlineStr">
        <is>
          <t>antelope</t>
        </is>
      </c>
      <c r="D406" s="4" t="n">
        <v>2025</v>
      </c>
      <c r="E406" s="15" t="inlineStr">
        <is>
          <t>Draw</t>
        </is>
      </c>
      <c r="F406" s="5" t="n"/>
      <c r="G406" s="5" t="n"/>
      <c r="H406" s="5" t="n">
        <v>68</v>
      </c>
      <c r="I406" s="5" t="n">
        <v>41</v>
      </c>
      <c r="J406" s="5" t="n">
        <v>27</v>
      </c>
      <c r="K406" s="10">
        <f>IF(F406&gt;0,H406/F406,"")</f>
        <v/>
      </c>
      <c r="L406" s="16">
        <f>IF(AND(G406&gt;0,H406&gt;0),G406/H406,"")</f>
        <v/>
      </c>
    </row>
    <row r="407">
      <c r="A407" s="4" t="inlineStr">
        <is>
          <t>371</t>
        </is>
      </c>
      <c r="B407" s="4" t="n">
        <v>3</v>
      </c>
      <c r="C407" s="4" t="inlineStr">
        <is>
          <t>antelope</t>
        </is>
      </c>
      <c r="D407" s="4" t="n">
        <v>2004</v>
      </c>
      <c r="E407" s="15" t="inlineStr">
        <is>
          <t>Draw</t>
        </is>
      </c>
      <c r="F407" s="5" t="n">
        <v>101</v>
      </c>
      <c r="G407" s="5" t="n">
        <v>501</v>
      </c>
      <c r="H407" s="5" t="n">
        <v>44</v>
      </c>
      <c r="I407" s="5" t="n">
        <v>27</v>
      </c>
      <c r="J407" s="5" t="n">
        <v>18</v>
      </c>
      <c r="K407" s="10">
        <f>IF(F407&gt;0,H407/F407,"")</f>
        <v/>
      </c>
      <c r="L407" s="16">
        <f>IF(AND(G407&gt;0,H407&gt;0),G407/H407,"")</f>
        <v/>
      </c>
    </row>
    <row r="408">
      <c r="A408" s="4" t="inlineStr">
        <is>
          <t>371</t>
        </is>
      </c>
      <c r="B408" s="4" t="n">
        <v>3</v>
      </c>
      <c r="C408" s="4" t="inlineStr">
        <is>
          <t>antelope</t>
        </is>
      </c>
      <c r="D408" s="4" t="n">
        <v>2005</v>
      </c>
      <c r="E408" s="15" t="inlineStr">
        <is>
          <t>Draw</t>
        </is>
      </c>
      <c r="F408" s="5" t="n">
        <v>83</v>
      </c>
      <c r="G408" s="5" t="n">
        <v>267</v>
      </c>
      <c r="H408" s="5" t="n">
        <v>39</v>
      </c>
      <c r="I408" s="5" t="n">
        <v>18</v>
      </c>
      <c r="J408" s="5" t="n">
        <v>19</v>
      </c>
      <c r="K408" s="10">
        <f>IF(F408&gt;0,H408/F408,"")</f>
        <v/>
      </c>
      <c r="L408" s="16">
        <f>IF(AND(G408&gt;0,H408&gt;0),G408/H408,"")</f>
        <v/>
      </c>
    </row>
    <row r="409">
      <c r="A409" s="4" t="inlineStr">
        <is>
          <t>371</t>
        </is>
      </c>
      <c r="B409" s="4" t="n">
        <v>3</v>
      </c>
      <c r="C409" s="4" t="inlineStr">
        <is>
          <t>antelope</t>
        </is>
      </c>
      <c r="D409" s="4" t="n">
        <v>2006</v>
      </c>
      <c r="E409" s="15" t="inlineStr">
        <is>
          <t>Draw</t>
        </is>
      </c>
      <c r="F409" s="5" t="n">
        <v>83</v>
      </c>
      <c r="G409" s="5" t="n">
        <v>279</v>
      </c>
      <c r="H409" s="5" t="n">
        <v>43</v>
      </c>
      <c r="I409" s="5" t="n">
        <v>26</v>
      </c>
      <c r="J409" s="5" t="n">
        <v>15</v>
      </c>
      <c r="K409" s="10">
        <f>IF(F409&gt;0,H409/F409,"")</f>
        <v/>
      </c>
      <c r="L409" s="16">
        <f>IF(AND(G409&gt;0,H409&gt;0),G409/H409,"")</f>
        <v/>
      </c>
    </row>
    <row r="410">
      <c r="A410" s="4" t="inlineStr">
        <is>
          <t>371</t>
        </is>
      </c>
      <c r="B410" s="4" t="n">
        <v>3</v>
      </c>
      <c r="C410" s="4" t="inlineStr">
        <is>
          <t>antelope</t>
        </is>
      </c>
      <c r="D410" s="4" t="n">
        <v>2007</v>
      </c>
      <c r="E410" s="15" t="inlineStr">
        <is>
          <t>Draw</t>
        </is>
      </c>
      <c r="F410" s="5" t="n">
        <v>108</v>
      </c>
      <c r="G410" s="5" t="n">
        <v>576</v>
      </c>
      <c r="H410" s="5" t="n">
        <v>49</v>
      </c>
      <c r="I410" s="5" t="n">
        <v>21</v>
      </c>
      <c r="J410" s="5" t="n">
        <v>28</v>
      </c>
      <c r="K410" s="10">
        <f>IF(F410&gt;0,H410/F410,"")</f>
        <v/>
      </c>
      <c r="L410" s="16">
        <f>IF(AND(G410&gt;0,H410&gt;0),G410/H410,"")</f>
        <v/>
      </c>
    </row>
    <row r="411">
      <c r="A411" s="4" t="inlineStr">
        <is>
          <t>371</t>
        </is>
      </c>
      <c r="B411" s="4" t="n">
        <v>3</v>
      </c>
      <c r="C411" s="4" t="inlineStr">
        <is>
          <t>antelope</t>
        </is>
      </c>
      <c r="D411" s="4" t="n">
        <v>2008</v>
      </c>
      <c r="E411" s="15" t="inlineStr">
        <is>
          <t>Draw</t>
        </is>
      </c>
      <c r="F411" s="5" t="n">
        <v>99</v>
      </c>
      <c r="G411" s="5" t="n">
        <v>362</v>
      </c>
      <c r="H411" s="5" t="n">
        <v>59</v>
      </c>
      <c r="I411" s="5" t="n">
        <v>25</v>
      </c>
      <c r="J411" s="5" t="n">
        <v>34</v>
      </c>
      <c r="K411" s="10">
        <f>IF(F411&gt;0,H411/F411,"")</f>
        <v/>
      </c>
      <c r="L411" s="16">
        <f>IF(AND(G411&gt;0,H411&gt;0),G411/H411,"")</f>
        <v/>
      </c>
    </row>
    <row r="412">
      <c r="A412" s="4" t="inlineStr">
        <is>
          <t>371</t>
        </is>
      </c>
      <c r="B412" s="4" t="n">
        <v>3</v>
      </c>
      <c r="C412" s="4" t="inlineStr">
        <is>
          <t>antelope</t>
        </is>
      </c>
      <c r="D412" s="4" t="n">
        <v>2009</v>
      </c>
      <c r="E412" s="15" t="inlineStr">
        <is>
          <t>Draw</t>
        </is>
      </c>
      <c r="F412" s="5" t="n">
        <v>102</v>
      </c>
      <c r="G412" s="5" t="n">
        <v>469</v>
      </c>
      <c r="H412" s="5" t="n">
        <v>51</v>
      </c>
      <c r="I412" s="5" t="n">
        <v>26</v>
      </c>
      <c r="J412" s="5" t="n">
        <v>25</v>
      </c>
      <c r="K412" s="10">
        <f>IF(F412&gt;0,H412/F412,"")</f>
        <v/>
      </c>
      <c r="L412" s="16">
        <f>IF(AND(G412&gt;0,H412&gt;0),G412/H412,"")</f>
        <v/>
      </c>
    </row>
    <row r="413">
      <c r="A413" s="4" t="inlineStr">
        <is>
          <t>371</t>
        </is>
      </c>
      <c r="B413" s="4" t="n">
        <v>3</v>
      </c>
      <c r="C413" s="4" t="inlineStr">
        <is>
          <t>antelope</t>
        </is>
      </c>
      <c r="D413" s="4" t="n">
        <v>2010</v>
      </c>
      <c r="E413" s="15" t="inlineStr">
        <is>
          <t>Draw</t>
        </is>
      </c>
      <c r="F413" s="5" t="n">
        <v>187</v>
      </c>
      <c r="G413" s="5" t="n">
        <v>841</v>
      </c>
      <c r="H413" s="5" t="n">
        <v>102</v>
      </c>
      <c r="I413" s="5" t="n">
        <v>48</v>
      </c>
      <c r="J413" s="5" t="n">
        <v>53</v>
      </c>
      <c r="K413" s="10">
        <f>IF(F413&gt;0,H413/F413,"")</f>
        <v/>
      </c>
      <c r="L413" s="16">
        <f>IF(AND(G413&gt;0,H413&gt;0),G413/H413,"")</f>
        <v/>
      </c>
    </row>
    <row r="414">
      <c r="A414" s="4" t="inlineStr">
        <is>
          <t>371</t>
        </is>
      </c>
      <c r="B414" s="4" t="n">
        <v>3</v>
      </c>
      <c r="C414" s="4" t="inlineStr">
        <is>
          <t>antelope</t>
        </is>
      </c>
      <c r="D414" s="4" t="n">
        <v>2011</v>
      </c>
      <c r="E414" s="15" t="inlineStr">
        <is>
          <t>Draw</t>
        </is>
      </c>
      <c r="F414" s="5" t="n">
        <v>175</v>
      </c>
      <c r="G414" s="5" t="n">
        <v>738</v>
      </c>
      <c r="H414" s="5" t="n">
        <v>89</v>
      </c>
      <c r="I414" s="5" t="n">
        <v>36</v>
      </c>
      <c r="J414" s="5" t="n">
        <v>50</v>
      </c>
      <c r="K414" s="10">
        <f>IF(F414&gt;0,H414/F414,"")</f>
        <v/>
      </c>
      <c r="L414" s="16">
        <f>IF(AND(G414&gt;0,H414&gt;0),G414/H414,"")</f>
        <v/>
      </c>
    </row>
    <row r="415">
      <c r="A415" s="4" t="inlineStr">
        <is>
          <t>371</t>
        </is>
      </c>
      <c r="B415" s="4" t="n">
        <v>3</v>
      </c>
      <c r="C415" s="4" t="inlineStr">
        <is>
          <t>antelope</t>
        </is>
      </c>
      <c r="D415" s="4" t="n">
        <v>2012</v>
      </c>
      <c r="E415" s="15" t="inlineStr">
        <is>
          <t>Draw</t>
        </is>
      </c>
      <c r="F415" s="5" t="n">
        <v>149</v>
      </c>
      <c r="G415" s="5" t="n">
        <v>556</v>
      </c>
      <c r="H415" s="5" t="n">
        <v>88</v>
      </c>
      <c r="I415" s="5" t="n">
        <v>34</v>
      </c>
      <c r="J415" s="5" t="n">
        <v>54</v>
      </c>
      <c r="K415" s="10">
        <f>IF(F415&gt;0,H415/F415,"")</f>
        <v/>
      </c>
      <c r="L415" s="16">
        <f>IF(AND(G415&gt;0,H415&gt;0),G415/H415,"")</f>
        <v/>
      </c>
    </row>
    <row r="416">
      <c r="A416" s="4" t="inlineStr">
        <is>
          <t>371</t>
        </is>
      </c>
      <c r="B416" s="4" t="n">
        <v>3</v>
      </c>
      <c r="C416" s="4" t="inlineStr">
        <is>
          <t>antelope</t>
        </is>
      </c>
      <c r="D416" s="4" t="n">
        <v>2013</v>
      </c>
      <c r="E416" s="15" t="inlineStr">
        <is>
          <t>Draw</t>
        </is>
      </c>
      <c r="F416" s="5" t="n"/>
      <c r="G416" s="5" t="n"/>
      <c r="H416" s="5" t="n">
        <v>72</v>
      </c>
      <c r="I416" s="5" t="n">
        <v>34</v>
      </c>
      <c r="J416" s="5" t="n">
        <v>34</v>
      </c>
      <c r="K416" s="10">
        <f>IF(F416&gt;0,H416/F416,"")</f>
        <v/>
      </c>
      <c r="L416" s="16">
        <f>IF(AND(G416&gt;0,H416&gt;0),G416/H416,"")</f>
        <v/>
      </c>
    </row>
    <row r="417">
      <c r="A417" s="4" t="inlineStr">
        <is>
          <t>371</t>
        </is>
      </c>
      <c r="B417" s="4" t="n">
        <v>3</v>
      </c>
      <c r="C417" s="4" t="inlineStr">
        <is>
          <t>antelope</t>
        </is>
      </c>
      <c r="D417" s="4" t="n">
        <v>2014</v>
      </c>
      <c r="E417" s="15" t="inlineStr">
        <is>
          <t>Draw</t>
        </is>
      </c>
      <c r="F417" s="5" t="n">
        <v>113</v>
      </c>
      <c r="G417" s="5" t="n">
        <v>475</v>
      </c>
      <c r="H417" s="5" t="n">
        <v>52</v>
      </c>
      <c r="I417" s="5" t="n">
        <v>29</v>
      </c>
      <c r="J417" s="5" t="n">
        <v>24</v>
      </c>
      <c r="K417" s="10">
        <f>IF(F417&gt;0,H417/F417,"")</f>
        <v/>
      </c>
      <c r="L417" s="16">
        <f>IF(AND(G417&gt;0,H417&gt;0),G417/H417,"")</f>
        <v/>
      </c>
    </row>
    <row r="418">
      <c r="A418" s="4" t="inlineStr">
        <is>
          <t>371</t>
        </is>
      </c>
      <c r="B418" s="4" t="n">
        <v>3</v>
      </c>
      <c r="C418" s="4" t="inlineStr">
        <is>
          <t>antelope</t>
        </is>
      </c>
      <c r="D418" s="4" t="n">
        <v>2015</v>
      </c>
      <c r="E418" s="15" t="inlineStr">
        <is>
          <t>Draw</t>
        </is>
      </c>
      <c r="F418" s="5" t="n">
        <v>115</v>
      </c>
      <c r="G418" s="5" t="n">
        <v>511</v>
      </c>
      <c r="H418" s="5" t="n">
        <v>52</v>
      </c>
      <c r="I418" s="5" t="n">
        <v>20</v>
      </c>
      <c r="J418" s="5" t="n">
        <v>32</v>
      </c>
      <c r="K418" s="10">
        <f>IF(F418&gt;0,H418/F418,"")</f>
        <v/>
      </c>
      <c r="L418" s="16">
        <f>IF(AND(G418&gt;0,H418&gt;0),G418/H418,"")</f>
        <v/>
      </c>
    </row>
    <row r="419">
      <c r="A419" s="4" t="inlineStr">
        <is>
          <t>371</t>
        </is>
      </c>
      <c r="B419" s="4" t="n">
        <v>3</v>
      </c>
      <c r="C419" s="4" t="inlineStr">
        <is>
          <t>antelope</t>
        </is>
      </c>
      <c r="D419" s="4" t="n">
        <v>2016</v>
      </c>
      <c r="E419" s="15" t="inlineStr">
        <is>
          <t>Draw</t>
        </is>
      </c>
      <c r="F419" s="5" t="n"/>
      <c r="G419" s="5" t="n"/>
      <c r="H419" s="5" t="n">
        <v>62</v>
      </c>
      <c r="I419" s="5" t="n">
        <v>25</v>
      </c>
      <c r="J419" s="5" t="n">
        <v>38</v>
      </c>
      <c r="K419" s="10">
        <f>IF(F419&gt;0,H419/F419,"")</f>
        <v/>
      </c>
      <c r="L419" s="16">
        <f>IF(AND(G419&gt;0,H419&gt;0),G419/H419,"")</f>
        <v/>
      </c>
    </row>
    <row r="420">
      <c r="A420" s="4" t="inlineStr">
        <is>
          <t>371</t>
        </is>
      </c>
      <c r="B420" s="4" t="n">
        <v>3</v>
      </c>
      <c r="C420" s="4" t="inlineStr">
        <is>
          <t>antelope</t>
        </is>
      </c>
      <c r="D420" s="4" t="n">
        <v>2017</v>
      </c>
      <c r="E420" s="15" t="inlineStr">
        <is>
          <t>Draw</t>
        </is>
      </c>
      <c r="F420" s="5" t="n"/>
      <c r="G420" s="5" t="n"/>
      <c r="H420" s="5" t="n">
        <v>78</v>
      </c>
      <c r="I420" s="5" t="n">
        <v>31</v>
      </c>
      <c r="J420" s="5" t="n">
        <v>45</v>
      </c>
      <c r="K420" s="10">
        <f>IF(F420&gt;0,H420/F420,"")</f>
        <v/>
      </c>
      <c r="L420" s="16">
        <f>IF(AND(G420&gt;0,H420&gt;0),G420/H420,"")</f>
        <v/>
      </c>
    </row>
    <row r="421">
      <c r="A421" s="4" t="inlineStr">
        <is>
          <t>371</t>
        </is>
      </c>
      <c r="B421" s="4" t="n">
        <v>3</v>
      </c>
      <c r="C421" s="4" t="inlineStr">
        <is>
          <t>antelope</t>
        </is>
      </c>
      <c r="D421" s="4" t="n">
        <v>2018</v>
      </c>
      <c r="E421" s="15" t="inlineStr">
        <is>
          <t>Draw</t>
        </is>
      </c>
      <c r="F421" s="5" t="n">
        <v>150</v>
      </c>
      <c r="G421" s="5" t="n">
        <v>1138</v>
      </c>
      <c r="H421" s="5" t="n">
        <v>53</v>
      </c>
      <c r="I421" s="5" t="n">
        <v>26</v>
      </c>
      <c r="J421" s="5" t="n">
        <v>28</v>
      </c>
      <c r="K421" s="10">
        <f>IF(F421&gt;0,H421/F421,"")</f>
        <v/>
      </c>
      <c r="L421" s="16">
        <f>IF(AND(G421&gt;0,H421&gt;0),G421/H421,"")</f>
        <v/>
      </c>
    </row>
    <row r="422">
      <c r="A422" s="4" t="inlineStr">
        <is>
          <t>371</t>
        </is>
      </c>
      <c r="B422" s="4" t="n">
        <v>3</v>
      </c>
      <c r="C422" s="4" t="inlineStr">
        <is>
          <t>antelope</t>
        </is>
      </c>
      <c r="D422" s="4" t="n">
        <v>2019</v>
      </c>
      <c r="E422" s="15" t="inlineStr">
        <is>
          <t>Draw</t>
        </is>
      </c>
      <c r="F422" s="5" t="n"/>
      <c r="G422" s="5" t="n"/>
      <c r="H422" s="5" t="n">
        <v>53</v>
      </c>
      <c r="I422" s="5" t="n">
        <v>29</v>
      </c>
      <c r="J422" s="5" t="n">
        <v>24</v>
      </c>
      <c r="K422" s="10">
        <f>IF(F422&gt;0,H422/F422,"")</f>
        <v/>
      </c>
      <c r="L422" s="16">
        <f>IF(AND(G422&gt;0,H422&gt;0),G422/H422,"")</f>
        <v/>
      </c>
    </row>
    <row r="423">
      <c r="A423" s="4" t="inlineStr">
        <is>
          <t>371</t>
        </is>
      </c>
      <c r="B423" s="4" t="n">
        <v>3</v>
      </c>
      <c r="C423" s="4" t="inlineStr">
        <is>
          <t>antelope</t>
        </is>
      </c>
      <c r="D423" s="4" t="n">
        <v>2020</v>
      </c>
      <c r="E423" s="15" t="inlineStr">
        <is>
          <t>Draw</t>
        </is>
      </c>
      <c r="F423" s="5" t="n">
        <v>103</v>
      </c>
      <c r="G423" s="5" t="n">
        <v>509</v>
      </c>
      <c r="H423" s="5" t="n">
        <v>51</v>
      </c>
      <c r="I423" s="5" t="n">
        <v>23</v>
      </c>
      <c r="J423" s="5" t="n">
        <v>28</v>
      </c>
      <c r="K423" s="10">
        <f>IF(F423&gt;0,H423/F423,"")</f>
        <v/>
      </c>
      <c r="L423" s="16">
        <f>IF(AND(G423&gt;0,H423&gt;0),G423/H423,"")</f>
        <v/>
      </c>
    </row>
    <row r="424">
      <c r="A424" s="4" t="inlineStr">
        <is>
          <t>371</t>
        </is>
      </c>
      <c r="B424" s="4" t="n">
        <v>3</v>
      </c>
      <c r="C424" s="4" t="inlineStr">
        <is>
          <t>antelope</t>
        </is>
      </c>
      <c r="D424" s="4" t="n">
        <v>2021</v>
      </c>
      <c r="E424" s="15" t="inlineStr">
        <is>
          <t>Draw</t>
        </is>
      </c>
      <c r="F424" s="5" t="n"/>
      <c r="G424" s="5" t="n"/>
      <c r="H424" s="5" t="n">
        <v>29</v>
      </c>
      <c r="I424" s="5" t="n">
        <v>23</v>
      </c>
      <c r="J424" s="5" t="n">
        <v>6</v>
      </c>
      <c r="K424" s="10">
        <f>IF(F424&gt;0,H424/F424,"")</f>
        <v/>
      </c>
      <c r="L424" s="16">
        <f>IF(AND(G424&gt;0,H424&gt;0),G424/H424,"")</f>
        <v/>
      </c>
    </row>
    <row r="425">
      <c r="A425" s="4" t="inlineStr">
        <is>
          <t>371</t>
        </is>
      </c>
      <c r="B425" s="4" t="n">
        <v>3</v>
      </c>
      <c r="C425" s="4" t="inlineStr">
        <is>
          <t>antelope</t>
        </is>
      </c>
      <c r="D425" s="4" t="n">
        <v>2022</v>
      </c>
      <c r="E425" s="15" t="inlineStr">
        <is>
          <t>Draw</t>
        </is>
      </c>
      <c r="F425" s="5" t="n">
        <v>67</v>
      </c>
      <c r="G425" s="5" t="n">
        <v>316</v>
      </c>
      <c r="H425" s="5" t="n">
        <v>32</v>
      </c>
      <c r="I425" s="5" t="n">
        <v>23</v>
      </c>
      <c r="J425" s="5" t="n">
        <v>9</v>
      </c>
      <c r="K425" s="10">
        <f>IF(F425&gt;0,H425/F425,"")</f>
        <v/>
      </c>
      <c r="L425" s="16">
        <f>IF(AND(G425&gt;0,H425&gt;0),G425/H425,"")</f>
        <v/>
      </c>
    </row>
    <row r="426">
      <c r="A426" s="4" t="inlineStr">
        <is>
          <t>371</t>
        </is>
      </c>
      <c r="B426" s="4" t="n">
        <v>3</v>
      </c>
      <c r="C426" s="4" t="inlineStr">
        <is>
          <t>antelope</t>
        </is>
      </c>
      <c r="D426" s="4" t="n">
        <v>2023</v>
      </c>
      <c r="E426" s="15" t="inlineStr">
        <is>
          <t>Draw</t>
        </is>
      </c>
      <c r="F426" s="5" t="n"/>
      <c r="G426" s="5" t="n"/>
      <c r="H426" s="5" t="n">
        <v>18</v>
      </c>
      <c r="I426" s="5" t="n">
        <v>12</v>
      </c>
      <c r="J426" s="5" t="n">
        <v>6</v>
      </c>
      <c r="K426" s="10">
        <f>IF(F426&gt;0,H426/F426,"")</f>
        <v/>
      </c>
      <c r="L426" s="16">
        <f>IF(AND(G426&gt;0,H426&gt;0),G426/H426,"")</f>
        <v/>
      </c>
    </row>
    <row r="427">
      <c r="A427" s="4" t="inlineStr">
        <is>
          <t>371</t>
        </is>
      </c>
      <c r="B427" s="4" t="n">
        <v>3</v>
      </c>
      <c r="C427" s="4" t="inlineStr">
        <is>
          <t>antelope</t>
        </is>
      </c>
      <c r="D427" s="4" t="n">
        <v>2024</v>
      </c>
      <c r="E427" s="15" t="inlineStr">
        <is>
          <t>Draw</t>
        </is>
      </c>
      <c r="F427" s="5" t="n">
        <v>66</v>
      </c>
      <c r="G427" s="5" t="n">
        <v>395</v>
      </c>
      <c r="H427" s="5" t="n">
        <v>23</v>
      </c>
      <c r="I427" s="5" t="n">
        <v>15</v>
      </c>
      <c r="J427" s="5" t="n">
        <v>8</v>
      </c>
      <c r="K427" s="10">
        <f>IF(F427&gt;0,H427/F427,"")</f>
        <v/>
      </c>
      <c r="L427" s="16">
        <f>IF(AND(G427&gt;0,H427&gt;0),G427/H427,"")</f>
        <v/>
      </c>
    </row>
    <row r="428">
      <c r="A428" s="4" t="inlineStr">
        <is>
          <t>371</t>
        </is>
      </c>
      <c r="B428" s="4" t="n">
        <v>3</v>
      </c>
      <c r="C428" s="4" t="inlineStr">
        <is>
          <t>antelope</t>
        </is>
      </c>
      <c r="D428" s="4" t="n">
        <v>2025</v>
      </c>
      <c r="E428" s="15" t="inlineStr">
        <is>
          <t>Draw</t>
        </is>
      </c>
      <c r="F428" s="5" t="n"/>
      <c r="G428" s="5" t="n"/>
      <c r="H428" s="5" t="n">
        <v>38</v>
      </c>
      <c r="I428" s="5" t="n">
        <v>33</v>
      </c>
      <c r="J428" s="5" t="n">
        <v>5</v>
      </c>
      <c r="K428" s="10">
        <f>IF(F428&gt;0,H428/F428,"")</f>
        <v/>
      </c>
      <c r="L428" s="16">
        <f>IF(AND(G428&gt;0,H428&gt;0),G428/H428,"")</f>
        <v/>
      </c>
    </row>
    <row r="429">
      <c r="A429" s="4" t="inlineStr">
        <is>
          <t>380</t>
        </is>
      </c>
      <c r="B429" s="4" t="n">
        <v>3</v>
      </c>
      <c r="C429" s="4" t="inlineStr">
        <is>
          <t>antelope</t>
        </is>
      </c>
      <c r="D429" s="4" t="n">
        <v>2004</v>
      </c>
      <c r="E429" s="15" t="inlineStr">
        <is>
          <t>Draw</t>
        </is>
      </c>
      <c r="F429" s="5" t="n">
        <v>200</v>
      </c>
      <c r="G429" s="5" t="n">
        <v>853</v>
      </c>
      <c r="H429" s="5" t="n">
        <v>72</v>
      </c>
      <c r="I429" s="5" t="n">
        <v>41</v>
      </c>
      <c r="J429" s="5" t="n">
        <v>27</v>
      </c>
      <c r="K429" s="10">
        <f>IF(F429&gt;0,H429/F429,"")</f>
        <v/>
      </c>
      <c r="L429" s="16">
        <f>IF(AND(G429&gt;0,H429&gt;0),G429/H429,"")</f>
        <v/>
      </c>
    </row>
    <row r="430">
      <c r="A430" s="4" t="inlineStr">
        <is>
          <t>380</t>
        </is>
      </c>
      <c r="B430" s="4" t="n">
        <v>3</v>
      </c>
      <c r="C430" s="4" t="inlineStr">
        <is>
          <t>antelope</t>
        </is>
      </c>
      <c r="D430" s="4" t="n">
        <v>2005</v>
      </c>
      <c r="E430" s="15" t="inlineStr">
        <is>
          <t>Draw</t>
        </is>
      </c>
      <c r="F430" s="5" t="n">
        <v>259</v>
      </c>
      <c r="G430" s="5" t="n">
        <v>1116</v>
      </c>
      <c r="H430" s="5" t="n">
        <v>109</v>
      </c>
      <c r="I430" s="5" t="n">
        <v>54</v>
      </c>
      <c r="J430" s="5" t="n">
        <v>48</v>
      </c>
      <c r="K430" s="10">
        <f>IF(F430&gt;0,H430/F430,"")</f>
        <v/>
      </c>
      <c r="L430" s="16">
        <f>IF(AND(G430&gt;0,H430&gt;0),G430/H430,"")</f>
        <v/>
      </c>
    </row>
    <row r="431">
      <c r="A431" s="4" t="inlineStr">
        <is>
          <t>380</t>
        </is>
      </c>
      <c r="B431" s="4" t="n">
        <v>3</v>
      </c>
      <c r="C431" s="4" t="inlineStr">
        <is>
          <t>antelope</t>
        </is>
      </c>
      <c r="D431" s="4" t="n">
        <v>2006</v>
      </c>
      <c r="E431" s="15" t="inlineStr">
        <is>
          <t>Draw</t>
        </is>
      </c>
      <c r="F431" s="5" t="n">
        <v>224</v>
      </c>
      <c r="G431" s="5" t="n">
        <v>1217</v>
      </c>
      <c r="H431" s="5" t="n">
        <v>119</v>
      </c>
      <c r="I431" s="5" t="n">
        <v>56</v>
      </c>
      <c r="J431" s="5" t="n">
        <v>53</v>
      </c>
      <c r="K431" s="10">
        <f>IF(F431&gt;0,H431/F431,"")</f>
        <v/>
      </c>
      <c r="L431" s="16">
        <f>IF(AND(G431&gt;0,H431&gt;0),G431/H431,"")</f>
        <v/>
      </c>
    </row>
    <row r="432">
      <c r="A432" s="4" t="inlineStr">
        <is>
          <t>380</t>
        </is>
      </c>
      <c r="B432" s="4" t="n">
        <v>3</v>
      </c>
      <c r="C432" s="4" t="inlineStr">
        <is>
          <t>antelope</t>
        </is>
      </c>
      <c r="D432" s="4" t="n">
        <v>2007</v>
      </c>
      <c r="E432" s="15" t="inlineStr">
        <is>
          <t>Draw</t>
        </is>
      </c>
      <c r="F432" s="5" t="n">
        <v>240</v>
      </c>
      <c r="G432" s="5" t="n">
        <v>967</v>
      </c>
      <c r="H432" s="5" t="n">
        <v>133</v>
      </c>
      <c r="I432" s="5" t="n">
        <v>52</v>
      </c>
      <c r="J432" s="5" t="n">
        <v>71</v>
      </c>
      <c r="K432" s="10">
        <f>IF(F432&gt;0,H432/F432,"")</f>
        <v/>
      </c>
      <c r="L432" s="16">
        <f>IF(AND(G432&gt;0,H432&gt;0),G432/H432,"")</f>
        <v/>
      </c>
    </row>
    <row r="433">
      <c r="A433" s="4" t="inlineStr">
        <is>
          <t>380</t>
        </is>
      </c>
      <c r="B433" s="4" t="n">
        <v>3</v>
      </c>
      <c r="C433" s="4" t="inlineStr">
        <is>
          <t>antelope</t>
        </is>
      </c>
      <c r="D433" s="4" t="n">
        <v>2008</v>
      </c>
      <c r="E433" s="15" t="inlineStr">
        <is>
          <t>Draw</t>
        </is>
      </c>
      <c r="F433" s="5" t="n">
        <v>230</v>
      </c>
      <c r="G433" s="5" t="n">
        <v>1227</v>
      </c>
      <c r="H433" s="5" t="n">
        <v>96</v>
      </c>
      <c r="I433" s="5" t="n">
        <v>39</v>
      </c>
      <c r="J433" s="5" t="n">
        <v>48</v>
      </c>
      <c r="K433" s="10">
        <f>IF(F433&gt;0,H433/F433,"")</f>
        <v/>
      </c>
      <c r="L433" s="16">
        <f>IF(AND(G433&gt;0,H433&gt;0),G433/H433,"")</f>
        <v/>
      </c>
    </row>
    <row r="434">
      <c r="A434" s="4" t="inlineStr">
        <is>
          <t>380</t>
        </is>
      </c>
      <c r="B434" s="4" t="n">
        <v>3</v>
      </c>
      <c r="C434" s="4" t="inlineStr">
        <is>
          <t>antelope</t>
        </is>
      </c>
      <c r="D434" s="4" t="n">
        <v>2009</v>
      </c>
      <c r="E434" s="15" t="inlineStr">
        <is>
          <t>Draw</t>
        </is>
      </c>
      <c r="F434" s="5" t="n">
        <v>223</v>
      </c>
      <c r="G434" s="5" t="n">
        <v>998</v>
      </c>
      <c r="H434" s="5" t="n">
        <v>99</v>
      </c>
      <c r="I434" s="5" t="n">
        <v>42</v>
      </c>
      <c r="J434" s="5" t="n">
        <v>48</v>
      </c>
      <c r="K434" s="10">
        <f>IF(F434&gt;0,H434/F434,"")</f>
        <v/>
      </c>
      <c r="L434" s="16">
        <f>IF(AND(G434&gt;0,H434&gt;0),G434/H434,"")</f>
        <v/>
      </c>
    </row>
    <row r="435">
      <c r="A435" s="4" t="inlineStr">
        <is>
          <t>380</t>
        </is>
      </c>
      <c r="B435" s="4" t="n">
        <v>3</v>
      </c>
      <c r="C435" s="4" t="inlineStr">
        <is>
          <t>antelope</t>
        </is>
      </c>
      <c r="D435" s="4" t="n">
        <v>2010</v>
      </c>
      <c r="E435" s="15" t="inlineStr">
        <is>
          <t>Draw</t>
        </is>
      </c>
      <c r="F435" s="5" t="n">
        <v>161</v>
      </c>
      <c r="G435" s="5" t="n">
        <v>851</v>
      </c>
      <c r="H435" s="5" t="n">
        <v>67</v>
      </c>
      <c r="I435" s="5" t="n">
        <v>32</v>
      </c>
      <c r="J435" s="5" t="n">
        <v>35</v>
      </c>
      <c r="K435" s="10">
        <f>IF(F435&gt;0,H435/F435,"")</f>
        <v/>
      </c>
      <c r="L435" s="16">
        <f>IF(AND(G435&gt;0,H435&gt;0),G435/H435,"")</f>
        <v/>
      </c>
    </row>
    <row r="436">
      <c r="A436" s="4" t="inlineStr">
        <is>
          <t>380</t>
        </is>
      </c>
      <c r="B436" s="4" t="n">
        <v>3</v>
      </c>
      <c r="C436" s="4" t="inlineStr">
        <is>
          <t>antelope</t>
        </is>
      </c>
      <c r="D436" s="4" t="n">
        <v>2011</v>
      </c>
      <c r="E436" s="15" t="inlineStr">
        <is>
          <t>Draw</t>
        </is>
      </c>
      <c r="F436" s="5" t="n">
        <v>185</v>
      </c>
      <c r="G436" s="5" t="n">
        <v>1042</v>
      </c>
      <c r="H436" s="5" t="n">
        <v>75</v>
      </c>
      <c r="I436" s="5" t="n">
        <v>25</v>
      </c>
      <c r="J436" s="5" t="n">
        <v>49</v>
      </c>
      <c r="K436" s="10">
        <f>IF(F436&gt;0,H436/F436,"")</f>
        <v/>
      </c>
      <c r="L436" s="16">
        <f>IF(AND(G436&gt;0,H436&gt;0),G436/H436,"")</f>
        <v/>
      </c>
    </row>
    <row r="437">
      <c r="A437" s="4" t="inlineStr">
        <is>
          <t>380</t>
        </is>
      </c>
      <c r="B437" s="4" t="n">
        <v>3</v>
      </c>
      <c r="C437" s="4" t="inlineStr">
        <is>
          <t>antelope</t>
        </is>
      </c>
      <c r="D437" s="4" t="n">
        <v>2012</v>
      </c>
      <c r="E437" s="15" t="inlineStr">
        <is>
          <t>Draw</t>
        </is>
      </c>
      <c r="F437" s="5" t="n">
        <v>154</v>
      </c>
      <c r="G437" s="5" t="n">
        <v>739</v>
      </c>
      <c r="H437" s="5" t="n">
        <v>84</v>
      </c>
      <c r="I437" s="5" t="n">
        <v>30</v>
      </c>
      <c r="J437" s="5" t="n">
        <v>51</v>
      </c>
      <c r="K437" s="10">
        <f>IF(F437&gt;0,H437/F437,"")</f>
        <v/>
      </c>
      <c r="L437" s="16">
        <f>IF(AND(G437&gt;0,H437&gt;0),G437/H437,"")</f>
        <v/>
      </c>
    </row>
    <row r="438">
      <c r="A438" s="4" t="inlineStr">
        <is>
          <t>380</t>
        </is>
      </c>
      <c r="B438" s="4" t="n">
        <v>3</v>
      </c>
      <c r="C438" s="4" t="inlineStr">
        <is>
          <t>antelope</t>
        </is>
      </c>
      <c r="D438" s="4" t="n">
        <v>2013</v>
      </c>
      <c r="E438" s="15" t="inlineStr">
        <is>
          <t>Draw</t>
        </is>
      </c>
      <c r="F438" s="5" t="n"/>
      <c r="G438" s="5" t="n"/>
      <c r="H438" s="5" t="n">
        <v>49</v>
      </c>
      <c r="I438" s="5" t="n">
        <v>25</v>
      </c>
      <c r="J438" s="5" t="n">
        <v>24</v>
      </c>
      <c r="K438" s="10">
        <f>IF(F438&gt;0,H438/F438,"")</f>
        <v/>
      </c>
      <c r="L438" s="16">
        <f>IF(AND(G438&gt;0,H438&gt;0),G438/H438,"")</f>
        <v/>
      </c>
    </row>
    <row r="439">
      <c r="A439" s="4" t="inlineStr">
        <is>
          <t>380</t>
        </is>
      </c>
      <c r="B439" s="4" t="n">
        <v>3</v>
      </c>
      <c r="C439" s="4" t="inlineStr">
        <is>
          <t>antelope</t>
        </is>
      </c>
      <c r="D439" s="4" t="n">
        <v>2014</v>
      </c>
      <c r="E439" s="15" t="inlineStr">
        <is>
          <t>Draw</t>
        </is>
      </c>
      <c r="F439" s="5" t="n">
        <v>143</v>
      </c>
      <c r="G439" s="5" t="n">
        <v>811</v>
      </c>
      <c r="H439" s="5" t="n">
        <v>64</v>
      </c>
      <c r="I439" s="5" t="n">
        <v>21</v>
      </c>
      <c r="J439" s="5" t="n">
        <v>41</v>
      </c>
      <c r="K439" s="10">
        <f>IF(F439&gt;0,H439/F439,"")</f>
        <v/>
      </c>
      <c r="L439" s="16">
        <f>IF(AND(G439&gt;0,H439&gt;0),G439/H439,"")</f>
        <v/>
      </c>
    </row>
    <row r="440">
      <c r="A440" s="4" t="inlineStr">
        <is>
          <t>380</t>
        </is>
      </c>
      <c r="B440" s="4" t="n">
        <v>3</v>
      </c>
      <c r="C440" s="4" t="inlineStr">
        <is>
          <t>antelope</t>
        </is>
      </c>
      <c r="D440" s="4" t="n">
        <v>2015</v>
      </c>
      <c r="E440" s="15" t="inlineStr">
        <is>
          <t>Draw</t>
        </is>
      </c>
      <c r="F440" s="5" t="n">
        <v>136</v>
      </c>
      <c r="G440" s="5" t="n">
        <v>601</v>
      </c>
      <c r="H440" s="5" t="n">
        <v>42</v>
      </c>
      <c r="I440" s="5" t="n">
        <v>21</v>
      </c>
      <c r="J440" s="5" t="n">
        <v>21</v>
      </c>
      <c r="K440" s="10">
        <f>IF(F440&gt;0,H440/F440,"")</f>
        <v/>
      </c>
      <c r="L440" s="16">
        <f>IF(AND(G440&gt;0,H440&gt;0),G440/H440,"")</f>
        <v/>
      </c>
    </row>
    <row r="441">
      <c r="A441" s="4" t="inlineStr">
        <is>
          <t>380</t>
        </is>
      </c>
      <c r="B441" s="4" t="n">
        <v>3</v>
      </c>
      <c r="C441" s="4" t="inlineStr">
        <is>
          <t>antelope</t>
        </is>
      </c>
      <c r="D441" s="4" t="n">
        <v>2016</v>
      </c>
      <c r="E441" s="15" t="inlineStr">
        <is>
          <t>Draw</t>
        </is>
      </c>
      <c r="F441" s="5" t="n"/>
      <c r="G441" s="5" t="n"/>
      <c r="H441" s="5" t="n">
        <v>86</v>
      </c>
      <c r="I441" s="5" t="n">
        <v>43</v>
      </c>
      <c r="J441" s="5" t="n">
        <v>42</v>
      </c>
      <c r="K441" s="10">
        <f>IF(F441&gt;0,H441/F441,"")</f>
        <v/>
      </c>
      <c r="L441" s="16">
        <f>IF(AND(G441&gt;0,H441&gt;0),G441/H441,"")</f>
        <v/>
      </c>
    </row>
    <row r="442">
      <c r="A442" s="4" t="inlineStr">
        <is>
          <t>380</t>
        </is>
      </c>
      <c r="B442" s="4" t="n">
        <v>3</v>
      </c>
      <c r="C442" s="4" t="inlineStr">
        <is>
          <t>antelope</t>
        </is>
      </c>
      <c r="D442" s="4" t="n">
        <v>2017</v>
      </c>
      <c r="E442" s="15" t="inlineStr">
        <is>
          <t>Draw</t>
        </is>
      </c>
      <c r="F442" s="5" t="n"/>
      <c r="G442" s="5" t="n"/>
      <c r="H442" s="5" t="n">
        <v>87</v>
      </c>
      <c r="I442" s="5" t="n">
        <v>37</v>
      </c>
      <c r="J442" s="5" t="n">
        <v>46</v>
      </c>
      <c r="K442" s="10">
        <f>IF(F442&gt;0,H442/F442,"")</f>
        <v/>
      </c>
      <c r="L442" s="16">
        <f>IF(AND(G442&gt;0,H442&gt;0),G442/H442,"")</f>
        <v/>
      </c>
    </row>
    <row r="443">
      <c r="A443" s="4" t="inlineStr">
        <is>
          <t>380</t>
        </is>
      </c>
      <c r="B443" s="4" t="n">
        <v>3</v>
      </c>
      <c r="C443" s="4" t="inlineStr">
        <is>
          <t>antelope</t>
        </is>
      </c>
      <c r="D443" s="4" t="n">
        <v>2018</v>
      </c>
      <c r="E443" s="15" t="inlineStr">
        <is>
          <t>Draw</t>
        </is>
      </c>
      <c r="F443" s="5" t="n">
        <v>275</v>
      </c>
      <c r="G443" s="5" t="n">
        <v>1276</v>
      </c>
      <c r="H443" s="5" t="n">
        <v>95</v>
      </c>
      <c r="I443" s="5" t="n">
        <v>45</v>
      </c>
      <c r="J443" s="5" t="n">
        <v>48</v>
      </c>
      <c r="K443" s="10">
        <f>IF(F443&gt;0,H443/F443,"")</f>
        <v/>
      </c>
      <c r="L443" s="16">
        <f>IF(AND(G443&gt;0,H443&gt;0),G443/H443,"")</f>
        <v/>
      </c>
    </row>
    <row r="444">
      <c r="A444" s="4" t="inlineStr">
        <is>
          <t>380</t>
        </is>
      </c>
      <c r="B444" s="4" t="n">
        <v>3</v>
      </c>
      <c r="C444" s="4" t="inlineStr">
        <is>
          <t>antelope</t>
        </is>
      </c>
      <c r="D444" s="4" t="n">
        <v>2019</v>
      </c>
      <c r="E444" s="15" t="inlineStr">
        <is>
          <t>Draw</t>
        </is>
      </c>
      <c r="F444" s="5" t="n"/>
      <c r="G444" s="5" t="n"/>
      <c r="H444" s="5" t="n">
        <v>59</v>
      </c>
      <c r="I444" s="5" t="n">
        <v>30</v>
      </c>
      <c r="J444" s="5" t="n">
        <v>29</v>
      </c>
      <c r="K444" s="10">
        <f>IF(F444&gt;0,H444/F444,"")</f>
        <v/>
      </c>
      <c r="L444" s="16">
        <f>IF(AND(G444&gt;0,H444&gt;0),G444/H444,"")</f>
        <v/>
      </c>
    </row>
    <row r="445">
      <c r="A445" s="4" t="inlineStr">
        <is>
          <t>380</t>
        </is>
      </c>
      <c r="B445" s="4" t="n">
        <v>3</v>
      </c>
      <c r="C445" s="4" t="inlineStr">
        <is>
          <t>antelope</t>
        </is>
      </c>
      <c r="D445" s="4" t="n">
        <v>2020</v>
      </c>
      <c r="E445" s="15" t="inlineStr">
        <is>
          <t>Draw</t>
        </is>
      </c>
      <c r="F445" s="5" t="n">
        <v>198</v>
      </c>
      <c r="G445" s="5" t="n">
        <v>997</v>
      </c>
      <c r="H445" s="5" t="n">
        <v>71</v>
      </c>
      <c r="I445" s="5" t="n">
        <v>38</v>
      </c>
      <c r="J445" s="5" t="n">
        <v>33</v>
      </c>
      <c r="K445" s="10">
        <f>IF(F445&gt;0,H445/F445,"")</f>
        <v/>
      </c>
      <c r="L445" s="16">
        <f>IF(AND(G445&gt;0,H445&gt;0),G445/H445,"")</f>
        <v/>
      </c>
    </row>
    <row r="446">
      <c r="A446" s="4" t="inlineStr">
        <is>
          <t>380</t>
        </is>
      </c>
      <c r="B446" s="4" t="n">
        <v>3</v>
      </c>
      <c r="C446" s="4" t="inlineStr">
        <is>
          <t>antelope</t>
        </is>
      </c>
      <c r="D446" s="4" t="n">
        <v>2021</v>
      </c>
      <c r="E446" s="15" t="inlineStr">
        <is>
          <t>Draw</t>
        </is>
      </c>
      <c r="F446" s="5" t="n"/>
      <c r="G446" s="5" t="n"/>
      <c r="H446" s="5" t="n">
        <v>25</v>
      </c>
      <c r="I446" s="5" t="n">
        <v>8</v>
      </c>
      <c r="J446" s="5" t="n">
        <v>17</v>
      </c>
      <c r="K446" s="10">
        <f>IF(F446&gt;0,H446/F446,"")</f>
        <v/>
      </c>
      <c r="L446" s="16">
        <f>IF(AND(G446&gt;0,H446&gt;0),G446/H446,"")</f>
        <v/>
      </c>
    </row>
    <row r="447">
      <c r="A447" s="4" t="inlineStr">
        <is>
          <t>380</t>
        </is>
      </c>
      <c r="B447" s="4" t="n">
        <v>3</v>
      </c>
      <c r="C447" s="4" t="inlineStr">
        <is>
          <t>antelope</t>
        </is>
      </c>
      <c r="D447" s="4" t="n">
        <v>2022</v>
      </c>
      <c r="E447" s="15" t="inlineStr">
        <is>
          <t>Draw</t>
        </is>
      </c>
      <c r="F447" s="5" t="n">
        <v>119</v>
      </c>
      <c r="G447" s="5" t="n">
        <v>762</v>
      </c>
      <c r="H447" s="5" t="n">
        <v>14</v>
      </c>
      <c r="I447" s="5" t="n">
        <v>12</v>
      </c>
      <c r="J447" s="5" t="n">
        <v>2</v>
      </c>
      <c r="K447" s="10">
        <f>IF(F447&gt;0,H447/F447,"")</f>
        <v/>
      </c>
      <c r="L447" s="16">
        <f>IF(AND(G447&gt;0,H447&gt;0),G447/H447,"")</f>
        <v/>
      </c>
    </row>
    <row r="448">
      <c r="A448" s="4" t="inlineStr">
        <is>
          <t>380</t>
        </is>
      </c>
      <c r="B448" s="4" t="n">
        <v>3</v>
      </c>
      <c r="C448" s="4" t="inlineStr">
        <is>
          <t>antelope</t>
        </is>
      </c>
      <c r="D448" s="4" t="n">
        <v>2023</v>
      </c>
      <c r="E448" s="15" t="inlineStr">
        <is>
          <t>Draw</t>
        </is>
      </c>
      <c r="F448" s="5" t="n"/>
      <c r="G448" s="5" t="n"/>
      <c r="H448" s="5" t="n">
        <v>29</v>
      </c>
      <c r="I448" s="5" t="n">
        <v>19</v>
      </c>
      <c r="J448" s="5" t="n">
        <v>10</v>
      </c>
      <c r="K448" s="10">
        <f>IF(F448&gt;0,H448/F448,"")</f>
        <v/>
      </c>
      <c r="L448" s="16">
        <f>IF(AND(G448&gt;0,H448&gt;0),G448/H448,"")</f>
        <v/>
      </c>
    </row>
    <row r="449">
      <c r="A449" s="4" t="inlineStr">
        <is>
          <t>380</t>
        </is>
      </c>
      <c r="B449" s="4" t="n">
        <v>3</v>
      </c>
      <c r="C449" s="4" t="inlineStr">
        <is>
          <t>antelope</t>
        </is>
      </c>
      <c r="D449" s="4" t="n">
        <v>2024</v>
      </c>
      <c r="E449" s="15" t="inlineStr">
        <is>
          <t>Draw</t>
        </is>
      </c>
      <c r="F449" s="5" t="n">
        <v>107</v>
      </c>
      <c r="G449" s="5" t="n">
        <v>731</v>
      </c>
      <c r="H449" s="5" t="n">
        <v>30</v>
      </c>
      <c r="I449" s="5" t="n">
        <v>22</v>
      </c>
      <c r="J449" s="5" t="n">
        <v>8</v>
      </c>
      <c r="K449" s="10">
        <f>IF(F449&gt;0,H449/F449,"")</f>
        <v/>
      </c>
      <c r="L449" s="16">
        <f>IF(AND(G449&gt;0,H449&gt;0),G449/H449,"")</f>
        <v/>
      </c>
    </row>
    <row r="450">
      <c r="A450" s="4" t="inlineStr">
        <is>
          <t>380</t>
        </is>
      </c>
      <c r="B450" s="4" t="n">
        <v>3</v>
      </c>
      <c r="C450" s="4" t="inlineStr">
        <is>
          <t>antelope</t>
        </is>
      </c>
      <c r="D450" s="4" t="n">
        <v>2025</v>
      </c>
      <c r="E450" s="15" t="inlineStr">
        <is>
          <t>Draw</t>
        </is>
      </c>
      <c r="F450" s="5" t="n"/>
      <c r="G450" s="5" t="n"/>
      <c r="H450" s="5" t="n">
        <v>19</v>
      </c>
      <c r="I450" s="5" t="n">
        <v>19</v>
      </c>
      <c r="J450" s="5" t="n">
        <v>0</v>
      </c>
      <c r="K450" s="10">
        <f>IF(F450&gt;0,H450/F450,"")</f>
        <v/>
      </c>
      <c r="L450" s="16">
        <f>IF(AND(G450&gt;0,H450&gt;0),G450/H450,"")</f>
        <v/>
      </c>
    </row>
    <row r="451">
      <c r="A451" s="4" t="inlineStr">
        <is>
          <t>381</t>
        </is>
      </c>
      <c r="B451" s="4" t="n">
        <v>3</v>
      </c>
      <c r="C451" s="4" t="inlineStr">
        <is>
          <t>antelope</t>
        </is>
      </c>
      <c r="D451" s="4" t="n">
        <v>2004</v>
      </c>
      <c r="E451" s="15" t="inlineStr">
        <is>
          <t>Draw</t>
        </is>
      </c>
      <c r="F451" s="5" t="n">
        <v>72</v>
      </c>
      <c r="G451" s="5" t="n">
        <v>332</v>
      </c>
      <c r="H451" s="5" t="n">
        <v>21</v>
      </c>
      <c r="I451" s="5" t="n">
        <v>8</v>
      </c>
      <c r="J451" s="5" t="n">
        <v>13</v>
      </c>
      <c r="K451" s="10">
        <f>IF(F451&gt;0,H451/F451,"")</f>
        <v/>
      </c>
      <c r="L451" s="16">
        <f>IF(AND(G451&gt;0,H451&gt;0),G451/H451,"")</f>
        <v/>
      </c>
    </row>
    <row r="452">
      <c r="A452" s="4" t="inlineStr">
        <is>
          <t>381</t>
        </is>
      </c>
      <c r="B452" s="4" t="n">
        <v>3</v>
      </c>
      <c r="C452" s="4" t="inlineStr">
        <is>
          <t>antelope</t>
        </is>
      </c>
      <c r="D452" s="4" t="n">
        <v>2005</v>
      </c>
      <c r="E452" s="15" t="inlineStr">
        <is>
          <t>Draw</t>
        </is>
      </c>
      <c r="F452" s="5" t="n">
        <v>59</v>
      </c>
      <c r="G452" s="5" t="n">
        <v>331</v>
      </c>
      <c r="H452" s="5" t="n">
        <v>27</v>
      </c>
      <c r="I452" s="5" t="n">
        <v>13</v>
      </c>
      <c r="J452" s="5" t="n">
        <v>15</v>
      </c>
      <c r="K452" s="10">
        <f>IF(F452&gt;0,H452/F452,"")</f>
        <v/>
      </c>
      <c r="L452" s="16">
        <f>IF(AND(G452&gt;0,H452&gt;0),G452/H452,"")</f>
        <v/>
      </c>
    </row>
    <row r="453">
      <c r="A453" s="4" t="inlineStr">
        <is>
          <t>381</t>
        </is>
      </c>
      <c r="B453" s="4" t="n">
        <v>3</v>
      </c>
      <c r="C453" s="4" t="inlineStr">
        <is>
          <t>antelope</t>
        </is>
      </c>
      <c r="D453" s="4" t="n">
        <v>2006</v>
      </c>
      <c r="E453" s="15" t="inlineStr">
        <is>
          <t>Draw</t>
        </is>
      </c>
      <c r="F453" s="5" t="n">
        <v>83</v>
      </c>
      <c r="G453" s="5" t="n">
        <v>371</v>
      </c>
      <c r="H453" s="5" t="n">
        <v>32</v>
      </c>
      <c r="I453" s="5" t="n">
        <v>12</v>
      </c>
      <c r="J453" s="5" t="n">
        <v>17</v>
      </c>
      <c r="K453" s="10">
        <f>IF(F453&gt;0,H453/F453,"")</f>
        <v/>
      </c>
      <c r="L453" s="16">
        <f>IF(AND(G453&gt;0,H453&gt;0),G453/H453,"")</f>
        <v/>
      </c>
    </row>
    <row r="454">
      <c r="A454" s="4" t="inlineStr">
        <is>
          <t>381</t>
        </is>
      </c>
      <c r="B454" s="4" t="n">
        <v>3</v>
      </c>
      <c r="C454" s="4" t="inlineStr">
        <is>
          <t>antelope</t>
        </is>
      </c>
      <c r="D454" s="4" t="n">
        <v>2007</v>
      </c>
      <c r="E454" s="15" t="inlineStr">
        <is>
          <t>Draw</t>
        </is>
      </c>
      <c r="F454" s="5" t="n">
        <v>74</v>
      </c>
      <c r="G454" s="5" t="n">
        <v>376</v>
      </c>
      <c r="H454" s="5" t="n">
        <v>34</v>
      </c>
      <c r="I454" s="5" t="n">
        <v>17</v>
      </c>
      <c r="J454" s="5" t="n">
        <v>17</v>
      </c>
      <c r="K454" s="10">
        <f>IF(F454&gt;0,H454/F454,"")</f>
        <v/>
      </c>
      <c r="L454" s="16">
        <f>IF(AND(G454&gt;0,H454&gt;0),G454/H454,"")</f>
        <v/>
      </c>
    </row>
    <row r="455">
      <c r="A455" s="4" t="inlineStr">
        <is>
          <t>381</t>
        </is>
      </c>
      <c r="B455" s="4" t="n">
        <v>3</v>
      </c>
      <c r="C455" s="4" t="inlineStr">
        <is>
          <t>antelope</t>
        </is>
      </c>
      <c r="D455" s="4" t="n">
        <v>2008</v>
      </c>
      <c r="E455" s="15" t="inlineStr">
        <is>
          <t>Draw</t>
        </is>
      </c>
      <c r="F455" s="5" t="n">
        <v>40</v>
      </c>
      <c r="G455" s="5" t="n">
        <v>220</v>
      </c>
      <c r="H455" s="5" t="n">
        <v>14</v>
      </c>
      <c r="I455" s="5" t="n">
        <v>11</v>
      </c>
      <c r="J455" s="5" t="n">
        <v>4</v>
      </c>
      <c r="K455" s="10">
        <f>IF(F455&gt;0,H455/F455,"")</f>
        <v/>
      </c>
      <c r="L455" s="16">
        <f>IF(AND(G455&gt;0,H455&gt;0),G455/H455,"")</f>
        <v/>
      </c>
    </row>
    <row r="456">
      <c r="A456" s="4" t="inlineStr">
        <is>
          <t>381</t>
        </is>
      </c>
      <c r="B456" s="4" t="n">
        <v>3</v>
      </c>
      <c r="C456" s="4" t="inlineStr">
        <is>
          <t>antelope</t>
        </is>
      </c>
      <c r="D456" s="4" t="n">
        <v>2009</v>
      </c>
      <c r="E456" s="15" t="inlineStr">
        <is>
          <t>Draw</t>
        </is>
      </c>
      <c r="F456" s="5" t="n">
        <v>35</v>
      </c>
      <c r="G456" s="5" t="n">
        <v>146</v>
      </c>
      <c r="H456" s="5" t="n">
        <v>20</v>
      </c>
      <c r="I456" s="5" t="n">
        <v>15</v>
      </c>
      <c r="J456" s="5" t="n">
        <v>4</v>
      </c>
      <c r="K456" s="10">
        <f>IF(F456&gt;0,H456/F456,"")</f>
        <v/>
      </c>
      <c r="L456" s="16">
        <f>IF(AND(G456&gt;0,H456&gt;0),G456/H456,"")</f>
        <v/>
      </c>
    </row>
    <row r="457">
      <c r="A457" s="4" t="inlineStr">
        <is>
          <t>381</t>
        </is>
      </c>
      <c r="B457" s="4" t="n">
        <v>3</v>
      </c>
      <c r="C457" s="4" t="inlineStr">
        <is>
          <t>antelope</t>
        </is>
      </c>
      <c r="D457" s="4" t="n">
        <v>2010</v>
      </c>
      <c r="E457" s="15" t="inlineStr">
        <is>
          <t>Draw</t>
        </is>
      </c>
      <c r="F457" s="5" t="n">
        <v>45</v>
      </c>
      <c r="G457" s="5" t="n">
        <v>187</v>
      </c>
      <c r="H457" s="5" t="n">
        <v>19</v>
      </c>
      <c r="I457" s="5" t="n">
        <v>13</v>
      </c>
      <c r="J457" s="5" t="n">
        <v>5</v>
      </c>
      <c r="K457" s="10">
        <f>IF(F457&gt;0,H457/F457,"")</f>
        <v/>
      </c>
      <c r="L457" s="16">
        <f>IF(AND(G457&gt;0,H457&gt;0),G457/H457,"")</f>
        <v/>
      </c>
    </row>
    <row r="458">
      <c r="A458" s="4" t="inlineStr">
        <is>
          <t>381</t>
        </is>
      </c>
      <c r="B458" s="4" t="n">
        <v>3</v>
      </c>
      <c r="C458" s="4" t="inlineStr">
        <is>
          <t>antelope</t>
        </is>
      </c>
      <c r="D458" s="4" t="n">
        <v>2011</v>
      </c>
      <c r="E458" s="15" t="inlineStr">
        <is>
          <t>Draw</t>
        </is>
      </c>
      <c r="F458" s="5" t="n">
        <v>29</v>
      </c>
      <c r="G458" s="5" t="n">
        <v>132</v>
      </c>
      <c r="H458" s="5" t="n">
        <v>15</v>
      </c>
      <c r="I458" s="5" t="n">
        <v>13</v>
      </c>
      <c r="J458" s="5" t="n">
        <v>3</v>
      </c>
      <c r="K458" s="10">
        <f>IF(F458&gt;0,H458/F458,"")</f>
        <v/>
      </c>
      <c r="L458" s="16">
        <f>IF(AND(G458&gt;0,H458&gt;0),G458/H458,"")</f>
        <v/>
      </c>
    </row>
    <row r="459">
      <c r="A459" s="4" t="inlineStr">
        <is>
          <t>381</t>
        </is>
      </c>
      <c r="B459" s="4" t="n">
        <v>3</v>
      </c>
      <c r="C459" s="4" t="inlineStr">
        <is>
          <t>antelope</t>
        </is>
      </c>
      <c r="D459" s="4" t="n">
        <v>2012</v>
      </c>
      <c r="E459" s="15" t="inlineStr">
        <is>
          <t>Draw</t>
        </is>
      </c>
      <c r="F459" s="5" t="n">
        <v>31</v>
      </c>
      <c r="G459" s="5" t="n">
        <v>133</v>
      </c>
      <c r="H459" s="5" t="n">
        <v>13</v>
      </c>
      <c r="I459" s="5" t="n">
        <v>7</v>
      </c>
      <c r="J459" s="5" t="n">
        <v>5</v>
      </c>
      <c r="K459" s="10">
        <f>IF(F459&gt;0,H459/F459,"")</f>
        <v/>
      </c>
      <c r="L459" s="16">
        <f>IF(AND(G459&gt;0,H459&gt;0),G459/H459,"")</f>
        <v/>
      </c>
    </row>
    <row r="460">
      <c r="A460" s="4" t="inlineStr">
        <is>
          <t>381</t>
        </is>
      </c>
      <c r="B460" s="4" t="n">
        <v>3</v>
      </c>
      <c r="C460" s="4" t="inlineStr">
        <is>
          <t>antelope</t>
        </is>
      </c>
      <c r="D460" s="4" t="n">
        <v>2013</v>
      </c>
      <c r="E460" s="15" t="inlineStr">
        <is>
          <t>Draw</t>
        </is>
      </c>
      <c r="F460" s="5" t="n"/>
      <c r="G460" s="5" t="n"/>
      <c r="H460" s="5" t="n">
        <v>16</v>
      </c>
      <c r="I460" s="5" t="n">
        <v>12</v>
      </c>
      <c r="J460" s="5" t="n">
        <v>4</v>
      </c>
      <c r="K460" s="10">
        <f>IF(F460&gt;0,H460/F460,"")</f>
        <v/>
      </c>
      <c r="L460" s="16">
        <f>IF(AND(G460&gt;0,H460&gt;0),G460/H460,"")</f>
        <v/>
      </c>
    </row>
    <row r="461">
      <c r="A461" s="4" t="inlineStr">
        <is>
          <t>381</t>
        </is>
      </c>
      <c r="B461" s="4" t="n">
        <v>3</v>
      </c>
      <c r="C461" s="4" t="inlineStr">
        <is>
          <t>antelope</t>
        </is>
      </c>
      <c r="D461" s="4" t="n">
        <v>2014</v>
      </c>
      <c r="E461" s="15" t="inlineStr">
        <is>
          <t>Draw</t>
        </is>
      </c>
      <c r="F461" s="5" t="n">
        <v>28</v>
      </c>
      <c r="G461" s="5" t="n">
        <v>86</v>
      </c>
      <c r="H461" s="5" t="n">
        <v>11</v>
      </c>
      <c r="I461" s="5" t="n">
        <v>7</v>
      </c>
      <c r="J461" s="5" t="n">
        <v>4</v>
      </c>
      <c r="K461" s="10">
        <f>IF(F461&gt;0,H461/F461,"")</f>
        <v/>
      </c>
      <c r="L461" s="16">
        <f>IF(AND(G461&gt;0,H461&gt;0),G461/H461,"")</f>
        <v/>
      </c>
    </row>
    <row r="462">
      <c r="A462" s="4" t="inlineStr">
        <is>
          <t>381</t>
        </is>
      </c>
      <c r="B462" s="4" t="n">
        <v>3</v>
      </c>
      <c r="C462" s="4" t="inlineStr">
        <is>
          <t>antelope</t>
        </is>
      </c>
      <c r="D462" s="4" t="n">
        <v>2015</v>
      </c>
      <c r="E462" s="15" t="inlineStr">
        <is>
          <t>Draw</t>
        </is>
      </c>
      <c r="F462" s="5" t="n">
        <v>37</v>
      </c>
      <c r="G462" s="5" t="n">
        <v>106</v>
      </c>
      <c r="H462" s="5" t="n">
        <v>5</v>
      </c>
      <c r="I462" s="5" t="n">
        <v>2</v>
      </c>
      <c r="J462" s="5" t="n">
        <v>2</v>
      </c>
      <c r="K462" s="10">
        <f>IF(F462&gt;0,H462/F462,"")</f>
        <v/>
      </c>
      <c r="L462" s="16">
        <f>IF(AND(G462&gt;0,H462&gt;0),G462/H462,"")</f>
        <v/>
      </c>
    </row>
    <row r="463">
      <c r="A463" s="4" t="inlineStr">
        <is>
          <t>381</t>
        </is>
      </c>
      <c r="B463" s="4" t="n">
        <v>3</v>
      </c>
      <c r="C463" s="4" t="inlineStr">
        <is>
          <t>antelope</t>
        </is>
      </c>
      <c r="D463" s="4" t="n">
        <v>2016</v>
      </c>
      <c r="E463" s="15" t="inlineStr">
        <is>
          <t>Draw</t>
        </is>
      </c>
      <c r="F463" s="5" t="n"/>
      <c r="G463" s="5" t="n"/>
      <c r="H463" s="5" t="n">
        <v>2</v>
      </c>
      <c r="I463" s="5" t="n">
        <v>0</v>
      </c>
      <c r="J463" s="5" t="n">
        <v>2</v>
      </c>
      <c r="K463" s="10">
        <f>IF(F463&gt;0,H463/F463,"")</f>
        <v/>
      </c>
      <c r="L463" s="16">
        <f>IF(AND(G463&gt;0,H463&gt;0),G463/H463,"")</f>
        <v/>
      </c>
    </row>
    <row r="464">
      <c r="A464" s="4" t="inlineStr">
        <is>
          <t>381</t>
        </is>
      </c>
      <c r="B464" s="4" t="n">
        <v>3</v>
      </c>
      <c r="C464" s="4" t="inlineStr">
        <is>
          <t>antelope</t>
        </is>
      </c>
      <c r="D464" s="4" t="n">
        <v>2017</v>
      </c>
      <c r="E464" s="15" t="inlineStr">
        <is>
          <t>Draw</t>
        </is>
      </c>
      <c r="F464" s="5" t="n"/>
      <c r="G464" s="5" t="n"/>
      <c r="H464" s="5" t="n">
        <v>7</v>
      </c>
      <c r="I464" s="5" t="n">
        <v>7</v>
      </c>
      <c r="J464" s="5" t="n">
        <v>0</v>
      </c>
      <c r="K464" s="10">
        <f>IF(F464&gt;0,H464/F464,"")</f>
        <v/>
      </c>
      <c r="L464" s="16">
        <f>IF(AND(G464&gt;0,H464&gt;0),G464/H464,"")</f>
        <v/>
      </c>
    </row>
    <row r="465">
      <c r="A465" s="4" t="inlineStr">
        <is>
          <t>381</t>
        </is>
      </c>
      <c r="B465" s="4" t="n">
        <v>3</v>
      </c>
      <c r="C465" s="4" t="inlineStr">
        <is>
          <t>antelope</t>
        </is>
      </c>
      <c r="D465" s="4" t="n">
        <v>2018</v>
      </c>
      <c r="E465" s="15" t="inlineStr">
        <is>
          <t>Draw</t>
        </is>
      </c>
      <c r="F465" s="5" t="n">
        <v>33</v>
      </c>
      <c r="G465" s="5" t="n">
        <v>54</v>
      </c>
      <c r="H465" s="5" t="n">
        <v>11</v>
      </c>
      <c r="I465" s="5" t="n">
        <v>11</v>
      </c>
      <c r="J465" s="5" t="n">
        <v>0</v>
      </c>
      <c r="K465" s="10">
        <f>IF(F465&gt;0,H465/F465,"")</f>
        <v/>
      </c>
      <c r="L465" s="16">
        <f>IF(AND(G465&gt;0,H465&gt;0),G465/H465,"")</f>
        <v/>
      </c>
    </row>
    <row r="466">
      <c r="A466" s="4" t="inlineStr">
        <is>
          <t>381</t>
        </is>
      </c>
      <c r="B466" s="4" t="n">
        <v>3</v>
      </c>
      <c r="C466" s="4" t="inlineStr">
        <is>
          <t>antelope</t>
        </is>
      </c>
      <c r="D466" s="4" t="n">
        <v>2019</v>
      </c>
      <c r="E466" s="15" t="inlineStr">
        <is>
          <t>Draw</t>
        </is>
      </c>
      <c r="F466" s="5" t="n"/>
      <c r="G466" s="5" t="n"/>
      <c r="H466" s="5" t="n">
        <v>2</v>
      </c>
      <c r="I466" s="5" t="n">
        <v>2</v>
      </c>
      <c r="J466" s="5" t="n">
        <v>0</v>
      </c>
      <c r="K466" s="10">
        <f>IF(F466&gt;0,H466/F466,"")</f>
        <v/>
      </c>
      <c r="L466" s="16">
        <f>IF(AND(G466&gt;0,H466&gt;0),G466/H466,"")</f>
        <v/>
      </c>
    </row>
    <row r="467">
      <c r="A467" s="4" t="inlineStr">
        <is>
          <t>381</t>
        </is>
      </c>
      <c r="B467" s="4" t="n">
        <v>3</v>
      </c>
      <c r="C467" s="4" t="inlineStr">
        <is>
          <t>antelope</t>
        </is>
      </c>
      <c r="D467" s="4" t="n">
        <v>2020</v>
      </c>
      <c r="E467" s="15" t="inlineStr">
        <is>
          <t>Draw</t>
        </is>
      </c>
      <c r="F467" s="5" t="n">
        <v>15</v>
      </c>
      <c r="G467" s="5" t="n">
        <v>46</v>
      </c>
      <c r="H467" s="5" t="n">
        <v>5</v>
      </c>
      <c r="I467" s="5" t="n">
        <v>5</v>
      </c>
      <c r="J467" s="5" t="n">
        <v>0</v>
      </c>
      <c r="K467" s="10">
        <f>IF(F467&gt;0,H467/F467,"")</f>
        <v/>
      </c>
      <c r="L467" s="16">
        <f>IF(AND(G467&gt;0,H467&gt;0),G467/H467,"")</f>
        <v/>
      </c>
    </row>
    <row r="468">
      <c r="A468" s="4" t="inlineStr">
        <is>
          <t>381</t>
        </is>
      </c>
      <c r="B468" s="4" t="n">
        <v>3</v>
      </c>
      <c r="C468" s="4" t="inlineStr">
        <is>
          <t>antelope</t>
        </is>
      </c>
      <c r="D468" s="4" t="n">
        <v>2021</v>
      </c>
      <c r="E468" s="15" t="inlineStr">
        <is>
          <t>Draw</t>
        </is>
      </c>
      <c r="F468" s="5" t="n"/>
      <c r="G468" s="5" t="n"/>
      <c r="H468" s="5" t="n">
        <v>7</v>
      </c>
      <c r="I468" s="5" t="n">
        <v>6</v>
      </c>
      <c r="J468" s="5" t="n">
        <v>2</v>
      </c>
      <c r="K468" s="10">
        <f>IF(F468&gt;0,H468/F468,"")</f>
        <v/>
      </c>
      <c r="L468" s="16">
        <f>IF(AND(G468&gt;0,H468&gt;0),G468/H468,"")</f>
        <v/>
      </c>
    </row>
    <row r="469">
      <c r="A469" s="4" t="inlineStr">
        <is>
          <t>381</t>
        </is>
      </c>
      <c r="B469" s="4" t="n">
        <v>3</v>
      </c>
      <c r="C469" s="4" t="inlineStr">
        <is>
          <t>antelope</t>
        </is>
      </c>
      <c r="D469" s="4" t="n">
        <v>2022</v>
      </c>
      <c r="E469" s="15" t="inlineStr">
        <is>
          <t>Draw</t>
        </is>
      </c>
      <c r="F469" s="5" t="n">
        <v>7</v>
      </c>
      <c r="G469" s="5" t="n">
        <v>33</v>
      </c>
      <c r="H469" s="5" t="n">
        <v>3</v>
      </c>
      <c r="I469" s="5" t="n">
        <v>3</v>
      </c>
      <c r="J469" s="5" t="n">
        <v>0</v>
      </c>
      <c r="K469" s="10">
        <f>IF(F469&gt;0,H469/F469,"")</f>
        <v/>
      </c>
      <c r="L469" s="16">
        <f>IF(AND(G469&gt;0,H469&gt;0),G469/H469,"")</f>
        <v/>
      </c>
    </row>
    <row r="470">
      <c r="A470" s="4" t="inlineStr">
        <is>
          <t>381</t>
        </is>
      </c>
      <c r="B470" s="4" t="n">
        <v>3</v>
      </c>
      <c r="C470" s="4" t="inlineStr">
        <is>
          <t>antelope</t>
        </is>
      </c>
      <c r="D470" s="4" t="n">
        <v>2023</v>
      </c>
      <c r="E470" s="15" t="inlineStr">
        <is>
          <t>Draw</t>
        </is>
      </c>
      <c r="F470" s="5" t="n"/>
      <c r="G470" s="5" t="n"/>
      <c r="H470" s="5" t="n">
        <v>3</v>
      </c>
      <c r="I470" s="5" t="n">
        <v>3</v>
      </c>
      <c r="J470" s="5" t="n">
        <v>0</v>
      </c>
      <c r="K470" s="10">
        <f>IF(F470&gt;0,H470/F470,"")</f>
        <v/>
      </c>
      <c r="L470" s="16">
        <f>IF(AND(G470&gt;0,H470&gt;0),G470/H470,"")</f>
        <v/>
      </c>
    </row>
    <row r="471">
      <c r="A471" s="4" t="inlineStr">
        <is>
          <t>381</t>
        </is>
      </c>
      <c r="B471" s="4" t="n">
        <v>3</v>
      </c>
      <c r="C471" s="4" t="inlineStr">
        <is>
          <t>antelope</t>
        </is>
      </c>
      <c r="D471" s="4" t="n">
        <v>2024</v>
      </c>
      <c r="E471" s="15" t="inlineStr">
        <is>
          <t>Draw</t>
        </is>
      </c>
      <c r="F471" s="5" t="n">
        <v>18</v>
      </c>
      <c r="G471" s="5" t="n">
        <v>197</v>
      </c>
      <c r="H471" s="5" t="n">
        <v>6</v>
      </c>
      <c r="I471" s="5" t="n">
        <v>3</v>
      </c>
      <c r="J471" s="5" t="n">
        <v>3</v>
      </c>
      <c r="K471" s="10">
        <f>IF(F471&gt;0,H471/F471,"")</f>
        <v/>
      </c>
      <c r="L471" s="16">
        <f>IF(AND(G471&gt;0,H471&gt;0),G471/H471,"")</f>
        <v/>
      </c>
    </row>
    <row r="472">
      <c r="A472" s="4" t="inlineStr">
        <is>
          <t>381</t>
        </is>
      </c>
      <c r="B472" s="4" t="n">
        <v>3</v>
      </c>
      <c r="C472" s="4" t="inlineStr">
        <is>
          <t>antelope</t>
        </is>
      </c>
      <c r="D472" s="4" t="n">
        <v>2025</v>
      </c>
      <c r="E472" s="15" t="inlineStr">
        <is>
          <t>Draw</t>
        </is>
      </c>
      <c r="F472" s="5" t="n"/>
      <c r="G472" s="5" t="n"/>
      <c r="H472" s="5" t="n">
        <v>6</v>
      </c>
      <c r="I472" s="5" t="n">
        <v>6</v>
      </c>
      <c r="J472" s="5" t="n">
        <v>0</v>
      </c>
      <c r="K472" s="10">
        <f>IF(F472&gt;0,H472/F472,"")</f>
        <v/>
      </c>
      <c r="L472" s="16">
        <f>IF(AND(G472&gt;0,H472&gt;0),G472/H472,"")</f>
        <v/>
      </c>
    </row>
    <row r="473">
      <c r="A473" s="4" t="inlineStr">
        <is>
          <t>388</t>
        </is>
      </c>
      <c r="B473" s="4" t="n">
        <v>3</v>
      </c>
      <c r="C473" s="4" t="inlineStr">
        <is>
          <t>antelope</t>
        </is>
      </c>
      <c r="D473" s="4" t="n">
        <v>2008</v>
      </c>
      <c r="E473" s="15" t="inlineStr">
        <is>
          <t>Draw</t>
        </is>
      </c>
      <c r="F473" s="5" t="n">
        <v>134</v>
      </c>
      <c r="G473" s="5" t="n">
        <v>843</v>
      </c>
      <c r="H473" s="5" t="n">
        <v>55</v>
      </c>
      <c r="I473" s="5" t="n">
        <v>34</v>
      </c>
      <c r="J473" s="5" t="n">
        <v>21</v>
      </c>
      <c r="K473" s="10">
        <f>IF(F473&gt;0,H473/F473,"")</f>
        <v/>
      </c>
      <c r="L473" s="16">
        <f>IF(AND(G473&gt;0,H473&gt;0),G473/H473,"")</f>
        <v/>
      </c>
    </row>
    <row r="474">
      <c r="A474" s="4" t="inlineStr">
        <is>
          <t>388</t>
        </is>
      </c>
      <c r="B474" s="4" t="n">
        <v>3</v>
      </c>
      <c r="C474" s="4" t="inlineStr">
        <is>
          <t>antelope</t>
        </is>
      </c>
      <c r="D474" s="4" t="n">
        <v>2009</v>
      </c>
      <c r="E474" s="15" t="inlineStr">
        <is>
          <t>Draw</t>
        </is>
      </c>
      <c r="F474" s="5" t="n">
        <v>96</v>
      </c>
      <c r="G474" s="5" t="n">
        <v>453</v>
      </c>
      <c r="H474" s="5" t="n">
        <v>48</v>
      </c>
      <c r="I474" s="5" t="n">
        <v>25</v>
      </c>
      <c r="J474" s="5" t="n">
        <v>19</v>
      </c>
      <c r="K474" s="10">
        <f>IF(F474&gt;0,H474/F474,"")</f>
        <v/>
      </c>
      <c r="L474" s="16">
        <f>IF(AND(G474&gt;0,H474&gt;0),G474/H474,"")</f>
        <v/>
      </c>
    </row>
    <row r="475">
      <c r="A475" s="4" t="inlineStr">
        <is>
          <t>388</t>
        </is>
      </c>
      <c r="B475" s="4" t="n">
        <v>3</v>
      </c>
      <c r="C475" s="4" t="inlineStr">
        <is>
          <t>antelope</t>
        </is>
      </c>
      <c r="D475" s="4" t="n">
        <v>2010</v>
      </c>
      <c r="E475" s="15" t="inlineStr">
        <is>
          <t>Draw</t>
        </is>
      </c>
      <c r="F475" s="5" t="n">
        <v>100</v>
      </c>
      <c r="G475" s="5" t="n">
        <v>547</v>
      </c>
      <c r="H475" s="5" t="n">
        <v>35</v>
      </c>
      <c r="I475" s="5" t="n">
        <v>20</v>
      </c>
      <c r="J475" s="5" t="n">
        <v>13</v>
      </c>
      <c r="K475" s="10">
        <f>IF(F475&gt;0,H475/F475,"")</f>
        <v/>
      </c>
      <c r="L475" s="16">
        <f>IF(AND(G475&gt;0,H475&gt;0),G475/H475,"")</f>
        <v/>
      </c>
    </row>
    <row r="476">
      <c r="A476" s="4" t="inlineStr">
        <is>
          <t>388</t>
        </is>
      </c>
      <c r="B476" s="4" t="n">
        <v>3</v>
      </c>
      <c r="C476" s="4" t="inlineStr">
        <is>
          <t>antelope</t>
        </is>
      </c>
      <c r="D476" s="4" t="n">
        <v>2011</v>
      </c>
      <c r="E476" s="15" t="inlineStr">
        <is>
          <t>Draw</t>
        </is>
      </c>
      <c r="F476" s="5" t="n">
        <v>73</v>
      </c>
      <c r="G476" s="5" t="n">
        <v>350</v>
      </c>
      <c r="H476" s="5" t="n">
        <v>45</v>
      </c>
      <c r="I476" s="5" t="n">
        <v>19</v>
      </c>
      <c r="J476" s="5" t="n">
        <v>24</v>
      </c>
      <c r="K476" s="10">
        <f>IF(F476&gt;0,H476/F476,"")</f>
        <v/>
      </c>
      <c r="L476" s="16">
        <f>IF(AND(G476&gt;0,H476&gt;0),G476/H476,"")</f>
        <v/>
      </c>
    </row>
    <row r="477">
      <c r="A477" s="4" t="inlineStr">
        <is>
          <t>388</t>
        </is>
      </c>
      <c r="B477" s="4" t="n">
        <v>3</v>
      </c>
      <c r="C477" s="4" t="inlineStr">
        <is>
          <t>antelope</t>
        </is>
      </c>
      <c r="D477" s="4" t="n">
        <v>2012</v>
      </c>
      <c r="E477" s="15" t="inlineStr">
        <is>
          <t>Draw</t>
        </is>
      </c>
      <c r="F477" s="5" t="n">
        <v>92</v>
      </c>
      <c r="G477" s="5" t="n">
        <v>513</v>
      </c>
      <c r="H477" s="5" t="n">
        <v>44</v>
      </c>
      <c r="I477" s="5" t="n">
        <v>23</v>
      </c>
      <c r="J477" s="5" t="n">
        <v>21</v>
      </c>
      <c r="K477" s="10">
        <f>IF(F477&gt;0,H477/F477,"")</f>
        <v/>
      </c>
      <c r="L477" s="16">
        <f>IF(AND(G477&gt;0,H477&gt;0),G477/H477,"")</f>
        <v/>
      </c>
    </row>
    <row r="478">
      <c r="A478" s="4" t="inlineStr">
        <is>
          <t>388</t>
        </is>
      </c>
      <c r="B478" s="4" t="n">
        <v>3</v>
      </c>
      <c r="C478" s="4" t="inlineStr">
        <is>
          <t>antelope</t>
        </is>
      </c>
      <c r="D478" s="4" t="n">
        <v>2013</v>
      </c>
      <c r="E478" s="15" t="inlineStr">
        <is>
          <t>Draw</t>
        </is>
      </c>
      <c r="F478" s="5" t="n"/>
      <c r="G478" s="5" t="n"/>
      <c r="H478" s="5" t="n">
        <v>23</v>
      </c>
      <c r="I478" s="5" t="n">
        <v>15</v>
      </c>
      <c r="J478" s="5" t="n">
        <v>8</v>
      </c>
      <c r="K478" s="10">
        <f>IF(F478&gt;0,H478/F478,"")</f>
        <v/>
      </c>
      <c r="L478" s="16">
        <f>IF(AND(G478&gt;0,H478&gt;0),G478/H478,"")</f>
        <v/>
      </c>
    </row>
    <row r="479">
      <c r="A479" s="4" t="inlineStr">
        <is>
          <t>388</t>
        </is>
      </c>
      <c r="B479" s="4" t="n">
        <v>3</v>
      </c>
      <c r="C479" s="4" t="inlineStr">
        <is>
          <t>antelope</t>
        </is>
      </c>
      <c r="D479" s="4" t="n">
        <v>2014</v>
      </c>
      <c r="E479" s="15" t="inlineStr">
        <is>
          <t>Draw</t>
        </is>
      </c>
      <c r="F479" s="5" t="n">
        <v>88</v>
      </c>
      <c r="G479" s="5" t="n">
        <v>766</v>
      </c>
      <c r="H479" s="5" t="n">
        <v>39</v>
      </c>
      <c r="I479" s="5" t="n">
        <v>19</v>
      </c>
      <c r="J479" s="5" t="n">
        <v>20</v>
      </c>
      <c r="K479" s="10">
        <f>IF(F479&gt;0,H479/F479,"")</f>
        <v/>
      </c>
      <c r="L479" s="16">
        <f>IF(AND(G479&gt;0,H479&gt;0),G479/H479,"")</f>
        <v/>
      </c>
    </row>
    <row r="480">
      <c r="A480" s="4" t="inlineStr">
        <is>
          <t>388</t>
        </is>
      </c>
      <c r="B480" s="4" t="n">
        <v>3</v>
      </c>
      <c r="C480" s="4" t="inlineStr">
        <is>
          <t>antelope</t>
        </is>
      </c>
      <c r="D480" s="4" t="n">
        <v>2015</v>
      </c>
      <c r="E480" s="15" t="inlineStr">
        <is>
          <t>Draw</t>
        </is>
      </c>
      <c r="F480" s="5" t="n">
        <v>50</v>
      </c>
      <c r="G480" s="5" t="n">
        <v>195</v>
      </c>
      <c r="H480" s="5" t="n">
        <v>16</v>
      </c>
      <c r="I480" s="5" t="n">
        <v>8</v>
      </c>
      <c r="J480" s="5" t="n">
        <v>9</v>
      </c>
      <c r="K480" s="10">
        <f>IF(F480&gt;0,H480/F480,"")</f>
        <v/>
      </c>
      <c r="L480" s="16">
        <f>IF(AND(G480&gt;0,H480&gt;0),G480/H480,"")</f>
        <v/>
      </c>
    </row>
    <row r="481">
      <c r="A481" s="4" t="inlineStr">
        <is>
          <t>388</t>
        </is>
      </c>
      <c r="B481" s="4" t="n">
        <v>3</v>
      </c>
      <c r="C481" s="4" t="inlineStr">
        <is>
          <t>antelope</t>
        </is>
      </c>
      <c r="D481" s="4" t="n">
        <v>2016</v>
      </c>
      <c r="E481" s="15" t="inlineStr">
        <is>
          <t>Draw</t>
        </is>
      </c>
      <c r="F481" s="5" t="n"/>
      <c r="G481" s="5" t="n"/>
      <c r="H481" s="5" t="n">
        <v>27</v>
      </c>
      <c r="I481" s="5" t="n">
        <v>9</v>
      </c>
      <c r="J481" s="5" t="n">
        <v>16</v>
      </c>
      <c r="K481" s="10">
        <f>IF(F481&gt;0,H481/F481,"")</f>
        <v/>
      </c>
      <c r="L481" s="16">
        <f>IF(AND(G481&gt;0,H481&gt;0),G481/H481,"")</f>
        <v/>
      </c>
    </row>
    <row r="482">
      <c r="A482" s="4" t="inlineStr">
        <is>
          <t>388</t>
        </is>
      </c>
      <c r="B482" s="4" t="n">
        <v>3</v>
      </c>
      <c r="C482" s="4" t="inlineStr">
        <is>
          <t>antelope</t>
        </is>
      </c>
      <c r="D482" s="4" t="n">
        <v>2017</v>
      </c>
      <c r="E482" s="15" t="inlineStr">
        <is>
          <t>Draw</t>
        </is>
      </c>
      <c r="F482" s="5" t="n"/>
      <c r="G482" s="5" t="n"/>
      <c r="H482" s="5" t="n">
        <v>19</v>
      </c>
      <c r="I482" s="5" t="n">
        <v>9</v>
      </c>
      <c r="J482" s="5" t="n">
        <v>11</v>
      </c>
      <c r="K482" s="10">
        <f>IF(F482&gt;0,H482/F482,"")</f>
        <v/>
      </c>
      <c r="L482" s="16">
        <f>IF(AND(G482&gt;0,H482&gt;0),G482/H482,"")</f>
        <v/>
      </c>
    </row>
    <row r="483">
      <c r="A483" s="4" t="inlineStr">
        <is>
          <t>388</t>
        </is>
      </c>
      <c r="B483" s="4" t="n">
        <v>3</v>
      </c>
      <c r="C483" s="4" t="inlineStr">
        <is>
          <t>antelope</t>
        </is>
      </c>
      <c r="D483" s="4" t="n">
        <v>2018</v>
      </c>
      <c r="E483" s="15" t="inlineStr">
        <is>
          <t>Draw</t>
        </is>
      </c>
      <c r="F483" s="5" t="n">
        <v>68</v>
      </c>
      <c r="G483" s="5" t="n">
        <v>218</v>
      </c>
      <c r="H483" s="5" t="n">
        <v>26</v>
      </c>
      <c r="I483" s="5" t="n">
        <v>10</v>
      </c>
      <c r="J483" s="5" t="n">
        <v>16</v>
      </c>
      <c r="K483" s="10">
        <f>IF(F483&gt;0,H483/F483,"")</f>
        <v/>
      </c>
      <c r="L483" s="16">
        <f>IF(AND(G483&gt;0,H483&gt;0),G483/H483,"")</f>
        <v/>
      </c>
    </row>
    <row r="484">
      <c r="A484" s="4" t="inlineStr">
        <is>
          <t>388</t>
        </is>
      </c>
      <c r="B484" s="4" t="n">
        <v>3</v>
      </c>
      <c r="C484" s="4" t="inlineStr">
        <is>
          <t>antelope</t>
        </is>
      </c>
      <c r="D484" s="4" t="n">
        <v>2019</v>
      </c>
      <c r="E484" s="15" t="inlineStr">
        <is>
          <t>Draw</t>
        </is>
      </c>
      <c r="F484" s="5" t="n"/>
      <c r="G484" s="5" t="n"/>
      <c r="H484" s="5" t="n">
        <v>27</v>
      </c>
      <c r="I484" s="5" t="n">
        <v>8</v>
      </c>
      <c r="J484" s="5" t="n">
        <v>19</v>
      </c>
      <c r="K484" s="10">
        <f>IF(F484&gt;0,H484/F484,"")</f>
        <v/>
      </c>
      <c r="L484" s="16">
        <f>IF(AND(G484&gt;0,H484&gt;0),G484/H484,"")</f>
        <v/>
      </c>
    </row>
    <row r="485">
      <c r="A485" s="4" t="inlineStr">
        <is>
          <t>388</t>
        </is>
      </c>
      <c r="B485" s="4" t="n">
        <v>3</v>
      </c>
      <c r="C485" s="4" t="inlineStr">
        <is>
          <t>antelope</t>
        </is>
      </c>
      <c r="D485" s="4" t="n">
        <v>2020</v>
      </c>
      <c r="E485" s="15" t="inlineStr">
        <is>
          <t>Draw</t>
        </is>
      </c>
      <c r="F485" s="5" t="n">
        <v>54</v>
      </c>
      <c r="G485" s="5" t="n">
        <v>320</v>
      </c>
      <c r="H485" s="5" t="n">
        <v>30</v>
      </c>
      <c r="I485" s="5" t="n">
        <v>13</v>
      </c>
      <c r="J485" s="5" t="n">
        <v>14</v>
      </c>
      <c r="K485" s="10">
        <f>IF(F485&gt;0,H485/F485,"")</f>
        <v/>
      </c>
      <c r="L485" s="16">
        <f>IF(AND(G485&gt;0,H485&gt;0),G485/H485,"")</f>
        <v/>
      </c>
    </row>
    <row r="486">
      <c r="A486" s="4" t="inlineStr">
        <is>
          <t>388</t>
        </is>
      </c>
      <c r="B486" s="4" t="n">
        <v>3</v>
      </c>
      <c r="C486" s="4" t="inlineStr">
        <is>
          <t>antelope</t>
        </is>
      </c>
      <c r="D486" s="4" t="n">
        <v>2021</v>
      </c>
      <c r="E486" s="15" t="inlineStr">
        <is>
          <t>Draw</t>
        </is>
      </c>
      <c r="F486" s="5" t="n"/>
      <c r="G486" s="5" t="n"/>
      <c r="H486" s="5" t="n">
        <v>33</v>
      </c>
      <c r="I486" s="5" t="n">
        <v>11</v>
      </c>
      <c r="J486" s="5" t="n">
        <v>19</v>
      </c>
      <c r="K486" s="10">
        <f>IF(F486&gt;0,H486/F486,"")</f>
        <v/>
      </c>
      <c r="L486" s="16">
        <f>IF(AND(G486&gt;0,H486&gt;0),G486/H486,"")</f>
        <v/>
      </c>
    </row>
    <row r="487">
      <c r="A487" s="4" t="inlineStr">
        <is>
          <t>388</t>
        </is>
      </c>
      <c r="B487" s="4" t="n">
        <v>3</v>
      </c>
      <c r="C487" s="4" t="inlineStr">
        <is>
          <t>antelope</t>
        </is>
      </c>
      <c r="D487" s="4" t="n">
        <v>2022</v>
      </c>
      <c r="E487" s="15" t="inlineStr">
        <is>
          <t>Draw</t>
        </is>
      </c>
      <c r="F487" s="5" t="n">
        <v>39</v>
      </c>
      <c r="G487" s="5" t="n">
        <v>274</v>
      </c>
      <c r="H487" s="5" t="n">
        <v>18</v>
      </c>
      <c r="I487" s="5" t="n">
        <v>11</v>
      </c>
      <c r="J487" s="5" t="n">
        <v>7</v>
      </c>
      <c r="K487" s="10">
        <f>IF(F487&gt;0,H487/F487,"")</f>
        <v/>
      </c>
      <c r="L487" s="16">
        <f>IF(AND(G487&gt;0,H487&gt;0),G487/H487,"")</f>
        <v/>
      </c>
    </row>
    <row r="488">
      <c r="A488" s="4" t="inlineStr">
        <is>
          <t>388</t>
        </is>
      </c>
      <c r="B488" s="4" t="n">
        <v>3</v>
      </c>
      <c r="C488" s="4" t="inlineStr">
        <is>
          <t>antelope</t>
        </is>
      </c>
      <c r="D488" s="4" t="n">
        <v>2023</v>
      </c>
      <c r="E488" s="15" t="inlineStr">
        <is>
          <t>Draw</t>
        </is>
      </c>
      <c r="F488" s="5" t="n"/>
      <c r="G488" s="5" t="n"/>
      <c r="H488" s="5" t="n">
        <v>8</v>
      </c>
      <c r="I488" s="5" t="n">
        <v>7</v>
      </c>
      <c r="J488" s="5" t="n">
        <v>2</v>
      </c>
      <c r="K488" s="10">
        <f>IF(F488&gt;0,H488/F488,"")</f>
        <v/>
      </c>
      <c r="L488" s="16">
        <f>IF(AND(G488&gt;0,H488&gt;0),G488/H488,"")</f>
        <v/>
      </c>
    </row>
    <row r="489">
      <c r="A489" s="4" t="inlineStr">
        <is>
          <t>388</t>
        </is>
      </c>
      <c r="B489" s="4" t="n">
        <v>3</v>
      </c>
      <c r="C489" s="4" t="inlineStr">
        <is>
          <t>antelope</t>
        </is>
      </c>
      <c r="D489" s="4" t="n">
        <v>2024</v>
      </c>
      <c r="E489" s="15" t="inlineStr">
        <is>
          <t>Draw</t>
        </is>
      </c>
      <c r="F489" s="5" t="n">
        <v>19</v>
      </c>
      <c r="G489" s="5" t="n">
        <v>137</v>
      </c>
      <c r="H489" s="5" t="n">
        <v>8</v>
      </c>
      <c r="I489" s="5" t="n">
        <v>6</v>
      </c>
      <c r="J489" s="5" t="n">
        <v>2</v>
      </c>
      <c r="K489" s="10">
        <f>IF(F489&gt;0,H489/F489,"")</f>
        <v/>
      </c>
      <c r="L489" s="16">
        <f>IF(AND(G489&gt;0,H489&gt;0),G489/H489,"")</f>
        <v/>
      </c>
    </row>
    <row r="490">
      <c r="A490" s="4" t="inlineStr">
        <is>
          <t>388</t>
        </is>
      </c>
      <c r="B490" s="4" t="n">
        <v>3</v>
      </c>
      <c r="C490" s="4" t="inlineStr">
        <is>
          <t>antelope</t>
        </is>
      </c>
      <c r="D490" s="4" t="n">
        <v>2025</v>
      </c>
      <c r="E490" s="15" t="inlineStr">
        <is>
          <t>Draw</t>
        </is>
      </c>
      <c r="F490" s="5" t="n"/>
      <c r="G490" s="5" t="n"/>
      <c r="H490" s="5" t="n">
        <v>10</v>
      </c>
      <c r="I490" s="5" t="n">
        <v>10</v>
      </c>
      <c r="J490" s="5" t="n">
        <v>0</v>
      </c>
      <c r="K490" s="10">
        <f>IF(F490&gt;0,H490/F490,"")</f>
        <v/>
      </c>
      <c r="L490" s="16">
        <f>IF(AND(G490&gt;0,H490&gt;0),G490/H490,"")</f>
        <v/>
      </c>
    </row>
    <row r="491">
      <c r="A491" s="4" t="inlineStr">
        <is>
          <t>390</t>
        </is>
      </c>
      <c r="B491" s="4" t="n">
        <v>3</v>
      </c>
      <c r="C491" s="4" t="inlineStr">
        <is>
          <t>antelope</t>
        </is>
      </c>
      <c r="D491" s="4" t="n">
        <v>2004</v>
      </c>
      <c r="E491" s="15" t="inlineStr">
        <is>
          <t>Draw</t>
        </is>
      </c>
      <c r="F491" s="5" t="n">
        <v>165</v>
      </c>
      <c r="G491" s="5" t="n">
        <v>655</v>
      </c>
      <c r="H491" s="5" t="n">
        <v>95</v>
      </c>
      <c r="I491" s="5" t="n">
        <v>72</v>
      </c>
      <c r="J491" s="5" t="n">
        <v>22</v>
      </c>
      <c r="K491" s="10">
        <f>IF(F491&gt;0,H491/F491,"")</f>
        <v/>
      </c>
      <c r="L491" s="16">
        <f>IF(AND(G491&gt;0,H491&gt;0),G491/H491,"")</f>
        <v/>
      </c>
    </row>
    <row r="492">
      <c r="A492" s="4" t="inlineStr">
        <is>
          <t>390</t>
        </is>
      </c>
      <c r="B492" s="4" t="n">
        <v>3</v>
      </c>
      <c r="C492" s="4" t="inlineStr">
        <is>
          <t>antelope</t>
        </is>
      </c>
      <c r="D492" s="4" t="n">
        <v>2005</v>
      </c>
      <c r="E492" s="15" t="inlineStr">
        <is>
          <t>Draw</t>
        </is>
      </c>
      <c r="F492" s="5" t="n">
        <v>217</v>
      </c>
      <c r="G492" s="5" t="n">
        <v>794</v>
      </c>
      <c r="H492" s="5" t="n">
        <v>127</v>
      </c>
      <c r="I492" s="5" t="n">
        <v>92</v>
      </c>
      <c r="J492" s="5" t="n">
        <v>36</v>
      </c>
      <c r="K492" s="10">
        <f>IF(F492&gt;0,H492/F492,"")</f>
        <v/>
      </c>
      <c r="L492" s="16">
        <f>IF(AND(G492&gt;0,H492&gt;0),G492/H492,"")</f>
        <v/>
      </c>
    </row>
    <row r="493">
      <c r="A493" s="4" t="inlineStr">
        <is>
          <t>390</t>
        </is>
      </c>
      <c r="B493" s="4" t="n">
        <v>3</v>
      </c>
      <c r="C493" s="4" t="inlineStr">
        <is>
          <t>antelope</t>
        </is>
      </c>
      <c r="D493" s="4" t="n">
        <v>2006</v>
      </c>
      <c r="E493" s="15" t="inlineStr">
        <is>
          <t>Draw</t>
        </is>
      </c>
      <c r="F493" s="5" t="n">
        <v>130</v>
      </c>
      <c r="G493" s="5" t="n">
        <v>543</v>
      </c>
      <c r="H493" s="5" t="n">
        <v>123</v>
      </c>
      <c r="I493" s="5" t="n">
        <v>59</v>
      </c>
      <c r="J493" s="5" t="n">
        <v>55</v>
      </c>
      <c r="K493" s="10">
        <f>IF(F493&gt;0,H493/F493,"")</f>
        <v/>
      </c>
      <c r="L493" s="16">
        <f>IF(AND(G493&gt;0,H493&gt;0),G493/H493,"")</f>
        <v/>
      </c>
    </row>
    <row r="494">
      <c r="A494" s="4" t="inlineStr">
        <is>
          <t>390</t>
        </is>
      </c>
      <c r="B494" s="4" t="n">
        <v>3</v>
      </c>
      <c r="C494" s="4" t="inlineStr">
        <is>
          <t>antelope</t>
        </is>
      </c>
      <c r="D494" s="4" t="n">
        <v>2007</v>
      </c>
      <c r="E494" s="15" t="inlineStr">
        <is>
          <t>Draw</t>
        </is>
      </c>
      <c r="F494" s="5" t="n">
        <v>168</v>
      </c>
      <c r="G494" s="5" t="n">
        <v>592</v>
      </c>
      <c r="H494" s="5" t="n">
        <v>158</v>
      </c>
      <c r="I494" s="5" t="n">
        <v>75</v>
      </c>
      <c r="J494" s="5" t="n">
        <v>83</v>
      </c>
      <c r="K494" s="10">
        <f>IF(F494&gt;0,H494/F494,"")</f>
        <v/>
      </c>
      <c r="L494" s="16">
        <f>IF(AND(G494&gt;0,H494&gt;0),G494/H494,"")</f>
        <v/>
      </c>
    </row>
    <row r="495">
      <c r="A495" s="4" t="inlineStr">
        <is>
          <t>390</t>
        </is>
      </c>
      <c r="B495" s="4" t="n">
        <v>3</v>
      </c>
      <c r="C495" s="4" t="inlineStr">
        <is>
          <t>antelope</t>
        </is>
      </c>
      <c r="D495" s="4" t="n">
        <v>2008</v>
      </c>
      <c r="E495" s="15" t="inlineStr">
        <is>
          <t>Draw</t>
        </is>
      </c>
      <c r="F495" s="5" t="n">
        <v>197</v>
      </c>
      <c r="G495" s="5" t="n">
        <v>940</v>
      </c>
      <c r="H495" s="5" t="n">
        <v>157</v>
      </c>
      <c r="I495" s="5" t="n">
        <v>58</v>
      </c>
      <c r="J495" s="5" t="n">
        <v>90</v>
      </c>
      <c r="K495" s="10">
        <f>IF(F495&gt;0,H495/F495,"")</f>
        <v/>
      </c>
      <c r="L495" s="16">
        <f>IF(AND(G495&gt;0,H495&gt;0),G495/H495,"")</f>
        <v/>
      </c>
    </row>
    <row r="496">
      <c r="A496" s="4" t="inlineStr">
        <is>
          <t>390</t>
        </is>
      </c>
      <c r="B496" s="4" t="n">
        <v>3</v>
      </c>
      <c r="C496" s="4" t="inlineStr">
        <is>
          <t>antelope</t>
        </is>
      </c>
      <c r="D496" s="4" t="n">
        <v>2009</v>
      </c>
      <c r="E496" s="15" t="inlineStr">
        <is>
          <t>Draw</t>
        </is>
      </c>
      <c r="F496" s="5" t="n">
        <v>228</v>
      </c>
      <c r="G496" s="5" t="n">
        <v>1054</v>
      </c>
      <c r="H496" s="5" t="n">
        <v>183</v>
      </c>
      <c r="I496" s="5" t="n">
        <v>91</v>
      </c>
      <c r="J496" s="5" t="n">
        <v>85</v>
      </c>
      <c r="K496" s="10">
        <f>IF(F496&gt;0,H496/F496,"")</f>
        <v/>
      </c>
      <c r="L496" s="16">
        <f>IF(AND(G496&gt;0,H496&gt;0),G496/H496,"")</f>
        <v/>
      </c>
    </row>
    <row r="497">
      <c r="A497" s="4" t="inlineStr">
        <is>
          <t>390</t>
        </is>
      </c>
      <c r="B497" s="4" t="n">
        <v>3</v>
      </c>
      <c r="C497" s="4" t="inlineStr">
        <is>
          <t>antelope</t>
        </is>
      </c>
      <c r="D497" s="4" t="n">
        <v>2010</v>
      </c>
      <c r="E497" s="15" t="inlineStr">
        <is>
          <t>Draw</t>
        </is>
      </c>
      <c r="F497" s="5" t="n">
        <v>228</v>
      </c>
      <c r="G497" s="5" t="n">
        <v>968</v>
      </c>
      <c r="H497" s="5" t="n">
        <v>121</v>
      </c>
      <c r="I497" s="5" t="n">
        <v>56</v>
      </c>
      <c r="J497" s="5" t="n">
        <v>63</v>
      </c>
      <c r="K497" s="10">
        <f>IF(F497&gt;0,H497/F497,"")</f>
        <v/>
      </c>
      <c r="L497" s="16">
        <f>IF(AND(G497&gt;0,H497&gt;0),G497/H497,"")</f>
        <v/>
      </c>
    </row>
    <row r="498">
      <c r="A498" s="4" t="inlineStr">
        <is>
          <t>390</t>
        </is>
      </c>
      <c r="B498" s="4" t="n">
        <v>3</v>
      </c>
      <c r="C498" s="4" t="inlineStr">
        <is>
          <t>antelope</t>
        </is>
      </c>
      <c r="D498" s="4" t="n">
        <v>2011</v>
      </c>
      <c r="E498" s="15" t="inlineStr">
        <is>
          <t>Draw</t>
        </is>
      </c>
      <c r="F498" s="5" t="n">
        <v>265</v>
      </c>
      <c r="G498" s="5" t="n">
        <v>1337</v>
      </c>
      <c r="H498" s="5" t="n">
        <v>105</v>
      </c>
      <c r="I498" s="5" t="n">
        <v>51</v>
      </c>
      <c r="J498" s="5" t="n">
        <v>50</v>
      </c>
      <c r="K498" s="10">
        <f>IF(F498&gt;0,H498/F498,"")</f>
        <v/>
      </c>
      <c r="L498" s="16">
        <f>IF(AND(G498&gt;0,H498&gt;0),G498/H498,"")</f>
        <v/>
      </c>
    </row>
    <row r="499">
      <c r="A499" s="4" t="inlineStr">
        <is>
          <t>390</t>
        </is>
      </c>
      <c r="B499" s="4" t="n">
        <v>3</v>
      </c>
      <c r="C499" s="4" t="inlineStr">
        <is>
          <t>antelope</t>
        </is>
      </c>
      <c r="D499" s="4" t="n">
        <v>2012</v>
      </c>
      <c r="E499" s="15" t="inlineStr">
        <is>
          <t>Draw</t>
        </is>
      </c>
      <c r="F499" s="5" t="n">
        <v>214</v>
      </c>
      <c r="G499" s="5" t="n">
        <v>840</v>
      </c>
      <c r="H499" s="5" t="n">
        <v>118</v>
      </c>
      <c r="I499" s="5" t="n">
        <v>70</v>
      </c>
      <c r="J499" s="5" t="n">
        <v>48</v>
      </c>
      <c r="K499" s="10">
        <f>IF(F499&gt;0,H499/F499,"")</f>
        <v/>
      </c>
      <c r="L499" s="16">
        <f>IF(AND(G499&gt;0,H499&gt;0),G499/H499,"")</f>
        <v/>
      </c>
    </row>
    <row r="500">
      <c r="A500" s="4" t="inlineStr">
        <is>
          <t>390</t>
        </is>
      </c>
      <c r="B500" s="4" t="n">
        <v>3</v>
      </c>
      <c r="C500" s="4" t="inlineStr">
        <is>
          <t>antelope</t>
        </is>
      </c>
      <c r="D500" s="4" t="n">
        <v>2013</v>
      </c>
      <c r="E500" s="15" t="inlineStr">
        <is>
          <t>Draw</t>
        </is>
      </c>
      <c r="F500" s="5" t="n"/>
      <c r="G500" s="5" t="n"/>
      <c r="H500" s="5" t="n">
        <v>80</v>
      </c>
      <c r="I500" s="5" t="n">
        <v>39</v>
      </c>
      <c r="J500" s="5" t="n">
        <v>41</v>
      </c>
      <c r="K500" s="10">
        <f>IF(F500&gt;0,H500/F500,"")</f>
        <v/>
      </c>
      <c r="L500" s="16">
        <f>IF(AND(G500&gt;0,H500&gt;0),G500/H500,"")</f>
        <v/>
      </c>
    </row>
    <row r="501">
      <c r="A501" s="4" t="inlineStr">
        <is>
          <t>390</t>
        </is>
      </c>
      <c r="B501" s="4" t="n">
        <v>3</v>
      </c>
      <c r="C501" s="4" t="inlineStr">
        <is>
          <t>antelope</t>
        </is>
      </c>
      <c r="D501" s="4" t="n">
        <v>2014</v>
      </c>
      <c r="E501" s="15" t="inlineStr">
        <is>
          <t>Draw</t>
        </is>
      </c>
      <c r="F501" s="5" t="n">
        <v>137</v>
      </c>
      <c r="G501" s="5" t="n">
        <v>699</v>
      </c>
      <c r="H501" s="5" t="n">
        <v>57</v>
      </c>
      <c r="I501" s="5" t="n">
        <v>26</v>
      </c>
      <c r="J501" s="5" t="n">
        <v>30</v>
      </c>
      <c r="K501" s="10">
        <f>IF(F501&gt;0,H501/F501,"")</f>
        <v/>
      </c>
      <c r="L501" s="16">
        <f>IF(AND(G501&gt;0,H501&gt;0),G501/H501,"")</f>
        <v/>
      </c>
    </row>
    <row r="502">
      <c r="A502" s="4" t="inlineStr">
        <is>
          <t>390</t>
        </is>
      </c>
      <c r="B502" s="4" t="n">
        <v>3</v>
      </c>
      <c r="C502" s="4" t="inlineStr">
        <is>
          <t>antelope</t>
        </is>
      </c>
      <c r="D502" s="4" t="n">
        <v>2015</v>
      </c>
      <c r="E502" s="15" t="inlineStr">
        <is>
          <t>Draw</t>
        </is>
      </c>
      <c r="F502" s="5" t="n">
        <v>115</v>
      </c>
      <c r="G502" s="5" t="n">
        <v>622</v>
      </c>
      <c r="H502" s="5" t="n">
        <v>50</v>
      </c>
      <c r="I502" s="5" t="n">
        <v>23</v>
      </c>
      <c r="J502" s="5" t="n">
        <v>23</v>
      </c>
      <c r="K502" s="10">
        <f>IF(F502&gt;0,H502/F502,"")</f>
        <v/>
      </c>
      <c r="L502" s="16">
        <f>IF(AND(G502&gt;0,H502&gt;0),G502/H502,"")</f>
        <v/>
      </c>
    </row>
    <row r="503">
      <c r="A503" s="4" t="inlineStr">
        <is>
          <t>390</t>
        </is>
      </c>
      <c r="B503" s="4" t="n">
        <v>3</v>
      </c>
      <c r="C503" s="4" t="inlineStr">
        <is>
          <t>antelope</t>
        </is>
      </c>
      <c r="D503" s="4" t="n">
        <v>2016</v>
      </c>
      <c r="E503" s="15" t="inlineStr">
        <is>
          <t>Draw</t>
        </is>
      </c>
      <c r="F503" s="5" t="n"/>
      <c r="G503" s="5" t="n"/>
      <c r="H503" s="5" t="n">
        <v>40</v>
      </c>
      <c r="I503" s="5" t="n">
        <v>24</v>
      </c>
      <c r="J503" s="5" t="n">
        <v>14</v>
      </c>
      <c r="K503" s="10">
        <f>IF(F503&gt;0,H503/F503,"")</f>
        <v/>
      </c>
      <c r="L503" s="16">
        <f>IF(AND(G503&gt;0,H503&gt;0),G503/H503,"")</f>
        <v/>
      </c>
    </row>
    <row r="504">
      <c r="A504" s="4" t="inlineStr">
        <is>
          <t>390</t>
        </is>
      </c>
      <c r="B504" s="4" t="n">
        <v>3</v>
      </c>
      <c r="C504" s="4" t="inlineStr">
        <is>
          <t>antelope</t>
        </is>
      </c>
      <c r="D504" s="4" t="n">
        <v>2017</v>
      </c>
      <c r="E504" s="15" t="inlineStr">
        <is>
          <t>Draw</t>
        </is>
      </c>
      <c r="F504" s="5" t="n"/>
      <c r="G504" s="5" t="n"/>
      <c r="H504" s="5" t="n">
        <v>42</v>
      </c>
      <c r="I504" s="5" t="n">
        <v>26</v>
      </c>
      <c r="J504" s="5" t="n">
        <v>16</v>
      </c>
      <c r="K504" s="10">
        <f>IF(F504&gt;0,H504/F504,"")</f>
        <v/>
      </c>
      <c r="L504" s="16">
        <f>IF(AND(G504&gt;0,H504&gt;0),G504/H504,"")</f>
        <v/>
      </c>
    </row>
    <row r="505">
      <c r="A505" s="4" t="inlineStr">
        <is>
          <t>390</t>
        </is>
      </c>
      <c r="B505" s="4" t="n">
        <v>3</v>
      </c>
      <c r="C505" s="4" t="inlineStr">
        <is>
          <t>antelope</t>
        </is>
      </c>
      <c r="D505" s="4" t="n">
        <v>2018</v>
      </c>
      <c r="E505" s="15" t="inlineStr">
        <is>
          <t>Draw</t>
        </is>
      </c>
      <c r="F505" s="5" t="n">
        <v>152</v>
      </c>
      <c r="G505" s="5" t="n">
        <v>1048</v>
      </c>
      <c r="H505" s="5" t="n">
        <v>23</v>
      </c>
      <c r="I505" s="5" t="n">
        <v>14</v>
      </c>
      <c r="J505" s="5" t="n">
        <v>8</v>
      </c>
      <c r="K505" s="10">
        <f>IF(F505&gt;0,H505/F505,"")</f>
        <v/>
      </c>
      <c r="L505" s="16">
        <f>IF(AND(G505&gt;0,H505&gt;0),G505/H505,"")</f>
        <v/>
      </c>
    </row>
    <row r="506">
      <c r="A506" s="4" t="inlineStr">
        <is>
          <t>390</t>
        </is>
      </c>
      <c r="B506" s="4" t="n">
        <v>3</v>
      </c>
      <c r="C506" s="4" t="inlineStr">
        <is>
          <t>antelope</t>
        </is>
      </c>
      <c r="D506" s="4" t="n">
        <v>2019</v>
      </c>
      <c r="E506" s="15" t="inlineStr">
        <is>
          <t>Draw</t>
        </is>
      </c>
      <c r="F506" s="5" t="n"/>
      <c r="G506" s="5" t="n"/>
      <c r="H506" s="5" t="n">
        <v>30</v>
      </c>
      <c r="I506" s="5" t="n">
        <v>20</v>
      </c>
      <c r="J506" s="5" t="n">
        <v>10</v>
      </c>
      <c r="K506" s="10">
        <f>IF(F506&gt;0,H506/F506,"")</f>
        <v/>
      </c>
      <c r="L506" s="16">
        <f>IF(AND(G506&gt;0,H506&gt;0),G506/H506,"")</f>
        <v/>
      </c>
    </row>
    <row r="507">
      <c r="A507" s="4" t="inlineStr">
        <is>
          <t>390</t>
        </is>
      </c>
      <c r="B507" s="4" t="n">
        <v>3</v>
      </c>
      <c r="C507" s="4" t="inlineStr">
        <is>
          <t>antelope</t>
        </is>
      </c>
      <c r="D507" s="4" t="n">
        <v>2020</v>
      </c>
      <c r="E507" s="15" t="inlineStr">
        <is>
          <t>Draw</t>
        </is>
      </c>
      <c r="F507" s="5" t="n">
        <v>96</v>
      </c>
      <c r="G507" s="5" t="n">
        <v>477</v>
      </c>
      <c r="H507" s="5" t="n">
        <v>47</v>
      </c>
      <c r="I507" s="5" t="n">
        <v>25</v>
      </c>
      <c r="J507" s="5" t="n">
        <v>22</v>
      </c>
      <c r="K507" s="10">
        <f>IF(F507&gt;0,H507/F507,"")</f>
        <v/>
      </c>
      <c r="L507" s="16">
        <f>IF(AND(G507&gt;0,H507&gt;0),G507/H507,"")</f>
        <v/>
      </c>
    </row>
    <row r="508">
      <c r="A508" s="4" t="inlineStr">
        <is>
          <t>390</t>
        </is>
      </c>
      <c r="B508" s="4" t="n">
        <v>3</v>
      </c>
      <c r="C508" s="4" t="inlineStr">
        <is>
          <t>antelope</t>
        </is>
      </c>
      <c r="D508" s="4" t="n">
        <v>2021</v>
      </c>
      <c r="E508" s="15" t="inlineStr">
        <is>
          <t>Draw</t>
        </is>
      </c>
      <c r="F508" s="5" t="n"/>
      <c r="G508" s="5" t="n"/>
      <c r="H508" s="5" t="n">
        <v>40</v>
      </c>
      <c r="I508" s="5" t="n">
        <v>21</v>
      </c>
      <c r="J508" s="5" t="n">
        <v>18</v>
      </c>
      <c r="K508" s="10">
        <f>IF(F508&gt;0,H508/F508,"")</f>
        <v/>
      </c>
      <c r="L508" s="16">
        <f>IF(AND(G508&gt;0,H508&gt;0),G508/H508,"")</f>
        <v/>
      </c>
    </row>
    <row r="509">
      <c r="A509" s="4" t="inlineStr">
        <is>
          <t>390</t>
        </is>
      </c>
      <c r="B509" s="4" t="n">
        <v>3</v>
      </c>
      <c r="C509" s="4" t="inlineStr">
        <is>
          <t>antelope</t>
        </is>
      </c>
      <c r="D509" s="4" t="n">
        <v>2022</v>
      </c>
      <c r="E509" s="15" t="inlineStr">
        <is>
          <t>Draw</t>
        </is>
      </c>
      <c r="F509" s="5" t="n">
        <v>118</v>
      </c>
      <c r="G509" s="5" t="n">
        <v>737</v>
      </c>
      <c r="H509" s="5" t="n">
        <v>46</v>
      </c>
      <c r="I509" s="5" t="n">
        <v>41</v>
      </c>
      <c r="J509" s="5" t="n">
        <v>6</v>
      </c>
      <c r="K509" s="10">
        <f>IF(F509&gt;0,H509/F509,"")</f>
        <v/>
      </c>
      <c r="L509" s="16">
        <f>IF(AND(G509&gt;0,H509&gt;0),G509/H509,"")</f>
        <v/>
      </c>
    </row>
    <row r="510">
      <c r="A510" s="4" t="inlineStr">
        <is>
          <t>390</t>
        </is>
      </c>
      <c r="B510" s="4" t="n">
        <v>3</v>
      </c>
      <c r="C510" s="4" t="inlineStr">
        <is>
          <t>antelope</t>
        </is>
      </c>
      <c r="D510" s="4" t="n">
        <v>2023</v>
      </c>
      <c r="E510" s="15" t="inlineStr">
        <is>
          <t>Draw</t>
        </is>
      </c>
      <c r="F510" s="5" t="n"/>
      <c r="G510" s="5" t="n"/>
      <c r="H510" s="5" t="n">
        <v>49</v>
      </c>
      <c r="I510" s="5" t="n">
        <v>30</v>
      </c>
      <c r="J510" s="5" t="n">
        <v>19</v>
      </c>
      <c r="K510" s="10">
        <f>IF(F510&gt;0,H510/F510,"")</f>
        <v/>
      </c>
      <c r="L510" s="16">
        <f>IF(AND(G510&gt;0,H510&gt;0),G510/H510,"")</f>
        <v/>
      </c>
    </row>
    <row r="511">
      <c r="A511" s="4" t="inlineStr">
        <is>
          <t>390</t>
        </is>
      </c>
      <c r="B511" s="4" t="n">
        <v>3</v>
      </c>
      <c r="C511" s="4" t="inlineStr">
        <is>
          <t>antelope</t>
        </is>
      </c>
      <c r="D511" s="4" t="n">
        <v>2024</v>
      </c>
      <c r="E511" s="15" t="inlineStr">
        <is>
          <t>Draw</t>
        </is>
      </c>
      <c r="F511" s="5" t="n">
        <v>158</v>
      </c>
      <c r="G511" s="5" t="n">
        <v>1072</v>
      </c>
      <c r="H511" s="5" t="n">
        <v>58</v>
      </c>
      <c r="I511" s="5" t="n">
        <v>42</v>
      </c>
      <c r="J511" s="5" t="n">
        <v>16</v>
      </c>
      <c r="K511" s="10">
        <f>IF(F511&gt;0,H511/F511,"")</f>
        <v/>
      </c>
      <c r="L511" s="16">
        <f>IF(AND(G511&gt;0,H511&gt;0),G511/H511,"")</f>
        <v/>
      </c>
    </row>
    <row r="512">
      <c r="A512" s="4" t="inlineStr">
        <is>
          <t>390</t>
        </is>
      </c>
      <c r="B512" s="4" t="n">
        <v>3</v>
      </c>
      <c r="C512" s="4" t="inlineStr">
        <is>
          <t>antelope</t>
        </is>
      </c>
      <c r="D512" s="4" t="n">
        <v>2025</v>
      </c>
      <c r="E512" s="15" t="inlineStr">
        <is>
          <t>Draw</t>
        </is>
      </c>
      <c r="F512" s="5" t="n"/>
      <c r="G512" s="5" t="n"/>
      <c r="H512" s="5" t="n">
        <v>61</v>
      </c>
      <c r="I512" s="5" t="n">
        <v>27</v>
      </c>
      <c r="J512" s="5" t="n">
        <v>35</v>
      </c>
      <c r="K512" s="10">
        <f>IF(F512&gt;0,H512/F512,"")</f>
        <v/>
      </c>
      <c r="L512" s="16">
        <f>IF(AND(G512&gt;0,H512&gt;0),G512/H512,"")</f>
        <v/>
      </c>
    </row>
    <row r="513">
      <c r="A513" s="4" t="inlineStr">
        <is>
          <t>401</t>
        </is>
      </c>
      <c r="B513" s="4" t="n">
        <v>4</v>
      </c>
      <c r="C513" s="4" t="inlineStr">
        <is>
          <t>antelope</t>
        </is>
      </c>
      <c r="D513" s="4" t="n">
        <v>2004</v>
      </c>
      <c r="E513" s="15" t="inlineStr">
        <is>
          <t>Draw</t>
        </is>
      </c>
      <c r="F513" s="5" t="n">
        <v>502</v>
      </c>
      <c r="G513" s="5" t="n">
        <v>1591</v>
      </c>
      <c r="H513" s="5" t="n">
        <v>227</v>
      </c>
      <c r="I513" s="5" t="n">
        <v>202</v>
      </c>
      <c r="J513" s="5" t="n">
        <v>25</v>
      </c>
      <c r="K513" s="10">
        <f>IF(F513&gt;0,H513/F513,"")</f>
        <v/>
      </c>
      <c r="L513" s="16">
        <f>IF(AND(G513&gt;0,H513&gt;0),G513/H513,"")</f>
        <v/>
      </c>
    </row>
    <row r="514">
      <c r="A514" s="4" t="inlineStr">
        <is>
          <t>401</t>
        </is>
      </c>
      <c r="B514" s="4" t="n">
        <v>4</v>
      </c>
      <c r="C514" s="4" t="inlineStr">
        <is>
          <t>antelope</t>
        </is>
      </c>
      <c r="D514" s="4" t="n">
        <v>2005</v>
      </c>
      <c r="E514" s="15" t="inlineStr">
        <is>
          <t>Draw</t>
        </is>
      </c>
      <c r="F514" s="5" t="n">
        <v>470</v>
      </c>
      <c r="G514" s="5" t="n">
        <v>1249</v>
      </c>
      <c r="H514" s="5" t="n">
        <v>278</v>
      </c>
      <c r="I514" s="5" t="n">
        <v>251</v>
      </c>
      <c r="J514" s="5" t="n">
        <v>26</v>
      </c>
      <c r="K514" s="10">
        <f>IF(F514&gt;0,H514/F514,"")</f>
        <v/>
      </c>
      <c r="L514" s="16">
        <f>IF(AND(G514&gt;0,H514&gt;0),G514/H514,"")</f>
        <v/>
      </c>
    </row>
    <row r="515">
      <c r="A515" s="4" t="inlineStr">
        <is>
          <t>401</t>
        </is>
      </c>
      <c r="B515" s="4" t="n">
        <v>4</v>
      </c>
      <c r="C515" s="4" t="inlineStr">
        <is>
          <t>antelope</t>
        </is>
      </c>
      <c r="D515" s="4" t="n">
        <v>2006</v>
      </c>
      <c r="E515" s="15" t="inlineStr">
        <is>
          <t>Draw</t>
        </is>
      </c>
      <c r="F515" s="5" t="n">
        <v>554</v>
      </c>
      <c r="G515" s="5" t="n">
        <v>1690</v>
      </c>
      <c r="H515" s="5" t="n">
        <v>424</v>
      </c>
      <c r="I515" s="5" t="n">
        <v>241</v>
      </c>
      <c r="J515" s="5" t="n">
        <v>149</v>
      </c>
      <c r="K515" s="10">
        <f>IF(F515&gt;0,H515/F515,"")</f>
        <v/>
      </c>
      <c r="L515" s="16">
        <f>IF(AND(G515&gt;0,H515&gt;0),G515/H515,"")</f>
        <v/>
      </c>
    </row>
    <row r="516">
      <c r="A516" s="4" t="inlineStr">
        <is>
          <t>401</t>
        </is>
      </c>
      <c r="B516" s="4" t="n">
        <v>4</v>
      </c>
      <c r="C516" s="4" t="inlineStr">
        <is>
          <t>antelope</t>
        </is>
      </c>
      <c r="D516" s="4" t="n">
        <v>2007</v>
      </c>
      <c r="E516" s="15" t="inlineStr">
        <is>
          <t>Draw</t>
        </is>
      </c>
      <c r="F516" s="5" t="n">
        <v>771</v>
      </c>
      <c r="G516" s="5" t="n">
        <v>2459</v>
      </c>
      <c r="H516" s="5" t="n">
        <v>645</v>
      </c>
      <c r="I516" s="5" t="n">
        <v>332</v>
      </c>
      <c r="J516" s="5" t="n">
        <v>309</v>
      </c>
      <c r="K516" s="10">
        <f>IF(F516&gt;0,H516/F516,"")</f>
        <v/>
      </c>
      <c r="L516" s="16">
        <f>IF(AND(G516&gt;0,H516&gt;0),G516/H516,"")</f>
        <v/>
      </c>
    </row>
    <row r="517">
      <c r="A517" s="4" t="inlineStr">
        <is>
          <t>401</t>
        </is>
      </c>
      <c r="B517" s="4" t="n">
        <v>4</v>
      </c>
      <c r="C517" s="4" t="inlineStr">
        <is>
          <t>antelope</t>
        </is>
      </c>
      <c r="D517" s="4" t="n">
        <v>2008</v>
      </c>
      <c r="E517" s="15" t="inlineStr">
        <is>
          <t>Draw</t>
        </is>
      </c>
      <c r="F517" s="5" t="n">
        <v>882</v>
      </c>
      <c r="G517" s="5" t="n">
        <v>2856</v>
      </c>
      <c r="H517" s="5" t="n">
        <v>684</v>
      </c>
      <c r="I517" s="5" t="n">
        <v>358</v>
      </c>
      <c r="J517" s="5" t="n">
        <v>297</v>
      </c>
      <c r="K517" s="10">
        <f>IF(F517&gt;0,H517/F517,"")</f>
        <v/>
      </c>
      <c r="L517" s="16">
        <f>IF(AND(G517&gt;0,H517&gt;0),G517/H517,"")</f>
        <v/>
      </c>
    </row>
    <row r="518">
      <c r="A518" s="4" t="inlineStr">
        <is>
          <t>401</t>
        </is>
      </c>
      <c r="B518" s="4" t="n">
        <v>4</v>
      </c>
      <c r="C518" s="4" t="inlineStr">
        <is>
          <t>antelope</t>
        </is>
      </c>
      <c r="D518" s="4" t="n">
        <v>2009</v>
      </c>
      <c r="E518" s="15" t="inlineStr">
        <is>
          <t>Draw</t>
        </is>
      </c>
      <c r="F518" s="5" t="n">
        <v>822</v>
      </c>
      <c r="G518" s="5" t="n">
        <v>2231</v>
      </c>
      <c r="H518" s="5" t="n">
        <v>658</v>
      </c>
      <c r="I518" s="5" t="n">
        <v>369</v>
      </c>
      <c r="J518" s="5" t="n">
        <v>280</v>
      </c>
      <c r="K518" s="10">
        <f>IF(F518&gt;0,H518/F518,"")</f>
        <v/>
      </c>
      <c r="L518" s="16">
        <f>IF(AND(G518&gt;0,H518&gt;0),G518/H518,"")</f>
        <v/>
      </c>
    </row>
    <row r="519">
      <c r="A519" s="4" t="inlineStr">
        <is>
          <t>401</t>
        </is>
      </c>
      <c r="B519" s="4" t="n">
        <v>4</v>
      </c>
      <c r="C519" s="4" t="inlineStr">
        <is>
          <t>antelope</t>
        </is>
      </c>
      <c r="D519" s="4" t="n">
        <v>2010</v>
      </c>
      <c r="E519" s="15" t="inlineStr">
        <is>
          <t>Draw</t>
        </is>
      </c>
      <c r="F519" s="5" t="n">
        <v>905</v>
      </c>
      <c r="G519" s="5" t="n">
        <v>2819</v>
      </c>
      <c r="H519" s="5" t="n">
        <v>880</v>
      </c>
      <c r="I519" s="5" t="n">
        <v>447</v>
      </c>
      <c r="J519" s="5" t="n">
        <v>403</v>
      </c>
      <c r="K519" s="10">
        <f>IF(F519&gt;0,H519/F519,"")</f>
        <v/>
      </c>
      <c r="L519" s="16">
        <f>IF(AND(G519&gt;0,H519&gt;0),G519/H519,"")</f>
        <v/>
      </c>
    </row>
    <row r="520">
      <c r="A520" s="4" t="inlineStr">
        <is>
          <t>401</t>
        </is>
      </c>
      <c r="B520" s="4" t="n">
        <v>4</v>
      </c>
      <c r="C520" s="4" t="inlineStr">
        <is>
          <t>antelope</t>
        </is>
      </c>
      <c r="D520" s="4" t="n">
        <v>2011</v>
      </c>
      <c r="E520" s="15" t="inlineStr">
        <is>
          <t>Draw</t>
        </is>
      </c>
      <c r="F520" s="5" t="n">
        <v>670</v>
      </c>
      <c r="G520" s="5" t="n">
        <v>2281</v>
      </c>
      <c r="H520" s="5" t="n">
        <v>463</v>
      </c>
      <c r="I520" s="5" t="n">
        <v>248</v>
      </c>
      <c r="J520" s="5" t="n">
        <v>196</v>
      </c>
      <c r="K520" s="10">
        <f>IF(F520&gt;0,H520/F520,"")</f>
        <v/>
      </c>
      <c r="L520" s="16">
        <f>IF(AND(G520&gt;0,H520&gt;0),G520/H520,"")</f>
        <v/>
      </c>
    </row>
    <row r="521">
      <c r="A521" s="4" t="inlineStr">
        <is>
          <t>401</t>
        </is>
      </c>
      <c r="B521" s="4" t="n">
        <v>4</v>
      </c>
      <c r="C521" s="4" t="inlineStr">
        <is>
          <t>antelope</t>
        </is>
      </c>
      <c r="D521" s="4" t="n">
        <v>2012</v>
      </c>
      <c r="E521" s="15" t="inlineStr">
        <is>
          <t>Draw</t>
        </is>
      </c>
      <c r="F521" s="5" t="n">
        <v>637</v>
      </c>
      <c r="G521" s="5" t="n">
        <v>2117</v>
      </c>
      <c r="H521" s="5" t="n">
        <v>396</v>
      </c>
      <c r="I521" s="5" t="n">
        <v>249</v>
      </c>
      <c r="J521" s="5" t="n">
        <v>139</v>
      </c>
      <c r="K521" s="10">
        <f>IF(F521&gt;0,H521/F521,"")</f>
        <v/>
      </c>
      <c r="L521" s="16">
        <f>IF(AND(G521&gt;0,H521&gt;0),G521/H521,"")</f>
        <v/>
      </c>
    </row>
    <row r="522">
      <c r="A522" s="4" t="inlineStr">
        <is>
          <t>401</t>
        </is>
      </c>
      <c r="B522" s="4" t="n">
        <v>4</v>
      </c>
      <c r="C522" s="4" t="inlineStr">
        <is>
          <t>antelope</t>
        </is>
      </c>
      <c r="D522" s="4" t="n">
        <v>2013</v>
      </c>
      <c r="E522" s="15" t="inlineStr">
        <is>
          <t>Draw</t>
        </is>
      </c>
      <c r="F522" s="5" t="n"/>
      <c r="G522" s="5" t="n"/>
      <c r="H522" s="5" t="n">
        <v>199</v>
      </c>
      <c r="I522" s="5" t="n">
        <v>145</v>
      </c>
      <c r="J522" s="5" t="n">
        <v>52</v>
      </c>
      <c r="K522" s="10">
        <f>IF(F522&gt;0,H522/F522,"")</f>
        <v/>
      </c>
      <c r="L522" s="16">
        <f>IF(AND(G522&gt;0,H522&gt;0),G522/H522,"")</f>
        <v/>
      </c>
    </row>
    <row r="523">
      <c r="A523" s="4" t="inlineStr">
        <is>
          <t>401</t>
        </is>
      </c>
      <c r="B523" s="4" t="n">
        <v>4</v>
      </c>
      <c r="C523" s="4" t="inlineStr">
        <is>
          <t>antelope</t>
        </is>
      </c>
      <c r="D523" s="4" t="n">
        <v>2014</v>
      </c>
      <c r="E523" s="15" t="inlineStr">
        <is>
          <t>Draw</t>
        </is>
      </c>
      <c r="F523" s="5" t="n">
        <v>315</v>
      </c>
      <c r="G523" s="5" t="n">
        <v>854</v>
      </c>
      <c r="H523" s="5" t="n">
        <v>187</v>
      </c>
      <c r="I523" s="5" t="n">
        <v>135</v>
      </c>
      <c r="J523" s="5" t="n">
        <v>52</v>
      </c>
      <c r="K523" s="10">
        <f>IF(F523&gt;0,H523/F523,"")</f>
        <v/>
      </c>
      <c r="L523" s="16">
        <f>IF(AND(G523&gt;0,H523&gt;0),G523/H523,"")</f>
        <v/>
      </c>
    </row>
    <row r="524">
      <c r="A524" s="4" t="inlineStr">
        <is>
          <t>401</t>
        </is>
      </c>
      <c r="B524" s="4" t="n">
        <v>4</v>
      </c>
      <c r="C524" s="4" t="inlineStr">
        <is>
          <t>antelope</t>
        </is>
      </c>
      <c r="D524" s="4" t="n">
        <v>2015</v>
      </c>
      <c r="E524" s="15" t="inlineStr">
        <is>
          <t>Draw</t>
        </is>
      </c>
      <c r="F524" s="5" t="n">
        <v>339</v>
      </c>
      <c r="G524" s="5" t="n">
        <v>980</v>
      </c>
      <c r="H524" s="5" t="n">
        <v>194</v>
      </c>
      <c r="I524" s="5" t="n">
        <v>133</v>
      </c>
      <c r="J524" s="5" t="n">
        <v>56</v>
      </c>
      <c r="K524" s="10">
        <f>IF(F524&gt;0,H524/F524,"")</f>
        <v/>
      </c>
      <c r="L524" s="16">
        <f>IF(AND(G524&gt;0,H524&gt;0),G524/H524,"")</f>
        <v/>
      </c>
    </row>
    <row r="525">
      <c r="A525" s="4" t="inlineStr">
        <is>
          <t>401</t>
        </is>
      </c>
      <c r="B525" s="4" t="n">
        <v>4</v>
      </c>
      <c r="C525" s="4" t="inlineStr">
        <is>
          <t>antelope</t>
        </is>
      </c>
      <c r="D525" s="4" t="n">
        <v>2016</v>
      </c>
      <c r="E525" s="15" t="inlineStr">
        <is>
          <t>Draw</t>
        </is>
      </c>
      <c r="F525" s="5" t="n"/>
      <c r="G525" s="5" t="n"/>
      <c r="H525" s="5" t="n">
        <v>241</v>
      </c>
      <c r="I525" s="5" t="n">
        <v>181</v>
      </c>
      <c r="J525" s="5" t="n">
        <v>60</v>
      </c>
      <c r="K525" s="10">
        <f>IF(F525&gt;0,H525/F525,"")</f>
        <v/>
      </c>
      <c r="L525" s="16">
        <f>IF(AND(G525&gt;0,H525&gt;0),G525/H525,"")</f>
        <v/>
      </c>
    </row>
    <row r="526">
      <c r="A526" s="4" t="inlineStr">
        <is>
          <t>401</t>
        </is>
      </c>
      <c r="B526" s="4" t="n">
        <v>4</v>
      </c>
      <c r="C526" s="4" t="inlineStr">
        <is>
          <t>antelope</t>
        </is>
      </c>
      <c r="D526" s="4" t="n">
        <v>2017</v>
      </c>
      <c r="E526" s="15" t="inlineStr">
        <is>
          <t>Draw</t>
        </is>
      </c>
      <c r="F526" s="5" t="n"/>
      <c r="G526" s="5" t="n"/>
      <c r="H526" s="5" t="n">
        <v>265</v>
      </c>
      <c r="I526" s="5" t="n">
        <v>198</v>
      </c>
      <c r="J526" s="5" t="n">
        <v>63</v>
      </c>
      <c r="K526" s="10">
        <f>IF(F526&gt;0,H526/F526,"")</f>
        <v/>
      </c>
      <c r="L526" s="16">
        <f>IF(AND(G526&gt;0,H526&gt;0),G526/H526,"")</f>
        <v/>
      </c>
    </row>
    <row r="527">
      <c r="A527" s="4" t="inlineStr">
        <is>
          <t>401</t>
        </is>
      </c>
      <c r="B527" s="4" t="n">
        <v>4</v>
      </c>
      <c r="C527" s="4" t="inlineStr">
        <is>
          <t>antelope</t>
        </is>
      </c>
      <c r="D527" s="4" t="n">
        <v>2018</v>
      </c>
      <c r="E527" s="15" t="inlineStr">
        <is>
          <t>Draw</t>
        </is>
      </c>
      <c r="F527" s="5" t="n">
        <v>370</v>
      </c>
      <c r="G527" s="5" t="n">
        <v>1078</v>
      </c>
      <c r="H527" s="5" t="n">
        <v>154</v>
      </c>
      <c r="I527" s="5" t="n">
        <v>137</v>
      </c>
      <c r="J527" s="5" t="n">
        <v>16</v>
      </c>
      <c r="K527" s="10">
        <f>IF(F527&gt;0,H527/F527,"")</f>
        <v/>
      </c>
      <c r="L527" s="16">
        <f>IF(AND(G527&gt;0,H527&gt;0),G527/H527,"")</f>
        <v/>
      </c>
    </row>
    <row r="528">
      <c r="A528" s="4" t="inlineStr">
        <is>
          <t>401</t>
        </is>
      </c>
      <c r="B528" s="4" t="n">
        <v>4</v>
      </c>
      <c r="C528" s="4" t="inlineStr">
        <is>
          <t>antelope</t>
        </is>
      </c>
      <c r="D528" s="4" t="n">
        <v>2019</v>
      </c>
      <c r="E528" s="15" t="inlineStr">
        <is>
          <t>Draw</t>
        </is>
      </c>
      <c r="F528" s="5" t="n"/>
      <c r="G528" s="5" t="n"/>
      <c r="H528" s="5" t="n">
        <v>146</v>
      </c>
      <c r="I528" s="5" t="n">
        <v>127</v>
      </c>
      <c r="J528" s="5" t="n">
        <v>19</v>
      </c>
      <c r="K528" s="10">
        <f>IF(F528&gt;0,H528/F528,"")</f>
        <v/>
      </c>
      <c r="L528" s="16">
        <f>IF(AND(G528&gt;0,H528&gt;0),G528/H528,"")</f>
        <v/>
      </c>
    </row>
    <row r="529">
      <c r="A529" s="4" t="inlineStr">
        <is>
          <t>401</t>
        </is>
      </c>
      <c r="B529" s="4" t="n">
        <v>4</v>
      </c>
      <c r="C529" s="4" t="inlineStr">
        <is>
          <t>antelope</t>
        </is>
      </c>
      <c r="D529" s="4" t="n">
        <v>2020</v>
      </c>
      <c r="E529" s="15" t="inlineStr">
        <is>
          <t>Draw</t>
        </is>
      </c>
      <c r="F529" s="5" t="n">
        <v>267</v>
      </c>
      <c r="G529" s="5" t="n">
        <v>1042</v>
      </c>
      <c r="H529" s="5" t="n">
        <v>165</v>
      </c>
      <c r="I529" s="5" t="n">
        <v>144</v>
      </c>
      <c r="J529" s="5" t="n">
        <v>21</v>
      </c>
      <c r="K529" s="10">
        <f>IF(F529&gt;0,H529/F529,"")</f>
        <v/>
      </c>
      <c r="L529" s="16">
        <f>IF(AND(G529&gt;0,H529&gt;0),G529/H529,"")</f>
        <v/>
      </c>
    </row>
    <row r="530">
      <c r="A530" s="4" t="inlineStr">
        <is>
          <t>401</t>
        </is>
      </c>
      <c r="B530" s="4" t="n">
        <v>4</v>
      </c>
      <c r="C530" s="4" t="inlineStr">
        <is>
          <t>antelope</t>
        </is>
      </c>
      <c r="D530" s="4" t="n">
        <v>2021</v>
      </c>
      <c r="E530" s="15" t="inlineStr">
        <is>
          <t>Draw</t>
        </is>
      </c>
      <c r="F530" s="5" t="n"/>
      <c r="G530" s="5" t="n"/>
      <c r="H530" s="5" t="n">
        <v>181</v>
      </c>
      <c r="I530" s="5" t="n">
        <v>155</v>
      </c>
      <c r="J530" s="5" t="n">
        <v>26</v>
      </c>
      <c r="K530" s="10">
        <f>IF(F530&gt;0,H530/F530,"")</f>
        <v/>
      </c>
      <c r="L530" s="16">
        <f>IF(AND(G530&gt;0,H530&gt;0),G530/H530,"")</f>
        <v/>
      </c>
    </row>
    <row r="531">
      <c r="A531" s="4" t="inlineStr">
        <is>
          <t>401</t>
        </is>
      </c>
      <c r="B531" s="4" t="n">
        <v>4</v>
      </c>
      <c r="C531" s="4" t="inlineStr">
        <is>
          <t>antelope</t>
        </is>
      </c>
      <c r="D531" s="4" t="n">
        <v>2022</v>
      </c>
      <c r="E531" s="15" t="inlineStr">
        <is>
          <t>Draw</t>
        </is>
      </c>
      <c r="F531" s="5" t="n">
        <v>368</v>
      </c>
      <c r="G531" s="5" t="n">
        <v>1227</v>
      </c>
      <c r="H531" s="5" t="n">
        <v>275</v>
      </c>
      <c r="I531" s="5" t="n">
        <v>215</v>
      </c>
      <c r="J531" s="5" t="n">
        <v>59</v>
      </c>
      <c r="K531" s="10">
        <f>IF(F531&gt;0,H531/F531,"")</f>
        <v/>
      </c>
      <c r="L531" s="16">
        <f>IF(AND(G531&gt;0,H531&gt;0),G531/H531,"")</f>
        <v/>
      </c>
    </row>
    <row r="532">
      <c r="A532" s="4" t="inlineStr">
        <is>
          <t>401</t>
        </is>
      </c>
      <c r="B532" s="4" t="n">
        <v>4</v>
      </c>
      <c r="C532" s="4" t="inlineStr">
        <is>
          <t>antelope</t>
        </is>
      </c>
      <c r="D532" s="4" t="n">
        <v>2023</v>
      </c>
      <c r="E532" s="15" t="inlineStr">
        <is>
          <t>Draw</t>
        </is>
      </c>
      <c r="F532" s="5" t="n"/>
      <c r="G532" s="5" t="n"/>
      <c r="H532" s="5" t="n">
        <v>207</v>
      </c>
      <c r="I532" s="5" t="n">
        <v>174</v>
      </c>
      <c r="J532" s="5" t="n">
        <v>33</v>
      </c>
      <c r="K532" s="10">
        <f>IF(F532&gt;0,H532/F532,"")</f>
        <v/>
      </c>
      <c r="L532" s="16">
        <f>IF(AND(G532&gt;0,H532&gt;0),G532/H532,"")</f>
        <v/>
      </c>
    </row>
    <row r="533">
      <c r="A533" s="4" t="inlineStr">
        <is>
          <t>401</t>
        </is>
      </c>
      <c r="B533" s="4" t="n">
        <v>4</v>
      </c>
      <c r="C533" s="4" t="inlineStr">
        <is>
          <t>antelope</t>
        </is>
      </c>
      <c r="D533" s="4" t="n">
        <v>2024</v>
      </c>
      <c r="E533" s="15" t="inlineStr">
        <is>
          <t>Draw</t>
        </is>
      </c>
      <c r="F533" s="5" t="n">
        <v>304</v>
      </c>
      <c r="G533" s="5" t="n">
        <v>1245</v>
      </c>
      <c r="H533" s="5" t="n">
        <v>168</v>
      </c>
      <c r="I533" s="5" t="n">
        <v>135</v>
      </c>
      <c r="J533" s="5" t="n">
        <v>33</v>
      </c>
      <c r="K533" s="10">
        <f>IF(F533&gt;0,H533/F533,"")</f>
        <v/>
      </c>
      <c r="L533" s="16">
        <f>IF(AND(G533&gt;0,H533&gt;0),G533/H533,"")</f>
        <v/>
      </c>
    </row>
    <row r="534">
      <c r="A534" s="4" t="inlineStr">
        <is>
          <t>401</t>
        </is>
      </c>
      <c r="B534" s="4" t="n">
        <v>4</v>
      </c>
      <c r="C534" s="4" t="inlineStr">
        <is>
          <t>antelope</t>
        </is>
      </c>
      <c r="D534" s="4" t="n">
        <v>2025</v>
      </c>
      <c r="E534" s="15" t="inlineStr">
        <is>
          <t>Draw</t>
        </is>
      </c>
      <c r="F534" s="5" t="n"/>
      <c r="G534" s="5" t="n"/>
      <c r="H534" s="5" t="n">
        <v>204</v>
      </c>
      <c r="I534" s="5" t="n">
        <v>165</v>
      </c>
      <c r="J534" s="5" t="n">
        <v>39</v>
      </c>
      <c r="K534" s="10">
        <f>IF(F534&gt;0,H534/F534,"")</f>
        <v/>
      </c>
      <c r="L534" s="16">
        <f>IF(AND(G534&gt;0,H534&gt;0),G534/H534,"")</f>
        <v/>
      </c>
    </row>
    <row r="535">
      <c r="A535" s="4" t="inlineStr">
        <is>
          <t>404</t>
        </is>
      </c>
      <c r="B535" s="4" t="n">
        <v>4</v>
      </c>
      <c r="C535" s="4" t="inlineStr">
        <is>
          <t>antelope</t>
        </is>
      </c>
      <c r="D535" s="4" t="n">
        <v>2004</v>
      </c>
      <c r="E535" s="15" t="inlineStr">
        <is>
          <t>Draw</t>
        </is>
      </c>
      <c r="F535" s="5" t="n">
        <v>308</v>
      </c>
      <c r="G535" s="5" t="n">
        <v>1207</v>
      </c>
      <c r="H535" s="5" t="n">
        <v>152</v>
      </c>
      <c r="I535" s="5" t="n">
        <v>139</v>
      </c>
      <c r="J535" s="5" t="n">
        <v>10</v>
      </c>
      <c r="K535" s="10">
        <f>IF(F535&gt;0,H535/F535,"")</f>
        <v/>
      </c>
      <c r="L535" s="16">
        <f>IF(AND(G535&gt;0,H535&gt;0),G535/H535,"")</f>
        <v/>
      </c>
    </row>
    <row r="536">
      <c r="A536" s="4" t="inlineStr">
        <is>
          <t>404</t>
        </is>
      </c>
      <c r="B536" s="4" t="n">
        <v>4</v>
      </c>
      <c r="C536" s="4" t="inlineStr">
        <is>
          <t>antelope</t>
        </is>
      </c>
      <c r="D536" s="4" t="n">
        <v>2005</v>
      </c>
      <c r="E536" s="15" t="inlineStr">
        <is>
          <t>Draw</t>
        </is>
      </c>
      <c r="F536" s="5" t="n">
        <v>356</v>
      </c>
      <c r="G536" s="5" t="n">
        <v>1040</v>
      </c>
      <c r="H536" s="5" t="n">
        <v>188</v>
      </c>
      <c r="I536" s="5" t="n">
        <v>162</v>
      </c>
      <c r="J536" s="5" t="n">
        <v>24</v>
      </c>
      <c r="K536" s="10">
        <f>IF(F536&gt;0,H536/F536,"")</f>
        <v/>
      </c>
      <c r="L536" s="16">
        <f>IF(AND(G536&gt;0,H536&gt;0),G536/H536,"")</f>
        <v/>
      </c>
    </row>
    <row r="537">
      <c r="A537" s="4" t="inlineStr">
        <is>
          <t>404</t>
        </is>
      </c>
      <c r="B537" s="4" t="n">
        <v>4</v>
      </c>
      <c r="C537" s="4" t="inlineStr">
        <is>
          <t>antelope</t>
        </is>
      </c>
      <c r="D537" s="4" t="n">
        <v>2006</v>
      </c>
      <c r="E537" s="15" t="inlineStr">
        <is>
          <t>Draw</t>
        </is>
      </c>
      <c r="F537" s="5" t="n">
        <v>414</v>
      </c>
      <c r="G537" s="5" t="n">
        <v>1403</v>
      </c>
      <c r="H537" s="5" t="n">
        <v>309</v>
      </c>
      <c r="I537" s="5" t="n">
        <v>177</v>
      </c>
      <c r="J537" s="5" t="n">
        <v>125</v>
      </c>
      <c r="K537" s="10">
        <f>IF(F537&gt;0,H537/F537,"")</f>
        <v/>
      </c>
      <c r="L537" s="16">
        <f>IF(AND(G537&gt;0,H537&gt;0),G537/H537,"")</f>
        <v/>
      </c>
    </row>
    <row r="538">
      <c r="A538" s="4" t="inlineStr">
        <is>
          <t>404</t>
        </is>
      </c>
      <c r="B538" s="4" t="n">
        <v>4</v>
      </c>
      <c r="C538" s="4" t="inlineStr">
        <is>
          <t>antelope</t>
        </is>
      </c>
      <c r="D538" s="4" t="n">
        <v>2007</v>
      </c>
      <c r="E538" s="15" t="inlineStr">
        <is>
          <t>Draw</t>
        </is>
      </c>
      <c r="F538" s="5" t="n">
        <v>632</v>
      </c>
      <c r="G538" s="5" t="n">
        <v>1968</v>
      </c>
      <c r="H538" s="5" t="n">
        <v>426</v>
      </c>
      <c r="I538" s="5" t="n">
        <v>218</v>
      </c>
      <c r="J538" s="5" t="n">
        <v>203</v>
      </c>
      <c r="K538" s="10">
        <f>IF(F538&gt;0,H538/F538,"")</f>
        <v/>
      </c>
      <c r="L538" s="16">
        <f>IF(AND(G538&gt;0,H538&gt;0),G538/H538,"")</f>
        <v/>
      </c>
    </row>
    <row r="539">
      <c r="A539" s="4" t="inlineStr">
        <is>
          <t>404</t>
        </is>
      </c>
      <c r="B539" s="4" t="n">
        <v>4</v>
      </c>
      <c r="C539" s="4" t="inlineStr">
        <is>
          <t>antelope</t>
        </is>
      </c>
      <c r="D539" s="4" t="n">
        <v>2008</v>
      </c>
      <c r="E539" s="15" t="inlineStr">
        <is>
          <t>Draw</t>
        </is>
      </c>
      <c r="F539" s="5" t="n">
        <v>668</v>
      </c>
      <c r="G539" s="5" t="n">
        <v>2520</v>
      </c>
      <c r="H539" s="5" t="n">
        <v>407</v>
      </c>
      <c r="I539" s="5" t="n">
        <v>206</v>
      </c>
      <c r="J539" s="5" t="n">
        <v>194</v>
      </c>
      <c r="K539" s="10">
        <f>IF(F539&gt;0,H539/F539,"")</f>
        <v/>
      </c>
      <c r="L539" s="16">
        <f>IF(AND(G539&gt;0,H539&gt;0),G539/H539,"")</f>
        <v/>
      </c>
    </row>
    <row r="540">
      <c r="A540" s="4" t="inlineStr">
        <is>
          <t>404</t>
        </is>
      </c>
      <c r="B540" s="4" t="n">
        <v>4</v>
      </c>
      <c r="C540" s="4" t="inlineStr">
        <is>
          <t>antelope</t>
        </is>
      </c>
      <c r="D540" s="4" t="n">
        <v>2009</v>
      </c>
      <c r="E540" s="15" t="inlineStr">
        <is>
          <t>Draw</t>
        </is>
      </c>
      <c r="F540" s="5" t="n">
        <v>710</v>
      </c>
      <c r="G540" s="5" t="n">
        <v>3070</v>
      </c>
      <c r="H540" s="5" t="n">
        <v>418</v>
      </c>
      <c r="I540" s="5" t="n">
        <v>229</v>
      </c>
      <c r="J540" s="5" t="n">
        <v>179</v>
      </c>
      <c r="K540" s="10">
        <f>IF(F540&gt;0,H540/F540,"")</f>
        <v/>
      </c>
      <c r="L540" s="16">
        <f>IF(AND(G540&gt;0,H540&gt;0),G540/H540,"")</f>
        <v/>
      </c>
    </row>
    <row r="541">
      <c r="A541" s="4" t="inlineStr">
        <is>
          <t>404</t>
        </is>
      </c>
      <c r="B541" s="4" t="n">
        <v>4</v>
      </c>
      <c r="C541" s="4" t="inlineStr">
        <is>
          <t>antelope</t>
        </is>
      </c>
      <c r="D541" s="4" t="n">
        <v>2010</v>
      </c>
      <c r="E541" s="15" t="inlineStr">
        <is>
          <t>Draw</t>
        </is>
      </c>
      <c r="F541" s="5" t="n">
        <v>911</v>
      </c>
      <c r="G541" s="5" t="n">
        <v>3581</v>
      </c>
      <c r="H541" s="5" t="n">
        <v>659</v>
      </c>
      <c r="I541" s="5" t="n">
        <v>344</v>
      </c>
      <c r="J541" s="5" t="n">
        <v>311</v>
      </c>
      <c r="K541" s="10">
        <f>IF(F541&gt;0,H541/F541,"")</f>
        <v/>
      </c>
      <c r="L541" s="16">
        <f>IF(AND(G541&gt;0,H541&gt;0),G541/H541,"")</f>
        <v/>
      </c>
    </row>
    <row r="542">
      <c r="A542" s="4" t="inlineStr">
        <is>
          <t>404</t>
        </is>
      </c>
      <c r="B542" s="4" t="n">
        <v>4</v>
      </c>
      <c r="C542" s="4" t="inlineStr">
        <is>
          <t>antelope</t>
        </is>
      </c>
      <c r="D542" s="4" t="n">
        <v>2011</v>
      </c>
      <c r="E542" s="15" t="inlineStr">
        <is>
          <t>Draw</t>
        </is>
      </c>
      <c r="F542" s="5" t="n">
        <v>737</v>
      </c>
      <c r="G542" s="5" t="n">
        <v>3026</v>
      </c>
      <c r="H542" s="5" t="n">
        <v>461</v>
      </c>
      <c r="I542" s="5" t="n">
        <v>294</v>
      </c>
      <c r="J542" s="5" t="n">
        <v>162</v>
      </c>
      <c r="K542" s="10">
        <f>IF(F542&gt;0,H542/F542,"")</f>
        <v/>
      </c>
      <c r="L542" s="16">
        <f>IF(AND(G542&gt;0,H542&gt;0),G542/H542,"")</f>
        <v/>
      </c>
    </row>
    <row r="543">
      <c r="A543" s="4" t="inlineStr">
        <is>
          <t>404</t>
        </is>
      </c>
      <c r="B543" s="4" t="n">
        <v>4</v>
      </c>
      <c r="C543" s="4" t="inlineStr">
        <is>
          <t>antelope</t>
        </is>
      </c>
      <c r="D543" s="4" t="n">
        <v>2012</v>
      </c>
      <c r="E543" s="15" t="inlineStr">
        <is>
          <t>Draw</t>
        </is>
      </c>
      <c r="F543" s="5" t="n">
        <v>531</v>
      </c>
      <c r="G543" s="5" t="n">
        <v>2377</v>
      </c>
      <c r="H543" s="5" t="n">
        <v>297</v>
      </c>
      <c r="I543" s="5" t="n">
        <v>226</v>
      </c>
      <c r="J543" s="5" t="n">
        <v>71</v>
      </c>
      <c r="K543" s="10">
        <f>IF(F543&gt;0,H543/F543,"")</f>
        <v/>
      </c>
      <c r="L543" s="16">
        <f>IF(AND(G543&gt;0,H543&gt;0),G543/H543,"")</f>
        <v/>
      </c>
    </row>
    <row r="544">
      <c r="A544" s="4" t="inlineStr">
        <is>
          <t>404</t>
        </is>
      </c>
      <c r="B544" s="4" t="n">
        <v>4</v>
      </c>
      <c r="C544" s="4" t="inlineStr">
        <is>
          <t>antelope</t>
        </is>
      </c>
      <c r="D544" s="4" t="n">
        <v>2013</v>
      </c>
      <c r="E544" s="15" t="inlineStr">
        <is>
          <t>Draw</t>
        </is>
      </c>
      <c r="F544" s="5" t="n"/>
      <c r="G544" s="5" t="n"/>
      <c r="H544" s="5" t="n">
        <v>228</v>
      </c>
      <c r="I544" s="5" t="n">
        <v>172</v>
      </c>
      <c r="J544" s="5" t="n">
        <v>53</v>
      </c>
      <c r="K544" s="10">
        <f>IF(F544&gt;0,H544/F544,"")</f>
        <v/>
      </c>
      <c r="L544" s="16">
        <f>IF(AND(G544&gt;0,H544&gt;0),G544/H544,"")</f>
        <v/>
      </c>
    </row>
    <row r="545">
      <c r="A545" s="4" t="inlineStr">
        <is>
          <t>404</t>
        </is>
      </c>
      <c r="B545" s="4" t="n">
        <v>4</v>
      </c>
      <c r="C545" s="4" t="inlineStr">
        <is>
          <t>antelope</t>
        </is>
      </c>
      <c r="D545" s="4" t="n">
        <v>2014</v>
      </c>
      <c r="E545" s="15" t="inlineStr">
        <is>
          <t>Draw</t>
        </is>
      </c>
      <c r="F545" s="5" t="n">
        <v>346</v>
      </c>
      <c r="G545" s="5" t="n">
        <v>1248</v>
      </c>
      <c r="H545" s="5" t="n">
        <v>193</v>
      </c>
      <c r="I545" s="5" t="n">
        <v>171</v>
      </c>
      <c r="J545" s="5" t="n">
        <v>23</v>
      </c>
      <c r="K545" s="10">
        <f>IF(F545&gt;0,H545/F545,"")</f>
        <v/>
      </c>
      <c r="L545" s="16">
        <f>IF(AND(G545&gt;0,H545&gt;0),G545/H545,"")</f>
        <v/>
      </c>
    </row>
    <row r="546">
      <c r="A546" s="4" t="inlineStr">
        <is>
          <t>404</t>
        </is>
      </c>
      <c r="B546" s="4" t="n">
        <v>4</v>
      </c>
      <c r="C546" s="4" t="inlineStr">
        <is>
          <t>antelope</t>
        </is>
      </c>
      <c r="D546" s="4" t="n">
        <v>2015</v>
      </c>
      <c r="E546" s="15" t="inlineStr">
        <is>
          <t>Draw</t>
        </is>
      </c>
      <c r="F546" s="5" t="n">
        <v>447</v>
      </c>
      <c r="G546" s="5" t="n">
        <v>1859</v>
      </c>
      <c r="H546" s="5" t="n">
        <v>215</v>
      </c>
      <c r="I546" s="5" t="n">
        <v>176</v>
      </c>
      <c r="J546" s="5" t="n">
        <v>37</v>
      </c>
      <c r="K546" s="10">
        <f>IF(F546&gt;0,H546/F546,"")</f>
        <v/>
      </c>
      <c r="L546" s="16">
        <f>IF(AND(G546&gt;0,H546&gt;0),G546/H546,"")</f>
        <v/>
      </c>
    </row>
    <row r="547">
      <c r="A547" s="4" t="inlineStr">
        <is>
          <t>404</t>
        </is>
      </c>
      <c r="B547" s="4" t="n">
        <v>4</v>
      </c>
      <c r="C547" s="4" t="inlineStr">
        <is>
          <t>antelope</t>
        </is>
      </c>
      <c r="D547" s="4" t="n">
        <v>2016</v>
      </c>
      <c r="E547" s="15" t="inlineStr">
        <is>
          <t>Draw</t>
        </is>
      </c>
      <c r="F547" s="5" t="n"/>
      <c r="G547" s="5" t="n"/>
      <c r="H547" s="5" t="n">
        <v>274</v>
      </c>
      <c r="I547" s="5" t="n">
        <v>204</v>
      </c>
      <c r="J547" s="5" t="n">
        <v>68</v>
      </c>
      <c r="K547" s="10">
        <f>IF(F547&gt;0,H547/F547,"")</f>
        <v/>
      </c>
      <c r="L547" s="16">
        <f>IF(AND(G547&gt;0,H547&gt;0),G547/H547,"")</f>
        <v/>
      </c>
    </row>
    <row r="548">
      <c r="A548" s="4" t="inlineStr">
        <is>
          <t>404</t>
        </is>
      </c>
      <c r="B548" s="4" t="n">
        <v>4</v>
      </c>
      <c r="C548" s="4" t="inlineStr">
        <is>
          <t>antelope</t>
        </is>
      </c>
      <c r="D548" s="4" t="n">
        <v>2017</v>
      </c>
      <c r="E548" s="15" t="inlineStr">
        <is>
          <t>Draw</t>
        </is>
      </c>
      <c r="F548" s="5" t="n"/>
      <c r="G548" s="5" t="n"/>
      <c r="H548" s="5" t="n">
        <v>333</v>
      </c>
      <c r="I548" s="5" t="n">
        <v>260</v>
      </c>
      <c r="J548" s="5" t="n">
        <v>72</v>
      </c>
      <c r="K548" s="10">
        <f>IF(F548&gt;0,H548/F548,"")</f>
        <v/>
      </c>
      <c r="L548" s="16">
        <f>IF(AND(G548&gt;0,H548&gt;0),G548/H548,"")</f>
        <v/>
      </c>
    </row>
    <row r="549">
      <c r="A549" s="4" t="inlineStr">
        <is>
          <t>404</t>
        </is>
      </c>
      <c r="B549" s="4" t="n">
        <v>4</v>
      </c>
      <c r="C549" s="4" t="inlineStr">
        <is>
          <t>antelope</t>
        </is>
      </c>
      <c r="D549" s="4" t="n">
        <v>2018</v>
      </c>
      <c r="E549" s="15" t="inlineStr">
        <is>
          <t>Draw</t>
        </is>
      </c>
      <c r="F549" s="5" t="n">
        <v>486</v>
      </c>
      <c r="G549" s="5" t="n">
        <v>1827</v>
      </c>
      <c r="H549" s="5" t="n">
        <v>262</v>
      </c>
      <c r="I549" s="5" t="n">
        <v>218</v>
      </c>
      <c r="J549" s="5" t="n">
        <v>44</v>
      </c>
      <c r="K549" s="10">
        <f>IF(F549&gt;0,H549/F549,"")</f>
        <v/>
      </c>
      <c r="L549" s="16">
        <f>IF(AND(G549&gt;0,H549&gt;0),G549/H549,"")</f>
        <v/>
      </c>
    </row>
    <row r="550">
      <c r="A550" s="4" t="inlineStr">
        <is>
          <t>404</t>
        </is>
      </c>
      <c r="B550" s="4" t="n">
        <v>4</v>
      </c>
      <c r="C550" s="4" t="inlineStr">
        <is>
          <t>antelope</t>
        </is>
      </c>
      <c r="D550" s="4" t="n">
        <v>2019</v>
      </c>
      <c r="E550" s="15" t="inlineStr">
        <is>
          <t>Draw</t>
        </is>
      </c>
      <c r="F550" s="5" t="n"/>
      <c r="G550" s="5" t="n"/>
      <c r="H550" s="5" t="n">
        <v>275</v>
      </c>
      <c r="I550" s="5" t="n">
        <v>223</v>
      </c>
      <c r="J550" s="5" t="n">
        <v>47</v>
      </c>
      <c r="K550" s="10">
        <f>IF(F550&gt;0,H550/F550,"")</f>
        <v/>
      </c>
      <c r="L550" s="16">
        <f>IF(AND(G550&gt;0,H550&gt;0),G550/H550,"")</f>
        <v/>
      </c>
    </row>
    <row r="551">
      <c r="A551" s="4" t="inlineStr">
        <is>
          <t>404</t>
        </is>
      </c>
      <c r="B551" s="4" t="n">
        <v>4</v>
      </c>
      <c r="C551" s="4" t="inlineStr">
        <is>
          <t>antelope</t>
        </is>
      </c>
      <c r="D551" s="4" t="n">
        <v>2020</v>
      </c>
      <c r="E551" s="15" t="inlineStr">
        <is>
          <t>Draw</t>
        </is>
      </c>
      <c r="F551" s="5" t="n">
        <v>584</v>
      </c>
      <c r="G551" s="5" t="n">
        <v>2358</v>
      </c>
      <c r="H551" s="5" t="n">
        <v>444</v>
      </c>
      <c r="I551" s="5" t="n">
        <v>266</v>
      </c>
      <c r="J551" s="5" t="n">
        <v>175</v>
      </c>
      <c r="K551" s="10">
        <f>IF(F551&gt;0,H551/F551,"")</f>
        <v/>
      </c>
      <c r="L551" s="16">
        <f>IF(AND(G551&gt;0,H551&gt;0),G551/H551,"")</f>
        <v/>
      </c>
    </row>
    <row r="552">
      <c r="A552" s="4" t="inlineStr">
        <is>
          <t>404</t>
        </is>
      </c>
      <c r="B552" s="4" t="n">
        <v>4</v>
      </c>
      <c r="C552" s="4" t="inlineStr">
        <is>
          <t>antelope</t>
        </is>
      </c>
      <c r="D552" s="4" t="n">
        <v>2021</v>
      </c>
      <c r="E552" s="15" t="inlineStr">
        <is>
          <t>Draw</t>
        </is>
      </c>
      <c r="F552" s="5" t="n"/>
      <c r="G552" s="5" t="n"/>
      <c r="H552" s="5" t="n">
        <v>371</v>
      </c>
      <c r="I552" s="5" t="n">
        <v>212</v>
      </c>
      <c r="J552" s="5" t="n">
        <v>156</v>
      </c>
      <c r="K552" s="10">
        <f>IF(F552&gt;0,H552/F552,"")</f>
        <v/>
      </c>
      <c r="L552" s="16">
        <f>IF(AND(G552&gt;0,H552&gt;0),G552/H552,"")</f>
        <v/>
      </c>
    </row>
    <row r="553">
      <c r="A553" s="4" t="inlineStr">
        <is>
          <t>404</t>
        </is>
      </c>
      <c r="B553" s="4" t="n">
        <v>4</v>
      </c>
      <c r="C553" s="4" t="inlineStr">
        <is>
          <t>antelope</t>
        </is>
      </c>
      <c r="D553" s="4" t="n">
        <v>2022</v>
      </c>
      <c r="E553" s="15" t="inlineStr">
        <is>
          <t>Draw</t>
        </is>
      </c>
      <c r="F553" s="5" t="n">
        <v>448</v>
      </c>
      <c r="G553" s="5" t="n">
        <v>2809</v>
      </c>
      <c r="H553" s="5" t="n">
        <v>265</v>
      </c>
      <c r="I553" s="5" t="n">
        <v>194</v>
      </c>
      <c r="J553" s="5" t="n">
        <v>71</v>
      </c>
      <c r="K553" s="10">
        <f>IF(F553&gt;0,H553/F553,"")</f>
        <v/>
      </c>
      <c r="L553" s="16">
        <f>IF(AND(G553&gt;0,H553&gt;0),G553/H553,"")</f>
        <v/>
      </c>
    </row>
    <row r="554">
      <c r="A554" s="4" t="inlineStr">
        <is>
          <t>404</t>
        </is>
      </c>
      <c r="B554" s="4" t="n">
        <v>4</v>
      </c>
      <c r="C554" s="4" t="inlineStr">
        <is>
          <t>antelope</t>
        </is>
      </c>
      <c r="D554" s="4" t="n">
        <v>2023</v>
      </c>
      <c r="E554" s="15" t="inlineStr">
        <is>
          <t>Draw</t>
        </is>
      </c>
      <c r="F554" s="5" t="n"/>
      <c r="G554" s="5" t="n"/>
      <c r="H554" s="5" t="n">
        <v>216</v>
      </c>
      <c r="I554" s="5" t="n">
        <v>160</v>
      </c>
      <c r="J554" s="5" t="n">
        <v>55</v>
      </c>
      <c r="K554" s="10">
        <f>IF(F554&gt;0,H554/F554,"")</f>
        <v/>
      </c>
      <c r="L554" s="16">
        <f>IF(AND(G554&gt;0,H554&gt;0),G554/H554,"")</f>
        <v/>
      </c>
    </row>
    <row r="555">
      <c r="A555" s="4" t="inlineStr">
        <is>
          <t>404</t>
        </is>
      </c>
      <c r="B555" s="4" t="n">
        <v>4</v>
      </c>
      <c r="C555" s="4" t="inlineStr">
        <is>
          <t>antelope</t>
        </is>
      </c>
      <c r="D555" s="4" t="n">
        <v>2024</v>
      </c>
      <c r="E555" s="15" t="inlineStr">
        <is>
          <t>Draw</t>
        </is>
      </c>
      <c r="F555" s="5" t="n">
        <v>430</v>
      </c>
      <c r="G555" s="5" t="n">
        <v>1741</v>
      </c>
      <c r="H555" s="5" t="n">
        <v>278</v>
      </c>
      <c r="I555" s="5" t="n">
        <v>207</v>
      </c>
      <c r="J555" s="5" t="n">
        <v>69</v>
      </c>
      <c r="K555" s="10">
        <f>IF(F555&gt;0,H555/F555,"")</f>
        <v/>
      </c>
      <c r="L555" s="16">
        <f>IF(AND(G555&gt;0,H555&gt;0),G555/H555,"")</f>
        <v/>
      </c>
    </row>
    <row r="556">
      <c r="A556" s="4" t="inlineStr">
        <is>
          <t>404</t>
        </is>
      </c>
      <c r="B556" s="4" t="n">
        <v>4</v>
      </c>
      <c r="C556" s="4" t="inlineStr">
        <is>
          <t>antelope</t>
        </is>
      </c>
      <c r="D556" s="4" t="n">
        <v>2025</v>
      </c>
      <c r="E556" s="15" t="inlineStr">
        <is>
          <t>Draw</t>
        </is>
      </c>
      <c r="F556" s="5" t="n"/>
      <c r="G556" s="5" t="n"/>
      <c r="H556" s="5" t="n">
        <v>232</v>
      </c>
      <c r="I556" s="5" t="n">
        <v>175</v>
      </c>
      <c r="J556" s="5" t="n">
        <v>58</v>
      </c>
      <c r="K556" s="10">
        <f>IF(F556&gt;0,H556/F556,"")</f>
        <v/>
      </c>
      <c r="L556" s="16">
        <f>IF(AND(G556&gt;0,H556&gt;0),G556/H556,"")</f>
        <v/>
      </c>
    </row>
    <row r="557">
      <c r="A557" s="4" t="inlineStr">
        <is>
          <t>413</t>
        </is>
      </c>
      <c r="B557" s="4" t="n">
        <v>4</v>
      </c>
      <c r="C557" s="4" t="inlineStr">
        <is>
          <t>antelope</t>
        </is>
      </c>
      <c r="D557" s="4" t="n">
        <v>2004</v>
      </c>
      <c r="E557" s="15" t="inlineStr">
        <is>
          <t>Draw</t>
        </is>
      </c>
      <c r="F557" s="5" t="n">
        <v>320</v>
      </c>
      <c r="G557" s="5" t="n">
        <v>1068</v>
      </c>
      <c r="H557" s="5" t="n">
        <v>163</v>
      </c>
      <c r="I557" s="5" t="n">
        <v>89</v>
      </c>
      <c r="J557" s="5" t="n">
        <v>66</v>
      </c>
      <c r="K557" s="10">
        <f>IF(F557&gt;0,H557/F557,"")</f>
        <v/>
      </c>
      <c r="L557" s="16">
        <f>IF(AND(G557&gt;0,H557&gt;0),G557/H557,"")</f>
        <v/>
      </c>
    </row>
    <row r="558">
      <c r="A558" s="4" t="inlineStr">
        <is>
          <t>413</t>
        </is>
      </c>
      <c r="B558" s="4" t="n">
        <v>4</v>
      </c>
      <c r="C558" s="4" t="inlineStr">
        <is>
          <t>antelope</t>
        </is>
      </c>
      <c r="D558" s="4" t="n">
        <v>2005</v>
      </c>
      <c r="E558" s="15" t="inlineStr">
        <is>
          <t>Draw</t>
        </is>
      </c>
      <c r="F558" s="5" t="n">
        <v>288</v>
      </c>
      <c r="G558" s="5" t="n">
        <v>1165</v>
      </c>
      <c r="H558" s="5" t="n">
        <v>145</v>
      </c>
      <c r="I558" s="5" t="n">
        <v>83</v>
      </c>
      <c r="J558" s="5" t="n">
        <v>53</v>
      </c>
      <c r="K558" s="10">
        <f>IF(F558&gt;0,H558/F558,"")</f>
        <v/>
      </c>
      <c r="L558" s="16">
        <f>IF(AND(G558&gt;0,H558&gt;0),G558/H558,"")</f>
        <v/>
      </c>
    </row>
    <row r="559">
      <c r="A559" s="4" t="inlineStr">
        <is>
          <t>413</t>
        </is>
      </c>
      <c r="B559" s="4" t="n">
        <v>4</v>
      </c>
      <c r="C559" s="4" t="inlineStr">
        <is>
          <t>antelope</t>
        </is>
      </c>
      <c r="D559" s="4" t="n">
        <v>2006</v>
      </c>
      <c r="E559" s="15" t="inlineStr">
        <is>
          <t>Draw</t>
        </is>
      </c>
      <c r="F559" s="5" t="n">
        <v>236</v>
      </c>
      <c r="G559" s="5" t="n">
        <v>838</v>
      </c>
      <c r="H559" s="5" t="n">
        <v>125</v>
      </c>
      <c r="I559" s="5" t="n">
        <v>68</v>
      </c>
      <c r="J559" s="5" t="n">
        <v>54</v>
      </c>
      <c r="K559" s="10">
        <f>IF(F559&gt;0,H559/F559,"")</f>
        <v/>
      </c>
      <c r="L559" s="16">
        <f>IF(AND(G559&gt;0,H559&gt;0),G559/H559,"")</f>
        <v/>
      </c>
    </row>
    <row r="560">
      <c r="A560" s="4" t="inlineStr">
        <is>
          <t>413</t>
        </is>
      </c>
      <c r="B560" s="4" t="n">
        <v>4</v>
      </c>
      <c r="C560" s="4" t="inlineStr">
        <is>
          <t>antelope</t>
        </is>
      </c>
      <c r="D560" s="4" t="n">
        <v>2007</v>
      </c>
      <c r="E560" s="15" t="inlineStr">
        <is>
          <t>Draw</t>
        </is>
      </c>
      <c r="F560" s="5" t="n">
        <v>206</v>
      </c>
      <c r="G560" s="5" t="n">
        <v>887</v>
      </c>
      <c r="H560" s="5" t="n">
        <v>124</v>
      </c>
      <c r="I560" s="5" t="n">
        <v>58</v>
      </c>
      <c r="J560" s="5" t="n">
        <v>63</v>
      </c>
      <c r="K560" s="10">
        <f>IF(F560&gt;0,H560/F560,"")</f>
        <v/>
      </c>
      <c r="L560" s="16">
        <f>IF(AND(G560&gt;0,H560&gt;0),G560/H560,"")</f>
        <v/>
      </c>
    </row>
    <row r="561">
      <c r="A561" s="4" t="inlineStr">
        <is>
          <t>413</t>
        </is>
      </c>
      <c r="B561" s="4" t="n">
        <v>4</v>
      </c>
      <c r="C561" s="4" t="inlineStr">
        <is>
          <t>antelope</t>
        </is>
      </c>
      <c r="D561" s="4" t="n">
        <v>2008</v>
      </c>
      <c r="E561" s="15" t="inlineStr">
        <is>
          <t>Draw</t>
        </is>
      </c>
      <c r="F561" s="5" t="n">
        <v>176</v>
      </c>
      <c r="G561" s="5" t="n">
        <v>697</v>
      </c>
      <c r="H561" s="5" t="n">
        <v>106</v>
      </c>
      <c r="I561" s="5" t="n">
        <v>52</v>
      </c>
      <c r="J561" s="5" t="n">
        <v>53</v>
      </c>
      <c r="K561" s="10">
        <f>IF(F561&gt;0,H561/F561,"")</f>
        <v/>
      </c>
      <c r="L561" s="16">
        <f>IF(AND(G561&gt;0,H561&gt;0),G561/H561,"")</f>
        <v/>
      </c>
    </row>
    <row r="562">
      <c r="A562" s="4" t="inlineStr">
        <is>
          <t>413</t>
        </is>
      </c>
      <c r="B562" s="4" t="n">
        <v>4</v>
      </c>
      <c r="C562" s="4" t="inlineStr">
        <is>
          <t>antelope</t>
        </is>
      </c>
      <c r="D562" s="4" t="n">
        <v>2009</v>
      </c>
      <c r="E562" s="15" t="inlineStr">
        <is>
          <t>Draw</t>
        </is>
      </c>
      <c r="F562" s="5" t="n">
        <v>188</v>
      </c>
      <c r="G562" s="5" t="n">
        <v>729</v>
      </c>
      <c r="H562" s="5" t="n">
        <v>103</v>
      </c>
      <c r="I562" s="5" t="n">
        <v>60</v>
      </c>
      <c r="J562" s="5" t="n">
        <v>38</v>
      </c>
      <c r="K562" s="10">
        <f>IF(F562&gt;0,H562/F562,"")</f>
        <v/>
      </c>
      <c r="L562" s="16">
        <f>IF(AND(G562&gt;0,H562&gt;0),G562/H562,"")</f>
        <v/>
      </c>
    </row>
    <row r="563">
      <c r="A563" s="4" t="inlineStr">
        <is>
          <t>413</t>
        </is>
      </c>
      <c r="B563" s="4" t="n">
        <v>4</v>
      </c>
      <c r="C563" s="4" t="inlineStr">
        <is>
          <t>antelope</t>
        </is>
      </c>
      <c r="D563" s="4" t="n">
        <v>2010</v>
      </c>
      <c r="E563" s="15" t="inlineStr">
        <is>
          <t>Draw</t>
        </is>
      </c>
      <c r="F563" s="5" t="n">
        <v>201</v>
      </c>
      <c r="G563" s="5" t="n">
        <v>787</v>
      </c>
      <c r="H563" s="5" t="n">
        <v>118</v>
      </c>
      <c r="I563" s="5" t="n">
        <v>43</v>
      </c>
      <c r="J563" s="5" t="n">
        <v>73</v>
      </c>
      <c r="K563" s="10">
        <f>IF(F563&gt;0,H563/F563,"")</f>
        <v/>
      </c>
      <c r="L563" s="16">
        <f>IF(AND(G563&gt;0,H563&gt;0),G563/H563,"")</f>
        <v/>
      </c>
    </row>
    <row r="564">
      <c r="A564" s="4" t="inlineStr">
        <is>
          <t>413</t>
        </is>
      </c>
      <c r="B564" s="4" t="n">
        <v>4</v>
      </c>
      <c r="C564" s="4" t="inlineStr">
        <is>
          <t>antelope</t>
        </is>
      </c>
      <c r="D564" s="4" t="n">
        <v>2011</v>
      </c>
      <c r="E564" s="15" t="inlineStr">
        <is>
          <t>Draw</t>
        </is>
      </c>
      <c r="F564" s="5" t="n">
        <v>265</v>
      </c>
      <c r="G564" s="5" t="n">
        <v>1034</v>
      </c>
      <c r="H564" s="5" t="n">
        <v>154</v>
      </c>
      <c r="I564" s="5" t="n">
        <v>74</v>
      </c>
      <c r="J564" s="5" t="n">
        <v>80</v>
      </c>
      <c r="K564" s="10">
        <f>IF(F564&gt;0,H564/F564,"")</f>
        <v/>
      </c>
      <c r="L564" s="16">
        <f>IF(AND(G564&gt;0,H564&gt;0),G564/H564,"")</f>
        <v/>
      </c>
    </row>
    <row r="565">
      <c r="A565" s="4" t="inlineStr">
        <is>
          <t>413</t>
        </is>
      </c>
      <c r="B565" s="4" t="n">
        <v>4</v>
      </c>
      <c r="C565" s="4" t="inlineStr">
        <is>
          <t>antelope</t>
        </is>
      </c>
      <c r="D565" s="4" t="n">
        <v>2012</v>
      </c>
      <c r="E565" s="15" t="inlineStr">
        <is>
          <t>Draw</t>
        </is>
      </c>
      <c r="F565" s="5" t="n">
        <v>244</v>
      </c>
      <c r="G565" s="5" t="n">
        <v>995</v>
      </c>
      <c r="H565" s="5" t="n">
        <v>128</v>
      </c>
      <c r="I565" s="5" t="n">
        <v>66</v>
      </c>
      <c r="J565" s="5" t="n">
        <v>55</v>
      </c>
      <c r="K565" s="10">
        <f>IF(F565&gt;0,H565/F565,"")</f>
        <v/>
      </c>
      <c r="L565" s="16">
        <f>IF(AND(G565&gt;0,H565&gt;0),G565/H565,"")</f>
        <v/>
      </c>
    </row>
    <row r="566">
      <c r="A566" s="4" t="inlineStr">
        <is>
          <t>413</t>
        </is>
      </c>
      <c r="B566" s="4" t="n">
        <v>4</v>
      </c>
      <c r="C566" s="4" t="inlineStr">
        <is>
          <t>antelope</t>
        </is>
      </c>
      <c r="D566" s="4" t="n">
        <v>2013</v>
      </c>
      <c r="E566" s="15" t="inlineStr">
        <is>
          <t>Draw</t>
        </is>
      </c>
      <c r="F566" s="5" t="n"/>
      <c r="G566" s="5" t="n"/>
      <c r="H566" s="5" t="n">
        <v>98</v>
      </c>
      <c r="I566" s="5" t="n">
        <v>60</v>
      </c>
      <c r="J566" s="5" t="n">
        <v>38</v>
      </c>
      <c r="K566" s="10">
        <f>IF(F566&gt;0,H566/F566,"")</f>
        <v/>
      </c>
      <c r="L566" s="16">
        <f>IF(AND(G566&gt;0,H566&gt;0),G566/H566,"")</f>
        <v/>
      </c>
    </row>
    <row r="567">
      <c r="A567" s="4" t="inlineStr">
        <is>
          <t>413</t>
        </is>
      </c>
      <c r="B567" s="4" t="n">
        <v>4</v>
      </c>
      <c r="C567" s="4" t="inlineStr">
        <is>
          <t>antelope</t>
        </is>
      </c>
      <c r="D567" s="4" t="n">
        <v>2014</v>
      </c>
      <c r="E567" s="15" t="inlineStr">
        <is>
          <t>Draw</t>
        </is>
      </c>
      <c r="F567" s="5" t="n">
        <v>184</v>
      </c>
      <c r="G567" s="5" t="n">
        <v>772</v>
      </c>
      <c r="H567" s="5" t="n">
        <v>97</v>
      </c>
      <c r="I567" s="5" t="n">
        <v>55</v>
      </c>
      <c r="J567" s="5" t="n">
        <v>41</v>
      </c>
      <c r="K567" s="10">
        <f>IF(F567&gt;0,H567/F567,"")</f>
        <v/>
      </c>
      <c r="L567" s="16">
        <f>IF(AND(G567&gt;0,H567&gt;0),G567/H567,"")</f>
        <v/>
      </c>
    </row>
    <row r="568">
      <c r="A568" s="4" t="inlineStr">
        <is>
          <t>413</t>
        </is>
      </c>
      <c r="B568" s="4" t="n">
        <v>4</v>
      </c>
      <c r="C568" s="4" t="inlineStr">
        <is>
          <t>antelope</t>
        </is>
      </c>
      <c r="D568" s="4" t="n">
        <v>2015</v>
      </c>
      <c r="E568" s="15" t="inlineStr">
        <is>
          <t>Draw</t>
        </is>
      </c>
      <c r="F568" s="5" t="n">
        <v>98</v>
      </c>
      <c r="G568" s="5" t="n">
        <v>369</v>
      </c>
      <c r="H568" s="5" t="n">
        <v>48</v>
      </c>
      <c r="I568" s="5" t="n">
        <v>26</v>
      </c>
      <c r="J568" s="5" t="n">
        <v>17</v>
      </c>
      <c r="K568" s="10">
        <f>IF(F568&gt;0,H568/F568,"")</f>
        <v/>
      </c>
      <c r="L568" s="16">
        <f>IF(AND(G568&gt;0,H568&gt;0),G568/H568,"")</f>
        <v/>
      </c>
    </row>
    <row r="569">
      <c r="A569" s="4" t="inlineStr">
        <is>
          <t>413</t>
        </is>
      </c>
      <c r="B569" s="4" t="n">
        <v>4</v>
      </c>
      <c r="C569" s="4" t="inlineStr">
        <is>
          <t>antelope</t>
        </is>
      </c>
      <c r="D569" s="4" t="n">
        <v>2016</v>
      </c>
      <c r="E569" s="15" t="inlineStr">
        <is>
          <t>Draw</t>
        </is>
      </c>
      <c r="F569" s="5" t="n"/>
      <c r="G569" s="5" t="n"/>
      <c r="H569" s="5" t="n">
        <v>65</v>
      </c>
      <c r="I569" s="5" t="n">
        <v>34</v>
      </c>
      <c r="J569" s="5" t="n">
        <v>24</v>
      </c>
      <c r="K569" s="10">
        <f>IF(F569&gt;0,H569/F569,"")</f>
        <v/>
      </c>
      <c r="L569" s="16">
        <f>IF(AND(G569&gt;0,H569&gt;0),G569/H569,"")</f>
        <v/>
      </c>
    </row>
    <row r="570">
      <c r="A570" s="4" t="inlineStr">
        <is>
          <t>413</t>
        </is>
      </c>
      <c r="B570" s="4" t="n">
        <v>4</v>
      </c>
      <c r="C570" s="4" t="inlineStr">
        <is>
          <t>antelope</t>
        </is>
      </c>
      <c r="D570" s="4" t="n">
        <v>2017</v>
      </c>
      <c r="E570" s="15" t="inlineStr">
        <is>
          <t>Draw</t>
        </is>
      </c>
      <c r="F570" s="5" t="n"/>
      <c r="G570" s="5" t="n"/>
      <c r="H570" s="5" t="n">
        <v>49</v>
      </c>
      <c r="I570" s="5" t="n">
        <v>33</v>
      </c>
      <c r="J570" s="5" t="n">
        <v>16</v>
      </c>
      <c r="K570" s="10">
        <f>IF(F570&gt;0,H570/F570,"")</f>
        <v/>
      </c>
      <c r="L570" s="16">
        <f>IF(AND(G570&gt;0,H570&gt;0),G570/H570,"")</f>
        <v/>
      </c>
    </row>
    <row r="571">
      <c r="A571" s="4" t="inlineStr">
        <is>
          <t>413</t>
        </is>
      </c>
      <c r="B571" s="4" t="n">
        <v>4</v>
      </c>
      <c r="C571" s="4" t="inlineStr">
        <is>
          <t>antelope</t>
        </is>
      </c>
      <c r="D571" s="4" t="n">
        <v>2018</v>
      </c>
      <c r="E571" s="15" t="inlineStr">
        <is>
          <t>Draw</t>
        </is>
      </c>
      <c r="F571" s="5" t="n">
        <v>115</v>
      </c>
      <c r="G571" s="5" t="n">
        <v>456</v>
      </c>
      <c r="H571" s="5" t="n">
        <v>49</v>
      </c>
      <c r="I571" s="5" t="n">
        <v>36</v>
      </c>
      <c r="J571" s="5" t="n">
        <v>11</v>
      </c>
      <c r="K571" s="10">
        <f>IF(F571&gt;0,H571/F571,"")</f>
        <v/>
      </c>
      <c r="L571" s="16">
        <f>IF(AND(G571&gt;0,H571&gt;0),G571/H571,"")</f>
        <v/>
      </c>
    </row>
    <row r="572">
      <c r="A572" s="4" t="inlineStr">
        <is>
          <t>413</t>
        </is>
      </c>
      <c r="B572" s="4" t="n">
        <v>4</v>
      </c>
      <c r="C572" s="4" t="inlineStr">
        <is>
          <t>antelope</t>
        </is>
      </c>
      <c r="D572" s="4" t="n">
        <v>2019</v>
      </c>
      <c r="E572" s="15" t="inlineStr">
        <is>
          <t>Draw</t>
        </is>
      </c>
      <c r="F572" s="5" t="n"/>
      <c r="G572" s="5" t="n"/>
      <c r="H572" s="5" t="n">
        <v>18</v>
      </c>
      <c r="I572" s="5" t="n">
        <v>12</v>
      </c>
      <c r="J572" s="5" t="n">
        <v>6</v>
      </c>
      <c r="K572" s="10">
        <f>IF(F572&gt;0,H572/F572,"")</f>
        <v/>
      </c>
      <c r="L572" s="16">
        <f>IF(AND(G572&gt;0,H572&gt;0),G572/H572,"")</f>
        <v/>
      </c>
    </row>
    <row r="573">
      <c r="A573" s="4" t="inlineStr">
        <is>
          <t>413</t>
        </is>
      </c>
      <c r="B573" s="4" t="n">
        <v>4</v>
      </c>
      <c r="C573" s="4" t="inlineStr">
        <is>
          <t>antelope</t>
        </is>
      </c>
      <c r="D573" s="4" t="n">
        <v>2020</v>
      </c>
      <c r="E573" s="15" t="inlineStr">
        <is>
          <t>Draw</t>
        </is>
      </c>
      <c r="F573" s="5" t="n">
        <v>70</v>
      </c>
      <c r="G573" s="5" t="n">
        <v>250</v>
      </c>
      <c r="H573" s="5" t="n">
        <v>50</v>
      </c>
      <c r="I573" s="5" t="n">
        <v>30</v>
      </c>
      <c r="J573" s="5" t="n">
        <v>20</v>
      </c>
      <c r="K573" s="10">
        <f>IF(F573&gt;0,H573/F573,"")</f>
        <v/>
      </c>
      <c r="L573" s="16">
        <f>IF(AND(G573&gt;0,H573&gt;0),G573/H573,"")</f>
        <v/>
      </c>
    </row>
    <row r="574">
      <c r="A574" s="4" t="inlineStr">
        <is>
          <t>413</t>
        </is>
      </c>
      <c r="B574" s="4" t="n">
        <v>4</v>
      </c>
      <c r="C574" s="4" t="inlineStr">
        <is>
          <t>antelope</t>
        </is>
      </c>
      <c r="D574" s="4" t="n">
        <v>2021</v>
      </c>
      <c r="E574" s="15" t="inlineStr">
        <is>
          <t>Draw</t>
        </is>
      </c>
      <c r="F574" s="5" t="n"/>
      <c r="G574" s="5" t="n"/>
      <c r="H574" s="5" t="n">
        <v>54</v>
      </c>
      <c r="I574" s="5" t="n">
        <v>35</v>
      </c>
      <c r="J574" s="5" t="n">
        <v>17</v>
      </c>
      <c r="K574" s="10">
        <f>IF(F574&gt;0,H574/F574,"")</f>
        <v/>
      </c>
      <c r="L574" s="16">
        <f>IF(AND(G574&gt;0,H574&gt;0),G574/H574,"")</f>
        <v/>
      </c>
    </row>
    <row r="575">
      <c r="A575" s="4" t="inlineStr">
        <is>
          <t>420</t>
        </is>
      </c>
      <c r="B575" s="4" t="n">
        <v>4</v>
      </c>
      <c r="C575" s="4" t="inlineStr">
        <is>
          <t>antelope</t>
        </is>
      </c>
      <c r="D575" s="4" t="n">
        <v>2004</v>
      </c>
      <c r="E575" s="15" t="inlineStr">
        <is>
          <t>Draw</t>
        </is>
      </c>
      <c r="F575" s="5" t="n">
        <v>529</v>
      </c>
      <c r="G575" s="5" t="n">
        <v>1513</v>
      </c>
      <c r="H575" s="5" t="n">
        <v>408</v>
      </c>
      <c r="I575" s="5" t="n">
        <v>164</v>
      </c>
      <c r="J575" s="5" t="n">
        <v>222</v>
      </c>
      <c r="K575" s="10">
        <f>IF(F575&gt;0,H575/F575,"")</f>
        <v/>
      </c>
      <c r="L575" s="16">
        <f>IF(AND(G575&gt;0,H575&gt;0),G575/H575,"")</f>
        <v/>
      </c>
    </row>
    <row r="576">
      <c r="A576" s="4" t="inlineStr">
        <is>
          <t>420</t>
        </is>
      </c>
      <c r="B576" s="4" t="n">
        <v>4</v>
      </c>
      <c r="C576" s="4" t="inlineStr">
        <is>
          <t>antelope</t>
        </is>
      </c>
      <c r="D576" s="4" t="n">
        <v>2005</v>
      </c>
      <c r="E576" s="15" t="inlineStr">
        <is>
          <t>Draw</t>
        </is>
      </c>
      <c r="F576" s="5" t="n">
        <v>592</v>
      </c>
      <c r="G576" s="5" t="n">
        <v>1785</v>
      </c>
      <c r="H576" s="5" t="n">
        <v>476</v>
      </c>
      <c r="I576" s="5" t="n">
        <v>190</v>
      </c>
      <c r="J576" s="5" t="n">
        <v>267</v>
      </c>
      <c r="K576" s="10">
        <f>IF(F576&gt;0,H576/F576,"")</f>
        <v/>
      </c>
      <c r="L576" s="16">
        <f>IF(AND(G576&gt;0,H576&gt;0),G576/H576,"")</f>
        <v/>
      </c>
    </row>
    <row r="577">
      <c r="A577" s="4" t="inlineStr">
        <is>
          <t>420</t>
        </is>
      </c>
      <c r="B577" s="4" t="n">
        <v>4</v>
      </c>
      <c r="C577" s="4" t="inlineStr">
        <is>
          <t>antelope</t>
        </is>
      </c>
      <c r="D577" s="4" t="n">
        <v>2006</v>
      </c>
      <c r="E577" s="15" t="inlineStr">
        <is>
          <t>Draw</t>
        </is>
      </c>
      <c r="F577" s="5" t="n">
        <v>326</v>
      </c>
      <c r="G577" s="5" t="n">
        <v>954</v>
      </c>
      <c r="H577" s="5" t="n">
        <v>234</v>
      </c>
      <c r="I577" s="5" t="n">
        <v>184</v>
      </c>
      <c r="J577" s="5" t="n">
        <v>47</v>
      </c>
      <c r="K577" s="10">
        <f>IF(F577&gt;0,H577/F577,"")</f>
        <v/>
      </c>
      <c r="L577" s="16">
        <f>IF(AND(G577&gt;0,H577&gt;0),G577/H577,"")</f>
        <v/>
      </c>
    </row>
    <row r="578">
      <c r="A578" s="4" t="inlineStr">
        <is>
          <t>420</t>
        </is>
      </c>
      <c r="B578" s="4" t="n">
        <v>4</v>
      </c>
      <c r="C578" s="4" t="inlineStr">
        <is>
          <t>antelope</t>
        </is>
      </c>
      <c r="D578" s="4" t="n">
        <v>2007</v>
      </c>
      <c r="E578" s="15" t="inlineStr">
        <is>
          <t>Draw</t>
        </is>
      </c>
      <c r="F578" s="5" t="n">
        <v>397</v>
      </c>
      <c r="G578" s="5" t="n">
        <v>1290</v>
      </c>
      <c r="H578" s="5" t="n">
        <v>343</v>
      </c>
      <c r="I578" s="5" t="n">
        <v>170</v>
      </c>
      <c r="J578" s="5" t="n">
        <v>168</v>
      </c>
      <c r="K578" s="10">
        <f>IF(F578&gt;0,H578/F578,"")</f>
        <v/>
      </c>
      <c r="L578" s="16">
        <f>IF(AND(G578&gt;0,H578&gt;0),G578/H578,"")</f>
        <v/>
      </c>
    </row>
    <row r="579">
      <c r="A579" s="4" t="inlineStr">
        <is>
          <t>420</t>
        </is>
      </c>
      <c r="B579" s="4" t="n">
        <v>4</v>
      </c>
      <c r="C579" s="4" t="inlineStr">
        <is>
          <t>antelope</t>
        </is>
      </c>
      <c r="D579" s="4" t="n">
        <v>2008</v>
      </c>
      <c r="E579" s="15" t="inlineStr">
        <is>
          <t>Draw</t>
        </is>
      </c>
      <c r="F579" s="5" t="n">
        <v>274</v>
      </c>
      <c r="G579" s="5" t="n">
        <v>898</v>
      </c>
      <c r="H579" s="5" t="n">
        <v>124</v>
      </c>
      <c r="I579" s="5" t="n">
        <v>69</v>
      </c>
      <c r="J579" s="5" t="n">
        <v>50</v>
      </c>
      <c r="K579" s="10">
        <f>IF(F579&gt;0,H579/F579,"")</f>
        <v/>
      </c>
      <c r="L579" s="16">
        <f>IF(AND(G579&gt;0,H579&gt;0),G579/H579,"")</f>
        <v/>
      </c>
    </row>
    <row r="580">
      <c r="A580" s="4" t="inlineStr">
        <is>
          <t>420</t>
        </is>
      </c>
      <c r="B580" s="4" t="n">
        <v>4</v>
      </c>
      <c r="C580" s="4" t="inlineStr">
        <is>
          <t>antelope</t>
        </is>
      </c>
      <c r="D580" s="4" t="n">
        <v>2009</v>
      </c>
      <c r="E580" s="15" t="inlineStr">
        <is>
          <t>Draw</t>
        </is>
      </c>
      <c r="F580" s="5" t="n">
        <v>147</v>
      </c>
      <c r="G580" s="5" t="n">
        <v>400</v>
      </c>
      <c r="H580" s="5" t="n">
        <v>79</v>
      </c>
      <c r="I580" s="5" t="n">
        <v>48</v>
      </c>
      <c r="J580" s="5" t="n">
        <v>31</v>
      </c>
      <c r="K580" s="10">
        <f>IF(F580&gt;0,H580/F580,"")</f>
        <v/>
      </c>
      <c r="L580" s="16">
        <f>IF(AND(G580&gt;0,H580&gt;0),G580/H580,"")</f>
        <v/>
      </c>
    </row>
    <row r="581">
      <c r="A581" s="4" t="inlineStr">
        <is>
          <t>420</t>
        </is>
      </c>
      <c r="B581" s="4" t="n">
        <v>4</v>
      </c>
      <c r="C581" s="4" t="inlineStr">
        <is>
          <t>antelope</t>
        </is>
      </c>
      <c r="D581" s="4" t="n">
        <v>2010</v>
      </c>
      <c r="E581" s="15" t="inlineStr">
        <is>
          <t>Draw</t>
        </is>
      </c>
      <c r="F581" s="5" t="n">
        <v>87</v>
      </c>
      <c r="G581" s="5" t="n">
        <v>339</v>
      </c>
      <c r="H581" s="5" t="n">
        <v>34</v>
      </c>
      <c r="I581" s="5" t="n">
        <v>18</v>
      </c>
      <c r="J581" s="5" t="n">
        <v>13</v>
      </c>
      <c r="K581" s="10">
        <f>IF(F581&gt;0,H581/F581,"")</f>
        <v/>
      </c>
      <c r="L581" s="16">
        <f>IF(AND(G581&gt;0,H581&gt;0),G581/H581,"")</f>
        <v/>
      </c>
    </row>
    <row r="582">
      <c r="A582" s="4" t="inlineStr">
        <is>
          <t>420</t>
        </is>
      </c>
      <c r="B582" s="4" t="n">
        <v>4</v>
      </c>
      <c r="C582" s="4" t="inlineStr">
        <is>
          <t>antelope</t>
        </is>
      </c>
      <c r="D582" s="4" t="n">
        <v>2011</v>
      </c>
      <c r="E582" s="15" t="inlineStr">
        <is>
          <t>Draw</t>
        </is>
      </c>
      <c r="F582" s="5" t="n">
        <v>63</v>
      </c>
      <c r="G582" s="5" t="n">
        <v>314</v>
      </c>
      <c r="H582" s="5" t="n">
        <v>32</v>
      </c>
      <c r="I582" s="5" t="n">
        <v>21</v>
      </c>
      <c r="J582" s="5" t="n">
        <v>10</v>
      </c>
      <c r="K582" s="10">
        <f>IF(F582&gt;0,H582/F582,"")</f>
        <v/>
      </c>
      <c r="L582" s="16">
        <f>IF(AND(G582&gt;0,H582&gt;0),G582/H582,"")</f>
        <v/>
      </c>
    </row>
    <row r="583">
      <c r="A583" s="4" t="inlineStr">
        <is>
          <t>420</t>
        </is>
      </c>
      <c r="B583" s="4" t="n">
        <v>4</v>
      </c>
      <c r="C583" s="4" t="inlineStr">
        <is>
          <t>antelope</t>
        </is>
      </c>
      <c r="D583" s="4" t="n">
        <v>2012</v>
      </c>
      <c r="E583" s="15" t="inlineStr">
        <is>
          <t>Draw</t>
        </is>
      </c>
      <c r="F583" s="5" t="n">
        <v>68</v>
      </c>
      <c r="G583" s="5" t="n">
        <v>234</v>
      </c>
      <c r="H583" s="5" t="n">
        <v>39</v>
      </c>
      <c r="I583" s="5" t="n">
        <v>26</v>
      </c>
      <c r="J583" s="5" t="n">
        <v>13</v>
      </c>
      <c r="K583" s="10">
        <f>IF(F583&gt;0,H583/F583,"")</f>
        <v/>
      </c>
      <c r="L583" s="16">
        <f>IF(AND(G583&gt;0,H583&gt;0),G583/H583,"")</f>
        <v/>
      </c>
    </row>
    <row r="584">
      <c r="A584" s="4" t="inlineStr">
        <is>
          <t>420</t>
        </is>
      </c>
      <c r="B584" s="4" t="n">
        <v>4</v>
      </c>
      <c r="C584" s="4" t="inlineStr">
        <is>
          <t>antelope</t>
        </is>
      </c>
      <c r="D584" s="4" t="n">
        <v>2013</v>
      </c>
      <c r="E584" s="15" t="inlineStr">
        <is>
          <t>Draw</t>
        </is>
      </c>
      <c r="F584" s="5" t="n"/>
      <c r="G584" s="5" t="n"/>
      <c r="H584" s="5" t="n">
        <v>32</v>
      </c>
      <c r="I584" s="5" t="n">
        <v>17</v>
      </c>
      <c r="J584" s="5" t="n">
        <v>15</v>
      </c>
      <c r="K584" s="10">
        <f>IF(F584&gt;0,H584/F584,"")</f>
        <v/>
      </c>
      <c r="L584" s="16">
        <f>IF(AND(G584&gt;0,H584&gt;0),G584/H584,"")</f>
        <v/>
      </c>
    </row>
    <row r="585">
      <c r="A585" s="4" t="inlineStr">
        <is>
          <t>420</t>
        </is>
      </c>
      <c r="B585" s="4" t="n">
        <v>4</v>
      </c>
      <c r="C585" s="4" t="inlineStr">
        <is>
          <t>antelope</t>
        </is>
      </c>
      <c r="D585" s="4" t="n">
        <v>2014</v>
      </c>
      <c r="E585" s="15" t="inlineStr">
        <is>
          <t>Draw</t>
        </is>
      </c>
      <c r="F585" s="5" t="n">
        <v>57</v>
      </c>
      <c r="G585" s="5" t="n">
        <v>218</v>
      </c>
      <c r="H585" s="5" t="n">
        <v>31</v>
      </c>
      <c r="I585" s="5" t="n">
        <v>15</v>
      </c>
      <c r="J585" s="5" t="n">
        <v>15</v>
      </c>
      <c r="K585" s="10">
        <f>IF(F585&gt;0,H585/F585,"")</f>
        <v/>
      </c>
      <c r="L585" s="16">
        <f>IF(AND(G585&gt;0,H585&gt;0),G585/H585,"")</f>
        <v/>
      </c>
    </row>
    <row r="586">
      <c r="A586" s="4" t="inlineStr">
        <is>
          <t>420</t>
        </is>
      </c>
      <c r="B586" s="4" t="n">
        <v>4</v>
      </c>
      <c r="C586" s="4" t="inlineStr">
        <is>
          <t>antelope</t>
        </is>
      </c>
      <c r="D586" s="4" t="n">
        <v>2015</v>
      </c>
      <c r="E586" s="15" t="inlineStr">
        <is>
          <t>Draw</t>
        </is>
      </c>
      <c r="F586" s="5" t="n">
        <v>132</v>
      </c>
      <c r="G586" s="5" t="n">
        <v>517</v>
      </c>
      <c r="H586" s="5" t="n">
        <v>74</v>
      </c>
      <c r="I586" s="5" t="n">
        <v>59</v>
      </c>
      <c r="J586" s="5" t="n">
        <v>16</v>
      </c>
      <c r="K586" s="10">
        <f>IF(F586&gt;0,H586/F586,"")</f>
        <v/>
      </c>
      <c r="L586" s="16">
        <f>IF(AND(G586&gt;0,H586&gt;0),G586/H586,"")</f>
        <v/>
      </c>
    </row>
    <row r="587">
      <c r="A587" s="4" t="inlineStr">
        <is>
          <t>420</t>
        </is>
      </c>
      <c r="B587" s="4" t="n">
        <v>4</v>
      </c>
      <c r="C587" s="4" t="inlineStr">
        <is>
          <t>antelope</t>
        </is>
      </c>
      <c r="D587" s="4" t="n">
        <v>2016</v>
      </c>
      <c r="E587" s="15" t="inlineStr">
        <is>
          <t>Draw</t>
        </is>
      </c>
      <c r="F587" s="5" t="n"/>
      <c r="G587" s="5" t="n"/>
      <c r="H587" s="5" t="n">
        <v>74</v>
      </c>
      <c r="I587" s="5" t="n">
        <v>56</v>
      </c>
      <c r="J587" s="5" t="n">
        <v>16</v>
      </c>
      <c r="K587" s="10">
        <f>IF(F587&gt;0,H587/F587,"")</f>
        <v/>
      </c>
      <c r="L587" s="16">
        <f>IF(AND(G587&gt;0,H587&gt;0),G587/H587,"")</f>
        <v/>
      </c>
    </row>
    <row r="588">
      <c r="A588" s="4" t="inlineStr">
        <is>
          <t>420</t>
        </is>
      </c>
      <c r="B588" s="4" t="n">
        <v>4</v>
      </c>
      <c r="C588" s="4" t="inlineStr">
        <is>
          <t>antelope</t>
        </is>
      </c>
      <c r="D588" s="4" t="n">
        <v>2017</v>
      </c>
      <c r="E588" s="15" t="inlineStr">
        <is>
          <t>Draw</t>
        </is>
      </c>
      <c r="F588" s="5" t="n"/>
      <c r="G588" s="5" t="n"/>
      <c r="H588" s="5" t="n">
        <v>96</v>
      </c>
      <c r="I588" s="5" t="n">
        <v>69</v>
      </c>
      <c r="J588" s="5" t="n">
        <v>27</v>
      </c>
      <c r="K588" s="10">
        <f>IF(F588&gt;0,H588/F588,"")</f>
        <v/>
      </c>
      <c r="L588" s="16">
        <f>IF(AND(G588&gt;0,H588&gt;0),G588/H588,"")</f>
        <v/>
      </c>
    </row>
    <row r="589">
      <c r="A589" s="4" t="inlineStr">
        <is>
          <t>420</t>
        </is>
      </c>
      <c r="B589" s="4" t="n">
        <v>4</v>
      </c>
      <c r="C589" s="4" t="inlineStr">
        <is>
          <t>antelope</t>
        </is>
      </c>
      <c r="D589" s="4" t="n">
        <v>2018</v>
      </c>
      <c r="E589" s="15" t="inlineStr">
        <is>
          <t>Draw</t>
        </is>
      </c>
      <c r="F589" s="5" t="n">
        <v>162</v>
      </c>
      <c r="G589" s="5" t="n">
        <v>285</v>
      </c>
      <c r="H589" s="5" t="n">
        <v>92</v>
      </c>
      <c r="I589" s="5" t="n">
        <v>78</v>
      </c>
      <c r="J589" s="5" t="n">
        <v>14</v>
      </c>
      <c r="K589" s="10">
        <f>IF(F589&gt;0,H589/F589,"")</f>
        <v/>
      </c>
      <c r="L589" s="16">
        <f>IF(AND(G589&gt;0,H589&gt;0),G589/H589,"")</f>
        <v/>
      </c>
    </row>
    <row r="590">
      <c r="A590" s="4" t="inlineStr">
        <is>
          <t>420</t>
        </is>
      </c>
      <c r="B590" s="4" t="n">
        <v>4</v>
      </c>
      <c r="C590" s="4" t="inlineStr">
        <is>
          <t>antelope</t>
        </is>
      </c>
      <c r="D590" s="4" t="n">
        <v>2019</v>
      </c>
      <c r="E590" s="15" t="inlineStr">
        <is>
          <t>Draw</t>
        </is>
      </c>
      <c r="F590" s="5" t="n"/>
      <c r="G590" s="5" t="n"/>
      <c r="H590" s="5" t="n">
        <v>102</v>
      </c>
      <c r="I590" s="5" t="n">
        <v>77</v>
      </c>
      <c r="J590" s="5" t="n">
        <v>24</v>
      </c>
      <c r="K590" s="10">
        <f>IF(F590&gt;0,H590/F590,"")</f>
        <v/>
      </c>
      <c r="L590" s="16">
        <f>IF(AND(G590&gt;0,H590&gt;0),G590/H590,"")</f>
        <v/>
      </c>
    </row>
    <row r="591">
      <c r="A591" s="4" t="inlineStr">
        <is>
          <t>420</t>
        </is>
      </c>
      <c r="B591" s="4" t="n">
        <v>4</v>
      </c>
      <c r="C591" s="4" t="inlineStr">
        <is>
          <t>antelope</t>
        </is>
      </c>
      <c r="D591" s="4" t="n">
        <v>2020</v>
      </c>
      <c r="E591" s="15" t="inlineStr">
        <is>
          <t>Draw</t>
        </is>
      </c>
      <c r="F591" s="5" t="n">
        <v>157</v>
      </c>
      <c r="G591" s="5" t="n">
        <v>646</v>
      </c>
      <c r="H591" s="5" t="n">
        <v>68</v>
      </c>
      <c r="I591" s="5" t="n">
        <v>50</v>
      </c>
      <c r="J591" s="5" t="n">
        <v>18</v>
      </c>
      <c r="K591" s="10">
        <f>IF(F591&gt;0,H591/F591,"")</f>
        <v/>
      </c>
      <c r="L591" s="16">
        <f>IF(AND(G591&gt;0,H591&gt;0),G591/H591,"")</f>
        <v/>
      </c>
    </row>
    <row r="592">
      <c r="A592" s="4" t="inlineStr">
        <is>
          <t>420</t>
        </is>
      </c>
      <c r="B592" s="4" t="n">
        <v>4</v>
      </c>
      <c r="C592" s="4" t="inlineStr">
        <is>
          <t>antelope</t>
        </is>
      </c>
      <c r="D592" s="4" t="n">
        <v>2021</v>
      </c>
      <c r="E592" s="15" t="inlineStr">
        <is>
          <t>Draw</t>
        </is>
      </c>
      <c r="F592" s="5" t="n"/>
      <c r="G592" s="5" t="n"/>
      <c r="H592" s="5" t="n">
        <v>83</v>
      </c>
      <c r="I592" s="5" t="n">
        <v>71</v>
      </c>
      <c r="J592" s="5" t="n">
        <v>8</v>
      </c>
      <c r="K592" s="10">
        <f>IF(F592&gt;0,H592/F592,"")</f>
        <v/>
      </c>
      <c r="L592" s="16">
        <f>IF(AND(G592&gt;0,H592&gt;0),G592/H592,"")</f>
        <v/>
      </c>
    </row>
    <row r="593">
      <c r="A593" s="4" t="inlineStr">
        <is>
          <t>420</t>
        </is>
      </c>
      <c r="B593" s="4" t="n">
        <v>4</v>
      </c>
      <c r="C593" s="4" t="inlineStr">
        <is>
          <t>antelope</t>
        </is>
      </c>
      <c r="D593" s="4" t="n">
        <v>2022</v>
      </c>
      <c r="E593" s="15" t="inlineStr">
        <is>
          <t>Draw</t>
        </is>
      </c>
      <c r="F593" s="5" t="n">
        <v>117</v>
      </c>
      <c r="G593" s="5" t="n">
        <v>627</v>
      </c>
      <c r="H593" s="5" t="n">
        <v>57</v>
      </c>
      <c r="I593" s="5" t="n">
        <v>35</v>
      </c>
      <c r="J593" s="5" t="n">
        <v>22</v>
      </c>
      <c r="K593" s="10">
        <f>IF(F593&gt;0,H593/F593,"")</f>
        <v/>
      </c>
      <c r="L593" s="16">
        <f>IF(AND(G593&gt;0,H593&gt;0),G593/H593,"")</f>
        <v/>
      </c>
    </row>
    <row r="594">
      <c r="A594" s="4" t="inlineStr">
        <is>
          <t>420</t>
        </is>
      </c>
      <c r="B594" s="4" t="n">
        <v>4</v>
      </c>
      <c r="C594" s="4" t="inlineStr">
        <is>
          <t>antelope</t>
        </is>
      </c>
      <c r="D594" s="4" t="n">
        <v>2023</v>
      </c>
      <c r="E594" s="15" t="inlineStr">
        <is>
          <t>Draw</t>
        </is>
      </c>
      <c r="F594" s="5" t="n"/>
      <c r="G594" s="5" t="n"/>
      <c r="H594" s="5" t="n">
        <v>33</v>
      </c>
      <c r="I594" s="5" t="n">
        <v>32</v>
      </c>
      <c r="J594" s="5" t="n">
        <v>1</v>
      </c>
      <c r="K594" s="10">
        <f>IF(F594&gt;0,H594/F594,"")</f>
        <v/>
      </c>
      <c r="L594" s="16">
        <f>IF(AND(G594&gt;0,H594&gt;0),G594/H594,"")</f>
        <v/>
      </c>
    </row>
    <row r="595">
      <c r="A595" s="4" t="inlineStr">
        <is>
          <t>420</t>
        </is>
      </c>
      <c r="B595" s="4" t="n">
        <v>4</v>
      </c>
      <c r="C595" s="4" t="inlineStr">
        <is>
          <t>antelope</t>
        </is>
      </c>
      <c r="D595" s="4" t="n">
        <v>2024</v>
      </c>
      <c r="E595" s="15" t="inlineStr">
        <is>
          <t>Draw</t>
        </is>
      </c>
      <c r="F595" s="5" t="n">
        <v>178</v>
      </c>
      <c r="G595" s="5" t="n">
        <v>692</v>
      </c>
      <c r="H595" s="5" t="n">
        <v>103</v>
      </c>
      <c r="I595" s="5" t="n">
        <v>81</v>
      </c>
      <c r="J595" s="5" t="n">
        <v>22</v>
      </c>
      <c r="K595" s="10">
        <f>IF(F595&gt;0,H595/F595,"")</f>
        <v/>
      </c>
      <c r="L595" s="16">
        <f>IF(AND(G595&gt;0,H595&gt;0),G595/H595,"")</f>
        <v/>
      </c>
    </row>
    <row r="596">
      <c r="A596" s="4" t="inlineStr">
        <is>
          <t>420</t>
        </is>
      </c>
      <c r="B596" s="4" t="n">
        <v>4</v>
      </c>
      <c r="C596" s="4" t="inlineStr">
        <is>
          <t>antelope</t>
        </is>
      </c>
      <c r="D596" s="4" t="n">
        <v>2025</v>
      </c>
      <c r="E596" s="15" t="inlineStr">
        <is>
          <t>Draw</t>
        </is>
      </c>
      <c r="F596" s="5" t="n"/>
      <c r="G596" s="5" t="n"/>
      <c r="H596" s="5" t="n">
        <v>78</v>
      </c>
      <c r="I596" s="5" t="n">
        <v>66</v>
      </c>
      <c r="J596" s="5" t="n">
        <v>12</v>
      </c>
      <c r="K596" s="10">
        <f>IF(F596&gt;0,H596/F596,"")</f>
        <v/>
      </c>
      <c r="L596" s="16">
        <f>IF(AND(G596&gt;0,H596&gt;0),G596/H596,"")</f>
        <v/>
      </c>
    </row>
    <row r="597">
      <c r="A597" s="4" t="inlineStr">
        <is>
          <t>430</t>
        </is>
      </c>
      <c r="B597" s="4" t="n">
        <v>4</v>
      </c>
      <c r="C597" s="4" t="inlineStr">
        <is>
          <t>antelope</t>
        </is>
      </c>
      <c r="D597" s="4" t="n">
        <v>2004</v>
      </c>
      <c r="E597" s="15" t="inlineStr">
        <is>
          <t>Draw</t>
        </is>
      </c>
      <c r="F597" s="5" t="n">
        <v>530</v>
      </c>
      <c r="G597" s="5" t="n">
        <v>1496</v>
      </c>
      <c r="H597" s="5" t="n">
        <v>342</v>
      </c>
      <c r="I597" s="5" t="n">
        <v>149</v>
      </c>
      <c r="J597" s="5" t="n">
        <v>172</v>
      </c>
      <c r="K597" s="10">
        <f>IF(F597&gt;0,H597/F597,"")</f>
        <v/>
      </c>
      <c r="L597" s="16">
        <f>IF(AND(G597&gt;0,H597&gt;0),G597/H597,"")</f>
        <v/>
      </c>
    </row>
    <row r="598">
      <c r="A598" s="4" t="inlineStr">
        <is>
          <t>430</t>
        </is>
      </c>
      <c r="B598" s="4" t="n">
        <v>4</v>
      </c>
      <c r="C598" s="4" t="inlineStr">
        <is>
          <t>antelope</t>
        </is>
      </c>
      <c r="D598" s="4" t="n">
        <v>2005</v>
      </c>
      <c r="E598" s="15" t="inlineStr">
        <is>
          <t>Draw</t>
        </is>
      </c>
      <c r="F598" s="5" t="n">
        <v>486</v>
      </c>
      <c r="G598" s="5" t="n">
        <v>1272</v>
      </c>
      <c r="H598" s="5" t="n">
        <v>316</v>
      </c>
      <c r="I598" s="5" t="n">
        <v>144</v>
      </c>
      <c r="J598" s="5" t="n">
        <v>158</v>
      </c>
      <c r="K598" s="10">
        <f>IF(F598&gt;0,H598/F598,"")</f>
        <v/>
      </c>
      <c r="L598" s="16">
        <f>IF(AND(G598&gt;0,H598&gt;0),G598/H598,"")</f>
        <v/>
      </c>
    </row>
    <row r="599">
      <c r="A599" s="4" t="inlineStr">
        <is>
          <t>430</t>
        </is>
      </c>
      <c r="B599" s="4" t="n">
        <v>4</v>
      </c>
      <c r="C599" s="4" t="inlineStr">
        <is>
          <t>antelope</t>
        </is>
      </c>
      <c r="D599" s="4" t="n">
        <v>2006</v>
      </c>
      <c r="E599" s="15" t="inlineStr">
        <is>
          <t>Draw</t>
        </is>
      </c>
      <c r="F599" s="5" t="n">
        <v>279</v>
      </c>
      <c r="G599" s="5" t="n">
        <v>721</v>
      </c>
      <c r="H599" s="5" t="n">
        <v>215</v>
      </c>
      <c r="I599" s="5" t="n">
        <v>71</v>
      </c>
      <c r="J599" s="5" t="n">
        <v>124</v>
      </c>
      <c r="K599" s="10">
        <f>IF(F599&gt;0,H599/F599,"")</f>
        <v/>
      </c>
      <c r="L599" s="16">
        <f>IF(AND(G599&gt;0,H599&gt;0),G599/H599,"")</f>
        <v/>
      </c>
    </row>
    <row r="600">
      <c r="A600" s="4" t="inlineStr">
        <is>
          <t>430</t>
        </is>
      </c>
      <c r="B600" s="4" t="n">
        <v>4</v>
      </c>
      <c r="C600" s="4" t="inlineStr">
        <is>
          <t>antelope</t>
        </is>
      </c>
      <c r="D600" s="4" t="n">
        <v>2007</v>
      </c>
      <c r="E600" s="15" t="inlineStr">
        <is>
          <t>Draw</t>
        </is>
      </c>
      <c r="F600" s="5" t="n">
        <v>320</v>
      </c>
      <c r="G600" s="5" t="n">
        <v>1047</v>
      </c>
      <c r="H600" s="5" t="n">
        <v>262</v>
      </c>
      <c r="I600" s="5" t="n">
        <v>99</v>
      </c>
      <c r="J600" s="5" t="n">
        <v>159</v>
      </c>
      <c r="K600" s="10">
        <f>IF(F600&gt;0,H600/F600,"")</f>
        <v/>
      </c>
      <c r="L600" s="16">
        <f>IF(AND(G600&gt;0,H600&gt;0),G600/H600,"")</f>
        <v/>
      </c>
    </row>
    <row r="601">
      <c r="A601" s="4" t="inlineStr">
        <is>
          <t>430</t>
        </is>
      </c>
      <c r="B601" s="4" t="n">
        <v>4</v>
      </c>
      <c r="C601" s="4" t="inlineStr">
        <is>
          <t>antelope</t>
        </is>
      </c>
      <c r="D601" s="4" t="n">
        <v>2008</v>
      </c>
      <c r="E601" s="15" t="inlineStr">
        <is>
          <t>Draw</t>
        </is>
      </c>
      <c r="F601" s="5" t="n">
        <v>216</v>
      </c>
      <c r="G601" s="5" t="n">
        <v>591</v>
      </c>
      <c r="H601" s="5" t="n">
        <v>124</v>
      </c>
      <c r="I601" s="5" t="n">
        <v>82</v>
      </c>
      <c r="J601" s="5" t="n">
        <v>36</v>
      </c>
      <c r="K601" s="10">
        <f>IF(F601&gt;0,H601/F601,"")</f>
        <v/>
      </c>
      <c r="L601" s="16">
        <f>IF(AND(G601&gt;0,H601&gt;0),G601/H601,"")</f>
        <v/>
      </c>
    </row>
    <row r="602">
      <c r="A602" s="4" t="inlineStr">
        <is>
          <t>430</t>
        </is>
      </c>
      <c r="B602" s="4" t="n">
        <v>4</v>
      </c>
      <c r="C602" s="4" t="inlineStr">
        <is>
          <t>antelope</t>
        </is>
      </c>
      <c r="D602" s="4" t="n">
        <v>2009</v>
      </c>
      <c r="E602" s="15" t="inlineStr">
        <is>
          <t>Draw</t>
        </is>
      </c>
      <c r="F602" s="5" t="n">
        <v>205</v>
      </c>
      <c r="G602" s="5" t="n">
        <v>681</v>
      </c>
      <c r="H602" s="5" t="n">
        <v>134</v>
      </c>
      <c r="I602" s="5" t="n">
        <v>78</v>
      </c>
      <c r="J602" s="5" t="n">
        <v>52</v>
      </c>
      <c r="K602" s="10">
        <f>IF(F602&gt;0,H602/F602,"")</f>
        <v/>
      </c>
      <c r="L602" s="16">
        <f>IF(AND(G602&gt;0,H602&gt;0),G602/H602,"")</f>
        <v/>
      </c>
    </row>
    <row r="603">
      <c r="A603" s="4" t="inlineStr">
        <is>
          <t>430</t>
        </is>
      </c>
      <c r="B603" s="4" t="n">
        <v>4</v>
      </c>
      <c r="C603" s="4" t="inlineStr">
        <is>
          <t>antelope</t>
        </is>
      </c>
      <c r="D603" s="4" t="n">
        <v>2010</v>
      </c>
      <c r="E603" s="15" t="inlineStr">
        <is>
          <t>Draw</t>
        </is>
      </c>
      <c r="F603" s="5" t="n">
        <v>199</v>
      </c>
      <c r="G603" s="5" t="n">
        <v>729</v>
      </c>
      <c r="H603" s="5" t="n">
        <v>132</v>
      </c>
      <c r="I603" s="5" t="n">
        <v>86</v>
      </c>
      <c r="J603" s="5" t="n">
        <v>46</v>
      </c>
      <c r="K603" s="10">
        <f>IF(F603&gt;0,H603/F603,"")</f>
        <v/>
      </c>
      <c r="L603" s="16">
        <f>IF(AND(G603&gt;0,H603&gt;0),G603/H603,"")</f>
        <v/>
      </c>
    </row>
    <row r="604">
      <c r="A604" s="4" t="inlineStr">
        <is>
          <t>430</t>
        </is>
      </c>
      <c r="B604" s="4" t="n">
        <v>4</v>
      </c>
      <c r="C604" s="4" t="inlineStr">
        <is>
          <t>antelope</t>
        </is>
      </c>
      <c r="D604" s="4" t="n">
        <v>2011</v>
      </c>
      <c r="E604" s="15" t="inlineStr">
        <is>
          <t>Draw</t>
        </is>
      </c>
      <c r="F604" s="5" t="n">
        <v>177</v>
      </c>
      <c r="G604" s="5" t="n">
        <v>551</v>
      </c>
      <c r="H604" s="5" t="n">
        <v>121</v>
      </c>
      <c r="I604" s="5" t="n">
        <v>70</v>
      </c>
      <c r="J604" s="5" t="n">
        <v>46</v>
      </c>
      <c r="K604" s="10">
        <f>IF(F604&gt;0,H604/F604,"")</f>
        <v/>
      </c>
      <c r="L604" s="16">
        <f>IF(AND(G604&gt;0,H604&gt;0),G604/H604,"")</f>
        <v/>
      </c>
    </row>
    <row r="605">
      <c r="A605" s="4" t="inlineStr">
        <is>
          <t>430</t>
        </is>
      </c>
      <c r="B605" s="4" t="n">
        <v>4</v>
      </c>
      <c r="C605" s="4" t="inlineStr">
        <is>
          <t>antelope</t>
        </is>
      </c>
      <c r="D605" s="4" t="n">
        <v>2012</v>
      </c>
      <c r="E605" s="15" t="inlineStr">
        <is>
          <t>Draw</t>
        </is>
      </c>
      <c r="F605" s="5" t="n">
        <v>124</v>
      </c>
      <c r="G605" s="5" t="n">
        <v>410</v>
      </c>
      <c r="H605" s="5" t="n">
        <v>70</v>
      </c>
      <c r="I605" s="5" t="n">
        <v>55</v>
      </c>
      <c r="J605" s="5" t="n">
        <v>13</v>
      </c>
      <c r="K605" s="10">
        <f>IF(F605&gt;0,H605/F605,"")</f>
        <v/>
      </c>
      <c r="L605" s="16">
        <f>IF(AND(G605&gt;0,H605&gt;0),G605/H605,"")</f>
        <v/>
      </c>
    </row>
    <row r="606">
      <c r="A606" s="4" t="inlineStr">
        <is>
          <t>430</t>
        </is>
      </c>
      <c r="B606" s="4" t="n">
        <v>4</v>
      </c>
      <c r="C606" s="4" t="inlineStr">
        <is>
          <t>antelope</t>
        </is>
      </c>
      <c r="D606" s="4" t="n">
        <v>2013</v>
      </c>
      <c r="E606" s="15" t="inlineStr">
        <is>
          <t>Draw</t>
        </is>
      </c>
      <c r="F606" s="5" t="n"/>
      <c r="G606" s="5" t="n"/>
      <c r="H606" s="5" t="n">
        <v>55</v>
      </c>
      <c r="I606" s="5" t="n">
        <v>43</v>
      </c>
      <c r="J606" s="5" t="n">
        <v>12</v>
      </c>
      <c r="K606" s="10">
        <f>IF(F606&gt;0,H606/F606,"")</f>
        <v/>
      </c>
      <c r="L606" s="16">
        <f>IF(AND(G606&gt;0,H606&gt;0),G606/H606,"")</f>
        <v/>
      </c>
    </row>
    <row r="607">
      <c r="A607" s="4" t="inlineStr">
        <is>
          <t>430</t>
        </is>
      </c>
      <c r="B607" s="4" t="n">
        <v>4</v>
      </c>
      <c r="C607" s="4" t="inlineStr">
        <is>
          <t>antelope</t>
        </is>
      </c>
      <c r="D607" s="4" t="n">
        <v>2014</v>
      </c>
      <c r="E607" s="15" t="inlineStr">
        <is>
          <t>Draw</t>
        </is>
      </c>
      <c r="F607" s="5" t="n">
        <v>91</v>
      </c>
      <c r="G607" s="5" t="n">
        <v>362</v>
      </c>
      <c r="H607" s="5" t="n">
        <v>44</v>
      </c>
      <c r="I607" s="5" t="n">
        <v>31</v>
      </c>
      <c r="J607" s="5" t="n">
        <v>13</v>
      </c>
      <c r="K607" s="10">
        <f>IF(F607&gt;0,H607/F607,"")</f>
        <v/>
      </c>
      <c r="L607" s="16">
        <f>IF(AND(G607&gt;0,H607&gt;0),G607/H607,"")</f>
        <v/>
      </c>
    </row>
    <row r="608">
      <c r="A608" s="4" t="inlineStr">
        <is>
          <t>430</t>
        </is>
      </c>
      <c r="B608" s="4" t="n">
        <v>4</v>
      </c>
      <c r="C608" s="4" t="inlineStr">
        <is>
          <t>antelope</t>
        </is>
      </c>
      <c r="D608" s="4" t="n">
        <v>2015</v>
      </c>
      <c r="E608" s="15" t="inlineStr">
        <is>
          <t>Draw</t>
        </is>
      </c>
      <c r="F608" s="5" t="n">
        <v>95</v>
      </c>
      <c r="G608" s="5" t="n">
        <v>425</v>
      </c>
      <c r="H608" s="5" t="n">
        <v>48</v>
      </c>
      <c r="I608" s="5" t="n">
        <v>31</v>
      </c>
      <c r="J608" s="5" t="n">
        <v>16</v>
      </c>
      <c r="K608" s="10">
        <f>IF(F608&gt;0,H608/F608,"")</f>
        <v/>
      </c>
      <c r="L608" s="16">
        <f>IF(AND(G608&gt;0,H608&gt;0),G608/H608,"")</f>
        <v/>
      </c>
    </row>
    <row r="609">
      <c r="A609" s="4" t="inlineStr">
        <is>
          <t>430</t>
        </is>
      </c>
      <c r="B609" s="4" t="n">
        <v>4</v>
      </c>
      <c r="C609" s="4" t="inlineStr">
        <is>
          <t>antelope</t>
        </is>
      </c>
      <c r="D609" s="4" t="n">
        <v>2016</v>
      </c>
      <c r="E609" s="15" t="inlineStr">
        <is>
          <t>Draw</t>
        </is>
      </c>
      <c r="F609" s="5" t="n"/>
      <c r="G609" s="5" t="n"/>
      <c r="H609" s="5" t="n">
        <v>50</v>
      </c>
      <c r="I609" s="5" t="n">
        <v>34</v>
      </c>
      <c r="J609" s="5" t="n">
        <v>14</v>
      </c>
      <c r="K609" s="10">
        <f>IF(F609&gt;0,H609/F609,"")</f>
        <v/>
      </c>
      <c r="L609" s="16">
        <f>IF(AND(G609&gt;0,H609&gt;0),G609/H609,"")</f>
        <v/>
      </c>
    </row>
    <row r="610">
      <c r="A610" s="4" t="inlineStr">
        <is>
          <t>430</t>
        </is>
      </c>
      <c r="B610" s="4" t="n">
        <v>4</v>
      </c>
      <c r="C610" s="4" t="inlineStr">
        <is>
          <t>antelope</t>
        </is>
      </c>
      <c r="D610" s="4" t="n">
        <v>2017</v>
      </c>
      <c r="E610" s="15" t="inlineStr">
        <is>
          <t>Draw</t>
        </is>
      </c>
      <c r="F610" s="5" t="n"/>
      <c r="G610" s="5" t="n"/>
      <c r="H610" s="5" t="n">
        <v>56</v>
      </c>
      <c r="I610" s="5" t="n">
        <v>41</v>
      </c>
      <c r="J610" s="5" t="n">
        <v>16</v>
      </c>
      <c r="K610" s="10">
        <f>IF(F610&gt;0,H610/F610,"")</f>
        <v/>
      </c>
      <c r="L610" s="16">
        <f>IF(AND(G610&gt;0,H610&gt;0),G610/H610,"")</f>
        <v/>
      </c>
    </row>
    <row r="611">
      <c r="A611" s="4" t="inlineStr">
        <is>
          <t>430</t>
        </is>
      </c>
      <c r="B611" s="4" t="n">
        <v>4</v>
      </c>
      <c r="C611" s="4" t="inlineStr">
        <is>
          <t>antelope</t>
        </is>
      </c>
      <c r="D611" s="4" t="n">
        <v>2018</v>
      </c>
      <c r="E611" s="15" t="inlineStr">
        <is>
          <t>Draw</t>
        </is>
      </c>
      <c r="F611" s="5" t="n">
        <v>112</v>
      </c>
      <c r="G611" s="5" t="n">
        <v>540</v>
      </c>
      <c r="H611" s="5" t="n">
        <v>81</v>
      </c>
      <c r="I611" s="5" t="n">
        <v>57</v>
      </c>
      <c r="J611" s="5" t="n">
        <v>23</v>
      </c>
      <c r="K611" s="10">
        <f>IF(F611&gt;0,H611/F611,"")</f>
        <v/>
      </c>
      <c r="L611" s="16">
        <f>IF(AND(G611&gt;0,H611&gt;0),G611/H611,"")</f>
        <v/>
      </c>
    </row>
    <row r="612">
      <c r="A612" s="4" t="inlineStr">
        <is>
          <t>430</t>
        </is>
      </c>
      <c r="B612" s="4" t="n">
        <v>4</v>
      </c>
      <c r="C612" s="4" t="inlineStr">
        <is>
          <t>antelope</t>
        </is>
      </c>
      <c r="D612" s="4" t="n">
        <v>2019</v>
      </c>
      <c r="E612" s="15" t="inlineStr">
        <is>
          <t>Draw</t>
        </is>
      </c>
      <c r="F612" s="5" t="n"/>
      <c r="G612" s="5" t="n"/>
      <c r="H612" s="5" t="n">
        <v>53</v>
      </c>
      <c r="I612" s="5" t="n">
        <v>35</v>
      </c>
      <c r="J612" s="5" t="n">
        <v>14</v>
      </c>
      <c r="K612" s="10">
        <f>IF(F612&gt;0,H612/F612,"")</f>
        <v/>
      </c>
      <c r="L612" s="16">
        <f>IF(AND(G612&gt;0,H612&gt;0),G612/H612,"")</f>
        <v/>
      </c>
    </row>
    <row r="613">
      <c r="A613" s="4" t="inlineStr">
        <is>
          <t>430</t>
        </is>
      </c>
      <c r="B613" s="4" t="n">
        <v>4</v>
      </c>
      <c r="C613" s="4" t="inlineStr">
        <is>
          <t>antelope</t>
        </is>
      </c>
      <c r="D613" s="4" t="n">
        <v>2020</v>
      </c>
      <c r="E613" s="15" t="inlineStr">
        <is>
          <t>Draw</t>
        </is>
      </c>
      <c r="F613" s="5" t="n">
        <v>93</v>
      </c>
      <c r="G613" s="5" t="n">
        <v>364</v>
      </c>
      <c r="H613" s="5" t="n">
        <v>58</v>
      </c>
      <c r="I613" s="5" t="n">
        <v>37</v>
      </c>
      <c r="J613" s="5" t="n">
        <v>21</v>
      </c>
      <c r="K613" s="10">
        <f>IF(F613&gt;0,H613/F613,"")</f>
        <v/>
      </c>
      <c r="L613" s="16">
        <f>IF(AND(G613&gt;0,H613&gt;0),G613/H613,"")</f>
        <v/>
      </c>
    </row>
    <row r="614">
      <c r="A614" s="4" t="inlineStr">
        <is>
          <t>430</t>
        </is>
      </c>
      <c r="B614" s="4" t="n">
        <v>4</v>
      </c>
      <c r="C614" s="4" t="inlineStr">
        <is>
          <t>antelope</t>
        </is>
      </c>
      <c r="D614" s="4" t="n">
        <v>2021</v>
      </c>
      <c r="E614" s="15" t="inlineStr">
        <is>
          <t>Draw</t>
        </is>
      </c>
      <c r="F614" s="5" t="n"/>
      <c r="G614" s="5" t="n"/>
      <c r="H614" s="5" t="n">
        <v>73</v>
      </c>
      <c r="I614" s="5" t="n">
        <v>45</v>
      </c>
      <c r="J614" s="5" t="n">
        <v>23</v>
      </c>
      <c r="K614" s="10">
        <f>IF(F614&gt;0,H614/F614,"")</f>
        <v/>
      </c>
      <c r="L614" s="16">
        <f>IF(AND(G614&gt;0,H614&gt;0),G614/H614,"")</f>
        <v/>
      </c>
    </row>
    <row r="615">
      <c r="A615" s="4" t="inlineStr">
        <is>
          <t>430</t>
        </is>
      </c>
      <c r="B615" s="4" t="n">
        <v>4</v>
      </c>
      <c r="C615" s="4" t="inlineStr">
        <is>
          <t>antelope</t>
        </is>
      </c>
      <c r="D615" s="4" t="n">
        <v>2022</v>
      </c>
      <c r="E615" s="15" t="inlineStr">
        <is>
          <t>Draw</t>
        </is>
      </c>
      <c r="F615" s="5" t="n">
        <v>171</v>
      </c>
      <c r="G615" s="5" t="n">
        <v>580</v>
      </c>
      <c r="H615" s="5" t="n">
        <v>135</v>
      </c>
      <c r="I615" s="5" t="n">
        <v>90</v>
      </c>
      <c r="J615" s="5" t="n">
        <v>42</v>
      </c>
      <c r="K615" s="10">
        <f>IF(F615&gt;0,H615/F615,"")</f>
        <v/>
      </c>
      <c r="L615" s="16">
        <f>IF(AND(G615&gt;0,H615&gt;0),G615/H615,"")</f>
        <v/>
      </c>
    </row>
    <row r="616">
      <c r="A616" s="4" t="inlineStr">
        <is>
          <t>430</t>
        </is>
      </c>
      <c r="B616" s="4" t="n">
        <v>4</v>
      </c>
      <c r="C616" s="4" t="inlineStr">
        <is>
          <t>antelope</t>
        </is>
      </c>
      <c r="D616" s="4" t="n">
        <v>2023</v>
      </c>
      <c r="E616" s="15" t="inlineStr">
        <is>
          <t>Draw</t>
        </is>
      </c>
      <c r="F616" s="5" t="n"/>
      <c r="G616" s="5" t="n"/>
      <c r="H616" s="5" t="n">
        <v>126</v>
      </c>
      <c r="I616" s="5" t="n">
        <v>84</v>
      </c>
      <c r="J616" s="5" t="n">
        <v>42</v>
      </c>
      <c r="K616" s="10">
        <f>IF(F616&gt;0,H616/F616,"")</f>
        <v/>
      </c>
      <c r="L616" s="16">
        <f>IF(AND(G616&gt;0,H616&gt;0),G616/H616,"")</f>
        <v/>
      </c>
    </row>
    <row r="617">
      <c r="A617" s="4" t="inlineStr">
        <is>
          <t>430</t>
        </is>
      </c>
      <c r="B617" s="4" t="n">
        <v>4</v>
      </c>
      <c r="C617" s="4" t="inlineStr">
        <is>
          <t>antelope</t>
        </is>
      </c>
      <c r="D617" s="4" t="n">
        <v>2024</v>
      </c>
      <c r="E617" s="15" t="inlineStr">
        <is>
          <t>Draw</t>
        </is>
      </c>
      <c r="F617" s="5" t="n">
        <v>214</v>
      </c>
      <c r="G617" s="5" t="n">
        <v>1065</v>
      </c>
      <c r="H617" s="5" t="n">
        <v>148</v>
      </c>
      <c r="I617" s="5" t="n">
        <v>112</v>
      </c>
      <c r="J617" s="5" t="n">
        <v>34</v>
      </c>
      <c r="K617" s="10">
        <f>IF(F617&gt;0,H617/F617,"")</f>
        <v/>
      </c>
      <c r="L617" s="16">
        <f>IF(AND(G617&gt;0,H617&gt;0),G617/H617,"")</f>
        <v/>
      </c>
    </row>
    <row r="618">
      <c r="A618" s="4" t="inlineStr">
        <is>
          <t>430</t>
        </is>
      </c>
      <c r="B618" s="4" t="n">
        <v>4</v>
      </c>
      <c r="C618" s="4" t="inlineStr">
        <is>
          <t>antelope</t>
        </is>
      </c>
      <c r="D618" s="4" t="n">
        <v>2025</v>
      </c>
      <c r="E618" s="15" t="inlineStr">
        <is>
          <t>Draw</t>
        </is>
      </c>
      <c r="F618" s="5" t="n"/>
      <c r="G618" s="5" t="n"/>
      <c r="H618" s="5" t="n">
        <v>192</v>
      </c>
      <c r="I618" s="5" t="n">
        <v>118</v>
      </c>
      <c r="J618" s="5" t="n">
        <v>72</v>
      </c>
      <c r="K618" s="10">
        <f>IF(F618&gt;0,H618/F618,"")</f>
        <v/>
      </c>
      <c r="L618" s="16">
        <f>IF(AND(G618&gt;0,H618&gt;0),G618/H618,"")</f>
        <v/>
      </c>
    </row>
    <row r="619">
      <c r="A619" s="4" t="inlineStr">
        <is>
          <t>440</t>
        </is>
      </c>
      <c r="B619" s="4" t="n">
        <v>4</v>
      </c>
      <c r="C619" s="4" t="inlineStr">
        <is>
          <t>antelope</t>
        </is>
      </c>
      <c r="D619" s="4" t="n">
        <v>2004</v>
      </c>
      <c r="E619" s="15" t="inlineStr">
        <is>
          <t>Draw</t>
        </is>
      </c>
      <c r="F619" s="5" t="n">
        <v>174</v>
      </c>
      <c r="G619" s="5" t="n">
        <v>552</v>
      </c>
      <c r="H619" s="5" t="n">
        <v>74</v>
      </c>
      <c r="I619" s="5" t="n">
        <v>65</v>
      </c>
      <c r="J619" s="5" t="n">
        <v>9</v>
      </c>
      <c r="K619" s="10">
        <f>IF(F619&gt;0,H619/F619,"")</f>
        <v/>
      </c>
      <c r="L619" s="16">
        <f>IF(AND(G619&gt;0,H619&gt;0),G619/H619,"")</f>
        <v/>
      </c>
    </row>
    <row r="620">
      <c r="A620" s="4" t="inlineStr">
        <is>
          <t>440</t>
        </is>
      </c>
      <c r="B620" s="4" t="n">
        <v>4</v>
      </c>
      <c r="C620" s="4" t="inlineStr">
        <is>
          <t>antelope</t>
        </is>
      </c>
      <c r="D620" s="4" t="n">
        <v>2005</v>
      </c>
      <c r="E620" s="15" t="inlineStr">
        <is>
          <t>Draw</t>
        </is>
      </c>
      <c r="F620" s="5" t="n">
        <v>155</v>
      </c>
      <c r="G620" s="5" t="n">
        <v>454</v>
      </c>
      <c r="H620" s="5" t="n">
        <v>89</v>
      </c>
      <c r="I620" s="5" t="n">
        <v>52</v>
      </c>
      <c r="J620" s="5" t="n">
        <v>36</v>
      </c>
      <c r="K620" s="10">
        <f>IF(F620&gt;0,H620/F620,"")</f>
        <v/>
      </c>
      <c r="L620" s="16">
        <f>IF(AND(G620&gt;0,H620&gt;0),G620/H620,"")</f>
        <v/>
      </c>
    </row>
    <row r="621">
      <c r="A621" s="4" t="inlineStr">
        <is>
          <t>440</t>
        </is>
      </c>
      <c r="B621" s="4" t="n">
        <v>4</v>
      </c>
      <c r="C621" s="4" t="inlineStr">
        <is>
          <t>antelope</t>
        </is>
      </c>
      <c r="D621" s="4" t="n">
        <v>2006</v>
      </c>
      <c r="E621" s="15" t="inlineStr">
        <is>
          <t>Draw</t>
        </is>
      </c>
      <c r="F621" s="5" t="n">
        <v>267</v>
      </c>
      <c r="G621" s="5" t="n">
        <v>957</v>
      </c>
      <c r="H621" s="5" t="n">
        <v>176</v>
      </c>
      <c r="I621" s="5" t="n">
        <v>82</v>
      </c>
      <c r="J621" s="5" t="n">
        <v>82</v>
      </c>
      <c r="K621" s="10">
        <f>IF(F621&gt;0,H621/F621,"")</f>
        <v/>
      </c>
      <c r="L621" s="16">
        <f>IF(AND(G621&gt;0,H621&gt;0),G621/H621,"")</f>
        <v/>
      </c>
    </row>
    <row r="622">
      <c r="A622" s="4" t="inlineStr">
        <is>
          <t>440</t>
        </is>
      </c>
      <c r="B622" s="4" t="n">
        <v>4</v>
      </c>
      <c r="C622" s="4" t="inlineStr">
        <is>
          <t>antelope</t>
        </is>
      </c>
      <c r="D622" s="4" t="n">
        <v>2007</v>
      </c>
      <c r="E622" s="15" t="inlineStr">
        <is>
          <t>Draw</t>
        </is>
      </c>
      <c r="F622" s="5" t="n">
        <v>230</v>
      </c>
      <c r="G622" s="5" t="n">
        <v>826</v>
      </c>
      <c r="H622" s="5" t="n">
        <v>173</v>
      </c>
      <c r="I622" s="5" t="n">
        <v>79</v>
      </c>
      <c r="J622" s="5" t="n">
        <v>94</v>
      </c>
      <c r="K622" s="10">
        <f>IF(F622&gt;0,H622/F622,"")</f>
        <v/>
      </c>
      <c r="L622" s="16">
        <f>IF(AND(G622&gt;0,H622&gt;0),G622/H622,"")</f>
        <v/>
      </c>
    </row>
    <row r="623">
      <c r="A623" s="4" t="inlineStr">
        <is>
          <t>440</t>
        </is>
      </c>
      <c r="B623" s="4" t="n">
        <v>4</v>
      </c>
      <c r="C623" s="4" t="inlineStr">
        <is>
          <t>antelope</t>
        </is>
      </c>
      <c r="D623" s="4" t="n">
        <v>2008</v>
      </c>
      <c r="E623" s="15" t="inlineStr">
        <is>
          <t>Draw</t>
        </is>
      </c>
      <c r="F623" s="5" t="n">
        <v>196</v>
      </c>
      <c r="G623" s="5" t="n">
        <v>705</v>
      </c>
      <c r="H623" s="5" t="n">
        <v>91</v>
      </c>
      <c r="I623" s="5" t="n">
        <v>49</v>
      </c>
      <c r="J623" s="5" t="n">
        <v>42</v>
      </c>
      <c r="K623" s="10">
        <f>IF(F623&gt;0,H623/F623,"")</f>
        <v/>
      </c>
      <c r="L623" s="16">
        <f>IF(AND(G623&gt;0,H623&gt;0),G623/H623,"")</f>
        <v/>
      </c>
    </row>
    <row r="624">
      <c r="A624" s="4" t="inlineStr">
        <is>
          <t>440</t>
        </is>
      </c>
      <c r="B624" s="4" t="n">
        <v>4</v>
      </c>
      <c r="C624" s="4" t="inlineStr">
        <is>
          <t>antelope</t>
        </is>
      </c>
      <c r="D624" s="4" t="n">
        <v>2009</v>
      </c>
      <c r="E624" s="15" t="inlineStr">
        <is>
          <t>Draw</t>
        </is>
      </c>
      <c r="F624" s="5" t="n">
        <v>221</v>
      </c>
      <c r="G624" s="5" t="n">
        <v>742</v>
      </c>
      <c r="H624" s="5" t="n">
        <v>128</v>
      </c>
      <c r="I624" s="5" t="n">
        <v>52</v>
      </c>
      <c r="J624" s="5" t="n">
        <v>75</v>
      </c>
      <c r="K624" s="10">
        <f>IF(F624&gt;0,H624/F624,"")</f>
        <v/>
      </c>
      <c r="L624" s="16">
        <f>IF(AND(G624&gt;0,H624&gt;0),G624/H624,"")</f>
        <v/>
      </c>
    </row>
    <row r="625">
      <c r="A625" s="4" t="inlineStr">
        <is>
          <t>440</t>
        </is>
      </c>
      <c r="B625" s="4" t="n">
        <v>4</v>
      </c>
      <c r="C625" s="4" t="inlineStr">
        <is>
          <t>antelope</t>
        </is>
      </c>
      <c r="D625" s="4" t="n">
        <v>2010</v>
      </c>
      <c r="E625" s="15" t="inlineStr">
        <is>
          <t>Draw</t>
        </is>
      </c>
      <c r="F625" s="5" t="n">
        <v>213</v>
      </c>
      <c r="G625" s="5" t="n">
        <v>774</v>
      </c>
      <c r="H625" s="5" t="n">
        <v>108</v>
      </c>
      <c r="I625" s="5" t="n">
        <v>53</v>
      </c>
      <c r="J625" s="5" t="n">
        <v>55</v>
      </c>
      <c r="K625" s="10">
        <f>IF(F625&gt;0,H625/F625,"")</f>
        <v/>
      </c>
      <c r="L625" s="16">
        <f>IF(AND(G625&gt;0,H625&gt;0),G625/H625,"")</f>
        <v/>
      </c>
    </row>
    <row r="626">
      <c r="A626" s="4" t="inlineStr">
        <is>
          <t>440</t>
        </is>
      </c>
      <c r="B626" s="4" t="n">
        <v>4</v>
      </c>
      <c r="C626" s="4" t="inlineStr">
        <is>
          <t>antelope</t>
        </is>
      </c>
      <c r="D626" s="4" t="n">
        <v>2011</v>
      </c>
      <c r="E626" s="15" t="inlineStr">
        <is>
          <t>Draw</t>
        </is>
      </c>
      <c r="F626" s="5" t="n">
        <v>202</v>
      </c>
      <c r="G626" s="5" t="n">
        <v>864</v>
      </c>
      <c r="H626" s="5" t="n">
        <v>115</v>
      </c>
      <c r="I626" s="5" t="n">
        <v>73</v>
      </c>
      <c r="J626" s="5" t="n">
        <v>39</v>
      </c>
      <c r="K626" s="10">
        <f>IF(F626&gt;0,H626/F626,"")</f>
        <v/>
      </c>
      <c r="L626" s="16">
        <f>IF(AND(G626&gt;0,H626&gt;0),G626/H626,"")</f>
        <v/>
      </c>
    </row>
    <row r="627">
      <c r="A627" s="4" t="inlineStr">
        <is>
          <t>440</t>
        </is>
      </c>
      <c r="B627" s="4" t="n">
        <v>4</v>
      </c>
      <c r="C627" s="4" t="inlineStr">
        <is>
          <t>antelope</t>
        </is>
      </c>
      <c r="D627" s="4" t="n">
        <v>2012</v>
      </c>
      <c r="E627" s="15" t="inlineStr">
        <is>
          <t>Draw</t>
        </is>
      </c>
      <c r="F627" s="5" t="n">
        <v>156</v>
      </c>
      <c r="G627" s="5" t="n">
        <v>805</v>
      </c>
      <c r="H627" s="5" t="n">
        <v>87</v>
      </c>
      <c r="I627" s="5" t="n">
        <v>59</v>
      </c>
      <c r="J627" s="5" t="n">
        <v>28</v>
      </c>
      <c r="K627" s="10">
        <f>IF(F627&gt;0,H627/F627,"")</f>
        <v/>
      </c>
      <c r="L627" s="16">
        <f>IF(AND(G627&gt;0,H627&gt;0),G627/H627,"")</f>
        <v/>
      </c>
    </row>
    <row r="628">
      <c r="A628" s="4" t="inlineStr">
        <is>
          <t>440</t>
        </is>
      </c>
      <c r="B628" s="4" t="n">
        <v>4</v>
      </c>
      <c r="C628" s="4" t="inlineStr">
        <is>
          <t>antelope</t>
        </is>
      </c>
      <c r="D628" s="4" t="n">
        <v>2013</v>
      </c>
      <c r="E628" s="15" t="inlineStr">
        <is>
          <t>Draw</t>
        </is>
      </c>
      <c r="F628" s="5" t="n"/>
      <c r="G628" s="5" t="n"/>
      <c r="H628" s="5" t="n">
        <v>83</v>
      </c>
      <c r="I628" s="5" t="n">
        <v>52</v>
      </c>
      <c r="J628" s="5" t="n">
        <v>30</v>
      </c>
      <c r="K628" s="10">
        <f>IF(F628&gt;0,H628/F628,"")</f>
        <v/>
      </c>
      <c r="L628" s="16">
        <f>IF(AND(G628&gt;0,H628&gt;0),G628/H628,"")</f>
        <v/>
      </c>
    </row>
    <row r="629">
      <c r="A629" s="4" t="inlineStr">
        <is>
          <t>440</t>
        </is>
      </c>
      <c r="B629" s="4" t="n">
        <v>4</v>
      </c>
      <c r="C629" s="4" t="inlineStr">
        <is>
          <t>antelope</t>
        </is>
      </c>
      <c r="D629" s="4" t="n">
        <v>2014</v>
      </c>
      <c r="E629" s="15" t="inlineStr">
        <is>
          <t>Draw</t>
        </is>
      </c>
      <c r="F629" s="5" t="n">
        <v>129</v>
      </c>
      <c r="G629" s="5" t="n">
        <v>507</v>
      </c>
      <c r="H629" s="5" t="n">
        <v>55</v>
      </c>
      <c r="I629" s="5" t="n">
        <v>31</v>
      </c>
      <c r="J629" s="5" t="n">
        <v>24</v>
      </c>
      <c r="K629" s="10">
        <f>IF(F629&gt;0,H629/F629,"")</f>
        <v/>
      </c>
      <c r="L629" s="16">
        <f>IF(AND(G629&gt;0,H629&gt;0),G629/H629,"")</f>
        <v/>
      </c>
    </row>
    <row r="630">
      <c r="A630" s="4" t="inlineStr">
        <is>
          <t>440</t>
        </is>
      </c>
      <c r="B630" s="4" t="n">
        <v>4</v>
      </c>
      <c r="C630" s="4" t="inlineStr">
        <is>
          <t>antelope</t>
        </is>
      </c>
      <c r="D630" s="4" t="n">
        <v>2015</v>
      </c>
      <c r="E630" s="15" t="inlineStr">
        <is>
          <t>Draw</t>
        </is>
      </c>
      <c r="F630" s="5" t="n">
        <v>154</v>
      </c>
      <c r="G630" s="5" t="n">
        <v>576</v>
      </c>
      <c r="H630" s="5" t="n">
        <v>65</v>
      </c>
      <c r="I630" s="5" t="n">
        <v>42</v>
      </c>
      <c r="J630" s="5" t="n">
        <v>23</v>
      </c>
      <c r="K630" s="10">
        <f>IF(F630&gt;0,H630/F630,"")</f>
        <v/>
      </c>
      <c r="L630" s="16">
        <f>IF(AND(G630&gt;0,H630&gt;0),G630/H630,"")</f>
        <v/>
      </c>
    </row>
    <row r="631">
      <c r="A631" s="4" t="inlineStr">
        <is>
          <t>440</t>
        </is>
      </c>
      <c r="B631" s="4" t="n">
        <v>4</v>
      </c>
      <c r="C631" s="4" t="inlineStr">
        <is>
          <t>antelope</t>
        </is>
      </c>
      <c r="D631" s="4" t="n">
        <v>2016</v>
      </c>
      <c r="E631" s="15" t="inlineStr">
        <is>
          <t>Draw</t>
        </is>
      </c>
      <c r="F631" s="5" t="n"/>
      <c r="G631" s="5" t="n"/>
      <c r="H631" s="5" t="n">
        <v>91</v>
      </c>
      <c r="I631" s="5" t="n">
        <v>64</v>
      </c>
      <c r="J631" s="5" t="n">
        <v>27</v>
      </c>
      <c r="K631" s="10">
        <f>IF(F631&gt;0,H631/F631,"")</f>
        <v/>
      </c>
      <c r="L631" s="16">
        <f>IF(AND(G631&gt;0,H631&gt;0),G631/H631,"")</f>
        <v/>
      </c>
    </row>
    <row r="632">
      <c r="A632" s="4" t="inlineStr">
        <is>
          <t>440</t>
        </is>
      </c>
      <c r="B632" s="4" t="n">
        <v>4</v>
      </c>
      <c r="C632" s="4" t="inlineStr">
        <is>
          <t>antelope</t>
        </is>
      </c>
      <c r="D632" s="4" t="n">
        <v>2017</v>
      </c>
      <c r="E632" s="15" t="inlineStr">
        <is>
          <t>Draw</t>
        </is>
      </c>
      <c r="F632" s="5" t="n"/>
      <c r="G632" s="5" t="n"/>
      <c r="H632" s="5" t="n">
        <v>96</v>
      </c>
      <c r="I632" s="5" t="n">
        <v>69</v>
      </c>
      <c r="J632" s="5" t="n">
        <v>25</v>
      </c>
      <c r="K632" s="10">
        <f>IF(F632&gt;0,H632/F632,"")</f>
        <v/>
      </c>
      <c r="L632" s="16">
        <f>IF(AND(G632&gt;0,H632&gt;0),G632/H632,"")</f>
        <v/>
      </c>
    </row>
    <row r="633">
      <c r="A633" s="4" t="inlineStr">
        <is>
          <t>440</t>
        </is>
      </c>
      <c r="B633" s="4" t="n">
        <v>4</v>
      </c>
      <c r="C633" s="4" t="inlineStr">
        <is>
          <t>antelope</t>
        </is>
      </c>
      <c r="D633" s="4" t="n">
        <v>2018</v>
      </c>
      <c r="E633" s="15" t="inlineStr">
        <is>
          <t>Draw</t>
        </is>
      </c>
      <c r="F633" s="5" t="n">
        <v>174</v>
      </c>
      <c r="G633" s="5" t="n">
        <v>1133</v>
      </c>
      <c r="H633" s="5" t="n">
        <v>110</v>
      </c>
      <c r="I633" s="5" t="n">
        <v>68</v>
      </c>
      <c r="J633" s="5" t="n">
        <v>40</v>
      </c>
      <c r="K633" s="10">
        <f>IF(F633&gt;0,H633/F633,"")</f>
        <v/>
      </c>
      <c r="L633" s="16">
        <f>IF(AND(G633&gt;0,H633&gt;0),G633/H633,"")</f>
        <v/>
      </c>
    </row>
    <row r="634">
      <c r="A634" s="4" t="inlineStr">
        <is>
          <t>440</t>
        </is>
      </c>
      <c r="B634" s="4" t="n">
        <v>4</v>
      </c>
      <c r="C634" s="4" t="inlineStr">
        <is>
          <t>antelope</t>
        </is>
      </c>
      <c r="D634" s="4" t="n">
        <v>2019</v>
      </c>
      <c r="E634" s="15" t="inlineStr">
        <is>
          <t>Draw</t>
        </is>
      </c>
      <c r="F634" s="5" t="n"/>
      <c r="G634" s="5" t="n"/>
      <c r="H634" s="5" t="n">
        <v>78</v>
      </c>
      <c r="I634" s="5" t="n">
        <v>42</v>
      </c>
      <c r="J634" s="5" t="n">
        <v>36</v>
      </c>
      <c r="K634" s="10">
        <f>IF(F634&gt;0,H634/F634,"")</f>
        <v/>
      </c>
      <c r="L634" s="16">
        <f>IF(AND(G634&gt;0,H634&gt;0),G634/H634,"")</f>
        <v/>
      </c>
    </row>
    <row r="635">
      <c r="A635" s="4" t="inlineStr">
        <is>
          <t>440</t>
        </is>
      </c>
      <c r="B635" s="4" t="n">
        <v>4</v>
      </c>
      <c r="C635" s="4" t="inlineStr">
        <is>
          <t>antelope</t>
        </is>
      </c>
      <c r="D635" s="4" t="n">
        <v>2020</v>
      </c>
      <c r="E635" s="15" t="inlineStr">
        <is>
          <t>Draw</t>
        </is>
      </c>
      <c r="F635" s="5" t="n">
        <v>155</v>
      </c>
      <c r="G635" s="5" t="n">
        <v>850</v>
      </c>
      <c r="H635" s="5" t="n">
        <v>89</v>
      </c>
      <c r="I635" s="5" t="n">
        <v>52</v>
      </c>
      <c r="J635" s="5" t="n">
        <v>37</v>
      </c>
      <c r="K635" s="10">
        <f>IF(F635&gt;0,H635/F635,"")</f>
        <v/>
      </c>
      <c r="L635" s="16">
        <f>IF(AND(G635&gt;0,H635&gt;0),G635/H635,"")</f>
        <v/>
      </c>
    </row>
    <row r="636">
      <c r="A636" s="4" t="inlineStr">
        <is>
          <t>440</t>
        </is>
      </c>
      <c r="B636" s="4" t="n">
        <v>4</v>
      </c>
      <c r="C636" s="4" t="inlineStr">
        <is>
          <t>antelope</t>
        </is>
      </c>
      <c r="D636" s="4" t="n">
        <v>2021</v>
      </c>
      <c r="E636" s="15" t="inlineStr">
        <is>
          <t>Draw</t>
        </is>
      </c>
      <c r="F636" s="5" t="n"/>
      <c r="G636" s="5" t="n"/>
      <c r="H636" s="5" t="n">
        <v>85</v>
      </c>
      <c r="I636" s="5" t="n">
        <v>49</v>
      </c>
      <c r="J636" s="5" t="n">
        <v>37</v>
      </c>
      <c r="K636" s="10">
        <f>IF(F636&gt;0,H636/F636,"")</f>
        <v/>
      </c>
      <c r="L636" s="16">
        <f>IF(AND(G636&gt;0,H636&gt;0),G636/H636,"")</f>
        <v/>
      </c>
    </row>
    <row r="637">
      <c r="A637" s="4" t="inlineStr">
        <is>
          <t>440</t>
        </is>
      </c>
      <c r="B637" s="4" t="n">
        <v>4</v>
      </c>
      <c r="C637" s="4" t="inlineStr">
        <is>
          <t>antelope</t>
        </is>
      </c>
      <c r="D637" s="4" t="n">
        <v>2022</v>
      </c>
      <c r="E637" s="15" t="inlineStr">
        <is>
          <t>Draw</t>
        </is>
      </c>
      <c r="F637" s="5" t="n">
        <v>150</v>
      </c>
      <c r="G637" s="5" t="n">
        <v>554</v>
      </c>
      <c r="H637" s="5" t="n">
        <v>82</v>
      </c>
      <c r="I637" s="5" t="n">
        <v>47</v>
      </c>
      <c r="J637" s="5" t="n">
        <v>35</v>
      </c>
      <c r="K637" s="10">
        <f>IF(F637&gt;0,H637/F637,"")</f>
        <v/>
      </c>
      <c r="L637" s="16">
        <f>IF(AND(G637&gt;0,H637&gt;0),G637/H637,"")</f>
        <v/>
      </c>
    </row>
    <row r="638">
      <c r="A638" s="4" t="inlineStr">
        <is>
          <t>440</t>
        </is>
      </c>
      <c r="B638" s="4" t="n">
        <v>4</v>
      </c>
      <c r="C638" s="4" t="inlineStr">
        <is>
          <t>antelope</t>
        </is>
      </c>
      <c r="D638" s="4" t="n">
        <v>2023</v>
      </c>
      <c r="E638" s="15" t="inlineStr">
        <is>
          <t>Draw</t>
        </is>
      </c>
      <c r="F638" s="5" t="n"/>
      <c r="G638" s="5" t="n"/>
      <c r="H638" s="5" t="n">
        <v>91</v>
      </c>
      <c r="I638" s="5" t="n">
        <v>57</v>
      </c>
      <c r="J638" s="5" t="n">
        <v>32</v>
      </c>
      <c r="K638" s="10">
        <f>IF(F638&gt;0,H638/F638,"")</f>
        <v/>
      </c>
      <c r="L638" s="16">
        <f>IF(AND(G638&gt;0,H638&gt;0),G638/H638,"")</f>
        <v/>
      </c>
    </row>
    <row r="639">
      <c r="A639" s="4" t="inlineStr">
        <is>
          <t>440</t>
        </is>
      </c>
      <c r="B639" s="4" t="n">
        <v>4</v>
      </c>
      <c r="C639" s="4" t="inlineStr">
        <is>
          <t>antelope</t>
        </is>
      </c>
      <c r="D639" s="4" t="n">
        <v>2024</v>
      </c>
      <c r="E639" s="15" t="inlineStr">
        <is>
          <t>Draw</t>
        </is>
      </c>
      <c r="F639" s="5" t="n">
        <v>176</v>
      </c>
      <c r="G639" s="5" t="n">
        <v>777</v>
      </c>
      <c r="H639" s="5" t="n">
        <v>143</v>
      </c>
      <c r="I639" s="5" t="n">
        <v>71</v>
      </c>
      <c r="J639" s="5" t="n">
        <v>70</v>
      </c>
      <c r="K639" s="10">
        <f>IF(F639&gt;0,H639/F639,"")</f>
        <v/>
      </c>
      <c r="L639" s="16">
        <f>IF(AND(G639&gt;0,H639&gt;0),G639/H639,"")</f>
        <v/>
      </c>
    </row>
    <row r="640">
      <c r="A640" s="4" t="inlineStr">
        <is>
          <t>440</t>
        </is>
      </c>
      <c r="B640" s="4" t="n">
        <v>4</v>
      </c>
      <c r="C640" s="4" t="inlineStr">
        <is>
          <t>antelope</t>
        </is>
      </c>
      <c r="D640" s="4" t="n">
        <v>2025</v>
      </c>
      <c r="E640" s="15" t="inlineStr">
        <is>
          <t>Draw</t>
        </is>
      </c>
      <c r="F640" s="5" t="n"/>
      <c r="G640" s="5" t="n"/>
      <c r="H640" s="5" t="n">
        <v>132</v>
      </c>
      <c r="I640" s="5" t="n">
        <v>82</v>
      </c>
      <c r="J640" s="5" t="n">
        <v>47</v>
      </c>
      <c r="K640" s="10">
        <f>IF(F640&gt;0,H640/F640,"")</f>
        <v/>
      </c>
      <c r="L640" s="16">
        <f>IF(AND(G640&gt;0,H640&gt;0),G640/H640,"")</f>
        <v/>
      </c>
    </row>
    <row r="641">
      <c r="A641" s="4" t="inlineStr">
        <is>
          <t>441</t>
        </is>
      </c>
      <c r="B641" s="4" t="n">
        <v>4</v>
      </c>
      <c r="C641" s="4" t="inlineStr">
        <is>
          <t>antelope</t>
        </is>
      </c>
      <c r="D641" s="4" t="n">
        <v>2004</v>
      </c>
      <c r="E641" s="15" t="inlineStr">
        <is>
          <t>Draw</t>
        </is>
      </c>
      <c r="F641" s="5" t="n">
        <v>13</v>
      </c>
      <c r="G641" s="5" t="n">
        <v>38</v>
      </c>
      <c r="H641" s="5" t="n">
        <v>10</v>
      </c>
      <c r="I641" s="5" t="n">
        <v>9</v>
      </c>
      <c r="J641" s="5" t="n">
        <v>1</v>
      </c>
      <c r="K641" s="10">
        <f>IF(F641&gt;0,H641/F641,"")</f>
        <v/>
      </c>
      <c r="L641" s="16">
        <f>IF(AND(G641&gt;0,H641&gt;0),G641/H641,"")</f>
        <v/>
      </c>
    </row>
    <row r="642">
      <c r="A642" s="4" t="inlineStr">
        <is>
          <t>441</t>
        </is>
      </c>
      <c r="B642" s="4" t="n">
        <v>4</v>
      </c>
      <c r="C642" s="4" t="inlineStr">
        <is>
          <t>antelope</t>
        </is>
      </c>
      <c r="D642" s="4" t="n">
        <v>2005</v>
      </c>
      <c r="E642" s="15" t="inlineStr">
        <is>
          <t>Draw</t>
        </is>
      </c>
      <c r="F642" s="5" t="n">
        <v>19</v>
      </c>
      <c r="G642" s="5" t="n">
        <v>45</v>
      </c>
      <c r="H642" s="5" t="n">
        <v>7</v>
      </c>
      <c r="I642" s="5" t="n">
        <v>7</v>
      </c>
      <c r="J642" s="5" t="n">
        <v>0</v>
      </c>
      <c r="K642" s="10">
        <f>IF(F642&gt;0,H642/F642,"")</f>
        <v/>
      </c>
      <c r="L642" s="16">
        <f>IF(AND(G642&gt;0,H642&gt;0),G642/H642,"")</f>
        <v/>
      </c>
    </row>
    <row r="643">
      <c r="A643" s="4" t="inlineStr">
        <is>
          <t>441</t>
        </is>
      </c>
      <c r="B643" s="4" t="n">
        <v>4</v>
      </c>
      <c r="C643" s="4" t="inlineStr">
        <is>
          <t>antelope</t>
        </is>
      </c>
      <c r="D643" s="4" t="n">
        <v>2006</v>
      </c>
      <c r="E643" s="15" t="inlineStr">
        <is>
          <t>Draw</t>
        </is>
      </c>
      <c r="F643" s="5" t="n">
        <v>13</v>
      </c>
      <c r="G643" s="5" t="n">
        <v>83</v>
      </c>
      <c r="H643" s="5" t="n">
        <v>1</v>
      </c>
      <c r="I643" s="5" t="n">
        <v>1</v>
      </c>
      <c r="J643" s="5" t="n">
        <v>0</v>
      </c>
      <c r="K643" s="10">
        <f>IF(F643&gt;0,H643/F643,"")</f>
        <v/>
      </c>
      <c r="L643" s="16">
        <f>IF(AND(G643&gt;0,H643&gt;0),G643/H643,"")</f>
        <v/>
      </c>
    </row>
    <row r="644">
      <c r="A644" s="4" t="inlineStr">
        <is>
          <t>441</t>
        </is>
      </c>
      <c r="B644" s="4" t="n">
        <v>4</v>
      </c>
      <c r="C644" s="4" t="inlineStr">
        <is>
          <t>antelope</t>
        </is>
      </c>
      <c r="D644" s="4" t="n">
        <v>2007</v>
      </c>
      <c r="E644" s="15" t="inlineStr">
        <is>
          <t>Draw</t>
        </is>
      </c>
      <c r="F644" s="5" t="n">
        <v>10</v>
      </c>
      <c r="G644" s="5" t="n">
        <v>24</v>
      </c>
      <c r="H644" s="5" t="n">
        <v>10</v>
      </c>
      <c r="I644" s="5" t="n">
        <v>10</v>
      </c>
      <c r="J644" s="5" t="n">
        <v>0</v>
      </c>
      <c r="K644" s="10">
        <f>IF(F644&gt;0,H644/F644,"")</f>
        <v/>
      </c>
      <c r="L644" s="16">
        <f>IF(AND(G644&gt;0,H644&gt;0),G644/H644,"")</f>
        <v/>
      </c>
    </row>
    <row r="645">
      <c r="A645" s="4" t="inlineStr">
        <is>
          <t>441</t>
        </is>
      </c>
      <c r="B645" s="4" t="n">
        <v>4</v>
      </c>
      <c r="C645" s="4" t="inlineStr">
        <is>
          <t>antelope</t>
        </is>
      </c>
      <c r="D645" s="4" t="n">
        <v>2008</v>
      </c>
      <c r="E645" s="15" t="inlineStr">
        <is>
          <t>Draw</t>
        </is>
      </c>
      <c r="F645" s="5" t="n">
        <v>12</v>
      </c>
      <c r="G645" s="5" t="n">
        <v>48</v>
      </c>
      <c r="H645" s="5" t="n">
        <v>7</v>
      </c>
      <c r="I645" s="5" t="n">
        <v>7</v>
      </c>
      <c r="J645" s="5" t="n">
        <v>0</v>
      </c>
      <c r="K645" s="10">
        <f>IF(F645&gt;0,H645/F645,"")</f>
        <v/>
      </c>
      <c r="L645" s="16">
        <f>IF(AND(G645&gt;0,H645&gt;0),G645/H645,"")</f>
        <v/>
      </c>
    </row>
    <row r="646">
      <c r="A646" s="4" t="inlineStr">
        <is>
          <t>441</t>
        </is>
      </c>
      <c r="B646" s="4" t="n">
        <v>4</v>
      </c>
      <c r="C646" s="4" t="inlineStr">
        <is>
          <t>antelope</t>
        </is>
      </c>
      <c r="D646" s="4" t="n">
        <v>2009</v>
      </c>
      <c r="E646" s="15" t="inlineStr">
        <is>
          <t>Draw</t>
        </is>
      </c>
      <c r="F646" s="5" t="n">
        <v>16</v>
      </c>
      <c r="G646" s="5" t="n">
        <v>60</v>
      </c>
      <c r="H646" s="5" t="n">
        <v>7</v>
      </c>
      <c r="I646" s="5" t="n">
        <v>6</v>
      </c>
      <c r="J646" s="5" t="n">
        <v>1</v>
      </c>
      <c r="K646" s="10">
        <f>IF(F646&gt;0,H646/F646,"")</f>
        <v/>
      </c>
      <c r="L646" s="16">
        <f>IF(AND(G646&gt;0,H646&gt;0),G646/H646,"")</f>
        <v/>
      </c>
    </row>
    <row r="647">
      <c r="A647" s="4" t="inlineStr">
        <is>
          <t>441</t>
        </is>
      </c>
      <c r="B647" s="4" t="n">
        <v>4</v>
      </c>
      <c r="C647" s="4" t="inlineStr">
        <is>
          <t>antelope</t>
        </is>
      </c>
      <c r="D647" s="4" t="n">
        <v>2010</v>
      </c>
      <c r="E647" s="15" t="inlineStr">
        <is>
          <t>Draw</t>
        </is>
      </c>
      <c r="F647" s="5" t="n">
        <v>23</v>
      </c>
      <c r="G647" s="5" t="n">
        <v>65</v>
      </c>
      <c r="H647" s="5" t="n">
        <v>15</v>
      </c>
      <c r="I647" s="5" t="n">
        <v>11</v>
      </c>
      <c r="J647" s="5" t="n">
        <v>3</v>
      </c>
      <c r="K647" s="10">
        <f>IF(F647&gt;0,H647/F647,"")</f>
        <v/>
      </c>
      <c r="L647" s="16">
        <f>IF(AND(G647&gt;0,H647&gt;0),G647/H647,"")</f>
        <v/>
      </c>
    </row>
    <row r="648">
      <c r="A648" s="4" t="inlineStr">
        <is>
          <t>441</t>
        </is>
      </c>
      <c r="B648" s="4" t="n">
        <v>4</v>
      </c>
      <c r="C648" s="4" t="inlineStr">
        <is>
          <t>antelope</t>
        </is>
      </c>
      <c r="D648" s="4" t="n">
        <v>2011</v>
      </c>
      <c r="E648" s="15" t="inlineStr">
        <is>
          <t>Draw</t>
        </is>
      </c>
      <c r="F648" s="5" t="n">
        <v>24</v>
      </c>
      <c r="G648" s="5" t="n">
        <v>107</v>
      </c>
      <c r="H648" s="5" t="n">
        <v>12</v>
      </c>
      <c r="I648" s="5" t="n">
        <v>9</v>
      </c>
      <c r="J648" s="5" t="n">
        <v>3</v>
      </c>
      <c r="K648" s="10">
        <f>IF(F648&gt;0,H648/F648,"")</f>
        <v/>
      </c>
      <c r="L648" s="16">
        <f>IF(AND(G648&gt;0,H648&gt;0),G648/H648,"")</f>
        <v/>
      </c>
    </row>
    <row r="649">
      <c r="A649" s="4" t="inlineStr">
        <is>
          <t>441</t>
        </is>
      </c>
      <c r="B649" s="4" t="n">
        <v>4</v>
      </c>
      <c r="C649" s="4" t="inlineStr">
        <is>
          <t>antelope</t>
        </is>
      </c>
      <c r="D649" s="4" t="n">
        <v>2012</v>
      </c>
      <c r="E649" s="15" t="inlineStr">
        <is>
          <t>Draw</t>
        </is>
      </c>
      <c r="F649" s="5" t="n">
        <v>23</v>
      </c>
      <c r="G649" s="5" t="n">
        <v>57</v>
      </c>
      <c r="H649" s="5" t="n">
        <v>18</v>
      </c>
      <c r="I649" s="5" t="n">
        <v>16</v>
      </c>
      <c r="J649" s="5" t="n">
        <v>2</v>
      </c>
      <c r="K649" s="10">
        <f>IF(F649&gt;0,H649/F649,"")</f>
        <v/>
      </c>
      <c r="L649" s="16">
        <f>IF(AND(G649&gt;0,H649&gt;0),G649/H649,"")</f>
        <v/>
      </c>
    </row>
    <row r="650">
      <c r="A650" s="4" t="inlineStr">
        <is>
          <t>441</t>
        </is>
      </c>
      <c r="B650" s="4" t="n">
        <v>4</v>
      </c>
      <c r="C650" s="4" t="inlineStr">
        <is>
          <t>antelope</t>
        </is>
      </c>
      <c r="D650" s="4" t="n">
        <v>2013</v>
      </c>
      <c r="E650" s="15" t="inlineStr">
        <is>
          <t>Draw</t>
        </is>
      </c>
      <c r="F650" s="5" t="n"/>
      <c r="G650" s="5" t="n"/>
      <c r="H650" s="5" t="n">
        <v>14</v>
      </c>
      <c r="I650" s="5" t="n">
        <v>14</v>
      </c>
      <c r="J650" s="5" t="n">
        <v>0</v>
      </c>
      <c r="K650" s="10">
        <f>IF(F650&gt;0,H650/F650,"")</f>
        <v/>
      </c>
      <c r="L650" s="16">
        <f>IF(AND(G650&gt;0,H650&gt;0),G650/H650,"")</f>
        <v/>
      </c>
    </row>
    <row r="651">
      <c r="A651" s="4" t="inlineStr">
        <is>
          <t>441</t>
        </is>
      </c>
      <c r="B651" s="4" t="n">
        <v>4</v>
      </c>
      <c r="C651" s="4" t="inlineStr">
        <is>
          <t>antelope</t>
        </is>
      </c>
      <c r="D651" s="4" t="n">
        <v>2014</v>
      </c>
      <c r="E651" s="15" t="inlineStr">
        <is>
          <t>Draw</t>
        </is>
      </c>
      <c r="F651" s="5" t="n">
        <v>13</v>
      </c>
      <c r="G651" s="5" t="n">
        <v>27</v>
      </c>
      <c r="H651" s="5" t="n">
        <v>10</v>
      </c>
      <c r="I651" s="5" t="n">
        <v>8</v>
      </c>
      <c r="J651" s="5" t="n">
        <v>2</v>
      </c>
      <c r="K651" s="10">
        <f>IF(F651&gt;0,H651/F651,"")</f>
        <v/>
      </c>
      <c r="L651" s="16">
        <f>IF(AND(G651&gt;0,H651&gt;0),G651/H651,"")</f>
        <v/>
      </c>
    </row>
    <row r="652">
      <c r="A652" s="4" t="inlineStr">
        <is>
          <t>441</t>
        </is>
      </c>
      <c r="B652" s="4" t="n">
        <v>4</v>
      </c>
      <c r="C652" s="4" t="inlineStr">
        <is>
          <t>antelope</t>
        </is>
      </c>
      <c r="D652" s="4" t="n">
        <v>2015</v>
      </c>
      <c r="E652" s="15" t="inlineStr">
        <is>
          <t>Draw</t>
        </is>
      </c>
      <c r="F652" s="5" t="n">
        <v>26</v>
      </c>
      <c r="G652" s="5" t="n">
        <v>134</v>
      </c>
      <c r="H652" s="5" t="n">
        <v>9</v>
      </c>
      <c r="I652" s="5" t="n">
        <v>9</v>
      </c>
      <c r="J652" s="5" t="n">
        <v>0</v>
      </c>
      <c r="K652" s="10">
        <f>IF(F652&gt;0,H652/F652,"")</f>
        <v/>
      </c>
      <c r="L652" s="16">
        <f>IF(AND(G652&gt;0,H652&gt;0),G652/H652,"")</f>
        <v/>
      </c>
    </row>
    <row r="653">
      <c r="A653" s="4" t="inlineStr">
        <is>
          <t>441</t>
        </is>
      </c>
      <c r="B653" s="4" t="n">
        <v>4</v>
      </c>
      <c r="C653" s="4" t="inlineStr">
        <is>
          <t>antelope</t>
        </is>
      </c>
      <c r="D653" s="4" t="n">
        <v>2016</v>
      </c>
      <c r="E653" s="15" t="inlineStr">
        <is>
          <t>Draw</t>
        </is>
      </c>
      <c r="F653" s="5" t="n"/>
      <c r="G653" s="5" t="n"/>
      <c r="H653" s="5" t="n">
        <v>16</v>
      </c>
      <c r="I653" s="5" t="n">
        <v>12</v>
      </c>
      <c r="J653" s="5" t="n">
        <v>3</v>
      </c>
      <c r="K653" s="10">
        <f>IF(F653&gt;0,H653/F653,"")</f>
        <v/>
      </c>
      <c r="L653" s="16">
        <f>IF(AND(G653&gt;0,H653&gt;0),G653/H653,"")</f>
        <v/>
      </c>
    </row>
    <row r="654">
      <c r="A654" s="4" t="inlineStr">
        <is>
          <t>441</t>
        </is>
      </c>
      <c r="B654" s="4" t="n">
        <v>4</v>
      </c>
      <c r="C654" s="4" t="inlineStr">
        <is>
          <t>antelope</t>
        </is>
      </c>
      <c r="D654" s="4" t="n">
        <v>2017</v>
      </c>
      <c r="E654" s="15" t="inlineStr">
        <is>
          <t>Draw</t>
        </is>
      </c>
      <c r="F654" s="5" t="n"/>
      <c r="G654" s="5" t="n"/>
      <c r="H654" s="5" t="n">
        <v>12</v>
      </c>
      <c r="I654" s="5" t="n">
        <v>11</v>
      </c>
      <c r="J654" s="5" t="n">
        <v>1</v>
      </c>
      <c r="K654" s="10">
        <f>IF(F654&gt;0,H654/F654,"")</f>
        <v/>
      </c>
      <c r="L654" s="16">
        <f>IF(AND(G654&gt;0,H654&gt;0),G654/H654,"")</f>
        <v/>
      </c>
    </row>
    <row r="655">
      <c r="A655" s="4" t="inlineStr">
        <is>
          <t>441</t>
        </is>
      </c>
      <c r="B655" s="4" t="n">
        <v>4</v>
      </c>
      <c r="C655" s="4" t="inlineStr">
        <is>
          <t>antelope</t>
        </is>
      </c>
      <c r="D655" s="4" t="n">
        <v>2018</v>
      </c>
      <c r="E655" s="15" t="inlineStr">
        <is>
          <t>Draw</t>
        </is>
      </c>
      <c r="F655" s="5" t="n">
        <v>12</v>
      </c>
      <c r="G655" s="5" t="n">
        <v>12</v>
      </c>
      <c r="H655" s="5" t="n">
        <v>7</v>
      </c>
      <c r="I655" s="5" t="n">
        <v>7</v>
      </c>
      <c r="J655" s="5" t="n">
        <v>0</v>
      </c>
      <c r="K655" s="10">
        <f>IF(F655&gt;0,H655/F655,"")</f>
        <v/>
      </c>
      <c r="L655" s="16">
        <f>IF(AND(G655&gt;0,H655&gt;0),G655/H655,"")</f>
        <v/>
      </c>
    </row>
    <row r="656">
      <c r="A656" s="4" t="inlineStr">
        <is>
          <t>441</t>
        </is>
      </c>
      <c r="B656" s="4" t="n">
        <v>4</v>
      </c>
      <c r="C656" s="4" t="inlineStr">
        <is>
          <t>antelope</t>
        </is>
      </c>
      <c r="D656" s="4" t="n">
        <v>2019</v>
      </c>
      <c r="E656" s="15" t="inlineStr">
        <is>
          <t>Draw</t>
        </is>
      </c>
      <c r="F656" s="5" t="n"/>
      <c r="G656" s="5" t="n"/>
      <c r="H656" s="5" t="n">
        <v>4</v>
      </c>
      <c r="I656" s="5" t="n">
        <v>4</v>
      </c>
      <c r="J656" s="5" t="n">
        <v>0</v>
      </c>
      <c r="K656" s="10">
        <f>IF(F656&gt;0,H656/F656,"")</f>
        <v/>
      </c>
      <c r="L656" s="16">
        <f>IF(AND(G656&gt;0,H656&gt;0),G656/H656,"")</f>
        <v/>
      </c>
    </row>
    <row r="657">
      <c r="A657" s="4" t="inlineStr">
        <is>
          <t>441</t>
        </is>
      </c>
      <c r="B657" s="4" t="n">
        <v>4</v>
      </c>
      <c r="C657" s="4" t="inlineStr">
        <is>
          <t>antelope</t>
        </is>
      </c>
      <c r="D657" s="4" t="n">
        <v>2020</v>
      </c>
      <c r="E657" s="15" t="inlineStr">
        <is>
          <t>Draw</t>
        </is>
      </c>
      <c r="F657" s="5" t="n">
        <v>16</v>
      </c>
      <c r="G657" s="5" t="n">
        <v>29</v>
      </c>
      <c r="H657" s="5" t="n">
        <v>9</v>
      </c>
      <c r="I657" s="5" t="n">
        <v>9</v>
      </c>
      <c r="J657" s="5" t="n">
        <v>0</v>
      </c>
      <c r="K657" s="10">
        <f>IF(F657&gt;0,H657/F657,"")</f>
        <v/>
      </c>
      <c r="L657" s="16">
        <f>IF(AND(G657&gt;0,H657&gt;0),G657/H657,"")</f>
        <v/>
      </c>
    </row>
    <row r="658">
      <c r="A658" s="4" t="inlineStr">
        <is>
          <t>441</t>
        </is>
      </c>
      <c r="B658" s="4" t="n">
        <v>4</v>
      </c>
      <c r="C658" s="4" t="inlineStr">
        <is>
          <t>antelope</t>
        </is>
      </c>
      <c r="D658" s="4" t="n">
        <v>2021</v>
      </c>
      <c r="E658" s="15" t="inlineStr">
        <is>
          <t>Draw</t>
        </is>
      </c>
      <c r="F658" s="5" t="n"/>
      <c r="G658" s="5" t="n"/>
      <c r="H658" s="5" t="n">
        <v>11</v>
      </c>
      <c r="I658" s="5" t="n">
        <v>6</v>
      </c>
      <c r="J658" s="5" t="n">
        <v>5</v>
      </c>
      <c r="K658" s="10">
        <f>IF(F658&gt;0,H658/F658,"")</f>
        <v/>
      </c>
      <c r="L658" s="16">
        <f>IF(AND(G658&gt;0,H658&gt;0),G658/H658,"")</f>
        <v/>
      </c>
    </row>
    <row r="659">
      <c r="A659" s="4" t="inlineStr">
        <is>
          <t>441</t>
        </is>
      </c>
      <c r="B659" s="4" t="n">
        <v>4</v>
      </c>
      <c r="C659" s="4" t="inlineStr">
        <is>
          <t>antelope</t>
        </is>
      </c>
      <c r="D659" s="4" t="n">
        <v>2022</v>
      </c>
      <c r="E659" s="15" t="inlineStr">
        <is>
          <t>Draw</t>
        </is>
      </c>
      <c r="F659" s="5" t="n">
        <v>10</v>
      </c>
      <c r="G659" s="5" t="n">
        <v>23</v>
      </c>
      <c r="H659" s="5" t="n">
        <v>7</v>
      </c>
      <c r="I659" s="5" t="n">
        <v>7</v>
      </c>
      <c r="J659" s="5" t="n">
        <v>0</v>
      </c>
      <c r="K659" s="10">
        <f>IF(F659&gt;0,H659/F659,"")</f>
        <v/>
      </c>
      <c r="L659" s="16">
        <f>IF(AND(G659&gt;0,H659&gt;0),G659/H659,"")</f>
        <v/>
      </c>
    </row>
    <row r="660">
      <c r="A660" s="4" t="inlineStr">
        <is>
          <t>441</t>
        </is>
      </c>
      <c r="B660" s="4" t="n">
        <v>4</v>
      </c>
      <c r="C660" s="4" t="inlineStr">
        <is>
          <t>antelope</t>
        </is>
      </c>
      <c r="D660" s="4" t="n">
        <v>2023</v>
      </c>
      <c r="E660" s="15" t="inlineStr">
        <is>
          <t>Draw</t>
        </is>
      </c>
      <c r="F660" s="5" t="n"/>
      <c r="G660" s="5" t="n"/>
      <c r="H660" s="5" t="n">
        <v>9</v>
      </c>
      <c r="I660" s="5" t="n">
        <v>7</v>
      </c>
      <c r="J660" s="5" t="n">
        <v>2</v>
      </c>
      <c r="K660" s="10">
        <f>IF(F660&gt;0,H660/F660,"")</f>
        <v/>
      </c>
      <c r="L660" s="16">
        <f>IF(AND(G660&gt;0,H660&gt;0),G660/H660,"")</f>
        <v/>
      </c>
    </row>
    <row r="661">
      <c r="A661" s="4" t="inlineStr">
        <is>
          <t>441</t>
        </is>
      </c>
      <c r="B661" s="4" t="n">
        <v>4</v>
      </c>
      <c r="C661" s="4" t="inlineStr">
        <is>
          <t>antelope</t>
        </is>
      </c>
      <c r="D661" s="4" t="n">
        <v>2024</v>
      </c>
      <c r="E661" s="15" t="inlineStr">
        <is>
          <t>Draw</t>
        </is>
      </c>
      <c r="F661" s="5" t="n">
        <v>29</v>
      </c>
      <c r="G661" s="5" t="n">
        <v>155</v>
      </c>
      <c r="H661" s="5" t="n">
        <v>10</v>
      </c>
      <c r="I661" s="5" t="n">
        <v>7</v>
      </c>
      <c r="J661" s="5" t="n">
        <v>3</v>
      </c>
      <c r="K661" s="10">
        <f>IF(F661&gt;0,H661/F661,"")</f>
        <v/>
      </c>
      <c r="L661" s="16">
        <f>IF(AND(G661&gt;0,H661&gt;0),G661/H661,"")</f>
        <v/>
      </c>
    </row>
    <row r="662">
      <c r="A662" s="4" t="inlineStr">
        <is>
          <t>441</t>
        </is>
      </c>
      <c r="B662" s="4" t="n">
        <v>4</v>
      </c>
      <c r="C662" s="4" t="inlineStr">
        <is>
          <t>antelope</t>
        </is>
      </c>
      <c r="D662" s="4" t="n">
        <v>2025</v>
      </c>
      <c r="E662" s="15" t="inlineStr">
        <is>
          <t>Draw</t>
        </is>
      </c>
      <c r="F662" s="5" t="n"/>
      <c r="G662" s="5" t="n"/>
      <c r="H662" s="5" t="n">
        <v>10</v>
      </c>
      <c r="I662" s="5" t="n">
        <v>10</v>
      </c>
      <c r="J662" s="5" t="n">
        <v>0</v>
      </c>
      <c r="K662" s="10">
        <f>IF(F662&gt;0,H662/F662,"")</f>
        <v/>
      </c>
      <c r="L662" s="16">
        <f>IF(AND(G662&gt;0,H662&gt;0),G662/H662,"")</f>
        <v/>
      </c>
    </row>
    <row r="663">
      <c r="A663" s="4" t="inlineStr">
        <is>
          <t>444</t>
        </is>
      </c>
      <c r="B663" s="4" t="n">
        <v>4</v>
      </c>
      <c r="C663" s="4" t="inlineStr">
        <is>
          <t>antelope</t>
        </is>
      </c>
      <c r="D663" s="4" t="n">
        <v>2004</v>
      </c>
      <c r="E663" s="15" t="inlineStr">
        <is>
          <t>Draw</t>
        </is>
      </c>
      <c r="F663" s="5" t="n">
        <v>229</v>
      </c>
      <c r="G663" s="5" t="n">
        <v>699</v>
      </c>
      <c r="H663" s="5" t="n">
        <v>107</v>
      </c>
      <c r="I663" s="5" t="n">
        <v>93</v>
      </c>
      <c r="J663" s="5" t="n">
        <v>12</v>
      </c>
      <c r="K663" s="10">
        <f>IF(F663&gt;0,H663/F663,"")</f>
        <v/>
      </c>
      <c r="L663" s="16">
        <f>IF(AND(G663&gt;0,H663&gt;0),G663/H663,"")</f>
        <v/>
      </c>
    </row>
    <row r="664">
      <c r="A664" s="4" t="inlineStr">
        <is>
          <t>444</t>
        </is>
      </c>
      <c r="B664" s="4" t="n">
        <v>4</v>
      </c>
      <c r="C664" s="4" t="inlineStr">
        <is>
          <t>antelope</t>
        </is>
      </c>
      <c r="D664" s="4" t="n">
        <v>2005</v>
      </c>
      <c r="E664" s="15" t="inlineStr">
        <is>
          <t>Draw</t>
        </is>
      </c>
      <c r="F664" s="5" t="n">
        <v>193</v>
      </c>
      <c r="G664" s="5" t="n">
        <v>558</v>
      </c>
      <c r="H664" s="5" t="n">
        <v>118</v>
      </c>
      <c r="I664" s="5" t="n">
        <v>76</v>
      </c>
      <c r="J664" s="5" t="n">
        <v>40</v>
      </c>
      <c r="K664" s="10">
        <f>IF(F664&gt;0,H664/F664,"")</f>
        <v/>
      </c>
      <c r="L664" s="16">
        <f>IF(AND(G664&gt;0,H664&gt;0),G664/H664,"")</f>
        <v/>
      </c>
    </row>
    <row r="665">
      <c r="A665" s="4" t="inlineStr">
        <is>
          <t>444</t>
        </is>
      </c>
      <c r="B665" s="4" t="n">
        <v>4</v>
      </c>
      <c r="C665" s="4" t="inlineStr">
        <is>
          <t>antelope</t>
        </is>
      </c>
      <c r="D665" s="4" t="n">
        <v>2006</v>
      </c>
      <c r="E665" s="15" t="inlineStr">
        <is>
          <t>Draw</t>
        </is>
      </c>
      <c r="F665" s="5" t="n">
        <v>329</v>
      </c>
      <c r="G665" s="5" t="n">
        <v>1152</v>
      </c>
      <c r="H665" s="5" t="n">
        <v>207</v>
      </c>
      <c r="I665" s="5" t="n">
        <v>121</v>
      </c>
      <c r="J665" s="5" t="n">
        <v>74</v>
      </c>
      <c r="K665" s="10">
        <f>IF(F665&gt;0,H665/F665,"")</f>
        <v/>
      </c>
      <c r="L665" s="16">
        <f>IF(AND(G665&gt;0,H665&gt;0),G665/H665,"")</f>
        <v/>
      </c>
    </row>
    <row r="666">
      <c r="A666" s="4" t="inlineStr">
        <is>
          <t>444</t>
        </is>
      </c>
      <c r="B666" s="4" t="n">
        <v>4</v>
      </c>
      <c r="C666" s="4" t="inlineStr">
        <is>
          <t>antelope</t>
        </is>
      </c>
      <c r="D666" s="4" t="n">
        <v>2007</v>
      </c>
      <c r="E666" s="15" t="inlineStr">
        <is>
          <t>Draw</t>
        </is>
      </c>
      <c r="F666" s="5" t="n">
        <v>316</v>
      </c>
      <c r="G666" s="5" t="n">
        <v>1131</v>
      </c>
      <c r="H666" s="5" t="n">
        <v>242</v>
      </c>
      <c r="I666" s="5" t="n">
        <v>124</v>
      </c>
      <c r="J666" s="5" t="n">
        <v>118</v>
      </c>
      <c r="K666" s="10">
        <f>IF(F666&gt;0,H666/F666,"")</f>
        <v/>
      </c>
      <c r="L666" s="16">
        <f>IF(AND(G666&gt;0,H666&gt;0),G666/H666,"")</f>
        <v/>
      </c>
    </row>
    <row r="667">
      <c r="A667" s="4" t="inlineStr">
        <is>
          <t>444</t>
        </is>
      </c>
      <c r="B667" s="4" t="n">
        <v>4</v>
      </c>
      <c r="C667" s="4" t="inlineStr">
        <is>
          <t>antelope</t>
        </is>
      </c>
      <c r="D667" s="4" t="n">
        <v>2008</v>
      </c>
      <c r="E667" s="15" t="inlineStr">
        <is>
          <t>Draw</t>
        </is>
      </c>
      <c r="F667" s="5" t="n">
        <v>251</v>
      </c>
      <c r="G667" s="5" t="n">
        <v>982</v>
      </c>
      <c r="H667" s="5" t="n">
        <v>151</v>
      </c>
      <c r="I667" s="5" t="n">
        <v>95</v>
      </c>
      <c r="J667" s="5" t="n">
        <v>56</v>
      </c>
      <c r="K667" s="10">
        <f>IF(F667&gt;0,H667/F667,"")</f>
        <v/>
      </c>
      <c r="L667" s="16">
        <f>IF(AND(G667&gt;0,H667&gt;0),G667/H667,"")</f>
        <v/>
      </c>
    </row>
    <row r="668">
      <c r="A668" s="4" t="inlineStr">
        <is>
          <t>444</t>
        </is>
      </c>
      <c r="B668" s="4" t="n">
        <v>4</v>
      </c>
      <c r="C668" s="4" t="inlineStr">
        <is>
          <t>antelope</t>
        </is>
      </c>
      <c r="D668" s="4" t="n">
        <v>2009</v>
      </c>
      <c r="E668" s="15" t="inlineStr">
        <is>
          <t>Draw</t>
        </is>
      </c>
      <c r="F668" s="5" t="n">
        <v>277</v>
      </c>
      <c r="G668" s="5" t="n">
        <v>823</v>
      </c>
      <c r="H668" s="5" t="n">
        <v>129</v>
      </c>
      <c r="I668" s="5" t="n">
        <v>82</v>
      </c>
      <c r="J668" s="5" t="n">
        <v>42</v>
      </c>
      <c r="K668" s="10">
        <f>IF(F668&gt;0,H668/F668,"")</f>
        <v/>
      </c>
      <c r="L668" s="16">
        <f>IF(AND(G668&gt;0,H668&gt;0),G668/H668,"")</f>
        <v/>
      </c>
    </row>
    <row r="669">
      <c r="A669" s="4" t="inlineStr">
        <is>
          <t>444</t>
        </is>
      </c>
      <c r="B669" s="4" t="n">
        <v>4</v>
      </c>
      <c r="C669" s="4" t="inlineStr">
        <is>
          <t>antelope</t>
        </is>
      </c>
      <c r="D669" s="4" t="n">
        <v>2010</v>
      </c>
      <c r="E669" s="15" t="inlineStr">
        <is>
          <t>Draw</t>
        </is>
      </c>
      <c r="F669" s="5" t="n">
        <v>249</v>
      </c>
      <c r="G669" s="5" t="n">
        <v>770</v>
      </c>
      <c r="H669" s="5" t="n">
        <v>145</v>
      </c>
      <c r="I669" s="5" t="n">
        <v>75</v>
      </c>
      <c r="J669" s="5" t="n">
        <v>70</v>
      </c>
      <c r="K669" s="10">
        <f>IF(F669&gt;0,H669/F669,"")</f>
        <v/>
      </c>
      <c r="L669" s="16">
        <f>IF(AND(G669&gt;0,H669&gt;0),G669/H669,"")</f>
        <v/>
      </c>
    </row>
    <row r="670">
      <c r="A670" s="4" t="inlineStr">
        <is>
          <t>444</t>
        </is>
      </c>
      <c r="B670" s="4" t="n">
        <v>4</v>
      </c>
      <c r="C670" s="4" t="inlineStr">
        <is>
          <t>antelope</t>
        </is>
      </c>
      <c r="D670" s="4" t="n">
        <v>2011</v>
      </c>
      <c r="E670" s="15" t="inlineStr">
        <is>
          <t>Draw</t>
        </is>
      </c>
      <c r="F670" s="5" t="n">
        <v>222</v>
      </c>
      <c r="G670" s="5" t="n">
        <v>770</v>
      </c>
      <c r="H670" s="5" t="n">
        <v>108</v>
      </c>
      <c r="I670" s="5" t="n">
        <v>73</v>
      </c>
      <c r="J670" s="5" t="n">
        <v>34</v>
      </c>
      <c r="K670" s="10">
        <f>IF(F670&gt;0,H670/F670,"")</f>
        <v/>
      </c>
      <c r="L670" s="16">
        <f>IF(AND(G670&gt;0,H670&gt;0),G670/H670,"")</f>
        <v/>
      </c>
    </row>
    <row r="671">
      <c r="A671" s="4" t="inlineStr">
        <is>
          <t>444</t>
        </is>
      </c>
      <c r="B671" s="4" t="n">
        <v>4</v>
      </c>
      <c r="C671" s="4" t="inlineStr">
        <is>
          <t>antelope</t>
        </is>
      </c>
      <c r="D671" s="4" t="n">
        <v>2012</v>
      </c>
      <c r="E671" s="15" t="inlineStr">
        <is>
          <t>Draw</t>
        </is>
      </c>
      <c r="F671" s="5" t="n">
        <v>228</v>
      </c>
      <c r="G671" s="5" t="n">
        <v>910</v>
      </c>
      <c r="H671" s="5" t="n">
        <v>105</v>
      </c>
      <c r="I671" s="5" t="n">
        <v>75</v>
      </c>
      <c r="J671" s="5" t="n">
        <v>30</v>
      </c>
      <c r="K671" s="10">
        <f>IF(F671&gt;0,H671/F671,"")</f>
        <v/>
      </c>
      <c r="L671" s="16">
        <f>IF(AND(G671&gt;0,H671&gt;0),G671/H671,"")</f>
        <v/>
      </c>
    </row>
    <row r="672">
      <c r="A672" s="4" t="inlineStr">
        <is>
          <t>444</t>
        </is>
      </c>
      <c r="B672" s="4" t="n">
        <v>4</v>
      </c>
      <c r="C672" s="4" t="inlineStr">
        <is>
          <t>antelope</t>
        </is>
      </c>
      <c r="D672" s="4" t="n">
        <v>2013</v>
      </c>
      <c r="E672" s="15" t="inlineStr">
        <is>
          <t>Draw</t>
        </is>
      </c>
      <c r="F672" s="5" t="n"/>
      <c r="G672" s="5" t="n"/>
      <c r="H672" s="5" t="n">
        <v>86</v>
      </c>
      <c r="I672" s="5" t="n">
        <v>45</v>
      </c>
      <c r="J672" s="5" t="n">
        <v>42</v>
      </c>
      <c r="K672" s="10">
        <f>IF(F672&gt;0,H672/F672,"")</f>
        <v/>
      </c>
      <c r="L672" s="16">
        <f>IF(AND(G672&gt;0,H672&gt;0),G672/H672,"")</f>
        <v/>
      </c>
    </row>
    <row r="673">
      <c r="A673" s="4" t="inlineStr">
        <is>
          <t>444</t>
        </is>
      </c>
      <c r="B673" s="4" t="n">
        <v>4</v>
      </c>
      <c r="C673" s="4" t="inlineStr">
        <is>
          <t>antelope</t>
        </is>
      </c>
      <c r="D673" s="4" t="n">
        <v>2014</v>
      </c>
      <c r="E673" s="15" t="inlineStr">
        <is>
          <t>Draw</t>
        </is>
      </c>
      <c r="F673" s="5" t="n">
        <v>207</v>
      </c>
      <c r="G673" s="5" t="n">
        <v>669</v>
      </c>
      <c r="H673" s="5" t="n">
        <v>100</v>
      </c>
      <c r="I673" s="5" t="n">
        <v>55</v>
      </c>
      <c r="J673" s="5" t="n">
        <v>45</v>
      </c>
      <c r="K673" s="10">
        <f>IF(F673&gt;0,H673/F673,"")</f>
        <v/>
      </c>
      <c r="L673" s="16">
        <f>IF(AND(G673&gt;0,H673&gt;0),G673/H673,"")</f>
        <v/>
      </c>
    </row>
    <row r="674">
      <c r="A674" s="4" t="inlineStr">
        <is>
          <t>444</t>
        </is>
      </c>
      <c r="B674" s="4" t="n">
        <v>4</v>
      </c>
      <c r="C674" s="4" t="inlineStr">
        <is>
          <t>antelope</t>
        </is>
      </c>
      <c r="D674" s="4" t="n">
        <v>2015</v>
      </c>
      <c r="E674" s="15" t="inlineStr">
        <is>
          <t>Draw</t>
        </is>
      </c>
      <c r="F674" s="5" t="n">
        <v>214</v>
      </c>
      <c r="G674" s="5" t="n">
        <v>919</v>
      </c>
      <c r="H674" s="5" t="n">
        <v>94</v>
      </c>
      <c r="I674" s="5" t="n">
        <v>48</v>
      </c>
      <c r="J674" s="5" t="n">
        <v>44</v>
      </c>
      <c r="K674" s="10">
        <f>IF(F674&gt;0,H674/F674,"")</f>
        <v/>
      </c>
      <c r="L674" s="16">
        <f>IF(AND(G674&gt;0,H674&gt;0),G674/H674,"")</f>
        <v/>
      </c>
    </row>
    <row r="675">
      <c r="A675" s="4" t="inlineStr">
        <is>
          <t>444</t>
        </is>
      </c>
      <c r="B675" s="4" t="n">
        <v>4</v>
      </c>
      <c r="C675" s="4" t="inlineStr">
        <is>
          <t>antelope</t>
        </is>
      </c>
      <c r="D675" s="4" t="n">
        <v>2016</v>
      </c>
      <c r="E675" s="15" t="inlineStr">
        <is>
          <t>Draw</t>
        </is>
      </c>
      <c r="F675" s="5" t="n"/>
      <c r="G675" s="5" t="n"/>
      <c r="H675" s="5" t="n">
        <v>79</v>
      </c>
      <c r="I675" s="5" t="n">
        <v>48</v>
      </c>
      <c r="J675" s="5" t="n">
        <v>31</v>
      </c>
      <c r="K675" s="10">
        <f>IF(F675&gt;0,H675/F675,"")</f>
        <v/>
      </c>
      <c r="L675" s="16">
        <f>IF(AND(G675&gt;0,H675&gt;0),G675/H675,"")</f>
        <v/>
      </c>
    </row>
    <row r="676">
      <c r="A676" s="4" t="inlineStr">
        <is>
          <t>444</t>
        </is>
      </c>
      <c r="B676" s="4" t="n">
        <v>4</v>
      </c>
      <c r="C676" s="4" t="inlineStr">
        <is>
          <t>antelope</t>
        </is>
      </c>
      <c r="D676" s="4" t="n">
        <v>2017</v>
      </c>
      <c r="E676" s="15" t="inlineStr">
        <is>
          <t>Draw</t>
        </is>
      </c>
      <c r="F676" s="5" t="n"/>
      <c r="G676" s="5" t="n"/>
      <c r="H676" s="5" t="n">
        <v>110</v>
      </c>
      <c r="I676" s="5" t="n">
        <v>73</v>
      </c>
      <c r="J676" s="5" t="n">
        <v>38</v>
      </c>
      <c r="K676" s="10">
        <f>IF(F676&gt;0,H676/F676,"")</f>
        <v/>
      </c>
      <c r="L676" s="16">
        <f>IF(AND(G676&gt;0,H676&gt;0),G676/H676,"")</f>
        <v/>
      </c>
    </row>
    <row r="677">
      <c r="A677" s="4" t="inlineStr">
        <is>
          <t>444</t>
        </is>
      </c>
      <c r="B677" s="4" t="n">
        <v>4</v>
      </c>
      <c r="C677" s="4" t="inlineStr">
        <is>
          <t>antelope</t>
        </is>
      </c>
      <c r="D677" s="4" t="n">
        <v>2018</v>
      </c>
      <c r="E677" s="15" t="inlineStr">
        <is>
          <t>Draw</t>
        </is>
      </c>
      <c r="F677" s="5" t="n">
        <v>183</v>
      </c>
      <c r="G677" s="5" t="n">
        <v>569</v>
      </c>
      <c r="H677" s="5" t="n">
        <v>100</v>
      </c>
      <c r="I677" s="5" t="n">
        <v>63</v>
      </c>
      <c r="J677" s="5" t="n">
        <v>37</v>
      </c>
      <c r="K677" s="10">
        <f>IF(F677&gt;0,H677/F677,"")</f>
        <v/>
      </c>
      <c r="L677" s="16">
        <f>IF(AND(G677&gt;0,H677&gt;0),G677/H677,"")</f>
        <v/>
      </c>
    </row>
    <row r="678">
      <c r="A678" s="4" t="inlineStr">
        <is>
          <t>444</t>
        </is>
      </c>
      <c r="B678" s="4" t="n">
        <v>4</v>
      </c>
      <c r="C678" s="4" t="inlineStr">
        <is>
          <t>antelope</t>
        </is>
      </c>
      <c r="D678" s="4" t="n">
        <v>2019</v>
      </c>
      <c r="E678" s="15" t="inlineStr">
        <is>
          <t>Draw</t>
        </is>
      </c>
      <c r="F678" s="5" t="n"/>
      <c r="G678" s="5" t="n"/>
      <c r="H678" s="5" t="n">
        <v>92</v>
      </c>
      <c r="I678" s="5" t="n">
        <v>53</v>
      </c>
      <c r="J678" s="5" t="n">
        <v>37</v>
      </c>
      <c r="K678" s="10">
        <f>IF(F678&gt;0,H678/F678,"")</f>
        <v/>
      </c>
      <c r="L678" s="16">
        <f>IF(AND(G678&gt;0,H678&gt;0),G678/H678,"")</f>
        <v/>
      </c>
    </row>
    <row r="679">
      <c r="A679" s="4" t="inlineStr">
        <is>
          <t>444</t>
        </is>
      </c>
      <c r="B679" s="4" t="n">
        <v>4</v>
      </c>
      <c r="C679" s="4" t="inlineStr">
        <is>
          <t>antelope</t>
        </is>
      </c>
      <c r="D679" s="4" t="n">
        <v>2020</v>
      </c>
      <c r="E679" s="15" t="inlineStr">
        <is>
          <t>Draw</t>
        </is>
      </c>
      <c r="F679" s="5" t="n">
        <v>206</v>
      </c>
      <c r="G679" s="5" t="n">
        <v>692</v>
      </c>
      <c r="H679" s="5" t="n">
        <v>114</v>
      </c>
      <c r="I679" s="5" t="n">
        <v>83</v>
      </c>
      <c r="J679" s="5" t="n">
        <v>31</v>
      </c>
      <c r="K679" s="10">
        <f>IF(F679&gt;0,H679/F679,"")</f>
        <v/>
      </c>
      <c r="L679" s="16">
        <f>IF(AND(G679&gt;0,H679&gt;0),G679/H679,"")</f>
        <v/>
      </c>
    </row>
    <row r="680">
      <c r="A680" s="4" t="inlineStr">
        <is>
          <t>444</t>
        </is>
      </c>
      <c r="B680" s="4" t="n">
        <v>4</v>
      </c>
      <c r="C680" s="4" t="inlineStr">
        <is>
          <t>antelope</t>
        </is>
      </c>
      <c r="D680" s="4" t="n">
        <v>2021</v>
      </c>
      <c r="E680" s="15" t="inlineStr">
        <is>
          <t>Draw</t>
        </is>
      </c>
      <c r="F680" s="5" t="n"/>
      <c r="G680" s="5" t="n"/>
      <c r="H680" s="5" t="n">
        <v>106</v>
      </c>
      <c r="I680" s="5" t="n">
        <v>75</v>
      </c>
      <c r="J680" s="5" t="n">
        <v>29</v>
      </c>
      <c r="K680" s="10">
        <f>IF(F680&gt;0,H680/F680,"")</f>
        <v/>
      </c>
      <c r="L680" s="16">
        <f>IF(AND(G680&gt;0,H680&gt;0),G680/H680,"")</f>
        <v/>
      </c>
    </row>
    <row r="681">
      <c r="A681" s="4" t="inlineStr">
        <is>
          <t>444</t>
        </is>
      </c>
      <c r="B681" s="4" t="n">
        <v>4</v>
      </c>
      <c r="C681" s="4" t="inlineStr">
        <is>
          <t>antelope</t>
        </is>
      </c>
      <c r="D681" s="4" t="n">
        <v>2022</v>
      </c>
      <c r="E681" s="15" t="inlineStr">
        <is>
          <t>Draw</t>
        </is>
      </c>
      <c r="F681" s="5" t="n">
        <v>161</v>
      </c>
      <c r="G681" s="5" t="n">
        <v>698</v>
      </c>
      <c r="H681" s="5" t="n">
        <v>61</v>
      </c>
      <c r="I681" s="5" t="n">
        <v>38</v>
      </c>
      <c r="J681" s="5" t="n">
        <v>23</v>
      </c>
      <c r="K681" s="10">
        <f>IF(F681&gt;0,H681/F681,"")</f>
        <v/>
      </c>
      <c r="L681" s="16">
        <f>IF(AND(G681&gt;0,H681&gt;0),G681/H681,"")</f>
        <v/>
      </c>
    </row>
    <row r="682">
      <c r="A682" s="4" t="inlineStr">
        <is>
          <t>444</t>
        </is>
      </c>
      <c r="B682" s="4" t="n">
        <v>4</v>
      </c>
      <c r="C682" s="4" t="inlineStr">
        <is>
          <t>antelope</t>
        </is>
      </c>
      <c r="D682" s="4" t="n">
        <v>2023</v>
      </c>
      <c r="E682" s="15" t="inlineStr">
        <is>
          <t>Draw</t>
        </is>
      </c>
      <c r="F682" s="5" t="n"/>
      <c r="G682" s="5" t="n"/>
      <c r="H682" s="5" t="n">
        <v>94</v>
      </c>
      <c r="I682" s="5" t="n">
        <v>60</v>
      </c>
      <c r="J682" s="5" t="n">
        <v>31</v>
      </c>
      <c r="K682" s="10">
        <f>IF(F682&gt;0,H682/F682,"")</f>
        <v/>
      </c>
      <c r="L682" s="16">
        <f>IF(AND(G682&gt;0,H682&gt;0),G682/H682,"")</f>
        <v/>
      </c>
    </row>
    <row r="683">
      <c r="A683" s="4" t="inlineStr">
        <is>
          <t>444</t>
        </is>
      </c>
      <c r="B683" s="4" t="n">
        <v>4</v>
      </c>
      <c r="C683" s="4" t="inlineStr">
        <is>
          <t>antelope</t>
        </is>
      </c>
      <c r="D683" s="4" t="n">
        <v>2024</v>
      </c>
      <c r="E683" s="15" t="inlineStr">
        <is>
          <t>Draw</t>
        </is>
      </c>
      <c r="F683" s="5" t="n">
        <v>214</v>
      </c>
      <c r="G683" s="5" t="n">
        <v>937</v>
      </c>
      <c r="H683" s="5" t="n">
        <v>102</v>
      </c>
      <c r="I683" s="5" t="n">
        <v>66</v>
      </c>
      <c r="J683" s="5" t="n">
        <v>36</v>
      </c>
      <c r="K683" s="10">
        <f>IF(F683&gt;0,H683/F683,"")</f>
        <v/>
      </c>
      <c r="L683" s="16">
        <f>IF(AND(G683&gt;0,H683&gt;0),G683/H683,"")</f>
        <v/>
      </c>
    </row>
    <row r="684">
      <c r="A684" s="4" t="inlineStr">
        <is>
          <t>444</t>
        </is>
      </c>
      <c r="B684" s="4" t="n">
        <v>4</v>
      </c>
      <c r="C684" s="4" t="inlineStr">
        <is>
          <t>antelope</t>
        </is>
      </c>
      <c r="D684" s="4" t="n">
        <v>2025</v>
      </c>
      <c r="E684" s="15" t="inlineStr">
        <is>
          <t>Draw</t>
        </is>
      </c>
      <c r="F684" s="5" t="n"/>
      <c r="G684" s="5" t="n"/>
      <c r="H684" s="5" t="n">
        <v>92</v>
      </c>
      <c r="I684" s="5" t="n">
        <v>65</v>
      </c>
      <c r="J684" s="5" t="n">
        <v>27</v>
      </c>
      <c r="K684" s="10">
        <f>IF(F684&gt;0,H684/F684,"")</f>
        <v/>
      </c>
      <c r="L684" s="16">
        <f>IF(AND(G684&gt;0,H684&gt;0),G684/H684,"")</f>
        <v/>
      </c>
    </row>
    <row r="685">
      <c r="A685" s="4" t="inlineStr">
        <is>
          <t>450</t>
        </is>
      </c>
      <c r="B685" s="4" t="n">
        <v>4</v>
      </c>
      <c r="C685" s="4" t="inlineStr">
        <is>
          <t>antelope</t>
        </is>
      </c>
      <c r="D685" s="4" t="n">
        <v>2004</v>
      </c>
      <c r="E685" s="15" t="inlineStr">
        <is>
          <t>Draw</t>
        </is>
      </c>
      <c r="F685" s="5" t="n">
        <v>732</v>
      </c>
      <c r="G685" s="5" t="n">
        <v>1704</v>
      </c>
      <c r="H685" s="5" t="n">
        <v>541</v>
      </c>
      <c r="I685" s="5" t="n">
        <v>165</v>
      </c>
      <c r="J685" s="5" t="n">
        <v>324</v>
      </c>
      <c r="K685" s="10">
        <f>IF(F685&gt;0,H685/F685,"")</f>
        <v/>
      </c>
      <c r="L685" s="16">
        <f>IF(AND(G685&gt;0,H685&gt;0),G685/H685,"")</f>
        <v/>
      </c>
    </row>
    <row r="686">
      <c r="A686" s="4" t="inlineStr">
        <is>
          <t>450</t>
        </is>
      </c>
      <c r="B686" s="4" t="n">
        <v>4</v>
      </c>
      <c r="C686" s="4" t="inlineStr">
        <is>
          <t>antelope</t>
        </is>
      </c>
      <c r="D686" s="4" t="n">
        <v>2005</v>
      </c>
      <c r="E686" s="15" t="inlineStr">
        <is>
          <t>Draw</t>
        </is>
      </c>
      <c r="F686" s="5" t="n">
        <v>725</v>
      </c>
      <c r="G686" s="5" t="n">
        <v>1868</v>
      </c>
      <c r="H686" s="5" t="n">
        <v>596</v>
      </c>
      <c r="I686" s="5" t="n">
        <v>203</v>
      </c>
      <c r="J686" s="5" t="n">
        <v>377</v>
      </c>
      <c r="K686" s="10">
        <f>IF(F686&gt;0,H686/F686,"")</f>
        <v/>
      </c>
      <c r="L686" s="16">
        <f>IF(AND(G686&gt;0,H686&gt;0),G686/H686,"")</f>
        <v/>
      </c>
    </row>
    <row r="687">
      <c r="A687" s="4" t="inlineStr">
        <is>
          <t>450</t>
        </is>
      </c>
      <c r="B687" s="4" t="n">
        <v>4</v>
      </c>
      <c r="C687" s="4" t="inlineStr">
        <is>
          <t>antelope</t>
        </is>
      </c>
      <c r="D687" s="4" t="n">
        <v>2006</v>
      </c>
      <c r="E687" s="15" t="inlineStr">
        <is>
          <t>Draw</t>
        </is>
      </c>
      <c r="F687" s="5" t="n">
        <v>634</v>
      </c>
      <c r="G687" s="5" t="n">
        <v>1915</v>
      </c>
      <c r="H687" s="5" t="n">
        <v>544</v>
      </c>
      <c r="I687" s="5" t="n">
        <v>165</v>
      </c>
      <c r="J687" s="5" t="n">
        <v>339</v>
      </c>
      <c r="K687" s="10">
        <f>IF(F687&gt;0,H687/F687,"")</f>
        <v/>
      </c>
      <c r="L687" s="16">
        <f>IF(AND(G687&gt;0,H687&gt;0),G687/H687,"")</f>
        <v/>
      </c>
    </row>
    <row r="688">
      <c r="A688" s="4" t="inlineStr">
        <is>
          <t>450</t>
        </is>
      </c>
      <c r="B688" s="4" t="n">
        <v>4</v>
      </c>
      <c r="C688" s="4" t="inlineStr">
        <is>
          <t>antelope</t>
        </is>
      </c>
      <c r="D688" s="4" t="n">
        <v>2007</v>
      </c>
      <c r="E688" s="15" t="inlineStr">
        <is>
          <t>Draw</t>
        </is>
      </c>
      <c r="F688" s="5" t="n">
        <v>469</v>
      </c>
      <c r="G688" s="5" t="n">
        <v>1249</v>
      </c>
      <c r="H688" s="5" t="n">
        <v>368</v>
      </c>
      <c r="I688" s="5" t="n">
        <v>113</v>
      </c>
      <c r="J688" s="5" t="n">
        <v>238</v>
      </c>
      <c r="K688" s="10">
        <f>IF(F688&gt;0,H688/F688,"")</f>
        <v/>
      </c>
      <c r="L688" s="16">
        <f>IF(AND(G688&gt;0,H688&gt;0),G688/H688,"")</f>
        <v/>
      </c>
    </row>
    <row r="689">
      <c r="A689" s="4" t="inlineStr">
        <is>
          <t>450</t>
        </is>
      </c>
      <c r="B689" s="4" t="n">
        <v>4</v>
      </c>
      <c r="C689" s="4" t="inlineStr">
        <is>
          <t>antelope</t>
        </is>
      </c>
      <c r="D689" s="4" t="n">
        <v>2008</v>
      </c>
      <c r="E689" s="15" t="inlineStr">
        <is>
          <t>Draw</t>
        </is>
      </c>
      <c r="F689" s="5" t="n">
        <v>398</v>
      </c>
      <c r="G689" s="5" t="n">
        <v>1191</v>
      </c>
      <c r="H689" s="5" t="n">
        <v>229</v>
      </c>
      <c r="I689" s="5" t="n">
        <v>97</v>
      </c>
      <c r="J689" s="5" t="n">
        <v>129</v>
      </c>
      <c r="K689" s="10">
        <f>IF(F689&gt;0,H689/F689,"")</f>
        <v/>
      </c>
      <c r="L689" s="16">
        <f>IF(AND(G689&gt;0,H689&gt;0),G689/H689,"")</f>
        <v/>
      </c>
    </row>
    <row r="690">
      <c r="A690" s="4" t="inlineStr">
        <is>
          <t>450</t>
        </is>
      </c>
      <c r="B690" s="4" t="n">
        <v>4</v>
      </c>
      <c r="C690" s="4" t="inlineStr">
        <is>
          <t>antelope</t>
        </is>
      </c>
      <c r="D690" s="4" t="n">
        <v>2009</v>
      </c>
      <c r="E690" s="15" t="inlineStr">
        <is>
          <t>Draw</t>
        </is>
      </c>
      <c r="F690" s="5" t="n">
        <v>452</v>
      </c>
      <c r="G690" s="5" t="n">
        <v>1395</v>
      </c>
      <c r="H690" s="5" t="n">
        <v>338</v>
      </c>
      <c r="I690" s="5" t="n">
        <v>139</v>
      </c>
      <c r="J690" s="5" t="n">
        <v>183</v>
      </c>
      <c r="K690" s="10">
        <f>IF(F690&gt;0,H690/F690,"")</f>
        <v/>
      </c>
      <c r="L690" s="16">
        <f>IF(AND(G690&gt;0,H690&gt;0),G690/H690,"")</f>
        <v/>
      </c>
    </row>
    <row r="691">
      <c r="A691" s="4" t="inlineStr">
        <is>
          <t>450</t>
        </is>
      </c>
      <c r="B691" s="4" t="n">
        <v>4</v>
      </c>
      <c r="C691" s="4" t="inlineStr">
        <is>
          <t>antelope</t>
        </is>
      </c>
      <c r="D691" s="4" t="n">
        <v>2010</v>
      </c>
      <c r="E691" s="15" t="inlineStr">
        <is>
          <t>Draw</t>
        </is>
      </c>
      <c r="F691" s="5" t="n">
        <v>363</v>
      </c>
      <c r="G691" s="5" t="n">
        <v>1180</v>
      </c>
      <c r="H691" s="5" t="n">
        <v>273</v>
      </c>
      <c r="I691" s="5" t="n">
        <v>111</v>
      </c>
      <c r="J691" s="5" t="n">
        <v>158</v>
      </c>
      <c r="K691" s="10">
        <f>IF(F691&gt;0,H691/F691,"")</f>
        <v/>
      </c>
      <c r="L691" s="16">
        <f>IF(AND(G691&gt;0,H691&gt;0),G691/H691,"")</f>
        <v/>
      </c>
    </row>
    <row r="692">
      <c r="A692" s="4" t="inlineStr">
        <is>
          <t>450</t>
        </is>
      </c>
      <c r="B692" s="4" t="n">
        <v>4</v>
      </c>
      <c r="C692" s="4" t="inlineStr">
        <is>
          <t>antelope</t>
        </is>
      </c>
      <c r="D692" s="4" t="n">
        <v>2011</v>
      </c>
      <c r="E692" s="15" t="inlineStr">
        <is>
          <t>Draw</t>
        </is>
      </c>
      <c r="F692" s="5" t="n">
        <v>308</v>
      </c>
      <c r="G692" s="5" t="n">
        <v>971</v>
      </c>
      <c r="H692" s="5" t="n">
        <v>206</v>
      </c>
      <c r="I692" s="5" t="n">
        <v>75</v>
      </c>
      <c r="J692" s="5" t="n">
        <v>124</v>
      </c>
      <c r="K692" s="10">
        <f>IF(F692&gt;0,H692/F692,"")</f>
        <v/>
      </c>
      <c r="L692" s="16">
        <f>IF(AND(G692&gt;0,H692&gt;0),G692/H692,"")</f>
        <v/>
      </c>
    </row>
    <row r="693">
      <c r="A693" s="4" t="inlineStr">
        <is>
          <t>450</t>
        </is>
      </c>
      <c r="B693" s="4" t="n">
        <v>4</v>
      </c>
      <c r="C693" s="4" t="inlineStr">
        <is>
          <t>antelope</t>
        </is>
      </c>
      <c r="D693" s="4" t="n">
        <v>2012</v>
      </c>
      <c r="E693" s="15" t="inlineStr">
        <is>
          <t>Draw</t>
        </is>
      </c>
      <c r="F693" s="5" t="n">
        <v>317</v>
      </c>
      <c r="G693" s="5" t="n">
        <v>923</v>
      </c>
      <c r="H693" s="5" t="n">
        <v>190</v>
      </c>
      <c r="I693" s="5" t="n">
        <v>88</v>
      </c>
      <c r="J693" s="5" t="n">
        <v>93</v>
      </c>
      <c r="K693" s="10">
        <f>IF(F693&gt;0,H693/F693,"")</f>
        <v/>
      </c>
      <c r="L693" s="16">
        <f>IF(AND(G693&gt;0,H693&gt;0),G693/H693,"")</f>
        <v/>
      </c>
    </row>
    <row r="694">
      <c r="A694" s="4" t="inlineStr">
        <is>
          <t>450</t>
        </is>
      </c>
      <c r="B694" s="4" t="n">
        <v>4</v>
      </c>
      <c r="C694" s="4" t="inlineStr">
        <is>
          <t>antelope</t>
        </is>
      </c>
      <c r="D694" s="4" t="n">
        <v>2013</v>
      </c>
      <c r="E694" s="15" t="inlineStr">
        <is>
          <t>Draw</t>
        </is>
      </c>
      <c r="F694" s="5" t="n"/>
      <c r="G694" s="5" t="n"/>
      <c r="H694" s="5" t="n">
        <v>146</v>
      </c>
      <c r="I694" s="5" t="n">
        <v>55</v>
      </c>
      <c r="J694" s="5" t="n">
        <v>92</v>
      </c>
      <c r="K694" s="10">
        <f>IF(F694&gt;0,H694/F694,"")</f>
        <v/>
      </c>
      <c r="L694" s="16">
        <f>IF(AND(G694&gt;0,H694&gt;0),G694/H694,"")</f>
        <v/>
      </c>
    </row>
    <row r="695">
      <c r="A695" s="4" t="inlineStr">
        <is>
          <t>450</t>
        </is>
      </c>
      <c r="B695" s="4" t="n">
        <v>4</v>
      </c>
      <c r="C695" s="4" t="inlineStr">
        <is>
          <t>antelope</t>
        </is>
      </c>
      <c r="D695" s="4" t="n">
        <v>2014</v>
      </c>
      <c r="E695" s="15" t="inlineStr">
        <is>
          <t>Draw</t>
        </is>
      </c>
      <c r="F695" s="5" t="n">
        <v>285</v>
      </c>
      <c r="G695" s="5" t="n">
        <v>739</v>
      </c>
      <c r="H695" s="5" t="n">
        <v>170</v>
      </c>
      <c r="I695" s="5" t="n">
        <v>60</v>
      </c>
      <c r="J695" s="5" t="n">
        <v>101</v>
      </c>
      <c r="K695" s="10">
        <f>IF(F695&gt;0,H695/F695,"")</f>
        <v/>
      </c>
      <c r="L695" s="16">
        <f>IF(AND(G695&gt;0,H695&gt;0),G695/H695,"")</f>
        <v/>
      </c>
    </row>
    <row r="696">
      <c r="A696" s="4" t="inlineStr">
        <is>
          <t>450</t>
        </is>
      </c>
      <c r="B696" s="4" t="n">
        <v>4</v>
      </c>
      <c r="C696" s="4" t="inlineStr">
        <is>
          <t>antelope</t>
        </is>
      </c>
      <c r="D696" s="4" t="n">
        <v>2015</v>
      </c>
      <c r="E696" s="15" t="inlineStr">
        <is>
          <t>Draw</t>
        </is>
      </c>
      <c r="F696" s="5" t="n">
        <v>252</v>
      </c>
      <c r="G696" s="5" t="n">
        <v>870</v>
      </c>
      <c r="H696" s="5" t="n">
        <v>175</v>
      </c>
      <c r="I696" s="5" t="n">
        <v>61</v>
      </c>
      <c r="J696" s="5" t="n">
        <v>110</v>
      </c>
      <c r="K696" s="10">
        <f>IF(F696&gt;0,H696/F696,"")</f>
        <v/>
      </c>
      <c r="L696" s="16">
        <f>IF(AND(G696&gt;0,H696&gt;0),G696/H696,"")</f>
        <v/>
      </c>
    </row>
    <row r="697">
      <c r="A697" s="4" t="inlineStr">
        <is>
          <t>450</t>
        </is>
      </c>
      <c r="B697" s="4" t="n">
        <v>4</v>
      </c>
      <c r="C697" s="4" t="inlineStr">
        <is>
          <t>antelope</t>
        </is>
      </c>
      <c r="D697" s="4" t="n">
        <v>2016</v>
      </c>
      <c r="E697" s="15" t="inlineStr">
        <is>
          <t>Draw</t>
        </is>
      </c>
      <c r="F697" s="5" t="n"/>
      <c r="G697" s="5" t="n"/>
      <c r="H697" s="5" t="n">
        <v>178</v>
      </c>
      <c r="I697" s="5" t="n">
        <v>87</v>
      </c>
      <c r="J697" s="5" t="n">
        <v>81</v>
      </c>
      <c r="K697" s="10">
        <f>IF(F697&gt;0,H697/F697,"")</f>
        <v/>
      </c>
      <c r="L697" s="16">
        <f>IF(AND(G697&gt;0,H697&gt;0),G697/H697,"")</f>
        <v/>
      </c>
    </row>
    <row r="698">
      <c r="A698" s="4" t="inlineStr">
        <is>
          <t>450</t>
        </is>
      </c>
      <c r="B698" s="4" t="n">
        <v>4</v>
      </c>
      <c r="C698" s="4" t="inlineStr">
        <is>
          <t>antelope</t>
        </is>
      </c>
      <c r="D698" s="4" t="n">
        <v>2017</v>
      </c>
      <c r="E698" s="15" t="inlineStr">
        <is>
          <t>Draw</t>
        </is>
      </c>
      <c r="F698" s="5" t="n"/>
      <c r="G698" s="5" t="n"/>
      <c r="H698" s="5" t="n">
        <v>193</v>
      </c>
      <c r="I698" s="5" t="n">
        <v>80</v>
      </c>
      <c r="J698" s="5" t="n">
        <v>107</v>
      </c>
      <c r="K698" s="10">
        <f>IF(F698&gt;0,H698/F698,"")</f>
        <v/>
      </c>
      <c r="L698" s="16">
        <f>IF(AND(G698&gt;0,H698&gt;0),G698/H698,"")</f>
        <v/>
      </c>
    </row>
    <row r="699">
      <c r="A699" s="4" t="inlineStr">
        <is>
          <t>450</t>
        </is>
      </c>
      <c r="B699" s="4" t="n">
        <v>4</v>
      </c>
      <c r="C699" s="4" t="inlineStr">
        <is>
          <t>antelope</t>
        </is>
      </c>
      <c r="D699" s="4" t="n">
        <v>2018</v>
      </c>
      <c r="E699" s="15" t="inlineStr">
        <is>
          <t>Draw</t>
        </is>
      </c>
      <c r="F699" s="5" t="n">
        <v>255</v>
      </c>
      <c r="G699" s="5" t="n">
        <v>708</v>
      </c>
      <c r="H699" s="5" t="n">
        <v>143</v>
      </c>
      <c r="I699" s="5" t="n">
        <v>54</v>
      </c>
      <c r="J699" s="5" t="n">
        <v>88</v>
      </c>
      <c r="K699" s="10">
        <f>IF(F699&gt;0,H699/F699,"")</f>
        <v/>
      </c>
      <c r="L699" s="16">
        <f>IF(AND(G699&gt;0,H699&gt;0),G699/H699,"")</f>
        <v/>
      </c>
    </row>
    <row r="700">
      <c r="A700" s="4" t="inlineStr">
        <is>
          <t>450</t>
        </is>
      </c>
      <c r="B700" s="4" t="n">
        <v>4</v>
      </c>
      <c r="C700" s="4" t="inlineStr">
        <is>
          <t>antelope</t>
        </is>
      </c>
      <c r="D700" s="4" t="n">
        <v>2019</v>
      </c>
      <c r="E700" s="15" t="inlineStr">
        <is>
          <t>Draw</t>
        </is>
      </c>
      <c r="F700" s="5" t="n"/>
      <c r="G700" s="5" t="n"/>
      <c r="H700" s="5" t="n">
        <v>25</v>
      </c>
      <c r="I700" s="5" t="n">
        <v>13</v>
      </c>
      <c r="J700" s="5" t="n">
        <v>12</v>
      </c>
      <c r="K700" s="10">
        <f>IF(F700&gt;0,H700/F700,"")</f>
        <v/>
      </c>
      <c r="L700" s="16">
        <f>IF(AND(G700&gt;0,H700&gt;0),G700/H700,"")</f>
        <v/>
      </c>
    </row>
    <row r="701">
      <c r="A701" s="4" t="inlineStr">
        <is>
          <t>450</t>
        </is>
      </c>
      <c r="B701" s="4" t="n">
        <v>4</v>
      </c>
      <c r="C701" s="4" t="inlineStr">
        <is>
          <t>antelope</t>
        </is>
      </c>
      <c r="D701" s="4" t="n">
        <v>2020</v>
      </c>
      <c r="E701" s="15" t="inlineStr">
        <is>
          <t>Draw</t>
        </is>
      </c>
      <c r="F701" s="5" t="n">
        <v>61</v>
      </c>
      <c r="G701" s="5" t="n">
        <v>140</v>
      </c>
      <c r="H701" s="5" t="n">
        <v>35</v>
      </c>
      <c r="I701" s="5" t="n">
        <v>14</v>
      </c>
      <c r="J701" s="5" t="n">
        <v>21</v>
      </c>
      <c r="K701" s="10">
        <f>IF(F701&gt;0,H701/F701,"")</f>
        <v/>
      </c>
      <c r="L701" s="16">
        <f>IF(AND(G701&gt;0,H701&gt;0),G701/H701,"")</f>
        <v/>
      </c>
    </row>
    <row r="702">
      <c r="A702" s="4" t="inlineStr">
        <is>
          <t>450</t>
        </is>
      </c>
      <c r="B702" s="4" t="n">
        <v>4</v>
      </c>
      <c r="C702" s="4" t="inlineStr">
        <is>
          <t>antelope</t>
        </is>
      </c>
      <c r="D702" s="4" t="n">
        <v>2021</v>
      </c>
      <c r="E702" s="15" t="inlineStr">
        <is>
          <t>Draw</t>
        </is>
      </c>
      <c r="F702" s="5" t="n"/>
      <c r="G702" s="5" t="n"/>
      <c r="H702" s="5" t="n">
        <v>49</v>
      </c>
      <c r="I702" s="5" t="n">
        <v>25</v>
      </c>
      <c r="J702" s="5" t="n">
        <v>20</v>
      </c>
      <c r="K702" s="10">
        <f>IF(F702&gt;0,H702/F702,"")</f>
        <v/>
      </c>
      <c r="L702" s="16">
        <f>IF(AND(G702&gt;0,H702&gt;0),G702/H702,"")</f>
        <v/>
      </c>
    </row>
    <row r="703">
      <c r="A703" s="4" t="inlineStr">
        <is>
          <t>450</t>
        </is>
      </c>
      <c r="B703" s="4" t="n">
        <v>4</v>
      </c>
      <c r="C703" s="4" t="inlineStr">
        <is>
          <t>antelope</t>
        </is>
      </c>
      <c r="D703" s="4" t="n">
        <v>2022</v>
      </c>
      <c r="E703" s="15" t="inlineStr">
        <is>
          <t>Draw</t>
        </is>
      </c>
      <c r="F703" s="5" t="n">
        <v>83</v>
      </c>
      <c r="G703" s="5" t="n">
        <v>249</v>
      </c>
      <c r="H703" s="5" t="n">
        <v>51</v>
      </c>
      <c r="I703" s="5" t="n">
        <v>28</v>
      </c>
      <c r="J703" s="5" t="n">
        <v>21</v>
      </c>
      <c r="K703" s="10">
        <f>IF(F703&gt;0,H703/F703,"")</f>
        <v/>
      </c>
      <c r="L703" s="16">
        <f>IF(AND(G703&gt;0,H703&gt;0),G703/H703,"")</f>
        <v/>
      </c>
    </row>
    <row r="704">
      <c r="A704" s="4" t="inlineStr">
        <is>
          <t>450</t>
        </is>
      </c>
      <c r="B704" s="4" t="n">
        <v>4</v>
      </c>
      <c r="C704" s="4" t="inlineStr">
        <is>
          <t>antelope</t>
        </is>
      </c>
      <c r="D704" s="4" t="n">
        <v>2023</v>
      </c>
      <c r="E704" s="15" t="inlineStr">
        <is>
          <t>Draw</t>
        </is>
      </c>
      <c r="F704" s="5" t="n"/>
      <c r="G704" s="5" t="n"/>
      <c r="H704" s="5" t="n">
        <v>58</v>
      </c>
      <c r="I704" s="5" t="n">
        <v>34</v>
      </c>
      <c r="J704" s="5" t="n">
        <v>22</v>
      </c>
      <c r="K704" s="10">
        <f>IF(F704&gt;0,H704/F704,"")</f>
        <v/>
      </c>
      <c r="L704" s="16">
        <f>IF(AND(G704&gt;0,H704&gt;0),G704/H704,"")</f>
        <v/>
      </c>
    </row>
    <row r="705">
      <c r="A705" s="4" t="inlineStr">
        <is>
          <t>450</t>
        </is>
      </c>
      <c r="B705" s="4" t="n">
        <v>4</v>
      </c>
      <c r="C705" s="4" t="inlineStr">
        <is>
          <t>antelope</t>
        </is>
      </c>
      <c r="D705" s="4" t="n">
        <v>2024</v>
      </c>
      <c r="E705" s="15" t="inlineStr">
        <is>
          <t>Draw</t>
        </is>
      </c>
      <c r="F705" s="5" t="n">
        <v>130</v>
      </c>
      <c r="G705" s="5" t="n">
        <v>454</v>
      </c>
      <c r="H705" s="5" t="n">
        <v>72</v>
      </c>
      <c r="I705" s="5" t="n">
        <v>42</v>
      </c>
      <c r="J705" s="5" t="n">
        <v>28</v>
      </c>
      <c r="K705" s="10">
        <f>IF(F705&gt;0,H705/F705,"")</f>
        <v/>
      </c>
      <c r="L705" s="16">
        <f>IF(AND(G705&gt;0,H705&gt;0),G705/H705,"")</f>
        <v/>
      </c>
    </row>
    <row r="706">
      <c r="A706" s="4" t="inlineStr">
        <is>
          <t>450</t>
        </is>
      </c>
      <c r="B706" s="4" t="n">
        <v>4</v>
      </c>
      <c r="C706" s="4" t="inlineStr">
        <is>
          <t>antelope</t>
        </is>
      </c>
      <c r="D706" s="4" t="n">
        <v>2025</v>
      </c>
      <c r="E706" s="15" t="inlineStr">
        <is>
          <t>Draw</t>
        </is>
      </c>
      <c r="F706" s="5" t="n"/>
      <c r="G706" s="5" t="n"/>
      <c r="H706" s="5" t="n">
        <v>98</v>
      </c>
      <c r="I706" s="5" t="n">
        <v>58</v>
      </c>
      <c r="J706" s="5" t="n">
        <v>40</v>
      </c>
      <c r="K706" s="10">
        <f>IF(F706&gt;0,H706/F706,"")</f>
        <v/>
      </c>
      <c r="L706" s="16">
        <f>IF(AND(G706&gt;0,H706&gt;0),G706/H706,"")</f>
        <v/>
      </c>
    </row>
    <row r="707">
      <c r="A707" s="4" t="inlineStr">
        <is>
          <t>455</t>
        </is>
      </c>
      <c r="B707" s="4" t="n">
        <v>4</v>
      </c>
      <c r="C707" s="4" t="inlineStr">
        <is>
          <t>antelope</t>
        </is>
      </c>
      <c r="D707" s="4" t="n">
        <v>2004</v>
      </c>
      <c r="E707" s="15" t="inlineStr">
        <is>
          <t>Draw</t>
        </is>
      </c>
      <c r="F707" s="5" t="n">
        <v>10</v>
      </c>
      <c r="G707" s="5" t="n">
        <v>74</v>
      </c>
      <c r="H707" s="5" t="n">
        <v>1</v>
      </c>
      <c r="I707" s="5" t="n">
        <v>1</v>
      </c>
      <c r="J707" s="5" t="n">
        <v>0</v>
      </c>
      <c r="K707" s="10">
        <f>IF(F707&gt;0,H707/F707,"")</f>
        <v/>
      </c>
      <c r="L707" s="16">
        <f>IF(AND(G707&gt;0,H707&gt;0),G707/H707,"")</f>
        <v/>
      </c>
    </row>
    <row r="708">
      <c r="A708" s="4" t="inlineStr">
        <is>
          <t>455</t>
        </is>
      </c>
      <c r="B708" s="4" t="n">
        <v>4</v>
      </c>
      <c r="C708" s="4" t="inlineStr">
        <is>
          <t>antelope</t>
        </is>
      </c>
      <c r="D708" s="4" t="n">
        <v>2005</v>
      </c>
      <c r="E708" s="15" t="inlineStr">
        <is>
          <t>Draw</t>
        </is>
      </c>
      <c r="F708" s="5" t="n">
        <v>9</v>
      </c>
      <c r="G708" s="5" t="n">
        <v>15</v>
      </c>
      <c r="H708" s="5" t="n">
        <v>7</v>
      </c>
      <c r="I708" s="5" t="n">
        <v>5</v>
      </c>
      <c r="J708" s="5" t="n">
        <v>1</v>
      </c>
      <c r="K708" s="10">
        <f>IF(F708&gt;0,H708/F708,"")</f>
        <v/>
      </c>
      <c r="L708" s="16">
        <f>IF(AND(G708&gt;0,H708&gt;0),G708/H708,"")</f>
        <v/>
      </c>
    </row>
    <row r="709">
      <c r="A709" s="4" t="inlineStr">
        <is>
          <t>455</t>
        </is>
      </c>
      <c r="B709" s="4" t="n">
        <v>4</v>
      </c>
      <c r="C709" s="4" t="inlineStr">
        <is>
          <t>antelope</t>
        </is>
      </c>
      <c r="D709" s="4" t="n">
        <v>2006</v>
      </c>
      <c r="E709" s="15" t="inlineStr">
        <is>
          <t>Draw</t>
        </is>
      </c>
      <c r="F709" s="5" t="n">
        <v>10</v>
      </c>
      <c r="G709" s="5" t="n">
        <v>18</v>
      </c>
      <c r="H709" s="5" t="n">
        <v>5</v>
      </c>
      <c r="I709" s="5" t="n">
        <v>5</v>
      </c>
      <c r="J709" s="5" t="n">
        <v>0</v>
      </c>
      <c r="K709" s="10">
        <f>IF(F709&gt;0,H709/F709,"")</f>
        <v/>
      </c>
      <c r="L709" s="16">
        <f>IF(AND(G709&gt;0,H709&gt;0),G709/H709,"")</f>
        <v/>
      </c>
    </row>
    <row r="710">
      <c r="A710" s="4" t="inlineStr">
        <is>
          <t>455</t>
        </is>
      </c>
      <c r="B710" s="4" t="n">
        <v>4</v>
      </c>
      <c r="C710" s="4" t="inlineStr">
        <is>
          <t>antelope</t>
        </is>
      </c>
      <c r="D710" s="4" t="n">
        <v>2007</v>
      </c>
      <c r="E710" s="15" t="inlineStr">
        <is>
          <t>Draw</t>
        </is>
      </c>
      <c r="F710" s="5" t="n">
        <v>19</v>
      </c>
      <c r="G710" s="5" t="n">
        <v>52</v>
      </c>
      <c r="H710" s="5" t="n">
        <v>5</v>
      </c>
      <c r="I710" s="5" t="n">
        <v>5</v>
      </c>
      <c r="J710" s="5" t="n">
        <v>0</v>
      </c>
      <c r="K710" s="10">
        <f>IF(F710&gt;0,H710/F710,"")</f>
        <v/>
      </c>
      <c r="L710" s="16">
        <f>IF(AND(G710&gt;0,H710&gt;0),G710/H710,"")</f>
        <v/>
      </c>
    </row>
    <row r="711">
      <c r="A711" s="4" t="inlineStr">
        <is>
          <t>455</t>
        </is>
      </c>
      <c r="B711" s="4" t="n">
        <v>4</v>
      </c>
      <c r="C711" s="4" t="inlineStr">
        <is>
          <t>antelope</t>
        </is>
      </c>
      <c r="D711" s="4" t="n">
        <v>2008</v>
      </c>
      <c r="E711" s="15" t="inlineStr">
        <is>
          <t>Draw</t>
        </is>
      </c>
      <c r="F711" s="5" t="n">
        <v>13</v>
      </c>
      <c r="G711" s="5" t="n">
        <v>35</v>
      </c>
      <c r="H711" s="5" t="n">
        <v>3</v>
      </c>
      <c r="I711" s="5" t="n">
        <v>3</v>
      </c>
      <c r="J711" s="5" t="n">
        <v>0</v>
      </c>
      <c r="K711" s="10">
        <f>IF(F711&gt;0,H711/F711,"")</f>
        <v/>
      </c>
      <c r="L711" s="16">
        <f>IF(AND(G711&gt;0,H711&gt;0),G711/H711,"")</f>
        <v/>
      </c>
    </row>
    <row r="712">
      <c r="A712" s="4" t="inlineStr">
        <is>
          <t>455</t>
        </is>
      </c>
      <c r="B712" s="4" t="n">
        <v>4</v>
      </c>
      <c r="C712" s="4" t="inlineStr">
        <is>
          <t>antelope</t>
        </is>
      </c>
      <c r="D712" s="4" t="n">
        <v>2009</v>
      </c>
      <c r="E712" s="15" t="inlineStr">
        <is>
          <t>Draw</t>
        </is>
      </c>
      <c r="F712" s="5" t="n">
        <v>18</v>
      </c>
      <c r="G712" s="5" t="n">
        <v>102</v>
      </c>
      <c r="H712" s="5" t="n">
        <v>8</v>
      </c>
      <c r="I712" s="5" t="n">
        <v>8</v>
      </c>
      <c r="J712" s="5" t="n">
        <v>0</v>
      </c>
      <c r="K712" s="10">
        <f>IF(F712&gt;0,H712/F712,"")</f>
        <v/>
      </c>
      <c r="L712" s="16">
        <f>IF(AND(G712&gt;0,H712&gt;0),G712/H712,"")</f>
        <v/>
      </c>
    </row>
    <row r="713">
      <c r="A713" s="4" t="inlineStr">
        <is>
          <t>455</t>
        </is>
      </c>
      <c r="B713" s="4" t="n">
        <v>4</v>
      </c>
      <c r="C713" s="4" t="inlineStr">
        <is>
          <t>antelope</t>
        </is>
      </c>
      <c r="D713" s="4" t="n">
        <v>2010</v>
      </c>
      <c r="E713" s="15" t="inlineStr">
        <is>
          <t>Draw</t>
        </is>
      </c>
      <c r="F713" s="5" t="n">
        <v>7</v>
      </c>
      <c r="G713" s="5" t="n">
        <v>23</v>
      </c>
      <c r="H713" s="5" t="n">
        <v>3</v>
      </c>
      <c r="I713" s="5" t="n">
        <v>1</v>
      </c>
      <c r="J713" s="5" t="n">
        <v>1</v>
      </c>
      <c r="K713" s="10">
        <f>IF(F713&gt;0,H713/F713,"")</f>
        <v/>
      </c>
      <c r="L713" s="16">
        <f>IF(AND(G713&gt;0,H713&gt;0),G713/H713,"")</f>
        <v/>
      </c>
    </row>
    <row r="714">
      <c r="A714" s="4" t="inlineStr">
        <is>
          <t>455</t>
        </is>
      </c>
      <c r="B714" s="4" t="n">
        <v>4</v>
      </c>
      <c r="C714" s="4" t="inlineStr">
        <is>
          <t>antelope</t>
        </is>
      </c>
      <c r="D714" s="4" t="n">
        <v>2011</v>
      </c>
      <c r="E714" s="15" t="inlineStr">
        <is>
          <t>Draw</t>
        </is>
      </c>
      <c r="F714" s="5" t="n">
        <v>17</v>
      </c>
      <c r="G714" s="5" t="n">
        <v>32</v>
      </c>
      <c r="H714" s="5" t="n">
        <v>8</v>
      </c>
      <c r="I714" s="5" t="n">
        <v>8</v>
      </c>
      <c r="J714" s="5" t="n">
        <v>0</v>
      </c>
      <c r="K714" s="10">
        <f>IF(F714&gt;0,H714/F714,"")</f>
        <v/>
      </c>
      <c r="L714" s="16">
        <f>IF(AND(G714&gt;0,H714&gt;0),G714/H714,"")</f>
        <v/>
      </c>
    </row>
    <row r="715">
      <c r="A715" s="4" t="inlineStr">
        <is>
          <t>455</t>
        </is>
      </c>
      <c r="B715" s="4" t="n">
        <v>4</v>
      </c>
      <c r="C715" s="4" t="inlineStr">
        <is>
          <t>antelope</t>
        </is>
      </c>
      <c r="D715" s="4" t="n">
        <v>2012</v>
      </c>
      <c r="E715" s="15" t="inlineStr">
        <is>
          <t>Draw</t>
        </is>
      </c>
      <c r="F715" s="5" t="n">
        <v>8</v>
      </c>
      <c r="G715" s="5" t="n">
        <v>19</v>
      </c>
      <c r="H715" s="5" t="n">
        <v>5</v>
      </c>
      <c r="I715" s="5" t="n">
        <v>4</v>
      </c>
      <c r="J715" s="5" t="n">
        <v>1</v>
      </c>
      <c r="K715" s="10">
        <f>IF(F715&gt;0,H715/F715,"")</f>
        <v/>
      </c>
      <c r="L715" s="16">
        <f>IF(AND(G715&gt;0,H715&gt;0),G715/H715,"")</f>
        <v/>
      </c>
    </row>
    <row r="716">
      <c r="A716" s="4" t="inlineStr">
        <is>
          <t>455</t>
        </is>
      </c>
      <c r="B716" s="4" t="n">
        <v>4</v>
      </c>
      <c r="C716" s="4" t="inlineStr">
        <is>
          <t>antelope</t>
        </is>
      </c>
      <c r="D716" s="4" t="n">
        <v>2013</v>
      </c>
      <c r="E716" s="15" t="inlineStr">
        <is>
          <t>Draw</t>
        </is>
      </c>
      <c r="F716" s="5" t="n"/>
      <c r="G716" s="5" t="n"/>
      <c r="H716" s="5" t="n">
        <v>8</v>
      </c>
      <c r="I716" s="5" t="n">
        <v>4</v>
      </c>
      <c r="J716" s="5" t="n">
        <v>3</v>
      </c>
      <c r="K716" s="10">
        <f>IF(F716&gt;0,H716/F716,"")</f>
        <v/>
      </c>
      <c r="L716" s="16">
        <f>IF(AND(G716&gt;0,H716&gt;0),G716/H716,"")</f>
        <v/>
      </c>
    </row>
    <row r="717">
      <c r="A717" s="4" t="inlineStr">
        <is>
          <t>455</t>
        </is>
      </c>
      <c r="B717" s="4" t="n">
        <v>4</v>
      </c>
      <c r="C717" s="4" t="inlineStr">
        <is>
          <t>antelope</t>
        </is>
      </c>
      <c r="D717" s="4" t="n">
        <v>2014</v>
      </c>
      <c r="E717" s="15" t="inlineStr">
        <is>
          <t>Draw</t>
        </is>
      </c>
      <c r="F717" s="5" t="n">
        <v>16</v>
      </c>
      <c r="G717" s="5" t="n">
        <v>44</v>
      </c>
      <c r="H717" s="5" t="n">
        <v>3</v>
      </c>
      <c r="I717" s="5" t="n">
        <v>3</v>
      </c>
      <c r="J717" s="5" t="n">
        <v>0</v>
      </c>
      <c r="K717" s="10">
        <f>IF(F717&gt;0,H717/F717,"")</f>
        <v/>
      </c>
      <c r="L717" s="16">
        <f>IF(AND(G717&gt;0,H717&gt;0),G717/H717,"")</f>
        <v/>
      </c>
    </row>
    <row r="718">
      <c r="A718" s="4" t="inlineStr">
        <is>
          <t>455</t>
        </is>
      </c>
      <c r="B718" s="4" t="n">
        <v>4</v>
      </c>
      <c r="C718" s="4" t="inlineStr">
        <is>
          <t>antelope</t>
        </is>
      </c>
      <c r="D718" s="4" t="n">
        <v>2015</v>
      </c>
      <c r="E718" s="15" t="inlineStr">
        <is>
          <t>Draw</t>
        </is>
      </c>
      <c r="F718" s="5" t="n">
        <v>21</v>
      </c>
      <c r="G718" s="5" t="n">
        <v>55</v>
      </c>
      <c r="H718" s="5" t="n">
        <v>7</v>
      </c>
      <c r="I718" s="5" t="n">
        <v>5</v>
      </c>
      <c r="J718" s="5" t="n">
        <v>2</v>
      </c>
      <c r="K718" s="10">
        <f>IF(F718&gt;0,H718/F718,"")</f>
        <v/>
      </c>
      <c r="L718" s="16">
        <f>IF(AND(G718&gt;0,H718&gt;0),G718/H718,"")</f>
        <v/>
      </c>
    </row>
    <row r="719">
      <c r="A719" s="4" t="inlineStr">
        <is>
          <t>455</t>
        </is>
      </c>
      <c r="B719" s="4" t="n">
        <v>4</v>
      </c>
      <c r="C719" s="4" t="inlineStr">
        <is>
          <t>antelope</t>
        </is>
      </c>
      <c r="D719" s="4" t="n">
        <v>2016</v>
      </c>
      <c r="E719" s="15" t="inlineStr">
        <is>
          <t>Draw</t>
        </is>
      </c>
      <c r="F719" s="5" t="n"/>
      <c r="G719" s="5" t="n"/>
      <c r="H719" s="5" t="n">
        <v>11</v>
      </c>
      <c r="I719" s="5" t="n">
        <v>8</v>
      </c>
      <c r="J719" s="5" t="n">
        <v>3</v>
      </c>
      <c r="K719" s="10">
        <f>IF(F719&gt;0,H719/F719,"")</f>
        <v/>
      </c>
      <c r="L719" s="16">
        <f>IF(AND(G719&gt;0,H719&gt;0),G719/H719,"")</f>
        <v/>
      </c>
    </row>
    <row r="720">
      <c r="A720" s="4" t="inlineStr">
        <is>
          <t>455</t>
        </is>
      </c>
      <c r="B720" s="4" t="n">
        <v>4</v>
      </c>
      <c r="C720" s="4" t="inlineStr">
        <is>
          <t>antelope</t>
        </is>
      </c>
      <c r="D720" s="4" t="n">
        <v>2017</v>
      </c>
      <c r="E720" s="15" t="inlineStr">
        <is>
          <t>Draw</t>
        </is>
      </c>
      <c r="F720" s="5" t="n"/>
      <c r="G720" s="5" t="n"/>
      <c r="H720" s="5" t="n">
        <v>4</v>
      </c>
      <c r="I720" s="5" t="n">
        <v>3</v>
      </c>
      <c r="J720" s="5" t="n">
        <v>1</v>
      </c>
      <c r="K720" s="10">
        <f>IF(F720&gt;0,H720/F720,"")</f>
        <v/>
      </c>
      <c r="L720" s="16">
        <f>IF(AND(G720&gt;0,H720&gt;0),G720/H720,"")</f>
        <v/>
      </c>
    </row>
    <row r="721">
      <c r="A721" s="4" t="inlineStr">
        <is>
          <t>455</t>
        </is>
      </c>
      <c r="B721" s="4" t="n">
        <v>4</v>
      </c>
      <c r="C721" s="4" t="inlineStr">
        <is>
          <t>antelope</t>
        </is>
      </c>
      <c r="D721" s="4" t="n">
        <v>2018</v>
      </c>
      <c r="E721" s="15" t="inlineStr">
        <is>
          <t>Draw</t>
        </is>
      </c>
      <c r="F721" s="5" t="n">
        <v>15</v>
      </c>
      <c r="G721" s="5" t="n">
        <v>46</v>
      </c>
      <c r="H721" s="5" t="n">
        <v>0</v>
      </c>
      <c r="I721" s="5" t="n">
        <v>0</v>
      </c>
      <c r="J721" s="5" t="n">
        <v>0</v>
      </c>
      <c r="K721" s="10">
        <f>IF(F721&gt;0,H721/F721,"")</f>
        <v/>
      </c>
      <c r="L721" s="16">
        <f>IF(AND(G721&gt;0,H721&gt;0),G721/H721,"")</f>
        <v/>
      </c>
    </row>
    <row r="722">
      <c r="A722" s="4" t="inlineStr">
        <is>
          <t>455</t>
        </is>
      </c>
      <c r="B722" s="4" t="n">
        <v>4</v>
      </c>
      <c r="C722" s="4" t="inlineStr">
        <is>
          <t>antelope</t>
        </is>
      </c>
      <c r="D722" s="4" t="n">
        <v>2019</v>
      </c>
      <c r="E722" s="15" t="inlineStr">
        <is>
          <t>Draw</t>
        </is>
      </c>
      <c r="F722" s="5" t="n"/>
      <c r="G722" s="5" t="n"/>
      <c r="H722" s="5" t="n">
        <v>0</v>
      </c>
      <c r="I722" s="5" t="n">
        <v>0</v>
      </c>
      <c r="J722" s="5" t="n">
        <v>0</v>
      </c>
      <c r="K722" s="10">
        <f>IF(F722&gt;0,H722/F722,"")</f>
        <v/>
      </c>
      <c r="L722" s="16">
        <f>IF(AND(G722&gt;0,H722&gt;0),G722/H722,"")</f>
        <v/>
      </c>
    </row>
    <row r="723">
      <c r="A723" s="4" t="inlineStr">
        <is>
          <t>455</t>
        </is>
      </c>
      <c r="B723" s="4" t="n">
        <v>4</v>
      </c>
      <c r="C723" s="4" t="inlineStr">
        <is>
          <t>antelope</t>
        </is>
      </c>
      <c r="D723" s="4" t="n">
        <v>2020</v>
      </c>
      <c r="E723" s="15" t="inlineStr">
        <is>
          <t>Draw</t>
        </is>
      </c>
      <c r="F723" s="5" t="n">
        <v>8</v>
      </c>
      <c r="G723" s="5" t="n">
        <v>35</v>
      </c>
      <c r="H723" s="5" t="n">
        <v>3</v>
      </c>
      <c r="I723" s="5" t="n">
        <v>3</v>
      </c>
      <c r="J723" s="5" t="n">
        <v>0</v>
      </c>
      <c r="K723" s="10">
        <f>IF(F723&gt;0,H723/F723,"")</f>
        <v/>
      </c>
      <c r="L723" s="16">
        <f>IF(AND(G723&gt;0,H723&gt;0),G723/H723,"")</f>
        <v/>
      </c>
    </row>
    <row r="724">
      <c r="A724" s="4" t="inlineStr">
        <is>
          <t>455</t>
        </is>
      </c>
      <c r="B724" s="4" t="n">
        <v>4</v>
      </c>
      <c r="C724" s="4" t="inlineStr">
        <is>
          <t>antelope</t>
        </is>
      </c>
      <c r="D724" s="4" t="n">
        <v>2021</v>
      </c>
      <c r="E724" s="15" t="inlineStr">
        <is>
          <t>Draw</t>
        </is>
      </c>
      <c r="F724" s="5" t="n"/>
      <c r="G724" s="5" t="n"/>
      <c r="H724" s="5" t="n">
        <v>2</v>
      </c>
      <c r="I724" s="5" t="n">
        <v>2</v>
      </c>
      <c r="J724" s="5" t="n">
        <v>0</v>
      </c>
      <c r="K724" s="10">
        <f>IF(F724&gt;0,H724/F724,"")</f>
        <v/>
      </c>
      <c r="L724" s="16">
        <f>IF(AND(G724&gt;0,H724&gt;0),G724/H724,"")</f>
        <v/>
      </c>
    </row>
    <row r="725">
      <c r="A725" s="4" t="inlineStr">
        <is>
          <t>455</t>
        </is>
      </c>
      <c r="B725" s="4" t="n">
        <v>4</v>
      </c>
      <c r="C725" s="4" t="inlineStr">
        <is>
          <t>antelope</t>
        </is>
      </c>
      <c r="D725" s="4" t="n">
        <v>2022</v>
      </c>
      <c r="E725" s="15" t="inlineStr">
        <is>
          <t>Draw</t>
        </is>
      </c>
      <c r="F725" s="5" t="n">
        <v>2</v>
      </c>
      <c r="G725" s="5" t="n">
        <v>4</v>
      </c>
      <c r="H725" s="5" t="n">
        <v>2</v>
      </c>
      <c r="I725" s="5" t="n">
        <v>2</v>
      </c>
      <c r="J725" s="5" t="n">
        <v>0</v>
      </c>
      <c r="K725" s="10">
        <f>IF(F725&gt;0,H725/F725,"")</f>
        <v/>
      </c>
      <c r="L725" s="16">
        <f>IF(AND(G725&gt;0,H725&gt;0),G725/H725,"")</f>
        <v/>
      </c>
    </row>
    <row r="726">
      <c r="A726" s="4" t="inlineStr">
        <is>
          <t>455</t>
        </is>
      </c>
      <c r="B726" s="4" t="n">
        <v>4</v>
      </c>
      <c r="C726" s="4" t="inlineStr">
        <is>
          <t>antelope</t>
        </is>
      </c>
      <c r="D726" s="4" t="n">
        <v>2023</v>
      </c>
      <c r="E726" s="15" t="inlineStr">
        <is>
          <t>Draw</t>
        </is>
      </c>
      <c r="F726" s="5" t="n"/>
      <c r="G726" s="5" t="n"/>
      <c r="H726" s="5" t="n">
        <v>2</v>
      </c>
      <c r="I726" s="5" t="n">
        <v>2</v>
      </c>
      <c r="J726" s="5" t="n">
        <v>0</v>
      </c>
      <c r="K726" s="10">
        <f>IF(F726&gt;0,H726/F726,"")</f>
        <v/>
      </c>
      <c r="L726" s="16">
        <f>IF(AND(G726&gt;0,H726&gt;0),G726/H726,"")</f>
        <v/>
      </c>
    </row>
    <row r="727">
      <c r="A727" s="4" t="inlineStr">
        <is>
          <t>455</t>
        </is>
      </c>
      <c r="B727" s="4" t="n">
        <v>4</v>
      </c>
      <c r="C727" s="4" t="inlineStr">
        <is>
          <t>antelope</t>
        </is>
      </c>
      <c r="D727" s="4" t="n">
        <v>2024</v>
      </c>
      <c r="E727" s="15" t="inlineStr">
        <is>
          <t>Draw</t>
        </is>
      </c>
      <c r="F727" s="5" t="n">
        <v>3</v>
      </c>
      <c r="G727" s="5" t="n">
        <v>12</v>
      </c>
      <c r="H727" s="5" t="n">
        <v>0</v>
      </c>
      <c r="I727" s="5" t="n">
        <v>0</v>
      </c>
      <c r="J727" s="5" t="n">
        <v>0</v>
      </c>
      <c r="K727" s="10">
        <f>IF(F727&gt;0,H727/F727,"")</f>
        <v/>
      </c>
      <c r="L727" s="16">
        <f>IF(AND(G727&gt;0,H727&gt;0),G727/H727,"")</f>
        <v/>
      </c>
    </row>
    <row r="728">
      <c r="A728" s="4" t="inlineStr">
        <is>
          <t>455</t>
        </is>
      </c>
      <c r="B728" s="4" t="n">
        <v>4</v>
      </c>
      <c r="C728" s="4" t="inlineStr">
        <is>
          <t>antelope</t>
        </is>
      </c>
      <c r="D728" s="4" t="n">
        <v>2025</v>
      </c>
      <c r="E728" s="15" t="inlineStr">
        <is>
          <t>Draw</t>
        </is>
      </c>
      <c r="F728" s="5" t="n"/>
      <c r="G728" s="5" t="n"/>
      <c r="H728" s="5" t="n">
        <v>6</v>
      </c>
      <c r="I728" s="5" t="n">
        <v>2</v>
      </c>
      <c r="J728" s="5" t="n">
        <v>4</v>
      </c>
      <c r="K728" s="10">
        <f>IF(F728&gt;0,H728/F728,"")</f>
        <v/>
      </c>
      <c r="L728" s="16">
        <f>IF(AND(G728&gt;0,H728&gt;0),G728/H728,"")</f>
        <v/>
      </c>
    </row>
    <row r="729">
      <c r="A729" s="4" t="inlineStr">
        <is>
          <t>470</t>
        </is>
      </c>
      <c r="B729" s="4" t="n">
        <v>4</v>
      </c>
      <c r="C729" s="4" t="inlineStr">
        <is>
          <t>antelope</t>
        </is>
      </c>
      <c r="D729" s="4" t="n">
        <v>2004</v>
      </c>
      <c r="E729" s="4" t="inlineStr"/>
      <c r="F729" s="5" t="n">
        <v>297</v>
      </c>
      <c r="G729" s="5" t="n">
        <v>852</v>
      </c>
      <c r="H729" s="5" t="n">
        <v>168</v>
      </c>
      <c r="I729" s="5" t="n">
        <v>135</v>
      </c>
      <c r="J729" s="5" t="n">
        <v>28</v>
      </c>
      <c r="K729" s="10">
        <f>IF(F729&gt;0,H729/F729,"")</f>
        <v/>
      </c>
      <c r="L729" s="16">
        <f>IF(AND(G729&gt;0,H729&gt;0),G729/H729,"")</f>
        <v/>
      </c>
    </row>
    <row r="730">
      <c r="A730" s="4" t="inlineStr">
        <is>
          <t>470</t>
        </is>
      </c>
      <c r="B730" s="4" t="n">
        <v>4</v>
      </c>
      <c r="C730" s="4" t="inlineStr">
        <is>
          <t>antelope</t>
        </is>
      </c>
      <c r="D730" s="4" t="n">
        <v>2005</v>
      </c>
      <c r="E730" s="4" t="inlineStr"/>
      <c r="F730" s="5" t="n">
        <v>290</v>
      </c>
      <c r="G730" s="5" t="n">
        <v>768</v>
      </c>
      <c r="H730" s="5" t="n">
        <v>188</v>
      </c>
      <c r="I730" s="5" t="n">
        <v>132</v>
      </c>
      <c r="J730" s="5" t="n">
        <v>48</v>
      </c>
      <c r="K730" s="10">
        <f>IF(F730&gt;0,H730/F730,"")</f>
        <v/>
      </c>
      <c r="L730" s="16">
        <f>IF(AND(G730&gt;0,H730&gt;0),G730/H730,"")</f>
        <v/>
      </c>
    </row>
    <row r="731">
      <c r="A731" s="4" t="inlineStr">
        <is>
          <t>470</t>
        </is>
      </c>
      <c r="B731" s="4" t="n">
        <v>4</v>
      </c>
      <c r="C731" s="4" t="inlineStr">
        <is>
          <t>antelope</t>
        </is>
      </c>
      <c r="D731" s="4" t="n">
        <v>2006</v>
      </c>
      <c r="E731" s="4" t="inlineStr"/>
      <c r="F731" s="5" t="n">
        <v>303</v>
      </c>
      <c r="G731" s="5" t="n">
        <v>852</v>
      </c>
      <c r="H731" s="5" t="n">
        <v>197</v>
      </c>
      <c r="I731" s="5" t="n">
        <v>132</v>
      </c>
      <c r="J731" s="5" t="n">
        <v>62</v>
      </c>
      <c r="K731" s="10">
        <f>IF(F731&gt;0,H731/F731,"")</f>
        <v/>
      </c>
      <c r="L731" s="16">
        <f>IF(AND(G731&gt;0,H731&gt;0),G731/H731,"")</f>
        <v/>
      </c>
    </row>
    <row r="732">
      <c r="A732" s="4" t="inlineStr">
        <is>
          <t>470</t>
        </is>
      </c>
      <c r="B732" s="4" t="n">
        <v>4</v>
      </c>
      <c r="C732" s="4" t="inlineStr">
        <is>
          <t>antelope</t>
        </is>
      </c>
      <c r="D732" s="4" t="n">
        <v>2007</v>
      </c>
      <c r="E732" s="4" t="inlineStr"/>
      <c r="F732" s="5" t="n">
        <v>299</v>
      </c>
      <c r="G732" s="5" t="n">
        <v>1085</v>
      </c>
      <c r="H732" s="5" t="n">
        <v>191</v>
      </c>
      <c r="I732" s="5" t="n">
        <v>99</v>
      </c>
      <c r="J732" s="5" t="n">
        <v>92</v>
      </c>
      <c r="K732" s="10">
        <f>IF(F732&gt;0,H732/F732,"")</f>
        <v/>
      </c>
      <c r="L732" s="16">
        <f>IF(AND(G732&gt;0,H732&gt;0),G732/H732,"")</f>
        <v/>
      </c>
    </row>
    <row r="733">
      <c r="A733" s="4" t="inlineStr">
        <is>
          <t>470</t>
        </is>
      </c>
      <c r="B733" s="4" t="n">
        <v>4</v>
      </c>
      <c r="C733" s="4" t="inlineStr">
        <is>
          <t>antelope</t>
        </is>
      </c>
      <c r="D733" s="4" t="n">
        <v>2008</v>
      </c>
      <c r="E733" s="4" t="inlineStr"/>
      <c r="F733" s="5" t="n">
        <v>294</v>
      </c>
      <c r="G733" s="5" t="n">
        <v>1031</v>
      </c>
      <c r="H733" s="5" t="n">
        <v>181</v>
      </c>
      <c r="I733" s="5" t="n">
        <v>128</v>
      </c>
      <c r="J733" s="5" t="n">
        <v>53</v>
      </c>
      <c r="K733" s="10">
        <f>IF(F733&gt;0,H733/F733,"")</f>
        <v/>
      </c>
      <c r="L733" s="16">
        <f>IF(AND(G733&gt;0,H733&gt;0),G733/H733,"")</f>
        <v/>
      </c>
    </row>
    <row r="734">
      <c r="A734" s="4" t="inlineStr">
        <is>
          <t>470</t>
        </is>
      </c>
      <c r="B734" s="4" t="n">
        <v>4</v>
      </c>
      <c r="C734" s="4" t="inlineStr">
        <is>
          <t>antelope</t>
        </is>
      </c>
      <c r="D734" s="4" t="n">
        <v>2009</v>
      </c>
      <c r="E734" s="4" t="inlineStr"/>
      <c r="F734" s="5" t="n">
        <v>286</v>
      </c>
      <c r="G734" s="5" t="n">
        <v>892</v>
      </c>
      <c r="H734" s="5" t="n">
        <v>186</v>
      </c>
      <c r="I734" s="5" t="n">
        <v>113</v>
      </c>
      <c r="J734" s="5" t="n">
        <v>72</v>
      </c>
      <c r="K734" s="10">
        <f>IF(F734&gt;0,H734/F734,"")</f>
        <v/>
      </c>
      <c r="L734" s="16">
        <f>IF(AND(G734&gt;0,H734&gt;0),G734/H734,"")</f>
        <v/>
      </c>
    </row>
    <row r="735">
      <c r="A735" s="4" t="inlineStr">
        <is>
          <t>470</t>
        </is>
      </c>
      <c r="B735" s="4" t="n">
        <v>4</v>
      </c>
      <c r="C735" s="4" t="inlineStr">
        <is>
          <t>antelope</t>
        </is>
      </c>
      <c r="D735" s="4" t="n">
        <v>2010</v>
      </c>
      <c r="E735" s="4" t="inlineStr"/>
      <c r="F735" s="5" t="n">
        <v>267</v>
      </c>
      <c r="G735" s="5" t="n">
        <v>1023</v>
      </c>
      <c r="H735" s="5" t="n">
        <v>147</v>
      </c>
      <c r="I735" s="5" t="n">
        <v>105</v>
      </c>
      <c r="J735" s="5" t="n">
        <v>39</v>
      </c>
      <c r="K735" s="10">
        <f>IF(F735&gt;0,H735/F735,"")</f>
        <v/>
      </c>
      <c r="L735" s="16">
        <f>IF(AND(G735&gt;0,H735&gt;0),G735/H735,"")</f>
        <v/>
      </c>
    </row>
    <row r="736">
      <c r="A736" s="4" t="inlineStr">
        <is>
          <t>470</t>
        </is>
      </c>
      <c r="B736" s="4" t="n">
        <v>4</v>
      </c>
      <c r="C736" s="4" t="inlineStr">
        <is>
          <t>antelope</t>
        </is>
      </c>
      <c r="D736" s="4" t="n">
        <v>2011</v>
      </c>
      <c r="E736" s="4" t="inlineStr"/>
      <c r="F736" s="5" t="n">
        <v>169</v>
      </c>
      <c r="G736" s="5" t="n">
        <v>595</v>
      </c>
      <c r="H736" s="5" t="n">
        <v>85</v>
      </c>
      <c r="I736" s="5" t="n">
        <v>63</v>
      </c>
      <c r="J736" s="5" t="n">
        <v>23</v>
      </c>
      <c r="K736" s="10">
        <f>IF(F736&gt;0,H736/F736,"")</f>
        <v/>
      </c>
      <c r="L736" s="16">
        <f>IF(AND(G736&gt;0,H736&gt;0),G736/H736,"")</f>
        <v/>
      </c>
    </row>
    <row r="737">
      <c r="A737" s="4" t="inlineStr">
        <is>
          <t>470</t>
        </is>
      </c>
      <c r="B737" s="4" t="n">
        <v>4</v>
      </c>
      <c r="C737" s="4" t="inlineStr">
        <is>
          <t>antelope</t>
        </is>
      </c>
      <c r="D737" s="4" t="n">
        <v>2012</v>
      </c>
      <c r="E737" s="4" t="inlineStr"/>
      <c r="F737" s="5" t="n">
        <v>121</v>
      </c>
      <c r="G737" s="5" t="n">
        <v>414</v>
      </c>
      <c r="H737" s="5" t="n">
        <v>62</v>
      </c>
      <c r="I737" s="5" t="n">
        <v>46</v>
      </c>
      <c r="J737" s="5" t="n">
        <v>14</v>
      </c>
      <c r="K737" s="10">
        <f>IF(F737&gt;0,H737/F737,"")</f>
        <v/>
      </c>
      <c r="L737" s="16">
        <f>IF(AND(G737&gt;0,H737&gt;0),G737/H737,"")</f>
        <v/>
      </c>
    </row>
    <row r="738">
      <c r="A738" s="4" t="inlineStr">
        <is>
          <t>470</t>
        </is>
      </c>
      <c r="B738" s="4" t="n">
        <v>4</v>
      </c>
      <c r="C738" s="4" t="inlineStr">
        <is>
          <t>antelope</t>
        </is>
      </c>
      <c r="D738" s="4" t="n">
        <v>2013</v>
      </c>
      <c r="E738" s="4" t="inlineStr"/>
      <c r="F738" s="5" t="n"/>
      <c r="G738" s="5" t="n"/>
      <c r="H738" s="5" t="n">
        <v>63</v>
      </c>
      <c r="I738" s="5" t="n">
        <v>42</v>
      </c>
      <c r="J738" s="5" t="n">
        <v>20</v>
      </c>
      <c r="K738" s="10">
        <f>IF(F738&gt;0,H738/F738,"")</f>
        <v/>
      </c>
      <c r="L738" s="16">
        <f>IF(AND(G738&gt;0,H738&gt;0),G738/H738,"")</f>
        <v/>
      </c>
    </row>
    <row r="739">
      <c r="A739" s="4" t="inlineStr">
        <is>
          <t>470</t>
        </is>
      </c>
      <c r="B739" s="4" t="n">
        <v>4</v>
      </c>
      <c r="C739" s="4" t="inlineStr">
        <is>
          <t>antelope</t>
        </is>
      </c>
      <c r="D739" s="4" t="n">
        <v>2014</v>
      </c>
      <c r="E739" s="4" t="inlineStr"/>
      <c r="F739" s="5" t="n">
        <v>117</v>
      </c>
      <c r="G739" s="5" t="n">
        <v>487</v>
      </c>
      <c r="H739" s="5" t="n">
        <v>81</v>
      </c>
      <c r="I739" s="5" t="n">
        <v>60</v>
      </c>
      <c r="J739" s="5" t="n">
        <v>21</v>
      </c>
      <c r="K739" s="10">
        <f>IF(F739&gt;0,H739/F739,"")</f>
        <v/>
      </c>
      <c r="L739" s="16">
        <f>IF(AND(G739&gt;0,H739&gt;0),G739/H739,"")</f>
        <v/>
      </c>
    </row>
    <row r="740">
      <c r="A740" s="4" t="inlineStr">
        <is>
          <t>470</t>
        </is>
      </c>
      <c r="B740" s="4" t="n">
        <v>4</v>
      </c>
      <c r="C740" s="4" t="inlineStr">
        <is>
          <t>antelope</t>
        </is>
      </c>
      <c r="D740" s="4" t="n">
        <v>2015</v>
      </c>
      <c r="E740" s="4" t="inlineStr"/>
      <c r="F740" s="5" t="n">
        <v>153</v>
      </c>
      <c r="G740" s="5" t="n">
        <v>571</v>
      </c>
      <c r="H740" s="5" t="n">
        <v>72</v>
      </c>
      <c r="I740" s="5" t="n">
        <v>61</v>
      </c>
      <c r="J740" s="5" t="n">
        <v>10</v>
      </c>
      <c r="K740" s="10">
        <f>IF(F740&gt;0,H740/F740,"")</f>
        <v/>
      </c>
      <c r="L740" s="16">
        <f>IF(AND(G740&gt;0,H740&gt;0),G740/H740,"")</f>
        <v/>
      </c>
    </row>
    <row r="741">
      <c r="A741" s="4" t="inlineStr">
        <is>
          <t>470</t>
        </is>
      </c>
      <c r="B741" s="4" t="n">
        <v>4</v>
      </c>
      <c r="C741" s="4" t="inlineStr">
        <is>
          <t>antelope</t>
        </is>
      </c>
      <c r="D741" s="4" t="n">
        <v>2016</v>
      </c>
      <c r="E741" s="4" t="inlineStr"/>
      <c r="F741" s="5" t="n"/>
      <c r="G741" s="5" t="n"/>
      <c r="H741" s="5" t="n">
        <v>97</v>
      </c>
      <c r="I741" s="5" t="n">
        <v>80</v>
      </c>
      <c r="J741" s="5" t="n">
        <v>17</v>
      </c>
      <c r="K741" s="10">
        <f>IF(F741&gt;0,H741/F741,"")</f>
        <v/>
      </c>
      <c r="L741" s="16">
        <f>IF(AND(G741&gt;0,H741&gt;0),G741/H741,"")</f>
        <v/>
      </c>
    </row>
    <row r="742">
      <c r="A742" s="4" t="inlineStr">
        <is>
          <t>470</t>
        </is>
      </c>
      <c r="B742" s="4" t="n">
        <v>4</v>
      </c>
      <c r="C742" s="4" t="inlineStr">
        <is>
          <t>antelope</t>
        </is>
      </c>
      <c r="D742" s="4" t="n">
        <v>2017</v>
      </c>
      <c r="E742" s="4" t="inlineStr"/>
      <c r="F742" s="5" t="n"/>
      <c r="G742" s="5" t="n"/>
      <c r="H742" s="5" t="n">
        <v>122</v>
      </c>
      <c r="I742" s="5" t="n">
        <v>63</v>
      </c>
      <c r="J742" s="5" t="n">
        <v>53</v>
      </c>
      <c r="K742" s="10">
        <f>IF(F742&gt;0,H742/F742,"")</f>
        <v/>
      </c>
      <c r="L742" s="16">
        <f>IF(AND(G742&gt;0,H742&gt;0),G742/H742,"")</f>
        <v/>
      </c>
    </row>
    <row r="743">
      <c r="A743" s="4" t="inlineStr">
        <is>
          <t>470</t>
        </is>
      </c>
      <c r="B743" s="4" t="n">
        <v>4</v>
      </c>
      <c r="C743" s="4" t="inlineStr">
        <is>
          <t>antelope</t>
        </is>
      </c>
      <c r="D743" s="4" t="n">
        <v>2018</v>
      </c>
      <c r="E743" s="4" t="inlineStr"/>
      <c r="F743" s="5" t="n">
        <v>299</v>
      </c>
      <c r="G743" s="5" t="n">
        <v>1105</v>
      </c>
      <c r="H743" s="5" t="n">
        <v>160</v>
      </c>
      <c r="I743" s="5" t="n">
        <v>94</v>
      </c>
      <c r="J743" s="5" t="n">
        <v>67</v>
      </c>
      <c r="K743" s="10">
        <f>IF(F743&gt;0,H743/F743,"")</f>
        <v/>
      </c>
      <c r="L743" s="16">
        <f>IF(AND(G743&gt;0,H743&gt;0),G743/H743,"")</f>
        <v/>
      </c>
    </row>
    <row r="744">
      <c r="A744" s="4" t="inlineStr">
        <is>
          <t>470</t>
        </is>
      </c>
      <c r="B744" s="4" t="n">
        <v>4</v>
      </c>
      <c r="C744" s="4" t="inlineStr">
        <is>
          <t>antelope</t>
        </is>
      </c>
      <c r="D744" s="4" t="n">
        <v>2019</v>
      </c>
      <c r="E744" s="4" t="inlineStr"/>
      <c r="F744" s="5" t="n"/>
      <c r="G744" s="5" t="n"/>
      <c r="H744" s="5" t="n">
        <v>152</v>
      </c>
      <c r="I744" s="5" t="n">
        <v>72</v>
      </c>
      <c r="J744" s="5" t="n">
        <v>70</v>
      </c>
      <c r="K744" s="10">
        <f>IF(F744&gt;0,H744/F744,"")</f>
        <v/>
      </c>
      <c r="L744" s="16">
        <f>IF(AND(G744&gt;0,H744&gt;0),G744/H744,"")</f>
        <v/>
      </c>
    </row>
    <row r="745">
      <c r="A745" s="4" t="inlineStr">
        <is>
          <t>471</t>
        </is>
      </c>
      <c r="B745" s="4" t="n">
        <v>4</v>
      </c>
      <c r="C745" s="4" t="inlineStr">
        <is>
          <t>antelope</t>
        </is>
      </c>
      <c r="D745" s="4" t="n">
        <v>2004</v>
      </c>
      <c r="E745" s="15" t="inlineStr">
        <is>
          <t>Draw</t>
        </is>
      </c>
      <c r="F745" s="5" t="n">
        <v>327</v>
      </c>
      <c r="G745" s="5" t="n">
        <v>890</v>
      </c>
      <c r="H745" s="5" t="n">
        <v>224</v>
      </c>
      <c r="I745" s="5" t="n">
        <v>96</v>
      </c>
      <c r="J745" s="5" t="n">
        <v>116</v>
      </c>
      <c r="K745" s="10">
        <f>IF(F745&gt;0,H745/F745,"")</f>
        <v/>
      </c>
      <c r="L745" s="16">
        <f>IF(AND(G745&gt;0,H745&gt;0),G745/H745,"")</f>
        <v/>
      </c>
    </row>
    <row r="746">
      <c r="A746" s="4" t="inlineStr">
        <is>
          <t>471</t>
        </is>
      </c>
      <c r="B746" s="4" t="n">
        <v>4</v>
      </c>
      <c r="C746" s="4" t="inlineStr">
        <is>
          <t>antelope</t>
        </is>
      </c>
      <c r="D746" s="4" t="n">
        <v>2005</v>
      </c>
      <c r="E746" s="15" t="inlineStr">
        <is>
          <t>Draw</t>
        </is>
      </c>
      <c r="F746" s="5" t="n">
        <v>375</v>
      </c>
      <c r="G746" s="5" t="n">
        <v>973</v>
      </c>
      <c r="H746" s="5" t="n">
        <v>252</v>
      </c>
      <c r="I746" s="5" t="n">
        <v>104</v>
      </c>
      <c r="J746" s="5" t="n">
        <v>126</v>
      </c>
      <c r="K746" s="10">
        <f>IF(F746&gt;0,H746/F746,"")</f>
        <v/>
      </c>
      <c r="L746" s="16">
        <f>IF(AND(G746&gt;0,H746&gt;0),G746/H746,"")</f>
        <v/>
      </c>
    </row>
    <row r="747">
      <c r="A747" s="4" t="inlineStr">
        <is>
          <t>471</t>
        </is>
      </c>
      <c r="B747" s="4" t="n">
        <v>4</v>
      </c>
      <c r="C747" s="4" t="inlineStr">
        <is>
          <t>antelope</t>
        </is>
      </c>
      <c r="D747" s="4" t="n">
        <v>2006</v>
      </c>
      <c r="E747" s="15" t="inlineStr">
        <is>
          <t>Draw</t>
        </is>
      </c>
      <c r="F747" s="5" t="n">
        <v>295</v>
      </c>
      <c r="G747" s="5" t="n">
        <v>802</v>
      </c>
      <c r="H747" s="5" t="n">
        <v>239</v>
      </c>
      <c r="I747" s="5" t="n">
        <v>80</v>
      </c>
      <c r="J747" s="5" t="n">
        <v>150</v>
      </c>
      <c r="K747" s="10">
        <f>IF(F747&gt;0,H747/F747,"")</f>
        <v/>
      </c>
      <c r="L747" s="16">
        <f>IF(AND(G747&gt;0,H747&gt;0),G747/H747,"")</f>
        <v/>
      </c>
    </row>
    <row r="748">
      <c r="A748" s="4" t="inlineStr">
        <is>
          <t>471</t>
        </is>
      </c>
      <c r="B748" s="4" t="n">
        <v>4</v>
      </c>
      <c r="C748" s="4" t="inlineStr">
        <is>
          <t>antelope</t>
        </is>
      </c>
      <c r="D748" s="4" t="n">
        <v>2007</v>
      </c>
      <c r="E748" s="15" t="inlineStr">
        <is>
          <t>Draw</t>
        </is>
      </c>
      <c r="F748" s="5" t="n">
        <v>288</v>
      </c>
      <c r="G748" s="5" t="n">
        <v>603</v>
      </c>
      <c r="H748" s="5" t="n">
        <v>237</v>
      </c>
      <c r="I748" s="5" t="n">
        <v>117</v>
      </c>
      <c r="J748" s="5" t="n">
        <v>116</v>
      </c>
      <c r="K748" s="10">
        <f>IF(F748&gt;0,H748/F748,"")</f>
        <v/>
      </c>
      <c r="L748" s="16">
        <f>IF(AND(G748&gt;0,H748&gt;0),G748/H748,"")</f>
        <v/>
      </c>
    </row>
    <row r="749">
      <c r="A749" s="4" t="inlineStr">
        <is>
          <t>471</t>
        </is>
      </c>
      <c r="B749" s="4" t="n">
        <v>4</v>
      </c>
      <c r="C749" s="4" t="inlineStr">
        <is>
          <t>antelope</t>
        </is>
      </c>
      <c r="D749" s="4" t="n">
        <v>2008</v>
      </c>
      <c r="E749" s="15" t="inlineStr">
        <is>
          <t>Draw</t>
        </is>
      </c>
      <c r="F749" s="5" t="n">
        <v>105</v>
      </c>
      <c r="G749" s="5" t="n">
        <v>400</v>
      </c>
      <c r="H749" s="5" t="n">
        <v>45</v>
      </c>
      <c r="I749" s="5" t="n">
        <v>28</v>
      </c>
      <c r="J749" s="5" t="n">
        <v>17</v>
      </c>
      <c r="K749" s="10">
        <f>IF(F749&gt;0,H749/F749,"")</f>
        <v/>
      </c>
      <c r="L749" s="16">
        <f>IF(AND(G749&gt;0,H749&gt;0),G749/H749,"")</f>
        <v/>
      </c>
    </row>
    <row r="750">
      <c r="A750" s="4" t="inlineStr">
        <is>
          <t>471</t>
        </is>
      </c>
      <c r="B750" s="4" t="n">
        <v>4</v>
      </c>
      <c r="C750" s="4" t="inlineStr">
        <is>
          <t>antelope</t>
        </is>
      </c>
      <c r="D750" s="4" t="n">
        <v>2009</v>
      </c>
      <c r="E750" s="15" t="inlineStr">
        <is>
          <t>Draw</t>
        </is>
      </c>
      <c r="F750" s="5" t="n">
        <v>121</v>
      </c>
      <c r="G750" s="5" t="n">
        <v>372</v>
      </c>
      <c r="H750" s="5" t="n">
        <v>78</v>
      </c>
      <c r="I750" s="5" t="n">
        <v>45</v>
      </c>
      <c r="J750" s="5" t="n">
        <v>31</v>
      </c>
      <c r="K750" s="10">
        <f>IF(F750&gt;0,H750/F750,"")</f>
        <v/>
      </c>
      <c r="L750" s="16">
        <f>IF(AND(G750&gt;0,H750&gt;0),G750/H750,"")</f>
        <v/>
      </c>
    </row>
    <row r="751">
      <c r="A751" s="4" t="inlineStr">
        <is>
          <t>471</t>
        </is>
      </c>
      <c r="B751" s="4" t="n">
        <v>4</v>
      </c>
      <c r="C751" s="4" t="inlineStr">
        <is>
          <t>antelope</t>
        </is>
      </c>
      <c r="D751" s="4" t="n">
        <v>2010</v>
      </c>
      <c r="E751" s="15" t="inlineStr">
        <is>
          <t>Draw</t>
        </is>
      </c>
      <c r="F751" s="5" t="n">
        <v>103</v>
      </c>
      <c r="G751" s="5" t="n">
        <v>338</v>
      </c>
      <c r="H751" s="5" t="n">
        <v>60</v>
      </c>
      <c r="I751" s="5" t="n">
        <v>44</v>
      </c>
      <c r="J751" s="5" t="n">
        <v>16</v>
      </c>
      <c r="K751" s="10">
        <f>IF(F751&gt;0,H751/F751,"")</f>
        <v/>
      </c>
      <c r="L751" s="16">
        <f>IF(AND(G751&gt;0,H751&gt;0),G751/H751,"")</f>
        <v/>
      </c>
    </row>
    <row r="752">
      <c r="A752" s="4" t="inlineStr">
        <is>
          <t>471</t>
        </is>
      </c>
      <c r="B752" s="4" t="n">
        <v>4</v>
      </c>
      <c r="C752" s="4" t="inlineStr">
        <is>
          <t>antelope</t>
        </is>
      </c>
      <c r="D752" s="4" t="n">
        <v>2011</v>
      </c>
      <c r="E752" s="15" t="inlineStr">
        <is>
          <t>Draw</t>
        </is>
      </c>
      <c r="F752" s="5" t="n">
        <v>90</v>
      </c>
      <c r="G752" s="5" t="n">
        <v>271</v>
      </c>
      <c r="H752" s="5" t="n">
        <v>53</v>
      </c>
      <c r="I752" s="5" t="n">
        <v>37</v>
      </c>
      <c r="J752" s="5" t="n">
        <v>16</v>
      </c>
      <c r="K752" s="10">
        <f>IF(F752&gt;0,H752/F752,"")</f>
        <v/>
      </c>
      <c r="L752" s="16">
        <f>IF(AND(G752&gt;0,H752&gt;0),G752/H752,"")</f>
        <v/>
      </c>
    </row>
    <row r="753">
      <c r="A753" s="4" t="inlineStr">
        <is>
          <t>471</t>
        </is>
      </c>
      <c r="B753" s="4" t="n">
        <v>4</v>
      </c>
      <c r="C753" s="4" t="inlineStr">
        <is>
          <t>antelope</t>
        </is>
      </c>
      <c r="D753" s="4" t="n">
        <v>2012</v>
      </c>
      <c r="E753" s="15" t="inlineStr">
        <is>
          <t>Draw</t>
        </is>
      </c>
      <c r="F753" s="5" t="n">
        <v>169</v>
      </c>
      <c r="G753" s="5" t="n">
        <v>505</v>
      </c>
      <c r="H753" s="5" t="n">
        <v>109</v>
      </c>
      <c r="I753" s="5" t="n">
        <v>83</v>
      </c>
      <c r="J753" s="5" t="n">
        <v>26</v>
      </c>
      <c r="K753" s="10">
        <f>IF(F753&gt;0,H753/F753,"")</f>
        <v/>
      </c>
      <c r="L753" s="16">
        <f>IF(AND(G753&gt;0,H753&gt;0),G753/H753,"")</f>
        <v/>
      </c>
    </row>
    <row r="754">
      <c r="A754" s="4" t="inlineStr">
        <is>
          <t>471</t>
        </is>
      </c>
      <c r="B754" s="4" t="n">
        <v>4</v>
      </c>
      <c r="C754" s="4" t="inlineStr">
        <is>
          <t>antelope</t>
        </is>
      </c>
      <c r="D754" s="4" t="n">
        <v>2013</v>
      </c>
      <c r="E754" s="15" t="inlineStr">
        <is>
          <t>Draw</t>
        </is>
      </c>
      <c r="F754" s="5" t="n"/>
      <c r="G754" s="5" t="n"/>
      <c r="H754" s="5" t="n">
        <v>56</v>
      </c>
      <c r="I754" s="5" t="n">
        <v>40</v>
      </c>
      <c r="J754" s="5" t="n">
        <v>14</v>
      </c>
      <c r="K754" s="10">
        <f>IF(F754&gt;0,H754/F754,"")</f>
        <v/>
      </c>
      <c r="L754" s="16">
        <f>IF(AND(G754&gt;0,H754&gt;0),G754/H754,"")</f>
        <v/>
      </c>
    </row>
    <row r="755">
      <c r="A755" s="4" t="inlineStr">
        <is>
          <t>471</t>
        </is>
      </c>
      <c r="B755" s="4" t="n">
        <v>4</v>
      </c>
      <c r="C755" s="4" t="inlineStr">
        <is>
          <t>antelope</t>
        </is>
      </c>
      <c r="D755" s="4" t="n">
        <v>2014</v>
      </c>
      <c r="E755" s="15" t="inlineStr">
        <is>
          <t>Draw</t>
        </is>
      </c>
      <c r="F755" s="5" t="n">
        <v>93</v>
      </c>
      <c r="G755" s="5" t="n">
        <v>269</v>
      </c>
      <c r="H755" s="5" t="n">
        <v>58</v>
      </c>
      <c r="I755" s="5" t="n">
        <v>42</v>
      </c>
      <c r="J755" s="5" t="n">
        <v>15</v>
      </c>
      <c r="K755" s="10">
        <f>IF(F755&gt;0,H755/F755,"")</f>
        <v/>
      </c>
      <c r="L755" s="16">
        <f>IF(AND(G755&gt;0,H755&gt;0),G755/H755,"")</f>
        <v/>
      </c>
    </row>
    <row r="756">
      <c r="A756" s="4" t="inlineStr">
        <is>
          <t>471</t>
        </is>
      </c>
      <c r="B756" s="4" t="n">
        <v>4</v>
      </c>
      <c r="C756" s="4" t="inlineStr">
        <is>
          <t>antelope</t>
        </is>
      </c>
      <c r="D756" s="4" t="n">
        <v>2015</v>
      </c>
      <c r="E756" s="15" t="inlineStr">
        <is>
          <t>Draw</t>
        </is>
      </c>
      <c r="F756" s="5" t="n">
        <v>126</v>
      </c>
      <c r="G756" s="5" t="n">
        <v>502</v>
      </c>
      <c r="H756" s="5" t="n">
        <v>74</v>
      </c>
      <c r="I756" s="5" t="n">
        <v>53</v>
      </c>
      <c r="J756" s="5" t="n">
        <v>19</v>
      </c>
      <c r="K756" s="10">
        <f>IF(F756&gt;0,H756/F756,"")</f>
        <v/>
      </c>
      <c r="L756" s="16">
        <f>IF(AND(G756&gt;0,H756&gt;0),G756/H756,"")</f>
        <v/>
      </c>
    </row>
    <row r="757">
      <c r="A757" s="4" t="inlineStr">
        <is>
          <t>471</t>
        </is>
      </c>
      <c r="B757" s="4" t="n">
        <v>4</v>
      </c>
      <c r="C757" s="4" t="inlineStr">
        <is>
          <t>antelope</t>
        </is>
      </c>
      <c r="D757" s="4" t="n">
        <v>2016</v>
      </c>
      <c r="E757" s="15" t="inlineStr">
        <is>
          <t>Draw</t>
        </is>
      </c>
      <c r="F757" s="5" t="n"/>
      <c r="G757" s="5" t="n"/>
      <c r="H757" s="5" t="n">
        <v>153</v>
      </c>
      <c r="I757" s="5" t="n">
        <v>98</v>
      </c>
      <c r="J757" s="5" t="n">
        <v>55</v>
      </c>
      <c r="K757" s="10">
        <f>IF(F757&gt;0,H757/F757,"")</f>
        <v/>
      </c>
      <c r="L757" s="16">
        <f>IF(AND(G757&gt;0,H757&gt;0),G757/H757,"")</f>
        <v/>
      </c>
    </row>
    <row r="758">
      <c r="A758" s="4" t="inlineStr">
        <is>
          <t>471</t>
        </is>
      </c>
      <c r="B758" s="4" t="n">
        <v>4</v>
      </c>
      <c r="C758" s="4" t="inlineStr">
        <is>
          <t>antelope</t>
        </is>
      </c>
      <c r="D758" s="4" t="n">
        <v>2017</v>
      </c>
      <c r="E758" s="15" t="inlineStr">
        <is>
          <t>Draw</t>
        </is>
      </c>
      <c r="F758" s="5" t="n"/>
      <c r="G758" s="5" t="n"/>
      <c r="H758" s="5" t="n">
        <v>158</v>
      </c>
      <c r="I758" s="5" t="n">
        <v>108</v>
      </c>
      <c r="J758" s="5" t="n">
        <v>49</v>
      </c>
      <c r="K758" s="10">
        <f>IF(F758&gt;0,H758/F758,"")</f>
        <v/>
      </c>
      <c r="L758" s="16">
        <f>IF(AND(G758&gt;0,H758&gt;0),G758/H758,"")</f>
        <v/>
      </c>
    </row>
    <row r="759">
      <c r="A759" s="4" t="inlineStr">
        <is>
          <t>471</t>
        </is>
      </c>
      <c r="B759" s="4" t="n">
        <v>4</v>
      </c>
      <c r="C759" s="4" t="inlineStr">
        <is>
          <t>antelope</t>
        </is>
      </c>
      <c r="D759" s="4" t="n">
        <v>2018</v>
      </c>
      <c r="E759" s="15" t="inlineStr">
        <is>
          <t>Draw</t>
        </is>
      </c>
      <c r="F759" s="5" t="n">
        <v>235</v>
      </c>
      <c r="G759" s="5" t="n">
        <v>564</v>
      </c>
      <c r="H759" s="5" t="n">
        <v>159</v>
      </c>
      <c r="I759" s="5" t="n">
        <v>101</v>
      </c>
      <c r="J759" s="5" t="n">
        <v>57</v>
      </c>
      <c r="K759" s="10">
        <f>IF(F759&gt;0,H759/F759,"")</f>
        <v/>
      </c>
      <c r="L759" s="16">
        <f>IF(AND(G759&gt;0,H759&gt;0),G759/H759,"")</f>
        <v/>
      </c>
    </row>
    <row r="760">
      <c r="A760" s="4" t="inlineStr">
        <is>
          <t>471</t>
        </is>
      </c>
      <c r="B760" s="4" t="n">
        <v>4</v>
      </c>
      <c r="C760" s="4" t="inlineStr">
        <is>
          <t>antelope</t>
        </is>
      </c>
      <c r="D760" s="4" t="n">
        <v>2019</v>
      </c>
      <c r="E760" s="15" t="inlineStr">
        <is>
          <t>Draw</t>
        </is>
      </c>
      <c r="F760" s="5" t="n"/>
      <c r="G760" s="5" t="n"/>
      <c r="H760" s="5" t="n">
        <v>243</v>
      </c>
      <c r="I760" s="5" t="n">
        <v>113</v>
      </c>
      <c r="J760" s="5" t="n">
        <v>123</v>
      </c>
      <c r="K760" s="10">
        <f>IF(F760&gt;0,H760/F760,"")</f>
        <v/>
      </c>
      <c r="L760" s="16">
        <f>IF(AND(G760&gt;0,H760&gt;0),G760/H760,"")</f>
        <v/>
      </c>
    </row>
    <row r="761">
      <c r="A761" s="4" t="inlineStr">
        <is>
          <t>471</t>
        </is>
      </c>
      <c r="B761" s="4" t="n">
        <v>4</v>
      </c>
      <c r="C761" s="4" t="inlineStr">
        <is>
          <t>antelope</t>
        </is>
      </c>
      <c r="D761" s="4" t="n">
        <v>2020</v>
      </c>
      <c r="E761" s="15" t="inlineStr">
        <is>
          <t>Draw</t>
        </is>
      </c>
      <c r="F761" s="5" t="n">
        <v>680</v>
      </c>
      <c r="G761" s="5" t="n">
        <v>2530</v>
      </c>
      <c r="H761" s="5" t="n">
        <v>463</v>
      </c>
      <c r="I761" s="5" t="n">
        <v>216</v>
      </c>
      <c r="J761" s="5" t="n">
        <v>241</v>
      </c>
      <c r="K761" s="10">
        <f>IF(F761&gt;0,H761/F761,"")</f>
        <v/>
      </c>
      <c r="L761" s="16">
        <f>IF(AND(G761&gt;0,H761&gt;0),G761/H761,"")</f>
        <v/>
      </c>
    </row>
    <row r="762">
      <c r="A762" s="4" t="inlineStr">
        <is>
          <t>471</t>
        </is>
      </c>
      <c r="B762" s="4" t="n">
        <v>4</v>
      </c>
      <c r="C762" s="4" t="inlineStr">
        <is>
          <t>antelope</t>
        </is>
      </c>
      <c r="D762" s="4" t="n">
        <v>2021</v>
      </c>
      <c r="E762" s="15" t="inlineStr">
        <is>
          <t>Draw</t>
        </is>
      </c>
      <c r="F762" s="5" t="n"/>
      <c r="G762" s="5" t="n"/>
      <c r="H762" s="5" t="n">
        <v>337</v>
      </c>
      <c r="I762" s="5" t="n">
        <v>137</v>
      </c>
      <c r="J762" s="5" t="n">
        <v>185</v>
      </c>
      <c r="K762" s="10">
        <f>IF(F762&gt;0,H762/F762,"")</f>
        <v/>
      </c>
      <c r="L762" s="16">
        <f>IF(AND(G762&gt;0,H762&gt;0),G762/H762,"")</f>
        <v/>
      </c>
    </row>
    <row r="763">
      <c r="A763" s="4" t="inlineStr">
        <is>
          <t>471</t>
        </is>
      </c>
      <c r="B763" s="4" t="n">
        <v>4</v>
      </c>
      <c r="C763" s="4" t="inlineStr">
        <is>
          <t>antelope</t>
        </is>
      </c>
      <c r="D763" s="4" t="n">
        <v>2022</v>
      </c>
      <c r="E763" s="15" t="inlineStr">
        <is>
          <t>Draw</t>
        </is>
      </c>
      <c r="F763" s="5" t="n">
        <v>658</v>
      </c>
      <c r="G763" s="5" t="n">
        <v>2361</v>
      </c>
      <c r="H763" s="5" t="n">
        <v>485</v>
      </c>
      <c r="I763" s="5" t="n">
        <v>266</v>
      </c>
      <c r="J763" s="5" t="n">
        <v>214</v>
      </c>
      <c r="K763" s="10">
        <f>IF(F763&gt;0,H763/F763,"")</f>
        <v/>
      </c>
      <c r="L763" s="16">
        <f>IF(AND(G763&gt;0,H763&gt;0),G763/H763,"")</f>
        <v/>
      </c>
    </row>
    <row r="764">
      <c r="A764" s="4" t="inlineStr">
        <is>
          <t>471</t>
        </is>
      </c>
      <c r="B764" s="4" t="n">
        <v>4</v>
      </c>
      <c r="C764" s="4" t="inlineStr">
        <is>
          <t>antelope</t>
        </is>
      </c>
      <c r="D764" s="4" t="n">
        <v>2023</v>
      </c>
      <c r="E764" s="15" t="inlineStr">
        <is>
          <t>Draw</t>
        </is>
      </c>
      <c r="F764" s="5" t="n"/>
      <c r="G764" s="5" t="n"/>
      <c r="H764" s="5" t="n">
        <v>315</v>
      </c>
      <c r="I764" s="5" t="n">
        <v>165</v>
      </c>
      <c r="J764" s="5" t="n">
        <v>143</v>
      </c>
      <c r="K764" s="10">
        <f>IF(F764&gt;0,H764/F764,"")</f>
        <v/>
      </c>
      <c r="L764" s="16">
        <f>IF(AND(G764&gt;0,H764&gt;0),G764/H764,"")</f>
        <v/>
      </c>
    </row>
    <row r="765">
      <c r="A765" s="4" t="inlineStr">
        <is>
          <t>471</t>
        </is>
      </c>
      <c r="B765" s="4" t="n">
        <v>4</v>
      </c>
      <c r="C765" s="4" t="inlineStr">
        <is>
          <t>antelope</t>
        </is>
      </c>
      <c r="D765" s="4" t="n">
        <v>2024</v>
      </c>
      <c r="E765" s="15" t="inlineStr">
        <is>
          <t>Draw</t>
        </is>
      </c>
      <c r="F765" s="5" t="n">
        <v>433</v>
      </c>
      <c r="G765" s="5" t="n">
        <v>1917</v>
      </c>
      <c r="H765" s="5" t="n">
        <v>273</v>
      </c>
      <c r="I765" s="5" t="n">
        <v>164</v>
      </c>
      <c r="J765" s="5" t="n">
        <v>108</v>
      </c>
      <c r="K765" s="10">
        <f>IF(F765&gt;0,H765/F765,"")</f>
        <v/>
      </c>
      <c r="L765" s="16">
        <f>IF(AND(G765&gt;0,H765&gt;0),G765/H765,"")</f>
        <v/>
      </c>
    </row>
    <row r="766">
      <c r="A766" s="4" t="inlineStr">
        <is>
          <t>471</t>
        </is>
      </c>
      <c r="B766" s="4" t="n">
        <v>4</v>
      </c>
      <c r="C766" s="4" t="inlineStr">
        <is>
          <t>antelope</t>
        </is>
      </c>
      <c r="D766" s="4" t="n">
        <v>2025</v>
      </c>
      <c r="E766" s="15" t="inlineStr">
        <is>
          <t>Draw</t>
        </is>
      </c>
      <c r="F766" s="5" t="n"/>
      <c r="G766" s="5" t="n"/>
      <c r="H766" s="5" t="n">
        <v>430</v>
      </c>
      <c r="I766" s="5" t="n">
        <v>247</v>
      </c>
      <c r="J766" s="5" t="n">
        <v>181</v>
      </c>
      <c r="K766" s="10">
        <f>IF(F766&gt;0,H766/F766,"")</f>
        <v/>
      </c>
      <c r="L766" s="16">
        <f>IF(AND(G766&gt;0,H766&gt;0),G766/H766,"")</f>
        <v/>
      </c>
    </row>
    <row r="767">
      <c r="A767" s="4" t="inlineStr">
        <is>
          <t>473</t>
        </is>
      </c>
      <c r="B767" s="4" t="n">
        <v>4</v>
      </c>
      <c r="C767" s="4" t="inlineStr">
        <is>
          <t>antelope</t>
        </is>
      </c>
      <c r="D767" s="4" t="n">
        <v>2004</v>
      </c>
      <c r="E767" s="4" t="inlineStr"/>
      <c r="F767" s="5" t="n">
        <v>170</v>
      </c>
      <c r="G767" s="5" t="n">
        <v>382</v>
      </c>
      <c r="H767" s="5" t="n">
        <v>105</v>
      </c>
      <c r="I767" s="5" t="n">
        <v>93</v>
      </c>
      <c r="J767" s="5" t="n">
        <v>10</v>
      </c>
      <c r="K767" s="10">
        <f>IF(F767&gt;0,H767/F767,"")</f>
        <v/>
      </c>
      <c r="L767" s="16">
        <f>IF(AND(G767&gt;0,H767&gt;0),G767/H767,"")</f>
        <v/>
      </c>
    </row>
    <row r="768">
      <c r="A768" s="4" t="inlineStr">
        <is>
          <t>473</t>
        </is>
      </c>
      <c r="B768" s="4" t="n">
        <v>4</v>
      </c>
      <c r="C768" s="4" t="inlineStr">
        <is>
          <t>antelope</t>
        </is>
      </c>
      <c r="D768" s="4" t="n">
        <v>2005</v>
      </c>
      <c r="E768" s="4" t="inlineStr"/>
      <c r="F768" s="5" t="n">
        <v>157</v>
      </c>
      <c r="G768" s="5" t="n">
        <v>315</v>
      </c>
      <c r="H768" s="5" t="n">
        <v>90</v>
      </c>
      <c r="I768" s="5" t="n">
        <v>74</v>
      </c>
      <c r="J768" s="5" t="n">
        <v>15</v>
      </c>
      <c r="K768" s="10">
        <f>IF(F768&gt;0,H768/F768,"")</f>
        <v/>
      </c>
      <c r="L768" s="16">
        <f>IF(AND(G768&gt;0,H768&gt;0),G768/H768,"")</f>
        <v/>
      </c>
    </row>
    <row r="769">
      <c r="A769" s="4" t="inlineStr">
        <is>
          <t>473</t>
        </is>
      </c>
      <c r="B769" s="4" t="n">
        <v>4</v>
      </c>
      <c r="C769" s="4" t="inlineStr">
        <is>
          <t>antelope</t>
        </is>
      </c>
      <c r="D769" s="4" t="n">
        <v>2006</v>
      </c>
      <c r="E769" s="4" t="inlineStr"/>
      <c r="F769" s="5" t="n">
        <v>145</v>
      </c>
      <c r="G769" s="5" t="n">
        <v>516</v>
      </c>
      <c r="H769" s="5" t="n">
        <v>100</v>
      </c>
      <c r="I769" s="5" t="n">
        <v>93</v>
      </c>
      <c r="J769" s="5" t="n">
        <v>6</v>
      </c>
      <c r="K769" s="10">
        <f>IF(F769&gt;0,H769/F769,"")</f>
        <v/>
      </c>
      <c r="L769" s="16">
        <f>IF(AND(G769&gt;0,H769&gt;0),G769/H769,"")</f>
        <v/>
      </c>
    </row>
    <row r="770">
      <c r="A770" s="4" t="inlineStr">
        <is>
          <t>473</t>
        </is>
      </c>
      <c r="B770" s="4" t="n">
        <v>4</v>
      </c>
      <c r="C770" s="4" t="inlineStr">
        <is>
          <t>antelope</t>
        </is>
      </c>
      <c r="D770" s="4" t="n">
        <v>2007</v>
      </c>
      <c r="E770" s="4" t="inlineStr"/>
      <c r="F770" s="5" t="n">
        <v>154</v>
      </c>
      <c r="G770" s="5" t="n">
        <v>507</v>
      </c>
      <c r="H770" s="5" t="n">
        <v>109</v>
      </c>
      <c r="I770" s="5" t="n">
        <v>103</v>
      </c>
      <c r="J770" s="5" t="n">
        <v>6</v>
      </c>
      <c r="K770" s="10">
        <f>IF(F770&gt;0,H770/F770,"")</f>
        <v/>
      </c>
      <c r="L770" s="16">
        <f>IF(AND(G770&gt;0,H770&gt;0),G770/H770,"")</f>
        <v/>
      </c>
    </row>
    <row r="771">
      <c r="A771" s="4" t="inlineStr">
        <is>
          <t>473</t>
        </is>
      </c>
      <c r="B771" s="4" t="n">
        <v>4</v>
      </c>
      <c r="C771" s="4" t="inlineStr">
        <is>
          <t>antelope</t>
        </is>
      </c>
      <c r="D771" s="4" t="n">
        <v>2008</v>
      </c>
      <c r="E771" s="4" t="inlineStr"/>
      <c r="F771" s="5" t="n">
        <v>171</v>
      </c>
      <c r="G771" s="5" t="n">
        <v>394</v>
      </c>
      <c r="H771" s="5" t="n">
        <v>130</v>
      </c>
      <c r="I771" s="5" t="n">
        <v>110</v>
      </c>
      <c r="J771" s="5" t="n">
        <v>20</v>
      </c>
      <c r="K771" s="10">
        <f>IF(F771&gt;0,H771/F771,"")</f>
        <v/>
      </c>
      <c r="L771" s="16">
        <f>IF(AND(G771&gt;0,H771&gt;0),G771/H771,"")</f>
        <v/>
      </c>
    </row>
    <row r="772">
      <c r="A772" s="4" t="inlineStr">
        <is>
          <t>473</t>
        </is>
      </c>
      <c r="B772" s="4" t="n">
        <v>4</v>
      </c>
      <c r="C772" s="4" t="inlineStr">
        <is>
          <t>antelope</t>
        </is>
      </c>
      <c r="D772" s="4" t="n">
        <v>2009</v>
      </c>
      <c r="E772" s="4" t="inlineStr"/>
      <c r="F772" s="5" t="n">
        <v>129</v>
      </c>
      <c r="G772" s="5" t="n">
        <v>339</v>
      </c>
      <c r="H772" s="5" t="n">
        <v>93</v>
      </c>
      <c r="I772" s="5" t="n">
        <v>84</v>
      </c>
      <c r="J772" s="5" t="n">
        <v>9</v>
      </c>
      <c r="K772" s="10">
        <f>IF(F772&gt;0,H772/F772,"")</f>
        <v/>
      </c>
      <c r="L772" s="16">
        <f>IF(AND(G772&gt;0,H772&gt;0),G772/H772,"")</f>
        <v/>
      </c>
    </row>
    <row r="773">
      <c r="A773" s="4" t="inlineStr">
        <is>
          <t>473</t>
        </is>
      </c>
      <c r="B773" s="4" t="n">
        <v>4</v>
      </c>
      <c r="C773" s="4" t="inlineStr">
        <is>
          <t>antelope</t>
        </is>
      </c>
      <c r="D773" s="4" t="n">
        <v>2010</v>
      </c>
      <c r="E773" s="4" t="inlineStr"/>
      <c r="F773" s="5" t="n">
        <v>123</v>
      </c>
      <c r="G773" s="5" t="n">
        <v>350</v>
      </c>
      <c r="H773" s="5" t="n">
        <v>91</v>
      </c>
      <c r="I773" s="5" t="n">
        <v>81</v>
      </c>
      <c r="J773" s="5" t="n">
        <v>10</v>
      </c>
      <c r="K773" s="10">
        <f>IF(F773&gt;0,H773/F773,"")</f>
        <v/>
      </c>
      <c r="L773" s="16">
        <f>IF(AND(G773&gt;0,H773&gt;0),G773/H773,"")</f>
        <v/>
      </c>
    </row>
    <row r="774">
      <c r="A774" s="4" t="inlineStr">
        <is>
          <t>473</t>
        </is>
      </c>
      <c r="B774" s="4" t="n">
        <v>4</v>
      </c>
      <c r="C774" s="4" t="inlineStr">
        <is>
          <t>antelope</t>
        </is>
      </c>
      <c r="D774" s="4" t="n">
        <v>2011</v>
      </c>
      <c r="E774" s="4" t="inlineStr"/>
      <c r="F774" s="5" t="n">
        <v>127</v>
      </c>
      <c r="G774" s="5" t="n">
        <v>272</v>
      </c>
      <c r="H774" s="5" t="n">
        <v>82</v>
      </c>
      <c r="I774" s="5" t="n">
        <v>71</v>
      </c>
      <c r="J774" s="5" t="n">
        <v>11</v>
      </c>
      <c r="K774" s="10">
        <f>IF(F774&gt;0,H774/F774,"")</f>
        <v/>
      </c>
      <c r="L774" s="16">
        <f>IF(AND(G774&gt;0,H774&gt;0),G774/H774,"")</f>
        <v/>
      </c>
    </row>
    <row r="775">
      <c r="A775" s="4" t="inlineStr">
        <is>
          <t>480</t>
        </is>
      </c>
      <c r="B775" s="4" t="n">
        <v>4</v>
      </c>
      <c r="C775" s="4" t="inlineStr">
        <is>
          <t>antelope</t>
        </is>
      </c>
      <c r="D775" s="4" t="n">
        <v>2004</v>
      </c>
      <c r="E775" s="15" t="inlineStr">
        <is>
          <t>Draw</t>
        </is>
      </c>
      <c r="F775" s="5" t="n">
        <v>1297</v>
      </c>
      <c r="G775" s="5" t="n">
        <v>3852</v>
      </c>
      <c r="H775" s="5" t="n">
        <v>1215</v>
      </c>
      <c r="I775" s="5" t="n">
        <v>515</v>
      </c>
      <c r="J775" s="5" t="n">
        <v>645</v>
      </c>
      <c r="K775" s="10">
        <f>IF(F775&gt;0,H775/F775,"")</f>
        <v/>
      </c>
      <c r="L775" s="16">
        <f>IF(AND(G775&gt;0,H775&gt;0),G775/H775,"")</f>
        <v/>
      </c>
    </row>
    <row r="776">
      <c r="A776" s="4" t="inlineStr">
        <is>
          <t>480</t>
        </is>
      </c>
      <c r="B776" s="4" t="n">
        <v>4</v>
      </c>
      <c r="C776" s="4" t="inlineStr">
        <is>
          <t>antelope</t>
        </is>
      </c>
      <c r="D776" s="4" t="n">
        <v>2005</v>
      </c>
      <c r="E776" s="15" t="inlineStr">
        <is>
          <t>Draw</t>
        </is>
      </c>
      <c r="F776" s="5" t="n">
        <v>1244</v>
      </c>
      <c r="G776" s="5" t="n">
        <v>3861</v>
      </c>
      <c r="H776" s="5" t="n">
        <v>1354</v>
      </c>
      <c r="I776" s="5" t="n">
        <v>590</v>
      </c>
      <c r="J776" s="5" t="n">
        <v>725</v>
      </c>
      <c r="K776" s="10">
        <f>IF(F776&gt;0,H776/F776,"")</f>
        <v/>
      </c>
      <c r="L776" s="16">
        <f>IF(AND(G776&gt;0,H776&gt;0),G776/H776,"")</f>
        <v/>
      </c>
    </row>
    <row r="777">
      <c r="A777" s="4" t="inlineStr">
        <is>
          <t>480</t>
        </is>
      </c>
      <c r="B777" s="4" t="n">
        <v>4</v>
      </c>
      <c r="C777" s="4" t="inlineStr">
        <is>
          <t>antelope</t>
        </is>
      </c>
      <c r="D777" s="4" t="n">
        <v>2006</v>
      </c>
      <c r="E777" s="15" t="inlineStr">
        <is>
          <t>Draw</t>
        </is>
      </c>
      <c r="F777" s="5" t="n">
        <v>1109</v>
      </c>
      <c r="G777" s="5" t="n">
        <v>3958</v>
      </c>
      <c r="H777" s="5" t="n">
        <v>1115</v>
      </c>
      <c r="I777" s="5" t="n">
        <v>504</v>
      </c>
      <c r="J777" s="5" t="n">
        <v>564</v>
      </c>
      <c r="K777" s="10">
        <f>IF(F777&gt;0,H777/F777,"")</f>
        <v/>
      </c>
      <c r="L777" s="16">
        <f>IF(AND(G777&gt;0,H777&gt;0),G777/H777,"")</f>
        <v/>
      </c>
    </row>
    <row r="778">
      <c r="A778" s="4" t="inlineStr">
        <is>
          <t>480</t>
        </is>
      </c>
      <c r="B778" s="4" t="n">
        <v>4</v>
      </c>
      <c r="C778" s="4" t="inlineStr">
        <is>
          <t>antelope</t>
        </is>
      </c>
      <c r="D778" s="4" t="n">
        <v>2007</v>
      </c>
      <c r="E778" s="15" t="inlineStr">
        <is>
          <t>Draw</t>
        </is>
      </c>
      <c r="F778" s="5" t="n">
        <v>1388</v>
      </c>
      <c r="G778" s="5" t="n">
        <v>4501</v>
      </c>
      <c r="H778" s="5" t="n">
        <v>1504</v>
      </c>
      <c r="I778" s="5" t="n">
        <v>635</v>
      </c>
      <c r="J778" s="5" t="n">
        <v>829</v>
      </c>
      <c r="K778" s="10">
        <f>IF(F778&gt;0,H778/F778,"")</f>
        <v/>
      </c>
      <c r="L778" s="16">
        <f>IF(AND(G778&gt;0,H778&gt;0),G778/H778,"")</f>
        <v/>
      </c>
    </row>
    <row r="779">
      <c r="A779" s="4" t="inlineStr">
        <is>
          <t>480</t>
        </is>
      </c>
      <c r="B779" s="4" t="n">
        <v>4</v>
      </c>
      <c r="C779" s="4" t="inlineStr">
        <is>
          <t>antelope</t>
        </is>
      </c>
      <c r="D779" s="4" t="n">
        <v>2008</v>
      </c>
      <c r="E779" s="15" t="inlineStr">
        <is>
          <t>Draw</t>
        </is>
      </c>
      <c r="F779" s="5" t="n">
        <v>1292</v>
      </c>
      <c r="G779" s="5" t="n">
        <v>4616</v>
      </c>
      <c r="H779" s="5" t="n">
        <v>951</v>
      </c>
      <c r="I779" s="5" t="n">
        <v>474</v>
      </c>
      <c r="J779" s="5" t="n">
        <v>452</v>
      </c>
      <c r="K779" s="10">
        <f>IF(F779&gt;0,H779/F779,"")</f>
        <v/>
      </c>
      <c r="L779" s="16">
        <f>IF(AND(G779&gt;0,H779&gt;0),G779/H779,"")</f>
        <v/>
      </c>
    </row>
    <row r="780">
      <c r="A780" s="4" t="inlineStr">
        <is>
          <t>480</t>
        </is>
      </c>
      <c r="B780" s="4" t="n">
        <v>4</v>
      </c>
      <c r="C780" s="4" t="inlineStr">
        <is>
          <t>antelope</t>
        </is>
      </c>
      <c r="D780" s="4" t="n">
        <v>2009</v>
      </c>
      <c r="E780" s="15" t="inlineStr">
        <is>
          <t>Draw</t>
        </is>
      </c>
      <c r="F780" s="5" t="n">
        <v>729</v>
      </c>
      <c r="G780" s="5" t="n">
        <v>2526</v>
      </c>
      <c r="H780" s="5" t="n">
        <v>392</v>
      </c>
      <c r="I780" s="5" t="n">
        <v>251</v>
      </c>
      <c r="J780" s="5" t="n">
        <v>129</v>
      </c>
      <c r="K780" s="10">
        <f>IF(F780&gt;0,H780/F780,"")</f>
        <v/>
      </c>
      <c r="L780" s="16">
        <f>IF(AND(G780&gt;0,H780&gt;0),G780/H780,"")</f>
        <v/>
      </c>
    </row>
    <row r="781">
      <c r="A781" s="4" t="inlineStr">
        <is>
          <t>480</t>
        </is>
      </c>
      <c r="B781" s="4" t="n">
        <v>4</v>
      </c>
      <c r="C781" s="4" t="inlineStr">
        <is>
          <t>antelope</t>
        </is>
      </c>
      <c r="D781" s="4" t="n">
        <v>2010</v>
      </c>
      <c r="E781" s="15" t="inlineStr">
        <is>
          <t>Draw</t>
        </is>
      </c>
      <c r="F781" s="5" t="n">
        <v>274</v>
      </c>
      <c r="G781" s="5" t="n">
        <v>1120</v>
      </c>
      <c r="H781" s="5" t="n">
        <v>131</v>
      </c>
      <c r="I781" s="5" t="n">
        <v>117</v>
      </c>
      <c r="J781" s="5" t="n">
        <v>14</v>
      </c>
      <c r="K781" s="10">
        <f>IF(F781&gt;0,H781/F781,"")</f>
        <v/>
      </c>
      <c r="L781" s="16">
        <f>IF(AND(G781&gt;0,H781&gt;0),G781/H781,"")</f>
        <v/>
      </c>
    </row>
    <row r="782">
      <c r="A782" s="4" t="inlineStr">
        <is>
          <t>480</t>
        </is>
      </c>
      <c r="B782" s="4" t="n">
        <v>4</v>
      </c>
      <c r="C782" s="4" t="inlineStr">
        <is>
          <t>antelope</t>
        </is>
      </c>
      <c r="D782" s="4" t="n">
        <v>2011</v>
      </c>
      <c r="E782" s="15" t="inlineStr">
        <is>
          <t>Draw</t>
        </is>
      </c>
      <c r="F782" s="5" t="n">
        <v>249</v>
      </c>
      <c r="G782" s="5" t="n">
        <v>819</v>
      </c>
      <c r="H782" s="5" t="n">
        <v>128</v>
      </c>
      <c r="I782" s="5" t="n">
        <v>107</v>
      </c>
      <c r="J782" s="5" t="n">
        <v>18</v>
      </c>
      <c r="K782" s="10">
        <f>IF(F782&gt;0,H782/F782,"")</f>
        <v/>
      </c>
      <c r="L782" s="16">
        <f>IF(AND(G782&gt;0,H782&gt;0),G782/H782,"")</f>
        <v/>
      </c>
    </row>
    <row r="783">
      <c r="A783" s="4" t="inlineStr">
        <is>
          <t>480</t>
        </is>
      </c>
      <c r="B783" s="4" t="n">
        <v>4</v>
      </c>
      <c r="C783" s="4" t="inlineStr">
        <is>
          <t>antelope</t>
        </is>
      </c>
      <c r="D783" s="4" t="n">
        <v>2012</v>
      </c>
      <c r="E783" s="15" t="inlineStr">
        <is>
          <t>Draw</t>
        </is>
      </c>
      <c r="F783" s="5" t="n">
        <v>230</v>
      </c>
      <c r="G783" s="5" t="n">
        <v>750</v>
      </c>
      <c r="H783" s="5" t="n">
        <v>126</v>
      </c>
      <c r="I783" s="5" t="n">
        <v>99</v>
      </c>
      <c r="J783" s="5" t="n">
        <v>27</v>
      </c>
      <c r="K783" s="10">
        <f>IF(F783&gt;0,H783/F783,"")</f>
        <v/>
      </c>
      <c r="L783" s="16">
        <f>IF(AND(G783&gt;0,H783&gt;0),G783/H783,"")</f>
        <v/>
      </c>
    </row>
    <row r="784">
      <c r="A784" s="4" t="inlineStr">
        <is>
          <t>480</t>
        </is>
      </c>
      <c r="B784" s="4" t="n">
        <v>4</v>
      </c>
      <c r="C784" s="4" t="inlineStr">
        <is>
          <t>antelope</t>
        </is>
      </c>
      <c r="D784" s="4" t="n">
        <v>2013</v>
      </c>
      <c r="E784" s="15" t="inlineStr">
        <is>
          <t>Draw</t>
        </is>
      </c>
      <c r="F784" s="5" t="n"/>
      <c r="G784" s="5" t="n"/>
      <c r="H784" s="5" t="n">
        <v>52</v>
      </c>
      <c r="I784" s="5" t="n">
        <v>46</v>
      </c>
      <c r="J784" s="5" t="n">
        <v>5</v>
      </c>
      <c r="K784" s="10">
        <f>IF(F784&gt;0,H784/F784,"")</f>
        <v/>
      </c>
      <c r="L784" s="16">
        <f>IF(AND(G784&gt;0,H784&gt;0),G784/H784,"")</f>
        <v/>
      </c>
    </row>
    <row r="785">
      <c r="A785" s="4" t="inlineStr">
        <is>
          <t>480</t>
        </is>
      </c>
      <c r="B785" s="4" t="n">
        <v>4</v>
      </c>
      <c r="C785" s="4" t="inlineStr">
        <is>
          <t>antelope</t>
        </is>
      </c>
      <c r="D785" s="4" t="n">
        <v>2014</v>
      </c>
      <c r="E785" s="15" t="inlineStr">
        <is>
          <t>Draw</t>
        </is>
      </c>
      <c r="F785" s="5" t="n">
        <v>143</v>
      </c>
      <c r="G785" s="5" t="n">
        <v>393</v>
      </c>
      <c r="H785" s="5" t="n">
        <v>73</v>
      </c>
      <c r="I785" s="5" t="n">
        <v>65</v>
      </c>
      <c r="J785" s="5" t="n">
        <v>8</v>
      </c>
      <c r="K785" s="10">
        <f>IF(F785&gt;0,H785/F785,"")</f>
        <v/>
      </c>
      <c r="L785" s="16">
        <f>IF(AND(G785&gt;0,H785&gt;0),G785/H785,"")</f>
        <v/>
      </c>
    </row>
    <row r="786">
      <c r="A786" s="4" t="inlineStr">
        <is>
          <t>480</t>
        </is>
      </c>
      <c r="B786" s="4" t="n">
        <v>4</v>
      </c>
      <c r="C786" s="4" t="inlineStr">
        <is>
          <t>antelope</t>
        </is>
      </c>
      <c r="D786" s="4" t="n">
        <v>2015</v>
      </c>
      <c r="E786" s="15" t="inlineStr">
        <is>
          <t>Draw</t>
        </is>
      </c>
      <c r="F786" s="5" t="n">
        <v>165</v>
      </c>
      <c r="G786" s="5" t="n">
        <v>499</v>
      </c>
      <c r="H786" s="5" t="n">
        <v>78</v>
      </c>
      <c r="I786" s="5" t="n">
        <v>65</v>
      </c>
      <c r="J786" s="5" t="n">
        <v>14</v>
      </c>
      <c r="K786" s="10">
        <f>IF(F786&gt;0,H786/F786,"")</f>
        <v/>
      </c>
      <c r="L786" s="16">
        <f>IF(AND(G786&gt;0,H786&gt;0),G786/H786,"")</f>
        <v/>
      </c>
    </row>
    <row r="787">
      <c r="A787" s="4" t="inlineStr">
        <is>
          <t>480</t>
        </is>
      </c>
      <c r="B787" s="4" t="n">
        <v>4</v>
      </c>
      <c r="C787" s="4" t="inlineStr">
        <is>
          <t>antelope</t>
        </is>
      </c>
      <c r="D787" s="4" t="n">
        <v>2016</v>
      </c>
      <c r="E787" s="15" t="inlineStr">
        <is>
          <t>Draw</t>
        </is>
      </c>
      <c r="F787" s="5" t="n"/>
      <c r="G787" s="5" t="n"/>
      <c r="H787" s="5" t="n">
        <v>95</v>
      </c>
      <c r="I787" s="5" t="n">
        <v>76</v>
      </c>
      <c r="J787" s="5" t="n">
        <v>20</v>
      </c>
      <c r="K787" s="10">
        <f>IF(F787&gt;0,H787/F787,"")</f>
        <v/>
      </c>
      <c r="L787" s="16">
        <f>IF(AND(G787&gt;0,H787&gt;0),G787/H787,"")</f>
        <v/>
      </c>
    </row>
    <row r="788">
      <c r="A788" s="4" t="inlineStr">
        <is>
          <t>480</t>
        </is>
      </c>
      <c r="B788" s="4" t="n">
        <v>4</v>
      </c>
      <c r="C788" s="4" t="inlineStr">
        <is>
          <t>antelope</t>
        </is>
      </c>
      <c r="D788" s="4" t="n">
        <v>2017</v>
      </c>
      <c r="E788" s="15" t="inlineStr">
        <is>
          <t>Draw</t>
        </is>
      </c>
      <c r="F788" s="5" t="n"/>
      <c r="G788" s="5" t="n"/>
      <c r="H788" s="5" t="n">
        <v>93</v>
      </c>
      <c r="I788" s="5" t="n">
        <v>69</v>
      </c>
      <c r="J788" s="5" t="n">
        <v>24</v>
      </c>
      <c r="K788" s="10">
        <f>IF(F788&gt;0,H788/F788,"")</f>
        <v/>
      </c>
      <c r="L788" s="16">
        <f>IF(AND(G788&gt;0,H788&gt;0),G788/H788,"")</f>
        <v/>
      </c>
    </row>
    <row r="789">
      <c r="A789" s="4" t="inlineStr">
        <is>
          <t>480</t>
        </is>
      </c>
      <c r="B789" s="4" t="n">
        <v>4</v>
      </c>
      <c r="C789" s="4" t="inlineStr">
        <is>
          <t>antelope</t>
        </is>
      </c>
      <c r="D789" s="4" t="n">
        <v>2018</v>
      </c>
      <c r="E789" s="15" t="inlineStr">
        <is>
          <t>Draw</t>
        </is>
      </c>
      <c r="F789" s="5" t="n">
        <v>106</v>
      </c>
      <c r="G789" s="5" t="n">
        <v>475</v>
      </c>
      <c r="H789" s="5" t="n">
        <v>105</v>
      </c>
      <c r="I789" s="5" t="n">
        <v>78</v>
      </c>
      <c r="J789" s="5" t="n">
        <v>26</v>
      </c>
      <c r="K789" s="10">
        <f>IF(F789&gt;0,H789/F789,"")</f>
        <v/>
      </c>
      <c r="L789" s="16">
        <f>IF(AND(G789&gt;0,H789&gt;0),G789/H789,"")</f>
        <v/>
      </c>
    </row>
    <row r="790">
      <c r="A790" s="4" t="inlineStr">
        <is>
          <t>480</t>
        </is>
      </c>
      <c r="B790" s="4" t="n">
        <v>4</v>
      </c>
      <c r="C790" s="4" t="inlineStr">
        <is>
          <t>antelope</t>
        </is>
      </c>
      <c r="D790" s="4" t="n">
        <v>2019</v>
      </c>
      <c r="E790" s="15" t="inlineStr">
        <is>
          <t>Draw</t>
        </is>
      </c>
      <c r="F790" s="5" t="n"/>
      <c r="G790" s="5" t="n"/>
      <c r="H790" s="5" t="n">
        <v>95</v>
      </c>
      <c r="I790" s="5" t="n">
        <v>82</v>
      </c>
      <c r="J790" s="5" t="n">
        <v>13</v>
      </c>
      <c r="K790" s="10">
        <f>IF(F790&gt;0,H790/F790,"")</f>
        <v/>
      </c>
      <c r="L790" s="16">
        <f>IF(AND(G790&gt;0,H790&gt;0),G790/H790,"")</f>
        <v/>
      </c>
    </row>
    <row r="791">
      <c r="A791" s="4" t="inlineStr">
        <is>
          <t>480</t>
        </is>
      </c>
      <c r="B791" s="4" t="n">
        <v>4</v>
      </c>
      <c r="C791" s="4" t="inlineStr">
        <is>
          <t>antelope</t>
        </is>
      </c>
      <c r="D791" s="4" t="n">
        <v>2020</v>
      </c>
      <c r="E791" s="15" t="inlineStr">
        <is>
          <t>Draw</t>
        </is>
      </c>
      <c r="F791" s="5" t="n">
        <v>193</v>
      </c>
      <c r="G791" s="5" t="n">
        <v>998</v>
      </c>
      <c r="H791" s="5" t="n">
        <v>100</v>
      </c>
      <c r="I791" s="5" t="n">
        <v>80</v>
      </c>
      <c r="J791" s="5" t="n">
        <v>20</v>
      </c>
      <c r="K791" s="10">
        <f>IF(F791&gt;0,H791/F791,"")</f>
        <v/>
      </c>
      <c r="L791" s="16">
        <f>IF(AND(G791&gt;0,H791&gt;0),G791/H791,"")</f>
        <v/>
      </c>
    </row>
    <row r="792">
      <c r="A792" s="4" t="inlineStr">
        <is>
          <t>480</t>
        </is>
      </c>
      <c r="B792" s="4" t="n">
        <v>4</v>
      </c>
      <c r="C792" s="4" t="inlineStr">
        <is>
          <t>antelope</t>
        </is>
      </c>
      <c r="D792" s="4" t="n">
        <v>2021</v>
      </c>
      <c r="E792" s="15" t="inlineStr">
        <is>
          <t>Draw</t>
        </is>
      </c>
      <c r="F792" s="5" t="n"/>
      <c r="G792" s="5" t="n"/>
      <c r="H792" s="5" t="n">
        <v>121</v>
      </c>
      <c r="I792" s="5" t="n">
        <v>93</v>
      </c>
      <c r="J792" s="5" t="n">
        <v>27</v>
      </c>
      <c r="K792" s="10">
        <f>IF(F792&gt;0,H792/F792,"")</f>
        <v/>
      </c>
      <c r="L792" s="16">
        <f>IF(AND(G792&gt;0,H792&gt;0),G792/H792,"")</f>
        <v/>
      </c>
    </row>
    <row r="793">
      <c r="A793" s="4" t="inlineStr">
        <is>
          <t>480</t>
        </is>
      </c>
      <c r="B793" s="4" t="n">
        <v>4</v>
      </c>
      <c r="C793" s="4" t="inlineStr">
        <is>
          <t>antelope</t>
        </is>
      </c>
      <c r="D793" s="4" t="n">
        <v>2022</v>
      </c>
      <c r="E793" s="15" t="inlineStr">
        <is>
          <t>Draw</t>
        </is>
      </c>
      <c r="F793" s="5" t="n">
        <v>160</v>
      </c>
      <c r="G793" s="5" t="n">
        <v>715</v>
      </c>
      <c r="H793" s="5" t="n">
        <v>94</v>
      </c>
      <c r="I793" s="5" t="n">
        <v>79</v>
      </c>
      <c r="J793" s="5" t="n">
        <v>15</v>
      </c>
      <c r="K793" s="10">
        <f>IF(F793&gt;0,H793/F793,"")</f>
        <v/>
      </c>
      <c r="L793" s="16">
        <f>IF(AND(G793&gt;0,H793&gt;0),G793/H793,"")</f>
        <v/>
      </c>
    </row>
    <row r="794">
      <c r="A794" s="4" t="inlineStr">
        <is>
          <t>480</t>
        </is>
      </c>
      <c r="B794" s="4" t="n">
        <v>4</v>
      </c>
      <c r="C794" s="4" t="inlineStr">
        <is>
          <t>antelope</t>
        </is>
      </c>
      <c r="D794" s="4" t="n">
        <v>2023</v>
      </c>
      <c r="E794" s="15" t="inlineStr">
        <is>
          <t>Draw</t>
        </is>
      </c>
      <c r="F794" s="5" t="n"/>
      <c r="G794" s="5" t="n"/>
      <c r="H794" s="5" t="n">
        <v>85</v>
      </c>
      <c r="I794" s="5" t="n">
        <v>70</v>
      </c>
      <c r="J794" s="5" t="n">
        <v>13</v>
      </c>
      <c r="K794" s="10">
        <f>IF(F794&gt;0,H794/F794,"")</f>
        <v/>
      </c>
      <c r="L794" s="16">
        <f>IF(AND(G794&gt;0,H794&gt;0),G794/H794,"")</f>
        <v/>
      </c>
    </row>
    <row r="795">
      <c r="A795" s="4" t="inlineStr">
        <is>
          <t>480</t>
        </is>
      </c>
      <c r="B795" s="4" t="n">
        <v>4</v>
      </c>
      <c r="C795" s="4" t="inlineStr">
        <is>
          <t>antelope</t>
        </is>
      </c>
      <c r="D795" s="4" t="n">
        <v>2024</v>
      </c>
      <c r="E795" s="15" t="inlineStr">
        <is>
          <t>Draw</t>
        </is>
      </c>
      <c r="F795" s="5" t="n">
        <v>173</v>
      </c>
      <c r="G795" s="5" t="n">
        <v>896</v>
      </c>
      <c r="H795" s="5" t="n">
        <v>118</v>
      </c>
      <c r="I795" s="5" t="n">
        <v>100</v>
      </c>
      <c r="J795" s="5" t="n">
        <v>18</v>
      </c>
      <c r="K795" s="10">
        <f>IF(F795&gt;0,H795/F795,"")</f>
        <v/>
      </c>
      <c r="L795" s="16">
        <f>IF(AND(G795&gt;0,H795&gt;0),G795/H795,"")</f>
        <v/>
      </c>
    </row>
    <row r="796">
      <c r="A796" s="4" t="inlineStr">
        <is>
          <t>480</t>
        </is>
      </c>
      <c r="B796" s="4" t="n">
        <v>4</v>
      </c>
      <c r="C796" s="4" t="inlineStr">
        <is>
          <t>antelope</t>
        </is>
      </c>
      <c r="D796" s="4" t="n">
        <v>2025</v>
      </c>
      <c r="E796" s="15" t="inlineStr">
        <is>
          <t>Draw</t>
        </is>
      </c>
      <c r="F796" s="5" t="n"/>
      <c r="G796" s="5" t="n"/>
      <c r="H796" s="5" t="n">
        <v>206</v>
      </c>
      <c r="I796" s="5" t="n">
        <v>142</v>
      </c>
      <c r="J796" s="5" t="n">
        <v>63</v>
      </c>
      <c r="K796" s="10">
        <f>IF(F796&gt;0,H796/F796,"")</f>
        <v/>
      </c>
      <c r="L796" s="16">
        <f>IF(AND(G796&gt;0,H796&gt;0),G796/H796,"")</f>
        <v/>
      </c>
    </row>
    <row r="797">
      <c r="A797" s="4" t="inlineStr">
        <is>
          <t>481</t>
        </is>
      </c>
      <c r="B797" s="4" t="n">
        <v>4</v>
      </c>
      <c r="C797" s="4" t="inlineStr">
        <is>
          <t>antelope</t>
        </is>
      </c>
      <c r="D797" s="4" t="n">
        <v>2004</v>
      </c>
      <c r="E797" s="15" t="inlineStr">
        <is>
          <t>Draw</t>
        </is>
      </c>
      <c r="F797" s="5" t="n">
        <v>950</v>
      </c>
      <c r="G797" s="5" t="n">
        <v>2817</v>
      </c>
      <c r="H797" s="5" t="n">
        <v>858</v>
      </c>
      <c r="I797" s="5" t="n">
        <v>381</v>
      </c>
      <c r="J797" s="5" t="n">
        <v>431</v>
      </c>
      <c r="K797" s="10">
        <f>IF(F797&gt;0,H797/F797,"")</f>
        <v/>
      </c>
      <c r="L797" s="16">
        <f>IF(AND(G797&gt;0,H797&gt;0),G797/H797,"")</f>
        <v/>
      </c>
    </row>
    <row r="798">
      <c r="A798" s="4" t="inlineStr">
        <is>
          <t>481</t>
        </is>
      </c>
      <c r="B798" s="4" t="n">
        <v>4</v>
      </c>
      <c r="C798" s="4" t="inlineStr">
        <is>
          <t>antelope</t>
        </is>
      </c>
      <c r="D798" s="4" t="n">
        <v>2005</v>
      </c>
      <c r="E798" s="15" t="inlineStr">
        <is>
          <t>Draw</t>
        </is>
      </c>
      <c r="F798" s="5" t="n">
        <v>1019</v>
      </c>
      <c r="G798" s="5" t="n">
        <v>2945</v>
      </c>
      <c r="H798" s="5" t="n">
        <v>959</v>
      </c>
      <c r="I798" s="5" t="n">
        <v>461</v>
      </c>
      <c r="J798" s="5" t="n">
        <v>448</v>
      </c>
      <c r="K798" s="10">
        <f>IF(F798&gt;0,H798/F798,"")</f>
        <v/>
      </c>
      <c r="L798" s="16">
        <f>IF(AND(G798&gt;0,H798&gt;0),G798/H798,"")</f>
        <v/>
      </c>
    </row>
    <row r="799">
      <c r="A799" s="4" t="inlineStr">
        <is>
          <t>481</t>
        </is>
      </c>
      <c r="B799" s="4" t="n">
        <v>4</v>
      </c>
      <c r="C799" s="4" t="inlineStr">
        <is>
          <t>antelope</t>
        </is>
      </c>
      <c r="D799" s="4" t="n">
        <v>2006</v>
      </c>
      <c r="E799" s="15" t="inlineStr">
        <is>
          <t>Draw</t>
        </is>
      </c>
      <c r="F799" s="5" t="n">
        <v>1046</v>
      </c>
      <c r="G799" s="5" t="n">
        <v>3143</v>
      </c>
      <c r="H799" s="5" t="n">
        <v>1022</v>
      </c>
      <c r="I799" s="5" t="n">
        <v>503</v>
      </c>
      <c r="J799" s="5" t="n">
        <v>470</v>
      </c>
      <c r="K799" s="10">
        <f>IF(F799&gt;0,H799/F799,"")</f>
        <v/>
      </c>
      <c r="L799" s="16">
        <f>IF(AND(G799&gt;0,H799&gt;0),G799/H799,"")</f>
        <v/>
      </c>
    </row>
    <row r="800">
      <c r="A800" s="4" t="inlineStr">
        <is>
          <t>481</t>
        </is>
      </c>
      <c r="B800" s="4" t="n">
        <v>4</v>
      </c>
      <c r="C800" s="4" t="inlineStr">
        <is>
          <t>antelope</t>
        </is>
      </c>
      <c r="D800" s="4" t="n">
        <v>2007</v>
      </c>
      <c r="E800" s="15" t="inlineStr">
        <is>
          <t>Draw</t>
        </is>
      </c>
      <c r="F800" s="5" t="n">
        <v>1192</v>
      </c>
      <c r="G800" s="5" t="n">
        <v>3674</v>
      </c>
      <c r="H800" s="5" t="n">
        <v>1082</v>
      </c>
      <c r="I800" s="5" t="n">
        <v>476</v>
      </c>
      <c r="J800" s="5" t="n">
        <v>589</v>
      </c>
      <c r="K800" s="10">
        <f>IF(F800&gt;0,H800/F800,"")</f>
        <v/>
      </c>
      <c r="L800" s="16">
        <f>IF(AND(G800&gt;0,H800&gt;0),G800/H800,"")</f>
        <v/>
      </c>
    </row>
    <row r="801">
      <c r="A801" s="4" t="inlineStr">
        <is>
          <t>481</t>
        </is>
      </c>
      <c r="B801" s="4" t="n">
        <v>4</v>
      </c>
      <c r="C801" s="4" t="inlineStr">
        <is>
          <t>antelope</t>
        </is>
      </c>
      <c r="D801" s="4" t="n">
        <v>2008</v>
      </c>
      <c r="E801" s="15" t="inlineStr">
        <is>
          <t>Draw</t>
        </is>
      </c>
      <c r="F801" s="5" t="n">
        <v>1158</v>
      </c>
      <c r="G801" s="5" t="n">
        <v>4171</v>
      </c>
      <c r="H801" s="5" t="n">
        <v>741</v>
      </c>
      <c r="I801" s="5" t="n">
        <v>412</v>
      </c>
      <c r="J801" s="5" t="n">
        <v>315</v>
      </c>
      <c r="K801" s="10">
        <f>IF(F801&gt;0,H801/F801,"")</f>
        <v/>
      </c>
      <c r="L801" s="16">
        <f>IF(AND(G801&gt;0,H801&gt;0),G801/H801,"")</f>
        <v/>
      </c>
    </row>
    <row r="802">
      <c r="A802" s="4" t="inlineStr">
        <is>
          <t>481</t>
        </is>
      </c>
      <c r="B802" s="4" t="n">
        <v>4</v>
      </c>
      <c r="C802" s="4" t="inlineStr">
        <is>
          <t>antelope</t>
        </is>
      </c>
      <c r="D802" s="4" t="n">
        <v>2009</v>
      </c>
      <c r="E802" s="15" t="inlineStr">
        <is>
          <t>Draw</t>
        </is>
      </c>
      <c r="F802" s="5" t="n">
        <v>476</v>
      </c>
      <c r="G802" s="5" t="n">
        <v>1641</v>
      </c>
      <c r="H802" s="5" t="n">
        <v>231</v>
      </c>
      <c r="I802" s="5" t="n">
        <v>157</v>
      </c>
      <c r="J802" s="5" t="n">
        <v>69</v>
      </c>
      <c r="K802" s="10">
        <f>IF(F802&gt;0,H802/F802,"")</f>
        <v/>
      </c>
      <c r="L802" s="16">
        <f>IF(AND(G802&gt;0,H802&gt;0),G802/H802,"")</f>
        <v/>
      </c>
    </row>
    <row r="803">
      <c r="A803" s="4" t="inlineStr">
        <is>
          <t>481</t>
        </is>
      </c>
      <c r="B803" s="4" t="n">
        <v>4</v>
      </c>
      <c r="C803" s="4" t="inlineStr">
        <is>
          <t>antelope</t>
        </is>
      </c>
      <c r="D803" s="4" t="n">
        <v>2010</v>
      </c>
      <c r="E803" s="15" t="inlineStr">
        <is>
          <t>Draw</t>
        </is>
      </c>
      <c r="F803" s="5" t="n">
        <v>169</v>
      </c>
      <c r="G803" s="5" t="n">
        <v>783</v>
      </c>
      <c r="H803" s="5" t="n">
        <v>52</v>
      </c>
      <c r="I803" s="5" t="n">
        <v>38</v>
      </c>
      <c r="J803" s="5" t="n">
        <v>15</v>
      </c>
      <c r="K803" s="10">
        <f>IF(F803&gt;0,H803/F803,"")</f>
        <v/>
      </c>
      <c r="L803" s="16">
        <f>IF(AND(G803&gt;0,H803&gt;0),G803/H803,"")</f>
        <v/>
      </c>
    </row>
    <row r="804">
      <c r="A804" s="4" t="inlineStr">
        <is>
          <t>481</t>
        </is>
      </c>
      <c r="B804" s="4" t="n">
        <v>4</v>
      </c>
      <c r="C804" s="4" t="inlineStr">
        <is>
          <t>antelope</t>
        </is>
      </c>
      <c r="D804" s="4" t="n">
        <v>2011</v>
      </c>
      <c r="E804" s="15" t="inlineStr">
        <is>
          <t>Draw</t>
        </is>
      </c>
      <c r="F804" s="5" t="n">
        <v>140</v>
      </c>
      <c r="G804" s="5" t="n">
        <v>493</v>
      </c>
      <c r="H804" s="5" t="n">
        <v>48</v>
      </c>
      <c r="I804" s="5" t="n">
        <v>35</v>
      </c>
      <c r="J804" s="5" t="n">
        <v>13</v>
      </c>
      <c r="K804" s="10">
        <f>IF(F804&gt;0,H804/F804,"")</f>
        <v/>
      </c>
      <c r="L804" s="16">
        <f>IF(AND(G804&gt;0,H804&gt;0),G804/H804,"")</f>
        <v/>
      </c>
    </row>
    <row r="805">
      <c r="A805" s="4" t="inlineStr">
        <is>
          <t>481</t>
        </is>
      </c>
      <c r="B805" s="4" t="n">
        <v>4</v>
      </c>
      <c r="C805" s="4" t="inlineStr">
        <is>
          <t>antelope</t>
        </is>
      </c>
      <c r="D805" s="4" t="n">
        <v>2012</v>
      </c>
      <c r="E805" s="15" t="inlineStr">
        <is>
          <t>Draw</t>
        </is>
      </c>
      <c r="F805" s="5" t="n">
        <v>89</v>
      </c>
      <c r="G805" s="5" t="n">
        <v>333</v>
      </c>
      <c r="H805" s="5" t="n">
        <v>22</v>
      </c>
      <c r="I805" s="5" t="n">
        <v>15</v>
      </c>
      <c r="J805" s="5" t="n">
        <v>8</v>
      </c>
      <c r="K805" s="10">
        <f>IF(F805&gt;0,H805/F805,"")</f>
        <v/>
      </c>
      <c r="L805" s="16">
        <f>IF(AND(G805&gt;0,H805&gt;0),G805/H805,"")</f>
        <v/>
      </c>
    </row>
    <row r="806">
      <c r="A806" s="4" t="inlineStr">
        <is>
          <t>481</t>
        </is>
      </c>
      <c r="B806" s="4" t="n">
        <v>4</v>
      </c>
      <c r="C806" s="4" t="inlineStr">
        <is>
          <t>antelope</t>
        </is>
      </c>
      <c r="D806" s="4" t="n">
        <v>2013</v>
      </c>
      <c r="E806" s="15" t="inlineStr">
        <is>
          <t>Draw</t>
        </is>
      </c>
      <c r="F806" s="5" t="n"/>
      <c r="G806" s="5" t="n"/>
      <c r="H806" s="5" t="n">
        <v>15</v>
      </c>
      <c r="I806" s="5" t="n">
        <v>11</v>
      </c>
      <c r="J806" s="5" t="n">
        <v>4</v>
      </c>
      <c r="K806" s="10">
        <f>IF(F806&gt;0,H806/F806,"")</f>
        <v/>
      </c>
      <c r="L806" s="16">
        <f>IF(AND(G806&gt;0,H806&gt;0),G806/H806,"")</f>
        <v/>
      </c>
    </row>
    <row r="807">
      <c r="A807" s="4" t="inlineStr">
        <is>
          <t>481</t>
        </is>
      </c>
      <c r="B807" s="4" t="n">
        <v>4</v>
      </c>
      <c r="C807" s="4" t="inlineStr">
        <is>
          <t>antelope</t>
        </is>
      </c>
      <c r="D807" s="4" t="n">
        <v>2014</v>
      </c>
      <c r="E807" s="15" t="inlineStr">
        <is>
          <t>Draw</t>
        </is>
      </c>
      <c r="F807" s="5" t="n">
        <v>58</v>
      </c>
      <c r="G807" s="5" t="n">
        <v>202</v>
      </c>
      <c r="H807" s="5" t="n">
        <v>22</v>
      </c>
      <c r="I807" s="5" t="n">
        <v>14</v>
      </c>
      <c r="J807" s="5" t="n">
        <v>8</v>
      </c>
      <c r="K807" s="10">
        <f>IF(F807&gt;0,H807/F807,"")</f>
        <v/>
      </c>
      <c r="L807" s="16">
        <f>IF(AND(G807&gt;0,H807&gt;0),G807/H807,"")</f>
        <v/>
      </c>
    </row>
    <row r="808">
      <c r="A808" s="4" t="inlineStr">
        <is>
          <t>481</t>
        </is>
      </c>
      <c r="B808" s="4" t="n">
        <v>4</v>
      </c>
      <c r="C808" s="4" t="inlineStr">
        <is>
          <t>antelope</t>
        </is>
      </c>
      <c r="D808" s="4" t="n">
        <v>2015</v>
      </c>
      <c r="E808" s="15" t="inlineStr">
        <is>
          <t>Draw</t>
        </is>
      </c>
      <c r="F808" s="5" t="n">
        <v>57</v>
      </c>
      <c r="G808" s="5" t="n">
        <v>267</v>
      </c>
      <c r="H808" s="5" t="n">
        <v>26</v>
      </c>
      <c r="I808" s="5" t="n">
        <v>16</v>
      </c>
      <c r="J808" s="5" t="n">
        <v>10</v>
      </c>
      <c r="K808" s="10">
        <f>IF(F808&gt;0,H808/F808,"")</f>
        <v/>
      </c>
      <c r="L808" s="16">
        <f>IF(AND(G808&gt;0,H808&gt;0),G808/H808,"")</f>
        <v/>
      </c>
    </row>
    <row r="809">
      <c r="A809" s="4" t="inlineStr">
        <is>
          <t>481</t>
        </is>
      </c>
      <c r="B809" s="4" t="n">
        <v>4</v>
      </c>
      <c r="C809" s="4" t="inlineStr">
        <is>
          <t>antelope</t>
        </is>
      </c>
      <c r="D809" s="4" t="n">
        <v>2016</v>
      </c>
      <c r="E809" s="15" t="inlineStr">
        <is>
          <t>Draw</t>
        </is>
      </c>
      <c r="F809" s="5" t="n"/>
      <c r="G809" s="5" t="n"/>
      <c r="H809" s="5" t="n">
        <v>35</v>
      </c>
      <c r="I809" s="5" t="n">
        <v>30</v>
      </c>
      <c r="J809" s="5" t="n">
        <v>6</v>
      </c>
      <c r="K809" s="10">
        <f>IF(F809&gt;0,H809/F809,"")</f>
        <v/>
      </c>
      <c r="L809" s="16">
        <f>IF(AND(G809&gt;0,H809&gt;0),G809/H809,"")</f>
        <v/>
      </c>
    </row>
    <row r="810">
      <c r="A810" s="4" t="inlineStr">
        <is>
          <t>481</t>
        </is>
      </c>
      <c r="B810" s="4" t="n">
        <v>4</v>
      </c>
      <c r="C810" s="4" t="inlineStr">
        <is>
          <t>antelope</t>
        </is>
      </c>
      <c r="D810" s="4" t="n">
        <v>2017</v>
      </c>
      <c r="E810" s="15" t="inlineStr">
        <is>
          <t>Draw</t>
        </is>
      </c>
      <c r="F810" s="5" t="n"/>
      <c r="G810" s="5" t="n"/>
      <c r="H810" s="5" t="n">
        <v>26</v>
      </c>
      <c r="I810" s="5" t="n">
        <v>15</v>
      </c>
      <c r="J810" s="5" t="n">
        <v>11</v>
      </c>
      <c r="K810" s="10">
        <f>IF(F810&gt;0,H810/F810,"")</f>
        <v/>
      </c>
      <c r="L810" s="16">
        <f>IF(AND(G810&gt;0,H810&gt;0),G810/H810,"")</f>
        <v/>
      </c>
    </row>
    <row r="811">
      <c r="A811" s="4" t="inlineStr">
        <is>
          <t>481</t>
        </is>
      </c>
      <c r="B811" s="4" t="n">
        <v>4</v>
      </c>
      <c r="C811" s="4" t="inlineStr">
        <is>
          <t>antelope</t>
        </is>
      </c>
      <c r="D811" s="4" t="n">
        <v>2018</v>
      </c>
      <c r="E811" s="15" t="inlineStr">
        <is>
          <t>Draw</t>
        </is>
      </c>
      <c r="F811" s="5" t="n">
        <v>51</v>
      </c>
      <c r="G811" s="5" t="n">
        <v>337</v>
      </c>
      <c r="H811" s="5" t="n">
        <v>26</v>
      </c>
      <c r="I811" s="5" t="n">
        <v>21</v>
      </c>
      <c r="J811" s="5" t="n">
        <v>5</v>
      </c>
      <c r="K811" s="10">
        <f>IF(F811&gt;0,H811/F811,"")</f>
        <v/>
      </c>
      <c r="L811" s="16">
        <f>IF(AND(G811&gt;0,H811&gt;0),G811/H811,"")</f>
        <v/>
      </c>
    </row>
    <row r="812">
      <c r="A812" s="4" t="inlineStr">
        <is>
          <t>481</t>
        </is>
      </c>
      <c r="B812" s="4" t="n">
        <v>4</v>
      </c>
      <c r="C812" s="4" t="inlineStr">
        <is>
          <t>antelope</t>
        </is>
      </c>
      <c r="D812" s="4" t="n">
        <v>2019</v>
      </c>
      <c r="E812" s="15" t="inlineStr">
        <is>
          <t>Draw</t>
        </is>
      </c>
      <c r="F812" s="5" t="n"/>
      <c r="G812" s="5" t="n"/>
      <c r="H812" s="5" t="n">
        <v>32</v>
      </c>
      <c r="I812" s="5" t="n">
        <v>19</v>
      </c>
      <c r="J812" s="5" t="n">
        <v>11</v>
      </c>
      <c r="K812" s="10">
        <f>IF(F812&gt;0,H812/F812,"")</f>
        <v/>
      </c>
      <c r="L812" s="16">
        <f>IF(AND(G812&gt;0,H812&gt;0),G812/H812,"")</f>
        <v/>
      </c>
    </row>
    <row r="813">
      <c r="A813" s="4" t="inlineStr">
        <is>
          <t>481</t>
        </is>
      </c>
      <c r="B813" s="4" t="n">
        <v>4</v>
      </c>
      <c r="C813" s="4" t="inlineStr">
        <is>
          <t>antelope</t>
        </is>
      </c>
      <c r="D813" s="4" t="n">
        <v>2020</v>
      </c>
      <c r="E813" s="15" t="inlineStr">
        <is>
          <t>Draw</t>
        </is>
      </c>
      <c r="F813" s="5" t="n">
        <v>250</v>
      </c>
      <c r="G813" s="5" t="n">
        <v>967</v>
      </c>
      <c r="H813" s="5" t="n">
        <v>150</v>
      </c>
      <c r="I813" s="5" t="n">
        <v>93</v>
      </c>
      <c r="J813" s="5" t="n">
        <v>53</v>
      </c>
      <c r="K813" s="10">
        <f>IF(F813&gt;0,H813/F813,"")</f>
        <v/>
      </c>
      <c r="L813" s="16">
        <f>IF(AND(G813&gt;0,H813&gt;0),G813/H813,"")</f>
        <v/>
      </c>
    </row>
    <row r="814">
      <c r="A814" s="4" t="inlineStr">
        <is>
          <t>481</t>
        </is>
      </c>
      <c r="B814" s="4" t="n">
        <v>4</v>
      </c>
      <c r="C814" s="4" t="inlineStr">
        <is>
          <t>antelope</t>
        </is>
      </c>
      <c r="D814" s="4" t="n">
        <v>2021</v>
      </c>
      <c r="E814" s="15" t="inlineStr">
        <is>
          <t>Draw</t>
        </is>
      </c>
      <c r="F814" s="5" t="n"/>
      <c r="G814" s="5" t="n"/>
      <c r="H814" s="5" t="n">
        <v>225</v>
      </c>
      <c r="I814" s="5" t="n">
        <v>107</v>
      </c>
      <c r="J814" s="5" t="n">
        <v>115</v>
      </c>
      <c r="K814" s="10">
        <f>IF(F814&gt;0,H814/F814,"")</f>
        <v/>
      </c>
      <c r="L814" s="16">
        <f>IF(AND(G814&gt;0,H814&gt;0),G814/H814,"")</f>
        <v/>
      </c>
    </row>
    <row r="815">
      <c r="A815" s="4" t="inlineStr">
        <is>
          <t>481</t>
        </is>
      </c>
      <c r="B815" s="4" t="n">
        <v>4</v>
      </c>
      <c r="C815" s="4" t="inlineStr">
        <is>
          <t>antelope</t>
        </is>
      </c>
      <c r="D815" s="4" t="n">
        <v>2022</v>
      </c>
      <c r="E815" s="15" t="inlineStr">
        <is>
          <t>Draw</t>
        </is>
      </c>
      <c r="F815" s="5" t="n">
        <v>196</v>
      </c>
      <c r="G815" s="5" t="n">
        <v>1019</v>
      </c>
      <c r="H815" s="5" t="n">
        <v>78</v>
      </c>
      <c r="I815" s="5" t="n">
        <v>47</v>
      </c>
      <c r="J815" s="5" t="n">
        <v>30</v>
      </c>
      <c r="K815" s="10">
        <f>IF(F815&gt;0,H815/F815,"")</f>
        <v/>
      </c>
      <c r="L815" s="16">
        <f>IF(AND(G815&gt;0,H815&gt;0),G815/H815,"")</f>
        <v/>
      </c>
    </row>
    <row r="816">
      <c r="A816" s="4" t="inlineStr">
        <is>
          <t>481</t>
        </is>
      </c>
      <c r="B816" s="4" t="n">
        <v>4</v>
      </c>
      <c r="C816" s="4" t="inlineStr">
        <is>
          <t>antelope</t>
        </is>
      </c>
      <c r="D816" s="4" t="n">
        <v>2023</v>
      </c>
      <c r="E816" s="15" t="inlineStr">
        <is>
          <t>Draw</t>
        </is>
      </c>
      <c r="F816" s="5" t="n"/>
      <c r="G816" s="5" t="n"/>
      <c r="H816" s="5" t="n">
        <v>57</v>
      </c>
      <c r="I816" s="5" t="n">
        <v>49</v>
      </c>
      <c r="J816" s="5" t="n">
        <v>8</v>
      </c>
      <c r="K816" s="10">
        <f>IF(F816&gt;0,H816/F816,"")</f>
        <v/>
      </c>
      <c r="L816" s="16">
        <f>IF(AND(G816&gt;0,H816&gt;0),G816/H816,"")</f>
        <v/>
      </c>
    </row>
    <row r="817">
      <c r="A817" s="4" t="inlineStr">
        <is>
          <t>481</t>
        </is>
      </c>
      <c r="B817" s="4" t="n">
        <v>4</v>
      </c>
      <c r="C817" s="4" t="inlineStr">
        <is>
          <t>antelope</t>
        </is>
      </c>
      <c r="D817" s="4" t="n">
        <v>2024</v>
      </c>
      <c r="E817" s="15" t="inlineStr">
        <is>
          <t>Draw</t>
        </is>
      </c>
      <c r="F817" s="5" t="n">
        <v>198</v>
      </c>
      <c r="G817" s="5" t="n">
        <v>857</v>
      </c>
      <c r="H817" s="5" t="n">
        <v>101</v>
      </c>
      <c r="I817" s="5" t="n">
        <v>89</v>
      </c>
      <c r="J817" s="5" t="n">
        <v>11</v>
      </c>
      <c r="K817" s="10">
        <f>IF(F817&gt;0,H817/F817,"")</f>
        <v/>
      </c>
      <c r="L817" s="16">
        <f>IF(AND(G817&gt;0,H817&gt;0),G817/H817,"")</f>
        <v/>
      </c>
    </row>
    <row r="818">
      <c r="A818" s="4" t="inlineStr">
        <is>
          <t>481</t>
        </is>
      </c>
      <c r="B818" s="4" t="n">
        <v>4</v>
      </c>
      <c r="C818" s="4" t="inlineStr">
        <is>
          <t>antelope</t>
        </is>
      </c>
      <c r="D818" s="4" t="n">
        <v>2025</v>
      </c>
      <c r="E818" s="15" t="inlineStr">
        <is>
          <t>Draw</t>
        </is>
      </c>
      <c r="F818" s="5" t="n"/>
      <c r="G818" s="5" t="n"/>
      <c r="H818" s="5" t="n">
        <v>150</v>
      </c>
      <c r="I818" s="5" t="n">
        <v>101</v>
      </c>
      <c r="J818" s="5" t="n">
        <v>49</v>
      </c>
      <c r="K818" s="10">
        <f>IF(F818&gt;0,H818/F818,"")</f>
        <v/>
      </c>
      <c r="L818" s="16">
        <f>IF(AND(G818&gt;0,H818&gt;0),G818/H818,"")</f>
        <v/>
      </c>
    </row>
    <row r="819">
      <c r="A819" s="4" t="inlineStr">
        <is>
          <t>490</t>
        </is>
      </c>
      <c r="B819" s="4" t="n">
        <v>4</v>
      </c>
      <c r="C819" s="4" t="inlineStr">
        <is>
          <t>antelope</t>
        </is>
      </c>
      <c r="D819" s="4" t="n">
        <v>2004</v>
      </c>
      <c r="E819" s="15" t="inlineStr">
        <is>
          <t>Draw</t>
        </is>
      </c>
      <c r="F819" s="5" t="n">
        <v>542</v>
      </c>
      <c r="G819" s="5" t="n">
        <v>1452</v>
      </c>
      <c r="H819" s="5" t="n">
        <v>497</v>
      </c>
      <c r="I819" s="5" t="n">
        <v>143</v>
      </c>
      <c r="J819" s="5" t="n">
        <v>333</v>
      </c>
      <c r="K819" s="10">
        <f>IF(F819&gt;0,H819/F819,"")</f>
        <v/>
      </c>
      <c r="L819" s="16">
        <f>IF(AND(G819&gt;0,H819&gt;0),G819/H819,"")</f>
        <v/>
      </c>
    </row>
    <row r="820">
      <c r="A820" s="4" t="inlineStr">
        <is>
          <t>490</t>
        </is>
      </c>
      <c r="B820" s="4" t="n">
        <v>4</v>
      </c>
      <c r="C820" s="4" t="inlineStr">
        <is>
          <t>antelope</t>
        </is>
      </c>
      <c r="D820" s="4" t="n">
        <v>2005</v>
      </c>
      <c r="E820" s="15" t="inlineStr">
        <is>
          <t>Draw</t>
        </is>
      </c>
      <c r="F820" s="5" t="n">
        <v>549</v>
      </c>
      <c r="G820" s="5" t="n">
        <v>1229</v>
      </c>
      <c r="H820" s="5" t="n">
        <v>556</v>
      </c>
      <c r="I820" s="5" t="n">
        <v>212</v>
      </c>
      <c r="J820" s="5" t="n">
        <v>324</v>
      </c>
      <c r="K820" s="10">
        <f>IF(F820&gt;0,H820/F820,"")</f>
        <v/>
      </c>
      <c r="L820" s="16">
        <f>IF(AND(G820&gt;0,H820&gt;0),G820/H820,"")</f>
        <v/>
      </c>
    </row>
    <row r="821">
      <c r="A821" s="4" t="inlineStr">
        <is>
          <t>490</t>
        </is>
      </c>
      <c r="B821" s="4" t="n">
        <v>4</v>
      </c>
      <c r="C821" s="4" t="inlineStr">
        <is>
          <t>antelope</t>
        </is>
      </c>
      <c r="D821" s="4" t="n">
        <v>2006</v>
      </c>
      <c r="E821" s="15" t="inlineStr">
        <is>
          <t>Draw</t>
        </is>
      </c>
      <c r="F821" s="5" t="n">
        <v>464</v>
      </c>
      <c r="G821" s="5" t="n">
        <v>1209</v>
      </c>
      <c r="H821" s="5" t="n">
        <v>467</v>
      </c>
      <c r="I821" s="5" t="n">
        <v>174</v>
      </c>
      <c r="J821" s="5" t="n">
        <v>262</v>
      </c>
      <c r="K821" s="10">
        <f>IF(F821&gt;0,H821/F821,"")</f>
        <v/>
      </c>
      <c r="L821" s="16">
        <f>IF(AND(G821&gt;0,H821&gt;0),G821/H821,"")</f>
        <v/>
      </c>
    </row>
    <row r="822">
      <c r="A822" s="4" t="inlineStr">
        <is>
          <t>490</t>
        </is>
      </c>
      <c r="B822" s="4" t="n">
        <v>4</v>
      </c>
      <c r="C822" s="4" t="inlineStr">
        <is>
          <t>antelope</t>
        </is>
      </c>
      <c r="D822" s="4" t="n">
        <v>2007</v>
      </c>
      <c r="E822" s="15" t="inlineStr">
        <is>
          <t>Draw</t>
        </is>
      </c>
      <c r="F822" s="5" t="n">
        <v>616</v>
      </c>
      <c r="G822" s="5" t="n">
        <v>1940</v>
      </c>
      <c r="H822" s="5" t="n">
        <v>591</v>
      </c>
      <c r="I822" s="5" t="n">
        <v>167</v>
      </c>
      <c r="J822" s="5" t="n">
        <v>392</v>
      </c>
      <c r="K822" s="10">
        <f>IF(F822&gt;0,H822/F822,"")</f>
        <v/>
      </c>
      <c r="L822" s="16">
        <f>IF(AND(G822&gt;0,H822&gt;0),G822/H822,"")</f>
        <v/>
      </c>
    </row>
    <row r="823">
      <c r="A823" s="4" t="inlineStr">
        <is>
          <t>490</t>
        </is>
      </c>
      <c r="B823" s="4" t="n">
        <v>4</v>
      </c>
      <c r="C823" s="4" t="inlineStr">
        <is>
          <t>antelope</t>
        </is>
      </c>
      <c r="D823" s="4" t="n">
        <v>2008</v>
      </c>
      <c r="E823" s="15" t="inlineStr">
        <is>
          <t>Draw</t>
        </is>
      </c>
      <c r="F823" s="5" t="n">
        <v>399</v>
      </c>
      <c r="G823" s="5" t="n">
        <v>1155</v>
      </c>
      <c r="H823" s="5" t="n">
        <v>253</v>
      </c>
      <c r="I823" s="5" t="n">
        <v>156</v>
      </c>
      <c r="J823" s="5" t="n">
        <v>90</v>
      </c>
      <c r="K823" s="10">
        <f>IF(F823&gt;0,H823/F823,"")</f>
        <v/>
      </c>
      <c r="L823" s="16">
        <f>IF(AND(G823&gt;0,H823&gt;0),G823/H823,"")</f>
        <v/>
      </c>
    </row>
    <row r="824">
      <c r="A824" s="4" t="inlineStr">
        <is>
          <t>490</t>
        </is>
      </c>
      <c r="B824" s="4" t="n">
        <v>4</v>
      </c>
      <c r="C824" s="4" t="inlineStr">
        <is>
          <t>antelope</t>
        </is>
      </c>
      <c r="D824" s="4" t="n">
        <v>2009</v>
      </c>
      <c r="E824" s="15" t="inlineStr">
        <is>
          <t>Draw</t>
        </is>
      </c>
      <c r="F824" s="5" t="n">
        <v>408</v>
      </c>
      <c r="G824" s="5" t="n">
        <v>1117</v>
      </c>
      <c r="H824" s="5" t="n">
        <v>311</v>
      </c>
      <c r="I824" s="5" t="n">
        <v>153</v>
      </c>
      <c r="J824" s="5" t="n">
        <v>141</v>
      </c>
      <c r="K824" s="10">
        <f>IF(F824&gt;0,H824/F824,"")</f>
        <v/>
      </c>
      <c r="L824" s="16">
        <f>IF(AND(G824&gt;0,H824&gt;0),G824/H824,"")</f>
        <v/>
      </c>
    </row>
    <row r="825">
      <c r="A825" s="4" t="inlineStr">
        <is>
          <t>490</t>
        </is>
      </c>
      <c r="B825" s="4" t="n">
        <v>4</v>
      </c>
      <c r="C825" s="4" t="inlineStr">
        <is>
          <t>antelope</t>
        </is>
      </c>
      <c r="D825" s="4" t="n">
        <v>2010</v>
      </c>
      <c r="E825" s="15" t="inlineStr">
        <is>
          <t>Draw</t>
        </is>
      </c>
      <c r="F825" s="5" t="n">
        <v>457</v>
      </c>
      <c r="G825" s="5" t="n">
        <v>1269</v>
      </c>
      <c r="H825" s="5" t="n">
        <v>373</v>
      </c>
      <c r="I825" s="5" t="n">
        <v>132</v>
      </c>
      <c r="J825" s="5" t="n">
        <v>239</v>
      </c>
      <c r="K825" s="10">
        <f>IF(F825&gt;0,H825/F825,"")</f>
        <v/>
      </c>
      <c r="L825" s="16">
        <f>IF(AND(G825&gt;0,H825&gt;0),G825/H825,"")</f>
        <v/>
      </c>
    </row>
    <row r="826">
      <c r="A826" s="4" t="inlineStr">
        <is>
          <t>490</t>
        </is>
      </c>
      <c r="B826" s="4" t="n">
        <v>4</v>
      </c>
      <c r="C826" s="4" t="inlineStr">
        <is>
          <t>antelope</t>
        </is>
      </c>
      <c r="D826" s="4" t="n">
        <v>2011</v>
      </c>
      <c r="E826" s="15" t="inlineStr">
        <is>
          <t>Draw</t>
        </is>
      </c>
      <c r="F826" s="5" t="n">
        <v>479</v>
      </c>
      <c r="G826" s="5" t="n">
        <v>1500</v>
      </c>
      <c r="H826" s="5" t="n">
        <v>395</v>
      </c>
      <c r="I826" s="5" t="n">
        <v>163</v>
      </c>
      <c r="J826" s="5" t="n">
        <v>219</v>
      </c>
      <c r="K826" s="10">
        <f>IF(F826&gt;0,H826/F826,"")</f>
        <v/>
      </c>
      <c r="L826" s="16">
        <f>IF(AND(G826&gt;0,H826&gt;0),G826/H826,"")</f>
        <v/>
      </c>
    </row>
    <row r="827">
      <c r="A827" s="4" t="inlineStr">
        <is>
          <t>490</t>
        </is>
      </c>
      <c r="B827" s="4" t="n">
        <v>4</v>
      </c>
      <c r="C827" s="4" t="inlineStr">
        <is>
          <t>antelope</t>
        </is>
      </c>
      <c r="D827" s="4" t="n">
        <v>2012</v>
      </c>
      <c r="E827" s="15" t="inlineStr">
        <is>
          <t>Draw</t>
        </is>
      </c>
      <c r="F827" s="5" t="n">
        <v>390</v>
      </c>
      <c r="G827" s="5" t="n">
        <v>1055</v>
      </c>
      <c r="H827" s="5" t="n">
        <v>334</v>
      </c>
      <c r="I827" s="5" t="n">
        <v>125</v>
      </c>
      <c r="J827" s="5" t="n">
        <v>202</v>
      </c>
      <c r="K827" s="10">
        <f>IF(F827&gt;0,H827/F827,"")</f>
        <v/>
      </c>
      <c r="L827" s="16">
        <f>IF(AND(G827&gt;0,H827&gt;0),G827/H827,"")</f>
        <v/>
      </c>
    </row>
    <row r="828">
      <c r="A828" s="4" t="inlineStr">
        <is>
          <t>490</t>
        </is>
      </c>
      <c r="B828" s="4" t="n">
        <v>4</v>
      </c>
      <c r="C828" s="4" t="inlineStr">
        <is>
          <t>antelope</t>
        </is>
      </c>
      <c r="D828" s="4" t="n">
        <v>2013</v>
      </c>
      <c r="E828" s="15" t="inlineStr">
        <is>
          <t>Draw</t>
        </is>
      </c>
      <c r="F828" s="5" t="n"/>
      <c r="G828" s="5" t="n"/>
      <c r="H828" s="5" t="n">
        <v>268</v>
      </c>
      <c r="I828" s="5" t="n">
        <v>121</v>
      </c>
      <c r="J828" s="5" t="n">
        <v>139</v>
      </c>
      <c r="K828" s="10">
        <f>IF(F828&gt;0,H828/F828,"")</f>
        <v/>
      </c>
      <c r="L828" s="16">
        <f>IF(AND(G828&gt;0,H828&gt;0),G828/H828,"")</f>
        <v/>
      </c>
    </row>
    <row r="829">
      <c r="A829" s="4" t="inlineStr">
        <is>
          <t>490</t>
        </is>
      </c>
      <c r="B829" s="4" t="n">
        <v>4</v>
      </c>
      <c r="C829" s="4" t="inlineStr">
        <is>
          <t>antelope</t>
        </is>
      </c>
      <c r="D829" s="4" t="n">
        <v>2014</v>
      </c>
      <c r="E829" s="15" t="inlineStr">
        <is>
          <t>Draw</t>
        </is>
      </c>
      <c r="F829" s="5" t="n">
        <v>338</v>
      </c>
      <c r="G829" s="5" t="n">
        <v>979</v>
      </c>
      <c r="H829" s="5" t="n">
        <v>273</v>
      </c>
      <c r="I829" s="5" t="n">
        <v>121</v>
      </c>
      <c r="J829" s="5" t="n">
        <v>134</v>
      </c>
      <c r="K829" s="10">
        <f>IF(F829&gt;0,H829/F829,"")</f>
        <v/>
      </c>
      <c r="L829" s="16">
        <f>IF(AND(G829&gt;0,H829&gt;0),G829/H829,"")</f>
        <v/>
      </c>
    </row>
    <row r="830">
      <c r="A830" s="4" t="inlineStr">
        <is>
          <t>490</t>
        </is>
      </c>
      <c r="B830" s="4" t="n">
        <v>4</v>
      </c>
      <c r="C830" s="4" t="inlineStr">
        <is>
          <t>antelope</t>
        </is>
      </c>
      <c r="D830" s="4" t="n">
        <v>2015</v>
      </c>
      <c r="E830" s="15" t="inlineStr">
        <is>
          <t>Draw</t>
        </is>
      </c>
      <c r="F830" s="5" t="n">
        <v>355</v>
      </c>
      <c r="G830" s="5" t="n">
        <v>928</v>
      </c>
      <c r="H830" s="5" t="n">
        <v>296</v>
      </c>
      <c r="I830" s="5" t="n">
        <v>136</v>
      </c>
      <c r="J830" s="5" t="n">
        <v>150</v>
      </c>
      <c r="K830" s="10">
        <f>IF(F830&gt;0,H830/F830,"")</f>
        <v/>
      </c>
      <c r="L830" s="16">
        <f>IF(AND(G830&gt;0,H830&gt;0),G830/H830,"")</f>
        <v/>
      </c>
    </row>
    <row r="831">
      <c r="A831" s="4" t="inlineStr">
        <is>
          <t>490</t>
        </is>
      </c>
      <c r="B831" s="4" t="n">
        <v>4</v>
      </c>
      <c r="C831" s="4" t="inlineStr">
        <is>
          <t>antelope</t>
        </is>
      </c>
      <c r="D831" s="4" t="n">
        <v>2016</v>
      </c>
      <c r="E831" s="15" t="inlineStr">
        <is>
          <t>Draw</t>
        </is>
      </c>
      <c r="F831" s="5" t="n"/>
      <c r="G831" s="5" t="n"/>
      <c r="H831" s="5" t="n">
        <v>254</v>
      </c>
      <c r="I831" s="5" t="n">
        <v>124</v>
      </c>
      <c r="J831" s="5" t="n">
        <v>125</v>
      </c>
      <c r="K831" s="10">
        <f>IF(F831&gt;0,H831/F831,"")</f>
        <v/>
      </c>
      <c r="L831" s="16">
        <f>IF(AND(G831&gt;0,H831&gt;0),G831/H831,"")</f>
        <v/>
      </c>
    </row>
    <row r="832">
      <c r="A832" s="4" t="inlineStr">
        <is>
          <t>490</t>
        </is>
      </c>
      <c r="B832" s="4" t="n">
        <v>4</v>
      </c>
      <c r="C832" s="4" t="inlineStr">
        <is>
          <t>antelope</t>
        </is>
      </c>
      <c r="D832" s="4" t="n">
        <v>2017</v>
      </c>
      <c r="E832" s="15" t="inlineStr">
        <is>
          <t>Draw</t>
        </is>
      </c>
      <c r="F832" s="5" t="n"/>
      <c r="G832" s="5" t="n"/>
      <c r="H832" s="5" t="n">
        <v>306</v>
      </c>
      <c r="I832" s="5" t="n">
        <v>149</v>
      </c>
      <c r="J832" s="5" t="n">
        <v>149</v>
      </c>
      <c r="K832" s="10">
        <f>IF(F832&gt;0,H832/F832,"")</f>
        <v/>
      </c>
      <c r="L832" s="16">
        <f>IF(AND(G832&gt;0,H832&gt;0),G832/H832,"")</f>
        <v/>
      </c>
    </row>
    <row r="833">
      <c r="A833" s="4" t="inlineStr">
        <is>
          <t>490</t>
        </is>
      </c>
      <c r="B833" s="4" t="n">
        <v>4</v>
      </c>
      <c r="C833" s="4" t="inlineStr">
        <is>
          <t>antelope</t>
        </is>
      </c>
      <c r="D833" s="4" t="n">
        <v>2018</v>
      </c>
      <c r="E833" s="15" t="inlineStr">
        <is>
          <t>Draw</t>
        </is>
      </c>
      <c r="F833" s="5" t="n">
        <v>414</v>
      </c>
      <c r="G833" s="5" t="n">
        <v>1558</v>
      </c>
      <c r="H833" s="5" t="n">
        <v>294</v>
      </c>
      <c r="I833" s="5" t="n">
        <v>162</v>
      </c>
      <c r="J833" s="5" t="n">
        <v>130</v>
      </c>
      <c r="K833" s="10">
        <f>IF(F833&gt;0,H833/F833,"")</f>
        <v/>
      </c>
      <c r="L833" s="16">
        <f>IF(AND(G833&gt;0,H833&gt;0),G833/H833,"")</f>
        <v/>
      </c>
    </row>
    <row r="834">
      <c r="A834" s="4" t="inlineStr">
        <is>
          <t>490</t>
        </is>
      </c>
      <c r="B834" s="4" t="n">
        <v>4</v>
      </c>
      <c r="C834" s="4" t="inlineStr">
        <is>
          <t>antelope</t>
        </is>
      </c>
      <c r="D834" s="4" t="n">
        <v>2019</v>
      </c>
      <c r="E834" s="15" t="inlineStr">
        <is>
          <t>Draw</t>
        </is>
      </c>
      <c r="F834" s="5" t="n"/>
      <c r="G834" s="5" t="n"/>
      <c r="H834" s="5" t="n">
        <v>271</v>
      </c>
      <c r="I834" s="5" t="n">
        <v>131</v>
      </c>
      <c r="J834" s="5" t="n">
        <v>129</v>
      </c>
      <c r="K834" s="10">
        <f>IF(F834&gt;0,H834/F834,"")</f>
        <v/>
      </c>
      <c r="L834" s="16">
        <f>IF(AND(G834&gt;0,H834&gt;0),G834/H834,"")</f>
        <v/>
      </c>
    </row>
    <row r="835">
      <c r="A835" s="4" t="inlineStr">
        <is>
          <t>490</t>
        </is>
      </c>
      <c r="B835" s="4" t="n">
        <v>4</v>
      </c>
      <c r="C835" s="4" t="inlineStr">
        <is>
          <t>antelope</t>
        </is>
      </c>
      <c r="D835" s="4" t="n">
        <v>2020</v>
      </c>
      <c r="E835" s="15" t="inlineStr">
        <is>
          <t>Draw</t>
        </is>
      </c>
      <c r="F835" s="5" t="n">
        <v>421</v>
      </c>
      <c r="G835" s="5" t="n">
        <v>1375</v>
      </c>
      <c r="H835" s="5" t="n">
        <v>300</v>
      </c>
      <c r="I835" s="5" t="n">
        <v>148</v>
      </c>
      <c r="J835" s="5" t="n">
        <v>146</v>
      </c>
      <c r="K835" s="10">
        <f>IF(F835&gt;0,H835/F835,"")</f>
        <v/>
      </c>
      <c r="L835" s="16">
        <f>IF(AND(G835&gt;0,H835&gt;0),G835/H835,"")</f>
        <v/>
      </c>
    </row>
    <row r="836">
      <c r="A836" s="4" t="inlineStr">
        <is>
          <t>490</t>
        </is>
      </c>
      <c r="B836" s="4" t="n">
        <v>4</v>
      </c>
      <c r="C836" s="4" t="inlineStr">
        <is>
          <t>antelope</t>
        </is>
      </c>
      <c r="D836" s="4" t="n">
        <v>2021</v>
      </c>
      <c r="E836" s="15" t="inlineStr">
        <is>
          <t>Draw</t>
        </is>
      </c>
      <c r="F836" s="5" t="n"/>
      <c r="G836" s="5" t="n"/>
      <c r="H836" s="5" t="n">
        <v>285</v>
      </c>
      <c r="I836" s="5" t="n">
        <v>152</v>
      </c>
      <c r="J836" s="5" t="n">
        <v>120</v>
      </c>
      <c r="K836" s="10">
        <f>IF(F836&gt;0,H836/F836,"")</f>
        <v/>
      </c>
      <c r="L836" s="16">
        <f>IF(AND(G836&gt;0,H836&gt;0),G836/H836,"")</f>
        <v/>
      </c>
    </row>
    <row r="837">
      <c r="A837" s="4" t="inlineStr">
        <is>
          <t>490</t>
        </is>
      </c>
      <c r="B837" s="4" t="n">
        <v>4</v>
      </c>
      <c r="C837" s="4" t="inlineStr">
        <is>
          <t>antelope</t>
        </is>
      </c>
      <c r="D837" s="4" t="n">
        <v>2022</v>
      </c>
      <c r="E837" s="15" t="inlineStr">
        <is>
          <t>Draw</t>
        </is>
      </c>
      <c r="F837" s="5" t="n">
        <v>473</v>
      </c>
      <c r="G837" s="5" t="n">
        <v>1675</v>
      </c>
      <c r="H837" s="5" t="n">
        <v>316</v>
      </c>
      <c r="I837" s="5" t="n">
        <v>177</v>
      </c>
      <c r="J837" s="5" t="n">
        <v>137</v>
      </c>
      <c r="K837" s="10">
        <f>IF(F837&gt;0,H837/F837,"")</f>
        <v/>
      </c>
      <c r="L837" s="16">
        <f>IF(AND(G837&gt;0,H837&gt;0),G837/H837,"")</f>
        <v/>
      </c>
    </row>
    <row r="838">
      <c r="A838" s="4" t="inlineStr">
        <is>
          <t>490</t>
        </is>
      </c>
      <c r="B838" s="4" t="n">
        <v>4</v>
      </c>
      <c r="C838" s="4" t="inlineStr">
        <is>
          <t>antelope</t>
        </is>
      </c>
      <c r="D838" s="4" t="n">
        <v>2023</v>
      </c>
      <c r="E838" s="15" t="inlineStr">
        <is>
          <t>Draw</t>
        </is>
      </c>
      <c r="F838" s="5" t="n"/>
      <c r="G838" s="5" t="n"/>
      <c r="H838" s="5" t="n">
        <v>115</v>
      </c>
      <c r="I838" s="5" t="n">
        <v>83</v>
      </c>
      <c r="J838" s="5" t="n">
        <v>28</v>
      </c>
      <c r="K838" s="10">
        <f>IF(F838&gt;0,H838/F838,"")</f>
        <v/>
      </c>
      <c r="L838" s="16">
        <f>IF(AND(G838&gt;0,H838&gt;0),G838/H838,"")</f>
        <v/>
      </c>
    </row>
    <row r="839">
      <c r="A839" s="4" t="inlineStr">
        <is>
          <t>490</t>
        </is>
      </c>
      <c r="B839" s="4" t="n">
        <v>4</v>
      </c>
      <c r="C839" s="4" t="inlineStr">
        <is>
          <t>antelope</t>
        </is>
      </c>
      <c r="D839" s="4" t="n">
        <v>2024</v>
      </c>
      <c r="E839" s="15" t="inlineStr">
        <is>
          <t>Draw</t>
        </is>
      </c>
      <c r="F839" s="5" t="n">
        <v>256</v>
      </c>
      <c r="G839" s="5" t="n">
        <v>831</v>
      </c>
      <c r="H839" s="5" t="n">
        <v>156</v>
      </c>
      <c r="I839" s="5" t="n">
        <v>91</v>
      </c>
      <c r="J839" s="5" t="n">
        <v>64</v>
      </c>
      <c r="K839" s="10">
        <f>IF(F839&gt;0,H839/F839,"")</f>
        <v/>
      </c>
      <c r="L839" s="16">
        <f>IF(AND(G839&gt;0,H839&gt;0),G839/H839,"")</f>
        <v/>
      </c>
    </row>
    <row r="840">
      <c r="A840" s="4" t="inlineStr">
        <is>
          <t>490</t>
        </is>
      </c>
      <c r="B840" s="4" t="n">
        <v>4</v>
      </c>
      <c r="C840" s="4" t="inlineStr">
        <is>
          <t>antelope</t>
        </is>
      </c>
      <c r="D840" s="4" t="n">
        <v>2025</v>
      </c>
      <c r="E840" s="15" t="inlineStr">
        <is>
          <t>Draw</t>
        </is>
      </c>
      <c r="F840" s="5" t="n"/>
      <c r="G840" s="5" t="n"/>
      <c r="H840" s="5" t="n">
        <v>174</v>
      </c>
      <c r="I840" s="5" t="n">
        <v>103</v>
      </c>
      <c r="J840" s="5" t="n">
        <v>71</v>
      </c>
      <c r="K840" s="10">
        <f>IF(F840&gt;0,H840/F840,"")</f>
        <v/>
      </c>
      <c r="L840" s="16">
        <f>IF(AND(G840&gt;0,H840&gt;0),G840/H840,"")</f>
        <v/>
      </c>
    </row>
    <row r="841">
      <c r="A841" s="4" t="inlineStr">
        <is>
          <t>491</t>
        </is>
      </c>
      <c r="B841" s="4" t="n">
        <v>4</v>
      </c>
      <c r="C841" s="4" t="inlineStr">
        <is>
          <t>antelope</t>
        </is>
      </c>
      <c r="D841" s="4" t="n">
        <v>2004</v>
      </c>
      <c r="E841" s="4" t="inlineStr"/>
      <c r="F841" s="5" t="n">
        <v>304</v>
      </c>
      <c r="G841" s="5" t="n">
        <v>664</v>
      </c>
      <c r="H841" s="5" t="n">
        <v>233</v>
      </c>
      <c r="I841" s="5" t="n">
        <v>88</v>
      </c>
      <c r="J841" s="5" t="n">
        <v>134</v>
      </c>
      <c r="K841" s="10">
        <f>IF(F841&gt;0,H841/F841,"")</f>
        <v/>
      </c>
      <c r="L841" s="16">
        <f>IF(AND(G841&gt;0,H841&gt;0),G841/H841,"")</f>
        <v/>
      </c>
    </row>
    <row r="842">
      <c r="A842" s="4" t="inlineStr">
        <is>
          <t>491</t>
        </is>
      </c>
      <c r="B842" s="4" t="n">
        <v>4</v>
      </c>
      <c r="C842" s="4" t="inlineStr">
        <is>
          <t>antelope</t>
        </is>
      </c>
      <c r="D842" s="4" t="n">
        <v>2005</v>
      </c>
      <c r="E842" s="4" t="inlineStr"/>
      <c r="F842" s="5" t="n">
        <v>367</v>
      </c>
      <c r="G842" s="5" t="n">
        <v>960</v>
      </c>
      <c r="H842" s="5" t="n">
        <v>259</v>
      </c>
      <c r="I842" s="5" t="n">
        <v>122</v>
      </c>
      <c r="J842" s="5" t="n">
        <v>127</v>
      </c>
      <c r="K842" s="10">
        <f>IF(F842&gt;0,H842/F842,"")</f>
        <v/>
      </c>
      <c r="L842" s="16">
        <f>IF(AND(G842&gt;0,H842&gt;0),G842/H842,"")</f>
        <v/>
      </c>
    </row>
    <row r="843">
      <c r="A843" s="4" t="inlineStr">
        <is>
          <t>491</t>
        </is>
      </c>
      <c r="B843" s="4" t="n">
        <v>4</v>
      </c>
      <c r="C843" s="4" t="inlineStr">
        <is>
          <t>antelope</t>
        </is>
      </c>
      <c r="D843" s="4" t="n">
        <v>2006</v>
      </c>
      <c r="E843" s="4" t="inlineStr"/>
      <c r="F843" s="5" t="n">
        <v>245</v>
      </c>
      <c r="G843" s="5" t="n">
        <v>566</v>
      </c>
      <c r="H843" s="5" t="n">
        <v>246</v>
      </c>
      <c r="I843" s="5" t="n">
        <v>91</v>
      </c>
      <c r="J843" s="5" t="n">
        <v>148</v>
      </c>
      <c r="K843" s="10">
        <f>IF(F843&gt;0,H843/F843,"")</f>
        <v/>
      </c>
      <c r="L843" s="16">
        <f>IF(AND(G843&gt;0,H843&gt;0),G843/H843,"")</f>
        <v/>
      </c>
    </row>
    <row r="844">
      <c r="A844" s="4" t="inlineStr">
        <is>
          <t>491</t>
        </is>
      </c>
      <c r="B844" s="4" t="n">
        <v>4</v>
      </c>
      <c r="C844" s="4" t="inlineStr">
        <is>
          <t>antelope</t>
        </is>
      </c>
      <c r="D844" s="4" t="n">
        <v>2007</v>
      </c>
      <c r="E844" s="4" t="inlineStr"/>
      <c r="F844" s="5" t="n">
        <v>384</v>
      </c>
      <c r="G844" s="5" t="n">
        <v>921</v>
      </c>
      <c r="H844" s="5" t="n">
        <v>337</v>
      </c>
      <c r="I844" s="5" t="n">
        <v>95</v>
      </c>
      <c r="J844" s="5" t="n">
        <v>236</v>
      </c>
      <c r="K844" s="10">
        <f>IF(F844&gt;0,H844/F844,"")</f>
        <v/>
      </c>
      <c r="L844" s="16">
        <f>IF(AND(G844&gt;0,H844&gt;0),G844/H844,"")</f>
        <v/>
      </c>
    </row>
    <row r="845">
      <c r="A845" s="4" t="inlineStr">
        <is>
          <t>491</t>
        </is>
      </c>
      <c r="B845" s="4" t="n">
        <v>4</v>
      </c>
      <c r="C845" s="4" t="inlineStr">
        <is>
          <t>antelope</t>
        </is>
      </c>
      <c r="D845" s="4" t="n">
        <v>2008</v>
      </c>
      <c r="E845" s="4" t="inlineStr"/>
      <c r="F845" s="5" t="n">
        <v>344</v>
      </c>
      <c r="G845" s="5" t="n">
        <v>966</v>
      </c>
      <c r="H845" s="5" t="n">
        <v>258</v>
      </c>
      <c r="I845" s="5" t="n">
        <v>121</v>
      </c>
      <c r="J845" s="5" t="n">
        <v>132</v>
      </c>
      <c r="K845" s="10">
        <f>IF(F845&gt;0,H845/F845,"")</f>
        <v/>
      </c>
      <c r="L845" s="16">
        <f>IF(AND(G845&gt;0,H845&gt;0),G845/H845,"")</f>
        <v/>
      </c>
    </row>
    <row r="846">
      <c r="A846" s="4" t="inlineStr">
        <is>
          <t>491</t>
        </is>
      </c>
      <c r="B846" s="4" t="n">
        <v>4</v>
      </c>
      <c r="C846" s="4" t="inlineStr">
        <is>
          <t>antelope</t>
        </is>
      </c>
      <c r="D846" s="4" t="n">
        <v>2009</v>
      </c>
      <c r="E846" s="4" t="inlineStr"/>
      <c r="F846" s="5" t="n">
        <v>317</v>
      </c>
      <c r="G846" s="5" t="n">
        <v>856</v>
      </c>
      <c r="H846" s="5" t="n">
        <v>193</v>
      </c>
      <c r="I846" s="5" t="n">
        <v>104</v>
      </c>
      <c r="J846" s="5" t="n">
        <v>78</v>
      </c>
      <c r="K846" s="10">
        <f>IF(F846&gt;0,H846/F846,"")</f>
        <v/>
      </c>
      <c r="L846" s="16">
        <f>IF(AND(G846&gt;0,H846&gt;0),G846/H846,"")</f>
        <v/>
      </c>
    </row>
    <row r="847">
      <c r="A847" s="4" t="inlineStr">
        <is>
          <t>491</t>
        </is>
      </c>
      <c r="B847" s="4" t="n">
        <v>4</v>
      </c>
      <c r="C847" s="4" t="inlineStr">
        <is>
          <t>antelope</t>
        </is>
      </c>
      <c r="D847" s="4" t="n">
        <v>2010</v>
      </c>
      <c r="E847" s="4" t="inlineStr"/>
      <c r="F847" s="5" t="n">
        <v>325</v>
      </c>
      <c r="G847" s="5" t="n">
        <v>836</v>
      </c>
      <c r="H847" s="5" t="n">
        <v>190</v>
      </c>
      <c r="I847" s="5" t="n">
        <v>87</v>
      </c>
      <c r="J847" s="5" t="n">
        <v>98</v>
      </c>
      <c r="K847" s="10">
        <f>IF(F847&gt;0,H847/F847,"")</f>
        <v/>
      </c>
      <c r="L847" s="16">
        <f>IF(AND(G847&gt;0,H847&gt;0),G847/H847,"")</f>
        <v/>
      </c>
    </row>
    <row r="848">
      <c r="A848" s="4" t="inlineStr">
        <is>
          <t>491</t>
        </is>
      </c>
      <c r="B848" s="4" t="n">
        <v>4</v>
      </c>
      <c r="C848" s="4" t="inlineStr">
        <is>
          <t>antelope</t>
        </is>
      </c>
      <c r="D848" s="4" t="n">
        <v>2011</v>
      </c>
      <c r="E848" s="4" t="inlineStr"/>
      <c r="F848" s="5" t="n">
        <v>158</v>
      </c>
      <c r="G848" s="5" t="n">
        <v>449</v>
      </c>
      <c r="H848" s="5" t="n">
        <v>125</v>
      </c>
      <c r="I848" s="5" t="n">
        <v>58</v>
      </c>
      <c r="J848" s="5" t="n">
        <v>67</v>
      </c>
      <c r="K848" s="10">
        <f>IF(F848&gt;0,H848/F848,"")</f>
        <v/>
      </c>
      <c r="L848" s="16">
        <f>IF(AND(G848&gt;0,H848&gt;0),G848/H848,"")</f>
        <v/>
      </c>
    </row>
    <row r="849">
      <c r="A849" s="4" t="inlineStr">
        <is>
          <t>491</t>
        </is>
      </c>
      <c r="B849" s="4" t="n">
        <v>4</v>
      </c>
      <c r="C849" s="4" t="inlineStr">
        <is>
          <t>antelope</t>
        </is>
      </c>
      <c r="D849" s="4" t="n">
        <v>2012</v>
      </c>
      <c r="E849" s="4" t="inlineStr"/>
      <c r="F849" s="5" t="n">
        <v>156</v>
      </c>
      <c r="G849" s="5" t="n">
        <v>366</v>
      </c>
      <c r="H849" s="5" t="n">
        <v>116</v>
      </c>
      <c r="I849" s="5" t="n">
        <v>76</v>
      </c>
      <c r="J849" s="5" t="n">
        <v>39</v>
      </c>
      <c r="K849" s="10">
        <f>IF(F849&gt;0,H849/F849,"")</f>
        <v/>
      </c>
      <c r="L849" s="16">
        <f>IF(AND(G849&gt;0,H849&gt;0),G849/H849,"")</f>
        <v/>
      </c>
    </row>
    <row r="850">
      <c r="A850" s="4" t="inlineStr">
        <is>
          <t>491</t>
        </is>
      </c>
      <c r="B850" s="4" t="n">
        <v>4</v>
      </c>
      <c r="C850" s="4" t="inlineStr">
        <is>
          <t>antelope</t>
        </is>
      </c>
      <c r="D850" s="4" t="n">
        <v>2013</v>
      </c>
      <c r="E850" s="4" t="inlineStr"/>
      <c r="F850" s="5" t="n"/>
      <c r="G850" s="5" t="n"/>
      <c r="H850" s="5" t="n">
        <v>65</v>
      </c>
      <c r="I850" s="5" t="n">
        <v>45</v>
      </c>
      <c r="J850" s="5" t="n">
        <v>17</v>
      </c>
      <c r="K850" s="10">
        <f>IF(F850&gt;0,H850/F850,"")</f>
        <v/>
      </c>
      <c r="L850" s="16">
        <f>IF(AND(G850&gt;0,H850&gt;0),G850/H850,"")</f>
        <v/>
      </c>
    </row>
    <row r="851">
      <c r="A851" s="4" t="inlineStr">
        <is>
          <t>491</t>
        </is>
      </c>
      <c r="B851" s="4" t="n">
        <v>4</v>
      </c>
      <c r="C851" s="4" t="inlineStr">
        <is>
          <t>antelope</t>
        </is>
      </c>
      <c r="D851" s="4" t="n">
        <v>2014</v>
      </c>
      <c r="E851" s="4" t="inlineStr"/>
      <c r="F851" s="5" t="n">
        <v>109</v>
      </c>
      <c r="G851" s="5" t="n">
        <v>289</v>
      </c>
      <c r="H851" s="5" t="n">
        <v>53</v>
      </c>
      <c r="I851" s="5" t="n">
        <v>35</v>
      </c>
      <c r="J851" s="5" t="n">
        <v>19</v>
      </c>
      <c r="K851" s="10">
        <f>IF(F851&gt;0,H851/F851,"")</f>
        <v/>
      </c>
      <c r="L851" s="16">
        <f>IF(AND(G851&gt;0,H851&gt;0),G851/H851,"")</f>
        <v/>
      </c>
    </row>
    <row r="852">
      <c r="A852" s="4" t="inlineStr">
        <is>
          <t>491</t>
        </is>
      </c>
      <c r="B852" s="4" t="n">
        <v>4</v>
      </c>
      <c r="C852" s="4" t="inlineStr">
        <is>
          <t>antelope</t>
        </is>
      </c>
      <c r="D852" s="4" t="n">
        <v>2015</v>
      </c>
      <c r="E852" s="4" t="inlineStr"/>
      <c r="F852" s="5" t="n">
        <v>121</v>
      </c>
      <c r="G852" s="5" t="n">
        <v>276</v>
      </c>
      <c r="H852" s="5" t="n">
        <v>82</v>
      </c>
      <c r="I852" s="5" t="n">
        <v>57</v>
      </c>
      <c r="J852" s="5" t="n">
        <v>25</v>
      </c>
      <c r="K852" s="10">
        <f>IF(F852&gt;0,H852/F852,"")</f>
        <v/>
      </c>
      <c r="L852" s="16">
        <f>IF(AND(G852&gt;0,H852&gt;0),G852/H852,"")</f>
        <v/>
      </c>
    </row>
    <row r="853">
      <c r="A853" s="4" t="inlineStr">
        <is>
          <t>491</t>
        </is>
      </c>
      <c r="B853" s="4" t="n">
        <v>4</v>
      </c>
      <c r="C853" s="4" t="inlineStr">
        <is>
          <t>antelope</t>
        </is>
      </c>
      <c r="D853" s="4" t="n">
        <v>2016</v>
      </c>
      <c r="E853" s="4" t="inlineStr"/>
      <c r="F853" s="5" t="n"/>
      <c r="G853" s="5" t="n"/>
      <c r="H853" s="5" t="n">
        <v>73</v>
      </c>
      <c r="I853" s="5" t="n">
        <v>52</v>
      </c>
      <c r="J853" s="5" t="n">
        <v>21</v>
      </c>
      <c r="K853" s="10">
        <f>IF(F853&gt;0,H853/F853,"")</f>
        <v/>
      </c>
      <c r="L853" s="16">
        <f>IF(AND(G853&gt;0,H853&gt;0),G853/H853,"")</f>
        <v/>
      </c>
    </row>
    <row r="854">
      <c r="A854" s="4" t="inlineStr">
        <is>
          <t>491</t>
        </is>
      </c>
      <c r="B854" s="4" t="n">
        <v>4</v>
      </c>
      <c r="C854" s="4" t="inlineStr">
        <is>
          <t>antelope</t>
        </is>
      </c>
      <c r="D854" s="4" t="n">
        <v>2017</v>
      </c>
      <c r="E854" s="4" t="inlineStr"/>
      <c r="F854" s="5" t="n"/>
      <c r="G854" s="5" t="n"/>
      <c r="H854" s="5" t="n">
        <v>79</v>
      </c>
      <c r="I854" s="5" t="n">
        <v>59</v>
      </c>
      <c r="J854" s="5" t="n">
        <v>20</v>
      </c>
      <c r="K854" s="10">
        <f>IF(F854&gt;0,H854/F854,"")</f>
        <v/>
      </c>
      <c r="L854" s="16">
        <f>IF(AND(G854&gt;0,H854&gt;0),G854/H854,"")</f>
        <v/>
      </c>
    </row>
    <row r="855">
      <c r="A855" s="4" t="inlineStr">
        <is>
          <t>491</t>
        </is>
      </c>
      <c r="B855" s="4" t="n">
        <v>4</v>
      </c>
      <c r="C855" s="4" t="inlineStr">
        <is>
          <t>antelope</t>
        </is>
      </c>
      <c r="D855" s="4" t="n">
        <v>2018</v>
      </c>
      <c r="E855" s="4" t="inlineStr"/>
      <c r="F855" s="5" t="n">
        <v>99</v>
      </c>
      <c r="G855" s="5" t="n">
        <v>286</v>
      </c>
      <c r="H855" s="5" t="n">
        <v>59</v>
      </c>
      <c r="I855" s="5" t="n">
        <v>32</v>
      </c>
      <c r="J855" s="5" t="n">
        <v>27</v>
      </c>
      <c r="K855" s="10">
        <f>IF(F855&gt;0,H855/F855,"")</f>
        <v/>
      </c>
      <c r="L855" s="16">
        <f>IF(AND(G855&gt;0,H855&gt;0),G855/H855,"")</f>
        <v/>
      </c>
    </row>
    <row r="856">
      <c r="A856" s="4" t="inlineStr">
        <is>
          <t>491</t>
        </is>
      </c>
      <c r="B856" s="4" t="n">
        <v>4</v>
      </c>
      <c r="C856" s="4" t="inlineStr">
        <is>
          <t>antelope</t>
        </is>
      </c>
      <c r="D856" s="4" t="n">
        <v>2019</v>
      </c>
      <c r="E856" s="4" t="inlineStr"/>
      <c r="F856" s="5" t="n"/>
      <c r="G856" s="5" t="n"/>
      <c r="H856" s="5" t="n">
        <v>40</v>
      </c>
      <c r="I856" s="5" t="n">
        <v>21</v>
      </c>
      <c r="J856" s="5" t="n">
        <v>19</v>
      </c>
      <c r="K856" s="10">
        <f>IF(F856&gt;0,H856/F856,"")</f>
        <v/>
      </c>
      <c r="L856" s="16">
        <f>IF(AND(G856&gt;0,H856&gt;0),G856/H856,"")</f>
        <v/>
      </c>
    </row>
    <row r="857">
      <c r="A857" s="4" t="inlineStr">
        <is>
          <t>491</t>
        </is>
      </c>
      <c r="B857" s="4" t="n">
        <v>4</v>
      </c>
      <c r="C857" s="4" t="inlineStr">
        <is>
          <t>antelope</t>
        </is>
      </c>
      <c r="D857" s="4" t="n">
        <v>2020</v>
      </c>
      <c r="E857" s="4" t="inlineStr"/>
      <c r="F857" s="5" t="n">
        <v>99</v>
      </c>
      <c r="G857" s="5" t="n">
        <v>336</v>
      </c>
      <c r="H857" s="5" t="n">
        <v>69</v>
      </c>
      <c r="I857" s="5" t="n">
        <v>48</v>
      </c>
      <c r="J857" s="5" t="n">
        <v>21</v>
      </c>
      <c r="K857" s="10">
        <f>IF(F857&gt;0,H857/F857,"")</f>
        <v/>
      </c>
      <c r="L857" s="16">
        <f>IF(AND(G857&gt;0,H857&gt;0),G857/H857,"")</f>
        <v/>
      </c>
    </row>
    <row r="858">
      <c r="A858" s="4" t="inlineStr">
        <is>
          <t>491</t>
        </is>
      </c>
      <c r="B858" s="4" t="n">
        <v>4</v>
      </c>
      <c r="C858" s="4" t="inlineStr">
        <is>
          <t>antelope</t>
        </is>
      </c>
      <c r="D858" s="4" t="n">
        <v>2021</v>
      </c>
      <c r="E858" s="4" t="inlineStr"/>
      <c r="F858" s="5" t="n"/>
      <c r="G858" s="5" t="n"/>
      <c r="H858" s="5" t="n">
        <v>48</v>
      </c>
      <c r="I858" s="5" t="n">
        <v>32</v>
      </c>
      <c r="J858" s="5" t="n">
        <v>16</v>
      </c>
      <c r="K858" s="10">
        <f>IF(F858&gt;0,H858/F858,"")</f>
        <v/>
      </c>
      <c r="L858" s="16">
        <f>IF(AND(G858&gt;0,H858&gt;0),G858/H858,"")</f>
        <v/>
      </c>
    </row>
    <row r="859">
      <c r="A859" s="4" t="inlineStr">
        <is>
          <t>500</t>
        </is>
      </c>
      <c r="B859" s="4" t="n">
        <v>5</v>
      </c>
      <c r="C859" s="4" t="inlineStr">
        <is>
          <t>antelope</t>
        </is>
      </c>
      <c r="D859" s="4" t="n">
        <v>2004</v>
      </c>
      <c r="E859" s="4" t="inlineStr"/>
      <c r="F859" s="5" t="n">
        <v>479</v>
      </c>
      <c r="G859" s="5" t="n">
        <v>1271</v>
      </c>
      <c r="H859" s="5" t="n">
        <v>678</v>
      </c>
      <c r="I859" s="5" t="n">
        <v>273</v>
      </c>
      <c r="J859" s="5" t="n">
        <v>351</v>
      </c>
      <c r="K859" s="10">
        <f>IF(F859&gt;0,H859/F859,"")</f>
        <v/>
      </c>
      <c r="L859" s="16">
        <f>IF(AND(G859&gt;0,H859&gt;0),G859/H859,"")</f>
        <v/>
      </c>
    </row>
    <row r="860">
      <c r="A860" s="4" t="inlineStr">
        <is>
          <t>500</t>
        </is>
      </c>
      <c r="B860" s="4" t="n">
        <v>5</v>
      </c>
      <c r="C860" s="4" t="inlineStr">
        <is>
          <t>antelope</t>
        </is>
      </c>
      <c r="D860" s="4" t="n">
        <v>2005</v>
      </c>
      <c r="E860" s="4" t="inlineStr"/>
      <c r="F860" s="5" t="n">
        <v>460</v>
      </c>
      <c r="G860" s="5" t="n">
        <v>1306</v>
      </c>
      <c r="H860" s="5" t="n">
        <v>544</v>
      </c>
      <c r="I860" s="5" t="n">
        <v>263</v>
      </c>
      <c r="J860" s="5" t="n">
        <v>260</v>
      </c>
      <c r="K860" s="10">
        <f>IF(F860&gt;0,H860/F860,"")</f>
        <v/>
      </c>
      <c r="L860" s="16">
        <f>IF(AND(G860&gt;0,H860&gt;0),G860/H860,"")</f>
        <v/>
      </c>
    </row>
    <row r="861">
      <c r="A861" s="4" t="inlineStr">
        <is>
          <t>500</t>
        </is>
      </c>
      <c r="B861" s="4" t="n">
        <v>5</v>
      </c>
      <c r="C861" s="4" t="inlineStr">
        <is>
          <t>antelope</t>
        </is>
      </c>
      <c r="D861" s="4" t="n">
        <v>2006</v>
      </c>
      <c r="E861" s="4" t="inlineStr"/>
      <c r="F861" s="5" t="n">
        <v>467</v>
      </c>
      <c r="G861" s="5" t="n">
        <v>1223</v>
      </c>
      <c r="H861" s="5" t="n">
        <v>458</v>
      </c>
      <c r="I861" s="5" t="n">
        <v>216</v>
      </c>
      <c r="J861" s="5" t="n">
        <v>204</v>
      </c>
      <c r="K861" s="10">
        <f>IF(F861&gt;0,H861/F861,"")</f>
        <v/>
      </c>
      <c r="L861" s="16">
        <f>IF(AND(G861&gt;0,H861&gt;0),G861/H861,"")</f>
        <v/>
      </c>
    </row>
    <row r="862">
      <c r="A862" s="4" t="inlineStr">
        <is>
          <t>500</t>
        </is>
      </c>
      <c r="B862" s="4" t="n">
        <v>5</v>
      </c>
      <c r="C862" s="4" t="inlineStr">
        <is>
          <t>antelope</t>
        </is>
      </c>
      <c r="D862" s="4" t="n">
        <v>2007</v>
      </c>
      <c r="E862" s="4" t="inlineStr"/>
      <c r="F862" s="5" t="n">
        <v>419</v>
      </c>
      <c r="G862" s="5" t="n">
        <v>1330</v>
      </c>
      <c r="H862" s="5" t="n">
        <v>344</v>
      </c>
      <c r="I862" s="5" t="n">
        <v>132</v>
      </c>
      <c r="J862" s="5" t="n">
        <v>200</v>
      </c>
      <c r="K862" s="10">
        <f>IF(F862&gt;0,H862/F862,"")</f>
        <v/>
      </c>
      <c r="L862" s="16">
        <f>IF(AND(G862&gt;0,H862&gt;0),G862/H862,"")</f>
        <v/>
      </c>
    </row>
    <row r="863">
      <c r="A863" s="4" t="inlineStr">
        <is>
          <t>500</t>
        </is>
      </c>
      <c r="B863" s="4" t="n">
        <v>5</v>
      </c>
      <c r="C863" s="4" t="inlineStr">
        <is>
          <t>antelope</t>
        </is>
      </c>
      <c r="D863" s="4" t="n">
        <v>2008</v>
      </c>
      <c r="E863" s="4" t="inlineStr"/>
      <c r="F863" s="5" t="n">
        <v>393</v>
      </c>
      <c r="G863" s="5" t="n">
        <v>1188</v>
      </c>
      <c r="H863" s="5" t="n">
        <v>175</v>
      </c>
      <c r="I863" s="5" t="n">
        <v>117</v>
      </c>
      <c r="J863" s="5" t="n">
        <v>46</v>
      </c>
      <c r="K863" s="10">
        <f>IF(F863&gt;0,H863/F863,"")</f>
        <v/>
      </c>
      <c r="L863" s="16">
        <f>IF(AND(G863&gt;0,H863&gt;0),G863/H863,"")</f>
        <v/>
      </c>
    </row>
    <row r="864">
      <c r="A864" s="4" t="inlineStr">
        <is>
          <t>500</t>
        </is>
      </c>
      <c r="B864" s="4" t="n">
        <v>5</v>
      </c>
      <c r="C864" s="4" t="inlineStr">
        <is>
          <t>antelope</t>
        </is>
      </c>
      <c r="D864" s="4" t="n">
        <v>2009</v>
      </c>
      <c r="E864" s="4" t="inlineStr"/>
      <c r="F864" s="5" t="n">
        <v>368</v>
      </c>
      <c r="G864" s="5" t="n">
        <v>1077</v>
      </c>
      <c r="H864" s="5" t="n">
        <v>245</v>
      </c>
      <c r="I864" s="5" t="n">
        <v>146</v>
      </c>
      <c r="J864" s="5" t="n">
        <v>96</v>
      </c>
      <c r="K864" s="10">
        <f>IF(F864&gt;0,H864/F864,"")</f>
        <v/>
      </c>
      <c r="L864" s="16">
        <f>IF(AND(G864&gt;0,H864&gt;0),G864/H864,"")</f>
        <v/>
      </c>
    </row>
    <row r="865">
      <c r="A865" s="4" t="inlineStr">
        <is>
          <t>500</t>
        </is>
      </c>
      <c r="B865" s="4" t="n">
        <v>5</v>
      </c>
      <c r="C865" s="4" t="inlineStr">
        <is>
          <t>antelope</t>
        </is>
      </c>
      <c r="D865" s="4" t="n">
        <v>2010</v>
      </c>
      <c r="E865" s="4" t="inlineStr"/>
      <c r="F865" s="5" t="n">
        <v>429</v>
      </c>
      <c r="G865" s="5" t="n">
        <v>1266</v>
      </c>
      <c r="H865" s="5" t="n">
        <v>301</v>
      </c>
      <c r="I865" s="5" t="n">
        <v>168</v>
      </c>
      <c r="J865" s="5" t="n">
        <v>122</v>
      </c>
      <c r="K865" s="10">
        <f>IF(F865&gt;0,H865/F865,"")</f>
        <v/>
      </c>
      <c r="L865" s="16">
        <f>IF(AND(G865&gt;0,H865&gt;0),G865/H865,"")</f>
        <v/>
      </c>
    </row>
    <row r="866">
      <c r="A866" s="4" t="inlineStr">
        <is>
          <t>500</t>
        </is>
      </c>
      <c r="B866" s="4" t="n">
        <v>5</v>
      </c>
      <c r="C866" s="4" t="inlineStr">
        <is>
          <t>antelope</t>
        </is>
      </c>
      <c r="D866" s="4" t="n">
        <v>2011</v>
      </c>
      <c r="E866" s="4" t="inlineStr"/>
      <c r="F866" s="5" t="n">
        <v>458</v>
      </c>
      <c r="G866" s="5" t="n">
        <v>1403</v>
      </c>
      <c r="H866" s="5" t="n">
        <v>360</v>
      </c>
      <c r="I866" s="5" t="n">
        <v>221</v>
      </c>
      <c r="J866" s="5" t="n">
        <v>135</v>
      </c>
      <c r="K866" s="10">
        <f>IF(F866&gt;0,H866/F866,"")</f>
        <v/>
      </c>
      <c r="L866" s="16">
        <f>IF(AND(G866&gt;0,H866&gt;0),G866/H866,"")</f>
        <v/>
      </c>
    </row>
    <row r="867">
      <c r="A867" s="4" t="inlineStr">
        <is>
          <t>500</t>
        </is>
      </c>
      <c r="B867" s="4" t="n">
        <v>5</v>
      </c>
      <c r="C867" s="4" t="inlineStr">
        <is>
          <t>antelope</t>
        </is>
      </c>
      <c r="D867" s="4" t="n">
        <v>2012</v>
      </c>
      <c r="E867" s="4" t="inlineStr"/>
      <c r="F867" s="5" t="n">
        <v>408</v>
      </c>
      <c r="G867" s="5" t="n">
        <v>1222</v>
      </c>
      <c r="H867" s="5" t="n">
        <v>267</v>
      </c>
      <c r="I867" s="5" t="n">
        <v>149</v>
      </c>
      <c r="J867" s="5" t="n">
        <v>109</v>
      </c>
      <c r="K867" s="10">
        <f>IF(F867&gt;0,H867/F867,"")</f>
        <v/>
      </c>
      <c r="L867" s="16">
        <f>IF(AND(G867&gt;0,H867&gt;0),G867/H867,"")</f>
        <v/>
      </c>
    </row>
    <row r="868">
      <c r="A868" s="4" t="inlineStr">
        <is>
          <t>500</t>
        </is>
      </c>
      <c r="B868" s="4" t="n">
        <v>5</v>
      </c>
      <c r="C868" s="4" t="inlineStr">
        <is>
          <t>antelope</t>
        </is>
      </c>
      <c r="D868" s="4" t="n">
        <v>2013</v>
      </c>
      <c r="E868" s="4" t="inlineStr"/>
      <c r="F868" s="5" t="n"/>
      <c r="G868" s="5" t="n"/>
      <c r="H868" s="5" t="n">
        <v>104</v>
      </c>
      <c r="I868" s="5" t="n">
        <v>70</v>
      </c>
      <c r="J868" s="5" t="n">
        <v>27</v>
      </c>
      <c r="K868" s="10">
        <f>IF(F868&gt;0,H868/F868,"")</f>
        <v/>
      </c>
      <c r="L868" s="16">
        <f>IF(AND(G868&gt;0,H868&gt;0),G868/H868,"")</f>
        <v/>
      </c>
    </row>
    <row r="869">
      <c r="A869" s="4" t="inlineStr">
        <is>
          <t>500</t>
        </is>
      </c>
      <c r="B869" s="4" t="n">
        <v>5</v>
      </c>
      <c r="C869" s="4" t="inlineStr">
        <is>
          <t>antelope</t>
        </is>
      </c>
      <c r="D869" s="4" t="n">
        <v>2014</v>
      </c>
      <c r="E869" s="4" t="inlineStr"/>
      <c r="F869" s="5" t="n">
        <v>277</v>
      </c>
      <c r="G869" s="5" t="n">
        <v>1008</v>
      </c>
      <c r="H869" s="5" t="n">
        <v>163</v>
      </c>
      <c r="I869" s="5" t="n">
        <v>118</v>
      </c>
      <c r="J869" s="5" t="n">
        <v>40</v>
      </c>
      <c r="K869" s="10">
        <f>IF(F869&gt;0,H869/F869,"")</f>
        <v/>
      </c>
      <c r="L869" s="16">
        <f>IF(AND(G869&gt;0,H869&gt;0),G869/H869,"")</f>
        <v/>
      </c>
    </row>
    <row r="870">
      <c r="A870" s="4" t="inlineStr">
        <is>
          <t>500</t>
        </is>
      </c>
      <c r="B870" s="4" t="n">
        <v>5</v>
      </c>
      <c r="C870" s="4" t="inlineStr">
        <is>
          <t>antelope</t>
        </is>
      </c>
      <c r="D870" s="4" t="n">
        <v>2015</v>
      </c>
      <c r="E870" s="4" t="inlineStr"/>
      <c r="F870" s="5" t="n">
        <v>332</v>
      </c>
      <c r="G870" s="5" t="n">
        <v>964</v>
      </c>
      <c r="H870" s="5" t="n">
        <v>190</v>
      </c>
      <c r="I870" s="5" t="n">
        <v>129</v>
      </c>
      <c r="J870" s="5" t="n">
        <v>57</v>
      </c>
      <c r="K870" s="10">
        <f>IF(F870&gt;0,H870/F870,"")</f>
        <v/>
      </c>
      <c r="L870" s="16">
        <f>IF(AND(G870&gt;0,H870&gt;0),G870/H870,"")</f>
        <v/>
      </c>
    </row>
    <row r="871">
      <c r="A871" s="4" t="inlineStr">
        <is>
          <t>500</t>
        </is>
      </c>
      <c r="B871" s="4" t="n">
        <v>5</v>
      </c>
      <c r="C871" s="4" t="inlineStr">
        <is>
          <t>antelope</t>
        </is>
      </c>
      <c r="D871" s="4" t="n">
        <v>2016</v>
      </c>
      <c r="E871" s="4" t="inlineStr"/>
      <c r="F871" s="5" t="n"/>
      <c r="G871" s="5" t="n"/>
      <c r="H871" s="5" t="n">
        <v>228</v>
      </c>
      <c r="I871" s="5" t="n">
        <v>155</v>
      </c>
      <c r="J871" s="5" t="n">
        <v>71</v>
      </c>
      <c r="K871" s="10">
        <f>IF(F871&gt;0,H871/F871,"")</f>
        <v/>
      </c>
      <c r="L871" s="16">
        <f>IF(AND(G871&gt;0,H871&gt;0),G871/H871,"")</f>
        <v/>
      </c>
    </row>
    <row r="872">
      <c r="A872" s="4" t="inlineStr">
        <is>
          <t>500</t>
        </is>
      </c>
      <c r="B872" s="4" t="n">
        <v>5</v>
      </c>
      <c r="C872" s="4" t="inlineStr">
        <is>
          <t>antelope</t>
        </is>
      </c>
      <c r="D872" s="4" t="n">
        <v>2017</v>
      </c>
      <c r="E872" s="4" t="inlineStr"/>
      <c r="F872" s="5" t="n"/>
      <c r="G872" s="5" t="n"/>
      <c r="H872" s="5" t="n">
        <v>228</v>
      </c>
      <c r="I872" s="5" t="n">
        <v>141</v>
      </c>
      <c r="J872" s="5" t="n">
        <v>75</v>
      </c>
      <c r="K872" s="10">
        <f>IF(F872&gt;0,H872/F872,"")</f>
        <v/>
      </c>
      <c r="L872" s="16">
        <f>IF(AND(G872&gt;0,H872&gt;0),G872/H872,"")</f>
        <v/>
      </c>
    </row>
    <row r="873">
      <c r="A873" s="4" t="inlineStr">
        <is>
          <t>500</t>
        </is>
      </c>
      <c r="B873" s="4" t="n">
        <v>5</v>
      </c>
      <c r="C873" s="4" t="inlineStr">
        <is>
          <t>antelope</t>
        </is>
      </c>
      <c r="D873" s="4" t="n">
        <v>2018</v>
      </c>
      <c r="E873" s="4" t="inlineStr"/>
      <c r="F873" s="5" t="n">
        <v>202</v>
      </c>
      <c r="G873" s="5" t="n">
        <v>674</v>
      </c>
      <c r="H873" s="5" t="n">
        <v>158</v>
      </c>
      <c r="I873" s="5" t="n">
        <v>102</v>
      </c>
      <c r="J873" s="5" t="n">
        <v>57</v>
      </c>
      <c r="K873" s="10">
        <f>IF(F873&gt;0,H873/F873,"")</f>
        <v/>
      </c>
      <c r="L873" s="16">
        <f>IF(AND(G873&gt;0,H873&gt;0),G873/H873,"")</f>
        <v/>
      </c>
    </row>
    <row r="874">
      <c r="A874" s="4" t="inlineStr">
        <is>
          <t>500</t>
        </is>
      </c>
      <c r="B874" s="4" t="n">
        <v>5</v>
      </c>
      <c r="C874" s="4" t="inlineStr">
        <is>
          <t>antelope</t>
        </is>
      </c>
      <c r="D874" s="4" t="n">
        <v>2019</v>
      </c>
      <c r="E874" s="4" t="inlineStr"/>
      <c r="F874" s="5" t="n"/>
      <c r="G874" s="5" t="n"/>
      <c r="H874" s="5" t="n">
        <v>114</v>
      </c>
      <c r="I874" s="5" t="n">
        <v>72</v>
      </c>
      <c r="J874" s="5" t="n">
        <v>38</v>
      </c>
      <c r="K874" s="10">
        <f>IF(F874&gt;0,H874/F874,"")</f>
        <v/>
      </c>
      <c r="L874" s="16">
        <f>IF(AND(G874&gt;0,H874&gt;0),G874/H874,"")</f>
        <v/>
      </c>
    </row>
    <row r="875">
      <c r="A875" s="4" t="inlineStr">
        <is>
          <t>500</t>
        </is>
      </c>
      <c r="B875" s="4" t="n">
        <v>5</v>
      </c>
      <c r="C875" s="4" t="inlineStr">
        <is>
          <t>antelope</t>
        </is>
      </c>
      <c r="D875" s="4" t="n">
        <v>2020</v>
      </c>
      <c r="E875" s="4" t="inlineStr"/>
      <c r="F875" s="5" t="n">
        <v>254</v>
      </c>
      <c r="G875" s="5" t="n">
        <v>908</v>
      </c>
      <c r="H875" s="5" t="n">
        <v>128</v>
      </c>
      <c r="I875" s="5" t="n">
        <v>86</v>
      </c>
      <c r="J875" s="5" t="n">
        <v>43</v>
      </c>
      <c r="K875" s="10">
        <f>IF(F875&gt;0,H875/F875,"")</f>
        <v/>
      </c>
      <c r="L875" s="16">
        <f>IF(AND(G875&gt;0,H875&gt;0),G875/H875,"")</f>
        <v/>
      </c>
    </row>
    <row r="876">
      <c r="A876" s="4" t="inlineStr">
        <is>
          <t>500</t>
        </is>
      </c>
      <c r="B876" s="4" t="n">
        <v>5</v>
      </c>
      <c r="C876" s="4" t="inlineStr">
        <is>
          <t>antelope</t>
        </is>
      </c>
      <c r="D876" s="4" t="n">
        <v>2021</v>
      </c>
      <c r="E876" s="4" t="inlineStr"/>
      <c r="F876" s="5" t="n"/>
      <c r="G876" s="5" t="n"/>
      <c r="H876" s="5" t="n">
        <v>146</v>
      </c>
      <c r="I876" s="5" t="n">
        <v>120</v>
      </c>
      <c r="J876" s="5" t="n">
        <v>26</v>
      </c>
      <c r="K876" s="10">
        <f>IF(F876&gt;0,H876/F876,"")</f>
        <v/>
      </c>
      <c r="L876" s="16">
        <f>IF(AND(G876&gt;0,H876&gt;0),G876/H876,"")</f>
        <v/>
      </c>
    </row>
    <row r="877">
      <c r="A877" s="4" t="inlineStr">
        <is>
          <t>501</t>
        </is>
      </c>
      <c r="B877" s="4" t="n">
        <v>5</v>
      </c>
      <c r="C877" s="4" t="inlineStr">
        <is>
          <t>antelope</t>
        </is>
      </c>
      <c r="D877" s="4" t="n">
        <v>2004</v>
      </c>
      <c r="E877" s="4" t="inlineStr"/>
      <c r="F877" s="5" t="n">
        <v>544</v>
      </c>
      <c r="G877" s="5" t="n">
        <v>1553</v>
      </c>
      <c r="H877" s="5" t="n">
        <v>682</v>
      </c>
      <c r="I877" s="5" t="n">
        <v>321</v>
      </c>
      <c r="J877" s="5" t="n">
        <v>327</v>
      </c>
      <c r="K877" s="10">
        <f>IF(F877&gt;0,H877/F877,"")</f>
        <v/>
      </c>
      <c r="L877" s="16">
        <f>IF(AND(G877&gt;0,H877&gt;0),G877/H877,"")</f>
        <v/>
      </c>
    </row>
    <row r="878">
      <c r="A878" s="4" t="inlineStr">
        <is>
          <t>501</t>
        </is>
      </c>
      <c r="B878" s="4" t="n">
        <v>5</v>
      </c>
      <c r="C878" s="4" t="inlineStr">
        <is>
          <t>antelope</t>
        </is>
      </c>
      <c r="D878" s="4" t="n">
        <v>2005</v>
      </c>
      <c r="E878" s="4" t="inlineStr"/>
      <c r="F878" s="5" t="n">
        <v>499</v>
      </c>
      <c r="G878" s="5" t="n">
        <v>1414</v>
      </c>
      <c r="H878" s="5" t="n">
        <v>615</v>
      </c>
      <c r="I878" s="5" t="n">
        <v>298</v>
      </c>
      <c r="J878" s="5" t="n">
        <v>280</v>
      </c>
      <c r="K878" s="10">
        <f>IF(F878&gt;0,H878/F878,"")</f>
        <v/>
      </c>
      <c r="L878" s="16">
        <f>IF(AND(G878&gt;0,H878&gt;0),G878/H878,"")</f>
        <v/>
      </c>
    </row>
    <row r="879">
      <c r="A879" s="4" t="inlineStr">
        <is>
          <t>501</t>
        </is>
      </c>
      <c r="B879" s="4" t="n">
        <v>5</v>
      </c>
      <c r="C879" s="4" t="inlineStr">
        <is>
          <t>antelope</t>
        </is>
      </c>
      <c r="D879" s="4" t="n">
        <v>2006</v>
      </c>
      <c r="E879" s="4" t="inlineStr"/>
      <c r="F879" s="5" t="n">
        <v>573</v>
      </c>
      <c r="G879" s="5" t="n">
        <v>1845</v>
      </c>
      <c r="H879" s="5" t="n">
        <v>571</v>
      </c>
      <c r="I879" s="5" t="n">
        <v>313</v>
      </c>
      <c r="J879" s="5" t="n">
        <v>239</v>
      </c>
      <c r="K879" s="10">
        <f>IF(F879&gt;0,H879/F879,"")</f>
        <v/>
      </c>
      <c r="L879" s="16">
        <f>IF(AND(G879&gt;0,H879&gt;0),G879/H879,"")</f>
        <v/>
      </c>
    </row>
    <row r="880">
      <c r="A880" s="4" t="inlineStr">
        <is>
          <t>501</t>
        </is>
      </c>
      <c r="B880" s="4" t="n">
        <v>5</v>
      </c>
      <c r="C880" s="4" t="inlineStr">
        <is>
          <t>antelope</t>
        </is>
      </c>
      <c r="D880" s="4" t="n">
        <v>2007</v>
      </c>
      <c r="E880" s="4" t="inlineStr"/>
      <c r="F880" s="5" t="n">
        <v>492</v>
      </c>
      <c r="G880" s="5" t="n">
        <v>1392</v>
      </c>
      <c r="H880" s="5" t="n">
        <v>515</v>
      </c>
      <c r="I880" s="5" t="n">
        <v>237</v>
      </c>
      <c r="J880" s="5" t="n">
        <v>259</v>
      </c>
      <c r="K880" s="10">
        <f>IF(F880&gt;0,H880/F880,"")</f>
        <v/>
      </c>
      <c r="L880" s="16">
        <f>IF(AND(G880&gt;0,H880&gt;0),G880/H880,"")</f>
        <v/>
      </c>
    </row>
    <row r="881">
      <c r="A881" s="4" t="inlineStr">
        <is>
          <t>501</t>
        </is>
      </c>
      <c r="B881" s="4" t="n">
        <v>5</v>
      </c>
      <c r="C881" s="4" t="inlineStr">
        <is>
          <t>antelope</t>
        </is>
      </c>
      <c r="D881" s="4" t="n">
        <v>2008</v>
      </c>
      <c r="E881" s="4" t="inlineStr"/>
      <c r="F881" s="5" t="n">
        <v>432</v>
      </c>
      <c r="G881" s="5" t="n">
        <v>1236</v>
      </c>
      <c r="H881" s="5" t="n">
        <v>242</v>
      </c>
      <c r="I881" s="5" t="n">
        <v>146</v>
      </c>
      <c r="J881" s="5" t="n">
        <v>87</v>
      </c>
      <c r="K881" s="10">
        <f>IF(F881&gt;0,H881/F881,"")</f>
        <v/>
      </c>
      <c r="L881" s="16">
        <f>IF(AND(G881&gt;0,H881&gt;0),G881/H881,"")</f>
        <v/>
      </c>
    </row>
    <row r="882">
      <c r="A882" s="4" t="inlineStr">
        <is>
          <t>501</t>
        </is>
      </c>
      <c r="B882" s="4" t="n">
        <v>5</v>
      </c>
      <c r="C882" s="4" t="inlineStr">
        <is>
          <t>antelope</t>
        </is>
      </c>
      <c r="D882" s="4" t="n">
        <v>2009</v>
      </c>
      <c r="E882" s="4" t="inlineStr"/>
      <c r="F882" s="5" t="n">
        <v>503</v>
      </c>
      <c r="G882" s="5" t="n">
        <v>1471</v>
      </c>
      <c r="H882" s="5" t="n">
        <v>406</v>
      </c>
      <c r="I882" s="5" t="n">
        <v>209</v>
      </c>
      <c r="J882" s="5" t="n">
        <v>182</v>
      </c>
      <c r="K882" s="10">
        <f>IF(F882&gt;0,H882/F882,"")</f>
        <v/>
      </c>
      <c r="L882" s="16">
        <f>IF(AND(G882&gt;0,H882&gt;0),G882/H882,"")</f>
        <v/>
      </c>
    </row>
    <row r="883">
      <c r="A883" s="4" t="inlineStr">
        <is>
          <t>501</t>
        </is>
      </c>
      <c r="B883" s="4" t="n">
        <v>5</v>
      </c>
      <c r="C883" s="4" t="inlineStr">
        <is>
          <t>antelope</t>
        </is>
      </c>
      <c r="D883" s="4" t="n">
        <v>2010</v>
      </c>
      <c r="E883" s="4" t="inlineStr"/>
      <c r="F883" s="5" t="n">
        <v>316</v>
      </c>
      <c r="G883" s="5" t="n">
        <v>833</v>
      </c>
      <c r="H883" s="5" t="n">
        <v>186</v>
      </c>
      <c r="I883" s="5" t="n">
        <v>127</v>
      </c>
      <c r="J883" s="5" t="n">
        <v>58</v>
      </c>
      <c r="K883" s="10">
        <f>IF(F883&gt;0,H883/F883,"")</f>
        <v/>
      </c>
      <c r="L883" s="16">
        <f>IF(AND(G883&gt;0,H883&gt;0),G883/H883,"")</f>
        <v/>
      </c>
    </row>
    <row r="884">
      <c r="A884" s="4" t="inlineStr">
        <is>
          <t>501</t>
        </is>
      </c>
      <c r="B884" s="4" t="n">
        <v>5</v>
      </c>
      <c r="C884" s="4" t="inlineStr">
        <is>
          <t>antelope</t>
        </is>
      </c>
      <c r="D884" s="4" t="n">
        <v>2011</v>
      </c>
      <c r="E884" s="4" t="inlineStr"/>
      <c r="F884" s="5" t="n">
        <v>344</v>
      </c>
      <c r="G884" s="5" t="n">
        <v>1018</v>
      </c>
      <c r="H884" s="5" t="n">
        <v>218</v>
      </c>
      <c r="I884" s="5" t="n">
        <v>147</v>
      </c>
      <c r="J884" s="5" t="n">
        <v>69</v>
      </c>
      <c r="K884" s="10">
        <f>IF(F884&gt;0,H884/F884,"")</f>
        <v/>
      </c>
      <c r="L884" s="16">
        <f>IF(AND(G884&gt;0,H884&gt;0),G884/H884,"")</f>
        <v/>
      </c>
    </row>
    <row r="885">
      <c r="A885" s="4" t="inlineStr">
        <is>
          <t>501</t>
        </is>
      </c>
      <c r="B885" s="4" t="n">
        <v>5</v>
      </c>
      <c r="C885" s="4" t="inlineStr">
        <is>
          <t>antelope</t>
        </is>
      </c>
      <c r="D885" s="4" t="n">
        <v>2012</v>
      </c>
      <c r="E885" s="4" t="inlineStr"/>
      <c r="F885" s="5" t="n">
        <v>306</v>
      </c>
      <c r="G885" s="5" t="n">
        <v>873</v>
      </c>
      <c r="H885" s="5" t="n">
        <v>179</v>
      </c>
      <c r="I885" s="5" t="n">
        <v>139</v>
      </c>
      <c r="J885" s="5" t="n">
        <v>34</v>
      </c>
      <c r="K885" s="10">
        <f>IF(F885&gt;0,H885/F885,"")</f>
        <v/>
      </c>
      <c r="L885" s="16">
        <f>IF(AND(G885&gt;0,H885&gt;0),G885/H885,"")</f>
        <v/>
      </c>
    </row>
    <row r="886">
      <c r="A886" s="4" t="inlineStr">
        <is>
          <t>501</t>
        </is>
      </c>
      <c r="B886" s="4" t="n">
        <v>5</v>
      </c>
      <c r="C886" s="4" t="inlineStr">
        <is>
          <t>antelope</t>
        </is>
      </c>
      <c r="D886" s="4" t="n">
        <v>2013</v>
      </c>
      <c r="E886" s="4" t="inlineStr"/>
      <c r="F886" s="5" t="n"/>
      <c r="G886" s="5" t="n"/>
      <c r="H886" s="5" t="n">
        <v>141</v>
      </c>
      <c r="I886" s="5" t="n">
        <v>98</v>
      </c>
      <c r="J886" s="5" t="n">
        <v>41</v>
      </c>
      <c r="K886" s="10">
        <f>IF(F886&gt;0,H886/F886,"")</f>
        <v/>
      </c>
      <c r="L886" s="16">
        <f>IF(AND(G886&gt;0,H886&gt;0),G886/H886,"")</f>
        <v/>
      </c>
    </row>
    <row r="887">
      <c r="A887" s="4" t="inlineStr">
        <is>
          <t>501</t>
        </is>
      </c>
      <c r="B887" s="4" t="n">
        <v>5</v>
      </c>
      <c r="C887" s="4" t="inlineStr">
        <is>
          <t>antelope</t>
        </is>
      </c>
      <c r="D887" s="4" t="n">
        <v>2014</v>
      </c>
      <c r="E887" s="4" t="inlineStr"/>
      <c r="F887" s="5" t="n">
        <v>316</v>
      </c>
      <c r="G887" s="5" t="n">
        <v>766</v>
      </c>
      <c r="H887" s="5" t="n">
        <v>180</v>
      </c>
      <c r="I887" s="5" t="n">
        <v>117</v>
      </c>
      <c r="J887" s="5" t="n">
        <v>61</v>
      </c>
      <c r="K887" s="10">
        <f>IF(F887&gt;0,H887/F887,"")</f>
        <v/>
      </c>
      <c r="L887" s="16">
        <f>IF(AND(G887&gt;0,H887&gt;0),G887/H887,"")</f>
        <v/>
      </c>
    </row>
    <row r="888">
      <c r="A888" s="4" t="inlineStr">
        <is>
          <t>501</t>
        </is>
      </c>
      <c r="B888" s="4" t="n">
        <v>5</v>
      </c>
      <c r="C888" s="4" t="inlineStr">
        <is>
          <t>antelope</t>
        </is>
      </c>
      <c r="D888" s="4" t="n">
        <v>2015</v>
      </c>
      <c r="E888" s="4" t="inlineStr"/>
      <c r="F888" s="5" t="n">
        <v>301</v>
      </c>
      <c r="G888" s="5" t="n">
        <v>835</v>
      </c>
      <c r="H888" s="5" t="n">
        <v>186</v>
      </c>
      <c r="I888" s="5" t="n">
        <v>137</v>
      </c>
      <c r="J888" s="5" t="n">
        <v>45</v>
      </c>
      <c r="K888" s="10">
        <f>IF(F888&gt;0,H888/F888,"")</f>
        <v/>
      </c>
      <c r="L888" s="16">
        <f>IF(AND(G888&gt;0,H888&gt;0),G888/H888,"")</f>
        <v/>
      </c>
    </row>
    <row r="889">
      <c r="A889" s="4" t="inlineStr">
        <is>
          <t>501</t>
        </is>
      </c>
      <c r="B889" s="4" t="n">
        <v>5</v>
      </c>
      <c r="C889" s="4" t="inlineStr">
        <is>
          <t>antelope</t>
        </is>
      </c>
      <c r="D889" s="4" t="n">
        <v>2016</v>
      </c>
      <c r="E889" s="4" t="inlineStr"/>
      <c r="F889" s="5" t="n"/>
      <c r="G889" s="5" t="n"/>
      <c r="H889" s="5" t="n">
        <v>141</v>
      </c>
      <c r="I889" s="5" t="n">
        <v>85</v>
      </c>
      <c r="J889" s="5" t="n">
        <v>51</v>
      </c>
      <c r="K889" s="10">
        <f>IF(F889&gt;0,H889/F889,"")</f>
        <v/>
      </c>
      <c r="L889" s="16">
        <f>IF(AND(G889&gt;0,H889&gt;0),G889/H889,"")</f>
        <v/>
      </c>
    </row>
    <row r="890">
      <c r="A890" s="4" t="inlineStr">
        <is>
          <t>501</t>
        </is>
      </c>
      <c r="B890" s="4" t="n">
        <v>5</v>
      </c>
      <c r="C890" s="4" t="inlineStr">
        <is>
          <t>antelope</t>
        </is>
      </c>
      <c r="D890" s="4" t="n">
        <v>2017</v>
      </c>
      <c r="E890" s="4" t="inlineStr"/>
      <c r="F890" s="5" t="n"/>
      <c r="G890" s="5" t="n"/>
      <c r="H890" s="5" t="n">
        <v>173</v>
      </c>
      <c r="I890" s="5" t="n">
        <v>133</v>
      </c>
      <c r="J890" s="5" t="n">
        <v>40</v>
      </c>
      <c r="K890" s="10">
        <f>IF(F890&gt;0,H890/F890,"")</f>
        <v/>
      </c>
      <c r="L890" s="16">
        <f>IF(AND(G890&gt;0,H890&gt;0),G890/H890,"")</f>
        <v/>
      </c>
    </row>
    <row r="891">
      <c r="A891" s="4" t="inlineStr">
        <is>
          <t>501</t>
        </is>
      </c>
      <c r="B891" s="4" t="n">
        <v>5</v>
      </c>
      <c r="C891" s="4" t="inlineStr">
        <is>
          <t>antelope</t>
        </is>
      </c>
      <c r="D891" s="4" t="n">
        <v>2018</v>
      </c>
      <c r="E891" s="4" t="inlineStr"/>
      <c r="F891" s="5" t="n">
        <v>316</v>
      </c>
      <c r="G891" s="5" t="n">
        <v>1049</v>
      </c>
      <c r="H891" s="5" t="n">
        <v>167</v>
      </c>
      <c r="I891" s="5" t="n">
        <v>133</v>
      </c>
      <c r="J891" s="5" t="n">
        <v>34</v>
      </c>
      <c r="K891" s="10">
        <f>IF(F891&gt;0,H891/F891,"")</f>
        <v/>
      </c>
      <c r="L891" s="16">
        <f>IF(AND(G891&gt;0,H891&gt;0),G891/H891,"")</f>
        <v/>
      </c>
    </row>
    <row r="892">
      <c r="A892" s="4" t="inlineStr">
        <is>
          <t>501</t>
        </is>
      </c>
      <c r="B892" s="4" t="n">
        <v>5</v>
      </c>
      <c r="C892" s="4" t="inlineStr">
        <is>
          <t>antelope</t>
        </is>
      </c>
      <c r="D892" s="4" t="n">
        <v>2019</v>
      </c>
      <c r="E892" s="4" t="inlineStr"/>
      <c r="F892" s="5" t="n"/>
      <c r="G892" s="5" t="n"/>
      <c r="H892" s="5" t="n">
        <v>201</v>
      </c>
      <c r="I892" s="5" t="n">
        <v>139</v>
      </c>
      <c r="J892" s="5" t="n">
        <v>60</v>
      </c>
      <c r="K892" s="10">
        <f>IF(F892&gt;0,H892/F892,"")</f>
        <v/>
      </c>
      <c r="L892" s="16">
        <f>IF(AND(G892&gt;0,H892&gt;0),G892/H892,"")</f>
        <v/>
      </c>
    </row>
    <row r="893">
      <c r="A893" s="4" t="inlineStr">
        <is>
          <t>501</t>
        </is>
      </c>
      <c r="B893" s="4" t="n">
        <v>5</v>
      </c>
      <c r="C893" s="4" t="inlineStr">
        <is>
          <t>antelope</t>
        </is>
      </c>
      <c r="D893" s="4" t="n">
        <v>2020</v>
      </c>
      <c r="E893" s="4" t="inlineStr"/>
      <c r="F893" s="5" t="n">
        <v>316</v>
      </c>
      <c r="G893" s="5" t="n">
        <v>820</v>
      </c>
      <c r="H893" s="5" t="n">
        <v>243</v>
      </c>
      <c r="I893" s="5" t="n">
        <v>187</v>
      </c>
      <c r="J893" s="5" t="n">
        <v>54</v>
      </c>
      <c r="K893" s="10">
        <f>IF(F893&gt;0,H893/F893,"")</f>
        <v/>
      </c>
      <c r="L893" s="16">
        <f>IF(AND(G893&gt;0,H893&gt;0),G893/H893,"")</f>
        <v/>
      </c>
    </row>
    <row r="894">
      <c r="A894" s="4" t="inlineStr">
        <is>
          <t>501</t>
        </is>
      </c>
      <c r="B894" s="4" t="n">
        <v>5</v>
      </c>
      <c r="C894" s="4" t="inlineStr">
        <is>
          <t>antelope</t>
        </is>
      </c>
      <c r="D894" s="4" t="n">
        <v>2021</v>
      </c>
      <c r="E894" s="4" t="inlineStr"/>
      <c r="F894" s="5" t="n"/>
      <c r="G894" s="5" t="n"/>
      <c r="H894" s="5" t="n">
        <v>150</v>
      </c>
      <c r="I894" s="5" t="n">
        <v>94</v>
      </c>
      <c r="J894" s="5" t="n">
        <v>56</v>
      </c>
      <c r="K894" s="10">
        <f>IF(F894&gt;0,H894/F894,"")</f>
        <v/>
      </c>
      <c r="L894" s="16">
        <f>IF(AND(G894&gt;0,H894&gt;0),G894/H894,"")</f>
        <v/>
      </c>
    </row>
    <row r="895">
      <c r="A895" s="4" t="inlineStr">
        <is>
          <t>506</t>
        </is>
      </c>
      <c r="B895" s="4" t="n">
        <v>5</v>
      </c>
      <c r="C895" s="4" t="inlineStr">
        <is>
          <t>antelope</t>
        </is>
      </c>
      <c r="D895" s="4" t="n">
        <v>2022</v>
      </c>
      <c r="E895" s="15" t="inlineStr">
        <is>
          <t>Draw</t>
        </is>
      </c>
      <c r="F895" s="5" t="n">
        <v>230</v>
      </c>
      <c r="G895" s="5" t="n">
        <v>716</v>
      </c>
      <c r="H895" s="5" t="n">
        <v>130</v>
      </c>
      <c r="I895" s="5" t="n">
        <v>99</v>
      </c>
      <c r="J895" s="5" t="n">
        <v>31</v>
      </c>
      <c r="K895" s="10">
        <f>IF(F895&gt;0,H895/F895,"")</f>
        <v/>
      </c>
      <c r="L895" s="16">
        <f>IF(AND(G895&gt;0,H895&gt;0),G895/H895,"")</f>
        <v/>
      </c>
    </row>
    <row r="896">
      <c r="A896" s="4" t="inlineStr">
        <is>
          <t>506</t>
        </is>
      </c>
      <c r="B896" s="4" t="n">
        <v>5</v>
      </c>
      <c r="C896" s="4" t="inlineStr">
        <is>
          <t>antelope</t>
        </is>
      </c>
      <c r="D896" s="4" t="n">
        <v>2023</v>
      </c>
      <c r="E896" s="15" t="inlineStr">
        <is>
          <t>Draw</t>
        </is>
      </c>
      <c r="F896" s="5" t="n"/>
      <c r="G896" s="5" t="n"/>
      <c r="H896" s="5" t="n">
        <v>110</v>
      </c>
      <c r="I896" s="5" t="n">
        <v>76</v>
      </c>
      <c r="J896" s="5" t="n">
        <v>30</v>
      </c>
      <c r="K896" s="10">
        <f>IF(F896&gt;0,H896/F896,"")</f>
        <v/>
      </c>
      <c r="L896" s="16">
        <f>IF(AND(G896&gt;0,H896&gt;0),G896/H896,"")</f>
        <v/>
      </c>
    </row>
    <row r="897">
      <c r="A897" s="4" t="inlineStr">
        <is>
          <t>506</t>
        </is>
      </c>
      <c r="B897" s="4" t="n">
        <v>5</v>
      </c>
      <c r="C897" s="4" t="inlineStr">
        <is>
          <t>antelope</t>
        </is>
      </c>
      <c r="D897" s="4" t="n">
        <v>2024</v>
      </c>
      <c r="E897" s="15" t="inlineStr">
        <is>
          <t>Draw</t>
        </is>
      </c>
      <c r="F897" s="5" t="n">
        <v>222</v>
      </c>
      <c r="G897" s="5" t="n">
        <v>686</v>
      </c>
      <c r="H897" s="5" t="n">
        <v>136</v>
      </c>
      <c r="I897" s="5" t="n">
        <v>115</v>
      </c>
      <c r="J897" s="5" t="n">
        <v>21</v>
      </c>
      <c r="K897" s="10">
        <f>IF(F897&gt;0,H897/F897,"")</f>
        <v/>
      </c>
      <c r="L897" s="16">
        <f>IF(AND(G897&gt;0,H897&gt;0),G897/H897,"")</f>
        <v/>
      </c>
    </row>
    <row r="898">
      <c r="A898" s="4" t="inlineStr">
        <is>
          <t>506</t>
        </is>
      </c>
      <c r="B898" s="4" t="n">
        <v>5</v>
      </c>
      <c r="C898" s="4" t="inlineStr">
        <is>
          <t>antelope</t>
        </is>
      </c>
      <c r="D898" s="4" t="n">
        <v>2025</v>
      </c>
      <c r="E898" s="15" t="inlineStr">
        <is>
          <t>Draw</t>
        </is>
      </c>
      <c r="F898" s="5" t="n"/>
      <c r="G898" s="5" t="n"/>
      <c r="H898" s="5" t="n">
        <v>64</v>
      </c>
      <c r="I898" s="5" t="n">
        <v>49</v>
      </c>
      <c r="J898" s="5" t="n">
        <v>12</v>
      </c>
      <c r="K898" s="10">
        <f>IF(F898&gt;0,H898/F898,"")</f>
        <v/>
      </c>
      <c r="L898" s="16">
        <f>IF(AND(G898&gt;0,H898&gt;0),G898/H898,"")</f>
        <v/>
      </c>
    </row>
    <row r="899">
      <c r="A899" s="4" t="inlineStr">
        <is>
          <t>510</t>
        </is>
      </c>
      <c r="B899" s="4" t="n">
        <v>5</v>
      </c>
      <c r="C899" s="4" t="inlineStr">
        <is>
          <t>antelope</t>
        </is>
      </c>
      <c r="D899" s="4" t="n">
        <v>2004</v>
      </c>
      <c r="E899" s="4" t="inlineStr"/>
      <c r="F899" s="5" t="n">
        <v>426</v>
      </c>
      <c r="G899" s="5" t="n">
        <v>1091</v>
      </c>
      <c r="H899" s="5" t="n">
        <v>452</v>
      </c>
      <c r="I899" s="5" t="n">
        <v>209</v>
      </c>
      <c r="J899" s="5" t="n">
        <v>227</v>
      </c>
      <c r="K899" s="10">
        <f>IF(F899&gt;0,H899/F899,"")</f>
        <v/>
      </c>
      <c r="L899" s="16">
        <f>IF(AND(G899&gt;0,H899&gt;0),G899/H899,"")</f>
        <v/>
      </c>
    </row>
    <row r="900">
      <c r="A900" s="4" t="inlineStr">
        <is>
          <t>510</t>
        </is>
      </c>
      <c r="B900" s="4" t="n">
        <v>5</v>
      </c>
      <c r="C900" s="4" t="inlineStr">
        <is>
          <t>antelope</t>
        </is>
      </c>
      <c r="D900" s="4" t="n">
        <v>2005</v>
      </c>
      <c r="E900" s="4" t="inlineStr"/>
      <c r="F900" s="5" t="n">
        <v>403</v>
      </c>
      <c r="G900" s="5" t="n">
        <v>990</v>
      </c>
      <c r="H900" s="5" t="n">
        <v>214</v>
      </c>
      <c r="I900" s="5" t="n">
        <v>149</v>
      </c>
      <c r="J900" s="5" t="n">
        <v>60</v>
      </c>
      <c r="K900" s="10">
        <f>IF(F900&gt;0,H900/F900,"")</f>
        <v/>
      </c>
      <c r="L900" s="16">
        <f>IF(AND(G900&gt;0,H900&gt;0),G900/H900,"")</f>
        <v/>
      </c>
    </row>
    <row r="901">
      <c r="A901" s="4" t="inlineStr">
        <is>
          <t>510</t>
        </is>
      </c>
      <c r="B901" s="4" t="n">
        <v>5</v>
      </c>
      <c r="C901" s="4" t="inlineStr">
        <is>
          <t>antelope</t>
        </is>
      </c>
      <c r="D901" s="4" t="n">
        <v>2006</v>
      </c>
      <c r="E901" s="4" t="inlineStr"/>
      <c r="F901" s="5" t="n">
        <v>286</v>
      </c>
      <c r="G901" s="5" t="n">
        <v>732</v>
      </c>
      <c r="H901" s="5" t="n">
        <v>197</v>
      </c>
      <c r="I901" s="5" t="n">
        <v>125</v>
      </c>
      <c r="J901" s="5" t="n">
        <v>68</v>
      </c>
      <c r="K901" s="10">
        <f>IF(F901&gt;0,H901/F901,"")</f>
        <v/>
      </c>
      <c r="L901" s="16">
        <f>IF(AND(G901&gt;0,H901&gt;0),G901/H901,"")</f>
        <v/>
      </c>
    </row>
    <row r="902">
      <c r="A902" s="4" t="inlineStr">
        <is>
          <t>510</t>
        </is>
      </c>
      <c r="B902" s="4" t="n">
        <v>5</v>
      </c>
      <c r="C902" s="4" t="inlineStr">
        <is>
          <t>antelope</t>
        </is>
      </c>
      <c r="D902" s="4" t="n">
        <v>2007</v>
      </c>
      <c r="E902" s="4" t="inlineStr"/>
      <c r="F902" s="5" t="n">
        <v>347</v>
      </c>
      <c r="G902" s="5" t="n">
        <v>752</v>
      </c>
      <c r="H902" s="5" t="n">
        <v>261</v>
      </c>
      <c r="I902" s="5" t="n">
        <v>196</v>
      </c>
      <c r="J902" s="5" t="n">
        <v>63</v>
      </c>
      <c r="K902" s="10">
        <f>IF(F902&gt;0,H902/F902,"")</f>
        <v/>
      </c>
      <c r="L902" s="16">
        <f>IF(AND(G902&gt;0,H902&gt;0),G902/H902,"")</f>
        <v/>
      </c>
    </row>
    <row r="903">
      <c r="A903" s="4" t="inlineStr">
        <is>
          <t>510</t>
        </is>
      </c>
      <c r="B903" s="4" t="n">
        <v>5</v>
      </c>
      <c r="C903" s="4" t="inlineStr">
        <is>
          <t>antelope</t>
        </is>
      </c>
      <c r="D903" s="4" t="n">
        <v>2008</v>
      </c>
      <c r="E903" s="4" t="inlineStr"/>
      <c r="F903" s="5" t="n">
        <v>419</v>
      </c>
      <c r="G903" s="5" t="n">
        <v>1188</v>
      </c>
      <c r="H903" s="5" t="n">
        <v>357</v>
      </c>
      <c r="I903" s="5" t="n">
        <v>211</v>
      </c>
      <c r="J903" s="5" t="n">
        <v>146</v>
      </c>
      <c r="K903" s="10">
        <f>IF(F903&gt;0,H903/F903,"")</f>
        <v/>
      </c>
      <c r="L903" s="16">
        <f>IF(AND(G903&gt;0,H903&gt;0),G903/H903,"")</f>
        <v/>
      </c>
    </row>
    <row r="904">
      <c r="A904" s="4" t="inlineStr">
        <is>
          <t>510</t>
        </is>
      </c>
      <c r="B904" s="4" t="n">
        <v>5</v>
      </c>
      <c r="C904" s="4" t="inlineStr">
        <is>
          <t>antelope</t>
        </is>
      </c>
      <c r="D904" s="4" t="n">
        <v>2009</v>
      </c>
      <c r="E904" s="4" t="inlineStr"/>
      <c r="F904" s="5" t="n">
        <v>380</v>
      </c>
      <c r="G904" s="5" t="n">
        <v>1164</v>
      </c>
      <c r="H904" s="5" t="n">
        <v>321</v>
      </c>
      <c r="I904" s="5" t="n">
        <v>172</v>
      </c>
      <c r="J904" s="5" t="n">
        <v>134</v>
      </c>
      <c r="K904" s="10">
        <f>IF(F904&gt;0,H904/F904,"")</f>
        <v/>
      </c>
      <c r="L904" s="16">
        <f>IF(AND(G904&gt;0,H904&gt;0),G904/H904,"")</f>
        <v/>
      </c>
    </row>
    <row r="905">
      <c r="A905" s="4" t="inlineStr">
        <is>
          <t>510</t>
        </is>
      </c>
      <c r="B905" s="4" t="n">
        <v>5</v>
      </c>
      <c r="C905" s="4" t="inlineStr">
        <is>
          <t>antelope</t>
        </is>
      </c>
      <c r="D905" s="4" t="n">
        <v>2010</v>
      </c>
      <c r="E905" s="4" t="inlineStr"/>
      <c r="F905" s="5" t="n">
        <v>570</v>
      </c>
      <c r="G905" s="5" t="n">
        <v>1586</v>
      </c>
      <c r="H905" s="5" t="n">
        <v>443</v>
      </c>
      <c r="I905" s="5" t="n">
        <v>236</v>
      </c>
      <c r="J905" s="5" t="n">
        <v>207</v>
      </c>
      <c r="K905" s="10">
        <f>IF(F905&gt;0,H905/F905,"")</f>
        <v/>
      </c>
      <c r="L905" s="16">
        <f>IF(AND(G905&gt;0,H905&gt;0),G905/H905,"")</f>
        <v/>
      </c>
    </row>
    <row r="906">
      <c r="A906" s="4" t="inlineStr">
        <is>
          <t>510</t>
        </is>
      </c>
      <c r="B906" s="4" t="n">
        <v>5</v>
      </c>
      <c r="C906" s="4" t="inlineStr">
        <is>
          <t>antelope</t>
        </is>
      </c>
      <c r="D906" s="4" t="n">
        <v>2011</v>
      </c>
      <c r="E906" s="4" t="inlineStr"/>
      <c r="F906" s="5" t="n">
        <v>604</v>
      </c>
      <c r="G906" s="5" t="n">
        <v>1780</v>
      </c>
      <c r="H906" s="5" t="n">
        <v>468</v>
      </c>
      <c r="I906" s="5" t="n">
        <v>248</v>
      </c>
      <c r="J906" s="5" t="n">
        <v>217</v>
      </c>
      <c r="K906" s="10">
        <f>IF(F906&gt;0,H906/F906,"")</f>
        <v/>
      </c>
      <c r="L906" s="16">
        <f>IF(AND(G906&gt;0,H906&gt;0),G906/H906,"")</f>
        <v/>
      </c>
    </row>
    <row r="907">
      <c r="A907" s="4" t="inlineStr">
        <is>
          <t>510</t>
        </is>
      </c>
      <c r="B907" s="4" t="n">
        <v>5</v>
      </c>
      <c r="C907" s="4" t="inlineStr">
        <is>
          <t>antelope</t>
        </is>
      </c>
      <c r="D907" s="4" t="n">
        <v>2012</v>
      </c>
      <c r="E907" s="4" t="inlineStr"/>
      <c r="F907" s="5" t="n">
        <v>483</v>
      </c>
      <c r="G907" s="5" t="n">
        <v>1360</v>
      </c>
      <c r="H907" s="5" t="n">
        <v>349</v>
      </c>
      <c r="I907" s="5" t="n">
        <v>211</v>
      </c>
      <c r="J907" s="5" t="n">
        <v>126</v>
      </c>
      <c r="K907" s="10">
        <f>IF(F907&gt;0,H907/F907,"")</f>
        <v/>
      </c>
      <c r="L907" s="16">
        <f>IF(AND(G907&gt;0,H907&gt;0),G907/H907,"")</f>
        <v/>
      </c>
    </row>
    <row r="908">
      <c r="A908" s="4" t="inlineStr">
        <is>
          <t>510</t>
        </is>
      </c>
      <c r="B908" s="4" t="n">
        <v>5</v>
      </c>
      <c r="C908" s="4" t="inlineStr">
        <is>
          <t>antelope</t>
        </is>
      </c>
      <c r="D908" s="4" t="n">
        <v>2013</v>
      </c>
      <c r="E908" s="4" t="inlineStr"/>
      <c r="F908" s="5" t="n"/>
      <c r="G908" s="5" t="n"/>
      <c r="H908" s="5" t="n">
        <v>267</v>
      </c>
      <c r="I908" s="5" t="n">
        <v>186</v>
      </c>
      <c r="J908" s="5" t="n">
        <v>81</v>
      </c>
      <c r="K908" s="10">
        <f>IF(F908&gt;0,H908/F908,"")</f>
        <v/>
      </c>
      <c r="L908" s="16">
        <f>IF(AND(G908&gt;0,H908&gt;0),G908/H908,"")</f>
        <v/>
      </c>
    </row>
    <row r="909">
      <c r="A909" s="4" t="inlineStr">
        <is>
          <t>510</t>
        </is>
      </c>
      <c r="B909" s="4" t="n">
        <v>5</v>
      </c>
      <c r="C909" s="4" t="inlineStr">
        <is>
          <t>antelope</t>
        </is>
      </c>
      <c r="D909" s="4" t="n">
        <v>2014</v>
      </c>
      <c r="E909" s="4" t="inlineStr"/>
      <c r="F909" s="5" t="n">
        <v>398</v>
      </c>
      <c r="G909" s="5" t="n">
        <v>1146</v>
      </c>
      <c r="H909" s="5" t="n">
        <v>300</v>
      </c>
      <c r="I909" s="5" t="n">
        <v>170</v>
      </c>
      <c r="J909" s="5" t="n">
        <v>121</v>
      </c>
      <c r="K909" s="10">
        <f>IF(F909&gt;0,H909/F909,"")</f>
        <v/>
      </c>
      <c r="L909" s="16">
        <f>IF(AND(G909&gt;0,H909&gt;0),G909/H909,"")</f>
        <v/>
      </c>
    </row>
    <row r="910">
      <c r="A910" s="4" t="inlineStr">
        <is>
          <t>510</t>
        </is>
      </c>
      <c r="B910" s="4" t="n">
        <v>5</v>
      </c>
      <c r="C910" s="4" t="inlineStr">
        <is>
          <t>antelope</t>
        </is>
      </c>
      <c r="D910" s="4" t="n">
        <v>2015</v>
      </c>
      <c r="E910" s="4" t="inlineStr"/>
      <c r="F910" s="5" t="n">
        <v>477</v>
      </c>
      <c r="G910" s="5" t="n">
        <v>1374</v>
      </c>
      <c r="H910" s="5" t="n">
        <v>395</v>
      </c>
      <c r="I910" s="5" t="n">
        <v>238</v>
      </c>
      <c r="J910" s="5" t="n">
        <v>153</v>
      </c>
      <c r="K910" s="10">
        <f>IF(F910&gt;0,H910/F910,"")</f>
        <v/>
      </c>
      <c r="L910" s="16">
        <f>IF(AND(G910&gt;0,H910&gt;0),G910/H910,"")</f>
        <v/>
      </c>
    </row>
    <row r="911">
      <c r="A911" s="4" t="inlineStr">
        <is>
          <t>510</t>
        </is>
      </c>
      <c r="B911" s="4" t="n">
        <v>5</v>
      </c>
      <c r="C911" s="4" t="inlineStr">
        <is>
          <t>antelope</t>
        </is>
      </c>
      <c r="D911" s="4" t="n">
        <v>2016</v>
      </c>
      <c r="E911" s="4" t="inlineStr"/>
      <c r="F911" s="5" t="n"/>
      <c r="G911" s="5" t="n"/>
      <c r="H911" s="5" t="n">
        <v>431</v>
      </c>
      <c r="I911" s="5" t="n">
        <v>275</v>
      </c>
      <c r="J911" s="5" t="n">
        <v>157</v>
      </c>
      <c r="K911" s="10">
        <f>IF(F911&gt;0,H911/F911,"")</f>
        <v/>
      </c>
      <c r="L911" s="16">
        <f>IF(AND(G911&gt;0,H911&gt;0),G911/H911,"")</f>
        <v/>
      </c>
    </row>
    <row r="912">
      <c r="A912" s="4" t="inlineStr">
        <is>
          <t>510</t>
        </is>
      </c>
      <c r="B912" s="4" t="n">
        <v>5</v>
      </c>
      <c r="C912" s="4" t="inlineStr">
        <is>
          <t>antelope</t>
        </is>
      </c>
      <c r="D912" s="4" t="n">
        <v>2017</v>
      </c>
      <c r="E912" s="4" t="inlineStr"/>
      <c r="F912" s="5" t="n"/>
      <c r="G912" s="5" t="n"/>
      <c r="H912" s="5" t="n">
        <v>364</v>
      </c>
      <c r="I912" s="5" t="n">
        <v>245</v>
      </c>
      <c r="J912" s="5" t="n">
        <v>114</v>
      </c>
      <c r="K912" s="10">
        <f>IF(F912&gt;0,H912/F912,"")</f>
        <v/>
      </c>
      <c r="L912" s="16">
        <f>IF(AND(G912&gt;0,H912&gt;0),G912/H912,"")</f>
        <v/>
      </c>
    </row>
    <row r="913">
      <c r="A913" s="4" t="inlineStr">
        <is>
          <t>510</t>
        </is>
      </c>
      <c r="B913" s="4" t="n">
        <v>5</v>
      </c>
      <c r="C913" s="4" t="inlineStr">
        <is>
          <t>antelope</t>
        </is>
      </c>
      <c r="D913" s="4" t="n">
        <v>2018</v>
      </c>
      <c r="E913" s="4" t="inlineStr"/>
      <c r="F913" s="5" t="n">
        <v>451</v>
      </c>
      <c r="G913" s="5" t="n">
        <v>1251</v>
      </c>
      <c r="H913" s="5" t="n">
        <v>304</v>
      </c>
      <c r="I913" s="5" t="n">
        <v>215</v>
      </c>
      <c r="J913" s="5" t="n">
        <v>87</v>
      </c>
      <c r="K913" s="10">
        <f>IF(F913&gt;0,H913/F913,"")</f>
        <v/>
      </c>
      <c r="L913" s="16">
        <f>IF(AND(G913&gt;0,H913&gt;0),G913/H913,"")</f>
        <v/>
      </c>
    </row>
    <row r="914">
      <c r="A914" s="4" t="inlineStr">
        <is>
          <t>510</t>
        </is>
      </c>
      <c r="B914" s="4" t="n">
        <v>5</v>
      </c>
      <c r="C914" s="4" t="inlineStr">
        <is>
          <t>antelope</t>
        </is>
      </c>
      <c r="D914" s="4" t="n">
        <v>2019</v>
      </c>
      <c r="E914" s="4" t="inlineStr"/>
      <c r="F914" s="5" t="n"/>
      <c r="G914" s="5" t="n"/>
      <c r="H914" s="5" t="n">
        <v>282</v>
      </c>
      <c r="I914" s="5" t="n">
        <v>181</v>
      </c>
      <c r="J914" s="5" t="n">
        <v>98</v>
      </c>
      <c r="K914" s="10">
        <f>IF(F914&gt;0,H914/F914,"")</f>
        <v/>
      </c>
      <c r="L914" s="16">
        <f>IF(AND(G914&gt;0,H914&gt;0),G914/H914,"")</f>
        <v/>
      </c>
    </row>
    <row r="915">
      <c r="A915" s="4" t="inlineStr">
        <is>
          <t>510</t>
        </is>
      </c>
      <c r="B915" s="4" t="n">
        <v>5</v>
      </c>
      <c r="C915" s="4" t="inlineStr">
        <is>
          <t>antelope</t>
        </is>
      </c>
      <c r="D915" s="4" t="n">
        <v>2020</v>
      </c>
      <c r="E915" s="4" t="inlineStr"/>
      <c r="F915" s="5" t="n">
        <v>322</v>
      </c>
      <c r="G915" s="5" t="n">
        <v>1033</v>
      </c>
      <c r="H915" s="5" t="n">
        <v>169</v>
      </c>
      <c r="I915" s="5" t="n">
        <v>100</v>
      </c>
      <c r="J915" s="5" t="n">
        <v>69</v>
      </c>
      <c r="K915" s="10">
        <f>IF(F915&gt;0,H915/F915,"")</f>
        <v/>
      </c>
      <c r="L915" s="16">
        <f>IF(AND(G915&gt;0,H915&gt;0),G915/H915,"")</f>
        <v/>
      </c>
    </row>
    <row r="916">
      <c r="A916" s="4" t="inlineStr">
        <is>
          <t>510</t>
        </is>
      </c>
      <c r="B916" s="4" t="n">
        <v>5</v>
      </c>
      <c r="C916" s="4" t="inlineStr">
        <is>
          <t>antelope</t>
        </is>
      </c>
      <c r="D916" s="4" t="n">
        <v>2021</v>
      </c>
      <c r="E916" s="4" t="inlineStr"/>
      <c r="F916" s="5" t="n"/>
      <c r="G916" s="5" t="n"/>
      <c r="H916" s="5" t="n">
        <v>157</v>
      </c>
      <c r="I916" s="5" t="n">
        <v>114</v>
      </c>
      <c r="J916" s="5" t="n">
        <v>41</v>
      </c>
      <c r="K916" s="10">
        <f>IF(F916&gt;0,H916/F916,"")</f>
        <v/>
      </c>
      <c r="L916" s="16">
        <f>IF(AND(G916&gt;0,H916&gt;0),G916/H916,"")</f>
        <v/>
      </c>
    </row>
    <row r="917">
      <c r="A917" s="4" t="inlineStr">
        <is>
          <t>511</t>
        </is>
      </c>
      <c r="B917" s="4" t="n">
        <v>5</v>
      </c>
      <c r="C917" s="4" t="inlineStr">
        <is>
          <t>antelope</t>
        </is>
      </c>
      <c r="D917" s="4" t="n">
        <v>2004</v>
      </c>
      <c r="E917" s="4" t="inlineStr"/>
      <c r="F917" s="5" t="n">
        <v>252</v>
      </c>
      <c r="G917" s="5" t="n">
        <v>743</v>
      </c>
      <c r="H917" s="5" t="n">
        <v>149</v>
      </c>
      <c r="I917" s="5" t="n">
        <v>117</v>
      </c>
      <c r="J917" s="5" t="n">
        <v>32</v>
      </c>
      <c r="K917" s="10">
        <f>IF(F917&gt;0,H917/F917,"")</f>
        <v/>
      </c>
      <c r="L917" s="16">
        <f>IF(AND(G917&gt;0,H917&gt;0),G917/H917,"")</f>
        <v/>
      </c>
    </row>
    <row r="918">
      <c r="A918" s="4" t="inlineStr">
        <is>
          <t>511</t>
        </is>
      </c>
      <c r="B918" s="4" t="n">
        <v>5</v>
      </c>
      <c r="C918" s="4" t="inlineStr">
        <is>
          <t>antelope</t>
        </is>
      </c>
      <c r="D918" s="4" t="n">
        <v>2005</v>
      </c>
      <c r="E918" s="4" t="inlineStr"/>
      <c r="F918" s="5" t="n">
        <v>294</v>
      </c>
      <c r="G918" s="5" t="n">
        <v>897</v>
      </c>
      <c r="H918" s="5" t="n">
        <v>193</v>
      </c>
      <c r="I918" s="5" t="n">
        <v>148</v>
      </c>
      <c r="J918" s="5" t="n">
        <v>42</v>
      </c>
      <c r="K918" s="10">
        <f>IF(F918&gt;0,H918/F918,"")</f>
        <v/>
      </c>
      <c r="L918" s="16">
        <f>IF(AND(G918&gt;0,H918&gt;0),G918/H918,"")</f>
        <v/>
      </c>
    </row>
    <row r="919">
      <c r="A919" s="4" t="inlineStr">
        <is>
          <t>511</t>
        </is>
      </c>
      <c r="B919" s="4" t="n">
        <v>5</v>
      </c>
      <c r="C919" s="4" t="inlineStr">
        <is>
          <t>antelope</t>
        </is>
      </c>
      <c r="D919" s="4" t="n">
        <v>2006</v>
      </c>
      <c r="E919" s="4" t="inlineStr"/>
      <c r="F919" s="5" t="n">
        <v>232</v>
      </c>
      <c r="G919" s="5" t="n">
        <v>772</v>
      </c>
      <c r="H919" s="5" t="n">
        <v>160</v>
      </c>
      <c r="I919" s="5" t="n">
        <v>116</v>
      </c>
      <c r="J919" s="5" t="n">
        <v>39</v>
      </c>
      <c r="K919" s="10">
        <f>IF(F919&gt;0,H919/F919,"")</f>
        <v/>
      </c>
      <c r="L919" s="16">
        <f>IF(AND(G919&gt;0,H919&gt;0),G919/H919,"")</f>
        <v/>
      </c>
    </row>
    <row r="920">
      <c r="A920" s="4" t="inlineStr">
        <is>
          <t>511</t>
        </is>
      </c>
      <c r="B920" s="4" t="n">
        <v>5</v>
      </c>
      <c r="C920" s="4" t="inlineStr">
        <is>
          <t>antelope</t>
        </is>
      </c>
      <c r="D920" s="4" t="n">
        <v>2007</v>
      </c>
      <c r="E920" s="4" t="inlineStr"/>
      <c r="F920" s="5" t="n">
        <v>239</v>
      </c>
      <c r="G920" s="5" t="n">
        <v>874</v>
      </c>
      <c r="H920" s="5" t="n">
        <v>156</v>
      </c>
      <c r="I920" s="5" t="n">
        <v>141</v>
      </c>
      <c r="J920" s="5" t="n">
        <v>13</v>
      </c>
      <c r="K920" s="10">
        <f>IF(F920&gt;0,H920/F920,"")</f>
        <v/>
      </c>
      <c r="L920" s="16">
        <f>IF(AND(G920&gt;0,H920&gt;0),G920/H920,"")</f>
        <v/>
      </c>
    </row>
    <row r="921">
      <c r="A921" s="4" t="inlineStr">
        <is>
          <t>511</t>
        </is>
      </c>
      <c r="B921" s="4" t="n">
        <v>5</v>
      </c>
      <c r="C921" s="4" t="inlineStr">
        <is>
          <t>antelope</t>
        </is>
      </c>
      <c r="D921" s="4" t="n">
        <v>2008</v>
      </c>
      <c r="E921" s="4" t="inlineStr"/>
      <c r="F921" s="5" t="n">
        <v>287</v>
      </c>
      <c r="G921" s="5" t="n">
        <v>983</v>
      </c>
      <c r="H921" s="5" t="n">
        <v>181</v>
      </c>
      <c r="I921" s="5" t="n">
        <v>149</v>
      </c>
      <c r="J921" s="5" t="n">
        <v>26</v>
      </c>
      <c r="K921" s="10">
        <f>IF(F921&gt;0,H921/F921,"")</f>
        <v/>
      </c>
      <c r="L921" s="16">
        <f>IF(AND(G921&gt;0,H921&gt;0),G921/H921,"")</f>
        <v/>
      </c>
    </row>
    <row r="922">
      <c r="A922" s="4" t="inlineStr">
        <is>
          <t>511</t>
        </is>
      </c>
      <c r="B922" s="4" t="n">
        <v>5</v>
      </c>
      <c r="C922" s="4" t="inlineStr">
        <is>
          <t>antelope</t>
        </is>
      </c>
      <c r="D922" s="4" t="n">
        <v>2009</v>
      </c>
      <c r="E922" s="4" t="inlineStr"/>
      <c r="F922" s="5" t="n">
        <v>455</v>
      </c>
      <c r="G922" s="5" t="n">
        <v>1648</v>
      </c>
      <c r="H922" s="5" t="n">
        <v>313</v>
      </c>
      <c r="I922" s="5" t="n">
        <v>237</v>
      </c>
      <c r="J922" s="5" t="n">
        <v>76</v>
      </c>
      <c r="K922" s="10">
        <f>IF(F922&gt;0,H922/F922,"")</f>
        <v/>
      </c>
      <c r="L922" s="16">
        <f>IF(AND(G922&gt;0,H922&gt;0),G922/H922,"")</f>
        <v/>
      </c>
    </row>
    <row r="923">
      <c r="A923" s="4" t="inlineStr">
        <is>
          <t>511</t>
        </is>
      </c>
      <c r="B923" s="4" t="n">
        <v>5</v>
      </c>
      <c r="C923" s="4" t="inlineStr">
        <is>
          <t>antelope</t>
        </is>
      </c>
      <c r="D923" s="4" t="n">
        <v>2010</v>
      </c>
      <c r="E923" s="4" t="inlineStr"/>
      <c r="F923" s="5" t="n">
        <v>436</v>
      </c>
      <c r="G923" s="5" t="n">
        <v>1516</v>
      </c>
      <c r="H923" s="5" t="n">
        <v>278</v>
      </c>
      <c r="I923" s="5" t="n">
        <v>181</v>
      </c>
      <c r="J923" s="5" t="n">
        <v>93</v>
      </c>
      <c r="K923" s="10">
        <f>IF(F923&gt;0,H923/F923,"")</f>
        <v/>
      </c>
      <c r="L923" s="16">
        <f>IF(AND(G923&gt;0,H923&gt;0),G923/H923,"")</f>
        <v/>
      </c>
    </row>
    <row r="924">
      <c r="A924" s="4" t="inlineStr">
        <is>
          <t>511</t>
        </is>
      </c>
      <c r="B924" s="4" t="n">
        <v>5</v>
      </c>
      <c r="C924" s="4" t="inlineStr">
        <is>
          <t>antelope</t>
        </is>
      </c>
      <c r="D924" s="4" t="n">
        <v>2011</v>
      </c>
      <c r="E924" s="4" t="inlineStr"/>
      <c r="F924" s="5" t="n">
        <v>284</v>
      </c>
      <c r="G924" s="5" t="n">
        <v>960</v>
      </c>
      <c r="H924" s="5" t="n">
        <v>197</v>
      </c>
      <c r="I924" s="5" t="n">
        <v>131</v>
      </c>
      <c r="J924" s="5" t="n">
        <v>67</v>
      </c>
      <c r="K924" s="10">
        <f>IF(F924&gt;0,H924/F924,"")</f>
        <v/>
      </c>
      <c r="L924" s="16">
        <f>IF(AND(G924&gt;0,H924&gt;0),G924/H924,"")</f>
        <v/>
      </c>
    </row>
    <row r="925">
      <c r="A925" s="4" t="inlineStr">
        <is>
          <t>511</t>
        </is>
      </c>
      <c r="B925" s="4" t="n">
        <v>5</v>
      </c>
      <c r="C925" s="4" t="inlineStr">
        <is>
          <t>antelope</t>
        </is>
      </c>
      <c r="D925" s="4" t="n">
        <v>2012</v>
      </c>
      <c r="E925" s="4" t="inlineStr"/>
      <c r="F925" s="5" t="n">
        <v>314</v>
      </c>
      <c r="G925" s="5" t="n">
        <v>1136</v>
      </c>
      <c r="H925" s="5" t="n">
        <v>190</v>
      </c>
      <c r="I925" s="5" t="n">
        <v>113</v>
      </c>
      <c r="J925" s="5" t="n">
        <v>75</v>
      </c>
      <c r="K925" s="10">
        <f>IF(F925&gt;0,H925/F925,"")</f>
        <v/>
      </c>
      <c r="L925" s="16">
        <f>IF(AND(G925&gt;0,H925&gt;0),G925/H925,"")</f>
        <v/>
      </c>
    </row>
    <row r="926">
      <c r="A926" s="4" t="inlineStr">
        <is>
          <t>511</t>
        </is>
      </c>
      <c r="B926" s="4" t="n">
        <v>5</v>
      </c>
      <c r="C926" s="4" t="inlineStr">
        <is>
          <t>antelope</t>
        </is>
      </c>
      <c r="D926" s="4" t="n">
        <v>2013</v>
      </c>
      <c r="E926" s="4" t="inlineStr"/>
      <c r="F926" s="5" t="n"/>
      <c r="G926" s="5" t="n"/>
      <c r="H926" s="5" t="n">
        <v>116</v>
      </c>
      <c r="I926" s="5" t="n">
        <v>64</v>
      </c>
      <c r="J926" s="5" t="n">
        <v>52</v>
      </c>
      <c r="K926" s="10">
        <f>IF(F926&gt;0,H926/F926,"")</f>
        <v/>
      </c>
      <c r="L926" s="16">
        <f>IF(AND(G926&gt;0,H926&gt;0),G926/H926,"")</f>
        <v/>
      </c>
    </row>
    <row r="927">
      <c r="A927" s="4" t="inlineStr">
        <is>
          <t>511</t>
        </is>
      </c>
      <c r="B927" s="4" t="n">
        <v>5</v>
      </c>
      <c r="C927" s="4" t="inlineStr">
        <is>
          <t>antelope</t>
        </is>
      </c>
      <c r="D927" s="4" t="n">
        <v>2014</v>
      </c>
      <c r="E927" s="4" t="inlineStr"/>
      <c r="F927" s="5" t="n">
        <v>196</v>
      </c>
      <c r="G927" s="5" t="n">
        <v>592</v>
      </c>
      <c r="H927" s="5" t="n">
        <v>88</v>
      </c>
      <c r="I927" s="5" t="n">
        <v>65</v>
      </c>
      <c r="J927" s="5" t="n">
        <v>21</v>
      </c>
      <c r="K927" s="10">
        <f>IF(F927&gt;0,H927/F927,"")</f>
        <v/>
      </c>
      <c r="L927" s="16">
        <f>IF(AND(G927&gt;0,H927&gt;0),G927/H927,"")</f>
        <v/>
      </c>
    </row>
    <row r="928">
      <c r="A928" s="4" t="inlineStr">
        <is>
          <t>511</t>
        </is>
      </c>
      <c r="B928" s="4" t="n">
        <v>5</v>
      </c>
      <c r="C928" s="4" t="inlineStr">
        <is>
          <t>antelope</t>
        </is>
      </c>
      <c r="D928" s="4" t="n">
        <v>2015</v>
      </c>
      <c r="E928" s="4" t="inlineStr"/>
      <c r="F928" s="5" t="n">
        <v>201</v>
      </c>
      <c r="G928" s="5" t="n">
        <v>739</v>
      </c>
      <c r="H928" s="5" t="n">
        <v>95</v>
      </c>
      <c r="I928" s="5" t="n">
        <v>55</v>
      </c>
      <c r="J928" s="5" t="n">
        <v>40</v>
      </c>
      <c r="K928" s="10">
        <f>IF(F928&gt;0,H928/F928,"")</f>
        <v/>
      </c>
      <c r="L928" s="16">
        <f>IF(AND(G928&gt;0,H928&gt;0),G928/H928,"")</f>
        <v/>
      </c>
    </row>
    <row r="929">
      <c r="A929" s="4" t="inlineStr">
        <is>
          <t>511</t>
        </is>
      </c>
      <c r="B929" s="4" t="n">
        <v>5</v>
      </c>
      <c r="C929" s="4" t="inlineStr">
        <is>
          <t>antelope</t>
        </is>
      </c>
      <c r="D929" s="4" t="n">
        <v>2016</v>
      </c>
      <c r="E929" s="4" t="inlineStr"/>
      <c r="F929" s="5" t="n"/>
      <c r="G929" s="5" t="n"/>
      <c r="H929" s="5" t="n">
        <v>92</v>
      </c>
      <c r="I929" s="5" t="n">
        <v>70</v>
      </c>
      <c r="J929" s="5" t="n">
        <v>21</v>
      </c>
      <c r="K929" s="10">
        <f>IF(F929&gt;0,H929/F929,"")</f>
        <v/>
      </c>
      <c r="L929" s="16">
        <f>IF(AND(G929&gt;0,H929&gt;0),G929/H929,"")</f>
        <v/>
      </c>
    </row>
    <row r="930">
      <c r="A930" s="4" t="inlineStr">
        <is>
          <t>511</t>
        </is>
      </c>
      <c r="B930" s="4" t="n">
        <v>5</v>
      </c>
      <c r="C930" s="4" t="inlineStr">
        <is>
          <t>antelope</t>
        </is>
      </c>
      <c r="D930" s="4" t="n">
        <v>2017</v>
      </c>
      <c r="E930" s="4" t="inlineStr"/>
      <c r="F930" s="5" t="n"/>
      <c r="G930" s="5" t="n"/>
      <c r="H930" s="5" t="n">
        <v>128</v>
      </c>
      <c r="I930" s="5" t="n">
        <v>102</v>
      </c>
      <c r="J930" s="5" t="n">
        <v>26</v>
      </c>
      <c r="K930" s="10">
        <f>IF(F930&gt;0,H930/F930,"")</f>
        <v/>
      </c>
      <c r="L930" s="16">
        <f>IF(AND(G930&gt;0,H930&gt;0),G930/H930,"")</f>
        <v/>
      </c>
    </row>
    <row r="931">
      <c r="A931" s="4" t="inlineStr">
        <is>
          <t>511</t>
        </is>
      </c>
      <c r="B931" s="4" t="n">
        <v>5</v>
      </c>
      <c r="C931" s="4" t="inlineStr">
        <is>
          <t>antelope</t>
        </is>
      </c>
      <c r="D931" s="4" t="n">
        <v>2018</v>
      </c>
      <c r="E931" s="4" t="inlineStr"/>
      <c r="F931" s="5" t="n">
        <v>178</v>
      </c>
      <c r="G931" s="5" t="n">
        <v>931</v>
      </c>
      <c r="H931" s="5" t="n">
        <v>103</v>
      </c>
      <c r="I931" s="5" t="n">
        <v>84</v>
      </c>
      <c r="J931" s="5" t="n">
        <v>19</v>
      </c>
      <c r="K931" s="10">
        <f>IF(F931&gt;0,H931/F931,"")</f>
        <v/>
      </c>
      <c r="L931" s="16">
        <f>IF(AND(G931&gt;0,H931&gt;0),G931/H931,"")</f>
        <v/>
      </c>
    </row>
    <row r="932">
      <c r="A932" s="4" t="inlineStr">
        <is>
          <t>511</t>
        </is>
      </c>
      <c r="B932" s="4" t="n">
        <v>5</v>
      </c>
      <c r="C932" s="4" t="inlineStr">
        <is>
          <t>antelope</t>
        </is>
      </c>
      <c r="D932" s="4" t="n">
        <v>2019</v>
      </c>
      <c r="E932" s="4" t="inlineStr"/>
      <c r="F932" s="5" t="n"/>
      <c r="G932" s="5" t="n"/>
      <c r="H932" s="5" t="n">
        <v>95</v>
      </c>
      <c r="I932" s="5" t="n">
        <v>81</v>
      </c>
      <c r="J932" s="5" t="n">
        <v>15</v>
      </c>
      <c r="K932" s="10">
        <f>IF(F932&gt;0,H932/F932,"")</f>
        <v/>
      </c>
      <c r="L932" s="16">
        <f>IF(AND(G932&gt;0,H932&gt;0),G932/H932,"")</f>
        <v/>
      </c>
    </row>
    <row r="933">
      <c r="A933" s="4" t="inlineStr">
        <is>
          <t>511</t>
        </is>
      </c>
      <c r="B933" s="4" t="n">
        <v>5</v>
      </c>
      <c r="C933" s="4" t="inlineStr">
        <is>
          <t>antelope</t>
        </is>
      </c>
      <c r="D933" s="4" t="n">
        <v>2020</v>
      </c>
      <c r="E933" s="4" t="inlineStr"/>
      <c r="F933" s="5" t="n">
        <v>157</v>
      </c>
      <c r="G933" s="5" t="n">
        <v>384</v>
      </c>
      <c r="H933" s="5" t="n">
        <v>109</v>
      </c>
      <c r="I933" s="5" t="n">
        <v>85</v>
      </c>
      <c r="J933" s="5" t="n">
        <v>24</v>
      </c>
      <c r="K933" s="10">
        <f>IF(F933&gt;0,H933/F933,"")</f>
        <v/>
      </c>
      <c r="L933" s="16">
        <f>IF(AND(G933&gt;0,H933&gt;0),G933/H933,"")</f>
        <v/>
      </c>
    </row>
    <row r="934">
      <c r="A934" s="4" t="inlineStr">
        <is>
          <t>511</t>
        </is>
      </c>
      <c r="B934" s="4" t="n">
        <v>5</v>
      </c>
      <c r="C934" s="4" t="inlineStr">
        <is>
          <t>antelope</t>
        </is>
      </c>
      <c r="D934" s="4" t="n">
        <v>2021</v>
      </c>
      <c r="E934" s="4" t="inlineStr"/>
      <c r="F934" s="5" t="n"/>
      <c r="G934" s="5" t="n"/>
      <c r="H934" s="5" t="n">
        <v>101</v>
      </c>
      <c r="I934" s="5" t="n">
        <v>78</v>
      </c>
      <c r="J934" s="5" t="n">
        <v>23</v>
      </c>
      <c r="K934" s="10">
        <f>IF(F934&gt;0,H934/F934,"")</f>
        <v/>
      </c>
      <c r="L934" s="16">
        <f>IF(AND(G934&gt;0,H934&gt;0),G934/H934,"")</f>
        <v/>
      </c>
    </row>
    <row r="935">
      <c r="A935" s="4" t="inlineStr">
        <is>
          <t>512</t>
        </is>
      </c>
      <c r="B935" s="4" t="n">
        <v>5</v>
      </c>
      <c r="C935" s="4" t="inlineStr">
        <is>
          <t>antelope</t>
        </is>
      </c>
      <c r="D935" s="4" t="n">
        <v>2004</v>
      </c>
      <c r="E935" s="4" t="inlineStr"/>
      <c r="F935" s="5" t="n">
        <v>83</v>
      </c>
      <c r="G935" s="5" t="n">
        <v>196</v>
      </c>
      <c r="H935" s="5" t="n">
        <v>51</v>
      </c>
      <c r="I935" s="5" t="n">
        <v>32</v>
      </c>
      <c r="J935" s="5" t="n">
        <v>18</v>
      </c>
      <c r="K935" s="10">
        <f>IF(F935&gt;0,H935/F935,"")</f>
        <v/>
      </c>
      <c r="L935" s="16">
        <f>IF(AND(G935&gt;0,H935&gt;0),G935/H935,"")</f>
        <v/>
      </c>
    </row>
    <row r="936">
      <c r="A936" s="4" t="inlineStr">
        <is>
          <t>512</t>
        </is>
      </c>
      <c r="B936" s="4" t="n">
        <v>5</v>
      </c>
      <c r="C936" s="4" t="inlineStr">
        <is>
          <t>antelope</t>
        </is>
      </c>
      <c r="D936" s="4" t="n">
        <v>2005</v>
      </c>
      <c r="E936" s="4" t="inlineStr"/>
      <c r="F936" s="5" t="n">
        <v>86</v>
      </c>
      <c r="G936" s="5" t="n">
        <v>316</v>
      </c>
      <c r="H936" s="5" t="n">
        <v>51</v>
      </c>
      <c r="I936" s="5" t="n">
        <v>34</v>
      </c>
      <c r="J936" s="5" t="n">
        <v>15</v>
      </c>
      <c r="K936" s="10">
        <f>IF(F936&gt;0,H936/F936,"")</f>
        <v/>
      </c>
      <c r="L936" s="16">
        <f>IF(AND(G936&gt;0,H936&gt;0),G936/H936,"")</f>
        <v/>
      </c>
    </row>
    <row r="937">
      <c r="A937" s="4" t="inlineStr">
        <is>
          <t>512</t>
        </is>
      </c>
      <c r="B937" s="4" t="n">
        <v>5</v>
      </c>
      <c r="C937" s="4" t="inlineStr">
        <is>
          <t>antelope</t>
        </is>
      </c>
      <c r="D937" s="4" t="n">
        <v>2006</v>
      </c>
      <c r="E937" s="4" t="inlineStr"/>
      <c r="F937" s="5" t="n">
        <v>70</v>
      </c>
      <c r="G937" s="5" t="n">
        <v>266</v>
      </c>
      <c r="H937" s="5" t="n">
        <v>51</v>
      </c>
      <c r="I937" s="5" t="n">
        <v>38</v>
      </c>
      <c r="J937" s="5" t="n">
        <v>13</v>
      </c>
      <c r="K937" s="10">
        <f>IF(F937&gt;0,H937/F937,"")</f>
        <v/>
      </c>
      <c r="L937" s="16">
        <f>IF(AND(G937&gt;0,H937&gt;0),G937/H937,"")</f>
        <v/>
      </c>
    </row>
    <row r="938">
      <c r="A938" s="4" t="inlineStr">
        <is>
          <t>512</t>
        </is>
      </c>
      <c r="B938" s="4" t="n">
        <v>5</v>
      </c>
      <c r="C938" s="4" t="inlineStr">
        <is>
          <t>antelope</t>
        </is>
      </c>
      <c r="D938" s="4" t="n">
        <v>2007</v>
      </c>
      <c r="E938" s="4" t="inlineStr"/>
      <c r="F938" s="5" t="n">
        <v>95</v>
      </c>
      <c r="G938" s="5" t="n">
        <v>350</v>
      </c>
      <c r="H938" s="5" t="n">
        <v>57</v>
      </c>
      <c r="I938" s="5" t="n">
        <v>45</v>
      </c>
      <c r="J938" s="5" t="n">
        <v>12</v>
      </c>
      <c r="K938" s="10">
        <f>IF(F938&gt;0,H938/F938,"")</f>
        <v/>
      </c>
      <c r="L938" s="16">
        <f>IF(AND(G938&gt;0,H938&gt;0),G938/H938,"")</f>
        <v/>
      </c>
    </row>
    <row r="939">
      <c r="A939" s="4" t="inlineStr">
        <is>
          <t>512</t>
        </is>
      </c>
      <c r="B939" s="4" t="n">
        <v>5</v>
      </c>
      <c r="C939" s="4" t="inlineStr">
        <is>
          <t>antelope</t>
        </is>
      </c>
      <c r="D939" s="4" t="n">
        <v>2008</v>
      </c>
      <c r="E939" s="4" t="inlineStr"/>
      <c r="F939" s="5" t="n">
        <v>75</v>
      </c>
      <c r="G939" s="5" t="n">
        <v>275</v>
      </c>
      <c r="H939" s="5" t="n">
        <v>52</v>
      </c>
      <c r="I939" s="5" t="n">
        <v>35</v>
      </c>
      <c r="J939" s="5" t="n">
        <v>17</v>
      </c>
      <c r="K939" s="10">
        <f>IF(F939&gt;0,H939/F939,"")</f>
        <v/>
      </c>
      <c r="L939" s="16">
        <f>IF(AND(G939&gt;0,H939&gt;0),G939/H939,"")</f>
        <v/>
      </c>
    </row>
    <row r="940">
      <c r="A940" s="4" t="inlineStr">
        <is>
          <t>512</t>
        </is>
      </c>
      <c r="B940" s="4" t="n">
        <v>5</v>
      </c>
      <c r="C940" s="4" t="inlineStr">
        <is>
          <t>antelope</t>
        </is>
      </c>
      <c r="D940" s="4" t="n">
        <v>2009</v>
      </c>
      <c r="E940" s="4" t="inlineStr"/>
      <c r="F940" s="5" t="n">
        <v>110</v>
      </c>
      <c r="G940" s="5" t="n">
        <v>411</v>
      </c>
      <c r="H940" s="5" t="n">
        <v>75</v>
      </c>
      <c r="I940" s="5" t="n">
        <v>59</v>
      </c>
      <c r="J940" s="5" t="n">
        <v>15</v>
      </c>
      <c r="K940" s="10">
        <f>IF(F940&gt;0,H940/F940,"")</f>
        <v/>
      </c>
      <c r="L940" s="16">
        <f>IF(AND(G940&gt;0,H940&gt;0),G940/H940,"")</f>
        <v/>
      </c>
    </row>
    <row r="941">
      <c r="A941" s="4" t="inlineStr">
        <is>
          <t>512</t>
        </is>
      </c>
      <c r="B941" s="4" t="n">
        <v>5</v>
      </c>
      <c r="C941" s="4" t="inlineStr">
        <is>
          <t>antelope</t>
        </is>
      </c>
      <c r="D941" s="4" t="n">
        <v>2010</v>
      </c>
      <c r="E941" s="4" t="inlineStr"/>
      <c r="F941" s="5" t="n">
        <v>123</v>
      </c>
      <c r="G941" s="5" t="n">
        <v>440</v>
      </c>
      <c r="H941" s="5" t="n">
        <v>75</v>
      </c>
      <c r="I941" s="5" t="n">
        <v>57</v>
      </c>
      <c r="J941" s="5" t="n">
        <v>17</v>
      </c>
      <c r="K941" s="10">
        <f>IF(F941&gt;0,H941/F941,"")</f>
        <v/>
      </c>
      <c r="L941" s="16">
        <f>IF(AND(G941&gt;0,H941&gt;0),G941/H941,"")</f>
        <v/>
      </c>
    </row>
    <row r="942">
      <c r="A942" s="4" t="inlineStr">
        <is>
          <t>512</t>
        </is>
      </c>
      <c r="B942" s="4" t="n">
        <v>5</v>
      </c>
      <c r="C942" s="4" t="inlineStr">
        <is>
          <t>antelope</t>
        </is>
      </c>
      <c r="D942" s="4" t="n">
        <v>2011</v>
      </c>
      <c r="E942" s="4" t="inlineStr"/>
      <c r="F942" s="5" t="n">
        <v>135</v>
      </c>
      <c r="G942" s="5" t="n">
        <v>476</v>
      </c>
      <c r="H942" s="5" t="n">
        <v>75</v>
      </c>
      <c r="I942" s="5" t="n">
        <v>57</v>
      </c>
      <c r="J942" s="5" t="n">
        <v>17</v>
      </c>
      <c r="K942" s="10">
        <f>IF(F942&gt;0,H942/F942,"")</f>
        <v/>
      </c>
      <c r="L942" s="16">
        <f>IF(AND(G942&gt;0,H942&gt;0),G942/H942,"")</f>
        <v/>
      </c>
    </row>
    <row r="943">
      <c r="A943" s="4" t="inlineStr">
        <is>
          <t>512</t>
        </is>
      </c>
      <c r="B943" s="4" t="n">
        <v>5</v>
      </c>
      <c r="C943" s="4" t="inlineStr">
        <is>
          <t>antelope</t>
        </is>
      </c>
      <c r="D943" s="4" t="n">
        <v>2012</v>
      </c>
      <c r="E943" s="4" t="inlineStr"/>
      <c r="F943" s="5" t="n">
        <v>107</v>
      </c>
      <c r="G943" s="5" t="n">
        <v>407</v>
      </c>
      <c r="H943" s="5" t="n">
        <v>65</v>
      </c>
      <c r="I943" s="5" t="n">
        <v>43</v>
      </c>
      <c r="J943" s="5" t="n">
        <v>21</v>
      </c>
      <c r="K943" s="10">
        <f>IF(F943&gt;0,H943/F943,"")</f>
        <v/>
      </c>
      <c r="L943" s="16">
        <f>IF(AND(G943&gt;0,H943&gt;0),G943/H943,"")</f>
        <v/>
      </c>
    </row>
    <row r="944">
      <c r="A944" s="4" t="inlineStr">
        <is>
          <t>512</t>
        </is>
      </c>
      <c r="B944" s="4" t="n">
        <v>5</v>
      </c>
      <c r="C944" s="4" t="inlineStr">
        <is>
          <t>antelope</t>
        </is>
      </c>
      <c r="D944" s="4" t="n">
        <v>2013</v>
      </c>
      <c r="E944" s="4" t="inlineStr"/>
      <c r="F944" s="5" t="n"/>
      <c r="G944" s="5" t="n"/>
      <c r="H944" s="5" t="n">
        <v>57</v>
      </c>
      <c r="I944" s="5" t="n">
        <v>37</v>
      </c>
      <c r="J944" s="5" t="n">
        <v>20</v>
      </c>
      <c r="K944" s="10">
        <f>IF(F944&gt;0,H944/F944,"")</f>
        <v/>
      </c>
      <c r="L944" s="16">
        <f>IF(AND(G944&gt;0,H944&gt;0),G944/H944,"")</f>
        <v/>
      </c>
    </row>
    <row r="945">
      <c r="A945" s="4" t="inlineStr">
        <is>
          <t>512</t>
        </is>
      </c>
      <c r="B945" s="4" t="n">
        <v>5</v>
      </c>
      <c r="C945" s="4" t="inlineStr">
        <is>
          <t>antelope</t>
        </is>
      </c>
      <c r="D945" s="4" t="n">
        <v>2014</v>
      </c>
      <c r="E945" s="4" t="inlineStr"/>
      <c r="F945" s="5" t="n">
        <v>94</v>
      </c>
      <c r="G945" s="5" t="n">
        <v>355</v>
      </c>
      <c r="H945" s="5" t="n">
        <v>63</v>
      </c>
      <c r="I945" s="5" t="n">
        <v>42</v>
      </c>
      <c r="J945" s="5" t="n">
        <v>18</v>
      </c>
      <c r="K945" s="10">
        <f>IF(F945&gt;0,H945/F945,"")</f>
        <v/>
      </c>
      <c r="L945" s="16">
        <f>IF(AND(G945&gt;0,H945&gt;0),G945/H945,"")</f>
        <v/>
      </c>
    </row>
    <row r="946">
      <c r="A946" s="4" t="inlineStr">
        <is>
          <t>512</t>
        </is>
      </c>
      <c r="B946" s="4" t="n">
        <v>5</v>
      </c>
      <c r="C946" s="4" t="inlineStr">
        <is>
          <t>antelope</t>
        </is>
      </c>
      <c r="D946" s="4" t="n">
        <v>2015</v>
      </c>
      <c r="E946" s="4" t="inlineStr"/>
      <c r="F946" s="5" t="n">
        <v>89</v>
      </c>
      <c r="G946" s="5" t="n">
        <v>330</v>
      </c>
      <c r="H946" s="5" t="n">
        <v>62</v>
      </c>
      <c r="I946" s="5" t="n">
        <v>43</v>
      </c>
      <c r="J946" s="5" t="n">
        <v>19</v>
      </c>
      <c r="K946" s="10">
        <f>IF(F946&gt;0,H946/F946,"")</f>
        <v/>
      </c>
      <c r="L946" s="16">
        <f>IF(AND(G946&gt;0,H946&gt;0),G946/H946,"")</f>
        <v/>
      </c>
    </row>
    <row r="947">
      <c r="A947" s="4" t="inlineStr">
        <is>
          <t>512</t>
        </is>
      </c>
      <c r="B947" s="4" t="n">
        <v>5</v>
      </c>
      <c r="C947" s="4" t="inlineStr">
        <is>
          <t>antelope</t>
        </is>
      </c>
      <c r="D947" s="4" t="n">
        <v>2016</v>
      </c>
      <c r="E947" s="4" t="inlineStr"/>
      <c r="F947" s="5" t="n"/>
      <c r="G947" s="5" t="n"/>
      <c r="H947" s="5" t="n">
        <v>68</v>
      </c>
      <c r="I947" s="5" t="n">
        <v>45</v>
      </c>
      <c r="J947" s="5" t="n">
        <v>22</v>
      </c>
      <c r="K947" s="10">
        <f>IF(F947&gt;0,H947/F947,"")</f>
        <v/>
      </c>
      <c r="L947" s="16">
        <f>IF(AND(G947&gt;0,H947&gt;0),G947/H947,"")</f>
        <v/>
      </c>
    </row>
    <row r="948">
      <c r="A948" s="4" t="inlineStr">
        <is>
          <t>512</t>
        </is>
      </c>
      <c r="B948" s="4" t="n">
        <v>5</v>
      </c>
      <c r="C948" s="4" t="inlineStr">
        <is>
          <t>antelope</t>
        </is>
      </c>
      <c r="D948" s="4" t="n">
        <v>2017</v>
      </c>
      <c r="E948" s="4" t="inlineStr"/>
      <c r="F948" s="5" t="n"/>
      <c r="G948" s="5" t="n"/>
      <c r="H948" s="5" t="n">
        <v>51</v>
      </c>
      <c r="I948" s="5" t="n">
        <v>32</v>
      </c>
      <c r="J948" s="5" t="n">
        <v>18</v>
      </c>
      <c r="K948" s="10">
        <f>IF(F948&gt;0,H948/F948,"")</f>
        <v/>
      </c>
      <c r="L948" s="16">
        <f>IF(AND(G948&gt;0,H948&gt;0),G948/H948,"")</f>
        <v/>
      </c>
    </row>
    <row r="949">
      <c r="A949" s="4" t="inlineStr">
        <is>
          <t>512</t>
        </is>
      </c>
      <c r="B949" s="4" t="n">
        <v>5</v>
      </c>
      <c r="C949" s="4" t="inlineStr">
        <is>
          <t>antelope</t>
        </is>
      </c>
      <c r="D949" s="4" t="n">
        <v>2018</v>
      </c>
      <c r="E949" s="4" t="inlineStr"/>
      <c r="F949" s="5" t="n">
        <v>50</v>
      </c>
      <c r="G949" s="5" t="n">
        <v>174</v>
      </c>
      <c r="H949" s="5" t="n">
        <v>26</v>
      </c>
      <c r="I949" s="5" t="n">
        <v>14</v>
      </c>
      <c r="J949" s="5" t="n">
        <v>13</v>
      </c>
      <c r="K949" s="10">
        <f>IF(F949&gt;0,H949/F949,"")</f>
        <v/>
      </c>
      <c r="L949" s="16">
        <f>IF(AND(G949&gt;0,H949&gt;0),G949/H949,"")</f>
        <v/>
      </c>
    </row>
    <row r="950">
      <c r="A950" s="4" t="inlineStr">
        <is>
          <t>512</t>
        </is>
      </c>
      <c r="B950" s="4" t="n">
        <v>5</v>
      </c>
      <c r="C950" s="4" t="inlineStr">
        <is>
          <t>antelope</t>
        </is>
      </c>
      <c r="D950" s="4" t="n">
        <v>2019</v>
      </c>
      <c r="E950" s="4" t="inlineStr"/>
      <c r="F950" s="5" t="n"/>
      <c r="G950" s="5" t="n"/>
      <c r="H950" s="5" t="n">
        <v>21</v>
      </c>
      <c r="I950" s="5" t="n">
        <v>17</v>
      </c>
      <c r="J950" s="5" t="n">
        <v>4</v>
      </c>
      <c r="K950" s="10">
        <f>IF(F950&gt;0,H950/F950,"")</f>
        <v/>
      </c>
      <c r="L950" s="16">
        <f>IF(AND(G950&gt;0,H950&gt;0),G950/H950,"")</f>
        <v/>
      </c>
    </row>
    <row r="951">
      <c r="A951" s="4" t="inlineStr">
        <is>
          <t>512</t>
        </is>
      </c>
      <c r="B951" s="4" t="n">
        <v>5</v>
      </c>
      <c r="C951" s="4" t="inlineStr">
        <is>
          <t>antelope</t>
        </is>
      </c>
      <c r="D951" s="4" t="n">
        <v>2020</v>
      </c>
      <c r="E951" s="4" t="inlineStr"/>
      <c r="F951" s="5" t="n">
        <v>45</v>
      </c>
      <c r="G951" s="5" t="n">
        <v>157</v>
      </c>
      <c r="H951" s="5" t="n">
        <v>32</v>
      </c>
      <c r="I951" s="5" t="n">
        <v>22</v>
      </c>
      <c r="J951" s="5" t="n">
        <v>9</v>
      </c>
      <c r="K951" s="10">
        <f>IF(F951&gt;0,H951/F951,"")</f>
        <v/>
      </c>
      <c r="L951" s="16">
        <f>IF(AND(G951&gt;0,H951&gt;0),G951/H951,"")</f>
        <v/>
      </c>
    </row>
    <row r="952">
      <c r="A952" s="4" t="inlineStr">
        <is>
          <t>512</t>
        </is>
      </c>
      <c r="B952" s="4" t="n">
        <v>5</v>
      </c>
      <c r="C952" s="4" t="inlineStr">
        <is>
          <t>antelope</t>
        </is>
      </c>
      <c r="D952" s="4" t="n">
        <v>2021</v>
      </c>
      <c r="E952" s="4" t="inlineStr"/>
      <c r="F952" s="5" t="n"/>
      <c r="G952" s="5" t="n"/>
      <c r="H952" s="5" t="n">
        <v>26</v>
      </c>
      <c r="I952" s="5" t="n">
        <v>20</v>
      </c>
      <c r="J952" s="5" t="n">
        <v>6</v>
      </c>
      <c r="K952" s="10">
        <f>IF(F952&gt;0,H952/F952,"")</f>
        <v/>
      </c>
      <c r="L952" s="16">
        <f>IF(AND(G952&gt;0,H952&gt;0),G952/H952,"")</f>
        <v/>
      </c>
    </row>
    <row r="953">
      <c r="A953" s="4" t="inlineStr">
        <is>
          <t>513</t>
        </is>
      </c>
      <c r="B953" s="4" t="n">
        <v>5</v>
      </c>
      <c r="C953" s="4" t="inlineStr">
        <is>
          <t>antelope</t>
        </is>
      </c>
      <c r="D953" s="4" t="n">
        <v>2004</v>
      </c>
      <c r="E953" s="4" t="inlineStr"/>
      <c r="F953" s="5" t="n">
        <v>719</v>
      </c>
      <c r="G953" s="5" t="n">
        <v>2062</v>
      </c>
      <c r="H953" s="5" t="n">
        <v>992</v>
      </c>
      <c r="I953" s="5" t="n">
        <v>420</v>
      </c>
      <c r="J953" s="5" t="n">
        <v>522</v>
      </c>
      <c r="K953" s="10">
        <f>IF(F953&gt;0,H953/F953,"")</f>
        <v/>
      </c>
      <c r="L953" s="16">
        <f>IF(AND(G953&gt;0,H953&gt;0),G953/H953,"")</f>
        <v/>
      </c>
    </row>
    <row r="954">
      <c r="A954" s="4" t="inlineStr">
        <is>
          <t>513</t>
        </is>
      </c>
      <c r="B954" s="4" t="n">
        <v>5</v>
      </c>
      <c r="C954" s="4" t="inlineStr">
        <is>
          <t>antelope</t>
        </is>
      </c>
      <c r="D954" s="4" t="n">
        <v>2005</v>
      </c>
      <c r="E954" s="4" t="inlineStr"/>
      <c r="F954" s="5" t="n">
        <v>587</v>
      </c>
      <c r="G954" s="5" t="n">
        <v>1874</v>
      </c>
      <c r="H954" s="5" t="n">
        <v>923</v>
      </c>
      <c r="I954" s="5" t="n">
        <v>447</v>
      </c>
      <c r="J954" s="5" t="n">
        <v>432</v>
      </c>
      <c r="K954" s="10">
        <f>IF(F954&gt;0,H954/F954,"")</f>
        <v/>
      </c>
      <c r="L954" s="16">
        <f>IF(AND(G954&gt;0,H954&gt;0),G954/H954,"")</f>
        <v/>
      </c>
    </row>
    <row r="955">
      <c r="A955" s="4" t="inlineStr">
        <is>
          <t>513</t>
        </is>
      </c>
      <c r="B955" s="4" t="n">
        <v>5</v>
      </c>
      <c r="C955" s="4" t="inlineStr">
        <is>
          <t>antelope</t>
        </is>
      </c>
      <c r="D955" s="4" t="n">
        <v>2006</v>
      </c>
      <c r="E955" s="4" t="inlineStr"/>
      <c r="F955" s="5" t="n">
        <v>747</v>
      </c>
      <c r="G955" s="5" t="n">
        <v>2220</v>
      </c>
      <c r="H955" s="5" t="n">
        <v>848</v>
      </c>
      <c r="I955" s="5" t="n">
        <v>450</v>
      </c>
      <c r="J955" s="5" t="n">
        <v>336</v>
      </c>
      <c r="K955" s="10">
        <f>IF(F955&gt;0,H955/F955,"")</f>
        <v/>
      </c>
      <c r="L955" s="16">
        <f>IF(AND(G955&gt;0,H955&gt;0),G955/H955,"")</f>
        <v/>
      </c>
    </row>
    <row r="956">
      <c r="A956" s="4" t="inlineStr">
        <is>
          <t>513</t>
        </is>
      </c>
      <c r="B956" s="4" t="n">
        <v>5</v>
      </c>
      <c r="C956" s="4" t="inlineStr">
        <is>
          <t>antelope</t>
        </is>
      </c>
      <c r="D956" s="4" t="n">
        <v>2007</v>
      </c>
      <c r="E956" s="4" t="inlineStr"/>
      <c r="F956" s="5" t="n">
        <v>797</v>
      </c>
      <c r="G956" s="5" t="n">
        <v>2432</v>
      </c>
      <c r="H956" s="5" t="n">
        <v>863</v>
      </c>
      <c r="I956" s="5" t="n">
        <v>395</v>
      </c>
      <c r="J956" s="5" t="n">
        <v>437</v>
      </c>
      <c r="K956" s="10">
        <f>IF(F956&gt;0,H956/F956,"")</f>
        <v/>
      </c>
      <c r="L956" s="16">
        <f>IF(AND(G956&gt;0,H956&gt;0),G956/H956,"")</f>
        <v/>
      </c>
    </row>
    <row r="957">
      <c r="A957" s="4" t="inlineStr">
        <is>
          <t>513</t>
        </is>
      </c>
      <c r="B957" s="4" t="n">
        <v>5</v>
      </c>
      <c r="C957" s="4" t="inlineStr">
        <is>
          <t>antelope</t>
        </is>
      </c>
      <c r="D957" s="4" t="n">
        <v>2008</v>
      </c>
      <c r="E957" s="4" t="inlineStr"/>
      <c r="F957" s="5" t="n">
        <v>548</v>
      </c>
      <c r="G957" s="5" t="n">
        <v>1469</v>
      </c>
      <c r="H957" s="5" t="n">
        <v>325</v>
      </c>
      <c r="I957" s="5" t="n">
        <v>217</v>
      </c>
      <c r="J957" s="5" t="n">
        <v>92</v>
      </c>
      <c r="K957" s="10">
        <f>IF(F957&gt;0,H957/F957,"")</f>
        <v/>
      </c>
      <c r="L957" s="16">
        <f>IF(AND(G957&gt;0,H957&gt;0),G957/H957,"")</f>
        <v/>
      </c>
    </row>
    <row r="958">
      <c r="A958" s="4" t="inlineStr">
        <is>
          <t>513</t>
        </is>
      </c>
      <c r="B958" s="4" t="n">
        <v>5</v>
      </c>
      <c r="C958" s="4" t="inlineStr">
        <is>
          <t>antelope</t>
        </is>
      </c>
      <c r="D958" s="4" t="n">
        <v>2009</v>
      </c>
      <c r="E958" s="4" t="inlineStr"/>
      <c r="F958" s="5" t="n">
        <v>488</v>
      </c>
      <c r="G958" s="5" t="n">
        <v>1562</v>
      </c>
      <c r="H958" s="5" t="n">
        <v>281</v>
      </c>
      <c r="I958" s="5" t="n">
        <v>211</v>
      </c>
      <c r="J958" s="5" t="n">
        <v>70</v>
      </c>
      <c r="K958" s="10">
        <f>IF(F958&gt;0,H958/F958,"")</f>
        <v/>
      </c>
      <c r="L958" s="16">
        <f>IF(AND(G958&gt;0,H958&gt;0),G958/H958,"")</f>
        <v/>
      </c>
    </row>
    <row r="959">
      <c r="A959" s="4" t="inlineStr">
        <is>
          <t>513</t>
        </is>
      </c>
      <c r="B959" s="4" t="n">
        <v>5</v>
      </c>
      <c r="C959" s="4" t="inlineStr">
        <is>
          <t>antelope</t>
        </is>
      </c>
      <c r="D959" s="4" t="n">
        <v>2010</v>
      </c>
      <c r="E959" s="4" t="inlineStr"/>
      <c r="F959" s="5" t="n">
        <v>401</v>
      </c>
      <c r="G959" s="5" t="n">
        <v>1143</v>
      </c>
      <c r="H959" s="5" t="n">
        <v>199</v>
      </c>
      <c r="I959" s="5" t="n">
        <v>127</v>
      </c>
      <c r="J959" s="5" t="n">
        <v>70</v>
      </c>
      <c r="K959" s="10">
        <f>IF(F959&gt;0,H959/F959,"")</f>
        <v/>
      </c>
      <c r="L959" s="16">
        <f>IF(AND(G959&gt;0,H959&gt;0),G959/H959,"")</f>
        <v/>
      </c>
    </row>
    <row r="960">
      <c r="A960" s="4" t="inlineStr">
        <is>
          <t>513</t>
        </is>
      </c>
      <c r="B960" s="4" t="n">
        <v>5</v>
      </c>
      <c r="C960" s="4" t="inlineStr">
        <is>
          <t>antelope</t>
        </is>
      </c>
      <c r="D960" s="4" t="n">
        <v>2011</v>
      </c>
      <c r="E960" s="4" t="inlineStr"/>
      <c r="F960" s="5" t="n">
        <v>285</v>
      </c>
      <c r="G960" s="5" t="n">
        <v>775</v>
      </c>
      <c r="H960" s="5" t="n">
        <v>127</v>
      </c>
      <c r="I960" s="5" t="n">
        <v>99</v>
      </c>
      <c r="J960" s="5" t="n">
        <v>28</v>
      </c>
      <c r="K960" s="10">
        <f>IF(F960&gt;0,H960/F960,"")</f>
        <v/>
      </c>
      <c r="L960" s="16">
        <f>IF(AND(G960&gt;0,H960&gt;0),G960/H960,"")</f>
        <v/>
      </c>
    </row>
    <row r="961">
      <c r="A961" s="4" t="inlineStr">
        <is>
          <t>513</t>
        </is>
      </c>
      <c r="B961" s="4" t="n">
        <v>5</v>
      </c>
      <c r="C961" s="4" t="inlineStr">
        <is>
          <t>antelope</t>
        </is>
      </c>
      <c r="D961" s="4" t="n">
        <v>2012</v>
      </c>
      <c r="E961" s="4" t="inlineStr"/>
      <c r="F961" s="5" t="n">
        <v>225</v>
      </c>
      <c r="G961" s="5" t="n">
        <v>619</v>
      </c>
      <c r="H961" s="5" t="n">
        <v>100</v>
      </c>
      <c r="I961" s="5" t="n">
        <v>77</v>
      </c>
      <c r="J961" s="5" t="n">
        <v>21</v>
      </c>
      <c r="K961" s="10">
        <f>IF(F961&gt;0,H961/F961,"")</f>
        <v/>
      </c>
      <c r="L961" s="16">
        <f>IF(AND(G961&gt;0,H961&gt;0),G961/H961,"")</f>
        <v/>
      </c>
    </row>
    <row r="962">
      <c r="A962" s="4" t="inlineStr">
        <is>
          <t>513</t>
        </is>
      </c>
      <c r="B962" s="4" t="n">
        <v>5</v>
      </c>
      <c r="C962" s="4" t="inlineStr">
        <is>
          <t>antelope</t>
        </is>
      </c>
      <c r="D962" s="4" t="n">
        <v>2013</v>
      </c>
      <c r="E962" s="4" t="inlineStr"/>
      <c r="F962" s="5" t="n"/>
      <c r="G962" s="5" t="n"/>
      <c r="H962" s="5" t="n">
        <v>83</v>
      </c>
      <c r="I962" s="5" t="n">
        <v>64</v>
      </c>
      <c r="J962" s="5" t="n">
        <v>18</v>
      </c>
      <c r="K962" s="10">
        <f>IF(F962&gt;0,H962/F962,"")</f>
        <v/>
      </c>
      <c r="L962" s="16">
        <f>IF(AND(G962&gt;0,H962&gt;0),G962/H962,"")</f>
        <v/>
      </c>
    </row>
    <row r="963">
      <c r="A963" s="4" t="inlineStr">
        <is>
          <t>513</t>
        </is>
      </c>
      <c r="B963" s="4" t="n">
        <v>5</v>
      </c>
      <c r="C963" s="4" t="inlineStr">
        <is>
          <t>antelope</t>
        </is>
      </c>
      <c r="D963" s="4" t="n">
        <v>2014</v>
      </c>
      <c r="E963" s="4" t="inlineStr"/>
      <c r="F963" s="5" t="n">
        <v>233</v>
      </c>
      <c r="G963" s="5" t="n">
        <v>627</v>
      </c>
      <c r="H963" s="5" t="n">
        <v>112</v>
      </c>
      <c r="I963" s="5" t="n">
        <v>88</v>
      </c>
      <c r="J963" s="5" t="n">
        <v>20</v>
      </c>
      <c r="K963" s="10">
        <f>IF(F963&gt;0,H963/F963,"")</f>
        <v/>
      </c>
      <c r="L963" s="16">
        <f>IF(AND(G963&gt;0,H963&gt;0),G963/H963,"")</f>
        <v/>
      </c>
    </row>
    <row r="964">
      <c r="A964" s="4" t="inlineStr">
        <is>
          <t>513</t>
        </is>
      </c>
      <c r="B964" s="4" t="n">
        <v>5</v>
      </c>
      <c r="C964" s="4" t="inlineStr">
        <is>
          <t>antelope</t>
        </is>
      </c>
      <c r="D964" s="4" t="n">
        <v>2015</v>
      </c>
      <c r="E964" s="4" t="inlineStr"/>
      <c r="F964" s="5" t="n">
        <v>264</v>
      </c>
      <c r="G964" s="5" t="n">
        <v>797</v>
      </c>
      <c r="H964" s="5" t="n">
        <v>126</v>
      </c>
      <c r="I964" s="5" t="n">
        <v>97</v>
      </c>
      <c r="J964" s="5" t="n">
        <v>29</v>
      </c>
      <c r="K964" s="10">
        <f>IF(F964&gt;0,H964/F964,"")</f>
        <v/>
      </c>
      <c r="L964" s="16">
        <f>IF(AND(G964&gt;0,H964&gt;0),G964/H964,"")</f>
        <v/>
      </c>
    </row>
    <row r="965">
      <c r="A965" s="4" t="inlineStr">
        <is>
          <t>513</t>
        </is>
      </c>
      <c r="B965" s="4" t="n">
        <v>5</v>
      </c>
      <c r="C965" s="4" t="inlineStr">
        <is>
          <t>antelope</t>
        </is>
      </c>
      <c r="D965" s="4" t="n">
        <v>2016</v>
      </c>
      <c r="E965" s="4" t="inlineStr"/>
      <c r="F965" s="5" t="n"/>
      <c r="G965" s="5" t="n"/>
      <c r="H965" s="5" t="n">
        <v>168</v>
      </c>
      <c r="I965" s="5" t="n">
        <v>136</v>
      </c>
      <c r="J965" s="5" t="n">
        <v>32</v>
      </c>
      <c r="K965" s="10">
        <f>IF(F965&gt;0,H965/F965,"")</f>
        <v/>
      </c>
      <c r="L965" s="16">
        <f>IF(AND(G965&gt;0,H965&gt;0),G965/H965,"")</f>
        <v/>
      </c>
    </row>
    <row r="966">
      <c r="A966" s="4" t="inlineStr">
        <is>
          <t>513</t>
        </is>
      </c>
      <c r="B966" s="4" t="n">
        <v>5</v>
      </c>
      <c r="C966" s="4" t="inlineStr">
        <is>
          <t>antelope</t>
        </is>
      </c>
      <c r="D966" s="4" t="n">
        <v>2017</v>
      </c>
      <c r="E966" s="4" t="inlineStr"/>
      <c r="F966" s="5" t="n"/>
      <c r="G966" s="5" t="n"/>
      <c r="H966" s="5" t="n">
        <v>174</v>
      </c>
      <c r="I966" s="5" t="n">
        <v>136</v>
      </c>
      <c r="J966" s="5" t="n">
        <v>37</v>
      </c>
      <c r="K966" s="10">
        <f>IF(F966&gt;0,H966/F966,"")</f>
        <v/>
      </c>
      <c r="L966" s="16">
        <f>IF(AND(G966&gt;0,H966&gt;0),G966/H966,"")</f>
        <v/>
      </c>
    </row>
    <row r="967">
      <c r="A967" s="4" t="inlineStr">
        <is>
          <t>513</t>
        </is>
      </c>
      <c r="B967" s="4" t="n">
        <v>5</v>
      </c>
      <c r="C967" s="4" t="inlineStr">
        <is>
          <t>antelope</t>
        </is>
      </c>
      <c r="D967" s="4" t="n">
        <v>2018</v>
      </c>
      <c r="E967" s="4" t="inlineStr"/>
      <c r="F967" s="5" t="n">
        <v>304</v>
      </c>
      <c r="G967" s="5" t="n">
        <v>853</v>
      </c>
      <c r="H967" s="5" t="n">
        <v>192</v>
      </c>
      <c r="I967" s="5" t="n">
        <v>173</v>
      </c>
      <c r="J967" s="5" t="n">
        <v>16</v>
      </c>
      <c r="K967" s="10">
        <f>IF(F967&gt;0,H967/F967,"")</f>
        <v/>
      </c>
      <c r="L967" s="16">
        <f>IF(AND(G967&gt;0,H967&gt;0),G967/H967,"")</f>
        <v/>
      </c>
    </row>
    <row r="968">
      <c r="A968" s="4" t="inlineStr">
        <is>
          <t>513</t>
        </is>
      </c>
      <c r="B968" s="4" t="n">
        <v>5</v>
      </c>
      <c r="C968" s="4" t="inlineStr">
        <is>
          <t>antelope</t>
        </is>
      </c>
      <c r="D968" s="4" t="n">
        <v>2019</v>
      </c>
      <c r="E968" s="4" t="inlineStr"/>
      <c r="F968" s="5" t="n"/>
      <c r="G968" s="5" t="n"/>
      <c r="H968" s="5" t="n">
        <v>197</v>
      </c>
      <c r="I968" s="5" t="n">
        <v>154</v>
      </c>
      <c r="J968" s="5" t="n">
        <v>43</v>
      </c>
      <c r="K968" s="10">
        <f>IF(F968&gt;0,H968/F968,"")</f>
        <v/>
      </c>
      <c r="L968" s="16">
        <f>IF(AND(G968&gt;0,H968&gt;0),G968/H968,"")</f>
        <v/>
      </c>
    </row>
    <row r="969">
      <c r="A969" s="4" t="inlineStr">
        <is>
          <t>513</t>
        </is>
      </c>
      <c r="B969" s="4" t="n">
        <v>5</v>
      </c>
      <c r="C969" s="4" t="inlineStr">
        <is>
          <t>antelope</t>
        </is>
      </c>
      <c r="D969" s="4" t="n">
        <v>2020</v>
      </c>
      <c r="E969" s="4" t="inlineStr"/>
      <c r="F969" s="5" t="n">
        <v>434</v>
      </c>
      <c r="G969" s="5" t="n">
        <v>1350</v>
      </c>
      <c r="H969" s="5" t="n">
        <v>298</v>
      </c>
      <c r="I969" s="5" t="n">
        <v>240</v>
      </c>
      <c r="J969" s="5" t="n">
        <v>56</v>
      </c>
      <c r="K969" s="10">
        <f>IF(F969&gt;0,H969/F969,"")</f>
        <v/>
      </c>
      <c r="L969" s="16">
        <f>IF(AND(G969&gt;0,H969&gt;0),G969/H969,"")</f>
        <v/>
      </c>
    </row>
    <row r="970">
      <c r="A970" s="4" t="inlineStr">
        <is>
          <t>513</t>
        </is>
      </c>
      <c r="B970" s="4" t="n">
        <v>5</v>
      </c>
      <c r="C970" s="4" t="inlineStr">
        <is>
          <t>antelope</t>
        </is>
      </c>
      <c r="D970" s="4" t="n">
        <v>2021</v>
      </c>
      <c r="E970" s="4" t="inlineStr"/>
      <c r="F970" s="5" t="n"/>
      <c r="G970" s="5" t="n"/>
      <c r="H970" s="5" t="n">
        <v>145</v>
      </c>
      <c r="I970" s="5" t="n">
        <v>121</v>
      </c>
      <c r="J970" s="5" t="n">
        <v>24</v>
      </c>
      <c r="K970" s="10">
        <f>IF(F970&gt;0,H970/F970,"")</f>
        <v/>
      </c>
      <c r="L970" s="16">
        <f>IF(AND(G970&gt;0,H970&gt;0),G970/H970,"")</f>
        <v/>
      </c>
    </row>
    <row r="971">
      <c r="A971" s="4" t="inlineStr">
        <is>
          <t>514</t>
        </is>
      </c>
      <c r="B971" s="4" t="n">
        <v>5</v>
      </c>
      <c r="C971" s="4" t="inlineStr">
        <is>
          <t>antelope</t>
        </is>
      </c>
      <c r="D971" s="4" t="n">
        <v>2004</v>
      </c>
      <c r="E971" s="4" t="inlineStr"/>
      <c r="F971" s="5" t="n">
        <v>98</v>
      </c>
      <c r="G971" s="5" t="n">
        <v>273</v>
      </c>
      <c r="H971" s="5" t="n">
        <v>52</v>
      </c>
      <c r="I971" s="5" t="n">
        <v>41</v>
      </c>
      <c r="J971" s="5" t="n">
        <v>11</v>
      </c>
      <c r="K971" s="10">
        <f>IF(F971&gt;0,H971/F971,"")</f>
        <v/>
      </c>
      <c r="L971" s="16">
        <f>IF(AND(G971&gt;0,H971&gt;0),G971/H971,"")</f>
        <v/>
      </c>
    </row>
    <row r="972">
      <c r="A972" s="4" t="inlineStr">
        <is>
          <t>514</t>
        </is>
      </c>
      <c r="B972" s="4" t="n">
        <v>5</v>
      </c>
      <c r="C972" s="4" t="inlineStr">
        <is>
          <t>antelope</t>
        </is>
      </c>
      <c r="D972" s="4" t="n">
        <v>2005</v>
      </c>
      <c r="E972" s="4" t="inlineStr"/>
      <c r="F972" s="5" t="n">
        <v>101</v>
      </c>
      <c r="G972" s="5" t="n">
        <v>359</v>
      </c>
      <c r="H972" s="5" t="n">
        <v>49</v>
      </c>
      <c r="I972" s="5" t="n">
        <v>44</v>
      </c>
      <c r="J972" s="5" t="n">
        <v>3</v>
      </c>
      <c r="K972" s="10">
        <f>IF(F972&gt;0,H972/F972,"")</f>
        <v/>
      </c>
      <c r="L972" s="16">
        <f>IF(AND(G972&gt;0,H972&gt;0),G972/H972,"")</f>
        <v/>
      </c>
    </row>
    <row r="973">
      <c r="A973" s="4" t="inlineStr">
        <is>
          <t>514</t>
        </is>
      </c>
      <c r="B973" s="4" t="n">
        <v>5</v>
      </c>
      <c r="C973" s="4" t="inlineStr">
        <is>
          <t>antelope</t>
        </is>
      </c>
      <c r="D973" s="4" t="n">
        <v>2006</v>
      </c>
      <c r="E973" s="4" t="inlineStr"/>
      <c r="F973" s="5" t="n">
        <v>142</v>
      </c>
      <c r="G973" s="5" t="n">
        <v>658</v>
      </c>
      <c r="H973" s="5" t="n">
        <v>89</v>
      </c>
      <c r="I973" s="5" t="n">
        <v>62</v>
      </c>
      <c r="J973" s="5" t="n">
        <v>25</v>
      </c>
      <c r="K973" s="10">
        <f>IF(F973&gt;0,H973/F973,"")</f>
        <v/>
      </c>
      <c r="L973" s="16">
        <f>IF(AND(G973&gt;0,H973&gt;0),G973/H973,"")</f>
        <v/>
      </c>
    </row>
    <row r="974">
      <c r="A974" s="4" t="inlineStr">
        <is>
          <t>514</t>
        </is>
      </c>
      <c r="B974" s="4" t="n">
        <v>5</v>
      </c>
      <c r="C974" s="4" t="inlineStr">
        <is>
          <t>antelope</t>
        </is>
      </c>
      <c r="D974" s="4" t="n">
        <v>2007</v>
      </c>
      <c r="E974" s="4" t="inlineStr"/>
      <c r="F974" s="5" t="n">
        <v>174</v>
      </c>
      <c r="G974" s="5" t="n">
        <v>818</v>
      </c>
      <c r="H974" s="5" t="n">
        <v>112</v>
      </c>
      <c r="I974" s="5" t="n">
        <v>86</v>
      </c>
      <c r="J974" s="5" t="n">
        <v>26</v>
      </c>
      <c r="K974" s="10">
        <f>IF(F974&gt;0,H974/F974,"")</f>
        <v/>
      </c>
      <c r="L974" s="16">
        <f>IF(AND(G974&gt;0,H974&gt;0),G974/H974,"")</f>
        <v/>
      </c>
    </row>
    <row r="975">
      <c r="A975" s="4" t="inlineStr">
        <is>
          <t>514</t>
        </is>
      </c>
      <c r="B975" s="4" t="n">
        <v>5</v>
      </c>
      <c r="C975" s="4" t="inlineStr">
        <is>
          <t>antelope</t>
        </is>
      </c>
      <c r="D975" s="4" t="n">
        <v>2008</v>
      </c>
      <c r="E975" s="4" t="inlineStr"/>
      <c r="F975" s="5" t="n">
        <v>142</v>
      </c>
      <c r="G975" s="5" t="n">
        <v>439</v>
      </c>
      <c r="H975" s="5" t="n">
        <v>73</v>
      </c>
      <c r="I975" s="5" t="n">
        <v>61</v>
      </c>
      <c r="J975" s="5" t="n">
        <v>12</v>
      </c>
      <c r="K975" s="10">
        <f>IF(F975&gt;0,H975/F975,"")</f>
        <v/>
      </c>
      <c r="L975" s="16">
        <f>IF(AND(G975&gt;0,H975&gt;0),G975/H975,"")</f>
        <v/>
      </c>
    </row>
    <row r="976">
      <c r="A976" s="4" t="inlineStr">
        <is>
          <t>514</t>
        </is>
      </c>
      <c r="B976" s="4" t="n">
        <v>5</v>
      </c>
      <c r="C976" s="4" t="inlineStr">
        <is>
          <t>antelope</t>
        </is>
      </c>
      <c r="D976" s="4" t="n">
        <v>2009</v>
      </c>
      <c r="E976" s="4" t="inlineStr"/>
      <c r="F976" s="5" t="n">
        <v>165</v>
      </c>
      <c r="G976" s="5" t="n">
        <v>659</v>
      </c>
      <c r="H976" s="5" t="n">
        <v>91</v>
      </c>
      <c r="I976" s="5" t="n">
        <v>73</v>
      </c>
      <c r="J976" s="5" t="n">
        <v>17</v>
      </c>
      <c r="K976" s="10">
        <f>IF(F976&gt;0,H976/F976,"")</f>
        <v/>
      </c>
      <c r="L976" s="16">
        <f>IF(AND(G976&gt;0,H976&gt;0),G976/H976,"")</f>
        <v/>
      </c>
    </row>
    <row r="977">
      <c r="A977" s="4" t="inlineStr">
        <is>
          <t>514</t>
        </is>
      </c>
      <c r="B977" s="4" t="n">
        <v>5</v>
      </c>
      <c r="C977" s="4" t="inlineStr">
        <is>
          <t>antelope</t>
        </is>
      </c>
      <c r="D977" s="4" t="n">
        <v>2010</v>
      </c>
      <c r="E977" s="4" t="inlineStr"/>
      <c r="F977" s="5" t="n">
        <v>149</v>
      </c>
      <c r="G977" s="5" t="n">
        <v>484</v>
      </c>
      <c r="H977" s="5" t="n">
        <v>91</v>
      </c>
      <c r="I977" s="5" t="n">
        <v>54</v>
      </c>
      <c r="J977" s="5" t="n">
        <v>36</v>
      </c>
      <c r="K977" s="10">
        <f>IF(F977&gt;0,H977/F977,"")</f>
        <v/>
      </c>
      <c r="L977" s="16">
        <f>IF(AND(G977&gt;0,H977&gt;0),G977/H977,"")</f>
        <v/>
      </c>
    </row>
    <row r="978">
      <c r="A978" s="4" t="inlineStr">
        <is>
          <t>514</t>
        </is>
      </c>
      <c r="B978" s="4" t="n">
        <v>5</v>
      </c>
      <c r="C978" s="4" t="inlineStr">
        <is>
          <t>antelope</t>
        </is>
      </c>
      <c r="D978" s="4" t="n">
        <v>2011</v>
      </c>
      <c r="E978" s="4" t="inlineStr"/>
      <c r="F978" s="5" t="n">
        <v>159</v>
      </c>
      <c r="G978" s="5" t="n">
        <v>611</v>
      </c>
      <c r="H978" s="5" t="n">
        <v>69</v>
      </c>
      <c r="I978" s="5" t="n">
        <v>45</v>
      </c>
      <c r="J978" s="5" t="n">
        <v>23</v>
      </c>
      <c r="K978" s="10">
        <f>IF(F978&gt;0,H978/F978,"")</f>
        <v/>
      </c>
      <c r="L978" s="16">
        <f>IF(AND(G978&gt;0,H978&gt;0),G978/H978,"")</f>
        <v/>
      </c>
    </row>
    <row r="979">
      <c r="A979" s="4" t="inlineStr">
        <is>
          <t>514</t>
        </is>
      </c>
      <c r="B979" s="4" t="n">
        <v>5</v>
      </c>
      <c r="C979" s="4" t="inlineStr">
        <is>
          <t>antelope</t>
        </is>
      </c>
      <c r="D979" s="4" t="n">
        <v>2012</v>
      </c>
      <c r="E979" s="4" t="inlineStr"/>
      <c r="F979" s="5" t="n">
        <v>179</v>
      </c>
      <c r="G979" s="5" t="n">
        <v>727</v>
      </c>
      <c r="H979" s="5" t="n">
        <v>110</v>
      </c>
      <c r="I979" s="5" t="n">
        <v>58</v>
      </c>
      <c r="J979" s="5" t="n">
        <v>52</v>
      </c>
      <c r="K979" s="10">
        <f>IF(F979&gt;0,H979/F979,"")</f>
        <v/>
      </c>
      <c r="L979" s="16">
        <f>IF(AND(G979&gt;0,H979&gt;0),G979/H979,"")</f>
        <v/>
      </c>
    </row>
    <row r="980">
      <c r="A980" s="4" t="inlineStr">
        <is>
          <t>514</t>
        </is>
      </c>
      <c r="B980" s="4" t="n">
        <v>5</v>
      </c>
      <c r="C980" s="4" t="inlineStr">
        <is>
          <t>antelope</t>
        </is>
      </c>
      <c r="D980" s="4" t="n">
        <v>2013</v>
      </c>
      <c r="E980" s="4" t="inlineStr"/>
      <c r="F980" s="5" t="n"/>
      <c r="G980" s="5" t="n"/>
      <c r="H980" s="5" t="n">
        <v>96</v>
      </c>
      <c r="I980" s="5" t="n">
        <v>51</v>
      </c>
      <c r="J980" s="5" t="n">
        <v>46</v>
      </c>
      <c r="K980" s="10">
        <f>IF(F980&gt;0,H980/F980,"")</f>
        <v/>
      </c>
      <c r="L980" s="16">
        <f>IF(AND(G980&gt;0,H980&gt;0),G980/H980,"")</f>
        <v/>
      </c>
    </row>
    <row r="981">
      <c r="A981" s="4" t="inlineStr">
        <is>
          <t>514</t>
        </is>
      </c>
      <c r="B981" s="4" t="n">
        <v>5</v>
      </c>
      <c r="C981" s="4" t="inlineStr">
        <is>
          <t>antelope</t>
        </is>
      </c>
      <c r="D981" s="4" t="n">
        <v>2014</v>
      </c>
      <c r="E981" s="4" t="inlineStr"/>
      <c r="F981" s="5" t="n">
        <v>149</v>
      </c>
      <c r="G981" s="5" t="n">
        <v>501</v>
      </c>
      <c r="H981" s="5" t="n">
        <v>82</v>
      </c>
      <c r="I981" s="5" t="n">
        <v>51</v>
      </c>
      <c r="J981" s="5" t="n">
        <v>29</v>
      </c>
      <c r="K981" s="10">
        <f>IF(F981&gt;0,H981/F981,"")</f>
        <v/>
      </c>
      <c r="L981" s="16">
        <f>IF(AND(G981&gt;0,H981&gt;0),G981/H981,"")</f>
        <v/>
      </c>
    </row>
    <row r="982">
      <c r="A982" s="4" t="inlineStr">
        <is>
          <t>514</t>
        </is>
      </c>
      <c r="B982" s="4" t="n">
        <v>5</v>
      </c>
      <c r="C982" s="4" t="inlineStr">
        <is>
          <t>antelope</t>
        </is>
      </c>
      <c r="D982" s="4" t="n">
        <v>2015</v>
      </c>
      <c r="E982" s="4" t="inlineStr"/>
      <c r="F982" s="5" t="n">
        <v>153</v>
      </c>
      <c r="G982" s="5" t="n">
        <v>561</v>
      </c>
      <c r="H982" s="5" t="n">
        <v>97</v>
      </c>
      <c r="I982" s="5" t="n">
        <v>54</v>
      </c>
      <c r="J982" s="5" t="n">
        <v>44</v>
      </c>
      <c r="K982" s="10">
        <f>IF(F982&gt;0,H982/F982,"")</f>
        <v/>
      </c>
      <c r="L982" s="16">
        <f>IF(AND(G982&gt;0,H982&gt;0),G982/H982,"")</f>
        <v/>
      </c>
    </row>
    <row r="983">
      <c r="A983" s="4" t="inlineStr">
        <is>
          <t>514</t>
        </is>
      </c>
      <c r="B983" s="4" t="n">
        <v>5</v>
      </c>
      <c r="C983" s="4" t="inlineStr">
        <is>
          <t>antelope</t>
        </is>
      </c>
      <c r="D983" s="4" t="n">
        <v>2016</v>
      </c>
      <c r="E983" s="4" t="inlineStr"/>
      <c r="F983" s="5" t="n"/>
      <c r="G983" s="5" t="n"/>
      <c r="H983" s="5" t="n">
        <v>92</v>
      </c>
      <c r="I983" s="5" t="n">
        <v>56</v>
      </c>
      <c r="J983" s="5" t="n">
        <v>33</v>
      </c>
      <c r="K983" s="10">
        <f>IF(F983&gt;0,H983/F983,"")</f>
        <v/>
      </c>
      <c r="L983" s="16">
        <f>IF(AND(G983&gt;0,H983&gt;0),G983/H983,"")</f>
        <v/>
      </c>
    </row>
    <row r="984">
      <c r="A984" s="4" t="inlineStr">
        <is>
          <t>514</t>
        </is>
      </c>
      <c r="B984" s="4" t="n">
        <v>5</v>
      </c>
      <c r="C984" s="4" t="inlineStr">
        <is>
          <t>antelope</t>
        </is>
      </c>
      <c r="D984" s="4" t="n">
        <v>2017</v>
      </c>
      <c r="E984" s="4" t="inlineStr"/>
      <c r="F984" s="5" t="n"/>
      <c r="G984" s="5" t="n"/>
      <c r="H984" s="5" t="n">
        <v>51</v>
      </c>
      <c r="I984" s="5" t="n">
        <v>41</v>
      </c>
      <c r="J984" s="5" t="n">
        <v>10</v>
      </c>
      <c r="K984" s="10">
        <f>IF(F984&gt;0,H984/F984,"")</f>
        <v/>
      </c>
      <c r="L984" s="16">
        <f>IF(AND(G984&gt;0,H984&gt;0),G984/H984,"")</f>
        <v/>
      </c>
    </row>
    <row r="985">
      <c r="A985" s="4" t="inlineStr">
        <is>
          <t>514</t>
        </is>
      </c>
      <c r="B985" s="4" t="n">
        <v>5</v>
      </c>
      <c r="C985" s="4" t="inlineStr">
        <is>
          <t>antelope</t>
        </is>
      </c>
      <c r="D985" s="4" t="n">
        <v>2018</v>
      </c>
      <c r="E985" s="4" t="inlineStr"/>
      <c r="F985" s="5" t="n">
        <v>131</v>
      </c>
      <c r="G985" s="5" t="n">
        <v>665</v>
      </c>
      <c r="H985" s="5" t="n">
        <v>58</v>
      </c>
      <c r="I985" s="5" t="n">
        <v>36</v>
      </c>
      <c r="J985" s="5" t="n">
        <v>20</v>
      </c>
      <c r="K985" s="10">
        <f>IF(F985&gt;0,H985/F985,"")</f>
        <v/>
      </c>
      <c r="L985" s="16">
        <f>IF(AND(G985&gt;0,H985&gt;0),G985/H985,"")</f>
        <v/>
      </c>
    </row>
    <row r="986">
      <c r="A986" s="4" t="inlineStr">
        <is>
          <t>514</t>
        </is>
      </c>
      <c r="B986" s="4" t="n">
        <v>5</v>
      </c>
      <c r="C986" s="4" t="inlineStr">
        <is>
          <t>antelope</t>
        </is>
      </c>
      <c r="D986" s="4" t="n">
        <v>2019</v>
      </c>
      <c r="E986" s="4" t="inlineStr"/>
      <c r="F986" s="5" t="n"/>
      <c r="G986" s="5" t="n"/>
      <c r="H986" s="5" t="n">
        <v>50</v>
      </c>
      <c r="I986" s="5" t="n">
        <v>33</v>
      </c>
      <c r="J986" s="5" t="n">
        <v>17</v>
      </c>
      <c r="K986" s="10">
        <f>IF(F986&gt;0,H986/F986,"")</f>
        <v/>
      </c>
      <c r="L986" s="16">
        <f>IF(AND(G986&gt;0,H986&gt;0),G986/H986,"")</f>
        <v/>
      </c>
    </row>
    <row r="987">
      <c r="A987" s="4" t="inlineStr">
        <is>
          <t>514</t>
        </is>
      </c>
      <c r="B987" s="4" t="n">
        <v>5</v>
      </c>
      <c r="C987" s="4" t="inlineStr">
        <is>
          <t>antelope</t>
        </is>
      </c>
      <c r="D987" s="4" t="n">
        <v>2020</v>
      </c>
      <c r="E987" s="4" t="inlineStr"/>
      <c r="F987" s="5" t="n">
        <v>96</v>
      </c>
      <c r="G987" s="5" t="n">
        <v>321</v>
      </c>
      <c r="H987" s="5" t="n">
        <v>60</v>
      </c>
      <c r="I987" s="5" t="n">
        <v>40</v>
      </c>
      <c r="J987" s="5" t="n">
        <v>20</v>
      </c>
      <c r="K987" s="10">
        <f>IF(F987&gt;0,H987/F987,"")</f>
        <v/>
      </c>
      <c r="L987" s="16">
        <f>IF(AND(G987&gt;0,H987&gt;0),G987/H987,"")</f>
        <v/>
      </c>
    </row>
    <row r="988">
      <c r="A988" s="4" t="inlineStr">
        <is>
          <t>514</t>
        </is>
      </c>
      <c r="B988" s="4" t="n">
        <v>5</v>
      </c>
      <c r="C988" s="4" t="inlineStr">
        <is>
          <t>antelope</t>
        </is>
      </c>
      <c r="D988" s="4" t="n">
        <v>2021</v>
      </c>
      <c r="E988" s="4" t="inlineStr"/>
      <c r="F988" s="5" t="n"/>
      <c r="G988" s="5" t="n"/>
      <c r="H988" s="5" t="n">
        <v>41</v>
      </c>
      <c r="I988" s="5" t="n">
        <v>38</v>
      </c>
      <c r="J988" s="5" t="n">
        <v>4</v>
      </c>
      <c r="K988" s="10">
        <f>IF(F988&gt;0,H988/F988,"")</f>
        <v/>
      </c>
      <c r="L988" s="16">
        <f>IF(AND(G988&gt;0,H988&gt;0),G988/H988,"")</f>
        <v/>
      </c>
    </row>
    <row r="989">
      <c r="A989" s="4" t="inlineStr">
        <is>
          <t>516</t>
        </is>
      </c>
      <c r="B989" s="4" t="n">
        <v>5</v>
      </c>
      <c r="C989" s="4" t="inlineStr">
        <is>
          <t>antelope</t>
        </is>
      </c>
      <c r="D989" s="4" t="n">
        <v>2022</v>
      </c>
      <c r="E989" s="15" t="inlineStr">
        <is>
          <t>Draw</t>
        </is>
      </c>
      <c r="F989" s="5" t="n">
        <v>625</v>
      </c>
      <c r="G989" s="5" t="n">
        <v>2396</v>
      </c>
      <c r="H989" s="5" t="n">
        <v>400</v>
      </c>
      <c r="I989" s="5" t="n">
        <v>299</v>
      </c>
      <c r="J989" s="5" t="n">
        <v>98</v>
      </c>
      <c r="K989" s="10">
        <f>IF(F989&gt;0,H989/F989,"")</f>
        <v/>
      </c>
      <c r="L989" s="16">
        <f>IF(AND(G989&gt;0,H989&gt;0),G989/H989,"")</f>
        <v/>
      </c>
    </row>
    <row r="990">
      <c r="A990" s="4" t="inlineStr">
        <is>
          <t>516</t>
        </is>
      </c>
      <c r="B990" s="4" t="n">
        <v>5</v>
      </c>
      <c r="C990" s="4" t="inlineStr">
        <is>
          <t>antelope</t>
        </is>
      </c>
      <c r="D990" s="4" t="n">
        <v>2023</v>
      </c>
      <c r="E990" s="15" t="inlineStr">
        <is>
          <t>Draw</t>
        </is>
      </c>
      <c r="F990" s="5" t="n"/>
      <c r="G990" s="5" t="n"/>
      <c r="H990" s="5" t="n">
        <v>395</v>
      </c>
      <c r="I990" s="5" t="n">
        <v>307</v>
      </c>
      <c r="J990" s="5" t="n">
        <v>80</v>
      </c>
      <c r="K990" s="10">
        <f>IF(F990&gt;0,H990/F990,"")</f>
        <v/>
      </c>
      <c r="L990" s="16">
        <f>IF(AND(G990&gt;0,H990&gt;0),G990/H990,"")</f>
        <v/>
      </c>
    </row>
    <row r="991">
      <c r="A991" s="4" t="inlineStr">
        <is>
          <t>516</t>
        </is>
      </c>
      <c r="B991" s="4" t="n">
        <v>5</v>
      </c>
      <c r="C991" s="4" t="inlineStr">
        <is>
          <t>antelope</t>
        </is>
      </c>
      <c r="D991" s="4" t="n">
        <v>2024</v>
      </c>
      <c r="E991" s="15" t="inlineStr">
        <is>
          <t>Draw</t>
        </is>
      </c>
      <c r="F991" s="5" t="n">
        <v>700</v>
      </c>
      <c r="G991" s="5" t="n">
        <v>2709</v>
      </c>
      <c r="H991" s="5" t="n">
        <v>424</v>
      </c>
      <c r="I991" s="5" t="n">
        <v>335</v>
      </c>
      <c r="J991" s="5" t="n">
        <v>80</v>
      </c>
      <c r="K991" s="10">
        <f>IF(F991&gt;0,H991/F991,"")</f>
        <v/>
      </c>
      <c r="L991" s="16">
        <f>IF(AND(G991&gt;0,H991&gt;0),G991/H991,"")</f>
        <v/>
      </c>
    </row>
    <row r="992">
      <c r="A992" s="4" t="inlineStr">
        <is>
          <t>516</t>
        </is>
      </c>
      <c r="B992" s="4" t="n">
        <v>5</v>
      </c>
      <c r="C992" s="4" t="inlineStr">
        <is>
          <t>antelope</t>
        </is>
      </c>
      <c r="D992" s="4" t="n">
        <v>2025</v>
      </c>
      <c r="E992" s="15" t="inlineStr">
        <is>
          <t>Draw</t>
        </is>
      </c>
      <c r="F992" s="5" t="n"/>
      <c r="G992" s="5" t="n"/>
      <c r="H992" s="5" t="n">
        <v>332</v>
      </c>
      <c r="I992" s="5" t="n">
        <v>261</v>
      </c>
      <c r="J992" s="5" t="n">
        <v>71</v>
      </c>
      <c r="K992" s="10">
        <f>IF(F992&gt;0,H992/F992,"")</f>
        <v/>
      </c>
      <c r="L992" s="16">
        <f>IF(AND(G992&gt;0,H992&gt;0),G992/H992,"")</f>
        <v/>
      </c>
    </row>
    <row r="993">
      <c r="A993" s="4" t="inlineStr">
        <is>
          <t>526</t>
        </is>
      </c>
      <c r="B993" s="4" t="n">
        <v>5</v>
      </c>
      <c r="C993" s="4" t="inlineStr">
        <is>
          <t>antelope</t>
        </is>
      </c>
      <c r="D993" s="4" t="n">
        <v>2022</v>
      </c>
      <c r="E993" s="15" t="inlineStr">
        <is>
          <t>Draw</t>
        </is>
      </c>
      <c r="F993" s="5" t="n">
        <v>182</v>
      </c>
      <c r="G993" s="5" t="n">
        <v>609</v>
      </c>
      <c r="H993" s="5" t="n">
        <v>84</v>
      </c>
      <c r="I993" s="5" t="n">
        <v>69</v>
      </c>
      <c r="J993" s="5" t="n">
        <v>14</v>
      </c>
      <c r="K993" s="10">
        <f>IF(F993&gt;0,H993/F993,"")</f>
        <v/>
      </c>
      <c r="L993" s="16">
        <f>IF(AND(G993&gt;0,H993&gt;0),G993/H993,"")</f>
        <v/>
      </c>
    </row>
    <row r="994">
      <c r="A994" s="4" t="inlineStr">
        <is>
          <t>526</t>
        </is>
      </c>
      <c r="B994" s="4" t="n">
        <v>5</v>
      </c>
      <c r="C994" s="4" t="inlineStr">
        <is>
          <t>antelope</t>
        </is>
      </c>
      <c r="D994" s="4" t="n">
        <v>2023</v>
      </c>
      <c r="E994" s="15" t="inlineStr">
        <is>
          <t>Draw</t>
        </is>
      </c>
      <c r="F994" s="5" t="n"/>
      <c r="G994" s="5" t="n"/>
      <c r="H994" s="5" t="n">
        <v>119</v>
      </c>
      <c r="I994" s="5" t="n">
        <v>97</v>
      </c>
      <c r="J994" s="5" t="n">
        <v>22</v>
      </c>
      <c r="K994" s="10">
        <f>IF(F994&gt;0,H994/F994,"")</f>
        <v/>
      </c>
      <c r="L994" s="16">
        <f>IF(AND(G994&gt;0,H994&gt;0),G994/H994,"")</f>
        <v/>
      </c>
    </row>
    <row r="995">
      <c r="A995" s="4" t="inlineStr">
        <is>
          <t>526</t>
        </is>
      </c>
      <c r="B995" s="4" t="n">
        <v>5</v>
      </c>
      <c r="C995" s="4" t="inlineStr">
        <is>
          <t>antelope</t>
        </is>
      </c>
      <c r="D995" s="4" t="n">
        <v>2024</v>
      </c>
      <c r="E995" s="15" t="inlineStr">
        <is>
          <t>Draw</t>
        </is>
      </c>
      <c r="F995" s="5" t="n">
        <v>210</v>
      </c>
      <c r="G995" s="5" t="n">
        <v>786</v>
      </c>
      <c r="H995" s="5" t="n">
        <v>104</v>
      </c>
      <c r="I995" s="5" t="n">
        <v>80</v>
      </c>
      <c r="J995" s="5" t="n">
        <v>24</v>
      </c>
      <c r="K995" s="10">
        <f>IF(F995&gt;0,H995/F995,"")</f>
        <v/>
      </c>
      <c r="L995" s="16">
        <f>IF(AND(G995&gt;0,H995&gt;0),G995/H995,"")</f>
        <v/>
      </c>
    </row>
    <row r="996">
      <c r="A996" s="4" t="inlineStr">
        <is>
          <t>526</t>
        </is>
      </c>
      <c r="B996" s="4" t="n">
        <v>5</v>
      </c>
      <c r="C996" s="4" t="inlineStr">
        <is>
          <t>antelope</t>
        </is>
      </c>
      <c r="D996" s="4" t="n">
        <v>2025</v>
      </c>
      <c r="E996" s="15" t="inlineStr">
        <is>
          <t>Draw</t>
        </is>
      </c>
      <c r="F996" s="5" t="n"/>
      <c r="G996" s="5" t="n"/>
      <c r="H996" s="5" t="n">
        <v>104</v>
      </c>
      <c r="I996" s="5" t="n">
        <v>86</v>
      </c>
      <c r="J996" s="5" t="n">
        <v>16</v>
      </c>
      <c r="K996" s="10">
        <f>IF(F996&gt;0,H996/F996,"")</f>
        <v/>
      </c>
      <c r="L996" s="16">
        <f>IF(AND(G996&gt;0,H996&gt;0),G996/H996,"")</f>
        <v/>
      </c>
    </row>
    <row r="997">
      <c r="A997" s="4" t="inlineStr">
        <is>
          <t>530</t>
        </is>
      </c>
      <c r="B997" s="4" t="n">
        <v>5</v>
      </c>
      <c r="C997" s="4" t="inlineStr">
        <is>
          <t>antelope</t>
        </is>
      </c>
      <c r="D997" s="4" t="n">
        <v>2004</v>
      </c>
      <c r="E997" s="4" t="inlineStr"/>
      <c r="F997" s="5" t="n">
        <v>1169</v>
      </c>
      <c r="G997" s="5" t="n">
        <v>3136</v>
      </c>
      <c r="H997" s="5" t="n">
        <v>1426</v>
      </c>
      <c r="I997" s="5" t="n">
        <v>740</v>
      </c>
      <c r="J997" s="5" t="n">
        <v>599</v>
      </c>
      <c r="K997" s="10">
        <f>IF(F997&gt;0,H997/F997,"")</f>
        <v/>
      </c>
      <c r="L997" s="16">
        <f>IF(AND(G997&gt;0,H997&gt;0),G997/H997,"")</f>
        <v/>
      </c>
    </row>
    <row r="998">
      <c r="A998" s="4" t="inlineStr">
        <is>
          <t>530</t>
        </is>
      </c>
      <c r="B998" s="4" t="n">
        <v>5</v>
      </c>
      <c r="C998" s="4" t="inlineStr">
        <is>
          <t>antelope</t>
        </is>
      </c>
      <c r="D998" s="4" t="n">
        <v>2005</v>
      </c>
      <c r="E998" s="4" t="inlineStr"/>
      <c r="F998" s="5" t="n">
        <v>875</v>
      </c>
      <c r="G998" s="5" t="n">
        <v>2428</v>
      </c>
      <c r="H998" s="5" t="n">
        <v>1369</v>
      </c>
      <c r="I998" s="5" t="n">
        <v>725</v>
      </c>
      <c r="J998" s="5" t="n">
        <v>588</v>
      </c>
      <c r="K998" s="10">
        <f>IF(F998&gt;0,H998/F998,"")</f>
        <v/>
      </c>
      <c r="L998" s="16">
        <f>IF(AND(G998&gt;0,H998&gt;0),G998/H998,"")</f>
        <v/>
      </c>
    </row>
    <row r="999">
      <c r="A999" s="4" t="inlineStr">
        <is>
          <t>530</t>
        </is>
      </c>
      <c r="B999" s="4" t="n">
        <v>5</v>
      </c>
      <c r="C999" s="4" t="inlineStr">
        <is>
          <t>antelope</t>
        </is>
      </c>
      <c r="D999" s="4" t="n">
        <v>2006</v>
      </c>
      <c r="E999" s="4" t="inlineStr"/>
      <c r="F999" s="5" t="n">
        <v>1077</v>
      </c>
      <c r="G999" s="5" t="n">
        <v>2768</v>
      </c>
      <c r="H999" s="5" t="n">
        <v>1336</v>
      </c>
      <c r="I999" s="5" t="n">
        <v>742</v>
      </c>
      <c r="J999" s="5" t="n">
        <v>550</v>
      </c>
      <c r="K999" s="10">
        <f>IF(F999&gt;0,H999/F999,"")</f>
        <v/>
      </c>
      <c r="L999" s="16">
        <f>IF(AND(G999&gt;0,H999&gt;0),G999/H999,"")</f>
        <v/>
      </c>
    </row>
    <row r="1000">
      <c r="A1000" s="4" t="inlineStr">
        <is>
          <t>530</t>
        </is>
      </c>
      <c r="B1000" s="4" t="n">
        <v>5</v>
      </c>
      <c r="C1000" s="4" t="inlineStr">
        <is>
          <t>antelope</t>
        </is>
      </c>
      <c r="D1000" s="4" t="n">
        <v>2007</v>
      </c>
      <c r="E1000" s="4" t="inlineStr"/>
      <c r="F1000" s="5" t="n">
        <v>915</v>
      </c>
      <c r="G1000" s="5" t="n">
        <v>2673</v>
      </c>
      <c r="H1000" s="5" t="n">
        <v>942</v>
      </c>
      <c r="I1000" s="5" t="n">
        <v>510</v>
      </c>
      <c r="J1000" s="5" t="n">
        <v>414</v>
      </c>
      <c r="K1000" s="10">
        <f>IF(F1000&gt;0,H1000/F1000,"")</f>
        <v/>
      </c>
      <c r="L1000" s="16">
        <f>IF(AND(G1000&gt;0,H1000&gt;0),G1000/H1000,"")</f>
        <v/>
      </c>
    </row>
    <row r="1001">
      <c r="A1001" s="4" t="inlineStr">
        <is>
          <t>530</t>
        </is>
      </c>
      <c r="B1001" s="4" t="n">
        <v>5</v>
      </c>
      <c r="C1001" s="4" t="inlineStr">
        <is>
          <t>antelope</t>
        </is>
      </c>
      <c r="D1001" s="4" t="n">
        <v>2008</v>
      </c>
      <c r="E1001" s="4" t="inlineStr"/>
      <c r="F1001" s="5" t="n">
        <v>669</v>
      </c>
      <c r="G1001" s="5" t="n">
        <v>1827</v>
      </c>
      <c r="H1001" s="5" t="n">
        <v>393</v>
      </c>
      <c r="I1001" s="5" t="n">
        <v>296</v>
      </c>
      <c r="J1001" s="5" t="n">
        <v>94</v>
      </c>
      <c r="K1001" s="10">
        <f>IF(F1001&gt;0,H1001/F1001,"")</f>
        <v/>
      </c>
      <c r="L1001" s="16">
        <f>IF(AND(G1001&gt;0,H1001&gt;0),G1001/H1001,"")</f>
        <v/>
      </c>
    </row>
    <row r="1002">
      <c r="A1002" s="4" t="inlineStr">
        <is>
          <t>530</t>
        </is>
      </c>
      <c r="B1002" s="4" t="n">
        <v>5</v>
      </c>
      <c r="C1002" s="4" t="inlineStr">
        <is>
          <t>antelope</t>
        </is>
      </c>
      <c r="D1002" s="4" t="n">
        <v>2009</v>
      </c>
      <c r="E1002" s="4" t="inlineStr"/>
      <c r="F1002" s="5" t="n">
        <v>615</v>
      </c>
      <c r="G1002" s="5" t="n">
        <v>1717</v>
      </c>
      <c r="H1002" s="5" t="n">
        <v>354</v>
      </c>
      <c r="I1002" s="5" t="n">
        <v>270</v>
      </c>
      <c r="J1002" s="5" t="n">
        <v>81</v>
      </c>
      <c r="K1002" s="10">
        <f>IF(F1002&gt;0,H1002/F1002,"")</f>
        <v/>
      </c>
      <c r="L1002" s="16">
        <f>IF(AND(G1002&gt;0,H1002&gt;0),G1002/H1002,"")</f>
        <v/>
      </c>
    </row>
    <row r="1003">
      <c r="A1003" s="4" t="inlineStr">
        <is>
          <t>530</t>
        </is>
      </c>
      <c r="B1003" s="4" t="n">
        <v>5</v>
      </c>
      <c r="C1003" s="4" t="inlineStr">
        <is>
          <t>antelope</t>
        </is>
      </c>
      <c r="D1003" s="4" t="n">
        <v>2010</v>
      </c>
      <c r="E1003" s="4" t="inlineStr"/>
      <c r="F1003" s="5" t="n">
        <v>517</v>
      </c>
      <c r="G1003" s="5" t="n">
        <v>1587</v>
      </c>
      <c r="H1003" s="5" t="n">
        <v>301</v>
      </c>
      <c r="I1003" s="5" t="n">
        <v>229</v>
      </c>
      <c r="J1003" s="5" t="n">
        <v>72</v>
      </c>
      <c r="K1003" s="10">
        <f>IF(F1003&gt;0,H1003/F1003,"")</f>
        <v/>
      </c>
      <c r="L1003" s="16">
        <f>IF(AND(G1003&gt;0,H1003&gt;0),G1003/H1003,"")</f>
        <v/>
      </c>
    </row>
    <row r="1004">
      <c r="A1004" s="4" t="inlineStr">
        <is>
          <t>530</t>
        </is>
      </c>
      <c r="B1004" s="4" t="n">
        <v>5</v>
      </c>
      <c r="C1004" s="4" t="inlineStr">
        <is>
          <t>antelope</t>
        </is>
      </c>
      <c r="D1004" s="4" t="n">
        <v>2011</v>
      </c>
      <c r="E1004" s="4" t="inlineStr"/>
      <c r="F1004" s="5" t="n">
        <v>297</v>
      </c>
      <c r="G1004" s="5" t="n">
        <v>841</v>
      </c>
      <c r="H1004" s="5" t="n">
        <v>183</v>
      </c>
      <c r="I1004" s="5" t="n">
        <v>158</v>
      </c>
      <c r="J1004" s="5" t="n">
        <v>25</v>
      </c>
      <c r="K1004" s="10">
        <f>IF(F1004&gt;0,H1004/F1004,"")</f>
        <v/>
      </c>
      <c r="L1004" s="16">
        <f>IF(AND(G1004&gt;0,H1004&gt;0),G1004/H1004,"")</f>
        <v/>
      </c>
    </row>
    <row r="1005">
      <c r="A1005" s="4" t="inlineStr">
        <is>
          <t>530</t>
        </is>
      </c>
      <c r="B1005" s="4" t="n">
        <v>5</v>
      </c>
      <c r="C1005" s="4" t="inlineStr">
        <is>
          <t>antelope</t>
        </is>
      </c>
      <c r="D1005" s="4" t="n">
        <v>2012</v>
      </c>
      <c r="E1005" s="4" t="inlineStr"/>
      <c r="F1005" s="5" t="n">
        <v>264</v>
      </c>
      <c r="G1005" s="5" t="n">
        <v>719</v>
      </c>
      <c r="H1005" s="5" t="n">
        <v>138</v>
      </c>
      <c r="I1005" s="5" t="n">
        <v>107</v>
      </c>
      <c r="J1005" s="5" t="n">
        <v>28</v>
      </c>
      <c r="K1005" s="10">
        <f>IF(F1005&gt;0,H1005/F1005,"")</f>
        <v/>
      </c>
      <c r="L1005" s="16">
        <f>IF(AND(G1005&gt;0,H1005&gt;0),G1005/H1005,"")</f>
        <v/>
      </c>
    </row>
    <row r="1006">
      <c r="A1006" s="4" t="inlineStr">
        <is>
          <t>530</t>
        </is>
      </c>
      <c r="B1006" s="4" t="n">
        <v>5</v>
      </c>
      <c r="C1006" s="4" t="inlineStr">
        <is>
          <t>antelope</t>
        </is>
      </c>
      <c r="D1006" s="4" t="n">
        <v>2013</v>
      </c>
      <c r="E1006" s="4" t="inlineStr"/>
      <c r="F1006" s="5" t="n"/>
      <c r="G1006" s="5" t="n"/>
      <c r="H1006" s="5" t="n">
        <v>97</v>
      </c>
      <c r="I1006" s="5" t="n">
        <v>68</v>
      </c>
      <c r="J1006" s="5" t="n">
        <v>29</v>
      </c>
      <c r="K1006" s="10">
        <f>IF(F1006&gt;0,H1006/F1006,"")</f>
        <v/>
      </c>
      <c r="L1006" s="16">
        <f>IF(AND(G1006&gt;0,H1006&gt;0),G1006/H1006,"")</f>
        <v/>
      </c>
    </row>
    <row r="1007">
      <c r="A1007" s="4" t="inlineStr">
        <is>
          <t>530</t>
        </is>
      </c>
      <c r="B1007" s="4" t="n">
        <v>5</v>
      </c>
      <c r="C1007" s="4" t="inlineStr">
        <is>
          <t>antelope</t>
        </is>
      </c>
      <c r="D1007" s="4" t="n">
        <v>2014</v>
      </c>
      <c r="E1007" s="4" t="inlineStr"/>
      <c r="F1007" s="5" t="n">
        <v>281</v>
      </c>
      <c r="G1007" s="5" t="n">
        <v>842</v>
      </c>
      <c r="H1007" s="5" t="n">
        <v>152</v>
      </c>
      <c r="I1007" s="5" t="n">
        <v>100</v>
      </c>
      <c r="J1007" s="5" t="n">
        <v>46</v>
      </c>
      <c r="K1007" s="10">
        <f>IF(F1007&gt;0,H1007/F1007,"")</f>
        <v/>
      </c>
      <c r="L1007" s="16">
        <f>IF(AND(G1007&gt;0,H1007&gt;0),G1007/H1007,"")</f>
        <v/>
      </c>
    </row>
    <row r="1008">
      <c r="A1008" s="4" t="inlineStr">
        <is>
          <t>530</t>
        </is>
      </c>
      <c r="B1008" s="4" t="n">
        <v>5</v>
      </c>
      <c r="C1008" s="4" t="inlineStr">
        <is>
          <t>antelope</t>
        </is>
      </c>
      <c r="D1008" s="4" t="n">
        <v>2015</v>
      </c>
      <c r="E1008" s="4" t="inlineStr"/>
      <c r="F1008" s="5" t="n">
        <v>269</v>
      </c>
      <c r="G1008" s="5" t="n">
        <v>803</v>
      </c>
      <c r="H1008" s="5" t="n">
        <v>140</v>
      </c>
      <c r="I1008" s="5" t="n">
        <v>112</v>
      </c>
      <c r="J1008" s="5" t="n">
        <v>26</v>
      </c>
      <c r="K1008" s="10">
        <f>IF(F1008&gt;0,H1008/F1008,"")</f>
        <v/>
      </c>
      <c r="L1008" s="16">
        <f>IF(AND(G1008&gt;0,H1008&gt;0),G1008/H1008,"")</f>
        <v/>
      </c>
    </row>
    <row r="1009">
      <c r="A1009" s="4" t="inlineStr">
        <is>
          <t>530</t>
        </is>
      </c>
      <c r="B1009" s="4" t="n">
        <v>5</v>
      </c>
      <c r="C1009" s="4" t="inlineStr">
        <is>
          <t>antelope</t>
        </is>
      </c>
      <c r="D1009" s="4" t="n">
        <v>2016</v>
      </c>
      <c r="E1009" s="4" t="inlineStr"/>
      <c r="F1009" s="5" t="n"/>
      <c r="G1009" s="5" t="n"/>
      <c r="H1009" s="5" t="n">
        <v>81</v>
      </c>
      <c r="I1009" s="5" t="n">
        <v>63</v>
      </c>
      <c r="J1009" s="5" t="n">
        <v>18</v>
      </c>
      <c r="K1009" s="10">
        <f>IF(F1009&gt;0,H1009/F1009,"")</f>
        <v/>
      </c>
      <c r="L1009" s="16">
        <f>IF(AND(G1009&gt;0,H1009&gt;0),G1009/H1009,"")</f>
        <v/>
      </c>
    </row>
    <row r="1010">
      <c r="A1010" s="4" t="inlineStr">
        <is>
          <t>530</t>
        </is>
      </c>
      <c r="B1010" s="4" t="n">
        <v>5</v>
      </c>
      <c r="C1010" s="4" t="inlineStr">
        <is>
          <t>antelope</t>
        </is>
      </c>
      <c r="D1010" s="4" t="n">
        <v>2017</v>
      </c>
      <c r="E1010" s="4" t="inlineStr"/>
      <c r="F1010" s="5" t="n"/>
      <c r="G1010" s="5" t="n"/>
      <c r="H1010" s="5" t="n">
        <v>119</v>
      </c>
      <c r="I1010" s="5" t="n">
        <v>103</v>
      </c>
      <c r="J1010" s="5" t="n">
        <v>16</v>
      </c>
      <c r="K1010" s="10">
        <f>IF(F1010&gt;0,H1010/F1010,"")</f>
        <v/>
      </c>
      <c r="L1010" s="16">
        <f>IF(AND(G1010&gt;0,H1010&gt;0),G1010/H1010,"")</f>
        <v/>
      </c>
    </row>
    <row r="1011">
      <c r="A1011" s="4" t="inlineStr">
        <is>
          <t>530</t>
        </is>
      </c>
      <c r="B1011" s="4" t="n">
        <v>5</v>
      </c>
      <c r="C1011" s="4" t="inlineStr">
        <is>
          <t>antelope</t>
        </is>
      </c>
      <c r="D1011" s="4" t="n">
        <v>2018</v>
      </c>
      <c r="E1011" s="4" t="inlineStr"/>
      <c r="F1011" s="5" t="n">
        <v>122</v>
      </c>
      <c r="G1011" s="5" t="n">
        <v>500</v>
      </c>
      <c r="H1011" s="5" t="n">
        <v>118</v>
      </c>
      <c r="I1011" s="5" t="n">
        <v>109</v>
      </c>
      <c r="J1011" s="5" t="n">
        <v>9</v>
      </c>
      <c r="K1011" s="10">
        <f>IF(F1011&gt;0,H1011/F1011,"")</f>
        <v/>
      </c>
      <c r="L1011" s="16">
        <f>IF(AND(G1011&gt;0,H1011&gt;0),G1011/H1011,"")</f>
        <v/>
      </c>
    </row>
    <row r="1012">
      <c r="A1012" s="4" t="inlineStr">
        <is>
          <t>530</t>
        </is>
      </c>
      <c r="B1012" s="4" t="n">
        <v>5</v>
      </c>
      <c r="C1012" s="4" t="inlineStr">
        <is>
          <t>antelope</t>
        </is>
      </c>
      <c r="D1012" s="4" t="n">
        <v>2019</v>
      </c>
      <c r="E1012" s="4" t="inlineStr"/>
      <c r="F1012" s="5" t="n"/>
      <c r="G1012" s="5" t="n"/>
      <c r="H1012" s="5" t="n">
        <v>128</v>
      </c>
      <c r="I1012" s="5" t="n">
        <v>114</v>
      </c>
      <c r="J1012" s="5" t="n">
        <v>14</v>
      </c>
      <c r="K1012" s="10">
        <f>IF(F1012&gt;0,H1012/F1012,"")</f>
        <v/>
      </c>
      <c r="L1012" s="16">
        <f>IF(AND(G1012&gt;0,H1012&gt;0),G1012/H1012,"")</f>
        <v/>
      </c>
    </row>
    <row r="1013">
      <c r="A1013" s="4" t="inlineStr">
        <is>
          <t>530</t>
        </is>
      </c>
      <c r="B1013" s="4" t="n">
        <v>5</v>
      </c>
      <c r="C1013" s="4" t="inlineStr">
        <is>
          <t>antelope</t>
        </is>
      </c>
      <c r="D1013" s="4" t="n">
        <v>2020</v>
      </c>
      <c r="E1013" s="4" t="inlineStr"/>
      <c r="F1013" s="5" t="n">
        <v>214</v>
      </c>
      <c r="G1013" s="5" t="n">
        <v>726</v>
      </c>
      <c r="H1013" s="5" t="n">
        <v>127</v>
      </c>
      <c r="I1013" s="5" t="n">
        <v>103</v>
      </c>
      <c r="J1013" s="5" t="n">
        <v>23</v>
      </c>
      <c r="K1013" s="10">
        <f>IF(F1013&gt;0,H1013/F1013,"")</f>
        <v/>
      </c>
      <c r="L1013" s="16">
        <f>IF(AND(G1013&gt;0,H1013&gt;0),G1013/H1013,"")</f>
        <v/>
      </c>
    </row>
    <row r="1014">
      <c r="A1014" s="4" t="inlineStr">
        <is>
          <t>530</t>
        </is>
      </c>
      <c r="B1014" s="4" t="n">
        <v>5</v>
      </c>
      <c r="C1014" s="4" t="inlineStr">
        <is>
          <t>antelope</t>
        </is>
      </c>
      <c r="D1014" s="4" t="n">
        <v>2021</v>
      </c>
      <c r="E1014" s="4" t="inlineStr"/>
      <c r="F1014" s="5" t="n"/>
      <c r="G1014" s="5" t="n"/>
      <c r="H1014" s="5" t="n">
        <v>128</v>
      </c>
      <c r="I1014" s="5" t="n">
        <v>107</v>
      </c>
      <c r="J1014" s="5" t="n">
        <v>21</v>
      </c>
      <c r="K1014" s="10">
        <f>IF(F1014&gt;0,H1014/F1014,"")</f>
        <v/>
      </c>
      <c r="L1014" s="16">
        <f>IF(AND(G1014&gt;0,H1014&gt;0),G1014/H1014,"")</f>
        <v/>
      </c>
    </row>
    <row r="1015">
      <c r="A1015" s="4" t="inlineStr">
        <is>
          <t>536</t>
        </is>
      </c>
      <c r="B1015" s="4" t="n">
        <v>5</v>
      </c>
      <c r="C1015" s="4" t="inlineStr">
        <is>
          <t>antelope</t>
        </is>
      </c>
      <c r="D1015" s="4" t="n">
        <v>2022</v>
      </c>
      <c r="E1015" s="15" t="inlineStr">
        <is>
          <t>Draw</t>
        </is>
      </c>
      <c r="F1015" s="5" t="n">
        <v>321</v>
      </c>
      <c r="G1015" s="5" t="n">
        <v>930</v>
      </c>
      <c r="H1015" s="5" t="n">
        <v>181</v>
      </c>
      <c r="I1015" s="5" t="n">
        <v>159</v>
      </c>
      <c r="J1015" s="5" t="n">
        <v>22</v>
      </c>
      <c r="K1015" s="10">
        <f>IF(F1015&gt;0,H1015/F1015,"")</f>
        <v/>
      </c>
      <c r="L1015" s="16">
        <f>IF(AND(G1015&gt;0,H1015&gt;0),G1015/H1015,"")</f>
        <v/>
      </c>
    </row>
    <row r="1016">
      <c r="A1016" s="4" t="inlineStr">
        <is>
          <t>536</t>
        </is>
      </c>
      <c r="B1016" s="4" t="n">
        <v>5</v>
      </c>
      <c r="C1016" s="4" t="inlineStr">
        <is>
          <t>antelope</t>
        </is>
      </c>
      <c r="D1016" s="4" t="n">
        <v>2023</v>
      </c>
      <c r="E1016" s="15" t="inlineStr">
        <is>
          <t>Draw</t>
        </is>
      </c>
      <c r="F1016" s="5" t="n"/>
      <c r="G1016" s="5" t="n"/>
      <c r="H1016" s="5" t="n">
        <v>178</v>
      </c>
      <c r="I1016" s="5" t="n">
        <v>164</v>
      </c>
      <c r="J1016" s="5" t="n">
        <v>15</v>
      </c>
      <c r="K1016" s="10">
        <f>IF(F1016&gt;0,H1016/F1016,"")</f>
        <v/>
      </c>
      <c r="L1016" s="16">
        <f>IF(AND(G1016&gt;0,H1016&gt;0),G1016/H1016,"")</f>
        <v/>
      </c>
    </row>
    <row r="1017">
      <c r="A1017" s="4" t="inlineStr">
        <is>
          <t>536</t>
        </is>
      </c>
      <c r="B1017" s="4" t="n">
        <v>5</v>
      </c>
      <c r="C1017" s="4" t="inlineStr">
        <is>
          <t>antelope</t>
        </is>
      </c>
      <c r="D1017" s="4" t="n">
        <v>2024</v>
      </c>
      <c r="E1017" s="15" t="inlineStr">
        <is>
          <t>Draw</t>
        </is>
      </c>
      <c r="F1017" s="5" t="n">
        <v>303</v>
      </c>
      <c r="G1017" s="5" t="n">
        <v>1233</v>
      </c>
      <c r="H1017" s="5" t="n">
        <v>188</v>
      </c>
      <c r="I1017" s="5" t="n">
        <v>174</v>
      </c>
      <c r="J1017" s="5" t="n">
        <v>14</v>
      </c>
      <c r="K1017" s="10">
        <f>IF(F1017&gt;0,H1017/F1017,"")</f>
        <v/>
      </c>
      <c r="L1017" s="16">
        <f>IF(AND(G1017&gt;0,H1017&gt;0),G1017/H1017,"")</f>
        <v/>
      </c>
    </row>
    <row r="1018">
      <c r="A1018" s="4" t="inlineStr">
        <is>
          <t>536</t>
        </is>
      </c>
      <c r="B1018" s="4" t="n">
        <v>5</v>
      </c>
      <c r="C1018" s="4" t="inlineStr">
        <is>
          <t>antelope</t>
        </is>
      </c>
      <c r="D1018" s="4" t="n">
        <v>2025</v>
      </c>
      <c r="E1018" s="15" t="inlineStr">
        <is>
          <t>Draw</t>
        </is>
      </c>
      <c r="F1018" s="5" t="n"/>
      <c r="G1018" s="5" t="n"/>
      <c r="H1018" s="5" t="n">
        <v>198</v>
      </c>
      <c r="I1018" s="5" t="n">
        <v>165</v>
      </c>
      <c r="J1018" s="5" t="n">
        <v>33</v>
      </c>
      <c r="K1018" s="10">
        <f>IF(F1018&gt;0,H1018/F1018,"")</f>
        <v/>
      </c>
      <c r="L1018" s="16">
        <f>IF(AND(G1018&gt;0,H1018&gt;0),G1018/H1018,"")</f>
        <v/>
      </c>
    </row>
    <row r="1019">
      <c r="A1019" s="4" t="inlineStr">
        <is>
          <t>540</t>
        </is>
      </c>
      <c r="B1019" s="4" t="n">
        <v>5</v>
      </c>
      <c r="C1019" s="4" t="inlineStr">
        <is>
          <t>antelope</t>
        </is>
      </c>
      <c r="D1019" s="4" t="n">
        <v>2004</v>
      </c>
      <c r="E1019" s="4" t="inlineStr"/>
      <c r="F1019" s="5" t="n">
        <v>347</v>
      </c>
      <c r="G1019" s="5" t="n">
        <v>919</v>
      </c>
      <c r="H1019" s="5" t="n">
        <v>173</v>
      </c>
      <c r="I1019" s="5" t="n">
        <v>119</v>
      </c>
      <c r="J1019" s="5" t="n">
        <v>54</v>
      </c>
      <c r="K1019" s="10">
        <f>IF(F1019&gt;0,H1019/F1019,"")</f>
        <v/>
      </c>
      <c r="L1019" s="16">
        <f>IF(AND(G1019&gt;0,H1019&gt;0),G1019/H1019,"")</f>
        <v/>
      </c>
    </row>
    <row r="1020">
      <c r="A1020" s="4" t="inlineStr">
        <is>
          <t>540</t>
        </is>
      </c>
      <c r="B1020" s="4" t="n">
        <v>5</v>
      </c>
      <c r="C1020" s="4" t="inlineStr">
        <is>
          <t>antelope</t>
        </is>
      </c>
      <c r="D1020" s="4" t="n">
        <v>2005</v>
      </c>
      <c r="E1020" s="4" t="inlineStr"/>
      <c r="F1020" s="5" t="n">
        <v>304</v>
      </c>
      <c r="G1020" s="5" t="n">
        <v>830</v>
      </c>
      <c r="H1020" s="5" t="n">
        <v>157</v>
      </c>
      <c r="I1020" s="5" t="n">
        <v>124</v>
      </c>
      <c r="J1020" s="5" t="n">
        <v>28</v>
      </c>
      <c r="K1020" s="10">
        <f>IF(F1020&gt;0,H1020/F1020,"")</f>
        <v/>
      </c>
      <c r="L1020" s="16">
        <f>IF(AND(G1020&gt;0,H1020&gt;0),G1020/H1020,"")</f>
        <v/>
      </c>
    </row>
    <row r="1021">
      <c r="A1021" s="4" t="inlineStr">
        <is>
          <t>540</t>
        </is>
      </c>
      <c r="B1021" s="4" t="n">
        <v>5</v>
      </c>
      <c r="C1021" s="4" t="inlineStr">
        <is>
          <t>antelope</t>
        </is>
      </c>
      <c r="D1021" s="4" t="n">
        <v>2006</v>
      </c>
      <c r="E1021" s="4" t="inlineStr"/>
      <c r="F1021" s="5" t="n">
        <v>276</v>
      </c>
      <c r="G1021" s="5" t="n">
        <v>905</v>
      </c>
      <c r="H1021" s="5" t="n">
        <v>156</v>
      </c>
      <c r="I1021" s="5" t="n">
        <v>97</v>
      </c>
      <c r="J1021" s="5" t="n">
        <v>58</v>
      </c>
      <c r="K1021" s="10">
        <f>IF(F1021&gt;0,H1021/F1021,"")</f>
        <v/>
      </c>
      <c r="L1021" s="16">
        <f>IF(AND(G1021&gt;0,H1021&gt;0),G1021/H1021,"")</f>
        <v/>
      </c>
    </row>
    <row r="1022">
      <c r="A1022" s="4" t="inlineStr">
        <is>
          <t>540</t>
        </is>
      </c>
      <c r="B1022" s="4" t="n">
        <v>5</v>
      </c>
      <c r="C1022" s="4" t="inlineStr">
        <is>
          <t>antelope</t>
        </is>
      </c>
      <c r="D1022" s="4" t="n">
        <v>2007</v>
      </c>
      <c r="E1022" s="4" t="inlineStr"/>
      <c r="F1022" s="5" t="n">
        <v>247</v>
      </c>
      <c r="G1022" s="5" t="n">
        <v>813</v>
      </c>
      <c r="H1022" s="5" t="n">
        <v>127</v>
      </c>
      <c r="I1022" s="5" t="n">
        <v>75</v>
      </c>
      <c r="J1022" s="5" t="n">
        <v>49</v>
      </c>
      <c r="K1022" s="10">
        <f>IF(F1022&gt;0,H1022/F1022,"")</f>
        <v/>
      </c>
      <c r="L1022" s="16">
        <f>IF(AND(G1022&gt;0,H1022&gt;0),G1022/H1022,"")</f>
        <v/>
      </c>
    </row>
    <row r="1023">
      <c r="A1023" s="4" t="inlineStr">
        <is>
          <t>540</t>
        </is>
      </c>
      <c r="B1023" s="4" t="n">
        <v>5</v>
      </c>
      <c r="C1023" s="4" t="inlineStr">
        <is>
          <t>antelope</t>
        </is>
      </c>
      <c r="D1023" s="4" t="n">
        <v>2008</v>
      </c>
      <c r="E1023" s="4" t="inlineStr"/>
      <c r="F1023" s="5" t="n">
        <v>262</v>
      </c>
      <c r="G1023" s="5" t="n">
        <v>857</v>
      </c>
      <c r="H1023" s="5" t="n">
        <v>123</v>
      </c>
      <c r="I1023" s="5" t="n">
        <v>82</v>
      </c>
      <c r="J1023" s="5" t="n">
        <v>42</v>
      </c>
      <c r="K1023" s="10">
        <f>IF(F1023&gt;0,H1023/F1023,"")</f>
        <v/>
      </c>
      <c r="L1023" s="16">
        <f>IF(AND(G1023&gt;0,H1023&gt;0),G1023/H1023,"")</f>
        <v/>
      </c>
    </row>
    <row r="1024">
      <c r="A1024" s="4" t="inlineStr">
        <is>
          <t>540</t>
        </is>
      </c>
      <c r="B1024" s="4" t="n">
        <v>5</v>
      </c>
      <c r="C1024" s="4" t="inlineStr">
        <is>
          <t>antelope</t>
        </is>
      </c>
      <c r="D1024" s="4" t="n">
        <v>2009</v>
      </c>
      <c r="E1024" s="4" t="inlineStr"/>
      <c r="F1024" s="5" t="n">
        <v>204</v>
      </c>
      <c r="G1024" s="5" t="n">
        <v>596</v>
      </c>
      <c r="H1024" s="5" t="n">
        <v>92</v>
      </c>
      <c r="I1024" s="5" t="n">
        <v>58</v>
      </c>
      <c r="J1024" s="5" t="n">
        <v>34</v>
      </c>
      <c r="K1024" s="10">
        <f>IF(F1024&gt;0,H1024/F1024,"")</f>
        <v/>
      </c>
      <c r="L1024" s="16">
        <f>IF(AND(G1024&gt;0,H1024&gt;0),G1024/H1024,"")</f>
        <v/>
      </c>
    </row>
    <row r="1025">
      <c r="A1025" s="4" t="inlineStr">
        <is>
          <t>540</t>
        </is>
      </c>
      <c r="B1025" s="4" t="n">
        <v>5</v>
      </c>
      <c r="C1025" s="4" t="inlineStr">
        <is>
          <t>antelope</t>
        </is>
      </c>
      <c r="D1025" s="4" t="n">
        <v>2010</v>
      </c>
      <c r="E1025" s="4" t="inlineStr"/>
      <c r="F1025" s="5" t="n">
        <v>121</v>
      </c>
      <c r="G1025" s="5" t="n">
        <v>452</v>
      </c>
      <c r="H1025" s="5" t="n">
        <v>62</v>
      </c>
      <c r="I1025" s="5" t="n">
        <v>42</v>
      </c>
      <c r="J1025" s="5" t="n">
        <v>20</v>
      </c>
      <c r="K1025" s="10">
        <f>IF(F1025&gt;0,H1025/F1025,"")</f>
        <v/>
      </c>
      <c r="L1025" s="16">
        <f>IF(AND(G1025&gt;0,H1025&gt;0),G1025/H1025,"")</f>
        <v/>
      </c>
    </row>
    <row r="1026">
      <c r="A1026" s="4" t="inlineStr">
        <is>
          <t>540</t>
        </is>
      </c>
      <c r="B1026" s="4" t="n">
        <v>5</v>
      </c>
      <c r="C1026" s="4" t="inlineStr">
        <is>
          <t>antelope</t>
        </is>
      </c>
      <c r="D1026" s="4" t="n">
        <v>2011</v>
      </c>
      <c r="E1026" s="4" t="inlineStr"/>
      <c r="F1026" s="5" t="n">
        <v>130</v>
      </c>
      <c r="G1026" s="5" t="n">
        <v>515</v>
      </c>
      <c r="H1026" s="5" t="n">
        <v>43</v>
      </c>
      <c r="I1026" s="5" t="n">
        <v>33</v>
      </c>
      <c r="J1026" s="5" t="n">
        <v>10</v>
      </c>
      <c r="K1026" s="10">
        <f>IF(F1026&gt;0,H1026/F1026,"")</f>
        <v/>
      </c>
      <c r="L1026" s="16">
        <f>IF(AND(G1026&gt;0,H1026&gt;0),G1026/H1026,"")</f>
        <v/>
      </c>
    </row>
    <row r="1027">
      <c r="A1027" s="4" t="inlineStr">
        <is>
          <t>540</t>
        </is>
      </c>
      <c r="B1027" s="4" t="n">
        <v>5</v>
      </c>
      <c r="C1027" s="4" t="inlineStr">
        <is>
          <t>antelope</t>
        </is>
      </c>
      <c r="D1027" s="4" t="n">
        <v>2012</v>
      </c>
      <c r="E1027" s="4" t="inlineStr"/>
      <c r="F1027" s="5" t="n">
        <v>139</v>
      </c>
      <c r="G1027" s="5" t="n">
        <v>524</v>
      </c>
      <c r="H1027" s="5" t="n">
        <v>60</v>
      </c>
      <c r="I1027" s="5" t="n">
        <v>49</v>
      </c>
      <c r="J1027" s="5" t="n">
        <v>10</v>
      </c>
      <c r="K1027" s="10">
        <f>IF(F1027&gt;0,H1027/F1027,"")</f>
        <v/>
      </c>
      <c r="L1027" s="16">
        <f>IF(AND(G1027&gt;0,H1027&gt;0),G1027/H1027,"")</f>
        <v/>
      </c>
    </row>
    <row r="1028">
      <c r="A1028" s="4" t="inlineStr">
        <is>
          <t>540</t>
        </is>
      </c>
      <c r="B1028" s="4" t="n">
        <v>5</v>
      </c>
      <c r="C1028" s="4" t="inlineStr">
        <is>
          <t>antelope</t>
        </is>
      </c>
      <c r="D1028" s="4" t="n">
        <v>2013</v>
      </c>
      <c r="E1028" s="4" t="inlineStr"/>
      <c r="F1028" s="5" t="n"/>
      <c r="G1028" s="5" t="n"/>
      <c r="H1028" s="5" t="n">
        <v>51</v>
      </c>
      <c r="I1028" s="5" t="n">
        <v>38</v>
      </c>
      <c r="J1028" s="5" t="n">
        <v>13</v>
      </c>
      <c r="K1028" s="10">
        <f>IF(F1028&gt;0,H1028/F1028,"")</f>
        <v/>
      </c>
      <c r="L1028" s="16">
        <f>IF(AND(G1028&gt;0,H1028&gt;0),G1028/H1028,"")</f>
        <v/>
      </c>
    </row>
    <row r="1029">
      <c r="A1029" s="4" t="inlineStr">
        <is>
          <t>540</t>
        </is>
      </c>
      <c r="B1029" s="4" t="n">
        <v>5</v>
      </c>
      <c r="C1029" s="4" t="inlineStr">
        <is>
          <t>antelope</t>
        </is>
      </c>
      <c r="D1029" s="4" t="n">
        <v>2014</v>
      </c>
      <c r="E1029" s="4" t="inlineStr"/>
      <c r="F1029" s="5" t="n">
        <v>132</v>
      </c>
      <c r="G1029" s="5" t="n">
        <v>630</v>
      </c>
      <c r="H1029" s="5" t="n">
        <v>54</v>
      </c>
      <c r="I1029" s="5" t="n">
        <v>33</v>
      </c>
      <c r="J1029" s="5" t="n">
        <v>19</v>
      </c>
      <c r="K1029" s="10">
        <f>IF(F1029&gt;0,H1029/F1029,"")</f>
        <v/>
      </c>
      <c r="L1029" s="16">
        <f>IF(AND(G1029&gt;0,H1029&gt;0),G1029/H1029,"")</f>
        <v/>
      </c>
    </row>
    <row r="1030">
      <c r="A1030" s="4" t="inlineStr">
        <is>
          <t>540</t>
        </is>
      </c>
      <c r="B1030" s="4" t="n">
        <v>5</v>
      </c>
      <c r="C1030" s="4" t="inlineStr">
        <is>
          <t>antelope</t>
        </is>
      </c>
      <c r="D1030" s="4" t="n">
        <v>2015</v>
      </c>
      <c r="E1030" s="4" t="inlineStr"/>
      <c r="F1030" s="5" t="n">
        <v>179</v>
      </c>
      <c r="G1030" s="5" t="n">
        <v>685</v>
      </c>
      <c r="H1030" s="5" t="n">
        <v>100</v>
      </c>
      <c r="I1030" s="5" t="n">
        <v>60</v>
      </c>
      <c r="J1030" s="5" t="n">
        <v>38</v>
      </c>
      <c r="K1030" s="10">
        <f>IF(F1030&gt;0,H1030/F1030,"")</f>
        <v/>
      </c>
      <c r="L1030" s="16">
        <f>IF(AND(G1030&gt;0,H1030&gt;0),G1030/H1030,"")</f>
        <v/>
      </c>
    </row>
    <row r="1031">
      <c r="A1031" s="4" t="inlineStr">
        <is>
          <t>540</t>
        </is>
      </c>
      <c r="B1031" s="4" t="n">
        <v>5</v>
      </c>
      <c r="C1031" s="4" t="inlineStr">
        <is>
          <t>antelope</t>
        </is>
      </c>
      <c r="D1031" s="4" t="n">
        <v>2016</v>
      </c>
      <c r="E1031" s="4" t="inlineStr"/>
      <c r="F1031" s="5" t="n"/>
      <c r="G1031" s="5" t="n"/>
      <c r="H1031" s="5" t="n">
        <v>115</v>
      </c>
      <c r="I1031" s="5" t="n">
        <v>86</v>
      </c>
      <c r="J1031" s="5" t="n">
        <v>29</v>
      </c>
      <c r="K1031" s="10">
        <f>IF(F1031&gt;0,H1031/F1031,"")</f>
        <v/>
      </c>
      <c r="L1031" s="16">
        <f>IF(AND(G1031&gt;0,H1031&gt;0),G1031/H1031,"")</f>
        <v/>
      </c>
    </row>
    <row r="1032">
      <c r="A1032" s="4" t="inlineStr">
        <is>
          <t>540</t>
        </is>
      </c>
      <c r="B1032" s="4" t="n">
        <v>5</v>
      </c>
      <c r="C1032" s="4" t="inlineStr">
        <is>
          <t>antelope</t>
        </is>
      </c>
      <c r="D1032" s="4" t="n">
        <v>2017</v>
      </c>
      <c r="E1032" s="4" t="inlineStr"/>
      <c r="F1032" s="5" t="n"/>
      <c r="G1032" s="5" t="n"/>
      <c r="H1032" s="5" t="n">
        <v>141</v>
      </c>
      <c r="I1032" s="5" t="n">
        <v>88</v>
      </c>
      <c r="J1032" s="5" t="n">
        <v>52</v>
      </c>
      <c r="K1032" s="10">
        <f>IF(F1032&gt;0,H1032/F1032,"")</f>
        <v/>
      </c>
      <c r="L1032" s="16">
        <f>IF(AND(G1032&gt;0,H1032&gt;0),G1032/H1032,"")</f>
        <v/>
      </c>
    </row>
    <row r="1033">
      <c r="A1033" s="4" t="inlineStr">
        <is>
          <t>540</t>
        </is>
      </c>
      <c r="B1033" s="4" t="n">
        <v>5</v>
      </c>
      <c r="C1033" s="4" t="inlineStr">
        <is>
          <t>antelope</t>
        </is>
      </c>
      <c r="D1033" s="4" t="n">
        <v>2018</v>
      </c>
      <c r="E1033" s="4" t="inlineStr"/>
      <c r="F1033" s="5" t="n">
        <v>302</v>
      </c>
      <c r="G1033" s="5" t="n">
        <v>2258</v>
      </c>
      <c r="H1033" s="5" t="n">
        <v>161</v>
      </c>
      <c r="I1033" s="5" t="n">
        <v>117</v>
      </c>
      <c r="J1033" s="5" t="n">
        <v>44</v>
      </c>
      <c r="K1033" s="10">
        <f>IF(F1033&gt;0,H1033/F1033,"")</f>
        <v/>
      </c>
      <c r="L1033" s="16">
        <f>IF(AND(G1033&gt;0,H1033&gt;0),G1033/H1033,"")</f>
        <v/>
      </c>
    </row>
    <row r="1034">
      <c r="A1034" s="4" t="inlineStr">
        <is>
          <t>540</t>
        </is>
      </c>
      <c r="B1034" s="4" t="n">
        <v>5</v>
      </c>
      <c r="C1034" s="4" t="inlineStr">
        <is>
          <t>antelope</t>
        </is>
      </c>
      <c r="D1034" s="4" t="n">
        <v>2019</v>
      </c>
      <c r="E1034" s="4" t="inlineStr"/>
      <c r="F1034" s="5" t="n"/>
      <c r="G1034" s="5" t="n"/>
      <c r="H1034" s="5" t="n">
        <v>208</v>
      </c>
      <c r="I1034" s="5" t="n">
        <v>136</v>
      </c>
      <c r="J1034" s="5" t="n">
        <v>67</v>
      </c>
      <c r="K1034" s="10">
        <f>IF(F1034&gt;0,H1034/F1034,"")</f>
        <v/>
      </c>
      <c r="L1034" s="16">
        <f>IF(AND(G1034&gt;0,H1034&gt;0),G1034/H1034,"")</f>
        <v/>
      </c>
    </row>
    <row r="1035">
      <c r="A1035" s="4" t="inlineStr">
        <is>
          <t>540</t>
        </is>
      </c>
      <c r="B1035" s="4" t="n">
        <v>5</v>
      </c>
      <c r="C1035" s="4" t="inlineStr">
        <is>
          <t>antelope</t>
        </is>
      </c>
      <c r="D1035" s="4" t="n">
        <v>2020</v>
      </c>
      <c r="E1035" s="4" t="inlineStr"/>
      <c r="F1035" s="5" t="n">
        <v>233</v>
      </c>
      <c r="G1035" s="5" t="n">
        <v>1197</v>
      </c>
      <c r="H1035" s="5" t="n">
        <v>139</v>
      </c>
      <c r="I1035" s="5" t="n">
        <v>98</v>
      </c>
      <c r="J1035" s="5" t="n">
        <v>39</v>
      </c>
      <c r="K1035" s="10">
        <f>IF(F1035&gt;0,H1035/F1035,"")</f>
        <v/>
      </c>
      <c r="L1035" s="16">
        <f>IF(AND(G1035&gt;0,H1035&gt;0),G1035/H1035,"")</f>
        <v/>
      </c>
    </row>
    <row r="1036">
      <c r="A1036" s="4" t="inlineStr">
        <is>
          <t>540</t>
        </is>
      </c>
      <c r="B1036" s="4" t="n">
        <v>5</v>
      </c>
      <c r="C1036" s="4" t="inlineStr">
        <is>
          <t>antelope</t>
        </is>
      </c>
      <c r="D1036" s="4" t="n">
        <v>2021</v>
      </c>
      <c r="E1036" s="4" t="inlineStr"/>
      <c r="F1036" s="5" t="n"/>
      <c r="G1036" s="5" t="n"/>
      <c r="H1036" s="5" t="n">
        <v>103</v>
      </c>
      <c r="I1036" s="5" t="n">
        <v>63</v>
      </c>
      <c r="J1036" s="5" t="n">
        <v>40</v>
      </c>
      <c r="K1036" s="10">
        <f>IF(F1036&gt;0,H1036/F1036,"")</f>
        <v/>
      </c>
      <c r="L1036" s="16">
        <f>IF(AND(G1036&gt;0,H1036&gt;0),G1036/H1036,"")</f>
        <v/>
      </c>
    </row>
    <row r="1037">
      <c r="A1037" s="4" t="inlineStr">
        <is>
          <t>546</t>
        </is>
      </c>
      <c r="B1037" s="4" t="n">
        <v>5</v>
      </c>
      <c r="C1037" s="4" t="inlineStr">
        <is>
          <t>antelope</t>
        </is>
      </c>
      <c r="D1037" s="4" t="n">
        <v>2022</v>
      </c>
      <c r="E1037" s="15" t="inlineStr">
        <is>
          <t>Draw</t>
        </is>
      </c>
      <c r="F1037" s="5" t="n">
        <v>294</v>
      </c>
      <c r="G1037" s="5" t="n">
        <v>812</v>
      </c>
      <c r="H1037" s="5" t="n">
        <v>194</v>
      </c>
      <c r="I1037" s="5" t="n">
        <v>140</v>
      </c>
      <c r="J1037" s="5" t="n">
        <v>54</v>
      </c>
      <c r="K1037" s="10">
        <f>IF(F1037&gt;0,H1037/F1037,"")</f>
        <v/>
      </c>
      <c r="L1037" s="16">
        <f>IF(AND(G1037&gt;0,H1037&gt;0),G1037/H1037,"")</f>
        <v/>
      </c>
    </row>
    <row r="1038">
      <c r="A1038" s="4" t="inlineStr">
        <is>
          <t>546</t>
        </is>
      </c>
      <c r="B1038" s="4" t="n">
        <v>5</v>
      </c>
      <c r="C1038" s="4" t="inlineStr">
        <is>
          <t>antelope</t>
        </is>
      </c>
      <c r="D1038" s="4" t="n">
        <v>2023</v>
      </c>
      <c r="E1038" s="15" t="inlineStr">
        <is>
          <t>Draw</t>
        </is>
      </c>
      <c r="F1038" s="5" t="n"/>
      <c r="G1038" s="5" t="n"/>
      <c r="H1038" s="5" t="n">
        <v>204</v>
      </c>
      <c r="I1038" s="5" t="n">
        <v>162</v>
      </c>
      <c r="J1038" s="5" t="n">
        <v>39</v>
      </c>
      <c r="K1038" s="10">
        <f>IF(F1038&gt;0,H1038/F1038,"")</f>
        <v/>
      </c>
      <c r="L1038" s="16">
        <f>IF(AND(G1038&gt;0,H1038&gt;0),G1038/H1038,"")</f>
        <v/>
      </c>
    </row>
    <row r="1039">
      <c r="A1039" s="4" t="inlineStr">
        <is>
          <t>546</t>
        </is>
      </c>
      <c r="B1039" s="4" t="n">
        <v>5</v>
      </c>
      <c r="C1039" s="4" t="inlineStr">
        <is>
          <t>antelope</t>
        </is>
      </c>
      <c r="D1039" s="4" t="n">
        <v>2024</v>
      </c>
      <c r="E1039" s="15" t="inlineStr">
        <is>
          <t>Draw</t>
        </is>
      </c>
      <c r="F1039" s="5" t="n">
        <v>335</v>
      </c>
      <c r="G1039" s="5" t="n">
        <v>1038</v>
      </c>
      <c r="H1039" s="5" t="n">
        <v>220</v>
      </c>
      <c r="I1039" s="5" t="n">
        <v>153</v>
      </c>
      <c r="J1039" s="5" t="n">
        <v>62</v>
      </c>
      <c r="K1039" s="10">
        <f>IF(F1039&gt;0,H1039/F1039,"")</f>
        <v/>
      </c>
      <c r="L1039" s="16">
        <f>IF(AND(G1039&gt;0,H1039&gt;0),G1039/H1039,"")</f>
        <v/>
      </c>
    </row>
    <row r="1040">
      <c r="A1040" s="4" t="inlineStr">
        <is>
          <t>546</t>
        </is>
      </c>
      <c r="B1040" s="4" t="n">
        <v>5</v>
      </c>
      <c r="C1040" s="4" t="inlineStr">
        <is>
          <t>antelope</t>
        </is>
      </c>
      <c r="D1040" s="4" t="n">
        <v>2025</v>
      </c>
      <c r="E1040" s="15" t="inlineStr">
        <is>
          <t>Draw</t>
        </is>
      </c>
      <c r="F1040" s="5" t="n"/>
      <c r="G1040" s="5" t="n"/>
      <c r="H1040" s="5" t="n">
        <v>282</v>
      </c>
      <c r="I1040" s="5" t="n">
        <v>187</v>
      </c>
      <c r="J1040" s="5" t="n">
        <v>96</v>
      </c>
      <c r="K1040" s="10">
        <f>IF(F1040&gt;0,H1040/F1040,"")</f>
        <v/>
      </c>
      <c r="L1040" s="16">
        <f>IF(AND(G1040&gt;0,H1040&gt;0),G1040/H1040,"")</f>
        <v/>
      </c>
    </row>
    <row r="1041">
      <c r="A1041" s="4" t="inlineStr">
        <is>
          <t>550</t>
        </is>
      </c>
      <c r="B1041" s="4" t="n">
        <v>5</v>
      </c>
      <c r="C1041" s="4" t="inlineStr">
        <is>
          <t>antelope</t>
        </is>
      </c>
      <c r="D1041" s="4" t="n">
        <v>2004</v>
      </c>
      <c r="E1041" s="4" t="inlineStr"/>
      <c r="F1041" s="5" t="n">
        <v>358</v>
      </c>
      <c r="G1041" s="5" t="n">
        <v>1110</v>
      </c>
      <c r="H1041" s="5" t="n">
        <v>308</v>
      </c>
      <c r="I1041" s="5" t="n">
        <v>140</v>
      </c>
      <c r="J1041" s="5" t="n">
        <v>151</v>
      </c>
      <c r="K1041" s="10">
        <f>IF(F1041&gt;0,H1041/F1041,"")</f>
        <v/>
      </c>
      <c r="L1041" s="16">
        <f>IF(AND(G1041&gt;0,H1041&gt;0),G1041/H1041,"")</f>
        <v/>
      </c>
    </row>
    <row r="1042">
      <c r="A1042" s="4" t="inlineStr">
        <is>
          <t>550</t>
        </is>
      </c>
      <c r="B1042" s="4" t="n">
        <v>5</v>
      </c>
      <c r="C1042" s="4" t="inlineStr">
        <is>
          <t>antelope</t>
        </is>
      </c>
      <c r="D1042" s="4" t="n">
        <v>2005</v>
      </c>
      <c r="E1042" s="4" t="inlineStr"/>
      <c r="F1042" s="5" t="n">
        <v>336</v>
      </c>
      <c r="G1042" s="5" t="n">
        <v>1177</v>
      </c>
      <c r="H1042" s="5" t="n">
        <v>152</v>
      </c>
      <c r="I1042" s="5" t="n">
        <v>107</v>
      </c>
      <c r="J1042" s="5" t="n">
        <v>40</v>
      </c>
      <c r="K1042" s="10">
        <f>IF(F1042&gt;0,H1042/F1042,"")</f>
        <v/>
      </c>
      <c r="L1042" s="16">
        <f>IF(AND(G1042&gt;0,H1042&gt;0),G1042/H1042,"")</f>
        <v/>
      </c>
    </row>
    <row r="1043">
      <c r="A1043" s="4" t="inlineStr">
        <is>
          <t>550</t>
        </is>
      </c>
      <c r="B1043" s="4" t="n">
        <v>5</v>
      </c>
      <c r="C1043" s="4" t="inlineStr">
        <is>
          <t>antelope</t>
        </is>
      </c>
      <c r="D1043" s="4" t="n">
        <v>2006</v>
      </c>
      <c r="E1043" s="4" t="inlineStr"/>
      <c r="F1043" s="5" t="n">
        <v>252</v>
      </c>
      <c r="G1043" s="5" t="n">
        <v>740</v>
      </c>
      <c r="H1043" s="5" t="n">
        <v>158</v>
      </c>
      <c r="I1043" s="5" t="n">
        <v>128</v>
      </c>
      <c r="J1043" s="5" t="n">
        <v>25</v>
      </c>
      <c r="K1043" s="10">
        <f>IF(F1043&gt;0,H1043/F1043,"")</f>
        <v/>
      </c>
      <c r="L1043" s="16">
        <f>IF(AND(G1043&gt;0,H1043&gt;0),G1043/H1043,"")</f>
        <v/>
      </c>
    </row>
    <row r="1044">
      <c r="A1044" s="4" t="inlineStr">
        <is>
          <t>550</t>
        </is>
      </c>
      <c r="B1044" s="4" t="n">
        <v>5</v>
      </c>
      <c r="C1044" s="4" t="inlineStr">
        <is>
          <t>antelope</t>
        </is>
      </c>
      <c r="D1044" s="4" t="n">
        <v>2007</v>
      </c>
      <c r="E1044" s="4" t="inlineStr"/>
      <c r="F1044" s="5" t="n">
        <v>335</v>
      </c>
      <c r="G1044" s="5" t="n">
        <v>1031</v>
      </c>
      <c r="H1044" s="5" t="n">
        <v>298</v>
      </c>
      <c r="I1044" s="5" t="n">
        <v>146</v>
      </c>
      <c r="J1044" s="5" t="n">
        <v>138</v>
      </c>
      <c r="K1044" s="10">
        <f>IF(F1044&gt;0,H1044/F1044,"")</f>
        <v/>
      </c>
      <c r="L1044" s="16">
        <f>IF(AND(G1044&gt;0,H1044&gt;0),G1044/H1044,"")</f>
        <v/>
      </c>
    </row>
    <row r="1045">
      <c r="A1045" s="4" t="inlineStr">
        <is>
          <t>550</t>
        </is>
      </c>
      <c r="B1045" s="4" t="n">
        <v>5</v>
      </c>
      <c r="C1045" s="4" t="inlineStr">
        <is>
          <t>antelope</t>
        </is>
      </c>
      <c r="D1045" s="4" t="n">
        <v>2008</v>
      </c>
      <c r="E1045" s="4" t="inlineStr"/>
      <c r="F1045" s="5" t="n">
        <v>240</v>
      </c>
      <c r="G1045" s="5" t="n">
        <v>825</v>
      </c>
      <c r="H1045" s="5" t="n">
        <v>97</v>
      </c>
      <c r="I1045" s="5" t="n">
        <v>74</v>
      </c>
      <c r="J1045" s="5" t="n">
        <v>23</v>
      </c>
      <c r="K1045" s="10">
        <f>IF(F1045&gt;0,H1045/F1045,"")</f>
        <v/>
      </c>
      <c r="L1045" s="16">
        <f>IF(AND(G1045&gt;0,H1045&gt;0),G1045/H1045,"")</f>
        <v/>
      </c>
    </row>
    <row r="1046">
      <c r="A1046" s="4" t="inlineStr">
        <is>
          <t>550</t>
        </is>
      </c>
      <c r="B1046" s="4" t="n">
        <v>5</v>
      </c>
      <c r="C1046" s="4" t="inlineStr">
        <is>
          <t>antelope</t>
        </is>
      </c>
      <c r="D1046" s="4" t="n">
        <v>2009</v>
      </c>
      <c r="E1046" s="4" t="inlineStr"/>
      <c r="F1046" s="5" t="n">
        <v>273</v>
      </c>
      <c r="G1046" s="5" t="n">
        <v>1025</v>
      </c>
      <c r="H1046" s="5" t="n">
        <v>147</v>
      </c>
      <c r="I1046" s="5" t="n">
        <v>97</v>
      </c>
      <c r="J1046" s="5" t="n">
        <v>50</v>
      </c>
      <c r="K1046" s="10">
        <f>IF(F1046&gt;0,H1046/F1046,"")</f>
        <v/>
      </c>
      <c r="L1046" s="16">
        <f>IF(AND(G1046&gt;0,H1046&gt;0),G1046/H1046,"")</f>
        <v/>
      </c>
    </row>
    <row r="1047">
      <c r="A1047" s="4" t="inlineStr">
        <is>
          <t>550</t>
        </is>
      </c>
      <c r="B1047" s="4" t="n">
        <v>5</v>
      </c>
      <c r="C1047" s="4" t="inlineStr">
        <is>
          <t>antelope</t>
        </is>
      </c>
      <c r="D1047" s="4" t="n">
        <v>2010</v>
      </c>
      <c r="E1047" s="4" t="inlineStr"/>
      <c r="F1047" s="5" t="n">
        <v>202</v>
      </c>
      <c r="G1047" s="5" t="n">
        <v>779</v>
      </c>
      <c r="H1047" s="5" t="n">
        <v>98</v>
      </c>
      <c r="I1047" s="5" t="n">
        <v>61</v>
      </c>
      <c r="J1047" s="5" t="n">
        <v>35</v>
      </c>
      <c r="K1047" s="10">
        <f>IF(F1047&gt;0,H1047/F1047,"")</f>
        <v/>
      </c>
      <c r="L1047" s="16">
        <f>IF(AND(G1047&gt;0,H1047&gt;0),G1047/H1047,"")</f>
        <v/>
      </c>
    </row>
    <row r="1048">
      <c r="A1048" s="4" t="inlineStr">
        <is>
          <t>550</t>
        </is>
      </c>
      <c r="B1048" s="4" t="n">
        <v>5</v>
      </c>
      <c r="C1048" s="4" t="inlineStr">
        <is>
          <t>antelope</t>
        </is>
      </c>
      <c r="D1048" s="4" t="n">
        <v>2011</v>
      </c>
      <c r="E1048" s="4" t="inlineStr"/>
      <c r="F1048" s="5" t="n">
        <v>156</v>
      </c>
      <c r="G1048" s="5" t="n">
        <v>705</v>
      </c>
      <c r="H1048" s="5" t="n">
        <v>94</v>
      </c>
      <c r="I1048" s="5" t="n">
        <v>67</v>
      </c>
      <c r="J1048" s="5" t="n">
        <v>26</v>
      </c>
      <c r="K1048" s="10">
        <f>IF(F1048&gt;0,H1048/F1048,"")</f>
        <v/>
      </c>
      <c r="L1048" s="16">
        <f>IF(AND(G1048&gt;0,H1048&gt;0),G1048/H1048,"")</f>
        <v/>
      </c>
    </row>
    <row r="1049">
      <c r="A1049" s="4" t="inlineStr">
        <is>
          <t>550</t>
        </is>
      </c>
      <c r="B1049" s="4" t="n">
        <v>5</v>
      </c>
      <c r="C1049" s="4" t="inlineStr">
        <is>
          <t>antelope</t>
        </is>
      </c>
      <c r="D1049" s="4" t="n">
        <v>2012</v>
      </c>
      <c r="E1049" s="4" t="inlineStr"/>
      <c r="F1049" s="5" t="n">
        <v>207</v>
      </c>
      <c r="G1049" s="5" t="n">
        <v>744</v>
      </c>
      <c r="H1049" s="5" t="n">
        <v>108</v>
      </c>
      <c r="I1049" s="5" t="n">
        <v>77</v>
      </c>
      <c r="J1049" s="5" t="n">
        <v>30</v>
      </c>
      <c r="K1049" s="10">
        <f>IF(F1049&gt;0,H1049/F1049,"")</f>
        <v/>
      </c>
      <c r="L1049" s="16">
        <f>IF(AND(G1049&gt;0,H1049&gt;0),G1049/H1049,"")</f>
        <v/>
      </c>
    </row>
    <row r="1050">
      <c r="A1050" s="4" t="inlineStr">
        <is>
          <t>550</t>
        </is>
      </c>
      <c r="B1050" s="4" t="n">
        <v>5</v>
      </c>
      <c r="C1050" s="4" t="inlineStr">
        <is>
          <t>antelope</t>
        </is>
      </c>
      <c r="D1050" s="4" t="n">
        <v>2013</v>
      </c>
      <c r="E1050" s="4" t="inlineStr"/>
      <c r="F1050" s="5" t="n"/>
      <c r="G1050" s="5" t="n"/>
      <c r="H1050" s="5" t="n">
        <v>77</v>
      </c>
      <c r="I1050" s="5" t="n">
        <v>56</v>
      </c>
      <c r="J1050" s="5" t="n">
        <v>20</v>
      </c>
      <c r="K1050" s="10">
        <f>IF(F1050&gt;0,H1050/F1050,"")</f>
        <v/>
      </c>
      <c r="L1050" s="16">
        <f>IF(AND(G1050&gt;0,H1050&gt;0),G1050/H1050,"")</f>
        <v/>
      </c>
    </row>
    <row r="1051">
      <c r="A1051" s="4" t="inlineStr">
        <is>
          <t>550</t>
        </is>
      </c>
      <c r="B1051" s="4" t="n">
        <v>5</v>
      </c>
      <c r="C1051" s="4" t="inlineStr">
        <is>
          <t>antelope</t>
        </is>
      </c>
      <c r="D1051" s="4" t="n">
        <v>2014</v>
      </c>
      <c r="E1051" s="4" t="inlineStr"/>
      <c r="F1051" s="5" t="n">
        <v>176</v>
      </c>
      <c r="G1051" s="5" t="n">
        <v>670</v>
      </c>
      <c r="H1051" s="5" t="n">
        <v>76</v>
      </c>
      <c r="I1051" s="5" t="n">
        <v>48</v>
      </c>
      <c r="J1051" s="5" t="n">
        <v>28</v>
      </c>
      <c r="K1051" s="10">
        <f>IF(F1051&gt;0,H1051/F1051,"")</f>
        <v/>
      </c>
      <c r="L1051" s="16">
        <f>IF(AND(G1051&gt;0,H1051&gt;0),G1051/H1051,"")</f>
        <v/>
      </c>
    </row>
    <row r="1052">
      <c r="A1052" s="4" t="inlineStr">
        <is>
          <t>550</t>
        </is>
      </c>
      <c r="B1052" s="4" t="n">
        <v>5</v>
      </c>
      <c r="C1052" s="4" t="inlineStr">
        <is>
          <t>antelope</t>
        </is>
      </c>
      <c r="D1052" s="4" t="n">
        <v>2015</v>
      </c>
      <c r="E1052" s="4" t="inlineStr"/>
      <c r="F1052" s="5" t="n">
        <v>169</v>
      </c>
      <c r="G1052" s="5" t="n">
        <v>774</v>
      </c>
      <c r="H1052" s="5" t="n">
        <v>80</v>
      </c>
      <c r="I1052" s="5" t="n">
        <v>47</v>
      </c>
      <c r="J1052" s="5" t="n">
        <v>34</v>
      </c>
      <c r="K1052" s="10">
        <f>IF(F1052&gt;0,H1052/F1052,"")</f>
        <v/>
      </c>
      <c r="L1052" s="16">
        <f>IF(AND(G1052&gt;0,H1052&gt;0),G1052/H1052,"")</f>
        <v/>
      </c>
    </row>
    <row r="1053">
      <c r="A1053" s="4" t="inlineStr">
        <is>
          <t>550</t>
        </is>
      </c>
      <c r="B1053" s="4" t="n">
        <v>5</v>
      </c>
      <c r="C1053" s="4" t="inlineStr">
        <is>
          <t>antelope</t>
        </is>
      </c>
      <c r="D1053" s="4" t="n">
        <v>2016</v>
      </c>
      <c r="E1053" s="4" t="inlineStr"/>
      <c r="F1053" s="5" t="n"/>
      <c r="G1053" s="5" t="n"/>
      <c r="H1053" s="5" t="n">
        <v>121</v>
      </c>
      <c r="I1053" s="5" t="n">
        <v>94</v>
      </c>
      <c r="J1053" s="5" t="n">
        <v>27</v>
      </c>
      <c r="K1053" s="10">
        <f>IF(F1053&gt;0,H1053/F1053,"")</f>
        <v/>
      </c>
      <c r="L1053" s="16">
        <f>IF(AND(G1053&gt;0,H1053&gt;0),G1053/H1053,"")</f>
        <v/>
      </c>
    </row>
    <row r="1054">
      <c r="A1054" s="4" t="inlineStr">
        <is>
          <t>550</t>
        </is>
      </c>
      <c r="B1054" s="4" t="n">
        <v>5</v>
      </c>
      <c r="C1054" s="4" t="inlineStr">
        <is>
          <t>antelope</t>
        </is>
      </c>
      <c r="D1054" s="4" t="n">
        <v>2017</v>
      </c>
      <c r="E1054" s="4" t="inlineStr"/>
      <c r="F1054" s="5" t="n"/>
      <c r="G1054" s="5" t="n"/>
      <c r="H1054" s="5" t="n">
        <v>260</v>
      </c>
      <c r="I1054" s="5" t="n">
        <v>156</v>
      </c>
      <c r="J1054" s="5" t="n">
        <v>94</v>
      </c>
      <c r="K1054" s="10">
        <f>IF(F1054&gt;0,H1054/F1054,"")</f>
        <v/>
      </c>
      <c r="L1054" s="16">
        <f>IF(AND(G1054&gt;0,H1054&gt;0),G1054/H1054,"")</f>
        <v/>
      </c>
    </row>
    <row r="1055">
      <c r="A1055" s="4" t="inlineStr">
        <is>
          <t>550</t>
        </is>
      </c>
      <c r="B1055" s="4" t="n">
        <v>5</v>
      </c>
      <c r="C1055" s="4" t="inlineStr">
        <is>
          <t>antelope</t>
        </is>
      </c>
      <c r="D1055" s="4" t="n">
        <v>2018</v>
      </c>
      <c r="E1055" s="4" t="inlineStr"/>
      <c r="F1055" s="5" t="n">
        <v>357</v>
      </c>
      <c r="G1055" s="5" t="n">
        <v>1384</v>
      </c>
      <c r="H1055" s="5" t="n">
        <v>203</v>
      </c>
      <c r="I1055" s="5" t="n">
        <v>116</v>
      </c>
      <c r="J1055" s="5" t="n">
        <v>83</v>
      </c>
      <c r="K1055" s="10">
        <f>IF(F1055&gt;0,H1055/F1055,"")</f>
        <v/>
      </c>
      <c r="L1055" s="16">
        <f>IF(AND(G1055&gt;0,H1055&gt;0),G1055/H1055,"")</f>
        <v/>
      </c>
    </row>
    <row r="1056">
      <c r="A1056" s="4" t="inlineStr">
        <is>
          <t>550</t>
        </is>
      </c>
      <c r="B1056" s="4" t="n">
        <v>5</v>
      </c>
      <c r="C1056" s="4" t="inlineStr">
        <is>
          <t>antelope</t>
        </is>
      </c>
      <c r="D1056" s="4" t="n">
        <v>2019</v>
      </c>
      <c r="E1056" s="4" t="inlineStr"/>
      <c r="F1056" s="5" t="n"/>
      <c r="G1056" s="5" t="n"/>
      <c r="H1056" s="5" t="n">
        <v>165</v>
      </c>
      <c r="I1056" s="5" t="n">
        <v>98</v>
      </c>
      <c r="J1056" s="5" t="n">
        <v>61</v>
      </c>
      <c r="K1056" s="10">
        <f>IF(F1056&gt;0,H1056/F1056,"")</f>
        <v/>
      </c>
      <c r="L1056" s="16">
        <f>IF(AND(G1056&gt;0,H1056&gt;0),G1056/H1056,"")</f>
        <v/>
      </c>
    </row>
    <row r="1057">
      <c r="A1057" s="4" t="inlineStr">
        <is>
          <t>550</t>
        </is>
      </c>
      <c r="B1057" s="4" t="n">
        <v>5</v>
      </c>
      <c r="C1057" s="4" t="inlineStr">
        <is>
          <t>antelope</t>
        </is>
      </c>
      <c r="D1057" s="4" t="n">
        <v>2020</v>
      </c>
      <c r="E1057" s="4" t="inlineStr"/>
      <c r="F1057" s="5" t="n">
        <v>312</v>
      </c>
      <c r="G1057" s="5" t="n">
        <v>1217</v>
      </c>
      <c r="H1057" s="5" t="n">
        <v>177</v>
      </c>
      <c r="I1057" s="5" t="n">
        <v>98</v>
      </c>
      <c r="J1057" s="5" t="n">
        <v>74</v>
      </c>
      <c r="K1057" s="10">
        <f>IF(F1057&gt;0,H1057/F1057,"")</f>
        <v/>
      </c>
      <c r="L1057" s="16">
        <f>IF(AND(G1057&gt;0,H1057&gt;0),G1057/H1057,"")</f>
        <v/>
      </c>
    </row>
    <row r="1058">
      <c r="A1058" s="4" t="inlineStr">
        <is>
          <t>550</t>
        </is>
      </c>
      <c r="B1058" s="4" t="n">
        <v>5</v>
      </c>
      <c r="C1058" s="4" t="inlineStr">
        <is>
          <t>antelope</t>
        </is>
      </c>
      <c r="D1058" s="4" t="n">
        <v>2021</v>
      </c>
      <c r="E1058" s="4" t="inlineStr"/>
      <c r="F1058" s="5" t="n"/>
      <c r="G1058" s="5" t="n"/>
      <c r="H1058" s="5" t="n">
        <v>78</v>
      </c>
      <c r="I1058" s="5" t="n">
        <v>60</v>
      </c>
      <c r="J1058" s="5" t="n">
        <v>18</v>
      </c>
      <c r="K1058" s="10">
        <f>IF(F1058&gt;0,H1058/F1058,"")</f>
        <v/>
      </c>
      <c r="L1058" s="16">
        <f>IF(AND(G1058&gt;0,H1058&gt;0),G1058/H1058,"")</f>
        <v/>
      </c>
    </row>
    <row r="1059">
      <c r="A1059" s="4" t="inlineStr">
        <is>
          <t>556</t>
        </is>
      </c>
      <c r="B1059" s="4" t="n">
        <v>5</v>
      </c>
      <c r="C1059" s="4" t="inlineStr">
        <is>
          <t>antelope</t>
        </is>
      </c>
      <c r="D1059" s="4" t="n">
        <v>2022</v>
      </c>
      <c r="E1059" s="15" t="inlineStr">
        <is>
          <t>Draw</t>
        </is>
      </c>
      <c r="F1059" s="5" t="n">
        <v>140</v>
      </c>
      <c r="G1059" s="5" t="n">
        <v>830</v>
      </c>
      <c r="H1059" s="5" t="n">
        <v>52</v>
      </c>
      <c r="I1059" s="5" t="n">
        <v>40</v>
      </c>
      <c r="J1059" s="5" t="n">
        <v>11</v>
      </c>
      <c r="K1059" s="10">
        <f>IF(F1059&gt;0,H1059/F1059,"")</f>
        <v/>
      </c>
      <c r="L1059" s="16">
        <f>IF(AND(G1059&gt;0,H1059&gt;0),G1059/H1059,"")</f>
        <v/>
      </c>
    </row>
    <row r="1060">
      <c r="A1060" s="4" t="inlineStr">
        <is>
          <t>556</t>
        </is>
      </c>
      <c r="B1060" s="4" t="n">
        <v>5</v>
      </c>
      <c r="C1060" s="4" t="inlineStr">
        <is>
          <t>antelope</t>
        </is>
      </c>
      <c r="D1060" s="4" t="n">
        <v>2023</v>
      </c>
      <c r="E1060" s="15" t="inlineStr">
        <is>
          <t>Draw</t>
        </is>
      </c>
      <c r="F1060" s="5" t="n"/>
      <c r="G1060" s="5" t="n"/>
      <c r="H1060" s="5" t="n">
        <v>77</v>
      </c>
      <c r="I1060" s="5" t="n">
        <v>64</v>
      </c>
      <c r="J1060" s="5" t="n">
        <v>14</v>
      </c>
      <c r="K1060" s="10">
        <f>IF(F1060&gt;0,H1060/F1060,"")</f>
        <v/>
      </c>
      <c r="L1060" s="16">
        <f>IF(AND(G1060&gt;0,H1060&gt;0),G1060/H1060,"")</f>
        <v/>
      </c>
    </row>
    <row r="1061">
      <c r="A1061" s="4" t="inlineStr">
        <is>
          <t>556</t>
        </is>
      </c>
      <c r="B1061" s="4" t="n">
        <v>5</v>
      </c>
      <c r="C1061" s="4" t="inlineStr">
        <is>
          <t>antelope</t>
        </is>
      </c>
      <c r="D1061" s="4" t="n">
        <v>2024</v>
      </c>
      <c r="E1061" s="15" t="inlineStr">
        <is>
          <t>Draw</t>
        </is>
      </c>
      <c r="F1061" s="5" t="n">
        <v>148</v>
      </c>
      <c r="G1061" s="5" t="n">
        <v>737</v>
      </c>
      <c r="H1061" s="5" t="n">
        <v>71</v>
      </c>
      <c r="I1061" s="5" t="n">
        <v>55</v>
      </c>
      <c r="J1061" s="5" t="n">
        <v>15</v>
      </c>
      <c r="K1061" s="10">
        <f>IF(F1061&gt;0,H1061/F1061,"")</f>
        <v/>
      </c>
      <c r="L1061" s="16">
        <f>IF(AND(G1061&gt;0,H1061&gt;0),G1061/H1061,"")</f>
        <v/>
      </c>
    </row>
    <row r="1062">
      <c r="A1062" s="4" t="inlineStr">
        <is>
          <t>556</t>
        </is>
      </c>
      <c r="B1062" s="4" t="n">
        <v>5</v>
      </c>
      <c r="C1062" s="4" t="inlineStr">
        <is>
          <t>antelope</t>
        </is>
      </c>
      <c r="D1062" s="4" t="n">
        <v>2025</v>
      </c>
      <c r="E1062" s="15" t="inlineStr">
        <is>
          <t>Draw</t>
        </is>
      </c>
      <c r="F1062" s="5" t="n"/>
      <c r="G1062" s="5" t="n"/>
      <c r="H1062" s="5" t="n">
        <v>88</v>
      </c>
      <c r="I1062" s="5" t="n">
        <v>68</v>
      </c>
      <c r="J1062" s="5" t="n">
        <v>20</v>
      </c>
      <c r="K1062" s="10">
        <f>IF(F1062&gt;0,H1062/F1062,"")</f>
        <v/>
      </c>
      <c r="L1062" s="16">
        <f>IF(AND(G1062&gt;0,H1062&gt;0),G1062/H1062,"")</f>
        <v/>
      </c>
    </row>
    <row r="1063">
      <c r="A1063" s="4" t="inlineStr">
        <is>
          <t>560</t>
        </is>
      </c>
      <c r="B1063" s="4" t="n">
        <v>5</v>
      </c>
      <c r="C1063" s="4" t="inlineStr">
        <is>
          <t>antelope</t>
        </is>
      </c>
      <c r="D1063" s="4" t="n">
        <v>2004</v>
      </c>
      <c r="E1063" s="4" t="inlineStr"/>
      <c r="F1063" s="5" t="n">
        <v>963</v>
      </c>
      <c r="G1063" s="5" t="n">
        <v>3836</v>
      </c>
      <c r="H1063" s="5" t="n">
        <v>1077</v>
      </c>
      <c r="I1063" s="5" t="n">
        <v>490</v>
      </c>
      <c r="J1063" s="5" t="n">
        <v>530</v>
      </c>
      <c r="K1063" s="10">
        <f>IF(F1063&gt;0,H1063/F1063,"")</f>
        <v/>
      </c>
      <c r="L1063" s="16">
        <f>IF(AND(G1063&gt;0,H1063&gt;0),G1063/H1063,"")</f>
        <v/>
      </c>
    </row>
    <row r="1064">
      <c r="A1064" s="4" t="inlineStr">
        <is>
          <t>560</t>
        </is>
      </c>
      <c r="B1064" s="4" t="n">
        <v>5</v>
      </c>
      <c r="C1064" s="4" t="inlineStr">
        <is>
          <t>antelope</t>
        </is>
      </c>
      <c r="D1064" s="4" t="n">
        <v>2005</v>
      </c>
      <c r="E1064" s="4" t="inlineStr"/>
      <c r="F1064" s="5" t="n">
        <v>1055</v>
      </c>
      <c r="G1064" s="5" t="n">
        <v>3553</v>
      </c>
      <c r="H1064" s="5" t="n">
        <v>500</v>
      </c>
      <c r="I1064" s="5" t="n">
        <v>359</v>
      </c>
      <c r="J1064" s="5" t="n">
        <v>132</v>
      </c>
      <c r="K1064" s="10">
        <f>IF(F1064&gt;0,H1064/F1064,"")</f>
        <v/>
      </c>
      <c r="L1064" s="16">
        <f>IF(AND(G1064&gt;0,H1064&gt;0),G1064/H1064,"")</f>
        <v/>
      </c>
    </row>
    <row r="1065">
      <c r="A1065" s="4" t="inlineStr">
        <is>
          <t>560</t>
        </is>
      </c>
      <c r="B1065" s="4" t="n">
        <v>5</v>
      </c>
      <c r="C1065" s="4" t="inlineStr">
        <is>
          <t>antelope</t>
        </is>
      </c>
      <c r="D1065" s="4" t="n">
        <v>2006</v>
      </c>
      <c r="E1065" s="4" t="inlineStr"/>
      <c r="F1065" s="5" t="n">
        <v>943</v>
      </c>
      <c r="G1065" s="5" t="n">
        <v>3438</v>
      </c>
      <c r="H1065" s="5" t="n">
        <v>1025</v>
      </c>
      <c r="I1065" s="5" t="n">
        <v>461</v>
      </c>
      <c r="J1065" s="5" t="n">
        <v>544</v>
      </c>
      <c r="K1065" s="10">
        <f>IF(F1065&gt;0,H1065/F1065,"")</f>
        <v/>
      </c>
      <c r="L1065" s="16">
        <f>IF(AND(G1065&gt;0,H1065&gt;0),G1065/H1065,"")</f>
        <v/>
      </c>
    </row>
    <row r="1066">
      <c r="A1066" s="4" t="inlineStr">
        <is>
          <t>560</t>
        </is>
      </c>
      <c r="B1066" s="4" t="n">
        <v>5</v>
      </c>
      <c r="C1066" s="4" t="inlineStr">
        <is>
          <t>antelope</t>
        </is>
      </c>
      <c r="D1066" s="4" t="n">
        <v>2007</v>
      </c>
      <c r="E1066" s="4" t="inlineStr"/>
      <c r="F1066" s="5" t="n">
        <v>995</v>
      </c>
      <c r="G1066" s="5" t="n">
        <v>3180</v>
      </c>
      <c r="H1066" s="5" t="n">
        <v>818</v>
      </c>
      <c r="I1066" s="5" t="n">
        <v>403</v>
      </c>
      <c r="J1066" s="5" t="n">
        <v>406</v>
      </c>
      <c r="K1066" s="10">
        <f>IF(F1066&gt;0,H1066/F1066,"")</f>
        <v/>
      </c>
      <c r="L1066" s="16">
        <f>IF(AND(G1066&gt;0,H1066&gt;0),G1066/H1066,"")</f>
        <v/>
      </c>
    </row>
    <row r="1067">
      <c r="A1067" s="4" t="inlineStr">
        <is>
          <t>560</t>
        </is>
      </c>
      <c r="B1067" s="4" t="n">
        <v>5</v>
      </c>
      <c r="C1067" s="4" t="inlineStr">
        <is>
          <t>antelope</t>
        </is>
      </c>
      <c r="D1067" s="4" t="n">
        <v>2008</v>
      </c>
      <c r="E1067" s="4" t="inlineStr"/>
      <c r="F1067" s="5" t="n">
        <v>500</v>
      </c>
      <c r="G1067" s="5" t="n">
        <v>1548</v>
      </c>
      <c r="H1067" s="5" t="n">
        <v>243</v>
      </c>
      <c r="I1067" s="5" t="n">
        <v>182</v>
      </c>
      <c r="J1067" s="5" t="n">
        <v>58</v>
      </c>
      <c r="K1067" s="10">
        <f>IF(F1067&gt;0,H1067/F1067,"")</f>
        <v/>
      </c>
      <c r="L1067" s="16">
        <f>IF(AND(G1067&gt;0,H1067&gt;0),G1067/H1067,"")</f>
        <v/>
      </c>
    </row>
    <row r="1068">
      <c r="A1068" s="4" t="inlineStr">
        <is>
          <t>560</t>
        </is>
      </c>
      <c r="B1068" s="4" t="n">
        <v>5</v>
      </c>
      <c r="C1068" s="4" t="inlineStr">
        <is>
          <t>antelope</t>
        </is>
      </c>
      <c r="D1068" s="4" t="n">
        <v>2009</v>
      </c>
      <c r="E1068" s="4" t="inlineStr"/>
      <c r="F1068" s="5" t="n">
        <v>685</v>
      </c>
      <c r="G1068" s="5" t="n">
        <v>2345</v>
      </c>
      <c r="H1068" s="5" t="n">
        <v>406</v>
      </c>
      <c r="I1068" s="5" t="n">
        <v>285</v>
      </c>
      <c r="J1068" s="5" t="n">
        <v>112</v>
      </c>
      <c r="K1068" s="10">
        <f>IF(F1068&gt;0,H1068/F1068,"")</f>
        <v/>
      </c>
      <c r="L1068" s="16">
        <f>IF(AND(G1068&gt;0,H1068&gt;0),G1068/H1068,"")</f>
        <v/>
      </c>
    </row>
    <row r="1069">
      <c r="A1069" s="4" t="inlineStr">
        <is>
          <t>560</t>
        </is>
      </c>
      <c r="B1069" s="4" t="n">
        <v>5</v>
      </c>
      <c r="C1069" s="4" t="inlineStr">
        <is>
          <t>antelope</t>
        </is>
      </c>
      <c r="D1069" s="4" t="n">
        <v>2010</v>
      </c>
      <c r="E1069" s="4" t="inlineStr"/>
      <c r="F1069" s="5" t="n">
        <v>843</v>
      </c>
      <c r="G1069" s="5" t="n">
        <v>2775</v>
      </c>
      <c r="H1069" s="5" t="n">
        <v>499</v>
      </c>
      <c r="I1069" s="5" t="n">
        <v>283</v>
      </c>
      <c r="J1069" s="5" t="n">
        <v>200</v>
      </c>
      <c r="K1069" s="10">
        <f>IF(F1069&gt;0,H1069/F1069,"")</f>
        <v/>
      </c>
      <c r="L1069" s="16">
        <f>IF(AND(G1069&gt;0,H1069&gt;0),G1069/H1069,"")</f>
        <v/>
      </c>
    </row>
    <row r="1070">
      <c r="A1070" s="4" t="inlineStr">
        <is>
          <t>560</t>
        </is>
      </c>
      <c r="B1070" s="4" t="n">
        <v>5</v>
      </c>
      <c r="C1070" s="4" t="inlineStr">
        <is>
          <t>antelope</t>
        </is>
      </c>
      <c r="D1070" s="4" t="n">
        <v>2011</v>
      </c>
      <c r="E1070" s="4" t="inlineStr"/>
      <c r="F1070" s="5" t="n">
        <v>735</v>
      </c>
      <c r="G1070" s="5" t="n">
        <v>2440</v>
      </c>
      <c r="H1070" s="5" t="n">
        <v>417</v>
      </c>
      <c r="I1070" s="5" t="n">
        <v>246</v>
      </c>
      <c r="J1070" s="5" t="n">
        <v>156</v>
      </c>
      <c r="K1070" s="10">
        <f>IF(F1070&gt;0,H1070/F1070,"")</f>
        <v/>
      </c>
      <c r="L1070" s="16">
        <f>IF(AND(G1070&gt;0,H1070&gt;0),G1070/H1070,"")</f>
        <v/>
      </c>
    </row>
    <row r="1071">
      <c r="A1071" s="4" t="inlineStr">
        <is>
          <t>560</t>
        </is>
      </c>
      <c r="B1071" s="4" t="n">
        <v>5</v>
      </c>
      <c r="C1071" s="4" t="inlineStr">
        <is>
          <t>antelope</t>
        </is>
      </c>
      <c r="D1071" s="4" t="n">
        <v>2012</v>
      </c>
      <c r="E1071" s="4" t="inlineStr"/>
      <c r="F1071" s="5" t="n">
        <v>780</v>
      </c>
      <c r="G1071" s="5" t="n">
        <v>3140</v>
      </c>
      <c r="H1071" s="5" t="n">
        <v>504</v>
      </c>
      <c r="I1071" s="5" t="n">
        <v>303</v>
      </c>
      <c r="J1071" s="5" t="n">
        <v>190</v>
      </c>
      <c r="K1071" s="10">
        <f>IF(F1071&gt;0,H1071/F1071,"")</f>
        <v/>
      </c>
      <c r="L1071" s="16">
        <f>IF(AND(G1071&gt;0,H1071&gt;0),G1071/H1071,"")</f>
        <v/>
      </c>
    </row>
    <row r="1072">
      <c r="A1072" s="4" t="inlineStr">
        <is>
          <t>560</t>
        </is>
      </c>
      <c r="B1072" s="4" t="n">
        <v>5</v>
      </c>
      <c r="C1072" s="4" t="inlineStr">
        <is>
          <t>antelope</t>
        </is>
      </c>
      <c r="D1072" s="4" t="n">
        <v>2013</v>
      </c>
      <c r="E1072" s="4" t="inlineStr"/>
      <c r="F1072" s="5" t="n"/>
      <c r="G1072" s="5" t="n"/>
      <c r="H1072" s="5" t="n">
        <v>234</v>
      </c>
      <c r="I1072" s="5" t="n">
        <v>156</v>
      </c>
      <c r="J1072" s="5" t="n">
        <v>72</v>
      </c>
      <c r="K1072" s="10">
        <f>IF(F1072&gt;0,H1072/F1072,"")</f>
        <v/>
      </c>
      <c r="L1072" s="16">
        <f>IF(AND(G1072&gt;0,H1072&gt;0),G1072/H1072,"")</f>
        <v/>
      </c>
    </row>
    <row r="1073">
      <c r="A1073" s="4" t="inlineStr">
        <is>
          <t>560</t>
        </is>
      </c>
      <c r="B1073" s="4" t="n">
        <v>5</v>
      </c>
      <c r="C1073" s="4" t="inlineStr">
        <is>
          <t>antelope</t>
        </is>
      </c>
      <c r="D1073" s="4" t="n">
        <v>2014</v>
      </c>
      <c r="E1073" s="4" t="inlineStr"/>
      <c r="F1073" s="5" t="n">
        <v>563</v>
      </c>
      <c r="G1073" s="5" t="n">
        <v>2075</v>
      </c>
      <c r="H1073" s="5" t="n">
        <v>276</v>
      </c>
      <c r="I1073" s="5" t="n">
        <v>195</v>
      </c>
      <c r="J1073" s="5" t="n">
        <v>72</v>
      </c>
      <c r="K1073" s="10">
        <f>IF(F1073&gt;0,H1073/F1073,"")</f>
        <v/>
      </c>
      <c r="L1073" s="16">
        <f>IF(AND(G1073&gt;0,H1073&gt;0),G1073/H1073,"")</f>
        <v/>
      </c>
    </row>
    <row r="1074">
      <c r="A1074" s="4" t="inlineStr">
        <is>
          <t>560</t>
        </is>
      </c>
      <c r="B1074" s="4" t="n">
        <v>5</v>
      </c>
      <c r="C1074" s="4" t="inlineStr">
        <is>
          <t>antelope</t>
        </is>
      </c>
      <c r="D1074" s="4" t="n">
        <v>2015</v>
      </c>
      <c r="E1074" s="4" t="inlineStr"/>
      <c r="F1074" s="5" t="n">
        <v>587</v>
      </c>
      <c r="G1074" s="5" t="n">
        <v>2248</v>
      </c>
      <c r="H1074" s="5" t="n">
        <v>307</v>
      </c>
      <c r="I1074" s="5" t="n">
        <v>252</v>
      </c>
      <c r="J1074" s="5" t="n">
        <v>52</v>
      </c>
      <c r="K1074" s="10">
        <f>IF(F1074&gt;0,H1074/F1074,"")</f>
        <v/>
      </c>
      <c r="L1074" s="16">
        <f>IF(AND(G1074&gt;0,H1074&gt;0),G1074/H1074,"")</f>
        <v/>
      </c>
    </row>
    <row r="1075">
      <c r="A1075" s="4" t="inlineStr">
        <is>
          <t>560</t>
        </is>
      </c>
      <c r="B1075" s="4" t="n">
        <v>5</v>
      </c>
      <c r="C1075" s="4" t="inlineStr">
        <is>
          <t>antelope</t>
        </is>
      </c>
      <c r="D1075" s="4" t="n">
        <v>2016</v>
      </c>
      <c r="E1075" s="4" t="inlineStr"/>
      <c r="F1075" s="5" t="n"/>
      <c r="G1075" s="5" t="n"/>
      <c r="H1075" s="5" t="n">
        <v>595</v>
      </c>
      <c r="I1075" s="5" t="n">
        <v>425</v>
      </c>
      <c r="J1075" s="5" t="n">
        <v>163</v>
      </c>
      <c r="K1075" s="10">
        <f>IF(F1075&gt;0,H1075/F1075,"")</f>
        <v/>
      </c>
      <c r="L1075" s="16">
        <f>IF(AND(G1075&gt;0,H1075&gt;0),G1075/H1075,"")</f>
        <v/>
      </c>
    </row>
    <row r="1076">
      <c r="A1076" s="4" t="inlineStr">
        <is>
          <t>560</t>
        </is>
      </c>
      <c r="B1076" s="4" t="n">
        <v>5</v>
      </c>
      <c r="C1076" s="4" t="inlineStr">
        <is>
          <t>antelope</t>
        </is>
      </c>
      <c r="D1076" s="4" t="n">
        <v>2017</v>
      </c>
      <c r="E1076" s="4" t="inlineStr"/>
      <c r="F1076" s="5" t="n"/>
      <c r="G1076" s="5" t="n"/>
      <c r="H1076" s="5" t="n">
        <v>641</v>
      </c>
      <c r="I1076" s="5" t="n">
        <v>400</v>
      </c>
      <c r="J1076" s="5" t="n">
        <v>232</v>
      </c>
      <c r="K1076" s="10">
        <f>IF(F1076&gt;0,H1076/F1076,"")</f>
        <v/>
      </c>
      <c r="L1076" s="16">
        <f>IF(AND(G1076&gt;0,H1076&gt;0),G1076/H1076,"")</f>
        <v/>
      </c>
    </row>
    <row r="1077">
      <c r="A1077" s="4" t="inlineStr">
        <is>
          <t>560</t>
        </is>
      </c>
      <c r="B1077" s="4" t="n">
        <v>5</v>
      </c>
      <c r="C1077" s="4" t="inlineStr">
        <is>
          <t>antelope</t>
        </is>
      </c>
      <c r="D1077" s="4" t="n">
        <v>2018</v>
      </c>
      <c r="E1077" s="4" t="inlineStr"/>
      <c r="F1077" s="5" t="n">
        <v>930</v>
      </c>
      <c r="G1077" s="5" t="n">
        <v>2947</v>
      </c>
      <c r="H1077" s="5" t="n">
        <v>546</v>
      </c>
      <c r="I1077" s="5" t="n">
        <v>390</v>
      </c>
      <c r="J1077" s="5" t="n">
        <v>148</v>
      </c>
      <c r="K1077" s="10">
        <f>IF(F1077&gt;0,H1077/F1077,"")</f>
        <v/>
      </c>
      <c r="L1077" s="16">
        <f>IF(AND(G1077&gt;0,H1077&gt;0),G1077/H1077,"")</f>
        <v/>
      </c>
    </row>
    <row r="1078">
      <c r="A1078" s="4" t="inlineStr">
        <is>
          <t>560</t>
        </is>
      </c>
      <c r="B1078" s="4" t="n">
        <v>5</v>
      </c>
      <c r="C1078" s="4" t="inlineStr">
        <is>
          <t>antelope</t>
        </is>
      </c>
      <c r="D1078" s="4" t="n">
        <v>2019</v>
      </c>
      <c r="E1078" s="4" t="inlineStr"/>
      <c r="F1078" s="5" t="n"/>
      <c r="G1078" s="5" t="n"/>
      <c r="H1078" s="5" t="n">
        <v>520</v>
      </c>
      <c r="I1078" s="5" t="n">
        <v>334</v>
      </c>
      <c r="J1078" s="5" t="n">
        <v>184</v>
      </c>
      <c r="K1078" s="10">
        <f>IF(F1078&gt;0,H1078/F1078,"")</f>
        <v/>
      </c>
      <c r="L1078" s="16">
        <f>IF(AND(G1078&gt;0,H1078&gt;0),G1078/H1078,"")</f>
        <v/>
      </c>
    </row>
    <row r="1079">
      <c r="A1079" s="4" t="inlineStr">
        <is>
          <t>560</t>
        </is>
      </c>
      <c r="B1079" s="4" t="n">
        <v>5</v>
      </c>
      <c r="C1079" s="4" t="inlineStr">
        <is>
          <t>antelope</t>
        </is>
      </c>
      <c r="D1079" s="4" t="n">
        <v>2020</v>
      </c>
      <c r="E1079" s="4" t="inlineStr"/>
      <c r="F1079" s="5" t="n">
        <v>809</v>
      </c>
      <c r="G1079" s="5" t="n">
        <v>3094</v>
      </c>
      <c r="H1079" s="5" t="n">
        <v>446</v>
      </c>
      <c r="I1079" s="5" t="n">
        <v>272</v>
      </c>
      <c r="J1079" s="5" t="n">
        <v>170</v>
      </c>
      <c r="K1079" s="10">
        <f>IF(F1079&gt;0,H1079/F1079,"")</f>
        <v/>
      </c>
      <c r="L1079" s="16">
        <f>IF(AND(G1079&gt;0,H1079&gt;0),G1079/H1079,"")</f>
        <v/>
      </c>
    </row>
    <row r="1080">
      <c r="A1080" s="4" t="inlineStr">
        <is>
          <t>560</t>
        </is>
      </c>
      <c r="B1080" s="4" t="n">
        <v>5</v>
      </c>
      <c r="C1080" s="4" t="inlineStr">
        <is>
          <t>antelope</t>
        </is>
      </c>
      <c r="D1080" s="4" t="n">
        <v>2021</v>
      </c>
      <c r="E1080" s="4" t="inlineStr"/>
      <c r="F1080" s="5" t="n"/>
      <c r="G1080" s="5" t="n"/>
      <c r="H1080" s="5" t="n">
        <v>407</v>
      </c>
      <c r="I1080" s="5" t="n">
        <v>247</v>
      </c>
      <c r="J1080" s="5" t="n">
        <v>152</v>
      </c>
      <c r="K1080" s="10">
        <f>IF(F1080&gt;0,H1080/F1080,"")</f>
        <v/>
      </c>
      <c r="L1080" s="16">
        <f>IF(AND(G1080&gt;0,H1080&gt;0),G1080/H1080,"")</f>
        <v/>
      </c>
    </row>
    <row r="1081">
      <c r="A1081" s="4" t="inlineStr">
        <is>
          <t>560</t>
        </is>
      </c>
      <c r="B1081" s="4" t="n">
        <v>5</v>
      </c>
      <c r="C1081" s="4" t="inlineStr">
        <is>
          <t>antelope</t>
        </is>
      </c>
      <c r="D1081" s="4" t="n">
        <v>2023</v>
      </c>
      <c r="E1081" s="4" t="inlineStr"/>
      <c r="F1081" s="5" t="n"/>
      <c r="G1081" s="5" t="n"/>
      <c r="H1081" s="5" t="n">
        <v>3</v>
      </c>
      <c r="I1081" s="5" t="n">
        <v>0</v>
      </c>
      <c r="J1081" s="5" t="n">
        <v>0</v>
      </c>
      <c r="K1081" s="10">
        <f>IF(F1081&gt;0,H1081/F1081,"")</f>
        <v/>
      </c>
      <c r="L1081" s="16">
        <f>IF(AND(G1081&gt;0,H1081&gt;0),G1081/H1081,"")</f>
        <v/>
      </c>
    </row>
    <row r="1082">
      <c r="A1082" s="4" t="inlineStr">
        <is>
          <t>570</t>
        </is>
      </c>
      <c r="B1082" s="4" t="n">
        <v>5</v>
      </c>
      <c r="C1082" s="4" t="inlineStr">
        <is>
          <t>antelope</t>
        </is>
      </c>
      <c r="D1082" s="4" t="n">
        <v>2004</v>
      </c>
      <c r="E1082" s="4" t="inlineStr"/>
      <c r="F1082" s="5" t="n">
        <v>552</v>
      </c>
      <c r="G1082" s="5" t="n">
        <v>1522</v>
      </c>
      <c r="H1082" s="5" t="n">
        <v>650</v>
      </c>
      <c r="I1082" s="5" t="n">
        <v>295</v>
      </c>
      <c r="J1082" s="5" t="n">
        <v>312</v>
      </c>
      <c r="K1082" s="10">
        <f>IF(F1082&gt;0,H1082/F1082,"")</f>
        <v/>
      </c>
      <c r="L1082" s="16">
        <f>IF(AND(G1082&gt;0,H1082&gt;0),G1082/H1082,"")</f>
        <v/>
      </c>
    </row>
    <row r="1083">
      <c r="A1083" s="4" t="inlineStr">
        <is>
          <t>570</t>
        </is>
      </c>
      <c r="B1083" s="4" t="n">
        <v>5</v>
      </c>
      <c r="C1083" s="4" t="inlineStr">
        <is>
          <t>antelope</t>
        </is>
      </c>
      <c r="D1083" s="4" t="n">
        <v>2005</v>
      </c>
      <c r="E1083" s="4" t="inlineStr"/>
      <c r="F1083" s="5" t="n">
        <v>565</v>
      </c>
      <c r="G1083" s="5" t="n">
        <v>1232</v>
      </c>
      <c r="H1083" s="5" t="n">
        <v>318</v>
      </c>
      <c r="I1083" s="5" t="n">
        <v>224</v>
      </c>
      <c r="J1083" s="5" t="n">
        <v>78</v>
      </c>
      <c r="K1083" s="10">
        <f>IF(F1083&gt;0,H1083/F1083,"")</f>
        <v/>
      </c>
      <c r="L1083" s="16">
        <f>IF(AND(G1083&gt;0,H1083&gt;0),G1083/H1083,"")</f>
        <v/>
      </c>
    </row>
    <row r="1084">
      <c r="A1084" s="4" t="inlineStr">
        <is>
          <t>570</t>
        </is>
      </c>
      <c r="B1084" s="4" t="n">
        <v>5</v>
      </c>
      <c r="C1084" s="4" t="inlineStr">
        <is>
          <t>antelope</t>
        </is>
      </c>
      <c r="D1084" s="4" t="n">
        <v>2006</v>
      </c>
      <c r="E1084" s="4" t="inlineStr"/>
      <c r="F1084" s="5" t="n">
        <v>525</v>
      </c>
      <c r="G1084" s="5" t="n">
        <v>1377</v>
      </c>
      <c r="H1084" s="5" t="n">
        <v>614</v>
      </c>
      <c r="I1084" s="5" t="n">
        <v>343</v>
      </c>
      <c r="J1084" s="5" t="n">
        <v>227</v>
      </c>
      <c r="K1084" s="10">
        <f>IF(F1084&gt;0,H1084/F1084,"")</f>
        <v/>
      </c>
      <c r="L1084" s="16">
        <f>IF(AND(G1084&gt;0,H1084&gt;0),G1084/H1084,"")</f>
        <v/>
      </c>
    </row>
    <row r="1085">
      <c r="A1085" s="4" t="inlineStr">
        <is>
          <t>570</t>
        </is>
      </c>
      <c r="B1085" s="4" t="n">
        <v>5</v>
      </c>
      <c r="C1085" s="4" t="inlineStr">
        <is>
          <t>antelope</t>
        </is>
      </c>
      <c r="D1085" s="4" t="n">
        <v>2007</v>
      </c>
      <c r="E1085" s="4" t="inlineStr"/>
      <c r="F1085" s="5" t="n">
        <v>530</v>
      </c>
      <c r="G1085" s="5" t="n">
        <v>1592</v>
      </c>
      <c r="H1085" s="5" t="n">
        <v>496</v>
      </c>
      <c r="I1085" s="5" t="n">
        <v>276</v>
      </c>
      <c r="J1085" s="5" t="n">
        <v>205</v>
      </c>
      <c r="K1085" s="10">
        <f>IF(F1085&gt;0,H1085/F1085,"")</f>
        <v/>
      </c>
      <c r="L1085" s="16">
        <f>IF(AND(G1085&gt;0,H1085&gt;0),G1085/H1085,"")</f>
        <v/>
      </c>
    </row>
    <row r="1086">
      <c r="A1086" s="4" t="inlineStr">
        <is>
          <t>570</t>
        </is>
      </c>
      <c r="B1086" s="4" t="n">
        <v>5</v>
      </c>
      <c r="C1086" s="4" t="inlineStr">
        <is>
          <t>antelope</t>
        </is>
      </c>
      <c r="D1086" s="4" t="n">
        <v>2008</v>
      </c>
      <c r="E1086" s="4" t="inlineStr"/>
      <c r="F1086" s="5" t="n">
        <v>826</v>
      </c>
      <c r="G1086" s="5" t="n">
        <v>2409</v>
      </c>
      <c r="H1086" s="5" t="n">
        <v>479</v>
      </c>
      <c r="I1086" s="5" t="n">
        <v>348</v>
      </c>
      <c r="J1086" s="5" t="n">
        <v>122</v>
      </c>
      <c r="K1086" s="10">
        <f>IF(F1086&gt;0,H1086/F1086,"")</f>
        <v/>
      </c>
      <c r="L1086" s="16">
        <f>IF(AND(G1086&gt;0,H1086&gt;0),G1086/H1086,"")</f>
        <v/>
      </c>
    </row>
    <row r="1087">
      <c r="A1087" s="4" t="inlineStr">
        <is>
          <t>570</t>
        </is>
      </c>
      <c r="B1087" s="4" t="n">
        <v>5</v>
      </c>
      <c r="C1087" s="4" t="inlineStr">
        <is>
          <t>antelope</t>
        </is>
      </c>
      <c r="D1087" s="4" t="n">
        <v>2009</v>
      </c>
      <c r="E1087" s="4" t="inlineStr"/>
      <c r="F1087" s="5" t="n">
        <v>1152</v>
      </c>
      <c r="G1087" s="5" t="n">
        <v>3062</v>
      </c>
      <c r="H1087" s="5" t="n">
        <v>739</v>
      </c>
      <c r="I1087" s="5" t="n">
        <v>561</v>
      </c>
      <c r="J1087" s="5" t="n">
        <v>172</v>
      </c>
      <c r="K1087" s="10">
        <f>IF(F1087&gt;0,H1087/F1087,"")</f>
        <v/>
      </c>
      <c r="L1087" s="16">
        <f>IF(AND(G1087&gt;0,H1087&gt;0),G1087/H1087,"")</f>
        <v/>
      </c>
    </row>
    <row r="1088">
      <c r="A1088" s="4" t="inlineStr">
        <is>
          <t>570</t>
        </is>
      </c>
      <c r="B1088" s="4" t="n">
        <v>5</v>
      </c>
      <c r="C1088" s="4" t="inlineStr">
        <is>
          <t>antelope</t>
        </is>
      </c>
      <c r="D1088" s="4" t="n">
        <v>2010</v>
      </c>
      <c r="E1088" s="4" t="inlineStr"/>
      <c r="F1088" s="5" t="n">
        <v>916</v>
      </c>
      <c r="G1088" s="5" t="n">
        <v>2623</v>
      </c>
      <c r="H1088" s="5" t="n">
        <v>556</v>
      </c>
      <c r="I1088" s="5" t="n">
        <v>433</v>
      </c>
      <c r="J1088" s="5" t="n">
        <v>112</v>
      </c>
      <c r="K1088" s="10">
        <f>IF(F1088&gt;0,H1088/F1088,"")</f>
        <v/>
      </c>
      <c r="L1088" s="16">
        <f>IF(AND(G1088&gt;0,H1088&gt;0),G1088/H1088,"")</f>
        <v/>
      </c>
    </row>
    <row r="1089">
      <c r="A1089" s="4" t="inlineStr">
        <is>
          <t>570</t>
        </is>
      </c>
      <c r="B1089" s="4" t="n">
        <v>5</v>
      </c>
      <c r="C1089" s="4" t="inlineStr">
        <is>
          <t>antelope</t>
        </is>
      </c>
      <c r="D1089" s="4" t="n">
        <v>2011</v>
      </c>
      <c r="E1089" s="4" t="inlineStr"/>
      <c r="F1089" s="5" t="n">
        <v>866</v>
      </c>
      <c r="G1089" s="5" t="n">
        <v>2452</v>
      </c>
      <c r="H1089" s="5" t="n">
        <v>580</v>
      </c>
      <c r="I1089" s="5" t="n">
        <v>415</v>
      </c>
      <c r="J1089" s="5" t="n">
        <v>151</v>
      </c>
      <c r="K1089" s="10">
        <f>IF(F1089&gt;0,H1089/F1089,"")</f>
        <v/>
      </c>
      <c r="L1089" s="16">
        <f>IF(AND(G1089&gt;0,H1089&gt;0),G1089/H1089,"")</f>
        <v/>
      </c>
    </row>
    <row r="1090">
      <c r="A1090" s="4" t="inlineStr">
        <is>
          <t>570</t>
        </is>
      </c>
      <c r="B1090" s="4" t="n">
        <v>5</v>
      </c>
      <c r="C1090" s="4" t="inlineStr">
        <is>
          <t>antelope</t>
        </is>
      </c>
      <c r="D1090" s="4" t="n">
        <v>2012</v>
      </c>
      <c r="E1090" s="4" t="inlineStr"/>
      <c r="F1090" s="5" t="n">
        <v>528</v>
      </c>
      <c r="G1090" s="5" t="n">
        <v>1309</v>
      </c>
      <c r="H1090" s="5" t="n">
        <v>294</v>
      </c>
      <c r="I1090" s="5" t="n">
        <v>202</v>
      </c>
      <c r="J1090" s="5" t="n">
        <v>88</v>
      </c>
      <c r="K1090" s="10">
        <f>IF(F1090&gt;0,H1090/F1090,"")</f>
        <v/>
      </c>
      <c r="L1090" s="16">
        <f>IF(AND(G1090&gt;0,H1090&gt;0),G1090/H1090,"")</f>
        <v/>
      </c>
    </row>
    <row r="1091">
      <c r="A1091" s="4" t="inlineStr">
        <is>
          <t>570</t>
        </is>
      </c>
      <c r="B1091" s="4" t="n">
        <v>5</v>
      </c>
      <c r="C1091" s="4" t="inlineStr">
        <is>
          <t>antelope</t>
        </is>
      </c>
      <c r="D1091" s="4" t="n">
        <v>2013</v>
      </c>
      <c r="E1091" s="4" t="inlineStr"/>
      <c r="F1091" s="5" t="n"/>
      <c r="G1091" s="5" t="n"/>
      <c r="H1091" s="5" t="n">
        <v>276</v>
      </c>
      <c r="I1091" s="5" t="n">
        <v>191</v>
      </c>
      <c r="J1091" s="5" t="n">
        <v>86</v>
      </c>
      <c r="K1091" s="10">
        <f>IF(F1091&gt;0,H1091/F1091,"")</f>
        <v/>
      </c>
      <c r="L1091" s="16">
        <f>IF(AND(G1091&gt;0,H1091&gt;0),G1091/H1091,"")</f>
        <v/>
      </c>
    </row>
    <row r="1092">
      <c r="A1092" s="4" t="inlineStr">
        <is>
          <t>570</t>
        </is>
      </c>
      <c r="B1092" s="4" t="n">
        <v>5</v>
      </c>
      <c r="C1092" s="4" t="inlineStr">
        <is>
          <t>antelope</t>
        </is>
      </c>
      <c r="D1092" s="4" t="n">
        <v>2014</v>
      </c>
      <c r="E1092" s="4" t="inlineStr"/>
      <c r="F1092" s="5" t="n">
        <v>572</v>
      </c>
      <c r="G1092" s="5" t="n">
        <v>1476</v>
      </c>
      <c r="H1092" s="5" t="n">
        <v>341</v>
      </c>
      <c r="I1092" s="5" t="n">
        <v>248</v>
      </c>
      <c r="J1092" s="5" t="n">
        <v>85</v>
      </c>
      <c r="K1092" s="10">
        <f>IF(F1092&gt;0,H1092/F1092,"")</f>
        <v/>
      </c>
      <c r="L1092" s="16">
        <f>IF(AND(G1092&gt;0,H1092&gt;0),G1092/H1092,"")</f>
        <v/>
      </c>
    </row>
    <row r="1093">
      <c r="A1093" s="4" t="inlineStr">
        <is>
          <t>570</t>
        </is>
      </c>
      <c r="B1093" s="4" t="n">
        <v>5</v>
      </c>
      <c r="C1093" s="4" t="inlineStr">
        <is>
          <t>antelope</t>
        </is>
      </c>
      <c r="D1093" s="4" t="n">
        <v>2015</v>
      </c>
      <c r="E1093" s="4" t="inlineStr"/>
      <c r="F1093" s="5" t="n">
        <v>632</v>
      </c>
      <c r="G1093" s="5" t="n">
        <v>1654</v>
      </c>
      <c r="H1093" s="5" t="n">
        <v>468</v>
      </c>
      <c r="I1093" s="5" t="n">
        <v>338</v>
      </c>
      <c r="J1093" s="5" t="n">
        <v>128</v>
      </c>
      <c r="K1093" s="10">
        <f>IF(F1093&gt;0,H1093/F1093,"")</f>
        <v/>
      </c>
      <c r="L1093" s="16">
        <f>IF(AND(G1093&gt;0,H1093&gt;0),G1093/H1093,"")</f>
        <v/>
      </c>
    </row>
    <row r="1094">
      <c r="A1094" s="4" t="inlineStr">
        <is>
          <t>570</t>
        </is>
      </c>
      <c r="B1094" s="4" t="n">
        <v>5</v>
      </c>
      <c r="C1094" s="4" t="inlineStr">
        <is>
          <t>antelope</t>
        </is>
      </c>
      <c r="D1094" s="4" t="n">
        <v>2016</v>
      </c>
      <c r="E1094" s="4" t="inlineStr"/>
      <c r="F1094" s="5" t="n"/>
      <c r="G1094" s="5" t="n"/>
      <c r="H1094" s="5" t="n">
        <v>698</v>
      </c>
      <c r="I1094" s="5" t="n">
        <v>488</v>
      </c>
      <c r="J1094" s="5" t="n">
        <v>194</v>
      </c>
      <c r="K1094" s="10">
        <f>IF(F1094&gt;0,H1094/F1094,"")</f>
        <v/>
      </c>
      <c r="L1094" s="16">
        <f>IF(AND(G1094&gt;0,H1094&gt;0),G1094/H1094,"")</f>
        <v/>
      </c>
    </row>
    <row r="1095">
      <c r="A1095" s="4" t="inlineStr">
        <is>
          <t>570</t>
        </is>
      </c>
      <c r="B1095" s="4" t="n">
        <v>5</v>
      </c>
      <c r="C1095" s="4" t="inlineStr">
        <is>
          <t>antelope</t>
        </is>
      </c>
      <c r="D1095" s="4" t="n">
        <v>2017</v>
      </c>
      <c r="E1095" s="4" t="inlineStr"/>
      <c r="F1095" s="5" t="n"/>
      <c r="G1095" s="5" t="n"/>
      <c r="H1095" s="5" t="n">
        <v>703</v>
      </c>
      <c r="I1095" s="5" t="n">
        <v>487</v>
      </c>
      <c r="J1095" s="5" t="n">
        <v>210</v>
      </c>
      <c r="K1095" s="10">
        <f>IF(F1095&gt;0,H1095/F1095,"")</f>
        <v/>
      </c>
      <c r="L1095" s="16">
        <f>IF(AND(G1095&gt;0,H1095&gt;0),G1095/H1095,"")</f>
        <v/>
      </c>
    </row>
    <row r="1096">
      <c r="A1096" s="4" t="inlineStr">
        <is>
          <t>570</t>
        </is>
      </c>
      <c r="B1096" s="4" t="n">
        <v>5</v>
      </c>
      <c r="C1096" s="4" t="inlineStr">
        <is>
          <t>antelope</t>
        </is>
      </c>
      <c r="D1096" s="4" t="n">
        <v>2018</v>
      </c>
      <c r="E1096" s="4" t="inlineStr"/>
      <c r="F1096" s="5" t="n">
        <v>862</v>
      </c>
      <c r="G1096" s="5" t="n">
        <v>2484</v>
      </c>
      <c r="H1096" s="5" t="n">
        <v>776</v>
      </c>
      <c r="I1096" s="5" t="n">
        <v>524</v>
      </c>
      <c r="J1096" s="5" t="n">
        <v>246</v>
      </c>
      <c r="K1096" s="10">
        <f>IF(F1096&gt;0,H1096/F1096,"")</f>
        <v/>
      </c>
      <c r="L1096" s="16">
        <f>IF(AND(G1096&gt;0,H1096&gt;0),G1096/H1096,"")</f>
        <v/>
      </c>
    </row>
    <row r="1097">
      <c r="A1097" s="4" t="inlineStr">
        <is>
          <t>570</t>
        </is>
      </c>
      <c r="B1097" s="4" t="n">
        <v>5</v>
      </c>
      <c r="C1097" s="4" t="inlineStr">
        <is>
          <t>antelope</t>
        </is>
      </c>
      <c r="D1097" s="4" t="n">
        <v>2019</v>
      </c>
      <c r="E1097" s="4" t="inlineStr"/>
      <c r="F1097" s="5" t="n"/>
      <c r="G1097" s="5" t="n"/>
      <c r="H1097" s="5" t="n">
        <v>679</v>
      </c>
      <c r="I1097" s="5" t="n">
        <v>464</v>
      </c>
      <c r="J1097" s="5" t="n">
        <v>191</v>
      </c>
      <c r="K1097" s="10">
        <f>IF(F1097&gt;0,H1097/F1097,"")</f>
        <v/>
      </c>
      <c r="L1097" s="16">
        <f>IF(AND(G1097&gt;0,H1097&gt;0),G1097/H1097,"")</f>
        <v/>
      </c>
    </row>
    <row r="1098">
      <c r="A1098" s="4" t="inlineStr">
        <is>
          <t>570</t>
        </is>
      </c>
      <c r="B1098" s="4" t="n">
        <v>5</v>
      </c>
      <c r="C1098" s="4" t="inlineStr">
        <is>
          <t>antelope</t>
        </is>
      </c>
      <c r="D1098" s="4" t="n">
        <v>2020</v>
      </c>
      <c r="E1098" s="4" t="inlineStr"/>
      <c r="F1098" s="5" t="n">
        <v>989</v>
      </c>
      <c r="G1098" s="5" t="n">
        <v>3533</v>
      </c>
      <c r="H1098" s="5" t="n">
        <v>706</v>
      </c>
      <c r="I1098" s="5" t="n">
        <v>444</v>
      </c>
      <c r="J1098" s="5" t="n">
        <v>240</v>
      </c>
      <c r="K1098" s="10">
        <f>IF(F1098&gt;0,H1098/F1098,"")</f>
        <v/>
      </c>
      <c r="L1098" s="16">
        <f>IF(AND(G1098&gt;0,H1098&gt;0),G1098/H1098,"")</f>
        <v/>
      </c>
    </row>
    <row r="1099">
      <c r="A1099" s="4" t="inlineStr">
        <is>
          <t>570</t>
        </is>
      </c>
      <c r="B1099" s="4" t="n">
        <v>5</v>
      </c>
      <c r="C1099" s="4" t="inlineStr">
        <is>
          <t>antelope</t>
        </is>
      </c>
      <c r="D1099" s="4" t="n">
        <v>2021</v>
      </c>
      <c r="E1099" s="4" t="inlineStr"/>
      <c r="F1099" s="5" t="n"/>
      <c r="G1099" s="5" t="n"/>
      <c r="H1099" s="5" t="n">
        <v>407</v>
      </c>
      <c r="I1099" s="5" t="n">
        <v>272</v>
      </c>
      <c r="J1099" s="5" t="n">
        <v>125</v>
      </c>
      <c r="K1099" s="10">
        <f>IF(F1099&gt;0,H1099/F1099,"")</f>
        <v/>
      </c>
      <c r="L1099" s="16">
        <f>IF(AND(G1099&gt;0,H1099&gt;0),G1099/H1099,"")</f>
        <v/>
      </c>
    </row>
    <row r="1100">
      <c r="A1100" s="4" t="inlineStr">
        <is>
          <t>571</t>
        </is>
      </c>
      <c r="B1100" s="4" t="n">
        <v>5</v>
      </c>
      <c r="C1100" s="4" t="inlineStr">
        <is>
          <t>antelope</t>
        </is>
      </c>
      <c r="D1100" s="4" t="n">
        <v>2004</v>
      </c>
      <c r="E1100" s="4" t="inlineStr"/>
      <c r="F1100" s="5" t="n">
        <v>356</v>
      </c>
      <c r="G1100" s="5" t="n">
        <v>1068</v>
      </c>
      <c r="H1100" s="5" t="n">
        <v>389</v>
      </c>
      <c r="I1100" s="5" t="n">
        <v>186</v>
      </c>
      <c r="J1100" s="5" t="n">
        <v>189</v>
      </c>
      <c r="K1100" s="10">
        <f>IF(F1100&gt;0,H1100/F1100,"")</f>
        <v/>
      </c>
      <c r="L1100" s="16">
        <f>IF(AND(G1100&gt;0,H1100&gt;0),G1100/H1100,"")</f>
        <v/>
      </c>
    </row>
    <row r="1101">
      <c r="A1101" s="4" t="inlineStr">
        <is>
          <t>571</t>
        </is>
      </c>
      <c r="B1101" s="4" t="n">
        <v>5</v>
      </c>
      <c r="C1101" s="4" t="inlineStr">
        <is>
          <t>antelope</t>
        </is>
      </c>
      <c r="D1101" s="4" t="n">
        <v>2005</v>
      </c>
      <c r="E1101" s="4" t="inlineStr"/>
      <c r="F1101" s="5" t="n">
        <v>376</v>
      </c>
      <c r="G1101" s="5" t="n">
        <v>908</v>
      </c>
      <c r="H1101" s="5" t="n">
        <v>211</v>
      </c>
      <c r="I1101" s="5" t="n">
        <v>160</v>
      </c>
      <c r="J1101" s="5" t="n">
        <v>52</v>
      </c>
      <c r="K1101" s="10">
        <f>IF(F1101&gt;0,H1101/F1101,"")</f>
        <v/>
      </c>
      <c r="L1101" s="16">
        <f>IF(AND(G1101&gt;0,H1101&gt;0),G1101/H1101,"")</f>
        <v/>
      </c>
    </row>
    <row r="1102">
      <c r="A1102" s="4" t="inlineStr">
        <is>
          <t>571</t>
        </is>
      </c>
      <c r="B1102" s="4" t="n">
        <v>5</v>
      </c>
      <c r="C1102" s="4" t="inlineStr">
        <is>
          <t>antelope</t>
        </is>
      </c>
      <c r="D1102" s="4" t="n">
        <v>2006</v>
      </c>
      <c r="E1102" s="4" t="inlineStr"/>
      <c r="F1102" s="5" t="n">
        <v>320</v>
      </c>
      <c r="G1102" s="5" t="n">
        <v>831</v>
      </c>
      <c r="H1102" s="5" t="n">
        <v>353</v>
      </c>
      <c r="I1102" s="5" t="n">
        <v>204</v>
      </c>
      <c r="J1102" s="5" t="n">
        <v>141</v>
      </c>
      <c r="K1102" s="10">
        <f>IF(F1102&gt;0,H1102/F1102,"")</f>
        <v/>
      </c>
      <c r="L1102" s="16">
        <f>IF(AND(G1102&gt;0,H1102&gt;0),G1102/H1102,"")</f>
        <v/>
      </c>
    </row>
    <row r="1103">
      <c r="A1103" s="4" t="inlineStr">
        <is>
          <t>571</t>
        </is>
      </c>
      <c r="B1103" s="4" t="n">
        <v>5</v>
      </c>
      <c r="C1103" s="4" t="inlineStr">
        <is>
          <t>antelope</t>
        </is>
      </c>
      <c r="D1103" s="4" t="n">
        <v>2007</v>
      </c>
      <c r="E1103" s="4" t="inlineStr"/>
      <c r="F1103" s="5" t="n">
        <v>370</v>
      </c>
      <c r="G1103" s="5" t="n">
        <v>875</v>
      </c>
      <c r="H1103" s="5" t="n">
        <v>263</v>
      </c>
      <c r="I1103" s="5" t="n">
        <v>179</v>
      </c>
      <c r="J1103" s="5" t="n">
        <v>77</v>
      </c>
      <c r="K1103" s="10">
        <f>IF(F1103&gt;0,H1103/F1103,"")</f>
        <v/>
      </c>
      <c r="L1103" s="16">
        <f>IF(AND(G1103&gt;0,H1103&gt;0),G1103/H1103,"")</f>
        <v/>
      </c>
    </row>
    <row r="1104">
      <c r="A1104" s="4" t="inlineStr">
        <is>
          <t>572</t>
        </is>
      </c>
      <c r="B1104" s="4" t="n">
        <v>5</v>
      </c>
      <c r="C1104" s="4" t="inlineStr">
        <is>
          <t>antelope</t>
        </is>
      </c>
      <c r="D1104" s="4" t="n">
        <v>2004</v>
      </c>
      <c r="E1104" s="4" t="inlineStr"/>
      <c r="F1104" s="5" t="n">
        <v>231</v>
      </c>
      <c r="G1104" s="5" t="n">
        <v>713</v>
      </c>
      <c r="H1104" s="5" t="n">
        <v>112</v>
      </c>
      <c r="I1104" s="5" t="n">
        <v>74</v>
      </c>
      <c r="J1104" s="5" t="n">
        <v>38</v>
      </c>
      <c r="K1104" s="10">
        <f>IF(F1104&gt;0,H1104/F1104,"")</f>
        <v/>
      </c>
      <c r="L1104" s="16">
        <f>IF(AND(G1104&gt;0,H1104&gt;0),G1104/H1104,"")</f>
        <v/>
      </c>
    </row>
    <row r="1105">
      <c r="A1105" s="4" t="inlineStr">
        <is>
          <t>572</t>
        </is>
      </c>
      <c r="B1105" s="4" t="n">
        <v>5</v>
      </c>
      <c r="C1105" s="4" t="inlineStr">
        <is>
          <t>antelope</t>
        </is>
      </c>
      <c r="D1105" s="4" t="n">
        <v>2005</v>
      </c>
      <c r="E1105" s="4" t="inlineStr"/>
      <c r="F1105" s="5" t="n">
        <v>242</v>
      </c>
      <c r="G1105" s="5" t="n">
        <v>725</v>
      </c>
      <c r="H1105" s="5" t="n">
        <v>130</v>
      </c>
      <c r="I1105" s="5" t="n">
        <v>85</v>
      </c>
      <c r="J1105" s="5" t="n">
        <v>43</v>
      </c>
      <c r="K1105" s="10">
        <f>IF(F1105&gt;0,H1105/F1105,"")</f>
        <v/>
      </c>
      <c r="L1105" s="16">
        <f>IF(AND(G1105&gt;0,H1105&gt;0),G1105/H1105,"")</f>
        <v/>
      </c>
    </row>
    <row r="1106">
      <c r="A1106" s="4" t="inlineStr">
        <is>
          <t>572</t>
        </is>
      </c>
      <c r="B1106" s="4" t="n">
        <v>5</v>
      </c>
      <c r="C1106" s="4" t="inlineStr">
        <is>
          <t>antelope</t>
        </is>
      </c>
      <c r="D1106" s="4" t="n">
        <v>2006</v>
      </c>
      <c r="E1106" s="4" t="inlineStr"/>
      <c r="F1106" s="5" t="n">
        <v>236</v>
      </c>
      <c r="G1106" s="5" t="n">
        <v>683</v>
      </c>
      <c r="H1106" s="5" t="n">
        <v>156</v>
      </c>
      <c r="I1106" s="5" t="n">
        <v>101</v>
      </c>
      <c r="J1106" s="5" t="n">
        <v>52</v>
      </c>
      <c r="K1106" s="10">
        <f>IF(F1106&gt;0,H1106/F1106,"")</f>
        <v/>
      </c>
      <c r="L1106" s="16">
        <f>IF(AND(G1106&gt;0,H1106&gt;0),G1106/H1106,"")</f>
        <v/>
      </c>
    </row>
    <row r="1107">
      <c r="A1107" s="4" t="inlineStr">
        <is>
          <t>572</t>
        </is>
      </c>
      <c r="B1107" s="4" t="n">
        <v>5</v>
      </c>
      <c r="C1107" s="4" t="inlineStr">
        <is>
          <t>antelope</t>
        </is>
      </c>
      <c r="D1107" s="4" t="n">
        <v>2007</v>
      </c>
      <c r="E1107" s="4" t="inlineStr"/>
      <c r="F1107" s="5" t="n">
        <v>308</v>
      </c>
      <c r="G1107" s="5" t="n">
        <v>811</v>
      </c>
      <c r="H1107" s="5" t="n">
        <v>159</v>
      </c>
      <c r="I1107" s="5" t="n">
        <v>124</v>
      </c>
      <c r="J1107" s="5" t="n">
        <v>32</v>
      </c>
      <c r="K1107" s="10">
        <f>IF(F1107&gt;0,H1107/F1107,"")</f>
        <v/>
      </c>
      <c r="L1107" s="16">
        <f>IF(AND(G1107&gt;0,H1107&gt;0),G1107/H1107,"")</f>
        <v/>
      </c>
    </row>
    <row r="1108">
      <c r="A1108" s="4" t="inlineStr">
        <is>
          <t>576</t>
        </is>
      </c>
      <c r="B1108" s="4" t="n">
        <v>5</v>
      </c>
      <c r="C1108" s="4" t="inlineStr">
        <is>
          <t>antelope</t>
        </is>
      </c>
      <c r="D1108" s="4" t="n">
        <v>2022</v>
      </c>
      <c r="E1108" s="15" t="inlineStr">
        <is>
          <t>Draw</t>
        </is>
      </c>
      <c r="F1108" s="5" t="n">
        <v>1575</v>
      </c>
      <c r="G1108" s="5" t="n">
        <v>5845</v>
      </c>
      <c r="H1108" s="5" t="n">
        <v>875</v>
      </c>
      <c r="I1108" s="5" t="n">
        <v>609</v>
      </c>
      <c r="J1108" s="5" t="n">
        <v>254</v>
      </c>
      <c r="K1108" s="10">
        <f>IF(F1108&gt;0,H1108/F1108,"")</f>
        <v/>
      </c>
      <c r="L1108" s="16">
        <f>IF(AND(G1108&gt;0,H1108&gt;0),G1108/H1108,"")</f>
        <v/>
      </c>
    </row>
    <row r="1109">
      <c r="A1109" s="4" t="inlineStr">
        <is>
          <t>576</t>
        </is>
      </c>
      <c r="B1109" s="4" t="n">
        <v>5</v>
      </c>
      <c r="C1109" s="4" t="inlineStr">
        <is>
          <t>antelope</t>
        </is>
      </c>
      <c r="D1109" s="4" t="n">
        <v>2023</v>
      </c>
      <c r="E1109" s="15" t="inlineStr">
        <is>
          <t>Draw</t>
        </is>
      </c>
      <c r="F1109" s="5" t="n"/>
      <c r="G1109" s="5" t="n"/>
      <c r="H1109" s="5" t="n">
        <v>649</v>
      </c>
      <c r="I1109" s="5" t="n">
        <v>500</v>
      </c>
      <c r="J1109" s="5" t="n">
        <v>138</v>
      </c>
      <c r="K1109" s="10">
        <f>IF(F1109&gt;0,H1109/F1109,"")</f>
        <v/>
      </c>
      <c r="L1109" s="16">
        <f>IF(AND(G1109&gt;0,H1109&gt;0),G1109/H1109,"")</f>
        <v/>
      </c>
    </row>
    <row r="1110">
      <c r="A1110" s="4" t="inlineStr">
        <is>
          <t>576</t>
        </is>
      </c>
      <c r="B1110" s="4" t="n">
        <v>5</v>
      </c>
      <c r="C1110" s="4" t="inlineStr">
        <is>
          <t>antelope</t>
        </is>
      </c>
      <c r="D1110" s="4" t="n">
        <v>2024</v>
      </c>
      <c r="E1110" s="15" t="inlineStr">
        <is>
          <t>Draw</t>
        </is>
      </c>
      <c r="F1110" s="5" t="n">
        <v>949</v>
      </c>
      <c r="G1110" s="5" t="n">
        <v>3731</v>
      </c>
      <c r="H1110" s="5" t="n">
        <v>503</v>
      </c>
      <c r="I1110" s="5" t="n">
        <v>382</v>
      </c>
      <c r="J1110" s="5" t="n">
        <v>118</v>
      </c>
      <c r="K1110" s="10">
        <f>IF(F1110&gt;0,H1110/F1110,"")</f>
        <v/>
      </c>
      <c r="L1110" s="16">
        <f>IF(AND(G1110&gt;0,H1110&gt;0),G1110/H1110,"")</f>
        <v/>
      </c>
    </row>
    <row r="1111">
      <c r="A1111" s="4" t="inlineStr">
        <is>
          <t>576</t>
        </is>
      </c>
      <c r="B1111" s="4" t="n">
        <v>5</v>
      </c>
      <c r="C1111" s="4" t="inlineStr">
        <is>
          <t>antelope</t>
        </is>
      </c>
      <c r="D1111" s="4" t="n">
        <v>2025</v>
      </c>
      <c r="E1111" s="15" t="inlineStr">
        <is>
          <t>Draw</t>
        </is>
      </c>
      <c r="F1111" s="5" t="n"/>
      <c r="G1111" s="5" t="n"/>
      <c r="H1111" s="5" t="n">
        <v>552</v>
      </c>
      <c r="I1111" s="5" t="n">
        <v>440</v>
      </c>
      <c r="J1111" s="5" t="n">
        <v>106</v>
      </c>
      <c r="K1111" s="10">
        <f>IF(F1111&gt;0,H1111/F1111,"")</f>
        <v/>
      </c>
      <c r="L1111" s="16">
        <f>IF(AND(G1111&gt;0,H1111&gt;0),G1111/H1111,"")</f>
        <v/>
      </c>
    </row>
    <row r="1112">
      <c r="A1112" s="4" t="inlineStr">
        <is>
          <t>586</t>
        </is>
      </c>
      <c r="B1112" s="4" t="n">
        <v>5</v>
      </c>
      <c r="C1112" s="4" t="inlineStr">
        <is>
          <t>antelope</t>
        </is>
      </c>
      <c r="D1112" s="4" t="n">
        <v>2022</v>
      </c>
      <c r="E1112" s="15" t="inlineStr">
        <is>
          <t>Draw</t>
        </is>
      </c>
      <c r="F1112" s="5" t="n">
        <v>334</v>
      </c>
      <c r="G1112" s="5" t="n">
        <v>826</v>
      </c>
      <c r="H1112" s="5" t="n">
        <v>239</v>
      </c>
      <c r="I1112" s="5" t="n">
        <v>171</v>
      </c>
      <c r="J1112" s="5" t="n">
        <v>64</v>
      </c>
      <c r="K1112" s="10">
        <f>IF(F1112&gt;0,H1112/F1112,"")</f>
        <v/>
      </c>
      <c r="L1112" s="16">
        <f>IF(AND(G1112&gt;0,H1112&gt;0),G1112/H1112,"")</f>
        <v/>
      </c>
    </row>
    <row r="1113">
      <c r="A1113" s="4" t="inlineStr">
        <is>
          <t>586</t>
        </is>
      </c>
      <c r="B1113" s="4" t="n">
        <v>5</v>
      </c>
      <c r="C1113" s="4" t="inlineStr">
        <is>
          <t>antelope</t>
        </is>
      </c>
      <c r="D1113" s="4" t="n">
        <v>2023</v>
      </c>
      <c r="E1113" s="15" t="inlineStr">
        <is>
          <t>Draw</t>
        </is>
      </c>
      <c r="F1113" s="5" t="n"/>
      <c r="G1113" s="5" t="n"/>
      <c r="H1113" s="5" t="n">
        <v>267</v>
      </c>
      <c r="I1113" s="5" t="n">
        <v>205</v>
      </c>
      <c r="J1113" s="5" t="n">
        <v>59</v>
      </c>
      <c r="K1113" s="10">
        <f>IF(F1113&gt;0,H1113/F1113,"")</f>
        <v/>
      </c>
      <c r="L1113" s="16">
        <f>IF(AND(G1113&gt;0,H1113&gt;0),G1113/H1113,"")</f>
        <v/>
      </c>
    </row>
    <row r="1114">
      <c r="A1114" s="4" t="inlineStr">
        <is>
          <t>586</t>
        </is>
      </c>
      <c r="B1114" s="4" t="n">
        <v>5</v>
      </c>
      <c r="C1114" s="4" t="inlineStr">
        <is>
          <t>antelope</t>
        </is>
      </c>
      <c r="D1114" s="4" t="n">
        <v>2024</v>
      </c>
      <c r="E1114" s="15" t="inlineStr">
        <is>
          <t>Draw</t>
        </is>
      </c>
      <c r="F1114" s="5" t="n">
        <v>392</v>
      </c>
      <c r="G1114" s="5" t="n">
        <v>1393</v>
      </c>
      <c r="H1114" s="5" t="n">
        <v>306</v>
      </c>
      <c r="I1114" s="5" t="n">
        <v>203</v>
      </c>
      <c r="J1114" s="5" t="n">
        <v>97</v>
      </c>
      <c r="K1114" s="10">
        <f>IF(F1114&gt;0,H1114/F1114,"")</f>
        <v/>
      </c>
      <c r="L1114" s="16">
        <f>IF(AND(G1114&gt;0,H1114&gt;0),G1114/H1114,"")</f>
        <v/>
      </c>
    </row>
    <row r="1115">
      <c r="A1115" s="4" t="inlineStr">
        <is>
          <t>586</t>
        </is>
      </c>
      <c r="B1115" s="4" t="n">
        <v>5</v>
      </c>
      <c r="C1115" s="4" t="inlineStr">
        <is>
          <t>antelope</t>
        </is>
      </c>
      <c r="D1115" s="4" t="n">
        <v>2025</v>
      </c>
      <c r="E1115" s="15" t="inlineStr">
        <is>
          <t>Draw</t>
        </is>
      </c>
      <c r="F1115" s="5" t="n"/>
      <c r="G1115" s="5" t="n"/>
      <c r="H1115" s="5" t="n">
        <v>322</v>
      </c>
      <c r="I1115" s="5" t="n">
        <v>195</v>
      </c>
      <c r="J1115" s="5" t="n">
        <v>120</v>
      </c>
      <c r="K1115" s="10">
        <f>IF(F1115&gt;0,H1115/F1115,"")</f>
        <v/>
      </c>
      <c r="L1115" s="16">
        <f>IF(AND(G1115&gt;0,H1115&gt;0),G1115/H1115,"")</f>
        <v/>
      </c>
    </row>
    <row r="1116">
      <c r="A1116" s="4" t="inlineStr">
        <is>
          <t>590</t>
        </is>
      </c>
      <c r="B1116" s="4" t="n">
        <v>5</v>
      </c>
      <c r="C1116" s="4" t="inlineStr">
        <is>
          <t>antelope</t>
        </is>
      </c>
      <c r="D1116" s="4" t="n">
        <v>2004</v>
      </c>
      <c r="E1116" s="4" t="inlineStr"/>
      <c r="F1116" s="5" t="n">
        <v>576</v>
      </c>
      <c r="G1116" s="5" t="n">
        <v>1516</v>
      </c>
      <c r="H1116" s="5" t="n">
        <v>684</v>
      </c>
      <c r="I1116" s="5" t="n">
        <v>348</v>
      </c>
      <c r="J1116" s="5" t="n">
        <v>289</v>
      </c>
      <c r="K1116" s="10">
        <f>IF(F1116&gt;0,H1116/F1116,"")</f>
        <v/>
      </c>
      <c r="L1116" s="16">
        <f>IF(AND(G1116&gt;0,H1116&gt;0),G1116/H1116,"")</f>
        <v/>
      </c>
    </row>
    <row r="1117">
      <c r="A1117" s="4" t="inlineStr">
        <is>
          <t>590</t>
        </is>
      </c>
      <c r="B1117" s="4" t="n">
        <v>5</v>
      </c>
      <c r="C1117" s="4" t="inlineStr">
        <is>
          <t>antelope</t>
        </is>
      </c>
      <c r="D1117" s="4" t="n">
        <v>2005</v>
      </c>
      <c r="E1117" s="4" t="inlineStr"/>
      <c r="F1117" s="5" t="n">
        <v>485</v>
      </c>
      <c r="G1117" s="5" t="n">
        <v>1455</v>
      </c>
      <c r="H1117" s="5" t="n">
        <v>556</v>
      </c>
      <c r="I1117" s="5" t="n">
        <v>280</v>
      </c>
      <c r="J1117" s="5" t="n">
        <v>249</v>
      </c>
      <c r="K1117" s="10">
        <f>IF(F1117&gt;0,H1117/F1117,"")</f>
        <v/>
      </c>
      <c r="L1117" s="16">
        <f>IF(AND(G1117&gt;0,H1117&gt;0),G1117/H1117,"")</f>
        <v/>
      </c>
    </row>
    <row r="1118">
      <c r="A1118" s="4" t="inlineStr">
        <is>
          <t>590</t>
        </is>
      </c>
      <c r="B1118" s="4" t="n">
        <v>5</v>
      </c>
      <c r="C1118" s="4" t="inlineStr">
        <is>
          <t>antelope</t>
        </is>
      </c>
      <c r="D1118" s="4" t="n">
        <v>2006</v>
      </c>
      <c r="E1118" s="4" t="inlineStr"/>
      <c r="F1118" s="5" t="n">
        <v>509</v>
      </c>
      <c r="G1118" s="5" t="n">
        <v>1460</v>
      </c>
      <c r="H1118" s="5" t="n">
        <v>610</v>
      </c>
      <c r="I1118" s="5" t="n">
        <v>326</v>
      </c>
      <c r="J1118" s="5" t="n">
        <v>263</v>
      </c>
      <c r="K1118" s="10">
        <f>IF(F1118&gt;0,H1118/F1118,"")</f>
        <v/>
      </c>
      <c r="L1118" s="16">
        <f>IF(AND(G1118&gt;0,H1118&gt;0),G1118/H1118,"")</f>
        <v/>
      </c>
    </row>
    <row r="1119">
      <c r="A1119" s="4" t="inlineStr">
        <is>
          <t>590</t>
        </is>
      </c>
      <c r="B1119" s="4" t="n">
        <v>5</v>
      </c>
      <c r="C1119" s="4" t="inlineStr">
        <is>
          <t>antelope</t>
        </is>
      </c>
      <c r="D1119" s="4" t="n">
        <v>2007</v>
      </c>
      <c r="E1119" s="4" t="inlineStr"/>
      <c r="F1119" s="5" t="n">
        <v>579</v>
      </c>
      <c r="G1119" s="5" t="n">
        <v>1541</v>
      </c>
      <c r="H1119" s="5" t="n">
        <v>693</v>
      </c>
      <c r="I1119" s="5" t="n">
        <v>370</v>
      </c>
      <c r="J1119" s="5" t="n">
        <v>291</v>
      </c>
      <c r="K1119" s="10">
        <f>IF(F1119&gt;0,H1119/F1119,"")</f>
        <v/>
      </c>
      <c r="L1119" s="16">
        <f>IF(AND(G1119&gt;0,H1119&gt;0),G1119/H1119,"")</f>
        <v/>
      </c>
    </row>
    <row r="1120">
      <c r="A1120" s="4" t="inlineStr">
        <is>
          <t>590</t>
        </is>
      </c>
      <c r="B1120" s="4" t="n">
        <v>5</v>
      </c>
      <c r="C1120" s="4" t="inlineStr">
        <is>
          <t>antelope</t>
        </is>
      </c>
      <c r="D1120" s="4" t="n">
        <v>2008</v>
      </c>
      <c r="E1120" s="4" t="inlineStr"/>
      <c r="F1120" s="5" t="n">
        <v>583</v>
      </c>
      <c r="G1120" s="5" t="n">
        <v>1873</v>
      </c>
      <c r="H1120" s="5" t="n">
        <v>425</v>
      </c>
      <c r="I1120" s="5" t="n">
        <v>240</v>
      </c>
      <c r="J1120" s="5" t="n">
        <v>164</v>
      </c>
      <c r="K1120" s="10">
        <f>IF(F1120&gt;0,H1120/F1120,"")</f>
        <v/>
      </c>
      <c r="L1120" s="16">
        <f>IF(AND(G1120&gt;0,H1120&gt;0),G1120/H1120,"")</f>
        <v/>
      </c>
    </row>
    <row r="1121">
      <c r="A1121" s="4" t="inlineStr">
        <is>
          <t>590</t>
        </is>
      </c>
      <c r="B1121" s="4" t="n">
        <v>5</v>
      </c>
      <c r="C1121" s="4" t="inlineStr">
        <is>
          <t>antelope</t>
        </is>
      </c>
      <c r="D1121" s="4" t="n">
        <v>2009</v>
      </c>
      <c r="E1121" s="4" t="inlineStr"/>
      <c r="F1121" s="5" t="n">
        <v>554</v>
      </c>
      <c r="G1121" s="5" t="n">
        <v>1657</v>
      </c>
      <c r="H1121" s="5" t="n">
        <v>509</v>
      </c>
      <c r="I1121" s="5" t="n">
        <v>248</v>
      </c>
      <c r="J1121" s="5" t="n">
        <v>244</v>
      </c>
      <c r="K1121" s="10">
        <f>IF(F1121&gt;0,H1121/F1121,"")</f>
        <v/>
      </c>
      <c r="L1121" s="16">
        <f>IF(AND(G1121&gt;0,H1121&gt;0),G1121/H1121,"")</f>
        <v/>
      </c>
    </row>
    <row r="1122">
      <c r="A1122" s="4" t="inlineStr">
        <is>
          <t>590</t>
        </is>
      </c>
      <c r="B1122" s="4" t="n">
        <v>5</v>
      </c>
      <c r="C1122" s="4" t="inlineStr">
        <is>
          <t>antelope</t>
        </is>
      </c>
      <c r="D1122" s="4" t="n">
        <v>2010</v>
      </c>
      <c r="E1122" s="4" t="inlineStr"/>
      <c r="F1122" s="5" t="n">
        <v>614</v>
      </c>
      <c r="G1122" s="5" t="n">
        <v>1763</v>
      </c>
      <c r="H1122" s="5" t="n">
        <v>481</v>
      </c>
      <c r="I1122" s="5" t="n">
        <v>269</v>
      </c>
      <c r="J1122" s="5" t="n">
        <v>189</v>
      </c>
      <c r="K1122" s="10">
        <f>IF(F1122&gt;0,H1122/F1122,"")</f>
        <v/>
      </c>
      <c r="L1122" s="16">
        <f>IF(AND(G1122&gt;0,H1122&gt;0),G1122/H1122,"")</f>
        <v/>
      </c>
    </row>
    <row r="1123">
      <c r="A1123" s="4" t="inlineStr">
        <is>
          <t>590</t>
        </is>
      </c>
      <c r="B1123" s="4" t="n">
        <v>5</v>
      </c>
      <c r="C1123" s="4" t="inlineStr">
        <is>
          <t>antelope</t>
        </is>
      </c>
      <c r="D1123" s="4" t="n">
        <v>2011</v>
      </c>
      <c r="E1123" s="4" t="inlineStr"/>
      <c r="F1123" s="5" t="n">
        <v>572</v>
      </c>
      <c r="G1123" s="5" t="n">
        <v>1454</v>
      </c>
      <c r="H1123" s="5" t="n">
        <v>446</v>
      </c>
      <c r="I1123" s="5" t="n">
        <v>263</v>
      </c>
      <c r="J1123" s="5" t="n">
        <v>170</v>
      </c>
      <c r="K1123" s="10">
        <f>IF(F1123&gt;0,H1123/F1123,"")</f>
        <v/>
      </c>
      <c r="L1123" s="16">
        <f>IF(AND(G1123&gt;0,H1123&gt;0),G1123/H1123,"")</f>
        <v/>
      </c>
    </row>
    <row r="1124">
      <c r="A1124" s="4" t="inlineStr">
        <is>
          <t>590</t>
        </is>
      </c>
      <c r="B1124" s="4" t="n">
        <v>5</v>
      </c>
      <c r="C1124" s="4" t="inlineStr">
        <is>
          <t>antelope</t>
        </is>
      </c>
      <c r="D1124" s="4" t="n">
        <v>2012</v>
      </c>
      <c r="E1124" s="4" t="inlineStr"/>
      <c r="F1124" s="5" t="n">
        <v>325</v>
      </c>
      <c r="G1124" s="5" t="n">
        <v>989</v>
      </c>
      <c r="H1124" s="5" t="n">
        <v>207</v>
      </c>
      <c r="I1124" s="5" t="n">
        <v>145</v>
      </c>
      <c r="J1124" s="5" t="n">
        <v>55</v>
      </c>
      <c r="K1124" s="10">
        <f>IF(F1124&gt;0,H1124/F1124,"")</f>
        <v/>
      </c>
      <c r="L1124" s="16">
        <f>IF(AND(G1124&gt;0,H1124&gt;0),G1124/H1124,"")</f>
        <v/>
      </c>
    </row>
    <row r="1125">
      <c r="A1125" s="4" t="inlineStr">
        <is>
          <t>590</t>
        </is>
      </c>
      <c r="B1125" s="4" t="n">
        <v>5</v>
      </c>
      <c r="C1125" s="4" t="inlineStr">
        <is>
          <t>antelope</t>
        </is>
      </c>
      <c r="D1125" s="4" t="n">
        <v>2013</v>
      </c>
      <c r="E1125" s="4" t="inlineStr"/>
      <c r="F1125" s="5" t="n"/>
      <c r="G1125" s="5" t="n"/>
      <c r="H1125" s="5" t="n">
        <v>344</v>
      </c>
      <c r="I1125" s="5" t="n">
        <v>188</v>
      </c>
      <c r="J1125" s="5" t="n">
        <v>133</v>
      </c>
      <c r="K1125" s="10">
        <f>IF(F1125&gt;0,H1125/F1125,"")</f>
        <v/>
      </c>
      <c r="L1125" s="16">
        <f>IF(AND(G1125&gt;0,H1125&gt;0),G1125/H1125,"")</f>
        <v/>
      </c>
    </row>
    <row r="1126">
      <c r="A1126" s="4" t="inlineStr">
        <is>
          <t>590</t>
        </is>
      </c>
      <c r="B1126" s="4" t="n">
        <v>5</v>
      </c>
      <c r="C1126" s="4" t="inlineStr">
        <is>
          <t>antelope</t>
        </is>
      </c>
      <c r="D1126" s="4" t="n">
        <v>2014</v>
      </c>
      <c r="E1126" s="4" t="inlineStr"/>
      <c r="F1126" s="5" t="n">
        <v>487</v>
      </c>
      <c r="G1126" s="5" t="n">
        <v>1209</v>
      </c>
      <c r="H1126" s="5" t="n">
        <v>318</v>
      </c>
      <c r="I1126" s="5" t="n">
        <v>219</v>
      </c>
      <c r="J1126" s="5" t="n">
        <v>90</v>
      </c>
      <c r="K1126" s="10">
        <f>IF(F1126&gt;0,H1126/F1126,"")</f>
        <v/>
      </c>
      <c r="L1126" s="16">
        <f>IF(AND(G1126&gt;0,H1126&gt;0),G1126/H1126,"")</f>
        <v/>
      </c>
    </row>
    <row r="1127">
      <c r="A1127" s="4" t="inlineStr">
        <is>
          <t>590</t>
        </is>
      </c>
      <c r="B1127" s="4" t="n">
        <v>5</v>
      </c>
      <c r="C1127" s="4" t="inlineStr">
        <is>
          <t>antelope</t>
        </is>
      </c>
      <c r="D1127" s="4" t="n">
        <v>2015</v>
      </c>
      <c r="E1127" s="4" t="inlineStr"/>
      <c r="F1127" s="5" t="n">
        <v>405</v>
      </c>
      <c r="G1127" s="5" t="n">
        <v>1180</v>
      </c>
      <c r="H1127" s="5" t="n">
        <v>286</v>
      </c>
      <c r="I1127" s="5" t="n">
        <v>209</v>
      </c>
      <c r="J1127" s="5" t="n">
        <v>73</v>
      </c>
      <c r="K1127" s="10">
        <f>IF(F1127&gt;0,H1127/F1127,"")</f>
        <v/>
      </c>
      <c r="L1127" s="16">
        <f>IF(AND(G1127&gt;0,H1127&gt;0),G1127/H1127,"")</f>
        <v/>
      </c>
    </row>
    <row r="1128">
      <c r="A1128" s="4" t="inlineStr">
        <is>
          <t>590</t>
        </is>
      </c>
      <c r="B1128" s="4" t="n">
        <v>5</v>
      </c>
      <c r="C1128" s="4" t="inlineStr">
        <is>
          <t>antelope</t>
        </is>
      </c>
      <c r="D1128" s="4" t="n">
        <v>2016</v>
      </c>
      <c r="E1128" s="4" t="inlineStr"/>
      <c r="F1128" s="5" t="n"/>
      <c r="G1128" s="5" t="n"/>
      <c r="H1128" s="5" t="n">
        <v>336</v>
      </c>
      <c r="I1128" s="5" t="n">
        <v>227</v>
      </c>
      <c r="J1128" s="5" t="n">
        <v>101</v>
      </c>
      <c r="K1128" s="10">
        <f>IF(F1128&gt;0,H1128/F1128,"")</f>
        <v/>
      </c>
      <c r="L1128" s="16">
        <f>IF(AND(G1128&gt;0,H1128&gt;0),G1128/H1128,"")</f>
        <v/>
      </c>
    </row>
    <row r="1129">
      <c r="A1129" s="4" t="inlineStr">
        <is>
          <t>590</t>
        </is>
      </c>
      <c r="B1129" s="4" t="n">
        <v>5</v>
      </c>
      <c r="C1129" s="4" t="inlineStr">
        <is>
          <t>antelope</t>
        </is>
      </c>
      <c r="D1129" s="4" t="n">
        <v>2017</v>
      </c>
      <c r="E1129" s="4" t="inlineStr"/>
      <c r="F1129" s="5" t="n"/>
      <c r="G1129" s="5" t="n"/>
      <c r="H1129" s="5" t="n">
        <v>323</v>
      </c>
      <c r="I1129" s="5" t="n">
        <v>193</v>
      </c>
      <c r="J1129" s="5" t="n">
        <v>124</v>
      </c>
      <c r="K1129" s="10">
        <f>IF(F1129&gt;0,H1129/F1129,"")</f>
        <v/>
      </c>
      <c r="L1129" s="16">
        <f>IF(AND(G1129&gt;0,H1129&gt;0),G1129/H1129,"")</f>
        <v/>
      </c>
    </row>
    <row r="1130">
      <c r="A1130" s="4" t="inlineStr">
        <is>
          <t>590</t>
        </is>
      </c>
      <c r="B1130" s="4" t="n">
        <v>5</v>
      </c>
      <c r="C1130" s="4" t="inlineStr">
        <is>
          <t>antelope</t>
        </is>
      </c>
      <c r="D1130" s="4" t="n">
        <v>2018</v>
      </c>
      <c r="E1130" s="4" t="inlineStr"/>
      <c r="F1130" s="5" t="n">
        <v>402</v>
      </c>
      <c r="G1130" s="5" t="n">
        <v>1487</v>
      </c>
      <c r="H1130" s="5" t="n">
        <v>190</v>
      </c>
      <c r="I1130" s="5" t="n">
        <v>129</v>
      </c>
      <c r="J1130" s="5" t="n">
        <v>54</v>
      </c>
      <c r="K1130" s="10">
        <f>IF(F1130&gt;0,H1130/F1130,"")</f>
        <v/>
      </c>
      <c r="L1130" s="16">
        <f>IF(AND(G1130&gt;0,H1130&gt;0),G1130/H1130,"")</f>
        <v/>
      </c>
    </row>
    <row r="1131">
      <c r="A1131" s="4" t="inlineStr">
        <is>
          <t>590</t>
        </is>
      </c>
      <c r="B1131" s="4" t="n">
        <v>5</v>
      </c>
      <c r="C1131" s="4" t="inlineStr">
        <is>
          <t>antelope</t>
        </is>
      </c>
      <c r="D1131" s="4" t="n">
        <v>2019</v>
      </c>
      <c r="E1131" s="4" t="inlineStr"/>
      <c r="F1131" s="5" t="n"/>
      <c r="G1131" s="5" t="n"/>
      <c r="H1131" s="5" t="n">
        <v>131</v>
      </c>
      <c r="I1131" s="5" t="n">
        <v>91</v>
      </c>
      <c r="J1131" s="5" t="n">
        <v>37</v>
      </c>
      <c r="K1131" s="10">
        <f>IF(F1131&gt;0,H1131/F1131,"")</f>
        <v/>
      </c>
      <c r="L1131" s="16">
        <f>IF(AND(G1131&gt;0,H1131&gt;0),G1131/H1131,"")</f>
        <v/>
      </c>
    </row>
    <row r="1132">
      <c r="A1132" s="4" t="inlineStr">
        <is>
          <t>590</t>
        </is>
      </c>
      <c r="B1132" s="4" t="n">
        <v>5</v>
      </c>
      <c r="C1132" s="4" t="inlineStr">
        <is>
          <t>antelope</t>
        </is>
      </c>
      <c r="D1132" s="4" t="n">
        <v>2020</v>
      </c>
      <c r="E1132" s="4" t="inlineStr"/>
      <c r="F1132" s="5" t="n">
        <v>375</v>
      </c>
      <c r="G1132" s="5" t="n">
        <v>1348</v>
      </c>
      <c r="H1132" s="5" t="n">
        <v>187</v>
      </c>
      <c r="I1132" s="5" t="n">
        <v>122</v>
      </c>
      <c r="J1132" s="5" t="n">
        <v>63</v>
      </c>
      <c r="K1132" s="10">
        <f>IF(F1132&gt;0,H1132/F1132,"")</f>
        <v/>
      </c>
      <c r="L1132" s="16">
        <f>IF(AND(G1132&gt;0,H1132&gt;0),G1132/H1132,"")</f>
        <v/>
      </c>
    </row>
    <row r="1133">
      <c r="A1133" s="4" t="inlineStr">
        <is>
          <t>590</t>
        </is>
      </c>
      <c r="B1133" s="4" t="n">
        <v>5</v>
      </c>
      <c r="C1133" s="4" t="inlineStr">
        <is>
          <t>antelope</t>
        </is>
      </c>
      <c r="D1133" s="4" t="n">
        <v>2021</v>
      </c>
      <c r="E1133" s="4" t="inlineStr"/>
      <c r="F1133" s="5" t="n"/>
      <c r="G1133" s="5" t="n"/>
      <c r="H1133" s="5" t="n">
        <v>235</v>
      </c>
      <c r="I1133" s="5" t="n">
        <v>160</v>
      </c>
      <c r="J1133" s="5" t="n">
        <v>75</v>
      </c>
      <c r="K1133" s="10">
        <f>IF(F1133&gt;0,H1133/F1133,"")</f>
        <v/>
      </c>
      <c r="L1133" s="16">
        <f>IF(AND(G1133&gt;0,H1133&gt;0),G1133/H1133,"")</f>
        <v/>
      </c>
    </row>
    <row r="1134">
      <c r="A1134" s="4" t="inlineStr">
        <is>
          <t>596</t>
        </is>
      </c>
      <c r="B1134" s="4" t="n">
        <v>5</v>
      </c>
      <c r="C1134" s="4" t="inlineStr">
        <is>
          <t>antelope</t>
        </is>
      </c>
      <c r="D1134" s="4" t="n">
        <v>2022</v>
      </c>
      <c r="E1134" s="15" t="inlineStr">
        <is>
          <t>Draw</t>
        </is>
      </c>
      <c r="F1134" s="5" t="n">
        <v>305</v>
      </c>
      <c r="G1134" s="5" t="n">
        <v>1506</v>
      </c>
      <c r="H1134" s="5" t="n">
        <v>123</v>
      </c>
      <c r="I1134" s="5" t="n">
        <v>105</v>
      </c>
      <c r="J1134" s="5" t="n">
        <v>16</v>
      </c>
      <c r="K1134" s="10">
        <f>IF(F1134&gt;0,H1134/F1134,"")</f>
        <v/>
      </c>
      <c r="L1134" s="16">
        <f>IF(AND(G1134&gt;0,H1134&gt;0),G1134/H1134,"")</f>
        <v/>
      </c>
    </row>
    <row r="1135">
      <c r="A1135" s="4" t="inlineStr">
        <is>
          <t>596</t>
        </is>
      </c>
      <c r="B1135" s="4" t="n">
        <v>5</v>
      </c>
      <c r="C1135" s="4" t="inlineStr">
        <is>
          <t>antelope</t>
        </is>
      </c>
      <c r="D1135" s="4" t="n">
        <v>2023</v>
      </c>
      <c r="E1135" s="15" t="inlineStr">
        <is>
          <t>Draw</t>
        </is>
      </c>
      <c r="F1135" s="5" t="n"/>
      <c r="G1135" s="5" t="n"/>
      <c r="H1135" s="5" t="n">
        <v>158</v>
      </c>
      <c r="I1135" s="5" t="n">
        <v>103</v>
      </c>
      <c r="J1135" s="5" t="n">
        <v>53</v>
      </c>
      <c r="K1135" s="10">
        <f>IF(F1135&gt;0,H1135/F1135,"")</f>
        <v/>
      </c>
      <c r="L1135" s="16">
        <f>IF(AND(G1135&gt;0,H1135&gt;0),G1135/H1135,"")</f>
        <v/>
      </c>
    </row>
    <row r="1136">
      <c r="A1136" s="4" t="inlineStr">
        <is>
          <t>596</t>
        </is>
      </c>
      <c r="B1136" s="4" t="n">
        <v>5</v>
      </c>
      <c r="C1136" s="4" t="inlineStr">
        <is>
          <t>antelope</t>
        </is>
      </c>
      <c r="D1136" s="4" t="n">
        <v>2024</v>
      </c>
      <c r="E1136" s="15" t="inlineStr">
        <is>
          <t>Draw</t>
        </is>
      </c>
      <c r="F1136" s="5" t="n">
        <v>295</v>
      </c>
      <c r="G1136" s="5" t="n">
        <v>1369</v>
      </c>
      <c r="H1136" s="5" t="n">
        <v>108</v>
      </c>
      <c r="I1136" s="5" t="n">
        <v>91</v>
      </c>
      <c r="J1136" s="5" t="n">
        <v>17</v>
      </c>
      <c r="K1136" s="10">
        <f>IF(F1136&gt;0,H1136/F1136,"")</f>
        <v/>
      </c>
      <c r="L1136" s="16">
        <f>IF(AND(G1136&gt;0,H1136&gt;0),G1136/H1136,"")</f>
        <v/>
      </c>
    </row>
    <row r="1137">
      <c r="A1137" s="4" t="inlineStr">
        <is>
          <t>596</t>
        </is>
      </c>
      <c r="B1137" s="4" t="n">
        <v>5</v>
      </c>
      <c r="C1137" s="4" t="inlineStr">
        <is>
          <t>antelope</t>
        </is>
      </c>
      <c r="D1137" s="4" t="n">
        <v>2025</v>
      </c>
      <c r="E1137" s="15" t="inlineStr">
        <is>
          <t>Draw</t>
        </is>
      </c>
      <c r="F1137" s="5" t="n"/>
      <c r="G1137" s="5" t="n"/>
      <c r="H1137" s="5" t="n">
        <v>101</v>
      </c>
      <c r="I1137" s="5" t="n">
        <v>73</v>
      </c>
      <c r="J1137" s="5" t="n">
        <v>28</v>
      </c>
      <c r="K1137" s="10">
        <f>IF(F1137&gt;0,H1137/F1137,"")</f>
        <v/>
      </c>
      <c r="L1137" s="16">
        <f>IF(AND(G1137&gt;0,H1137&gt;0),G1137/H1137,"")</f>
        <v/>
      </c>
    </row>
    <row r="1138">
      <c r="A1138" s="4" t="inlineStr">
        <is>
          <t>600</t>
        </is>
      </c>
      <c r="B1138" s="4" t="n">
        <v>6</v>
      </c>
      <c r="C1138" s="4" t="inlineStr">
        <is>
          <t>antelope</t>
        </is>
      </c>
      <c r="D1138" s="4" t="n">
        <v>2004</v>
      </c>
      <c r="E1138" s="15" t="inlineStr">
        <is>
          <t>Draw</t>
        </is>
      </c>
      <c r="F1138" s="5" t="n">
        <v>1017</v>
      </c>
      <c r="G1138" s="5" t="n">
        <v>3295</v>
      </c>
      <c r="H1138" s="5" t="n">
        <v>670</v>
      </c>
      <c r="I1138" s="5" t="n">
        <v>478</v>
      </c>
      <c r="J1138" s="5" t="n">
        <v>168</v>
      </c>
      <c r="K1138" s="10">
        <f>IF(F1138&gt;0,H1138/F1138,"")</f>
        <v/>
      </c>
      <c r="L1138" s="16">
        <f>IF(AND(G1138&gt;0,H1138&gt;0),G1138/H1138,"")</f>
        <v/>
      </c>
    </row>
    <row r="1139">
      <c r="A1139" s="4" t="inlineStr">
        <is>
          <t>600</t>
        </is>
      </c>
      <c r="B1139" s="4" t="n">
        <v>6</v>
      </c>
      <c r="C1139" s="4" t="inlineStr">
        <is>
          <t>antelope</t>
        </is>
      </c>
      <c r="D1139" s="4" t="n">
        <v>2005</v>
      </c>
      <c r="E1139" s="15" t="inlineStr">
        <is>
          <t>Draw</t>
        </is>
      </c>
      <c r="F1139" s="5" t="n">
        <v>1020</v>
      </c>
      <c r="G1139" s="5" t="n">
        <v>2836</v>
      </c>
      <c r="H1139" s="5" t="n">
        <v>673</v>
      </c>
      <c r="I1139" s="5" t="n">
        <v>487</v>
      </c>
      <c r="J1139" s="5" t="n">
        <v>172</v>
      </c>
      <c r="K1139" s="10">
        <f>IF(F1139&gt;0,H1139/F1139,"")</f>
        <v/>
      </c>
      <c r="L1139" s="16">
        <f>IF(AND(G1139&gt;0,H1139&gt;0),G1139/H1139,"")</f>
        <v/>
      </c>
    </row>
    <row r="1140">
      <c r="A1140" s="4" t="inlineStr">
        <is>
          <t>600</t>
        </is>
      </c>
      <c r="B1140" s="4" t="n">
        <v>6</v>
      </c>
      <c r="C1140" s="4" t="inlineStr">
        <is>
          <t>antelope</t>
        </is>
      </c>
      <c r="D1140" s="4" t="n">
        <v>2006</v>
      </c>
      <c r="E1140" s="15" t="inlineStr">
        <is>
          <t>Draw</t>
        </is>
      </c>
      <c r="F1140" s="5" t="n">
        <v>936</v>
      </c>
      <c r="G1140" s="5" t="n">
        <v>2739</v>
      </c>
      <c r="H1140" s="5" t="n">
        <v>671</v>
      </c>
      <c r="I1140" s="5" t="n">
        <v>524</v>
      </c>
      <c r="J1140" s="5" t="n">
        <v>132</v>
      </c>
      <c r="K1140" s="10">
        <f>IF(F1140&gt;0,H1140/F1140,"")</f>
        <v/>
      </c>
      <c r="L1140" s="16">
        <f>IF(AND(G1140&gt;0,H1140&gt;0),G1140/H1140,"")</f>
        <v/>
      </c>
    </row>
    <row r="1141">
      <c r="A1141" s="4" t="inlineStr">
        <is>
          <t>600</t>
        </is>
      </c>
      <c r="B1141" s="4" t="n">
        <v>6</v>
      </c>
      <c r="C1141" s="4" t="inlineStr">
        <is>
          <t>antelope</t>
        </is>
      </c>
      <c r="D1141" s="4" t="n">
        <v>2007</v>
      </c>
      <c r="E1141" s="15" t="inlineStr">
        <is>
          <t>Draw</t>
        </is>
      </c>
      <c r="F1141" s="5" t="n">
        <v>1050</v>
      </c>
      <c r="G1141" s="5" t="n">
        <v>3418</v>
      </c>
      <c r="H1141" s="5" t="n">
        <v>752</v>
      </c>
      <c r="I1141" s="5" t="n">
        <v>597</v>
      </c>
      <c r="J1141" s="5" t="n">
        <v>152</v>
      </c>
      <c r="K1141" s="10">
        <f>IF(F1141&gt;0,H1141/F1141,"")</f>
        <v/>
      </c>
      <c r="L1141" s="16">
        <f>IF(AND(G1141&gt;0,H1141&gt;0),G1141/H1141,"")</f>
        <v/>
      </c>
    </row>
    <row r="1142">
      <c r="A1142" s="4" t="inlineStr">
        <is>
          <t>600</t>
        </is>
      </c>
      <c r="B1142" s="4" t="n">
        <v>6</v>
      </c>
      <c r="C1142" s="4" t="inlineStr">
        <is>
          <t>antelope</t>
        </is>
      </c>
      <c r="D1142" s="4" t="n">
        <v>2008</v>
      </c>
      <c r="E1142" s="15" t="inlineStr">
        <is>
          <t>Draw</t>
        </is>
      </c>
      <c r="F1142" s="5" t="n">
        <v>1058</v>
      </c>
      <c r="G1142" s="5" t="n">
        <v>3541</v>
      </c>
      <c r="H1142" s="5" t="n">
        <v>673</v>
      </c>
      <c r="I1142" s="5" t="n">
        <v>504</v>
      </c>
      <c r="J1142" s="5" t="n">
        <v>162</v>
      </c>
      <c r="K1142" s="10">
        <f>IF(F1142&gt;0,H1142/F1142,"")</f>
        <v/>
      </c>
      <c r="L1142" s="16">
        <f>IF(AND(G1142&gt;0,H1142&gt;0),G1142/H1142,"")</f>
        <v/>
      </c>
    </row>
    <row r="1143">
      <c r="A1143" s="4" t="inlineStr">
        <is>
          <t>600</t>
        </is>
      </c>
      <c r="B1143" s="4" t="n">
        <v>6</v>
      </c>
      <c r="C1143" s="4" t="inlineStr">
        <is>
          <t>antelope</t>
        </is>
      </c>
      <c r="D1143" s="4" t="n">
        <v>2009</v>
      </c>
      <c r="E1143" s="15" t="inlineStr">
        <is>
          <t>Draw</t>
        </is>
      </c>
      <c r="F1143" s="5" t="n">
        <v>881</v>
      </c>
      <c r="G1143" s="5" t="n">
        <v>2763</v>
      </c>
      <c r="H1143" s="5" t="n">
        <v>626</v>
      </c>
      <c r="I1143" s="5" t="n">
        <v>459</v>
      </c>
      <c r="J1143" s="5" t="n">
        <v>157</v>
      </c>
      <c r="K1143" s="10">
        <f>IF(F1143&gt;0,H1143/F1143,"")</f>
        <v/>
      </c>
      <c r="L1143" s="16">
        <f>IF(AND(G1143&gt;0,H1143&gt;0),G1143/H1143,"")</f>
        <v/>
      </c>
    </row>
    <row r="1144">
      <c r="A1144" s="4" t="inlineStr">
        <is>
          <t>600</t>
        </is>
      </c>
      <c r="B1144" s="4" t="n">
        <v>6</v>
      </c>
      <c r="C1144" s="4" t="inlineStr">
        <is>
          <t>antelope</t>
        </is>
      </c>
      <c r="D1144" s="4" t="n">
        <v>2010</v>
      </c>
      <c r="E1144" s="15" t="inlineStr">
        <is>
          <t>Draw</t>
        </is>
      </c>
      <c r="F1144" s="5" t="n">
        <v>835</v>
      </c>
      <c r="G1144" s="5" t="n">
        <v>2828</v>
      </c>
      <c r="H1144" s="5" t="n">
        <v>531</v>
      </c>
      <c r="I1144" s="5" t="n">
        <v>391</v>
      </c>
      <c r="J1144" s="5" t="n">
        <v>136</v>
      </c>
      <c r="K1144" s="10">
        <f>IF(F1144&gt;0,H1144/F1144,"")</f>
        <v/>
      </c>
      <c r="L1144" s="16">
        <f>IF(AND(G1144&gt;0,H1144&gt;0),G1144/H1144,"")</f>
        <v/>
      </c>
    </row>
    <row r="1145">
      <c r="A1145" s="4" t="inlineStr">
        <is>
          <t>600</t>
        </is>
      </c>
      <c r="B1145" s="4" t="n">
        <v>6</v>
      </c>
      <c r="C1145" s="4" t="inlineStr">
        <is>
          <t>antelope</t>
        </is>
      </c>
      <c r="D1145" s="4" t="n">
        <v>2011</v>
      </c>
      <c r="E1145" s="15" t="inlineStr">
        <is>
          <t>Draw</t>
        </is>
      </c>
      <c r="F1145" s="5" t="n">
        <v>306</v>
      </c>
      <c r="G1145" s="5" t="n">
        <v>1215</v>
      </c>
      <c r="H1145" s="5" t="n">
        <v>137</v>
      </c>
      <c r="I1145" s="5" t="n">
        <v>104</v>
      </c>
      <c r="J1145" s="5" t="n">
        <v>33</v>
      </c>
      <c r="K1145" s="10">
        <f>IF(F1145&gt;0,H1145/F1145,"")</f>
        <v/>
      </c>
      <c r="L1145" s="16">
        <f>IF(AND(G1145&gt;0,H1145&gt;0),G1145/H1145,"")</f>
        <v/>
      </c>
    </row>
    <row r="1146">
      <c r="A1146" s="4" t="inlineStr">
        <is>
          <t>600</t>
        </is>
      </c>
      <c r="B1146" s="4" t="n">
        <v>6</v>
      </c>
      <c r="C1146" s="4" t="inlineStr">
        <is>
          <t>antelope</t>
        </is>
      </c>
      <c r="D1146" s="4" t="n">
        <v>2012</v>
      </c>
      <c r="E1146" s="15" t="inlineStr">
        <is>
          <t>Draw</t>
        </is>
      </c>
      <c r="F1146" s="5" t="n">
        <v>181</v>
      </c>
      <c r="G1146" s="5" t="n">
        <v>788</v>
      </c>
      <c r="H1146" s="5" t="n">
        <v>75</v>
      </c>
      <c r="I1146" s="5" t="n">
        <v>50</v>
      </c>
      <c r="J1146" s="5" t="n">
        <v>24</v>
      </c>
      <c r="K1146" s="10">
        <f>IF(F1146&gt;0,H1146/F1146,"")</f>
        <v/>
      </c>
      <c r="L1146" s="16">
        <f>IF(AND(G1146&gt;0,H1146&gt;0),G1146/H1146,"")</f>
        <v/>
      </c>
    </row>
    <row r="1147">
      <c r="A1147" s="4" t="inlineStr">
        <is>
          <t>600</t>
        </is>
      </c>
      <c r="B1147" s="4" t="n">
        <v>6</v>
      </c>
      <c r="C1147" s="4" t="inlineStr">
        <is>
          <t>antelope</t>
        </is>
      </c>
      <c r="D1147" s="4" t="n">
        <v>2013</v>
      </c>
      <c r="E1147" s="15" t="inlineStr">
        <is>
          <t>Draw</t>
        </is>
      </c>
      <c r="F1147" s="5" t="n"/>
      <c r="G1147" s="5" t="n"/>
      <c r="H1147" s="5" t="n">
        <v>67</v>
      </c>
      <c r="I1147" s="5" t="n">
        <v>47</v>
      </c>
      <c r="J1147" s="5" t="n">
        <v>20</v>
      </c>
      <c r="K1147" s="10">
        <f>IF(F1147&gt;0,H1147/F1147,"")</f>
        <v/>
      </c>
      <c r="L1147" s="16">
        <f>IF(AND(G1147&gt;0,H1147&gt;0),G1147/H1147,"")</f>
        <v/>
      </c>
    </row>
    <row r="1148">
      <c r="A1148" s="4" t="inlineStr">
        <is>
          <t>600</t>
        </is>
      </c>
      <c r="B1148" s="4" t="n">
        <v>6</v>
      </c>
      <c r="C1148" s="4" t="inlineStr">
        <is>
          <t>antelope</t>
        </is>
      </c>
      <c r="D1148" s="4" t="n">
        <v>2014</v>
      </c>
      <c r="E1148" s="15" t="inlineStr">
        <is>
          <t>Draw</t>
        </is>
      </c>
      <c r="F1148" s="5" t="n">
        <v>168</v>
      </c>
      <c r="G1148" s="5" t="n">
        <v>558</v>
      </c>
      <c r="H1148" s="5" t="n">
        <v>85</v>
      </c>
      <c r="I1148" s="5" t="n">
        <v>54</v>
      </c>
      <c r="J1148" s="5" t="n">
        <v>31</v>
      </c>
      <c r="K1148" s="10">
        <f>IF(F1148&gt;0,H1148/F1148,"")</f>
        <v/>
      </c>
      <c r="L1148" s="16">
        <f>IF(AND(G1148&gt;0,H1148&gt;0),G1148/H1148,"")</f>
        <v/>
      </c>
    </row>
    <row r="1149">
      <c r="A1149" s="4" t="inlineStr">
        <is>
          <t>600</t>
        </is>
      </c>
      <c r="B1149" s="4" t="n">
        <v>6</v>
      </c>
      <c r="C1149" s="4" t="inlineStr">
        <is>
          <t>antelope</t>
        </is>
      </c>
      <c r="D1149" s="4" t="n">
        <v>2015</v>
      </c>
      <c r="E1149" s="15" t="inlineStr">
        <is>
          <t>Draw</t>
        </is>
      </c>
      <c r="F1149" s="5" t="n">
        <v>153</v>
      </c>
      <c r="G1149" s="5" t="n">
        <v>604</v>
      </c>
      <c r="H1149" s="5" t="n">
        <v>87</v>
      </c>
      <c r="I1149" s="5" t="n">
        <v>68</v>
      </c>
      <c r="J1149" s="5" t="n">
        <v>18</v>
      </c>
      <c r="K1149" s="10">
        <f>IF(F1149&gt;0,H1149/F1149,"")</f>
        <v/>
      </c>
      <c r="L1149" s="16">
        <f>IF(AND(G1149&gt;0,H1149&gt;0),G1149/H1149,"")</f>
        <v/>
      </c>
    </row>
    <row r="1150">
      <c r="A1150" s="4" t="inlineStr">
        <is>
          <t>600</t>
        </is>
      </c>
      <c r="B1150" s="4" t="n">
        <v>6</v>
      </c>
      <c r="C1150" s="4" t="inlineStr">
        <is>
          <t>antelope</t>
        </is>
      </c>
      <c r="D1150" s="4" t="n">
        <v>2016</v>
      </c>
      <c r="E1150" s="15" t="inlineStr">
        <is>
          <t>Draw</t>
        </is>
      </c>
      <c r="F1150" s="5" t="n"/>
      <c r="G1150" s="5" t="n"/>
      <c r="H1150" s="5" t="n">
        <v>90</v>
      </c>
      <c r="I1150" s="5" t="n">
        <v>74</v>
      </c>
      <c r="J1150" s="5" t="n">
        <v>16</v>
      </c>
      <c r="K1150" s="10">
        <f>IF(F1150&gt;0,H1150/F1150,"")</f>
        <v/>
      </c>
      <c r="L1150" s="16">
        <f>IF(AND(G1150&gt;0,H1150&gt;0),G1150/H1150,"")</f>
        <v/>
      </c>
    </row>
    <row r="1151">
      <c r="A1151" s="4" t="inlineStr">
        <is>
          <t>600</t>
        </is>
      </c>
      <c r="B1151" s="4" t="n">
        <v>6</v>
      </c>
      <c r="C1151" s="4" t="inlineStr">
        <is>
          <t>antelope</t>
        </is>
      </c>
      <c r="D1151" s="4" t="n">
        <v>2017</v>
      </c>
      <c r="E1151" s="15" t="inlineStr">
        <is>
          <t>Draw</t>
        </is>
      </c>
      <c r="F1151" s="5" t="n"/>
      <c r="G1151" s="5" t="n"/>
      <c r="H1151" s="5" t="n">
        <v>123</v>
      </c>
      <c r="I1151" s="5" t="n">
        <v>93</v>
      </c>
      <c r="J1151" s="5" t="n">
        <v>31</v>
      </c>
      <c r="K1151" s="10">
        <f>IF(F1151&gt;0,H1151/F1151,"")</f>
        <v/>
      </c>
      <c r="L1151" s="16">
        <f>IF(AND(G1151&gt;0,H1151&gt;0),G1151/H1151,"")</f>
        <v/>
      </c>
    </row>
    <row r="1152">
      <c r="A1152" s="4" t="inlineStr">
        <is>
          <t>600</t>
        </is>
      </c>
      <c r="B1152" s="4" t="n">
        <v>6</v>
      </c>
      <c r="C1152" s="4" t="inlineStr">
        <is>
          <t>antelope</t>
        </is>
      </c>
      <c r="D1152" s="4" t="n">
        <v>2018</v>
      </c>
      <c r="E1152" s="15" t="inlineStr">
        <is>
          <t>Draw</t>
        </is>
      </c>
      <c r="F1152" s="5" t="n">
        <v>219</v>
      </c>
      <c r="G1152" s="5" t="n">
        <v>615</v>
      </c>
      <c r="H1152" s="5" t="n">
        <v>91</v>
      </c>
      <c r="I1152" s="5" t="n">
        <v>61</v>
      </c>
      <c r="J1152" s="5" t="n">
        <v>28</v>
      </c>
      <c r="K1152" s="10">
        <f>IF(F1152&gt;0,H1152/F1152,"")</f>
        <v/>
      </c>
      <c r="L1152" s="16">
        <f>IF(AND(G1152&gt;0,H1152&gt;0),G1152/H1152,"")</f>
        <v/>
      </c>
    </row>
    <row r="1153">
      <c r="A1153" s="4" t="inlineStr">
        <is>
          <t>600</t>
        </is>
      </c>
      <c r="B1153" s="4" t="n">
        <v>6</v>
      </c>
      <c r="C1153" s="4" t="inlineStr">
        <is>
          <t>antelope</t>
        </is>
      </c>
      <c r="D1153" s="4" t="n">
        <v>2019</v>
      </c>
      <c r="E1153" s="15" t="inlineStr">
        <is>
          <t>Draw</t>
        </is>
      </c>
      <c r="F1153" s="5" t="n"/>
      <c r="G1153" s="5" t="n"/>
      <c r="H1153" s="5" t="n">
        <v>108</v>
      </c>
      <c r="I1153" s="5" t="n">
        <v>92</v>
      </c>
      <c r="J1153" s="5" t="n">
        <v>13</v>
      </c>
      <c r="K1153" s="10">
        <f>IF(F1153&gt;0,H1153/F1153,"")</f>
        <v/>
      </c>
      <c r="L1153" s="16">
        <f>IF(AND(G1153&gt;0,H1153&gt;0),G1153/H1153,"")</f>
        <v/>
      </c>
    </row>
    <row r="1154">
      <c r="A1154" s="4" t="inlineStr">
        <is>
          <t>600</t>
        </is>
      </c>
      <c r="B1154" s="4" t="n">
        <v>6</v>
      </c>
      <c r="C1154" s="4" t="inlineStr">
        <is>
          <t>antelope</t>
        </is>
      </c>
      <c r="D1154" s="4" t="n">
        <v>2020</v>
      </c>
      <c r="E1154" s="15" t="inlineStr">
        <is>
          <t>Draw</t>
        </is>
      </c>
      <c r="F1154" s="5" t="n">
        <v>306</v>
      </c>
      <c r="G1154" s="5" t="n">
        <v>1073</v>
      </c>
      <c r="H1154" s="5" t="n">
        <v>208</v>
      </c>
      <c r="I1154" s="5" t="n">
        <v>190</v>
      </c>
      <c r="J1154" s="5" t="n">
        <v>15</v>
      </c>
      <c r="K1154" s="10">
        <f>IF(F1154&gt;0,H1154/F1154,"")</f>
        <v/>
      </c>
      <c r="L1154" s="16">
        <f>IF(AND(G1154&gt;0,H1154&gt;0),G1154/H1154,"")</f>
        <v/>
      </c>
    </row>
    <row r="1155">
      <c r="A1155" s="4" t="inlineStr">
        <is>
          <t>600</t>
        </is>
      </c>
      <c r="B1155" s="4" t="n">
        <v>6</v>
      </c>
      <c r="C1155" s="4" t="inlineStr">
        <is>
          <t>antelope</t>
        </is>
      </c>
      <c r="D1155" s="4" t="n">
        <v>2021</v>
      </c>
      <c r="E1155" s="15" t="inlineStr">
        <is>
          <t>Draw</t>
        </is>
      </c>
      <c r="F1155" s="5" t="n"/>
      <c r="G1155" s="5" t="n"/>
      <c r="H1155" s="5" t="n">
        <v>184</v>
      </c>
      <c r="I1155" s="5" t="n">
        <v>154</v>
      </c>
      <c r="J1155" s="5" t="n">
        <v>31</v>
      </c>
      <c r="K1155" s="10">
        <f>IF(F1155&gt;0,H1155/F1155,"")</f>
        <v/>
      </c>
      <c r="L1155" s="16">
        <f>IF(AND(G1155&gt;0,H1155&gt;0),G1155/H1155,"")</f>
        <v/>
      </c>
    </row>
    <row r="1156">
      <c r="A1156" s="4" t="inlineStr">
        <is>
          <t>600</t>
        </is>
      </c>
      <c r="B1156" s="4" t="n">
        <v>6</v>
      </c>
      <c r="C1156" s="4" t="inlineStr">
        <is>
          <t>antelope</t>
        </is>
      </c>
      <c r="D1156" s="4" t="n">
        <v>2022</v>
      </c>
      <c r="E1156" s="15" t="inlineStr">
        <is>
          <t>Draw</t>
        </is>
      </c>
      <c r="F1156" s="5" t="n">
        <v>303</v>
      </c>
      <c r="G1156" s="5" t="n">
        <v>1195</v>
      </c>
      <c r="H1156" s="5" t="n">
        <v>213</v>
      </c>
      <c r="I1156" s="5" t="n">
        <v>174</v>
      </c>
      <c r="J1156" s="5" t="n">
        <v>38</v>
      </c>
      <c r="K1156" s="10">
        <f>IF(F1156&gt;0,H1156/F1156,"")</f>
        <v/>
      </c>
      <c r="L1156" s="16">
        <f>IF(AND(G1156&gt;0,H1156&gt;0),G1156/H1156,"")</f>
        <v/>
      </c>
    </row>
    <row r="1157">
      <c r="A1157" s="4" t="inlineStr">
        <is>
          <t>600</t>
        </is>
      </c>
      <c r="B1157" s="4" t="n">
        <v>6</v>
      </c>
      <c r="C1157" s="4" t="inlineStr">
        <is>
          <t>antelope</t>
        </is>
      </c>
      <c r="D1157" s="4" t="n">
        <v>2023</v>
      </c>
      <c r="E1157" s="15" t="inlineStr">
        <is>
          <t>Draw</t>
        </is>
      </c>
      <c r="F1157" s="5" t="n"/>
      <c r="G1157" s="5" t="n"/>
      <c r="H1157" s="5" t="n">
        <v>185</v>
      </c>
      <c r="I1157" s="5" t="n">
        <v>156</v>
      </c>
      <c r="J1157" s="5" t="n">
        <v>29</v>
      </c>
      <c r="K1157" s="10">
        <f>IF(F1157&gt;0,H1157/F1157,"")</f>
        <v/>
      </c>
      <c r="L1157" s="16">
        <f>IF(AND(G1157&gt;0,H1157&gt;0),G1157/H1157,"")</f>
        <v/>
      </c>
    </row>
    <row r="1158">
      <c r="A1158" s="4" t="inlineStr">
        <is>
          <t>600</t>
        </is>
      </c>
      <c r="B1158" s="4" t="n">
        <v>6</v>
      </c>
      <c r="C1158" s="4" t="inlineStr">
        <is>
          <t>antelope</t>
        </is>
      </c>
      <c r="D1158" s="4" t="n">
        <v>2024</v>
      </c>
      <c r="E1158" s="15" t="inlineStr">
        <is>
          <t>Draw</t>
        </is>
      </c>
      <c r="F1158" s="5" t="n">
        <v>321</v>
      </c>
      <c r="G1158" s="5" t="n">
        <v>1424</v>
      </c>
      <c r="H1158" s="5" t="n">
        <v>200</v>
      </c>
      <c r="I1158" s="5" t="n">
        <v>166</v>
      </c>
      <c r="J1158" s="5" t="n">
        <v>34</v>
      </c>
      <c r="K1158" s="10">
        <f>IF(F1158&gt;0,H1158/F1158,"")</f>
        <v/>
      </c>
      <c r="L1158" s="16">
        <f>IF(AND(G1158&gt;0,H1158&gt;0),G1158/H1158,"")</f>
        <v/>
      </c>
    </row>
    <row r="1159">
      <c r="A1159" s="4" t="inlineStr">
        <is>
          <t>600</t>
        </is>
      </c>
      <c r="B1159" s="4" t="n">
        <v>6</v>
      </c>
      <c r="C1159" s="4" t="inlineStr">
        <is>
          <t>antelope</t>
        </is>
      </c>
      <c r="D1159" s="4" t="n">
        <v>2025</v>
      </c>
      <c r="E1159" s="15" t="inlineStr">
        <is>
          <t>Draw</t>
        </is>
      </c>
      <c r="F1159" s="5" t="n"/>
      <c r="G1159" s="5" t="n"/>
      <c r="H1159" s="5" t="n">
        <v>295</v>
      </c>
      <c r="I1159" s="5" t="n">
        <v>223</v>
      </c>
      <c r="J1159" s="5" t="n">
        <v>70</v>
      </c>
      <c r="K1159" s="10">
        <f>IF(F1159&gt;0,H1159/F1159,"")</f>
        <v/>
      </c>
      <c r="L1159" s="16">
        <f>IF(AND(G1159&gt;0,H1159&gt;0),G1159/H1159,"")</f>
        <v/>
      </c>
    </row>
    <row r="1160">
      <c r="A1160" s="4" t="inlineStr">
        <is>
          <t>610</t>
        </is>
      </c>
      <c r="B1160" s="4" t="n">
        <v>6</v>
      </c>
      <c r="C1160" s="4" t="inlineStr">
        <is>
          <t>antelope</t>
        </is>
      </c>
      <c r="D1160" s="4" t="n">
        <v>2004</v>
      </c>
      <c r="E1160" s="4" t="inlineStr"/>
      <c r="F1160" s="5" t="n">
        <v>147</v>
      </c>
      <c r="G1160" s="5" t="n">
        <v>507</v>
      </c>
      <c r="H1160" s="5" t="n">
        <v>85</v>
      </c>
      <c r="I1160" s="5" t="n">
        <v>61</v>
      </c>
      <c r="J1160" s="5" t="n">
        <v>21</v>
      </c>
      <c r="K1160" s="10">
        <f>IF(F1160&gt;0,H1160/F1160,"")</f>
        <v/>
      </c>
      <c r="L1160" s="16">
        <f>IF(AND(G1160&gt;0,H1160&gt;0),G1160/H1160,"")</f>
        <v/>
      </c>
    </row>
    <row r="1161">
      <c r="A1161" s="4" t="inlineStr">
        <is>
          <t>610</t>
        </is>
      </c>
      <c r="B1161" s="4" t="n">
        <v>6</v>
      </c>
      <c r="C1161" s="4" t="inlineStr">
        <is>
          <t>antelope</t>
        </is>
      </c>
      <c r="D1161" s="4" t="n">
        <v>2005</v>
      </c>
      <c r="E1161" s="4" t="inlineStr"/>
      <c r="F1161" s="5" t="n">
        <v>23</v>
      </c>
      <c r="G1161" s="5" t="n">
        <v>82</v>
      </c>
      <c r="H1161" s="5" t="n">
        <v>8</v>
      </c>
      <c r="I1161" s="5" t="n">
        <v>5</v>
      </c>
      <c r="J1161" s="5" t="n">
        <v>3</v>
      </c>
      <c r="K1161" s="10">
        <f>IF(F1161&gt;0,H1161/F1161,"")</f>
        <v/>
      </c>
      <c r="L1161" s="16">
        <f>IF(AND(G1161&gt;0,H1161&gt;0),G1161/H1161,"")</f>
        <v/>
      </c>
    </row>
    <row r="1162">
      <c r="A1162" s="4" t="inlineStr">
        <is>
          <t>620</t>
        </is>
      </c>
      <c r="B1162" s="4" t="n">
        <v>6</v>
      </c>
      <c r="C1162" s="4" t="inlineStr">
        <is>
          <t>antelope</t>
        </is>
      </c>
      <c r="D1162" s="4" t="n">
        <v>2004</v>
      </c>
      <c r="E1162" s="15" t="inlineStr">
        <is>
          <t>Draw</t>
        </is>
      </c>
      <c r="F1162" s="5" t="n">
        <v>574</v>
      </c>
      <c r="G1162" s="5" t="n">
        <v>1817</v>
      </c>
      <c r="H1162" s="5" t="n">
        <v>330</v>
      </c>
      <c r="I1162" s="5" t="n">
        <v>235</v>
      </c>
      <c r="J1162" s="5" t="n">
        <v>86</v>
      </c>
      <c r="K1162" s="10">
        <f>IF(F1162&gt;0,H1162/F1162,"")</f>
        <v/>
      </c>
      <c r="L1162" s="16">
        <f>IF(AND(G1162&gt;0,H1162&gt;0),G1162/H1162,"")</f>
        <v/>
      </c>
    </row>
    <row r="1163">
      <c r="A1163" s="4" t="inlineStr">
        <is>
          <t>620</t>
        </is>
      </c>
      <c r="B1163" s="4" t="n">
        <v>6</v>
      </c>
      <c r="C1163" s="4" t="inlineStr">
        <is>
          <t>antelope</t>
        </is>
      </c>
      <c r="D1163" s="4" t="n">
        <v>2005</v>
      </c>
      <c r="E1163" s="15" t="inlineStr">
        <is>
          <t>Draw</t>
        </is>
      </c>
      <c r="F1163" s="5" t="n">
        <v>630</v>
      </c>
      <c r="G1163" s="5" t="n">
        <v>2092</v>
      </c>
      <c r="H1163" s="5" t="n">
        <v>385</v>
      </c>
      <c r="I1163" s="5" t="n">
        <v>280</v>
      </c>
      <c r="J1163" s="5" t="n">
        <v>95</v>
      </c>
      <c r="K1163" s="10">
        <f>IF(F1163&gt;0,H1163/F1163,"")</f>
        <v/>
      </c>
      <c r="L1163" s="16">
        <f>IF(AND(G1163&gt;0,H1163&gt;0),G1163/H1163,"")</f>
        <v/>
      </c>
    </row>
    <row r="1164">
      <c r="A1164" s="4" t="inlineStr">
        <is>
          <t>620</t>
        </is>
      </c>
      <c r="B1164" s="4" t="n">
        <v>6</v>
      </c>
      <c r="C1164" s="4" t="inlineStr">
        <is>
          <t>antelope</t>
        </is>
      </c>
      <c r="D1164" s="4" t="n">
        <v>2006</v>
      </c>
      <c r="E1164" s="15" t="inlineStr">
        <is>
          <t>Draw</t>
        </is>
      </c>
      <c r="F1164" s="5" t="n">
        <v>801</v>
      </c>
      <c r="G1164" s="5" t="n">
        <v>2359</v>
      </c>
      <c r="H1164" s="5" t="n">
        <v>535</v>
      </c>
      <c r="I1164" s="5" t="n">
        <v>429</v>
      </c>
      <c r="J1164" s="5" t="n">
        <v>93</v>
      </c>
      <c r="K1164" s="10">
        <f>IF(F1164&gt;0,H1164/F1164,"")</f>
        <v/>
      </c>
      <c r="L1164" s="16">
        <f>IF(AND(G1164&gt;0,H1164&gt;0),G1164/H1164,"")</f>
        <v/>
      </c>
    </row>
    <row r="1165">
      <c r="A1165" s="4" t="inlineStr">
        <is>
          <t>620</t>
        </is>
      </c>
      <c r="B1165" s="4" t="n">
        <v>6</v>
      </c>
      <c r="C1165" s="4" t="inlineStr">
        <is>
          <t>antelope</t>
        </is>
      </c>
      <c r="D1165" s="4" t="n">
        <v>2007</v>
      </c>
      <c r="E1165" s="15" t="inlineStr">
        <is>
          <t>Draw</t>
        </is>
      </c>
      <c r="F1165" s="5" t="n">
        <v>1174</v>
      </c>
      <c r="G1165" s="5" t="n">
        <v>4206</v>
      </c>
      <c r="H1165" s="5" t="n">
        <v>1021</v>
      </c>
      <c r="I1165" s="5" t="n">
        <v>641</v>
      </c>
      <c r="J1165" s="5" t="n">
        <v>357</v>
      </c>
      <c r="K1165" s="10">
        <f>IF(F1165&gt;0,H1165/F1165,"")</f>
        <v/>
      </c>
      <c r="L1165" s="16">
        <f>IF(AND(G1165&gt;0,H1165&gt;0),G1165/H1165,"")</f>
        <v/>
      </c>
    </row>
    <row r="1166">
      <c r="A1166" s="4" t="inlineStr">
        <is>
          <t>620</t>
        </is>
      </c>
      <c r="B1166" s="4" t="n">
        <v>6</v>
      </c>
      <c r="C1166" s="4" t="inlineStr">
        <is>
          <t>antelope</t>
        </is>
      </c>
      <c r="D1166" s="4" t="n">
        <v>2008</v>
      </c>
      <c r="E1166" s="15" t="inlineStr">
        <is>
          <t>Draw</t>
        </is>
      </c>
      <c r="F1166" s="5" t="n">
        <v>1191</v>
      </c>
      <c r="G1166" s="5" t="n">
        <v>4116</v>
      </c>
      <c r="H1166" s="5" t="n">
        <v>807</v>
      </c>
      <c r="I1166" s="5" t="n">
        <v>516</v>
      </c>
      <c r="J1166" s="5" t="n">
        <v>270</v>
      </c>
      <c r="K1166" s="10">
        <f>IF(F1166&gt;0,H1166/F1166,"")</f>
        <v/>
      </c>
      <c r="L1166" s="16">
        <f>IF(AND(G1166&gt;0,H1166&gt;0),G1166/H1166,"")</f>
        <v/>
      </c>
    </row>
    <row r="1167">
      <c r="A1167" s="4" t="inlineStr">
        <is>
          <t>620</t>
        </is>
      </c>
      <c r="B1167" s="4" t="n">
        <v>6</v>
      </c>
      <c r="C1167" s="4" t="inlineStr">
        <is>
          <t>antelope</t>
        </is>
      </c>
      <c r="D1167" s="4" t="n">
        <v>2009</v>
      </c>
      <c r="E1167" s="15" t="inlineStr">
        <is>
          <t>Draw</t>
        </is>
      </c>
      <c r="F1167" s="5" t="n">
        <v>1274</v>
      </c>
      <c r="G1167" s="5" t="n">
        <v>4603</v>
      </c>
      <c r="H1167" s="5" t="n">
        <v>1012</v>
      </c>
      <c r="I1167" s="5" t="n">
        <v>703</v>
      </c>
      <c r="J1167" s="5" t="n">
        <v>287</v>
      </c>
      <c r="K1167" s="10">
        <f>IF(F1167&gt;0,H1167/F1167,"")</f>
        <v/>
      </c>
      <c r="L1167" s="16">
        <f>IF(AND(G1167&gt;0,H1167&gt;0),G1167/H1167,"")</f>
        <v/>
      </c>
    </row>
    <row r="1168">
      <c r="A1168" s="4" t="inlineStr">
        <is>
          <t>620</t>
        </is>
      </c>
      <c r="B1168" s="4" t="n">
        <v>6</v>
      </c>
      <c r="C1168" s="4" t="inlineStr">
        <is>
          <t>antelope</t>
        </is>
      </c>
      <c r="D1168" s="4" t="n">
        <v>2010</v>
      </c>
      <c r="E1168" s="15" t="inlineStr">
        <is>
          <t>Draw</t>
        </is>
      </c>
      <c r="F1168" s="5" t="n">
        <v>1183</v>
      </c>
      <c r="G1168" s="5" t="n">
        <v>3943</v>
      </c>
      <c r="H1168" s="5" t="n">
        <v>927</v>
      </c>
      <c r="I1168" s="5" t="n">
        <v>627</v>
      </c>
      <c r="J1168" s="5" t="n">
        <v>282</v>
      </c>
      <c r="K1168" s="10">
        <f>IF(F1168&gt;0,H1168/F1168,"")</f>
        <v/>
      </c>
      <c r="L1168" s="16">
        <f>IF(AND(G1168&gt;0,H1168&gt;0),G1168/H1168,"")</f>
        <v/>
      </c>
    </row>
    <row r="1169">
      <c r="A1169" s="4" t="inlineStr">
        <is>
          <t>620</t>
        </is>
      </c>
      <c r="B1169" s="4" t="n">
        <v>6</v>
      </c>
      <c r="C1169" s="4" t="inlineStr">
        <is>
          <t>antelope</t>
        </is>
      </c>
      <c r="D1169" s="4" t="n">
        <v>2011</v>
      </c>
      <c r="E1169" s="15" t="inlineStr">
        <is>
          <t>Draw</t>
        </is>
      </c>
      <c r="F1169" s="5" t="n">
        <v>541</v>
      </c>
      <c r="G1169" s="5" t="n">
        <v>1822</v>
      </c>
      <c r="H1169" s="5" t="n">
        <v>296</v>
      </c>
      <c r="I1169" s="5" t="n">
        <v>230</v>
      </c>
      <c r="J1169" s="5" t="n">
        <v>63</v>
      </c>
      <c r="K1169" s="10">
        <f>IF(F1169&gt;0,H1169/F1169,"")</f>
        <v/>
      </c>
      <c r="L1169" s="16">
        <f>IF(AND(G1169&gt;0,H1169&gt;0),G1169/H1169,"")</f>
        <v/>
      </c>
    </row>
    <row r="1170">
      <c r="A1170" s="4" t="inlineStr">
        <is>
          <t>620</t>
        </is>
      </c>
      <c r="B1170" s="4" t="n">
        <v>6</v>
      </c>
      <c r="C1170" s="4" t="inlineStr">
        <is>
          <t>antelope</t>
        </is>
      </c>
      <c r="D1170" s="4" t="n">
        <v>2012</v>
      </c>
      <c r="E1170" s="15" t="inlineStr">
        <is>
          <t>Draw</t>
        </is>
      </c>
      <c r="F1170" s="5" t="n">
        <v>482</v>
      </c>
      <c r="G1170" s="5" t="n">
        <v>1881</v>
      </c>
      <c r="H1170" s="5" t="n">
        <v>248</v>
      </c>
      <c r="I1170" s="5" t="n">
        <v>205</v>
      </c>
      <c r="J1170" s="5" t="n">
        <v>36</v>
      </c>
      <c r="K1170" s="10">
        <f>IF(F1170&gt;0,H1170/F1170,"")</f>
        <v/>
      </c>
      <c r="L1170" s="16">
        <f>IF(AND(G1170&gt;0,H1170&gt;0),G1170/H1170,"")</f>
        <v/>
      </c>
    </row>
    <row r="1171">
      <c r="A1171" s="4" t="inlineStr">
        <is>
          <t>620</t>
        </is>
      </c>
      <c r="B1171" s="4" t="n">
        <v>6</v>
      </c>
      <c r="C1171" s="4" t="inlineStr">
        <is>
          <t>antelope</t>
        </is>
      </c>
      <c r="D1171" s="4" t="n">
        <v>2013</v>
      </c>
      <c r="E1171" s="15" t="inlineStr">
        <is>
          <t>Draw</t>
        </is>
      </c>
      <c r="F1171" s="5" t="n"/>
      <c r="G1171" s="5" t="n"/>
      <c r="H1171" s="5" t="n">
        <v>170</v>
      </c>
      <c r="I1171" s="5" t="n">
        <v>135</v>
      </c>
      <c r="J1171" s="5" t="n">
        <v>36</v>
      </c>
      <c r="K1171" s="10">
        <f>IF(F1171&gt;0,H1171/F1171,"")</f>
        <v/>
      </c>
      <c r="L1171" s="16">
        <f>IF(AND(G1171&gt;0,H1171&gt;0),G1171/H1171,"")</f>
        <v/>
      </c>
    </row>
    <row r="1172">
      <c r="A1172" s="4" t="inlineStr">
        <is>
          <t>620</t>
        </is>
      </c>
      <c r="B1172" s="4" t="n">
        <v>6</v>
      </c>
      <c r="C1172" s="4" t="inlineStr">
        <is>
          <t>antelope</t>
        </is>
      </c>
      <c r="D1172" s="4" t="n">
        <v>2014</v>
      </c>
      <c r="E1172" s="15" t="inlineStr">
        <is>
          <t>Draw</t>
        </is>
      </c>
      <c r="F1172" s="5" t="n">
        <v>469</v>
      </c>
      <c r="G1172" s="5" t="n">
        <v>1614</v>
      </c>
      <c r="H1172" s="5" t="n">
        <v>284</v>
      </c>
      <c r="I1172" s="5" t="n">
        <v>225</v>
      </c>
      <c r="J1172" s="5" t="n">
        <v>56</v>
      </c>
      <c r="K1172" s="10">
        <f>IF(F1172&gt;0,H1172/F1172,"")</f>
        <v/>
      </c>
      <c r="L1172" s="16">
        <f>IF(AND(G1172&gt;0,H1172&gt;0),G1172/H1172,"")</f>
        <v/>
      </c>
    </row>
    <row r="1173">
      <c r="A1173" s="4" t="inlineStr">
        <is>
          <t>620</t>
        </is>
      </c>
      <c r="B1173" s="4" t="n">
        <v>6</v>
      </c>
      <c r="C1173" s="4" t="inlineStr">
        <is>
          <t>antelope</t>
        </is>
      </c>
      <c r="D1173" s="4" t="n">
        <v>2015</v>
      </c>
      <c r="E1173" s="15" t="inlineStr">
        <is>
          <t>Draw</t>
        </is>
      </c>
      <c r="F1173" s="5" t="n">
        <v>469</v>
      </c>
      <c r="G1173" s="5" t="n">
        <v>1610</v>
      </c>
      <c r="H1173" s="5" t="n">
        <v>259</v>
      </c>
      <c r="I1173" s="5" t="n">
        <v>194</v>
      </c>
      <c r="J1173" s="5" t="n">
        <v>65</v>
      </c>
      <c r="K1173" s="10">
        <f>IF(F1173&gt;0,H1173/F1173,"")</f>
        <v/>
      </c>
      <c r="L1173" s="16">
        <f>IF(AND(G1173&gt;0,H1173&gt;0),G1173/H1173,"")</f>
        <v/>
      </c>
    </row>
    <row r="1174">
      <c r="A1174" s="4" t="inlineStr">
        <is>
          <t>620</t>
        </is>
      </c>
      <c r="B1174" s="4" t="n">
        <v>6</v>
      </c>
      <c r="C1174" s="4" t="inlineStr">
        <is>
          <t>antelope</t>
        </is>
      </c>
      <c r="D1174" s="4" t="n">
        <v>2016</v>
      </c>
      <c r="E1174" s="15" t="inlineStr">
        <is>
          <t>Draw</t>
        </is>
      </c>
      <c r="F1174" s="5" t="n"/>
      <c r="G1174" s="5" t="n"/>
      <c r="H1174" s="5" t="n">
        <v>253</v>
      </c>
      <c r="I1174" s="5" t="n">
        <v>202</v>
      </c>
      <c r="J1174" s="5" t="n">
        <v>48</v>
      </c>
      <c r="K1174" s="10">
        <f>IF(F1174&gt;0,H1174/F1174,"")</f>
        <v/>
      </c>
      <c r="L1174" s="16">
        <f>IF(AND(G1174&gt;0,H1174&gt;0),G1174/H1174,"")</f>
        <v/>
      </c>
    </row>
    <row r="1175">
      <c r="A1175" s="4" t="inlineStr">
        <is>
          <t>620</t>
        </is>
      </c>
      <c r="B1175" s="4" t="n">
        <v>6</v>
      </c>
      <c r="C1175" s="4" t="inlineStr">
        <is>
          <t>antelope</t>
        </is>
      </c>
      <c r="D1175" s="4" t="n">
        <v>2017</v>
      </c>
      <c r="E1175" s="15" t="inlineStr">
        <is>
          <t>Draw</t>
        </is>
      </c>
      <c r="F1175" s="5" t="n"/>
      <c r="G1175" s="5" t="n"/>
      <c r="H1175" s="5" t="n">
        <v>296</v>
      </c>
      <c r="I1175" s="5" t="n">
        <v>245</v>
      </c>
      <c r="J1175" s="5" t="n">
        <v>43</v>
      </c>
      <c r="K1175" s="10">
        <f>IF(F1175&gt;0,H1175/F1175,"")</f>
        <v/>
      </c>
      <c r="L1175" s="16">
        <f>IF(AND(G1175&gt;0,H1175&gt;0),G1175/H1175,"")</f>
        <v/>
      </c>
    </row>
    <row r="1176">
      <c r="A1176" s="4" t="inlineStr">
        <is>
          <t>620</t>
        </is>
      </c>
      <c r="B1176" s="4" t="n">
        <v>6</v>
      </c>
      <c r="C1176" s="4" t="inlineStr">
        <is>
          <t>antelope</t>
        </is>
      </c>
      <c r="D1176" s="4" t="n">
        <v>2018</v>
      </c>
      <c r="E1176" s="15" t="inlineStr">
        <is>
          <t>Draw</t>
        </is>
      </c>
      <c r="F1176" s="5" t="n">
        <v>285</v>
      </c>
      <c r="G1176" s="5" t="n">
        <v>1275</v>
      </c>
      <c r="H1176" s="5" t="n">
        <v>142</v>
      </c>
      <c r="I1176" s="5" t="n">
        <v>119</v>
      </c>
      <c r="J1176" s="5" t="n">
        <v>23</v>
      </c>
      <c r="K1176" s="10">
        <f>IF(F1176&gt;0,H1176/F1176,"")</f>
        <v/>
      </c>
      <c r="L1176" s="16">
        <f>IF(AND(G1176&gt;0,H1176&gt;0),G1176/H1176,"")</f>
        <v/>
      </c>
    </row>
    <row r="1177">
      <c r="A1177" s="4" t="inlineStr">
        <is>
          <t>620</t>
        </is>
      </c>
      <c r="B1177" s="4" t="n">
        <v>6</v>
      </c>
      <c r="C1177" s="4" t="inlineStr">
        <is>
          <t>antelope</t>
        </is>
      </c>
      <c r="D1177" s="4" t="n">
        <v>2019</v>
      </c>
      <c r="E1177" s="15" t="inlineStr">
        <is>
          <t>Draw</t>
        </is>
      </c>
      <c r="F1177" s="5" t="n"/>
      <c r="G1177" s="5" t="n"/>
      <c r="H1177" s="5" t="n">
        <v>176</v>
      </c>
      <c r="I1177" s="5" t="n">
        <v>145</v>
      </c>
      <c r="J1177" s="5" t="n">
        <v>29</v>
      </c>
      <c r="K1177" s="10">
        <f>IF(F1177&gt;0,H1177/F1177,"")</f>
        <v/>
      </c>
      <c r="L1177" s="16">
        <f>IF(AND(G1177&gt;0,H1177&gt;0),G1177/H1177,"")</f>
        <v/>
      </c>
    </row>
    <row r="1178">
      <c r="A1178" s="4" t="inlineStr">
        <is>
          <t>620</t>
        </is>
      </c>
      <c r="B1178" s="4" t="n">
        <v>6</v>
      </c>
      <c r="C1178" s="4" t="inlineStr">
        <is>
          <t>antelope</t>
        </is>
      </c>
      <c r="D1178" s="4" t="n">
        <v>2020</v>
      </c>
      <c r="E1178" s="15" t="inlineStr">
        <is>
          <t>Draw</t>
        </is>
      </c>
      <c r="F1178" s="5" t="n">
        <v>576</v>
      </c>
      <c r="G1178" s="5" t="n">
        <v>2057</v>
      </c>
      <c r="H1178" s="5" t="n">
        <v>383</v>
      </c>
      <c r="I1178" s="5" t="n">
        <v>333</v>
      </c>
      <c r="J1178" s="5" t="n">
        <v>51</v>
      </c>
      <c r="K1178" s="10">
        <f>IF(F1178&gt;0,H1178/F1178,"")</f>
        <v/>
      </c>
      <c r="L1178" s="16">
        <f>IF(AND(G1178&gt;0,H1178&gt;0),G1178/H1178,"")</f>
        <v/>
      </c>
    </row>
    <row r="1179">
      <c r="A1179" s="4" t="inlineStr">
        <is>
          <t>620</t>
        </is>
      </c>
      <c r="B1179" s="4" t="n">
        <v>6</v>
      </c>
      <c r="C1179" s="4" t="inlineStr">
        <is>
          <t>antelope</t>
        </is>
      </c>
      <c r="D1179" s="4" t="n">
        <v>2021</v>
      </c>
      <c r="E1179" s="15" t="inlineStr">
        <is>
          <t>Draw</t>
        </is>
      </c>
      <c r="F1179" s="5" t="n"/>
      <c r="G1179" s="5" t="n"/>
      <c r="H1179" s="5" t="n">
        <v>355</v>
      </c>
      <c r="I1179" s="5" t="n">
        <v>301</v>
      </c>
      <c r="J1179" s="5" t="n">
        <v>54</v>
      </c>
      <c r="K1179" s="10">
        <f>IF(F1179&gt;0,H1179/F1179,"")</f>
        <v/>
      </c>
      <c r="L1179" s="16">
        <f>IF(AND(G1179&gt;0,H1179&gt;0),G1179/H1179,"")</f>
        <v/>
      </c>
    </row>
    <row r="1180">
      <c r="A1180" s="4" t="inlineStr">
        <is>
          <t>620</t>
        </is>
      </c>
      <c r="B1180" s="4" t="n">
        <v>6</v>
      </c>
      <c r="C1180" s="4" t="inlineStr">
        <is>
          <t>antelope</t>
        </is>
      </c>
      <c r="D1180" s="4" t="n">
        <v>2022</v>
      </c>
      <c r="E1180" s="15" t="inlineStr">
        <is>
          <t>Draw</t>
        </is>
      </c>
      <c r="F1180" s="5" t="n">
        <v>437</v>
      </c>
      <c r="G1180" s="5" t="n">
        <v>1493</v>
      </c>
      <c r="H1180" s="5" t="n">
        <v>267</v>
      </c>
      <c r="I1180" s="5" t="n">
        <v>229</v>
      </c>
      <c r="J1180" s="5" t="n">
        <v>38</v>
      </c>
      <c r="K1180" s="10">
        <f>IF(F1180&gt;0,H1180/F1180,"")</f>
        <v/>
      </c>
      <c r="L1180" s="16">
        <f>IF(AND(G1180&gt;0,H1180&gt;0),G1180/H1180,"")</f>
        <v/>
      </c>
    </row>
    <row r="1181">
      <c r="A1181" s="4" t="inlineStr">
        <is>
          <t>620</t>
        </is>
      </c>
      <c r="B1181" s="4" t="n">
        <v>6</v>
      </c>
      <c r="C1181" s="4" t="inlineStr">
        <is>
          <t>antelope</t>
        </is>
      </c>
      <c r="D1181" s="4" t="n">
        <v>2023</v>
      </c>
      <c r="E1181" s="15" t="inlineStr">
        <is>
          <t>Draw</t>
        </is>
      </c>
      <c r="F1181" s="5" t="n"/>
      <c r="G1181" s="5" t="n"/>
      <c r="H1181" s="5" t="n">
        <v>284</v>
      </c>
      <c r="I1181" s="5" t="n">
        <v>248</v>
      </c>
      <c r="J1181" s="5" t="n">
        <v>33</v>
      </c>
      <c r="K1181" s="10">
        <f>IF(F1181&gt;0,H1181/F1181,"")</f>
        <v/>
      </c>
      <c r="L1181" s="16">
        <f>IF(AND(G1181&gt;0,H1181&gt;0),G1181/H1181,"")</f>
        <v/>
      </c>
    </row>
    <row r="1182">
      <c r="A1182" s="4" t="inlineStr">
        <is>
          <t>620</t>
        </is>
      </c>
      <c r="B1182" s="4" t="n">
        <v>6</v>
      </c>
      <c r="C1182" s="4" t="inlineStr">
        <is>
          <t>antelope</t>
        </is>
      </c>
      <c r="D1182" s="4" t="n">
        <v>2024</v>
      </c>
      <c r="E1182" s="15" t="inlineStr">
        <is>
          <t>Draw</t>
        </is>
      </c>
      <c r="F1182" s="5" t="n">
        <v>434</v>
      </c>
      <c r="G1182" s="5" t="n">
        <v>1559</v>
      </c>
      <c r="H1182" s="5" t="n">
        <v>310</v>
      </c>
      <c r="I1182" s="5" t="n">
        <v>264</v>
      </c>
      <c r="J1182" s="5" t="n">
        <v>46</v>
      </c>
      <c r="K1182" s="10">
        <f>IF(F1182&gt;0,H1182/F1182,"")</f>
        <v/>
      </c>
      <c r="L1182" s="16">
        <f>IF(AND(G1182&gt;0,H1182&gt;0),G1182/H1182,"")</f>
        <v/>
      </c>
    </row>
    <row r="1183">
      <c r="A1183" s="4" t="inlineStr">
        <is>
          <t>620</t>
        </is>
      </c>
      <c r="B1183" s="4" t="n">
        <v>6</v>
      </c>
      <c r="C1183" s="4" t="inlineStr">
        <is>
          <t>antelope</t>
        </is>
      </c>
      <c r="D1183" s="4" t="n">
        <v>2025</v>
      </c>
      <c r="E1183" s="15" t="inlineStr">
        <is>
          <t>Draw</t>
        </is>
      </c>
      <c r="F1183" s="5" t="n"/>
      <c r="G1183" s="5" t="n"/>
      <c r="H1183" s="5" t="n">
        <v>403</v>
      </c>
      <c r="I1183" s="5" t="n">
        <v>340</v>
      </c>
      <c r="J1183" s="5" t="n">
        <v>63</v>
      </c>
      <c r="K1183" s="10">
        <f>IF(F1183&gt;0,H1183/F1183,"")</f>
        <v/>
      </c>
      <c r="L1183" s="16">
        <f>IF(AND(G1183&gt;0,H1183&gt;0),G1183/H1183,"")</f>
        <v/>
      </c>
    </row>
    <row r="1184">
      <c r="A1184" s="4" t="inlineStr">
        <is>
          <t>630</t>
        </is>
      </c>
      <c r="B1184" s="4" t="n">
        <v>6</v>
      </c>
      <c r="C1184" s="4" t="inlineStr">
        <is>
          <t>antelope</t>
        </is>
      </c>
      <c r="D1184" s="4" t="n">
        <v>2004</v>
      </c>
      <c r="E1184" s="15" t="inlineStr">
        <is>
          <t>Draw</t>
        </is>
      </c>
      <c r="F1184" s="5" t="n">
        <v>169</v>
      </c>
      <c r="G1184" s="5" t="n">
        <v>613</v>
      </c>
      <c r="H1184" s="5" t="n">
        <v>68</v>
      </c>
      <c r="I1184" s="5" t="n">
        <v>59</v>
      </c>
      <c r="J1184" s="5" t="n">
        <v>8</v>
      </c>
      <c r="K1184" s="10">
        <f>IF(F1184&gt;0,H1184/F1184,"")</f>
        <v/>
      </c>
      <c r="L1184" s="16">
        <f>IF(AND(G1184&gt;0,H1184&gt;0),G1184/H1184,"")</f>
        <v/>
      </c>
    </row>
    <row r="1185">
      <c r="A1185" s="4" t="inlineStr">
        <is>
          <t>630</t>
        </is>
      </c>
      <c r="B1185" s="4" t="n">
        <v>6</v>
      </c>
      <c r="C1185" s="4" t="inlineStr">
        <is>
          <t>antelope</t>
        </is>
      </c>
      <c r="D1185" s="4" t="n">
        <v>2005</v>
      </c>
      <c r="E1185" s="15" t="inlineStr">
        <is>
          <t>Draw</t>
        </is>
      </c>
      <c r="F1185" s="5" t="n">
        <v>213</v>
      </c>
      <c r="G1185" s="5" t="n">
        <v>692</v>
      </c>
      <c r="H1185" s="5" t="n">
        <v>97</v>
      </c>
      <c r="I1185" s="5" t="n">
        <v>75</v>
      </c>
      <c r="J1185" s="5" t="n">
        <v>19</v>
      </c>
      <c r="K1185" s="10">
        <f>IF(F1185&gt;0,H1185/F1185,"")</f>
        <v/>
      </c>
      <c r="L1185" s="16">
        <f>IF(AND(G1185&gt;0,H1185&gt;0),G1185/H1185,"")</f>
        <v/>
      </c>
    </row>
    <row r="1186">
      <c r="A1186" s="4" t="inlineStr">
        <is>
          <t>630</t>
        </is>
      </c>
      <c r="B1186" s="4" t="n">
        <v>6</v>
      </c>
      <c r="C1186" s="4" t="inlineStr">
        <is>
          <t>antelope</t>
        </is>
      </c>
      <c r="D1186" s="4" t="n">
        <v>2006</v>
      </c>
      <c r="E1186" s="15" t="inlineStr">
        <is>
          <t>Draw</t>
        </is>
      </c>
      <c r="F1186" s="5" t="n">
        <v>184</v>
      </c>
      <c r="G1186" s="5" t="n">
        <v>729</v>
      </c>
      <c r="H1186" s="5" t="n">
        <v>67</v>
      </c>
      <c r="I1186" s="5" t="n">
        <v>57</v>
      </c>
      <c r="J1186" s="5" t="n">
        <v>8</v>
      </c>
      <c r="K1186" s="10">
        <f>IF(F1186&gt;0,H1186/F1186,"")</f>
        <v/>
      </c>
      <c r="L1186" s="16">
        <f>IF(AND(G1186&gt;0,H1186&gt;0),G1186/H1186,"")</f>
        <v/>
      </c>
    </row>
    <row r="1187">
      <c r="A1187" s="4" t="inlineStr">
        <is>
          <t>630</t>
        </is>
      </c>
      <c r="B1187" s="4" t="n">
        <v>6</v>
      </c>
      <c r="C1187" s="4" t="inlineStr">
        <is>
          <t>antelope</t>
        </is>
      </c>
      <c r="D1187" s="4" t="n">
        <v>2007</v>
      </c>
      <c r="E1187" s="15" t="inlineStr">
        <is>
          <t>Draw</t>
        </is>
      </c>
      <c r="F1187" s="5" t="n">
        <v>175</v>
      </c>
      <c r="G1187" s="5" t="n">
        <v>785</v>
      </c>
      <c r="H1187" s="5" t="n">
        <v>123</v>
      </c>
      <c r="I1187" s="5" t="n">
        <v>116</v>
      </c>
      <c r="J1187" s="5" t="n">
        <v>6</v>
      </c>
      <c r="K1187" s="10">
        <f>IF(F1187&gt;0,H1187/F1187,"")</f>
        <v/>
      </c>
      <c r="L1187" s="16">
        <f>IF(AND(G1187&gt;0,H1187&gt;0),G1187/H1187,"")</f>
        <v/>
      </c>
    </row>
    <row r="1188">
      <c r="A1188" s="4" t="inlineStr">
        <is>
          <t>630</t>
        </is>
      </c>
      <c r="B1188" s="4" t="n">
        <v>6</v>
      </c>
      <c r="C1188" s="4" t="inlineStr">
        <is>
          <t>antelope</t>
        </is>
      </c>
      <c r="D1188" s="4" t="n">
        <v>2008</v>
      </c>
      <c r="E1188" s="15" t="inlineStr">
        <is>
          <t>Draw</t>
        </is>
      </c>
      <c r="F1188" s="5" t="n">
        <v>213</v>
      </c>
      <c r="G1188" s="5" t="n">
        <v>895</v>
      </c>
      <c r="H1188" s="5" t="n">
        <v>93</v>
      </c>
      <c r="I1188" s="5" t="n">
        <v>77</v>
      </c>
      <c r="J1188" s="5" t="n">
        <v>12</v>
      </c>
      <c r="K1188" s="10">
        <f>IF(F1188&gt;0,H1188/F1188,"")</f>
        <v/>
      </c>
      <c r="L1188" s="16">
        <f>IF(AND(G1188&gt;0,H1188&gt;0),G1188/H1188,"")</f>
        <v/>
      </c>
    </row>
    <row r="1189">
      <c r="A1189" s="4" t="inlineStr">
        <is>
          <t>630</t>
        </is>
      </c>
      <c r="B1189" s="4" t="n">
        <v>6</v>
      </c>
      <c r="C1189" s="4" t="inlineStr">
        <is>
          <t>antelope</t>
        </is>
      </c>
      <c r="D1189" s="4" t="n">
        <v>2009</v>
      </c>
      <c r="E1189" s="15" t="inlineStr">
        <is>
          <t>Draw</t>
        </is>
      </c>
      <c r="F1189" s="5" t="n">
        <v>213</v>
      </c>
      <c r="G1189" s="5" t="n">
        <v>779</v>
      </c>
      <c r="H1189" s="5" t="n">
        <v>114</v>
      </c>
      <c r="I1189" s="5" t="n">
        <v>95</v>
      </c>
      <c r="J1189" s="5" t="n">
        <v>19</v>
      </c>
      <c r="K1189" s="10">
        <f>IF(F1189&gt;0,H1189/F1189,"")</f>
        <v/>
      </c>
      <c r="L1189" s="16">
        <f>IF(AND(G1189&gt;0,H1189&gt;0),G1189/H1189,"")</f>
        <v/>
      </c>
    </row>
    <row r="1190">
      <c r="A1190" s="4" t="inlineStr">
        <is>
          <t>630</t>
        </is>
      </c>
      <c r="B1190" s="4" t="n">
        <v>6</v>
      </c>
      <c r="C1190" s="4" t="inlineStr">
        <is>
          <t>antelope</t>
        </is>
      </c>
      <c r="D1190" s="4" t="n">
        <v>2010</v>
      </c>
      <c r="E1190" s="15" t="inlineStr">
        <is>
          <t>Draw</t>
        </is>
      </c>
      <c r="F1190" s="5" t="n">
        <v>204</v>
      </c>
      <c r="G1190" s="5" t="n">
        <v>777</v>
      </c>
      <c r="H1190" s="5" t="n">
        <v>107</v>
      </c>
      <c r="I1190" s="5" t="n">
        <v>98</v>
      </c>
      <c r="J1190" s="5" t="n">
        <v>8</v>
      </c>
      <c r="K1190" s="10">
        <f>IF(F1190&gt;0,H1190/F1190,"")</f>
        <v/>
      </c>
      <c r="L1190" s="16">
        <f>IF(AND(G1190&gt;0,H1190&gt;0),G1190/H1190,"")</f>
        <v/>
      </c>
    </row>
    <row r="1191">
      <c r="A1191" s="4" t="inlineStr">
        <is>
          <t>630</t>
        </is>
      </c>
      <c r="B1191" s="4" t="n">
        <v>6</v>
      </c>
      <c r="C1191" s="4" t="inlineStr">
        <is>
          <t>antelope</t>
        </is>
      </c>
      <c r="D1191" s="4" t="n">
        <v>2011</v>
      </c>
      <c r="E1191" s="15" t="inlineStr">
        <is>
          <t>Draw</t>
        </is>
      </c>
      <c r="F1191" s="5" t="n">
        <v>51</v>
      </c>
      <c r="G1191" s="5" t="n">
        <v>285</v>
      </c>
      <c r="H1191" s="5" t="n">
        <v>11</v>
      </c>
      <c r="I1191" s="5" t="n">
        <v>9</v>
      </c>
      <c r="J1191" s="5" t="n">
        <v>2</v>
      </c>
      <c r="K1191" s="10">
        <f>IF(F1191&gt;0,H1191/F1191,"")</f>
        <v/>
      </c>
      <c r="L1191" s="16">
        <f>IF(AND(G1191&gt;0,H1191&gt;0),G1191/H1191,"")</f>
        <v/>
      </c>
    </row>
    <row r="1192">
      <c r="A1192" s="4" t="inlineStr">
        <is>
          <t>630</t>
        </is>
      </c>
      <c r="B1192" s="4" t="n">
        <v>6</v>
      </c>
      <c r="C1192" s="4" t="inlineStr">
        <is>
          <t>antelope</t>
        </is>
      </c>
      <c r="D1192" s="4" t="n">
        <v>2012</v>
      </c>
      <c r="E1192" s="15" t="inlineStr">
        <is>
          <t>Draw</t>
        </is>
      </c>
      <c r="F1192" s="5" t="n">
        <v>61</v>
      </c>
      <c r="G1192" s="5" t="n">
        <v>315</v>
      </c>
      <c r="H1192" s="5" t="n">
        <v>21</v>
      </c>
      <c r="I1192" s="5" t="n">
        <v>16</v>
      </c>
      <c r="J1192" s="5" t="n">
        <v>5</v>
      </c>
      <c r="K1192" s="10">
        <f>IF(F1192&gt;0,H1192/F1192,"")</f>
        <v/>
      </c>
      <c r="L1192" s="16">
        <f>IF(AND(G1192&gt;0,H1192&gt;0),G1192/H1192,"")</f>
        <v/>
      </c>
    </row>
    <row r="1193">
      <c r="A1193" s="4" t="inlineStr">
        <is>
          <t>630</t>
        </is>
      </c>
      <c r="B1193" s="4" t="n">
        <v>6</v>
      </c>
      <c r="C1193" s="4" t="inlineStr">
        <is>
          <t>antelope</t>
        </is>
      </c>
      <c r="D1193" s="4" t="n">
        <v>2013</v>
      </c>
      <c r="E1193" s="15" t="inlineStr">
        <is>
          <t>Draw</t>
        </is>
      </c>
      <c r="F1193" s="5" t="n"/>
      <c r="G1193" s="5" t="n"/>
      <c r="H1193" s="5" t="n">
        <v>12</v>
      </c>
      <c r="I1193" s="5" t="n">
        <v>11</v>
      </c>
      <c r="J1193" s="5" t="n">
        <v>1</v>
      </c>
      <c r="K1193" s="10">
        <f>IF(F1193&gt;0,H1193/F1193,"")</f>
        <v/>
      </c>
      <c r="L1193" s="16">
        <f>IF(AND(G1193&gt;0,H1193&gt;0),G1193/H1193,"")</f>
        <v/>
      </c>
    </row>
    <row r="1194">
      <c r="A1194" s="4" t="inlineStr">
        <is>
          <t>630</t>
        </is>
      </c>
      <c r="B1194" s="4" t="n">
        <v>6</v>
      </c>
      <c r="C1194" s="4" t="inlineStr">
        <is>
          <t>antelope</t>
        </is>
      </c>
      <c r="D1194" s="4" t="n">
        <v>2014</v>
      </c>
      <c r="E1194" s="15" t="inlineStr">
        <is>
          <t>Draw</t>
        </is>
      </c>
      <c r="F1194" s="5" t="n">
        <v>55</v>
      </c>
      <c r="G1194" s="5" t="n">
        <v>313</v>
      </c>
      <c r="H1194" s="5" t="n">
        <v>18</v>
      </c>
      <c r="I1194" s="5" t="n">
        <v>15</v>
      </c>
      <c r="J1194" s="5" t="n">
        <v>3</v>
      </c>
      <c r="K1194" s="10">
        <f>IF(F1194&gt;0,H1194/F1194,"")</f>
        <v/>
      </c>
      <c r="L1194" s="16">
        <f>IF(AND(G1194&gt;0,H1194&gt;0),G1194/H1194,"")</f>
        <v/>
      </c>
    </row>
    <row r="1195">
      <c r="A1195" s="4" t="inlineStr">
        <is>
          <t>630</t>
        </is>
      </c>
      <c r="B1195" s="4" t="n">
        <v>6</v>
      </c>
      <c r="C1195" s="4" t="inlineStr">
        <is>
          <t>antelope</t>
        </is>
      </c>
      <c r="D1195" s="4" t="n">
        <v>2015</v>
      </c>
      <c r="E1195" s="15" t="inlineStr">
        <is>
          <t>Draw</t>
        </is>
      </c>
      <c r="F1195" s="5" t="n">
        <v>77</v>
      </c>
      <c r="G1195" s="5" t="n">
        <v>397</v>
      </c>
      <c r="H1195" s="5" t="n">
        <v>18</v>
      </c>
      <c r="I1195" s="5" t="n">
        <v>12</v>
      </c>
      <c r="J1195" s="5" t="n">
        <v>6</v>
      </c>
      <c r="K1195" s="10">
        <f>IF(F1195&gt;0,H1195/F1195,"")</f>
        <v/>
      </c>
      <c r="L1195" s="16">
        <f>IF(AND(G1195&gt;0,H1195&gt;0),G1195/H1195,"")</f>
        <v/>
      </c>
    </row>
    <row r="1196">
      <c r="A1196" s="4" t="inlineStr">
        <is>
          <t>630</t>
        </is>
      </c>
      <c r="B1196" s="4" t="n">
        <v>6</v>
      </c>
      <c r="C1196" s="4" t="inlineStr">
        <is>
          <t>antelope</t>
        </is>
      </c>
      <c r="D1196" s="4" t="n">
        <v>2016</v>
      </c>
      <c r="E1196" s="15" t="inlineStr">
        <is>
          <t>Draw</t>
        </is>
      </c>
      <c r="F1196" s="5" t="n"/>
      <c r="G1196" s="5" t="n"/>
      <c r="H1196" s="5" t="n">
        <v>97</v>
      </c>
      <c r="I1196" s="5" t="n">
        <v>78</v>
      </c>
      <c r="J1196" s="5" t="n">
        <v>18</v>
      </c>
      <c r="K1196" s="10">
        <f>IF(F1196&gt;0,H1196/F1196,"")</f>
        <v/>
      </c>
      <c r="L1196" s="16">
        <f>IF(AND(G1196&gt;0,H1196&gt;0),G1196/H1196,"")</f>
        <v/>
      </c>
    </row>
    <row r="1197">
      <c r="A1197" s="4" t="inlineStr">
        <is>
          <t>630</t>
        </is>
      </c>
      <c r="B1197" s="4" t="n">
        <v>6</v>
      </c>
      <c r="C1197" s="4" t="inlineStr">
        <is>
          <t>antelope</t>
        </is>
      </c>
      <c r="D1197" s="4" t="n">
        <v>2017</v>
      </c>
      <c r="E1197" s="15" t="inlineStr">
        <is>
          <t>Draw</t>
        </is>
      </c>
      <c r="F1197" s="5" t="n"/>
      <c r="G1197" s="5" t="n"/>
      <c r="H1197" s="5" t="n">
        <v>86</v>
      </c>
      <c r="I1197" s="5" t="n">
        <v>72</v>
      </c>
      <c r="J1197" s="5" t="n">
        <v>14</v>
      </c>
      <c r="K1197" s="10">
        <f>IF(F1197&gt;0,H1197/F1197,"")</f>
        <v/>
      </c>
      <c r="L1197" s="16">
        <f>IF(AND(G1197&gt;0,H1197&gt;0),G1197/H1197,"")</f>
        <v/>
      </c>
    </row>
    <row r="1198">
      <c r="A1198" s="4" t="inlineStr">
        <is>
          <t>630</t>
        </is>
      </c>
      <c r="B1198" s="4" t="n">
        <v>6</v>
      </c>
      <c r="C1198" s="4" t="inlineStr">
        <is>
          <t>antelope</t>
        </is>
      </c>
      <c r="D1198" s="4" t="n">
        <v>2018</v>
      </c>
      <c r="E1198" s="15" t="inlineStr">
        <is>
          <t>Draw</t>
        </is>
      </c>
      <c r="F1198" s="5" t="n">
        <v>87</v>
      </c>
      <c r="G1198" s="5" t="n">
        <v>398</v>
      </c>
      <c r="H1198" s="5" t="n">
        <v>85</v>
      </c>
      <c r="I1198" s="5" t="n">
        <v>74</v>
      </c>
      <c r="J1198" s="5" t="n">
        <v>11</v>
      </c>
      <c r="K1198" s="10">
        <f>IF(F1198&gt;0,H1198/F1198,"")</f>
        <v/>
      </c>
      <c r="L1198" s="16">
        <f>IF(AND(G1198&gt;0,H1198&gt;0),G1198/H1198,"")</f>
        <v/>
      </c>
    </row>
    <row r="1199">
      <c r="A1199" s="4" t="inlineStr">
        <is>
          <t>630</t>
        </is>
      </c>
      <c r="B1199" s="4" t="n">
        <v>6</v>
      </c>
      <c r="C1199" s="4" t="inlineStr">
        <is>
          <t>antelope</t>
        </is>
      </c>
      <c r="D1199" s="4" t="n">
        <v>2019</v>
      </c>
      <c r="E1199" s="15" t="inlineStr">
        <is>
          <t>Draw</t>
        </is>
      </c>
      <c r="F1199" s="5" t="n"/>
      <c r="G1199" s="5" t="n"/>
      <c r="H1199" s="5" t="n">
        <v>68</v>
      </c>
      <c r="I1199" s="5" t="n">
        <v>60</v>
      </c>
      <c r="J1199" s="5" t="n">
        <v>8</v>
      </c>
      <c r="K1199" s="10">
        <f>IF(F1199&gt;0,H1199/F1199,"")</f>
        <v/>
      </c>
      <c r="L1199" s="16">
        <f>IF(AND(G1199&gt;0,H1199&gt;0),G1199/H1199,"")</f>
        <v/>
      </c>
    </row>
    <row r="1200">
      <c r="A1200" s="4" t="inlineStr">
        <is>
          <t>630</t>
        </is>
      </c>
      <c r="B1200" s="4" t="n">
        <v>6</v>
      </c>
      <c r="C1200" s="4" t="inlineStr">
        <is>
          <t>antelope</t>
        </is>
      </c>
      <c r="D1200" s="4" t="n">
        <v>2020</v>
      </c>
      <c r="E1200" s="15" t="inlineStr">
        <is>
          <t>Draw</t>
        </is>
      </c>
      <c r="F1200" s="5" t="n">
        <v>214</v>
      </c>
      <c r="G1200" s="5" t="n">
        <v>826</v>
      </c>
      <c r="H1200" s="5" t="n">
        <v>129</v>
      </c>
      <c r="I1200" s="5" t="n">
        <v>118</v>
      </c>
      <c r="J1200" s="5" t="n">
        <v>11</v>
      </c>
      <c r="K1200" s="10">
        <f>IF(F1200&gt;0,H1200/F1200,"")</f>
        <v/>
      </c>
      <c r="L1200" s="16">
        <f>IF(AND(G1200&gt;0,H1200&gt;0),G1200/H1200,"")</f>
        <v/>
      </c>
    </row>
    <row r="1201">
      <c r="A1201" s="4" t="inlineStr">
        <is>
          <t>630</t>
        </is>
      </c>
      <c r="B1201" s="4" t="n">
        <v>6</v>
      </c>
      <c r="C1201" s="4" t="inlineStr">
        <is>
          <t>antelope</t>
        </is>
      </c>
      <c r="D1201" s="4" t="n">
        <v>2021</v>
      </c>
      <c r="E1201" s="15" t="inlineStr">
        <is>
          <t>Draw</t>
        </is>
      </c>
      <c r="F1201" s="5" t="n"/>
      <c r="G1201" s="5" t="n"/>
      <c r="H1201" s="5" t="n">
        <v>155</v>
      </c>
      <c r="I1201" s="5" t="n">
        <v>129</v>
      </c>
      <c r="J1201" s="5" t="n">
        <v>22</v>
      </c>
      <c r="K1201" s="10">
        <f>IF(F1201&gt;0,H1201/F1201,"")</f>
        <v/>
      </c>
      <c r="L1201" s="16">
        <f>IF(AND(G1201&gt;0,H1201&gt;0),G1201/H1201,"")</f>
        <v/>
      </c>
    </row>
    <row r="1202">
      <c r="A1202" s="4" t="inlineStr">
        <is>
          <t>630</t>
        </is>
      </c>
      <c r="B1202" s="4" t="n">
        <v>6</v>
      </c>
      <c r="C1202" s="4" t="inlineStr">
        <is>
          <t>antelope</t>
        </is>
      </c>
      <c r="D1202" s="4" t="n">
        <v>2022</v>
      </c>
      <c r="E1202" s="15" t="inlineStr">
        <is>
          <t>Draw</t>
        </is>
      </c>
      <c r="F1202" s="5" t="n">
        <v>250</v>
      </c>
      <c r="G1202" s="5" t="n">
        <v>929</v>
      </c>
      <c r="H1202" s="5" t="n">
        <v>183</v>
      </c>
      <c r="I1202" s="5" t="n">
        <v>145</v>
      </c>
      <c r="J1202" s="5" t="n">
        <v>38</v>
      </c>
      <c r="K1202" s="10">
        <f>IF(F1202&gt;0,H1202/F1202,"")</f>
        <v/>
      </c>
      <c r="L1202" s="16">
        <f>IF(AND(G1202&gt;0,H1202&gt;0),G1202/H1202,"")</f>
        <v/>
      </c>
    </row>
    <row r="1203">
      <c r="A1203" s="4" t="inlineStr">
        <is>
          <t>630</t>
        </is>
      </c>
      <c r="B1203" s="4" t="n">
        <v>6</v>
      </c>
      <c r="C1203" s="4" t="inlineStr">
        <is>
          <t>antelope</t>
        </is>
      </c>
      <c r="D1203" s="4" t="n">
        <v>2023</v>
      </c>
      <c r="E1203" s="15" t="inlineStr">
        <is>
          <t>Draw</t>
        </is>
      </c>
      <c r="F1203" s="5" t="n"/>
      <c r="G1203" s="5" t="n"/>
      <c r="H1203" s="5" t="n">
        <v>179</v>
      </c>
      <c r="I1203" s="5" t="n">
        <v>142</v>
      </c>
      <c r="J1203" s="5" t="n">
        <v>37</v>
      </c>
      <c r="K1203" s="10">
        <f>IF(F1203&gt;0,H1203/F1203,"")</f>
        <v/>
      </c>
      <c r="L1203" s="16">
        <f>IF(AND(G1203&gt;0,H1203&gt;0),G1203/H1203,"")</f>
        <v/>
      </c>
    </row>
    <row r="1204">
      <c r="A1204" s="4" t="inlineStr">
        <is>
          <t>630</t>
        </is>
      </c>
      <c r="B1204" s="4" t="n">
        <v>6</v>
      </c>
      <c r="C1204" s="4" t="inlineStr">
        <is>
          <t>antelope</t>
        </is>
      </c>
      <c r="D1204" s="4" t="n">
        <v>2024</v>
      </c>
      <c r="E1204" s="15" t="inlineStr">
        <is>
          <t>Draw</t>
        </is>
      </c>
      <c r="F1204" s="5" t="n">
        <v>359</v>
      </c>
      <c r="G1204" s="5" t="n">
        <v>1526</v>
      </c>
      <c r="H1204" s="5" t="n">
        <v>236</v>
      </c>
      <c r="I1204" s="5" t="n">
        <v>198</v>
      </c>
      <c r="J1204" s="5" t="n">
        <v>38</v>
      </c>
      <c r="K1204" s="10">
        <f>IF(F1204&gt;0,H1204/F1204,"")</f>
        <v/>
      </c>
      <c r="L1204" s="16">
        <f>IF(AND(G1204&gt;0,H1204&gt;0),G1204/H1204,"")</f>
        <v/>
      </c>
    </row>
    <row r="1205">
      <c r="A1205" s="4" t="inlineStr">
        <is>
          <t>630</t>
        </is>
      </c>
      <c r="B1205" s="4" t="n">
        <v>6</v>
      </c>
      <c r="C1205" s="4" t="inlineStr">
        <is>
          <t>antelope</t>
        </is>
      </c>
      <c r="D1205" s="4" t="n">
        <v>2025</v>
      </c>
      <c r="E1205" s="15" t="inlineStr">
        <is>
          <t>Draw</t>
        </is>
      </c>
      <c r="F1205" s="5" t="n"/>
      <c r="G1205" s="5" t="n"/>
      <c r="H1205" s="5" t="n">
        <v>245</v>
      </c>
      <c r="I1205" s="5" t="n">
        <v>217</v>
      </c>
      <c r="J1205" s="5" t="n">
        <v>28</v>
      </c>
      <c r="K1205" s="10">
        <f>IF(F1205&gt;0,H1205/F1205,"")</f>
        <v/>
      </c>
      <c r="L1205" s="16">
        <f>IF(AND(G1205&gt;0,H1205&gt;0),G1205/H1205,"")</f>
        <v/>
      </c>
    </row>
    <row r="1206">
      <c r="A1206" s="4" t="inlineStr">
        <is>
          <t>640</t>
        </is>
      </c>
      <c r="B1206" s="4" t="n">
        <v>6</v>
      </c>
      <c r="C1206" s="4" t="inlineStr">
        <is>
          <t>antelope</t>
        </is>
      </c>
      <c r="D1206" s="4" t="n">
        <v>2004</v>
      </c>
      <c r="E1206" s="15" t="inlineStr">
        <is>
          <t>Draw</t>
        </is>
      </c>
      <c r="F1206" s="5" t="n">
        <v>127</v>
      </c>
      <c r="G1206" s="5" t="n">
        <v>361</v>
      </c>
      <c r="H1206" s="5" t="n">
        <v>57</v>
      </c>
      <c r="I1206" s="5" t="n">
        <v>36</v>
      </c>
      <c r="J1206" s="5" t="n">
        <v>18</v>
      </c>
      <c r="K1206" s="10">
        <f>IF(F1206&gt;0,H1206/F1206,"")</f>
        <v/>
      </c>
      <c r="L1206" s="16">
        <f>IF(AND(G1206&gt;0,H1206&gt;0),G1206/H1206,"")</f>
        <v/>
      </c>
    </row>
    <row r="1207">
      <c r="A1207" s="4" t="inlineStr">
        <is>
          <t>640</t>
        </is>
      </c>
      <c r="B1207" s="4" t="n">
        <v>6</v>
      </c>
      <c r="C1207" s="4" t="inlineStr">
        <is>
          <t>antelope</t>
        </is>
      </c>
      <c r="D1207" s="4" t="n">
        <v>2005</v>
      </c>
      <c r="E1207" s="15" t="inlineStr">
        <is>
          <t>Draw</t>
        </is>
      </c>
      <c r="F1207" s="5" t="n">
        <v>21</v>
      </c>
      <c r="G1207" s="5" t="n">
        <v>35</v>
      </c>
      <c r="H1207" s="5" t="n">
        <v>8</v>
      </c>
      <c r="I1207" s="5" t="n">
        <v>8</v>
      </c>
      <c r="J1207" s="5" t="n">
        <v>0</v>
      </c>
      <c r="K1207" s="10">
        <f>IF(F1207&gt;0,H1207/F1207,"")</f>
        <v/>
      </c>
      <c r="L1207" s="16">
        <f>IF(AND(G1207&gt;0,H1207&gt;0),G1207/H1207,"")</f>
        <v/>
      </c>
    </row>
    <row r="1208">
      <c r="A1208" s="4" t="inlineStr">
        <is>
          <t>640</t>
        </is>
      </c>
      <c r="B1208" s="4" t="n">
        <v>6</v>
      </c>
      <c r="C1208" s="4" t="inlineStr">
        <is>
          <t>antelope</t>
        </is>
      </c>
      <c r="D1208" s="4" t="n">
        <v>2020</v>
      </c>
      <c r="E1208" s="15" t="inlineStr">
        <is>
          <t>Draw</t>
        </is>
      </c>
      <c r="F1208" s="5" t="n">
        <v>124</v>
      </c>
      <c r="G1208" s="5" t="n">
        <v>524</v>
      </c>
      <c r="H1208" s="5" t="n">
        <v>74</v>
      </c>
      <c r="I1208" s="5" t="n">
        <v>57</v>
      </c>
      <c r="J1208" s="5" t="n">
        <v>16</v>
      </c>
      <c r="K1208" s="10">
        <f>IF(F1208&gt;0,H1208/F1208,"")</f>
        <v/>
      </c>
      <c r="L1208" s="16">
        <f>IF(AND(G1208&gt;0,H1208&gt;0),G1208/H1208,"")</f>
        <v/>
      </c>
    </row>
    <row r="1209">
      <c r="A1209" s="4" t="inlineStr">
        <is>
          <t>640</t>
        </is>
      </c>
      <c r="B1209" s="4" t="n">
        <v>6</v>
      </c>
      <c r="C1209" s="4" t="inlineStr">
        <is>
          <t>antelope</t>
        </is>
      </c>
      <c r="D1209" s="4" t="n">
        <v>2021</v>
      </c>
      <c r="E1209" s="15" t="inlineStr">
        <is>
          <t>Draw</t>
        </is>
      </c>
      <c r="F1209" s="5" t="n"/>
      <c r="G1209" s="5" t="n"/>
      <c r="H1209" s="5" t="n">
        <v>70</v>
      </c>
      <c r="I1209" s="5" t="n">
        <v>56</v>
      </c>
      <c r="J1209" s="5" t="n">
        <v>14</v>
      </c>
      <c r="K1209" s="10">
        <f>IF(F1209&gt;0,H1209/F1209,"")</f>
        <v/>
      </c>
      <c r="L1209" s="16">
        <f>IF(AND(G1209&gt;0,H1209&gt;0),G1209/H1209,"")</f>
        <v/>
      </c>
    </row>
    <row r="1210">
      <c r="A1210" s="4" t="inlineStr">
        <is>
          <t>640</t>
        </is>
      </c>
      <c r="B1210" s="4" t="n">
        <v>6</v>
      </c>
      <c r="C1210" s="4" t="inlineStr">
        <is>
          <t>antelope</t>
        </is>
      </c>
      <c r="D1210" s="4" t="n">
        <v>2022</v>
      </c>
      <c r="E1210" s="15" t="inlineStr">
        <is>
          <t>Draw</t>
        </is>
      </c>
      <c r="F1210" s="5" t="n">
        <v>180</v>
      </c>
      <c r="G1210" s="5" t="n">
        <v>954</v>
      </c>
      <c r="H1210" s="5" t="n">
        <v>125</v>
      </c>
      <c r="I1210" s="5" t="n">
        <v>103</v>
      </c>
      <c r="J1210" s="5" t="n">
        <v>22</v>
      </c>
      <c r="K1210" s="10">
        <f>IF(F1210&gt;0,H1210/F1210,"")</f>
        <v/>
      </c>
      <c r="L1210" s="16">
        <f>IF(AND(G1210&gt;0,H1210&gt;0),G1210/H1210,"")</f>
        <v/>
      </c>
    </row>
    <row r="1211">
      <c r="A1211" s="4" t="inlineStr">
        <is>
          <t>640</t>
        </is>
      </c>
      <c r="B1211" s="4" t="n">
        <v>6</v>
      </c>
      <c r="C1211" s="4" t="inlineStr">
        <is>
          <t>antelope</t>
        </is>
      </c>
      <c r="D1211" s="4" t="n">
        <v>2023</v>
      </c>
      <c r="E1211" s="15" t="inlineStr">
        <is>
          <t>Draw</t>
        </is>
      </c>
      <c r="F1211" s="5" t="n"/>
      <c r="G1211" s="5" t="n"/>
      <c r="H1211" s="5" t="n">
        <v>78</v>
      </c>
      <c r="I1211" s="5" t="n">
        <v>59</v>
      </c>
      <c r="J1211" s="5" t="n">
        <v>19</v>
      </c>
      <c r="K1211" s="10">
        <f>IF(F1211&gt;0,H1211/F1211,"")</f>
        <v/>
      </c>
      <c r="L1211" s="16">
        <f>IF(AND(G1211&gt;0,H1211&gt;0),G1211/H1211,"")</f>
        <v/>
      </c>
    </row>
    <row r="1212">
      <c r="A1212" s="4" t="inlineStr">
        <is>
          <t>640</t>
        </is>
      </c>
      <c r="B1212" s="4" t="n">
        <v>6</v>
      </c>
      <c r="C1212" s="4" t="inlineStr">
        <is>
          <t>antelope</t>
        </is>
      </c>
      <c r="D1212" s="4" t="n">
        <v>2024</v>
      </c>
      <c r="E1212" s="15" t="inlineStr">
        <is>
          <t>Draw</t>
        </is>
      </c>
      <c r="F1212" s="5" t="n">
        <v>158</v>
      </c>
      <c r="G1212" s="5" t="n">
        <v>929</v>
      </c>
      <c r="H1212" s="5" t="n">
        <v>93</v>
      </c>
      <c r="I1212" s="5" t="n">
        <v>77</v>
      </c>
      <c r="J1212" s="5" t="n">
        <v>16</v>
      </c>
      <c r="K1212" s="10">
        <f>IF(F1212&gt;0,H1212/F1212,"")</f>
        <v/>
      </c>
      <c r="L1212" s="16">
        <f>IF(AND(G1212&gt;0,H1212&gt;0),G1212/H1212,"")</f>
        <v/>
      </c>
    </row>
    <row r="1213">
      <c r="A1213" s="4" t="inlineStr">
        <is>
          <t>640</t>
        </is>
      </c>
      <c r="B1213" s="4" t="n">
        <v>6</v>
      </c>
      <c r="C1213" s="4" t="inlineStr">
        <is>
          <t>antelope</t>
        </is>
      </c>
      <c r="D1213" s="4" t="n">
        <v>2025</v>
      </c>
      <c r="E1213" s="15" t="inlineStr">
        <is>
          <t>Draw</t>
        </is>
      </c>
      <c r="F1213" s="5" t="n"/>
      <c r="G1213" s="5" t="n"/>
      <c r="H1213" s="5" t="n">
        <v>76</v>
      </c>
      <c r="I1213" s="5" t="n">
        <v>59</v>
      </c>
      <c r="J1213" s="5" t="n">
        <v>17</v>
      </c>
      <c r="K1213" s="10">
        <f>IF(F1213&gt;0,H1213/F1213,"")</f>
        <v/>
      </c>
      <c r="L1213" s="16">
        <f>IF(AND(G1213&gt;0,H1213&gt;0),G1213/H1213,"")</f>
        <v/>
      </c>
    </row>
    <row r="1214">
      <c r="A1214" s="4" t="inlineStr">
        <is>
          <t>650</t>
        </is>
      </c>
      <c r="B1214" s="4" t="n">
        <v>6</v>
      </c>
      <c r="C1214" s="4" t="inlineStr">
        <is>
          <t>antelope</t>
        </is>
      </c>
      <c r="D1214" s="4" t="n">
        <v>2004</v>
      </c>
      <c r="E1214" s="15" t="inlineStr">
        <is>
          <t>Draw</t>
        </is>
      </c>
      <c r="F1214" s="5" t="n">
        <v>200</v>
      </c>
      <c r="G1214" s="5" t="n">
        <v>528</v>
      </c>
      <c r="H1214" s="5" t="n">
        <v>114</v>
      </c>
      <c r="I1214" s="5" t="n">
        <v>85</v>
      </c>
      <c r="J1214" s="5" t="n">
        <v>26</v>
      </c>
      <c r="K1214" s="10">
        <f>IF(F1214&gt;0,H1214/F1214,"")</f>
        <v/>
      </c>
      <c r="L1214" s="16">
        <f>IF(AND(G1214&gt;0,H1214&gt;0),G1214/H1214,"")</f>
        <v/>
      </c>
    </row>
    <row r="1215">
      <c r="A1215" s="4" t="inlineStr">
        <is>
          <t>650</t>
        </is>
      </c>
      <c r="B1215" s="4" t="n">
        <v>6</v>
      </c>
      <c r="C1215" s="4" t="inlineStr">
        <is>
          <t>antelope</t>
        </is>
      </c>
      <c r="D1215" s="4" t="n">
        <v>2005</v>
      </c>
      <c r="E1215" s="15" t="inlineStr">
        <is>
          <t>Draw</t>
        </is>
      </c>
      <c r="F1215" s="5" t="n">
        <v>461</v>
      </c>
      <c r="G1215" s="5" t="n">
        <v>1701</v>
      </c>
      <c r="H1215" s="5" t="n">
        <v>256</v>
      </c>
      <c r="I1215" s="5" t="n">
        <v>193</v>
      </c>
      <c r="J1215" s="5" t="n">
        <v>56</v>
      </c>
      <c r="K1215" s="10">
        <f>IF(F1215&gt;0,H1215/F1215,"")</f>
        <v/>
      </c>
      <c r="L1215" s="16">
        <f>IF(AND(G1215&gt;0,H1215&gt;0),G1215/H1215,"")</f>
        <v/>
      </c>
    </row>
    <row r="1216">
      <c r="A1216" s="4" t="inlineStr">
        <is>
          <t>650</t>
        </is>
      </c>
      <c r="B1216" s="4" t="n">
        <v>6</v>
      </c>
      <c r="C1216" s="4" t="inlineStr">
        <is>
          <t>antelope</t>
        </is>
      </c>
      <c r="D1216" s="4" t="n">
        <v>2006</v>
      </c>
      <c r="E1216" s="15" t="inlineStr">
        <is>
          <t>Draw</t>
        </is>
      </c>
      <c r="F1216" s="5" t="n">
        <v>551</v>
      </c>
      <c r="G1216" s="5" t="n">
        <v>1752</v>
      </c>
      <c r="H1216" s="5" t="n">
        <v>323</v>
      </c>
      <c r="I1216" s="5" t="n">
        <v>243</v>
      </c>
      <c r="J1216" s="5" t="n">
        <v>78</v>
      </c>
      <c r="K1216" s="10">
        <f>IF(F1216&gt;0,H1216/F1216,"")</f>
        <v/>
      </c>
      <c r="L1216" s="16">
        <f>IF(AND(G1216&gt;0,H1216&gt;0),G1216/H1216,"")</f>
        <v/>
      </c>
    </row>
    <row r="1217">
      <c r="A1217" s="4" t="inlineStr">
        <is>
          <t>650</t>
        </is>
      </c>
      <c r="B1217" s="4" t="n">
        <v>6</v>
      </c>
      <c r="C1217" s="4" t="inlineStr">
        <is>
          <t>antelope</t>
        </is>
      </c>
      <c r="D1217" s="4" t="n">
        <v>2007</v>
      </c>
      <c r="E1217" s="15" t="inlineStr">
        <is>
          <t>Draw</t>
        </is>
      </c>
      <c r="F1217" s="5" t="n">
        <v>547</v>
      </c>
      <c r="G1217" s="5" t="n">
        <v>1770</v>
      </c>
      <c r="H1217" s="5" t="n">
        <v>395</v>
      </c>
      <c r="I1217" s="5" t="n">
        <v>308</v>
      </c>
      <c r="J1217" s="5" t="n">
        <v>80</v>
      </c>
      <c r="K1217" s="10">
        <f>IF(F1217&gt;0,H1217/F1217,"")</f>
        <v/>
      </c>
      <c r="L1217" s="16">
        <f>IF(AND(G1217&gt;0,H1217&gt;0),G1217/H1217,"")</f>
        <v/>
      </c>
    </row>
    <row r="1218">
      <c r="A1218" s="4" t="inlineStr">
        <is>
          <t>650</t>
        </is>
      </c>
      <c r="B1218" s="4" t="n">
        <v>6</v>
      </c>
      <c r="C1218" s="4" t="inlineStr">
        <is>
          <t>antelope</t>
        </is>
      </c>
      <c r="D1218" s="4" t="n">
        <v>2008</v>
      </c>
      <c r="E1218" s="15" t="inlineStr">
        <is>
          <t>Draw</t>
        </is>
      </c>
      <c r="F1218" s="5" t="n">
        <v>597</v>
      </c>
      <c r="G1218" s="5" t="n">
        <v>2023</v>
      </c>
      <c r="H1218" s="5" t="n">
        <v>359</v>
      </c>
      <c r="I1218" s="5" t="n">
        <v>270</v>
      </c>
      <c r="J1218" s="5" t="n">
        <v>86</v>
      </c>
      <c r="K1218" s="10">
        <f>IF(F1218&gt;0,H1218/F1218,"")</f>
        <v/>
      </c>
      <c r="L1218" s="16">
        <f>IF(AND(G1218&gt;0,H1218&gt;0),G1218/H1218,"")</f>
        <v/>
      </c>
    </row>
    <row r="1219">
      <c r="A1219" s="4" t="inlineStr">
        <is>
          <t>650</t>
        </is>
      </c>
      <c r="B1219" s="4" t="n">
        <v>6</v>
      </c>
      <c r="C1219" s="4" t="inlineStr">
        <is>
          <t>antelope</t>
        </is>
      </c>
      <c r="D1219" s="4" t="n">
        <v>2009</v>
      </c>
      <c r="E1219" s="15" t="inlineStr">
        <is>
          <t>Draw</t>
        </is>
      </c>
      <c r="F1219" s="5" t="n">
        <v>632</v>
      </c>
      <c r="G1219" s="5" t="n">
        <v>1883</v>
      </c>
      <c r="H1219" s="5" t="n">
        <v>445</v>
      </c>
      <c r="I1219" s="5" t="n">
        <v>330</v>
      </c>
      <c r="J1219" s="5" t="n">
        <v>107</v>
      </c>
      <c r="K1219" s="10">
        <f>IF(F1219&gt;0,H1219/F1219,"")</f>
        <v/>
      </c>
      <c r="L1219" s="16">
        <f>IF(AND(G1219&gt;0,H1219&gt;0),G1219/H1219,"")</f>
        <v/>
      </c>
    </row>
    <row r="1220">
      <c r="A1220" s="4" t="inlineStr">
        <is>
          <t>650</t>
        </is>
      </c>
      <c r="B1220" s="4" t="n">
        <v>6</v>
      </c>
      <c r="C1220" s="4" t="inlineStr">
        <is>
          <t>antelope</t>
        </is>
      </c>
      <c r="D1220" s="4" t="n">
        <v>2010</v>
      </c>
      <c r="E1220" s="15" t="inlineStr">
        <is>
          <t>Draw</t>
        </is>
      </c>
      <c r="F1220" s="5" t="n">
        <v>727</v>
      </c>
      <c r="G1220" s="5" t="n">
        <v>2154</v>
      </c>
      <c r="H1220" s="5" t="n">
        <v>542</v>
      </c>
      <c r="I1220" s="5" t="n">
        <v>373</v>
      </c>
      <c r="J1220" s="5" t="n">
        <v>163</v>
      </c>
      <c r="K1220" s="10">
        <f>IF(F1220&gt;0,H1220/F1220,"")</f>
        <v/>
      </c>
      <c r="L1220" s="16">
        <f>IF(AND(G1220&gt;0,H1220&gt;0),G1220/H1220,"")</f>
        <v/>
      </c>
    </row>
    <row r="1221">
      <c r="A1221" s="4" t="inlineStr">
        <is>
          <t>650</t>
        </is>
      </c>
      <c r="B1221" s="4" t="n">
        <v>6</v>
      </c>
      <c r="C1221" s="4" t="inlineStr">
        <is>
          <t>antelope</t>
        </is>
      </c>
      <c r="D1221" s="4" t="n">
        <v>2011</v>
      </c>
      <c r="E1221" s="15" t="inlineStr">
        <is>
          <t>Draw</t>
        </is>
      </c>
      <c r="F1221" s="5" t="n">
        <v>210</v>
      </c>
      <c r="G1221" s="5" t="n">
        <v>738</v>
      </c>
      <c r="H1221" s="5" t="n">
        <v>106</v>
      </c>
      <c r="I1221" s="5" t="n">
        <v>82</v>
      </c>
      <c r="J1221" s="5" t="n">
        <v>24</v>
      </c>
      <c r="K1221" s="10">
        <f>IF(F1221&gt;0,H1221/F1221,"")</f>
        <v/>
      </c>
      <c r="L1221" s="16">
        <f>IF(AND(G1221&gt;0,H1221&gt;0),G1221/H1221,"")</f>
        <v/>
      </c>
    </row>
    <row r="1222">
      <c r="A1222" s="4" t="inlineStr">
        <is>
          <t>650</t>
        </is>
      </c>
      <c r="B1222" s="4" t="n">
        <v>6</v>
      </c>
      <c r="C1222" s="4" t="inlineStr">
        <is>
          <t>antelope</t>
        </is>
      </c>
      <c r="D1222" s="4" t="n">
        <v>2012</v>
      </c>
      <c r="E1222" s="15" t="inlineStr">
        <is>
          <t>Draw</t>
        </is>
      </c>
      <c r="F1222" s="5" t="n">
        <v>196</v>
      </c>
      <c r="G1222" s="5" t="n">
        <v>728</v>
      </c>
      <c r="H1222" s="5" t="n">
        <v>106</v>
      </c>
      <c r="I1222" s="5" t="n">
        <v>92</v>
      </c>
      <c r="J1222" s="5" t="n">
        <v>11</v>
      </c>
      <c r="K1222" s="10">
        <f>IF(F1222&gt;0,H1222/F1222,"")</f>
        <v/>
      </c>
      <c r="L1222" s="16">
        <f>IF(AND(G1222&gt;0,H1222&gt;0),G1222/H1222,"")</f>
        <v/>
      </c>
    </row>
    <row r="1223">
      <c r="A1223" s="4" t="inlineStr">
        <is>
          <t>650</t>
        </is>
      </c>
      <c r="B1223" s="4" t="n">
        <v>6</v>
      </c>
      <c r="C1223" s="4" t="inlineStr">
        <is>
          <t>antelope</t>
        </is>
      </c>
      <c r="D1223" s="4" t="n">
        <v>2013</v>
      </c>
      <c r="E1223" s="15" t="inlineStr">
        <is>
          <t>Draw</t>
        </is>
      </c>
      <c r="F1223" s="5" t="n"/>
      <c r="G1223" s="5" t="n"/>
      <c r="H1223" s="5" t="n">
        <v>120</v>
      </c>
      <c r="I1223" s="5" t="n">
        <v>104</v>
      </c>
      <c r="J1223" s="5" t="n">
        <v>16</v>
      </c>
      <c r="K1223" s="10">
        <f>IF(F1223&gt;0,H1223/F1223,"")</f>
        <v/>
      </c>
      <c r="L1223" s="16">
        <f>IF(AND(G1223&gt;0,H1223&gt;0),G1223/H1223,"")</f>
        <v/>
      </c>
    </row>
    <row r="1224">
      <c r="A1224" s="4" t="inlineStr">
        <is>
          <t>650</t>
        </is>
      </c>
      <c r="B1224" s="4" t="n">
        <v>6</v>
      </c>
      <c r="C1224" s="4" t="inlineStr">
        <is>
          <t>antelope</t>
        </is>
      </c>
      <c r="D1224" s="4" t="n">
        <v>2014</v>
      </c>
      <c r="E1224" s="15" t="inlineStr">
        <is>
          <t>Draw</t>
        </is>
      </c>
      <c r="F1224" s="5" t="n">
        <v>185</v>
      </c>
      <c r="G1224" s="5" t="n">
        <v>537</v>
      </c>
      <c r="H1224" s="5" t="n">
        <v>119</v>
      </c>
      <c r="I1224" s="5" t="n">
        <v>105</v>
      </c>
      <c r="J1224" s="5" t="n">
        <v>12</v>
      </c>
      <c r="K1224" s="10">
        <f>IF(F1224&gt;0,H1224/F1224,"")</f>
        <v/>
      </c>
      <c r="L1224" s="16">
        <f>IF(AND(G1224&gt;0,H1224&gt;0),G1224/H1224,"")</f>
        <v/>
      </c>
    </row>
    <row r="1225">
      <c r="A1225" s="4" t="inlineStr">
        <is>
          <t>650</t>
        </is>
      </c>
      <c r="B1225" s="4" t="n">
        <v>6</v>
      </c>
      <c r="C1225" s="4" t="inlineStr">
        <is>
          <t>antelope</t>
        </is>
      </c>
      <c r="D1225" s="4" t="n">
        <v>2015</v>
      </c>
      <c r="E1225" s="15" t="inlineStr">
        <is>
          <t>Draw</t>
        </is>
      </c>
      <c r="F1225" s="5" t="n">
        <v>197</v>
      </c>
      <c r="G1225" s="5" t="n">
        <v>735</v>
      </c>
      <c r="H1225" s="5" t="n">
        <v>133</v>
      </c>
      <c r="I1225" s="5" t="n">
        <v>117</v>
      </c>
      <c r="J1225" s="5" t="n">
        <v>16</v>
      </c>
      <c r="K1225" s="10">
        <f>IF(F1225&gt;0,H1225/F1225,"")</f>
        <v/>
      </c>
      <c r="L1225" s="16">
        <f>IF(AND(G1225&gt;0,H1225&gt;0),G1225/H1225,"")</f>
        <v/>
      </c>
    </row>
    <row r="1226">
      <c r="A1226" s="4" t="inlineStr">
        <is>
          <t>650</t>
        </is>
      </c>
      <c r="B1226" s="4" t="n">
        <v>6</v>
      </c>
      <c r="C1226" s="4" t="inlineStr">
        <is>
          <t>antelope</t>
        </is>
      </c>
      <c r="D1226" s="4" t="n">
        <v>2016</v>
      </c>
      <c r="E1226" s="15" t="inlineStr">
        <is>
          <t>Draw</t>
        </is>
      </c>
      <c r="F1226" s="5" t="n"/>
      <c r="G1226" s="5" t="n"/>
      <c r="H1226" s="5" t="n">
        <v>175</v>
      </c>
      <c r="I1226" s="5" t="n">
        <v>156</v>
      </c>
      <c r="J1226" s="5" t="n">
        <v>18</v>
      </c>
      <c r="K1226" s="10">
        <f>IF(F1226&gt;0,H1226/F1226,"")</f>
        <v/>
      </c>
      <c r="L1226" s="16">
        <f>IF(AND(G1226&gt;0,H1226&gt;0),G1226/H1226,"")</f>
        <v/>
      </c>
    </row>
    <row r="1227">
      <c r="A1227" s="4" t="inlineStr">
        <is>
          <t>650</t>
        </is>
      </c>
      <c r="B1227" s="4" t="n">
        <v>6</v>
      </c>
      <c r="C1227" s="4" t="inlineStr">
        <is>
          <t>antelope</t>
        </is>
      </c>
      <c r="D1227" s="4" t="n">
        <v>2017</v>
      </c>
      <c r="E1227" s="15" t="inlineStr">
        <is>
          <t>Draw</t>
        </is>
      </c>
      <c r="F1227" s="5" t="n"/>
      <c r="G1227" s="5" t="n"/>
      <c r="H1227" s="5" t="n">
        <v>171</v>
      </c>
      <c r="I1227" s="5" t="n">
        <v>152</v>
      </c>
      <c r="J1227" s="5" t="n">
        <v>19</v>
      </c>
      <c r="K1227" s="10">
        <f>IF(F1227&gt;0,H1227/F1227,"")</f>
        <v/>
      </c>
      <c r="L1227" s="16">
        <f>IF(AND(G1227&gt;0,H1227&gt;0),G1227/H1227,"")</f>
        <v/>
      </c>
    </row>
    <row r="1228">
      <c r="A1228" s="4" t="inlineStr">
        <is>
          <t>650</t>
        </is>
      </c>
      <c r="B1228" s="4" t="n">
        <v>6</v>
      </c>
      <c r="C1228" s="4" t="inlineStr">
        <is>
          <t>antelope</t>
        </is>
      </c>
      <c r="D1228" s="4" t="n">
        <v>2018</v>
      </c>
      <c r="E1228" s="15" t="inlineStr">
        <is>
          <t>Draw</t>
        </is>
      </c>
      <c r="F1228" s="5" t="n">
        <v>278</v>
      </c>
      <c r="G1228" s="5" t="n">
        <v>694</v>
      </c>
      <c r="H1228" s="5" t="n">
        <v>262</v>
      </c>
      <c r="I1228" s="5" t="n">
        <v>188</v>
      </c>
      <c r="J1228" s="5" t="n">
        <v>71</v>
      </c>
      <c r="K1228" s="10">
        <f>IF(F1228&gt;0,H1228/F1228,"")</f>
        <v/>
      </c>
      <c r="L1228" s="16">
        <f>IF(AND(G1228&gt;0,H1228&gt;0),G1228/H1228,"")</f>
        <v/>
      </c>
    </row>
    <row r="1229">
      <c r="A1229" s="4" t="inlineStr">
        <is>
          <t>650</t>
        </is>
      </c>
      <c r="B1229" s="4" t="n">
        <v>6</v>
      </c>
      <c r="C1229" s="4" t="inlineStr">
        <is>
          <t>antelope</t>
        </is>
      </c>
      <c r="D1229" s="4" t="n">
        <v>2019</v>
      </c>
      <c r="E1229" s="15" t="inlineStr">
        <is>
          <t>Draw</t>
        </is>
      </c>
      <c r="F1229" s="5" t="n"/>
      <c r="G1229" s="5" t="n"/>
      <c r="H1229" s="5" t="n">
        <v>385</v>
      </c>
      <c r="I1229" s="5" t="n">
        <v>295</v>
      </c>
      <c r="J1229" s="5" t="n">
        <v>84</v>
      </c>
      <c r="K1229" s="10">
        <f>IF(F1229&gt;0,H1229/F1229,"")</f>
        <v/>
      </c>
      <c r="L1229" s="16">
        <f>IF(AND(G1229&gt;0,H1229&gt;0),G1229/H1229,"")</f>
        <v/>
      </c>
    </row>
    <row r="1230">
      <c r="A1230" s="4" t="inlineStr">
        <is>
          <t>650</t>
        </is>
      </c>
      <c r="B1230" s="4" t="n">
        <v>6</v>
      </c>
      <c r="C1230" s="4" t="inlineStr">
        <is>
          <t>antelope</t>
        </is>
      </c>
      <c r="D1230" s="4" t="n">
        <v>2020</v>
      </c>
      <c r="E1230" s="15" t="inlineStr">
        <is>
          <t>Draw</t>
        </is>
      </c>
      <c r="F1230" s="5" t="n">
        <v>621</v>
      </c>
      <c r="G1230" s="5" t="n">
        <v>2159</v>
      </c>
      <c r="H1230" s="5" t="n">
        <v>506</v>
      </c>
      <c r="I1230" s="5" t="n">
        <v>334</v>
      </c>
      <c r="J1230" s="5" t="n">
        <v>173</v>
      </c>
      <c r="K1230" s="10">
        <f>IF(F1230&gt;0,H1230/F1230,"")</f>
        <v/>
      </c>
      <c r="L1230" s="16">
        <f>IF(AND(G1230&gt;0,H1230&gt;0),G1230/H1230,"")</f>
        <v/>
      </c>
    </row>
    <row r="1231">
      <c r="A1231" s="4" t="inlineStr">
        <is>
          <t>650</t>
        </is>
      </c>
      <c r="B1231" s="4" t="n">
        <v>6</v>
      </c>
      <c r="C1231" s="4" t="inlineStr">
        <is>
          <t>antelope</t>
        </is>
      </c>
      <c r="D1231" s="4" t="n">
        <v>2021</v>
      </c>
      <c r="E1231" s="15" t="inlineStr">
        <is>
          <t>Draw</t>
        </is>
      </c>
      <c r="F1231" s="5" t="n"/>
      <c r="G1231" s="5" t="n"/>
      <c r="H1231" s="5" t="n">
        <v>547</v>
      </c>
      <c r="I1231" s="5" t="n">
        <v>386</v>
      </c>
      <c r="J1231" s="5" t="n">
        <v>161</v>
      </c>
      <c r="K1231" s="10">
        <f>IF(F1231&gt;0,H1231/F1231,"")</f>
        <v/>
      </c>
      <c r="L1231" s="16">
        <f>IF(AND(G1231&gt;0,H1231&gt;0),G1231/H1231,"")</f>
        <v/>
      </c>
    </row>
    <row r="1232">
      <c r="A1232" s="4" t="inlineStr">
        <is>
          <t>650</t>
        </is>
      </c>
      <c r="B1232" s="4" t="n">
        <v>6</v>
      </c>
      <c r="C1232" s="4" t="inlineStr">
        <is>
          <t>antelope</t>
        </is>
      </c>
      <c r="D1232" s="4" t="n">
        <v>2022</v>
      </c>
      <c r="E1232" s="15" t="inlineStr">
        <is>
          <t>Draw</t>
        </is>
      </c>
      <c r="F1232" s="5" t="n">
        <v>704</v>
      </c>
      <c r="G1232" s="5" t="n">
        <v>2723</v>
      </c>
      <c r="H1232" s="5" t="n">
        <v>569</v>
      </c>
      <c r="I1232" s="5" t="n">
        <v>414</v>
      </c>
      <c r="J1232" s="5" t="n">
        <v>149</v>
      </c>
      <c r="K1232" s="10">
        <f>IF(F1232&gt;0,H1232/F1232,"")</f>
        <v/>
      </c>
      <c r="L1232" s="16">
        <f>IF(AND(G1232&gt;0,H1232&gt;0),G1232/H1232,"")</f>
        <v/>
      </c>
    </row>
    <row r="1233">
      <c r="A1233" s="4" t="inlineStr">
        <is>
          <t>650</t>
        </is>
      </c>
      <c r="B1233" s="4" t="n">
        <v>6</v>
      </c>
      <c r="C1233" s="4" t="inlineStr">
        <is>
          <t>antelope</t>
        </is>
      </c>
      <c r="D1233" s="4" t="n">
        <v>2023</v>
      </c>
      <c r="E1233" s="15" t="inlineStr">
        <is>
          <t>Draw</t>
        </is>
      </c>
      <c r="F1233" s="5" t="n"/>
      <c r="G1233" s="5" t="n"/>
      <c r="H1233" s="5" t="n">
        <v>529</v>
      </c>
      <c r="I1233" s="5" t="n">
        <v>396</v>
      </c>
      <c r="J1233" s="5" t="n">
        <v>133</v>
      </c>
      <c r="K1233" s="10">
        <f>IF(F1233&gt;0,H1233/F1233,"")</f>
        <v/>
      </c>
      <c r="L1233" s="16">
        <f>IF(AND(G1233&gt;0,H1233&gt;0),G1233/H1233,"")</f>
        <v/>
      </c>
    </row>
    <row r="1234">
      <c r="A1234" s="4" t="inlineStr">
        <is>
          <t>650</t>
        </is>
      </c>
      <c r="B1234" s="4" t="n">
        <v>6</v>
      </c>
      <c r="C1234" s="4" t="inlineStr">
        <is>
          <t>antelope</t>
        </is>
      </c>
      <c r="D1234" s="4" t="n">
        <v>2024</v>
      </c>
      <c r="E1234" s="15" t="inlineStr">
        <is>
          <t>Draw</t>
        </is>
      </c>
      <c r="F1234" s="5" t="n">
        <v>459</v>
      </c>
      <c r="G1234" s="5" t="n">
        <v>1822</v>
      </c>
      <c r="H1234" s="5" t="n">
        <v>344</v>
      </c>
      <c r="I1234" s="5" t="n">
        <v>264</v>
      </c>
      <c r="J1234" s="5" t="n">
        <v>79</v>
      </c>
      <c r="K1234" s="10">
        <f>IF(F1234&gt;0,H1234/F1234,"")</f>
        <v/>
      </c>
      <c r="L1234" s="16">
        <f>IF(AND(G1234&gt;0,H1234&gt;0),G1234/H1234,"")</f>
        <v/>
      </c>
    </row>
    <row r="1235">
      <c r="A1235" s="4" t="inlineStr">
        <is>
          <t>650</t>
        </is>
      </c>
      <c r="B1235" s="4" t="n">
        <v>6</v>
      </c>
      <c r="C1235" s="4" t="inlineStr">
        <is>
          <t>antelope</t>
        </is>
      </c>
      <c r="D1235" s="4" t="n">
        <v>2025</v>
      </c>
      <c r="E1235" s="15" t="inlineStr">
        <is>
          <t>Draw</t>
        </is>
      </c>
      <c r="F1235" s="5" t="n"/>
      <c r="G1235" s="5" t="n"/>
      <c r="H1235" s="5" t="n">
        <v>461</v>
      </c>
      <c r="I1235" s="5" t="n">
        <v>326</v>
      </c>
      <c r="J1235" s="5" t="n">
        <v>135</v>
      </c>
      <c r="K1235" s="10">
        <f>IF(F1235&gt;0,H1235/F1235,"")</f>
        <v/>
      </c>
      <c r="L1235" s="16">
        <f>IF(AND(G1235&gt;0,H1235&gt;0),G1235/H1235,"")</f>
        <v/>
      </c>
    </row>
    <row r="1236">
      <c r="A1236" s="4" t="inlineStr">
        <is>
          <t>651</t>
        </is>
      </c>
      <c r="B1236" s="4" t="n">
        <v>6</v>
      </c>
      <c r="C1236" s="4" t="inlineStr">
        <is>
          <t>antelope</t>
        </is>
      </c>
      <c r="D1236" s="4" t="n">
        <v>2004</v>
      </c>
      <c r="E1236" s="4" t="inlineStr"/>
      <c r="F1236" s="5" t="n">
        <v>221</v>
      </c>
      <c r="G1236" s="5" t="n">
        <v>695</v>
      </c>
      <c r="H1236" s="5" t="n">
        <v>123</v>
      </c>
      <c r="I1236" s="5" t="n">
        <v>99</v>
      </c>
      <c r="J1236" s="5" t="n">
        <v>23</v>
      </c>
      <c r="K1236" s="10">
        <f>IF(F1236&gt;0,H1236/F1236,"")</f>
        <v/>
      </c>
      <c r="L1236" s="16">
        <f>IF(AND(G1236&gt;0,H1236&gt;0),G1236/H1236,"")</f>
        <v/>
      </c>
    </row>
    <row r="1237">
      <c r="A1237" s="4" t="inlineStr">
        <is>
          <t>651</t>
        </is>
      </c>
      <c r="B1237" s="4" t="n">
        <v>6</v>
      </c>
      <c r="C1237" s="4" t="inlineStr">
        <is>
          <t>antelope</t>
        </is>
      </c>
      <c r="D1237" s="4" t="n">
        <v>2005</v>
      </c>
      <c r="E1237" s="4" t="inlineStr"/>
      <c r="F1237" s="5" t="n">
        <v>27</v>
      </c>
      <c r="G1237" s="5" t="n">
        <v>106</v>
      </c>
      <c r="H1237" s="5" t="n">
        <v>17</v>
      </c>
      <c r="I1237" s="5" t="n">
        <v>13</v>
      </c>
      <c r="J1237" s="5" t="n">
        <v>3</v>
      </c>
      <c r="K1237" s="10">
        <f>IF(F1237&gt;0,H1237/F1237,"")</f>
        <v/>
      </c>
      <c r="L1237" s="16">
        <f>IF(AND(G1237&gt;0,H1237&gt;0),G1237/H1237,"")</f>
        <v/>
      </c>
    </row>
    <row r="1238">
      <c r="A1238" s="4" t="inlineStr">
        <is>
          <t>670</t>
        </is>
      </c>
      <c r="B1238" s="4" t="n">
        <v>6</v>
      </c>
      <c r="C1238" s="4" t="inlineStr">
        <is>
          <t>antelope</t>
        </is>
      </c>
      <c r="D1238" s="4" t="n">
        <v>2004</v>
      </c>
      <c r="E1238" s="15" t="inlineStr">
        <is>
          <t>Draw</t>
        </is>
      </c>
      <c r="F1238" s="5" t="n">
        <v>209</v>
      </c>
      <c r="G1238" s="5" t="n">
        <v>641</v>
      </c>
      <c r="H1238" s="5" t="n">
        <v>118</v>
      </c>
      <c r="I1238" s="5" t="n">
        <v>90</v>
      </c>
      <c r="J1238" s="5" t="n">
        <v>27</v>
      </c>
      <c r="K1238" s="10">
        <f>IF(F1238&gt;0,H1238/F1238,"")</f>
        <v/>
      </c>
      <c r="L1238" s="16">
        <f>IF(AND(G1238&gt;0,H1238&gt;0),G1238/H1238,"")</f>
        <v/>
      </c>
    </row>
    <row r="1239">
      <c r="A1239" s="4" t="inlineStr">
        <is>
          <t>670</t>
        </is>
      </c>
      <c r="B1239" s="4" t="n">
        <v>6</v>
      </c>
      <c r="C1239" s="4" t="inlineStr">
        <is>
          <t>antelope</t>
        </is>
      </c>
      <c r="D1239" s="4" t="n">
        <v>2005</v>
      </c>
      <c r="E1239" s="15" t="inlineStr">
        <is>
          <t>Draw</t>
        </is>
      </c>
      <c r="F1239" s="5" t="n">
        <v>344</v>
      </c>
      <c r="G1239" s="5" t="n">
        <v>1167</v>
      </c>
      <c r="H1239" s="5" t="n">
        <v>176</v>
      </c>
      <c r="I1239" s="5" t="n">
        <v>141</v>
      </c>
      <c r="J1239" s="5" t="n">
        <v>35</v>
      </c>
      <c r="K1239" s="10">
        <f>IF(F1239&gt;0,H1239/F1239,"")</f>
        <v/>
      </c>
      <c r="L1239" s="16">
        <f>IF(AND(G1239&gt;0,H1239&gt;0),G1239/H1239,"")</f>
        <v/>
      </c>
    </row>
    <row r="1240">
      <c r="A1240" s="4" t="inlineStr">
        <is>
          <t>670</t>
        </is>
      </c>
      <c r="B1240" s="4" t="n">
        <v>6</v>
      </c>
      <c r="C1240" s="4" t="inlineStr">
        <is>
          <t>antelope</t>
        </is>
      </c>
      <c r="D1240" s="4" t="n">
        <v>2006</v>
      </c>
      <c r="E1240" s="15" t="inlineStr">
        <is>
          <t>Draw</t>
        </is>
      </c>
      <c r="F1240" s="5" t="n">
        <v>295</v>
      </c>
      <c r="G1240" s="5" t="n">
        <v>1056</v>
      </c>
      <c r="H1240" s="5" t="n">
        <v>185</v>
      </c>
      <c r="I1240" s="5" t="n">
        <v>153</v>
      </c>
      <c r="J1240" s="5" t="n">
        <v>31</v>
      </c>
      <c r="K1240" s="10">
        <f>IF(F1240&gt;0,H1240/F1240,"")</f>
        <v/>
      </c>
      <c r="L1240" s="16">
        <f>IF(AND(G1240&gt;0,H1240&gt;0),G1240/H1240,"")</f>
        <v/>
      </c>
    </row>
    <row r="1241">
      <c r="A1241" s="4" t="inlineStr">
        <is>
          <t>670</t>
        </is>
      </c>
      <c r="B1241" s="4" t="n">
        <v>6</v>
      </c>
      <c r="C1241" s="4" t="inlineStr">
        <is>
          <t>antelope</t>
        </is>
      </c>
      <c r="D1241" s="4" t="n">
        <v>2007</v>
      </c>
      <c r="E1241" s="15" t="inlineStr">
        <is>
          <t>Draw</t>
        </is>
      </c>
      <c r="F1241" s="5" t="n">
        <v>352</v>
      </c>
      <c r="G1241" s="5" t="n">
        <v>1247</v>
      </c>
      <c r="H1241" s="5" t="n">
        <v>199</v>
      </c>
      <c r="I1241" s="5" t="n">
        <v>145</v>
      </c>
      <c r="J1241" s="5" t="n">
        <v>54</v>
      </c>
      <c r="K1241" s="10">
        <f>IF(F1241&gt;0,H1241/F1241,"")</f>
        <v/>
      </c>
      <c r="L1241" s="16">
        <f>IF(AND(G1241&gt;0,H1241&gt;0),G1241/H1241,"")</f>
        <v/>
      </c>
    </row>
    <row r="1242">
      <c r="A1242" s="4" t="inlineStr">
        <is>
          <t>670</t>
        </is>
      </c>
      <c r="B1242" s="4" t="n">
        <v>6</v>
      </c>
      <c r="C1242" s="4" t="inlineStr">
        <is>
          <t>antelope</t>
        </is>
      </c>
      <c r="D1242" s="4" t="n">
        <v>2008</v>
      </c>
      <c r="E1242" s="15" t="inlineStr">
        <is>
          <t>Draw</t>
        </is>
      </c>
      <c r="F1242" s="5" t="n">
        <v>319</v>
      </c>
      <c r="G1242" s="5" t="n">
        <v>968</v>
      </c>
      <c r="H1242" s="5" t="n">
        <v>203</v>
      </c>
      <c r="I1242" s="5" t="n">
        <v>157</v>
      </c>
      <c r="J1242" s="5" t="n">
        <v>44</v>
      </c>
      <c r="K1242" s="10">
        <f>IF(F1242&gt;0,H1242/F1242,"")</f>
        <v/>
      </c>
      <c r="L1242" s="16">
        <f>IF(AND(G1242&gt;0,H1242&gt;0),G1242/H1242,"")</f>
        <v/>
      </c>
    </row>
    <row r="1243">
      <c r="A1243" s="4" t="inlineStr">
        <is>
          <t>670</t>
        </is>
      </c>
      <c r="B1243" s="4" t="n">
        <v>6</v>
      </c>
      <c r="C1243" s="4" t="inlineStr">
        <is>
          <t>antelope</t>
        </is>
      </c>
      <c r="D1243" s="4" t="n">
        <v>2009</v>
      </c>
      <c r="E1243" s="15" t="inlineStr">
        <is>
          <t>Draw</t>
        </is>
      </c>
      <c r="F1243" s="5" t="n">
        <v>309</v>
      </c>
      <c r="G1243" s="5" t="n">
        <v>1134</v>
      </c>
      <c r="H1243" s="5" t="n">
        <v>204</v>
      </c>
      <c r="I1243" s="5" t="n">
        <v>169</v>
      </c>
      <c r="J1243" s="5" t="n">
        <v>33</v>
      </c>
      <c r="K1243" s="10">
        <f>IF(F1243&gt;0,H1243/F1243,"")</f>
        <v/>
      </c>
      <c r="L1243" s="16">
        <f>IF(AND(G1243&gt;0,H1243&gt;0),G1243/H1243,"")</f>
        <v/>
      </c>
    </row>
    <row r="1244">
      <c r="A1244" s="4" t="inlineStr">
        <is>
          <t>670</t>
        </is>
      </c>
      <c r="B1244" s="4" t="n">
        <v>6</v>
      </c>
      <c r="C1244" s="4" t="inlineStr">
        <is>
          <t>antelope</t>
        </is>
      </c>
      <c r="D1244" s="4" t="n">
        <v>2010</v>
      </c>
      <c r="E1244" s="15" t="inlineStr">
        <is>
          <t>Draw</t>
        </is>
      </c>
      <c r="F1244" s="5" t="n">
        <v>336</v>
      </c>
      <c r="G1244" s="5" t="n">
        <v>1210</v>
      </c>
      <c r="H1244" s="5" t="n">
        <v>206</v>
      </c>
      <c r="I1244" s="5" t="n">
        <v>173</v>
      </c>
      <c r="J1244" s="5" t="n">
        <v>31</v>
      </c>
      <c r="K1244" s="10">
        <f>IF(F1244&gt;0,H1244/F1244,"")</f>
        <v/>
      </c>
      <c r="L1244" s="16">
        <f>IF(AND(G1244&gt;0,H1244&gt;0),G1244/H1244,"")</f>
        <v/>
      </c>
    </row>
    <row r="1245">
      <c r="A1245" s="4" t="inlineStr">
        <is>
          <t>670</t>
        </is>
      </c>
      <c r="B1245" s="4" t="n">
        <v>6</v>
      </c>
      <c r="C1245" s="4" t="inlineStr">
        <is>
          <t>antelope</t>
        </is>
      </c>
      <c r="D1245" s="4" t="n">
        <v>2011</v>
      </c>
      <c r="E1245" s="15" t="inlineStr">
        <is>
          <t>Draw</t>
        </is>
      </c>
      <c r="F1245" s="5" t="n">
        <v>34</v>
      </c>
      <c r="G1245" s="5" t="n">
        <v>114</v>
      </c>
      <c r="H1245" s="5" t="n">
        <v>17</v>
      </c>
      <c r="I1245" s="5" t="n">
        <v>12</v>
      </c>
      <c r="J1245" s="5" t="n">
        <v>5</v>
      </c>
      <c r="K1245" s="10">
        <f>IF(F1245&gt;0,H1245/F1245,"")</f>
        <v/>
      </c>
      <c r="L1245" s="16">
        <f>IF(AND(G1245&gt;0,H1245&gt;0),G1245/H1245,"")</f>
        <v/>
      </c>
    </row>
    <row r="1246">
      <c r="A1246" s="4" t="inlineStr">
        <is>
          <t>670</t>
        </is>
      </c>
      <c r="B1246" s="4" t="n">
        <v>6</v>
      </c>
      <c r="C1246" s="4" t="inlineStr">
        <is>
          <t>antelope</t>
        </is>
      </c>
      <c r="D1246" s="4" t="n">
        <v>2012</v>
      </c>
      <c r="E1246" s="15" t="inlineStr">
        <is>
          <t>Draw</t>
        </is>
      </c>
      <c r="F1246" s="5" t="n">
        <v>42</v>
      </c>
      <c r="G1246" s="5" t="n">
        <v>145</v>
      </c>
      <c r="H1246" s="5" t="n">
        <v>20</v>
      </c>
      <c r="I1246" s="5" t="n">
        <v>13</v>
      </c>
      <c r="J1246" s="5" t="n">
        <v>7</v>
      </c>
      <c r="K1246" s="10">
        <f>IF(F1246&gt;0,H1246/F1246,"")</f>
        <v/>
      </c>
      <c r="L1246" s="16">
        <f>IF(AND(G1246&gt;0,H1246&gt;0),G1246/H1246,"")</f>
        <v/>
      </c>
    </row>
    <row r="1247">
      <c r="A1247" s="4" t="inlineStr">
        <is>
          <t>670</t>
        </is>
      </c>
      <c r="B1247" s="4" t="n">
        <v>6</v>
      </c>
      <c r="C1247" s="4" t="inlineStr">
        <is>
          <t>antelope</t>
        </is>
      </c>
      <c r="D1247" s="4" t="n">
        <v>2013</v>
      </c>
      <c r="E1247" s="15" t="inlineStr">
        <is>
          <t>Draw</t>
        </is>
      </c>
      <c r="F1247" s="5" t="n"/>
      <c r="G1247" s="5" t="n"/>
      <c r="H1247" s="5" t="n">
        <v>14</v>
      </c>
      <c r="I1247" s="5" t="n">
        <v>12</v>
      </c>
      <c r="J1247" s="5" t="n">
        <v>2</v>
      </c>
      <c r="K1247" s="10">
        <f>IF(F1247&gt;0,H1247/F1247,"")</f>
        <v/>
      </c>
      <c r="L1247" s="16">
        <f>IF(AND(G1247&gt;0,H1247&gt;0),G1247/H1247,"")</f>
        <v/>
      </c>
    </row>
    <row r="1248">
      <c r="A1248" s="4" t="inlineStr">
        <is>
          <t>670</t>
        </is>
      </c>
      <c r="B1248" s="4" t="n">
        <v>6</v>
      </c>
      <c r="C1248" s="4" t="inlineStr">
        <is>
          <t>antelope</t>
        </is>
      </c>
      <c r="D1248" s="4" t="n">
        <v>2014</v>
      </c>
      <c r="E1248" s="15" t="inlineStr">
        <is>
          <t>Draw</t>
        </is>
      </c>
      <c r="F1248" s="5" t="n">
        <v>28</v>
      </c>
      <c r="G1248" s="5" t="n">
        <v>101</v>
      </c>
      <c r="H1248" s="5" t="n">
        <v>22</v>
      </c>
      <c r="I1248" s="5" t="n">
        <v>21</v>
      </c>
      <c r="J1248" s="5" t="n">
        <v>2</v>
      </c>
      <c r="K1248" s="10">
        <f>IF(F1248&gt;0,H1248/F1248,"")</f>
        <v/>
      </c>
      <c r="L1248" s="16">
        <f>IF(AND(G1248&gt;0,H1248&gt;0),G1248/H1248,"")</f>
        <v/>
      </c>
    </row>
    <row r="1249">
      <c r="A1249" s="4" t="inlineStr">
        <is>
          <t>670</t>
        </is>
      </c>
      <c r="B1249" s="4" t="n">
        <v>6</v>
      </c>
      <c r="C1249" s="4" t="inlineStr">
        <is>
          <t>antelope</t>
        </is>
      </c>
      <c r="D1249" s="4" t="n">
        <v>2015</v>
      </c>
      <c r="E1249" s="15" t="inlineStr">
        <is>
          <t>Draw</t>
        </is>
      </c>
      <c r="F1249" s="5" t="n">
        <v>60</v>
      </c>
      <c r="G1249" s="5" t="n">
        <v>160</v>
      </c>
      <c r="H1249" s="5" t="n">
        <v>26</v>
      </c>
      <c r="I1249" s="5" t="n">
        <v>17</v>
      </c>
      <c r="J1249" s="5" t="n">
        <v>8</v>
      </c>
      <c r="K1249" s="10">
        <f>IF(F1249&gt;0,H1249/F1249,"")</f>
        <v/>
      </c>
      <c r="L1249" s="16">
        <f>IF(AND(G1249&gt;0,H1249&gt;0),G1249/H1249,"")</f>
        <v/>
      </c>
    </row>
    <row r="1250">
      <c r="A1250" s="4" t="inlineStr">
        <is>
          <t>670</t>
        </is>
      </c>
      <c r="B1250" s="4" t="n">
        <v>6</v>
      </c>
      <c r="C1250" s="4" t="inlineStr">
        <is>
          <t>antelope</t>
        </is>
      </c>
      <c r="D1250" s="4" t="n">
        <v>2016</v>
      </c>
      <c r="E1250" s="15" t="inlineStr">
        <is>
          <t>Draw</t>
        </is>
      </c>
      <c r="F1250" s="5" t="n"/>
      <c r="G1250" s="5" t="n"/>
      <c r="H1250" s="5" t="n">
        <v>102</v>
      </c>
      <c r="I1250" s="5" t="n">
        <v>68</v>
      </c>
      <c r="J1250" s="5" t="n">
        <v>32</v>
      </c>
      <c r="K1250" s="10">
        <f>IF(F1250&gt;0,H1250/F1250,"")</f>
        <v/>
      </c>
      <c r="L1250" s="16">
        <f>IF(AND(G1250&gt;0,H1250&gt;0),G1250/H1250,"")</f>
        <v/>
      </c>
    </row>
    <row r="1251">
      <c r="A1251" s="4" t="inlineStr">
        <is>
          <t>670</t>
        </is>
      </c>
      <c r="B1251" s="4" t="n">
        <v>6</v>
      </c>
      <c r="C1251" s="4" t="inlineStr">
        <is>
          <t>antelope</t>
        </is>
      </c>
      <c r="D1251" s="4" t="n">
        <v>2017</v>
      </c>
      <c r="E1251" s="15" t="inlineStr">
        <is>
          <t>Draw</t>
        </is>
      </c>
      <c r="F1251" s="5" t="n"/>
      <c r="G1251" s="5" t="n"/>
      <c r="H1251" s="5" t="n">
        <v>150</v>
      </c>
      <c r="I1251" s="5" t="n">
        <v>132</v>
      </c>
      <c r="J1251" s="5" t="n">
        <v>17</v>
      </c>
      <c r="K1251" s="10">
        <f>IF(F1251&gt;0,H1251/F1251,"")</f>
        <v/>
      </c>
      <c r="L1251" s="16">
        <f>IF(AND(G1251&gt;0,H1251&gt;0),G1251/H1251,"")</f>
        <v/>
      </c>
    </row>
    <row r="1252">
      <c r="A1252" s="4" t="inlineStr">
        <is>
          <t>670</t>
        </is>
      </c>
      <c r="B1252" s="4" t="n">
        <v>6</v>
      </c>
      <c r="C1252" s="4" t="inlineStr">
        <is>
          <t>antelope</t>
        </is>
      </c>
      <c r="D1252" s="4" t="n">
        <v>2018</v>
      </c>
      <c r="E1252" s="15" t="inlineStr">
        <is>
          <t>Draw</t>
        </is>
      </c>
      <c r="F1252" s="5" t="n">
        <v>285</v>
      </c>
      <c r="G1252" s="5" t="n">
        <v>1339</v>
      </c>
      <c r="H1252" s="5" t="n">
        <v>159</v>
      </c>
      <c r="I1252" s="5" t="n">
        <v>134</v>
      </c>
      <c r="J1252" s="5" t="n">
        <v>25</v>
      </c>
      <c r="K1252" s="10">
        <f>IF(F1252&gt;0,H1252/F1252,"")</f>
        <v/>
      </c>
      <c r="L1252" s="16">
        <f>IF(AND(G1252&gt;0,H1252&gt;0),G1252/H1252,"")</f>
        <v/>
      </c>
    </row>
    <row r="1253">
      <c r="A1253" s="4" t="inlineStr">
        <is>
          <t>670</t>
        </is>
      </c>
      <c r="B1253" s="4" t="n">
        <v>6</v>
      </c>
      <c r="C1253" s="4" t="inlineStr">
        <is>
          <t>antelope</t>
        </is>
      </c>
      <c r="D1253" s="4" t="n">
        <v>2019</v>
      </c>
      <c r="E1253" s="15" t="inlineStr">
        <is>
          <t>Draw</t>
        </is>
      </c>
      <c r="F1253" s="5" t="n"/>
      <c r="G1253" s="5" t="n"/>
      <c r="H1253" s="5" t="n">
        <v>171</v>
      </c>
      <c r="I1253" s="5" t="n">
        <v>153</v>
      </c>
      <c r="J1253" s="5" t="n">
        <v>18</v>
      </c>
      <c r="K1253" s="10">
        <f>IF(F1253&gt;0,H1253/F1253,"")</f>
        <v/>
      </c>
      <c r="L1253" s="16">
        <f>IF(AND(G1253&gt;0,H1253&gt;0),G1253/H1253,"")</f>
        <v/>
      </c>
    </row>
    <row r="1254">
      <c r="A1254" s="4" t="inlineStr">
        <is>
          <t>670</t>
        </is>
      </c>
      <c r="B1254" s="4" t="n">
        <v>6</v>
      </c>
      <c r="C1254" s="4" t="inlineStr">
        <is>
          <t>antelope</t>
        </is>
      </c>
      <c r="D1254" s="4" t="n">
        <v>2020</v>
      </c>
      <c r="E1254" s="15" t="inlineStr">
        <is>
          <t>Draw</t>
        </is>
      </c>
      <c r="F1254" s="5" t="n">
        <v>420</v>
      </c>
      <c r="G1254" s="5" t="n">
        <v>1387</v>
      </c>
      <c r="H1254" s="5" t="n">
        <v>412</v>
      </c>
      <c r="I1254" s="5" t="n">
        <v>304</v>
      </c>
      <c r="J1254" s="5" t="n">
        <v>101</v>
      </c>
      <c r="K1254" s="10">
        <f>IF(F1254&gt;0,H1254/F1254,"")</f>
        <v/>
      </c>
      <c r="L1254" s="16">
        <f>IF(AND(G1254&gt;0,H1254&gt;0),G1254/H1254,"")</f>
        <v/>
      </c>
    </row>
    <row r="1255">
      <c r="A1255" s="4" t="inlineStr">
        <is>
          <t>670</t>
        </is>
      </c>
      <c r="B1255" s="4" t="n">
        <v>6</v>
      </c>
      <c r="C1255" s="4" t="inlineStr">
        <is>
          <t>antelope</t>
        </is>
      </c>
      <c r="D1255" s="4" t="n">
        <v>2021</v>
      </c>
      <c r="E1255" s="15" t="inlineStr">
        <is>
          <t>Draw</t>
        </is>
      </c>
      <c r="F1255" s="5" t="n"/>
      <c r="G1255" s="5" t="n"/>
      <c r="H1255" s="5" t="n">
        <v>397</v>
      </c>
      <c r="I1255" s="5" t="n">
        <v>291</v>
      </c>
      <c r="J1255" s="5" t="n">
        <v>101</v>
      </c>
      <c r="K1255" s="10">
        <f>IF(F1255&gt;0,H1255/F1255,"")</f>
        <v/>
      </c>
      <c r="L1255" s="16">
        <f>IF(AND(G1255&gt;0,H1255&gt;0),G1255/H1255,"")</f>
        <v/>
      </c>
    </row>
    <row r="1256">
      <c r="A1256" s="4" t="inlineStr">
        <is>
          <t>670</t>
        </is>
      </c>
      <c r="B1256" s="4" t="n">
        <v>6</v>
      </c>
      <c r="C1256" s="4" t="inlineStr">
        <is>
          <t>antelope</t>
        </is>
      </c>
      <c r="D1256" s="4" t="n">
        <v>2022</v>
      </c>
      <c r="E1256" s="15" t="inlineStr">
        <is>
          <t>Draw</t>
        </is>
      </c>
      <c r="F1256" s="5" t="n">
        <v>400</v>
      </c>
      <c r="G1256" s="5" t="n">
        <v>1310</v>
      </c>
      <c r="H1256" s="5" t="n">
        <v>295</v>
      </c>
      <c r="I1256" s="5" t="n">
        <v>249</v>
      </c>
      <c r="J1256" s="5" t="n">
        <v>46</v>
      </c>
      <c r="K1256" s="10">
        <f>IF(F1256&gt;0,H1256/F1256,"")</f>
        <v/>
      </c>
      <c r="L1256" s="16">
        <f>IF(AND(G1256&gt;0,H1256&gt;0),G1256/H1256,"")</f>
        <v/>
      </c>
    </row>
    <row r="1257">
      <c r="A1257" s="4" t="inlineStr">
        <is>
          <t>670</t>
        </is>
      </c>
      <c r="B1257" s="4" t="n">
        <v>6</v>
      </c>
      <c r="C1257" s="4" t="inlineStr">
        <is>
          <t>antelope</t>
        </is>
      </c>
      <c r="D1257" s="4" t="n">
        <v>2023</v>
      </c>
      <c r="E1257" s="15" t="inlineStr">
        <is>
          <t>Draw</t>
        </is>
      </c>
      <c r="F1257" s="5" t="n"/>
      <c r="G1257" s="5" t="n"/>
      <c r="H1257" s="5" t="n">
        <v>229</v>
      </c>
      <c r="I1257" s="5" t="n">
        <v>190</v>
      </c>
      <c r="J1257" s="5" t="n">
        <v>39</v>
      </c>
      <c r="K1257" s="10">
        <f>IF(F1257&gt;0,H1257/F1257,"")</f>
        <v/>
      </c>
      <c r="L1257" s="16">
        <f>IF(AND(G1257&gt;0,H1257&gt;0),G1257/H1257,"")</f>
        <v/>
      </c>
    </row>
    <row r="1258">
      <c r="A1258" s="4" t="inlineStr">
        <is>
          <t>670</t>
        </is>
      </c>
      <c r="B1258" s="4" t="n">
        <v>6</v>
      </c>
      <c r="C1258" s="4" t="inlineStr">
        <is>
          <t>antelope</t>
        </is>
      </c>
      <c r="D1258" s="4" t="n">
        <v>2024</v>
      </c>
      <c r="E1258" s="15" t="inlineStr">
        <is>
          <t>Draw</t>
        </is>
      </c>
      <c r="F1258" s="5" t="n">
        <v>314</v>
      </c>
      <c r="G1258" s="5" t="n">
        <v>1172</v>
      </c>
      <c r="H1258" s="5" t="n">
        <v>220</v>
      </c>
      <c r="I1258" s="5" t="n">
        <v>187</v>
      </c>
      <c r="J1258" s="5" t="n">
        <v>33</v>
      </c>
      <c r="K1258" s="10">
        <f>IF(F1258&gt;0,H1258/F1258,"")</f>
        <v/>
      </c>
      <c r="L1258" s="16">
        <f>IF(AND(G1258&gt;0,H1258&gt;0),G1258/H1258,"")</f>
        <v/>
      </c>
    </row>
    <row r="1259">
      <c r="A1259" s="4" t="inlineStr">
        <is>
          <t>670</t>
        </is>
      </c>
      <c r="B1259" s="4" t="n">
        <v>6</v>
      </c>
      <c r="C1259" s="4" t="inlineStr">
        <is>
          <t>antelope</t>
        </is>
      </c>
      <c r="D1259" s="4" t="n">
        <v>2025</v>
      </c>
      <c r="E1259" s="15" t="inlineStr">
        <is>
          <t>Draw</t>
        </is>
      </c>
      <c r="F1259" s="5" t="n"/>
      <c r="G1259" s="5" t="n"/>
      <c r="H1259" s="5" t="n">
        <v>288</v>
      </c>
      <c r="I1259" s="5" t="n">
        <v>238</v>
      </c>
      <c r="J1259" s="5" t="n">
        <v>48</v>
      </c>
      <c r="K1259" s="10">
        <f>IF(F1259&gt;0,H1259/F1259,"")</f>
        <v/>
      </c>
      <c r="L1259" s="16">
        <f>IF(AND(G1259&gt;0,H1259&gt;0),G1259/H1259,"")</f>
        <v/>
      </c>
    </row>
    <row r="1260">
      <c r="A1260" s="4" t="inlineStr">
        <is>
          <t>690</t>
        </is>
      </c>
      <c r="B1260" s="4" t="n">
        <v>6</v>
      </c>
      <c r="C1260" s="4" t="inlineStr">
        <is>
          <t>antelope</t>
        </is>
      </c>
      <c r="D1260" s="4" t="n">
        <v>2004</v>
      </c>
      <c r="E1260" s="15" t="inlineStr">
        <is>
          <t>Draw</t>
        </is>
      </c>
      <c r="F1260" s="5" t="n">
        <v>922</v>
      </c>
      <c r="G1260" s="5" t="n">
        <v>3026</v>
      </c>
      <c r="H1260" s="5" t="n">
        <v>776</v>
      </c>
      <c r="I1260" s="5" t="n">
        <v>346</v>
      </c>
      <c r="J1260" s="5" t="n">
        <v>395</v>
      </c>
      <c r="K1260" s="10">
        <f>IF(F1260&gt;0,H1260/F1260,"")</f>
        <v/>
      </c>
      <c r="L1260" s="16">
        <f>IF(AND(G1260&gt;0,H1260&gt;0),G1260/H1260,"")</f>
        <v/>
      </c>
    </row>
    <row r="1261">
      <c r="A1261" s="4" t="inlineStr">
        <is>
          <t>690</t>
        </is>
      </c>
      <c r="B1261" s="4" t="n">
        <v>6</v>
      </c>
      <c r="C1261" s="4" t="inlineStr">
        <is>
          <t>antelope</t>
        </is>
      </c>
      <c r="D1261" s="4" t="n">
        <v>2005</v>
      </c>
      <c r="E1261" s="15" t="inlineStr">
        <is>
          <t>Draw</t>
        </is>
      </c>
      <c r="F1261" s="5" t="n">
        <v>1190</v>
      </c>
      <c r="G1261" s="5" t="n">
        <v>3492</v>
      </c>
      <c r="H1261" s="5" t="n">
        <v>759</v>
      </c>
      <c r="I1261" s="5" t="n">
        <v>465</v>
      </c>
      <c r="J1261" s="5" t="n">
        <v>265</v>
      </c>
      <c r="K1261" s="10">
        <f>IF(F1261&gt;0,H1261/F1261,"")</f>
        <v/>
      </c>
      <c r="L1261" s="16">
        <f>IF(AND(G1261&gt;0,H1261&gt;0),G1261/H1261,"")</f>
        <v/>
      </c>
    </row>
    <row r="1262">
      <c r="A1262" s="4" t="inlineStr">
        <is>
          <t>690</t>
        </is>
      </c>
      <c r="B1262" s="4" t="n">
        <v>6</v>
      </c>
      <c r="C1262" s="4" t="inlineStr">
        <is>
          <t>antelope</t>
        </is>
      </c>
      <c r="D1262" s="4" t="n">
        <v>2006</v>
      </c>
      <c r="E1262" s="15" t="inlineStr">
        <is>
          <t>Draw</t>
        </is>
      </c>
      <c r="F1262" s="5" t="n">
        <v>919</v>
      </c>
      <c r="G1262" s="5" t="n">
        <v>2625</v>
      </c>
      <c r="H1262" s="5" t="n">
        <v>685</v>
      </c>
      <c r="I1262" s="5" t="n">
        <v>424</v>
      </c>
      <c r="J1262" s="5" t="n">
        <v>237</v>
      </c>
      <c r="K1262" s="10">
        <f>IF(F1262&gt;0,H1262/F1262,"")</f>
        <v/>
      </c>
      <c r="L1262" s="16">
        <f>IF(AND(G1262&gt;0,H1262&gt;0),G1262/H1262,"")</f>
        <v/>
      </c>
    </row>
    <row r="1263">
      <c r="A1263" s="4" t="inlineStr">
        <is>
          <t>690</t>
        </is>
      </c>
      <c r="B1263" s="4" t="n">
        <v>6</v>
      </c>
      <c r="C1263" s="4" t="inlineStr">
        <is>
          <t>antelope</t>
        </is>
      </c>
      <c r="D1263" s="4" t="n">
        <v>2007</v>
      </c>
      <c r="E1263" s="15" t="inlineStr">
        <is>
          <t>Draw</t>
        </is>
      </c>
      <c r="F1263" s="5" t="n">
        <v>1037</v>
      </c>
      <c r="G1263" s="5" t="n">
        <v>2965</v>
      </c>
      <c r="H1263" s="5" t="n">
        <v>877</v>
      </c>
      <c r="I1263" s="5" t="n">
        <v>508</v>
      </c>
      <c r="J1263" s="5" t="n">
        <v>354</v>
      </c>
      <c r="K1263" s="10">
        <f>IF(F1263&gt;0,H1263/F1263,"")</f>
        <v/>
      </c>
      <c r="L1263" s="16">
        <f>IF(AND(G1263&gt;0,H1263&gt;0),G1263/H1263,"")</f>
        <v/>
      </c>
    </row>
    <row r="1264">
      <c r="A1264" s="4" t="inlineStr">
        <is>
          <t>690</t>
        </is>
      </c>
      <c r="B1264" s="4" t="n">
        <v>6</v>
      </c>
      <c r="C1264" s="4" t="inlineStr">
        <is>
          <t>antelope</t>
        </is>
      </c>
      <c r="D1264" s="4" t="n">
        <v>2008</v>
      </c>
      <c r="E1264" s="15" t="inlineStr">
        <is>
          <t>Draw</t>
        </is>
      </c>
      <c r="F1264" s="5" t="n">
        <v>984</v>
      </c>
      <c r="G1264" s="5" t="n">
        <v>2978</v>
      </c>
      <c r="H1264" s="5" t="n">
        <v>632</v>
      </c>
      <c r="I1264" s="5" t="n">
        <v>388</v>
      </c>
      <c r="J1264" s="5" t="n">
        <v>234</v>
      </c>
      <c r="K1264" s="10">
        <f>IF(F1264&gt;0,H1264/F1264,"")</f>
        <v/>
      </c>
      <c r="L1264" s="16">
        <f>IF(AND(G1264&gt;0,H1264&gt;0),G1264/H1264,"")</f>
        <v/>
      </c>
    </row>
    <row r="1265">
      <c r="A1265" s="4" t="inlineStr">
        <is>
          <t>690</t>
        </is>
      </c>
      <c r="B1265" s="4" t="n">
        <v>6</v>
      </c>
      <c r="C1265" s="4" t="inlineStr">
        <is>
          <t>antelope</t>
        </is>
      </c>
      <c r="D1265" s="4" t="n">
        <v>2009</v>
      </c>
      <c r="E1265" s="15" t="inlineStr">
        <is>
          <t>Draw</t>
        </is>
      </c>
      <c r="F1265" s="5" t="n">
        <v>1032</v>
      </c>
      <c r="G1265" s="5" t="n">
        <v>3068</v>
      </c>
      <c r="H1265" s="5" t="n">
        <v>808</v>
      </c>
      <c r="I1265" s="5" t="n">
        <v>478</v>
      </c>
      <c r="J1265" s="5" t="n">
        <v>309</v>
      </c>
      <c r="K1265" s="10">
        <f>IF(F1265&gt;0,H1265/F1265,"")</f>
        <v/>
      </c>
      <c r="L1265" s="16">
        <f>IF(AND(G1265&gt;0,H1265&gt;0),G1265/H1265,"")</f>
        <v/>
      </c>
    </row>
    <row r="1266">
      <c r="A1266" s="4" t="inlineStr">
        <is>
          <t>690</t>
        </is>
      </c>
      <c r="B1266" s="4" t="n">
        <v>6</v>
      </c>
      <c r="C1266" s="4" t="inlineStr">
        <is>
          <t>antelope</t>
        </is>
      </c>
      <c r="D1266" s="4" t="n">
        <v>2010</v>
      </c>
      <c r="E1266" s="15" t="inlineStr">
        <is>
          <t>Draw</t>
        </is>
      </c>
      <c r="F1266" s="5" t="n">
        <v>987</v>
      </c>
      <c r="G1266" s="5" t="n">
        <v>3195</v>
      </c>
      <c r="H1266" s="5" t="n">
        <v>906</v>
      </c>
      <c r="I1266" s="5" t="n">
        <v>554</v>
      </c>
      <c r="J1266" s="5" t="n">
        <v>341</v>
      </c>
      <c r="K1266" s="10">
        <f>IF(F1266&gt;0,H1266/F1266,"")</f>
        <v/>
      </c>
      <c r="L1266" s="16">
        <f>IF(AND(G1266&gt;0,H1266&gt;0),G1266/H1266,"")</f>
        <v/>
      </c>
    </row>
    <row r="1267">
      <c r="A1267" s="4" t="inlineStr">
        <is>
          <t>690</t>
        </is>
      </c>
      <c r="B1267" s="4" t="n">
        <v>6</v>
      </c>
      <c r="C1267" s="4" t="inlineStr">
        <is>
          <t>antelope</t>
        </is>
      </c>
      <c r="D1267" s="4" t="n">
        <v>2011</v>
      </c>
      <c r="E1267" s="15" t="inlineStr">
        <is>
          <t>Draw</t>
        </is>
      </c>
      <c r="F1267" s="5" t="n">
        <v>725</v>
      </c>
      <c r="G1267" s="5" t="n">
        <v>2450</v>
      </c>
      <c r="H1267" s="5" t="n">
        <v>527</v>
      </c>
      <c r="I1267" s="5" t="n">
        <v>355</v>
      </c>
      <c r="J1267" s="5" t="n">
        <v>162</v>
      </c>
      <c r="K1267" s="10">
        <f>IF(F1267&gt;0,H1267/F1267,"")</f>
        <v/>
      </c>
      <c r="L1267" s="16">
        <f>IF(AND(G1267&gt;0,H1267&gt;0),G1267/H1267,"")</f>
        <v/>
      </c>
    </row>
    <row r="1268">
      <c r="A1268" s="4" t="inlineStr">
        <is>
          <t>690</t>
        </is>
      </c>
      <c r="B1268" s="4" t="n">
        <v>6</v>
      </c>
      <c r="C1268" s="4" t="inlineStr">
        <is>
          <t>antelope</t>
        </is>
      </c>
      <c r="D1268" s="4" t="n">
        <v>2012</v>
      </c>
      <c r="E1268" s="15" t="inlineStr">
        <is>
          <t>Draw</t>
        </is>
      </c>
      <c r="F1268" s="5" t="n">
        <v>509</v>
      </c>
      <c r="G1268" s="5" t="n">
        <v>1436</v>
      </c>
      <c r="H1268" s="5" t="n">
        <v>384</v>
      </c>
      <c r="I1268" s="5" t="n">
        <v>266</v>
      </c>
      <c r="J1268" s="5" t="n">
        <v>111</v>
      </c>
      <c r="K1268" s="10">
        <f>IF(F1268&gt;0,H1268/F1268,"")</f>
        <v/>
      </c>
      <c r="L1268" s="16">
        <f>IF(AND(G1268&gt;0,H1268&gt;0),G1268/H1268,"")</f>
        <v/>
      </c>
    </row>
    <row r="1269">
      <c r="A1269" s="4" t="inlineStr">
        <is>
          <t>690</t>
        </is>
      </c>
      <c r="B1269" s="4" t="n">
        <v>6</v>
      </c>
      <c r="C1269" s="4" t="inlineStr">
        <is>
          <t>antelope</t>
        </is>
      </c>
      <c r="D1269" s="4" t="n">
        <v>2013</v>
      </c>
      <c r="E1269" s="15" t="inlineStr">
        <is>
          <t>Draw</t>
        </is>
      </c>
      <c r="F1269" s="5" t="n"/>
      <c r="G1269" s="5" t="n"/>
      <c r="H1269" s="5" t="n">
        <v>363</v>
      </c>
      <c r="I1269" s="5" t="n">
        <v>261</v>
      </c>
      <c r="J1269" s="5" t="n">
        <v>100</v>
      </c>
      <c r="K1269" s="10">
        <f>IF(F1269&gt;0,H1269/F1269,"")</f>
        <v/>
      </c>
      <c r="L1269" s="16">
        <f>IF(AND(G1269&gt;0,H1269&gt;0),G1269/H1269,"")</f>
        <v/>
      </c>
    </row>
    <row r="1270">
      <c r="A1270" s="4" t="inlineStr">
        <is>
          <t>690</t>
        </is>
      </c>
      <c r="B1270" s="4" t="n">
        <v>6</v>
      </c>
      <c r="C1270" s="4" t="inlineStr">
        <is>
          <t>antelope</t>
        </is>
      </c>
      <c r="D1270" s="4" t="n">
        <v>2014</v>
      </c>
      <c r="E1270" s="15" t="inlineStr">
        <is>
          <t>Draw</t>
        </is>
      </c>
      <c r="F1270" s="5" t="n">
        <v>540</v>
      </c>
      <c r="G1270" s="5" t="n">
        <v>1857</v>
      </c>
      <c r="H1270" s="5" t="n">
        <v>352</v>
      </c>
      <c r="I1270" s="5" t="n">
        <v>276</v>
      </c>
      <c r="J1270" s="5" t="n">
        <v>74</v>
      </c>
      <c r="K1270" s="10">
        <f>IF(F1270&gt;0,H1270/F1270,"")</f>
        <v/>
      </c>
      <c r="L1270" s="16">
        <f>IF(AND(G1270&gt;0,H1270&gt;0),G1270/H1270,"")</f>
        <v/>
      </c>
    </row>
    <row r="1271">
      <c r="A1271" s="4" t="inlineStr">
        <is>
          <t>690</t>
        </is>
      </c>
      <c r="B1271" s="4" t="n">
        <v>6</v>
      </c>
      <c r="C1271" s="4" t="inlineStr">
        <is>
          <t>antelope</t>
        </is>
      </c>
      <c r="D1271" s="4" t="n">
        <v>2015</v>
      </c>
      <c r="E1271" s="15" t="inlineStr">
        <is>
          <t>Draw</t>
        </is>
      </c>
      <c r="F1271" s="5" t="n">
        <v>555</v>
      </c>
      <c r="G1271" s="5" t="n">
        <v>1647</v>
      </c>
      <c r="H1271" s="5" t="n">
        <v>373</v>
      </c>
      <c r="I1271" s="5" t="n">
        <v>274</v>
      </c>
      <c r="J1271" s="5" t="n">
        <v>99</v>
      </c>
      <c r="K1271" s="10">
        <f>IF(F1271&gt;0,H1271/F1271,"")</f>
        <v/>
      </c>
      <c r="L1271" s="16">
        <f>IF(AND(G1271&gt;0,H1271&gt;0),G1271/H1271,"")</f>
        <v/>
      </c>
    </row>
    <row r="1272">
      <c r="A1272" s="4" t="inlineStr">
        <is>
          <t>690</t>
        </is>
      </c>
      <c r="B1272" s="4" t="n">
        <v>6</v>
      </c>
      <c r="C1272" s="4" t="inlineStr">
        <is>
          <t>antelope</t>
        </is>
      </c>
      <c r="D1272" s="4" t="n">
        <v>2016</v>
      </c>
      <c r="E1272" s="15" t="inlineStr">
        <is>
          <t>Draw</t>
        </is>
      </c>
      <c r="F1272" s="5" t="n"/>
      <c r="G1272" s="5" t="n"/>
      <c r="H1272" s="5" t="n">
        <v>324</v>
      </c>
      <c r="I1272" s="5" t="n">
        <v>222</v>
      </c>
      <c r="J1272" s="5" t="n">
        <v>100</v>
      </c>
      <c r="K1272" s="10">
        <f>IF(F1272&gt;0,H1272/F1272,"")</f>
        <v/>
      </c>
      <c r="L1272" s="16">
        <f>IF(AND(G1272&gt;0,H1272&gt;0),G1272/H1272,"")</f>
        <v/>
      </c>
    </row>
    <row r="1273">
      <c r="A1273" s="4" t="inlineStr">
        <is>
          <t>690</t>
        </is>
      </c>
      <c r="B1273" s="4" t="n">
        <v>6</v>
      </c>
      <c r="C1273" s="4" t="inlineStr">
        <is>
          <t>antelope</t>
        </is>
      </c>
      <c r="D1273" s="4" t="n">
        <v>2017</v>
      </c>
      <c r="E1273" s="15" t="inlineStr">
        <is>
          <t>Draw</t>
        </is>
      </c>
      <c r="F1273" s="5" t="n"/>
      <c r="G1273" s="5" t="n"/>
      <c r="H1273" s="5" t="n">
        <v>415</v>
      </c>
      <c r="I1273" s="5" t="n">
        <v>327</v>
      </c>
      <c r="J1273" s="5" t="n">
        <v>85</v>
      </c>
      <c r="K1273" s="10">
        <f>IF(F1273&gt;0,H1273/F1273,"")</f>
        <v/>
      </c>
      <c r="L1273" s="16">
        <f>IF(AND(G1273&gt;0,H1273&gt;0),G1273/H1273,"")</f>
        <v/>
      </c>
    </row>
    <row r="1274">
      <c r="A1274" s="4" t="inlineStr">
        <is>
          <t>690</t>
        </is>
      </c>
      <c r="B1274" s="4" t="n">
        <v>6</v>
      </c>
      <c r="C1274" s="4" t="inlineStr">
        <is>
          <t>antelope</t>
        </is>
      </c>
      <c r="D1274" s="4" t="n">
        <v>2018</v>
      </c>
      <c r="E1274" s="15" t="inlineStr">
        <is>
          <t>Draw</t>
        </is>
      </c>
      <c r="F1274" s="5" t="n">
        <v>405</v>
      </c>
      <c r="G1274" s="5" t="n">
        <v>1265</v>
      </c>
      <c r="H1274" s="5" t="n">
        <v>376</v>
      </c>
      <c r="I1274" s="5" t="n">
        <v>312</v>
      </c>
      <c r="J1274" s="5" t="n">
        <v>62</v>
      </c>
      <c r="K1274" s="10">
        <f>IF(F1274&gt;0,H1274/F1274,"")</f>
        <v/>
      </c>
      <c r="L1274" s="16">
        <f>IF(AND(G1274&gt;0,H1274&gt;0),G1274/H1274,"")</f>
        <v/>
      </c>
    </row>
    <row r="1275">
      <c r="A1275" s="4" t="inlineStr">
        <is>
          <t>690</t>
        </is>
      </c>
      <c r="B1275" s="4" t="n">
        <v>6</v>
      </c>
      <c r="C1275" s="4" t="inlineStr">
        <is>
          <t>antelope</t>
        </is>
      </c>
      <c r="D1275" s="4" t="n">
        <v>2019</v>
      </c>
      <c r="E1275" s="15" t="inlineStr">
        <is>
          <t>Draw</t>
        </is>
      </c>
      <c r="F1275" s="5" t="n"/>
      <c r="G1275" s="5" t="n"/>
      <c r="H1275" s="5" t="n">
        <v>378</v>
      </c>
      <c r="I1275" s="5" t="n">
        <v>267</v>
      </c>
      <c r="J1275" s="5" t="n">
        <v>108</v>
      </c>
      <c r="K1275" s="10">
        <f>IF(F1275&gt;0,H1275/F1275,"")</f>
        <v/>
      </c>
      <c r="L1275" s="16">
        <f>IF(AND(G1275&gt;0,H1275&gt;0),G1275/H1275,"")</f>
        <v/>
      </c>
    </row>
    <row r="1276">
      <c r="A1276" s="4" t="inlineStr">
        <is>
          <t>690</t>
        </is>
      </c>
      <c r="B1276" s="4" t="n">
        <v>6</v>
      </c>
      <c r="C1276" s="4" t="inlineStr">
        <is>
          <t>antelope</t>
        </is>
      </c>
      <c r="D1276" s="4" t="n">
        <v>2020</v>
      </c>
      <c r="E1276" s="15" t="inlineStr">
        <is>
          <t>Draw</t>
        </is>
      </c>
      <c r="F1276" s="5" t="n">
        <v>533</v>
      </c>
      <c r="G1276" s="5" t="n">
        <v>1683</v>
      </c>
      <c r="H1276" s="5" t="n">
        <v>391</v>
      </c>
      <c r="I1276" s="5" t="n">
        <v>299</v>
      </c>
      <c r="J1276" s="5" t="n">
        <v>91</v>
      </c>
      <c r="K1276" s="10">
        <f>IF(F1276&gt;0,H1276/F1276,"")</f>
        <v/>
      </c>
      <c r="L1276" s="16">
        <f>IF(AND(G1276&gt;0,H1276&gt;0),G1276/H1276,"")</f>
        <v/>
      </c>
    </row>
    <row r="1277">
      <c r="A1277" s="4" t="inlineStr">
        <is>
          <t>690</t>
        </is>
      </c>
      <c r="B1277" s="4" t="n">
        <v>6</v>
      </c>
      <c r="C1277" s="4" t="inlineStr">
        <is>
          <t>antelope</t>
        </is>
      </c>
      <c r="D1277" s="4" t="n">
        <v>2021</v>
      </c>
      <c r="E1277" s="15" t="inlineStr">
        <is>
          <t>Draw</t>
        </is>
      </c>
      <c r="F1277" s="5" t="n"/>
      <c r="G1277" s="5" t="n"/>
      <c r="H1277" s="5" t="n">
        <v>332</v>
      </c>
      <c r="I1277" s="5" t="n">
        <v>221</v>
      </c>
      <c r="J1277" s="5" t="n">
        <v>111</v>
      </c>
      <c r="K1277" s="10">
        <f>IF(F1277&gt;0,H1277/F1277,"")</f>
        <v/>
      </c>
      <c r="L1277" s="16">
        <f>IF(AND(G1277&gt;0,H1277&gt;0),G1277/H1277,"")</f>
        <v/>
      </c>
    </row>
    <row r="1278">
      <c r="A1278" s="4" t="inlineStr">
        <is>
          <t>690</t>
        </is>
      </c>
      <c r="B1278" s="4" t="n">
        <v>6</v>
      </c>
      <c r="C1278" s="4" t="inlineStr">
        <is>
          <t>antelope</t>
        </is>
      </c>
      <c r="D1278" s="4" t="n">
        <v>2022</v>
      </c>
      <c r="E1278" s="15" t="inlineStr">
        <is>
          <t>Draw</t>
        </is>
      </c>
      <c r="F1278" s="5" t="n">
        <v>513</v>
      </c>
      <c r="G1278" s="5" t="n">
        <v>1524</v>
      </c>
      <c r="H1278" s="5" t="n">
        <v>397</v>
      </c>
      <c r="I1278" s="5" t="n">
        <v>278</v>
      </c>
      <c r="J1278" s="5" t="n">
        <v>118</v>
      </c>
      <c r="K1278" s="10">
        <f>IF(F1278&gt;0,H1278/F1278,"")</f>
        <v/>
      </c>
      <c r="L1278" s="16">
        <f>IF(AND(G1278&gt;0,H1278&gt;0),G1278/H1278,"")</f>
        <v/>
      </c>
    </row>
    <row r="1279">
      <c r="A1279" s="4" t="inlineStr">
        <is>
          <t>690</t>
        </is>
      </c>
      <c r="B1279" s="4" t="n">
        <v>6</v>
      </c>
      <c r="C1279" s="4" t="inlineStr">
        <is>
          <t>antelope</t>
        </is>
      </c>
      <c r="D1279" s="4" t="n">
        <v>2023</v>
      </c>
      <c r="E1279" s="15" t="inlineStr">
        <is>
          <t>Draw</t>
        </is>
      </c>
      <c r="F1279" s="5" t="n"/>
      <c r="G1279" s="5" t="n"/>
      <c r="H1279" s="5" t="n">
        <v>215</v>
      </c>
      <c r="I1279" s="5" t="n">
        <v>171</v>
      </c>
      <c r="J1279" s="5" t="n">
        <v>40</v>
      </c>
      <c r="K1279" s="10">
        <f>IF(F1279&gt;0,H1279/F1279,"")</f>
        <v/>
      </c>
      <c r="L1279" s="16">
        <f>IF(AND(G1279&gt;0,H1279&gt;0),G1279/H1279,"")</f>
        <v/>
      </c>
    </row>
    <row r="1280">
      <c r="A1280" s="4" t="inlineStr">
        <is>
          <t>690</t>
        </is>
      </c>
      <c r="B1280" s="4" t="n">
        <v>6</v>
      </c>
      <c r="C1280" s="4" t="inlineStr">
        <is>
          <t>antelope</t>
        </is>
      </c>
      <c r="D1280" s="4" t="n">
        <v>2024</v>
      </c>
      <c r="E1280" s="15" t="inlineStr">
        <is>
          <t>Draw</t>
        </is>
      </c>
      <c r="F1280" s="5" t="n">
        <v>341</v>
      </c>
      <c r="G1280" s="5" t="n">
        <v>1129</v>
      </c>
      <c r="H1280" s="5" t="n">
        <v>239</v>
      </c>
      <c r="I1280" s="5" t="n">
        <v>171</v>
      </c>
      <c r="J1280" s="5" t="n">
        <v>65</v>
      </c>
      <c r="K1280" s="10">
        <f>IF(F1280&gt;0,H1280/F1280,"")</f>
        <v/>
      </c>
      <c r="L1280" s="16">
        <f>IF(AND(G1280&gt;0,H1280&gt;0),G1280/H1280,"")</f>
        <v/>
      </c>
    </row>
    <row r="1281">
      <c r="A1281" s="4" t="inlineStr">
        <is>
          <t>690</t>
        </is>
      </c>
      <c r="B1281" s="4" t="n">
        <v>6</v>
      </c>
      <c r="C1281" s="4" t="inlineStr">
        <is>
          <t>antelope</t>
        </is>
      </c>
      <c r="D1281" s="4" t="n">
        <v>2025</v>
      </c>
      <c r="E1281" s="15" t="inlineStr">
        <is>
          <t>Draw</t>
        </is>
      </c>
      <c r="F1281" s="5" t="n"/>
      <c r="G1281" s="5" t="n"/>
      <c r="H1281" s="5" t="n">
        <v>445</v>
      </c>
      <c r="I1281" s="5" t="n">
        <v>326</v>
      </c>
      <c r="J1281" s="5" t="n">
        <v>119</v>
      </c>
      <c r="K1281" s="10">
        <f>IF(F1281&gt;0,H1281/F1281,"")</f>
        <v/>
      </c>
      <c r="L1281" s="16">
        <f>IF(AND(G1281&gt;0,H1281&gt;0),G1281/H1281,"")</f>
        <v/>
      </c>
    </row>
    <row r="1282">
      <c r="A1282" s="4" t="inlineStr">
        <is>
          <t>700</t>
        </is>
      </c>
      <c r="B1282" s="4" t="n">
        <v>7</v>
      </c>
      <c r="C1282" s="4" t="inlineStr">
        <is>
          <t>antelope</t>
        </is>
      </c>
      <c r="D1282" s="4" t="n">
        <v>2004</v>
      </c>
      <c r="E1282" s="15" t="inlineStr">
        <is>
          <t>Draw</t>
        </is>
      </c>
      <c r="F1282" s="5" t="n">
        <v>2203</v>
      </c>
      <c r="G1282" s="5" t="n">
        <v>7184</v>
      </c>
      <c r="H1282" s="5" t="n">
        <v>2239</v>
      </c>
      <c r="I1282" s="5" t="n">
        <v>1167</v>
      </c>
      <c r="J1282" s="5" t="n">
        <v>987</v>
      </c>
      <c r="K1282" s="10">
        <f>IF(F1282&gt;0,H1282/F1282,"")</f>
        <v/>
      </c>
      <c r="L1282" s="16">
        <f>IF(AND(G1282&gt;0,H1282&gt;0),G1282/H1282,"")</f>
        <v/>
      </c>
    </row>
    <row r="1283">
      <c r="A1283" s="4" t="inlineStr">
        <is>
          <t>700</t>
        </is>
      </c>
      <c r="B1283" s="4" t="n">
        <v>7</v>
      </c>
      <c r="C1283" s="4" t="inlineStr">
        <is>
          <t>antelope</t>
        </is>
      </c>
      <c r="D1283" s="4" t="n">
        <v>2005</v>
      </c>
      <c r="E1283" s="15" t="inlineStr">
        <is>
          <t>Draw</t>
        </is>
      </c>
      <c r="F1283" s="5" t="n">
        <v>3609</v>
      </c>
      <c r="G1283" s="5" t="n">
        <v>11777</v>
      </c>
      <c r="H1283" s="5" t="n">
        <v>4025</v>
      </c>
      <c r="I1283" s="5" t="n">
        <v>2205</v>
      </c>
      <c r="J1283" s="5" t="n">
        <v>1672</v>
      </c>
      <c r="K1283" s="10">
        <f>IF(F1283&gt;0,H1283/F1283,"")</f>
        <v/>
      </c>
      <c r="L1283" s="16">
        <f>IF(AND(G1283&gt;0,H1283&gt;0),G1283/H1283,"")</f>
        <v/>
      </c>
    </row>
    <row r="1284">
      <c r="A1284" s="4" t="inlineStr">
        <is>
          <t>700</t>
        </is>
      </c>
      <c r="B1284" s="4" t="n">
        <v>7</v>
      </c>
      <c r="C1284" s="4" t="inlineStr">
        <is>
          <t>antelope</t>
        </is>
      </c>
      <c r="D1284" s="4" t="n">
        <v>2006</v>
      </c>
      <c r="E1284" s="15" t="inlineStr">
        <is>
          <t>Draw</t>
        </is>
      </c>
      <c r="F1284" s="5" t="n">
        <v>3818</v>
      </c>
      <c r="G1284" s="5" t="n">
        <v>11840</v>
      </c>
      <c r="H1284" s="5" t="n">
        <v>5072</v>
      </c>
      <c r="I1284" s="5" t="n">
        <v>2500</v>
      </c>
      <c r="J1284" s="5" t="n">
        <v>2305</v>
      </c>
      <c r="K1284" s="10">
        <f>IF(F1284&gt;0,H1284/F1284,"")</f>
        <v/>
      </c>
      <c r="L1284" s="16">
        <f>IF(AND(G1284&gt;0,H1284&gt;0),G1284/H1284,"")</f>
        <v/>
      </c>
    </row>
    <row r="1285">
      <c r="A1285" s="4" t="inlineStr">
        <is>
          <t>700</t>
        </is>
      </c>
      <c r="B1285" s="4" t="n">
        <v>7</v>
      </c>
      <c r="C1285" s="4" t="inlineStr">
        <is>
          <t>antelope</t>
        </is>
      </c>
      <c r="D1285" s="4" t="n">
        <v>2007</v>
      </c>
      <c r="E1285" s="15" t="inlineStr">
        <is>
          <t>Draw</t>
        </is>
      </c>
      <c r="F1285" s="5" t="n">
        <v>3362</v>
      </c>
      <c r="G1285" s="5" t="n">
        <v>11250</v>
      </c>
      <c r="H1285" s="5" t="n">
        <v>4349</v>
      </c>
      <c r="I1285" s="5" t="n">
        <v>1947</v>
      </c>
      <c r="J1285" s="5" t="n">
        <v>2264</v>
      </c>
      <c r="K1285" s="10">
        <f>IF(F1285&gt;0,H1285/F1285,"")</f>
        <v/>
      </c>
      <c r="L1285" s="16">
        <f>IF(AND(G1285&gt;0,H1285&gt;0),G1285/H1285,"")</f>
        <v/>
      </c>
    </row>
    <row r="1286">
      <c r="A1286" s="4" t="inlineStr">
        <is>
          <t>700</t>
        </is>
      </c>
      <c r="B1286" s="4" t="n">
        <v>7</v>
      </c>
      <c r="C1286" s="4" t="inlineStr">
        <is>
          <t>antelope</t>
        </is>
      </c>
      <c r="D1286" s="4" t="n">
        <v>2008</v>
      </c>
      <c r="E1286" s="15" t="inlineStr">
        <is>
          <t>Draw</t>
        </is>
      </c>
      <c r="F1286" s="5" t="n">
        <v>3466</v>
      </c>
      <c r="G1286" s="5" t="n">
        <v>11895</v>
      </c>
      <c r="H1286" s="5" t="n">
        <v>3041</v>
      </c>
      <c r="I1286" s="5" t="n">
        <v>1580</v>
      </c>
      <c r="J1286" s="5" t="n">
        <v>1373</v>
      </c>
      <c r="K1286" s="10">
        <f>IF(F1286&gt;0,H1286/F1286,"")</f>
        <v/>
      </c>
      <c r="L1286" s="16">
        <f>IF(AND(G1286&gt;0,H1286&gt;0),G1286/H1286,"")</f>
        <v/>
      </c>
    </row>
    <row r="1287">
      <c r="A1287" s="4" t="inlineStr">
        <is>
          <t>700</t>
        </is>
      </c>
      <c r="B1287" s="4" t="n">
        <v>7</v>
      </c>
      <c r="C1287" s="4" t="inlineStr">
        <is>
          <t>antelope</t>
        </is>
      </c>
      <c r="D1287" s="4" t="n">
        <v>2009</v>
      </c>
      <c r="E1287" s="15" t="inlineStr">
        <is>
          <t>Draw</t>
        </is>
      </c>
      <c r="F1287" s="5" t="n">
        <v>3113</v>
      </c>
      <c r="G1287" s="5" t="n">
        <v>11023</v>
      </c>
      <c r="H1287" s="5" t="n">
        <v>2960</v>
      </c>
      <c r="I1287" s="5" t="n">
        <v>1458</v>
      </c>
      <c r="J1287" s="5" t="n">
        <v>1436</v>
      </c>
      <c r="K1287" s="10">
        <f>IF(F1287&gt;0,H1287/F1287,"")</f>
        <v/>
      </c>
      <c r="L1287" s="16">
        <f>IF(AND(G1287&gt;0,H1287&gt;0),G1287/H1287,"")</f>
        <v/>
      </c>
    </row>
    <row r="1288">
      <c r="A1288" s="4" t="inlineStr">
        <is>
          <t>700</t>
        </is>
      </c>
      <c r="B1288" s="4" t="n">
        <v>7</v>
      </c>
      <c r="C1288" s="4" t="inlineStr">
        <is>
          <t>antelope</t>
        </is>
      </c>
      <c r="D1288" s="4" t="n">
        <v>2010</v>
      </c>
      <c r="E1288" s="15" t="inlineStr">
        <is>
          <t>Draw</t>
        </is>
      </c>
      <c r="F1288" s="5" t="n">
        <v>2395</v>
      </c>
      <c r="G1288" s="5" t="n">
        <v>7954</v>
      </c>
      <c r="H1288" s="5" t="n">
        <v>1789</v>
      </c>
      <c r="I1288" s="5" t="n">
        <v>1231</v>
      </c>
      <c r="J1288" s="5" t="n">
        <v>534</v>
      </c>
      <c r="K1288" s="10">
        <f>IF(F1288&gt;0,H1288/F1288,"")</f>
        <v/>
      </c>
      <c r="L1288" s="16">
        <f>IF(AND(G1288&gt;0,H1288&gt;0),G1288/H1288,"")</f>
        <v/>
      </c>
    </row>
    <row r="1289">
      <c r="A1289" s="4" t="inlineStr">
        <is>
          <t>700</t>
        </is>
      </c>
      <c r="B1289" s="4" t="n">
        <v>7</v>
      </c>
      <c r="C1289" s="4" t="inlineStr">
        <is>
          <t>antelope</t>
        </is>
      </c>
      <c r="D1289" s="4" t="n">
        <v>2011</v>
      </c>
      <c r="E1289" s="15" t="inlineStr">
        <is>
          <t>Draw</t>
        </is>
      </c>
      <c r="F1289" s="5" t="n">
        <v>1632</v>
      </c>
      <c r="G1289" s="5" t="n">
        <v>5415</v>
      </c>
      <c r="H1289" s="5" t="n">
        <v>1020</v>
      </c>
      <c r="I1289" s="5" t="n">
        <v>792</v>
      </c>
      <c r="J1289" s="5" t="n">
        <v>217</v>
      </c>
      <c r="K1289" s="10">
        <f>IF(F1289&gt;0,H1289/F1289,"")</f>
        <v/>
      </c>
      <c r="L1289" s="16">
        <f>IF(AND(G1289&gt;0,H1289&gt;0),G1289/H1289,"")</f>
        <v/>
      </c>
    </row>
    <row r="1290">
      <c r="A1290" s="4" t="inlineStr">
        <is>
          <t>700</t>
        </is>
      </c>
      <c r="B1290" s="4" t="n">
        <v>7</v>
      </c>
      <c r="C1290" s="4" t="inlineStr">
        <is>
          <t>antelope</t>
        </is>
      </c>
      <c r="D1290" s="4" t="n">
        <v>2012</v>
      </c>
      <c r="E1290" s="15" t="inlineStr">
        <is>
          <t>Draw</t>
        </is>
      </c>
      <c r="F1290" s="5" t="n">
        <v>828</v>
      </c>
      <c r="G1290" s="5" t="n">
        <v>2766</v>
      </c>
      <c r="H1290" s="5" t="n">
        <v>516</v>
      </c>
      <c r="I1290" s="5" t="n">
        <v>428</v>
      </c>
      <c r="J1290" s="5" t="n">
        <v>85</v>
      </c>
      <c r="K1290" s="10">
        <f>IF(F1290&gt;0,H1290/F1290,"")</f>
        <v/>
      </c>
      <c r="L1290" s="16">
        <f>IF(AND(G1290&gt;0,H1290&gt;0),G1290/H1290,"")</f>
        <v/>
      </c>
    </row>
    <row r="1291">
      <c r="A1291" s="4" t="inlineStr">
        <is>
          <t>700</t>
        </is>
      </c>
      <c r="B1291" s="4" t="n">
        <v>7</v>
      </c>
      <c r="C1291" s="4" t="inlineStr">
        <is>
          <t>antelope</t>
        </is>
      </c>
      <c r="D1291" s="4" t="n">
        <v>2013</v>
      </c>
      <c r="E1291" s="15" t="inlineStr">
        <is>
          <t>Draw</t>
        </is>
      </c>
      <c r="F1291" s="5" t="n"/>
      <c r="G1291" s="5" t="n"/>
      <c r="H1291" s="5" t="n">
        <v>494</v>
      </c>
      <c r="I1291" s="5" t="n">
        <v>377</v>
      </c>
      <c r="J1291" s="5" t="n">
        <v>117</v>
      </c>
      <c r="K1291" s="10">
        <f>IF(F1291&gt;0,H1291/F1291,"")</f>
        <v/>
      </c>
      <c r="L1291" s="16">
        <f>IF(AND(G1291&gt;0,H1291&gt;0),G1291/H1291,"")</f>
        <v/>
      </c>
    </row>
    <row r="1292">
      <c r="A1292" s="4" t="inlineStr">
        <is>
          <t>700</t>
        </is>
      </c>
      <c r="B1292" s="4" t="n">
        <v>7</v>
      </c>
      <c r="C1292" s="4" t="inlineStr">
        <is>
          <t>antelope</t>
        </is>
      </c>
      <c r="D1292" s="4" t="n">
        <v>2014</v>
      </c>
      <c r="E1292" s="15" t="inlineStr">
        <is>
          <t>Draw</t>
        </is>
      </c>
      <c r="F1292" s="5" t="n">
        <v>1073</v>
      </c>
      <c r="G1292" s="5" t="n">
        <v>3141</v>
      </c>
      <c r="H1292" s="5" t="n">
        <v>698</v>
      </c>
      <c r="I1292" s="5" t="n">
        <v>598</v>
      </c>
      <c r="J1292" s="5" t="n">
        <v>96</v>
      </c>
      <c r="K1292" s="10">
        <f>IF(F1292&gt;0,H1292/F1292,"")</f>
        <v/>
      </c>
      <c r="L1292" s="16">
        <f>IF(AND(G1292&gt;0,H1292&gt;0),G1292/H1292,"")</f>
        <v/>
      </c>
    </row>
    <row r="1293">
      <c r="A1293" s="4" t="inlineStr">
        <is>
          <t>700</t>
        </is>
      </c>
      <c r="B1293" s="4" t="n">
        <v>7</v>
      </c>
      <c r="C1293" s="4" t="inlineStr">
        <is>
          <t>antelope</t>
        </is>
      </c>
      <c r="D1293" s="4" t="n">
        <v>2015</v>
      </c>
      <c r="E1293" s="15" t="inlineStr">
        <is>
          <t>Draw</t>
        </is>
      </c>
      <c r="F1293" s="5" t="n">
        <v>1819</v>
      </c>
      <c r="G1293" s="5" t="n">
        <v>5447</v>
      </c>
      <c r="H1293" s="5" t="n">
        <v>1273</v>
      </c>
      <c r="I1293" s="5" t="n">
        <v>1062</v>
      </c>
      <c r="J1293" s="5" t="n">
        <v>197</v>
      </c>
      <c r="K1293" s="10">
        <f>IF(F1293&gt;0,H1293/F1293,"")</f>
        <v/>
      </c>
      <c r="L1293" s="16">
        <f>IF(AND(G1293&gt;0,H1293&gt;0),G1293/H1293,"")</f>
        <v/>
      </c>
    </row>
    <row r="1294">
      <c r="A1294" s="4" t="inlineStr">
        <is>
          <t>700</t>
        </is>
      </c>
      <c r="B1294" s="4" t="n">
        <v>7</v>
      </c>
      <c r="C1294" s="4" t="inlineStr">
        <is>
          <t>antelope</t>
        </is>
      </c>
      <c r="D1294" s="4" t="n">
        <v>2016</v>
      </c>
      <c r="E1294" s="15" t="inlineStr">
        <is>
          <t>Draw</t>
        </is>
      </c>
      <c r="F1294" s="5" t="n"/>
      <c r="G1294" s="5" t="n"/>
      <c r="H1294" s="5" t="n">
        <v>1471</v>
      </c>
      <c r="I1294" s="5" t="n">
        <v>1082</v>
      </c>
      <c r="J1294" s="5" t="n">
        <v>367</v>
      </c>
      <c r="K1294" s="10">
        <f>IF(F1294&gt;0,H1294/F1294,"")</f>
        <v/>
      </c>
      <c r="L1294" s="16">
        <f>IF(AND(G1294&gt;0,H1294&gt;0),G1294/H1294,"")</f>
        <v/>
      </c>
    </row>
    <row r="1295">
      <c r="A1295" s="4" t="inlineStr">
        <is>
          <t>700</t>
        </is>
      </c>
      <c r="B1295" s="4" t="n">
        <v>7</v>
      </c>
      <c r="C1295" s="4" t="inlineStr">
        <is>
          <t>antelope</t>
        </is>
      </c>
      <c r="D1295" s="4" t="n">
        <v>2017</v>
      </c>
      <c r="E1295" s="15" t="inlineStr">
        <is>
          <t>Draw</t>
        </is>
      </c>
      <c r="F1295" s="5" t="n"/>
      <c r="G1295" s="5" t="n"/>
      <c r="H1295" s="5" t="n">
        <v>1588</v>
      </c>
      <c r="I1295" s="5" t="n">
        <v>1159</v>
      </c>
      <c r="J1295" s="5" t="n">
        <v>421</v>
      </c>
      <c r="K1295" s="10">
        <f>IF(F1295&gt;0,H1295/F1295,"")</f>
        <v/>
      </c>
      <c r="L1295" s="16">
        <f>IF(AND(G1295&gt;0,H1295&gt;0),G1295/H1295,"")</f>
        <v/>
      </c>
    </row>
    <row r="1296">
      <c r="A1296" s="4" t="inlineStr">
        <is>
          <t>700</t>
        </is>
      </c>
      <c r="B1296" s="4" t="n">
        <v>7</v>
      </c>
      <c r="C1296" s="4" t="inlineStr">
        <is>
          <t>antelope</t>
        </is>
      </c>
      <c r="D1296" s="4" t="n">
        <v>2018</v>
      </c>
      <c r="E1296" s="15" t="inlineStr">
        <is>
          <t>Draw</t>
        </is>
      </c>
      <c r="F1296" s="5" t="n">
        <v>1774</v>
      </c>
      <c r="G1296" s="5" t="n">
        <v>6174</v>
      </c>
      <c r="H1296" s="5" t="n">
        <v>1353</v>
      </c>
      <c r="I1296" s="5" t="n">
        <v>1009</v>
      </c>
      <c r="J1296" s="5" t="n">
        <v>332</v>
      </c>
      <c r="K1296" s="10">
        <f>IF(F1296&gt;0,H1296/F1296,"")</f>
        <v/>
      </c>
      <c r="L1296" s="16">
        <f>IF(AND(G1296&gt;0,H1296&gt;0),G1296/H1296,"")</f>
        <v/>
      </c>
    </row>
    <row r="1297">
      <c r="A1297" s="4" t="inlineStr">
        <is>
          <t>700</t>
        </is>
      </c>
      <c r="B1297" s="4" t="n">
        <v>7</v>
      </c>
      <c r="C1297" s="4" t="inlineStr">
        <is>
          <t>antelope</t>
        </is>
      </c>
      <c r="D1297" s="4" t="n">
        <v>2019</v>
      </c>
      <c r="E1297" s="15" t="inlineStr">
        <is>
          <t>Draw</t>
        </is>
      </c>
      <c r="F1297" s="5" t="n"/>
      <c r="G1297" s="5" t="n"/>
      <c r="H1297" s="5" t="n">
        <v>1473</v>
      </c>
      <c r="I1297" s="5" t="n">
        <v>1096</v>
      </c>
      <c r="J1297" s="5" t="n">
        <v>361</v>
      </c>
      <c r="K1297" s="10">
        <f>IF(F1297&gt;0,H1297/F1297,"")</f>
        <v/>
      </c>
      <c r="L1297" s="16">
        <f>IF(AND(G1297&gt;0,H1297&gt;0),G1297/H1297,"")</f>
        <v/>
      </c>
    </row>
    <row r="1298">
      <c r="A1298" s="4" t="inlineStr">
        <is>
          <t>700</t>
        </is>
      </c>
      <c r="B1298" s="4" t="n">
        <v>7</v>
      </c>
      <c r="C1298" s="4" t="inlineStr">
        <is>
          <t>antelope</t>
        </is>
      </c>
      <c r="D1298" s="4" t="n">
        <v>2020</v>
      </c>
      <c r="E1298" s="15" t="inlineStr">
        <is>
          <t>Draw</t>
        </is>
      </c>
      <c r="F1298" s="5" t="n">
        <v>1437</v>
      </c>
      <c r="G1298" s="5" t="n">
        <v>4861</v>
      </c>
      <c r="H1298" s="5" t="n">
        <v>987</v>
      </c>
      <c r="I1298" s="5" t="n">
        <v>708</v>
      </c>
      <c r="J1298" s="5" t="n">
        <v>269</v>
      </c>
      <c r="K1298" s="10">
        <f>IF(F1298&gt;0,H1298/F1298,"")</f>
        <v/>
      </c>
      <c r="L1298" s="16">
        <f>IF(AND(G1298&gt;0,H1298&gt;0),G1298/H1298,"")</f>
        <v/>
      </c>
    </row>
    <row r="1299">
      <c r="A1299" s="4" t="inlineStr">
        <is>
          <t>700</t>
        </is>
      </c>
      <c r="B1299" s="4" t="n">
        <v>7</v>
      </c>
      <c r="C1299" s="4" t="inlineStr">
        <is>
          <t>antelope</t>
        </is>
      </c>
      <c r="D1299" s="4" t="n">
        <v>2021</v>
      </c>
      <c r="E1299" s="15" t="inlineStr">
        <is>
          <t>Draw</t>
        </is>
      </c>
      <c r="F1299" s="5" t="n"/>
      <c r="G1299" s="5" t="n"/>
      <c r="H1299" s="5" t="n">
        <v>779</v>
      </c>
      <c r="I1299" s="5" t="n">
        <v>590</v>
      </c>
      <c r="J1299" s="5" t="n">
        <v>186</v>
      </c>
      <c r="K1299" s="10">
        <f>IF(F1299&gt;0,H1299/F1299,"")</f>
        <v/>
      </c>
      <c r="L1299" s="16">
        <f>IF(AND(G1299&gt;0,H1299&gt;0),G1299/H1299,"")</f>
        <v/>
      </c>
    </row>
    <row r="1300">
      <c r="A1300" s="4" t="inlineStr">
        <is>
          <t>700</t>
        </is>
      </c>
      <c r="B1300" s="4" t="n">
        <v>7</v>
      </c>
      <c r="C1300" s="4" t="inlineStr">
        <is>
          <t>antelope</t>
        </is>
      </c>
      <c r="D1300" s="4" t="n">
        <v>2022</v>
      </c>
      <c r="E1300" s="15" t="inlineStr">
        <is>
          <t>Draw</t>
        </is>
      </c>
      <c r="F1300" s="5" t="n">
        <v>1385</v>
      </c>
      <c r="G1300" s="5" t="n">
        <v>4311</v>
      </c>
      <c r="H1300" s="5" t="n">
        <v>1047</v>
      </c>
      <c r="I1300" s="5" t="n">
        <v>835</v>
      </c>
      <c r="J1300" s="5" t="n">
        <v>206</v>
      </c>
      <c r="K1300" s="10">
        <f>IF(F1300&gt;0,H1300/F1300,"")</f>
        <v/>
      </c>
      <c r="L1300" s="16">
        <f>IF(AND(G1300&gt;0,H1300&gt;0),G1300/H1300,"")</f>
        <v/>
      </c>
    </row>
    <row r="1301">
      <c r="A1301" s="4" t="inlineStr">
        <is>
          <t>700</t>
        </is>
      </c>
      <c r="B1301" s="4" t="n">
        <v>7</v>
      </c>
      <c r="C1301" s="4" t="inlineStr">
        <is>
          <t>antelope</t>
        </is>
      </c>
      <c r="D1301" s="4" t="n">
        <v>2023</v>
      </c>
      <c r="E1301" s="15" t="inlineStr">
        <is>
          <t>Draw</t>
        </is>
      </c>
      <c r="F1301" s="5" t="n"/>
      <c r="G1301" s="5" t="n"/>
      <c r="H1301" s="5" t="n">
        <v>985</v>
      </c>
      <c r="I1301" s="5" t="n">
        <v>862</v>
      </c>
      <c r="J1301" s="5" t="n">
        <v>123</v>
      </c>
      <c r="K1301" s="10">
        <f>IF(F1301&gt;0,H1301/F1301,"")</f>
        <v/>
      </c>
      <c r="L1301" s="16">
        <f>IF(AND(G1301&gt;0,H1301&gt;0),G1301/H1301,"")</f>
        <v/>
      </c>
    </row>
    <row r="1302">
      <c r="A1302" s="4" t="inlineStr">
        <is>
          <t>700</t>
        </is>
      </c>
      <c r="B1302" s="4" t="n">
        <v>7</v>
      </c>
      <c r="C1302" s="4" t="inlineStr">
        <is>
          <t>antelope</t>
        </is>
      </c>
      <c r="D1302" s="4" t="n">
        <v>2024</v>
      </c>
      <c r="E1302" s="15" t="inlineStr">
        <is>
          <t>Draw</t>
        </is>
      </c>
      <c r="F1302" s="5" t="n">
        <v>1385</v>
      </c>
      <c r="G1302" s="5" t="n">
        <v>4731</v>
      </c>
      <c r="H1302" s="5" t="n">
        <v>956</v>
      </c>
      <c r="I1302" s="5" t="n">
        <v>791</v>
      </c>
      <c r="J1302" s="5" t="n">
        <v>161</v>
      </c>
      <c r="K1302" s="10">
        <f>IF(F1302&gt;0,H1302/F1302,"")</f>
        <v/>
      </c>
      <c r="L1302" s="16">
        <f>IF(AND(G1302&gt;0,H1302&gt;0),G1302/H1302,"")</f>
        <v/>
      </c>
    </row>
    <row r="1303">
      <c r="A1303" s="4" t="inlineStr">
        <is>
          <t>700</t>
        </is>
      </c>
      <c r="B1303" s="4" t="n">
        <v>7</v>
      </c>
      <c r="C1303" s="4" t="inlineStr">
        <is>
          <t>antelope</t>
        </is>
      </c>
      <c r="D1303" s="4" t="n">
        <v>2025</v>
      </c>
      <c r="E1303" s="15" t="inlineStr">
        <is>
          <t>Draw</t>
        </is>
      </c>
      <c r="F1303" s="5" t="n"/>
      <c r="G1303" s="5" t="n"/>
      <c r="H1303" s="5" t="n">
        <v>1052</v>
      </c>
      <c r="I1303" s="5" t="n">
        <v>793</v>
      </c>
      <c r="J1303" s="5" t="n">
        <v>252</v>
      </c>
      <c r="K1303" s="10">
        <f>IF(F1303&gt;0,H1303/F1303,"")</f>
        <v/>
      </c>
      <c r="L1303" s="16">
        <f>IF(AND(G1303&gt;0,H1303&gt;0),G1303/H1303,"")</f>
        <v/>
      </c>
    </row>
    <row r="1304">
      <c r="A1304" s="4" t="inlineStr">
        <is>
          <t>701</t>
        </is>
      </c>
      <c r="B1304" s="4" t="n">
        <v>7</v>
      </c>
      <c r="C1304" s="4" t="inlineStr">
        <is>
          <t>antelope</t>
        </is>
      </c>
      <c r="D1304" s="4" t="n">
        <v>2004</v>
      </c>
      <c r="E1304" s="15" t="inlineStr">
        <is>
          <t>Draw</t>
        </is>
      </c>
      <c r="F1304" s="5" t="n">
        <v>3657</v>
      </c>
      <c r="G1304" s="5" t="n">
        <v>10042</v>
      </c>
      <c r="H1304" s="5" t="n">
        <v>3843</v>
      </c>
      <c r="I1304" s="5" t="n">
        <v>2044</v>
      </c>
      <c r="J1304" s="5" t="n">
        <v>1666</v>
      </c>
      <c r="K1304" s="10">
        <f>IF(F1304&gt;0,H1304/F1304,"")</f>
        <v/>
      </c>
      <c r="L1304" s="16">
        <f>IF(AND(G1304&gt;0,H1304&gt;0),G1304/H1304,"")</f>
        <v/>
      </c>
    </row>
    <row r="1305">
      <c r="A1305" s="4" t="inlineStr">
        <is>
          <t>701</t>
        </is>
      </c>
      <c r="B1305" s="4" t="n">
        <v>7</v>
      </c>
      <c r="C1305" s="4" t="inlineStr">
        <is>
          <t>antelope</t>
        </is>
      </c>
      <c r="D1305" s="4" t="n">
        <v>2005</v>
      </c>
      <c r="E1305" s="15" t="inlineStr">
        <is>
          <t>Draw</t>
        </is>
      </c>
      <c r="F1305" s="5" t="n">
        <v>2259</v>
      </c>
      <c r="G1305" s="5" t="n">
        <v>6889</v>
      </c>
      <c r="H1305" s="5" t="n">
        <v>2599</v>
      </c>
      <c r="I1305" s="5" t="n">
        <v>1332</v>
      </c>
      <c r="J1305" s="5" t="n">
        <v>1143</v>
      </c>
      <c r="K1305" s="10">
        <f>IF(F1305&gt;0,H1305/F1305,"")</f>
        <v/>
      </c>
      <c r="L1305" s="16">
        <f>IF(AND(G1305&gt;0,H1305&gt;0),G1305/H1305,"")</f>
        <v/>
      </c>
    </row>
    <row r="1306">
      <c r="A1306" s="4" t="inlineStr">
        <is>
          <t>701</t>
        </is>
      </c>
      <c r="B1306" s="4" t="n">
        <v>7</v>
      </c>
      <c r="C1306" s="4" t="inlineStr">
        <is>
          <t>antelope</t>
        </is>
      </c>
      <c r="D1306" s="4" t="n">
        <v>2006</v>
      </c>
      <c r="E1306" s="15" t="inlineStr">
        <is>
          <t>Draw</t>
        </is>
      </c>
      <c r="F1306" s="5" t="n">
        <v>2657</v>
      </c>
      <c r="G1306" s="5" t="n">
        <v>7946</v>
      </c>
      <c r="H1306" s="5" t="n">
        <v>3427</v>
      </c>
      <c r="I1306" s="5" t="n">
        <v>1665</v>
      </c>
      <c r="J1306" s="5" t="n">
        <v>1524</v>
      </c>
      <c r="K1306" s="10">
        <f>IF(F1306&gt;0,H1306/F1306,"")</f>
        <v/>
      </c>
      <c r="L1306" s="16">
        <f>IF(AND(G1306&gt;0,H1306&gt;0),G1306/H1306,"")</f>
        <v/>
      </c>
    </row>
    <row r="1307">
      <c r="A1307" s="4" t="inlineStr">
        <is>
          <t>701</t>
        </is>
      </c>
      <c r="B1307" s="4" t="n">
        <v>7</v>
      </c>
      <c r="C1307" s="4" t="inlineStr">
        <is>
          <t>antelope</t>
        </is>
      </c>
      <c r="D1307" s="4" t="n">
        <v>2007</v>
      </c>
      <c r="E1307" s="15" t="inlineStr">
        <is>
          <t>Draw</t>
        </is>
      </c>
      <c r="F1307" s="5" t="n">
        <v>3017</v>
      </c>
      <c r="G1307" s="5" t="n">
        <v>9531</v>
      </c>
      <c r="H1307" s="5" t="n">
        <v>3399</v>
      </c>
      <c r="I1307" s="5" t="n">
        <v>1564</v>
      </c>
      <c r="J1307" s="5" t="n">
        <v>1732</v>
      </c>
      <c r="K1307" s="10">
        <f>IF(F1307&gt;0,H1307/F1307,"")</f>
        <v/>
      </c>
      <c r="L1307" s="16">
        <f>IF(AND(G1307&gt;0,H1307&gt;0),G1307/H1307,"")</f>
        <v/>
      </c>
    </row>
    <row r="1308">
      <c r="A1308" s="4" t="inlineStr">
        <is>
          <t>701</t>
        </is>
      </c>
      <c r="B1308" s="4" t="n">
        <v>7</v>
      </c>
      <c r="C1308" s="4" t="inlineStr">
        <is>
          <t>antelope</t>
        </is>
      </c>
      <c r="D1308" s="4" t="n">
        <v>2008</v>
      </c>
      <c r="E1308" s="15" t="inlineStr">
        <is>
          <t>Draw</t>
        </is>
      </c>
      <c r="F1308" s="5" t="n">
        <v>2543</v>
      </c>
      <c r="G1308" s="5" t="n">
        <v>8171</v>
      </c>
      <c r="H1308" s="5" t="n">
        <v>2384</v>
      </c>
      <c r="I1308" s="5" t="n">
        <v>1244</v>
      </c>
      <c r="J1308" s="5" t="n">
        <v>1077</v>
      </c>
      <c r="K1308" s="10">
        <f>IF(F1308&gt;0,H1308/F1308,"")</f>
        <v/>
      </c>
      <c r="L1308" s="16">
        <f>IF(AND(G1308&gt;0,H1308&gt;0),G1308/H1308,"")</f>
        <v/>
      </c>
    </row>
    <row r="1309">
      <c r="A1309" s="4" t="inlineStr">
        <is>
          <t>701</t>
        </is>
      </c>
      <c r="B1309" s="4" t="n">
        <v>7</v>
      </c>
      <c r="C1309" s="4" t="inlineStr">
        <is>
          <t>antelope</t>
        </is>
      </c>
      <c r="D1309" s="4" t="n">
        <v>2009</v>
      </c>
      <c r="E1309" s="15" t="inlineStr">
        <is>
          <t>Draw</t>
        </is>
      </c>
      <c r="F1309" s="5" t="n">
        <v>2993</v>
      </c>
      <c r="G1309" s="5" t="n">
        <v>9807</v>
      </c>
      <c r="H1309" s="5" t="n">
        <v>2482</v>
      </c>
      <c r="I1309" s="5" t="n">
        <v>1318</v>
      </c>
      <c r="J1309" s="5" t="n">
        <v>1118</v>
      </c>
      <c r="K1309" s="10">
        <f>IF(F1309&gt;0,H1309/F1309,"")</f>
        <v/>
      </c>
      <c r="L1309" s="16">
        <f>IF(AND(G1309&gt;0,H1309&gt;0),G1309/H1309,"")</f>
        <v/>
      </c>
    </row>
    <row r="1310">
      <c r="A1310" s="4" t="inlineStr">
        <is>
          <t>701</t>
        </is>
      </c>
      <c r="B1310" s="4" t="n">
        <v>7</v>
      </c>
      <c r="C1310" s="4" t="inlineStr">
        <is>
          <t>antelope</t>
        </is>
      </c>
      <c r="D1310" s="4" t="n">
        <v>2010</v>
      </c>
      <c r="E1310" s="15" t="inlineStr">
        <is>
          <t>Draw</t>
        </is>
      </c>
      <c r="F1310" s="5" t="n">
        <v>2455</v>
      </c>
      <c r="G1310" s="5" t="n">
        <v>7280</v>
      </c>
      <c r="H1310" s="5" t="n">
        <v>1595</v>
      </c>
      <c r="I1310" s="5" t="n">
        <v>1189</v>
      </c>
      <c r="J1310" s="5" t="n">
        <v>398</v>
      </c>
      <c r="K1310" s="10">
        <f>IF(F1310&gt;0,H1310/F1310,"")</f>
        <v/>
      </c>
      <c r="L1310" s="16">
        <f>IF(AND(G1310&gt;0,H1310&gt;0),G1310/H1310,"")</f>
        <v/>
      </c>
    </row>
    <row r="1311">
      <c r="A1311" s="4" t="inlineStr">
        <is>
          <t>701</t>
        </is>
      </c>
      <c r="B1311" s="4" t="n">
        <v>7</v>
      </c>
      <c r="C1311" s="4" t="inlineStr">
        <is>
          <t>antelope</t>
        </is>
      </c>
      <c r="D1311" s="4" t="n">
        <v>2011</v>
      </c>
      <c r="E1311" s="15" t="inlineStr">
        <is>
          <t>Draw</t>
        </is>
      </c>
      <c r="F1311" s="5" t="n">
        <v>1110</v>
      </c>
      <c r="G1311" s="5" t="n">
        <v>3026</v>
      </c>
      <c r="H1311" s="5" t="n">
        <v>610</v>
      </c>
      <c r="I1311" s="5" t="n">
        <v>480</v>
      </c>
      <c r="J1311" s="5" t="n">
        <v>130</v>
      </c>
      <c r="K1311" s="10">
        <f>IF(F1311&gt;0,H1311/F1311,"")</f>
        <v/>
      </c>
      <c r="L1311" s="16">
        <f>IF(AND(G1311&gt;0,H1311&gt;0),G1311/H1311,"")</f>
        <v/>
      </c>
    </row>
    <row r="1312">
      <c r="A1312" s="4" t="inlineStr">
        <is>
          <t>701</t>
        </is>
      </c>
      <c r="B1312" s="4" t="n">
        <v>7</v>
      </c>
      <c r="C1312" s="4" t="inlineStr">
        <is>
          <t>antelope</t>
        </is>
      </c>
      <c r="D1312" s="4" t="n">
        <v>2012</v>
      </c>
      <c r="E1312" s="15" t="inlineStr">
        <is>
          <t>Draw</t>
        </is>
      </c>
      <c r="F1312" s="5" t="n">
        <v>503</v>
      </c>
      <c r="G1312" s="5" t="n">
        <v>1541</v>
      </c>
      <c r="H1312" s="5" t="n">
        <v>267</v>
      </c>
      <c r="I1312" s="5" t="n">
        <v>231</v>
      </c>
      <c r="J1312" s="5" t="n">
        <v>36</v>
      </c>
      <c r="K1312" s="10">
        <f>IF(F1312&gt;0,H1312/F1312,"")</f>
        <v/>
      </c>
      <c r="L1312" s="16">
        <f>IF(AND(G1312&gt;0,H1312&gt;0),G1312/H1312,"")</f>
        <v/>
      </c>
    </row>
    <row r="1313">
      <c r="A1313" s="4" t="inlineStr">
        <is>
          <t>701</t>
        </is>
      </c>
      <c r="B1313" s="4" t="n">
        <v>7</v>
      </c>
      <c r="C1313" s="4" t="inlineStr">
        <is>
          <t>antelope</t>
        </is>
      </c>
      <c r="D1313" s="4" t="n">
        <v>2013</v>
      </c>
      <c r="E1313" s="15" t="inlineStr">
        <is>
          <t>Draw</t>
        </is>
      </c>
      <c r="F1313" s="5" t="n"/>
      <c r="G1313" s="5" t="n"/>
      <c r="H1313" s="5" t="n">
        <v>208</v>
      </c>
      <c r="I1313" s="5" t="n">
        <v>161</v>
      </c>
      <c r="J1313" s="5" t="n">
        <v>47</v>
      </c>
      <c r="K1313" s="10">
        <f>IF(F1313&gt;0,H1313/F1313,"")</f>
        <v/>
      </c>
      <c r="L1313" s="16">
        <f>IF(AND(G1313&gt;0,H1313&gt;0),G1313/H1313,"")</f>
        <v/>
      </c>
    </row>
    <row r="1314">
      <c r="A1314" s="4" t="inlineStr">
        <is>
          <t>701</t>
        </is>
      </c>
      <c r="B1314" s="4" t="n">
        <v>7</v>
      </c>
      <c r="C1314" s="4" t="inlineStr">
        <is>
          <t>antelope</t>
        </is>
      </c>
      <c r="D1314" s="4" t="n">
        <v>2014</v>
      </c>
      <c r="E1314" s="15" t="inlineStr">
        <is>
          <t>Draw</t>
        </is>
      </c>
      <c r="F1314" s="5" t="n">
        <v>483</v>
      </c>
      <c r="G1314" s="5" t="n">
        <v>1547</v>
      </c>
      <c r="H1314" s="5" t="n">
        <v>251</v>
      </c>
      <c r="I1314" s="5" t="n">
        <v>212</v>
      </c>
      <c r="J1314" s="5" t="n">
        <v>39</v>
      </c>
      <c r="K1314" s="10">
        <f>IF(F1314&gt;0,H1314/F1314,"")</f>
        <v/>
      </c>
      <c r="L1314" s="16">
        <f>IF(AND(G1314&gt;0,H1314&gt;0),G1314/H1314,"")</f>
        <v/>
      </c>
    </row>
    <row r="1315">
      <c r="A1315" s="4" t="inlineStr">
        <is>
          <t>701</t>
        </is>
      </c>
      <c r="B1315" s="4" t="n">
        <v>7</v>
      </c>
      <c r="C1315" s="4" t="inlineStr">
        <is>
          <t>antelope</t>
        </is>
      </c>
      <c r="D1315" s="4" t="n">
        <v>2015</v>
      </c>
      <c r="E1315" s="15" t="inlineStr">
        <is>
          <t>Draw</t>
        </is>
      </c>
      <c r="F1315" s="5" t="n">
        <v>675</v>
      </c>
      <c r="G1315" s="5" t="n">
        <v>2112</v>
      </c>
      <c r="H1315" s="5" t="n">
        <v>411</v>
      </c>
      <c r="I1315" s="5" t="n">
        <v>336</v>
      </c>
      <c r="J1315" s="5" t="n">
        <v>75</v>
      </c>
      <c r="K1315" s="10">
        <f>IF(F1315&gt;0,H1315/F1315,"")</f>
        <v/>
      </c>
      <c r="L1315" s="16">
        <f>IF(AND(G1315&gt;0,H1315&gt;0),G1315/H1315,"")</f>
        <v/>
      </c>
    </row>
    <row r="1316">
      <c r="A1316" s="4" t="inlineStr">
        <is>
          <t>701</t>
        </is>
      </c>
      <c r="B1316" s="4" t="n">
        <v>7</v>
      </c>
      <c r="C1316" s="4" t="inlineStr">
        <is>
          <t>antelope</t>
        </is>
      </c>
      <c r="D1316" s="4" t="n">
        <v>2016</v>
      </c>
      <c r="E1316" s="15" t="inlineStr">
        <is>
          <t>Draw</t>
        </is>
      </c>
      <c r="F1316" s="5" t="n"/>
      <c r="G1316" s="5" t="n"/>
      <c r="H1316" s="5" t="n">
        <v>883</v>
      </c>
      <c r="I1316" s="5" t="n">
        <v>663</v>
      </c>
      <c r="J1316" s="5" t="n">
        <v>218</v>
      </c>
      <c r="K1316" s="10">
        <f>IF(F1316&gt;0,H1316/F1316,"")</f>
        <v/>
      </c>
      <c r="L1316" s="16">
        <f>IF(AND(G1316&gt;0,H1316&gt;0),G1316/H1316,"")</f>
        <v/>
      </c>
    </row>
    <row r="1317">
      <c r="A1317" s="4" t="inlineStr">
        <is>
          <t>701</t>
        </is>
      </c>
      <c r="B1317" s="4" t="n">
        <v>7</v>
      </c>
      <c r="C1317" s="4" t="inlineStr">
        <is>
          <t>antelope</t>
        </is>
      </c>
      <c r="D1317" s="4" t="n">
        <v>2017</v>
      </c>
      <c r="E1317" s="15" t="inlineStr">
        <is>
          <t>Draw</t>
        </is>
      </c>
      <c r="F1317" s="5" t="n"/>
      <c r="G1317" s="5" t="n"/>
      <c r="H1317" s="5" t="n">
        <v>657</v>
      </c>
      <c r="I1317" s="5" t="n">
        <v>505</v>
      </c>
      <c r="J1317" s="5" t="n">
        <v>146</v>
      </c>
      <c r="K1317" s="10">
        <f>IF(F1317&gt;0,H1317/F1317,"")</f>
        <v/>
      </c>
      <c r="L1317" s="16">
        <f>IF(AND(G1317&gt;0,H1317&gt;0),G1317/H1317,"")</f>
        <v/>
      </c>
    </row>
    <row r="1318">
      <c r="A1318" s="4" t="inlineStr">
        <is>
          <t>701</t>
        </is>
      </c>
      <c r="B1318" s="4" t="n">
        <v>7</v>
      </c>
      <c r="C1318" s="4" t="inlineStr">
        <is>
          <t>antelope</t>
        </is>
      </c>
      <c r="D1318" s="4" t="n">
        <v>2018</v>
      </c>
      <c r="E1318" s="15" t="inlineStr">
        <is>
          <t>Draw</t>
        </is>
      </c>
      <c r="F1318" s="5" t="n">
        <v>978</v>
      </c>
      <c r="G1318" s="5" t="n">
        <v>2659</v>
      </c>
      <c r="H1318" s="5" t="n">
        <v>785</v>
      </c>
      <c r="I1318" s="5" t="n">
        <v>613</v>
      </c>
      <c r="J1318" s="5" t="n">
        <v>155</v>
      </c>
      <c r="K1318" s="10">
        <f>IF(F1318&gt;0,H1318/F1318,"")</f>
        <v/>
      </c>
      <c r="L1318" s="16">
        <f>IF(AND(G1318&gt;0,H1318&gt;0),G1318/H1318,"")</f>
        <v/>
      </c>
    </row>
    <row r="1319">
      <c r="A1319" s="4" t="inlineStr">
        <is>
          <t>701</t>
        </is>
      </c>
      <c r="B1319" s="4" t="n">
        <v>7</v>
      </c>
      <c r="C1319" s="4" t="inlineStr">
        <is>
          <t>antelope</t>
        </is>
      </c>
      <c r="D1319" s="4" t="n">
        <v>2019</v>
      </c>
      <c r="E1319" s="15" t="inlineStr">
        <is>
          <t>Draw</t>
        </is>
      </c>
      <c r="F1319" s="5" t="n"/>
      <c r="G1319" s="5" t="n"/>
      <c r="H1319" s="5" t="n">
        <v>781</v>
      </c>
      <c r="I1319" s="5" t="n">
        <v>560</v>
      </c>
      <c r="J1319" s="5" t="n">
        <v>199</v>
      </c>
      <c r="K1319" s="10">
        <f>IF(F1319&gt;0,H1319/F1319,"")</f>
        <v/>
      </c>
      <c r="L1319" s="16">
        <f>IF(AND(G1319&gt;0,H1319&gt;0),G1319/H1319,"")</f>
        <v/>
      </c>
    </row>
    <row r="1320">
      <c r="A1320" s="4" t="inlineStr">
        <is>
          <t>701</t>
        </is>
      </c>
      <c r="B1320" s="4" t="n">
        <v>7</v>
      </c>
      <c r="C1320" s="4" t="inlineStr">
        <is>
          <t>antelope</t>
        </is>
      </c>
      <c r="D1320" s="4" t="n">
        <v>2020</v>
      </c>
      <c r="E1320" s="15" t="inlineStr">
        <is>
          <t>Draw</t>
        </is>
      </c>
      <c r="F1320" s="5" t="n">
        <v>1310</v>
      </c>
      <c r="G1320" s="5" t="n">
        <v>3621</v>
      </c>
      <c r="H1320" s="5" t="n">
        <v>917</v>
      </c>
      <c r="I1320" s="5" t="n">
        <v>692</v>
      </c>
      <c r="J1320" s="5" t="n">
        <v>212</v>
      </c>
      <c r="K1320" s="10">
        <f>IF(F1320&gt;0,H1320/F1320,"")</f>
        <v/>
      </c>
      <c r="L1320" s="16">
        <f>IF(AND(G1320&gt;0,H1320&gt;0),G1320/H1320,"")</f>
        <v/>
      </c>
    </row>
    <row r="1321">
      <c r="A1321" s="4" t="inlineStr">
        <is>
          <t>701</t>
        </is>
      </c>
      <c r="B1321" s="4" t="n">
        <v>7</v>
      </c>
      <c r="C1321" s="4" t="inlineStr">
        <is>
          <t>antelope</t>
        </is>
      </c>
      <c r="D1321" s="4" t="n">
        <v>2021</v>
      </c>
      <c r="E1321" s="15" t="inlineStr">
        <is>
          <t>Draw</t>
        </is>
      </c>
      <c r="F1321" s="5" t="n"/>
      <c r="G1321" s="5" t="n"/>
      <c r="H1321" s="5" t="n">
        <v>714</v>
      </c>
      <c r="I1321" s="5" t="n">
        <v>589</v>
      </c>
      <c r="J1321" s="5" t="n">
        <v>122</v>
      </c>
      <c r="K1321" s="10">
        <f>IF(F1321&gt;0,H1321/F1321,"")</f>
        <v/>
      </c>
      <c r="L1321" s="16">
        <f>IF(AND(G1321&gt;0,H1321&gt;0),G1321/H1321,"")</f>
        <v/>
      </c>
    </row>
    <row r="1322">
      <c r="A1322" s="4" t="inlineStr">
        <is>
          <t>701</t>
        </is>
      </c>
      <c r="B1322" s="4" t="n">
        <v>7</v>
      </c>
      <c r="C1322" s="4" t="inlineStr">
        <is>
          <t>antelope</t>
        </is>
      </c>
      <c r="D1322" s="4" t="n">
        <v>2022</v>
      </c>
      <c r="E1322" s="15" t="inlineStr">
        <is>
          <t>Draw</t>
        </is>
      </c>
      <c r="F1322" s="5" t="n">
        <v>1259</v>
      </c>
      <c r="G1322" s="5" t="n">
        <v>4076</v>
      </c>
      <c r="H1322" s="5" t="n">
        <v>820</v>
      </c>
      <c r="I1322" s="5" t="n">
        <v>686</v>
      </c>
      <c r="J1322" s="5" t="n">
        <v>134</v>
      </c>
      <c r="K1322" s="10">
        <f>IF(F1322&gt;0,H1322/F1322,"")</f>
        <v/>
      </c>
      <c r="L1322" s="16">
        <f>IF(AND(G1322&gt;0,H1322&gt;0),G1322/H1322,"")</f>
        <v/>
      </c>
    </row>
    <row r="1323">
      <c r="A1323" s="4" t="inlineStr">
        <is>
          <t>701</t>
        </is>
      </c>
      <c r="B1323" s="4" t="n">
        <v>7</v>
      </c>
      <c r="C1323" s="4" t="inlineStr">
        <is>
          <t>antelope</t>
        </is>
      </c>
      <c r="D1323" s="4" t="n">
        <v>2023</v>
      </c>
      <c r="E1323" s="15" t="inlineStr">
        <is>
          <t>Draw</t>
        </is>
      </c>
      <c r="F1323" s="5" t="n"/>
      <c r="G1323" s="5" t="n"/>
      <c r="H1323" s="5" t="n">
        <v>939</v>
      </c>
      <c r="I1323" s="5" t="n">
        <v>797</v>
      </c>
      <c r="J1323" s="5" t="n">
        <v>142</v>
      </c>
      <c r="K1323" s="10">
        <f>IF(F1323&gt;0,H1323/F1323,"")</f>
        <v/>
      </c>
      <c r="L1323" s="16">
        <f>IF(AND(G1323&gt;0,H1323&gt;0),G1323/H1323,"")</f>
        <v/>
      </c>
    </row>
    <row r="1324">
      <c r="A1324" s="4" t="inlineStr">
        <is>
          <t>701</t>
        </is>
      </c>
      <c r="B1324" s="4" t="n">
        <v>7</v>
      </c>
      <c r="C1324" s="4" t="inlineStr">
        <is>
          <t>antelope</t>
        </is>
      </c>
      <c r="D1324" s="4" t="n">
        <v>2024</v>
      </c>
      <c r="E1324" s="15" t="inlineStr">
        <is>
          <t>Draw</t>
        </is>
      </c>
      <c r="F1324" s="5" t="n">
        <v>1093</v>
      </c>
      <c r="G1324" s="5" t="n">
        <v>3342</v>
      </c>
      <c r="H1324" s="5" t="n">
        <v>728</v>
      </c>
      <c r="I1324" s="5" t="n">
        <v>627</v>
      </c>
      <c r="J1324" s="5" t="n">
        <v>96</v>
      </c>
      <c r="K1324" s="10">
        <f>IF(F1324&gt;0,H1324/F1324,"")</f>
        <v/>
      </c>
      <c r="L1324" s="16">
        <f>IF(AND(G1324&gt;0,H1324&gt;0),G1324/H1324,"")</f>
        <v/>
      </c>
    </row>
    <row r="1325">
      <c r="A1325" s="4" t="inlineStr">
        <is>
          <t>701</t>
        </is>
      </c>
      <c r="B1325" s="4" t="n">
        <v>7</v>
      </c>
      <c r="C1325" s="4" t="inlineStr">
        <is>
          <t>antelope</t>
        </is>
      </c>
      <c r="D1325" s="4" t="n">
        <v>2025</v>
      </c>
      <c r="E1325" s="15" t="inlineStr">
        <is>
          <t>Draw</t>
        </is>
      </c>
      <c r="F1325" s="5" t="n"/>
      <c r="G1325" s="5" t="n"/>
      <c r="H1325" s="5" t="n">
        <v>933</v>
      </c>
      <c r="I1325" s="5" t="n">
        <v>734</v>
      </c>
      <c r="J1325" s="5" t="n">
        <v>192</v>
      </c>
      <c r="K1325" s="10">
        <f>IF(F1325&gt;0,H1325/F1325,"")</f>
        <v/>
      </c>
      <c r="L1325" s="16">
        <f>IF(AND(G1325&gt;0,H1325&gt;0),G1325/H1325,"")</f>
        <v/>
      </c>
    </row>
    <row r="1326">
      <c r="A1326" s="4" t="inlineStr">
        <is>
          <t>702</t>
        </is>
      </c>
      <c r="B1326" s="4" t="n">
        <v>7</v>
      </c>
      <c r="C1326" s="4" t="inlineStr">
        <is>
          <t>antelope</t>
        </is>
      </c>
      <c r="D1326" s="4" t="n">
        <v>2004</v>
      </c>
      <c r="E1326" s="15" t="inlineStr">
        <is>
          <t>Draw</t>
        </is>
      </c>
      <c r="F1326" s="5" t="n">
        <v>625</v>
      </c>
      <c r="G1326" s="5" t="n">
        <v>1760</v>
      </c>
      <c r="H1326" s="5" t="n">
        <v>492</v>
      </c>
      <c r="I1326" s="5" t="n">
        <v>309</v>
      </c>
      <c r="J1326" s="5" t="n">
        <v>175</v>
      </c>
      <c r="K1326" s="10">
        <f>IF(F1326&gt;0,H1326/F1326,"")</f>
        <v/>
      </c>
      <c r="L1326" s="16">
        <f>IF(AND(G1326&gt;0,H1326&gt;0),G1326/H1326,"")</f>
        <v/>
      </c>
    </row>
    <row r="1327">
      <c r="A1327" s="4" t="inlineStr">
        <is>
          <t>702</t>
        </is>
      </c>
      <c r="B1327" s="4" t="n">
        <v>7</v>
      </c>
      <c r="C1327" s="4" t="inlineStr">
        <is>
          <t>antelope</t>
        </is>
      </c>
      <c r="D1327" s="4" t="n">
        <v>2005</v>
      </c>
      <c r="E1327" s="15" t="inlineStr">
        <is>
          <t>Draw</t>
        </is>
      </c>
      <c r="F1327" s="5" t="n">
        <v>442</v>
      </c>
      <c r="G1327" s="5" t="n">
        <v>1506</v>
      </c>
      <c r="H1327" s="5" t="n">
        <v>444</v>
      </c>
      <c r="I1327" s="5" t="n">
        <v>213</v>
      </c>
      <c r="J1327" s="5" t="n">
        <v>220</v>
      </c>
      <c r="K1327" s="10">
        <f>IF(F1327&gt;0,H1327/F1327,"")</f>
        <v/>
      </c>
      <c r="L1327" s="16">
        <f>IF(AND(G1327&gt;0,H1327&gt;0),G1327/H1327,"")</f>
        <v/>
      </c>
    </row>
    <row r="1328">
      <c r="A1328" s="4" t="inlineStr">
        <is>
          <t>702</t>
        </is>
      </c>
      <c r="B1328" s="4" t="n">
        <v>7</v>
      </c>
      <c r="C1328" s="4" t="inlineStr">
        <is>
          <t>antelope</t>
        </is>
      </c>
      <c r="D1328" s="4" t="n">
        <v>2006</v>
      </c>
      <c r="E1328" s="15" t="inlineStr">
        <is>
          <t>Draw</t>
        </is>
      </c>
      <c r="F1328" s="5" t="n">
        <v>474</v>
      </c>
      <c r="G1328" s="5" t="n">
        <v>1422</v>
      </c>
      <c r="H1328" s="5" t="n">
        <v>472</v>
      </c>
      <c r="I1328" s="5" t="n">
        <v>279</v>
      </c>
      <c r="J1328" s="5" t="n">
        <v>163</v>
      </c>
      <c r="K1328" s="10">
        <f>IF(F1328&gt;0,H1328/F1328,"")</f>
        <v/>
      </c>
      <c r="L1328" s="16">
        <f>IF(AND(G1328&gt;0,H1328&gt;0),G1328/H1328,"")</f>
        <v/>
      </c>
    </row>
    <row r="1329">
      <c r="A1329" s="4" t="inlineStr">
        <is>
          <t>702</t>
        </is>
      </c>
      <c r="B1329" s="4" t="n">
        <v>7</v>
      </c>
      <c r="C1329" s="4" t="inlineStr">
        <is>
          <t>antelope</t>
        </is>
      </c>
      <c r="D1329" s="4" t="n">
        <v>2007</v>
      </c>
      <c r="E1329" s="15" t="inlineStr">
        <is>
          <t>Draw</t>
        </is>
      </c>
      <c r="F1329" s="5" t="n">
        <v>718</v>
      </c>
      <c r="G1329" s="5" t="n">
        <v>2152</v>
      </c>
      <c r="H1329" s="5" t="n">
        <v>580</v>
      </c>
      <c r="I1329" s="5" t="n">
        <v>244</v>
      </c>
      <c r="J1329" s="5" t="n">
        <v>320</v>
      </c>
      <c r="K1329" s="10">
        <f>IF(F1329&gt;0,H1329/F1329,"")</f>
        <v/>
      </c>
      <c r="L1329" s="16">
        <f>IF(AND(G1329&gt;0,H1329&gt;0),G1329/H1329,"")</f>
        <v/>
      </c>
    </row>
    <row r="1330">
      <c r="A1330" s="4" t="inlineStr">
        <is>
          <t>702</t>
        </is>
      </c>
      <c r="B1330" s="4" t="n">
        <v>7</v>
      </c>
      <c r="C1330" s="4" t="inlineStr">
        <is>
          <t>antelope</t>
        </is>
      </c>
      <c r="D1330" s="4" t="n">
        <v>2008</v>
      </c>
      <c r="E1330" s="15" t="inlineStr">
        <is>
          <t>Draw</t>
        </is>
      </c>
      <c r="F1330" s="5" t="n">
        <v>537</v>
      </c>
      <c r="G1330" s="5" t="n">
        <v>1591</v>
      </c>
      <c r="H1330" s="5" t="n">
        <v>439</v>
      </c>
      <c r="I1330" s="5" t="n">
        <v>286</v>
      </c>
      <c r="J1330" s="5" t="n">
        <v>145</v>
      </c>
      <c r="K1330" s="10">
        <f>IF(F1330&gt;0,H1330/F1330,"")</f>
        <v/>
      </c>
      <c r="L1330" s="16">
        <f>IF(AND(G1330&gt;0,H1330&gt;0),G1330/H1330,"")</f>
        <v/>
      </c>
    </row>
    <row r="1331">
      <c r="A1331" s="4" t="inlineStr">
        <is>
          <t>702</t>
        </is>
      </c>
      <c r="B1331" s="4" t="n">
        <v>7</v>
      </c>
      <c r="C1331" s="4" t="inlineStr">
        <is>
          <t>antelope</t>
        </is>
      </c>
      <c r="D1331" s="4" t="n">
        <v>2009</v>
      </c>
      <c r="E1331" s="15" t="inlineStr">
        <is>
          <t>Draw</t>
        </is>
      </c>
      <c r="F1331" s="5" t="n">
        <v>615</v>
      </c>
      <c r="G1331" s="5" t="n">
        <v>2235</v>
      </c>
      <c r="H1331" s="5" t="n">
        <v>503</v>
      </c>
      <c r="I1331" s="5" t="n">
        <v>294</v>
      </c>
      <c r="J1331" s="5" t="n">
        <v>203</v>
      </c>
      <c r="K1331" s="10">
        <f>IF(F1331&gt;0,H1331/F1331,"")</f>
        <v/>
      </c>
      <c r="L1331" s="16">
        <f>IF(AND(G1331&gt;0,H1331&gt;0),G1331/H1331,"")</f>
        <v/>
      </c>
    </row>
    <row r="1332">
      <c r="A1332" s="4" t="inlineStr">
        <is>
          <t>702</t>
        </is>
      </c>
      <c r="B1332" s="4" t="n">
        <v>7</v>
      </c>
      <c r="C1332" s="4" t="inlineStr">
        <is>
          <t>antelope</t>
        </is>
      </c>
      <c r="D1332" s="4" t="n">
        <v>2010</v>
      </c>
      <c r="E1332" s="15" t="inlineStr">
        <is>
          <t>Draw</t>
        </is>
      </c>
      <c r="F1332" s="5" t="n">
        <v>510</v>
      </c>
      <c r="G1332" s="5" t="n">
        <v>1710</v>
      </c>
      <c r="H1332" s="5" t="n">
        <v>324</v>
      </c>
      <c r="I1332" s="5" t="n">
        <v>243</v>
      </c>
      <c r="J1332" s="5" t="n">
        <v>78</v>
      </c>
      <c r="K1332" s="10">
        <f>IF(F1332&gt;0,H1332/F1332,"")</f>
        <v/>
      </c>
      <c r="L1332" s="16">
        <f>IF(AND(G1332&gt;0,H1332&gt;0),G1332/H1332,"")</f>
        <v/>
      </c>
    </row>
    <row r="1333">
      <c r="A1333" s="4" t="inlineStr">
        <is>
          <t>702</t>
        </is>
      </c>
      <c r="B1333" s="4" t="n">
        <v>7</v>
      </c>
      <c r="C1333" s="4" t="inlineStr">
        <is>
          <t>antelope</t>
        </is>
      </c>
      <c r="D1333" s="4" t="n">
        <v>2011</v>
      </c>
      <c r="E1333" s="15" t="inlineStr">
        <is>
          <t>Draw</t>
        </is>
      </c>
      <c r="F1333" s="5" t="n">
        <v>256</v>
      </c>
      <c r="G1333" s="5" t="n">
        <v>929</v>
      </c>
      <c r="H1333" s="5" t="n">
        <v>145</v>
      </c>
      <c r="I1333" s="5" t="n">
        <v>110</v>
      </c>
      <c r="J1333" s="5" t="n">
        <v>29</v>
      </c>
      <c r="K1333" s="10">
        <f>IF(F1333&gt;0,H1333/F1333,"")</f>
        <v/>
      </c>
      <c r="L1333" s="16">
        <f>IF(AND(G1333&gt;0,H1333&gt;0),G1333/H1333,"")</f>
        <v/>
      </c>
    </row>
    <row r="1334">
      <c r="A1334" s="4" t="inlineStr">
        <is>
          <t>702</t>
        </is>
      </c>
      <c r="B1334" s="4" t="n">
        <v>7</v>
      </c>
      <c r="C1334" s="4" t="inlineStr">
        <is>
          <t>antelope</t>
        </is>
      </c>
      <c r="D1334" s="4" t="n">
        <v>2012</v>
      </c>
      <c r="E1334" s="15" t="inlineStr">
        <is>
          <t>Draw</t>
        </is>
      </c>
      <c r="F1334" s="5" t="n">
        <v>198</v>
      </c>
      <c r="G1334" s="5" t="n">
        <v>704</v>
      </c>
      <c r="H1334" s="5" t="n">
        <v>110</v>
      </c>
      <c r="I1334" s="5" t="n">
        <v>98</v>
      </c>
      <c r="J1334" s="5" t="n">
        <v>12</v>
      </c>
      <c r="K1334" s="10">
        <f>IF(F1334&gt;0,H1334/F1334,"")</f>
        <v/>
      </c>
      <c r="L1334" s="16">
        <f>IF(AND(G1334&gt;0,H1334&gt;0),G1334/H1334,"")</f>
        <v/>
      </c>
    </row>
    <row r="1335">
      <c r="A1335" s="4" t="inlineStr">
        <is>
          <t>702</t>
        </is>
      </c>
      <c r="B1335" s="4" t="n">
        <v>7</v>
      </c>
      <c r="C1335" s="4" t="inlineStr">
        <is>
          <t>antelope</t>
        </is>
      </c>
      <c r="D1335" s="4" t="n">
        <v>2013</v>
      </c>
      <c r="E1335" s="15" t="inlineStr">
        <is>
          <t>Draw</t>
        </is>
      </c>
      <c r="F1335" s="5" t="n"/>
      <c r="G1335" s="5" t="n"/>
      <c r="H1335" s="5" t="n">
        <v>59</v>
      </c>
      <c r="I1335" s="5" t="n">
        <v>50</v>
      </c>
      <c r="J1335" s="5" t="n">
        <v>9</v>
      </c>
      <c r="K1335" s="10">
        <f>IF(F1335&gt;0,H1335/F1335,"")</f>
        <v/>
      </c>
      <c r="L1335" s="16">
        <f>IF(AND(G1335&gt;0,H1335&gt;0),G1335/H1335,"")</f>
        <v/>
      </c>
    </row>
    <row r="1336">
      <c r="A1336" s="4" t="inlineStr">
        <is>
          <t>702</t>
        </is>
      </c>
      <c r="B1336" s="4" t="n">
        <v>7</v>
      </c>
      <c r="C1336" s="4" t="inlineStr">
        <is>
          <t>antelope</t>
        </is>
      </c>
      <c r="D1336" s="4" t="n">
        <v>2014</v>
      </c>
      <c r="E1336" s="15" t="inlineStr">
        <is>
          <t>Draw</t>
        </is>
      </c>
      <c r="F1336" s="5" t="n">
        <v>172</v>
      </c>
      <c r="G1336" s="5" t="n">
        <v>554</v>
      </c>
      <c r="H1336" s="5" t="n">
        <v>67</v>
      </c>
      <c r="I1336" s="5" t="n">
        <v>54</v>
      </c>
      <c r="J1336" s="5" t="n">
        <v>11</v>
      </c>
      <c r="K1336" s="10">
        <f>IF(F1336&gt;0,H1336/F1336,"")</f>
        <v/>
      </c>
      <c r="L1336" s="16">
        <f>IF(AND(G1336&gt;0,H1336&gt;0),G1336/H1336,"")</f>
        <v/>
      </c>
    </row>
    <row r="1337">
      <c r="A1337" s="4" t="inlineStr">
        <is>
          <t>702</t>
        </is>
      </c>
      <c r="B1337" s="4" t="n">
        <v>7</v>
      </c>
      <c r="C1337" s="4" t="inlineStr">
        <is>
          <t>antelope</t>
        </is>
      </c>
      <c r="D1337" s="4" t="n">
        <v>2015</v>
      </c>
      <c r="E1337" s="15" t="inlineStr">
        <is>
          <t>Draw</t>
        </is>
      </c>
      <c r="F1337" s="5" t="n">
        <v>196</v>
      </c>
      <c r="G1337" s="5" t="n">
        <v>729</v>
      </c>
      <c r="H1337" s="5" t="n">
        <v>129</v>
      </c>
      <c r="I1337" s="5" t="n">
        <v>105</v>
      </c>
      <c r="J1337" s="5" t="n">
        <v>24</v>
      </c>
      <c r="K1337" s="10">
        <f>IF(F1337&gt;0,H1337/F1337,"")</f>
        <v/>
      </c>
      <c r="L1337" s="16">
        <f>IF(AND(G1337&gt;0,H1337&gt;0),G1337/H1337,"")</f>
        <v/>
      </c>
    </row>
    <row r="1338">
      <c r="A1338" s="4" t="inlineStr">
        <is>
          <t>702</t>
        </is>
      </c>
      <c r="B1338" s="4" t="n">
        <v>7</v>
      </c>
      <c r="C1338" s="4" t="inlineStr">
        <is>
          <t>antelope</t>
        </is>
      </c>
      <c r="D1338" s="4" t="n">
        <v>2016</v>
      </c>
      <c r="E1338" s="15" t="inlineStr">
        <is>
          <t>Draw</t>
        </is>
      </c>
      <c r="F1338" s="5" t="n"/>
      <c r="G1338" s="5" t="n"/>
      <c r="H1338" s="5" t="n">
        <v>256</v>
      </c>
      <c r="I1338" s="5" t="n">
        <v>207</v>
      </c>
      <c r="J1338" s="5" t="n">
        <v>49</v>
      </c>
      <c r="K1338" s="10">
        <f>IF(F1338&gt;0,H1338/F1338,"")</f>
        <v/>
      </c>
      <c r="L1338" s="16">
        <f>IF(AND(G1338&gt;0,H1338&gt;0),G1338/H1338,"")</f>
        <v/>
      </c>
    </row>
    <row r="1339">
      <c r="A1339" s="4" t="inlineStr">
        <is>
          <t>702</t>
        </is>
      </c>
      <c r="B1339" s="4" t="n">
        <v>7</v>
      </c>
      <c r="C1339" s="4" t="inlineStr">
        <is>
          <t>antelope</t>
        </is>
      </c>
      <c r="D1339" s="4" t="n">
        <v>2017</v>
      </c>
      <c r="E1339" s="15" t="inlineStr">
        <is>
          <t>Draw</t>
        </is>
      </c>
      <c r="F1339" s="5" t="n"/>
      <c r="G1339" s="5" t="n"/>
      <c r="H1339" s="5" t="n">
        <v>237</v>
      </c>
      <c r="I1339" s="5" t="n">
        <v>175</v>
      </c>
      <c r="J1339" s="5" t="n">
        <v>63</v>
      </c>
      <c r="K1339" s="10">
        <f>IF(F1339&gt;0,H1339/F1339,"")</f>
        <v/>
      </c>
      <c r="L1339" s="16">
        <f>IF(AND(G1339&gt;0,H1339&gt;0),G1339/H1339,"")</f>
        <v/>
      </c>
    </row>
    <row r="1340">
      <c r="A1340" s="4" t="inlineStr">
        <is>
          <t>702</t>
        </is>
      </c>
      <c r="B1340" s="4" t="n">
        <v>7</v>
      </c>
      <c r="C1340" s="4" t="inlineStr">
        <is>
          <t>antelope</t>
        </is>
      </c>
      <c r="D1340" s="4" t="n">
        <v>2018</v>
      </c>
      <c r="E1340" s="15" t="inlineStr">
        <is>
          <t>Draw</t>
        </is>
      </c>
      <c r="F1340" s="5" t="n">
        <v>357</v>
      </c>
      <c r="G1340" s="5" t="n">
        <v>1137</v>
      </c>
      <c r="H1340" s="5" t="n">
        <v>235</v>
      </c>
      <c r="I1340" s="5" t="n">
        <v>208</v>
      </c>
      <c r="J1340" s="5" t="n">
        <v>28</v>
      </c>
      <c r="K1340" s="10">
        <f>IF(F1340&gt;0,H1340/F1340,"")</f>
        <v/>
      </c>
      <c r="L1340" s="16">
        <f>IF(AND(G1340&gt;0,H1340&gt;0),G1340/H1340,"")</f>
        <v/>
      </c>
    </row>
    <row r="1341">
      <c r="A1341" s="4" t="inlineStr">
        <is>
          <t>702</t>
        </is>
      </c>
      <c r="B1341" s="4" t="n">
        <v>7</v>
      </c>
      <c r="C1341" s="4" t="inlineStr">
        <is>
          <t>antelope</t>
        </is>
      </c>
      <c r="D1341" s="4" t="n">
        <v>2019</v>
      </c>
      <c r="E1341" s="15" t="inlineStr">
        <is>
          <t>Draw</t>
        </is>
      </c>
      <c r="F1341" s="5" t="n"/>
      <c r="G1341" s="5" t="n"/>
      <c r="H1341" s="5" t="n">
        <v>274</v>
      </c>
      <c r="I1341" s="5" t="n">
        <v>245</v>
      </c>
      <c r="J1341" s="5" t="n">
        <v>26</v>
      </c>
      <c r="K1341" s="10">
        <f>IF(F1341&gt;0,H1341/F1341,"")</f>
        <v/>
      </c>
      <c r="L1341" s="16">
        <f>IF(AND(G1341&gt;0,H1341&gt;0),G1341/H1341,"")</f>
        <v/>
      </c>
    </row>
    <row r="1342">
      <c r="A1342" s="4" t="inlineStr">
        <is>
          <t>702</t>
        </is>
      </c>
      <c r="B1342" s="4" t="n">
        <v>7</v>
      </c>
      <c r="C1342" s="4" t="inlineStr">
        <is>
          <t>antelope</t>
        </is>
      </c>
      <c r="D1342" s="4" t="n">
        <v>2020</v>
      </c>
      <c r="E1342" s="15" t="inlineStr">
        <is>
          <t>Draw</t>
        </is>
      </c>
      <c r="F1342" s="5" t="n">
        <v>409</v>
      </c>
      <c r="G1342" s="5" t="n">
        <v>1275</v>
      </c>
      <c r="H1342" s="5" t="n">
        <v>337</v>
      </c>
      <c r="I1342" s="5" t="n">
        <v>253</v>
      </c>
      <c r="J1342" s="5" t="n">
        <v>84</v>
      </c>
      <c r="K1342" s="10">
        <f>IF(F1342&gt;0,H1342/F1342,"")</f>
        <v/>
      </c>
      <c r="L1342" s="16">
        <f>IF(AND(G1342&gt;0,H1342&gt;0),G1342/H1342,"")</f>
        <v/>
      </c>
    </row>
    <row r="1343">
      <c r="A1343" s="4" t="inlineStr">
        <is>
          <t>702</t>
        </is>
      </c>
      <c r="B1343" s="4" t="n">
        <v>7</v>
      </c>
      <c r="C1343" s="4" t="inlineStr">
        <is>
          <t>antelope</t>
        </is>
      </c>
      <c r="D1343" s="4" t="n">
        <v>2021</v>
      </c>
      <c r="E1343" s="15" t="inlineStr">
        <is>
          <t>Draw</t>
        </is>
      </c>
      <c r="F1343" s="5" t="n"/>
      <c r="G1343" s="5" t="n"/>
      <c r="H1343" s="5" t="n">
        <v>215</v>
      </c>
      <c r="I1343" s="5" t="n">
        <v>157</v>
      </c>
      <c r="J1343" s="5" t="n">
        <v>58</v>
      </c>
      <c r="K1343" s="10">
        <f>IF(F1343&gt;0,H1343/F1343,"")</f>
        <v/>
      </c>
      <c r="L1343" s="16">
        <f>IF(AND(G1343&gt;0,H1343&gt;0),G1343/H1343,"")</f>
        <v/>
      </c>
    </row>
    <row r="1344">
      <c r="A1344" s="4" t="inlineStr">
        <is>
          <t>702</t>
        </is>
      </c>
      <c r="B1344" s="4" t="n">
        <v>7</v>
      </c>
      <c r="C1344" s="4" t="inlineStr">
        <is>
          <t>antelope</t>
        </is>
      </c>
      <c r="D1344" s="4" t="n">
        <v>2022</v>
      </c>
      <c r="E1344" s="15" t="inlineStr">
        <is>
          <t>Draw</t>
        </is>
      </c>
      <c r="F1344" s="5" t="n">
        <v>400</v>
      </c>
      <c r="G1344" s="5" t="n">
        <v>1768</v>
      </c>
      <c r="H1344" s="5" t="n">
        <v>212</v>
      </c>
      <c r="I1344" s="5" t="n">
        <v>173</v>
      </c>
      <c r="J1344" s="5" t="n">
        <v>39</v>
      </c>
      <c r="K1344" s="10">
        <f>IF(F1344&gt;0,H1344/F1344,"")</f>
        <v/>
      </c>
      <c r="L1344" s="16">
        <f>IF(AND(G1344&gt;0,H1344&gt;0),G1344/H1344,"")</f>
        <v/>
      </c>
    </row>
    <row r="1345">
      <c r="A1345" s="4" t="inlineStr">
        <is>
          <t>702</t>
        </is>
      </c>
      <c r="B1345" s="4" t="n">
        <v>7</v>
      </c>
      <c r="C1345" s="4" t="inlineStr">
        <is>
          <t>antelope</t>
        </is>
      </c>
      <c r="D1345" s="4" t="n">
        <v>2023</v>
      </c>
      <c r="E1345" s="15" t="inlineStr">
        <is>
          <t>Draw</t>
        </is>
      </c>
      <c r="F1345" s="5" t="n"/>
      <c r="G1345" s="5" t="n"/>
      <c r="H1345" s="5" t="n">
        <v>245</v>
      </c>
      <c r="I1345" s="5" t="n">
        <v>209</v>
      </c>
      <c r="J1345" s="5" t="n">
        <v>33</v>
      </c>
      <c r="K1345" s="10">
        <f>IF(F1345&gt;0,H1345/F1345,"")</f>
        <v/>
      </c>
      <c r="L1345" s="16">
        <f>IF(AND(G1345&gt;0,H1345&gt;0),G1345/H1345,"")</f>
        <v/>
      </c>
    </row>
    <row r="1346">
      <c r="A1346" s="4" t="inlineStr">
        <is>
          <t>702</t>
        </is>
      </c>
      <c r="B1346" s="4" t="n">
        <v>7</v>
      </c>
      <c r="C1346" s="4" t="inlineStr">
        <is>
          <t>antelope</t>
        </is>
      </c>
      <c r="D1346" s="4" t="n">
        <v>2024</v>
      </c>
      <c r="E1346" s="15" t="inlineStr">
        <is>
          <t>Draw</t>
        </is>
      </c>
      <c r="F1346" s="5" t="n">
        <v>549</v>
      </c>
      <c r="G1346" s="5" t="n">
        <v>1869</v>
      </c>
      <c r="H1346" s="5" t="n">
        <v>331</v>
      </c>
      <c r="I1346" s="5" t="n">
        <v>270</v>
      </c>
      <c r="J1346" s="5" t="n">
        <v>61</v>
      </c>
      <c r="K1346" s="10">
        <f>IF(F1346&gt;0,H1346/F1346,"")</f>
        <v/>
      </c>
      <c r="L1346" s="16">
        <f>IF(AND(G1346&gt;0,H1346&gt;0),G1346/H1346,"")</f>
        <v/>
      </c>
    </row>
    <row r="1347">
      <c r="A1347" s="4" t="inlineStr">
        <is>
          <t>702</t>
        </is>
      </c>
      <c r="B1347" s="4" t="n">
        <v>7</v>
      </c>
      <c r="C1347" s="4" t="inlineStr">
        <is>
          <t>antelope</t>
        </is>
      </c>
      <c r="D1347" s="4" t="n">
        <v>2025</v>
      </c>
      <c r="E1347" s="15" t="inlineStr">
        <is>
          <t>Draw</t>
        </is>
      </c>
      <c r="F1347" s="5" t="n"/>
      <c r="G1347" s="5" t="n"/>
      <c r="H1347" s="5" t="n">
        <v>331</v>
      </c>
      <c r="I1347" s="5" t="n">
        <v>236</v>
      </c>
      <c r="J1347" s="5" t="n">
        <v>95</v>
      </c>
      <c r="K1347" s="10">
        <f>IF(F1347&gt;0,H1347/F1347,"")</f>
        <v/>
      </c>
      <c r="L1347" s="16">
        <f>IF(AND(G1347&gt;0,H1347&gt;0),G1347/H1347,"")</f>
        <v/>
      </c>
    </row>
    <row r="1348">
      <c r="A1348" s="4" t="inlineStr">
        <is>
          <t>703</t>
        </is>
      </c>
      <c r="B1348" s="4" t="n">
        <v>7</v>
      </c>
      <c r="C1348" s="4" t="inlineStr">
        <is>
          <t>antelope</t>
        </is>
      </c>
      <c r="D1348" s="4" t="n">
        <v>2004</v>
      </c>
      <c r="E1348" s="15" t="inlineStr">
        <is>
          <t>Draw</t>
        </is>
      </c>
      <c r="F1348" s="5" t="n">
        <v>1436</v>
      </c>
      <c r="G1348" s="5" t="n">
        <v>4662</v>
      </c>
      <c r="H1348" s="5" t="n">
        <v>1324</v>
      </c>
      <c r="I1348" s="5" t="n">
        <v>715</v>
      </c>
      <c r="J1348" s="5" t="n">
        <v>546</v>
      </c>
      <c r="K1348" s="10">
        <f>IF(F1348&gt;0,H1348/F1348,"")</f>
        <v/>
      </c>
      <c r="L1348" s="16">
        <f>IF(AND(G1348&gt;0,H1348&gt;0),G1348/H1348,"")</f>
        <v/>
      </c>
    </row>
    <row r="1349">
      <c r="A1349" s="4" t="inlineStr">
        <is>
          <t>703</t>
        </is>
      </c>
      <c r="B1349" s="4" t="n">
        <v>7</v>
      </c>
      <c r="C1349" s="4" t="inlineStr">
        <is>
          <t>antelope</t>
        </is>
      </c>
      <c r="D1349" s="4" t="n">
        <v>2005</v>
      </c>
      <c r="E1349" s="15" t="inlineStr">
        <is>
          <t>Draw</t>
        </is>
      </c>
      <c r="F1349" s="5" t="n">
        <v>1029</v>
      </c>
      <c r="G1349" s="5" t="n">
        <v>3513</v>
      </c>
      <c r="H1349" s="5" t="n">
        <v>1063</v>
      </c>
      <c r="I1349" s="5" t="n">
        <v>566</v>
      </c>
      <c r="J1349" s="5" t="n">
        <v>446</v>
      </c>
      <c r="K1349" s="10">
        <f>IF(F1349&gt;0,H1349/F1349,"")</f>
        <v/>
      </c>
      <c r="L1349" s="16">
        <f>IF(AND(G1349&gt;0,H1349&gt;0),G1349/H1349,"")</f>
        <v/>
      </c>
    </row>
    <row r="1350">
      <c r="A1350" s="4" t="inlineStr">
        <is>
          <t>703</t>
        </is>
      </c>
      <c r="B1350" s="4" t="n">
        <v>7</v>
      </c>
      <c r="C1350" s="4" t="inlineStr">
        <is>
          <t>antelope</t>
        </is>
      </c>
      <c r="D1350" s="4" t="n">
        <v>2006</v>
      </c>
      <c r="E1350" s="15" t="inlineStr">
        <is>
          <t>Draw</t>
        </is>
      </c>
      <c r="F1350" s="5" t="n">
        <v>1078</v>
      </c>
      <c r="G1350" s="5" t="n">
        <v>3654</v>
      </c>
      <c r="H1350" s="5" t="n">
        <v>955</v>
      </c>
      <c r="I1350" s="5" t="n">
        <v>589</v>
      </c>
      <c r="J1350" s="5" t="n">
        <v>343</v>
      </c>
      <c r="K1350" s="10">
        <f>IF(F1350&gt;0,H1350/F1350,"")</f>
        <v/>
      </c>
      <c r="L1350" s="16">
        <f>IF(AND(G1350&gt;0,H1350&gt;0),G1350/H1350,"")</f>
        <v/>
      </c>
    </row>
    <row r="1351">
      <c r="A1351" s="4" t="inlineStr">
        <is>
          <t>703</t>
        </is>
      </c>
      <c r="B1351" s="4" t="n">
        <v>7</v>
      </c>
      <c r="C1351" s="4" t="inlineStr">
        <is>
          <t>antelope</t>
        </is>
      </c>
      <c r="D1351" s="4" t="n">
        <v>2007</v>
      </c>
      <c r="E1351" s="15" t="inlineStr">
        <is>
          <t>Draw</t>
        </is>
      </c>
      <c r="F1351" s="5" t="n">
        <v>1372</v>
      </c>
      <c r="G1351" s="5" t="n">
        <v>4824</v>
      </c>
      <c r="H1351" s="5" t="n">
        <v>1373</v>
      </c>
      <c r="I1351" s="5" t="n">
        <v>633</v>
      </c>
      <c r="J1351" s="5" t="n">
        <v>699</v>
      </c>
      <c r="K1351" s="10">
        <f>IF(F1351&gt;0,H1351/F1351,"")</f>
        <v/>
      </c>
      <c r="L1351" s="16">
        <f>IF(AND(G1351&gt;0,H1351&gt;0),G1351/H1351,"")</f>
        <v/>
      </c>
    </row>
    <row r="1352">
      <c r="A1352" s="4" t="inlineStr">
        <is>
          <t>703</t>
        </is>
      </c>
      <c r="B1352" s="4" t="n">
        <v>7</v>
      </c>
      <c r="C1352" s="4" t="inlineStr">
        <is>
          <t>antelope</t>
        </is>
      </c>
      <c r="D1352" s="4" t="n">
        <v>2008</v>
      </c>
      <c r="E1352" s="15" t="inlineStr">
        <is>
          <t>Draw</t>
        </is>
      </c>
      <c r="F1352" s="5" t="n">
        <v>1237</v>
      </c>
      <c r="G1352" s="5" t="n">
        <v>4367</v>
      </c>
      <c r="H1352" s="5" t="n">
        <v>1091</v>
      </c>
      <c r="I1352" s="5" t="n">
        <v>471</v>
      </c>
      <c r="J1352" s="5" t="n">
        <v>595</v>
      </c>
      <c r="K1352" s="10">
        <f>IF(F1352&gt;0,H1352/F1352,"")</f>
        <v/>
      </c>
      <c r="L1352" s="16">
        <f>IF(AND(G1352&gt;0,H1352&gt;0),G1352/H1352,"")</f>
        <v/>
      </c>
    </row>
    <row r="1353">
      <c r="A1353" s="4" t="inlineStr">
        <is>
          <t>703</t>
        </is>
      </c>
      <c r="B1353" s="4" t="n">
        <v>7</v>
      </c>
      <c r="C1353" s="4" t="inlineStr">
        <is>
          <t>antelope</t>
        </is>
      </c>
      <c r="D1353" s="4" t="n">
        <v>2009</v>
      </c>
      <c r="E1353" s="15" t="inlineStr">
        <is>
          <t>Draw</t>
        </is>
      </c>
      <c r="F1353" s="5" t="n">
        <v>1438</v>
      </c>
      <c r="G1353" s="5" t="n">
        <v>5699</v>
      </c>
      <c r="H1353" s="5" t="n">
        <v>1160</v>
      </c>
      <c r="I1353" s="5" t="n">
        <v>628</v>
      </c>
      <c r="J1353" s="5" t="n">
        <v>505</v>
      </c>
      <c r="K1353" s="10">
        <f>IF(F1353&gt;0,H1353/F1353,"")</f>
        <v/>
      </c>
      <c r="L1353" s="16">
        <f>IF(AND(G1353&gt;0,H1353&gt;0),G1353/H1353,"")</f>
        <v/>
      </c>
    </row>
    <row r="1354">
      <c r="A1354" s="4" t="inlineStr">
        <is>
          <t>703</t>
        </is>
      </c>
      <c r="B1354" s="4" t="n">
        <v>7</v>
      </c>
      <c r="C1354" s="4" t="inlineStr">
        <is>
          <t>antelope</t>
        </is>
      </c>
      <c r="D1354" s="4" t="n">
        <v>2010</v>
      </c>
      <c r="E1354" s="15" t="inlineStr">
        <is>
          <t>Draw</t>
        </is>
      </c>
      <c r="F1354" s="5" t="n">
        <v>915</v>
      </c>
      <c r="G1354" s="5" t="n">
        <v>3253</v>
      </c>
      <c r="H1354" s="5" t="n">
        <v>568</v>
      </c>
      <c r="I1354" s="5" t="n">
        <v>395</v>
      </c>
      <c r="J1354" s="5" t="n">
        <v>170</v>
      </c>
      <c r="K1354" s="10">
        <f>IF(F1354&gt;0,H1354/F1354,"")</f>
        <v/>
      </c>
      <c r="L1354" s="16">
        <f>IF(AND(G1354&gt;0,H1354&gt;0),G1354/H1354,"")</f>
        <v/>
      </c>
    </row>
    <row r="1355">
      <c r="A1355" s="4" t="inlineStr">
        <is>
          <t>703</t>
        </is>
      </c>
      <c r="B1355" s="4" t="n">
        <v>7</v>
      </c>
      <c r="C1355" s="4" t="inlineStr">
        <is>
          <t>antelope</t>
        </is>
      </c>
      <c r="D1355" s="4" t="n">
        <v>2011</v>
      </c>
      <c r="E1355" s="15" t="inlineStr">
        <is>
          <t>Draw</t>
        </is>
      </c>
      <c r="F1355" s="5" t="n">
        <v>428</v>
      </c>
      <c r="G1355" s="5" t="n">
        <v>1528</v>
      </c>
      <c r="H1355" s="5" t="n">
        <v>262</v>
      </c>
      <c r="I1355" s="5" t="n">
        <v>201</v>
      </c>
      <c r="J1355" s="5" t="n">
        <v>53</v>
      </c>
      <c r="K1355" s="10">
        <f>IF(F1355&gt;0,H1355/F1355,"")</f>
        <v/>
      </c>
      <c r="L1355" s="16">
        <f>IF(AND(G1355&gt;0,H1355&gt;0),G1355/H1355,"")</f>
        <v/>
      </c>
    </row>
    <row r="1356">
      <c r="A1356" s="4" t="inlineStr">
        <is>
          <t>703</t>
        </is>
      </c>
      <c r="B1356" s="4" t="n">
        <v>7</v>
      </c>
      <c r="C1356" s="4" t="inlineStr">
        <is>
          <t>antelope</t>
        </is>
      </c>
      <c r="D1356" s="4" t="n">
        <v>2012</v>
      </c>
      <c r="E1356" s="15" t="inlineStr">
        <is>
          <t>Draw</t>
        </is>
      </c>
      <c r="F1356" s="5" t="n">
        <v>274</v>
      </c>
      <c r="G1356" s="5" t="n">
        <v>878</v>
      </c>
      <c r="H1356" s="5" t="n">
        <v>157</v>
      </c>
      <c r="I1356" s="5" t="n">
        <v>131</v>
      </c>
      <c r="J1356" s="5" t="n">
        <v>26</v>
      </c>
      <c r="K1356" s="10">
        <f>IF(F1356&gt;0,H1356/F1356,"")</f>
        <v/>
      </c>
      <c r="L1356" s="16">
        <f>IF(AND(G1356&gt;0,H1356&gt;0),G1356/H1356,"")</f>
        <v/>
      </c>
    </row>
    <row r="1357">
      <c r="A1357" s="4" t="inlineStr">
        <is>
          <t>703</t>
        </is>
      </c>
      <c r="B1357" s="4" t="n">
        <v>7</v>
      </c>
      <c r="C1357" s="4" t="inlineStr">
        <is>
          <t>antelope</t>
        </is>
      </c>
      <c r="D1357" s="4" t="n">
        <v>2013</v>
      </c>
      <c r="E1357" s="15" t="inlineStr">
        <is>
          <t>Draw</t>
        </is>
      </c>
      <c r="F1357" s="5" t="n"/>
      <c r="G1357" s="5" t="n"/>
      <c r="H1357" s="5" t="n">
        <v>202</v>
      </c>
      <c r="I1357" s="5" t="n">
        <v>184</v>
      </c>
      <c r="J1357" s="5" t="n">
        <v>19</v>
      </c>
      <c r="K1357" s="10">
        <f>IF(F1357&gt;0,H1357/F1357,"")</f>
        <v/>
      </c>
      <c r="L1357" s="16">
        <f>IF(AND(G1357&gt;0,H1357&gt;0),G1357/H1357,"")</f>
        <v/>
      </c>
    </row>
    <row r="1358">
      <c r="A1358" s="4" t="inlineStr">
        <is>
          <t>703</t>
        </is>
      </c>
      <c r="B1358" s="4" t="n">
        <v>7</v>
      </c>
      <c r="C1358" s="4" t="inlineStr">
        <is>
          <t>antelope</t>
        </is>
      </c>
      <c r="D1358" s="4" t="n">
        <v>2014</v>
      </c>
      <c r="E1358" s="15" t="inlineStr">
        <is>
          <t>Draw</t>
        </is>
      </c>
      <c r="F1358" s="5" t="n">
        <v>241</v>
      </c>
      <c r="G1358" s="5" t="n">
        <v>688</v>
      </c>
      <c r="H1358" s="5" t="n">
        <v>156</v>
      </c>
      <c r="I1358" s="5" t="n">
        <v>129</v>
      </c>
      <c r="J1358" s="5" t="n">
        <v>26</v>
      </c>
      <c r="K1358" s="10">
        <f>IF(F1358&gt;0,H1358/F1358,"")</f>
        <v/>
      </c>
      <c r="L1358" s="16">
        <f>IF(AND(G1358&gt;0,H1358&gt;0),G1358/H1358,"")</f>
        <v/>
      </c>
    </row>
    <row r="1359">
      <c r="A1359" s="4" t="inlineStr">
        <is>
          <t>703</t>
        </is>
      </c>
      <c r="B1359" s="4" t="n">
        <v>7</v>
      </c>
      <c r="C1359" s="4" t="inlineStr">
        <is>
          <t>antelope</t>
        </is>
      </c>
      <c r="D1359" s="4" t="n">
        <v>2015</v>
      </c>
      <c r="E1359" s="15" t="inlineStr">
        <is>
          <t>Draw</t>
        </is>
      </c>
      <c r="F1359" s="5" t="n">
        <v>436</v>
      </c>
      <c r="G1359" s="5" t="n">
        <v>1541</v>
      </c>
      <c r="H1359" s="5" t="n">
        <v>244</v>
      </c>
      <c r="I1359" s="5" t="n">
        <v>201</v>
      </c>
      <c r="J1359" s="5" t="n">
        <v>40</v>
      </c>
      <c r="K1359" s="10">
        <f>IF(F1359&gt;0,H1359/F1359,"")</f>
        <v/>
      </c>
      <c r="L1359" s="16">
        <f>IF(AND(G1359&gt;0,H1359&gt;0),G1359/H1359,"")</f>
        <v/>
      </c>
    </row>
    <row r="1360">
      <c r="A1360" s="4" t="inlineStr">
        <is>
          <t>703</t>
        </is>
      </c>
      <c r="B1360" s="4" t="n">
        <v>7</v>
      </c>
      <c r="C1360" s="4" t="inlineStr">
        <is>
          <t>antelope</t>
        </is>
      </c>
      <c r="D1360" s="4" t="n">
        <v>2016</v>
      </c>
      <c r="E1360" s="15" t="inlineStr">
        <is>
          <t>Draw</t>
        </is>
      </c>
      <c r="F1360" s="5" t="n"/>
      <c r="G1360" s="5" t="n"/>
      <c r="H1360" s="5" t="n">
        <v>545</v>
      </c>
      <c r="I1360" s="5" t="n">
        <v>420</v>
      </c>
      <c r="J1360" s="5" t="n">
        <v>116</v>
      </c>
      <c r="K1360" s="10">
        <f>IF(F1360&gt;0,H1360/F1360,"")</f>
        <v/>
      </c>
      <c r="L1360" s="16">
        <f>IF(AND(G1360&gt;0,H1360&gt;0),G1360/H1360,"")</f>
        <v/>
      </c>
    </row>
    <row r="1361">
      <c r="A1361" s="4" t="inlineStr">
        <is>
          <t>703</t>
        </is>
      </c>
      <c r="B1361" s="4" t="n">
        <v>7</v>
      </c>
      <c r="C1361" s="4" t="inlineStr">
        <is>
          <t>antelope</t>
        </is>
      </c>
      <c r="D1361" s="4" t="n">
        <v>2017</v>
      </c>
      <c r="E1361" s="15" t="inlineStr">
        <is>
          <t>Draw</t>
        </is>
      </c>
      <c r="F1361" s="5" t="n"/>
      <c r="G1361" s="5" t="n"/>
      <c r="H1361" s="5" t="n">
        <v>494</v>
      </c>
      <c r="I1361" s="5" t="n">
        <v>371</v>
      </c>
      <c r="J1361" s="5" t="n">
        <v>121</v>
      </c>
      <c r="K1361" s="10">
        <f>IF(F1361&gt;0,H1361/F1361,"")</f>
        <v/>
      </c>
      <c r="L1361" s="16">
        <f>IF(AND(G1361&gt;0,H1361&gt;0),G1361/H1361,"")</f>
        <v/>
      </c>
    </row>
    <row r="1362">
      <c r="A1362" s="4" t="inlineStr">
        <is>
          <t>703</t>
        </is>
      </c>
      <c r="B1362" s="4" t="n">
        <v>7</v>
      </c>
      <c r="C1362" s="4" t="inlineStr">
        <is>
          <t>antelope</t>
        </is>
      </c>
      <c r="D1362" s="4" t="n">
        <v>2018</v>
      </c>
      <c r="E1362" s="15" t="inlineStr">
        <is>
          <t>Draw</t>
        </is>
      </c>
      <c r="F1362" s="5" t="n">
        <v>1008</v>
      </c>
      <c r="G1362" s="5" t="n">
        <v>3578</v>
      </c>
      <c r="H1362" s="5" t="n">
        <v>633</v>
      </c>
      <c r="I1362" s="5" t="n">
        <v>480</v>
      </c>
      <c r="J1362" s="5" t="n">
        <v>144</v>
      </c>
      <c r="K1362" s="10">
        <f>IF(F1362&gt;0,H1362/F1362,"")</f>
        <v/>
      </c>
      <c r="L1362" s="16">
        <f>IF(AND(G1362&gt;0,H1362&gt;0),G1362/H1362,"")</f>
        <v/>
      </c>
    </row>
    <row r="1363">
      <c r="A1363" s="4" t="inlineStr">
        <is>
          <t>703</t>
        </is>
      </c>
      <c r="B1363" s="4" t="n">
        <v>7</v>
      </c>
      <c r="C1363" s="4" t="inlineStr">
        <is>
          <t>antelope</t>
        </is>
      </c>
      <c r="D1363" s="4" t="n">
        <v>2019</v>
      </c>
      <c r="E1363" s="15" t="inlineStr">
        <is>
          <t>Draw</t>
        </is>
      </c>
      <c r="F1363" s="5" t="n"/>
      <c r="G1363" s="5" t="n"/>
      <c r="H1363" s="5" t="n">
        <v>618</v>
      </c>
      <c r="I1363" s="5" t="n">
        <v>507</v>
      </c>
      <c r="J1363" s="5" t="n">
        <v>111</v>
      </c>
      <c r="K1363" s="10">
        <f>IF(F1363&gt;0,H1363/F1363,"")</f>
        <v/>
      </c>
      <c r="L1363" s="16">
        <f>IF(AND(G1363&gt;0,H1363&gt;0),G1363/H1363,"")</f>
        <v/>
      </c>
    </row>
    <row r="1364">
      <c r="A1364" s="4" t="inlineStr">
        <is>
          <t>703</t>
        </is>
      </c>
      <c r="B1364" s="4" t="n">
        <v>7</v>
      </c>
      <c r="C1364" s="4" t="inlineStr">
        <is>
          <t>antelope</t>
        </is>
      </c>
      <c r="D1364" s="4" t="n">
        <v>2020</v>
      </c>
      <c r="E1364" s="15" t="inlineStr">
        <is>
          <t>Draw</t>
        </is>
      </c>
      <c r="F1364" s="5" t="n">
        <v>897</v>
      </c>
      <c r="G1364" s="5" t="n">
        <v>3081</v>
      </c>
      <c r="H1364" s="5" t="n">
        <v>644</v>
      </c>
      <c r="I1364" s="5" t="n">
        <v>474</v>
      </c>
      <c r="J1364" s="5" t="n">
        <v>160</v>
      </c>
      <c r="K1364" s="10">
        <f>IF(F1364&gt;0,H1364/F1364,"")</f>
        <v/>
      </c>
      <c r="L1364" s="16">
        <f>IF(AND(G1364&gt;0,H1364&gt;0),G1364/H1364,"")</f>
        <v/>
      </c>
    </row>
    <row r="1365">
      <c r="A1365" s="4" t="inlineStr">
        <is>
          <t>703</t>
        </is>
      </c>
      <c r="B1365" s="4" t="n">
        <v>7</v>
      </c>
      <c r="C1365" s="4" t="inlineStr">
        <is>
          <t>antelope</t>
        </is>
      </c>
      <c r="D1365" s="4" t="n">
        <v>2021</v>
      </c>
      <c r="E1365" s="15" t="inlineStr">
        <is>
          <t>Draw</t>
        </is>
      </c>
      <c r="F1365" s="5" t="n"/>
      <c r="G1365" s="5" t="n"/>
      <c r="H1365" s="5" t="n">
        <v>430</v>
      </c>
      <c r="I1365" s="5" t="n">
        <v>335</v>
      </c>
      <c r="J1365" s="5" t="n">
        <v>92</v>
      </c>
      <c r="K1365" s="10">
        <f>IF(F1365&gt;0,H1365/F1365,"")</f>
        <v/>
      </c>
      <c r="L1365" s="16">
        <f>IF(AND(G1365&gt;0,H1365&gt;0),G1365/H1365,"")</f>
        <v/>
      </c>
    </row>
    <row r="1366">
      <c r="A1366" s="4" t="inlineStr">
        <is>
          <t>703</t>
        </is>
      </c>
      <c r="B1366" s="4" t="n">
        <v>7</v>
      </c>
      <c r="C1366" s="4" t="inlineStr">
        <is>
          <t>antelope</t>
        </is>
      </c>
      <c r="D1366" s="4" t="n">
        <v>2022</v>
      </c>
      <c r="E1366" s="15" t="inlineStr">
        <is>
          <t>Draw</t>
        </is>
      </c>
      <c r="F1366" s="5" t="n">
        <v>739</v>
      </c>
      <c r="G1366" s="5" t="n">
        <v>2741</v>
      </c>
      <c r="H1366" s="5" t="n">
        <v>522</v>
      </c>
      <c r="I1366" s="5" t="n">
        <v>434</v>
      </c>
      <c r="J1366" s="5" t="n">
        <v>88</v>
      </c>
      <c r="K1366" s="10">
        <f>IF(F1366&gt;0,H1366/F1366,"")</f>
        <v/>
      </c>
      <c r="L1366" s="16">
        <f>IF(AND(G1366&gt;0,H1366&gt;0),G1366/H1366,"")</f>
        <v/>
      </c>
    </row>
    <row r="1367">
      <c r="A1367" s="4" t="inlineStr">
        <is>
          <t>703</t>
        </is>
      </c>
      <c r="B1367" s="4" t="n">
        <v>7</v>
      </c>
      <c r="C1367" s="4" t="inlineStr">
        <is>
          <t>antelope</t>
        </is>
      </c>
      <c r="D1367" s="4" t="n">
        <v>2023</v>
      </c>
      <c r="E1367" s="15" t="inlineStr">
        <is>
          <t>Draw</t>
        </is>
      </c>
      <c r="F1367" s="5" t="n"/>
      <c r="G1367" s="5" t="n"/>
      <c r="H1367" s="5" t="n">
        <v>449</v>
      </c>
      <c r="I1367" s="5" t="n">
        <v>376</v>
      </c>
      <c r="J1367" s="5" t="n">
        <v>72</v>
      </c>
      <c r="K1367" s="10">
        <f>IF(F1367&gt;0,H1367/F1367,"")</f>
        <v/>
      </c>
      <c r="L1367" s="16">
        <f>IF(AND(G1367&gt;0,H1367&gt;0),G1367/H1367,"")</f>
        <v/>
      </c>
    </row>
    <row r="1368">
      <c r="A1368" s="4" t="inlineStr">
        <is>
          <t>703</t>
        </is>
      </c>
      <c r="B1368" s="4" t="n">
        <v>7</v>
      </c>
      <c r="C1368" s="4" t="inlineStr">
        <is>
          <t>antelope</t>
        </is>
      </c>
      <c r="D1368" s="4" t="n">
        <v>2024</v>
      </c>
      <c r="E1368" s="15" t="inlineStr">
        <is>
          <t>Draw</t>
        </is>
      </c>
      <c r="F1368" s="5" t="n">
        <v>619</v>
      </c>
      <c r="G1368" s="5" t="n">
        <v>2213</v>
      </c>
      <c r="H1368" s="5" t="n">
        <v>338</v>
      </c>
      <c r="I1368" s="5" t="n">
        <v>274</v>
      </c>
      <c r="J1368" s="5" t="n">
        <v>61</v>
      </c>
      <c r="K1368" s="10">
        <f>IF(F1368&gt;0,H1368/F1368,"")</f>
        <v/>
      </c>
      <c r="L1368" s="16">
        <f>IF(AND(G1368&gt;0,H1368&gt;0),G1368/H1368,"")</f>
        <v/>
      </c>
    </row>
    <row r="1369">
      <c r="A1369" s="4" t="inlineStr">
        <is>
          <t>703</t>
        </is>
      </c>
      <c r="B1369" s="4" t="n">
        <v>7</v>
      </c>
      <c r="C1369" s="4" t="inlineStr">
        <is>
          <t>antelope</t>
        </is>
      </c>
      <c r="D1369" s="4" t="n">
        <v>2025</v>
      </c>
      <c r="E1369" s="15" t="inlineStr">
        <is>
          <t>Draw</t>
        </is>
      </c>
      <c r="F1369" s="5" t="n"/>
      <c r="G1369" s="5" t="n"/>
      <c r="H1369" s="5" t="n">
        <v>459</v>
      </c>
      <c r="I1369" s="5" t="n">
        <v>357</v>
      </c>
      <c r="J1369" s="5" t="n">
        <v>103</v>
      </c>
      <c r="K1369" s="10">
        <f>IF(F1369&gt;0,H1369/F1369,"")</f>
        <v/>
      </c>
      <c r="L1369" s="16">
        <f>IF(AND(G1369&gt;0,H1369&gt;0),G1369/H1369,"")</f>
        <v/>
      </c>
    </row>
    <row r="1370">
      <c r="A1370" s="4" t="inlineStr">
        <is>
          <t>704</t>
        </is>
      </c>
      <c r="B1370" s="4" t="n">
        <v>7</v>
      </c>
      <c r="C1370" s="4" t="inlineStr">
        <is>
          <t>antelope</t>
        </is>
      </c>
      <c r="D1370" s="4" t="n">
        <v>2004</v>
      </c>
      <c r="E1370" s="15" t="inlineStr">
        <is>
          <t>Draw</t>
        </is>
      </c>
      <c r="F1370" s="5" t="n">
        <v>1143</v>
      </c>
      <c r="G1370" s="5" t="n">
        <v>3501</v>
      </c>
      <c r="H1370" s="5" t="n">
        <v>991</v>
      </c>
      <c r="I1370" s="5" t="n">
        <v>579</v>
      </c>
      <c r="J1370" s="5" t="n">
        <v>365</v>
      </c>
      <c r="K1370" s="10">
        <f>IF(F1370&gt;0,H1370/F1370,"")</f>
        <v/>
      </c>
      <c r="L1370" s="16">
        <f>IF(AND(G1370&gt;0,H1370&gt;0),G1370/H1370,"")</f>
        <v/>
      </c>
    </row>
    <row r="1371">
      <c r="A1371" s="4" t="inlineStr">
        <is>
          <t>704</t>
        </is>
      </c>
      <c r="B1371" s="4" t="n">
        <v>7</v>
      </c>
      <c r="C1371" s="4" t="inlineStr">
        <is>
          <t>antelope</t>
        </is>
      </c>
      <c r="D1371" s="4" t="n">
        <v>2005</v>
      </c>
      <c r="E1371" s="15" t="inlineStr">
        <is>
          <t>Draw</t>
        </is>
      </c>
      <c r="F1371" s="5" t="n">
        <v>861</v>
      </c>
      <c r="G1371" s="5" t="n">
        <v>3089</v>
      </c>
      <c r="H1371" s="5" t="n">
        <v>835</v>
      </c>
      <c r="I1371" s="5" t="n">
        <v>462</v>
      </c>
      <c r="J1371" s="5" t="n">
        <v>348</v>
      </c>
      <c r="K1371" s="10">
        <f>IF(F1371&gt;0,H1371/F1371,"")</f>
        <v/>
      </c>
      <c r="L1371" s="16">
        <f>IF(AND(G1371&gt;0,H1371&gt;0),G1371/H1371,"")</f>
        <v/>
      </c>
    </row>
    <row r="1372">
      <c r="A1372" s="4" t="inlineStr">
        <is>
          <t>704</t>
        </is>
      </c>
      <c r="B1372" s="4" t="n">
        <v>7</v>
      </c>
      <c r="C1372" s="4" t="inlineStr">
        <is>
          <t>antelope</t>
        </is>
      </c>
      <c r="D1372" s="4" t="n">
        <v>2006</v>
      </c>
      <c r="E1372" s="15" t="inlineStr">
        <is>
          <t>Draw</t>
        </is>
      </c>
      <c r="F1372" s="5" t="n">
        <v>901</v>
      </c>
      <c r="G1372" s="5" t="n">
        <v>3028</v>
      </c>
      <c r="H1372" s="5" t="n">
        <v>1022</v>
      </c>
      <c r="I1372" s="5" t="n">
        <v>578</v>
      </c>
      <c r="J1372" s="5" t="n">
        <v>417</v>
      </c>
      <c r="K1372" s="10">
        <f>IF(F1372&gt;0,H1372/F1372,"")</f>
        <v/>
      </c>
      <c r="L1372" s="16">
        <f>IF(AND(G1372&gt;0,H1372&gt;0),G1372/H1372,"")</f>
        <v/>
      </c>
    </row>
    <row r="1373">
      <c r="A1373" s="4" t="inlineStr">
        <is>
          <t>704</t>
        </is>
      </c>
      <c r="B1373" s="4" t="n">
        <v>7</v>
      </c>
      <c r="C1373" s="4" t="inlineStr">
        <is>
          <t>antelope</t>
        </is>
      </c>
      <c r="D1373" s="4" t="n">
        <v>2007</v>
      </c>
      <c r="E1373" s="15" t="inlineStr">
        <is>
          <t>Draw</t>
        </is>
      </c>
      <c r="F1373" s="5" t="n">
        <v>1441</v>
      </c>
      <c r="G1373" s="5" t="n">
        <v>4990</v>
      </c>
      <c r="H1373" s="5" t="n">
        <v>1382</v>
      </c>
      <c r="I1373" s="5" t="n">
        <v>765</v>
      </c>
      <c r="J1373" s="5" t="n">
        <v>599</v>
      </c>
      <c r="K1373" s="10">
        <f>IF(F1373&gt;0,H1373/F1373,"")</f>
        <v/>
      </c>
      <c r="L1373" s="16">
        <f>IF(AND(G1373&gt;0,H1373&gt;0),G1373/H1373,"")</f>
        <v/>
      </c>
    </row>
    <row r="1374">
      <c r="A1374" s="4" t="inlineStr">
        <is>
          <t>704</t>
        </is>
      </c>
      <c r="B1374" s="4" t="n">
        <v>7</v>
      </c>
      <c r="C1374" s="4" t="inlineStr">
        <is>
          <t>antelope</t>
        </is>
      </c>
      <c r="D1374" s="4" t="n">
        <v>2008</v>
      </c>
      <c r="E1374" s="15" t="inlineStr">
        <is>
          <t>Draw</t>
        </is>
      </c>
      <c r="F1374" s="5" t="n">
        <v>1211</v>
      </c>
      <c r="G1374" s="5" t="n">
        <v>4399</v>
      </c>
      <c r="H1374" s="5" t="n">
        <v>934</v>
      </c>
      <c r="I1374" s="5" t="n">
        <v>578</v>
      </c>
      <c r="J1374" s="5" t="n">
        <v>340</v>
      </c>
      <c r="K1374" s="10">
        <f>IF(F1374&gt;0,H1374/F1374,"")</f>
        <v/>
      </c>
      <c r="L1374" s="16">
        <f>IF(AND(G1374&gt;0,H1374&gt;0),G1374/H1374,"")</f>
        <v/>
      </c>
    </row>
    <row r="1375">
      <c r="A1375" s="4" t="inlineStr">
        <is>
          <t>704</t>
        </is>
      </c>
      <c r="B1375" s="4" t="n">
        <v>7</v>
      </c>
      <c r="C1375" s="4" t="inlineStr">
        <is>
          <t>antelope</t>
        </is>
      </c>
      <c r="D1375" s="4" t="n">
        <v>2009</v>
      </c>
      <c r="E1375" s="15" t="inlineStr">
        <is>
          <t>Draw</t>
        </is>
      </c>
      <c r="F1375" s="5" t="n">
        <v>1272</v>
      </c>
      <c r="G1375" s="5" t="n">
        <v>4967</v>
      </c>
      <c r="H1375" s="5" t="n">
        <v>1036</v>
      </c>
      <c r="I1375" s="5" t="n">
        <v>607</v>
      </c>
      <c r="J1375" s="5" t="n">
        <v>415</v>
      </c>
      <c r="K1375" s="10">
        <f>IF(F1375&gt;0,H1375/F1375,"")</f>
        <v/>
      </c>
      <c r="L1375" s="16">
        <f>IF(AND(G1375&gt;0,H1375&gt;0),G1375/H1375,"")</f>
        <v/>
      </c>
    </row>
    <row r="1376">
      <c r="A1376" s="4" t="inlineStr">
        <is>
          <t>704</t>
        </is>
      </c>
      <c r="B1376" s="4" t="n">
        <v>7</v>
      </c>
      <c r="C1376" s="4" t="inlineStr">
        <is>
          <t>antelope</t>
        </is>
      </c>
      <c r="D1376" s="4" t="n">
        <v>2010</v>
      </c>
      <c r="E1376" s="15" t="inlineStr">
        <is>
          <t>Draw</t>
        </is>
      </c>
      <c r="F1376" s="5" t="n">
        <v>922</v>
      </c>
      <c r="G1376" s="5" t="n">
        <v>3320</v>
      </c>
      <c r="H1376" s="5" t="n">
        <v>558</v>
      </c>
      <c r="I1376" s="5" t="n">
        <v>406</v>
      </c>
      <c r="J1376" s="5" t="n">
        <v>144</v>
      </c>
      <c r="K1376" s="10">
        <f>IF(F1376&gt;0,H1376/F1376,"")</f>
        <v/>
      </c>
      <c r="L1376" s="16">
        <f>IF(AND(G1376&gt;0,H1376&gt;0),G1376/H1376,"")</f>
        <v/>
      </c>
    </row>
    <row r="1377">
      <c r="A1377" s="4" t="inlineStr">
        <is>
          <t>704</t>
        </is>
      </c>
      <c r="B1377" s="4" t="n">
        <v>7</v>
      </c>
      <c r="C1377" s="4" t="inlineStr">
        <is>
          <t>antelope</t>
        </is>
      </c>
      <c r="D1377" s="4" t="n">
        <v>2011</v>
      </c>
      <c r="E1377" s="15" t="inlineStr">
        <is>
          <t>Draw</t>
        </is>
      </c>
      <c r="F1377" s="5" t="n">
        <v>605</v>
      </c>
      <c r="G1377" s="5" t="n">
        <v>2186</v>
      </c>
      <c r="H1377" s="5" t="n">
        <v>344</v>
      </c>
      <c r="I1377" s="5" t="n">
        <v>304</v>
      </c>
      <c r="J1377" s="5" t="n">
        <v>40</v>
      </c>
      <c r="K1377" s="10">
        <f>IF(F1377&gt;0,H1377/F1377,"")</f>
        <v/>
      </c>
      <c r="L1377" s="16">
        <f>IF(AND(G1377&gt;0,H1377&gt;0),G1377/H1377,"")</f>
        <v/>
      </c>
    </row>
    <row r="1378">
      <c r="A1378" s="4" t="inlineStr">
        <is>
          <t>704</t>
        </is>
      </c>
      <c r="B1378" s="4" t="n">
        <v>7</v>
      </c>
      <c r="C1378" s="4" t="inlineStr">
        <is>
          <t>antelope</t>
        </is>
      </c>
      <c r="D1378" s="4" t="n">
        <v>2012</v>
      </c>
      <c r="E1378" s="15" t="inlineStr">
        <is>
          <t>Draw</t>
        </is>
      </c>
      <c r="F1378" s="5" t="n">
        <v>328</v>
      </c>
      <c r="G1378" s="5" t="n">
        <v>1114</v>
      </c>
      <c r="H1378" s="5" t="n">
        <v>222</v>
      </c>
      <c r="I1378" s="5" t="n">
        <v>190</v>
      </c>
      <c r="J1378" s="5" t="n">
        <v>32</v>
      </c>
      <c r="K1378" s="10">
        <f>IF(F1378&gt;0,H1378/F1378,"")</f>
        <v/>
      </c>
      <c r="L1378" s="16">
        <f>IF(AND(G1378&gt;0,H1378&gt;0),G1378/H1378,"")</f>
        <v/>
      </c>
    </row>
    <row r="1379">
      <c r="A1379" s="4" t="inlineStr">
        <is>
          <t>704</t>
        </is>
      </c>
      <c r="B1379" s="4" t="n">
        <v>7</v>
      </c>
      <c r="C1379" s="4" t="inlineStr">
        <is>
          <t>antelope</t>
        </is>
      </c>
      <c r="D1379" s="4" t="n">
        <v>2013</v>
      </c>
      <c r="E1379" s="15" t="inlineStr">
        <is>
          <t>Draw</t>
        </is>
      </c>
      <c r="F1379" s="5" t="n"/>
      <c r="G1379" s="5" t="n"/>
      <c r="H1379" s="5" t="n">
        <v>239</v>
      </c>
      <c r="I1379" s="5" t="n">
        <v>214</v>
      </c>
      <c r="J1379" s="5" t="n">
        <v>25</v>
      </c>
      <c r="K1379" s="10">
        <f>IF(F1379&gt;0,H1379/F1379,"")</f>
        <v/>
      </c>
      <c r="L1379" s="16">
        <f>IF(AND(G1379&gt;0,H1379&gt;0),G1379/H1379,"")</f>
        <v/>
      </c>
    </row>
    <row r="1380">
      <c r="A1380" s="4" t="inlineStr">
        <is>
          <t>704</t>
        </is>
      </c>
      <c r="B1380" s="4" t="n">
        <v>7</v>
      </c>
      <c r="C1380" s="4" t="inlineStr">
        <is>
          <t>antelope</t>
        </is>
      </c>
      <c r="D1380" s="4" t="n">
        <v>2014</v>
      </c>
      <c r="E1380" s="15" t="inlineStr">
        <is>
          <t>Draw</t>
        </is>
      </c>
      <c r="F1380" s="5" t="n">
        <v>439</v>
      </c>
      <c r="G1380" s="5" t="n">
        <v>1650</v>
      </c>
      <c r="H1380" s="5" t="n">
        <v>247</v>
      </c>
      <c r="I1380" s="5" t="n">
        <v>216</v>
      </c>
      <c r="J1380" s="5" t="n">
        <v>27</v>
      </c>
      <c r="K1380" s="10">
        <f>IF(F1380&gt;0,H1380/F1380,"")</f>
        <v/>
      </c>
      <c r="L1380" s="16">
        <f>IF(AND(G1380&gt;0,H1380&gt;0),G1380/H1380,"")</f>
        <v/>
      </c>
    </row>
    <row r="1381">
      <c r="A1381" s="4" t="inlineStr">
        <is>
          <t>704</t>
        </is>
      </c>
      <c r="B1381" s="4" t="n">
        <v>7</v>
      </c>
      <c r="C1381" s="4" t="inlineStr">
        <is>
          <t>antelope</t>
        </is>
      </c>
      <c r="D1381" s="4" t="n">
        <v>2015</v>
      </c>
      <c r="E1381" s="15" t="inlineStr">
        <is>
          <t>Draw</t>
        </is>
      </c>
      <c r="F1381" s="5" t="n">
        <v>558</v>
      </c>
      <c r="G1381" s="5" t="n">
        <v>1674</v>
      </c>
      <c r="H1381" s="5" t="n">
        <v>394</v>
      </c>
      <c r="I1381" s="5" t="n">
        <v>332</v>
      </c>
      <c r="J1381" s="5" t="n">
        <v>62</v>
      </c>
      <c r="K1381" s="10">
        <f>IF(F1381&gt;0,H1381/F1381,"")</f>
        <v/>
      </c>
      <c r="L1381" s="16">
        <f>IF(AND(G1381&gt;0,H1381&gt;0),G1381/H1381,"")</f>
        <v/>
      </c>
    </row>
    <row r="1382">
      <c r="A1382" s="4" t="inlineStr">
        <is>
          <t>704</t>
        </is>
      </c>
      <c r="B1382" s="4" t="n">
        <v>7</v>
      </c>
      <c r="C1382" s="4" t="inlineStr">
        <is>
          <t>antelope</t>
        </is>
      </c>
      <c r="D1382" s="4" t="n">
        <v>2016</v>
      </c>
      <c r="E1382" s="15" t="inlineStr">
        <is>
          <t>Draw</t>
        </is>
      </c>
      <c r="F1382" s="5" t="n"/>
      <c r="G1382" s="5" t="n"/>
      <c r="H1382" s="5" t="n">
        <v>695</v>
      </c>
      <c r="I1382" s="5" t="n">
        <v>543</v>
      </c>
      <c r="J1382" s="5" t="n">
        <v>150</v>
      </c>
      <c r="K1382" s="10">
        <f>IF(F1382&gt;0,H1382/F1382,"")</f>
        <v/>
      </c>
      <c r="L1382" s="16">
        <f>IF(AND(G1382&gt;0,H1382&gt;0),G1382/H1382,"")</f>
        <v/>
      </c>
    </row>
    <row r="1383">
      <c r="A1383" s="4" t="inlineStr">
        <is>
          <t>704</t>
        </is>
      </c>
      <c r="B1383" s="4" t="n">
        <v>7</v>
      </c>
      <c r="C1383" s="4" t="inlineStr">
        <is>
          <t>antelope</t>
        </is>
      </c>
      <c r="D1383" s="4" t="n">
        <v>2017</v>
      </c>
      <c r="E1383" s="15" t="inlineStr">
        <is>
          <t>Draw</t>
        </is>
      </c>
      <c r="F1383" s="5" t="n"/>
      <c r="G1383" s="5" t="n"/>
      <c r="H1383" s="5" t="n">
        <v>635</v>
      </c>
      <c r="I1383" s="5" t="n">
        <v>515</v>
      </c>
      <c r="J1383" s="5" t="n">
        <v>117</v>
      </c>
      <c r="K1383" s="10">
        <f>IF(F1383&gt;0,H1383/F1383,"")</f>
        <v/>
      </c>
      <c r="L1383" s="16">
        <f>IF(AND(G1383&gt;0,H1383&gt;0),G1383/H1383,"")</f>
        <v/>
      </c>
    </row>
    <row r="1384">
      <c r="A1384" s="4" t="inlineStr">
        <is>
          <t>704</t>
        </is>
      </c>
      <c r="B1384" s="4" t="n">
        <v>7</v>
      </c>
      <c r="C1384" s="4" t="inlineStr">
        <is>
          <t>antelope</t>
        </is>
      </c>
      <c r="D1384" s="4" t="n">
        <v>2018</v>
      </c>
      <c r="E1384" s="15" t="inlineStr">
        <is>
          <t>Draw</t>
        </is>
      </c>
      <c r="F1384" s="5" t="n">
        <v>953</v>
      </c>
      <c r="G1384" s="5" t="n">
        <v>3531</v>
      </c>
      <c r="H1384" s="5" t="n">
        <v>681</v>
      </c>
      <c r="I1384" s="5" t="n">
        <v>570</v>
      </c>
      <c r="J1384" s="5" t="n">
        <v>110</v>
      </c>
      <c r="K1384" s="10">
        <f>IF(F1384&gt;0,H1384/F1384,"")</f>
        <v/>
      </c>
      <c r="L1384" s="16">
        <f>IF(AND(G1384&gt;0,H1384&gt;0),G1384/H1384,"")</f>
        <v/>
      </c>
    </row>
    <row r="1385">
      <c r="A1385" s="4" t="inlineStr">
        <is>
          <t>704</t>
        </is>
      </c>
      <c r="B1385" s="4" t="n">
        <v>7</v>
      </c>
      <c r="C1385" s="4" t="inlineStr">
        <is>
          <t>antelope</t>
        </is>
      </c>
      <c r="D1385" s="4" t="n">
        <v>2019</v>
      </c>
      <c r="E1385" s="15" t="inlineStr">
        <is>
          <t>Draw</t>
        </is>
      </c>
      <c r="F1385" s="5" t="n"/>
      <c r="G1385" s="5" t="n"/>
      <c r="H1385" s="5" t="n">
        <v>692</v>
      </c>
      <c r="I1385" s="5" t="n">
        <v>579</v>
      </c>
      <c r="J1385" s="5" t="n">
        <v>113</v>
      </c>
      <c r="K1385" s="10">
        <f>IF(F1385&gt;0,H1385/F1385,"")</f>
        <v/>
      </c>
      <c r="L1385" s="16">
        <f>IF(AND(G1385&gt;0,H1385&gt;0),G1385/H1385,"")</f>
        <v/>
      </c>
    </row>
    <row r="1386">
      <c r="A1386" s="4" t="inlineStr">
        <is>
          <t>704</t>
        </is>
      </c>
      <c r="B1386" s="4" t="n">
        <v>7</v>
      </c>
      <c r="C1386" s="4" t="inlineStr">
        <is>
          <t>antelope</t>
        </is>
      </c>
      <c r="D1386" s="4" t="n">
        <v>2020</v>
      </c>
      <c r="E1386" s="15" t="inlineStr">
        <is>
          <t>Draw</t>
        </is>
      </c>
      <c r="F1386" s="5" t="n">
        <v>1214</v>
      </c>
      <c r="G1386" s="5" t="n">
        <v>4149</v>
      </c>
      <c r="H1386" s="5" t="n">
        <v>1374</v>
      </c>
      <c r="I1386" s="5" t="n">
        <v>686</v>
      </c>
      <c r="J1386" s="5" t="n">
        <v>639</v>
      </c>
      <c r="K1386" s="10">
        <f>IF(F1386&gt;0,H1386/F1386,"")</f>
        <v/>
      </c>
      <c r="L1386" s="16">
        <f>IF(AND(G1386&gt;0,H1386&gt;0),G1386/H1386,"")</f>
        <v/>
      </c>
    </row>
    <row r="1387">
      <c r="A1387" s="4" t="inlineStr">
        <is>
          <t>704</t>
        </is>
      </c>
      <c r="B1387" s="4" t="n">
        <v>7</v>
      </c>
      <c r="C1387" s="4" t="inlineStr">
        <is>
          <t>antelope</t>
        </is>
      </c>
      <c r="D1387" s="4" t="n">
        <v>2021</v>
      </c>
      <c r="E1387" s="15" t="inlineStr">
        <is>
          <t>Draw</t>
        </is>
      </c>
      <c r="F1387" s="5" t="n"/>
      <c r="G1387" s="5" t="n"/>
      <c r="H1387" s="5" t="n">
        <v>687</v>
      </c>
      <c r="I1387" s="5" t="n">
        <v>456</v>
      </c>
      <c r="J1387" s="5" t="n">
        <v>227</v>
      </c>
      <c r="K1387" s="10">
        <f>IF(F1387&gt;0,H1387/F1387,"")</f>
        <v/>
      </c>
      <c r="L1387" s="16">
        <f>IF(AND(G1387&gt;0,H1387&gt;0),G1387/H1387,"")</f>
        <v/>
      </c>
    </row>
    <row r="1388">
      <c r="A1388" s="4" t="inlineStr">
        <is>
          <t>704</t>
        </is>
      </c>
      <c r="B1388" s="4" t="n">
        <v>7</v>
      </c>
      <c r="C1388" s="4" t="inlineStr">
        <is>
          <t>antelope</t>
        </is>
      </c>
      <c r="D1388" s="4" t="n">
        <v>2022</v>
      </c>
      <c r="E1388" s="15" t="inlineStr">
        <is>
          <t>Draw</t>
        </is>
      </c>
      <c r="F1388" s="5" t="n">
        <v>987</v>
      </c>
      <c r="G1388" s="5" t="n">
        <v>3791</v>
      </c>
      <c r="H1388" s="5" t="n">
        <v>753</v>
      </c>
      <c r="I1388" s="5" t="n">
        <v>528</v>
      </c>
      <c r="J1388" s="5" t="n">
        <v>224</v>
      </c>
      <c r="K1388" s="10">
        <f>IF(F1388&gt;0,H1388/F1388,"")</f>
        <v/>
      </c>
      <c r="L1388" s="16">
        <f>IF(AND(G1388&gt;0,H1388&gt;0),G1388/H1388,"")</f>
        <v/>
      </c>
    </row>
    <row r="1389">
      <c r="A1389" s="4" t="inlineStr">
        <is>
          <t>704</t>
        </is>
      </c>
      <c r="B1389" s="4" t="n">
        <v>7</v>
      </c>
      <c r="C1389" s="4" t="inlineStr">
        <is>
          <t>antelope</t>
        </is>
      </c>
      <c r="D1389" s="4" t="n">
        <v>2023</v>
      </c>
      <c r="E1389" s="15" t="inlineStr">
        <is>
          <t>Draw</t>
        </is>
      </c>
      <c r="F1389" s="5" t="n"/>
      <c r="G1389" s="5" t="n"/>
      <c r="H1389" s="5" t="n">
        <v>879</v>
      </c>
      <c r="I1389" s="5" t="n">
        <v>618</v>
      </c>
      <c r="J1389" s="5" t="n">
        <v>258</v>
      </c>
      <c r="K1389" s="10">
        <f>IF(F1389&gt;0,H1389/F1389,"")</f>
        <v/>
      </c>
      <c r="L1389" s="16">
        <f>IF(AND(G1389&gt;0,H1389&gt;0),G1389/H1389,"")</f>
        <v/>
      </c>
    </row>
    <row r="1390">
      <c r="A1390" s="4" t="inlineStr">
        <is>
          <t>704</t>
        </is>
      </c>
      <c r="B1390" s="4" t="n">
        <v>7</v>
      </c>
      <c r="C1390" s="4" t="inlineStr">
        <is>
          <t>antelope</t>
        </is>
      </c>
      <c r="D1390" s="4" t="n">
        <v>2024</v>
      </c>
      <c r="E1390" s="15" t="inlineStr">
        <is>
          <t>Draw</t>
        </is>
      </c>
      <c r="F1390" s="5" t="n">
        <v>1015</v>
      </c>
      <c r="G1390" s="5" t="n">
        <v>3779</v>
      </c>
      <c r="H1390" s="5" t="n">
        <v>668</v>
      </c>
      <c r="I1390" s="5" t="n">
        <v>507</v>
      </c>
      <c r="J1390" s="5" t="n">
        <v>159</v>
      </c>
      <c r="K1390" s="10">
        <f>IF(F1390&gt;0,H1390/F1390,"")</f>
        <v/>
      </c>
      <c r="L1390" s="16">
        <f>IF(AND(G1390&gt;0,H1390&gt;0),G1390/H1390,"")</f>
        <v/>
      </c>
    </row>
    <row r="1391">
      <c r="A1391" s="4" t="inlineStr">
        <is>
          <t>704</t>
        </is>
      </c>
      <c r="B1391" s="4" t="n">
        <v>7</v>
      </c>
      <c r="C1391" s="4" t="inlineStr">
        <is>
          <t>antelope</t>
        </is>
      </c>
      <c r="D1391" s="4" t="n">
        <v>2025</v>
      </c>
      <c r="E1391" s="15" t="inlineStr">
        <is>
          <t>Draw</t>
        </is>
      </c>
      <c r="F1391" s="5" t="n"/>
      <c r="G1391" s="5" t="n"/>
      <c r="H1391" s="5" t="n">
        <v>708</v>
      </c>
      <c r="I1391" s="5" t="n">
        <v>538</v>
      </c>
      <c r="J1391" s="5" t="n">
        <v>163</v>
      </c>
      <c r="K1391" s="10">
        <f>IF(F1391&gt;0,H1391/F1391,"")</f>
        <v/>
      </c>
      <c r="L1391" s="16">
        <f>IF(AND(G1391&gt;0,H1391&gt;0),G1391/H1391,"")</f>
        <v/>
      </c>
    </row>
    <row r="1392">
      <c r="A1392" s="4" t="inlineStr">
        <is>
          <t>705</t>
        </is>
      </c>
      <c r="B1392" s="4" t="n">
        <v>7</v>
      </c>
      <c r="C1392" s="4" t="inlineStr">
        <is>
          <t>antelope</t>
        </is>
      </c>
      <c r="D1392" s="4" t="n">
        <v>2004</v>
      </c>
      <c r="E1392" s="15" t="inlineStr">
        <is>
          <t>Draw</t>
        </is>
      </c>
      <c r="F1392" s="5" t="n">
        <v>1959</v>
      </c>
      <c r="G1392" s="5" t="n">
        <v>6090</v>
      </c>
      <c r="H1392" s="5" t="n">
        <v>2175</v>
      </c>
      <c r="I1392" s="5" t="n">
        <v>1075</v>
      </c>
      <c r="J1392" s="5" t="n">
        <v>943</v>
      </c>
      <c r="K1392" s="10">
        <f>IF(F1392&gt;0,H1392/F1392,"")</f>
        <v/>
      </c>
      <c r="L1392" s="16">
        <f>IF(AND(G1392&gt;0,H1392&gt;0),G1392/H1392,"")</f>
        <v/>
      </c>
    </row>
    <row r="1393">
      <c r="A1393" s="4" t="inlineStr">
        <is>
          <t>705</t>
        </is>
      </c>
      <c r="B1393" s="4" t="n">
        <v>7</v>
      </c>
      <c r="C1393" s="4" t="inlineStr">
        <is>
          <t>antelope</t>
        </is>
      </c>
      <c r="D1393" s="4" t="n">
        <v>2005</v>
      </c>
      <c r="E1393" s="15" t="inlineStr">
        <is>
          <t>Draw</t>
        </is>
      </c>
      <c r="F1393" s="5" t="n">
        <v>1525</v>
      </c>
      <c r="G1393" s="5" t="n">
        <v>5214</v>
      </c>
      <c r="H1393" s="5" t="n">
        <v>1736</v>
      </c>
      <c r="I1393" s="5" t="n">
        <v>809</v>
      </c>
      <c r="J1393" s="5" t="n">
        <v>834</v>
      </c>
      <c r="K1393" s="10">
        <f>IF(F1393&gt;0,H1393/F1393,"")</f>
        <v/>
      </c>
      <c r="L1393" s="16">
        <f>IF(AND(G1393&gt;0,H1393&gt;0),G1393/H1393,"")</f>
        <v/>
      </c>
    </row>
    <row r="1394">
      <c r="A1394" s="4" t="inlineStr">
        <is>
          <t>705</t>
        </is>
      </c>
      <c r="B1394" s="4" t="n">
        <v>7</v>
      </c>
      <c r="C1394" s="4" t="inlineStr">
        <is>
          <t>antelope</t>
        </is>
      </c>
      <c r="D1394" s="4" t="n">
        <v>2006</v>
      </c>
      <c r="E1394" s="15" t="inlineStr">
        <is>
          <t>Draw</t>
        </is>
      </c>
      <c r="F1394" s="5" t="n">
        <v>1786</v>
      </c>
      <c r="G1394" s="5" t="n">
        <v>6544</v>
      </c>
      <c r="H1394" s="5" t="n">
        <v>2592</v>
      </c>
      <c r="I1394" s="5" t="n">
        <v>1252</v>
      </c>
      <c r="J1394" s="5" t="n">
        <v>1199</v>
      </c>
      <c r="K1394" s="10">
        <f>IF(F1394&gt;0,H1394/F1394,"")</f>
        <v/>
      </c>
      <c r="L1394" s="16">
        <f>IF(AND(G1394&gt;0,H1394&gt;0),G1394/H1394,"")</f>
        <v/>
      </c>
    </row>
    <row r="1395">
      <c r="A1395" s="4" t="inlineStr">
        <is>
          <t>705</t>
        </is>
      </c>
      <c r="B1395" s="4" t="n">
        <v>7</v>
      </c>
      <c r="C1395" s="4" t="inlineStr">
        <is>
          <t>antelope</t>
        </is>
      </c>
      <c r="D1395" s="4" t="n">
        <v>2007</v>
      </c>
      <c r="E1395" s="15" t="inlineStr">
        <is>
          <t>Draw</t>
        </is>
      </c>
      <c r="F1395" s="5" t="n">
        <v>2474</v>
      </c>
      <c r="G1395" s="5" t="n">
        <v>8556</v>
      </c>
      <c r="H1395" s="5" t="n">
        <v>2950</v>
      </c>
      <c r="I1395" s="5" t="n">
        <v>1496</v>
      </c>
      <c r="J1395" s="5" t="n">
        <v>1391</v>
      </c>
      <c r="K1395" s="10">
        <f>IF(F1395&gt;0,H1395/F1395,"")</f>
        <v/>
      </c>
      <c r="L1395" s="16">
        <f>IF(AND(G1395&gt;0,H1395&gt;0),G1395/H1395,"")</f>
        <v/>
      </c>
    </row>
    <row r="1396">
      <c r="A1396" s="4" t="inlineStr">
        <is>
          <t>705</t>
        </is>
      </c>
      <c r="B1396" s="4" t="n">
        <v>7</v>
      </c>
      <c r="C1396" s="4" t="inlineStr">
        <is>
          <t>antelope</t>
        </is>
      </c>
      <c r="D1396" s="4" t="n">
        <v>2008</v>
      </c>
      <c r="E1396" s="15" t="inlineStr">
        <is>
          <t>Draw</t>
        </is>
      </c>
      <c r="F1396" s="5" t="n">
        <v>2148</v>
      </c>
      <c r="G1396" s="5" t="n">
        <v>7789</v>
      </c>
      <c r="H1396" s="5" t="n">
        <v>2195</v>
      </c>
      <c r="I1396" s="5" t="n">
        <v>1115</v>
      </c>
      <c r="J1396" s="5" t="n">
        <v>1006</v>
      </c>
      <c r="K1396" s="10">
        <f>IF(F1396&gt;0,H1396/F1396,"")</f>
        <v/>
      </c>
      <c r="L1396" s="16">
        <f>IF(AND(G1396&gt;0,H1396&gt;0),G1396/H1396,"")</f>
        <v/>
      </c>
    </row>
    <row r="1397">
      <c r="A1397" s="4" t="inlineStr">
        <is>
          <t>705</t>
        </is>
      </c>
      <c r="B1397" s="4" t="n">
        <v>7</v>
      </c>
      <c r="C1397" s="4" t="inlineStr">
        <is>
          <t>antelope</t>
        </is>
      </c>
      <c r="D1397" s="4" t="n">
        <v>2009</v>
      </c>
      <c r="E1397" s="15" t="inlineStr">
        <is>
          <t>Draw</t>
        </is>
      </c>
      <c r="F1397" s="5" t="n">
        <v>2093</v>
      </c>
      <c r="G1397" s="5" t="n">
        <v>7947</v>
      </c>
      <c r="H1397" s="5" t="n">
        <v>1896</v>
      </c>
      <c r="I1397" s="5" t="n">
        <v>948</v>
      </c>
      <c r="J1397" s="5" t="n">
        <v>892</v>
      </c>
      <c r="K1397" s="10">
        <f>IF(F1397&gt;0,H1397/F1397,"")</f>
        <v/>
      </c>
      <c r="L1397" s="16">
        <f>IF(AND(G1397&gt;0,H1397&gt;0),G1397/H1397,"")</f>
        <v/>
      </c>
    </row>
    <row r="1398">
      <c r="A1398" s="4" t="inlineStr">
        <is>
          <t>705</t>
        </is>
      </c>
      <c r="B1398" s="4" t="n">
        <v>7</v>
      </c>
      <c r="C1398" s="4" t="inlineStr">
        <is>
          <t>antelope</t>
        </is>
      </c>
      <c r="D1398" s="4" t="n">
        <v>2010</v>
      </c>
      <c r="E1398" s="15" t="inlineStr">
        <is>
          <t>Draw</t>
        </is>
      </c>
      <c r="F1398" s="5" t="n">
        <v>1293</v>
      </c>
      <c r="G1398" s="5" t="n">
        <v>4733</v>
      </c>
      <c r="H1398" s="5" t="n">
        <v>965</v>
      </c>
      <c r="I1398" s="5" t="n">
        <v>749</v>
      </c>
      <c r="J1398" s="5" t="n">
        <v>206</v>
      </c>
      <c r="K1398" s="10">
        <f>IF(F1398&gt;0,H1398/F1398,"")</f>
        <v/>
      </c>
      <c r="L1398" s="16">
        <f>IF(AND(G1398&gt;0,H1398&gt;0),G1398/H1398,"")</f>
        <v/>
      </c>
    </row>
    <row r="1399">
      <c r="A1399" s="4" t="inlineStr">
        <is>
          <t>705</t>
        </is>
      </c>
      <c r="B1399" s="4" t="n">
        <v>7</v>
      </c>
      <c r="C1399" s="4" t="inlineStr">
        <is>
          <t>antelope</t>
        </is>
      </c>
      <c r="D1399" s="4" t="n">
        <v>2011</v>
      </c>
      <c r="E1399" s="15" t="inlineStr">
        <is>
          <t>Draw</t>
        </is>
      </c>
      <c r="F1399" s="5" t="n">
        <v>806</v>
      </c>
      <c r="G1399" s="5" t="n">
        <v>2678</v>
      </c>
      <c r="H1399" s="5" t="n">
        <v>571</v>
      </c>
      <c r="I1399" s="5" t="n">
        <v>477</v>
      </c>
      <c r="J1399" s="5" t="n">
        <v>91</v>
      </c>
      <c r="K1399" s="10">
        <f>IF(F1399&gt;0,H1399/F1399,"")</f>
        <v/>
      </c>
      <c r="L1399" s="16">
        <f>IF(AND(G1399&gt;0,H1399&gt;0),G1399/H1399,"")</f>
        <v/>
      </c>
    </row>
    <row r="1400">
      <c r="A1400" s="4" t="inlineStr">
        <is>
          <t>705</t>
        </is>
      </c>
      <c r="B1400" s="4" t="n">
        <v>7</v>
      </c>
      <c r="C1400" s="4" t="inlineStr">
        <is>
          <t>antelope</t>
        </is>
      </c>
      <c r="D1400" s="4" t="n">
        <v>2012</v>
      </c>
      <c r="E1400" s="15" t="inlineStr">
        <is>
          <t>Draw</t>
        </is>
      </c>
      <c r="F1400" s="5" t="n">
        <v>550</v>
      </c>
      <c r="G1400" s="5" t="n">
        <v>2019</v>
      </c>
      <c r="H1400" s="5" t="n">
        <v>361</v>
      </c>
      <c r="I1400" s="5" t="n">
        <v>315</v>
      </c>
      <c r="J1400" s="5" t="n">
        <v>46</v>
      </c>
      <c r="K1400" s="10">
        <f>IF(F1400&gt;0,H1400/F1400,"")</f>
        <v/>
      </c>
      <c r="L1400" s="16">
        <f>IF(AND(G1400&gt;0,H1400&gt;0),G1400/H1400,"")</f>
        <v/>
      </c>
    </row>
    <row r="1401">
      <c r="A1401" s="4" t="inlineStr">
        <is>
          <t>705</t>
        </is>
      </c>
      <c r="B1401" s="4" t="n">
        <v>7</v>
      </c>
      <c r="C1401" s="4" t="inlineStr">
        <is>
          <t>antelope</t>
        </is>
      </c>
      <c r="D1401" s="4" t="n">
        <v>2013</v>
      </c>
      <c r="E1401" s="15" t="inlineStr">
        <is>
          <t>Draw</t>
        </is>
      </c>
      <c r="F1401" s="5" t="n"/>
      <c r="G1401" s="5" t="n"/>
      <c r="H1401" s="5" t="n">
        <v>333</v>
      </c>
      <c r="I1401" s="5" t="n">
        <v>304</v>
      </c>
      <c r="J1401" s="5" t="n">
        <v>29</v>
      </c>
      <c r="K1401" s="10">
        <f>IF(F1401&gt;0,H1401/F1401,"")</f>
        <v/>
      </c>
      <c r="L1401" s="16">
        <f>IF(AND(G1401&gt;0,H1401&gt;0),G1401/H1401,"")</f>
        <v/>
      </c>
    </row>
    <row r="1402">
      <c r="A1402" s="4" t="inlineStr">
        <is>
          <t>705</t>
        </is>
      </c>
      <c r="B1402" s="4" t="n">
        <v>7</v>
      </c>
      <c r="C1402" s="4" t="inlineStr">
        <is>
          <t>antelope</t>
        </is>
      </c>
      <c r="D1402" s="4" t="n">
        <v>2014</v>
      </c>
      <c r="E1402" s="15" t="inlineStr">
        <is>
          <t>Draw</t>
        </is>
      </c>
      <c r="F1402" s="5" t="n">
        <v>515</v>
      </c>
      <c r="G1402" s="5" t="n">
        <v>1709</v>
      </c>
      <c r="H1402" s="5" t="n">
        <v>362</v>
      </c>
      <c r="I1402" s="5" t="n">
        <v>324</v>
      </c>
      <c r="J1402" s="5" t="n">
        <v>29</v>
      </c>
      <c r="K1402" s="10">
        <f>IF(F1402&gt;0,H1402/F1402,"")</f>
        <v/>
      </c>
      <c r="L1402" s="16">
        <f>IF(AND(G1402&gt;0,H1402&gt;0),G1402/H1402,"")</f>
        <v/>
      </c>
    </row>
    <row r="1403">
      <c r="A1403" s="4" t="inlineStr">
        <is>
          <t>705</t>
        </is>
      </c>
      <c r="B1403" s="4" t="n">
        <v>7</v>
      </c>
      <c r="C1403" s="4" t="inlineStr">
        <is>
          <t>antelope</t>
        </is>
      </c>
      <c r="D1403" s="4" t="n">
        <v>2015</v>
      </c>
      <c r="E1403" s="15" t="inlineStr">
        <is>
          <t>Draw</t>
        </is>
      </c>
      <c r="F1403" s="5" t="n">
        <v>811</v>
      </c>
      <c r="G1403" s="5" t="n">
        <v>2673</v>
      </c>
      <c r="H1403" s="5" t="n">
        <v>612</v>
      </c>
      <c r="I1403" s="5" t="n">
        <v>546</v>
      </c>
      <c r="J1403" s="5" t="n">
        <v>65</v>
      </c>
      <c r="K1403" s="10">
        <f>IF(F1403&gt;0,H1403/F1403,"")</f>
        <v/>
      </c>
      <c r="L1403" s="16">
        <f>IF(AND(G1403&gt;0,H1403&gt;0),G1403/H1403,"")</f>
        <v/>
      </c>
    </row>
    <row r="1404">
      <c r="A1404" s="4" t="inlineStr">
        <is>
          <t>705</t>
        </is>
      </c>
      <c r="B1404" s="4" t="n">
        <v>7</v>
      </c>
      <c r="C1404" s="4" t="inlineStr">
        <is>
          <t>antelope</t>
        </is>
      </c>
      <c r="D1404" s="4" t="n">
        <v>2016</v>
      </c>
      <c r="E1404" s="15" t="inlineStr">
        <is>
          <t>Draw</t>
        </is>
      </c>
      <c r="F1404" s="5" t="n"/>
      <c r="G1404" s="5" t="n"/>
      <c r="H1404" s="5" t="n">
        <v>1112</v>
      </c>
      <c r="I1404" s="5" t="n">
        <v>908</v>
      </c>
      <c r="J1404" s="5" t="n">
        <v>194</v>
      </c>
      <c r="K1404" s="10">
        <f>IF(F1404&gt;0,H1404/F1404,"")</f>
        <v/>
      </c>
      <c r="L1404" s="16">
        <f>IF(AND(G1404&gt;0,H1404&gt;0),G1404/H1404,"")</f>
        <v/>
      </c>
    </row>
    <row r="1405">
      <c r="A1405" s="4" t="inlineStr">
        <is>
          <t>705</t>
        </is>
      </c>
      <c r="B1405" s="4" t="n">
        <v>7</v>
      </c>
      <c r="C1405" s="4" t="inlineStr">
        <is>
          <t>antelope</t>
        </is>
      </c>
      <c r="D1405" s="4" t="n">
        <v>2017</v>
      </c>
      <c r="E1405" s="15" t="inlineStr">
        <is>
          <t>Draw</t>
        </is>
      </c>
      <c r="F1405" s="5" t="n"/>
      <c r="G1405" s="5" t="n"/>
      <c r="H1405" s="5" t="n">
        <v>1239</v>
      </c>
      <c r="I1405" s="5" t="n">
        <v>1008</v>
      </c>
      <c r="J1405" s="5" t="n">
        <v>229</v>
      </c>
      <c r="K1405" s="10">
        <f>IF(F1405&gt;0,H1405/F1405,"")</f>
        <v/>
      </c>
      <c r="L1405" s="16">
        <f>IF(AND(G1405&gt;0,H1405&gt;0),G1405/H1405,"")</f>
        <v/>
      </c>
    </row>
    <row r="1406">
      <c r="A1406" s="4" t="inlineStr">
        <is>
          <t>705</t>
        </is>
      </c>
      <c r="B1406" s="4" t="n">
        <v>7</v>
      </c>
      <c r="C1406" s="4" t="inlineStr">
        <is>
          <t>antelope</t>
        </is>
      </c>
      <c r="D1406" s="4" t="n">
        <v>2018</v>
      </c>
      <c r="E1406" s="15" t="inlineStr">
        <is>
          <t>Draw</t>
        </is>
      </c>
      <c r="F1406" s="5" t="n">
        <v>1745</v>
      </c>
      <c r="G1406" s="5" t="n">
        <v>6433</v>
      </c>
      <c r="H1406" s="5" t="n">
        <v>1293</v>
      </c>
      <c r="I1406" s="5" t="n">
        <v>1087</v>
      </c>
      <c r="J1406" s="5" t="n">
        <v>200</v>
      </c>
      <c r="K1406" s="10">
        <f>IF(F1406&gt;0,H1406/F1406,"")</f>
        <v/>
      </c>
      <c r="L1406" s="16">
        <f>IF(AND(G1406&gt;0,H1406&gt;0),G1406/H1406,"")</f>
        <v/>
      </c>
    </row>
    <row r="1407">
      <c r="A1407" s="4" t="inlineStr">
        <is>
          <t>705</t>
        </is>
      </c>
      <c r="B1407" s="4" t="n">
        <v>7</v>
      </c>
      <c r="C1407" s="4" t="inlineStr">
        <is>
          <t>antelope</t>
        </is>
      </c>
      <c r="D1407" s="4" t="n">
        <v>2019</v>
      </c>
      <c r="E1407" s="15" t="inlineStr">
        <is>
          <t>Draw</t>
        </is>
      </c>
      <c r="F1407" s="5" t="n"/>
      <c r="G1407" s="5" t="n"/>
      <c r="H1407" s="5" t="n">
        <v>1255</v>
      </c>
      <c r="I1407" s="5" t="n">
        <v>1009</v>
      </c>
      <c r="J1407" s="5" t="n">
        <v>227</v>
      </c>
      <c r="K1407" s="10">
        <f>IF(F1407&gt;0,H1407/F1407,"")</f>
        <v/>
      </c>
      <c r="L1407" s="16">
        <f>IF(AND(G1407&gt;0,H1407&gt;0),G1407/H1407,"")</f>
        <v/>
      </c>
    </row>
    <row r="1408">
      <c r="A1408" s="4" t="inlineStr">
        <is>
          <t>705</t>
        </is>
      </c>
      <c r="B1408" s="4" t="n">
        <v>7</v>
      </c>
      <c r="C1408" s="4" t="inlineStr">
        <is>
          <t>antelope</t>
        </is>
      </c>
      <c r="D1408" s="4" t="n">
        <v>2020</v>
      </c>
      <c r="E1408" s="15" t="inlineStr">
        <is>
          <t>Draw</t>
        </is>
      </c>
      <c r="F1408" s="5" t="n">
        <v>2007</v>
      </c>
      <c r="G1408" s="5" t="n">
        <v>6829</v>
      </c>
      <c r="H1408" s="5" t="n">
        <v>2237</v>
      </c>
      <c r="I1408" s="5" t="n">
        <v>1229</v>
      </c>
      <c r="J1408" s="5" t="n">
        <v>901</v>
      </c>
      <c r="K1408" s="10">
        <f>IF(F1408&gt;0,H1408/F1408,"")</f>
        <v/>
      </c>
      <c r="L1408" s="16">
        <f>IF(AND(G1408&gt;0,H1408&gt;0),G1408/H1408,"")</f>
        <v/>
      </c>
    </row>
    <row r="1409">
      <c r="A1409" s="4" t="inlineStr">
        <is>
          <t>705</t>
        </is>
      </c>
      <c r="B1409" s="4" t="n">
        <v>7</v>
      </c>
      <c r="C1409" s="4" t="inlineStr">
        <is>
          <t>antelope</t>
        </is>
      </c>
      <c r="D1409" s="4" t="n">
        <v>2021</v>
      </c>
      <c r="E1409" s="15" t="inlineStr">
        <is>
          <t>Draw</t>
        </is>
      </c>
      <c r="F1409" s="5" t="n"/>
      <c r="G1409" s="5" t="n"/>
      <c r="H1409" s="5" t="n">
        <v>1135</v>
      </c>
      <c r="I1409" s="5" t="n">
        <v>827</v>
      </c>
      <c r="J1409" s="5" t="n">
        <v>300</v>
      </c>
      <c r="K1409" s="10">
        <f>IF(F1409&gt;0,H1409/F1409,"")</f>
        <v/>
      </c>
      <c r="L1409" s="16">
        <f>IF(AND(G1409&gt;0,H1409&gt;0),G1409/H1409,"")</f>
        <v/>
      </c>
    </row>
    <row r="1410">
      <c r="A1410" s="4" t="inlineStr">
        <is>
          <t>705</t>
        </is>
      </c>
      <c r="B1410" s="4" t="n">
        <v>7</v>
      </c>
      <c r="C1410" s="4" t="inlineStr">
        <is>
          <t>antelope</t>
        </is>
      </c>
      <c r="D1410" s="4" t="n">
        <v>2022</v>
      </c>
      <c r="E1410" s="15" t="inlineStr">
        <is>
          <t>Draw</t>
        </is>
      </c>
      <c r="F1410" s="5" t="n">
        <v>1440</v>
      </c>
      <c r="G1410" s="5" t="n">
        <v>6663</v>
      </c>
      <c r="H1410" s="5" t="n">
        <v>1255</v>
      </c>
      <c r="I1410" s="5" t="n">
        <v>950</v>
      </c>
      <c r="J1410" s="5" t="n">
        <v>294</v>
      </c>
      <c r="K1410" s="10">
        <f>IF(F1410&gt;0,H1410/F1410,"")</f>
        <v/>
      </c>
      <c r="L1410" s="16">
        <f>IF(AND(G1410&gt;0,H1410&gt;0),G1410/H1410,"")</f>
        <v/>
      </c>
    </row>
    <row r="1411">
      <c r="A1411" s="4" t="inlineStr">
        <is>
          <t>705</t>
        </is>
      </c>
      <c r="B1411" s="4" t="n">
        <v>7</v>
      </c>
      <c r="C1411" s="4" t="inlineStr">
        <is>
          <t>antelope</t>
        </is>
      </c>
      <c r="D1411" s="4" t="n">
        <v>2023</v>
      </c>
      <c r="E1411" s="15" t="inlineStr">
        <is>
          <t>Draw</t>
        </is>
      </c>
      <c r="F1411" s="5" t="n"/>
      <c r="G1411" s="5" t="n"/>
      <c r="H1411" s="5" t="n">
        <v>1337</v>
      </c>
      <c r="I1411" s="5" t="n">
        <v>1001</v>
      </c>
      <c r="J1411" s="5" t="n">
        <v>321</v>
      </c>
      <c r="K1411" s="10">
        <f>IF(F1411&gt;0,H1411/F1411,"")</f>
        <v/>
      </c>
      <c r="L1411" s="16">
        <f>IF(AND(G1411&gt;0,H1411&gt;0),G1411/H1411,"")</f>
        <v/>
      </c>
    </row>
    <row r="1412">
      <c r="A1412" s="4" t="inlineStr">
        <is>
          <t>705</t>
        </is>
      </c>
      <c r="B1412" s="4" t="n">
        <v>7</v>
      </c>
      <c r="C1412" s="4" t="inlineStr">
        <is>
          <t>antelope</t>
        </is>
      </c>
      <c r="D1412" s="4" t="n">
        <v>2024</v>
      </c>
      <c r="E1412" s="15" t="inlineStr">
        <is>
          <t>Draw</t>
        </is>
      </c>
      <c r="F1412" s="5" t="n">
        <v>1714</v>
      </c>
      <c r="G1412" s="5" t="n">
        <v>6345</v>
      </c>
      <c r="H1412" s="5" t="n">
        <v>1594</v>
      </c>
      <c r="I1412" s="5" t="n">
        <v>1044</v>
      </c>
      <c r="J1412" s="5" t="n">
        <v>536</v>
      </c>
      <c r="K1412" s="10">
        <f>IF(F1412&gt;0,H1412/F1412,"")</f>
        <v/>
      </c>
      <c r="L1412" s="16">
        <f>IF(AND(G1412&gt;0,H1412&gt;0),G1412/H1412,"")</f>
        <v/>
      </c>
    </row>
    <row r="1413">
      <c r="A1413" s="4" t="inlineStr">
        <is>
          <t>705</t>
        </is>
      </c>
      <c r="B1413" s="4" t="n">
        <v>7</v>
      </c>
      <c r="C1413" s="4" t="inlineStr">
        <is>
          <t>antelope</t>
        </is>
      </c>
      <c r="D1413" s="4" t="n">
        <v>2025</v>
      </c>
      <c r="E1413" s="15" t="inlineStr">
        <is>
          <t>Draw</t>
        </is>
      </c>
      <c r="F1413" s="5" t="n"/>
      <c r="G1413" s="5" t="n"/>
      <c r="H1413" s="5" t="n">
        <v>2091</v>
      </c>
      <c r="I1413" s="5" t="n">
        <v>1224</v>
      </c>
      <c r="J1413" s="5" t="n">
        <v>842</v>
      </c>
      <c r="K1413" s="10">
        <f>IF(F1413&gt;0,H1413/F1413,"")</f>
        <v/>
      </c>
      <c r="L1413" s="16">
        <f>IF(AND(G1413&gt;0,H1413&gt;0),G1413/H1413,"")</f>
        <v/>
      </c>
    </row>
    <row r="1414">
      <c r="A1414" s="4" t="inlineStr">
        <is>
          <t>100</t>
        </is>
      </c>
      <c r="B1414" s="4" t="n">
        <v>1</v>
      </c>
      <c r="C1414" s="4" t="inlineStr">
        <is>
          <t>elk</t>
        </is>
      </c>
      <c r="D1414" s="4" t="n">
        <v>2004</v>
      </c>
      <c r="E1414" s="13" t="inlineStr">
        <is>
          <t>General</t>
        </is>
      </c>
      <c r="F1414" s="5" t="n">
        <v>2075</v>
      </c>
      <c r="G1414" s="5" t="n">
        <v>15318</v>
      </c>
      <c r="H1414" s="5" t="n">
        <v>124</v>
      </c>
      <c r="I1414" s="5" t="n">
        <v>68</v>
      </c>
      <c r="J1414" s="5" t="n">
        <v>49</v>
      </c>
      <c r="K1414" s="10">
        <f>IF(F1414&gt;0,H1414/F1414,"")</f>
        <v/>
      </c>
      <c r="L1414" s="16">
        <f>IF(AND(G1414&gt;0,H1414&gt;0),G1414/H1414,"")</f>
        <v/>
      </c>
    </row>
    <row r="1415">
      <c r="A1415" s="4" t="inlineStr">
        <is>
          <t>100</t>
        </is>
      </c>
      <c r="B1415" s="4" t="n">
        <v>1</v>
      </c>
      <c r="C1415" s="4" t="inlineStr">
        <is>
          <t>elk</t>
        </is>
      </c>
      <c r="D1415" s="4" t="n">
        <v>2005</v>
      </c>
      <c r="E1415" s="13" t="inlineStr">
        <is>
          <t>General</t>
        </is>
      </c>
      <c r="F1415" s="5" t="n">
        <v>1909</v>
      </c>
      <c r="G1415" s="5" t="n">
        <v>16121</v>
      </c>
      <c r="H1415" s="5" t="n">
        <v>176</v>
      </c>
      <c r="I1415" s="5" t="n">
        <v>112</v>
      </c>
      <c r="J1415" s="5" t="n">
        <v>63</v>
      </c>
      <c r="K1415" s="10">
        <f>IF(F1415&gt;0,H1415/F1415,"")</f>
        <v/>
      </c>
      <c r="L1415" s="16">
        <f>IF(AND(G1415&gt;0,H1415&gt;0),G1415/H1415,"")</f>
        <v/>
      </c>
    </row>
    <row r="1416">
      <c r="A1416" s="4" t="inlineStr">
        <is>
          <t>100</t>
        </is>
      </c>
      <c r="B1416" s="4" t="n">
        <v>1</v>
      </c>
      <c r="C1416" s="4" t="inlineStr">
        <is>
          <t>elk</t>
        </is>
      </c>
      <c r="D1416" s="4" t="n">
        <v>2006</v>
      </c>
      <c r="E1416" s="13" t="inlineStr">
        <is>
          <t>General</t>
        </is>
      </c>
      <c r="F1416" s="5" t="n">
        <v>2258</v>
      </c>
      <c r="G1416" s="5" t="n">
        <v>18393</v>
      </c>
      <c r="H1416" s="5" t="n">
        <v>203</v>
      </c>
      <c r="I1416" s="5" t="n">
        <v>92</v>
      </c>
      <c r="J1416" s="5" t="n">
        <v>104</v>
      </c>
      <c r="K1416" s="10">
        <f>IF(F1416&gt;0,H1416/F1416,"")</f>
        <v/>
      </c>
      <c r="L1416" s="16">
        <f>IF(AND(G1416&gt;0,H1416&gt;0),G1416/H1416,"")</f>
        <v/>
      </c>
    </row>
    <row r="1417">
      <c r="A1417" s="4" t="inlineStr">
        <is>
          <t>100</t>
        </is>
      </c>
      <c r="B1417" s="4" t="n">
        <v>1</v>
      </c>
      <c r="C1417" s="4" t="inlineStr">
        <is>
          <t>elk</t>
        </is>
      </c>
      <c r="D1417" s="4" t="n">
        <v>2007</v>
      </c>
      <c r="E1417" s="13" t="inlineStr">
        <is>
          <t>General</t>
        </is>
      </c>
      <c r="F1417" s="5" t="n">
        <v>2189</v>
      </c>
      <c r="G1417" s="5" t="n">
        <v>18420</v>
      </c>
      <c r="H1417" s="5" t="n">
        <v>132</v>
      </c>
      <c r="I1417" s="5" t="n">
        <v>96</v>
      </c>
      <c r="J1417" s="5" t="n">
        <v>33</v>
      </c>
      <c r="K1417" s="10">
        <f>IF(F1417&gt;0,H1417/F1417,"")</f>
        <v/>
      </c>
      <c r="L1417" s="16">
        <f>IF(AND(G1417&gt;0,H1417&gt;0),G1417/H1417,"")</f>
        <v/>
      </c>
    </row>
    <row r="1418">
      <c r="A1418" s="4" t="inlineStr">
        <is>
          <t>100</t>
        </is>
      </c>
      <c r="B1418" s="4" t="n">
        <v>1</v>
      </c>
      <c r="C1418" s="4" t="inlineStr">
        <is>
          <t>elk</t>
        </is>
      </c>
      <c r="D1418" s="4" t="n">
        <v>2008</v>
      </c>
      <c r="E1418" s="13" t="inlineStr">
        <is>
          <t>General</t>
        </is>
      </c>
      <c r="F1418" s="5" t="n">
        <v>2325</v>
      </c>
      <c r="G1418" s="5" t="n">
        <v>20534</v>
      </c>
      <c r="H1418" s="5" t="n">
        <v>83</v>
      </c>
      <c r="I1418" s="5" t="n">
        <v>44</v>
      </c>
      <c r="J1418" s="5" t="n">
        <v>28</v>
      </c>
      <c r="K1418" s="10">
        <f>IF(F1418&gt;0,H1418/F1418,"")</f>
        <v/>
      </c>
      <c r="L1418" s="16">
        <f>IF(AND(G1418&gt;0,H1418&gt;0),G1418/H1418,"")</f>
        <v/>
      </c>
    </row>
    <row r="1419">
      <c r="A1419" s="4" t="inlineStr">
        <is>
          <t>100</t>
        </is>
      </c>
      <c r="B1419" s="4" t="n">
        <v>1</v>
      </c>
      <c r="C1419" s="4" t="inlineStr">
        <is>
          <t>elk</t>
        </is>
      </c>
      <c r="D1419" s="4" t="n">
        <v>2009</v>
      </c>
      <c r="E1419" s="13" t="inlineStr">
        <is>
          <t>General</t>
        </is>
      </c>
      <c r="F1419" s="5" t="n">
        <v>2080</v>
      </c>
      <c r="G1419" s="5" t="n">
        <v>18534</v>
      </c>
      <c r="H1419" s="5" t="n">
        <v>125</v>
      </c>
      <c r="I1419" s="5" t="n">
        <v>75</v>
      </c>
      <c r="J1419" s="5" t="n">
        <v>46</v>
      </c>
      <c r="K1419" s="10">
        <f>IF(F1419&gt;0,H1419/F1419,"")</f>
        <v/>
      </c>
      <c r="L1419" s="16">
        <f>IF(AND(G1419&gt;0,H1419&gt;0),G1419/H1419,"")</f>
        <v/>
      </c>
    </row>
    <row r="1420">
      <c r="A1420" s="4" t="inlineStr">
        <is>
          <t>100</t>
        </is>
      </c>
      <c r="B1420" s="4" t="n">
        <v>1</v>
      </c>
      <c r="C1420" s="4" t="inlineStr">
        <is>
          <t>elk</t>
        </is>
      </c>
      <c r="D1420" s="4" t="n">
        <v>2010</v>
      </c>
      <c r="E1420" s="13" t="inlineStr">
        <is>
          <t>General</t>
        </is>
      </c>
      <c r="F1420" s="5" t="n">
        <v>2073</v>
      </c>
      <c r="G1420" s="5" t="n">
        <v>17695</v>
      </c>
      <c r="H1420" s="5" t="n">
        <v>113</v>
      </c>
      <c r="I1420" s="5" t="n">
        <v>58</v>
      </c>
      <c r="J1420" s="5" t="n">
        <v>50</v>
      </c>
      <c r="K1420" s="10">
        <f>IF(F1420&gt;0,H1420/F1420,"")</f>
        <v/>
      </c>
      <c r="L1420" s="16">
        <f>IF(AND(G1420&gt;0,H1420&gt;0),G1420/H1420,"")</f>
        <v/>
      </c>
    </row>
    <row r="1421">
      <c r="A1421" s="4" t="inlineStr">
        <is>
          <t>100</t>
        </is>
      </c>
      <c r="B1421" s="4" t="n">
        <v>1</v>
      </c>
      <c r="C1421" s="4" t="inlineStr">
        <is>
          <t>elk</t>
        </is>
      </c>
      <c r="D1421" s="4" t="n">
        <v>2011</v>
      </c>
      <c r="E1421" s="13" t="inlineStr">
        <is>
          <t>General</t>
        </is>
      </c>
      <c r="F1421" s="5" t="n">
        <v>1960</v>
      </c>
      <c r="G1421" s="5" t="n">
        <v>17773</v>
      </c>
      <c r="H1421" s="5" t="n">
        <v>120</v>
      </c>
      <c r="I1421" s="5" t="n">
        <v>78</v>
      </c>
      <c r="J1421" s="5" t="n">
        <v>42</v>
      </c>
      <c r="K1421" s="10">
        <f>IF(F1421&gt;0,H1421/F1421,"")</f>
        <v/>
      </c>
      <c r="L1421" s="16">
        <f>IF(AND(G1421&gt;0,H1421&gt;0),G1421/H1421,"")</f>
        <v/>
      </c>
    </row>
    <row r="1422">
      <c r="A1422" s="4" t="inlineStr">
        <is>
          <t>100</t>
        </is>
      </c>
      <c r="B1422" s="4" t="n">
        <v>1</v>
      </c>
      <c r="C1422" s="4" t="inlineStr">
        <is>
          <t>elk</t>
        </is>
      </c>
      <c r="D1422" s="4" t="n">
        <v>2012</v>
      </c>
      <c r="E1422" s="13" t="inlineStr">
        <is>
          <t>General</t>
        </is>
      </c>
      <c r="F1422" s="5" t="n">
        <v>1719</v>
      </c>
      <c r="G1422" s="5" t="n">
        <v>15660</v>
      </c>
      <c r="H1422" s="5" t="n">
        <v>65</v>
      </c>
      <c r="I1422" s="5" t="n">
        <v>57</v>
      </c>
      <c r="J1422" s="5" t="n">
        <v>8</v>
      </c>
      <c r="K1422" s="10">
        <f>IF(F1422&gt;0,H1422/F1422,"")</f>
        <v/>
      </c>
      <c r="L1422" s="16">
        <f>IF(AND(G1422&gt;0,H1422&gt;0),G1422/H1422,"")</f>
        <v/>
      </c>
    </row>
    <row r="1423">
      <c r="A1423" s="4" t="inlineStr">
        <is>
          <t>100</t>
        </is>
      </c>
      <c r="B1423" s="4" t="n">
        <v>1</v>
      </c>
      <c r="C1423" s="4" t="inlineStr">
        <is>
          <t>elk</t>
        </is>
      </c>
      <c r="D1423" s="4" t="n">
        <v>2013</v>
      </c>
      <c r="E1423" s="13" t="inlineStr">
        <is>
          <t>General</t>
        </is>
      </c>
      <c r="F1423" s="5" t="n"/>
      <c r="G1423" s="5" t="n"/>
      <c r="H1423" s="5" t="n">
        <v>65</v>
      </c>
      <c r="I1423" s="5" t="n">
        <v>48</v>
      </c>
      <c r="J1423" s="5" t="n">
        <v>16</v>
      </c>
      <c r="K1423" s="10">
        <f>IF(F1423&gt;0,H1423/F1423,"")</f>
        <v/>
      </c>
      <c r="L1423" s="16">
        <f>IF(AND(G1423&gt;0,H1423&gt;0),G1423/H1423,"")</f>
        <v/>
      </c>
    </row>
    <row r="1424">
      <c r="A1424" s="4" t="inlineStr">
        <is>
          <t>100</t>
        </is>
      </c>
      <c r="B1424" s="4" t="n">
        <v>1</v>
      </c>
      <c r="C1424" s="4" t="inlineStr">
        <is>
          <t>elk</t>
        </is>
      </c>
      <c r="D1424" s="4" t="n">
        <v>2014</v>
      </c>
      <c r="E1424" s="13" t="inlineStr">
        <is>
          <t>General</t>
        </is>
      </c>
      <c r="F1424" s="5" t="n">
        <v>1760</v>
      </c>
      <c r="G1424" s="5" t="n">
        <v>15612</v>
      </c>
      <c r="H1424" s="5" t="n">
        <v>94</v>
      </c>
      <c r="I1424" s="5" t="n">
        <v>87</v>
      </c>
      <c r="J1424" s="5" t="n">
        <v>7</v>
      </c>
      <c r="K1424" s="10">
        <f>IF(F1424&gt;0,H1424/F1424,"")</f>
        <v/>
      </c>
      <c r="L1424" s="16">
        <f>IF(AND(G1424&gt;0,H1424&gt;0),G1424/H1424,"")</f>
        <v/>
      </c>
    </row>
    <row r="1425">
      <c r="A1425" s="4" t="inlineStr">
        <is>
          <t>100</t>
        </is>
      </c>
      <c r="B1425" s="4" t="n">
        <v>1</v>
      </c>
      <c r="C1425" s="4" t="inlineStr">
        <is>
          <t>elk</t>
        </is>
      </c>
      <c r="D1425" s="4" t="n">
        <v>2015</v>
      </c>
      <c r="E1425" s="13" t="inlineStr">
        <is>
          <t>General</t>
        </is>
      </c>
      <c r="F1425" s="5" t="n">
        <v>1666</v>
      </c>
      <c r="G1425" s="5" t="n">
        <v>14272</v>
      </c>
      <c r="H1425" s="5" t="n">
        <v>75</v>
      </c>
      <c r="I1425" s="5" t="n">
        <v>62</v>
      </c>
      <c r="J1425" s="5" t="n">
        <v>11</v>
      </c>
      <c r="K1425" s="10">
        <f>IF(F1425&gt;0,H1425/F1425,"")</f>
        <v/>
      </c>
      <c r="L1425" s="16">
        <f>IF(AND(G1425&gt;0,H1425&gt;0),G1425/H1425,"")</f>
        <v/>
      </c>
    </row>
    <row r="1426">
      <c r="A1426" s="4" t="inlineStr">
        <is>
          <t>100</t>
        </is>
      </c>
      <c r="B1426" s="4" t="n">
        <v>1</v>
      </c>
      <c r="C1426" s="4" t="inlineStr">
        <is>
          <t>elk</t>
        </is>
      </c>
      <c r="D1426" s="4" t="n">
        <v>2016</v>
      </c>
      <c r="E1426" s="13" t="inlineStr">
        <is>
          <t>General</t>
        </is>
      </c>
      <c r="F1426" s="5" t="n">
        <v>1724</v>
      </c>
      <c r="G1426" s="5" t="n">
        <v>15206</v>
      </c>
      <c r="H1426" s="5" t="n">
        <v>73</v>
      </c>
      <c r="I1426" s="5" t="n">
        <v>69</v>
      </c>
      <c r="J1426" s="5" t="n">
        <v>4</v>
      </c>
      <c r="K1426" s="10">
        <f>IF(F1426&gt;0,H1426/F1426,"")</f>
        <v/>
      </c>
      <c r="L1426" s="16">
        <f>IF(AND(G1426&gt;0,H1426&gt;0),G1426/H1426,"")</f>
        <v/>
      </c>
    </row>
    <row r="1427">
      <c r="A1427" s="4" t="inlineStr">
        <is>
          <t>100</t>
        </is>
      </c>
      <c r="B1427" s="4" t="n">
        <v>1</v>
      </c>
      <c r="C1427" s="4" t="inlineStr">
        <is>
          <t>elk</t>
        </is>
      </c>
      <c r="D1427" s="4" t="n">
        <v>2017</v>
      </c>
      <c r="E1427" s="13" t="inlineStr">
        <is>
          <t>General</t>
        </is>
      </c>
      <c r="F1427" s="5" t="n"/>
      <c r="G1427" s="5" t="n"/>
      <c r="H1427" s="5" t="n">
        <v>42</v>
      </c>
      <c r="I1427" s="5" t="n">
        <v>30</v>
      </c>
      <c r="J1427" s="5" t="n">
        <v>13</v>
      </c>
      <c r="K1427" s="10">
        <f>IF(F1427&gt;0,H1427/F1427,"")</f>
        <v/>
      </c>
      <c r="L1427" s="16">
        <f>IF(AND(G1427&gt;0,H1427&gt;0),G1427/H1427,"")</f>
        <v/>
      </c>
    </row>
    <row r="1428">
      <c r="A1428" s="4" t="inlineStr">
        <is>
          <t>100</t>
        </is>
      </c>
      <c r="B1428" s="4" t="n">
        <v>1</v>
      </c>
      <c r="C1428" s="4" t="inlineStr">
        <is>
          <t>elk</t>
        </is>
      </c>
      <c r="D1428" s="4" t="n">
        <v>2018</v>
      </c>
      <c r="E1428" s="13" t="inlineStr">
        <is>
          <t>General</t>
        </is>
      </c>
      <c r="F1428" s="5" t="n">
        <v>1715</v>
      </c>
      <c r="G1428" s="5" t="n">
        <v>14923</v>
      </c>
      <c r="H1428" s="5" t="n">
        <v>66</v>
      </c>
      <c r="I1428" s="5" t="n">
        <v>55</v>
      </c>
      <c r="J1428" s="5" t="n">
        <v>10</v>
      </c>
      <c r="K1428" s="10">
        <f>IF(F1428&gt;0,H1428/F1428,"")</f>
        <v/>
      </c>
      <c r="L1428" s="16">
        <f>IF(AND(G1428&gt;0,H1428&gt;0),G1428/H1428,"")</f>
        <v/>
      </c>
    </row>
    <row r="1429">
      <c r="A1429" s="4" t="inlineStr">
        <is>
          <t>100</t>
        </is>
      </c>
      <c r="B1429" s="4" t="n">
        <v>1</v>
      </c>
      <c r="C1429" s="4" t="inlineStr">
        <is>
          <t>elk</t>
        </is>
      </c>
      <c r="D1429" s="4" t="n">
        <v>2019</v>
      </c>
      <c r="E1429" s="13" t="inlineStr">
        <is>
          <t>General</t>
        </is>
      </c>
      <c r="F1429" s="5" t="n"/>
      <c r="G1429" s="5" t="n"/>
      <c r="H1429" s="5" t="n">
        <v>50</v>
      </c>
      <c r="I1429" s="5" t="n">
        <v>39</v>
      </c>
      <c r="J1429" s="5" t="n">
        <v>11</v>
      </c>
      <c r="K1429" s="10">
        <f>IF(F1429&gt;0,H1429/F1429,"")</f>
        <v/>
      </c>
      <c r="L1429" s="16">
        <f>IF(AND(G1429&gt;0,H1429&gt;0),G1429/H1429,"")</f>
        <v/>
      </c>
    </row>
    <row r="1430">
      <c r="A1430" s="4" t="inlineStr">
        <is>
          <t>100</t>
        </is>
      </c>
      <c r="B1430" s="4" t="n">
        <v>1</v>
      </c>
      <c r="C1430" s="4" t="inlineStr">
        <is>
          <t>elk</t>
        </is>
      </c>
      <c r="D1430" s="4" t="n">
        <v>2020</v>
      </c>
      <c r="E1430" s="13" t="inlineStr">
        <is>
          <t>General</t>
        </is>
      </c>
      <c r="F1430" s="5" t="n">
        <v>1469</v>
      </c>
      <c r="G1430" s="5" t="n">
        <v>15073</v>
      </c>
      <c r="H1430" s="5" t="n">
        <v>65</v>
      </c>
      <c r="I1430" s="5" t="n">
        <v>49</v>
      </c>
      <c r="J1430" s="5" t="n">
        <v>16</v>
      </c>
      <c r="K1430" s="10">
        <f>IF(F1430&gt;0,H1430/F1430,"")</f>
        <v/>
      </c>
      <c r="L1430" s="16">
        <f>IF(AND(G1430&gt;0,H1430&gt;0),G1430/H1430,"")</f>
        <v/>
      </c>
    </row>
    <row r="1431">
      <c r="A1431" s="4" t="inlineStr">
        <is>
          <t>100</t>
        </is>
      </c>
      <c r="B1431" s="4" t="n">
        <v>1</v>
      </c>
      <c r="C1431" s="4" t="inlineStr">
        <is>
          <t>elk</t>
        </is>
      </c>
      <c r="D1431" s="4" t="n">
        <v>2021</v>
      </c>
      <c r="E1431" s="13" t="inlineStr">
        <is>
          <t>General</t>
        </is>
      </c>
      <c r="F1431" s="5" t="n"/>
      <c r="G1431" s="5" t="n"/>
      <c r="H1431" s="5" t="n">
        <v>74</v>
      </c>
      <c r="I1431" s="5" t="n">
        <v>59</v>
      </c>
      <c r="J1431" s="5" t="n">
        <v>15</v>
      </c>
      <c r="K1431" s="10">
        <f>IF(F1431&gt;0,H1431/F1431,"")</f>
        <v/>
      </c>
      <c r="L1431" s="16">
        <f>IF(AND(G1431&gt;0,H1431&gt;0),G1431/H1431,"")</f>
        <v/>
      </c>
    </row>
    <row r="1432">
      <c r="A1432" s="4" t="inlineStr">
        <is>
          <t>100</t>
        </is>
      </c>
      <c r="B1432" s="4" t="n">
        <v>1</v>
      </c>
      <c r="C1432" s="4" t="inlineStr">
        <is>
          <t>elk</t>
        </is>
      </c>
      <c r="D1432" s="4" t="n">
        <v>2022</v>
      </c>
      <c r="E1432" s="13" t="inlineStr">
        <is>
          <t>General</t>
        </is>
      </c>
      <c r="F1432" s="5" t="n">
        <v>1540</v>
      </c>
      <c r="G1432" s="5" t="n">
        <v>13075</v>
      </c>
      <c r="H1432" s="5" t="n">
        <v>112</v>
      </c>
      <c r="I1432" s="5" t="n">
        <v>101</v>
      </c>
      <c r="J1432" s="5" t="n">
        <v>11</v>
      </c>
      <c r="K1432" s="10">
        <f>IF(F1432&gt;0,H1432/F1432,"")</f>
        <v/>
      </c>
      <c r="L1432" s="16">
        <f>IF(AND(G1432&gt;0,H1432&gt;0),G1432/H1432,"")</f>
        <v/>
      </c>
    </row>
    <row r="1433">
      <c r="A1433" s="4" t="inlineStr">
        <is>
          <t>100</t>
        </is>
      </c>
      <c r="B1433" s="4" t="n">
        <v>1</v>
      </c>
      <c r="C1433" s="4" t="inlineStr">
        <is>
          <t>elk</t>
        </is>
      </c>
      <c r="D1433" s="4" t="n">
        <v>2023</v>
      </c>
      <c r="E1433" s="13" t="inlineStr">
        <is>
          <t>General</t>
        </is>
      </c>
      <c r="F1433" s="5" t="n"/>
      <c r="G1433" s="5" t="n"/>
      <c r="H1433" s="5" t="n">
        <v>106</v>
      </c>
      <c r="I1433" s="5" t="n">
        <v>83</v>
      </c>
      <c r="J1433" s="5" t="n">
        <v>23</v>
      </c>
      <c r="K1433" s="10">
        <f>IF(F1433&gt;0,H1433/F1433,"")</f>
        <v/>
      </c>
      <c r="L1433" s="16">
        <f>IF(AND(G1433&gt;0,H1433&gt;0),G1433/H1433,"")</f>
        <v/>
      </c>
    </row>
    <row r="1434">
      <c r="A1434" s="4" t="inlineStr">
        <is>
          <t>100</t>
        </is>
      </c>
      <c r="B1434" s="4" t="n">
        <v>1</v>
      </c>
      <c r="C1434" s="4" t="inlineStr">
        <is>
          <t>elk</t>
        </is>
      </c>
      <c r="D1434" s="4" t="n">
        <v>2024</v>
      </c>
      <c r="E1434" s="13" t="inlineStr">
        <is>
          <t>General</t>
        </is>
      </c>
      <c r="F1434" s="5" t="n">
        <v>1536</v>
      </c>
      <c r="G1434" s="5" t="n">
        <v>13309</v>
      </c>
      <c r="H1434" s="5" t="n">
        <v>84</v>
      </c>
      <c r="I1434" s="5" t="n">
        <v>51</v>
      </c>
      <c r="J1434" s="5" t="n">
        <v>33</v>
      </c>
      <c r="K1434" s="10">
        <f>IF(F1434&gt;0,H1434/F1434,"")</f>
        <v/>
      </c>
      <c r="L1434" s="16">
        <f>IF(AND(G1434&gt;0,H1434&gt;0),G1434/H1434,"")</f>
        <v/>
      </c>
    </row>
    <row r="1435">
      <c r="A1435" s="4" t="inlineStr">
        <is>
          <t>100</t>
        </is>
      </c>
      <c r="B1435" s="4" t="n">
        <v>1</v>
      </c>
      <c r="C1435" s="4" t="inlineStr">
        <is>
          <t>elk</t>
        </is>
      </c>
      <c r="D1435" s="4" t="n">
        <v>2025</v>
      </c>
      <c r="E1435" s="13" t="inlineStr">
        <is>
          <t>General</t>
        </is>
      </c>
      <c r="F1435" s="5" t="n"/>
      <c r="G1435" s="5" t="n"/>
      <c r="H1435" s="5" t="n">
        <v>103</v>
      </c>
      <c r="I1435" s="5" t="n">
        <v>66</v>
      </c>
      <c r="J1435" s="5" t="n">
        <v>35</v>
      </c>
      <c r="K1435" s="10">
        <f>IF(F1435&gt;0,H1435/F1435,"")</f>
        <v/>
      </c>
      <c r="L1435" s="16">
        <f>IF(AND(G1435&gt;0,H1435&gt;0),G1435/H1435,"")</f>
        <v/>
      </c>
    </row>
    <row r="1436">
      <c r="A1436" s="4" t="inlineStr">
        <is>
          <t>101</t>
        </is>
      </c>
      <c r="B1436" s="4" t="n">
        <v>1</v>
      </c>
      <c r="C1436" s="4" t="inlineStr">
        <is>
          <t>elk</t>
        </is>
      </c>
      <c r="D1436" s="4" t="n">
        <v>2004</v>
      </c>
      <c r="E1436" s="13" t="inlineStr">
        <is>
          <t>General</t>
        </is>
      </c>
      <c r="F1436" s="5" t="n">
        <v>1459</v>
      </c>
      <c r="G1436" s="5" t="n">
        <v>10765</v>
      </c>
      <c r="H1436" s="5" t="n">
        <v>86</v>
      </c>
      <c r="I1436" s="5" t="n">
        <v>49</v>
      </c>
      <c r="J1436" s="5" t="n">
        <v>34</v>
      </c>
      <c r="K1436" s="10">
        <f>IF(F1436&gt;0,H1436/F1436,"")</f>
        <v/>
      </c>
      <c r="L1436" s="16">
        <f>IF(AND(G1436&gt;0,H1436&gt;0),G1436/H1436,"")</f>
        <v/>
      </c>
    </row>
    <row r="1437">
      <c r="A1437" s="4" t="inlineStr">
        <is>
          <t>101</t>
        </is>
      </c>
      <c r="B1437" s="4" t="n">
        <v>1</v>
      </c>
      <c r="C1437" s="4" t="inlineStr">
        <is>
          <t>elk</t>
        </is>
      </c>
      <c r="D1437" s="4" t="n">
        <v>2005</v>
      </c>
      <c r="E1437" s="13" t="inlineStr">
        <is>
          <t>General</t>
        </is>
      </c>
      <c r="F1437" s="5" t="n">
        <v>1492</v>
      </c>
      <c r="G1437" s="5" t="n">
        <v>12776</v>
      </c>
      <c r="H1437" s="5" t="n">
        <v>88</v>
      </c>
      <c r="I1437" s="5" t="n">
        <v>58</v>
      </c>
      <c r="J1437" s="5" t="n">
        <v>25</v>
      </c>
      <c r="K1437" s="10">
        <f>IF(F1437&gt;0,H1437/F1437,"")</f>
        <v/>
      </c>
      <c r="L1437" s="16">
        <f>IF(AND(G1437&gt;0,H1437&gt;0),G1437/H1437,"")</f>
        <v/>
      </c>
    </row>
    <row r="1438">
      <c r="A1438" s="4" t="inlineStr">
        <is>
          <t>101</t>
        </is>
      </c>
      <c r="B1438" s="4" t="n">
        <v>1</v>
      </c>
      <c r="C1438" s="4" t="inlineStr">
        <is>
          <t>elk</t>
        </is>
      </c>
      <c r="D1438" s="4" t="n">
        <v>2006</v>
      </c>
      <c r="E1438" s="13" t="inlineStr">
        <is>
          <t>General</t>
        </is>
      </c>
      <c r="F1438" s="5" t="n">
        <v>1641</v>
      </c>
      <c r="G1438" s="5" t="n">
        <v>13264</v>
      </c>
      <c r="H1438" s="5" t="n">
        <v>132</v>
      </c>
      <c r="I1438" s="5" t="n">
        <v>73</v>
      </c>
      <c r="J1438" s="5" t="n">
        <v>50</v>
      </c>
      <c r="K1438" s="10">
        <f>IF(F1438&gt;0,H1438/F1438,"")</f>
        <v/>
      </c>
      <c r="L1438" s="16">
        <f>IF(AND(G1438&gt;0,H1438&gt;0),G1438/H1438,"")</f>
        <v/>
      </c>
    </row>
    <row r="1439">
      <c r="A1439" s="4" t="inlineStr">
        <is>
          <t>101</t>
        </is>
      </c>
      <c r="B1439" s="4" t="n">
        <v>1</v>
      </c>
      <c r="C1439" s="4" t="inlineStr">
        <is>
          <t>elk</t>
        </is>
      </c>
      <c r="D1439" s="4" t="n">
        <v>2007</v>
      </c>
      <c r="E1439" s="13" t="inlineStr">
        <is>
          <t>General</t>
        </is>
      </c>
      <c r="F1439" s="5" t="n">
        <v>1383</v>
      </c>
      <c r="G1439" s="5" t="n">
        <v>10814</v>
      </c>
      <c r="H1439" s="5" t="n">
        <v>72</v>
      </c>
      <c r="I1439" s="5" t="n">
        <v>36</v>
      </c>
      <c r="J1439" s="5" t="n">
        <v>29</v>
      </c>
      <c r="K1439" s="10">
        <f>IF(F1439&gt;0,H1439/F1439,"")</f>
        <v/>
      </c>
      <c r="L1439" s="16">
        <f>IF(AND(G1439&gt;0,H1439&gt;0),G1439/H1439,"")</f>
        <v/>
      </c>
    </row>
    <row r="1440">
      <c r="A1440" s="4" t="inlineStr">
        <is>
          <t>101</t>
        </is>
      </c>
      <c r="B1440" s="4" t="n">
        <v>1</v>
      </c>
      <c r="C1440" s="4" t="inlineStr">
        <is>
          <t>elk</t>
        </is>
      </c>
      <c r="D1440" s="4" t="n">
        <v>2008</v>
      </c>
      <c r="E1440" s="13" t="inlineStr">
        <is>
          <t>General</t>
        </is>
      </c>
      <c r="F1440" s="5" t="n">
        <v>1618</v>
      </c>
      <c r="G1440" s="5" t="n">
        <v>15253</v>
      </c>
      <c r="H1440" s="5" t="n">
        <v>98</v>
      </c>
      <c r="I1440" s="5" t="n">
        <v>60</v>
      </c>
      <c r="J1440" s="5" t="n">
        <v>38</v>
      </c>
      <c r="K1440" s="10">
        <f>IF(F1440&gt;0,H1440/F1440,"")</f>
        <v/>
      </c>
      <c r="L1440" s="16">
        <f>IF(AND(G1440&gt;0,H1440&gt;0),G1440/H1440,"")</f>
        <v/>
      </c>
    </row>
    <row r="1441">
      <c r="A1441" s="4" t="inlineStr">
        <is>
          <t>101</t>
        </is>
      </c>
      <c r="B1441" s="4" t="n">
        <v>1</v>
      </c>
      <c r="C1441" s="4" t="inlineStr">
        <is>
          <t>elk</t>
        </is>
      </c>
      <c r="D1441" s="4" t="n">
        <v>2009</v>
      </c>
      <c r="E1441" s="13" t="inlineStr">
        <is>
          <t>General</t>
        </is>
      </c>
      <c r="F1441" s="5" t="n">
        <v>1386</v>
      </c>
      <c r="G1441" s="5" t="n">
        <v>12342</v>
      </c>
      <c r="H1441" s="5" t="n">
        <v>85</v>
      </c>
      <c r="I1441" s="5" t="n">
        <v>32</v>
      </c>
      <c r="J1441" s="5" t="n">
        <v>49</v>
      </c>
      <c r="K1441" s="10">
        <f>IF(F1441&gt;0,H1441/F1441,"")</f>
        <v/>
      </c>
      <c r="L1441" s="16">
        <f>IF(AND(G1441&gt;0,H1441&gt;0),G1441/H1441,"")</f>
        <v/>
      </c>
    </row>
    <row r="1442">
      <c r="A1442" s="4" t="inlineStr">
        <is>
          <t>101</t>
        </is>
      </c>
      <c r="B1442" s="4" t="n">
        <v>1</v>
      </c>
      <c r="C1442" s="4" t="inlineStr">
        <is>
          <t>elk</t>
        </is>
      </c>
      <c r="D1442" s="4" t="n">
        <v>2010</v>
      </c>
      <c r="E1442" s="13" t="inlineStr">
        <is>
          <t>General</t>
        </is>
      </c>
      <c r="F1442" s="5" t="n">
        <v>1498</v>
      </c>
      <c r="G1442" s="5" t="n">
        <v>13948</v>
      </c>
      <c r="H1442" s="5" t="n">
        <v>112</v>
      </c>
      <c r="I1442" s="5" t="n">
        <v>67</v>
      </c>
      <c r="J1442" s="5" t="n">
        <v>40</v>
      </c>
      <c r="K1442" s="10">
        <f>IF(F1442&gt;0,H1442/F1442,"")</f>
        <v/>
      </c>
      <c r="L1442" s="16">
        <f>IF(AND(G1442&gt;0,H1442&gt;0),G1442/H1442,"")</f>
        <v/>
      </c>
    </row>
    <row r="1443">
      <c r="A1443" s="4" t="inlineStr">
        <is>
          <t>101</t>
        </is>
      </c>
      <c r="B1443" s="4" t="n">
        <v>1</v>
      </c>
      <c r="C1443" s="4" t="inlineStr">
        <is>
          <t>elk</t>
        </is>
      </c>
      <c r="D1443" s="4" t="n">
        <v>2011</v>
      </c>
      <c r="E1443" s="13" t="inlineStr">
        <is>
          <t>General</t>
        </is>
      </c>
      <c r="F1443" s="5" t="n">
        <v>1768</v>
      </c>
      <c r="G1443" s="5" t="n">
        <v>15824</v>
      </c>
      <c r="H1443" s="5" t="n">
        <v>110</v>
      </c>
      <c r="I1443" s="5" t="n">
        <v>42</v>
      </c>
      <c r="J1443" s="5" t="n">
        <v>64</v>
      </c>
      <c r="K1443" s="10">
        <f>IF(F1443&gt;0,H1443/F1443,"")</f>
        <v/>
      </c>
      <c r="L1443" s="16">
        <f>IF(AND(G1443&gt;0,H1443&gt;0),G1443/H1443,"")</f>
        <v/>
      </c>
    </row>
    <row r="1444">
      <c r="A1444" s="4" t="inlineStr">
        <is>
          <t>101</t>
        </is>
      </c>
      <c r="B1444" s="4" t="n">
        <v>1</v>
      </c>
      <c r="C1444" s="4" t="inlineStr">
        <is>
          <t>elk</t>
        </is>
      </c>
      <c r="D1444" s="4" t="n">
        <v>2012</v>
      </c>
      <c r="E1444" s="13" t="inlineStr">
        <is>
          <t>General</t>
        </is>
      </c>
      <c r="F1444" s="5" t="n">
        <v>1567</v>
      </c>
      <c r="G1444" s="5" t="n">
        <v>13948</v>
      </c>
      <c r="H1444" s="5" t="n">
        <v>61</v>
      </c>
      <c r="I1444" s="5" t="n">
        <v>47</v>
      </c>
      <c r="J1444" s="5" t="n">
        <v>12</v>
      </c>
      <c r="K1444" s="10">
        <f>IF(F1444&gt;0,H1444/F1444,"")</f>
        <v/>
      </c>
      <c r="L1444" s="16">
        <f>IF(AND(G1444&gt;0,H1444&gt;0),G1444/H1444,"")</f>
        <v/>
      </c>
    </row>
    <row r="1445">
      <c r="A1445" s="4" t="inlineStr">
        <is>
          <t>101</t>
        </is>
      </c>
      <c r="B1445" s="4" t="n">
        <v>1</v>
      </c>
      <c r="C1445" s="4" t="inlineStr">
        <is>
          <t>elk</t>
        </is>
      </c>
      <c r="D1445" s="4" t="n">
        <v>2013</v>
      </c>
      <c r="E1445" s="13" t="inlineStr">
        <is>
          <t>General</t>
        </is>
      </c>
      <c r="F1445" s="5" t="n"/>
      <c r="G1445" s="5" t="n"/>
      <c r="H1445" s="5" t="n">
        <v>80</v>
      </c>
      <c r="I1445" s="5" t="n">
        <v>45</v>
      </c>
      <c r="J1445" s="5" t="n">
        <v>36</v>
      </c>
      <c r="K1445" s="10">
        <f>IF(F1445&gt;0,H1445/F1445,"")</f>
        <v/>
      </c>
      <c r="L1445" s="16">
        <f>IF(AND(G1445&gt;0,H1445&gt;0),G1445/H1445,"")</f>
        <v/>
      </c>
    </row>
    <row r="1446">
      <c r="A1446" s="4" t="inlineStr">
        <is>
          <t>101</t>
        </is>
      </c>
      <c r="B1446" s="4" t="n">
        <v>1</v>
      </c>
      <c r="C1446" s="4" t="inlineStr">
        <is>
          <t>elk</t>
        </is>
      </c>
      <c r="D1446" s="4" t="n">
        <v>2014</v>
      </c>
      <c r="E1446" s="13" t="inlineStr">
        <is>
          <t>General</t>
        </is>
      </c>
      <c r="F1446" s="5" t="n">
        <v>1459</v>
      </c>
      <c r="G1446" s="5" t="n">
        <v>13062</v>
      </c>
      <c r="H1446" s="5" t="n">
        <v>63</v>
      </c>
      <c r="I1446" s="5" t="n">
        <v>45</v>
      </c>
      <c r="J1446" s="5" t="n">
        <v>18</v>
      </c>
      <c r="K1446" s="10">
        <f>IF(F1446&gt;0,H1446/F1446,"")</f>
        <v/>
      </c>
      <c r="L1446" s="16">
        <f>IF(AND(G1446&gt;0,H1446&gt;0),G1446/H1446,"")</f>
        <v/>
      </c>
    </row>
    <row r="1447">
      <c r="A1447" s="4" t="inlineStr">
        <is>
          <t>101</t>
        </is>
      </c>
      <c r="B1447" s="4" t="n">
        <v>1</v>
      </c>
      <c r="C1447" s="4" t="inlineStr">
        <is>
          <t>elk</t>
        </is>
      </c>
      <c r="D1447" s="4" t="n">
        <v>2015</v>
      </c>
      <c r="E1447" s="13" t="inlineStr">
        <is>
          <t>General</t>
        </is>
      </c>
      <c r="F1447" s="5" t="n">
        <v>1513</v>
      </c>
      <c r="G1447" s="5" t="n">
        <v>13873</v>
      </c>
      <c r="H1447" s="5" t="n">
        <v>86</v>
      </c>
      <c r="I1447" s="5" t="n">
        <v>59</v>
      </c>
      <c r="J1447" s="5" t="n">
        <v>24</v>
      </c>
      <c r="K1447" s="10">
        <f>IF(F1447&gt;0,H1447/F1447,"")</f>
        <v/>
      </c>
      <c r="L1447" s="16">
        <f>IF(AND(G1447&gt;0,H1447&gt;0),G1447/H1447,"")</f>
        <v/>
      </c>
    </row>
    <row r="1448">
      <c r="A1448" s="4" t="inlineStr">
        <is>
          <t>101</t>
        </is>
      </c>
      <c r="B1448" s="4" t="n">
        <v>1</v>
      </c>
      <c r="C1448" s="4" t="inlineStr">
        <is>
          <t>elk</t>
        </is>
      </c>
      <c r="D1448" s="4" t="n">
        <v>2016</v>
      </c>
      <c r="E1448" s="13" t="inlineStr">
        <is>
          <t>General</t>
        </is>
      </c>
      <c r="F1448" s="5" t="n">
        <v>1348</v>
      </c>
      <c r="G1448" s="5" t="n">
        <v>11198</v>
      </c>
      <c r="H1448" s="5" t="n">
        <v>87</v>
      </c>
      <c r="I1448" s="5" t="n">
        <v>44</v>
      </c>
      <c r="J1448" s="5" t="n">
        <v>41</v>
      </c>
      <c r="K1448" s="10">
        <f>IF(F1448&gt;0,H1448/F1448,"")</f>
        <v/>
      </c>
      <c r="L1448" s="16">
        <f>IF(AND(G1448&gt;0,H1448&gt;0),G1448/H1448,"")</f>
        <v/>
      </c>
    </row>
    <row r="1449">
      <c r="A1449" s="4" t="inlineStr">
        <is>
          <t>101</t>
        </is>
      </c>
      <c r="B1449" s="4" t="n">
        <v>1</v>
      </c>
      <c r="C1449" s="4" t="inlineStr">
        <is>
          <t>elk</t>
        </is>
      </c>
      <c r="D1449" s="4" t="n">
        <v>2017</v>
      </c>
      <c r="E1449" s="13" t="inlineStr">
        <is>
          <t>General</t>
        </is>
      </c>
      <c r="F1449" s="5" t="n"/>
      <c r="G1449" s="5" t="n"/>
      <c r="H1449" s="5" t="n">
        <v>78</v>
      </c>
      <c r="I1449" s="5" t="n">
        <v>53</v>
      </c>
      <c r="J1449" s="5" t="n">
        <v>22</v>
      </c>
      <c r="K1449" s="10">
        <f>IF(F1449&gt;0,H1449/F1449,"")</f>
        <v/>
      </c>
      <c r="L1449" s="16">
        <f>IF(AND(G1449&gt;0,H1449&gt;0),G1449/H1449,"")</f>
        <v/>
      </c>
    </row>
    <row r="1450">
      <c r="A1450" s="4" t="inlineStr">
        <is>
          <t>101</t>
        </is>
      </c>
      <c r="B1450" s="4" t="n">
        <v>1</v>
      </c>
      <c r="C1450" s="4" t="inlineStr">
        <is>
          <t>elk</t>
        </is>
      </c>
      <c r="D1450" s="4" t="n">
        <v>2018</v>
      </c>
      <c r="E1450" s="13" t="inlineStr">
        <is>
          <t>General</t>
        </is>
      </c>
      <c r="F1450" s="5" t="n">
        <v>1276</v>
      </c>
      <c r="G1450" s="5" t="n">
        <v>10330</v>
      </c>
      <c r="H1450" s="5" t="n">
        <v>54</v>
      </c>
      <c r="I1450" s="5" t="n">
        <v>35</v>
      </c>
      <c r="J1450" s="5" t="n">
        <v>18</v>
      </c>
      <c r="K1450" s="10">
        <f>IF(F1450&gt;0,H1450/F1450,"")</f>
        <v/>
      </c>
      <c r="L1450" s="16">
        <f>IF(AND(G1450&gt;0,H1450&gt;0),G1450/H1450,"")</f>
        <v/>
      </c>
    </row>
    <row r="1451">
      <c r="A1451" s="4" t="inlineStr">
        <is>
          <t>101</t>
        </is>
      </c>
      <c r="B1451" s="4" t="n">
        <v>1</v>
      </c>
      <c r="C1451" s="4" t="inlineStr">
        <is>
          <t>elk</t>
        </is>
      </c>
      <c r="D1451" s="4" t="n">
        <v>2019</v>
      </c>
      <c r="E1451" s="13" t="inlineStr">
        <is>
          <t>General</t>
        </is>
      </c>
      <c r="F1451" s="5" t="n"/>
      <c r="G1451" s="5" t="n"/>
      <c r="H1451" s="5" t="n">
        <v>60</v>
      </c>
      <c r="I1451" s="5" t="n">
        <v>36</v>
      </c>
      <c r="J1451" s="5" t="n">
        <v>24</v>
      </c>
      <c r="K1451" s="10">
        <f>IF(F1451&gt;0,H1451/F1451,"")</f>
        <v/>
      </c>
      <c r="L1451" s="16">
        <f>IF(AND(G1451&gt;0,H1451&gt;0),G1451/H1451,"")</f>
        <v/>
      </c>
    </row>
    <row r="1452">
      <c r="A1452" s="4" t="inlineStr">
        <is>
          <t>101</t>
        </is>
      </c>
      <c r="B1452" s="4" t="n">
        <v>1</v>
      </c>
      <c r="C1452" s="4" t="inlineStr">
        <is>
          <t>elk</t>
        </is>
      </c>
      <c r="D1452" s="4" t="n">
        <v>2020</v>
      </c>
      <c r="E1452" s="13" t="inlineStr">
        <is>
          <t>General</t>
        </is>
      </c>
      <c r="F1452" s="5" t="n">
        <v>1308</v>
      </c>
      <c r="G1452" s="5" t="n">
        <v>12014</v>
      </c>
      <c r="H1452" s="5" t="n">
        <v>64</v>
      </c>
      <c r="I1452" s="5" t="n">
        <v>40</v>
      </c>
      <c r="J1452" s="5" t="n">
        <v>24</v>
      </c>
      <c r="K1452" s="10">
        <f>IF(F1452&gt;0,H1452/F1452,"")</f>
        <v/>
      </c>
      <c r="L1452" s="16">
        <f>IF(AND(G1452&gt;0,H1452&gt;0),G1452/H1452,"")</f>
        <v/>
      </c>
    </row>
    <row r="1453">
      <c r="A1453" s="4" t="inlineStr">
        <is>
          <t>101</t>
        </is>
      </c>
      <c r="B1453" s="4" t="n">
        <v>1</v>
      </c>
      <c r="C1453" s="4" t="inlineStr">
        <is>
          <t>elk</t>
        </is>
      </c>
      <c r="D1453" s="4" t="n">
        <v>2021</v>
      </c>
      <c r="E1453" s="13" t="inlineStr">
        <is>
          <t>General</t>
        </is>
      </c>
      <c r="F1453" s="5" t="n"/>
      <c r="G1453" s="5" t="n"/>
      <c r="H1453" s="5" t="n">
        <v>53</v>
      </c>
      <c r="I1453" s="5" t="n">
        <v>36</v>
      </c>
      <c r="J1453" s="5" t="n">
        <v>17</v>
      </c>
      <c r="K1453" s="10">
        <f>IF(F1453&gt;0,H1453/F1453,"")</f>
        <v/>
      </c>
      <c r="L1453" s="16">
        <f>IF(AND(G1453&gt;0,H1453&gt;0),G1453/H1453,"")</f>
        <v/>
      </c>
    </row>
    <row r="1454">
      <c r="A1454" s="4" t="inlineStr">
        <is>
          <t>101</t>
        </is>
      </c>
      <c r="B1454" s="4" t="n">
        <v>1</v>
      </c>
      <c r="C1454" s="4" t="inlineStr">
        <is>
          <t>elk</t>
        </is>
      </c>
      <c r="D1454" s="4" t="n">
        <v>2022</v>
      </c>
      <c r="E1454" s="13" t="inlineStr">
        <is>
          <t>General</t>
        </is>
      </c>
      <c r="F1454" s="5" t="n">
        <v>1474</v>
      </c>
      <c r="G1454" s="5" t="n">
        <v>11914</v>
      </c>
      <c r="H1454" s="5" t="n">
        <v>103</v>
      </c>
      <c r="I1454" s="5" t="n">
        <v>70</v>
      </c>
      <c r="J1454" s="5" t="n">
        <v>33</v>
      </c>
      <c r="K1454" s="10">
        <f>IF(F1454&gt;0,H1454/F1454,"")</f>
        <v/>
      </c>
      <c r="L1454" s="16">
        <f>IF(AND(G1454&gt;0,H1454&gt;0),G1454/H1454,"")</f>
        <v/>
      </c>
    </row>
    <row r="1455">
      <c r="A1455" s="4" t="inlineStr">
        <is>
          <t>101</t>
        </is>
      </c>
      <c r="B1455" s="4" t="n">
        <v>1</v>
      </c>
      <c r="C1455" s="4" t="inlineStr">
        <is>
          <t>elk</t>
        </is>
      </c>
      <c r="D1455" s="4" t="n">
        <v>2023</v>
      </c>
      <c r="E1455" s="13" t="inlineStr">
        <is>
          <t>General</t>
        </is>
      </c>
      <c r="F1455" s="5" t="n"/>
      <c r="G1455" s="5" t="n"/>
      <c r="H1455" s="5" t="n">
        <v>74</v>
      </c>
      <c r="I1455" s="5" t="n">
        <v>59</v>
      </c>
      <c r="J1455" s="5" t="n">
        <v>15</v>
      </c>
      <c r="K1455" s="10">
        <f>IF(F1455&gt;0,H1455/F1455,"")</f>
        <v/>
      </c>
      <c r="L1455" s="16">
        <f>IF(AND(G1455&gt;0,H1455&gt;0),G1455/H1455,"")</f>
        <v/>
      </c>
    </row>
    <row r="1456">
      <c r="A1456" s="4" t="inlineStr">
        <is>
          <t>101</t>
        </is>
      </c>
      <c r="B1456" s="4" t="n">
        <v>1</v>
      </c>
      <c r="C1456" s="4" t="inlineStr">
        <is>
          <t>elk</t>
        </is>
      </c>
      <c r="D1456" s="4" t="n">
        <v>2024</v>
      </c>
      <c r="E1456" s="13" t="inlineStr">
        <is>
          <t>General</t>
        </is>
      </c>
      <c r="F1456" s="5" t="n">
        <v>1819</v>
      </c>
      <c r="G1456" s="5" t="n">
        <v>14444</v>
      </c>
      <c r="H1456" s="5" t="n">
        <v>260</v>
      </c>
      <c r="I1456" s="5" t="n">
        <v>201</v>
      </c>
      <c r="J1456" s="5" t="n">
        <v>60</v>
      </c>
      <c r="K1456" s="10">
        <f>IF(F1456&gt;0,H1456/F1456,"")</f>
        <v/>
      </c>
      <c r="L1456" s="16">
        <f>IF(AND(G1456&gt;0,H1456&gt;0),G1456/H1456,"")</f>
        <v/>
      </c>
    </row>
    <row r="1457">
      <c r="A1457" s="4" t="inlineStr">
        <is>
          <t>101</t>
        </is>
      </c>
      <c r="B1457" s="4" t="n">
        <v>1</v>
      </c>
      <c r="C1457" s="4" t="inlineStr">
        <is>
          <t>elk</t>
        </is>
      </c>
      <c r="D1457" s="4" t="n">
        <v>2025</v>
      </c>
      <c r="E1457" s="13" t="inlineStr">
        <is>
          <t>General</t>
        </is>
      </c>
      <c r="F1457" s="5" t="n"/>
      <c r="G1457" s="5" t="n"/>
      <c r="H1457" s="5" t="n">
        <v>195</v>
      </c>
      <c r="I1457" s="5" t="n">
        <v>131</v>
      </c>
      <c r="J1457" s="5" t="n">
        <v>64</v>
      </c>
      <c r="K1457" s="10">
        <f>IF(F1457&gt;0,H1457/F1457,"")</f>
        <v/>
      </c>
      <c r="L1457" s="16">
        <f>IF(AND(G1457&gt;0,H1457&gt;0),G1457/H1457,"")</f>
        <v/>
      </c>
    </row>
    <row r="1458">
      <c r="A1458" s="4" t="inlineStr">
        <is>
          <t>102</t>
        </is>
      </c>
      <c r="B1458" s="4" t="n">
        <v>1</v>
      </c>
      <c r="C1458" s="4" t="inlineStr">
        <is>
          <t>elk</t>
        </is>
      </c>
      <c r="D1458" s="4" t="n">
        <v>2004</v>
      </c>
      <c r="E1458" s="4" t="inlineStr"/>
      <c r="F1458" s="5" t="n">
        <v>1437</v>
      </c>
      <c r="G1458" s="5" t="n">
        <v>8420</v>
      </c>
      <c r="H1458" s="5" t="n">
        <v>35</v>
      </c>
      <c r="I1458" s="5" t="n">
        <v>16</v>
      </c>
      <c r="J1458" s="5" t="n">
        <v>14</v>
      </c>
      <c r="K1458" s="10">
        <f>IF(F1458&gt;0,H1458/F1458,"")</f>
        <v/>
      </c>
      <c r="L1458" s="16">
        <f>IF(AND(G1458&gt;0,H1458&gt;0),G1458/H1458,"")</f>
        <v/>
      </c>
    </row>
    <row r="1459">
      <c r="A1459" s="4" t="inlineStr">
        <is>
          <t>102</t>
        </is>
      </c>
      <c r="B1459" s="4" t="n">
        <v>1</v>
      </c>
      <c r="C1459" s="4" t="inlineStr">
        <is>
          <t>elk</t>
        </is>
      </c>
      <c r="D1459" s="4" t="n">
        <v>2005</v>
      </c>
      <c r="E1459" s="4" t="inlineStr"/>
      <c r="F1459" s="5" t="n">
        <v>1335</v>
      </c>
      <c r="G1459" s="5" t="n">
        <v>8341</v>
      </c>
      <c r="H1459" s="5" t="n">
        <v>76</v>
      </c>
      <c r="I1459" s="5" t="n">
        <v>61</v>
      </c>
      <c r="J1459" s="5" t="n">
        <v>14</v>
      </c>
      <c r="K1459" s="10">
        <f>IF(F1459&gt;0,H1459/F1459,"")</f>
        <v/>
      </c>
      <c r="L1459" s="16">
        <f>IF(AND(G1459&gt;0,H1459&gt;0),G1459/H1459,"")</f>
        <v/>
      </c>
    </row>
    <row r="1460">
      <c r="A1460" s="4" t="inlineStr">
        <is>
          <t>102</t>
        </is>
      </c>
      <c r="B1460" s="4" t="n">
        <v>1</v>
      </c>
      <c r="C1460" s="4" t="inlineStr">
        <is>
          <t>elk</t>
        </is>
      </c>
      <c r="D1460" s="4" t="n">
        <v>2006</v>
      </c>
      <c r="E1460" s="4" t="inlineStr"/>
      <c r="F1460" s="5" t="n">
        <v>1469</v>
      </c>
      <c r="G1460" s="5" t="n">
        <v>9771</v>
      </c>
      <c r="H1460" s="5" t="n">
        <v>52</v>
      </c>
      <c r="I1460" s="5" t="n">
        <v>34</v>
      </c>
      <c r="J1460" s="5" t="n">
        <v>15</v>
      </c>
      <c r="K1460" s="10">
        <f>IF(F1460&gt;0,H1460/F1460,"")</f>
        <v/>
      </c>
      <c r="L1460" s="16">
        <f>IF(AND(G1460&gt;0,H1460&gt;0),G1460/H1460,"")</f>
        <v/>
      </c>
    </row>
    <row r="1461">
      <c r="A1461" s="4" t="inlineStr">
        <is>
          <t>102</t>
        </is>
      </c>
      <c r="B1461" s="4" t="n">
        <v>1</v>
      </c>
      <c r="C1461" s="4" t="inlineStr">
        <is>
          <t>elk</t>
        </is>
      </c>
      <c r="D1461" s="4" t="n">
        <v>2007</v>
      </c>
      <c r="E1461" s="4" t="inlineStr"/>
      <c r="F1461" s="5" t="n">
        <v>1654</v>
      </c>
      <c r="G1461" s="5" t="n">
        <v>11776</v>
      </c>
      <c r="H1461" s="5" t="n">
        <v>90</v>
      </c>
      <c r="I1461" s="5" t="n">
        <v>66</v>
      </c>
      <c r="J1461" s="5" t="n">
        <v>24</v>
      </c>
      <c r="K1461" s="10">
        <f>IF(F1461&gt;0,H1461/F1461,"")</f>
        <v/>
      </c>
      <c r="L1461" s="16">
        <f>IF(AND(G1461&gt;0,H1461&gt;0),G1461/H1461,"")</f>
        <v/>
      </c>
    </row>
    <row r="1462">
      <c r="A1462" s="4" t="inlineStr">
        <is>
          <t>102</t>
        </is>
      </c>
      <c r="B1462" s="4" t="n">
        <v>1</v>
      </c>
      <c r="C1462" s="4" t="inlineStr">
        <is>
          <t>elk</t>
        </is>
      </c>
      <c r="D1462" s="4" t="n">
        <v>2008</v>
      </c>
      <c r="E1462" s="4" t="inlineStr"/>
      <c r="F1462" s="5" t="n">
        <v>1531</v>
      </c>
      <c r="G1462" s="5" t="n">
        <v>12164</v>
      </c>
      <c r="H1462" s="5" t="n">
        <v>51</v>
      </c>
      <c r="I1462" s="5" t="n">
        <v>33</v>
      </c>
      <c r="J1462" s="5" t="n">
        <v>18</v>
      </c>
      <c r="K1462" s="10">
        <f>IF(F1462&gt;0,H1462/F1462,"")</f>
        <v/>
      </c>
      <c r="L1462" s="16">
        <f>IF(AND(G1462&gt;0,H1462&gt;0),G1462/H1462,"")</f>
        <v/>
      </c>
    </row>
    <row r="1463">
      <c r="A1463" s="4" t="inlineStr">
        <is>
          <t>102</t>
        </is>
      </c>
      <c r="B1463" s="4" t="n">
        <v>1</v>
      </c>
      <c r="C1463" s="4" t="inlineStr">
        <is>
          <t>elk</t>
        </is>
      </c>
      <c r="D1463" s="4" t="n">
        <v>2009</v>
      </c>
      <c r="E1463" s="4" t="inlineStr"/>
      <c r="F1463" s="5" t="n">
        <v>1517</v>
      </c>
      <c r="G1463" s="5" t="n">
        <v>10494</v>
      </c>
      <c r="H1463" s="5" t="n">
        <v>50</v>
      </c>
      <c r="I1463" s="5" t="n">
        <v>32</v>
      </c>
      <c r="J1463" s="5" t="n">
        <v>18</v>
      </c>
      <c r="K1463" s="10">
        <f>IF(F1463&gt;0,H1463/F1463,"")</f>
        <v/>
      </c>
      <c r="L1463" s="16">
        <f>IF(AND(G1463&gt;0,H1463&gt;0),G1463/H1463,"")</f>
        <v/>
      </c>
    </row>
    <row r="1464">
      <c r="A1464" s="4" t="inlineStr">
        <is>
          <t>102</t>
        </is>
      </c>
      <c r="B1464" s="4" t="n">
        <v>1</v>
      </c>
      <c r="C1464" s="4" t="inlineStr">
        <is>
          <t>elk</t>
        </is>
      </c>
      <c r="D1464" s="4" t="n">
        <v>2010</v>
      </c>
      <c r="E1464" s="4" t="inlineStr"/>
      <c r="F1464" s="5" t="n">
        <v>1384</v>
      </c>
      <c r="G1464" s="5" t="n">
        <v>9938</v>
      </c>
      <c r="H1464" s="5" t="n">
        <v>42</v>
      </c>
      <c r="I1464" s="5" t="n">
        <v>28</v>
      </c>
      <c r="J1464" s="5" t="n">
        <v>14</v>
      </c>
      <c r="K1464" s="10">
        <f>IF(F1464&gt;0,H1464/F1464,"")</f>
        <v/>
      </c>
      <c r="L1464" s="16">
        <f>IF(AND(G1464&gt;0,H1464&gt;0),G1464/H1464,"")</f>
        <v/>
      </c>
    </row>
    <row r="1465">
      <c r="A1465" s="4" t="inlineStr">
        <is>
          <t>102</t>
        </is>
      </c>
      <c r="B1465" s="4" t="n">
        <v>1</v>
      </c>
      <c r="C1465" s="4" t="inlineStr">
        <is>
          <t>elk</t>
        </is>
      </c>
      <c r="D1465" s="4" t="n">
        <v>2011</v>
      </c>
      <c r="E1465" s="4" t="inlineStr"/>
      <c r="F1465" s="5" t="n">
        <v>1600</v>
      </c>
      <c r="G1465" s="5" t="n">
        <v>10220</v>
      </c>
      <c r="H1465" s="5" t="n">
        <v>53</v>
      </c>
      <c r="I1465" s="5" t="n">
        <v>31</v>
      </c>
      <c r="J1465" s="5" t="n">
        <v>22</v>
      </c>
      <c r="K1465" s="10">
        <f>IF(F1465&gt;0,H1465/F1465,"")</f>
        <v/>
      </c>
      <c r="L1465" s="16">
        <f>IF(AND(G1465&gt;0,H1465&gt;0),G1465/H1465,"")</f>
        <v/>
      </c>
    </row>
    <row r="1466">
      <c r="A1466" s="4" t="inlineStr">
        <is>
          <t>102</t>
        </is>
      </c>
      <c r="B1466" s="4" t="n">
        <v>1</v>
      </c>
      <c r="C1466" s="4" t="inlineStr">
        <is>
          <t>elk</t>
        </is>
      </c>
      <c r="D1466" s="4" t="n">
        <v>2012</v>
      </c>
      <c r="E1466" s="4" t="inlineStr"/>
      <c r="F1466" s="5" t="n">
        <v>1428</v>
      </c>
      <c r="G1466" s="5" t="n">
        <v>9733</v>
      </c>
      <c r="H1466" s="5" t="n">
        <v>36</v>
      </c>
      <c r="I1466" s="5" t="n">
        <v>33</v>
      </c>
      <c r="J1466" s="5" t="n">
        <v>3</v>
      </c>
      <c r="K1466" s="10">
        <f>IF(F1466&gt;0,H1466/F1466,"")</f>
        <v/>
      </c>
      <c r="L1466" s="16">
        <f>IF(AND(G1466&gt;0,H1466&gt;0),G1466/H1466,"")</f>
        <v/>
      </c>
    </row>
    <row r="1467">
      <c r="A1467" s="4" t="inlineStr">
        <is>
          <t>102</t>
        </is>
      </c>
      <c r="B1467" s="4" t="n">
        <v>1</v>
      </c>
      <c r="C1467" s="4" t="inlineStr">
        <is>
          <t>elk</t>
        </is>
      </c>
      <c r="D1467" s="4" t="n">
        <v>2013</v>
      </c>
      <c r="E1467" s="4" t="inlineStr"/>
      <c r="F1467" s="5" t="n"/>
      <c r="G1467" s="5" t="n"/>
      <c r="H1467" s="5" t="n">
        <v>53</v>
      </c>
      <c r="I1467" s="5" t="n">
        <v>45</v>
      </c>
      <c r="J1467" s="5" t="n">
        <v>8</v>
      </c>
      <c r="K1467" s="10">
        <f>IF(F1467&gt;0,H1467/F1467,"")</f>
        <v/>
      </c>
      <c r="L1467" s="16">
        <f>IF(AND(G1467&gt;0,H1467&gt;0),G1467/H1467,"")</f>
        <v/>
      </c>
    </row>
    <row r="1468">
      <c r="A1468" s="4" t="inlineStr">
        <is>
          <t>102</t>
        </is>
      </c>
      <c r="B1468" s="4" t="n">
        <v>1</v>
      </c>
      <c r="C1468" s="4" t="inlineStr">
        <is>
          <t>elk</t>
        </is>
      </c>
      <c r="D1468" s="4" t="n">
        <v>2014</v>
      </c>
      <c r="E1468" s="4" t="inlineStr"/>
      <c r="F1468" s="5" t="n">
        <v>1140</v>
      </c>
      <c r="G1468" s="5" t="n">
        <v>7979</v>
      </c>
      <c r="H1468" s="5" t="n">
        <v>38</v>
      </c>
      <c r="I1468" s="5" t="n">
        <v>31</v>
      </c>
      <c r="J1468" s="5" t="n">
        <v>7</v>
      </c>
      <c r="K1468" s="10">
        <f>IF(F1468&gt;0,H1468/F1468,"")</f>
        <v/>
      </c>
      <c r="L1468" s="16">
        <f>IF(AND(G1468&gt;0,H1468&gt;0),G1468/H1468,"")</f>
        <v/>
      </c>
    </row>
    <row r="1469">
      <c r="A1469" s="4" t="inlineStr">
        <is>
          <t>102</t>
        </is>
      </c>
      <c r="B1469" s="4" t="n">
        <v>1</v>
      </c>
      <c r="C1469" s="4" t="inlineStr">
        <is>
          <t>elk</t>
        </is>
      </c>
      <c r="D1469" s="4" t="n">
        <v>2015</v>
      </c>
      <c r="E1469" s="4" t="inlineStr"/>
      <c r="F1469" s="5" t="n">
        <v>1458</v>
      </c>
      <c r="G1469" s="5" t="n">
        <v>11160</v>
      </c>
      <c r="H1469" s="5" t="n">
        <v>33</v>
      </c>
      <c r="I1469" s="5" t="n">
        <v>23</v>
      </c>
      <c r="J1469" s="5" t="n">
        <v>9</v>
      </c>
      <c r="K1469" s="10">
        <f>IF(F1469&gt;0,H1469/F1469,"")</f>
        <v/>
      </c>
      <c r="L1469" s="16">
        <f>IF(AND(G1469&gt;0,H1469&gt;0),G1469/H1469,"")</f>
        <v/>
      </c>
    </row>
    <row r="1470">
      <c r="A1470" s="4" t="inlineStr">
        <is>
          <t>102</t>
        </is>
      </c>
      <c r="B1470" s="4" t="n">
        <v>1</v>
      </c>
      <c r="C1470" s="4" t="inlineStr">
        <is>
          <t>elk</t>
        </is>
      </c>
      <c r="D1470" s="4" t="n">
        <v>2016</v>
      </c>
      <c r="E1470" s="4" t="inlineStr"/>
      <c r="F1470" s="5" t="n">
        <v>1445</v>
      </c>
      <c r="G1470" s="5" t="n">
        <v>11786</v>
      </c>
      <c r="H1470" s="5" t="n">
        <v>35</v>
      </c>
      <c r="I1470" s="5" t="n">
        <v>28</v>
      </c>
      <c r="J1470" s="5" t="n">
        <v>7</v>
      </c>
      <c r="K1470" s="10">
        <f>IF(F1470&gt;0,H1470/F1470,"")</f>
        <v/>
      </c>
      <c r="L1470" s="16">
        <f>IF(AND(G1470&gt;0,H1470&gt;0),G1470/H1470,"")</f>
        <v/>
      </c>
    </row>
    <row r="1471">
      <c r="A1471" s="4" t="inlineStr">
        <is>
          <t>102</t>
        </is>
      </c>
      <c r="B1471" s="4" t="n">
        <v>1</v>
      </c>
      <c r="C1471" s="4" t="inlineStr">
        <is>
          <t>elk</t>
        </is>
      </c>
      <c r="D1471" s="4" t="n">
        <v>2017</v>
      </c>
      <c r="E1471" s="4" t="inlineStr"/>
      <c r="F1471" s="5" t="n"/>
      <c r="G1471" s="5" t="n"/>
      <c r="H1471" s="5" t="n">
        <v>29</v>
      </c>
      <c r="I1471" s="5" t="n">
        <v>23</v>
      </c>
      <c r="J1471" s="5" t="n">
        <v>6</v>
      </c>
      <c r="K1471" s="10">
        <f>IF(F1471&gt;0,H1471/F1471,"")</f>
        <v/>
      </c>
      <c r="L1471" s="16">
        <f>IF(AND(G1471&gt;0,H1471&gt;0),G1471/H1471,"")</f>
        <v/>
      </c>
    </row>
    <row r="1472">
      <c r="A1472" s="4" t="inlineStr">
        <is>
          <t>102</t>
        </is>
      </c>
      <c r="B1472" s="4" t="n">
        <v>1</v>
      </c>
      <c r="C1472" s="4" t="inlineStr">
        <is>
          <t>elk</t>
        </is>
      </c>
      <c r="D1472" s="4" t="n">
        <v>2018</v>
      </c>
      <c r="E1472" s="4" t="inlineStr"/>
      <c r="F1472" s="5" t="n">
        <v>1394</v>
      </c>
      <c r="G1472" s="5" t="n">
        <v>9980</v>
      </c>
      <c r="H1472" s="5" t="n">
        <v>23</v>
      </c>
      <c r="I1472" s="5" t="n">
        <v>20</v>
      </c>
      <c r="J1472" s="5" t="n">
        <v>3</v>
      </c>
      <c r="K1472" s="10">
        <f>IF(F1472&gt;0,H1472/F1472,"")</f>
        <v/>
      </c>
      <c r="L1472" s="16">
        <f>IF(AND(G1472&gt;0,H1472&gt;0),G1472/H1472,"")</f>
        <v/>
      </c>
    </row>
    <row r="1473">
      <c r="A1473" s="4" t="inlineStr">
        <is>
          <t>102</t>
        </is>
      </c>
      <c r="B1473" s="4" t="n">
        <v>1</v>
      </c>
      <c r="C1473" s="4" t="inlineStr">
        <is>
          <t>elk</t>
        </is>
      </c>
      <c r="D1473" s="4" t="n">
        <v>2019</v>
      </c>
      <c r="E1473" s="4" t="inlineStr"/>
      <c r="F1473" s="5" t="n"/>
      <c r="G1473" s="5" t="n"/>
      <c r="H1473" s="5" t="n">
        <v>32</v>
      </c>
      <c r="I1473" s="5" t="n">
        <v>26</v>
      </c>
      <c r="J1473" s="5" t="n">
        <v>6</v>
      </c>
      <c r="K1473" s="10">
        <f>IF(F1473&gt;0,H1473/F1473,"")</f>
        <v/>
      </c>
      <c r="L1473" s="16">
        <f>IF(AND(G1473&gt;0,H1473&gt;0),G1473/H1473,"")</f>
        <v/>
      </c>
    </row>
    <row r="1474">
      <c r="A1474" s="4" t="inlineStr">
        <is>
          <t>102</t>
        </is>
      </c>
      <c r="B1474" s="4" t="n">
        <v>1</v>
      </c>
      <c r="C1474" s="4" t="inlineStr">
        <is>
          <t>elk</t>
        </is>
      </c>
      <c r="D1474" s="4" t="n">
        <v>2020</v>
      </c>
      <c r="E1474" s="4" t="inlineStr"/>
      <c r="F1474" s="5" t="n">
        <v>1042</v>
      </c>
      <c r="G1474" s="5" t="n">
        <v>9914</v>
      </c>
      <c r="H1474" s="5" t="n">
        <v>21</v>
      </c>
      <c r="I1474" s="5" t="n">
        <v>10</v>
      </c>
      <c r="J1474" s="5" t="n">
        <v>7</v>
      </c>
      <c r="K1474" s="10">
        <f>IF(F1474&gt;0,H1474/F1474,"")</f>
        <v/>
      </c>
      <c r="L1474" s="16">
        <f>IF(AND(G1474&gt;0,H1474&gt;0),G1474/H1474,"")</f>
        <v/>
      </c>
    </row>
    <row r="1475">
      <c r="A1475" s="4" t="inlineStr">
        <is>
          <t>102</t>
        </is>
      </c>
      <c r="B1475" s="4" t="n">
        <v>1</v>
      </c>
      <c r="C1475" s="4" t="inlineStr">
        <is>
          <t>elk</t>
        </is>
      </c>
      <c r="D1475" s="4" t="n">
        <v>2021</v>
      </c>
      <c r="E1475" s="4" t="inlineStr"/>
      <c r="F1475" s="5" t="n"/>
      <c r="G1475" s="5" t="n"/>
      <c r="H1475" s="5" t="n">
        <v>29</v>
      </c>
      <c r="I1475" s="5" t="n">
        <v>29</v>
      </c>
      <c r="J1475" s="5" t="n">
        <v>0</v>
      </c>
      <c r="K1475" s="10">
        <f>IF(F1475&gt;0,H1475/F1475,"")</f>
        <v/>
      </c>
      <c r="L1475" s="16">
        <f>IF(AND(G1475&gt;0,H1475&gt;0),G1475/H1475,"")</f>
        <v/>
      </c>
    </row>
    <row r="1476">
      <c r="A1476" s="4" t="inlineStr">
        <is>
          <t>103</t>
        </is>
      </c>
      <c r="B1476" s="4" t="n">
        <v>1</v>
      </c>
      <c r="C1476" s="4" t="inlineStr">
        <is>
          <t>elk</t>
        </is>
      </c>
      <c r="D1476" s="4" t="n">
        <v>2004</v>
      </c>
      <c r="E1476" s="13" t="inlineStr">
        <is>
          <t>General</t>
        </is>
      </c>
      <c r="F1476" s="5" t="n">
        <v>2559</v>
      </c>
      <c r="G1476" s="5" t="n">
        <v>16597</v>
      </c>
      <c r="H1476" s="5" t="n">
        <v>139</v>
      </c>
      <c r="I1476" s="5" t="n">
        <v>68</v>
      </c>
      <c r="J1476" s="5" t="n">
        <v>61</v>
      </c>
      <c r="K1476" s="10">
        <f>IF(F1476&gt;0,H1476/F1476,"")</f>
        <v/>
      </c>
      <c r="L1476" s="16">
        <f>IF(AND(G1476&gt;0,H1476&gt;0),G1476/H1476,"")</f>
        <v/>
      </c>
    </row>
    <row r="1477">
      <c r="A1477" s="4" t="inlineStr">
        <is>
          <t>103</t>
        </is>
      </c>
      <c r="B1477" s="4" t="n">
        <v>1</v>
      </c>
      <c r="C1477" s="4" t="inlineStr">
        <is>
          <t>elk</t>
        </is>
      </c>
      <c r="D1477" s="4" t="n">
        <v>2005</v>
      </c>
      <c r="E1477" s="13" t="inlineStr">
        <is>
          <t>General</t>
        </is>
      </c>
      <c r="F1477" s="5" t="n">
        <v>2255</v>
      </c>
      <c r="G1477" s="5" t="n">
        <v>16944</v>
      </c>
      <c r="H1477" s="5" t="n">
        <v>141</v>
      </c>
      <c r="I1477" s="5" t="n">
        <v>82</v>
      </c>
      <c r="J1477" s="5" t="n">
        <v>51</v>
      </c>
      <c r="K1477" s="10">
        <f>IF(F1477&gt;0,H1477/F1477,"")</f>
        <v/>
      </c>
      <c r="L1477" s="16">
        <f>IF(AND(G1477&gt;0,H1477&gt;0),G1477/H1477,"")</f>
        <v/>
      </c>
    </row>
    <row r="1478">
      <c r="A1478" s="4" t="inlineStr">
        <is>
          <t>103</t>
        </is>
      </c>
      <c r="B1478" s="4" t="n">
        <v>1</v>
      </c>
      <c r="C1478" s="4" t="inlineStr">
        <is>
          <t>elk</t>
        </is>
      </c>
      <c r="D1478" s="4" t="n">
        <v>2006</v>
      </c>
      <c r="E1478" s="13" t="inlineStr">
        <is>
          <t>General</t>
        </is>
      </c>
      <c r="F1478" s="5" t="n">
        <v>2184</v>
      </c>
      <c r="G1478" s="5" t="n">
        <v>16693</v>
      </c>
      <c r="H1478" s="5" t="n">
        <v>160</v>
      </c>
      <c r="I1478" s="5" t="n">
        <v>92</v>
      </c>
      <c r="J1478" s="5" t="n">
        <v>66</v>
      </c>
      <c r="K1478" s="10">
        <f>IF(F1478&gt;0,H1478/F1478,"")</f>
        <v/>
      </c>
      <c r="L1478" s="16">
        <f>IF(AND(G1478&gt;0,H1478&gt;0),G1478/H1478,"")</f>
        <v/>
      </c>
    </row>
    <row r="1479">
      <c r="A1479" s="4" t="inlineStr">
        <is>
          <t>103</t>
        </is>
      </c>
      <c r="B1479" s="4" t="n">
        <v>1</v>
      </c>
      <c r="C1479" s="4" t="inlineStr">
        <is>
          <t>elk</t>
        </is>
      </c>
      <c r="D1479" s="4" t="n">
        <v>2007</v>
      </c>
      <c r="E1479" s="13" t="inlineStr">
        <is>
          <t>General</t>
        </is>
      </c>
      <c r="F1479" s="5" t="n">
        <v>2227</v>
      </c>
      <c r="G1479" s="5" t="n">
        <v>16884</v>
      </c>
      <c r="H1479" s="5" t="n">
        <v>146</v>
      </c>
      <c r="I1479" s="5" t="n">
        <v>51</v>
      </c>
      <c r="J1479" s="5" t="n">
        <v>93</v>
      </c>
      <c r="K1479" s="10">
        <f>IF(F1479&gt;0,H1479/F1479,"")</f>
        <v/>
      </c>
      <c r="L1479" s="16">
        <f>IF(AND(G1479&gt;0,H1479&gt;0),G1479/H1479,"")</f>
        <v/>
      </c>
    </row>
    <row r="1480">
      <c r="A1480" s="4" t="inlineStr">
        <is>
          <t>103</t>
        </is>
      </c>
      <c r="B1480" s="4" t="n">
        <v>1</v>
      </c>
      <c r="C1480" s="4" t="inlineStr">
        <is>
          <t>elk</t>
        </is>
      </c>
      <c r="D1480" s="4" t="n">
        <v>2008</v>
      </c>
      <c r="E1480" s="13" t="inlineStr">
        <is>
          <t>General</t>
        </is>
      </c>
      <c r="F1480" s="5" t="n">
        <v>2256</v>
      </c>
      <c r="G1480" s="5" t="n">
        <v>19507</v>
      </c>
      <c r="H1480" s="5" t="n">
        <v>116</v>
      </c>
      <c r="I1480" s="5" t="n">
        <v>61</v>
      </c>
      <c r="J1480" s="5" t="n">
        <v>53</v>
      </c>
      <c r="K1480" s="10">
        <f>IF(F1480&gt;0,H1480/F1480,"")</f>
        <v/>
      </c>
      <c r="L1480" s="16">
        <f>IF(AND(G1480&gt;0,H1480&gt;0),G1480/H1480,"")</f>
        <v/>
      </c>
    </row>
    <row r="1481">
      <c r="A1481" s="4" t="inlineStr">
        <is>
          <t>103</t>
        </is>
      </c>
      <c r="B1481" s="4" t="n">
        <v>1</v>
      </c>
      <c r="C1481" s="4" t="inlineStr">
        <is>
          <t>elk</t>
        </is>
      </c>
      <c r="D1481" s="4" t="n">
        <v>2009</v>
      </c>
      <c r="E1481" s="13" t="inlineStr">
        <is>
          <t>General</t>
        </is>
      </c>
      <c r="F1481" s="5" t="n">
        <v>2066</v>
      </c>
      <c r="G1481" s="5" t="n">
        <v>16815</v>
      </c>
      <c r="H1481" s="5" t="n">
        <v>108</v>
      </c>
      <c r="I1481" s="5" t="n">
        <v>64</v>
      </c>
      <c r="J1481" s="5" t="n">
        <v>39</v>
      </c>
      <c r="K1481" s="10">
        <f>IF(F1481&gt;0,H1481/F1481,"")</f>
        <v/>
      </c>
      <c r="L1481" s="16">
        <f>IF(AND(G1481&gt;0,H1481&gt;0),G1481/H1481,"")</f>
        <v/>
      </c>
    </row>
    <row r="1482">
      <c r="A1482" s="4" t="inlineStr">
        <is>
          <t>103</t>
        </is>
      </c>
      <c r="B1482" s="4" t="n">
        <v>1</v>
      </c>
      <c r="C1482" s="4" t="inlineStr">
        <is>
          <t>elk</t>
        </is>
      </c>
      <c r="D1482" s="4" t="n">
        <v>2010</v>
      </c>
      <c r="E1482" s="13" t="inlineStr">
        <is>
          <t>General</t>
        </is>
      </c>
      <c r="F1482" s="5" t="n">
        <v>2051</v>
      </c>
      <c r="G1482" s="5" t="n">
        <v>16654</v>
      </c>
      <c r="H1482" s="5" t="n">
        <v>119</v>
      </c>
      <c r="I1482" s="5" t="n">
        <v>61</v>
      </c>
      <c r="J1482" s="5" t="n">
        <v>55</v>
      </c>
      <c r="K1482" s="10">
        <f>IF(F1482&gt;0,H1482/F1482,"")</f>
        <v/>
      </c>
      <c r="L1482" s="16">
        <f>IF(AND(G1482&gt;0,H1482&gt;0),G1482/H1482,"")</f>
        <v/>
      </c>
    </row>
    <row r="1483">
      <c r="A1483" s="4" t="inlineStr">
        <is>
          <t>103</t>
        </is>
      </c>
      <c r="B1483" s="4" t="n">
        <v>1</v>
      </c>
      <c r="C1483" s="4" t="inlineStr">
        <is>
          <t>elk</t>
        </is>
      </c>
      <c r="D1483" s="4" t="n">
        <v>2011</v>
      </c>
      <c r="E1483" s="13" t="inlineStr">
        <is>
          <t>General</t>
        </is>
      </c>
      <c r="F1483" s="5" t="n">
        <v>1990</v>
      </c>
      <c r="G1483" s="5" t="n">
        <v>16409</v>
      </c>
      <c r="H1483" s="5" t="n">
        <v>78</v>
      </c>
      <c r="I1483" s="5" t="n">
        <v>36</v>
      </c>
      <c r="J1483" s="5" t="n">
        <v>34</v>
      </c>
      <c r="K1483" s="10">
        <f>IF(F1483&gt;0,H1483/F1483,"")</f>
        <v/>
      </c>
      <c r="L1483" s="16">
        <f>IF(AND(G1483&gt;0,H1483&gt;0),G1483/H1483,"")</f>
        <v/>
      </c>
    </row>
    <row r="1484">
      <c r="A1484" s="4" t="inlineStr">
        <is>
          <t>103</t>
        </is>
      </c>
      <c r="B1484" s="4" t="n">
        <v>1</v>
      </c>
      <c r="C1484" s="4" t="inlineStr">
        <is>
          <t>elk</t>
        </is>
      </c>
      <c r="D1484" s="4" t="n">
        <v>2012</v>
      </c>
      <c r="E1484" s="13" t="inlineStr">
        <is>
          <t>General</t>
        </is>
      </c>
      <c r="F1484" s="5" t="n">
        <v>1752</v>
      </c>
      <c r="G1484" s="5" t="n">
        <v>14002</v>
      </c>
      <c r="H1484" s="5" t="n">
        <v>32</v>
      </c>
      <c r="I1484" s="5" t="n">
        <v>31</v>
      </c>
      <c r="J1484" s="5" t="n">
        <v>1</v>
      </c>
      <c r="K1484" s="10">
        <f>IF(F1484&gt;0,H1484/F1484,"")</f>
        <v/>
      </c>
      <c r="L1484" s="16">
        <f>IF(AND(G1484&gt;0,H1484&gt;0),G1484/H1484,"")</f>
        <v/>
      </c>
    </row>
    <row r="1485">
      <c r="A1485" s="4" t="inlineStr">
        <is>
          <t>103</t>
        </is>
      </c>
      <c r="B1485" s="4" t="n">
        <v>1</v>
      </c>
      <c r="C1485" s="4" t="inlineStr">
        <is>
          <t>elk</t>
        </is>
      </c>
      <c r="D1485" s="4" t="n">
        <v>2013</v>
      </c>
      <c r="E1485" s="13" t="inlineStr">
        <is>
          <t>General</t>
        </is>
      </c>
      <c r="F1485" s="5" t="n"/>
      <c r="G1485" s="5" t="n"/>
      <c r="H1485" s="5" t="n">
        <v>45</v>
      </c>
      <c r="I1485" s="5" t="n">
        <v>34</v>
      </c>
      <c r="J1485" s="5" t="n">
        <v>9</v>
      </c>
      <c r="K1485" s="10">
        <f>IF(F1485&gt;0,H1485/F1485,"")</f>
        <v/>
      </c>
      <c r="L1485" s="16">
        <f>IF(AND(G1485&gt;0,H1485&gt;0),G1485/H1485,"")</f>
        <v/>
      </c>
    </row>
    <row r="1486">
      <c r="A1486" s="4" t="inlineStr">
        <is>
          <t>103</t>
        </is>
      </c>
      <c r="B1486" s="4" t="n">
        <v>1</v>
      </c>
      <c r="C1486" s="4" t="inlineStr">
        <is>
          <t>elk</t>
        </is>
      </c>
      <c r="D1486" s="4" t="n">
        <v>2014</v>
      </c>
      <c r="E1486" s="13" t="inlineStr">
        <is>
          <t>General</t>
        </is>
      </c>
      <c r="F1486" s="5" t="n">
        <v>1892</v>
      </c>
      <c r="G1486" s="5" t="n">
        <v>14191</v>
      </c>
      <c r="H1486" s="5" t="n">
        <v>64</v>
      </c>
      <c r="I1486" s="5" t="n">
        <v>56</v>
      </c>
      <c r="J1486" s="5" t="n">
        <v>8</v>
      </c>
      <c r="K1486" s="10">
        <f>IF(F1486&gt;0,H1486/F1486,"")</f>
        <v/>
      </c>
      <c r="L1486" s="16">
        <f>IF(AND(G1486&gt;0,H1486&gt;0),G1486/H1486,"")</f>
        <v/>
      </c>
    </row>
    <row r="1487">
      <c r="A1487" s="4" t="inlineStr">
        <is>
          <t>103</t>
        </is>
      </c>
      <c r="B1487" s="4" t="n">
        <v>1</v>
      </c>
      <c r="C1487" s="4" t="inlineStr">
        <is>
          <t>elk</t>
        </is>
      </c>
      <c r="D1487" s="4" t="n">
        <v>2015</v>
      </c>
      <c r="E1487" s="13" t="inlineStr">
        <is>
          <t>General</t>
        </is>
      </c>
      <c r="F1487" s="5" t="n">
        <v>1678</v>
      </c>
      <c r="G1487" s="5" t="n">
        <v>14995</v>
      </c>
      <c r="H1487" s="5" t="n">
        <v>78</v>
      </c>
      <c r="I1487" s="5" t="n">
        <v>67</v>
      </c>
      <c r="J1487" s="5" t="n">
        <v>8</v>
      </c>
      <c r="K1487" s="10">
        <f>IF(F1487&gt;0,H1487/F1487,"")</f>
        <v/>
      </c>
      <c r="L1487" s="16">
        <f>IF(AND(G1487&gt;0,H1487&gt;0),G1487/H1487,"")</f>
        <v/>
      </c>
    </row>
    <row r="1488">
      <c r="A1488" s="4" t="inlineStr">
        <is>
          <t>103</t>
        </is>
      </c>
      <c r="B1488" s="4" t="n">
        <v>1</v>
      </c>
      <c r="C1488" s="4" t="inlineStr">
        <is>
          <t>elk</t>
        </is>
      </c>
      <c r="D1488" s="4" t="n">
        <v>2016</v>
      </c>
      <c r="E1488" s="13" t="inlineStr">
        <is>
          <t>General</t>
        </is>
      </c>
      <c r="F1488" s="5" t="n">
        <v>1797</v>
      </c>
      <c r="G1488" s="5" t="n">
        <v>16046</v>
      </c>
      <c r="H1488" s="5" t="n">
        <v>63</v>
      </c>
      <c r="I1488" s="5" t="n">
        <v>47</v>
      </c>
      <c r="J1488" s="5" t="n">
        <v>16</v>
      </c>
      <c r="K1488" s="10">
        <f>IF(F1488&gt;0,H1488/F1488,"")</f>
        <v/>
      </c>
      <c r="L1488" s="16">
        <f>IF(AND(G1488&gt;0,H1488&gt;0),G1488/H1488,"")</f>
        <v/>
      </c>
    </row>
    <row r="1489">
      <c r="A1489" s="4" t="inlineStr">
        <is>
          <t>103</t>
        </is>
      </c>
      <c r="B1489" s="4" t="n">
        <v>1</v>
      </c>
      <c r="C1489" s="4" t="inlineStr">
        <is>
          <t>elk</t>
        </is>
      </c>
      <c r="D1489" s="4" t="n">
        <v>2017</v>
      </c>
      <c r="E1489" s="13" t="inlineStr">
        <is>
          <t>General</t>
        </is>
      </c>
      <c r="F1489" s="5" t="n"/>
      <c r="G1489" s="5" t="n"/>
      <c r="H1489" s="5" t="n">
        <v>47</v>
      </c>
      <c r="I1489" s="5" t="n">
        <v>30</v>
      </c>
      <c r="J1489" s="5" t="n">
        <v>14</v>
      </c>
      <c r="K1489" s="10">
        <f>IF(F1489&gt;0,H1489/F1489,"")</f>
        <v/>
      </c>
      <c r="L1489" s="16">
        <f>IF(AND(G1489&gt;0,H1489&gt;0),G1489/H1489,"")</f>
        <v/>
      </c>
    </row>
    <row r="1490">
      <c r="A1490" s="4" t="inlineStr">
        <is>
          <t>103</t>
        </is>
      </c>
      <c r="B1490" s="4" t="n">
        <v>1</v>
      </c>
      <c r="C1490" s="4" t="inlineStr">
        <is>
          <t>elk</t>
        </is>
      </c>
      <c r="D1490" s="4" t="n">
        <v>2018</v>
      </c>
      <c r="E1490" s="13" t="inlineStr">
        <is>
          <t>General</t>
        </is>
      </c>
      <c r="F1490" s="5" t="n">
        <v>1724</v>
      </c>
      <c r="G1490" s="5" t="n">
        <v>14478</v>
      </c>
      <c r="H1490" s="5" t="n">
        <v>50</v>
      </c>
      <c r="I1490" s="5" t="n">
        <v>34</v>
      </c>
      <c r="J1490" s="5" t="n">
        <v>16</v>
      </c>
      <c r="K1490" s="10">
        <f>IF(F1490&gt;0,H1490/F1490,"")</f>
        <v/>
      </c>
      <c r="L1490" s="16">
        <f>IF(AND(G1490&gt;0,H1490&gt;0),G1490/H1490,"")</f>
        <v/>
      </c>
    </row>
    <row r="1491">
      <c r="A1491" s="4" t="inlineStr">
        <is>
          <t>103</t>
        </is>
      </c>
      <c r="B1491" s="4" t="n">
        <v>1</v>
      </c>
      <c r="C1491" s="4" t="inlineStr">
        <is>
          <t>elk</t>
        </is>
      </c>
      <c r="D1491" s="4" t="n">
        <v>2019</v>
      </c>
      <c r="E1491" s="13" t="inlineStr">
        <is>
          <t>General</t>
        </is>
      </c>
      <c r="F1491" s="5" t="n"/>
      <c r="G1491" s="5" t="n"/>
      <c r="H1491" s="5" t="n">
        <v>61</v>
      </c>
      <c r="I1491" s="5" t="n">
        <v>44</v>
      </c>
      <c r="J1491" s="5" t="n">
        <v>16</v>
      </c>
      <c r="K1491" s="10">
        <f>IF(F1491&gt;0,H1491/F1491,"")</f>
        <v/>
      </c>
      <c r="L1491" s="16">
        <f>IF(AND(G1491&gt;0,H1491&gt;0),G1491/H1491,"")</f>
        <v/>
      </c>
    </row>
    <row r="1492">
      <c r="A1492" s="4" t="inlineStr">
        <is>
          <t>103</t>
        </is>
      </c>
      <c r="B1492" s="4" t="n">
        <v>1</v>
      </c>
      <c r="C1492" s="4" t="inlineStr">
        <is>
          <t>elk</t>
        </is>
      </c>
      <c r="D1492" s="4" t="n">
        <v>2020</v>
      </c>
      <c r="E1492" s="13" t="inlineStr">
        <is>
          <t>General</t>
        </is>
      </c>
      <c r="F1492" s="5" t="n">
        <v>1536</v>
      </c>
      <c r="G1492" s="5" t="n">
        <v>12809</v>
      </c>
      <c r="H1492" s="5" t="n">
        <v>57</v>
      </c>
      <c r="I1492" s="5" t="n">
        <v>44</v>
      </c>
      <c r="J1492" s="5" t="n">
        <v>13</v>
      </c>
      <c r="K1492" s="10">
        <f>IF(F1492&gt;0,H1492/F1492,"")</f>
        <v/>
      </c>
      <c r="L1492" s="16">
        <f>IF(AND(G1492&gt;0,H1492&gt;0),G1492/H1492,"")</f>
        <v/>
      </c>
    </row>
    <row r="1493">
      <c r="A1493" s="4" t="inlineStr">
        <is>
          <t>103</t>
        </is>
      </c>
      <c r="B1493" s="4" t="n">
        <v>1</v>
      </c>
      <c r="C1493" s="4" t="inlineStr">
        <is>
          <t>elk</t>
        </is>
      </c>
      <c r="D1493" s="4" t="n">
        <v>2021</v>
      </c>
      <c r="E1493" s="13" t="inlineStr">
        <is>
          <t>General</t>
        </is>
      </c>
      <c r="F1493" s="5" t="n"/>
      <c r="G1493" s="5" t="n"/>
      <c r="H1493" s="5" t="n">
        <v>88</v>
      </c>
      <c r="I1493" s="5" t="n">
        <v>71</v>
      </c>
      <c r="J1493" s="5" t="n">
        <v>18</v>
      </c>
      <c r="K1493" s="10">
        <f>IF(F1493&gt;0,H1493/F1493,"")</f>
        <v/>
      </c>
      <c r="L1493" s="16">
        <f>IF(AND(G1493&gt;0,H1493&gt;0),G1493/H1493,"")</f>
        <v/>
      </c>
    </row>
    <row r="1494">
      <c r="A1494" s="4" t="inlineStr">
        <is>
          <t>103</t>
        </is>
      </c>
      <c r="B1494" s="4" t="n">
        <v>1</v>
      </c>
      <c r="C1494" s="4" t="inlineStr">
        <is>
          <t>elk</t>
        </is>
      </c>
      <c r="D1494" s="4" t="n">
        <v>2022</v>
      </c>
      <c r="E1494" s="13" t="inlineStr">
        <is>
          <t>General</t>
        </is>
      </c>
      <c r="F1494" s="5" t="n">
        <v>2737</v>
      </c>
      <c r="G1494" s="5" t="n">
        <v>22224</v>
      </c>
      <c r="H1494" s="5" t="n">
        <v>114</v>
      </c>
      <c r="I1494" s="5" t="n">
        <v>75</v>
      </c>
      <c r="J1494" s="5" t="n">
        <v>39</v>
      </c>
      <c r="K1494" s="10">
        <f>IF(F1494&gt;0,H1494/F1494,"")</f>
        <v/>
      </c>
      <c r="L1494" s="16">
        <f>IF(AND(G1494&gt;0,H1494&gt;0),G1494/H1494,"")</f>
        <v/>
      </c>
    </row>
    <row r="1495">
      <c r="A1495" s="4" t="inlineStr">
        <is>
          <t>103</t>
        </is>
      </c>
      <c r="B1495" s="4" t="n">
        <v>1</v>
      </c>
      <c r="C1495" s="4" t="inlineStr">
        <is>
          <t>elk</t>
        </is>
      </c>
      <c r="D1495" s="4" t="n">
        <v>2023</v>
      </c>
      <c r="E1495" s="13" t="inlineStr">
        <is>
          <t>General</t>
        </is>
      </c>
      <c r="F1495" s="5" t="n"/>
      <c r="G1495" s="5" t="n"/>
      <c r="H1495" s="5" t="n">
        <v>92</v>
      </c>
      <c r="I1495" s="5" t="n">
        <v>57</v>
      </c>
      <c r="J1495" s="5" t="n">
        <v>32</v>
      </c>
      <c r="K1495" s="10">
        <f>IF(F1495&gt;0,H1495/F1495,"")</f>
        <v/>
      </c>
      <c r="L1495" s="16">
        <f>IF(AND(G1495&gt;0,H1495&gt;0),G1495/H1495,"")</f>
        <v/>
      </c>
    </row>
    <row r="1496">
      <c r="A1496" s="4" t="inlineStr">
        <is>
          <t>103</t>
        </is>
      </c>
      <c r="B1496" s="4" t="n">
        <v>1</v>
      </c>
      <c r="C1496" s="4" t="inlineStr">
        <is>
          <t>elk</t>
        </is>
      </c>
      <c r="D1496" s="4" t="n">
        <v>2024</v>
      </c>
      <c r="E1496" s="13" t="inlineStr">
        <is>
          <t>General</t>
        </is>
      </c>
      <c r="F1496" s="5" t="n">
        <v>3153</v>
      </c>
      <c r="G1496" s="5" t="n">
        <v>25444</v>
      </c>
      <c r="H1496" s="5" t="n">
        <v>135</v>
      </c>
      <c r="I1496" s="5" t="n">
        <v>93</v>
      </c>
      <c r="J1496" s="5" t="n">
        <v>42</v>
      </c>
      <c r="K1496" s="10">
        <f>IF(F1496&gt;0,H1496/F1496,"")</f>
        <v/>
      </c>
      <c r="L1496" s="16">
        <f>IF(AND(G1496&gt;0,H1496&gt;0),G1496/H1496,"")</f>
        <v/>
      </c>
    </row>
    <row r="1497">
      <c r="A1497" s="4" t="inlineStr">
        <is>
          <t>103</t>
        </is>
      </c>
      <c r="B1497" s="4" t="n">
        <v>1</v>
      </c>
      <c r="C1497" s="4" t="inlineStr">
        <is>
          <t>elk</t>
        </is>
      </c>
      <c r="D1497" s="4" t="n">
        <v>2025</v>
      </c>
      <c r="E1497" s="13" t="inlineStr">
        <is>
          <t>General</t>
        </is>
      </c>
      <c r="F1497" s="5" t="n"/>
      <c r="G1497" s="5" t="n"/>
      <c r="H1497" s="5" t="n">
        <v>154</v>
      </c>
      <c r="I1497" s="5" t="n">
        <v>103</v>
      </c>
      <c r="J1497" s="5" t="n">
        <v>47</v>
      </c>
      <c r="K1497" s="10">
        <f>IF(F1497&gt;0,H1497/F1497,"")</f>
        <v/>
      </c>
      <c r="L1497" s="16">
        <f>IF(AND(G1497&gt;0,H1497&gt;0),G1497/H1497,"")</f>
        <v/>
      </c>
    </row>
    <row r="1498">
      <c r="A1498" s="4" t="inlineStr">
        <is>
          <t>104</t>
        </is>
      </c>
      <c r="B1498" s="4" t="n">
        <v>1</v>
      </c>
      <c r="C1498" s="4" t="inlineStr">
        <is>
          <t>elk</t>
        </is>
      </c>
      <c r="D1498" s="4" t="n">
        <v>2004</v>
      </c>
      <c r="E1498" s="13" t="inlineStr">
        <is>
          <t>General</t>
        </is>
      </c>
      <c r="F1498" s="5" t="n">
        <v>1584</v>
      </c>
      <c r="G1498" s="5" t="n">
        <v>10977</v>
      </c>
      <c r="H1498" s="5" t="n">
        <v>124</v>
      </c>
      <c r="I1498" s="5" t="n">
        <v>94</v>
      </c>
      <c r="J1498" s="5" t="n">
        <v>27</v>
      </c>
      <c r="K1498" s="10">
        <f>IF(F1498&gt;0,H1498/F1498,"")</f>
        <v/>
      </c>
      <c r="L1498" s="16">
        <f>IF(AND(G1498&gt;0,H1498&gt;0),G1498/H1498,"")</f>
        <v/>
      </c>
    </row>
    <row r="1499">
      <c r="A1499" s="4" t="inlineStr">
        <is>
          <t>104</t>
        </is>
      </c>
      <c r="B1499" s="4" t="n">
        <v>1</v>
      </c>
      <c r="C1499" s="4" t="inlineStr">
        <is>
          <t>elk</t>
        </is>
      </c>
      <c r="D1499" s="4" t="n">
        <v>2005</v>
      </c>
      <c r="E1499" s="13" t="inlineStr">
        <is>
          <t>General</t>
        </is>
      </c>
      <c r="F1499" s="5" t="n">
        <v>1374</v>
      </c>
      <c r="G1499" s="5" t="n">
        <v>11901</v>
      </c>
      <c r="H1499" s="5" t="n">
        <v>87</v>
      </c>
      <c r="I1499" s="5" t="n">
        <v>59</v>
      </c>
      <c r="J1499" s="5" t="n">
        <v>27</v>
      </c>
      <c r="K1499" s="10">
        <f>IF(F1499&gt;0,H1499/F1499,"")</f>
        <v/>
      </c>
      <c r="L1499" s="16">
        <f>IF(AND(G1499&gt;0,H1499&gt;0),G1499/H1499,"")</f>
        <v/>
      </c>
    </row>
    <row r="1500">
      <c r="A1500" s="4" t="inlineStr">
        <is>
          <t>104</t>
        </is>
      </c>
      <c r="B1500" s="4" t="n">
        <v>1</v>
      </c>
      <c r="C1500" s="4" t="inlineStr">
        <is>
          <t>elk</t>
        </is>
      </c>
      <c r="D1500" s="4" t="n">
        <v>2006</v>
      </c>
      <c r="E1500" s="13" t="inlineStr">
        <is>
          <t>General</t>
        </is>
      </c>
      <c r="F1500" s="5" t="n">
        <v>1341</v>
      </c>
      <c r="G1500" s="5" t="n">
        <v>10780</v>
      </c>
      <c r="H1500" s="5" t="n">
        <v>169</v>
      </c>
      <c r="I1500" s="5" t="n">
        <v>102</v>
      </c>
      <c r="J1500" s="5" t="n">
        <v>61</v>
      </c>
      <c r="K1500" s="10">
        <f>IF(F1500&gt;0,H1500/F1500,"")</f>
        <v/>
      </c>
      <c r="L1500" s="16">
        <f>IF(AND(G1500&gt;0,H1500&gt;0),G1500/H1500,"")</f>
        <v/>
      </c>
    </row>
    <row r="1501">
      <c r="A1501" s="4" t="inlineStr">
        <is>
          <t>104</t>
        </is>
      </c>
      <c r="B1501" s="4" t="n">
        <v>1</v>
      </c>
      <c r="C1501" s="4" t="inlineStr">
        <is>
          <t>elk</t>
        </is>
      </c>
      <c r="D1501" s="4" t="n">
        <v>2007</v>
      </c>
      <c r="E1501" s="13" t="inlineStr">
        <is>
          <t>General</t>
        </is>
      </c>
      <c r="F1501" s="5" t="n">
        <v>1576</v>
      </c>
      <c r="G1501" s="5" t="n">
        <v>14116</v>
      </c>
      <c r="H1501" s="5" t="n">
        <v>131</v>
      </c>
      <c r="I1501" s="5" t="n">
        <v>85</v>
      </c>
      <c r="J1501" s="5" t="n">
        <v>41</v>
      </c>
      <c r="K1501" s="10">
        <f>IF(F1501&gt;0,H1501/F1501,"")</f>
        <v/>
      </c>
      <c r="L1501" s="16">
        <f>IF(AND(G1501&gt;0,H1501&gt;0),G1501/H1501,"")</f>
        <v/>
      </c>
    </row>
    <row r="1502">
      <c r="A1502" s="4" t="inlineStr">
        <is>
          <t>104</t>
        </is>
      </c>
      <c r="B1502" s="4" t="n">
        <v>1</v>
      </c>
      <c r="C1502" s="4" t="inlineStr">
        <is>
          <t>elk</t>
        </is>
      </c>
      <c r="D1502" s="4" t="n">
        <v>2008</v>
      </c>
      <c r="E1502" s="13" t="inlineStr">
        <is>
          <t>General</t>
        </is>
      </c>
      <c r="F1502" s="5" t="n">
        <v>1543</v>
      </c>
      <c r="G1502" s="5" t="n">
        <v>14157</v>
      </c>
      <c r="H1502" s="5" t="n">
        <v>111</v>
      </c>
      <c r="I1502" s="5" t="n">
        <v>83</v>
      </c>
      <c r="J1502" s="5" t="n">
        <v>27</v>
      </c>
      <c r="K1502" s="10">
        <f>IF(F1502&gt;0,H1502/F1502,"")</f>
        <v/>
      </c>
      <c r="L1502" s="16">
        <f>IF(AND(G1502&gt;0,H1502&gt;0),G1502/H1502,"")</f>
        <v/>
      </c>
    </row>
    <row r="1503">
      <c r="A1503" s="4" t="inlineStr">
        <is>
          <t>104</t>
        </is>
      </c>
      <c r="B1503" s="4" t="n">
        <v>1</v>
      </c>
      <c r="C1503" s="4" t="inlineStr">
        <is>
          <t>elk</t>
        </is>
      </c>
      <c r="D1503" s="4" t="n">
        <v>2009</v>
      </c>
      <c r="E1503" s="13" t="inlineStr">
        <is>
          <t>General</t>
        </is>
      </c>
      <c r="F1503" s="5" t="n">
        <v>1334</v>
      </c>
      <c r="G1503" s="5" t="n">
        <v>11576</v>
      </c>
      <c r="H1503" s="5" t="n">
        <v>81</v>
      </c>
      <c r="I1503" s="5" t="n">
        <v>69</v>
      </c>
      <c r="J1503" s="5" t="n">
        <v>12</v>
      </c>
      <c r="K1503" s="10">
        <f>IF(F1503&gt;0,H1503/F1503,"")</f>
        <v/>
      </c>
      <c r="L1503" s="16">
        <f>IF(AND(G1503&gt;0,H1503&gt;0),G1503/H1503,"")</f>
        <v/>
      </c>
    </row>
    <row r="1504">
      <c r="A1504" s="4" t="inlineStr">
        <is>
          <t>104</t>
        </is>
      </c>
      <c r="B1504" s="4" t="n">
        <v>1</v>
      </c>
      <c r="C1504" s="4" t="inlineStr">
        <is>
          <t>elk</t>
        </is>
      </c>
      <c r="D1504" s="4" t="n">
        <v>2010</v>
      </c>
      <c r="E1504" s="13" t="inlineStr">
        <is>
          <t>General</t>
        </is>
      </c>
      <c r="F1504" s="5" t="n">
        <v>1290</v>
      </c>
      <c r="G1504" s="5" t="n">
        <v>11736</v>
      </c>
      <c r="H1504" s="5" t="n">
        <v>108</v>
      </c>
      <c r="I1504" s="5" t="n">
        <v>69</v>
      </c>
      <c r="J1504" s="5" t="n">
        <v>36</v>
      </c>
      <c r="K1504" s="10">
        <f>IF(F1504&gt;0,H1504/F1504,"")</f>
        <v/>
      </c>
      <c r="L1504" s="16">
        <f>IF(AND(G1504&gt;0,H1504&gt;0),G1504/H1504,"")</f>
        <v/>
      </c>
    </row>
    <row r="1505">
      <c r="A1505" s="4" t="inlineStr">
        <is>
          <t>104</t>
        </is>
      </c>
      <c r="B1505" s="4" t="n">
        <v>1</v>
      </c>
      <c r="C1505" s="4" t="inlineStr">
        <is>
          <t>elk</t>
        </is>
      </c>
      <c r="D1505" s="4" t="n">
        <v>2011</v>
      </c>
      <c r="E1505" s="13" t="inlineStr">
        <is>
          <t>General</t>
        </is>
      </c>
      <c r="F1505" s="5" t="n">
        <v>1345</v>
      </c>
      <c r="G1505" s="5" t="n">
        <v>11658</v>
      </c>
      <c r="H1505" s="5" t="n">
        <v>85</v>
      </c>
      <c r="I1505" s="5" t="n">
        <v>61</v>
      </c>
      <c r="J1505" s="5" t="n">
        <v>23</v>
      </c>
      <c r="K1505" s="10">
        <f>IF(F1505&gt;0,H1505/F1505,"")</f>
        <v/>
      </c>
      <c r="L1505" s="16">
        <f>IF(AND(G1505&gt;0,H1505&gt;0),G1505/H1505,"")</f>
        <v/>
      </c>
    </row>
    <row r="1506">
      <c r="A1506" s="4" t="inlineStr">
        <is>
          <t>104</t>
        </is>
      </c>
      <c r="B1506" s="4" t="n">
        <v>1</v>
      </c>
      <c r="C1506" s="4" t="inlineStr">
        <is>
          <t>elk</t>
        </is>
      </c>
      <c r="D1506" s="4" t="n">
        <v>2012</v>
      </c>
      <c r="E1506" s="13" t="inlineStr">
        <is>
          <t>General</t>
        </is>
      </c>
      <c r="F1506" s="5" t="n">
        <v>1169</v>
      </c>
      <c r="G1506" s="5" t="n">
        <v>10058</v>
      </c>
      <c r="H1506" s="5" t="n">
        <v>53</v>
      </c>
      <c r="I1506" s="5" t="n">
        <v>42</v>
      </c>
      <c r="J1506" s="5" t="n">
        <v>11</v>
      </c>
      <c r="K1506" s="10">
        <f>IF(F1506&gt;0,H1506/F1506,"")</f>
        <v/>
      </c>
      <c r="L1506" s="16">
        <f>IF(AND(G1506&gt;0,H1506&gt;0),G1506/H1506,"")</f>
        <v/>
      </c>
    </row>
    <row r="1507">
      <c r="A1507" s="4" t="inlineStr">
        <is>
          <t>104</t>
        </is>
      </c>
      <c r="B1507" s="4" t="n">
        <v>1</v>
      </c>
      <c r="C1507" s="4" t="inlineStr">
        <is>
          <t>elk</t>
        </is>
      </c>
      <c r="D1507" s="4" t="n">
        <v>2013</v>
      </c>
      <c r="E1507" s="13" t="inlineStr">
        <is>
          <t>General</t>
        </is>
      </c>
      <c r="F1507" s="5" t="n"/>
      <c r="G1507" s="5" t="n"/>
      <c r="H1507" s="5" t="n">
        <v>64</v>
      </c>
      <c r="I1507" s="5" t="n">
        <v>53</v>
      </c>
      <c r="J1507" s="5" t="n">
        <v>10</v>
      </c>
      <c r="K1507" s="10">
        <f>IF(F1507&gt;0,H1507/F1507,"")</f>
        <v/>
      </c>
      <c r="L1507" s="16">
        <f>IF(AND(G1507&gt;0,H1507&gt;0),G1507/H1507,"")</f>
        <v/>
      </c>
    </row>
    <row r="1508">
      <c r="A1508" s="4" t="inlineStr">
        <is>
          <t>104</t>
        </is>
      </c>
      <c r="B1508" s="4" t="n">
        <v>1</v>
      </c>
      <c r="C1508" s="4" t="inlineStr">
        <is>
          <t>elk</t>
        </is>
      </c>
      <c r="D1508" s="4" t="n">
        <v>2014</v>
      </c>
      <c r="E1508" s="13" t="inlineStr">
        <is>
          <t>General</t>
        </is>
      </c>
      <c r="F1508" s="5" t="n">
        <v>1197</v>
      </c>
      <c r="G1508" s="5" t="n">
        <v>10577</v>
      </c>
      <c r="H1508" s="5" t="n">
        <v>45</v>
      </c>
      <c r="I1508" s="5" t="n">
        <v>42</v>
      </c>
      <c r="J1508" s="5" t="n">
        <v>3</v>
      </c>
      <c r="K1508" s="10">
        <f>IF(F1508&gt;0,H1508/F1508,"")</f>
        <v/>
      </c>
      <c r="L1508" s="16">
        <f>IF(AND(G1508&gt;0,H1508&gt;0),G1508/H1508,"")</f>
        <v/>
      </c>
    </row>
    <row r="1509">
      <c r="A1509" s="4" t="inlineStr">
        <is>
          <t>104</t>
        </is>
      </c>
      <c r="B1509" s="4" t="n">
        <v>1</v>
      </c>
      <c r="C1509" s="4" t="inlineStr">
        <is>
          <t>elk</t>
        </is>
      </c>
      <c r="D1509" s="4" t="n">
        <v>2015</v>
      </c>
      <c r="E1509" s="13" t="inlineStr">
        <is>
          <t>General</t>
        </is>
      </c>
      <c r="F1509" s="5" t="n">
        <v>1234</v>
      </c>
      <c r="G1509" s="5" t="n">
        <v>10620</v>
      </c>
      <c r="H1509" s="5" t="n">
        <v>73</v>
      </c>
      <c r="I1509" s="5" t="n">
        <v>61</v>
      </c>
      <c r="J1509" s="5" t="n">
        <v>11</v>
      </c>
      <c r="K1509" s="10">
        <f>IF(F1509&gt;0,H1509/F1509,"")</f>
        <v/>
      </c>
      <c r="L1509" s="16">
        <f>IF(AND(G1509&gt;0,H1509&gt;0),G1509/H1509,"")</f>
        <v/>
      </c>
    </row>
    <row r="1510">
      <c r="A1510" s="4" t="inlineStr">
        <is>
          <t>104</t>
        </is>
      </c>
      <c r="B1510" s="4" t="n">
        <v>1</v>
      </c>
      <c r="C1510" s="4" t="inlineStr">
        <is>
          <t>elk</t>
        </is>
      </c>
      <c r="D1510" s="4" t="n">
        <v>2016</v>
      </c>
      <c r="E1510" s="13" t="inlineStr">
        <is>
          <t>General</t>
        </is>
      </c>
      <c r="F1510" s="5" t="n">
        <v>1121</v>
      </c>
      <c r="G1510" s="5" t="n">
        <v>9394</v>
      </c>
      <c r="H1510" s="5" t="n">
        <v>64</v>
      </c>
      <c r="I1510" s="5" t="n">
        <v>44</v>
      </c>
      <c r="J1510" s="5" t="n">
        <v>20</v>
      </c>
      <c r="K1510" s="10">
        <f>IF(F1510&gt;0,H1510/F1510,"")</f>
        <v/>
      </c>
      <c r="L1510" s="16">
        <f>IF(AND(G1510&gt;0,H1510&gt;0),G1510/H1510,"")</f>
        <v/>
      </c>
    </row>
    <row r="1511">
      <c r="A1511" s="4" t="inlineStr">
        <is>
          <t>104</t>
        </is>
      </c>
      <c r="B1511" s="4" t="n">
        <v>1</v>
      </c>
      <c r="C1511" s="4" t="inlineStr">
        <is>
          <t>elk</t>
        </is>
      </c>
      <c r="D1511" s="4" t="n">
        <v>2017</v>
      </c>
      <c r="E1511" s="13" t="inlineStr">
        <is>
          <t>General</t>
        </is>
      </c>
      <c r="F1511" s="5" t="n"/>
      <c r="G1511" s="5" t="n"/>
      <c r="H1511" s="5" t="n">
        <v>52</v>
      </c>
      <c r="I1511" s="5" t="n">
        <v>42</v>
      </c>
      <c r="J1511" s="5" t="n">
        <v>8</v>
      </c>
      <c r="K1511" s="10">
        <f>IF(F1511&gt;0,H1511/F1511,"")</f>
        <v/>
      </c>
      <c r="L1511" s="16">
        <f>IF(AND(G1511&gt;0,H1511&gt;0),G1511/H1511,"")</f>
        <v/>
      </c>
    </row>
    <row r="1512">
      <c r="A1512" s="4" t="inlineStr">
        <is>
          <t>104</t>
        </is>
      </c>
      <c r="B1512" s="4" t="n">
        <v>1</v>
      </c>
      <c r="C1512" s="4" t="inlineStr">
        <is>
          <t>elk</t>
        </is>
      </c>
      <c r="D1512" s="4" t="n">
        <v>2018</v>
      </c>
      <c r="E1512" s="13" t="inlineStr">
        <is>
          <t>General</t>
        </is>
      </c>
      <c r="F1512" s="5" t="n">
        <v>1100</v>
      </c>
      <c r="G1512" s="5" t="n">
        <v>9563</v>
      </c>
      <c r="H1512" s="5" t="n">
        <v>82</v>
      </c>
      <c r="I1512" s="5" t="n">
        <v>59</v>
      </c>
      <c r="J1512" s="5" t="n">
        <v>23</v>
      </c>
      <c r="K1512" s="10">
        <f>IF(F1512&gt;0,H1512/F1512,"")</f>
        <v/>
      </c>
      <c r="L1512" s="16">
        <f>IF(AND(G1512&gt;0,H1512&gt;0),G1512/H1512,"")</f>
        <v/>
      </c>
    </row>
    <row r="1513">
      <c r="A1513" s="4" t="inlineStr">
        <is>
          <t>104</t>
        </is>
      </c>
      <c r="B1513" s="4" t="n">
        <v>1</v>
      </c>
      <c r="C1513" s="4" t="inlineStr">
        <is>
          <t>elk</t>
        </is>
      </c>
      <c r="D1513" s="4" t="n">
        <v>2019</v>
      </c>
      <c r="E1513" s="13" t="inlineStr">
        <is>
          <t>General</t>
        </is>
      </c>
      <c r="F1513" s="5" t="n"/>
      <c r="G1513" s="5" t="n"/>
      <c r="H1513" s="5" t="n">
        <v>31</v>
      </c>
      <c r="I1513" s="5" t="n">
        <v>21</v>
      </c>
      <c r="J1513" s="5" t="n">
        <v>8</v>
      </c>
      <c r="K1513" s="10">
        <f>IF(F1513&gt;0,H1513/F1513,"")</f>
        <v/>
      </c>
      <c r="L1513" s="16">
        <f>IF(AND(G1513&gt;0,H1513&gt;0),G1513/H1513,"")</f>
        <v/>
      </c>
    </row>
    <row r="1514">
      <c r="A1514" s="4" t="inlineStr">
        <is>
          <t>104</t>
        </is>
      </c>
      <c r="B1514" s="4" t="n">
        <v>1</v>
      </c>
      <c r="C1514" s="4" t="inlineStr">
        <is>
          <t>elk</t>
        </is>
      </c>
      <c r="D1514" s="4" t="n">
        <v>2020</v>
      </c>
      <c r="E1514" s="13" t="inlineStr">
        <is>
          <t>General</t>
        </is>
      </c>
      <c r="F1514" s="5" t="n">
        <v>957</v>
      </c>
      <c r="G1514" s="5" t="n">
        <v>8908</v>
      </c>
      <c r="H1514" s="5" t="n">
        <v>83</v>
      </c>
      <c r="I1514" s="5" t="n">
        <v>69</v>
      </c>
      <c r="J1514" s="5" t="n">
        <v>15</v>
      </c>
      <c r="K1514" s="10">
        <f>IF(F1514&gt;0,H1514/F1514,"")</f>
        <v/>
      </c>
      <c r="L1514" s="16">
        <f>IF(AND(G1514&gt;0,H1514&gt;0),G1514/H1514,"")</f>
        <v/>
      </c>
    </row>
    <row r="1515">
      <c r="A1515" s="4" t="inlineStr">
        <is>
          <t>104</t>
        </is>
      </c>
      <c r="B1515" s="4" t="n">
        <v>1</v>
      </c>
      <c r="C1515" s="4" t="inlineStr">
        <is>
          <t>elk</t>
        </is>
      </c>
      <c r="D1515" s="4" t="n">
        <v>2021</v>
      </c>
      <c r="E1515" s="13" t="inlineStr">
        <is>
          <t>General</t>
        </is>
      </c>
      <c r="F1515" s="5" t="n"/>
      <c r="G1515" s="5" t="n"/>
      <c r="H1515" s="5" t="n">
        <v>73</v>
      </c>
      <c r="I1515" s="5" t="n">
        <v>63</v>
      </c>
      <c r="J1515" s="5" t="n">
        <v>10</v>
      </c>
      <c r="K1515" s="10">
        <f>IF(F1515&gt;0,H1515/F1515,"")</f>
        <v/>
      </c>
      <c r="L1515" s="16">
        <f>IF(AND(G1515&gt;0,H1515&gt;0),G1515/H1515,"")</f>
        <v/>
      </c>
    </row>
    <row r="1516">
      <c r="A1516" s="4" t="inlineStr">
        <is>
          <t>104</t>
        </is>
      </c>
      <c r="B1516" s="4" t="n">
        <v>1</v>
      </c>
      <c r="C1516" s="4" t="inlineStr">
        <is>
          <t>elk</t>
        </is>
      </c>
      <c r="D1516" s="4" t="n">
        <v>2022</v>
      </c>
      <c r="E1516" s="13" t="inlineStr">
        <is>
          <t>General</t>
        </is>
      </c>
      <c r="F1516" s="5" t="n">
        <v>816</v>
      </c>
      <c r="G1516" s="5" t="n">
        <v>6767</v>
      </c>
      <c r="H1516" s="5" t="n">
        <v>61</v>
      </c>
      <c r="I1516" s="5" t="n">
        <v>39</v>
      </c>
      <c r="J1516" s="5" t="n">
        <v>22</v>
      </c>
      <c r="K1516" s="10">
        <f>IF(F1516&gt;0,H1516/F1516,"")</f>
        <v/>
      </c>
      <c r="L1516" s="16">
        <f>IF(AND(G1516&gt;0,H1516&gt;0),G1516/H1516,"")</f>
        <v/>
      </c>
    </row>
    <row r="1517">
      <c r="A1517" s="4" t="inlineStr">
        <is>
          <t>104</t>
        </is>
      </c>
      <c r="B1517" s="4" t="n">
        <v>1</v>
      </c>
      <c r="C1517" s="4" t="inlineStr">
        <is>
          <t>elk</t>
        </is>
      </c>
      <c r="D1517" s="4" t="n">
        <v>2023</v>
      </c>
      <c r="E1517" s="13" t="inlineStr">
        <is>
          <t>General</t>
        </is>
      </c>
      <c r="F1517" s="5" t="n"/>
      <c r="G1517" s="5" t="n"/>
      <c r="H1517" s="5" t="n">
        <v>31</v>
      </c>
      <c r="I1517" s="5" t="n">
        <v>24</v>
      </c>
      <c r="J1517" s="5" t="n">
        <v>8</v>
      </c>
      <c r="K1517" s="10">
        <f>IF(F1517&gt;0,H1517/F1517,"")</f>
        <v/>
      </c>
      <c r="L1517" s="16">
        <f>IF(AND(G1517&gt;0,H1517&gt;0),G1517/H1517,"")</f>
        <v/>
      </c>
    </row>
    <row r="1518">
      <c r="A1518" s="4" t="inlineStr">
        <is>
          <t>104</t>
        </is>
      </c>
      <c r="B1518" s="4" t="n">
        <v>1</v>
      </c>
      <c r="C1518" s="4" t="inlineStr">
        <is>
          <t>elk</t>
        </is>
      </c>
      <c r="D1518" s="4" t="n">
        <v>2024</v>
      </c>
      <c r="E1518" s="13" t="inlineStr">
        <is>
          <t>General</t>
        </is>
      </c>
      <c r="F1518" s="5" t="n">
        <v>1092</v>
      </c>
      <c r="G1518" s="5" t="n">
        <v>9884</v>
      </c>
      <c r="H1518" s="5" t="n">
        <v>78</v>
      </c>
      <c r="I1518" s="5" t="n">
        <v>61</v>
      </c>
      <c r="J1518" s="5" t="n">
        <v>18</v>
      </c>
      <c r="K1518" s="10">
        <f>IF(F1518&gt;0,H1518/F1518,"")</f>
        <v/>
      </c>
      <c r="L1518" s="16">
        <f>IF(AND(G1518&gt;0,H1518&gt;0),G1518/H1518,"")</f>
        <v/>
      </c>
    </row>
    <row r="1519">
      <c r="A1519" s="4" t="inlineStr">
        <is>
          <t>104</t>
        </is>
      </c>
      <c r="B1519" s="4" t="n">
        <v>1</v>
      </c>
      <c r="C1519" s="4" t="inlineStr">
        <is>
          <t>elk</t>
        </is>
      </c>
      <c r="D1519" s="4" t="n">
        <v>2025</v>
      </c>
      <c r="E1519" s="13" t="inlineStr">
        <is>
          <t>General</t>
        </is>
      </c>
      <c r="F1519" s="5" t="n"/>
      <c r="G1519" s="5" t="n"/>
      <c r="H1519" s="5" t="n">
        <v>91</v>
      </c>
      <c r="I1519" s="5" t="n">
        <v>74</v>
      </c>
      <c r="J1519" s="5" t="n">
        <v>17</v>
      </c>
      <c r="K1519" s="10">
        <f>IF(F1519&gt;0,H1519/F1519,"")</f>
        <v/>
      </c>
      <c r="L1519" s="16">
        <f>IF(AND(G1519&gt;0,H1519&gt;0),G1519/H1519,"")</f>
        <v/>
      </c>
    </row>
    <row r="1520">
      <c r="A1520" s="4" t="inlineStr">
        <is>
          <t>109</t>
        </is>
      </c>
      <c r="B1520" s="4" t="n">
        <v>1</v>
      </c>
      <c r="C1520" s="4" t="inlineStr">
        <is>
          <t>elk</t>
        </is>
      </c>
      <c r="D1520" s="4" t="n">
        <v>2004</v>
      </c>
      <c r="E1520" s="4" t="inlineStr"/>
      <c r="F1520" s="5" t="n">
        <v>280</v>
      </c>
      <c r="G1520" s="5" t="n">
        <v>1907</v>
      </c>
      <c r="H1520" s="5" t="n">
        <v>29</v>
      </c>
      <c r="I1520" s="5" t="n">
        <v>7</v>
      </c>
      <c r="J1520" s="5" t="n">
        <v>21</v>
      </c>
      <c r="K1520" s="10">
        <f>IF(F1520&gt;0,H1520/F1520,"")</f>
        <v/>
      </c>
      <c r="L1520" s="16">
        <f>IF(AND(G1520&gt;0,H1520&gt;0),G1520/H1520,"")</f>
        <v/>
      </c>
    </row>
    <row r="1521">
      <c r="A1521" s="4" t="inlineStr">
        <is>
          <t>109</t>
        </is>
      </c>
      <c r="B1521" s="4" t="n">
        <v>1</v>
      </c>
      <c r="C1521" s="4" t="inlineStr">
        <is>
          <t>elk</t>
        </is>
      </c>
      <c r="D1521" s="4" t="n">
        <v>2005</v>
      </c>
      <c r="E1521" s="4" t="inlineStr"/>
      <c r="F1521" s="5" t="n">
        <v>293</v>
      </c>
      <c r="G1521" s="5" t="n">
        <v>1606</v>
      </c>
      <c r="H1521" s="5" t="n">
        <v>26</v>
      </c>
      <c r="I1521" s="5" t="n">
        <v>6</v>
      </c>
      <c r="J1521" s="5" t="n">
        <v>20</v>
      </c>
      <c r="K1521" s="10">
        <f>IF(F1521&gt;0,H1521/F1521,"")</f>
        <v/>
      </c>
      <c r="L1521" s="16">
        <f>IF(AND(G1521&gt;0,H1521&gt;0),G1521/H1521,"")</f>
        <v/>
      </c>
    </row>
    <row r="1522">
      <c r="A1522" s="4" t="inlineStr">
        <is>
          <t>109</t>
        </is>
      </c>
      <c r="B1522" s="4" t="n">
        <v>1</v>
      </c>
      <c r="C1522" s="4" t="inlineStr">
        <is>
          <t>elk</t>
        </is>
      </c>
      <c r="D1522" s="4" t="n">
        <v>2006</v>
      </c>
      <c r="E1522" s="4" t="inlineStr"/>
      <c r="F1522" s="5" t="n">
        <v>317</v>
      </c>
      <c r="G1522" s="5" t="n">
        <v>2102</v>
      </c>
      <c r="H1522" s="5" t="n">
        <v>30</v>
      </c>
      <c r="I1522" s="5" t="n">
        <v>20</v>
      </c>
      <c r="J1522" s="5" t="n">
        <v>6</v>
      </c>
      <c r="K1522" s="10">
        <f>IF(F1522&gt;0,H1522/F1522,"")</f>
        <v/>
      </c>
      <c r="L1522" s="16">
        <f>IF(AND(G1522&gt;0,H1522&gt;0),G1522/H1522,"")</f>
        <v/>
      </c>
    </row>
    <row r="1523">
      <c r="A1523" s="4" t="inlineStr">
        <is>
          <t>109</t>
        </is>
      </c>
      <c r="B1523" s="4" t="n">
        <v>1</v>
      </c>
      <c r="C1523" s="4" t="inlineStr">
        <is>
          <t>elk</t>
        </is>
      </c>
      <c r="D1523" s="4" t="n">
        <v>2007</v>
      </c>
      <c r="E1523" s="4" t="inlineStr"/>
      <c r="F1523" s="5" t="n">
        <v>353</v>
      </c>
      <c r="G1523" s="5" t="n">
        <v>2270</v>
      </c>
      <c r="H1523" s="5" t="n">
        <v>38</v>
      </c>
      <c r="I1523" s="5" t="n">
        <v>25</v>
      </c>
      <c r="J1523" s="5" t="n">
        <v>14</v>
      </c>
      <c r="K1523" s="10">
        <f>IF(F1523&gt;0,H1523/F1523,"")</f>
        <v/>
      </c>
      <c r="L1523" s="16">
        <f>IF(AND(G1523&gt;0,H1523&gt;0),G1523/H1523,"")</f>
        <v/>
      </c>
    </row>
    <row r="1524">
      <c r="A1524" s="4" t="inlineStr">
        <is>
          <t>109</t>
        </is>
      </c>
      <c r="B1524" s="4" t="n">
        <v>1</v>
      </c>
      <c r="C1524" s="4" t="inlineStr">
        <is>
          <t>elk</t>
        </is>
      </c>
      <c r="D1524" s="4" t="n">
        <v>2008</v>
      </c>
      <c r="E1524" s="4" t="inlineStr"/>
      <c r="F1524" s="5" t="n">
        <v>359</v>
      </c>
      <c r="G1524" s="5" t="n">
        <v>3227</v>
      </c>
      <c r="H1524" s="5" t="n">
        <v>33</v>
      </c>
      <c r="I1524" s="5" t="n">
        <v>15</v>
      </c>
      <c r="J1524" s="5" t="n">
        <v>16</v>
      </c>
      <c r="K1524" s="10">
        <f>IF(F1524&gt;0,H1524/F1524,"")</f>
        <v/>
      </c>
      <c r="L1524" s="16">
        <f>IF(AND(G1524&gt;0,H1524&gt;0),G1524/H1524,"")</f>
        <v/>
      </c>
    </row>
    <row r="1525">
      <c r="A1525" s="4" t="inlineStr">
        <is>
          <t>109</t>
        </is>
      </c>
      <c r="B1525" s="4" t="n">
        <v>1</v>
      </c>
      <c r="C1525" s="4" t="inlineStr">
        <is>
          <t>elk</t>
        </is>
      </c>
      <c r="D1525" s="4" t="n">
        <v>2009</v>
      </c>
      <c r="E1525" s="4" t="inlineStr"/>
      <c r="F1525" s="5" t="n">
        <v>309</v>
      </c>
      <c r="G1525" s="5" t="n">
        <v>2486</v>
      </c>
      <c r="H1525" s="5" t="n">
        <v>28</v>
      </c>
      <c r="I1525" s="5" t="n">
        <v>9</v>
      </c>
      <c r="J1525" s="5" t="n">
        <v>16</v>
      </c>
      <c r="K1525" s="10">
        <f>IF(F1525&gt;0,H1525/F1525,"")</f>
        <v/>
      </c>
      <c r="L1525" s="16">
        <f>IF(AND(G1525&gt;0,H1525&gt;0),G1525/H1525,"")</f>
        <v/>
      </c>
    </row>
    <row r="1526">
      <c r="A1526" s="4" t="inlineStr">
        <is>
          <t>109</t>
        </is>
      </c>
      <c r="B1526" s="4" t="n">
        <v>1</v>
      </c>
      <c r="C1526" s="4" t="inlineStr">
        <is>
          <t>elk</t>
        </is>
      </c>
      <c r="D1526" s="4" t="n">
        <v>2010</v>
      </c>
      <c r="E1526" s="4" t="inlineStr"/>
      <c r="F1526" s="5" t="n">
        <v>349</v>
      </c>
      <c r="G1526" s="5" t="n">
        <v>2449</v>
      </c>
      <c r="H1526" s="5" t="n">
        <v>38</v>
      </c>
      <c r="I1526" s="5" t="n">
        <v>19</v>
      </c>
      <c r="J1526" s="5" t="n">
        <v>16</v>
      </c>
      <c r="K1526" s="10">
        <f>IF(F1526&gt;0,H1526/F1526,"")</f>
        <v/>
      </c>
      <c r="L1526" s="16">
        <f>IF(AND(G1526&gt;0,H1526&gt;0),G1526/H1526,"")</f>
        <v/>
      </c>
    </row>
    <row r="1527">
      <c r="A1527" s="4" t="inlineStr">
        <is>
          <t>109</t>
        </is>
      </c>
      <c r="B1527" s="4" t="n">
        <v>1</v>
      </c>
      <c r="C1527" s="4" t="inlineStr">
        <is>
          <t>elk</t>
        </is>
      </c>
      <c r="D1527" s="4" t="n">
        <v>2011</v>
      </c>
      <c r="E1527" s="4" t="inlineStr"/>
      <c r="F1527" s="5" t="n">
        <v>386</v>
      </c>
      <c r="G1527" s="5" t="n">
        <v>3182</v>
      </c>
      <c r="H1527" s="5" t="n">
        <v>43</v>
      </c>
      <c r="I1527" s="5" t="n">
        <v>20</v>
      </c>
      <c r="J1527" s="5" t="n">
        <v>21</v>
      </c>
      <c r="K1527" s="10">
        <f>IF(F1527&gt;0,H1527/F1527,"")</f>
        <v/>
      </c>
      <c r="L1527" s="16">
        <f>IF(AND(G1527&gt;0,H1527&gt;0),G1527/H1527,"")</f>
        <v/>
      </c>
    </row>
    <row r="1528">
      <c r="A1528" s="4" t="inlineStr">
        <is>
          <t>109</t>
        </is>
      </c>
      <c r="B1528" s="4" t="n">
        <v>1</v>
      </c>
      <c r="C1528" s="4" t="inlineStr">
        <is>
          <t>elk</t>
        </is>
      </c>
      <c r="D1528" s="4" t="n">
        <v>2012</v>
      </c>
      <c r="E1528" s="4" t="inlineStr"/>
      <c r="F1528" s="5" t="n">
        <v>371</v>
      </c>
      <c r="G1528" s="5" t="n">
        <v>2836</v>
      </c>
      <c r="H1528" s="5" t="n">
        <v>42</v>
      </c>
      <c r="I1528" s="5" t="n">
        <v>31</v>
      </c>
      <c r="J1528" s="5" t="n">
        <v>11</v>
      </c>
      <c r="K1528" s="10">
        <f>IF(F1528&gt;0,H1528/F1528,"")</f>
        <v/>
      </c>
      <c r="L1528" s="16">
        <f>IF(AND(G1528&gt;0,H1528&gt;0),G1528/H1528,"")</f>
        <v/>
      </c>
    </row>
    <row r="1529">
      <c r="A1529" s="4" t="inlineStr">
        <is>
          <t>109</t>
        </is>
      </c>
      <c r="B1529" s="4" t="n">
        <v>1</v>
      </c>
      <c r="C1529" s="4" t="inlineStr">
        <is>
          <t>elk</t>
        </is>
      </c>
      <c r="D1529" s="4" t="n">
        <v>2013</v>
      </c>
      <c r="E1529" s="4" t="inlineStr"/>
      <c r="F1529" s="5" t="n"/>
      <c r="G1529" s="5" t="n"/>
      <c r="H1529" s="5" t="n">
        <v>25</v>
      </c>
      <c r="I1529" s="5" t="n">
        <v>3</v>
      </c>
      <c r="J1529" s="5" t="n">
        <v>22</v>
      </c>
      <c r="K1529" s="10">
        <f>IF(F1529&gt;0,H1529/F1529,"")</f>
        <v/>
      </c>
      <c r="L1529" s="16">
        <f>IF(AND(G1529&gt;0,H1529&gt;0),G1529/H1529,"")</f>
        <v/>
      </c>
    </row>
    <row r="1530">
      <c r="A1530" s="4" t="inlineStr">
        <is>
          <t>109</t>
        </is>
      </c>
      <c r="B1530" s="4" t="n">
        <v>1</v>
      </c>
      <c r="C1530" s="4" t="inlineStr">
        <is>
          <t>elk</t>
        </is>
      </c>
      <c r="D1530" s="4" t="n">
        <v>2014</v>
      </c>
      <c r="E1530" s="4" t="inlineStr"/>
      <c r="F1530" s="5" t="n">
        <v>311</v>
      </c>
      <c r="G1530" s="5" t="n">
        <v>2924</v>
      </c>
      <c r="H1530" s="5" t="n">
        <v>24</v>
      </c>
      <c r="I1530" s="5" t="n">
        <v>6</v>
      </c>
      <c r="J1530" s="5" t="n">
        <v>18</v>
      </c>
      <c r="K1530" s="10">
        <f>IF(F1530&gt;0,H1530/F1530,"")</f>
        <v/>
      </c>
      <c r="L1530" s="16">
        <f>IF(AND(G1530&gt;0,H1530&gt;0),G1530/H1530,"")</f>
        <v/>
      </c>
    </row>
    <row r="1531">
      <c r="A1531" s="4" t="inlineStr">
        <is>
          <t>109</t>
        </is>
      </c>
      <c r="B1531" s="4" t="n">
        <v>1</v>
      </c>
      <c r="C1531" s="4" t="inlineStr">
        <is>
          <t>elk</t>
        </is>
      </c>
      <c r="D1531" s="4" t="n">
        <v>2015</v>
      </c>
      <c r="E1531" s="4" t="inlineStr"/>
      <c r="F1531" s="5" t="n">
        <v>375</v>
      </c>
      <c r="G1531" s="5" t="n">
        <v>3313</v>
      </c>
      <c r="H1531" s="5" t="n">
        <v>39</v>
      </c>
      <c r="I1531" s="5" t="n">
        <v>6</v>
      </c>
      <c r="J1531" s="5" t="n">
        <v>30</v>
      </c>
      <c r="K1531" s="10">
        <f>IF(F1531&gt;0,H1531/F1531,"")</f>
        <v/>
      </c>
      <c r="L1531" s="16">
        <f>IF(AND(G1531&gt;0,H1531&gt;0),G1531/H1531,"")</f>
        <v/>
      </c>
    </row>
    <row r="1532">
      <c r="A1532" s="4" t="inlineStr">
        <is>
          <t>109</t>
        </is>
      </c>
      <c r="B1532" s="4" t="n">
        <v>1</v>
      </c>
      <c r="C1532" s="4" t="inlineStr">
        <is>
          <t>elk</t>
        </is>
      </c>
      <c r="D1532" s="4" t="n">
        <v>2016</v>
      </c>
      <c r="E1532" s="4" t="inlineStr"/>
      <c r="F1532" s="5" t="n">
        <v>275</v>
      </c>
      <c r="G1532" s="5" t="n">
        <v>1819</v>
      </c>
      <c r="H1532" s="5" t="n">
        <v>35</v>
      </c>
      <c r="I1532" s="5" t="n">
        <v>6</v>
      </c>
      <c r="J1532" s="5" t="n">
        <v>29</v>
      </c>
      <c r="K1532" s="10">
        <f>IF(F1532&gt;0,H1532/F1532,"")</f>
        <v/>
      </c>
      <c r="L1532" s="16">
        <f>IF(AND(G1532&gt;0,H1532&gt;0),G1532/H1532,"")</f>
        <v/>
      </c>
    </row>
    <row r="1533">
      <c r="A1533" s="4" t="inlineStr">
        <is>
          <t>109</t>
        </is>
      </c>
      <c r="B1533" s="4" t="n">
        <v>1</v>
      </c>
      <c r="C1533" s="4" t="inlineStr">
        <is>
          <t>elk</t>
        </is>
      </c>
      <c r="D1533" s="4" t="n">
        <v>2017</v>
      </c>
      <c r="E1533" s="4" t="inlineStr"/>
      <c r="F1533" s="5" t="n"/>
      <c r="G1533" s="5" t="n"/>
      <c r="H1533" s="5" t="n">
        <v>25</v>
      </c>
      <c r="I1533" s="5" t="n">
        <v>12</v>
      </c>
      <c r="J1533" s="5" t="n">
        <v>14</v>
      </c>
      <c r="K1533" s="10">
        <f>IF(F1533&gt;0,H1533/F1533,"")</f>
        <v/>
      </c>
      <c r="L1533" s="16">
        <f>IF(AND(G1533&gt;0,H1533&gt;0),G1533/H1533,"")</f>
        <v/>
      </c>
    </row>
    <row r="1534">
      <c r="A1534" s="4" t="inlineStr">
        <is>
          <t>109</t>
        </is>
      </c>
      <c r="B1534" s="4" t="n">
        <v>1</v>
      </c>
      <c r="C1534" s="4" t="inlineStr">
        <is>
          <t>elk</t>
        </is>
      </c>
      <c r="D1534" s="4" t="n">
        <v>2018</v>
      </c>
      <c r="E1534" s="4" t="inlineStr"/>
      <c r="F1534" s="5" t="n">
        <v>358</v>
      </c>
      <c r="G1534" s="5" t="n">
        <v>3312</v>
      </c>
      <c r="H1534" s="5" t="n">
        <v>25</v>
      </c>
      <c r="I1534" s="5" t="n">
        <v>9</v>
      </c>
      <c r="J1534" s="5" t="n">
        <v>16</v>
      </c>
      <c r="K1534" s="10">
        <f>IF(F1534&gt;0,H1534/F1534,"")</f>
        <v/>
      </c>
      <c r="L1534" s="16">
        <f>IF(AND(G1534&gt;0,H1534&gt;0),G1534/H1534,"")</f>
        <v/>
      </c>
    </row>
    <row r="1535">
      <c r="A1535" s="4" t="inlineStr">
        <is>
          <t>109</t>
        </is>
      </c>
      <c r="B1535" s="4" t="n">
        <v>1</v>
      </c>
      <c r="C1535" s="4" t="inlineStr">
        <is>
          <t>elk</t>
        </is>
      </c>
      <c r="D1535" s="4" t="n">
        <v>2019</v>
      </c>
      <c r="E1535" s="4" t="inlineStr"/>
      <c r="F1535" s="5" t="n"/>
      <c r="G1535" s="5" t="n"/>
      <c r="H1535" s="5" t="n">
        <v>33</v>
      </c>
      <c r="I1535" s="5" t="n">
        <v>9</v>
      </c>
      <c r="J1535" s="5" t="n">
        <v>24</v>
      </c>
      <c r="K1535" s="10">
        <f>IF(F1535&gt;0,H1535/F1535,"")</f>
        <v/>
      </c>
      <c r="L1535" s="16">
        <f>IF(AND(G1535&gt;0,H1535&gt;0),G1535/H1535,"")</f>
        <v/>
      </c>
    </row>
    <row r="1536">
      <c r="A1536" s="4" t="inlineStr">
        <is>
          <t>109</t>
        </is>
      </c>
      <c r="B1536" s="4" t="n">
        <v>1</v>
      </c>
      <c r="C1536" s="4" t="inlineStr">
        <is>
          <t>elk</t>
        </is>
      </c>
      <c r="D1536" s="4" t="n">
        <v>2020</v>
      </c>
      <c r="E1536" s="4" t="inlineStr"/>
      <c r="F1536" s="5" t="n">
        <v>280</v>
      </c>
      <c r="G1536" s="5" t="n">
        <v>2342</v>
      </c>
      <c r="H1536" s="5" t="n">
        <v>32</v>
      </c>
      <c r="I1536" s="5" t="n">
        <v>21</v>
      </c>
      <c r="J1536" s="5" t="n">
        <v>11</v>
      </c>
      <c r="K1536" s="10">
        <f>IF(F1536&gt;0,H1536/F1536,"")</f>
        <v/>
      </c>
      <c r="L1536" s="16">
        <f>IF(AND(G1536&gt;0,H1536&gt;0),G1536/H1536,"")</f>
        <v/>
      </c>
    </row>
    <row r="1537">
      <c r="A1537" s="4" t="inlineStr">
        <is>
          <t>109</t>
        </is>
      </c>
      <c r="B1537" s="4" t="n">
        <v>1</v>
      </c>
      <c r="C1537" s="4" t="inlineStr">
        <is>
          <t>elk</t>
        </is>
      </c>
      <c r="D1537" s="4" t="n">
        <v>2021</v>
      </c>
      <c r="E1537" s="4" t="inlineStr"/>
      <c r="F1537" s="5" t="n"/>
      <c r="G1537" s="5" t="n"/>
      <c r="H1537" s="5" t="n">
        <v>28</v>
      </c>
      <c r="I1537" s="5" t="n">
        <v>16</v>
      </c>
      <c r="J1537" s="5" t="n">
        <v>12</v>
      </c>
      <c r="K1537" s="10">
        <f>IF(F1537&gt;0,H1537/F1537,"")</f>
        <v/>
      </c>
      <c r="L1537" s="16">
        <f>IF(AND(G1537&gt;0,H1537&gt;0),G1537/H1537,"")</f>
        <v/>
      </c>
    </row>
    <row r="1538">
      <c r="A1538" s="4" t="inlineStr">
        <is>
          <t>110</t>
        </is>
      </c>
      <c r="B1538" s="4" t="n">
        <v>1</v>
      </c>
      <c r="C1538" s="4" t="inlineStr">
        <is>
          <t>elk</t>
        </is>
      </c>
      <c r="D1538" s="4" t="n">
        <v>2004</v>
      </c>
      <c r="E1538" s="13" t="inlineStr">
        <is>
          <t>General</t>
        </is>
      </c>
      <c r="F1538" s="5" t="n">
        <v>1060</v>
      </c>
      <c r="G1538" s="5" t="n">
        <v>6190</v>
      </c>
      <c r="H1538" s="5" t="n">
        <v>85</v>
      </c>
      <c r="I1538" s="5" t="n">
        <v>71</v>
      </c>
      <c r="J1538" s="5" t="n">
        <v>14</v>
      </c>
      <c r="K1538" s="10">
        <f>IF(F1538&gt;0,H1538/F1538,"")</f>
        <v/>
      </c>
      <c r="L1538" s="16">
        <f>IF(AND(G1538&gt;0,H1538&gt;0),G1538/H1538,"")</f>
        <v/>
      </c>
    </row>
    <row r="1539">
      <c r="A1539" s="4" t="inlineStr">
        <is>
          <t>110</t>
        </is>
      </c>
      <c r="B1539" s="4" t="n">
        <v>1</v>
      </c>
      <c r="C1539" s="4" t="inlineStr">
        <is>
          <t>elk</t>
        </is>
      </c>
      <c r="D1539" s="4" t="n">
        <v>2005</v>
      </c>
      <c r="E1539" s="13" t="inlineStr">
        <is>
          <t>General</t>
        </is>
      </c>
      <c r="F1539" s="5" t="n">
        <v>1179</v>
      </c>
      <c r="G1539" s="5" t="n">
        <v>7346</v>
      </c>
      <c r="H1539" s="5" t="n">
        <v>81</v>
      </c>
      <c r="I1539" s="5" t="n">
        <v>59</v>
      </c>
      <c r="J1539" s="5" t="n">
        <v>15</v>
      </c>
      <c r="K1539" s="10">
        <f>IF(F1539&gt;0,H1539/F1539,"")</f>
        <v/>
      </c>
      <c r="L1539" s="16">
        <f>IF(AND(G1539&gt;0,H1539&gt;0),G1539/H1539,"")</f>
        <v/>
      </c>
    </row>
    <row r="1540">
      <c r="A1540" s="4" t="inlineStr">
        <is>
          <t>110</t>
        </is>
      </c>
      <c r="B1540" s="4" t="n">
        <v>1</v>
      </c>
      <c r="C1540" s="4" t="inlineStr">
        <is>
          <t>elk</t>
        </is>
      </c>
      <c r="D1540" s="4" t="n">
        <v>2006</v>
      </c>
      <c r="E1540" s="13" t="inlineStr">
        <is>
          <t>General</t>
        </is>
      </c>
      <c r="F1540" s="5" t="n">
        <v>1123</v>
      </c>
      <c r="G1540" s="5" t="n">
        <v>7678</v>
      </c>
      <c r="H1540" s="5" t="n">
        <v>74</v>
      </c>
      <c r="I1540" s="5" t="n">
        <v>52</v>
      </c>
      <c r="J1540" s="5" t="n">
        <v>18</v>
      </c>
      <c r="K1540" s="10">
        <f>IF(F1540&gt;0,H1540/F1540,"")</f>
        <v/>
      </c>
      <c r="L1540" s="16">
        <f>IF(AND(G1540&gt;0,H1540&gt;0),G1540/H1540,"")</f>
        <v/>
      </c>
    </row>
    <row r="1541">
      <c r="A1541" s="4" t="inlineStr">
        <is>
          <t>110</t>
        </is>
      </c>
      <c r="B1541" s="4" t="n">
        <v>1</v>
      </c>
      <c r="C1541" s="4" t="inlineStr">
        <is>
          <t>elk</t>
        </is>
      </c>
      <c r="D1541" s="4" t="n">
        <v>2007</v>
      </c>
      <c r="E1541" s="13" t="inlineStr">
        <is>
          <t>General</t>
        </is>
      </c>
      <c r="F1541" s="5" t="n">
        <v>1264</v>
      </c>
      <c r="G1541" s="5" t="n">
        <v>9440</v>
      </c>
      <c r="H1541" s="5" t="n">
        <v>80</v>
      </c>
      <c r="I1541" s="5" t="n">
        <v>80</v>
      </c>
      <c r="J1541" s="5" t="n">
        <v>0</v>
      </c>
      <c r="K1541" s="10">
        <f>IF(F1541&gt;0,H1541/F1541,"")</f>
        <v/>
      </c>
      <c r="L1541" s="16">
        <f>IF(AND(G1541&gt;0,H1541&gt;0),G1541/H1541,"")</f>
        <v/>
      </c>
    </row>
    <row r="1542">
      <c r="A1542" s="4" t="inlineStr">
        <is>
          <t>110</t>
        </is>
      </c>
      <c r="B1542" s="4" t="n">
        <v>1</v>
      </c>
      <c r="C1542" s="4" t="inlineStr">
        <is>
          <t>elk</t>
        </is>
      </c>
      <c r="D1542" s="4" t="n">
        <v>2008</v>
      </c>
      <c r="E1542" s="13" t="inlineStr">
        <is>
          <t>General</t>
        </is>
      </c>
      <c r="F1542" s="5" t="n">
        <v>1096</v>
      </c>
      <c r="G1542" s="5" t="n">
        <v>7820</v>
      </c>
      <c r="H1542" s="5" t="n">
        <v>55</v>
      </c>
      <c r="I1542" s="5" t="n">
        <v>51</v>
      </c>
      <c r="J1542" s="5" t="n">
        <v>5</v>
      </c>
      <c r="K1542" s="10">
        <f>IF(F1542&gt;0,H1542/F1542,"")</f>
        <v/>
      </c>
      <c r="L1542" s="16">
        <f>IF(AND(G1542&gt;0,H1542&gt;0),G1542/H1542,"")</f>
        <v/>
      </c>
    </row>
    <row r="1543">
      <c r="A1543" s="4" t="inlineStr">
        <is>
          <t>110</t>
        </is>
      </c>
      <c r="B1543" s="4" t="n">
        <v>1</v>
      </c>
      <c r="C1543" s="4" t="inlineStr">
        <is>
          <t>elk</t>
        </is>
      </c>
      <c r="D1543" s="4" t="n">
        <v>2009</v>
      </c>
      <c r="E1543" s="13" t="inlineStr">
        <is>
          <t>General</t>
        </is>
      </c>
      <c r="F1543" s="5" t="n">
        <v>1203</v>
      </c>
      <c r="G1543" s="5" t="n">
        <v>8475</v>
      </c>
      <c r="H1543" s="5" t="n">
        <v>64</v>
      </c>
      <c r="I1543" s="5" t="n">
        <v>45</v>
      </c>
      <c r="J1543" s="5" t="n">
        <v>16</v>
      </c>
      <c r="K1543" s="10">
        <f>IF(F1543&gt;0,H1543/F1543,"")</f>
        <v/>
      </c>
      <c r="L1543" s="16">
        <f>IF(AND(G1543&gt;0,H1543&gt;0),G1543/H1543,"")</f>
        <v/>
      </c>
    </row>
    <row r="1544">
      <c r="A1544" s="4" t="inlineStr">
        <is>
          <t>110</t>
        </is>
      </c>
      <c r="B1544" s="4" t="n">
        <v>1</v>
      </c>
      <c r="C1544" s="4" t="inlineStr">
        <is>
          <t>elk</t>
        </is>
      </c>
      <c r="D1544" s="4" t="n">
        <v>2010</v>
      </c>
      <c r="E1544" s="13" t="inlineStr">
        <is>
          <t>General</t>
        </is>
      </c>
      <c r="F1544" s="5" t="n">
        <v>1161</v>
      </c>
      <c r="G1544" s="5" t="n">
        <v>7866</v>
      </c>
      <c r="H1544" s="5" t="n">
        <v>84</v>
      </c>
      <c r="I1544" s="5" t="n">
        <v>64</v>
      </c>
      <c r="J1544" s="5" t="n">
        <v>16</v>
      </c>
      <c r="K1544" s="10">
        <f>IF(F1544&gt;0,H1544/F1544,"")</f>
        <v/>
      </c>
      <c r="L1544" s="16">
        <f>IF(AND(G1544&gt;0,H1544&gt;0),G1544/H1544,"")</f>
        <v/>
      </c>
    </row>
    <row r="1545">
      <c r="A1545" s="4" t="inlineStr">
        <is>
          <t>110</t>
        </is>
      </c>
      <c r="B1545" s="4" t="n">
        <v>1</v>
      </c>
      <c r="C1545" s="4" t="inlineStr">
        <is>
          <t>elk</t>
        </is>
      </c>
      <c r="D1545" s="4" t="n">
        <v>2011</v>
      </c>
      <c r="E1545" s="13" t="inlineStr">
        <is>
          <t>General</t>
        </is>
      </c>
      <c r="F1545" s="5" t="n">
        <v>1111</v>
      </c>
      <c r="G1545" s="5" t="n">
        <v>9126</v>
      </c>
      <c r="H1545" s="5" t="n">
        <v>32</v>
      </c>
      <c r="I1545" s="5" t="n">
        <v>22</v>
      </c>
      <c r="J1545" s="5" t="n">
        <v>10</v>
      </c>
      <c r="K1545" s="10">
        <f>IF(F1545&gt;0,H1545/F1545,"")</f>
        <v/>
      </c>
      <c r="L1545" s="16">
        <f>IF(AND(G1545&gt;0,H1545&gt;0),G1545/H1545,"")</f>
        <v/>
      </c>
    </row>
    <row r="1546">
      <c r="A1546" s="4" t="inlineStr">
        <is>
          <t>110</t>
        </is>
      </c>
      <c r="B1546" s="4" t="n">
        <v>1</v>
      </c>
      <c r="C1546" s="4" t="inlineStr">
        <is>
          <t>elk</t>
        </is>
      </c>
      <c r="D1546" s="4" t="n">
        <v>2012</v>
      </c>
      <c r="E1546" s="13" t="inlineStr">
        <is>
          <t>General</t>
        </is>
      </c>
      <c r="F1546" s="5" t="n">
        <v>981</v>
      </c>
      <c r="G1546" s="5" t="n">
        <v>6460</v>
      </c>
      <c r="H1546" s="5" t="n">
        <v>28</v>
      </c>
      <c r="I1546" s="5" t="n">
        <v>22</v>
      </c>
      <c r="J1546" s="5" t="n">
        <v>3</v>
      </c>
      <c r="K1546" s="10">
        <f>IF(F1546&gt;0,H1546/F1546,"")</f>
        <v/>
      </c>
      <c r="L1546" s="16">
        <f>IF(AND(G1546&gt;0,H1546&gt;0),G1546/H1546,"")</f>
        <v/>
      </c>
    </row>
    <row r="1547">
      <c r="A1547" s="4" t="inlineStr">
        <is>
          <t>110</t>
        </is>
      </c>
      <c r="B1547" s="4" t="n">
        <v>1</v>
      </c>
      <c r="C1547" s="4" t="inlineStr">
        <is>
          <t>elk</t>
        </is>
      </c>
      <c r="D1547" s="4" t="n">
        <v>2013</v>
      </c>
      <c r="E1547" s="13" t="inlineStr">
        <is>
          <t>General</t>
        </is>
      </c>
      <c r="F1547" s="5" t="n"/>
      <c r="G1547" s="5" t="n"/>
      <c r="H1547" s="5" t="n">
        <v>35</v>
      </c>
      <c r="I1547" s="5" t="n">
        <v>34</v>
      </c>
      <c r="J1547" s="5" t="n">
        <v>2</v>
      </c>
      <c r="K1547" s="10">
        <f>IF(F1547&gt;0,H1547/F1547,"")</f>
        <v/>
      </c>
      <c r="L1547" s="16">
        <f>IF(AND(G1547&gt;0,H1547&gt;0),G1547/H1547,"")</f>
        <v/>
      </c>
    </row>
    <row r="1548">
      <c r="A1548" s="4" t="inlineStr">
        <is>
          <t>110</t>
        </is>
      </c>
      <c r="B1548" s="4" t="n">
        <v>1</v>
      </c>
      <c r="C1548" s="4" t="inlineStr">
        <is>
          <t>elk</t>
        </is>
      </c>
      <c r="D1548" s="4" t="n">
        <v>2014</v>
      </c>
      <c r="E1548" s="13" t="inlineStr">
        <is>
          <t>General</t>
        </is>
      </c>
      <c r="F1548" s="5" t="n">
        <v>844</v>
      </c>
      <c r="G1548" s="5" t="n">
        <v>6069</v>
      </c>
      <c r="H1548" s="5" t="n">
        <v>25</v>
      </c>
      <c r="I1548" s="5" t="n">
        <v>25</v>
      </c>
      <c r="J1548" s="5" t="n">
        <v>0</v>
      </c>
      <c r="K1548" s="10">
        <f>IF(F1548&gt;0,H1548/F1548,"")</f>
        <v/>
      </c>
      <c r="L1548" s="16">
        <f>IF(AND(G1548&gt;0,H1548&gt;0),G1548/H1548,"")</f>
        <v/>
      </c>
    </row>
    <row r="1549">
      <c r="A1549" s="4" t="inlineStr">
        <is>
          <t>110</t>
        </is>
      </c>
      <c r="B1549" s="4" t="n">
        <v>1</v>
      </c>
      <c r="C1549" s="4" t="inlineStr">
        <is>
          <t>elk</t>
        </is>
      </c>
      <c r="D1549" s="4" t="n">
        <v>2015</v>
      </c>
      <c r="E1549" s="13" t="inlineStr">
        <is>
          <t>General</t>
        </is>
      </c>
      <c r="F1549" s="5" t="n">
        <v>826</v>
      </c>
      <c r="G1549" s="5" t="n">
        <v>6273</v>
      </c>
      <c r="H1549" s="5" t="n">
        <v>29</v>
      </c>
      <c r="I1549" s="5" t="n">
        <v>26</v>
      </c>
      <c r="J1549" s="5" t="n">
        <v>3</v>
      </c>
      <c r="K1549" s="10">
        <f>IF(F1549&gt;0,H1549/F1549,"")</f>
        <v/>
      </c>
      <c r="L1549" s="16">
        <f>IF(AND(G1549&gt;0,H1549&gt;0),G1549/H1549,"")</f>
        <v/>
      </c>
    </row>
    <row r="1550">
      <c r="A1550" s="4" t="inlineStr">
        <is>
          <t>110</t>
        </is>
      </c>
      <c r="B1550" s="4" t="n">
        <v>1</v>
      </c>
      <c r="C1550" s="4" t="inlineStr">
        <is>
          <t>elk</t>
        </is>
      </c>
      <c r="D1550" s="4" t="n">
        <v>2016</v>
      </c>
      <c r="E1550" s="13" t="inlineStr">
        <is>
          <t>General</t>
        </is>
      </c>
      <c r="F1550" s="5" t="n">
        <v>930</v>
      </c>
      <c r="G1550" s="5" t="n">
        <v>6247</v>
      </c>
      <c r="H1550" s="5" t="n">
        <v>23</v>
      </c>
      <c r="I1550" s="5" t="n">
        <v>19</v>
      </c>
      <c r="J1550" s="5" t="n">
        <v>4</v>
      </c>
      <c r="K1550" s="10">
        <f>IF(F1550&gt;0,H1550/F1550,"")</f>
        <v/>
      </c>
      <c r="L1550" s="16">
        <f>IF(AND(G1550&gt;0,H1550&gt;0),G1550/H1550,"")</f>
        <v/>
      </c>
    </row>
    <row r="1551">
      <c r="A1551" s="4" t="inlineStr">
        <is>
          <t>110</t>
        </is>
      </c>
      <c r="B1551" s="4" t="n">
        <v>1</v>
      </c>
      <c r="C1551" s="4" t="inlineStr">
        <is>
          <t>elk</t>
        </is>
      </c>
      <c r="D1551" s="4" t="n">
        <v>2017</v>
      </c>
      <c r="E1551" s="13" t="inlineStr">
        <is>
          <t>General</t>
        </is>
      </c>
      <c r="F1551" s="5" t="n"/>
      <c r="G1551" s="5" t="n"/>
      <c r="H1551" s="5" t="n">
        <v>29</v>
      </c>
      <c r="I1551" s="5" t="n">
        <v>26</v>
      </c>
      <c r="J1551" s="5" t="n">
        <v>3</v>
      </c>
      <c r="K1551" s="10">
        <f>IF(F1551&gt;0,H1551/F1551,"")</f>
        <v/>
      </c>
      <c r="L1551" s="16">
        <f>IF(AND(G1551&gt;0,H1551&gt;0),G1551/H1551,"")</f>
        <v/>
      </c>
    </row>
    <row r="1552">
      <c r="A1552" s="4" t="inlineStr">
        <is>
          <t>110</t>
        </is>
      </c>
      <c r="B1552" s="4" t="n">
        <v>1</v>
      </c>
      <c r="C1552" s="4" t="inlineStr">
        <is>
          <t>elk</t>
        </is>
      </c>
      <c r="D1552" s="4" t="n">
        <v>2018</v>
      </c>
      <c r="E1552" s="13" t="inlineStr">
        <is>
          <t>General</t>
        </is>
      </c>
      <c r="F1552" s="5" t="n">
        <v>634</v>
      </c>
      <c r="G1552" s="5" t="n">
        <v>4766</v>
      </c>
      <c r="H1552" s="5" t="n">
        <v>25</v>
      </c>
      <c r="I1552" s="5" t="n">
        <v>16</v>
      </c>
      <c r="J1552" s="5" t="n">
        <v>9</v>
      </c>
      <c r="K1552" s="10">
        <f>IF(F1552&gt;0,H1552/F1552,"")</f>
        <v/>
      </c>
      <c r="L1552" s="16">
        <f>IF(AND(G1552&gt;0,H1552&gt;0),G1552/H1552,"")</f>
        <v/>
      </c>
    </row>
    <row r="1553">
      <c r="A1553" s="4" t="inlineStr">
        <is>
          <t>110</t>
        </is>
      </c>
      <c r="B1553" s="4" t="n">
        <v>1</v>
      </c>
      <c r="C1553" s="4" t="inlineStr">
        <is>
          <t>elk</t>
        </is>
      </c>
      <c r="D1553" s="4" t="n">
        <v>2019</v>
      </c>
      <c r="E1553" s="13" t="inlineStr">
        <is>
          <t>General</t>
        </is>
      </c>
      <c r="F1553" s="5" t="n"/>
      <c r="G1553" s="5" t="n"/>
      <c r="H1553" s="5" t="n">
        <v>12</v>
      </c>
      <c r="I1553" s="5" t="n">
        <v>6</v>
      </c>
      <c r="J1553" s="5" t="n">
        <v>6</v>
      </c>
      <c r="K1553" s="10">
        <f>IF(F1553&gt;0,H1553/F1553,"")</f>
        <v/>
      </c>
      <c r="L1553" s="16">
        <f>IF(AND(G1553&gt;0,H1553&gt;0),G1553/H1553,"")</f>
        <v/>
      </c>
    </row>
    <row r="1554">
      <c r="A1554" s="4" t="inlineStr">
        <is>
          <t>110</t>
        </is>
      </c>
      <c r="B1554" s="4" t="n">
        <v>1</v>
      </c>
      <c r="C1554" s="4" t="inlineStr">
        <is>
          <t>elk</t>
        </is>
      </c>
      <c r="D1554" s="4" t="n">
        <v>2020</v>
      </c>
      <c r="E1554" s="13" t="inlineStr">
        <is>
          <t>General</t>
        </is>
      </c>
      <c r="F1554" s="5" t="n">
        <v>607</v>
      </c>
      <c r="G1554" s="5" t="n">
        <v>4210</v>
      </c>
      <c r="H1554" s="5" t="n">
        <v>31</v>
      </c>
      <c r="I1554" s="5" t="n">
        <v>25</v>
      </c>
      <c r="J1554" s="5" t="n">
        <v>6</v>
      </c>
      <c r="K1554" s="10">
        <f>IF(F1554&gt;0,H1554/F1554,"")</f>
        <v/>
      </c>
      <c r="L1554" s="16">
        <f>IF(AND(G1554&gt;0,H1554&gt;0),G1554/H1554,"")</f>
        <v/>
      </c>
    </row>
    <row r="1555">
      <c r="A1555" s="4" t="inlineStr">
        <is>
          <t>110</t>
        </is>
      </c>
      <c r="B1555" s="4" t="n">
        <v>1</v>
      </c>
      <c r="C1555" s="4" t="inlineStr">
        <is>
          <t>elk</t>
        </is>
      </c>
      <c r="D1555" s="4" t="n">
        <v>2021</v>
      </c>
      <c r="E1555" s="13" t="inlineStr">
        <is>
          <t>General</t>
        </is>
      </c>
      <c r="F1555" s="5" t="n"/>
      <c r="G1555" s="5" t="n"/>
      <c r="H1555" s="5" t="n">
        <v>27</v>
      </c>
      <c r="I1555" s="5" t="n">
        <v>19</v>
      </c>
      <c r="J1555" s="5" t="n">
        <v>8</v>
      </c>
      <c r="K1555" s="10">
        <f>IF(F1555&gt;0,H1555/F1555,"")</f>
        <v/>
      </c>
      <c r="L1555" s="16">
        <f>IF(AND(G1555&gt;0,H1555&gt;0),G1555/H1555,"")</f>
        <v/>
      </c>
    </row>
    <row r="1556">
      <c r="A1556" s="4" t="inlineStr">
        <is>
          <t>110</t>
        </is>
      </c>
      <c r="B1556" s="4" t="n">
        <v>1</v>
      </c>
      <c r="C1556" s="4" t="inlineStr">
        <is>
          <t>elk</t>
        </is>
      </c>
      <c r="D1556" s="4" t="n">
        <v>2022</v>
      </c>
      <c r="E1556" s="13" t="inlineStr">
        <is>
          <t>General</t>
        </is>
      </c>
      <c r="F1556" s="5" t="n">
        <v>685</v>
      </c>
      <c r="G1556" s="5" t="n">
        <v>5280</v>
      </c>
      <c r="H1556" s="5" t="n">
        <v>42</v>
      </c>
      <c r="I1556" s="5" t="n">
        <v>33</v>
      </c>
      <c r="J1556" s="5" t="n">
        <v>7</v>
      </c>
      <c r="K1556" s="10">
        <f>IF(F1556&gt;0,H1556/F1556,"")</f>
        <v/>
      </c>
      <c r="L1556" s="16">
        <f>IF(AND(G1556&gt;0,H1556&gt;0),G1556/H1556,"")</f>
        <v/>
      </c>
    </row>
    <row r="1557">
      <c r="A1557" s="4" t="inlineStr">
        <is>
          <t>110</t>
        </is>
      </c>
      <c r="B1557" s="4" t="n">
        <v>1</v>
      </c>
      <c r="C1557" s="4" t="inlineStr">
        <is>
          <t>elk</t>
        </is>
      </c>
      <c r="D1557" s="4" t="n">
        <v>2023</v>
      </c>
      <c r="E1557" s="13" t="inlineStr">
        <is>
          <t>General</t>
        </is>
      </c>
      <c r="F1557" s="5" t="n"/>
      <c r="G1557" s="5" t="n"/>
      <c r="H1557" s="5" t="n">
        <v>24</v>
      </c>
      <c r="I1557" s="5" t="n">
        <v>18</v>
      </c>
      <c r="J1557" s="5" t="n">
        <v>6</v>
      </c>
      <c r="K1557" s="10">
        <f>IF(F1557&gt;0,H1557/F1557,"")</f>
        <v/>
      </c>
      <c r="L1557" s="16">
        <f>IF(AND(G1557&gt;0,H1557&gt;0),G1557/H1557,"")</f>
        <v/>
      </c>
    </row>
    <row r="1558">
      <c r="A1558" s="4" t="inlineStr">
        <is>
          <t>110</t>
        </is>
      </c>
      <c r="B1558" s="4" t="n">
        <v>1</v>
      </c>
      <c r="C1558" s="4" t="inlineStr">
        <is>
          <t>elk</t>
        </is>
      </c>
      <c r="D1558" s="4" t="n">
        <v>2024</v>
      </c>
      <c r="E1558" s="13" t="inlineStr">
        <is>
          <t>General</t>
        </is>
      </c>
      <c r="F1558" s="5" t="n">
        <v>808</v>
      </c>
      <c r="G1558" s="5" t="n">
        <v>6099</v>
      </c>
      <c r="H1558" s="5" t="n">
        <v>52</v>
      </c>
      <c r="I1558" s="5" t="n">
        <v>49</v>
      </c>
      <c r="J1558" s="5" t="n">
        <v>3</v>
      </c>
      <c r="K1558" s="10">
        <f>IF(F1558&gt;0,H1558/F1558,"")</f>
        <v/>
      </c>
      <c r="L1558" s="16">
        <f>IF(AND(G1558&gt;0,H1558&gt;0),G1558/H1558,"")</f>
        <v/>
      </c>
    </row>
    <row r="1559">
      <c r="A1559" s="4" t="inlineStr">
        <is>
          <t>110</t>
        </is>
      </c>
      <c r="B1559" s="4" t="n">
        <v>1</v>
      </c>
      <c r="C1559" s="4" t="inlineStr">
        <is>
          <t>elk</t>
        </is>
      </c>
      <c r="D1559" s="4" t="n">
        <v>2025</v>
      </c>
      <c r="E1559" s="13" t="inlineStr">
        <is>
          <t>General</t>
        </is>
      </c>
      <c r="F1559" s="5" t="n"/>
      <c r="G1559" s="5" t="n"/>
      <c r="H1559" s="5" t="n">
        <v>40</v>
      </c>
      <c r="I1559" s="5" t="n">
        <v>40</v>
      </c>
      <c r="J1559" s="5" t="n">
        <v>0</v>
      </c>
      <c r="K1559" s="10">
        <f>IF(F1559&gt;0,H1559/F1559,"")</f>
        <v/>
      </c>
      <c r="L1559" s="16">
        <f>IF(AND(G1559&gt;0,H1559&gt;0),G1559/H1559,"")</f>
        <v/>
      </c>
    </row>
    <row r="1560">
      <c r="A1560" s="4" t="inlineStr">
        <is>
          <t>120</t>
        </is>
      </c>
      <c r="B1560" s="4" t="n">
        <v>1</v>
      </c>
      <c r="C1560" s="4" t="inlineStr">
        <is>
          <t>elk</t>
        </is>
      </c>
      <c r="D1560" s="4" t="n">
        <v>2004</v>
      </c>
      <c r="E1560" s="13" t="inlineStr">
        <is>
          <t>General</t>
        </is>
      </c>
      <c r="F1560" s="5" t="n">
        <v>990</v>
      </c>
      <c r="G1560" s="5" t="n">
        <v>5657</v>
      </c>
      <c r="H1560" s="5" t="n">
        <v>40</v>
      </c>
      <c r="I1560" s="5" t="n">
        <v>33</v>
      </c>
      <c r="J1560" s="5" t="n">
        <v>7</v>
      </c>
      <c r="K1560" s="10">
        <f>IF(F1560&gt;0,H1560/F1560,"")</f>
        <v/>
      </c>
      <c r="L1560" s="16">
        <f>IF(AND(G1560&gt;0,H1560&gt;0),G1560/H1560,"")</f>
        <v/>
      </c>
    </row>
    <row r="1561">
      <c r="A1561" s="4" t="inlineStr">
        <is>
          <t>120</t>
        </is>
      </c>
      <c r="B1561" s="4" t="n">
        <v>1</v>
      </c>
      <c r="C1561" s="4" t="inlineStr">
        <is>
          <t>elk</t>
        </is>
      </c>
      <c r="D1561" s="4" t="n">
        <v>2005</v>
      </c>
      <c r="E1561" s="13" t="inlineStr">
        <is>
          <t>General</t>
        </is>
      </c>
      <c r="F1561" s="5" t="n">
        <v>1067</v>
      </c>
      <c r="G1561" s="5" t="n">
        <v>6744</v>
      </c>
      <c r="H1561" s="5" t="n">
        <v>69</v>
      </c>
      <c r="I1561" s="5" t="n">
        <v>45</v>
      </c>
      <c r="J1561" s="5" t="n">
        <v>21</v>
      </c>
      <c r="K1561" s="10">
        <f>IF(F1561&gt;0,H1561/F1561,"")</f>
        <v/>
      </c>
      <c r="L1561" s="16">
        <f>IF(AND(G1561&gt;0,H1561&gt;0),G1561/H1561,"")</f>
        <v/>
      </c>
    </row>
    <row r="1562">
      <c r="A1562" s="4" t="inlineStr">
        <is>
          <t>120</t>
        </is>
      </c>
      <c r="B1562" s="4" t="n">
        <v>1</v>
      </c>
      <c r="C1562" s="4" t="inlineStr">
        <is>
          <t>elk</t>
        </is>
      </c>
      <c r="D1562" s="4" t="n">
        <v>2006</v>
      </c>
      <c r="E1562" s="13" t="inlineStr">
        <is>
          <t>General</t>
        </is>
      </c>
      <c r="F1562" s="5" t="n">
        <v>1093</v>
      </c>
      <c r="G1562" s="5" t="n">
        <v>8307</v>
      </c>
      <c r="H1562" s="5" t="n">
        <v>77</v>
      </c>
      <c r="I1562" s="5" t="n">
        <v>52</v>
      </c>
      <c r="J1562" s="5" t="n">
        <v>24</v>
      </c>
      <c r="K1562" s="10">
        <f>IF(F1562&gt;0,H1562/F1562,"")</f>
        <v/>
      </c>
      <c r="L1562" s="16">
        <f>IF(AND(G1562&gt;0,H1562&gt;0),G1562/H1562,"")</f>
        <v/>
      </c>
    </row>
    <row r="1563">
      <c r="A1563" s="4" t="inlineStr">
        <is>
          <t>120</t>
        </is>
      </c>
      <c r="B1563" s="4" t="n">
        <v>1</v>
      </c>
      <c r="C1563" s="4" t="inlineStr">
        <is>
          <t>elk</t>
        </is>
      </c>
      <c r="D1563" s="4" t="n">
        <v>2007</v>
      </c>
      <c r="E1563" s="13" t="inlineStr">
        <is>
          <t>General</t>
        </is>
      </c>
      <c r="F1563" s="5" t="n">
        <v>1254</v>
      </c>
      <c r="G1563" s="5" t="n">
        <v>9113</v>
      </c>
      <c r="H1563" s="5" t="n">
        <v>47</v>
      </c>
      <c r="I1563" s="5" t="n">
        <v>32</v>
      </c>
      <c r="J1563" s="5" t="n">
        <v>12</v>
      </c>
      <c r="K1563" s="10">
        <f>IF(F1563&gt;0,H1563/F1563,"")</f>
        <v/>
      </c>
      <c r="L1563" s="16">
        <f>IF(AND(G1563&gt;0,H1563&gt;0),G1563/H1563,"")</f>
        <v/>
      </c>
    </row>
    <row r="1564">
      <c r="A1564" s="4" t="inlineStr">
        <is>
          <t>120</t>
        </is>
      </c>
      <c r="B1564" s="4" t="n">
        <v>1</v>
      </c>
      <c r="C1564" s="4" t="inlineStr">
        <is>
          <t>elk</t>
        </is>
      </c>
      <c r="D1564" s="4" t="n">
        <v>2008</v>
      </c>
      <c r="E1564" s="13" t="inlineStr">
        <is>
          <t>General</t>
        </is>
      </c>
      <c r="F1564" s="5" t="n">
        <v>1134</v>
      </c>
      <c r="G1564" s="5" t="n">
        <v>9082</v>
      </c>
      <c r="H1564" s="5" t="n">
        <v>46</v>
      </c>
      <c r="I1564" s="5" t="n">
        <v>26</v>
      </c>
      <c r="J1564" s="5" t="n">
        <v>17</v>
      </c>
      <c r="K1564" s="10">
        <f>IF(F1564&gt;0,H1564/F1564,"")</f>
        <v/>
      </c>
      <c r="L1564" s="16">
        <f>IF(AND(G1564&gt;0,H1564&gt;0),G1564/H1564,"")</f>
        <v/>
      </c>
    </row>
    <row r="1565">
      <c r="A1565" s="4" t="inlineStr">
        <is>
          <t>120</t>
        </is>
      </c>
      <c r="B1565" s="4" t="n">
        <v>1</v>
      </c>
      <c r="C1565" s="4" t="inlineStr">
        <is>
          <t>elk</t>
        </is>
      </c>
      <c r="D1565" s="4" t="n">
        <v>2009</v>
      </c>
      <c r="E1565" s="13" t="inlineStr">
        <is>
          <t>General</t>
        </is>
      </c>
      <c r="F1565" s="5" t="n">
        <v>1237</v>
      </c>
      <c r="G1565" s="5" t="n">
        <v>8218</v>
      </c>
      <c r="H1565" s="5" t="n">
        <v>60</v>
      </c>
      <c r="I1565" s="5" t="n">
        <v>39</v>
      </c>
      <c r="J1565" s="5" t="n">
        <v>21</v>
      </c>
      <c r="K1565" s="10">
        <f>IF(F1565&gt;0,H1565/F1565,"")</f>
        <v/>
      </c>
      <c r="L1565" s="16">
        <f>IF(AND(G1565&gt;0,H1565&gt;0),G1565/H1565,"")</f>
        <v/>
      </c>
    </row>
    <row r="1566">
      <c r="A1566" s="4" t="inlineStr">
        <is>
          <t>120</t>
        </is>
      </c>
      <c r="B1566" s="4" t="n">
        <v>1</v>
      </c>
      <c r="C1566" s="4" t="inlineStr">
        <is>
          <t>elk</t>
        </is>
      </c>
      <c r="D1566" s="4" t="n">
        <v>2010</v>
      </c>
      <c r="E1566" s="13" t="inlineStr">
        <is>
          <t>General</t>
        </is>
      </c>
      <c r="F1566" s="5" t="n">
        <v>1143</v>
      </c>
      <c r="G1566" s="5" t="n">
        <v>8409</v>
      </c>
      <c r="H1566" s="5" t="n">
        <v>50</v>
      </c>
      <c r="I1566" s="5" t="n">
        <v>25</v>
      </c>
      <c r="J1566" s="5" t="n">
        <v>22</v>
      </c>
      <c r="K1566" s="10">
        <f>IF(F1566&gt;0,H1566/F1566,"")</f>
        <v/>
      </c>
      <c r="L1566" s="16">
        <f>IF(AND(G1566&gt;0,H1566&gt;0),G1566/H1566,"")</f>
        <v/>
      </c>
    </row>
    <row r="1567">
      <c r="A1567" s="4" t="inlineStr">
        <is>
          <t>120</t>
        </is>
      </c>
      <c r="B1567" s="4" t="n">
        <v>1</v>
      </c>
      <c r="C1567" s="4" t="inlineStr">
        <is>
          <t>elk</t>
        </is>
      </c>
      <c r="D1567" s="4" t="n">
        <v>2011</v>
      </c>
      <c r="E1567" s="13" t="inlineStr">
        <is>
          <t>General</t>
        </is>
      </c>
      <c r="F1567" s="5" t="n">
        <v>1323</v>
      </c>
      <c r="G1567" s="5" t="n">
        <v>8962</v>
      </c>
      <c r="H1567" s="5" t="n">
        <v>62</v>
      </c>
      <c r="I1567" s="5" t="n">
        <v>42</v>
      </c>
      <c r="J1567" s="5" t="n">
        <v>15</v>
      </c>
      <c r="K1567" s="10">
        <f>IF(F1567&gt;0,H1567/F1567,"")</f>
        <v/>
      </c>
      <c r="L1567" s="16">
        <f>IF(AND(G1567&gt;0,H1567&gt;0),G1567/H1567,"")</f>
        <v/>
      </c>
    </row>
    <row r="1568">
      <c r="A1568" s="4" t="inlineStr">
        <is>
          <t>120</t>
        </is>
      </c>
      <c r="B1568" s="4" t="n">
        <v>1</v>
      </c>
      <c r="C1568" s="4" t="inlineStr">
        <is>
          <t>elk</t>
        </is>
      </c>
      <c r="D1568" s="4" t="n">
        <v>2012</v>
      </c>
      <c r="E1568" s="13" t="inlineStr">
        <is>
          <t>General</t>
        </is>
      </c>
      <c r="F1568" s="5" t="n">
        <v>1093</v>
      </c>
      <c r="G1568" s="5" t="n">
        <v>7952</v>
      </c>
      <c r="H1568" s="5" t="n">
        <v>25</v>
      </c>
      <c r="I1568" s="5" t="n">
        <v>25</v>
      </c>
      <c r="J1568" s="5" t="n">
        <v>0</v>
      </c>
      <c r="K1568" s="10">
        <f>IF(F1568&gt;0,H1568/F1568,"")</f>
        <v/>
      </c>
      <c r="L1568" s="16">
        <f>IF(AND(G1568&gt;0,H1568&gt;0),G1568/H1568,"")</f>
        <v/>
      </c>
    </row>
    <row r="1569">
      <c r="A1569" s="4" t="inlineStr">
        <is>
          <t>120</t>
        </is>
      </c>
      <c r="B1569" s="4" t="n">
        <v>1</v>
      </c>
      <c r="C1569" s="4" t="inlineStr">
        <is>
          <t>elk</t>
        </is>
      </c>
      <c r="D1569" s="4" t="n">
        <v>2013</v>
      </c>
      <c r="E1569" s="13" t="inlineStr">
        <is>
          <t>General</t>
        </is>
      </c>
      <c r="F1569" s="5" t="n"/>
      <c r="G1569" s="5" t="n"/>
      <c r="H1569" s="5" t="n">
        <v>44</v>
      </c>
      <c r="I1569" s="5" t="n">
        <v>39</v>
      </c>
      <c r="J1569" s="5" t="n">
        <v>5</v>
      </c>
      <c r="K1569" s="10">
        <f>IF(F1569&gt;0,H1569/F1569,"")</f>
        <v/>
      </c>
      <c r="L1569" s="16">
        <f>IF(AND(G1569&gt;0,H1569&gt;0),G1569/H1569,"")</f>
        <v/>
      </c>
    </row>
    <row r="1570">
      <c r="A1570" s="4" t="inlineStr">
        <is>
          <t>120</t>
        </is>
      </c>
      <c r="B1570" s="4" t="n">
        <v>1</v>
      </c>
      <c r="C1570" s="4" t="inlineStr">
        <is>
          <t>elk</t>
        </is>
      </c>
      <c r="D1570" s="4" t="n">
        <v>2014</v>
      </c>
      <c r="E1570" s="13" t="inlineStr">
        <is>
          <t>General</t>
        </is>
      </c>
      <c r="F1570" s="5" t="n">
        <v>1055</v>
      </c>
      <c r="G1570" s="5" t="n">
        <v>8065</v>
      </c>
      <c r="H1570" s="5" t="n">
        <v>31</v>
      </c>
      <c r="I1570" s="5" t="n">
        <v>31</v>
      </c>
      <c r="J1570" s="5" t="n">
        <v>0</v>
      </c>
      <c r="K1570" s="10">
        <f>IF(F1570&gt;0,H1570/F1570,"")</f>
        <v/>
      </c>
      <c r="L1570" s="16">
        <f>IF(AND(G1570&gt;0,H1570&gt;0),G1570/H1570,"")</f>
        <v/>
      </c>
    </row>
    <row r="1571">
      <c r="A1571" s="4" t="inlineStr">
        <is>
          <t>120</t>
        </is>
      </c>
      <c r="B1571" s="4" t="n">
        <v>1</v>
      </c>
      <c r="C1571" s="4" t="inlineStr">
        <is>
          <t>elk</t>
        </is>
      </c>
      <c r="D1571" s="4" t="n">
        <v>2015</v>
      </c>
      <c r="E1571" s="13" t="inlineStr">
        <is>
          <t>General</t>
        </is>
      </c>
      <c r="F1571" s="5" t="n">
        <v>1020</v>
      </c>
      <c r="G1571" s="5" t="n">
        <v>7651</v>
      </c>
      <c r="H1571" s="5" t="n">
        <v>43</v>
      </c>
      <c r="I1571" s="5" t="n">
        <v>37</v>
      </c>
      <c r="J1571" s="5" t="n">
        <v>5</v>
      </c>
      <c r="K1571" s="10">
        <f>IF(F1571&gt;0,H1571/F1571,"")</f>
        <v/>
      </c>
      <c r="L1571" s="16">
        <f>IF(AND(G1571&gt;0,H1571&gt;0),G1571/H1571,"")</f>
        <v/>
      </c>
    </row>
    <row r="1572">
      <c r="A1572" s="4" t="inlineStr">
        <is>
          <t>120</t>
        </is>
      </c>
      <c r="B1572" s="4" t="n">
        <v>1</v>
      </c>
      <c r="C1572" s="4" t="inlineStr">
        <is>
          <t>elk</t>
        </is>
      </c>
      <c r="D1572" s="4" t="n">
        <v>2016</v>
      </c>
      <c r="E1572" s="13" t="inlineStr">
        <is>
          <t>General</t>
        </is>
      </c>
      <c r="F1572" s="5" t="n">
        <v>1240</v>
      </c>
      <c r="G1572" s="5" t="n">
        <v>10052</v>
      </c>
      <c r="H1572" s="5" t="n">
        <v>30</v>
      </c>
      <c r="I1572" s="5" t="n">
        <v>25</v>
      </c>
      <c r="J1572" s="5" t="n">
        <v>5</v>
      </c>
      <c r="K1572" s="10">
        <f>IF(F1572&gt;0,H1572/F1572,"")</f>
        <v/>
      </c>
      <c r="L1572" s="16">
        <f>IF(AND(G1572&gt;0,H1572&gt;0),G1572/H1572,"")</f>
        <v/>
      </c>
    </row>
    <row r="1573">
      <c r="A1573" s="4" t="inlineStr">
        <is>
          <t>120</t>
        </is>
      </c>
      <c r="B1573" s="4" t="n">
        <v>1</v>
      </c>
      <c r="C1573" s="4" t="inlineStr">
        <is>
          <t>elk</t>
        </is>
      </c>
      <c r="D1573" s="4" t="n">
        <v>2017</v>
      </c>
      <c r="E1573" s="13" t="inlineStr">
        <is>
          <t>General</t>
        </is>
      </c>
      <c r="F1573" s="5" t="n"/>
      <c r="G1573" s="5" t="n"/>
      <c r="H1573" s="5" t="n">
        <v>27</v>
      </c>
      <c r="I1573" s="5" t="n">
        <v>27</v>
      </c>
      <c r="J1573" s="5" t="n">
        <v>0</v>
      </c>
      <c r="K1573" s="10">
        <f>IF(F1573&gt;0,H1573/F1573,"")</f>
        <v/>
      </c>
      <c r="L1573" s="16">
        <f>IF(AND(G1573&gt;0,H1573&gt;0),G1573/H1573,"")</f>
        <v/>
      </c>
    </row>
    <row r="1574">
      <c r="A1574" s="4" t="inlineStr">
        <is>
          <t>120</t>
        </is>
      </c>
      <c r="B1574" s="4" t="n">
        <v>1</v>
      </c>
      <c r="C1574" s="4" t="inlineStr">
        <is>
          <t>elk</t>
        </is>
      </c>
      <c r="D1574" s="4" t="n">
        <v>2018</v>
      </c>
      <c r="E1574" s="13" t="inlineStr">
        <is>
          <t>General</t>
        </is>
      </c>
      <c r="F1574" s="5" t="n">
        <v>1171</v>
      </c>
      <c r="G1574" s="5" t="n">
        <v>9118</v>
      </c>
      <c r="H1574" s="5" t="n">
        <v>49</v>
      </c>
      <c r="I1574" s="5" t="n">
        <v>46</v>
      </c>
      <c r="J1574" s="5" t="n">
        <v>3</v>
      </c>
      <c r="K1574" s="10">
        <f>IF(F1574&gt;0,H1574/F1574,"")</f>
        <v/>
      </c>
      <c r="L1574" s="16">
        <f>IF(AND(G1574&gt;0,H1574&gt;0),G1574/H1574,"")</f>
        <v/>
      </c>
    </row>
    <row r="1575">
      <c r="A1575" s="4" t="inlineStr">
        <is>
          <t>120</t>
        </is>
      </c>
      <c r="B1575" s="4" t="n">
        <v>1</v>
      </c>
      <c r="C1575" s="4" t="inlineStr">
        <is>
          <t>elk</t>
        </is>
      </c>
      <c r="D1575" s="4" t="n">
        <v>2019</v>
      </c>
      <c r="E1575" s="13" t="inlineStr">
        <is>
          <t>General</t>
        </is>
      </c>
      <c r="F1575" s="5" t="n"/>
      <c r="G1575" s="5" t="n"/>
      <c r="H1575" s="5" t="n">
        <v>22</v>
      </c>
      <c r="I1575" s="5" t="n">
        <v>19</v>
      </c>
      <c r="J1575" s="5" t="n">
        <v>3</v>
      </c>
      <c r="K1575" s="10">
        <f>IF(F1575&gt;0,H1575/F1575,"")</f>
        <v/>
      </c>
      <c r="L1575" s="16">
        <f>IF(AND(G1575&gt;0,H1575&gt;0),G1575/H1575,"")</f>
        <v/>
      </c>
    </row>
    <row r="1576">
      <c r="A1576" s="4" t="inlineStr">
        <is>
          <t>120</t>
        </is>
      </c>
      <c r="B1576" s="4" t="n">
        <v>1</v>
      </c>
      <c r="C1576" s="4" t="inlineStr">
        <is>
          <t>elk</t>
        </is>
      </c>
      <c r="D1576" s="4" t="n">
        <v>2020</v>
      </c>
      <c r="E1576" s="13" t="inlineStr">
        <is>
          <t>General</t>
        </is>
      </c>
      <c r="F1576" s="5" t="n">
        <v>984</v>
      </c>
      <c r="G1576" s="5" t="n">
        <v>8196</v>
      </c>
      <c r="H1576" s="5" t="n">
        <v>14</v>
      </c>
      <c r="I1576" s="5" t="n">
        <v>14</v>
      </c>
      <c r="J1576" s="5" t="n">
        <v>0</v>
      </c>
      <c r="K1576" s="10">
        <f>IF(F1576&gt;0,H1576/F1576,"")</f>
        <v/>
      </c>
      <c r="L1576" s="16">
        <f>IF(AND(G1576&gt;0,H1576&gt;0),G1576/H1576,"")</f>
        <v/>
      </c>
    </row>
    <row r="1577">
      <c r="A1577" s="4" t="inlineStr">
        <is>
          <t>120</t>
        </is>
      </c>
      <c r="B1577" s="4" t="n">
        <v>1</v>
      </c>
      <c r="C1577" s="4" t="inlineStr">
        <is>
          <t>elk</t>
        </is>
      </c>
      <c r="D1577" s="4" t="n">
        <v>2021</v>
      </c>
      <c r="E1577" s="13" t="inlineStr">
        <is>
          <t>General</t>
        </is>
      </c>
      <c r="F1577" s="5" t="n"/>
      <c r="G1577" s="5" t="n"/>
      <c r="H1577" s="5" t="n">
        <v>36</v>
      </c>
      <c r="I1577" s="5" t="n">
        <v>35</v>
      </c>
      <c r="J1577" s="5" t="n">
        <v>1</v>
      </c>
      <c r="K1577" s="10">
        <f>IF(F1577&gt;0,H1577/F1577,"")</f>
        <v/>
      </c>
      <c r="L1577" s="16">
        <f>IF(AND(G1577&gt;0,H1577&gt;0),G1577/H1577,"")</f>
        <v/>
      </c>
    </row>
    <row r="1578">
      <c r="A1578" s="4" t="inlineStr">
        <is>
          <t>120</t>
        </is>
      </c>
      <c r="B1578" s="4" t="n">
        <v>1</v>
      </c>
      <c r="C1578" s="4" t="inlineStr">
        <is>
          <t>elk</t>
        </is>
      </c>
      <c r="D1578" s="4" t="n">
        <v>2022</v>
      </c>
      <c r="E1578" s="13" t="inlineStr">
        <is>
          <t>General</t>
        </is>
      </c>
      <c r="F1578" s="5" t="n">
        <v>1075</v>
      </c>
      <c r="G1578" s="5" t="n">
        <v>7386</v>
      </c>
      <c r="H1578" s="5" t="n">
        <v>48</v>
      </c>
      <c r="I1578" s="5" t="n">
        <v>48</v>
      </c>
      <c r="J1578" s="5" t="n">
        <v>0</v>
      </c>
      <c r="K1578" s="10">
        <f>IF(F1578&gt;0,H1578/F1578,"")</f>
        <v/>
      </c>
      <c r="L1578" s="16">
        <f>IF(AND(G1578&gt;0,H1578&gt;0),G1578/H1578,"")</f>
        <v/>
      </c>
    </row>
    <row r="1579">
      <c r="A1579" s="4" t="inlineStr">
        <is>
          <t>120</t>
        </is>
      </c>
      <c r="B1579" s="4" t="n">
        <v>1</v>
      </c>
      <c r="C1579" s="4" t="inlineStr">
        <is>
          <t>elk</t>
        </is>
      </c>
      <c r="D1579" s="4" t="n">
        <v>2023</v>
      </c>
      <c r="E1579" s="13" t="inlineStr">
        <is>
          <t>General</t>
        </is>
      </c>
      <c r="F1579" s="5" t="n"/>
      <c r="G1579" s="5" t="n"/>
      <c r="H1579" s="5" t="n">
        <v>75</v>
      </c>
      <c r="I1579" s="5" t="n">
        <v>66</v>
      </c>
      <c r="J1579" s="5" t="n">
        <v>6</v>
      </c>
      <c r="K1579" s="10">
        <f>IF(F1579&gt;0,H1579/F1579,"")</f>
        <v/>
      </c>
      <c r="L1579" s="16">
        <f>IF(AND(G1579&gt;0,H1579&gt;0),G1579/H1579,"")</f>
        <v/>
      </c>
    </row>
    <row r="1580">
      <c r="A1580" s="4" t="inlineStr">
        <is>
          <t>120</t>
        </is>
      </c>
      <c r="B1580" s="4" t="n">
        <v>1</v>
      </c>
      <c r="C1580" s="4" t="inlineStr">
        <is>
          <t>elk</t>
        </is>
      </c>
      <c r="D1580" s="4" t="n">
        <v>2024</v>
      </c>
      <c r="E1580" s="13" t="inlineStr">
        <is>
          <t>General</t>
        </is>
      </c>
      <c r="F1580" s="5" t="n">
        <v>1167</v>
      </c>
      <c r="G1580" s="5" t="n">
        <v>8418</v>
      </c>
      <c r="H1580" s="5" t="n">
        <v>49</v>
      </c>
      <c r="I1580" s="5" t="n">
        <v>42</v>
      </c>
      <c r="J1580" s="5" t="n">
        <v>6</v>
      </c>
      <c r="K1580" s="10">
        <f>IF(F1580&gt;0,H1580/F1580,"")</f>
        <v/>
      </c>
      <c r="L1580" s="16">
        <f>IF(AND(G1580&gt;0,H1580&gt;0),G1580/H1580,"")</f>
        <v/>
      </c>
    </row>
    <row r="1581">
      <c r="A1581" s="4" t="inlineStr">
        <is>
          <t>120</t>
        </is>
      </c>
      <c r="B1581" s="4" t="n">
        <v>1</v>
      </c>
      <c r="C1581" s="4" t="inlineStr">
        <is>
          <t>elk</t>
        </is>
      </c>
      <c r="D1581" s="4" t="n">
        <v>2025</v>
      </c>
      <c r="E1581" s="13" t="inlineStr">
        <is>
          <t>General</t>
        </is>
      </c>
      <c r="F1581" s="5" t="n"/>
      <c r="G1581" s="5" t="n"/>
      <c r="H1581" s="5" t="n">
        <v>66</v>
      </c>
      <c r="I1581" s="5" t="n">
        <v>63</v>
      </c>
      <c r="J1581" s="5" t="n">
        <v>4</v>
      </c>
      <c r="K1581" s="10">
        <f>IF(F1581&gt;0,H1581/F1581,"")</f>
        <v/>
      </c>
      <c r="L1581" s="16">
        <f>IF(AND(G1581&gt;0,H1581&gt;0),G1581/H1581,"")</f>
        <v/>
      </c>
    </row>
    <row r="1582">
      <c r="A1582" s="4" t="inlineStr">
        <is>
          <t>121</t>
        </is>
      </c>
      <c r="B1582" s="4" t="n">
        <v>1</v>
      </c>
      <c r="C1582" s="4" t="inlineStr">
        <is>
          <t>elk</t>
        </is>
      </c>
      <c r="D1582" s="4" t="n">
        <v>2004</v>
      </c>
      <c r="E1582" s="13" t="inlineStr">
        <is>
          <t>General</t>
        </is>
      </c>
      <c r="F1582" s="5" t="n">
        <v>2593</v>
      </c>
      <c r="G1582" s="5" t="n">
        <v>20905</v>
      </c>
      <c r="H1582" s="5" t="n">
        <v>348</v>
      </c>
      <c r="I1582" s="5" t="n">
        <v>191</v>
      </c>
      <c r="J1582" s="5" t="n">
        <v>151</v>
      </c>
      <c r="K1582" s="10">
        <f>IF(F1582&gt;0,H1582/F1582,"")</f>
        <v/>
      </c>
      <c r="L1582" s="16">
        <f>IF(AND(G1582&gt;0,H1582&gt;0),G1582/H1582,"")</f>
        <v/>
      </c>
    </row>
    <row r="1583">
      <c r="A1583" s="4" t="inlineStr">
        <is>
          <t>121</t>
        </is>
      </c>
      <c r="B1583" s="4" t="n">
        <v>1</v>
      </c>
      <c r="C1583" s="4" t="inlineStr">
        <is>
          <t>elk</t>
        </is>
      </c>
      <c r="D1583" s="4" t="n">
        <v>2005</v>
      </c>
      <c r="E1583" s="13" t="inlineStr">
        <is>
          <t>General</t>
        </is>
      </c>
      <c r="F1583" s="5" t="n">
        <v>2808</v>
      </c>
      <c r="G1583" s="5" t="n">
        <v>23049</v>
      </c>
      <c r="H1583" s="5" t="n">
        <v>453</v>
      </c>
      <c r="I1583" s="5" t="n">
        <v>217</v>
      </c>
      <c r="J1583" s="5" t="n">
        <v>212</v>
      </c>
      <c r="K1583" s="10">
        <f>IF(F1583&gt;0,H1583/F1583,"")</f>
        <v/>
      </c>
      <c r="L1583" s="16">
        <f>IF(AND(G1583&gt;0,H1583&gt;0),G1583/H1583,"")</f>
        <v/>
      </c>
    </row>
    <row r="1584">
      <c r="A1584" s="4" t="inlineStr">
        <is>
          <t>121</t>
        </is>
      </c>
      <c r="B1584" s="4" t="n">
        <v>1</v>
      </c>
      <c r="C1584" s="4" t="inlineStr">
        <is>
          <t>elk</t>
        </is>
      </c>
      <c r="D1584" s="4" t="n">
        <v>2006</v>
      </c>
      <c r="E1584" s="13" t="inlineStr">
        <is>
          <t>General</t>
        </is>
      </c>
      <c r="F1584" s="5" t="n">
        <v>2694</v>
      </c>
      <c r="G1584" s="5" t="n">
        <v>21552</v>
      </c>
      <c r="H1584" s="5" t="n">
        <v>491</v>
      </c>
      <c r="I1584" s="5" t="n">
        <v>294</v>
      </c>
      <c r="J1584" s="5" t="n">
        <v>185</v>
      </c>
      <c r="K1584" s="10">
        <f>IF(F1584&gt;0,H1584/F1584,"")</f>
        <v/>
      </c>
      <c r="L1584" s="16">
        <f>IF(AND(G1584&gt;0,H1584&gt;0),G1584/H1584,"")</f>
        <v/>
      </c>
    </row>
    <row r="1585">
      <c r="A1585" s="4" t="inlineStr">
        <is>
          <t>121</t>
        </is>
      </c>
      <c r="B1585" s="4" t="n">
        <v>1</v>
      </c>
      <c r="C1585" s="4" t="inlineStr">
        <is>
          <t>elk</t>
        </is>
      </c>
      <c r="D1585" s="4" t="n">
        <v>2007</v>
      </c>
      <c r="E1585" s="13" t="inlineStr">
        <is>
          <t>General</t>
        </is>
      </c>
      <c r="F1585" s="5" t="n">
        <v>2967</v>
      </c>
      <c r="G1585" s="5" t="n">
        <v>26336</v>
      </c>
      <c r="H1585" s="5" t="n">
        <v>397</v>
      </c>
      <c r="I1585" s="5" t="n">
        <v>213</v>
      </c>
      <c r="J1585" s="5" t="n">
        <v>174</v>
      </c>
      <c r="K1585" s="10">
        <f>IF(F1585&gt;0,H1585/F1585,"")</f>
        <v/>
      </c>
      <c r="L1585" s="16">
        <f>IF(AND(G1585&gt;0,H1585&gt;0),G1585/H1585,"")</f>
        <v/>
      </c>
    </row>
    <row r="1586">
      <c r="A1586" s="4" t="inlineStr">
        <is>
          <t>121</t>
        </is>
      </c>
      <c r="B1586" s="4" t="n">
        <v>1</v>
      </c>
      <c r="C1586" s="4" t="inlineStr">
        <is>
          <t>elk</t>
        </is>
      </c>
      <c r="D1586" s="4" t="n">
        <v>2008</v>
      </c>
      <c r="E1586" s="13" t="inlineStr">
        <is>
          <t>General</t>
        </is>
      </c>
      <c r="F1586" s="5" t="n">
        <v>2959</v>
      </c>
      <c r="G1586" s="5" t="n">
        <v>26260</v>
      </c>
      <c r="H1586" s="5" t="n">
        <v>321</v>
      </c>
      <c r="I1586" s="5" t="n">
        <v>224</v>
      </c>
      <c r="J1586" s="5" t="n">
        <v>89</v>
      </c>
      <c r="K1586" s="10">
        <f>IF(F1586&gt;0,H1586/F1586,"")</f>
        <v/>
      </c>
      <c r="L1586" s="16">
        <f>IF(AND(G1586&gt;0,H1586&gt;0),G1586/H1586,"")</f>
        <v/>
      </c>
    </row>
    <row r="1587">
      <c r="A1587" s="4" t="inlineStr">
        <is>
          <t>121</t>
        </is>
      </c>
      <c r="B1587" s="4" t="n">
        <v>1</v>
      </c>
      <c r="C1587" s="4" t="inlineStr">
        <is>
          <t>elk</t>
        </is>
      </c>
      <c r="D1587" s="4" t="n">
        <v>2009</v>
      </c>
      <c r="E1587" s="13" t="inlineStr">
        <is>
          <t>General</t>
        </is>
      </c>
      <c r="F1587" s="5" t="n">
        <v>2740</v>
      </c>
      <c r="G1587" s="5" t="n">
        <v>24611</v>
      </c>
      <c r="H1587" s="5" t="n">
        <v>387</v>
      </c>
      <c r="I1587" s="5" t="n">
        <v>273</v>
      </c>
      <c r="J1587" s="5" t="n">
        <v>101</v>
      </c>
      <c r="K1587" s="10">
        <f>IF(F1587&gt;0,H1587/F1587,"")</f>
        <v/>
      </c>
      <c r="L1587" s="16">
        <f>IF(AND(G1587&gt;0,H1587&gt;0),G1587/H1587,"")</f>
        <v/>
      </c>
    </row>
    <row r="1588">
      <c r="A1588" s="4" t="inlineStr">
        <is>
          <t>121</t>
        </is>
      </c>
      <c r="B1588" s="4" t="n">
        <v>1</v>
      </c>
      <c r="C1588" s="4" t="inlineStr">
        <is>
          <t>elk</t>
        </is>
      </c>
      <c r="D1588" s="4" t="n">
        <v>2010</v>
      </c>
      <c r="E1588" s="13" t="inlineStr">
        <is>
          <t>General</t>
        </is>
      </c>
      <c r="F1588" s="5" t="n">
        <v>2822</v>
      </c>
      <c r="G1588" s="5" t="n">
        <v>25806</v>
      </c>
      <c r="H1588" s="5" t="n">
        <v>476</v>
      </c>
      <c r="I1588" s="5" t="n">
        <v>313</v>
      </c>
      <c r="J1588" s="5" t="n">
        <v>150</v>
      </c>
      <c r="K1588" s="10">
        <f>IF(F1588&gt;0,H1588/F1588,"")</f>
        <v/>
      </c>
      <c r="L1588" s="16">
        <f>IF(AND(G1588&gt;0,H1588&gt;0),G1588/H1588,"")</f>
        <v/>
      </c>
    </row>
    <row r="1589">
      <c r="A1589" s="4" t="inlineStr">
        <is>
          <t>121</t>
        </is>
      </c>
      <c r="B1589" s="4" t="n">
        <v>1</v>
      </c>
      <c r="C1589" s="4" t="inlineStr">
        <is>
          <t>elk</t>
        </is>
      </c>
      <c r="D1589" s="4" t="n">
        <v>2011</v>
      </c>
      <c r="E1589" s="13" t="inlineStr">
        <is>
          <t>General</t>
        </is>
      </c>
      <c r="F1589" s="5" t="n">
        <v>2941</v>
      </c>
      <c r="G1589" s="5" t="n">
        <v>25891</v>
      </c>
      <c r="H1589" s="5" t="n">
        <v>361</v>
      </c>
      <c r="I1589" s="5" t="n">
        <v>229</v>
      </c>
      <c r="J1589" s="5" t="n">
        <v>121</v>
      </c>
      <c r="K1589" s="10">
        <f>IF(F1589&gt;0,H1589/F1589,"")</f>
        <v/>
      </c>
      <c r="L1589" s="16">
        <f>IF(AND(G1589&gt;0,H1589&gt;0),G1589/H1589,"")</f>
        <v/>
      </c>
    </row>
    <row r="1590">
      <c r="A1590" s="4" t="inlineStr">
        <is>
          <t>121</t>
        </is>
      </c>
      <c r="B1590" s="4" t="n">
        <v>1</v>
      </c>
      <c r="C1590" s="4" t="inlineStr">
        <is>
          <t>elk</t>
        </is>
      </c>
      <c r="D1590" s="4" t="n">
        <v>2012</v>
      </c>
      <c r="E1590" s="13" t="inlineStr">
        <is>
          <t>General</t>
        </is>
      </c>
      <c r="F1590" s="5" t="n">
        <v>2681</v>
      </c>
      <c r="G1590" s="5" t="n">
        <v>23708</v>
      </c>
      <c r="H1590" s="5" t="n">
        <v>282</v>
      </c>
      <c r="I1590" s="5" t="n">
        <v>237</v>
      </c>
      <c r="J1590" s="5" t="n">
        <v>42</v>
      </c>
      <c r="K1590" s="10">
        <f>IF(F1590&gt;0,H1590/F1590,"")</f>
        <v/>
      </c>
      <c r="L1590" s="16">
        <f>IF(AND(G1590&gt;0,H1590&gt;0),G1590/H1590,"")</f>
        <v/>
      </c>
    </row>
    <row r="1591">
      <c r="A1591" s="4" t="inlineStr">
        <is>
          <t>121</t>
        </is>
      </c>
      <c r="B1591" s="4" t="n">
        <v>1</v>
      </c>
      <c r="C1591" s="4" t="inlineStr">
        <is>
          <t>elk</t>
        </is>
      </c>
      <c r="D1591" s="4" t="n">
        <v>2013</v>
      </c>
      <c r="E1591" s="13" t="inlineStr">
        <is>
          <t>General</t>
        </is>
      </c>
      <c r="F1591" s="5" t="n"/>
      <c r="G1591" s="5" t="n"/>
      <c r="H1591" s="5" t="n">
        <v>244</v>
      </c>
      <c r="I1591" s="5" t="n">
        <v>183</v>
      </c>
      <c r="J1591" s="5" t="n">
        <v>57</v>
      </c>
      <c r="K1591" s="10">
        <f>IF(F1591&gt;0,H1591/F1591,"")</f>
        <v/>
      </c>
      <c r="L1591" s="16">
        <f>IF(AND(G1591&gt;0,H1591&gt;0),G1591/H1591,"")</f>
        <v/>
      </c>
    </row>
    <row r="1592">
      <c r="A1592" s="4" t="inlineStr">
        <is>
          <t>121</t>
        </is>
      </c>
      <c r="B1592" s="4" t="n">
        <v>1</v>
      </c>
      <c r="C1592" s="4" t="inlineStr">
        <is>
          <t>elk</t>
        </is>
      </c>
      <c r="D1592" s="4" t="n">
        <v>2014</v>
      </c>
      <c r="E1592" s="13" t="inlineStr">
        <is>
          <t>General</t>
        </is>
      </c>
      <c r="F1592" s="5" t="n">
        <v>2585</v>
      </c>
      <c r="G1592" s="5" t="n">
        <v>23636</v>
      </c>
      <c r="H1592" s="5" t="n">
        <v>246</v>
      </c>
      <c r="I1592" s="5" t="n">
        <v>116</v>
      </c>
      <c r="J1592" s="5" t="n">
        <v>126</v>
      </c>
      <c r="K1592" s="10">
        <f>IF(F1592&gt;0,H1592/F1592,"")</f>
        <v/>
      </c>
      <c r="L1592" s="16">
        <f>IF(AND(G1592&gt;0,H1592&gt;0),G1592/H1592,"")</f>
        <v/>
      </c>
    </row>
    <row r="1593">
      <c r="A1593" s="4" t="inlineStr">
        <is>
          <t>121</t>
        </is>
      </c>
      <c r="B1593" s="4" t="n">
        <v>1</v>
      </c>
      <c r="C1593" s="4" t="inlineStr">
        <is>
          <t>elk</t>
        </is>
      </c>
      <c r="D1593" s="4" t="n">
        <v>2015</v>
      </c>
      <c r="E1593" s="13" t="inlineStr">
        <is>
          <t>General</t>
        </is>
      </c>
      <c r="F1593" s="5" t="n">
        <v>2591</v>
      </c>
      <c r="G1593" s="5" t="n">
        <v>22739</v>
      </c>
      <c r="H1593" s="5" t="n">
        <v>265</v>
      </c>
      <c r="I1593" s="5" t="n">
        <v>182</v>
      </c>
      <c r="J1593" s="5" t="n">
        <v>79</v>
      </c>
      <c r="K1593" s="10">
        <f>IF(F1593&gt;0,H1593/F1593,"")</f>
        <v/>
      </c>
      <c r="L1593" s="16">
        <f>IF(AND(G1593&gt;0,H1593&gt;0),G1593/H1593,"")</f>
        <v/>
      </c>
    </row>
    <row r="1594">
      <c r="A1594" s="4" t="inlineStr">
        <is>
          <t>121</t>
        </is>
      </c>
      <c r="B1594" s="4" t="n">
        <v>1</v>
      </c>
      <c r="C1594" s="4" t="inlineStr">
        <is>
          <t>elk</t>
        </is>
      </c>
      <c r="D1594" s="4" t="n">
        <v>2016</v>
      </c>
      <c r="E1594" s="13" t="inlineStr">
        <is>
          <t>General</t>
        </is>
      </c>
      <c r="F1594" s="5" t="n">
        <v>2634</v>
      </c>
      <c r="G1594" s="5" t="n">
        <v>24434</v>
      </c>
      <c r="H1594" s="5" t="n">
        <v>283</v>
      </c>
      <c r="I1594" s="5" t="n">
        <v>155</v>
      </c>
      <c r="J1594" s="5" t="n">
        <v>120</v>
      </c>
      <c r="K1594" s="10">
        <f>IF(F1594&gt;0,H1594/F1594,"")</f>
        <v/>
      </c>
      <c r="L1594" s="16">
        <f>IF(AND(G1594&gt;0,H1594&gt;0),G1594/H1594,"")</f>
        <v/>
      </c>
    </row>
    <row r="1595">
      <c r="A1595" s="4" t="inlineStr">
        <is>
          <t>121</t>
        </is>
      </c>
      <c r="B1595" s="4" t="n">
        <v>1</v>
      </c>
      <c r="C1595" s="4" t="inlineStr">
        <is>
          <t>elk</t>
        </is>
      </c>
      <c r="D1595" s="4" t="n">
        <v>2017</v>
      </c>
      <c r="E1595" s="13" t="inlineStr">
        <is>
          <t>General</t>
        </is>
      </c>
      <c r="F1595" s="5" t="n"/>
      <c r="G1595" s="5" t="n"/>
      <c r="H1595" s="5" t="n">
        <v>248</v>
      </c>
      <c r="I1595" s="5" t="n">
        <v>110</v>
      </c>
      <c r="J1595" s="5" t="n">
        <v>136</v>
      </c>
      <c r="K1595" s="10">
        <f>IF(F1595&gt;0,H1595/F1595,"")</f>
        <v/>
      </c>
      <c r="L1595" s="16">
        <f>IF(AND(G1595&gt;0,H1595&gt;0),G1595/H1595,"")</f>
        <v/>
      </c>
    </row>
    <row r="1596">
      <c r="A1596" s="4" t="inlineStr">
        <is>
          <t>121</t>
        </is>
      </c>
      <c r="B1596" s="4" t="n">
        <v>1</v>
      </c>
      <c r="C1596" s="4" t="inlineStr">
        <is>
          <t>elk</t>
        </is>
      </c>
      <c r="D1596" s="4" t="n">
        <v>2018</v>
      </c>
      <c r="E1596" s="13" t="inlineStr">
        <is>
          <t>General</t>
        </is>
      </c>
      <c r="F1596" s="5" t="n">
        <v>2155</v>
      </c>
      <c r="G1596" s="5" t="n">
        <v>20310</v>
      </c>
      <c r="H1596" s="5" t="n">
        <v>249</v>
      </c>
      <c r="I1596" s="5" t="n">
        <v>144</v>
      </c>
      <c r="J1596" s="5" t="n">
        <v>102</v>
      </c>
      <c r="K1596" s="10">
        <f>IF(F1596&gt;0,H1596/F1596,"")</f>
        <v/>
      </c>
      <c r="L1596" s="16">
        <f>IF(AND(G1596&gt;0,H1596&gt;0),G1596/H1596,"")</f>
        <v/>
      </c>
    </row>
    <row r="1597">
      <c r="A1597" s="4" t="inlineStr">
        <is>
          <t>121</t>
        </is>
      </c>
      <c r="B1597" s="4" t="n">
        <v>1</v>
      </c>
      <c r="C1597" s="4" t="inlineStr">
        <is>
          <t>elk</t>
        </is>
      </c>
      <c r="D1597" s="4" t="n">
        <v>2019</v>
      </c>
      <c r="E1597" s="13" t="inlineStr">
        <is>
          <t>General</t>
        </is>
      </c>
      <c r="F1597" s="5" t="n"/>
      <c r="G1597" s="5" t="n"/>
      <c r="H1597" s="5" t="n">
        <v>194</v>
      </c>
      <c r="I1597" s="5" t="n">
        <v>104</v>
      </c>
      <c r="J1597" s="5" t="n">
        <v>90</v>
      </c>
      <c r="K1597" s="10">
        <f>IF(F1597&gt;0,H1597/F1597,"")</f>
        <v/>
      </c>
      <c r="L1597" s="16">
        <f>IF(AND(G1597&gt;0,H1597&gt;0),G1597/H1597,"")</f>
        <v/>
      </c>
    </row>
    <row r="1598">
      <c r="A1598" s="4" t="inlineStr">
        <is>
          <t>121</t>
        </is>
      </c>
      <c r="B1598" s="4" t="n">
        <v>1</v>
      </c>
      <c r="C1598" s="4" t="inlineStr">
        <is>
          <t>elk</t>
        </is>
      </c>
      <c r="D1598" s="4" t="n">
        <v>2020</v>
      </c>
      <c r="E1598" s="13" t="inlineStr">
        <is>
          <t>General</t>
        </is>
      </c>
      <c r="F1598" s="5" t="n">
        <v>2005</v>
      </c>
      <c r="G1598" s="5" t="n">
        <v>20323</v>
      </c>
      <c r="H1598" s="5" t="n">
        <v>276</v>
      </c>
      <c r="I1598" s="5" t="n">
        <v>149</v>
      </c>
      <c r="J1598" s="5" t="n">
        <v>122</v>
      </c>
      <c r="K1598" s="10">
        <f>IF(F1598&gt;0,H1598/F1598,"")</f>
        <v/>
      </c>
      <c r="L1598" s="16">
        <f>IF(AND(G1598&gt;0,H1598&gt;0),G1598/H1598,"")</f>
        <v/>
      </c>
    </row>
    <row r="1599">
      <c r="A1599" s="4" t="inlineStr">
        <is>
          <t>121</t>
        </is>
      </c>
      <c r="B1599" s="4" t="n">
        <v>1</v>
      </c>
      <c r="C1599" s="4" t="inlineStr">
        <is>
          <t>elk</t>
        </is>
      </c>
      <c r="D1599" s="4" t="n">
        <v>2021</v>
      </c>
      <c r="E1599" s="13" t="inlineStr">
        <is>
          <t>General</t>
        </is>
      </c>
      <c r="F1599" s="5" t="n"/>
      <c r="G1599" s="5" t="n"/>
      <c r="H1599" s="5" t="n">
        <v>216</v>
      </c>
      <c r="I1599" s="5" t="n">
        <v>157</v>
      </c>
      <c r="J1599" s="5" t="n">
        <v>57</v>
      </c>
      <c r="K1599" s="10">
        <f>IF(F1599&gt;0,H1599/F1599,"")</f>
        <v/>
      </c>
      <c r="L1599" s="16">
        <f>IF(AND(G1599&gt;0,H1599&gt;0),G1599/H1599,"")</f>
        <v/>
      </c>
    </row>
    <row r="1600">
      <c r="A1600" s="4" t="inlineStr">
        <is>
          <t>121</t>
        </is>
      </c>
      <c r="B1600" s="4" t="n">
        <v>1</v>
      </c>
      <c r="C1600" s="4" t="inlineStr">
        <is>
          <t>elk</t>
        </is>
      </c>
      <c r="D1600" s="4" t="n">
        <v>2022</v>
      </c>
      <c r="E1600" s="13" t="inlineStr">
        <is>
          <t>General</t>
        </is>
      </c>
      <c r="F1600" s="5" t="n">
        <v>1964</v>
      </c>
      <c r="G1600" s="5" t="n">
        <v>16562</v>
      </c>
      <c r="H1600" s="5" t="n">
        <v>171</v>
      </c>
      <c r="I1600" s="5" t="n">
        <v>144</v>
      </c>
      <c r="J1600" s="5" t="n">
        <v>27</v>
      </c>
      <c r="K1600" s="10">
        <f>IF(F1600&gt;0,H1600/F1600,"")</f>
        <v/>
      </c>
      <c r="L1600" s="16">
        <f>IF(AND(G1600&gt;0,H1600&gt;0),G1600/H1600,"")</f>
        <v/>
      </c>
    </row>
    <row r="1601">
      <c r="A1601" s="4" t="inlineStr">
        <is>
          <t>121</t>
        </is>
      </c>
      <c r="B1601" s="4" t="n">
        <v>1</v>
      </c>
      <c r="C1601" s="4" t="inlineStr">
        <is>
          <t>elk</t>
        </is>
      </c>
      <c r="D1601" s="4" t="n">
        <v>2023</v>
      </c>
      <c r="E1601" s="13" t="inlineStr">
        <is>
          <t>General</t>
        </is>
      </c>
      <c r="F1601" s="5" t="n"/>
      <c r="G1601" s="5" t="n"/>
      <c r="H1601" s="5" t="n">
        <v>226</v>
      </c>
      <c r="I1601" s="5" t="n">
        <v>145</v>
      </c>
      <c r="J1601" s="5" t="n">
        <v>76</v>
      </c>
      <c r="K1601" s="10">
        <f>IF(F1601&gt;0,H1601/F1601,"")</f>
        <v/>
      </c>
      <c r="L1601" s="16">
        <f>IF(AND(G1601&gt;0,H1601&gt;0),G1601/H1601,"")</f>
        <v/>
      </c>
    </row>
    <row r="1602">
      <c r="A1602" s="4" t="inlineStr">
        <is>
          <t>121</t>
        </is>
      </c>
      <c r="B1602" s="4" t="n">
        <v>1</v>
      </c>
      <c r="C1602" s="4" t="inlineStr">
        <is>
          <t>elk</t>
        </is>
      </c>
      <c r="D1602" s="4" t="n">
        <v>2024</v>
      </c>
      <c r="E1602" s="13" t="inlineStr">
        <is>
          <t>General</t>
        </is>
      </c>
      <c r="F1602" s="5" t="n">
        <v>2041</v>
      </c>
      <c r="G1602" s="5" t="n">
        <v>17685</v>
      </c>
      <c r="H1602" s="5" t="n">
        <v>246</v>
      </c>
      <c r="I1602" s="5" t="n">
        <v>154</v>
      </c>
      <c r="J1602" s="5" t="n">
        <v>88</v>
      </c>
      <c r="K1602" s="10">
        <f>IF(F1602&gt;0,H1602/F1602,"")</f>
        <v/>
      </c>
      <c r="L1602" s="16">
        <f>IF(AND(G1602&gt;0,H1602&gt;0),G1602/H1602,"")</f>
        <v/>
      </c>
    </row>
    <row r="1603">
      <c r="A1603" s="4" t="inlineStr">
        <is>
          <t>121</t>
        </is>
      </c>
      <c r="B1603" s="4" t="n">
        <v>1</v>
      </c>
      <c r="C1603" s="4" t="inlineStr">
        <is>
          <t>elk</t>
        </is>
      </c>
      <c r="D1603" s="4" t="n">
        <v>2025</v>
      </c>
      <c r="E1603" s="13" t="inlineStr">
        <is>
          <t>General</t>
        </is>
      </c>
      <c r="F1603" s="5" t="n"/>
      <c r="G1603" s="5" t="n"/>
      <c r="H1603" s="5" t="n">
        <v>237</v>
      </c>
      <c r="I1603" s="5" t="n">
        <v>141</v>
      </c>
      <c r="J1603" s="5" t="n">
        <v>92</v>
      </c>
      <c r="K1603" s="10">
        <f>IF(F1603&gt;0,H1603/F1603,"")</f>
        <v/>
      </c>
      <c r="L1603" s="16">
        <f>IF(AND(G1603&gt;0,H1603&gt;0),G1603/H1603,"")</f>
        <v/>
      </c>
    </row>
    <row r="1604">
      <c r="A1604" s="4" t="inlineStr">
        <is>
          <t>122</t>
        </is>
      </c>
      <c r="B1604" s="4" t="n">
        <v>1</v>
      </c>
      <c r="C1604" s="4" t="inlineStr">
        <is>
          <t>elk</t>
        </is>
      </c>
      <c r="D1604" s="4" t="n">
        <v>2004</v>
      </c>
      <c r="E1604" s="13" t="inlineStr">
        <is>
          <t>General</t>
        </is>
      </c>
      <c r="F1604" s="5" t="n">
        <v>1761</v>
      </c>
      <c r="G1604" s="5" t="n">
        <v>10872</v>
      </c>
      <c r="H1604" s="5" t="n">
        <v>67</v>
      </c>
      <c r="I1604" s="5" t="n">
        <v>34</v>
      </c>
      <c r="J1604" s="5" t="n">
        <v>30</v>
      </c>
      <c r="K1604" s="10">
        <f>IF(F1604&gt;0,H1604/F1604,"")</f>
        <v/>
      </c>
      <c r="L1604" s="16">
        <f>IF(AND(G1604&gt;0,H1604&gt;0),G1604/H1604,"")</f>
        <v/>
      </c>
    </row>
    <row r="1605">
      <c r="A1605" s="4" t="inlineStr">
        <is>
          <t>122</t>
        </is>
      </c>
      <c r="B1605" s="4" t="n">
        <v>1</v>
      </c>
      <c r="C1605" s="4" t="inlineStr">
        <is>
          <t>elk</t>
        </is>
      </c>
      <c r="D1605" s="4" t="n">
        <v>2005</v>
      </c>
      <c r="E1605" s="13" t="inlineStr">
        <is>
          <t>General</t>
        </is>
      </c>
      <c r="F1605" s="5" t="n">
        <v>1727</v>
      </c>
      <c r="G1605" s="5" t="n">
        <v>11806</v>
      </c>
      <c r="H1605" s="5" t="n">
        <v>103</v>
      </c>
      <c r="I1605" s="5" t="n">
        <v>56</v>
      </c>
      <c r="J1605" s="5" t="n">
        <v>42</v>
      </c>
      <c r="K1605" s="10">
        <f>IF(F1605&gt;0,H1605/F1605,"")</f>
        <v/>
      </c>
      <c r="L1605" s="16">
        <f>IF(AND(G1605&gt;0,H1605&gt;0),G1605/H1605,"")</f>
        <v/>
      </c>
    </row>
    <row r="1606">
      <c r="A1606" s="4" t="inlineStr">
        <is>
          <t>122</t>
        </is>
      </c>
      <c r="B1606" s="4" t="n">
        <v>1</v>
      </c>
      <c r="C1606" s="4" t="inlineStr">
        <is>
          <t>elk</t>
        </is>
      </c>
      <c r="D1606" s="4" t="n">
        <v>2006</v>
      </c>
      <c r="E1606" s="13" t="inlineStr">
        <is>
          <t>General</t>
        </is>
      </c>
      <c r="F1606" s="5" t="n">
        <v>1464</v>
      </c>
      <c r="G1606" s="5" t="n">
        <v>11042</v>
      </c>
      <c r="H1606" s="5" t="n">
        <v>102</v>
      </c>
      <c r="I1606" s="5" t="n">
        <v>56</v>
      </c>
      <c r="J1606" s="5" t="n">
        <v>39</v>
      </c>
      <c r="K1606" s="10">
        <f>IF(F1606&gt;0,H1606/F1606,"")</f>
        <v/>
      </c>
      <c r="L1606" s="16">
        <f>IF(AND(G1606&gt;0,H1606&gt;0),G1606/H1606,"")</f>
        <v/>
      </c>
    </row>
    <row r="1607">
      <c r="A1607" s="4" t="inlineStr">
        <is>
          <t>122</t>
        </is>
      </c>
      <c r="B1607" s="4" t="n">
        <v>1</v>
      </c>
      <c r="C1607" s="4" t="inlineStr">
        <is>
          <t>elk</t>
        </is>
      </c>
      <c r="D1607" s="4" t="n">
        <v>2007</v>
      </c>
      <c r="E1607" s="13" t="inlineStr">
        <is>
          <t>General</t>
        </is>
      </c>
      <c r="F1607" s="5" t="n">
        <v>1596</v>
      </c>
      <c r="G1607" s="5" t="n">
        <v>12776</v>
      </c>
      <c r="H1607" s="5" t="n">
        <v>127</v>
      </c>
      <c r="I1607" s="5" t="n">
        <v>77</v>
      </c>
      <c r="J1607" s="5" t="n">
        <v>50</v>
      </c>
      <c r="K1607" s="10">
        <f>IF(F1607&gt;0,H1607/F1607,"")</f>
        <v/>
      </c>
      <c r="L1607" s="16">
        <f>IF(AND(G1607&gt;0,H1607&gt;0),G1607/H1607,"")</f>
        <v/>
      </c>
    </row>
    <row r="1608">
      <c r="A1608" s="4" t="inlineStr">
        <is>
          <t>122</t>
        </is>
      </c>
      <c r="B1608" s="4" t="n">
        <v>1</v>
      </c>
      <c r="C1608" s="4" t="inlineStr">
        <is>
          <t>elk</t>
        </is>
      </c>
      <c r="D1608" s="4" t="n">
        <v>2008</v>
      </c>
      <c r="E1608" s="13" t="inlineStr">
        <is>
          <t>General</t>
        </is>
      </c>
      <c r="F1608" s="5" t="n">
        <v>1662</v>
      </c>
      <c r="G1608" s="5" t="n">
        <v>12871</v>
      </c>
      <c r="H1608" s="5" t="n">
        <v>78</v>
      </c>
      <c r="I1608" s="5" t="n">
        <v>46</v>
      </c>
      <c r="J1608" s="5" t="n">
        <v>23</v>
      </c>
      <c r="K1608" s="10">
        <f>IF(F1608&gt;0,H1608/F1608,"")</f>
        <v/>
      </c>
      <c r="L1608" s="16">
        <f>IF(AND(G1608&gt;0,H1608&gt;0),G1608/H1608,"")</f>
        <v/>
      </c>
    </row>
    <row r="1609">
      <c r="A1609" s="4" t="inlineStr">
        <is>
          <t>122</t>
        </is>
      </c>
      <c r="B1609" s="4" t="n">
        <v>1</v>
      </c>
      <c r="C1609" s="4" t="inlineStr">
        <is>
          <t>elk</t>
        </is>
      </c>
      <c r="D1609" s="4" t="n">
        <v>2009</v>
      </c>
      <c r="E1609" s="13" t="inlineStr">
        <is>
          <t>General</t>
        </is>
      </c>
      <c r="F1609" s="5" t="n">
        <v>1507</v>
      </c>
      <c r="G1609" s="5" t="n">
        <v>12284</v>
      </c>
      <c r="H1609" s="5" t="n">
        <v>62</v>
      </c>
      <c r="I1609" s="5" t="n">
        <v>42</v>
      </c>
      <c r="J1609" s="5" t="n">
        <v>18</v>
      </c>
      <c r="K1609" s="10">
        <f>IF(F1609&gt;0,H1609/F1609,"")</f>
        <v/>
      </c>
      <c r="L1609" s="16">
        <f>IF(AND(G1609&gt;0,H1609&gt;0),G1609/H1609,"")</f>
        <v/>
      </c>
    </row>
    <row r="1610">
      <c r="A1610" s="4" t="inlineStr">
        <is>
          <t>122</t>
        </is>
      </c>
      <c r="B1610" s="4" t="n">
        <v>1</v>
      </c>
      <c r="C1610" s="4" t="inlineStr">
        <is>
          <t>elk</t>
        </is>
      </c>
      <c r="D1610" s="4" t="n">
        <v>2010</v>
      </c>
      <c r="E1610" s="13" t="inlineStr">
        <is>
          <t>General</t>
        </is>
      </c>
      <c r="F1610" s="5" t="n">
        <v>1305</v>
      </c>
      <c r="G1610" s="5" t="n">
        <v>10566</v>
      </c>
      <c r="H1610" s="5" t="n">
        <v>79</v>
      </c>
      <c r="I1610" s="5" t="n">
        <v>44</v>
      </c>
      <c r="J1610" s="5" t="n">
        <v>32</v>
      </c>
      <c r="K1610" s="10">
        <f>IF(F1610&gt;0,H1610/F1610,"")</f>
        <v/>
      </c>
      <c r="L1610" s="16">
        <f>IF(AND(G1610&gt;0,H1610&gt;0),G1610/H1610,"")</f>
        <v/>
      </c>
    </row>
    <row r="1611">
      <c r="A1611" s="4" t="inlineStr">
        <is>
          <t>122</t>
        </is>
      </c>
      <c r="B1611" s="4" t="n">
        <v>1</v>
      </c>
      <c r="C1611" s="4" t="inlineStr">
        <is>
          <t>elk</t>
        </is>
      </c>
      <c r="D1611" s="4" t="n">
        <v>2011</v>
      </c>
      <c r="E1611" s="13" t="inlineStr">
        <is>
          <t>General</t>
        </is>
      </c>
      <c r="F1611" s="5" t="n">
        <v>1520</v>
      </c>
      <c r="G1611" s="5" t="n">
        <v>11821</v>
      </c>
      <c r="H1611" s="5" t="n">
        <v>91</v>
      </c>
      <c r="I1611" s="5" t="n">
        <v>53</v>
      </c>
      <c r="J1611" s="5" t="n">
        <v>36</v>
      </c>
      <c r="K1611" s="10">
        <f>IF(F1611&gt;0,H1611/F1611,"")</f>
        <v/>
      </c>
      <c r="L1611" s="16">
        <f>IF(AND(G1611&gt;0,H1611&gt;0),G1611/H1611,"")</f>
        <v/>
      </c>
    </row>
    <row r="1612">
      <c r="A1612" s="4" t="inlineStr">
        <is>
          <t>122</t>
        </is>
      </c>
      <c r="B1612" s="4" t="n">
        <v>1</v>
      </c>
      <c r="C1612" s="4" t="inlineStr">
        <is>
          <t>elk</t>
        </is>
      </c>
      <c r="D1612" s="4" t="n">
        <v>2012</v>
      </c>
      <c r="E1612" s="13" t="inlineStr">
        <is>
          <t>General</t>
        </is>
      </c>
      <c r="F1612" s="5" t="n">
        <v>1504</v>
      </c>
      <c r="G1612" s="5" t="n">
        <v>11587</v>
      </c>
      <c r="H1612" s="5" t="n">
        <v>55</v>
      </c>
      <c r="I1612" s="5" t="n">
        <v>49</v>
      </c>
      <c r="J1612" s="5" t="n">
        <v>4</v>
      </c>
      <c r="K1612" s="10">
        <f>IF(F1612&gt;0,H1612/F1612,"")</f>
        <v/>
      </c>
      <c r="L1612" s="16">
        <f>IF(AND(G1612&gt;0,H1612&gt;0),G1612/H1612,"")</f>
        <v/>
      </c>
    </row>
    <row r="1613">
      <c r="A1613" s="4" t="inlineStr">
        <is>
          <t>122</t>
        </is>
      </c>
      <c r="B1613" s="4" t="n">
        <v>1</v>
      </c>
      <c r="C1613" s="4" t="inlineStr">
        <is>
          <t>elk</t>
        </is>
      </c>
      <c r="D1613" s="4" t="n">
        <v>2013</v>
      </c>
      <c r="E1613" s="13" t="inlineStr">
        <is>
          <t>General</t>
        </is>
      </c>
      <c r="F1613" s="5" t="n"/>
      <c r="G1613" s="5" t="n"/>
      <c r="H1613" s="5" t="n">
        <v>49</v>
      </c>
      <c r="I1613" s="5" t="n">
        <v>42</v>
      </c>
      <c r="J1613" s="5" t="n">
        <v>4</v>
      </c>
      <c r="K1613" s="10">
        <f>IF(F1613&gt;0,H1613/F1613,"")</f>
        <v/>
      </c>
      <c r="L1613" s="16">
        <f>IF(AND(G1613&gt;0,H1613&gt;0),G1613/H1613,"")</f>
        <v/>
      </c>
    </row>
    <row r="1614">
      <c r="A1614" s="4" t="inlineStr">
        <is>
          <t>122</t>
        </is>
      </c>
      <c r="B1614" s="4" t="n">
        <v>1</v>
      </c>
      <c r="C1614" s="4" t="inlineStr">
        <is>
          <t>elk</t>
        </is>
      </c>
      <c r="D1614" s="4" t="n">
        <v>2014</v>
      </c>
      <c r="E1614" s="13" t="inlineStr">
        <is>
          <t>General</t>
        </is>
      </c>
      <c r="F1614" s="5" t="n">
        <v>1511</v>
      </c>
      <c r="G1614" s="5" t="n">
        <v>11811</v>
      </c>
      <c r="H1614" s="5" t="n">
        <v>57</v>
      </c>
      <c r="I1614" s="5" t="n">
        <v>38</v>
      </c>
      <c r="J1614" s="5" t="n">
        <v>19</v>
      </c>
      <c r="K1614" s="10">
        <f>IF(F1614&gt;0,H1614/F1614,"")</f>
        <v/>
      </c>
      <c r="L1614" s="16">
        <f>IF(AND(G1614&gt;0,H1614&gt;0),G1614/H1614,"")</f>
        <v/>
      </c>
    </row>
    <row r="1615">
      <c r="A1615" s="4" t="inlineStr">
        <is>
          <t>122</t>
        </is>
      </c>
      <c r="B1615" s="4" t="n">
        <v>1</v>
      </c>
      <c r="C1615" s="4" t="inlineStr">
        <is>
          <t>elk</t>
        </is>
      </c>
      <c r="D1615" s="4" t="n">
        <v>2015</v>
      </c>
      <c r="E1615" s="13" t="inlineStr">
        <is>
          <t>General</t>
        </is>
      </c>
      <c r="F1615" s="5" t="n">
        <v>1437</v>
      </c>
      <c r="G1615" s="5" t="n">
        <v>12125</v>
      </c>
      <c r="H1615" s="5" t="n">
        <v>53</v>
      </c>
      <c r="I1615" s="5" t="n">
        <v>38</v>
      </c>
      <c r="J1615" s="5" t="n">
        <v>12</v>
      </c>
      <c r="K1615" s="10">
        <f>IF(F1615&gt;0,H1615/F1615,"")</f>
        <v/>
      </c>
      <c r="L1615" s="16">
        <f>IF(AND(G1615&gt;0,H1615&gt;0),G1615/H1615,"")</f>
        <v/>
      </c>
    </row>
    <row r="1616">
      <c r="A1616" s="4" t="inlineStr">
        <is>
          <t>122</t>
        </is>
      </c>
      <c r="B1616" s="4" t="n">
        <v>1</v>
      </c>
      <c r="C1616" s="4" t="inlineStr">
        <is>
          <t>elk</t>
        </is>
      </c>
      <c r="D1616" s="4" t="n">
        <v>2016</v>
      </c>
      <c r="E1616" s="13" t="inlineStr">
        <is>
          <t>General</t>
        </is>
      </c>
      <c r="F1616" s="5" t="n">
        <v>1659</v>
      </c>
      <c r="G1616" s="5" t="n">
        <v>12842</v>
      </c>
      <c r="H1616" s="5" t="n">
        <v>77</v>
      </c>
      <c r="I1616" s="5" t="n">
        <v>56</v>
      </c>
      <c r="J1616" s="5" t="n">
        <v>18</v>
      </c>
      <c r="K1616" s="10">
        <f>IF(F1616&gt;0,H1616/F1616,"")</f>
        <v/>
      </c>
      <c r="L1616" s="16">
        <f>IF(AND(G1616&gt;0,H1616&gt;0),G1616/H1616,"")</f>
        <v/>
      </c>
    </row>
    <row r="1617">
      <c r="A1617" s="4" t="inlineStr">
        <is>
          <t>122</t>
        </is>
      </c>
      <c r="B1617" s="4" t="n">
        <v>1</v>
      </c>
      <c r="C1617" s="4" t="inlineStr">
        <is>
          <t>elk</t>
        </is>
      </c>
      <c r="D1617" s="4" t="n">
        <v>2017</v>
      </c>
      <c r="E1617" s="13" t="inlineStr">
        <is>
          <t>General</t>
        </is>
      </c>
      <c r="F1617" s="5" t="n"/>
      <c r="G1617" s="5" t="n"/>
      <c r="H1617" s="5" t="n">
        <v>40</v>
      </c>
      <c r="I1617" s="5" t="n">
        <v>25</v>
      </c>
      <c r="J1617" s="5" t="n">
        <v>15</v>
      </c>
      <c r="K1617" s="10">
        <f>IF(F1617&gt;0,H1617/F1617,"")</f>
        <v/>
      </c>
      <c r="L1617" s="16">
        <f>IF(AND(G1617&gt;0,H1617&gt;0),G1617/H1617,"")</f>
        <v/>
      </c>
    </row>
    <row r="1618">
      <c r="A1618" s="4" t="inlineStr">
        <is>
          <t>122</t>
        </is>
      </c>
      <c r="B1618" s="4" t="n">
        <v>1</v>
      </c>
      <c r="C1618" s="4" t="inlineStr">
        <is>
          <t>elk</t>
        </is>
      </c>
      <c r="D1618" s="4" t="n">
        <v>2018</v>
      </c>
      <c r="E1618" s="13" t="inlineStr">
        <is>
          <t>General</t>
        </is>
      </c>
      <c r="F1618" s="5" t="n">
        <v>1420</v>
      </c>
      <c r="G1618" s="5" t="n">
        <v>11755</v>
      </c>
      <c r="H1618" s="5" t="n">
        <v>58</v>
      </c>
      <c r="I1618" s="5" t="n">
        <v>42</v>
      </c>
      <c r="J1618" s="5" t="n">
        <v>16</v>
      </c>
      <c r="K1618" s="10">
        <f>IF(F1618&gt;0,H1618/F1618,"")</f>
        <v/>
      </c>
      <c r="L1618" s="16">
        <f>IF(AND(G1618&gt;0,H1618&gt;0),G1618/H1618,"")</f>
        <v/>
      </c>
    </row>
    <row r="1619">
      <c r="A1619" s="4" t="inlineStr">
        <is>
          <t>122</t>
        </is>
      </c>
      <c r="B1619" s="4" t="n">
        <v>1</v>
      </c>
      <c r="C1619" s="4" t="inlineStr">
        <is>
          <t>elk</t>
        </is>
      </c>
      <c r="D1619" s="4" t="n">
        <v>2019</v>
      </c>
      <c r="E1619" s="13" t="inlineStr">
        <is>
          <t>General</t>
        </is>
      </c>
      <c r="F1619" s="5" t="n"/>
      <c r="G1619" s="5" t="n"/>
      <c r="H1619" s="5" t="n">
        <v>64</v>
      </c>
      <c r="I1619" s="5" t="n">
        <v>55</v>
      </c>
      <c r="J1619" s="5" t="n">
        <v>10</v>
      </c>
      <c r="K1619" s="10">
        <f>IF(F1619&gt;0,H1619/F1619,"")</f>
        <v/>
      </c>
      <c r="L1619" s="16">
        <f>IF(AND(G1619&gt;0,H1619&gt;0),G1619/H1619,"")</f>
        <v/>
      </c>
    </row>
    <row r="1620">
      <c r="A1620" s="4" t="inlineStr">
        <is>
          <t>122</t>
        </is>
      </c>
      <c r="B1620" s="4" t="n">
        <v>1</v>
      </c>
      <c r="C1620" s="4" t="inlineStr">
        <is>
          <t>elk</t>
        </is>
      </c>
      <c r="D1620" s="4" t="n">
        <v>2020</v>
      </c>
      <c r="E1620" s="13" t="inlineStr">
        <is>
          <t>General</t>
        </is>
      </c>
      <c r="F1620" s="5" t="n">
        <v>1418</v>
      </c>
      <c r="G1620" s="5" t="n">
        <v>13245</v>
      </c>
      <c r="H1620" s="5" t="n">
        <v>102</v>
      </c>
      <c r="I1620" s="5" t="n">
        <v>72</v>
      </c>
      <c r="J1620" s="5" t="n">
        <v>30</v>
      </c>
      <c r="K1620" s="10">
        <f>IF(F1620&gt;0,H1620/F1620,"")</f>
        <v/>
      </c>
      <c r="L1620" s="16">
        <f>IF(AND(G1620&gt;0,H1620&gt;0),G1620/H1620,"")</f>
        <v/>
      </c>
    </row>
    <row r="1621">
      <c r="A1621" s="4" t="inlineStr">
        <is>
          <t>122</t>
        </is>
      </c>
      <c r="B1621" s="4" t="n">
        <v>1</v>
      </c>
      <c r="C1621" s="4" t="inlineStr">
        <is>
          <t>elk</t>
        </is>
      </c>
      <c r="D1621" s="4" t="n">
        <v>2021</v>
      </c>
      <c r="E1621" s="13" t="inlineStr">
        <is>
          <t>General</t>
        </is>
      </c>
      <c r="F1621" s="5" t="n"/>
      <c r="G1621" s="5" t="n"/>
      <c r="H1621" s="5" t="n">
        <v>65</v>
      </c>
      <c r="I1621" s="5" t="n">
        <v>57</v>
      </c>
      <c r="J1621" s="5" t="n">
        <v>6</v>
      </c>
      <c r="K1621" s="10">
        <f>IF(F1621&gt;0,H1621/F1621,"")</f>
        <v/>
      </c>
      <c r="L1621" s="16">
        <f>IF(AND(G1621&gt;0,H1621&gt;0),G1621/H1621,"")</f>
        <v/>
      </c>
    </row>
    <row r="1622">
      <c r="A1622" s="4" t="inlineStr">
        <is>
          <t>122</t>
        </is>
      </c>
      <c r="B1622" s="4" t="n">
        <v>1</v>
      </c>
      <c r="C1622" s="4" t="inlineStr">
        <is>
          <t>elk</t>
        </is>
      </c>
      <c r="D1622" s="4" t="n">
        <v>2022</v>
      </c>
      <c r="E1622" s="13" t="inlineStr">
        <is>
          <t>General</t>
        </is>
      </c>
      <c r="F1622" s="5" t="n">
        <v>1433</v>
      </c>
      <c r="G1622" s="5" t="n">
        <v>11606</v>
      </c>
      <c r="H1622" s="5" t="n">
        <v>85</v>
      </c>
      <c r="I1622" s="5" t="n">
        <v>70</v>
      </c>
      <c r="J1622" s="5" t="n">
        <v>15</v>
      </c>
      <c r="K1622" s="10">
        <f>IF(F1622&gt;0,H1622/F1622,"")</f>
        <v/>
      </c>
      <c r="L1622" s="16">
        <f>IF(AND(G1622&gt;0,H1622&gt;0),G1622/H1622,"")</f>
        <v/>
      </c>
    </row>
    <row r="1623">
      <c r="A1623" s="4" t="inlineStr">
        <is>
          <t>122</t>
        </is>
      </c>
      <c r="B1623" s="4" t="n">
        <v>1</v>
      </c>
      <c r="C1623" s="4" t="inlineStr">
        <is>
          <t>elk</t>
        </is>
      </c>
      <c r="D1623" s="4" t="n">
        <v>2023</v>
      </c>
      <c r="E1623" s="13" t="inlineStr">
        <is>
          <t>General</t>
        </is>
      </c>
      <c r="F1623" s="5" t="n"/>
      <c r="G1623" s="5" t="n"/>
      <c r="H1623" s="5" t="n">
        <v>93</v>
      </c>
      <c r="I1623" s="5" t="n">
        <v>79</v>
      </c>
      <c r="J1623" s="5" t="n">
        <v>14</v>
      </c>
      <c r="K1623" s="10">
        <f>IF(F1623&gt;0,H1623/F1623,"")</f>
        <v/>
      </c>
      <c r="L1623" s="16">
        <f>IF(AND(G1623&gt;0,H1623&gt;0),G1623/H1623,"")</f>
        <v/>
      </c>
    </row>
    <row r="1624">
      <c r="A1624" s="4" t="inlineStr">
        <is>
          <t>122</t>
        </is>
      </c>
      <c r="B1624" s="4" t="n">
        <v>1</v>
      </c>
      <c r="C1624" s="4" t="inlineStr">
        <is>
          <t>elk</t>
        </is>
      </c>
      <c r="D1624" s="4" t="n">
        <v>2024</v>
      </c>
      <c r="E1624" s="13" t="inlineStr">
        <is>
          <t>General</t>
        </is>
      </c>
      <c r="F1624" s="5" t="n">
        <v>1684</v>
      </c>
      <c r="G1624" s="5" t="n">
        <v>14383</v>
      </c>
      <c r="H1624" s="5" t="n">
        <v>104</v>
      </c>
      <c r="I1624" s="5" t="n">
        <v>75</v>
      </c>
      <c r="J1624" s="5" t="n">
        <v>29</v>
      </c>
      <c r="K1624" s="10">
        <f>IF(F1624&gt;0,H1624/F1624,"")</f>
        <v/>
      </c>
      <c r="L1624" s="16">
        <f>IF(AND(G1624&gt;0,H1624&gt;0),G1624/H1624,"")</f>
        <v/>
      </c>
    </row>
    <row r="1625">
      <c r="A1625" s="4" t="inlineStr">
        <is>
          <t>122</t>
        </is>
      </c>
      <c r="B1625" s="4" t="n">
        <v>1</v>
      </c>
      <c r="C1625" s="4" t="inlineStr">
        <is>
          <t>elk</t>
        </is>
      </c>
      <c r="D1625" s="4" t="n">
        <v>2025</v>
      </c>
      <c r="E1625" s="13" t="inlineStr">
        <is>
          <t>General</t>
        </is>
      </c>
      <c r="F1625" s="5" t="n"/>
      <c r="G1625" s="5" t="n"/>
      <c r="H1625" s="5" t="n">
        <v>135</v>
      </c>
      <c r="I1625" s="5" t="n">
        <v>92</v>
      </c>
      <c r="J1625" s="5" t="n">
        <v>41</v>
      </c>
      <c r="K1625" s="10">
        <f>IF(F1625&gt;0,H1625/F1625,"")</f>
        <v/>
      </c>
      <c r="L1625" s="16">
        <f>IF(AND(G1625&gt;0,H1625&gt;0),G1625/H1625,"")</f>
        <v/>
      </c>
    </row>
    <row r="1626">
      <c r="A1626" s="4" t="inlineStr">
        <is>
          <t>123</t>
        </is>
      </c>
      <c r="B1626" s="4" t="n">
        <v>1</v>
      </c>
      <c r="C1626" s="4" t="inlineStr">
        <is>
          <t>elk</t>
        </is>
      </c>
      <c r="D1626" s="4" t="n">
        <v>2004</v>
      </c>
      <c r="E1626" s="13" t="inlineStr">
        <is>
          <t>General</t>
        </is>
      </c>
      <c r="F1626" s="5" t="n">
        <v>720</v>
      </c>
      <c r="G1626" s="5" t="n">
        <v>4579</v>
      </c>
      <c r="H1626" s="5" t="n">
        <v>81</v>
      </c>
      <c r="I1626" s="5" t="n">
        <v>50</v>
      </c>
      <c r="J1626" s="5" t="n">
        <v>24</v>
      </c>
      <c r="K1626" s="10">
        <f>IF(F1626&gt;0,H1626/F1626,"")</f>
        <v/>
      </c>
      <c r="L1626" s="16">
        <f>IF(AND(G1626&gt;0,H1626&gt;0),G1626/H1626,"")</f>
        <v/>
      </c>
    </row>
    <row r="1627">
      <c r="A1627" s="4" t="inlineStr">
        <is>
          <t>123</t>
        </is>
      </c>
      <c r="B1627" s="4" t="n">
        <v>1</v>
      </c>
      <c r="C1627" s="4" t="inlineStr">
        <is>
          <t>elk</t>
        </is>
      </c>
      <c r="D1627" s="4" t="n">
        <v>2005</v>
      </c>
      <c r="E1627" s="13" t="inlineStr">
        <is>
          <t>General</t>
        </is>
      </c>
      <c r="F1627" s="5" t="n">
        <v>668</v>
      </c>
      <c r="G1627" s="5" t="n">
        <v>5004</v>
      </c>
      <c r="H1627" s="5" t="n">
        <v>111</v>
      </c>
      <c r="I1627" s="5" t="n">
        <v>60</v>
      </c>
      <c r="J1627" s="5" t="n">
        <v>43</v>
      </c>
      <c r="K1627" s="10">
        <f>IF(F1627&gt;0,H1627/F1627,"")</f>
        <v/>
      </c>
      <c r="L1627" s="16">
        <f>IF(AND(G1627&gt;0,H1627&gt;0),G1627/H1627,"")</f>
        <v/>
      </c>
    </row>
    <row r="1628">
      <c r="A1628" s="4" t="inlineStr">
        <is>
          <t>123</t>
        </is>
      </c>
      <c r="B1628" s="4" t="n">
        <v>1</v>
      </c>
      <c r="C1628" s="4" t="inlineStr">
        <is>
          <t>elk</t>
        </is>
      </c>
      <c r="D1628" s="4" t="n">
        <v>2006</v>
      </c>
      <c r="E1628" s="13" t="inlineStr">
        <is>
          <t>General</t>
        </is>
      </c>
      <c r="F1628" s="5" t="n">
        <v>747</v>
      </c>
      <c r="G1628" s="5" t="n">
        <v>5208</v>
      </c>
      <c r="H1628" s="5" t="n">
        <v>138</v>
      </c>
      <c r="I1628" s="5" t="n">
        <v>74</v>
      </c>
      <c r="J1628" s="5" t="n">
        <v>53</v>
      </c>
      <c r="K1628" s="10">
        <f>IF(F1628&gt;0,H1628/F1628,"")</f>
        <v/>
      </c>
      <c r="L1628" s="16">
        <f>IF(AND(G1628&gt;0,H1628&gt;0),G1628/H1628,"")</f>
        <v/>
      </c>
    </row>
    <row r="1629">
      <c r="A1629" s="4" t="inlineStr">
        <is>
          <t>123</t>
        </is>
      </c>
      <c r="B1629" s="4" t="n">
        <v>1</v>
      </c>
      <c r="C1629" s="4" t="inlineStr">
        <is>
          <t>elk</t>
        </is>
      </c>
      <c r="D1629" s="4" t="n">
        <v>2007</v>
      </c>
      <c r="E1629" s="13" t="inlineStr">
        <is>
          <t>General</t>
        </is>
      </c>
      <c r="F1629" s="5" t="n">
        <v>623</v>
      </c>
      <c r="G1629" s="5" t="n">
        <v>5185</v>
      </c>
      <c r="H1629" s="5" t="n">
        <v>81</v>
      </c>
      <c r="I1629" s="5" t="n">
        <v>26</v>
      </c>
      <c r="J1629" s="5" t="n">
        <v>49</v>
      </c>
      <c r="K1629" s="10">
        <f>IF(F1629&gt;0,H1629/F1629,"")</f>
        <v/>
      </c>
      <c r="L1629" s="16">
        <f>IF(AND(G1629&gt;0,H1629&gt;0),G1629/H1629,"")</f>
        <v/>
      </c>
    </row>
    <row r="1630">
      <c r="A1630" s="4" t="inlineStr">
        <is>
          <t>123</t>
        </is>
      </c>
      <c r="B1630" s="4" t="n">
        <v>1</v>
      </c>
      <c r="C1630" s="4" t="inlineStr">
        <is>
          <t>elk</t>
        </is>
      </c>
      <c r="D1630" s="4" t="n">
        <v>2008</v>
      </c>
      <c r="E1630" s="13" t="inlineStr">
        <is>
          <t>General</t>
        </is>
      </c>
      <c r="F1630" s="5" t="n">
        <v>667</v>
      </c>
      <c r="G1630" s="5" t="n">
        <v>5835</v>
      </c>
      <c r="H1630" s="5" t="n">
        <v>52</v>
      </c>
      <c r="I1630" s="5" t="n">
        <v>33</v>
      </c>
      <c r="J1630" s="5" t="n">
        <v>18</v>
      </c>
      <c r="K1630" s="10">
        <f>IF(F1630&gt;0,H1630/F1630,"")</f>
        <v/>
      </c>
      <c r="L1630" s="16">
        <f>IF(AND(G1630&gt;0,H1630&gt;0),G1630/H1630,"")</f>
        <v/>
      </c>
    </row>
    <row r="1631">
      <c r="A1631" s="4" t="inlineStr">
        <is>
          <t>123</t>
        </is>
      </c>
      <c r="B1631" s="4" t="n">
        <v>1</v>
      </c>
      <c r="C1631" s="4" t="inlineStr">
        <is>
          <t>elk</t>
        </is>
      </c>
      <c r="D1631" s="4" t="n">
        <v>2009</v>
      </c>
      <c r="E1631" s="13" t="inlineStr">
        <is>
          <t>General</t>
        </is>
      </c>
      <c r="F1631" s="5" t="n">
        <v>717</v>
      </c>
      <c r="G1631" s="5" t="n">
        <v>5980</v>
      </c>
      <c r="H1631" s="5" t="n">
        <v>74</v>
      </c>
      <c r="I1631" s="5" t="n">
        <v>57</v>
      </c>
      <c r="J1631" s="5" t="n">
        <v>17</v>
      </c>
      <c r="K1631" s="10">
        <f>IF(F1631&gt;0,H1631/F1631,"")</f>
        <v/>
      </c>
      <c r="L1631" s="16">
        <f>IF(AND(G1631&gt;0,H1631&gt;0),G1631/H1631,"")</f>
        <v/>
      </c>
    </row>
    <row r="1632">
      <c r="A1632" s="4" t="inlineStr">
        <is>
          <t>123</t>
        </is>
      </c>
      <c r="B1632" s="4" t="n">
        <v>1</v>
      </c>
      <c r="C1632" s="4" t="inlineStr">
        <is>
          <t>elk</t>
        </is>
      </c>
      <c r="D1632" s="4" t="n">
        <v>2010</v>
      </c>
      <c r="E1632" s="13" t="inlineStr">
        <is>
          <t>General</t>
        </is>
      </c>
      <c r="F1632" s="5" t="n">
        <v>683</v>
      </c>
      <c r="G1632" s="5" t="n">
        <v>5704</v>
      </c>
      <c r="H1632" s="5" t="n">
        <v>87</v>
      </c>
      <c r="I1632" s="5" t="n">
        <v>64</v>
      </c>
      <c r="J1632" s="5" t="n">
        <v>19</v>
      </c>
      <c r="K1632" s="10">
        <f>IF(F1632&gt;0,H1632/F1632,"")</f>
        <v/>
      </c>
      <c r="L1632" s="16">
        <f>IF(AND(G1632&gt;0,H1632&gt;0),G1632/H1632,"")</f>
        <v/>
      </c>
    </row>
    <row r="1633">
      <c r="A1633" s="4" t="inlineStr">
        <is>
          <t>123</t>
        </is>
      </c>
      <c r="B1633" s="4" t="n">
        <v>1</v>
      </c>
      <c r="C1633" s="4" t="inlineStr">
        <is>
          <t>elk</t>
        </is>
      </c>
      <c r="D1633" s="4" t="n">
        <v>2011</v>
      </c>
      <c r="E1633" s="13" t="inlineStr">
        <is>
          <t>General</t>
        </is>
      </c>
      <c r="F1633" s="5" t="n">
        <v>673</v>
      </c>
      <c r="G1633" s="5" t="n">
        <v>4886</v>
      </c>
      <c r="H1633" s="5" t="n">
        <v>44</v>
      </c>
      <c r="I1633" s="5" t="n">
        <v>28</v>
      </c>
      <c r="J1633" s="5" t="n">
        <v>16</v>
      </c>
      <c r="K1633" s="10">
        <f>IF(F1633&gt;0,H1633/F1633,"")</f>
        <v/>
      </c>
      <c r="L1633" s="16">
        <f>IF(AND(G1633&gt;0,H1633&gt;0),G1633/H1633,"")</f>
        <v/>
      </c>
    </row>
    <row r="1634">
      <c r="A1634" s="4" t="inlineStr">
        <is>
          <t>123</t>
        </is>
      </c>
      <c r="B1634" s="4" t="n">
        <v>1</v>
      </c>
      <c r="C1634" s="4" t="inlineStr">
        <is>
          <t>elk</t>
        </is>
      </c>
      <c r="D1634" s="4" t="n">
        <v>2012</v>
      </c>
      <c r="E1634" s="13" t="inlineStr">
        <is>
          <t>General</t>
        </is>
      </c>
      <c r="F1634" s="5" t="n">
        <v>663</v>
      </c>
      <c r="G1634" s="5" t="n">
        <v>4985</v>
      </c>
      <c r="H1634" s="5" t="n">
        <v>59</v>
      </c>
      <c r="I1634" s="5" t="n">
        <v>50</v>
      </c>
      <c r="J1634" s="5" t="n">
        <v>8</v>
      </c>
      <c r="K1634" s="10">
        <f>IF(F1634&gt;0,H1634/F1634,"")</f>
        <v/>
      </c>
      <c r="L1634" s="16">
        <f>IF(AND(G1634&gt;0,H1634&gt;0),G1634/H1634,"")</f>
        <v/>
      </c>
    </row>
    <row r="1635">
      <c r="A1635" s="4" t="inlineStr">
        <is>
          <t>123</t>
        </is>
      </c>
      <c r="B1635" s="4" t="n">
        <v>1</v>
      </c>
      <c r="C1635" s="4" t="inlineStr">
        <is>
          <t>elk</t>
        </is>
      </c>
      <c r="D1635" s="4" t="n">
        <v>2013</v>
      </c>
      <c r="E1635" s="13" t="inlineStr">
        <is>
          <t>General</t>
        </is>
      </c>
      <c r="F1635" s="5" t="n"/>
      <c r="G1635" s="5" t="n"/>
      <c r="H1635" s="5" t="n">
        <v>40</v>
      </c>
      <c r="I1635" s="5" t="n">
        <v>22</v>
      </c>
      <c r="J1635" s="5" t="n">
        <v>18</v>
      </c>
      <c r="K1635" s="10">
        <f>IF(F1635&gt;0,H1635/F1635,"")</f>
        <v/>
      </c>
      <c r="L1635" s="16">
        <f>IF(AND(G1635&gt;0,H1635&gt;0),G1635/H1635,"")</f>
        <v/>
      </c>
    </row>
    <row r="1636">
      <c r="A1636" s="4" t="inlineStr">
        <is>
          <t>123</t>
        </is>
      </c>
      <c r="B1636" s="4" t="n">
        <v>1</v>
      </c>
      <c r="C1636" s="4" t="inlineStr">
        <is>
          <t>elk</t>
        </is>
      </c>
      <c r="D1636" s="4" t="n">
        <v>2014</v>
      </c>
      <c r="E1636" s="13" t="inlineStr">
        <is>
          <t>General</t>
        </is>
      </c>
      <c r="F1636" s="5" t="n">
        <v>617</v>
      </c>
      <c r="G1636" s="5" t="n">
        <v>4543</v>
      </c>
      <c r="H1636" s="5" t="n">
        <v>35</v>
      </c>
      <c r="I1636" s="5" t="n">
        <v>23</v>
      </c>
      <c r="J1636" s="5" t="n">
        <v>13</v>
      </c>
      <c r="K1636" s="10">
        <f>IF(F1636&gt;0,H1636/F1636,"")</f>
        <v/>
      </c>
      <c r="L1636" s="16">
        <f>IF(AND(G1636&gt;0,H1636&gt;0),G1636/H1636,"")</f>
        <v/>
      </c>
    </row>
    <row r="1637">
      <c r="A1637" s="4" t="inlineStr">
        <is>
          <t>123</t>
        </is>
      </c>
      <c r="B1637" s="4" t="n">
        <v>1</v>
      </c>
      <c r="C1637" s="4" t="inlineStr">
        <is>
          <t>elk</t>
        </is>
      </c>
      <c r="D1637" s="4" t="n">
        <v>2015</v>
      </c>
      <c r="E1637" s="13" t="inlineStr">
        <is>
          <t>General</t>
        </is>
      </c>
      <c r="F1637" s="5" t="n">
        <v>701</v>
      </c>
      <c r="G1637" s="5" t="n">
        <v>5635</v>
      </c>
      <c r="H1637" s="5" t="n">
        <v>68</v>
      </c>
      <c r="I1637" s="5" t="n">
        <v>41</v>
      </c>
      <c r="J1637" s="5" t="n">
        <v>27</v>
      </c>
      <c r="K1637" s="10">
        <f>IF(F1637&gt;0,H1637/F1637,"")</f>
        <v/>
      </c>
      <c r="L1637" s="16">
        <f>IF(AND(G1637&gt;0,H1637&gt;0),G1637/H1637,"")</f>
        <v/>
      </c>
    </row>
    <row r="1638">
      <c r="A1638" s="4" t="inlineStr">
        <is>
          <t>123</t>
        </is>
      </c>
      <c r="B1638" s="4" t="n">
        <v>1</v>
      </c>
      <c r="C1638" s="4" t="inlineStr">
        <is>
          <t>elk</t>
        </is>
      </c>
      <c r="D1638" s="4" t="n">
        <v>2016</v>
      </c>
      <c r="E1638" s="13" t="inlineStr">
        <is>
          <t>General</t>
        </is>
      </c>
      <c r="F1638" s="5" t="n">
        <v>810</v>
      </c>
      <c r="G1638" s="5" t="n">
        <v>6174</v>
      </c>
      <c r="H1638" s="5" t="n">
        <v>69</v>
      </c>
      <c r="I1638" s="5" t="n">
        <v>49</v>
      </c>
      <c r="J1638" s="5" t="n">
        <v>20</v>
      </c>
      <c r="K1638" s="10">
        <f>IF(F1638&gt;0,H1638/F1638,"")</f>
        <v/>
      </c>
      <c r="L1638" s="16">
        <f>IF(AND(G1638&gt;0,H1638&gt;0),G1638/H1638,"")</f>
        <v/>
      </c>
    </row>
    <row r="1639">
      <c r="A1639" s="4" t="inlineStr">
        <is>
          <t>123</t>
        </is>
      </c>
      <c r="B1639" s="4" t="n">
        <v>1</v>
      </c>
      <c r="C1639" s="4" t="inlineStr">
        <is>
          <t>elk</t>
        </is>
      </c>
      <c r="D1639" s="4" t="n">
        <v>2017</v>
      </c>
      <c r="E1639" s="13" t="inlineStr">
        <is>
          <t>General</t>
        </is>
      </c>
      <c r="F1639" s="5" t="n"/>
      <c r="G1639" s="5" t="n"/>
      <c r="H1639" s="5" t="n">
        <v>66</v>
      </c>
      <c r="I1639" s="5" t="n">
        <v>36</v>
      </c>
      <c r="J1639" s="5" t="n">
        <v>30</v>
      </c>
      <c r="K1639" s="10">
        <f>IF(F1639&gt;0,H1639/F1639,"")</f>
        <v/>
      </c>
      <c r="L1639" s="16">
        <f>IF(AND(G1639&gt;0,H1639&gt;0),G1639/H1639,"")</f>
        <v/>
      </c>
    </row>
    <row r="1640">
      <c r="A1640" s="4" t="inlineStr">
        <is>
          <t>123</t>
        </is>
      </c>
      <c r="B1640" s="4" t="n">
        <v>1</v>
      </c>
      <c r="C1640" s="4" t="inlineStr">
        <is>
          <t>elk</t>
        </is>
      </c>
      <c r="D1640" s="4" t="n">
        <v>2018</v>
      </c>
      <c r="E1640" s="13" t="inlineStr">
        <is>
          <t>General</t>
        </is>
      </c>
      <c r="F1640" s="5" t="n">
        <v>771</v>
      </c>
      <c r="G1640" s="5" t="n">
        <v>6276</v>
      </c>
      <c r="H1640" s="5" t="n">
        <v>54</v>
      </c>
      <c r="I1640" s="5" t="n">
        <v>37</v>
      </c>
      <c r="J1640" s="5" t="n">
        <v>17</v>
      </c>
      <c r="K1640" s="10">
        <f>IF(F1640&gt;0,H1640/F1640,"")</f>
        <v/>
      </c>
      <c r="L1640" s="16">
        <f>IF(AND(G1640&gt;0,H1640&gt;0),G1640/H1640,"")</f>
        <v/>
      </c>
    </row>
    <row r="1641">
      <c r="A1641" s="4" t="inlineStr">
        <is>
          <t>123</t>
        </is>
      </c>
      <c r="B1641" s="4" t="n">
        <v>1</v>
      </c>
      <c r="C1641" s="4" t="inlineStr">
        <is>
          <t>elk</t>
        </is>
      </c>
      <c r="D1641" s="4" t="n">
        <v>2019</v>
      </c>
      <c r="E1641" s="13" t="inlineStr">
        <is>
          <t>General</t>
        </is>
      </c>
      <c r="F1641" s="5" t="n"/>
      <c r="G1641" s="5" t="n"/>
      <c r="H1641" s="5" t="n">
        <v>57</v>
      </c>
      <c r="I1641" s="5" t="n">
        <v>36</v>
      </c>
      <c r="J1641" s="5" t="n">
        <v>19</v>
      </c>
      <c r="K1641" s="10">
        <f>IF(F1641&gt;0,H1641/F1641,"")</f>
        <v/>
      </c>
      <c r="L1641" s="16">
        <f>IF(AND(G1641&gt;0,H1641&gt;0),G1641/H1641,"")</f>
        <v/>
      </c>
    </row>
    <row r="1642">
      <c r="A1642" s="4" t="inlineStr">
        <is>
          <t>123</t>
        </is>
      </c>
      <c r="B1642" s="4" t="n">
        <v>1</v>
      </c>
      <c r="C1642" s="4" t="inlineStr">
        <is>
          <t>elk</t>
        </is>
      </c>
      <c r="D1642" s="4" t="n">
        <v>2020</v>
      </c>
      <c r="E1642" s="13" t="inlineStr">
        <is>
          <t>General</t>
        </is>
      </c>
      <c r="F1642" s="5" t="n">
        <v>520</v>
      </c>
      <c r="G1642" s="5" t="n">
        <v>4473</v>
      </c>
      <c r="H1642" s="5" t="n">
        <v>56</v>
      </c>
      <c r="I1642" s="5" t="n">
        <v>31</v>
      </c>
      <c r="J1642" s="5" t="n">
        <v>26</v>
      </c>
      <c r="K1642" s="10">
        <f>IF(F1642&gt;0,H1642/F1642,"")</f>
        <v/>
      </c>
      <c r="L1642" s="16">
        <f>IF(AND(G1642&gt;0,H1642&gt;0),G1642/H1642,"")</f>
        <v/>
      </c>
    </row>
    <row r="1643">
      <c r="A1643" s="4" t="inlineStr">
        <is>
          <t>123</t>
        </is>
      </c>
      <c r="B1643" s="4" t="n">
        <v>1</v>
      </c>
      <c r="C1643" s="4" t="inlineStr">
        <is>
          <t>elk</t>
        </is>
      </c>
      <c r="D1643" s="4" t="n">
        <v>2021</v>
      </c>
      <c r="E1643" s="13" t="inlineStr">
        <is>
          <t>General</t>
        </is>
      </c>
      <c r="F1643" s="5" t="n"/>
      <c r="G1643" s="5" t="n"/>
      <c r="H1643" s="5" t="n">
        <v>44</v>
      </c>
      <c r="I1643" s="5" t="n">
        <v>19</v>
      </c>
      <c r="J1643" s="5" t="n">
        <v>25</v>
      </c>
      <c r="K1643" s="10">
        <f>IF(F1643&gt;0,H1643/F1643,"")</f>
        <v/>
      </c>
      <c r="L1643" s="16">
        <f>IF(AND(G1643&gt;0,H1643&gt;0),G1643/H1643,"")</f>
        <v/>
      </c>
    </row>
    <row r="1644">
      <c r="A1644" s="4" t="inlineStr">
        <is>
          <t>123</t>
        </is>
      </c>
      <c r="B1644" s="4" t="n">
        <v>1</v>
      </c>
      <c r="C1644" s="4" t="inlineStr">
        <is>
          <t>elk</t>
        </is>
      </c>
      <c r="D1644" s="4" t="n">
        <v>2022</v>
      </c>
      <c r="E1644" s="13" t="inlineStr">
        <is>
          <t>General</t>
        </is>
      </c>
      <c r="F1644" s="5" t="n">
        <v>509</v>
      </c>
      <c r="G1644" s="5" t="n">
        <v>4045</v>
      </c>
      <c r="H1644" s="5" t="n">
        <v>43</v>
      </c>
      <c r="I1644" s="5" t="n">
        <v>19</v>
      </c>
      <c r="J1644" s="5" t="n">
        <v>24</v>
      </c>
      <c r="K1644" s="10">
        <f>IF(F1644&gt;0,H1644/F1644,"")</f>
        <v/>
      </c>
      <c r="L1644" s="16">
        <f>IF(AND(G1644&gt;0,H1644&gt;0),G1644/H1644,"")</f>
        <v/>
      </c>
    </row>
    <row r="1645">
      <c r="A1645" s="4" t="inlineStr">
        <is>
          <t>123</t>
        </is>
      </c>
      <c r="B1645" s="4" t="n">
        <v>1</v>
      </c>
      <c r="C1645" s="4" t="inlineStr">
        <is>
          <t>elk</t>
        </is>
      </c>
      <c r="D1645" s="4" t="n">
        <v>2023</v>
      </c>
      <c r="E1645" s="13" t="inlineStr">
        <is>
          <t>General</t>
        </is>
      </c>
      <c r="F1645" s="5" t="n"/>
      <c r="G1645" s="5" t="n"/>
      <c r="H1645" s="5" t="n">
        <v>38</v>
      </c>
      <c r="I1645" s="5" t="n">
        <v>24</v>
      </c>
      <c r="J1645" s="5" t="n">
        <v>15</v>
      </c>
      <c r="K1645" s="10">
        <f>IF(F1645&gt;0,H1645/F1645,"")</f>
        <v/>
      </c>
      <c r="L1645" s="16">
        <f>IF(AND(G1645&gt;0,H1645&gt;0),G1645/H1645,"")</f>
        <v/>
      </c>
    </row>
    <row r="1646">
      <c r="A1646" s="4" t="inlineStr">
        <is>
          <t>123</t>
        </is>
      </c>
      <c r="B1646" s="4" t="n">
        <v>1</v>
      </c>
      <c r="C1646" s="4" t="inlineStr">
        <is>
          <t>elk</t>
        </is>
      </c>
      <c r="D1646" s="4" t="n">
        <v>2024</v>
      </c>
      <c r="E1646" s="13" t="inlineStr">
        <is>
          <t>General</t>
        </is>
      </c>
      <c r="F1646" s="5" t="n">
        <v>521</v>
      </c>
      <c r="G1646" s="5" t="n">
        <v>4485</v>
      </c>
      <c r="H1646" s="5" t="n">
        <v>40</v>
      </c>
      <c r="I1646" s="5" t="n">
        <v>39</v>
      </c>
      <c r="J1646" s="5" t="n">
        <v>2</v>
      </c>
      <c r="K1646" s="10">
        <f>IF(F1646&gt;0,H1646/F1646,"")</f>
        <v/>
      </c>
      <c r="L1646" s="16">
        <f>IF(AND(G1646&gt;0,H1646&gt;0),G1646/H1646,"")</f>
        <v/>
      </c>
    </row>
    <row r="1647">
      <c r="A1647" s="4" t="inlineStr">
        <is>
          <t>123</t>
        </is>
      </c>
      <c r="B1647" s="4" t="n">
        <v>1</v>
      </c>
      <c r="C1647" s="4" t="inlineStr">
        <is>
          <t>elk</t>
        </is>
      </c>
      <c r="D1647" s="4" t="n">
        <v>2025</v>
      </c>
      <c r="E1647" s="13" t="inlineStr">
        <is>
          <t>General</t>
        </is>
      </c>
      <c r="F1647" s="5" t="n"/>
      <c r="G1647" s="5" t="n"/>
      <c r="H1647" s="5" t="n">
        <v>34</v>
      </c>
      <c r="I1647" s="5" t="n">
        <v>12</v>
      </c>
      <c r="J1647" s="5" t="n">
        <v>22</v>
      </c>
      <c r="K1647" s="10">
        <f>IF(F1647&gt;0,H1647/F1647,"")</f>
        <v/>
      </c>
      <c r="L1647" s="16">
        <f>IF(AND(G1647&gt;0,H1647&gt;0),G1647/H1647,"")</f>
        <v/>
      </c>
    </row>
    <row r="1648">
      <c r="A1648" s="4" t="inlineStr">
        <is>
          <t>124</t>
        </is>
      </c>
      <c r="B1648" s="4" t="n">
        <v>1</v>
      </c>
      <c r="C1648" s="4" t="inlineStr">
        <is>
          <t>elk</t>
        </is>
      </c>
      <c r="D1648" s="4" t="n">
        <v>2004</v>
      </c>
      <c r="E1648" s="13" t="inlineStr">
        <is>
          <t>General</t>
        </is>
      </c>
      <c r="F1648" s="5" t="n">
        <v>367</v>
      </c>
      <c r="G1648" s="5" t="n">
        <v>2329</v>
      </c>
      <c r="H1648" s="5" t="n">
        <v>30</v>
      </c>
      <c r="I1648" s="5" t="n">
        <v>23</v>
      </c>
      <c r="J1648" s="5" t="n">
        <v>4</v>
      </c>
      <c r="K1648" s="10">
        <f>IF(F1648&gt;0,H1648/F1648,"")</f>
        <v/>
      </c>
      <c r="L1648" s="16">
        <f>IF(AND(G1648&gt;0,H1648&gt;0),G1648/H1648,"")</f>
        <v/>
      </c>
    </row>
    <row r="1649">
      <c r="A1649" s="4" t="inlineStr">
        <is>
          <t>124</t>
        </is>
      </c>
      <c r="B1649" s="4" t="n">
        <v>1</v>
      </c>
      <c r="C1649" s="4" t="inlineStr">
        <is>
          <t>elk</t>
        </is>
      </c>
      <c r="D1649" s="4" t="n">
        <v>2005</v>
      </c>
      <c r="E1649" s="13" t="inlineStr">
        <is>
          <t>General</t>
        </is>
      </c>
      <c r="F1649" s="5" t="n">
        <v>300</v>
      </c>
      <c r="G1649" s="5" t="n">
        <v>1976</v>
      </c>
      <c r="H1649" s="5" t="n">
        <v>27</v>
      </c>
      <c r="I1649" s="5" t="n">
        <v>15</v>
      </c>
      <c r="J1649" s="5" t="n">
        <v>12</v>
      </c>
      <c r="K1649" s="10">
        <f>IF(F1649&gt;0,H1649/F1649,"")</f>
        <v/>
      </c>
      <c r="L1649" s="16">
        <f>IF(AND(G1649&gt;0,H1649&gt;0),G1649/H1649,"")</f>
        <v/>
      </c>
    </row>
    <row r="1650">
      <c r="A1650" s="4" t="inlineStr">
        <is>
          <t>124</t>
        </is>
      </c>
      <c r="B1650" s="4" t="n">
        <v>1</v>
      </c>
      <c r="C1650" s="4" t="inlineStr">
        <is>
          <t>elk</t>
        </is>
      </c>
      <c r="D1650" s="4" t="n">
        <v>2006</v>
      </c>
      <c r="E1650" s="13" t="inlineStr">
        <is>
          <t>General</t>
        </is>
      </c>
      <c r="F1650" s="5" t="n">
        <v>400</v>
      </c>
      <c r="G1650" s="5" t="n">
        <v>3002</v>
      </c>
      <c r="H1650" s="5" t="n">
        <v>61</v>
      </c>
      <c r="I1650" s="5" t="n">
        <v>43</v>
      </c>
      <c r="J1650" s="5" t="n">
        <v>19</v>
      </c>
      <c r="K1650" s="10">
        <f>IF(F1650&gt;0,H1650/F1650,"")</f>
        <v/>
      </c>
      <c r="L1650" s="16">
        <f>IF(AND(G1650&gt;0,H1650&gt;0),G1650/H1650,"")</f>
        <v/>
      </c>
    </row>
    <row r="1651">
      <c r="A1651" s="4" t="inlineStr">
        <is>
          <t>124</t>
        </is>
      </c>
      <c r="B1651" s="4" t="n">
        <v>1</v>
      </c>
      <c r="C1651" s="4" t="inlineStr">
        <is>
          <t>elk</t>
        </is>
      </c>
      <c r="D1651" s="4" t="n">
        <v>2007</v>
      </c>
      <c r="E1651" s="13" t="inlineStr">
        <is>
          <t>General</t>
        </is>
      </c>
      <c r="F1651" s="5" t="n">
        <v>383</v>
      </c>
      <c r="G1651" s="5" t="n">
        <v>3438</v>
      </c>
      <c r="H1651" s="5" t="n">
        <v>38</v>
      </c>
      <c r="I1651" s="5" t="n">
        <v>20</v>
      </c>
      <c r="J1651" s="5" t="n">
        <v>19</v>
      </c>
      <c r="K1651" s="10">
        <f>IF(F1651&gt;0,H1651/F1651,"")</f>
        <v/>
      </c>
      <c r="L1651" s="16">
        <f>IF(AND(G1651&gt;0,H1651&gt;0),G1651/H1651,"")</f>
        <v/>
      </c>
    </row>
    <row r="1652">
      <c r="A1652" s="4" t="inlineStr">
        <is>
          <t>124</t>
        </is>
      </c>
      <c r="B1652" s="4" t="n">
        <v>1</v>
      </c>
      <c r="C1652" s="4" t="inlineStr">
        <is>
          <t>elk</t>
        </is>
      </c>
      <c r="D1652" s="4" t="n">
        <v>2008</v>
      </c>
      <c r="E1652" s="13" t="inlineStr">
        <is>
          <t>General</t>
        </is>
      </c>
      <c r="F1652" s="5" t="n">
        <v>482</v>
      </c>
      <c r="G1652" s="5" t="n">
        <v>3860</v>
      </c>
      <c r="H1652" s="5" t="n">
        <v>36</v>
      </c>
      <c r="I1652" s="5" t="n">
        <v>24</v>
      </c>
      <c r="J1652" s="5" t="n">
        <v>11</v>
      </c>
      <c r="K1652" s="10">
        <f>IF(F1652&gt;0,H1652/F1652,"")</f>
        <v/>
      </c>
      <c r="L1652" s="16">
        <f>IF(AND(G1652&gt;0,H1652&gt;0),G1652/H1652,"")</f>
        <v/>
      </c>
    </row>
    <row r="1653">
      <c r="A1653" s="4" t="inlineStr">
        <is>
          <t>124</t>
        </is>
      </c>
      <c r="B1653" s="4" t="n">
        <v>1</v>
      </c>
      <c r="C1653" s="4" t="inlineStr">
        <is>
          <t>elk</t>
        </is>
      </c>
      <c r="D1653" s="4" t="n">
        <v>2009</v>
      </c>
      <c r="E1653" s="13" t="inlineStr">
        <is>
          <t>General</t>
        </is>
      </c>
      <c r="F1653" s="5" t="n">
        <v>433</v>
      </c>
      <c r="G1653" s="5" t="n">
        <v>3546</v>
      </c>
      <c r="H1653" s="5" t="n">
        <v>33</v>
      </c>
      <c r="I1653" s="5" t="n">
        <v>17</v>
      </c>
      <c r="J1653" s="5" t="n">
        <v>13</v>
      </c>
      <c r="K1653" s="10">
        <f>IF(F1653&gt;0,H1653/F1653,"")</f>
        <v/>
      </c>
      <c r="L1653" s="16">
        <f>IF(AND(G1653&gt;0,H1653&gt;0),G1653/H1653,"")</f>
        <v/>
      </c>
    </row>
    <row r="1654">
      <c r="A1654" s="4" t="inlineStr">
        <is>
          <t>124</t>
        </is>
      </c>
      <c r="B1654" s="4" t="n">
        <v>1</v>
      </c>
      <c r="C1654" s="4" t="inlineStr">
        <is>
          <t>elk</t>
        </is>
      </c>
      <c r="D1654" s="4" t="n">
        <v>2010</v>
      </c>
      <c r="E1654" s="13" t="inlineStr">
        <is>
          <t>General</t>
        </is>
      </c>
      <c r="F1654" s="5" t="n">
        <v>466</v>
      </c>
      <c r="G1654" s="5" t="n">
        <v>4461</v>
      </c>
      <c r="H1654" s="5" t="n">
        <v>39</v>
      </c>
      <c r="I1654" s="5" t="n">
        <v>22</v>
      </c>
      <c r="J1654" s="5" t="n">
        <v>14</v>
      </c>
      <c r="K1654" s="10">
        <f>IF(F1654&gt;0,H1654/F1654,"")</f>
        <v/>
      </c>
      <c r="L1654" s="16">
        <f>IF(AND(G1654&gt;0,H1654&gt;0),G1654/H1654,"")</f>
        <v/>
      </c>
    </row>
    <row r="1655">
      <c r="A1655" s="4" t="inlineStr">
        <is>
          <t>124</t>
        </is>
      </c>
      <c r="B1655" s="4" t="n">
        <v>1</v>
      </c>
      <c r="C1655" s="4" t="inlineStr">
        <is>
          <t>elk</t>
        </is>
      </c>
      <c r="D1655" s="4" t="n">
        <v>2011</v>
      </c>
      <c r="E1655" s="13" t="inlineStr">
        <is>
          <t>General</t>
        </is>
      </c>
      <c r="F1655" s="5" t="n">
        <v>512</v>
      </c>
      <c r="G1655" s="5" t="n">
        <v>3830</v>
      </c>
      <c r="H1655" s="5" t="n">
        <v>32</v>
      </c>
      <c r="I1655" s="5" t="n">
        <v>20</v>
      </c>
      <c r="J1655" s="5" t="n">
        <v>10</v>
      </c>
      <c r="K1655" s="10">
        <f>IF(F1655&gt;0,H1655/F1655,"")</f>
        <v/>
      </c>
      <c r="L1655" s="16">
        <f>IF(AND(G1655&gt;0,H1655&gt;0),G1655/H1655,"")</f>
        <v/>
      </c>
    </row>
    <row r="1656">
      <c r="A1656" s="4" t="inlineStr">
        <is>
          <t>124</t>
        </is>
      </c>
      <c r="B1656" s="4" t="n">
        <v>1</v>
      </c>
      <c r="C1656" s="4" t="inlineStr">
        <is>
          <t>elk</t>
        </is>
      </c>
      <c r="D1656" s="4" t="n">
        <v>2012</v>
      </c>
      <c r="E1656" s="13" t="inlineStr">
        <is>
          <t>General</t>
        </is>
      </c>
      <c r="F1656" s="5" t="n">
        <v>404</v>
      </c>
      <c r="G1656" s="5" t="n">
        <v>3006</v>
      </c>
      <c r="H1656" s="5" t="n">
        <v>32</v>
      </c>
      <c r="I1656" s="5" t="n">
        <v>25</v>
      </c>
      <c r="J1656" s="5" t="n">
        <v>7</v>
      </c>
      <c r="K1656" s="10">
        <f>IF(F1656&gt;0,H1656/F1656,"")</f>
        <v/>
      </c>
      <c r="L1656" s="16">
        <f>IF(AND(G1656&gt;0,H1656&gt;0),G1656/H1656,"")</f>
        <v/>
      </c>
    </row>
    <row r="1657">
      <c r="A1657" s="4" t="inlineStr">
        <is>
          <t>124</t>
        </is>
      </c>
      <c r="B1657" s="4" t="n">
        <v>1</v>
      </c>
      <c r="C1657" s="4" t="inlineStr">
        <is>
          <t>elk</t>
        </is>
      </c>
      <c r="D1657" s="4" t="n">
        <v>2013</v>
      </c>
      <c r="E1657" s="13" t="inlineStr">
        <is>
          <t>General</t>
        </is>
      </c>
      <c r="F1657" s="5" t="n"/>
      <c r="G1657" s="5" t="n"/>
      <c r="H1657" s="5" t="n">
        <v>18</v>
      </c>
      <c r="I1657" s="5" t="n">
        <v>14</v>
      </c>
      <c r="J1657" s="5" t="n">
        <v>3</v>
      </c>
      <c r="K1657" s="10">
        <f>IF(F1657&gt;0,H1657/F1657,"")</f>
        <v/>
      </c>
      <c r="L1657" s="16">
        <f>IF(AND(G1657&gt;0,H1657&gt;0),G1657/H1657,"")</f>
        <v/>
      </c>
    </row>
    <row r="1658">
      <c r="A1658" s="4" t="inlineStr">
        <is>
          <t>124</t>
        </is>
      </c>
      <c r="B1658" s="4" t="n">
        <v>1</v>
      </c>
      <c r="C1658" s="4" t="inlineStr">
        <is>
          <t>elk</t>
        </is>
      </c>
      <c r="D1658" s="4" t="n">
        <v>2014</v>
      </c>
      <c r="E1658" s="13" t="inlineStr">
        <is>
          <t>General</t>
        </is>
      </c>
      <c r="F1658" s="5" t="n">
        <v>340</v>
      </c>
      <c r="G1658" s="5" t="n">
        <v>2358</v>
      </c>
      <c r="H1658" s="5" t="n">
        <v>22</v>
      </c>
      <c r="I1658" s="5" t="n">
        <v>11</v>
      </c>
      <c r="J1658" s="5" t="n">
        <v>10</v>
      </c>
      <c r="K1658" s="10">
        <f>IF(F1658&gt;0,H1658/F1658,"")</f>
        <v/>
      </c>
      <c r="L1658" s="16">
        <f>IF(AND(G1658&gt;0,H1658&gt;0),G1658/H1658,"")</f>
        <v/>
      </c>
    </row>
    <row r="1659">
      <c r="A1659" s="4" t="inlineStr">
        <is>
          <t>124</t>
        </is>
      </c>
      <c r="B1659" s="4" t="n">
        <v>1</v>
      </c>
      <c r="C1659" s="4" t="inlineStr">
        <is>
          <t>elk</t>
        </is>
      </c>
      <c r="D1659" s="4" t="n">
        <v>2015</v>
      </c>
      <c r="E1659" s="13" t="inlineStr">
        <is>
          <t>General</t>
        </is>
      </c>
      <c r="F1659" s="5" t="n">
        <v>248</v>
      </c>
      <c r="G1659" s="5" t="n">
        <v>2189</v>
      </c>
      <c r="H1659" s="5" t="n">
        <v>10</v>
      </c>
      <c r="I1659" s="5" t="n">
        <v>9</v>
      </c>
      <c r="J1659" s="5" t="n">
        <v>2</v>
      </c>
      <c r="K1659" s="10">
        <f>IF(F1659&gt;0,H1659/F1659,"")</f>
        <v/>
      </c>
      <c r="L1659" s="16">
        <f>IF(AND(G1659&gt;0,H1659&gt;0),G1659/H1659,"")</f>
        <v/>
      </c>
    </row>
    <row r="1660">
      <c r="A1660" s="4" t="inlineStr">
        <is>
          <t>124</t>
        </is>
      </c>
      <c r="B1660" s="4" t="n">
        <v>1</v>
      </c>
      <c r="C1660" s="4" t="inlineStr">
        <is>
          <t>elk</t>
        </is>
      </c>
      <c r="D1660" s="4" t="n">
        <v>2016</v>
      </c>
      <c r="E1660" s="13" t="inlineStr">
        <is>
          <t>General</t>
        </is>
      </c>
      <c r="F1660" s="5" t="n">
        <v>394</v>
      </c>
      <c r="G1660" s="5" t="n">
        <v>3003</v>
      </c>
      <c r="H1660" s="5" t="n">
        <v>18</v>
      </c>
      <c r="I1660" s="5" t="n">
        <v>13</v>
      </c>
      <c r="J1660" s="5" t="n">
        <v>5</v>
      </c>
      <c r="K1660" s="10">
        <f>IF(F1660&gt;0,H1660/F1660,"")</f>
        <v/>
      </c>
      <c r="L1660" s="16">
        <f>IF(AND(G1660&gt;0,H1660&gt;0),G1660/H1660,"")</f>
        <v/>
      </c>
    </row>
    <row r="1661">
      <c r="A1661" s="4" t="inlineStr">
        <is>
          <t>124</t>
        </is>
      </c>
      <c r="B1661" s="4" t="n">
        <v>1</v>
      </c>
      <c r="C1661" s="4" t="inlineStr">
        <is>
          <t>elk</t>
        </is>
      </c>
      <c r="D1661" s="4" t="n">
        <v>2017</v>
      </c>
      <c r="E1661" s="13" t="inlineStr">
        <is>
          <t>General</t>
        </is>
      </c>
      <c r="F1661" s="5" t="n"/>
      <c r="G1661" s="5" t="n"/>
      <c r="H1661" s="5" t="n">
        <v>28</v>
      </c>
      <c r="I1661" s="5" t="n">
        <v>12</v>
      </c>
      <c r="J1661" s="5" t="n">
        <v>17</v>
      </c>
      <c r="K1661" s="10">
        <f>IF(F1661&gt;0,H1661/F1661,"")</f>
        <v/>
      </c>
      <c r="L1661" s="16">
        <f>IF(AND(G1661&gt;0,H1661&gt;0),G1661/H1661,"")</f>
        <v/>
      </c>
    </row>
    <row r="1662">
      <c r="A1662" s="4" t="inlineStr">
        <is>
          <t>124</t>
        </is>
      </c>
      <c r="B1662" s="4" t="n">
        <v>1</v>
      </c>
      <c r="C1662" s="4" t="inlineStr">
        <is>
          <t>elk</t>
        </is>
      </c>
      <c r="D1662" s="4" t="n">
        <v>2018</v>
      </c>
      <c r="E1662" s="13" t="inlineStr">
        <is>
          <t>General</t>
        </is>
      </c>
      <c r="F1662" s="5" t="n">
        <v>281</v>
      </c>
      <c r="G1662" s="5" t="n">
        <v>1943</v>
      </c>
      <c r="H1662" s="5" t="n">
        <v>26</v>
      </c>
      <c r="I1662" s="5" t="n">
        <v>19</v>
      </c>
      <c r="J1662" s="5" t="n">
        <v>8</v>
      </c>
      <c r="K1662" s="10">
        <f>IF(F1662&gt;0,H1662/F1662,"")</f>
        <v/>
      </c>
      <c r="L1662" s="16">
        <f>IF(AND(G1662&gt;0,H1662&gt;0),G1662/H1662,"")</f>
        <v/>
      </c>
    </row>
    <row r="1663">
      <c r="A1663" s="4" t="inlineStr">
        <is>
          <t>124</t>
        </is>
      </c>
      <c r="B1663" s="4" t="n">
        <v>1</v>
      </c>
      <c r="C1663" s="4" t="inlineStr">
        <is>
          <t>elk</t>
        </is>
      </c>
      <c r="D1663" s="4" t="n">
        <v>2019</v>
      </c>
      <c r="E1663" s="13" t="inlineStr">
        <is>
          <t>General</t>
        </is>
      </c>
      <c r="F1663" s="5" t="n"/>
      <c r="G1663" s="5" t="n"/>
      <c r="H1663" s="5" t="n">
        <v>23</v>
      </c>
      <c r="I1663" s="5" t="n">
        <v>9</v>
      </c>
      <c r="J1663" s="5" t="n">
        <v>14</v>
      </c>
      <c r="K1663" s="10">
        <f>IF(F1663&gt;0,H1663/F1663,"")</f>
        <v/>
      </c>
      <c r="L1663" s="16">
        <f>IF(AND(G1663&gt;0,H1663&gt;0),G1663/H1663,"")</f>
        <v/>
      </c>
    </row>
    <row r="1664">
      <c r="A1664" s="4" t="inlineStr">
        <is>
          <t>124</t>
        </is>
      </c>
      <c r="B1664" s="4" t="n">
        <v>1</v>
      </c>
      <c r="C1664" s="4" t="inlineStr">
        <is>
          <t>elk</t>
        </is>
      </c>
      <c r="D1664" s="4" t="n">
        <v>2020</v>
      </c>
      <c r="E1664" s="13" t="inlineStr">
        <is>
          <t>General</t>
        </is>
      </c>
      <c r="F1664" s="5" t="n">
        <v>235</v>
      </c>
      <c r="G1664" s="5" t="n">
        <v>1616</v>
      </c>
      <c r="H1664" s="5" t="n">
        <v>15</v>
      </c>
      <c r="I1664" s="5" t="n">
        <v>7</v>
      </c>
      <c r="J1664" s="5" t="n">
        <v>6</v>
      </c>
      <c r="K1664" s="10">
        <f>IF(F1664&gt;0,H1664/F1664,"")</f>
        <v/>
      </c>
      <c r="L1664" s="16">
        <f>IF(AND(G1664&gt;0,H1664&gt;0),G1664/H1664,"")</f>
        <v/>
      </c>
    </row>
    <row r="1665">
      <c r="A1665" s="4" t="inlineStr">
        <is>
          <t>124</t>
        </is>
      </c>
      <c r="B1665" s="4" t="n">
        <v>1</v>
      </c>
      <c r="C1665" s="4" t="inlineStr">
        <is>
          <t>elk</t>
        </is>
      </c>
      <c r="D1665" s="4" t="n">
        <v>2021</v>
      </c>
      <c r="E1665" s="13" t="inlineStr">
        <is>
          <t>General</t>
        </is>
      </c>
      <c r="F1665" s="5" t="n"/>
      <c r="G1665" s="5" t="n"/>
      <c r="H1665" s="5" t="n">
        <v>26</v>
      </c>
      <c r="I1665" s="5" t="n">
        <v>8</v>
      </c>
      <c r="J1665" s="5" t="n">
        <v>18</v>
      </c>
      <c r="K1665" s="10">
        <f>IF(F1665&gt;0,H1665/F1665,"")</f>
        <v/>
      </c>
      <c r="L1665" s="16">
        <f>IF(AND(G1665&gt;0,H1665&gt;0),G1665/H1665,"")</f>
        <v/>
      </c>
    </row>
    <row r="1666">
      <c r="A1666" s="4" t="inlineStr">
        <is>
          <t>124</t>
        </is>
      </c>
      <c r="B1666" s="4" t="n">
        <v>1</v>
      </c>
      <c r="C1666" s="4" t="inlineStr">
        <is>
          <t>elk</t>
        </is>
      </c>
      <c r="D1666" s="4" t="n">
        <v>2022</v>
      </c>
      <c r="E1666" s="13" t="inlineStr">
        <is>
          <t>General</t>
        </is>
      </c>
      <c r="F1666" s="5" t="n">
        <v>268</v>
      </c>
      <c r="G1666" s="5" t="n">
        <v>1780</v>
      </c>
      <c r="H1666" s="5" t="n">
        <v>31</v>
      </c>
      <c r="I1666" s="5" t="n">
        <v>24</v>
      </c>
      <c r="J1666" s="5" t="n">
        <v>6</v>
      </c>
      <c r="K1666" s="10">
        <f>IF(F1666&gt;0,H1666/F1666,"")</f>
        <v/>
      </c>
      <c r="L1666" s="16">
        <f>IF(AND(G1666&gt;0,H1666&gt;0),G1666/H1666,"")</f>
        <v/>
      </c>
    </row>
    <row r="1667">
      <c r="A1667" s="4" t="inlineStr">
        <is>
          <t>124</t>
        </is>
      </c>
      <c r="B1667" s="4" t="n">
        <v>1</v>
      </c>
      <c r="C1667" s="4" t="inlineStr">
        <is>
          <t>elk</t>
        </is>
      </c>
      <c r="D1667" s="4" t="n">
        <v>2023</v>
      </c>
      <c r="E1667" s="13" t="inlineStr">
        <is>
          <t>General</t>
        </is>
      </c>
      <c r="F1667" s="5" t="n"/>
      <c r="G1667" s="5" t="n"/>
      <c r="H1667" s="5" t="n">
        <v>35</v>
      </c>
      <c r="I1667" s="5" t="n">
        <v>23</v>
      </c>
      <c r="J1667" s="5" t="n">
        <v>12</v>
      </c>
      <c r="K1667" s="10">
        <f>IF(F1667&gt;0,H1667/F1667,"")</f>
        <v/>
      </c>
      <c r="L1667" s="16">
        <f>IF(AND(G1667&gt;0,H1667&gt;0),G1667/H1667,"")</f>
        <v/>
      </c>
    </row>
    <row r="1668">
      <c r="A1668" s="4" t="inlineStr">
        <is>
          <t>124</t>
        </is>
      </c>
      <c r="B1668" s="4" t="n">
        <v>1</v>
      </c>
      <c r="C1668" s="4" t="inlineStr">
        <is>
          <t>elk</t>
        </is>
      </c>
      <c r="D1668" s="4" t="n">
        <v>2024</v>
      </c>
      <c r="E1668" s="13" t="inlineStr">
        <is>
          <t>General</t>
        </is>
      </c>
      <c r="F1668" s="5" t="n">
        <v>326</v>
      </c>
      <c r="G1668" s="5" t="n">
        <v>2582</v>
      </c>
      <c r="H1668" s="5" t="n">
        <v>41</v>
      </c>
      <c r="I1668" s="5" t="n">
        <v>23</v>
      </c>
      <c r="J1668" s="5" t="n">
        <v>17</v>
      </c>
      <c r="K1668" s="10">
        <f>IF(F1668&gt;0,H1668/F1668,"")</f>
        <v/>
      </c>
      <c r="L1668" s="16">
        <f>IF(AND(G1668&gt;0,H1668&gt;0),G1668/H1668,"")</f>
        <v/>
      </c>
    </row>
    <row r="1669">
      <c r="A1669" s="4" t="inlineStr">
        <is>
          <t>124</t>
        </is>
      </c>
      <c r="B1669" s="4" t="n">
        <v>1</v>
      </c>
      <c r="C1669" s="4" t="inlineStr">
        <is>
          <t>elk</t>
        </is>
      </c>
      <c r="D1669" s="4" t="n">
        <v>2025</v>
      </c>
      <c r="E1669" s="13" t="inlineStr">
        <is>
          <t>General</t>
        </is>
      </c>
      <c r="F1669" s="5" t="n"/>
      <c r="G1669" s="5" t="n"/>
      <c r="H1669" s="5" t="n">
        <v>33</v>
      </c>
      <c r="I1669" s="5" t="n">
        <v>22</v>
      </c>
      <c r="J1669" s="5" t="n">
        <v>11</v>
      </c>
      <c r="K1669" s="10">
        <f>IF(F1669&gt;0,H1669/F1669,"")</f>
        <v/>
      </c>
      <c r="L1669" s="16">
        <f>IF(AND(G1669&gt;0,H1669&gt;0),G1669/H1669,"")</f>
        <v/>
      </c>
    </row>
    <row r="1670">
      <c r="A1670" s="4" t="inlineStr">
        <is>
          <t>130</t>
        </is>
      </c>
      <c r="B1670" s="4" t="n">
        <v>1</v>
      </c>
      <c r="C1670" s="4" t="inlineStr">
        <is>
          <t>elk</t>
        </is>
      </c>
      <c r="D1670" s="4" t="n">
        <v>2004</v>
      </c>
      <c r="E1670" s="13" t="inlineStr">
        <is>
          <t>General</t>
        </is>
      </c>
      <c r="F1670" s="5" t="n">
        <v>1273</v>
      </c>
      <c r="G1670" s="5" t="n">
        <v>7681</v>
      </c>
      <c r="H1670" s="5" t="n">
        <v>90</v>
      </c>
      <c r="I1670" s="5" t="n">
        <v>70</v>
      </c>
      <c r="J1670" s="5" t="n">
        <v>17</v>
      </c>
      <c r="K1670" s="10">
        <f>IF(F1670&gt;0,H1670/F1670,"")</f>
        <v/>
      </c>
      <c r="L1670" s="16">
        <f>IF(AND(G1670&gt;0,H1670&gt;0),G1670/H1670,"")</f>
        <v/>
      </c>
    </row>
    <row r="1671">
      <c r="A1671" s="4" t="inlineStr">
        <is>
          <t>130</t>
        </is>
      </c>
      <c r="B1671" s="4" t="n">
        <v>1</v>
      </c>
      <c r="C1671" s="4" t="inlineStr">
        <is>
          <t>elk</t>
        </is>
      </c>
      <c r="D1671" s="4" t="n">
        <v>2005</v>
      </c>
      <c r="E1671" s="13" t="inlineStr">
        <is>
          <t>General</t>
        </is>
      </c>
      <c r="F1671" s="5" t="n">
        <v>1387</v>
      </c>
      <c r="G1671" s="5" t="n">
        <v>9208</v>
      </c>
      <c r="H1671" s="5" t="n">
        <v>82</v>
      </c>
      <c r="I1671" s="5" t="n">
        <v>65</v>
      </c>
      <c r="J1671" s="5" t="n">
        <v>14</v>
      </c>
      <c r="K1671" s="10">
        <f>IF(F1671&gt;0,H1671/F1671,"")</f>
        <v/>
      </c>
      <c r="L1671" s="16">
        <f>IF(AND(G1671&gt;0,H1671&gt;0),G1671/H1671,"")</f>
        <v/>
      </c>
    </row>
    <row r="1672">
      <c r="A1672" s="4" t="inlineStr">
        <is>
          <t>130</t>
        </is>
      </c>
      <c r="B1672" s="4" t="n">
        <v>1</v>
      </c>
      <c r="C1672" s="4" t="inlineStr">
        <is>
          <t>elk</t>
        </is>
      </c>
      <c r="D1672" s="4" t="n">
        <v>2006</v>
      </c>
      <c r="E1672" s="13" t="inlineStr">
        <is>
          <t>General</t>
        </is>
      </c>
      <c r="F1672" s="5" t="n">
        <v>1315</v>
      </c>
      <c r="G1672" s="5" t="n">
        <v>8707</v>
      </c>
      <c r="H1672" s="5" t="n">
        <v>71</v>
      </c>
      <c r="I1672" s="5" t="n">
        <v>52</v>
      </c>
      <c r="J1672" s="5" t="n">
        <v>18</v>
      </c>
      <c r="K1672" s="10">
        <f>IF(F1672&gt;0,H1672/F1672,"")</f>
        <v/>
      </c>
      <c r="L1672" s="16">
        <f>IF(AND(G1672&gt;0,H1672&gt;0),G1672/H1672,"")</f>
        <v/>
      </c>
    </row>
    <row r="1673">
      <c r="A1673" s="4" t="inlineStr">
        <is>
          <t>130</t>
        </is>
      </c>
      <c r="B1673" s="4" t="n">
        <v>1</v>
      </c>
      <c r="C1673" s="4" t="inlineStr">
        <is>
          <t>elk</t>
        </is>
      </c>
      <c r="D1673" s="4" t="n">
        <v>2007</v>
      </c>
      <c r="E1673" s="13" t="inlineStr">
        <is>
          <t>General</t>
        </is>
      </c>
      <c r="F1673" s="5" t="n">
        <v>1310</v>
      </c>
      <c r="G1673" s="5" t="n">
        <v>9706</v>
      </c>
      <c r="H1673" s="5" t="n">
        <v>75</v>
      </c>
      <c r="I1673" s="5" t="n">
        <v>55</v>
      </c>
      <c r="J1673" s="5" t="n">
        <v>21</v>
      </c>
      <c r="K1673" s="10">
        <f>IF(F1673&gt;0,H1673/F1673,"")</f>
        <v/>
      </c>
      <c r="L1673" s="16">
        <f>IF(AND(G1673&gt;0,H1673&gt;0),G1673/H1673,"")</f>
        <v/>
      </c>
    </row>
    <row r="1674">
      <c r="A1674" s="4" t="inlineStr">
        <is>
          <t>130</t>
        </is>
      </c>
      <c r="B1674" s="4" t="n">
        <v>1</v>
      </c>
      <c r="C1674" s="4" t="inlineStr">
        <is>
          <t>elk</t>
        </is>
      </c>
      <c r="D1674" s="4" t="n">
        <v>2008</v>
      </c>
      <c r="E1674" s="13" t="inlineStr">
        <is>
          <t>General</t>
        </is>
      </c>
      <c r="F1674" s="5" t="n">
        <v>1282</v>
      </c>
      <c r="G1674" s="5" t="n">
        <v>9088</v>
      </c>
      <c r="H1674" s="5" t="n">
        <v>83</v>
      </c>
      <c r="I1674" s="5" t="n">
        <v>65</v>
      </c>
      <c r="J1674" s="5" t="n">
        <v>15</v>
      </c>
      <c r="K1674" s="10">
        <f>IF(F1674&gt;0,H1674/F1674,"")</f>
        <v/>
      </c>
      <c r="L1674" s="16">
        <f>IF(AND(G1674&gt;0,H1674&gt;0),G1674/H1674,"")</f>
        <v/>
      </c>
    </row>
    <row r="1675">
      <c r="A1675" s="4" t="inlineStr">
        <is>
          <t>130</t>
        </is>
      </c>
      <c r="B1675" s="4" t="n">
        <v>1</v>
      </c>
      <c r="C1675" s="4" t="inlineStr">
        <is>
          <t>elk</t>
        </is>
      </c>
      <c r="D1675" s="4" t="n">
        <v>2009</v>
      </c>
      <c r="E1675" s="13" t="inlineStr">
        <is>
          <t>General</t>
        </is>
      </c>
      <c r="F1675" s="5" t="n">
        <v>1400</v>
      </c>
      <c r="G1675" s="5" t="n">
        <v>9834</v>
      </c>
      <c r="H1675" s="5" t="n">
        <v>71</v>
      </c>
      <c r="I1675" s="5" t="n">
        <v>54</v>
      </c>
      <c r="J1675" s="5" t="n">
        <v>17</v>
      </c>
      <c r="K1675" s="10">
        <f>IF(F1675&gt;0,H1675/F1675,"")</f>
        <v/>
      </c>
      <c r="L1675" s="16">
        <f>IF(AND(G1675&gt;0,H1675&gt;0),G1675/H1675,"")</f>
        <v/>
      </c>
    </row>
    <row r="1676">
      <c r="A1676" s="4" t="inlineStr">
        <is>
          <t>130</t>
        </is>
      </c>
      <c r="B1676" s="4" t="n">
        <v>1</v>
      </c>
      <c r="C1676" s="4" t="inlineStr">
        <is>
          <t>elk</t>
        </is>
      </c>
      <c r="D1676" s="4" t="n">
        <v>2010</v>
      </c>
      <c r="E1676" s="13" t="inlineStr">
        <is>
          <t>General</t>
        </is>
      </c>
      <c r="F1676" s="5" t="n">
        <v>1282</v>
      </c>
      <c r="G1676" s="5" t="n">
        <v>8881</v>
      </c>
      <c r="H1676" s="5" t="n">
        <v>67</v>
      </c>
      <c r="I1676" s="5" t="n">
        <v>47</v>
      </c>
      <c r="J1676" s="5" t="n">
        <v>20</v>
      </c>
      <c r="K1676" s="10">
        <f>IF(F1676&gt;0,H1676/F1676,"")</f>
        <v/>
      </c>
      <c r="L1676" s="16">
        <f>IF(AND(G1676&gt;0,H1676&gt;0),G1676/H1676,"")</f>
        <v/>
      </c>
    </row>
    <row r="1677">
      <c r="A1677" s="4" t="inlineStr">
        <is>
          <t>130</t>
        </is>
      </c>
      <c r="B1677" s="4" t="n">
        <v>1</v>
      </c>
      <c r="C1677" s="4" t="inlineStr">
        <is>
          <t>elk</t>
        </is>
      </c>
      <c r="D1677" s="4" t="n">
        <v>2011</v>
      </c>
      <c r="E1677" s="13" t="inlineStr">
        <is>
          <t>General</t>
        </is>
      </c>
      <c r="F1677" s="5" t="n">
        <v>1595</v>
      </c>
      <c r="G1677" s="5" t="n">
        <v>11068</v>
      </c>
      <c r="H1677" s="5" t="n">
        <v>66</v>
      </c>
      <c r="I1677" s="5" t="n">
        <v>45</v>
      </c>
      <c r="J1677" s="5" t="n">
        <v>22</v>
      </c>
      <c r="K1677" s="10">
        <f>IF(F1677&gt;0,H1677/F1677,"")</f>
        <v/>
      </c>
      <c r="L1677" s="16">
        <f>IF(AND(G1677&gt;0,H1677&gt;0),G1677/H1677,"")</f>
        <v/>
      </c>
    </row>
    <row r="1678">
      <c r="A1678" s="4" t="inlineStr">
        <is>
          <t>130</t>
        </is>
      </c>
      <c r="B1678" s="4" t="n">
        <v>1</v>
      </c>
      <c r="C1678" s="4" t="inlineStr">
        <is>
          <t>elk</t>
        </is>
      </c>
      <c r="D1678" s="4" t="n">
        <v>2012</v>
      </c>
      <c r="E1678" s="13" t="inlineStr">
        <is>
          <t>General</t>
        </is>
      </c>
      <c r="F1678" s="5" t="n">
        <v>1270</v>
      </c>
      <c r="G1678" s="5" t="n">
        <v>8191</v>
      </c>
      <c r="H1678" s="5" t="n">
        <v>29</v>
      </c>
      <c r="I1678" s="5" t="n">
        <v>28</v>
      </c>
      <c r="J1678" s="5" t="n">
        <v>1</v>
      </c>
      <c r="K1678" s="10">
        <f>IF(F1678&gt;0,H1678/F1678,"")</f>
        <v/>
      </c>
      <c r="L1678" s="16">
        <f>IF(AND(G1678&gt;0,H1678&gt;0),G1678/H1678,"")</f>
        <v/>
      </c>
    </row>
    <row r="1679">
      <c r="A1679" s="4" t="inlineStr">
        <is>
          <t>130</t>
        </is>
      </c>
      <c r="B1679" s="4" t="n">
        <v>1</v>
      </c>
      <c r="C1679" s="4" t="inlineStr">
        <is>
          <t>elk</t>
        </is>
      </c>
      <c r="D1679" s="4" t="n">
        <v>2013</v>
      </c>
      <c r="E1679" s="13" t="inlineStr">
        <is>
          <t>General</t>
        </is>
      </c>
      <c r="F1679" s="5" t="n"/>
      <c r="G1679" s="5" t="n"/>
      <c r="H1679" s="5" t="n">
        <v>34</v>
      </c>
      <c r="I1679" s="5" t="n">
        <v>34</v>
      </c>
      <c r="J1679" s="5" t="n">
        <v>0</v>
      </c>
      <c r="K1679" s="10">
        <f>IF(F1679&gt;0,H1679/F1679,"")</f>
        <v/>
      </c>
      <c r="L1679" s="16">
        <f>IF(AND(G1679&gt;0,H1679&gt;0),G1679/H1679,"")</f>
        <v/>
      </c>
    </row>
    <row r="1680">
      <c r="A1680" s="4" t="inlineStr">
        <is>
          <t>130</t>
        </is>
      </c>
      <c r="B1680" s="4" t="n">
        <v>1</v>
      </c>
      <c r="C1680" s="4" t="inlineStr">
        <is>
          <t>elk</t>
        </is>
      </c>
      <c r="D1680" s="4" t="n">
        <v>2014</v>
      </c>
      <c r="E1680" s="13" t="inlineStr">
        <is>
          <t>General</t>
        </is>
      </c>
      <c r="F1680" s="5" t="n">
        <v>1136</v>
      </c>
      <c r="G1680" s="5" t="n">
        <v>7801</v>
      </c>
      <c r="H1680" s="5" t="n">
        <v>45</v>
      </c>
      <c r="I1680" s="5" t="n">
        <v>42</v>
      </c>
      <c r="J1680" s="5" t="n">
        <v>3</v>
      </c>
      <c r="K1680" s="10">
        <f>IF(F1680&gt;0,H1680/F1680,"")</f>
        <v/>
      </c>
      <c r="L1680" s="16">
        <f>IF(AND(G1680&gt;0,H1680&gt;0),G1680/H1680,"")</f>
        <v/>
      </c>
    </row>
    <row r="1681">
      <c r="A1681" s="4" t="inlineStr">
        <is>
          <t>130</t>
        </is>
      </c>
      <c r="B1681" s="4" t="n">
        <v>1</v>
      </c>
      <c r="C1681" s="4" t="inlineStr">
        <is>
          <t>elk</t>
        </is>
      </c>
      <c r="D1681" s="4" t="n">
        <v>2015</v>
      </c>
      <c r="E1681" s="13" t="inlineStr">
        <is>
          <t>General</t>
        </is>
      </c>
      <c r="F1681" s="5" t="n">
        <v>1123</v>
      </c>
      <c r="G1681" s="5" t="n">
        <v>8207</v>
      </c>
      <c r="H1681" s="5" t="n">
        <v>45</v>
      </c>
      <c r="I1681" s="5" t="n">
        <v>40</v>
      </c>
      <c r="J1681" s="5" t="n">
        <v>5</v>
      </c>
      <c r="K1681" s="10">
        <f>IF(F1681&gt;0,H1681/F1681,"")</f>
        <v/>
      </c>
      <c r="L1681" s="16">
        <f>IF(AND(G1681&gt;0,H1681&gt;0),G1681/H1681,"")</f>
        <v/>
      </c>
    </row>
    <row r="1682">
      <c r="A1682" s="4" t="inlineStr">
        <is>
          <t>130</t>
        </is>
      </c>
      <c r="B1682" s="4" t="n">
        <v>1</v>
      </c>
      <c r="C1682" s="4" t="inlineStr">
        <is>
          <t>elk</t>
        </is>
      </c>
      <c r="D1682" s="4" t="n">
        <v>2016</v>
      </c>
      <c r="E1682" s="13" t="inlineStr">
        <is>
          <t>General</t>
        </is>
      </c>
      <c r="F1682" s="5" t="n">
        <v>1246</v>
      </c>
      <c r="G1682" s="5" t="n">
        <v>8624</v>
      </c>
      <c r="H1682" s="5" t="n">
        <v>28</v>
      </c>
      <c r="I1682" s="5" t="n">
        <v>28</v>
      </c>
      <c r="J1682" s="5" t="n">
        <v>0</v>
      </c>
      <c r="K1682" s="10">
        <f>IF(F1682&gt;0,H1682/F1682,"")</f>
        <v/>
      </c>
      <c r="L1682" s="16">
        <f>IF(AND(G1682&gt;0,H1682&gt;0),G1682/H1682,"")</f>
        <v/>
      </c>
    </row>
    <row r="1683">
      <c r="A1683" s="4" t="inlineStr">
        <is>
          <t>130</t>
        </is>
      </c>
      <c r="B1683" s="4" t="n">
        <v>1</v>
      </c>
      <c r="C1683" s="4" t="inlineStr">
        <is>
          <t>elk</t>
        </is>
      </c>
      <c r="D1683" s="4" t="n">
        <v>2017</v>
      </c>
      <c r="E1683" s="13" t="inlineStr">
        <is>
          <t>General</t>
        </is>
      </c>
      <c r="F1683" s="5" t="n"/>
      <c r="G1683" s="5" t="n"/>
      <c r="H1683" s="5" t="n">
        <v>60</v>
      </c>
      <c r="I1683" s="5" t="n">
        <v>55</v>
      </c>
      <c r="J1683" s="5" t="n">
        <v>5</v>
      </c>
      <c r="K1683" s="10">
        <f>IF(F1683&gt;0,H1683/F1683,"")</f>
        <v/>
      </c>
      <c r="L1683" s="16">
        <f>IF(AND(G1683&gt;0,H1683&gt;0),G1683/H1683,"")</f>
        <v/>
      </c>
    </row>
    <row r="1684">
      <c r="A1684" s="4" t="inlineStr">
        <is>
          <t>130</t>
        </is>
      </c>
      <c r="B1684" s="4" t="n">
        <v>1</v>
      </c>
      <c r="C1684" s="4" t="inlineStr">
        <is>
          <t>elk</t>
        </is>
      </c>
      <c r="D1684" s="4" t="n">
        <v>2018</v>
      </c>
      <c r="E1684" s="13" t="inlineStr">
        <is>
          <t>General</t>
        </is>
      </c>
      <c r="F1684" s="5" t="n">
        <v>1133</v>
      </c>
      <c r="G1684" s="5" t="n">
        <v>7692</v>
      </c>
      <c r="H1684" s="5" t="n">
        <v>52</v>
      </c>
      <c r="I1684" s="5" t="n">
        <v>44</v>
      </c>
      <c r="J1684" s="5" t="n">
        <v>8</v>
      </c>
      <c r="K1684" s="10">
        <f>IF(F1684&gt;0,H1684/F1684,"")</f>
        <v/>
      </c>
      <c r="L1684" s="16">
        <f>IF(AND(G1684&gt;0,H1684&gt;0),G1684/H1684,"")</f>
        <v/>
      </c>
    </row>
    <row r="1685">
      <c r="A1685" s="4" t="inlineStr">
        <is>
          <t>130</t>
        </is>
      </c>
      <c r="B1685" s="4" t="n">
        <v>1</v>
      </c>
      <c r="C1685" s="4" t="inlineStr">
        <is>
          <t>elk</t>
        </is>
      </c>
      <c r="D1685" s="4" t="n">
        <v>2019</v>
      </c>
      <c r="E1685" s="13" t="inlineStr">
        <is>
          <t>General</t>
        </is>
      </c>
      <c r="F1685" s="5" t="n"/>
      <c r="G1685" s="5" t="n"/>
      <c r="H1685" s="5" t="n">
        <v>35</v>
      </c>
      <c r="I1685" s="5" t="n">
        <v>33</v>
      </c>
      <c r="J1685" s="5" t="n">
        <v>2</v>
      </c>
      <c r="K1685" s="10">
        <f>IF(F1685&gt;0,H1685/F1685,"")</f>
        <v/>
      </c>
      <c r="L1685" s="16">
        <f>IF(AND(G1685&gt;0,H1685&gt;0),G1685/H1685,"")</f>
        <v/>
      </c>
    </row>
    <row r="1686">
      <c r="A1686" s="4" t="inlineStr">
        <is>
          <t>130</t>
        </is>
      </c>
      <c r="B1686" s="4" t="n">
        <v>1</v>
      </c>
      <c r="C1686" s="4" t="inlineStr">
        <is>
          <t>elk</t>
        </is>
      </c>
      <c r="D1686" s="4" t="n">
        <v>2020</v>
      </c>
      <c r="E1686" s="13" t="inlineStr">
        <is>
          <t>General</t>
        </is>
      </c>
      <c r="F1686" s="5" t="n">
        <v>1067</v>
      </c>
      <c r="G1686" s="5" t="n">
        <v>8273</v>
      </c>
      <c r="H1686" s="5" t="n">
        <v>26</v>
      </c>
      <c r="I1686" s="5" t="n">
        <v>21</v>
      </c>
      <c r="J1686" s="5" t="n">
        <v>5</v>
      </c>
      <c r="K1686" s="10">
        <f>IF(F1686&gt;0,H1686/F1686,"")</f>
        <v/>
      </c>
      <c r="L1686" s="16">
        <f>IF(AND(G1686&gt;0,H1686&gt;0),G1686/H1686,"")</f>
        <v/>
      </c>
    </row>
    <row r="1687">
      <c r="A1687" s="4" t="inlineStr">
        <is>
          <t>130</t>
        </is>
      </c>
      <c r="B1687" s="4" t="n">
        <v>1</v>
      </c>
      <c r="C1687" s="4" t="inlineStr">
        <is>
          <t>elk</t>
        </is>
      </c>
      <c r="D1687" s="4" t="n">
        <v>2021</v>
      </c>
      <c r="E1687" s="13" t="inlineStr">
        <is>
          <t>General</t>
        </is>
      </c>
      <c r="F1687" s="5" t="n"/>
      <c r="G1687" s="5" t="n"/>
      <c r="H1687" s="5" t="n">
        <v>40</v>
      </c>
      <c r="I1687" s="5" t="n">
        <v>34</v>
      </c>
      <c r="J1687" s="5" t="n">
        <v>7</v>
      </c>
      <c r="K1687" s="10">
        <f>IF(F1687&gt;0,H1687/F1687,"")</f>
        <v/>
      </c>
      <c r="L1687" s="16">
        <f>IF(AND(G1687&gt;0,H1687&gt;0),G1687/H1687,"")</f>
        <v/>
      </c>
    </row>
    <row r="1688">
      <c r="A1688" s="4" t="inlineStr">
        <is>
          <t>130</t>
        </is>
      </c>
      <c r="B1688" s="4" t="n">
        <v>1</v>
      </c>
      <c r="C1688" s="4" t="inlineStr">
        <is>
          <t>elk</t>
        </is>
      </c>
      <c r="D1688" s="4" t="n">
        <v>2022</v>
      </c>
      <c r="E1688" s="13" t="inlineStr">
        <is>
          <t>General</t>
        </is>
      </c>
      <c r="F1688" s="5" t="n">
        <v>887</v>
      </c>
      <c r="G1688" s="5" t="n">
        <v>6760</v>
      </c>
      <c r="H1688" s="5" t="n">
        <v>39</v>
      </c>
      <c r="I1688" s="5" t="n">
        <v>29</v>
      </c>
      <c r="J1688" s="5" t="n">
        <v>10</v>
      </c>
      <c r="K1688" s="10">
        <f>IF(F1688&gt;0,H1688/F1688,"")</f>
        <v/>
      </c>
      <c r="L1688" s="16">
        <f>IF(AND(G1688&gt;0,H1688&gt;0),G1688/H1688,"")</f>
        <v/>
      </c>
    </row>
    <row r="1689">
      <c r="A1689" s="4" t="inlineStr">
        <is>
          <t>130</t>
        </is>
      </c>
      <c r="B1689" s="4" t="n">
        <v>1</v>
      </c>
      <c r="C1689" s="4" t="inlineStr">
        <is>
          <t>elk</t>
        </is>
      </c>
      <c r="D1689" s="4" t="n">
        <v>2023</v>
      </c>
      <c r="E1689" s="13" t="inlineStr">
        <is>
          <t>General</t>
        </is>
      </c>
      <c r="F1689" s="5" t="n"/>
      <c r="G1689" s="5" t="n"/>
      <c r="H1689" s="5" t="n">
        <v>48</v>
      </c>
      <c r="I1689" s="5" t="n">
        <v>39</v>
      </c>
      <c r="J1689" s="5" t="n">
        <v>9</v>
      </c>
      <c r="K1689" s="10">
        <f>IF(F1689&gt;0,H1689/F1689,"")</f>
        <v/>
      </c>
      <c r="L1689" s="16">
        <f>IF(AND(G1689&gt;0,H1689&gt;0),G1689/H1689,"")</f>
        <v/>
      </c>
    </row>
    <row r="1690">
      <c r="A1690" s="4" t="inlineStr">
        <is>
          <t>130</t>
        </is>
      </c>
      <c r="B1690" s="4" t="n">
        <v>1</v>
      </c>
      <c r="C1690" s="4" t="inlineStr">
        <is>
          <t>elk</t>
        </is>
      </c>
      <c r="D1690" s="4" t="n">
        <v>2024</v>
      </c>
      <c r="E1690" s="13" t="inlineStr">
        <is>
          <t>General</t>
        </is>
      </c>
      <c r="F1690" s="5" t="n">
        <v>893</v>
      </c>
      <c r="G1690" s="5" t="n">
        <v>6425</v>
      </c>
      <c r="H1690" s="5" t="n">
        <v>33</v>
      </c>
      <c r="I1690" s="5" t="n">
        <v>33</v>
      </c>
      <c r="J1690" s="5" t="n">
        <v>0</v>
      </c>
      <c r="K1690" s="10">
        <f>IF(F1690&gt;0,H1690/F1690,"")</f>
        <v/>
      </c>
      <c r="L1690" s="16">
        <f>IF(AND(G1690&gt;0,H1690&gt;0),G1690/H1690,"")</f>
        <v/>
      </c>
    </row>
    <row r="1691">
      <c r="A1691" s="4" t="inlineStr">
        <is>
          <t>130</t>
        </is>
      </c>
      <c r="B1691" s="4" t="n">
        <v>1</v>
      </c>
      <c r="C1691" s="4" t="inlineStr">
        <is>
          <t>elk</t>
        </is>
      </c>
      <c r="D1691" s="4" t="n">
        <v>2025</v>
      </c>
      <c r="E1691" s="13" t="inlineStr">
        <is>
          <t>General</t>
        </is>
      </c>
      <c r="F1691" s="5" t="n"/>
      <c r="G1691" s="5" t="n"/>
      <c r="H1691" s="5" t="n">
        <v>44</v>
      </c>
      <c r="I1691" s="5" t="n">
        <v>33</v>
      </c>
      <c r="J1691" s="5" t="n">
        <v>11</v>
      </c>
      <c r="K1691" s="10">
        <f>IF(F1691&gt;0,H1691/F1691,"")</f>
        <v/>
      </c>
      <c r="L1691" s="16">
        <f>IF(AND(G1691&gt;0,H1691&gt;0),G1691/H1691,"")</f>
        <v/>
      </c>
    </row>
    <row r="1692">
      <c r="A1692" s="4" t="inlineStr">
        <is>
          <t>132</t>
        </is>
      </c>
      <c r="B1692" s="4" t="n">
        <v>1</v>
      </c>
      <c r="C1692" s="4" t="inlineStr">
        <is>
          <t>elk</t>
        </is>
      </c>
      <c r="D1692" s="4" t="n">
        <v>2004</v>
      </c>
      <c r="E1692" s="4" t="inlineStr"/>
      <c r="F1692" s="5" t="n">
        <v>559</v>
      </c>
      <c r="G1692" s="5" t="n">
        <v>3233</v>
      </c>
      <c r="H1692" s="5" t="n">
        <v>53</v>
      </c>
      <c r="I1692" s="5" t="n">
        <v>19</v>
      </c>
      <c r="J1692" s="5" t="n">
        <v>31</v>
      </c>
      <c r="K1692" s="10">
        <f>IF(F1692&gt;0,H1692/F1692,"")</f>
        <v/>
      </c>
      <c r="L1692" s="16">
        <f>IF(AND(G1692&gt;0,H1692&gt;0),G1692/H1692,"")</f>
        <v/>
      </c>
    </row>
    <row r="1693">
      <c r="A1693" s="4" t="inlineStr">
        <is>
          <t>132</t>
        </is>
      </c>
      <c r="B1693" s="4" t="n">
        <v>1</v>
      </c>
      <c r="C1693" s="4" t="inlineStr">
        <is>
          <t>elk</t>
        </is>
      </c>
      <c r="D1693" s="4" t="n">
        <v>2005</v>
      </c>
      <c r="E1693" s="4" t="inlineStr"/>
      <c r="F1693" s="5" t="n">
        <v>479</v>
      </c>
      <c r="G1693" s="5" t="n">
        <v>2869</v>
      </c>
      <c r="H1693" s="5" t="n">
        <v>56</v>
      </c>
      <c r="I1693" s="5" t="n">
        <v>24</v>
      </c>
      <c r="J1693" s="5" t="n">
        <v>32</v>
      </c>
      <c r="K1693" s="10">
        <f>IF(F1693&gt;0,H1693/F1693,"")</f>
        <v/>
      </c>
      <c r="L1693" s="16">
        <f>IF(AND(G1693&gt;0,H1693&gt;0),G1693/H1693,"")</f>
        <v/>
      </c>
    </row>
    <row r="1694">
      <c r="A1694" s="4" t="inlineStr">
        <is>
          <t>132</t>
        </is>
      </c>
      <c r="B1694" s="4" t="n">
        <v>1</v>
      </c>
      <c r="C1694" s="4" t="inlineStr">
        <is>
          <t>elk</t>
        </is>
      </c>
      <c r="D1694" s="4" t="n">
        <v>2006</v>
      </c>
      <c r="E1694" s="4" t="inlineStr"/>
      <c r="F1694" s="5" t="n">
        <v>406</v>
      </c>
      <c r="G1694" s="5" t="n">
        <v>2374</v>
      </c>
      <c r="H1694" s="5" t="n">
        <v>26</v>
      </c>
      <c r="I1694" s="5" t="n">
        <v>19</v>
      </c>
      <c r="J1694" s="5" t="n">
        <v>7</v>
      </c>
      <c r="K1694" s="10">
        <f>IF(F1694&gt;0,H1694/F1694,"")</f>
        <v/>
      </c>
      <c r="L1694" s="16">
        <f>IF(AND(G1694&gt;0,H1694&gt;0),G1694/H1694,"")</f>
        <v/>
      </c>
    </row>
    <row r="1695">
      <c r="A1695" s="4" t="inlineStr">
        <is>
          <t>132</t>
        </is>
      </c>
      <c r="B1695" s="4" t="n">
        <v>1</v>
      </c>
      <c r="C1695" s="4" t="inlineStr">
        <is>
          <t>elk</t>
        </is>
      </c>
      <c r="D1695" s="4" t="n">
        <v>2007</v>
      </c>
      <c r="E1695" s="4" t="inlineStr"/>
      <c r="F1695" s="5" t="n">
        <v>436</v>
      </c>
      <c r="G1695" s="5" t="n">
        <v>2880</v>
      </c>
      <c r="H1695" s="5" t="n">
        <v>14</v>
      </c>
      <c r="I1695" s="5" t="n">
        <v>10</v>
      </c>
      <c r="J1695" s="5" t="n">
        <v>0</v>
      </c>
      <c r="K1695" s="10">
        <f>IF(F1695&gt;0,H1695/F1695,"")</f>
        <v/>
      </c>
      <c r="L1695" s="16">
        <f>IF(AND(G1695&gt;0,H1695&gt;0),G1695/H1695,"")</f>
        <v/>
      </c>
    </row>
    <row r="1696">
      <c r="A1696" s="4" t="inlineStr">
        <is>
          <t>132</t>
        </is>
      </c>
      <c r="B1696" s="4" t="n">
        <v>1</v>
      </c>
      <c r="C1696" s="4" t="inlineStr">
        <is>
          <t>elk</t>
        </is>
      </c>
      <c r="D1696" s="4" t="n">
        <v>2008</v>
      </c>
      <c r="E1696" s="4" t="inlineStr"/>
      <c r="F1696" s="5" t="n">
        <v>380</v>
      </c>
      <c r="G1696" s="5" t="n">
        <v>3076</v>
      </c>
      <c r="H1696" s="5" t="n">
        <v>9</v>
      </c>
      <c r="I1696" s="5" t="n">
        <v>6</v>
      </c>
      <c r="J1696" s="5" t="n">
        <v>3</v>
      </c>
      <c r="K1696" s="10">
        <f>IF(F1696&gt;0,H1696/F1696,"")</f>
        <v/>
      </c>
      <c r="L1696" s="16">
        <f>IF(AND(G1696&gt;0,H1696&gt;0),G1696/H1696,"")</f>
        <v/>
      </c>
    </row>
    <row r="1697">
      <c r="A1697" s="4" t="inlineStr">
        <is>
          <t>132</t>
        </is>
      </c>
      <c r="B1697" s="4" t="n">
        <v>1</v>
      </c>
      <c r="C1697" s="4" t="inlineStr">
        <is>
          <t>elk</t>
        </is>
      </c>
      <c r="D1697" s="4" t="n">
        <v>2009</v>
      </c>
      <c r="E1697" s="4" t="inlineStr"/>
      <c r="F1697" s="5" t="n">
        <v>514</v>
      </c>
      <c r="G1697" s="5" t="n">
        <v>3667</v>
      </c>
      <c r="H1697" s="5" t="n">
        <v>21</v>
      </c>
      <c r="I1697" s="5" t="n">
        <v>9</v>
      </c>
      <c r="J1697" s="5" t="n">
        <v>12</v>
      </c>
      <c r="K1697" s="10">
        <f>IF(F1697&gt;0,H1697/F1697,"")</f>
        <v/>
      </c>
      <c r="L1697" s="16">
        <f>IF(AND(G1697&gt;0,H1697&gt;0),G1697/H1697,"")</f>
        <v/>
      </c>
    </row>
    <row r="1698">
      <c r="A1698" s="4" t="inlineStr">
        <is>
          <t>132</t>
        </is>
      </c>
      <c r="B1698" s="4" t="n">
        <v>1</v>
      </c>
      <c r="C1698" s="4" t="inlineStr">
        <is>
          <t>elk</t>
        </is>
      </c>
      <c r="D1698" s="4" t="n">
        <v>2010</v>
      </c>
      <c r="E1698" s="4" t="inlineStr"/>
      <c r="F1698" s="5" t="n">
        <v>522</v>
      </c>
      <c r="G1698" s="5" t="n">
        <v>3306</v>
      </c>
      <c r="H1698" s="5" t="n">
        <v>42</v>
      </c>
      <c r="I1698" s="5" t="n">
        <v>19</v>
      </c>
      <c r="J1698" s="5" t="n">
        <v>21</v>
      </c>
      <c r="K1698" s="10">
        <f>IF(F1698&gt;0,H1698/F1698,"")</f>
        <v/>
      </c>
      <c r="L1698" s="16">
        <f>IF(AND(G1698&gt;0,H1698&gt;0),G1698/H1698,"")</f>
        <v/>
      </c>
    </row>
    <row r="1699">
      <c r="A1699" s="4" t="inlineStr">
        <is>
          <t>132</t>
        </is>
      </c>
      <c r="B1699" s="4" t="n">
        <v>1</v>
      </c>
      <c r="C1699" s="4" t="inlineStr">
        <is>
          <t>elk</t>
        </is>
      </c>
      <c r="D1699" s="4" t="n">
        <v>2011</v>
      </c>
      <c r="E1699" s="4" t="inlineStr"/>
      <c r="F1699" s="5" t="n">
        <v>591</v>
      </c>
      <c r="G1699" s="5" t="n">
        <v>4590</v>
      </c>
      <c r="H1699" s="5" t="n">
        <v>40</v>
      </c>
      <c r="I1699" s="5" t="n">
        <v>20</v>
      </c>
      <c r="J1699" s="5" t="n">
        <v>21</v>
      </c>
      <c r="K1699" s="10">
        <f>IF(F1699&gt;0,H1699/F1699,"")</f>
        <v/>
      </c>
      <c r="L1699" s="16">
        <f>IF(AND(G1699&gt;0,H1699&gt;0),G1699/H1699,"")</f>
        <v/>
      </c>
    </row>
    <row r="1700">
      <c r="A1700" s="4" t="inlineStr">
        <is>
          <t>132</t>
        </is>
      </c>
      <c r="B1700" s="4" t="n">
        <v>1</v>
      </c>
      <c r="C1700" s="4" t="inlineStr">
        <is>
          <t>elk</t>
        </is>
      </c>
      <c r="D1700" s="4" t="n">
        <v>2012</v>
      </c>
      <c r="E1700" s="4" t="inlineStr"/>
      <c r="F1700" s="5" t="n">
        <v>527</v>
      </c>
      <c r="G1700" s="5" t="n">
        <v>3400</v>
      </c>
      <c r="H1700" s="5" t="n">
        <v>4</v>
      </c>
      <c r="I1700" s="5" t="n">
        <v>0</v>
      </c>
      <c r="J1700" s="5" t="n">
        <v>4</v>
      </c>
      <c r="K1700" s="10">
        <f>IF(F1700&gt;0,H1700/F1700,"")</f>
        <v/>
      </c>
      <c r="L1700" s="16">
        <f>IF(AND(G1700&gt;0,H1700&gt;0),G1700/H1700,"")</f>
        <v/>
      </c>
    </row>
    <row r="1701">
      <c r="A1701" s="4" t="inlineStr">
        <is>
          <t>132</t>
        </is>
      </c>
      <c r="B1701" s="4" t="n">
        <v>1</v>
      </c>
      <c r="C1701" s="4" t="inlineStr">
        <is>
          <t>elk</t>
        </is>
      </c>
      <c r="D1701" s="4" t="n">
        <v>2013</v>
      </c>
      <c r="E1701" s="4" t="inlineStr"/>
      <c r="F1701" s="5" t="n"/>
      <c r="G1701" s="5" t="n"/>
      <c r="H1701" s="5" t="n">
        <v>8</v>
      </c>
      <c r="I1701" s="5" t="n">
        <v>3</v>
      </c>
      <c r="J1701" s="5" t="n">
        <v>3</v>
      </c>
      <c r="K1701" s="10">
        <f>IF(F1701&gt;0,H1701/F1701,"")</f>
        <v/>
      </c>
      <c r="L1701" s="16">
        <f>IF(AND(G1701&gt;0,H1701&gt;0),G1701/H1701,"")</f>
        <v/>
      </c>
    </row>
    <row r="1702">
      <c r="A1702" s="4" t="inlineStr">
        <is>
          <t>132</t>
        </is>
      </c>
      <c r="B1702" s="4" t="n">
        <v>1</v>
      </c>
      <c r="C1702" s="4" t="inlineStr">
        <is>
          <t>elk</t>
        </is>
      </c>
      <c r="D1702" s="4" t="n">
        <v>2014</v>
      </c>
      <c r="E1702" s="4" t="inlineStr"/>
      <c r="F1702" s="5" t="n">
        <v>463</v>
      </c>
      <c r="G1702" s="5" t="n">
        <v>3284</v>
      </c>
      <c r="H1702" s="5" t="n">
        <v>25</v>
      </c>
      <c r="I1702" s="5" t="n">
        <v>17</v>
      </c>
      <c r="J1702" s="5" t="n">
        <v>9</v>
      </c>
      <c r="K1702" s="10">
        <f>IF(F1702&gt;0,H1702/F1702,"")</f>
        <v/>
      </c>
      <c r="L1702" s="16">
        <f>IF(AND(G1702&gt;0,H1702&gt;0),G1702/H1702,"")</f>
        <v/>
      </c>
    </row>
    <row r="1703">
      <c r="A1703" s="4" t="inlineStr">
        <is>
          <t>132</t>
        </is>
      </c>
      <c r="B1703" s="4" t="n">
        <v>1</v>
      </c>
      <c r="C1703" s="4" t="inlineStr">
        <is>
          <t>elk</t>
        </is>
      </c>
      <c r="D1703" s="4" t="n">
        <v>2015</v>
      </c>
      <c r="E1703" s="4" t="inlineStr"/>
      <c r="F1703" s="5" t="n">
        <v>399</v>
      </c>
      <c r="G1703" s="5" t="n">
        <v>3032</v>
      </c>
      <c r="H1703" s="5" t="n">
        <v>6</v>
      </c>
      <c r="I1703" s="5" t="n">
        <v>0</v>
      </c>
      <c r="J1703" s="5" t="n">
        <v>6</v>
      </c>
      <c r="K1703" s="10">
        <f>IF(F1703&gt;0,H1703/F1703,"")</f>
        <v/>
      </c>
      <c r="L1703" s="16">
        <f>IF(AND(G1703&gt;0,H1703&gt;0),G1703/H1703,"")</f>
        <v/>
      </c>
    </row>
    <row r="1704">
      <c r="A1704" s="4" t="inlineStr">
        <is>
          <t>132</t>
        </is>
      </c>
      <c r="B1704" s="4" t="n">
        <v>1</v>
      </c>
      <c r="C1704" s="4" t="inlineStr">
        <is>
          <t>elk</t>
        </is>
      </c>
      <c r="D1704" s="4" t="n">
        <v>2016</v>
      </c>
      <c r="E1704" s="4" t="inlineStr"/>
      <c r="F1704" s="5" t="n">
        <v>377</v>
      </c>
      <c r="G1704" s="5" t="n">
        <v>3101</v>
      </c>
      <c r="H1704" s="5" t="n">
        <v>19</v>
      </c>
      <c r="I1704" s="5" t="n">
        <v>16</v>
      </c>
      <c r="J1704" s="5" t="n">
        <v>3</v>
      </c>
      <c r="K1704" s="10">
        <f>IF(F1704&gt;0,H1704/F1704,"")</f>
        <v/>
      </c>
      <c r="L1704" s="16">
        <f>IF(AND(G1704&gt;0,H1704&gt;0),G1704/H1704,"")</f>
        <v/>
      </c>
    </row>
    <row r="1705">
      <c r="A1705" s="4" t="inlineStr">
        <is>
          <t>132</t>
        </is>
      </c>
      <c r="B1705" s="4" t="n">
        <v>1</v>
      </c>
      <c r="C1705" s="4" t="inlineStr">
        <is>
          <t>elk</t>
        </is>
      </c>
      <c r="D1705" s="4" t="n">
        <v>2017</v>
      </c>
      <c r="E1705" s="4" t="inlineStr"/>
      <c r="F1705" s="5" t="n"/>
      <c r="G1705" s="5" t="n"/>
      <c r="H1705" s="5" t="n">
        <v>20</v>
      </c>
      <c r="I1705" s="5" t="n">
        <v>11</v>
      </c>
      <c r="J1705" s="5" t="n">
        <v>9</v>
      </c>
      <c r="K1705" s="10">
        <f>IF(F1705&gt;0,H1705/F1705,"")</f>
        <v/>
      </c>
      <c r="L1705" s="16">
        <f>IF(AND(G1705&gt;0,H1705&gt;0),G1705/H1705,"")</f>
        <v/>
      </c>
    </row>
    <row r="1706">
      <c r="A1706" s="4" t="inlineStr">
        <is>
          <t>132</t>
        </is>
      </c>
      <c r="B1706" s="4" t="n">
        <v>1</v>
      </c>
      <c r="C1706" s="4" t="inlineStr">
        <is>
          <t>elk</t>
        </is>
      </c>
      <c r="D1706" s="4" t="n">
        <v>2018</v>
      </c>
      <c r="E1706" s="4" t="inlineStr"/>
      <c r="F1706" s="5" t="n">
        <v>300</v>
      </c>
      <c r="G1706" s="5" t="n">
        <v>2703</v>
      </c>
      <c r="H1706" s="5" t="n">
        <v>22</v>
      </c>
      <c r="I1706" s="5" t="n">
        <v>9</v>
      </c>
      <c r="J1706" s="5" t="n">
        <v>12</v>
      </c>
      <c r="K1706" s="10">
        <f>IF(F1706&gt;0,H1706/F1706,"")</f>
        <v/>
      </c>
      <c r="L1706" s="16">
        <f>IF(AND(G1706&gt;0,H1706&gt;0),G1706/H1706,"")</f>
        <v/>
      </c>
    </row>
    <row r="1707">
      <c r="A1707" s="4" t="inlineStr">
        <is>
          <t>132</t>
        </is>
      </c>
      <c r="B1707" s="4" t="n">
        <v>1</v>
      </c>
      <c r="C1707" s="4" t="inlineStr">
        <is>
          <t>elk</t>
        </is>
      </c>
      <c r="D1707" s="4" t="n">
        <v>2019</v>
      </c>
      <c r="E1707" s="4" t="inlineStr"/>
      <c r="F1707" s="5" t="n"/>
      <c r="G1707" s="5" t="n"/>
      <c r="H1707" s="5" t="n">
        <v>11</v>
      </c>
      <c r="I1707" s="5" t="n">
        <v>6</v>
      </c>
      <c r="J1707" s="5" t="n">
        <v>5</v>
      </c>
      <c r="K1707" s="10">
        <f>IF(F1707&gt;0,H1707/F1707,"")</f>
        <v/>
      </c>
      <c r="L1707" s="16">
        <f>IF(AND(G1707&gt;0,H1707&gt;0),G1707/H1707,"")</f>
        <v/>
      </c>
    </row>
    <row r="1708">
      <c r="A1708" s="4" t="inlineStr">
        <is>
          <t>140</t>
        </is>
      </c>
      <c r="B1708" s="4" t="n">
        <v>1</v>
      </c>
      <c r="C1708" s="4" t="inlineStr">
        <is>
          <t>elk</t>
        </is>
      </c>
      <c r="D1708" s="4" t="n">
        <v>2004</v>
      </c>
      <c r="E1708" s="13" t="inlineStr">
        <is>
          <t>General</t>
        </is>
      </c>
      <c r="F1708" s="5" t="n">
        <v>910</v>
      </c>
      <c r="G1708" s="5" t="n">
        <v>5636</v>
      </c>
      <c r="H1708" s="5" t="n">
        <v>93</v>
      </c>
      <c r="I1708" s="5" t="n">
        <v>74</v>
      </c>
      <c r="J1708" s="5" t="n">
        <v>16</v>
      </c>
      <c r="K1708" s="10">
        <f>IF(F1708&gt;0,H1708/F1708,"")</f>
        <v/>
      </c>
      <c r="L1708" s="16">
        <f>IF(AND(G1708&gt;0,H1708&gt;0),G1708/H1708,"")</f>
        <v/>
      </c>
    </row>
    <row r="1709">
      <c r="A1709" s="4" t="inlineStr">
        <is>
          <t>140</t>
        </is>
      </c>
      <c r="B1709" s="4" t="n">
        <v>1</v>
      </c>
      <c r="C1709" s="4" t="inlineStr">
        <is>
          <t>elk</t>
        </is>
      </c>
      <c r="D1709" s="4" t="n">
        <v>2005</v>
      </c>
      <c r="E1709" s="13" t="inlineStr">
        <is>
          <t>General</t>
        </is>
      </c>
      <c r="F1709" s="5" t="n">
        <v>794</v>
      </c>
      <c r="G1709" s="5" t="n">
        <v>4633</v>
      </c>
      <c r="H1709" s="5" t="n">
        <v>75</v>
      </c>
      <c r="I1709" s="5" t="n">
        <v>68</v>
      </c>
      <c r="J1709" s="5" t="n">
        <v>7</v>
      </c>
      <c r="K1709" s="10">
        <f>IF(F1709&gt;0,H1709/F1709,"")</f>
        <v/>
      </c>
      <c r="L1709" s="16">
        <f>IF(AND(G1709&gt;0,H1709&gt;0),G1709/H1709,"")</f>
        <v/>
      </c>
    </row>
    <row r="1710">
      <c r="A1710" s="4" t="inlineStr">
        <is>
          <t>140</t>
        </is>
      </c>
      <c r="B1710" s="4" t="n">
        <v>1</v>
      </c>
      <c r="C1710" s="4" t="inlineStr">
        <is>
          <t>elk</t>
        </is>
      </c>
      <c r="D1710" s="4" t="n">
        <v>2006</v>
      </c>
      <c r="E1710" s="13" t="inlineStr">
        <is>
          <t>General</t>
        </is>
      </c>
      <c r="F1710" s="5" t="n">
        <v>730</v>
      </c>
      <c r="G1710" s="5" t="n">
        <v>4700</v>
      </c>
      <c r="H1710" s="5" t="n">
        <v>99</v>
      </c>
      <c r="I1710" s="5" t="n">
        <v>96</v>
      </c>
      <c r="J1710" s="5" t="n">
        <v>4</v>
      </c>
      <c r="K1710" s="10">
        <f>IF(F1710&gt;0,H1710/F1710,"")</f>
        <v/>
      </c>
      <c r="L1710" s="16">
        <f>IF(AND(G1710&gt;0,H1710&gt;0),G1710/H1710,"")</f>
        <v/>
      </c>
    </row>
    <row r="1711">
      <c r="A1711" s="4" t="inlineStr">
        <is>
          <t>140</t>
        </is>
      </c>
      <c r="B1711" s="4" t="n">
        <v>1</v>
      </c>
      <c r="C1711" s="4" t="inlineStr">
        <is>
          <t>elk</t>
        </is>
      </c>
      <c r="D1711" s="4" t="n">
        <v>2007</v>
      </c>
      <c r="E1711" s="13" t="inlineStr">
        <is>
          <t>General</t>
        </is>
      </c>
      <c r="F1711" s="5" t="n">
        <v>686</v>
      </c>
      <c r="G1711" s="5" t="n">
        <v>5050</v>
      </c>
      <c r="H1711" s="5" t="n">
        <v>95</v>
      </c>
      <c r="I1711" s="5" t="n">
        <v>91</v>
      </c>
      <c r="J1711" s="5" t="n">
        <v>4</v>
      </c>
      <c r="K1711" s="10">
        <f>IF(F1711&gt;0,H1711/F1711,"")</f>
        <v/>
      </c>
      <c r="L1711" s="16">
        <f>IF(AND(G1711&gt;0,H1711&gt;0),G1711/H1711,"")</f>
        <v/>
      </c>
    </row>
    <row r="1712">
      <c r="A1712" s="4" t="inlineStr">
        <is>
          <t>140</t>
        </is>
      </c>
      <c r="B1712" s="4" t="n">
        <v>1</v>
      </c>
      <c r="C1712" s="4" t="inlineStr">
        <is>
          <t>elk</t>
        </is>
      </c>
      <c r="D1712" s="4" t="n">
        <v>2008</v>
      </c>
      <c r="E1712" s="13" t="inlineStr">
        <is>
          <t>General</t>
        </is>
      </c>
      <c r="F1712" s="5" t="n">
        <v>940</v>
      </c>
      <c r="G1712" s="5" t="n">
        <v>7045</v>
      </c>
      <c r="H1712" s="5" t="n">
        <v>67</v>
      </c>
      <c r="I1712" s="5" t="n">
        <v>56</v>
      </c>
      <c r="J1712" s="5" t="n">
        <v>12</v>
      </c>
      <c r="K1712" s="10">
        <f>IF(F1712&gt;0,H1712/F1712,"")</f>
        <v/>
      </c>
      <c r="L1712" s="16">
        <f>IF(AND(G1712&gt;0,H1712&gt;0),G1712/H1712,"")</f>
        <v/>
      </c>
    </row>
    <row r="1713">
      <c r="A1713" s="4" t="inlineStr">
        <is>
          <t>140</t>
        </is>
      </c>
      <c r="B1713" s="4" t="n">
        <v>1</v>
      </c>
      <c r="C1713" s="4" t="inlineStr">
        <is>
          <t>elk</t>
        </is>
      </c>
      <c r="D1713" s="4" t="n">
        <v>2009</v>
      </c>
      <c r="E1713" s="13" t="inlineStr">
        <is>
          <t>General</t>
        </is>
      </c>
      <c r="F1713" s="5" t="n">
        <v>970</v>
      </c>
      <c r="G1713" s="5" t="n">
        <v>7025</v>
      </c>
      <c r="H1713" s="5" t="n">
        <v>89</v>
      </c>
      <c r="I1713" s="5" t="n">
        <v>77</v>
      </c>
      <c r="J1713" s="5" t="n">
        <v>12</v>
      </c>
      <c r="K1713" s="10">
        <f>IF(F1713&gt;0,H1713/F1713,"")</f>
        <v/>
      </c>
      <c r="L1713" s="16">
        <f>IF(AND(G1713&gt;0,H1713&gt;0),G1713/H1713,"")</f>
        <v/>
      </c>
    </row>
    <row r="1714">
      <c r="A1714" s="4" t="inlineStr">
        <is>
          <t>140</t>
        </is>
      </c>
      <c r="B1714" s="4" t="n">
        <v>1</v>
      </c>
      <c r="C1714" s="4" t="inlineStr">
        <is>
          <t>elk</t>
        </is>
      </c>
      <c r="D1714" s="4" t="n">
        <v>2010</v>
      </c>
      <c r="E1714" s="13" t="inlineStr">
        <is>
          <t>General</t>
        </is>
      </c>
      <c r="F1714" s="5" t="n">
        <v>852</v>
      </c>
      <c r="G1714" s="5" t="n">
        <v>5508</v>
      </c>
      <c r="H1714" s="5" t="n">
        <v>121</v>
      </c>
      <c r="I1714" s="5" t="n">
        <v>105</v>
      </c>
      <c r="J1714" s="5" t="n">
        <v>16</v>
      </c>
      <c r="K1714" s="10">
        <f>IF(F1714&gt;0,H1714/F1714,"")</f>
        <v/>
      </c>
      <c r="L1714" s="16">
        <f>IF(AND(G1714&gt;0,H1714&gt;0),G1714/H1714,"")</f>
        <v/>
      </c>
    </row>
    <row r="1715">
      <c r="A1715" s="4" t="inlineStr">
        <is>
          <t>140</t>
        </is>
      </c>
      <c r="B1715" s="4" t="n">
        <v>1</v>
      </c>
      <c r="C1715" s="4" t="inlineStr">
        <is>
          <t>elk</t>
        </is>
      </c>
      <c r="D1715" s="4" t="n">
        <v>2011</v>
      </c>
      <c r="E1715" s="13" t="inlineStr">
        <is>
          <t>General</t>
        </is>
      </c>
      <c r="F1715" s="5" t="n">
        <v>919</v>
      </c>
      <c r="G1715" s="5" t="n">
        <v>6356</v>
      </c>
      <c r="H1715" s="5" t="n">
        <v>68</v>
      </c>
      <c r="I1715" s="5" t="n">
        <v>62</v>
      </c>
      <c r="J1715" s="5" t="n">
        <v>7</v>
      </c>
      <c r="K1715" s="10">
        <f>IF(F1715&gt;0,H1715/F1715,"")</f>
        <v/>
      </c>
      <c r="L1715" s="16">
        <f>IF(AND(G1715&gt;0,H1715&gt;0),G1715/H1715,"")</f>
        <v/>
      </c>
    </row>
    <row r="1716">
      <c r="A1716" s="4" t="inlineStr">
        <is>
          <t>140</t>
        </is>
      </c>
      <c r="B1716" s="4" t="n">
        <v>1</v>
      </c>
      <c r="C1716" s="4" t="inlineStr">
        <is>
          <t>elk</t>
        </is>
      </c>
      <c r="D1716" s="4" t="n">
        <v>2012</v>
      </c>
      <c r="E1716" s="13" t="inlineStr">
        <is>
          <t>General</t>
        </is>
      </c>
      <c r="F1716" s="5" t="n">
        <v>826</v>
      </c>
      <c r="G1716" s="5" t="n">
        <v>6035</v>
      </c>
      <c r="H1716" s="5" t="n">
        <v>31</v>
      </c>
      <c r="I1716" s="5" t="n">
        <v>25</v>
      </c>
      <c r="J1716" s="5" t="n">
        <v>6</v>
      </c>
      <c r="K1716" s="10">
        <f>IF(F1716&gt;0,H1716/F1716,"")</f>
        <v/>
      </c>
      <c r="L1716" s="16">
        <f>IF(AND(G1716&gt;0,H1716&gt;0),G1716/H1716,"")</f>
        <v/>
      </c>
    </row>
    <row r="1717">
      <c r="A1717" s="4" t="inlineStr">
        <is>
          <t>140</t>
        </is>
      </c>
      <c r="B1717" s="4" t="n">
        <v>1</v>
      </c>
      <c r="C1717" s="4" t="inlineStr">
        <is>
          <t>elk</t>
        </is>
      </c>
      <c r="D1717" s="4" t="n">
        <v>2013</v>
      </c>
      <c r="E1717" s="13" t="inlineStr">
        <is>
          <t>General</t>
        </is>
      </c>
      <c r="F1717" s="5" t="n"/>
      <c r="G1717" s="5" t="n"/>
      <c r="H1717" s="5" t="n">
        <v>26</v>
      </c>
      <c r="I1717" s="5" t="n">
        <v>20</v>
      </c>
      <c r="J1717" s="5" t="n">
        <v>7</v>
      </c>
      <c r="K1717" s="10">
        <f>IF(F1717&gt;0,H1717/F1717,"")</f>
        <v/>
      </c>
      <c r="L1717" s="16">
        <f>IF(AND(G1717&gt;0,H1717&gt;0),G1717/H1717,"")</f>
        <v/>
      </c>
    </row>
    <row r="1718">
      <c r="A1718" s="4" t="inlineStr">
        <is>
          <t>140</t>
        </is>
      </c>
      <c r="B1718" s="4" t="n">
        <v>1</v>
      </c>
      <c r="C1718" s="4" t="inlineStr">
        <is>
          <t>elk</t>
        </is>
      </c>
      <c r="D1718" s="4" t="n">
        <v>2014</v>
      </c>
      <c r="E1718" s="13" t="inlineStr">
        <is>
          <t>General</t>
        </is>
      </c>
      <c r="F1718" s="5" t="n">
        <v>652</v>
      </c>
      <c r="G1718" s="5" t="n">
        <v>3908</v>
      </c>
      <c r="H1718" s="5" t="n">
        <v>13</v>
      </c>
      <c r="I1718" s="5" t="n">
        <v>11</v>
      </c>
      <c r="J1718" s="5" t="n">
        <v>2</v>
      </c>
      <c r="K1718" s="10">
        <f>IF(F1718&gt;0,H1718/F1718,"")</f>
        <v/>
      </c>
      <c r="L1718" s="16">
        <f>IF(AND(G1718&gt;0,H1718&gt;0),G1718/H1718,"")</f>
        <v/>
      </c>
    </row>
    <row r="1719">
      <c r="A1719" s="4" t="inlineStr">
        <is>
          <t>140</t>
        </is>
      </c>
      <c r="B1719" s="4" t="n">
        <v>1</v>
      </c>
      <c r="C1719" s="4" t="inlineStr">
        <is>
          <t>elk</t>
        </is>
      </c>
      <c r="D1719" s="4" t="n">
        <v>2015</v>
      </c>
      <c r="E1719" s="13" t="inlineStr">
        <is>
          <t>General</t>
        </is>
      </c>
      <c r="F1719" s="5" t="n">
        <v>647</v>
      </c>
      <c r="G1719" s="5" t="n">
        <v>5449</v>
      </c>
      <c r="H1719" s="5" t="n">
        <v>37</v>
      </c>
      <c r="I1719" s="5" t="n">
        <v>23</v>
      </c>
      <c r="J1719" s="5" t="n">
        <v>14</v>
      </c>
      <c r="K1719" s="10">
        <f>IF(F1719&gt;0,H1719/F1719,"")</f>
        <v/>
      </c>
      <c r="L1719" s="16">
        <f>IF(AND(G1719&gt;0,H1719&gt;0),G1719/H1719,"")</f>
        <v/>
      </c>
    </row>
    <row r="1720">
      <c r="A1720" s="4" t="inlineStr">
        <is>
          <t>140</t>
        </is>
      </c>
      <c r="B1720" s="4" t="n">
        <v>1</v>
      </c>
      <c r="C1720" s="4" t="inlineStr">
        <is>
          <t>elk</t>
        </is>
      </c>
      <c r="D1720" s="4" t="n">
        <v>2016</v>
      </c>
      <c r="E1720" s="13" t="inlineStr">
        <is>
          <t>General</t>
        </is>
      </c>
      <c r="F1720" s="5" t="n">
        <v>600</v>
      </c>
      <c r="G1720" s="5" t="n">
        <v>5004</v>
      </c>
      <c r="H1720" s="5" t="n">
        <v>28</v>
      </c>
      <c r="I1720" s="5" t="n">
        <v>19</v>
      </c>
      <c r="J1720" s="5" t="n">
        <v>9</v>
      </c>
      <c r="K1720" s="10">
        <f>IF(F1720&gt;0,H1720/F1720,"")</f>
        <v/>
      </c>
      <c r="L1720" s="16">
        <f>IF(AND(G1720&gt;0,H1720&gt;0),G1720/H1720,"")</f>
        <v/>
      </c>
    </row>
    <row r="1721">
      <c r="A1721" s="4" t="inlineStr">
        <is>
          <t>140</t>
        </is>
      </c>
      <c r="B1721" s="4" t="n">
        <v>1</v>
      </c>
      <c r="C1721" s="4" t="inlineStr">
        <is>
          <t>elk</t>
        </is>
      </c>
      <c r="D1721" s="4" t="n">
        <v>2017</v>
      </c>
      <c r="E1721" s="13" t="inlineStr">
        <is>
          <t>General</t>
        </is>
      </c>
      <c r="F1721" s="5" t="n"/>
      <c r="G1721" s="5" t="n"/>
      <c r="H1721" s="5" t="n">
        <v>21</v>
      </c>
      <c r="I1721" s="5" t="n">
        <v>20</v>
      </c>
      <c r="J1721" s="5" t="n">
        <v>1</v>
      </c>
      <c r="K1721" s="10">
        <f>IF(F1721&gt;0,H1721/F1721,"")</f>
        <v/>
      </c>
      <c r="L1721" s="16">
        <f>IF(AND(G1721&gt;0,H1721&gt;0),G1721/H1721,"")</f>
        <v/>
      </c>
    </row>
    <row r="1722">
      <c r="A1722" s="4" t="inlineStr">
        <is>
          <t>140</t>
        </is>
      </c>
      <c r="B1722" s="4" t="n">
        <v>1</v>
      </c>
      <c r="C1722" s="4" t="inlineStr">
        <is>
          <t>elk</t>
        </is>
      </c>
      <c r="D1722" s="4" t="n">
        <v>2018</v>
      </c>
      <c r="E1722" s="13" t="inlineStr">
        <is>
          <t>General</t>
        </is>
      </c>
      <c r="F1722" s="5" t="n">
        <v>543</v>
      </c>
      <c r="G1722" s="5" t="n">
        <v>4363</v>
      </c>
      <c r="H1722" s="5" t="n">
        <v>39</v>
      </c>
      <c r="I1722" s="5" t="n">
        <v>34</v>
      </c>
      <c r="J1722" s="5" t="n">
        <v>4</v>
      </c>
      <c r="K1722" s="10">
        <f>IF(F1722&gt;0,H1722/F1722,"")</f>
        <v/>
      </c>
      <c r="L1722" s="16">
        <f>IF(AND(G1722&gt;0,H1722&gt;0),G1722/H1722,"")</f>
        <v/>
      </c>
    </row>
    <row r="1723">
      <c r="A1723" s="4" t="inlineStr">
        <is>
          <t>140</t>
        </is>
      </c>
      <c r="B1723" s="4" t="n">
        <v>1</v>
      </c>
      <c r="C1723" s="4" t="inlineStr">
        <is>
          <t>elk</t>
        </is>
      </c>
      <c r="D1723" s="4" t="n">
        <v>2019</v>
      </c>
      <c r="E1723" s="13" t="inlineStr">
        <is>
          <t>General</t>
        </is>
      </c>
      <c r="F1723" s="5" t="n"/>
      <c r="G1723" s="5" t="n"/>
      <c r="H1723" s="5" t="n">
        <v>24</v>
      </c>
      <c r="I1723" s="5" t="n">
        <v>24</v>
      </c>
      <c r="J1723" s="5" t="n">
        <v>0</v>
      </c>
      <c r="K1723" s="10">
        <f>IF(F1723&gt;0,H1723/F1723,"")</f>
        <v/>
      </c>
      <c r="L1723" s="16">
        <f>IF(AND(G1723&gt;0,H1723&gt;0),G1723/H1723,"")</f>
        <v/>
      </c>
    </row>
    <row r="1724">
      <c r="A1724" s="4" t="inlineStr">
        <is>
          <t>140</t>
        </is>
      </c>
      <c r="B1724" s="4" t="n">
        <v>1</v>
      </c>
      <c r="C1724" s="4" t="inlineStr">
        <is>
          <t>elk</t>
        </is>
      </c>
      <c r="D1724" s="4" t="n">
        <v>2020</v>
      </c>
      <c r="E1724" s="13" t="inlineStr">
        <is>
          <t>General</t>
        </is>
      </c>
      <c r="F1724" s="5" t="n">
        <v>522</v>
      </c>
      <c r="G1724" s="5" t="n">
        <v>3746</v>
      </c>
      <c r="H1724" s="5" t="n">
        <v>38</v>
      </c>
      <c r="I1724" s="5" t="n">
        <v>27</v>
      </c>
      <c r="J1724" s="5" t="n">
        <v>11</v>
      </c>
      <c r="K1724" s="10">
        <f>IF(F1724&gt;0,H1724/F1724,"")</f>
        <v/>
      </c>
      <c r="L1724" s="16">
        <f>IF(AND(G1724&gt;0,H1724&gt;0),G1724/H1724,"")</f>
        <v/>
      </c>
    </row>
    <row r="1725">
      <c r="A1725" s="4" t="inlineStr">
        <is>
          <t>140</t>
        </is>
      </c>
      <c r="B1725" s="4" t="n">
        <v>1</v>
      </c>
      <c r="C1725" s="4" t="inlineStr">
        <is>
          <t>elk</t>
        </is>
      </c>
      <c r="D1725" s="4" t="n">
        <v>2021</v>
      </c>
      <c r="E1725" s="13" t="inlineStr">
        <is>
          <t>General</t>
        </is>
      </c>
      <c r="F1725" s="5" t="n"/>
      <c r="G1725" s="5" t="n"/>
      <c r="H1725" s="5" t="n">
        <v>8</v>
      </c>
      <c r="I1725" s="5" t="n">
        <v>8</v>
      </c>
      <c r="J1725" s="5" t="n">
        <v>0</v>
      </c>
      <c r="K1725" s="10">
        <f>IF(F1725&gt;0,H1725/F1725,"")</f>
        <v/>
      </c>
      <c r="L1725" s="16">
        <f>IF(AND(G1725&gt;0,H1725&gt;0),G1725/H1725,"")</f>
        <v/>
      </c>
    </row>
    <row r="1726">
      <c r="A1726" s="4" t="inlineStr">
        <is>
          <t>140</t>
        </is>
      </c>
      <c r="B1726" s="4" t="n">
        <v>1</v>
      </c>
      <c r="C1726" s="4" t="inlineStr">
        <is>
          <t>elk</t>
        </is>
      </c>
      <c r="D1726" s="4" t="n">
        <v>2022</v>
      </c>
      <c r="E1726" s="13" t="inlineStr">
        <is>
          <t>General</t>
        </is>
      </c>
      <c r="F1726" s="5" t="n">
        <v>431</v>
      </c>
      <c r="G1726" s="5" t="n">
        <v>3275</v>
      </c>
      <c r="H1726" s="5" t="n">
        <v>19</v>
      </c>
      <c r="I1726" s="5" t="n">
        <v>16</v>
      </c>
      <c r="J1726" s="5" t="n">
        <v>3</v>
      </c>
      <c r="K1726" s="10">
        <f>IF(F1726&gt;0,H1726/F1726,"")</f>
        <v/>
      </c>
      <c r="L1726" s="16">
        <f>IF(AND(G1726&gt;0,H1726&gt;0),G1726/H1726,"")</f>
        <v/>
      </c>
    </row>
    <row r="1727">
      <c r="A1727" s="4" t="inlineStr">
        <is>
          <t>140</t>
        </is>
      </c>
      <c r="B1727" s="4" t="n">
        <v>1</v>
      </c>
      <c r="C1727" s="4" t="inlineStr">
        <is>
          <t>elk</t>
        </is>
      </c>
      <c r="D1727" s="4" t="n">
        <v>2023</v>
      </c>
      <c r="E1727" s="13" t="inlineStr">
        <is>
          <t>General</t>
        </is>
      </c>
      <c r="F1727" s="5" t="n"/>
      <c r="G1727" s="5" t="n"/>
      <c r="H1727" s="5" t="n">
        <v>24</v>
      </c>
      <c r="I1727" s="5" t="n">
        <v>18</v>
      </c>
      <c r="J1727" s="5" t="n">
        <v>6</v>
      </c>
      <c r="K1727" s="10">
        <f>IF(F1727&gt;0,H1727/F1727,"")</f>
        <v/>
      </c>
      <c r="L1727" s="16">
        <f>IF(AND(G1727&gt;0,H1727&gt;0),G1727/H1727,"")</f>
        <v/>
      </c>
    </row>
    <row r="1728">
      <c r="A1728" s="4" t="inlineStr">
        <is>
          <t>140</t>
        </is>
      </c>
      <c r="B1728" s="4" t="n">
        <v>1</v>
      </c>
      <c r="C1728" s="4" t="inlineStr">
        <is>
          <t>elk</t>
        </is>
      </c>
      <c r="D1728" s="4" t="n">
        <v>2024</v>
      </c>
      <c r="E1728" s="13" t="inlineStr">
        <is>
          <t>General</t>
        </is>
      </c>
      <c r="F1728" s="5" t="n">
        <v>438</v>
      </c>
      <c r="G1728" s="5" t="n">
        <v>4043</v>
      </c>
      <c r="H1728" s="5" t="n">
        <v>12</v>
      </c>
      <c r="I1728" s="5" t="n">
        <v>12</v>
      </c>
      <c r="J1728" s="5" t="n">
        <v>0</v>
      </c>
      <c r="K1728" s="10">
        <f>IF(F1728&gt;0,H1728/F1728,"")</f>
        <v/>
      </c>
      <c r="L1728" s="16">
        <f>IF(AND(G1728&gt;0,H1728&gt;0),G1728/H1728,"")</f>
        <v/>
      </c>
    </row>
    <row r="1729">
      <c r="A1729" s="4" t="inlineStr">
        <is>
          <t>140</t>
        </is>
      </c>
      <c r="B1729" s="4" t="n">
        <v>1</v>
      </c>
      <c r="C1729" s="4" t="inlineStr">
        <is>
          <t>elk</t>
        </is>
      </c>
      <c r="D1729" s="4" t="n">
        <v>2025</v>
      </c>
      <c r="E1729" s="13" t="inlineStr">
        <is>
          <t>General</t>
        </is>
      </c>
      <c r="F1729" s="5" t="n"/>
      <c r="G1729" s="5" t="n"/>
      <c r="H1729" s="5" t="n">
        <v>33</v>
      </c>
      <c r="I1729" s="5" t="n">
        <v>29</v>
      </c>
      <c r="J1729" s="5" t="n">
        <v>4</v>
      </c>
      <c r="K1729" s="10">
        <f>IF(F1729&gt;0,H1729/F1729,"")</f>
        <v/>
      </c>
      <c r="L1729" s="16">
        <f>IF(AND(G1729&gt;0,H1729&gt;0),G1729/H1729,"")</f>
        <v/>
      </c>
    </row>
    <row r="1730">
      <c r="A1730" s="4" t="inlineStr">
        <is>
          <t>141</t>
        </is>
      </c>
      <c r="B1730" s="4" t="n">
        <v>1</v>
      </c>
      <c r="C1730" s="4" t="inlineStr">
        <is>
          <t>elk</t>
        </is>
      </c>
      <c r="D1730" s="4" t="n">
        <v>2004</v>
      </c>
      <c r="E1730" s="13" t="inlineStr">
        <is>
          <t>General</t>
        </is>
      </c>
      <c r="F1730" s="5" t="n">
        <v>358</v>
      </c>
      <c r="G1730" s="5" t="n">
        <v>2154</v>
      </c>
      <c r="H1730" s="5" t="n">
        <v>43</v>
      </c>
      <c r="I1730" s="5" t="n">
        <v>37</v>
      </c>
      <c r="J1730" s="5" t="n">
        <v>6</v>
      </c>
      <c r="K1730" s="10">
        <f>IF(F1730&gt;0,H1730/F1730,"")</f>
        <v/>
      </c>
      <c r="L1730" s="16">
        <f>IF(AND(G1730&gt;0,H1730&gt;0),G1730/H1730,"")</f>
        <v/>
      </c>
    </row>
    <row r="1731">
      <c r="A1731" s="4" t="inlineStr">
        <is>
          <t>141</t>
        </is>
      </c>
      <c r="B1731" s="4" t="n">
        <v>1</v>
      </c>
      <c r="C1731" s="4" t="inlineStr">
        <is>
          <t>elk</t>
        </is>
      </c>
      <c r="D1731" s="4" t="n">
        <v>2005</v>
      </c>
      <c r="E1731" s="13" t="inlineStr">
        <is>
          <t>General</t>
        </is>
      </c>
      <c r="F1731" s="5" t="n">
        <v>357</v>
      </c>
      <c r="G1731" s="5" t="n">
        <v>2133</v>
      </c>
      <c r="H1731" s="5" t="n">
        <v>40</v>
      </c>
      <c r="I1731" s="5" t="n">
        <v>26</v>
      </c>
      <c r="J1731" s="5" t="n">
        <v>11</v>
      </c>
      <c r="K1731" s="10">
        <f>IF(F1731&gt;0,H1731/F1731,"")</f>
        <v/>
      </c>
      <c r="L1731" s="16">
        <f>IF(AND(G1731&gt;0,H1731&gt;0),G1731/H1731,"")</f>
        <v/>
      </c>
    </row>
    <row r="1732">
      <c r="A1732" s="4" t="inlineStr">
        <is>
          <t>141</t>
        </is>
      </c>
      <c r="B1732" s="4" t="n">
        <v>1</v>
      </c>
      <c r="C1732" s="4" t="inlineStr">
        <is>
          <t>elk</t>
        </is>
      </c>
      <c r="D1732" s="4" t="n">
        <v>2006</v>
      </c>
      <c r="E1732" s="13" t="inlineStr">
        <is>
          <t>General</t>
        </is>
      </c>
      <c r="F1732" s="5" t="n">
        <v>200</v>
      </c>
      <c r="G1732" s="5" t="n">
        <v>1522</v>
      </c>
      <c r="H1732" s="5" t="n">
        <v>34</v>
      </c>
      <c r="I1732" s="5" t="n">
        <v>20</v>
      </c>
      <c r="J1732" s="5" t="n">
        <v>12</v>
      </c>
      <c r="K1732" s="10">
        <f>IF(F1732&gt;0,H1732/F1732,"")</f>
        <v/>
      </c>
      <c r="L1732" s="16">
        <f>IF(AND(G1732&gt;0,H1732&gt;0),G1732/H1732,"")</f>
        <v/>
      </c>
    </row>
    <row r="1733">
      <c r="A1733" s="4" t="inlineStr">
        <is>
          <t>141</t>
        </is>
      </c>
      <c r="B1733" s="4" t="n">
        <v>1</v>
      </c>
      <c r="C1733" s="4" t="inlineStr">
        <is>
          <t>elk</t>
        </is>
      </c>
      <c r="D1733" s="4" t="n">
        <v>2007</v>
      </c>
      <c r="E1733" s="13" t="inlineStr">
        <is>
          <t>General</t>
        </is>
      </c>
      <c r="F1733" s="5" t="n">
        <v>292</v>
      </c>
      <c r="G1733" s="5" t="n">
        <v>1916</v>
      </c>
      <c r="H1733" s="5" t="n">
        <v>76</v>
      </c>
      <c r="I1733" s="5" t="n">
        <v>72</v>
      </c>
      <c r="J1733" s="5" t="n">
        <v>4</v>
      </c>
      <c r="K1733" s="10">
        <f>IF(F1733&gt;0,H1733/F1733,"")</f>
        <v/>
      </c>
      <c r="L1733" s="16">
        <f>IF(AND(G1733&gt;0,H1733&gt;0),G1733/H1733,"")</f>
        <v/>
      </c>
    </row>
    <row r="1734">
      <c r="A1734" s="4" t="inlineStr">
        <is>
          <t>141</t>
        </is>
      </c>
      <c r="B1734" s="4" t="n">
        <v>1</v>
      </c>
      <c r="C1734" s="4" t="inlineStr">
        <is>
          <t>elk</t>
        </is>
      </c>
      <c r="D1734" s="4" t="n">
        <v>2008</v>
      </c>
      <c r="E1734" s="13" t="inlineStr">
        <is>
          <t>General</t>
        </is>
      </c>
      <c r="F1734" s="5" t="n">
        <v>327</v>
      </c>
      <c r="G1734" s="5" t="n">
        <v>2848</v>
      </c>
      <c r="H1734" s="5" t="n">
        <v>24</v>
      </c>
      <c r="I1734" s="5" t="n">
        <v>18</v>
      </c>
      <c r="J1734" s="5" t="n">
        <v>4</v>
      </c>
      <c r="K1734" s="10">
        <f>IF(F1734&gt;0,H1734/F1734,"")</f>
        <v/>
      </c>
      <c r="L1734" s="16">
        <f>IF(AND(G1734&gt;0,H1734&gt;0),G1734/H1734,"")</f>
        <v/>
      </c>
    </row>
    <row r="1735">
      <c r="A1735" s="4" t="inlineStr">
        <is>
          <t>141</t>
        </is>
      </c>
      <c r="B1735" s="4" t="n">
        <v>1</v>
      </c>
      <c r="C1735" s="4" t="inlineStr">
        <is>
          <t>elk</t>
        </is>
      </c>
      <c r="D1735" s="4" t="n">
        <v>2009</v>
      </c>
      <c r="E1735" s="13" t="inlineStr">
        <is>
          <t>General</t>
        </is>
      </c>
      <c r="F1735" s="5" t="n">
        <v>300</v>
      </c>
      <c r="G1735" s="5" t="n">
        <v>2057</v>
      </c>
      <c r="H1735" s="5" t="n">
        <v>36</v>
      </c>
      <c r="I1735" s="5" t="n">
        <v>27</v>
      </c>
      <c r="J1735" s="5" t="n">
        <v>6</v>
      </c>
      <c r="K1735" s="10">
        <f>IF(F1735&gt;0,H1735/F1735,"")</f>
        <v/>
      </c>
      <c r="L1735" s="16">
        <f>IF(AND(G1735&gt;0,H1735&gt;0),G1735/H1735,"")</f>
        <v/>
      </c>
    </row>
    <row r="1736">
      <c r="A1736" s="4" t="inlineStr">
        <is>
          <t>141</t>
        </is>
      </c>
      <c r="B1736" s="4" t="n">
        <v>1</v>
      </c>
      <c r="C1736" s="4" t="inlineStr">
        <is>
          <t>elk</t>
        </is>
      </c>
      <c r="D1736" s="4" t="n">
        <v>2010</v>
      </c>
      <c r="E1736" s="13" t="inlineStr">
        <is>
          <t>General</t>
        </is>
      </c>
      <c r="F1736" s="5" t="n">
        <v>274</v>
      </c>
      <c r="G1736" s="5" t="n">
        <v>1957</v>
      </c>
      <c r="H1736" s="5" t="n">
        <v>36</v>
      </c>
      <c r="I1736" s="5" t="n">
        <v>25</v>
      </c>
      <c r="J1736" s="5" t="n">
        <v>11</v>
      </c>
      <c r="K1736" s="10">
        <f>IF(F1736&gt;0,H1736/F1736,"")</f>
        <v/>
      </c>
      <c r="L1736" s="16">
        <f>IF(AND(G1736&gt;0,H1736&gt;0),G1736/H1736,"")</f>
        <v/>
      </c>
    </row>
    <row r="1737">
      <c r="A1737" s="4" t="inlineStr">
        <is>
          <t>141</t>
        </is>
      </c>
      <c r="B1737" s="4" t="n">
        <v>1</v>
      </c>
      <c r="C1737" s="4" t="inlineStr">
        <is>
          <t>elk</t>
        </is>
      </c>
      <c r="D1737" s="4" t="n">
        <v>2011</v>
      </c>
      <c r="E1737" s="13" t="inlineStr">
        <is>
          <t>General</t>
        </is>
      </c>
      <c r="F1737" s="5" t="n">
        <v>199</v>
      </c>
      <c r="G1737" s="5" t="n">
        <v>1280</v>
      </c>
      <c r="H1737" s="5" t="n">
        <v>14</v>
      </c>
      <c r="I1737" s="5" t="n">
        <v>14</v>
      </c>
      <c r="J1737" s="5" t="n">
        <v>0</v>
      </c>
      <c r="K1737" s="10">
        <f>IF(F1737&gt;0,H1737/F1737,"")</f>
        <v/>
      </c>
      <c r="L1737" s="16">
        <f>IF(AND(G1737&gt;0,H1737&gt;0),G1737/H1737,"")</f>
        <v/>
      </c>
    </row>
    <row r="1738">
      <c r="A1738" s="4" t="inlineStr">
        <is>
          <t>141</t>
        </is>
      </c>
      <c r="B1738" s="4" t="n">
        <v>1</v>
      </c>
      <c r="C1738" s="4" t="inlineStr">
        <is>
          <t>elk</t>
        </is>
      </c>
      <c r="D1738" s="4" t="n">
        <v>2012</v>
      </c>
      <c r="E1738" s="13" t="inlineStr">
        <is>
          <t>General</t>
        </is>
      </c>
      <c r="F1738" s="5" t="n">
        <v>192</v>
      </c>
      <c r="G1738" s="5" t="n">
        <v>1418</v>
      </c>
      <c r="H1738" s="5" t="n">
        <v>17</v>
      </c>
      <c r="I1738" s="5" t="n">
        <v>14</v>
      </c>
      <c r="J1738" s="5" t="n">
        <v>3</v>
      </c>
      <c r="K1738" s="10">
        <f>IF(F1738&gt;0,H1738/F1738,"")</f>
        <v/>
      </c>
      <c r="L1738" s="16">
        <f>IF(AND(G1738&gt;0,H1738&gt;0),G1738/H1738,"")</f>
        <v/>
      </c>
    </row>
    <row r="1739">
      <c r="A1739" s="4" t="inlineStr">
        <is>
          <t>141</t>
        </is>
      </c>
      <c r="B1739" s="4" t="n">
        <v>1</v>
      </c>
      <c r="C1739" s="4" t="inlineStr">
        <is>
          <t>elk</t>
        </is>
      </c>
      <c r="D1739" s="4" t="n">
        <v>2013</v>
      </c>
      <c r="E1739" s="13" t="inlineStr">
        <is>
          <t>General</t>
        </is>
      </c>
      <c r="F1739" s="5" t="n"/>
      <c r="G1739" s="5" t="n"/>
      <c r="H1739" s="5" t="n">
        <v>14</v>
      </c>
      <c r="I1739" s="5" t="n">
        <v>14</v>
      </c>
      <c r="J1739" s="5" t="n">
        <v>0</v>
      </c>
      <c r="K1739" s="10">
        <f>IF(F1739&gt;0,H1739/F1739,"")</f>
        <v/>
      </c>
      <c r="L1739" s="16">
        <f>IF(AND(G1739&gt;0,H1739&gt;0),G1739/H1739,"")</f>
        <v/>
      </c>
    </row>
    <row r="1740">
      <c r="A1740" s="4" t="inlineStr">
        <is>
          <t>141</t>
        </is>
      </c>
      <c r="B1740" s="4" t="n">
        <v>1</v>
      </c>
      <c r="C1740" s="4" t="inlineStr">
        <is>
          <t>elk</t>
        </is>
      </c>
      <c r="D1740" s="4" t="n">
        <v>2014</v>
      </c>
      <c r="E1740" s="13" t="inlineStr">
        <is>
          <t>General</t>
        </is>
      </c>
      <c r="F1740" s="5" t="n">
        <v>175</v>
      </c>
      <c r="G1740" s="5" t="n">
        <v>1318</v>
      </c>
      <c r="H1740" s="5" t="n">
        <v>11</v>
      </c>
      <c r="I1740" s="5" t="n">
        <v>11</v>
      </c>
      <c r="J1740" s="5" t="n">
        <v>0</v>
      </c>
      <c r="K1740" s="10">
        <f>IF(F1740&gt;0,H1740/F1740,"")</f>
        <v/>
      </c>
      <c r="L1740" s="16">
        <f>IF(AND(G1740&gt;0,H1740&gt;0),G1740/H1740,"")</f>
        <v/>
      </c>
    </row>
    <row r="1741">
      <c r="A1741" s="4" t="inlineStr">
        <is>
          <t>141</t>
        </is>
      </c>
      <c r="B1741" s="4" t="n">
        <v>1</v>
      </c>
      <c r="C1741" s="4" t="inlineStr">
        <is>
          <t>elk</t>
        </is>
      </c>
      <c r="D1741" s="4" t="n">
        <v>2015</v>
      </c>
      <c r="E1741" s="13" t="inlineStr">
        <is>
          <t>General</t>
        </is>
      </c>
      <c r="F1741" s="5" t="n">
        <v>155</v>
      </c>
      <c r="G1741" s="5" t="n">
        <v>1237</v>
      </c>
      <c r="H1741" s="5" t="n">
        <v>9</v>
      </c>
      <c r="I1741" s="5" t="n">
        <v>9</v>
      </c>
      <c r="J1741" s="5" t="n">
        <v>0</v>
      </c>
      <c r="K1741" s="10">
        <f>IF(F1741&gt;0,H1741/F1741,"")</f>
        <v/>
      </c>
      <c r="L1741" s="16">
        <f>IF(AND(G1741&gt;0,H1741&gt;0),G1741/H1741,"")</f>
        <v/>
      </c>
    </row>
    <row r="1742">
      <c r="A1742" s="4" t="inlineStr">
        <is>
          <t>141</t>
        </is>
      </c>
      <c r="B1742" s="4" t="n">
        <v>1</v>
      </c>
      <c r="C1742" s="4" t="inlineStr">
        <is>
          <t>elk</t>
        </is>
      </c>
      <c r="D1742" s="4" t="n">
        <v>2016</v>
      </c>
      <c r="E1742" s="13" t="inlineStr">
        <is>
          <t>General</t>
        </is>
      </c>
      <c r="F1742" s="5" t="n">
        <v>137</v>
      </c>
      <c r="G1742" s="5" t="n">
        <v>913</v>
      </c>
      <c r="H1742" s="5" t="n">
        <v>10</v>
      </c>
      <c r="I1742" s="5" t="n">
        <v>10</v>
      </c>
      <c r="J1742" s="5" t="n">
        <v>0</v>
      </c>
      <c r="K1742" s="10">
        <f>IF(F1742&gt;0,H1742/F1742,"")</f>
        <v/>
      </c>
      <c r="L1742" s="16">
        <f>IF(AND(G1742&gt;0,H1742&gt;0),G1742/H1742,"")</f>
        <v/>
      </c>
    </row>
    <row r="1743">
      <c r="A1743" s="4" t="inlineStr">
        <is>
          <t>141</t>
        </is>
      </c>
      <c r="B1743" s="4" t="n">
        <v>1</v>
      </c>
      <c r="C1743" s="4" t="inlineStr">
        <is>
          <t>elk</t>
        </is>
      </c>
      <c r="D1743" s="4" t="n">
        <v>2017</v>
      </c>
      <c r="E1743" s="13" t="inlineStr">
        <is>
          <t>General</t>
        </is>
      </c>
      <c r="F1743" s="5" t="n"/>
      <c r="G1743" s="5" t="n"/>
      <c r="H1743" s="5" t="n">
        <v>12</v>
      </c>
      <c r="I1743" s="5" t="n">
        <v>12</v>
      </c>
      <c r="J1743" s="5" t="n">
        <v>0</v>
      </c>
      <c r="K1743" s="10">
        <f>IF(F1743&gt;0,H1743/F1743,"")</f>
        <v/>
      </c>
      <c r="L1743" s="16">
        <f>IF(AND(G1743&gt;0,H1743&gt;0),G1743/H1743,"")</f>
        <v/>
      </c>
    </row>
    <row r="1744">
      <c r="A1744" s="4" t="inlineStr">
        <is>
          <t>141</t>
        </is>
      </c>
      <c r="B1744" s="4" t="n">
        <v>1</v>
      </c>
      <c r="C1744" s="4" t="inlineStr">
        <is>
          <t>elk</t>
        </is>
      </c>
      <c r="D1744" s="4" t="n">
        <v>2018</v>
      </c>
      <c r="E1744" s="13" t="inlineStr">
        <is>
          <t>General</t>
        </is>
      </c>
      <c r="F1744" s="5" t="n">
        <v>119</v>
      </c>
      <c r="G1744" s="5" t="n">
        <v>827</v>
      </c>
      <c r="H1744" s="5" t="n">
        <v>3</v>
      </c>
      <c r="I1744" s="5" t="n">
        <v>3</v>
      </c>
      <c r="J1744" s="5" t="n">
        <v>0</v>
      </c>
      <c r="K1744" s="10">
        <f>IF(F1744&gt;0,H1744/F1744,"")</f>
        <v/>
      </c>
      <c r="L1744" s="16">
        <f>IF(AND(G1744&gt;0,H1744&gt;0),G1744/H1744,"")</f>
        <v/>
      </c>
    </row>
    <row r="1745">
      <c r="A1745" s="4" t="inlineStr">
        <is>
          <t>141</t>
        </is>
      </c>
      <c r="B1745" s="4" t="n">
        <v>1</v>
      </c>
      <c r="C1745" s="4" t="inlineStr">
        <is>
          <t>elk</t>
        </is>
      </c>
      <c r="D1745" s="4" t="n">
        <v>2019</v>
      </c>
      <c r="E1745" s="13" t="inlineStr">
        <is>
          <t>General</t>
        </is>
      </c>
      <c r="F1745" s="5" t="n"/>
      <c r="G1745" s="5" t="n"/>
      <c r="H1745" s="5" t="n">
        <v>21</v>
      </c>
      <c r="I1745" s="5" t="n">
        <v>21</v>
      </c>
      <c r="J1745" s="5" t="n">
        <v>0</v>
      </c>
      <c r="K1745" s="10">
        <f>IF(F1745&gt;0,H1745/F1745,"")</f>
        <v/>
      </c>
      <c r="L1745" s="16">
        <f>IF(AND(G1745&gt;0,H1745&gt;0),G1745/H1745,"")</f>
        <v/>
      </c>
    </row>
    <row r="1746">
      <c r="A1746" s="4" t="inlineStr">
        <is>
          <t>141</t>
        </is>
      </c>
      <c r="B1746" s="4" t="n">
        <v>1</v>
      </c>
      <c r="C1746" s="4" t="inlineStr">
        <is>
          <t>elk</t>
        </is>
      </c>
      <c r="D1746" s="4" t="n">
        <v>2020</v>
      </c>
      <c r="E1746" s="13" t="inlineStr">
        <is>
          <t>General</t>
        </is>
      </c>
      <c r="F1746" s="5" t="n">
        <v>89</v>
      </c>
      <c r="G1746" s="5" t="n">
        <v>1062</v>
      </c>
      <c r="H1746" s="5" t="n">
        <v>4</v>
      </c>
      <c r="I1746" s="5" t="n">
        <v>4</v>
      </c>
      <c r="J1746" s="5" t="n">
        <v>0</v>
      </c>
      <c r="K1746" s="10">
        <f>IF(F1746&gt;0,H1746/F1746,"")</f>
        <v/>
      </c>
      <c r="L1746" s="16">
        <f>IF(AND(G1746&gt;0,H1746&gt;0),G1746/H1746,"")</f>
        <v/>
      </c>
    </row>
    <row r="1747">
      <c r="A1747" s="4" t="inlineStr">
        <is>
          <t>141</t>
        </is>
      </c>
      <c r="B1747" s="4" t="n">
        <v>1</v>
      </c>
      <c r="C1747" s="4" t="inlineStr">
        <is>
          <t>elk</t>
        </is>
      </c>
      <c r="D1747" s="4" t="n">
        <v>2022</v>
      </c>
      <c r="E1747" s="13" t="inlineStr">
        <is>
          <t>General</t>
        </is>
      </c>
      <c r="F1747" s="5" t="n">
        <v>108</v>
      </c>
      <c r="G1747" s="5" t="n">
        <v>717</v>
      </c>
      <c r="H1747" s="5" t="n">
        <v>16</v>
      </c>
      <c r="I1747" s="5" t="n">
        <v>13</v>
      </c>
      <c r="J1747" s="5" t="n">
        <v>3</v>
      </c>
      <c r="K1747" s="10">
        <f>IF(F1747&gt;0,H1747/F1747,"")</f>
        <v/>
      </c>
      <c r="L1747" s="16">
        <f>IF(AND(G1747&gt;0,H1747&gt;0),G1747/H1747,"")</f>
        <v/>
      </c>
    </row>
    <row r="1748">
      <c r="A1748" s="4" t="inlineStr">
        <is>
          <t>141</t>
        </is>
      </c>
      <c r="B1748" s="4" t="n">
        <v>1</v>
      </c>
      <c r="C1748" s="4" t="inlineStr">
        <is>
          <t>elk</t>
        </is>
      </c>
      <c r="D1748" s="4" t="n">
        <v>2023</v>
      </c>
      <c r="E1748" s="13" t="inlineStr">
        <is>
          <t>General</t>
        </is>
      </c>
      <c r="F1748" s="5" t="n"/>
      <c r="G1748" s="5" t="n"/>
      <c r="H1748" s="5" t="n">
        <v>12</v>
      </c>
      <c r="I1748" s="5" t="n">
        <v>6</v>
      </c>
      <c r="J1748" s="5" t="n">
        <v>6</v>
      </c>
      <c r="K1748" s="10">
        <f>IF(F1748&gt;0,H1748/F1748,"")</f>
        <v/>
      </c>
      <c r="L1748" s="16">
        <f>IF(AND(G1748&gt;0,H1748&gt;0),G1748/H1748,"")</f>
        <v/>
      </c>
    </row>
    <row r="1749">
      <c r="A1749" s="4" t="inlineStr">
        <is>
          <t>141</t>
        </is>
      </c>
      <c r="B1749" s="4" t="n">
        <v>1</v>
      </c>
      <c r="C1749" s="4" t="inlineStr">
        <is>
          <t>elk</t>
        </is>
      </c>
      <c r="D1749" s="4" t="n">
        <v>2024</v>
      </c>
      <c r="E1749" s="13" t="inlineStr">
        <is>
          <t>General</t>
        </is>
      </c>
      <c r="F1749" s="5" t="n">
        <v>97</v>
      </c>
      <c r="G1749" s="5" t="n">
        <v>664</v>
      </c>
      <c r="H1749" s="5" t="n">
        <v>9</v>
      </c>
      <c r="I1749" s="5" t="n">
        <v>9</v>
      </c>
      <c r="J1749" s="5" t="n">
        <v>0</v>
      </c>
      <c r="K1749" s="10">
        <f>IF(F1749&gt;0,H1749/F1749,"")</f>
        <v/>
      </c>
      <c r="L1749" s="16">
        <f>IF(AND(G1749&gt;0,H1749&gt;0),G1749/H1749,"")</f>
        <v/>
      </c>
    </row>
    <row r="1750">
      <c r="A1750" s="4" t="inlineStr">
        <is>
          <t>141</t>
        </is>
      </c>
      <c r="B1750" s="4" t="n">
        <v>1</v>
      </c>
      <c r="C1750" s="4" t="inlineStr">
        <is>
          <t>elk</t>
        </is>
      </c>
      <c r="D1750" s="4" t="n">
        <v>2025</v>
      </c>
      <c r="E1750" s="13" t="inlineStr">
        <is>
          <t>General</t>
        </is>
      </c>
      <c r="F1750" s="5" t="n"/>
      <c r="G1750" s="5" t="n"/>
      <c r="H1750" s="5" t="n">
        <v>15</v>
      </c>
      <c r="I1750" s="5" t="n">
        <v>4</v>
      </c>
      <c r="J1750" s="5" t="n">
        <v>11</v>
      </c>
      <c r="K1750" s="10">
        <f>IF(F1750&gt;0,H1750/F1750,"")</f>
        <v/>
      </c>
      <c r="L1750" s="16">
        <f>IF(AND(G1750&gt;0,H1750&gt;0),G1750/H1750,"")</f>
        <v/>
      </c>
    </row>
    <row r="1751">
      <c r="A1751" s="4" t="inlineStr">
        <is>
          <t>150</t>
        </is>
      </c>
      <c r="B1751" s="4" t="n">
        <v>1</v>
      </c>
      <c r="C1751" s="4" t="inlineStr">
        <is>
          <t>elk</t>
        </is>
      </c>
      <c r="D1751" s="4" t="n">
        <v>2004</v>
      </c>
      <c r="E1751" s="13" t="inlineStr">
        <is>
          <t>General</t>
        </is>
      </c>
      <c r="F1751" s="5" t="n">
        <v>423</v>
      </c>
      <c r="G1751" s="5" t="n">
        <v>2937</v>
      </c>
      <c r="H1751" s="5" t="n">
        <v>102</v>
      </c>
      <c r="I1751" s="5" t="n">
        <v>99</v>
      </c>
      <c r="J1751" s="5" t="n">
        <v>3</v>
      </c>
      <c r="K1751" s="10">
        <f>IF(F1751&gt;0,H1751/F1751,"")</f>
        <v/>
      </c>
      <c r="L1751" s="16">
        <f>IF(AND(G1751&gt;0,H1751&gt;0),G1751/H1751,"")</f>
        <v/>
      </c>
    </row>
    <row r="1752">
      <c r="A1752" s="4" t="inlineStr">
        <is>
          <t>150</t>
        </is>
      </c>
      <c r="B1752" s="4" t="n">
        <v>1</v>
      </c>
      <c r="C1752" s="4" t="inlineStr">
        <is>
          <t>elk</t>
        </is>
      </c>
      <c r="D1752" s="4" t="n">
        <v>2005</v>
      </c>
      <c r="E1752" s="13" t="inlineStr">
        <is>
          <t>General</t>
        </is>
      </c>
      <c r="F1752" s="5" t="n">
        <v>756</v>
      </c>
      <c r="G1752" s="5" t="n">
        <v>5440</v>
      </c>
      <c r="H1752" s="5" t="n">
        <v>208</v>
      </c>
      <c r="I1752" s="5" t="n">
        <v>185</v>
      </c>
      <c r="J1752" s="5" t="n">
        <v>23</v>
      </c>
      <c r="K1752" s="10">
        <f>IF(F1752&gt;0,H1752/F1752,"")</f>
        <v/>
      </c>
      <c r="L1752" s="16">
        <f>IF(AND(G1752&gt;0,H1752&gt;0),G1752/H1752,"")</f>
        <v/>
      </c>
    </row>
    <row r="1753">
      <c r="A1753" s="4" t="inlineStr">
        <is>
          <t>150</t>
        </is>
      </c>
      <c r="B1753" s="4" t="n">
        <v>1</v>
      </c>
      <c r="C1753" s="4" t="inlineStr">
        <is>
          <t>elk</t>
        </is>
      </c>
      <c r="D1753" s="4" t="n">
        <v>2006</v>
      </c>
      <c r="E1753" s="13" t="inlineStr">
        <is>
          <t>General</t>
        </is>
      </c>
      <c r="F1753" s="5" t="n">
        <v>797</v>
      </c>
      <c r="G1753" s="5" t="n">
        <v>5821</v>
      </c>
      <c r="H1753" s="5" t="n">
        <v>252</v>
      </c>
      <c r="I1753" s="5" t="n">
        <v>240</v>
      </c>
      <c r="J1753" s="5" t="n">
        <v>11</v>
      </c>
      <c r="K1753" s="10">
        <f>IF(F1753&gt;0,H1753/F1753,"")</f>
        <v/>
      </c>
      <c r="L1753" s="16">
        <f>IF(AND(G1753&gt;0,H1753&gt;0),G1753/H1753,"")</f>
        <v/>
      </c>
    </row>
    <row r="1754">
      <c r="A1754" s="4" t="inlineStr">
        <is>
          <t>150</t>
        </is>
      </c>
      <c r="B1754" s="4" t="n">
        <v>1</v>
      </c>
      <c r="C1754" s="4" t="inlineStr">
        <is>
          <t>elk</t>
        </is>
      </c>
      <c r="D1754" s="4" t="n">
        <v>2007</v>
      </c>
      <c r="E1754" s="13" t="inlineStr">
        <is>
          <t>General</t>
        </is>
      </c>
      <c r="F1754" s="5" t="n">
        <v>545</v>
      </c>
      <c r="G1754" s="5" t="n">
        <v>4009</v>
      </c>
      <c r="H1754" s="5" t="n">
        <v>156</v>
      </c>
      <c r="I1754" s="5" t="n">
        <v>132</v>
      </c>
      <c r="J1754" s="5" t="n">
        <v>24</v>
      </c>
      <c r="K1754" s="10">
        <f>IF(F1754&gt;0,H1754/F1754,"")</f>
        <v/>
      </c>
      <c r="L1754" s="16">
        <f>IF(AND(G1754&gt;0,H1754&gt;0),G1754/H1754,"")</f>
        <v/>
      </c>
    </row>
    <row r="1755">
      <c r="A1755" s="4" t="inlineStr">
        <is>
          <t>150</t>
        </is>
      </c>
      <c r="B1755" s="4" t="n">
        <v>1</v>
      </c>
      <c r="C1755" s="4" t="inlineStr">
        <is>
          <t>elk</t>
        </is>
      </c>
      <c r="D1755" s="4" t="n">
        <v>2008</v>
      </c>
      <c r="E1755" s="13" t="inlineStr">
        <is>
          <t>General</t>
        </is>
      </c>
      <c r="F1755" s="5" t="n">
        <v>479</v>
      </c>
      <c r="G1755" s="5" t="n">
        <v>3268</v>
      </c>
      <c r="H1755" s="5" t="n">
        <v>133</v>
      </c>
      <c r="I1755" s="5" t="n">
        <v>126</v>
      </c>
      <c r="J1755" s="5" t="n">
        <v>8</v>
      </c>
      <c r="K1755" s="10">
        <f>IF(F1755&gt;0,H1755/F1755,"")</f>
        <v/>
      </c>
      <c r="L1755" s="16">
        <f>IF(AND(G1755&gt;0,H1755&gt;0),G1755/H1755,"")</f>
        <v/>
      </c>
    </row>
    <row r="1756">
      <c r="A1756" s="4" t="inlineStr">
        <is>
          <t>150</t>
        </is>
      </c>
      <c r="B1756" s="4" t="n">
        <v>1</v>
      </c>
      <c r="C1756" s="4" t="inlineStr">
        <is>
          <t>elk</t>
        </is>
      </c>
      <c r="D1756" s="4" t="n">
        <v>2009</v>
      </c>
      <c r="E1756" s="13" t="inlineStr">
        <is>
          <t>General</t>
        </is>
      </c>
      <c r="F1756" s="5" t="n">
        <v>368</v>
      </c>
      <c r="G1756" s="5" t="n">
        <v>2674</v>
      </c>
      <c r="H1756" s="5" t="n">
        <v>83</v>
      </c>
      <c r="I1756" s="5" t="n">
        <v>77</v>
      </c>
      <c r="J1756" s="5" t="n">
        <v>6</v>
      </c>
      <c r="K1756" s="10">
        <f>IF(F1756&gt;0,H1756/F1756,"")</f>
        <v/>
      </c>
      <c r="L1756" s="16">
        <f>IF(AND(G1756&gt;0,H1756&gt;0),G1756/H1756,"")</f>
        <v/>
      </c>
    </row>
    <row r="1757">
      <c r="A1757" s="4" t="inlineStr">
        <is>
          <t>150</t>
        </is>
      </c>
      <c r="B1757" s="4" t="n">
        <v>1</v>
      </c>
      <c r="C1757" s="4" t="inlineStr">
        <is>
          <t>elk</t>
        </is>
      </c>
      <c r="D1757" s="4" t="n">
        <v>2010</v>
      </c>
      <c r="E1757" s="13" t="inlineStr">
        <is>
          <t>General</t>
        </is>
      </c>
      <c r="F1757" s="5" t="n">
        <v>434</v>
      </c>
      <c r="G1757" s="5" t="n">
        <v>2829</v>
      </c>
      <c r="H1757" s="5" t="n">
        <v>78</v>
      </c>
      <c r="I1757" s="5" t="n">
        <v>78</v>
      </c>
      <c r="J1757" s="5" t="n">
        <v>0</v>
      </c>
      <c r="K1757" s="10">
        <f>IF(F1757&gt;0,H1757/F1757,"")</f>
        <v/>
      </c>
      <c r="L1757" s="16">
        <f>IF(AND(G1757&gt;0,H1757&gt;0),G1757/H1757,"")</f>
        <v/>
      </c>
    </row>
    <row r="1758">
      <c r="A1758" s="4" t="inlineStr">
        <is>
          <t>150</t>
        </is>
      </c>
      <c r="B1758" s="4" t="n">
        <v>1</v>
      </c>
      <c r="C1758" s="4" t="inlineStr">
        <is>
          <t>elk</t>
        </is>
      </c>
      <c r="D1758" s="4" t="n">
        <v>2011</v>
      </c>
      <c r="E1758" s="13" t="inlineStr">
        <is>
          <t>General</t>
        </is>
      </c>
      <c r="F1758" s="5" t="n">
        <v>519</v>
      </c>
      <c r="G1758" s="5" t="n">
        <v>3500</v>
      </c>
      <c r="H1758" s="5" t="n">
        <v>90</v>
      </c>
      <c r="I1758" s="5" t="n">
        <v>81</v>
      </c>
      <c r="J1758" s="5" t="n">
        <v>6</v>
      </c>
      <c r="K1758" s="10">
        <f>IF(F1758&gt;0,H1758/F1758,"")</f>
        <v/>
      </c>
      <c r="L1758" s="16">
        <f>IF(AND(G1758&gt;0,H1758&gt;0),G1758/H1758,"")</f>
        <v/>
      </c>
    </row>
    <row r="1759">
      <c r="A1759" s="4" t="inlineStr">
        <is>
          <t>150</t>
        </is>
      </c>
      <c r="B1759" s="4" t="n">
        <v>1</v>
      </c>
      <c r="C1759" s="4" t="inlineStr">
        <is>
          <t>elk</t>
        </is>
      </c>
      <c r="D1759" s="4" t="n">
        <v>2012</v>
      </c>
      <c r="E1759" s="13" t="inlineStr">
        <is>
          <t>General</t>
        </is>
      </c>
      <c r="F1759" s="5" t="n">
        <v>585</v>
      </c>
      <c r="G1759" s="5" t="n">
        <v>3823</v>
      </c>
      <c r="H1759" s="5" t="n">
        <v>117</v>
      </c>
      <c r="I1759" s="5" t="n">
        <v>105</v>
      </c>
      <c r="J1759" s="5" t="n">
        <v>8</v>
      </c>
      <c r="K1759" s="10">
        <f>IF(F1759&gt;0,H1759/F1759,"")</f>
        <v/>
      </c>
      <c r="L1759" s="16">
        <f>IF(AND(G1759&gt;0,H1759&gt;0),G1759/H1759,"")</f>
        <v/>
      </c>
    </row>
    <row r="1760">
      <c r="A1760" s="4" t="inlineStr">
        <is>
          <t>150</t>
        </is>
      </c>
      <c r="B1760" s="4" t="n">
        <v>1</v>
      </c>
      <c r="C1760" s="4" t="inlineStr">
        <is>
          <t>elk</t>
        </is>
      </c>
      <c r="D1760" s="4" t="n">
        <v>2013</v>
      </c>
      <c r="E1760" s="13" t="inlineStr">
        <is>
          <t>General</t>
        </is>
      </c>
      <c r="F1760" s="5" t="n"/>
      <c r="G1760" s="5" t="n"/>
      <c r="H1760" s="5" t="n">
        <v>103</v>
      </c>
      <c r="I1760" s="5" t="n">
        <v>95</v>
      </c>
      <c r="J1760" s="5" t="n">
        <v>8</v>
      </c>
      <c r="K1760" s="10">
        <f>IF(F1760&gt;0,H1760/F1760,"")</f>
        <v/>
      </c>
      <c r="L1760" s="16">
        <f>IF(AND(G1760&gt;0,H1760&gt;0),G1760/H1760,"")</f>
        <v/>
      </c>
    </row>
    <row r="1761">
      <c r="A1761" s="4" t="inlineStr">
        <is>
          <t>150</t>
        </is>
      </c>
      <c r="B1761" s="4" t="n">
        <v>1</v>
      </c>
      <c r="C1761" s="4" t="inlineStr">
        <is>
          <t>elk</t>
        </is>
      </c>
      <c r="D1761" s="4" t="n">
        <v>2014</v>
      </c>
      <c r="E1761" s="13" t="inlineStr">
        <is>
          <t>General</t>
        </is>
      </c>
      <c r="F1761" s="5" t="n">
        <v>377</v>
      </c>
      <c r="G1761" s="5" t="n">
        <v>2731</v>
      </c>
      <c r="H1761" s="5" t="n">
        <v>64</v>
      </c>
      <c r="I1761" s="5" t="n">
        <v>61</v>
      </c>
      <c r="J1761" s="5" t="n">
        <v>3</v>
      </c>
      <c r="K1761" s="10">
        <f>IF(F1761&gt;0,H1761/F1761,"")</f>
        <v/>
      </c>
      <c r="L1761" s="16">
        <f>IF(AND(G1761&gt;0,H1761&gt;0),G1761/H1761,"")</f>
        <v/>
      </c>
    </row>
    <row r="1762">
      <c r="A1762" s="4" t="inlineStr">
        <is>
          <t>150</t>
        </is>
      </c>
      <c r="B1762" s="4" t="n">
        <v>1</v>
      </c>
      <c r="C1762" s="4" t="inlineStr">
        <is>
          <t>elk</t>
        </is>
      </c>
      <c r="D1762" s="4" t="n">
        <v>2015</v>
      </c>
      <c r="E1762" s="13" t="inlineStr">
        <is>
          <t>General</t>
        </is>
      </c>
      <c r="F1762" s="5" t="n">
        <v>295</v>
      </c>
      <c r="G1762" s="5" t="n">
        <v>2166</v>
      </c>
      <c r="H1762" s="5" t="n">
        <v>61</v>
      </c>
      <c r="I1762" s="5" t="n">
        <v>58</v>
      </c>
      <c r="J1762" s="5" t="n">
        <v>3</v>
      </c>
      <c r="K1762" s="10">
        <f>IF(F1762&gt;0,H1762/F1762,"")</f>
        <v/>
      </c>
      <c r="L1762" s="16">
        <f>IF(AND(G1762&gt;0,H1762&gt;0),G1762/H1762,"")</f>
        <v/>
      </c>
    </row>
    <row r="1763">
      <c r="A1763" s="4" t="inlineStr">
        <is>
          <t>150</t>
        </is>
      </c>
      <c r="B1763" s="4" t="n">
        <v>1</v>
      </c>
      <c r="C1763" s="4" t="inlineStr">
        <is>
          <t>elk</t>
        </is>
      </c>
      <c r="D1763" s="4" t="n">
        <v>2016</v>
      </c>
      <c r="E1763" s="13" t="inlineStr">
        <is>
          <t>General</t>
        </is>
      </c>
      <c r="F1763" s="5" t="n">
        <v>470</v>
      </c>
      <c r="G1763" s="5" t="n">
        <v>3369</v>
      </c>
      <c r="H1763" s="5" t="n">
        <v>79</v>
      </c>
      <c r="I1763" s="5" t="n">
        <v>70</v>
      </c>
      <c r="J1763" s="5" t="n">
        <v>10</v>
      </c>
      <c r="K1763" s="10">
        <f>IF(F1763&gt;0,H1763/F1763,"")</f>
        <v/>
      </c>
      <c r="L1763" s="16">
        <f>IF(AND(G1763&gt;0,H1763&gt;0),G1763/H1763,"")</f>
        <v/>
      </c>
    </row>
    <row r="1764">
      <c r="A1764" s="4" t="inlineStr">
        <is>
          <t>150</t>
        </is>
      </c>
      <c r="B1764" s="4" t="n">
        <v>1</v>
      </c>
      <c r="C1764" s="4" t="inlineStr">
        <is>
          <t>elk</t>
        </is>
      </c>
      <c r="D1764" s="4" t="n">
        <v>2017</v>
      </c>
      <c r="E1764" s="13" t="inlineStr">
        <is>
          <t>General</t>
        </is>
      </c>
      <c r="F1764" s="5" t="n"/>
      <c r="G1764" s="5" t="n"/>
      <c r="H1764" s="5" t="n">
        <v>55</v>
      </c>
      <c r="I1764" s="5" t="n">
        <v>52</v>
      </c>
      <c r="J1764" s="5" t="n">
        <v>3</v>
      </c>
      <c r="K1764" s="10">
        <f>IF(F1764&gt;0,H1764/F1764,"")</f>
        <v/>
      </c>
      <c r="L1764" s="16">
        <f>IF(AND(G1764&gt;0,H1764&gt;0),G1764/H1764,"")</f>
        <v/>
      </c>
    </row>
    <row r="1765">
      <c r="A1765" s="4" t="inlineStr">
        <is>
          <t>150</t>
        </is>
      </c>
      <c r="B1765" s="4" t="n">
        <v>1</v>
      </c>
      <c r="C1765" s="4" t="inlineStr">
        <is>
          <t>elk</t>
        </is>
      </c>
      <c r="D1765" s="4" t="n">
        <v>2018</v>
      </c>
      <c r="E1765" s="13" t="inlineStr">
        <is>
          <t>General</t>
        </is>
      </c>
      <c r="F1765" s="5" t="n">
        <v>304</v>
      </c>
      <c r="G1765" s="5" t="n">
        <v>2310</v>
      </c>
      <c r="H1765" s="5" t="n">
        <v>49</v>
      </c>
      <c r="I1765" s="5" t="n">
        <v>49</v>
      </c>
      <c r="J1765" s="5" t="n">
        <v>0</v>
      </c>
      <c r="K1765" s="10">
        <f>IF(F1765&gt;0,H1765/F1765,"")</f>
        <v/>
      </c>
      <c r="L1765" s="16">
        <f>IF(AND(G1765&gt;0,H1765&gt;0),G1765/H1765,"")</f>
        <v/>
      </c>
    </row>
    <row r="1766">
      <c r="A1766" s="4" t="inlineStr">
        <is>
          <t>150</t>
        </is>
      </c>
      <c r="B1766" s="4" t="n">
        <v>1</v>
      </c>
      <c r="C1766" s="4" t="inlineStr">
        <is>
          <t>elk</t>
        </is>
      </c>
      <c r="D1766" s="4" t="n">
        <v>2019</v>
      </c>
      <c r="E1766" s="13" t="inlineStr">
        <is>
          <t>General</t>
        </is>
      </c>
      <c r="F1766" s="5" t="n"/>
      <c r="G1766" s="5" t="n"/>
      <c r="H1766" s="5" t="n">
        <v>52</v>
      </c>
      <c r="I1766" s="5" t="n">
        <v>49</v>
      </c>
      <c r="J1766" s="5" t="n">
        <v>3</v>
      </c>
      <c r="K1766" s="10">
        <f>IF(F1766&gt;0,H1766/F1766,"")</f>
        <v/>
      </c>
      <c r="L1766" s="16">
        <f>IF(AND(G1766&gt;0,H1766&gt;0),G1766/H1766,"")</f>
        <v/>
      </c>
    </row>
    <row r="1767">
      <c r="A1767" s="4" t="inlineStr">
        <is>
          <t>150</t>
        </is>
      </c>
      <c r="B1767" s="4" t="n">
        <v>1</v>
      </c>
      <c r="C1767" s="4" t="inlineStr">
        <is>
          <t>elk</t>
        </is>
      </c>
      <c r="D1767" s="4" t="n">
        <v>2020</v>
      </c>
      <c r="E1767" s="13" t="inlineStr">
        <is>
          <t>General</t>
        </is>
      </c>
      <c r="F1767" s="5" t="n">
        <v>371</v>
      </c>
      <c r="G1767" s="5" t="n">
        <v>2389</v>
      </c>
      <c r="H1767" s="5" t="n">
        <v>50</v>
      </c>
      <c r="I1767" s="5" t="n">
        <v>46</v>
      </c>
      <c r="J1767" s="5" t="n">
        <v>4</v>
      </c>
      <c r="K1767" s="10">
        <f>IF(F1767&gt;0,H1767/F1767,"")</f>
        <v/>
      </c>
      <c r="L1767" s="16">
        <f>IF(AND(G1767&gt;0,H1767&gt;0),G1767/H1767,"")</f>
        <v/>
      </c>
    </row>
    <row r="1768">
      <c r="A1768" s="4" t="inlineStr">
        <is>
          <t>150</t>
        </is>
      </c>
      <c r="B1768" s="4" t="n">
        <v>1</v>
      </c>
      <c r="C1768" s="4" t="inlineStr">
        <is>
          <t>elk</t>
        </is>
      </c>
      <c r="D1768" s="4" t="n">
        <v>2021</v>
      </c>
      <c r="E1768" s="13" t="inlineStr">
        <is>
          <t>General</t>
        </is>
      </c>
      <c r="F1768" s="5" t="n"/>
      <c r="G1768" s="5" t="n"/>
      <c r="H1768" s="5" t="n">
        <v>41</v>
      </c>
      <c r="I1768" s="5" t="n">
        <v>41</v>
      </c>
      <c r="J1768" s="5" t="n">
        <v>0</v>
      </c>
      <c r="K1768" s="10">
        <f>IF(F1768&gt;0,H1768/F1768,"")</f>
        <v/>
      </c>
      <c r="L1768" s="16">
        <f>IF(AND(G1768&gt;0,H1768&gt;0),G1768/H1768,"")</f>
        <v/>
      </c>
    </row>
    <row r="1769">
      <c r="A1769" s="4" t="inlineStr">
        <is>
          <t>150</t>
        </is>
      </c>
      <c r="B1769" s="4" t="n">
        <v>1</v>
      </c>
      <c r="C1769" s="4" t="inlineStr">
        <is>
          <t>elk</t>
        </is>
      </c>
      <c r="D1769" s="4" t="n">
        <v>2022</v>
      </c>
      <c r="E1769" s="13" t="inlineStr">
        <is>
          <t>General</t>
        </is>
      </c>
      <c r="F1769" s="5" t="n">
        <v>371</v>
      </c>
      <c r="G1769" s="5" t="n">
        <v>2673</v>
      </c>
      <c r="H1769" s="5" t="n">
        <v>67</v>
      </c>
      <c r="I1769" s="5" t="n">
        <v>67</v>
      </c>
      <c r="J1769" s="5" t="n">
        <v>0</v>
      </c>
      <c r="K1769" s="10">
        <f>IF(F1769&gt;0,H1769/F1769,"")</f>
        <v/>
      </c>
      <c r="L1769" s="16">
        <f>IF(AND(G1769&gt;0,H1769&gt;0),G1769/H1769,"")</f>
        <v/>
      </c>
    </row>
    <row r="1770">
      <c r="A1770" s="4" t="inlineStr">
        <is>
          <t>150</t>
        </is>
      </c>
      <c r="B1770" s="4" t="n">
        <v>1</v>
      </c>
      <c r="C1770" s="4" t="inlineStr">
        <is>
          <t>elk</t>
        </is>
      </c>
      <c r="D1770" s="4" t="n">
        <v>2023</v>
      </c>
      <c r="E1770" s="13" t="inlineStr">
        <is>
          <t>General</t>
        </is>
      </c>
      <c r="F1770" s="5" t="n"/>
      <c r="G1770" s="5" t="n"/>
      <c r="H1770" s="5" t="n">
        <v>49</v>
      </c>
      <c r="I1770" s="5" t="n">
        <v>49</v>
      </c>
      <c r="J1770" s="5" t="n">
        <v>0</v>
      </c>
      <c r="K1770" s="10">
        <f>IF(F1770&gt;0,H1770/F1770,"")</f>
        <v/>
      </c>
      <c r="L1770" s="16">
        <f>IF(AND(G1770&gt;0,H1770&gt;0),G1770/H1770,"")</f>
        <v/>
      </c>
    </row>
    <row r="1771">
      <c r="A1771" s="4" t="inlineStr">
        <is>
          <t>150</t>
        </is>
      </c>
      <c r="B1771" s="4" t="n">
        <v>1</v>
      </c>
      <c r="C1771" s="4" t="inlineStr">
        <is>
          <t>elk</t>
        </is>
      </c>
      <c r="D1771" s="4" t="n">
        <v>2024</v>
      </c>
      <c r="E1771" s="13" t="inlineStr">
        <is>
          <t>General</t>
        </is>
      </c>
      <c r="F1771" s="5" t="n">
        <v>382</v>
      </c>
      <c r="G1771" s="5" t="n">
        <v>2989</v>
      </c>
      <c r="H1771" s="5" t="n">
        <v>102</v>
      </c>
      <c r="I1771" s="5" t="n">
        <v>97</v>
      </c>
      <c r="J1771" s="5" t="n">
        <v>6</v>
      </c>
      <c r="K1771" s="10">
        <f>IF(F1771&gt;0,H1771/F1771,"")</f>
        <v/>
      </c>
      <c r="L1771" s="16">
        <f>IF(AND(G1771&gt;0,H1771&gt;0),G1771/H1771,"")</f>
        <v/>
      </c>
    </row>
    <row r="1772">
      <c r="A1772" s="4" t="inlineStr">
        <is>
          <t>150</t>
        </is>
      </c>
      <c r="B1772" s="4" t="n">
        <v>1</v>
      </c>
      <c r="C1772" s="4" t="inlineStr">
        <is>
          <t>elk</t>
        </is>
      </c>
      <c r="D1772" s="4" t="n">
        <v>2025</v>
      </c>
      <c r="E1772" s="13" t="inlineStr">
        <is>
          <t>General</t>
        </is>
      </c>
      <c r="F1772" s="5" t="n"/>
      <c r="G1772" s="5" t="n"/>
      <c r="H1772" s="5" t="n">
        <v>47</v>
      </c>
      <c r="I1772" s="5" t="n">
        <v>47</v>
      </c>
      <c r="J1772" s="5" t="n">
        <v>0</v>
      </c>
      <c r="K1772" s="10">
        <f>IF(F1772&gt;0,H1772/F1772,"")</f>
        <v/>
      </c>
      <c r="L1772" s="16">
        <f>IF(AND(G1772&gt;0,H1772&gt;0),G1772/H1772,"")</f>
        <v/>
      </c>
    </row>
    <row r="1773">
      <c r="A1773" s="4" t="inlineStr">
        <is>
          <t>151</t>
        </is>
      </c>
      <c r="B1773" s="4" t="n">
        <v>1</v>
      </c>
      <c r="C1773" s="4" t="inlineStr">
        <is>
          <t>elk</t>
        </is>
      </c>
      <c r="D1773" s="4" t="n">
        <v>2004</v>
      </c>
      <c r="E1773" s="4" t="inlineStr"/>
      <c r="F1773" s="5" t="n">
        <v>143</v>
      </c>
      <c r="G1773" s="5" t="n">
        <v>848</v>
      </c>
      <c r="H1773" s="5" t="n">
        <v>44</v>
      </c>
      <c r="I1773" s="5" t="n">
        <v>44</v>
      </c>
      <c r="J1773" s="5" t="n">
        <v>0</v>
      </c>
      <c r="K1773" s="10">
        <f>IF(F1773&gt;0,H1773/F1773,"")</f>
        <v/>
      </c>
      <c r="L1773" s="16">
        <f>IF(AND(G1773&gt;0,H1773&gt;0),G1773/H1773,"")</f>
        <v/>
      </c>
    </row>
    <row r="1774">
      <c r="A1774" s="4" t="inlineStr">
        <is>
          <t>151</t>
        </is>
      </c>
      <c r="B1774" s="4" t="n">
        <v>1</v>
      </c>
      <c r="C1774" s="4" t="inlineStr">
        <is>
          <t>elk</t>
        </is>
      </c>
      <c r="D1774" s="4" t="n">
        <v>2005</v>
      </c>
      <c r="E1774" s="4" t="inlineStr"/>
      <c r="F1774" s="5" t="n">
        <v>80</v>
      </c>
      <c r="G1774" s="5" t="n">
        <v>555</v>
      </c>
      <c r="H1774" s="5" t="n">
        <v>21</v>
      </c>
      <c r="I1774" s="5" t="n">
        <v>21</v>
      </c>
      <c r="J1774" s="5" t="n">
        <v>0</v>
      </c>
      <c r="K1774" s="10">
        <f>IF(F1774&gt;0,H1774/F1774,"")</f>
        <v/>
      </c>
      <c r="L1774" s="16">
        <f>IF(AND(G1774&gt;0,H1774&gt;0),G1774/H1774,"")</f>
        <v/>
      </c>
    </row>
    <row r="1775">
      <c r="A1775" s="4" t="inlineStr">
        <is>
          <t>151</t>
        </is>
      </c>
      <c r="B1775" s="4" t="n">
        <v>1</v>
      </c>
      <c r="C1775" s="4" t="inlineStr">
        <is>
          <t>elk</t>
        </is>
      </c>
      <c r="D1775" s="4" t="n">
        <v>2006</v>
      </c>
      <c r="E1775" s="4" t="inlineStr"/>
      <c r="F1775" s="5" t="n">
        <v>119</v>
      </c>
      <c r="G1775" s="5" t="n">
        <v>665</v>
      </c>
      <c r="H1775" s="5" t="n">
        <v>19</v>
      </c>
      <c r="I1775" s="5" t="n">
        <v>19</v>
      </c>
      <c r="J1775" s="5" t="n">
        <v>0</v>
      </c>
      <c r="K1775" s="10">
        <f>IF(F1775&gt;0,H1775/F1775,"")</f>
        <v/>
      </c>
      <c r="L1775" s="16">
        <f>IF(AND(G1775&gt;0,H1775&gt;0),G1775/H1775,"")</f>
        <v/>
      </c>
    </row>
    <row r="1776">
      <c r="A1776" s="4" t="inlineStr">
        <is>
          <t>151</t>
        </is>
      </c>
      <c r="B1776" s="4" t="n">
        <v>1</v>
      </c>
      <c r="C1776" s="4" t="inlineStr">
        <is>
          <t>elk</t>
        </is>
      </c>
      <c r="D1776" s="4" t="n">
        <v>2007</v>
      </c>
      <c r="E1776" s="4" t="inlineStr"/>
      <c r="F1776" s="5" t="n">
        <v>66</v>
      </c>
      <c r="G1776" s="5" t="n">
        <v>439</v>
      </c>
      <c r="H1776" s="5" t="n">
        <v>20</v>
      </c>
      <c r="I1776" s="5" t="n">
        <v>13</v>
      </c>
      <c r="J1776" s="5" t="n">
        <v>3</v>
      </c>
      <c r="K1776" s="10">
        <f>IF(F1776&gt;0,H1776/F1776,"")</f>
        <v/>
      </c>
      <c r="L1776" s="16">
        <f>IF(AND(G1776&gt;0,H1776&gt;0),G1776/H1776,"")</f>
        <v/>
      </c>
    </row>
    <row r="1777">
      <c r="A1777" s="4" t="inlineStr">
        <is>
          <t>151</t>
        </is>
      </c>
      <c r="B1777" s="4" t="n">
        <v>1</v>
      </c>
      <c r="C1777" s="4" t="inlineStr">
        <is>
          <t>elk</t>
        </is>
      </c>
      <c r="D1777" s="4" t="n">
        <v>2008</v>
      </c>
      <c r="E1777" s="4" t="inlineStr"/>
      <c r="F1777" s="5" t="n">
        <v>149</v>
      </c>
      <c r="G1777" s="5" t="n">
        <v>1099</v>
      </c>
      <c r="H1777" s="5" t="n">
        <v>30</v>
      </c>
      <c r="I1777" s="5" t="n">
        <v>30</v>
      </c>
      <c r="J1777" s="5" t="n">
        <v>0</v>
      </c>
      <c r="K1777" s="10">
        <f>IF(F1777&gt;0,H1777/F1777,"")</f>
        <v/>
      </c>
      <c r="L1777" s="16">
        <f>IF(AND(G1777&gt;0,H1777&gt;0),G1777/H1777,"")</f>
        <v/>
      </c>
    </row>
    <row r="1778">
      <c r="A1778" s="4" t="inlineStr">
        <is>
          <t>151</t>
        </is>
      </c>
      <c r="B1778" s="4" t="n">
        <v>1</v>
      </c>
      <c r="C1778" s="4" t="inlineStr">
        <is>
          <t>elk</t>
        </is>
      </c>
      <c r="D1778" s="4" t="n">
        <v>2009</v>
      </c>
      <c r="E1778" s="4" t="inlineStr"/>
      <c r="F1778" s="5" t="n">
        <v>178</v>
      </c>
      <c r="G1778" s="5" t="n">
        <v>1229</v>
      </c>
      <c r="H1778" s="5" t="n">
        <v>42</v>
      </c>
      <c r="I1778" s="5" t="n">
        <v>39</v>
      </c>
      <c r="J1778" s="5" t="n">
        <v>3</v>
      </c>
      <c r="K1778" s="10">
        <f>IF(F1778&gt;0,H1778/F1778,"")</f>
        <v/>
      </c>
      <c r="L1778" s="16">
        <f>IF(AND(G1778&gt;0,H1778&gt;0),G1778/H1778,"")</f>
        <v/>
      </c>
    </row>
    <row r="1779">
      <c r="A1779" s="4" t="inlineStr">
        <is>
          <t>151</t>
        </is>
      </c>
      <c r="B1779" s="4" t="n">
        <v>1</v>
      </c>
      <c r="C1779" s="4" t="inlineStr">
        <is>
          <t>elk</t>
        </is>
      </c>
      <c r="D1779" s="4" t="n">
        <v>2010</v>
      </c>
      <c r="E1779" s="4" t="inlineStr"/>
      <c r="F1779" s="5" t="n">
        <v>144</v>
      </c>
      <c r="G1779" s="5" t="n">
        <v>1030</v>
      </c>
      <c r="H1779" s="5" t="n">
        <v>28</v>
      </c>
      <c r="I1779" s="5" t="n">
        <v>28</v>
      </c>
      <c r="J1779" s="5" t="n">
        <v>0</v>
      </c>
      <c r="K1779" s="10">
        <f>IF(F1779&gt;0,H1779/F1779,"")</f>
        <v/>
      </c>
      <c r="L1779" s="16">
        <f>IF(AND(G1779&gt;0,H1779&gt;0),G1779/H1779,"")</f>
        <v/>
      </c>
    </row>
    <row r="1780">
      <c r="A1780" s="4" t="inlineStr">
        <is>
          <t>151</t>
        </is>
      </c>
      <c r="B1780" s="4" t="n">
        <v>1</v>
      </c>
      <c r="C1780" s="4" t="inlineStr">
        <is>
          <t>elk</t>
        </is>
      </c>
      <c r="D1780" s="4" t="n">
        <v>2011</v>
      </c>
      <c r="E1780" s="4" t="inlineStr"/>
      <c r="F1780" s="5" t="n">
        <v>93</v>
      </c>
      <c r="G1780" s="5" t="n">
        <v>657</v>
      </c>
      <c r="H1780" s="5" t="n">
        <v>17</v>
      </c>
      <c r="I1780" s="5" t="n">
        <v>14</v>
      </c>
      <c r="J1780" s="5" t="n">
        <v>3</v>
      </c>
      <c r="K1780" s="10">
        <f>IF(F1780&gt;0,H1780/F1780,"")</f>
        <v/>
      </c>
      <c r="L1780" s="16">
        <f>IF(AND(G1780&gt;0,H1780&gt;0),G1780/H1780,"")</f>
        <v/>
      </c>
    </row>
    <row r="1781">
      <c r="A1781" s="4" t="inlineStr">
        <is>
          <t>151</t>
        </is>
      </c>
      <c r="B1781" s="4" t="n">
        <v>1</v>
      </c>
      <c r="C1781" s="4" t="inlineStr">
        <is>
          <t>elk</t>
        </is>
      </c>
      <c r="D1781" s="4" t="n">
        <v>2012</v>
      </c>
      <c r="E1781" s="4" t="inlineStr"/>
      <c r="F1781" s="5" t="n">
        <v>94</v>
      </c>
      <c r="G1781" s="5" t="n">
        <v>630</v>
      </c>
      <c r="H1781" s="5" t="n">
        <v>21</v>
      </c>
      <c r="I1781" s="5" t="n">
        <v>21</v>
      </c>
      <c r="J1781" s="5" t="n">
        <v>0</v>
      </c>
      <c r="K1781" s="10">
        <f>IF(F1781&gt;0,H1781/F1781,"")</f>
        <v/>
      </c>
      <c r="L1781" s="16">
        <f>IF(AND(G1781&gt;0,H1781&gt;0),G1781/H1781,"")</f>
        <v/>
      </c>
    </row>
    <row r="1782">
      <c r="A1782" s="4" t="inlineStr">
        <is>
          <t>151</t>
        </is>
      </c>
      <c r="B1782" s="4" t="n">
        <v>1</v>
      </c>
      <c r="C1782" s="4" t="inlineStr">
        <is>
          <t>elk</t>
        </is>
      </c>
      <c r="D1782" s="4" t="n">
        <v>2013</v>
      </c>
      <c r="E1782" s="4" t="inlineStr"/>
      <c r="F1782" s="5" t="n"/>
      <c r="G1782" s="5" t="n"/>
      <c r="H1782" s="5" t="n">
        <v>20</v>
      </c>
      <c r="I1782" s="5" t="n">
        <v>20</v>
      </c>
      <c r="J1782" s="5" t="n">
        <v>0</v>
      </c>
      <c r="K1782" s="10">
        <f>IF(F1782&gt;0,H1782/F1782,"")</f>
        <v/>
      </c>
      <c r="L1782" s="16">
        <f>IF(AND(G1782&gt;0,H1782&gt;0),G1782/H1782,"")</f>
        <v/>
      </c>
    </row>
    <row r="1783">
      <c r="A1783" s="4" t="inlineStr">
        <is>
          <t>151</t>
        </is>
      </c>
      <c r="B1783" s="4" t="n">
        <v>1</v>
      </c>
      <c r="C1783" s="4" t="inlineStr">
        <is>
          <t>elk</t>
        </is>
      </c>
      <c r="D1783" s="4" t="n">
        <v>2014</v>
      </c>
      <c r="E1783" s="4" t="inlineStr"/>
      <c r="F1783" s="5" t="n">
        <v>75</v>
      </c>
      <c r="G1783" s="5" t="n">
        <v>540</v>
      </c>
      <c r="H1783" s="5" t="n">
        <v>6</v>
      </c>
      <c r="I1783" s="5" t="n">
        <v>6</v>
      </c>
      <c r="J1783" s="5" t="n">
        <v>0</v>
      </c>
      <c r="K1783" s="10">
        <f>IF(F1783&gt;0,H1783/F1783,"")</f>
        <v/>
      </c>
      <c r="L1783" s="16">
        <f>IF(AND(G1783&gt;0,H1783&gt;0),G1783/H1783,"")</f>
        <v/>
      </c>
    </row>
    <row r="1784">
      <c r="A1784" s="4" t="inlineStr">
        <is>
          <t>151</t>
        </is>
      </c>
      <c r="B1784" s="4" t="n">
        <v>1</v>
      </c>
      <c r="C1784" s="4" t="inlineStr">
        <is>
          <t>elk</t>
        </is>
      </c>
      <c r="D1784" s="4" t="n">
        <v>2015</v>
      </c>
      <c r="E1784" s="4" t="inlineStr"/>
      <c r="F1784" s="5" t="n">
        <v>41</v>
      </c>
      <c r="G1784" s="5" t="n">
        <v>230</v>
      </c>
      <c r="H1784" s="5" t="n">
        <v>6</v>
      </c>
      <c r="I1784" s="5" t="n">
        <v>6</v>
      </c>
      <c r="J1784" s="5" t="n">
        <v>0</v>
      </c>
      <c r="K1784" s="10">
        <f>IF(F1784&gt;0,H1784/F1784,"")</f>
        <v/>
      </c>
      <c r="L1784" s="16">
        <f>IF(AND(G1784&gt;0,H1784&gt;0),G1784/H1784,"")</f>
        <v/>
      </c>
    </row>
    <row r="1785">
      <c r="A1785" s="4" t="inlineStr">
        <is>
          <t>151</t>
        </is>
      </c>
      <c r="B1785" s="4" t="n">
        <v>1</v>
      </c>
      <c r="C1785" s="4" t="inlineStr">
        <is>
          <t>elk</t>
        </is>
      </c>
      <c r="D1785" s="4" t="n">
        <v>2016</v>
      </c>
      <c r="E1785" s="4" t="inlineStr"/>
      <c r="F1785" s="5" t="n">
        <v>62</v>
      </c>
      <c r="G1785" s="5" t="n">
        <v>466</v>
      </c>
      <c r="H1785" s="5" t="n">
        <v>10</v>
      </c>
      <c r="I1785" s="5" t="n">
        <v>10</v>
      </c>
      <c r="J1785" s="5" t="n">
        <v>0</v>
      </c>
      <c r="K1785" s="10">
        <f>IF(F1785&gt;0,H1785/F1785,"")</f>
        <v/>
      </c>
      <c r="L1785" s="16">
        <f>IF(AND(G1785&gt;0,H1785&gt;0),G1785/H1785,"")</f>
        <v/>
      </c>
    </row>
    <row r="1786">
      <c r="A1786" s="4" t="inlineStr">
        <is>
          <t>151</t>
        </is>
      </c>
      <c r="B1786" s="4" t="n">
        <v>1</v>
      </c>
      <c r="C1786" s="4" t="inlineStr">
        <is>
          <t>elk</t>
        </is>
      </c>
      <c r="D1786" s="4" t="n">
        <v>2017</v>
      </c>
      <c r="E1786" s="4" t="inlineStr"/>
      <c r="F1786" s="5" t="n"/>
      <c r="G1786" s="5" t="n"/>
      <c r="H1786" s="5" t="n">
        <v>14</v>
      </c>
      <c r="I1786" s="5" t="n">
        <v>14</v>
      </c>
      <c r="J1786" s="5" t="n">
        <v>0</v>
      </c>
      <c r="K1786" s="10">
        <f>IF(F1786&gt;0,H1786/F1786,"")</f>
        <v/>
      </c>
      <c r="L1786" s="16">
        <f>IF(AND(G1786&gt;0,H1786&gt;0),G1786/H1786,"")</f>
        <v/>
      </c>
    </row>
    <row r="1787">
      <c r="A1787" s="4" t="inlineStr">
        <is>
          <t>151</t>
        </is>
      </c>
      <c r="B1787" s="4" t="n">
        <v>1</v>
      </c>
      <c r="C1787" s="4" t="inlineStr">
        <is>
          <t>elk</t>
        </is>
      </c>
      <c r="D1787" s="4" t="n">
        <v>2018</v>
      </c>
      <c r="E1787" s="4" t="inlineStr"/>
      <c r="F1787" s="5" t="n">
        <v>138</v>
      </c>
      <c r="G1787" s="5" t="n">
        <v>876</v>
      </c>
      <c r="H1787" s="5" t="n">
        <v>18</v>
      </c>
      <c r="I1787" s="5" t="n">
        <v>15</v>
      </c>
      <c r="J1787" s="5" t="n">
        <v>3</v>
      </c>
      <c r="K1787" s="10">
        <f>IF(F1787&gt;0,H1787/F1787,"")</f>
        <v/>
      </c>
      <c r="L1787" s="16">
        <f>IF(AND(G1787&gt;0,H1787&gt;0),G1787/H1787,"")</f>
        <v/>
      </c>
    </row>
    <row r="1788">
      <c r="A1788" s="4" t="inlineStr">
        <is>
          <t>151</t>
        </is>
      </c>
      <c r="B1788" s="4" t="n">
        <v>1</v>
      </c>
      <c r="C1788" s="4" t="inlineStr">
        <is>
          <t>elk</t>
        </is>
      </c>
      <c r="D1788" s="4" t="n">
        <v>2019</v>
      </c>
      <c r="E1788" s="4" t="inlineStr"/>
      <c r="F1788" s="5" t="n"/>
      <c r="G1788" s="5" t="n"/>
      <c r="H1788" s="5" t="n">
        <v>3</v>
      </c>
      <c r="I1788" s="5" t="n">
        <v>3</v>
      </c>
      <c r="J1788" s="5" t="n">
        <v>0</v>
      </c>
      <c r="K1788" s="10">
        <f>IF(F1788&gt;0,H1788/F1788,"")</f>
        <v/>
      </c>
      <c r="L1788" s="16">
        <f>IF(AND(G1788&gt;0,H1788&gt;0),G1788/H1788,"")</f>
        <v/>
      </c>
    </row>
    <row r="1789">
      <c r="A1789" s="4" t="inlineStr">
        <is>
          <t>170</t>
        </is>
      </c>
      <c r="B1789" s="4" t="n">
        <v>1</v>
      </c>
      <c r="C1789" s="4" t="inlineStr">
        <is>
          <t>elk</t>
        </is>
      </c>
      <c r="D1789" s="4" t="n">
        <v>2004</v>
      </c>
      <c r="E1789" s="13" t="inlineStr">
        <is>
          <t>General</t>
        </is>
      </c>
      <c r="F1789" s="5" t="n">
        <v>161</v>
      </c>
      <c r="G1789" s="5" t="n">
        <v>890</v>
      </c>
      <c r="H1789" s="5" t="n">
        <v>31</v>
      </c>
      <c r="I1789" s="5" t="n">
        <v>7</v>
      </c>
      <c r="J1789" s="5" t="n">
        <v>21</v>
      </c>
      <c r="K1789" s="10">
        <f>IF(F1789&gt;0,H1789/F1789,"")</f>
        <v/>
      </c>
      <c r="L1789" s="16">
        <f>IF(AND(G1789&gt;0,H1789&gt;0),G1789/H1789,"")</f>
        <v/>
      </c>
    </row>
    <row r="1790">
      <c r="A1790" s="4" t="inlineStr">
        <is>
          <t>170</t>
        </is>
      </c>
      <c r="B1790" s="4" t="n">
        <v>1</v>
      </c>
      <c r="C1790" s="4" t="inlineStr">
        <is>
          <t>elk</t>
        </is>
      </c>
      <c r="D1790" s="4" t="n">
        <v>2005</v>
      </c>
      <c r="E1790" s="13" t="inlineStr">
        <is>
          <t>General</t>
        </is>
      </c>
      <c r="F1790" s="5" t="n">
        <v>200</v>
      </c>
      <c r="G1790" s="5" t="n">
        <v>1128</v>
      </c>
      <c r="H1790" s="5" t="n">
        <v>19</v>
      </c>
      <c r="I1790" s="5" t="n">
        <v>11</v>
      </c>
      <c r="J1790" s="5" t="n">
        <v>7</v>
      </c>
      <c r="K1790" s="10">
        <f>IF(F1790&gt;0,H1790/F1790,"")</f>
        <v/>
      </c>
      <c r="L1790" s="16">
        <f>IF(AND(G1790&gt;0,H1790&gt;0),G1790/H1790,"")</f>
        <v/>
      </c>
    </row>
    <row r="1791">
      <c r="A1791" s="4" t="inlineStr">
        <is>
          <t>170</t>
        </is>
      </c>
      <c r="B1791" s="4" t="n">
        <v>1</v>
      </c>
      <c r="C1791" s="4" t="inlineStr">
        <is>
          <t>elk</t>
        </is>
      </c>
      <c r="D1791" s="4" t="n">
        <v>2006</v>
      </c>
      <c r="E1791" s="13" t="inlineStr">
        <is>
          <t>General</t>
        </is>
      </c>
      <c r="F1791" s="5" t="n">
        <v>194</v>
      </c>
      <c r="G1791" s="5" t="n">
        <v>1402</v>
      </c>
      <c r="H1791" s="5" t="n">
        <v>18</v>
      </c>
      <c r="I1791" s="5" t="n">
        <v>15</v>
      </c>
      <c r="J1791" s="5" t="n">
        <v>4</v>
      </c>
      <c r="K1791" s="10">
        <f>IF(F1791&gt;0,H1791/F1791,"")</f>
        <v/>
      </c>
      <c r="L1791" s="16">
        <f>IF(AND(G1791&gt;0,H1791&gt;0),G1791/H1791,"")</f>
        <v/>
      </c>
    </row>
    <row r="1792">
      <c r="A1792" s="4" t="inlineStr">
        <is>
          <t>170</t>
        </is>
      </c>
      <c r="B1792" s="4" t="n">
        <v>1</v>
      </c>
      <c r="C1792" s="4" t="inlineStr">
        <is>
          <t>elk</t>
        </is>
      </c>
      <c r="D1792" s="4" t="n">
        <v>2007</v>
      </c>
      <c r="E1792" s="13" t="inlineStr">
        <is>
          <t>General</t>
        </is>
      </c>
      <c r="F1792" s="5" t="n">
        <v>203</v>
      </c>
      <c r="G1792" s="5" t="n">
        <v>1294</v>
      </c>
      <c r="H1792" s="5" t="n">
        <v>14</v>
      </c>
      <c r="I1792" s="5" t="n">
        <v>14</v>
      </c>
      <c r="J1792" s="5" t="n">
        <v>0</v>
      </c>
      <c r="K1792" s="10">
        <f>IF(F1792&gt;0,H1792/F1792,"")</f>
        <v/>
      </c>
      <c r="L1792" s="16">
        <f>IF(AND(G1792&gt;0,H1792&gt;0),G1792/H1792,"")</f>
        <v/>
      </c>
    </row>
    <row r="1793">
      <c r="A1793" s="4" t="inlineStr">
        <is>
          <t>170</t>
        </is>
      </c>
      <c r="B1793" s="4" t="n">
        <v>1</v>
      </c>
      <c r="C1793" s="4" t="inlineStr">
        <is>
          <t>elk</t>
        </is>
      </c>
      <c r="D1793" s="4" t="n">
        <v>2008</v>
      </c>
      <c r="E1793" s="13" t="inlineStr">
        <is>
          <t>General</t>
        </is>
      </c>
      <c r="F1793" s="5" t="n">
        <v>338</v>
      </c>
      <c r="G1793" s="5" t="n">
        <v>3009</v>
      </c>
      <c r="H1793" s="5" t="n">
        <v>12</v>
      </c>
      <c r="I1793" s="5" t="n">
        <v>0</v>
      </c>
      <c r="J1793" s="5" t="n">
        <v>9</v>
      </c>
      <c r="K1793" s="10">
        <f>IF(F1793&gt;0,H1793/F1793,"")</f>
        <v/>
      </c>
      <c r="L1793" s="16">
        <f>IF(AND(G1793&gt;0,H1793&gt;0),G1793/H1793,"")</f>
        <v/>
      </c>
    </row>
    <row r="1794">
      <c r="A1794" s="4" t="inlineStr">
        <is>
          <t>170</t>
        </is>
      </c>
      <c r="B1794" s="4" t="n">
        <v>1</v>
      </c>
      <c r="C1794" s="4" t="inlineStr">
        <is>
          <t>elk</t>
        </is>
      </c>
      <c r="D1794" s="4" t="n">
        <v>2009</v>
      </c>
      <c r="E1794" s="13" t="inlineStr">
        <is>
          <t>General</t>
        </is>
      </c>
      <c r="F1794" s="5" t="n">
        <v>494</v>
      </c>
      <c r="G1794" s="5" t="n">
        <v>4002</v>
      </c>
      <c r="H1794" s="5" t="n">
        <v>30</v>
      </c>
      <c r="I1794" s="5" t="n">
        <v>15</v>
      </c>
      <c r="J1794" s="5" t="n">
        <v>15</v>
      </c>
      <c r="K1794" s="10">
        <f>IF(F1794&gt;0,H1794/F1794,"")</f>
        <v/>
      </c>
      <c r="L1794" s="16">
        <f>IF(AND(G1794&gt;0,H1794&gt;0),G1794/H1794,"")</f>
        <v/>
      </c>
    </row>
    <row r="1795">
      <c r="A1795" s="4" t="inlineStr">
        <is>
          <t>170</t>
        </is>
      </c>
      <c r="B1795" s="4" t="n">
        <v>1</v>
      </c>
      <c r="C1795" s="4" t="inlineStr">
        <is>
          <t>elk</t>
        </is>
      </c>
      <c r="D1795" s="4" t="n">
        <v>2010</v>
      </c>
      <c r="E1795" s="13" t="inlineStr">
        <is>
          <t>General</t>
        </is>
      </c>
      <c r="F1795" s="5" t="n">
        <v>340</v>
      </c>
      <c r="G1795" s="5" t="n">
        <v>2522</v>
      </c>
      <c r="H1795" s="5" t="n">
        <v>8</v>
      </c>
      <c r="I1795" s="5" t="n">
        <v>3</v>
      </c>
      <c r="J1795" s="5" t="n">
        <v>3</v>
      </c>
      <c r="K1795" s="10">
        <f>IF(F1795&gt;0,H1795/F1795,"")</f>
        <v/>
      </c>
      <c r="L1795" s="16">
        <f>IF(AND(G1795&gt;0,H1795&gt;0),G1795/H1795,"")</f>
        <v/>
      </c>
    </row>
    <row r="1796">
      <c r="A1796" s="4" t="inlineStr">
        <is>
          <t>170</t>
        </is>
      </c>
      <c r="B1796" s="4" t="n">
        <v>1</v>
      </c>
      <c r="C1796" s="4" t="inlineStr">
        <is>
          <t>elk</t>
        </is>
      </c>
      <c r="D1796" s="4" t="n">
        <v>2011</v>
      </c>
      <c r="E1796" s="13" t="inlineStr">
        <is>
          <t>General</t>
        </is>
      </c>
      <c r="F1796" s="5" t="n">
        <v>341</v>
      </c>
      <c r="G1796" s="5" t="n">
        <v>2615</v>
      </c>
      <c r="H1796" s="5" t="n">
        <v>22</v>
      </c>
      <c r="I1796" s="5" t="n">
        <v>8</v>
      </c>
      <c r="J1796" s="5" t="n">
        <v>14</v>
      </c>
      <c r="K1796" s="10">
        <f>IF(F1796&gt;0,H1796/F1796,"")</f>
        <v/>
      </c>
      <c r="L1796" s="16">
        <f>IF(AND(G1796&gt;0,H1796&gt;0),G1796/H1796,"")</f>
        <v/>
      </c>
    </row>
    <row r="1797">
      <c r="A1797" s="4" t="inlineStr">
        <is>
          <t>170</t>
        </is>
      </c>
      <c r="B1797" s="4" t="n">
        <v>1</v>
      </c>
      <c r="C1797" s="4" t="inlineStr">
        <is>
          <t>elk</t>
        </is>
      </c>
      <c r="D1797" s="4" t="n">
        <v>2012</v>
      </c>
      <c r="E1797" s="13" t="inlineStr">
        <is>
          <t>General</t>
        </is>
      </c>
      <c r="F1797" s="5" t="n">
        <v>242</v>
      </c>
      <c r="G1797" s="5" t="n">
        <v>1856</v>
      </c>
      <c r="H1797" s="5" t="n">
        <v>14</v>
      </c>
      <c r="I1797" s="5" t="n">
        <v>6</v>
      </c>
      <c r="J1797" s="5" t="n">
        <v>8</v>
      </c>
      <c r="K1797" s="10">
        <f>IF(F1797&gt;0,H1797/F1797,"")</f>
        <v/>
      </c>
      <c r="L1797" s="16">
        <f>IF(AND(G1797&gt;0,H1797&gt;0),G1797/H1797,"")</f>
        <v/>
      </c>
    </row>
    <row r="1798">
      <c r="A1798" s="4" t="inlineStr">
        <is>
          <t>170</t>
        </is>
      </c>
      <c r="B1798" s="4" t="n">
        <v>1</v>
      </c>
      <c r="C1798" s="4" t="inlineStr">
        <is>
          <t>elk</t>
        </is>
      </c>
      <c r="D1798" s="4" t="n">
        <v>2013</v>
      </c>
      <c r="E1798" s="13" t="inlineStr">
        <is>
          <t>General</t>
        </is>
      </c>
      <c r="F1798" s="5" t="n"/>
      <c r="G1798" s="5" t="n"/>
      <c r="H1798" s="5" t="n">
        <v>25</v>
      </c>
      <c r="I1798" s="5" t="n">
        <v>6</v>
      </c>
      <c r="J1798" s="5" t="n">
        <v>20</v>
      </c>
      <c r="K1798" s="10">
        <f>IF(F1798&gt;0,H1798/F1798,"")</f>
        <v/>
      </c>
      <c r="L1798" s="16">
        <f>IF(AND(G1798&gt;0,H1798&gt;0),G1798/H1798,"")</f>
        <v/>
      </c>
    </row>
    <row r="1799">
      <c r="A1799" s="4" t="inlineStr">
        <is>
          <t>170</t>
        </is>
      </c>
      <c r="B1799" s="4" t="n">
        <v>1</v>
      </c>
      <c r="C1799" s="4" t="inlineStr">
        <is>
          <t>elk</t>
        </is>
      </c>
      <c r="D1799" s="4" t="n">
        <v>2014</v>
      </c>
      <c r="E1799" s="13" t="inlineStr">
        <is>
          <t>General</t>
        </is>
      </c>
      <c r="F1799" s="5" t="n">
        <v>200</v>
      </c>
      <c r="G1799" s="5" t="n">
        <v>1618</v>
      </c>
      <c r="H1799" s="5" t="n">
        <v>17</v>
      </c>
      <c r="I1799" s="5" t="n">
        <v>14</v>
      </c>
      <c r="J1799" s="5" t="n">
        <v>3</v>
      </c>
      <c r="K1799" s="10">
        <f>IF(F1799&gt;0,H1799/F1799,"")</f>
        <v/>
      </c>
      <c r="L1799" s="16">
        <f>IF(AND(G1799&gt;0,H1799&gt;0),G1799/H1799,"")</f>
        <v/>
      </c>
    </row>
    <row r="1800">
      <c r="A1800" s="4" t="inlineStr">
        <is>
          <t>170</t>
        </is>
      </c>
      <c r="B1800" s="4" t="n">
        <v>1</v>
      </c>
      <c r="C1800" s="4" t="inlineStr">
        <is>
          <t>elk</t>
        </is>
      </c>
      <c r="D1800" s="4" t="n">
        <v>2015</v>
      </c>
      <c r="E1800" s="13" t="inlineStr">
        <is>
          <t>General</t>
        </is>
      </c>
      <c r="F1800" s="5" t="n">
        <v>275</v>
      </c>
      <c r="G1800" s="5" t="n">
        <v>2276</v>
      </c>
      <c r="H1800" s="5" t="n">
        <v>20</v>
      </c>
      <c r="I1800" s="5" t="n">
        <v>9</v>
      </c>
      <c r="J1800" s="5" t="n">
        <v>9</v>
      </c>
      <c r="K1800" s="10">
        <f>IF(F1800&gt;0,H1800/F1800,"")</f>
        <v/>
      </c>
      <c r="L1800" s="16">
        <f>IF(AND(G1800&gt;0,H1800&gt;0),G1800/H1800,"")</f>
        <v/>
      </c>
    </row>
    <row r="1801">
      <c r="A1801" s="4" t="inlineStr">
        <is>
          <t>170</t>
        </is>
      </c>
      <c r="B1801" s="4" t="n">
        <v>1</v>
      </c>
      <c r="C1801" s="4" t="inlineStr">
        <is>
          <t>elk</t>
        </is>
      </c>
      <c r="D1801" s="4" t="n">
        <v>2016</v>
      </c>
      <c r="E1801" s="13" t="inlineStr">
        <is>
          <t>General</t>
        </is>
      </c>
      <c r="F1801" s="5" t="n">
        <v>289</v>
      </c>
      <c r="G1801" s="5" t="n">
        <v>2155</v>
      </c>
      <c r="H1801" s="5" t="n">
        <v>28</v>
      </c>
      <c r="I1801" s="5" t="n">
        <v>16</v>
      </c>
      <c r="J1801" s="5" t="n">
        <v>13</v>
      </c>
      <c r="K1801" s="10">
        <f>IF(F1801&gt;0,H1801/F1801,"")</f>
        <v/>
      </c>
      <c r="L1801" s="16">
        <f>IF(AND(G1801&gt;0,H1801&gt;0),G1801/H1801,"")</f>
        <v/>
      </c>
    </row>
    <row r="1802">
      <c r="A1802" s="4" t="inlineStr">
        <is>
          <t>170</t>
        </is>
      </c>
      <c r="B1802" s="4" t="n">
        <v>1</v>
      </c>
      <c r="C1802" s="4" t="inlineStr">
        <is>
          <t>elk</t>
        </is>
      </c>
      <c r="D1802" s="4" t="n">
        <v>2017</v>
      </c>
      <c r="E1802" s="13" t="inlineStr">
        <is>
          <t>General</t>
        </is>
      </c>
      <c r="F1802" s="5" t="n"/>
      <c r="G1802" s="5" t="n"/>
      <c r="H1802" s="5" t="n">
        <v>39</v>
      </c>
      <c r="I1802" s="5" t="n">
        <v>14</v>
      </c>
      <c r="J1802" s="5" t="n">
        <v>25</v>
      </c>
      <c r="K1802" s="10">
        <f>IF(F1802&gt;0,H1802/F1802,"")</f>
        <v/>
      </c>
      <c r="L1802" s="16">
        <f>IF(AND(G1802&gt;0,H1802&gt;0),G1802/H1802,"")</f>
        <v/>
      </c>
    </row>
    <row r="1803">
      <c r="A1803" s="4" t="inlineStr">
        <is>
          <t>170</t>
        </is>
      </c>
      <c r="B1803" s="4" t="n">
        <v>1</v>
      </c>
      <c r="C1803" s="4" t="inlineStr">
        <is>
          <t>elk</t>
        </is>
      </c>
      <c r="D1803" s="4" t="n">
        <v>2018</v>
      </c>
      <c r="E1803" s="13" t="inlineStr">
        <is>
          <t>General</t>
        </is>
      </c>
      <c r="F1803" s="5" t="n">
        <v>330</v>
      </c>
      <c r="G1803" s="5" t="n">
        <v>2316</v>
      </c>
      <c r="H1803" s="5" t="n">
        <v>13</v>
      </c>
      <c r="I1803" s="5" t="n">
        <v>7</v>
      </c>
      <c r="J1803" s="5" t="n">
        <v>6</v>
      </c>
      <c r="K1803" s="10">
        <f>IF(F1803&gt;0,H1803/F1803,"")</f>
        <v/>
      </c>
      <c r="L1803" s="16">
        <f>IF(AND(G1803&gt;0,H1803&gt;0),G1803/H1803,"")</f>
        <v/>
      </c>
    </row>
    <row r="1804">
      <c r="A1804" s="4" t="inlineStr">
        <is>
          <t>170</t>
        </is>
      </c>
      <c r="B1804" s="4" t="n">
        <v>1</v>
      </c>
      <c r="C1804" s="4" t="inlineStr">
        <is>
          <t>elk</t>
        </is>
      </c>
      <c r="D1804" s="4" t="n">
        <v>2019</v>
      </c>
      <c r="E1804" s="13" t="inlineStr">
        <is>
          <t>General</t>
        </is>
      </c>
      <c r="F1804" s="5" t="n"/>
      <c r="G1804" s="5" t="n"/>
      <c r="H1804" s="5" t="n">
        <v>15</v>
      </c>
      <c r="I1804" s="5" t="n">
        <v>9</v>
      </c>
      <c r="J1804" s="5" t="n">
        <v>6</v>
      </c>
      <c r="K1804" s="10">
        <f>IF(F1804&gt;0,H1804/F1804,"")</f>
        <v/>
      </c>
      <c r="L1804" s="16">
        <f>IF(AND(G1804&gt;0,H1804&gt;0),G1804/H1804,"")</f>
        <v/>
      </c>
    </row>
    <row r="1805">
      <c r="A1805" s="4" t="inlineStr">
        <is>
          <t>170</t>
        </is>
      </c>
      <c r="B1805" s="4" t="n">
        <v>1</v>
      </c>
      <c r="C1805" s="4" t="inlineStr">
        <is>
          <t>elk</t>
        </is>
      </c>
      <c r="D1805" s="4" t="n">
        <v>2020</v>
      </c>
      <c r="E1805" s="13" t="inlineStr">
        <is>
          <t>General</t>
        </is>
      </c>
      <c r="F1805" s="5" t="n">
        <v>324</v>
      </c>
      <c r="G1805" s="5" t="n">
        <v>2747</v>
      </c>
      <c r="H1805" s="5" t="n">
        <v>52</v>
      </c>
      <c r="I1805" s="5" t="n">
        <v>24</v>
      </c>
      <c r="J1805" s="5" t="n">
        <v>28</v>
      </c>
      <c r="K1805" s="10">
        <f>IF(F1805&gt;0,H1805/F1805,"")</f>
        <v/>
      </c>
      <c r="L1805" s="16">
        <f>IF(AND(G1805&gt;0,H1805&gt;0),G1805/H1805,"")</f>
        <v/>
      </c>
    </row>
    <row r="1806">
      <c r="A1806" s="4" t="inlineStr">
        <is>
          <t>170</t>
        </is>
      </c>
      <c r="B1806" s="4" t="n">
        <v>1</v>
      </c>
      <c r="C1806" s="4" t="inlineStr">
        <is>
          <t>elk</t>
        </is>
      </c>
      <c r="D1806" s="4" t="n">
        <v>2021</v>
      </c>
      <c r="E1806" s="13" t="inlineStr">
        <is>
          <t>General</t>
        </is>
      </c>
      <c r="F1806" s="5" t="n"/>
      <c r="G1806" s="5" t="n"/>
      <c r="H1806" s="5" t="n">
        <v>31</v>
      </c>
      <c r="I1806" s="5" t="n">
        <v>16</v>
      </c>
      <c r="J1806" s="5" t="n">
        <v>15</v>
      </c>
      <c r="K1806" s="10">
        <f>IF(F1806&gt;0,H1806/F1806,"")</f>
        <v/>
      </c>
      <c r="L1806" s="16">
        <f>IF(AND(G1806&gt;0,H1806&gt;0),G1806/H1806,"")</f>
        <v/>
      </c>
    </row>
    <row r="1807">
      <c r="A1807" s="4" t="inlineStr">
        <is>
          <t>170</t>
        </is>
      </c>
      <c r="B1807" s="4" t="n">
        <v>1</v>
      </c>
      <c r="C1807" s="4" t="inlineStr">
        <is>
          <t>elk</t>
        </is>
      </c>
      <c r="D1807" s="4" t="n">
        <v>2022</v>
      </c>
      <c r="E1807" s="13" t="inlineStr">
        <is>
          <t>General</t>
        </is>
      </c>
      <c r="F1807" s="5" t="n">
        <v>455</v>
      </c>
      <c r="G1807" s="5" t="n">
        <v>3422</v>
      </c>
      <c r="H1807" s="5" t="n">
        <v>39</v>
      </c>
      <c r="I1807" s="5" t="n">
        <v>10</v>
      </c>
      <c r="J1807" s="5" t="n">
        <v>26</v>
      </c>
      <c r="K1807" s="10">
        <f>IF(F1807&gt;0,H1807/F1807,"")</f>
        <v/>
      </c>
      <c r="L1807" s="16">
        <f>IF(AND(G1807&gt;0,H1807&gt;0),G1807/H1807,"")</f>
        <v/>
      </c>
    </row>
    <row r="1808">
      <c r="A1808" s="4" t="inlineStr">
        <is>
          <t>170</t>
        </is>
      </c>
      <c r="B1808" s="4" t="n">
        <v>1</v>
      </c>
      <c r="C1808" s="4" t="inlineStr">
        <is>
          <t>elk</t>
        </is>
      </c>
      <c r="D1808" s="4" t="n">
        <v>2023</v>
      </c>
      <c r="E1808" s="13" t="inlineStr">
        <is>
          <t>General</t>
        </is>
      </c>
      <c r="F1808" s="5" t="n"/>
      <c r="G1808" s="5" t="n"/>
      <c r="H1808" s="5" t="n">
        <v>45</v>
      </c>
      <c r="I1808" s="5" t="n">
        <v>27</v>
      </c>
      <c r="J1808" s="5" t="n">
        <v>12</v>
      </c>
      <c r="K1808" s="10">
        <f>IF(F1808&gt;0,H1808/F1808,"")</f>
        <v/>
      </c>
      <c r="L1808" s="16">
        <f>IF(AND(G1808&gt;0,H1808&gt;0),G1808/H1808,"")</f>
        <v/>
      </c>
    </row>
    <row r="1809">
      <c r="A1809" s="4" t="inlineStr">
        <is>
          <t>170</t>
        </is>
      </c>
      <c r="B1809" s="4" t="n">
        <v>1</v>
      </c>
      <c r="C1809" s="4" t="inlineStr">
        <is>
          <t>elk</t>
        </is>
      </c>
      <c r="D1809" s="4" t="n">
        <v>2024</v>
      </c>
      <c r="E1809" s="13" t="inlineStr">
        <is>
          <t>General</t>
        </is>
      </c>
      <c r="F1809" s="5" t="n">
        <v>588</v>
      </c>
      <c r="G1809" s="5" t="n">
        <v>4550</v>
      </c>
      <c r="H1809" s="5" t="n">
        <v>56</v>
      </c>
      <c r="I1809" s="5" t="n">
        <v>23</v>
      </c>
      <c r="J1809" s="5" t="n">
        <v>33</v>
      </c>
      <c r="K1809" s="10">
        <f>IF(F1809&gt;0,H1809/F1809,"")</f>
        <v/>
      </c>
      <c r="L1809" s="16">
        <f>IF(AND(G1809&gt;0,H1809&gt;0),G1809/H1809,"")</f>
        <v/>
      </c>
    </row>
    <row r="1810">
      <c r="A1810" s="4" t="inlineStr">
        <is>
          <t>170</t>
        </is>
      </c>
      <c r="B1810" s="4" t="n">
        <v>1</v>
      </c>
      <c r="C1810" s="4" t="inlineStr">
        <is>
          <t>elk</t>
        </is>
      </c>
      <c r="D1810" s="4" t="n">
        <v>2025</v>
      </c>
      <c r="E1810" s="13" t="inlineStr">
        <is>
          <t>General</t>
        </is>
      </c>
      <c r="F1810" s="5" t="n"/>
      <c r="G1810" s="5" t="n"/>
      <c r="H1810" s="5" t="n">
        <v>67</v>
      </c>
      <c r="I1810" s="5" t="n">
        <v>26</v>
      </c>
      <c r="J1810" s="5" t="n">
        <v>41</v>
      </c>
      <c r="K1810" s="10">
        <f>IF(F1810&gt;0,H1810/F1810,"")</f>
        <v/>
      </c>
      <c r="L1810" s="16">
        <f>IF(AND(G1810&gt;0,H1810&gt;0),G1810/H1810,"")</f>
        <v/>
      </c>
    </row>
    <row r="1811">
      <c r="A1811" s="4" t="inlineStr">
        <is>
          <t>200</t>
        </is>
      </c>
      <c r="B1811" s="4" t="n">
        <v>2</v>
      </c>
      <c r="C1811" s="4" t="inlineStr">
        <is>
          <t>elk</t>
        </is>
      </c>
      <c r="D1811" s="4" t="n">
        <v>2004</v>
      </c>
      <c r="E1811" s="13" t="inlineStr">
        <is>
          <t>General</t>
        </is>
      </c>
      <c r="F1811" s="5" t="n">
        <v>814</v>
      </c>
      <c r="G1811" s="5" t="n">
        <v>6016</v>
      </c>
      <c r="H1811" s="5" t="n">
        <v>80</v>
      </c>
      <c r="I1811" s="5" t="n">
        <v>48</v>
      </c>
      <c r="J1811" s="5" t="n">
        <v>31</v>
      </c>
      <c r="K1811" s="10">
        <f>IF(F1811&gt;0,H1811/F1811,"")</f>
        <v/>
      </c>
      <c r="L1811" s="16">
        <f>IF(AND(G1811&gt;0,H1811&gt;0),G1811/H1811,"")</f>
        <v/>
      </c>
    </row>
    <row r="1812">
      <c r="A1812" s="4" t="inlineStr">
        <is>
          <t>200</t>
        </is>
      </c>
      <c r="B1812" s="4" t="n">
        <v>2</v>
      </c>
      <c r="C1812" s="4" t="inlineStr">
        <is>
          <t>elk</t>
        </is>
      </c>
      <c r="D1812" s="4" t="n">
        <v>2005</v>
      </c>
      <c r="E1812" s="13" t="inlineStr">
        <is>
          <t>General</t>
        </is>
      </c>
      <c r="F1812" s="5" t="n">
        <v>736</v>
      </c>
      <c r="G1812" s="5" t="n">
        <v>5727</v>
      </c>
      <c r="H1812" s="5" t="n">
        <v>97</v>
      </c>
      <c r="I1812" s="5" t="n">
        <v>42</v>
      </c>
      <c r="J1812" s="5" t="n">
        <v>50</v>
      </c>
      <c r="K1812" s="10">
        <f>IF(F1812&gt;0,H1812/F1812,"")</f>
        <v/>
      </c>
      <c r="L1812" s="16">
        <f>IF(AND(G1812&gt;0,H1812&gt;0),G1812/H1812,"")</f>
        <v/>
      </c>
    </row>
    <row r="1813">
      <c r="A1813" s="4" t="inlineStr">
        <is>
          <t>200</t>
        </is>
      </c>
      <c r="B1813" s="4" t="n">
        <v>2</v>
      </c>
      <c r="C1813" s="4" t="inlineStr">
        <is>
          <t>elk</t>
        </is>
      </c>
      <c r="D1813" s="4" t="n">
        <v>2006</v>
      </c>
      <c r="E1813" s="13" t="inlineStr">
        <is>
          <t>General</t>
        </is>
      </c>
      <c r="F1813" s="5" t="n">
        <v>709</v>
      </c>
      <c r="G1813" s="5" t="n">
        <v>5413</v>
      </c>
      <c r="H1813" s="5" t="n">
        <v>136</v>
      </c>
      <c r="I1813" s="5" t="n">
        <v>68</v>
      </c>
      <c r="J1813" s="5" t="n">
        <v>52</v>
      </c>
      <c r="K1813" s="10">
        <f>IF(F1813&gt;0,H1813/F1813,"")</f>
        <v/>
      </c>
      <c r="L1813" s="16">
        <f>IF(AND(G1813&gt;0,H1813&gt;0),G1813/H1813,"")</f>
        <v/>
      </c>
    </row>
    <row r="1814">
      <c r="A1814" s="4" t="inlineStr">
        <is>
          <t>200</t>
        </is>
      </c>
      <c r="B1814" s="4" t="n">
        <v>2</v>
      </c>
      <c r="C1814" s="4" t="inlineStr">
        <is>
          <t>elk</t>
        </is>
      </c>
      <c r="D1814" s="4" t="n">
        <v>2007</v>
      </c>
      <c r="E1814" s="13" t="inlineStr">
        <is>
          <t>General</t>
        </is>
      </c>
      <c r="F1814" s="5" t="n">
        <v>669</v>
      </c>
      <c r="G1814" s="5" t="n">
        <v>5392</v>
      </c>
      <c r="H1814" s="5" t="n">
        <v>61</v>
      </c>
      <c r="I1814" s="5" t="n">
        <v>43</v>
      </c>
      <c r="J1814" s="5" t="n">
        <v>19</v>
      </c>
      <c r="K1814" s="10">
        <f>IF(F1814&gt;0,H1814/F1814,"")</f>
        <v/>
      </c>
      <c r="L1814" s="16">
        <f>IF(AND(G1814&gt;0,H1814&gt;0),G1814/H1814,"")</f>
        <v/>
      </c>
    </row>
    <row r="1815">
      <c r="A1815" s="4" t="inlineStr">
        <is>
          <t>200</t>
        </is>
      </c>
      <c r="B1815" s="4" t="n">
        <v>2</v>
      </c>
      <c r="C1815" s="4" t="inlineStr">
        <is>
          <t>elk</t>
        </is>
      </c>
      <c r="D1815" s="4" t="n">
        <v>2008</v>
      </c>
      <c r="E1815" s="13" t="inlineStr">
        <is>
          <t>General</t>
        </is>
      </c>
      <c r="F1815" s="5" t="n">
        <v>833</v>
      </c>
      <c r="G1815" s="5" t="n">
        <v>6892</v>
      </c>
      <c r="H1815" s="5" t="n">
        <v>51</v>
      </c>
      <c r="I1815" s="5" t="n">
        <v>28</v>
      </c>
      <c r="J1815" s="5" t="n">
        <v>21</v>
      </c>
      <c r="K1815" s="10">
        <f>IF(F1815&gt;0,H1815/F1815,"")</f>
        <v/>
      </c>
      <c r="L1815" s="16">
        <f>IF(AND(G1815&gt;0,H1815&gt;0),G1815/H1815,"")</f>
        <v/>
      </c>
    </row>
    <row r="1816">
      <c r="A1816" s="4" t="inlineStr">
        <is>
          <t>200</t>
        </is>
      </c>
      <c r="B1816" s="4" t="n">
        <v>2</v>
      </c>
      <c r="C1816" s="4" t="inlineStr">
        <is>
          <t>elk</t>
        </is>
      </c>
      <c r="D1816" s="4" t="n">
        <v>2009</v>
      </c>
      <c r="E1816" s="13" t="inlineStr">
        <is>
          <t>General</t>
        </is>
      </c>
      <c r="F1816" s="5" t="n">
        <v>665</v>
      </c>
      <c r="G1816" s="5" t="n">
        <v>5170</v>
      </c>
      <c r="H1816" s="5" t="n">
        <v>43</v>
      </c>
      <c r="I1816" s="5" t="n">
        <v>35</v>
      </c>
      <c r="J1816" s="5" t="n">
        <v>9</v>
      </c>
      <c r="K1816" s="10">
        <f>IF(F1816&gt;0,H1816/F1816,"")</f>
        <v/>
      </c>
      <c r="L1816" s="16">
        <f>IF(AND(G1816&gt;0,H1816&gt;0),G1816/H1816,"")</f>
        <v/>
      </c>
    </row>
    <row r="1817">
      <c r="A1817" s="4" t="inlineStr">
        <is>
          <t>200</t>
        </is>
      </c>
      <c r="B1817" s="4" t="n">
        <v>2</v>
      </c>
      <c r="C1817" s="4" t="inlineStr">
        <is>
          <t>elk</t>
        </is>
      </c>
      <c r="D1817" s="4" t="n">
        <v>2010</v>
      </c>
      <c r="E1817" s="13" t="inlineStr">
        <is>
          <t>General</t>
        </is>
      </c>
      <c r="F1817" s="5" t="n">
        <v>651</v>
      </c>
      <c r="G1817" s="5" t="n">
        <v>5487</v>
      </c>
      <c r="H1817" s="5" t="n">
        <v>57</v>
      </c>
      <c r="I1817" s="5" t="n">
        <v>50</v>
      </c>
      <c r="J1817" s="5" t="n">
        <v>4</v>
      </c>
      <c r="K1817" s="10">
        <f>IF(F1817&gt;0,H1817/F1817,"")</f>
        <v/>
      </c>
      <c r="L1817" s="16">
        <f>IF(AND(G1817&gt;0,H1817&gt;0),G1817/H1817,"")</f>
        <v/>
      </c>
    </row>
    <row r="1818">
      <c r="A1818" s="4" t="inlineStr">
        <is>
          <t>200</t>
        </is>
      </c>
      <c r="B1818" s="4" t="n">
        <v>2</v>
      </c>
      <c r="C1818" s="4" t="inlineStr">
        <is>
          <t>elk</t>
        </is>
      </c>
      <c r="D1818" s="4" t="n">
        <v>2011</v>
      </c>
      <c r="E1818" s="13" t="inlineStr">
        <is>
          <t>General</t>
        </is>
      </c>
      <c r="F1818" s="5" t="n">
        <v>648</v>
      </c>
      <c r="G1818" s="5" t="n">
        <v>5509</v>
      </c>
      <c r="H1818" s="5" t="n">
        <v>31</v>
      </c>
      <c r="I1818" s="5" t="n">
        <v>20</v>
      </c>
      <c r="J1818" s="5" t="n">
        <v>11</v>
      </c>
      <c r="K1818" s="10">
        <f>IF(F1818&gt;0,H1818/F1818,"")</f>
        <v/>
      </c>
      <c r="L1818" s="16">
        <f>IF(AND(G1818&gt;0,H1818&gt;0),G1818/H1818,"")</f>
        <v/>
      </c>
    </row>
    <row r="1819">
      <c r="A1819" s="4" t="inlineStr">
        <is>
          <t>200</t>
        </is>
      </c>
      <c r="B1819" s="4" t="n">
        <v>2</v>
      </c>
      <c r="C1819" s="4" t="inlineStr">
        <is>
          <t>elk</t>
        </is>
      </c>
      <c r="D1819" s="4" t="n">
        <v>2012</v>
      </c>
      <c r="E1819" s="13" t="inlineStr">
        <is>
          <t>General</t>
        </is>
      </c>
      <c r="F1819" s="5" t="n">
        <v>582</v>
      </c>
      <c r="G1819" s="5" t="n">
        <v>4871</v>
      </c>
      <c r="H1819" s="5" t="n">
        <v>22</v>
      </c>
      <c r="I1819" s="5" t="n">
        <v>20</v>
      </c>
      <c r="J1819" s="5" t="n">
        <v>3</v>
      </c>
      <c r="K1819" s="10">
        <f>IF(F1819&gt;0,H1819/F1819,"")</f>
        <v/>
      </c>
      <c r="L1819" s="16">
        <f>IF(AND(G1819&gt;0,H1819&gt;0),G1819/H1819,"")</f>
        <v/>
      </c>
    </row>
    <row r="1820">
      <c r="A1820" s="4" t="inlineStr">
        <is>
          <t>200</t>
        </is>
      </c>
      <c r="B1820" s="4" t="n">
        <v>2</v>
      </c>
      <c r="C1820" s="4" t="inlineStr">
        <is>
          <t>elk</t>
        </is>
      </c>
      <c r="D1820" s="4" t="n">
        <v>2013</v>
      </c>
      <c r="E1820" s="13" t="inlineStr">
        <is>
          <t>General</t>
        </is>
      </c>
      <c r="F1820" s="5" t="n"/>
      <c r="G1820" s="5" t="n"/>
      <c r="H1820" s="5" t="n">
        <v>21</v>
      </c>
      <c r="I1820" s="5" t="n">
        <v>14</v>
      </c>
      <c r="J1820" s="5" t="n">
        <v>6</v>
      </c>
      <c r="K1820" s="10">
        <f>IF(F1820&gt;0,H1820/F1820,"")</f>
        <v/>
      </c>
      <c r="L1820" s="16">
        <f>IF(AND(G1820&gt;0,H1820&gt;0),G1820/H1820,"")</f>
        <v/>
      </c>
    </row>
    <row r="1821">
      <c r="A1821" s="4" t="inlineStr">
        <is>
          <t>200</t>
        </is>
      </c>
      <c r="B1821" s="4" t="n">
        <v>2</v>
      </c>
      <c r="C1821" s="4" t="inlineStr">
        <is>
          <t>elk</t>
        </is>
      </c>
      <c r="D1821" s="4" t="n">
        <v>2014</v>
      </c>
      <c r="E1821" s="13" t="inlineStr">
        <is>
          <t>General</t>
        </is>
      </c>
      <c r="F1821" s="5" t="n">
        <v>449</v>
      </c>
      <c r="G1821" s="5" t="n">
        <v>3930</v>
      </c>
      <c r="H1821" s="5" t="n">
        <v>32</v>
      </c>
      <c r="I1821" s="5" t="n">
        <v>25</v>
      </c>
      <c r="J1821" s="5" t="n">
        <v>7</v>
      </c>
      <c r="K1821" s="10">
        <f>IF(F1821&gt;0,H1821/F1821,"")</f>
        <v/>
      </c>
      <c r="L1821" s="16">
        <f>IF(AND(G1821&gt;0,H1821&gt;0),G1821/H1821,"")</f>
        <v/>
      </c>
    </row>
    <row r="1822">
      <c r="A1822" s="4" t="inlineStr">
        <is>
          <t>200</t>
        </is>
      </c>
      <c r="B1822" s="4" t="n">
        <v>2</v>
      </c>
      <c r="C1822" s="4" t="inlineStr">
        <is>
          <t>elk</t>
        </is>
      </c>
      <c r="D1822" s="4" t="n">
        <v>2015</v>
      </c>
      <c r="E1822" s="13" t="inlineStr">
        <is>
          <t>General</t>
        </is>
      </c>
      <c r="F1822" s="5" t="n">
        <v>535</v>
      </c>
      <c r="G1822" s="5" t="n">
        <v>4782</v>
      </c>
      <c r="H1822" s="5" t="n">
        <v>40</v>
      </c>
      <c r="I1822" s="5" t="n">
        <v>29</v>
      </c>
      <c r="J1822" s="5" t="n">
        <v>9</v>
      </c>
      <c r="K1822" s="10">
        <f>IF(F1822&gt;0,H1822/F1822,"")</f>
        <v/>
      </c>
      <c r="L1822" s="16">
        <f>IF(AND(G1822&gt;0,H1822&gt;0),G1822/H1822,"")</f>
        <v/>
      </c>
    </row>
    <row r="1823">
      <c r="A1823" s="4" t="inlineStr">
        <is>
          <t>200</t>
        </is>
      </c>
      <c r="B1823" s="4" t="n">
        <v>2</v>
      </c>
      <c r="C1823" s="4" t="inlineStr">
        <is>
          <t>elk</t>
        </is>
      </c>
      <c r="D1823" s="4" t="n">
        <v>2016</v>
      </c>
      <c r="E1823" s="13" t="inlineStr">
        <is>
          <t>General</t>
        </is>
      </c>
      <c r="F1823" s="5" t="n">
        <v>526</v>
      </c>
      <c r="G1823" s="5" t="n">
        <v>5381</v>
      </c>
      <c r="H1823" s="5" t="n">
        <v>28</v>
      </c>
      <c r="I1823" s="5" t="n">
        <v>28</v>
      </c>
      <c r="J1823" s="5" t="n">
        <v>0</v>
      </c>
      <c r="K1823" s="10">
        <f>IF(F1823&gt;0,H1823/F1823,"")</f>
        <v/>
      </c>
      <c r="L1823" s="16">
        <f>IF(AND(G1823&gt;0,H1823&gt;0),G1823/H1823,"")</f>
        <v/>
      </c>
    </row>
    <row r="1824">
      <c r="A1824" s="4" t="inlineStr">
        <is>
          <t>200</t>
        </is>
      </c>
      <c r="B1824" s="4" t="n">
        <v>2</v>
      </c>
      <c r="C1824" s="4" t="inlineStr">
        <is>
          <t>elk</t>
        </is>
      </c>
      <c r="D1824" s="4" t="n">
        <v>2017</v>
      </c>
      <c r="E1824" s="13" t="inlineStr">
        <is>
          <t>General</t>
        </is>
      </c>
      <c r="F1824" s="5" t="n"/>
      <c r="G1824" s="5" t="n"/>
      <c r="H1824" s="5" t="n">
        <v>32</v>
      </c>
      <c r="I1824" s="5" t="n">
        <v>29</v>
      </c>
      <c r="J1824" s="5" t="n">
        <v>3</v>
      </c>
      <c r="K1824" s="10">
        <f>IF(F1824&gt;0,H1824/F1824,"")</f>
        <v/>
      </c>
      <c r="L1824" s="16">
        <f>IF(AND(G1824&gt;0,H1824&gt;0),G1824/H1824,"")</f>
        <v/>
      </c>
    </row>
    <row r="1825">
      <c r="A1825" s="4" t="inlineStr">
        <is>
          <t>200</t>
        </is>
      </c>
      <c r="B1825" s="4" t="n">
        <v>2</v>
      </c>
      <c r="C1825" s="4" t="inlineStr">
        <is>
          <t>elk</t>
        </is>
      </c>
      <c r="D1825" s="4" t="n">
        <v>2018</v>
      </c>
      <c r="E1825" s="13" t="inlineStr">
        <is>
          <t>General</t>
        </is>
      </c>
      <c r="F1825" s="5" t="n">
        <v>517</v>
      </c>
      <c r="G1825" s="5" t="n">
        <v>4056</v>
      </c>
      <c r="H1825" s="5" t="n">
        <v>28</v>
      </c>
      <c r="I1825" s="5" t="n">
        <v>16</v>
      </c>
      <c r="J1825" s="5" t="n">
        <v>12</v>
      </c>
      <c r="K1825" s="10">
        <f>IF(F1825&gt;0,H1825/F1825,"")</f>
        <v/>
      </c>
      <c r="L1825" s="16">
        <f>IF(AND(G1825&gt;0,H1825&gt;0),G1825/H1825,"")</f>
        <v/>
      </c>
    </row>
    <row r="1826">
      <c r="A1826" s="4" t="inlineStr">
        <is>
          <t>200</t>
        </is>
      </c>
      <c r="B1826" s="4" t="n">
        <v>2</v>
      </c>
      <c r="C1826" s="4" t="inlineStr">
        <is>
          <t>elk</t>
        </is>
      </c>
      <c r="D1826" s="4" t="n">
        <v>2019</v>
      </c>
      <c r="E1826" s="13" t="inlineStr">
        <is>
          <t>General</t>
        </is>
      </c>
      <c r="F1826" s="5" t="n"/>
      <c r="G1826" s="5" t="n"/>
      <c r="H1826" s="5" t="n">
        <v>30</v>
      </c>
      <c r="I1826" s="5" t="n">
        <v>21</v>
      </c>
      <c r="J1826" s="5" t="n">
        <v>9</v>
      </c>
      <c r="K1826" s="10">
        <f>IF(F1826&gt;0,H1826/F1826,"")</f>
        <v/>
      </c>
      <c r="L1826" s="16">
        <f>IF(AND(G1826&gt;0,H1826&gt;0),G1826/H1826,"")</f>
        <v/>
      </c>
    </row>
    <row r="1827">
      <c r="A1827" s="4" t="inlineStr">
        <is>
          <t>200</t>
        </is>
      </c>
      <c r="B1827" s="4" t="n">
        <v>2</v>
      </c>
      <c r="C1827" s="4" t="inlineStr">
        <is>
          <t>elk</t>
        </is>
      </c>
      <c r="D1827" s="4" t="n">
        <v>2020</v>
      </c>
      <c r="E1827" s="13" t="inlineStr">
        <is>
          <t>General</t>
        </is>
      </c>
      <c r="F1827" s="5" t="n">
        <v>581</v>
      </c>
      <c r="G1827" s="5" t="n">
        <v>5172</v>
      </c>
      <c r="H1827" s="5" t="n">
        <v>37</v>
      </c>
      <c r="I1827" s="5" t="n">
        <v>31</v>
      </c>
      <c r="J1827" s="5" t="n">
        <v>6</v>
      </c>
      <c r="K1827" s="10">
        <f>IF(F1827&gt;0,H1827/F1827,"")</f>
        <v/>
      </c>
      <c r="L1827" s="16">
        <f>IF(AND(G1827&gt;0,H1827&gt;0),G1827/H1827,"")</f>
        <v/>
      </c>
    </row>
    <row r="1828">
      <c r="A1828" s="4" t="inlineStr">
        <is>
          <t>200</t>
        </is>
      </c>
      <c r="B1828" s="4" t="n">
        <v>2</v>
      </c>
      <c r="C1828" s="4" t="inlineStr">
        <is>
          <t>elk</t>
        </is>
      </c>
      <c r="D1828" s="4" t="n">
        <v>2021</v>
      </c>
      <c r="E1828" s="13" t="inlineStr">
        <is>
          <t>General</t>
        </is>
      </c>
      <c r="F1828" s="5" t="n"/>
      <c r="G1828" s="5" t="n"/>
      <c r="H1828" s="5" t="n">
        <v>16</v>
      </c>
      <c r="I1828" s="5" t="n">
        <v>16</v>
      </c>
      <c r="J1828" s="5" t="n">
        <v>0</v>
      </c>
      <c r="K1828" s="10">
        <f>IF(F1828&gt;0,H1828/F1828,"")</f>
        <v/>
      </c>
      <c r="L1828" s="16">
        <f>IF(AND(G1828&gt;0,H1828&gt;0),G1828/H1828,"")</f>
        <v/>
      </c>
    </row>
    <row r="1829">
      <c r="A1829" s="4" t="inlineStr">
        <is>
          <t>200</t>
        </is>
      </c>
      <c r="B1829" s="4" t="n">
        <v>2</v>
      </c>
      <c r="C1829" s="4" t="inlineStr">
        <is>
          <t>elk</t>
        </is>
      </c>
      <c r="D1829" s="4" t="n">
        <v>2022</v>
      </c>
      <c r="E1829" s="13" t="inlineStr">
        <is>
          <t>General</t>
        </is>
      </c>
      <c r="F1829" s="5" t="n">
        <v>392</v>
      </c>
      <c r="G1829" s="5" t="n">
        <v>3788</v>
      </c>
      <c r="H1829" s="5" t="n">
        <v>27</v>
      </c>
      <c r="I1829" s="5" t="n">
        <v>26</v>
      </c>
      <c r="J1829" s="5" t="n">
        <v>1</v>
      </c>
      <c r="K1829" s="10">
        <f>IF(F1829&gt;0,H1829/F1829,"")</f>
        <v/>
      </c>
      <c r="L1829" s="16">
        <f>IF(AND(G1829&gt;0,H1829&gt;0),G1829/H1829,"")</f>
        <v/>
      </c>
    </row>
    <row r="1830">
      <c r="A1830" s="4" t="inlineStr">
        <is>
          <t>200</t>
        </is>
      </c>
      <c r="B1830" s="4" t="n">
        <v>2</v>
      </c>
      <c r="C1830" s="4" t="inlineStr">
        <is>
          <t>elk</t>
        </is>
      </c>
      <c r="D1830" s="4" t="n">
        <v>2023</v>
      </c>
      <c r="E1830" s="13" t="inlineStr">
        <is>
          <t>General</t>
        </is>
      </c>
      <c r="F1830" s="5" t="n"/>
      <c r="G1830" s="5" t="n"/>
      <c r="H1830" s="5" t="n">
        <v>35</v>
      </c>
      <c r="I1830" s="5" t="n">
        <v>30</v>
      </c>
      <c r="J1830" s="5" t="n">
        <v>5</v>
      </c>
      <c r="K1830" s="10">
        <f>IF(F1830&gt;0,H1830/F1830,"")</f>
        <v/>
      </c>
      <c r="L1830" s="16">
        <f>IF(AND(G1830&gt;0,H1830&gt;0),G1830/H1830,"")</f>
        <v/>
      </c>
    </row>
    <row r="1831">
      <c r="A1831" s="4" t="inlineStr">
        <is>
          <t>200</t>
        </is>
      </c>
      <c r="B1831" s="4" t="n">
        <v>2</v>
      </c>
      <c r="C1831" s="4" t="inlineStr">
        <is>
          <t>elk</t>
        </is>
      </c>
      <c r="D1831" s="4" t="n">
        <v>2024</v>
      </c>
      <c r="E1831" s="13" t="inlineStr">
        <is>
          <t>General</t>
        </is>
      </c>
      <c r="F1831" s="5" t="n">
        <v>496</v>
      </c>
      <c r="G1831" s="5" t="n">
        <v>4204</v>
      </c>
      <c r="H1831" s="5" t="n">
        <v>38</v>
      </c>
      <c r="I1831" s="5" t="n">
        <v>35</v>
      </c>
      <c r="J1831" s="5" t="n">
        <v>3</v>
      </c>
      <c r="K1831" s="10">
        <f>IF(F1831&gt;0,H1831/F1831,"")</f>
        <v/>
      </c>
      <c r="L1831" s="16">
        <f>IF(AND(G1831&gt;0,H1831&gt;0),G1831/H1831,"")</f>
        <v/>
      </c>
    </row>
    <row r="1832">
      <c r="A1832" s="4" t="inlineStr">
        <is>
          <t>200</t>
        </is>
      </c>
      <c r="B1832" s="4" t="n">
        <v>2</v>
      </c>
      <c r="C1832" s="4" t="inlineStr">
        <is>
          <t>elk</t>
        </is>
      </c>
      <c r="D1832" s="4" t="n">
        <v>2025</v>
      </c>
      <c r="E1832" s="13" t="inlineStr">
        <is>
          <t>General</t>
        </is>
      </c>
      <c r="F1832" s="5" t="n"/>
      <c r="G1832" s="5" t="n"/>
      <c r="H1832" s="5" t="n">
        <v>20</v>
      </c>
      <c r="I1832" s="5" t="n">
        <v>18</v>
      </c>
      <c r="J1832" s="5" t="n">
        <v>1</v>
      </c>
      <c r="K1832" s="10">
        <f>IF(F1832&gt;0,H1832/F1832,"")</f>
        <v/>
      </c>
      <c r="L1832" s="16">
        <f>IF(AND(G1832&gt;0,H1832&gt;0),G1832/H1832,"")</f>
        <v/>
      </c>
    </row>
    <row r="1833">
      <c r="A1833" s="4" t="inlineStr">
        <is>
          <t>201</t>
        </is>
      </c>
      <c r="B1833" s="4" t="n">
        <v>2</v>
      </c>
      <c r="C1833" s="4" t="inlineStr">
        <is>
          <t>elk</t>
        </is>
      </c>
      <c r="D1833" s="4" t="n">
        <v>2004</v>
      </c>
      <c r="E1833" s="13" t="inlineStr">
        <is>
          <t>General</t>
        </is>
      </c>
      <c r="F1833" s="5" t="n">
        <v>1542</v>
      </c>
      <c r="G1833" s="5" t="n">
        <v>9790</v>
      </c>
      <c r="H1833" s="5" t="n">
        <v>102</v>
      </c>
      <c r="I1833" s="5" t="n">
        <v>49</v>
      </c>
      <c r="J1833" s="5" t="n">
        <v>46</v>
      </c>
      <c r="K1833" s="10">
        <f>IF(F1833&gt;0,H1833/F1833,"")</f>
        <v/>
      </c>
      <c r="L1833" s="16">
        <f>IF(AND(G1833&gt;0,H1833&gt;0),G1833/H1833,"")</f>
        <v/>
      </c>
    </row>
    <row r="1834">
      <c r="A1834" s="4" t="inlineStr">
        <is>
          <t>201</t>
        </is>
      </c>
      <c r="B1834" s="4" t="n">
        <v>2</v>
      </c>
      <c r="C1834" s="4" t="inlineStr">
        <is>
          <t>elk</t>
        </is>
      </c>
      <c r="D1834" s="4" t="n">
        <v>2005</v>
      </c>
      <c r="E1834" s="13" t="inlineStr">
        <is>
          <t>General</t>
        </is>
      </c>
      <c r="F1834" s="5" t="n">
        <v>1565</v>
      </c>
      <c r="G1834" s="5" t="n">
        <v>10605</v>
      </c>
      <c r="H1834" s="5" t="n">
        <v>160</v>
      </c>
      <c r="I1834" s="5" t="n">
        <v>65</v>
      </c>
      <c r="J1834" s="5" t="n">
        <v>89</v>
      </c>
      <c r="K1834" s="10">
        <f>IF(F1834&gt;0,H1834/F1834,"")</f>
        <v/>
      </c>
      <c r="L1834" s="16">
        <f>IF(AND(G1834&gt;0,H1834&gt;0),G1834/H1834,"")</f>
        <v/>
      </c>
    </row>
    <row r="1835">
      <c r="A1835" s="4" t="inlineStr">
        <is>
          <t>201</t>
        </is>
      </c>
      <c r="B1835" s="4" t="n">
        <v>2</v>
      </c>
      <c r="C1835" s="4" t="inlineStr">
        <is>
          <t>elk</t>
        </is>
      </c>
      <c r="D1835" s="4" t="n">
        <v>2006</v>
      </c>
      <c r="E1835" s="13" t="inlineStr">
        <is>
          <t>General</t>
        </is>
      </c>
      <c r="F1835" s="5" t="n">
        <v>1349</v>
      </c>
      <c r="G1835" s="5" t="n">
        <v>9559</v>
      </c>
      <c r="H1835" s="5" t="n">
        <v>191</v>
      </c>
      <c r="I1835" s="5" t="n">
        <v>94</v>
      </c>
      <c r="J1835" s="5" t="n">
        <v>92</v>
      </c>
      <c r="K1835" s="10">
        <f>IF(F1835&gt;0,H1835/F1835,"")</f>
        <v/>
      </c>
      <c r="L1835" s="16">
        <f>IF(AND(G1835&gt;0,H1835&gt;0),G1835/H1835,"")</f>
        <v/>
      </c>
    </row>
    <row r="1836">
      <c r="A1836" s="4" t="inlineStr">
        <is>
          <t>201</t>
        </is>
      </c>
      <c r="B1836" s="4" t="n">
        <v>2</v>
      </c>
      <c r="C1836" s="4" t="inlineStr">
        <is>
          <t>elk</t>
        </is>
      </c>
      <c r="D1836" s="4" t="n">
        <v>2007</v>
      </c>
      <c r="E1836" s="13" t="inlineStr">
        <is>
          <t>General</t>
        </is>
      </c>
      <c r="F1836" s="5" t="n">
        <v>1491</v>
      </c>
      <c r="G1836" s="5" t="n">
        <v>11884</v>
      </c>
      <c r="H1836" s="5" t="n">
        <v>122</v>
      </c>
      <c r="I1836" s="5" t="n">
        <v>32</v>
      </c>
      <c r="J1836" s="5" t="n">
        <v>75</v>
      </c>
      <c r="K1836" s="10">
        <f>IF(F1836&gt;0,H1836/F1836,"")</f>
        <v/>
      </c>
      <c r="L1836" s="16">
        <f>IF(AND(G1836&gt;0,H1836&gt;0),G1836/H1836,"")</f>
        <v/>
      </c>
    </row>
    <row r="1837">
      <c r="A1837" s="4" t="inlineStr">
        <is>
          <t>201</t>
        </is>
      </c>
      <c r="B1837" s="4" t="n">
        <v>2</v>
      </c>
      <c r="C1837" s="4" t="inlineStr">
        <is>
          <t>elk</t>
        </is>
      </c>
      <c r="D1837" s="4" t="n">
        <v>2008</v>
      </c>
      <c r="E1837" s="13" t="inlineStr">
        <is>
          <t>General</t>
        </is>
      </c>
      <c r="F1837" s="5" t="n">
        <v>1649</v>
      </c>
      <c r="G1837" s="5" t="n">
        <v>14404</v>
      </c>
      <c r="H1837" s="5" t="n">
        <v>129</v>
      </c>
      <c r="I1837" s="5" t="n">
        <v>46</v>
      </c>
      <c r="J1837" s="5" t="n">
        <v>76</v>
      </c>
      <c r="K1837" s="10">
        <f>IF(F1837&gt;0,H1837/F1837,"")</f>
        <v/>
      </c>
      <c r="L1837" s="16">
        <f>IF(AND(G1837&gt;0,H1837&gt;0),G1837/H1837,"")</f>
        <v/>
      </c>
    </row>
    <row r="1838">
      <c r="A1838" s="4" t="inlineStr">
        <is>
          <t>201</t>
        </is>
      </c>
      <c r="B1838" s="4" t="n">
        <v>2</v>
      </c>
      <c r="C1838" s="4" t="inlineStr">
        <is>
          <t>elk</t>
        </is>
      </c>
      <c r="D1838" s="4" t="n">
        <v>2009</v>
      </c>
      <c r="E1838" s="13" t="inlineStr">
        <is>
          <t>General</t>
        </is>
      </c>
      <c r="F1838" s="5" t="n">
        <v>1464</v>
      </c>
      <c r="G1838" s="5" t="n">
        <v>11478</v>
      </c>
      <c r="H1838" s="5" t="n">
        <v>82</v>
      </c>
      <c r="I1838" s="5" t="n">
        <v>52</v>
      </c>
      <c r="J1838" s="5" t="n">
        <v>29</v>
      </c>
      <c r="K1838" s="10">
        <f>IF(F1838&gt;0,H1838/F1838,"")</f>
        <v/>
      </c>
      <c r="L1838" s="16">
        <f>IF(AND(G1838&gt;0,H1838&gt;0),G1838/H1838,"")</f>
        <v/>
      </c>
    </row>
    <row r="1839">
      <c r="A1839" s="4" t="inlineStr">
        <is>
          <t>201</t>
        </is>
      </c>
      <c r="B1839" s="4" t="n">
        <v>2</v>
      </c>
      <c r="C1839" s="4" t="inlineStr">
        <is>
          <t>elk</t>
        </is>
      </c>
      <c r="D1839" s="4" t="n">
        <v>2010</v>
      </c>
      <c r="E1839" s="13" t="inlineStr">
        <is>
          <t>General</t>
        </is>
      </c>
      <c r="F1839" s="5" t="n">
        <v>1350</v>
      </c>
      <c r="G1839" s="5" t="n">
        <v>10831</v>
      </c>
      <c r="H1839" s="5" t="n">
        <v>105</v>
      </c>
      <c r="I1839" s="5" t="n">
        <v>75</v>
      </c>
      <c r="J1839" s="5" t="n">
        <v>30</v>
      </c>
      <c r="K1839" s="10">
        <f>IF(F1839&gt;0,H1839/F1839,"")</f>
        <v/>
      </c>
      <c r="L1839" s="16">
        <f>IF(AND(G1839&gt;0,H1839&gt;0),G1839/H1839,"")</f>
        <v/>
      </c>
    </row>
    <row r="1840">
      <c r="A1840" s="4" t="inlineStr">
        <is>
          <t>201</t>
        </is>
      </c>
      <c r="B1840" s="4" t="n">
        <v>2</v>
      </c>
      <c r="C1840" s="4" t="inlineStr">
        <is>
          <t>elk</t>
        </is>
      </c>
      <c r="D1840" s="4" t="n">
        <v>2011</v>
      </c>
      <c r="E1840" s="13" t="inlineStr">
        <is>
          <t>General</t>
        </is>
      </c>
      <c r="F1840" s="5" t="n">
        <v>1526</v>
      </c>
      <c r="G1840" s="5" t="n">
        <v>11206</v>
      </c>
      <c r="H1840" s="5" t="n">
        <v>91</v>
      </c>
      <c r="I1840" s="5" t="n">
        <v>47</v>
      </c>
      <c r="J1840" s="5" t="n">
        <v>39</v>
      </c>
      <c r="K1840" s="10">
        <f>IF(F1840&gt;0,H1840/F1840,"")</f>
        <v/>
      </c>
      <c r="L1840" s="16">
        <f>IF(AND(G1840&gt;0,H1840&gt;0),G1840/H1840,"")</f>
        <v/>
      </c>
    </row>
    <row r="1841">
      <c r="A1841" s="4" t="inlineStr">
        <is>
          <t>201</t>
        </is>
      </c>
      <c r="B1841" s="4" t="n">
        <v>2</v>
      </c>
      <c r="C1841" s="4" t="inlineStr">
        <is>
          <t>elk</t>
        </is>
      </c>
      <c r="D1841" s="4" t="n">
        <v>2012</v>
      </c>
      <c r="E1841" s="13" t="inlineStr">
        <is>
          <t>General</t>
        </is>
      </c>
      <c r="F1841" s="5" t="n">
        <v>1335</v>
      </c>
      <c r="G1841" s="5" t="n">
        <v>10234</v>
      </c>
      <c r="H1841" s="5" t="n">
        <v>79</v>
      </c>
      <c r="I1841" s="5" t="n">
        <v>67</v>
      </c>
      <c r="J1841" s="5" t="n">
        <v>10</v>
      </c>
      <c r="K1841" s="10">
        <f>IF(F1841&gt;0,H1841/F1841,"")</f>
        <v/>
      </c>
      <c r="L1841" s="16">
        <f>IF(AND(G1841&gt;0,H1841&gt;0),G1841/H1841,"")</f>
        <v/>
      </c>
    </row>
    <row r="1842">
      <c r="A1842" s="4" t="inlineStr">
        <is>
          <t>201</t>
        </is>
      </c>
      <c r="B1842" s="4" t="n">
        <v>2</v>
      </c>
      <c r="C1842" s="4" t="inlineStr">
        <is>
          <t>elk</t>
        </is>
      </c>
      <c r="D1842" s="4" t="n">
        <v>2013</v>
      </c>
      <c r="E1842" s="13" t="inlineStr">
        <is>
          <t>General</t>
        </is>
      </c>
      <c r="F1842" s="5" t="n"/>
      <c r="G1842" s="5" t="n"/>
      <c r="H1842" s="5" t="n">
        <v>96</v>
      </c>
      <c r="I1842" s="5" t="n">
        <v>59</v>
      </c>
      <c r="J1842" s="5" t="n">
        <v>35</v>
      </c>
      <c r="K1842" s="10">
        <f>IF(F1842&gt;0,H1842/F1842,"")</f>
        <v/>
      </c>
      <c r="L1842" s="16">
        <f>IF(AND(G1842&gt;0,H1842&gt;0),G1842/H1842,"")</f>
        <v/>
      </c>
    </row>
    <row r="1843">
      <c r="A1843" s="4" t="inlineStr">
        <is>
          <t>201</t>
        </is>
      </c>
      <c r="B1843" s="4" t="n">
        <v>2</v>
      </c>
      <c r="C1843" s="4" t="inlineStr">
        <is>
          <t>elk</t>
        </is>
      </c>
      <c r="D1843" s="4" t="n">
        <v>2014</v>
      </c>
      <c r="E1843" s="13" t="inlineStr">
        <is>
          <t>General</t>
        </is>
      </c>
      <c r="F1843" s="5" t="n">
        <v>1245</v>
      </c>
      <c r="G1843" s="5" t="n">
        <v>9264</v>
      </c>
      <c r="H1843" s="5" t="n">
        <v>78</v>
      </c>
      <c r="I1843" s="5" t="n">
        <v>59</v>
      </c>
      <c r="J1843" s="5" t="n">
        <v>17</v>
      </c>
      <c r="K1843" s="10">
        <f>IF(F1843&gt;0,H1843/F1843,"")</f>
        <v/>
      </c>
      <c r="L1843" s="16">
        <f>IF(AND(G1843&gt;0,H1843&gt;0),G1843/H1843,"")</f>
        <v/>
      </c>
    </row>
    <row r="1844">
      <c r="A1844" s="4" t="inlineStr">
        <is>
          <t>201</t>
        </is>
      </c>
      <c r="B1844" s="4" t="n">
        <v>2</v>
      </c>
      <c r="C1844" s="4" t="inlineStr">
        <is>
          <t>elk</t>
        </is>
      </c>
      <c r="D1844" s="4" t="n">
        <v>2015</v>
      </c>
      <c r="E1844" s="13" t="inlineStr">
        <is>
          <t>General</t>
        </is>
      </c>
      <c r="F1844" s="5" t="n">
        <v>1254</v>
      </c>
      <c r="G1844" s="5" t="n">
        <v>10504</v>
      </c>
      <c r="H1844" s="5" t="n">
        <v>124</v>
      </c>
      <c r="I1844" s="5" t="n">
        <v>73</v>
      </c>
      <c r="J1844" s="5" t="n">
        <v>50</v>
      </c>
      <c r="K1844" s="10">
        <f>IF(F1844&gt;0,H1844/F1844,"")</f>
        <v/>
      </c>
      <c r="L1844" s="16">
        <f>IF(AND(G1844&gt;0,H1844&gt;0),G1844/H1844,"")</f>
        <v/>
      </c>
    </row>
    <row r="1845">
      <c r="A1845" s="4" t="inlineStr">
        <is>
          <t>201</t>
        </is>
      </c>
      <c r="B1845" s="4" t="n">
        <v>2</v>
      </c>
      <c r="C1845" s="4" t="inlineStr">
        <is>
          <t>elk</t>
        </is>
      </c>
      <c r="D1845" s="4" t="n">
        <v>2016</v>
      </c>
      <c r="E1845" s="13" t="inlineStr">
        <is>
          <t>General</t>
        </is>
      </c>
      <c r="F1845" s="5" t="n">
        <v>1254</v>
      </c>
      <c r="G1845" s="5" t="n">
        <v>9818</v>
      </c>
      <c r="H1845" s="5" t="n">
        <v>111</v>
      </c>
      <c r="I1845" s="5" t="n">
        <v>68</v>
      </c>
      <c r="J1845" s="5" t="n">
        <v>35</v>
      </c>
      <c r="K1845" s="10">
        <f>IF(F1845&gt;0,H1845/F1845,"")</f>
        <v/>
      </c>
      <c r="L1845" s="16">
        <f>IF(AND(G1845&gt;0,H1845&gt;0),G1845/H1845,"")</f>
        <v/>
      </c>
    </row>
    <row r="1846">
      <c r="A1846" s="4" t="inlineStr">
        <is>
          <t>201</t>
        </is>
      </c>
      <c r="B1846" s="4" t="n">
        <v>2</v>
      </c>
      <c r="C1846" s="4" t="inlineStr">
        <is>
          <t>elk</t>
        </is>
      </c>
      <c r="D1846" s="4" t="n">
        <v>2017</v>
      </c>
      <c r="E1846" s="13" t="inlineStr">
        <is>
          <t>General</t>
        </is>
      </c>
      <c r="F1846" s="5" t="n"/>
      <c r="G1846" s="5" t="n"/>
      <c r="H1846" s="5" t="n">
        <v>105</v>
      </c>
      <c r="I1846" s="5" t="n">
        <v>66</v>
      </c>
      <c r="J1846" s="5" t="n">
        <v>36</v>
      </c>
      <c r="K1846" s="10">
        <f>IF(F1846&gt;0,H1846/F1846,"")</f>
        <v/>
      </c>
      <c r="L1846" s="16">
        <f>IF(AND(G1846&gt;0,H1846&gt;0),G1846/H1846,"")</f>
        <v/>
      </c>
    </row>
    <row r="1847">
      <c r="A1847" s="4" t="inlineStr">
        <is>
          <t>201</t>
        </is>
      </c>
      <c r="B1847" s="4" t="n">
        <v>2</v>
      </c>
      <c r="C1847" s="4" t="inlineStr">
        <is>
          <t>elk</t>
        </is>
      </c>
      <c r="D1847" s="4" t="n">
        <v>2018</v>
      </c>
      <c r="E1847" s="13" t="inlineStr">
        <is>
          <t>General</t>
        </is>
      </c>
      <c r="F1847" s="5" t="n">
        <v>1479</v>
      </c>
      <c r="G1847" s="5" t="n">
        <v>10072</v>
      </c>
      <c r="H1847" s="5" t="n">
        <v>160</v>
      </c>
      <c r="I1847" s="5" t="n">
        <v>74</v>
      </c>
      <c r="J1847" s="5" t="n">
        <v>84</v>
      </c>
      <c r="K1847" s="10">
        <f>IF(F1847&gt;0,H1847/F1847,"")</f>
        <v/>
      </c>
      <c r="L1847" s="16">
        <f>IF(AND(G1847&gt;0,H1847&gt;0),G1847/H1847,"")</f>
        <v/>
      </c>
    </row>
    <row r="1848">
      <c r="A1848" s="4" t="inlineStr">
        <is>
          <t>201</t>
        </is>
      </c>
      <c r="B1848" s="4" t="n">
        <v>2</v>
      </c>
      <c r="C1848" s="4" t="inlineStr">
        <is>
          <t>elk</t>
        </is>
      </c>
      <c r="D1848" s="4" t="n">
        <v>2019</v>
      </c>
      <c r="E1848" s="13" t="inlineStr">
        <is>
          <t>General</t>
        </is>
      </c>
      <c r="F1848" s="5" t="n"/>
      <c r="G1848" s="5" t="n"/>
      <c r="H1848" s="5" t="n">
        <v>108</v>
      </c>
      <c r="I1848" s="5" t="n">
        <v>50</v>
      </c>
      <c r="J1848" s="5" t="n">
        <v>58</v>
      </c>
      <c r="K1848" s="10">
        <f>IF(F1848&gt;0,H1848/F1848,"")</f>
        <v/>
      </c>
      <c r="L1848" s="16">
        <f>IF(AND(G1848&gt;0,H1848&gt;0),G1848/H1848,"")</f>
        <v/>
      </c>
    </row>
    <row r="1849">
      <c r="A1849" s="4" t="inlineStr">
        <is>
          <t>201</t>
        </is>
      </c>
      <c r="B1849" s="4" t="n">
        <v>2</v>
      </c>
      <c r="C1849" s="4" t="inlineStr">
        <is>
          <t>elk</t>
        </is>
      </c>
      <c r="D1849" s="4" t="n">
        <v>2020</v>
      </c>
      <c r="E1849" s="13" t="inlineStr">
        <is>
          <t>General</t>
        </is>
      </c>
      <c r="F1849" s="5" t="n">
        <v>1432</v>
      </c>
      <c r="G1849" s="5" t="n">
        <v>11882</v>
      </c>
      <c r="H1849" s="5" t="n">
        <v>142</v>
      </c>
      <c r="I1849" s="5" t="n">
        <v>70</v>
      </c>
      <c r="J1849" s="5" t="n">
        <v>64</v>
      </c>
      <c r="K1849" s="10">
        <f>IF(F1849&gt;0,H1849/F1849,"")</f>
        <v/>
      </c>
      <c r="L1849" s="16">
        <f>IF(AND(G1849&gt;0,H1849&gt;0),G1849/H1849,"")</f>
        <v/>
      </c>
    </row>
    <row r="1850">
      <c r="A1850" s="4" t="inlineStr">
        <is>
          <t>201</t>
        </is>
      </c>
      <c r="B1850" s="4" t="n">
        <v>2</v>
      </c>
      <c r="C1850" s="4" t="inlineStr">
        <is>
          <t>elk</t>
        </is>
      </c>
      <c r="D1850" s="4" t="n">
        <v>2021</v>
      </c>
      <c r="E1850" s="13" t="inlineStr">
        <is>
          <t>General</t>
        </is>
      </c>
      <c r="F1850" s="5" t="n"/>
      <c r="G1850" s="5" t="n"/>
      <c r="H1850" s="5" t="n">
        <v>121</v>
      </c>
      <c r="I1850" s="5" t="n">
        <v>76</v>
      </c>
      <c r="J1850" s="5" t="n">
        <v>42</v>
      </c>
      <c r="K1850" s="10">
        <f>IF(F1850&gt;0,H1850/F1850,"")</f>
        <v/>
      </c>
      <c r="L1850" s="16">
        <f>IF(AND(G1850&gt;0,H1850&gt;0),G1850/H1850,"")</f>
        <v/>
      </c>
    </row>
    <row r="1851">
      <c r="A1851" s="4" t="inlineStr">
        <is>
          <t>201</t>
        </is>
      </c>
      <c r="B1851" s="4" t="n">
        <v>2</v>
      </c>
      <c r="C1851" s="4" t="inlineStr">
        <is>
          <t>elk</t>
        </is>
      </c>
      <c r="D1851" s="4" t="n">
        <v>2022</v>
      </c>
      <c r="E1851" s="13" t="inlineStr">
        <is>
          <t>General</t>
        </is>
      </c>
      <c r="F1851" s="5" t="n">
        <v>2276</v>
      </c>
      <c r="G1851" s="5" t="n">
        <v>17321</v>
      </c>
      <c r="H1851" s="5" t="n">
        <v>245</v>
      </c>
      <c r="I1851" s="5" t="n">
        <v>153</v>
      </c>
      <c r="J1851" s="5" t="n">
        <v>92</v>
      </c>
      <c r="K1851" s="10">
        <f>IF(F1851&gt;0,H1851/F1851,"")</f>
        <v/>
      </c>
      <c r="L1851" s="16">
        <f>IF(AND(G1851&gt;0,H1851&gt;0),G1851/H1851,"")</f>
        <v/>
      </c>
    </row>
    <row r="1852">
      <c r="A1852" s="4" t="inlineStr">
        <is>
          <t>201</t>
        </is>
      </c>
      <c r="B1852" s="4" t="n">
        <v>2</v>
      </c>
      <c r="C1852" s="4" t="inlineStr">
        <is>
          <t>elk</t>
        </is>
      </c>
      <c r="D1852" s="4" t="n">
        <v>2023</v>
      </c>
      <c r="E1852" s="13" t="inlineStr">
        <is>
          <t>General</t>
        </is>
      </c>
      <c r="F1852" s="5" t="n"/>
      <c r="G1852" s="5" t="n"/>
      <c r="H1852" s="5" t="n">
        <v>287</v>
      </c>
      <c r="I1852" s="5" t="n">
        <v>207</v>
      </c>
      <c r="J1852" s="5" t="n">
        <v>77</v>
      </c>
      <c r="K1852" s="10">
        <f>IF(F1852&gt;0,H1852/F1852,"")</f>
        <v/>
      </c>
      <c r="L1852" s="16">
        <f>IF(AND(G1852&gt;0,H1852&gt;0),G1852/H1852,"")</f>
        <v/>
      </c>
    </row>
    <row r="1853">
      <c r="A1853" s="4" t="inlineStr">
        <is>
          <t>201</t>
        </is>
      </c>
      <c r="B1853" s="4" t="n">
        <v>2</v>
      </c>
      <c r="C1853" s="4" t="inlineStr">
        <is>
          <t>elk</t>
        </is>
      </c>
      <c r="D1853" s="4" t="n">
        <v>2024</v>
      </c>
      <c r="E1853" s="13" t="inlineStr">
        <is>
          <t>General</t>
        </is>
      </c>
      <c r="F1853" s="5" t="n">
        <v>2503</v>
      </c>
      <c r="G1853" s="5" t="n">
        <v>21002</v>
      </c>
      <c r="H1853" s="5" t="n">
        <v>327</v>
      </c>
      <c r="I1853" s="5" t="n">
        <v>150</v>
      </c>
      <c r="J1853" s="5" t="n">
        <v>174</v>
      </c>
      <c r="K1853" s="10">
        <f>IF(F1853&gt;0,H1853/F1853,"")</f>
        <v/>
      </c>
      <c r="L1853" s="16">
        <f>IF(AND(G1853&gt;0,H1853&gt;0),G1853/H1853,"")</f>
        <v/>
      </c>
    </row>
    <row r="1854">
      <c r="A1854" s="4" t="inlineStr">
        <is>
          <t>201</t>
        </is>
      </c>
      <c r="B1854" s="4" t="n">
        <v>2</v>
      </c>
      <c r="C1854" s="4" t="inlineStr">
        <is>
          <t>elk</t>
        </is>
      </c>
      <c r="D1854" s="4" t="n">
        <v>2025</v>
      </c>
      <c r="E1854" s="13" t="inlineStr">
        <is>
          <t>General</t>
        </is>
      </c>
      <c r="F1854" s="5" t="n"/>
      <c r="G1854" s="5" t="n"/>
      <c r="H1854" s="5" t="n">
        <v>274</v>
      </c>
      <c r="I1854" s="5" t="n">
        <v>116</v>
      </c>
      <c r="J1854" s="5" t="n">
        <v>158</v>
      </c>
      <c r="K1854" s="10">
        <f>IF(F1854&gt;0,H1854/F1854,"")</f>
        <v/>
      </c>
      <c r="L1854" s="16">
        <f>IF(AND(G1854&gt;0,H1854&gt;0),G1854/H1854,"")</f>
        <v/>
      </c>
    </row>
    <row r="1855">
      <c r="A1855" s="4" t="inlineStr">
        <is>
          <t>202</t>
        </is>
      </c>
      <c r="B1855" s="4" t="n">
        <v>2</v>
      </c>
      <c r="C1855" s="4" t="inlineStr">
        <is>
          <t>elk</t>
        </is>
      </c>
      <c r="D1855" s="4" t="n">
        <v>2004</v>
      </c>
      <c r="E1855" s="13" t="inlineStr">
        <is>
          <t>General</t>
        </is>
      </c>
      <c r="F1855" s="5" t="n">
        <v>1591</v>
      </c>
      <c r="G1855" s="5" t="n">
        <v>11194</v>
      </c>
      <c r="H1855" s="5" t="n">
        <v>149</v>
      </c>
      <c r="I1855" s="5" t="n">
        <v>97</v>
      </c>
      <c r="J1855" s="5" t="n">
        <v>45</v>
      </c>
      <c r="K1855" s="10">
        <f>IF(F1855&gt;0,H1855/F1855,"")</f>
        <v/>
      </c>
      <c r="L1855" s="16">
        <f>IF(AND(G1855&gt;0,H1855&gt;0),G1855/H1855,"")</f>
        <v/>
      </c>
    </row>
    <row r="1856">
      <c r="A1856" s="4" t="inlineStr">
        <is>
          <t>202</t>
        </is>
      </c>
      <c r="B1856" s="4" t="n">
        <v>2</v>
      </c>
      <c r="C1856" s="4" t="inlineStr">
        <is>
          <t>elk</t>
        </is>
      </c>
      <c r="D1856" s="4" t="n">
        <v>2005</v>
      </c>
      <c r="E1856" s="13" t="inlineStr">
        <is>
          <t>General</t>
        </is>
      </c>
      <c r="F1856" s="5" t="n">
        <v>1525</v>
      </c>
      <c r="G1856" s="5" t="n">
        <v>11017</v>
      </c>
      <c r="H1856" s="5" t="n">
        <v>142</v>
      </c>
      <c r="I1856" s="5" t="n">
        <v>74</v>
      </c>
      <c r="J1856" s="5" t="n">
        <v>60</v>
      </c>
      <c r="K1856" s="10">
        <f>IF(F1856&gt;0,H1856/F1856,"")</f>
        <v/>
      </c>
      <c r="L1856" s="16">
        <f>IF(AND(G1856&gt;0,H1856&gt;0),G1856/H1856,"")</f>
        <v/>
      </c>
    </row>
    <row r="1857">
      <c r="A1857" s="4" t="inlineStr">
        <is>
          <t>202</t>
        </is>
      </c>
      <c r="B1857" s="4" t="n">
        <v>2</v>
      </c>
      <c r="C1857" s="4" t="inlineStr">
        <is>
          <t>elk</t>
        </is>
      </c>
      <c r="D1857" s="4" t="n">
        <v>2006</v>
      </c>
      <c r="E1857" s="13" t="inlineStr">
        <is>
          <t>General</t>
        </is>
      </c>
      <c r="F1857" s="5" t="n">
        <v>1180</v>
      </c>
      <c r="G1857" s="5" t="n">
        <v>8840</v>
      </c>
      <c r="H1857" s="5" t="n">
        <v>152</v>
      </c>
      <c r="I1857" s="5" t="n">
        <v>92</v>
      </c>
      <c r="J1857" s="5" t="n">
        <v>47</v>
      </c>
      <c r="K1857" s="10">
        <f>IF(F1857&gt;0,H1857/F1857,"")</f>
        <v/>
      </c>
      <c r="L1857" s="16">
        <f>IF(AND(G1857&gt;0,H1857&gt;0),G1857/H1857,"")</f>
        <v/>
      </c>
    </row>
    <row r="1858">
      <c r="A1858" s="4" t="inlineStr">
        <is>
          <t>202</t>
        </is>
      </c>
      <c r="B1858" s="4" t="n">
        <v>2</v>
      </c>
      <c r="C1858" s="4" t="inlineStr">
        <is>
          <t>elk</t>
        </is>
      </c>
      <c r="D1858" s="4" t="n">
        <v>2007</v>
      </c>
      <c r="E1858" s="13" t="inlineStr">
        <is>
          <t>General</t>
        </is>
      </c>
      <c r="F1858" s="5" t="n">
        <v>940</v>
      </c>
      <c r="G1858" s="5" t="n">
        <v>8239</v>
      </c>
      <c r="H1858" s="5" t="n">
        <v>87</v>
      </c>
      <c r="I1858" s="5" t="n">
        <v>62</v>
      </c>
      <c r="J1858" s="5" t="n">
        <v>24</v>
      </c>
      <c r="K1858" s="10">
        <f>IF(F1858&gt;0,H1858/F1858,"")</f>
        <v/>
      </c>
      <c r="L1858" s="16">
        <f>IF(AND(G1858&gt;0,H1858&gt;0),G1858/H1858,"")</f>
        <v/>
      </c>
    </row>
    <row r="1859">
      <c r="A1859" s="4" t="inlineStr">
        <is>
          <t>202</t>
        </is>
      </c>
      <c r="B1859" s="4" t="n">
        <v>2</v>
      </c>
      <c r="C1859" s="4" t="inlineStr">
        <is>
          <t>elk</t>
        </is>
      </c>
      <c r="D1859" s="4" t="n">
        <v>2008</v>
      </c>
      <c r="E1859" s="13" t="inlineStr">
        <is>
          <t>General</t>
        </is>
      </c>
      <c r="F1859" s="5" t="n">
        <v>1106</v>
      </c>
      <c r="G1859" s="5" t="n">
        <v>8700</v>
      </c>
      <c r="H1859" s="5" t="n">
        <v>73</v>
      </c>
      <c r="I1859" s="5" t="n">
        <v>54</v>
      </c>
      <c r="J1859" s="5" t="n">
        <v>17</v>
      </c>
      <c r="K1859" s="10">
        <f>IF(F1859&gt;0,H1859/F1859,"")</f>
        <v/>
      </c>
      <c r="L1859" s="16">
        <f>IF(AND(G1859&gt;0,H1859&gt;0),G1859/H1859,"")</f>
        <v/>
      </c>
    </row>
    <row r="1860">
      <c r="A1860" s="4" t="inlineStr">
        <is>
          <t>202</t>
        </is>
      </c>
      <c r="B1860" s="4" t="n">
        <v>2</v>
      </c>
      <c r="C1860" s="4" t="inlineStr">
        <is>
          <t>elk</t>
        </is>
      </c>
      <c r="D1860" s="4" t="n">
        <v>2009</v>
      </c>
      <c r="E1860" s="13" t="inlineStr">
        <is>
          <t>General</t>
        </is>
      </c>
      <c r="F1860" s="5" t="n">
        <v>1161</v>
      </c>
      <c r="G1860" s="5" t="n">
        <v>9091</v>
      </c>
      <c r="H1860" s="5" t="n">
        <v>85</v>
      </c>
      <c r="I1860" s="5" t="n">
        <v>72</v>
      </c>
      <c r="J1860" s="5" t="n">
        <v>13</v>
      </c>
      <c r="K1860" s="10">
        <f>IF(F1860&gt;0,H1860/F1860,"")</f>
        <v/>
      </c>
      <c r="L1860" s="16">
        <f>IF(AND(G1860&gt;0,H1860&gt;0),G1860/H1860,"")</f>
        <v/>
      </c>
    </row>
    <row r="1861">
      <c r="A1861" s="4" t="inlineStr">
        <is>
          <t>202</t>
        </is>
      </c>
      <c r="B1861" s="4" t="n">
        <v>2</v>
      </c>
      <c r="C1861" s="4" t="inlineStr">
        <is>
          <t>elk</t>
        </is>
      </c>
      <c r="D1861" s="4" t="n">
        <v>2010</v>
      </c>
      <c r="E1861" s="13" t="inlineStr">
        <is>
          <t>General</t>
        </is>
      </c>
      <c r="F1861" s="5" t="n">
        <v>1028</v>
      </c>
      <c r="G1861" s="5" t="n">
        <v>8695</v>
      </c>
      <c r="H1861" s="5" t="n">
        <v>67</v>
      </c>
      <c r="I1861" s="5" t="n">
        <v>44</v>
      </c>
      <c r="J1861" s="5" t="n">
        <v>22</v>
      </c>
      <c r="K1861" s="10">
        <f>IF(F1861&gt;0,H1861/F1861,"")</f>
        <v/>
      </c>
      <c r="L1861" s="16">
        <f>IF(AND(G1861&gt;0,H1861&gt;0),G1861/H1861,"")</f>
        <v/>
      </c>
    </row>
    <row r="1862">
      <c r="A1862" s="4" t="inlineStr">
        <is>
          <t>202</t>
        </is>
      </c>
      <c r="B1862" s="4" t="n">
        <v>2</v>
      </c>
      <c r="C1862" s="4" t="inlineStr">
        <is>
          <t>elk</t>
        </is>
      </c>
      <c r="D1862" s="4" t="n">
        <v>2011</v>
      </c>
      <c r="E1862" s="13" t="inlineStr">
        <is>
          <t>General</t>
        </is>
      </c>
      <c r="F1862" s="5" t="n">
        <v>1085</v>
      </c>
      <c r="G1862" s="5" t="n">
        <v>8528</v>
      </c>
      <c r="H1862" s="5" t="n">
        <v>70</v>
      </c>
      <c r="I1862" s="5" t="n">
        <v>55</v>
      </c>
      <c r="J1862" s="5" t="n">
        <v>12</v>
      </c>
      <c r="K1862" s="10">
        <f>IF(F1862&gt;0,H1862/F1862,"")</f>
        <v/>
      </c>
      <c r="L1862" s="16">
        <f>IF(AND(G1862&gt;0,H1862&gt;0),G1862/H1862,"")</f>
        <v/>
      </c>
    </row>
    <row r="1863">
      <c r="A1863" s="4" t="inlineStr">
        <is>
          <t>202</t>
        </is>
      </c>
      <c r="B1863" s="4" t="n">
        <v>2</v>
      </c>
      <c r="C1863" s="4" t="inlineStr">
        <is>
          <t>elk</t>
        </is>
      </c>
      <c r="D1863" s="4" t="n">
        <v>2012</v>
      </c>
      <c r="E1863" s="13" t="inlineStr">
        <is>
          <t>General</t>
        </is>
      </c>
      <c r="F1863" s="5" t="n">
        <v>881</v>
      </c>
      <c r="G1863" s="5" t="n">
        <v>7425</v>
      </c>
      <c r="H1863" s="5" t="n">
        <v>45</v>
      </c>
      <c r="I1863" s="5" t="n">
        <v>43</v>
      </c>
      <c r="J1863" s="5" t="n">
        <v>2</v>
      </c>
      <c r="K1863" s="10">
        <f>IF(F1863&gt;0,H1863/F1863,"")</f>
        <v/>
      </c>
      <c r="L1863" s="16">
        <f>IF(AND(G1863&gt;0,H1863&gt;0),G1863/H1863,"")</f>
        <v/>
      </c>
    </row>
    <row r="1864">
      <c r="A1864" s="4" t="inlineStr">
        <is>
          <t>202</t>
        </is>
      </c>
      <c r="B1864" s="4" t="n">
        <v>2</v>
      </c>
      <c r="C1864" s="4" t="inlineStr">
        <is>
          <t>elk</t>
        </is>
      </c>
      <c r="D1864" s="4" t="n">
        <v>2013</v>
      </c>
      <c r="E1864" s="13" t="inlineStr">
        <is>
          <t>General</t>
        </is>
      </c>
      <c r="F1864" s="5" t="n"/>
      <c r="G1864" s="5" t="n"/>
      <c r="H1864" s="5" t="n">
        <v>41</v>
      </c>
      <c r="I1864" s="5" t="n">
        <v>38</v>
      </c>
      <c r="J1864" s="5" t="n">
        <v>3</v>
      </c>
      <c r="K1864" s="10">
        <f>IF(F1864&gt;0,H1864/F1864,"")</f>
        <v/>
      </c>
      <c r="L1864" s="16">
        <f>IF(AND(G1864&gt;0,H1864&gt;0),G1864/H1864,"")</f>
        <v/>
      </c>
    </row>
    <row r="1865">
      <c r="A1865" s="4" t="inlineStr">
        <is>
          <t>202</t>
        </is>
      </c>
      <c r="B1865" s="4" t="n">
        <v>2</v>
      </c>
      <c r="C1865" s="4" t="inlineStr">
        <is>
          <t>elk</t>
        </is>
      </c>
      <c r="D1865" s="4" t="n">
        <v>2014</v>
      </c>
      <c r="E1865" s="13" t="inlineStr">
        <is>
          <t>General</t>
        </is>
      </c>
      <c r="F1865" s="5" t="n">
        <v>825</v>
      </c>
      <c r="G1865" s="5" t="n">
        <v>6921</v>
      </c>
      <c r="H1865" s="5" t="n">
        <v>49</v>
      </c>
      <c r="I1865" s="5" t="n">
        <v>39</v>
      </c>
      <c r="J1865" s="5" t="n">
        <v>7</v>
      </c>
      <c r="K1865" s="10">
        <f>IF(F1865&gt;0,H1865/F1865,"")</f>
        <v/>
      </c>
      <c r="L1865" s="16">
        <f>IF(AND(G1865&gt;0,H1865&gt;0),G1865/H1865,"")</f>
        <v/>
      </c>
    </row>
    <row r="1866">
      <c r="A1866" s="4" t="inlineStr">
        <is>
          <t>202</t>
        </is>
      </c>
      <c r="B1866" s="4" t="n">
        <v>2</v>
      </c>
      <c r="C1866" s="4" t="inlineStr">
        <is>
          <t>elk</t>
        </is>
      </c>
      <c r="D1866" s="4" t="n">
        <v>2015</v>
      </c>
      <c r="E1866" s="13" t="inlineStr">
        <is>
          <t>General</t>
        </is>
      </c>
      <c r="F1866" s="5" t="n">
        <v>976</v>
      </c>
      <c r="G1866" s="5" t="n">
        <v>7934</v>
      </c>
      <c r="H1866" s="5" t="n">
        <v>62</v>
      </c>
      <c r="I1866" s="5" t="n">
        <v>53</v>
      </c>
      <c r="J1866" s="5" t="n">
        <v>8</v>
      </c>
      <c r="K1866" s="10">
        <f>IF(F1866&gt;0,H1866/F1866,"")</f>
        <v/>
      </c>
      <c r="L1866" s="16">
        <f>IF(AND(G1866&gt;0,H1866&gt;0),G1866/H1866,"")</f>
        <v/>
      </c>
    </row>
    <row r="1867">
      <c r="A1867" s="4" t="inlineStr">
        <is>
          <t>202</t>
        </is>
      </c>
      <c r="B1867" s="4" t="n">
        <v>2</v>
      </c>
      <c r="C1867" s="4" t="inlineStr">
        <is>
          <t>elk</t>
        </is>
      </c>
      <c r="D1867" s="4" t="n">
        <v>2016</v>
      </c>
      <c r="E1867" s="13" t="inlineStr">
        <is>
          <t>General</t>
        </is>
      </c>
      <c r="F1867" s="5" t="n">
        <v>933</v>
      </c>
      <c r="G1867" s="5" t="n">
        <v>7533</v>
      </c>
      <c r="H1867" s="5" t="n">
        <v>53</v>
      </c>
      <c r="I1867" s="5" t="n">
        <v>41</v>
      </c>
      <c r="J1867" s="5" t="n">
        <v>12</v>
      </c>
      <c r="K1867" s="10">
        <f>IF(F1867&gt;0,H1867/F1867,"")</f>
        <v/>
      </c>
      <c r="L1867" s="16">
        <f>IF(AND(G1867&gt;0,H1867&gt;0),G1867/H1867,"")</f>
        <v/>
      </c>
    </row>
    <row r="1868">
      <c r="A1868" s="4" t="inlineStr">
        <is>
          <t>202</t>
        </is>
      </c>
      <c r="B1868" s="4" t="n">
        <v>2</v>
      </c>
      <c r="C1868" s="4" t="inlineStr">
        <is>
          <t>elk</t>
        </is>
      </c>
      <c r="D1868" s="4" t="n">
        <v>2017</v>
      </c>
      <c r="E1868" s="13" t="inlineStr">
        <is>
          <t>General</t>
        </is>
      </c>
      <c r="F1868" s="5" t="n"/>
      <c r="G1868" s="5" t="n"/>
      <c r="H1868" s="5" t="n">
        <v>65</v>
      </c>
      <c r="I1868" s="5" t="n">
        <v>47</v>
      </c>
      <c r="J1868" s="5" t="n">
        <v>17</v>
      </c>
      <c r="K1868" s="10">
        <f>IF(F1868&gt;0,H1868/F1868,"")</f>
        <v/>
      </c>
      <c r="L1868" s="16">
        <f>IF(AND(G1868&gt;0,H1868&gt;0),G1868/H1868,"")</f>
        <v/>
      </c>
    </row>
    <row r="1869">
      <c r="A1869" s="4" t="inlineStr">
        <is>
          <t>202</t>
        </is>
      </c>
      <c r="B1869" s="4" t="n">
        <v>2</v>
      </c>
      <c r="C1869" s="4" t="inlineStr">
        <is>
          <t>elk</t>
        </is>
      </c>
      <c r="D1869" s="4" t="n">
        <v>2018</v>
      </c>
      <c r="E1869" s="13" t="inlineStr">
        <is>
          <t>General</t>
        </is>
      </c>
      <c r="F1869" s="5" t="n">
        <v>912</v>
      </c>
      <c r="G1869" s="5" t="n">
        <v>6869</v>
      </c>
      <c r="H1869" s="5" t="n">
        <v>53</v>
      </c>
      <c r="I1869" s="5" t="n">
        <v>43</v>
      </c>
      <c r="J1869" s="5" t="n">
        <v>9</v>
      </c>
      <c r="K1869" s="10">
        <f>IF(F1869&gt;0,H1869/F1869,"")</f>
        <v/>
      </c>
      <c r="L1869" s="16">
        <f>IF(AND(G1869&gt;0,H1869&gt;0),G1869/H1869,"")</f>
        <v/>
      </c>
    </row>
    <row r="1870">
      <c r="A1870" s="4" t="inlineStr">
        <is>
          <t>202</t>
        </is>
      </c>
      <c r="B1870" s="4" t="n">
        <v>2</v>
      </c>
      <c r="C1870" s="4" t="inlineStr">
        <is>
          <t>elk</t>
        </is>
      </c>
      <c r="D1870" s="4" t="n">
        <v>2019</v>
      </c>
      <c r="E1870" s="13" t="inlineStr">
        <is>
          <t>General</t>
        </is>
      </c>
      <c r="F1870" s="5" t="n"/>
      <c r="G1870" s="5" t="n"/>
      <c r="H1870" s="5" t="n">
        <v>56</v>
      </c>
      <c r="I1870" s="5" t="n">
        <v>52</v>
      </c>
      <c r="J1870" s="5" t="n">
        <v>4</v>
      </c>
      <c r="K1870" s="10">
        <f>IF(F1870&gt;0,H1870/F1870,"")</f>
        <v/>
      </c>
      <c r="L1870" s="16">
        <f>IF(AND(G1870&gt;0,H1870&gt;0),G1870/H1870,"")</f>
        <v/>
      </c>
    </row>
    <row r="1871">
      <c r="A1871" s="4" t="inlineStr">
        <is>
          <t>202</t>
        </is>
      </c>
      <c r="B1871" s="4" t="n">
        <v>2</v>
      </c>
      <c r="C1871" s="4" t="inlineStr">
        <is>
          <t>elk</t>
        </is>
      </c>
      <c r="D1871" s="4" t="n">
        <v>2020</v>
      </c>
      <c r="E1871" s="13" t="inlineStr">
        <is>
          <t>General</t>
        </is>
      </c>
      <c r="F1871" s="5" t="n">
        <v>970</v>
      </c>
      <c r="G1871" s="5" t="n">
        <v>8624</v>
      </c>
      <c r="H1871" s="5" t="n">
        <v>80</v>
      </c>
      <c r="I1871" s="5" t="n">
        <v>69</v>
      </c>
      <c r="J1871" s="5" t="n">
        <v>11</v>
      </c>
      <c r="K1871" s="10">
        <f>IF(F1871&gt;0,H1871/F1871,"")</f>
        <v/>
      </c>
      <c r="L1871" s="16">
        <f>IF(AND(G1871&gt;0,H1871&gt;0),G1871/H1871,"")</f>
        <v/>
      </c>
    </row>
    <row r="1872">
      <c r="A1872" s="4" t="inlineStr">
        <is>
          <t>202</t>
        </is>
      </c>
      <c r="B1872" s="4" t="n">
        <v>2</v>
      </c>
      <c r="C1872" s="4" t="inlineStr">
        <is>
          <t>elk</t>
        </is>
      </c>
      <c r="D1872" s="4" t="n">
        <v>2021</v>
      </c>
      <c r="E1872" s="13" t="inlineStr">
        <is>
          <t>General</t>
        </is>
      </c>
      <c r="F1872" s="5" t="n"/>
      <c r="G1872" s="5" t="n"/>
      <c r="H1872" s="5" t="n">
        <v>89</v>
      </c>
      <c r="I1872" s="5" t="n">
        <v>71</v>
      </c>
      <c r="J1872" s="5" t="n">
        <v>19</v>
      </c>
      <c r="K1872" s="10">
        <f>IF(F1872&gt;0,H1872/F1872,"")</f>
        <v/>
      </c>
      <c r="L1872" s="16">
        <f>IF(AND(G1872&gt;0,H1872&gt;0),G1872/H1872,"")</f>
        <v/>
      </c>
    </row>
    <row r="1873">
      <c r="A1873" s="4" t="inlineStr">
        <is>
          <t>202</t>
        </is>
      </c>
      <c r="B1873" s="4" t="n">
        <v>2</v>
      </c>
      <c r="C1873" s="4" t="inlineStr">
        <is>
          <t>elk</t>
        </is>
      </c>
      <c r="D1873" s="4" t="n">
        <v>2022</v>
      </c>
      <c r="E1873" s="13" t="inlineStr">
        <is>
          <t>General</t>
        </is>
      </c>
      <c r="F1873" s="5" t="n">
        <v>1094</v>
      </c>
      <c r="G1873" s="5" t="n">
        <v>8326</v>
      </c>
      <c r="H1873" s="5" t="n">
        <v>59</v>
      </c>
      <c r="I1873" s="5" t="n">
        <v>49</v>
      </c>
      <c r="J1873" s="5" t="n">
        <v>10</v>
      </c>
      <c r="K1873" s="10">
        <f>IF(F1873&gt;0,H1873/F1873,"")</f>
        <v/>
      </c>
      <c r="L1873" s="16">
        <f>IF(AND(G1873&gt;0,H1873&gt;0),G1873/H1873,"")</f>
        <v/>
      </c>
    </row>
    <row r="1874">
      <c r="A1874" s="4" t="inlineStr">
        <is>
          <t>202</t>
        </is>
      </c>
      <c r="B1874" s="4" t="n">
        <v>2</v>
      </c>
      <c r="C1874" s="4" t="inlineStr">
        <is>
          <t>elk</t>
        </is>
      </c>
      <c r="D1874" s="4" t="n">
        <v>2023</v>
      </c>
      <c r="E1874" s="13" t="inlineStr">
        <is>
          <t>General</t>
        </is>
      </c>
      <c r="F1874" s="5" t="n"/>
      <c r="G1874" s="5" t="n"/>
      <c r="H1874" s="5" t="n">
        <v>58</v>
      </c>
      <c r="I1874" s="5" t="n">
        <v>53</v>
      </c>
      <c r="J1874" s="5" t="n">
        <v>5</v>
      </c>
      <c r="K1874" s="10">
        <f>IF(F1874&gt;0,H1874/F1874,"")</f>
        <v/>
      </c>
      <c r="L1874" s="16">
        <f>IF(AND(G1874&gt;0,H1874&gt;0),G1874/H1874,"")</f>
        <v/>
      </c>
    </row>
    <row r="1875">
      <c r="A1875" s="4" t="inlineStr">
        <is>
          <t>202</t>
        </is>
      </c>
      <c r="B1875" s="4" t="n">
        <v>2</v>
      </c>
      <c r="C1875" s="4" t="inlineStr">
        <is>
          <t>elk</t>
        </is>
      </c>
      <c r="D1875" s="4" t="n">
        <v>2024</v>
      </c>
      <c r="E1875" s="13" t="inlineStr">
        <is>
          <t>General</t>
        </is>
      </c>
      <c r="F1875" s="5" t="n">
        <v>1136</v>
      </c>
      <c r="G1875" s="5" t="n">
        <v>9486</v>
      </c>
      <c r="H1875" s="5" t="n">
        <v>90</v>
      </c>
      <c r="I1875" s="5" t="n">
        <v>74</v>
      </c>
      <c r="J1875" s="5" t="n">
        <v>14</v>
      </c>
      <c r="K1875" s="10">
        <f>IF(F1875&gt;0,H1875/F1875,"")</f>
        <v/>
      </c>
      <c r="L1875" s="16">
        <f>IF(AND(G1875&gt;0,H1875&gt;0),G1875/H1875,"")</f>
        <v/>
      </c>
    </row>
    <row r="1876">
      <c r="A1876" s="4" t="inlineStr">
        <is>
          <t>202</t>
        </is>
      </c>
      <c r="B1876" s="4" t="n">
        <v>2</v>
      </c>
      <c r="C1876" s="4" t="inlineStr">
        <is>
          <t>elk</t>
        </is>
      </c>
      <c r="D1876" s="4" t="n">
        <v>2025</v>
      </c>
      <c r="E1876" s="13" t="inlineStr">
        <is>
          <t>General</t>
        </is>
      </c>
      <c r="F1876" s="5" t="n"/>
      <c r="G1876" s="5" t="n"/>
      <c r="H1876" s="5" t="n">
        <v>79</v>
      </c>
      <c r="I1876" s="5" t="n">
        <v>64</v>
      </c>
      <c r="J1876" s="5" t="n">
        <v>15</v>
      </c>
      <c r="K1876" s="10">
        <f>IF(F1876&gt;0,H1876/F1876,"")</f>
        <v/>
      </c>
      <c r="L1876" s="16">
        <f>IF(AND(G1876&gt;0,H1876&gt;0),G1876/H1876,"")</f>
        <v/>
      </c>
    </row>
    <row r="1877">
      <c r="A1877" s="4" t="inlineStr">
        <is>
          <t>203</t>
        </is>
      </c>
      <c r="B1877" s="4" t="n">
        <v>2</v>
      </c>
      <c r="C1877" s="4" t="inlineStr">
        <is>
          <t>elk</t>
        </is>
      </c>
      <c r="D1877" s="4" t="n">
        <v>2004</v>
      </c>
      <c r="E1877" s="4" t="inlineStr"/>
      <c r="F1877" s="5" t="n">
        <v>1028</v>
      </c>
      <c r="G1877" s="5" t="n">
        <v>6491</v>
      </c>
      <c r="H1877" s="5" t="n">
        <v>98</v>
      </c>
      <c r="I1877" s="5" t="n">
        <v>53</v>
      </c>
      <c r="J1877" s="5" t="n">
        <v>40</v>
      </c>
      <c r="K1877" s="10">
        <f>IF(F1877&gt;0,H1877/F1877,"")</f>
        <v/>
      </c>
      <c r="L1877" s="16">
        <f>IF(AND(G1877&gt;0,H1877&gt;0),G1877/H1877,"")</f>
        <v/>
      </c>
    </row>
    <row r="1878">
      <c r="A1878" s="4" t="inlineStr">
        <is>
          <t>203</t>
        </is>
      </c>
      <c r="B1878" s="4" t="n">
        <v>2</v>
      </c>
      <c r="C1878" s="4" t="inlineStr">
        <is>
          <t>elk</t>
        </is>
      </c>
      <c r="D1878" s="4" t="n">
        <v>2005</v>
      </c>
      <c r="E1878" s="4" t="inlineStr"/>
      <c r="F1878" s="5" t="n">
        <v>1274</v>
      </c>
      <c r="G1878" s="5" t="n">
        <v>7726</v>
      </c>
      <c r="H1878" s="5" t="n">
        <v>156</v>
      </c>
      <c r="I1878" s="5" t="n">
        <v>78</v>
      </c>
      <c r="J1878" s="5" t="n">
        <v>68</v>
      </c>
      <c r="K1878" s="10">
        <f>IF(F1878&gt;0,H1878/F1878,"")</f>
        <v/>
      </c>
      <c r="L1878" s="16">
        <f>IF(AND(G1878&gt;0,H1878&gt;0),G1878/H1878,"")</f>
        <v/>
      </c>
    </row>
    <row r="1879">
      <c r="A1879" s="4" t="inlineStr">
        <is>
          <t>203</t>
        </is>
      </c>
      <c r="B1879" s="4" t="n">
        <v>2</v>
      </c>
      <c r="C1879" s="4" t="inlineStr">
        <is>
          <t>elk</t>
        </is>
      </c>
      <c r="D1879" s="4" t="n">
        <v>2006</v>
      </c>
      <c r="E1879" s="4" t="inlineStr"/>
      <c r="F1879" s="5" t="n">
        <v>1149</v>
      </c>
      <c r="G1879" s="5" t="n">
        <v>7470</v>
      </c>
      <c r="H1879" s="5" t="n">
        <v>136</v>
      </c>
      <c r="I1879" s="5" t="n">
        <v>54</v>
      </c>
      <c r="J1879" s="5" t="n">
        <v>80</v>
      </c>
      <c r="K1879" s="10">
        <f>IF(F1879&gt;0,H1879/F1879,"")</f>
        <v/>
      </c>
      <c r="L1879" s="16">
        <f>IF(AND(G1879&gt;0,H1879&gt;0),G1879/H1879,"")</f>
        <v/>
      </c>
    </row>
    <row r="1880">
      <c r="A1880" s="4" t="inlineStr">
        <is>
          <t>203</t>
        </is>
      </c>
      <c r="B1880" s="4" t="n">
        <v>2</v>
      </c>
      <c r="C1880" s="4" t="inlineStr">
        <is>
          <t>elk</t>
        </is>
      </c>
      <c r="D1880" s="4" t="n">
        <v>2007</v>
      </c>
      <c r="E1880" s="4" t="inlineStr"/>
      <c r="F1880" s="5" t="n">
        <v>1259</v>
      </c>
      <c r="G1880" s="5" t="n">
        <v>10208</v>
      </c>
      <c r="H1880" s="5" t="n">
        <v>100</v>
      </c>
      <c r="I1880" s="5" t="n">
        <v>54</v>
      </c>
      <c r="J1880" s="5" t="n">
        <v>44</v>
      </c>
      <c r="K1880" s="10">
        <f>IF(F1880&gt;0,H1880/F1880,"")</f>
        <v/>
      </c>
      <c r="L1880" s="16">
        <f>IF(AND(G1880&gt;0,H1880&gt;0),G1880/H1880,"")</f>
        <v/>
      </c>
    </row>
    <row r="1881">
      <c r="A1881" s="4" t="inlineStr">
        <is>
          <t>203</t>
        </is>
      </c>
      <c r="B1881" s="4" t="n">
        <v>2</v>
      </c>
      <c r="C1881" s="4" t="inlineStr">
        <is>
          <t>elk</t>
        </is>
      </c>
      <c r="D1881" s="4" t="n">
        <v>2008</v>
      </c>
      <c r="E1881" s="4" t="inlineStr"/>
      <c r="F1881" s="5" t="n">
        <v>1320</v>
      </c>
      <c r="G1881" s="5" t="n">
        <v>9768</v>
      </c>
      <c r="H1881" s="5" t="n">
        <v>101</v>
      </c>
      <c r="I1881" s="5" t="n">
        <v>38</v>
      </c>
      <c r="J1881" s="5" t="n">
        <v>60</v>
      </c>
      <c r="K1881" s="10">
        <f>IF(F1881&gt;0,H1881/F1881,"")</f>
        <v/>
      </c>
      <c r="L1881" s="16">
        <f>IF(AND(G1881&gt;0,H1881&gt;0),G1881/H1881,"")</f>
        <v/>
      </c>
    </row>
    <row r="1882">
      <c r="A1882" s="4" t="inlineStr">
        <is>
          <t>203</t>
        </is>
      </c>
      <c r="B1882" s="4" t="n">
        <v>2</v>
      </c>
      <c r="C1882" s="4" t="inlineStr">
        <is>
          <t>elk</t>
        </is>
      </c>
      <c r="D1882" s="4" t="n">
        <v>2009</v>
      </c>
      <c r="E1882" s="4" t="inlineStr"/>
      <c r="F1882" s="5" t="n">
        <v>1251</v>
      </c>
      <c r="G1882" s="5" t="n">
        <v>8553</v>
      </c>
      <c r="H1882" s="5" t="n">
        <v>72</v>
      </c>
      <c r="I1882" s="5" t="n">
        <v>32</v>
      </c>
      <c r="J1882" s="5" t="n">
        <v>39</v>
      </c>
      <c r="K1882" s="10">
        <f>IF(F1882&gt;0,H1882/F1882,"")</f>
        <v/>
      </c>
      <c r="L1882" s="16">
        <f>IF(AND(G1882&gt;0,H1882&gt;0),G1882/H1882,"")</f>
        <v/>
      </c>
    </row>
    <row r="1883">
      <c r="A1883" s="4" t="inlineStr">
        <is>
          <t>203</t>
        </is>
      </c>
      <c r="B1883" s="4" t="n">
        <v>2</v>
      </c>
      <c r="C1883" s="4" t="inlineStr">
        <is>
          <t>elk</t>
        </is>
      </c>
      <c r="D1883" s="4" t="n">
        <v>2010</v>
      </c>
      <c r="E1883" s="4" t="inlineStr"/>
      <c r="F1883" s="5" t="n">
        <v>1053</v>
      </c>
      <c r="G1883" s="5" t="n">
        <v>6569</v>
      </c>
      <c r="H1883" s="5" t="n">
        <v>43</v>
      </c>
      <c r="I1883" s="5" t="n">
        <v>28</v>
      </c>
      <c r="J1883" s="5" t="n">
        <v>15</v>
      </c>
      <c r="K1883" s="10">
        <f>IF(F1883&gt;0,H1883/F1883,"")</f>
        <v/>
      </c>
      <c r="L1883" s="16">
        <f>IF(AND(G1883&gt;0,H1883&gt;0),G1883/H1883,"")</f>
        <v/>
      </c>
    </row>
    <row r="1884">
      <c r="A1884" s="4" t="inlineStr">
        <is>
          <t>203</t>
        </is>
      </c>
      <c r="B1884" s="4" t="n">
        <v>2</v>
      </c>
      <c r="C1884" s="4" t="inlineStr">
        <is>
          <t>elk</t>
        </is>
      </c>
      <c r="D1884" s="4" t="n">
        <v>2011</v>
      </c>
      <c r="E1884" s="4" t="inlineStr"/>
      <c r="F1884" s="5" t="n">
        <v>1223</v>
      </c>
      <c r="G1884" s="5" t="n">
        <v>8081</v>
      </c>
      <c r="H1884" s="5" t="n">
        <v>69</v>
      </c>
      <c r="I1884" s="5" t="n">
        <v>31</v>
      </c>
      <c r="J1884" s="5" t="n">
        <v>38</v>
      </c>
      <c r="K1884" s="10">
        <f>IF(F1884&gt;0,H1884/F1884,"")</f>
        <v/>
      </c>
      <c r="L1884" s="16">
        <f>IF(AND(G1884&gt;0,H1884&gt;0),G1884/H1884,"")</f>
        <v/>
      </c>
    </row>
    <row r="1885">
      <c r="A1885" s="4" t="inlineStr">
        <is>
          <t>203</t>
        </is>
      </c>
      <c r="B1885" s="4" t="n">
        <v>2</v>
      </c>
      <c r="C1885" s="4" t="inlineStr">
        <is>
          <t>elk</t>
        </is>
      </c>
      <c r="D1885" s="4" t="n">
        <v>2012</v>
      </c>
      <c r="E1885" s="4" t="inlineStr"/>
      <c r="F1885" s="5" t="n">
        <v>1089</v>
      </c>
      <c r="G1885" s="5" t="n">
        <v>6702</v>
      </c>
      <c r="H1885" s="5" t="n">
        <v>33</v>
      </c>
      <c r="I1885" s="5" t="n">
        <v>33</v>
      </c>
      <c r="J1885" s="5" t="n">
        <v>0</v>
      </c>
      <c r="K1885" s="10">
        <f>IF(F1885&gt;0,H1885/F1885,"")</f>
        <v/>
      </c>
      <c r="L1885" s="16">
        <f>IF(AND(G1885&gt;0,H1885&gt;0),G1885/H1885,"")</f>
        <v/>
      </c>
    </row>
    <row r="1886">
      <c r="A1886" s="4" t="inlineStr">
        <is>
          <t>203</t>
        </is>
      </c>
      <c r="B1886" s="4" t="n">
        <v>2</v>
      </c>
      <c r="C1886" s="4" t="inlineStr">
        <is>
          <t>elk</t>
        </is>
      </c>
      <c r="D1886" s="4" t="n">
        <v>2013</v>
      </c>
      <c r="E1886" s="4" t="inlineStr"/>
      <c r="F1886" s="5" t="n"/>
      <c r="G1886" s="5" t="n"/>
      <c r="H1886" s="5" t="n">
        <v>25</v>
      </c>
      <c r="I1886" s="5" t="n">
        <v>22</v>
      </c>
      <c r="J1886" s="5" t="n">
        <v>3</v>
      </c>
      <c r="K1886" s="10">
        <f>IF(F1886&gt;0,H1886/F1886,"")</f>
        <v/>
      </c>
      <c r="L1886" s="16">
        <f>IF(AND(G1886&gt;0,H1886&gt;0),G1886/H1886,"")</f>
        <v/>
      </c>
    </row>
    <row r="1887">
      <c r="A1887" s="4" t="inlineStr">
        <is>
          <t>203</t>
        </is>
      </c>
      <c r="B1887" s="4" t="n">
        <v>2</v>
      </c>
      <c r="C1887" s="4" t="inlineStr">
        <is>
          <t>elk</t>
        </is>
      </c>
      <c r="D1887" s="4" t="n">
        <v>2014</v>
      </c>
      <c r="E1887" s="4" t="inlineStr"/>
      <c r="F1887" s="5" t="n">
        <v>834</v>
      </c>
      <c r="G1887" s="5" t="n">
        <v>5172</v>
      </c>
      <c r="H1887" s="5" t="n">
        <v>37</v>
      </c>
      <c r="I1887" s="5" t="n">
        <v>34</v>
      </c>
      <c r="J1887" s="5" t="n">
        <v>3</v>
      </c>
      <c r="K1887" s="10">
        <f>IF(F1887&gt;0,H1887/F1887,"")</f>
        <v/>
      </c>
      <c r="L1887" s="16">
        <f>IF(AND(G1887&gt;0,H1887&gt;0),G1887/H1887,"")</f>
        <v/>
      </c>
    </row>
    <row r="1888">
      <c r="A1888" s="4" t="inlineStr">
        <is>
          <t>203</t>
        </is>
      </c>
      <c r="B1888" s="4" t="n">
        <v>2</v>
      </c>
      <c r="C1888" s="4" t="inlineStr">
        <is>
          <t>elk</t>
        </is>
      </c>
      <c r="D1888" s="4" t="n">
        <v>2015</v>
      </c>
      <c r="E1888" s="4" t="inlineStr"/>
      <c r="F1888" s="5" t="n">
        <v>772</v>
      </c>
      <c r="G1888" s="5" t="n">
        <v>5497</v>
      </c>
      <c r="H1888" s="5" t="n">
        <v>40</v>
      </c>
      <c r="I1888" s="5" t="n">
        <v>35</v>
      </c>
      <c r="J1888" s="5" t="n">
        <v>6</v>
      </c>
      <c r="K1888" s="10">
        <f>IF(F1888&gt;0,H1888/F1888,"")</f>
        <v/>
      </c>
      <c r="L1888" s="16">
        <f>IF(AND(G1888&gt;0,H1888&gt;0),G1888/H1888,"")</f>
        <v/>
      </c>
    </row>
    <row r="1889">
      <c r="A1889" s="4" t="inlineStr">
        <is>
          <t>203</t>
        </is>
      </c>
      <c r="B1889" s="4" t="n">
        <v>2</v>
      </c>
      <c r="C1889" s="4" t="inlineStr">
        <is>
          <t>elk</t>
        </is>
      </c>
      <c r="D1889" s="4" t="n">
        <v>2016</v>
      </c>
      <c r="E1889" s="4" t="inlineStr"/>
      <c r="F1889" s="5" t="n">
        <v>880</v>
      </c>
      <c r="G1889" s="5" t="n">
        <v>6333</v>
      </c>
      <c r="H1889" s="5" t="n">
        <v>47</v>
      </c>
      <c r="I1889" s="5" t="n">
        <v>44</v>
      </c>
      <c r="J1889" s="5" t="n">
        <v>3</v>
      </c>
      <c r="K1889" s="10">
        <f>IF(F1889&gt;0,H1889/F1889,"")</f>
        <v/>
      </c>
      <c r="L1889" s="16">
        <f>IF(AND(G1889&gt;0,H1889&gt;0),G1889/H1889,"")</f>
        <v/>
      </c>
    </row>
    <row r="1890">
      <c r="A1890" s="4" t="inlineStr">
        <is>
          <t>203</t>
        </is>
      </c>
      <c r="B1890" s="4" t="n">
        <v>2</v>
      </c>
      <c r="C1890" s="4" t="inlineStr">
        <is>
          <t>elk</t>
        </is>
      </c>
      <c r="D1890" s="4" t="n">
        <v>2017</v>
      </c>
      <c r="E1890" s="4" t="inlineStr"/>
      <c r="F1890" s="5" t="n"/>
      <c r="G1890" s="5" t="n"/>
      <c r="H1890" s="5" t="n">
        <v>67</v>
      </c>
      <c r="I1890" s="5" t="n">
        <v>57</v>
      </c>
      <c r="J1890" s="5" t="n">
        <v>10</v>
      </c>
      <c r="K1890" s="10">
        <f>IF(F1890&gt;0,H1890/F1890,"")</f>
        <v/>
      </c>
      <c r="L1890" s="16">
        <f>IF(AND(G1890&gt;0,H1890&gt;0),G1890/H1890,"")</f>
        <v/>
      </c>
    </row>
    <row r="1891">
      <c r="A1891" s="4" t="inlineStr">
        <is>
          <t>203</t>
        </is>
      </c>
      <c r="B1891" s="4" t="n">
        <v>2</v>
      </c>
      <c r="C1891" s="4" t="inlineStr">
        <is>
          <t>elk</t>
        </is>
      </c>
      <c r="D1891" s="4" t="n">
        <v>2018</v>
      </c>
      <c r="E1891" s="4" t="inlineStr"/>
      <c r="F1891" s="5" t="n">
        <v>1008</v>
      </c>
      <c r="G1891" s="5" t="n">
        <v>6968</v>
      </c>
      <c r="H1891" s="5" t="n">
        <v>84</v>
      </c>
      <c r="I1891" s="5" t="n">
        <v>15</v>
      </c>
      <c r="J1891" s="5" t="n">
        <v>67</v>
      </c>
      <c r="K1891" s="10">
        <f>IF(F1891&gt;0,H1891/F1891,"")</f>
        <v/>
      </c>
      <c r="L1891" s="16">
        <f>IF(AND(G1891&gt;0,H1891&gt;0),G1891/H1891,"")</f>
        <v/>
      </c>
    </row>
    <row r="1892">
      <c r="A1892" s="4" t="inlineStr">
        <is>
          <t>203</t>
        </is>
      </c>
      <c r="B1892" s="4" t="n">
        <v>2</v>
      </c>
      <c r="C1892" s="4" t="inlineStr">
        <is>
          <t>elk</t>
        </is>
      </c>
      <c r="D1892" s="4" t="n">
        <v>2019</v>
      </c>
      <c r="E1892" s="4" t="inlineStr"/>
      <c r="F1892" s="5" t="n"/>
      <c r="G1892" s="5" t="n"/>
      <c r="H1892" s="5" t="n">
        <v>58</v>
      </c>
      <c r="I1892" s="5" t="n">
        <v>27</v>
      </c>
      <c r="J1892" s="5" t="n">
        <v>28</v>
      </c>
      <c r="K1892" s="10">
        <f>IF(F1892&gt;0,H1892/F1892,"")</f>
        <v/>
      </c>
      <c r="L1892" s="16">
        <f>IF(AND(G1892&gt;0,H1892&gt;0),G1892/H1892,"")</f>
        <v/>
      </c>
    </row>
    <row r="1893">
      <c r="A1893" s="4" t="inlineStr">
        <is>
          <t>203</t>
        </is>
      </c>
      <c r="B1893" s="4" t="n">
        <v>2</v>
      </c>
      <c r="C1893" s="4" t="inlineStr">
        <is>
          <t>elk</t>
        </is>
      </c>
      <c r="D1893" s="4" t="n">
        <v>2020</v>
      </c>
      <c r="E1893" s="4" t="inlineStr"/>
      <c r="F1893" s="5" t="n">
        <v>992</v>
      </c>
      <c r="G1893" s="5" t="n">
        <v>6663</v>
      </c>
      <c r="H1893" s="5" t="n">
        <v>81</v>
      </c>
      <c r="I1893" s="5" t="n">
        <v>48</v>
      </c>
      <c r="J1893" s="5" t="n">
        <v>29</v>
      </c>
      <c r="K1893" s="10">
        <f>IF(F1893&gt;0,H1893/F1893,"")</f>
        <v/>
      </c>
      <c r="L1893" s="16">
        <f>IF(AND(G1893&gt;0,H1893&gt;0),G1893/H1893,"")</f>
        <v/>
      </c>
    </row>
    <row r="1894">
      <c r="A1894" s="4" t="inlineStr">
        <is>
          <t>203</t>
        </is>
      </c>
      <c r="B1894" s="4" t="n">
        <v>2</v>
      </c>
      <c r="C1894" s="4" t="inlineStr">
        <is>
          <t>elk</t>
        </is>
      </c>
      <c r="D1894" s="4" t="n">
        <v>2021</v>
      </c>
      <c r="E1894" s="4" t="inlineStr"/>
      <c r="F1894" s="5" t="n"/>
      <c r="G1894" s="5" t="n"/>
      <c r="H1894" s="5" t="n">
        <v>53</v>
      </c>
      <c r="I1894" s="5" t="n">
        <v>22</v>
      </c>
      <c r="J1894" s="5" t="n">
        <v>29</v>
      </c>
      <c r="K1894" s="10">
        <f>IF(F1894&gt;0,H1894/F1894,"")</f>
        <v/>
      </c>
      <c r="L1894" s="16">
        <f>IF(AND(G1894&gt;0,H1894&gt;0),G1894/H1894,"")</f>
        <v/>
      </c>
    </row>
    <row r="1895">
      <c r="A1895" s="4" t="inlineStr">
        <is>
          <t>204</t>
        </is>
      </c>
      <c r="B1895" s="4" t="n">
        <v>2</v>
      </c>
      <c r="C1895" s="4" t="inlineStr">
        <is>
          <t>elk</t>
        </is>
      </c>
      <c r="D1895" s="4" t="n">
        <v>2004</v>
      </c>
      <c r="E1895" s="13" t="inlineStr">
        <is>
          <t>General</t>
        </is>
      </c>
      <c r="F1895" s="5" t="n">
        <v>1730</v>
      </c>
      <c r="G1895" s="5" t="n">
        <v>12080</v>
      </c>
      <c r="H1895" s="5" t="n">
        <v>273</v>
      </c>
      <c r="I1895" s="5" t="n">
        <v>76</v>
      </c>
      <c r="J1895" s="5" t="n">
        <v>183</v>
      </c>
      <c r="K1895" s="10">
        <f>IF(F1895&gt;0,H1895/F1895,"")</f>
        <v/>
      </c>
      <c r="L1895" s="16">
        <f>IF(AND(G1895&gt;0,H1895&gt;0),G1895/H1895,"")</f>
        <v/>
      </c>
    </row>
    <row r="1896">
      <c r="A1896" s="4" t="inlineStr">
        <is>
          <t>204</t>
        </is>
      </c>
      <c r="B1896" s="4" t="n">
        <v>2</v>
      </c>
      <c r="C1896" s="4" t="inlineStr">
        <is>
          <t>elk</t>
        </is>
      </c>
      <c r="D1896" s="4" t="n">
        <v>2005</v>
      </c>
      <c r="E1896" s="13" t="inlineStr">
        <is>
          <t>General</t>
        </is>
      </c>
      <c r="F1896" s="5" t="n">
        <v>1994</v>
      </c>
      <c r="G1896" s="5" t="n">
        <v>12094</v>
      </c>
      <c r="H1896" s="5" t="n">
        <v>324</v>
      </c>
      <c r="I1896" s="5" t="n">
        <v>105</v>
      </c>
      <c r="J1896" s="5" t="n">
        <v>195</v>
      </c>
      <c r="K1896" s="10">
        <f>IF(F1896&gt;0,H1896/F1896,"")</f>
        <v/>
      </c>
      <c r="L1896" s="16">
        <f>IF(AND(G1896&gt;0,H1896&gt;0),G1896/H1896,"")</f>
        <v/>
      </c>
    </row>
    <row r="1897">
      <c r="A1897" s="4" t="inlineStr">
        <is>
          <t>204</t>
        </is>
      </c>
      <c r="B1897" s="4" t="n">
        <v>2</v>
      </c>
      <c r="C1897" s="4" t="inlineStr">
        <is>
          <t>elk</t>
        </is>
      </c>
      <c r="D1897" s="4" t="n">
        <v>2006</v>
      </c>
      <c r="E1897" s="13" t="inlineStr">
        <is>
          <t>General</t>
        </is>
      </c>
      <c r="F1897" s="5" t="n">
        <v>1603</v>
      </c>
      <c r="G1897" s="5" t="n">
        <v>10853</v>
      </c>
      <c r="H1897" s="5" t="n">
        <v>233</v>
      </c>
      <c r="I1897" s="5" t="n">
        <v>115</v>
      </c>
      <c r="J1897" s="5" t="n">
        <v>105</v>
      </c>
      <c r="K1897" s="10">
        <f>IF(F1897&gt;0,H1897/F1897,"")</f>
        <v/>
      </c>
      <c r="L1897" s="16">
        <f>IF(AND(G1897&gt;0,H1897&gt;0),G1897/H1897,"")</f>
        <v/>
      </c>
    </row>
    <row r="1898">
      <c r="A1898" s="4" t="inlineStr">
        <is>
          <t>204</t>
        </is>
      </c>
      <c r="B1898" s="4" t="n">
        <v>2</v>
      </c>
      <c r="C1898" s="4" t="inlineStr">
        <is>
          <t>elk</t>
        </is>
      </c>
      <c r="D1898" s="4" t="n">
        <v>2007</v>
      </c>
      <c r="E1898" s="13" t="inlineStr">
        <is>
          <t>General</t>
        </is>
      </c>
      <c r="F1898" s="5" t="n">
        <v>1267</v>
      </c>
      <c r="G1898" s="5" t="n">
        <v>8287</v>
      </c>
      <c r="H1898" s="5" t="n">
        <v>187</v>
      </c>
      <c r="I1898" s="5" t="n">
        <v>74</v>
      </c>
      <c r="J1898" s="5" t="n">
        <v>104</v>
      </c>
      <c r="K1898" s="10">
        <f>IF(F1898&gt;0,H1898/F1898,"")</f>
        <v/>
      </c>
      <c r="L1898" s="16">
        <f>IF(AND(G1898&gt;0,H1898&gt;0),G1898/H1898,"")</f>
        <v/>
      </c>
    </row>
    <row r="1899">
      <c r="A1899" s="4" t="inlineStr">
        <is>
          <t>204</t>
        </is>
      </c>
      <c r="B1899" s="4" t="n">
        <v>2</v>
      </c>
      <c r="C1899" s="4" t="inlineStr">
        <is>
          <t>elk</t>
        </is>
      </c>
      <c r="D1899" s="4" t="n">
        <v>2008</v>
      </c>
      <c r="E1899" s="13" t="inlineStr">
        <is>
          <t>General</t>
        </is>
      </c>
      <c r="F1899" s="5" t="n">
        <v>1452</v>
      </c>
      <c r="G1899" s="5" t="n">
        <v>10031</v>
      </c>
      <c r="H1899" s="5" t="n">
        <v>108</v>
      </c>
      <c r="I1899" s="5" t="n">
        <v>52</v>
      </c>
      <c r="J1899" s="5" t="n">
        <v>56</v>
      </c>
      <c r="K1899" s="10">
        <f>IF(F1899&gt;0,H1899/F1899,"")</f>
        <v/>
      </c>
      <c r="L1899" s="16">
        <f>IF(AND(G1899&gt;0,H1899&gt;0),G1899/H1899,"")</f>
        <v/>
      </c>
    </row>
    <row r="1900">
      <c r="A1900" s="4" t="inlineStr">
        <is>
          <t>204</t>
        </is>
      </c>
      <c r="B1900" s="4" t="n">
        <v>2</v>
      </c>
      <c r="C1900" s="4" t="inlineStr">
        <is>
          <t>elk</t>
        </is>
      </c>
      <c r="D1900" s="4" t="n">
        <v>2009</v>
      </c>
      <c r="E1900" s="13" t="inlineStr">
        <is>
          <t>General</t>
        </is>
      </c>
      <c r="F1900" s="5" t="n">
        <v>1302</v>
      </c>
      <c r="G1900" s="5" t="n">
        <v>9102</v>
      </c>
      <c r="H1900" s="5" t="n">
        <v>78</v>
      </c>
      <c r="I1900" s="5" t="n">
        <v>42</v>
      </c>
      <c r="J1900" s="5" t="n">
        <v>36</v>
      </c>
      <c r="K1900" s="10">
        <f>IF(F1900&gt;0,H1900/F1900,"")</f>
        <v/>
      </c>
      <c r="L1900" s="16">
        <f>IF(AND(G1900&gt;0,H1900&gt;0),G1900/H1900,"")</f>
        <v/>
      </c>
    </row>
    <row r="1901">
      <c r="A1901" s="4" t="inlineStr">
        <is>
          <t>204</t>
        </is>
      </c>
      <c r="B1901" s="4" t="n">
        <v>2</v>
      </c>
      <c r="C1901" s="4" t="inlineStr">
        <is>
          <t>elk</t>
        </is>
      </c>
      <c r="D1901" s="4" t="n">
        <v>2010</v>
      </c>
      <c r="E1901" s="13" t="inlineStr">
        <is>
          <t>General</t>
        </is>
      </c>
      <c r="F1901" s="5" t="n">
        <v>1093</v>
      </c>
      <c r="G1901" s="5" t="n">
        <v>6753</v>
      </c>
      <c r="H1901" s="5" t="n">
        <v>88</v>
      </c>
      <c r="I1901" s="5" t="n">
        <v>64</v>
      </c>
      <c r="J1901" s="5" t="n">
        <v>22</v>
      </c>
      <c r="K1901" s="10">
        <f>IF(F1901&gt;0,H1901/F1901,"")</f>
        <v/>
      </c>
      <c r="L1901" s="16">
        <f>IF(AND(G1901&gt;0,H1901&gt;0),G1901/H1901,"")</f>
        <v/>
      </c>
    </row>
    <row r="1902">
      <c r="A1902" s="4" t="inlineStr">
        <is>
          <t>204</t>
        </is>
      </c>
      <c r="B1902" s="4" t="n">
        <v>2</v>
      </c>
      <c r="C1902" s="4" t="inlineStr">
        <is>
          <t>elk</t>
        </is>
      </c>
      <c r="D1902" s="4" t="n">
        <v>2011</v>
      </c>
      <c r="E1902" s="13" t="inlineStr">
        <is>
          <t>General</t>
        </is>
      </c>
      <c r="F1902" s="5" t="n">
        <v>1180</v>
      </c>
      <c r="G1902" s="5" t="n">
        <v>7764</v>
      </c>
      <c r="H1902" s="5" t="n">
        <v>67</v>
      </c>
      <c r="I1902" s="5" t="n">
        <v>47</v>
      </c>
      <c r="J1902" s="5" t="n">
        <v>20</v>
      </c>
      <c r="K1902" s="10">
        <f>IF(F1902&gt;0,H1902/F1902,"")</f>
        <v/>
      </c>
      <c r="L1902" s="16">
        <f>IF(AND(G1902&gt;0,H1902&gt;0),G1902/H1902,"")</f>
        <v/>
      </c>
    </row>
    <row r="1903">
      <c r="A1903" s="4" t="inlineStr">
        <is>
          <t>204</t>
        </is>
      </c>
      <c r="B1903" s="4" t="n">
        <v>2</v>
      </c>
      <c r="C1903" s="4" t="inlineStr">
        <is>
          <t>elk</t>
        </is>
      </c>
      <c r="D1903" s="4" t="n">
        <v>2012</v>
      </c>
      <c r="E1903" s="13" t="inlineStr">
        <is>
          <t>General</t>
        </is>
      </c>
      <c r="F1903" s="5" t="n">
        <v>1063</v>
      </c>
      <c r="G1903" s="5" t="n">
        <v>6787</v>
      </c>
      <c r="H1903" s="5" t="n">
        <v>51</v>
      </c>
      <c r="I1903" s="5" t="n">
        <v>36</v>
      </c>
      <c r="J1903" s="5" t="n">
        <v>15</v>
      </c>
      <c r="K1903" s="10">
        <f>IF(F1903&gt;0,H1903/F1903,"")</f>
        <v/>
      </c>
      <c r="L1903" s="16">
        <f>IF(AND(G1903&gt;0,H1903&gt;0),G1903/H1903,"")</f>
        <v/>
      </c>
    </row>
    <row r="1904">
      <c r="A1904" s="4" t="inlineStr">
        <is>
          <t>204</t>
        </is>
      </c>
      <c r="B1904" s="4" t="n">
        <v>2</v>
      </c>
      <c r="C1904" s="4" t="inlineStr">
        <is>
          <t>elk</t>
        </is>
      </c>
      <c r="D1904" s="4" t="n">
        <v>2013</v>
      </c>
      <c r="E1904" s="13" t="inlineStr">
        <is>
          <t>General</t>
        </is>
      </c>
      <c r="F1904" s="5" t="n"/>
      <c r="G1904" s="5" t="n"/>
      <c r="H1904" s="5" t="n">
        <v>72</v>
      </c>
      <c r="I1904" s="5" t="n">
        <v>56</v>
      </c>
      <c r="J1904" s="5" t="n">
        <v>16</v>
      </c>
      <c r="K1904" s="10">
        <f>IF(F1904&gt;0,H1904/F1904,"")</f>
        <v/>
      </c>
      <c r="L1904" s="16">
        <f>IF(AND(G1904&gt;0,H1904&gt;0),G1904/H1904,"")</f>
        <v/>
      </c>
    </row>
    <row r="1905">
      <c r="A1905" s="4" t="inlineStr">
        <is>
          <t>204</t>
        </is>
      </c>
      <c r="B1905" s="4" t="n">
        <v>2</v>
      </c>
      <c r="C1905" s="4" t="inlineStr">
        <is>
          <t>elk</t>
        </is>
      </c>
      <c r="D1905" s="4" t="n">
        <v>2014</v>
      </c>
      <c r="E1905" s="13" t="inlineStr">
        <is>
          <t>General</t>
        </is>
      </c>
      <c r="F1905" s="5" t="n">
        <v>1032</v>
      </c>
      <c r="G1905" s="5" t="n">
        <v>7030</v>
      </c>
      <c r="H1905" s="5" t="n">
        <v>106</v>
      </c>
      <c r="I1905" s="5" t="n">
        <v>73</v>
      </c>
      <c r="J1905" s="5" t="n">
        <v>32</v>
      </c>
      <c r="K1905" s="10">
        <f>IF(F1905&gt;0,H1905/F1905,"")</f>
        <v/>
      </c>
      <c r="L1905" s="16">
        <f>IF(AND(G1905&gt;0,H1905&gt;0),G1905/H1905,"")</f>
        <v/>
      </c>
    </row>
    <row r="1906">
      <c r="A1906" s="4" t="inlineStr">
        <is>
          <t>204</t>
        </is>
      </c>
      <c r="B1906" s="4" t="n">
        <v>2</v>
      </c>
      <c r="C1906" s="4" t="inlineStr">
        <is>
          <t>elk</t>
        </is>
      </c>
      <c r="D1906" s="4" t="n">
        <v>2015</v>
      </c>
      <c r="E1906" s="13" t="inlineStr">
        <is>
          <t>General</t>
        </is>
      </c>
      <c r="F1906" s="5" t="n">
        <v>1105</v>
      </c>
      <c r="G1906" s="5" t="n">
        <v>7382</v>
      </c>
      <c r="H1906" s="5" t="n">
        <v>112</v>
      </c>
      <c r="I1906" s="5" t="n">
        <v>47</v>
      </c>
      <c r="J1906" s="5" t="n">
        <v>64</v>
      </c>
      <c r="K1906" s="10">
        <f>IF(F1906&gt;0,H1906/F1906,"")</f>
        <v/>
      </c>
      <c r="L1906" s="16">
        <f>IF(AND(G1906&gt;0,H1906&gt;0),G1906/H1906,"")</f>
        <v/>
      </c>
    </row>
    <row r="1907">
      <c r="A1907" s="4" t="inlineStr">
        <is>
          <t>204</t>
        </is>
      </c>
      <c r="B1907" s="4" t="n">
        <v>2</v>
      </c>
      <c r="C1907" s="4" t="inlineStr">
        <is>
          <t>elk</t>
        </is>
      </c>
      <c r="D1907" s="4" t="n">
        <v>2016</v>
      </c>
      <c r="E1907" s="13" t="inlineStr">
        <is>
          <t>General</t>
        </is>
      </c>
      <c r="F1907" s="5" t="n">
        <v>1041</v>
      </c>
      <c r="G1907" s="5" t="n">
        <v>7932</v>
      </c>
      <c r="H1907" s="5" t="n">
        <v>128</v>
      </c>
      <c r="I1907" s="5" t="n">
        <v>97</v>
      </c>
      <c r="J1907" s="5" t="n">
        <v>32</v>
      </c>
      <c r="K1907" s="10">
        <f>IF(F1907&gt;0,H1907/F1907,"")</f>
        <v/>
      </c>
      <c r="L1907" s="16">
        <f>IF(AND(G1907&gt;0,H1907&gt;0),G1907/H1907,"")</f>
        <v/>
      </c>
    </row>
    <row r="1908">
      <c r="A1908" s="4" t="inlineStr">
        <is>
          <t>204</t>
        </is>
      </c>
      <c r="B1908" s="4" t="n">
        <v>2</v>
      </c>
      <c r="C1908" s="4" t="inlineStr">
        <is>
          <t>elk</t>
        </is>
      </c>
      <c r="D1908" s="4" t="n">
        <v>2017</v>
      </c>
      <c r="E1908" s="13" t="inlineStr">
        <is>
          <t>General</t>
        </is>
      </c>
      <c r="F1908" s="5" t="n"/>
      <c r="G1908" s="5" t="n"/>
      <c r="H1908" s="5" t="n">
        <v>136</v>
      </c>
      <c r="I1908" s="5" t="n">
        <v>71</v>
      </c>
      <c r="J1908" s="5" t="n">
        <v>61</v>
      </c>
      <c r="K1908" s="10">
        <f>IF(F1908&gt;0,H1908/F1908,"")</f>
        <v/>
      </c>
      <c r="L1908" s="16">
        <f>IF(AND(G1908&gt;0,H1908&gt;0),G1908/H1908,"")</f>
        <v/>
      </c>
    </row>
    <row r="1909">
      <c r="A1909" s="4" t="inlineStr">
        <is>
          <t>204</t>
        </is>
      </c>
      <c r="B1909" s="4" t="n">
        <v>2</v>
      </c>
      <c r="C1909" s="4" t="inlineStr">
        <is>
          <t>elk</t>
        </is>
      </c>
      <c r="D1909" s="4" t="n">
        <v>2018</v>
      </c>
      <c r="E1909" s="13" t="inlineStr">
        <is>
          <t>General</t>
        </is>
      </c>
      <c r="F1909" s="5" t="n">
        <v>1015</v>
      </c>
      <c r="G1909" s="5" t="n">
        <v>6890</v>
      </c>
      <c r="H1909" s="5" t="n">
        <v>125</v>
      </c>
      <c r="I1909" s="5" t="n">
        <v>44</v>
      </c>
      <c r="J1909" s="5" t="n">
        <v>80</v>
      </c>
      <c r="K1909" s="10">
        <f>IF(F1909&gt;0,H1909/F1909,"")</f>
        <v/>
      </c>
      <c r="L1909" s="16">
        <f>IF(AND(G1909&gt;0,H1909&gt;0),G1909/H1909,"")</f>
        <v/>
      </c>
    </row>
    <row r="1910">
      <c r="A1910" s="4" t="inlineStr">
        <is>
          <t>204</t>
        </is>
      </c>
      <c r="B1910" s="4" t="n">
        <v>2</v>
      </c>
      <c r="C1910" s="4" t="inlineStr">
        <is>
          <t>elk</t>
        </is>
      </c>
      <c r="D1910" s="4" t="n">
        <v>2019</v>
      </c>
      <c r="E1910" s="13" t="inlineStr">
        <is>
          <t>General</t>
        </is>
      </c>
      <c r="F1910" s="5" t="n"/>
      <c r="G1910" s="5" t="n"/>
      <c r="H1910" s="5" t="n">
        <v>79</v>
      </c>
      <c r="I1910" s="5" t="n">
        <v>27</v>
      </c>
      <c r="J1910" s="5" t="n">
        <v>49</v>
      </c>
      <c r="K1910" s="10">
        <f>IF(F1910&gt;0,H1910/F1910,"")</f>
        <v/>
      </c>
      <c r="L1910" s="16">
        <f>IF(AND(G1910&gt;0,H1910&gt;0),G1910/H1910,"")</f>
        <v/>
      </c>
    </row>
    <row r="1911">
      <c r="A1911" s="4" t="inlineStr">
        <is>
          <t>204</t>
        </is>
      </c>
      <c r="B1911" s="4" t="n">
        <v>2</v>
      </c>
      <c r="C1911" s="4" t="inlineStr">
        <is>
          <t>elk</t>
        </is>
      </c>
      <c r="D1911" s="4" t="n">
        <v>2020</v>
      </c>
      <c r="E1911" s="13" t="inlineStr">
        <is>
          <t>General</t>
        </is>
      </c>
      <c r="F1911" s="5" t="n">
        <v>914</v>
      </c>
      <c r="G1911" s="5" t="n">
        <v>6341</v>
      </c>
      <c r="H1911" s="5" t="n">
        <v>103</v>
      </c>
      <c r="I1911" s="5" t="n">
        <v>59</v>
      </c>
      <c r="J1911" s="5" t="n">
        <v>40</v>
      </c>
      <c r="K1911" s="10">
        <f>IF(F1911&gt;0,H1911/F1911,"")</f>
        <v/>
      </c>
      <c r="L1911" s="16">
        <f>IF(AND(G1911&gt;0,H1911&gt;0),G1911/H1911,"")</f>
        <v/>
      </c>
    </row>
    <row r="1912">
      <c r="A1912" s="4" t="inlineStr">
        <is>
          <t>204</t>
        </is>
      </c>
      <c r="B1912" s="4" t="n">
        <v>2</v>
      </c>
      <c r="C1912" s="4" t="inlineStr">
        <is>
          <t>elk</t>
        </is>
      </c>
      <c r="D1912" s="4" t="n">
        <v>2021</v>
      </c>
      <c r="E1912" s="13" t="inlineStr">
        <is>
          <t>General</t>
        </is>
      </c>
      <c r="F1912" s="5" t="n"/>
      <c r="G1912" s="5" t="n"/>
      <c r="H1912" s="5" t="n">
        <v>112</v>
      </c>
      <c r="I1912" s="5" t="n">
        <v>67</v>
      </c>
      <c r="J1912" s="5" t="n">
        <v>45</v>
      </c>
      <c r="K1912" s="10">
        <f>IF(F1912&gt;0,H1912/F1912,"")</f>
        <v/>
      </c>
      <c r="L1912" s="16">
        <f>IF(AND(G1912&gt;0,H1912&gt;0),G1912/H1912,"")</f>
        <v/>
      </c>
    </row>
    <row r="1913">
      <c r="A1913" s="4" t="inlineStr">
        <is>
          <t>204</t>
        </is>
      </c>
      <c r="B1913" s="4" t="n">
        <v>2</v>
      </c>
      <c r="C1913" s="4" t="inlineStr">
        <is>
          <t>elk</t>
        </is>
      </c>
      <c r="D1913" s="4" t="n">
        <v>2022</v>
      </c>
      <c r="E1913" s="13" t="inlineStr">
        <is>
          <t>General</t>
        </is>
      </c>
      <c r="F1913" s="5" t="n">
        <v>927</v>
      </c>
      <c r="G1913" s="5" t="n">
        <v>6836</v>
      </c>
      <c r="H1913" s="5" t="n">
        <v>110</v>
      </c>
      <c r="I1913" s="5" t="n">
        <v>86</v>
      </c>
      <c r="J1913" s="5" t="n">
        <v>24</v>
      </c>
      <c r="K1913" s="10">
        <f>IF(F1913&gt;0,H1913/F1913,"")</f>
        <v/>
      </c>
      <c r="L1913" s="16">
        <f>IF(AND(G1913&gt;0,H1913&gt;0),G1913/H1913,"")</f>
        <v/>
      </c>
    </row>
    <row r="1914">
      <c r="A1914" s="4" t="inlineStr">
        <is>
          <t>204</t>
        </is>
      </c>
      <c r="B1914" s="4" t="n">
        <v>2</v>
      </c>
      <c r="C1914" s="4" t="inlineStr">
        <is>
          <t>elk</t>
        </is>
      </c>
      <c r="D1914" s="4" t="n">
        <v>2023</v>
      </c>
      <c r="E1914" s="13" t="inlineStr">
        <is>
          <t>General</t>
        </is>
      </c>
      <c r="F1914" s="5" t="n"/>
      <c r="G1914" s="5" t="n"/>
      <c r="H1914" s="5" t="n">
        <v>58</v>
      </c>
      <c r="I1914" s="5" t="n">
        <v>24</v>
      </c>
      <c r="J1914" s="5" t="n">
        <v>34</v>
      </c>
      <c r="K1914" s="10">
        <f>IF(F1914&gt;0,H1914/F1914,"")</f>
        <v/>
      </c>
      <c r="L1914" s="16">
        <f>IF(AND(G1914&gt;0,H1914&gt;0),G1914/H1914,"")</f>
        <v/>
      </c>
    </row>
    <row r="1915">
      <c r="A1915" s="4" t="inlineStr">
        <is>
          <t>204</t>
        </is>
      </c>
      <c r="B1915" s="4" t="n">
        <v>2</v>
      </c>
      <c r="C1915" s="4" t="inlineStr">
        <is>
          <t>elk</t>
        </is>
      </c>
      <c r="D1915" s="4" t="n">
        <v>2024</v>
      </c>
      <c r="E1915" s="13" t="inlineStr">
        <is>
          <t>General</t>
        </is>
      </c>
      <c r="F1915" s="5" t="n">
        <v>1057</v>
      </c>
      <c r="G1915" s="5" t="n">
        <v>7560</v>
      </c>
      <c r="H1915" s="5" t="n">
        <v>76</v>
      </c>
      <c r="I1915" s="5" t="n">
        <v>44</v>
      </c>
      <c r="J1915" s="5" t="n">
        <v>32</v>
      </c>
      <c r="K1915" s="10">
        <f>IF(F1915&gt;0,H1915/F1915,"")</f>
        <v/>
      </c>
      <c r="L1915" s="16">
        <f>IF(AND(G1915&gt;0,H1915&gt;0),G1915/H1915,"")</f>
        <v/>
      </c>
    </row>
    <row r="1916">
      <c r="A1916" s="4" t="inlineStr">
        <is>
          <t>204</t>
        </is>
      </c>
      <c r="B1916" s="4" t="n">
        <v>2</v>
      </c>
      <c r="C1916" s="4" t="inlineStr">
        <is>
          <t>elk</t>
        </is>
      </c>
      <c r="D1916" s="4" t="n">
        <v>2025</v>
      </c>
      <c r="E1916" s="13" t="inlineStr">
        <is>
          <t>General</t>
        </is>
      </c>
      <c r="F1916" s="5" t="n"/>
      <c r="G1916" s="5" t="n"/>
      <c r="H1916" s="5" t="n">
        <v>113</v>
      </c>
      <c r="I1916" s="5" t="n">
        <v>63</v>
      </c>
      <c r="J1916" s="5" t="n">
        <v>50</v>
      </c>
      <c r="K1916" s="10">
        <f>IF(F1916&gt;0,H1916/F1916,"")</f>
        <v/>
      </c>
      <c r="L1916" s="16">
        <f>IF(AND(G1916&gt;0,H1916&gt;0),G1916/H1916,"")</f>
        <v/>
      </c>
    </row>
    <row r="1917">
      <c r="A1917" s="4" t="inlineStr">
        <is>
          <t>210</t>
        </is>
      </c>
      <c r="B1917" s="4" t="n">
        <v>2</v>
      </c>
      <c r="C1917" s="4" t="inlineStr">
        <is>
          <t>elk</t>
        </is>
      </c>
      <c r="D1917" s="4" t="n">
        <v>2004</v>
      </c>
      <c r="E1917" s="13" t="inlineStr">
        <is>
          <t>General</t>
        </is>
      </c>
      <c r="F1917" s="5" t="n">
        <v>1435</v>
      </c>
      <c r="G1917" s="5" t="n">
        <v>8474</v>
      </c>
      <c r="H1917" s="5" t="n">
        <v>247</v>
      </c>
      <c r="I1917" s="5" t="n">
        <v>124</v>
      </c>
      <c r="J1917" s="5" t="n">
        <v>115</v>
      </c>
      <c r="K1917" s="10">
        <f>IF(F1917&gt;0,H1917/F1917,"")</f>
        <v/>
      </c>
      <c r="L1917" s="16">
        <f>IF(AND(G1917&gt;0,H1917&gt;0),G1917/H1917,"")</f>
        <v/>
      </c>
    </row>
    <row r="1918">
      <c r="A1918" s="4" t="inlineStr">
        <is>
          <t>210</t>
        </is>
      </c>
      <c r="B1918" s="4" t="n">
        <v>2</v>
      </c>
      <c r="C1918" s="4" t="inlineStr">
        <is>
          <t>elk</t>
        </is>
      </c>
      <c r="D1918" s="4" t="n">
        <v>2005</v>
      </c>
      <c r="E1918" s="13" t="inlineStr">
        <is>
          <t>General</t>
        </is>
      </c>
      <c r="F1918" s="5" t="n">
        <v>1442</v>
      </c>
      <c r="G1918" s="5" t="n">
        <v>8563</v>
      </c>
      <c r="H1918" s="5" t="n">
        <v>384</v>
      </c>
      <c r="I1918" s="5" t="n">
        <v>185</v>
      </c>
      <c r="J1918" s="5" t="n">
        <v>177</v>
      </c>
      <c r="K1918" s="10">
        <f>IF(F1918&gt;0,H1918/F1918,"")</f>
        <v/>
      </c>
      <c r="L1918" s="16">
        <f>IF(AND(G1918&gt;0,H1918&gt;0),G1918/H1918,"")</f>
        <v/>
      </c>
    </row>
    <row r="1919">
      <c r="A1919" s="4" t="inlineStr">
        <is>
          <t>210</t>
        </is>
      </c>
      <c r="B1919" s="4" t="n">
        <v>2</v>
      </c>
      <c r="C1919" s="4" t="inlineStr">
        <is>
          <t>elk</t>
        </is>
      </c>
      <c r="D1919" s="4" t="n">
        <v>2006</v>
      </c>
      <c r="E1919" s="13" t="inlineStr">
        <is>
          <t>General</t>
        </is>
      </c>
      <c r="F1919" s="5" t="n">
        <v>1300</v>
      </c>
      <c r="G1919" s="5" t="n">
        <v>7666</v>
      </c>
      <c r="H1919" s="5" t="n">
        <v>307</v>
      </c>
      <c r="I1919" s="5" t="n">
        <v>175</v>
      </c>
      <c r="J1919" s="5" t="n">
        <v>119</v>
      </c>
      <c r="K1919" s="10">
        <f>IF(F1919&gt;0,H1919/F1919,"")</f>
        <v/>
      </c>
      <c r="L1919" s="16">
        <f>IF(AND(G1919&gt;0,H1919&gt;0),G1919/H1919,"")</f>
        <v/>
      </c>
    </row>
    <row r="1920">
      <c r="A1920" s="4" t="inlineStr">
        <is>
          <t>210</t>
        </is>
      </c>
      <c r="B1920" s="4" t="n">
        <v>2</v>
      </c>
      <c r="C1920" s="4" t="inlineStr">
        <is>
          <t>elk</t>
        </is>
      </c>
      <c r="D1920" s="4" t="n">
        <v>2007</v>
      </c>
      <c r="E1920" s="13" t="inlineStr">
        <is>
          <t>General</t>
        </is>
      </c>
      <c r="F1920" s="5" t="n">
        <v>1349</v>
      </c>
      <c r="G1920" s="5" t="n">
        <v>8926</v>
      </c>
      <c r="H1920" s="5" t="n">
        <v>274</v>
      </c>
      <c r="I1920" s="5" t="n">
        <v>156</v>
      </c>
      <c r="J1920" s="5" t="n">
        <v>103</v>
      </c>
      <c r="K1920" s="10">
        <f>IF(F1920&gt;0,H1920/F1920,"")</f>
        <v/>
      </c>
      <c r="L1920" s="16">
        <f>IF(AND(G1920&gt;0,H1920&gt;0),G1920/H1920,"")</f>
        <v/>
      </c>
    </row>
    <row r="1921">
      <c r="A1921" s="4" t="inlineStr">
        <is>
          <t>210</t>
        </is>
      </c>
      <c r="B1921" s="4" t="n">
        <v>2</v>
      </c>
      <c r="C1921" s="4" t="inlineStr">
        <is>
          <t>elk</t>
        </is>
      </c>
      <c r="D1921" s="4" t="n">
        <v>2008</v>
      </c>
      <c r="E1921" s="13" t="inlineStr">
        <is>
          <t>General</t>
        </is>
      </c>
      <c r="F1921" s="5" t="n">
        <v>1338</v>
      </c>
      <c r="G1921" s="5" t="n">
        <v>9093</v>
      </c>
      <c r="H1921" s="5" t="n">
        <v>179</v>
      </c>
      <c r="I1921" s="5" t="n">
        <v>79</v>
      </c>
      <c r="J1921" s="5" t="n">
        <v>94</v>
      </c>
      <c r="K1921" s="10">
        <f>IF(F1921&gt;0,H1921/F1921,"")</f>
        <v/>
      </c>
      <c r="L1921" s="16">
        <f>IF(AND(G1921&gt;0,H1921&gt;0),G1921/H1921,"")</f>
        <v/>
      </c>
    </row>
    <row r="1922">
      <c r="A1922" s="4" t="inlineStr">
        <is>
          <t>210</t>
        </is>
      </c>
      <c r="B1922" s="4" t="n">
        <v>2</v>
      </c>
      <c r="C1922" s="4" t="inlineStr">
        <is>
          <t>elk</t>
        </is>
      </c>
      <c r="D1922" s="4" t="n">
        <v>2009</v>
      </c>
      <c r="E1922" s="13" t="inlineStr">
        <is>
          <t>General</t>
        </is>
      </c>
      <c r="F1922" s="5" t="n">
        <v>1372</v>
      </c>
      <c r="G1922" s="5" t="n">
        <v>8647</v>
      </c>
      <c r="H1922" s="5" t="n">
        <v>220</v>
      </c>
      <c r="I1922" s="5" t="n">
        <v>82</v>
      </c>
      <c r="J1922" s="5" t="n">
        <v>130</v>
      </c>
      <c r="K1922" s="10">
        <f>IF(F1922&gt;0,H1922/F1922,"")</f>
        <v/>
      </c>
      <c r="L1922" s="16">
        <f>IF(AND(G1922&gt;0,H1922&gt;0),G1922/H1922,"")</f>
        <v/>
      </c>
    </row>
    <row r="1923">
      <c r="A1923" s="4" t="inlineStr">
        <is>
          <t>210</t>
        </is>
      </c>
      <c r="B1923" s="4" t="n">
        <v>2</v>
      </c>
      <c r="C1923" s="4" t="inlineStr">
        <is>
          <t>elk</t>
        </is>
      </c>
      <c r="D1923" s="4" t="n">
        <v>2010</v>
      </c>
      <c r="E1923" s="13" t="inlineStr">
        <is>
          <t>General</t>
        </is>
      </c>
      <c r="F1923" s="5" t="n">
        <v>1306</v>
      </c>
      <c r="G1923" s="5" t="n">
        <v>8797</v>
      </c>
      <c r="H1923" s="5" t="n">
        <v>261</v>
      </c>
      <c r="I1923" s="5" t="n">
        <v>135</v>
      </c>
      <c r="J1923" s="5" t="n">
        <v>109</v>
      </c>
      <c r="K1923" s="10">
        <f>IF(F1923&gt;0,H1923/F1923,"")</f>
        <v/>
      </c>
      <c r="L1923" s="16">
        <f>IF(AND(G1923&gt;0,H1923&gt;0),G1923/H1923,"")</f>
        <v/>
      </c>
    </row>
    <row r="1924">
      <c r="A1924" s="4" t="inlineStr">
        <is>
          <t>210</t>
        </is>
      </c>
      <c r="B1924" s="4" t="n">
        <v>2</v>
      </c>
      <c r="C1924" s="4" t="inlineStr">
        <is>
          <t>elk</t>
        </is>
      </c>
      <c r="D1924" s="4" t="n">
        <v>2011</v>
      </c>
      <c r="E1924" s="13" t="inlineStr">
        <is>
          <t>General</t>
        </is>
      </c>
      <c r="F1924" s="5" t="n">
        <v>1518</v>
      </c>
      <c r="G1924" s="5" t="n">
        <v>10498</v>
      </c>
      <c r="H1924" s="5" t="n">
        <v>322</v>
      </c>
      <c r="I1924" s="5" t="n">
        <v>87</v>
      </c>
      <c r="J1924" s="5" t="n">
        <v>227</v>
      </c>
      <c r="K1924" s="10">
        <f>IF(F1924&gt;0,H1924/F1924,"")</f>
        <v/>
      </c>
      <c r="L1924" s="16">
        <f>IF(AND(G1924&gt;0,H1924&gt;0),G1924/H1924,"")</f>
        <v/>
      </c>
    </row>
    <row r="1925">
      <c r="A1925" s="4" t="inlineStr">
        <is>
          <t>210</t>
        </is>
      </c>
      <c r="B1925" s="4" t="n">
        <v>2</v>
      </c>
      <c r="C1925" s="4" t="inlineStr">
        <is>
          <t>elk</t>
        </is>
      </c>
      <c r="D1925" s="4" t="n">
        <v>2012</v>
      </c>
      <c r="E1925" s="13" t="inlineStr">
        <is>
          <t>General</t>
        </is>
      </c>
      <c r="F1925" s="5" t="n">
        <v>1438</v>
      </c>
      <c r="G1925" s="5" t="n">
        <v>9527</v>
      </c>
      <c r="H1925" s="5" t="n">
        <v>188</v>
      </c>
      <c r="I1925" s="5" t="n">
        <v>81</v>
      </c>
      <c r="J1925" s="5" t="n">
        <v>97</v>
      </c>
      <c r="K1925" s="10">
        <f>IF(F1925&gt;0,H1925/F1925,"")</f>
        <v/>
      </c>
      <c r="L1925" s="16">
        <f>IF(AND(G1925&gt;0,H1925&gt;0),G1925/H1925,"")</f>
        <v/>
      </c>
    </row>
    <row r="1926">
      <c r="A1926" s="4" t="inlineStr">
        <is>
          <t>210</t>
        </is>
      </c>
      <c r="B1926" s="4" t="n">
        <v>2</v>
      </c>
      <c r="C1926" s="4" t="inlineStr">
        <is>
          <t>elk</t>
        </is>
      </c>
      <c r="D1926" s="4" t="n">
        <v>2013</v>
      </c>
      <c r="E1926" s="13" t="inlineStr">
        <is>
          <t>General</t>
        </is>
      </c>
      <c r="F1926" s="5" t="n"/>
      <c r="G1926" s="5" t="n"/>
      <c r="H1926" s="5" t="n">
        <v>230</v>
      </c>
      <c r="I1926" s="5" t="n">
        <v>102</v>
      </c>
      <c r="J1926" s="5" t="n">
        <v>117</v>
      </c>
      <c r="K1926" s="10">
        <f>IF(F1926&gt;0,H1926/F1926,"")</f>
        <v/>
      </c>
      <c r="L1926" s="16">
        <f>IF(AND(G1926&gt;0,H1926&gt;0),G1926/H1926,"")</f>
        <v/>
      </c>
    </row>
    <row r="1927">
      <c r="A1927" s="4" t="inlineStr">
        <is>
          <t>210</t>
        </is>
      </c>
      <c r="B1927" s="4" t="n">
        <v>2</v>
      </c>
      <c r="C1927" s="4" t="inlineStr">
        <is>
          <t>elk</t>
        </is>
      </c>
      <c r="D1927" s="4" t="n">
        <v>2014</v>
      </c>
      <c r="E1927" s="13" t="inlineStr">
        <is>
          <t>General</t>
        </is>
      </c>
      <c r="F1927" s="5" t="n">
        <v>1576</v>
      </c>
      <c r="G1927" s="5" t="n">
        <v>10883</v>
      </c>
      <c r="H1927" s="5" t="n">
        <v>272</v>
      </c>
      <c r="I1927" s="5" t="n">
        <v>132</v>
      </c>
      <c r="J1927" s="5" t="n">
        <v>136</v>
      </c>
      <c r="K1927" s="10">
        <f>IF(F1927&gt;0,H1927/F1927,"")</f>
        <v/>
      </c>
      <c r="L1927" s="16">
        <f>IF(AND(G1927&gt;0,H1927&gt;0),G1927/H1927,"")</f>
        <v/>
      </c>
    </row>
    <row r="1928">
      <c r="A1928" s="4" t="inlineStr">
        <is>
          <t>210</t>
        </is>
      </c>
      <c r="B1928" s="4" t="n">
        <v>2</v>
      </c>
      <c r="C1928" s="4" t="inlineStr">
        <is>
          <t>elk</t>
        </is>
      </c>
      <c r="D1928" s="4" t="n">
        <v>2015</v>
      </c>
      <c r="E1928" s="13" t="inlineStr">
        <is>
          <t>General</t>
        </is>
      </c>
      <c r="F1928" s="5" t="n">
        <v>1458</v>
      </c>
      <c r="G1928" s="5" t="n">
        <v>10358</v>
      </c>
      <c r="H1928" s="5" t="n">
        <v>260</v>
      </c>
      <c r="I1928" s="5" t="n">
        <v>142</v>
      </c>
      <c r="J1928" s="5" t="n">
        <v>110</v>
      </c>
      <c r="K1928" s="10">
        <f>IF(F1928&gt;0,H1928/F1928,"")</f>
        <v/>
      </c>
      <c r="L1928" s="16">
        <f>IF(AND(G1928&gt;0,H1928&gt;0),G1928/H1928,"")</f>
        <v/>
      </c>
    </row>
    <row r="1929">
      <c r="A1929" s="4" t="inlineStr">
        <is>
          <t>210</t>
        </is>
      </c>
      <c r="B1929" s="4" t="n">
        <v>2</v>
      </c>
      <c r="C1929" s="4" t="inlineStr">
        <is>
          <t>elk</t>
        </is>
      </c>
      <c r="D1929" s="4" t="n">
        <v>2016</v>
      </c>
      <c r="E1929" s="13" t="inlineStr">
        <is>
          <t>General</t>
        </is>
      </c>
      <c r="F1929" s="5" t="n">
        <v>1413</v>
      </c>
      <c r="G1929" s="5" t="n">
        <v>10554</v>
      </c>
      <c r="H1929" s="5" t="n">
        <v>335</v>
      </c>
      <c r="I1929" s="5" t="n">
        <v>107</v>
      </c>
      <c r="J1929" s="5" t="n">
        <v>213</v>
      </c>
      <c r="K1929" s="10">
        <f>IF(F1929&gt;0,H1929/F1929,"")</f>
        <v/>
      </c>
      <c r="L1929" s="16">
        <f>IF(AND(G1929&gt;0,H1929&gt;0),G1929/H1929,"")</f>
        <v/>
      </c>
    </row>
    <row r="1930">
      <c r="A1930" s="4" t="inlineStr">
        <is>
          <t>210</t>
        </is>
      </c>
      <c r="B1930" s="4" t="n">
        <v>2</v>
      </c>
      <c r="C1930" s="4" t="inlineStr">
        <is>
          <t>elk</t>
        </is>
      </c>
      <c r="D1930" s="4" t="n">
        <v>2017</v>
      </c>
      <c r="E1930" s="13" t="inlineStr">
        <is>
          <t>General</t>
        </is>
      </c>
      <c r="F1930" s="5" t="n"/>
      <c r="G1930" s="5" t="n"/>
      <c r="H1930" s="5" t="n">
        <v>427</v>
      </c>
      <c r="I1930" s="5" t="n">
        <v>166</v>
      </c>
      <c r="J1930" s="5" t="n">
        <v>256</v>
      </c>
      <c r="K1930" s="10">
        <f>IF(F1930&gt;0,H1930/F1930,"")</f>
        <v/>
      </c>
      <c r="L1930" s="16">
        <f>IF(AND(G1930&gt;0,H1930&gt;0),G1930/H1930,"")</f>
        <v/>
      </c>
    </row>
    <row r="1931">
      <c r="A1931" s="4" t="inlineStr">
        <is>
          <t>210</t>
        </is>
      </c>
      <c r="B1931" s="4" t="n">
        <v>2</v>
      </c>
      <c r="C1931" s="4" t="inlineStr">
        <is>
          <t>elk</t>
        </is>
      </c>
      <c r="D1931" s="4" t="n">
        <v>2018</v>
      </c>
      <c r="E1931" s="13" t="inlineStr">
        <is>
          <t>General</t>
        </is>
      </c>
      <c r="F1931" s="5" t="n">
        <v>1613</v>
      </c>
      <c r="G1931" s="5" t="n">
        <v>10924</v>
      </c>
      <c r="H1931" s="5" t="n">
        <v>379</v>
      </c>
      <c r="I1931" s="5" t="n">
        <v>136</v>
      </c>
      <c r="J1931" s="5" t="n">
        <v>238</v>
      </c>
      <c r="K1931" s="10">
        <f>IF(F1931&gt;0,H1931/F1931,"")</f>
        <v/>
      </c>
      <c r="L1931" s="16">
        <f>IF(AND(G1931&gt;0,H1931&gt;0),G1931/H1931,"")</f>
        <v/>
      </c>
    </row>
    <row r="1932">
      <c r="A1932" s="4" t="inlineStr">
        <is>
          <t>210</t>
        </is>
      </c>
      <c r="B1932" s="4" t="n">
        <v>2</v>
      </c>
      <c r="C1932" s="4" t="inlineStr">
        <is>
          <t>elk</t>
        </is>
      </c>
      <c r="D1932" s="4" t="n">
        <v>2019</v>
      </c>
      <c r="E1932" s="13" t="inlineStr">
        <is>
          <t>General</t>
        </is>
      </c>
      <c r="F1932" s="5" t="n"/>
      <c r="G1932" s="5" t="n"/>
      <c r="H1932" s="5" t="n">
        <v>230</v>
      </c>
      <c r="I1932" s="5" t="n">
        <v>92</v>
      </c>
      <c r="J1932" s="5" t="n">
        <v>135</v>
      </c>
      <c r="K1932" s="10">
        <f>IF(F1932&gt;0,H1932/F1932,"")</f>
        <v/>
      </c>
      <c r="L1932" s="16">
        <f>IF(AND(G1932&gt;0,H1932&gt;0),G1932/H1932,"")</f>
        <v/>
      </c>
    </row>
    <row r="1933">
      <c r="A1933" s="4" t="inlineStr">
        <is>
          <t>210</t>
        </is>
      </c>
      <c r="B1933" s="4" t="n">
        <v>2</v>
      </c>
      <c r="C1933" s="4" t="inlineStr">
        <is>
          <t>elk</t>
        </is>
      </c>
      <c r="D1933" s="4" t="n">
        <v>2020</v>
      </c>
      <c r="E1933" s="13" t="inlineStr">
        <is>
          <t>General</t>
        </is>
      </c>
      <c r="F1933" s="5" t="n">
        <v>1507</v>
      </c>
      <c r="G1933" s="5" t="n">
        <v>10680</v>
      </c>
      <c r="H1933" s="5" t="n">
        <v>184</v>
      </c>
      <c r="I1933" s="5" t="n">
        <v>104</v>
      </c>
      <c r="J1933" s="5" t="n">
        <v>74</v>
      </c>
      <c r="K1933" s="10">
        <f>IF(F1933&gt;0,H1933/F1933,"")</f>
        <v/>
      </c>
      <c r="L1933" s="16">
        <f>IF(AND(G1933&gt;0,H1933&gt;0),G1933/H1933,"")</f>
        <v/>
      </c>
    </row>
    <row r="1934">
      <c r="A1934" s="4" t="inlineStr">
        <is>
          <t>210</t>
        </is>
      </c>
      <c r="B1934" s="4" t="n">
        <v>2</v>
      </c>
      <c r="C1934" s="4" t="inlineStr">
        <is>
          <t>elk</t>
        </is>
      </c>
      <c r="D1934" s="4" t="n">
        <v>2021</v>
      </c>
      <c r="E1934" s="13" t="inlineStr">
        <is>
          <t>General</t>
        </is>
      </c>
      <c r="F1934" s="5" t="n"/>
      <c r="G1934" s="5" t="n"/>
      <c r="H1934" s="5" t="n">
        <v>188</v>
      </c>
      <c r="I1934" s="5" t="n">
        <v>110</v>
      </c>
      <c r="J1934" s="5" t="n">
        <v>72</v>
      </c>
      <c r="K1934" s="10">
        <f>IF(F1934&gt;0,H1934/F1934,"")</f>
        <v/>
      </c>
      <c r="L1934" s="16">
        <f>IF(AND(G1934&gt;0,H1934&gt;0),G1934/H1934,"")</f>
        <v/>
      </c>
    </row>
    <row r="1935">
      <c r="A1935" s="4" t="inlineStr">
        <is>
          <t>210</t>
        </is>
      </c>
      <c r="B1935" s="4" t="n">
        <v>2</v>
      </c>
      <c r="C1935" s="4" t="inlineStr">
        <is>
          <t>elk</t>
        </is>
      </c>
      <c r="D1935" s="4" t="n">
        <v>2022</v>
      </c>
      <c r="E1935" s="13" t="inlineStr">
        <is>
          <t>General</t>
        </is>
      </c>
      <c r="F1935" s="5" t="n">
        <v>1067</v>
      </c>
      <c r="G1935" s="5" t="n">
        <v>8139</v>
      </c>
      <c r="H1935" s="5" t="n">
        <v>165</v>
      </c>
      <c r="I1935" s="5" t="n">
        <v>117</v>
      </c>
      <c r="J1935" s="5" t="n">
        <v>48</v>
      </c>
      <c r="K1935" s="10">
        <f>IF(F1935&gt;0,H1935/F1935,"")</f>
        <v/>
      </c>
      <c r="L1935" s="16">
        <f>IF(AND(G1935&gt;0,H1935&gt;0),G1935/H1935,"")</f>
        <v/>
      </c>
    </row>
    <row r="1936">
      <c r="A1936" s="4" t="inlineStr">
        <is>
          <t>210</t>
        </is>
      </c>
      <c r="B1936" s="4" t="n">
        <v>2</v>
      </c>
      <c r="C1936" s="4" t="inlineStr">
        <is>
          <t>elk</t>
        </is>
      </c>
      <c r="D1936" s="4" t="n">
        <v>2023</v>
      </c>
      <c r="E1936" s="13" t="inlineStr">
        <is>
          <t>General</t>
        </is>
      </c>
      <c r="F1936" s="5" t="n"/>
      <c r="G1936" s="5" t="n"/>
      <c r="H1936" s="5" t="n">
        <v>145</v>
      </c>
      <c r="I1936" s="5" t="n">
        <v>111</v>
      </c>
      <c r="J1936" s="5" t="n">
        <v>35</v>
      </c>
      <c r="K1936" s="10">
        <f>IF(F1936&gt;0,H1936/F1936,"")</f>
        <v/>
      </c>
      <c r="L1936" s="16">
        <f>IF(AND(G1936&gt;0,H1936&gt;0),G1936/H1936,"")</f>
        <v/>
      </c>
    </row>
    <row r="1937">
      <c r="A1937" s="4" t="inlineStr">
        <is>
          <t>210</t>
        </is>
      </c>
      <c r="B1937" s="4" t="n">
        <v>2</v>
      </c>
      <c r="C1937" s="4" t="inlineStr">
        <is>
          <t>elk</t>
        </is>
      </c>
      <c r="D1937" s="4" t="n">
        <v>2024</v>
      </c>
      <c r="E1937" s="13" t="inlineStr">
        <is>
          <t>General</t>
        </is>
      </c>
      <c r="F1937" s="5" t="n">
        <v>1058</v>
      </c>
      <c r="G1937" s="5" t="n">
        <v>7844</v>
      </c>
      <c r="H1937" s="5" t="n">
        <v>162</v>
      </c>
      <c r="I1937" s="5" t="n">
        <v>85</v>
      </c>
      <c r="J1937" s="5" t="n">
        <v>77</v>
      </c>
      <c r="K1937" s="10">
        <f>IF(F1937&gt;0,H1937/F1937,"")</f>
        <v/>
      </c>
      <c r="L1937" s="16">
        <f>IF(AND(G1937&gt;0,H1937&gt;0),G1937/H1937,"")</f>
        <v/>
      </c>
    </row>
    <row r="1938">
      <c r="A1938" s="4" t="inlineStr">
        <is>
          <t>210</t>
        </is>
      </c>
      <c r="B1938" s="4" t="n">
        <v>2</v>
      </c>
      <c r="C1938" s="4" t="inlineStr">
        <is>
          <t>elk</t>
        </is>
      </c>
      <c r="D1938" s="4" t="n">
        <v>2025</v>
      </c>
      <c r="E1938" s="13" t="inlineStr">
        <is>
          <t>General</t>
        </is>
      </c>
      <c r="F1938" s="5" t="n"/>
      <c r="G1938" s="5" t="n"/>
      <c r="H1938" s="5" t="n">
        <v>172</v>
      </c>
      <c r="I1938" s="5" t="n">
        <v>96</v>
      </c>
      <c r="J1938" s="5" t="n">
        <v>70</v>
      </c>
      <c r="K1938" s="10">
        <f>IF(F1938&gt;0,H1938/F1938,"")</f>
        <v/>
      </c>
      <c r="L1938" s="16">
        <f>IF(AND(G1938&gt;0,H1938&gt;0),G1938/H1938,"")</f>
        <v/>
      </c>
    </row>
    <row r="1939">
      <c r="A1939" s="4" t="inlineStr">
        <is>
          <t>211</t>
        </is>
      </c>
      <c r="B1939" s="4" t="n">
        <v>2</v>
      </c>
      <c r="C1939" s="4" t="inlineStr">
        <is>
          <t>elk</t>
        </is>
      </c>
      <c r="D1939" s="4" t="n">
        <v>2004</v>
      </c>
      <c r="E1939" s="13" t="inlineStr">
        <is>
          <t>General</t>
        </is>
      </c>
      <c r="F1939" s="5" t="n">
        <v>620</v>
      </c>
      <c r="G1939" s="5" t="n">
        <v>4492</v>
      </c>
      <c r="H1939" s="5" t="n">
        <v>139</v>
      </c>
      <c r="I1939" s="5" t="n">
        <v>72</v>
      </c>
      <c r="J1939" s="5" t="n">
        <v>61</v>
      </c>
      <c r="K1939" s="10">
        <f>IF(F1939&gt;0,H1939/F1939,"")</f>
        <v/>
      </c>
      <c r="L1939" s="16">
        <f>IF(AND(G1939&gt;0,H1939&gt;0),G1939/H1939,"")</f>
        <v/>
      </c>
    </row>
    <row r="1940">
      <c r="A1940" s="4" t="inlineStr">
        <is>
          <t>211</t>
        </is>
      </c>
      <c r="B1940" s="4" t="n">
        <v>2</v>
      </c>
      <c r="C1940" s="4" t="inlineStr">
        <is>
          <t>elk</t>
        </is>
      </c>
      <c r="D1940" s="4" t="n">
        <v>2005</v>
      </c>
      <c r="E1940" s="13" t="inlineStr">
        <is>
          <t>General</t>
        </is>
      </c>
      <c r="F1940" s="5" t="n">
        <v>480</v>
      </c>
      <c r="G1940" s="5" t="n">
        <v>3462</v>
      </c>
      <c r="H1940" s="5" t="n">
        <v>113</v>
      </c>
      <c r="I1940" s="5" t="n">
        <v>58</v>
      </c>
      <c r="J1940" s="5" t="n">
        <v>50</v>
      </c>
      <c r="K1940" s="10">
        <f>IF(F1940&gt;0,H1940/F1940,"")</f>
        <v/>
      </c>
      <c r="L1940" s="16">
        <f>IF(AND(G1940&gt;0,H1940&gt;0),G1940/H1940,"")</f>
        <v/>
      </c>
    </row>
    <row r="1941">
      <c r="A1941" s="4" t="inlineStr">
        <is>
          <t>211</t>
        </is>
      </c>
      <c r="B1941" s="4" t="n">
        <v>2</v>
      </c>
      <c r="C1941" s="4" t="inlineStr">
        <is>
          <t>elk</t>
        </is>
      </c>
      <c r="D1941" s="4" t="n">
        <v>2006</v>
      </c>
      <c r="E1941" s="13" t="inlineStr">
        <is>
          <t>General</t>
        </is>
      </c>
      <c r="F1941" s="5" t="n">
        <v>430</v>
      </c>
      <c r="G1941" s="5" t="n">
        <v>3005</v>
      </c>
      <c r="H1941" s="5" t="n">
        <v>155</v>
      </c>
      <c r="I1941" s="5" t="n">
        <v>74</v>
      </c>
      <c r="J1941" s="5" t="n">
        <v>74</v>
      </c>
      <c r="K1941" s="10">
        <f>IF(F1941&gt;0,H1941/F1941,"")</f>
        <v/>
      </c>
      <c r="L1941" s="16">
        <f>IF(AND(G1941&gt;0,H1941&gt;0),G1941/H1941,"")</f>
        <v/>
      </c>
    </row>
    <row r="1942">
      <c r="A1942" s="4" t="inlineStr">
        <is>
          <t>211</t>
        </is>
      </c>
      <c r="B1942" s="4" t="n">
        <v>2</v>
      </c>
      <c r="C1942" s="4" t="inlineStr">
        <is>
          <t>elk</t>
        </is>
      </c>
      <c r="D1942" s="4" t="n">
        <v>2007</v>
      </c>
      <c r="E1942" s="13" t="inlineStr">
        <is>
          <t>General</t>
        </is>
      </c>
      <c r="F1942" s="5" t="n">
        <v>485</v>
      </c>
      <c r="G1942" s="5" t="n">
        <v>2887</v>
      </c>
      <c r="H1942" s="5" t="n">
        <v>86</v>
      </c>
      <c r="I1942" s="5" t="n">
        <v>58</v>
      </c>
      <c r="J1942" s="5" t="n">
        <v>26</v>
      </c>
      <c r="K1942" s="10">
        <f>IF(F1942&gt;0,H1942/F1942,"")</f>
        <v/>
      </c>
      <c r="L1942" s="16">
        <f>IF(AND(G1942&gt;0,H1942&gt;0),G1942/H1942,"")</f>
        <v/>
      </c>
    </row>
    <row r="1943">
      <c r="A1943" s="4" t="inlineStr">
        <is>
          <t>211</t>
        </is>
      </c>
      <c r="B1943" s="4" t="n">
        <v>2</v>
      </c>
      <c r="C1943" s="4" t="inlineStr">
        <is>
          <t>elk</t>
        </is>
      </c>
      <c r="D1943" s="4" t="n">
        <v>2008</v>
      </c>
      <c r="E1943" s="13" t="inlineStr">
        <is>
          <t>General</t>
        </is>
      </c>
      <c r="F1943" s="5" t="n">
        <v>432</v>
      </c>
      <c r="G1943" s="5" t="n">
        <v>2826</v>
      </c>
      <c r="H1943" s="5" t="n">
        <v>51</v>
      </c>
      <c r="I1943" s="5" t="n">
        <v>33</v>
      </c>
      <c r="J1943" s="5" t="n">
        <v>18</v>
      </c>
      <c r="K1943" s="10">
        <f>IF(F1943&gt;0,H1943/F1943,"")</f>
        <v/>
      </c>
      <c r="L1943" s="16">
        <f>IF(AND(G1943&gt;0,H1943&gt;0),G1943/H1943,"")</f>
        <v/>
      </c>
    </row>
    <row r="1944">
      <c r="A1944" s="4" t="inlineStr">
        <is>
          <t>211</t>
        </is>
      </c>
      <c r="B1944" s="4" t="n">
        <v>2</v>
      </c>
      <c r="C1944" s="4" t="inlineStr">
        <is>
          <t>elk</t>
        </is>
      </c>
      <c r="D1944" s="4" t="n">
        <v>2009</v>
      </c>
      <c r="E1944" s="13" t="inlineStr">
        <is>
          <t>General</t>
        </is>
      </c>
      <c r="F1944" s="5" t="n">
        <v>370</v>
      </c>
      <c r="G1944" s="5" t="n">
        <v>2627</v>
      </c>
      <c r="H1944" s="5" t="n">
        <v>48</v>
      </c>
      <c r="I1944" s="5" t="n">
        <v>24</v>
      </c>
      <c r="J1944" s="5" t="n">
        <v>24</v>
      </c>
      <c r="K1944" s="10">
        <f>IF(F1944&gt;0,H1944/F1944,"")</f>
        <v/>
      </c>
      <c r="L1944" s="16">
        <f>IF(AND(G1944&gt;0,H1944&gt;0),G1944/H1944,"")</f>
        <v/>
      </c>
    </row>
    <row r="1945">
      <c r="A1945" s="4" t="inlineStr">
        <is>
          <t>211</t>
        </is>
      </c>
      <c r="B1945" s="4" t="n">
        <v>2</v>
      </c>
      <c r="C1945" s="4" t="inlineStr">
        <is>
          <t>elk</t>
        </is>
      </c>
      <c r="D1945" s="4" t="n">
        <v>2010</v>
      </c>
      <c r="E1945" s="13" t="inlineStr">
        <is>
          <t>General</t>
        </is>
      </c>
      <c r="F1945" s="5" t="n">
        <v>362</v>
      </c>
      <c r="G1945" s="5" t="n">
        <v>2489</v>
      </c>
      <c r="H1945" s="5" t="n">
        <v>84</v>
      </c>
      <c r="I1945" s="5" t="n">
        <v>36</v>
      </c>
      <c r="J1945" s="5" t="n">
        <v>48</v>
      </c>
      <c r="K1945" s="10">
        <f>IF(F1945&gt;0,H1945/F1945,"")</f>
        <v/>
      </c>
      <c r="L1945" s="16">
        <f>IF(AND(G1945&gt;0,H1945&gt;0),G1945/H1945,"")</f>
        <v/>
      </c>
    </row>
    <row r="1946">
      <c r="A1946" s="4" t="inlineStr">
        <is>
          <t>211</t>
        </is>
      </c>
      <c r="B1946" s="4" t="n">
        <v>2</v>
      </c>
      <c r="C1946" s="4" t="inlineStr">
        <is>
          <t>elk</t>
        </is>
      </c>
      <c r="D1946" s="4" t="n">
        <v>2011</v>
      </c>
      <c r="E1946" s="13" t="inlineStr">
        <is>
          <t>General</t>
        </is>
      </c>
      <c r="F1946" s="5" t="n">
        <v>489</v>
      </c>
      <c r="G1946" s="5" t="n">
        <v>3938</v>
      </c>
      <c r="H1946" s="5" t="n">
        <v>92</v>
      </c>
      <c r="I1946" s="5" t="n">
        <v>28</v>
      </c>
      <c r="J1946" s="5" t="n">
        <v>57</v>
      </c>
      <c r="K1946" s="10">
        <f>IF(F1946&gt;0,H1946/F1946,"")</f>
        <v/>
      </c>
      <c r="L1946" s="16">
        <f>IF(AND(G1946&gt;0,H1946&gt;0),G1946/H1946,"")</f>
        <v/>
      </c>
    </row>
    <row r="1947">
      <c r="A1947" s="4" t="inlineStr">
        <is>
          <t>211</t>
        </is>
      </c>
      <c r="B1947" s="4" t="n">
        <v>2</v>
      </c>
      <c r="C1947" s="4" t="inlineStr">
        <is>
          <t>elk</t>
        </is>
      </c>
      <c r="D1947" s="4" t="n">
        <v>2012</v>
      </c>
      <c r="E1947" s="13" t="inlineStr">
        <is>
          <t>General</t>
        </is>
      </c>
      <c r="F1947" s="5" t="n">
        <v>517</v>
      </c>
      <c r="G1947" s="5" t="n">
        <v>4030</v>
      </c>
      <c r="H1947" s="5" t="n">
        <v>60</v>
      </c>
      <c r="I1947" s="5" t="n">
        <v>45</v>
      </c>
      <c r="J1947" s="5" t="n">
        <v>13</v>
      </c>
      <c r="K1947" s="10">
        <f>IF(F1947&gt;0,H1947/F1947,"")</f>
        <v/>
      </c>
      <c r="L1947" s="16">
        <f>IF(AND(G1947&gt;0,H1947&gt;0),G1947/H1947,"")</f>
        <v/>
      </c>
    </row>
    <row r="1948">
      <c r="A1948" s="4" t="inlineStr">
        <is>
          <t>211</t>
        </is>
      </c>
      <c r="B1948" s="4" t="n">
        <v>2</v>
      </c>
      <c r="C1948" s="4" t="inlineStr">
        <is>
          <t>elk</t>
        </is>
      </c>
      <c r="D1948" s="4" t="n">
        <v>2013</v>
      </c>
      <c r="E1948" s="13" t="inlineStr">
        <is>
          <t>General</t>
        </is>
      </c>
      <c r="F1948" s="5" t="n"/>
      <c r="G1948" s="5" t="n"/>
      <c r="H1948" s="5" t="n">
        <v>72</v>
      </c>
      <c r="I1948" s="5" t="n">
        <v>34</v>
      </c>
      <c r="J1948" s="5" t="n">
        <v>37</v>
      </c>
      <c r="K1948" s="10">
        <f>IF(F1948&gt;0,H1948/F1948,"")</f>
        <v/>
      </c>
      <c r="L1948" s="16">
        <f>IF(AND(G1948&gt;0,H1948&gt;0),G1948/H1948,"")</f>
        <v/>
      </c>
    </row>
    <row r="1949">
      <c r="A1949" s="4" t="inlineStr">
        <is>
          <t>211</t>
        </is>
      </c>
      <c r="B1949" s="4" t="n">
        <v>2</v>
      </c>
      <c r="C1949" s="4" t="inlineStr">
        <is>
          <t>elk</t>
        </is>
      </c>
      <c r="D1949" s="4" t="n">
        <v>2014</v>
      </c>
      <c r="E1949" s="13" t="inlineStr">
        <is>
          <t>General</t>
        </is>
      </c>
      <c r="F1949" s="5" t="n">
        <v>633</v>
      </c>
      <c r="G1949" s="5" t="n">
        <v>4985</v>
      </c>
      <c r="H1949" s="5" t="n">
        <v>94</v>
      </c>
      <c r="I1949" s="5" t="n">
        <v>76</v>
      </c>
      <c r="J1949" s="5" t="n">
        <v>16</v>
      </c>
      <c r="K1949" s="10">
        <f>IF(F1949&gt;0,H1949/F1949,"")</f>
        <v/>
      </c>
      <c r="L1949" s="16">
        <f>IF(AND(G1949&gt;0,H1949&gt;0),G1949/H1949,"")</f>
        <v/>
      </c>
    </row>
    <row r="1950">
      <c r="A1950" s="4" t="inlineStr">
        <is>
          <t>211</t>
        </is>
      </c>
      <c r="B1950" s="4" t="n">
        <v>2</v>
      </c>
      <c r="C1950" s="4" t="inlineStr">
        <is>
          <t>elk</t>
        </is>
      </c>
      <c r="D1950" s="4" t="n">
        <v>2015</v>
      </c>
      <c r="E1950" s="13" t="inlineStr">
        <is>
          <t>General</t>
        </is>
      </c>
      <c r="F1950" s="5" t="n">
        <v>531</v>
      </c>
      <c r="G1950" s="5" t="n">
        <v>4407</v>
      </c>
      <c r="H1950" s="5" t="n">
        <v>67</v>
      </c>
      <c r="I1950" s="5" t="n">
        <v>41</v>
      </c>
      <c r="J1950" s="5" t="n">
        <v>26</v>
      </c>
      <c r="K1950" s="10">
        <f>IF(F1950&gt;0,H1950/F1950,"")</f>
        <v/>
      </c>
      <c r="L1950" s="16">
        <f>IF(AND(G1950&gt;0,H1950&gt;0),G1950/H1950,"")</f>
        <v/>
      </c>
    </row>
    <row r="1951">
      <c r="A1951" s="4" t="inlineStr">
        <is>
          <t>211</t>
        </is>
      </c>
      <c r="B1951" s="4" t="n">
        <v>2</v>
      </c>
      <c r="C1951" s="4" t="inlineStr">
        <is>
          <t>elk</t>
        </is>
      </c>
      <c r="D1951" s="4" t="n">
        <v>2016</v>
      </c>
      <c r="E1951" s="13" t="inlineStr">
        <is>
          <t>General</t>
        </is>
      </c>
      <c r="F1951" s="5" t="n">
        <v>538</v>
      </c>
      <c r="G1951" s="5" t="n">
        <v>4429</v>
      </c>
      <c r="H1951" s="5" t="n">
        <v>57</v>
      </c>
      <c r="I1951" s="5" t="n">
        <v>24</v>
      </c>
      <c r="J1951" s="5" t="n">
        <v>33</v>
      </c>
      <c r="K1951" s="10">
        <f>IF(F1951&gt;0,H1951/F1951,"")</f>
        <v/>
      </c>
      <c r="L1951" s="16">
        <f>IF(AND(G1951&gt;0,H1951&gt;0),G1951/H1951,"")</f>
        <v/>
      </c>
    </row>
    <row r="1952">
      <c r="A1952" s="4" t="inlineStr">
        <is>
          <t>211</t>
        </is>
      </c>
      <c r="B1952" s="4" t="n">
        <v>2</v>
      </c>
      <c r="C1952" s="4" t="inlineStr">
        <is>
          <t>elk</t>
        </is>
      </c>
      <c r="D1952" s="4" t="n">
        <v>2017</v>
      </c>
      <c r="E1952" s="13" t="inlineStr">
        <is>
          <t>General</t>
        </is>
      </c>
      <c r="F1952" s="5" t="n"/>
      <c r="G1952" s="5" t="n"/>
      <c r="H1952" s="5" t="n">
        <v>106</v>
      </c>
      <c r="I1952" s="5" t="n">
        <v>70</v>
      </c>
      <c r="J1952" s="5" t="n">
        <v>34</v>
      </c>
      <c r="K1952" s="10">
        <f>IF(F1952&gt;0,H1952/F1952,"")</f>
        <v/>
      </c>
      <c r="L1952" s="16">
        <f>IF(AND(G1952&gt;0,H1952&gt;0),G1952/H1952,"")</f>
        <v/>
      </c>
    </row>
    <row r="1953">
      <c r="A1953" s="4" t="inlineStr">
        <is>
          <t>211</t>
        </is>
      </c>
      <c r="B1953" s="4" t="n">
        <v>2</v>
      </c>
      <c r="C1953" s="4" t="inlineStr">
        <is>
          <t>elk</t>
        </is>
      </c>
      <c r="D1953" s="4" t="n">
        <v>2018</v>
      </c>
      <c r="E1953" s="13" t="inlineStr">
        <is>
          <t>General</t>
        </is>
      </c>
      <c r="F1953" s="5" t="n">
        <v>567</v>
      </c>
      <c r="G1953" s="5" t="n">
        <v>4138</v>
      </c>
      <c r="H1953" s="5" t="n">
        <v>99</v>
      </c>
      <c r="I1953" s="5" t="n">
        <v>45</v>
      </c>
      <c r="J1953" s="5" t="n">
        <v>51</v>
      </c>
      <c r="K1953" s="10">
        <f>IF(F1953&gt;0,H1953/F1953,"")</f>
        <v/>
      </c>
      <c r="L1953" s="16">
        <f>IF(AND(G1953&gt;0,H1953&gt;0),G1953/H1953,"")</f>
        <v/>
      </c>
    </row>
    <row r="1954">
      <c r="A1954" s="4" t="inlineStr">
        <is>
          <t>211</t>
        </is>
      </c>
      <c r="B1954" s="4" t="n">
        <v>2</v>
      </c>
      <c r="C1954" s="4" t="inlineStr">
        <is>
          <t>elk</t>
        </is>
      </c>
      <c r="D1954" s="4" t="n">
        <v>2019</v>
      </c>
      <c r="E1954" s="13" t="inlineStr">
        <is>
          <t>General</t>
        </is>
      </c>
      <c r="F1954" s="5" t="n"/>
      <c r="G1954" s="5" t="n"/>
      <c r="H1954" s="5" t="n">
        <v>93</v>
      </c>
      <c r="I1954" s="5" t="n">
        <v>58</v>
      </c>
      <c r="J1954" s="5" t="n">
        <v>35</v>
      </c>
      <c r="K1954" s="10">
        <f>IF(F1954&gt;0,H1954/F1954,"")</f>
        <v/>
      </c>
      <c r="L1954" s="16">
        <f>IF(AND(G1954&gt;0,H1954&gt;0),G1954/H1954,"")</f>
        <v/>
      </c>
    </row>
    <row r="1955">
      <c r="A1955" s="4" t="inlineStr">
        <is>
          <t>211</t>
        </is>
      </c>
      <c r="B1955" s="4" t="n">
        <v>2</v>
      </c>
      <c r="C1955" s="4" t="inlineStr">
        <is>
          <t>elk</t>
        </is>
      </c>
      <c r="D1955" s="4" t="n">
        <v>2020</v>
      </c>
      <c r="E1955" s="13" t="inlineStr">
        <is>
          <t>General</t>
        </is>
      </c>
      <c r="F1955" s="5" t="n">
        <v>765</v>
      </c>
      <c r="G1955" s="5" t="n">
        <v>5454</v>
      </c>
      <c r="H1955" s="5" t="n">
        <v>112</v>
      </c>
      <c r="I1955" s="5" t="n">
        <v>63</v>
      </c>
      <c r="J1955" s="5" t="n">
        <v>45</v>
      </c>
      <c r="K1955" s="10">
        <f>IF(F1955&gt;0,H1955/F1955,"")</f>
        <v/>
      </c>
      <c r="L1955" s="16">
        <f>IF(AND(G1955&gt;0,H1955&gt;0),G1955/H1955,"")</f>
        <v/>
      </c>
    </row>
    <row r="1956">
      <c r="A1956" s="4" t="inlineStr">
        <is>
          <t>211</t>
        </is>
      </c>
      <c r="B1956" s="4" t="n">
        <v>2</v>
      </c>
      <c r="C1956" s="4" t="inlineStr">
        <is>
          <t>elk</t>
        </is>
      </c>
      <c r="D1956" s="4" t="n">
        <v>2021</v>
      </c>
      <c r="E1956" s="13" t="inlineStr">
        <is>
          <t>General</t>
        </is>
      </c>
      <c r="F1956" s="5" t="n"/>
      <c r="G1956" s="5" t="n"/>
      <c r="H1956" s="5" t="n">
        <v>125</v>
      </c>
      <c r="I1956" s="5" t="n">
        <v>80</v>
      </c>
      <c r="J1956" s="5" t="n">
        <v>42</v>
      </c>
      <c r="K1956" s="10">
        <f>IF(F1956&gt;0,H1956/F1956,"")</f>
        <v/>
      </c>
      <c r="L1956" s="16">
        <f>IF(AND(G1956&gt;0,H1956&gt;0),G1956/H1956,"")</f>
        <v/>
      </c>
    </row>
    <row r="1957">
      <c r="A1957" s="4" t="inlineStr">
        <is>
          <t>211</t>
        </is>
      </c>
      <c r="B1957" s="4" t="n">
        <v>2</v>
      </c>
      <c r="C1957" s="4" t="inlineStr">
        <is>
          <t>elk</t>
        </is>
      </c>
      <c r="D1957" s="4" t="n">
        <v>2022</v>
      </c>
      <c r="E1957" s="13" t="inlineStr">
        <is>
          <t>General</t>
        </is>
      </c>
      <c r="F1957" s="5" t="n">
        <v>776</v>
      </c>
      <c r="G1957" s="5" t="n">
        <v>6684</v>
      </c>
      <c r="H1957" s="5" t="n">
        <v>114</v>
      </c>
      <c r="I1957" s="5" t="n">
        <v>103</v>
      </c>
      <c r="J1957" s="5" t="n">
        <v>11</v>
      </c>
      <c r="K1957" s="10">
        <f>IF(F1957&gt;0,H1957/F1957,"")</f>
        <v/>
      </c>
      <c r="L1957" s="16">
        <f>IF(AND(G1957&gt;0,H1957&gt;0),G1957/H1957,"")</f>
        <v/>
      </c>
    </row>
    <row r="1958">
      <c r="A1958" s="4" t="inlineStr">
        <is>
          <t>211</t>
        </is>
      </c>
      <c r="B1958" s="4" t="n">
        <v>2</v>
      </c>
      <c r="C1958" s="4" t="inlineStr">
        <is>
          <t>elk</t>
        </is>
      </c>
      <c r="D1958" s="4" t="n">
        <v>2023</v>
      </c>
      <c r="E1958" s="13" t="inlineStr">
        <is>
          <t>General</t>
        </is>
      </c>
      <c r="F1958" s="5" t="n"/>
      <c r="G1958" s="5" t="n"/>
      <c r="H1958" s="5" t="n">
        <v>108</v>
      </c>
      <c r="I1958" s="5" t="n">
        <v>73</v>
      </c>
      <c r="J1958" s="5" t="n">
        <v>27</v>
      </c>
      <c r="K1958" s="10">
        <f>IF(F1958&gt;0,H1958/F1958,"")</f>
        <v/>
      </c>
      <c r="L1958" s="16">
        <f>IF(AND(G1958&gt;0,H1958&gt;0),G1958/H1958,"")</f>
        <v/>
      </c>
    </row>
    <row r="1959">
      <c r="A1959" s="4" t="inlineStr">
        <is>
          <t>211</t>
        </is>
      </c>
      <c r="B1959" s="4" t="n">
        <v>2</v>
      </c>
      <c r="C1959" s="4" t="inlineStr">
        <is>
          <t>elk</t>
        </is>
      </c>
      <c r="D1959" s="4" t="n">
        <v>2024</v>
      </c>
      <c r="E1959" s="13" t="inlineStr">
        <is>
          <t>General</t>
        </is>
      </c>
      <c r="F1959" s="5" t="n">
        <v>832</v>
      </c>
      <c r="G1959" s="5" t="n">
        <v>7042</v>
      </c>
      <c r="H1959" s="5" t="n">
        <v>124</v>
      </c>
      <c r="I1959" s="5" t="n">
        <v>85</v>
      </c>
      <c r="J1959" s="5" t="n">
        <v>39</v>
      </c>
      <c r="K1959" s="10">
        <f>IF(F1959&gt;0,H1959/F1959,"")</f>
        <v/>
      </c>
      <c r="L1959" s="16">
        <f>IF(AND(G1959&gt;0,H1959&gt;0),G1959/H1959,"")</f>
        <v/>
      </c>
    </row>
    <row r="1960">
      <c r="A1960" s="4" t="inlineStr">
        <is>
          <t>211</t>
        </is>
      </c>
      <c r="B1960" s="4" t="n">
        <v>2</v>
      </c>
      <c r="C1960" s="4" t="inlineStr">
        <is>
          <t>elk</t>
        </is>
      </c>
      <c r="D1960" s="4" t="n">
        <v>2025</v>
      </c>
      <c r="E1960" s="13" t="inlineStr">
        <is>
          <t>General</t>
        </is>
      </c>
      <c r="F1960" s="5" t="n"/>
      <c r="G1960" s="5" t="n"/>
      <c r="H1960" s="5" t="n">
        <v>100</v>
      </c>
      <c r="I1960" s="5" t="n">
        <v>61</v>
      </c>
      <c r="J1960" s="5" t="n">
        <v>35</v>
      </c>
      <c r="K1960" s="10">
        <f>IF(F1960&gt;0,H1960/F1960,"")</f>
        <v/>
      </c>
      <c r="L1960" s="16">
        <f>IF(AND(G1960&gt;0,H1960&gt;0),G1960/H1960,"")</f>
        <v/>
      </c>
    </row>
    <row r="1961">
      <c r="A1961" s="4" t="inlineStr">
        <is>
          <t>212</t>
        </is>
      </c>
      <c r="B1961" s="4" t="n">
        <v>2</v>
      </c>
      <c r="C1961" s="4" t="inlineStr">
        <is>
          <t>elk</t>
        </is>
      </c>
      <c r="D1961" s="4" t="n">
        <v>2004</v>
      </c>
      <c r="E1961" s="13" t="inlineStr">
        <is>
          <t>General</t>
        </is>
      </c>
      <c r="F1961" s="5" t="n">
        <v>1785</v>
      </c>
      <c r="G1961" s="5" t="n">
        <v>12177</v>
      </c>
      <c r="H1961" s="5" t="n">
        <v>287</v>
      </c>
      <c r="I1961" s="5" t="n">
        <v>154</v>
      </c>
      <c r="J1961" s="5" t="n">
        <v>125</v>
      </c>
      <c r="K1961" s="10">
        <f>IF(F1961&gt;0,H1961/F1961,"")</f>
        <v/>
      </c>
      <c r="L1961" s="16">
        <f>IF(AND(G1961&gt;0,H1961&gt;0),G1961/H1961,"")</f>
        <v/>
      </c>
    </row>
    <row r="1962">
      <c r="A1962" s="4" t="inlineStr">
        <is>
          <t>212</t>
        </is>
      </c>
      <c r="B1962" s="4" t="n">
        <v>2</v>
      </c>
      <c r="C1962" s="4" t="inlineStr">
        <is>
          <t>elk</t>
        </is>
      </c>
      <c r="D1962" s="4" t="n">
        <v>2005</v>
      </c>
      <c r="E1962" s="13" t="inlineStr">
        <is>
          <t>General</t>
        </is>
      </c>
      <c r="F1962" s="5" t="n">
        <v>1614</v>
      </c>
      <c r="G1962" s="5" t="n">
        <v>10999</v>
      </c>
      <c r="H1962" s="5" t="n">
        <v>363</v>
      </c>
      <c r="I1962" s="5" t="n">
        <v>234</v>
      </c>
      <c r="J1962" s="5" t="n">
        <v>123</v>
      </c>
      <c r="K1962" s="10">
        <f>IF(F1962&gt;0,H1962/F1962,"")</f>
        <v/>
      </c>
      <c r="L1962" s="16">
        <f>IF(AND(G1962&gt;0,H1962&gt;0),G1962/H1962,"")</f>
        <v/>
      </c>
    </row>
    <row r="1963">
      <c r="A1963" s="4" t="inlineStr">
        <is>
          <t>212</t>
        </is>
      </c>
      <c r="B1963" s="4" t="n">
        <v>2</v>
      </c>
      <c r="C1963" s="4" t="inlineStr">
        <is>
          <t>elk</t>
        </is>
      </c>
      <c r="D1963" s="4" t="n">
        <v>2006</v>
      </c>
      <c r="E1963" s="13" t="inlineStr">
        <is>
          <t>General</t>
        </is>
      </c>
      <c r="F1963" s="5" t="n">
        <v>1603</v>
      </c>
      <c r="G1963" s="5" t="n">
        <v>11859</v>
      </c>
      <c r="H1963" s="5" t="n">
        <v>390</v>
      </c>
      <c r="I1963" s="5" t="n">
        <v>230</v>
      </c>
      <c r="J1963" s="5" t="n">
        <v>144</v>
      </c>
      <c r="K1963" s="10">
        <f>IF(F1963&gt;0,H1963/F1963,"")</f>
        <v/>
      </c>
      <c r="L1963" s="16">
        <f>IF(AND(G1963&gt;0,H1963&gt;0),G1963/H1963,"")</f>
        <v/>
      </c>
    </row>
    <row r="1964">
      <c r="A1964" s="4" t="inlineStr">
        <is>
          <t>212</t>
        </is>
      </c>
      <c r="B1964" s="4" t="n">
        <v>2</v>
      </c>
      <c r="C1964" s="4" t="inlineStr">
        <is>
          <t>elk</t>
        </is>
      </c>
      <c r="D1964" s="4" t="n">
        <v>2007</v>
      </c>
      <c r="E1964" s="13" t="inlineStr">
        <is>
          <t>General</t>
        </is>
      </c>
      <c r="F1964" s="5" t="n">
        <v>1618</v>
      </c>
      <c r="G1964" s="5" t="n">
        <v>11505</v>
      </c>
      <c r="H1964" s="5" t="n">
        <v>320</v>
      </c>
      <c r="I1964" s="5" t="n">
        <v>186</v>
      </c>
      <c r="J1964" s="5" t="n">
        <v>117</v>
      </c>
      <c r="K1964" s="10">
        <f>IF(F1964&gt;0,H1964/F1964,"")</f>
        <v/>
      </c>
      <c r="L1964" s="16">
        <f>IF(AND(G1964&gt;0,H1964&gt;0),G1964/H1964,"")</f>
        <v/>
      </c>
    </row>
    <row r="1965">
      <c r="A1965" s="4" t="inlineStr">
        <is>
          <t>212</t>
        </is>
      </c>
      <c r="B1965" s="4" t="n">
        <v>2</v>
      </c>
      <c r="C1965" s="4" t="inlineStr">
        <is>
          <t>elk</t>
        </is>
      </c>
      <c r="D1965" s="4" t="n">
        <v>2008</v>
      </c>
      <c r="E1965" s="13" t="inlineStr">
        <is>
          <t>General</t>
        </is>
      </c>
      <c r="F1965" s="5" t="n">
        <v>1918</v>
      </c>
      <c r="G1965" s="5" t="n">
        <v>13390</v>
      </c>
      <c r="H1965" s="5" t="n">
        <v>269</v>
      </c>
      <c r="I1965" s="5" t="n">
        <v>117</v>
      </c>
      <c r="J1965" s="5" t="n">
        <v>142</v>
      </c>
      <c r="K1965" s="10">
        <f>IF(F1965&gt;0,H1965/F1965,"")</f>
        <v/>
      </c>
      <c r="L1965" s="16">
        <f>IF(AND(G1965&gt;0,H1965&gt;0),G1965/H1965,"")</f>
        <v/>
      </c>
    </row>
    <row r="1966">
      <c r="A1966" s="4" t="inlineStr">
        <is>
          <t>212</t>
        </is>
      </c>
      <c r="B1966" s="4" t="n">
        <v>2</v>
      </c>
      <c r="C1966" s="4" t="inlineStr">
        <is>
          <t>elk</t>
        </is>
      </c>
      <c r="D1966" s="4" t="n">
        <v>2009</v>
      </c>
      <c r="E1966" s="13" t="inlineStr">
        <is>
          <t>General</t>
        </is>
      </c>
      <c r="F1966" s="5" t="n">
        <v>1850</v>
      </c>
      <c r="G1966" s="5" t="n">
        <v>12489</v>
      </c>
      <c r="H1966" s="5" t="n">
        <v>362</v>
      </c>
      <c r="I1966" s="5" t="n">
        <v>159</v>
      </c>
      <c r="J1966" s="5" t="n">
        <v>186</v>
      </c>
      <c r="K1966" s="10">
        <f>IF(F1966&gt;0,H1966/F1966,"")</f>
        <v/>
      </c>
      <c r="L1966" s="16">
        <f>IF(AND(G1966&gt;0,H1966&gt;0),G1966/H1966,"")</f>
        <v/>
      </c>
    </row>
    <row r="1967">
      <c r="A1967" s="4" t="inlineStr">
        <is>
          <t>212</t>
        </is>
      </c>
      <c r="B1967" s="4" t="n">
        <v>2</v>
      </c>
      <c r="C1967" s="4" t="inlineStr">
        <is>
          <t>elk</t>
        </is>
      </c>
      <c r="D1967" s="4" t="n">
        <v>2010</v>
      </c>
      <c r="E1967" s="13" t="inlineStr">
        <is>
          <t>General</t>
        </is>
      </c>
      <c r="F1967" s="5" t="n">
        <v>1830</v>
      </c>
      <c r="G1967" s="5" t="n">
        <v>12587</v>
      </c>
      <c r="H1967" s="5" t="n">
        <v>379</v>
      </c>
      <c r="I1967" s="5" t="n">
        <v>193</v>
      </c>
      <c r="J1967" s="5" t="n">
        <v>166</v>
      </c>
      <c r="K1967" s="10">
        <f>IF(F1967&gt;0,H1967/F1967,"")</f>
        <v/>
      </c>
      <c r="L1967" s="16">
        <f>IF(AND(G1967&gt;0,H1967&gt;0),G1967/H1967,"")</f>
        <v/>
      </c>
    </row>
    <row r="1968">
      <c r="A1968" s="4" t="inlineStr">
        <is>
          <t>212</t>
        </is>
      </c>
      <c r="B1968" s="4" t="n">
        <v>2</v>
      </c>
      <c r="C1968" s="4" t="inlineStr">
        <is>
          <t>elk</t>
        </is>
      </c>
      <c r="D1968" s="4" t="n">
        <v>2011</v>
      </c>
      <c r="E1968" s="13" t="inlineStr">
        <is>
          <t>General</t>
        </is>
      </c>
      <c r="F1968" s="5" t="n">
        <v>1952</v>
      </c>
      <c r="G1968" s="5" t="n">
        <v>14347</v>
      </c>
      <c r="H1968" s="5" t="n">
        <v>378</v>
      </c>
      <c r="I1968" s="5" t="n">
        <v>214</v>
      </c>
      <c r="J1968" s="5" t="n">
        <v>158</v>
      </c>
      <c r="K1968" s="10">
        <f>IF(F1968&gt;0,H1968/F1968,"")</f>
        <v/>
      </c>
      <c r="L1968" s="16">
        <f>IF(AND(G1968&gt;0,H1968&gt;0),G1968/H1968,"")</f>
        <v/>
      </c>
    </row>
    <row r="1969">
      <c r="A1969" s="4" t="inlineStr">
        <is>
          <t>212</t>
        </is>
      </c>
      <c r="B1969" s="4" t="n">
        <v>2</v>
      </c>
      <c r="C1969" s="4" t="inlineStr">
        <is>
          <t>elk</t>
        </is>
      </c>
      <c r="D1969" s="4" t="n">
        <v>2012</v>
      </c>
      <c r="E1969" s="13" t="inlineStr">
        <is>
          <t>General</t>
        </is>
      </c>
      <c r="F1969" s="5" t="n">
        <v>2152</v>
      </c>
      <c r="G1969" s="5" t="n">
        <v>14700</v>
      </c>
      <c r="H1969" s="5" t="n">
        <v>364</v>
      </c>
      <c r="I1969" s="5" t="n">
        <v>206</v>
      </c>
      <c r="J1969" s="5" t="n">
        <v>152</v>
      </c>
      <c r="K1969" s="10">
        <f>IF(F1969&gt;0,H1969/F1969,"")</f>
        <v/>
      </c>
      <c r="L1969" s="16">
        <f>IF(AND(G1969&gt;0,H1969&gt;0),G1969/H1969,"")</f>
        <v/>
      </c>
    </row>
    <row r="1970">
      <c r="A1970" s="4" t="inlineStr">
        <is>
          <t>212</t>
        </is>
      </c>
      <c r="B1970" s="4" t="n">
        <v>2</v>
      </c>
      <c r="C1970" s="4" t="inlineStr">
        <is>
          <t>elk</t>
        </is>
      </c>
      <c r="D1970" s="4" t="n">
        <v>2013</v>
      </c>
      <c r="E1970" s="13" t="inlineStr">
        <is>
          <t>General</t>
        </is>
      </c>
      <c r="F1970" s="5" t="n"/>
      <c r="G1970" s="5" t="n"/>
      <c r="H1970" s="5" t="n">
        <v>391</v>
      </c>
      <c r="I1970" s="5" t="n">
        <v>189</v>
      </c>
      <c r="J1970" s="5" t="n">
        <v>194</v>
      </c>
      <c r="K1970" s="10">
        <f>IF(F1970&gt;0,H1970/F1970,"")</f>
        <v/>
      </c>
      <c r="L1970" s="16">
        <f>IF(AND(G1970&gt;0,H1970&gt;0),G1970/H1970,"")</f>
        <v/>
      </c>
    </row>
    <row r="1971">
      <c r="A1971" s="4" t="inlineStr">
        <is>
          <t>212</t>
        </is>
      </c>
      <c r="B1971" s="4" t="n">
        <v>2</v>
      </c>
      <c r="C1971" s="4" t="inlineStr">
        <is>
          <t>elk</t>
        </is>
      </c>
      <c r="D1971" s="4" t="n">
        <v>2014</v>
      </c>
      <c r="E1971" s="13" t="inlineStr">
        <is>
          <t>General</t>
        </is>
      </c>
      <c r="F1971" s="5" t="n">
        <v>1930</v>
      </c>
      <c r="G1971" s="5" t="n">
        <v>14315</v>
      </c>
      <c r="H1971" s="5" t="n">
        <v>394</v>
      </c>
      <c r="I1971" s="5" t="n">
        <v>167</v>
      </c>
      <c r="J1971" s="5" t="n">
        <v>198</v>
      </c>
      <c r="K1971" s="10">
        <f>IF(F1971&gt;0,H1971/F1971,"")</f>
        <v/>
      </c>
      <c r="L1971" s="16">
        <f>IF(AND(G1971&gt;0,H1971&gt;0),G1971/H1971,"")</f>
        <v/>
      </c>
    </row>
    <row r="1972">
      <c r="A1972" s="4" t="inlineStr">
        <is>
          <t>212</t>
        </is>
      </c>
      <c r="B1972" s="4" t="n">
        <v>2</v>
      </c>
      <c r="C1972" s="4" t="inlineStr">
        <is>
          <t>elk</t>
        </is>
      </c>
      <c r="D1972" s="4" t="n">
        <v>2015</v>
      </c>
      <c r="E1972" s="13" t="inlineStr">
        <is>
          <t>General</t>
        </is>
      </c>
      <c r="F1972" s="5" t="n">
        <v>2216</v>
      </c>
      <c r="G1972" s="5" t="n">
        <v>16766</v>
      </c>
      <c r="H1972" s="5" t="n">
        <v>463</v>
      </c>
      <c r="I1972" s="5" t="n">
        <v>212</v>
      </c>
      <c r="J1972" s="5" t="n">
        <v>248</v>
      </c>
      <c r="K1972" s="10">
        <f>IF(F1972&gt;0,H1972/F1972,"")</f>
        <v/>
      </c>
      <c r="L1972" s="16">
        <f>IF(AND(G1972&gt;0,H1972&gt;0),G1972/H1972,"")</f>
        <v/>
      </c>
    </row>
    <row r="1973">
      <c r="A1973" s="4" t="inlineStr">
        <is>
          <t>212</t>
        </is>
      </c>
      <c r="B1973" s="4" t="n">
        <v>2</v>
      </c>
      <c r="C1973" s="4" t="inlineStr">
        <is>
          <t>elk</t>
        </is>
      </c>
      <c r="D1973" s="4" t="n">
        <v>2017</v>
      </c>
      <c r="E1973" s="13" t="inlineStr">
        <is>
          <t>General</t>
        </is>
      </c>
      <c r="F1973" s="5" t="n"/>
      <c r="G1973" s="5" t="n"/>
      <c r="H1973" s="5" t="n">
        <v>277</v>
      </c>
      <c r="I1973" s="5" t="n">
        <v>170</v>
      </c>
      <c r="J1973" s="5" t="n">
        <v>101</v>
      </c>
      <c r="K1973" s="10">
        <f>IF(F1973&gt;0,H1973/F1973,"")</f>
        <v/>
      </c>
      <c r="L1973" s="16">
        <f>IF(AND(G1973&gt;0,H1973&gt;0),G1973/H1973,"")</f>
        <v/>
      </c>
    </row>
    <row r="1974">
      <c r="A1974" s="4" t="inlineStr">
        <is>
          <t>212</t>
        </is>
      </c>
      <c r="B1974" s="4" t="n">
        <v>2</v>
      </c>
      <c r="C1974" s="4" t="inlineStr">
        <is>
          <t>elk</t>
        </is>
      </c>
      <c r="D1974" s="4" t="n">
        <v>2020</v>
      </c>
      <c r="E1974" s="13" t="inlineStr">
        <is>
          <t>General</t>
        </is>
      </c>
      <c r="F1974" s="5" t="n">
        <v>814</v>
      </c>
      <c r="G1974" s="5" t="n">
        <v>5125</v>
      </c>
      <c r="H1974" s="5" t="n">
        <v>76</v>
      </c>
      <c r="I1974" s="5" t="n">
        <v>66</v>
      </c>
      <c r="J1974" s="5" t="n">
        <v>10</v>
      </c>
      <c r="K1974" s="10">
        <f>IF(F1974&gt;0,H1974/F1974,"")</f>
        <v/>
      </c>
      <c r="L1974" s="16">
        <f>IF(AND(G1974&gt;0,H1974&gt;0),G1974/H1974,"")</f>
        <v/>
      </c>
    </row>
    <row r="1975">
      <c r="A1975" s="4" t="inlineStr">
        <is>
          <t>212</t>
        </is>
      </c>
      <c r="B1975" s="4" t="n">
        <v>2</v>
      </c>
      <c r="C1975" s="4" t="inlineStr">
        <is>
          <t>elk</t>
        </is>
      </c>
      <c r="D1975" s="4" t="n">
        <v>2021</v>
      </c>
      <c r="E1975" s="13" t="inlineStr">
        <is>
          <t>General</t>
        </is>
      </c>
      <c r="F1975" s="5" t="n"/>
      <c r="G1975" s="5" t="n"/>
      <c r="H1975" s="5" t="n">
        <v>30</v>
      </c>
      <c r="I1975" s="5" t="n">
        <v>25</v>
      </c>
      <c r="J1975" s="5" t="n">
        <v>2</v>
      </c>
      <c r="K1975" s="10">
        <f>IF(F1975&gt;0,H1975/F1975,"")</f>
        <v/>
      </c>
      <c r="L1975" s="16">
        <f>IF(AND(G1975&gt;0,H1975&gt;0),G1975/H1975,"")</f>
        <v/>
      </c>
    </row>
    <row r="1976">
      <c r="A1976" s="4" t="inlineStr">
        <is>
          <t>212</t>
        </is>
      </c>
      <c r="B1976" s="4" t="n">
        <v>2</v>
      </c>
      <c r="C1976" s="4" t="inlineStr">
        <is>
          <t>elk</t>
        </is>
      </c>
      <c r="D1976" s="4" t="n">
        <v>2022</v>
      </c>
      <c r="E1976" s="13" t="inlineStr">
        <is>
          <t>General</t>
        </is>
      </c>
      <c r="F1976" s="5" t="n">
        <v>455</v>
      </c>
      <c r="G1976" s="5" t="n">
        <v>3233</v>
      </c>
      <c r="H1976" s="5" t="n">
        <v>54</v>
      </c>
      <c r="I1976" s="5" t="n">
        <v>45</v>
      </c>
      <c r="J1976" s="5" t="n">
        <v>9</v>
      </c>
      <c r="K1976" s="10">
        <f>IF(F1976&gt;0,H1976/F1976,"")</f>
        <v/>
      </c>
      <c r="L1976" s="16">
        <f>IF(AND(G1976&gt;0,H1976&gt;0),G1976/H1976,"")</f>
        <v/>
      </c>
    </row>
    <row r="1977">
      <c r="A1977" s="4" t="inlineStr">
        <is>
          <t>212</t>
        </is>
      </c>
      <c r="B1977" s="4" t="n">
        <v>2</v>
      </c>
      <c r="C1977" s="4" t="inlineStr">
        <is>
          <t>elk</t>
        </is>
      </c>
      <c r="D1977" s="4" t="n">
        <v>2023</v>
      </c>
      <c r="E1977" s="13" t="inlineStr">
        <is>
          <t>General</t>
        </is>
      </c>
      <c r="F1977" s="5" t="n"/>
      <c r="G1977" s="5" t="n"/>
      <c r="H1977" s="5" t="n">
        <v>43</v>
      </c>
      <c r="I1977" s="5" t="n">
        <v>43</v>
      </c>
      <c r="J1977" s="5" t="n">
        <v>0</v>
      </c>
      <c r="K1977" s="10">
        <f>IF(F1977&gt;0,H1977/F1977,"")</f>
        <v/>
      </c>
      <c r="L1977" s="16">
        <f>IF(AND(G1977&gt;0,H1977&gt;0),G1977/H1977,"")</f>
        <v/>
      </c>
    </row>
    <row r="1978">
      <c r="A1978" s="4" t="inlineStr">
        <is>
          <t>212</t>
        </is>
      </c>
      <c r="B1978" s="4" t="n">
        <v>2</v>
      </c>
      <c r="C1978" s="4" t="inlineStr">
        <is>
          <t>elk</t>
        </is>
      </c>
      <c r="D1978" s="4" t="n">
        <v>2024</v>
      </c>
      <c r="E1978" s="13" t="inlineStr">
        <is>
          <t>General</t>
        </is>
      </c>
      <c r="F1978" s="5" t="n">
        <v>449</v>
      </c>
      <c r="G1978" s="5" t="n">
        <v>3573</v>
      </c>
      <c r="H1978" s="5" t="n">
        <v>26</v>
      </c>
      <c r="I1978" s="5" t="n">
        <v>14</v>
      </c>
      <c r="J1978" s="5" t="n">
        <v>11</v>
      </c>
      <c r="K1978" s="10">
        <f>IF(F1978&gt;0,H1978/F1978,"")</f>
        <v/>
      </c>
      <c r="L1978" s="16">
        <f>IF(AND(G1978&gt;0,H1978&gt;0),G1978/H1978,"")</f>
        <v/>
      </c>
    </row>
    <row r="1979">
      <c r="A1979" s="4" t="inlineStr">
        <is>
          <t>212</t>
        </is>
      </c>
      <c r="B1979" s="4" t="n">
        <v>2</v>
      </c>
      <c r="C1979" s="4" t="inlineStr">
        <is>
          <t>elk</t>
        </is>
      </c>
      <c r="D1979" s="4" t="n">
        <v>2025</v>
      </c>
      <c r="E1979" s="13" t="inlineStr">
        <is>
          <t>General</t>
        </is>
      </c>
      <c r="F1979" s="5" t="n"/>
      <c r="G1979" s="5" t="n"/>
      <c r="H1979" s="5" t="n">
        <v>38</v>
      </c>
      <c r="I1979" s="5" t="n">
        <v>26</v>
      </c>
      <c r="J1979" s="5" t="n">
        <v>12</v>
      </c>
      <c r="K1979" s="10">
        <f>IF(F1979&gt;0,H1979/F1979,"")</f>
        <v/>
      </c>
      <c r="L1979" s="16">
        <f>IF(AND(G1979&gt;0,H1979&gt;0),G1979/H1979,"")</f>
        <v/>
      </c>
    </row>
    <row r="1980">
      <c r="A1980" s="4" t="inlineStr">
        <is>
          <t>212E</t>
        </is>
      </c>
      <c r="B1980" s="4" t="n">
        <v>2</v>
      </c>
      <c r="C1980" s="4" t="inlineStr">
        <is>
          <t>elk</t>
        </is>
      </c>
      <c r="D1980" s="4" t="n">
        <v>2016</v>
      </c>
      <c r="E1980" s="13" t="inlineStr">
        <is>
          <t>General</t>
        </is>
      </c>
      <c r="F1980" s="5" t="n">
        <v>512</v>
      </c>
      <c r="G1980" s="5" t="n">
        <v>3943</v>
      </c>
      <c r="H1980" s="5" t="n">
        <v>121</v>
      </c>
      <c r="I1980" s="5" t="n">
        <v>46</v>
      </c>
      <c r="J1980" s="5" t="n">
        <v>61</v>
      </c>
      <c r="K1980" s="10">
        <f>IF(F1980&gt;0,H1980/F1980,"")</f>
        <v/>
      </c>
      <c r="L1980" s="16">
        <f>IF(AND(G1980&gt;0,H1980&gt;0),G1980/H1980,"")</f>
        <v/>
      </c>
    </row>
    <row r="1981">
      <c r="A1981" s="4" t="inlineStr">
        <is>
          <t>212E</t>
        </is>
      </c>
      <c r="B1981" s="4" t="n">
        <v>2</v>
      </c>
      <c r="C1981" s="4" t="inlineStr">
        <is>
          <t>elk</t>
        </is>
      </c>
      <c r="D1981" s="4" t="n">
        <v>2018</v>
      </c>
      <c r="E1981" s="13" t="inlineStr">
        <is>
          <t>General</t>
        </is>
      </c>
      <c r="F1981" s="5" t="n">
        <v>816</v>
      </c>
      <c r="G1981" s="5" t="n">
        <v>5937</v>
      </c>
      <c r="H1981" s="5" t="n">
        <v>255</v>
      </c>
      <c r="I1981" s="5" t="n">
        <v>96</v>
      </c>
      <c r="J1981" s="5" t="n">
        <v>153</v>
      </c>
      <c r="K1981" s="10">
        <f>IF(F1981&gt;0,H1981/F1981,"")</f>
        <v/>
      </c>
      <c r="L1981" s="16">
        <f>IF(AND(G1981&gt;0,H1981&gt;0),G1981/H1981,"")</f>
        <v/>
      </c>
    </row>
    <row r="1982">
      <c r="A1982" s="4" t="inlineStr">
        <is>
          <t>212E</t>
        </is>
      </c>
      <c r="B1982" s="4" t="n">
        <v>2</v>
      </c>
      <c r="C1982" s="4" t="inlineStr">
        <is>
          <t>elk</t>
        </is>
      </c>
      <c r="D1982" s="4" t="n">
        <v>2019</v>
      </c>
      <c r="E1982" s="13" t="inlineStr">
        <is>
          <t>General</t>
        </is>
      </c>
      <c r="F1982" s="5" t="n"/>
      <c r="G1982" s="5" t="n"/>
      <c r="H1982" s="5" t="n">
        <v>169</v>
      </c>
      <c r="I1982" s="5" t="n">
        <v>62</v>
      </c>
      <c r="J1982" s="5" t="n">
        <v>104</v>
      </c>
      <c r="K1982" s="10">
        <f>IF(F1982&gt;0,H1982/F1982,"")</f>
        <v/>
      </c>
      <c r="L1982" s="16">
        <f>IF(AND(G1982&gt;0,H1982&gt;0),G1982/H1982,"")</f>
        <v/>
      </c>
    </row>
    <row r="1983">
      <c r="A1983" s="4" t="inlineStr">
        <is>
          <t>212W</t>
        </is>
      </c>
      <c r="B1983" s="4" t="n">
        <v>2</v>
      </c>
      <c r="C1983" s="4" t="inlineStr">
        <is>
          <t>elk</t>
        </is>
      </c>
      <c r="D1983" s="4" t="n">
        <v>2016</v>
      </c>
      <c r="E1983" s="13" t="inlineStr">
        <is>
          <t>General</t>
        </is>
      </c>
      <c r="F1983" s="5" t="n">
        <v>441</v>
      </c>
      <c r="G1983" s="5" t="n">
        <v>3029</v>
      </c>
      <c r="H1983" s="5" t="n">
        <v>45</v>
      </c>
      <c r="I1983" s="5" t="n">
        <v>28</v>
      </c>
      <c r="J1983" s="5" t="n">
        <v>16</v>
      </c>
      <c r="K1983" s="10">
        <f>IF(F1983&gt;0,H1983/F1983,"")</f>
        <v/>
      </c>
      <c r="L1983" s="16">
        <f>IF(AND(G1983&gt;0,H1983&gt;0),G1983/H1983,"")</f>
        <v/>
      </c>
    </row>
    <row r="1984">
      <c r="A1984" s="4" t="inlineStr">
        <is>
          <t>212W</t>
        </is>
      </c>
      <c r="B1984" s="4" t="n">
        <v>2</v>
      </c>
      <c r="C1984" s="4" t="inlineStr">
        <is>
          <t>elk</t>
        </is>
      </c>
      <c r="D1984" s="4" t="n">
        <v>2018</v>
      </c>
      <c r="E1984" s="13" t="inlineStr">
        <is>
          <t>General</t>
        </is>
      </c>
      <c r="F1984" s="5" t="n">
        <v>786</v>
      </c>
      <c r="G1984" s="5" t="n">
        <v>5294</v>
      </c>
      <c r="H1984" s="5" t="n">
        <v>156</v>
      </c>
      <c r="I1984" s="5" t="n">
        <v>57</v>
      </c>
      <c r="J1984" s="5" t="n">
        <v>100</v>
      </c>
      <c r="K1984" s="10">
        <f>IF(F1984&gt;0,H1984/F1984,"")</f>
        <v/>
      </c>
      <c r="L1984" s="16">
        <f>IF(AND(G1984&gt;0,H1984&gt;0),G1984/H1984,"")</f>
        <v/>
      </c>
    </row>
    <row r="1985">
      <c r="A1985" s="4" t="inlineStr">
        <is>
          <t>212W</t>
        </is>
      </c>
      <c r="B1985" s="4" t="n">
        <v>2</v>
      </c>
      <c r="C1985" s="4" t="inlineStr">
        <is>
          <t>elk</t>
        </is>
      </c>
      <c r="D1985" s="4" t="n">
        <v>2019</v>
      </c>
      <c r="E1985" s="13" t="inlineStr">
        <is>
          <t>General</t>
        </is>
      </c>
      <c r="F1985" s="5" t="n"/>
      <c r="G1985" s="5" t="n"/>
      <c r="H1985" s="5" t="n">
        <v>127</v>
      </c>
      <c r="I1985" s="5" t="n">
        <v>57</v>
      </c>
      <c r="J1985" s="5" t="n">
        <v>70</v>
      </c>
      <c r="K1985" s="10">
        <f>IF(F1985&gt;0,H1985/F1985,"")</f>
        <v/>
      </c>
      <c r="L1985" s="16">
        <f>IF(AND(G1985&gt;0,H1985&gt;0),G1985/H1985,"")</f>
        <v/>
      </c>
    </row>
    <row r="1986">
      <c r="A1986" s="4" t="inlineStr">
        <is>
          <t>213</t>
        </is>
      </c>
      <c r="B1986" s="4" t="n">
        <v>2</v>
      </c>
      <c r="C1986" s="4" t="inlineStr">
        <is>
          <t>elk</t>
        </is>
      </c>
      <c r="D1986" s="4" t="n">
        <v>2004</v>
      </c>
      <c r="E1986" s="13" t="inlineStr">
        <is>
          <t>General</t>
        </is>
      </c>
      <c r="F1986" s="5" t="n">
        <v>693</v>
      </c>
      <c r="G1986" s="5" t="n">
        <v>4900</v>
      </c>
      <c r="H1986" s="5" t="n">
        <v>174</v>
      </c>
      <c r="I1986" s="5" t="n">
        <v>71</v>
      </c>
      <c r="J1986" s="5" t="n">
        <v>101</v>
      </c>
      <c r="K1986" s="10">
        <f>IF(F1986&gt;0,H1986/F1986,"")</f>
        <v/>
      </c>
      <c r="L1986" s="16">
        <f>IF(AND(G1986&gt;0,H1986&gt;0),G1986/H1986,"")</f>
        <v/>
      </c>
    </row>
    <row r="1987">
      <c r="A1987" s="4" t="inlineStr">
        <is>
          <t>213</t>
        </is>
      </c>
      <c r="B1987" s="4" t="n">
        <v>2</v>
      </c>
      <c r="C1987" s="4" t="inlineStr">
        <is>
          <t>elk</t>
        </is>
      </c>
      <c r="D1987" s="4" t="n">
        <v>2005</v>
      </c>
      <c r="E1987" s="13" t="inlineStr">
        <is>
          <t>General</t>
        </is>
      </c>
      <c r="F1987" s="5" t="n">
        <v>660</v>
      </c>
      <c r="G1987" s="5" t="n">
        <v>4274</v>
      </c>
      <c r="H1987" s="5" t="n">
        <v>188</v>
      </c>
      <c r="I1987" s="5" t="n">
        <v>66</v>
      </c>
      <c r="J1987" s="5" t="n">
        <v>117</v>
      </c>
      <c r="K1987" s="10">
        <f>IF(F1987&gt;0,H1987/F1987,"")</f>
        <v/>
      </c>
      <c r="L1987" s="16">
        <f>IF(AND(G1987&gt;0,H1987&gt;0),G1987/H1987,"")</f>
        <v/>
      </c>
    </row>
    <row r="1988">
      <c r="A1988" s="4" t="inlineStr">
        <is>
          <t>213</t>
        </is>
      </c>
      <c r="B1988" s="4" t="n">
        <v>2</v>
      </c>
      <c r="C1988" s="4" t="inlineStr">
        <is>
          <t>elk</t>
        </is>
      </c>
      <c r="D1988" s="4" t="n">
        <v>2006</v>
      </c>
      <c r="E1988" s="13" t="inlineStr">
        <is>
          <t>General</t>
        </is>
      </c>
      <c r="F1988" s="5" t="n">
        <v>578</v>
      </c>
      <c r="G1988" s="5" t="n">
        <v>3776</v>
      </c>
      <c r="H1988" s="5" t="n">
        <v>153</v>
      </c>
      <c r="I1988" s="5" t="n">
        <v>90</v>
      </c>
      <c r="J1988" s="5" t="n">
        <v>53</v>
      </c>
      <c r="K1988" s="10">
        <f>IF(F1988&gt;0,H1988/F1988,"")</f>
        <v/>
      </c>
      <c r="L1988" s="16">
        <f>IF(AND(G1988&gt;0,H1988&gt;0),G1988/H1988,"")</f>
        <v/>
      </c>
    </row>
    <row r="1989">
      <c r="A1989" s="4" t="inlineStr">
        <is>
          <t>213</t>
        </is>
      </c>
      <c r="B1989" s="4" t="n">
        <v>2</v>
      </c>
      <c r="C1989" s="4" t="inlineStr">
        <is>
          <t>elk</t>
        </is>
      </c>
      <c r="D1989" s="4" t="n">
        <v>2007</v>
      </c>
      <c r="E1989" s="13" t="inlineStr">
        <is>
          <t>General</t>
        </is>
      </c>
      <c r="F1989" s="5" t="n">
        <v>648</v>
      </c>
      <c r="G1989" s="5" t="n">
        <v>4995</v>
      </c>
      <c r="H1989" s="5" t="n">
        <v>216</v>
      </c>
      <c r="I1989" s="5" t="n">
        <v>93</v>
      </c>
      <c r="J1989" s="5" t="n">
        <v>111</v>
      </c>
      <c r="K1989" s="10">
        <f>IF(F1989&gt;0,H1989/F1989,"")</f>
        <v/>
      </c>
      <c r="L1989" s="16">
        <f>IF(AND(G1989&gt;0,H1989&gt;0),G1989/H1989,"")</f>
        <v/>
      </c>
    </row>
    <row r="1990">
      <c r="A1990" s="4" t="inlineStr">
        <is>
          <t>213</t>
        </is>
      </c>
      <c r="B1990" s="4" t="n">
        <v>2</v>
      </c>
      <c r="C1990" s="4" t="inlineStr">
        <is>
          <t>elk</t>
        </is>
      </c>
      <c r="D1990" s="4" t="n">
        <v>2008</v>
      </c>
      <c r="E1990" s="13" t="inlineStr">
        <is>
          <t>General</t>
        </is>
      </c>
      <c r="F1990" s="5" t="n">
        <v>605</v>
      </c>
      <c r="G1990" s="5" t="n">
        <v>4707</v>
      </c>
      <c r="H1990" s="5" t="n">
        <v>75</v>
      </c>
      <c r="I1990" s="5" t="n">
        <v>33</v>
      </c>
      <c r="J1990" s="5" t="n">
        <v>42</v>
      </c>
      <c r="K1990" s="10">
        <f>IF(F1990&gt;0,H1990/F1990,"")</f>
        <v/>
      </c>
      <c r="L1990" s="16">
        <f>IF(AND(G1990&gt;0,H1990&gt;0),G1990/H1990,"")</f>
        <v/>
      </c>
    </row>
    <row r="1991">
      <c r="A1991" s="4" t="inlineStr">
        <is>
          <t>213</t>
        </is>
      </c>
      <c r="B1991" s="4" t="n">
        <v>2</v>
      </c>
      <c r="C1991" s="4" t="inlineStr">
        <is>
          <t>elk</t>
        </is>
      </c>
      <c r="D1991" s="4" t="n">
        <v>2009</v>
      </c>
      <c r="E1991" s="13" t="inlineStr">
        <is>
          <t>General</t>
        </is>
      </c>
      <c r="F1991" s="5" t="n">
        <v>728</v>
      </c>
      <c r="G1991" s="5" t="n">
        <v>5063</v>
      </c>
      <c r="H1991" s="5" t="n">
        <v>175</v>
      </c>
      <c r="I1991" s="5" t="n">
        <v>70</v>
      </c>
      <c r="J1991" s="5" t="n">
        <v>100</v>
      </c>
      <c r="K1991" s="10">
        <f>IF(F1991&gt;0,H1991/F1991,"")</f>
        <v/>
      </c>
      <c r="L1991" s="16">
        <f>IF(AND(G1991&gt;0,H1991&gt;0),G1991/H1991,"")</f>
        <v/>
      </c>
    </row>
    <row r="1992">
      <c r="A1992" s="4" t="inlineStr">
        <is>
          <t>213</t>
        </is>
      </c>
      <c r="B1992" s="4" t="n">
        <v>2</v>
      </c>
      <c r="C1992" s="4" t="inlineStr">
        <is>
          <t>elk</t>
        </is>
      </c>
      <c r="D1992" s="4" t="n">
        <v>2010</v>
      </c>
      <c r="E1992" s="13" t="inlineStr">
        <is>
          <t>General</t>
        </is>
      </c>
      <c r="F1992" s="5" t="n">
        <v>717</v>
      </c>
      <c r="G1992" s="5" t="n">
        <v>5708</v>
      </c>
      <c r="H1992" s="5" t="n">
        <v>225</v>
      </c>
      <c r="I1992" s="5" t="n">
        <v>83</v>
      </c>
      <c r="J1992" s="5" t="n">
        <v>136</v>
      </c>
      <c r="K1992" s="10">
        <f>IF(F1992&gt;0,H1992/F1992,"")</f>
        <v/>
      </c>
      <c r="L1992" s="16">
        <f>IF(AND(G1992&gt;0,H1992&gt;0),G1992/H1992,"")</f>
        <v/>
      </c>
    </row>
    <row r="1993">
      <c r="A1993" s="4" t="inlineStr">
        <is>
          <t>213</t>
        </is>
      </c>
      <c r="B1993" s="4" t="n">
        <v>2</v>
      </c>
      <c r="C1993" s="4" t="inlineStr">
        <is>
          <t>elk</t>
        </is>
      </c>
      <c r="D1993" s="4" t="n">
        <v>2011</v>
      </c>
      <c r="E1993" s="13" t="inlineStr">
        <is>
          <t>General</t>
        </is>
      </c>
      <c r="F1993" s="5" t="n">
        <v>714</v>
      </c>
      <c r="G1993" s="5" t="n">
        <v>5483</v>
      </c>
      <c r="H1993" s="5" t="n">
        <v>127</v>
      </c>
      <c r="I1993" s="5" t="n">
        <v>33</v>
      </c>
      <c r="J1993" s="5" t="n">
        <v>90</v>
      </c>
      <c r="K1993" s="10">
        <f>IF(F1993&gt;0,H1993/F1993,"")</f>
        <v/>
      </c>
      <c r="L1993" s="16">
        <f>IF(AND(G1993&gt;0,H1993&gt;0),G1993/H1993,"")</f>
        <v/>
      </c>
    </row>
    <row r="1994">
      <c r="A1994" s="4" t="inlineStr">
        <is>
          <t>213</t>
        </is>
      </c>
      <c r="B1994" s="4" t="n">
        <v>2</v>
      </c>
      <c r="C1994" s="4" t="inlineStr">
        <is>
          <t>elk</t>
        </is>
      </c>
      <c r="D1994" s="4" t="n">
        <v>2012</v>
      </c>
      <c r="E1994" s="13" t="inlineStr">
        <is>
          <t>General</t>
        </is>
      </c>
      <c r="F1994" s="5" t="n">
        <v>643</v>
      </c>
      <c r="G1994" s="5" t="n">
        <v>5108</v>
      </c>
      <c r="H1994" s="5" t="n">
        <v>121</v>
      </c>
      <c r="I1994" s="5" t="n">
        <v>47</v>
      </c>
      <c r="J1994" s="5" t="n">
        <v>62</v>
      </c>
      <c r="K1994" s="10">
        <f>IF(F1994&gt;0,H1994/F1994,"")</f>
        <v/>
      </c>
      <c r="L1994" s="16">
        <f>IF(AND(G1994&gt;0,H1994&gt;0),G1994/H1994,"")</f>
        <v/>
      </c>
    </row>
    <row r="1995">
      <c r="A1995" s="4" t="inlineStr">
        <is>
          <t>213</t>
        </is>
      </c>
      <c r="B1995" s="4" t="n">
        <v>2</v>
      </c>
      <c r="C1995" s="4" t="inlineStr">
        <is>
          <t>elk</t>
        </is>
      </c>
      <c r="D1995" s="4" t="n">
        <v>2013</v>
      </c>
      <c r="E1995" s="13" t="inlineStr">
        <is>
          <t>General</t>
        </is>
      </c>
      <c r="F1995" s="5" t="n"/>
      <c r="G1995" s="5" t="n"/>
      <c r="H1995" s="5" t="n">
        <v>95</v>
      </c>
      <c r="I1995" s="5" t="n">
        <v>50</v>
      </c>
      <c r="J1995" s="5" t="n">
        <v>43</v>
      </c>
      <c r="K1995" s="10">
        <f>IF(F1995&gt;0,H1995/F1995,"")</f>
        <v/>
      </c>
      <c r="L1995" s="16">
        <f>IF(AND(G1995&gt;0,H1995&gt;0),G1995/H1995,"")</f>
        <v/>
      </c>
    </row>
    <row r="1996">
      <c r="A1996" s="4" t="inlineStr">
        <is>
          <t>213</t>
        </is>
      </c>
      <c r="B1996" s="4" t="n">
        <v>2</v>
      </c>
      <c r="C1996" s="4" t="inlineStr">
        <is>
          <t>elk</t>
        </is>
      </c>
      <c r="D1996" s="4" t="n">
        <v>2014</v>
      </c>
      <c r="E1996" s="13" t="inlineStr">
        <is>
          <t>General</t>
        </is>
      </c>
      <c r="F1996" s="5" t="n">
        <v>821</v>
      </c>
      <c r="G1996" s="5" t="n">
        <v>6449</v>
      </c>
      <c r="H1996" s="5" t="n">
        <v>220</v>
      </c>
      <c r="I1996" s="5" t="n">
        <v>96</v>
      </c>
      <c r="J1996" s="5" t="n">
        <v>116</v>
      </c>
      <c r="K1996" s="10">
        <f>IF(F1996&gt;0,H1996/F1996,"")</f>
        <v/>
      </c>
      <c r="L1996" s="16">
        <f>IF(AND(G1996&gt;0,H1996&gt;0),G1996/H1996,"")</f>
        <v/>
      </c>
    </row>
    <row r="1997">
      <c r="A1997" s="4" t="inlineStr">
        <is>
          <t>213</t>
        </is>
      </c>
      <c r="B1997" s="4" t="n">
        <v>2</v>
      </c>
      <c r="C1997" s="4" t="inlineStr">
        <is>
          <t>elk</t>
        </is>
      </c>
      <c r="D1997" s="4" t="n">
        <v>2015</v>
      </c>
      <c r="E1997" s="13" t="inlineStr">
        <is>
          <t>General</t>
        </is>
      </c>
      <c r="F1997" s="5" t="n">
        <v>903</v>
      </c>
      <c r="G1997" s="5" t="n">
        <v>8560</v>
      </c>
      <c r="H1997" s="5" t="n">
        <v>199</v>
      </c>
      <c r="I1997" s="5" t="n">
        <v>94</v>
      </c>
      <c r="J1997" s="5" t="n">
        <v>98</v>
      </c>
      <c r="K1997" s="10">
        <f>IF(F1997&gt;0,H1997/F1997,"")</f>
        <v/>
      </c>
      <c r="L1997" s="16">
        <f>IF(AND(G1997&gt;0,H1997&gt;0),G1997/H1997,"")</f>
        <v/>
      </c>
    </row>
    <row r="1998">
      <c r="A1998" s="4" t="inlineStr">
        <is>
          <t>213</t>
        </is>
      </c>
      <c r="B1998" s="4" t="n">
        <v>2</v>
      </c>
      <c r="C1998" s="4" t="inlineStr">
        <is>
          <t>elk</t>
        </is>
      </c>
      <c r="D1998" s="4" t="n">
        <v>2016</v>
      </c>
      <c r="E1998" s="13" t="inlineStr">
        <is>
          <t>General</t>
        </is>
      </c>
      <c r="F1998" s="5" t="n">
        <v>759</v>
      </c>
      <c r="G1998" s="5" t="n">
        <v>6268</v>
      </c>
      <c r="H1998" s="5" t="n">
        <v>151</v>
      </c>
      <c r="I1998" s="5" t="n">
        <v>63</v>
      </c>
      <c r="J1998" s="5" t="n">
        <v>75</v>
      </c>
      <c r="K1998" s="10">
        <f>IF(F1998&gt;0,H1998/F1998,"")</f>
        <v/>
      </c>
      <c r="L1998" s="16">
        <f>IF(AND(G1998&gt;0,H1998&gt;0),G1998/H1998,"")</f>
        <v/>
      </c>
    </row>
    <row r="1999">
      <c r="A1999" s="4" t="inlineStr">
        <is>
          <t>213</t>
        </is>
      </c>
      <c r="B1999" s="4" t="n">
        <v>2</v>
      </c>
      <c r="C1999" s="4" t="inlineStr">
        <is>
          <t>elk</t>
        </is>
      </c>
      <c r="D1999" s="4" t="n">
        <v>2017</v>
      </c>
      <c r="E1999" s="13" t="inlineStr">
        <is>
          <t>General</t>
        </is>
      </c>
      <c r="F1999" s="5" t="n"/>
      <c r="G1999" s="5" t="n"/>
      <c r="H1999" s="5" t="n">
        <v>144</v>
      </c>
      <c r="I1999" s="5" t="n">
        <v>57</v>
      </c>
      <c r="J1999" s="5" t="n">
        <v>70</v>
      </c>
      <c r="K1999" s="10">
        <f>IF(F1999&gt;0,H1999/F1999,"")</f>
        <v/>
      </c>
      <c r="L1999" s="16">
        <f>IF(AND(G1999&gt;0,H1999&gt;0),G1999/H1999,"")</f>
        <v/>
      </c>
    </row>
    <row r="2000">
      <c r="A2000" s="4" t="inlineStr">
        <is>
          <t>213</t>
        </is>
      </c>
      <c r="B2000" s="4" t="n">
        <v>2</v>
      </c>
      <c r="C2000" s="4" t="inlineStr">
        <is>
          <t>elk</t>
        </is>
      </c>
      <c r="D2000" s="4" t="n">
        <v>2018</v>
      </c>
      <c r="E2000" s="13" t="inlineStr">
        <is>
          <t>General</t>
        </is>
      </c>
      <c r="F2000" s="5" t="n">
        <v>713</v>
      </c>
      <c r="G2000" s="5" t="n">
        <v>6587</v>
      </c>
      <c r="H2000" s="5" t="n">
        <v>144</v>
      </c>
      <c r="I2000" s="5" t="n">
        <v>41</v>
      </c>
      <c r="J2000" s="5" t="n">
        <v>94</v>
      </c>
      <c r="K2000" s="10">
        <f>IF(F2000&gt;0,H2000/F2000,"")</f>
        <v/>
      </c>
      <c r="L2000" s="16">
        <f>IF(AND(G2000&gt;0,H2000&gt;0),G2000/H2000,"")</f>
        <v/>
      </c>
    </row>
    <row r="2001">
      <c r="A2001" s="4" t="inlineStr">
        <is>
          <t>213</t>
        </is>
      </c>
      <c r="B2001" s="4" t="n">
        <v>2</v>
      </c>
      <c r="C2001" s="4" t="inlineStr">
        <is>
          <t>elk</t>
        </is>
      </c>
      <c r="D2001" s="4" t="n">
        <v>2019</v>
      </c>
      <c r="E2001" s="13" t="inlineStr">
        <is>
          <t>General</t>
        </is>
      </c>
      <c r="F2001" s="5" t="n"/>
      <c r="G2001" s="5" t="n"/>
      <c r="H2001" s="5" t="n">
        <v>127</v>
      </c>
      <c r="I2001" s="5" t="n">
        <v>52</v>
      </c>
      <c r="J2001" s="5" t="n">
        <v>70</v>
      </c>
      <c r="K2001" s="10">
        <f>IF(F2001&gt;0,H2001/F2001,"")</f>
        <v/>
      </c>
      <c r="L2001" s="16">
        <f>IF(AND(G2001&gt;0,H2001&gt;0),G2001/H2001,"")</f>
        <v/>
      </c>
    </row>
    <row r="2002">
      <c r="A2002" s="4" t="inlineStr">
        <is>
          <t>213</t>
        </is>
      </c>
      <c r="B2002" s="4" t="n">
        <v>2</v>
      </c>
      <c r="C2002" s="4" t="inlineStr">
        <is>
          <t>elk</t>
        </is>
      </c>
      <c r="D2002" s="4" t="n">
        <v>2020</v>
      </c>
      <c r="E2002" s="13" t="inlineStr">
        <is>
          <t>General</t>
        </is>
      </c>
      <c r="F2002" s="5" t="n">
        <v>1401</v>
      </c>
      <c r="G2002" s="5" t="n">
        <v>11188</v>
      </c>
      <c r="H2002" s="5" t="n">
        <v>284</v>
      </c>
      <c r="I2002" s="5" t="n">
        <v>161</v>
      </c>
      <c r="J2002" s="5" t="n">
        <v>116</v>
      </c>
      <c r="K2002" s="10">
        <f>IF(F2002&gt;0,H2002/F2002,"")</f>
        <v/>
      </c>
      <c r="L2002" s="16">
        <f>IF(AND(G2002&gt;0,H2002&gt;0),G2002/H2002,"")</f>
        <v/>
      </c>
    </row>
    <row r="2003">
      <c r="A2003" s="4" t="inlineStr">
        <is>
          <t>213</t>
        </is>
      </c>
      <c r="B2003" s="4" t="n">
        <v>2</v>
      </c>
      <c r="C2003" s="4" t="inlineStr">
        <is>
          <t>elk</t>
        </is>
      </c>
      <c r="D2003" s="4" t="n">
        <v>2021</v>
      </c>
      <c r="E2003" s="13" t="inlineStr">
        <is>
          <t>General</t>
        </is>
      </c>
      <c r="F2003" s="5" t="n"/>
      <c r="G2003" s="5" t="n"/>
      <c r="H2003" s="5" t="n">
        <v>349</v>
      </c>
      <c r="I2003" s="5" t="n">
        <v>172</v>
      </c>
      <c r="J2003" s="5" t="n">
        <v>170</v>
      </c>
      <c r="K2003" s="10">
        <f>IF(F2003&gt;0,H2003/F2003,"")</f>
        <v/>
      </c>
      <c r="L2003" s="16">
        <f>IF(AND(G2003&gt;0,H2003&gt;0),G2003/H2003,"")</f>
        <v/>
      </c>
    </row>
    <row r="2004">
      <c r="A2004" s="4" t="inlineStr">
        <is>
          <t>213</t>
        </is>
      </c>
      <c r="B2004" s="4" t="n">
        <v>2</v>
      </c>
      <c r="C2004" s="4" t="inlineStr">
        <is>
          <t>elk</t>
        </is>
      </c>
      <c r="D2004" s="4" t="n">
        <v>2022</v>
      </c>
      <c r="E2004" s="13" t="inlineStr">
        <is>
          <t>General</t>
        </is>
      </c>
      <c r="F2004" s="5" t="n">
        <v>1278</v>
      </c>
      <c r="G2004" s="5" t="n">
        <v>10959</v>
      </c>
      <c r="H2004" s="5" t="n">
        <v>334</v>
      </c>
      <c r="I2004" s="5" t="n">
        <v>156</v>
      </c>
      <c r="J2004" s="5" t="n">
        <v>178</v>
      </c>
      <c r="K2004" s="10">
        <f>IF(F2004&gt;0,H2004/F2004,"")</f>
        <v/>
      </c>
      <c r="L2004" s="16">
        <f>IF(AND(G2004&gt;0,H2004&gt;0),G2004/H2004,"")</f>
        <v/>
      </c>
    </row>
    <row r="2005">
      <c r="A2005" s="4" t="inlineStr">
        <is>
          <t>213</t>
        </is>
      </c>
      <c r="B2005" s="4" t="n">
        <v>2</v>
      </c>
      <c r="C2005" s="4" t="inlineStr">
        <is>
          <t>elk</t>
        </is>
      </c>
      <c r="D2005" s="4" t="n">
        <v>2023</v>
      </c>
      <c r="E2005" s="13" t="inlineStr">
        <is>
          <t>General</t>
        </is>
      </c>
      <c r="F2005" s="5" t="n"/>
      <c r="G2005" s="5" t="n"/>
      <c r="H2005" s="5" t="n">
        <v>294</v>
      </c>
      <c r="I2005" s="5" t="n">
        <v>168</v>
      </c>
      <c r="J2005" s="5" t="n">
        <v>124</v>
      </c>
      <c r="K2005" s="10">
        <f>IF(F2005&gt;0,H2005/F2005,"")</f>
        <v/>
      </c>
      <c r="L2005" s="16">
        <f>IF(AND(G2005&gt;0,H2005&gt;0),G2005/H2005,"")</f>
        <v/>
      </c>
    </row>
    <row r="2006">
      <c r="A2006" s="4" t="inlineStr">
        <is>
          <t>213</t>
        </is>
      </c>
      <c r="B2006" s="4" t="n">
        <v>2</v>
      </c>
      <c r="C2006" s="4" t="inlineStr">
        <is>
          <t>elk</t>
        </is>
      </c>
      <c r="D2006" s="4" t="n">
        <v>2024</v>
      </c>
      <c r="E2006" s="13" t="inlineStr">
        <is>
          <t>General</t>
        </is>
      </c>
      <c r="F2006" s="5" t="n">
        <v>1570</v>
      </c>
      <c r="G2006" s="5" t="n">
        <v>15171</v>
      </c>
      <c r="H2006" s="5" t="n">
        <v>369</v>
      </c>
      <c r="I2006" s="5" t="n">
        <v>182</v>
      </c>
      <c r="J2006" s="5" t="n">
        <v>185</v>
      </c>
      <c r="K2006" s="10">
        <f>IF(F2006&gt;0,H2006/F2006,"")</f>
        <v/>
      </c>
      <c r="L2006" s="16">
        <f>IF(AND(G2006&gt;0,H2006&gt;0),G2006/H2006,"")</f>
        <v/>
      </c>
    </row>
    <row r="2007">
      <c r="A2007" s="4" t="inlineStr">
        <is>
          <t>213</t>
        </is>
      </c>
      <c r="B2007" s="4" t="n">
        <v>2</v>
      </c>
      <c r="C2007" s="4" t="inlineStr">
        <is>
          <t>elk</t>
        </is>
      </c>
      <c r="D2007" s="4" t="n">
        <v>2025</v>
      </c>
      <c r="E2007" s="13" t="inlineStr">
        <is>
          <t>General</t>
        </is>
      </c>
      <c r="F2007" s="5" t="n"/>
      <c r="G2007" s="5" t="n"/>
      <c r="H2007" s="5" t="n">
        <v>325</v>
      </c>
      <c r="I2007" s="5" t="n">
        <v>137</v>
      </c>
      <c r="J2007" s="5" t="n">
        <v>184</v>
      </c>
      <c r="K2007" s="10">
        <f>IF(F2007&gt;0,H2007/F2007,"")</f>
        <v/>
      </c>
      <c r="L2007" s="16">
        <f>IF(AND(G2007&gt;0,H2007&gt;0),G2007/H2007,"")</f>
        <v/>
      </c>
    </row>
    <row r="2008">
      <c r="A2008" s="4" t="inlineStr">
        <is>
          <t>214</t>
        </is>
      </c>
      <c r="B2008" s="4" t="n">
        <v>2</v>
      </c>
      <c r="C2008" s="4" t="inlineStr">
        <is>
          <t>elk</t>
        </is>
      </c>
      <c r="D2008" s="4" t="n">
        <v>2004</v>
      </c>
      <c r="E2008" s="13" t="inlineStr">
        <is>
          <t>General</t>
        </is>
      </c>
      <c r="F2008" s="5" t="n">
        <v>699</v>
      </c>
      <c r="G2008" s="5" t="n">
        <v>4759</v>
      </c>
      <c r="H2008" s="5" t="n">
        <v>58</v>
      </c>
      <c r="I2008" s="5" t="n">
        <v>27</v>
      </c>
      <c r="J2008" s="5" t="n">
        <v>27</v>
      </c>
      <c r="K2008" s="10">
        <f>IF(F2008&gt;0,H2008/F2008,"")</f>
        <v/>
      </c>
      <c r="L2008" s="16">
        <f>IF(AND(G2008&gt;0,H2008&gt;0),G2008/H2008,"")</f>
        <v/>
      </c>
    </row>
    <row r="2009">
      <c r="A2009" s="4" t="inlineStr">
        <is>
          <t>214</t>
        </is>
      </c>
      <c r="B2009" s="4" t="n">
        <v>2</v>
      </c>
      <c r="C2009" s="4" t="inlineStr">
        <is>
          <t>elk</t>
        </is>
      </c>
      <c r="D2009" s="4" t="n">
        <v>2005</v>
      </c>
      <c r="E2009" s="13" t="inlineStr">
        <is>
          <t>General</t>
        </is>
      </c>
      <c r="F2009" s="5" t="n">
        <v>667</v>
      </c>
      <c r="G2009" s="5" t="n">
        <v>4570</v>
      </c>
      <c r="H2009" s="5" t="n">
        <v>141</v>
      </c>
      <c r="I2009" s="5" t="n">
        <v>90</v>
      </c>
      <c r="J2009" s="5" t="n">
        <v>45</v>
      </c>
      <c r="K2009" s="10">
        <f>IF(F2009&gt;0,H2009/F2009,"")</f>
        <v/>
      </c>
      <c r="L2009" s="16">
        <f>IF(AND(G2009&gt;0,H2009&gt;0),G2009/H2009,"")</f>
        <v/>
      </c>
    </row>
    <row r="2010">
      <c r="A2010" s="4" t="inlineStr">
        <is>
          <t>214</t>
        </is>
      </c>
      <c r="B2010" s="4" t="n">
        <v>2</v>
      </c>
      <c r="C2010" s="4" t="inlineStr">
        <is>
          <t>elk</t>
        </is>
      </c>
      <c r="D2010" s="4" t="n">
        <v>2006</v>
      </c>
      <c r="E2010" s="13" t="inlineStr">
        <is>
          <t>General</t>
        </is>
      </c>
      <c r="F2010" s="5" t="n">
        <v>488</v>
      </c>
      <c r="G2010" s="5" t="n">
        <v>3127</v>
      </c>
      <c r="H2010" s="5" t="n">
        <v>88</v>
      </c>
      <c r="I2010" s="5" t="n">
        <v>40</v>
      </c>
      <c r="J2010" s="5" t="n">
        <v>44</v>
      </c>
      <c r="K2010" s="10">
        <f>IF(F2010&gt;0,H2010/F2010,"")</f>
        <v/>
      </c>
      <c r="L2010" s="16">
        <f>IF(AND(G2010&gt;0,H2010&gt;0),G2010/H2010,"")</f>
        <v/>
      </c>
    </row>
    <row r="2011">
      <c r="A2011" s="4" t="inlineStr">
        <is>
          <t>214</t>
        </is>
      </c>
      <c r="B2011" s="4" t="n">
        <v>2</v>
      </c>
      <c r="C2011" s="4" t="inlineStr">
        <is>
          <t>elk</t>
        </is>
      </c>
      <c r="D2011" s="4" t="n">
        <v>2007</v>
      </c>
      <c r="E2011" s="13" t="inlineStr">
        <is>
          <t>General</t>
        </is>
      </c>
      <c r="F2011" s="5" t="n">
        <v>585</v>
      </c>
      <c r="G2011" s="5" t="n">
        <v>3815</v>
      </c>
      <c r="H2011" s="5" t="n">
        <v>68</v>
      </c>
      <c r="I2011" s="5" t="n">
        <v>45</v>
      </c>
      <c r="J2011" s="5" t="n">
        <v>21</v>
      </c>
      <c r="K2011" s="10">
        <f>IF(F2011&gt;0,H2011/F2011,"")</f>
        <v/>
      </c>
      <c r="L2011" s="16">
        <f>IF(AND(G2011&gt;0,H2011&gt;0),G2011/H2011,"")</f>
        <v/>
      </c>
    </row>
    <row r="2012">
      <c r="A2012" s="4" t="inlineStr">
        <is>
          <t>214</t>
        </is>
      </c>
      <c r="B2012" s="4" t="n">
        <v>2</v>
      </c>
      <c r="C2012" s="4" t="inlineStr">
        <is>
          <t>elk</t>
        </is>
      </c>
      <c r="D2012" s="4" t="n">
        <v>2008</v>
      </c>
      <c r="E2012" s="13" t="inlineStr">
        <is>
          <t>General</t>
        </is>
      </c>
      <c r="F2012" s="5" t="n">
        <v>468</v>
      </c>
      <c r="G2012" s="5" t="n">
        <v>3355</v>
      </c>
      <c r="H2012" s="5" t="n">
        <v>52</v>
      </c>
      <c r="I2012" s="5" t="n">
        <v>24</v>
      </c>
      <c r="J2012" s="5" t="n">
        <v>28</v>
      </c>
      <c r="K2012" s="10">
        <f>IF(F2012&gt;0,H2012/F2012,"")</f>
        <v/>
      </c>
      <c r="L2012" s="16">
        <f>IF(AND(G2012&gt;0,H2012&gt;0),G2012/H2012,"")</f>
        <v/>
      </c>
    </row>
    <row r="2013">
      <c r="A2013" s="4" t="inlineStr">
        <is>
          <t>214</t>
        </is>
      </c>
      <c r="B2013" s="4" t="n">
        <v>2</v>
      </c>
      <c r="C2013" s="4" t="inlineStr">
        <is>
          <t>elk</t>
        </is>
      </c>
      <c r="D2013" s="4" t="n">
        <v>2009</v>
      </c>
      <c r="E2013" s="13" t="inlineStr">
        <is>
          <t>General</t>
        </is>
      </c>
      <c r="F2013" s="5" t="n">
        <v>589</v>
      </c>
      <c r="G2013" s="5" t="n">
        <v>3275</v>
      </c>
      <c r="H2013" s="5" t="n">
        <v>61</v>
      </c>
      <c r="I2013" s="5" t="n">
        <v>35</v>
      </c>
      <c r="J2013" s="5" t="n">
        <v>23</v>
      </c>
      <c r="K2013" s="10">
        <f>IF(F2013&gt;0,H2013/F2013,"")</f>
        <v/>
      </c>
      <c r="L2013" s="16">
        <f>IF(AND(G2013&gt;0,H2013&gt;0),G2013/H2013,"")</f>
        <v/>
      </c>
    </row>
    <row r="2014">
      <c r="A2014" s="4" t="inlineStr">
        <is>
          <t>214</t>
        </is>
      </c>
      <c r="B2014" s="4" t="n">
        <v>2</v>
      </c>
      <c r="C2014" s="4" t="inlineStr">
        <is>
          <t>elk</t>
        </is>
      </c>
      <c r="D2014" s="4" t="n">
        <v>2010</v>
      </c>
      <c r="E2014" s="13" t="inlineStr">
        <is>
          <t>General</t>
        </is>
      </c>
      <c r="F2014" s="5" t="n">
        <v>555</v>
      </c>
      <c r="G2014" s="5" t="n">
        <v>3758</v>
      </c>
      <c r="H2014" s="5" t="n">
        <v>58</v>
      </c>
      <c r="I2014" s="5" t="n">
        <v>29</v>
      </c>
      <c r="J2014" s="5" t="n">
        <v>26</v>
      </c>
      <c r="K2014" s="10">
        <f>IF(F2014&gt;0,H2014/F2014,"")</f>
        <v/>
      </c>
      <c r="L2014" s="16">
        <f>IF(AND(G2014&gt;0,H2014&gt;0),G2014/H2014,"")</f>
        <v/>
      </c>
    </row>
    <row r="2015">
      <c r="A2015" s="4" t="inlineStr">
        <is>
          <t>214</t>
        </is>
      </c>
      <c r="B2015" s="4" t="n">
        <v>2</v>
      </c>
      <c r="C2015" s="4" t="inlineStr">
        <is>
          <t>elk</t>
        </is>
      </c>
      <c r="D2015" s="4" t="n">
        <v>2011</v>
      </c>
      <c r="E2015" s="13" t="inlineStr">
        <is>
          <t>General</t>
        </is>
      </c>
      <c r="F2015" s="5" t="n">
        <v>600</v>
      </c>
      <c r="G2015" s="5" t="n">
        <v>4173</v>
      </c>
      <c r="H2015" s="5" t="n">
        <v>72</v>
      </c>
      <c r="I2015" s="5" t="n">
        <v>30</v>
      </c>
      <c r="J2015" s="5" t="n">
        <v>43</v>
      </c>
      <c r="K2015" s="10">
        <f>IF(F2015&gt;0,H2015/F2015,"")</f>
        <v/>
      </c>
      <c r="L2015" s="16">
        <f>IF(AND(G2015&gt;0,H2015&gt;0),G2015/H2015,"")</f>
        <v/>
      </c>
    </row>
    <row r="2016">
      <c r="A2016" s="4" t="inlineStr">
        <is>
          <t>214</t>
        </is>
      </c>
      <c r="B2016" s="4" t="n">
        <v>2</v>
      </c>
      <c r="C2016" s="4" t="inlineStr">
        <is>
          <t>elk</t>
        </is>
      </c>
      <c r="D2016" s="4" t="n">
        <v>2012</v>
      </c>
      <c r="E2016" s="13" t="inlineStr">
        <is>
          <t>General</t>
        </is>
      </c>
      <c r="F2016" s="5" t="n">
        <v>610</v>
      </c>
      <c r="G2016" s="5" t="n">
        <v>4695</v>
      </c>
      <c r="H2016" s="5" t="n">
        <v>59</v>
      </c>
      <c r="I2016" s="5" t="n">
        <v>36</v>
      </c>
      <c r="J2016" s="5" t="n">
        <v>21</v>
      </c>
      <c r="K2016" s="10">
        <f>IF(F2016&gt;0,H2016/F2016,"")</f>
        <v/>
      </c>
      <c r="L2016" s="16">
        <f>IF(AND(G2016&gt;0,H2016&gt;0),G2016/H2016,"")</f>
        <v/>
      </c>
    </row>
    <row r="2017">
      <c r="A2017" s="4" t="inlineStr">
        <is>
          <t>214</t>
        </is>
      </c>
      <c r="B2017" s="4" t="n">
        <v>2</v>
      </c>
      <c r="C2017" s="4" t="inlineStr">
        <is>
          <t>elk</t>
        </is>
      </c>
      <c r="D2017" s="4" t="n">
        <v>2013</v>
      </c>
      <c r="E2017" s="13" t="inlineStr">
        <is>
          <t>General</t>
        </is>
      </c>
      <c r="F2017" s="5" t="n"/>
      <c r="G2017" s="5" t="n"/>
      <c r="H2017" s="5" t="n">
        <v>49</v>
      </c>
      <c r="I2017" s="5" t="n">
        <v>22</v>
      </c>
      <c r="J2017" s="5" t="n">
        <v>25</v>
      </c>
      <c r="K2017" s="10">
        <f>IF(F2017&gt;0,H2017/F2017,"")</f>
        <v/>
      </c>
      <c r="L2017" s="16">
        <f>IF(AND(G2017&gt;0,H2017&gt;0),G2017/H2017,"")</f>
        <v/>
      </c>
    </row>
    <row r="2018">
      <c r="A2018" s="4" t="inlineStr">
        <is>
          <t>214</t>
        </is>
      </c>
      <c r="B2018" s="4" t="n">
        <v>2</v>
      </c>
      <c r="C2018" s="4" t="inlineStr">
        <is>
          <t>elk</t>
        </is>
      </c>
      <c r="D2018" s="4" t="n">
        <v>2014</v>
      </c>
      <c r="E2018" s="13" t="inlineStr">
        <is>
          <t>General</t>
        </is>
      </c>
      <c r="F2018" s="5" t="n">
        <v>685</v>
      </c>
      <c r="G2018" s="5" t="n">
        <v>4728</v>
      </c>
      <c r="H2018" s="5" t="n">
        <v>92</v>
      </c>
      <c r="I2018" s="5" t="n">
        <v>51</v>
      </c>
      <c r="J2018" s="5" t="n">
        <v>35</v>
      </c>
      <c r="K2018" s="10">
        <f>IF(F2018&gt;0,H2018/F2018,"")</f>
        <v/>
      </c>
      <c r="L2018" s="16">
        <f>IF(AND(G2018&gt;0,H2018&gt;0),G2018/H2018,"")</f>
        <v/>
      </c>
    </row>
    <row r="2019">
      <c r="A2019" s="4" t="inlineStr">
        <is>
          <t>214</t>
        </is>
      </c>
      <c r="B2019" s="4" t="n">
        <v>2</v>
      </c>
      <c r="C2019" s="4" t="inlineStr">
        <is>
          <t>elk</t>
        </is>
      </c>
      <c r="D2019" s="4" t="n">
        <v>2015</v>
      </c>
      <c r="E2019" s="13" t="inlineStr">
        <is>
          <t>General</t>
        </is>
      </c>
      <c r="F2019" s="5" t="n">
        <v>732</v>
      </c>
      <c r="G2019" s="5" t="n">
        <v>6478</v>
      </c>
      <c r="H2019" s="5" t="n">
        <v>111</v>
      </c>
      <c r="I2019" s="5" t="n">
        <v>73</v>
      </c>
      <c r="J2019" s="5" t="n">
        <v>35</v>
      </c>
      <c r="K2019" s="10">
        <f>IF(F2019&gt;0,H2019/F2019,"")</f>
        <v/>
      </c>
      <c r="L2019" s="16">
        <f>IF(AND(G2019&gt;0,H2019&gt;0),G2019/H2019,"")</f>
        <v/>
      </c>
    </row>
    <row r="2020">
      <c r="A2020" s="4" t="inlineStr">
        <is>
          <t>214</t>
        </is>
      </c>
      <c r="B2020" s="4" t="n">
        <v>2</v>
      </c>
      <c r="C2020" s="4" t="inlineStr">
        <is>
          <t>elk</t>
        </is>
      </c>
      <c r="D2020" s="4" t="n">
        <v>2016</v>
      </c>
      <c r="E2020" s="13" t="inlineStr">
        <is>
          <t>General</t>
        </is>
      </c>
      <c r="F2020" s="5" t="n">
        <v>624</v>
      </c>
      <c r="G2020" s="5" t="n">
        <v>4352</v>
      </c>
      <c r="H2020" s="5" t="n">
        <v>79</v>
      </c>
      <c r="I2020" s="5" t="n">
        <v>46</v>
      </c>
      <c r="J2020" s="5" t="n">
        <v>33</v>
      </c>
      <c r="K2020" s="10">
        <f>IF(F2020&gt;0,H2020/F2020,"")</f>
        <v/>
      </c>
      <c r="L2020" s="16">
        <f>IF(AND(G2020&gt;0,H2020&gt;0),G2020/H2020,"")</f>
        <v/>
      </c>
    </row>
    <row r="2021">
      <c r="A2021" s="4" t="inlineStr">
        <is>
          <t>214</t>
        </is>
      </c>
      <c r="B2021" s="4" t="n">
        <v>2</v>
      </c>
      <c r="C2021" s="4" t="inlineStr">
        <is>
          <t>elk</t>
        </is>
      </c>
      <c r="D2021" s="4" t="n">
        <v>2017</v>
      </c>
      <c r="E2021" s="13" t="inlineStr">
        <is>
          <t>General</t>
        </is>
      </c>
      <c r="F2021" s="5" t="n"/>
      <c r="G2021" s="5" t="n"/>
      <c r="H2021" s="5" t="n">
        <v>119</v>
      </c>
      <c r="I2021" s="5" t="n">
        <v>82</v>
      </c>
      <c r="J2021" s="5" t="n">
        <v>36</v>
      </c>
      <c r="K2021" s="10">
        <f>IF(F2021&gt;0,H2021/F2021,"")</f>
        <v/>
      </c>
      <c r="L2021" s="16">
        <f>IF(AND(G2021&gt;0,H2021&gt;0),G2021/H2021,"")</f>
        <v/>
      </c>
    </row>
    <row r="2022">
      <c r="A2022" s="4" t="inlineStr">
        <is>
          <t>214</t>
        </is>
      </c>
      <c r="B2022" s="4" t="n">
        <v>2</v>
      </c>
      <c r="C2022" s="4" t="inlineStr">
        <is>
          <t>elk</t>
        </is>
      </c>
      <c r="D2022" s="4" t="n">
        <v>2018</v>
      </c>
      <c r="E2022" s="13" t="inlineStr">
        <is>
          <t>General</t>
        </is>
      </c>
      <c r="F2022" s="5" t="n">
        <v>514</v>
      </c>
      <c r="G2022" s="5" t="n">
        <v>4130</v>
      </c>
      <c r="H2022" s="5" t="n">
        <v>75</v>
      </c>
      <c r="I2022" s="5" t="n">
        <v>34</v>
      </c>
      <c r="J2022" s="5" t="n">
        <v>37</v>
      </c>
      <c r="K2022" s="10">
        <f>IF(F2022&gt;0,H2022/F2022,"")</f>
        <v/>
      </c>
      <c r="L2022" s="16">
        <f>IF(AND(G2022&gt;0,H2022&gt;0),G2022/H2022,"")</f>
        <v/>
      </c>
    </row>
    <row r="2023">
      <c r="A2023" s="4" t="inlineStr">
        <is>
          <t>214</t>
        </is>
      </c>
      <c r="B2023" s="4" t="n">
        <v>2</v>
      </c>
      <c r="C2023" s="4" t="inlineStr">
        <is>
          <t>elk</t>
        </is>
      </c>
      <c r="D2023" s="4" t="n">
        <v>2019</v>
      </c>
      <c r="E2023" s="13" t="inlineStr">
        <is>
          <t>General</t>
        </is>
      </c>
      <c r="F2023" s="5" t="n"/>
      <c r="G2023" s="5" t="n"/>
      <c r="H2023" s="5" t="n">
        <v>52</v>
      </c>
      <c r="I2023" s="5" t="n">
        <v>14</v>
      </c>
      <c r="J2023" s="5" t="n">
        <v>34</v>
      </c>
      <c r="K2023" s="10">
        <f>IF(F2023&gt;0,H2023/F2023,"")</f>
        <v/>
      </c>
      <c r="L2023" s="16">
        <f>IF(AND(G2023&gt;0,H2023&gt;0),G2023/H2023,"")</f>
        <v/>
      </c>
    </row>
    <row r="2024">
      <c r="A2024" s="4" t="inlineStr">
        <is>
          <t>214</t>
        </is>
      </c>
      <c r="B2024" s="4" t="n">
        <v>2</v>
      </c>
      <c r="C2024" s="4" t="inlineStr">
        <is>
          <t>elk</t>
        </is>
      </c>
      <c r="D2024" s="4" t="n">
        <v>2020</v>
      </c>
      <c r="E2024" s="13" t="inlineStr">
        <is>
          <t>General</t>
        </is>
      </c>
      <c r="F2024" s="5" t="n">
        <v>301</v>
      </c>
      <c r="G2024" s="5" t="n">
        <v>2628</v>
      </c>
      <c r="H2024" s="5" t="n">
        <v>34</v>
      </c>
      <c r="I2024" s="5" t="n">
        <v>23</v>
      </c>
      <c r="J2024" s="5" t="n">
        <v>10</v>
      </c>
      <c r="K2024" s="10">
        <f>IF(F2024&gt;0,H2024/F2024,"")</f>
        <v/>
      </c>
      <c r="L2024" s="16">
        <f>IF(AND(G2024&gt;0,H2024&gt;0),G2024/H2024,"")</f>
        <v/>
      </c>
    </row>
    <row r="2025">
      <c r="A2025" s="4" t="inlineStr">
        <is>
          <t>214</t>
        </is>
      </c>
      <c r="B2025" s="4" t="n">
        <v>2</v>
      </c>
      <c r="C2025" s="4" t="inlineStr">
        <is>
          <t>elk</t>
        </is>
      </c>
      <c r="D2025" s="4" t="n">
        <v>2021</v>
      </c>
      <c r="E2025" s="13" t="inlineStr">
        <is>
          <t>General</t>
        </is>
      </c>
      <c r="F2025" s="5" t="n"/>
      <c r="G2025" s="5" t="n"/>
      <c r="H2025" s="5" t="n">
        <v>15</v>
      </c>
      <c r="I2025" s="5" t="n">
        <v>15</v>
      </c>
      <c r="J2025" s="5" t="n">
        <v>0</v>
      </c>
      <c r="K2025" s="10">
        <f>IF(F2025&gt;0,H2025/F2025,"")</f>
        <v/>
      </c>
      <c r="L2025" s="16">
        <f>IF(AND(G2025&gt;0,H2025&gt;0),G2025/H2025,"")</f>
        <v/>
      </c>
    </row>
    <row r="2026">
      <c r="A2026" s="4" t="inlineStr">
        <is>
          <t>214</t>
        </is>
      </c>
      <c r="B2026" s="4" t="n">
        <v>2</v>
      </c>
      <c r="C2026" s="4" t="inlineStr">
        <is>
          <t>elk</t>
        </is>
      </c>
      <c r="D2026" s="4" t="n">
        <v>2022</v>
      </c>
      <c r="E2026" s="13" t="inlineStr">
        <is>
          <t>General</t>
        </is>
      </c>
      <c r="F2026" s="5" t="n">
        <v>326</v>
      </c>
      <c r="G2026" s="5" t="n">
        <v>2434</v>
      </c>
      <c r="H2026" s="5" t="n">
        <v>43</v>
      </c>
      <c r="I2026" s="5" t="n">
        <v>41</v>
      </c>
      <c r="J2026" s="5" t="n">
        <v>3</v>
      </c>
      <c r="K2026" s="10">
        <f>IF(F2026&gt;0,H2026/F2026,"")</f>
        <v/>
      </c>
      <c r="L2026" s="16">
        <f>IF(AND(G2026&gt;0,H2026&gt;0),G2026/H2026,"")</f>
        <v/>
      </c>
    </row>
    <row r="2027">
      <c r="A2027" s="4" t="inlineStr">
        <is>
          <t>214</t>
        </is>
      </c>
      <c r="B2027" s="4" t="n">
        <v>2</v>
      </c>
      <c r="C2027" s="4" t="inlineStr">
        <is>
          <t>elk</t>
        </is>
      </c>
      <c r="D2027" s="4" t="n">
        <v>2023</v>
      </c>
      <c r="E2027" s="13" t="inlineStr">
        <is>
          <t>General</t>
        </is>
      </c>
      <c r="F2027" s="5" t="n"/>
      <c r="G2027" s="5" t="n"/>
      <c r="H2027" s="5" t="n">
        <v>59</v>
      </c>
      <c r="I2027" s="5" t="n">
        <v>59</v>
      </c>
      <c r="J2027" s="5" t="n">
        <v>0</v>
      </c>
      <c r="K2027" s="10">
        <f>IF(F2027&gt;0,H2027/F2027,"")</f>
        <v/>
      </c>
      <c r="L2027" s="16">
        <f>IF(AND(G2027&gt;0,H2027&gt;0),G2027/H2027,"")</f>
        <v/>
      </c>
    </row>
    <row r="2028">
      <c r="A2028" s="4" t="inlineStr">
        <is>
          <t>214</t>
        </is>
      </c>
      <c r="B2028" s="4" t="n">
        <v>2</v>
      </c>
      <c r="C2028" s="4" t="inlineStr">
        <is>
          <t>elk</t>
        </is>
      </c>
      <c r="D2028" s="4" t="n">
        <v>2024</v>
      </c>
      <c r="E2028" s="13" t="inlineStr">
        <is>
          <t>General</t>
        </is>
      </c>
      <c r="F2028" s="5" t="n">
        <v>393</v>
      </c>
      <c r="G2028" s="5" t="n">
        <v>3474</v>
      </c>
      <c r="H2028" s="5" t="n">
        <v>25</v>
      </c>
      <c r="I2028" s="5" t="n">
        <v>19</v>
      </c>
      <c r="J2028" s="5" t="n">
        <v>6</v>
      </c>
      <c r="K2028" s="10">
        <f>IF(F2028&gt;0,H2028/F2028,"")</f>
        <v/>
      </c>
      <c r="L2028" s="16">
        <f>IF(AND(G2028&gt;0,H2028&gt;0),G2028/H2028,"")</f>
        <v/>
      </c>
    </row>
    <row r="2029">
      <c r="A2029" s="4" t="inlineStr">
        <is>
          <t>214</t>
        </is>
      </c>
      <c r="B2029" s="4" t="n">
        <v>2</v>
      </c>
      <c r="C2029" s="4" t="inlineStr">
        <is>
          <t>elk</t>
        </is>
      </c>
      <c r="D2029" s="4" t="n">
        <v>2025</v>
      </c>
      <c r="E2029" s="13" t="inlineStr">
        <is>
          <t>General</t>
        </is>
      </c>
      <c r="F2029" s="5" t="n"/>
      <c r="G2029" s="5" t="n"/>
      <c r="H2029" s="5" t="n">
        <v>25</v>
      </c>
      <c r="I2029" s="5" t="n">
        <v>22</v>
      </c>
      <c r="J2029" s="5" t="n">
        <v>4</v>
      </c>
      <c r="K2029" s="10">
        <f>IF(F2029&gt;0,H2029/F2029,"")</f>
        <v/>
      </c>
      <c r="L2029" s="16">
        <f>IF(AND(G2029&gt;0,H2029&gt;0),G2029/H2029,"")</f>
        <v/>
      </c>
    </row>
    <row r="2030">
      <c r="A2030" s="4" t="inlineStr">
        <is>
          <t>215</t>
        </is>
      </c>
      <c r="B2030" s="4" t="n">
        <v>2</v>
      </c>
      <c r="C2030" s="4" t="inlineStr">
        <is>
          <t>elk</t>
        </is>
      </c>
      <c r="D2030" s="4" t="n">
        <v>2004</v>
      </c>
      <c r="E2030" s="13" t="inlineStr">
        <is>
          <t>General</t>
        </is>
      </c>
      <c r="F2030" s="5" t="n">
        <v>1814</v>
      </c>
      <c r="G2030" s="5" t="n">
        <v>12909</v>
      </c>
      <c r="H2030" s="5" t="n">
        <v>249</v>
      </c>
      <c r="I2030" s="5" t="n">
        <v>170</v>
      </c>
      <c r="J2030" s="5" t="n">
        <v>75</v>
      </c>
      <c r="K2030" s="10">
        <f>IF(F2030&gt;0,H2030/F2030,"")</f>
        <v/>
      </c>
      <c r="L2030" s="16">
        <f>IF(AND(G2030&gt;0,H2030&gt;0),G2030/H2030,"")</f>
        <v/>
      </c>
    </row>
    <row r="2031">
      <c r="A2031" s="4" t="inlineStr">
        <is>
          <t>215</t>
        </is>
      </c>
      <c r="B2031" s="4" t="n">
        <v>2</v>
      </c>
      <c r="C2031" s="4" t="inlineStr">
        <is>
          <t>elk</t>
        </is>
      </c>
      <c r="D2031" s="4" t="n">
        <v>2005</v>
      </c>
      <c r="E2031" s="13" t="inlineStr">
        <is>
          <t>General</t>
        </is>
      </c>
      <c r="F2031" s="5" t="n">
        <v>1621</v>
      </c>
      <c r="G2031" s="5" t="n">
        <v>13061</v>
      </c>
      <c r="H2031" s="5" t="n">
        <v>363</v>
      </c>
      <c r="I2031" s="5" t="n">
        <v>224</v>
      </c>
      <c r="J2031" s="5" t="n">
        <v>135</v>
      </c>
      <c r="K2031" s="10">
        <f>IF(F2031&gt;0,H2031/F2031,"")</f>
        <v/>
      </c>
      <c r="L2031" s="16">
        <f>IF(AND(G2031&gt;0,H2031&gt;0),G2031/H2031,"")</f>
        <v/>
      </c>
    </row>
    <row r="2032">
      <c r="A2032" s="4" t="inlineStr">
        <is>
          <t>215</t>
        </is>
      </c>
      <c r="B2032" s="4" t="n">
        <v>2</v>
      </c>
      <c r="C2032" s="4" t="inlineStr">
        <is>
          <t>elk</t>
        </is>
      </c>
      <c r="D2032" s="4" t="n">
        <v>2006</v>
      </c>
      <c r="E2032" s="13" t="inlineStr">
        <is>
          <t>General</t>
        </is>
      </c>
      <c r="F2032" s="5" t="n">
        <v>1818</v>
      </c>
      <c r="G2032" s="5" t="n">
        <v>14230</v>
      </c>
      <c r="H2032" s="5" t="n">
        <v>375</v>
      </c>
      <c r="I2032" s="5" t="n">
        <v>233</v>
      </c>
      <c r="J2032" s="5" t="n">
        <v>121</v>
      </c>
      <c r="K2032" s="10">
        <f>IF(F2032&gt;0,H2032/F2032,"")</f>
        <v/>
      </c>
      <c r="L2032" s="16">
        <f>IF(AND(G2032&gt;0,H2032&gt;0),G2032/H2032,"")</f>
        <v/>
      </c>
    </row>
    <row r="2033">
      <c r="A2033" s="4" t="inlineStr">
        <is>
          <t>215</t>
        </is>
      </c>
      <c r="B2033" s="4" t="n">
        <v>2</v>
      </c>
      <c r="C2033" s="4" t="inlineStr">
        <is>
          <t>elk</t>
        </is>
      </c>
      <c r="D2033" s="4" t="n">
        <v>2007</v>
      </c>
      <c r="E2033" s="13" t="inlineStr">
        <is>
          <t>General</t>
        </is>
      </c>
      <c r="F2033" s="5" t="n">
        <v>1840</v>
      </c>
      <c r="G2033" s="5" t="n">
        <v>13627</v>
      </c>
      <c r="H2033" s="5" t="n">
        <v>320</v>
      </c>
      <c r="I2033" s="5" t="n">
        <v>210</v>
      </c>
      <c r="J2033" s="5" t="n">
        <v>105</v>
      </c>
      <c r="K2033" s="10">
        <f>IF(F2033&gt;0,H2033/F2033,"")</f>
        <v/>
      </c>
      <c r="L2033" s="16">
        <f>IF(AND(G2033&gt;0,H2033&gt;0),G2033/H2033,"")</f>
        <v/>
      </c>
    </row>
    <row r="2034">
      <c r="A2034" s="4" t="inlineStr">
        <is>
          <t>215</t>
        </is>
      </c>
      <c r="B2034" s="4" t="n">
        <v>2</v>
      </c>
      <c r="C2034" s="4" t="inlineStr">
        <is>
          <t>elk</t>
        </is>
      </c>
      <c r="D2034" s="4" t="n">
        <v>2008</v>
      </c>
      <c r="E2034" s="13" t="inlineStr">
        <is>
          <t>General</t>
        </is>
      </c>
      <c r="F2034" s="5" t="n">
        <v>2033</v>
      </c>
      <c r="G2034" s="5" t="n">
        <v>16217</v>
      </c>
      <c r="H2034" s="5" t="n">
        <v>356</v>
      </c>
      <c r="I2034" s="5" t="n">
        <v>214</v>
      </c>
      <c r="J2034" s="5" t="n">
        <v>135</v>
      </c>
      <c r="K2034" s="10">
        <f>IF(F2034&gt;0,H2034/F2034,"")</f>
        <v/>
      </c>
      <c r="L2034" s="16">
        <f>IF(AND(G2034&gt;0,H2034&gt;0),G2034/H2034,"")</f>
        <v/>
      </c>
    </row>
    <row r="2035">
      <c r="A2035" s="4" t="inlineStr">
        <is>
          <t>215</t>
        </is>
      </c>
      <c r="B2035" s="4" t="n">
        <v>2</v>
      </c>
      <c r="C2035" s="4" t="inlineStr">
        <is>
          <t>elk</t>
        </is>
      </c>
      <c r="D2035" s="4" t="n">
        <v>2009</v>
      </c>
      <c r="E2035" s="13" t="inlineStr">
        <is>
          <t>General</t>
        </is>
      </c>
      <c r="F2035" s="5" t="n">
        <v>2115</v>
      </c>
      <c r="G2035" s="5" t="n">
        <v>16252</v>
      </c>
      <c r="H2035" s="5" t="n">
        <v>441</v>
      </c>
      <c r="I2035" s="5" t="n">
        <v>201</v>
      </c>
      <c r="J2035" s="5" t="n">
        <v>212</v>
      </c>
      <c r="K2035" s="10">
        <f>IF(F2035&gt;0,H2035/F2035,"")</f>
        <v/>
      </c>
      <c r="L2035" s="16">
        <f>IF(AND(G2035&gt;0,H2035&gt;0),G2035/H2035,"")</f>
        <v/>
      </c>
    </row>
    <row r="2036">
      <c r="A2036" s="4" t="inlineStr">
        <is>
          <t>215</t>
        </is>
      </c>
      <c r="B2036" s="4" t="n">
        <v>2</v>
      </c>
      <c r="C2036" s="4" t="inlineStr">
        <is>
          <t>elk</t>
        </is>
      </c>
      <c r="D2036" s="4" t="n">
        <v>2010</v>
      </c>
      <c r="E2036" s="13" t="inlineStr">
        <is>
          <t>General</t>
        </is>
      </c>
      <c r="F2036" s="5" t="n">
        <v>2260</v>
      </c>
      <c r="G2036" s="5" t="n">
        <v>17859</v>
      </c>
      <c r="H2036" s="5" t="n">
        <v>533</v>
      </c>
      <c r="I2036" s="5" t="n">
        <v>310</v>
      </c>
      <c r="J2036" s="5" t="n">
        <v>208</v>
      </c>
      <c r="K2036" s="10">
        <f>IF(F2036&gt;0,H2036/F2036,"")</f>
        <v/>
      </c>
      <c r="L2036" s="16">
        <f>IF(AND(G2036&gt;0,H2036&gt;0),G2036/H2036,"")</f>
        <v/>
      </c>
    </row>
    <row r="2037">
      <c r="A2037" s="4" t="inlineStr">
        <is>
          <t>215</t>
        </is>
      </c>
      <c r="B2037" s="4" t="n">
        <v>2</v>
      </c>
      <c r="C2037" s="4" t="inlineStr">
        <is>
          <t>elk</t>
        </is>
      </c>
      <c r="D2037" s="4" t="n">
        <v>2011</v>
      </c>
      <c r="E2037" s="13" t="inlineStr">
        <is>
          <t>General</t>
        </is>
      </c>
      <c r="F2037" s="5" t="n">
        <v>2582</v>
      </c>
      <c r="G2037" s="5" t="n">
        <v>19512</v>
      </c>
      <c r="H2037" s="5" t="n">
        <v>493</v>
      </c>
      <c r="I2037" s="5" t="n">
        <v>212</v>
      </c>
      <c r="J2037" s="5" t="n">
        <v>256</v>
      </c>
      <c r="K2037" s="10">
        <f>IF(F2037&gt;0,H2037/F2037,"")</f>
        <v/>
      </c>
      <c r="L2037" s="16">
        <f>IF(AND(G2037&gt;0,H2037&gt;0),G2037/H2037,"")</f>
        <v/>
      </c>
    </row>
    <row r="2038">
      <c r="A2038" s="4" t="inlineStr">
        <is>
          <t>215</t>
        </is>
      </c>
      <c r="B2038" s="4" t="n">
        <v>2</v>
      </c>
      <c r="C2038" s="4" t="inlineStr">
        <is>
          <t>elk</t>
        </is>
      </c>
      <c r="D2038" s="4" t="n">
        <v>2012</v>
      </c>
      <c r="E2038" s="13" t="inlineStr">
        <is>
          <t>General</t>
        </is>
      </c>
      <c r="F2038" s="5" t="n">
        <v>2666</v>
      </c>
      <c r="G2038" s="5" t="n">
        <v>21212</v>
      </c>
      <c r="H2038" s="5" t="n">
        <v>498</v>
      </c>
      <c r="I2038" s="5" t="n">
        <v>304</v>
      </c>
      <c r="J2038" s="5" t="n">
        <v>165</v>
      </c>
      <c r="K2038" s="10">
        <f>IF(F2038&gt;0,H2038/F2038,"")</f>
        <v/>
      </c>
      <c r="L2038" s="16">
        <f>IF(AND(G2038&gt;0,H2038&gt;0),G2038/H2038,"")</f>
        <v/>
      </c>
    </row>
    <row r="2039">
      <c r="A2039" s="4" t="inlineStr">
        <is>
          <t>215</t>
        </is>
      </c>
      <c r="B2039" s="4" t="n">
        <v>2</v>
      </c>
      <c r="C2039" s="4" t="inlineStr">
        <is>
          <t>elk</t>
        </is>
      </c>
      <c r="D2039" s="4" t="n">
        <v>2013</v>
      </c>
      <c r="E2039" s="13" t="inlineStr">
        <is>
          <t>General</t>
        </is>
      </c>
      <c r="F2039" s="5" t="n"/>
      <c r="G2039" s="5" t="n"/>
      <c r="H2039" s="5" t="n">
        <v>388</v>
      </c>
      <c r="I2039" s="5" t="n">
        <v>201</v>
      </c>
      <c r="J2039" s="5" t="n">
        <v>187</v>
      </c>
      <c r="K2039" s="10">
        <f>IF(F2039&gt;0,H2039/F2039,"")</f>
        <v/>
      </c>
      <c r="L2039" s="16">
        <f>IF(AND(G2039&gt;0,H2039&gt;0),G2039/H2039,"")</f>
        <v/>
      </c>
    </row>
    <row r="2040">
      <c r="A2040" s="4" t="inlineStr">
        <is>
          <t>215</t>
        </is>
      </c>
      <c r="B2040" s="4" t="n">
        <v>2</v>
      </c>
      <c r="C2040" s="4" t="inlineStr">
        <is>
          <t>elk</t>
        </is>
      </c>
      <c r="D2040" s="4" t="n">
        <v>2014</v>
      </c>
      <c r="E2040" s="13" t="inlineStr">
        <is>
          <t>General</t>
        </is>
      </c>
      <c r="F2040" s="5" t="n">
        <v>2568</v>
      </c>
      <c r="G2040" s="5" t="n">
        <v>20646</v>
      </c>
      <c r="H2040" s="5" t="n">
        <v>487</v>
      </c>
      <c r="I2040" s="5" t="n">
        <v>261</v>
      </c>
      <c r="J2040" s="5" t="n">
        <v>204</v>
      </c>
      <c r="K2040" s="10">
        <f>IF(F2040&gt;0,H2040/F2040,"")</f>
        <v/>
      </c>
      <c r="L2040" s="16">
        <f>IF(AND(G2040&gt;0,H2040&gt;0),G2040/H2040,"")</f>
        <v/>
      </c>
    </row>
    <row r="2041">
      <c r="A2041" s="4" t="inlineStr">
        <is>
          <t>215</t>
        </is>
      </c>
      <c r="B2041" s="4" t="n">
        <v>2</v>
      </c>
      <c r="C2041" s="4" t="inlineStr">
        <is>
          <t>elk</t>
        </is>
      </c>
      <c r="D2041" s="4" t="n">
        <v>2015</v>
      </c>
      <c r="E2041" s="13" t="inlineStr">
        <is>
          <t>General</t>
        </is>
      </c>
      <c r="F2041" s="5" t="n">
        <v>2797</v>
      </c>
      <c r="G2041" s="5" t="n">
        <v>23710</v>
      </c>
      <c r="H2041" s="5" t="n">
        <v>553</v>
      </c>
      <c r="I2041" s="5" t="n">
        <v>275</v>
      </c>
      <c r="J2041" s="5" t="n">
        <v>253</v>
      </c>
      <c r="K2041" s="10">
        <f>IF(F2041&gt;0,H2041/F2041,"")</f>
        <v/>
      </c>
      <c r="L2041" s="16">
        <f>IF(AND(G2041&gt;0,H2041&gt;0),G2041/H2041,"")</f>
        <v/>
      </c>
    </row>
    <row r="2042">
      <c r="A2042" s="4" t="inlineStr">
        <is>
          <t>215</t>
        </is>
      </c>
      <c r="B2042" s="4" t="n">
        <v>2</v>
      </c>
      <c r="C2042" s="4" t="inlineStr">
        <is>
          <t>elk</t>
        </is>
      </c>
      <c r="D2042" s="4" t="n">
        <v>2016</v>
      </c>
      <c r="E2042" s="13" t="inlineStr">
        <is>
          <t>General</t>
        </is>
      </c>
      <c r="F2042" s="5" t="n">
        <v>2836</v>
      </c>
      <c r="G2042" s="5" t="n">
        <v>24198</v>
      </c>
      <c r="H2042" s="5" t="n">
        <v>659</v>
      </c>
      <c r="I2042" s="5" t="n">
        <v>210</v>
      </c>
      <c r="J2042" s="5" t="n">
        <v>429</v>
      </c>
      <c r="K2042" s="10">
        <f>IF(F2042&gt;0,H2042/F2042,"")</f>
        <v/>
      </c>
      <c r="L2042" s="16">
        <f>IF(AND(G2042&gt;0,H2042&gt;0),G2042/H2042,"")</f>
        <v/>
      </c>
    </row>
    <row r="2043">
      <c r="A2043" s="4" t="inlineStr">
        <is>
          <t>215</t>
        </is>
      </c>
      <c r="B2043" s="4" t="n">
        <v>2</v>
      </c>
      <c r="C2043" s="4" t="inlineStr">
        <is>
          <t>elk</t>
        </is>
      </c>
      <c r="D2043" s="4" t="n">
        <v>2017</v>
      </c>
      <c r="E2043" s="13" t="inlineStr">
        <is>
          <t>General</t>
        </is>
      </c>
      <c r="F2043" s="5" t="n"/>
      <c r="G2043" s="5" t="n"/>
      <c r="H2043" s="5" t="n">
        <v>938</v>
      </c>
      <c r="I2043" s="5" t="n">
        <v>420</v>
      </c>
      <c r="J2043" s="5" t="n">
        <v>498</v>
      </c>
      <c r="K2043" s="10">
        <f>IF(F2043&gt;0,H2043/F2043,"")</f>
        <v/>
      </c>
      <c r="L2043" s="16">
        <f>IF(AND(G2043&gt;0,H2043&gt;0),G2043/H2043,"")</f>
        <v/>
      </c>
    </row>
    <row r="2044">
      <c r="A2044" s="4" t="inlineStr">
        <is>
          <t>215</t>
        </is>
      </c>
      <c r="B2044" s="4" t="n">
        <v>2</v>
      </c>
      <c r="C2044" s="4" t="inlineStr">
        <is>
          <t>elk</t>
        </is>
      </c>
      <c r="D2044" s="4" t="n">
        <v>2018</v>
      </c>
      <c r="E2044" s="13" t="inlineStr">
        <is>
          <t>General</t>
        </is>
      </c>
      <c r="F2044" s="5" t="n">
        <v>3306</v>
      </c>
      <c r="G2044" s="5" t="n">
        <v>25288</v>
      </c>
      <c r="H2044" s="5" t="n">
        <v>711</v>
      </c>
      <c r="I2044" s="5" t="n">
        <v>289</v>
      </c>
      <c r="J2044" s="5" t="n">
        <v>401</v>
      </c>
      <c r="K2044" s="10">
        <f>IF(F2044&gt;0,H2044/F2044,"")</f>
        <v/>
      </c>
      <c r="L2044" s="16">
        <f>IF(AND(G2044&gt;0,H2044&gt;0),G2044/H2044,"")</f>
        <v/>
      </c>
    </row>
    <row r="2045">
      <c r="A2045" s="4" t="inlineStr">
        <is>
          <t>215</t>
        </is>
      </c>
      <c r="B2045" s="4" t="n">
        <v>2</v>
      </c>
      <c r="C2045" s="4" t="inlineStr">
        <is>
          <t>elk</t>
        </is>
      </c>
      <c r="D2045" s="4" t="n">
        <v>2019</v>
      </c>
      <c r="E2045" s="13" t="inlineStr">
        <is>
          <t>General</t>
        </is>
      </c>
      <c r="F2045" s="5" t="n"/>
      <c r="G2045" s="5" t="n"/>
      <c r="H2045" s="5" t="n">
        <v>522</v>
      </c>
      <c r="I2045" s="5" t="n">
        <v>235</v>
      </c>
      <c r="J2045" s="5" t="n">
        <v>268</v>
      </c>
      <c r="K2045" s="10">
        <f>IF(F2045&gt;0,H2045/F2045,"")</f>
        <v/>
      </c>
      <c r="L2045" s="16">
        <f>IF(AND(G2045&gt;0,H2045&gt;0),G2045/H2045,"")</f>
        <v/>
      </c>
    </row>
    <row r="2046">
      <c r="A2046" s="4" t="inlineStr">
        <is>
          <t>215</t>
        </is>
      </c>
      <c r="B2046" s="4" t="n">
        <v>2</v>
      </c>
      <c r="C2046" s="4" t="inlineStr">
        <is>
          <t>elk</t>
        </is>
      </c>
      <c r="D2046" s="4" t="n">
        <v>2020</v>
      </c>
      <c r="E2046" s="13" t="inlineStr">
        <is>
          <t>General</t>
        </is>
      </c>
      <c r="F2046" s="5" t="n">
        <v>2288</v>
      </c>
      <c r="G2046" s="5" t="n">
        <v>17770</v>
      </c>
      <c r="H2046" s="5" t="n">
        <v>363</v>
      </c>
      <c r="I2046" s="5" t="n">
        <v>226</v>
      </c>
      <c r="J2046" s="5" t="n">
        <v>129</v>
      </c>
      <c r="K2046" s="10">
        <f>IF(F2046&gt;0,H2046/F2046,"")</f>
        <v/>
      </c>
      <c r="L2046" s="16">
        <f>IF(AND(G2046&gt;0,H2046&gt;0),G2046/H2046,"")</f>
        <v/>
      </c>
    </row>
    <row r="2047">
      <c r="A2047" s="4" t="inlineStr">
        <is>
          <t>215</t>
        </is>
      </c>
      <c r="B2047" s="4" t="n">
        <v>2</v>
      </c>
      <c r="C2047" s="4" t="inlineStr">
        <is>
          <t>elk</t>
        </is>
      </c>
      <c r="D2047" s="4" t="n">
        <v>2021</v>
      </c>
      <c r="E2047" s="13" t="inlineStr">
        <is>
          <t>General</t>
        </is>
      </c>
      <c r="F2047" s="5" t="n"/>
      <c r="G2047" s="5" t="n"/>
      <c r="H2047" s="5" t="n">
        <v>298</v>
      </c>
      <c r="I2047" s="5" t="n">
        <v>153</v>
      </c>
      <c r="J2047" s="5" t="n">
        <v>145</v>
      </c>
      <c r="K2047" s="10">
        <f>IF(F2047&gt;0,H2047/F2047,"")</f>
        <v/>
      </c>
      <c r="L2047" s="16">
        <f>IF(AND(G2047&gt;0,H2047&gt;0),G2047/H2047,"")</f>
        <v/>
      </c>
    </row>
    <row r="2048">
      <c r="A2048" s="4" t="inlineStr">
        <is>
          <t>215</t>
        </is>
      </c>
      <c r="B2048" s="4" t="n">
        <v>2</v>
      </c>
      <c r="C2048" s="4" t="inlineStr">
        <is>
          <t>elk</t>
        </is>
      </c>
      <c r="D2048" s="4" t="n">
        <v>2022</v>
      </c>
      <c r="E2048" s="13" t="inlineStr">
        <is>
          <t>General</t>
        </is>
      </c>
      <c r="F2048" s="5" t="n">
        <v>1909</v>
      </c>
      <c r="G2048" s="5" t="n">
        <v>14851</v>
      </c>
      <c r="H2048" s="5" t="n">
        <v>327</v>
      </c>
      <c r="I2048" s="5" t="n">
        <v>226</v>
      </c>
      <c r="J2048" s="5" t="n">
        <v>91</v>
      </c>
      <c r="K2048" s="10">
        <f>IF(F2048&gt;0,H2048/F2048,"")</f>
        <v/>
      </c>
      <c r="L2048" s="16">
        <f>IF(AND(G2048&gt;0,H2048&gt;0),G2048/H2048,"")</f>
        <v/>
      </c>
    </row>
    <row r="2049">
      <c r="A2049" s="4" t="inlineStr">
        <is>
          <t>215</t>
        </is>
      </c>
      <c r="B2049" s="4" t="n">
        <v>2</v>
      </c>
      <c r="C2049" s="4" t="inlineStr">
        <is>
          <t>elk</t>
        </is>
      </c>
      <c r="D2049" s="4" t="n">
        <v>2023</v>
      </c>
      <c r="E2049" s="13" t="inlineStr">
        <is>
          <t>General</t>
        </is>
      </c>
      <c r="F2049" s="5" t="n"/>
      <c r="G2049" s="5" t="n"/>
      <c r="H2049" s="5" t="n">
        <v>331</v>
      </c>
      <c r="I2049" s="5" t="n">
        <v>208</v>
      </c>
      <c r="J2049" s="5" t="n">
        <v>117</v>
      </c>
      <c r="K2049" s="10">
        <f>IF(F2049&gt;0,H2049/F2049,"")</f>
        <v/>
      </c>
      <c r="L2049" s="16">
        <f>IF(AND(G2049&gt;0,H2049&gt;0),G2049/H2049,"")</f>
        <v/>
      </c>
    </row>
    <row r="2050">
      <c r="A2050" s="4" t="inlineStr">
        <is>
          <t>215</t>
        </is>
      </c>
      <c r="B2050" s="4" t="n">
        <v>2</v>
      </c>
      <c r="C2050" s="4" t="inlineStr">
        <is>
          <t>elk</t>
        </is>
      </c>
      <c r="D2050" s="4" t="n">
        <v>2024</v>
      </c>
      <c r="E2050" s="13" t="inlineStr">
        <is>
          <t>General</t>
        </is>
      </c>
      <c r="F2050" s="5" t="n">
        <v>2076</v>
      </c>
      <c r="G2050" s="5" t="n">
        <v>18232</v>
      </c>
      <c r="H2050" s="5" t="n">
        <v>284</v>
      </c>
      <c r="I2050" s="5" t="n">
        <v>151</v>
      </c>
      <c r="J2050" s="5" t="n">
        <v>134</v>
      </c>
      <c r="K2050" s="10">
        <f>IF(F2050&gt;0,H2050/F2050,"")</f>
        <v/>
      </c>
      <c r="L2050" s="16">
        <f>IF(AND(G2050&gt;0,H2050&gt;0),G2050/H2050,"")</f>
        <v/>
      </c>
    </row>
    <row r="2051">
      <c r="A2051" s="4" t="inlineStr">
        <is>
          <t>215</t>
        </is>
      </c>
      <c r="B2051" s="4" t="n">
        <v>2</v>
      </c>
      <c r="C2051" s="4" t="inlineStr">
        <is>
          <t>elk</t>
        </is>
      </c>
      <c r="D2051" s="4" t="n">
        <v>2025</v>
      </c>
      <c r="E2051" s="13" t="inlineStr">
        <is>
          <t>General</t>
        </is>
      </c>
      <c r="F2051" s="5" t="n"/>
      <c r="G2051" s="5" t="n"/>
      <c r="H2051" s="5" t="n">
        <v>346</v>
      </c>
      <c r="I2051" s="5" t="n">
        <v>215</v>
      </c>
      <c r="J2051" s="5" t="n">
        <v>129</v>
      </c>
      <c r="K2051" s="10">
        <f>IF(F2051&gt;0,H2051/F2051,"")</f>
        <v/>
      </c>
      <c r="L2051" s="16">
        <f>IF(AND(G2051&gt;0,H2051&gt;0),G2051/H2051,"")</f>
        <v/>
      </c>
    </row>
    <row r="2052">
      <c r="A2052" s="4" t="inlineStr">
        <is>
          <t>216</t>
        </is>
      </c>
      <c r="B2052" s="4" t="n">
        <v>2</v>
      </c>
      <c r="C2052" s="4" t="inlineStr">
        <is>
          <t>elk</t>
        </is>
      </c>
      <c r="D2052" s="4" t="n">
        <v>2004</v>
      </c>
      <c r="E2052" s="13" t="inlineStr">
        <is>
          <t>General</t>
        </is>
      </c>
      <c r="F2052" s="5" t="n">
        <v>599</v>
      </c>
      <c r="G2052" s="5" t="n">
        <v>3509</v>
      </c>
      <c r="H2052" s="5" t="n">
        <v>70</v>
      </c>
      <c r="I2052" s="5" t="n">
        <v>34</v>
      </c>
      <c r="J2052" s="5" t="n">
        <v>30</v>
      </c>
      <c r="K2052" s="10">
        <f>IF(F2052&gt;0,H2052/F2052,"")</f>
        <v/>
      </c>
      <c r="L2052" s="16">
        <f>IF(AND(G2052&gt;0,H2052&gt;0),G2052/H2052,"")</f>
        <v/>
      </c>
    </row>
    <row r="2053">
      <c r="A2053" s="4" t="inlineStr">
        <is>
          <t>216</t>
        </is>
      </c>
      <c r="B2053" s="4" t="n">
        <v>2</v>
      </c>
      <c r="C2053" s="4" t="inlineStr">
        <is>
          <t>elk</t>
        </is>
      </c>
      <c r="D2053" s="4" t="n">
        <v>2005</v>
      </c>
      <c r="E2053" s="13" t="inlineStr">
        <is>
          <t>General</t>
        </is>
      </c>
      <c r="F2053" s="5" t="n">
        <v>507</v>
      </c>
      <c r="G2053" s="5" t="n">
        <v>2788</v>
      </c>
      <c r="H2053" s="5" t="n">
        <v>122</v>
      </c>
      <c r="I2053" s="5" t="n">
        <v>55</v>
      </c>
      <c r="J2053" s="5" t="n">
        <v>63</v>
      </c>
      <c r="K2053" s="10">
        <f>IF(F2053&gt;0,H2053/F2053,"")</f>
        <v/>
      </c>
      <c r="L2053" s="16">
        <f>IF(AND(G2053&gt;0,H2053&gt;0),G2053/H2053,"")</f>
        <v/>
      </c>
    </row>
    <row r="2054">
      <c r="A2054" s="4" t="inlineStr">
        <is>
          <t>216</t>
        </is>
      </c>
      <c r="B2054" s="4" t="n">
        <v>2</v>
      </c>
      <c r="C2054" s="4" t="inlineStr">
        <is>
          <t>elk</t>
        </is>
      </c>
      <c r="D2054" s="4" t="n">
        <v>2006</v>
      </c>
      <c r="E2054" s="13" t="inlineStr">
        <is>
          <t>General</t>
        </is>
      </c>
      <c r="F2054" s="5" t="n">
        <v>404</v>
      </c>
      <c r="G2054" s="5" t="n">
        <v>2324</v>
      </c>
      <c r="H2054" s="5" t="n">
        <v>97</v>
      </c>
      <c r="I2054" s="5" t="n">
        <v>58</v>
      </c>
      <c r="J2054" s="5" t="n">
        <v>35</v>
      </c>
      <c r="K2054" s="10">
        <f>IF(F2054&gt;0,H2054/F2054,"")</f>
        <v/>
      </c>
      <c r="L2054" s="16">
        <f>IF(AND(G2054&gt;0,H2054&gt;0),G2054/H2054,"")</f>
        <v/>
      </c>
    </row>
    <row r="2055">
      <c r="A2055" s="4" t="inlineStr">
        <is>
          <t>216</t>
        </is>
      </c>
      <c r="B2055" s="4" t="n">
        <v>2</v>
      </c>
      <c r="C2055" s="4" t="inlineStr">
        <is>
          <t>elk</t>
        </is>
      </c>
      <c r="D2055" s="4" t="n">
        <v>2007</v>
      </c>
      <c r="E2055" s="13" t="inlineStr">
        <is>
          <t>General</t>
        </is>
      </c>
      <c r="F2055" s="5" t="n">
        <v>460</v>
      </c>
      <c r="G2055" s="5" t="n">
        <v>2936</v>
      </c>
      <c r="H2055" s="5" t="n">
        <v>76</v>
      </c>
      <c r="I2055" s="5" t="n">
        <v>16</v>
      </c>
      <c r="J2055" s="5" t="n">
        <v>61</v>
      </c>
      <c r="K2055" s="10">
        <f>IF(F2055&gt;0,H2055/F2055,"")</f>
        <v/>
      </c>
      <c r="L2055" s="16">
        <f>IF(AND(G2055&gt;0,H2055&gt;0),G2055/H2055,"")</f>
        <v/>
      </c>
    </row>
    <row r="2056">
      <c r="A2056" s="4" t="inlineStr">
        <is>
          <t>216</t>
        </is>
      </c>
      <c r="B2056" s="4" t="n">
        <v>2</v>
      </c>
      <c r="C2056" s="4" t="inlineStr">
        <is>
          <t>elk</t>
        </is>
      </c>
      <c r="D2056" s="4" t="n">
        <v>2008</v>
      </c>
      <c r="E2056" s="13" t="inlineStr">
        <is>
          <t>General</t>
        </is>
      </c>
      <c r="F2056" s="5" t="n">
        <v>396</v>
      </c>
      <c r="G2056" s="5" t="n">
        <v>3028</v>
      </c>
      <c r="H2056" s="5" t="n">
        <v>51</v>
      </c>
      <c r="I2056" s="5" t="n">
        <v>18</v>
      </c>
      <c r="J2056" s="5" t="n">
        <v>33</v>
      </c>
      <c r="K2056" s="10">
        <f>IF(F2056&gt;0,H2056/F2056,"")</f>
        <v/>
      </c>
      <c r="L2056" s="16">
        <f>IF(AND(G2056&gt;0,H2056&gt;0),G2056/H2056,"")</f>
        <v/>
      </c>
    </row>
    <row r="2057">
      <c r="A2057" s="4" t="inlineStr">
        <is>
          <t>216</t>
        </is>
      </c>
      <c r="B2057" s="4" t="n">
        <v>2</v>
      </c>
      <c r="C2057" s="4" t="inlineStr">
        <is>
          <t>elk</t>
        </is>
      </c>
      <c r="D2057" s="4" t="n">
        <v>2009</v>
      </c>
      <c r="E2057" s="13" t="inlineStr">
        <is>
          <t>General</t>
        </is>
      </c>
      <c r="F2057" s="5" t="n">
        <v>431</v>
      </c>
      <c r="G2057" s="5" t="n">
        <v>2898</v>
      </c>
      <c r="H2057" s="5" t="n">
        <v>40</v>
      </c>
      <c r="I2057" s="5" t="n">
        <v>9</v>
      </c>
      <c r="J2057" s="5" t="n">
        <v>31</v>
      </c>
      <c r="K2057" s="10">
        <f>IF(F2057&gt;0,H2057/F2057,"")</f>
        <v/>
      </c>
      <c r="L2057" s="16">
        <f>IF(AND(G2057&gt;0,H2057&gt;0),G2057/H2057,"")</f>
        <v/>
      </c>
    </row>
    <row r="2058">
      <c r="A2058" s="4" t="inlineStr">
        <is>
          <t>216</t>
        </is>
      </c>
      <c r="B2058" s="4" t="n">
        <v>2</v>
      </c>
      <c r="C2058" s="4" t="inlineStr">
        <is>
          <t>elk</t>
        </is>
      </c>
      <c r="D2058" s="4" t="n">
        <v>2010</v>
      </c>
      <c r="E2058" s="13" t="inlineStr">
        <is>
          <t>General</t>
        </is>
      </c>
      <c r="F2058" s="5" t="n">
        <v>416</v>
      </c>
      <c r="G2058" s="5" t="n">
        <v>2737</v>
      </c>
      <c r="H2058" s="5" t="n">
        <v>59</v>
      </c>
      <c r="I2058" s="5" t="n">
        <v>31</v>
      </c>
      <c r="J2058" s="5" t="n">
        <v>28</v>
      </c>
      <c r="K2058" s="10">
        <f>IF(F2058&gt;0,H2058/F2058,"")</f>
        <v/>
      </c>
      <c r="L2058" s="16">
        <f>IF(AND(G2058&gt;0,H2058&gt;0),G2058/H2058,"")</f>
        <v/>
      </c>
    </row>
    <row r="2059">
      <c r="A2059" s="4" t="inlineStr">
        <is>
          <t>216</t>
        </is>
      </c>
      <c r="B2059" s="4" t="n">
        <v>2</v>
      </c>
      <c r="C2059" s="4" t="inlineStr">
        <is>
          <t>elk</t>
        </is>
      </c>
      <c r="D2059" s="4" t="n">
        <v>2011</v>
      </c>
      <c r="E2059" s="13" t="inlineStr">
        <is>
          <t>General</t>
        </is>
      </c>
      <c r="F2059" s="5" t="n">
        <v>435</v>
      </c>
      <c r="G2059" s="5" t="n">
        <v>2966</v>
      </c>
      <c r="H2059" s="5" t="n">
        <v>71</v>
      </c>
      <c r="I2059" s="5" t="n">
        <v>24</v>
      </c>
      <c r="J2059" s="5" t="n">
        <v>45</v>
      </c>
      <c r="K2059" s="10">
        <f>IF(F2059&gt;0,H2059/F2059,"")</f>
        <v/>
      </c>
      <c r="L2059" s="16">
        <f>IF(AND(G2059&gt;0,H2059&gt;0),G2059/H2059,"")</f>
        <v/>
      </c>
    </row>
    <row r="2060">
      <c r="A2060" s="4" t="inlineStr">
        <is>
          <t>216</t>
        </is>
      </c>
      <c r="B2060" s="4" t="n">
        <v>2</v>
      </c>
      <c r="C2060" s="4" t="inlineStr">
        <is>
          <t>elk</t>
        </is>
      </c>
      <c r="D2060" s="4" t="n">
        <v>2012</v>
      </c>
      <c r="E2060" s="13" t="inlineStr">
        <is>
          <t>General</t>
        </is>
      </c>
      <c r="F2060" s="5" t="n">
        <v>482</v>
      </c>
      <c r="G2060" s="5" t="n">
        <v>3031</v>
      </c>
      <c r="H2060" s="5" t="n">
        <v>65</v>
      </c>
      <c r="I2060" s="5" t="n">
        <v>36</v>
      </c>
      <c r="J2060" s="5" t="n">
        <v>27</v>
      </c>
      <c r="K2060" s="10">
        <f>IF(F2060&gt;0,H2060/F2060,"")</f>
        <v/>
      </c>
      <c r="L2060" s="16">
        <f>IF(AND(G2060&gt;0,H2060&gt;0),G2060/H2060,"")</f>
        <v/>
      </c>
    </row>
    <row r="2061">
      <c r="A2061" s="4" t="inlineStr">
        <is>
          <t>216</t>
        </is>
      </c>
      <c r="B2061" s="4" t="n">
        <v>2</v>
      </c>
      <c r="C2061" s="4" t="inlineStr">
        <is>
          <t>elk</t>
        </is>
      </c>
      <c r="D2061" s="4" t="n">
        <v>2013</v>
      </c>
      <c r="E2061" s="13" t="inlineStr">
        <is>
          <t>General</t>
        </is>
      </c>
      <c r="F2061" s="5" t="n"/>
      <c r="G2061" s="5" t="n"/>
      <c r="H2061" s="5" t="n">
        <v>39</v>
      </c>
      <c r="I2061" s="5" t="n">
        <v>30</v>
      </c>
      <c r="J2061" s="5" t="n">
        <v>6</v>
      </c>
      <c r="K2061" s="10">
        <f>IF(F2061&gt;0,H2061/F2061,"")</f>
        <v/>
      </c>
      <c r="L2061" s="16">
        <f>IF(AND(G2061&gt;0,H2061&gt;0),G2061/H2061,"")</f>
        <v/>
      </c>
    </row>
    <row r="2062">
      <c r="A2062" s="4" t="inlineStr">
        <is>
          <t>216</t>
        </is>
      </c>
      <c r="B2062" s="4" t="n">
        <v>2</v>
      </c>
      <c r="C2062" s="4" t="inlineStr">
        <is>
          <t>elk</t>
        </is>
      </c>
      <c r="D2062" s="4" t="n">
        <v>2014</v>
      </c>
      <c r="E2062" s="13" t="inlineStr">
        <is>
          <t>General</t>
        </is>
      </c>
      <c r="F2062" s="5" t="n">
        <v>537</v>
      </c>
      <c r="G2062" s="5" t="n">
        <v>3852</v>
      </c>
      <c r="H2062" s="5" t="n">
        <v>59</v>
      </c>
      <c r="I2062" s="5" t="n">
        <v>48</v>
      </c>
      <c r="J2062" s="5" t="n">
        <v>11</v>
      </c>
      <c r="K2062" s="10">
        <f>IF(F2062&gt;0,H2062/F2062,"")</f>
        <v/>
      </c>
      <c r="L2062" s="16">
        <f>IF(AND(G2062&gt;0,H2062&gt;0),G2062/H2062,"")</f>
        <v/>
      </c>
    </row>
    <row r="2063">
      <c r="A2063" s="4" t="inlineStr">
        <is>
          <t>216</t>
        </is>
      </c>
      <c r="B2063" s="4" t="n">
        <v>2</v>
      </c>
      <c r="C2063" s="4" t="inlineStr">
        <is>
          <t>elk</t>
        </is>
      </c>
      <c r="D2063" s="4" t="n">
        <v>2015</v>
      </c>
      <c r="E2063" s="13" t="inlineStr">
        <is>
          <t>General</t>
        </is>
      </c>
      <c r="F2063" s="5" t="n">
        <v>447</v>
      </c>
      <c r="G2063" s="5" t="n">
        <v>3462</v>
      </c>
      <c r="H2063" s="5" t="n">
        <v>74</v>
      </c>
      <c r="I2063" s="5" t="n">
        <v>35</v>
      </c>
      <c r="J2063" s="5" t="n">
        <v>37</v>
      </c>
      <c r="K2063" s="10">
        <f>IF(F2063&gt;0,H2063/F2063,"")</f>
        <v/>
      </c>
      <c r="L2063" s="16">
        <f>IF(AND(G2063&gt;0,H2063&gt;0),G2063/H2063,"")</f>
        <v/>
      </c>
    </row>
    <row r="2064">
      <c r="A2064" s="4" t="inlineStr">
        <is>
          <t>216</t>
        </is>
      </c>
      <c r="B2064" s="4" t="n">
        <v>2</v>
      </c>
      <c r="C2064" s="4" t="inlineStr">
        <is>
          <t>elk</t>
        </is>
      </c>
      <c r="D2064" s="4" t="n">
        <v>2016</v>
      </c>
      <c r="E2064" s="13" t="inlineStr">
        <is>
          <t>General</t>
        </is>
      </c>
      <c r="F2064" s="5" t="n">
        <v>443</v>
      </c>
      <c r="G2064" s="5" t="n">
        <v>2847</v>
      </c>
      <c r="H2064" s="5" t="n">
        <v>35</v>
      </c>
      <c r="I2064" s="5" t="n">
        <v>28</v>
      </c>
      <c r="J2064" s="5" t="n">
        <v>7</v>
      </c>
      <c r="K2064" s="10">
        <f>IF(F2064&gt;0,H2064/F2064,"")</f>
        <v/>
      </c>
      <c r="L2064" s="16">
        <f>IF(AND(G2064&gt;0,H2064&gt;0),G2064/H2064,"")</f>
        <v/>
      </c>
    </row>
    <row r="2065">
      <c r="A2065" s="4" t="inlineStr">
        <is>
          <t>216</t>
        </is>
      </c>
      <c r="B2065" s="4" t="n">
        <v>2</v>
      </c>
      <c r="C2065" s="4" t="inlineStr">
        <is>
          <t>elk</t>
        </is>
      </c>
      <c r="D2065" s="4" t="n">
        <v>2017</v>
      </c>
      <c r="E2065" s="13" t="inlineStr">
        <is>
          <t>General</t>
        </is>
      </c>
      <c r="F2065" s="5" t="n"/>
      <c r="G2065" s="5" t="n"/>
      <c r="H2065" s="5" t="n">
        <v>72</v>
      </c>
      <c r="I2065" s="5" t="n">
        <v>40</v>
      </c>
      <c r="J2065" s="5" t="n">
        <v>31</v>
      </c>
      <c r="K2065" s="10">
        <f>IF(F2065&gt;0,H2065/F2065,"")</f>
        <v/>
      </c>
      <c r="L2065" s="16">
        <f>IF(AND(G2065&gt;0,H2065&gt;0),G2065/H2065,"")</f>
        <v/>
      </c>
    </row>
    <row r="2066">
      <c r="A2066" s="4" t="inlineStr">
        <is>
          <t>216</t>
        </is>
      </c>
      <c r="B2066" s="4" t="n">
        <v>2</v>
      </c>
      <c r="C2066" s="4" t="inlineStr">
        <is>
          <t>elk</t>
        </is>
      </c>
      <c r="D2066" s="4" t="n">
        <v>2018</v>
      </c>
      <c r="E2066" s="13" t="inlineStr">
        <is>
          <t>General</t>
        </is>
      </c>
      <c r="F2066" s="5" t="n">
        <v>499</v>
      </c>
      <c r="G2066" s="5" t="n">
        <v>3353</v>
      </c>
      <c r="H2066" s="5" t="n">
        <v>61</v>
      </c>
      <c r="I2066" s="5" t="n">
        <v>35</v>
      </c>
      <c r="J2066" s="5" t="n">
        <v>26</v>
      </c>
      <c r="K2066" s="10">
        <f>IF(F2066&gt;0,H2066/F2066,"")</f>
        <v/>
      </c>
      <c r="L2066" s="16">
        <f>IF(AND(G2066&gt;0,H2066&gt;0),G2066/H2066,"")</f>
        <v/>
      </c>
    </row>
    <row r="2067">
      <c r="A2067" s="4" t="inlineStr">
        <is>
          <t>216</t>
        </is>
      </c>
      <c r="B2067" s="4" t="n">
        <v>2</v>
      </c>
      <c r="C2067" s="4" t="inlineStr">
        <is>
          <t>elk</t>
        </is>
      </c>
      <c r="D2067" s="4" t="n">
        <v>2019</v>
      </c>
      <c r="E2067" s="13" t="inlineStr">
        <is>
          <t>General</t>
        </is>
      </c>
      <c r="F2067" s="5" t="n"/>
      <c r="G2067" s="5" t="n"/>
      <c r="H2067" s="5" t="n">
        <v>52</v>
      </c>
      <c r="I2067" s="5" t="n">
        <v>38</v>
      </c>
      <c r="J2067" s="5" t="n">
        <v>14</v>
      </c>
      <c r="K2067" s="10">
        <f>IF(F2067&gt;0,H2067/F2067,"")</f>
        <v/>
      </c>
      <c r="L2067" s="16">
        <f>IF(AND(G2067&gt;0,H2067&gt;0),G2067/H2067,"")</f>
        <v/>
      </c>
    </row>
    <row r="2068">
      <c r="A2068" s="4" t="inlineStr">
        <is>
          <t>216</t>
        </is>
      </c>
      <c r="B2068" s="4" t="n">
        <v>2</v>
      </c>
      <c r="C2068" s="4" t="inlineStr">
        <is>
          <t>elk</t>
        </is>
      </c>
      <c r="D2068" s="4" t="n">
        <v>2020</v>
      </c>
      <c r="E2068" s="13" t="inlineStr">
        <is>
          <t>General</t>
        </is>
      </c>
      <c r="F2068" s="5" t="n">
        <v>490</v>
      </c>
      <c r="G2068" s="5" t="n">
        <v>3248</v>
      </c>
      <c r="H2068" s="5" t="n">
        <v>71</v>
      </c>
      <c r="I2068" s="5" t="n">
        <v>42</v>
      </c>
      <c r="J2068" s="5" t="n">
        <v>28</v>
      </c>
      <c r="K2068" s="10">
        <f>IF(F2068&gt;0,H2068/F2068,"")</f>
        <v/>
      </c>
      <c r="L2068" s="16">
        <f>IF(AND(G2068&gt;0,H2068&gt;0),G2068/H2068,"")</f>
        <v/>
      </c>
    </row>
    <row r="2069">
      <c r="A2069" s="4" t="inlineStr">
        <is>
          <t>216</t>
        </is>
      </c>
      <c r="B2069" s="4" t="n">
        <v>2</v>
      </c>
      <c r="C2069" s="4" t="inlineStr">
        <is>
          <t>elk</t>
        </is>
      </c>
      <c r="D2069" s="4" t="n">
        <v>2021</v>
      </c>
      <c r="E2069" s="13" t="inlineStr">
        <is>
          <t>General</t>
        </is>
      </c>
      <c r="F2069" s="5" t="n"/>
      <c r="G2069" s="5" t="n"/>
      <c r="H2069" s="5" t="n">
        <v>49</v>
      </c>
      <c r="I2069" s="5" t="n">
        <v>28</v>
      </c>
      <c r="J2069" s="5" t="n">
        <v>20</v>
      </c>
      <c r="K2069" s="10">
        <f>IF(F2069&gt;0,H2069/F2069,"")</f>
        <v/>
      </c>
      <c r="L2069" s="16">
        <f>IF(AND(G2069&gt;0,H2069&gt;0),G2069/H2069,"")</f>
        <v/>
      </c>
    </row>
    <row r="2070">
      <c r="A2070" s="4" t="inlineStr">
        <is>
          <t>216</t>
        </is>
      </c>
      <c r="B2070" s="4" t="n">
        <v>2</v>
      </c>
      <c r="C2070" s="4" t="inlineStr">
        <is>
          <t>elk</t>
        </is>
      </c>
      <c r="D2070" s="4" t="n">
        <v>2022</v>
      </c>
      <c r="E2070" s="13" t="inlineStr">
        <is>
          <t>General</t>
        </is>
      </c>
      <c r="F2070" s="5" t="n">
        <v>500</v>
      </c>
      <c r="G2070" s="5" t="n">
        <v>3345</v>
      </c>
      <c r="H2070" s="5" t="n">
        <v>58</v>
      </c>
      <c r="I2070" s="5" t="n">
        <v>35</v>
      </c>
      <c r="J2070" s="5" t="n">
        <v>23</v>
      </c>
      <c r="K2070" s="10">
        <f>IF(F2070&gt;0,H2070/F2070,"")</f>
        <v/>
      </c>
      <c r="L2070" s="16">
        <f>IF(AND(G2070&gt;0,H2070&gt;0),G2070/H2070,"")</f>
        <v/>
      </c>
    </row>
    <row r="2071">
      <c r="A2071" s="4" t="inlineStr">
        <is>
          <t>216</t>
        </is>
      </c>
      <c r="B2071" s="4" t="n">
        <v>2</v>
      </c>
      <c r="C2071" s="4" t="inlineStr">
        <is>
          <t>elk</t>
        </is>
      </c>
      <c r="D2071" s="4" t="n">
        <v>2023</v>
      </c>
      <c r="E2071" s="13" t="inlineStr">
        <is>
          <t>General</t>
        </is>
      </c>
      <c r="F2071" s="5" t="n"/>
      <c r="G2071" s="5" t="n"/>
      <c r="H2071" s="5" t="n">
        <v>39</v>
      </c>
      <c r="I2071" s="5" t="n">
        <v>21</v>
      </c>
      <c r="J2071" s="5" t="n">
        <v>13</v>
      </c>
      <c r="K2071" s="10">
        <f>IF(F2071&gt;0,H2071/F2071,"")</f>
        <v/>
      </c>
      <c r="L2071" s="16">
        <f>IF(AND(G2071&gt;0,H2071&gt;0),G2071/H2071,"")</f>
        <v/>
      </c>
    </row>
    <row r="2072">
      <c r="A2072" s="4" t="inlineStr">
        <is>
          <t>216</t>
        </is>
      </c>
      <c r="B2072" s="4" t="n">
        <v>2</v>
      </c>
      <c r="C2072" s="4" t="inlineStr">
        <is>
          <t>elk</t>
        </is>
      </c>
      <c r="D2072" s="4" t="n">
        <v>2024</v>
      </c>
      <c r="E2072" s="13" t="inlineStr">
        <is>
          <t>General</t>
        </is>
      </c>
      <c r="F2072" s="5" t="n">
        <v>463</v>
      </c>
      <c r="G2072" s="5" t="n">
        <v>3455</v>
      </c>
      <c r="H2072" s="5" t="n">
        <v>50</v>
      </c>
      <c r="I2072" s="5" t="n">
        <v>24</v>
      </c>
      <c r="J2072" s="5" t="n">
        <v>25</v>
      </c>
      <c r="K2072" s="10">
        <f>IF(F2072&gt;0,H2072/F2072,"")</f>
        <v/>
      </c>
      <c r="L2072" s="16">
        <f>IF(AND(G2072&gt;0,H2072&gt;0),G2072/H2072,"")</f>
        <v/>
      </c>
    </row>
    <row r="2073">
      <c r="A2073" s="4" t="inlineStr">
        <is>
          <t>216</t>
        </is>
      </c>
      <c r="B2073" s="4" t="n">
        <v>2</v>
      </c>
      <c r="C2073" s="4" t="inlineStr">
        <is>
          <t>elk</t>
        </is>
      </c>
      <c r="D2073" s="4" t="n">
        <v>2025</v>
      </c>
      <c r="E2073" s="13" t="inlineStr">
        <is>
          <t>General</t>
        </is>
      </c>
      <c r="F2073" s="5" t="n"/>
      <c r="G2073" s="5" t="n"/>
      <c r="H2073" s="5" t="n">
        <v>44</v>
      </c>
      <c r="I2073" s="5" t="n">
        <v>15</v>
      </c>
      <c r="J2073" s="5" t="n">
        <v>29</v>
      </c>
      <c r="K2073" s="10">
        <f>IF(F2073&gt;0,H2073/F2073,"")</f>
        <v/>
      </c>
      <c r="L2073" s="16">
        <f>IF(AND(G2073&gt;0,H2073&gt;0),G2073/H2073,"")</f>
        <v/>
      </c>
    </row>
    <row r="2074">
      <c r="A2074" s="4" t="inlineStr">
        <is>
          <t>217</t>
        </is>
      </c>
      <c r="B2074" s="4" t="n">
        <v>2</v>
      </c>
      <c r="C2074" s="4" t="inlineStr">
        <is>
          <t>elk</t>
        </is>
      </c>
      <c r="D2074" s="4" t="n">
        <v>2016</v>
      </c>
      <c r="E2074" s="15" t="inlineStr">
        <is>
          <t>Draw</t>
        </is>
      </c>
      <c r="F2074" s="5" t="n">
        <v>1053</v>
      </c>
      <c r="G2074" s="5" t="n">
        <v>7345</v>
      </c>
      <c r="H2074" s="5" t="n">
        <v>301</v>
      </c>
      <c r="I2074" s="5" t="n">
        <v>42</v>
      </c>
      <c r="J2074" s="5" t="n">
        <v>240</v>
      </c>
      <c r="K2074" s="10">
        <f>IF(F2074&gt;0,H2074/F2074,"")</f>
        <v/>
      </c>
      <c r="L2074" s="16">
        <f>IF(AND(G2074&gt;0,H2074&gt;0),G2074/H2074,"")</f>
        <v/>
      </c>
    </row>
    <row r="2075">
      <c r="A2075" s="4" t="inlineStr">
        <is>
          <t>217</t>
        </is>
      </c>
      <c r="B2075" s="4" t="n">
        <v>2</v>
      </c>
      <c r="C2075" s="4" t="inlineStr">
        <is>
          <t>elk</t>
        </is>
      </c>
      <c r="D2075" s="4" t="n">
        <v>2017</v>
      </c>
      <c r="E2075" s="15" t="inlineStr">
        <is>
          <t>Draw</t>
        </is>
      </c>
      <c r="F2075" s="5" t="n"/>
      <c r="G2075" s="5" t="n"/>
      <c r="H2075" s="5" t="n">
        <v>234</v>
      </c>
      <c r="I2075" s="5" t="n">
        <v>71</v>
      </c>
      <c r="J2075" s="5" t="n">
        <v>159</v>
      </c>
      <c r="K2075" s="10">
        <f>IF(F2075&gt;0,H2075/F2075,"")</f>
        <v/>
      </c>
      <c r="L2075" s="16">
        <f>IF(AND(G2075&gt;0,H2075&gt;0),G2075/H2075,"")</f>
        <v/>
      </c>
    </row>
    <row r="2076">
      <c r="A2076" s="4" t="inlineStr">
        <is>
          <t>217</t>
        </is>
      </c>
      <c r="B2076" s="4" t="n">
        <v>2</v>
      </c>
      <c r="C2076" s="4" t="inlineStr">
        <is>
          <t>elk</t>
        </is>
      </c>
      <c r="D2076" s="4" t="n">
        <v>2018</v>
      </c>
      <c r="E2076" s="15" t="inlineStr">
        <is>
          <t>Draw</t>
        </is>
      </c>
      <c r="F2076" s="5" t="n">
        <v>796</v>
      </c>
      <c r="G2076" s="5" t="n">
        <v>5141</v>
      </c>
      <c r="H2076" s="5" t="n">
        <v>116</v>
      </c>
      <c r="I2076" s="5" t="n">
        <v>36</v>
      </c>
      <c r="J2076" s="5" t="n">
        <v>78</v>
      </c>
      <c r="K2076" s="10">
        <f>IF(F2076&gt;0,H2076/F2076,"")</f>
        <v/>
      </c>
      <c r="L2076" s="16">
        <f>IF(AND(G2076&gt;0,H2076&gt;0),G2076/H2076,"")</f>
        <v/>
      </c>
    </row>
    <row r="2077">
      <c r="A2077" s="4" t="inlineStr">
        <is>
          <t>217</t>
        </is>
      </c>
      <c r="B2077" s="4" t="n">
        <v>2</v>
      </c>
      <c r="C2077" s="4" t="inlineStr">
        <is>
          <t>elk</t>
        </is>
      </c>
      <c r="D2077" s="4" t="n">
        <v>2019</v>
      </c>
      <c r="E2077" s="15" t="inlineStr">
        <is>
          <t>Draw</t>
        </is>
      </c>
      <c r="F2077" s="5" t="n"/>
      <c r="G2077" s="5" t="n"/>
      <c r="H2077" s="5" t="n">
        <v>79</v>
      </c>
      <c r="I2077" s="5" t="n">
        <v>37</v>
      </c>
      <c r="J2077" s="5" t="n">
        <v>42</v>
      </c>
      <c r="K2077" s="10">
        <f>IF(F2077&gt;0,H2077/F2077,"")</f>
        <v/>
      </c>
      <c r="L2077" s="16">
        <f>IF(AND(G2077&gt;0,H2077&gt;0),G2077/H2077,"")</f>
        <v/>
      </c>
    </row>
    <row r="2078">
      <c r="A2078" s="4" t="inlineStr">
        <is>
          <t>217</t>
        </is>
      </c>
      <c r="B2078" s="4" t="n">
        <v>2</v>
      </c>
      <c r="C2078" s="4" t="inlineStr">
        <is>
          <t>elk</t>
        </is>
      </c>
      <c r="D2078" s="4" t="n">
        <v>2020</v>
      </c>
      <c r="E2078" s="15" t="inlineStr">
        <is>
          <t>Draw</t>
        </is>
      </c>
      <c r="F2078" s="5" t="n">
        <v>525</v>
      </c>
      <c r="G2078" s="5" t="n">
        <v>4094</v>
      </c>
      <c r="H2078" s="5" t="n">
        <v>120</v>
      </c>
      <c r="I2078" s="5" t="n">
        <v>47</v>
      </c>
      <c r="J2078" s="5" t="n">
        <v>67</v>
      </c>
      <c r="K2078" s="10">
        <f>IF(F2078&gt;0,H2078/F2078,"")</f>
        <v/>
      </c>
      <c r="L2078" s="16">
        <f>IF(AND(G2078&gt;0,H2078&gt;0),G2078/H2078,"")</f>
        <v/>
      </c>
    </row>
    <row r="2079">
      <c r="A2079" s="4" t="inlineStr">
        <is>
          <t>217</t>
        </is>
      </c>
      <c r="B2079" s="4" t="n">
        <v>2</v>
      </c>
      <c r="C2079" s="4" t="inlineStr">
        <is>
          <t>elk</t>
        </is>
      </c>
      <c r="D2079" s="4" t="n">
        <v>2021</v>
      </c>
      <c r="E2079" s="15" t="inlineStr">
        <is>
          <t>Draw</t>
        </is>
      </c>
      <c r="F2079" s="5" t="n"/>
      <c r="G2079" s="5" t="n"/>
      <c r="H2079" s="5" t="n">
        <v>81</v>
      </c>
      <c r="I2079" s="5" t="n">
        <v>47</v>
      </c>
      <c r="J2079" s="5" t="n">
        <v>34</v>
      </c>
      <c r="K2079" s="10">
        <f>IF(F2079&gt;0,H2079/F2079,"")</f>
        <v/>
      </c>
      <c r="L2079" s="16">
        <f>IF(AND(G2079&gt;0,H2079&gt;0),G2079/H2079,"")</f>
        <v/>
      </c>
    </row>
    <row r="2080">
      <c r="A2080" s="4" t="inlineStr">
        <is>
          <t>217</t>
        </is>
      </c>
      <c r="B2080" s="4" t="n">
        <v>2</v>
      </c>
      <c r="C2080" s="4" t="inlineStr">
        <is>
          <t>elk</t>
        </is>
      </c>
      <c r="D2080" s="4" t="n">
        <v>2022</v>
      </c>
      <c r="E2080" s="15" t="inlineStr">
        <is>
          <t>Draw</t>
        </is>
      </c>
      <c r="F2080" s="5" t="n">
        <v>444</v>
      </c>
      <c r="G2080" s="5" t="n">
        <v>3361</v>
      </c>
      <c r="H2080" s="5" t="n">
        <v>109</v>
      </c>
      <c r="I2080" s="5" t="n">
        <v>57</v>
      </c>
      <c r="J2080" s="5" t="n">
        <v>53</v>
      </c>
      <c r="K2080" s="10">
        <f>IF(F2080&gt;0,H2080/F2080,"")</f>
        <v/>
      </c>
      <c r="L2080" s="16">
        <f>IF(AND(G2080&gt;0,H2080&gt;0),G2080/H2080,"")</f>
        <v/>
      </c>
    </row>
    <row r="2081">
      <c r="A2081" s="4" t="inlineStr">
        <is>
          <t>217</t>
        </is>
      </c>
      <c r="B2081" s="4" t="n">
        <v>2</v>
      </c>
      <c r="C2081" s="4" t="inlineStr">
        <is>
          <t>elk</t>
        </is>
      </c>
      <c r="D2081" s="4" t="n">
        <v>2023</v>
      </c>
      <c r="E2081" s="15" t="inlineStr">
        <is>
          <t>Draw</t>
        </is>
      </c>
      <c r="F2081" s="5" t="n"/>
      <c r="G2081" s="5" t="n"/>
      <c r="H2081" s="5" t="n">
        <v>87</v>
      </c>
      <c r="I2081" s="5" t="n">
        <v>60</v>
      </c>
      <c r="J2081" s="5" t="n">
        <v>25</v>
      </c>
      <c r="K2081" s="10">
        <f>IF(F2081&gt;0,H2081/F2081,"")</f>
        <v/>
      </c>
      <c r="L2081" s="16">
        <f>IF(AND(G2081&gt;0,H2081&gt;0),G2081/H2081,"")</f>
        <v/>
      </c>
    </row>
    <row r="2082">
      <c r="A2082" s="4" t="inlineStr">
        <is>
          <t>217</t>
        </is>
      </c>
      <c r="B2082" s="4" t="n">
        <v>2</v>
      </c>
      <c r="C2082" s="4" t="inlineStr">
        <is>
          <t>elk</t>
        </is>
      </c>
      <c r="D2082" s="4" t="n">
        <v>2024</v>
      </c>
      <c r="E2082" s="15" t="inlineStr">
        <is>
          <t>Draw</t>
        </is>
      </c>
      <c r="F2082" s="5" t="n">
        <v>544</v>
      </c>
      <c r="G2082" s="5" t="n">
        <v>4378</v>
      </c>
      <c r="H2082" s="5" t="n">
        <v>92</v>
      </c>
      <c r="I2082" s="5" t="n">
        <v>47</v>
      </c>
      <c r="J2082" s="5" t="n">
        <v>43</v>
      </c>
      <c r="K2082" s="10">
        <f>IF(F2082&gt;0,H2082/F2082,"")</f>
        <v/>
      </c>
      <c r="L2082" s="16">
        <f>IF(AND(G2082&gt;0,H2082&gt;0),G2082/H2082,"")</f>
        <v/>
      </c>
    </row>
    <row r="2083">
      <c r="A2083" s="4" t="inlineStr">
        <is>
          <t>217</t>
        </is>
      </c>
      <c r="B2083" s="4" t="n">
        <v>2</v>
      </c>
      <c r="C2083" s="4" t="inlineStr">
        <is>
          <t>elk</t>
        </is>
      </c>
      <c r="D2083" s="4" t="n">
        <v>2025</v>
      </c>
      <c r="E2083" s="15" t="inlineStr">
        <is>
          <t>Draw</t>
        </is>
      </c>
      <c r="F2083" s="5" t="n"/>
      <c r="G2083" s="5" t="n"/>
      <c r="H2083" s="5" t="n">
        <v>105</v>
      </c>
      <c r="I2083" s="5" t="n">
        <v>66</v>
      </c>
      <c r="J2083" s="5" t="n">
        <v>39</v>
      </c>
      <c r="K2083" s="10">
        <f>IF(F2083&gt;0,H2083/F2083,"")</f>
        <v/>
      </c>
      <c r="L2083" s="16">
        <f>IF(AND(G2083&gt;0,H2083&gt;0),G2083/H2083,"")</f>
        <v/>
      </c>
    </row>
    <row r="2084">
      <c r="A2084" s="4" t="inlineStr">
        <is>
          <t>240</t>
        </is>
      </c>
      <c r="B2084" s="4" t="n">
        <v>2</v>
      </c>
      <c r="C2084" s="4" t="inlineStr">
        <is>
          <t>elk</t>
        </is>
      </c>
      <c r="D2084" s="4" t="n">
        <v>2004</v>
      </c>
      <c r="E2084" s="13" t="inlineStr">
        <is>
          <t>General</t>
        </is>
      </c>
      <c r="F2084" s="5" t="n">
        <v>1887</v>
      </c>
      <c r="G2084" s="5" t="n">
        <v>11920</v>
      </c>
      <c r="H2084" s="5" t="n">
        <v>285</v>
      </c>
      <c r="I2084" s="5" t="n">
        <v>103</v>
      </c>
      <c r="J2084" s="5" t="n">
        <v>172</v>
      </c>
      <c r="K2084" s="10">
        <f>IF(F2084&gt;0,H2084/F2084,"")</f>
        <v/>
      </c>
      <c r="L2084" s="16">
        <f>IF(AND(G2084&gt;0,H2084&gt;0),G2084/H2084,"")</f>
        <v/>
      </c>
    </row>
    <row r="2085">
      <c r="A2085" s="4" t="inlineStr">
        <is>
          <t>240</t>
        </is>
      </c>
      <c r="B2085" s="4" t="n">
        <v>2</v>
      </c>
      <c r="C2085" s="4" t="inlineStr">
        <is>
          <t>elk</t>
        </is>
      </c>
      <c r="D2085" s="4" t="n">
        <v>2005</v>
      </c>
      <c r="E2085" s="13" t="inlineStr">
        <is>
          <t>General</t>
        </is>
      </c>
      <c r="F2085" s="5" t="n">
        <v>2041</v>
      </c>
      <c r="G2085" s="5" t="n">
        <v>12705</v>
      </c>
      <c r="H2085" s="5" t="n">
        <v>365</v>
      </c>
      <c r="I2085" s="5" t="n">
        <v>131</v>
      </c>
      <c r="J2085" s="5" t="n">
        <v>217</v>
      </c>
      <c r="K2085" s="10">
        <f>IF(F2085&gt;0,H2085/F2085,"")</f>
        <v/>
      </c>
      <c r="L2085" s="16">
        <f>IF(AND(G2085&gt;0,H2085&gt;0),G2085/H2085,"")</f>
        <v/>
      </c>
    </row>
    <row r="2086">
      <c r="A2086" s="4" t="inlineStr">
        <is>
          <t>240</t>
        </is>
      </c>
      <c r="B2086" s="4" t="n">
        <v>2</v>
      </c>
      <c r="C2086" s="4" t="inlineStr">
        <is>
          <t>elk</t>
        </is>
      </c>
      <c r="D2086" s="4" t="n">
        <v>2006</v>
      </c>
      <c r="E2086" s="13" t="inlineStr">
        <is>
          <t>General</t>
        </is>
      </c>
      <c r="F2086" s="5" t="n">
        <v>2189</v>
      </c>
      <c r="G2086" s="5" t="n">
        <v>13810</v>
      </c>
      <c r="H2086" s="5" t="n">
        <v>298</v>
      </c>
      <c r="I2086" s="5" t="n">
        <v>82</v>
      </c>
      <c r="J2086" s="5" t="n">
        <v>184</v>
      </c>
      <c r="K2086" s="10">
        <f>IF(F2086&gt;0,H2086/F2086,"")</f>
        <v/>
      </c>
      <c r="L2086" s="16">
        <f>IF(AND(G2086&gt;0,H2086&gt;0),G2086/H2086,"")</f>
        <v/>
      </c>
    </row>
    <row r="2087">
      <c r="A2087" s="4" t="inlineStr">
        <is>
          <t>240</t>
        </is>
      </c>
      <c r="B2087" s="4" t="n">
        <v>2</v>
      </c>
      <c r="C2087" s="4" t="inlineStr">
        <is>
          <t>elk</t>
        </is>
      </c>
      <c r="D2087" s="4" t="n">
        <v>2007</v>
      </c>
      <c r="E2087" s="13" t="inlineStr">
        <is>
          <t>General</t>
        </is>
      </c>
      <c r="F2087" s="5" t="n">
        <v>1757</v>
      </c>
      <c r="G2087" s="5" t="n">
        <v>12228</v>
      </c>
      <c r="H2087" s="5" t="n">
        <v>235</v>
      </c>
      <c r="I2087" s="5" t="n">
        <v>116</v>
      </c>
      <c r="J2087" s="5" t="n">
        <v>100</v>
      </c>
      <c r="K2087" s="10">
        <f>IF(F2087&gt;0,H2087/F2087,"")</f>
        <v/>
      </c>
      <c r="L2087" s="16">
        <f>IF(AND(G2087&gt;0,H2087&gt;0),G2087/H2087,"")</f>
        <v/>
      </c>
    </row>
    <row r="2088">
      <c r="A2088" s="4" t="inlineStr">
        <is>
          <t>240</t>
        </is>
      </c>
      <c r="B2088" s="4" t="n">
        <v>2</v>
      </c>
      <c r="C2088" s="4" t="inlineStr">
        <is>
          <t>elk</t>
        </is>
      </c>
      <c r="D2088" s="4" t="n">
        <v>2008</v>
      </c>
      <c r="E2088" s="13" t="inlineStr">
        <is>
          <t>General</t>
        </is>
      </c>
      <c r="F2088" s="5" t="n">
        <v>1585</v>
      </c>
      <c r="G2088" s="5" t="n">
        <v>11269</v>
      </c>
      <c r="H2088" s="5" t="n">
        <v>120</v>
      </c>
      <c r="I2088" s="5" t="n">
        <v>55</v>
      </c>
      <c r="J2088" s="5" t="n">
        <v>65</v>
      </c>
      <c r="K2088" s="10">
        <f>IF(F2088&gt;0,H2088/F2088,"")</f>
        <v/>
      </c>
      <c r="L2088" s="16">
        <f>IF(AND(G2088&gt;0,H2088&gt;0),G2088/H2088,"")</f>
        <v/>
      </c>
    </row>
    <row r="2089">
      <c r="A2089" s="4" t="inlineStr">
        <is>
          <t>240</t>
        </is>
      </c>
      <c r="B2089" s="4" t="n">
        <v>2</v>
      </c>
      <c r="C2089" s="4" t="inlineStr">
        <is>
          <t>elk</t>
        </is>
      </c>
      <c r="D2089" s="4" t="n">
        <v>2009</v>
      </c>
      <c r="E2089" s="13" t="inlineStr">
        <is>
          <t>General</t>
        </is>
      </c>
      <c r="F2089" s="5" t="n">
        <v>1487</v>
      </c>
      <c r="G2089" s="5" t="n">
        <v>10208</v>
      </c>
      <c r="H2089" s="5" t="n">
        <v>105</v>
      </c>
      <c r="I2089" s="5" t="n">
        <v>75</v>
      </c>
      <c r="J2089" s="5" t="n">
        <v>27</v>
      </c>
      <c r="K2089" s="10">
        <f>IF(F2089&gt;0,H2089/F2089,"")</f>
        <v/>
      </c>
      <c r="L2089" s="16">
        <f>IF(AND(G2089&gt;0,H2089&gt;0),G2089/H2089,"")</f>
        <v/>
      </c>
    </row>
    <row r="2090">
      <c r="A2090" s="4" t="inlineStr">
        <is>
          <t>240</t>
        </is>
      </c>
      <c r="B2090" s="4" t="n">
        <v>2</v>
      </c>
      <c r="C2090" s="4" t="inlineStr">
        <is>
          <t>elk</t>
        </is>
      </c>
      <c r="D2090" s="4" t="n">
        <v>2010</v>
      </c>
      <c r="E2090" s="13" t="inlineStr">
        <is>
          <t>General</t>
        </is>
      </c>
      <c r="F2090" s="5" t="n">
        <v>1290</v>
      </c>
      <c r="G2090" s="5" t="n">
        <v>8085</v>
      </c>
      <c r="H2090" s="5" t="n">
        <v>114</v>
      </c>
      <c r="I2090" s="5" t="n">
        <v>78</v>
      </c>
      <c r="J2090" s="5" t="n">
        <v>31</v>
      </c>
      <c r="K2090" s="10">
        <f>IF(F2090&gt;0,H2090/F2090,"")</f>
        <v/>
      </c>
      <c r="L2090" s="16">
        <f>IF(AND(G2090&gt;0,H2090&gt;0),G2090/H2090,"")</f>
        <v/>
      </c>
    </row>
    <row r="2091">
      <c r="A2091" s="4" t="inlineStr">
        <is>
          <t>240</t>
        </is>
      </c>
      <c r="B2091" s="4" t="n">
        <v>2</v>
      </c>
      <c r="C2091" s="4" t="inlineStr">
        <is>
          <t>elk</t>
        </is>
      </c>
      <c r="D2091" s="4" t="n">
        <v>2011</v>
      </c>
      <c r="E2091" s="13" t="inlineStr">
        <is>
          <t>General</t>
        </is>
      </c>
      <c r="F2091" s="5" t="n">
        <v>1377</v>
      </c>
      <c r="G2091" s="5" t="n">
        <v>9168</v>
      </c>
      <c r="H2091" s="5" t="n">
        <v>109</v>
      </c>
      <c r="I2091" s="5" t="n">
        <v>59</v>
      </c>
      <c r="J2091" s="5" t="n">
        <v>50</v>
      </c>
      <c r="K2091" s="10">
        <f>IF(F2091&gt;0,H2091/F2091,"")</f>
        <v/>
      </c>
      <c r="L2091" s="16">
        <f>IF(AND(G2091&gt;0,H2091&gt;0),G2091/H2091,"")</f>
        <v/>
      </c>
    </row>
    <row r="2092">
      <c r="A2092" s="4" t="inlineStr">
        <is>
          <t>240</t>
        </is>
      </c>
      <c r="B2092" s="4" t="n">
        <v>2</v>
      </c>
      <c r="C2092" s="4" t="inlineStr">
        <is>
          <t>elk</t>
        </is>
      </c>
      <c r="D2092" s="4" t="n">
        <v>2012</v>
      </c>
      <c r="E2092" s="13" t="inlineStr">
        <is>
          <t>General</t>
        </is>
      </c>
      <c r="F2092" s="5" t="n">
        <v>1213</v>
      </c>
      <c r="G2092" s="5" t="n">
        <v>7774</v>
      </c>
      <c r="H2092" s="5" t="n">
        <v>102</v>
      </c>
      <c r="I2092" s="5" t="n">
        <v>61</v>
      </c>
      <c r="J2092" s="5" t="n">
        <v>38</v>
      </c>
      <c r="K2092" s="10">
        <f>IF(F2092&gt;0,H2092/F2092,"")</f>
        <v/>
      </c>
      <c r="L2092" s="16">
        <f>IF(AND(G2092&gt;0,H2092&gt;0),G2092/H2092,"")</f>
        <v/>
      </c>
    </row>
    <row r="2093">
      <c r="A2093" s="4" t="inlineStr">
        <is>
          <t>240</t>
        </is>
      </c>
      <c r="B2093" s="4" t="n">
        <v>2</v>
      </c>
      <c r="C2093" s="4" t="inlineStr">
        <is>
          <t>elk</t>
        </is>
      </c>
      <c r="D2093" s="4" t="n">
        <v>2013</v>
      </c>
      <c r="E2093" s="13" t="inlineStr">
        <is>
          <t>General</t>
        </is>
      </c>
      <c r="F2093" s="5" t="n"/>
      <c r="G2093" s="5" t="n"/>
      <c r="H2093" s="5" t="n">
        <v>86</v>
      </c>
      <c r="I2093" s="5" t="n">
        <v>48</v>
      </c>
      <c r="J2093" s="5" t="n">
        <v>34</v>
      </c>
      <c r="K2093" s="10">
        <f>IF(F2093&gt;0,H2093/F2093,"")</f>
        <v/>
      </c>
      <c r="L2093" s="16">
        <f>IF(AND(G2093&gt;0,H2093&gt;0),G2093/H2093,"")</f>
        <v/>
      </c>
    </row>
    <row r="2094">
      <c r="A2094" s="4" t="inlineStr">
        <is>
          <t>240</t>
        </is>
      </c>
      <c r="B2094" s="4" t="n">
        <v>2</v>
      </c>
      <c r="C2094" s="4" t="inlineStr">
        <is>
          <t>elk</t>
        </is>
      </c>
      <c r="D2094" s="4" t="n">
        <v>2014</v>
      </c>
      <c r="E2094" s="13" t="inlineStr">
        <is>
          <t>General</t>
        </is>
      </c>
      <c r="F2094" s="5" t="n">
        <v>1289</v>
      </c>
      <c r="G2094" s="5" t="n">
        <v>8420</v>
      </c>
      <c r="H2094" s="5" t="n">
        <v>204</v>
      </c>
      <c r="I2094" s="5" t="n">
        <v>110</v>
      </c>
      <c r="J2094" s="5" t="n">
        <v>85</v>
      </c>
      <c r="K2094" s="10">
        <f>IF(F2094&gt;0,H2094/F2094,"")</f>
        <v/>
      </c>
      <c r="L2094" s="16">
        <f>IF(AND(G2094&gt;0,H2094&gt;0),G2094/H2094,"")</f>
        <v/>
      </c>
    </row>
    <row r="2095">
      <c r="A2095" s="4" t="inlineStr">
        <is>
          <t>240</t>
        </is>
      </c>
      <c r="B2095" s="4" t="n">
        <v>2</v>
      </c>
      <c r="C2095" s="4" t="inlineStr">
        <is>
          <t>elk</t>
        </is>
      </c>
      <c r="D2095" s="4" t="n">
        <v>2015</v>
      </c>
      <c r="E2095" s="13" t="inlineStr">
        <is>
          <t>General</t>
        </is>
      </c>
      <c r="F2095" s="5" t="n">
        <v>1365</v>
      </c>
      <c r="G2095" s="5" t="n">
        <v>9639</v>
      </c>
      <c r="H2095" s="5" t="n">
        <v>150</v>
      </c>
      <c r="I2095" s="5" t="n">
        <v>60</v>
      </c>
      <c r="J2095" s="5" t="n">
        <v>88</v>
      </c>
      <c r="K2095" s="10">
        <f>IF(F2095&gt;0,H2095/F2095,"")</f>
        <v/>
      </c>
      <c r="L2095" s="16">
        <f>IF(AND(G2095&gt;0,H2095&gt;0),G2095/H2095,"")</f>
        <v/>
      </c>
    </row>
    <row r="2096">
      <c r="A2096" s="4" t="inlineStr">
        <is>
          <t>240</t>
        </is>
      </c>
      <c r="B2096" s="4" t="n">
        <v>2</v>
      </c>
      <c r="C2096" s="4" t="inlineStr">
        <is>
          <t>elk</t>
        </is>
      </c>
      <c r="D2096" s="4" t="n">
        <v>2016</v>
      </c>
      <c r="E2096" s="13" t="inlineStr">
        <is>
          <t>General</t>
        </is>
      </c>
      <c r="F2096" s="5" t="n">
        <v>1653</v>
      </c>
      <c r="G2096" s="5" t="n">
        <v>12506</v>
      </c>
      <c r="H2096" s="5" t="n">
        <v>169</v>
      </c>
      <c r="I2096" s="5" t="n">
        <v>74</v>
      </c>
      <c r="J2096" s="5" t="n">
        <v>92</v>
      </c>
      <c r="K2096" s="10">
        <f>IF(F2096&gt;0,H2096/F2096,"")</f>
        <v/>
      </c>
      <c r="L2096" s="16">
        <f>IF(AND(G2096&gt;0,H2096&gt;0),G2096/H2096,"")</f>
        <v/>
      </c>
    </row>
    <row r="2097">
      <c r="A2097" s="4" t="inlineStr">
        <is>
          <t>240</t>
        </is>
      </c>
      <c r="B2097" s="4" t="n">
        <v>2</v>
      </c>
      <c r="C2097" s="4" t="inlineStr">
        <is>
          <t>elk</t>
        </is>
      </c>
      <c r="D2097" s="4" t="n">
        <v>2017</v>
      </c>
      <c r="E2097" s="13" t="inlineStr">
        <is>
          <t>General</t>
        </is>
      </c>
      <c r="F2097" s="5" t="n"/>
      <c r="G2097" s="5" t="n"/>
      <c r="H2097" s="5" t="n">
        <v>234</v>
      </c>
      <c r="I2097" s="5" t="n">
        <v>99</v>
      </c>
      <c r="J2097" s="5" t="n">
        <v>132</v>
      </c>
      <c r="K2097" s="10">
        <f>IF(F2097&gt;0,H2097/F2097,"")</f>
        <v/>
      </c>
      <c r="L2097" s="16">
        <f>IF(AND(G2097&gt;0,H2097&gt;0),G2097/H2097,"")</f>
        <v/>
      </c>
    </row>
    <row r="2098">
      <c r="A2098" s="4" t="inlineStr">
        <is>
          <t>240</t>
        </is>
      </c>
      <c r="B2098" s="4" t="n">
        <v>2</v>
      </c>
      <c r="C2098" s="4" t="inlineStr">
        <is>
          <t>elk</t>
        </is>
      </c>
      <c r="D2098" s="4" t="n">
        <v>2018</v>
      </c>
      <c r="E2098" s="13" t="inlineStr">
        <is>
          <t>General</t>
        </is>
      </c>
      <c r="F2098" s="5" t="n">
        <v>1654</v>
      </c>
      <c r="G2098" s="5" t="n">
        <v>12110</v>
      </c>
      <c r="H2098" s="5" t="n">
        <v>254</v>
      </c>
      <c r="I2098" s="5" t="n">
        <v>71</v>
      </c>
      <c r="J2098" s="5" t="n">
        <v>181</v>
      </c>
      <c r="K2098" s="10">
        <f>IF(F2098&gt;0,H2098/F2098,"")</f>
        <v/>
      </c>
      <c r="L2098" s="16">
        <f>IF(AND(G2098&gt;0,H2098&gt;0),G2098/H2098,"")</f>
        <v/>
      </c>
    </row>
    <row r="2099">
      <c r="A2099" s="4" t="inlineStr">
        <is>
          <t>240</t>
        </is>
      </c>
      <c r="B2099" s="4" t="n">
        <v>2</v>
      </c>
      <c r="C2099" s="4" t="inlineStr">
        <is>
          <t>elk</t>
        </is>
      </c>
      <c r="D2099" s="4" t="n">
        <v>2019</v>
      </c>
      <c r="E2099" s="13" t="inlineStr">
        <is>
          <t>General</t>
        </is>
      </c>
      <c r="F2099" s="5" t="n"/>
      <c r="G2099" s="5" t="n"/>
      <c r="H2099" s="5" t="n">
        <v>227</v>
      </c>
      <c r="I2099" s="5" t="n">
        <v>100</v>
      </c>
      <c r="J2099" s="5" t="n">
        <v>127</v>
      </c>
      <c r="K2099" s="10">
        <f>IF(F2099&gt;0,H2099/F2099,"")</f>
        <v/>
      </c>
      <c r="L2099" s="16">
        <f>IF(AND(G2099&gt;0,H2099&gt;0),G2099/H2099,"")</f>
        <v/>
      </c>
    </row>
    <row r="2100">
      <c r="A2100" s="4" t="inlineStr">
        <is>
          <t>240</t>
        </is>
      </c>
      <c r="B2100" s="4" t="n">
        <v>2</v>
      </c>
      <c r="C2100" s="4" t="inlineStr">
        <is>
          <t>elk</t>
        </is>
      </c>
      <c r="D2100" s="4" t="n">
        <v>2020</v>
      </c>
      <c r="E2100" s="13" t="inlineStr">
        <is>
          <t>General</t>
        </is>
      </c>
      <c r="F2100" s="5" t="n">
        <v>1316</v>
      </c>
      <c r="G2100" s="5" t="n">
        <v>9497</v>
      </c>
      <c r="H2100" s="5" t="n">
        <v>288</v>
      </c>
      <c r="I2100" s="5" t="n">
        <v>140</v>
      </c>
      <c r="J2100" s="5" t="n">
        <v>142</v>
      </c>
      <c r="K2100" s="10">
        <f>IF(F2100&gt;0,H2100/F2100,"")</f>
        <v/>
      </c>
      <c r="L2100" s="16">
        <f>IF(AND(G2100&gt;0,H2100&gt;0),G2100/H2100,"")</f>
        <v/>
      </c>
    </row>
    <row r="2101">
      <c r="A2101" s="4" t="inlineStr">
        <is>
          <t>240</t>
        </is>
      </c>
      <c r="B2101" s="4" t="n">
        <v>2</v>
      </c>
      <c r="C2101" s="4" t="inlineStr">
        <is>
          <t>elk</t>
        </is>
      </c>
      <c r="D2101" s="4" t="n">
        <v>2021</v>
      </c>
      <c r="E2101" s="13" t="inlineStr">
        <is>
          <t>General</t>
        </is>
      </c>
      <c r="F2101" s="5" t="n"/>
      <c r="G2101" s="5" t="n"/>
      <c r="H2101" s="5" t="n">
        <v>207</v>
      </c>
      <c r="I2101" s="5" t="n">
        <v>82</v>
      </c>
      <c r="J2101" s="5" t="n">
        <v>124</v>
      </c>
      <c r="K2101" s="10">
        <f>IF(F2101&gt;0,H2101/F2101,"")</f>
        <v/>
      </c>
      <c r="L2101" s="16">
        <f>IF(AND(G2101&gt;0,H2101&gt;0),G2101/H2101,"")</f>
        <v/>
      </c>
    </row>
    <row r="2102">
      <c r="A2102" s="4" t="inlineStr">
        <is>
          <t>240</t>
        </is>
      </c>
      <c r="B2102" s="4" t="n">
        <v>2</v>
      </c>
      <c r="C2102" s="4" t="inlineStr">
        <is>
          <t>elk</t>
        </is>
      </c>
      <c r="D2102" s="4" t="n">
        <v>2022</v>
      </c>
      <c r="E2102" s="13" t="inlineStr">
        <is>
          <t>General</t>
        </is>
      </c>
      <c r="F2102" s="5" t="n">
        <v>1266</v>
      </c>
      <c r="G2102" s="5" t="n">
        <v>9421</v>
      </c>
      <c r="H2102" s="5" t="n">
        <v>203</v>
      </c>
      <c r="I2102" s="5" t="n">
        <v>104</v>
      </c>
      <c r="J2102" s="5" t="n">
        <v>99</v>
      </c>
      <c r="K2102" s="10">
        <f>IF(F2102&gt;0,H2102/F2102,"")</f>
        <v/>
      </c>
      <c r="L2102" s="16">
        <f>IF(AND(G2102&gt;0,H2102&gt;0),G2102/H2102,"")</f>
        <v/>
      </c>
    </row>
    <row r="2103">
      <c r="A2103" s="4" t="inlineStr">
        <is>
          <t>240</t>
        </is>
      </c>
      <c r="B2103" s="4" t="n">
        <v>2</v>
      </c>
      <c r="C2103" s="4" t="inlineStr">
        <is>
          <t>elk</t>
        </is>
      </c>
      <c r="D2103" s="4" t="n">
        <v>2023</v>
      </c>
      <c r="E2103" s="13" t="inlineStr">
        <is>
          <t>General</t>
        </is>
      </c>
      <c r="F2103" s="5" t="n"/>
      <c r="G2103" s="5" t="n"/>
      <c r="H2103" s="5" t="n">
        <v>136</v>
      </c>
      <c r="I2103" s="5" t="n">
        <v>89</v>
      </c>
      <c r="J2103" s="5" t="n">
        <v>43</v>
      </c>
      <c r="K2103" s="10">
        <f>IF(F2103&gt;0,H2103/F2103,"")</f>
        <v/>
      </c>
      <c r="L2103" s="16">
        <f>IF(AND(G2103&gt;0,H2103&gt;0),G2103/H2103,"")</f>
        <v/>
      </c>
    </row>
    <row r="2104">
      <c r="A2104" s="4" t="inlineStr">
        <is>
          <t>240</t>
        </is>
      </c>
      <c r="B2104" s="4" t="n">
        <v>2</v>
      </c>
      <c r="C2104" s="4" t="inlineStr">
        <is>
          <t>elk</t>
        </is>
      </c>
      <c r="D2104" s="4" t="n">
        <v>2024</v>
      </c>
      <c r="E2104" s="13" t="inlineStr">
        <is>
          <t>General</t>
        </is>
      </c>
      <c r="F2104" s="5" t="n">
        <v>1209</v>
      </c>
      <c r="G2104" s="5" t="n">
        <v>8811</v>
      </c>
      <c r="H2104" s="5" t="n">
        <v>120</v>
      </c>
      <c r="I2104" s="5" t="n">
        <v>68</v>
      </c>
      <c r="J2104" s="5" t="n">
        <v>47</v>
      </c>
      <c r="K2104" s="10">
        <f>IF(F2104&gt;0,H2104/F2104,"")</f>
        <v/>
      </c>
      <c r="L2104" s="16">
        <f>IF(AND(G2104&gt;0,H2104&gt;0),G2104/H2104,"")</f>
        <v/>
      </c>
    </row>
    <row r="2105">
      <c r="A2105" s="4" t="inlineStr">
        <is>
          <t>240</t>
        </is>
      </c>
      <c r="B2105" s="4" t="n">
        <v>2</v>
      </c>
      <c r="C2105" s="4" t="inlineStr">
        <is>
          <t>elk</t>
        </is>
      </c>
      <c r="D2105" s="4" t="n">
        <v>2025</v>
      </c>
      <c r="E2105" s="13" t="inlineStr">
        <is>
          <t>General</t>
        </is>
      </c>
      <c r="F2105" s="5" t="n"/>
      <c r="G2105" s="5" t="n"/>
      <c r="H2105" s="5" t="n">
        <v>136</v>
      </c>
      <c r="I2105" s="5" t="n">
        <v>68</v>
      </c>
      <c r="J2105" s="5" t="n">
        <v>69</v>
      </c>
      <c r="K2105" s="10">
        <f>IF(F2105&gt;0,H2105/F2105,"")</f>
        <v/>
      </c>
      <c r="L2105" s="16">
        <f>IF(AND(G2105&gt;0,H2105&gt;0),G2105/H2105,"")</f>
        <v/>
      </c>
    </row>
    <row r="2106">
      <c r="A2106" s="4" t="inlineStr">
        <is>
          <t>250</t>
        </is>
      </c>
      <c r="B2106" s="4" t="n">
        <v>2</v>
      </c>
      <c r="C2106" s="4" t="inlineStr">
        <is>
          <t>elk</t>
        </is>
      </c>
      <c r="D2106" s="4" t="n">
        <v>2004</v>
      </c>
      <c r="E2106" s="15" t="inlineStr">
        <is>
          <t>Draw</t>
        </is>
      </c>
      <c r="F2106" s="5" t="n">
        <v>2108</v>
      </c>
      <c r="G2106" s="5" t="n">
        <v>14652</v>
      </c>
      <c r="H2106" s="5" t="n">
        <v>380</v>
      </c>
      <c r="I2106" s="5" t="n">
        <v>100</v>
      </c>
      <c r="J2106" s="5" t="n">
        <v>252</v>
      </c>
      <c r="K2106" s="10">
        <f>IF(F2106&gt;0,H2106/F2106,"")</f>
        <v/>
      </c>
      <c r="L2106" s="16">
        <f>IF(AND(G2106&gt;0,H2106&gt;0),G2106/H2106,"")</f>
        <v/>
      </c>
    </row>
    <row r="2107">
      <c r="A2107" s="4" t="inlineStr">
        <is>
          <t>250</t>
        </is>
      </c>
      <c r="B2107" s="4" t="n">
        <v>2</v>
      </c>
      <c r="C2107" s="4" t="inlineStr">
        <is>
          <t>elk</t>
        </is>
      </c>
      <c r="D2107" s="4" t="n">
        <v>2005</v>
      </c>
      <c r="E2107" s="15" t="inlineStr">
        <is>
          <t>Draw</t>
        </is>
      </c>
      <c r="F2107" s="5" t="n">
        <v>2163</v>
      </c>
      <c r="G2107" s="5" t="n">
        <v>14867</v>
      </c>
      <c r="H2107" s="5" t="n">
        <v>357</v>
      </c>
      <c r="I2107" s="5" t="n">
        <v>127</v>
      </c>
      <c r="J2107" s="5" t="n">
        <v>209</v>
      </c>
      <c r="K2107" s="10">
        <f>IF(F2107&gt;0,H2107/F2107,"")</f>
        <v/>
      </c>
      <c r="L2107" s="16">
        <f>IF(AND(G2107&gt;0,H2107&gt;0),G2107/H2107,"")</f>
        <v/>
      </c>
    </row>
    <row r="2108">
      <c r="A2108" s="4" t="inlineStr">
        <is>
          <t>250</t>
        </is>
      </c>
      <c r="B2108" s="4" t="n">
        <v>2</v>
      </c>
      <c r="C2108" s="4" t="inlineStr">
        <is>
          <t>elk</t>
        </is>
      </c>
      <c r="D2108" s="4" t="n">
        <v>2006</v>
      </c>
      <c r="E2108" s="15" t="inlineStr">
        <is>
          <t>Draw</t>
        </is>
      </c>
      <c r="F2108" s="5" t="n">
        <v>1938</v>
      </c>
      <c r="G2108" s="5" t="n">
        <v>13216</v>
      </c>
      <c r="H2108" s="5" t="n">
        <v>283</v>
      </c>
      <c r="I2108" s="5" t="n">
        <v>85</v>
      </c>
      <c r="J2108" s="5" t="n">
        <v>183</v>
      </c>
      <c r="K2108" s="10">
        <f>IF(F2108&gt;0,H2108/F2108,"")</f>
        <v/>
      </c>
      <c r="L2108" s="16">
        <f>IF(AND(G2108&gt;0,H2108&gt;0),G2108/H2108,"")</f>
        <v/>
      </c>
    </row>
    <row r="2109">
      <c r="A2109" s="4" t="inlineStr">
        <is>
          <t>250</t>
        </is>
      </c>
      <c r="B2109" s="4" t="n">
        <v>2</v>
      </c>
      <c r="C2109" s="4" t="inlineStr">
        <is>
          <t>elk</t>
        </is>
      </c>
      <c r="D2109" s="4" t="n">
        <v>2007</v>
      </c>
      <c r="E2109" s="15" t="inlineStr">
        <is>
          <t>Draw</t>
        </is>
      </c>
      <c r="F2109" s="5" t="n">
        <v>1806</v>
      </c>
      <c r="G2109" s="5" t="n">
        <v>13790</v>
      </c>
      <c r="H2109" s="5" t="n">
        <v>233</v>
      </c>
      <c r="I2109" s="5" t="n">
        <v>100</v>
      </c>
      <c r="J2109" s="5" t="n">
        <v>118</v>
      </c>
      <c r="K2109" s="10">
        <f>IF(F2109&gt;0,H2109/F2109,"")</f>
        <v/>
      </c>
      <c r="L2109" s="16">
        <f>IF(AND(G2109&gt;0,H2109&gt;0),G2109/H2109,"")</f>
        <v/>
      </c>
    </row>
    <row r="2110">
      <c r="A2110" s="4" t="inlineStr">
        <is>
          <t>250</t>
        </is>
      </c>
      <c r="B2110" s="4" t="n">
        <v>2</v>
      </c>
      <c r="C2110" s="4" t="inlineStr">
        <is>
          <t>elk</t>
        </is>
      </c>
      <c r="D2110" s="4" t="n">
        <v>2008</v>
      </c>
      <c r="E2110" s="15" t="inlineStr">
        <is>
          <t>Draw</t>
        </is>
      </c>
      <c r="F2110" s="5" t="n">
        <v>1306</v>
      </c>
      <c r="G2110" s="5" t="n">
        <v>9870</v>
      </c>
      <c r="H2110" s="5" t="n">
        <v>136</v>
      </c>
      <c r="I2110" s="5" t="n">
        <v>63</v>
      </c>
      <c r="J2110" s="5" t="n">
        <v>65</v>
      </c>
      <c r="K2110" s="10">
        <f>IF(F2110&gt;0,H2110/F2110,"")</f>
        <v/>
      </c>
      <c r="L2110" s="16">
        <f>IF(AND(G2110&gt;0,H2110&gt;0),G2110/H2110,"")</f>
        <v/>
      </c>
    </row>
    <row r="2111">
      <c r="A2111" s="4" t="inlineStr">
        <is>
          <t>250</t>
        </is>
      </c>
      <c r="B2111" s="4" t="n">
        <v>2</v>
      </c>
      <c r="C2111" s="4" t="inlineStr">
        <is>
          <t>elk</t>
        </is>
      </c>
      <c r="D2111" s="4" t="n">
        <v>2009</v>
      </c>
      <c r="E2111" s="15" t="inlineStr">
        <is>
          <t>Draw</t>
        </is>
      </c>
      <c r="F2111" s="5" t="n">
        <v>1268</v>
      </c>
      <c r="G2111" s="5" t="n">
        <v>9986</v>
      </c>
      <c r="H2111" s="5" t="n">
        <v>122</v>
      </c>
      <c r="I2111" s="5" t="n">
        <v>70</v>
      </c>
      <c r="J2111" s="5" t="n">
        <v>49</v>
      </c>
      <c r="K2111" s="10">
        <f>IF(F2111&gt;0,H2111/F2111,"")</f>
        <v/>
      </c>
      <c r="L2111" s="16">
        <f>IF(AND(G2111&gt;0,H2111&gt;0),G2111/H2111,"")</f>
        <v/>
      </c>
    </row>
    <row r="2112">
      <c r="A2112" s="4" t="inlineStr">
        <is>
          <t>250</t>
        </is>
      </c>
      <c r="B2112" s="4" t="n">
        <v>2</v>
      </c>
      <c r="C2112" s="4" t="inlineStr">
        <is>
          <t>elk</t>
        </is>
      </c>
      <c r="D2112" s="4" t="n">
        <v>2010</v>
      </c>
      <c r="E2112" s="15" t="inlineStr">
        <is>
          <t>Draw</t>
        </is>
      </c>
      <c r="F2112" s="5" t="n">
        <v>721</v>
      </c>
      <c r="G2112" s="5" t="n">
        <v>5186</v>
      </c>
      <c r="H2112" s="5" t="n">
        <v>67</v>
      </c>
      <c r="I2112" s="5" t="n">
        <v>56</v>
      </c>
      <c r="J2112" s="5" t="n">
        <v>9</v>
      </c>
      <c r="K2112" s="10">
        <f>IF(F2112&gt;0,H2112/F2112,"")</f>
        <v/>
      </c>
      <c r="L2112" s="16">
        <f>IF(AND(G2112&gt;0,H2112&gt;0),G2112/H2112,"")</f>
        <v/>
      </c>
    </row>
    <row r="2113">
      <c r="A2113" s="4" t="inlineStr">
        <is>
          <t>250</t>
        </is>
      </c>
      <c r="B2113" s="4" t="n">
        <v>2</v>
      </c>
      <c r="C2113" s="4" t="inlineStr">
        <is>
          <t>elk</t>
        </is>
      </c>
      <c r="D2113" s="4" t="n">
        <v>2011</v>
      </c>
      <c r="E2113" s="15" t="inlineStr">
        <is>
          <t>Draw</t>
        </is>
      </c>
      <c r="F2113" s="5" t="n">
        <v>262</v>
      </c>
      <c r="G2113" s="5" t="n">
        <v>1623</v>
      </c>
      <c r="H2113" s="5" t="n">
        <v>27</v>
      </c>
      <c r="I2113" s="5" t="n">
        <v>22</v>
      </c>
      <c r="J2113" s="5" t="n">
        <v>5</v>
      </c>
      <c r="K2113" s="10">
        <f>IF(F2113&gt;0,H2113/F2113,"")</f>
        <v/>
      </c>
      <c r="L2113" s="16">
        <f>IF(AND(G2113&gt;0,H2113&gt;0),G2113/H2113,"")</f>
        <v/>
      </c>
    </row>
    <row r="2114">
      <c r="A2114" s="4" t="inlineStr">
        <is>
          <t>250</t>
        </is>
      </c>
      <c r="B2114" s="4" t="n">
        <v>2</v>
      </c>
      <c r="C2114" s="4" t="inlineStr">
        <is>
          <t>elk</t>
        </is>
      </c>
      <c r="D2114" s="4" t="n">
        <v>2012</v>
      </c>
      <c r="E2114" s="15" t="inlineStr">
        <is>
          <t>Draw</t>
        </is>
      </c>
      <c r="F2114" s="5" t="n">
        <v>147</v>
      </c>
      <c r="G2114" s="5" t="n">
        <v>901</v>
      </c>
      <c r="H2114" s="5" t="n">
        <v>25</v>
      </c>
      <c r="I2114" s="5" t="n">
        <v>18</v>
      </c>
      <c r="J2114" s="5" t="n">
        <v>7</v>
      </c>
      <c r="K2114" s="10">
        <f>IF(F2114&gt;0,H2114/F2114,"")</f>
        <v/>
      </c>
      <c r="L2114" s="16">
        <f>IF(AND(G2114&gt;0,H2114&gt;0),G2114/H2114,"")</f>
        <v/>
      </c>
    </row>
    <row r="2115">
      <c r="A2115" s="4" t="inlineStr">
        <is>
          <t>250</t>
        </is>
      </c>
      <c r="B2115" s="4" t="n">
        <v>2</v>
      </c>
      <c r="C2115" s="4" t="inlineStr">
        <is>
          <t>elk</t>
        </is>
      </c>
      <c r="D2115" s="4" t="n">
        <v>2013</v>
      </c>
      <c r="E2115" s="15" t="inlineStr">
        <is>
          <t>Draw</t>
        </is>
      </c>
      <c r="F2115" s="5" t="n"/>
      <c r="G2115" s="5" t="n"/>
      <c r="H2115" s="5" t="n">
        <v>32</v>
      </c>
      <c r="I2115" s="5" t="n">
        <v>23</v>
      </c>
      <c r="J2115" s="5" t="n">
        <v>9</v>
      </c>
      <c r="K2115" s="10">
        <f>IF(F2115&gt;0,H2115/F2115,"")</f>
        <v/>
      </c>
      <c r="L2115" s="16">
        <f>IF(AND(G2115&gt;0,H2115&gt;0),G2115/H2115,"")</f>
        <v/>
      </c>
    </row>
    <row r="2116">
      <c r="A2116" s="4" t="inlineStr">
        <is>
          <t>250</t>
        </is>
      </c>
      <c r="B2116" s="4" t="n">
        <v>2</v>
      </c>
      <c r="C2116" s="4" t="inlineStr">
        <is>
          <t>elk</t>
        </is>
      </c>
      <c r="D2116" s="4" t="n">
        <v>2014</v>
      </c>
      <c r="E2116" s="15" t="inlineStr">
        <is>
          <t>Draw</t>
        </is>
      </c>
      <c r="F2116" s="5" t="n">
        <v>132</v>
      </c>
      <c r="G2116" s="5" t="n">
        <v>790</v>
      </c>
      <c r="H2116" s="5" t="n">
        <v>22</v>
      </c>
      <c r="I2116" s="5" t="n">
        <v>22</v>
      </c>
      <c r="J2116" s="5" t="n">
        <v>0</v>
      </c>
      <c r="K2116" s="10">
        <f>IF(F2116&gt;0,H2116/F2116,"")</f>
        <v/>
      </c>
      <c r="L2116" s="16">
        <f>IF(AND(G2116&gt;0,H2116&gt;0),G2116/H2116,"")</f>
        <v/>
      </c>
    </row>
    <row r="2117">
      <c r="A2117" s="4" t="inlineStr">
        <is>
          <t>250</t>
        </is>
      </c>
      <c r="B2117" s="4" t="n">
        <v>2</v>
      </c>
      <c r="C2117" s="4" t="inlineStr">
        <is>
          <t>elk</t>
        </is>
      </c>
      <c r="D2117" s="4" t="n">
        <v>2015</v>
      </c>
      <c r="E2117" s="15" t="inlineStr">
        <is>
          <t>Draw</t>
        </is>
      </c>
      <c r="F2117" s="5" t="n">
        <v>113</v>
      </c>
      <c r="G2117" s="5" t="n">
        <v>1125</v>
      </c>
      <c r="H2117" s="5" t="n">
        <v>26</v>
      </c>
      <c r="I2117" s="5" t="n">
        <v>20</v>
      </c>
      <c r="J2117" s="5" t="n">
        <v>6</v>
      </c>
      <c r="K2117" s="10">
        <f>IF(F2117&gt;0,H2117/F2117,"")</f>
        <v/>
      </c>
      <c r="L2117" s="16">
        <f>IF(AND(G2117&gt;0,H2117&gt;0),G2117/H2117,"")</f>
        <v/>
      </c>
    </row>
    <row r="2118">
      <c r="A2118" s="4" t="inlineStr">
        <is>
          <t>250</t>
        </is>
      </c>
      <c r="B2118" s="4" t="n">
        <v>2</v>
      </c>
      <c r="C2118" s="4" t="inlineStr">
        <is>
          <t>elk</t>
        </is>
      </c>
      <c r="D2118" s="4" t="n">
        <v>2016</v>
      </c>
      <c r="E2118" s="15" t="inlineStr">
        <is>
          <t>Draw</t>
        </is>
      </c>
      <c r="F2118" s="5" t="n">
        <v>128</v>
      </c>
      <c r="G2118" s="5" t="n">
        <v>1450</v>
      </c>
      <c r="H2118" s="5" t="n">
        <v>32</v>
      </c>
      <c r="I2118" s="5" t="n">
        <v>29</v>
      </c>
      <c r="J2118" s="5" t="n">
        <v>3</v>
      </c>
      <c r="K2118" s="10">
        <f>IF(F2118&gt;0,H2118/F2118,"")</f>
        <v/>
      </c>
      <c r="L2118" s="16">
        <f>IF(AND(G2118&gt;0,H2118&gt;0),G2118/H2118,"")</f>
        <v/>
      </c>
    </row>
    <row r="2119">
      <c r="A2119" s="4" t="inlineStr">
        <is>
          <t>250</t>
        </is>
      </c>
      <c r="B2119" s="4" t="n">
        <v>2</v>
      </c>
      <c r="C2119" s="4" t="inlineStr">
        <is>
          <t>elk</t>
        </is>
      </c>
      <c r="D2119" s="4" t="n">
        <v>2017</v>
      </c>
      <c r="E2119" s="15" t="inlineStr">
        <is>
          <t>Draw</t>
        </is>
      </c>
      <c r="F2119" s="5" t="n"/>
      <c r="G2119" s="5" t="n"/>
      <c r="H2119" s="5" t="n">
        <v>27</v>
      </c>
      <c r="I2119" s="5" t="n">
        <v>27</v>
      </c>
      <c r="J2119" s="5" t="n">
        <v>0</v>
      </c>
      <c r="K2119" s="10">
        <f>IF(F2119&gt;0,H2119/F2119,"")</f>
        <v/>
      </c>
      <c r="L2119" s="16">
        <f>IF(AND(G2119&gt;0,H2119&gt;0),G2119/H2119,"")</f>
        <v/>
      </c>
    </row>
    <row r="2120">
      <c r="A2120" s="4" t="inlineStr">
        <is>
          <t>250</t>
        </is>
      </c>
      <c r="B2120" s="4" t="n">
        <v>2</v>
      </c>
      <c r="C2120" s="4" t="inlineStr">
        <is>
          <t>elk</t>
        </is>
      </c>
      <c r="D2120" s="4" t="n">
        <v>2018</v>
      </c>
      <c r="E2120" s="15" t="inlineStr">
        <is>
          <t>Draw</t>
        </is>
      </c>
      <c r="F2120" s="5" t="n">
        <v>147</v>
      </c>
      <c r="G2120" s="5" t="n">
        <v>1336</v>
      </c>
      <c r="H2120" s="5" t="n">
        <v>33</v>
      </c>
      <c r="I2120" s="5" t="n">
        <v>31</v>
      </c>
      <c r="J2120" s="5" t="n">
        <v>2</v>
      </c>
      <c r="K2120" s="10">
        <f>IF(F2120&gt;0,H2120/F2120,"")</f>
        <v/>
      </c>
      <c r="L2120" s="16">
        <f>IF(AND(G2120&gt;0,H2120&gt;0),G2120/H2120,"")</f>
        <v/>
      </c>
    </row>
    <row r="2121">
      <c r="A2121" s="4" t="inlineStr">
        <is>
          <t>250</t>
        </is>
      </c>
      <c r="B2121" s="4" t="n">
        <v>2</v>
      </c>
      <c r="C2121" s="4" t="inlineStr">
        <is>
          <t>elk</t>
        </is>
      </c>
      <c r="D2121" s="4" t="n">
        <v>2019</v>
      </c>
      <c r="E2121" s="15" t="inlineStr">
        <is>
          <t>Draw</t>
        </is>
      </c>
      <c r="F2121" s="5" t="n"/>
      <c r="G2121" s="5" t="n"/>
      <c r="H2121" s="5" t="n">
        <v>46</v>
      </c>
      <c r="I2121" s="5" t="n">
        <v>32</v>
      </c>
      <c r="J2121" s="5" t="n">
        <v>14</v>
      </c>
      <c r="K2121" s="10">
        <f>IF(F2121&gt;0,H2121/F2121,"")</f>
        <v/>
      </c>
      <c r="L2121" s="16">
        <f>IF(AND(G2121&gt;0,H2121&gt;0),G2121/H2121,"")</f>
        <v/>
      </c>
    </row>
    <row r="2122">
      <c r="A2122" s="4" t="inlineStr">
        <is>
          <t>250</t>
        </is>
      </c>
      <c r="B2122" s="4" t="n">
        <v>2</v>
      </c>
      <c r="C2122" s="4" t="inlineStr">
        <is>
          <t>elk</t>
        </is>
      </c>
      <c r="D2122" s="4" t="n">
        <v>2020</v>
      </c>
      <c r="E2122" s="15" t="inlineStr">
        <is>
          <t>Draw</t>
        </is>
      </c>
      <c r="F2122" s="5" t="n">
        <v>136</v>
      </c>
      <c r="G2122" s="5" t="n">
        <v>1355</v>
      </c>
      <c r="H2122" s="5" t="n">
        <v>39</v>
      </c>
      <c r="I2122" s="5" t="n">
        <v>35</v>
      </c>
      <c r="J2122" s="5" t="n">
        <v>4</v>
      </c>
      <c r="K2122" s="10">
        <f>IF(F2122&gt;0,H2122/F2122,"")</f>
        <v/>
      </c>
      <c r="L2122" s="16">
        <f>IF(AND(G2122&gt;0,H2122&gt;0),G2122/H2122,"")</f>
        <v/>
      </c>
    </row>
    <row r="2123">
      <c r="A2123" s="4" t="inlineStr">
        <is>
          <t>250</t>
        </is>
      </c>
      <c r="B2123" s="4" t="n">
        <v>2</v>
      </c>
      <c r="C2123" s="4" t="inlineStr">
        <is>
          <t>elk</t>
        </is>
      </c>
      <c r="D2123" s="4" t="n">
        <v>2021</v>
      </c>
      <c r="E2123" s="15" t="inlineStr">
        <is>
          <t>Draw</t>
        </is>
      </c>
      <c r="F2123" s="5" t="n"/>
      <c r="G2123" s="5" t="n"/>
      <c r="H2123" s="5" t="n">
        <v>36</v>
      </c>
      <c r="I2123" s="5" t="n">
        <v>29</v>
      </c>
      <c r="J2123" s="5" t="n">
        <v>7</v>
      </c>
      <c r="K2123" s="10">
        <f>IF(F2123&gt;0,H2123/F2123,"")</f>
        <v/>
      </c>
      <c r="L2123" s="16">
        <f>IF(AND(G2123&gt;0,H2123&gt;0),G2123/H2123,"")</f>
        <v/>
      </c>
    </row>
    <row r="2124">
      <c r="A2124" s="4" t="inlineStr">
        <is>
          <t>250</t>
        </is>
      </c>
      <c r="B2124" s="4" t="n">
        <v>2</v>
      </c>
      <c r="C2124" s="4" t="inlineStr">
        <is>
          <t>elk</t>
        </is>
      </c>
      <c r="D2124" s="4" t="n">
        <v>2022</v>
      </c>
      <c r="E2124" s="15" t="inlineStr">
        <is>
          <t>Draw</t>
        </is>
      </c>
      <c r="F2124" s="5" t="n">
        <v>138</v>
      </c>
      <c r="G2124" s="5" t="n">
        <v>1410</v>
      </c>
      <c r="H2124" s="5" t="n">
        <v>30</v>
      </c>
      <c r="I2124" s="5" t="n">
        <v>26</v>
      </c>
      <c r="J2124" s="5" t="n">
        <v>4</v>
      </c>
      <c r="K2124" s="10">
        <f>IF(F2124&gt;0,H2124/F2124,"")</f>
        <v/>
      </c>
      <c r="L2124" s="16">
        <f>IF(AND(G2124&gt;0,H2124&gt;0),G2124/H2124,"")</f>
        <v/>
      </c>
    </row>
    <row r="2125">
      <c r="A2125" s="4" t="inlineStr">
        <is>
          <t>250</t>
        </is>
      </c>
      <c r="B2125" s="4" t="n">
        <v>2</v>
      </c>
      <c r="C2125" s="4" t="inlineStr">
        <is>
          <t>elk</t>
        </is>
      </c>
      <c r="D2125" s="4" t="n">
        <v>2023</v>
      </c>
      <c r="E2125" s="15" t="inlineStr">
        <is>
          <t>Draw</t>
        </is>
      </c>
      <c r="F2125" s="5" t="n"/>
      <c r="G2125" s="5" t="n"/>
      <c r="H2125" s="5" t="n">
        <v>18</v>
      </c>
      <c r="I2125" s="5" t="n">
        <v>14</v>
      </c>
      <c r="J2125" s="5" t="n">
        <v>4</v>
      </c>
      <c r="K2125" s="10">
        <f>IF(F2125&gt;0,H2125/F2125,"")</f>
        <v/>
      </c>
      <c r="L2125" s="16">
        <f>IF(AND(G2125&gt;0,H2125&gt;0),G2125/H2125,"")</f>
        <v/>
      </c>
    </row>
    <row r="2126">
      <c r="A2126" s="4" t="inlineStr">
        <is>
          <t>250</t>
        </is>
      </c>
      <c r="B2126" s="4" t="n">
        <v>2</v>
      </c>
      <c r="C2126" s="4" t="inlineStr">
        <is>
          <t>elk</t>
        </is>
      </c>
      <c r="D2126" s="4" t="n">
        <v>2024</v>
      </c>
      <c r="E2126" s="15" t="inlineStr">
        <is>
          <t>Draw</t>
        </is>
      </c>
      <c r="F2126" s="5" t="n">
        <v>130</v>
      </c>
      <c r="G2126" s="5" t="n">
        <v>1517</v>
      </c>
      <c r="H2126" s="5" t="n">
        <v>51</v>
      </c>
      <c r="I2126" s="5" t="n">
        <v>36</v>
      </c>
      <c r="J2126" s="5" t="n">
        <v>15</v>
      </c>
      <c r="K2126" s="10">
        <f>IF(F2126&gt;0,H2126/F2126,"")</f>
        <v/>
      </c>
      <c r="L2126" s="16">
        <f>IF(AND(G2126&gt;0,H2126&gt;0),G2126/H2126,"")</f>
        <v/>
      </c>
    </row>
    <row r="2127">
      <c r="A2127" s="4" t="inlineStr">
        <is>
          <t>250</t>
        </is>
      </c>
      <c r="B2127" s="4" t="n">
        <v>2</v>
      </c>
      <c r="C2127" s="4" t="inlineStr">
        <is>
          <t>elk</t>
        </is>
      </c>
      <c r="D2127" s="4" t="n">
        <v>2025</v>
      </c>
      <c r="E2127" s="15" t="inlineStr">
        <is>
          <t>Draw</t>
        </is>
      </c>
      <c r="F2127" s="5" t="n"/>
      <c r="G2127" s="5" t="n"/>
      <c r="H2127" s="5" t="n">
        <v>38</v>
      </c>
      <c r="I2127" s="5" t="n">
        <v>17</v>
      </c>
      <c r="J2127" s="5" t="n">
        <v>21</v>
      </c>
      <c r="K2127" s="10">
        <f>IF(F2127&gt;0,H2127/F2127,"")</f>
        <v/>
      </c>
      <c r="L2127" s="16">
        <f>IF(AND(G2127&gt;0,H2127&gt;0),G2127/H2127,"")</f>
        <v/>
      </c>
    </row>
    <row r="2128">
      <c r="A2128" s="4" t="inlineStr">
        <is>
          <t>260</t>
        </is>
      </c>
      <c r="B2128" s="4" t="n">
        <v>2</v>
      </c>
      <c r="C2128" s="4" t="inlineStr">
        <is>
          <t>elk</t>
        </is>
      </c>
      <c r="D2128" s="4" t="n">
        <v>2004</v>
      </c>
      <c r="E2128" s="13" t="inlineStr">
        <is>
          <t>General</t>
        </is>
      </c>
      <c r="F2128" s="5" t="n">
        <v>133</v>
      </c>
      <c r="G2128" s="5" t="n">
        <v>975</v>
      </c>
      <c r="H2128" s="5" t="n">
        <v>8</v>
      </c>
      <c r="I2128" s="5" t="n">
        <v>8</v>
      </c>
      <c r="J2128" s="5" t="n">
        <v>0</v>
      </c>
      <c r="K2128" s="10">
        <f>IF(F2128&gt;0,H2128/F2128,"")</f>
        <v/>
      </c>
      <c r="L2128" s="16">
        <f>IF(AND(G2128&gt;0,H2128&gt;0),G2128/H2128,"")</f>
        <v/>
      </c>
    </row>
    <row r="2129">
      <c r="A2129" s="4" t="inlineStr">
        <is>
          <t>260</t>
        </is>
      </c>
      <c r="B2129" s="4" t="n">
        <v>2</v>
      </c>
      <c r="C2129" s="4" t="inlineStr">
        <is>
          <t>elk</t>
        </is>
      </c>
      <c r="D2129" s="4" t="n">
        <v>2005</v>
      </c>
      <c r="E2129" s="13" t="inlineStr">
        <is>
          <t>General</t>
        </is>
      </c>
      <c r="F2129" s="5" t="n">
        <v>140</v>
      </c>
      <c r="G2129" s="5" t="n">
        <v>1122</v>
      </c>
      <c r="H2129" s="5" t="n">
        <v>33</v>
      </c>
      <c r="I2129" s="5" t="n">
        <v>12</v>
      </c>
      <c r="J2129" s="5" t="n">
        <v>18</v>
      </c>
      <c r="K2129" s="10">
        <f>IF(F2129&gt;0,H2129/F2129,"")</f>
        <v/>
      </c>
      <c r="L2129" s="16">
        <f>IF(AND(G2129&gt;0,H2129&gt;0),G2129/H2129,"")</f>
        <v/>
      </c>
    </row>
    <row r="2130">
      <c r="A2130" s="4" t="inlineStr">
        <is>
          <t>260</t>
        </is>
      </c>
      <c r="B2130" s="4" t="n">
        <v>2</v>
      </c>
      <c r="C2130" s="4" t="inlineStr">
        <is>
          <t>elk</t>
        </is>
      </c>
      <c r="D2130" s="4" t="n">
        <v>2006</v>
      </c>
      <c r="E2130" s="13" t="inlineStr">
        <is>
          <t>General</t>
        </is>
      </c>
      <c r="F2130" s="5" t="n">
        <v>332</v>
      </c>
      <c r="G2130" s="5" t="n">
        <v>2605</v>
      </c>
      <c r="H2130" s="5" t="n">
        <v>39</v>
      </c>
      <c r="I2130" s="5" t="n">
        <v>11</v>
      </c>
      <c r="J2130" s="5" t="n">
        <v>28</v>
      </c>
      <c r="K2130" s="10">
        <f>IF(F2130&gt;0,H2130/F2130,"")</f>
        <v/>
      </c>
      <c r="L2130" s="16">
        <f>IF(AND(G2130&gt;0,H2130&gt;0),G2130/H2130,"")</f>
        <v/>
      </c>
    </row>
    <row r="2131">
      <c r="A2131" s="4" t="inlineStr">
        <is>
          <t>260</t>
        </is>
      </c>
      <c r="B2131" s="4" t="n">
        <v>2</v>
      </c>
      <c r="C2131" s="4" t="inlineStr">
        <is>
          <t>elk</t>
        </is>
      </c>
      <c r="D2131" s="4" t="n">
        <v>2007</v>
      </c>
      <c r="E2131" s="13" t="inlineStr">
        <is>
          <t>General</t>
        </is>
      </c>
      <c r="F2131" s="5" t="n">
        <v>275</v>
      </c>
      <c r="G2131" s="5" t="n">
        <v>2266</v>
      </c>
      <c r="H2131" s="5" t="n">
        <v>23</v>
      </c>
      <c r="I2131" s="5" t="n">
        <v>5</v>
      </c>
      <c r="J2131" s="5" t="n">
        <v>13</v>
      </c>
      <c r="K2131" s="10">
        <f>IF(F2131&gt;0,H2131/F2131,"")</f>
        <v/>
      </c>
      <c r="L2131" s="16">
        <f>IF(AND(G2131&gt;0,H2131&gt;0),G2131/H2131,"")</f>
        <v/>
      </c>
    </row>
    <row r="2132">
      <c r="A2132" s="4" t="inlineStr">
        <is>
          <t>260</t>
        </is>
      </c>
      <c r="B2132" s="4" t="n">
        <v>2</v>
      </c>
      <c r="C2132" s="4" t="inlineStr">
        <is>
          <t>elk</t>
        </is>
      </c>
      <c r="D2132" s="4" t="n">
        <v>2008</v>
      </c>
      <c r="E2132" s="13" t="inlineStr">
        <is>
          <t>General</t>
        </is>
      </c>
      <c r="F2132" s="5" t="n">
        <v>345</v>
      </c>
      <c r="G2132" s="5" t="n">
        <v>3048</v>
      </c>
      <c r="H2132" s="5" t="n">
        <v>27</v>
      </c>
      <c r="I2132" s="5" t="n">
        <v>18</v>
      </c>
      <c r="J2132" s="5" t="n">
        <v>9</v>
      </c>
      <c r="K2132" s="10">
        <f>IF(F2132&gt;0,H2132/F2132,"")</f>
        <v/>
      </c>
      <c r="L2132" s="16">
        <f>IF(AND(G2132&gt;0,H2132&gt;0),G2132/H2132,"")</f>
        <v/>
      </c>
    </row>
    <row r="2133">
      <c r="A2133" s="4" t="inlineStr">
        <is>
          <t>260</t>
        </is>
      </c>
      <c r="B2133" s="4" t="n">
        <v>2</v>
      </c>
      <c r="C2133" s="4" t="inlineStr">
        <is>
          <t>elk</t>
        </is>
      </c>
      <c r="D2133" s="4" t="n">
        <v>2009</v>
      </c>
      <c r="E2133" s="13" t="inlineStr">
        <is>
          <t>General</t>
        </is>
      </c>
      <c r="F2133" s="5" t="n">
        <v>336</v>
      </c>
      <c r="G2133" s="5" t="n">
        <v>2924</v>
      </c>
      <c r="H2133" s="5" t="n">
        <v>26</v>
      </c>
      <c r="I2133" s="5" t="n">
        <v>21</v>
      </c>
      <c r="J2133" s="5" t="n">
        <v>5</v>
      </c>
      <c r="K2133" s="10">
        <f>IF(F2133&gt;0,H2133/F2133,"")</f>
        <v/>
      </c>
      <c r="L2133" s="16">
        <f>IF(AND(G2133&gt;0,H2133&gt;0),G2133/H2133,"")</f>
        <v/>
      </c>
    </row>
    <row r="2134">
      <c r="A2134" s="4" t="inlineStr">
        <is>
          <t>260</t>
        </is>
      </c>
      <c r="B2134" s="4" t="n">
        <v>2</v>
      </c>
      <c r="C2134" s="4" t="inlineStr">
        <is>
          <t>elk</t>
        </is>
      </c>
      <c r="D2134" s="4" t="n">
        <v>2010</v>
      </c>
      <c r="E2134" s="13" t="inlineStr">
        <is>
          <t>General</t>
        </is>
      </c>
      <c r="F2134" s="5" t="n">
        <v>278</v>
      </c>
      <c r="G2134" s="5" t="n">
        <v>2196</v>
      </c>
      <c r="H2134" s="5" t="n">
        <v>38</v>
      </c>
      <c r="I2134" s="5" t="n">
        <v>11</v>
      </c>
      <c r="J2134" s="5" t="n">
        <v>24</v>
      </c>
      <c r="K2134" s="10">
        <f>IF(F2134&gt;0,H2134/F2134,"")</f>
        <v/>
      </c>
      <c r="L2134" s="16">
        <f>IF(AND(G2134&gt;0,H2134&gt;0),G2134/H2134,"")</f>
        <v/>
      </c>
    </row>
    <row r="2135">
      <c r="A2135" s="4" t="inlineStr">
        <is>
          <t>260</t>
        </is>
      </c>
      <c r="B2135" s="4" t="n">
        <v>2</v>
      </c>
      <c r="C2135" s="4" t="inlineStr">
        <is>
          <t>elk</t>
        </is>
      </c>
      <c r="D2135" s="4" t="n">
        <v>2011</v>
      </c>
      <c r="E2135" s="13" t="inlineStr">
        <is>
          <t>General</t>
        </is>
      </c>
      <c r="F2135" s="5" t="n">
        <v>252</v>
      </c>
      <c r="G2135" s="5" t="n">
        <v>2427</v>
      </c>
      <c r="H2135" s="5" t="n">
        <v>16</v>
      </c>
      <c r="I2135" s="5" t="n">
        <v>3</v>
      </c>
      <c r="J2135" s="5" t="n">
        <v>14</v>
      </c>
      <c r="K2135" s="10">
        <f>IF(F2135&gt;0,H2135/F2135,"")</f>
        <v/>
      </c>
      <c r="L2135" s="16">
        <f>IF(AND(G2135&gt;0,H2135&gt;0),G2135/H2135,"")</f>
        <v/>
      </c>
    </row>
    <row r="2136">
      <c r="A2136" s="4" t="inlineStr">
        <is>
          <t>260</t>
        </is>
      </c>
      <c r="B2136" s="4" t="n">
        <v>2</v>
      </c>
      <c r="C2136" s="4" t="inlineStr">
        <is>
          <t>elk</t>
        </is>
      </c>
      <c r="D2136" s="4" t="n">
        <v>2012</v>
      </c>
      <c r="E2136" s="13" t="inlineStr">
        <is>
          <t>General</t>
        </is>
      </c>
      <c r="F2136" s="5" t="n">
        <v>202</v>
      </c>
      <c r="G2136" s="5" t="n">
        <v>1467</v>
      </c>
      <c r="H2136" s="5" t="n">
        <v>31</v>
      </c>
      <c r="I2136" s="5" t="n">
        <v>19</v>
      </c>
      <c r="J2136" s="5" t="n">
        <v>11</v>
      </c>
      <c r="K2136" s="10">
        <f>IF(F2136&gt;0,H2136/F2136,"")</f>
        <v/>
      </c>
      <c r="L2136" s="16">
        <f>IF(AND(G2136&gt;0,H2136&gt;0),G2136/H2136,"")</f>
        <v/>
      </c>
    </row>
    <row r="2137">
      <c r="A2137" s="4" t="inlineStr">
        <is>
          <t>260</t>
        </is>
      </c>
      <c r="B2137" s="4" t="n">
        <v>2</v>
      </c>
      <c r="C2137" s="4" t="inlineStr">
        <is>
          <t>elk</t>
        </is>
      </c>
      <c r="D2137" s="4" t="n">
        <v>2013</v>
      </c>
      <c r="E2137" s="13" t="inlineStr">
        <is>
          <t>General</t>
        </is>
      </c>
      <c r="F2137" s="5" t="n"/>
      <c r="G2137" s="5" t="n"/>
      <c r="H2137" s="5" t="n">
        <v>17</v>
      </c>
      <c r="I2137" s="5" t="n">
        <v>8</v>
      </c>
      <c r="J2137" s="5" t="n">
        <v>5</v>
      </c>
      <c r="K2137" s="10">
        <f>IF(F2137&gt;0,H2137/F2137,"")</f>
        <v/>
      </c>
      <c r="L2137" s="16">
        <f>IF(AND(G2137&gt;0,H2137&gt;0),G2137/H2137,"")</f>
        <v/>
      </c>
    </row>
    <row r="2138">
      <c r="A2138" s="4" t="inlineStr">
        <is>
          <t>260</t>
        </is>
      </c>
      <c r="B2138" s="4" t="n">
        <v>2</v>
      </c>
      <c r="C2138" s="4" t="inlineStr">
        <is>
          <t>elk</t>
        </is>
      </c>
      <c r="D2138" s="4" t="n">
        <v>2014</v>
      </c>
      <c r="E2138" s="13" t="inlineStr">
        <is>
          <t>General</t>
        </is>
      </c>
      <c r="F2138" s="5" t="n">
        <v>192</v>
      </c>
      <c r="G2138" s="5" t="n">
        <v>1184</v>
      </c>
      <c r="H2138" s="5" t="n">
        <v>26</v>
      </c>
      <c r="I2138" s="5" t="n">
        <v>17</v>
      </c>
      <c r="J2138" s="5" t="n">
        <v>7</v>
      </c>
      <c r="K2138" s="10">
        <f>IF(F2138&gt;0,H2138/F2138,"")</f>
        <v/>
      </c>
      <c r="L2138" s="16">
        <f>IF(AND(G2138&gt;0,H2138&gt;0),G2138/H2138,"")</f>
        <v/>
      </c>
    </row>
    <row r="2139">
      <c r="A2139" s="4" t="inlineStr">
        <is>
          <t>260</t>
        </is>
      </c>
      <c r="B2139" s="4" t="n">
        <v>2</v>
      </c>
      <c r="C2139" s="4" t="inlineStr">
        <is>
          <t>elk</t>
        </is>
      </c>
      <c r="D2139" s="4" t="n">
        <v>2015</v>
      </c>
      <c r="E2139" s="13" t="inlineStr">
        <is>
          <t>General</t>
        </is>
      </c>
      <c r="F2139" s="5" t="n">
        <v>188</v>
      </c>
      <c r="G2139" s="5" t="n">
        <v>1489</v>
      </c>
      <c r="H2139" s="5" t="n">
        <v>25</v>
      </c>
      <c r="I2139" s="5" t="n">
        <v>8</v>
      </c>
      <c r="J2139" s="5" t="n">
        <v>13</v>
      </c>
      <c r="K2139" s="10">
        <f>IF(F2139&gt;0,H2139/F2139,"")</f>
        <v/>
      </c>
      <c r="L2139" s="16">
        <f>IF(AND(G2139&gt;0,H2139&gt;0),G2139/H2139,"")</f>
        <v/>
      </c>
    </row>
    <row r="2140">
      <c r="A2140" s="4" t="inlineStr">
        <is>
          <t>260</t>
        </is>
      </c>
      <c r="B2140" s="4" t="n">
        <v>2</v>
      </c>
      <c r="C2140" s="4" t="inlineStr">
        <is>
          <t>elk</t>
        </is>
      </c>
      <c r="D2140" s="4" t="n">
        <v>2016</v>
      </c>
      <c r="E2140" s="13" t="inlineStr">
        <is>
          <t>General</t>
        </is>
      </c>
      <c r="F2140" s="5" t="n">
        <v>335</v>
      </c>
      <c r="G2140" s="5" t="n">
        <v>2984</v>
      </c>
      <c r="H2140" s="5" t="n">
        <v>38</v>
      </c>
      <c r="I2140" s="5" t="n">
        <v>22</v>
      </c>
      <c r="J2140" s="5" t="n">
        <v>15</v>
      </c>
      <c r="K2140" s="10">
        <f>IF(F2140&gt;0,H2140/F2140,"")</f>
        <v/>
      </c>
      <c r="L2140" s="16">
        <f>IF(AND(G2140&gt;0,H2140&gt;0),G2140/H2140,"")</f>
        <v/>
      </c>
    </row>
    <row r="2141">
      <c r="A2141" s="4" t="inlineStr">
        <is>
          <t>260</t>
        </is>
      </c>
      <c r="B2141" s="4" t="n">
        <v>2</v>
      </c>
      <c r="C2141" s="4" t="inlineStr">
        <is>
          <t>elk</t>
        </is>
      </c>
      <c r="D2141" s="4" t="n">
        <v>2017</v>
      </c>
      <c r="E2141" s="13" t="inlineStr">
        <is>
          <t>General</t>
        </is>
      </c>
      <c r="F2141" s="5" t="n"/>
      <c r="G2141" s="5" t="n"/>
      <c r="H2141" s="5" t="n">
        <v>42</v>
      </c>
      <c r="I2141" s="5" t="n">
        <v>26</v>
      </c>
      <c r="J2141" s="5" t="n">
        <v>17</v>
      </c>
      <c r="K2141" s="10">
        <f>IF(F2141&gt;0,H2141/F2141,"")</f>
        <v/>
      </c>
      <c r="L2141" s="16">
        <f>IF(AND(G2141&gt;0,H2141&gt;0),G2141/H2141,"")</f>
        <v/>
      </c>
    </row>
    <row r="2142">
      <c r="A2142" s="4" t="inlineStr">
        <is>
          <t>260</t>
        </is>
      </c>
      <c r="B2142" s="4" t="n">
        <v>2</v>
      </c>
      <c r="C2142" s="4" t="inlineStr">
        <is>
          <t>elk</t>
        </is>
      </c>
      <c r="D2142" s="4" t="n">
        <v>2018</v>
      </c>
      <c r="E2142" s="13" t="inlineStr">
        <is>
          <t>General</t>
        </is>
      </c>
      <c r="F2142" s="5" t="n">
        <v>348</v>
      </c>
      <c r="G2142" s="5" t="n">
        <v>3539</v>
      </c>
      <c r="H2142" s="5" t="n">
        <v>66</v>
      </c>
      <c r="I2142" s="5" t="n">
        <v>9</v>
      </c>
      <c r="J2142" s="5" t="n">
        <v>57</v>
      </c>
      <c r="K2142" s="10">
        <f>IF(F2142&gt;0,H2142/F2142,"")</f>
        <v/>
      </c>
      <c r="L2142" s="16">
        <f>IF(AND(G2142&gt;0,H2142&gt;0),G2142/H2142,"")</f>
        <v/>
      </c>
    </row>
    <row r="2143">
      <c r="A2143" s="4" t="inlineStr">
        <is>
          <t>260</t>
        </is>
      </c>
      <c r="B2143" s="4" t="n">
        <v>2</v>
      </c>
      <c r="C2143" s="4" t="inlineStr">
        <is>
          <t>elk</t>
        </is>
      </c>
      <c r="D2143" s="4" t="n">
        <v>2019</v>
      </c>
      <c r="E2143" s="13" t="inlineStr">
        <is>
          <t>General</t>
        </is>
      </c>
      <c r="F2143" s="5" t="n"/>
      <c r="G2143" s="5" t="n"/>
      <c r="H2143" s="5" t="n">
        <v>50</v>
      </c>
      <c r="I2143" s="5" t="n">
        <v>9</v>
      </c>
      <c r="J2143" s="5" t="n">
        <v>38</v>
      </c>
      <c r="K2143" s="10">
        <f>IF(F2143&gt;0,H2143/F2143,"")</f>
        <v/>
      </c>
      <c r="L2143" s="16">
        <f>IF(AND(G2143&gt;0,H2143&gt;0),G2143/H2143,"")</f>
        <v/>
      </c>
    </row>
    <row r="2144">
      <c r="A2144" s="4" t="inlineStr">
        <is>
          <t>260</t>
        </is>
      </c>
      <c r="B2144" s="4" t="n">
        <v>2</v>
      </c>
      <c r="C2144" s="4" t="inlineStr">
        <is>
          <t>elk</t>
        </is>
      </c>
      <c r="D2144" s="4" t="n">
        <v>2020</v>
      </c>
      <c r="E2144" s="13" t="inlineStr">
        <is>
          <t>General</t>
        </is>
      </c>
      <c r="F2144" s="5" t="n">
        <v>413</v>
      </c>
      <c r="G2144" s="5" t="n">
        <v>3164</v>
      </c>
      <c r="H2144" s="5" t="n">
        <v>64</v>
      </c>
      <c r="I2144" s="5" t="n">
        <v>38</v>
      </c>
      <c r="J2144" s="5" t="n">
        <v>26</v>
      </c>
      <c r="K2144" s="10">
        <f>IF(F2144&gt;0,H2144/F2144,"")</f>
        <v/>
      </c>
      <c r="L2144" s="16">
        <f>IF(AND(G2144&gt;0,H2144&gt;0),G2144/H2144,"")</f>
        <v/>
      </c>
    </row>
    <row r="2145">
      <c r="A2145" s="4" t="inlineStr">
        <is>
          <t>260</t>
        </is>
      </c>
      <c r="B2145" s="4" t="n">
        <v>2</v>
      </c>
      <c r="C2145" s="4" t="inlineStr">
        <is>
          <t>elk</t>
        </is>
      </c>
      <c r="D2145" s="4" t="n">
        <v>2021</v>
      </c>
      <c r="E2145" s="13" t="inlineStr">
        <is>
          <t>General</t>
        </is>
      </c>
      <c r="F2145" s="5" t="n"/>
      <c r="G2145" s="5" t="n"/>
      <c r="H2145" s="5" t="n">
        <v>43</v>
      </c>
      <c r="I2145" s="5" t="n">
        <v>27</v>
      </c>
      <c r="J2145" s="5" t="n">
        <v>16</v>
      </c>
      <c r="K2145" s="10">
        <f>IF(F2145&gt;0,H2145/F2145,"")</f>
        <v/>
      </c>
      <c r="L2145" s="16">
        <f>IF(AND(G2145&gt;0,H2145&gt;0),G2145/H2145,"")</f>
        <v/>
      </c>
    </row>
    <row r="2146">
      <c r="A2146" s="4" t="inlineStr">
        <is>
          <t>260</t>
        </is>
      </c>
      <c r="B2146" s="4" t="n">
        <v>2</v>
      </c>
      <c r="C2146" s="4" t="inlineStr">
        <is>
          <t>elk</t>
        </is>
      </c>
      <c r="D2146" s="4" t="n">
        <v>2022</v>
      </c>
      <c r="E2146" s="13" t="inlineStr">
        <is>
          <t>General</t>
        </is>
      </c>
      <c r="F2146" s="5" t="n">
        <v>283</v>
      </c>
      <c r="G2146" s="5" t="n">
        <v>2079</v>
      </c>
      <c r="H2146" s="5" t="n">
        <v>16</v>
      </c>
      <c r="I2146" s="5" t="n">
        <v>9</v>
      </c>
      <c r="J2146" s="5" t="n">
        <v>6</v>
      </c>
      <c r="K2146" s="10">
        <f>IF(F2146&gt;0,H2146/F2146,"")</f>
        <v/>
      </c>
      <c r="L2146" s="16">
        <f>IF(AND(G2146&gt;0,H2146&gt;0),G2146/H2146,"")</f>
        <v/>
      </c>
    </row>
    <row r="2147">
      <c r="A2147" s="4" t="inlineStr">
        <is>
          <t>260</t>
        </is>
      </c>
      <c r="B2147" s="4" t="n">
        <v>2</v>
      </c>
      <c r="C2147" s="4" t="inlineStr">
        <is>
          <t>elk</t>
        </is>
      </c>
      <c r="D2147" s="4" t="n">
        <v>2023</v>
      </c>
      <c r="E2147" s="13" t="inlineStr">
        <is>
          <t>General</t>
        </is>
      </c>
      <c r="F2147" s="5" t="n"/>
      <c r="G2147" s="5" t="n"/>
      <c r="H2147" s="5" t="n">
        <v>32</v>
      </c>
      <c r="I2147" s="5" t="n">
        <v>12</v>
      </c>
      <c r="J2147" s="5" t="n">
        <v>17</v>
      </c>
      <c r="K2147" s="10">
        <f>IF(F2147&gt;0,H2147/F2147,"")</f>
        <v/>
      </c>
      <c r="L2147" s="16">
        <f>IF(AND(G2147&gt;0,H2147&gt;0),G2147/H2147,"")</f>
        <v/>
      </c>
    </row>
    <row r="2148">
      <c r="A2148" s="4" t="inlineStr">
        <is>
          <t>260</t>
        </is>
      </c>
      <c r="B2148" s="4" t="n">
        <v>2</v>
      </c>
      <c r="C2148" s="4" t="inlineStr">
        <is>
          <t>elk</t>
        </is>
      </c>
      <c r="D2148" s="4" t="n">
        <v>2024</v>
      </c>
      <c r="E2148" s="13" t="inlineStr">
        <is>
          <t>General</t>
        </is>
      </c>
      <c r="F2148" s="5" t="n">
        <v>447</v>
      </c>
      <c r="G2148" s="5" t="n">
        <v>3199</v>
      </c>
      <c r="H2148" s="5" t="n">
        <v>50</v>
      </c>
      <c r="I2148" s="5" t="n">
        <v>24</v>
      </c>
      <c r="J2148" s="5" t="n">
        <v>24</v>
      </c>
      <c r="K2148" s="10">
        <f>IF(F2148&gt;0,H2148/F2148,"")</f>
        <v/>
      </c>
      <c r="L2148" s="16">
        <f>IF(AND(G2148&gt;0,H2148&gt;0),G2148/H2148,"")</f>
        <v/>
      </c>
    </row>
    <row r="2149">
      <c r="A2149" s="4" t="inlineStr">
        <is>
          <t>260</t>
        </is>
      </c>
      <c r="B2149" s="4" t="n">
        <v>2</v>
      </c>
      <c r="C2149" s="4" t="inlineStr">
        <is>
          <t>elk</t>
        </is>
      </c>
      <c r="D2149" s="4" t="n">
        <v>2025</v>
      </c>
      <c r="E2149" s="13" t="inlineStr">
        <is>
          <t>General</t>
        </is>
      </c>
      <c r="F2149" s="5" t="n"/>
      <c r="G2149" s="5" t="n"/>
      <c r="H2149" s="5" t="n">
        <v>33</v>
      </c>
      <c r="I2149" s="5" t="n">
        <v>15</v>
      </c>
      <c r="J2149" s="5" t="n">
        <v>19</v>
      </c>
      <c r="K2149" s="10">
        <f>IF(F2149&gt;0,H2149/F2149,"")</f>
        <v/>
      </c>
      <c r="L2149" s="16">
        <f>IF(AND(G2149&gt;0,H2149&gt;0),G2149/H2149,"")</f>
        <v/>
      </c>
    </row>
    <row r="2150">
      <c r="A2150" s="4" t="inlineStr">
        <is>
          <t>261</t>
        </is>
      </c>
      <c r="B2150" s="4" t="n">
        <v>2</v>
      </c>
      <c r="C2150" s="4" t="inlineStr">
        <is>
          <t>elk</t>
        </is>
      </c>
      <c r="D2150" s="4" t="n">
        <v>2004</v>
      </c>
      <c r="E2150" s="13" t="inlineStr">
        <is>
          <t>General</t>
        </is>
      </c>
      <c r="F2150" s="5" t="n">
        <v>1182</v>
      </c>
      <c r="G2150" s="5" t="n">
        <v>6711</v>
      </c>
      <c r="H2150" s="5" t="n">
        <v>188</v>
      </c>
      <c r="I2150" s="5" t="n">
        <v>65</v>
      </c>
      <c r="J2150" s="5" t="n">
        <v>113</v>
      </c>
      <c r="K2150" s="10">
        <f>IF(F2150&gt;0,H2150/F2150,"")</f>
        <v/>
      </c>
      <c r="L2150" s="16">
        <f>IF(AND(G2150&gt;0,H2150&gt;0),G2150/H2150,"")</f>
        <v/>
      </c>
    </row>
    <row r="2151">
      <c r="A2151" s="4" t="inlineStr">
        <is>
          <t>261</t>
        </is>
      </c>
      <c r="B2151" s="4" t="n">
        <v>2</v>
      </c>
      <c r="C2151" s="4" t="inlineStr">
        <is>
          <t>elk</t>
        </is>
      </c>
      <c r="D2151" s="4" t="n">
        <v>2005</v>
      </c>
      <c r="E2151" s="13" t="inlineStr">
        <is>
          <t>General</t>
        </is>
      </c>
      <c r="F2151" s="5" t="n">
        <v>1078</v>
      </c>
      <c r="G2151" s="5" t="n">
        <v>6437</v>
      </c>
      <c r="H2151" s="5" t="n">
        <v>183</v>
      </c>
      <c r="I2151" s="5" t="n">
        <v>76</v>
      </c>
      <c r="J2151" s="5" t="n">
        <v>100</v>
      </c>
      <c r="K2151" s="10">
        <f>IF(F2151&gt;0,H2151/F2151,"")</f>
        <v/>
      </c>
      <c r="L2151" s="16">
        <f>IF(AND(G2151&gt;0,H2151&gt;0),G2151/H2151,"")</f>
        <v/>
      </c>
    </row>
    <row r="2152">
      <c r="A2152" s="4" t="inlineStr">
        <is>
          <t>261</t>
        </is>
      </c>
      <c r="B2152" s="4" t="n">
        <v>2</v>
      </c>
      <c r="C2152" s="4" t="inlineStr">
        <is>
          <t>elk</t>
        </is>
      </c>
      <c r="D2152" s="4" t="n">
        <v>2006</v>
      </c>
      <c r="E2152" s="13" t="inlineStr">
        <is>
          <t>General</t>
        </is>
      </c>
      <c r="F2152" s="5" t="n">
        <v>798</v>
      </c>
      <c r="G2152" s="5" t="n">
        <v>5151</v>
      </c>
      <c r="H2152" s="5" t="n">
        <v>209</v>
      </c>
      <c r="I2152" s="5" t="n">
        <v>96</v>
      </c>
      <c r="J2152" s="5" t="n">
        <v>102</v>
      </c>
      <c r="K2152" s="10">
        <f>IF(F2152&gt;0,H2152/F2152,"")</f>
        <v/>
      </c>
      <c r="L2152" s="16">
        <f>IF(AND(G2152&gt;0,H2152&gt;0),G2152/H2152,"")</f>
        <v/>
      </c>
    </row>
    <row r="2153">
      <c r="A2153" s="4" t="inlineStr">
        <is>
          <t>261</t>
        </is>
      </c>
      <c r="B2153" s="4" t="n">
        <v>2</v>
      </c>
      <c r="C2153" s="4" t="inlineStr">
        <is>
          <t>elk</t>
        </is>
      </c>
      <c r="D2153" s="4" t="n">
        <v>2007</v>
      </c>
      <c r="E2153" s="13" t="inlineStr">
        <is>
          <t>General</t>
        </is>
      </c>
      <c r="F2153" s="5" t="n">
        <v>836</v>
      </c>
      <c r="G2153" s="5" t="n">
        <v>5621</v>
      </c>
      <c r="H2153" s="5" t="n">
        <v>157</v>
      </c>
      <c r="I2153" s="5" t="n">
        <v>87</v>
      </c>
      <c r="J2153" s="5" t="n">
        <v>70</v>
      </c>
      <c r="K2153" s="10">
        <f>IF(F2153&gt;0,H2153/F2153,"")</f>
        <v/>
      </c>
      <c r="L2153" s="16">
        <f>IF(AND(G2153&gt;0,H2153&gt;0),G2153/H2153,"")</f>
        <v/>
      </c>
    </row>
    <row r="2154">
      <c r="A2154" s="4" t="inlineStr">
        <is>
          <t>261</t>
        </is>
      </c>
      <c r="B2154" s="4" t="n">
        <v>2</v>
      </c>
      <c r="C2154" s="4" t="inlineStr">
        <is>
          <t>elk</t>
        </is>
      </c>
      <c r="D2154" s="4" t="n">
        <v>2008</v>
      </c>
      <c r="E2154" s="13" t="inlineStr">
        <is>
          <t>General</t>
        </is>
      </c>
      <c r="F2154" s="5" t="n">
        <v>805</v>
      </c>
      <c r="G2154" s="5" t="n">
        <v>6069</v>
      </c>
      <c r="H2154" s="5" t="n">
        <v>75</v>
      </c>
      <c r="I2154" s="5" t="n">
        <v>24</v>
      </c>
      <c r="J2154" s="5" t="n">
        <v>48</v>
      </c>
      <c r="K2154" s="10">
        <f>IF(F2154&gt;0,H2154/F2154,"")</f>
        <v/>
      </c>
      <c r="L2154" s="16">
        <f>IF(AND(G2154&gt;0,H2154&gt;0),G2154/H2154,"")</f>
        <v/>
      </c>
    </row>
    <row r="2155">
      <c r="A2155" s="4" t="inlineStr">
        <is>
          <t>261</t>
        </is>
      </c>
      <c r="B2155" s="4" t="n">
        <v>2</v>
      </c>
      <c r="C2155" s="4" t="inlineStr">
        <is>
          <t>elk</t>
        </is>
      </c>
      <c r="D2155" s="4" t="n">
        <v>2009</v>
      </c>
      <c r="E2155" s="13" t="inlineStr">
        <is>
          <t>General</t>
        </is>
      </c>
      <c r="F2155" s="5" t="n">
        <v>707</v>
      </c>
      <c r="G2155" s="5" t="n">
        <v>5939</v>
      </c>
      <c r="H2155" s="5" t="n">
        <v>46</v>
      </c>
      <c r="I2155" s="5" t="n">
        <v>36</v>
      </c>
      <c r="J2155" s="5" t="n">
        <v>10</v>
      </c>
      <c r="K2155" s="10">
        <f>IF(F2155&gt;0,H2155/F2155,"")</f>
        <v/>
      </c>
      <c r="L2155" s="16">
        <f>IF(AND(G2155&gt;0,H2155&gt;0),G2155/H2155,"")</f>
        <v/>
      </c>
    </row>
    <row r="2156">
      <c r="A2156" s="4" t="inlineStr">
        <is>
          <t>261</t>
        </is>
      </c>
      <c r="B2156" s="4" t="n">
        <v>2</v>
      </c>
      <c r="C2156" s="4" t="inlineStr">
        <is>
          <t>elk</t>
        </is>
      </c>
      <c r="D2156" s="4" t="n">
        <v>2010</v>
      </c>
      <c r="E2156" s="13" t="inlineStr">
        <is>
          <t>General</t>
        </is>
      </c>
      <c r="F2156" s="5" t="n">
        <v>674</v>
      </c>
      <c r="G2156" s="5" t="n">
        <v>4814</v>
      </c>
      <c r="H2156" s="5" t="n">
        <v>79</v>
      </c>
      <c r="I2156" s="5" t="n">
        <v>58</v>
      </c>
      <c r="J2156" s="5" t="n">
        <v>17</v>
      </c>
      <c r="K2156" s="10">
        <f>IF(F2156&gt;0,H2156/F2156,"")</f>
        <v/>
      </c>
      <c r="L2156" s="16">
        <f>IF(AND(G2156&gt;0,H2156&gt;0),G2156/H2156,"")</f>
        <v/>
      </c>
    </row>
    <row r="2157">
      <c r="A2157" s="4" t="inlineStr">
        <is>
          <t>261</t>
        </is>
      </c>
      <c r="B2157" s="4" t="n">
        <v>2</v>
      </c>
      <c r="C2157" s="4" t="inlineStr">
        <is>
          <t>elk</t>
        </is>
      </c>
      <c r="D2157" s="4" t="n">
        <v>2011</v>
      </c>
      <c r="E2157" s="13" t="inlineStr">
        <is>
          <t>General</t>
        </is>
      </c>
      <c r="F2157" s="5" t="n">
        <v>769</v>
      </c>
      <c r="G2157" s="5" t="n">
        <v>5249</v>
      </c>
      <c r="H2157" s="5" t="n">
        <v>97</v>
      </c>
      <c r="I2157" s="5" t="n">
        <v>61</v>
      </c>
      <c r="J2157" s="5" t="n">
        <v>33</v>
      </c>
      <c r="K2157" s="10">
        <f>IF(F2157&gt;0,H2157/F2157,"")</f>
        <v/>
      </c>
      <c r="L2157" s="16">
        <f>IF(AND(G2157&gt;0,H2157&gt;0),G2157/H2157,"")</f>
        <v/>
      </c>
    </row>
    <row r="2158">
      <c r="A2158" s="4" t="inlineStr">
        <is>
          <t>261</t>
        </is>
      </c>
      <c r="B2158" s="4" t="n">
        <v>2</v>
      </c>
      <c r="C2158" s="4" t="inlineStr">
        <is>
          <t>elk</t>
        </is>
      </c>
      <c r="D2158" s="4" t="n">
        <v>2012</v>
      </c>
      <c r="E2158" s="13" t="inlineStr">
        <is>
          <t>General</t>
        </is>
      </c>
      <c r="F2158" s="5" t="n">
        <v>835</v>
      </c>
      <c r="G2158" s="5" t="n">
        <v>6846</v>
      </c>
      <c r="H2158" s="5" t="n">
        <v>115</v>
      </c>
      <c r="I2158" s="5" t="n">
        <v>81</v>
      </c>
      <c r="J2158" s="5" t="n">
        <v>34</v>
      </c>
      <c r="K2158" s="10">
        <f>IF(F2158&gt;0,H2158/F2158,"")</f>
        <v/>
      </c>
      <c r="L2158" s="16">
        <f>IF(AND(G2158&gt;0,H2158&gt;0),G2158/H2158,"")</f>
        <v/>
      </c>
    </row>
    <row r="2159">
      <c r="A2159" s="4" t="inlineStr">
        <is>
          <t>261</t>
        </is>
      </c>
      <c r="B2159" s="4" t="n">
        <v>2</v>
      </c>
      <c r="C2159" s="4" t="inlineStr">
        <is>
          <t>elk</t>
        </is>
      </c>
      <c r="D2159" s="4" t="n">
        <v>2013</v>
      </c>
      <c r="E2159" s="13" t="inlineStr">
        <is>
          <t>General</t>
        </is>
      </c>
      <c r="F2159" s="5" t="n"/>
      <c r="G2159" s="5" t="n"/>
      <c r="H2159" s="5" t="n">
        <v>86</v>
      </c>
      <c r="I2159" s="5" t="n">
        <v>58</v>
      </c>
      <c r="J2159" s="5" t="n">
        <v>27</v>
      </c>
      <c r="K2159" s="10">
        <f>IF(F2159&gt;0,H2159/F2159,"")</f>
        <v/>
      </c>
      <c r="L2159" s="16">
        <f>IF(AND(G2159&gt;0,H2159&gt;0),G2159/H2159,"")</f>
        <v/>
      </c>
    </row>
    <row r="2160">
      <c r="A2160" s="4" t="inlineStr">
        <is>
          <t>261</t>
        </is>
      </c>
      <c r="B2160" s="4" t="n">
        <v>2</v>
      </c>
      <c r="C2160" s="4" t="inlineStr">
        <is>
          <t>elk</t>
        </is>
      </c>
      <c r="D2160" s="4" t="n">
        <v>2014</v>
      </c>
      <c r="E2160" s="13" t="inlineStr">
        <is>
          <t>General</t>
        </is>
      </c>
      <c r="F2160" s="5" t="n">
        <v>652</v>
      </c>
      <c r="G2160" s="5" t="n">
        <v>4350</v>
      </c>
      <c r="H2160" s="5" t="n">
        <v>93</v>
      </c>
      <c r="I2160" s="5" t="n">
        <v>62</v>
      </c>
      <c r="J2160" s="5" t="n">
        <v>32</v>
      </c>
      <c r="K2160" s="10">
        <f>IF(F2160&gt;0,H2160/F2160,"")</f>
        <v/>
      </c>
      <c r="L2160" s="16">
        <f>IF(AND(G2160&gt;0,H2160&gt;0),G2160/H2160,"")</f>
        <v/>
      </c>
    </row>
    <row r="2161">
      <c r="A2161" s="4" t="inlineStr">
        <is>
          <t>261</t>
        </is>
      </c>
      <c r="B2161" s="4" t="n">
        <v>2</v>
      </c>
      <c r="C2161" s="4" t="inlineStr">
        <is>
          <t>elk</t>
        </is>
      </c>
      <c r="D2161" s="4" t="n">
        <v>2015</v>
      </c>
      <c r="E2161" s="13" t="inlineStr">
        <is>
          <t>General</t>
        </is>
      </c>
      <c r="F2161" s="5" t="n">
        <v>666</v>
      </c>
      <c r="G2161" s="5" t="n">
        <v>4914</v>
      </c>
      <c r="H2161" s="5" t="n">
        <v>102</v>
      </c>
      <c r="I2161" s="5" t="n">
        <v>66</v>
      </c>
      <c r="J2161" s="5" t="n">
        <v>32</v>
      </c>
      <c r="K2161" s="10">
        <f>IF(F2161&gt;0,H2161/F2161,"")</f>
        <v/>
      </c>
      <c r="L2161" s="16">
        <f>IF(AND(G2161&gt;0,H2161&gt;0),G2161/H2161,"")</f>
        <v/>
      </c>
    </row>
    <row r="2162">
      <c r="A2162" s="4" t="inlineStr">
        <is>
          <t>261</t>
        </is>
      </c>
      <c r="B2162" s="4" t="n">
        <v>2</v>
      </c>
      <c r="C2162" s="4" t="inlineStr">
        <is>
          <t>elk</t>
        </is>
      </c>
      <c r="D2162" s="4" t="n">
        <v>2016</v>
      </c>
      <c r="E2162" s="13" t="inlineStr">
        <is>
          <t>General</t>
        </is>
      </c>
      <c r="F2162" s="5" t="n">
        <v>791</v>
      </c>
      <c r="G2162" s="5" t="n">
        <v>6374</v>
      </c>
      <c r="H2162" s="5" t="n">
        <v>110</v>
      </c>
      <c r="I2162" s="5" t="n">
        <v>69</v>
      </c>
      <c r="J2162" s="5" t="n">
        <v>40</v>
      </c>
      <c r="K2162" s="10">
        <f>IF(F2162&gt;0,H2162/F2162,"")</f>
        <v/>
      </c>
      <c r="L2162" s="16">
        <f>IF(AND(G2162&gt;0,H2162&gt;0),G2162/H2162,"")</f>
        <v/>
      </c>
    </row>
    <row r="2163">
      <c r="A2163" s="4" t="inlineStr">
        <is>
          <t>261</t>
        </is>
      </c>
      <c r="B2163" s="4" t="n">
        <v>2</v>
      </c>
      <c r="C2163" s="4" t="inlineStr">
        <is>
          <t>elk</t>
        </is>
      </c>
      <c r="D2163" s="4" t="n">
        <v>2017</v>
      </c>
      <c r="E2163" s="13" t="inlineStr">
        <is>
          <t>General</t>
        </is>
      </c>
      <c r="F2163" s="5" t="n"/>
      <c r="G2163" s="5" t="n"/>
      <c r="H2163" s="5" t="n">
        <v>118</v>
      </c>
      <c r="I2163" s="5" t="n">
        <v>77</v>
      </c>
      <c r="J2163" s="5" t="n">
        <v>37</v>
      </c>
      <c r="K2163" s="10">
        <f>IF(F2163&gt;0,H2163/F2163,"")</f>
        <v/>
      </c>
      <c r="L2163" s="16">
        <f>IF(AND(G2163&gt;0,H2163&gt;0),G2163/H2163,"")</f>
        <v/>
      </c>
    </row>
    <row r="2164">
      <c r="A2164" s="4" t="inlineStr">
        <is>
          <t>261</t>
        </is>
      </c>
      <c r="B2164" s="4" t="n">
        <v>2</v>
      </c>
      <c r="C2164" s="4" t="inlineStr">
        <is>
          <t>elk</t>
        </is>
      </c>
      <c r="D2164" s="4" t="n">
        <v>2018</v>
      </c>
      <c r="E2164" s="13" t="inlineStr">
        <is>
          <t>General</t>
        </is>
      </c>
      <c r="F2164" s="5" t="n">
        <v>691</v>
      </c>
      <c r="G2164" s="5" t="n">
        <v>4695</v>
      </c>
      <c r="H2164" s="5" t="n">
        <v>109</v>
      </c>
      <c r="I2164" s="5" t="n">
        <v>64</v>
      </c>
      <c r="J2164" s="5" t="n">
        <v>42</v>
      </c>
      <c r="K2164" s="10">
        <f>IF(F2164&gt;0,H2164/F2164,"")</f>
        <v/>
      </c>
      <c r="L2164" s="16">
        <f>IF(AND(G2164&gt;0,H2164&gt;0),G2164/H2164,"")</f>
        <v/>
      </c>
    </row>
    <row r="2165">
      <c r="A2165" s="4" t="inlineStr">
        <is>
          <t>261</t>
        </is>
      </c>
      <c r="B2165" s="4" t="n">
        <v>2</v>
      </c>
      <c r="C2165" s="4" t="inlineStr">
        <is>
          <t>elk</t>
        </is>
      </c>
      <c r="D2165" s="4" t="n">
        <v>2019</v>
      </c>
      <c r="E2165" s="13" t="inlineStr">
        <is>
          <t>General</t>
        </is>
      </c>
      <c r="F2165" s="5" t="n"/>
      <c r="G2165" s="5" t="n"/>
      <c r="H2165" s="5" t="n">
        <v>107</v>
      </c>
      <c r="I2165" s="5" t="n">
        <v>54</v>
      </c>
      <c r="J2165" s="5" t="n">
        <v>50</v>
      </c>
      <c r="K2165" s="10">
        <f>IF(F2165&gt;0,H2165/F2165,"")</f>
        <v/>
      </c>
      <c r="L2165" s="16">
        <f>IF(AND(G2165&gt;0,H2165&gt;0),G2165/H2165,"")</f>
        <v/>
      </c>
    </row>
    <row r="2166">
      <c r="A2166" s="4" t="inlineStr">
        <is>
          <t>261</t>
        </is>
      </c>
      <c r="B2166" s="4" t="n">
        <v>2</v>
      </c>
      <c r="C2166" s="4" t="inlineStr">
        <is>
          <t>elk</t>
        </is>
      </c>
      <c r="D2166" s="4" t="n">
        <v>2020</v>
      </c>
      <c r="E2166" s="13" t="inlineStr">
        <is>
          <t>General</t>
        </is>
      </c>
      <c r="F2166" s="5" t="n">
        <v>549</v>
      </c>
      <c r="G2166" s="5" t="n">
        <v>4443</v>
      </c>
      <c r="H2166" s="5" t="n">
        <v>97</v>
      </c>
      <c r="I2166" s="5" t="n">
        <v>69</v>
      </c>
      <c r="J2166" s="5" t="n">
        <v>29</v>
      </c>
      <c r="K2166" s="10">
        <f>IF(F2166&gt;0,H2166/F2166,"")</f>
        <v/>
      </c>
      <c r="L2166" s="16">
        <f>IF(AND(G2166&gt;0,H2166&gt;0),G2166/H2166,"")</f>
        <v/>
      </c>
    </row>
    <row r="2167">
      <c r="A2167" s="4" t="inlineStr">
        <is>
          <t>261</t>
        </is>
      </c>
      <c r="B2167" s="4" t="n">
        <v>2</v>
      </c>
      <c r="C2167" s="4" t="inlineStr">
        <is>
          <t>elk</t>
        </is>
      </c>
      <c r="D2167" s="4" t="n">
        <v>2021</v>
      </c>
      <c r="E2167" s="13" t="inlineStr">
        <is>
          <t>General</t>
        </is>
      </c>
      <c r="F2167" s="5" t="n"/>
      <c r="G2167" s="5" t="n"/>
      <c r="H2167" s="5" t="n">
        <v>54</v>
      </c>
      <c r="I2167" s="5" t="n">
        <v>47</v>
      </c>
      <c r="J2167" s="5" t="n">
        <v>7</v>
      </c>
      <c r="K2167" s="10">
        <f>IF(F2167&gt;0,H2167/F2167,"")</f>
        <v/>
      </c>
      <c r="L2167" s="16">
        <f>IF(AND(G2167&gt;0,H2167&gt;0),G2167/H2167,"")</f>
        <v/>
      </c>
    </row>
    <row r="2168">
      <c r="A2168" s="4" t="inlineStr">
        <is>
          <t>261</t>
        </is>
      </c>
      <c r="B2168" s="4" t="n">
        <v>2</v>
      </c>
      <c r="C2168" s="4" t="inlineStr">
        <is>
          <t>elk</t>
        </is>
      </c>
      <c r="D2168" s="4" t="n">
        <v>2022</v>
      </c>
      <c r="E2168" s="13" t="inlineStr">
        <is>
          <t>General</t>
        </is>
      </c>
      <c r="F2168" s="5" t="n">
        <v>520</v>
      </c>
      <c r="G2168" s="5" t="n">
        <v>3671</v>
      </c>
      <c r="H2168" s="5" t="n">
        <v>89</v>
      </c>
      <c r="I2168" s="5" t="n">
        <v>56</v>
      </c>
      <c r="J2168" s="5" t="n">
        <v>30</v>
      </c>
      <c r="K2168" s="10">
        <f>IF(F2168&gt;0,H2168/F2168,"")</f>
        <v/>
      </c>
      <c r="L2168" s="16">
        <f>IF(AND(G2168&gt;0,H2168&gt;0),G2168/H2168,"")</f>
        <v/>
      </c>
    </row>
    <row r="2169">
      <c r="A2169" s="4" t="inlineStr">
        <is>
          <t>261</t>
        </is>
      </c>
      <c r="B2169" s="4" t="n">
        <v>2</v>
      </c>
      <c r="C2169" s="4" t="inlineStr">
        <is>
          <t>elk</t>
        </is>
      </c>
      <c r="D2169" s="4" t="n">
        <v>2023</v>
      </c>
      <c r="E2169" s="13" t="inlineStr">
        <is>
          <t>General</t>
        </is>
      </c>
      <c r="F2169" s="5" t="n"/>
      <c r="G2169" s="5" t="n"/>
      <c r="H2169" s="5" t="n">
        <v>25</v>
      </c>
      <c r="I2169" s="5" t="n">
        <v>12</v>
      </c>
      <c r="J2169" s="5" t="n">
        <v>14</v>
      </c>
      <c r="K2169" s="10">
        <f>IF(F2169&gt;0,H2169/F2169,"")</f>
        <v/>
      </c>
      <c r="L2169" s="16">
        <f>IF(AND(G2169&gt;0,H2169&gt;0),G2169/H2169,"")</f>
        <v/>
      </c>
    </row>
    <row r="2170">
      <c r="A2170" s="4" t="inlineStr">
        <is>
          <t>261</t>
        </is>
      </c>
      <c r="B2170" s="4" t="n">
        <v>2</v>
      </c>
      <c r="C2170" s="4" t="inlineStr">
        <is>
          <t>elk</t>
        </is>
      </c>
      <c r="D2170" s="4" t="n">
        <v>2024</v>
      </c>
      <c r="E2170" s="13" t="inlineStr">
        <is>
          <t>General</t>
        </is>
      </c>
      <c r="F2170" s="5" t="n">
        <v>473</v>
      </c>
      <c r="G2170" s="5" t="n">
        <v>3809</v>
      </c>
      <c r="H2170" s="5" t="n">
        <v>48</v>
      </c>
      <c r="I2170" s="5" t="n">
        <v>29</v>
      </c>
      <c r="J2170" s="5" t="n">
        <v>19</v>
      </c>
      <c r="K2170" s="10">
        <f>IF(F2170&gt;0,H2170/F2170,"")</f>
        <v/>
      </c>
      <c r="L2170" s="16">
        <f>IF(AND(G2170&gt;0,H2170&gt;0),G2170/H2170,"")</f>
        <v/>
      </c>
    </row>
    <row r="2171">
      <c r="A2171" s="4" t="inlineStr">
        <is>
          <t>261</t>
        </is>
      </c>
      <c r="B2171" s="4" t="n">
        <v>2</v>
      </c>
      <c r="C2171" s="4" t="inlineStr">
        <is>
          <t>elk</t>
        </is>
      </c>
      <c r="D2171" s="4" t="n">
        <v>2025</v>
      </c>
      <c r="E2171" s="13" t="inlineStr">
        <is>
          <t>General</t>
        </is>
      </c>
      <c r="F2171" s="5" t="n"/>
      <c r="G2171" s="5" t="n"/>
      <c r="H2171" s="5" t="n">
        <v>57</v>
      </c>
      <c r="I2171" s="5" t="n">
        <v>36</v>
      </c>
      <c r="J2171" s="5" t="n">
        <v>21</v>
      </c>
      <c r="K2171" s="10">
        <f>IF(F2171&gt;0,H2171/F2171,"")</f>
        <v/>
      </c>
      <c r="L2171" s="16">
        <f>IF(AND(G2171&gt;0,H2171&gt;0),G2171/H2171,"")</f>
        <v/>
      </c>
    </row>
    <row r="2172">
      <c r="A2172" s="4" t="inlineStr">
        <is>
          <t>262</t>
        </is>
      </c>
      <c r="B2172" s="4" t="n">
        <v>2</v>
      </c>
      <c r="C2172" s="4" t="inlineStr">
        <is>
          <t>elk</t>
        </is>
      </c>
      <c r="D2172" s="4" t="n">
        <v>2014</v>
      </c>
      <c r="E2172" s="13" t="inlineStr">
        <is>
          <t>General</t>
        </is>
      </c>
      <c r="F2172" s="5" t="n">
        <v>240</v>
      </c>
      <c r="G2172" s="5" t="n">
        <v>1426</v>
      </c>
      <c r="H2172" s="5" t="n">
        <v>73</v>
      </c>
      <c r="I2172" s="5" t="n">
        <v>6</v>
      </c>
      <c r="J2172" s="5" t="n">
        <v>62</v>
      </c>
      <c r="K2172" s="10">
        <f>IF(F2172&gt;0,H2172/F2172,"")</f>
        <v/>
      </c>
      <c r="L2172" s="16">
        <f>IF(AND(G2172&gt;0,H2172&gt;0),G2172/H2172,"")</f>
        <v/>
      </c>
    </row>
    <row r="2173">
      <c r="A2173" s="4" t="inlineStr">
        <is>
          <t>262</t>
        </is>
      </c>
      <c r="B2173" s="4" t="n">
        <v>2</v>
      </c>
      <c r="C2173" s="4" t="inlineStr">
        <is>
          <t>elk</t>
        </is>
      </c>
      <c r="D2173" s="4" t="n">
        <v>2015</v>
      </c>
      <c r="E2173" s="13" t="inlineStr">
        <is>
          <t>General</t>
        </is>
      </c>
      <c r="F2173" s="5" t="n">
        <v>248</v>
      </c>
      <c r="G2173" s="5" t="n">
        <v>1445</v>
      </c>
      <c r="H2173" s="5" t="n">
        <v>101</v>
      </c>
      <c r="I2173" s="5" t="n">
        <v>3</v>
      </c>
      <c r="J2173" s="5" t="n">
        <v>91</v>
      </c>
      <c r="K2173" s="10">
        <f>IF(F2173&gt;0,H2173/F2173,"")</f>
        <v/>
      </c>
      <c r="L2173" s="16">
        <f>IF(AND(G2173&gt;0,H2173&gt;0),G2173/H2173,"")</f>
        <v/>
      </c>
    </row>
    <row r="2174">
      <c r="A2174" s="4" t="inlineStr">
        <is>
          <t>262</t>
        </is>
      </c>
      <c r="B2174" s="4" t="n">
        <v>2</v>
      </c>
      <c r="C2174" s="4" t="inlineStr">
        <is>
          <t>elk</t>
        </is>
      </c>
      <c r="D2174" s="4" t="n">
        <v>2016</v>
      </c>
      <c r="E2174" s="13" t="inlineStr">
        <is>
          <t>General</t>
        </is>
      </c>
      <c r="F2174" s="5" t="n">
        <v>298</v>
      </c>
      <c r="G2174" s="5" t="n">
        <v>2498</v>
      </c>
      <c r="H2174" s="5" t="n">
        <v>56</v>
      </c>
      <c r="I2174" s="5" t="n">
        <v>3</v>
      </c>
      <c r="J2174" s="5" t="n">
        <v>50</v>
      </c>
      <c r="K2174" s="10">
        <f>IF(F2174&gt;0,H2174/F2174,"")</f>
        <v/>
      </c>
      <c r="L2174" s="16">
        <f>IF(AND(G2174&gt;0,H2174&gt;0),G2174/H2174,"")</f>
        <v/>
      </c>
    </row>
    <row r="2175">
      <c r="A2175" s="4" t="inlineStr">
        <is>
          <t>262</t>
        </is>
      </c>
      <c r="B2175" s="4" t="n">
        <v>2</v>
      </c>
      <c r="C2175" s="4" t="inlineStr">
        <is>
          <t>elk</t>
        </is>
      </c>
      <c r="D2175" s="4" t="n">
        <v>2017</v>
      </c>
      <c r="E2175" s="13" t="inlineStr">
        <is>
          <t>General</t>
        </is>
      </c>
      <c r="F2175" s="5" t="n"/>
      <c r="G2175" s="5" t="n"/>
      <c r="H2175" s="5" t="n">
        <v>76</v>
      </c>
      <c r="I2175" s="5" t="n">
        <v>4</v>
      </c>
      <c r="J2175" s="5" t="n">
        <v>71</v>
      </c>
      <c r="K2175" s="10">
        <f>IF(F2175&gt;0,H2175/F2175,"")</f>
        <v/>
      </c>
      <c r="L2175" s="16">
        <f>IF(AND(G2175&gt;0,H2175&gt;0),G2175/H2175,"")</f>
        <v/>
      </c>
    </row>
    <row r="2176">
      <c r="A2176" s="4" t="inlineStr">
        <is>
          <t>262</t>
        </is>
      </c>
      <c r="B2176" s="4" t="n">
        <v>2</v>
      </c>
      <c r="C2176" s="4" t="inlineStr">
        <is>
          <t>elk</t>
        </is>
      </c>
      <c r="D2176" s="4" t="n">
        <v>2018</v>
      </c>
      <c r="E2176" s="13" t="inlineStr">
        <is>
          <t>General</t>
        </is>
      </c>
      <c r="F2176" s="5" t="n">
        <v>356</v>
      </c>
      <c r="G2176" s="5" t="n">
        <v>3089</v>
      </c>
      <c r="H2176" s="5" t="n">
        <v>117</v>
      </c>
      <c r="I2176" s="5" t="n">
        <v>9</v>
      </c>
      <c r="J2176" s="5" t="n">
        <v>105</v>
      </c>
      <c r="K2176" s="10">
        <f>IF(F2176&gt;0,H2176/F2176,"")</f>
        <v/>
      </c>
      <c r="L2176" s="16">
        <f>IF(AND(G2176&gt;0,H2176&gt;0),G2176/H2176,"")</f>
        <v/>
      </c>
    </row>
    <row r="2177">
      <c r="A2177" s="4" t="inlineStr">
        <is>
          <t>262</t>
        </is>
      </c>
      <c r="B2177" s="4" t="n">
        <v>2</v>
      </c>
      <c r="C2177" s="4" t="inlineStr">
        <is>
          <t>elk</t>
        </is>
      </c>
      <c r="D2177" s="4" t="n">
        <v>2019</v>
      </c>
      <c r="E2177" s="13" t="inlineStr">
        <is>
          <t>General</t>
        </is>
      </c>
      <c r="F2177" s="5" t="n"/>
      <c r="G2177" s="5" t="n"/>
      <c r="H2177" s="5" t="n">
        <v>45</v>
      </c>
      <c r="I2177" s="5" t="n">
        <v>9</v>
      </c>
      <c r="J2177" s="5" t="n">
        <v>36</v>
      </c>
      <c r="K2177" s="10">
        <f>IF(F2177&gt;0,H2177/F2177,"")</f>
        <v/>
      </c>
      <c r="L2177" s="16">
        <f>IF(AND(G2177&gt;0,H2177&gt;0),G2177/H2177,"")</f>
        <v/>
      </c>
    </row>
    <row r="2178">
      <c r="A2178" s="4" t="inlineStr">
        <is>
          <t>262</t>
        </is>
      </c>
      <c r="B2178" s="4" t="n">
        <v>2</v>
      </c>
      <c r="C2178" s="4" t="inlineStr">
        <is>
          <t>elk</t>
        </is>
      </c>
      <c r="D2178" s="4" t="n">
        <v>2020</v>
      </c>
      <c r="E2178" s="13" t="inlineStr">
        <is>
          <t>General</t>
        </is>
      </c>
      <c r="F2178" s="5" t="n">
        <v>417</v>
      </c>
      <c r="G2178" s="5" t="n">
        <v>2636</v>
      </c>
      <c r="H2178" s="5" t="n">
        <v>124</v>
      </c>
      <c r="I2178" s="5" t="n">
        <v>21</v>
      </c>
      <c r="J2178" s="5" t="n">
        <v>96</v>
      </c>
      <c r="K2178" s="10">
        <f>IF(F2178&gt;0,H2178/F2178,"")</f>
        <v/>
      </c>
      <c r="L2178" s="16">
        <f>IF(AND(G2178&gt;0,H2178&gt;0),G2178/H2178,"")</f>
        <v/>
      </c>
    </row>
    <row r="2179">
      <c r="A2179" s="4" t="inlineStr">
        <is>
          <t>262</t>
        </is>
      </c>
      <c r="B2179" s="4" t="n">
        <v>2</v>
      </c>
      <c r="C2179" s="4" t="inlineStr">
        <is>
          <t>elk</t>
        </is>
      </c>
      <c r="D2179" s="4" t="n">
        <v>2021</v>
      </c>
      <c r="E2179" s="13" t="inlineStr">
        <is>
          <t>General</t>
        </is>
      </c>
      <c r="F2179" s="5" t="n"/>
      <c r="G2179" s="5" t="n"/>
      <c r="H2179" s="5" t="n">
        <v>122</v>
      </c>
      <c r="I2179" s="5" t="n">
        <v>4</v>
      </c>
      <c r="J2179" s="5" t="n">
        <v>114</v>
      </c>
      <c r="K2179" s="10">
        <f>IF(F2179&gt;0,H2179/F2179,"")</f>
        <v/>
      </c>
      <c r="L2179" s="16">
        <f>IF(AND(G2179&gt;0,H2179&gt;0),G2179/H2179,"")</f>
        <v/>
      </c>
    </row>
    <row r="2180">
      <c r="A2180" s="4" t="inlineStr">
        <is>
          <t>262</t>
        </is>
      </c>
      <c r="B2180" s="4" t="n">
        <v>2</v>
      </c>
      <c r="C2180" s="4" t="inlineStr">
        <is>
          <t>elk</t>
        </is>
      </c>
      <c r="D2180" s="4" t="n">
        <v>2022</v>
      </c>
      <c r="E2180" s="13" t="inlineStr">
        <is>
          <t>General</t>
        </is>
      </c>
      <c r="F2180" s="5" t="n">
        <v>362</v>
      </c>
      <c r="G2180" s="5" t="n">
        <v>2352</v>
      </c>
      <c r="H2180" s="5" t="n">
        <v>109</v>
      </c>
      <c r="I2180" s="5" t="n">
        <v>20</v>
      </c>
      <c r="J2180" s="5" t="n">
        <v>89</v>
      </c>
      <c r="K2180" s="10">
        <f>IF(F2180&gt;0,H2180/F2180,"")</f>
        <v/>
      </c>
      <c r="L2180" s="16">
        <f>IF(AND(G2180&gt;0,H2180&gt;0),G2180/H2180,"")</f>
        <v/>
      </c>
    </row>
    <row r="2181">
      <c r="A2181" s="4" t="inlineStr">
        <is>
          <t>262</t>
        </is>
      </c>
      <c r="B2181" s="4" t="n">
        <v>2</v>
      </c>
      <c r="C2181" s="4" t="inlineStr">
        <is>
          <t>elk</t>
        </is>
      </c>
      <c r="D2181" s="4" t="n">
        <v>2023</v>
      </c>
      <c r="E2181" s="13" t="inlineStr">
        <is>
          <t>General</t>
        </is>
      </c>
      <c r="F2181" s="5" t="n"/>
      <c r="G2181" s="5" t="n"/>
      <c r="H2181" s="5" t="n">
        <v>113</v>
      </c>
      <c r="I2181" s="5" t="n">
        <v>21</v>
      </c>
      <c r="J2181" s="5" t="n">
        <v>86</v>
      </c>
      <c r="K2181" s="10">
        <f>IF(F2181&gt;0,H2181/F2181,"")</f>
        <v/>
      </c>
      <c r="L2181" s="16">
        <f>IF(AND(G2181&gt;0,H2181&gt;0),G2181/H2181,"")</f>
        <v/>
      </c>
    </row>
    <row r="2182">
      <c r="A2182" s="4" t="inlineStr">
        <is>
          <t>262</t>
        </is>
      </c>
      <c r="B2182" s="4" t="n">
        <v>2</v>
      </c>
      <c r="C2182" s="4" t="inlineStr">
        <is>
          <t>elk</t>
        </is>
      </c>
      <c r="D2182" s="4" t="n">
        <v>2024</v>
      </c>
      <c r="E2182" s="13" t="inlineStr">
        <is>
          <t>General</t>
        </is>
      </c>
      <c r="F2182" s="5" t="n">
        <v>378</v>
      </c>
      <c r="G2182" s="5" t="n">
        <v>2804</v>
      </c>
      <c r="H2182" s="5" t="n">
        <v>93</v>
      </c>
      <c r="I2182" s="5" t="n">
        <v>9</v>
      </c>
      <c r="J2182" s="5" t="n">
        <v>84</v>
      </c>
      <c r="K2182" s="10">
        <f>IF(F2182&gt;0,H2182/F2182,"")</f>
        <v/>
      </c>
      <c r="L2182" s="16">
        <f>IF(AND(G2182&gt;0,H2182&gt;0),G2182/H2182,"")</f>
        <v/>
      </c>
    </row>
    <row r="2183">
      <c r="A2183" s="4" t="inlineStr">
        <is>
          <t>262</t>
        </is>
      </c>
      <c r="B2183" s="4" t="n">
        <v>2</v>
      </c>
      <c r="C2183" s="4" t="inlineStr">
        <is>
          <t>elk</t>
        </is>
      </c>
      <c r="D2183" s="4" t="n">
        <v>2025</v>
      </c>
      <c r="E2183" s="13" t="inlineStr">
        <is>
          <t>General</t>
        </is>
      </c>
      <c r="F2183" s="5" t="n"/>
      <c r="G2183" s="5" t="n"/>
      <c r="H2183" s="5" t="n">
        <v>184</v>
      </c>
      <c r="I2183" s="5" t="n">
        <v>36</v>
      </c>
      <c r="J2183" s="5" t="n">
        <v>141</v>
      </c>
      <c r="K2183" s="10">
        <f>IF(F2183&gt;0,H2183/F2183,"")</f>
        <v/>
      </c>
      <c r="L2183" s="16">
        <f>IF(AND(G2183&gt;0,H2183&gt;0),G2183/H2183,"")</f>
        <v/>
      </c>
    </row>
    <row r="2184">
      <c r="A2184" s="4" t="inlineStr">
        <is>
          <t>270</t>
        </is>
      </c>
      <c r="B2184" s="4" t="n">
        <v>2</v>
      </c>
      <c r="C2184" s="4" t="inlineStr">
        <is>
          <t>elk</t>
        </is>
      </c>
      <c r="D2184" s="4" t="n">
        <v>2004</v>
      </c>
      <c r="E2184" s="15" t="inlineStr">
        <is>
          <t>Draw</t>
        </is>
      </c>
      <c r="F2184" s="5" t="n">
        <v>3743</v>
      </c>
      <c r="G2184" s="5" t="n">
        <v>24854</v>
      </c>
      <c r="H2184" s="5" t="n">
        <v>505</v>
      </c>
      <c r="I2184" s="5" t="n">
        <v>202</v>
      </c>
      <c r="J2184" s="5" t="n">
        <v>250</v>
      </c>
      <c r="K2184" s="10">
        <f>IF(F2184&gt;0,H2184/F2184,"")</f>
        <v/>
      </c>
      <c r="L2184" s="16">
        <f>IF(AND(G2184&gt;0,H2184&gt;0),G2184/H2184,"")</f>
        <v/>
      </c>
    </row>
    <row r="2185">
      <c r="A2185" s="4" t="inlineStr">
        <is>
          <t>270</t>
        </is>
      </c>
      <c r="B2185" s="4" t="n">
        <v>2</v>
      </c>
      <c r="C2185" s="4" t="inlineStr">
        <is>
          <t>elk</t>
        </is>
      </c>
      <c r="D2185" s="4" t="n">
        <v>2005</v>
      </c>
      <c r="E2185" s="15" t="inlineStr">
        <is>
          <t>Draw</t>
        </is>
      </c>
      <c r="F2185" s="5" t="n">
        <v>4218</v>
      </c>
      <c r="G2185" s="5" t="n">
        <v>25655</v>
      </c>
      <c r="H2185" s="5" t="n">
        <v>952</v>
      </c>
      <c r="I2185" s="5" t="n">
        <v>424</v>
      </c>
      <c r="J2185" s="5" t="n">
        <v>470</v>
      </c>
      <c r="K2185" s="10">
        <f>IF(F2185&gt;0,H2185/F2185,"")</f>
        <v/>
      </c>
      <c r="L2185" s="16">
        <f>IF(AND(G2185&gt;0,H2185&gt;0),G2185/H2185,"")</f>
        <v/>
      </c>
    </row>
    <row r="2186">
      <c r="A2186" s="4" t="inlineStr">
        <is>
          <t>270</t>
        </is>
      </c>
      <c r="B2186" s="4" t="n">
        <v>2</v>
      </c>
      <c r="C2186" s="4" t="inlineStr">
        <is>
          <t>elk</t>
        </is>
      </c>
      <c r="D2186" s="4" t="n">
        <v>2006</v>
      </c>
      <c r="E2186" s="15" t="inlineStr">
        <is>
          <t>Draw</t>
        </is>
      </c>
      <c r="F2186" s="5" t="n">
        <v>3575</v>
      </c>
      <c r="G2186" s="5" t="n">
        <v>24452</v>
      </c>
      <c r="H2186" s="5" t="n">
        <v>618</v>
      </c>
      <c r="I2186" s="5" t="n">
        <v>192</v>
      </c>
      <c r="J2186" s="5" t="n">
        <v>360</v>
      </c>
      <c r="K2186" s="10">
        <f>IF(F2186&gt;0,H2186/F2186,"")</f>
        <v/>
      </c>
      <c r="L2186" s="16">
        <f>IF(AND(G2186&gt;0,H2186&gt;0),G2186/H2186,"")</f>
        <v/>
      </c>
    </row>
    <row r="2187">
      <c r="A2187" s="4" t="inlineStr">
        <is>
          <t>270</t>
        </is>
      </c>
      <c r="B2187" s="4" t="n">
        <v>2</v>
      </c>
      <c r="C2187" s="4" t="inlineStr">
        <is>
          <t>elk</t>
        </is>
      </c>
      <c r="D2187" s="4" t="n">
        <v>2007</v>
      </c>
      <c r="E2187" s="15" t="inlineStr">
        <is>
          <t>Draw</t>
        </is>
      </c>
      <c r="F2187" s="5" t="n">
        <v>3953</v>
      </c>
      <c r="G2187" s="5" t="n">
        <v>28264</v>
      </c>
      <c r="H2187" s="5" t="n">
        <v>915</v>
      </c>
      <c r="I2187" s="5" t="n">
        <v>306</v>
      </c>
      <c r="J2187" s="5" t="n">
        <v>546</v>
      </c>
      <c r="K2187" s="10">
        <f>IF(F2187&gt;0,H2187/F2187,"")</f>
        <v/>
      </c>
      <c r="L2187" s="16">
        <f>IF(AND(G2187&gt;0,H2187&gt;0),G2187/H2187,"")</f>
        <v/>
      </c>
    </row>
    <row r="2188">
      <c r="A2188" s="4" t="inlineStr">
        <is>
          <t>270</t>
        </is>
      </c>
      <c r="B2188" s="4" t="n">
        <v>2</v>
      </c>
      <c r="C2188" s="4" t="inlineStr">
        <is>
          <t>elk</t>
        </is>
      </c>
      <c r="D2188" s="4" t="n">
        <v>2008</v>
      </c>
      <c r="E2188" s="15" t="inlineStr">
        <is>
          <t>Draw</t>
        </is>
      </c>
      <c r="F2188" s="5" t="n">
        <v>3744</v>
      </c>
      <c r="G2188" s="5" t="n">
        <v>28617</v>
      </c>
      <c r="H2188" s="5" t="n">
        <v>374</v>
      </c>
      <c r="I2188" s="5" t="n">
        <v>140</v>
      </c>
      <c r="J2188" s="5" t="n">
        <v>200</v>
      </c>
      <c r="K2188" s="10">
        <f>IF(F2188&gt;0,H2188/F2188,"")</f>
        <v/>
      </c>
      <c r="L2188" s="16">
        <f>IF(AND(G2188&gt;0,H2188&gt;0),G2188/H2188,"")</f>
        <v/>
      </c>
    </row>
    <row r="2189">
      <c r="A2189" s="4" t="inlineStr">
        <is>
          <t>270</t>
        </is>
      </c>
      <c r="B2189" s="4" t="n">
        <v>2</v>
      </c>
      <c r="C2189" s="4" t="inlineStr">
        <is>
          <t>elk</t>
        </is>
      </c>
      <c r="D2189" s="4" t="n">
        <v>2009</v>
      </c>
      <c r="E2189" s="15" t="inlineStr">
        <is>
          <t>Draw</t>
        </is>
      </c>
      <c r="F2189" s="5" t="n">
        <v>2938</v>
      </c>
      <c r="G2189" s="5" t="n">
        <v>21439</v>
      </c>
      <c r="H2189" s="5" t="n">
        <v>356</v>
      </c>
      <c r="I2189" s="5" t="n">
        <v>232</v>
      </c>
      <c r="J2189" s="5" t="n">
        <v>100</v>
      </c>
      <c r="K2189" s="10">
        <f>IF(F2189&gt;0,H2189/F2189,"")</f>
        <v/>
      </c>
      <c r="L2189" s="16">
        <f>IF(AND(G2189&gt;0,H2189&gt;0),G2189/H2189,"")</f>
        <v/>
      </c>
    </row>
    <row r="2190">
      <c r="A2190" s="4" t="inlineStr">
        <is>
          <t>270</t>
        </is>
      </c>
      <c r="B2190" s="4" t="n">
        <v>2</v>
      </c>
      <c r="C2190" s="4" t="inlineStr">
        <is>
          <t>elk</t>
        </is>
      </c>
      <c r="D2190" s="4" t="n">
        <v>2010</v>
      </c>
      <c r="E2190" s="15" t="inlineStr">
        <is>
          <t>Draw</t>
        </is>
      </c>
      <c r="F2190" s="5" t="n">
        <v>2629</v>
      </c>
      <c r="G2190" s="5" t="n">
        <v>17615</v>
      </c>
      <c r="H2190" s="5" t="n">
        <v>372</v>
      </c>
      <c r="I2190" s="5" t="n">
        <v>275</v>
      </c>
      <c r="J2190" s="5" t="n">
        <v>92</v>
      </c>
      <c r="K2190" s="10">
        <f>IF(F2190&gt;0,H2190/F2190,"")</f>
        <v/>
      </c>
      <c r="L2190" s="16">
        <f>IF(AND(G2190&gt;0,H2190&gt;0),G2190/H2190,"")</f>
        <v/>
      </c>
    </row>
    <row r="2191">
      <c r="A2191" s="4" t="inlineStr">
        <is>
          <t>270</t>
        </is>
      </c>
      <c r="B2191" s="4" t="n">
        <v>2</v>
      </c>
      <c r="C2191" s="4" t="inlineStr">
        <is>
          <t>elk</t>
        </is>
      </c>
      <c r="D2191" s="4" t="n">
        <v>2011</v>
      </c>
      <c r="E2191" s="15" t="inlineStr">
        <is>
          <t>Draw</t>
        </is>
      </c>
      <c r="F2191" s="5" t="n">
        <v>2658</v>
      </c>
      <c r="G2191" s="5" t="n">
        <v>20754</v>
      </c>
      <c r="H2191" s="5" t="n">
        <v>318</v>
      </c>
      <c r="I2191" s="5" t="n">
        <v>226</v>
      </c>
      <c r="J2191" s="5" t="n">
        <v>82</v>
      </c>
      <c r="K2191" s="10">
        <f>IF(F2191&gt;0,H2191/F2191,"")</f>
        <v/>
      </c>
      <c r="L2191" s="16">
        <f>IF(AND(G2191&gt;0,H2191&gt;0),G2191/H2191,"")</f>
        <v/>
      </c>
    </row>
    <row r="2192">
      <c r="A2192" s="4" t="inlineStr">
        <is>
          <t>270</t>
        </is>
      </c>
      <c r="B2192" s="4" t="n">
        <v>2</v>
      </c>
      <c r="C2192" s="4" t="inlineStr">
        <is>
          <t>elk</t>
        </is>
      </c>
      <c r="D2192" s="4" t="n">
        <v>2012</v>
      </c>
      <c r="E2192" s="15" t="inlineStr">
        <is>
          <t>Draw</t>
        </is>
      </c>
      <c r="F2192" s="5" t="n">
        <v>1630</v>
      </c>
      <c r="G2192" s="5" t="n">
        <v>12038</v>
      </c>
      <c r="H2192" s="5" t="n">
        <v>283</v>
      </c>
      <c r="I2192" s="5" t="n">
        <v>206</v>
      </c>
      <c r="J2192" s="5" t="n">
        <v>72</v>
      </c>
      <c r="K2192" s="10">
        <f>IF(F2192&gt;0,H2192/F2192,"")</f>
        <v/>
      </c>
      <c r="L2192" s="16">
        <f>IF(AND(G2192&gt;0,H2192&gt;0),G2192/H2192,"")</f>
        <v/>
      </c>
    </row>
    <row r="2193">
      <c r="A2193" s="4" t="inlineStr">
        <is>
          <t>270</t>
        </is>
      </c>
      <c r="B2193" s="4" t="n">
        <v>2</v>
      </c>
      <c r="C2193" s="4" t="inlineStr">
        <is>
          <t>elk</t>
        </is>
      </c>
      <c r="D2193" s="4" t="n">
        <v>2013</v>
      </c>
      <c r="E2193" s="15" t="inlineStr">
        <is>
          <t>Draw</t>
        </is>
      </c>
      <c r="F2193" s="5" t="n"/>
      <c r="G2193" s="5" t="n"/>
      <c r="H2193" s="5" t="n">
        <v>371</v>
      </c>
      <c r="I2193" s="5" t="n">
        <v>269</v>
      </c>
      <c r="J2193" s="5" t="n">
        <v>83</v>
      </c>
      <c r="K2193" s="10">
        <f>IF(F2193&gt;0,H2193/F2193,"")</f>
        <v/>
      </c>
      <c r="L2193" s="16">
        <f>IF(AND(G2193&gt;0,H2193&gt;0),G2193/H2193,"")</f>
        <v/>
      </c>
    </row>
    <row r="2194">
      <c r="A2194" s="4" t="inlineStr">
        <is>
          <t>270</t>
        </is>
      </c>
      <c r="B2194" s="4" t="n">
        <v>2</v>
      </c>
      <c r="C2194" s="4" t="inlineStr">
        <is>
          <t>elk</t>
        </is>
      </c>
      <c r="D2194" s="4" t="n">
        <v>2014</v>
      </c>
      <c r="E2194" s="15" t="inlineStr">
        <is>
          <t>Draw</t>
        </is>
      </c>
      <c r="F2194" s="5" t="n">
        <v>2488</v>
      </c>
      <c r="G2194" s="5" t="n">
        <v>19278</v>
      </c>
      <c r="H2194" s="5" t="n">
        <v>430</v>
      </c>
      <c r="I2194" s="5" t="n">
        <v>359</v>
      </c>
      <c r="J2194" s="5" t="n">
        <v>64</v>
      </c>
      <c r="K2194" s="10">
        <f>IF(F2194&gt;0,H2194/F2194,"")</f>
        <v/>
      </c>
      <c r="L2194" s="16">
        <f>IF(AND(G2194&gt;0,H2194&gt;0),G2194/H2194,"")</f>
        <v/>
      </c>
    </row>
    <row r="2195">
      <c r="A2195" s="4" t="inlineStr">
        <is>
          <t>270</t>
        </is>
      </c>
      <c r="B2195" s="4" t="n">
        <v>2</v>
      </c>
      <c r="C2195" s="4" t="inlineStr">
        <is>
          <t>elk</t>
        </is>
      </c>
      <c r="D2195" s="4" t="n">
        <v>2015</v>
      </c>
      <c r="E2195" s="15" t="inlineStr">
        <is>
          <t>Draw</t>
        </is>
      </c>
      <c r="F2195" s="5" t="n">
        <v>2768</v>
      </c>
      <c r="G2195" s="5" t="n">
        <v>23018</v>
      </c>
      <c r="H2195" s="5" t="n">
        <v>437</v>
      </c>
      <c r="I2195" s="5" t="n">
        <v>326</v>
      </c>
      <c r="J2195" s="5" t="n">
        <v>106</v>
      </c>
      <c r="K2195" s="10">
        <f>IF(F2195&gt;0,H2195/F2195,"")</f>
        <v/>
      </c>
      <c r="L2195" s="16">
        <f>IF(AND(G2195&gt;0,H2195&gt;0),G2195/H2195,"")</f>
        <v/>
      </c>
    </row>
    <row r="2196">
      <c r="A2196" s="4" t="inlineStr">
        <is>
          <t>270</t>
        </is>
      </c>
      <c r="B2196" s="4" t="n">
        <v>2</v>
      </c>
      <c r="C2196" s="4" t="inlineStr">
        <is>
          <t>elk</t>
        </is>
      </c>
      <c r="D2196" s="4" t="n">
        <v>2016</v>
      </c>
      <c r="E2196" s="15" t="inlineStr">
        <is>
          <t>Draw</t>
        </is>
      </c>
      <c r="F2196" s="5" t="n">
        <v>2594</v>
      </c>
      <c r="G2196" s="5" t="n">
        <v>21719</v>
      </c>
      <c r="H2196" s="5" t="n">
        <v>348</v>
      </c>
      <c r="I2196" s="5" t="n">
        <v>221</v>
      </c>
      <c r="J2196" s="5" t="n">
        <v>121</v>
      </c>
      <c r="K2196" s="10">
        <f>IF(F2196&gt;0,H2196/F2196,"")</f>
        <v/>
      </c>
      <c r="L2196" s="16">
        <f>IF(AND(G2196&gt;0,H2196&gt;0),G2196/H2196,"")</f>
        <v/>
      </c>
    </row>
    <row r="2197">
      <c r="A2197" s="4" t="inlineStr">
        <is>
          <t>270</t>
        </is>
      </c>
      <c r="B2197" s="4" t="n">
        <v>2</v>
      </c>
      <c r="C2197" s="4" t="inlineStr">
        <is>
          <t>elk</t>
        </is>
      </c>
      <c r="D2197" s="4" t="n">
        <v>2017</v>
      </c>
      <c r="E2197" s="15" t="inlineStr">
        <is>
          <t>Draw</t>
        </is>
      </c>
      <c r="F2197" s="5" t="n"/>
      <c r="G2197" s="5" t="n"/>
      <c r="H2197" s="5" t="n">
        <v>519</v>
      </c>
      <c r="I2197" s="5" t="n">
        <v>389</v>
      </c>
      <c r="J2197" s="5" t="n">
        <v>126</v>
      </c>
      <c r="K2197" s="10">
        <f>IF(F2197&gt;0,H2197/F2197,"")</f>
        <v/>
      </c>
      <c r="L2197" s="16">
        <f>IF(AND(G2197&gt;0,H2197&gt;0),G2197/H2197,"")</f>
        <v/>
      </c>
    </row>
    <row r="2198">
      <c r="A2198" s="4" t="inlineStr">
        <is>
          <t>270</t>
        </is>
      </c>
      <c r="B2198" s="4" t="n">
        <v>2</v>
      </c>
      <c r="C2198" s="4" t="inlineStr">
        <is>
          <t>elk</t>
        </is>
      </c>
      <c r="D2198" s="4" t="n">
        <v>2018</v>
      </c>
      <c r="E2198" s="15" t="inlineStr">
        <is>
          <t>Draw</t>
        </is>
      </c>
      <c r="F2198" s="5" t="n">
        <v>2875</v>
      </c>
      <c r="G2198" s="5" t="n">
        <v>22751</v>
      </c>
      <c r="H2198" s="5" t="n">
        <v>441</v>
      </c>
      <c r="I2198" s="5" t="n">
        <v>238</v>
      </c>
      <c r="J2198" s="5" t="n">
        <v>199</v>
      </c>
      <c r="K2198" s="10">
        <f>IF(F2198&gt;0,H2198/F2198,"")</f>
        <v/>
      </c>
      <c r="L2198" s="16">
        <f>IF(AND(G2198&gt;0,H2198&gt;0),G2198/H2198,"")</f>
        <v/>
      </c>
    </row>
    <row r="2199">
      <c r="A2199" s="4" t="inlineStr">
        <is>
          <t>270</t>
        </is>
      </c>
      <c r="B2199" s="4" t="n">
        <v>2</v>
      </c>
      <c r="C2199" s="4" t="inlineStr">
        <is>
          <t>elk</t>
        </is>
      </c>
      <c r="D2199" s="4" t="n">
        <v>2019</v>
      </c>
      <c r="E2199" s="15" t="inlineStr">
        <is>
          <t>Draw</t>
        </is>
      </c>
      <c r="F2199" s="5" t="n"/>
      <c r="G2199" s="5" t="n"/>
      <c r="H2199" s="5" t="n">
        <v>461</v>
      </c>
      <c r="I2199" s="5" t="n">
        <v>234</v>
      </c>
      <c r="J2199" s="5" t="n">
        <v>211</v>
      </c>
      <c r="K2199" s="10">
        <f>IF(F2199&gt;0,H2199/F2199,"")</f>
        <v/>
      </c>
      <c r="L2199" s="16">
        <f>IF(AND(G2199&gt;0,H2199&gt;0),G2199/H2199,"")</f>
        <v/>
      </c>
    </row>
    <row r="2200">
      <c r="A2200" s="4" t="inlineStr">
        <is>
          <t>270</t>
        </is>
      </c>
      <c r="B2200" s="4" t="n">
        <v>2</v>
      </c>
      <c r="C2200" s="4" t="inlineStr">
        <is>
          <t>elk</t>
        </is>
      </c>
      <c r="D2200" s="4" t="n">
        <v>2020</v>
      </c>
      <c r="E2200" s="15" t="inlineStr">
        <is>
          <t>Draw</t>
        </is>
      </c>
      <c r="F2200" s="5" t="n">
        <v>2731</v>
      </c>
      <c r="G2200" s="5" t="n">
        <v>23936</v>
      </c>
      <c r="H2200" s="5" t="n">
        <v>489</v>
      </c>
      <c r="I2200" s="5" t="n">
        <v>272</v>
      </c>
      <c r="J2200" s="5" t="n">
        <v>210</v>
      </c>
      <c r="K2200" s="10">
        <f>IF(F2200&gt;0,H2200/F2200,"")</f>
        <v/>
      </c>
      <c r="L2200" s="16">
        <f>IF(AND(G2200&gt;0,H2200&gt;0),G2200/H2200,"")</f>
        <v/>
      </c>
    </row>
    <row r="2201">
      <c r="A2201" s="4" t="inlineStr">
        <is>
          <t>270</t>
        </is>
      </c>
      <c r="B2201" s="4" t="n">
        <v>2</v>
      </c>
      <c r="C2201" s="4" t="inlineStr">
        <is>
          <t>elk</t>
        </is>
      </c>
      <c r="D2201" s="4" t="n">
        <v>2021</v>
      </c>
      <c r="E2201" s="15" t="inlineStr">
        <is>
          <t>Draw</t>
        </is>
      </c>
      <c r="F2201" s="5" t="n"/>
      <c r="G2201" s="5" t="n"/>
      <c r="H2201" s="5" t="n">
        <v>408</v>
      </c>
      <c r="I2201" s="5" t="n">
        <v>268</v>
      </c>
      <c r="J2201" s="5" t="n">
        <v>140</v>
      </c>
      <c r="K2201" s="10">
        <f>IF(F2201&gt;0,H2201/F2201,"")</f>
        <v/>
      </c>
      <c r="L2201" s="16">
        <f>IF(AND(G2201&gt;0,H2201&gt;0),G2201/H2201,"")</f>
        <v/>
      </c>
    </row>
    <row r="2202">
      <c r="A2202" s="4" t="inlineStr">
        <is>
          <t>270</t>
        </is>
      </c>
      <c r="B2202" s="4" t="n">
        <v>2</v>
      </c>
      <c r="C2202" s="4" t="inlineStr">
        <is>
          <t>elk</t>
        </is>
      </c>
      <c r="D2202" s="4" t="n">
        <v>2022</v>
      </c>
      <c r="E2202" s="15" t="inlineStr">
        <is>
          <t>Draw</t>
        </is>
      </c>
      <c r="F2202" s="5" t="n">
        <v>2876</v>
      </c>
      <c r="G2202" s="5" t="n">
        <v>22919</v>
      </c>
      <c r="H2202" s="5" t="n">
        <v>633</v>
      </c>
      <c r="I2202" s="5" t="n">
        <v>342</v>
      </c>
      <c r="J2202" s="5" t="n">
        <v>283</v>
      </c>
      <c r="K2202" s="10">
        <f>IF(F2202&gt;0,H2202/F2202,"")</f>
        <v/>
      </c>
      <c r="L2202" s="16">
        <f>IF(AND(G2202&gt;0,H2202&gt;0),G2202/H2202,"")</f>
        <v/>
      </c>
    </row>
    <row r="2203">
      <c r="A2203" s="4" t="inlineStr">
        <is>
          <t>270</t>
        </is>
      </c>
      <c r="B2203" s="4" t="n">
        <v>2</v>
      </c>
      <c r="C2203" s="4" t="inlineStr">
        <is>
          <t>elk</t>
        </is>
      </c>
      <c r="D2203" s="4" t="n">
        <v>2023</v>
      </c>
      <c r="E2203" s="15" t="inlineStr">
        <is>
          <t>Draw</t>
        </is>
      </c>
      <c r="F2203" s="5" t="n"/>
      <c r="G2203" s="5" t="n"/>
      <c r="H2203" s="5" t="n">
        <v>424</v>
      </c>
      <c r="I2203" s="5" t="n">
        <v>234</v>
      </c>
      <c r="J2203" s="5" t="n">
        <v>184</v>
      </c>
      <c r="K2203" s="10">
        <f>IF(F2203&gt;0,H2203/F2203,"")</f>
        <v/>
      </c>
      <c r="L2203" s="16">
        <f>IF(AND(G2203&gt;0,H2203&gt;0),G2203/H2203,"")</f>
        <v/>
      </c>
    </row>
    <row r="2204">
      <c r="A2204" s="4" t="inlineStr">
        <is>
          <t>270</t>
        </is>
      </c>
      <c r="B2204" s="4" t="n">
        <v>2</v>
      </c>
      <c r="C2204" s="4" t="inlineStr">
        <is>
          <t>elk</t>
        </is>
      </c>
      <c r="D2204" s="4" t="n">
        <v>2024</v>
      </c>
      <c r="E2204" s="15" t="inlineStr">
        <is>
          <t>Draw</t>
        </is>
      </c>
      <c r="F2204" s="5" t="n">
        <v>3320</v>
      </c>
      <c r="G2204" s="5" t="n">
        <v>29984</v>
      </c>
      <c r="H2204" s="5" t="n">
        <v>662</v>
      </c>
      <c r="I2204" s="5" t="n">
        <v>321</v>
      </c>
      <c r="J2204" s="5" t="n">
        <v>333</v>
      </c>
      <c r="K2204" s="10">
        <f>IF(F2204&gt;0,H2204/F2204,"")</f>
        <v/>
      </c>
      <c r="L2204" s="16">
        <f>IF(AND(G2204&gt;0,H2204&gt;0),G2204/H2204,"")</f>
        <v/>
      </c>
    </row>
    <row r="2205">
      <c r="A2205" s="4" t="inlineStr">
        <is>
          <t>270</t>
        </is>
      </c>
      <c r="B2205" s="4" t="n">
        <v>2</v>
      </c>
      <c r="C2205" s="4" t="inlineStr">
        <is>
          <t>elk</t>
        </is>
      </c>
      <c r="D2205" s="4" t="n">
        <v>2025</v>
      </c>
      <c r="E2205" s="15" t="inlineStr">
        <is>
          <t>Draw</t>
        </is>
      </c>
      <c r="F2205" s="5" t="n"/>
      <c r="G2205" s="5" t="n"/>
      <c r="H2205" s="5" t="n">
        <v>621</v>
      </c>
      <c r="I2205" s="5" t="n">
        <v>312</v>
      </c>
      <c r="J2205" s="5" t="n">
        <v>301</v>
      </c>
      <c r="K2205" s="10">
        <f>IF(F2205&gt;0,H2205/F2205,"")</f>
        <v/>
      </c>
      <c r="L2205" s="16">
        <f>IF(AND(G2205&gt;0,H2205&gt;0),G2205/H2205,"")</f>
        <v/>
      </c>
    </row>
    <row r="2206">
      <c r="A2206" s="4" t="inlineStr">
        <is>
          <t>280</t>
        </is>
      </c>
      <c r="B2206" s="4" t="n">
        <v>2</v>
      </c>
      <c r="C2206" s="4" t="inlineStr">
        <is>
          <t>elk</t>
        </is>
      </c>
      <c r="D2206" s="4" t="n">
        <v>2004</v>
      </c>
      <c r="E2206" s="13" t="inlineStr">
        <is>
          <t>General</t>
        </is>
      </c>
      <c r="F2206" s="5" t="n">
        <v>344</v>
      </c>
      <c r="G2206" s="5" t="n">
        <v>1805</v>
      </c>
      <c r="H2206" s="5" t="n">
        <v>70</v>
      </c>
      <c r="I2206" s="5" t="n">
        <v>60</v>
      </c>
      <c r="J2206" s="5" t="n">
        <v>8</v>
      </c>
      <c r="K2206" s="10">
        <f>IF(F2206&gt;0,H2206/F2206,"")</f>
        <v/>
      </c>
      <c r="L2206" s="16">
        <f>IF(AND(G2206&gt;0,H2206&gt;0),G2206/H2206,"")</f>
        <v/>
      </c>
    </row>
    <row r="2207">
      <c r="A2207" s="4" t="inlineStr">
        <is>
          <t>280</t>
        </is>
      </c>
      <c r="B2207" s="4" t="n">
        <v>2</v>
      </c>
      <c r="C2207" s="4" t="inlineStr">
        <is>
          <t>elk</t>
        </is>
      </c>
      <c r="D2207" s="4" t="n">
        <v>2005</v>
      </c>
      <c r="E2207" s="13" t="inlineStr">
        <is>
          <t>General</t>
        </is>
      </c>
      <c r="F2207" s="5" t="n">
        <v>355</v>
      </c>
      <c r="G2207" s="5" t="n">
        <v>2032</v>
      </c>
      <c r="H2207" s="5" t="n">
        <v>69</v>
      </c>
      <c r="I2207" s="5" t="n">
        <v>61</v>
      </c>
      <c r="J2207" s="5" t="n">
        <v>8</v>
      </c>
      <c r="K2207" s="10">
        <f>IF(F2207&gt;0,H2207/F2207,"")</f>
        <v/>
      </c>
      <c r="L2207" s="16">
        <f>IF(AND(G2207&gt;0,H2207&gt;0),G2207/H2207,"")</f>
        <v/>
      </c>
    </row>
    <row r="2208">
      <c r="A2208" s="4" t="inlineStr">
        <is>
          <t>280</t>
        </is>
      </c>
      <c r="B2208" s="4" t="n">
        <v>2</v>
      </c>
      <c r="C2208" s="4" t="inlineStr">
        <is>
          <t>elk</t>
        </is>
      </c>
      <c r="D2208" s="4" t="n">
        <v>2006</v>
      </c>
      <c r="E2208" s="13" t="inlineStr">
        <is>
          <t>General</t>
        </is>
      </c>
      <c r="F2208" s="5" t="n">
        <v>507</v>
      </c>
      <c r="G2208" s="5" t="n">
        <v>3018</v>
      </c>
      <c r="H2208" s="5" t="n">
        <v>108</v>
      </c>
      <c r="I2208" s="5" t="n">
        <v>94</v>
      </c>
      <c r="J2208" s="5" t="n">
        <v>8</v>
      </c>
      <c r="K2208" s="10">
        <f>IF(F2208&gt;0,H2208/F2208,"")</f>
        <v/>
      </c>
      <c r="L2208" s="16">
        <f>IF(AND(G2208&gt;0,H2208&gt;0),G2208/H2208,"")</f>
        <v/>
      </c>
    </row>
    <row r="2209">
      <c r="A2209" s="4" t="inlineStr">
        <is>
          <t>280</t>
        </is>
      </c>
      <c r="B2209" s="4" t="n">
        <v>2</v>
      </c>
      <c r="C2209" s="4" t="inlineStr">
        <is>
          <t>elk</t>
        </is>
      </c>
      <c r="D2209" s="4" t="n">
        <v>2007</v>
      </c>
      <c r="E2209" s="13" t="inlineStr">
        <is>
          <t>General</t>
        </is>
      </c>
      <c r="F2209" s="5" t="n">
        <v>369</v>
      </c>
      <c r="G2209" s="5" t="n">
        <v>2176</v>
      </c>
      <c r="H2209" s="5" t="n">
        <v>68</v>
      </c>
      <c r="I2209" s="5" t="n">
        <v>57</v>
      </c>
      <c r="J2209" s="5" t="n">
        <v>11</v>
      </c>
      <c r="K2209" s="10">
        <f>IF(F2209&gt;0,H2209/F2209,"")</f>
        <v/>
      </c>
      <c r="L2209" s="16">
        <f>IF(AND(G2209&gt;0,H2209&gt;0),G2209/H2209,"")</f>
        <v/>
      </c>
    </row>
    <row r="2210">
      <c r="A2210" s="4" t="inlineStr">
        <is>
          <t>280</t>
        </is>
      </c>
      <c r="B2210" s="4" t="n">
        <v>2</v>
      </c>
      <c r="C2210" s="4" t="inlineStr">
        <is>
          <t>elk</t>
        </is>
      </c>
      <c r="D2210" s="4" t="n">
        <v>2008</v>
      </c>
      <c r="E2210" s="13" t="inlineStr">
        <is>
          <t>General</t>
        </is>
      </c>
      <c r="F2210" s="5" t="n">
        <v>364</v>
      </c>
      <c r="G2210" s="5" t="n">
        <v>2518</v>
      </c>
      <c r="H2210" s="5" t="n">
        <v>75</v>
      </c>
      <c r="I2210" s="5" t="n">
        <v>71</v>
      </c>
      <c r="J2210" s="5" t="n">
        <v>4</v>
      </c>
      <c r="K2210" s="10">
        <f>IF(F2210&gt;0,H2210/F2210,"")</f>
        <v/>
      </c>
      <c r="L2210" s="16">
        <f>IF(AND(G2210&gt;0,H2210&gt;0),G2210/H2210,"")</f>
        <v/>
      </c>
    </row>
    <row r="2211">
      <c r="A2211" s="4" t="inlineStr">
        <is>
          <t>280</t>
        </is>
      </c>
      <c r="B2211" s="4" t="n">
        <v>2</v>
      </c>
      <c r="C2211" s="4" t="inlineStr">
        <is>
          <t>elk</t>
        </is>
      </c>
      <c r="D2211" s="4" t="n">
        <v>2009</v>
      </c>
      <c r="E2211" s="13" t="inlineStr">
        <is>
          <t>General</t>
        </is>
      </c>
      <c r="F2211" s="5" t="n">
        <v>439</v>
      </c>
      <c r="G2211" s="5" t="n">
        <v>2905</v>
      </c>
      <c r="H2211" s="5" t="n">
        <v>56</v>
      </c>
      <c r="I2211" s="5" t="n">
        <v>35</v>
      </c>
      <c r="J2211" s="5" t="n">
        <v>15</v>
      </c>
      <c r="K2211" s="10">
        <f>IF(F2211&gt;0,H2211/F2211,"")</f>
        <v/>
      </c>
      <c r="L2211" s="16">
        <f>IF(AND(G2211&gt;0,H2211&gt;0),G2211/H2211,"")</f>
        <v/>
      </c>
    </row>
    <row r="2212">
      <c r="A2212" s="4" t="inlineStr">
        <is>
          <t>280</t>
        </is>
      </c>
      <c r="B2212" s="4" t="n">
        <v>2</v>
      </c>
      <c r="C2212" s="4" t="inlineStr">
        <is>
          <t>elk</t>
        </is>
      </c>
      <c r="D2212" s="4" t="n">
        <v>2010</v>
      </c>
      <c r="E2212" s="13" t="inlineStr">
        <is>
          <t>General</t>
        </is>
      </c>
      <c r="F2212" s="5" t="n">
        <v>322</v>
      </c>
      <c r="G2212" s="5" t="n">
        <v>1823</v>
      </c>
      <c r="H2212" s="5" t="n">
        <v>63</v>
      </c>
      <c r="I2212" s="5" t="n">
        <v>53</v>
      </c>
      <c r="J2212" s="5" t="n">
        <v>10</v>
      </c>
      <c r="K2212" s="10">
        <f>IF(F2212&gt;0,H2212/F2212,"")</f>
        <v/>
      </c>
      <c r="L2212" s="16">
        <f>IF(AND(G2212&gt;0,H2212&gt;0),G2212/H2212,"")</f>
        <v/>
      </c>
    </row>
    <row r="2213">
      <c r="A2213" s="4" t="inlineStr">
        <is>
          <t>280</t>
        </is>
      </c>
      <c r="B2213" s="4" t="n">
        <v>2</v>
      </c>
      <c r="C2213" s="4" t="inlineStr">
        <is>
          <t>elk</t>
        </is>
      </c>
      <c r="D2213" s="4" t="n">
        <v>2011</v>
      </c>
      <c r="E2213" s="13" t="inlineStr">
        <is>
          <t>General</t>
        </is>
      </c>
      <c r="F2213" s="5" t="n">
        <v>372</v>
      </c>
      <c r="G2213" s="5" t="n">
        <v>2456</v>
      </c>
      <c r="H2213" s="5" t="n">
        <v>45</v>
      </c>
      <c r="I2213" s="5" t="n">
        <v>45</v>
      </c>
      <c r="J2213" s="5" t="n">
        <v>0</v>
      </c>
      <c r="K2213" s="10">
        <f>IF(F2213&gt;0,H2213/F2213,"")</f>
        <v/>
      </c>
      <c r="L2213" s="16">
        <f>IF(AND(G2213&gt;0,H2213&gt;0),G2213/H2213,"")</f>
        <v/>
      </c>
    </row>
    <row r="2214">
      <c r="A2214" s="4" t="inlineStr">
        <is>
          <t>280</t>
        </is>
      </c>
      <c r="B2214" s="4" t="n">
        <v>2</v>
      </c>
      <c r="C2214" s="4" t="inlineStr">
        <is>
          <t>elk</t>
        </is>
      </c>
      <c r="D2214" s="4" t="n">
        <v>2012</v>
      </c>
      <c r="E2214" s="13" t="inlineStr">
        <is>
          <t>General</t>
        </is>
      </c>
      <c r="F2214" s="5" t="n">
        <v>247</v>
      </c>
      <c r="G2214" s="5" t="n">
        <v>1630</v>
      </c>
      <c r="H2214" s="5" t="n">
        <v>43</v>
      </c>
      <c r="I2214" s="5" t="n">
        <v>36</v>
      </c>
      <c r="J2214" s="5" t="n">
        <v>6</v>
      </c>
      <c r="K2214" s="10">
        <f>IF(F2214&gt;0,H2214/F2214,"")</f>
        <v/>
      </c>
      <c r="L2214" s="16">
        <f>IF(AND(G2214&gt;0,H2214&gt;0),G2214/H2214,"")</f>
        <v/>
      </c>
    </row>
    <row r="2215">
      <c r="A2215" s="4" t="inlineStr">
        <is>
          <t>280</t>
        </is>
      </c>
      <c r="B2215" s="4" t="n">
        <v>2</v>
      </c>
      <c r="C2215" s="4" t="inlineStr">
        <is>
          <t>elk</t>
        </is>
      </c>
      <c r="D2215" s="4" t="n">
        <v>2013</v>
      </c>
      <c r="E2215" s="13" t="inlineStr">
        <is>
          <t>General</t>
        </is>
      </c>
      <c r="F2215" s="5" t="n"/>
      <c r="G2215" s="5" t="n"/>
      <c r="H2215" s="5" t="n">
        <v>36</v>
      </c>
      <c r="I2215" s="5" t="n">
        <v>28</v>
      </c>
      <c r="J2215" s="5" t="n">
        <v>8</v>
      </c>
      <c r="K2215" s="10">
        <f>IF(F2215&gt;0,H2215/F2215,"")</f>
        <v/>
      </c>
      <c r="L2215" s="16">
        <f>IF(AND(G2215&gt;0,H2215&gt;0),G2215/H2215,"")</f>
        <v/>
      </c>
    </row>
    <row r="2216">
      <c r="A2216" s="4" t="inlineStr">
        <is>
          <t>280</t>
        </is>
      </c>
      <c r="B2216" s="4" t="n">
        <v>2</v>
      </c>
      <c r="C2216" s="4" t="inlineStr">
        <is>
          <t>elk</t>
        </is>
      </c>
      <c r="D2216" s="4" t="n">
        <v>2014</v>
      </c>
      <c r="E2216" s="13" t="inlineStr">
        <is>
          <t>General</t>
        </is>
      </c>
      <c r="F2216" s="5" t="n">
        <v>232</v>
      </c>
      <c r="G2216" s="5" t="n">
        <v>1529</v>
      </c>
      <c r="H2216" s="5" t="n">
        <v>23</v>
      </c>
      <c r="I2216" s="5" t="n">
        <v>20</v>
      </c>
      <c r="J2216" s="5" t="n">
        <v>3</v>
      </c>
      <c r="K2216" s="10">
        <f>IF(F2216&gt;0,H2216/F2216,"")</f>
        <v/>
      </c>
      <c r="L2216" s="16">
        <f>IF(AND(G2216&gt;0,H2216&gt;0),G2216/H2216,"")</f>
        <v/>
      </c>
    </row>
    <row r="2217">
      <c r="A2217" s="4" t="inlineStr">
        <is>
          <t>280</t>
        </is>
      </c>
      <c r="B2217" s="4" t="n">
        <v>2</v>
      </c>
      <c r="C2217" s="4" t="inlineStr">
        <is>
          <t>elk</t>
        </is>
      </c>
      <c r="D2217" s="4" t="n">
        <v>2015</v>
      </c>
      <c r="E2217" s="13" t="inlineStr">
        <is>
          <t>General</t>
        </is>
      </c>
      <c r="F2217" s="5" t="n">
        <v>194</v>
      </c>
      <c r="G2217" s="5" t="n">
        <v>1495</v>
      </c>
      <c r="H2217" s="5" t="n">
        <v>24</v>
      </c>
      <c r="I2217" s="5" t="n">
        <v>18</v>
      </c>
      <c r="J2217" s="5" t="n">
        <v>6</v>
      </c>
      <c r="K2217" s="10">
        <f>IF(F2217&gt;0,H2217/F2217,"")</f>
        <v/>
      </c>
      <c r="L2217" s="16">
        <f>IF(AND(G2217&gt;0,H2217&gt;0),G2217/H2217,"")</f>
        <v/>
      </c>
    </row>
    <row r="2218">
      <c r="A2218" s="4" t="inlineStr">
        <is>
          <t>280</t>
        </is>
      </c>
      <c r="B2218" s="4" t="n">
        <v>2</v>
      </c>
      <c r="C2218" s="4" t="inlineStr">
        <is>
          <t>elk</t>
        </is>
      </c>
      <c r="D2218" s="4" t="n">
        <v>2016</v>
      </c>
      <c r="E2218" s="13" t="inlineStr">
        <is>
          <t>General</t>
        </is>
      </c>
      <c r="F2218" s="5" t="n">
        <v>236</v>
      </c>
      <c r="G2218" s="5" t="n">
        <v>1485</v>
      </c>
      <c r="H2218" s="5" t="n">
        <v>16</v>
      </c>
      <c r="I2218" s="5" t="n">
        <v>16</v>
      </c>
      <c r="J2218" s="5" t="n">
        <v>0</v>
      </c>
      <c r="K2218" s="10">
        <f>IF(F2218&gt;0,H2218/F2218,"")</f>
        <v/>
      </c>
      <c r="L2218" s="16">
        <f>IF(AND(G2218&gt;0,H2218&gt;0),G2218/H2218,"")</f>
        <v/>
      </c>
    </row>
    <row r="2219">
      <c r="A2219" s="4" t="inlineStr">
        <is>
          <t>280</t>
        </is>
      </c>
      <c r="B2219" s="4" t="n">
        <v>2</v>
      </c>
      <c r="C2219" s="4" t="inlineStr">
        <is>
          <t>elk</t>
        </is>
      </c>
      <c r="D2219" s="4" t="n">
        <v>2017</v>
      </c>
      <c r="E2219" s="13" t="inlineStr">
        <is>
          <t>General</t>
        </is>
      </c>
      <c r="F2219" s="5" t="n"/>
      <c r="G2219" s="5" t="n"/>
      <c r="H2219" s="5" t="n">
        <v>23</v>
      </c>
      <c r="I2219" s="5" t="n">
        <v>11</v>
      </c>
      <c r="J2219" s="5" t="n">
        <v>11</v>
      </c>
      <c r="K2219" s="10">
        <f>IF(F2219&gt;0,H2219/F2219,"")</f>
        <v/>
      </c>
      <c r="L2219" s="16">
        <f>IF(AND(G2219&gt;0,H2219&gt;0),G2219/H2219,"")</f>
        <v/>
      </c>
    </row>
    <row r="2220">
      <c r="A2220" s="4" t="inlineStr">
        <is>
          <t>280</t>
        </is>
      </c>
      <c r="B2220" s="4" t="n">
        <v>2</v>
      </c>
      <c r="C2220" s="4" t="inlineStr">
        <is>
          <t>elk</t>
        </is>
      </c>
      <c r="D2220" s="4" t="n">
        <v>2018</v>
      </c>
      <c r="E2220" s="13" t="inlineStr">
        <is>
          <t>General</t>
        </is>
      </c>
      <c r="F2220" s="5" t="n">
        <v>198</v>
      </c>
      <c r="G2220" s="5" t="n">
        <v>1227</v>
      </c>
      <c r="H2220" s="5" t="n">
        <v>36</v>
      </c>
      <c r="I2220" s="5" t="n">
        <v>30</v>
      </c>
      <c r="J2220" s="5" t="n">
        <v>6</v>
      </c>
      <c r="K2220" s="10">
        <f>IF(F2220&gt;0,H2220/F2220,"")</f>
        <v/>
      </c>
      <c r="L2220" s="16">
        <f>IF(AND(G2220&gt;0,H2220&gt;0),G2220/H2220,"")</f>
        <v/>
      </c>
    </row>
    <row r="2221">
      <c r="A2221" s="4" t="inlineStr">
        <is>
          <t>280</t>
        </is>
      </c>
      <c r="B2221" s="4" t="n">
        <v>2</v>
      </c>
      <c r="C2221" s="4" t="inlineStr">
        <is>
          <t>elk</t>
        </is>
      </c>
      <c r="D2221" s="4" t="n">
        <v>2019</v>
      </c>
      <c r="E2221" s="13" t="inlineStr">
        <is>
          <t>General</t>
        </is>
      </c>
      <c r="F2221" s="5" t="n"/>
      <c r="G2221" s="5" t="n"/>
      <c r="H2221" s="5" t="n">
        <v>15</v>
      </c>
      <c r="I2221" s="5" t="n">
        <v>12</v>
      </c>
      <c r="J2221" s="5" t="n">
        <v>3</v>
      </c>
      <c r="K2221" s="10">
        <f>IF(F2221&gt;0,H2221/F2221,"")</f>
        <v/>
      </c>
      <c r="L2221" s="16">
        <f>IF(AND(G2221&gt;0,H2221&gt;0),G2221/H2221,"")</f>
        <v/>
      </c>
    </row>
    <row r="2222">
      <c r="A2222" s="4" t="inlineStr">
        <is>
          <t>280</t>
        </is>
      </c>
      <c r="B2222" s="4" t="n">
        <v>2</v>
      </c>
      <c r="C2222" s="4" t="inlineStr">
        <is>
          <t>elk</t>
        </is>
      </c>
      <c r="D2222" s="4" t="n">
        <v>2020</v>
      </c>
      <c r="E2222" s="13" t="inlineStr">
        <is>
          <t>General</t>
        </is>
      </c>
      <c r="F2222" s="5" t="n">
        <v>181</v>
      </c>
      <c r="G2222" s="5" t="n">
        <v>1197</v>
      </c>
      <c r="H2222" s="5" t="n">
        <v>17</v>
      </c>
      <c r="I2222" s="5" t="n">
        <v>17</v>
      </c>
      <c r="J2222" s="5" t="n">
        <v>0</v>
      </c>
      <c r="K2222" s="10">
        <f>IF(F2222&gt;0,H2222/F2222,"")</f>
        <v/>
      </c>
      <c r="L2222" s="16">
        <f>IF(AND(G2222&gt;0,H2222&gt;0),G2222/H2222,"")</f>
        <v/>
      </c>
    </row>
    <row r="2223">
      <c r="A2223" s="4" t="inlineStr">
        <is>
          <t>280</t>
        </is>
      </c>
      <c r="B2223" s="4" t="n">
        <v>2</v>
      </c>
      <c r="C2223" s="4" t="inlineStr">
        <is>
          <t>elk</t>
        </is>
      </c>
      <c r="D2223" s="4" t="n">
        <v>2021</v>
      </c>
      <c r="E2223" s="13" t="inlineStr">
        <is>
          <t>General</t>
        </is>
      </c>
      <c r="F2223" s="5" t="n"/>
      <c r="G2223" s="5" t="n"/>
      <c r="H2223" s="5" t="n">
        <v>22</v>
      </c>
      <c r="I2223" s="5" t="n">
        <v>22</v>
      </c>
      <c r="J2223" s="5" t="n">
        <v>0</v>
      </c>
      <c r="K2223" s="10">
        <f>IF(F2223&gt;0,H2223/F2223,"")</f>
        <v/>
      </c>
      <c r="L2223" s="16">
        <f>IF(AND(G2223&gt;0,H2223&gt;0),G2223/H2223,"")</f>
        <v/>
      </c>
    </row>
    <row r="2224">
      <c r="A2224" s="4" t="inlineStr">
        <is>
          <t>280</t>
        </is>
      </c>
      <c r="B2224" s="4" t="n">
        <v>2</v>
      </c>
      <c r="C2224" s="4" t="inlineStr">
        <is>
          <t>elk</t>
        </is>
      </c>
      <c r="D2224" s="4" t="n">
        <v>2022</v>
      </c>
      <c r="E2224" s="13" t="inlineStr">
        <is>
          <t>General</t>
        </is>
      </c>
      <c r="F2224" s="5" t="n">
        <v>196</v>
      </c>
      <c r="G2224" s="5" t="n">
        <v>1643</v>
      </c>
      <c r="H2224" s="5" t="n">
        <v>32</v>
      </c>
      <c r="I2224" s="5" t="n">
        <v>26</v>
      </c>
      <c r="J2224" s="5" t="n">
        <v>7</v>
      </c>
      <c r="K2224" s="10">
        <f>IF(F2224&gt;0,H2224/F2224,"")</f>
        <v/>
      </c>
      <c r="L2224" s="16">
        <f>IF(AND(G2224&gt;0,H2224&gt;0),G2224/H2224,"")</f>
        <v/>
      </c>
    </row>
    <row r="2225">
      <c r="A2225" s="4" t="inlineStr">
        <is>
          <t>280</t>
        </is>
      </c>
      <c r="B2225" s="4" t="n">
        <v>2</v>
      </c>
      <c r="C2225" s="4" t="inlineStr">
        <is>
          <t>elk</t>
        </is>
      </c>
      <c r="D2225" s="4" t="n">
        <v>2023</v>
      </c>
      <c r="E2225" s="13" t="inlineStr">
        <is>
          <t>General</t>
        </is>
      </c>
      <c r="F2225" s="5" t="n"/>
      <c r="G2225" s="5" t="n"/>
      <c r="H2225" s="5" t="n">
        <v>21</v>
      </c>
      <c r="I2225" s="5" t="n">
        <v>21</v>
      </c>
      <c r="J2225" s="5" t="n">
        <v>0</v>
      </c>
      <c r="K2225" s="10">
        <f>IF(F2225&gt;0,H2225/F2225,"")</f>
        <v/>
      </c>
      <c r="L2225" s="16">
        <f>IF(AND(G2225&gt;0,H2225&gt;0),G2225/H2225,"")</f>
        <v/>
      </c>
    </row>
    <row r="2226">
      <c r="A2226" s="4" t="inlineStr">
        <is>
          <t>280</t>
        </is>
      </c>
      <c r="B2226" s="4" t="n">
        <v>2</v>
      </c>
      <c r="C2226" s="4" t="inlineStr">
        <is>
          <t>elk</t>
        </is>
      </c>
      <c r="D2226" s="4" t="n">
        <v>2024</v>
      </c>
      <c r="E2226" s="13" t="inlineStr">
        <is>
          <t>General</t>
        </is>
      </c>
      <c r="F2226" s="5" t="n">
        <v>212</v>
      </c>
      <c r="G2226" s="5" t="n">
        <v>1509</v>
      </c>
      <c r="H2226" s="5" t="n">
        <v>44</v>
      </c>
      <c r="I2226" s="5" t="n">
        <v>44</v>
      </c>
      <c r="J2226" s="5" t="n">
        <v>0</v>
      </c>
      <c r="K2226" s="10">
        <f>IF(F2226&gt;0,H2226/F2226,"")</f>
        <v/>
      </c>
      <c r="L2226" s="16">
        <f>IF(AND(G2226&gt;0,H2226&gt;0),G2226/H2226,"")</f>
        <v/>
      </c>
    </row>
    <row r="2227">
      <c r="A2227" s="4" t="inlineStr">
        <is>
          <t>280</t>
        </is>
      </c>
      <c r="B2227" s="4" t="n">
        <v>2</v>
      </c>
      <c r="C2227" s="4" t="inlineStr">
        <is>
          <t>elk</t>
        </is>
      </c>
      <c r="D2227" s="4" t="n">
        <v>2025</v>
      </c>
      <c r="E2227" s="13" t="inlineStr">
        <is>
          <t>General</t>
        </is>
      </c>
      <c r="F2227" s="5" t="n"/>
      <c r="G2227" s="5" t="n"/>
      <c r="H2227" s="5" t="n">
        <v>17</v>
      </c>
      <c r="I2227" s="5" t="n">
        <v>14</v>
      </c>
      <c r="J2227" s="5" t="n">
        <v>4</v>
      </c>
      <c r="K2227" s="10">
        <f>IF(F2227&gt;0,H2227/F2227,"")</f>
        <v/>
      </c>
      <c r="L2227" s="16">
        <f>IF(AND(G2227&gt;0,H2227&gt;0),G2227/H2227,"")</f>
        <v/>
      </c>
    </row>
    <row r="2228">
      <c r="A2228" s="4" t="inlineStr">
        <is>
          <t>281</t>
        </is>
      </c>
      <c r="B2228" s="4" t="n">
        <v>2</v>
      </c>
      <c r="C2228" s="4" t="inlineStr">
        <is>
          <t>elk</t>
        </is>
      </c>
      <c r="D2228" s="4" t="n">
        <v>2004</v>
      </c>
      <c r="E2228" s="13" t="inlineStr">
        <is>
          <t>General</t>
        </is>
      </c>
      <c r="F2228" s="5" t="n">
        <v>1487</v>
      </c>
      <c r="G2228" s="5" t="n">
        <v>9242</v>
      </c>
      <c r="H2228" s="5" t="n">
        <v>124</v>
      </c>
      <c r="I2228" s="5" t="n">
        <v>48</v>
      </c>
      <c r="J2228" s="5" t="n">
        <v>69</v>
      </c>
      <c r="K2228" s="10">
        <f>IF(F2228&gt;0,H2228/F2228,"")</f>
        <v/>
      </c>
      <c r="L2228" s="16">
        <f>IF(AND(G2228&gt;0,H2228&gt;0),G2228/H2228,"")</f>
        <v/>
      </c>
    </row>
    <row r="2229">
      <c r="A2229" s="4" t="inlineStr">
        <is>
          <t>281</t>
        </is>
      </c>
      <c r="B2229" s="4" t="n">
        <v>2</v>
      </c>
      <c r="C2229" s="4" t="inlineStr">
        <is>
          <t>elk</t>
        </is>
      </c>
      <c r="D2229" s="4" t="n">
        <v>2005</v>
      </c>
      <c r="E2229" s="13" t="inlineStr">
        <is>
          <t>General</t>
        </is>
      </c>
      <c r="F2229" s="5" t="n">
        <v>1513</v>
      </c>
      <c r="G2229" s="5" t="n">
        <v>10759</v>
      </c>
      <c r="H2229" s="5" t="n">
        <v>243</v>
      </c>
      <c r="I2229" s="5" t="n">
        <v>114</v>
      </c>
      <c r="J2229" s="5" t="n">
        <v>119</v>
      </c>
      <c r="K2229" s="10">
        <f>IF(F2229&gt;0,H2229/F2229,"")</f>
        <v/>
      </c>
      <c r="L2229" s="16">
        <f>IF(AND(G2229&gt;0,H2229&gt;0),G2229/H2229,"")</f>
        <v/>
      </c>
    </row>
    <row r="2230">
      <c r="A2230" s="4" t="inlineStr">
        <is>
          <t>281</t>
        </is>
      </c>
      <c r="B2230" s="4" t="n">
        <v>2</v>
      </c>
      <c r="C2230" s="4" t="inlineStr">
        <is>
          <t>elk</t>
        </is>
      </c>
      <c r="D2230" s="4" t="n">
        <v>2006</v>
      </c>
      <c r="E2230" s="13" t="inlineStr">
        <is>
          <t>General</t>
        </is>
      </c>
      <c r="F2230" s="5" t="n">
        <v>1332</v>
      </c>
      <c r="G2230" s="5" t="n">
        <v>8995</v>
      </c>
      <c r="H2230" s="5" t="n">
        <v>209</v>
      </c>
      <c r="I2230" s="5" t="n">
        <v>99</v>
      </c>
      <c r="J2230" s="5" t="n">
        <v>91</v>
      </c>
      <c r="K2230" s="10">
        <f>IF(F2230&gt;0,H2230/F2230,"")</f>
        <v/>
      </c>
      <c r="L2230" s="16">
        <f>IF(AND(G2230&gt;0,H2230&gt;0),G2230/H2230,"")</f>
        <v/>
      </c>
    </row>
    <row r="2231">
      <c r="A2231" s="4" t="inlineStr">
        <is>
          <t>281</t>
        </is>
      </c>
      <c r="B2231" s="4" t="n">
        <v>2</v>
      </c>
      <c r="C2231" s="4" t="inlineStr">
        <is>
          <t>elk</t>
        </is>
      </c>
      <c r="D2231" s="4" t="n">
        <v>2007</v>
      </c>
      <c r="E2231" s="13" t="inlineStr">
        <is>
          <t>General</t>
        </is>
      </c>
      <c r="F2231" s="5" t="n">
        <v>1607</v>
      </c>
      <c r="G2231" s="5" t="n">
        <v>11142</v>
      </c>
      <c r="H2231" s="5" t="n">
        <v>188</v>
      </c>
      <c r="I2231" s="5" t="n">
        <v>95</v>
      </c>
      <c r="J2231" s="5" t="n">
        <v>81</v>
      </c>
      <c r="K2231" s="10">
        <f>IF(F2231&gt;0,H2231/F2231,"")</f>
        <v/>
      </c>
      <c r="L2231" s="16">
        <f>IF(AND(G2231&gt;0,H2231&gt;0),G2231/H2231,"")</f>
        <v/>
      </c>
    </row>
    <row r="2232">
      <c r="A2232" s="4" t="inlineStr">
        <is>
          <t>281</t>
        </is>
      </c>
      <c r="B2232" s="4" t="n">
        <v>2</v>
      </c>
      <c r="C2232" s="4" t="inlineStr">
        <is>
          <t>elk</t>
        </is>
      </c>
      <c r="D2232" s="4" t="n">
        <v>2008</v>
      </c>
      <c r="E2232" s="13" t="inlineStr">
        <is>
          <t>General</t>
        </is>
      </c>
      <c r="F2232" s="5" t="n">
        <v>1838</v>
      </c>
      <c r="G2232" s="5" t="n">
        <v>13952</v>
      </c>
      <c r="H2232" s="5" t="n">
        <v>176</v>
      </c>
      <c r="I2232" s="5" t="n">
        <v>97</v>
      </c>
      <c r="J2232" s="5" t="n">
        <v>69</v>
      </c>
      <c r="K2232" s="10">
        <f>IF(F2232&gt;0,H2232/F2232,"")</f>
        <v/>
      </c>
      <c r="L2232" s="16">
        <f>IF(AND(G2232&gt;0,H2232&gt;0),G2232/H2232,"")</f>
        <v/>
      </c>
    </row>
    <row r="2233">
      <c r="A2233" s="4" t="inlineStr">
        <is>
          <t>281</t>
        </is>
      </c>
      <c r="B2233" s="4" t="n">
        <v>2</v>
      </c>
      <c r="C2233" s="4" t="inlineStr">
        <is>
          <t>elk</t>
        </is>
      </c>
      <c r="D2233" s="4" t="n">
        <v>2009</v>
      </c>
      <c r="E2233" s="13" t="inlineStr">
        <is>
          <t>General</t>
        </is>
      </c>
      <c r="F2233" s="5" t="n">
        <v>1656</v>
      </c>
      <c r="G2233" s="5" t="n">
        <v>11785</v>
      </c>
      <c r="H2233" s="5" t="n">
        <v>160</v>
      </c>
      <c r="I2233" s="5" t="n">
        <v>74</v>
      </c>
      <c r="J2233" s="5" t="n">
        <v>75</v>
      </c>
      <c r="K2233" s="10">
        <f>IF(F2233&gt;0,H2233/F2233,"")</f>
        <v/>
      </c>
      <c r="L2233" s="16">
        <f>IF(AND(G2233&gt;0,H2233&gt;0),G2233/H2233,"")</f>
        <v/>
      </c>
    </row>
    <row r="2234">
      <c r="A2234" s="4" t="inlineStr">
        <is>
          <t>281</t>
        </is>
      </c>
      <c r="B2234" s="4" t="n">
        <v>2</v>
      </c>
      <c r="C2234" s="4" t="inlineStr">
        <is>
          <t>elk</t>
        </is>
      </c>
      <c r="D2234" s="4" t="n">
        <v>2010</v>
      </c>
      <c r="E2234" s="13" t="inlineStr">
        <is>
          <t>General</t>
        </is>
      </c>
      <c r="F2234" s="5" t="n">
        <v>1431</v>
      </c>
      <c r="G2234" s="5" t="n">
        <v>12131</v>
      </c>
      <c r="H2234" s="5" t="n">
        <v>183</v>
      </c>
      <c r="I2234" s="5" t="n">
        <v>127</v>
      </c>
      <c r="J2234" s="5" t="n">
        <v>56</v>
      </c>
      <c r="K2234" s="10">
        <f>IF(F2234&gt;0,H2234/F2234,"")</f>
        <v/>
      </c>
      <c r="L2234" s="16">
        <f>IF(AND(G2234&gt;0,H2234&gt;0),G2234/H2234,"")</f>
        <v/>
      </c>
    </row>
    <row r="2235">
      <c r="A2235" s="4" t="inlineStr">
        <is>
          <t>281</t>
        </is>
      </c>
      <c r="B2235" s="4" t="n">
        <v>2</v>
      </c>
      <c r="C2235" s="4" t="inlineStr">
        <is>
          <t>elk</t>
        </is>
      </c>
      <c r="D2235" s="4" t="n">
        <v>2011</v>
      </c>
      <c r="E2235" s="13" t="inlineStr">
        <is>
          <t>General</t>
        </is>
      </c>
      <c r="F2235" s="5" t="n">
        <v>1493</v>
      </c>
      <c r="G2235" s="5" t="n">
        <v>9854</v>
      </c>
      <c r="H2235" s="5" t="n">
        <v>137</v>
      </c>
      <c r="I2235" s="5" t="n">
        <v>80</v>
      </c>
      <c r="J2235" s="5" t="n">
        <v>53</v>
      </c>
      <c r="K2235" s="10">
        <f>IF(F2235&gt;0,H2235/F2235,"")</f>
        <v/>
      </c>
      <c r="L2235" s="16">
        <f>IF(AND(G2235&gt;0,H2235&gt;0),G2235/H2235,"")</f>
        <v/>
      </c>
    </row>
    <row r="2236">
      <c r="A2236" s="4" t="inlineStr">
        <is>
          <t>281</t>
        </is>
      </c>
      <c r="B2236" s="4" t="n">
        <v>2</v>
      </c>
      <c r="C2236" s="4" t="inlineStr">
        <is>
          <t>elk</t>
        </is>
      </c>
      <c r="D2236" s="4" t="n">
        <v>2012</v>
      </c>
      <c r="E2236" s="13" t="inlineStr">
        <is>
          <t>General</t>
        </is>
      </c>
      <c r="F2236" s="5" t="n">
        <v>1381</v>
      </c>
      <c r="G2236" s="5" t="n">
        <v>9363</v>
      </c>
      <c r="H2236" s="5" t="n">
        <v>119</v>
      </c>
      <c r="I2236" s="5" t="n">
        <v>102</v>
      </c>
      <c r="J2236" s="5" t="n">
        <v>17</v>
      </c>
      <c r="K2236" s="10">
        <f>IF(F2236&gt;0,H2236/F2236,"")</f>
        <v/>
      </c>
      <c r="L2236" s="16">
        <f>IF(AND(G2236&gt;0,H2236&gt;0),G2236/H2236,"")</f>
        <v/>
      </c>
    </row>
    <row r="2237">
      <c r="A2237" s="4" t="inlineStr">
        <is>
          <t>281</t>
        </is>
      </c>
      <c r="B2237" s="4" t="n">
        <v>2</v>
      </c>
      <c r="C2237" s="4" t="inlineStr">
        <is>
          <t>elk</t>
        </is>
      </c>
      <c r="D2237" s="4" t="n">
        <v>2013</v>
      </c>
      <c r="E2237" s="13" t="inlineStr">
        <is>
          <t>General</t>
        </is>
      </c>
      <c r="F2237" s="5" t="n"/>
      <c r="G2237" s="5" t="n"/>
      <c r="H2237" s="5" t="n">
        <v>64</v>
      </c>
      <c r="I2237" s="5" t="n">
        <v>50</v>
      </c>
      <c r="J2237" s="5" t="n">
        <v>14</v>
      </c>
      <c r="K2237" s="10">
        <f>IF(F2237&gt;0,H2237/F2237,"")</f>
        <v/>
      </c>
      <c r="L2237" s="16">
        <f>IF(AND(G2237&gt;0,H2237&gt;0),G2237/H2237,"")</f>
        <v/>
      </c>
    </row>
    <row r="2238">
      <c r="A2238" s="4" t="inlineStr">
        <is>
          <t>281</t>
        </is>
      </c>
      <c r="B2238" s="4" t="n">
        <v>2</v>
      </c>
      <c r="C2238" s="4" t="inlineStr">
        <is>
          <t>elk</t>
        </is>
      </c>
      <c r="D2238" s="4" t="n">
        <v>2014</v>
      </c>
      <c r="E2238" s="13" t="inlineStr">
        <is>
          <t>General</t>
        </is>
      </c>
      <c r="F2238" s="5" t="n">
        <v>1538</v>
      </c>
      <c r="G2238" s="5" t="n">
        <v>11739</v>
      </c>
      <c r="H2238" s="5" t="n">
        <v>130</v>
      </c>
      <c r="I2238" s="5" t="n">
        <v>99</v>
      </c>
      <c r="J2238" s="5" t="n">
        <v>31</v>
      </c>
      <c r="K2238" s="10">
        <f>IF(F2238&gt;0,H2238/F2238,"")</f>
        <v/>
      </c>
      <c r="L2238" s="16">
        <f>IF(AND(G2238&gt;0,H2238&gt;0),G2238/H2238,"")</f>
        <v/>
      </c>
    </row>
    <row r="2239">
      <c r="A2239" s="4" t="inlineStr">
        <is>
          <t>281</t>
        </is>
      </c>
      <c r="B2239" s="4" t="n">
        <v>2</v>
      </c>
      <c r="C2239" s="4" t="inlineStr">
        <is>
          <t>elk</t>
        </is>
      </c>
      <c r="D2239" s="4" t="n">
        <v>2015</v>
      </c>
      <c r="E2239" s="13" t="inlineStr">
        <is>
          <t>General</t>
        </is>
      </c>
      <c r="F2239" s="5" t="n">
        <v>1415</v>
      </c>
      <c r="G2239" s="5" t="n">
        <v>10093</v>
      </c>
      <c r="H2239" s="5" t="n">
        <v>117</v>
      </c>
      <c r="I2239" s="5" t="n">
        <v>82</v>
      </c>
      <c r="J2239" s="5" t="n">
        <v>32</v>
      </c>
      <c r="K2239" s="10">
        <f>IF(F2239&gt;0,H2239/F2239,"")</f>
        <v/>
      </c>
      <c r="L2239" s="16">
        <f>IF(AND(G2239&gt;0,H2239&gt;0),G2239/H2239,"")</f>
        <v/>
      </c>
    </row>
    <row r="2240">
      <c r="A2240" s="4" t="inlineStr">
        <is>
          <t>281</t>
        </is>
      </c>
      <c r="B2240" s="4" t="n">
        <v>2</v>
      </c>
      <c r="C2240" s="4" t="inlineStr">
        <is>
          <t>elk</t>
        </is>
      </c>
      <c r="D2240" s="4" t="n">
        <v>2016</v>
      </c>
      <c r="E2240" s="13" t="inlineStr">
        <is>
          <t>General</t>
        </is>
      </c>
      <c r="F2240" s="5" t="n">
        <v>1532</v>
      </c>
      <c r="G2240" s="5" t="n">
        <v>11271</v>
      </c>
      <c r="H2240" s="5" t="n">
        <v>135</v>
      </c>
      <c r="I2240" s="5" t="n">
        <v>101</v>
      </c>
      <c r="J2240" s="5" t="n">
        <v>26</v>
      </c>
      <c r="K2240" s="10">
        <f>IF(F2240&gt;0,H2240/F2240,"")</f>
        <v/>
      </c>
      <c r="L2240" s="16">
        <f>IF(AND(G2240&gt;0,H2240&gt;0),G2240/H2240,"")</f>
        <v/>
      </c>
    </row>
    <row r="2241">
      <c r="A2241" s="4" t="inlineStr">
        <is>
          <t>281</t>
        </is>
      </c>
      <c r="B2241" s="4" t="n">
        <v>2</v>
      </c>
      <c r="C2241" s="4" t="inlineStr">
        <is>
          <t>elk</t>
        </is>
      </c>
      <c r="D2241" s="4" t="n">
        <v>2017</v>
      </c>
      <c r="E2241" s="13" t="inlineStr">
        <is>
          <t>General</t>
        </is>
      </c>
      <c r="F2241" s="5" t="n"/>
      <c r="G2241" s="5" t="n"/>
      <c r="H2241" s="5" t="n">
        <v>155</v>
      </c>
      <c r="I2241" s="5" t="n">
        <v>100</v>
      </c>
      <c r="J2241" s="5" t="n">
        <v>52</v>
      </c>
      <c r="K2241" s="10">
        <f>IF(F2241&gt;0,H2241/F2241,"")</f>
        <v/>
      </c>
      <c r="L2241" s="16">
        <f>IF(AND(G2241&gt;0,H2241&gt;0),G2241/H2241,"")</f>
        <v/>
      </c>
    </row>
    <row r="2242">
      <c r="A2242" s="4" t="inlineStr">
        <is>
          <t>281</t>
        </is>
      </c>
      <c r="B2242" s="4" t="n">
        <v>2</v>
      </c>
      <c r="C2242" s="4" t="inlineStr">
        <is>
          <t>elk</t>
        </is>
      </c>
      <c r="D2242" s="4" t="n">
        <v>2018</v>
      </c>
      <c r="E2242" s="13" t="inlineStr">
        <is>
          <t>General</t>
        </is>
      </c>
      <c r="F2242" s="5" t="n">
        <v>1324</v>
      </c>
      <c r="G2242" s="5" t="n">
        <v>10062</v>
      </c>
      <c r="H2242" s="5" t="n">
        <v>157</v>
      </c>
      <c r="I2242" s="5" t="n">
        <v>106</v>
      </c>
      <c r="J2242" s="5" t="n">
        <v>48</v>
      </c>
      <c r="K2242" s="10">
        <f>IF(F2242&gt;0,H2242/F2242,"")</f>
        <v/>
      </c>
      <c r="L2242" s="16">
        <f>IF(AND(G2242&gt;0,H2242&gt;0),G2242/H2242,"")</f>
        <v/>
      </c>
    </row>
    <row r="2243">
      <c r="A2243" s="4" t="inlineStr">
        <is>
          <t>281</t>
        </is>
      </c>
      <c r="B2243" s="4" t="n">
        <v>2</v>
      </c>
      <c r="C2243" s="4" t="inlineStr">
        <is>
          <t>elk</t>
        </is>
      </c>
      <c r="D2243" s="4" t="n">
        <v>2019</v>
      </c>
      <c r="E2243" s="13" t="inlineStr">
        <is>
          <t>General</t>
        </is>
      </c>
      <c r="F2243" s="5" t="n"/>
      <c r="G2243" s="5" t="n"/>
      <c r="H2243" s="5" t="n">
        <v>91</v>
      </c>
      <c r="I2243" s="5" t="n">
        <v>69</v>
      </c>
      <c r="J2243" s="5" t="n">
        <v>22</v>
      </c>
      <c r="K2243" s="10">
        <f>IF(F2243&gt;0,H2243/F2243,"")</f>
        <v/>
      </c>
      <c r="L2243" s="16">
        <f>IF(AND(G2243&gt;0,H2243&gt;0),G2243/H2243,"")</f>
        <v/>
      </c>
    </row>
    <row r="2244">
      <c r="A2244" s="4" t="inlineStr">
        <is>
          <t>281</t>
        </is>
      </c>
      <c r="B2244" s="4" t="n">
        <v>2</v>
      </c>
      <c r="C2244" s="4" t="inlineStr">
        <is>
          <t>elk</t>
        </is>
      </c>
      <c r="D2244" s="4" t="n">
        <v>2020</v>
      </c>
      <c r="E2244" s="13" t="inlineStr">
        <is>
          <t>General</t>
        </is>
      </c>
      <c r="F2244" s="5" t="n">
        <v>1119</v>
      </c>
      <c r="G2244" s="5" t="n">
        <v>8728</v>
      </c>
      <c r="H2244" s="5" t="n">
        <v>77</v>
      </c>
      <c r="I2244" s="5" t="n">
        <v>55</v>
      </c>
      <c r="J2244" s="5" t="n">
        <v>20</v>
      </c>
      <c r="K2244" s="10">
        <f>IF(F2244&gt;0,H2244/F2244,"")</f>
        <v/>
      </c>
      <c r="L2244" s="16">
        <f>IF(AND(G2244&gt;0,H2244&gt;0),G2244/H2244,"")</f>
        <v/>
      </c>
    </row>
    <row r="2245">
      <c r="A2245" s="4" t="inlineStr">
        <is>
          <t>281</t>
        </is>
      </c>
      <c r="B2245" s="4" t="n">
        <v>2</v>
      </c>
      <c r="C2245" s="4" t="inlineStr">
        <is>
          <t>elk</t>
        </is>
      </c>
      <c r="D2245" s="4" t="n">
        <v>2021</v>
      </c>
      <c r="E2245" s="13" t="inlineStr">
        <is>
          <t>General</t>
        </is>
      </c>
      <c r="F2245" s="5" t="n"/>
      <c r="G2245" s="5" t="n"/>
      <c r="H2245" s="5" t="n">
        <v>52</v>
      </c>
      <c r="I2245" s="5" t="n">
        <v>43</v>
      </c>
      <c r="J2245" s="5" t="n">
        <v>9</v>
      </c>
      <c r="K2245" s="10">
        <f>IF(F2245&gt;0,H2245/F2245,"")</f>
        <v/>
      </c>
      <c r="L2245" s="16">
        <f>IF(AND(G2245&gt;0,H2245&gt;0),G2245/H2245,"")</f>
        <v/>
      </c>
    </row>
    <row r="2246">
      <c r="A2246" s="4" t="inlineStr">
        <is>
          <t>281</t>
        </is>
      </c>
      <c r="B2246" s="4" t="n">
        <v>2</v>
      </c>
      <c r="C2246" s="4" t="inlineStr">
        <is>
          <t>elk</t>
        </is>
      </c>
      <c r="D2246" s="4" t="n">
        <v>2022</v>
      </c>
      <c r="E2246" s="13" t="inlineStr">
        <is>
          <t>General</t>
        </is>
      </c>
      <c r="F2246" s="5" t="n">
        <v>997</v>
      </c>
      <c r="G2246" s="5" t="n">
        <v>6801</v>
      </c>
      <c r="H2246" s="5" t="n">
        <v>102</v>
      </c>
      <c r="I2246" s="5" t="n">
        <v>77</v>
      </c>
      <c r="J2246" s="5" t="n">
        <v>22</v>
      </c>
      <c r="K2246" s="10">
        <f>IF(F2246&gt;0,H2246/F2246,"")</f>
        <v/>
      </c>
      <c r="L2246" s="16">
        <f>IF(AND(G2246&gt;0,H2246&gt;0),G2246/H2246,"")</f>
        <v/>
      </c>
    </row>
    <row r="2247">
      <c r="A2247" s="4" t="inlineStr">
        <is>
          <t>281</t>
        </is>
      </c>
      <c r="B2247" s="4" t="n">
        <v>2</v>
      </c>
      <c r="C2247" s="4" t="inlineStr">
        <is>
          <t>elk</t>
        </is>
      </c>
      <c r="D2247" s="4" t="n">
        <v>2023</v>
      </c>
      <c r="E2247" s="13" t="inlineStr">
        <is>
          <t>General</t>
        </is>
      </c>
      <c r="F2247" s="5" t="n"/>
      <c r="G2247" s="5" t="n"/>
      <c r="H2247" s="5" t="n">
        <v>79</v>
      </c>
      <c r="I2247" s="5" t="n">
        <v>68</v>
      </c>
      <c r="J2247" s="5" t="n">
        <v>11</v>
      </c>
      <c r="K2247" s="10">
        <f>IF(F2247&gt;0,H2247/F2247,"")</f>
        <v/>
      </c>
      <c r="L2247" s="16">
        <f>IF(AND(G2247&gt;0,H2247&gt;0),G2247/H2247,"")</f>
        <v/>
      </c>
    </row>
    <row r="2248">
      <c r="A2248" s="4" t="inlineStr">
        <is>
          <t>281</t>
        </is>
      </c>
      <c r="B2248" s="4" t="n">
        <v>2</v>
      </c>
      <c r="C2248" s="4" t="inlineStr">
        <is>
          <t>elk</t>
        </is>
      </c>
      <c r="D2248" s="4" t="n">
        <v>2024</v>
      </c>
      <c r="E2248" s="13" t="inlineStr">
        <is>
          <t>General</t>
        </is>
      </c>
      <c r="F2248" s="5" t="n">
        <v>1213</v>
      </c>
      <c r="G2248" s="5" t="n">
        <v>9303</v>
      </c>
      <c r="H2248" s="5" t="n">
        <v>83</v>
      </c>
      <c r="I2248" s="5" t="n">
        <v>53</v>
      </c>
      <c r="J2248" s="5" t="n">
        <v>30</v>
      </c>
      <c r="K2248" s="10">
        <f>IF(F2248&gt;0,H2248/F2248,"")</f>
        <v/>
      </c>
      <c r="L2248" s="16">
        <f>IF(AND(G2248&gt;0,H2248&gt;0),G2248/H2248,"")</f>
        <v/>
      </c>
    </row>
    <row r="2249">
      <c r="A2249" s="4" t="inlineStr">
        <is>
          <t>281</t>
        </is>
      </c>
      <c r="B2249" s="4" t="n">
        <v>2</v>
      </c>
      <c r="C2249" s="4" t="inlineStr">
        <is>
          <t>elk</t>
        </is>
      </c>
      <c r="D2249" s="4" t="n">
        <v>2025</v>
      </c>
      <c r="E2249" s="13" t="inlineStr">
        <is>
          <t>General</t>
        </is>
      </c>
      <c r="F2249" s="5" t="n"/>
      <c r="G2249" s="5" t="n"/>
      <c r="H2249" s="5" t="n">
        <v>77</v>
      </c>
      <c r="I2249" s="5" t="n">
        <v>60</v>
      </c>
      <c r="J2249" s="5" t="n">
        <v>14</v>
      </c>
      <c r="K2249" s="10">
        <f>IF(F2249&gt;0,H2249/F2249,"")</f>
        <v/>
      </c>
      <c r="L2249" s="16">
        <f>IF(AND(G2249&gt;0,H2249&gt;0),G2249/H2249,"")</f>
        <v/>
      </c>
    </row>
    <row r="2250">
      <c r="A2250" s="4" t="inlineStr">
        <is>
          <t>282</t>
        </is>
      </c>
      <c r="B2250" s="4" t="n">
        <v>2</v>
      </c>
      <c r="C2250" s="4" t="inlineStr">
        <is>
          <t>elk</t>
        </is>
      </c>
      <c r="D2250" s="4" t="n">
        <v>2004</v>
      </c>
      <c r="E2250" s="13" t="inlineStr">
        <is>
          <t>General</t>
        </is>
      </c>
      <c r="F2250" s="5" t="n">
        <v>296</v>
      </c>
      <c r="G2250" s="5" t="n">
        <v>1706</v>
      </c>
      <c r="H2250" s="5" t="n">
        <v>38</v>
      </c>
      <c r="I2250" s="5" t="n">
        <v>11</v>
      </c>
      <c r="J2250" s="5" t="n">
        <v>24</v>
      </c>
      <c r="K2250" s="10">
        <f>IF(F2250&gt;0,H2250/F2250,"")</f>
        <v/>
      </c>
      <c r="L2250" s="16">
        <f>IF(AND(G2250&gt;0,H2250&gt;0),G2250/H2250,"")</f>
        <v/>
      </c>
    </row>
    <row r="2251">
      <c r="A2251" s="4" t="inlineStr">
        <is>
          <t>282</t>
        </is>
      </c>
      <c r="B2251" s="4" t="n">
        <v>2</v>
      </c>
      <c r="C2251" s="4" t="inlineStr">
        <is>
          <t>elk</t>
        </is>
      </c>
      <c r="D2251" s="4" t="n">
        <v>2005</v>
      </c>
      <c r="E2251" s="13" t="inlineStr">
        <is>
          <t>General</t>
        </is>
      </c>
      <c r="F2251" s="5" t="n">
        <v>244</v>
      </c>
      <c r="G2251" s="5" t="n">
        <v>1406</v>
      </c>
      <c r="H2251" s="5" t="n">
        <v>98</v>
      </c>
      <c r="I2251" s="5" t="n">
        <v>5</v>
      </c>
      <c r="J2251" s="5" t="n">
        <v>80</v>
      </c>
      <c r="K2251" s="10">
        <f>IF(F2251&gt;0,H2251/F2251,"")</f>
        <v/>
      </c>
      <c r="L2251" s="16">
        <f>IF(AND(G2251&gt;0,H2251&gt;0),G2251/H2251,"")</f>
        <v/>
      </c>
    </row>
    <row r="2252">
      <c r="A2252" s="4" t="inlineStr">
        <is>
          <t>282</t>
        </is>
      </c>
      <c r="B2252" s="4" t="n">
        <v>2</v>
      </c>
      <c r="C2252" s="4" t="inlineStr">
        <is>
          <t>elk</t>
        </is>
      </c>
      <c r="D2252" s="4" t="n">
        <v>2006</v>
      </c>
      <c r="E2252" s="13" t="inlineStr">
        <is>
          <t>General</t>
        </is>
      </c>
      <c r="F2252" s="5" t="n">
        <v>303</v>
      </c>
      <c r="G2252" s="5" t="n">
        <v>2084</v>
      </c>
      <c r="H2252" s="5" t="n">
        <v>46</v>
      </c>
      <c r="I2252" s="5" t="n">
        <v>11</v>
      </c>
      <c r="J2252" s="5" t="n">
        <v>25</v>
      </c>
      <c r="K2252" s="10">
        <f>IF(F2252&gt;0,H2252/F2252,"")</f>
        <v/>
      </c>
      <c r="L2252" s="16">
        <f>IF(AND(G2252&gt;0,H2252&gt;0),G2252/H2252,"")</f>
        <v/>
      </c>
    </row>
    <row r="2253">
      <c r="A2253" s="4" t="inlineStr">
        <is>
          <t>282</t>
        </is>
      </c>
      <c r="B2253" s="4" t="n">
        <v>2</v>
      </c>
      <c r="C2253" s="4" t="inlineStr">
        <is>
          <t>elk</t>
        </is>
      </c>
      <c r="D2253" s="4" t="n">
        <v>2007</v>
      </c>
      <c r="E2253" s="13" t="inlineStr">
        <is>
          <t>General</t>
        </is>
      </c>
      <c r="F2253" s="5" t="n">
        <v>237</v>
      </c>
      <c r="G2253" s="5" t="n">
        <v>1338</v>
      </c>
      <c r="H2253" s="5" t="n">
        <v>30</v>
      </c>
      <c r="I2253" s="5" t="n">
        <v>5</v>
      </c>
      <c r="J2253" s="5" t="n">
        <v>26</v>
      </c>
      <c r="K2253" s="10">
        <f>IF(F2253&gt;0,H2253/F2253,"")</f>
        <v/>
      </c>
      <c r="L2253" s="16">
        <f>IF(AND(G2253&gt;0,H2253&gt;0),G2253/H2253,"")</f>
        <v/>
      </c>
    </row>
    <row r="2254">
      <c r="A2254" s="4" t="inlineStr">
        <is>
          <t>282</t>
        </is>
      </c>
      <c r="B2254" s="4" t="n">
        <v>2</v>
      </c>
      <c r="C2254" s="4" t="inlineStr">
        <is>
          <t>elk</t>
        </is>
      </c>
      <c r="D2254" s="4" t="n">
        <v>2008</v>
      </c>
      <c r="E2254" s="13" t="inlineStr">
        <is>
          <t>General</t>
        </is>
      </c>
      <c r="F2254" s="5" t="n">
        <v>288</v>
      </c>
      <c r="G2254" s="5" t="n">
        <v>1520</v>
      </c>
      <c r="H2254" s="5" t="n">
        <v>47</v>
      </c>
      <c r="I2254" s="5" t="n">
        <v>13</v>
      </c>
      <c r="J2254" s="5" t="n">
        <v>33</v>
      </c>
      <c r="K2254" s="10">
        <f>IF(F2254&gt;0,H2254/F2254,"")</f>
        <v/>
      </c>
      <c r="L2254" s="16">
        <f>IF(AND(G2254&gt;0,H2254&gt;0),G2254/H2254,"")</f>
        <v/>
      </c>
    </row>
    <row r="2255">
      <c r="A2255" s="4" t="inlineStr">
        <is>
          <t>282</t>
        </is>
      </c>
      <c r="B2255" s="4" t="n">
        <v>2</v>
      </c>
      <c r="C2255" s="4" t="inlineStr">
        <is>
          <t>elk</t>
        </is>
      </c>
      <c r="D2255" s="4" t="n">
        <v>2009</v>
      </c>
      <c r="E2255" s="13" t="inlineStr">
        <is>
          <t>General</t>
        </is>
      </c>
      <c r="F2255" s="5" t="n">
        <v>255</v>
      </c>
      <c r="G2255" s="5" t="n">
        <v>1533</v>
      </c>
      <c r="H2255" s="5" t="n">
        <v>40</v>
      </c>
      <c r="I2255" s="5" t="n">
        <v>7</v>
      </c>
      <c r="J2255" s="5" t="n">
        <v>31</v>
      </c>
      <c r="K2255" s="10">
        <f>IF(F2255&gt;0,H2255/F2255,"")</f>
        <v/>
      </c>
      <c r="L2255" s="16">
        <f>IF(AND(G2255&gt;0,H2255&gt;0),G2255/H2255,"")</f>
        <v/>
      </c>
    </row>
    <row r="2256">
      <c r="A2256" s="4" t="inlineStr">
        <is>
          <t>282</t>
        </is>
      </c>
      <c r="B2256" s="4" t="n">
        <v>2</v>
      </c>
      <c r="C2256" s="4" t="inlineStr">
        <is>
          <t>elk</t>
        </is>
      </c>
      <c r="D2256" s="4" t="n">
        <v>2010</v>
      </c>
      <c r="E2256" s="13" t="inlineStr">
        <is>
          <t>General</t>
        </is>
      </c>
      <c r="F2256" s="5" t="n">
        <v>208</v>
      </c>
      <c r="G2256" s="5" t="n">
        <v>1353</v>
      </c>
      <c r="H2256" s="5" t="n">
        <v>35</v>
      </c>
      <c r="I2256" s="5" t="n">
        <v>14</v>
      </c>
      <c r="J2256" s="5" t="n">
        <v>21</v>
      </c>
      <c r="K2256" s="10">
        <f>IF(F2256&gt;0,H2256/F2256,"")</f>
        <v/>
      </c>
      <c r="L2256" s="16">
        <f>IF(AND(G2256&gt;0,H2256&gt;0),G2256/H2256,"")</f>
        <v/>
      </c>
    </row>
    <row r="2257">
      <c r="A2257" s="4" t="inlineStr">
        <is>
          <t>282</t>
        </is>
      </c>
      <c r="B2257" s="4" t="n">
        <v>2</v>
      </c>
      <c r="C2257" s="4" t="inlineStr">
        <is>
          <t>elk</t>
        </is>
      </c>
      <c r="D2257" s="4" t="n">
        <v>2011</v>
      </c>
      <c r="E2257" s="13" t="inlineStr">
        <is>
          <t>General</t>
        </is>
      </c>
      <c r="F2257" s="5" t="n">
        <v>163</v>
      </c>
      <c r="G2257" s="5" t="n">
        <v>1110</v>
      </c>
      <c r="H2257" s="5" t="n">
        <v>17</v>
      </c>
      <c r="I2257" s="5" t="n">
        <v>4</v>
      </c>
      <c r="J2257" s="5" t="n">
        <v>11</v>
      </c>
      <c r="K2257" s="10">
        <f>IF(F2257&gt;0,H2257/F2257,"")</f>
        <v/>
      </c>
      <c r="L2257" s="16">
        <f>IF(AND(G2257&gt;0,H2257&gt;0),G2257/H2257,"")</f>
        <v/>
      </c>
    </row>
    <row r="2258">
      <c r="A2258" s="4" t="inlineStr">
        <is>
          <t>282</t>
        </is>
      </c>
      <c r="B2258" s="4" t="n">
        <v>2</v>
      </c>
      <c r="C2258" s="4" t="inlineStr">
        <is>
          <t>elk</t>
        </is>
      </c>
      <c r="D2258" s="4" t="n">
        <v>2012</v>
      </c>
      <c r="E2258" s="13" t="inlineStr">
        <is>
          <t>General</t>
        </is>
      </c>
      <c r="F2258" s="5" t="n">
        <v>146</v>
      </c>
      <c r="G2258" s="5" t="n">
        <v>932</v>
      </c>
      <c r="H2258" s="5" t="n">
        <v>14</v>
      </c>
      <c r="I2258" s="5" t="n">
        <v>6</v>
      </c>
      <c r="J2258" s="5" t="n">
        <v>8</v>
      </c>
      <c r="K2258" s="10">
        <f>IF(F2258&gt;0,H2258/F2258,"")</f>
        <v/>
      </c>
      <c r="L2258" s="16">
        <f>IF(AND(G2258&gt;0,H2258&gt;0),G2258/H2258,"")</f>
        <v/>
      </c>
    </row>
    <row r="2259">
      <c r="A2259" s="4" t="inlineStr">
        <is>
          <t>282</t>
        </is>
      </c>
      <c r="B2259" s="4" t="n">
        <v>2</v>
      </c>
      <c r="C2259" s="4" t="inlineStr">
        <is>
          <t>elk</t>
        </is>
      </c>
      <c r="D2259" s="4" t="n">
        <v>2013</v>
      </c>
      <c r="E2259" s="13" t="inlineStr">
        <is>
          <t>General</t>
        </is>
      </c>
      <c r="F2259" s="5" t="n"/>
      <c r="G2259" s="5" t="n"/>
      <c r="H2259" s="5" t="n">
        <v>19</v>
      </c>
      <c r="I2259" s="5" t="n">
        <v>1</v>
      </c>
      <c r="J2259" s="5" t="n">
        <v>17</v>
      </c>
      <c r="K2259" s="10">
        <f>IF(F2259&gt;0,H2259/F2259,"")</f>
        <v/>
      </c>
      <c r="L2259" s="16">
        <f>IF(AND(G2259&gt;0,H2259&gt;0),G2259/H2259,"")</f>
        <v/>
      </c>
    </row>
    <row r="2260">
      <c r="A2260" s="4" t="inlineStr">
        <is>
          <t>282</t>
        </is>
      </c>
      <c r="B2260" s="4" t="n">
        <v>2</v>
      </c>
      <c r="C2260" s="4" t="inlineStr">
        <is>
          <t>elk</t>
        </is>
      </c>
      <c r="D2260" s="4" t="n">
        <v>2014</v>
      </c>
      <c r="E2260" s="13" t="inlineStr">
        <is>
          <t>General</t>
        </is>
      </c>
      <c r="F2260" s="5" t="n">
        <v>171</v>
      </c>
      <c r="G2260" s="5" t="n">
        <v>1072</v>
      </c>
      <c r="H2260" s="5" t="n">
        <v>12</v>
      </c>
      <c r="I2260" s="5" t="n">
        <v>3</v>
      </c>
      <c r="J2260" s="5" t="n">
        <v>9</v>
      </c>
      <c r="K2260" s="10">
        <f>IF(F2260&gt;0,H2260/F2260,"")</f>
        <v/>
      </c>
      <c r="L2260" s="16">
        <f>IF(AND(G2260&gt;0,H2260&gt;0),G2260/H2260,"")</f>
        <v/>
      </c>
    </row>
    <row r="2261">
      <c r="A2261" s="4" t="inlineStr">
        <is>
          <t>282</t>
        </is>
      </c>
      <c r="B2261" s="4" t="n">
        <v>2</v>
      </c>
      <c r="C2261" s="4" t="inlineStr">
        <is>
          <t>elk</t>
        </is>
      </c>
      <c r="D2261" s="4" t="n">
        <v>2015</v>
      </c>
      <c r="E2261" s="13" t="inlineStr">
        <is>
          <t>General</t>
        </is>
      </c>
      <c r="F2261" s="5" t="n">
        <v>141</v>
      </c>
      <c r="G2261" s="5" t="n">
        <v>1008</v>
      </c>
      <c r="H2261" s="5" t="n">
        <v>29</v>
      </c>
      <c r="I2261" s="5" t="n">
        <v>9</v>
      </c>
      <c r="J2261" s="5" t="n">
        <v>18</v>
      </c>
      <c r="K2261" s="10">
        <f>IF(F2261&gt;0,H2261/F2261,"")</f>
        <v/>
      </c>
      <c r="L2261" s="16">
        <f>IF(AND(G2261&gt;0,H2261&gt;0),G2261/H2261,"")</f>
        <v/>
      </c>
    </row>
    <row r="2262">
      <c r="A2262" s="4" t="inlineStr">
        <is>
          <t>282</t>
        </is>
      </c>
      <c r="B2262" s="4" t="n">
        <v>2</v>
      </c>
      <c r="C2262" s="4" t="inlineStr">
        <is>
          <t>elk</t>
        </is>
      </c>
      <c r="D2262" s="4" t="n">
        <v>2016</v>
      </c>
      <c r="E2262" s="13" t="inlineStr">
        <is>
          <t>General</t>
        </is>
      </c>
      <c r="F2262" s="5" t="n">
        <v>203</v>
      </c>
      <c r="G2262" s="5" t="n">
        <v>1532</v>
      </c>
      <c r="H2262" s="5" t="n">
        <v>21</v>
      </c>
      <c r="I2262" s="5" t="n">
        <v>6</v>
      </c>
      <c r="J2262" s="5" t="n">
        <v>13</v>
      </c>
      <c r="K2262" s="10">
        <f>IF(F2262&gt;0,H2262/F2262,"")</f>
        <v/>
      </c>
      <c r="L2262" s="16">
        <f>IF(AND(G2262&gt;0,H2262&gt;0),G2262/H2262,"")</f>
        <v/>
      </c>
    </row>
    <row r="2263">
      <c r="A2263" s="4" t="inlineStr">
        <is>
          <t>282</t>
        </is>
      </c>
      <c r="B2263" s="4" t="n">
        <v>2</v>
      </c>
      <c r="C2263" s="4" t="inlineStr">
        <is>
          <t>elk</t>
        </is>
      </c>
      <c r="D2263" s="4" t="n">
        <v>2017</v>
      </c>
      <c r="E2263" s="13" t="inlineStr">
        <is>
          <t>General</t>
        </is>
      </c>
      <c r="F2263" s="5" t="n"/>
      <c r="G2263" s="5" t="n"/>
      <c r="H2263" s="5" t="n">
        <v>22</v>
      </c>
      <c r="I2263" s="5" t="n">
        <v>15</v>
      </c>
      <c r="J2263" s="5" t="n">
        <v>7</v>
      </c>
      <c r="K2263" s="10">
        <f>IF(F2263&gt;0,H2263/F2263,"")</f>
        <v/>
      </c>
      <c r="L2263" s="16">
        <f>IF(AND(G2263&gt;0,H2263&gt;0),G2263/H2263,"")</f>
        <v/>
      </c>
    </row>
    <row r="2264">
      <c r="A2264" s="4" t="inlineStr">
        <is>
          <t>282</t>
        </is>
      </c>
      <c r="B2264" s="4" t="n">
        <v>2</v>
      </c>
      <c r="C2264" s="4" t="inlineStr">
        <is>
          <t>elk</t>
        </is>
      </c>
      <c r="D2264" s="4" t="n">
        <v>2018</v>
      </c>
      <c r="E2264" s="13" t="inlineStr">
        <is>
          <t>General</t>
        </is>
      </c>
      <c r="F2264" s="5" t="n">
        <v>233</v>
      </c>
      <c r="G2264" s="5" t="n">
        <v>1534</v>
      </c>
      <c r="H2264" s="5" t="n">
        <v>30</v>
      </c>
      <c r="I2264" s="5" t="n">
        <v>7</v>
      </c>
      <c r="J2264" s="5" t="n">
        <v>22</v>
      </c>
      <c r="K2264" s="10">
        <f>IF(F2264&gt;0,H2264/F2264,"")</f>
        <v/>
      </c>
      <c r="L2264" s="16">
        <f>IF(AND(G2264&gt;0,H2264&gt;0),G2264/H2264,"")</f>
        <v/>
      </c>
    </row>
    <row r="2265">
      <c r="A2265" s="4" t="inlineStr">
        <is>
          <t>282</t>
        </is>
      </c>
      <c r="B2265" s="4" t="n">
        <v>2</v>
      </c>
      <c r="C2265" s="4" t="inlineStr">
        <is>
          <t>elk</t>
        </is>
      </c>
      <c r="D2265" s="4" t="n">
        <v>2019</v>
      </c>
      <c r="E2265" s="13" t="inlineStr">
        <is>
          <t>General</t>
        </is>
      </c>
      <c r="F2265" s="5" t="n"/>
      <c r="G2265" s="5" t="n"/>
      <c r="H2265" s="5" t="n">
        <v>10</v>
      </c>
      <c r="I2265" s="5" t="n">
        <v>1</v>
      </c>
      <c r="J2265" s="5" t="n">
        <v>6</v>
      </c>
      <c r="K2265" s="10">
        <f>IF(F2265&gt;0,H2265/F2265,"")</f>
        <v/>
      </c>
      <c r="L2265" s="16">
        <f>IF(AND(G2265&gt;0,H2265&gt;0),G2265/H2265,"")</f>
        <v/>
      </c>
    </row>
    <row r="2266">
      <c r="A2266" s="4" t="inlineStr">
        <is>
          <t>282</t>
        </is>
      </c>
      <c r="B2266" s="4" t="n">
        <v>2</v>
      </c>
      <c r="C2266" s="4" t="inlineStr">
        <is>
          <t>elk</t>
        </is>
      </c>
      <c r="D2266" s="4" t="n">
        <v>2020</v>
      </c>
      <c r="E2266" s="13" t="inlineStr">
        <is>
          <t>General</t>
        </is>
      </c>
      <c r="F2266" s="5" t="n">
        <v>211</v>
      </c>
      <c r="G2266" s="5" t="n">
        <v>1366</v>
      </c>
      <c r="H2266" s="5" t="n">
        <v>5</v>
      </c>
      <c r="I2266" s="5" t="n">
        <v>0</v>
      </c>
      <c r="J2266" s="5" t="n">
        <v>5</v>
      </c>
      <c r="K2266" s="10">
        <f>IF(F2266&gt;0,H2266/F2266,"")</f>
        <v/>
      </c>
      <c r="L2266" s="16">
        <f>IF(AND(G2266&gt;0,H2266&gt;0),G2266/H2266,"")</f>
        <v/>
      </c>
    </row>
    <row r="2267">
      <c r="A2267" s="4" t="inlineStr">
        <is>
          <t>282</t>
        </is>
      </c>
      <c r="B2267" s="4" t="n">
        <v>2</v>
      </c>
      <c r="C2267" s="4" t="inlineStr">
        <is>
          <t>elk</t>
        </is>
      </c>
      <c r="D2267" s="4" t="n">
        <v>2021</v>
      </c>
      <c r="E2267" s="13" t="inlineStr">
        <is>
          <t>General</t>
        </is>
      </c>
      <c r="F2267" s="5" t="n"/>
      <c r="G2267" s="5" t="n"/>
      <c r="H2267" s="5" t="n">
        <v>17</v>
      </c>
      <c r="I2267" s="5" t="n">
        <v>12</v>
      </c>
      <c r="J2267" s="5" t="n">
        <v>5</v>
      </c>
      <c r="K2267" s="10">
        <f>IF(F2267&gt;0,H2267/F2267,"")</f>
        <v/>
      </c>
      <c r="L2267" s="16">
        <f>IF(AND(G2267&gt;0,H2267&gt;0),G2267/H2267,"")</f>
        <v/>
      </c>
    </row>
    <row r="2268">
      <c r="A2268" s="4" t="inlineStr">
        <is>
          <t>282</t>
        </is>
      </c>
      <c r="B2268" s="4" t="n">
        <v>2</v>
      </c>
      <c r="C2268" s="4" t="inlineStr">
        <is>
          <t>elk</t>
        </is>
      </c>
      <c r="D2268" s="4" t="n">
        <v>2022</v>
      </c>
      <c r="E2268" s="13" t="inlineStr">
        <is>
          <t>General</t>
        </is>
      </c>
      <c r="F2268" s="5" t="n">
        <v>293</v>
      </c>
      <c r="G2268" s="5" t="n">
        <v>1783</v>
      </c>
      <c r="H2268" s="5" t="n">
        <v>26</v>
      </c>
      <c r="I2268" s="5" t="n">
        <v>9</v>
      </c>
      <c r="J2268" s="5" t="n">
        <v>17</v>
      </c>
      <c r="K2268" s="10">
        <f>IF(F2268&gt;0,H2268/F2268,"")</f>
        <v/>
      </c>
      <c r="L2268" s="16">
        <f>IF(AND(G2268&gt;0,H2268&gt;0),G2268/H2268,"")</f>
        <v/>
      </c>
    </row>
    <row r="2269">
      <c r="A2269" s="4" t="inlineStr">
        <is>
          <t>282</t>
        </is>
      </c>
      <c r="B2269" s="4" t="n">
        <v>2</v>
      </c>
      <c r="C2269" s="4" t="inlineStr">
        <is>
          <t>elk</t>
        </is>
      </c>
      <c r="D2269" s="4" t="n">
        <v>2023</v>
      </c>
      <c r="E2269" s="13" t="inlineStr">
        <is>
          <t>General</t>
        </is>
      </c>
      <c r="F2269" s="5" t="n"/>
      <c r="G2269" s="5" t="n"/>
      <c r="H2269" s="5" t="n">
        <v>4</v>
      </c>
      <c r="I2269" s="5" t="n">
        <v>0</v>
      </c>
      <c r="J2269" s="5" t="n">
        <v>4</v>
      </c>
      <c r="K2269" s="10">
        <f>IF(F2269&gt;0,H2269/F2269,"")</f>
        <v/>
      </c>
      <c r="L2269" s="16">
        <f>IF(AND(G2269&gt;0,H2269&gt;0),G2269/H2269,"")</f>
        <v/>
      </c>
    </row>
    <row r="2270">
      <c r="A2270" s="4" t="inlineStr">
        <is>
          <t>282</t>
        </is>
      </c>
      <c r="B2270" s="4" t="n">
        <v>2</v>
      </c>
      <c r="C2270" s="4" t="inlineStr">
        <is>
          <t>elk</t>
        </is>
      </c>
      <c r="D2270" s="4" t="n">
        <v>2024</v>
      </c>
      <c r="E2270" s="13" t="inlineStr">
        <is>
          <t>General</t>
        </is>
      </c>
      <c r="F2270" s="5" t="n">
        <v>261</v>
      </c>
      <c r="G2270" s="5" t="n">
        <v>1680</v>
      </c>
      <c r="H2270" s="5" t="n">
        <v>21</v>
      </c>
      <c r="I2270" s="5" t="n">
        <v>8</v>
      </c>
      <c r="J2270" s="5" t="n">
        <v>10</v>
      </c>
      <c r="K2270" s="10">
        <f>IF(F2270&gt;0,H2270/F2270,"")</f>
        <v/>
      </c>
      <c r="L2270" s="16">
        <f>IF(AND(G2270&gt;0,H2270&gt;0),G2270/H2270,"")</f>
        <v/>
      </c>
    </row>
    <row r="2271">
      <c r="A2271" s="4" t="inlineStr">
        <is>
          <t>282</t>
        </is>
      </c>
      <c r="B2271" s="4" t="n">
        <v>2</v>
      </c>
      <c r="C2271" s="4" t="inlineStr">
        <is>
          <t>elk</t>
        </is>
      </c>
      <c r="D2271" s="4" t="n">
        <v>2025</v>
      </c>
      <c r="E2271" s="13" t="inlineStr">
        <is>
          <t>General</t>
        </is>
      </c>
      <c r="F2271" s="5" t="n"/>
      <c r="G2271" s="5" t="n"/>
      <c r="H2271" s="5" t="n">
        <v>31</v>
      </c>
      <c r="I2271" s="5" t="n">
        <v>12</v>
      </c>
      <c r="J2271" s="5" t="n">
        <v>19</v>
      </c>
      <c r="K2271" s="10">
        <f>IF(F2271&gt;0,H2271/F2271,"")</f>
        <v/>
      </c>
      <c r="L2271" s="16">
        <f>IF(AND(G2271&gt;0,H2271&gt;0),G2271/H2271,"")</f>
        <v/>
      </c>
    </row>
    <row r="2272">
      <c r="A2272" s="4" t="inlineStr">
        <is>
          <t>283</t>
        </is>
      </c>
      <c r="B2272" s="4" t="n">
        <v>2</v>
      </c>
      <c r="C2272" s="4" t="inlineStr">
        <is>
          <t>elk</t>
        </is>
      </c>
      <c r="D2272" s="4" t="n">
        <v>2004</v>
      </c>
      <c r="E2272" s="4" t="inlineStr"/>
      <c r="F2272" s="5" t="n">
        <v>1415</v>
      </c>
      <c r="G2272" s="5" t="n">
        <v>7965</v>
      </c>
      <c r="H2272" s="5" t="n">
        <v>123</v>
      </c>
      <c r="I2272" s="5" t="n">
        <v>61</v>
      </c>
      <c r="J2272" s="5" t="n">
        <v>57</v>
      </c>
      <c r="K2272" s="10">
        <f>IF(F2272&gt;0,H2272/F2272,"")</f>
        <v/>
      </c>
      <c r="L2272" s="16">
        <f>IF(AND(G2272&gt;0,H2272&gt;0),G2272/H2272,"")</f>
        <v/>
      </c>
    </row>
    <row r="2273">
      <c r="A2273" s="4" t="inlineStr">
        <is>
          <t>283</t>
        </is>
      </c>
      <c r="B2273" s="4" t="n">
        <v>2</v>
      </c>
      <c r="C2273" s="4" t="inlineStr">
        <is>
          <t>elk</t>
        </is>
      </c>
      <c r="D2273" s="4" t="n">
        <v>2005</v>
      </c>
      <c r="E2273" s="4" t="inlineStr"/>
      <c r="F2273" s="5" t="n">
        <v>1438</v>
      </c>
      <c r="G2273" s="5" t="n">
        <v>7936</v>
      </c>
      <c r="H2273" s="5" t="n">
        <v>186</v>
      </c>
      <c r="I2273" s="5" t="n">
        <v>88</v>
      </c>
      <c r="J2273" s="5" t="n">
        <v>93</v>
      </c>
      <c r="K2273" s="10">
        <f>IF(F2273&gt;0,H2273/F2273,"")</f>
        <v/>
      </c>
      <c r="L2273" s="16">
        <f>IF(AND(G2273&gt;0,H2273&gt;0),G2273/H2273,"")</f>
        <v/>
      </c>
    </row>
    <row r="2274">
      <c r="A2274" s="4" t="inlineStr">
        <is>
          <t>283</t>
        </is>
      </c>
      <c r="B2274" s="4" t="n">
        <v>2</v>
      </c>
      <c r="C2274" s="4" t="inlineStr">
        <is>
          <t>elk</t>
        </is>
      </c>
      <c r="D2274" s="4" t="n">
        <v>2006</v>
      </c>
      <c r="E2274" s="4" t="inlineStr"/>
      <c r="F2274" s="5" t="n">
        <v>1450</v>
      </c>
      <c r="G2274" s="5" t="n">
        <v>9947</v>
      </c>
      <c r="H2274" s="5" t="n">
        <v>246</v>
      </c>
      <c r="I2274" s="5" t="n">
        <v>109</v>
      </c>
      <c r="J2274" s="5" t="n">
        <v>117</v>
      </c>
      <c r="K2274" s="10">
        <f>IF(F2274&gt;0,H2274/F2274,"")</f>
        <v/>
      </c>
      <c r="L2274" s="16">
        <f>IF(AND(G2274&gt;0,H2274&gt;0),G2274/H2274,"")</f>
        <v/>
      </c>
    </row>
    <row r="2275">
      <c r="A2275" s="4" t="inlineStr">
        <is>
          <t>283</t>
        </is>
      </c>
      <c r="B2275" s="4" t="n">
        <v>2</v>
      </c>
      <c r="C2275" s="4" t="inlineStr">
        <is>
          <t>elk</t>
        </is>
      </c>
      <c r="D2275" s="4" t="n">
        <v>2007</v>
      </c>
      <c r="E2275" s="4" t="inlineStr"/>
      <c r="F2275" s="5" t="n">
        <v>1427</v>
      </c>
      <c r="G2275" s="5" t="n">
        <v>9325</v>
      </c>
      <c r="H2275" s="5" t="n">
        <v>177</v>
      </c>
      <c r="I2275" s="5" t="n">
        <v>66</v>
      </c>
      <c r="J2275" s="5" t="n">
        <v>107</v>
      </c>
      <c r="K2275" s="10">
        <f>IF(F2275&gt;0,H2275/F2275,"")</f>
        <v/>
      </c>
      <c r="L2275" s="16">
        <f>IF(AND(G2275&gt;0,H2275&gt;0),G2275/H2275,"")</f>
        <v/>
      </c>
    </row>
    <row r="2276">
      <c r="A2276" s="4" t="inlineStr">
        <is>
          <t>283</t>
        </is>
      </c>
      <c r="B2276" s="4" t="n">
        <v>2</v>
      </c>
      <c r="C2276" s="4" t="inlineStr">
        <is>
          <t>elk</t>
        </is>
      </c>
      <c r="D2276" s="4" t="n">
        <v>2008</v>
      </c>
      <c r="E2276" s="4" t="inlineStr"/>
      <c r="F2276" s="5" t="n">
        <v>1889</v>
      </c>
      <c r="G2276" s="5" t="n">
        <v>12474</v>
      </c>
      <c r="H2276" s="5" t="n">
        <v>194</v>
      </c>
      <c r="I2276" s="5" t="n">
        <v>76</v>
      </c>
      <c r="J2276" s="5" t="n">
        <v>103</v>
      </c>
      <c r="K2276" s="10">
        <f>IF(F2276&gt;0,H2276/F2276,"")</f>
        <v/>
      </c>
      <c r="L2276" s="16">
        <f>IF(AND(G2276&gt;0,H2276&gt;0),G2276/H2276,"")</f>
        <v/>
      </c>
    </row>
    <row r="2277">
      <c r="A2277" s="4" t="inlineStr">
        <is>
          <t>283</t>
        </is>
      </c>
      <c r="B2277" s="4" t="n">
        <v>2</v>
      </c>
      <c r="C2277" s="4" t="inlineStr">
        <is>
          <t>elk</t>
        </is>
      </c>
      <c r="D2277" s="4" t="n">
        <v>2009</v>
      </c>
      <c r="E2277" s="4" t="inlineStr"/>
      <c r="F2277" s="5" t="n">
        <v>1686</v>
      </c>
      <c r="G2277" s="5" t="n">
        <v>12415</v>
      </c>
      <c r="H2277" s="5" t="n">
        <v>129</v>
      </c>
      <c r="I2277" s="5" t="n">
        <v>33</v>
      </c>
      <c r="J2277" s="5" t="n">
        <v>86</v>
      </c>
      <c r="K2277" s="10">
        <f>IF(F2277&gt;0,H2277/F2277,"")</f>
        <v/>
      </c>
      <c r="L2277" s="16">
        <f>IF(AND(G2277&gt;0,H2277&gt;0),G2277/H2277,"")</f>
        <v/>
      </c>
    </row>
    <row r="2278">
      <c r="A2278" s="4" t="inlineStr">
        <is>
          <t>283</t>
        </is>
      </c>
      <c r="B2278" s="4" t="n">
        <v>2</v>
      </c>
      <c r="C2278" s="4" t="inlineStr">
        <is>
          <t>elk</t>
        </is>
      </c>
      <c r="D2278" s="4" t="n">
        <v>2010</v>
      </c>
      <c r="E2278" s="4" t="inlineStr"/>
      <c r="F2278" s="5" t="n">
        <v>1407</v>
      </c>
      <c r="G2278" s="5" t="n">
        <v>9125</v>
      </c>
      <c r="H2278" s="5" t="n">
        <v>134</v>
      </c>
      <c r="I2278" s="5" t="n">
        <v>62</v>
      </c>
      <c r="J2278" s="5" t="n">
        <v>71</v>
      </c>
      <c r="K2278" s="10">
        <f>IF(F2278&gt;0,H2278/F2278,"")</f>
        <v/>
      </c>
      <c r="L2278" s="16">
        <f>IF(AND(G2278&gt;0,H2278&gt;0),G2278/H2278,"")</f>
        <v/>
      </c>
    </row>
    <row r="2279">
      <c r="A2279" s="4" t="inlineStr">
        <is>
          <t>283</t>
        </is>
      </c>
      <c r="B2279" s="4" t="n">
        <v>2</v>
      </c>
      <c r="C2279" s="4" t="inlineStr">
        <is>
          <t>elk</t>
        </is>
      </c>
      <c r="D2279" s="4" t="n">
        <v>2011</v>
      </c>
      <c r="E2279" s="4" t="inlineStr"/>
      <c r="F2279" s="5" t="n">
        <v>1348</v>
      </c>
      <c r="G2279" s="5" t="n">
        <v>8851</v>
      </c>
      <c r="H2279" s="5" t="n">
        <v>107</v>
      </c>
      <c r="I2279" s="5" t="n">
        <v>43</v>
      </c>
      <c r="J2279" s="5" t="n">
        <v>61</v>
      </c>
      <c r="K2279" s="10">
        <f>IF(F2279&gt;0,H2279/F2279,"")</f>
        <v/>
      </c>
      <c r="L2279" s="16">
        <f>IF(AND(G2279&gt;0,H2279&gt;0),G2279/H2279,"")</f>
        <v/>
      </c>
    </row>
    <row r="2280">
      <c r="A2280" s="4" t="inlineStr">
        <is>
          <t>283</t>
        </is>
      </c>
      <c r="B2280" s="4" t="n">
        <v>2</v>
      </c>
      <c r="C2280" s="4" t="inlineStr">
        <is>
          <t>elk</t>
        </is>
      </c>
      <c r="D2280" s="4" t="n">
        <v>2012</v>
      </c>
      <c r="E2280" s="4" t="inlineStr"/>
      <c r="F2280" s="5" t="n">
        <v>1246</v>
      </c>
      <c r="G2280" s="5" t="n">
        <v>7929</v>
      </c>
      <c r="H2280" s="5" t="n">
        <v>89</v>
      </c>
      <c r="I2280" s="5" t="n">
        <v>62</v>
      </c>
      <c r="J2280" s="5" t="n">
        <v>20</v>
      </c>
      <c r="K2280" s="10">
        <f>IF(F2280&gt;0,H2280/F2280,"")</f>
        <v/>
      </c>
      <c r="L2280" s="16">
        <f>IF(AND(G2280&gt;0,H2280&gt;0),G2280/H2280,"")</f>
        <v/>
      </c>
    </row>
    <row r="2281">
      <c r="A2281" s="4" t="inlineStr">
        <is>
          <t>283</t>
        </is>
      </c>
      <c r="B2281" s="4" t="n">
        <v>2</v>
      </c>
      <c r="C2281" s="4" t="inlineStr">
        <is>
          <t>elk</t>
        </is>
      </c>
      <c r="D2281" s="4" t="n">
        <v>2013</v>
      </c>
      <c r="E2281" s="4" t="inlineStr"/>
      <c r="F2281" s="5" t="n"/>
      <c r="G2281" s="5" t="n"/>
      <c r="H2281" s="5" t="n">
        <v>74</v>
      </c>
      <c r="I2281" s="5" t="n">
        <v>42</v>
      </c>
      <c r="J2281" s="5" t="n">
        <v>29</v>
      </c>
      <c r="K2281" s="10">
        <f>IF(F2281&gt;0,H2281/F2281,"")</f>
        <v/>
      </c>
      <c r="L2281" s="16">
        <f>IF(AND(G2281&gt;0,H2281&gt;0),G2281/H2281,"")</f>
        <v/>
      </c>
    </row>
    <row r="2282">
      <c r="A2282" s="4" t="inlineStr">
        <is>
          <t>283</t>
        </is>
      </c>
      <c r="B2282" s="4" t="n">
        <v>2</v>
      </c>
      <c r="C2282" s="4" t="inlineStr">
        <is>
          <t>elk</t>
        </is>
      </c>
      <c r="D2282" s="4" t="n">
        <v>2014</v>
      </c>
      <c r="E2282" s="4" t="inlineStr"/>
      <c r="F2282" s="5" t="n">
        <v>1134</v>
      </c>
      <c r="G2282" s="5" t="n">
        <v>7102</v>
      </c>
      <c r="H2282" s="5" t="n">
        <v>101</v>
      </c>
      <c r="I2282" s="5" t="n">
        <v>45</v>
      </c>
      <c r="J2282" s="5" t="n">
        <v>56</v>
      </c>
      <c r="K2282" s="10">
        <f>IF(F2282&gt;0,H2282/F2282,"")</f>
        <v/>
      </c>
      <c r="L2282" s="16">
        <f>IF(AND(G2282&gt;0,H2282&gt;0),G2282/H2282,"")</f>
        <v/>
      </c>
    </row>
    <row r="2283">
      <c r="A2283" s="4" t="inlineStr">
        <is>
          <t>283</t>
        </is>
      </c>
      <c r="B2283" s="4" t="n">
        <v>2</v>
      </c>
      <c r="C2283" s="4" t="inlineStr">
        <is>
          <t>elk</t>
        </is>
      </c>
      <c r="D2283" s="4" t="n">
        <v>2015</v>
      </c>
      <c r="E2283" s="4" t="inlineStr"/>
      <c r="F2283" s="5" t="n">
        <v>1126</v>
      </c>
      <c r="G2283" s="5" t="n">
        <v>8605</v>
      </c>
      <c r="H2283" s="5" t="n">
        <v>84</v>
      </c>
      <c r="I2283" s="5" t="n">
        <v>47</v>
      </c>
      <c r="J2283" s="5" t="n">
        <v>37</v>
      </c>
      <c r="K2283" s="10">
        <f>IF(F2283&gt;0,H2283/F2283,"")</f>
        <v/>
      </c>
      <c r="L2283" s="16">
        <f>IF(AND(G2283&gt;0,H2283&gt;0),G2283/H2283,"")</f>
        <v/>
      </c>
    </row>
    <row r="2284">
      <c r="A2284" s="4" t="inlineStr">
        <is>
          <t>283</t>
        </is>
      </c>
      <c r="B2284" s="4" t="n">
        <v>2</v>
      </c>
      <c r="C2284" s="4" t="inlineStr">
        <is>
          <t>elk</t>
        </is>
      </c>
      <c r="D2284" s="4" t="n">
        <v>2016</v>
      </c>
      <c r="E2284" s="4" t="inlineStr"/>
      <c r="F2284" s="5" t="n">
        <v>1135</v>
      </c>
      <c r="G2284" s="5" t="n">
        <v>9056</v>
      </c>
      <c r="H2284" s="5" t="n">
        <v>96</v>
      </c>
      <c r="I2284" s="5" t="n">
        <v>59</v>
      </c>
      <c r="J2284" s="5" t="n">
        <v>34</v>
      </c>
      <c r="K2284" s="10">
        <f>IF(F2284&gt;0,H2284/F2284,"")</f>
        <v/>
      </c>
      <c r="L2284" s="16">
        <f>IF(AND(G2284&gt;0,H2284&gt;0),G2284/H2284,"")</f>
        <v/>
      </c>
    </row>
    <row r="2285">
      <c r="A2285" s="4" t="inlineStr">
        <is>
          <t>283</t>
        </is>
      </c>
      <c r="B2285" s="4" t="n">
        <v>2</v>
      </c>
      <c r="C2285" s="4" t="inlineStr">
        <is>
          <t>elk</t>
        </is>
      </c>
      <c r="D2285" s="4" t="n">
        <v>2017</v>
      </c>
      <c r="E2285" s="4" t="inlineStr"/>
      <c r="F2285" s="5" t="n"/>
      <c r="G2285" s="5" t="n"/>
      <c r="H2285" s="5" t="n">
        <v>119</v>
      </c>
      <c r="I2285" s="5" t="n">
        <v>72</v>
      </c>
      <c r="J2285" s="5" t="n">
        <v>45</v>
      </c>
      <c r="K2285" s="10">
        <f>IF(F2285&gt;0,H2285/F2285,"")</f>
        <v/>
      </c>
      <c r="L2285" s="16">
        <f>IF(AND(G2285&gt;0,H2285&gt;0),G2285/H2285,"")</f>
        <v/>
      </c>
    </row>
    <row r="2286">
      <c r="A2286" s="4" t="inlineStr">
        <is>
          <t>283</t>
        </is>
      </c>
      <c r="B2286" s="4" t="n">
        <v>2</v>
      </c>
      <c r="C2286" s="4" t="inlineStr">
        <is>
          <t>elk</t>
        </is>
      </c>
      <c r="D2286" s="4" t="n">
        <v>2018</v>
      </c>
      <c r="E2286" s="4" t="inlineStr"/>
      <c r="F2286" s="5" t="n">
        <v>1081</v>
      </c>
      <c r="G2286" s="5" t="n">
        <v>7583</v>
      </c>
      <c r="H2286" s="5" t="n">
        <v>96</v>
      </c>
      <c r="I2286" s="5" t="n">
        <v>70</v>
      </c>
      <c r="J2286" s="5" t="n">
        <v>25</v>
      </c>
      <c r="K2286" s="10">
        <f>IF(F2286&gt;0,H2286/F2286,"")</f>
        <v/>
      </c>
      <c r="L2286" s="16">
        <f>IF(AND(G2286&gt;0,H2286&gt;0),G2286/H2286,"")</f>
        <v/>
      </c>
    </row>
    <row r="2287">
      <c r="A2287" s="4" t="inlineStr">
        <is>
          <t>283</t>
        </is>
      </c>
      <c r="B2287" s="4" t="n">
        <v>2</v>
      </c>
      <c r="C2287" s="4" t="inlineStr">
        <is>
          <t>elk</t>
        </is>
      </c>
      <c r="D2287" s="4" t="n">
        <v>2019</v>
      </c>
      <c r="E2287" s="4" t="inlineStr"/>
      <c r="F2287" s="5" t="n"/>
      <c r="G2287" s="5" t="n"/>
      <c r="H2287" s="5" t="n">
        <v>51</v>
      </c>
      <c r="I2287" s="5" t="n">
        <v>42</v>
      </c>
      <c r="J2287" s="5" t="n">
        <v>9</v>
      </c>
      <c r="K2287" s="10">
        <f>IF(F2287&gt;0,H2287/F2287,"")</f>
        <v/>
      </c>
      <c r="L2287" s="16">
        <f>IF(AND(G2287&gt;0,H2287&gt;0),G2287/H2287,"")</f>
        <v/>
      </c>
    </row>
    <row r="2288">
      <c r="A2288" s="4" t="inlineStr">
        <is>
          <t>283</t>
        </is>
      </c>
      <c r="B2288" s="4" t="n">
        <v>2</v>
      </c>
      <c r="C2288" s="4" t="inlineStr">
        <is>
          <t>elk</t>
        </is>
      </c>
      <c r="D2288" s="4" t="n">
        <v>2020</v>
      </c>
      <c r="E2288" s="4" t="inlineStr"/>
      <c r="F2288" s="5" t="n">
        <v>875</v>
      </c>
      <c r="G2288" s="5" t="n">
        <v>5658</v>
      </c>
      <c r="H2288" s="5" t="n">
        <v>28</v>
      </c>
      <c r="I2288" s="5" t="n">
        <v>28</v>
      </c>
      <c r="J2288" s="5" t="n">
        <v>0</v>
      </c>
      <c r="K2288" s="10">
        <f>IF(F2288&gt;0,H2288/F2288,"")</f>
        <v/>
      </c>
      <c r="L2288" s="16">
        <f>IF(AND(G2288&gt;0,H2288&gt;0),G2288/H2288,"")</f>
        <v/>
      </c>
    </row>
    <row r="2289">
      <c r="A2289" s="4" t="inlineStr">
        <is>
          <t>283</t>
        </is>
      </c>
      <c r="B2289" s="4" t="n">
        <v>2</v>
      </c>
      <c r="C2289" s="4" t="inlineStr">
        <is>
          <t>elk</t>
        </is>
      </c>
      <c r="D2289" s="4" t="n">
        <v>2021</v>
      </c>
      <c r="E2289" s="4" t="inlineStr"/>
      <c r="F2289" s="5" t="n"/>
      <c r="G2289" s="5" t="n"/>
      <c r="H2289" s="5" t="n">
        <v>44</v>
      </c>
      <c r="I2289" s="5" t="n">
        <v>40</v>
      </c>
      <c r="J2289" s="5" t="n">
        <v>4</v>
      </c>
      <c r="K2289" s="10">
        <f>IF(F2289&gt;0,H2289/F2289,"")</f>
        <v/>
      </c>
      <c r="L2289" s="16">
        <f>IF(AND(G2289&gt;0,H2289&gt;0),G2289/H2289,"")</f>
        <v/>
      </c>
    </row>
    <row r="2290">
      <c r="A2290" s="4" t="inlineStr">
        <is>
          <t>284</t>
        </is>
      </c>
      <c r="B2290" s="4" t="n">
        <v>2</v>
      </c>
      <c r="C2290" s="4" t="inlineStr">
        <is>
          <t>elk</t>
        </is>
      </c>
      <c r="D2290" s="4" t="n">
        <v>2004</v>
      </c>
      <c r="E2290" s="13" t="inlineStr">
        <is>
          <t>General</t>
        </is>
      </c>
      <c r="F2290" s="5" t="n">
        <v>178</v>
      </c>
      <c r="G2290" s="5" t="n">
        <v>1011</v>
      </c>
      <c r="H2290" s="5" t="n">
        <v>27</v>
      </c>
      <c r="I2290" s="5" t="n">
        <v>24</v>
      </c>
      <c r="J2290" s="5" t="n">
        <v>0</v>
      </c>
      <c r="K2290" s="10">
        <f>IF(F2290&gt;0,H2290/F2290,"")</f>
        <v/>
      </c>
      <c r="L2290" s="16">
        <f>IF(AND(G2290&gt;0,H2290&gt;0),G2290/H2290,"")</f>
        <v/>
      </c>
    </row>
    <row r="2291">
      <c r="A2291" s="4" t="inlineStr">
        <is>
          <t>284</t>
        </is>
      </c>
      <c r="B2291" s="4" t="n">
        <v>2</v>
      </c>
      <c r="C2291" s="4" t="inlineStr">
        <is>
          <t>elk</t>
        </is>
      </c>
      <c r="D2291" s="4" t="n">
        <v>2005</v>
      </c>
      <c r="E2291" s="13" t="inlineStr">
        <is>
          <t>General</t>
        </is>
      </c>
      <c r="F2291" s="5" t="n">
        <v>123</v>
      </c>
      <c r="G2291" s="5" t="n">
        <v>772</v>
      </c>
      <c r="H2291" s="5" t="n">
        <v>21</v>
      </c>
      <c r="I2291" s="5" t="n">
        <v>11</v>
      </c>
      <c r="J2291" s="5" t="n">
        <v>10</v>
      </c>
      <c r="K2291" s="10">
        <f>IF(F2291&gt;0,H2291/F2291,"")</f>
        <v/>
      </c>
      <c r="L2291" s="16">
        <f>IF(AND(G2291&gt;0,H2291&gt;0),G2291/H2291,"")</f>
        <v/>
      </c>
    </row>
    <row r="2292">
      <c r="A2292" s="4" t="inlineStr">
        <is>
          <t>284</t>
        </is>
      </c>
      <c r="B2292" s="4" t="n">
        <v>2</v>
      </c>
      <c r="C2292" s="4" t="inlineStr">
        <is>
          <t>elk</t>
        </is>
      </c>
      <c r="D2292" s="4" t="n">
        <v>2006</v>
      </c>
      <c r="E2292" s="13" t="inlineStr">
        <is>
          <t>General</t>
        </is>
      </c>
      <c r="F2292" s="5" t="n">
        <v>124</v>
      </c>
      <c r="G2292" s="5" t="n">
        <v>778</v>
      </c>
      <c r="H2292" s="5" t="n">
        <v>13</v>
      </c>
      <c r="I2292" s="5" t="n">
        <v>6</v>
      </c>
      <c r="J2292" s="5" t="n">
        <v>4</v>
      </c>
      <c r="K2292" s="10">
        <f>IF(F2292&gt;0,H2292/F2292,"")</f>
        <v/>
      </c>
      <c r="L2292" s="16">
        <f>IF(AND(G2292&gt;0,H2292&gt;0),G2292/H2292,"")</f>
        <v/>
      </c>
    </row>
    <row r="2293">
      <c r="A2293" s="4" t="inlineStr">
        <is>
          <t>284</t>
        </is>
      </c>
      <c r="B2293" s="4" t="n">
        <v>2</v>
      </c>
      <c r="C2293" s="4" t="inlineStr">
        <is>
          <t>elk</t>
        </is>
      </c>
      <c r="D2293" s="4" t="n">
        <v>2008</v>
      </c>
      <c r="E2293" s="13" t="inlineStr">
        <is>
          <t>General</t>
        </is>
      </c>
      <c r="F2293" s="5" t="n">
        <v>93</v>
      </c>
      <c r="G2293" s="5" t="n">
        <v>702</v>
      </c>
      <c r="H2293" s="5" t="n">
        <v>3</v>
      </c>
      <c r="I2293" s="5" t="n">
        <v>0</v>
      </c>
      <c r="J2293" s="5" t="n">
        <v>3</v>
      </c>
      <c r="K2293" s="10">
        <f>IF(F2293&gt;0,H2293/F2293,"")</f>
        <v/>
      </c>
      <c r="L2293" s="16">
        <f>IF(AND(G2293&gt;0,H2293&gt;0),G2293/H2293,"")</f>
        <v/>
      </c>
    </row>
    <row r="2294">
      <c r="A2294" s="4" t="inlineStr">
        <is>
          <t>284</t>
        </is>
      </c>
      <c r="B2294" s="4" t="n">
        <v>2</v>
      </c>
      <c r="C2294" s="4" t="inlineStr">
        <is>
          <t>elk</t>
        </is>
      </c>
      <c r="D2294" s="4" t="n">
        <v>2009</v>
      </c>
      <c r="E2294" s="13" t="inlineStr">
        <is>
          <t>General</t>
        </is>
      </c>
      <c r="F2294" s="5" t="n">
        <v>83</v>
      </c>
      <c r="G2294" s="5" t="n">
        <v>693</v>
      </c>
      <c r="H2294" s="5" t="n">
        <v>3</v>
      </c>
      <c r="I2294" s="5" t="n">
        <v>3</v>
      </c>
      <c r="J2294" s="5" t="n">
        <v>0</v>
      </c>
      <c r="K2294" s="10">
        <f>IF(F2294&gt;0,H2294/F2294,"")</f>
        <v/>
      </c>
      <c r="L2294" s="16">
        <f>IF(AND(G2294&gt;0,H2294&gt;0),G2294/H2294,"")</f>
        <v/>
      </c>
    </row>
    <row r="2295">
      <c r="A2295" s="4" t="inlineStr">
        <is>
          <t>284</t>
        </is>
      </c>
      <c r="B2295" s="4" t="n">
        <v>2</v>
      </c>
      <c r="C2295" s="4" t="inlineStr">
        <is>
          <t>elk</t>
        </is>
      </c>
      <c r="D2295" s="4" t="n">
        <v>2010</v>
      </c>
      <c r="E2295" s="13" t="inlineStr">
        <is>
          <t>General</t>
        </is>
      </c>
      <c r="F2295" s="5" t="n">
        <v>138</v>
      </c>
      <c r="G2295" s="5" t="n">
        <v>817</v>
      </c>
      <c r="H2295" s="5" t="n">
        <v>3</v>
      </c>
      <c r="I2295" s="5" t="n">
        <v>3</v>
      </c>
      <c r="J2295" s="5" t="n">
        <v>0</v>
      </c>
      <c r="K2295" s="10">
        <f>IF(F2295&gt;0,H2295/F2295,"")</f>
        <v/>
      </c>
      <c r="L2295" s="16">
        <f>IF(AND(G2295&gt;0,H2295&gt;0),G2295/H2295,"")</f>
        <v/>
      </c>
    </row>
    <row r="2296">
      <c r="A2296" s="4" t="inlineStr">
        <is>
          <t>284</t>
        </is>
      </c>
      <c r="B2296" s="4" t="n">
        <v>2</v>
      </c>
      <c r="C2296" s="4" t="inlineStr">
        <is>
          <t>elk</t>
        </is>
      </c>
      <c r="D2296" s="4" t="n">
        <v>2011</v>
      </c>
      <c r="E2296" s="13" t="inlineStr">
        <is>
          <t>General</t>
        </is>
      </c>
      <c r="F2296" s="5" t="n">
        <v>122</v>
      </c>
      <c r="G2296" s="5" t="n">
        <v>693</v>
      </c>
      <c r="H2296" s="5" t="n">
        <v>6</v>
      </c>
      <c r="I2296" s="5" t="n">
        <v>3</v>
      </c>
      <c r="J2296" s="5" t="n">
        <v>3</v>
      </c>
      <c r="K2296" s="10">
        <f>IF(F2296&gt;0,H2296/F2296,"")</f>
        <v/>
      </c>
      <c r="L2296" s="16">
        <f>IF(AND(G2296&gt;0,H2296&gt;0),G2296/H2296,"")</f>
        <v/>
      </c>
    </row>
    <row r="2297">
      <c r="A2297" s="4" t="inlineStr">
        <is>
          <t>284</t>
        </is>
      </c>
      <c r="B2297" s="4" t="n">
        <v>2</v>
      </c>
      <c r="C2297" s="4" t="inlineStr">
        <is>
          <t>elk</t>
        </is>
      </c>
      <c r="D2297" s="4" t="n">
        <v>2012</v>
      </c>
      <c r="E2297" s="13" t="inlineStr">
        <is>
          <t>General</t>
        </is>
      </c>
      <c r="F2297" s="5" t="n">
        <v>88</v>
      </c>
      <c r="G2297" s="5" t="n">
        <v>479</v>
      </c>
      <c r="H2297" s="5" t="n">
        <v>3</v>
      </c>
      <c r="I2297" s="5" t="n">
        <v>0</v>
      </c>
      <c r="J2297" s="5" t="n">
        <v>3</v>
      </c>
      <c r="K2297" s="10">
        <f>IF(F2297&gt;0,H2297/F2297,"")</f>
        <v/>
      </c>
      <c r="L2297" s="16">
        <f>IF(AND(G2297&gt;0,H2297&gt;0),G2297/H2297,"")</f>
        <v/>
      </c>
    </row>
    <row r="2298">
      <c r="A2298" s="4" t="inlineStr">
        <is>
          <t>284</t>
        </is>
      </c>
      <c r="B2298" s="4" t="n">
        <v>2</v>
      </c>
      <c r="C2298" s="4" t="inlineStr">
        <is>
          <t>elk</t>
        </is>
      </c>
      <c r="D2298" s="4" t="n">
        <v>2013</v>
      </c>
      <c r="E2298" s="13" t="inlineStr">
        <is>
          <t>General</t>
        </is>
      </c>
      <c r="F2298" s="5" t="n"/>
      <c r="G2298" s="5" t="n"/>
      <c r="H2298" s="5" t="n">
        <v>11</v>
      </c>
      <c r="I2298" s="5" t="n">
        <v>6</v>
      </c>
      <c r="J2298" s="5" t="n">
        <v>6</v>
      </c>
      <c r="K2298" s="10">
        <f>IF(F2298&gt;0,H2298/F2298,"")</f>
        <v/>
      </c>
      <c r="L2298" s="16">
        <f>IF(AND(G2298&gt;0,H2298&gt;0),G2298/H2298,"")</f>
        <v/>
      </c>
    </row>
    <row r="2299">
      <c r="A2299" s="4" t="inlineStr">
        <is>
          <t>284</t>
        </is>
      </c>
      <c r="B2299" s="4" t="n">
        <v>2</v>
      </c>
      <c r="C2299" s="4" t="inlineStr">
        <is>
          <t>elk</t>
        </is>
      </c>
      <c r="D2299" s="4" t="n">
        <v>2014</v>
      </c>
      <c r="E2299" s="13" t="inlineStr">
        <is>
          <t>General</t>
        </is>
      </c>
      <c r="F2299" s="5" t="n">
        <v>187</v>
      </c>
      <c r="G2299" s="5" t="n">
        <v>1057</v>
      </c>
      <c r="H2299" s="5" t="n">
        <v>6</v>
      </c>
      <c r="I2299" s="5" t="n">
        <v>3</v>
      </c>
      <c r="J2299" s="5" t="n">
        <v>3</v>
      </c>
      <c r="K2299" s="10">
        <f>IF(F2299&gt;0,H2299/F2299,"")</f>
        <v/>
      </c>
      <c r="L2299" s="16">
        <f>IF(AND(G2299&gt;0,H2299&gt;0),G2299/H2299,"")</f>
        <v/>
      </c>
    </row>
    <row r="2300">
      <c r="A2300" s="4" t="inlineStr">
        <is>
          <t>284</t>
        </is>
      </c>
      <c r="B2300" s="4" t="n">
        <v>2</v>
      </c>
      <c r="C2300" s="4" t="inlineStr">
        <is>
          <t>elk</t>
        </is>
      </c>
      <c r="D2300" s="4" t="n">
        <v>2015</v>
      </c>
      <c r="E2300" s="13" t="inlineStr">
        <is>
          <t>General</t>
        </is>
      </c>
      <c r="F2300" s="5" t="n">
        <v>189</v>
      </c>
      <c r="G2300" s="5" t="n">
        <v>1616</v>
      </c>
      <c r="H2300" s="5" t="n">
        <v>28</v>
      </c>
      <c r="I2300" s="5" t="n">
        <v>12</v>
      </c>
      <c r="J2300" s="5" t="n">
        <v>16</v>
      </c>
      <c r="K2300" s="10">
        <f>IF(F2300&gt;0,H2300/F2300,"")</f>
        <v/>
      </c>
      <c r="L2300" s="16">
        <f>IF(AND(G2300&gt;0,H2300&gt;0),G2300/H2300,"")</f>
        <v/>
      </c>
    </row>
    <row r="2301">
      <c r="A2301" s="4" t="inlineStr">
        <is>
          <t>284</t>
        </is>
      </c>
      <c r="B2301" s="4" t="n">
        <v>2</v>
      </c>
      <c r="C2301" s="4" t="inlineStr">
        <is>
          <t>elk</t>
        </is>
      </c>
      <c r="D2301" s="4" t="n">
        <v>2016</v>
      </c>
      <c r="E2301" s="13" t="inlineStr">
        <is>
          <t>General</t>
        </is>
      </c>
      <c r="F2301" s="5" t="n">
        <v>429</v>
      </c>
      <c r="G2301" s="5" t="n">
        <v>3328</v>
      </c>
      <c r="H2301" s="5" t="n">
        <v>35</v>
      </c>
      <c r="I2301" s="5" t="n">
        <v>25</v>
      </c>
      <c r="J2301" s="5" t="n">
        <v>10</v>
      </c>
      <c r="K2301" s="10">
        <f>IF(F2301&gt;0,H2301/F2301,"")</f>
        <v/>
      </c>
      <c r="L2301" s="16">
        <f>IF(AND(G2301&gt;0,H2301&gt;0),G2301/H2301,"")</f>
        <v/>
      </c>
    </row>
    <row r="2302">
      <c r="A2302" s="4" t="inlineStr">
        <is>
          <t>284</t>
        </is>
      </c>
      <c r="B2302" s="4" t="n">
        <v>2</v>
      </c>
      <c r="C2302" s="4" t="inlineStr">
        <is>
          <t>elk</t>
        </is>
      </c>
      <c r="D2302" s="4" t="n">
        <v>2017</v>
      </c>
      <c r="E2302" s="13" t="inlineStr">
        <is>
          <t>General</t>
        </is>
      </c>
      <c r="F2302" s="5" t="n"/>
      <c r="G2302" s="5" t="n"/>
      <c r="H2302" s="5" t="n">
        <v>35</v>
      </c>
      <c r="I2302" s="5" t="n">
        <v>23</v>
      </c>
      <c r="J2302" s="5" t="n">
        <v>12</v>
      </c>
      <c r="K2302" s="10">
        <f>IF(F2302&gt;0,H2302/F2302,"")</f>
        <v/>
      </c>
      <c r="L2302" s="16">
        <f>IF(AND(G2302&gt;0,H2302&gt;0),G2302/H2302,"")</f>
        <v/>
      </c>
    </row>
    <row r="2303">
      <c r="A2303" s="4" t="inlineStr">
        <is>
          <t>284</t>
        </is>
      </c>
      <c r="B2303" s="4" t="n">
        <v>2</v>
      </c>
      <c r="C2303" s="4" t="inlineStr">
        <is>
          <t>elk</t>
        </is>
      </c>
      <c r="D2303" s="4" t="n">
        <v>2018</v>
      </c>
      <c r="E2303" s="13" t="inlineStr">
        <is>
          <t>General</t>
        </is>
      </c>
      <c r="F2303" s="5" t="n">
        <v>287</v>
      </c>
      <c r="G2303" s="5" t="n">
        <v>1967</v>
      </c>
      <c r="H2303" s="5" t="n">
        <v>31</v>
      </c>
      <c r="I2303" s="5" t="n">
        <v>25</v>
      </c>
      <c r="J2303" s="5" t="n">
        <v>6</v>
      </c>
      <c r="K2303" s="10">
        <f>IF(F2303&gt;0,H2303/F2303,"")</f>
        <v/>
      </c>
      <c r="L2303" s="16">
        <f>IF(AND(G2303&gt;0,H2303&gt;0),G2303/H2303,"")</f>
        <v/>
      </c>
    </row>
    <row r="2304">
      <c r="A2304" s="4" t="inlineStr">
        <is>
          <t>284</t>
        </is>
      </c>
      <c r="B2304" s="4" t="n">
        <v>2</v>
      </c>
      <c r="C2304" s="4" t="inlineStr">
        <is>
          <t>elk</t>
        </is>
      </c>
      <c r="D2304" s="4" t="n">
        <v>2019</v>
      </c>
      <c r="E2304" s="13" t="inlineStr">
        <is>
          <t>General</t>
        </is>
      </c>
      <c r="F2304" s="5" t="n"/>
      <c r="G2304" s="5" t="n"/>
      <c r="H2304" s="5" t="n">
        <v>21</v>
      </c>
      <c r="I2304" s="5" t="n">
        <v>18</v>
      </c>
      <c r="J2304" s="5" t="n">
        <v>3</v>
      </c>
      <c r="K2304" s="10">
        <f>IF(F2304&gt;0,H2304/F2304,"")</f>
        <v/>
      </c>
      <c r="L2304" s="16">
        <f>IF(AND(G2304&gt;0,H2304&gt;0),G2304/H2304,"")</f>
        <v/>
      </c>
    </row>
    <row r="2305">
      <c r="A2305" s="4" t="inlineStr">
        <is>
          <t>284</t>
        </is>
      </c>
      <c r="B2305" s="4" t="n">
        <v>2</v>
      </c>
      <c r="C2305" s="4" t="inlineStr">
        <is>
          <t>elk</t>
        </is>
      </c>
      <c r="D2305" s="4" t="n">
        <v>2020</v>
      </c>
      <c r="E2305" s="13" t="inlineStr">
        <is>
          <t>General</t>
        </is>
      </c>
      <c r="F2305" s="5" t="n">
        <v>317</v>
      </c>
      <c r="G2305" s="5" t="n">
        <v>2477</v>
      </c>
      <c r="H2305" s="5" t="n">
        <v>15</v>
      </c>
      <c r="I2305" s="5" t="n">
        <v>8</v>
      </c>
      <c r="J2305" s="5" t="n">
        <v>7</v>
      </c>
      <c r="K2305" s="10">
        <f>IF(F2305&gt;0,H2305/F2305,"")</f>
        <v/>
      </c>
      <c r="L2305" s="16">
        <f>IF(AND(G2305&gt;0,H2305&gt;0),G2305/H2305,"")</f>
        <v/>
      </c>
    </row>
    <row r="2306">
      <c r="A2306" s="4" t="inlineStr">
        <is>
          <t>284</t>
        </is>
      </c>
      <c r="B2306" s="4" t="n">
        <v>2</v>
      </c>
      <c r="C2306" s="4" t="inlineStr">
        <is>
          <t>elk</t>
        </is>
      </c>
      <c r="D2306" s="4" t="n">
        <v>2021</v>
      </c>
      <c r="E2306" s="13" t="inlineStr">
        <is>
          <t>General</t>
        </is>
      </c>
      <c r="F2306" s="5" t="n"/>
      <c r="G2306" s="5" t="n"/>
      <c r="H2306" s="5" t="n">
        <v>43</v>
      </c>
      <c r="I2306" s="5" t="n">
        <v>31</v>
      </c>
      <c r="J2306" s="5" t="n">
        <v>12</v>
      </c>
      <c r="K2306" s="10">
        <f>IF(F2306&gt;0,H2306/F2306,"")</f>
        <v/>
      </c>
      <c r="L2306" s="16">
        <f>IF(AND(G2306&gt;0,H2306&gt;0),G2306/H2306,"")</f>
        <v/>
      </c>
    </row>
    <row r="2307">
      <c r="A2307" s="4" t="inlineStr">
        <is>
          <t>284</t>
        </is>
      </c>
      <c r="B2307" s="4" t="n">
        <v>2</v>
      </c>
      <c r="C2307" s="4" t="inlineStr">
        <is>
          <t>elk</t>
        </is>
      </c>
      <c r="D2307" s="4" t="n">
        <v>2022</v>
      </c>
      <c r="E2307" s="13" t="inlineStr">
        <is>
          <t>General</t>
        </is>
      </c>
      <c r="F2307" s="5" t="n">
        <v>167</v>
      </c>
      <c r="G2307" s="5" t="n">
        <v>1557</v>
      </c>
      <c r="H2307" s="5" t="n">
        <v>12</v>
      </c>
      <c r="I2307" s="5" t="n">
        <v>7</v>
      </c>
      <c r="J2307" s="5" t="n">
        <v>6</v>
      </c>
      <c r="K2307" s="10">
        <f>IF(F2307&gt;0,H2307/F2307,"")</f>
        <v/>
      </c>
      <c r="L2307" s="16">
        <f>IF(AND(G2307&gt;0,H2307&gt;0),G2307/H2307,"")</f>
        <v/>
      </c>
    </row>
    <row r="2308">
      <c r="A2308" s="4" t="inlineStr">
        <is>
          <t>284</t>
        </is>
      </c>
      <c r="B2308" s="4" t="n">
        <v>2</v>
      </c>
      <c r="C2308" s="4" t="inlineStr">
        <is>
          <t>elk</t>
        </is>
      </c>
      <c r="D2308" s="4" t="n">
        <v>2023</v>
      </c>
      <c r="E2308" s="13" t="inlineStr">
        <is>
          <t>General</t>
        </is>
      </c>
      <c r="F2308" s="5" t="n"/>
      <c r="G2308" s="5" t="n"/>
      <c r="H2308" s="5" t="n">
        <v>26</v>
      </c>
      <c r="I2308" s="5" t="n">
        <v>18</v>
      </c>
      <c r="J2308" s="5" t="n">
        <v>8</v>
      </c>
      <c r="K2308" s="10">
        <f>IF(F2308&gt;0,H2308/F2308,"")</f>
        <v/>
      </c>
      <c r="L2308" s="16">
        <f>IF(AND(G2308&gt;0,H2308&gt;0),G2308/H2308,"")</f>
        <v/>
      </c>
    </row>
    <row r="2309">
      <c r="A2309" s="4" t="inlineStr">
        <is>
          <t>284</t>
        </is>
      </c>
      <c r="B2309" s="4" t="n">
        <v>2</v>
      </c>
      <c r="C2309" s="4" t="inlineStr">
        <is>
          <t>elk</t>
        </is>
      </c>
      <c r="D2309" s="4" t="n">
        <v>2024</v>
      </c>
      <c r="E2309" s="13" t="inlineStr">
        <is>
          <t>General</t>
        </is>
      </c>
      <c r="F2309" s="5" t="n">
        <v>221</v>
      </c>
      <c r="G2309" s="5" t="n">
        <v>2395</v>
      </c>
      <c r="H2309" s="5" t="n">
        <v>32</v>
      </c>
      <c r="I2309" s="5" t="n">
        <v>9</v>
      </c>
      <c r="J2309" s="5" t="n">
        <v>24</v>
      </c>
      <c r="K2309" s="10">
        <f>IF(F2309&gt;0,H2309/F2309,"")</f>
        <v/>
      </c>
      <c r="L2309" s="16">
        <f>IF(AND(G2309&gt;0,H2309&gt;0),G2309/H2309,"")</f>
        <v/>
      </c>
    </row>
    <row r="2310">
      <c r="A2310" s="4" t="inlineStr">
        <is>
          <t>284</t>
        </is>
      </c>
      <c r="B2310" s="4" t="n">
        <v>2</v>
      </c>
      <c r="C2310" s="4" t="inlineStr">
        <is>
          <t>elk</t>
        </is>
      </c>
      <c r="D2310" s="4" t="n">
        <v>2025</v>
      </c>
      <c r="E2310" s="13" t="inlineStr">
        <is>
          <t>General</t>
        </is>
      </c>
      <c r="F2310" s="5" t="n"/>
      <c r="G2310" s="5" t="n"/>
      <c r="H2310" s="5" t="n">
        <v>15</v>
      </c>
      <c r="I2310" s="5" t="n">
        <v>7</v>
      </c>
      <c r="J2310" s="5" t="n">
        <v>7</v>
      </c>
      <c r="K2310" s="10">
        <f>IF(F2310&gt;0,H2310/F2310,"")</f>
        <v/>
      </c>
      <c r="L2310" s="16">
        <f>IF(AND(G2310&gt;0,H2310&gt;0),G2310/H2310,"")</f>
        <v/>
      </c>
    </row>
    <row r="2311">
      <c r="A2311" s="4" t="inlineStr">
        <is>
          <t>285</t>
        </is>
      </c>
      <c r="B2311" s="4" t="n">
        <v>2</v>
      </c>
      <c r="C2311" s="4" t="inlineStr">
        <is>
          <t>elk</t>
        </is>
      </c>
      <c r="D2311" s="4" t="n">
        <v>2004</v>
      </c>
      <c r="E2311" s="13" t="inlineStr">
        <is>
          <t>General</t>
        </is>
      </c>
      <c r="F2311" s="5" t="n">
        <v>1785</v>
      </c>
      <c r="G2311" s="5" t="n">
        <v>11438</v>
      </c>
      <c r="H2311" s="5" t="n">
        <v>167</v>
      </c>
      <c r="I2311" s="5" t="n">
        <v>106</v>
      </c>
      <c r="J2311" s="5" t="n">
        <v>52</v>
      </c>
      <c r="K2311" s="10">
        <f>IF(F2311&gt;0,H2311/F2311,"")</f>
        <v/>
      </c>
      <c r="L2311" s="16">
        <f>IF(AND(G2311&gt;0,H2311&gt;0),G2311/H2311,"")</f>
        <v/>
      </c>
    </row>
    <row r="2312">
      <c r="A2312" s="4" t="inlineStr">
        <is>
          <t>285</t>
        </is>
      </c>
      <c r="B2312" s="4" t="n">
        <v>2</v>
      </c>
      <c r="C2312" s="4" t="inlineStr">
        <is>
          <t>elk</t>
        </is>
      </c>
      <c r="D2312" s="4" t="n">
        <v>2005</v>
      </c>
      <c r="E2312" s="13" t="inlineStr">
        <is>
          <t>General</t>
        </is>
      </c>
      <c r="F2312" s="5" t="n">
        <v>1694</v>
      </c>
      <c r="G2312" s="5" t="n">
        <v>11139</v>
      </c>
      <c r="H2312" s="5" t="n">
        <v>164</v>
      </c>
      <c r="I2312" s="5" t="n">
        <v>103</v>
      </c>
      <c r="J2312" s="5" t="n">
        <v>53</v>
      </c>
      <c r="K2312" s="10">
        <f>IF(F2312&gt;0,H2312/F2312,"")</f>
        <v/>
      </c>
      <c r="L2312" s="16">
        <f>IF(AND(G2312&gt;0,H2312&gt;0),G2312/H2312,"")</f>
        <v/>
      </c>
    </row>
    <row r="2313">
      <c r="A2313" s="4" t="inlineStr">
        <is>
          <t>285</t>
        </is>
      </c>
      <c r="B2313" s="4" t="n">
        <v>2</v>
      </c>
      <c r="C2313" s="4" t="inlineStr">
        <is>
          <t>elk</t>
        </is>
      </c>
      <c r="D2313" s="4" t="n">
        <v>2006</v>
      </c>
      <c r="E2313" s="13" t="inlineStr">
        <is>
          <t>General</t>
        </is>
      </c>
      <c r="F2313" s="5" t="n">
        <v>1911</v>
      </c>
      <c r="G2313" s="5" t="n">
        <v>13533</v>
      </c>
      <c r="H2313" s="5" t="n">
        <v>207</v>
      </c>
      <c r="I2313" s="5" t="n">
        <v>107</v>
      </c>
      <c r="J2313" s="5" t="n">
        <v>74</v>
      </c>
      <c r="K2313" s="10">
        <f>IF(F2313&gt;0,H2313/F2313,"")</f>
        <v/>
      </c>
      <c r="L2313" s="16">
        <f>IF(AND(G2313&gt;0,H2313&gt;0),G2313/H2313,"")</f>
        <v/>
      </c>
    </row>
    <row r="2314">
      <c r="A2314" s="4" t="inlineStr">
        <is>
          <t>285</t>
        </is>
      </c>
      <c r="B2314" s="4" t="n">
        <v>2</v>
      </c>
      <c r="C2314" s="4" t="inlineStr">
        <is>
          <t>elk</t>
        </is>
      </c>
      <c r="D2314" s="4" t="n">
        <v>2007</v>
      </c>
      <c r="E2314" s="13" t="inlineStr">
        <is>
          <t>General</t>
        </is>
      </c>
      <c r="F2314" s="5" t="n">
        <v>1819</v>
      </c>
      <c r="G2314" s="5" t="n">
        <v>14236</v>
      </c>
      <c r="H2314" s="5" t="n">
        <v>154</v>
      </c>
      <c r="I2314" s="5" t="n">
        <v>96</v>
      </c>
      <c r="J2314" s="5" t="n">
        <v>55</v>
      </c>
      <c r="K2314" s="10">
        <f>IF(F2314&gt;0,H2314/F2314,"")</f>
        <v/>
      </c>
      <c r="L2314" s="16">
        <f>IF(AND(G2314&gt;0,H2314&gt;0),G2314/H2314,"")</f>
        <v/>
      </c>
    </row>
    <row r="2315">
      <c r="A2315" s="4" t="inlineStr">
        <is>
          <t>285</t>
        </is>
      </c>
      <c r="B2315" s="4" t="n">
        <v>2</v>
      </c>
      <c r="C2315" s="4" t="inlineStr">
        <is>
          <t>elk</t>
        </is>
      </c>
      <c r="D2315" s="4" t="n">
        <v>2008</v>
      </c>
      <c r="E2315" s="13" t="inlineStr">
        <is>
          <t>General</t>
        </is>
      </c>
      <c r="F2315" s="5" t="n">
        <v>2120</v>
      </c>
      <c r="G2315" s="5" t="n">
        <v>15801</v>
      </c>
      <c r="H2315" s="5" t="n">
        <v>182</v>
      </c>
      <c r="I2315" s="5" t="n">
        <v>107</v>
      </c>
      <c r="J2315" s="5" t="n">
        <v>60</v>
      </c>
      <c r="K2315" s="10">
        <f>IF(F2315&gt;0,H2315/F2315,"")</f>
        <v/>
      </c>
      <c r="L2315" s="16">
        <f>IF(AND(G2315&gt;0,H2315&gt;0),G2315/H2315,"")</f>
        <v/>
      </c>
    </row>
    <row r="2316">
      <c r="A2316" s="4" t="inlineStr">
        <is>
          <t>285</t>
        </is>
      </c>
      <c r="B2316" s="4" t="n">
        <v>2</v>
      </c>
      <c r="C2316" s="4" t="inlineStr">
        <is>
          <t>elk</t>
        </is>
      </c>
      <c r="D2316" s="4" t="n">
        <v>2009</v>
      </c>
      <c r="E2316" s="13" t="inlineStr">
        <is>
          <t>General</t>
        </is>
      </c>
      <c r="F2316" s="5" t="n">
        <v>1982</v>
      </c>
      <c r="G2316" s="5" t="n">
        <v>15531</v>
      </c>
      <c r="H2316" s="5" t="n">
        <v>158</v>
      </c>
      <c r="I2316" s="5" t="n">
        <v>75</v>
      </c>
      <c r="J2316" s="5" t="n">
        <v>80</v>
      </c>
      <c r="K2316" s="10">
        <f>IF(F2316&gt;0,H2316/F2316,"")</f>
        <v/>
      </c>
      <c r="L2316" s="16">
        <f>IF(AND(G2316&gt;0,H2316&gt;0),G2316/H2316,"")</f>
        <v/>
      </c>
    </row>
    <row r="2317">
      <c r="A2317" s="4" t="inlineStr">
        <is>
          <t>285</t>
        </is>
      </c>
      <c r="B2317" s="4" t="n">
        <v>2</v>
      </c>
      <c r="C2317" s="4" t="inlineStr">
        <is>
          <t>elk</t>
        </is>
      </c>
      <c r="D2317" s="4" t="n">
        <v>2010</v>
      </c>
      <c r="E2317" s="13" t="inlineStr">
        <is>
          <t>General</t>
        </is>
      </c>
      <c r="F2317" s="5" t="n">
        <v>1715</v>
      </c>
      <c r="G2317" s="5" t="n">
        <v>15239</v>
      </c>
      <c r="H2317" s="5" t="n">
        <v>175</v>
      </c>
      <c r="I2317" s="5" t="n">
        <v>92</v>
      </c>
      <c r="J2317" s="5" t="n">
        <v>80</v>
      </c>
      <c r="K2317" s="10">
        <f>IF(F2317&gt;0,H2317/F2317,"")</f>
        <v/>
      </c>
      <c r="L2317" s="16">
        <f>IF(AND(G2317&gt;0,H2317&gt;0),G2317/H2317,"")</f>
        <v/>
      </c>
    </row>
    <row r="2318">
      <c r="A2318" s="4" t="inlineStr">
        <is>
          <t>285</t>
        </is>
      </c>
      <c r="B2318" s="4" t="n">
        <v>2</v>
      </c>
      <c r="C2318" s="4" t="inlineStr">
        <is>
          <t>elk</t>
        </is>
      </c>
      <c r="D2318" s="4" t="n">
        <v>2011</v>
      </c>
      <c r="E2318" s="13" t="inlineStr">
        <is>
          <t>General</t>
        </is>
      </c>
      <c r="F2318" s="5" t="n">
        <v>1793</v>
      </c>
      <c r="G2318" s="5" t="n">
        <v>13001</v>
      </c>
      <c r="H2318" s="5" t="n">
        <v>129</v>
      </c>
      <c r="I2318" s="5" t="n">
        <v>67</v>
      </c>
      <c r="J2318" s="5" t="n">
        <v>53</v>
      </c>
      <c r="K2318" s="10">
        <f>IF(F2318&gt;0,H2318/F2318,"")</f>
        <v/>
      </c>
      <c r="L2318" s="16">
        <f>IF(AND(G2318&gt;0,H2318&gt;0),G2318/H2318,"")</f>
        <v/>
      </c>
    </row>
    <row r="2319">
      <c r="A2319" s="4" t="inlineStr">
        <is>
          <t>285</t>
        </is>
      </c>
      <c r="B2319" s="4" t="n">
        <v>2</v>
      </c>
      <c r="C2319" s="4" t="inlineStr">
        <is>
          <t>elk</t>
        </is>
      </c>
      <c r="D2319" s="4" t="n">
        <v>2012</v>
      </c>
      <c r="E2319" s="13" t="inlineStr">
        <is>
          <t>General</t>
        </is>
      </c>
      <c r="F2319" s="5" t="n">
        <v>1660</v>
      </c>
      <c r="G2319" s="5" t="n">
        <v>11028</v>
      </c>
      <c r="H2319" s="5" t="n">
        <v>64</v>
      </c>
      <c r="I2319" s="5" t="n">
        <v>55</v>
      </c>
      <c r="J2319" s="5" t="n">
        <v>9</v>
      </c>
      <c r="K2319" s="10">
        <f>IF(F2319&gt;0,H2319/F2319,"")</f>
        <v/>
      </c>
      <c r="L2319" s="16">
        <f>IF(AND(G2319&gt;0,H2319&gt;0),G2319/H2319,"")</f>
        <v/>
      </c>
    </row>
    <row r="2320">
      <c r="A2320" s="4" t="inlineStr">
        <is>
          <t>285</t>
        </is>
      </c>
      <c r="B2320" s="4" t="n">
        <v>2</v>
      </c>
      <c r="C2320" s="4" t="inlineStr">
        <is>
          <t>elk</t>
        </is>
      </c>
      <c r="D2320" s="4" t="n">
        <v>2013</v>
      </c>
      <c r="E2320" s="13" t="inlineStr">
        <is>
          <t>General</t>
        </is>
      </c>
      <c r="F2320" s="5" t="n"/>
      <c r="G2320" s="5" t="n"/>
      <c r="H2320" s="5" t="n">
        <v>62</v>
      </c>
      <c r="I2320" s="5" t="n">
        <v>53</v>
      </c>
      <c r="J2320" s="5" t="n">
        <v>9</v>
      </c>
      <c r="K2320" s="10">
        <f>IF(F2320&gt;0,H2320/F2320,"")</f>
        <v/>
      </c>
      <c r="L2320" s="16">
        <f>IF(AND(G2320&gt;0,H2320&gt;0),G2320/H2320,"")</f>
        <v/>
      </c>
    </row>
    <row r="2321">
      <c r="A2321" s="4" t="inlineStr">
        <is>
          <t>285</t>
        </is>
      </c>
      <c r="B2321" s="4" t="n">
        <v>2</v>
      </c>
      <c r="C2321" s="4" t="inlineStr">
        <is>
          <t>elk</t>
        </is>
      </c>
      <c r="D2321" s="4" t="n">
        <v>2014</v>
      </c>
      <c r="E2321" s="13" t="inlineStr">
        <is>
          <t>General</t>
        </is>
      </c>
      <c r="F2321" s="5" t="n">
        <v>1573</v>
      </c>
      <c r="G2321" s="5" t="n">
        <v>11279</v>
      </c>
      <c r="H2321" s="5" t="n">
        <v>79</v>
      </c>
      <c r="I2321" s="5" t="n">
        <v>68</v>
      </c>
      <c r="J2321" s="5" t="n">
        <v>11</v>
      </c>
      <c r="K2321" s="10">
        <f>IF(F2321&gt;0,H2321/F2321,"")</f>
        <v/>
      </c>
      <c r="L2321" s="16">
        <f>IF(AND(G2321&gt;0,H2321&gt;0),G2321/H2321,"")</f>
        <v/>
      </c>
    </row>
    <row r="2322">
      <c r="A2322" s="4" t="inlineStr">
        <is>
          <t>285</t>
        </is>
      </c>
      <c r="B2322" s="4" t="n">
        <v>2</v>
      </c>
      <c r="C2322" s="4" t="inlineStr">
        <is>
          <t>elk</t>
        </is>
      </c>
      <c r="D2322" s="4" t="n">
        <v>2015</v>
      </c>
      <c r="E2322" s="13" t="inlineStr">
        <is>
          <t>General</t>
        </is>
      </c>
      <c r="F2322" s="5" t="n">
        <v>1442</v>
      </c>
      <c r="G2322" s="5" t="n">
        <v>11999</v>
      </c>
      <c r="H2322" s="5" t="n">
        <v>47</v>
      </c>
      <c r="I2322" s="5" t="n">
        <v>38</v>
      </c>
      <c r="J2322" s="5" t="n">
        <v>9</v>
      </c>
      <c r="K2322" s="10">
        <f>IF(F2322&gt;0,H2322/F2322,"")</f>
        <v/>
      </c>
      <c r="L2322" s="16">
        <f>IF(AND(G2322&gt;0,H2322&gt;0),G2322/H2322,"")</f>
        <v/>
      </c>
    </row>
    <row r="2323">
      <c r="A2323" s="4" t="inlineStr">
        <is>
          <t>285</t>
        </is>
      </c>
      <c r="B2323" s="4" t="n">
        <v>2</v>
      </c>
      <c r="C2323" s="4" t="inlineStr">
        <is>
          <t>elk</t>
        </is>
      </c>
      <c r="D2323" s="4" t="n">
        <v>2016</v>
      </c>
      <c r="E2323" s="13" t="inlineStr">
        <is>
          <t>General</t>
        </is>
      </c>
      <c r="F2323" s="5" t="n">
        <v>1508</v>
      </c>
      <c r="G2323" s="5" t="n">
        <v>11532</v>
      </c>
      <c r="H2323" s="5" t="n">
        <v>110</v>
      </c>
      <c r="I2323" s="5" t="n">
        <v>69</v>
      </c>
      <c r="J2323" s="5" t="n">
        <v>41</v>
      </c>
      <c r="K2323" s="10">
        <f>IF(F2323&gt;0,H2323/F2323,"")</f>
        <v/>
      </c>
      <c r="L2323" s="16">
        <f>IF(AND(G2323&gt;0,H2323&gt;0),G2323/H2323,"")</f>
        <v/>
      </c>
    </row>
    <row r="2324">
      <c r="A2324" s="4" t="inlineStr">
        <is>
          <t>285</t>
        </is>
      </c>
      <c r="B2324" s="4" t="n">
        <v>2</v>
      </c>
      <c r="C2324" s="4" t="inlineStr">
        <is>
          <t>elk</t>
        </is>
      </c>
      <c r="D2324" s="4" t="n">
        <v>2017</v>
      </c>
      <c r="E2324" s="13" t="inlineStr">
        <is>
          <t>General</t>
        </is>
      </c>
      <c r="F2324" s="5" t="n"/>
      <c r="G2324" s="5" t="n"/>
      <c r="H2324" s="5" t="n">
        <v>110</v>
      </c>
      <c r="I2324" s="5" t="n">
        <v>83</v>
      </c>
      <c r="J2324" s="5" t="n">
        <v>27</v>
      </c>
      <c r="K2324" s="10">
        <f>IF(F2324&gt;0,H2324/F2324,"")</f>
        <v/>
      </c>
      <c r="L2324" s="16">
        <f>IF(AND(G2324&gt;0,H2324&gt;0),G2324/H2324,"")</f>
        <v/>
      </c>
    </row>
    <row r="2325">
      <c r="A2325" s="4" t="inlineStr">
        <is>
          <t>285</t>
        </is>
      </c>
      <c r="B2325" s="4" t="n">
        <v>2</v>
      </c>
      <c r="C2325" s="4" t="inlineStr">
        <is>
          <t>elk</t>
        </is>
      </c>
      <c r="D2325" s="4" t="n">
        <v>2018</v>
      </c>
      <c r="E2325" s="13" t="inlineStr">
        <is>
          <t>General</t>
        </is>
      </c>
      <c r="F2325" s="5" t="n">
        <v>1421</v>
      </c>
      <c r="G2325" s="5" t="n">
        <v>11563</v>
      </c>
      <c r="H2325" s="5" t="n">
        <v>111</v>
      </c>
      <c r="I2325" s="5" t="n">
        <v>70</v>
      </c>
      <c r="J2325" s="5" t="n">
        <v>41</v>
      </c>
      <c r="K2325" s="10">
        <f>IF(F2325&gt;0,H2325/F2325,"")</f>
        <v/>
      </c>
      <c r="L2325" s="16">
        <f>IF(AND(G2325&gt;0,H2325&gt;0),G2325/H2325,"")</f>
        <v/>
      </c>
    </row>
    <row r="2326">
      <c r="A2326" s="4" t="inlineStr">
        <is>
          <t>285</t>
        </is>
      </c>
      <c r="B2326" s="4" t="n">
        <v>2</v>
      </c>
      <c r="C2326" s="4" t="inlineStr">
        <is>
          <t>elk</t>
        </is>
      </c>
      <c r="D2326" s="4" t="n">
        <v>2019</v>
      </c>
      <c r="E2326" s="13" t="inlineStr">
        <is>
          <t>General</t>
        </is>
      </c>
      <c r="F2326" s="5" t="n"/>
      <c r="G2326" s="5" t="n"/>
      <c r="H2326" s="5" t="n">
        <v>68</v>
      </c>
      <c r="I2326" s="5" t="n">
        <v>53</v>
      </c>
      <c r="J2326" s="5" t="n">
        <v>15</v>
      </c>
      <c r="K2326" s="10">
        <f>IF(F2326&gt;0,H2326/F2326,"")</f>
        <v/>
      </c>
      <c r="L2326" s="16">
        <f>IF(AND(G2326&gt;0,H2326&gt;0),G2326/H2326,"")</f>
        <v/>
      </c>
    </row>
    <row r="2327">
      <c r="A2327" s="4" t="inlineStr">
        <is>
          <t>285</t>
        </is>
      </c>
      <c r="B2327" s="4" t="n">
        <v>2</v>
      </c>
      <c r="C2327" s="4" t="inlineStr">
        <is>
          <t>elk</t>
        </is>
      </c>
      <c r="D2327" s="4" t="n">
        <v>2020</v>
      </c>
      <c r="E2327" s="13" t="inlineStr">
        <is>
          <t>General</t>
        </is>
      </c>
      <c r="F2327" s="5" t="n">
        <v>1377</v>
      </c>
      <c r="G2327" s="5" t="n">
        <v>11203</v>
      </c>
      <c r="H2327" s="5" t="n">
        <v>91</v>
      </c>
      <c r="I2327" s="5" t="n">
        <v>63</v>
      </c>
      <c r="J2327" s="5" t="n">
        <v>25</v>
      </c>
      <c r="K2327" s="10">
        <f>IF(F2327&gt;0,H2327/F2327,"")</f>
        <v/>
      </c>
      <c r="L2327" s="16">
        <f>IF(AND(G2327&gt;0,H2327&gt;0),G2327/H2327,"")</f>
        <v/>
      </c>
    </row>
    <row r="2328">
      <c r="A2328" s="4" t="inlineStr">
        <is>
          <t>285</t>
        </is>
      </c>
      <c r="B2328" s="4" t="n">
        <v>2</v>
      </c>
      <c r="C2328" s="4" t="inlineStr">
        <is>
          <t>elk</t>
        </is>
      </c>
      <c r="D2328" s="4" t="n">
        <v>2021</v>
      </c>
      <c r="E2328" s="13" t="inlineStr">
        <is>
          <t>General</t>
        </is>
      </c>
      <c r="F2328" s="5" t="n"/>
      <c r="G2328" s="5" t="n"/>
      <c r="H2328" s="5" t="n">
        <v>70</v>
      </c>
      <c r="I2328" s="5" t="n">
        <v>54</v>
      </c>
      <c r="J2328" s="5" t="n">
        <v>16</v>
      </c>
      <c r="K2328" s="10">
        <f>IF(F2328&gt;0,H2328/F2328,"")</f>
        <v/>
      </c>
      <c r="L2328" s="16">
        <f>IF(AND(G2328&gt;0,H2328&gt;0),G2328/H2328,"")</f>
        <v/>
      </c>
    </row>
    <row r="2329">
      <c r="A2329" s="4" t="inlineStr">
        <is>
          <t>285</t>
        </is>
      </c>
      <c r="B2329" s="4" t="n">
        <v>2</v>
      </c>
      <c r="C2329" s="4" t="inlineStr">
        <is>
          <t>elk</t>
        </is>
      </c>
      <c r="D2329" s="4" t="n">
        <v>2022</v>
      </c>
      <c r="E2329" s="13" t="inlineStr">
        <is>
          <t>General</t>
        </is>
      </c>
      <c r="F2329" s="5" t="n">
        <v>1545</v>
      </c>
      <c r="G2329" s="5" t="n">
        <v>11964</v>
      </c>
      <c r="H2329" s="5" t="n">
        <v>87</v>
      </c>
      <c r="I2329" s="5" t="n">
        <v>61</v>
      </c>
      <c r="J2329" s="5" t="n">
        <v>23</v>
      </c>
      <c r="K2329" s="10">
        <f>IF(F2329&gt;0,H2329/F2329,"")</f>
        <v/>
      </c>
      <c r="L2329" s="16">
        <f>IF(AND(G2329&gt;0,H2329&gt;0),G2329/H2329,"")</f>
        <v/>
      </c>
    </row>
    <row r="2330">
      <c r="A2330" s="4" t="inlineStr">
        <is>
          <t>285</t>
        </is>
      </c>
      <c r="B2330" s="4" t="n">
        <v>2</v>
      </c>
      <c r="C2330" s="4" t="inlineStr">
        <is>
          <t>elk</t>
        </is>
      </c>
      <c r="D2330" s="4" t="n">
        <v>2023</v>
      </c>
      <c r="E2330" s="13" t="inlineStr">
        <is>
          <t>General</t>
        </is>
      </c>
      <c r="F2330" s="5" t="n"/>
      <c r="G2330" s="5" t="n"/>
      <c r="H2330" s="5" t="n">
        <v>89</v>
      </c>
      <c r="I2330" s="5" t="n">
        <v>61</v>
      </c>
      <c r="J2330" s="5" t="n">
        <v>28</v>
      </c>
      <c r="K2330" s="10">
        <f>IF(F2330&gt;0,H2330/F2330,"")</f>
        <v/>
      </c>
      <c r="L2330" s="16">
        <f>IF(AND(G2330&gt;0,H2330&gt;0),G2330/H2330,"")</f>
        <v/>
      </c>
    </row>
    <row r="2331">
      <c r="A2331" s="4" t="inlineStr">
        <is>
          <t>285</t>
        </is>
      </c>
      <c r="B2331" s="4" t="n">
        <v>2</v>
      </c>
      <c r="C2331" s="4" t="inlineStr">
        <is>
          <t>elk</t>
        </is>
      </c>
      <c r="D2331" s="4" t="n">
        <v>2024</v>
      </c>
      <c r="E2331" s="13" t="inlineStr">
        <is>
          <t>General</t>
        </is>
      </c>
      <c r="F2331" s="5" t="n">
        <v>1798</v>
      </c>
      <c r="G2331" s="5" t="n">
        <v>15286</v>
      </c>
      <c r="H2331" s="5" t="n">
        <v>56</v>
      </c>
      <c r="I2331" s="5" t="n">
        <v>51</v>
      </c>
      <c r="J2331" s="5" t="n">
        <v>5</v>
      </c>
      <c r="K2331" s="10">
        <f>IF(F2331&gt;0,H2331/F2331,"")</f>
        <v/>
      </c>
      <c r="L2331" s="16">
        <f>IF(AND(G2331&gt;0,H2331&gt;0),G2331/H2331,"")</f>
        <v/>
      </c>
    </row>
    <row r="2332">
      <c r="A2332" s="4" t="inlineStr">
        <is>
          <t>285</t>
        </is>
      </c>
      <c r="B2332" s="4" t="n">
        <v>2</v>
      </c>
      <c r="C2332" s="4" t="inlineStr">
        <is>
          <t>elk</t>
        </is>
      </c>
      <c r="D2332" s="4" t="n">
        <v>2025</v>
      </c>
      <c r="E2332" s="13" t="inlineStr">
        <is>
          <t>General</t>
        </is>
      </c>
      <c r="F2332" s="5" t="n"/>
      <c r="G2332" s="5" t="n"/>
      <c r="H2332" s="5" t="n">
        <v>113</v>
      </c>
      <c r="I2332" s="5" t="n">
        <v>88</v>
      </c>
      <c r="J2332" s="5" t="n">
        <v>25</v>
      </c>
      <c r="K2332" s="10">
        <f>IF(F2332&gt;0,H2332/F2332,"")</f>
        <v/>
      </c>
      <c r="L2332" s="16">
        <f>IF(AND(G2332&gt;0,H2332&gt;0),G2332/H2332,"")</f>
        <v/>
      </c>
    </row>
    <row r="2333">
      <c r="A2333" s="4" t="inlineStr">
        <is>
          <t>290</t>
        </is>
      </c>
      <c r="B2333" s="4" t="n">
        <v>2</v>
      </c>
      <c r="C2333" s="4" t="inlineStr">
        <is>
          <t>elk</t>
        </is>
      </c>
      <c r="D2333" s="4" t="n">
        <v>2004</v>
      </c>
      <c r="E2333" s="13" t="inlineStr">
        <is>
          <t>General</t>
        </is>
      </c>
      <c r="F2333" s="5" t="n">
        <v>188</v>
      </c>
      <c r="G2333" s="5" t="n">
        <v>1202</v>
      </c>
      <c r="H2333" s="5" t="n">
        <v>42</v>
      </c>
      <c r="I2333" s="5" t="n">
        <v>12</v>
      </c>
      <c r="J2333" s="5" t="n">
        <v>28</v>
      </c>
      <c r="K2333" s="10">
        <f>IF(F2333&gt;0,H2333/F2333,"")</f>
        <v/>
      </c>
      <c r="L2333" s="16">
        <f>IF(AND(G2333&gt;0,H2333&gt;0),G2333/H2333,"")</f>
        <v/>
      </c>
    </row>
    <row r="2334">
      <c r="A2334" s="4" t="inlineStr">
        <is>
          <t>290</t>
        </is>
      </c>
      <c r="B2334" s="4" t="n">
        <v>2</v>
      </c>
      <c r="C2334" s="4" t="inlineStr">
        <is>
          <t>elk</t>
        </is>
      </c>
      <c r="D2334" s="4" t="n">
        <v>2005</v>
      </c>
      <c r="E2334" s="13" t="inlineStr">
        <is>
          <t>General</t>
        </is>
      </c>
      <c r="F2334" s="5" t="n">
        <v>138</v>
      </c>
      <c r="G2334" s="5" t="n">
        <v>790</v>
      </c>
      <c r="H2334" s="5" t="n">
        <v>18</v>
      </c>
      <c r="I2334" s="5" t="n">
        <v>7</v>
      </c>
      <c r="J2334" s="5" t="n">
        <v>8</v>
      </c>
      <c r="K2334" s="10">
        <f>IF(F2334&gt;0,H2334/F2334,"")</f>
        <v/>
      </c>
      <c r="L2334" s="16">
        <f>IF(AND(G2334&gt;0,H2334&gt;0),G2334/H2334,"")</f>
        <v/>
      </c>
    </row>
    <row r="2335">
      <c r="A2335" s="4" t="inlineStr">
        <is>
          <t>290</t>
        </is>
      </c>
      <c r="B2335" s="4" t="n">
        <v>2</v>
      </c>
      <c r="C2335" s="4" t="inlineStr">
        <is>
          <t>elk</t>
        </is>
      </c>
      <c r="D2335" s="4" t="n">
        <v>2006</v>
      </c>
      <c r="E2335" s="13" t="inlineStr">
        <is>
          <t>General</t>
        </is>
      </c>
      <c r="F2335" s="5" t="n">
        <v>186</v>
      </c>
      <c r="G2335" s="5" t="n">
        <v>1378</v>
      </c>
      <c r="H2335" s="5" t="n">
        <v>36</v>
      </c>
      <c r="I2335" s="5" t="n">
        <v>15</v>
      </c>
      <c r="J2335" s="5" t="n">
        <v>21</v>
      </c>
      <c r="K2335" s="10">
        <f>IF(F2335&gt;0,H2335/F2335,"")</f>
        <v/>
      </c>
      <c r="L2335" s="16">
        <f>IF(AND(G2335&gt;0,H2335&gt;0),G2335/H2335,"")</f>
        <v/>
      </c>
    </row>
    <row r="2336">
      <c r="A2336" s="4" t="inlineStr">
        <is>
          <t>290</t>
        </is>
      </c>
      <c r="B2336" s="4" t="n">
        <v>2</v>
      </c>
      <c r="C2336" s="4" t="inlineStr">
        <is>
          <t>elk</t>
        </is>
      </c>
      <c r="D2336" s="4" t="n">
        <v>2007</v>
      </c>
      <c r="E2336" s="13" t="inlineStr">
        <is>
          <t>General</t>
        </is>
      </c>
      <c r="F2336" s="5" t="n">
        <v>223</v>
      </c>
      <c r="G2336" s="5" t="n">
        <v>1333</v>
      </c>
      <c r="H2336" s="5" t="n">
        <v>36</v>
      </c>
      <c r="I2336" s="5" t="n">
        <v>25</v>
      </c>
      <c r="J2336" s="5" t="n">
        <v>6</v>
      </c>
      <c r="K2336" s="10">
        <f>IF(F2336&gt;0,H2336/F2336,"")</f>
        <v/>
      </c>
      <c r="L2336" s="16">
        <f>IF(AND(G2336&gt;0,H2336&gt;0),G2336/H2336,"")</f>
        <v/>
      </c>
    </row>
    <row r="2337">
      <c r="A2337" s="4" t="inlineStr">
        <is>
          <t>290</t>
        </is>
      </c>
      <c r="B2337" s="4" t="n">
        <v>2</v>
      </c>
      <c r="C2337" s="4" t="inlineStr">
        <is>
          <t>elk</t>
        </is>
      </c>
      <c r="D2337" s="4" t="n">
        <v>2008</v>
      </c>
      <c r="E2337" s="13" t="inlineStr">
        <is>
          <t>General</t>
        </is>
      </c>
      <c r="F2337" s="5" t="n">
        <v>281</v>
      </c>
      <c r="G2337" s="5" t="n">
        <v>1417</v>
      </c>
      <c r="H2337" s="5" t="n">
        <v>83</v>
      </c>
      <c r="I2337" s="5" t="n">
        <v>12</v>
      </c>
      <c r="J2337" s="5" t="n">
        <v>57</v>
      </c>
      <c r="K2337" s="10">
        <f>IF(F2337&gt;0,H2337/F2337,"")</f>
        <v/>
      </c>
      <c r="L2337" s="16">
        <f>IF(AND(G2337&gt;0,H2337&gt;0),G2337/H2337,"")</f>
        <v/>
      </c>
    </row>
    <row r="2338">
      <c r="A2338" s="4" t="inlineStr">
        <is>
          <t>290</t>
        </is>
      </c>
      <c r="B2338" s="4" t="n">
        <v>2</v>
      </c>
      <c r="C2338" s="4" t="inlineStr">
        <is>
          <t>elk</t>
        </is>
      </c>
      <c r="D2338" s="4" t="n">
        <v>2009</v>
      </c>
      <c r="E2338" s="13" t="inlineStr">
        <is>
          <t>General</t>
        </is>
      </c>
      <c r="F2338" s="5" t="n">
        <v>256</v>
      </c>
      <c r="G2338" s="5" t="n">
        <v>1495</v>
      </c>
      <c r="H2338" s="5" t="n">
        <v>37</v>
      </c>
      <c r="I2338" s="5" t="n">
        <v>0</v>
      </c>
      <c r="J2338" s="5" t="n">
        <v>37</v>
      </c>
      <c r="K2338" s="10">
        <f>IF(F2338&gt;0,H2338/F2338,"")</f>
        <v/>
      </c>
      <c r="L2338" s="16">
        <f>IF(AND(G2338&gt;0,H2338&gt;0),G2338/H2338,"")</f>
        <v/>
      </c>
    </row>
    <row r="2339">
      <c r="A2339" s="4" t="inlineStr">
        <is>
          <t>290</t>
        </is>
      </c>
      <c r="B2339" s="4" t="n">
        <v>2</v>
      </c>
      <c r="C2339" s="4" t="inlineStr">
        <is>
          <t>elk</t>
        </is>
      </c>
      <c r="D2339" s="4" t="n">
        <v>2010</v>
      </c>
      <c r="E2339" s="13" t="inlineStr">
        <is>
          <t>General</t>
        </is>
      </c>
      <c r="F2339" s="5" t="n">
        <v>231</v>
      </c>
      <c r="G2339" s="5" t="n">
        <v>1514</v>
      </c>
      <c r="H2339" s="5" t="n">
        <v>46</v>
      </c>
      <c r="I2339" s="5" t="n">
        <v>18</v>
      </c>
      <c r="J2339" s="5" t="n">
        <v>28</v>
      </c>
      <c r="K2339" s="10">
        <f>IF(F2339&gt;0,H2339/F2339,"")</f>
        <v/>
      </c>
      <c r="L2339" s="16">
        <f>IF(AND(G2339&gt;0,H2339&gt;0),G2339/H2339,"")</f>
        <v/>
      </c>
    </row>
    <row r="2340">
      <c r="A2340" s="4" t="inlineStr">
        <is>
          <t>290</t>
        </is>
      </c>
      <c r="B2340" s="4" t="n">
        <v>2</v>
      </c>
      <c r="C2340" s="4" t="inlineStr">
        <is>
          <t>elk</t>
        </is>
      </c>
      <c r="D2340" s="4" t="n">
        <v>2011</v>
      </c>
      <c r="E2340" s="13" t="inlineStr">
        <is>
          <t>General</t>
        </is>
      </c>
      <c r="F2340" s="5" t="n">
        <v>272</v>
      </c>
      <c r="G2340" s="5" t="n">
        <v>1380</v>
      </c>
      <c r="H2340" s="5" t="n">
        <v>43</v>
      </c>
      <c r="I2340" s="5" t="n">
        <v>14</v>
      </c>
      <c r="J2340" s="5" t="n">
        <v>23</v>
      </c>
      <c r="K2340" s="10">
        <f>IF(F2340&gt;0,H2340/F2340,"")</f>
        <v/>
      </c>
      <c r="L2340" s="16">
        <f>IF(AND(G2340&gt;0,H2340&gt;0),G2340/H2340,"")</f>
        <v/>
      </c>
    </row>
    <row r="2341">
      <c r="A2341" s="4" t="inlineStr">
        <is>
          <t>290</t>
        </is>
      </c>
      <c r="B2341" s="4" t="n">
        <v>2</v>
      </c>
      <c r="C2341" s="4" t="inlineStr">
        <is>
          <t>elk</t>
        </is>
      </c>
      <c r="D2341" s="4" t="n">
        <v>2012</v>
      </c>
      <c r="E2341" s="13" t="inlineStr">
        <is>
          <t>General</t>
        </is>
      </c>
      <c r="F2341" s="5" t="n">
        <v>249</v>
      </c>
      <c r="G2341" s="5" t="n">
        <v>1344</v>
      </c>
      <c r="H2341" s="5" t="n">
        <v>25</v>
      </c>
      <c r="I2341" s="5" t="n">
        <v>6</v>
      </c>
      <c r="J2341" s="5" t="n">
        <v>19</v>
      </c>
      <c r="K2341" s="10">
        <f>IF(F2341&gt;0,H2341/F2341,"")</f>
        <v/>
      </c>
      <c r="L2341" s="16">
        <f>IF(AND(G2341&gt;0,H2341&gt;0),G2341/H2341,"")</f>
        <v/>
      </c>
    </row>
    <row r="2342">
      <c r="A2342" s="4" t="inlineStr">
        <is>
          <t>290</t>
        </is>
      </c>
      <c r="B2342" s="4" t="n">
        <v>2</v>
      </c>
      <c r="C2342" s="4" t="inlineStr">
        <is>
          <t>elk</t>
        </is>
      </c>
      <c r="D2342" s="4" t="n">
        <v>2013</v>
      </c>
      <c r="E2342" s="13" t="inlineStr">
        <is>
          <t>General</t>
        </is>
      </c>
      <c r="F2342" s="5" t="n"/>
      <c r="G2342" s="5" t="n"/>
      <c r="H2342" s="5" t="n">
        <v>39</v>
      </c>
      <c r="I2342" s="5" t="n">
        <v>16</v>
      </c>
      <c r="J2342" s="5" t="n">
        <v>23</v>
      </c>
      <c r="K2342" s="10">
        <f>IF(F2342&gt;0,H2342/F2342,"")</f>
        <v/>
      </c>
      <c r="L2342" s="16">
        <f>IF(AND(G2342&gt;0,H2342&gt;0),G2342/H2342,"")</f>
        <v/>
      </c>
    </row>
    <row r="2343">
      <c r="A2343" s="4" t="inlineStr">
        <is>
          <t>290</t>
        </is>
      </c>
      <c r="B2343" s="4" t="n">
        <v>2</v>
      </c>
      <c r="C2343" s="4" t="inlineStr">
        <is>
          <t>elk</t>
        </is>
      </c>
      <c r="D2343" s="4" t="n">
        <v>2014</v>
      </c>
      <c r="E2343" s="13" t="inlineStr">
        <is>
          <t>General</t>
        </is>
      </c>
      <c r="F2343" s="5" t="n">
        <v>204</v>
      </c>
      <c r="G2343" s="5" t="n">
        <v>1369</v>
      </c>
      <c r="H2343" s="5" t="n">
        <v>40</v>
      </c>
      <c r="I2343" s="5" t="n">
        <v>20</v>
      </c>
      <c r="J2343" s="5" t="n">
        <v>21</v>
      </c>
      <c r="K2343" s="10">
        <f>IF(F2343&gt;0,H2343/F2343,"")</f>
        <v/>
      </c>
      <c r="L2343" s="16">
        <f>IF(AND(G2343&gt;0,H2343&gt;0),G2343/H2343,"")</f>
        <v/>
      </c>
    </row>
    <row r="2344">
      <c r="A2344" s="4" t="inlineStr">
        <is>
          <t>290</t>
        </is>
      </c>
      <c r="B2344" s="4" t="n">
        <v>2</v>
      </c>
      <c r="C2344" s="4" t="inlineStr">
        <is>
          <t>elk</t>
        </is>
      </c>
      <c r="D2344" s="4" t="n">
        <v>2015</v>
      </c>
      <c r="E2344" s="13" t="inlineStr">
        <is>
          <t>General</t>
        </is>
      </c>
      <c r="F2344" s="5" t="n">
        <v>274</v>
      </c>
      <c r="G2344" s="5" t="n">
        <v>1593</v>
      </c>
      <c r="H2344" s="5" t="n">
        <v>41</v>
      </c>
      <c r="I2344" s="5" t="n">
        <v>4</v>
      </c>
      <c r="J2344" s="5" t="n">
        <v>33</v>
      </c>
      <c r="K2344" s="10">
        <f>IF(F2344&gt;0,H2344/F2344,"")</f>
        <v/>
      </c>
      <c r="L2344" s="16">
        <f>IF(AND(G2344&gt;0,H2344&gt;0),G2344/H2344,"")</f>
        <v/>
      </c>
    </row>
    <row r="2345">
      <c r="A2345" s="4" t="inlineStr">
        <is>
          <t>290</t>
        </is>
      </c>
      <c r="B2345" s="4" t="n">
        <v>2</v>
      </c>
      <c r="C2345" s="4" t="inlineStr">
        <is>
          <t>elk</t>
        </is>
      </c>
      <c r="D2345" s="4" t="n">
        <v>2016</v>
      </c>
      <c r="E2345" s="13" t="inlineStr">
        <is>
          <t>General</t>
        </is>
      </c>
      <c r="F2345" s="5" t="n">
        <v>377</v>
      </c>
      <c r="G2345" s="5" t="n">
        <v>2254</v>
      </c>
      <c r="H2345" s="5" t="n">
        <v>87</v>
      </c>
      <c r="I2345" s="5" t="n">
        <v>25</v>
      </c>
      <c r="J2345" s="5" t="n">
        <v>57</v>
      </c>
      <c r="K2345" s="10">
        <f>IF(F2345&gt;0,H2345/F2345,"")</f>
        <v/>
      </c>
      <c r="L2345" s="16">
        <f>IF(AND(G2345&gt;0,H2345&gt;0),G2345/H2345,"")</f>
        <v/>
      </c>
    </row>
    <row r="2346">
      <c r="A2346" s="4" t="inlineStr">
        <is>
          <t>290</t>
        </is>
      </c>
      <c r="B2346" s="4" t="n">
        <v>2</v>
      </c>
      <c r="C2346" s="4" t="inlineStr">
        <is>
          <t>elk</t>
        </is>
      </c>
      <c r="D2346" s="4" t="n">
        <v>2017</v>
      </c>
      <c r="E2346" s="13" t="inlineStr">
        <is>
          <t>General</t>
        </is>
      </c>
      <c r="F2346" s="5" t="n"/>
      <c r="G2346" s="5" t="n"/>
      <c r="H2346" s="5" t="n">
        <v>92</v>
      </c>
      <c r="I2346" s="5" t="n">
        <v>23</v>
      </c>
      <c r="J2346" s="5" t="n">
        <v>61</v>
      </c>
      <c r="K2346" s="10">
        <f>IF(F2346&gt;0,H2346/F2346,"")</f>
        <v/>
      </c>
      <c r="L2346" s="16">
        <f>IF(AND(G2346&gt;0,H2346&gt;0),G2346/H2346,"")</f>
        <v/>
      </c>
    </row>
    <row r="2347">
      <c r="A2347" s="4" t="inlineStr">
        <is>
          <t>290</t>
        </is>
      </c>
      <c r="B2347" s="4" t="n">
        <v>2</v>
      </c>
      <c r="C2347" s="4" t="inlineStr">
        <is>
          <t>elk</t>
        </is>
      </c>
      <c r="D2347" s="4" t="n">
        <v>2018</v>
      </c>
      <c r="E2347" s="13" t="inlineStr">
        <is>
          <t>General</t>
        </is>
      </c>
      <c r="F2347" s="5" t="n">
        <v>255</v>
      </c>
      <c r="G2347" s="5" t="n">
        <v>1484</v>
      </c>
      <c r="H2347" s="5" t="n">
        <v>62</v>
      </c>
      <c r="I2347" s="5" t="n">
        <v>15</v>
      </c>
      <c r="J2347" s="5" t="n">
        <v>46</v>
      </c>
      <c r="K2347" s="10">
        <f>IF(F2347&gt;0,H2347/F2347,"")</f>
        <v/>
      </c>
      <c r="L2347" s="16">
        <f>IF(AND(G2347&gt;0,H2347&gt;0),G2347/H2347,"")</f>
        <v/>
      </c>
    </row>
    <row r="2348">
      <c r="A2348" s="4" t="inlineStr">
        <is>
          <t>290</t>
        </is>
      </c>
      <c r="B2348" s="4" t="n">
        <v>2</v>
      </c>
      <c r="C2348" s="4" t="inlineStr">
        <is>
          <t>elk</t>
        </is>
      </c>
      <c r="D2348" s="4" t="n">
        <v>2019</v>
      </c>
      <c r="E2348" s="13" t="inlineStr">
        <is>
          <t>General</t>
        </is>
      </c>
      <c r="F2348" s="5" t="n"/>
      <c r="G2348" s="5" t="n"/>
      <c r="H2348" s="5" t="n">
        <v>18</v>
      </c>
      <c r="I2348" s="5" t="n">
        <v>9</v>
      </c>
      <c r="J2348" s="5" t="n">
        <v>9</v>
      </c>
      <c r="K2348" s="10">
        <f>IF(F2348&gt;0,H2348/F2348,"")</f>
        <v/>
      </c>
      <c r="L2348" s="16">
        <f>IF(AND(G2348&gt;0,H2348&gt;0),G2348/H2348,"")</f>
        <v/>
      </c>
    </row>
    <row r="2349">
      <c r="A2349" s="4" t="inlineStr">
        <is>
          <t>290</t>
        </is>
      </c>
      <c r="B2349" s="4" t="n">
        <v>2</v>
      </c>
      <c r="C2349" s="4" t="inlineStr">
        <is>
          <t>elk</t>
        </is>
      </c>
      <c r="D2349" s="4" t="n">
        <v>2020</v>
      </c>
      <c r="E2349" s="13" t="inlineStr">
        <is>
          <t>General</t>
        </is>
      </c>
      <c r="F2349" s="5" t="n">
        <v>362</v>
      </c>
      <c r="G2349" s="5" t="n">
        <v>2362</v>
      </c>
      <c r="H2349" s="5" t="n">
        <v>49</v>
      </c>
      <c r="I2349" s="5" t="n">
        <v>20</v>
      </c>
      <c r="J2349" s="5" t="n">
        <v>29</v>
      </c>
      <c r="K2349" s="10">
        <f>IF(F2349&gt;0,H2349/F2349,"")</f>
        <v/>
      </c>
      <c r="L2349" s="16">
        <f>IF(AND(G2349&gt;0,H2349&gt;0),G2349/H2349,"")</f>
        <v/>
      </c>
    </row>
    <row r="2350">
      <c r="A2350" s="4" t="inlineStr">
        <is>
          <t>290</t>
        </is>
      </c>
      <c r="B2350" s="4" t="n">
        <v>2</v>
      </c>
      <c r="C2350" s="4" t="inlineStr">
        <is>
          <t>elk</t>
        </is>
      </c>
      <c r="D2350" s="4" t="n">
        <v>2021</v>
      </c>
      <c r="E2350" s="13" t="inlineStr">
        <is>
          <t>General</t>
        </is>
      </c>
      <c r="F2350" s="5" t="n"/>
      <c r="G2350" s="5" t="n"/>
      <c r="H2350" s="5" t="n">
        <v>42</v>
      </c>
      <c r="I2350" s="5" t="n">
        <v>22</v>
      </c>
      <c r="J2350" s="5" t="n">
        <v>20</v>
      </c>
      <c r="K2350" s="10">
        <f>IF(F2350&gt;0,H2350/F2350,"")</f>
        <v/>
      </c>
      <c r="L2350" s="16">
        <f>IF(AND(G2350&gt;0,H2350&gt;0),G2350/H2350,"")</f>
        <v/>
      </c>
    </row>
    <row r="2351">
      <c r="A2351" s="4" t="inlineStr">
        <is>
          <t>290</t>
        </is>
      </c>
      <c r="B2351" s="4" t="n">
        <v>2</v>
      </c>
      <c r="C2351" s="4" t="inlineStr">
        <is>
          <t>elk</t>
        </is>
      </c>
      <c r="D2351" s="4" t="n">
        <v>2022</v>
      </c>
      <c r="E2351" s="13" t="inlineStr">
        <is>
          <t>General</t>
        </is>
      </c>
      <c r="F2351" s="5" t="n">
        <v>177</v>
      </c>
      <c r="G2351" s="5" t="n">
        <v>935</v>
      </c>
      <c r="H2351" s="5" t="n">
        <v>26</v>
      </c>
      <c r="I2351" s="5" t="n">
        <v>13</v>
      </c>
      <c r="J2351" s="5" t="n">
        <v>14</v>
      </c>
      <c r="K2351" s="10">
        <f>IF(F2351&gt;0,H2351/F2351,"")</f>
        <v/>
      </c>
      <c r="L2351" s="16">
        <f>IF(AND(G2351&gt;0,H2351&gt;0),G2351/H2351,"")</f>
        <v/>
      </c>
    </row>
    <row r="2352">
      <c r="A2352" s="4" t="inlineStr">
        <is>
          <t>290</t>
        </is>
      </c>
      <c r="B2352" s="4" t="n">
        <v>2</v>
      </c>
      <c r="C2352" s="4" t="inlineStr">
        <is>
          <t>elk</t>
        </is>
      </c>
      <c r="D2352" s="4" t="n">
        <v>2023</v>
      </c>
      <c r="E2352" s="13" t="inlineStr">
        <is>
          <t>General</t>
        </is>
      </c>
      <c r="F2352" s="5" t="n"/>
      <c r="G2352" s="5" t="n"/>
      <c r="H2352" s="5" t="n">
        <v>46</v>
      </c>
      <c r="I2352" s="5" t="n">
        <v>20</v>
      </c>
      <c r="J2352" s="5" t="n">
        <v>27</v>
      </c>
      <c r="K2352" s="10">
        <f>IF(F2352&gt;0,H2352/F2352,"")</f>
        <v/>
      </c>
      <c r="L2352" s="16">
        <f>IF(AND(G2352&gt;0,H2352&gt;0),G2352/H2352,"")</f>
        <v/>
      </c>
    </row>
    <row r="2353">
      <c r="A2353" s="4" t="inlineStr">
        <is>
          <t>290</t>
        </is>
      </c>
      <c r="B2353" s="4" t="n">
        <v>2</v>
      </c>
      <c r="C2353" s="4" t="inlineStr">
        <is>
          <t>elk</t>
        </is>
      </c>
      <c r="D2353" s="4" t="n">
        <v>2024</v>
      </c>
      <c r="E2353" s="13" t="inlineStr">
        <is>
          <t>General</t>
        </is>
      </c>
      <c r="F2353" s="5" t="n">
        <v>264</v>
      </c>
      <c r="G2353" s="5" t="n">
        <v>1731</v>
      </c>
      <c r="H2353" s="5" t="n">
        <v>52</v>
      </c>
      <c r="I2353" s="5" t="n">
        <v>31</v>
      </c>
      <c r="J2353" s="5" t="n">
        <v>21</v>
      </c>
      <c r="K2353" s="10">
        <f>IF(F2353&gt;0,H2353/F2353,"")</f>
        <v/>
      </c>
      <c r="L2353" s="16">
        <f>IF(AND(G2353&gt;0,H2353&gt;0),G2353/H2353,"")</f>
        <v/>
      </c>
    </row>
    <row r="2354">
      <c r="A2354" s="4" t="inlineStr">
        <is>
          <t>290</t>
        </is>
      </c>
      <c r="B2354" s="4" t="n">
        <v>2</v>
      </c>
      <c r="C2354" s="4" t="inlineStr">
        <is>
          <t>elk</t>
        </is>
      </c>
      <c r="D2354" s="4" t="n">
        <v>2025</v>
      </c>
      <c r="E2354" s="13" t="inlineStr">
        <is>
          <t>General</t>
        </is>
      </c>
      <c r="F2354" s="5" t="n"/>
      <c r="G2354" s="5" t="n"/>
      <c r="H2354" s="5" t="n">
        <v>80</v>
      </c>
      <c r="I2354" s="5" t="n">
        <v>22</v>
      </c>
      <c r="J2354" s="5" t="n">
        <v>59</v>
      </c>
      <c r="K2354" s="10">
        <f>IF(F2354&gt;0,H2354/F2354,"")</f>
        <v/>
      </c>
      <c r="L2354" s="16">
        <f>IF(AND(G2354&gt;0,H2354&gt;0),G2354/H2354,"")</f>
        <v/>
      </c>
    </row>
    <row r="2355">
      <c r="A2355" s="4" t="inlineStr">
        <is>
          <t>291</t>
        </is>
      </c>
      <c r="B2355" s="4" t="n">
        <v>2</v>
      </c>
      <c r="C2355" s="4" t="inlineStr">
        <is>
          <t>elk</t>
        </is>
      </c>
      <c r="D2355" s="4" t="n">
        <v>2004</v>
      </c>
      <c r="E2355" s="13" t="inlineStr">
        <is>
          <t>General</t>
        </is>
      </c>
      <c r="F2355" s="5" t="n">
        <v>878</v>
      </c>
      <c r="G2355" s="5" t="n">
        <v>5349</v>
      </c>
      <c r="H2355" s="5" t="n">
        <v>208</v>
      </c>
      <c r="I2355" s="5" t="n">
        <v>68</v>
      </c>
      <c r="J2355" s="5" t="n">
        <v>118</v>
      </c>
      <c r="K2355" s="10">
        <f>IF(F2355&gt;0,H2355/F2355,"")</f>
        <v/>
      </c>
      <c r="L2355" s="16">
        <f>IF(AND(G2355&gt;0,H2355&gt;0),G2355/H2355,"")</f>
        <v/>
      </c>
    </row>
    <row r="2356">
      <c r="A2356" s="4" t="inlineStr">
        <is>
          <t>291</t>
        </is>
      </c>
      <c r="B2356" s="4" t="n">
        <v>2</v>
      </c>
      <c r="C2356" s="4" t="inlineStr">
        <is>
          <t>elk</t>
        </is>
      </c>
      <c r="D2356" s="4" t="n">
        <v>2005</v>
      </c>
      <c r="E2356" s="13" t="inlineStr">
        <is>
          <t>General</t>
        </is>
      </c>
      <c r="F2356" s="5" t="n">
        <v>786</v>
      </c>
      <c r="G2356" s="5" t="n">
        <v>4592</v>
      </c>
      <c r="H2356" s="5" t="n">
        <v>174</v>
      </c>
      <c r="I2356" s="5" t="n">
        <v>103</v>
      </c>
      <c r="J2356" s="5" t="n">
        <v>68</v>
      </c>
      <c r="K2356" s="10">
        <f>IF(F2356&gt;0,H2356/F2356,"")</f>
        <v/>
      </c>
      <c r="L2356" s="16">
        <f>IF(AND(G2356&gt;0,H2356&gt;0),G2356/H2356,"")</f>
        <v/>
      </c>
    </row>
    <row r="2357">
      <c r="A2357" s="4" t="inlineStr">
        <is>
          <t>291</t>
        </is>
      </c>
      <c r="B2357" s="4" t="n">
        <v>2</v>
      </c>
      <c r="C2357" s="4" t="inlineStr">
        <is>
          <t>elk</t>
        </is>
      </c>
      <c r="D2357" s="4" t="n">
        <v>2006</v>
      </c>
      <c r="E2357" s="13" t="inlineStr">
        <is>
          <t>General</t>
        </is>
      </c>
      <c r="F2357" s="5" t="n">
        <v>773</v>
      </c>
      <c r="G2357" s="5" t="n">
        <v>5289</v>
      </c>
      <c r="H2357" s="5" t="n">
        <v>173</v>
      </c>
      <c r="I2357" s="5" t="n">
        <v>122</v>
      </c>
      <c r="J2357" s="5" t="n">
        <v>45</v>
      </c>
      <c r="K2357" s="10">
        <f>IF(F2357&gt;0,H2357/F2357,"")</f>
        <v/>
      </c>
      <c r="L2357" s="16">
        <f>IF(AND(G2357&gt;0,H2357&gt;0),G2357/H2357,"")</f>
        <v/>
      </c>
    </row>
    <row r="2358">
      <c r="A2358" s="4" t="inlineStr">
        <is>
          <t>291</t>
        </is>
      </c>
      <c r="B2358" s="4" t="n">
        <v>2</v>
      </c>
      <c r="C2358" s="4" t="inlineStr">
        <is>
          <t>elk</t>
        </is>
      </c>
      <c r="D2358" s="4" t="n">
        <v>2007</v>
      </c>
      <c r="E2358" s="13" t="inlineStr">
        <is>
          <t>General</t>
        </is>
      </c>
      <c r="F2358" s="5" t="n">
        <v>715</v>
      </c>
      <c r="G2358" s="5" t="n">
        <v>4961</v>
      </c>
      <c r="H2358" s="5" t="n">
        <v>142</v>
      </c>
      <c r="I2358" s="5" t="n">
        <v>78</v>
      </c>
      <c r="J2358" s="5" t="n">
        <v>57</v>
      </c>
      <c r="K2358" s="10">
        <f>IF(F2358&gt;0,H2358/F2358,"")</f>
        <v/>
      </c>
      <c r="L2358" s="16">
        <f>IF(AND(G2358&gt;0,H2358&gt;0),G2358/H2358,"")</f>
        <v/>
      </c>
    </row>
    <row r="2359">
      <c r="A2359" s="4" t="inlineStr">
        <is>
          <t>291</t>
        </is>
      </c>
      <c r="B2359" s="4" t="n">
        <v>2</v>
      </c>
      <c r="C2359" s="4" t="inlineStr">
        <is>
          <t>elk</t>
        </is>
      </c>
      <c r="D2359" s="4" t="n">
        <v>2008</v>
      </c>
      <c r="E2359" s="13" t="inlineStr">
        <is>
          <t>General</t>
        </is>
      </c>
      <c r="F2359" s="5" t="n">
        <v>856</v>
      </c>
      <c r="G2359" s="5" t="n">
        <v>5624</v>
      </c>
      <c r="H2359" s="5" t="n">
        <v>131</v>
      </c>
      <c r="I2359" s="5" t="n">
        <v>65</v>
      </c>
      <c r="J2359" s="5" t="n">
        <v>51</v>
      </c>
      <c r="K2359" s="10">
        <f>IF(F2359&gt;0,H2359/F2359,"")</f>
        <v/>
      </c>
      <c r="L2359" s="16">
        <f>IF(AND(G2359&gt;0,H2359&gt;0),G2359/H2359,"")</f>
        <v/>
      </c>
    </row>
    <row r="2360">
      <c r="A2360" s="4" t="inlineStr">
        <is>
          <t>291</t>
        </is>
      </c>
      <c r="B2360" s="4" t="n">
        <v>2</v>
      </c>
      <c r="C2360" s="4" t="inlineStr">
        <is>
          <t>elk</t>
        </is>
      </c>
      <c r="D2360" s="4" t="n">
        <v>2009</v>
      </c>
      <c r="E2360" s="13" t="inlineStr">
        <is>
          <t>General</t>
        </is>
      </c>
      <c r="F2360" s="5" t="n">
        <v>943</v>
      </c>
      <c r="G2360" s="5" t="n">
        <v>6342</v>
      </c>
      <c r="H2360" s="5" t="n">
        <v>139</v>
      </c>
      <c r="I2360" s="5" t="n">
        <v>86</v>
      </c>
      <c r="J2360" s="5" t="n">
        <v>49</v>
      </c>
      <c r="K2360" s="10">
        <f>IF(F2360&gt;0,H2360/F2360,"")</f>
        <v/>
      </c>
      <c r="L2360" s="16">
        <f>IF(AND(G2360&gt;0,H2360&gt;0),G2360/H2360,"")</f>
        <v/>
      </c>
    </row>
    <row r="2361">
      <c r="A2361" s="4" t="inlineStr">
        <is>
          <t>291</t>
        </is>
      </c>
      <c r="B2361" s="4" t="n">
        <v>2</v>
      </c>
      <c r="C2361" s="4" t="inlineStr">
        <is>
          <t>elk</t>
        </is>
      </c>
      <c r="D2361" s="4" t="n">
        <v>2010</v>
      </c>
      <c r="E2361" s="13" t="inlineStr">
        <is>
          <t>General</t>
        </is>
      </c>
      <c r="F2361" s="5" t="n">
        <v>814</v>
      </c>
      <c r="G2361" s="5" t="n">
        <v>5008</v>
      </c>
      <c r="H2361" s="5" t="n">
        <v>145</v>
      </c>
      <c r="I2361" s="5" t="n">
        <v>95</v>
      </c>
      <c r="J2361" s="5" t="n">
        <v>50</v>
      </c>
      <c r="K2361" s="10">
        <f>IF(F2361&gt;0,H2361/F2361,"")</f>
        <v/>
      </c>
      <c r="L2361" s="16">
        <f>IF(AND(G2361&gt;0,H2361&gt;0),G2361/H2361,"")</f>
        <v/>
      </c>
    </row>
    <row r="2362">
      <c r="A2362" s="4" t="inlineStr">
        <is>
          <t>291</t>
        </is>
      </c>
      <c r="B2362" s="4" t="n">
        <v>2</v>
      </c>
      <c r="C2362" s="4" t="inlineStr">
        <is>
          <t>elk</t>
        </is>
      </c>
      <c r="D2362" s="4" t="n">
        <v>2011</v>
      </c>
      <c r="E2362" s="13" t="inlineStr">
        <is>
          <t>General</t>
        </is>
      </c>
      <c r="F2362" s="5" t="n">
        <v>958</v>
      </c>
      <c r="G2362" s="5" t="n">
        <v>5967</v>
      </c>
      <c r="H2362" s="5" t="n">
        <v>183</v>
      </c>
      <c r="I2362" s="5" t="n">
        <v>61</v>
      </c>
      <c r="J2362" s="5" t="n">
        <v>116</v>
      </c>
      <c r="K2362" s="10">
        <f>IF(F2362&gt;0,H2362/F2362,"")</f>
        <v/>
      </c>
      <c r="L2362" s="16">
        <f>IF(AND(G2362&gt;0,H2362&gt;0),G2362/H2362,"")</f>
        <v/>
      </c>
    </row>
    <row r="2363">
      <c r="A2363" s="4" t="inlineStr">
        <is>
          <t>291</t>
        </is>
      </c>
      <c r="B2363" s="4" t="n">
        <v>2</v>
      </c>
      <c r="C2363" s="4" t="inlineStr">
        <is>
          <t>elk</t>
        </is>
      </c>
      <c r="D2363" s="4" t="n">
        <v>2012</v>
      </c>
      <c r="E2363" s="13" t="inlineStr">
        <is>
          <t>General</t>
        </is>
      </c>
      <c r="F2363" s="5" t="n">
        <v>868</v>
      </c>
      <c r="G2363" s="5" t="n">
        <v>5113</v>
      </c>
      <c r="H2363" s="5" t="n">
        <v>158</v>
      </c>
      <c r="I2363" s="5" t="n">
        <v>79</v>
      </c>
      <c r="J2363" s="5" t="n">
        <v>74</v>
      </c>
      <c r="K2363" s="10">
        <f>IF(F2363&gt;0,H2363/F2363,"")</f>
        <v/>
      </c>
      <c r="L2363" s="16">
        <f>IF(AND(G2363&gt;0,H2363&gt;0),G2363/H2363,"")</f>
        <v/>
      </c>
    </row>
    <row r="2364">
      <c r="A2364" s="4" t="inlineStr">
        <is>
          <t>291</t>
        </is>
      </c>
      <c r="B2364" s="4" t="n">
        <v>2</v>
      </c>
      <c r="C2364" s="4" t="inlineStr">
        <is>
          <t>elk</t>
        </is>
      </c>
      <c r="D2364" s="4" t="n">
        <v>2013</v>
      </c>
      <c r="E2364" s="13" t="inlineStr">
        <is>
          <t>General</t>
        </is>
      </c>
      <c r="F2364" s="5" t="n"/>
      <c r="G2364" s="5" t="n"/>
      <c r="H2364" s="5" t="n">
        <v>120</v>
      </c>
      <c r="I2364" s="5" t="n">
        <v>34</v>
      </c>
      <c r="J2364" s="5" t="n">
        <v>81</v>
      </c>
      <c r="K2364" s="10">
        <f>IF(F2364&gt;0,H2364/F2364,"")</f>
        <v/>
      </c>
      <c r="L2364" s="16">
        <f>IF(AND(G2364&gt;0,H2364&gt;0),G2364/H2364,"")</f>
        <v/>
      </c>
    </row>
    <row r="2365">
      <c r="A2365" s="4" t="inlineStr">
        <is>
          <t>291</t>
        </is>
      </c>
      <c r="B2365" s="4" t="n">
        <v>2</v>
      </c>
      <c r="C2365" s="4" t="inlineStr">
        <is>
          <t>elk</t>
        </is>
      </c>
      <c r="D2365" s="4" t="n">
        <v>2014</v>
      </c>
      <c r="E2365" s="13" t="inlineStr">
        <is>
          <t>General</t>
        </is>
      </c>
      <c r="F2365" s="5" t="n">
        <v>817</v>
      </c>
      <c r="G2365" s="5" t="n">
        <v>5577</v>
      </c>
      <c r="H2365" s="5" t="n">
        <v>174</v>
      </c>
      <c r="I2365" s="5" t="n">
        <v>54</v>
      </c>
      <c r="J2365" s="5" t="n">
        <v>110</v>
      </c>
      <c r="K2365" s="10">
        <f>IF(F2365&gt;0,H2365/F2365,"")</f>
        <v/>
      </c>
      <c r="L2365" s="16">
        <f>IF(AND(G2365&gt;0,H2365&gt;0),G2365/H2365,"")</f>
        <v/>
      </c>
    </row>
    <row r="2366">
      <c r="A2366" s="4" t="inlineStr">
        <is>
          <t>291</t>
        </is>
      </c>
      <c r="B2366" s="4" t="n">
        <v>2</v>
      </c>
      <c r="C2366" s="4" t="inlineStr">
        <is>
          <t>elk</t>
        </is>
      </c>
      <c r="D2366" s="4" t="n">
        <v>2015</v>
      </c>
      <c r="E2366" s="13" t="inlineStr">
        <is>
          <t>General</t>
        </is>
      </c>
      <c r="F2366" s="5" t="n">
        <v>945</v>
      </c>
      <c r="G2366" s="5" t="n">
        <v>6204</v>
      </c>
      <c r="H2366" s="5" t="n">
        <v>197</v>
      </c>
      <c r="I2366" s="5" t="n">
        <v>56</v>
      </c>
      <c r="J2366" s="5" t="n">
        <v>134</v>
      </c>
      <c r="K2366" s="10">
        <f>IF(F2366&gt;0,H2366/F2366,"")</f>
        <v/>
      </c>
      <c r="L2366" s="16">
        <f>IF(AND(G2366&gt;0,H2366&gt;0),G2366/H2366,"")</f>
        <v/>
      </c>
    </row>
    <row r="2367">
      <c r="A2367" s="4" t="inlineStr">
        <is>
          <t>291</t>
        </is>
      </c>
      <c r="B2367" s="4" t="n">
        <v>2</v>
      </c>
      <c r="C2367" s="4" t="inlineStr">
        <is>
          <t>elk</t>
        </is>
      </c>
      <c r="D2367" s="4" t="n">
        <v>2016</v>
      </c>
      <c r="E2367" s="13" t="inlineStr">
        <is>
          <t>General</t>
        </is>
      </c>
      <c r="F2367" s="5" t="n">
        <v>960</v>
      </c>
      <c r="G2367" s="5" t="n">
        <v>6542</v>
      </c>
      <c r="H2367" s="5" t="n">
        <v>240</v>
      </c>
      <c r="I2367" s="5" t="n">
        <v>61</v>
      </c>
      <c r="J2367" s="5" t="n">
        <v>174</v>
      </c>
      <c r="K2367" s="10">
        <f>IF(F2367&gt;0,H2367/F2367,"")</f>
        <v/>
      </c>
      <c r="L2367" s="16">
        <f>IF(AND(G2367&gt;0,H2367&gt;0),G2367/H2367,"")</f>
        <v/>
      </c>
    </row>
    <row r="2368">
      <c r="A2368" s="4" t="inlineStr">
        <is>
          <t>291</t>
        </is>
      </c>
      <c r="B2368" s="4" t="n">
        <v>2</v>
      </c>
      <c r="C2368" s="4" t="inlineStr">
        <is>
          <t>elk</t>
        </is>
      </c>
      <c r="D2368" s="4" t="n">
        <v>2017</v>
      </c>
      <c r="E2368" s="13" t="inlineStr">
        <is>
          <t>General</t>
        </is>
      </c>
      <c r="F2368" s="5" t="n"/>
      <c r="G2368" s="5" t="n"/>
      <c r="H2368" s="5" t="n">
        <v>262</v>
      </c>
      <c r="I2368" s="5" t="n">
        <v>128</v>
      </c>
      <c r="J2368" s="5" t="n">
        <v>130</v>
      </c>
      <c r="K2368" s="10">
        <f>IF(F2368&gt;0,H2368/F2368,"")</f>
        <v/>
      </c>
      <c r="L2368" s="16">
        <f>IF(AND(G2368&gt;0,H2368&gt;0),G2368/H2368,"")</f>
        <v/>
      </c>
    </row>
    <row r="2369">
      <c r="A2369" s="4" t="inlineStr">
        <is>
          <t>291</t>
        </is>
      </c>
      <c r="B2369" s="4" t="n">
        <v>2</v>
      </c>
      <c r="C2369" s="4" t="inlineStr">
        <is>
          <t>elk</t>
        </is>
      </c>
      <c r="D2369" s="4" t="n">
        <v>2018</v>
      </c>
      <c r="E2369" s="13" t="inlineStr">
        <is>
          <t>General</t>
        </is>
      </c>
      <c r="F2369" s="5" t="n">
        <v>919</v>
      </c>
      <c r="G2369" s="5" t="n">
        <v>6180</v>
      </c>
      <c r="H2369" s="5" t="n">
        <v>230</v>
      </c>
      <c r="I2369" s="5" t="n">
        <v>99</v>
      </c>
      <c r="J2369" s="5" t="n">
        <v>123</v>
      </c>
      <c r="K2369" s="10">
        <f>IF(F2369&gt;0,H2369/F2369,"")</f>
        <v/>
      </c>
      <c r="L2369" s="16">
        <f>IF(AND(G2369&gt;0,H2369&gt;0),G2369/H2369,"")</f>
        <v/>
      </c>
    </row>
    <row r="2370">
      <c r="A2370" s="4" t="inlineStr">
        <is>
          <t>291</t>
        </is>
      </c>
      <c r="B2370" s="4" t="n">
        <v>2</v>
      </c>
      <c r="C2370" s="4" t="inlineStr">
        <is>
          <t>elk</t>
        </is>
      </c>
      <c r="D2370" s="4" t="n">
        <v>2019</v>
      </c>
      <c r="E2370" s="13" t="inlineStr">
        <is>
          <t>General</t>
        </is>
      </c>
      <c r="F2370" s="5" t="n"/>
      <c r="G2370" s="5" t="n"/>
      <c r="H2370" s="5" t="n">
        <v>169</v>
      </c>
      <c r="I2370" s="5" t="n">
        <v>80</v>
      </c>
      <c r="J2370" s="5" t="n">
        <v>86</v>
      </c>
      <c r="K2370" s="10">
        <f>IF(F2370&gt;0,H2370/F2370,"")</f>
        <v/>
      </c>
      <c r="L2370" s="16">
        <f>IF(AND(G2370&gt;0,H2370&gt;0),G2370/H2370,"")</f>
        <v/>
      </c>
    </row>
    <row r="2371">
      <c r="A2371" s="4" t="inlineStr">
        <is>
          <t>291</t>
        </is>
      </c>
      <c r="B2371" s="4" t="n">
        <v>2</v>
      </c>
      <c r="C2371" s="4" t="inlineStr">
        <is>
          <t>elk</t>
        </is>
      </c>
      <c r="D2371" s="4" t="n">
        <v>2020</v>
      </c>
      <c r="E2371" s="13" t="inlineStr">
        <is>
          <t>General</t>
        </is>
      </c>
      <c r="F2371" s="5" t="n">
        <v>741</v>
      </c>
      <c r="G2371" s="5" t="n">
        <v>5377</v>
      </c>
      <c r="H2371" s="5" t="n">
        <v>155</v>
      </c>
      <c r="I2371" s="5" t="n">
        <v>58</v>
      </c>
      <c r="J2371" s="5" t="n">
        <v>90</v>
      </c>
      <c r="K2371" s="10">
        <f>IF(F2371&gt;0,H2371/F2371,"")</f>
        <v/>
      </c>
      <c r="L2371" s="16">
        <f>IF(AND(G2371&gt;0,H2371&gt;0),G2371/H2371,"")</f>
        <v/>
      </c>
    </row>
    <row r="2372">
      <c r="A2372" s="4" t="inlineStr">
        <is>
          <t>291</t>
        </is>
      </c>
      <c r="B2372" s="4" t="n">
        <v>2</v>
      </c>
      <c r="C2372" s="4" t="inlineStr">
        <is>
          <t>elk</t>
        </is>
      </c>
      <c r="D2372" s="4" t="n">
        <v>2021</v>
      </c>
      <c r="E2372" s="13" t="inlineStr">
        <is>
          <t>General</t>
        </is>
      </c>
      <c r="F2372" s="5" t="n"/>
      <c r="G2372" s="5" t="n"/>
      <c r="H2372" s="5" t="n">
        <v>86</v>
      </c>
      <c r="I2372" s="5" t="n">
        <v>51</v>
      </c>
      <c r="J2372" s="5" t="n">
        <v>35</v>
      </c>
      <c r="K2372" s="10">
        <f>IF(F2372&gt;0,H2372/F2372,"")</f>
        <v/>
      </c>
      <c r="L2372" s="16">
        <f>IF(AND(G2372&gt;0,H2372&gt;0),G2372/H2372,"")</f>
        <v/>
      </c>
    </row>
    <row r="2373">
      <c r="A2373" s="4" t="inlineStr">
        <is>
          <t>291</t>
        </is>
      </c>
      <c r="B2373" s="4" t="n">
        <v>2</v>
      </c>
      <c r="C2373" s="4" t="inlineStr">
        <is>
          <t>elk</t>
        </is>
      </c>
      <c r="D2373" s="4" t="n">
        <v>2022</v>
      </c>
      <c r="E2373" s="13" t="inlineStr">
        <is>
          <t>General</t>
        </is>
      </c>
      <c r="F2373" s="5" t="n">
        <v>625</v>
      </c>
      <c r="G2373" s="5" t="n">
        <v>4665</v>
      </c>
      <c r="H2373" s="5" t="n">
        <v>137</v>
      </c>
      <c r="I2373" s="5" t="n">
        <v>98</v>
      </c>
      <c r="J2373" s="5" t="n">
        <v>39</v>
      </c>
      <c r="K2373" s="10">
        <f>IF(F2373&gt;0,H2373/F2373,"")</f>
        <v/>
      </c>
      <c r="L2373" s="16">
        <f>IF(AND(G2373&gt;0,H2373&gt;0),G2373/H2373,"")</f>
        <v/>
      </c>
    </row>
    <row r="2374">
      <c r="A2374" s="4" t="inlineStr">
        <is>
          <t>291</t>
        </is>
      </c>
      <c r="B2374" s="4" t="n">
        <v>2</v>
      </c>
      <c r="C2374" s="4" t="inlineStr">
        <is>
          <t>elk</t>
        </is>
      </c>
      <c r="D2374" s="4" t="n">
        <v>2023</v>
      </c>
      <c r="E2374" s="13" t="inlineStr">
        <is>
          <t>General</t>
        </is>
      </c>
      <c r="F2374" s="5" t="n"/>
      <c r="G2374" s="5" t="n"/>
      <c r="H2374" s="5" t="n">
        <v>102</v>
      </c>
      <c r="I2374" s="5" t="n">
        <v>59</v>
      </c>
      <c r="J2374" s="5" t="n">
        <v>38</v>
      </c>
      <c r="K2374" s="10">
        <f>IF(F2374&gt;0,H2374/F2374,"")</f>
        <v/>
      </c>
      <c r="L2374" s="16">
        <f>IF(AND(G2374&gt;0,H2374&gt;0),G2374/H2374,"")</f>
        <v/>
      </c>
    </row>
    <row r="2375">
      <c r="A2375" s="4" t="inlineStr">
        <is>
          <t>291</t>
        </is>
      </c>
      <c r="B2375" s="4" t="n">
        <v>2</v>
      </c>
      <c r="C2375" s="4" t="inlineStr">
        <is>
          <t>elk</t>
        </is>
      </c>
      <c r="D2375" s="4" t="n">
        <v>2024</v>
      </c>
      <c r="E2375" s="13" t="inlineStr">
        <is>
          <t>General</t>
        </is>
      </c>
      <c r="F2375" s="5" t="n">
        <v>652</v>
      </c>
      <c r="G2375" s="5" t="n">
        <v>4653</v>
      </c>
      <c r="H2375" s="5" t="n">
        <v>122</v>
      </c>
      <c r="I2375" s="5" t="n">
        <v>62</v>
      </c>
      <c r="J2375" s="5" t="n">
        <v>61</v>
      </c>
      <c r="K2375" s="10">
        <f>IF(F2375&gt;0,H2375/F2375,"")</f>
        <v/>
      </c>
      <c r="L2375" s="16">
        <f>IF(AND(G2375&gt;0,H2375&gt;0),G2375/H2375,"")</f>
        <v/>
      </c>
    </row>
    <row r="2376">
      <c r="A2376" s="4" t="inlineStr">
        <is>
          <t>291</t>
        </is>
      </c>
      <c r="B2376" s="4" t="n">
        <v>2</v>
      </c>
      <c r="C2376" s="4" t="inlineStr">
        <is>
          <t>elk</t>
        </is>
      </c>
      <c r="D2376" s="4" t="n">
        <v>2025</v>
      </c>
      <c r="E2376" s="13" t="inlineStr">
        <is>
          <t>General</t>
        </is>
      </c>
      <c r="F2376" s="5" t="n"/>
      <c r="G2376" s="5" t="n"/>
      <c r="H2376" s="5" t="n">
        <v>133</v>
      </c>
      <c r="I2376" s="5" t="n">
        <v>59</v>
      </c>
      <c r="J2376" s="5" t="n">
        <v>74</v>
      </c>
      <c r="K2376" s="10">
        <f>IF(F2376&gt;0,H2376/F2376,"")</f>
        <v/>
      </c>
      <c r="L2376" s="16">
        <f>IF(AND(G2376&gt;0,H2376&gt;0),G2376/H2376,"")</f>
        <v/>
      </c>
    </row>
    <row r="2377">
      <c r="A2377" s="4" t="inlineStr">
        <is>
          <t>292</t>
        </is>
      </c>
      <c r="B2377" s="4" t="n">
        <v>2</v>
      </c>
      <c r="C2377" s="4" t="inlineStr">
        <is>
          <t>elk</t>
        </is>
      </c>
      <c r="D2377" s="4" t="n">
        <v>2004</v>
      </c>
      <c r="E2377" s="13" t="inlineStr">
        <is>
          <t>General</t>
        </is>
      </c>
      <c r="F2377" s="5" t="n">
        <v>2081</v>
      </c>
      <c r="G2377" s="5" t="n">
        <v>14083</v>
      </c>
      <c r="H2377" s="5" t="n">
        <v>333</v>
      </c>
      <c r="I2377" s="5" t="n">
        <v>175</v>
      </c>
      <c r="J2377" s="5" t="n">
        <v>145</v>
      </c>
      <c r="K2377" s="10">
        <f>IF(F2377&gt;0,H2377/F2377,"")</f>
        <v/>
      </c>
      <c r="L2377" s="16">
        <f>IF(AND(G2377&gt;0,H2377&gt;0),G2377/H2377,"")</f>
        <v/>
      </c>
    </row>
    <row r="2378">
      <c r="A2378" s="4" t="inlineStr">
        <is>
          <t>292</t>
        </is>
      </c>
      <c r="B2378" s="4" t="n">
        <v>2</v>
      </c>
      <c r="C2378" s="4" t="inlineStr">
        <is>
          <t>elk</t>
        </is>
      </c>
      <c r="D2378" s="4" t="n">
        <v>2005</v>
      </c>
      <c r="E2378" s="13" t="inlineStr">
        <is>
          <t>General</t>
        </is>
      </c>
      <c r="F2378" s="5" t="n">
        <v>2115</v>
      </c>
      <c r="G2378" s="5" t="n">
        <v>13164</v>
      </c>
      <c r="H2378" s="5" t="n">
        <v>363</v>
      </c>
      <c r="I2378" s="5" t="n">
        <v>163</v>
      </c>
      <c r="J2378" s="5" t="n">
        <v>182</v>
      </c>
      <c r="K2378" s="10">
        <f>IF(F2378&gt;0,H2378/F2378,"")</f>
        <v/>
      </c>
      <c r="L2378" s="16">
        <f>IF(AND(G2378&gt;0,H2378&gt;0),G2378/H2378,"")</f>
        <v/>
      </c>
    </row>
    <row r="2379">
      <c r="A2379" s="4" t="inlineStr">
        <is>
          <t>292</t>
        </is>
      </c>
      <c r="B2379" s="4" t="n">
        <v>2</v>
      </c>
      <c r="C2379" s="4" t="inlineStr">
        <is>
          <t>elk</t>
        </is>
      </c>
      <c r="D2379" s="4" t="n">
        <v>2006</v>
      </c>
      <c r="E2379" s="13" t="inlineStr">
        <is>
          <t>General</t>
        </is>
      </c>
      <c r="F2379" s="5" t="n">
        <v>1841</v>
      </c>
      <c r="G2379" s="5" t="n">
        <v>12887</v>
      </c>
      <c r="H2379" s="5" t="n">
        <v>428</v>
      </c>
      <c r="I2379" s="5" t="n">
        <v>213</v>
      </c>
      <c r="J2379" s="5" t="n">
        <v>195</v>
      </c>
      <c r="K2379" s="10">
        <f>IF(F2379&gt;0,H2379/F2379,"")</f>
        <v/>
      </c>
      <c r="L2379" s="16">
        <f>IF(AND(G2379&gt;0,H2379&gt;0),G2379/H2379,"")</f>
        <v/>
      </c>
    </row>
    <row r="2380">
      <c r="A2380" s="4" t="inlineStr">
        <is>
          <t>292</t>
        </is>
      </c>
      <c r="B2380" s="4" t="n">
        <v>2</v>
      </c>
      <c r="C2380" s="4" t="inlineStr">
        <is>
          <t>elk</t>
        </is>
      </c>
      <c r="D2380" s="4" t="n">
        <v>2007</v>
      </c>
      <c r="E2380" s="13" t="inlineStr">
        <is>
          <t>General</t>
        </is>
      </c>
      <c r="F2380" s="5" t="n">
        <v>1934</v>
      </c>
      <c r="G2380" s="5" t="n">
        <v>15010</v>
      </c>
      <c r="H2380" s="5" t="n">
        <v>414</v>
      </c>
      <c r="I2380" s="5" t="n">
        <v>189</v>
      </c>
      <c r="J2380" s="5" t="n">
        <v>210</v>
      </c>
      <c r="K2380" s="10">
        <f>IF(F2380&gt;0,H2380/F2380,"")</f>
        <v/>
      </c>
      <c r="L2380" s="16">
        <f>IF(AND(G2380&gt;0,H2380&gt;0),G2380/H2380,"")</f>
        <v/>
      </c>
    </row>
    <row r="2381">
      <c r="A2381" s="4" t="inlineStr">
        <is>
          <t>292</t>
        </is>
      </c>
      <c r="B2381" s="4" t="n">
        <v>2</v>
      </c>
      <c r="C2381" s="4" t="inlineStr">
        <is>
          <t>elk</t>
        </is>
      </c>
      <c r="D2381" s="4" t="n">
        <v>2008</v>
      </c>
      <c r="E2381" s="13" t="inlineStr">
        <is>
          <t>General</t>
        </is>
      </c>
      <c r="F2381" s="5" t="n">
        <v>2068</v>
      </c>
      <c r="G2381" s="5" t="n">
        <v>16048</v>
      </c>
      <c r="H2381" s="5" t="n">
        <v>346</v>
      </c>
      <c r="I2381" s="5" t="n">
        <v>125</v>
      </c>
      <c r="J2381" s="5" t="n">
        <v>208</v>
      </c>
      <c r="K2381" s="10">
        <f>IF(F2381&gt;0,H2381/F2381,"")</f>
        <v/>
      </c>
      <c r="L2381" s="16">
        <f>IF(AND(G2381&gt;0,H2381&gt;0),G2381/H2381,"")</f>
        <v/>
      </c>
    </row>
    <row r="2382">
      <c r="A2382" s="4" t="inlineStr">
        <is>
          <t>292</t>
        </is>
      </c>
      <c r="B2382" s="4" t="n">
        <v>2</v>
      </c>
      <c r="C2382" s="4" t="inlineStr">
        <is>
          <t>elk</t>
        </is>
      </c>
      <c r="D2382" s="4" t="n">
        <v>2009</v>
      </c>
      <c r="E2382" s="13" t="inlineStr">
        <is>
          <t>General</t>
        </is>
      </c>
      <c r="F2382" s="5" t="n">
        <v>1929</v>
      </c>
      <c r="G2382" s="5" t="n">
        <v>15178</v>
      </c>
      <c r="H2382" s="5" t="n">
        <v>293</v>
      </c>
      <c r="I2382" s="5" t="n">
        <v>106</v>
      </c>
      <c r="J2382" s="5" t="n">
        <v>179</v>
      </c>
      <c r="K2382" s="10">
        <f>IF(F2382&gt;0,H2382/F2382,"")</f>
        <v/>
      </c>
      <c r="L2382" s="16">
        <f>IF(AND(G2382&gt;0,H2382&gt;0),G2382/H2382,"")</f>
        <v/>
      </c>
    </row>
    <row r="2383">
      <c r="A2383" s="4" t="inlineStr">
        <is>
          <t>292</t>
        </is>
      </c>
      <c r="B2383" s="4" t="n">
        <v>2</v>
      </c>
      <c r="C2383" s="4" t="inlineStr">
        <is>
          <t>elk</t>
        </is>
      </c>
      <c r="D2383" s="4" t="n">
        <v>2010</v>
      </c>
      <c r="E2383" s="13" t="inlineStr">
        <is>
          <t>General</t>
        </is>
      </c>
      <c r="F2383" s="5" t="n">
        <v>1840</v>
      </c>
      <c r="G2383" s="5" t="n">
        <v>13583</v>
      </c>
      <c r="H2383" s="5" t="n">
        <v>192</v>
      </c>
      <c r="I2383" s="5" t="n">
        <v>99</v>
      </c>
      <c r="J2383" s="5" t="n">
        <v>87</v>
      </c>
      <c r="K2383" s="10">
        <f>IF(F2383&gt;0,H2383/F2383,"")</f>
        <v/>
      </c>
      <c r="L2383" s="16">
        <f>IF(AND(G2383&gt;0,H2383&gt;0),G2383/H2383,"")</f>
        <v/>
      </c>
    </row>
    <row r="2384">
      <c r="A2384" s="4" t="inlineStr">
        <is>
          <t>292</t>
        </is>
      </c>
      <c r="B2384" s="4" t="n">
        <v>2</v>
      </c>
      <c r="C2384" s="4" t="inlineStr">
        <is>
          <t>elk</t>
        </is>
      </c>
      <c r="D2384" s="4" t="n">
        <v>2011</v>
      </c>
      <c r="E2384" s="13" t="inlineStr">
        <is>
          <t>General</t>
        </is>
      </c>
      <c r="F2384" s="5" t="n">
        <v>1700</v>
      </c>
      <c r="G2384" s="5" t="n">
        <v>13199</v>
      </c>
      <c r="H2384" s="5" t="n">
        <v>175</v>
      </c>
      <c r="I2384" s="5" t="n">
        <v>87</v>
      </c>
      <c r="J2384" s="5" t="n">
        <v>85</v>
      </c>
      <c r="K2384" s="10">
        <f>IF(F2384&gt;0,H2384/F2384,"")</f>
        <v/>
      </c>
      <c r="L2384" s="16">
        <f>IF(AND(G2384&gt;0,H2384&gt;0),G2384/H2384,"")</f>
        <v/>
      </c>
    </row>
    <row r="2385">
      <c r="A2385" s="4" t="inlineStr">
        <is>
          <t>292</t>
        </is>
      </c>
      <c r="B2385" s="4" t="n">
        <v>2</v>
      </c>
      <c r="C2385" s="4" t="inlineStr">
        <is>
          <t>elk</t>
        </is>
      </c>
      <c r="D2385" s="4" t="n">
        <v>2012</v>
      </c>
      <c r="E2385" s="13" t="inlineStr">
        <is>
          <t>General</t>
        </is>
      </c>
      <c r="F2385" s="5" t="n">
        <v>1755</v>
      </c>
      <c r="G2385" s="5" t="n">
        <v>12579</v>
      </c>
      <c r="H2385" s="5" t="n">
        <v>104</v>
      </c>
      <c r="I2385" s="5" t="n">
        <v>58</v>
      </c>
      <c r="J2385" s="5" t="n">
        <v>45</v>
      </c>
      <c r="K2385" s="10">
        <f>IF(F2385&gt;0,H2385/F2385,"")</f>
        <v/>
      </c>
      <c r="L2385" s="16">
        <f>IF(AND(G2385&gt;0,H2385&gt;0),G2385/H2385,"")</f>
        <v/>
      </c>
    </row>
    <row r="2386">
      <c r="A2386" s="4" t="inlineStr">
        <is>
          <t>292</t>
        </is>
      </c>
      <c r="B2386" s="4" t="n">
        <v>2</v>
      </c>
      <c r="C2386" s="4" t="inlineStr">
        <is>
          <t>elk</t>
        </is>
      </c>
      <c r="D2386" s="4" t="n">
        <v>2013</v>
      </c>
      <c r="E2386" s="13" t="inlineStr">
        <is>
          <t>General</t>
        </is>
      </c>
      <c r="F2386" s="5" t="n"/>
      <c r="G2386" s="5" t="n"/>
      <c r="H2386" s="5" t="n">
        <v>74</v>
      </c>
      <c r="I2386" s="5" t="n">
        <v>36</v>
      </c>
      <c r="J2386" s="5" t="n">
        <v>35</v>
      </c>
      <c r="K2386" s="10">
        <f>IF(F2386&gt;0,H2386/F2386,"")</f>
        <v/>
      </c>
      <c r="L2386" s="16">
        <f>IF(AND(G2386&gt;0,H2386&gt;0),G2386/H2386,"")</f>
        <v/>
      </c>
    </row>
    <row r="2387">
      <c r="A2387" s="4" t="inlineStr">
        <is>
          <t>292</t>
        </is>
      </c>
      <c r="B2387" s="4" t="n">
        <v>2</v>
      </c>
      <c r="C2387" s="4" t="inlineStr">
        <is>
          <t>elk</t>
        </is>
      </c>
      <c r="D2387" s="4" t="n">
        <v>2014</v>
      </c>
      <c r="E2387" s="13" t="inlineStr">
        <is>
          <t>General</t>
        </is>
      </c>
      <c r="F2387" s="5" t="n">
        <v>1768</v>
      </c>
      <c r="G2387" s="5" t="n">
        <v>11562</v>
      </c>
      <c r="H2387" s="5" t="n">
        <v>160</v>
      </c>
      <c r="I2387" s="5" t="n">
        <v>71</v>
      </c>
      <c r="J2387" s="5" t="n">
        <v>86</v>
      </c>
      <c r="K2387" s="10">
        <f>IF(F2387&gt;0,H2387/F2387,"")</f>
        <v/>
      </c>
      <c r="L2387" s="16">
        <f>IF(AND(G2387&gt;0,H2387&gt;0),G2387/H2387,"")</f>
        <v/>
      </c>
    </row>
    <row r="2388">
      <c r="A2388" s="4" t="inlineStr">
        <is>
          <t>292</t>
        </is>
      </c>
      <c r="B2388" s="4" t="n">
        <v>2</v>
      </c>
      <c r="C2388" s="4" t="inlineStr">
        <is>
          <t>elk</t>
        </is>
      </c>
      <c r="D2388" s="4" t="n">
        <v>2015</v>
      </c>
      <c r="E2388" s="13" t="inlineStr">
        <is>
          <t>General</t>
        </is>
      </c>
      <c r="F2388" s="5" t="n">
        <v>1578</v>
      </c>
      <c r="G2388" s="5" t="n">
        <v>11642</v>
      </c>
      <c r="H2388" s="5" t="n">
        <v>155</v>
      </c>
      <c r="I2388" s="5" t="n">
        <v>73</v>
      </c>
      <c r="J2388" s="5" t="n">
        <v>70</v>
      </c>
      <c r="K2388" s="10">
        <f>IF(F2388&gt;0,H2388/F2388,"")</f>
        <v/>
      </c>
      <c r="L2388" s="16">
        <f>IF(AND(G2388&gt;0,H2388&gt;0),G2388/H2388,"")</f>
        <v/>
      </c>
    </row>
    <row r="2389">
      <c r="A2389" s="4" t="inlineStr">
        <is>
          <t>292</t>
        </is>
      </c>
      <c r="B2389" s="4" t="n">
        <v>2</v>
      </c>
      <c r="C2389" s="4" t="inlineStr">
        <is>
          <t>elk</t>
        </is>
      </c>
      <c r="D2389" s="4" t="n">
        <v>2016</v>
      </c>
      <c r="E2389" s="13" t="inlineStr">
        <is>
          <t>General</t>
        </is>
      </c>
      <c r="F2389" s="5" t="n">
        <v>1399</v>
      </c>
      <c r="G2389" s="5" t="n">
        <v>10220</v>
      </c>
      <c r="H2389" s="5" t="n">
        <v>130</v>
      </c>
      <c r="I2389" s="5" t="n">
        <v>64</v>
      </c>
      <c r="J2389" s="5" t="n">
        <v>64</v>
      </c>
      <c r="K2389" s="10">
        <f>IF(F2389&gt;0,H2389/F2389,"")</f>
        <v/>
      </c>
      <c r="L2389" s="16">
        <f>IF(AND(G2389&gt;0,H2389&gt;0),G2389/H2389,"")</f>
        <v/>
      </c>
    </row>
    <row r="2390">
      <c r="A2390" s="4" t="inlineStr">
        <is>
          <t>292</t>
        </is>
      </c>
      <c r="B2390" s="4" t="n">
        <v>2</v>
      </c>
      <c r="C2390" s="4" t="inlineStr">
        <is>
          <t>elk</t>
        </is>
      </c>
      <c r="D2390" s="4" t="n">
        <v>2017</v>
      </c>
      <c r="E2390" s="13" t="inlineStr">
        <is>
          <t>General</t>
        </is>
      </c>
      <c r="F2390" s="5" t="n"/>
      <c r="G2390" s="5" t="n"/>
      <c r="H2390" s="5" t="n">
        <v>138</v>
      </c>
      <c r="I2390" s="5" t="n">
        <v>99</v>
      </c>
      <c r="J2390" s="5" t="n">
        <v>39</v>
      </c>
      <c r="K2390" s="10">
        <f>IF(F2390&gt;0,H2390/F2390,"")</f>
        <v/>
      </c>
      <c r="L2390" s="16">
        <f>IF(AND(G2390&gt;0,H2390&gt;0),G2390/H2390,"")</f>
        <v/>
      </c>
    </row>
    <row r="2391">
      <c r="A2391" s="4" t="inlineStr">
        <is>
          <t>292</t>
        </is>
      </c>
      <c r="B2391" s="4" t="n">
        <v>2</v>
      </c>
      <c r="C2391" s="4" t="inlineStr">
        <is>
          <t>elk</t>
        </is>
      </c>
      <c r="D2391" s="4" t="n">
        <v>2018</v>
      </c>
      <c r="E2391" s="13" t="inlineStr">
        <is>
          <t>General</t>
        </is>
      </c>
      <c r="F2391" s="5" t="n">
        <v>1492</v>
      </c>
      <c r="G2391" s="5" t="n">
        <v>10512</v>
      </c>
      <c r="H2391" s="5" t="n">
        <v>164</v>
      </c>
      <c r="I2391" s="5" t="n">
        <v>73</v>
      </c>
      <c r="J2391" s="5" t="n">
        <v>85</v>
      </c>
      <c r="K2391" s="10">
        <f>IF(F2391&gt;0,H2391/F2391,"")</f>
        <v/>
      </c>
      <c r="L2391" s="16">
        <f>IF(AND(G2391&gt;0,H2391&gt;0),G2391/H2391,"")</f>
        <v/>
      </c>
    </row>
    <row r="2392">
      <c r="A2392" s="4" t="inlineStr">
        <is>
          <t>292</t>
        </is>
      </c>
      <c r="B2392" s="4" t="n">
        <v>2</v>
      </c>
      <c r="C2392" s="4" t="inlineStr">
        <is>
          <t>elk</t>
        </is>
      </c>
      <c r="D2392" s="4" t="n">
        <v>2019</v>
      </c>
      <c r="E2392" s="13" t="inlineStr">
        <is>
          <t>General</t>
        </is>
      </c>
      <c r="F2392" s="5" t="n"/>
      <c r="G2392" s="5" t="n"/>
      <c r="H2392" s="5" t="n">
        <v>127</v>
      </c>
      <c r="I2392" s="5" t="n">
        <v>72</v>
      </c>
      <c r="J2392" s="5" t="n">
        <v>52</v>
      </c>
      <c r="K2392" s="10">
        <f>IF(F2392&gt;0,H2392/F2392,"")</f>
        <v/>
      </c>
      <c r="L2392" s="16">
        <f>IF(AND(G2392&gt;0,H2392&gt;0),G2392/H2392,"")</f>
        <v/>
      </c>
    </row>
    <row r="2393">
      <c r="A2393" s="4" t="inlineStr">
        <is>
          <t>292</t>
        </is>
      </c>
      <c r="B2393" s="4" t="n">
        <v>2</v>
      </c>
      <c r="C2393" s="4" t="inlineStr">
        <is>
          <t>elk</t>
        </is>
      </c>
      <c r="D2393" s="4" t="n">
        <v>2020</v>
      </c>
      <c r="E2393" s="13" t="inlineStr">
        <is>
          <t>General</t>
        </is>
      </c>
      <c r="F2393" s="5" t="n">
        <v>1208</v>
      </c>
      <c r="G2393" s="5" t="n">
        <v>9038</v>
      </c>
      <c r="H2393" s="5" t="n">
        <v>90</v>
      </c>
      <c r="I2393" s="5" t="n">
        <v>69</v>
      </c>
      <c r="J2393" s="5" t="n">
        <v>21</v>
      </c>
      <c r="K2393" s="10">
        <f>IF(F2393&gt;0,H2393/F2393,"")</f>
        <v/>
      </c>
      <c r="L2393" s="16">
        <f>IF(AND(G2393&gt;0,H2393&gt;0),G2393/H2393,"")</f>
        <v/>
      </c>
    </row>
    <row r="2394">
      <c r="A2394" s="4" t="inlineStr">
        <is>
          <t>292</t>
        </is>
      </c>
      <c r="B2394" s="4" t="n">
        <v>2</v>
      </c>
      <c r="C2394" s="4" t="inlineStr">
        <is>
          <t>elk</t>
        </is>
      </c>
      <c r="D2394" s="4" t="n">
        <v>2021</v>
      </c>
      <c r="E2394" s="13" t="inlineStr">
        <is>
          <t>General</t>
        </is>
      </c>
      <c r="F2394" s="5" t="n"/>
      <c r="G2394" s="5" t="n"/>
      <c r="H2394" s="5" t="n">
        <v>95</v>
      </c>
      <c r="I2394" s="5" t="n">
        <v>74</v>
      </c>
      <c r="J2394" s="5" t="n">
        <v>21</v>
      </c>
      <c r="K2394" s="10">
        <f>IF(F2394&gt;0,H2394/F2394,"")</f>
        <v/>
      </c>
      <c r="L2394" s="16">
        <f>IF(AND(G2394&gt;0,H2394&gt;0),G2394/H2394,"")</f>
        <v/>
      </c>
    </row>
    <row r="2395">
      <c r="A2395" s="4" t="inlineStr">
        <is>
          <t>292</t>
        </is>
      </c>
      <c r="B2395" s="4" t="n">
        <v>2</v>
      </c>
      <c r="C2395" s="4" t="inlineStr">
        <is>
          <t>elk</t>
        </is>
      </c>
      <c r="D2395" s="4" t="n">
        <v>2022</v>
      </c>
      <c r="E2395" s="13" t="inlineStr">
        <is>
          <t>General</t>
        </is>
      </c>
      <c r="F2395" s="5" t="n">
        <v>948</v>
      </c>
      <c r="G2395" s="5" t="n">
        <v>6711</v>
      </c>
      <c r="H2395" s="5" t="n">
        <v>87</v>
      </c>
      <c r="I2395" s="5" t="n">
        <v>73</v>
      </c>
      <c r="J2395" s="5" t="n">
        <v>14</v>
      </c>
      <c r="K2395" s="10">
        <f>IF(F2395&gt;0,H2395/F2395,"")</f>
        <v/>
      </c>
      <c r="L2395" s="16">
        <f>IF(AND(G2395&gt;0,H2395&gt;0),G2395/H2395,"")</f>
        <v/>
      </c>
    </row>
    <row r="2396">
      <c r="A2396" s="4" t="inlineStr">
        <is>
          <t>292</t>
        </is>
      </c>
      <c r="B2396" s="4" t="n">
        <v>2</v>
      </c>
      <c r="C2396" s="4" t="inlineStr">
        <is>
          <t>elk</t>
        </is>
      </c>
      <c r="D2396" s="4" t="n">
        <v>2023</v>
      </c>
      <c r="E2396" s="13" t="inlineStr">
        <is>
          <t>General</t>
        </is>
      </c>
      <c r="F2396" s="5" t="n"/>
      <c r="G2396" s="5" t="n"/>
      <c r="H2396" s="5" t="n">
        <v>97</v>
      </c>
      <c r="I2396" s="5" t="n">
        <v>69</v>
      </c>
      <c r="J2396" s="5" t="n">
        <v>28</v>
      </c>
      <c r="K2396" s="10">
        <f>IF(F2396&gt;0,H2396/F2396,"")</f>
        <v/>
      </c>
      <c r="L2396" s="16">
        <f>IF(AND(G2396&gt;0,H2396&gt;0),G2396/H2396,"")</f>
        <v/>
      </c>
    </row>
    <row r="2397">
      <c r="A2397" s="4" t="inlineStr">
        <is>
          <t>292</t>
        </is>
      </c>
      <c r="B2397" s="4" t="n">
        <v>2</v>
      </c>
      <c r="C2397" s="4" t="inlineStr">
        <is>
          <t>elk</t>
        </is>
      </c>
      <c r="D2397" s="4" t="n">
        <v>2024</v>
      </c>
      <c r="E2397" s="13" t="inlineStr">
        <is>
          <t>General</t>
        </is>
      </c>
      <c r="F2397" s="5" t="n">
        <v>1172</v>
      </c>
      <c r="G2397" s="5" t="n">
        <v>9053</v>
      </c>
      <c r="H2397" s="5" t="n">
        <v>82</v>
      </c>
      <c r="I2397" s="5" t="n">
        <v>68</v>
      </c>
      <c r="J2397" s="5" t="n">
        <v>14</v>
      </c>
      <c r="K2397" s="10">
        <f>IF(F2397&gt;0,H2397/F2397,"")</f>
        <v/>
      </c>
      <c r="L2397" s="16">
        <f>IF(AND(G2397&gt;0,H2397&gt;0),G2397/H2397,"")</f>
        <v/>
      </c>
    </row>
    <row r="2398">
      <c r="A2398" s="4" t="inlineStr">
        <is>
          <t>292</t>
        </is>
      </c>
      <c r="B2398" s="4" t="n">
        <v>2</v>
      </c>
      <c r="C2398" s="4" t="inlineStr">
        <is>
          <t>elk</t>
        </is>
      </c>
      <c r="D2398" s="4" t="n">
        <v>2025</v>
      </c>
      <c r="E2398" s="13" t="inlineStr">
        <is>
          <t>General</t>
        </is>
      </c>
      <c r="F2398" s="5" t="n"/>
      <c r="G2398" s="5" t="n"/>
      <c r="H2398" s="5" t="n">
        <v>121</v>
      </c>
      <c r="I2398" s="5" t="n">
        <v>86</v>
      </c>
      <c r="J2398" s="5" t="n">
        <v>32</v>
      </c>
      <c r="K2398" s="10">
        <f>IF(F2398&gt;0,H2398/F2398,"")</f>
        <v/>
      </c>
      <c r="L2398" s="16">
        <f>IF(AND(G2398&gt;0,H2398&gt;0),G2398/H2398,"")</f>
        <v/>
      </c>
    </row>
    <row r="2399">
      <c r="A2399" s="4" t="inlineStr">
        <is>
          <t>293</t>
        </is>
      </c>
      <c r="B2399" s="4" t="n">
        <v>2</v>
      </c>
      <c r="C2399" s="4" t="inlineStr">
        <is>
          <t>elk</t>
        </is>
      </c>
      <c r="D2399" s="4" t="n">
        <v>2004</v>
      </c>
      <c r="E2399" s="13" t="inlineStr">
        <is>
          <t>General</t>
        </is>
      </c>
      <c r="F2399" s="5" t="n">
        <v>1505</v>
      </c>
      <c r="G2399" s="5" t="n">
        <v>9567</v>
      </c>
      <c r="H2399" s="5" t="n">
        <v>199</v>
      </c>
      <c r="I2399" s="5" t="n">
        <v>123</v>
      </c>
      <c r="J2399" s="5" t="n">
        <v>72</v>
      </c>
      <c r="K2399" s="10">
        <f>IF(F2399&gt;0,H2399/F2399,"")</f>
        <v/>
      </c>
      <c r="L2399" s="16">
        <f>IF(AND(G2399&gt;0,H2399&gt;0),G2399/H2399,"")</f>
        <v/>
      </c>
    </row>
    <row r="2400">
      <c r="A2400" s="4" t="inlineStr">
        <is>
          <t>293</t>
        </is>
      </c>
      <c r="B2400" s="4" t="n">
        <v>2</v>
      </c>
      <c r="C2400" s="4" t="inlineStr">
        <is>
          <t>elk</t>
        </is>
      </c>
      <c r="D2400" s="4" t="n">
        <v>2005</v>
      </c>
      <c r="E2400" s="13" t="inlineStr">
        <is>
          <t>General</t>
        </is>
      </c>
      <c r="F2400" s="5" t="n">
        <v>1341</v>
      </c>
      <c r="G2400" s="5" t="n">
        <v>8727</v>
      </c>
      <c r="H2400" s="5" t="n">
        <v>228</v>
      </c>
      <c r="I2400" s="5" t="n">
        <v>122</v>
      </c>
      <c r="J2400" s="5" t="n">
        <v>94</v>
      </c>
      <c r="K2400" s="10">
        <f>IF(F2400&gt;0,H2400/F2400,"")</f>
        <v/>
      </c>
      <c r="L2400" s="16">
        <f>IF(AND(G2400&gt;0,H2400&gt;0),G2400/H2400,"")</f>
        <v/>
      </c>
    </row>
    <row r="2401">
      <c r="A2401" s="4" t="inlineStr">
        <is>
          <t>293</t>
        </is>
      </c>
      <c r="B2401" s="4" t="n">
        <v>2</v>
      </c>
      <c r="C2401" s="4" t="inlineStr">
        <is>
          <t>elk</t>
        </is>
      </c>
      <c r="D2401" s="4" t="n">
        <v>2006</v>
      </c>
      <c r="E2401" s="13" t="inlineStr">
        <is>
          <t>General</t>
        </is>
      </c>
      <c r="F2401" s="5" t="n">
        <v>1647</v>
      </c>
      <c r="G2401" s="5" t="n">
        <v>10415</v>
      </c>
      <c r="H2401" s="5" t="n">
        <v>288</v>
      </c>
      <c r="I2401" s="5" t="n">
        <v>175</v>
      </c>
      <c r="J2401" s="5" t="n">
        <v>86</v>
      </c>
      <c r="K2401" s="10">
        <f>IF(F2401&gt;0,H2401/F2401,"")</f>
        <v/>
      </c>
      <c r="L2401" s="16">
        <f>IF(AND(G2401&gt;0,H2401&gt;0),G2401/H2401,"")</f>
        <v/>
      </c>
    </row>
    <row r="2402">
      <c r="A2402" s="4" t="inlineStr">
        <is>
          <t>293</t>
        </is>
      </c>
      <c r="B2402" s="4" t="n">
        <v>2</v>
      </c>
      <c r="C2402" s="4" t="inlineStr">
        <is>
          <t>elk</t>
        </is>
      </c>
      <c r="D2402" s="4" t="n">
        <v>2007</v>
      </c>
      <c r="E2402" s="13" t="inlineStr">
        <is>
          <t>General</t>
        </is>
      </c>
      <c r="F2402" s="5" t="n">
        <v>1505</v>
      </c>
      <c r="G2402" s="5" t="n">
        <v>10985</v>
      </c>
      <c r="H2402" s="5" t="n">
        <v>215</v>
      </c>
      <c r="I2402" s="5" t="n">
        <v>127</v>
      </c>
      <c r="J2402" s="5" t="n">
        <v>85</v>
      </c>
      <c r="K2402" s="10">
        <f>IF(F2402&gt;0,H2402/F2402,"")</f>
        <v/>
      </c>
      <c r="L2402" s="16">
        <f>IF(AND(G2402&gt;0,H2402&gt;0),G2402/H2402,"")</f>
        <v/>
      </c>
    </row>
    <row r="2403">
      <c r="A2403" s="4" t="inlineStr">
        <is>
          <t>293</t>
        </is>
      </c>
      <c r="B2403" s="4" t="n">
        <v>2</v>
      </c>
      <c r="C2403" s="4" t="inlineStr">
        <is>
          <t>elk</t>
        </is>
      </c>
      <c r="D2403" s="4" t="n">
        <v>2008</v>
      </c>
      <c r="E2403" s="13" t="inlineStr">
        <is>
          <t>General</t>
        </is>
      </c>
      <c r="F2403" s="5" t="n">
        <v>1924</v>
      </c>
      <c r="G2403" s="5" t="n">
        <v>14358</v>
      </c>
      <c r="H2403" s="5" t="n">
        <v>289</v>
      </c>
      <c r="I2403" s="5" t="n">
        <v>139</v>
      </c>
      <c r="J2403" s="5" t="n">
        <v>144</v>
      </c>
      <c r="K2403" s="10">
        <f>IF(F2403&gt;0,H2403/F2403,"")</f>
        <v/>
      </c>
      <c r="L2403" s="16">
        <f>IF(AND(G2403&gt;0,H2403&gt;0),G2403/H2403,"")</f>
        <v/>
      </c>
    </row>
    <row r="2404">
      <c r="A2404" s="4" t="inlineStr">
        <is>
          <t>293</t>
        </is>
      </c>
      <c r="B2404" s="4" t="n">
        <v>2</v>
      </c>
      <c r="C2404" s="4" t="inlineStr">
        <is>
          <t>elk</t>
        </is>
      </c>
      <c r="D2404" s="4" t="n">
        <v>2009</v>
      </c>
      <c r="E2404" s="13" t="inlineStr">
        <is>
          <t>General</t>
        </is>
      </c>
      <c r="F2404" s="5" t="n">
        <v>1882</v>
      </c>
      <c r="G2404" s="5" t="n">
        <v>13031</v>
      </c>
      <c r="H2404" s="5" t="n">
        <v>254</v>
      </c>
      <c r="I2404" s="5" t="n">
        <v>148</v>
      </c>
      <c r="J2404" s="5" t="n">
        <v>93</v>
      </c>
      <c r="K2404" s="10">
        <f>IF(F2404&gt;0,H2404/F2404,"")</f>
        <v/>
      </c>
      <c r="L2404" s="16">
        <f>IF(AND(G2404&gt;0,H2404&gt;0),G2404/H2404,"")</f>
        <v/>
      </c>
    </row>
    <row r="2405">
      <c r="A2405" s="4" t="inlineStr">
        <is>
          <t>293</t>
        </is>
      </c>
      <c r="B2405" s="4" t="n">
        <v>2</v>
      </c>
      <c r="C2405" s="4" t="inlineStr">
        <is>
          <t>elk</t>
        </is>
      </c>
      <c r="D2405" s="4" t="n">
        <v>2010</v>
      </c>
      <c r="E2405" s="13" t="inlineStr">
        <is>
          <t>General</t>
        </is>
      </c>
      <c r="F2405" s="5" t="n">
        <v>1426</v>
      </c>
      <c r="G2405" s="5" t="n">
        <v>10783</v>
      </c>
      <c r="H2405" s="5" t="n">
        <v>172</v>
      </c>
      <c r="I2405" s="5" t="n">
        <v>144</v>
      </c>
      <c r="J2405" s="5" t="n">
        <v>26</v>
      </c>
      <c r="K2405" s="10">
        <f>IF(F2405&gt;0,H2405/F2405,"")</f>
        <v/>
      </c>
      <c r="L2405" s="16">
        <f>IF(AND(G2405&gt;0,H2405&gt;0),G2405/H2405,"")</f>
        <v/>
      </c>
    </row>
    <row r="2406">
      <c r="A2406" s="4" t="inlineStr">
        <is>
          <t>293</t>
        </is>
      </c>
      <c r="B2406" s="4" t="n">
        <v>2</v>
      </c>
      <c r="C2406" s="4" t="inlineStr">
        <is>
          <t>elk</t>
        </is>
      </c>
      <c r="D2406" s="4" t="n">
        <v>2011</v>
      </c>
      <c r="E2406" s="13" t="inlineStr">
        <is>
          <t>General</t>
        </is>
      </c>
      <c r="F2406" s="5" t="n">
        <v>1649</v>
      </c>
      <c r="G2406" s="5" t="n">
        <v>11427</v>
      </c>
      <c r="H2406" s="5" t="n">
        <v>149</v>
      </c>
      <c r="I2406" s="5" t="n">
        <v>126</v>
      </c>
      <c r="J2406" s="5" t="n">
        <v>24</v>
      </c>
      <c r="K2406" s="10">
        <f>IF(F2406&gt;0,H2406/F2406,"")</f>
        <v/>
      </c>
      <c r="L2406" s="16">
        <f>IF(AND(G2406&gt;0,H2406&gt;0),G2406/H2406,"")</f>
        <v/>
      </c>
    </row>
    <row r="2407">
      <c r="A2407" s="4" t="inlineStr">
        <is>
          <t>293</t>
        </is>
      </c>
      <c r="B2407" s="4" t="n">
        <v>2</v>
      </c>
      <c r="C2407" s="4" t="inlineStr">
        <is>
          <t>elk</t>
        </is>
      </c>
      <c r="D2407" s="4" t="n">
        <v>2012</v>
      </c>
      <c r="E2407" s="13" t="inlineStr">
        <is>
          <t>General</t>
        </is>
      </c>
      <c r="F2407" s="5" t="n">
        <v>1594</v>
      </c>
      <c r="G2407" s="5" t="n">
        <v>10941</v>
      </c>
      <c r="H2407" s="5" t="n">
        <v>179</v>
      </c>
      <c r="I2407" s="5" t="n">
        <v>155</v>
      </c>
      <c r="J2407" s="5" t="n">
        <v>24</v>
      </c>
      <c r="K2407" s="10">
        <f>IF(F2407&gt;0,H2407/F2407,"")</f>
        <v/>
      </c>
      <c r="L2407" s="16">
        <f>IF(AND(G2407&gt;0,H2407&gt;0),G2407/H2407,"")</f>
        <v/>
      </c>
    </row>
    <row r="2408">
      <c r="A2408" s="4" t="inlineStr">
        <is>
          <t>293</t>
        </is>
      </c>
      <c r="B2408" s="4" t="n">
        <v>2</v>
      </c>
      <c r="C2408" s="4" t="inlineStr">
        <is>
          <t>elk</t>
        </is>
      </c>
      <c r="D2408" s="4" t="n">
        <v>2013</v>
      </c>
      <c r="E2408" s="13" t="inlineStr">
        <is>
          <t>General</t>
        </is>
      </c>
      <c r="F2408" s="5" t="n"/>
      <c r="G2408" s="5" t="n"/>
      <c r="H2408" s="5" t="n">
        <v>115</v>
      </c>
      <c r="I2408" s="5" t="n">
        <v>81</v>
      </c>
      <c r="J2408" s="5" t="n">
        <v>28</v>
      </c>
      <c r="K2408" s="10">
        <f>IF(F2408&gt;0,H2408/F2408,"")</f>
        <v/>
      </c>
      <c r="L2408" s="16">
        <f>IF(AND(G2408&gt;0,H2408&gt;0),G2408/H2408,"")</f>
        <v/>
      </c>
    </row>
    <row r="2409">
      <c r="A2409" s="4" t="inlineStr">
        <is>
          <t>293</t>
        </is>
      </c>
      <c r="B2409" s="4" t="n">
        <v>2</v>
      </c>
      <c r="C2409" s="4" t="inlineStr">
        <is>
          <t>elk</t>
        </is>
      </c>
      <c r="D2409" s="4" t="n">
        <v>2014</v>
      </c>
      <c r="E2409" s="13" t="inlineStr">
        <is>
          <t>General</t>
        </is>
      </c>
      <c r="F2409" s="5" t="n">
        <v>1781</v>
      </c>
      <c r="G2409" s="5" t="n">
        <v>12587</v>
      </c>
      <c r="H2409" s="5" t="n">
        <v>171</v>
      </c>
      <c r="I2409" s="5" t="n">
        <v>121</v>
      </c>
      <c r="J2409" s="5" t="n">
        <v>44</v>
      </c>
      <c r="K2409" s="10">
        <f>IF(F2409&gt;0,H2409/F2409,"")</f>
        <v/>
      </c>
      <c r="L2409" s="16">
        <f>IF(AND(G2409&gt;0,H2409&gt;0),G2409/H2409,"")</f>
        <v/>
      </c>
    </row>
    <row r="2410">
      <c r="A2410" s="4" t="inlineStr">
        <is>
          <t>293</t>
        </is>
      </c>
      <c r="B2410" s="4" t="n">
        <v>2</v>
      </c>
      <c r="C2410" s="4" t="inlineStr">
        <is>
          <t>elk</t>
        </is>
      </c>
      <c r="D2410" s="4" t="n">
        <v>2015</v>
      </c>
      <c r="E2410" s="13" t="inlineStr">
        <is>
          <t>General</t>
        </is>
      </c>
      <c r="F2410" s="5" t="n">
        <v>1635</v>
      </c>
      <c r="G2410" s="5" t="n">
        <v>12645</v>
      </c>
      <c r="H2410" s="5" t="n">
        <v>145</v>
      </c>
      <c r="I2410" s="5" t="n">
        <v>85</v>
      </c>
      <c r="J2410" s="5" t="n">
        <v>57</v>
      </c>
      <c r="K2410" s="10">
        <f>IF(F2410&gt;0,H2410/F2410,"")</f>
        <v/>
      </c>
      <c r="L2410" s="16">
        <f>IF(AND(G2410&gt;0,H2410&gt;0),G2410/H2410,"")</f>
        <v/>
      </c>
    </row>
    <row r="2411">
      <c r="A2411" s="4" t="inlineStr">
        <is>
          <t>293</t>
        </is>
      </c>
      <c r="B2411" s="4" t="n">
        <v>2</v>
      </c>
      <c r="C2411" s="4" t="inlineStr">
        <is>
          <t>elk</t>
        </is>
      </c>
      <c r="D2411" s="4" t="n">
        <v>2016</v>
      </c>
      <c r="E2411" s="13" t="inlineStr">
        <is>
          <t>General</t>
        </is>
      </c>
      <c r="F2411" s="5" t="n">
        <v>1450</v>
      </c>
      <c r="G2411" s="5" t="n">
        <v>11045</v>
      </c>
      <c r="H2411" s="5" t="n">
        <v>184</v>
      </c>
      <c r="I2411" s="5" t="n">
        <v>117</v>
      </c>
      <c r="J2411" s="5" t="n">
        <v>62</v>
      </c>
      <c r="K2411" s="10">
        <f>IF(F2411&gt;0,H2411/F2411,"")</f>
        <v/>
      </c>
      <c r="L2411" s="16">
        <f>IF(AND(G2411&gt;0,H2411&gt;0),G2411/H2411,"")</f>
        <v/>
      </c>
    </row>
    <row r="2412">
      <c r="A2412" s="4" t="inlineStr">
        <is>
          <t>293</t>
        </is>
      </c>
      <c r="B2412" s="4" t="n">
        <v>2</v>
      </c>
      <c r="C2412" s="4" t="inlineStr">
        <is>
          <t>elk</t>
        </is>
      </c>
      <c r="D2412" s="4" t="n">
        <v>2017</v>
      </c>
      <c r="E2412" s="13" t="inlineStr">
        <is>
          <t>General</t>
        </is>
      </c>
      <c r="F2412" s="5" t="n"/>
      <c r="G2412" s="5" t="n"/>
      <c r="H2412" s="5" t="n">
        <v>179</v>
      </c>
      <c r="I2412" s="5" t="n">
        <v>127</v>
      </c>
      <c r="J2412" s="5" t="n">
        <v>44</v>
      </c>
      <c r="K2412" s="10">
        <f>IF(F2412&gt;0,H2412/F2412,"")</f>
        <v/>
      </c>
      <c r="L2412" s="16">
        <f>IF(AND(G2412&gt;0,H2412&gt;0),G2412/H2412,"")</f>
        <v/>
      </c>
    </row>
    <row r="2413">
      <c r="A2413" s="4" t="inlineStr">
        <is>
          <t>293</t>
        </is>
      </c>
      <c r="B2413" s="4" t="n">
        <v>2</v>
      </c>
      <c r="C2413" s="4" t="inlineStr">
        <is>
          <t>elk</t>
        </is>
      </c>
      <c r="D2413" s="4" t="n">
        <v>2018</v>
      </c>
      <c r="E2413" s="13" t="inlineStr">
        <is>
          <t>General</t>
        </is>
      </c>
      <c r="F2413" s="5" t="n">
        <v>1427</v>
      </c>
      <c r="G2413" s="5" t="n">
        <v>10315</v>
      </c>
      <c r="H2413" s="5" t="n">
        <v>175</v>
      </c>
      <c r="I2413" s="5" t="n">
        <v>100</v>
      </c>
      <c r="J2413" s="5" t="n">
        <v>74</v>
      </c>
      <c r="K2413" s="10">
        <f>IF(F2413&gt;0,H2413/F2413,"")</f>
        <v/>
      </c>
      <c r="L2413" s="16">
        <f>IF(AND(G2413&gt;0,H2413&gt;0),G2413/H2413,"")</f>
        <v/>
      </c>
    </row>
    <row r="2414">
      <c r="A2414" s="4" t="inlineStr">
        <is>
          <t>293</t>
        </is>
      </c>
      <c r="B2414" s="4" t="n">
        <v>2</v>
      </c>
      <c r="C2414" s="4" t="inlineStr">
        <is>
          <t>elk</t>
        </is>
      </c>
      <c r="D2414" s="4" t="n">
        <v>2019</v>
      </c>
      <c r="E2414" s="13" t="inlineStr">
        <is>
          <t>General</t>
        </is>
      </c>
      <c r="F2414" s="5" t="n"/>
      <c r="G2414" s="5" t="n"/>
      <c r="H2414" s="5" t="n">
        <v>168</v>
      </c>
      <c r="I2414" s="5" t="n">
        <v>73</v>
      </c>
      <c r="J2414" s="5" t="n">
        <v>92</v>
      </c>
      <c r="K2414" s="10">
        <f>IF(F2414&gt;0,H2414/F2414,"")</f>
        <v/>
      </c>
      <c r="L2414" s="16">
        <f>IF(AND(G2414&gt;0,H2414&gt;0),G2414/H2414,"")</f>
        <v/>
      </c>
    </row>
    <row r="2415">
      <c r="A2415" s="4" t="inlineStr">
        <is>
          <t>293</t>
        </is>
      </c>
      <c r="B2415" s="4" t="n">
        <v>2</v>
      </c>
      <c r="C2415" s="4" t="inlineStr">
        <is>
          <t>elk</t>
        </is>
      </c>
      <c r="D2415" s="4" t="n">
        <v>2020</v>
      </c>
      <c r="E2415" s="13" t="inlineStr">
        <is>
          <t>General</t>
        </is>
      </c>
      <c r="F2415" s="5" t="n">
        <v>1239</v>
      </c>
      <c r="G2415" s="5" t="n">
        <v>9199</v>
      </c>
      <c r="H2415" s="5" t="n">
        <v>141</v>
      </c>
      <c r="I2415" s="5" t="n">
        <v>98</v>
      </c>
      <c r="J2415" s="5" t="n">
        <v>44</v>
      </c>
      <c r="K2415" s="10">
        <f>IF(F2415&gt;0,H2415/F2415,"")</f>
        <v/>
      </c>
      <c r="L2415" s="16">
        <f>IF(AND(G2415&gt;0,H2415&gt;0),G2415/H2415,"")</f>
        <v/>
      </c>
    </row>
    <row r="2416">
      <c r="A2416" s="4" t="inlineStr">
        <is>
          <t>293</t>
        </is>
      </c>
      <c r="B2416" s="4" t="n">
        <v>2</v>
      </c>
      <c r="C2416" s="4" t="inlineStr">
        <is>
          <t>elk</t>
        </is>
      </c>
      <c r="D2416" s="4" t="n">
        <v>2021</v>
      </c>
      <c r="E2416" s="13" t="inlineStr">
        <is>
          <t>General</t>
        </is>
      </c>
      <c r="F2416" s="5" t="n"/>
      <c r="G2416" s="5" t="n"/>
      <c r="H2416" s="5" t="n">
        <v>124</v>
      </c>
      <c r="I2416" s="5" t="n">
        <v>92</v>
      </c>
      <c r="J2416" s="5" t="n">
        <v>32</v>
      </c>
      <c r="K2416" s="10">
        <f>IF(F2416&gt;0,H2416/F2416,"")</f>
        <v/>
      </c>
      <c r="L2416" s="16">
        <f>IF(AND(G2416&gt;0,H2416&gt;0),G2416/H2416,"")</f>
        <v/>
      </c>
    </row>
    <row r="2417">
      <c r="A2417" s="4" t="inlineStr">
        <is>
          <t>293</t>
        </is>
      </c>
      <c r="B2417" s="4" t="n">
        <v>2</v>
      </c>
      <c r="C2417" s="4" t="inlineStr">
        <is>
          <t>elk</t>
        </is>
      </c>
      <c r="D2417" s="4" t="n">
        <v>2022</v>
      </c>
      <c r="E2417" s="13" t="inlineStr">
        <is>
          <t>General</t>
        </is>
      </c>
      <c r="F2417" s="5" t="n">
        <v>1138</v>
      </c>
      <c r="G2417" s="5" t="n">
        <v>8347</v>
      </c>
      <c r="H2417" s="5" t="n">
        <v>141</v>
      </c>
      <c r="I2417" s="5" t="n">
        <v>103</v>
      </c>
      <c r="J2417" s="5" t="n">
        <v>36</v>
      </c>
      <c r="K2417" s="10">
        <f>IF(F2417&gt;0,H2417/F2417,"")</f>
        <v/>
      </c>
      <c r="L2417" s="16">
        <f>IF(AND(G2417&gt;0,H2417&gt;0),G2417/H2417,"")</f>
        <v/>
      </c>
    </row>
    <row r="2418">
      <c r="A2418" s="4" t="inlineStr">
        <is>
          <t>293</t>
        </is>
      </c>
      <c r="B2418" s="4" t="n">
        <v>2</v>
      </c>
      <c r="C2418" s="4" t="inlineStr">
        <is>
          <t>elk</t>
        </is>
      </c>
      <c r="D2418" s="4" t="n">
        <v>2023</v>
      </c>
      <c r="E2418" s="13" t="inlineStr">
        <is>
          <t>General</t>
        </is>
      </c>
      <c r="F2418" s="5" t="n"/>
      <c r="G2418" s="5" t="n"/>
      <c r="H2418" s="5" t="n">
        <v>135</v>
      </c>
      <c r="I2418" s="5" t="n">
        <v>100</v>
      </c>
      <c r="J2418" s="5" t="n">
        <v>35</v>
      </c>
      <c r="K2418" s="10">
        <f>IF(F2418&gt;0,H2418/F2418,"")</f>
        <v/>
      </c>
      <c r="L2418" s="16">
        <f>IF(AND(G2418&gt;0,H2418&gt;0),G2418/H2418,"")</f>
        <v/>
      </c>
    </row>
    <row r="2419">
      <c r="A2419" s="4" t="inlineStr">
        <is>
          <t>293</t>
        </is>
      </c>
      <c r="B2419" s="4" t="n">
        <v>2</v>
      </c>
      <c r="C2419" s="4" t="inlineStr">
        <is>
          <t>elk</t>
        </is>
      </c>
      <c r="D2419" s="4" t="n">
        <v>2024</v>
      </c>
      <c r="E2419" s="13" t="inlineStr">
        <is>
          <t>General</t>
        </is>
      </c>
      <c r="F2419" s="5" t="n">
        <v>1549</v>
      </c>
      <c r="G2419" s="5" t="n">
        <v>12509</v>
      </c>
      <c r="H2419" s="5" t="n">
        <v>156</v>
      </c>
      <c r="I2419" s="5" t="n">
        <v>87</v>
      </c>
      <c r="J2419" s="5" t="n">
        <v>67</v>
      </c>
      <c r="K2419" s="10">
        <f>IF(F2419&gt;0,H2419/F2419,"")</f>
        <v/>
      </c>
      <c r="L2419" s="16">
        <f>IF(AND(G2419&gt;0,H2419&gt;0),G2419/H2419,"")</f>
        <v/>
      </c>
    </row>
    <row r="2420">
      <c r="A2420" s="4" t="inlineStr">
        <is>
          <t>293</t>
        </is>
      </c>
      <c r="B2420" s="4" t="n">
        <v>2</v>
      </c>
      <c r="C2420" s="4" t="inlineStr">
        <is>
          <t>elk</t>
        </is>
      </c>
      <c r="D2420" s="4" t="n">
        <v>2025</v>
      </c>
      <c r="E2420" s="13" t="inlineStr">
        <is>
          <t>General</t>
        </is>
      </c>
      <c r="F2420" s="5" t="n"/>
      <c r="G2420" s="5" t="n"/>
      <c r="H2420" s="5" t="n">
        <v>231</v>
      </c>
      <c r="I2420" s="5" t="n">
        <v>144</v>
      </c>
      <c r="J2420" s="5" t="n">
        <v>84</v>
      </c>
      <c r="K2420" s="10">
        <f>IF(F2420&gt;0,H2420/F2420,"")</f>
        <v/>
      </c>
      <c r="L2420" s="16">
        <f>IF(AND(G2420&gt;0,H2420&gt;0),G2420/H2420,"")</f>
        <v/>
      </c>
    </row>
    <row r="2421">
      <c r="A2421" s="4" t="inlineStr">
        <is>
          <t>298</t>
        </is>
      </c>
      <c r="B2421" s="4" t="n">
        <v>2</v>
      </c>
      <c r="C2421" s="4" t="inlineStr">
        <is>
          <t>elk</t>
        </is>
      </c>
      <c r="D2421" s="4" t="n">
        <v>2008</v>
      </c>
      <c r="E2421" s="13" t="inlineStr">
        <is>
          <t>General</t>
        </is>
      </c>
      <c r="F2421" s="5" t="n">
        <v>678</v>
      </c>
      <c r="G2421" s="5" t="n">
        <v>4530</v>
      </c>
      <c r="H2421" s="5" t="n">
        <v>206</v>
      </c>
      <c r="I2421" s="5" t="n">
        <v>55</v>
      </c>
      <c r="J2421" s="5" t="n">
        <v>135</v>
      </c>
      <c r="K2421" s="10">
        <f>IF(F2421&gt;0,H2421/F2421,"")</f>
        <v/>
      </c>
      <c r="L2421" s="16">
        <f>IF(AND(G2421&gt;0,H2421&gt;0),G2421/H2421,"")</f>
        <v/>
      </c>
    </row>
    <row r="2422">
      <c r="A2422" s="4" t="inlineStr">
        <is>
          <t>298</t>
        </is>
      </c>
      <c r="B2422" s="4" t="n">
        <v>2</v>
      </c>
      <c r="C2422" s="4" t="inlineStr">
        <is>
          <t>elk</t>
        </is>
      </c>
      <c r="D2422" s="4" t="n">
        <v>2009</v>
      </c>
      <c r="E2422" s="13" t="inlineStr">
        <is>
          <t>General</t>
        </is>
      </c>
      <c r="F2422" s="5" t="n">
        <v>684</v>
      </c>
      <c r="G2422" s="5" t="n">
        <v>4268</v>
      </c>
      <c r="H2422" s="5" t="n">
        <v>144</v>
      </c>
      <c r="I2422" s="5" t="n">
        <v>35</v>
      </c>
      <c r="J2422" s="5" t="n">
        <v>100</v>
      </c>
      <c r="K2422" s="10">
        <f>IF(F2422&gt;0,H2422/F2422,"")</f>
        <v/>
      </c>
      <c r="L2422" s="16">
        <f>IF(AND(G2422&gt;0,H2422&gt;0),G2422/H2422,"")</f>
        <v/>
      </c>
    </row>
    <row r="2423">
      <c r="A2423" s="4" t="inlineStr">
        <is>
          <t>298</t>
        </is>
      </c>
      <c r="B2423" s="4" t="n">
        <v>2</v>
      </c>
      <c r="C2423" s="4" t="inlineStr">
        <is>
          <t>elk</t>
        </is>
      </c>
      <c r="D2423" s="4" t="n">
        <v>2010</v>
      </c>
      <c r="E2423" s="13" t="inlineStr">
        <is>
          <t>General</t>
        </is>
      </c>
      <c r="F2423" s="5" t="n">
        <v>712</v>
      </c>
      <c r="G2423" s="5" t="n">
        <v>4484</v>
      </c>
      <c r="H2423" s="5" t="n">
        <v>184</v>
      </c>
      <c r="I2423" s="5" t="n">
        <v>53</v>
      </c>
      <c r="J2423" s="5" t="n">
        <v>125</v>
      </c>
      <c r="K2423" s="10">
        <f>IF(F2423&gt;0,H2423/F2423,"")</f>
        <v/>
      </c>
      <c r="L2423" s="16">
        <f>IF(AND(G2423&gt;0,H2423&gt;0),G2423/H2423,"")</f>
        <v/>
      </c>
    </row>
    <row r="2424">
      <c r="A2424" s="4" t="inlineStr">
        <is>
          <t>298</t>
        </is>
      </c>
      <c r="B2424" s="4" t="n">
        <v>2</v>
      </c>
      <c r="C2424" s="4" t="inlineStr">
        <is>
          <t>elk</t>
        </is>
      </c>
      <c r="D2424" s="4" t="n">
        <v>2011</v>
      </c>
      <c r="E2424" s="13" t="inlineStr">
        <is>
          <t>General</t>
        </is>
      </c>
      <c r="F2424" s="5" t="n">
        <v>817</v>
      </c>
      <c r="G2424" s="5" t="n">
        <v>4769</v>
      </c>
      <c r="H2424" s="5" t="n">
        <v>184</v>
      </c>
      <c r="I2424" s="5" t="n">
        <v>72</v>
      </c>
      <c r="J2424" s="5" t="n">
        <v>102</v>
      </c>
      <c r="K2424" s="10">
        <f>IF(F2424&gt;0,H2424/F2424,"")</f>
        <v/>
      </c>
      <c r="L2424" s="16">
        <f>IF(AND(G2424&gt;0,H2424&gt;0),G2424/H2424,"")</f>
        <v/>
      </c>
    </row>
    <row r="2425">
      <c r="A2425" s="4" t="inlineStr">
        <is>
          <t>298</t>
        </is>
      </c>
      <c r="B2425" s="4" t="n">
        <v>2</v>
      </c>
      <c r="C2425" s="4" t="inlineStr">
        <is>
          <t>elk</t>
        </is>
      </c>
      <c r="D2425" s="4" t="n">
        <v>2012</v>
      </c>
      <c r="E2425" s="13" t="inlineStr">
        <is>
          <t>General</t>
        </is>
      </c>
      <c r="F2425" s="5" t="n">
        <v>865</v>
      </c>
      <c r="G2425" s="5" t="n">
        <v>5140</v>
      </c>
      <c r="H2425" s="5" t="n">
        <v>145</v>
      </c>
      <c r="I2425" s="5" t="n">
        <v>56</v>
      </c>
      <c r="J2425" s="5" t="n">
        <v>84</v>
      </c>
      <c r="K2425" s="10">
        <f>IF(F2425&gt;0,H2425/F2425,"")</f>
        <v/>
      </c>
      <c r="L2425" s="16">
        <f>IF(AND(G2425&gt;0,H2425&gt;0),G2425/H2425,"")</f>
        <v/>
      </c>
    </row>
    <row r="2426">
      <c r="A2426" s="4" t="inlineStr">
        <is>
          <t>298</t>
        </is>
      </c>
      <c r="B2426" s="4" t="n">
        <v>2</v>
      </c>
      <c r="C2426" s="4" t="inlineStr">
        <is>
          <t>elk</t>
        </is>
      </c>
      <c r="D2426" s="4" t="n">
        <v>2013</v>
      </c>
      <c r="E2426" s="13" t="inlineStr">
        <is>
          <t>General</t>
        </is>
      </c>
      <c r="F2426" s="5" t="n"/>
      <c r="G2426" s="5" t="n"/>
      <c r="H2426" s="5" t="n">
        <v>113</v>
      </c>
      <c r="I2426" s="5" t="n">
        <v>42</v>
      </c>
      <c r="J2426" s="5" t="n">
        <v>71</v>
      </c>
      <c r="K2426" s="10">
        <f>IF(F2426&gt;0,H2426/F2426,"")</f>
        <v/>
      </c>
      <c r="L2426" s="16">
        <f>IF(AND(G2426&gt;0,H2426&gt;0),G2426/H2426,"")</f>
        <v/>
      </c>
    </row>
    <row r="2427">
      <c r="A2427" s="4" t="inlineStr">
        <is>
          <t>298</t>
        </is>
      </c>
      <c r="B2427" s="4" t="n">
        <v>2</v>
      </c>
      <c r="C2427" s="4" t="inlineStr">
        <is>
          <t>elk</t>
        </is>
      </c>
      <c r="D2427" s="4" t="n">
        <v>2014</v>
      </c>
      <c r="E2427" s="13" t="inlineStr">
        <is>
          <t>General</t>
        </is>
      </c>
      <c r="F2427" s="5" t="n">
        <v>652</v>
      </c>
      <c r="G2427" s="5" t="n">
        <v>4002</v>
      </c>
      <c r="H2427" s="5" t="n">
        <v>143</v>
      </c>
      <c r="I2427" s="5" t="n">
        <v>64</v>
      </c>
      <c r="J2427" s="5" t="n">
        <v>71</v>
      </c>
      <c r="K2427" s="10">
        <f>IF(F2427&gt;0,H2427/F2427,"")</f>
        <v/>
      </c>
      <c r="L2427" s="16">
        <f>IF(AND(G2427&gt;0,H2427&gt;0),G2427/H2427,"")</f>
        <v/>
      </c>
    </row>
    <row r="2428">
      <c r="A2428" s="4" t="inlineStr">
        <is>
          <t>298</t>
        </is>
      </c>
      <c r="B2428" s="4" t="n">
        <v>2</v>
      </c>
      <c r="C2428" s="4" t="inlineStr">
        <is>
          <t>elk</t>
        </is>
      </c>
      <c r="D2428" s="4" t="n">
        <v>2015</v>
      </c>
      <c r="E2428" s="13" t="inlineStr">
        <is>
          <t>General</t>
        </is>
      </c>
      <c r="F2428" s="5" t="n">
        <v>520</v>
      </c>
      <c r="G2428" s="5" t="n">
        <v>3413</v>
      </c>
      <c r="H2428" s="5" t="n">
        <v>137</v>
      </c>
      <c r="I2428" s="5" t="n">
        <v>34</v>
      </c>
      <c r="J2428" s="5" t="n">
        <v>94</v>
      </c>
      <c r="K2428" s="10">
        <f>IF(F2428&gt;0,H2428/F2428,"")</f>
        <v/>
      </c>
      <c r="L2428" s="16">
        <f>IF(AND(G2428&gt;0,H2428&gt;0),G2428/H2428,"")</f>
        <v/>
      </c>
    </row>
    <row r="2429">
      <c r="A2429" s="4" t="inlineStr">
        <is>
          <t>298</t>
        </is>
      </c>
      <c r="B2429" s="4" t="n">
        <v>2</v>
      </c>
      <c r="C2429" s="4" t="inlineStr">
        <is>
          <t>elk</t>
        </is>
      </c>
      <c r="D2429" s="4" t="n">
        <v>2016</v>
      </c>
      <c r="E2429" s="13" t="inlineStr">
        <is>
          <t>General</t>
        </is>
      </c>
      <c r="F2429" s="5" t="n">
        <v>503</v>
      </c>
      <c r="G2429" s="5" t="n">
        <v>2786</v>
      </c>
      <c r="H2429" s="5" t="n">
        <v>128</v>
      </c>
      <c r="I2429" s="5" t="n">
        <v>28</v>
      </c>
      <c r="J2429" s="5" t="n">
        <v>91</v>
      </c>
      <c r="K2429" s="10">
        <f>IF(F2429&gt;0,H2429/F2429,"")</f>
        <v/>
      </c>
      <c r="L2429" s="16">
        <f>IF(AND(G2429&gt;0,H2429&gt;0),G2429/H2429,"")</f>
        <v/>
      </c>
    </row>
    <row r="2430">
      <c r="A2430" s="4" t="inlineStr">
        <is>
          <t>298</t>
        </is>
      </c>
      <c r="B2430" s="4" t="n">
        <v>2</v>
      </c>
      <c r="C2430" s="4" t="inlineStr">
        <is>
          <t>elk</t>
        </is>
      </c>
      <c r="D2430" s="4" t="n">
        <v>2017</v>
      </c>
      <c r="E2430" s="13" t="inlineStr">
        <is>
          <t>General</t>
        </is>
      </c>
      <c r="F2430" s="5" t="n"/>
      <c r="G2430" s="5" t="n"/>
      <c r="H2430" s="5" t="n">
        <v>127</v>
      </c>
      <c r="I2430" s="5" t="n">
        <v>46</v>
      </c>
      <c r="J2430" s="5" t="n">
        <v>78</v>
      </c>
      <c r="K2430" s="10">
        <f>IF(F2430&gt;0,H2430/F2430,"")</f>
        <v/>
      </c>
      <c r="L2430" s="16">
        <f>IF(AND(G2430&gt;0,H2430&gt;0),G2430/H2430,"")</f>
        <v/>
      </c>
    </row>
    <row r="2431">
      <c r="A2431" s="4" t="inlineStr">
        <is>
          <t>298</t>
        </is>
      </c>
      <c r="B2431" s="4" t="n">
        <v>2</v>
      </c>
      <c r="C2431" s="4" t="inlineStr">
        <is>
          <t>elk</t>
        </is>
      </c>
      <c r="D2431" s="4" t="n">
        <v>2018</v>
      </c>
      <c r="E2431" s="13" t="inlineStr">
        <is>
          <t>General</t>
        </is>
      </c>
      <c r="F2431" s="5" t="n">
        <v>378</v>
      </c>
      <c r="G2431" s="5" t="n">
        <v>3233</v>
      </c>
      <c r="H2431" s="5" t="n">
        <v>99</v>
      </c>
      <c r="I2431" s="5" t="n">
        <v>50</v>
      </c>
      <c r="J2431" s="5" t="n">
        <v>43</v>
      </c>
      <c r="K2431" s="10">
        <f>IF(F2431&gt;0,H2431/F2431,"")</f>
        <v/>
      </c>
      <c r="L2431" s="16">
        <f>IF(AND(G2431&gt;0,H2431&gt;0),G2431/H2431,"")</f>
        <v/>
      </c>
    </row>
    <row r="2432">
      <c r="A2432" s="4" t="inlineStr">
        <is>
          <t>298</t>
        </is>
      </c>
      <c r="B2432" s="4" t="n">
        <v>2</v>
      </c>
      <c r="C2432" s="4" t="inlineStr">
        <is>
          <t>elk</t>
        </is>
      </c>
      <c r="D2432" s="4" t="n">
        <v>2019</v>
      </c>
      <c r="E2432" s="13" t="inlineStr">
        <is>
          <t>General</t>
        </is>
      </c>
      <c r="F2432" s="5" t="n"/>
      <c r="G2432" s="5" t="n"/>
      <c r="H2432" s="5" t="n">
        <v>74</v>
      </c>
      <c r="I2432" s="5" t="n">
        <v>27</v>
      </c>
      <c r="J2432" s="5" t="n">
        <v>41</v>
      </c>
      <c r="K2432" s="10">
        <f>IF(F2432&gt;0,H2432/F2432,"")</f>
        <v/>
      </c>
      <c r="L2432" s="16">
        <f>IF(AND(G2432&gt;0,H2432&gt;0),G2432/H2432,"")</f>
        <v/>
      </c>
    </row>
    <row r="2433">
      <c r="A2433" s="4" t="inlineStr">
        <is>
          <t>298</t>
        </is>
      </c>
      <c r="B2433" s="4" t="n">
        <v>2</v>
      </c>
      <c r="C2433" s="4" t="inlineStr">
        <is>
          <t>elk</t>
        </is>
      </c>
      <c r="D2433" s="4" t="n">
        <v>2020</v>
      </c>
      <c r="E2433" s="13" t="inlineStr">
        <is>
          <t>General</t>
        </is>
      </c>
      <c r="F2433" s="5" t="n">
        <v>288</v>
      </c>
      <c r="G2433" s="5" t="n">
        <v>1941</v>
      </c>
      <c r="H2433" s="5" t="n">
        <v>34</v>
      </c>
      <c r="I2433" s="5" t="n">
        <v>17</v>
      </c>
      <c r="J2433" s="5" t="n">
        <v>13</v>
      </c>
      <c r="K2433" s="10">
        <f>IF(F2433&gt;0,H2433/F2433,"")</f>
        <v/>
      </c>
      <c r="L2433" s="16">
        <f>IF(AND(G2433&gt;0,H2433&gt;0),G2433/H2433,"")</f>
        <v/>
      </c>
    </row>
    <row r="2434">
      <c r="A2434" s="4" t="inlineStr">
        <is>
          <t>298</t>
        </is>
      </c>
      <c r="B2434" s="4" t="n">
        <v>2</v>
      </c>
      <c r="C2434" s="4" t="inlineStr">
        <is>
          <t>elk</t>
        </is>
      </c>
      <c r="D2434" s="4" t="n">
        <v>2021</v>
      </c>
      <c r="E2434" s="13" t="inlineStr">
        <is>
          <t>General</t>
        </is>
      </c>
      <c r="F2434" s="5" t="n"/>
      <c r="G2434" s="5" t="n"/>
      <c r="H2434" s="5" t="n">
        <v>46</v>
      </c>
      <c r="I2434" s="5" t="n">
        <v>15</v>
      </c>
      <c r="J2434" s="5" t="n">
        <v>31</v>
      </c>
      <c r="K2434" s="10">
        <f>IF(F2434&gt;0,H2434/F2434,"")</f>
        <v/>
      </c>
      <c r="L2434" s="16">
        <f>IF(AND(G2434&gt;0,H2434&gt;0),G2434/H2434,"")</f>
        <v/>
      </c>
    </row>
    <row r="2435">
      <c r="A2435" s="4" t="inlineStr">
        <is>
          <t>298</t>
        </is>
      </c>
      <c r="B2435" s="4" t="n">
        <v>2</v>
      </c>
      <c r="C2435" s="4" t="inlineStr">
        <is>
          <t>elk</t>
        </is>
      </c>
      <c r="D2435" s="4" t="n">
        <v>2022</v>
      </c>
      <c r="E2435" s="13" t="inlineStr">
        <is>
          <t>General</t>
        </is>
      </c>
      <c r="F2435" s="5" t="n">
        <v>257</v>
      </c>
      <c r="G2435" s="5" t="n">
        <v>1615</v>
      </c>
      <c r="H2435" s="5" t="n">
        <v>65</v>
      </c>
      <c r="I2435" s="5" t="n">
        <v>35</v>
      </c>
      <c r="J2435" s="5" t="n">
        <v>27</v>
      </c>
      <c r="K2435" s="10">
        <f>IF(F2435&gt;0,H2435/F2435,"")</f>
        <v/>
      </c>
      <c r="L2435" s="16">
        <f>IF(AND(G2435&gt;0,H2435&gt;0),G2435/H2435,"")</f>
        <v/>
      </c>
    </row>
    <row r="2436">
      <c r="A2436" s="4" t="inlineStr">
        <is>
          <t>298</t>
        </is>
      </c>
      <c r="B2436" s="4" t="n">
        <v>2</v>
      </c>
      <c r="C2436" s="4" t="inlineStr">
        <is>
          <t>elk</t>
        </is>
      </c>
      <c r="D2436" s="4" t="n">
        <v>2023</v>
      </c>
      <c r="E2436" s="13" t="inlineStr">
        <is>
          <t>General</t>
        </is>
      </c>
      <c r="F2436" s="5" t="n"/>
      <c r="G2436" s="5" t="n"/>
      <c r="H2436" s="5" t="n">
        <v>43</v>
      </c>
      <c r="I2436" s="5" t="n">
        <v>12</v>
      </c>
      <c r="J2436" s="5" t="n">
        <v>31</v>
      </c>
      <c r="K2436" s="10">
        <f>IF(F2436&gt;0,H2436/F2436,"")</f>
        <v/>
      </c>
      <c r="L2436" s="16">
        <f>IF(AND(G2436&gt;0,H2436&gt;0),G2436/H2436,"")</f>
        <v/>
      </c>
    </row>
    <row r="2437">
      <c r="A2437" s="4" t="inlineStr">
        <is>
          <t>298</t>
        </is>
      </c>
      <c r="B2437" s="4" t="n">
        <v>2</v>
      </c>
      <c r="C2437" s="4" t="inlineStr">
        <is>
          <t>elk</t>
        </is>
      </c>
      <c r="D2437" s="4" t="n">
        <v>2024</v>
      </c>
      <c r="E2437" s="13" t="inlineStr">
        <is>
          <t>General</t>
        </is>
      </c>
      <c r="F2437" s="5" t="n">
        <v>307</v>
      </c>
      <c r="G2437" s="5" t="n">
        <v>2066</v>
      </c>
      <c r="H2437" s="5" t="n">
        <v>42</v>
      </c>
      <c r="I2437" s="5" t="n">
        <v>12</v>
      </c>
      <c r="J2437" s="5" t="n">
        <v>30</v>
      </c>
      <c r="K2437" s="10">
        <f>IF(F2437&gt;0,H2437/F2437,"")</f>
        <v/>
      </c>
      <c r="L2437" s="16">
        <f>IF(AND(G2437&gt;0,H2437&gt;0),G2437/H2437,"")</f>
        <v/>
      </c>
    </row>
    <row r="2438">
      <c r="A2438" s="4" t="inlineStr">
        <is>
          <t>298</t>
        </is>
      </c>
      <c r="B2438" s="4" t="n">
        <v>2</v>
      </c>
      <c r="C2438" s="4" t="inlineStr">
        <is>
          <t>elk</t>
        </is>
      </c>
      <c r="D2438" s="4" t="n">
        <v>2025</v>
      </c>
      <c r="E2438" s="13" t="inlineStr">
        <is>
          <t>General</t>
        </is>
      </c>
      <c r="F2438" s="5" t="n"/>
      <c r="G2438" s="5" t="n"/>
      <c r="H2438" s="5" t="n">
        <v>56</v>
      </c>
      <c r="I2438" s="5" t="n">
        <v>25</v>
      </c>
      <c r="J2438" s="5" t="n">
        <v>31</v>
      </c>
      <c r="K2438" s="10">
        <f>IF(F2438&gt;0,H2438/F2438,"")</f>
        <v/>
      </c>
      <c r="L2438" s="16">
        <f>IF(AND(G2438&gt;0,H2438&gt;0),G2438/H2438,"")</f>
        <v/>
      </c>
    </row>
    <row r="2439">
      <c r="A2439" s="4" t="inlineStr">
        <is>
          <t>300</t>
        </is>
      </c>
      <c r="B2439" s="4" t="n">
        <v>3</v>
      </c>
      <c r="C2439" s="4" t="inlineStr">
        <is>
          <t>elk</t>
        </is>
      </c>
      <c r="D2439" s="4" t="n">
        <v>2004</v>
      </c>
      <c r="E2439" s="4" t="inlineStr"/>
      <c r="F2439" s="5" t="n">
        <v>1044</v>
      </c>
      <c r="G2439" s="5" t="n">
        <v>5181</v>
      </c>
      <c r="H2439" s="5" t="n">
        <v>259</v>
      </c>
      <c r="I2439" s="5" t="n">
        <v>151</v>
      </c>
      <c r="J2439" s="5" t="n">
        <v>97</v>
      </c>
      <c r="K2439" s="10">
        <f>IF(F2439&gt;0,H2439/F2439,"")</f>
        <v/>
      </c>
      <c r="L2439" s="16">
        <f>IF(AND(G2439&gt;0,H2439&gt;0),G2439/H2439,"")</f>
        <v/>
      </c>
    </row>
    <row r="2440">
      <c r="A2440" s="4" t="inlineStr">
        <is>
          <t>300</t>
        </is>
      </c>
      <c r="B2440" s="4" t="n">
        <v>3</v>
      </c>
      <c r="C2440" s="4" t="inlineStr">
        <is>
          <t>elk</t>
        </is>
      </c>
      <c r="D2440" s="4" t="n">
        <v>2005</v>
      </c>
      <c r="E2440" s="4" t="inlineStr"/>
      <c r="F2440" s="5" t="n">
        <v>914</v>
      </c>
      <c r="G2440" s="5" t="n">
        <v>4631</v>
      </c>
      <c r="H2440" s="5" t="n">
        <v>219</v>
      </c>
      <c r="I2440" s="5" t="n">
        <v>166</v>
      </c>
      <c r="J2440" s="5" t="n">
        <v>45</v>
      </c>
      <c r="K2440" s="10">
        <f>IF(F2440&gt;0,H2440/F2440,"")</f>
        <v/>
      </c>
      <c r="L2440" s="16">
        <f>IF(AND(G2440&gt;0,H2440&gt;0),G2440/H2440,"")</f>
        <v/>
      </c>
    </row>
    <row r="2441">
      <c r="A2441" s="4" t="inlineStr">
        <is>
          <t>300</t>
        </is>
      </c>
      <c r="B2441" s="4" t="n">
        <v>3</v>
      </c>
      <c r="C2441" s="4" t="inlineStr">
        <is>
          <t>elk</t>
        </is>
      </c>
      <c r="D2441" s="4" t="n">
        <v>2006</v>
      </c>
      <c r="E2441" s="4" t="inlineStr"/>
      <c r="F2441" s="5" t="n">
        <v>779</v>
      </c>
      <c r="G2441" s="5" t="n">
        <v>3949</v>
      </c>
      <c r="H2441" s="5" t="n">
        <v>251</v>
      </c>
      <c r="I2441" s="5" t="n">
        <v>175</v>
      </c>
      <c r="J2441" s="5" t="n">
        <v>62</v>
      </c>
      <c r="K2441" s="10">
        <f>IF(F2441&gt;0,H2441/F2441,"")</f>
        <v/>
      </c>
      <c r="L2441" s="16">
        <f>IF(AND(G2441&gt;0,H2441&gt;0),G2441/H2441,"")</f>
        <v/>
      </c>
    </row>
    <row r="2442">
      <c r="A2442" s="4" t="inlineStr">
        <is>
          <t>300</t>
        </is>
      </c>
      <c r="B2442" s="4" t="n">
        <v>3</v>
      </c>
      <c r="C2442" s="4" t="inlineStr">
        <is>
          <t>elk</t>
        </is>
      </c>
      <c r="D2442" s="4" t="n">
        <v>2007</v>
      </c>
      <c r="E2442" s="4" t="inlineStr"/>
      <c r="F2442" s="5" t="n">
        <v>1115</v>
      </c>
      <c r="G2442" s="5" t="n">
        <v>5726</v>
      </c>
      <c r="H2442" s="5" t="n">
        <v>341</v>
      </c>
      <c r="I2442" s="5" t="n">
        <v>198</v>
      </c>
      <c r="J2442" s="5" t="n">
        <v>143</v>
      </c>
      <c r="K2442" s="10">
        <f>IF(F2442&gt;0,H2442/F2442,"")</f>
        <v/>
      </c>
      <c r="L2442" s="16">
        <f>IF(AND(G2442&gt;0,H2442&gt;0),G2442/H2442,"")</f>
        <v/>
      </c>
    </row>
    <row r="2443">
      <c r="A2443" s="4" t="inlineStr">
        <is>
          <t>300</t>
        </is>
      </c>
      <c r="B2443" s="4" t="n">
        <v>3</v>
      </c>
      <c r="C2443" s="4" t="inlineStr">
        <is>
          <t>elk</t>
        </is>
      </c>
      <c r="D2443" s="4" t="n">
        <v>2008</v>
      </c>
      <c r="E2443" s="4" t="inlineStr"/>
      <c r="F2443" s="5" t="n">
        <v>1667</v>
      </c>
      <c r="G2443" s="5" t="n">
        <v>8365</v>
      </c>
      <c r="H2443" s="5" t="n">
        <v>542</v>
      </c>
      <c r="I2443" s="5" t="n">
        <v>182</v>
      </c>
      <c r="J2443" s="5" t="n">
        <v>317</v>
      </c>
      <c r="K2443" s="10">
        <f>IF(F2443&gt;0,H2443/F2443,"")</f>
        <v/>
      </c>
      <c r="L2443" s="16">
        <f>IF(AND(G2443&gt;0,H2443&gt;0),G2443/H2443,"")</f>
        <v/>
      </c>
    </row>
    <row r="2444">
      <c r="A2444" s="4" t="inlineStr">
        <is>
          <t>300</t>
        </is>
      </c>
      <c r="B2444" s="4" t="n">
        <v>3</v>
      </c>
      <c r="C2444" s="4" t="inlineStr">
        <is>
          <t>elk</t>
        </is>
      </c>
      <c r="D2444" s="4" t="n">
        <v>2009</v>
      </c>
      <c r="E2444" s="4" t="inlineStr"/>
      <c r="F2444" s="5" t="n">
        <v>1396</v>
      </c>
      <c r="G2444" s="5" t="n">
        <v>6673</v>
      </c>
      <c r="H2444" s="5" t="n">
        <v>364</v>
      </c>
      <c r="I2444" s="5" t="n">
        <v>108</v>
      </c>
      <c r="J2444" s="5" t="n">
        <v>219</v>
      </c>
      <c r="K2444" s="10">
        <f>IF(F2444&gt;0,H2444/F2444,"")</f>
        <v/>
      </c>
      <c r="L2444" s="16">
        <f>IF(AND(G2444&gt;0,H2444&gt;0),G2444/H2444,"")</f>
        <v/>
      </c>
    </row>
    <row r="2445">
      <c r="A2445" s="4" t="inlineStr">
        <is>
          <t>300</t>
        </is>
      </c>
      <c r="B2445" s="4" t="n">
        <v>3</v>
      </c>
      <c r="C2445" s="4" t="inlineStr">
        <is>
          <t>elk</t>
        </is>
      </c>
      <c r="D2445" s="4" t="n">
        <v>2010</v>
      </c>
      <c r="E2445" s="4" t="inlineStr"/>
      <c r="F2445" s="5" t="n">
        <v>1178</v>
      </c>
      <c r="G2445" s="5" t="n">
        <v>6627</v>
      </c>
      <c r="H2445" s="5" t="n">
        <v>278</v>
      </c>
      <c r="I2445" s="5" t="n">
        <v>98</v>
      </c>
      <c r="J2445" s="5" t="n">
        <v>160</v>
      </c>
      <c r="K2445" s="10">
        <f>IF(F2445&gt;0,H2445/F2445,"")</f>
        <v/>
      </c>
      <c r="L2445" s="16">
        <f>IF(AND(G2445&gt;0,H2445&gt;0),G2445/H2445,"")</f>
        <v/>
      </c>
    </row>
    <row r="2446">
      <c r="A2446" s="4" t="inlineStr">
        <is>
          <t>300</t>
        </is>
      </c>
      <c r="B2446" s="4" t="n">
        <v>3</v>
      </c>
      <c r="C2446" s="4" t="inlineStr">
        <is>
          <t>elk</t>
        </is>
      </c>
      <c r="D2446" s="4" t="n">
        <v>2011</v>
      </c>
      <c r="E2446" s="4" t="inlineStr"/>
      <c r="F2446" s="5" t="n">
        <v>1080</v>
      </c>
      <c r="G2446" s="5" t="n">
        <v>5953</v>
      </c>
      <c r="H2446" s="5" t="n">
        <v>233</v>
      </c>
      <c r="I2446" s="5" t="n">
        <v>103</v>
      </c>
      <c r="J2446" s="5" t="n">
        <v>121</v>
      </c>
      <c r="K2446" s="10">
        <f>IF(F2446&gt;0,H2446/F2446,"")</f>
        <v/>
      </c>
      <c r="L2446" s="16">
        <f>IF(AND(G2446&gt;0,H2446&gt;0),G2446/H2446,"")</f>
        <v/>
      </c>
    </row>
    <row r="2447">
      <c r="A2447" s="4" t="inlineStr">
        <is>
          <t>300</t>
        </is>
      </c>
      <c r="B2447" s="4" t="n">
        <v>3</v>
      </c>
      <c r="C2447" s="4" t="inlineStr">
        <is>
          <t>elk</t>
        </is>
      </c>
      <c r="D2447" s="4" t="n">
        <v>2012</v>
      </c>
      <c r="E2447" s="4" t="inlineStr"/>
      <c r="F2447" s="5" t="n">
        <v>981</v>
      </c>
      <c r="G2447" s="5" t="n">
        <v>5460</v>
      </c>
      <c r="H2447" s="5" t="n">
        <v>227</v>
      </c>
      <c r="I2447" s="5" t="n">
        <v>135</v>
      </c>
      <c r="J2447" s="5" t="n">
        <v>93</v>
      </c>
      <c r="K2447" s="10">
        <f>IF(F2447&gt;0,H2447/F2447,"")</f>
        <v/>
      </c>
      <c r="L2447" s="16">
        <f>IF(AND(G2447&gt;0,H2447&gt;0),G2447/H2447,"")</f>
        <v/>
      </c>
    </row>
    <row r="2448">
      <c r="A2448" s="4" t="inlineStr">
        <is>
          <t>300</t>
        </is>
      </c>
      <c r="B2448" s="4" t="n">
        <v>3</v>
      </c>
      <c r="C2448" s="4" t="inlineStr">
        <is>
          <t>elk</t>
        </is>
      </c>
      <c r="D2448" s="4" t="n">
        <v>2013</v>
      </c>
      <c r="E2448" s="4" t="inlineStr"/>
      <c r="F2448" s="5" t="n"/>
      <c r="G2448" s="5" t="n"/>
      <c r="H2448" s="5" t="n">
        <v>230</v>
      </c>
      <c r="I2448" s="5" t="n">
        <v>124</v>
      </c>
      <c r="J2448" s="5" t="n">
        <v>100</v>
      </c>
      <c r="K2448" s="10">
        <f>IF(F2448&gt;0,H2448/F2448,"")</f>
        <v/>
      </c>
      <c r="L2448" s="16">
        <f>IF(AND(G2448&gt;0,H2448&gt;0),G2448/H2448,"")</f>
        <v/>
      </c>
    </row>
    <row r="2449">
      <c r="A2449" s="4" t="inlineStr">
        <is>
          <t>300</t>
        </is>
      </c>
      <c r="B2449" s="4" t="n">
        <v>3</v>
      </c>
      <c r="C2449" s="4" t="inlineStr">
        <is>
          <t>elk</t>
        </is>
      </c>
      <c r="D2449" s="4" t="n">
        <v>2014</v>
      </c>
      <c r="E2449" s="4" t="inlineStr"/>
      <c r="F2449" s="5" t="n">
        <v>1300</v>
      </c>
      <c r="G2449" s="5" t="n">
        <v>7026</v>
      </c>
      <c r="H2449" s="5" t="n">
        <v>370</v>
      </c>
      <c r="I2449" s="5" t="n">
        <v>219</v>
      </c>
      <c r="J2449" s="5" t="n">
        <v>129</v>
      </c>
      <c r="K2449" s="10">
        <f>IF(F2449&gt;0,H2449/F2449,"")</f>
        <v/>
      </c>
      <c r="L2449" s="16">
        <f>IF(AND(G2449&gt;0,H2449&gt;0),G2449/H2449,"")</f>
        <v/>
      </c>
    </row>
    <row r="2450">
      <c r="A2450" s="4" t="inlineStr">
        <is>
          <t>300</t>
        </is>
      </c>
      <c r="B2450" s="4" t="n">
        <v>3</v>
      </c>
      <c r="C2450" s="4" t="inlineStr">
        <is>
          <t>elk</t>
        </is>
      </c>
      <c r="D2450" s="4" t="n">
        <v>2015</v>
      </c>
      <c r="E2450" s="4" t="inlineStr"/>
      <c r="F2450" s="5" t="n">
        <v>1585</v>
      </c>
      <c r="G2450" s="5" t="n">
        <v>9046</v>
      </c>
      <c r="H2450" s="5" t="n">
        <v>468</v>
      </c>
      <c r="I2450" s="5" t="n">
        <v>197</v>
      </c>
      <c r="J2450" s="5" t="n">
        <v>259</v>
      </c>
      <c r="K2450" s="10">
        <f>IF(F2450&gt;0,H2450/F2450,"")</f>
        <v/>
      </c>
      <c r="L2450" s="16">
        <f>IF(AND(G2450&gt;0,H2450&gt;0),G2450/H2450,"")</f>
        <v/>
      </c>
    </row>
    <row r="2451">
      <c r="A2451" s="4" t="inlineStr">
        <is>
          <t>300</t>
        </is>
      </c>
      <c r="B2451" s="4" t="n">
        <v>3</v>
      </c>
      <c r="C2451" s="4" t="inlineStr">
        <is>
          <t>elk</t>
        </is>
      </c>
      <c r="D2451" s="4" t="n">
        <v>2016</v>
      </c>
      <c r="E2451" s="4" t="inlineStr"/>
      <c r="F2451" s="5" t="n">
        <v>1475</v>
      </c>
      <c r="G2451" s="5" t="n">
        <v>8893</v>
      </c>
      <c r="H2451" s="5" t="n">
        <v>260</v>
      </c>
      <c r="I2451" s="5" t="n">
        <v>127</v>
      </c>
      <c r="J2451" s="5" t="n">
        <v>115</v>
      </c>
      <c r="K2451" s="10">
        <f>IF(F2451&gt;0,H2451/F2451,"")</f>
        <v/>
      </c>
      <c r="L2451" s="16">
        <f>IF(AND(G2451&gt;0,H2451&gt;0),G2451/H2451,"")</f>
        <v/>
      </c>
    </row>
    <row r="2452">
      <c r="A2452" s="4" t="inlineStr">
        <is>
          <t>300</t>
        </is>
      </c>
      <c r="B2452" s="4" t="n">
        <v>3</v>
      </c>
      <c r="C2452" s="4" t="inlineStr">
        <is>
          <t>elk</t>
        </is>
      </c>
      <c r="D2452" s="4" t="n">
        <v>2017</v>
      </c>
      <c r="E2452" s="4" t="inlineStr"/>
      <c r="F2452" s="5" t="n"/>
      <c r="G2452" s="5" t="n"/>
      <c r="H2452" s="5" t="n">
        <v>288</v>
      </c>
      <c r="I2452" s="5" t="n">
        <v>140</v>
      </c>
      <c r="J2452" s="5" t="n">
        <v>134</v>
      </c>
      <c r="K2452" s="10">
        <f>IF(F2452&gt;0,H2452/F2452,"")</f>
        <v/>
      </c>
      <c r="L2452" s="16">
        <f>IF(AND(G2452&gt;0,H2452&gt;0),G2452/H2452,"")</f>
        <v/>
      </c>
    </row>
    <row r="2453">
      <c r="A2453" s="4" t="inlineStr">
        <is>
          <t>300</t>
        </is>
      </c>
      <c r="B2453" s="4" t="n">
        <v>3</v>
      </c>
      <c r="C2453" s="4" t="inlineStr">
        <is>
          <t>elk</t>
        </is>
      </c>
      <c r="D2453" s="4" t="n">
        <v>2018</v>
      </c>
      <c r="E2453" s="4" t="inlineStr"/>
      <c r="F2453" s="5" t="n">
        <v>1567</v>
      </c>
      <c r="G2453" s="5" t="n">
        <v>9148</v>
      </c>
      <c r="H2453" s="5" t="n">
        <v>473</v>
      </c>
      <c r="I2453" s="5" t="n">
        <v>248</v>
      </c>
      <c r="J2453" s="5" t="n">
        <v>213</v>
      </c>
      <c r="K2453" s="10">
        <f>IF(F2453&gt;0,H2453/F2453,"")</f>
        <v/>
      </c>
      <c r="L2453" s="16">
        <f>IF(AND(G2453&gt;0,H2453&gt;0),G2453/H2453,"")</f>
        <v/>
      </c>
    </row>
    <row r="2454">
      <c r="A2454" s="4" t="inlineStr">
        <is>
          <t>300</t>
        </is>
      </c>
      <c r="B2454" s="4" t="n">
        <v>3</v>
      </c>
      <c r="C2454" s="4" t="inlineStr">
        <is>
          <t>elk</t>
        </is>
      </c>
      <c r="D2454" s="4" t="n">
        <v>2019</v>
      </c>
      <c r="E2454" s="4" t="inlineStr"/>
      <c r="F2454" s="5" t="n"/>
      <c r="G2454" s="5" t="n"/>
      <c r="H2454" s="5" t="n">
        <v>415</v>
      </c>
      <c r="I2454" s="5" t="n">
        <v>196</v>
      </c>
      <c r="J2454" s="5" t="n">
        <v>200</v>
      </c>
      <c r="K2454" s="10">
        <f>IF(F2454&gt;0,H2454/F2454,"")</f>
        <v/>
      </c>
      <c r="L2454" s="16">
        <f>IF(AND(G2454&gt;0,H2454&gt;0),G2454/H2454,"")</f>
        <v/>
      </c>
    </row>
    <row r="2455">
      <c r="A2455" s="4" t="inlineStr">
        <is>
          <t>300</t>
        </is>
      </c>
      <c r="B2455" s="4" t="n">
        <v>3</v>
      </c>
      <c r="C2455" s="4" t="inlineStr">
        <is>
          <t>elk</t>
        </is>
      </c>
      <c r="D2455" s="4" t="n">
        <v>2020</v>
      </c>
      <c r="E2455" s="4" t="inlineStr"/>
      <c r="F2455" s="5" t="n">
        <v>1817</v>
      </c>
      <c r="G2455" s="5" t="n">
        <v>11491</v>
      </c>
      <c r="H2455" s="5" t="n">
        <v>461</v>
      </c>
      <c r="I2455" s="5" t="n">
        <v>251</v>
      </c>
      <c r="J2455" s="5" t="n">
        <v>194</v>
      </c>
      <c r="K2455" s="10">
        <f>IF(F2455&gt;0,H2455/F2455,"")</f>
        <v/>
      </c>
      <c r="L2455" s="16">
        <f>IF(AND(G2455&gt;0,H2455&gt;0),G2455/H2455,"")</f>
        <v/>
      </c>
    </row>
    <row r="2456">
      <c r="A2456" s="4" t="inlineStr">
        <is>
          <t>300</t>
        </is>
      </c>
      <c r="B2456" s="4" t="n">
        <v>3</v>
      </c>
      <c r="C2456" s="4" t="inlineStr">
        <is>
          <t>elk</t>
        </is>
      </c>
      <c r="D2456" s="4" t="n">
        <v>2021</v>
      </c>
      <c r="E2456" s="4" t="inlineStr"/>
      <c r="F2456" s="5" t="n"/>
      <c r="G2456" s="5" t="n"/>
      <c r="H2456" s="5" t="n">
        <v>386</v>
      </c>
      <c r="I2456" s="5" t="n">
        <v>185</v>
      </c>
      <c r="J2456" s="5" t="n">
        <v>185</v>
      </c>
      <c r="K2456" s="10">
        <f>IF(F2456&gt;0,H2456/F2456,"")</f>
        <v/>
      </c>
      <c r="L2456" s="16">
        <f>IF(AND(G2456&gt;0,H2456&gt;0),G2456/H2456,"")</f>
        <v/>
      </c>
    </row>
    <row r="2457">
      <c r="A2457" s="4" t="inlineStr">
        <is>
          <t>301</t>
        </is>
      </c>
      <c r="B2457" s="4" t="n">
        <v>3</v>
      </c>
      <c r="C2457" s="4" t="inlineStr">
        <is>
          <t>elk</t>
        </is>
      </c>
      <c r="D2457" s="4" t="n">
        <v>2004</v>
      </c>
      <c r="E2457" s="13" t="inlineStr">
        <is>
          <t>General</t>
        </is>
      </c>
      <c r="F2457" s="5" t="n">
        <v>1232</v>
      </c>
      <c r="G2457" s="5" t="n">
        <v>5797</v>
      </c>
      <c r="H2457" s="5" t="n">
        <v>118</v>
      </c>
      <c r="I2457" s="5" t="n">
        <v>84</v>
      </c>
      <c r="J2457" s="5" t="n">
        <v>30</v>
      </c>
      <c r="K2457" s="10">
        <f>IF(F2457&gt;0,H2457/F2457,"")</f>
        <v/>
      </c>
      <c r="L2457" s="16">
        <f>IF(AND(G2457&gt;0,H2457&gt;0),G2457/H2457,"")</f>
        <v/>
      </c>
    </row>
    <row r="2458">
      <c r="A2458" s="4" t="inlineStr">
        <is>
          <t>301</t>
        </is>
      </c>
      <c r="B2458" s="4" t="n">
        <v>3</v>
      </c>
      <c r="C2458" s="4" t="inlineStr">
        <is>
          <t>elk</t>
        </is>
      </c>
      <c r="D2458" s="4" t="n">
        <v>2005</v>
      </c>
      <c r="E2458" s="13" t="inlineStr">
        <is>
          <t>General</t>
        </is>
      </c>
      <c r="F2458" s="5" t="n">
        <v>1029</v>
      </c>
      <c r="G2458" s="5" t="n">
        <v>5613</v>
      </c>
      <c r="H2458" s="5" t="n">
        <v>115</v>
      </c>
      <c r="I2458" s="5" t="n">
        <v>81</v>
      </c>
      <c r="J2458" s="5" t="n">
        <v>32</v>
      </c>
      <c r="K2458" s="10">
        <f>IF(F2458&gt;0,H2458/F2458,"")</f>
        <v/>
      </c>
      <c r="L2458" s="16">
        <f>IF(AND(G2458&gt;0,H2458&gt;0),G2458/H2458,"")</f>
        <v/>
      </c>
    </row>
    <row r="2459">
      <c r="A2459" s="4" t="inlineStr">
        <is>
          <t>301</t>
        </is>
      </c>
      <c r="B2459" s="4" t="n">
        <v>3</v>
      </c>
      <c r="C2459" s="4" t="inlineStr">
        <is>
          <t>elk</t>
        </is>
      </c>
      <c r="D2459" s="4" t="n">
        <v>2006</v>
      </c>
      <c r="E2459" s="13" t="inlineStr">
        <is>
          <t>General</t>
        </is>
      </c>
      <c r="F2459" s="5" t="n">
        <v>916</v>
      </c>
      <c r="G2459" s="5" t="n">
        <v>5208</v>
      </c>
      <c r="H2459" s="5" t="n">
        <v>121</v>
      </c>
      <c r="I2459" s="5" t="n">
        <v>86</v>
      </c>
      <c r="J2459" s="5" t="n">
        <v>33</v>
      </c>
      <c r="K2459" s="10">
        <f>IF(F2459&gt;0,H2459/F2459,"")</f>
        <v/>
      </c>
      <c r="L2459" s="16">
        <f>IF(AND(G2459&gt;0,H2459&gt;0),G2459/H2459,"")</f>
        <v/>
      </c>
    </row>
    <row r="2460">
      <c r="A2460" s="4" t="inlineStr">
        <is>
          <t>301</t>
        </is>
      </c>
      <c r="B2460" s="4" t="n">
        <v>3</v>
      </c>
      <c r="C2460" s="4" t="inlineStr">
        <is>
          <t>elk</t>
        </is>
      </c>
      <c r="D2460" s="4" t="n">
        <v>2007</v>
      </c>
      <c r="E2460" s="13" t="inlineStr">
        <is>
          <t>General</t>
        </is>
      </c>
      <c r="F2460" s="5" t="n">
        <v>1023</v>
      </c>
      <c r="G2460" s="5" t="n">
        <v>5926</v>
      </c>
      <c r="H2460" s="5" t="n">
        <v>147</v>
      </c>
      <c r="I2460" s="5" t="n">
        <v>92</v>
      </c>
      <c r="J2460" s="5" t="n">
        <v>46</v>
      </c>
      <c r="K2460" s="10">
        <f>IF(F2460&gt;0,H2460/F2460,"")</f>
        <v/>
      </c>
      <c r="L2460" s="16">
        <f>IF(AND(G2460&gt;0,H2460&gt;0),G2460/H2460,"")</f>
        <v/>
      </c>
    </row>
    <row r="2461">
      <c r="A2461" s="4" t="inlineStr">
        <is>
          <t>301</t>
        </is>
      </c>
      <c r="B2461" s="4" t="n">
        <v>3</v>
      </c>
      <c r="C2461" s="4" t="inlineStr">
        <is>
          <t>elk</t>
        </is>
      </c>
      <c r="D2461" s="4" t="n">
        <v>2008</v>
      </c>
      <c r="E2461" s="13" t="inlineStr">
        <is>
          <t>General</t>
        </is>
      </c>
      <c r="F2461" s="5" t="n">
        <v>1015</v>
      </c>
      <c r="G2461" s="5" t="n">
        <v>5800</v>
      </c>
      <c r="H2461" s="5" t="n">
        <v>162</v>
      </c>
      <c r="I2461" s="5" t="n">
        <v>84</v>
      </c>
      <c r="J2461" s="5" t="n">
        <v>64</v>
      </c>
      <c r="K2461" s="10">
        <f>IF(F2461&gt;0,H2461/F2461,"")</f>
        <v/>
      </c>
      <c r="L2461" s="16">
        <f>IF(AND(G2461&gt;0,H2461&gt;0),G2461/H2461,"")</f>
        <v/>
      </c>
    </row>
    <row r="2462">
      <c r="A2462" s="4" t="inlineStr">
        <is>
          <t>301</t>
        </is>
      </c>
      <c r="B2462" s="4" t="n">
        <v>3</v>
      </c>
      <c r="C2462" s="4" t="inlineStr">
        <is>
          <t>elk</t>
        </is>
      </c>
      <c r="D2462" s="4" t="n">
        <v>2009</v>
      </c>
      <c r="E2462" s="13" t="inlineStr">
        <is>
          <t>General</t>
        </is>
      </c>
      <c r="F2462" s="5" t="n">
        <v>1123</v>
      </c>
      <c r="G2462" s="5" t="n">
        <v>7701</v>
      </c>
      <c r="H2462" s="5" t="n">
        <v>150</v>
      </c>
      <c r="I2462" s="5" t="n">
        <v>84</v>
      </c>
      <c r="J2462" s="5" t="n">
        <v>63</v>
      </c>
      <c r="K2462" s="10">
        <f>IF(F2462&gt;0,H2462/F2462,"")</f>
        <v/>
      </c>
      <c r="L2462" s="16">
        <f>IF(AND(G2462&gt;0,H2462&gt;0),G2462/H2462,"")</f>
        <v/>
      </c>
    </row>
    <row r="2463">
      <c r="A2463" s="4" t="inlineStr">
        <is>
          <t>301</t>
        </is>
      </c>
      <c r="B2463" s="4" t="n">
        <v>3</v>
      </c>
      <c r="C2463" s="4" t="inlineStr">
        <is>
          <t>elk</t>
        </is>
      </c>
      <c r="D2463" s="4" t="n">
        <v>2010</v>
      </c>
      <c r="E2463" s="13" t="inlineStr">
        <is>
          <t>General</t>
        </is>
      </c>
      <c r="F2463" s="5" t="n">
        <v>1221</v>
      </c>
      <c r="G2463" s="5" t="n">
        <v>8504</v>
      </c>
      <c r="H2463" s="5" t="n">
        <v>137</v>
      </c>
      <c r="I2463" s="5" t="n">
        <v>90</v>
      </c>
      <c r="J2463" s="5" t="n">
        <v>42</v>
      </c>
      <c r="K2463" s="10">
        <f>IF(F2463&gt;0,H2463/F2463,"")</f>
        <v/>
      </c>
      <c r="L2463" s="16">
        <f>IF(AND(G2463&gt;0,H2463&gt;0),G2463/H2463,"")</f>
        <v/>
      </c>
    </row>
    <row r="2464">
      <c r="A2464" s="4" t="inlineStr">
        <is>
          <t>301</t>
        </is>
      </c>
      <c r="B2464" s="4" t="n">
        <v>3</v>
      </c>
      <c r="C2464" s="4" t="inlineStr">
        <is>
          <t>elk</t>
        </is>
      </c>
      <c r="D2464" s="4" t="n">
        <v>2011</v>
      </c>
      <c r="E2464" s="13" t="inlineStr">
        <is>
          <t>General</t>
        </is>
      </c>
      <c r="F2464" s="5" t="n">
        <v>1156</v>
      </c>
      <c r="G2464" s="5" t="n">
        <v>6060</v>
      </c>
      <c r="H2464" s="5" t="n">
        <v>136</v>
      </c>
      <c r="I2464" s="5" t="n">
        <v>91</v>
      </c>
      <c r="J2464" s="5" t="n">
        <v>42</v>
      </c>
      <c r="K2464" s="10">
        <f>IF(F2464&gt;0,H2464/F2464,"")</f>
        <v/>
      </c>
      <c r="L2464" s="16">
        <f>IF(AND(G2464&gt;0,H2464&gt;0),G2464/H2464,"")</f>
        <v/>
      </c>
    </row>
    <row r="2465">
      <c r="A2465" s="4" t="inlineStr">
        <is>
          <t>301</t>
        </is>
      </c>
      <c r="B2465" s="4" t="n">
        <v>3</v>
      </c>
      <c r="C2465" s="4" t="inlineStr">
        <is>
          <t>elk</t>
        </is>
      </c>
      <c r="D2465" s="4" t="n">
        <v>2012</v>
      </c>
      <c r="E2465" s="13" t="inlineStr">
        <is>
          <t>General</t>
        </is>
      </c>
      <c r="F2465" s="5" t="n">
        <v>1231</v>
      </c>
      <c r="G2465" s="5" t="n">
        <v>7239</v>
      </c>
      <c r="H2465" s="5" t="n">
        <v>114</v>
      </c>
      <c r="I2465" s="5" t="n">
        <v>72</v>
      </c>
      <c r="J2465" s="5" t="n">
        <v>39</v>
      </c>
      <c r="K2465" s="10">
        <f>IF(F2465&gt;0,H2465/F2465,"")</f>
        <v/>
      </c>
      <c r="L2465" s="16">
        <f>IF(AND(G2465&gt;0,H2465&gt;0),G2465/H2465,"")</f>
        <v/>
      </c>
    </row>
    <row r="2466">
      <c r="A2466" s="4" t="inlineStr">
        <is>
          <t>301</t>
        </is>
      </c>
      <c r="B2466" s="4" t="n">
        <v>3</v>
      </c>
      <c r="C2466" s="4" t="inlineStr">
        <is>
          <t>elk</t>
        </is>
      </c>
      <c r="D2466" s="4" t="n">
        <v>2013</v>
      </c>
      <c r="E2466" s="13" t="inlineStr">
        <is>
          <t>General</t>
        </is>
      </c>
      <c r="F2466" s="5" t="n"/>
      <c r="G2466" s="5" t="n"/>
      <c r="H2466" s="5" t="n">
        <v>126</v>
      </c>
      <c r="I2466" s="5" t="n">
        <v>87</v>
      </c>
      <c r="J2466" s="5" t="n">
        <v>36</v>
      </c>
      <c r="K2466" s="10">
        <f>IF(F2466&gt;0,H2466/F2466,"")</f>
        <v/>
      </c>
      <c r="L2466" s="16">
        <f>IF(AND(G2466&gt;0,H2466&gt;0),G2466/H2466,"")</f>
        <v/>
      </c>
    </row>
    <row r="2467">
      <c r="A2467" s="4" t="inlineStr">
        <is>
          <t>301</t>
        </is>
      </c>
      <c r="B2467" s="4" t="n">
        <v>3</v>
      </c>
      <c r="C2467" s="4" t="inlineStr">
        <is>
          <t>elk</t>
        </is>
      </c>
      <c r="D2467" s="4" t="n">
        <v>2014</v>
      </c>
      <c r="E2467" s="13" t="inlineStr">
        <is>
          <t>General</t>
        </is>
      </c>
      <c r="F2467" s="5" t="n">
        <v>1192</v>
      </c>
      <c r="G2467" s="5" t="n">
        <v>7895</v>
      </c>
      <c r="H2467" s="5" t="n">
        <v>120</v>
      </c>
      <c r="I2467" s="5" t="n">
        <v>69</v>
      </c>
      <c r="J2467" s="5" t="n">
        <v>48</v>
      </c>
      <c r="K2467" s="10">
        <f>IF(F2467&gt;0,H2467/F2467,"")</f>
        <v/>
      </c>
      <c r="L2467" s="16">
        <f>IF(AND(G2467&gt;0,H2467&gt;0),G2467/H2467,"")</f>
        <v/>
      </c>
    </row>
    <row r="2468">
      <c r="A2468" s="4" t="inlineStr">
        <is>
          <t>301</t>
        </is>
      </c>
      <c r="B2468" s="4" t="n">
        <v>3</v>
      </c>
      <c r="C2468" s="4" t="inlineStr">
        <is>
          <t>elk</t>
        </is>
      </c>
      <c r="D2468" s="4" t="n">
        <v>2015</v>
      </c>
      <c r="E2468" s="13" t="inlineStr">
        <is>
          <t>General</t>
        </is>
      </c>
      <c r="F2468" s="5" t="n">
        <v>1032</v>
      </c>
      <c r="G2468" s="5" t="n">
        <v>7647</v>
      </c>
      <c r="H2468" s="5" t="n">
        <v>125</v>
      </c>
      <c r="I2468" s="5" t="n">
        <v>70</v>
      </c>
      <c r="J2468" s="5" t="n">
        <v>47</v>
      </c>
      <c r="K2468" s="10">
        <f>IF(F2468&gt;0,H2468/F2468,"")</f>
        <v/>
      </c>
      <c r="L2468" s="16">
        <f>IF(AND(G2468&gt;0,H2468&gt;0),G2468/H2468,"")</f>
        <v/>
      </c>
    </row>
    <row r="2469">
      <c r="A2469" s="4" t="inlineStr">
        <is>
          <t>301</t>
        </is>
      </c>
      <c r="B2469" s="4" t="n">
        <v>3</v>
      </c>
      <c r="C2469" s="4" t="inlineStr">
        <is>
          <t>elk</t>
        </is>
      </c>
      <c r="D2469" s="4" t="n">
        <v>2016</v>
      </c>
      <c r="E2469" s="13" t="inlineStr">
        <is>
          <t>General</t>
        </is>
      </c>
      <c r="F2469" s="5" t="n">
        <v>1069</v>
      </c>
      <c r="G2469" s="5" t="n">
        <v>7695</v>
      </c>
      <c r="H2469" s="5" t="n">
        <v>92</v>
      </c>
      <c r="I2469" s="5" t="n">
        <v>54</v>
      </c>
      <c r="J2469" s="5" t="n">
        <v>30</v>
      </c>
      <c r="K2469" s="10">
        <f>IF(F2469&gt;0,H2469/F2469,"")</f>
        <v/>
      </c>
      <c r="L2469" s="16">
        <f>IF(AND(G2469&gt;0,H2469&gt;0),G2469/H2469,"")</f>
        <v/>
      </c>
    </row>
    <row r="2470">
      <c r="A2470" s="4" t="inlineStr">
        <is>
          <t>301</t>
        </is>
      </c>
      <c r="B2470" s="4" t="n">
        <v>3</v>
      </c>
      <c r="C2470" s="4" t="inlineStr">
        <is>
          <t>elk</t>
        </is>
      </c>
      <c r="D2470" s="4" t="n">
        <v>2017</v>
      </c>
      <c r="E2470" s="13" t="inlineStr">
        <is>
          <t>General</t>
        </is>
      </c>
      <c r="F2470" s="5" t="n"/>
      <c r="G2470" s="5" t="n"/>
      <c r="H2470" s="5" t="n">
        <v>153</v>
      </c>
      <c r="I2470" s="5" t="n">
        <v>83</v>
      </c>
      <c r="J2470" s="5" t="n">
        <v>67</v>
      </c>
      <c r="K2470" s="10">
        <f>IF(F2470&gt;0,H2470/F2470,"")</f>
        <v/>
      </c>
      <c r="L2470" s="16">
        <f>IF(AND(G2470&gt;0,H2470&gt;0),G2470/H2470,"")</f>
        <v/>
      </c>
    </row>
    <row r="2471">
      <c r="A2471" s="4" t="inlineStr">
        <is>
          <t>301</t>
        </is>
      </c>
      <c r="B2471" s="4" t="n">
        <v>3</v>
      </c>
      <c r="C2471" s="4" t="inlineStr">
        <is>
          <t>elk</t>
        </is>
      </c>
      <c r="D2471" s="4" t="n">
        <v>2018</v>
      </c>
      <c r="E2471" s="13" t="inlineStr">
        <is>
          <t>General</t>
        </is>
      </c>
      <c r="F2471" s="5" t="n">
        <v>1087</v>
      </c>
      <c r="G2471" s="5" t="n">
        <v>6630</v>
      </c>
      <c r="H2471" s="5" t="n">
        <v>163</v>
      </c>
      <c r="I2471" s="5" t="n">
        <v>80</v>
      </c>
      <c r="J2471" s="5" t="n">
        <v>79</v>
      </c>
      <c r="K2471" s="10">
        <f>IF(F2471&gt;0,H2471/F2471,"")</f>
        <v/>
      </c>
      <c r="L2471" s="16">
        <f>IF(AND(G2471&gt;0,H2471&gt;0),G2471/H2471,"")</f>
        <v/>
      </c>
    </row>
    <row r="2472">
      <c r="A2472" s="4" t="inlineStr">
        <is>
          <t>301</t>
        </is>
      </c>
      <c r="B2472" s="4" t="n">
        <v>3</v>
      </c>
      <c r="C2472" s="4" t="inlineStr">
        <is>
          <t>elk</t>
        </is>
      </c>
      <c r="D2472" s="4" t="n">
        <v>2019</v>
      </c>
      <c r="E2472" s="13" t="inlineStr">
        <is>
          <t>General</t>
        </is>
      </c>
      <c r="F2472" s="5" t="n"/>
      <c r="G2472" s="5" t="n"/>
      <c r="H2472" s="5" t="n">
        <v>135</v>
      </c>
      <c r="I2472" s="5" t="n">
        <v>93</v>
      </c>
      <c r="J2472" s="5" t="n">
        <v>42</v>
      </c>
      <c r="K2472" s="10">
        <f>IF(F2472&gt;0,H2472/F2472,"")</f>
        <v/>
      </c>
      <c r="L2472" s="16">
        <f>IF(AND(G2472&gt;0,H2472&gt;0),G2472/H2472,"")</f>
        <v/>
      </c>
    </row>
    <row r="2473">
      <c r="A2473" s="4" t="inlineStr">
        <is>
          <t>301</t>
        </is>
      </c>
      <c r="B2473" s="4" t="n">
        <v>3</v>
      </c>
      <c r="C2473" s="4" t="inlineStr">
        <is>
          <t>elk</t>
        </is>
      </c>
      <c r="D2473" s="4" t="n">
        <v>2020</v>
      </c>
      <c r="E2473" s="13" t="inlineStr">
        <is>
          <t>General</t>
        </is>
      </c>
      <c r="F2473" s="5" t="n">
        <v>967</v>
      </c>
      <c r="G2473" s="5" t="n">
        <v>6225</v>
      </c>
      <c r="H2473" s="5" t="n">
        <v>124</v>
      </c>
      <c r="I2473" s="5" t="n">
        <v>85</v>
      </c>
      <c r="J2473" s="5" t="n">
        <v>39</v>
      </c>
      <c r="K2473" s="10">
        <f>IF(F2473&gt;0,H2473/F2473,"")</f>
        <v/>
      </c>
      <c r="L2473" s="16">
        <f>IF(AND(G2473&gt;0,H2473&gt;0),G2473/H2473,"")</f>
        <v/>
      </c>
    </row>
    <row r="2474">
      <c r="A2474" s="4" t="inlineStr">
        <is>
          <t>301</t>
        </is>
      </c>
      <c r="B2474" s="4" t="n">
        <v>3</v>
      </c>
      <c r="C2474" s="4" t="inlineStr">
        <is>
          <t>elk</t>
        </is>
      </c>
      <c r="D2474" s="4" t="n">
        <v>2021</v>
      </c>
      <c r="E2474" s="13" t="inlineStr">
        <is>
          <t>General</t>
        </is>
      </c>
      <c r="F2474" s="5" t="n"/>
      <c r="G2474" s="5" t="n"/>
      <c r="H2474" s="5" t="n">
        <v>144</v>
      </c>
      <c r="I2474" s="5" t="n">
        <v>112</v>
      </c>
      <c r="J2474" s="5" t="n">
        <v>32</v>
      </c>
      <c r="K2474" s="10">
        <f>IF(F2474&gt;0,H2474/F2474,"")</f>
        <v/>
      </c>
      <c r="L2474" s="16">
        <f>IF(AND(G2474&gt;0,H2474&gt;0),G2474/H2474,"")</f>
        <v/>
      </c>
    </row>
    <row r="2475">
      <c r="A2475" s="4" t="inlineStr">
        <is>
          <t>301</t>
        </is>
      </c>
      <c r="B2475" s="4" t="n">
        <v>3</v>
      </c>
      <c r="C2475" s="4" t="inlineStr">
        <is>
          <t>elk</t>
        </is>
      </c>
      <c r="D2475" s="4" t="n">
        <v>2022</v>
      </c>
      <c r="E2475" s="13" t="inlineStr">
        <is>
          <t>General</t>
        </is>
      </c>
      <c r="F2475" s="5" t="n">
        <v>1135</v>
      </c>
      <c r="G2475" s="5" t="n">
        <v>7811</v>
      </c>
      <c r="H2475" s="5" t="n">
        <v>231</v>
      </c>
      <c r="I2475" s="5" t="n">
        <v>181</v>
      </c>
      <c r="J2475" s="5" t="n">
        <v>49</v>
      </c>
      <c r="K2475" s="10">
        <f>IF(F2475&gt;0,H2475/F2475,"")</f>
        <v/>
      </c>
      <c r="L2475" s="16">
        <f>IF(AND(G2475&gt;0,H2475&gt;0),G2475/H2475,"")</f>
        <v/>
      </c>
    </row>
    <row r="2476">
      <c r="A2476" s="4" t="inlineStr">
        <is>
          <t>301</t>
        </is>
      </c>
      <c r="B2476" s="4" t="n">
        <v>3</v>
      </c>
      <c r="C2476" s="4" t="inlineStr">
        <is>
          <t>elk</t>
        </is>
      </c>
      <c r="D2476" s="4" t="n">
        <v>2023</v>
      </c>
      <c r="E2476" s="13" t="inlineStr">
        <is>
          <t>General</t>
        </is>
      </c>
      <c r="F2476" s="5" t="n"/>
      <c r="G2476" s="5" t="n"/>
      <c r="H2476" s="5" t="n">
        <v>123</v>
      </c>
      <c r="I2476" s="5" t="n">
        <v>91</v>
      </c>
      <c r="J2476" s="5" t="n">
        <v>32</v>
      </c>
      <c r="K2476" s="10">
        <f>IF(F2476&gt;0,H2476/F2476,"")</f>
        <v/>
      </c>
      <c r="L2476" s="16">
        <f>IF(AND(G2476&gt;0,H2476&gt;0),G2476/H2476,"")</f>
        <v/>
      </c>
    </row>
    <row r="2477">
      <c r="A2477" s="4" t="inlineStr">
        <is>
          <t>301</t>
        </is>
      </c>
      <c r="B2477" s="4" t="n">
        <v>3</v>
      </c>
      <c r="C2477" s="4" t="inlineStr">
        <is>
          <t>elk</t>
        </is>
      </c>
      <c r="D2477" s="4" t="n">
        <v>2024</v>
      </c>
      <c r="E2477" s="13" t="inlineStr">
        <is>
          <t>General</t>
        </is>
      </c>
      <c r="F2477" s="5" t="n">
        <v>1107</v>
      </c>
      <c r="G2477" s="5" t="n">
        <v>8029</v>
      </c>
      <c r="H2477" s="5" t="n">
        <v>110</v>
      </c>
      <c r="I2477" s="5" t="n">
        <v>44</v>
      </c>
      <c r="J2477" s="5" t="n">
        <v>60</v>
      </c>
      <c r="K2477" s="10">
        <f>IF(F2477&gt;0,H2477/F2477,"")</f>
        <v/>
      </c>
      <c r="L2477" s="16">
        <f>IF(AND(G2477&gt;0,H2477&gt;0),G2477/H2477,"")</f>
        <v/>
      </c>
    </row>
    <row r="2478">
      <c r="A2478" s="4" t="inlineStr">
        <is>
          <t>301</t>
        </is>
      </c>
      <c r="B2478" s="4" t="n">
        <v>3</v>
      </c>
      <c r="C2478" s="4" t="inlineStr">
        <is>
          <t>elk</t>
        </is>
      </c>
      <c r="D2478" s="4" t="n">
        <v>2025</v>
      </c>
      <c r="E2478" s="13" t="inlineStr">
        <is>
          <t>General</t>
        </is>
      </c>
      <c r="F2478" s="5" t="n"/>
      <c r="G2478" s="5" t="n"/>
      <c r="H2478" s="5" t="n">
        <v>153</v>
      </c>
      <c r="I2478" s="5" t="n">
        <v>92</v>
      </c>
      <c r="J2478" s="5" t="n">
        <v>54</v>
      </c>
      <c r="K2478" s="10">
        <f>IF(F2478&gt;0,H2478/F2478,"")</f>
        <v/>
      </c>
      <c r="L2478" s="16">
        <f>IF(AND(G2478&gt;0,H2478&gt;0),G2478/H2478,"")</f>
        <v/>
      </c>
    </row>
    <row r="2479">
      <c r="A2479" s="4" t="inlineStr">
        <is>
          <t>302</t>
        </is>
      </c>
      <c r="B2479" s="4" t="n">
        <v>3</v>
      </c>
      <c r="C2479" s="4" t="inlineStr">
        <is>
          <t>elk</t>
        </is>
      </c>
      <c r="D2479" s="4" t="n">
        <v>2004</v>
      </c>
      <c r="E2479" s="13" t="inlineStr">
        <is>
          <t>General</t>
        </is>
      </c>
      <c r="F2479" s="5" t="n">
        <v>770</v>
      </c>
      <c r="G2479" s="5" t="n">
        <v>3709</v>
      </c>
      <c r="H2479" s="5" t="n">
        <v>136</v>
      </c>
      <c r="I2479" s="5" t="n">
        <v>51</v>
      </c>
      <c r="J2479" s="5" t="n">
        <v>67</v>
      </c>
      <c r="K2479" s="10">
        <f>IF(F2479&gt;0,H2479/F2479,"")</f>
        <v/>
      </c>
      <c r="L2479" s="16">
        <f>IF(AND(G2479&gt;0,H2479&gt;0),G2479/H2479,"")</f>
        <v/>
      </c>
    </row>
    <row r="2480">
      <c r="A2480" s="4" t="inlineStr">
        <is>
          <t>302</t>
        </is>
      </c>
      <c r="B2480" s="4" t="n">
        <v>3</v>
      </c>
      <c r="C2480" s="4" t="inlineStr">
        <is>
          <t>elk</t>
        </is>
      </c>
      <c r="D2480" s="4" t="n">
        <v>2005</v>
      </c>
      <c r="E2480" s="13" t="inlineStr">
        <is>
          <t>General</t>
        </is>
      </c>
      <c r="F2480" s="5" t="n">
        <v>551</v>
      </c>
      <c r="G2480" s="5" t="n">
        <v>2918</v>
      </c>
      <c r="H2480" s="5" t="n">
        <v>147</v>
      </c>
      <c r="I2480" s="5" t="n">
        <v>49</v>
      </c>
      <c r="J2480" s="5" t="n">
        <v>85</v>
      </c>
      <c r="K2480" s="10">
        <f>IF(F2480&gt;0,H2480/F2480,"")</f>
        <v/>
      </c>
      <c r="L2480" s="16">
        <f>IF(AND(G2480&gt;0,H2480&gt;0),G2480/H2480,"")</f>
        <v/>
      </c>
    </row>
    <row r="2481">
      <c r="A2481" s="4" t="inlineStr">
        <is>
          <t>302</t>
        </is>
      </c>
      <c r="B2481" s="4" t="n">
        <v>3</v>
      </c>
      <c r="C2481" s="4" t="inlineStr">
        <is>
          <t>elk</t>
        </is>
      </c>
      <c r="D2481" s="4" t="n">
        <v>2006</v>
      </c>
      <c r="E2481" s="13" t="inlineStr">
        <is>
          <t>General</t>
        </is>
      </c>
      <c r="F2481" s="5" t="n">
        <v>674</v>
      </c>
      <c r="G2481" s="5" t="n">
        <v>4195</v>
      </c>
      <c r="H2481" s="5" t="n">
        <v>191</v>
      </c>
      <c r="I2481" s="5" t="n">
        <v>54</v>
      </c>
      <c r="J2481" s="5" t="n">
        <v>112</v>
      </c>
      <c r="K2481" s="10">
        <f>IF(F2481&gt;0,H2481/F2481,"")</f>
        <v/>
      </c>
      <c r="L2481" s="16">
        <f>IF(AND(G2481&gt;0,H2481&gt;0),G2481/H2481,"")</f>
        <v/>
      </c>
    </row>
    <row r="2482">
      <c r="A2482" s="4" t="inlineStr">
        <is>
          <t>302</t>
        </is>
      </c>
      <c r="B2482" s="4" t="n">
        <v>3</v>
      </c>
      <c r="C2482" s="4" t="inlineStr">
        <is>
          <t>elk</t>
        </is>
      </c>
      <c r="D2482" s="4" t="n">
        <v>2007</v>
      </c>
      <c r="E2482" s="13" t="inlineStr">
        <is>
          <t>General</t>
        </is>
      </c>
      <c r="F2482" s="5" t="n">
        <v>670</v>
      </c>
      <c r="G2482" s="5" t="n">
        <v>3660</v>
      </c>
      <c r="H2482" s="5" t="n">
        <v>187</v>
      </c>
      <c r="I2482" s="5" t="n">
        <v>70</v>
      </c>
      <c r="J2482" s="5" t="n">
        <v>111</v>
      </c>
      <c r="K2482" s="10">
        <f>IF(F2482&gt;0,H2482/F2482,"")</f>
        <v/>
      </c>
      <c r="L2482" s="16">
        <f>IF(AND(G2482&gt;0,H2482&gt;0),G2482/H2482,"")</f>
        <v/>
      </c>
    </row>
    <row r="2483">
      <c r="A2483" s="4" t="inlineStr">
        <is>
          <t>302</t>
        </is>
      </c>
      <c r="B2483" s="4" t="n">
        <v>3</v>
      </c>
      <c r="C2483" s="4" t="inlineStr">
        <is>
          <t>elk</t>
        </is>
      </c>
      <c r="D2483" s="4" t="n">
        <v>2008</v>
      </c>
      <c r="E2483" s="13" t="inlineStr">
        <is>
          <t>General</t>
        </is>
      </c>
      <c r="F2483" s="5" t="n">
        <v>857</v>
      </c>
      <c r="G2483" s="5" t="n">
        <v>4437</v>
      </c>
      <c r="H2483" s="5" t="n">
        <v>274</v>
      </c>
      <c r="I2483" s="5" t="n">
        <v>38</v>
      </c>
      <c r="J2483" s="5" t="n">
        <v>208</v>
      </c>
      <c r="K2483" s="10">
        <f>IF(F2483&gt;0,H2483/F2483,"")</f>
        <v/>
      </c>
      <c r="L2483" s="16">
        <f>IF(AND(G2483&gt;0,H2483&gt;0),G2483/H2483,"")</f>
        <v/>
      </c>
    </row>
    <row r="2484">
      <c r="A2484" s="4" t="inlineStr">
        <is>
          <t>302</t>
        </is>
      </c>
      <c r="B2484" s="4" t="n">
        <v>3</v>
      </c>
      <c r="C2484" s="4" t="inlineStr">
        <is>
          <t>elk</t>
        </is>
      </c>
      <c r="D2484" s="4" t="n">
        <v>2009</v>
      </c>
      <c r="E2484" s="13" t="inlineStr">
        <is>
          <t>General</t>
        </is>
      </c>
      <c r="F2484" s="5" t="n">
        <v>778</v>
      </c>
      <c r="G2484" s="5" t="n">
        <v>3998</v>
      </c>
      <c r="H2484" s="5" t="n">
        <v>171</v>
      </c>
      <c r="I2484" s="5" t="n">
        <v>52</v>
      </c>
      <c r="J2484" s="5" t="n">
        <v>109</v>
      </c>
      <c r="K2484" s="10">
        <f>IF(F2484&gt;0,H2484/F2484,"")</f>
        <v/>
      </c>
      <c r="L2484" s="16">
        <f>IF(AND(G2484&gt;0,H2484&gt;0),G2484/H2484,"")</f>
        <v/>
      </c>
    </row>
    <row r="2485">
      <c r="A2485" s="4" t="inlineStr">
        <is>
          <t>302</t>
        </is>
      </c>
      <c r="B2485" s="4" t="n">
        <v>3</v>
      </c>
      <c r="C2485" s="4" t="inlineStr">
        <is>
          <t>elk</t>
        </is>
      </c>
      <c r="D2485" s="4" t="n">
        <v>2010</v>
      </c>
      <c r="E2485" s="13" t="inlineStr">
        <is>
          <t>General</t>
        </is>
      </c>
      <c r="F2485" s="5" t="n">
        <v>753</v>
      </c>
      <c r="G2485" s="5" t="n">
        <v>4401</v>
      </c>
      <c r="H2485" s="5" t="n">
        <v>191</v>
      </c>
      <c r="I2485" s="5" t="n">
        <v>68</v>
      </c>
      <c r="J2485" s="5" t="n">
        <v>112</v>
      </c>
      <c r="K2485" s="10">
        <f>IF(F2485&gt;0,H2485/F2485,"")</f>
        <v/>
      </c>
      <c r="L2485" s="16">
        <f>IF(AND(G2485&gt;0,H2485&gt;0),G2485/H2485,"")</f>
        <v/>
      </c>
    </row>
    <row r="2486">
      <c r="A2486" s="4" t="inlineStr">
        <is>
          <t>302</t>
        </is>
      </c>
      <c r="B2486" s="4" t="n">
        <v>3</v>
      </c>
      <c r="C2486" s="4" t="inlineStr">
        <is>
          <t>elk</t>
        </is>
      </c>
      <c r="D2486" s="4" t="n">
        <v>2011</v>
      </c>
      <c r="E2486" s="13" t="inlineStr">
        <is>
          <t>General</t>
        </is>
      </c>
      <c r="F2486" s="5" t="n">
        <v>803</v>
      </c>
      <c r="G2486" s="5" t="n">
        <v>4739</v>
      </c>
      <c r="H2486" s="5" t="n">
        <v>196</v>
      </c>
      <c r="I2486" s="5" t="n">
        <v>82</v>
      </c>
      <c r="J2486" s="5" t="n">
        <v>109</v>
      </c>
      <c r="K2486" s="10">
        <f>IF(F2486&gt;0,H2486/F2486,"")</f>
        <v/>
      </c>
      <c r="L2486" s="16">
        <f>IF(AND(G2486&gt;0,H2486&gt;0),G2486/H2486,"")</f>
        <v/>
      </c>
    </row>
    <row r="2487">
      <c r="A2487" s="4" t="inlineStr">
        <is>
          <t>302</t>
        </is>
      </c>
      <c r="B2487" s="4" t="n">
        <v>3</v>
      </c>
      <c r="C2487" s="4" t="inlineStr">
        <is>
          <t>elk</t>
        </is>
      </c>
      <c r="D2487" s="4" t="n">
        <v>2012</v>
      </c>
      <c r="E2487" s="13" t="inlineStr">
        <is>
          <t>General</t>
        </is>
      </c>
      <c r="F2487" s="5" t="n">
        <v>920</v>
      </c>
      <c r="G2487" s="5" t="n">
        <v>5301</v>
      </c>
      <c r="H2487" s="5" t="n">
        <v>249</v>
      </c>
      <c r="I2487" s="5" t="n">
        <v>68</v>
      </c>
      <c r="J2487" s="5" t="n">
        <v>162</v>
      </c>
      <c r="K2487" s="10">
        <f>IF(F2487&gt;0,H2487/F2487,"")</f>
        <v/>
      </c>
      <c r="L2487" s="16">
        <f>IF(AND(G2487&gt;0,H2487&gt;0),G2487/H2487,"")</f>
        <v/>
      </c>
    </row>
    <row r="2488">
      <c r="A2488" s="4" t="inlineStr">
        <is>
          <t>302</t>
        </is>
      </c>
      <c r="B2488" s="4" t="n">
        <v>3</v>
      </c>
      <c r="C2488" s="4" t="inlineStr">
        <is>
          <t>elk</t>
        </is>
      </c>
      <c r="D2488" s="4" t="n">
        <v>2013</v>
      </c>
      <c r="E2488" s="13" t="inlineStr">
        <is>
          <t>General</t>
        </is>
      </c>
      <c r="F2488" s="5" t="n"/>
      <c r="G2488" s="5" t="n"/>
      <c r="H2488" s="5" t="n">
        <v>283</v>
      </c>
      <c r="I2488" s="5" t="n">
        <v>128</v>
      </c>
      <c r="J2488" s="5" t="n">
        <v>148</v>
      </c>
      <c r="K2488" s="10">
        <f>IF(F2488&gt;0,H2488/F2488,"")</f>
        <v/>
      </c>
      <c r="L2488" s="16">
        <f>IF(AND(G2488&gt;0,H2488&gt;0),G2488/H2488,"")</f>
        <v/>
      </c>
    </row>
    <row r="2489">
      <c r="A2489" s="4" t="inlineStr">
        <is>
          <t>302</t>
        </is>
      </c>
      <c r="B2489" s="4" t="n">
        <v>3</v>
      </c>
      <c r="C2489" s="4" t="inlineStr">
        <is>
          <t>elk</t>
        </is>
      </c>
      <c r="D2489" s="4" t="n">
        <v>2014</v>
      </c>
      <c r="E2489" s="13" t="inlineStr">
        <is>
          <t>General</t>
        </is>
      </c>
      <c r="F2489" s="5" t="n">
        <v>849</v>
      </c>
      <c r="G2489" s="5" t="n">
        <v>5605</v>
      </c>
      <c r="H2489" s="5" t="n">
        <v>248</v>
      </c>
      <c r="I2489" s="5" t="n">
        <v>140</v>
      </c>
      <c r="J2489" s="5" t="n">
        <v>100</v>
      </c>
      <c r="K2489" s="10">
        <f>IF(F2489&gt;0,H2489/F2489,"")</f>
        <v/>
      </c>
      <c r="L2489" s="16">
        <f>IF(AND(G2489&gt;0,H2489&gt;0),G2489/H2489,"")</f>
        <v/>
      </c>
    </row>
    <row r="2490">
      <c r="A2490" s="4" t="inlineStr">
        <is>
          <t>302</t>
        </is>
      </c>
      <c r="B2490" s="4" t="n">
        <v>3</v>
      </c>
      <c r="C2490" s="4" t="inlineStr">
        <is>
          <t>elk</t>
        </is>
      </c>
      <c r="D2490" s="4" t="n">
        <v>2015</v>
      </c>
      <c r="E2490" s="13" t="inlineStr">
        <is>
          <t>General</t>
        </is>
      </c>
      <c r="F2490" s="5" t="n">
        <v>1015</v>
      </c>
      <c r="G2490" s="5" t="n">
        <v>6493</v>
      </c>
      <c r="H2490" s="5" t="n">
        <v>352</v>
      </c>
      <c r="I2490" s="5" t="n">
        <v>127</v>
      </c>
      <c r="J2490" s="5" t="n">
        <v>204</v>
      </c>
      <c r="K2490" s="10">
        <f>IF(F2490&gt;0,H2490/F2490,"")</f>
        <v/>
      </c>
      <c r="L2490" s="16">
        <f>IF(AND(G2490&gt;0,H2490&gt;0),G2490/H2490,"")</f>
        <v/>
      </c>
    </row>
    <row r="2491">
      <c r="A2491" s="4" t="inlineStr">
        <is>
          <t>302</t>
        </is>
      </c>
      <c r="B2491" s="4" t="n">
        <v>3</v>
      </c>
      <c r="C2491" s="4" t="inlineStr">
        <is>
          <t>elk</t>
        </is>
      </c>
      <c r="D2491" s="4" t="n">
        <v>2016</v>
      </c>
      <c r="E2491" s="13" t="inlineStr">
        <is>
          <t>General</t>
        </is>
      </c>
      <c r="F2491" s="5" t="n">
        <v>1006</v>
      </c>
      <c r="G2491" s="5" t="n">
        <v>6032</v>
      </c>
      <c r="H2491" s="5" t="n">
        <v>218</v>
      </c>
      <c r="I2491" s="5" t="n">
        <v>95</v>
      </c>
      <c r="J2491" s="5" t="n">
        <v>111</v>
      </c>
      <c r="K2491" s="10">
        <f>IF(F2491&gt;0,H2491/F2491,"")</f>
        <v/>
      </c>
      <c r="L2491" s="16">
        <f>IF(AND(G2491&gt;0,H2491&gt;0),G2491/H2491,"")</f>
        <v/>
      </c>
    </row>
    <row r="2492">
      <c r="A2492" s="4" t="inlineStr">
        <is>
          <t>302</t>
        </is>
      </c>
      <c r="B2492" s="4" t="n">
        <v>3</v>
      </c>
      <c r="C2492" s="4" t="inlineStr">
        <is>
          <t>elk</t>
        </is>
      </c>
      <c r="D2492" s="4" t="n">
        <v>2017</v>
      </c>
      <c r="E2492" s="13" t="inlineStr">
        <is>
          <t>General</t>
        </is>
      </c>
      <c r="F2492" s="5" t="n"/>
      <c r="G2492" s="5" t="n"/>
      <c r="H2492" s="5" t="n">
        <v>213</v>
      </c>
      <c r="I2492" s="5" t="n">
        <v>108</v>
      </c>
      <c r="J2492" s="5" t="n">
        <v>91</v>
      </c>
      <c r="K2492" s="10">
        <f>IF(F2492&gt;0,H2492/F2492,"")</f>
        <v/>
      </c>
      <c r="L2492" s="16">
        <f>IF(AND(G2492&gt;0,H2492&gt;0),G2492/H2492,"")</f>
        <v/>
      </c>
    </row>
    <row r="2493">
      <c r="A2493" s="4" t="inlineStr">
        <is>
          <t>302</t>
        </is>
      </c>
      <c r="B2493" s="4" t="n">
        <v>3</v>
      </c>
      <c r="C2493" s="4" t="inlineStr">
        <is>
          <t>elk</t>
        </is>
      </c>
      <c r="D2493" s="4" t="n">
        <v>2018</v>
      </c>
      <c r="E2493" s="13" t="inlineStr">
        <is>
          <t>General</t>
        </is>
      </c>
      <c r="F2493" s="5" t="n">
        <v>943</v>
      </c>
      <c r="G2493" s="5" t="n">
        <v>5676</v>
      </c>
      <c r="H2493" s="5" t="n">
        <v>243</v>
      </c>
      <c r="I2493" s="5" t="n">
        <v>112</v>
      </c>
      <c r="J2493" s="5" t="n">
        <v>112</v>
      </c>
      <c r="K2493" s="10">
        <f>IF(F2493&gt;0,H2493/F2493,"")</f>
        <v/>
      </c>
      <c r="L2493" s="16">
        <f>IF(AND(G2493&gt;0,H2493&gt;0),G2493/H2493,"")</f>
        <v/>
      </c>
    </row>
    <row r="2494">
      <c r="A2494" s="4" t="inlineStr">
        <is>
          <t>302</t>
        </is>
      </c>
      <c r="B2494" s="4" t="n">
        <v>3</v>
      </c>
      <c r="C2494" s="4" t="inlineStr">
        <is>
          <t>elk</t>
        </is>
      </c>
      <c r="D2494" s="4" t="n">
        <v>2019</v>
      </c>
      <c r="E2494" s="13" t="inlineStr">
        <is>
          <t>General</t>
        </is>
      </c>
      <c r="F2494" s="5" t="n"/>
      <c r="G2494" s="5" t="n"/>
      <c r="H2494" s="5" t="n">
        <v>258</v>
      </c>
      <c r="I2494" s="5" t="n">
        <v>113</v>
      </c>
      <c r="J2494" s="5" t="n">
        <v>133</v>
      </c>
      <c r="K2494" s="10">
        <f>IF(F2494&gt;0,H2494/F2494,"")</f>
        <v/>
      </c>
      <c r="L2494" s="16">
        <f>IF(AND(G2494&gt;0,H2494&gt;0),G2494/H2494,"")</f>
        <v/>
      </c>
    </row>
    <row r="2495">
      <c r="A2495" s="4" t="inlineStr">
        <is>
          <t>302</t>
        </is>
      </c>
      <c r="B2495" s="4" t="n">
        <v>3</v>
      </c>
      <c r="C2495" s="4" t="inlineStr">
        <is>
          <t>elk</t>
        </is>
      </c>
      <c r="D2495" s="4" t="n">
        <v>2020</v>
      </c>
      <c r="E2495" s="13" t="inlineStr">
        <is>
          <t>General</t>
        </is>
      </c>
      <c r="F2495" s="5" t="n">
        <v>1085</v>
      </c>
      <c r="G2495" s="5" t="n">
        <v>8258</v>
      </c>
      <c r="H2495" s="5" t="n">
        <v>288</v>
      </c>
      <c r="I2495" s="5" t="n">
        <v>94</v>
      </c>
      <c r="J2495" s="5" t="n">
        <v>187</v>
      </c>
      <c r="K2495" s="10">
        <f>IF(F2495&gt;0,H2495/F2495,"")</f>
        <v/>
      </c>
      <c r="L2495" s="16">
        <f>IF(AND(G2495&gt;0,H2495&gt;0),G2495/H2495,"")</f>
        <v/>
      </c>
    </row>
    <row r="2496">
      <c r="A2496" s="4" t="inlineStr">
        <is>
          <t>302</t>
        </is>
      </c>
      <c r="B2496" s="4" t="n">
        <v>3</v>
      </c>
      <c r="C2496" s="4" t="inlineStr">
        <is>
          <t>elk</t>
        </is>
      </c>
      <c r="D2496" s="4" t="n">
        <v>2021</v>
      </c>
      <c r="E2496" s="13" t="inlineStr">
        <is>
          <t>General</t>
        </is>
      </c>
      <c r="F2496" s="5" t="n"/>
      <c r="G2496" s="5" t="n"/>
      <c r="H2496" s="5" t="n">
        <v>305</v>
      </c>
      <c r="I2496" s="5" t="n">
        <v>154</v>
      </c>
      <c r="J2496" s="5" t="n">
        <v>132</v>
      </c>
      <c r="K2496" s="10">
        <f>IF(F2496&gt;0,H2496/F2496,"")</f>
        <v/>
      </c>
      <c r="L2496" s="16">
        <f>IF(AND(G2496&gt;0,H2496&gt;0),G2496/H2496,"")</f>
        <v/>
      </c>
    </row>
    <row r="2497">
      <c r="A2497" s="4" t="inlineStr">
        <is>
          <t>302</t>
        </is>
      </c>
      <c r="B2497" s="4" t="n">
        <v>3</v>
      </c>
      <c r="C2497" s="4" t="inlineStr">
        <is>
          <t>elk</t>
        </is>
      </c>
      <c r="D2497" s="4" t="n">
        <v>2022</v>
      </c>
      <c r="E2497" s="13" t="inlineStr">
        <is>
          <t>General</t>
        </is>
      </c>
      <c r="F2497" s="5" t="n">
        <v>1249</v>
      </c>
      <c r="G2497" s="5" t="n">
        <v>7613</v>
      </c>
      <c r="H2497" s="5" t="n">
        <v>423</v>
      </c>
      <c r="I2497" s="5" t="n">
        <v>192</v>
      </c>
      <c r="J2497" s="5" t="n">
        <v>225</v>
      </c>
      <c r="K2497" s="10">
        <f>IF(F2497&gt;0,H2497/F2497,"")</f>
        <v/>
      </c>
      <c r="L2497" s="16">
        <f>IF(AND(G2497&gt;0,H2497&gt;0),G2497/H2497,"")</f>
        <v/>
      </c>
    </row>
    <row r="2498">
      <c r="A2498" s="4" t="inlineStr">
        <is>
          <t>302</t>
        </is>
      </c>
      <c r="B2498" s="4" t="n">
        <v>3</v>
      </c>
      <c r="C2498" s="4" t="inlineStr">
        <is>
          <t>elk</t>
        </is>
      </c>
      <c r="D2498" s="4" t="n">
        <v>2023</v>
      </c>
      <c r="E2498" s="13" t="inlineStr">
        <is>
          <t>General</t>
        </is>
      </c>
      <c r="F2498" s="5" t="n"/>
      <c r="G2498" s="5" t="n"/>
      <c r="H2498" s="5" t="n">
        <v>258</v>
      </c>
      <c r="I2498" s="5" t="n">
        <v>131</v>
      </c>
      <c r="J2498" s="5" t="n">
        <v>122</v>
      </c>
      <c r="K2498" s="10">
        <f>IF(F2498&gt;0,H2498/F2498,"")</f>
        <v/>
      </c>
      <c r="L2498" s="16">
        <f>IF(AND(G2498&gt;0,H2498&gt;0),G2498/H2498,"")</f>
        <v/>
      </c>
    </row>
    <row r="2499">
      <c r="A2499" s="4" t="inlineStr">
        <is>
          <t>302</t>
        </is>
      </c>
      <c r="B2499" s="4" t="n">
        <v>3</v>
      </c>
      <c r="C2499" s="4" t="inlineStr">
        <is>
          <t>elk</t>
        </is>
      </c>
      <c r="D2499" s="4" t="n">
        <v>2024</v>
      </c>
      <c r="E2499" s="13" t="inlineStr">
        <is>
          <t>General</t>
        </is>
      </c>
      <c r="F2499" s="5" t="n">
        <v>1229</v>
      </c>
      <c r="G2499" s="5" t="n">
        <v>8347</v>
      </c>
      <c r="H2499" s="5" t="n">
        <v>272</v>
      </c>
      <c r="I2499" s="5" t="n">
        <v>116</v>
      </c>
      <c r="J2499" s="5" t="n">
        <v>145</v>
      </c>
      <c r="K2499" s="10">
        <f>IF(F2499&gt;0,H2499/F2499,"")</f>
        <v/>
      </c>
      <c r="L2499" s="16">
        <f>IF(AND(G2499&gt;0,H2499&gt;0),G2499/H2499,"")</f>
        <v/>
      </c>
    </row>
    <row r="2500">
      <c r="A2500" s="4" t="inlineStr">
        <is>
          <t>302</t>
        </is>
      </c>
      <c r="B2500" s="4" t="n">
        <v>3</v>
      </c>
      <c r="C2500" s="4" t="inlineStr">
        <is>
          <t>elk</t>
        </is>
      </c>
      <c r="D2500" s="4" t="n">
        <v>2025</v>
      </c>
      <c r="E2500" s="13" t="inlineStr">
        <is>
          <t>General</t>
        </is>
      </c>
      <c r="F2500" s="5" t="n"/>
      <c r="G2500" s="5" t="n"/>
      <c r="H2500" s="5" t="n">
        <v>235</v>
      </c>
      <c r="I2500" s="5" t="n">
        <v>114</v>
      </c>
      <c r="J2500" s="5" t="n">
        <v>113</v>
      </c>
      <c r="K2500" s="10">
        <f>IF(F2500&gt;0,H2500/F2500,"")</f>
        <v/>
      </c>
      <c r="L2500" s="16">
        <f>IF(AND(G2500&gt;0,H2500&gt;0),G2500/H2500,"")</f>
        <v/>
      </c>
    </row>
    <row r="2501">
      <c r="A2501" s="4" t="inlineStr">
        <is>
          <t>303</t>
        </is>
      </c>
      <c r="B2501" s="4" t="n">
        <v>3</v>
      </c>
      <c r="C2501" s="4" t="inlineStr">
        <is>
          <t>elk</t>
        </is>
      </c>
      <c r="D2501" s="4" t="n">
        <v>2022</v>
      </c>
      <c r="E2501" s="13" t="inlineStr">
        <is>
          <t>General</t>
        </is>
      </c>
      <c r="F2501" s="5" t="n">
        <v>928</v>
      </c>
      <c r="G2501" s="5" t="n">
        <v>5448</v>
      </c>
      <c r="H2501" s="5" t="n">
        <v>241</v>
      </c>
      <c r="I2501" s="5" t="n">
        <v>113</v>
      </c>
      <c r="J2501" s="5" t="n">
        <v>125</v>
      </c>
      <c r="K2501" s="10">
        <f>IF(F2501&gt;0,H2501/F2501,"")</f>
        <v/>
      </c>
      <c r="L2501" s="16">
        <f>IF(AND(G2501&gt;0,H2501&gt;0),G2501/H2501,"")</f>
        <v/>
      </c>
    </row>
    <row r="2502">
      <c r="A2502" s="4" t="inlineStr">
        <is>
          <t>303</t>
        </is>
      </c>
      <c r="B2502" s="4" t="n">
        <v>3</v>
      </c>
      <c r="C2502" s="4" t="inlineStr">
        <is>
          <t>elk</t>
        </is>
      </c>
      <c r="D2502" s="4" t="n">
        <v>2023</v>
      </c>
      <c r="E2502" s="13" t="inlineStr">
        <is>
          <t>General</t>
        </is>
      </c>
      <c r="F2502" s="5" t="n"/>
      <c r="G2502" s="5" t="n"/>
      <c r="H2502" s="5" t="n">
        <v>171</v>
      </c>
      <c r="I2502" s="5" t="n">
        <v>113</v>
      </c>
      <c r="J2502" s="5" t="n">
        <v>55</v>
      </c>
      <c r="K2502" s="10">
        <f>IF(F2502&gt;0,H2502/F2502,"")</f>
        <v/>
      </c>
      <c r="L2502" s="16">
        <f>IF(AND(G2502&gt;0,H2502&gt;0),G2502/H2502,"")</f>
        <v/>
      </c>
    </row>
    <row r="2503">
      <c r="A2503" s="4" t="inlineStr">
        <is>
          <t>303</t>
        </is>
      </c>
      <c r="B2503" s="4" t="n">
        <v>3</v>
      </c>
      <c r="C2503" s="4" t="inlineStr">
        <is>
          <t>elk</t>
        </is>
      </c>
      <c r="D2503" s="4" t="n">
        <v>2024</v>
      </c>
      <c r="E2503" s="13" t="inlineStr">
        <is>
          <t>General</t>
        </is>
      </c>
      <c r="F2503" s="5" t="n">
        <v>1180</v>
      </c>
      <c r="G2503" s="5" t="n">
        <v>7734</v>
      </c>
      <c r="H2503" s="5" t="n">
        <v>274</v>
      </c>
      <c r="I2503" s="5" t="n">
        <v>117</v>
      </c>
      <c r="J2503" s="5" t="n">
        <v>152</v>
      </c>
      <c r="K2503" s="10">
        <f>IF(F2503&gt;0,H2503/F2503,"")</f>
        <v/>
      </c>
      <c r="L2503" s="16">
        <f>IF(AND(G2503&gt;0,H2503&gt;0),G2503/H2503,"")</f>
        <v/>
      </c>
    </row>
    <row r="2504">
      <c r="A2504" s="4" t="inlineStr">
        <is>
          <t>303</t>
        </is>
      </c>
      <c r="B2504" s="4" t="n">
        <v>3</v>
      </c>
      <c r="C2504" s="4" t="inlineStr">
        <is>
          <t>elk</t>
        </is>
      </c>
      <c r="D2504" s="4" t="n">
        <v>2025</v>
      </c>
      <c r="E2504" s="13" t="inlineStr">
        <is>
          <t>General</t>
        </is>
      </c>
      <c r="F2504" s="5" t="n"/>
      <c r="G2504" s="5" t="n"/>
      <c r="H2504" s="5" t="n">
        <v>271</v>
      </c>
      <c r="I2504" s="5" t="n">
        <v>157</v>
      </c>
      <c r="J2504" s="5" t="n">
        <v>107</v>
      </c>
      <c r="K2504" s="10">
        <f>IF(F2504&gt;0,H2504/F2504,"")</f>
        <v/>
      </c>
      <c r="L2504" s="16">
        <f>IF(AND(G2504&gt;0,H2504&gt;0),G2504/H2504,"")</f>
        <v/>
      </c>
    </row>
    <row r="2505">
      <c r="A2505" s="4" t="inlineStr">
        <is>
          <t>304</t>
        </is>
      </c>
      <c r="B2505" s="4" t="n">
        <v>3</v>
      </c>
      <c r="C2505" s="4" t="inlineStr">
        <is>
          <t>elk</t>
        </is>
      </c>
      <c r="D2505" s="4" t="n">
        <v>2022</v>
      </c>
      <c r="E2505" s="13" t="inlineStr">
        <is>
          <t>General</t>
        </is>
      </c>
      <c r="F2505" s="5" t="n">
        <v>489</v>
      </c>
      <c r="G2505" s="5" t="n">
        <v>2399</v>
      </c>
      <c r="H2505" s="5" t="n">
        <v>137</v>
      </c>
      <c r="I2505" s="5" t="n">
        <v>98</v>
      </c>
      <c r="J2505" s="5" t="n">
        <v>38</v>
      </c>
      <c r="K2505" s="10">
        <f>IF(F2505&gt;0,H2505/F2505,"")</f>
        <v/>
      </c>
      <c r="L2505" s="16">
        <f>IF(AND(G2505&gt;0,H2505&gt;0),G2505/H2505,"")</f>
        <v/>
      </c>
    </row>
    <row r="2506">
      <c r="A2506" s="4" t="inlineStr">
        <is>
          <t>304</t>
        </is>
      </c>
      <c r="B2506" s="4" t="n">
        <v>3</v>
      </c>
      <c r="C2506" s="4" t="inlineStr">
        <is>
          <t>elk</t>
        </is>
      </c>
      <c r="D2506" s="4" t="n">
        <v>2023</v>
      </c>
      <c r="E2506" s="13" t="inlineStr">
        <is>
          <t>General</t>
        </is>
      </c>
      <c r="F2506" s="5" t="n"/>
      <c r="G2506" s="5" t="n"/>
      <c r="H2506" s="5" t="n">
        <v>63</v>
      </c>
      <c r="I2506" s="5" t="n">
        <v>49</v>
      </c>
      <c r="J2506" s="5" t="n">
        <v>14</v>
      </c>
      <c r="K2506" s="10">
        <f>IF(F2506&gt;0,H2506/F2506,"")</f>
        <v/>
      </c>
      <c r="L2506" s="16">
        <f>IF(AND(G2506&gt;0,H2506&gt;0),G2506/H2506,"")</f>
        <v/>
      </c>
    </row>
    <row r="2507">
      <c r="A2507" s="4" t="inlineStr">
        <is>
          <t>304</t>
        </is>
      </c>
      <c r="B2507" s="4" t="n">
        <v>3</v>
      </c>
      <c r="C2507" s="4" t="inlineStr">
        <is>
          <t>elk</t>
        </is>
      </c>
      <c r="D2507" s="4" t="n">
        <v>2024</v>
      </c>
      <c r="E2507" s="13" t="inlineStr">
        <is>
          <t>General</t>
        </is>
      </c>
      <c r="F2507" s="5" t="n">
        <v>554</v>
      </c>
      <c r="G2507" s="5" t="n">
        <v>3705</v>
      </c>
      <c r="H2507" s="5" t="n">
        <v>93</v>
      </c>
      <c r="I2507" s="5" t="n">
        <v>64</v>
      </c>
      <c r="J2507" s="5" t="n">
        <v>26</v>
      </c>
      <c r="K2507" s="10">
        <f>IF(F2507&gt;0,H2507/F2507,"")</f>
        <v/>
      </c>
      <c r="L2507" s="16">
        <f>IF(AND(G2507&gt;0,H2507&gt;0),G2507/H2507,"")</f>
        <v/>
      </c>
    </row>
    <row r="2508">
      <c r="A2508" s="4" t="inlineStr">
        <is>
          <t>304</t>
        </is>
      </c>
      <c r="B2508" s="4" t="n">
        <v>3</v>
      </c>
      <c r="C2508" s="4" t="inlineStr">
        <is>
          <t>elk</t>
        </is>
      </c>
      <c r="D2508" s="4" t="n">
        <v>2025</v>
      </c>
      <c r="E2508" s="13" t="inlineStr">
        <is>
          <t>General</t>
        </is>
      </c>
      <c r="F2508" s="5" t="n"/>
      <c r="G2508" s="5" t="n"/>
      <c r="H2508" s="5" t="n">
        <v>83</v>
      </c>
      <c r="I2508" s="5" t="n">
        <v>69</v>
      </c>
      <c r="J2508" s="5" t="n">
        <v>13</v>
      </c>
      <c r="K2508" s="10">
        <f>IF(F2508&gt;0,H2508/F2508,"")</f>
        <v/>
      </c>
      <c r="L2508" s="16">
        <f>IF(AND(G2508&gt;0,H2508&gt;0),G2508/H2508,"")</f>
        <v/>
      </c>
    </row>
    <row r="2509">
      <c r="A2509" s="4" t="inlineStr">
        <is>
          <t>309</t>
        </is>
      </c>
      <c r="B2509" s="4" t="n">
        <v>3</v>
      </c>
      <c r="C2509" s="4" t="inlineStr">
        <is>
          <t>elk</t>
        </is>
      </c>
      <c r="D2509" s="4" t="n">
        <v>2005</v>
      </c>
      <c r="E2509" s="13" t="inlineStr">
        <is>
          <t>General</t>
        </is>
      </c>
      <c r="F2509" s="5" t="n">
        <v>121</v>
      </c>
      <c r="G2509" s="5" t="n">
        <v>653</v>
      </c>
      <c r="H2509" s="5" t="n">
        <v>37</v>
      </c>
      <c r="I2509" s="5" t="n">
        <v>8</v>
      </c>
      <c r="J2509" s="5" t="n">
        <v>29</v>
      </c>
      <c r="K2509" s="10">
        <f>IF(F2509&gt;0,H2509/F2509,"")</f>
        <v/>
      </c>
      <c r="L2509" s="16">
        <f>IF(AND(G2509&gt;0,H2509&gt;0),G2509/H2509,"")</f>
        <v/>
      </c>
    </row>
    <row r="2510">
      <c r="A2510" s="4" t="inlineStr">
        <is>
          <t>309</t>
        </is>
      </c>
      <c r="B2510" s="4" t="n">
        <v>3</v>
      </c>
      <c r="C2510" s="4" t="inlineStr">
        <is>
          <t>elk</t>
        </is>
      </c>
      <c r="D2510" s="4" t="n">
        <v>2006</v>
      </c>
      <c r="E2510" s="13" t="inlineStr">
        <is>
          <t>General</t>
        </is>
      </c>
      <c r="F2510" s="5" t="n">
        <v>167</v>
      </c>
      <c r="G2510" s="5" t="n">
        <v>885</v>
      </c>
      <c r="H2510" s="5" t="n">
        <v>15</v>
      </c>
      <c r="I2510" s="5" t="n">
        <v>11</v>
      </c>
      <c r="J2510" s="5" t="n">
        <v>4</v>
      </c>
      <c r="K2510" s="10">
        <f>IF(F2510&gt;0,H2510/F2510,"")</f>
        <v/>
      </c>
      <c r="L2510" s="16">
        <f>IF(AND(G2510&gt;0,H2510&gt;0),G2510/H2510,"")</f>
        <v/>
      </c>
    </row>
    <row r="2511">
      <c r="A2511" s="4" t="inlineStr">
        <is>
          <t>309</t>
        </is>
      </c>
      <c r="B2511" s="4" t="n">
        <v>3</v>
      </c>
      <c r="C2511" s="4" t="inlineStr">
        <is>
          <t>elk</t>
        </is>
      </c>
      <c r="D2511" s="4" t="n">
        <v>2007</v>
      </c>
      <c r="E2511" s="13" t="inlineStr">
        <is>
          <t>General</t>
        </is>
      </c>
      <c r="F2511" s="5" t="n">
        <v>227</v>
      </c>
      <c r="G2511" s="5" t="n">
        <v>1314</v>
      </c>
      <c r="H2511" s="5" t="n">
        <v>52</v>
      </c>
      <c r="I2511" s="5" t="n">
        <v>18</v>
      </c>
      <c r="J2511" s="5" t="n">
        <v>34</v>
      </c>
      <c r="K2511" s="10">
        <f>IF(F2511&gt;0,H2511/F2511,"")</f>
        <v/>
      </c>
      <c r="L2511" s="16">
        <f>IF(AND(G2511&gt;0,H2511&gt;0),G2511/H2511,"")</f>
        <v/>
      </c>
    </row>
    <row r="2512">
      <c r="A2512" s="4" t="inlineStr">
        <is>
          <t>309</t>
        </is>
      </c>
      <c r="B2512" s="4" t="n">
        <v>3</v>
      </c>
      <c r="C2512" s="4" t="inlineStr">
        <is>
          <t>elk</t>
        </is>
      </c>
      <c r="D2512" s="4" t="n">
        <v>2008</v>
      </c>
      <c r="E2512" s="13" t="inlineStr">
        <is>
          <t>General</t>
        </is>
      </c>
      <c r="F2512" s="5" t="n">
        <v>284</v>
      </c>
      <c r="G2512" s="5" t="n">
        <v>1544</v>
      </c>
      <c r="H2512" s="5" t="n">
        <v>64</v>
      </c>
      <c r="I2512" s="5" t="n">
        <v>41</v>
      </c>
      <c r="J2512" s="5" t="n">
        <v>20</v>
      </c>
      <c r="K2512" s="10">
        <f>IF(F2512&gt;0,H2512/F2512,"")</f>
        <v/>
      </c>
      <c r="L2512" s="16">
        <f>IF(AND(G2512&gt;0,H2512&gt;0),G2512/H2512,"")</f>
        <v/>
      </c>
    </row>
    <row r="2513">
      <c r="A2513" s="4" t="inlineStr">
        <is>
          <t>309</t>
        </is>
      </c>
      <c r="B2513" s="4" t="n">
        <v>3</v>
      </c>
      <c r="C2513" s="4" t="inlineStr">
        <is>
          <t>elk</t>
        </is>
      </c>
      <c r="D2513" s="4" t="n">
        <v>2009</v>
      </c>
      <c r="E2513" s="13" t="inlineStr">
        <is>
          <t>General</t>
        </is>
      </c>
      <c r="F2513" s="5" t="n">
        <v>253</v>
      </c>
      <c r="G2513" s="5" t="n">
        <v>2047</v>
      </c>
      <c r="H2513" s="5" t="n">
        <v>27</v>
      </c>
      <c r="I2513" s="5" t="n">
        <v>9</v>
      </c>
      <c r="J2513" s="5" t="n">
        <v>18</v>
      </c>
      <c r="K2513" s="10">
        <f>IF(F2513&gt;0,H2513/F2513,"")</f>
        <v/>
      </c>
      <c r="L2513" s="16">
        <f>IF(AND(G2513&gt;0,H2513&gt;0),G2513/H2513,"")</f>
        <v/>
      </c>
    </row>
    <row r="2514">
      <c r="A2514" s="4" t="inlineStr">
        <is>
          <t>309</t>
        </is>
      </c>
      <c r="B2514" s="4" t="n">
        <v>3</v>
      </c>
      <c r="C2514" s="4" t="inlineStr">
        <is>
          <t>elk</t>
        </is>
      </c>
      <c r="D2514" s="4" t="n">
        <v>2010</v>
      </c>
      <c r="E2514" s="13" t="inlineStr">
        <is>
          <t>General</t>
        </is>
      </c>
      <c r="F2514" s="5" t="n">
        <v>258</v>
      </c>
      <c r="G2514" s="5" t="n">
        <v>1713</v>
      </c>
      <c r="H2514" s="5" t="n">
        <v>44</v>
      </c>
      <c r="I2514" s="5" t="n">
        <v>14</v>
      </c>
      <c r="J2514" s="5" t="n">
        <v>31</v>
      </c>
      <c r="K2514" s="10">
        <f>IF(F2514&gt;0,H2514/F2514,"")</f>
        <v/>
      </c>
      <c r="L2514" s="16">
        <f>IF(AND(G2514&gt;0,H2514&gt;0),G2514/H2514,"")</f>
        <v/>
      </c>
    </row>
    <row r="2515">
      <c r="A2515" s="4" t="inlineStr">
        <is>
          <t>309</t>
        </is>
      </c>
      <c r="B2515" s="4" t="n">
        <v>3</v>
      </c>
      <c r="C2515" s="4" t="inlineStr">
        <is>
          <t>elk</t>
        </is>
      </c>
      <c r="D2515" s="4" t="n">
        <v>2011</v>
      </c>
      <c r="E2515" s="13" t="inlineStr">
        <is>
          <t>General</t>
        </is>
      </c>
      <c r="F2515" s="5" t="n">
        <v>178</v>
      </c>
      <c r="G2515" s="5" t="n">
        <v>1330</v>
      </c>
      <c r="H2515" s="5" t="n">
        <v>20</v>
      </c>
      <c r="I2515" s="5" t="n">
        <v>14</v>
      </c>
      <c r="J2515" s="5" t="n">
        <v>6</v>
      </c>
      <c r="K2515" s="10">
        <f>IF(F2515&gt;0,H2515/F2515,"")</f>
        <v/>
      </c>
      <c r="L2515" s="16">
        <f>IF(AND(G2515&gt;0,H2515&gt;0),G2515/H2515,"")</f>
        <v/>
      </c>
    </row>
    <row r="2516">
      <c r="A2516" s="4" t="inlineStr">
        <is>
          <t>309</t>
        </is>
      </c>
      <c r="B2516" s="4" t="n">
        <v>3</v>
      </c>
      <c r="C2516" s="4" t="inlineStr">
        <is>
          <t>elk</t>
        </is>
      </c>
      <c r="D2516" s="4" t="n">
        <v>2012</v>
      </c>
      <c r="E2516" s="13" t="inlineStr">
        <is>
          <t>General</t>
        </is>
      </c>
      <c r="F2516" s="5" t="n">
        <v>236</v>
      </c>
      <c r="G2516" s="5" t="n">
        <v>1286</v>
      </c>
      <c r="H2516" s="5" t="n">
        <v>25</v>
      </c>
      <c r="I2516" s="5" t="n">
        <v>17</v>
      </c>
      <c r="J2516" s="5" t="n">
        <v>6</v>
      </c>
      <c r="K2516" s="10">
        <f>IF(F2516&gt;0,H2516/F2516,"")</f>
        <v/>
      </c>
      <c r="L2516" s="16">
        <f>IF(AND(G2516&gt;0,H2516&gt;0),G2516/H2516,"")</f>
        <v/>
      </c>
    </row>
    <row r="2517">
      <c r="A2517" s="4" t="inlineStr">
        <is>
          <t>309</t>
        </is>
      </c>
      <c r="B2517" s="4" t="n">
        <v>3</v>
      </c>
      <c r="C2517" s="4" t="inlineStr">
        <is>
          <t>elk</t>
        </is>
      </c>
      <c r="D2517" s="4" t="n">
        <v>2013</v>
      </c>
      <c r="E2517" s="13" t="inlineStr">
        <is>
          <t>General</t>
        </is>
      </c>
      <c r="F2517" s="5" t="n"/>
      <c r="G2517" s="5" t="n"/>
      <c r="H2517" s="5" t="n">
        <v>31</v>
      </c>
      <c r="I2517" s="5" t="n">
        <v>17</v>
      </c>
      <c r="J2517" s="5" t="n">
        <v>14</v>
      </c>
      <c r="K2517" s="10">
        <f>IF(F2517&gt;0,H2517/F2517,"")</f>
        <v/>
      </c>
      <c r="L2517" s="16">
        <f>IF(AND(G2517&gt;0,H2517&gt;0),G2517/H2517,"")</f>
        <v/>
      </c>
    </row>
    <row r="2518">
      <c r="A2518" s="4" t="inlineStr">
        <is>
          <t>309</t>
        </is>
      </c>
      <c r="B2518" s="4" t="n">
        <v>3</v>
      </c>
      <c r="C2518" s="4" t="inlineStr">
        <is>
          <t>elk</t>
        </is>
      </c>
      <c r="D2518" s="4" t="n">
        <v>2014</v>
      </c>
      <c r="E2518" s="13" t="inlineStr">
        <is>
          <t>General</t>
        </is>
      </c>
      <c r="F2518" s="5" t="n">
        <v>198</v>
      </c>
      <c r="G2518" s="5" t="n">
        <v>1719</v>
      </c>
      <c r="H2518" s="5" t="n">
        <v>52</v>
      </c>
      <c r="I2518" s="5" t="n">
        <v>27</v>
      </c>
      <c r="J2518" s="5" t="n">
        <v>23</v>
      </c>
      <c r="K2518" s="10">
        <f>IF(F2518&gt;0,H2518/F2518,"")</f>
        <v/>
      </c>
      <c r="L2518" s="16">
        <f>IF(AND(G2518&gt;0,H2518&gt;0),G2518/H2518,"")</f>
        <v/>
      </c>
    </row>
    <row r="2519">
      <c r="A2519" s="4" t="inlineStr">
        <is>
          <t>309</t>
        </is>
      </c>
      <c r="B2519" s="4" t="n">
        <v>3</v>
      </c>
      <c r="C2519" s="4" t="inlineStr">
        <is>
          <t>elk</t>
        </is>
      </c>
      <c r="D2519" s="4" t="n">
        <v>2015</v>
      </c>
      <c r="E2519" s="13" t="inlineStr">
        <is>
          <t>General</t>
        </is>
      </c>
      <c r="F2519" s="5" t="n">
        <v>231</v>
      </c>
      <c r="G2519" s="5" t="n">
        <v>1427</v>
      </c>
      <c r="H2519" s="5" t="n">
        <v>47</v>
      </c>
      <c r="I2519" s="5" t="n">
        <v>24</v>
      </c>
      <c r="J2519" s="5" t="n">
        <v>24</v>
      </c>
      <c r="K2519" s="10">
        <f>IF(F2519&gt;0,H2519/F2519,"")</f>
        <v/>
      </c>
      <c r="L2519" s="16">
        <f>IF(AND(G2519&gt;0,H2519&gt;0),G2519/H2519,"")</f>
        <v/>
      </c>
    </row>
    <row r="2520">
      <c r="A2520" s="4" t="inlineStr">
        <is>
          <t>309</t>
        </is>
      </c>
      <c r="B2520" s="4" t="n">
        <v>3</v>
      </c>
      <c r="C2520" s="4" t="inlineStr">
        <is>
          <t>elk</t>
        </is>
      </c>
      <c r="D2520" s="4" t="n">
        <v>2016</v>
      </c>
      <c r="E2520" s="13" t="inlineStr">
        <is>
          <t>General</t>
        </is>
      </c>
      <c r="F2520" s="5" t="n">
        <v>396</v>
      </c>
      <c r="G2520" s="5" t="n">
        <v>2884</v>
      </c>
      <c r="H2520" s="5" t="n">
        <v>57</v>
      </c>
      <c r="I2520" s="5" t="n">
        <v>21</v>
      </c>
      <c r="J2520" s="5" t="n">
        <v>37</v>
      </c>
      <c r="K2520" s="10">
        <f>IF(F2520&gt;0,H2520/F2520,"")</f>
        <v/>
      </c>
      <c r="L2520" s="16">
        <f>IF(AND(G2520&gt;0,H2520&gt;0),G2520/H2520,"")</f>
        <v/>
      </c>
    </row>
    <row r="2521">
      <c r="A2521" s="4" t="inlineStr">
        <is>
          <t>309</t>
        </is>
      </c>
      <c r="B2521" s="4" t="n">
        <v>3</v>
      </c>
      <c r="C2521" s="4" t="inlineStr">
        <is>
          <t>elk</t>
        </is>
      </c>
      <c r="D2521" s="4" t="n">
        <v>2017</v>
      </c>
      <c r="E2521" s="13" t="inlineStr">
        <is>
          <t>General</t>
        </is>
      </c>
      <c r="F2521" s="5" t="n"/>
      <c r="G2521" s="5" t="n"/>
      <c r="H2521" s="5" t="n">
        <v>132</v>
      </c>
      <c r="I2521" s="5" t="n">
        <v>66</v>
      </c>
      <c r="J2521" s="5" t="n">
        <v>61</v>
      </c>
      <c r="K2521" s="10">
        <f>IF(F2521&gt;0,H2521/F2521,"")</f>
        <v/>
      </c>
      <c r="L2521" s="16">
        <f>IF(AND(G2521&gt;0,H2521&gt;0),G2521/H2521,"")</f>
        <v/>
      </c>
    </row>
    <row r="2522">
      <c r="A2522" s="4" t="inlineStr">
        <is>
          <t>309</t>
        </is>
      </c>
      <c r="B2522" s="4" t="n">
        <v>3</v>
      </c>
      <c r="C2522" s="4" t="inlineStr">
        <is>
          <t>elk</t>
        </is>
      </c>
      <c r="D2522" s="4" t="n">
        <v>2018</v>
      </c>
      <c r="E2522" s="13" t="inlineStr">
        <is>
          <t>General</t>
        </is>
      </c>
      <c r="F2522" s="5" t="n">
        <v>229</v>
      </c>
      <c r="G2522" s="5" t="n">
        <v>1375</v>
      </c>
      <c r="H2522" s="5" t="n">
        <v>48</v>
      </c>
      <c r="I2522" s="5" t="n">
        <v>23</v>
      </c>
      <c r="J2522" s="5" t="n">
        <v>19</v>
      </c>
      <c r="K2522" s="10">
        <f>IF(F2522&gt;0,H2522/F2522,"")</f>
        <v/>
      </c>
      <c r="L2522" s="16">
        <f>IF(AND(G2522&gt;0,H2522&gt;0),G2522/H2522,"")</f>
        <v/>
      </c>
    </row>
    <row r="2523">
      <c r="A2523" s="4" t="inlineStr">
        <is>
          <t>309</t>
        </is>
      </c>
      <c r="B2523" s="4" t="n">
        <v>3</v>
      </c>
      <c r="C2523" s="4" t="inlineStr">
        <is>
          <t>elk</t>
        </is>
      </c>
      <c r="D2523" s="4" t="n">
        <v>2019</v>
      </c>
      <c r="E2523" s="13" t="inlineStr">
        <is>
          <t>General</t>
        </is>
      </c>
      <c r="F2523" s="5" t="n"/>
      <c r="G2523" s="5" t="n"/>
      <c r="H2523" s="5" t="n">
        <v>54</v>
      </c>
      <c r="I2523" s="5" t="n">
        <v>30</v>
      </c>
      <c r="J2523" s="5" t="n">
        <v>24</v>
      </c>
      <c r="K2523" s="10">
        <f>IF(F2523&gt;0,H2523/F2523,"")</f>
        <v/>
      </c>
      <c r="L2523" s="16">
        <f>IF(AND(G2523&gt;0,H2523&gt;0),G2523/H2523,"")</f>
        <v/>
      </c>
    </row>
    <row r="2524">
      <c r="A2524" s="4" t="inlineStr">
        <is>
          <t>309</t>
        </is>
      </c>
      <c r="B2524" s="4" t="n">
        <v>3</v>
      </c>
      <c r="C2524" s="4" t="inlineStr">
        <is>
          <t>elk</t>
        </is>
      </c>
      <c r="D2524" s="4" t="n">
        <v>2020</v>
      </c>
      <c r="E2524" s="13" t="inlineStr">
        <is>
          <t>General</t>
        </is>
      </c>
      <c r="F2524" s="5" t="n">
        <v>278</v>
      </c>
      <c r="G2524" s="5" t="n">
        <v>1588</v>
      </c>
      <c r="H2524" s="5" t="n">
        <v>57</v>
      </c>
      <c r="I2524" s="5" t="n">
        <v>13</v>
      </c>
      <c r="J2524" s="5" t="n">
        <v>44</v>
      </c>
      <c r="K2524" s="10">
        <f>IF(F2524&gt;0,H2524/F2524,"")</f>
        <v/>
      </c>
      <c r="L2524" s="16">
        <f>IF(AND(G2524&gt;0,H2524&gt;0),G2524/H2524,"")</f>
        <v/>
      </c>
    </row>
    <row r="2525">
      <c r="A2525" s="4" t="inlineStr">
        <is>
          <t>309</t>
        </is>
      </c>
      <c r="B2525" s="4" t="n">
        <v>3</v>
      </c>
      <c r="C2525" s="4" t="inlineStr">
        <is>
          <t>elk</t>
        </is>
      </c>
      <c r="D2525" s="4" t="n">
        <v>2021</v>
      </c>
      <c r="E2525" s="13" t="inlineStr">
        <is>
          <t>General</t>
        </is>
      </c>
      <c r="F2525" s="5" t="n"/>
      <c r="G2525" s="5" t="n"/>
      <c r="H2525" s="5" t="n">
        <v>74</v>
      </c>
      <c r="I2525" s="5" t="n">
        <v>47</v>
      </c>
      <c r="J2525" s="5" t="n">
        <v>27</v>
      </c>
      <c r="K2525" s="10">
        <f>IF(F2525&gt;0,H2525/F2525,"")</f>
        <v/>
      </c>
      <c r="L2525" s="16">
        <f>IF(AND(G2525&gt;0,H2525&gt;0),G2525/H2525,"")</f>
        <v/>
      </c>
    </row>
    <row r="2526">
      <c r="A2526" s="4" t="inlineStr">
        <is>
          <t>309</t>
        </is>
      </c>
      <c r="B2526" s="4" t="n">
        <v>3</v>
      </c>
      <c r="C2526" s="4" t="inlineStr">
        <is>
          <t>elk</t>
        </is>
      </c>
      <c r="D2526" s="4" t="n">
        <v>2022</v>
      </c>
      <c r="E2526" s="13" t="inlineStr">
        <is>
          <t>General</t>
        </is>
      </c>
      <c r="F2526" s="5" t="n">
        <v>283</v>
      </c>
      <c r="G2526" s="5" t="n">
        <v>1647</v>
      </c>
      <c r="H2526" s="5" t="n">
        <v>91</v>
      </c>
      <c r="I2526" s="5" t="n">
        <v>51</v>
      </c>
      <c r="J2526" s="5" t="n">
        <v>40</v>
      </c>
      <c r="K2526" s="10">
        <f>IF(F2526&gt;0,H2526/F2526,"")</f>
        <v/>
      </c>
      <c r="L2526" s="16">
        <f>IF(AND(G2526&gt;0,H2526&gt;0),G2526/H2526,"")</f>
        <v/>
      </c>
    </row>
    <row r="2527">
      <c r="A2527" s="4" t="inlineStr">
        <is>
          <t>309</t>
        </is>
      </c>
      <c r="B2527" s="4" t="n">
        <v>3</v>
      </c>
      <c r="C2527" s="4" t="inlineStr">
        <is>
          <t>elk</t>
        </is>
      </c>
      <c r="D2527" s="4" t="n">
        <v>2023</v>
      </c>
      <c r="E2527" s="13" t="inlineStr">
        <is>
          <t>General</t>
        </is>
      </c>
      <c r="F2527" s="5" t="n"/>
      <c r="G2527" s="5" t="n"/>
      <c r="H2527" s="5" t="n">
        <v>58</v>
      </c>
      <c r="I2527" s="5" t="n">
        <v>26</v>
      </c>
      <c r="J2527" s="5" t="n">
        <v>29</v>
      </c>
      <c r="K2527" s="10">
        <f>IF(F2527&gt;0,H2527/F2527,"")</f>
        <v/>
      </c>
      <c r="L2527" s="16">
        <f>IF(AND(G2527&gt;0,H2527&gt;0),G2527/H2527,"")</f>
        <v/>
      </c>
    </row>
    <row r="2528">
      <c r="A2528" s="4" t="inlineStr">
        <is>
          <t>309</t>
        </is>
      </c>
      <c r="B2528" s="4" t="n">
        <v>3</v>
      </c>
      <c r="C2528" s="4" t="inlineStr">
        <is>
          <t>elk</t>
        </is>
      </c>
      <c r="D2528" s="4" t="n">
        <v>2024</v>
      </c>
      <c r="E2528" s="13" t="inlineStr">
        <is>
          <t>General</t>
        </is>
      </c>
      <c r="F2528" s="5" t="n">
        <v>377</v>
      </c>
      <c r="G2528" s="5" t="n">
        <v>2265</v>
      </c>
      <c r="H2528" s="5" t="n">
        <v>117</v>
      </c>
      <c r="I2528" s="5" t="n">
        <v>42</v>
      </c>
      <c r="J2528" s="5" t="n">
        <v>72</v>
      </c>
      <c r="K2528" s="10">
        <f>IF(F2528&gt;0,H2528/F2528,"")</f>
        <v/>
      </c>
      <c r="L2528" s="16">
        <f>IF(AND(G2528&gt;0,H2528&gt;0),G2528/H2528,"")</f>
        <v/>
      </c>
    </row>
    <row r="2529">
      <c r="A2529" s="4" t="inlineStr">
        <is>
          <t>309</t>
        </is>
      </c>
      <c r="B2529" s="4" t="n">
        <v>3</v>
      </c>
      <c r="C2529" s="4" t="inlineStr">
        <is>
          <t>elk</t>
        </is>
      </c>
      <c r="D2529" s="4" t="n">
        <v>2025</v>
      </c>
      <c r="E2529" s="13" t="inlineStr">
        <is>
          <t>General</t>
        </is>
      </c>
      <c r="F2529" s="5" t="n"/>
      <c r="G2529" s="5" t="n"/>
      <c r="H2529" s="5" t="n">
        <v>37</v>
      </c>
      <c r="I2529" s="5" t="n">
        <v>23</v>
      </c>
      <c r="J2529" s="5" t="n">
        <v>14</v>
      </c>
      <c r="K2529" s="10">
        <f>IF(F2529&gt;0,H2529/F2529,"")</f>
        <v/>
      </c>
      <c r="L2529" s="16">
        <f>IF(AND(G2529&gt;0,H2529&gt;0),G2529/H2529,"")</f>
        <v/>
      </c>
    </row>
    <row r="2530">
      <c r="A2530" s="4" t="inlineStr">
        <is>
          <t>310</t>
        </is>
      </c>
      <c r="B2530" s="4" t="n">
        <v>3</v>
      </c>
      <c r="C2530" s="4" t="inlineStr">
        <is>
          <t>elk</t>
        </is>
      </c>
      <c r="D2530" s="4" t="n">
        <v>2004</v>
      </c>
      <c r="E2530" s="13" t="inlineStr">
        <is>
          <t>General</t>
        </is>
      </c>
      <c r="F2530" s="5" t="n">
        <v>1161</v>
      </c>
      <c r="G2530" s="5" t="n">
        <v>5987</v>
      </c>
      <c r="H2530" s="5" t="n">
        <v>141</v>
      </c>
      <c r="I2530" s="5" t="n">
        <v>122</v>
      </c>
      <c r="J2530" s="5" t="n">
        <v>17</v>
      </c>
      <c r="K2530" s="10">
        <f>IF(F2530&gt;0,H2530/F2530,"")</f>
        <v/>
      </c>
      <c r="L2530" s="16">
        <f>IF(AND(G2530&gt;0,H2530&gt;0),G2530/H2530,"")</f>
        <v/>
      </c>
    </row>
    <row r="2531">
      <c r="A2531" s="4" t="inlineStr">
        <is>
          <t>310</t>
        </is>
      </c>
      <c r="B2531" s="4" t="n">
        <v>3</v>
      </c>
      <c r="C2531" s="4" t="inlineStr">
        <is>
          <t>elk</t>
        </is>
      </c>
      <c r="D2531" s="4" t="n">
        <v>2005</v>
      </c>
      <c r="E2531" s="13" t="inlineStr">
        <is>
          <t>General</t>
        </is>
      </c>
      <c r="F2531" s="5" t="n">
        <v>1034</v>
      </c>
      <c r="G2531" s="5" t="n">
        <v>5234</v>
      </c>
      <c r="H2531" s="5" t="n">
        <v>163</v>
      </c>
      <c r="I2531" s="5" t="n">
        <v>134</v>
      </c>
      <c r="J2531" s="5" t="n">
        <v>29</v>
      </c>
      <c r="K2531" s="10">
        <f>IF(F2531&gt;0,H2531/F2531,"")</f>
        <v/>
      </c>
      <c r="L2531" s="16">
        <f>IF(AND(G2531&gt;0,H2531&gt;0),G2531/H2531,"")</f>
        <v/>
      </c>
    </row>
    <row r="2532">
      <c r="A2532" s="4" t="inlineStr">
        <is>
          <t>310</t>
        </is>
      </c>
      <c r="B2532" s="4" t="n">
        <v>3</v>
      </c>
      <c r="C2532" s="4" t="inlineStr">
        <is>
          <t>elk</t>
        </is>
      </c>
      <c r="D2532" s="4" t="n">
        <v>2006</v>
      </c>
      <c r="E2532" s="13" t="inlineStr">
        <is>
          <t>General</t>
        </is>
      </c>
      <c r="F2532" s="5" t="n">
        <v>723</v>
      </c>
      <c r="G2532" s="5" t="n">
        <v>4649</v>
      </c>
      <c r="H2532" s="5" t="n">
        <v>93</v>
      </c>
      <c r="I2532" s="5" t="n">
        <v>86</v>
      </c>
      <c r="J2532" s="5" t="n">
        <v>4</v>
      </c>
      <c r="K2532" s="10">
        <f>IF(F2532&gt;0,H2532/F2532,"")</f>
        <v/>
      </c>
      <c r="L2532" s="16">
        <f>IF(AND(G2532&gt;0,H2532&gt;0),G2532/H2532,"")</f>
        <v/>
      </c>
    </row>
    <row r="2533">
      <c r="A2533" s="4" t="inlineStr">
        <is>
          <t>310</t>
        </is>
      </c>
      <c r="B2533" s="4" t="n">
        <v>3</v>
      </c>
      <c r="C2533" s="4" t="inlineStr">
        <is>
          <t>elk</t>
        </is>
      </c>
      <c r="D2533" s="4" t="n">
        <v>2007</v>
      </c>
      <c r="E2533" s="13" t="inlineStr">
        <is>
          <t>General</t>
        </is>
      </c>
      <c r="F2533" s="5" t="n">
        <v>740</v>
      </c>
      <c r="G2533" s="5" t="n">
        <v>4805</v>
      </c>
      <c r="H2533" s="5" t="n">
        <v>65</v>
      </c>
      <c r="I2533" s="5" t="n">
        <v>50</v>
      </c>
      <c r="J2533" s="5" t="n">
        <v>12</v>
      </c>
      <c r="K2533" s="10">
        <f>IF(F2533&gt;0,H2533/F2533,"")</f>
        <v/>
      </c>
      <c r="L2533" s="16">
        <f>IF(AND(G2533&gt;0,H2533&gt;0),G2533/H2533,"")</f>
        <v/>
      </c>
    </row>
    <row r="2534">
      <c r="A2534" s="4" t="inlineStr">
        <is>
          <t>310</t>
        </is>
      </c>
      <c r="B2534" s="4" t="n">
        <v>3</v>
      </c>
      <c r="C2534" s="4" t="inlineStr">
        <is>
          <t>elk</t>
        </is>
      </c>
      <c r="D2534" s="4" t="n">
        <v>2008</v>
      </c>
      <c r="E2534" s="13" t="inlineStr">
        <is>
          <t>General</t>
        </is>
      </c>
      <c r="F2534" s="5" t="n">
        <v>489</v>
      </c>
      <c r="G2534" s="5" t="n">
        <v>3565</v>
      </c>
      <c r="H2534" s="5" t="n">
        <v>62</v>
      </c>
      <c r="I2534" s="5" t="n">
        <v>52</v>
      </c>
      <c r="J2534" s="5" t="n">
        <v>11</v>
      </c>
      <c r="K2534" s="10">
        <f>IF(F2534&gt;0,H2534/F2534,"")</f>
        <v/>
      </c>
      <c r="L2534" s="16">
        <f>IF(AND(G2534&gt;0,H2534&gt;0),G2534/H2534,"")</f>
        <v/>
      </c>
    </row>
    <row r="2535">
      <c r="A2535" s="4" t="inlineStr">
        <is>
          <t>310</t>
        </is>
      </c>
      <c r="B2535" s="4" t="n">
        <v>3</v>
      </c>
      <c r="C2535" s="4" t="inlineStr">
        <is>
          <t>elk</t>
        </is>
      </c>
      <c r="D2535" s="4" t="n">
        <v>2009</v>
      </c>
      <c r="E2535" s="13" t="inlineStr">
        <is>
          <t>General</t>
        </is>
      </c>
      <c r="F2535" s="5" t="n">
        <v>804</v>
      </c>
      <c r="G2535" s="5" t="n">
        <v>5021</v>
      </c>
      <c r="H2535" s="5" t="n">
        <v>117</v>
      </c>
      <c r="I2535" s="5" t="n">
        <v>94</v>
      </c>
      <c r="J2535" s="5" t="n">
        <v>23</v>
      </c>
      <c r="K2535" s="10">
        <f>IF(F2535&gt;0,H2535/F2535,"")</f>
        <v/>
      </c>
      <c r="L2535" s="16">
        <f>IF(AND(G2535&gt;0,H2535&gt;0),G2535/H2535,"")</f>
        <v/>
      </c>
    </row>
    <row r="2536">
      <c r="A2536" s="4" t="inlineStr">
        <is>
          <t>310</t>
        </is>
      </c>
      <c r="B2536" s="4" t="n">
        <v>3</v>
      </c>
      <c r="C2536" s="4" t="inlineStr">
        <is>
          <t>elk</t>
        </is>
      </c>
      <c r="D2536" s="4" t="n">
        <v>2010</v>
      </c>
      <c r="E2536" s="13" t="inlineStr">
        <is>
          <t>General</t>
        </is>
      </c>
      <c r="F2536" s="5" t="n">
        <v>742</v>
      </c>
      <c r="G2536" s="5" t="n">
        <v>5064</v>
      </c>
      <c r="H2536" s="5" t="n">
        <v>170</v>
      </c>
      <c r="I2536" s="5" t="n">
        <v>151</v>
      </c>
      <c r="J2536" s="5" t="n">
        <v>19</v>
      </c>
      <c r="K2536" s="10">
        <f>IF(F2536&gt;0,H2536/F2536,"")</f>
        <v/>
      </c>
      <c r="L2536" s="16">
        <f>IF(AND(G2536&gt;0,H2536&gt;0),G2536/H2536,"")</f>
        <v/>
      </c>
    </row>
    <row r="2537">
      <c r="A2537" s="4" t="inlineStr">
        <is>
          <t>310</t>
        </is>
      </c>
      <c r="B2537" s="4" t="n">
        <v>3</v>
      </c>
      <c r="C2537" s="4" t="inlineStr">
        <is>
          <t>elk</t>
        </is>
      </c>
      <c r="D2537" s="4" t="n">
        <v>2011</v>
      </c>
      <c r="E2537" s="13" t="inlineStr">
        <is>
          <t>General</t>
        </is>
      </c>
      <c r="F2537" s="5" t="n">
        <v>922</v>
      </c>
      <c r="G2537" s="5" t="n">
        <v>6336</v>
      </c>
      <c r="H2537" s="5" t="n">
        <v>99</v>
      </c>
      <c r="I2537" s="5" t="n">
        <v>93</v>
      </c>
      <c r="J2537" s="5" t="n">
        <v>5</v>
      </c>
      <c r="K2537" s="10">
        <f>IF(F2537&gt;0,H2537/F2537,"")</f>
        <v/>
      </c>
      <c r="L2537" s="16">
        <f>IF(AND(G2537&gt;0,H2537&gt;0),G2537/H2537,"")</f>
        <v/>
      </c>
    </row>
    <row r="2538">
      <c r="A2538" s="4" t="inlineStr">
        <is>
          <t>310</t>
        </is>
      </c>
      <c r="B2538" s="4" t="n">
        <v>3</v>
      </c>
      <c r="C2538" s="4" t="inlineStr">
        <is>
          <t>elk</t>
        </is>
      </c>
      <c r="D2538" s="4" t="n">
        <v>2012</v>
      </c>
      <c r="E2538" s="13" t="inlineStr">
        <is>
          <t>General</t>
        </is>
      </c>
      <c r="F2538" s="5" t="n">
        <v>882</v>
      </c>
      <c r="G2538" s="5" t="n">
        <v>6161</v>
      </c>
      <c r="H2538" s="5" t="n">
        <v>128</v>
      </c>
      <c r="I2538" s="5" t="n">
        <v>112</v>
      </c>
      <c r="J2538" s="5" t="n">
        <v>16</v>
      </c>
      <c r="K2538" s="10">
        <f>IF(F2538&gt;0,H2538/F2538,"")</f>
        <v/>
      </c>
      <c r="L2538" s="16">
        <f>IF(AND(G2538&gt;0,H2538&gt;0),G2538/H2538,"")</f>
        <v/>
      </c>
    </row>
    <row r="2539">
      <c r="A2539" s="4" t="inlineStr">
        <is>
          <t>310</t>
        </is>
      </c>
      <c r="B2539" s="4" t="n">
        <v>3</v>
      </c>
      <c r="C2539" s="4" t="inlineStr">
        <is>
          <t>elk</t>
        </is>
      </c>
      <c r="D2539" s="4" t="n">
        <v>2013</v>
      </c>
      <c r="E2539" s="13" t="inlineStr">
        <is>
          <t>General</t>
        </is>
      </c>
      <c r="F2539" s="5" t="n"/>
      <c r="G2539" s="5" t="n"/>
      <c r="H2539" s="5" t="n">
        <v>74</v>
      </c>
      <c r="I2539" s="5" t="n">
        <v>68</v>
      </c>
      <c r="J2539" s="5" t="n">
        <v>6</v>
      </c>
      <c r="K2539" s="10">
        <f>IF(F2539&gt;0,H2539/F2539,"")</f>
        <v/>
      </c>
      <c r="L2539" s="16">
        <f>IF(AND(G2539&gt;0,H2539&gt;0),G2539/H2539,"")</f>
        <v/>
      </c>
    </row>
    <row r="2540">
      <c r="A2540" s="4" t="inlineStr">
        <is>
          <t>310</t>
        </is>
      </c>
      <c r="B2540" s="4" t="n">
        <v>3</v>
      </c>
      <c r="C2540" s="4" t="inlineStr">
        <is>
          <t>elk</t>
        </is>
      </c>
      <c r="D2540" s="4" t="n">
        <v>2014</v>
      </c>
      <c r="E2540" s="13" t="inlineStr">
        <is>
          <t>General</t>
        </is>
      </c>
      <c r="F2540" s="5" t="n">
        <v>756</v>
      </c>
      <c r="G2540" s="5" t="n">
        <v>5497</v>
      </c>
      <c r="H2540" s="5" t="n">
        <v>108</v>
      </c>
      <c r="I2540" s="5" t="n">
        <v>98</v>
      </c>
      <c r="J2540" s="5" t="n">
        <v>7</v>
      </c>
      <c r="K2540" s="10">
        <f>IF(F2540&gt;0,H2540/F2540,"")</f>
        <v/>
      </c>
      <c r="L2540" s="16">
        <f>IF(AND(G2540&gt;0,H2540&gt;0),G2540/H2540,"")</f>
        <v/>
      </c>
    </row>
    <row r="2541">
      <c r="A2541" s="4" t="inlineStr">
        <is>
          <t>310</t>
        </is>
      </c>
      <c r="B2541" s="4" t="n">
        <v>3</v>
      </c>
      <c r="C2541" s="4" t="inlineStr">
        <is>
          <t>elk</t>
        </is>
      </c>
      <c r="D2541" s="4" t="n">
        <v>2015</v>
      </c>
      <c r="E2541" s="13" t="inlineStr">
        <is>
          <t>General</t>
        </is>
      </c>
      <c r="F2541" s="5" t="n">
        <v>913</v>
      </c>
      <c r="G2541" s="5" t="n">
        <v>6642</v>
      </c>
      <c r="H2541" s="5" t="n">
        <v>143</v>
      </c>
      <c r="I2541" s="5" t="n">
        <v>128</v>
      </c>
      <c r="J2541" s="5" t="n">
        <v>15</v>
      </c>
      <c r="K2541" s="10">
        <f>IF(F2541&gt;0,H2541/F2541,"")</f>
        <v/>
      </c>
      <c r="L2541" s="16">
        <f>IF(AND(G2541&gt;0,H2541&gt;0),G2541/H2541,"")</f>
        <v/>
      </c>
    </row>
    <row r="2542">
      <c r="A2542" s="4" t="inlineStr">
        <is>
          <t>310</t>
        </is>
      </c>
      <c r="B2542" s="4" t="n">
        <v>3</v>
      </c>
      <c r="C2542" s="4" t="inlineStr">
        <is>
          <t>elk</t>
        </is>
      </c>
      <c r="D2542" s="4" t="n">
        <v>2016</v>
      </c>
      <c r="E2542" s="13" t="inlineStr">
        <is>
          <t>General</t>
        </is>
      </c>
      <c r="F2542" s="5" t="n">
        <v>995</v>
      </c>
      <c r="G2542" s="5" t="n">
        <v>7229</v>
      </c>
      <c r="H2542" s="5" t="n">
        <v>112</v>
      </c>
      <c r="I2542" s="5" t="n">
        <v>93</v>
      </c>
      <c r="J2542" s="5" t="n">
        <v>19</v>
      </c>
      <c r="K2542" s="10">
        <f>IF(F2542&gt;0,H2542/F2542,"")</f>
        <v/>
      </c>
      <c r="L2542" s="16">
        <f>IF(AND(G2542&gt;0,H2542&gt;0),G2542/H2542,"")</f>
        <v/>
      </c>
    </row>
    <row r="2543">
      <c r="A2543" s="4" t="inlineStr">
        <is>
          <t>310</t>
        </is>
      </c>
      <c r="B2543" s="4" t="n">
        <v>3</v>
      </c>
      <c r="C2543" s="4" t="inlineStr">
        <is>
          <t>elk</t>
        </is>
      </c>
      <c r="D2543" s="4" t="n">
        <v>2017</v>
      </c>
      <c r="E2543" s="13" t="inlineStr">
        <is>
          <t>General</t>
        </is>
      </c>
      <c r="F2543" s="5" t="n"/>
      <c r="G2543" s="5" t="n"/>
      <c r="H2543" s="5" t="n">
        <v>137</v>
      </c>
      <c r="I2543" s="5" t="n">
        <v>111</v>
      </c>
      <c r="J2543" s="5" t="n">
        <v>26</v>
      </c>
      <c r="K2543" s="10">
        <f>IF(F2543&gt;0,H2543/F2543,"")</f>
        <v/>
      </c>
      <c r="L2543" s="16">
        <f>IF(AND(G2543&gt;0,H2543&gt;0),G2543/H2543,"")</f>
        <v/>
      </c>
    </row>
    <row r="2544">
      <c r="A2544" s="4" t="inlineStr">
        <is>
          <t>310</t>
        </is>
      </c>
      <c r="B2544" s="4" t="n">
        <v>3</v>
      </c>
      <c r="C2544" s="4" t="inlineStr">
        <is>
          <t>elk</t>
        </is>
      </c>
      <c r="D2544" s="4" t="n">
        <v>2018</v>
      </c>
      <c r="E2544" s="13" t="inlineStr">
        <is>
          <t>General</t>
        </is>
      </c>
      <c r="F2544" s="5" t="n">
        <v>752</v>
      </c>
      <c r="G2544" s="5" t="n">
        <v>5685</v>
      </c>
      <c r="H2544" s="5" t="n">
        <v>100</v>
      </c>
      <c r="I2544" s="5" t="n">
        <v>94</v>
      </c>
      <c r="J2544" s="5" t="n">
        <v>3</v>
      </c>
      <c r="K2544" s="10">
        <f>IF(F2544&gt;0,H2544/F2544,"")</f>
        <v/>
      </c>
      <c r="L2544" s="16">
        <f>IF(AND(G2544&gt;0,H2544&gt;0),G2544/H2544,"")</f>
        <v/>
      </c>
    </row>
    <row r="2545">
      <c r="A2545" s="4" t="inlineStr">
        <is>
          <t>310</t>
        </is>
      </c>
      <c r="B2545" s="4" t="n">
        <v>3</v>
      </c>
      <c r="C2545" s="4" t="inlineStr">
        <is>
          <t>elk</t>
        </is>
      </c>
      <c r="D2545" s="4" t="n">
        <v>2019</v>
      </c>
      <c r="E2545" s="13" t="inlineStr">
        <is>
          <t>General</t>
        </is>
      </c>
      <c r="F2545" s="5" t="n"/>
      <c r="G2545" s="5" t="n"/>
      <c r="H2545" s="5" t="n">
        <v>97</v>
      </c>
      <c r="I2545" s="5" t="n">
        <v>84</v>
      </c>
      <c r="J2545" s="5" t="n">
        <v>12</v>
      </c>
      <c r="K2545" s="10">
        <f>IF(F2545&gt;0,H2545/F2545,"")</f>
        <v/>
      </c>
      <c r="L2545" s="16">
        <f>IF(AND(G2545&gt;0,H2545&gt;0),G2545/H2545,"")</f>
        <v/>
      </c>
    </row>
    <row r="2546">
      <c r="A2546" s="4" t="inlineStr">
        <is>
          <t>310</t>
        </is>
      </c>
      <c r="B2546" s="4" t="n">
        <v>3</v>
      </c>
      <c r="C2546" s="4" t="inlineStr">
        <is>
          <t>elk</t>
        </is>
      </c>
      <c r="D2546" s="4" t="n">
        <v>2020</v>
      </c>
      <c r="E2546" s="13" t="inlineStr">
        <is>
          <t>General</t>
        </is>
      </c>
      <c r="F2546" s="5" t="n">
        <v>746</v>
      </c>
      <c r="G2546" s="5" t="n">
        <v>5745</v>
      </c>
      <c r="H2546" s="5" t="n">
        <v>124</v>
      </c>
      <c r="I2546" s="5" t="n">
        <v>97</v>
      </c>
      <c r="J2546" s="5" t="n">
        <v>27</v>
      </c>
      <c r="K2546" s="10">
        <f>IF(F2546&gt;0,H2546/F2546,"")</f>
        <v/>
      </c>
      <c r="L2546" s="16">
        <f>IF(AND(G2546&gt;0,H2546&gt;0),G2546/H2546,"")</f>
        <v/>
      </c>
    </row>
    <row r="2547">
      <c r="A2547" s="4" t="inlineStr">
        <is>
          <t>310</t>
        </is>
      </c>
      <c r="B2547" s="4" t="n">
        <v>3</v>
      </c>
      <c r="C2547" s="4" t="inlineStr">
        <is>
          <t>elk</t>
        </is>
      </c>
      <c r="D2547" s="4" t="n">
        <v>2021</v>
      </c>
      <c r="E2547" s="13" t="inlineStr">
        <is>
          <t>General</t>
        </is>
      </c>
      <c r="F2547" s="5" t="n"/>
      <c r="G2547" s="5" t="n"/>
      <c r="H2547" s="5" t="n">
        <v>108</v>
      </c>
      <c r="I2547" s="5" t="n">
        <v>86</v>
      </c>
      <c r="J2547" s="5" t="n">
        <v>17</v>
      </c>
      <c r="K2547" s="10">
        <f>IF(F2547&gt;0,H2547/F2547,"")</f>
        <v/>
      </c>
      <c r="L2547" s="16">
        <f>IF(AND(G2547&gt;0,H2547&gt;0),G2547/H2547,"")</f>
        <v/>
      </c>
    </row>
    <row r="2548">
      <c r="A2548" s="4" t="inlineStr">
        <is>
          <t>310</t>
        </is>
      </c>
      <c r="B2548" s="4" t="n">
        <v>3</v>
      </c>
      <c r="C2548" s="4" t="inlineStr">
        <is>
          <t>elk</t>
        </is>
      </c>
      <c r="D2548" s="4" t="n">
        <v>2022</v>
      </c>
      <c r="E2548" s="13" t="inlineStr">
        <is>
          <t>General</t>
        </is>
      </c>
      <c r="F2548" s="5" t="n">
        <v>873</v>
      </c>
      <c r="G2548" s="5" t="n">
        <v>6855</v>
      </c>
      <c r="H2548" s="5" t="n">
        <v>199</v>
      </c>
      <c r="I2548" s="5" t="n">
        <v>187</v>
      </c>
      <c r="J2548" s="5" t="n">
        <v>12</v>
      </c>
      <c r="K2548" s="10">
        <f>IF(F2548&gt;0,H2548/F2548,"")</f>
        <v/>
      </c>
      <c r="L2548" s="16">
        <f>IF(AND(G2548&gt;0,H2548&gt;0),G2548/H2548,"")</f>
        <v/>
      </c>
    </row>
    <row r="2549">
      <c r="A2549" s="4" t="inlineStr">
        <is>
          <t>310</t>
        </is>
      </c>
      <c r="B2549" s="4" t="n">
        <v>3</v>
      </c>
      <c r="C2549" s="4" t="inlineStr">
        <is>
          <t>elk</t>
        </is>
      </c>
      <c r="D2549" s="4" t="n">
        <v>2023</v>
      </c>
      <c r="E2549" s="13" t="inlineStr">
        <is>
          <t>General</t>
        </is>
      </c>
      <c r="F2549" s="5" t="n"/>
      <c r="G2549" s="5" t="n"/>
      <c r="H2549" s="5" t="n">
        <v>78</v>
      </c>
      <c r="I2549" s="5" t="n">
        <v>60</v>
      </c>
      <c r="J2549" s="5" t="n">
        <v>15</v>
      </c>
      <c r="K2549" s="10">
        <f>IF(F2549&gt;0,H2549/F2549,"")</f>
        <v/>
      </c>
      <c r="L2549" s="16">
        <f>IF(AND(G2549&gt;0,H2549&gt;0),G2549/H2549,"")</f>
        <v/>
      </c>
    </row>
    <row r="2550">
      <c r="A2550" s="4" t="inlineStr">
        <is>
          <t>310</t>
        </is>
      </c>
      <c r="B2550" s="4" t="n">
        <v>3</v>
      </c>
      <c r="C2550" s="4" t="inlineStr">
        <is>
          <t>elk</t>
        </is>
      </c>
      <c r="D2550" s="4" t="n">
        <v>2024</v>
      </c>
      <c r="E2550" s="13" t="inlineStr">
        <is>
          <t>General</t>
        </is>
      </c>
      <c r="F2550" s="5" t="n">
        <v>908</v>
      </c>
      <c r="G2550" s="5" t="n">
        <v>7510</v>
      </c>
      <c r="H2550" s="5" t="n">
        <v>117</v>
      </c>
      <c r="I2550" s="5" t="n">
        <v>98</v>
      </c>
      <c r="J2550" s="5" t="n">
        <v>15</v>
      </c>
      <c r="K2550" s="10">
        <f>IF(F2550&gt;0,H2550/F2550,"")</f>
        <v/>
      </c>
      <c r="L2550" s="16">
        <f>IF(AND(G2550&gt;0,H2550&gt;0),G2550/H2550,"")</f>
        <v/>
      </c>
    </row>
    <row r="2551">
      <c r="A2551" s="4" t="inlineStr">
        <is>
          <t>310</t>
        </is>
      </c>
      <c r="B2551" s="4" t="n">
        <v>3</v>
      </c>
      <c r="C2551" s="4" t="inlineStr">
        <is>
          <t>elk</t>
        </is>
      </c>
      <c r="D2551" s="4" t="n">
        <v>2025</v>
      </c>
      <c r="E2551" s="13" t="inlineStr">
        <is>
          <t>General</t>
        </is>
      </c>
      <c r="F2551" s="5" t="n"/>
      <c r="G2551" s="5" t="n"/>
      <c r="H2551" s="5" t="n">
        <v>58</v>
      </c>
      <c r="I2551" s="5" t="n">
        <v>52</v>
      </c>
      <c r="J2551" s="5" t="n">
        <v>6</v>
      </c>
      <c r="K2551" s="10">
        <f>IF(F2551&gt;0,H2551/F2551,"")</f>
        <v/>
      </c>
      <c r="L2551" s="16">
        <f>IF(AND(G2551&gt;0,H2551&gt;0),G2551/H2551,"")</f>
        <v/>
      </c>
    </row>
    <row r="2552">
      <c r="A2552" s="4" t="inlineStr">
        <is>
          <t>311</t>
        </is>
      </c>
      <c r="B2552" s="4" t="n">
        <v>3</v>
      </c>
      <c r="C2552" s="4" t="inlineStr">
        <is>
          <t>elk</t>
        </is>
      </c>
      <c r="D2552" s="4" t="n">
        <v>2004</v>
      </c>
      <c r="E2552" s="13" t="inlineStr">
        <is>
          <t>General</t>
        </is>
      </c>
      <c r="F2552" s="5" t="n">
        <v>1105</v>
      </c>
      <c r="G2552" s="5" t="n">
        <v>4959</v>
      </c>
      <c r="H2552" s="5" t="n">
        <v>268</v>
      </c>
      <c r="I2552" s="5" t="n">
        <v>113</v>
      </c>
      <c r="J2552" s="5" t="n">
        <v>133</v>
      </c>
      <c r="K2552" s="10">
        <f>IF(F2552&gt;0,H2552/F2552,"")</f>
        <v/>
      </c>
      <c r="L2552" s="16">
        <f>IF(AND(G2552&gt;0,H2552&gt;0),G2552/H2552,"")</f>
        <v/>
      </c>
    </row>
    <row r="2553">
      <c r="A2553" s="4" t="inlineStr">
        <is>
          <t>311</t>
        </is>
      </c>
      <c r="B2553" s="4" t="n">
        <v>3</v>
      </c>
      <c r="C2553" s="4" t="inlineStr">
        <is>
          <t>elk</t>
        </is>
      </c>
      <c r="D2553" s="4" t="n">
        <v>2005</v>
      </c>
      <c r="E2553" s="13" t="inlineStr">
        <is>
          <t>General</t>
        </is>
      </c>
      <c r="F2553" s="5" t="n">
        <v>837</v>
      </c>
      <c r="G2553" s="5" t="n">
        <v>3702</v>
      </c>
      <c r="H2553" s="5" t="n">
        <v>187</v>
      </c>
      <c r="I2553" s="5" t="n">
        <v>113</v>
      </c>
      <c r="J2553" s="5" t="n">
        <v>68</v>
      </c>
      <c r="K2553" s="10">
        <f>IF(F2553&gt;0,H2553/F2553,"")</f>
        <v/>
      </c>
      <c r="L2553" s="16">
        <f>IF(AND(G2553&gt;0,H2553&gt;0),G2553/H2553,"")</f>
        <v/>
      </c>
    </row>
    <row r="2554">
      <c r="A2554" s="4" t="inlineStr">
        <is>
          <t>311</t>
        </is>
      </c>
      <c r="B2554" s="4" t="n">
        <v>3</v>
      </c>
      <c r="C2554" s="4" t="inlineStr">
        <is>
          <t>elk</t>
        </is>
      </c>
      <c r="D2554" s="4" t="n">
        <v>2006</v>
      </c>
      <c r="E2554" s="13" t="inlineStr">
        <is>
          <t>General</t>
        </is>
      </c>
      <c r="F2554" s="5" t="n">
        <v>786</v>
      </c>
      <c r="G2554" s="5" t="n">
        <v>4012</v>
      </c>
      <c r="H2554" s="5" t="n">
        <v>196</v>
      </c>
      <c r="I2554" s="5" t="n">
        <v>115</v>
      </c>
      <c r="J2554" s="5" t="n">
        <v>59</v>
      </c>
      <c r="K2554" s="10">
        <f>IF(F2554&gt;0,H2554/F2554,"")</f>
        <v/>
      </c>
      <c r="L2554" s="16">
        <f>IF(AND(G2554&gt;0,H2554&gt;0),G2554/H2554,"")</f>
        <v/>
      </c>
    </row>
    <row r="2555">
      <c r="A2555" s="4" t="inlineStr">
        <is>
          <t>311</t>
        </is>
      </c>
      <c r="B2555" s="4" t="n">
        <v>3</v>
      </c>
      <c r="C2555" s="4" t="inlineStr">
        <is>
          <t>elk</t>
        </is>
      </c>
      <c r="D2555" s="4" t="n">
        <v>2007</v>
      </c>
      <c r="E2555" s="13" t="inlineStr">
        <is>
          <t>General</t>
        </is>
      </c>
      <c r="F2555" s="5" t="n">
        <v>913</v>
      </c>
      <c r="G2555" s="5" t="n">
        <v>4746</v>
      </c>
      <c r="H2555" s="5" t="n">
        <v>283</v>
      </c>
      <c r="I2555" s="5" t="n">
        <v>144</v>
      </c>
      <c r="J2555" s="5" t="n">
        <v>105</v>
      </c>
      <c r="K2555" s="10">
        <f>IF(F2555&gt;0,H2555/F2555,"")</f>
        <v/>
      </c>
      <c r="L2555" s="16">
        <f>IF(AND(G2555&gt;0,H2555&gt;0),G2555/H2555,"")</f>
        <v/>
      </c>
    </row>
    <row r="2556">
      <c r="A2556" s="4" t="inlineStr">
        <is>
          <t>311</t>
        </is>
      </c>
      <c r="B2556" s="4" t="n">
        <v>3</v>
      </c>
      <c r="C2556" s="4" t="inlineStr">
        <is>
          <t>elk</t>
        </is>
      </c>
      <c r="D2556" s="4" t="n">
        <v>2008</v>
      </c>
      <c r="E2556" s="13" t="inlineStr">
        <is>
          <t>General</t>
        </is>
      </c>
      <c r="F2556" s="5" t="n">
        <v>797</v>
      </c>
      <c r="G2556" s="5" t="n">
        <v>4573</v>
      </c>
      <c r="H2556" s="5" t="n">
        <v>135</v>
      </c>
      <c r="I2556" s="5" t="n">
        <v>81</v>
      </c>
      <c r="J2556" s="5" t="n">
        <v>48</v>
      </c>
      <c r="K2556" s="10">
        <f>IF(F2556&gt;0,H2556/F2556,"")</f>
        <v/>
      </c>
      <c r="L2556" s="16">
        <f>IF(AND(G2556&gt;0,H2556&gt;0),G2556/H2556,"")</f>
        <v/>
      </c>
    </row>
    <row r="2557">
      <c r="A2557" s="4" t="inlineStr">
        <is>
          <t>311</t>
        </is>
      </c>
      <c r="B2557" s="4" t="n">
        <v>3</v>
      </c>
      <c r="C2557" s="4" t="inlineStr">
        <is>
          <t>elk</t>
        </is>
      </c>
      <c r="D2557" s="4" t="n">
        <v>2009</v>
      </c>
      <c r="E2557" s="13" t="inlineStr">
        <is>
          <t>General</t>
        </is>
      </c>
      <c r="F2557" s="5" t="n">
        <v>858</v>
      </c>
      <c r="G2557" s="5" t="n">
        <v>4984</v>
      </c>
      <c r="H2557" s="5" t="n">
        <v>175</v>
      </c>
      <c r="I2557" s="5" t="n">
        <v>66</v>
      </c>
      <c r="J2557" s="5" t="n">
        <v>92</v>
      </c>
      <c r="K2557" s="10">
        <f>IF(F2557&gt;0,H2557/F2557,"")</f>
        <v/>
      </c>
      <c r="L2557" s="16">
        <f>IF(AND(G2557&gt;0,H2557&gt;0),G2557/H2557,"")</f>
        <v/>
      </c>
    </row>
    <row r="2558">
      <c r="A2558" s="4" t="inlineStr">
        <is>
          <t>311</t>
        </is>
      </c>
      <c r="B2558" s="4" t="n">
        <v>3</v>
      </c>
      <c r="C2558" s="4" t="inlineStr">
        <is>
          <t>elk</t>
        </is>
      </c>
      <c r="D2558" s="4" t="n">
        <v>2010</v>
      </c>
      <c r="E2558" s="13" t="inlineStr">
        <is>
          <t>General</t>
        </is>
      </c>
      <c r="F2558" s="5" t="n">
        <v>841</v>
      </c>
      <c r="G2558" s="5" t="n">
        <v>4608</v>
      </c>
      <c r="H2558" s="5" t="n">
        <v>255</v>
      </c>
      <c r="I2558" s="5" t="n">
        <v>113</v>
      </c>
      <c r="J2558" s="5" t="n">
        <v>133</v>
      </c>
      <c r="K2558" s="10">
        <f>IF(F2558&gt;0,H2558/F2558,"")</f>
        <v/>
      </c>
      <c r="L2558" s="16">
        <f>IF(AND(G2558&gt;0,H2558&gt;0),G2558/H2558,"")</f>
        <v/>
      </c>
    </row>
    <row r="2559">
      <c r="A2559" s="4" t="inlineStr">
        <is>
          <t>311</t>
        </is>
      </c>
      <c r="B2559" s="4" t="n">
        <v>3</v>
      </c>
      <c r="C2559" s="4" t="inlineStr">
        <is>
          <t>elk</t>
        </is>
      </c>
      <c r="D2559" s="4" t="n">
        <v>2011</v>
      </c>
      <c r="E2559" s="13" t="inlineStr">
        <is>
          <t>General</t>
        </is>
      </c>
      <c r="F2559" s="5" t="n">
        <v>892</v>
      </c>
      <c r="G2559" s="5" t="n">
        <v>5029</v>
      </c>
      <c r="H2559" s="5" t="n">
        <v>167</v>
      </c>
      <c r="I2559" s="5" t="n">
        <v>84</v>
      </c>
      <c r="J2559" s="5" t="n">
        <v>78</v>
      </c>
      <c r="K2559" s="10">
        <f>IF(F2559&gt;0,H2559/F2559,"")</f>
        <v/>
      </c>
      <c r="L2559" s="16">
        <f>IF(AND(G2559&gt;0,H2559&gt;0),G2559/H2559,"")</f>
        <v/>
      </c>
    </row>
    <row r="2560">
      <c r="A2560" s="4" t="inlineStr">
        <is>
          <t>311</t>
        </is>
      </c>
      <c r="B2560" s="4" t="n">
        <v>3</v>
      </c>
      <c r="C2560" s="4" t="inlineStr">
        <is>
          <t>elk</t>
        </is>
      </c>
      <c r="D2560" s="4" t="n">
        <v>2012</v>
      </c>
      <c r="E2560" s="13" t="inlineStr">
        <is>
          <t>General</t>
        </is>
      </c>
      <c r="F2560" s="5" t="n">
        <v>958</v>
      </c>
      <c r="G2560" s="5" t="n">
        <v>4605</v>
      </c>
      <c r="H2560" s="5" t="n">
        <v>233</v>
      </c>
      <c r="I2560" s="5" t="n">
        <v>116</v>
      </c>
      <c r="J2560" s="5" t="n">
        <v>111</v>
      </c>
      <c r="K2560" s="10">
        <f>IF(F2560&gt;0,H2560/F2560,"")</f>
        <v/>
      </c>
      <c r="L2560" s="16">
        <f>IF(AND(G2560&gt;0,H2560&gt;0),G2560/H2560,"")</f>
        <v/>
      </c>
    </row>
    <row r="2561">
      <c r="A2561" s="4" t="inlineStr">
        <is>
          <t>311</t>
        </is>
      </c>
      <c r="B2561" s="4" t="n">
        <v>3</v>
      </c>
      <c r="C2561" s="4" t="inlineStr">
        <is>
          <t>elk</t>
        </is>
      </c>
      <c r="D2561" s="4" t="n">
        <v>2013</v>
      </c>
      <c r="E2561" s="13" t="inlineStr">
        <is>
          <t>General</t>
        </is>
      </c>
      <c r="F2561" s="5" t="n"/>
      <c r="G2561" s="5" t="n"/>
      <c r="H2561" s="5" t="n">
        <v>150</v>
      </c>
      <c r="I2561" s="5" t="n">
        <v>78</v>
      </c>
      <c r="J2561" s="5" t="n">
        <v>64</v>
      </c>
      <c r="K2561" s="10">
        <f>IF(F2561&gt;0,H2561/F2561,"")</f>
        <v/>
      </c>
      <c r="L2561" s="16">
        <f>IF(AND(G2561&gt;0,H2561&gt;0),G2561/H2561,"")</f>
        <v/>
      </c>
    </row>
    <row r="2562">
      <c r="A2562" s="4" t="inlineStr">
        <is>
          <t>311</t>
        </is>
      </c>
      <c r="B2562" s="4" t="n">
        <v>3</v>
      </c>
      <c r="C2562" s="4" t="inlineStr">
        <is>
          <t>elk</t>
        </is>
      </c>
      <c r="D2562" s="4" t="n">
        <v>2014</v>
      </c>
      <c r="E2562" s="13" t="inlineStr">
        <is>
          <t>General</t>
        </is>
      </c>
      <c r="F2562" s="5" t="n">
        <v>1086</v>
      </c>
      <c r="G2562" s="5" t="n">
        <v>6212</v>
      </c>
      <c r="H2562" s="5" t="n">
        <v>258</v>
      </c>
      <c r="I2562" s="5" t="n">
        <v>129</v>
      </c>
      <c r="J2562" s="5" t="n">
        <v>121</v>
      </c>
      <c r="K2562" s="10">
        <f>IF(F2562&gt;0,H2562/F2562,"")</f>
        <v/>
      </c>
      <c r="L2562" s="16">
        <f>IF(AND(G2562&gt;0,H2562&gt;0),G2562/H2562,"")</f>
        <v/>
      </c>
    </row>
    <row r="2563">
      <c r="A2563" s="4" t="inlineStr">
        <is>
          <t>311</t>
        </is>
      </c>
      <c r="B2563" s="4" t="n">
        <v>3</v>
      </c>
      <c r="C2563" s="4" t="inlineStr">
        <is>
          <t>elk</t>
        </is>
      </c>
      <c r="D2563" s="4" t="n">
        <v>2015</v>
      </c>
      <c r="E2563" s="13" t="inlineStr">
        <is>
          <t>General</t>
        </is>
      </c>
      <c r="F2563" s="5" t="n">
        <v>1157</v>
      </c>
      <c r="G2563" s="5" t="n">
        <v>7129</v>
      </c>
      <c r="H2563" s="5" t="n">
        <v>341</v>
      </c>
      <c r="I2563" s="5" t="n">
        <v>130</v>
      </c>
      <c r="J2563" s="5" t="n">
        <v>192</v>
      </c>
      <c r="K2563" s="10">
        <f>IF(F2563&gt;0,H2563/F2563,"")</f>
        <v/>
      </c>
      <c r="L2563" s="16">
        <f>IF(AND(G2563&gt;0,H2563&gt;0),G2563/H2563,"")</f>
        <v/>
      </c>
    </row>
    <row r="2564">
      <c r="A2564" s="4" t="inlineStr">
        <is>
          <t>311</t>
        </is>
      </c>
      <c r="B2564" s="4" t="n">
        <v>3</v>
      </c>
      <c r="C2564" s="4" t="inlineStr">
        <is>
          <t>elk</t>
        </is>
      </c>
      <c r="D2564" s="4" t="n">
        <v>2016</v>
      </c>
      <c r="E2564" s="13" t="inlineStr">
        <is>
          <t>General</t>
        </is>
      </c>
      <c r="F2564" s="5" t="n">
        <v>1124</v>
      </c>
      <c r="G2564" s="5" t="n">
        <v>6834</v>
      </c>
      <c r="H2564" s="5" t="n">
        <v>224</v>
      </c>
      <c r="I2564" s="5" t="n">
        <v>116</v>
      </c>
      <c r="J2564" s="5" t="n">
        <v>97</v>
      </c>
      <c r="K2564" s="10">
        <f>IF(F2564&gt;0,H2564/F2564,"")</f>
        <v/>
      </c>
      <c r="L2564" s="16">
        <f>IF(AND(G2564&gt;0,H2564&gt;0),G2564/H2564,"")</f>
        <v/>
      </c>
    </row>
    <row r="2565">
      <c r="A2565" s="4" t="inlineStr">
        <is>
          <t>311</t>
        </is>
      </c>
      <c r="B2565" s="4" t="n">
        <v>3</v>
      </c>
      <c r="C2565" s="4" t="inlineStr">
        <is>
          <t>elk</t>
        </is>
      </c>
      <c r="D2565" s="4" t="n">
        <v>2017</v>
      </c>
      <c r="E2565" s="13" t="inlineStr">
        <is>
          <t>General</t>
        </is>
      </c>
      <c r="F2565" s="5" t="n"/>
      <c r="G2565" s="5" t="n"/>
      <c r="H2565" s="5" t="n">
        <v>648</v>
      </c>
      <c r="I2565" s="5" t="n">
        <v>179</v>
      </c>
      <c r="J2565" s="5" t="n">
        <v>437</v>
      </c>
      <c r="K2565" s="10">
        <f>IF(F2565&gt;0,H2565/F2565,"")</f>
        <v/>
      </c>
      <c r="L2565" s="16">
        <f>IF(AND(G2565&gt;0,H2565&gt;0),G2565/H2565,"")</f>
        <v/>
      </c>
    </row>
    <row r="2566">
      <c r="A2566" s="4" t="inlineStr">
        <is>
          <t>311</t>
        </is>
      </c>
      <c r="B2566" s="4" t="n">
        <v>3</v>
      </c>
      <c r="C2566" s="4" t="inlineStr">
        <is>
          <t>elk</t>
        </is>
      </c>
      <c r="D2566" s="4" t="n">
        <v>2018</v>
      </c>
      <c r="E2566" s="13" t="inlineStr">
        <is>
          <t>General</t>
        </is>
      </c>
      <c r="F2566" s="5" t="n">
        <v>1904</v>
      </c>
      <c r="G2566" s="5" t="n">
        <v>13105</v>
      </c>
      <c r="H2566" s="5" t="n">
        <v>543</v>
      </c>
      <c r="I2566" s="5" t="n">
        <v>169</v>
      </c>
      <c r="J2566" s="5" t="n">
        <v>348</v>
      </c>
      <c r="K2566" s="10">
        <f>IF(F2566&gt;0,H2566/F2566,"")</f>
        <v/>
      </c>
      <c r="L2566" s="16">
        <f>IF(AND(G2566&gt;0,H2566&gt;0),G2566/H2566,"")</f>
        <v/>
      </c>
    </row>
    <row r="2567">
      <c r="A2567" s="4" t="inlineStr">
        <is>
          <t>311</t>
        </is>
      </c>
      <c r="B2567" s="4" t="n">
        <v>3</v>
      </c>
      <c r="C2567" s="4" t="inlineStr">
        <is>
          <t>elk</t>
        </is>
      </c>
      <c r="D2567" s="4" t="n">
        <v>2019</v>
      </c>
      <c r="E2567" s="13" t="inlineStr">
        <is>
          <t>General</t>
        </is>
      </c>
      <c r="F2567" s="5" t="n"/>
      <c r="G2567" s="5" t="n"/>
      <c r="H2567" s="5" t="n">
        <v>440</v>
      </c>
      <c r="I2567" s="5" t="n">
        <v>162</v>
      </c>
      <c r="J2567" s="5" t="n">
        <v>265</v>
      </c>
      <c r="K2567" s="10">
        <f>IF(F2567&gt;0,H2567/F2567,"")</f>
        <v/>
      </c>
      <c r="L2567" s="16">
        <f>IF(AND(G2567&gt;0,H2567&gt;0),G2567/H2567,"")</f>
        <v/>
      </c>
    </row>
    <row r="2568">
      <c r="A2568" s="4" t="inlineStr">
        <is>
          <t>311</t>
        </is>
      </c>
      <c r="B2568" s="4" t="n">
        <v>3</v>
      </c>
      <c r="C2568" s="4" t="inlineStr">
        <is>
          <t>elk</t>
        </is>
      </c>
      <c r="D2568" s="4" t="n">
        <v>2020</v>
      </c>
      <c r="E2568" s="13" t="inlineStr">
        <is>
          <t>General</t>
        </is>
      </c>
      <c r="F2568" s="5" t="n">
        <v>1644</v>
      </c>
      <c r="G2568" s="5" t="n">
        <v>11202</v>
      </c>
      <c r="H2568" s="5" t="n">
        <v>574</v>
      </c>
      <c r="I2568" s="5" t="n">
        <v>233</v>
      </c>
      <c r="J2568" s="5" t="n">
        <v>315</v>
      </c>
      <c r="K2568" s="10">
        <f>IF(F2568&gt;0,H2568/F2568,"")</f>
        <v/>
      </c>
      <c r="L2568" s="16">
        <f>IF(AND(G2568&gt;0,H2568&gt;0),G2568/H2568,"")</f>
        <v/>
      </c>
    </row>
    <row r="2569">
      <c r="A2569" s="4" t="inlineStr">
        <is>
          <t>311</t>
        </is>
      </c>
      <c r="B2569" s="4" t="n">
        <v>3</v>
      </c>
      <c r="C2569" s="4" t="inlineStr">
        <is>
          <t>elk</t>
        </is>
      </c>
      <c r="D2569" s="4" t="n">
        <v>2021</v>
      </c>
      <c r="E2569" s="13" t="inlineStr">
        <is>
          <t>General</t>
        </is>
      </c>
      <c r="F2569" s="5" t="n"/>
      <c r="G2569" s="5" t="n"/>
      <c r="H2569" s="5" t="n">
        <v>447</v>
      </c>
      <c r="I2569" s="5" t="n">
        <v>160</v>
      </c>
      <c r="J2569" s="5" t="n">
        <v>284</v>
      </c>
      <c r="K2569" s="10">
        <f>IF(F2569&gt;0,H2569/F2569,"")</f>
        <v/>
      </c>
      <c r="L2569" s="16">
        <f>IF(AND(G2569&gt;0,H2569&gt;0),G2569/H2569,"")</f>
        <v/>
      </c>
    </row>
    <row r="2570">
      <c r="A2570" s="4" t="inlineStr">
        <is>
          <t>311</t>
        </is>
      </c>
      <c r="B2570" s="4" t="n">
        <v>3</v>
      </c>
      <c r="C2570" s="4" t="inlineStr">
        <is>
          <t>elk</t>
        </is>
      </c>
      <c r="D2570" s="4" t="n">
        <v>2022</v>
      </c>
      <c r="E2570" s="13" t="inlineStr">
        <is>
          <t>General</t>
        </is>
      </c>
      <c r="F2570" s="5" t="n">
        <v>954</v>
      </c>
      <c r="G2570" s="5" t="n">
        <v>6417</v>
      </c>
      <c r="H2570" s="5" t="n">
        <v>295</v>
      </c>
      <c r="I2570" s="5" t="n">
        <v>114</v>
      </c>
      <c r="J2570" s="5" t="n">
        <v>161</v>
      </c>
      <c r="K2570" s="10">
        <f>IF(F2570&gt;0,H2570/F2570,"")</f>
        <v/>
      </c>
      <c r="L2570" s="16">
        <f>IF(AND(G2570&gt;0,H2570&gt;0),G2570/H2570,"")</f>
        <v/>
      </c>
    </row>
    <row r="2571">
      <c r="A2571" s="4" t="inlineStr">
        <is>
          <t>311</t>
        </is>
      </c>
      <c r="B2571" s="4" t="n">
        <v>3</v>
      </c>
      <c r="C2571" s="4" t="inlineStr">
        <is>
          <t>elk</t>
        </is>
      </c>
      <c r="D2571" s="4" t="n">
        <v>2023</v>
      </c>
      <c r="E2571" s="13" t="inlineStr">
        <is>
          <t>General</t>
        </is>
      </c>
      <c r="F2571" s="5" t="n"/>
      <c r="G2571" s="5" t="n"/>
      <c r="H2571" s="5" t="n">
        <v>215</v>
      </c>
      <c r="I2571" s="5" t="n">
        <v>68</v>
      </c>
      <c r="J2571" s="5" t="n">
        <v>135</v>
      </c>
      <c r="K2571" s="10">
        <f>IF(F2571&gt;0,H2571/F2571,"")</f>
        <v/>
      </c>
      <c r="L2571" s="16">
        <f>IF(AND(G2571&gt;0,H2571&gt;0),G2571/H2571,"")</f>
        <v/>
      </c>
    </row>
    <row r="2572">
      <c r="A2572" s="4" t="inlineStr">
        <is>
          <t>311</t>
        </is>
      </c>
      <c r="B2572" s="4" t="n">
        <v>3</v>
      </c>
      <c r="C2572" s="4" t="inlineStr">
        <is>
          <t>elk</t>
        </is>
      </c>
      <c r="D2572" s="4" t="n">
        <v>2024</v>
      </c>
      <c r="E2572" s="13" t="inlineStr">
        <is>
          <t>General</t>
        </is>
      </c>
      <c r="F2572" s="5" t="n">
        <v>794</v>
      </c>
      <c r="G2572" s="5" t="n">
        <v>5776</v>
      </c>
      <c r="H2572" s="5" t="n">
        <v>238</v>
      </c>
      <c r="I2572" s="5" t="n">
        <v>75</v>
      </c>
      <c r="J2572" s="5" t="n">
        <v>161</v>
      </c>
      <c r="K2572" s="10">
        <f>IF(F2572&gt;0,H2572/F2572,"")</f>
        <v/>
      </c>
      <c r="L2572" s="16">
        <f>IF(AND(G2572&gt;0,H2572&gt;0),G2572/H2572,"")</f>
        <v/>
      </c>
    </row>
    <row r="2573">
      <c r="A2573" s="4" t="inlineStr">
        <is>
          <t>311</t>
        </is>
      </c>
      <c r="B2573" s="4" t="n">
        <v>3</v>
      </c>
      <c r="C2573" s="4" t="inlineStr">
        <is>
          <t>elk</t>
        </is>
      </c>
      <c r="D2573" s="4" t="n">
        <v>2025</v>
      </c>
      <c r="E2573" s="13" t="inlineStr">
        <is>
          <t>General</t>
        </is>
      </c>
      <c r="F2573" s="5" t="n"/>
      <c r="G2573" s="5" t="n"/>
      <c r="H2573" s="5" t="n">
        <v>198</v>
      </c>
      <c r="I2573" s="5" t="n">
        <v>56</v>
      </c>
      <c r="J2573" s="5" t="n">
        <v>136</v>
      </c>
      <c r="K2573" s="10">
        <f>IF(F2573&gt;0,H2573/F2573,"")</f>
        <v/>
      </c>
      <c r="L2573" s="16">
        <f>IF(AND(G2573&gt;0,H2573&gt;0),G2573/H2573,"")</f>
        <v/>
      </c>
    </row>
    <row r="2574">
      <c r="A2574" s="4" t="inlineStr">
        <is>
          <t>312</t>
        </is>
      </c>
      <c r="B2574" s="4" t="n">
        <v>3</v>
      </c>
      <c r="C2574" s="4" t="inlineStr">
        <is>
          <t>elk</t>
        </is>
      </c>
      <c r="D2574" s="4" t="n">
        <v>2004</v>
      </c>
      <c r="E2574" s="13" t="inlineStr">
        <is>
          <t>General</t>
        </is>
      </c>
      <c r="F2574" s="5" t="n">
        <v>1092</v>
      </c>
      <c r="G2574" s="5" t="n">
        <v>4872</v>
      </c>
      <c r="H2574" s="5" t="n">
        <v>202</v>
      </c>
      <c r="I2574" s="5" t="n">
        <v>103</v>
      </c>
      <c r="J2574" s="5" t="n">
        <v>93</v>
      </c>
      <c r="K2574" s="10">
        <f>IF(F2574&gt;0,H2574/F2574,"")</f>
        <v/>
      </c>
      <c r="L2574" s="16">
        <f>IF(AND(G2574&gt;0,H2574&gt;0),G2574/H2574,"")</f>
        <v/>
      </c>
    </row>
    <row r="2575">
      <c r="A2575" s="4" t="inlineStr">
        <is>
          <t>312</t>
        </is>
      </c>
      <c r="B2575" s="4" t="n">
        <v>3</v>
      </c>
      <c r="C2575" s="4" t="inlineStr">
        <is>
          <t>elk</t>
        </is>
      </c>
      <c r="D2575" s="4" t="n">
        <v>2005</v>
      </c>
      <c r="E2575" s="13" t="inlineStr">
        <is>
          <t>General</t>
        </is>
      </c>
      <c r="F2575" s="5" t="n">
        <v>1148</v>
      </c>
      <c r="G2575" s="5" t="n">
        <v>6168</v>
      </c>
      <c r="H2575" s="5" t="n">
        <v>306</v>
      </c>
      <c r="I2575" s="5" t="n">
        <v>173</v>
      </c>
      <c r="J2575" s="5" t="n">
        <v>125</v>
      </c>
      <c r="K2575" s="10">
        <f>IF(F2575&gt;0,H2575/F2575,"")</f>
        <v/>
      </c>
      <c r="L2575" s="16">
        <f>IF(AND(G2575&gt;0,H2575&gt;0),G2575/H2575,"")</f>
        <v/>
      </c>
    </row>
    <row r="2576">
      <c r="A2576" s="4" t="inlineStr">
        <is>
          <t>312</t>
        </is>
      </c>
      <c r="B2576" s="4" t="n">
        <v>3</v>
      </c>
      <c r="C2576" s="4" t="inlineStr">
        <is>
          <t>elk</t>
        </is>
      </c>
      <c r="D2576" s="4" t="n">
        <v>2006</v>
      </c>
      <c r="E2576" s="13" t="inlineStr">
        <is>
          <t>General</t>
        </is>
      </c>
      <c r="F2576" s="5" t="n">
        <v>1401</v>
      </c>
      <c r="G2576" s="5" t="n">
        <v>7825</v>
      </c>
      <c r="H2576" s="5" t="n">
        <v>313</v>
      </c>
      <c r="I2576" s="5" t="n">
        <v>205</v>
      </c>
      <c r="J2576" s="5" t="n">
        <v>104</v>
      </c>
      <c r="K2576" s="10">
        <f>IF(F2576&gt;0,H2576/F2576,"")</f>
        <v/>
      </c>
      <c r="L2576" s="16">
        <f>IF(AND(G2576&gt;0,H2576&gt;0),G2576/H2576,"")</f>
        <v/>
      </c>
    </row>
    <row r="2577">
      <c r="A2577" s="4" t="inlineStr">
        <is>
          <t>312</t>
        </is>
      </c>
      <c r="B2577" s="4" t="n">
        <v>3</v>
      </c>
      <c r="C2577" s="4" t="inlineStr">
        <is>
          <t>elk</t>
        </is>
      </c>
      <c r="D2577" s="4" t="n">
        <v>2007</v>
      </c>
      <c r="E2577" s="13" t="inlineStr">
        <is>
          <t>General</t>
        </is>
      </c>
      <c r="F2577" s="5" t="n">
        <v>1612</v>
      </c>
      <c r="G2577" s="5" t="n">
        <v>8490</v>
      </c>
      <c r="H2577" s="5" t="n">
        <v>545</v>
      </c>
      <c r="I2577" s="5" t="n">
        <v>233</v>
      </c>
      <c r="J2577" s="5" t="n">
        <v>288</v>
      </c>
      <c r="K2577" s="10">
        <f>IF(F2577&gt;0,H2577/F2577,"")</f>
        <v/>
      </c>
      <c r="L2577" s="16">
        <f>IF(AND(G2577&gt;0,H2577&gt;0),G2577/H2577,"")</f>
        <v/>
      </c>
    </row>
    <row r="2578">
      <c r="A2578" s="4" t="inlineStr">
        <is>
          <t>312</t>
        </is>
      </c>
      <c r="B2578" s="4" t="n">
        <v>3</v>
      </c>
      <c r="C2578" s="4" t="inlineStr">
        <is>
          <t>elk</t>
        </is>
      </c>
      <c r="D2578" s="4" t="n">
        <v>2008</v>
      </c>
      <c r="E2578" s="13" t="inlineStr">
        <is>
          <t>General</t>
        </is>
      </c>
      <c r="F2578" s="5" t="n">
        <v>1400</v>
      </c>
      <c r="G2578" s="5" t="n">
        <v>7727</v>
      </c>
      <c r="H2578" s="5" t="n">
        <v>309</v>
      </c>
      <c r="I2578" s="5" t="n">
        <v>175</v>
      </c>
      <c r="J2578" s="5" t="n">
        <v>125</v>
      </c>
      <c r="K2578" s="10">
        <f>IF(F2578&gt;0,H2578/F2578,"")</f>
        <v/>
      </c>
      <c r="L2578" s="16">
        <f>IF(AND(G2578&gt;0,H2578&gt;0),G2578/H2578,"")</f>
        <v/>
      </c>
    </row>
    <row r="2579">
      <c r="A2579" s="4" t="inlineStr">
        <is>
          <t>312</t>
        </is>
      </c>
      <c r="B2579" s="4" t="n">
        <v>3</v>
      </c>
      <c r="C2579" s="4" t="inlineStr">
        <is>
          <t>elk</t>
        </is>
      </c>
      <c r="D2579" s="4" t="n">
        <v>2009</v>
      </c>
      <c r="E2579" s="13" t="inlineStr">
        <is>
          <t>General</t>
        </is>
      </c>
      <c r="F2579" s="5" t="n">
        <v>1565</v>
      </c>
      <c r="G2579" s="5" t="n">
        <v>8702</v>
      </c>
      <c r="H2579" s="5" t="n">
        <v>358</v>
      </c>
      <c r="I2579" s="5" t="n">
        <v>194</v>
      </c>
      <c r="J2579" s="5" t="n">
        <v>158</v>
      </c>
      <c r="K2579" s="10">
        <f>IF(F2579&gt;0,H2579/F2579,"")</f>
        <v/>
      </c>
      <c r="L2579" s="16">
        <f>IF(AND(G2579&gt;0,H2579&gt;0),G2579/H2579,"")</f>
        <v/>
      </c>
    </row>
    <row r="2580">
      <c r="A2580" s="4" t="inlineStr">
        <is>
          <t>312</t>
        </is>
      </c>
      <c r="B2580" s="4" t="n">
        <v>3</v>
      </c>
      <c r="C2580" s="4" t="inlineStr">
        <is>
          <t>elk</t>
        </is>
      </c>
      <c r="D2580" s="4" t="n">
        <v>2010</v>
      </c>
      <c r="E2580" s="13" t="inlineStr">
        <is>
          <t>General</t>
        </is>
      </c>
      <c r="F2580" s="5" t="n">
        <v>1408</v>
      </c>
      <c r="G2580" s="5" t="n">
        <v>8266</v>
      </c>
      <c r="H2580" s="5" t="n">
        <v>327</v>
      </c>
      <c r="I2580" s="5" t="n">
        <v>153</v>
      </c>
      <c r="J2580" s="5" t="n">
        <v>161</v>
      </c>
      <c r="K2580" s="10">
        <f>IF(F2580&gt;0,H2580/F2580,"")</f>
        <v/>
      </c>
      <c r="L2580" s="16">
        <f>IF(AND(G2580&gt;0,H2580&gt;0),G2580/H2580,"")</f>
        <v/>
      </c>
    </row>
    <row r="2581">
      <c r="A2581" s="4" t="inlineStr">
        <is>
          <t>312</t>
        </is>
      </c>
      <c r="B2581" s="4" t="n">
        <v>3</v>
      </c>
      <c r="C2581" s="4" t="inlineStr">
        <is>
          <t>elk</t>
        </is>
      </c>
      <c r="D2581" s="4" t="n">
        <v>2011</v>
      </c>
      <c r="E2581" s="13" t="inlineStr">
        <is>
          <t>General</t>
        </is>
      </c>
      <c r="F2581" s="5" t="n">
        <v>1551</v>
      </c>
      <c r="G2581" s="5" t="n">
        <v>8115</v>
      </c>
      <c r="H2581" s="5" t="n">
        <v>305</v>
      </c>
      <c r="I2581" s="5" t="n">
        <v>174</v>
      </c>
      <c r="J2581" s="5" t="n">
        <v>121</v>
      </c>
      <c r="K2581" s="10">
        <f>IF(F2581&gt;0,H2581/F2581,"")</f>
        <v/>
      </c>
      <c r="L2581" s="16">
        <f>IF(AND(G2581&gt;0,H2581&gt;0),G2581/H2581,"")</f>
        <v/>
      </c>
    </row>
    <row r="2582">
      <c r="A2582" s="4" t="inlineStr">
        <is>
          <t>312</t>
        </is>
      </c>
      <c r="B2582" s="4" t="n">
        <v>3</v>
      </c>
      <c r="C2582" s="4" t="inlineStr">
        <is>
          <t>elk</t>
        </is>
      </c>
      <c r="D2582" s="4" t="n">
        <v>2012</v>
      </c>
      <c r="E2582" s="13" t="inlineStr">
        <is>
          <t>General</t>
        </is>
      </c>
      <c r="F2582" s="5" t="n">
        <v>1832</v>
      </c>
      <c r="G2582" s="5" t="n">
        <v>10499</v>
      </c>
      <c r="H2582" s="5" t="n">
        <v>332</v>
      </c>
      <c r="I2582" s="5" t="n">
        <v>173</v>
      </c>
      <c r="J2582" s="5" t="n">
        <v>141</v>
      </c>
      <c r="K2582" s="10">
        <f>IF(F2582&gt;0,H2582/F2582,"")</f>
        <v/>
      </c>
      <c r="L2582" s="16">
        <f>IF(AND(G2582&gt;0,H2582&gt;0),G2582/H2582,"")</f>
        <v/>
      </c>
    </row>
    <row r="2583">
      <c r="A2583" s="4" t="inlineStr">
        <is>
          <t>312</t>
        </is>
      </c>
      <c r="B2583" s="4" t="n">
        <v>3</v>
      </c>
      <c r="C2583" s="4" t="inlineStr">
        <is>
          <t>elk</t>
        </is>
      </c>
      <c r="D2583" s="4" t="n">
        <v>2013</v>
      </c>
      <c r="E2583" s="13" t="inlineStr">
        <is>
          <t>General</t>
        </is>
      </c>
      <c r="F2583" s="5" t="n"/>
      <c r="G2583" s="5" t="n"/>
      <c r="H2583" s="5" t="n">
        <v>280</v>
      </c>
      <c r="I2583" s="5" t="n">
        <v>162</v>
      </c>
      <c r="J2583" s="5" t="n">
        <v>108</v>
      </c>
      <c r="K2583" s="10">
        <f>IF(F2583&gt;0,H2583/F2583,"")</f>
        <v/>
      </c>
      <c r="L2583" s="16">
        <f>IF(AND(G2583&gt;0,H2583&gt;0),G2583/H2583,"")</f>
        <v/>
      </c>
    </row>
    <row r="2584">
      <c r="A2584" s="4" t="inlineStr">
        <is>
          <t>312</t>
        </is>
      </c>
      <c r="B2584" s="4" t="n">
        <v>3</v>
      </c>
      <c r="C2584" s="4" t="inlineStr">
        <is>
          <t>elk</t>
        </is>
      </c>
      <c r="D2584" s="4" t="n">
        <v>2014</v>
      </c>
      <c r="E2584" s="13" t="inlineStr">
        <is>
          <t>General</t>
        </is>
      </c>
      <c r="F2584" s="5" t="n">
        <v>1447</v>
      </c>
      <c r="G2584" s="5" t="n">
        <v>8178</v>
      </c>
      <c r="H2584" s="5" t="n">
        <v>375</v>
      </c>
      <c r="I2584" s="5" t="n">
        <v>211</v>
      </c>
      <c r="J2584" s="5" t="n">
        <v>158</v>
      </c>
      <c r="K2584" s="10">
        <f>IF(F2584&gt;0,H2584/F2584,"")</f>
        <v/>
      </c>
      <c r="L2584" s="16">
        <f>IF(AND(G2584&gt;0,H2584&gt;0),G2584/H2584,"")</f>
        <v/>
      </c>
    </row>
    <row r="2585">
      <c r="A2585" s="4" t="inlineStr">
        <is>
          <t>312</t>
        </is>
      </c>
      <c r="B2585" s="4" t="n">
        <v>3</v>
      </c>
      <c r="C2585" s="4" t="inlineStr">
        <is>
          <t>elk</t>
        </is>
      </c>
      <c r="D2585" s="4" t="n">
        <v>2015</v>
      </c>
      <c r="E2585" s="13" t="inlineStr">
        <is>
          <t>General</t>
        </is>
      </c>
      <c r="F2585" s="5" t="n">
        <v>1524</v>
      </c>
      <c r="G2585" s="5" t="n">
        <v>9414</v>
      </c>
      <c r="H2585" s="5" t="n">
        <v>446</v>
      </c>
      <c r="I2585" s="5" t="n">
        <v>232</v>
      </c>
      <c r="J2585" s="5" t="n">
        <v>191</v>
      </c>
      <c r="K2585" s="10">
        <f>IF(F2585&gt;0,H2585/F2585,"")</f>
        <v/>
      </c>
      <c r="L2585" s="16">
        <f>IF(AND(G2585&gt;0,H2585&gt;0),G2585/H2585,"")</f>
        <v/>
      </c>
    </row>
    <row r="2586">
      <c r="A2586" s="4" t="inlineStr">
        <is>
          <t>312</t>
        </is>
      </c>
      <c r="B2586" s="4" t="n">
        <v>3</v>
      </c>
      <c r="C2586" s="4" t="inlineStr">
        <is>
          <t>elk</t>
        </is>
      </c>
      <c r="D2586" s="4" t="n">
        <v>2016</v>
      </c>
      <c r="E2586" s="13" t="inlineStr">
        <is>
          <t>General</t>
        </is>
      </c>
      <c r="F2586" s="5" t="n">
        <v>1885</v>
      </c>
      <c r="G2586" s="5" t="n">
        <v>10633</v>
      </c>
      <c r="H2586" s="5" t="n">
        <v>475</v>
      </c>
      <c r="I2586" s="5" t="n">
        <v>199</v>
      </c>
      <c r="J2586" s="5" t="n">
        <v>270</v>
      </c>
      <c r="K2586" s="10">
        <f>IF(F2586&gt;0,H2586/F2586,"")</f>
        <v/>
      </c>
      <c r="L2586" s="16">
        <f>IF(AND(G2586&gt;0,H2586&gt;0),G2586/H2586,"")</f>
        <v/>
      </c>
    </row>
    <row r="2587">
      <c r="A2587" s="4" t="inlineStr">
        <is>
          <t>312</t>
        </is>
      </c>
      <c r="B2587" s="4" t="n">
        <v>3</v>
      </c>
      <c r="C2587" s="4" t="inlineStr">
        <is>
          <t>elk</t>
        </is>
      </c>
      <c r="D2587" s="4" t="n">
        <v>2017</v>
      </c>
      <c r="E2587" s="13" t="inlineStr">
        <is>
          <t>General</t>
        </is>
      </c>
      <c r="F2587" s="5" t="n"/>
      <c r="G2587" s="5" t="n"/>
      <c r="H2587" s="5" t="n">
        <v>587</v>
      </c>
      <c r="I2587" s="5" t="n">
        <v>255</v>
      </c>
      <c r="J2587" s="5" t="n">
        <v>301</v>
      </c>
      <c r="K2587" s="10">
        <f>IF(F2587&gt;0,H2587/F2587,"")</f>
        <v/>
      </c>
      <c r="L2587" s="16">
        <f>IF(AND(G2587&gt;0,H2587&gt;0),G2587/H2587,"")</f>
        <v/>
      </c>
    </row>
    <row r="2588">
      <c r="A2588" s="4" t="inlineStr">
        <is>
          <t>312</t>
        </is>
      </c>
      <c r="B2588" s="4" t="n">
        <v>3</v>
      </c>
      <c r="C2588" s="4" t="inlineStr">
        <is>
          <t>elk</t>
        </is>
      </c>
      <c r="D2588" s="4" t="n">
        <v>2018</v>
      </c>
      <c r="E2588" s="13" t="inlineStr">
        <is>
          <t>General</t>
        </is>
      </c>
      <c r="F2588" s="5" t="n">
        <v>1656</v>
      </c>
      <c r="G2588" s="5" t="n">
        <v>9538</v>
      </c>
      <c r="H2588" s="5" t="n">
        <v>413</v>
      </c>
      <c r="I2588" s="5" t="n">
        <v>200</v>
      </c>
      <c r="J2588" s="5" t="n">
        <v>206</v>
      </c>
      <c r="K2588" s="10">
        <f>IF(F2588&gt;0,H2588/F2588,"")</f>
        <v/>
      </c>
      <c r="L2588" s="16">
        <f>IF(AND(G2588&gt;0,H2588&gt;0),G2588/H2588,"")</f>
        <v/>
      </c>
    </row>
    <row r="2589">
      <c r="A2589" s="4" t="inlineStr">
        <is>
          <t>312</t>
        </is>
      </c>
      <c r="B2589" s="4" t="n">
        <v>3</v>
      </c>
      <c r="C2589" s="4" t="inlineStr">
        <is>
          <t>elk</t>
        </is>
      </c>
      <c r="D2589" s="4" t="n">
        <v>2019</v>
      </c>
      <c r="E2589" s="13" t="inlineStr">
        <is>
          <t>General</t>
        </is>
      </c>
      <c r="F2589" s="5" t="n"/>
      <c r="G2589" s="5" t="n"/>
      <c r="H2589" s="5" t="n">
        <v>381</v>
      </c>
      <c r="I2589" s="5" t="n">
        <v>178</v>
      </c>
      <c r="J2589" s="5" t="n">
        <v>191</v>
      </c>
      <c r="K2589" s="10">
        <f>IF(F2589&gt;0,H2589/F2589,"")</f>
        <v/>
      </c>
      <c r="L2589" s="16">
        <f>IF(AND(G2589&gt;0,H2589&gt;0),G2589/H2589,"")</f>
        <v/>
      </c>
    </row>
    <row r="2590">
      <c r="A2590" s="4" t="inlineStr">
        <is>
          <t>312</t>
        </is>
      </c>
      <c r="B2590" s="4" t="n">
        <v>3</v>
      </c>
      <c r="C2590" s="4" t="inlineStr">
        <is>
          <t>elk</t>
        </is>
      </c>
      <c r="D2590" s="4" t="n">
        <v>2020</v>
      </c>
      <c r="E2590" s="13" t="inlineStr">
        <is>
          <t>General</t>
        </is>
      </c>
      <c r="F2590" s="5" t="n">
        <v>1397</v>
      </c>
      <c r="G2590" s="5" t="n">
        <v>8269</v>
      </c>
      <c r="H2590" s="5" t="n">
        <v>326</v>
      </c>
      <c r="I2590" s="5" t="n">
        <v>160</v>
      </c>
      <c r="J2590" s="5" t="n">
        <v>159</v>
      </c>
      <c r="K2590" s="10">
        <f>IF(F2590&gt;0,H2590/F2590,"")</f>
        <v/>
      </c>
      <c r="L2590" s="16">
        <f>IF(AND(G2590&gt;0,H2590&gt;0),G2590/H2590,"")</f>
        <v/>
      </c>
    </row>
    <row r="2591">
      <c r="A2591" s="4" t="inlineStr">
        <is>
          <t>312</t>
        </is>
      </c>
      <c r="B2591" s="4" t="n">
        <v>3</v>
      </c>
      <c r="C2591" s="4" t="inlineStr">
        <is>
          <t>elk</t>
        </is>
      </c>
      <c r="D2591" s="4" t="n">
        <v>2021</v>
      </c>
      <c r="E2591" s="13" t="inlineStr">
        <is>
          <t>General</t>
        </is>
      </c>
      <c r="F2591" s="5" t="n"/>
      <c r="G2591" s="5" t="n"/>
      <c r="H2591" s="5" t="n">
        <v>266</v>
      </c>
      <c r="I2591" s="5" t="n">
        <v>143</v>
      </c>
      <c r="J2591" s="5" t="n">
        <v>123</v>
      </c>
      <c r="K2591" s="10">
        <f>IF(F2591&gt;0,H2591/F2591,"")</f>
        <v/>
      </c>
      <c r="L2591" s="16">
        <f>IF(AND(G2591&gt;0,H2591&gt;0),G2591/H2591,"")</f>
        <v/>
      </c>
    </row>
    <row r="2592">
      <c r="A2592" s="4" t="inlineStr">
        <is>
          <t>312</t>
        </is>
      </c>
      <c r="B2592" s="4" t="n">
        <v>3</v>
      </c>
      <c r="C2592" s="4" t="inlineStr">
        <is>
          <t>elk</t>
        </is>
      </c>
      <c r="D2592" s="4" t="n">
        <v>2022</v>
      </c>
      <c r="E2592" s="13" t="inlineStr">
        <is>
          <t>General</t>
        </is>
      </c>
      <c r="F2592" s="5" t="n">
        <v>1169</v>
      </c>
      <c r="G2592" s="5" t="n">
        <v>7186</v>
      </c>
      <c r="H2592" s="5" t="n">
        <v>285</v>
      </c>
      <c r="I2592" s="5" t="n">
        <v>173</v>
      </c>
      <c r="J2592" s="5" t="n">
        <v>103</v>
      </c>
      <c r="K2592" s="10">
        <f>IF(F2592&gt;0,H2592/F2592,"")</f>
        <v/>
      </c>
      <c r="L2592" s="16">
        <f>IF(AND(G2592&gt;0,H2592&gt;0),G2592/H2592,"")</f>
        <v/>
      </c>
    </row>
    <row r="2593">
      <c r="A2593" s="4" t="inlineStr">
        <is>
          <t>312</t>
        </is>
      </c>
      <c r="B2593" s="4" t="n">
        <v>3</v>
      </c>
      <c r="C2593" s="4" t="inlineStr">
        <is>
          <t>elk</t>
        </is>
      </c>
      <c r="D2593" s="4" t="n">
        <v>2023</v>
      </c>
      <c r="E2593" s="13" t="inlineStr">
        <is>
          <t>General</t>
        </is>
      </c>
      <c r="F2593" s="5" t="n"/>
      <c r="G2593" s="5" t="n"/>
      <c r="H2593" s="5" t="n">
        <v>240</v>
      </c>
      <c r="I2593" s="5" t="n">
        <v>152</v>
      </c>
      <c r="J2593" s="5" t="n">
        <v>82</v>
      </c>
      <c r="K2593" s="10">
        <f>IF(F2593&gt;0,H2593/F2593,"")</f>
        <v/>
      </c>
      <c r="L2593" s="16">
        <f>IF(AND(G2593&gt;0,H2593&gt;0),G2593/H2593,"")</f>
        <v/>
      </c>
    </row>
    <row r="2594">
      <c r="A2594" s="4" t="inlineStr">
        <is>
          <t>312</t>
        </is>
      </c>
      <c r="B2594" s="4" t="n">
        <v>3</v>
      </c>
      <c r="C2594" s="4" t="inlineStr">
        <is>
          <t>elk</t>
        </is>
      </c>
      <c r="D2594" s="4" t="n">
        <v>2024</v>
      </c>
      <c r="E2594" s="13" t="inlineStr">
        <is>
          <t>General</t>
        </is>
      </c>
      <c r="F2594" s="5" t="n">
        <v>1089</v>
      </c>
      <c r="G2594" s="5" t="n">
        <v>7739</v>
      </c>
      <c r="H2594" s="5" t="n">
        <v>230</v>
      </c>
      <c r="I2594" s="5" t="n">
        <v>114</v>
      </c>
      <c r="J2594" s="5" t="n">
        <v>101</v>
      </c>
      <c r="K2594" s="10">
        <f>IF(F2594&gt;0,H2594/F2594,"")</f>
        <v/>
      </c>
      <c r="L2594" s="16">
        <f>IF(AND(G2594&gt;0,H2594&gt;0),G2594/H2594,"")</f>
        <v/>
      </c>
    </row>
    <row r="2595">
      <c r="A2595" s="4" t="inlineStr">
        <is>
          <t>312</t>
        </is>
      </c>
      <c r="B2595" s="4" t="n">
        <v>3</v>
      </c>
      <c r="C2595" s="4" t="inlineStr">
        <is>
          <t>elk</t>
        </is>
      </c>
      <c r="D2595" s="4" t="n">
        <v>2025</v>
      </c>
      <c r="E2595" s="13" t="inlineStr">
        <is>
          <t>General</t>
        </is>
      </c>
      <c r="F2595" s="5" t="n"/>
      <c r="G2595" s="5" t="n"/>
      <c r="H2595" s="5" t="n">
        <v>281</v>
      </c>
      <c r="I2595" s="5" t="n">
        <v>149</v>
      </c>
      <c r="J2595" s="5" t="n">
        <v>132</v>
      </c>
      <c r="K2595" s="10">
        <f>IF(F2595&gt;0,H2595/F2595,"")</f>
        <v/>
      </c>
      <c r="L2595" s="16">
        <f>IF(AND(G2595&gt;0,H2595&gt;0),G2595/H2595,"")</f>
        <v/>
      </c>
    </row>
    <row r="2596">
      <c r="A2596" s="4" t="inlineStr">
        <is>
          <t>313</t>
        </is>
      </c>
      <c r="B2596" s="4" t="n">
        <v>3</v>
      </c>
      <c r="C2596" s="4" t="inlineStr">
        <is>
          <t>elk</t>
        </is>
      </c>
      <c r="D2596" s="4" t="n">
        <v>2004</v>
      </c>
      <c r="E2596" s="13" t="inlineStr">
        <is>
          <t>General</t>
        </is>
      </c>
      <c r="F2596" s="5" t="n">
        <v>1533</v>
      </c>
      <c r="G2596" s="5" t="n">
        <v>5404</v>
      </c>
      <c r="H2596" s="5" t="n">
        <v>521</v>
      </c>
      <c r="I2596" s="5" t="n">
        <v>113</v>
      </c>
      <c r="J2596" s="5" t="n">
        <v>382</v>
      </c>
      <c r="K2596" s="10">
        <f>IF(F2596&gt;0,H2596/F2596,"")</f>
        <v/>
      </c>
      <c r="L2596" s="16">
        <f>IF(AND(G2596&gt;0,H2596&gt;0),G2596/H2596,"")</f>
        <v/>
      </c>
    </row>
    <row r="2597">
      <c r="A2597" s="4" t="inlineStr">
        <is>
          <t>313</t>
        </is>
      </c>
      <c r="B2597" s="4" t="n">
        <v>3</v>
      </c>
      <c r="C2597" s="4" t="inlineStr">
        <is>
          <t>elk</t>
        </is>
      </c>
      <c r="D2597" s="4" t="n">
        <v>2005</v>
      </c>
      <c r="E2597" s="13" t="inlineStr">
        <is>
          <t>General</t>
        </is>
      </c>
      <c r="F2597" s="5" t="n">
        <v>1469</v>
      </c>
      <c r="G2597" s="5" t="n">
        <v>7466</v>
      </c>
      <c r="H2597" s="5" t="n">
        <v>426</v>
      </c>
      <c r="I2597" s="5" t="n">
        <v>297</v>
      </c>
      <c r="J2597" s="5" t="n">
        <v>128</v>
      </c>
      <c r="K2597" s="10">
        <f>IF(F2597&gt;0,H2597/F2597,"")</f>
        <v/>
      </c>
      <c r="L2597" s="16">
        <f>IF(AND(G2597&gt;0,H2597&gt;0),G2597/H2597,"")</f>
        <v/>
      </c>
    </row>
    <row r="2598">
      <c r="A2598" s="4" t="inlineStr">
        <is>
          <t>313</t>
        </is>
      </c>
      <c r="B2598" s="4" t="n">
        <v>3</v>
      </c>
      <c r="C2598" s="4" t="inlineStr">
        <is>
          <t>elk</t>
        </is>
      </c>
      <c r="D2598" s="4" t="n">
        <v>2006</v>
      </c>
      <c r="E2598" s="13" t="inlineStr">
        <is>
          <t>General</t>
        </is>
      </c>
      <c r="F2598" s="5" t="n">
        <v>2044</v>
      </c>
      <c r="G2598" s="5" t="n">
        <v>10808</v>
      </c>
      <c r="H2598" s="5" t="n">
        <v>454</v>
      </c>
      <c r="I2598" s="5" t="n">
        <v>405</v>
      </c>
      <c r="J2598" s="5" t="n">
        <v>45</v>
      </c>
      <c r="K2598" s="10">
        <f>IF(F2598&gt;0,H2598/F2598,"")</f>
        <v/>
      </c>
      <c r="L2598" s="16">
        <f>IF(AND(G2598&gt;0,H2598&gt;0),G2598/H2598,"")</f>
        <v/>
      </c>
    </row>
    <row r="2599">
      <c r="A2599" s="4" t="inlineStr">
        <is>
          <t>313</t>
        </is>
      </c>
      <c r="B2599" s="4" t="n">
        <v>3</v>
      </c>
      <c r="C2599" s="4" t="inlineStr">
        <is>
          <t>elk</t>
        </is>
      </c>
      <c r="D2599" s="4" t="n">
        <v>2007</v>
      </c>
      <c r="E2599" s="13" t="inlineStr">
        <is>
          <t>General</t>
        </is>
      </c>
      <c r="F2599" s="5" t="n">
        <v>1292</v>
      </c>
      <c r="G2599" s="5" t="n">
        <v>7865</v>
      </c>
      <c r="H2599" s="5" t="n">
        <v>144</v>
      </c>
      <c r="I2599" s="5" t="n">
        <v>116</v>
      </c>
      <c r="J2599" s="5" t="n">
        <v>19</v>
      </c>
      <c r="K2599" s="10">
        <f>IF(F2599&gt;0,H2599/F2599,"")</f>
        <v/>
      </c>
      <c r="L2599" s="16">
        <f>IF(AND(G2599&gt;0,H2599&gt;0),G2599/H2599,"")</f>
        <v/>
      </c>
    </row>
    <row r="2600">
      <c r="A2600" s="4" t="inlineStr">
        <is>
          <t>313</t>
        </is>
      </c>
      <c r="B2600" s="4" t="n">
        <v>3</v>
      </c>
      <c r="C2600" s="4" t="inlineStr">
        <is>
          <t>elk</t>
        </is>
      </c>
      <c r="D2600" s="4" t="n">
        <v>2008</v>
      </c>
      <c r="E2600" s="13" t="inlineStr">
        <is>
          <t>General</t>
        </is>
      </c>
      <c r="F2600" s="5" t="n">
        <v>1171</v>
      </c>
      <c r="G2600" s="5" t="n">
        <v>6923</v>
      </c>
      <c r="H2600" s="5" t="n">
        <v>154</v>
      </c>
      <c r="I2600" s="5" t="n">
        <v>81</v>
      </c>
      <c r="J2600" s="5" t="n">
        <v>73</v>
      </c>
      <c r="K2600" s="10">
        <f>IF(F2600&gt;0,H2600/F2600,"")</f>
        <v/>
      </c>
      <c r="L2600" s="16">
        <f>IF(AND(G2600&gt;0,H2600&gt;0),G2600/H2600,"")</f>
        <v/>
      </c>
    </row>
    <row r="2601">
      <c r="A2601" s="4" t="inlineStr">
        <is>
          <t>313</t>
        </is>
      </c>
      <c r="B2601" s="4" t="n">
        <v>3</v>
      </c>
      <c r="C2601" s="4" t="inlineStr">
        <is>
          <t>elk</t>
        </is>
      </c>
      <c r="D2601" s="4" t="n">
        <v>2009</v>
      </c>
      <c r="E2601" s="13" t="inlineStr">
        <is>
          <t>General</t>
        </is>
      </c>
      <c r="F2601" s="5" t="n">
        <v>1166</v>
      </c>
      <c r="G2601" s="5" t="n">
        <v>6885</v>
      </c>
      <c r="H2601" s="5" t="n">
        <v>226</v>
      </c>
      <c r="I2601" s="5" t="n">
        <v>123</v>
      </c>
      <c r="J2601" s="5" t="n">
        <v>97</v>
      </c>
      <c r="K2601" s="10">
        <f>IF(F2601&gt;0,H2601/F2601,"")</f>
        <v/>
      </c>
      <c r="L2601" s="16">
        <f>IF(AND(G2601&gt;0,H2601&gt;0),G2601/H2601,"")</f>
        <v/>
      </c>
    </row>
    <row r="2602">
      <c r="A2602" s="4" t="inlineStr">
        <is>
          <t>313</t>
        </is>
      </c>
      <c r="B2602" s="4" t="n">
        <v>3</v>
      </c>
      <c r="C2602" s="4" t="inlineStr">
        <is>
          <t>elk</t>
        </is>
      </c>
      <c r="D2602" s="4" t="n">
        <v>2010</v>
      </c>
      <c r="E2602" s="13" t="inlineStr">
        <is>
          <t>General</t>
        </is>
      </c>
      <c r="F2602" s="5" t="n">
        <v>1297</v>
      </c>
      <c r="G2602" s="5" t="n">
        <v>7824</v>
      </c>
      <c r="H2602" s="5" t="n">
        <v>393</v>
      </c>
      <c r="I2602" s="5" t="n">
        <v>301</v>
      </c>
      <c r="J2602" s="5" t="n">
        <v>86</v>
      </c>
      <c r="K2602" s="10">
        <f>IF(F2602&gt;0,H2602/F2602,"")</f>
        <v/>
      </c>
      <c r="L2602" s="16">
        <f>IF(AND(G2602&gt;0,H2602&gt;0),G2602/H2602,"")</f>
        <v/>
      </c>
    </row>
    <row r="2603">
      <c r="A2603" s="4" t="inlineStr">
        <is>
          <t>313</t>
        </is>
      </c>
      <c r="B2603" s="4" t="n">
        <v>3</v>
      </c>
      <c r="C2603" s="4" t="inlineStr">
        <is>
          <t>elk</t>
        </is>
      </c>
      <c r="D2603" s="4" t="n">
        <v>2011</v>
      </c>
      <c r="E2603" s="13" t="inlineStr">
        <is>
          <t>General</t>
        </is>
      </c>
      <c r="F2603" s="5" t="n">
        <v>1189</v>
      </c>
      <c r="G2603" s="5" t="n">
        <v>6754</v>
      </c>
      <c r="H2603" s="5" t="n">
        <v>224</v>
      </c>
      <c r="I2603" s="5" t="n">
        <v>161</v>
      </c>
      <c r="J2603" s="5" t="n">
        <v>63</v>
      </c>
      <c r="K2603" s="10">
        <f>IF(F2603&gt;0,H2603/F2603,"")</f>
        <v/>
      </c>
      <c r="L2603" s="16">
        <f>IF(AND(G2603&gt;0,H2603&gt;0),G2603/H2603,"")</f>
        <v/>
      </c>
    </row>
    <row r="2604">
      <c r="A2604" s="4" t="inlineStr">
        <is>
          <t>313</t>
        </is>
      </c>
      <c r="B2604" s="4" t="n">
        <v>3</v>
      </c>
      <c r="C2604" s="4" t="inlineStr">
        <is>
          <t>elk</t>
        </is>
      </c>
      <c r="D2604" s="4" t="n">
        <v>2012</v>
      </c>
      <c r="E2604" s="13" t="inlineStr">
        <is>
          <t>General</t>
        </is>
      </c>
      <c r="F2604" s="5" t="n">
        <v>941</v>
      </c>
      <c r="G2604" s="5" t="n">
        <v>5792</v>
      </c>
      <c r="H2604" s="5" t="n">
        <v>185</v>
      </c>
      <c r="I2604" s="5" t="n">
        <v>167</v>
      </c>
      <c r="J2604" s="5" t="n">
        <v>18</v>
      </c>
      <c r="K2604" s="10">
        <f>IF(F2604&gt;0,H2604/F2604,"")</f>
        <v/>
      </c>
      <c r="L2604" s="16">
        <f>IF(AND(G2604&gt;0,H2604&gt;0),G2604/H2604,"")</f>
        <v/>
      </c>
    </row>
    <row r="2605">
      <c r="A2605" s="4" t="inlineStr">
        <is>
          <t>313</t>
        </is>
      </c>
      <c r="B2605" s="4" t="n">
        <v>3</v>
      </c>
      <c r="C2605" s="4" t="inlineStr">
        <is>
          <t>elk</t>
        </is>
      </c>
      <c r="D2605" s="4" t="n">
        <v>2013</v>
      </c>
      <c r="E2605" s="13" t="inlineStr">
        <is>
          <t>General</t>
        </is>
      </c>
      <c r="F2605" s="5" t="n"/>
      <c r="G2605" s="5" t="n"/>
      <c r="H2605" s="5" t="n">
        <v>187</v>
      </c>
      <c r="I2605" s="5" t="n">
        <v>165</v>
      </c>
      <c r="J2605" s="5" t="n">
        <v>22</v>
      </c>
      <c r="K2605" s="10">
        <f>IF(F2605&gt;0,H2605/F2605,"")</f>
        <v/>
      </c>
      <c r="L2605" s="16">
        <f>IF(AND(G2605&gt;0,H2605&gt;0),G2605/H2605,"")</f>
        <v/>
      </c>
    </row>
    <row r="2606">
      <c r="A2606" s="4" t="inlineStr">
        <is>
          <t>313</t>
        </is>
      </c>
      <c r="B2606" s="4" t="n">
        <v>3</v>
      </c>
      <c r="C2606" s="4" t="inlineStr">
        <is>
          <t>elk</t>
        </is>
      </c>
      <c r="D2606" s="4" t="n">
        <v>2014</v>
      </c>
      <c r="E2606" s="13" t="inlineStr">
        <is>
          <t>General</t>
        </is>
      </c>
      <c r="F2606" s="5" t="n">
        <v>1017</v>
      </c>
      <c r="G2606" s="5" t="n">
        <v>6776</v>
      </c>
      <c r="H2606" s="5" t="n">
        <v>349</v>
      </c>
      <c r="I2606" s="5" t="n">
        <v>315</v>
      </c>
      <c r="J2606" s="5" t="n">
        <v>31</v>
      </c>
      <c r="K2606" s="10">
        <f>IF(F2606&gt;0,H2606/F2606,"")</f>
        <v/>
      </c>
      <c r="L2606" s="16">
        <f>IF(AND(G2606&gt;0,H2606&gt;0),G2606/H2606,"")</f>
        <v/>
      </c>
    </row>
    <row r="2607">
      <c r="A2607" s="4" t="inlineStr">
        <is>
          <t>313</t>
        </is>
      </c>
      <c r="B2607" s="4" t="n">
        <v>3</v>
      </c>
      <c r="C2607" s="4" t="inlineStr">
        <is>
          <t>elk</t>
        </is>
      </c>
      <c r="D2607" s="4" t="n">
        <v>2015</v>
      </c>
      <c r="E2607" s="13" t="inlineStr">
        <is>
          <t>General</t>
        </is>
      </c>
      <c r="F2607" s="5" t="n">
        <v>1318</v>
      </c>
      <c r="G2607" s="5" t="n">
        <v>8639</v>
      </c>
      <c r="H2607" s="5" t="n">
        <v>509</v>
      </c>
      <c r="I2607" s="5" t="n">
        <v>472</v>
      </c>
      <c r="J2607" s="5" t="n">
        <v>35</v>
      </c>
      <c r="K2607" s="10">
        <f>IF(F2607&gt;0,H2607/F2607,"")</f>
        <v/>
      </c>
      <c r="L2607" s="16">
        <f>IF(AND(G2607&gt;0,H2607&gt;0),G2607/H2607,"")</f>
        <v/>
      </c>
    </row>
    <row r="2608">
      <c r="A2608" s="4" t="inlineStr">
        <is>
          <t>313</t>
        </is>
      </c>
      <c r="B2608" s="4" t="n">
        <v>3</v>
      </c>
      <c r="C2608" s="4" t="inlineStr">
        <is>
          <t>elk</t>
        </is>
      </c>
      <c r="D2608" s="4" t="n">
        <v>2016</v>
      </c>
      <c r="E2608" s="13" t="inlineStr">
        <is>
          <t>General</t>
        </is>
      </c>
      <c r="F2608" s="5" t="n">
        <v>1055</v>
      </c>
      <c r="G2608" s="5" t="n">
        <v>7149</v>
      </c>
      <c r="H2608" s="5" t="n">
        <v>154</v>
      </c>
      <c r="I2608" s="5" t="n">
        <v>103</v>
      </c>
      <c r="J2608" s="5" t="n">
        <v>52</v>
      </c>
      <c r="K2608" s="10">
        <f>IF(F2608&gt;0,H2608/F2608,"")</f>
        <v/>
      </c>
      <c r="L2608" s="16">
        <f>IF(AND(G2608&gt;0,H2608&gt;0),G2608/H2608,"")</f>
        <v/>
      </c>
    </row>
    <row r="2609">
      <c r="A2609" s="4" t="inlineStr">
        <is>
          <t>313</t>
        </is>
      </c>
      <c r="B2609" s="4" t="n">
        <v>3</v>
      </c>
      <c r="C2609" s="4" t="inlineStr">
        <is>
          <t>elk</t>
        </is>
      </c>
      <c r="D2609" s="4" t="n">
        <v>2017</v>
      </c>
      <c r="E2609" s="13" t="inlineStr">
        <is>
          <t>General</t>
        </is>
      </c>
      <c r="F2609" s="5" t="n"/>
      <c r="G2609" s="5" t="n"/>
      <c r="H2609" s="5" t="n">
        <v>364</v>
      </c>
      <c r="I2609" s="5" t="n">
        <v>305</v>
      </c>
      <c r="J2609" s="5" t="n">
        <v>56</v>
      </c>
      <c r="K2609" s="10">
        <f>IF(F2609&gt;0,H2609/F2609,"")</f>
        <v/>
      </c>
      <c r="L2609" s="16">
        <f>IF(AND(G2609&gt;0,H2609&gt;0),G2609/H2609,"")</f>
        <v/>
      </c>
    </row>
    <row r="2610">
      <c r="A2610" s="4" t="inlineStr">
        <is>
          <t>313</t>
        </is>
      </c>
      <c r="B2610" s="4" t="n">
        <v>3</v>
      </c>
      <c r="C2610" s="4" t="inlineStr">
        <is>
          <t>elk</t>
        </is>
      </c>
      <c r="D2610" s="4" t="n">
        <v>2018</v>
      </c>
      <c r="E2610" s="13" t="inlineStr">
        <is>
          <t>General</t>
        </is>
      </c>
      <c r="F2610" s="5" t="n">
        <v>1175</v>
      </c>
      <c r="G2610" s="5" t="n">
        <v>7336</v>
      </c>
      <c r="H2610" s="5" t="n">
        <v>310</v>
      </c>
      <c r="I2610" s="5" t="n">
        <v>230</v>
      </c>
      <c r="J2610" s="5" t="n">
        <v>75</v>
      </c>
      <c r="K2610" s="10">
        <f>IF(F2610&gt;0,H2610/F2610,"")</f>
        <v/>
      </c>
      <c r="L2610" s="16">
        <f>IF(AND(G2610&gt;0,H2610&gt;0),G2610/H2610,"")</f>
        <v/>
      </c>
    </row>
    <row r="2611">
      <c r="A2611" s="4" t="inlineStr">
        <is>
          <t>313</t>
        </is>
      </c>
      <c r="B2611" s="4" t="n">
        <v>3</v>
      </c>
      <c r="C2611" s="4" t="inlineStr">
        <is>
          <t>elk</t>
        </is>
      </c>
      <c r="D2611" s="4" t="n">
        <v>2019</v>
      </c>
      <c r="E2611" s="13" t="inlineStr">
        <is>
          <t>General</t>
        </is>
      </c>
      <c r="F2611" s="5" t="n"/>
      <c r="G2611" s="5" t="n"/>
      <c r="H2611" s="5" t="n">
        <v>321</v>
      </c>
      <c r="I2611" s="5" t="n">
        <v>237</v>
      </c>
      <c r="J2611" s="5" t="n">
        <v>84</v>
      </c>
      <c r="K2611" s="10">
        <f>IF(F2611&gt;0,H2611/F2611,"")</f>
        <v/>
      </c>
      <c r="L2611" s="16">
        <f>IF(AND(G2611&gt;0,H2611&gt;0),G2611/H2611,"")</f>
        <v/>
      </c>
    </row>
    <row r="2612">
      <c r="A2612" s="4" t="inlineStr">
        <is>
          <t>313</t>
        </is>
      </c>
      <c r="B2612" s="4" t="n">
        <v>3</v>
      </c>
      <c r="C2612" s="4" t="inlineStr">
        <is>
          <t>elk</t>
        </is>
      </c>
      <c r="D2612" s="4" t="n">
        <v>2020</v>
      </c>
      <c r="E2612" s="13" t="inlineStr">
        <is>
          <t>General</t>
        </is>
      </c>
      <c r="F2612" s="5" t="n">
        <v>1262</v>
      </c>
      <c r="G2612" s="5" t="n">
        <v>9557</v>
      </c>
      <c r="H2612" s="5" t="n">
        <v>367</v>
      </c>
      <c r="I2612" s="5" t="n">
        <v>288</v>
      </c>
      <c r="J2612" s="5" t="n">
        <v>79</v>
      </c>
      <c r="K2612" s="10">
        <f>IF(F2612&gt;0,H2612/F2612,"")</f>
        <v/>
      </c>
      <c r="L2612" s="16">
        <f>IF(AND(G2612&gt;0,H2612&gt;0),G2612/H2612,"")</f>
        <v/>
      </c>
    </row>
    <row r="2613">
      <c r="A2613" s="4" t="inlineStr">
        <is>
          <t>313</t>
        </is>
      </c>
      <c r="B2613" s="4" t="n">
        <v>3</v>
      </c>
      <c r="C2613" s="4" t="inlineStr">
        <is>
          <t>elk</t>
        </is>
      </c>
      <c r="D2613" s="4" t="n">
        <v>2021</v>
      </c>
      <c r="E2613" s="13" t="inlineStr">
        <is>
          <t>General</t>
        </is>
      </c>
      <c r="F2613" s="5" t="n"/>
      <c r="G2613" s="5" t="n"/>
      <c r="H2613" s="5" t="n">
        <v>318</v>
      </c>
      <c r="I2613" s="5" t="n">
        <v>237</v>
      </c>
      <c r="J2613" s="5" t="n">
        <v>81</v>
      </c>
      <c r="K2613" s="10">
        <f>IF(F2613&gt;0,H2613/F2613,"")</f>
        <v/>
      </c>
      <c r="L2613" s="16">
        <f>IF(AND(G2613&gt;0,H2613&gt;0),G2613/H2613,"")</f>
        <v/>
      </c>
    </row>
    <row r="2614">
      <c r="A2614" s="4" t="inlineStr">
        <is>
          <t>313</t>
        </is>
      </c>
      <c r="B2614" s="4" t="n">
        <v>3</v>
      </c>
      <c r="C2614" s="4" t="inlineStr">
        <is>
          <t>elk</t>
        </is>
      </c>
      <c r="D2614" s="4" t="n">
        <v>2022</v>
      </c>
      <c r="E2614" s="13" t="inlineStr">
        <is>
          <t>General</t>
        </is>
      </c>
      <c r="F2614" s="5" t="n">
        <v>1307</v>
      </c>
      <c r="G2614" s="5" t="n">
        <v>8921</v>
      </c>
      <c r="H2614" s="5" t="n">
        <v>335</v>
      </c>
      <c r="I2614" s="5" t="n">
        <v>298</v>
      </c>
      <c r="J2614" s="5" t="n">
        <v>37</v>
      </c>
      <c r="K2614" s="10">
        <f>IF(F2614&gt;0,H2614/F2614,"")</f>
        <v/>
      </c>
      <c r="L2614" s="16">
        <f>IF(AND(G2614&gt;0,H2614&gt;0),G2614/H2614,"")</f>
        <v/>
      </c>
    </row>
    <row r="2615">
      <c r="A2615" s="4" t="inlineStr">
        <is>
          <t>313</t>
        </is>
      </c>
      <c r="B2615" s="4" t="n">
        <v>3</v>
      </c>
      <c r="C2615" s="4" t="inlineStr">
        <is>
          <t>elk</t>
        </is>
      </c>
      <c r="D2615" s="4" t="n">
        <v>2023</v>
      </c>
      <c r="E2615" s="13" t="inlineStr">
        <is>
          <t>General</t>
        </is>
      </c>
      <c r="F2615" s="5" t="n"/>
      <c r="G2615" s="5" t="n"/>
      <c r="H2615" s="5" t="n">
        <v>289</v>
      </c>
      <c r="I2615" s="5" t="n">
        <v>238</v>
      </c>
      <c r="J2615" s="5" t="n">
        <v>48</v>
      </c>
      <c r="K2615" s="10">
        <f>IF(F2615&gt;0,H2615/F2615,"")</f>
        <v/>
      </c>
      <c r="L2615" s="16">
        <f>IF(AND(G2615&gt;0,H2615&gt;0),G2615/H2615,"")</f>
        <v/>
      </c>
    </row>
    <row r="2616">
      <c r="A2616" s="4" t="inlineStr">
        <is>
          <t>313</t>
        </is>
      </c>
      <c r="B2616" s="4" t="n">
        <v>3</v>
      </c>
      <c r="C2616" s="4" t="inlineStr">
        <is>
          <t>elk</t>
        </is>
      </c>
      <c r="D2616" s="4" t="n">
        <v>2024</v>
      </c>
      <c r="E2616" s="13" t="inlineStr">
        <is>
          <t>General</t>
        </is>
      </c>
      <c r="F2616" s="5" t="n">
        <v>1326</v>
      </c>
      <c r="G2616" s="5" t="n">
        <v>9905</v>
      </c>
      <c r="H2616" s="5" t="n">
        <v>346</v>
      </c>
      <c r="I2616" s="5" t="n">
        <v>238</v>
      </c>
      <c r="J2616" s="5" t="n">
        <v>108</v>
      </c>
      <c r="K2616" s="10">
        <f>IF(F2616&gt;0,H2616/F2616,"")</f>
        <v/>
      </c>
      <c r="L2616" s="16">
        <f>IF(AND(G2616&gt;0,H2616&gt;0),G2616/H2616,"")</f>
        <v/>
      </c>
    </row>
    <row r="2617">
      <c r="A2617" s="4" t="inlineStr">
        <is>
          <t>313</t>
        </is>
      </c>
      <c r="B2617" s="4" t="n">
        <v>3</v>
      </c>
      <c r="C2617" s="4" t="inlineStr">
        <is>
          <t>elk</t>
        </is>
      </c>
      <c r="D2617" s="4" t="n">
        <v>2025</v>
      </c>
      <c r="E2617" s="13" t="inlineStr">
        <is>
          <t>General</t>
        </is>
      </c>
      <c r="F2617" s="5" t="n"/>
      <c r="G2617" s="5" t="n"/>
      <c r="H2617" s="5" t="n">
        <v>282</v>
      </c>
      <c r="I2617" s="5" t="n">
        <v>188</v>
      </c>
      <c r="J2617" s="5" t="n">
        <v>91</v>
      </c>
      <c r="K2617" s="10">
        <f>IF(F2617&gt;0,H2617/F2617,"")</f>
        <v/>
      </c>
      <c r="L2617" s="16">
        <f>IF(AND(G2617&gt;0,H2617&gt;0),G2617/H2617,"")</f>
        <v/>
      </c>
    </row>
    <row r="2618">
      <c r="A2618" s="4" t="inlineStr">
        <is>
          <t>314</t>
        </is>
      </c>
      <c r="B2618" s="4" t="n">
        <v>3</v>
      </c>
      <c r="C2618" s="4" t="inlineStr">
        <is>
          <t>elk</t>
        </is>
      </c>
      <c r="D2618" s="4" t="n">
        <v>2004</v>
      </c>
      <c r="E2618" s="13" t="inlineStr">
        <is>
          <t>General</t>
        </is>
      </c>
      <c r="F2618" s="5" t="n">
        <v>2381</v>
      </c>
      <c r="G2618" s="5" t="n">
        <v>12249</v>
      </c>
      <c r="H2618" s="5" t="n">
        <v>537</v>
      </c>
      <c r="I2618" s="5" t="n">
        <v>244</v>
      </c>
      <c r="J2618" s="5" t="n">
        <v>272</v>
      </c>
      <c r="K2618" s="10">
        <f>IF(F2618&gt;0,H2618/F2618,"")</f>
        <v/>
      </c>
      <c r="L2618" s="16">
        <f>IF(AND(G2618&gt;0,H2618&gt;0),G2618/H2618,"")</f>
        <v/>
      </c>
    </row>
    <row r="2619">
      <c r="A2619" s="4" t="inlineStr">
        <is>
          <t>314</t>
        </is>
      </c>
      <c r="B2619" s="4" t="n">
        <v>3</v>
      </c>
      <c r="C2619" s="4" t="inlineStr">
        <is>
          <t>elk</t>
        </is>
      </c>
      <c r="D2619" s="4" t="n">
        <v>2005</v>
      </c>
      <c r="E2619" s="13" t="inlineStr">
        <is>
          <t>General</t>
        </is>
      </c>
      <c r="F2619" s="5" t="n">
        <v>1876</v>
      </c>
      <c r="G2619" s="5" t="n">
        <v>10459</v>
      </c>
      <c r="H2619" s="5" t="n">
        <v>650</v>
      </c>
      <c r="I2619" s="5" t="n">
        <v>268</v>
      </c>
      <c r="J2619" s="5" t="n">
        <v>345</v>
      </c>
      <c r="K2619" s="10">
        <f>IF(F2619&gt;0,H2619/F2619,"")</f>
        <v/>
      </c>
      <c r="L2619" s="16">
        <f>IF(AND(G2619&gt;0,H2619&gt;0),G2619/H2619,"")</f>
        <v/>
      </c>
    </row>
    <row r="2620">
      <c r="A2620" s="4" t="inlineStr">
        <is>
          <t>314</t>
        </is>
      </c>
      <c r="B2620" s="4" t="n">
        <v>3</v>
      </c>
      <c r="C2620" s="4" t="inlineStr">
        <is>
          <t>elk</t>
        </is>
      </c>
      <c r="D2620" s="4" t="n">
        <v>2006</v>
      </c>
      <c r="E2620" s="13" t="inlineStr">
        <is>
          <t>General</t>
        </is>
      </c>
      <c r="F2620" s="5" t="n">
        <v>1862</v>
      </c>
      <c r="G2620" s="5" t="n">
        <v>10764</v>
      </c>
      <c r="H2620" s="5" t="n">
        <v>536</v>
      </c>
      <c r="I2620" s="5" t="n">
        <v>278</v>
      </c>
      <c r="J2620" s="5" t="n">
        <v>229</v>
      </c>
      <c r="K2620" s="10">
        <f>IF(F2620&gt;0,H2620/F2620,"")</f>
        <v/>
      </c>
      <c r="L2620" s="16">
        <f>IF(AND(G2620&gt;0,H2620&gt;0),G2620/H2620,"")</f>
        <v/>
      </c>
    </row>
    <row r="2621">
      <c r="A2621" s="4" t="inlineStr">
        <is>
          <t>314</t>
        </is>
      </c>
      <c r="B2621" s="4" t="n">
        <v>3</v>
      </c>
      <c r="C2621" s="4" t="inlineStr">
        <is>
          <t>elk</t>
        </is>
      </c>
      <c r="D2621" s="4" t="n">
        <v>2007</v>
      </c>
      <c r="E2621" s="13" t="inlineStr">
        <is>
          <t>General</t>
        </is>
      </c>
      <c r="F2621" s="5" t="n">
        <v>2409</v>
      </c>
      <c r="G2621" s="5" t="n">
        <v>14353</v>
      </c>
      <c r="H2621" s="5" t="n">
        <v>916</v>
      </c>
      <c r="I2621" s="5" t="n">
        <v>293</v>
      </c>
      <c r="J2621" s="5" t="n">
        <v>576</v>
      </c>
      <c r="K2621" s="10">
        <f>IF(F2621&gt;0,H2621/F2621,"")</f>
        <v/>
      </c>
      <c r="L2621" s="16">
        <f>IF(AND(G2621&gt;0,H2621&gt;0),G2621/H2621,"")</f>
        <v/>
      </c>
    </row>
    <row r="2622">
      <c r="A2622" s="4" t="inlineStr">
        <is>
          <t>314</t>
        </is>
      </c>
      <c r="B2622" s="4" t="n">
        <v>3</v>
      </c>
      <c r="C2622" s="4" t="inlineStr">
        <is>
          <t>elk</t>
        </is>
      </c>
      <c r="D2622" s="4" t="n">
        <v>2008</v>
      </c>
      <c r="E2622" s="13" t="inlineStr">
        <is>
          <t>General</t>
        </is>
      </c>
      <c r="F2622" s="5" t="n">
        <v>2454</v>
      </c>
      <c r="G2622" s="5" t="n">
        <v>15465</v>
      </c>
      <c r="H2622" s="5" t="n">
        <v>795</v>
      </c>
      <c r="I2622" s="5" t="n">
        <v>158</v>
      </c>
      <c r="J2622" s="5" t="n">
        <v>608</v>
      </c>
      <c r="K2622" s="10">
        <f>IF(F2622&gt;0,H2622/F2622,"")</f>
        <v/>
      </c>
      <c r="L2622" s="16">
        <f>IF(AND(G2622&gt;0,H2622&gt;0),G2622/H2622,"")</f>
        <v/>
      </c>
    </row>
    <row r="2623">
      <c r="A2623" s="4" t="inlineStr">
        <is>
          <t>314</t>
        </is>
      </c>
      <c r="B2623" s="4" t="n">
        <v>3</v>
      </c>
      <c r="C2623" s="4" t="inlineStr">
        <is>
          <t>elk</t>
        </is>
      </c>
      <c r="D2623" s="4" t="n">
        <v>2009</v>
      </c>
      <c r="E2623" s="13" t="inlineStr">
        <is>
          <t>General</t>
        </is>
      </c>
      <c r="F2623" s="5" t="n">
        <v>1937</v>
      </c>
      <c r="G2623" s="5" t="n">
        <v>11772</v>
      </c>
      <c r="H2623" s="5" t="n">
        <v>573</v>
      </c>
      <c r="I2623" s="5" t="n">
        <v>154</v>
      </c>
      <c r="J2623" s="5" t="n">
        <v>402</v>
      </c>
      <c r="K2623" s="10">
        <f>IF(F2623&gt;0,H2623/F2623,"")</f>
        <v/>
      </c>
      <c r="L2623" s="16">
        <f>IF(AND(G2623&gt;0,H2623&gt;0),G2623/H2623,"")</f>
        <v/>
      </c>
    </row>
    <row r="2624">
      <c r="A2624" s="4" t="inlineStr">
        <is>
          <t>314</t>
        </is>
      </c>
      <c r="B2624" s="4" t="n">
        <v>3</v>
      </c>
      <c r="C2624" s="4" t="inlineStr">
        <is>
          <t>elk</t>
        </is>
      </c>
      <c r="D2624" s="4" t="n">
        <v>2010</v>
      </c>
      <c r="E2624" s="13" t="inlineStr">
        <is>
          <t>General</t>
        </is>
      </c>
      <c r="F2624" s="5" t="n">
        <v>1894</v>
      </c>
      <c r="G2624" s="5" t="n">
        <v>13984</v>
      </c>
      <c r="H2624" s="5" t="n">
        <v>728</v>
      </c>
      <c r="I2624" s="5" t="n">
        <v>234</v>
      </c>
      <c r="J2624" s="5" t="n">
        <v>461</v>
      </c>
      <c r="K2624" s="10">
        <f>IF(F2624&gt;0,H2624/F2624,"")</f>
        <v/>
      </c>
      <c r="L2624" s="16">
        <f>IF(AND(G2624&gt;0,H2624&gt;0),G2624/H2624,"")</f>
        <v/>
      </c>
    </row>
    <row r="2625">
      <c r="A2625" s="4" t="inlineStr">
        <is>
          <t>314</t>
        </is>
      </c>
      <c r="B2625" s="4" t="n">
        <v>3</v>
      </c>
      <c r="C2625" s="4" t="inlineStr">
        <is>
          <t>elk</t>
        </is>
      </c>
      <c r="D2625" s="4" t="n">
        <v>2011</v>
      </c>
      <c r="E2625" s="13" t="inlineStr">
        <is>
          <t>General</t>
        </is>
      </c>
      <c r="F2625" s="5" t="n">
        <v>1786</v>
      </c>
      <c r="G2625" s="5" t="n">
        <v>11191</v>
      </c>
      <c r="H2625" s="5" t="n">
        <v>344</v>
      </c>
      <c r="I2625" s="5" t="n">
        <v>120</v>
      </c>
      <c r="J2625" s="5" t="n">
        <v>221</v>
      </c>
      <c r="K2625" s="10">
        <f>IF(F2625&gt;0,H2625/F2625,"")</f>
        <v/>
      </c>
      <c r="L2625" s="16">
        <f>IF(AND(G2625&gt;0,H2625&gt;0),G2625/H2625,"")</f>
        <v/>
      </c>
    </row>
    <row r="2626">
      <c r="A2626" s="4" t="inlineStr">
        <is>
          <t>314</t>
        </is>
      </c>
      <c r="B2626" s="4" t="n">
        <v>3</v>
      </c>
      <c r="C2626" s="4" t="inlineStr">
        <is>
          <t>elk</t>
        </is>
      </c>
      <c r="D2626" s="4" t="n">
        <v>2012</v>
      </c>
      <c r="E2626" s="13" t="inlineStr">
        <is>
          <t>General</t>
        </is>
      </c>
      <c r="F2626" s="5" t="n">
        <v>1397</v>
      </c>
      <c r="G2626" s="5" t="n">
        <v>9252</v>
      </c>
      <c r="H2626" s="5" t="n">
        <v>282</v>
      </c>
      <c r="I2626" s="5" t="n">
        <v>182</v>
      </c>
      <c r="J2626" s="5" t="n">
        <v>90</v>
      </c>
      <c r="K2626" s="10">
        <f>IF(F2626&gt;0,H2626/F2626,"")</f>
        <v/>
      </c>
      <c r="L2626" s="16">
        <f>IF(AND(G2626&gt;0,H2626&gt;0),G2626/H2626,"")</f>
        <v/>
      </c>
    </row>
    <row r="2627">
      <c r="A2627" s="4" t="inlineStr">
        <is>
          <t>314</t>
        </is>
      </c>
      <c r="B2627" s="4" t="n">
        <v>3</v>
      </c>
      <c r="C2627" s="4" t="inlineStr">
        <is>
          <t>elk</t>
        </is>
      </c>
      <c r="D2627" s="4" t="n">
        <v>2013</v>
      </c>
      <c r="E2627" s="13" t="inlineStr">
        <is>
          <t>General</t>
        </is>
      </c>
      <c r="F2627" s="5" t="n"/>
      <c r="G2627" s="5" t="n"/>
      <c r="H2627" s="5" t="n">
        <v>269</v>
      </c>
      <c r="I2627" s="5" t="n">
        <v>188</v>
      </c>
      <c r="J2627" s="5" t="n">
        <v>81</v>
      </c>
      <c r="K2627" s="10">
        <f>IF(F2627&gt;0,H2627/F2627,"")</f>
        <v/>
      </c>
      <c r="L2627" s="16">
        <f>IF(AND(G2627&gt;0,H2627&gt;0),G2627/H2627,"")</f>
        <v/>
      </c>
    </row>
    <row r="2628">
      <c r="A2628" s="4" t="inlineStr">
        <is>
          <t>314</t>
        </is>
      </c>
      <c r="B2628" s="4" t="n">
        <v>3</v>
      </c>
      <c r="C2628" s="4" t="inlineStr">
        <is>
          <t>elk</t>
        </is>
      </c>
      <c r="D2628" s="4" t="n">
        <v>2014</v>
      </c>
      <c r="E2628" s="13" t="inlineStr">
        <is>
          <t>General</t>
        </is>
      </c>
      <c r="F2628" s="5" t="n">
        <v>1443</v>
      </c>
      <c r="G2628" s="5" t="n">
        <v>9213</v>
      </c>
      <c r="H2628" s="5" t="n">
        <v>470</v>
      </c>
      <c r="I2628" s="5" t="n">
        <v>204</v>
      </c>
      <c r="J2628" s="5" t="n">
        <v>239</v>
      </c>
      <c r="K2628" s="10">
        <f>IF(F2628&gt;0,H2628/F2628,"")</f>
        <v/>
      </c>
      <c r="L2628" s="16">
        <f>IF(AND(G2628&gt;0,H2628&gt;0),G2628/H2628,"")</f>
        <v/>
      </c>
    </row>
    <row r="2629">
      <c r="A2629" s="4" t="inlineStr">
        <is>
          <t>314</t>
        </is>
      </c>
      <c r="B2629" s="4" t="n">
        <v>3</v>
      </c>
      <c r="C2629" s="4" t="inlineStr">
        <is>
          <t>elk</t>
        </is>
      </c>
      <c r="D2629" s="4" t="n">
        <v>2015</v>
      </c>
      <c r="E2629" s="13" t="inlineStr">
        <is>
          <t>General</t>
        </is>
      </c>
      <c r="F2629" s="5" t="n">
        <v>1335</v>
      </c>
      <c r="G2629" s="5" t="n">
        <v>9094</v>
      </c>
      <c r="H2629" s="5" t="n">
        <v>407</v>
      </c>
      <c r="I2629" s="5" t="n">
        <v>214</v>
      </c>
      <c r="J2629" s="5" t="n">
        <v>175</v>
      </c>
      <c r="K2629" s="10">
        <f>IF(F2629&gt;0,H2629/F2629,"")</f>
        <v/>
      </c>
      <c r="L2629" s="16">
        <f>IF(AND(G2629&gt;0,H2629&gt;0),G2629/H2629,"")</f>
        <v/>
      </c>
    </row>
    <row r="2630">
      <c r="A2630" s="4" t="inlineStr">
        <is>
          <t>314</t>
        </is>
      </c>
      <c r="B2630" s="4" t="n">
        <v>3</v>
      </c>
      <c r="C2630" s="4" t="inlineStr">
        <is>
          <t>elk</t>
        </is>
      </c>
      <c r="D2630" s="4" t="n">
        <v>2016</v>
      </c>
      <c r="E2630" s="13" t="inlineStr">
        <is>
          <t>General</t>
        </is>
      </c>
      <c r="F2630" s="5" t="n">
        <v>1403</v>
      </c>
      <c r="G2630" s="5" t="n">
        <v>9050</v>
      </c>
      <c r="H2630" s="5" t="n">
        <v>332</v>
      </c>
      <c r="I2630" s="5" t="n">
        <v>202</v>
      </c>
      <c r="J2630" s="5" t="n">
        <v>127</v>
      </c>
      <c r="K2630" s="10">
        <f>IF(F2630&gt;0,H2630/F2630,"")</f>
        <v/>
      </c>
      <c r="L2630" s="16">
        <f>IF(AND(G2630&gt;0,H2630&gt;0),G2630/H2630,"")</f>
        <v/>
      </c>
    </row>
    <row r="2631">
      <c r="A2631" s="4" t="inlineStr">
        <is>
          <t>314</t>
        </is>
      </c>
      <c r="B2631" s="4" t="n">
        <v>3</v>
      </c>
      <c r="C2631" s="4" t="inlineStr">
        <is>
          <t>elk</t>
        </is>
      </c>
      <c r="D2631" s="4" t="n">
        <v>2017</v>
      </c>
      <c r="E2631" s="13" t="inlineStr">
        <is>
          <t>General</t>
        </is>
      </c>
      <c r="F2631" s="5" t="n"/>
      <c r="G2631" s="5" t="n"/>
      <c r="H2631" s="5" t="n">
        <v>430</v>
      </c>
      <c r="I2631" s="5" t="n">
        <v>232</v>
      </c>
      <c r="J2631" s="5" t="n">
        <v>189</v>
      </c>
      <c r="K2631" s="10">
        <f>IF(F2631&gt;0,H2631/F2631,"")</f>
        <v/>
      </c>
      <c r="L2631" s="16">
        <f>IF(AND(G2631&gt;0,H2631&gt;0),G2631/H2631,"")</f>
        <v/>
      </c>
    </row>
    <row r="2632">
      <c r="A2632" s="4" t="inlineStr">
        <is>
          <t>314</t>
        </is>
      </c>
      <c r="B2632" s="4" t="n">
        <v>3</v>
      </c>
      <c r="C2632" s="4" t="inlineStr">
        <is>
          <t>elk</t>
        </is>
      </c>
      <c r="D2632" s="4" t="n">
        <v>2018</v>
      </c>
      <c r="E2632" s="13" t="inlineStr">
        <is>
          <t>General</t>
        </is>
      </c>
      <c r="F2632" s="5" t="n">
        <v>1707</v>
      </c>
      <c r="G2632" s="5" t="n">
        <v>10881</v>
      </c>
      <c r="H2632" s="5" t="n">
        <v>565</v>
      </c>
      <c r="I2632" s="5" t="n">
        <v>299</v>
      </c>
      <c r="J2632" s="5" t="n">
        <v>245</v>
      </c>
      <c r="K2632" s="10">
        <f>IF(F2632&gt;0,H2632/F2632,"")</f>
        <v/>
      </c>
      <c r="L2632" s="16">
        <f>IF(AND(G2632&gt;0,H2632&gt;0),G2632/H2632,"")</f>
        <v/>
      </c>
    </row>
    <row r="2633">
      <c r="A2633" s="4" t="inlineStr">
        <is>
          <t>314</t>
        </is>
      </c>
      <c r="B2633" s="4" t="n">
        <v>3</v>
      </c>
      <c r="C2633" s="4" t="inlineStr">
        <is>
          <t>elk</t>
        </is>
      </c>
      <c r="D2633" s="4" t="n">
        <v>2019</v>
      </c>
      <c r="E2633" s="13" t="inlineStr">
        <is>
          <t>General</t>
        </is>
      </c>
      <c r="F2633" s="5" t="n"/>
      <c r="G2633" s="5" t="n"/>
      <c r="H2633" s="5" t="n">
        <v>435</v>
      </c>
      <c r="I2633" s="5" t="n">
        <v>196</v>
      </c>
      <c r="J2633" s="5" t="n">
        <v>230</v>
      </c>
      <c r="K2633" s="10">
        <f>IF(F2633&gt;0,H2633/F2633,"")</f>
        <v/>
      </c>
      <c r="L2633" s="16">
        <f>IF(AND(G2633&gt;0,H2633&gt;0),G2633/H2633,"")</f>
        <v/>
      </c>
    </row>
    <row r="2634">
      <c r="A2634" s="4" t="inlineStr">
        <is>
          <t>314</t>
        </is>
      </c>
      <c r="B2634" s="4" t="n">
        <v>3</v>
      </c>
      <c r="C2634" s="4" t="inlineStr">
        <is>
          <t>elk</t>
        </is>
      </c>
      <c r="D2634" s="4" t="n">
        <v>2020</v>
      </c>
      <c r="E2634" s="13" t="inlineStr">
        <is>
          <t>General</t>
        </is>
      </c>
      <c r="F2634" s="5" t="n">
        <v>1916</v>
      </c>
      <c r="G2634" s="5" t="n">
        <v>11304</v>
      </c>
      <c r="H2634" s="5" t="n">
        <v>658</v>
      </c>
      <c r="I2634" s="5" t="n">
        <v>271</v>
      </c>
      <c r="J2634" s="5" t="n">
        <v>367</v>
      </c>
      <c r="K2634" s="10">
        <f>IF(F2634&gt;0,H2634/F2634,"")</f>
        <v/>
      </c>
      <c r="L2634" s="16">
        <f>IF(AND(G2634&gt;0,H2634&gt;0),G2634/H2634,"")</f>
        <v/>
      </c>
    </row>
    <row r="2635">
      <c r="A2635" s="4" t="inlineStr">
        <is>
          <t>314</t>
        </is>
      </c>
      <c r="B2635" s="4" t="n">
        <v>3</v>
      </c>
      <c r="C2635" s="4" t="inlineStr">
        <is>
          <t>elk</t>
        </is>
      </c>
      <c r="D2635" s="4" t="n">
        <v>2021</v>
      </c>
      <c r="E2635" s="13" t="inlineStr">
        <is>
          <t>General</t>
        </is>
      </c>
      <c r="F2635" s="5" t="n"/>
      <c r="G2635" s="5" t="n"/>
      <c r="H2635" s="5" t="n">
        <v>669</v>
      </c>
      <c r="I2635" s="5" t="n">
        <v>261</v>
      </c>
      <c r="J2635" s="5" t="n">
        <v>389</v>
      </c>
      <c r="K2635" s="10">
        <f>IF(F2635&gt;0,H2635/F2635,"")</f>
        <v/>
      </c>
      <c r="L2635" s="16">
        <f>IF(AND(G2635&gt;0,H2635&gt;0),G2635/H2635,"")</f>
        <v/>
      </c>
    </row>
    <row r="2636">
      <c r="A2636" s="4" t="inlineStr">
        <is>
          <t>314</t>
        </is>
      </c>
      <c r="B2636" s="4" t="n">
        <v>3</v>
      </c>
      <c r="C2636" s="4" t="inlineStr">
        <is>
          <t>elk</t>
        </is>
      </c>
      <c r="D2636" s="4" t="n">
        <v>2022</v>
      </c>
      <c r="E2636" s="13" t="inlineStr">
        <is>
          <t>General</t>
        </is>
      </c>
      <c r="F2636" s="5" t="n">
        <v>2106</v>
      </c>
      <c r="G2636" s="5" t="n">
        <v>13172</v>
      </c>
      <c r="H2636" s="5" t="n">
        <v>771</v>
      </c>
      <c r="I2636" s="5" t="n">
        <v>322</v>
      </c>
      <c r="J2636" s="5" t="n">
        <v>424</v>
      </c>
      <c r="K2636" s="10">
        <f>IF(F2636&gt;0,H2636/F2636,"")</f>
        <v/>
      </c>
      <c r="L2636" s="16">
        <f>IF(AND(G2636&gt;0,H2636&gt;0),G2636/H2636,"")</f>
        <v/>
      </c>
    </row>
    <row r="2637">
      <c r="A2637" s="4" t="inlineStr">
        <is>
          <t>314</t>
        </is>
      </c>
      <c r="B2637" s="4" t="n">
        <v>3</v>
      </c>
      <c r="C2637" s="4" t="inlineStr">
        <is>
          <t>elk</t>
        </is>
      </c>
      <c r="D2637" s="4" t="n">
        <v>2023</v>
      </c>
      <c r="E2637" s="13" t="inlineStr">
        <is>
          <t>General</t>
        </is>
      </c>
      <c r="F2637" s="5" t="n"/>
      <c r="G2637" s="5" t="n"/>
      <c r="H2637" s="5" t="n">
        <v>617</v>
      </c>
      <c r="I2637" s="5" t="n">
        <v>193</v>
      </c>
      <c r="J2637" s="5" t="n">
        <v>412</v>
      </c>
      <c r="K2637" s="10">
        <f>IF(F2637&gt;0,H2637/F2637,"")</f>
        <v/>
      </c>
      <c r="L2637" s="16">
        <f>IF(AND(G2637&gt;0,H2637&gt;0),G2637/H2637,"")</f>
        <v/>
      </c>
    </row>
    <row r="2638">
      <c r="A2638" s="4" t="inlineStr">
        <is>
          <t>314</t>
        </is>
      </c>
      <c r="B2638" s="4" t="n">
        <v>3</v>
      </c>
      <c r="C2638" s="4" t="inlineStr">
        <is>
          <t>elk</t>
        </is>
      </c>
      <c r="D2638" s="4" t="n">
        <v>2024</v>
      </c>
      <c r="E2638" s="13" t="inlineStr">
        <is>
          <t>General</t>
        </is>
      </c>
      <c r="F2638" s="5" t="n">
        <v>2182</v>
      </c>
      <c r="G2638" s="5" t="n">
        <v>14076</v>
      </c>
      <c r="H2638" s="5" t="n">
        <v>692</v>
      </c>
      <c r="I2638" s="5" t="n">
        <v>215</v>
      </c>
      <c r="J2638" s="5" t="n">
        <v>457</v>
      </c>
      <c r="K2638" s="10">
        <f>IF(F2638&gt;0,H2638/F2638,"")</f>
        <v/>
      </c>
      <c r="L2638" s="16">
        <f>IF(AND(G2638&gt;0,H2638&gt;0),G2638/H2638,"")</f>
        <v/>
      </c>
    </row>
    <row r="2639">
      <c r="A2639" s="4" t="inlineStr">
        <is>
          <t>314</t>
        </is>
      </c>
      <c r="B2639" s="4" t="n">
        <v>3</v>
      </c>
      <c r="C2639" s="4" t="inlineStr">
        <is>
          <t>elk</t>
        </is>
      </c>
      <c r="D2639" s="4" t="n">
        <v>2025</v>
      </c>
      <c r="E2639" s="13" t="inlineStr">
        <is>
          <t>General</t>
        </is>
      </c>
      <c r="F2639" s="5" t="n"/>
      <c r="G2639" s="5" t="n"/>
      <c r="H2639" s="5" t="n">
        <v>460</v>
      </c>
      <c r="I2639" s="5" t="n">
        <v>175</v>
      </c>
      <c r="J2639" s="5" t="n">
        <v>281</v>
      </c>
      <c r="K2639" s="10">
        <f>IF(F2639&gt;0,H2639/F2639,"")</f>
        <v/>
      </c>
      <c r="L2639" s="16">
        <f>IF(AND(G2639&gt;0,H2639&gt;0),G2639/H2639,"")</f>
        <v/>
      </c>
    </row>
    <row r="2640">
      <c r="A2640" s="4" t="inlineStr">
        <is>
          <t>315</t>
        </is>
      </c>
      <c r="B2640" s="4" t="n">
        <v>3</v>
      </c>
      <c r="C2640" s="4" t="inlineStr">
        <is>
          <t>elk</t>
        </is>
      </c>
      <c r="D2640" s="4" t="n">
        <v>2004</v>
      </c>
      <c r="E2640" s="13" t="inlineStr">
        <is>
          <t>General</t>
        </is>
      </c>
      <c r="F2640" s="5" t="n">
        <v>1398</v>
      </c>
      <c r="G2640" s="5" t="n">
        <v>7543</v>
      </c>
      <c r="H2640" s="5" t="n">
        <v>381</v>
      </c>
      <c r="I2640" s="5" t="n">
        <v>164</v>
      </c>
      <c r="J2640" s="5" t="n">
        <v>198</v>
      </c>
      <c r="K2640" s="10">
        <f>IF(F2640&gt;0,H2640/F2640,"")</f>
        <v/>
      </c>
      <c r="L2640" s="16">
        <f>IF(AND(G2640&gt;0,H2640&gt;0),G2640/H2640,"")</f>
        <v/>
      </c>
    </row>
    <row r="2641">
      <c r="A2641" s="4" t="inlineStr">
        <is>
          <t>315</t>
        </is>
      </c>
      <c r="B2641" s="4" t="n">
        <v>3</v>
      </c>
      <c r="C2641" s="4" t="inlineStr">
        <is>
          <t>elk</t>
        </is>
      </c>
      <c r="D2641" s="4" t="n">
        <v>2005</v>
      </c>
      <c r="E2641" s="13" t="inlineStr">
        <is>
          <t>General</t>
        </is>
      </c>
      <c r="F2641" s="5" t="n">
        <v>1322</v>
      </c>
      <c r="G2641" s="5" t="n">
        <v>6486</v>
      </c>
      <c r="H2641" s="5" t="n">
        <v>367</v>
      </c>
      <c r="I2641" s="5" t="n">
        <v>177</v>
      </c>
      <c r="J2641" s="5" t="n">
        <v>173</v>
      </c>
      <c r="K2641" s="10">
        <f>IF(F2641&gt;0,H2641/F2641,"")</f>
        <v/>
      </c>
      <c r="L2641" s="16">
        <f>IF(AND(G2641&gt;0,H2641&gt;0),G2641/H2641,"")</f>
        <v/>
      </c>
    </row>
    <row r="2642">
      <c r="A2642" s="4" t="inlineStr">
        <is>
          <t>315</t>
        </is>
      </c>
      <c r="B2642" s="4" t="n">
        <v>3</v>
      </c>
      <c r="C2642" s="4" t="inlineStr">
        <is>
          <t>elk</t>
        </is>
      </c>
      <c r="D2642" s="4" t="n">
        <v>2006</v>
      </c>
      <c r="E2642" s="13" t="inlineStr">
        <is>
          <t>General</t>
        </is>
      </c>
      <c r="F2642" s="5" t="n">
        <v>1292</v>
      </c>
      <c r="G2642" s="5" t="n">
        <v>6644</v>
      </c>
      <c r="H2642" s="5" t="n">
        <v>339</v>
      </c>
      <c r="I2642" s="5" t="n">
        <v>151</v>
      </c>
      <c r="J2642" s="5" t="n">
        <v>162</v>
      </c>
      <c r="K2642" s="10">
        <f>IF(F2642&gt;0,H2642/F2642,"")</f>
        <v/>
      </c>
      <c r="L2642" s="16">
        <f>IF(AND(G2642&gt;0,H2642&gt;0),G2642/H2642,"")</f>
        <v/>
      </c>
    </row>
    <row r="2643">
      <c r="A2643" s="4" t="inlineStr">
        <is>
          <t>315</t>
        </is>
      </c>
      <c r="B2643" s="4" t="n">
        <v>3</v>
      </c>
      <c r="C2643" s="4" t="inlineStr">
        <is>
          <t>elk</t>
        </is>
      </c>
      <c r="D2643" s="4" t="n">
        <v>2007</v>
      </c>
      <c r="E2643" s="13" t="inlineStr">
        <is>
          <t>General</t>
        </is>
      </c>
      <c r="F2643" s="5" t="n">
        <v>1434</v>
      </c>
      <c r="G2643" s="5" t="n">
        <v>8078</v>
      </c>
      <c r="H2643" s="5" t="n">
        <v>375</v>
      </c>
      <c r="I2643" s="5" t="n">
        <v>159</v>
      </c>
      <c r="J2643" s="5" t="n">
        <v>196</v>
      </c>
      <c r="K2643" s="10">
        <f>IF(F2643&gt;0,H2643/F2643,"")</f>
        <v/>
      </c>
      <c r="L2643" s="16">
        <f>IF(AND(G2643&gt;0,H2643&gt;0),G2643/H2643,"")</f>
        <v/>
      </c>
    </row>
    <row r="2644">
      <c r="A2644" s="4" t="inlineStr">
        <is>
          <t>315</t>
        </is>
      </c>
      <c r="B2644" s="4" t="n">
        <v>3</v>
      </c>
      <c r="C2644" s="4" t="inlineStr">
        <is>
          <t>elk</t>
        </is>
      </c>
      <c r="D2644" s="4" t="n">
        <v>2008</v>
      </c>
      <c r="E2644" s="13" t="inlineStr">
        <is>
          <t>General</t>
        </is>
      </c>
      <c r="F2644" s="5" t="n">
        <v>1799</v>
      </c>
      <c r="G2644" s="5" t="n">
        <v>10061</v>
      </c>
      <c r="H2644" s="5" t="n">
        <v>535</v>
      </c>
      <c r="I2644" s="5" t="n">
        <v>136</v>
      </c>
      <c r="J2644" s="5" t="n">
        <v>348</v>
      </c>
      <c r="K2644" s="10">
        <f>IF(F2644&gt;0,H2644/F2644,"")</f>
        <v/>
      </c>
      <c r="L2644" s="16">
        <f>IF(AND(G2644&gt;0,H2644&gt;0),G2644/H2644,"")</f>
        <v/>
      </c>
    </row>
    <row r="2645">
      <c r="A2645" s="4" t="inlineStr">
        <is>
          <t>315</t>
        </is>
      </c>
      <c r="B2645" s="4" t="n">
        <v>3</v>
      </c>
      <c r="C2645" s="4" t="inlineStr">
        <is>
          <t>elk</t>
        </is>
      </c>
      <c r="D2645" s="4" t="n">
        <v>2009</v>
      </c>
      <c r="E2645" s="13" t="inlineStr">
        <is>
          <t>General</t>
        </is>
      </c>
      <c r="F2645" s="5" t="n">
        <v>1927</v>
      </c>
      <c r="G2645" s="5" t="n">
        <v>10958</v>
      </c>
      <c r="H2645" s="5" t="n">
        <v>517</v>
      </c>
      <c r="I2645" s="5" t="n">
        <v>145</v>
      </c>
      <c r="J2645" s="5" t="n">
        <v>311</v>
      </c>
      <c r="K2645" s="10">
        <f>IF(F2645&gt;0,H2645/F2645,"")</f>
        <v/>
      </c>
      <c r="L2645" s="16">
        <f>IF(AND(G2645&gt;0,H2645&gt;0),G2645/H2645,"")</f>
        <v/>
      </c>
    </row>
    <row r="2646">
      <c r="A2646" s="4" t="inlineStr">
        <is>
          <t>315</t>
        </is>
      </c>
      <c r="B2646" s="4" t="n">
        <v>3</v>
      </c>
      <c r="C2646" s="4" t="inlineStr">
        <is>
          <t>elk</t>
        </is>
      </c>
      <c r="D2646" s="4" t="n">
        <v>2010</v>
      </c>
      <c r="E2646" s="13" t="inlineStr">
        <is>
          <t>General</t>
        </is>
      </c>
      <c r="F2646" s="5" t="n">
        <v>1829</v>
      </c>
      <c r="G2646" s="5" t="n">
        <v>11687</v>
      </c>
      <c r="H2646" s="5" t="n">
        <v>545</v>
      </c>
      <c r="I2646" s="5" t="n">
        <v>194</v>
      </c>
      <c r="J2646" s="5" t="n">
        <v>316</v>
      </c>
      <c r="K2646" s="10">
        <f>IF(F2646&gt;0,H2646/F2646,"")</f>
        <v/>
      </c>
      <c r="L2646" s="16">
        <f>IF(AND(G2646&gt;0,H2646&gt;0),G2646/H2646,"")</f>
        <v/>
      </c>
    </row>
    <row r="2647">
      <c r="A2647" s="4" t="inlineStr">
        <is>
          <t>315</t>
        </is>
      </c>
      <c r="B2647" s="4" t="n">
        <v>3</v>
      </c>
      <c r="C2647" s="4" t="inlineStr">
        <is>
          <t>elk</t>
        </is>
      </c>
      <c r="D2647" s="4" t="n">
        <v>2011</v>
      </c>
      <c r="E2647" s="13" t="inlineStr">
        <is>
          <t>General</t>
        </is>
      </c>
      <c r="F2647" s="5" t="n">
        <v>2024</v>
      </c>
      <c r="G2647" s="5" t="n">
        <v>11277</v>
      </c>
      <c r="H2647" s="5" t="n">
        <v>430</v>
      </c>
      <c r="I2647" s="5" t="n">
        <v>168</v>
      </c>
      <c r="J2647" s="5" t="n">
        <v>252</v>
      </c>
      <c r="K2647" s="10">
        <f>IF(F2647&gt;0,H2647/F2647,"")</f>
        <v/>
      </c>
      <c r="L2647" s="16">
        <f>IF(AND(G2647&gt;0,H2647&gt;0),G2647/H2647,"")</f>
        <v/>
      </c>
    </row>
    <row r="2648">
      <c r="A2648" s="4" t="inlineStr">
        <is>
          <t>315</t>
        </is>
      </c>
      <c r="B2648" s="4" t="n">
        <v>3</v>
      </c>
      <c r="C2648" s="4" t="inlineStr">
        <is>
          <t>elk</t>
        </is>
      </c>
      <c r="D2648" s="4" t="n">
        <v>2012</v>
      </c>
      <c r="E2648" s="13" t="inlineStr">
        <is>
          <t>General</t>
        </is>
      </c>
      <c r="F2648" s="5" t="n">
        <v>2086</v>
      </c>
      <c r="G2648" s="5" t="n">
        <v>11956</v>
      </c>
      <c r="H2648" s="5" t="n">
        <v>451</v>
      </c>
      <c r="I2648" s="5" t="n">
        <v>181</v>
      </c>
      <c r="J2648" s="5" t="n">
        <v>243</v>
      </c>
      <c r="K2648" s="10">
        <f>IF(F2648&gt;0,H2648/F2648,"")</f>
        <v/>
      </c>
      <c r="L2648" s="16">
        <f>IF(AND(G2648&gt;0,H2648&gt;0),G2648/H2648,"")</f>
        <v/>
      </c>
    </row>
    <row r="2649">
      <c r="A2649" s="4" t="inlineStr">
        <is>
          <t>315</t>
        </is>
      </c>
      <c r="B2649" s="4" t="n">
        <v>3</v>
      </c>
      <c r="C2649" s="4" t="inlineStr">
        <is>
          <t>elk</t>
        </is>
      </c>
      <c r="D2649" s="4" t="n">
        <v>2013</v>
      </c>
      <c r="E2649" s="13" t="inlineStr">
        <is>
          <t>General</t>
        </is>
      </c>
      <c r="F2649" s="5" t="n"/>
      <c r="G2649" s="5" t="n"/>
      <c r="H2649" s="5" t="n">
        <v>432</v>
      </c>
      <c r="I2649" s="5" t="n">
        <v>175</v>
      </c>
      <c r="J2649" s="5" t="n">
        <v>237</v>
      </c>
      <c r="K2649" s="10">
        <f>IF(F2649&gt;0,H2649/F2649,"")</f>
        <v/>
      </c>
      <c r="L2649" s="16">
        <f>IF(AND(G2649&gt;0,H2649&gt;0),G2649/H2649,"")</f>
        <v/>
      </c>
    </row>
    <row r="2650">
      <c r="A2650" s="4" t="inlineStr">
        <is>
          <t>315</t>
        </is>
      </c>
      <c r="B2650" s="4" t="n">
        <v>3</v>
      </c>
      <c r="C2650" s="4" t="inlineStr">
        <is>
          <t>elk</t>
        </is>
      </c>
      <c r="D2650" s="4" t="n">
        <v>2014</v>
      </c>
      <c r="E2650" s="13" t="inlineStr">
        <is>
          <t>General</t>
        </is>
      </c>
      <c r="F2650" s="5" t="n">
        <v>1933</v>
      </c>
      <c r="G2650" s="5" t="n">
        <v>10203</v>
      </c>
      <c r="H2650" s="5" t="n">
        <v>433</v>
      </c>
      <c r="I2650" s="5" t="n">
        <v>170</v>
      </c>
      <c r="J2650" s="5" t="n">
        <v>230</v>
      </c>
      <c r="K2650" s="10">
        <f>IF(F2650&gt;0,H2650/F2650,"")</f>
        <v/>
      </c>
      <c r="L2650" s="16">
        <f>IF(AND(G2650&gt;0,H2650&gt;0),G2650/H2650,"")</f>
        <v/>
      </c>
    </row>
    <row r="2651">
      <c r="A2651" s="4" t="inlineStr">
        <is>
          <t>315</t>
        </is>
      </c>
      <c r="B2651" s="4" t="n">
        <v>3</v>
      </c>
      <c r="C2651" s="4" t="inlineStr">
        <is>
          <t>elk</t>
        </is>
      </c>
      <c r="D2651" s="4" t="n">
        <v>2015</v>
      </c>
      <c r="E2651" s="13" t="inlineStr">
        <is>
          <t>General</t>
        </is>
      </c>
      <c r="F2651" s="5" t="n">
        <v>1854</v>
      </c>
      <c r="G2651" s="5" t="n">
        <v>11175</v>
      </c>
      <c r="H2651" s="5" t="n">
        <v>503</v>
      </c>
      <c r="I2651" s="5" t="n">
        <v>182</v>
      </c>
      <c r="J2651" s="5" t="n">
        <v>291</v>
      </c>
      <c r="K2651" s="10">
        <f>IF(F2651&gt;0,H2651/F2651,"")</f>
        <v/>
      </c>
      <c r="L2651" s="16">
        <f>IF(AND(G2651&gt;0,H2651&gt;0),G2651/H2651,"")</f>
        <v/>
      </c>
    </row>
    <row r="2652">
      <c r="A2652" s="4" t="inlineStr">
        <is>
          <t>315</t>
        </is>
      </c>
      <c r="B2652" s="4" t="n">
        <v>3</v>
      </c>
      <c r="C2652" s="4" t="inlineStr">
        <is>
          <t>elk</t>
        </is>
      </c>
      <c r="D2652" s="4" t="n">
        <v>2016</v>
      </c>
      <c r="E2652" s="13" t="inlineStr">
        <is>
          <t>General</t>
        </is>
      </c>
      <c r="F2652" s="5" t="n">
        <v>1959</v>
      </c>
      <c r="G2652" s="5" t="n">
        <v>12072</v>
      </c>
      <c r="H2652" s="5" t="n">
        <v>349</v>
      </c>
      <c r="I2652" s="5" t="n">
        <v>171</v>
      </c>
      <c r="J2652" s="5" t="n">
        <v>168</v>
      </c>
      <c r="K2652" s="10">
        <f>IF(F2652&gt;0,H2652/F2652,"")</f>
        <v/>
      </c>
      <c r="L2652" s="16">
        <f>IF(AND(G2652&gt;0,H2652&gt;0),G2652/H2652,"")</f>
        <v/>
      </c>
    </row>
    <row r="2653">
      <c r="A2653" s="4" t="inlineStr">
        <is>
          <t>315</t>
        </is>
      </c>
      <c r="B2653" s="4" t="n">
        <v>3</v>
      </c>
      <c r="C2653" s="4" t="inlineStr">
        <is>
          <t>elk</t>
        </is>
      </c>
      <c r="D2653" s="4" t="n">
        <v>2017</v>
      </c>
      <c r="E2653" s="13" t="inlineStr">
        <is>
          <t>General</t>
        </is>
      </c>
      <c r="F2653" s="5" t="n"/>
      <c r="G2653" s="5" t="n"/>
      <c r="H2653" s="5" t="n">
        <v>455</v>
      </c>
      <c r="I2653" s="5" t="n">
        <v>205</v>
      </c>
      <c r="J2653" s="5" t="n">
        <v>236</v>
      </c>
      <c r="K2653" s="10">
        <f>IF(F2653&gt;0,H2653/F2653,"")</f>
        <v/>
      </c>
      <c r="L2653" s="16">
        <f>IF(AND(G2653&gt;0,H2653&gt;0),G2653/H2653,"")</f>
        <v/>
      </c>
    </row>
    <row r="2654">
      <c r="A2654" s="4" t="inlineStr">
        <is>
          <t>315</t>
        </is>
      </c>
      <c r="B2654" s="4" t="n">
        <v>3</v>
      </c>
      <c r="C2654" s="4" t="inlineStr">
        <is>
          <t>elk</t>
        </is>
      </c>
      <c r="D2654" s="4" t="n">
        <v>2018</v>
      </c>
      <c r="E2654" s="13" t="inlineStr">
        <is>
          <t>General</t>
        </is>
      </c>
      <c r="F2654" s="5" t="n">
        <v>1873</v>
      </c>
      <c r="G2654" s="5" t="n">
        <v>11239</v>
      </c>
      <c r="H2654" s="5" t="n">
        <v>426</v>
      </c>
      <c r="I2654" s="5" t="n">
        <v>214</v>
      </c>
      <c r="J2654" s="5" t="n">
        <v>204</v>
      </c>
      <c r="K2654" s="10">
        <f>IF(F2654&gt;0,H2654/F2654,"")</f>
        <v/>
      </c>
      <c r="L2654" s="16">
        <f>IF(AND(G2654&gt;0,H2654&gt;0),G2654/H2654,"")</f>
        <v/>
      </c>
    </row>
    <row r="2655">
      <c r="A2655" s="4" t="inlineStr">
        <is>
          <t>315</t>
        </is>
      </c>
      <c r="B2655" s="4" t="n">
        <v>3</v>
      </c>
      <c r="C2655" s="4" t="inlineStr">
        <is>
          <t>elk</t>
        </is>
      </c>
      <c r="D2655" s="4" t="n">
        <v>2019</v>
      </c>
      <c r="E2655" s="13" t="inlineStr">
        <is>
          <t>General</t>
        </is>
      </c>
      <c r="F2655" s="5" t="n"/>
      <c r="G2655" s="5" t="n"/>
      <c r="H2655" s="5" t="n">
        <v>319</v>
      </c>
      <c r="I2655" s="5" t="n">
        <v>178</v>
      </c>
      <c r="J2655" s="5" t="n">
        <v>133</v>
      </c>
      <c r="K2655" s="10">
        <f>IF(F2655&gt;0,H2655/F2655,"")</f>
        <v/>
      </c>
      <c r="L2655" s="16">
        <f>IF(AND(G2655&gt;0,H2655&gt;0),G2655/H2655,"")</f>
        <v/>
      </c>
    </row>
    <row r="2656">
      <c r="A2656" s="4" t="inlineStr">
        <is>
          <t>315</t>
        </is>
      </c>
      <c r="B2656" s="4" t="n">
        <v>3</v>
      </c>
      <c r="C2656" s="4" t="inlineStr">
        <is>
          <t>elk</t>
        </is>
      </c>
      <c r="D2656" s="4" t="n">
        <v>2020</v>
      </c>
      <c r="E2656" s="13" t="inlineStr">
        <is>
          <t>General</t>
        </is>
      </c>
      <c r="F2656" s="5" t="n">
        <v>1582</v>
      </c>
      <c r="G2656" s="5" t="n">
        <v>10719</v>
      </c>
      <c r="H2656" s="5" t="n">
        <v>335</v>
      </c>
      <c r="I2656" s="5" t="n">
        <v>227</v>
      </c>
      <c r="J2656" s="5" t="n">
        <v>108</v>
      </c>
      <c r="K2656" s="10">
        <f>IF(F2656&gt;0,H2656/F2656,"")</f>
        <v/>
      </c>
      <c r="L2656" s="16">
        <f>IF(AND(G2656&gt;0,H2656&gt;0),G2656/H2656,"")</f>
        <v/>
      </c>
    </row>
    <row r="2657">
      <c r="A2657" s="4" t="inlineStr">
        <is>
          <t>315</t>
        </is>
      </c>
      <c r="B2657" s="4" t="n">
        <v>3</v>
      </c>
      <c r="C2657" s="4" t="inlineStr">
        <is>
          <t>elk</t>
        </is>
      </c>
      <c r="D2657" s="4" t="n">
        <v>2021</v>
      </c>
      <c r="E2657" s="13" t="inlineStr">
        <is>
          <t>General</t>
        </is>
      </c>
      <c r="F2657" s="5" t="n"/>
      <c r="G2657" s="5" t="n"/>
      <c r="H2657" s="5" t="n">
        <v>414</v>
      </c>
      <c r="I2657" s="5" t="n">
        <v>237</v>
      </c>
      <c r="J2657" s="5" t="n">
        <v>178</v>
      </c>
      <c r="K2657" s="10">
        <f>IF(F2657&gt;0,H2657/F2657,"")</f>
        <v/>
      </c>
      <c r="L2657" s="16">
        <f>IF(AND(G2657&gt;0,H2657&gt;0),G2657/H2657,"")</f>
        <v/>
      </c>
    </row>
    <row r="2658">
      <c r="A2658" s="4" t="inlineStr">
        <is>
          <t>315</t>
        </is>
      </c>
      <c r="B2658" s="4" t="n">
        <v>3</v>
      </c>
      <c r="C2658" s="4" t="inlineStr">
        <is>
          <t>elk</t>
        </is>
      </c>
      <c r="D2658" s="4" t="n">
        <v>2022</v>
      </c>
      <c r="E2658" s="13" t="inlineStr">
        <is>
          <t>General</t>
        </is>
      </c>
      <c r="F2658" s="5" t="n">
        <v>1754</v>
      </c>
      <c r="G2658" s="5" t="n">
        <v>10697</v>
      </c>
      <c r="H2658" s="5" t="n">
        <v>515</v>
      </c>
      <c r="I2658" s="5" t="n">
        <v>339</v>
      </c>
      <c r="J2658" s="5" t="n">
        <v>159</v>
      </c>
      <c r="K2658" s="10">
        <f>IF(F2658&gt;0,H2658/F2658,"")</f>
        <v/>
      </c>
      <c r="L2658" s="16">
        <f>IF(AND(G2658&gt;0,H2658&gt;0),G2658/H2658,"")</f>
        <v/>
      </c>
    </row>
    <row r="2659">
      <c r="A2659" s="4" t="inlineStr">
        <is>
          <t>315</t>
        </is>
      </c>
      <c r="B2659" s="4" t="n">
        <v>3</v>
      </c>
      <c r="C2659" s="4" t="inlineStr">
        <is>
          <t>elk</t>
        </is>
      </c>
      <c r="D2659" s="4" t="n">
        <v>2023</v>
      </c>
      <c r="E2659" s="13" t="inlineStr">
        <is>
          <t>General</t>
        </is>
      </c>
      <c r="F2659" s="5" t="n"/>
      <c r="G2659" s="5" t="n"/>
      <c r="H2659" s="5" t="n">
        <v>390</v>
      </c>
      <c r="I2659" s="5" t="n">
        <v>253</v>
      </c>
      <c r="J2659" s="5" t="n">
        <v>125</v>
      </c>
      <c r="K2659" s="10">
        <f>IF(F2659&gt;0,H2659/F2659,"")</f>
        <v/>
      </c>
      <c r="L2659" s="16">
        <f>IF(AND(G2659&gt;0,H2659&gt;0),G2659/H2659,"")</f>
        <v/>
      </c>
    </row>
    <row r="2660">
      <c r="A2660" s="4" t="inlineStr">
        <is>
          <t>315</t>
        </is>
      </c>
      <c r="B2660" s="4" t="n">
        <v>3</v>
      </c>
      <c r="C2660" s="4" t="inlineStr">
        <is>
          <t>elk</t>
        </is>
      </c>
      <c r="D2660" s="4" t="n">
        <v>2024</v>
      </c>
      <c r="E2660" s="13" t="inlineStr">
        <is>
          <t>General</t>
        </is>
      </c>
      <c r="F2660" s="5" t="n">
        <v>1858</v>
      </c>
      <c r="G2660" s="5" t="n">
        <v>12163</v>
      </c>
      <c r="H2660" s="5" t="n">
        <v>378</v>
      </c>
      <c r="I2660" s="5" t="n">
        <v>191</v>
      </c>
      <c r="J2660" s="5" t="n">
        <v>183</v>
      </c>
      <c r="K2660" s="10">
        <f>IF(F2660&gt;0,H2660/F2660,"")</f>
        <v/>
      </c>
      <c r="L2660" s="16">
        <f>IF(AND(G2660&gt;0,H2660&gt;0),G2660/H2660,"")</f>
        <v/>
      </c>
    </row>
    <row r="2661">
      <c r="A2661" s="4" t="inlineStr">
        <is>
          <t>315</t>
        </is>
      </c>
      <c r="B2661" s="4" t="n">
        <v>3</v>
      </c>
      <c r="C2661" s="4" t="inlineStr">
        <is>
          <t>elk</t>
        </is>
      </c>
      <c r="D2661" s="4" t="n">
        <v>2025</v>
      </c>
      <c r="E2661" s="13" t="inlineStr">
        <is>
          <t>General</t>
        </is>
      </c>
      <c r="F2661" s="5" t="n"/>
      <c r="G2661" s="5" t="n"/>
      <c r="H2661" s="5" t="n">
        <v>389</v>
      </c>
      <c r="I2661" s="5" t="n">
        <v>208</v>
      </c>
      <c r="J2661" s="5" t="n">
        <v>171</v>
      </c>
      <c r="K2661" s="10">
        <f>IF(F2661&gt;0,H2661/F2661,"")</f>
        <v/>
      </c>
      <c r="L2661" s="16">
        <f>IF(AND(G2661&gt;0,H2661&gt;0),G2661/H2661,"")</f>
        <v/>
      </c>
    </row>
    <row r="2662">
      <c r="A2662" s="4" t="inlineStr">
        <is>
          <t>316</t>
        </is>
      </c>
      <c r="B2662" s="4" t="n">
        <v>3</v>
      </c>
      <c r="C2662" s="4" t="inlineStr">
        <is>
          <t>elk</t>
        </is>
      </c>
      <c r="D2662" s="4" t="n">
        <v>2004</v>
      </c>
      <c r="E2662" s="13" t="inlineStr">
        <is>
          <t>General</t>
        </is>
      </c>
      <c r="F2662" s="5" t="n">
        <v>381</v>
      </c>
      <c r="G2662" s="5" t="n">
        <v>2150</v>
      </c>
      <c r="H2662" s="5" t="n">
        <v>60</v>
      </c>
      <c r="I2662" s="5" t="n">
        <v>54</v>
      </c>
      <c r="J2662" s="5" t="n">
        <v>6</v>
      </c>
      <c r="K2662" s="10">
        <f>IF(F2662&gt;0,H2662/F2662,"")</f>
        <v/>
      </c>
      <c r="L2662" s="16">
        <f>IF(AND(G2662&gt;0,H2662&gt;0),G2662/H2662,"")</f>
        <v/>
      </c>
    </row>
    <row r="2663">
      <c r="A2663" s="4" t="inlineStr">
        <is>
          <t>316</t>
        </is>
      </c>
      <c r="B2663" s="4" t="n">
        <v>3</v>
      </c>
      <c r="C2663" s="4" t="inlineStr">
        <is>
          <t>elk</t>
        </is>
      </c>
      <c r="D2663" s="4" t="n">
        <v>2005</v>
      </c>
      <c r="E2663" s="13" t="inlineStr">
        <is>
          <t>General</t>
        </is>
      </c>
      <c r="F2663" s="5" t="n">
        <v>152</v>
      </c>
      <c r="G2663" s="5" t="n">
        <v>767</v>
      </c>
      <c r="H2663" s="5" t="n">
        <v>32</v>
      </c>
      <c r="I2663" s="5" t="n">
        <v>21</v>
      </c>
      <c r="J2663" s="5" t="n">
        <v>11</v>
      </c>
      <c r="K2663" s="10">
        <f>IF(F2663&gt;0,H2663/F2663,"")</f>
        <v/>
      </c>
      <c r="L2663" s="16">
        <f>IF(AND(G2663&gt;0,H2663&gt;0),G2663/H2663,"")</f>
        <v/>
      </c>
    </row>
    <row r="2664">
      <c r="A2664" s="4" t="inlineStr">
        <is>
          <t>316</t>
        </is>
      </c>
      <c r="B2664" s="4" t="n">
        <v>3</v>
      </c>
      <c r="C2664" s="4" t="inlineStr">
        <is>
          <t>elk</t>
        </is>
      </c>
      <c r="D2664" s="4" t="n">
        <v>2006</v>
      </c>
      <c r="E2664" s="13" t="inlineStr">
        <is>
          <t>General</t>
        </is>
      </c>
      <c r="F2664" s="5" t="n">
        <v>185</v>
      </c>
      <c r="G2664" s="5" t="n">
        <v>1178</v>
      </c>
      <c r="H2664" s="5" t="n">
        <v>34</v>
      </c>
      <c r="I2664" s="5" t="n">
        <v>15</v>
      </c>
      <c r="J2664" s="5" t="n">
        <v>15</v>
      </c>
      <c r="K2664" s="10">
        <f>IF(F2664&gt;0,H2664/F2664,"")</f>
        <v/>
      </c>
      <c r="L2664" s="16">
        <f>IF(AND(G2664&gt;0,H2664&gt;0),G2664/H2664,"")</f>
        <v/>
      </c>
    </row>
    <row r="2665">
      <c r="A2665" s="4" t="inlineStr">
        <is>
          <t>316</t>
        </is>
      </c>
      <c r="B2665" s="4" t="n">
        <v>3</v>
      </c>
      <c r="C2665" s="4" t="inlineStr">
        <is>
          <t>elk</t>
        </is>
      </c>
      <c r="D2665" s="4" t="n">
        <v>2007</v>
      </c>
      <c r="E2665" s="13" t="inlineStr">
        <is>
          <t>General</t>
        </is>
      </c>
      <c r="F2665" s="5" t="n">
        <v>220</v>
      </c>
      <c r="G2665" s="5" t="n">
        <v>1703</v>
      </c>
      <c r="H2665" s="5" t="n">
        <v>35</v>
      </c>
      <c r="I2665" s="5" t="n">
        <v>25</v>
      </c>
      <c r="J2665" s="5" t="n">
        <v>10</v>
      </c>
      <c r="K2665" s="10">
        <f>IF(F2665&gt;0,H2665/F2665,"")</f>
        <v/>
      </c>
      <c r="L2665" s="16">
        <f>IF(AND(G2665&gt;0,H2665&gt;0),G2665/H2665,"")</f>
        <v/>
      </c>
    </row>
    <row r="2666">
      <c r="A2666" s="4" t="inlineStr">
        <is>
          <t>316</t>
        </is>
      </c>
      <c r="B2666" s="4" t="n">
        <v>3</v>
      </c>
      <c r="C2666" s="4" t="inlineStr">
        <is>
          <t>elk</t>
        </is>
      </c>
      <c r="D2666" s="4" t="n">
        <v>2008</v>
      </c>
      <c r="E2666" s="13" t="inlineStr">
        <is>
          <t>General</t>
        </is>
      </c>
      <c r="F2666" s="5" t="n">
        <v>168</v>
      </c>
      <c r="G2666" s="5" t="n">
        <v>1189</v>
      </c>
      <c r="H2666" s="5" t="n">
        <v>17</v>
      </c>
      <c r="I2666" s="5" t="n">
        <v>11</v>
      </c>
      <c r="J2666" s="5" t="n">
        <v>6</v>
      </c>
      <c r="K2666" s="10">
        <f>IF(F2666&gt;0,H2666/F2666,"")</f>
        <v/>
      </c>
      <c r="L2666" s="16">
        <f>IF(AND(G2666&gt;0,H2666&gt;0),G2666/H2666,"")</f>
        <v/>
      </c>
    </row>
    <row r="2667">
      <c r="A2667" s="4" t="inlineStr">
        <is>
          <t>316</t>
        </is>
      </c>
      <c r="B2667" s="4" t="n">
        <v>3</v>
      </c>
      <c r="C2667" s="4" t="inlineStr">
        <is>
          <t>elk</t>
        </is>
      </c>
      <c r="D2667" s="4" t="n">
        <v>2009</v>
      </c>
      <c r="E2667" s="13" t="inlineStr">
        <is>
          <t>General</t>
        </is>
      </c>
      <c r="F2667" s="5" t="n">
        <v>183</v>
      </c>
      <c r="G2667" s="5" t="n">
        <v>1050</v>
      </c>
      <c r="H2667" s="5" t="n">
        <v>34</v>
      </c>
      <c r="I2667" s="5" t="n">
        <v>21</v>
      </c>
      <c r="J2667" s="5" t="n">
        <v>13</v>
      </c>
      <c r="K2667" s="10">
        <f>IF(F2667&gt;0,H2667/F2667,"")</f>
        <v/>
      </c>
      <c r="L2667" s="16">
        <f>IF(AND(G2667&gt;0,H2667&gt;0),G2667/H2667,"")</f>
        <v/>
      </c>
    </row>
    <row r="2668">
      <c r="A2668" s="4" t="inlineStr">
        <is>
          <t>316</t>
        </is>
      </c>
      <c r="B2668" s="4" t="n">
        <v>3</v>
      </c>
      <c r="C2668" s="4" t="inlineStr">
        <is>
          <t>elk</t>
        </is>
      </c>
      <c r="D2668" s="4" t="n">
        <v>2010</v>
      </c>
      <c r="E2668" s="13" t="inlineStr">
        <is>
          <t>General</t>
        </is>
      </c>
      <c r="F2668" s="5" t="n">
        <v>163</v>
      </c>
      <c r="G2668" s="5" t="n">
        <v>913</v>
      </c>
      <c r="H2668" s="5" t="n">
        <v>44</v>
      </c>
      <c r="I2668" s="5" t="n">
        <v>28</v>
      </c>
      <c r="J2668" s="5" t="n">
        <v>17</v>
      </c>
      <c r="K2668" s="10">
        <f>IF(F2668&gt;0,H2668/F2668,"")</f>
        <v/>
      </c>
      <c r="L2668" s="16">
        <f>IF(AND(G2668&gt;0,H2668&gt;0),G2668/H2668,"")</f>
        <v/>
      </c>
    </row>
    <row r="2669">
      <c r="A2669" s="4" t="inlineStr">
        <is>
          <t>316</t>
        </is>
      </c>
      <c r="B2669" s="4" t="n">
        <v>3</v>
      </c>
      <c r="C2669" s="4" t="inlineStr">
        <is>
          <t>elk</t>
        </is>
      </c>
      <c r="D2669" s="4" t="n">
        <v>2011</v>
      </c>
      <c r="E2669" s="13" t="inlineStr">
        <is>
          <t>General</t>
        </is>
      </c>
      <c r="F2669" s="5" t="n">
        <v>117</v>
      </c>
      <c r="G2669" s="5" t="n">
        <v>552</v>
      </c>
      <c r="H2669" s="5" t="n">
        <v>11</v>
      </c>
      <c r="I2669" s="5" t="n">
        <v>3</v>
      </c>
      <c r="J2669" s="5" t="n">
        <v>8</v>
      </c>
      <c r="K2669" s="10">
        <f>IF(F2669&gt;0,H2669/F2669,"")</f>
        <v/>
      </c>
      <c r="L2669" s="16">
        <f>IF(AND(G2669&gt;0,H2669&gt;0),G2669/H2669,"")</f>
        <v/>
      </c>
    </row>
    <row r="2670">
      <c r="A2670" s="4" t="inlineStr">
        <is>
          <t>316</t>
        </is>
      </c>
      <c r="B2670" s="4" t="n">
        <v>3</v>
      </c>
      <c r="C2670" s="4" t="inlineStr">
        <is>
          <t>elk</t>
        </is>
      </c>
      <c r="D2670" s="4" t="n">
        <v>2012</v>
      </c>
      <c r="E2670" s="13" t="inlineStr">
        <is>
          <t>General</t>
        </is>
      </c>
      <c r="F2670" s="5" t="n">
        <v>131</v>
      </c>
      <c r="G2670" s="5" t="n">
        <v>887</v>
      </c>
      <c r="H2670" s="5" t="n">
        <v>14</v>
      </c>
      <c r="I2670" s="5" t="n">
        <v>11</v>
      </c>
      <c r="J2670" s="5" t="n">
        <v>3</v>
      </c>
      <c r="K2670" s="10">
        <f>IF(F2670&gt;0,H2670/F2670,"")</f>
        <v/>
      </c>
      <c r="L2670" s="16">
        <f>IF(AND(G2670&gt;0,H2670&gt;0),G2670/H2670,"")</f>
        <v/>
      </c>
    </row>
    <row r="2671">
      <c r="A2671" s="4" t="inlineStr">
        <is>
          <t>316</t>
        </is>
      </c>
      <c r="B2671" s="4" t="n">
        <v>3</v>
      </c>
      <c r="C2671" s="4" t="inlineStr">
        <is>
          <t>elk</t>
        </is>
      </c>
      <c r="D2671" s="4" t="n">
        <v>2014</v>
      </c>
      <c r="E2671" s="13" t="inlineStr">
        <is>
          <t>General</t>
        </is>
      </c>
      <c r="F2671" s="5" t="n">
        <v>108</v>
      </c>
      <c r="G2671" s="5" t="n">
        <v>768</v>
      </c>
      <c r="H2671" s="5" t="n">
        <v>11</v>
      </c>
      <c r="I2671" s="5" t="n">
        <v>9</v>
      </c>
      <c r="J2671" s="5" t="n">
        <v>3</v>
      </c>
      <c r="K2671" s="10">
        <f>IF(F2671&gt;0,H2671/F2671,"")</f>
        <v/>
      </c>
      <c r="L2671" s="16">
        <f>IF(AND(G2671&gt;0,H2671&gt;0),G2671/H2671,"")</f>
        <v/>
      </c>
    </row>
    <row r="2672">
      <c r="A2672" s="4" t="inlineStr">
        <is>
          <t>316</t>
        </is>
      </c>
      <c r="B2672" s="4" t="n">
        <v>3</v>
      </c>
      <c r="C2672" s="4" t="inlineStr">
        <is>
          <t>elk</t>
        </is>
      </c>
      <c r="D2672" s="4" t="n">
        <v>2015</v>
      </c>
      <c r="E2672" s="13" t="inlineStr">
        <is>
          <t>General</t>
        </is>
      </c>
      <c r="F2672" s="5" t="n">
        <v>94</v>
      </c>
      <c r="G2672" s="5" t="n">
        <v>456</v>
      </c>
      <c r="H2672" s="5" t="n">
        <v>9</v>
      </c>
      <c r="I2672" s="5" t="n">
        <v>3</v>
      </c>
      <c r="J2672" s="5" t="n">
        <v>6</v>
      </c>
      <c r="K2672" s="10">
        <f>IF(F2672&gt;0,H2672/F2672,"")</f>
        <v/>
      </c>
      <c r="L2672" s="16">
        <f>IF(AND(G2672&gt;0,H2672&gt;0),G2672/H2672,"")</f>
        <v/>
      </c>
    </row>
    <row r="2673">
      <c r="A2673" s="4" t="inlineStr">
        <is>
          <t>316</t>
        </is>
      </c>
      <c r="B2673" s="4" t="n">
        <v>3</v>
      </c>
      <c r="C2673" s="4" t="inlineStr">
        <is>
          <t>elk</t>
        </is>
      </c>
      <c r="D2673" s="4" t="n">
        <v>2016</v>
      </c>
      <c r="E2673" s="13" t="inlineStr">
        <is>
          <t>General</t>
        </is>
      </c>
      <c r="F2673" s="5" t="n">
        <v>134</v>
      </c>
      <c r="G2673" s="5" t="n">
        <v>1034</v>
      </c>
      <c r="H2673" s="5" t="n">
        <v>16</v>
      </c>
      <c r="I2673" s="5" t="n">
        <v>16</v>
      </c>
      <c r="J2673" s="5" t="n">
        <v>0</v>
      </c>
      <c r="K2673" s="10">
        <f>IF(F2673&gt;0,H2673/F2673,"")</f>
        <v/>
      </c>
      <c r="L2673" s="16">
        <f>IF(AND(G2673&gt;0,H2673&gt;0),G2673/H2673,"")</f>
        <v/>
      </c>
    </row>
    <row r="2674">
      <c r="A2674" s="4" t="inlineStr">
        <is>
          <t>316</t>
        </is>
      </c>
      <c r="B2674" s="4" t="n">
        <v>3</v>
      </c>
      <c r="C2674" s="4" t="inlineStr">
        <is>
          <t>elk</t>
        </is>
      </c>
      <c r="D2674" s="4" t="n">
        <v>2017</v>
      </c>
      <c r="E2674" s="13" t="inlineStr">
        <is>
          <t>General</t>
        </is>
      </c>
      <c r="F2674" s="5" t="n"/>
      <c r="G2674" s="5" t="n"/>
      <c r="H2674" s="5" t="n">
        <v>23</v>
      </c>
      <c r="I2674" s="5" t="n">
        <v>23</v>
      </c>
      <c r="J2674" s="5" t="n">
        <v>0</v>
      </c>
      <c r="K2674" s="10">
        <f>IF(F2674&gt;0,H2674/F2674,"")</f>
        <v/>
      </c>
      <c r="L2674" s="16">
        <f>IF(AND(G2674&gt;0,H2674&gt;0),G2674/H2674,"")</f>
        <v/>
      </c>
    </row>
    <row r="2675">
      <c r="A2675" s="4" t="inlineStr">
        <is>
          <t>316</t>
        </is>
      </c>
      <c r="B2675" s="4" t="n">
        <v>3</v>
      </c>
      <c r="C2675" s="4" t="inlineStr">
        <is>
          <t>elk</t>
        </is>
      </c>
      <c r="D2675" s="4" t="n">
        <v>2018</v>
      </c>
      <c r="E2675" s="13" t="inlineStr">
        <is>
          <t>General</t>
        </is>
      </c>
      <c r="F2675" s="5" t="n">
        <v>142</v>
      </c>
      <c r="G2675" s="5" t="n">
        <v>762</v>
      </c>
      <c r="H2675" s="5" t="n">
        <v>30</v>
      </c>
      <c r="I2675" s="5" t="n">
        <v>23</v>
      </c>
      <c r="J2675" s="5" t="n">
        <v>3</v>
      </c>
      <c r="K2675" s="10">
        <f>IF(F2675&gt;0,H2675/F2675,"")</f>
        <v/>
      </c>
      <c r="L2675" s="16">
        <f>IF(AND(G2675&gt;0,H2675&gt;0),G2675/H2675,"")</f>
        <v/>
      </c>
    </row>
    <row r="2676">
      <c r="A2676" s="4" t="inlineStr">
        <is>
          <t>316</t>
        </is>
      </c>
      <c r="B2676" s="4" t="n">
        <v>3</v>
      </c>
      <c r="C2676" s="4" t="inlineStr">
        <is>
          <t>elk</t>
        </is>
      </c>
      <c r="D2676" s="4" t="n">
        <v>2019</v>
      </c>
      <c r="E2676" s="13" t="inlineStr">
        <is>
          <t>General</t>
        </is>
      </c>
      <c r="F2676" s="5" t="n"/>
      <c r="G2676" s="5" t="n"/>
      <c r="H2676" s="5" t="n">
        <v>22</v>
      </c>
      <c r="I2676" s="5" t="n">
        <v>15</v>
      </c>
      <c r="J2676" s="5" t="n">
        <v>7</v>
      </c>
      <c r="K2676" s="10">
        <f>IF(F2676&gt;0,H2676/F2676,"")</f>
        <v/>
      </c>
      <c r="L2676" s="16">
        <f>IF(AND(G2676&gt;0,H2676&gt;0),G2676/H2676,"")</f>
        <v/>
      </c>
    </row>
    <row r="2677">
      <c r="A2677" s="4" t="inlineStr">
        <is>
          <t>316</t>
        </is>
      </c>
      <c r="B2677" s="4" t="n">
        <v>3</v>
      </c>
      <c r="C2677" s="4" t="inlineStr">
        <is>
          <t>elk</t>
        </is>
      </c>
      <c r="D2677" s="4" t="n">
        <v>2020</v>
      </c>
      <c r="E2677" s="13" t="inlineStr">
        <is>
          <t>General</t>
        </is>
      </c>
      <c r="F2677" s="5" t="n">
        <v>233</v>
      </c>
      <c r="G2677" s="5" t="n">
        <v>1588</v>
      </c>
      <c r="H2677" s="5" t="n">
        <v>61</v>
      </c>
      <c r="I2677" s="5" t="n">
        <v>54</v>
      </c>
      <c r="J2677" s="5" t="n">
        <v>7</v>
      </c>
      <c r="K2677" s="10">
        <f>IF(F2677&gt;0,H2677/F2677,"")</f>
        <v/>
      </c>
      <c r="L2677" s="16">
        <f>IF(AND(G2677&gt;0,H2677&gt;0),G2677/H2677,"")</f>
        <v/>
      </c>
    </row>
    <row r="2678">
      <c r="A2678" s="4" t="inlineStr">
        <is>
          <t>316</t>
        </is>
      </c>
      <c r="B2678" s="4" t="n">
        <v>3</v>
      </c>
      <c r="C2678" s="4" t="inlineStr">
        <is>
          <t>elk</t>
        </is>
      </c>
      <c r="D2678" s="4" t="n">
        <v>2021</v>
      </c>
      <c r="E2678" s="13" t="inlineStr">
        <is>
          <t>General</t>
        </is>
      </c>
      <c r="F2678" s="5" t="n"/>
      <c r="G2678" s="5" t="n"/>
      <c r="H2678" s="5" t="n">
        <v>42</v>
      </c>
      <c r="I2678" s="5" t="n">
        <v>42</v>
      </c>
      <c r="J2678" s="5" t="n">
        <v>0</v>
      </c>
      <c r="K2678" s="10">
        <f>IF(F2678&gt;0,H2678/F2678,"")</f>
        <v/>
      </c>
      <c r="L2678" s="16">
        <f>IF(AND(G2678&gt;0,H2678&gt;0),G2678/H2678,"")</f>
        <v/>
      </c>
    </row>
    <row r="2679">
      <c r="A2679" s="4" t="inlineStr">
        <is>
          <t>316</t>
        </is>
      </c>
      <c r="B2679" s="4" t="n">
        <v>3</v>
      </c>
      <c r="C2679" s="4" t="inlineStr">
        <is>
          <t>elk</t>
        </is>
      </c>
      <c r="D2679" s="4" t="n">
        <v>2022</v>
      </c>
      <c r="E2679" s="13" t="inlineStr">
        <is>
          <t>General</t>
        </is>
      </c>
      <c r="F2679" s="5" t="n">
        <v>241</v>
      </c>
      <c r="G2679" s="5" t="n">
        <v>1362</v>
      </c>
      <c r="H2679" s="5" t="n">
        <v>71</v>
      </c>
      <c r="I2679" s="5" t="n">
        <v>46</v>
      </c>
      <c r="J2679" s="5" t="n">
        <v>25</v>
      </c>
      <c r="K2679" s="10">
        <f>IF(F2679&gt;0,H2679/F2679,"")</f>
        <v/>
      </c>
      <c r="L2679" s="16">
        <f>IF(AND(G2679&gt;0,H2679&gt;0),G2679/H2679,"")</f>
        <v/>
      </c>
    </row>
    <row r="2680">
      <c r="A2680" s="4" t="inlineStr">
        <is>
          <t>316</t>
        </is>
      </c>
      <c r="B2680" s="4" t="n">
        <v>3</v>
      </c>
      <c r="C2680" s="4" t="inlineStr">
        <is>
          <t>elk</t>
        </is>
      </c>
      <c r="D2680" s="4" t="n">
        <v>2023</v>
      </c>
      <c r="E2680" s="13" t="inlineStr">
        <is>
          <t>General</t>
        </is>
      </c>
      <c r="F2680" s="5" t="n"/>
      <c r="G2680" s="5" t="n"/>
      <c r="H2680" s="5" t="n">
        <v>37</v>
      </c>
      <c r="I2680" s="5" t="n">
        <v>28</v>
      </c>
      <c r="J2680" s="5" t="n">
        <v>9</v>
      </c>
      <c r="K2680" s="10">
        <f>IF(F2680&gt;0,H2680/F2680,"")</f>
        <v/>
      </c>
      <c r="L2680" s="16">
        <f>IF(AND(G2680&gt;0,H2680&gt;0),G2680/H2680,"")</f>
        <v/>
      </c>
    </row>
    <row r="2681">
      <c r="A2681" s="4" t="inlineStr">
        <is>
          <t>316</t>
        </is>
      </c>
      <c r="B2681" s="4" t="n">
        <v>3</v>
      </c>
      <c r="C2681" s="4" t="inlineStr">
        <is>
          <t>elk</t>
        </is>
      </c>
      <c r="D2681" s="4" t="n">
        <v>2024</v>
      </c>
      <c r="E2681" s="13" t="inlineStr">
        <is>
          <t>General</t>
        </is>
      </c>
      <c r="F2681" s="5" t="n">
        <v>247</v>
      </c>
      <c r="G2681" s="5" t="n">
        <v>1931</v>
      </c>
      <c r="H2681" s="5" t="n">
        <v>39</v>
      </c>
      <c r="I2681" s="5" t="n">
        <v>30</v>
      </c>
      <c r="J2681" s="5" t="n">
        <v>9</v>
      </c>
      <c r="K2681" s="10">
        <f>IF(F2681&gt;0,H2681/F2681,"")</f>
        <v/>
      </c>
      <c r="L2681" s="16">
        <f>IF(AND(G2681&gt;0,H2681&gt;0),G2681/H2681,"")</f>
        <v/>
      </c>
    </row>
    <row r="2682">
      <c r="A2682" s="4" t="inlineStr">
        <is>
          <t>316</t>
        </is>
      </c>
      <c r="B2682" s="4" t="n">
        <v>3</v>
      </c>
      <c r="C2682" s="4" t="inlineStr">
        <is>
          <t>elk</t>
        </is>
      </c>
      <c r="D2682" s="4" t="n">
        <v>2025</v>
      </c>
      <c r="E2682" s="13" t="inlineStr">
        <is>
          <t>General</t>
        </is>
      </c>
      <c r="F2682" s="5" t="n"/>
      <c r="G2682" s="5" t="n"/>
      <c r="H2682" s="5" t="n">
        <v>28</v>
      </c>
      <c r="I2682" s="5" t="n">
        <v>20</v>
      </c>
      <c r="J2682" s="5" t="n">
        <v>7</v>
      </c>
      <c r="K2682" s="10">
        <f>IF(F2682&gt;0,H2682/F2682,"")</f>
        <v/>
      </c>
      <c r="L2682" s="16">
        <f>IF(AND(G2682&gt;0,H2682&gt;0),G2682/H2682,"")</f>
        <v/>
      </c>
    </row>
    <row r="2683">
      <c r="A2683" s="4" t="inlineStr">
        <is>
          <t>317</t>
        </is>
      </c>
      <c r="B2683" s="4" t="n">
        <v>3</v>
      </c>
      <c r="C2683" s="4" t="inlineStr">
        <is>
          <t>elk</t>
        </is>
      </c>
      <c r="D2683" s="4" t="n">
        <v>2004</v>
      </c>
      <c r="E2683" s="13" t="inlineStr">
        <is>
          <t>General</t>
        </is>
      </c>
      <c r="F2683" s="5" t="n">
        <v>706</v>
      </c>
      <c r="G2683" s="5" t="n">
        <v>3890</v>
      </c>
      <c r="H2683" s="5" t="n">
        <v>142</v>
      </c>
      <c r="I2683" s="5" t="n">
        <v>60</v>
      </c>
      <c r="J2683" s="5" t="n">
        <v>83</v>
      </c>
      <c r="K2683" s="10">
        <f>IF(F2683&gt;0,H2683/F2683,"")</f>
        <v/>
      </c>
      <c r="L2683" s="16">
        <f>IF(AND(G2683&gt;0,H2683&gt;0),G2683/H2683,"")</f>
        <v/>
      </c>
    </row>
    <row r="2684">
      <c r="A2684" s="4" t="inlineStr">
        <is>
          <t>317</t>
        </is>
      </c>
      <c r="B2684" s="4" t="n">
        <v>3</v>
      </c>
      <c r="C2684" s="4" t="inlineStr">
        <is>
          <t>elk</t>
        </is>
      </c>
      <c r="D2684" s="4" t="n">
        <v>2005</v>
      </c>
      <c r="E2684" s="13" t="inlineStr">
        <is>
          <t>General</t>
        </is>
      </c>
      <c r="F2684" s="5" t="n">
        <v>717</v>
      </c>
      <c r="G2684" s="5" t="n">
        <v>3690</v>
      </c>
      <c r="H2684" s="5" t="n">
        <v>144</v>
      </c>
      <c r="I2684" s="5" t="n">
        <v>55</v>
      </c>
      <c r="J2684" s="5" t="n">
        <v>84</v>
      </c>
      <c r="K2684" s="10">
        <f>IF(F2684&gt;0,H2684/F2684,"")</f>
        <v/>
      </c>
      <c r="L2684" s="16">
        <f>IF(AND(G2684&gt;0,H2684&gt;0),G2684/H2684,"")</f>
        <v/>
      </c>
    </row>
    <row r="2685">
      <c r="A2685" s="4" t="inlineStr">
        <is>
          <t>317</t>
        </is>
      </c>
      <c r="B2685" s="4" t="n">
        <v>3</v>
      </c>
      <c r="C2685" s="4" t="inlineStr">
        <is>
          <t>elk</t>
        </is>
      </c>
      <c r="D2685" s="4" t="n">
        <v>2006</v>
      </c>
      <c r="E2685" s="13" t="inlineStr">
        <is>
          <t>General</t>
        </is>
      </c>
      <c r="F2685" s="5" t="n">
        <v>794</v>
      </c>
      <c r="G2685" s="5" t="n">
        <v>4547</v>
      </c>
      <c r="H2685" s="5" t="n">
        <v>219</v>
      </c>
      <c r="I2685" s="5" t="n">
        <v>97</v>
      </c>
      <c r="J2685" s="5" t="n">
        <v>115</v>
      </c>
      <c r="K2685" s="10">
        <f>IF(F2685&gt;0,H2685/F2685,"")</f>
        <v/>
      </c>
      <c r="L2685" s="16">
        <f>IF(AND(G2685&gt;0,H2685&gt;0),G2685/H2685,"")</f>
        <v/>
      </c>
    </row>
    <row r="2686">
      <c r="A2686" s="4" t="inlineStr">
        <is>
          <t>317</t>
        </is>
      </c>
      <c r="B2686" s="4" t="n">
        <v>3</v>
      </c>
      <c r="C2686" s="4" t="inlineStr">
        <is>
          <t>elk</t>
        </is>
      </c>
      <c r="D2686" s="4" t="n">
        <v>2007</v>
      </c>
      <c r="E2686" s="13" t="inlineStr">
        <is>
          <t>General</t>
        </is>
      </c>
      <c r="F2686" s="5" t="n">
        <v>790</v>
      </c>
      <c r="G2686" s="5" t="n">
        <v>4706</v>
      </c>
      <c r="H2686" s="5" t="n">
        <v>263</v>
      </c>
      <c r="I2686" s="5" t="n">
        <v>98</v>
      </c>
      <c r="J2686" s="5" t="n">
        <v>166</v>
      </c>
      <c r="K2686" s="10">
        <f>IF(F2686&gt;0,H2686/F2686,"")</f>
        <v/>
      </c>
      <c r="L2686" s="16">
        <f>IF(AND(G2686&gt;0,H2686&gt;0),G2686/H2686,"")</f>
        <v/>
      </c>
    </row>
    <row r="2687">
      <c r="A2687" s="4" t="inlineStr">
        <is>
          <t>317</t>
        </is>
      </c>
      <c r="B2687" s="4" t="n">
        <v>3</v>
      </c>
      <c r="C2687" s="4" t="inlineStr">
        <is>
          <t>elk</t>
        </is>
      </c>
      <c r="D2687" s="4" t="n">
        <v>2008</v>
      </c>
      <c r="E2687" s="13" t="inlineStr">
        <is>
          <t>General</t>
        </is>
      </c>
      <c r="F2687" s="5" t="n">
        <v>741</v>
      </c>
      <c r="G2687" s="5" t="n">
        <v>4315</v>
      </c>
      <c r="H2687" s="5" t="n">
        <v>157</v>
      </c>
      <c r="I2687" s="5" t="n">
        <v>73</v>
      </c>
      <c r="J2687" s="5" t="n">
        <v>75</v>
      </c>
      <c r="K2687" s="10">
        <f>IF(F2687&gt;0,H2687/F2687,"")</f>
        <v/>
      </c>
      <c r="L2687" s="16">
        <f>IF(AND(G2687&gt;0,H2687&gt;0),G2687/H2687,"")</f>
        <v/>
      </c>
    </row>
    <row r="2688">
      <c r="A2688" s="4" t="inlineStr">
        <is>
          <t>317</t>
        </is>
      </c>
      <c r="B2688" s="4" t="n">
        <v>3</v>
      </c>
      <c r="C2688" s="4" t="inlineStr">
        <is>
          <t>elk</t>
        </is>
      </c>
      <c r="D2688" s="4" t="n">
        <v>2009</v>
      </c>
      <c r="E2688" s="13" t="inlineStr">
        <is>
          <t>General</t>
        </is>
      </c>
      <c r="F2688" s="5" t="n">
        <v>809</v>
      </c>
      <c r="G2688" s="5" t="n">
        <v>4171</v>
      </c>
      <c r="H2688" s="5" t="n">
        <v>242</v>
      </c>
      <c r="I2688" s="5" t="n">
        <v>78</v>
      </c>
      <c r="J2688" s="5" t="n">
        <v>162</v>
      </c>
      <c r="K2688" s="10">
        <f>IF(F2688&gt;0,H2688/F2688,"")</f>
        <v/>
      </c>
      <c r="L2688" s="16">
        <f>IF(AND(G2688&gt;0,H2688&gt;0),G2688/H2688,"")</f>
        <v/>
      </c>
    </row>
    <row r="2689">
      <c r="A2689" s="4" t="inlineStr">
        <is>
          <t>317</t>
        </is>
      </c>
      <c r="B2689" s="4" t="n">
        <v>3</v>
      </c>
      <c r="C2689" s="4" t="inlineStr">
        <is>
          <t>elk</t>
        </is>
      </c>
      <c r="D2689" s="4" t="n">
        <v>2010</v>
      </c>
      <c r="E2689" s="13" t="inlineStr">
        <is>
          <t>General</t>
        </is>
      </c>
      <c r="F2689" s="5" t="n">
        <v>772</v>
      </c>
      <c r="G2689" s="5" t="n">
        <v>3848</v>
      </c>
      <c r="H2689" s="5" t="n">
        <v>232</v>
      </c>
      <c r="I2689" s="5" t="n">
        <v>93</v>
      </c>
      <c r="J2689" s="5" t="n">
        <v>128</v>
      </c>
      <c r="K2689" s="10">
        <f>IF(F2689&gt;0,H2689/F2689,"")</f>
        <v/>
      </c>
      <c r="L2689" s="16">
        <f>IF(AND(G2689&gt;0,H2689&gt;0),G2689/H2689,"")</f>
        <v/>
      </c>
    </row>
    <row r="2690">
      <c r="A2690" s="4" t="inlineStr">
        <is>
          <t>317</t>
        </is>
      </c>
      <c r="B2690" s="4" t="n">
        <v>3</v>
      </c>
      <c r="C2690" s="4" t="inlineStr">
        <is>
          <t>elk</t>
        </is>
      </c>
      <c r="D2690" s="4" t="n">
        <v>2011</v>
      </c>
      <c r="E2690" s="13" t="inlineStr">
        <is>
          <t>General</t>
        </is>
      </c>
      <c r="F2690" s="5" t="n">
        <v>781</v>
      </c>
      <c r="G2690" s="5" t="n">
        <v>4856</v>
      </c>
      <c r="H2690" s="5" t="n">
        <v>126</v>
      </c>
      <c r="I2690" s="5" t="n">
        <v>67</v>
      </c>
      <c r="J2690" s="5" t="n">
        <v>53</v>
      </c>
      <c r="K2690" s="10">
        <f>IF(F2690&gt;0,H2690/F2690,"")</f>
        <v/>
      </c>
      <c r="L2690" s="16">
        <f>IF(AND(G2690&gt;0,H2690&gt;0),G2690/H2690,"")</f>
        <v/>
      </c>
    </row>
    <row r="2691">
      <c r="A2691" s="4" t="inlineStr">
        <is>
          <t>317</t>
        </is>
      </c>
      <c r="B2691" s="4" t="n">
        <v>3</v>
      </c>
      <c r="C2691" s="4" t="inlineStr">
        <is>
          <t>elk</t>
        </is>
      </c>
      <c r="D2691" s="4" t="n">
        <v>2012</v>
      </c>
      <c r="E2691" s="13" t="inlineStr">
        <is>
          <t>General</t>
        </is>
      </c>
      <c r="F2691" s="5" t="n">
        <v>733</v>
      </c>
      <c r="G2691" s="5" t="n">
        <v>4061</v>
      </c>
      <c r="H2691" s="5" t="n">
        <v>131</v>
      </c>
      <c r="I2691" s="5" t="n">
        <v>78</v>
      </c>
      <c r="J2691" s="5" t="n">
        <v>51</v>
      </c>
      <c r="K2691" s="10">
        <f>IF(F2691&gt;0,H2691/F2691,"")</f>
        <v/>
      </c>
      <c r="L2691" s="16">
        <f>IF(AND(G2691&gt;0,H2691&gt;0),G2691/H2691,"")</f>
        <v/>
      </c>
    </row>
    <row r="2692">
      <c r="A2692" s="4" t="inlineStr">
        <is>
          <t>317</t>
        </is>
      </c>
      <c r="B2692" s="4" t="n">
        <v>3</v>
      </c>
      <c r="C2692" s="4" t="inlineStr">
        <is>
          <t>elk</t>
        </is>
      </c>
      <c r="D2692" s="4" t="n">
        <v>2013</v>
      </c>
      <c r="E2692" s="13" t="inlineStr">
        <is>
          <t>General</t>
        </is>
      </c>
      <c r="F2692" s="5" t="n"/>
      <c r="G2692" s="5" t="n"/>
      <c r="H2692" s="5" t="n">
        <v>125</v>
      </c>
      <c r="I2692" s="5" t="n">
        <v>76</v>
      </c>
      <c r="J2692" s="5" t="n">
        <v>49</v>
      </c>
      <c r="K2692" s="10">
        <f>IF(F2692&gt;0,H2692/F2692,"")</f>
        <v/>
      </c>
      <c r="L2692" s="16">
        <f>IF(AND(G2692&gt;0,H2692&gt;0),G2692/H2692,"")</f>
        <v/>
      </c>
    </row>
    <row r="2693">
      <c r="A2693" s="4" t="inlineStr">
        <is>
          <t>317</t>
        </is>
      </c>
      <c r="B2693" s="4" t="n">
        <v>3</v>
      </c>
      <c r="C2693" s="4" t="inlineStr">
        <is>
          <t>elk</t>
        </is>
      </c>
      <c r="D2693" s="4" t="n">
        <v>2014</v>
      </c>
      <c r="E2693" s="13" t="inlineStr">
        <is>
          <t>General</t>
        </is>
      </c>
      <c r="F2693" s="5" t="n">
        <v>729</v>
      </c>
      <c r="G2693" s="5" t="n">
        <v>4659</v>
      </c>
      <c r="H2693" s="5" t="n">
        <v>167</v>
      </c>
      <c r="I2693" s="5" t="n">
        <v>98</v>
      </c>
      <c r="J2693" s="5" t="n">
        <v>66</v>
      </c>
      <c r="K2693" s="10">
        <f>IF(F2693&gt;0,H2693/F2693,"")</f>
        <v/>
      </c>
      <c r="L2693" s="16">
        <f>IF(AND(G2693&gt;0,H2693&gt;0),G2693/H2693,"")</f>
        <v/>
      </c>
    </row>
    <row r="2694">
      <c r="A2694" s="4" t="inlineStr">
        <is>
          <t>317</t>
        </is>
      </c>
      <c r="B2694" s="4" t="n">
        <v>3</v>
      </c>
      <c r="C2694" s="4" t="inlineStr">
        <is>
          <t>elk</t>
        </is>
      </c>
      <c r="D2694" s="4" t="n">
        <v>2015</v>
      </c>
      <c r="E2694" s="13" t="inlineStr">
        <is>
          <t>General</t>
        </is>
      </c>
      <c r="F2694" s="5" t="n">
        <v>760</v>
      </c>
      <c r="G2694" s="5" t="n">
        <v>4797</v>
      </c>
      <c r="H2694" s="5" t="n">
        <v>202</v>
      </c>
      <c r="I2694" s="5" t="n">
        <v>126</v>
      </c>
      <c r="J2694" s="5" t="n">
        <v>72</v>
      </c>
      <c r="K2694" s="10">
        <f>IF(F2694&gt;0,H2694/F2694,"")</f>
        <v/>
      </c>
      <c r="L2694" s="16">
        <f>IF(AND(G2694&gt;0,H2694&gt;0),G2694/H2694,"")</f>
        <v/>
      </c>
    </row>
    <row r="2695">
      <c r="A2695" s="4" t="inlineStr">
        <is>
          <t>317</t>
        </is>
      </c>
      <c r="B2695" s="4" t="n">
        <v>3</v>
      </c>
      <c r="C2695" s="4" t="inlineStr">
        <is>
          <t>elk</t>
        </is>
      </c>
      <c r="D2695" s="4" t="n">
        <v>2016</v>
      </c>
      <c r="E2695" s="13" t="inlineStr">
        <is>
          <t>General</t>
        </is>
      </c>
      <c r="F2695" s="5" t="n">
        <v>820</v>
      </c>
      <c r="G2695" s="5" t="n">
        <v>5458</v>
      </c>
      <c r="H2695" s="5" t="n">
        <v>166</v>
      </c>
      <c r="I2695" s="5" t="n">
        <v>101</v>
      </c>
      <c r="J2695" s="5" t="n">
        <v>63</v>
      </c>
      <c r="K2695" s="10">
        <f>IF(F2695&gt;0,H2695/F2695,"")</f>
        <v/>
      </c>
      <c r="L2695" s="16">
        <f>IF(AND(G2695&gt;0,H2695&gt;0),G2695/H2695,"")</f>
        <v/>
      </c>
    </row>
    <row r="2696">
      <c r="A2696" s="4" t="inlineStr">
        <is>
          <t>317</t>
        </is>
      </c>
      <c r="B2696" s="4" t="n">
        <v>3</v>
      </c>
      <c r="C2696" s="4" t="inlineStr">
        <is>
          <t>elk</t>
        </is>
      </c>
      <c r="D2696" s="4" t="n">
        <v>2017</v>
      </c>
      <c r="E2696" s="13" t="inlineStr">
        <is>
          <t>General</t>
        </is>
      </c>
      <c r="F2696" s="5" t="n"/>
      <c r="G2696" s="5" t="n"/>
      <c r="H2696" s="5" t="n">
        <v>350</v>
      </c>
      <c r="I2696" s="5" t="n">
        <v>229</v>
      </c>
      <c r="J2696" s="5" t="n">
        <v>117</v>
      </c>
      <c r="K2696" s="10">
        <f>IF(F2696&gt;0,H2696/F2696,"")</f>
        <v/>
      </c>
      <c r="L2696" s="16">
        <f>IF(AND(G2696&gt;0,H2696&gt;0),G2696/H2696,"")</f>
        <v/>
      </c>
    </row>
    <row r="2697">
      <c r="A2697" s="4" t="inlineStr">
        <is>
          <t>317</t>
        </is>
      </c>
      <c r="B2697" s="4" t="n">
        <v>3</v>
      </c>
      <c r="C2697" s="4" t="inlineStr">
        <is>
          <t>elk</t>
        </is>
      </c>
      <c r="D2697" s="4" t="n">
        <v>2018</v>
      </c>
      <c r="E2697" s="13" t="inlineStr">
        <is>
          <t>General</t>
        </is>
      </c>
      <c r="F2697" s="5" t="n">
        <v>1227</v>
      </c>
      <c r="G2697" s="5" t="n">
        <v>7311</v>
      </c>
      <c r="H2697" s="5" t="n">
        <v>427</v>
      </c>
      <c r="I2697" s="5" t="n">
        <v>153</v>
      </c>
      <c r="J2697" s="5" t="n">
        <v>263</v>
      </c>
      <c r="K2697" s="10">
        <f>IF(F2697&gt;0,H2697/F2697,"")</f>
        <v/>
      </c>
      <c r="L2697" s="16">
        <f>IF(AND(G2697&gt;0,H2697&gt;0),G2697/H2697,"")</f>
        <v/>
      </c>
    </row>
    <row r="2698">
      <c r="A2698" s="4" t="inlineStr">
        <is>
          <t>317</t>
        </is>
      </c>
      <c r="B2698" s="4" t="n">
        <v>3</v>
      </c>
      <c r="C2698" s="4" t="inlineStr">
        <is>
          <t>elk</t>
        </is>
      </c>
      <c r="D2698" s="4" t="n">
        <v>2019</v>
      </c>
      <c r="E2698" s="13" t="inlineStr">
        <is>
          <t>General</t>
        </is>
      </c>
      <c r="F2698" s="5" t="n"/>
      <c r="G2698" s="5" t="n"/>
      <c r="H2698" s="5" t="n">
        <v>343</v>
      </c>
      <c r="I2698" s="5" t="n">
        <v>162</v>
      </c>
      <c r="J2698" s="5" t="n">
        <v>173</v>
      </c>
      <c r="K2698" s="10">
        <f>IF(F2698&gt;0,H2698/F2698,"")</f>
        <v/>
      </c>
      <c r="L2698" s="16">
        <f>IF(AND(G2698&gt;0,H2698&gt;0),G2698/H2698,"")</f>
        <v/>
      </c>
    </row>
    <row r="2699">
      <c r="A2699" s="4" t="inlineStr">
        <is>
          <t>317</t>
        </is>
      </c>
      <c r="B2699" s="4" t="n">
        <v>3</v>
      </c>
      <c r="C2699" s="4" t="inlineStr">
        <is>
          <t>elk</t>
        </is>
      </c>
      <c r="D2699" s="4" t="n">
        <v>2020</v>
      </c>
      <c r="E2699" s="13" t="inlineStr">
        <is>
          <t>General</t>
        </is>
      </c>
      <c r="F2699" s="5" t="n">
        <v>1236</v>
      </c>
      <c r="G2699" s="5" t="n">
        <v>7707</v>
      </c>
      <c r="H2699" s="5" t="n">
        <v>299</v>
      </c>
      <c r="I2699" s="5" t="n">
        <v>130</v>
      </c>
      <c r="J2699" s="5" t="n">
        <v>165</v>
      </c>
      <c r="K2699" s="10">
        <f>IF(F2699&gt;0,H2699/F2699,"")</f>
        <v/>
      </c>
      <c r="L2699" s="16">
        <f>IF(AND(G2699&gt;0,H2699&gt;0),G2699/H2699,"")</f>
        <v/>
      </c>
    </row>
    <row r="2700">
      <c r="A2700" s="4" t="inlineStr">
        <is>
          <t>317</t>
        </is>
      </c>
      <c r="B2700" s="4" t="n">
        <v>3</v>
      </c>
      <c r="C2700" s="4" t="inlineStr">
        <is>
          <t>elk</t>
        </is>
      </c>
      <c r="D2700" s="4" t="n">
        <v>2021</v>
      </c>
      <c r="E2700" s="13" t="inlineStr">
        <is>
          <t>General</t>
        </is>
      </c>
      <c r="F2700" s="5" t="n"/>
      <c r="G2700" s="5" t="n"/>
      <c r="H2700" s="5" t="n">
        <v>315</v>
      </c>
      <c r="I2700" s="5" t="n">
        <v>135</v>
      </c>
      <c r="J2700" s="5" t="n">
        <v>180</v>
      </c>
      <c r="K2700" s="10">
        <f>IF(F2700&gt;0,H2700/F2700,"")</f>
        <v/>
      </c>
      <c r="L2700" s="16">
        <f>IF(AND(G2700&gt;0,H2700&gt;0),G2700/H2700,"")</f>
        <v/>
      </c>
    </row>
    <row r="2701">
      <c r="A2701" s="4" t="inlineStr">
        <is>
          <t>317</t>
        </is>
      </c>
      <c r="B2701" s="4" t="n">
        <v>3</v>
      </c>
      <c r="C2701" s="4" t="inlineStr">
        <is>
          <t>elk</t>
        </is>
      </c>
      <c r="D2701" s="4" t="n">
        <v>2022</v>
      </c>
      <c r="E2701" s="13" t="inlineStr">
        <is>
          <t>General</t>
        </is>
      </c>
      <c r="F2701" s="5" t="n">
        <v>1436</v>
      </c>
      <c r="G2701" s="5" t="n">
        <v>7864</v>
      </c>
      <c r="H2701" s="5" t="n">
        <v>522</v>
      </c>
      <c r="I2701" s="5" t="n">
        <v>198</v>
      </c>
      <c r="J2701" s="5" t="n">
        <v>305</v>
      </c>
      <c r="K2701" s="10">
        <f>IF(F2701&gt;0,H2701/F2701,"")</f>
        <v/>
      </c>
      <c r="L2701" s="16">
        <f>IF(AND(G2701&gt;0,H2701&gt;0),G2701/H2701,"")</f>
        <v/>
      </c>
    </row>
    <row r="2702">
      <c r="A2702" s="4" t="inlineStr">
        <is>
          <t>317</t>
        </is>
      </c>
      <c r="B2702" s="4" t="n">
        <v>3</v>
      </c>
      <c r="C2702" s="4" t="inlineStr">
        <is>
          <t>elk</t>
        </is>
      </c>
      <c r="D2702" s="4" t="n">
        <v>2023</v>
      </c>
      <c r="E2702" s="13" t="inlineStr">
        <is>
          <t>General</t>
        </is>
      </c>
      <c r="F2702" s="5" t="n"/>
      <c r="G2702" s="5" t="n"/>
      <c r="H2702" s="5" t="n">
        <v>362</v>
      </c>
      <c r="I2702" s="5" t="n">
        <v>141</v>
      </c>
      <c r="J2702" s="5" t="n">
        <v>218</v>
      </c>
      <c r="K2702" s="10">
        <f>IF(F2702&gt;0,H2702/F2702,"")</f>
        <v/>
      </c>
      <c r="L2702" s="16">
        <f>IF(AND(G2702&gt;0,H2702&gt;0),G2702/H2702,"")</f>
        <v/>
      </c>
    </row>
    <row r="2703">
      <c r="A2703" s="4" t="inlineStr">
        <is>
          <t>317</t>
        </is>
      </c>
      <c r="B2703" s="4" t="n">
        <v>3</v>
      </c>
      <c r="C2703" s="4" t="inlineStr">
        <is>
          <t>elk</t>
        </is>
      </c>
      <c r="D2703" s="4" t="n">
        <v>2024</v>
      </c>
      <c r="E2703" s="13" t="inlineStr">
        <is>
          <t>General</t>
        </is>
      </c>
      <c r="F2703" s="5" t="n">
        <v>1303</v>
      </c>
      <c r="G2703" s="5" t="n">
        <v>7781</v>
      </c>
      <c r="H2703" s="5" t="n">
        <v>437</v>
      </c>
      <c r="I2703" s="5" t="n">
        <v>94</v>
      </c>
      <c r="J2703" s="5" t="n">
        <v>335</v>
      </c>
      <c r="K2703" s="10">
        <f>IF(F2703&gt;0,H2703/F2703,"")</f>
        <v/>
      </c>
      <c r="L2703" s="16">
        <f>IF(AND(G2703&gt;0,H2703&gt;0),G2703/H2703,"")</f>
        <v/>
      </c>
    </row>
    <row r="2704">
      <c r="A2704" s="4" t="inlineStr">
        <is>
          <t>317</t>
        </is>
      </c>
      <c r="B2704" s="4" t="n">
        <v>3</v>
      </c>
      <c r="C2704" s="4" t="inlineStr">
        <is>
          <t>elk</t>
        </is>
      </c>
      <c r="D2704" s="4" t="n">
        <v>2025</v>
      </c>
      <c r="E2704" s="13" t="inlineStr">
        <is>
          <t>General</t>
        </is>
      </c>
      <c r="F2704" s="5" t="n"/>
      <c r="G2704" s="5" t="n"/>
      <c r="H2704" s="5" t="n">
        <v>379</v>
      </c>
      <c r="I2704" s="5" t="n">
        <v>117</v>
      </c>
      <c r="J2704" s="5" t="n">
        <v>262</v>
      </c>
      <c r="K2704" s="10">
        <f>IF(F2704&gt;0,H2704/F2704,"")</f>
        <v/>
      </c>
      <c r="L2704" s="16">
        <f>IF(AND(G2704&gt;0,H2704&gt;0),G2704/H2704,"")</f>
        <v/>
      </c>
    </row>
    <row r="2705">
      <c r="A2705" s="4" t="inlineStr">
        <is>
          <t>318</t>
        </is>
      </c>
      <c r="B2705" s="4" t="n">
        <v>3</v>
      </c>
      <c r="C2705" s="4" t="inlineStr">
        <is>
          <t>elk</t>
        </is>
      </c>
      <c r="D2705" s="4" t="n">
        <v>2004</v>
      </c>
      <c r="E2705" s="13" t="inlineStr">
        <is>
          <t>General</t>
        </is>
      </c>
      <c r="F2705" s="5" t="n">
        <v>988</v>
      </c>
      <c r="G2705" s="5" t="n">
        <v>8233</v>
      </c>
      <c r="H2705" s="5" t="n">
        <v>94</v>
      </c>
      <c r="I2705" s="5" t="n">
        <v>58</v>
      </c>
      <c r="J2705" s="5" t="n">
        <v>37</v>
      </c>
      <c r="K2705" s="10">
        <f>IF(F2705&gt;0,H2705/F2705,"")</f>
        <v/>
      </c>
      <c r="L2705" s="16">
        <f>IF(AND(G2705&gt;0,H2705&gt;0),G2705/H2705,"")</f>
        <v/>
      </c>
    </row>
    <row r="2706">
      <c r="A2706" s="4" t="inlineStr">
        <is>
          <t>318</t>
        </is>
      </c>
      <c r="B2706" s="4" t="n">
        <v>3</v>
      </c>
      <c r="C2706" s="4" t="inlineStr">
        <is>
          <t>elk</t>
        </is>
      </c>
      <c r="D2706" s="4" t="n">
        <v>2005</v>
      </c>
      <c r="E2706" s="13" t="inlineStr">
        <is>
          <t>General</t>
        </is>
      </c>
      <c r="F2706" s="5" t="n">
        <v>888</v>
      </c>
      <c r="G2706" s="5" t="n">
        <v>7266</v>
      </c>
      <c r="H2706" s="5" t="n">
        <v>173</v>
      </c>
      <c r="I2706" s="5" t="n">
        <v>87</v>
      </c>
      <c r="J2706" s="5" t="n">
        <v>82</v>
      </c>
      <c r="K2706" s="10">
        <f>IF(F2706&gt;0,H2706/F2706,"")</f>
        <v/>
      </c>
      <c r="L2706" s="16">
        <f>IF(AND(G2706&gt;0,H2706&gt;0),G2706/H2706,"")</f>
        <v/>
      </c>
    </row>
    <row r="2707">
      <c r="A2707" s="4" t="inlineStr">
        <is>
          <t>318</t>
        </is>
      </c>
      <c r="B2707" s="4" t="n">
        <v>3</v>
      </c>
      <c r="C2707" s="4" t="inlineStr">
        <is>
          <t>elk</t>
        </is>
      </c>
      <c r="D2707" s="4" t="n">
        <v>2006</v>
      </c>
      <c r="E2707" s="13" t="inlineStr">
        <is>
          <t>General</t>
        </is>
      </c>
      <c r="F2707" s="5" t="n">
        <v>856</v>
      </c>
      <c r="G2707" s="5" t="n">
        <v>7134</v>
      </c>
      <c r="H2707" s="5" t="n">
        <v>143</v>
      </c>
      <c r="I2707" s="5" t="n">
        <v>70</v>
      </c>
      <c r="J2707" s="5" t="n">
        <v>64</v>
      </c>
      <c r="K2707" s="10">
        <f>IF(F2707&gt;0,H2707/F2707,"")</f>
        <v/>
      </c>
      <c r="L2707" s="16">
        <f>IF(AND(G2707&gt;0,H2707&gt;0),G2707/H2707,"")</f>
        <v/>
      </c>
    </row>
    <row r="2708">
      <c r="A2708" s="4" t="inlineStr">
        <is>
          <t>318</t>
        </is>
      </c>
      <c r="B2708" s="4" t="n">
        <v>3</v>
      </c>
      <c r="C2708" s="4" t="inlineStr">
        <is>
          <t>elk</t>
        </is>
      </c>
      <c r="D2708" s="4" t="n">
        <v>2007</v>
      </c>
      <c r="E2708" s="13" t="inlineStr">
        <is>
          <t>General</t>
        </is>
      </c>
      <c r="F2708" s="5" t="n">
        <v>905</v>
      </c>
      <c r="G2708" s="5" t="n">
        <v>7659</v>
      </c>
      <c r="H2708" s="5" t="n">
        <v>102</v>
      </c>
      <c r="I2708" s="5" t="n">
        <v>40</v>
      </c>
      <c r="J2708" s="5" t="n">
        <v>59</v>
      </c>
      <c r="K2708" s="10">
        <f>IF(F2708&gt;0,H2708/F2708,"")</f>
        <v/>
      </c>
      <c r="L2708" s="16">
        <f>IF(AND(G2708&gt;0,H2708&gt;0),G2708/H2708,"")</f>
        <v/>
      </c>
    </row>
    <row r="2709">
      <c r="A2709" s="4" t="inlineStr">
        <is>
          <t>318</t>
        </is>
      </c>
      <c r="B2709" s="4" t="n">
        <v>3</v>
      </c>
      <c r="C2709" s="4" t="inlineStr">
        <is>
          <t>elk</t>
        </is>
      </c>
      <c r="D2709" s="4" t="n">
        <v>2008</v>
      </c>
      <c r="E2709" s="13" t="inlineStr">
        <is>
          <t>General</t>
        </is>
      </c>
      <c r="F2709" s="5" t="n">
        <v>939</v>
      </c>
      <c r="G2709" s="5" t="n">
        <v>8197</v>
      </c>
      <c r="H2709" s="5" t="n">
        <v>126</v>
      </c>
      <c r="I2709" s="5" t="n">
        <v>69</v>
      </c>
      <c r="J2709" s="5" t="n">
        <v>52</v>
      </c>
      <c r="K2709" s="10">
        <f>IF(F2709&gt;0,H2709/F2709,"")</f>
        <v/>
      </c>
      <c r="L2709" s="16">
        <f>IF(AND(G2709&gt;0,H2709&gt;0),G2709/H2709,"")</f>
        <v/>
      </c>
    </row>
    <row r="2710">
      <c r="A2710" s="4" t="inlineStr">
        <is>
          <t>318</t>
        </is>
      </c>
      <c r="B2710" s="4" t="n">
        <v>3</v>
      </c>
      <c r="C2710" s="4" t="inlineStr">
        <is>
          <t>elk</t>
        </is>
      </c>
      <c r="D2710" s="4" t="n">
        <v>2009</v>
      </c>
      <c r="E2710" s="13" t="inlineStr">
        <is>
          <t>General</t>
        </is>
      </c>
      <c r="F2710" s="5" t="n">
        <v>931</v>
      </c>
      <c r="G2710" s="5" t="n">
        <v>8093</v>
      </c>
      <c r="H2710" s="5" t="n">
        <v>180</v>
      </c>
      <c r="I2710" s="5" t="n">
        <v>102</v>
      </c>
      <c r="J2710" s="5" t="n">
        <v>72</v>
      </c>
      <c r="K2710" s="10">
        <f>IF(F2710&gt;0,H2710/F2710,"")</f>
        <v/>
      </c>
      <c r="L2710" s="16">
        <f>IF(AND(G2710&gt;0,H2710&gt;0),G2710/H2710,"")</f>
        <v/>
      </c>
    </row>
    <row r="2711">
      <c r="A2711" s="4" t="inlineStr">
        <is>
          <t>318</t>
        </is>
      </c>
      <c r="B2711" s="4" t="n">
        <v>3</v>
      </c>
      <c r="C2711" s="4" t="inlineStr">
        <is>
          <t>elk</t>
        </is>
      </c>
      <c r="D2711" s="4" t="n">
        <v>2010</v>
      </c>
      <c r="E2711" s="13" t="inlineStr">
        <is>
          <t>General</t>
        </is>
      </c>
      <c r="F2711" s="5" t="n">
        <v>1272</v>
      </c>
      <c r="G2711" s="5" t="n">
        <v>10915</v>
      </c>
      <c r="H2711" s="5" t="n">
        <v>227</v>
      </c>
      <c r="I2711" s="5" t="n">
        <v>119</v>
      </c>
      <c r="J2711" s="5" t="n">
        <v>92</v>
      </c>
      <c r="K2711" s="10">
        <f>IF(F2711&gt;0,H2711/F2711,"")</f>
        <v/>
      </c>
      <c r="L2711" s="16">
        <f>IF(AND(G2711&gt;0,H2711&gt;0),G2711/H2711,"")</f>
        <v/>
      </c>
    </row>
    <row r="2712">
      <c r="A2712" s="4" t="inlineStr">
        <is>
          <t>318</t>
        </is>
      </c>
      <c r="B2712" s="4" t="n">
        <v>3</v>
      </c>
      <c r="C2712" s="4" t="inlineStr">
        <is>
          <t>elk</t>
        </is>
      </c>
      <c r="D2712" s="4" t="n">
        <v>2011</v>
      </c>
      <c r="E2712" s="13" t="inlineStr">
        <is>
          <t>General</t>
        </is>
      </c>
      <c r="F2712" s="5" t="n">
        <v>1198</v>
      </c>
      <c r="G2712" s="5" t="n">
        <v>10597</v>
      </c>
      <c r="H2712" s="5" t="n">
        <v>144</v>
      </c>
      <c r="I2712" s="5" t="n">
        <v>78</v>
      </c>
      <c r="J2712" s="5" t="n">
        <v>66</v>
      </c>
      <c r="K2712" s="10">
        <f>IF(F2712&gt;0,H2712/F2712,"")</f>
        <v/>
      </c>
      <c r="L2712" s="16">
        <f>IF(AND(G2712&gt;0,H2712&gt;0),G2712/H2712,"")</f>
        <v/>
      </c>
    </row>
    <row r="2713">
      <c r="A2713" s="4" t="inlineStr">
        <is>
          <t>318</t>
        </is>
      </c>
      <c r="B2713" s="4" t="n">
        <v>3</v>
      </c>
      <c r="C2713" s="4" t="inlineStr">
        <is>
          <t>elk</t>
        </is>
      </c>
      <c r="D2713" s="4" t="n">
        <v>2012</v>
      </c>
      <c r="E2713" s="13" t="inlineStr">
        <is>
          <t>General</t>
        </is>
      </c>
      <c r="F2713" s="5" t="n">
        <v>1305</v>
      </c>
      <c r="G2713" s="5" t="n">
        <v>10538</v>
      </c>
      <c r="H2713" s="5" t="n">
        <v>180</v>
      </c>
      <c r="I2713" s="5" t="n">
        <v>109</v>
      </c>
      <c r="J2713" s="5" t="n">
        <v>67</v>
      </c>
      <c r="K2713" s="10">
        <f>IF(F2713&gt;0,H2713/F2713,"")</f>
        <v/>
      </c>
      <c r="L2713" s="16">
        <f>IF(AND(G2713&gt;0,H2713&gt;0),G2713/H2713,"")</f>
        <v/>
      </c>
    </row>
    <row r="2714">
      <c r="A2714" s="4" t="inlineStr">
        <is>
          <t>318</t>
        </is>
      </c>
      <c r="B2714" s="4" t="n">
        <v>3</v>
      </c>
      <c r="C2714" s="4" t="inlineStr">
        <is>
          <t>elk</t>
        </is>
      </c>
      <c r="D2714" s="4" t="n">
        <v>2013</v>
      </c>
      <c r="E2714" s="13" t="inlineStr">
        <is>
          <t>General</t>
        </is>
      </c>
      <c r="F2714" s="5" t="n"/>
      <c r="G2714" s="5" t="n"/>
      <c r="H2714" s="5" t="n">
        <v>125</v>
      </c>
      <c r="I2714" s="5" t="n">
        <v>42</v>
      </c>
      <c r="J2714" s="5" t="n">
        <v>76</v>
      </c>
      <c r="K2714" s="10">
        <f>IF(F2714&gt;0,H2714/F2714,"")</f>
        <v/>
      </c>
      <c r="L2714" s="16">
        <f>IF(AND(G2714&gt;0,H2714&gt;0),G2714/H2714,"")</f>
        <v/>
      </c>
    </row>
    <row r="2715">
      <c r="A2715" s="4" t="inlineStr">
        <is>
          <t>318</t>
        </is>
      </c>
      <c r="B2715" s="4" t="n">
        <v>3</v>
      </c>
      <c r="C2715" s="4" t="inlineStr">
        <is>
          <t>elk</t>
        </is>
      </c>
      <c r="D2715" s="4" t="n">
        <v>2014</v>
      </c>
      <c r="E2715" s="13" t="inlineStr">
        <is>
          <t>General</t>
        </is>
      </c>
      <c r="F2715" s="5" t="n">
        <v>1435</v>
      </c>
      <c r="G2715" s="5" t="n">
        <v>13072</v>
      </c>
      <c r="H2715" s="5" t="n">
        <v>187</v>
      </c>
      <c r="I2715" s="5" t="n">
        <v>110</v>
      </c>
      <c r="J2715" s="5" t="n">
        <v>70</v>
      </c>
      <c r="K2715" s="10">
        <f>IF(F2715&gt;0,H2715/F2715,"")</f>
        <v/>
      </c>
      <c r="L2715" s="16">
        <f>IF(AND(G2715&gt;0,H2715&gt;0),G2715/H2715,"")</f>
        <v/>
      </c>
    </row>
    <row r="2716">
      <c r="A2716" s="4" t="inlineStr">
        <is>
          <t>318</t>
        </is>
      </c>
      <c r="B2716" s="4" t="n">
        <v>3</v>
      </c>
      <c r="C2716" s="4" t="inlineStr">
        <is>
          <t>elk</t>
        </is>
      </c>
      <c r="D2716" s="4" t="n">
        <v>2015</v>
      </c>
      <c r="E2716" s="13" t="inlineStr">
        <is>
          <t>General</t>
        </is>
      </c>
      <c r="F2716" s="5" t="n">
        <v>1451</v>
      </c>
      <c r="G2716" s="5" t="n">
        <v>13690</v>
      </c>
      <c r="H2716" s="5" t="n">
        <v>249</v>
      </c>
      <c r="I2716" s="5" t="n">
        <v>132</v>
      </c>
      <c r="J2716" s="5" t="n">
        <v>108</v>
      </c>
      <c r="K2716" s="10">
        <f>IF(F2716&gt;0,H2716/F2716,"")</f>
        <v/>
      </c>
      <c r="L2716" s="16">
        <f>IF(AND(G2716&gt;0,H2716&gt;0),G2716/H2716,"")</f>
        <v/>
      </c>
    </row>
    <row r="2717">
      <c r="A2717" s="4" t="inlineStr">
        <is>
          <t>318</t>
        </is>
      </c>
      <c r="B2717" s="4" t="n">
        <v>3</v>
      </c>
      <c r="C2717" s="4" t="inlineStr">
        <is>
          <t>elk</t>
        </is>
      </c>
      <c r="D2717" s="4" t="n">
        <v>2016</v>
      </c>
      <c r="E2717" s="13" t="inlineStr">
        <is>
          <t>General</t>
        </is>
      </c>
      <c r="F2717" s="5" t="n">
        <v>1268</v>
      </c>
      <c r="G2717" s="5" t="n">
        <v>11889</v>
      </c>
      <c r="H2717" s="5" t="n">
        <v>114</v>
      </c>
      <c r="I2717" s="5" t="n">
        <v>57</v>
      </c>
      <c r="J2717" s="5" t="n">
        <v>48</v>
      </c>
      <c r="K2717" s="10">
        <f>IF(F2717&gt;0,H2717/F2717,"")</f>
        <v/>
      </c>
      <c r="L2717" s="16">
        <f>IF(AND(G2717&gt;0,H2717&gt;0),G2717/H2717,"")</f>
        <v/>
      </c>
    </row>
    <row r="2718">
      <c r="A2718" s="4" t="inlineStr">
        <is>
          <t>318</t>
        </is>
      </c>
      <c r="B2718" s="4" t="n">
        <v>3</v>
      </c>
      <c r="C2718" s="4" t="inlineStr">
        <is>
          <t>elk</t>
        </is>
      </c>
      <c r="D2718" s="4" t="n">
        <v>2017</v>
      </c>
      <c r="E2718" s="13" t="inlineStr">
        <is>
          <t>General</t>
        </is>
      </c>
      <c r="F2718" s="5" t="n"/>
      <c r="G2718" s="5" t="n"/>
      <c r="H2718" s="5" t="n">
        <v>220</v>
      </c>
      <c r="I2718" s="5" t="n">
        <v>123</v>
      </c>
      <c r="J2718" s="5" t="n">
        <v>92</v>
      </c>
      <c r="K2718" s="10">
        <f>IF(F2718&gt;0,H2718/F2718,"")</f>
        <v/>
      </c>
      <c r="L2718" s="16">
        <f>IF(AND(G2718&gt;0,H2718&gt;0),G2718/H2718,"")</f>
        <v/>
      </c>
    </row>
    <row r="2719">
      <c r="A2719" s="4" t="inlineStr">
        <is>
          <t>318</t>
        </is>
      </c>
      <c r="B2719" s="4" t="n">
        <v>3</v>
      </c>
      <c r="C2719" s="4" t="inlineStr">
        <is>
          <t>elk</t>
        </is>
      </c>
      <c r="D2719" s="4" t="n">
        <v>2018</v>
      </c>
      <c r="E2719" s="13" t="inlineStr">
        <is>
          <t>General</t>
        </is>
      </c>
      <c r="F2719" s="5" t="n">
        <v>1246</v>
      </c>
      <c r="G2719" s="5" t="n">
        <v>11962</v>
      </c>
      <c r="H2719" s="5" t="n">
        <v>184</v>
      </c>
      <c r="I2719" s="5" t="n">
        <v>110</v>
      </c>
      <c r="J2719" s="5" t="n">
        <v>72</v>
      </c>
      <c r="K2719" s="10">
        <f>IF(F2719&gt;0,H2719/F2719,"")</f>
        <v/>
      </c>
      <c r="L2719" s="16">
        <f>IF(AND(G2719&gt;0,H2719&gt;0),G2719/H2719,"")</f>
        <v/>
      </c>
    </row>
    <row r="2720">
      <c r="A2720" s="4" t="inlineStr">
        <is>
          <t>318</t>
        </is>
      </c>
      <c r="B2720" s="4" t="n">
        <v>3</v>
      </c>
      <c r="C2720" s="4" t="inlineStr">
        <is>
          <t>elk</t>
        </is>
      </c>
      <c r="D2720" s="4" t="n">
        <v>2019</v>
      </c>
      <c r="E2720" s="13" t="inlineStr">
        <is>
          <t>General</t>
        </is>
      </c>
      <c r="F2720" s="5" t="n"/>
      <c r="G2720" s="5" t="n"/>
      <c r="H2720" s="5" t="n">
        <v>159</v>
      </c>
      <c r="I2720" s="5" t="n">
        <v>69</v>
      </c>
      <c r="J2720" s="5" t="n">
        <v>83</v>
      </c>
      <c r="K2720" s="10">
        <f>IF(F2720&gt;0,H2720/F2720,"")</f>
        <v/>
      </c>
      <c r="L2720" s="16">
        <f>IF(AND(G2720&gt;0,H2720&gt;0),G2720/H2720,"")</f>
        <v/>
      </c>
    </row>
    <row r="2721">
      <c r="A2721" s="4" t="inlineStr">
        <is>
          <t>318</t>
        </is>
      </c>
      <c r="B2721" s="4" t="n">
        <v>3</v>
      </c>
      <c r="C2721" s="4" t="inlineStr">
        <is>
          <t>elk</t>
        </is>
      </c>
      <c r="D2721" s="4" t="n">
        <v>2020</v>
      </c>
      <c r="E2721" s="13" t="inlineStr">
        <is>
          <t>General</t>
        </is>
      </c>
      <c r="F2721" s="5" t="n">
        <v>1264</v>
      </c>
      <c r="G2721" s="5" t="n">
        <v>11118</v>
      </c>
      <c r="H2721" s="5" t="n">
        <v>169</v>
      </c>
      <c r="I2721" s="5" t="n">
        <v>84</v>
      </c>
      <c r="J2721" s="5" t="n">
        <v>81</v>
      </c>
      <c r="K2721" s="10">
        <f>IF(F2721&gt;0,H2721/F2721,"")</f>
        <v/>
      </c>
      <c r="L2721" s="16">
        <f>IF(AND(G2721&gt;0,H2721&gt;0),G2721/H2721,"")</f>
        <v/>
      </c>
    </row>
    <row r="2722">
      <c r="A2722" s="4" t="inlineStr">
        <is>
          <t>318</t>
        </is>
      </c>
      <c r="B2722" s="4" t="n">
        <v>3</v>
      </c>
      <c r="C2722" s="4" t="inlineStr">
        <is>
          <t>elk</t>
        </is>
      </c>
      <c r="D2722" s="4" t="n">
        <v>2021</v>
      </c>
      <c r="E2722" s="13" t="inlineStr">
        <is>
          <t>General</t>
        </is>
      </c>
      <c r="F2722" s="5" t="n"/>
      <c r="G2722" s="5" t="n"/>
      <c r="H2722" s="5" t="n">
        <v>138</v>
      </c>
      <c r="I2722" s="5" t="n">
        <v>88</v>
      </c>
      <c r="J2722" s="5" t="n">
        <v>49</v>
      </c>
      <c r="K2722" s="10">
        <f>IF(F2722&gt;0,H2722/F2722,"")</f>
        <v/>
      </c>
      <c r="L2722" s="16">
        <f>IF(AND(G2722&gt;0,H2722&gt;0),G2722/H2722,"")</f>
        <v/>
      </c>
    </row>
    <row r="2723">
      <c r="A2723" s="4" t="inlineStr">
        <is>
          <t>318</t>
        </is>
      </c>
      <c r="B2723" s="4" t="n">
        <v>3</v>
      </c>
      <c r="C2723" s="4" t="inlineStr">
        <is>
          <t>elk</t>
        </is>
      </c>
      <c r="D2723" s="4" t="n">
        <v>2022</v>
      </c>
      <c r="E2723" s="13" t="inlineStr">
        <is>
          <t>General</t>
        </is>
      </c>
      <c r="F2723" s="5" t="n">
        <v>1204</v>
      </c>
      <c r="G2723" s="5" t="n">
        <v>10706</v>
      </c>
      <c r="H2723" s="5" t="n">
        <v>129</v>
      </c>
      <c r="I2723" s="5" t="n">
        <v>87</v>
      </c>
      <c r="J2723" s="5" t="n">
        <v>36</v>
      </c>
      <c r="K2723" s="10">
        <f>IF(F2723&gt;0,H2723/F2723,"")</f>
        <v/>
      </c>
      <c r="L2723" s="16">
        <f>IF(AND(G2723&gt;0,H2723&gt;0),G2723/H2723,"")</f>
        <v/>
      </c>
    </row>
    <row r="2724">
      <c r="A2724" s="4" t="inlineStr">
        <is>
          <t>318</t>
        </is>
      </c>
      <c r="B2724" s="4" t="n">
        <v>3</v>
      </c>
      <c r="C2724" s="4" t="inlineStr">
        <is>
          <t>elk</t>
        </is>
      </c>
      <c r="D2724" s="4" t="n">
        <v>2023</v>
      </c>
      <c r="E2724" s="13" t="inlineStr">
        <is>
          <t>General</t>
        </is>
      </c>
      <c r="F2724" s="5" t="n"/>
      <c r="G2724" s="5" t="n"/>
      <c r="H2724" s="5" t="n">
        <v>135</v>
      </c>
      <c r="I2724" s="5" t="n">
        <v>78</v>
      </c>
      <c r="J2724" s="5" t="n">
        <v>54</v>
      </c>
      <c r="K2724" s="10">
        <f>IF(F2724&gt;0,H2724/F2724,"")</f>
        <v/>
      </c>
      <c r="L2724" s="16">
        <f>IF(AND(G2724&gt;0,H2724&gt;0),G2724/H2724,"")</f>
        <v/>
      </c>
    </row>
    <row r="2725">
      <c r="A2725" s="4" t="inlineStr">
        <is>
          <t>318</t>
        </is>
      </c>
      <c r="B2725" s="4" t="n">
        <v>3</v>
      </c>
      <c r="C2725" s="4" t="inlineStr">
        <is>
          <t>elk</t>
        </is>
      </c>
      <c r="D2725" s="4" t="n">
        <v>2024</v>
      </c>
      <c r="E2725" s="13" t="inlineStr">
        <is>
          <t>General</t>
        </is>
      </c>
      <c r="F2725" s="5" t="n">
        <v>1214</v>
      </c>
      <c r="G2725" s="5" t="n">
        <v>11454</v>
      </c>
      <c r="H2725" s="5" t="n">
        <v>190</v>
      </c>
      <c r="I2725" s="5" t="n">
        <v>91</v>
      </c>
      <c r="J2725" s="5" t="n">
        <v>94</v>
      </c>
      <c r="K2725" s="10">
        <f>IF(F2725&gt;0,H2725/F2725,"")</f>
        <v/>
      </c>
      <c r="L2725" s="16">
        <f>IF(AND(G2725&gt;0,H2725&gt;0),G2725/H2725,"")</f>
        <v/>
      </c>
    </row>
    <row r="2726">
      <c r="A2726" s="4" t="inlineStr">
        <is>
          <t>318</t>
        </is>
      </c>
      <c r="B2726" s="4" t="n">
        <v>3</v>
      </c>
      <c r="C2726" s="4" t="inlineStr">
        <is>
          <t>elk</t>
        </is>
      </c>
      <c r="D2726" s="4" t="n">
        <v>2025</v>
      </c>
      <c r="E2726" s="13" t="inlineStr">
        <is>
          <t>General</t>
        </is>
      </c>
      <c r="F2726" s="5" t="n"/>
      <c r="G2726" s="5" t="n"/>
      <c r="H2726" s="5" t="n">
        <v>210</v>
      </c>
      <c r="I2726" s="5" t="n">
        <v>115</v>
      </c>
      <c r="J2726" s="5" t="n">
        <v>95</v>
      </c>
      <c r="K2726" s="10">
        <f>IF(F2726&gt;0,H2726/F2726,"")</f>
        <v/>
      </c>
      <c r="L2726" s="16">
        <f>IF(AND(G2726&gt;0,H2726&gt;0),G2726/H2726,"")</f>
        <v/>
      </c>
    </row>
    <row r="2727">
      <c r="A2727" s="4" t="inlineStr">
        <is>
          <t>319</t>
        </is>
      </c>
      <c r="B2727" s="4" t="n">
        <v>3</v>
      </c>
      <c r="C2727" s="4" t="inlineStr">
        <is>
          <t>elk</t>
        </is>
      </c>
      <c r="D2727" s="4" t="n">
        <v>2004</v>
      </c>
      <c r="E2727" s="13" t="inlineStr">
        <is>
          <t>General</t>
        </is>
      </c>
      <c r="F2727" s="5" t="n">
        <v>2421</v>
      </c>
      <c r="G2727" s="5" t="n">
        <v>19714</v>
      </c>
      <c r="H2727" s="5" t="n">
        <v>344</v>
      </c>
      <c r="I2727" s="5" t="n">
        <v>130</v>
      </c>
      <c r="J2727" s="5" t="n">
        <v>188</v>
      </c>
      <c r="K2727" s="10">
        <f>IF(F2727&gt;0,H2727/F2727,"")</f>
        <v/>
      </c>
      <c r="L2727" s="16">
        <f>IF(AND(G2727&gt;0,H2727&gt;0),G2727/H2727,"")</f>
        <v/>
      </c>
    </row>
    <row r="2728">
      <c r="A2728" s="4" t="inlineStr">
        <is>
          <t>319</t>
        </is>
      </c>
      <c r="B2728" s="4" t="n">
        <v>3</v>
      </c>
      <c r="C2728" s="4" t="inlineStr">
        <is>
          <t>elk</t>
        </is>
      </c>
      <c r="D2728" s="4" t="n">
        <v>2005</v>
      </c>
      <c r="E2728" s="13" t="inlineStr">
        <is>
          <t>General</t>
        </is>
      </c>
      <c r="F2728" s="5" t="n">
        <v>2080</v>
      </c>
      <c r="G2728" s="5" t="n">
        <v>15179</v>
      </c>
      <c r="H2728" s="5" t="n">
        <v>546</v>
      </c>
      <c r="I2728" s="5" t="n">
        <v>169</v>
      </c>
      <c r="J2728" s="5" t="n">
        <v>342</v>
      </c>
      <c r="K2728" s="10">
        <f>IF(F2728&gt;0,H2728/F2728,"")</f>
        <v/>
      </c>
      <c r="L2728" s="16">
        <f>IF(AND(G2728&gt;0,H2728&gt;0),G2728/H2728,"")</f>
        <v/>
      </c>
    </row>
    <row r="2729">
      <c r="A2729" s="4" t="inlineStr">
        <is>
          <t>319</t>
        </is>
      </c>
      <c r="B2729" s="4" t="n">
        <v>3</v>
      </c>
      <c r="C2729" s="4" t="inlineStr">
        <is>
          <t>elk</t>
        </is>
      </c>
      <c r="D2729" s="4" t="n">
        <v>2006</v>
      </c>
      <c r="E2729" s="13" t="inlineStr">
        <is>
          <t>General</t>
        </is>
      </c>
      <c r="F2729" s="5" t="n">
        <v>1574</v>
      </c>
      <c r="G2729" s="5" t="n">
        <v>10467</v>
      </c>
      <c r="H2729" s="5" t="n">
        <v>222</v>
      </c>
      <c r="I2729" s="5" t="n">
        <v>104</v>
      </c>
      <c r="J2729" s="5" t="n">
        <v>107</v>
      </c>
      <c r="K2729" s="10">
        <f>IF(F2729&gt;0,H2729/F2729,"")</f>
        <v/>
      </c>
      <c r="L2729" s="16">
        <f>IF(AND(G2729&gt;0,H2729&gt;0),G2729/H2729,"")</f>
        <v/>
      </c>
    </row>
    <row r="2730">
      <c r="A2730" s="4" t="inlineStr">
        <is>
          <t>319</t>
        </is>
      </c>
      <c r="B2730" s="4" t="n">
        <v>3</v>
      </c>
      <c r="C2730" s="4" t="inlineStr">
        <is>
          <t>elk</t>
        </is>
      </c>
      <c r="D2730" s="4" t="n">
        <v>2007</v>
      </c>
      <c r="E2730" s="13" t="inlineStr">
        <is>
          <t>General</t>
        </is>
      </c>
      <c r="F2730" s="5" t="n">
        <v>1625</v>
      </c>
      <c r="G2730" s="5" t="n">
        <v>11115</v>
      </c>
      <c r="H2730" s="5" t="n">
        <v>303</v>
      </c>
      <c r="I2730" s="5" t="n">
        <v>110</v>
      </c>
      <c r="J2730" s="5" t="n">
        <v>165</v>
      </c>
      <c r="K2730" s="10">
        <f>IF(F2730&gt;0,H2730/F2730,"")</f>
        <v/>
      </c>
      <c r="L2730" s="16">
        <f>IF(AND(G2730&gt;0,H2730&gt;0),G2730/H2730,"")</f>
        <v/>
      </c>
    </row>
    <row r="2731">
      <c r="A2731" s="4" t="inlineStr">
        <is>
          <t>319</t>
        </is>
      </c>
      <c r="B2731" s="4" t="n">
        <v>3</v>
      </c>
      <c r="C2731" s="4" t="inlineStr">
        <is>
          <t>elk</t>
        </is>
      </c>
      <c r="D2731" s="4" t="n">
        <v>2008</v>
      </c>
      <c r="E2731" s="13" t="inlineStr">
        <is>
          <t>General</t>
        </is>
      </c>
      <c r="F2731" s="5" t="n">
        <v>1515</v>
      </c>
      <c r="G2731" s="5" t="n">
        <v>11094</v>
      </c>
      <c r="H2731" s="5" t="n">
        <v>176</v>
      </c>
      <c r="I2731" s="5" t="n">
        <v>62</v>
      </c>
      <c r="J2731" s="5" t="n">
        <v>104</v>
      </c>
      <c r="K2731" s="10">
        <f>IF(F2731&gt;0,H2731/F2731,"")</f>
        <v/>
      </c>
      <c r="L2731" s="16">
        <f>IF(AND(G2731&gt;0,H2731&gt;0),G2731/H2731,"")</f>
        <v/>
      </c>
    </row>
    <row r="2732">
      <c r="A2732" s="4" t="inlineStr">
        <is>
          <t>319</t>
        </is>
      </c>
      <c r="B2732" s="4" t="n">
        <v>3</v>
      </c>
      <c r="C2732" s="4" t="inlineStr">
        <is>
          <t>elk</t>
        </is>
      </c>
      <c r="D2732" s="4" t="n">
        <v>2009</v>
      </c>
      <c r="E2732" s="13" t="inlineStr">
        <is>
          <t>General</t>
        </is>
      </c>
      <c r="F2732" s="5" t="n">
        <v>1318</v>
      </c>
      <c r="G2732" s="5" t="n">
        <v>9239</v>
      </c>
      <c r="H2732" s="5" t="n">
        <v>196</v>
      </c>
      <c r="I2732" s="5" t="n">
        <v>113</v>
      </c>
      <c r="J2732" s="5" t="n">
        <v>77</v>
      </c>
      <c r="K2732" s="10">
        <f>IF(F2732&gt;0,H2732/F2732,"")</f>
        <v/>
      </c>
      <c r="L2732" s="16">
        <f>IF(AND(G2732&gt;0,H2732&gt;0),G2732/H2732,"")</f>
        <v/>
      </c>
    </row>
    <row r="2733">
      <c r="A2733" s="4" t="inlineStr">
        <is>
          <t>319</t>
        </is>
      </c>
      <c r="B2733" s="4" t="n">
        <v>3</v>
      </c>
      <c r="C2733" s="4" t="inlineStr">
        <is>
          <t>elk</t>
        </is>
      </c>
      <c r="D2733" s="4" t="n">
        <v>2010</v>
      </c>
      <c r="E2733" s="13" t="inlineStr">
        <is>
          <t>General</t>
        </is>
      </c>
      <c r="F2733" s="5" t="n">
        <v>1013</v>
      </c>
      <c r="G2733" s="5" t="n">
        <v>7385</v>
      </c>
      <c r="H2733" s="5" t="n">
        <v>139</v>
      </c>
      <c r="I2733" s="5" t="n">
        <v>111</v>
      </c>
      <c r="J2733" s="5" t="n">
        <v>28</v>
      </c>
      <c r="K2733" s="10">
        <f>IF(F2733&gt;0,H2733/F2733,"")</f>
        <v/>
      </c>
      <c r="L2733" s="16">
        <f>IF(AND(G2733&gt;0,H2733&gt;0),G2733/H2733,"")</f>
        <v/>
      </c>
    </row>
    <row r="2734">
      <c r="A2734" s="4" t="inlineStr">
        <is>
          <t>319</t>
        </is>
      </c>
      <c r="B2734" s="4" t="n">
        <v>3</v>
      </c>
      <c r="C2734" s="4" t="inlineStr">
        <is>
          <t>elk</t>
        </is>
      </c>
      <c r="D2734" s="4" t="n">
        <v>2011</v>
      </c>
      <c r="E2734" s="13" t="inlineStr">
        <is>
          <t>General</t>
        </is>
      </c>
      <c r="F2734" s="5" t="n">
        <v>1028</v>
      </c>
      <c r="G2734" s="5" t="n">
        <v>7041</v>
      </c>
      <c r="H2734" s="5" t="n">
        <v>114</v>
      </c>
      <c r="I2734" s="5" t="n">
        <v>95</v>
      </c>
      <c r="J2734" s="5" t="n">
        <v>19</v>
      </c>
      <c r="K2734" s="10">
        <f>IF(F2734&gt;0,H2734/F2734,"")</f>
        <v/>
      </c>
      <c r="L2734" s="16">
        <f>IF(AND(G2734&gt;0,H2734&gt;0),G2734/H2734,"")</f>
        <v/>
      </c>
    </row>
    <row r="2735">
      <c r="A2735" s="4" t="inlineStr">
        <is>
          <t>319</t>
        </is>
      </c>
      <c r="B2735" s="4" t="n">
        <v>3</v>
      </c>
      <c r="C2735" s="4" t="inlineStr">
        <is>
          <t>elk</t>
        </is>
      </c>
      <c r="D2735" s="4" t="n">
        <v>2012</v>
      </c>
      <c r="E2735" s="13" t="inlineStr">
        <is>
          <t>General</t>
        </is>
      </c>
      <c r="F2735" s="5" t="n">
        <v>1100</v>
      </c>
      <c r="G2735" s="5" t="n">
        <v>7638</v>
      </c>
      <c r="H2735" s="5" t="n">
        <v>209</v>
      </c>
      <c r="I2735" s="5" t="n">
        <v>164</v>
      </c>
      <c r="J2735" s="5" t="n">
        <v>42</v>
      </c>
      <c r="K2735" s="10">
        <f>IF(F2735&gt;0,H2735/F2735,"")</f>
        <v/>
      </c>
      <c r="L2735" s="16">
        <f>IF(AND(G2735&gt;0,H2735&gt;0),G2735/H2735,"")</f>
        <v/>
      </c>
    </row>
    <row r="2736">
      <c r="A2736" s="4" t="inlineStr">
        <is>
          <t>319</t>
        </is>
      </c>
      <c r="B2736" s="4" t="n">
        <v>3</v>
      </c>
      <c r="C2736" s="4" t="inlineStr">
        <is>
          <t>elk</t>
        </is>
      </c>
      <c r="D2736" s="4" t="n">
        <v>2013</v>
      </c>
      <c r="E2736" s="13" t="inlineStr">
        <is>
          <t>General</t>
        </is>
      </c>
      <c r="F2736" s="5" t="n"/>
      <c r="G2736" s="5" t="n"/>
      <c r="H2736" s="5" t="n">
        <v>148</v>
      </c>
      <c r="I2736" s="5" t="n">
        <v>117</v>
      </c>
      <c r="J2736" s="5" t="n">
        <v>25</v>
      </c>
      <c r="K2736" s="10">
        <f>IF(F2736&gt;0,H2736/F2736,"")</f>
        <v/>
      </c>
      <c r="L2736" s="16">
        <f>IF(AND(G2736&gt;0,H2736&gt;0),G2736/H2736,"")</f>
        <v/>
      </c>
    </row>
    <row r="2737">
      <c r="A2737" s="4" t="inlineStr">
        <is>
          <t>319</t>
        </is>
      </c>
      <c r="B2737" s="4" t="n">
        <v>3</v>
      </c>
      <c r="C2737" s="4" t="inlineStr">
        <is>
          <t>elk</t>
        </is>
      </c>
      <c r="D2737" s="4" t="n">
        <v>2014</v>
      </c>
      <c r="E2737" s="13" t="inlineStr">
        <is>
          <t>General</t>
        </is>
      </c>
      <c r="F2737" s="5" t="n">
        <v>1434</v>
      </c>
      <c r="G2737" s="5" t="n">
        <v>10569</v>
      </c>
      <c r="H2737" s="5" t="n">
        <v>200</v>
      </c>
      <c r="I2737" s="5" t="n">
        <v>152</v>
      </c>
      <c r="J2737" s="5" t="n">
        <v>47</v>
      </c>
      <c r="K2737" s="10">
        <f>IF(F2737&gt;0,H2737/F2737,"")</f>
        <v/>
      </c>
      <c r="L2737" s="16">
        <f>IF(AND(G2737&gt;0,H2737&gt;0),G2737/H2737,"")</f>
        <v/>
      </c>
    </row>
    <row r="2738">
      <c r="A2738" s="4" t="inlineStr">
        <is>
          <t>319</t>
        </is>
      </c>
      <c r="B2738" s="4" t="n">
        <v>3</v>
      </c>
      <c r="C2738" s="4" t="inlineStr">
        <is>
          <t>elk</t>
        </is>
      </c>
      <c r="D2738" s="4" t="n">
        <v>2015</v>
      </c>
      <c r="E2738" s="13" t="inlineStr">
        <is>
          <t>General</t>
        </is>
      </c>
      <c r="F2738" s="5" t="n">
        <v>1429</v>
      </c>
      <c r="G2738" s="5" t="n">
        <v>12510</v>
      </c>
      <c r="H2738" s="5" t="n">
        <v>343</v>
      </c>
      <c r="I2738" s="5" t="n">
        <v>222</v>
      </c>
      <c r="J2738" s="5" t="n">
        <v>106</v>
      </c>
      <c r="K2738" s="10">
        <f>IF(F2738&gt;0,H2738/F2738,"")</f>
        <v/>
      </c>
      <c r="L2738" s="16">
        <f>IF(AND(G2738&gt;0,H2738&gt;0),G2738/H2738,"")</f>
        <v/>
      </c>
    </row>
    <row r="2739">
      <c r="A2739" s="4" t="inlineStr">
        <is>
          <t>319</t>
        </is>
      </c>
      <c r="B2739" s="4" t="n">
        <v>3</v>
      </c>
      <c r="C2739" s="4" t="inlineStr">
        <is>
          <t>elk</t>
        </is>
      </c>
      <c r="D2739" s="4" t="n">
        <v>2016</v>
      </c>
      <c r="E2739" s="13" t="inlineStr">
        <is>
          <t>General</t>
        </is>
      </c>
      <c r="F2739" s="5" t="n">
        <v>1419</v>
      </c>
      <c r="G2739" s="5" t="n">
        <v>11420</v>
      </c>
      <c r="H2739" s="5" t="n">
        <v>189</v>
      </c>
      <c r="I2739" s="5" t="n">
        <v>126</v>
      </c>
      <c r="J2739" s="5" t="n">
        <v>57</v>
      </c>
      <c r="K2739" s="10">
        <f>IF(F2739&gt;0,H2739/F2739,"")</f>
        <v/>
      </c>
      <c r="L2739" s="16">
        <f>IF(AND(G2739&gt;0,H2739&gt;0),G2739/H2739,"")</f>
        <v/>
      </c>
    </row>
    <row r="2740">
      <c r="A2740" s="4" t="inlineStr">
        <is>
          <t>319</t>
        </is>
      </c>
      <c r="B2740" s="4" t="n">
        <v>3</v>
      </c>
      <c r="C2740" s="4" t="inlineStr">
        <is>
          <t>elk</t>
        </is>
      </c>
      <c r="D2740" s="4" t="n">
        <v>2017</v>
      </c>
      <c r="E2740" s="13" t="inlineStr">
        <is>
          <t>General</t>
        </is>
      </c>
      <c r="F2740" s="5" t="n"/>
      <c r="G2740" s="5" t="n"/>
      <c r="H2740" s="5" t="n">
        <v>320</v>
      </c>
      <c r="I2740" s="5" t="n">
        <v>190</v>
      </c>
      <c r="J2740" s="5" t="n">
        <v>116</v>
      </c>
      <c r="K2740" s="10">
        <f>IF(F2740&gt;0,H2740/F2740,"")</f>
        <v/>
      </c>
      <c r="L2740" s="16">
        <f>IF(AND(G2740&gt;0,H2740&gt;0),G2740/H2740,"")</f>
        <v/>
      </c>
    </row>
    <row r="2741">
      <c r="A2741" s="4" t="inlineStr">
        <is>
          <t>319</t>
        </is>
      </c>
      <c r="B2741" s="4" t="n">
        <v>3</v>
      </c>
      <c r="C2741" s="4" t="inlineStr">
        <is>
          <t>elk</t>
        </is>
      </c>
      <c r="D2741" s="4" t="n">
        <v>2018</v>
      </c>
      <c r="E2741" s="13" t="inlineStr">
        <is>
          <t>General</t>
        </is>
      </c>
      <c r="F2741" s="5" t="n">
        <v>1368</v>
      </c>
      <c r="G2741" s="5" t="n">
        <v>11790</v>
      </c>
      <c r="H2741" s="5" t="n">
        <v>195</v>
      </c>
      <c r="I2741" s="5" t="n">
        <v>119</v>
      </c>
      <c r="J2741" s="5" t="n">
        <v>73</v>
      </c>
      <c r="K2741" s="10">
        <f>IF(F2741&gt;0,H2741/F2741,"")</f>
        <v/>
      </c>
      <c r="L2741" s="16">
        <f>IF(AND(G2741&gt;0,H2741&gt;0),G2741/H2741,"")</f>
        <v/>
      </c>
    </row>
    <row r="2742">
      <c r="A2742" s="4" t="inlineStr">
        <is>
          <t>319</t>
        </is>
      </c>
      <c r="B2742" s="4" t="n">
        <v>3</v>
      </c>
      <c r="C2742" s="4" t="inlineStr">
        <is>
          <t>elk</t>
        </is>
      </c>
      <c r="D2742" s="4" t="n">
        <v>2019</v>
      </c>
      <c r="E2742" s="13" t="inlineStr">
        <is>
          <t>General</t>
        </is>
      </c>
      <c r="F2742" s="5" t="n"/>
      <c r="G2742" s="5" t="n"/>
      <c r="H2742" s="5" t="n">
        <v>172</v>
      </c>
      <c r="I2742" s="5" t="n">
        <v>89</v>
      </c>
      <c r="J2742" s="5" t="n">
        <v>78</v>
      </c>
      <c r="K2742" s="10">
        <f>IF(F2742&gt;0,H2742/F2742,"")</f>
        <v/>
      </c>
      <c r="L2742" s="16">
        <f>IF(AND(G2742&gt;0,H2742&gt;0),G2742/H2742,"")</f>
        <v/>
      </c>
    </row>
    <row r="2743">
      <c r="A2743" s="4" t="inlineStr">
        <is>
          <t>319</t>
        </is>
      </c>
      <c r="B2743" s="4" t="n">
        <v>3</v>
      </c>
      <c r="C2743" s="4" t="inlineStr">
        <is>
          <t>elk</t>
        </is>
      </c>
      <c r="D2743" s="4" t="n">
        <v>2020</v>
      </c>
      <c r="E2743" s="13" t="inlineStr">
        <is>
          <t>General</t>
        </is>
      </c>
      <c r="F2743" s="5" t="n">
        <v>1460</v>
      </c>
      <c r="G2743" s="5" t="n">
        <v>12285</v>
      </c>
      <c r="H2743" s="5" t="n">
        <v>253</v>
      </c>
      <c r="I2743" s="5" t="n">
        <v>150</v>
      </c>
      <c r="J2743" s="5" t="n">
        <v>96</v>
      </c>
      <c r="K2743" s="10">
        <f>IF(F2743&gt;0,H2743/F2743,"")</f>
        <v/>
      </c>
      <c r="L2743" s="16">
        <f>IF(AND(G2743&gt;0,H2743&gt;0),G2743/H2743,"")</f>
        <v/>
      </c>
    </row>
    <row r="2744">
      <c r="A2744" s="4" t="inlineStr">
        <is>
          <t>319</t>
        </is>
      </c>
      <c r="B2744" s="4" t="n">
        <v>3</v>
      </c>
      <c r="C2744" s="4" t="inlineStr">
        <is>
          <t>elk</t>
        </is>
      </c>
      <c r="D2744" s="4" t="n">
        <v>2021</v>
      </c>
      <c r="E2744" s="13" t="inlineStr">
        <is>
          <t>General</t>
        </is>
      </c>
      <c r="F2744" s="5" t="n"/>
      <c r="G2744" s="5" t="n"/>
      <c r="H2744" s="5" t="n">
        <v>211</v>
      </c>
      <c r="I2744" s="5" t="n">
        <v>136</v>
      </c>
      <c r="J2744" s="5" t="n">
        <v>75</v>
      </c>
      <c r="K2744" s="10">
        <f>IF(F2744&gt;0,H2744/F2744,"")</f>
        <v/>
      </c>
      <c r="L2744" s="16">
        <f>IF(AND(G2744&gt;0,H2744&gt;0),G2744/H2744,"")</f>
        <v/>
      </c>
    </row>
    <row r="2745">
      <c r="A2745" s="4" t="inlineStr">
        <is>
          <t>319</t>
        </is>
      </c>
      <c r="B2745" s="4" t="n">
        <v>3</v>
      </c>
      <c r="C2745" s="4" t="inlineStr">
        <is>
          <t>elk</t>
        </is>
      </c>
      <c r="D2745" s="4" t="n">
        <v>2022</v>
      </c>
      <c r="E2745" s="13" t="inlineStr">
        <is>
          <t>General</t>
        </is>
      </c>
      <c r="F2745" s="5" t="n">
        <v>1937</v>
      </c>
      <c r="G2745" s="5" t="n">
        <v>16523</v>
      </c>
      <c r="H2745" s="5" t="n">
        <v>390</v>
      </c>
      <c r="I2745" s="5" t="n">
        <v>245</v>
      </c>
      <c r="J2745" s="5" t="n">
        <v>130</v>
      </c>
      <c r="K2745" s="10">
        <f>IF(F2745&gt;0,H2745/F2745,"")</f>
        <v/>
      </c>
      <c r="L2745" s="16">
        <f>IF(AND(G2745&gt;0,H2745&gt;0),G2745/H2745,"")</f>
        <v/>
      </c>
    </row>
    <row r="2746">
      <c r="A2746" s="4" t="inlineStr">
        <is>
          <t>319</t>
        </is>
      </c>
      <c r="B2746" s="4" t="n">
        <v>3</v>
      </c>
      <c r="C2746" s="4" t="inlineStr">
        <is>
          <t>elk</t>
        </is>
      </c>
      <c r="D2746" s="4" t="n">
        <v>2023</v>
      </c>
      <c r="E2746" s="13" t="inlineStr">
        <is>
          <t>General</t>
        </is>
      </c>
      <c r="F2746" s="5" t="n"/>
      <c r="G2746" s="5" t="n"/>
      <c r="H2746" s="5" t="n">
        <v>271</v>
      </c>
      <c r="I2746" s="5" t="n">
        <v>163</v>
      </c>
      <c r="J2746" s="5" t="n">
        <v>108</v>
      </c>
      <c r="K2746" s="10">
        <f>IF(F2746&gt;0,H2746/F2746,"")</f>
        <v/>
      </c>
      <c r="L2746" s="16">
        <f>IF(AND(G2746&gt;0,H2746&gt;0),G2746/H2746,"")</f>
        <v/>
      </c>
    </row>
    <row r="2747">
      <c r="A2747" s="4" t="inlineStr">
        <is>
          <t>319</t>
        </is>
      </c>
      <c r="B2747" s="4" t="n">
        <v>3</v>
      </c>
      <c r="C2747" s="4" t="inlineStr">
        <is>
          <t>elk</t>
        </is>
      </c>
      <c r="D2747" s="4" t="n">
        <v>2024</v>
      </c>
      <c r="E2747" s="13" t="inlineStr">
        <is>
          <t>General</t>
        </is>
      </c>
      <c r="F2747" s="5" t="n">
        <v>2064</v>
      </c>
      <c r="G2747" s="5" t="n">
        <v>18429</v>
      </c>
      <c r="H2747" s="5" t="n">
        <v>351</v>
      </c>
      <c r="I2747" s="5" t="n">
        <v>202</v>
      </c>
      <c r="J2747" s="5" t="n">
        <v>146</v>
      </c>
      <c r="K2747" s="10">
        <f>IF(F2747&gt;0,H2747/F2747,"")</f>
        <v/>
      </c>
      <c r="L2747" s="16">
        <f>IF(AND(G2747&gt;0,H2747&gt;0),G2747/H2747,"")</f>
        <v/>
      </c>
    </row>
    <row r="2748">
      <c r="A2748" s="4" t="inlineStr">
        <is>
          <t>319</t>
        </is>
      </c>
      <c r="B2748" s="4" t="n">
        <v>3</v>
      </c>
      <c r="C2748" s="4" t="inlineStr">
        <is>
          <t>elk</t>
        </is>
      </c>
      <c r="D2748" s="4" t="n">
        <v>2025</v>
      </c>
      <c r="E2748" s="13" t="inlineStr">
        <is>
          <t>General</t>
        </is>
      </c>
      <c r="F2748" s="5" t="n"/>
      <c r="G2748" s="5" t="n"/>
      <c r="H2748" s="5" t="n">
        <v>332</v>
      </c>
      <c r="I2748" s="5" t="n">
        <v>182</v>
      </c>
      <c r="J2748" s="5" t="n">
        <v>150</v>
      </c>
      <c r="K2748" s="10">
        <f>IF(F2748&gt;0,H2748/F2748,"")</f>
        <v/>
      </c>
      <c r="L2748" s="16">
        <f>IF(AND(G2748&gt;0,H2748&gt;0),G2748/H2748,"")</f>
        <v/>
      </c>
    </row>
    <row r="2749">
      <c r="A2749" s="4" t="inlineStr">
        <is>
          <t>320</t>
        </is>
      </c>
      <c r="B2749" s="4" t="n">
        <v>3</v>
      </c>
      <c r="C2749" s="4" t="inlineStr">
        <is>
          <t>elk</t>
        </is>
      </c>
      <c r="D2749" s="4" t="n">
        <v>2004</v>
      </c>
      <c r="E2749" s="13" t="inlineStr">
        <is>
          <t>General</t>
        </is>
      </c>
      <c r="F2749" s="5" t="n">
        <v>1141</v>
      </c>
      <c r="G2749" s="5" t="n">
        <v>5794</v>
      </c>
      <c r="H2749" s="5" t="n">
        <v>204</v>
      </c>
      <c r="I2749" s="5" t="n">
        <v>130</v>
      </c>
      <c r="J2749" s="5" t="n">
        <v>65</v>
      </c>
      <c r="K2749" s="10">
        <f>IF(F2749&gt;0,H2749/F2749,"")</f>
        <v/>
      </c>
      <c r="L2749" s="16">
        <f>IF(AND(G2749&gt;0,H2749&gt;0),G2749/H2749,"")</f>
        <v/>
      </c>
    </row>
    <row r="2750">
      <c r="A2750" s="4" t="inlineStr">
        <is>
          <t>320</t>
        </is>
      </c>
      <c r="B2750" s="4" t="n">
        <v>3</v>
      </c>
      <c r="C2750" s="4" t="inlineStr">
        <is>
          <t>elk</t>
        </is>
      </c>
      <c r="D2750" s="4" t="n">
        <v>2005</v>
      </c>
      <c r="E2750" s="13" t="inlineStr">
        <is>
          <t>General</t>
        </is>
      </c>
      <c r="F2750" s="5" t="n">
        <v>1215</v>
      </c>
      <c r="G2750" s="5" t="n">
        <v>7186</v>
      </c>
      <c r="H2750" s="5" t="n">
        <v>292</v>
      </c>
      <c r="I2750" s="5" t="n">
        <v>125</v>
      </c>
      <c r="J2750" s="5" t="n">
        <v>140</v>
      </c>
      <c r="K2750" s="10">
        <f>IF(F2750&gt;0,H2750/F2750,"")</f>
        <v/>
      </c>
      <c r="L2750" s="16">
        <f>IF(AND(G2750&gt;0,H2750&gt;0),G2750/H2750,"")</f>
        <v/>
      </c>
    </row>
    <row r="2751">
      <c r="A2751" s="4" t="inlineStr">
        <is>
          <t>320</t>
        </is>
      </c>
      <c r="B2751" s="4" t="n">
        <v>3</v>
      </c>
      <c r="C2751" s="4" t="inlineStr">
        <is>
          <t>elk</t>
        </is>
      </c>
      <c r="D2751" s="4" t="n">
        <v>2006</v>
      </c>
      <c r="E2751" s="13" t="inlineStr">
        <is>
          <t>General</t>
        </is>
      </c>
      <c r="F2751" s="5" t="n">
        <v>1101</v>
      </c>
      <c r="G2751" s="5" t="n">
        <v>6462</v>
      </c>
      <c r="H2751" s="5" t="n">
        <v>275</v>
      </c>
      <c r="I2751" s="5" t="n">
        <v>141</v>
      </c>
      <c r="J2751" s="5" t="n">
        <v>113</v>
      </c>
      <c r="K2751" s="10">
        <f>IF(F2751&gt;0,H2751/F2751,"")</f>
        <v/>
      </c>
      <c r="L2751" s="16">
        <f>IF(AND(G2751&gt;0,H2751&gt;0),G2751/H2751,"")</f>
        <v/>
      </c>
    </row>
    <row r="2752">
      <c r="A2752" s="4" t="inlineStr">
        <is>
          <t>320</t>
        </is>
      </c>
      <c r="B2752" s="4" t="n">
        <v>3</v>
      </c>
      <c r="C2752" s="4" t="inlineStr">
        <is>
          <t>elk</t>
        </is>
      </c>
      <c r="D2752" s="4" t="n">
        <v>2007</v>
      </c>
      <c r="E2752" s="13" t="inlineStr">
        <is>
          <t>General</t>
        </is>
      </c>
      <c r="F2752" s="5" t="n">
        <v>1354</v>
      </c>
      <c r="G2752" s="5" t="n">
        <v>7857</v>
      </c>
      <c r="H2752" s="5" t="n">
        <v>319</v>
      </c>
      <c r="I2752" s="5" t="n">
        <v>137</v>
      </c>
      <c r="J2752" s="5" t="n">
        <v>161</v>
      </c>
      <c r="K2752" s="10">
        <f>IF(F2752&gt;0,H2752/F2752,"")</f>
        <v/>
      </c>
      <c r="L2752" s="16">
        <f>IF(AND(G2752&gt;0,H2752&gt;0),G2752/H2752,"")</f>
        <v/>
      </c>
    </row>
    <row r="2753">
      <c r="A2753" s="4" t="inlineStr">
        <is>
          <t>320</t>
        </is>
      </c>
      <c r="B2753" s="4" t="n">
        <v>3</v>
      </c>
      <c r="C2753" s="4" t="inlineStr">
        <is>
          <t>elk</t>
        </is>
      </c>
      <c r="D2753" s="4" t="n">
        <v>2008</v>
      </c>
      <c r="E2753" s="13" t="inlineStr">
        <is>
          <t>General</t>
        </is>
      </c>
      <c r="F2753" s="5" t="n">
        <v>1524</v>
      </c>
      <c r="G2753" s="5" t="n">
        <v>9389</v>
      </c>
      <c r="H2753" s="5" t="n">
        <v>325</v>
      </c>
      <c r="I2753" s="5" t="n">
        <v>119</v>
      </c>
      <c r="J2753" s="5" t="n">
        <v>178</v>
      </c>
      <c r="K2753" s="10">
        <f>IF(F2753&gt;0,H2753/F2753,"")</f>
        <v/>
      </c>
      <c r="L2753" s="16">
        <f>IF(AND(G2753&gt;0,H2753&gt;0),G2753/H2753,"")</f>
        <v/>
      </c>
    </row>
    <row r="2754">
      <c r="A2754" s="4" t="inlineStr">
        <is>
          <t>320</t>
        </is>
      </c>
      <c r="B2754" s="4" t="n">
        <v>3</v>
      </c>
      <c r="C2754" s="4" t="inlineStr">
        <is>
          <t>elk</t>
        </is>
      </c>
      <c r="D2754" s="4" t="n">
        <v>2009</v>
      </c>
      <c r="E2754" s="13" t="inlineStr">
        <is>
          <t>General</t>
        </is>
      </c>
      <c r="F2754" s="5" t="n">
        <v>1390</v>
      </c>
      <c r="G2754" s="5" t="n">
        <v>8570</v>
      </c>
      <c r="H2754" s="5" t="n">
        <v>331</v>
      </c>
      <c r="I2754" s="5" t="n">
        <v>131</v>
      </c>
      <c r="J2754" s="5" t="n">
        <v>157</v>
      </c>
      <c r="K2754" s="10">
        <f>IF(F2754&gt;0,H2754/F2754,"")</f>
        <v/>
      </c>
      <c r="L2754" s="16">
        <f>IF(AND(G2754&gt;0,H2754&gt;0),G2754/H2754,"")</f>
        <v/>
      </c>
    </row>
    <row r="2755">
      <c r="A2755" s="4" t="inlineStr">
        <is>
          <t>320</t>
        </is>
      </c>
      <c r="B2755" s="4" t="n">
        <v>3</v>
      </c>
      <c r="C2755" s="4" t="inlineStr">
        <is>
          <t>elk</t>
        </is>
      </c>
      <c r="D2755" s="4" t="n">
        <v>2010</v>
      </c>
      <c r="E2755" s="13" t="inlineStr">
        <is>
          <t>General</t>
        </is>
      </c>
      <c r="F2755" s="5" t="n">
        <v>1254</v>
      </c>
      <c r="G2755" s="5" t="n">
        <v>7867</v>
      </c>
      <c r="H2755" s="5" t="n">
        <v>223</v>
      </c>
      <c r="I2755" s="5" t="n">
        <v>89</v>
      </c>
      <c r="J2755" s="5" t="n">
        <v>129</v>
      </c>
      <c r="K2755" s="10">
        <f>IF(F2755&gt;0,H2755/F2755,"")</f>
        <v/>
      </c>
      <c r="L2755" s="16">
        <f>IF(AND(G2755&gt;0,H2755&gt;0),G2755/H2755,"")</f>
        <v/>
      </c>
    </row>
    <row r="2756">
      <c r="A2756" s="4" t="inlineStr">
        <is>
          <t>320</t>
        </is>
      </c>
      <c r="B2756" s="4" t="n">
        <v>3</v>
      </c>
      <c r="C2756" s="4" t="inlineStr">
        <is>
          <t>elk</t>
        </is>
      </c>
      <c r="D2756" s="4" t="n">
        <v>2011</v>
      </c>
      <c r="E2756" s="13" t="inlineStr">
        <is>
          <t>General</t>
        </is>
      </c>
      <c r="F2756" s="5" t="n">
        <v>1158</v>
      </c>
      <c r="G2756" s="5" t="n">
        <v>7348</v>
      </c>
      <c r="H2756" s="5" t="n">
        <v>170</v>
      </c>
      <c r="I2756" s="5" t="n">
        <v>92</v>
      </c>
      <c r="J2756" s="5" t="n">
        <v>64</v>
      </c>
      <c r="K2756" s="10">
        <f>IF(F2756&gt;0,H2756/F2756,"")</f>
        <v/>
      </c>
      <c r="L2756" s="16">
        <f>IF(AND(G2756&gt;0,H2756&gt;0),G2756/H2756,"")</f>
        <v/>
      </c>
    </row>
    <row r="2757">
      <c r="A2757" s="4" t="inlineStr">
        <is>
          <t>320</t>
        </is>
      </c>
      <c r="B2757" s="4" t="n">
        <v>3</v>
      </c>
      <c r="C2757" s="4" t="inlineStr">
        <is>
          <t>elk</t>
        </is>
      </c>
      <c r="D2757" s="4" t="n">
        <v>2012</v>
      </c>
      <c r="E2757" s="13" t="inlineStr">
        <is>
          <t>General</t>
        </is>
      </c>
      <c r="F2757" s="5" t="n">
        <v>1199</v>
      </c>
      <c r="G2757" s="5" t="n">
        <v>7670</v>
      </c>
      <c r="H2757" s="5" t="n">
        <v>166</v>
      </c>
      <c r="I2757" s="5" t="n">
        <v>89</v>
      </c>
      <c r="J2757" s="5" t="n">
        <v>72</v>
      </c>
      <c r="K2757" s="10">
        <f>IF(F2757&gt;0,H2757/F2757,"")</f>
        <v/>
      </c>
      <c r="L2757" s="16">
        <f>IF(AND(G2757&gt;0,H2757&gt;0),G2757/H2757,"")</f>
        <v/>
      </c>
    </row>
    <row r="2758">
      <c r="A2758" s="4" t="inlineStr">
        <is>
          <t>320</t>
        </is>
      </c>
      <c r="B2758" s="4" t="n">
        <v>3</v>
      </c>
      <c r="C2758" s="4" t="inlineStr">
        <is>
          <t>elk</t>
        </is>
      </c>
      <c r="D2758" s="4" t="n">
        <v>2013</v>
      </c>
      <c r="E2758" s="13" t="inlineStr">
        <is>
          <t>General</t>
        </is>
      </c>
      <c r="F2758" s="5" t="n"/>
      <c r="G2758" s="5" t="n"/>
      <c r="H2758" s="5" t="n">
        <v>153</v>
      </c>
      <c r="I2758" s="5" t="n">
        <v>84</v>
      </c>
      <c r="J2758" s="5" t="n">
        <v>70</v>
      </c>
      <c r="K2758" s="10">
        <f>IF(F2758&gt;0,H2758/F2758,"")</f>
        <v/>
      </c>
      <c r="L2758" s="16">
        <f>IF(AND(G2758&gt;0,H2758&gt;0),G2758/H2758,"")</f>
        <v/>
      </c>
    </row>
    <row r="2759">
      <c r="A2759" s="4" t="inlineStr">
        <is>
          <t>320</t>
        </is>
      </c>
      <c r="B2759" s="4" t="n">
        <v>3</v>
      </c>
      <c r="C2759" s="4" t="inlineStr">
        <is>
          <t>elk</t>
        </is>
      </c>
      <c r="D2759" s="4" t="n">
        <v>2014</v>
      </c>
      <c r="E2759" s="13" t="inlineStr">
        <is>
          <t>General</t>
        </is>
      </c>
      <c r="F2759" s="5" t="n">
        <v>995</v>
      </c>
      <c r="G2759" s="5" t="n">
        <v>5410</v>
      </c>
      <c r="H2759" s="5" t="n">
        <v>152</v>
      </c>
      <c r="I2759" s="5" t="n">
        <v>76</v>
      </c>
      <c r="J2759" s="5" t="n">
        <v>71</v>
      </c>
      <c r="K2759" s="10">
        <f>IF(F2759&gt;0,H2759/F2759,"")</f>
        <v/>
      </c>
      <c r="L2759" s="16">
        <f>IF(AND(G2759&gt;0,H2759&gt;0),G2759/H2759,"")</f>
        <v/>
      </c>
    </row>
    <row r="2760">
      <c r="A2760" s="4" t="inlineStr">
        <is>
          <t>320</t>
        </is>
      </c>
      <c r="B2760" s="4" t="n">
        <v>3</v>
      </c>
      <c r="C2760" s="4" t="inlineStr">
        <is>
          <t>elk</t>
        </is>
      </c>
      <c r="D2760" s="4" t="n">
        <v>2015</v>
      </c>
      <c r="E2760" s="13" t="inlineStr">
        <is>
          <t>General</t>
        </is>
      </c>
      <c r="F2760" s="5" t="n">
        <v>948</v>
      </c>
      <c r="G2760" s="5" t="n">
        <v>6012</v>
      </c>
      <c r="H2760" s="5" t="n">
        <v>209</v>
      </c>
      <c r="I2760" s="5" t="n">
        <v>84</v>
      </c>
      <c r="J2760" s="5" t="n">
        <v>98</v>
      </c>
      <c r="K2760" s="10">
        <f>IF(F2760&gt;0,H2760/F2760,"")</f>
        <v/>
      </c>
      <c r="L2760" s="16">
        <f>IF(AND(G2760&gt;0,H2760&gt;0),G2760/H2760,"")</f>
        <v/>
      </c>
    </row>
    <row r="2761">
      <c r="A2761" s="4" t="inlineStr">
        <is>
          <t>320</t>
        </is>
      </c>
      <c r="B2761" s="4" t="n">
        <v>3</v>
      </c>
      <c r="C2761" s="4" t="inlineStr">
        <is>
          <t>elk</t>
        </is>
      </c>
      <c r="D2761" s="4" t="n">
        <v>2016</v>
      </c>
      <c r="E2761" s="13" t="inlineStr">
        <is>
          <t>General</t>
        </is>
      </c>
      <c r="F2761" s="5" t="n">
        <v>1084</v>
      </c>
      <c r="G2761" s="5" t="n">
        <v>7152</v>
      </c>
      <c r="H2761" s="5" t="n">
        <v>161</v>
      </c>
      <c r="I2761" s="5" t="n">
        <v>81</v>
      </c>
      <c r="J2761" s="5" t="n">
        <v>80</v>
      </c>
      <c r="K2761" s="10">
        <f>IF(F2761&gt;0,H2761/F2761,"")</f>
        <v/>
      </c>
      <c r="L2761" s="16">
        <f>IF(AND(G2761&gt;0,H2761&gt;0),G2761/H2761,"")</f>
        <v/>
      </c>
    </row>
    <row r="2762">
      <c r="A2762" s="4" t="inlineStr">
        <is>
          <t>320</t>
        </is>
      </c>
      <c r="B2762" s="4" t="n">
        <v>3</v>
      </c>
      <c r="C2762" s="4" t="inlineStr">
        <is>
          <t>elk</t>
        </is>
      </c>
      <c r="D2762" s="4" t="n">
        <v>2017</v>
      </c>
      <c r="E2762" s="13" t="inlineStr">
        <is>
          <t>General</t>
        </is>
      </c>
      <c r="F2762" s="5" t="n"/>
      <c r="G2762" s="5" t="n"/>
      <c r="H2762" s="5" t="n">
        <v>217</v>
      </c>
      <c r="I2762" s="5" t="n">
        <v>117</v>
      </c>
      <c r="J2762" s="5" t="n">
        <v>91</v>
      </c>
      <c r="K2762" s="10">
        <f>IF(F2762&gt;0,H2762/F2762,"")</f>
        <v/>
      </c>
      <c r="L2762" s="16">
        <f>IF(AND(G2762&gt;0,H2762&gt;0),G2762/H2762,"")</f>
        <v/>
      </c>
    </row>
    <row r="2763">
      <c r="A2763" s="4" t="inlineStr">
        <is>
          <t>320</t>
        </is>
      </c>
      <c r="B2763" s="4" t="n">
        <v>3</v>
      </c>
      <c r="C2763" s="4" t="inlineStr">
        <is>
          <t>elk</t>
        </is>
      </c>
      <c r="D2763" s="4" t="n">
        <v>2018</v>
      </c>
      <c r="E2763" s="13" t="inlineStr">
        <is>
          <t>General</t>
        </is>
      </c>
      <c r="F2763" s="5" t="n">
        <v>1024</v>
      </c>
      <c r="G2763" s="5" t="n">
        <v>6199</v>
      </c>
      <c r="H2763" s="5" t="n">
        <v>189</v>
      </c>
      <c r="I2763" s="5" t="n">
        <v>83</v>
      </c>
      <c r="J2763" s="5" t="n">
        <v>100</v>
      </c>
      <c r="K2763" s="10">
        <f>IF(F2763&gt;0,H2763/F2763,"")</f>
        <v/>
      </c>
      <c r="L2763" s="16">
        <f>IF(AND(G2763&gt;0,H2763&gt;0),G2763/H2763,"")</f>
        <v/>
      </c>
    </row>
    <row r="2764">
      <c r="A2764" s="4" t="inlineStr">
        <is>
          <t>320</t>
        </is>
      </c>
      <c r="B2764" s="4" t="n">
        <v>3</v>
      </c>
      <c r="C2764" s="4" t="inlineStr">
        <is>
          <t>elk</t>
        </is>
      </c>
      <c r="D2764" s="4" t="n">
        <v>2019</v>
      </c>
      <c r="E2764" s="13" t="inlineStr">
        <is>
          <t>General</t>
        </is>
      </c>
      <c r="F2764" s="5" t="n"/>
      <c r="G2764" s="5" t="n"/>
      <c r="H2764" s="5" t="n">
        <v>233</v>
      </c>
      <c r="I2764" s="5" t="n">
        <v>110</v>
      </c>
      <c r="J2764" s="5" t="n">
        <v>115</v>
      </c>
      <c r="K2764" s="10">
        <f>IF(F2764&gt;0,H2764/F2764,"")</f>
        <v/>
      </c>
      <c r="L2764" s="16">
        <f>IF(AND(G2764&gt;0,H2764&gt;0),G2764/H2764,"")</f>
        <v/>
      </c>
    </row>
    <row r="2765">
      <c r="A2765" s="4" t="inlineStr">
        <is>
          <t>320</t>
        </is>
      </c>
      <c r="B2765" s="4" t="n">
        <v>3</v>
      </c>
      <c r="C2765" s="4" t="inlineStr">
        <is>
          <t>elk</t>
        </is>
      </c>
      <c r="D2765" s="4" t="n">
        <v>2020</v>
      </c>
      <c r="E2765" s="13" t="inlineStr">
        <is>
          <t>General</t>
        </is>
      </c>
      <c r="F2765" s="5" t="n">
        <v>1052</v>
      </c>
      <c r="G2765" s="5" t="n">
        <v>7469</v>
      </c>
      <c r="H2765" s="5" t="n">
        <v>207</v>
      </c>
      <c r="I2765" s="5" t="n">
        <v>119</v>
      </c>
      <c r="J2765" s="5" t="n">
        <v>81</v>
      </c>
      <c r="K2765" s="10">
        <f>IF(F2765&gt;0,H2765/F2765,"")</f>
        <v/>
      </c>
      <c r="L2765" s="16">
        <f>IF(AND(G2765&gt;0,H2765&gt;0),G2765/H2765,"")</f>
        <v/>
      </c>
    </row>
    <row r="2766">
      <c r="A2766" s="4" t="inlineStr">
        <is>
          <t>320</t>
        </is>
      </c>
      <c r="B2766" s="4" t="n">
        <v>3</v>
      </c>
      <c r="C2766" s="4" t="inlineStr">
        <is>
          <t>elk</t>
        </is>
      </c>
      <c r="D2766" s="4" t="n">
        <v>2021</v>
      </c>
      <c r="E2766" s="13" t="inlineStr">
        <is>
          <t>General</t>
        </is>
      </c>
      <c r="F2766" s="5" t="n"/>
      <c r="G2766" s="5" t="n"/>
      <c r="H2766" s="5" t="n">
        <v>279</v>
      </c>
      <c r="I2766" s="5" t="n">
        <v>163</v>
      </c>
      <c r="J2766" s="5" t="n">
        <v>108</v>
      </c>
      <c r="K2766" s="10">
        <f>IF(F2766&gt;0,H2766/F2766,"")</f>
        <v/>
      </c>
      <c r="L2766" s="16">
        <f>IF(AND(G2766&gt;0,H2766&gt;0),G2766/H2766,"")</f>
        <v/>
      </c>
    </row>
    <row r="2767">
      <c r="A2767" s="4" t="inlineStr">
        <is>
          <t>320</t>
        </is>
      </c>
      <c r="B2767" s="4" t="n">
        <v>3</v>
      </c>
      <c r="C2767" s="4" t="inlineStr">
        <is>
          <t>elk</t>
        </is>
      </c>
      <c r="D2767" s="4" t="n">
        <v>2022</v>
      </c>
      <c r="E2767" s="13" t="inlineStr">
        <is>
          <t>General</t>
        </is>
      </c>
      <c r="F2767" s="5" t="n">
        <v>2297</v>
      </c>
      <c r="G2767" s="5" t="n">
        <v>15034</v>
      </c>
      <c r="H2767" s="5" t="n">
        <v>589</v>
      </c>
      <c r="I2767" s="5" t="n">
        <v>335</v>
      </c>
      <c r="J2767" s="5" t="n">
        <v>249</v>
      </c>
      <c r="K2767" s="10">
        <f>IF(F2767&gt;0,H2767/F2767,"")</f>
        <v/>
      </c>
      <c r="L2767" s="16">
        <f>IF(AND(G2767&gt;0,H2767&gt;0),G2767/H2767,"")</f>
        <v/>
      </c>
    </row>
    <row r="2768">
      <c r="A2768" s="4" t="inlineStr">
        <is>
          <t>320</t>
        </is>
      </c>
      <c r="B2768" s="4" t="n">
        <v>3</v>
      </c>
      <c r="C2768" s="4" t="inlineStr">
        <is>
          <t>elk</t>
        </is>
      </c>
      <c r="D2768" s="4" t="n">
        <v>2023</v>
      </c>
      <c r="E2768" s="13" t="inlineStr">
        <is>
          <t>General</t>
        </is>
      </c>
      <c r="F2768" s="5" t="n"/>
      <c r="G2768" s="5" t="n"/>
      <c r="H2768" s="5" t="n">
        <v>407</v>
      </c>
      <c r="I2768" s="5" t="n">
        <v>243</v>
      </c>
      <c r="J2768" s="5" t="n">
        <v>158</v>
      </c>
      <c r="K2768" s="10">
        <f>IF(F2768&gt;0,H2768/F2768,"")</f>
        <v/>
      </c>
      <c r="L2768" s="16">
        <f>IF(AND(G2768&gt;0,H2768&gt;0),G2768/H2768,"")</f>
        <v/>
      </c>
    </row>
    <row r="2769">
      <c r="A2769" s="4" t="inlineStr">
        <is>
          <t>320</t>
        </is>
      </c>
      <c r="B2769" s="4" t="n">
        <v>3</v>
      </c>
      <c r="C2769" s="4" t="inlineStr">
        <is>
          <t>elk</t>
        </is>
      </c>
      <c r="D2769" s="4" t="n">
        <v>2024</v>
      </c>
      <c r="E2769" s="13" t="inlineStr">
        <is>
          <t>General</t>
        </is>
      </c>
      <c r="F2769" s="5" t="n">
        <v>2286</v>
      </c>
      <c r="G2769" s="5" t="n">
        <v>16710</v>
      </c>
      <c r="H2769" s="5" t="n">
        <v>379</v>
      </c>
      <c r="I2769" s="5" t="n">
        <v>196</v>
      </c>
      <c r="J2769" s="5" t="n">
        <v>168</v>
      </c>
      <c r="K2769" s="10">
        <f>IF(F2769&gt;0,H2769/F2769,"")</f>
        <v/>
      </c>
      <c r="L2769" s="16">
        <f>IF(AND(G2769&gt;0,H2769&gt;0),G2769/H2769,"")</f>
        <v/>
      </c>
    </row>
    <row r="2770">
      <c r="A2770" s="4" t="inlineStr">
        <is>
          <t>320</t>
        </is>
      </c>
      <c r="B2770" s="4" t="n">
        <v>3</v>
      </c>
      <c r="C2770" s="4" t="inlineStr">
        <is>
          <t>elk</t>
        </is>
      </c>
      <c r="D2770" s="4" t="n">
        <v>2025</v>
      </c>
      <c r="E2770" s="13" t="inlineStr">
        <is>
          <t>General</t>
        </is>
      </c>
      <c r="F2770" s="5" t="n"/>
      <c r="G2770" s="5" t="n"/>
      <c r="H2770" s="5" t="n">
        <v>451</v>
      </c>
      <c r="I2770" s="5" t="n">
        <v>318</v>
      </c>
      <c r="J2770" s="5" t="n">
        <v>127</v>
      </c>
      <c r="K2770" s="10">
        <f>IF(F2770&gt;0,H2770/F2770,"")</f>
        <v/>
      </c>
      <c r="L2770" s="16">
        <f>IF(AND(G2770&gt;0,H2770&gt;0),G2770/H2770,"")</f>
        <v/>
      </c>
    </row>
    <row r="2771">
      <c r="A2771" s="4" t="inlineStr">
        <is>
          <t>321</t>
        </is>
      </c>
      <c r="B2771" s="4" t="n">
        <v>3</v>
      </c>
      <c r="C2771" s="4" t="inlineStr">
        <is>
          <t>elk</t>
        </is>
      </c>
      <c r="D2771" s="4" t="n">
        <v>2004</v>
      </c>
      <c r="E2771" s="13" t="inlineStr">
        <is>
          <t>General</t>
        </is>
      </c>
      <c r="F2771" s="5" t="n">
        <v>2120</v>
      </c>
      <c r="G2771" s="5" t="n">
        <v>11745</v>
      </c>
      <c r="H2771" s="5" t="n">
        <v>353</v>
      </c>
      <c r="I2771" s="5" t="n">
        <v>179</v>
      </c>
      <c r="J2771" s="5" t="n">
        <v>147</v>
      </c>
      <c r="K2771" s="10">
        <f>IF(F2771&gt;0,H2771/F2771,"")</f>
        <v/>
      </c>
      <c r="L2771" s="16">
        <f>IF(AND(G2771&gt;0,H2771&gt;0),G2771/H2771,"")</f>
        <v/>
      </c>
    </row>
    <row r="2772">
      <c r="A2772" s="4" t="inlineStr">
        <is>
          <t>321</t>
        </is>
      </c>
      <c r="B2772" s="4" t="n">
        <v>3</v>
      </c>
      <c r="C2772" s="4" t="inlineStr">
        <is>
          <t>elk</t>
        </is>
      </c>
      <c r="D2772" s="4" t="n">
        <v>2005</v>
      </c>
      <c r="E2772" s="13" t="inlineStr">
        <is>
          <t>General</t>
        </is>
      </c>
      <c r="F2772" s="5" t="n">
        <v>1721</v>
      </c>
      <c r="G2772" s="5" t="n">
        <v>10124</v>
      </c>
      <c r="H2772" s="5" t="n">
        <v>399</v>
      </c>
      <c r="I2772" s="5" t="n">
        <v>180</v>
      </c>
      <c r="J2772" s="5" t="n">
        <v>189</v>
      </c>
      <c r="K2772" s="10">
        <f>IF(F2772&gt;0,H2772/F2772,"")</f>
        <v/>
      </c>
      <c r="L2772" s="16">
        <f>IF(AND(G2772&gt;0,H2772&gt;0),G2772/H2772,"")</f>
        <v/>
      </c>
    </row>
    <row r="2773">
      <c r="A2773" s="4" t="inlineStr">
        <is>
          <t>321</t>
        </is>
      </c>
      <c r="B2773" s="4" t="n">
        <v>3</v>
      </c>
      <c r="C2773" s="4" t="inlineStr">
        <is>
          <t>elk</t>
        </is>
      </c>
      <c r="D2773" s="4" t="n">
        <v>2006</v>
      </c>
      <c r="E2773" s="13" t="inlineStr">
        <is>
          <t>General</t>
        </is>
      </c>
      <c r="F2773" s="5" t="n">
        <v>1351</v>
      </c>
      <c r="G2773" s="5" t="n">
        <v>8236</v>
      </c>
      <c r="H2773" s="5" t="n">
        <v>316</v>
      </c>
      <c r="I2773" s="5" t="n">
        <v>133</v>
      </c>
      <c r="J2773" s="5" t="n">
        <v>155</v>
      </c>
      <c r="K2773" s="10">
        <f>IF(F2773&gt;0,H2773/F2773,"")</f>
        <v/>
      </c>
      <c r="L2773" s="16">
        <f>IF(AND(G2773&gt;0,H2773&gt;0),G2773/H2773,"")</f>
        <v/>
      </c>
    </row>
    <row r="2774">
      <c r="A2774" s="4" t="inlineStr">
        <is>
          <t>321</t>
        </is>
      </c>
      <c r="B2774" s="4" t="n">
        <v>3</v>
      </c>
      <c r="C2774" s="4" t="inlineStr">
        <is>
          <t>elk</t>
        </is>
      </c>
      <c r="D2774" s="4" t="n">
        <v>2007</v>
      </c>
      <c r="E2774" s="13" t="inlineStr">
        <is>
          <t>General</t>
        </is>
      </c>
      <c r="F2774" s="5" t="n">
        <v>1660</v>
      </c>
      <c r="G2774" s="5" t="n">
        <v>10307</v>
      </c>
      <c r="H2774" s="5" t="n">
        <v>299</v>
      </c>
      <c r="I2774" s="5" t="n">
        <v>139</v>
      </c>
      <c r="J2774" s="5" t="n">
        <v>140</v>
      </c>
      <c r="K2774" s="10">
        <f>IF(F2774&gt;0,H2774/F2774,"")</f>
        <v/>
      </c>
      <c r="L2774" s="16">
        <f>IF(AND(G2774&gt;0,H2774&gt;0),G2774/H2774,"")</f>
        <v/>
      </c>
    </row>
    <row r="2775">
      <c r="A2775" s="4" t="inlineStr">
        <is>
          <t>321</t>
        </is>
      </c>
      <c r="B2775" s="4" t="n">
        <v>3</v>
      </c>
      <c r="C2775" s="4" t="inlineStr">
        <is>
          <t>elk</t>
        </is>
      </c>
      <c r="D2775" s="4" t="n">
        <v>2008</v>
      </c>
      <c r="E2775" s="13" t="inlineStr">
        <is>
          <t>General</t>
        </is>
      </c>
      <c r="F2775" s="5" t="n">
        <v>1764</v>
      </c>
      <c r="G2775" s="5" t="n">
        <v>10532</v>
      </c>
      <c r="H2775" s="5" t="n">
        <v>365</v>
      </c>
      <c r="I2775" s="5" t="n">
        <v>135</v>
      </c>
      <c r="J2775" s="5" t="n">
        <v>202</v>
      </c>
      <c r="K2775" s="10">
        <f>IF(F2775&gt;0,H2775/F2775,"")</f>
        <v/>
      </c>
      <c r="L2775" s="16">
        <f>IF(AND(G2775&gt;0,H2775&gt;0),G2775/H2775,"")</f>
        <v/>
      </c>
    </row>
    <row r="2776">
      <c r="A2776" s="4" t="inlineStr">
        <is>
          <t>321</t>
        </is>
      </c>
      <c r="B2776" s="4" t="n">
        <v>3</v>
      </c>
      <c r="C2776" s="4" t="inlineStr">
        <is>
          <t>elk</t>
        </is>
      </c>
      <c r="D2776" s="4" t="n">
        <v>2009</v>
      </c>
      <c r="E2776" s="13" t="inlineStr">
        <is>
          <t>General</t>
        </is>
      </c>
      <c r="F2776" s="5" t="n">
        <v>1826</v>
      </c>
      <c r="G2776" s="5" t="n">
        <v>11318</v>
      </c>
      <c r="H2776" s="5" t="n">
        <v>312</v>
      </c>
      <c r="I2776" s="5" t="n">
        <v>145</v>
      </c>
      <c r="J2776" s="5" t="n">
        <v>127</v>
      </c>
      <c r="K2776" s="10">
        <f>IF(F2776&gt;0,H2776/F2776,"")</f>
        <v/>
      </c>
      <c r="L2776" s="16">
        <f>IF(AND(G2776&gt;0,H2776&gt;0),G2776/H2776,"")</f>
        <v/>
      </c>
    </row>
    <row r="2777">
      <c r="A2777" s="4" t="inlineStr">
        <is>
          <t>321</t>
        </is>
      </c>
      <c r="B2777" s="4" t="n">
        <v>3</v>
      </c>
      <c r="C2777" s="4" t="inlineStr">
        <is>
          <t>elk</t>
        </is>
      </c>
      <c r="D2777" s="4" t="n">
        <v>2010</v>
      </c>
      <c r="E2777" s="13" t="inlineStr">
        <is>
          <t>General</t>
        </is>
      </c>
      <c r="F2777" s="5" t="n">
        <v>1394</v>
      </c>
      <c r="G2777" s="5" t="n">
        <v>7998</v>
      </c>
      <c r="H2777" s="5" t="n">
        <v>283</v>
      </c>
      <c r="I2777" s="5" t="n">
        <v>81</v>
      </c>
      <c r="J2777" s="5" t="n">
        <v>181</v>
      </c>
      <c r="K2777" s="10">
        <f>IF(F2777&gt;0,H2777/F2777,"")</f>
        <v/>
      </c>
      <c r="L2777" s="16">
        <f>IF(AND(G2777&gt;0,H2777&gt;0),G2777/H2777,"")</f>
        <v/>
      </c>
    </row>
    <row r="2778">
      <c r="A2778" s="4" t="inlineStr">
        <is>
          <t>321</t>
        </is>
      </c>
      <c r="B2778" s="4" t="n">
        <v>3</v>
      </c>
      <c r="C2778" s="4" t="inlineStr">
        <is>
          <t>elk</t>
        </is>
      </c>
      <c r="D2778" s="4" t="n">
        <v>2011</v>
      </c>
      <c r="E2778" s="13" t="inlineStr">
        <is>
          <t>General</t>
        </is>
      </c>
      <c r="F2778" s="5" t="n">
        <v>1558</v>
      </c>
      <c r="G2778" s="5" t="n">
        <v>9139</v>
      </c>
      <c r="H2778" s="5" t="n">
        <v>280</v>
      </c>
      <c r="I2778" s="5" t="n">
        <v>51</v>
      </c>
      <c r="J2778" s="5" t="n">
        <v>199</v>
      </c>
      <c r="K2778" s="10">
        <f>IF(F2778&gt;0,H2778/F2778,"")</f>
        <v/>
      </c>
      <c r="L2778" s="16">
        <f>IF(AND(G2778&gt;0,H2778&gt;0),G2778/H2778,"")</f>
        <v/>
      </c>
    </row>
    <row r="2779">
      <c r="A2779" s="4" t="inlineStr">
        <is>
          <t>321</t>
        </is>
      </c>
      <c r="B2779" s="4" t="n">
        <v>3</v>
      </c>
      <c r="C2779" s="4" t="inlineStr">
        <is>
          <t>elk</t>
        </is>
      </c>
      <c r="D2779" s="4" t="n">
        <v>2012</v>
      </c>
      <c r="E2779" s="13" t="inlineStr">
        <is>
          <t>General</t>
        </is>
      </c>
      <c r="F2779" s="5" t="n">
        <v>1637</v>
      </c>
      <c r="G2779" s="5" t="n">
        <v>9215</v>
      </c>
      <c r="H2779" s="5" t="n">
        <v>269</v>
      </c>
      <c r="I2779" s="5" t="n">
        <v>80</v>
      </c>
      <c r="J2779" s="5" t="n">
        <v>157</v>
      </c>
      <c r="K2779" s="10">
        <f>IF(F2779&gt;0,H2779/F2779,"")</f>
        <v/>
      </c>
      <c r="L2779" s="16">
        <f>IF(AND(G2779&gt;0,H2779&gt;0),G2779/H2779,"")</f>
        <v/>
      </c>
    </row>
    <row r="2780">
      <c r="A2780" s="4" t="inlineStr">
        <is>
          <t>321</t>
        </is>
      </c>
      <c r="B2780" s="4" t="n">
        <v>3</v>
      </c>
      <c r="C2780" s="4" t="inlineStr">
        <is>
          <t>elk</t>
        </is>
      </c>
      <c r="D2780" s="4" t="n">
        <v>2013</v>
      </c>
      <c r="E2780" s="13" t="inlineStr">
        <is>
          <t>General</t>
        </is>
      </c>
      <c r="F2780" s="5" t="n"/>
      <c r="G2780" s="5" t="n"/>
      <c r="H2780" s="5" t="n">
        <v>228</v>
      </c>
      <c r="I2780" s="5" t="n">
        <v>48</v>
      </c>
      <c r="J2780" s="5" t="n">
        <v>152</v>
      </c>
      <c r="K2780" s="10">
        <f>IF(F2780&gt;0,H2780/F2780,"")</f>
        <v/>
      </c>
      <c r="L2780" s="16">
        <f>IF(AND(G2780&gt;0,H2780&gt;0),G2780/H2780,"")</f>
        <v/>
      </c>
    </row>
    <row r="2781">
      <c r="A2781" s="4" t="inlineStr">
        <is>
          <t>321</t>
        </is>
      </c>
      <c r="B2781" s="4" t="n">
        <v>3</v>
      </c>
      <c r="C2781" s="4" t="inlineStr">
        <is>
          <t>elk</t>
        </is>
      </c>
      <c r="D2781" s="4" t="n">
        <v>2014</v>
      </c>
      <c r="E2781" s="13" t="inlineStr">
        <is>
          <t>General</t>
        </is>
      </c>
      <c r="F2781" s="5" t="n">
        <v>1544</v>
      </c>
      <c r="G2781" s="5" t="n">
        <v>9381</v>
      </c>
      <c r="H2781" s="5" t="n">
        <v>332</v>
      </c>
      <c r="I2781" s="5" t="n">
        <v>116</v>
      </c>
      <c r="J2781" s="5" t="n">
        <v>190</v>
      </c>
      <c r="K2781" s="10">
        <f>IF(F2781&gt;0,H2781/F2781,"")</f>
        <v/>
      </c>
      <c r="L2781" s="16">
        <f>IF(AND(G2781&gt;0,H2781&gt;0),G2781/H2781,"")</f>
        <v/>
      </c>
    </row>
    <row r="2782">
      <c r="A2782" s="4" t="inlineStr">
        <is>
          <t>321</t>
        </is>
      </c>
      <c r="B2782" s="4" t="n">
        <v>3</v>
      </c>
      <c r="C2782" s="4" t="inlineStr">
        <is>
          <t>elk</t>
        </is>
      </c>
      <c r="D2782" s="4" t="n">
        <v>2015</v>
      </c>
      <c r="E2782" s="13" t="inlineStr">
        <is>
          <t>General</t>
        </is>
      </c>
      <c r="F2782" s="5" t="n">
        <v>1464</v>
      </c>
      <c r="G2782" s="5" t="n">
        <v>9934</v>
      </c>
      <c r="H2782" s="5" t="n">
        <v>326</v>
      </c>
      <c r="I2782" s="5" t="n">
        <v>91</v>
      </c>
      <c r="J2782" s="5" t="n">
        <v>210</v>
      </c>
      <c r="K2782" s="10">
        <f>IF(F2782&gt;0,H2782/F2782,"")</f>
        <v/>
      </c>
      <c r="L2782" s="16">
        <f>IF(AND(G2782&gt;0,H2782&gt;0),G2782/H2782,"")</f>
        <v/>
      </c>
    </row>
    <row r="2783">
      <c r="A2783" s="4" t="inlineStr">
        <is>
          <t>321</t>
        </is>
      </c>
      <c r="B2783" s="4" t="n">
        <v>3</v>
      </c>
      <c r="C2783" s="4" t="inlineStr">
        <is>
          <t>elk</t>
        </is>
      </c>
      <c r="D2783" s="4" t="n">
        <v>2016</v>
      </c>
      <c r="E2783" s="13" t="inlineStr">
        <is>
          <t>General</t>
        </is>
      </c>
      <c r="F2783" s="5" t="n">
        <v>1222</v>
      </c>
      <c r="G2783" s="5" t="n">
        <v>8457</v>
      </c>
      <c r="H2783" s="5" t="n">
        <v>173</v>
      </c>
      <c r="I2783" s="5" t="n">
        <v>46</v>
      </c>
      <c r="J2783" s="5" t="n">
        <v>117</v>
      </c>
      <c r="K2783" s="10">
        <f>IF(F2783&gt;0,H2783/F2783,"")</f>
        <v/>
      </c>
      <c r="L2783" s="16">
        <f>IF(AND(G2783&gt;0,H2783&gt;0),G2783/H2783,"")</f>
        <v/>
      </c>
    </row>
    <row r="2784">
      <c r="A2784" s="4" t="inlineStr">
        <is>
          <t>321</t>
        </is>
      </c>
      <c r="B2784" s="4" t="n">
        <v>3</v>
      </c>
      <c r="C2784" s="4" t="inlineStr">
        <is>
          <t>elk</t>
        </is>
      </c>
      <c r="D2784" s="4" t="n">
        <v>2017</v>
      </c>
      <c r="E2784" s="13" t="inlineStr">
        <is>
          <t>General</t>
        </is>
      </c>
      <c r="F2784" s="5" t="n"/>
      <c r="G2784" s="5" t="n"/>
      <c r="H2784" s="5" t="n">
        <v>170</v>
      </c>
      <c r="I2784" s="5" t="n">
        <v>70</v>
      </c>
      <c r="J2784" s="5" t="n">
        <v>91</v>
      </c>
      <c r="K2784" s="10">
        <f>IF(F2784&gt;0,H2784/F2784,"")</f>
        <v/>
      </c>
      <c r="L2784" s="16">
        <f>IF(AND(G2784&gt;0,H2784&gt;0),G2784/H2784,"")</f>
        <v/>
      </c>
    </row>
    <row r="2785">
      <c r="A2785" s="4" t="inlineStr">
        <is>
          <t>321</t>
        </is>
      </c>
      <c r="B2785" s="4" t="n">
        <v>3</v>
      </c>
      <c r="C2785" s="4" t="inlineStr">
        <is>
          <t>elk</t>
        </is>
      </c>
      <c r="D2785" s="4" t="n">
        <v>2018</v>
      </c>
      <c r="E2785" s="13" t="inlineStr">
        <is>
          <t>General</t>
        </is>
      </c>
      <c r="F2785" s="5" t="n">
        <v>1171</v>
      </c>
      <c r="G2785" s="5" t="n">
        <v>7511</v>
      </c>
      <c r="H2785" s="5" t="n">
        <v>171</v>
      </c>
      <c r="I2785" s="5" t="n">
        <v>70</v>
      </c>
      <c r="J2785" s="5" t="n">
        <v>82</v>
      </c>
      <c r="K2785" s="10">
        <f>IF(F2785&gt;0,H2785/F2785,"")</f>
        <v/>
      </c>
      <c r="L2785" s="16">
        <f>IF(AND(G2785&gt;0,H2785&gt;0),G2785/H2785,"")</f>
        <v/>
      </c>
    </row>
    <row r="2786">
      <c r="A2786" s="4" t="inlineStr">
        <is>
          <t>321</t>
        </is>
      </c>
      <c r="B2786" s="4" t="n">
        <v>3</v>
      </c>
      <c r="C2786" s="4" t="inlineStr">
        <is>
          <t>elk</t>
        </is>
      </c>
      <c r="D2786" s="4" t="n">
        <v>2019</v>
      </c>
      <c r="E2786" s="13" t="inlineStr">
        <is>
          <t>General</t>
        </is>
      </c>
      <c r="F2786" s="5" t="n"/>
      <c r="G2786" s="5" t="n"/>
      <c r="H2786" s="5" t="n">
        <v>98</v>
      </c>
      <c r="I2786" s="5" t="n">
        <v>56</v>
      </c>
      <c r="J2786" s="5" t="n">
        <v>40</v>
      </c>
      <c r="K2786" s="10">
        <f>IF(F2786&gt;0,H2786/F2786,"")</f>
        <v/>
      </c>
      <c r="L2786" s="16">
        <f>IF(AND(G2786&gt;0,H2786&gt;0),G2786/H2786,"")</f>
        <v/>
      </c>
    </row>
    <row r="2787">
      <c r="A2787" s="4" t="inlineStr">
        <is>
          <t>321</t>
        </is>
      </c>
      <c r="B2787" s="4" t="n">
        <v>3</v>
      </c>
      <c r="C2787" s="4" t="inlineStr">
        <is>
          <t>elk</t>
        </is>
      </c>
      <c r="D2787" s="4" t="n">
        <v>2020</v>
      </c>
      <c r="E2787" s="13" t="inlineStr">
        <is>
          <t>General</t>
        </is>
      </c>
      <c r="F2787" s="5" t="n">
        <v>1036</v>
      </c>
      <c r="G2787" s="5" t="n">
        <v>6615</v>
      </c>
      <c r="H2787" s="5" t="n">
        <v>227</v>
      </c>
      <c r="I2787" s="5" t="n">
        <v>96</v>
      </c>
      <c r="J2787" s="5" t="n">
        <v>124</v>
      </c>
      <c r="K2787" s="10">
        <f>IF(F2787&gt;0,H2787/F2787,"")</f>
        <v/>
      </c>
      <c r="L2787" s="16">
        <f>IF(AND(G2787&gt;0,H2787&gt;0),G2787/H2787,"")</f>
        <v/>
      </c>
    </row>
    <row r="2788">
      <c r="A2788" s="4" t="inlineStr">
        <is>
          <t>321</t>
        </is>
      </c>
      <c r="B2788" s="4" t="n">
        <v>3</v>
      </c>
      <c r="C2788" s="4" t="inlineStr">
        <is>
          <t>elk</t>
        </is>
      </c>
      <c r="D2788" s="4" t="n">
        <v>2021</v>
      </c>
      <c r="E2788" s="13" t="inlineStr">
        <is>
          <t>General</t>
        </is>
      </c>
      <c r="F2788" s="5" t="n"/>
      <c r="G2788" s="5" t="n"/>
      <c r="H2788" s="5" t="n">
        <v>207</v>
      </c>
      <c r="I2788" s="5" t="n">
        <v>80</v>
      </c>
      <c r="J2788" s="5" t="n">
        <v>119</v>
      </c>
      <c r="K2788" s="10">
        <f>IF(F2788&gt;0,H2788/F2788,"")</f>
        <v/>
      </c>
      <c r="L2788" s="16">
        <f>IF(AND(G2788&gt;0,H2788&gt;0),G2788/H2788,"")</f>
        <v/>
      </c>
    </row>
    <row r="2789">
      <c r="A2789" s="4" t="inlineStr">
        <is>
          <t>321</t>
        </is>
      </c>
      <c r="B2789" s="4" t="n">
        <v>3</v>
      </c>
      <c r="C2789" s="4" t="inlineStr">
        <is>
          <t>elk</t>
        </is>
      </c>
      <c r="D2789" s="4" t="n">
        <v>2022</v>
      </c>
      <c r="E2789" s="13" t="inlineStr">
        <is>
          <t>General</t>
        </is>
      </c>
      <c r="F2789" s="5" t="n">
        <v>1617</v>
      </c>
      <c r="G2789" s="5" t="n">
        <v>10439</v>
      </c>
      <c r="H2789" s="5" t="n">
        <v>400</v>
      </c>
      <c r="I2789" s="5" t="n">
        <v>133</v>
      </c>
      <c r="J2789" s="5" t="n">
        <v>257</v>
      </c>
      <c r="K2789" s="10">
        <f>IF(F2789&gt;0,H2789/F2789,"")</f>
        <v/>
      </c>
      <c r="L2789" s="16">
        <f>IF(AND(G2789&gt;0,H2789&gt;0),G2789/H2789,"")</f>
        <v/>
      </c>
    </row>
    <row r="2790">
      <c r="A2790" s="4" t="inlineStr">
        <is>
          <t>321</t>
        </is>
      </c>
      <c r="B2790" s="4" t="n">
        <v>3</v>
      </c>
      <c r="C2790" s="4" t="inlineStr">
        <is>
          <t>elk</t>
        </is>
      </c>
      <c r="D2790" s="4" t="n">
        <v>2023</v>
      </c>
      <c r="E2790" s="13" t="inlineStr">
        <is>
          <t>General</t>
        </is>
      </c>
      <c r="F2790" s="5" t="n"/>
      <c r="G2790" s="5" t="n"/>
      <c r="H2790" s="5" t="n">
        <v>412</v>
      </c>
      <c r="I2790" s="5" t="n">
        <v>154</v>
      </c>
      <c r="J2790" s="5" t="n">
        <v>245</v>
      </c>
      <c r="K2790" s="10">
        <f>IF(F2790&gt;0,H2790/F2790,"")</f>
        <v/>
      </c>
      <c r="L2790" s="16">
        <f>IF(AND(G2790&gt;0,H2790&gt;0),G2790/H2790,"")</f>
        <v/>
      </c>
    </row>
    <row r="2791">
      <c r="A2791" s="4" t="inlineStr">
        <is>
          <t>321</t>
        </is>
      </c>
      <c r="B2791" s="4" t="n">
        <v>3</v>
      </c>
      <c r="C2791" s="4" t="inlineStr">
        <is>
          <t>elk</t>
        </is>
      </c>
      <c r="D2791" s="4" t="n">
        <v>2024</v>
      </c>
      <c r="E2791" s="13" t="inlineStr">
        <is>
          <t>General</t>
        </is>
      </c>
      <c r="F2791" s="5" t="n">
        <v>2217</v>
      </c>
      <c r="G2791" s="5" t="n">
        <v>17444</v>
      </c>
      <c r="H2791" s="5" t="n">
        <v>363</v>
      </c>
      <c r="I2791" s="5" t="n">
        <v>132</v>
      </c>
      <c r="J2791" s="5" t="n">
        <v>222</v>
      </c>
      <c r="K2791" s="10">
        <f>IF(F2791&gt;0,H2791/F2791,"")</f>
        <v/>
      </c>
      <c r="L2791" s="16">
        <f>IF(AND(G2791&gt;0,H2791&gt;0),G2791/H2791,"")</f>
        <v/>
      </c>
    </row>
    <row r="2792">
      <c r="A2792" s="4" t="inlineStr">
        <is>
          <t>321</t>
        </is>
      </c>
      <c r="B2792" s="4" t="n">
        <v>3</v>
      </c>
      <c r="C2792" s="4" t="inlineStr">
        <is>
          <t>elk</t>
        </is>
      </c>
      <c r="D2792" s="4" t="n">
        <v>2025</v>
      </c>
      <c r="E2792" s="13" t="inlineStr">
        <is>
          <t>General</t>
        </is>
      </c>
      <c r="F2792" s="5" t="n"/>
      <c r="G2792" s="5" t="n"/>
      <c r="H2792" s="5" t="n">
        <v>544</v>
      </c>
      <c r="I2792" s="5" t="n">
        <v>245</v>
      </c>
      <c r="J2792" s="5" t="n">
        <v>290</v>
      </c>
      <c r="K2792" s="10">
        <f>IF(F2792&gt;0,H2792/F2792,"")</f>
        <v/>
      </c>
      <c r="L2792" s="16">
        <f>IF(AND(G2792&gt;0,H2792&gt;0),G2792/H2792,"")</f>
        <v/>
      </c>
    </row>
    <row r="2793">
      <c r="A2793" s="4" t="inlineStr">
        <is>
          <t>322</t>
        </is>
      </c>
      <c r="B2793" s="4" t="n">
        <v>3</v>
      </c>
      <c r="C2793" s="4" t="inlineStr">
        <is>
          <t>elk</t>
        </is>
      </c>
      <c r="D2793" s="4" t="n">
        <v>2004</v>
      </c>
      <c r="E2793" s="13" t="inlineStr">
        <is>
          <t>General</t>
        </is>
      </c>
      <c r="F2793" s="5" t="n">
        <v>668</v>
      </c>
      <c r="G2793" s="5" t="n">
        <v>3309</v>
      </c>
      <c r="H2793" s="5" t="n">
        <v>132</v>
      </c>
      <c r="I2793" s="5" t="n">
        <v>51</v>
      </c>
      <c r="J2793" s="5" t="n">
        <v>78</v>
      </c>
      <c r="K2793" s="10">
        <f>IF(F2793&gt;0,H2793/F2793,"")</f>
        <v/>
      </c>
      <c r="L2793" s="16">
        <f>IF(AND(G2793&gt;0,H2793&gt;0),G2793/H2793,"")</f>
        <v/>
      </c>
    </row>
    <row r="2794">
      <c r="A2794" s="4" t="inlineStr">
        <is>
          <t>322</t>
        </is>
      </c>
      <c r="B2794" s="4" t="n">
        <v>3</v>
      </c>
      <c r="C2794" s="4" t="inlineStr">
        <is>
          <t>elk</t>
        </is>
      </c>
      <c r="D2794" s="4" t="n">
        <v>2005</v>
      </c>
      <c r="E2794" s="13" t="inlineStr">
        <is>
          <t>General</t>
        </is>
      </c>
      <c r="F2794" s="5" t="n">
        <v>736</v>
      </c>
      <c r="G2794" s="5" t="n">
        <v>4333</v>
      </c>
      <c r="H2794" s="5" t="n">
        <v>134</v>
      </c>
      <c r="I2794" s="5" t="n">
        <v>64</v>
      </c>
      <c r="J2794" s="5" t="n">
        <v>57</v>
      </c>
      <c r="K2794" s="10">
        <f>IF(F2794&gt;0,H2794/F2794,"")</f>
        <v/>
      </c>
      <c r="L2794" s="16">
        <f>IF(AND(G2794&gt;0,H2794&gt;0),G2794/H2794,"")</f>
        <v/>
      </c>
    </row>
    <row r="2795">
      <c r="A2795" s="4" t="inlineStr">
        <is>
          <t>322</t>
        </is>
      </c>
      <c r="B2795" s="4" t="n">
        <v>3</v>
      </c>
      <c r="C2795" s="4" t="inlineStr">
        <is>
          <t>elk</t>
        </is>
      </c>
      <c r="D2795" s="4" t="n">
        <v>2006</v>
      </c>
      <c r="E2795" s="13" t="inlineStr">
        <is>
          <t>General</t>
        </is>
      </c>
      <c r="F2795" s="5" t="n">
        <v>794</v>
      </c>
      <c r="G2795" s="5" t="n">
        <v>4164</v>
      </c>
      <c r="H2795" s="5" t="n">
        <v>149</v>
      </c>
      <c r="I2795" s="5" t="n">
        <v>52</v>
      </c>
      <c r="J2795" s="5" t="n">
        <v>82</v>
      </c>
      <c r="K2795" s="10">
        <f>IF(F2795&gt;0,H2795/F2795,"")</f>
        <v/>
      </c>
      <c r="L2795" s="16">
        <f>IF(AND(G2795&gt;0,H2795&gt;0),G2795/H2795,"")</f>
        <v/>
      </c>
    </row>
    <row r="2796">
      <c r="A2796" s="4" t="inlineStr">
        <is>
          <t>322</t>
        </is>
      </c>
      <c r="B2796" s="4" t="n">
        <v>3</v>
      </c>
      <c r="C2796" s="4" t="inlineStr">
        <is>
          <t>elk</t>
        </is>
      </c>
      <c r="D2796" s="4" t="n">
        <v>2007</v>
      </c>
      <c r="E2796" s="13" t="inlineStr">
        <is>
          <t>General</t>
        </is>
      </c>
      <c r="F2796" s="5" t="n">
        <v>1043</v>
      </c>
      <c r="G2796" s="5" t="n">
        <v>5897</v>
      </c>
      <c r="H2796" s="5" t="n">
        <v>263</v>
      </c>
      <c r="I2796" s="5" t="n">
        <v>133</v>
      </c>
      <c r="J2796" s="5" t="n">
        <v>107</v>
      </c>
      <c r="K2796" s="10">
        <f>IF(F2796&gt;0,H2796/F2796,"")</f>
        <v/>
      </c>
      <c r="L2796" s="16">
        <f>IF(AND(G2796&gt;0,H2796&gt;0),G2796/H2796,"")</f>
        <v/>
      </c>
    </row>
    <row r="2797">
      <c r="A2797" s="4" t="inlineStr">
        <is>
          <t>322</t>
        </is>
      </c>
      <c r="B2797" s="4" t="n">
        <v>3</v>
      </c>
      <c r="C2797" s="4" t="inlineStr">
        <is>
          <t>elk</t>
        </is>
      </c>
      <c r="D2797" s="4" t="n">
        <v>2008</v>
      </c>
      <c r="E2797" s="13" t="inlineStr">
        <is>
          <t>General</t>
        </is>
      </c>
      <c r="F2797" s="5" t="n">
        <v>1215</v>
      </c>
      <c r="G2797" s="5" t="n">
        <v>7337</v>
      </c>
      <c r="H2797" s="5" t="n">
        <v>278</v>
      </c>
      <c r="I2797" s="5" t="n">
        <v>76</v>
      </c>
      <c r="J2797" s="5" t="n">
        <v>167</v>
      </c>
      <c r="K2797" s="10">
        <f>IF(F2797&gt;0,H2797/F2797,"")</f>
        <v/>
      </c>
      <c r="L2797" s="16">
        <f>IF(AND(G2797&gt;0,H2797&gt;0),G2797/H2797,"")</f>
        <v/>
      </c>
    </row>
    <row r="2798">
      <c r="A2798" s="4" t="inlineStr">
        <is>
          <t>322</t>
        </is>
      </c>
      <c r="B2798" s="4" t="n">
        <v>3</v>
      </c>
      <c r="C2798" s="4" t="inlineStr">
        <is>
          <t>elk</t>
        </is>
      </c>
      <c r="D2798" s="4" t="n">
        <v>2009</v>
      </c>
      <c r="E2798" s="13" t="inlineStr">
        <is>
          <t>General</t>
        </is>
      </c>
      <c r="F2798" s="5" t="n">
        <v>1265</v>
      </c>
      <c r="G2798" s="5" t="n">
        <v>7645</v>
      </c>
      <c r="H2798" s="5" t="n">
        <v>237</v>
      </c>
      <c r="I2798" s="5" t="n">
        <v>71</v>
      </c>
      <c r="J2798" s="5" t="n">
        <v>148</v>
      </c>
      <c r="K2798" s="10">
        <f>IF(F2798&gt;0,H2798/F2798,"")</f>
        <v/>
      </c>
      <c r="L2798" s="16">
        <f>IF(AND(G2798&gt;0,H2798&gt;0),G2798/H2798,"")</f>
        <v/>
      </c>
    </row>
    <row r="2799">
      <c r="A2799" s="4" t="inlineStr">
        <is>
          <t>322</t>
        </is>
      </c>
      <c r="B2799" s="4" t="n">
        <v>3</v>
      </c>
      <c r="C2799" s="4" t="inlineStr">
        <is>
          <t>elk</t>
        </is>
      </c>
      <c r="D2799" s="4" t="n">
        <v>2010</v>
      </c>
      <c r="E2799" s="13" t="inlineStr">
        <is>
          <t>General</t>
        </is>
      </c>
      <c r="F2799" s="5" t="n">
        <v>820</v>
      </c>
      <c r="G2799" s="5" t="n">
        <v>4912</v>
      </c>
      <c r="H2799" s="5" t="n">
        <v>144</v>
      </c>
      <c r="I2799" s="5" t="n">
        <v>78</v>
      </c>
      <c r="J2799" s="5" t="n">
        <v>66</v>
      </c>
      <c r="K2799" s="10">
        <f>IF(F2799&gt;0,H2799/F2799,"")</f>
        <v/>
      </c>
      <c r="L2799" s="16">
        <f>IF(AND(G2799&gt;0,H2799&gt;0),G2799/H2799,"")</f>
        <v/>
      </c>
    </row>
    <row r="2800">
      <c r="A2800" s="4" t="inlineStr">
        <is>
          <t>322</t>
        </is>
      </c>
      <c r="B2800" s="4" t="n">
        <v>3</v>
      </c>
      <c r="C2800" s="4" t="inlineStr">
        <is>
          <t>elk</t>
        </is>
      </c>
      <c r="D2800" s="4" t="n">
        <v>2011</v>
      </c>
      <c r="E2800" s="13" t="inlineStr">
        <is>
          <t>General</t>
        </is>
      </c>
      <c r="F2800" s="5" t="n">
        <v>821</v>
      </c>
      <c r="G2800" s="5" t="n">
        <v>4255</v>
      </c>
      <c r="H2800" s="5" t="n">
        <v>112</v>
      </c>
      <c r="I2800" s="5" t="n">
        <v>65</v>
      </c>
      <c r="J2800" s="5" t="n">
        <v>42</v>
      </c>
      <c r="K2800" s="10">
        <f>IF(F2800&gt;0,H2800/F2800,"")</f>
        <v/>
      </c>
      <c r="L2800" s="16">
        <f>IF(AND(G2800&gt;0,H2800&gt;0),G2800/H2800,"")</f>
        <v/>
      </c>
    </row>
    <row r="2801">
      <c r="A2801" s="4" t="inlineStr">
        <is>
          <t>322</t>
        </is>
      </c>
      <c r="B2801" s="4" t="n">
        <v>3</v>
      </c>
      <c r="C2801" s="4" t="inlineStr">
        <is>
          <t>elk</t>
        </is>
      </c>
      <c r="D2801" s="4" t="n">
        <v>2012</v>
      </c>
      <c r="E2801" s="13" t="inlineStr">
        <is>
          <t>General</t>
        </is>
      </c>
      <c r="F2801" s="5" t="n">
        <v>797</v>
      </c>
      <c r="G2801" s="5" t="n">
        <v>4206</v>
      </c>
      <c r="H2801" s="5" t="n">
        <v>137</v>
      </c>
      <c r="I2801" s="5" t="n">
        <v>95</v>
      </c>
      <c r="J2801" s="5" t="n">
        <v>39</v>
      </c>
      <c r="K2801" s="10">
        <f>IF(F2801&gt;0,H2801/F2801,"")</f>
        <v/>
      </c>
      <c r="L2801" s="16">
        <f>IF(AND(G2801&gt;0,H2801&gt;0),G2801/H2801,"")</f>
        <v/>
      </c>
    </row>
    <row r="2802">
      <c r="A2802" s="4" t="inlineStr">
        <is>
          <t>322</t>
        </is>
      </c>
      <c r="B2802" s="4" t="n">
        <v>3</v>
      </c>
      <c r="C2802" s="4" t="inlineStr">
        <is>
          <t>elk</t>
        </is>
      </c>
      <c r="D2802" s="4" t="n">
        <v>2013</v>
      </c>
      <c r="E2802" s="13" t="inlineStr">
        <is>
          <t>General</t>
        </is>
      </c>
      <c r="F2802" s="5" t="n"/>
      <c r="G2802" s="5" t="n"/>
      <c r="H2802" s="5" t="n">
        <v>144</v>
      </c>
      <c r="I2802" s="5" t="n">
        <v>78</v>
      </c>
      <c r="J2802" s="5" t="n">
        <v>66</v>
      </c>
      <c r="K2802" s="10">
        <f>IF(F2802&gt;0,H2802/F2802,"")</f>
        <v/>
      </c>
      <c r="L2802" s="16">
        <f>IF(AND(G2802&gt;0,H2802&gt;0),G2802/H2802,"")</f>
        <v/>
      </c>
    </row>
    <row r="2803">
      <c r="A2803" s="4" t="inlineStr">
        <is>
          <t>322</t>
        </is>
      </c>
      <c r="B2803" s="4" t="n">
        <v>3</v>
      </c>
      <c r="C2803" s="4" t="inlineStr">
        <is>
          <t>elk</t>
        </is>
      </c>
      <c r="D2803" s="4" t="n">
        <v>2014</v>
      </c>
      <c r="E2803" s="13" t="inlineStr">
        <is>
          <t>General</t>
        </is>
      </c>
      <c r="F2803" s="5" t="n">
        <v>997</v>
      </c>
      <c r="G2803" s="5" t="n">
        <v>5414</v>
      </c>
      <c r="H2803" s="5" t="n">
        <v>231</v>
      </c>
      <c r="I2803" s="5" t="n">
        <v>130</v>
      </c>
      <c r="J2803" s="5" t="n">
        <v>87</v>
      </c>
      <c r="K2803" s="10">
        <f>IF(F2803&gt;0,H2803/F2803,"")</f>
        <v/>
      </c>
      <c r="L2803" s="16">
        <f>IF(AND(G2803&gt;0,H2803&gt;0),G2803/H2803,"")</f>
        <v/>
      </c>
    </row>
    <row r="2804">
      <c r="A2804" s="4" t="inlineStr">
        <is>
          <t>322</t>
        </is>
      </c>
      <c r="B2804" s="4" t="n">
        <v>3</v>
      </c>
      <c r="C2804" s="4" t="inlineStr">
        <is>
          <t>elk</t>
        </is>
      </c>
      <c r="D2804" s="4" t="n">
        <v>2015</v>
      </c>
      <c r="E2804" s="13" t="inlineStr">
        <is>
          <t>General</t>
        </is>
      </c>
      <c r="F2804" s="5" t="n">
        <v>1030</v>
      </c>
      <c r="G2804" s="5" t="n">
        <v>5590</v>
      </c>
      <c r="H2804" s="5" t="n">
        <v>265</v>
      </c>
      <c r="I2804" s="5" t="n">
        <v>78</v>
      </c>
      <c r="J2804" s="5" t="n">
        <v>166</v>
      </c>
      <c r="K2804" s="10">
        <f>IF(F2804&gt;0,H2804/F2804,"")</f>
        <v/>
      </c>
      <c r="L2804" s="16">
        <f>IF(AND(G2804&gt;0,H2804&gt;0),G2804/H2804,"")</f>
        <v/>
      </c>
    </row>
    <row r="2805">
      <c r="A2805" s="4" t="inlineStr">
        <is>
          <t>322</t>
        </is>
      </c>
      <c r="B2805" s="4" t="n">
        <v>3</v>
      </c>
      <c r="C2805" s="4" t="inlineStr">
        <is>
          <t>elk</t>
        </is>
      </c>
      <c r="D2805" s="4" t="n">
        <v>2016</v>
      </c>
      <c r="E2805" s="13" t="inlineStr">
        <is>
          <t>General</t>
        </is>
      </c>
      <c r="F2805" s="5" t="n">
        <v>984</v>
      </c>
      <c r="G2805" s="5" t="n">
        <v>5767</v>
      </c>
      <c r="H2805" s="5" t="n">
        <v>170</v>
      </c>
      <c r="I2805" s="5" t="n">
        <v>73</v>
      </c>
      <c r="J2805" s="5" t="n">
        <v>82</v>
      </c>
      <c r="K2805" s="10">
        <f>IF(F2805&gt;0,H2805/F2805,"")</f>
        <v/>
      </c>
      <c r="L2805" s="16">
        <f>IF(AND(G2805&gt;0,H2805&gt;0),G2805/H2805,"")</f>
        <v/>
      </c>
    </row>
    <row r="2806">
      <c r="A2806" s="4" t="inlineStr">
        <is>
          <t>322</t>
        </is>
      </c>
      <c r="B2806" s="4" t="n">
        <v>3</v>
      </c>
      <c r="C2806" s="4" t="inlineStr">
        <is>
          <t>elk</t>
        </is>
      </c>
      <c r="D2806" s="4" t="n">
        <v>2017</v>
      </c>
      <c r="E2806" s="13" t="inlineStr">
        <is>
          <t>General</t>
        </is>
      </c>
      <c r="F2806" s="5" t="n"/>
      <c r="G2806" s="5" t="n"/>
      <c r="H2806" s="5" t="n">
        <v>209</v>
      </c>
      <c r="I2806" s="5" t="n">
        <v>109</v>
      </c>
      <c r="J2806" s="5" t="n">
        <v>83</v>
      </c>
      <c r="K2806" s="10">
        <f>IF(F2806&gt;0,H2806/F2806,"")</f>
        <v/>
      </c>
      <c r="L2806" s="16">
        <f>IF(AND(G2806&gt;0,H2806&gt;0),G2806/H2806,"")</f>
        <v/>
      </c>
    </row>
    <row r="2807">
      <c r="A2807" s="4" t="inlineStr">
        <is>
          <t>322</t>
        </is>
      </c>
      <c r="B2807" s="4" t="n">
        <v>3</v>
      </c>
      <c r="C2807" s="4" t="inlineStr">
        <is>
          <t>elk</t>
        </is>
      </c>
      <c r="D2807" s="4" t="n">
        <v>2018</v>
      </c>
      <c r="E2807" s="13" t="inlineStr">
        <is>
          <t>General</t>
        </is>
      </c>
      <c r="F2807" s="5" t="n">
        <v>1017</v>
      </c>
      <c r="G2807" s="5" t="n">
        <v>5685</v>
      </c>
      <c r="H2807" s="5" t="n">
        <v>192</v>
      </c>
      <c r="I2807" s="5" t="n">
        <v>88</v>
      </c>
      <c r="J2807" s="5" t="n">
        <v>91</v>
      </c>
      <c r="K2807" s="10">
        <f>IF(F2807&gt;0,H2807/F2807,"")</f>
        <v/>
      </c>
      <c r="L2807" s="16">
        <f>IF(AND(G2807&gt;0,H2807&gt;0),G2807/H2807,"")</f>
        <v/>
      </c>
    </row>
    <row r="2808">
      <c r="A2808" s="4" t="inlineStr">
        <is>
          <t>322</t>
        </is>
      </c>
      <c r="B2808" s="4" t="n">
        <v>3</v>
      </c>
      <c r="C2808" s="4" t="inlineStr">
        <is>
          <t>elk</t>
        </is>
      </c>
      <c r="D2808" s="4" t="n">
        <v>2019</v>
      </c>
      <c r="E2808" s="13" t="inlineStr">
        <is>
          <t>General</t>
        </is>
      </c>
      <c r="F2808" s="5" t="n"/>
      <c r="G2808" s="5" t="n"/>
      <c r="H2808" s="5" t="n">
        <v>224</v>
      </c>
      <c r="I2808" s="5" t="n">
        <v>93</v>
      </c>
      <c r="J2808" s="5" t="n">
        <v>117</v>
      </c>
      <c r="K2808" s="10">
        <f>IF(F2808&gt;0,H2808/F2808,"")</f>
        <v/>
      </c>
      <c r="L2808" s="16">
        <f>IF(AND(G2808&gt;0,H2808&gt;0),G2808/H2808,"")</f>
        <v/>
      </c>
    </row>
    <row r="2809">
      <c r="A2809" s="4" t="inlineStr">
        <is>
          <t>322</t>
        </is>
      </c>
      <c r="B2809" s="4" t="n">
        <v>3</v>
      </c>
      <c r="C2809" s="4" t="inlineStr">
        <is>
          <t>elk</t>
        </is>
      </c>
      <c r="D2809" s="4" t="n">
        <v>2020</v>
      </c>
      <c r="E2809" s="13" t="inlineStr">
        <is>
          <t>General</t>
        </is>
      </c>
      <c r="F2809" s="5" t="n">
        <v>990</v>
      </c>
      <c r="G2809" s="5" t="n">
        <v>5803</v>
      </c>
      <c r="H2809" s="5" t="n">
        <v>250</v>
      </c>
      <c r="I2809" s="5" t="n">
        <v>124</v>
      </c>
      <c r="J2809" s="5" t="n">
        <v>123</v>
      </c>
      <c r="K2809" s="10">
        <f>IF(F2809&gt;0,H2809/F2809,"")</f>
        <v/>
      </c>
      <c r="L2809" s="16">
        <f>IF(AND(G2809&gt;0,H2809&gt;0),G2809/H2809,"")</f>
        <v/>
      </c>
    </row>
    <row r="2810">
      <c r="A2810" s="4" t="inlineStr">
        <is>
          <t>322</t>
        </is>
      </c>
      <c r="B2810" s="4" t="n">
        <v>3</v>
      </c>
      <c r="C2810" s="4" t="inlineStr">
        <is>
          <t>elk</t>
        </is>
      </c>
      <c r="D2810" s="4" t="n">
        <v>2021</v>
      </c>
      <c r="E2810" s="13" t="inlineStr">
        <is>
          <t>General</t>
        </is>
      </c>
      <c r="F2810" s="5" t="n"/>
      <c r="G2810" s="5" t="n"/>
      <c r="H2810" s="5" t="n">
        <v>530</v>
      </c>
      <c r="I2810" s="5" t="n">
        <v>233</v>
      </c>
      <c r="J2810" s="5" t="n">
        <v>278</v>
      </c>
      <c r="K2810" s="10">
        <f>IF(F2810&gt;0,H2810/F2810,"")</f>
        <v/>
      </c>
      <c r="L2810" s="16">
        <f>IF(AND(G2810&gt;0,H2810&gt;0),G2810/H2810,"")</f>
        <v/>
      </c>
    </row>
    <row r="2811">
      <c r="A2811" s="4" t="inlineStr">
        <is>
          <t>322</t>
        </is>
      </c>
      <c r="B2811" s="4" t="n">
        <v>3</v>
      </c>
      <c r="C2811" s="4" t="inlineStr">
        <is>
          <t>elk</t>
        </is>
      </c>
      <c r="D2811" s="4" t="n">
        <v>2022</v>
      </c>
      <c r="E2811" s="13" t="inlineStr">
        <is>
          <t>General</t>
        </is>
      </c>
      <c r="F2811" s="5" t="n">
        <v>8436</v>
      </c>
      <c r="G2811" s="5" t="n">
        <v>56329</v>
      </c>
      <c r="H2811" s="5" t="n">
        <v>2865</v>
      </c>
      <c r="I2811" s="5" t="n">
        <v>1199</v>
      </c>
      <c r="J2811" s="5" t="n">
        <v>1602</v>
      </c>
      <c r="K2811" s="10">
        <f>IF(F2811&gt;0,H2811/F2811,"")</f>
        <v/>
      </c>
      <c r="L2811" s="16">
        <f>IF(AND(G2811&gt;0,H2811&gt;0),G2811/H2811,"")</f>
        <v/>
      </c>
    </row>
    <row r="2812">
      <c r="A2812" s="4" t="inlineStr">
        <is>
          <t>322</t>
        </is>
      </c>
      <c r="B2812" s="4" t="n">
        <v>3</v>
      </c>
      <c r="C2812" s="4" t="inlineStr">
        <is>
          <t>elk</t>
        </is>
      </c>
      <c r="D2812" s="4" t="n">
        <v>2023</v>
      </c>
      <c r="E2812" s="13" t="inlineStr">
        <is>
          <t>General</t>
        </is>
      </c>
      <c r="F2812" s="5" t="n"/>
      <c r="G2812" s="5" t="n"/>
      <c r="H2812" s="5" t="n">
        <v>1651</v>
      </c>
      <c r="I2812" s="5" t="n">
        <v>781</v>
      </c>
      <c r="J2812" s="5" t="n">
        <v>835</v>
      </c>
      <c r="K2812" s="10">
        <f>IF(F2812&gt;0,H2812/F2812,"")</f>
        <v/>
      </c>
      <c r="L2812" s="16">
        <f>IF(AND(G2812&gt;0,H2812&gt;0),G2812/H2812,"")</f>
        <v/>
      </c>
    </row>
    <row r="2813">
      <c r="A2813" s="4" t="inlineStr">
        <is>
          <t>322</t>
        </is>
      </c>
      <c r="B2813" s="4" t="n">
        <v>3</v>
      </c>
      <c r="C2813" s="4" t="inlineStr">
        <is>
          <t>elk</t>
        </is>
      </c>
      <c r="D2813" s="4" t="n">
        <v>2024</v>
      </c>
      <c r="E2813" s="13" t="inlineStr">
        <is>
          <t>General</t>
        </is>
      </c>
      <c r="F2813" s="5" t="n">
        <v>1844</v>
      </c>
      <c r="G2813" s="5" t="n">
        <v>13839</v>
      </c>
      <c r="H2813" s="5" t="n">
        <v>418</v>
      </c>
      <c r="I2813" s="5" t="n">
        <v>213</v>
      </c>
      <c r="J2813" s="5" t="n">
        <v>197</v>
      </c>
      <c r="K2813" s="10">
        <f>IF(F2813&gt;0,H2813/F2813,"")</f>
        <v/>
      </c>
      <c r="L2813" s="16">
        <f>IF(AND(G2813&gt;0,H2813&gt;0),G2813/H2813,"")</f>
        <v/>
      </c>
    </row>
    <row r="2814">
      <c r="A2814" s="4" t="inlineStr">
        <is>
          <t>322</t>
        </is>
      </c>
      <c r="B2814" s="4" t="n">
        <v>3</v>
      </c>
      <c r="C2814" s="4" t="inlineStr">
        <is>
          <t>elk</t>
        </is>
      </c>
      <c r="D2814" s="4" t="n">
        <v>2025</v>
      </c>
      <c r="E2814" s="13" t="inlineStr">
        <is>
          <t>General</t>
        </is>
      </c>
      <c r="F2814" s="5" t="n"/>
      <c r="G2814" s="5" t="n"/>
      <c r="H2814" s="5" t="n">
        <v>284</v>
      </c>
      <c r="I2814" s="5" t="n">
        <v>136</v>
      </c>
      <c r="J2814" s="5" t="n">
        <v>146</v>
      </c>
      <c r="K2814" s="10">
        <f>IF(F2814&gt;0,H2814/F2814,"")</f>
        <v/>
      </c>
      <c r="L2814" s="16">
        <f>IF(AND(G2814&gt;0,H2814&gt;0),G2814/H2814,"")</f>
        <v/>
      </c>
    </row>
    <row r="2815">
      <c r="A2815" s="4" t="inlineStr">
        <is>
          <t>323</t>
        </is>
      </c>
      <c r="B2815" s="4" t="n">
        <v>3</v>
      </c>
      <c r="C2815" s="4" t="inlineStr">
        <is>
          <t>elk</t>
        </is>
      </c>
      <c r="D2815" s="4" t="n">
        <v>2004</v>
      </c>
      <c r="E2815" s="13" t="inlineStr">
        <is>
          <t>General</t>
        </is>
      </c>
      <c r="F2815" s="5" t="n">
        <v>1365</v>
      </c>
      <c r="G2815" s="5" t="n">
        <v>6743</v>
      </c>
      <c r="H2815" s="5" t="n">
        <v>284</v>
      </c>
      <c r="I2815" s="5" t="n">
        <v>110</v>
      </c>
      <c r="J2815" s="5" t="n">
        <v>158</v>
      </c>
      <c r="K2815" s="10">
        <f>IF(F2815&gt;0,H2815/F2815,"")</f>
        <v/>
      </c>
      <c r="L2815" s="16">
        <f>IF(AND(G2815&gt;0,H2815&gt;0),G2815/H2815,"")</f>
        <v/>
      </c>
    </row>
    <row r="2816">
      <c r="A2816" s="4" t="inlineStr">
        <is>
          <t>323</t>
        </is>
      </c>
      <c r="B2816" s="4" t="n">
        <v>3</v>
      </c>
      <c r="C2816" s="4" t="inlineStr">
        <is>
          <t>elk</t>
        </is>
      </c>
      <c r="D2816" s="4" t="n">
        <v>2005</v>
      </c>
      <c r="E2816" s="13" t="inlineStr">
        <is>
          <t>General</t>
        </is>
      </c>
      <c r="F2816" s="5" t="n">
        <v>931</v>
      </c>
      <c r="G2816" s="5" t="n">
        <v>4919</v>
      </c>
      <c r="H2816" s="5" t="n">
        <v>249</v>
      </c>
      <c r="I2816" s="5" t="n">
        <v>120</v>
      </c>
      <c r="J2816" s="5" t="n">
        <v>118</v>
      </c>
      <c r="K2816" s="10">
        <f>IF(F2816&gt;0,H2816/F2816,"")</f>
        <v/>
      </c>
      <c r="L2816" s="16">
        <f>IF(AND(G2816&gt;0,H2816&gt;0),G2816/H2816,"")</f>
        <v/>
      </c>
    </row>
    <row r="2817">
      <c r="A2817" s="4" t="inlineStr">
        <is>
          <t>323</t>
        </is>
      </c>
      <c r="B2817" s="4" t="n">
        <v>3</v>
      </c>
      <c r="C2817" s="4" t="inlineStr">
        <is>
          <t>elk</t>
        </is>
      </c>
      <c r="D2817" s="4" t="n">
        <v>2006</v>
      </c>
      <c r="E2817" s="13" t="inlineStr">
        <is>
          <t>General</t>
        </is>
      </c>
      <c r="F2817" s="5" t="n">
        <v>884</v>
      </c>
      <c r="G2817" s="5" t="n">
        <v>4497</v>
      </c>
      <c r="H2817" s="5" t="n">
        <v>138</v>
      </c>
      <c r="I2817" s="5" t="n">
        <v>68</v>
      </c>
      <c r="J2817" s="5" t="n">
        <v>52</v>
      </c>
      <c r="K2817" s="10">
        <f>IF(F2817&gt;0,H2817/F2817,"")</f>
        <v/>
      </c>
      <c r="L2817" s="16">
        <f>IF(AND(G2817&gt;0,H2817&gt;0),G2817/H2817,"")</f>
        <v/>
      </c>
    </row>
    <row r="2818">
      <c r="A2818" s="4" t="inlineStr">
        <is>
          <t>323</t>
        </is>
      </c>
      <c r="B2818" s="4" t="n">
        <v>3</v>
      </c>
      <c r="C2818" s="4" t="inlineStr">
        <is>
          <t>elk</t>
        </is>
      </c>
      <c r="D2818" s="4" t="n">
        <v>2007</v>
      </c>
      <c r="E2818" s="13" t="inlineStr">
        <is>
          <t>General</t>
        </is>
      </c>
      <c r="F2818" s="5" t="n">
        <v>1284</v>
      </c>
      <c r="G2818" s="5" t="n">
        <v>6496</v>
      </c>
      <c r="H2818" s="5" t="n">
        <v>242</v>
      </c>
      <c r="I2818" s="5" t="n">
        <v>99</v>
      </c>
      <c r="J2818" s="5" t="n">
        <v>132</v>
      </c>
      <c r="K2818" s="10">
        <f>IF(F2818&gt;0,H2818/F2818,"")</f>
        <v/>
      </c>
      <c r="L2818" s="16">
        <f>IF(AND(G2818&gt;0,H2818&gt;0),G2818/H2818,"")</f>
        <v/>
      </c>
    </row>
    <row r="2819">
      <c r="A2819" s="4" t="inlineStr">
        <is>
          <t>323</t>
        </is>
      </c>
      <c r="B2819" s="4" t="n">
        <v>3</v>
      </c>
      <c r="C2819" s="4" t="inlineStr">
        <is>
          <t>elk</t>
        </is>
      </c>
      <c r="D2819" s="4" t="n">
        <v>2008</v>
      </c>
      <c r="E2819" s="13" t="inlineStr">
        <is>
          <t>General</t>
        </is>
      </c>
      <c r="F2819" s="5" t="n">
        <v>1243</v>
      </c>
      <c r="G2819" s="5" t="n">
        <v>6795</v>
      </c>
      <c r="H2819" s="5" t="n">
        <v>199</v>
      </c>
      <c r="I2819" s="5" t="n">
        <v>84</v>
      </c>
      <c r="J2819" s="5" t="n">
        <v>107</v>
      </c>
      <c r="K2819" s="10">
        <f>IF(F2819&gt;0,H2819/F2819,"")</f>
        <v/>
      </c>
      <c r="L2819" s="16">
        <f>IF(AND(G2819&gt;0,H2819&gt;0),G2819/H2819,"")</f>
        <v/>
      </c>
    </row>
    <row r="2820">
      <c r="A2820" s="4" t="inlineStr">
        <is>
          <t>323</t>
        </is>
      </c>
      <c r="B2820" s="4" t="n">
        <v>3</v>
      </c>
      <c r="C2820" s="4" t="inlineStr">
        <is>
          <t>elk</t>
        </is>
      </c>
      <c r="D2820" s="4" t="n">
        <v>2009</v>
      </c>
      <c r="E2820" s="13" t="inlineStr">
        <is>
          <t>General</t>
        </is>
      </c>
      <c r="F2820" s="5" t="n">
        <v>1218</v>
      </c>
      <c r="G2820" s="5" t="n">
        <v>6455</v>
      </c>
      <c r="H2820" s="5" t="n">
        <v>160</v>
      </c>
      <c r="I2820" s="5" t="n">
        <v>78</v>
      </c>
      <c r="J2820" s="5" t="n">
        <v>82</v>
      </c>
      <c r="K2820" s="10">
        <f>IF(F2820&gt;0,H2820/F2820,"")</f>
        <v/>
      </c>
      <c r="L2820" s="16">
        <f>IF(AND(G2820&gt;0,H2820&gt;0),G2820/H2820,"")</f>
        <v/>
      </c>
    </row>
    <row r="2821">
      <c r="A2821" s="4" t="inlineStr">
        <is>
          <t>323</t>
        </is>
      </c>
      <c r="B2821" s="4" t="n">
        <v>3</v>
      </c>
      <c r="C2821" s="4" t="inlineStr">
        <is>
          <t>elk</t>
        </is>
      </c>
      <c r="D2821" s="4" t="n">
        <v>2010</v>
      </c>
      <c r="E2821" s="13" t="inlineStr">
        <is>
          <t>General</t>
        </is>
      </c>
      <c r="F2821" s="5" t="n">
        <v>962</v>
      </c>
      <c r="G2821" s="5" t="n">
        <v>5220</v>
      </c>
      <c r="H2821" s="5" t="n">
        <v>175</v>
      </c>
      <c r="I2821" s="5" t="n">
        <v>75</v>
      </c>
      <c r="J2821" s="5" t="n">
        <v>98</v>
      </c>
      <c r="K2821" s="10">
        <f>IF(F2821&gt;0,H2821/F2821,"")</f>
        <v/>
      </c>
      <c r="L2821" s="16">
        <f>IF(AND(G2821&gt;0,H2821&gt;0),G2821/H2821,"")</f>
        <v/>
      </c>
    </row>
    <row r="2822">
      <c r="A2822" s="4" t="inlineStr">
        <is>
          <t>323</t>
        </is>
      </c>
      <c r="B2822" s="4" t="n">
        <v>3</v>
      </c>
      <c r="C2822" s="4" t="inlineStr">
        <is>
          <t>elk</t>
        </is>
      </c>
      <c r="D2822" s="4" t="n">
        <v>2011</v>
      </c>
      <c r="E2822" s="13" t="inlineStr">
        <is>
          <t>General</t>
        </is>
      </c>
      <c r="F2822" s="5" t="n">
        <v>990</v>
      </c>
      <c r="G2822" s="5" t="n">
        <v>5392</v>
      </c>
      <c r="H2822" s="5" t="n">
        <v>133</v>
      </c>
      <c r="I2822" s="5" t="n">
        <v>70</v>
      </c>
      <c r="J2822" s="5" t="n">
        <v>43</v>
      </c>
      <c r="K2822" s="10">
        <f>IF(F2822&gt;0,H2822/F2822,"")</f>
        <v/>
      </c>
      <c r="L2822" s="16">
        <f>IF(AND(G2822&gt;0,H2822&gt;0),G2822/H2822,"")</f>
        <v/>
      </c>
    </row>
    <row r="2823">
      <c r="A2823" s="4" t="inlineStr">
        <is>
          <t>323</t>
        </is>
      </c>
      <c r="B2823" s="4" t="n">
        <v>3</v>
      </c>
      <c r="C2823" s="4" t="inlineStr">
        <is>
          <t>elk</t>
        </is>
      </c>
      <c r="D2823" s="4" t="n">
        <v>2012</v>
      </c>
      <c r="E2823" s="13" t="inlineStr">
        <is>
          <t>General</t>
        </is>
      </c>
      <c r="F2823" s="5" t="n">
        <v>1048</v>
      </c>
      <c r="G2823" s="5" t="n">
        <v>6250</v>
      </c>
      <c r="H2823" s="5" t="n">
        <v>182</v>
      </c>
      <c r="I2823" s="5" t="n">
        <v>108</v>
      </c>
      <c r="J2823" s="5" t="n">
        <v>66</v>
      </c>
      <c r="K2823" s="10">
        <f>IF(F2823&gt;0,H2823/F2823,"")</f>
        <v/>
      </c>
      <c r="L2823" s="16">
        <f>IF(AND(G2823&gt;0,H2823&gt;0),G2823/H2823,"")</f>
        <v/>
      </c>
    </row>
    <row r="2824">
      <c r="A2824" s="4" t="inlineStr">
        <is>
          <t>323</t>
        </is>
      </c>
      <c r="B2824" s="4" t="n">
        <v>3</v>
      </c>
      <c r="C2824" s="4" t="inlineStr">
        <is>
          <t>elk</t>
        </is>
      </c>
      <c r="D2824" s="4" t="n">
        <v>2013</v>
      </c>
      <c r="E2824" s="13" t="inlineStr">
        <is>
          <t>General</t>
        </is>
      </c>
      <c r="F2824" s="5" t="n"/>
      <c r="G2824" s="5" t="n"/>
      <c r="H2824" s="5" t="n">
        <v>228</v>
      </c>
      <c r="I2824" s="5" t="n">
        <v>111</v>
      </c>
      <c r="J2824" s="5" t="n">
        <v>108</v>
      </c>
      <c r="K2824" s="10">
        <f>IF(F2824&gt;0,H2824/F2824,"")</f>
        <v/>
      </c>
      <c r="L2824" s="16">
        <f>IF(AND(G2824&gt;0,H2824&gt;0),G2824/H2824,"")</f>
        <v/>
      </c>
    </row>
    <row r="2825">
      <c r="A2825" s="4" t="inlineStr">
        <is>
          <t>323</t>
        </is>
      </c>
      <c r="B2825" s="4" t="n">
        <v>3</v>
      </c>
      <c r="C2825" s="4" t="inlineStr">
        <is>
          <t>elk</t>
        </is>
      </c>
      <c r="D2825" s="4" t="n">
        <v>2014</v>
      </c>
      <c r="E2825" s="13" t="inlineStr">
        <is>
          <t>General</t>
        </is>
      </c>
      <c r="F2825" s="5" t="n">
        <v>1495</v>
      </c>
      <c r="G2825" s="5" t="n">
        <v>8715</v>
      </c>
      <c r="H2825" s="5" t="n">
        <v>329</v>
      </c>
      <c r="I2825" s="5" t="n">
        <v>130</v>
      </c>
      <c r="J2825" s="5" t="n">
        <v>176</v>
      </c>
      <c r="K2825" s="10">
        <f>IF(F2825&gt;0,H2825/F2825,"")</f>
        <v/>
      </c>
      <c r="L2825" s="16">
        <f>IF(AND(G2825&gt;0,H2825&gt;0),G2825/H2825,"")</f>
        <v/>
      </c>
    </row>
    <row r="2826">
      <c r="A2826" s="4" t="inlineStr">
        <is>
          <t>323</t>
        </is>
      </c>
      <c r="B2826" s="4" t="n">
        <v>3</v>
      </c>
      <c r="C2826" s="4" t="inlineStr">
        <is>
          <t>elk</t>
        </is>
      </c>
      <c r="D2826" s="4" t="n">
        <v>2015</v>
      </c>
      <c r="E2826" s="13" t="inlineStr">
        <is>
          <t>General</t>
        </is>
      </c>
      <c r="F2826" s="5" t="n">
        <v>1491</v>
      </c>
      <c r="G2826" s="5" t="n">
        <v>9222</v>
      </c>
      <c r="H2826" s="5" t="n">
        <v>291</v>
      </c>
      <c r="I2826" s="5" t="n">
        <v>135</v>
      </c>
      <c r="J2826" s="5" t="n">
        <v>150</v>
      </c>
      <c r="K2826" s="10">
        <f>IF(F2826&gt;0,H2826/F2826,"")</f>
        <v/>
      </c>
      <c r="L2826" s="16">
        <f>IF(AND(G2826&gt;0,H2826&gt;0),G2826/H2826,"")</f>
        <v/>
      </c>
    </row>
    <row r="2827">
      <c r="A2827" s="4" t="inlineStr">
        <is>
          <t>323</t>
        </is>
      </c>
      <c r="B2827" s="4" t="n">
        <v>3</v>
      </c>
      <c r="C2827" s="4" t="inlineStr">
        <is>
          <t>elk</t>
        </is>
      </c>
      <c r="D2827" s="4" t="n">
        <v>2016</v>
      </c>
      <c r="E2827" s="13" t="inlineStr">
        <is>
          <t>General</t>
        </is>
      </c>
      <c r="F2827" s="5" t="n">
        <v>1280</v>
      </c>
      <c r="G2827" s="5" t="n">
        <v>8438</v>
      </c>
      <c r="H2827" s="5" t="n">
        <v>143</v>
      </c>
      <c r="I2827" s="5" t="n">
        <v>49</v>
      </c>
      <c r="J2827" s="5" t="n">
        <v>85</v>
      </c>
      <c r="K2827" s="10">
        <f>IF(F2827&gt;0,H2827/F2827,"")</f>
        <v/>
      </c>
      <c r="L2827" s="16">
        <f>IF(AND(G2827&gt;0,H2827&gt;0),G2827/H2827,"")</f>
        <v/>
      </c>
    </row>
    <row r="2828">
      <c r="A2828" s="4" t="inlineStr">
        <is>
          <t>323</t>
        </is>
      </c>
      <c r="B2828" s="4" t="n">
        <v>3</v>
      </c>
      <c r="C2828" s="4" t="inlineStr">
        <is>
          <t>elk</t>
        </is>
      </c>
      <c r="D2828" s="4" t="n">
        <v>2017</v>
      </c>
      <c r="E2828" s="13" t="inlineStr">
        <is>
          <t>General</t>
        </is>
      </c>
      <c r="F2828" s="5" t="n"/>
      <c r="G2828" s="5" t="n"/>
      <c r="H2828" s="5" t="n">
        <v>193</v>
      </c>
      <c r="I2828" s="5" t="n">
        <v>103</v>
      </c>
      <c r="J2828" s="5" t="n">
        <v>82</v>
      </c>
      <c r="K2828" s="10">
        <f>IF(F2828&gt;0,H2828/F2828,"")</f>
        <v/>
      </c>
      <c r="L2828" s="16">
        <f>IF(AND(G2828&gt;0,H2828&gt;0),G2828/H2828,"")</f>
        <v/>
      </c>
    </row>
    <row r="2829">
      <c r="A2829" s="4" t="inlineStr">
        <is>
          <t>323</t>
        </is>
      </c>
      <c r="B2829" s="4" t="n">
        <v>3</v>
      </c>
      <c r="C2829" s="4" t="inlineStr">
        <is>
          <t>elk</t>
        </is>
      </c>
      <c r="D2829" s="4" t="n">
        <v>2018</v>
      </c>
      <c r="E2829" s="13" t="inlineStr">
        <is>
          <t>General</t>
        </is>
      </c>
      <c r="F2829" s="5" t="n">
        <v>1149</v>
      </c>
      <c r="G2829" s="5" t="n">
        <v>7198</v>
      </c>
      <c r="H2829" s="5" t="n">
        <v>199</v>
      </c>
      <c r="I2829" s="5" t="n">
        <v>103</v>
      </c>
      <c r="J2829" s="5" t="n">
        <v>86</v>
      </c>
      <c r="K2829" s="10">
        <f>IF(F2829&gt;0,H2829/F2829,"")</f>
        <v/>
      </c>
      <c r="L2829" s="16">
        <f>IF(AND(G2829&gt;0,H2829&gt;0),G2829/H2829,"")</f>
        <v/>
      </c>
    </row>
    <row r="2830">
      <c r="A2830" s="4" t="inlineStr">
        <is>
          <t>323</t>
        </is>
      </c>
      <c r="B2830" s="4" t="n">
        <v>3</v>
      </c>
      <c r="C2830" s="4" t="inlineStr">
        <is>
          <t>elk</t>
        </is>
      </c>
      <c r="D2830" s="4" t="n">
        <v>2019</v>
      </c>
      <c r="E2830" s="13" t="inlineStr">
        <is>
          <t>General</t>
        </is>
      </c>
      <c r="F2830" s="5" t="n"/>
      <c r="G2830" s="5" t="n"/>
      <c r="H2830" s="5" t="n">
        <v>187</v>
      </c>
      <c r="I2830" s="5" t="n">
        <v>98</v>
      </c>
      <c r="J2830" s="5" t="n">
        <v>88</v>
      </c>
      <c r="K2830" s="10">
        <f>IF(F2830&gt;0,H2830/F2830,"")</f>
        <v/>
      </c>
      <c r="L2830" s="16">
        <f>IF(AND(G2830&gt;0,H2830&gt;0),G2830/H2830,"")</f>
        <v/>
      </c>
    </row>
    <row r="2831">
      <c r="A2831" s="4" t="inlineStr">
        <is>
          <t>323</t>
        </is>
      </c>
      <c r="B2831" s="4" t="n">
        <v>3</v>
      </c>
      <c r="C2831" s="4" t="inlineStr">
        <is>
          <t>elk</t>
        </is>
      </c>
      <c r="D2831" s="4" t="n">
        <v>2020</v>
      </c>
      <c r="E2831" s="13" t="inlineStr">
        <is>
          <t>General</t>
        </is>
      </c>
      <c r="F2831" s="5" t="n">
        <v>1003</v>
      </c>
      <c r="G2831" s="5" t="n">
        <v>6957</v>
      </c>
      <c r="H2831" s="5" t="n">
        <v>210</v>
      </c>
      <c r="I2831" s="5" t="n">
        <v>116</v>
      </c>
      <c r="J2831" s="5" t="n">
        <v>95</v>
      </c>
      <c r="K2831" s="10">
        <f>IF(F2831&gt;0,H2831/F2831,"")</f>
        <v/>
      </c>
      <c r="L2831" s="16">
        <f>IF(AND(G2831&gt;0,H2831&gt;0),G2831/H2831,"")</f>
        <v/>
      </c>
    </row>
    <row r="2832">
      <c r="A2832" s="4" t="inlineStr">
        <is>
          <t>323</t>
        </is>
      </c>
      <c r="B2832" s="4" t="n">
        <v>3</v>
      </c>
      <c r="C2832" s="4" t="inlineStr">
        <is>
          <t>elk</t>
        </is>
      </c>
      <c r="D2832" s="4" t="n">
        <v>2021</v>
      </c>
      <c r="E2832" s="13" t="inlineStr">
        <is>
          <t>General</t>
        </is>
      </c>
      <c r="F2832" s="5" t="n"/>
      <c r="G2832" s="5" t="n"/>
      <c r="H2832" s="5" t="n">
        <v>240</v>
      </c>
      <c r="I2832" s="5" t="n">
        <v>165</v>
      </c>
      <c r="J2832" s="5" t="n">
        <v>67</v>
      </c>
      <c r="K2832" s="10">
        <f>IF(F2832&gt;0,H2832/F2832,"")</f>
        <v/>
      </c>
      <c r="L2832" s="16">
        <f>IF(AND(G2832&gt;0,H2832&gt;0),G2832/H2832,"")</f>
        <v/>
      </c>
    </row>
    <row r="2833">
      <c r="A2833" s="4" t="inlineStr">
        <is>
          <t>323</t>
        </is>
      </c>
      <c r="B2833" s="4" t="n">
        <v>3</v>
      </c>
      <c r="C2833" s="4" t="inlineStr">
        <is>
          <t>elk</t>
        </is>
      </c>
      <c r="D2833" s="4" t="n">
        <v>2024</v>
      </c>
      <c r="E2833" s="13" t="inlineStr">
        <is>
          <t>General</t>
        </is>
      </c>
      <c r="F2833" s="5" t="n">
        <v>5015</v>
      </c>
      <c r="G2833" s="5" t="n">
        <v>37244</v>
      </c>
      <c r="H2833" s="5" t="n">
        <v>1013</v>
      </c>
      <c r="I2833" s="5" t="n">
        <v>520</v>
      </c>
      <c r="J2833" s="5" t="n">
        <v>483</v>
      </c>
      <c r="K2833" s="10">
        <f>IF(F2833&gt;0,H2833/F2833,"")</f>
        <v/>
      </c>
      <c r="L2833" s="16">
        <f>IF(AND(G2833&gt;0,H2833&gt;0),G2833/H2833,"")</f>
        <v/>
      </c>
    </row>
    <row r="2834">
      <c r="A2834" s="4" t="inlineStr">
        <is>
          <t>323</t>
        </is>
      </c>
      <c r="B2834" s="4" t="n">
        <v>3</v>
      </c>
      <c r="C2834" s="4" t="inlineStr">
        <is>
          <t>elk</t>
        </is>
      </c>
      <c r="D2834" s="4" t="n">
        <v>2025</v>
      </c>
      <c r="E2834" s="13" t="inlineStr">
        <is>
          <t>General</t>
        </is>
      </c>
      <c r="F2834" s="5" t="n"/>
      <c r="G2834" s="5" t="n"/>
      <c r="H2834" s="5" t="n">
        <v>748</v>
      </c>
      <c r="I2834" s="5" t="n">
        <v>458</v>
      </c>
      <c r="J2834" s="5" t="n">
        <v>272</v>
      </c>
      <c r="K2834" s="10">
        <f>IF(F2834&gt;0,H2834/F2834,"")</f>
        <v/>
      </c>
      <c r="L2834" s="16">
        <f>IF(AND(G2834&gt;0,H2834&gt;0),G2834/H2834,"")</f>
        <v/>
      </c>
    </row>
    <row r="2835">
      <c r="A2835" s="4" t="inlineStr">
        <is>
          <t>324</t>
        </is>
      </c>
      <c r="B2835" s="4" t="n">
        <v>3</v>
      </c>
      <c r="C2835" s="4" t="inlineStr">
        <is>
          <t>elk</t>
        </is>
      </c>
      <c r="D2835" s="4" t="n">
        <v>2004</v>
      </c>
      <c r="E2835" s="13" t="inlineStr">
        <is>
          <t>General</t>
        </is>
      </c>
      <c r="F2835" s="5" t="n">
        <v>2409</v>
      </c>
      <c r="G2835" s="5" t="n">
        <v>13399</v>
      </c>
      <c r="H2835" s="5" t="n">
        <v>489</v>
      </c>
      <c r="I2835" s="5" t="n">
        <v>183</v>
      </c>
      <c r="J2835" s="5" t="n">
        <v>275</v>
      </c>
      <c r="K2835" s="10">
        <f>IF(F2835&gt;0,H2835/F2835,"")</f>
        <v/>
      </c>
      <c r="L2835" s="16">
        <f>IF(AND(G2835&gt;0,H2835&gt;0),G2835/H2835,"")</f>
        <v/>
      </c>
    </row>
    <row r="2836">
      <c r="A2836" s="4" t="inlineStr">
        <is>
          <t>324</t>
        </is>
      </c>
      <c r="B2836" s="4" t="n">
        <v>3</v>
      </c>
      <c r="C2836" s="4" t="inlineStr">
        <is>
          <t>elk</t>
        </is>
      </c>
      <c r="D2836" s="4" t="n">
        <v>2005</v>
      </c>
      <c r="E2836" s="13" t="inlineStr">
        <is>
          <t>General</t>
        </is>
      </c>
      <c r="F2836" s="5" t="n">
        <v>1602</v>
      </c>
      <c r="G2836" s="5" t="n">
        <v>9186</v>
      </c>
      <c r="H2836" s="5" t="n">
        <v>366</v>
      </c>
      <c r="I2836" s="5" t="n">
        <v>172</v>
      </c>
      <c r="J2836" s="5" t="n">
        <v>176</v>
      </c>
      <c r="K2836" s="10">
        <f>IF(F2836&gt;0,H2836/F2836,"")</f>
        <v/>
      </c>
      <c r="L2836" s="16">
        <f>IF(AND(G2836&gt;0,H2836&gt;0),G2836/H2836,"")</f>
        <v/>
      </c>
    </row>
    <row r="2837">
      <c r="A2837" s="4" t="inlineStr">
        <is>
          <t>324</t>
        </is>
      </c>
      <c r="B2837" s="4" t="n">
        <v>3</v>
      </c>
      <c r="C2837" s="4" t="inlineStr">
        <is>
          <t>elk</t>
        </is>
      </c>
      <c r="D2837" s="4" t="n">
        <v>2006</v>
      </c>
      <c r="E2837" s="13" t="inlineStr">
        <is>
          <t>General</t>
        </is>
      </c>
      <c r="F2837" s="5" t="n">
        <v>1152</v>
      </c>
      <c r="G2837" s="5" t="n">
        <v>6682</v>
      </c>
      <c r="H2837" s="5" t="n">
        <v>255</v>
      </c>
      <c r="I2837" s="5" t="n">
        <v>148</v>
      </c>
      <c r="J2837" s="5" t="n">
        <v>96</v>
      </c>
      <c r="K2837" s="10">
        <f>IF(F2837&gt;0,H2837/F2837,"")</f>
        <v/>
      </c>
      <c r="L2837" s="16">
        <f>IF(AND(G2837&gt;0,H2837&gt;0),G2837/H2837,"")</f>
        <v/>
      </c>
    </row>
    <row r="2838">
      <c r="A2838" s="4" t="inlineStr">
        <is>
          <t>324</t>
        </is>
      </c>
      <c r="B2838" s="4" t="n">
        <v>3</v>
      </c>
      <c r="C2838" s="4" t="inlineStr">
        <is>
          <t>elk</t>
        </is>
      </c>
      <c r="D2838" s="4" t="n">
        <v>2007</v>
      </c>
      <c r="E2838" s="13" t="inlineStr">
        <is>
          <t>General</t>
        </is>
      </c>
      <c r="F2838" s="5" t="n">
        <v>1678</v>
      </c>
      <c r="G2838" s="5" t="n">
        <v>10003</v>
      </c>
      <c r="H2838" s="5" t="n">
        <v>377</v>
      </c>
      <c r="I2838" s="5" t="n">
        <v>167</v>
      </c>
      <c r="J2838" s="5" t="n">
        <v>182</v>
      </c>
      <c r="K2838" s="10">
        <f>IF(F2838&gt;0,H2838/F2838,"")</f>
        <v/>
      </c>
      <c r="L2838" s="16">
        <f>IF(AND(G2838&gt;0,H2838&gt;0),G2838/H2838,"")</f>
        <v/>
      </c>
    </row>
    <row r="2839">
      <c r="A2839" s="4" t="inlineStr">
        <is>
          <t>324</t>
        </is>
      </c>
      <c r="B2839" s="4" t="n">
        <v>3</v>
      </c>
      <c r="C2839" s="4" t="inlineStr">
        <is>
          <t>elk</t>
        </is>
      </c>
      <c r="D2839" s="4" t="n">
        <v>2008</v>
      </c>
      <c r="E2839" s="13" t="inlineStr">
        <is>
          <t>General</t>
        </is>
      </c>
      <c r="F2839" s="5" t="n">
        <v>1728</v>
      </c>
      <c r="G2839" s="5" t="n">
        <v>10978</v>
      </c>
      <c r="H2839" s="5" t="n">
        <v>438</v>
      </c>
      <c r="I2839" s="5" t="n">
        <v>159</v>
      </c>
      <c r="J2839" s="5" t="n">
        <v>247</v>
      </c>
      <c r="K2839" s="10">
        <f>IF(F2839&gt;0,H2839/F2839,"")</f>
        <v/>
      </c>
      <c r="L2839" s="16">
        <f>IF(AND(G2839&gt;0,H2839&gt;0),G2839/H2839,"")</f>
        <v/>
      </c>
    </row>
    <row r="2840">
      <c r="A2840" s="4" t="inlineStr">
        <is>
          <t>324</t>
        </is>
      </c>
      <c r="B2840" s="4" t="n">
        <v>3</v>
      </c>
      <c r="C2840" s="4" t="inlineStr">
        <is>
          <t>elk</t>
        </is>
      </c>
      <c r="D2840" s="4" t="n">
        <v>2009</v>
      </c>
      <c r="E2840" s="13" t="inlineStr">
        <is>
          <t>General</t>
        </is>
      </c>
      <c r="F2840" s="5" t="n">
        <v>1470</v>
      </c>
      <c r="G2840" s="5" t="n">
        <v>9065</v>
      </c>
      <c r="H2840" s="5" t="n">
        <v>255</v>
      </c>
      <c r="I2840" s="5" t="n">
        <v>106</v>
      </c>
      <c r="J2840" s="5" t="n">
        <v>137</v>
      </c>
      <c r="K2840" s="10">
        <f>IF(F2840&gt;0,H2840/F2840,"")</f>
        <v/>
      </c>
      <c r="L2840" s="16">
        <f>IF(AND(G2840&gt;0,H2840&gt;0),G2840/H2840,"")</f>
        <v/>
      </c>
    </row>
    <row r="2841">
      <c r="A2841" s="4" t="inlineStr">
        <is>
          <t>324</t>
        </is>
      </c>
      <c r="B2841" s="4" t="n">
        <v>3</v>
      </c>
      <c r="C2841" s="4" t="inlineStr">
        <is>
          <t>elk</t>
        </is>
      </c>
      <c r="D2841" s="4" t="n">
        <v>2010</v>
      </c>
      <c r="E2841" s="13" t="inlineStr">
        <is>
          <t>General</t>
        </is>
      </c>
      <c r="F2841" s="5" t="n">
        <v>1222</v>
      </c>
      <c r="G2841" s="5" t="n">
        <v>7328</v>
      </c>
      <c r="H2841" s="5" t="n">
        <v>257</v>
      </c>
      <c r="I2841" s="5" t="n">
        <v>139</v>
      </c>
      <c r="J2841" s="5" t="n">
        <v>105</v>
      </c>
      <c r="K2841" s="10">
        <f>IF(F2841&gt;0,H2841/F2841,"")</f>
        <v/>
      </c>
      <c r="L2841" s="16">
        <f>IF(AND(G2841&gt;0,H2841&gt;0),G2841/H2841,"")</f>
        <v/>
      </c>
    </row>
    <row r="2842">
      <c r="A2842" s="4" t="inlineStr">
        <is>
          <t>324</t>
        </is>
      </c>
      <c r="B2842" s="4" t="n">
        <v>3</v>
      </c>
      <c r="C2842" s="4" t="inlineStr">
        <is>
          <t>elk</t>
        </is>
      </c>
      <c r="D2842" s="4" t="n">
        <v>2011</v>
      </c>
      <c r="E2842" s="13" t="inlineStr">
        <is>
          <t>General</t>
        </is>
      </c>
      <c r="F2842" s="5" t="n">
        <v>1280</v>
      </c>
      <c r="G2842" s="5" t="n">
        <v>7429</v>
      </c>
      <c r="H2842" s="5" t="n">
        <v>262</v>
      </c>
      <c r="I2842" s="5" t="n">
        <v>100</v>
      </c>
      <c r="J2842" s="5" t="n">
        <v>142</v>
      </c>
      <c r="K2842" s="10">
        <f>IF(F2842&gt;0,H2842/F2842,"")</f>
        <v/>
      </c>
      <c r="L2842" s="16">
        <f>IF(AND(G2842&gt;0,H2842&gt;0),G2842/H2842,"")</f>
        <v/>
      </c>
    </row>
    <row r="2843">
      <c r="A2843" s="4" t="inlineStr">
        <is>
          <t>324</t>
        </is>
      </c>
      <c r="B2843" s="4" t="n">
        <v>3</v>
      </c>
      <c r="C2843" s="4" t="inlineStr">
        <is>
          <t>elk</t>
        </is>
      </c>
      <c r="D2843" s="4" t="n">
        <v>2012</v>
      </c>
      <c r="E2843" s="13" t="inlineStr">
        <is>
          <t>General</t>
        </is>
      </c>
      <c r="F2843" s="5" t="n">
        <v>1165</v>
      </c>
      <c r="G2843" s="5" t="n">
        <v>6784</v>
      </c>
      <c r="H2843" s="5" t="n">
        <v>229</v>
      </c>
      <c r="I2843" s="5" t="n">
        <v>139</v>
      </c>
      <c r="J2843" s="5" t="n">
        <v>84</v>
      </c>
      <c r="K2843" s="10">
        <f>IF(F2843&gt;0,H2843/F2843,"")</f>
        <v/>
      </c>
      <c r="L2843" s="16">
        <f>IF(AND(G2843&gt;0,H2843&gt;0),G2843/H2843,"")</f>
        <v/>
      </c>
    </row>
    <row r="2844">
      <c r="A2844" s="4" t="inlineStr">
        <is>
          <t>324</t>
        </is>
      </c>
      <c r="B2844" s="4" t="n">
        <v>3</v>
      </c>
      <c r="C2844" s="4" t="inlineStr">
        <is>
          <t>elk</t>
        </is>
      </c>
      <c r="D2844" s="4" t="n">
        <v>2013</v>
      </c>
      <c r="E2844" s="13" t="inlineStr">
        <is>
          <t>General</t>
        </is>
      </c>
      <c r="F2844" s="5" t="n"/>
      <c r="G2844" s="5" t="n"/>
      <c r="H2844" s="5" t="n">
        <v>176</v>
      </c>
      <c r="I2844" s="5" t="n">
        <v>98</v>
      </c>
      <c r="J2844" s="5" t="n">
        <v>78</v>
      </c>
      <c r="K2844" s="10">
        <f>IF(F2844&gt;0,H2844/F2844,"")</f>
        <v/>
      </c>
      <c r="L2844" s="16">
        <f>IF(AND(G2844&gt;0,H2844&gt;0),G2844/H2844,"")</f>
        <v/>
      </c>
    </row>
    <row r="2845">
      <c r="A2845" s="4" t="inlineStr">
        <is>
          <t>324</t>
        </is>
      </c>
      <c r="B2845" s="4" t="n">
        <v>3</v>
      </c>
      <c r="C2845" s="4" t="inlineStr">
        <is>
          <t>elk</t>
        </is>
      </c>
      <c r="D2845" s="4" t="n">
        <v>2014</v>
      </c>
      <c r="E2845" s="13" t="inlineStr">
        <is>
          <t>General</t>
        </is>
      </c>
      <c r="F2845" s="5" t="n">
        <v>1727</v>
      </c>
      <c r="G2845" s="5" t="n">
        <v>10514</v>
      </c>
      <c r="H2845" s="5" t="n">
        <v>407</v>
      </c>
      <c r="I2845" s="5" t="n">
        <v>178</v>
      </c>
      <c r="J2845" s="5" t="n">
        <v>203</v>
      </c>
      <c r="K2845" s="10">
        <f>IF(F2845&gt;0,H2845/F2845,"")</f>
        <v/>
      </c>
      <c r="L2845" s="16">
        <f>IF(AND(G2845&gt;0,H2845&gt;0),G2845/H2845,"")</f>
        <v/>
      </c>
    </row>
    <row r="2846">
      <c r="A2846" s="4" t="inlineStr">
        <is>
          <t>324</t>
        </is>
      </c>
      <c r="B2846" s="4" t="n">
        <v>3</v>
      </c>
      <c r="C2846" s="4" t="inlineStr">
        <is>
          <t>elk</t>
        </is>
      </c>
      <c r="D2846" s="4" t="n">
        <v>2015</v>
      </c>
      <c r="E2846" s="13" t="inlineStr">
        <is>
          <t>General</t>
        </is>
      </c>
      <c r="F2846" s="5" t="n">
        <v>1913</v>
      </c>
      <c r="G2846" s="5" t="n">
        <v>12326</v>
      </c>
      <c r="H2846" s="5" t="n">
        <v>574</v>
      </c>
      <c r="I2846" s="5" t="n">
        <v>215</v>
      </c>
      <c r="J2846" s="5" t="n">
        <v>330</v>
      </c>
      <c r="K2846" s="10">
        <f>IF(F2846&gt;0,H2846/F2846,"")</f>
        <v/>
      </c>
      <c r="L2846" s="16">
        <f>IF(AND(G2846&gt;0,H2846&gt;0),G2846/H2846,"")</f>
        <v/>
      </c>
    </row>
    <row r="2847">
      <c r="A2847" s="4" t="inlineStr">
        <is>
          <t>324</t>
        </is>
      </c>
      <c r="B2847" s="4" t="n">
        <v>3</v>
      </c>
      <c r="C2847" s="4" t="inlineStr">
        <is>
          <t>elk</t>
        </is>
      </c>
      <c r="D2847" s="4" t="n">
        <v>2016</v>
      </c>
      <c r="E2847" s="13" t="inlineStr">
        <is>
          <t>General</t>
        </is>
      </c>
      <c r="F2847" s="5" t="n">
        <v>1717</v>
      </c>
      <c r="G2847" s="5" t="n">
        <v>10971</v>
      </c>
      <c r="H2847" s="5" t="n">
        <v>262</v>
      </c>
      <c r="I2847" s="5" t="n">
        <v>126</v>
      </c>
      <c r="J2847" s="5" t="n">
        <v>129</v>
      </c>
      <c r="K2847" s="10">
        <f>IF(F2847&gt;0,H2847/F2847,"")</f>
        <v/>
      </c>
      <c r="L2847" s="16">
        <f>IF(AND(G2847&gt;0,H2847&gt;0),G2847/H2847,"")</f>
        <v/>
      </c>
    </row>
    <row r="2848">
      <c r="A2848" s="4" t="inlineStr">
        <is>
          <t>324</t>
        </is>
      </c>
      <c r="B2848" s="4" t="n">
        <v>3</v>
      </c>
      <c r="C2848" s="4" t="inlineStr">
        <is>
          <t>elk</t>
        </is>
      </c>
      <c r="D2848" s="4" t="n">
        <v>2017</v>
      </c>
      <c r="E2848" s="13" t="inlineStr">
        <is>
          <t>General</t>
        </is>
      </c>
      <c r="F2848" s="5" t="n"/>
      <c r="G2848" s="5" t="n"/>
      <c r="H2848" s="5" t="n">
        <v>328</v>
      </c>
      <c r="I2848" s="5" t="n">
        <v>158</v>
      </c>
      <c r="J2848" s="5" t="n">
        <v>165</v>
      </c>
      <c r="K2848" s="10">
        <f>IF(F2848&gt;0,H2848/F2848,"")</f>
        <v/>
      </c>
      <c r="L2848" s="16">
        <f>IF(AND(G2848&gt;0,H2848&gt;0),G2848/H2848,"")</f>
        <v/>
      </c>
    </row>
    <row r="2849">
      <c r="A2849" s="4" t="inlineStr">
        <is>
          <t>324</t>
        </is>
      </c>
      <c r="B2849" s="4" t="n">
        <v>3</v>
      </c>
      <c r="C2849" s="4" t="inlineStr">
        <is>
          <t>elk</t>
        </is>
      </c>
      <c r="D2849" s="4" t="n">
        <v>2018</v>
      </c>
      <c r="E2849" s="13" t="inlineStr">
        <is>
          <t>General</t>
        </is>
      </c>
      <c r="F2849" s="5" t="n">
        <v>1463</v>
      </c>
      <c r="G2849" s="5" t="n">
        <v>9723</v>
      </c>
      <c r="H2849" s="5" t="n">
        <v>281</v>
      </c>
      <c r="I2849" s="5" t="n">
        <v>137</v>
      </c>
      <c r="J2849" s="5" t="n">
        <v>133</v>
      </c>
      <c r="K2849" s="10">
        <f>IF(F2849&gt;0,H2849/F2849,"")</f>
        <v/>
      </c>
      <c r="L2849" s="16">
        <f>IF(AND(G2849&gt;0,H2849&gt;0),G2849/H2849,"")</f>
        <v/>
      </c>
    </row>
    <row r="2850">
      <c r="A2850" s="4" t="inlineStr">
        <is>
          <t>324</t>
        </is>
      </c>
      <c r="B2850" s="4" t="n">
        <v>3</v>
      </c>
      <c r="C2850" s="4" t="inlineStr">
        <is>
          <t>elk</t>
        </is>
      </c>
      <c r="D2850" s="4" t="n">
        <v>2019</v>
      </c>
      <c r="E2850" s="13" t="inlineStr">
        <is>
          <t>General</t>
        </is>
      </c>
      <c r="F2850" s="5" t="n"/>
      <c r="G2850" s="5" t="n"/>
      <c r="H2850" s="5" t="n">
        <v>266</v>
      </c>
      <c r="I2850" s="5" t="n">
        <v>167</v>
      </c>
      <c r="J2850" s="5" t="n">
        <v>96</v>
      </c>
      <c r="K2850" s="10">
        <f>IF(F2850&gt;0,H2850/F2850,"")</f>
        <v/>
      </c>
      <c r="L2850" s="16">
        <f>IF(AND(G2850&gt;0,H2850&gt;0),G2850/H2850,"")</f>
        <v/>
      </c>
    </row>
    <row r="2851">
      <c r="A2851" s="4" t="inlineStr">
        <is>
          <t>324</t>
        </is>
      </c>
      <c r="B2851" s="4" t="n">
        <v>3</v>
      </c>
      <c r="C2851" s="4" t="inlineStr">
        <is>
          <t>elk</t>
        </is>
      </c>
      <c r="D2851" s="4" t="n">
        <v>2020</v>
      </c>
      <c r="E2851" s="13" t="inlineStr">
        <is>
          <t>General</t>
        </is>
      </c>
      <c r="F2851" s="5" t="n">
        <v>1488</v>
      </c>
      <c r="G2851" s="5" t="n">
        <v>10868</v>
      </c>
      <c r="H2851" s="5" t="n">
        <v>400</v>
      </c>
      <c r="I2851" s="5" t="n">
        <v>204</v>
      </c>
      <c r="J2851" s="5" t="n">
        <v>189</v>
      </c>
      <c r="K2851" s="10">
        <f>IF(F2851&gt;0,H2851/F2851,"")</f>
        <v/>
      </c>
      <c r="L2851" s="16">
        <f>IF(AND(G2851&gt;0,H2851&gt;0),G2851/H2851,"")</f>
        <v/>
      </c>
    </row>
    <row r="2852">
      <c r="A2852" s="4" t="inlineStr">
        <is>
          <t>324</t>
        </is>
      </c>
      <c r="B2852" s="4" t="n">
        <v>3</v>
      </c>
      <c r="C2852" s="4" t="inlineStr">
        <is>
          <t>elk</t>
        </is>
      </c>
      <c r="D2852" s="4" t="n">
        <v>2021</v>
      </c>
      <c r="E2852" s="13" t="inlineStr">
        <is>
          <t>General</t>
        </is>
      </c>
      <c r="F2852" s="5" t="n"/>
      <c r="G2852" s="5" t="n"/>
      <c r="H2852" s="5" t="n">
        <v>475</v>
      </c>
      <c r="I2852" s="5" t="n">
        <v>223</v>
      </c>
      <c r="J2852" s="5" t="n">
        <v>233</v>
      </c>
      <c r="K2852" s="10">
        <f>IF(F2852&gt;0,H2852/F2852,"")</f>
        <v/>
      </c>
      <c r="L2852" s="16">
        <f>IF(AND(G2852&gt;0,H2852&gt;0),G2852/H2852,"")</f>
        <v/>
      </c>
    </row>
    <row r="2853">
      <c r="A2853" s="4" t="inlineStr">
        <is>
          <t>324</t>
        </is>
      </c>
      <c r="B2853" s="4" t="n">
        <v>3</v>
      </c>
      <c r="C2853" s="4" t="inlineStr">
        <is>
          <t>elk</t>
        </is>
      </c>
      <c r="D2853" s="4" t="n">
        <v>2024</v>
      </c>
      <c r="E2853" s="13" t="inlineStr">
        <is>
          <t>General</t>
        </is>
      </c>
      <c r="F2853" s="5" t="n">
        <v>2475</v>
      </c>
      <c r="G2853" s="5" t="n">
        <v>16754</v>
      </c>
      <c r="H2853" s="5" t="n">
        <v>614</v>
      </c>
      <c r="I2853" s="5" t="n">
        <v>252</v>
      </c>
      <c r="J2853" s="5" t="n">
        <v>339</v>
      </c>
      <c r="K2853" s="10">
        <f>IF(F2853&gt;0,H2853/F2853,"")</f>
        <v/>
      </c>
      <c r="L2853" s="16">
        <f>IF(AND(G2853&gt;0,H2853&gt;0),G2853/H2853,"")</f>
        <v/>
      </c>
    </row>
    <row r="2854">
      <c r="A2854" s="4" t="inlineStr">
        <is>
          <t>324</t>
        </is>
      </c>
      <c r="B2854" s="4" t="n">
        <v>3</v>
      </c>
      <c r="C2854" s="4" t="inlineStr">
        <is>
          <t>elk</t>
        </is>
      </c>
      <c r="D2854" s="4" t="n">
        <v>2025</v>
      </c>
      <c r="E2854" s="13" t="inlineStr">
        <is>
          <t>General</t>
        </is>
      </c>
      <c r="F2854" s="5" t="n"/>
      <c r="G2854" s="5" t="n"/>
      <c r="H2854" s="5" t="n">
        <v>416</v>
      </c>
      <c r="I2854" s="5" t="n">
        <v>232</v>
      </c>
      <c r="J2854" s="5" t="n">
        <v>185</v>
      </c>
      <c r="K2854" s="10">
        <f>IF(F2854&gt;0,H2854/F2854,"")</f>
        <v/>
      </c>
      <c r="L2854" s="16">
        <f>IF(AND(G2854&gt;0,H2854&gt;0),G2854/H2854,"")</f>
        <v/>
      </c>
    </row>
    <row r="2855">
      <c r="A2855" s="4" t="inlineStr">
        <is>
          <t>325</t>
        </is>
      </c>
      <c r="B2855" s="4" t="n">
        <v>3</v>
      </c>
      <c r="C2855" s="4" t="inlineStr">
        <is>
          <t>elk</t>
        </is>
      </c>
      <c r="D2855" s="4" t="n">
        <v>2004</v>
      </c>
      <c r="E2855" s="4" t="inlineStr"/>
      <c r="F2855" s="5" t="n">
        <v>1813</v>
      </c>
      <c r="G2855" s="5" t="n">
        <v>8438</v>
      </c>
      <c r="H2855" s="5" t="n">
        <v>338</v>
      </c>
      <c r="I2855" s="5" t="n">
        <v>101</v>
      </c>
      <c r="J2855" s="5" t="n">
        <v>199</v>
      </c>
      <c r="K2855" s="10">
        <f>IF(F2855&gt;0,H2855/F2855,"")</f>
        <v/>
      </c>
      <c r="L2855" s="16">
        <f>IF(AND(G2855&gt;0,H2855&gt;0),G2855/H2855,"")</f>
        <v/>
      </c>
    </row>
    <row r="2856">
      <c r="A2856" s="4" t="inlineStr">
        <is>
          <t>325</t>
        </is>
      </c>
      <c r="B2856" s="4" t="n">
        <v>3</v>
      </c>
      <c r="C2856" s="4" t="inlineStr">
        <is>
          <t>elk</t>
        </is>
      </c>
      <c r="D2856" s="4" t="n">
        <v>2005</v>
      </c>
      <c r="E2856" s="4" t="inlineStr"/>
      <c r="F2856" s="5" t="n">
        <v>1186</v>
      </c>
      <c r="G2856" s="5" t="n">
        <v>6293</v>
      </c>
      <c r="H2856" s="5" t="n">
        <v>251</v>
      </c>
      <c r="I2856" s="5" t="n">
        <v>136</v>
      </c>
      <c r="J2856" s="5" t="n">
        <v>100</v>
      </c>
      <c r="K2856" s="10">
        <f>IF(F2856&gt;0,H2856/F2856,"")</f>
        <v/>
      </c>
      <c r="L2856" s="16">
        <f>IF(AND(G2856&gt;0,H2856&gt;0),G2856/H2856,"")</f>
        <v/>
      </c>
    </row>
    <row r="2857">
      <c r="A2857" s="4" t="inlineStr">
        <is>
          <t>325</t>
        </is>
      </c>
      <c r="B2857" s="4" t="n">
        <v>3</v>
      </c>
      <c r="C2857" s="4" t="inlineStr">
        <is>
          <t>elk</t>
        </is>
      </c>
      <c r="D2857" s="4" t="n">
        <v>2006</v>
      </c>
      <c r="E2857" s="4" t="inlineStr"/>
      <c r="F2857" s="5" t="n">
        <v>1270</v>
      </c>
      <c r="G2857" s="5" t="n">
        <v>6311</v>
      </c>
      <c r="H2857" s="5" t="n">
        <v>245</v>
      </c>
      <c r="I2857" s="5" t="n">
        <v>118</v>
      </c>
      <c r="J2857" s="5" t="n">
        <v>97</v>
      </c>
      <c r="K2857" s="10">
        <f>IF(F2857&gt;0,H2857/F2857,"")</f>
        <v/>
      </c>
      <c r="L2857" s="16">
        <f>IF(AND(G2857&gt;0,H2857&gt;0),G2857/H2857,"")</f>
        <v/>
      </c>
    </row>
    <row r="2858">
      <c r="A2858" s="4" t="inlineStr">
        <is>
          <t>325</t>
        </is>
      </c>
      <c r="B2858" s="4" t="n">
        <v>3</v>
      </c>
      <c r="C2858" s="4" t="inlineStr">
        <is>
          <t>elk</t>
        </is>
      </c>
      <c r="D2858" s="4" t="n">
        <v>2007</v>
      </c>
      <c r="E2858" s="4" t="inlineStr"/>
      <c r="F2858" s="5" t="n">
        <v>1664</v>
      </c>
      <c r="G2858" s="5" t="n">
        <v>8814</v>
      </c>
      <c r="H2858" s="5" t="n">
        <v>437</v>
      </c>
      <c r="I2858" s="5" t="n">
        <v>208</v>
      </c>
      <c r="J2858" s="5" t="n">
        <v>211</v>
      </c>
      <c r="K2858" s="10">
        <f>IF(F2858&gt;0,H2858/F2858,"")</f>
        <v/>
      </c>
      <c r="L2858" s="16">
        <f>IF(AND(G2858&gt;0,H2858&gt;0),G2858/H2858,"")</f>
        <v/>
      </c>
    </row>
    <row r="2859">
      <c r="A2859" s="4" t="inlineStr">
        <is>
          <t>325</t>
        </is>
      </c>
      <c r="B2859" s="4" t="n">
        <v>3</v>
      </c>
      <c r="C2859" s="4" t="inlineStr">
        <is>
          <t>elk</t>
        </is>
      </c>
      <c r="D2859" s="4" t="n">
        <v>2008</v>
      </c>
      <c r="E2859" s="4" t="inlineStr"/>
      <c r="F2859" s="5" t="n">
        <v>2046</v>
      </c>
      <c r="G2859" s="5" t="n">
        <v>10853</v>
      </c>
      <c r="H2859" s="5" t="n">
        <v>427</v>
      </c>
      <c r="I2859" s="5" t="n">
        <v>139</v>
      </c>
      <c r="J2859" s="5" t="n">
        <v>264</v>
      </c>
      <c r="K2859" s="10">
        <f>IF(F2859&gt;0,H2859/F2859,"")</f>
        <v/>
      </c>
      <c r="L2859" s="16">
        <f>IF(AND(G2859&gt;0,H2859&gt;0),G2859/H2859,"")</f>
        <v/>
      </c>
    </row>
    <row r="2860">
      <c r="A2860" s="4" t="inlineStr">
        <is>
          <t>325</t>
        </is>
      </c>
      <c r="B2860" s="4" t="n">
        <v>3</v>
      </c>
      <c r="C2860" s="4" t="inlineStr">
        <is>
          <t>elk</t>
        </is>
      </c>
      <c r="D2860" s="4" t="n">
        <v>2009</v>
      </c>
      <c r="E2860" s="4" t="inlineStr"/>
      <c r="F2860" s="5" t="n">
        <v>1752</v>
      </c>
      <c r="G2860" s="5" t="n">
        <v>8943</v>
      </c>
      <c r="H2860" s="5" t="n">
        <v>317</v>
      </c>
      <c r="I2860" s="5" t="n">
        <v>111</v>
      </c>
      <c r="J2860" s="5" t="n">
        <v>174</v>
      </c>
      <c r="K2860" s="10">
        <f>IF(F2860&gt;0,H2860/F2860,"")</f>
        <v/>
      </c>
      <c r="L2860" s="16">
        <f>IF(AND(G2860&gt;0,H2860&gt;0),G2860/H2860,"")</f>
        <v/>
      </c>
    </row>
    <row r="2861">
      <c r="A2861" s="4" t="inlineStr">
        <is>
          <t>325</t>
        </is>
      </c>
      <c r="B2861" s="4" t="n">
        <v>3</v>
      </c>
      <c r="C2861" s="4" t="inlineStr">
        <is>
          <t>elk</t>
        </is>
      </c>
      <c r="D2861" s="4" t="n">
        <v>2010</v>
      </c>
      <c r="E2861" s="4" t="inlineStr"/>
      <c r="F2861" s="5" t="n">
        <v>1310</v>
      </c>
      <c r="G2861" s="5" t="n">
        <v>6816</v>
      </c>
      <c r="H2861" s="5" t="n">
        <v>212</v>
      </c>
      <c r="I2861" s="5" t="n">
        <v>141</v>
      </c>
      <c r="J2861" s="5" t="n">
        <v>58</v>
      </c>
      <c r="K2861" s="10">
        <f>IF(F2861&gt;0,H2861/F2861,"")</f>
        <v/>
      </c>
      <c r="L2861" s="16">
        <f>IF(AND(G2861&gt;0,H2861&gt;0),G2861/H2861,"")</f>
        <v/>
      </c>
    </row>
    <row r="2862">
      <c r="A2862" s="4" t="inlineStr">
        <is>
          <t>325</t>
        </is>
      </c>
      <c r="B2862" s="4" t="n">
        <v>3</v>
      </c>
      <c r="C2862" s="4" t="inlineStr">
        <is>
          <t>elk</t>
        </is>
      </c>
      <c r="D2862" s="4" t="n">
        <v>2011</v>
      </c>
      <c r="E2862" s="4" t="inlineStr"/>
      <c r="F2862" s="5" t="n">
        <v>1241</v>
      </c>
      <c r="G2862" s="5" t="n">
        <v>6476</v>
      </c>
      <c r="H2862" s="5" t="n">
        <v>244</v>
      </c>
      <c r="I2862" s="5" t="n">
        <v>121</v>
      </c>
      <c r="J2862" s="5" t="n">
        <v>118</v>
      </c>
      <c r="K2862" s="10">
        <f>IF(F2862&gt;0,H2862/F2862,"")</f>
        <v/>
      </c>
      <c r="L2862" s="16">
        <f>IF(AND(G2862&gt;0,H2862&gt;0),G2862/H2862,"")</f>
        <v/>
      </c>
    </row>
    <row r="2863">
      <c r="A2863" s="4" t="inlineStr">
        <is>
          <t>325</t>
        </is>
      </c>
      <c r="B2863" s="4" t="n">
        <v>3</v>
      </c>
      <c r="C2863" s="4" t="inlineStr">
        <is>
          <t>elk</t>
        </is>
      </c>
      <c r="D2863" s="4" t="n">
        <v>2012</v>
      </c>
      <c r="E2863" s="4" t="inlineStr"/>
      <c r="F2863" s="5" t="n">
        <v>1268</v>
      </c>
      <c r="G2863" s="5" t="n">
        <v>6185</v>
      </c>
      <c r="H2863" s="5" t="n">
        <v>281</v>
      </c>
      <c r="I2863" s="5" t="n">
        <v>198</v>
      </c>
      <c r="J2863" s="5" t="n">
        <v>72</v>
      </c>
      <c r="K2863" s="10">
        <f>IF(F2863&gt;0,H2863/F2863,"")</f>
        <v/>
      </c>
      <c r="L2863" s="16">
        <f>IF(AND(G2863&gt;0,H2863&gt;0),G2863/H2863,"")</f>
        <v/>
      </c>
    </row>
    <row r="2864">
      <c r="A2864" s="4" t="inlineStr">
        <is>
          <t>325</t>
        </is>
      </c>
      <c r="B2864" s="4" t="n">
        <v>3</v>
      </c>
      <c r="C2864" s="4" t="inlineStr">
        <is>
          <t>elk</t>
        </is>
      </c>
      <c r="D2864" s="4" t="n">
        <v>2013</v>
      </c>
      <c r="E2864" s="4" t="inlineStr"/>
      <c r="F2864" s="5" t="n"/>
      <c r="G2864" s="5" t="n"/>
      <c r="H2864" s="5" t="n">
        <v>187</v>
      </c>
      <c r="I2864" s="5" t="n">
        <v>144</v>
      </c>
      <c r="J2864" s="5" t="n">
        <v>43</v>
      </c>
      <c r="K2864" s="10">
        <f>IF(F2864&gt;0,H2864/F2864,"")</f>
        <v/>
      </c>
      <c r="L2864" s="16">
        <f>IF(AND(G2864&gt;0,H2864&gt;0),G2864/H2864,"")</f>
        <v/>
      </c>
    </row>
    <row r="2865">
      <c r="A2865" s="4" t="inlineStr">
        <is>
          <t>325</t>
        </is>
      </c>
      <c r="B2865" s="4" t="n">
        <v>3</v>
      </c>
      <c r="C2865" s="4" t="inlineStr">
        <is>
          <t>elk</t>
        </is>
      </c>
      <c r="D2865" s="4" t="n">
        <v>2014</v>
      </c>
      <c r="E2865" s="4" t="inlineStr"/>
      <c r="F2865" s="5" t="n">
        <v>2119</v>
      </c>
      <c r="G2865" s="5" t="n">
        <v>11332</v>
      </c>
      <c r="H2865" s="5" t="n">
        <v>594</v>
      </c>
      <c r="I2865" s="5" t="n">
        <v>262</v>
      </c>
      <c r="J2865" s="5" t="n">
        <v>305</v>
      </c>
      <c r="K2865" s="10">
        <f>IF(F2865&gt;0,H2865/F2865,"")</f>
        <v/>
      </c>
      <c r="L2865" s="16">
        <f>IF(AND(G2865&gt;0,H2865&gt;0),G2865/H2865,"")</f>
        <v/>
      </c>
    </row>
    <row r="2866">
      <c r="A2866" s="4" t="inlineStr">
        <is>
          <t>325</t>
        </is>
      </c>
      <c r="B2866" s="4" t="n">
        <v>3</v>
      </c>
      <c r="C2866" s="4" t="inlineStr">
        <is>
          <t>elk</t>
        </is>
      </c>
      <c r="D2866" s="4" t="n">
        <v>2015</v>
      </c>
      <c r="E2866" s="4" t="inlineStr"/>
      <c r="F2866" s="5" t="n">
        <v>2549</v>
      </c>
      <c r="G2866" s="5" t="n">
        <v>14063</v>
      </c>
      <c r="H2866" s="5" t="n">
        <v>970</v>
      </c>
      <c r="I2866" s="5" t="n">
        <v>359</v>
      </c>
      <c r="J2866" s="5" t="n">
        <v>558</v>
      </c>
      <c r="K2866" s="10">
        <f>IF(F2866&gt;0,H2866/F2866,"")</f>
        <v/>
      </c>
      <c r="L2866" s="16">
        <f>IF(AND(G2866&gt;0,H2866&gt;0),G2866/H2866,"")</f>
        <v/>
      </c>
    </row>
    <row r="2867">
      <c r="A2867" s="4" t="inlineStr">
        <is>
          <t>325</t>
        </is>
      </c>
      <c r="B2867" s="4" t="n">
        <v>3</v>
      </c>
      <c r="C2867" s="4" t="inlineStr">
        <is>
          <t>elk</t>
        </is>
      </c>
      <c r="D2867" s="4" t="n">
        <v>2016</v>
      </c>
      <c r="E2867" s="4" t="inlineStr"/>
      <c r="F2867" s="5" t="n">
        <v>2462</v>
      </c>
      <c r="G2867" s="5" t="n">
        <v>14153</v>
      </c>
      <c r="H2867" s="5" t="n">
        <v>592</v>
      </c>
      <c r="I2867" s="5" t="n">
        <v>214</v>
      </c>
      <c r="J2867" s="5" t="n">
        <v>355</v>
      </c>
      <c r="K2867" s="10">
        <f>IF(F2867&gt;0,H2867/F2867,"")</f>
        <v/>
      </c>
      <c r="L2867" s="16">
        <f>IF(AND(G2867&gt;0,H2867&gt;0),G2867/H2867,"")</f>
        <v/>
      </c>
    </row>
    <row r="2868">
      <c r="A2868" s="4" t="inlineStr">
        <is>
          <t>325</t>
        </is>
      </c>
      <c r="B2868" s="4" t="n">
        <v>3</v>
      </c>
      <c r="C2868" s="4" t="inlineStr">
        <is>
          <t>elk</t>
        </is>
      </c>
      <c r="D2868" s="4" t="n">
        <v>2017</v>
      </c>
      <c r="E2868" s="4" t="inlineStr"/>
      <c r="F2868" s="5" t="n"/>
      <c r="G2868" s="5" t="n"/>
      <c r="H2868" s="5" t="n">
        <v>491</v>
      </c>
      <c r="I2868" s="5" t="n">
        <v>190</v>
      </c>
      <c r="J2868" s="5" t="n">
        <v>272</v>
      </c>
      <c r="K2868" s="10">
        <f>IF(F2868&gt;0,H2868/F2868,"")</f>
        <v/>
      </c>
      <c r="L2868" s="16">
        <f>IF(AND(G2868&gt;0,H2868&gt;0),G2868/H2868,"")</f>
        <v/>
      </c>
    </row>
    <row r="2869">
      <c r="A2869" s="4" t="inlineStr">
        <is>
          <t>325</t>
        </is>
      </c>
      <c r="B2869" s="4" t="n">
        <v>3</v>
      </c>
      <c r="C2869" s="4" t="inlineStr">
        <is>
          <t>elk</t>
        </is>
      </c>
      <c r="D2869" s="4" t="n">
        <v>2018</v>
      </c>
      <c r="E2869" s="4" t="inlineStr"/>
      <c r="F2869" s="5" t="n">
        <v>1992</v>
      </c>
      <c r="G2869" s="5" t="n">
        <v>11058</v>
      </c>
      <c r="H2869" s="5" t="n">
        <v>444</v>
      </c>
      <c r="I2869" s="5" t="n">
        <v>207</v>
      </c>
      <c r="J2869" s="5" t="n">
        <v>209</v>
      </c>
      <c r="K2869" s="10">
        <f>IF(F2869&gt;0,H2869/F2869,"")</f>
        <v/>
      </c>
      <c r="L2869" s="16">
        <f>IF(AND(G2869&gt;0,H2869&gt;0),G2869/H2869,"")</f>
        <v/>
      </c>
    </row>
    <row r="2870">
      <c r="A2870" s="4" t="inlineStr">
        <is>
          <t>325</t>
        </is>
      </c>
      <c r="B2870" s="4" t="n">
        <v>3</v>
      </c>
      <c r="C2870" s="4" t="inlineStr">
        <is>
          <t>elk</t>
        </is>
      </c>
      <c r="D2870" s="4" t="n">
        <v>2019</v>
      </c>
      <c r="E2870" s="4" t="inlineStr"/>
      <c r="F2870" s="5" t="n"/>
      <c r="G2870" s="5" t="n"/>
      <c r="H2870" s="5" t="n">
        <v>418</v>
      </c>
      <c r="I2870" s="5" t="n">
        <v>196</v>
      </c>
      <c r="J2870" s="5" t="n">
        <v>204</v>
      </c>
      <c r="K2870" s="10">
        <f>IF(F2870&gt;0,H2870/F2870,"")</f>
        <v/>
      </c>
      <c r="L2870" s="16">
        <f>IF(AND(G2870&gt;0,H2870&gt;0),G2870/H2870,"")</f>
        <v/>
      </c>
    </row>
    <row r="2871">
      <c r="A2871" s="4" t="inlineStr">
        <is>
          <t>325</t>
        </is>
      </c>
      <c r="B2871" s="4" t="n">
        <v>3</v>
      </c>
      <c r="C2871" s="4" t="inlineStr">
        <is>
          <t>elk</t>
        </is>
      </c>
      <c r="D2871" s="4" t="n">
        <v>2020</v>
      </c>
      <c r="E2871" s="4" t="inlineStr"/>
      <c r="F2871" s="5" t="n">
        <v>1948</v>
      </c>
      <c r="G2871" s="5" t="n">
        <v>13044</v>
      </c>
      <c r="H2871" s="5" t="n">
        <v>434</v>
      </c>
      <c r="I2871" s="5" t="n">
        <v>198</v>
      </c>
      <c r="J2871" s="5" t="n">
        <v>222</v>
      </c>
      <c r="K2871" s="10">
        <f>IF(F2871&gt;0,H2871/F2871,"")</f>
        <v/>
      </c>
      <c r="L2871" s="16">
        <f>IF(AND(G2871&gt;0,H2871&gt;0),G2871/H2871,"")</f>
        <v/>
      </c>
    </row>
    <row r="2872">
      <c r="A2872" s="4" t="inlineStr">
        <is>
          <t>325</t>
        </is>
      </c>
      <c r="B2872" s="4" t="n">
        <v>3</v>
      </c>
      <c r="C2872" s="4" t="inlineStr">
        <is>
          <t>elk</t>
        </is>
      </c>
      <c r="D2872" s="4" t="n">
        <v>2021</v>
      </c>
      <c r="E2872" s="4" t="inlineStr"/>
      <c r="F2872" s="5" t="n"/>
      <c r="G2872" s="5" t="n"/>
      <c r="H2872" s="5" t="n">
        <v>623</v>
      </c>
      <c r="I2872" s="5" t="n">
        <v>240</v>
      </c>
      <c r="J2872" s="5" t="n">
        <v>357</v>
      </c>
      <c r="K2872" s="10">
        <f>IF(F2872&gt;0,H2872/F2872,"")</f>
        <v/>
      </c>
      <c r="L2872" s="16">
        <f>IF(AND(G2872&gt;0,H2872&gt;0),G2872/H2872,"")</f>
        <v/>
      </c>
    </row>
    <row r="2873">
      <c r="A2873" s="4" t="inlineStr">
        <is>
          <t>326</t>
        </is>
      </c>
      <c r="B2873" s="4" t="n">
        <v>3</v>
      </c>
      <c r="C2873" s="4" t="inlineStr">
        <is>
          <t>elk</t>
        </is>
      </c>
      <c r="D2873" s="4" t="n">
        <v>2004</v>
      </c>
      <c r="E2873" s="4" t="inlineStr"/>
      <c r="F2873" s="5" t="n">
        <v>1424</v>
      </c>
      <c r="G2873" s="5" t="n">
        <v>6127</v>
      </c>
      <c r="H2873" s="5" t="n">
        <v>206</v>
      </c>
      <c r="I2873" s="5" t="n">
        <v>57</v>
      </c>
      <c r="J2873" s="5" t="n">
        <v>127</v>
      </c>
      <c r="K2873" s="10">
        <f>IF(F2873&gt;0,H2873/F2873,"")</f>
        <v/>
      </c>
      <c r="L2873" s="16">
        <f>IF(AND(G2873&gt;0,H2873&gt;0),G2873/H2873,"")</f>
        <v/>
      </c>
    </row>
    <row r="2874">
      <c r="A2874" s="4" t="inlineStr">
        <is>
          <t>326</t>
        </is>
      </c>
      <c r="B2874" s="4" t="n">
        <v>3</v>
      </c>
      <c r="C2874" s="4" t="inlineStr">
        <is>
          <t>elk</t>
        </is>
      </c>
      <c r="D2874" s="4" t="n">
        <v>2005</v>
      </c>
      <c r="E2874" s="4" t="inlineStr"/>
      <c r="F2874" s="5" t="n">
        <v>791</v>
      </c>
      <c r="G2874" s="5" t="n">
        <v>3911</v>
      </c>
      <c r="H2874" s="5" t="n">
        <v>139</v>
      </c>
      <c r="I2874" s="5" t="n">
        <v>70</v>
      </c>
      <c r="J2874" s="5" t="n">
        <v>58</v>
      </c>
      <c r="K2874" s="10">
        <f>IF(F2874&gt;0,H2874/F2874,"")</f>
        <v/>
      </c>
      <c r="L2874" s="16">
        <f>IF(AND(G2874&gt;0,H2874&gt;0),G2874/H2874,"")</f>
        <v/>
      </c>
    </row>
    <row r="2875">
      <c r="A2875" s="4" t="inlineStr">
        <is>
          <t>326</t>
        </is>
      </c>
      <c r="B2875" s="4" t="n">
        <v>3</v>
      </c>
      <c r="C2875" s="4" t="inlineStr">
        <is>
          <t>elk</t>
        </is>
      </c>
      <c r="D2875" s="4" t="n">
        <v>2006</v>
      </c>
      <c r="E2875" s="4" t="inlineStr"/>
      <c r="F2875" s="5" t="n">
        <v>534</v>
      </c>
      <c r="G2875" s="5" t="n">
        <v>2668</v>
      </c>
      <c r="H2875" s="5" t="n">
        <v>92</v>
      </c>
      <c r="I2875" s="5" t="n">
        <v>48</v>
      </c>
      <c r="J2875" s="5" t="n">
        <v>41</v>
      </c>
      <c r="K2875" s="10">
        <f>IF(F2875&gt;0,H2875/F2875,"")</f>
        <v/>
      </c>
      <c r="L2875" s="16">
        <f>IF(AND(G2875&gt;0,H2875&gt;0),G2875/H2875,"")</f>
        <v/>
      </c>
    </row>
    <row r="2876">
      <c r="A2876" s="4" t="inlineStr">
        <is>
          <t>326</t>
        </is>
      </c>
      <c r="B2876" s="4" t="n">
        <v>3</v>
      </c>
      <c r="C2876" s="4" t="inlineStr">
        <is>
          <t>elk</t>
        </is>
      </c>
      <c r="D2876" s="4" t="n">
        <v>2007</v>
      </c>
      <c r="E2876" s="4" t="inlineStr"/>
      <c r="F2876" s="5" t="n">
        <v>721</v>
      </c>
      <c r="G2876" s="5" t="n">
        <v>3522</v>
      </c>
      <c r="H2876" s="5" t="n">
        <v>156</v>
      </c>
      <c r="I2876" s="5" t="n">
        <v>83</v>
      </c>
      <c r="J2876" s="5" t="n">
        <v>60</v>
      </c>
      <c r="K2876" s="10">
        <f>IF(F2876&gt;0,H2876/F2876,"")</f>
        <v/>
      </c>
      <c r="L2876" s="16">
        <f>IF(AND(G2876&gt;0,H2876&gt;0),G2876/H2876,"")</f>
        <v/>
      </c>
    </row>
    <row r="2877">
      <c r="A2877" s="4" t="inlineStr">
        <is>
          <t>326</t>
        </is>
      </c>
      <c r="B2877" s="4" t="n">
        <v>3</v>
      </c>
      <c r="C2877" s="4" t="inlineStr">
        <is>
          <t>elk</t>
        </is>
      </c>
      <c r="D2877" s="4" t="n">
        <v>2008</v>
      </c>
      <c r="E2877" s="4" t="inlineStr"/>
      <c r="F2877" s="5" t="n">
        <v>733</v>
      </c>
      <c r="G2877" s="5" t="n">
        <v>3884</v>
      </c>
      <c r="H2877" s="5" t="n">
        <v>127</v>
      </c>
      <c r="I2877" s="5" t="n">
        <v>41</v>
      </c>
      <c r="J2877" s="5" t="n">
        <v>78</v>
      </c>
      <c r="K2877" s="10">
        <f>IF(F2877&gt;0,H2877/F2877,"")</f>
        <v/>
      </c>
      <c r="L2877" s="16">
        <f>IF(AND(G2877&gt;0,H2877&gt;0),G2877/H2877,"")</f>
        <v/>
      </c>
    </row>
    <row r="2878">
      <c r="A2878" s="4" t="inlineStr">
        <is>
          <t>326</t>
        </is>
      </c>
      <c r="B2878" s="4" t="n">
        <v>3</v>
      </c>
      <c r="C2878" s="4" t="inlineStr">
        <is>
          <t>elk</t>
        </is>
      </c>
      <c r="D2878" s="4" t="n">
        <v>2009</v>
      </c>
      <c r="E2878" s="4" t="inlineStr"/>
      <c r="F2878" s="5" t="n">
        <v>475</v>
      </c>
      <c r="G2878" s="5" t="n">
        <v>2987</v>
      </c>
      <c r="H2878" s="5" t="n">
        <v>66</v>
      </c>
      <c r="I2878" s="5" t="n">
        <v>30</v>
      </c>
      <c r="J2878" s="5" t="n">
        <v>33</v>
      </c>
      <c r="K2878" s="10">
        <f>IF(F2878&gt;0,H2878/F2878,"")</f>
        <v/>
      </c>
      <c r="L2878" s="16">
        <f>IF(AND(G2878&gt;0,H2878&gt;0),G2878/H2878,"")</f>
        <v/>
      </c>
    </row>
    <row r="2879">
      <c r="A2879" s="4" t="inlineStr">
        <is>
          <t>326</t>
        </is>
      </c>
      <c r="B2879" s="4" t="n">
        <v>3</v>
      </c>
      <c r="C2879" s="4" t="inlineStr">
        <is>
          <t>elk</t>
        </is>
      </c>
      <c r="D2879" s="4" t="n">
        <v>2010</v>
      </c>
      <c r="E2879" s="4" t="inlineStr"/>
      <c r="F2879" s="5" t="n">
        <v>461</v>
      </c>
      <c r="G2879" s="5" t="n">
        <v>2353</v>
      </c>
      <c r="H2879" s="5" t="n">
        <v>46</v>
      </c>
      <c r="I2879" s="5" t="n">
        <v>38</v>
      </c>
      <c r="J2879" s="5" t="n">
        <v>8</v>
      </c>
      <c r="K2879" s="10">
        <f>IF(F2879&gt;0,H2879/F2879,"")</f>
        <v/>
      </c>
      <c r="L2879" s="16">
        <f>IF(AND(G2879&gt;0,H2879&gt;0),G2879/H2879,"")</f>
        <v/>
      </c>
    </row>
    <row r="2880">
      <c r="A2880" s="4" t="inlineStr">
        <is>
          <t>326</t>
        </is>
      </c>
      <c r="B2880" s="4" t="n">
        <v>3</v>
      </c>
      <c r="C2880" s="4" t="inlineStr">
        <is>
          <t>elk</t>
        </is>
      </c>
      <c r="D2880" s="4" t="n">
        <v>2011</v>
      </c>
      <c r="E2880" s="4" t="inlineStr"/>
      <c r="F2880" s="5" t="n">
        <v>462</v>
      </c>
      <c r="G2880" s="5" t="n">
        <v>2410</v>
      </c>
      <c r="H2880" s="5" t="n">
        <v>76</v>
      </c>
      <c r="I2880" s="5" t="n">
        <v>42</v>
      </c>
      <c r="J2880" s="5" t="n">
        <v>31</v>
      </c>
      <c r="K2880" s="10">
        <f>IF(F2880&gt;0,H2880/F2880,"")</f>
        <v/>
      </c>
      <c r="L2880" s="16">
        <f>IF(AND(G2880&gt;0,H2880&gt;0),G2880/H2880,"")</f>
        <v/>
      </c>
    </row>
    <row r="2881">
      <c r="A2881" s="4" t="inlineStr">
        <is>
          <t>326</t>
        </is>
      </c>
      <c r="B2881" s="4" t="n">
        <v>3</v>
      </c>
      <c r="C2881" s="4" t="inlineStr">
        <is>
          <t>elk</t>
        </is>
      </c>
      <c r="D2881" s="4" t="n">
        <v>2012</v>
      </c>
      <c r="E2881" s="4" t="inlineStr"/>
      <c r="F2881" s="5" t="n">
        <v>378</v>
      </c>
      <c r="G2881" s="5" t="n">
        <v>2096</v>
      </c>
      <c r="H2881" s="5" t="n">
        <v>74</v>
      </c>
      <c r="I2881" s="5" t="n">
        <v>46</v>
      </c>
      <c r="J2881" s="5" t="n">
        <v>25</v>
      </c>
      <c r="K2881" s="10">
        <f>IF(F2881&gt;0,H2881/F2881,"")</f>
        <v/>
      </c>
      <c r="L2881" s="16">
        <f>IF(AND(G2881&gt;0,H2881&gt;0),G2881/H2881,"")</f>
        <v/>
      </c>
    </row>
    <row r="2882">
      <c r="A2882" s="4" t="inlineStr">
        <is>
          <t>326</t>
        </is>
      </c>
      <c r="B2882" s="4" t="n">
        <v>3</v>
      </c>
      <c r="C2882" s="4" t="inlineStr">
        <is>
          <t>elk</t>
        </is>
      </c>
      <c r="D2882" s="4" t="n">
        <v>2013</v>
      </c>
      <c r="E2882" s="4" t="inlineStr"/>
      <c r="F2882" s="5" t="n"/>
      <c r="G2882" s="5" t="n"/>
      <c r="H2882" s="5" t="n">
        <v>78</v>
      </c>
      <c r="I2882" s="5" t="n">
        <v>56</v>
      </c>
      <c r="J2882" s="5" t="n">
        <v>20</v>
      </c>
      <c r="K2882" s="10">
        <f>IF(F2882&gt;0,H2882/F2882,"")</f>
        <v/>
      </c>
      <c r="L2882" s="16">
        <f>IF(AND(G2882&gt;0,H2882&gt;0),G2882/H2882,"")</f>
        <v/>
      </c>
    </row>
    <row r="2883">
      <c r="A2883" s="4" t="inlineStr">
        <is>
          <t>326</t>
        </is>
      </c>
      <c r="B2883" s="4" t="n">
        <v>3</v>
      </c>
      <c r="C2883" s="4" t="inlineStr">
        <is>
          <t>elk</t>
        </is>
      </c>
      <c r="D2883" s="4" t="n">
        <v>2014</v>
      </c>
      <c r="E2883" s="4" t="inlineStr"/>
      <c r="F2883" s="5" t="n">
        <v>573</v>
      </c>
      <c r="G2883" s="5" t="n">
        <v>2988</v>
      </c>
      <c r="H2883" s="5" t="n">
        <v>133</v>
      </c>
      <c r="I2883" s="5" t="n">
        <v>57</v>
      </c>
      <c r="J2883" s="5" t="n">
        <v>65</v>
      </c>
      <c r="K2883" s="10">
        <f>IF(F2883&gt;0,H2883/F2883,"")</f>
        <v/>
      </c>
      <c r="L2883" s="16">
        <f>IF(AND(G2883&gt;0,H2883&gt;0),G2883/H2883,"")</f>
        <v/>
      </c>
    </row>
    <row r="2884">
      <c r="A2884" s="4" t="inlineStr">
        <is>
          <t>326</t>
        </is>
      </c>
      <c r="B2884" s="4" t="n">
        <v>3</v>
      </c>
      <c r="C2884" s="4" t="inlineStr">
        <is>
          <t>elk</t>
        </is>
      </c>
      <c r="D2884" s="4" t="n">
        <v>2015</v>
      </c>
      <c r="E2884" s="4" t="inlineStr"/>
      <c r="F2884" s="5" t="n">
        <v>530</v>
      </c>
      <c r="G2884" s="5" t="n">
        <v>2861</v>
      </c>
      <c r="H2884" s="5" t="n">
        <v>173</v>
      </c>
      <c r="I2884" s="5" t="n">
        <v>41</v>
      </c>
      <c r="J2884" s="5" t="n">
        <v>117</v>
      </c>
      <c r="K2884" s="10">
        <f>IF(F2884&gt;0,H2884/F2884,"")</f>
        <v/>
      </c>
      <c r="L2884" s="16">
        <f>IF(AND(G2884&gt;0,H2884&gt;0),G2884/H2884,"")</f>
        <v/>
      </c>
    </row>
    <row r="2885">
      <c r="A2885" s="4" t="inlineStr">
        <is>
          <t>326</t>
        </is>
      </c>
      <c r="B2885" s="4" t="n">
        <v>3</v>
      </c>
      <c r="C2885" s="4" t="inlineStr">
        <is>
          <t>elk</t>
        </is>
      </c>
      <c r="D2885" s="4" t="n">
        <v>2016</v>
      </c>
      <c r="E2885" s="4" t="inlineStr"/>
      <c r="F2885" s="5" t="n">
        <v>597</v>
      </c>
      <c r="G2885" s="5" t="n">
        <v>3335</v>
      </c>
      <c r="H2885" s="5" t="n">
        <v>159</v>
      </c>
      <c r="I2885" s="5" t="n">
        <v>69</v>
      </c>
      <c r="J2885" s="5" t="n">
        <v>83</v>
      </c>
      <c r="K2885" s="10">
        <f>IF(F2885&gt;0,H2885/F2885,"")</f>
        <v/>
      </c>
      <c r="L2885" s="16">
        <f>IF(AND(G2885&gt;0,H2885&gt;0),G2885/H2885,"")</f>
        <v/>
      </c>
    </row>
    <row r="2886">
      <c r="A2886" s="4" t="inlineStr">
        <is>
          <t>326</t>
        </is>
      </c>
      <c r="B2886" s="4" t="n">
        <v>3</v>
      </c>
      <c r="C2886" s="4" t="inlineStr">
        <is>
          <t>elk</t>
        </is>
      </c>
      <c r="D2886" s="4" t="n">
        <v>2017</v>
      </c>
      <c r="E2886" s="4" t="inlineStr"/>
      <c r="F2886" s="5" t="n"/>
      <c r="G2886" s="5" t="n"/>
      <c r="H2886" s="5" t="n">
        <v>151</v>
      </c>
      <c r="I2886" s="5" t="n">
        <v>63</v>
      </c>
      <c r="J2886" s="5" t="n">
        <v>85</v>
      </c>
      <c r="K2886" s="10">
        <f>IF(F2886&gt;0,H2886/F2886,"")</f>
        <v/>
      </c>
      <c r="L2886" s="16">
        <f>IF(AND(G2886&gt;0,H2886&gt;0),G2886/H2886,"")</f>
        <v/>
      </c>
    </row>
    <row r="2887">
      <c r="A2887" s="4" t="inlineStr">
        <is>
          <t>326</t>
        </is>
      </c>
      <c r="B2887" s="4" t="n">
        <v>3</v>
      </c>
      <c r="C2887" s="4" t="inlineStr">
        <is>
          <t>elk</t>
        </is>
      </c>
      <c r="D2887" s="4" t="n">
        <v>2018</v>
      </c>
      <c r="E2887" s="4" t="inlineStr"/>
      <c r="F2887" s="5" t="n">
        <v>513</v>
      </c>
      <c r="G2887" s="5" t="n">
        <v>3133</v>
      </c>
      <c r="H2887" s="5" t="n">
        <v>85</v>
      </c>
      <c r="I2887" s="5" t="n">
        <v>36</v>
      </c>
      <c r="J2887" s="5" t="n">
        <v>46</v>
      </c>
      <c r="K2887" s="10">
        <f>IF(F2887&gt;0,H2887/F2887,"")</f>
        <v/>
      </c>
      <c r="L2887" s="16">
        <f>IF(AND(G2887&gt;0,H2887&gt;0),G2887/H2887,"")</f>
        <v/>
      </c>
    </row>
    <row r="2888">
      <c r="A2888" s="4" t="inlineStr">
        <is>
          <t>326</t>
        </is>
      </c>
      <c r="B2888" s="4" t="n">
        <v>3</v>
      </c>
      <c r="C2888" s="4" t="inlineStr">
        <is>
          <t>elk</t>
        </is>
      </c>
      <c r="D2888" s="4" t="n">
        <v>2019</v>
      </c>
      <c r="E2888" s="4" t="inlineStr"/>
      <c r="F2888" s="5" t="n"/>
      <c r="G2888" s="5" t="n"/>
      <c r="H2888" s="5" t="n">
        <v>106</v>
      </c>
      <c r="I2888" s="5" t="n">
        <v>58</v>
      </c>
      <c r="J2888" s="5" t="n">
        <v>36</v>
      </c>
      <c r="K2888" s="10">
        <f>IF(F2888&gt;0,H2888/F2888,"")</f>
        <v/>
      </c>
      <c r="L2888" s="16">
        <f>IF(AND(G2888&gt;0,H2888&gt;0),G2888/H2888,"")</f>
        <v/>
      </c>
    </row>
    <row r="2889">
      <c r="A2889" s="4" t="inlineStr">
        <is>
          <t>326</t>
        </is>
      </c>
      <c r="B2889" s="4" t="n">
        <v>3</v>
      </c>
      <c r="C2889" s="4" t="inlineStr">
        <is>
          <t>elk</t>
        </is>
      </c>
      <c r="D2889" s="4" t="n">
        <v>2020</v>
      </c>
      <c r="E2889" s="4" t="inlineStr"/>
      <c r="F2889" s="5" t="n">
        <v>756</v>
      </c>
      <c r="G2889" s="5" t="n">
        <v>4925</v>
      </c>
      <c r="H2889" s="5" t="n">
        <v>179</v>
      </c>
      <c r="I2889" s="5" t="n">
        <v>91</v>
      </c>
      <c r="J2889" s="5" t="n">
        <v>84</v>
      </c>
      <c r="K2889" s="10">
        <f>IF(F2889&gt;0,H2889/F2889,"")</f>
        <v/>
      </c>
      <c r="L2889" s="16">
        <f>IF(AND(G2889&gt;0,H2889&gt;0),G2889/H2889,"")</f>
        <v/>
      </c>
    </row>
    <row r="2890">
      <c r="A2890" s="4" t="inlineStr">
        <is>
          <t>326</t>
        </is>
      </c>
      <c r="B2890" s="4" t="n">
        <v>3</v>
      </c>
      <c r="C2890" s="4" t="inlineStr">
        <is>
          <t>elk</t>
        </is>
      </c>
      <c r="D2890" s="4" t="n">
        <v>2021</v>
      </c>
      <c r="E2890" s="4" t="inlineStr"/>
      <c r="F2890" s="5" t="n"/>
      <c r="G2890" s="5" t="n"/>
      <c r="H2890" s="5" t="n">
        <v>161</v>
      </c>
      <c r="I2890" s="5" t="n">
        <v>99</v>
      </c>
      <c r="J2890" s="5" t="n">
        <v>59</v>
      </c>
      <c r="K2890" s="10">
        <f>IF(F2890&gt;0,H2890/F2890,"")</f>
        <v/>
      </c>
      <c r="L2890" s="16">
        <f>IF(AND(G2890&gt;0,H2890&gt;0),G2890/H2890,"")</f>
        <v/>
      </c>
    </row>
    <row r="2891">
      <c r="A2891" s="4" t="inlineStr">
        <is>
          <t>327</t>
        </is>
      </c>
      <c r="B2891" s="4" t="n">
        <v>3</v>
      </c>
      <c r="C2891" s="4" t="inlineStr">
        <is>
          <t>elk</t>
        </is>
      </c>
      <c r="D2891" s="4" t="n">
        <v>2004</v>
      </c>
      <c r="E2891" s="4" t="inlineStr"/>
      <c r="F2891" s="5" t="n">
        <v>1996</v>
      </c>
      <c r="G2891" s="5" t="n">
        <v>10408</v>
      </c>
      <c r="H2891" s="5" t="n">
        <v>463</v>
      </c>
      <c r="I2891" s="5" t="n">
        <v>145</v>
      </c>
      <c r="J2891" s="5" t="n">
        <v>270</v>
      </c>
      <c r="K2891" s="10">
        <f>IF(F2891&gt;0,H2891/F2891,"")</f>
        <v/>
      </c>
      <c r="L2891" s="16">
        <f>IF(AND(G2891&gt;0,H2891&gt;0),G2891/H2891,"")</f>
        <v/>
      </c>
    </row>
    <row r="2892">
      <c r="A2892" s="4" t="inlineStr">
        <is>
          <t>327</t>
        </is>
      </c>
      <c r="B2892" s="4" t="n">
        <v>3</v>
      </c>
      <c r="C2892" s="4" t="inlineStr">
        <is>
          <t>elk</t>
        </is>
      </c>
      <c r="D2892" s="4" t="n">
        <v>2005</v>
      </c>
      <c r="E2892" s="4" t="inlineStr"/>
      <c r="F2892" s="5" t="n">
        <v>1313</v>
      </c>
      <c r="G2892" s="5" t="n">
        <v>6741</v>
      </c>
      <c r="H2892" s="5" t="n">
        <v>248</v>
      </c>
      <c r="I2892" s="5" t="n">
        <v>103</v>
      </c>
      <c r="J2892" s="5" t="n">
        <v>123</v>
      </c>
      <c r="K2892" s="10">
        <f>IF(F2892&gt;0,H2892/F2892,"")</f>
        <v/>
      </c>
      <c r="L2892" s="16">
        <f>IF(AND(G2892&gt;0,H2892&gt;0),G2892/H2892,"")</f>
        <v/>
      </c>
    </row>
    <row r="2893">
      <c r="A2893" s="4" t="inlineStr">
        <is>
          <t>327</t>
        </is>
      </c>
      <c r="B2893" s="4" t="n">
        <v>3</v>
      </c>
      <c r="C2893" s="4" t="inlineStr">
        <is>
          <t>elk</t>
        </is>
      </c>
      <c r="D2893" s="4" t="n">
        <v>2006</v>
      </c>
      <c r="E2893" s="4" t="inlineStr"/>
      <c r="F2893" s="5" t="n">
        <v>832</v>
      </c>
      <c r="G2893" s="5" t="n">
        <v>4890</v>
      </c>
      <c r="H2893" s="5" t="n">
        <v>154</v>
      </c>
      <c r="I2893" s="5" t="n">
        <v>64</v>
      </c>
      <c r="J2893" s="5" t="n">
        <v>79</v>
      </c>
      <c r="K2893" s="10">
        <f>IF(F2893&gt;0,H2893/F2893,"")</f>
        <v/>
      </c>
      <c r="L2893" s="16">
        <f>IF(AND(G2893&gt;0,H2893&gt;0),G2893/H2893,"")</f>
        <v/>
      </c>
    </row>
    <row r="2894">
      <c r="A2894" s="4" t="inlineStr">
        <is>
          <t>327</t>
        </is>
      </c>
      <c r="B2894" s="4" t="n">
        <v>3</v>
      </c>
      <c r="C2894" s="4" t="inlineStr">
        <is>
          <t>elk</t>
        </is>
      </c>
      <c r="D2894" s="4" t="n">
        <v>2007</v>
      </c>
      <c r="E2894" s="4" t="inlineStr"/>
      <c r="F2894" s="5" t="n">
        <v>1258</v>
      </c>
      <c r="G2894" s="5" t="n">
        <v>7613</v>
      </c>
      <c r="H2894" s="5" t="n">
        <v>265</v>
      </c>
      <c r="I2894" s="5" t="n">
        <v>90</v>
      </c>
      <c r="J2894" s="5" t="n">
        <v>170</v>
      </c>
      <c r="K2894" s="10">
        <f>IF(F2894&gt;0,H2894/F2894,"")</f>
        <v/>
      </c>
      <c r="L2894" s="16">
        <f>IF(AND(G2894&gt;0,H2894&gt;0),G2894/H2894,"")</f>
        <v/>
      </c>
    </row>
    <row r="2895">
      <c r="A2895" s="4" t="inlineStr">
        <is>
          <t>327</t>
        </is>
      </c>
      <c r="B2895" s="4" t="n">
        <v>3</v>
      </c>
      <c r="C2895" s="4" t="inlineStr">
        <is>
          <t>elk</t>
        </is>
      </c>
      <c r="D2895" s="4" t="n">
        <v>2008</v>
      </c>
      <c r="E2895" s="4" t="inlineStr"/>
      <c r="F2895" s="5" t="n">
        <v>1434</v>
      </c>
      <c r="G2895" s="5" t="n">
        <v>7840</v>
      </c>
      <c r="H2895" s="5" t="n">
        <v>412</v>
      </c>
      <c r="I2895" s="5" t="n">
        <v>121</v>
      </c>
      <c r="J2895" s="5" t="n">
        <v>245</v>
      </c>
      <c r="K2895" s="10">
        <f>IF(F2895&gt;0,H2895/F2895,"")</f>
        <v/>
      </c>
      <c r="L2895" s="16">
        <f>IF(AND(G2895&gt;0,H2895&gt;0),G2895/H2895,"")</f>
        <v/>
      </c>
    </row>
    <row r="2896">
      <c r="A2896" s="4" t="inlineStr">
        <is>
          <t>327</t>
        </is>
      </c>
      <c r="B2896" s="4" t="n">
        <v>3</v>
      </c>
      <c r="C2896" s="4" t="inlineStr">
        <is>
          <t>elk</t>
        </is>
      </c>
      <c r="D2896" s="4" t="n">
        <v>2009</v>
      </c>
      <c r="E2896" s="4" t="inlineStr"/>
      <c r="F2896" s="5" t="n">
        <v>1130</v>
      </c>
      <c r="G2896" s="5" t="n">
        <v>6097</v>
      </c>
      <c r="H2896" s="5" t="n">
        <v>186</v>
      </c>
      <c r="I2896" s="5" t="n">
        <v>50</v>
      </c>
      <c r="J2896" s="5" t="n">
        <v>111</v>
      </c>
      <c r="K2896" s="10">
        <f>IF(F2896&gt;0,H2896/F2896,"")</f>
        <v/>
      </c>
      <c r="L2896" s="16">
        <f>IF(AND(G2896&gt;0,H2896&gt;0),G2896/H2896,"")</f>
        <v/>
      </c>
    </row>
    <row r="2897">
      <c r="A2897" s="4" t="inlineStr">
        <is>
          <t>327</t>
        </is>
      </c>
      <c r="B2897" s="4" t="n">
        <v>3</v>
      </c>
      <c r="C2897" s="4" t="inlineStr">
        <is>
          <t>elk</t>
        </is>
      </c>
      <c r="D2897" s="4" t="n">
        <v>2010</v>
      </c>
      <c r="E2897" s="4" t="inlineStr"/>
      <c r="F2897" s="5" t="n">
        <v>994</v>
      </c>
      <c r="G2897" s="5" t="n">
        <v>4902</v>
      </c>
      <c r="H2897" s="5" t="n">
        <v>183</v>
      </c>
      <c r="I2897" s="5" t="n">
        <v>105</v>
      </c>
      <c r="J2897" s="5" t="n">
        <v>67</v>
      </c>
      <c r="K2897" s="10">
        <f>IF(F2897&gt;0,H2897/F2897,"")</f>
        <v/>
      </c>
      <c r="L2897" s="16">
        <f>IF(AND(G2897&gt;0,H2897&gt;0),G2897/H2897,"")</f>
        <v/>
      </c>
    </row>
    <row r="2898">
      <c r="A2898" s="4" t="inlineStr">
        <is>
          <t>327</t>
        </is>
      </c>
      <c r="B2898" s="4" t="n">
        <v>3</v>
      </c>
      <c r="C2898" s="4" t="inlineStr">
        <is>
          <t>elk</t>
        </is>
      </c>
      <c r="D2898" s="4" t="n">
        <v>2011</v>
      </c>
      <c r="E2898" s="4" t="inlineStr"/>
      <c r="F2898" s="5" t="n">
        <v>1130</v>
      </c>
      <c r="G2898" s="5" t="n">
        <v>5882</v>
      </c>
      <c r="H2898" s="5" t="n">
        <v>225</v>
      </c>
      <c r="I2898" s="5" t="n">
        <v>130</v>
      </c>
      <c r="J2898" s="5" t="n">
        <v>84</v>
      </c>
      <c r="K2898" s="10">
        <f>IF(F2898&gt;0,H2898/F2898,"")</f>
        <v/>
      </c>
      <c r="L2898" s="16">
        <f>IF(AND(G2898&gt;0,H2898&gt;0),G2898/H2898,"")</f>
        <v/>
      </c>
    </row>
    <row r="2899">
      <c r="A2899" s="4" t="inlineStr">
        <is>
          <t>327</t>
        </is>
      </c>
      <c r="B2899" s="4" t="n">
        <v>3</v>
      </c>
      <c r="C2899" s="4" t="inlineStr">
        <is>
          <t>elk</t>
        </is>
      </c>
      <c r="D2899" s="4" t="n">
        <v>2012</v>
      </c>
      <c r="E2899" s="4" t="inlineStr"/>
      <c r="F2899" s="5" t="n">
        <v>1052</v>
      </c>
      <c r="G2899" s="5" t="n">
        <v>5351</v>
      </c>
      <c r="H2899" s="5" t="n">
        <v>227</v>
      </c>
      <c r="I2899" s="5" t="n">
        <v>129</v>
      </c>
      <c r="J2899" s="5" t="n">
        <v>93</v>
      </c>
      <c r="K2899" s="10">
        <f>IF(F2899&gt;0,H2899/F2899,"")</f>
        <v/>
      </c>
      <c r="L2899" s="16">
        <f>IF(AND(G2899&gt;0,H2899&gt;0),G2899/H2899,"")</f>
        <v/>
      </c>
    </row>
    <row r="2900">
      <c r="A2900" s="4" t="inlineStr">
        <is>
          <t>327</t>
        </is>
      </c>
      <c r="B2900" s="4" t="n">
        <v>3</v>
      </c>
      <c r="C2900" s="4" t="inlineStr">
        <is>
          <t>elk</t>
        </is>
      </c>
      <c r="D2900" s="4" t="n">
        <v>2013</v>
      </c>
      <c r="E2900" s="4" t="inlineStr"/>
      <c r="F2900" s="5" t="n"/>
      <c r="G2900" s="5" t="n"/>
      <c r="H2900" s="5" t="n">
        <v>270</v>
      </c>
      <c r="I2900" s="5" t="n">
        <v>181</v>
      </c>
      <c r="J2900" s="5" t="n">
        <v>81</v>
      </c>
      <c r="K2900" s="10">
        <f>IF(F2900&gt;0,H2900/F2900,"")</f>
        <v/>
      </c>
      <c r="L2900" s="16">
        <f>IF(AND(G2900&gt;0,H2900&gt;0),G2900/H2900,"")</f>
        <v/>
      </c>
    </row>
    <row r="2901">
      <c r="A2901" s="4" t="inlineStr">
        <is>
          <t>327</t>
        </is>
      </c>
      <c r="B2901" s="4" t="n">
        <v>3</v>
      </c>
      <c r="C2901" s="4" t="inlineStr">
        <is>
          <t>elk</t>
        </is>
      </c>
      <c r="D2901" s="4" t="n">
        <v>2014</v>
      </c>
      <c r="E2901" s="4" t="inlineStr"/>
      <c r="F2901" s="5" t="n">
        <v>1916</v>
      </c>
      <c r="G2901" s="5" t="n">
        <v>11432</v>
      </c>
      <c r="H2901" s="5" t="n">
        <v>601</v>
      </c>
      <c r="I2901" s="5" t="n">
        <v>185</v>
      </c>
      <c r="J2901" s="5" t="n">
        <v>376</v>
      </c>
      <c r="K2901" s="10">
        <f>IF(F2901&gt;0,H2901/F2901,"")</f>
        <v/>
      </c>
      <c r="L2901" s="16">
        <f>IF(AND(G2901&gt;0,H2901&gt;0),G2901/H2901,"")</f>
        <v/>
      </c>
    </row>
    <row r="2902">
      <c r="A2902" s="4" t="inlineStr">
        <is>
          <t>327</t>
        </is>
      </c>
      <c r="B2902" s="4" t="n">
        <v>3</v>
      </c>
      <c r="C2902" s="4" t="inlineStr">
        <is>
          <t>elk</t>
        </is>
      </c>
      <c r="D2902" s="4" t="n">
        <v>2015</v>
      </c>
      <c r="E2902" s="4" t="inlineStr"/>
      <c r="F2902" s="5" t="n">
        <v>1912</v>
      </c>
      <c r="G2902" s="5" t="n">
        <v>10930</v>
      </c>
      <c r="H2902" s="5" t="n">
        <v>648</v>
      </c>
      <c r="I2902" s="5" t="n">
        <v>194</v>
      </c>
      <c r="J2902" s="5" t="n">
        <v>390</v>
      </c>
      <c r="K2902" s="10">
        <f>IF(F2902&gt;0,H2902/F2902,"")</f>
        <v/>
      </c>
      <c r="L2902" s="16">
        <f>IF(AND(G2902&gt;0,H2902&gt;0),G2902/H2902,"")</f>
        <v/>
      </c>
    </row>
    <row r="2903">
      <c r="A2903" s="4" t="inlineStr">
        <is>
          <t>327</t>
        </is>
      </c>
      <c r="B2903" s="4" t="n">
        <v>3</v>
      </c>
      <c r="C2903" s="4" t="inlineStr">
        <is>
          <t>elk</t>
        </is>
      </c>
      <c r="D2903" s="4" t="n">
        <v>2016</v>
      </c>
      <c r="E2903" s="4" t="inlineStr"/>
      <c r="F2903" s="5" t="n">
        <v>1609</v>
      </c>
      <c r="G2903" s="5" t="n">
        <v>10254</v>
      </c>
      <c r="H2903" s="5" t="n">
        <v>235</v>
      </c>
      <c r="I2903" s="5" t="n">
        <v>92</v>
      </c>
      <c r="J2903" s="5" t="n">
        <v>139</v>
      </c>
      <c r="K2903" s="10">
        <f>IF(F2903&gt;0,H2903/F2903,"")</f>
        <v/>
      </c>
      <c r="L2903" s="16">
        <f>IF(AND(G2903&gt;0,H2903&gt;0),G2903/H2903,"")</f>
        <v/>
      </c>
    </row>
    <row r="2904">
      <c r="A2904" s="4" t="inlineStr">
        <is>
          <t>327</t>
        </is>
      </c>
      <c r="B2904" s="4" t="n">
        <v>3</v>
      </c>
      <c r="C2904" s="4" t="inlineStr">
        <is>
          <t>elk</t>
        </is>
      </c>
      <c r="D2904" s="4" t="n">
        <v>2017</v>
      </c>
      <c r="E2904" s="4" t="inlineStr"/>
      <c r="F2904" s="5" t="n"/>
      <c r="G2904" s="5" t="n"/>
      <c r="H2904" s="5" t="n">
        <v>251</v>
      </c>
      <c r="I2904" s="5" t="n">
        <v>122</v>
      </c>
      <c r="J2904" s="5" t="n">
        <v>129</v>
      </c>
      <c r="K2904" s="10">
        <f>IF(F2904&gt;0,H2904/F2904,"")</f>
        <v/>
      </c>
      <c r="L2904" s="16">
        <f>IF(AND(G2904&gt;0,H2904&gt;0),G2904/H2904,"")</f>
        <v/>
      </c>
    </row>
    <row r="2905">
      <c r="A2905" s="4" t="inlineStr">
        <is>
          <t>327</t>
        </is>
      </c>
      <c r="B2905" s="4" t="n">
        <v>3</v>
      </c>
      <c r="C2905" s="4" t="inlineStr">
        <is>
          <t>elk</t>
        </is>
      </c>
      <c r="D2905" s="4" t="n">
        <v>2018</v>
      </c>
      <c r="E2905" s="4" t="inlineStr"/>
      <c r="F2905" s="5" t="n">
        <v>1157</v>
      </c>
      <c r="G2905" s="5" t="n">
        <v>7320</v>
      </c>
      <c r="H2905" s="5" t="n">
        <v>264</v>
      </c>
      <c r="I2905" s="5" t="n">
        <v>106</v>
      </c>
      <c r="J2905" s="5" t="n">
        <v>148</v>
      </c>
      <c r="K2905" s="10">
        <f>IF(F2905&gt;0,H2905/F2905,"")</f>
        <v/>
      </c>
      <c r="L2905" s="16">
        <f>IF(AND(G2905&gt;0,H2905&gt;0),G2905/H2905,"")</f>
        <v/>
      </c>
    </row>
    <row r="2906">
      <c r="A2906" s="4" t="inlineStr">
        <is>
          <t>327</t>
        </is>
      </c>
      <c r="B2906" s="4" t="n">
        <v>3</v>
      </c>
      <c r="C2906" s="4" t="inlineStr">
        <is>
          <t>elk</t>
        </is>
      </c>
      <c r="D2906" s="4" t="n">
        <v>2019</v>
      </c>
      <c r="E2906" s="4" t="inlineStr"/>
      <c r="F2906" s="5" t="n"/>
      <c r="G2906" s="5" t="n"/>
      <c r="H2906" s="5" t="n">
        <v>230</v>
      </c>
      <c r="I2906" s="5" t="n">
        <v>124</v>
      </c>
      <c r="J2906" s="5" t="n">
        <v>100</v>
      </c>
      <c r="K2906" s="10">
        <f>IF(F2906&gt;0,H2906/F2906,"")</f>
        <v/>
      </c>
      <c r="L2906" s="16">
        <f>IF(AND(G2906&gt;0,H2906&gt;0),G2906/H2906,"")</f>
        <v/>
      </c>
    </row>
    <row r="2907">
      <c r="A2907" s="4" t="inlineStr">
        <is>
          <t>327</t>
        </is>
      </c>
      <c r="B2907" s="4" t="n">
        <v>3</v>
      </c>
      <c r="C2907" s="4" t="inlineStr">
        <is>
          <t>elk</t>
        </is>
      </c>
      <c r="D2907" s="4" t="n">
        <v>2020</v>
      </c>
      <c r="E2907" s="4" t="inlineStr"/>
      <c r="F2907" s="5" t="n">
        <v>1456</v>
      </c>
      <c r="G2907" s="5" t="n">
        <v>9913</v>
      </c>
      <c r="H2907" s="5" t="n">
        <v>431</v>
      </c>
      <c r="I2907" s="5" t="n">
        <v>219</v>
      </c>
      <c r="J2907" s="5" t="n">
        <v>198</v>
      </c>
      <c r="K2907" s="10">
        <f>IF(F2907&gt;0,H2907/F2907,"")</f>
        <v/>
      </c>
      <c r="L2907" s="16">
        <f>IF(AND(G2907&gt;0,H2907&gt;0),G2907/H2907,"")</f>
        <v/>
      </c>
    </row>
    <row r="2908">
      <c r="A2908" s="4" t="inlineStr">
        <is>
          <t>327</t>
        </is>
      </c>
      <c r="B2908" s="4" t="n">
        <v>3</v>
      </c>
      <c r="C2908" s="4" t="inlineStr">
        <is>
          <t>elk</t>
        </is>
      </c>
      <c r="D2908" s="4" t="n">
        <v>2021</v>
      </c>
      <c r="E2908" s="4" t="inlineStr"/>
      <c r="F2908" s="5" t="n"/>
      <c r="G2908" s="5" t="n"/>
      <c r="H2908" s="5" t="n">
        <v>409</v>
      </c>
      <c r="I2908" s="5" t="n">
        <v>145</v>
      </c>
      <c r="J2908" s="5" t="n">
        <v>239</v>
      </c>
      <c r="K2908" s="10">
        <f>IF(F2908&gt;0,H2908/F2908,"")</f>
        <v/>
      </c>
      <c r="L2908" s="16">
        <f>IF(AND(G2908&gt;0,H2908&gt;0),G2908/H2908,"")</f>
        <v/>
      </c>
    </row>
    <row r="2909">
      <c r="A2909" s="4" t="inlineStr">
        <is>
          <t>328</t>
        </is>
      </c>
      <c r="B2909" s="4" t="n">
        <v>3</v>
      </c>
      <c r="C2909" s="4" t="inlineStr">
        <is>
          <t>elk</t>
        </is>
      </c>
      <c r="D2909" s="4" t="n">
        <v>2004</v>
      </c>
      <c r="E2909" s="4" t="inlineStr"/>
      <c r="F2909" s="5" t="n">
        <v>1099</v>
      </c>
      <c r="G2909" s="5" t="n">
        <v>5929</v>
      </c>
      <c r="H2909" s="5" t="n">
        <v>250</v>
      </c>
      <c r="I2909" s="5" t="n">
        <v>111</v>
      </c>
      <c r="J2909" s="5" t="n">
        <v>109</v>
      </c>
      <c r="K2909" s="10">
        <f>IF(F2909&gt;0,H2909/F2909,"")</f>
        <v/>
      </c>
      <c r="L2909" s="16">
        <f>IF(AND(G2909&gt;0,H2909&gt;0),G2909/H2909,"")</f>
        <v/>
      </c>
    </row>
    <row r="2910">
      <c r="A2910" s="4" t="inlineStr">
        <is>
          <t>328</t>
        </is>
      </c>
      <c r="B2910" s="4" t="n">
        <v>3</v>
      </c>
      <c r="C2910" s="4" t="inlineStr">
        <is>
          <t>elk</t>
        </is>
      </c>
      <c r="D2910" s="4" t="n">
        <v>2005</v>
      </c>
      <c r="E2910" s="4" t="inlineStr"/>
      <c r="F2910" s="5" t="n">
        <v>755</v>
      </c>
      <c r="G2910" s="5" t="n">
        <v>3951</v>
      </c>
      <c r="H2910" s="5" t="n">
        <v>233</v>
      </c>
      <c r="I2910" s="5" t="n">
        <v>139</v>
      </c>
      <c r="J2910" s="5" t="n">
        <v>91</v>
      </c>
      <c r="K2910" s="10">
        <f>IF(F2910&gt;0,H2910/F2910,"")</f>
        <v/>
      </c>
      <c r="L2910" s="16">
        <f>IF(AND(G2910&gt;0,H2910&gt;0),G2910/H2910,"")</f>
        <v/>
      </c>
    </row>
    <row r="2911">
      <c r="A2911" s="4" t="inlineStr">
        <is>
          <t>328</t>
        </is>
      </c>
      <c r="B2911" s="4" t="n">
        <v>3</v>
      </c>
      <c r="C2911" s="4" t="inlineStr">
        <is>
          <t>elk</t>
        </is>
      </c>
      <c r="D2911" s="4" t="n">
        <v>2006</v>
      </c>
      <c r="E2911" s="4" t="inlineStr"/>
      <c r="F2911" s="5" t="n">
        <v>669</v>
      </c>
      <c r="G2911" s="5" t="n">
        <v>3276</v>
      </c>
      <c r="H2911" s="5" t="n">
        <v>211</v>
      </c>
      <c r="I2911" s="5" t="n">
        <v>95</v>
      </c>
      <c r="J2911" s="5" t="n">
        <v>98</v>
      </c>
      <c r="K2911" s="10">
        <f>IF(F2911&gt;0,H2911/F2911,"")</f>
        <v/>
      </c>
      <c r="L2911" s="16">
        <f>IF(AND(G2911&gt;0,H2911&gt;0),G2911/H2911,"")</f>
        <v/>
      </c>
    </row>
    <row r="2912">
      <c r="A2912" s="4" t="inlineStr">
        <is>
          <t>328</t>
        </is>
      </c>
      <c r="B2912" s="4" t="n">
        <v>3</v>
      </c>
      <c r="C2912" s="4" t="inlineStr">
        <is>
          <t>elk</t>
        </is>
      </c>
      <c r="D2912" s="4" t="n">
        <v>2007</v>
      </c>
      <c r="E2912" s="4" t="inlineStr"/>
      <c r="F2912" s="5" t="n">
        <v>790</v>
      </c>
      <c r="G2912" s="5" t="n">
        <v>4349</v>
      </c>
      <c r="H2912" s="5" t="n">
        <v>205</v>
      </c>
      <c r="I2912" s="5" t="n">
        <v>88</v>
      </c>
      <c r="J2912" s="5" t="n">
        <v>103</v>
      </c>
      <c r="K2912" s="10">
        <f>IF(F2912&gt;0,H2912/F2912,"")</f>
        <v/>
      </c>
      <c r="L2912" s="16">
        <f>IF(AND(G2912&gt;0,H2912&gt;0),G2912/H2912,"")</f>
        <v/>
      </c>
    </row>
    <row r="2913">
      <c r="A2913" s="4" t="inlineStr">
        <is>
          <t>328</t>
        </is>
      </c>
      <c r="B2913" s="4" t="n">
        <v>3</v>
      </c>
      <c r="C2913" s="4" t="inlineStr">
        <is>
          <t>elk</t>
        </is>
      </c>
      <c r="D2913" s="4" t="n">
        <v>2008</v>
      </c>
      <c r="E2913" s="4" t="inlineStr"/>
      <c r="F2913" s="5" t="n">
        <v>833</v>
      </c>
      <c r="G2913" s="5" t="n">
        <v>4826</v>
      </c>
      <c r="H2913" s="5" t="n">
        <v>180</v>
      </c>
      <c r="I2913" s="5" t="n">
        <v>70</v>
      </c>
      <c r="J2913" s="5" t="n">
        <v>104</v>
      </c>
      <c r="K2913" s="10">
        <f>IF(F2913&gt;0,H2913/F2913,"")</f>
        <v/>
      </c>
      <c r="L2913" s="16">
        <f>IF(AND(G2913&gt;0,H2913&gt;0),G2913/H2913,"")</f>
        <v/>
      </c>
    </row>
    <row r="2914">
      <c r="A2914" s="4" t="inlineStr">
        <is>
          <t>328</t>
        </is>
      </c>
      <c r="B2914" s="4" t="n">
        <v>3</v>
      </c>
      <c r="C2914" s="4" t="inlineStr">
        <is>
          <t>elk</t>
        </is>
      </c>
      <c r="D2914" s="4" t="n">
        <v>2009</v>
      </c>
      <c r="E2914" s="4" t="inlineStr"/>
      <c r="F2914" s="5" t="n">
        <v>830</v>
      </c>
      <c r="G2914" s="5" t="n">
        <v>4723</v>
      </c>
      <c r="H2914" s="5" t="n">
        <v>188</v>
      </c>
      <c r="I2914" s="5" t="n">
        <v>104</v>
      </c>
      <c r="J2914" s="5" t="n">
        <v>80</v>
      </c>
      <c r="K2914" s="10">
        <f>IF(F2914&gt;0,H2914/F2914,"")</f>
        <v/>
      </c>
      <c r="L2914" s="16">
        <f>IF(AND(G2914&gt;0,H2914&gt;0),G2914/H2914,"")</f>
        <v/>
      </c>
    </row>
    <row r="2915">
      <c r="A2915" s="4" t="inlineStr">
        <is>
          <t>328</t>
        </is>
      </c>
      <c r="B2915" s="4" t="n">
        <v>3</v>
      </c>
      <c r="C2915" s="4" t="inlineStr">
        <is>
          <t>elk</t>
        </is>
      </c>
      <c r="D2915" s="4" t="n">
        <v>2010</v>
      </c>
      <c r="E2915" s="4" t="inlineStr"/>
      <c r="F2915" s="5" t="n">
        <v>549</v>
      </c>
      <c r="G2915" s="5" t="n">
        <v>3287</v>
      </c>
      <c r="H2915" s="5" t="n">
        <v>134</v>
      </c>
      <c r="I2915" s="5" t="n">
        <v>56</v>
      </c>
      <c r="J2915" s="5" t="n">
        <v>70</v>
      </c>
      <c r="K2915" s="10">
        <f>IF(F2915&gt;0,H2915/F2915,"")</f>
        <v/>
      </c>
      <c r="L2915" s="16">
        <f>IF(AND(G2915&gt;0,H2915&gt;0),G2915/H2915,"")</f>
        <v/>
      </c>
    </row>
    <row r="2916">
      <c r="A2916" s="4" t="inlineStr">
        <is>
          <t>328</t>
        </is>
      </c>
      <c r="B2916" s="4" t="n">
        <v>3</v>
      </c>
      <c r="C2916" s="4" t="inlineStr">
        <is>
          <t>elk</t>
        </is>
      </c>
      <c r="D2916" s="4" t="n">
        <v>2011</v>
      </c>
      <c r="E2916" s="4" t="inlineStr"/>
      <c r="F2916" s="5" t="n">
        <v>649</v>
      </c>
      <c r="G2916" s="5" t="n">
        <v>3962</v>
      </c>
      <c r="H2916" s="5" t="n">
        <v>125</v>
      </c>
      <c r="I2916" s="5" t="n">
        <v>61</v>
      </c>
      <c r="J2916" s="5" t="n">
        <v>61</v>
      </c>
      <c r="K2916" s="10">
        <f>IF(F2916&gt;0,H2916/F2916,"")</f>
        <v/>
      </c>
      <c r="L2916" s="16">
        <f>IF(AND(G2916&gt;0,H2916&gt;0),G2916/H2916,"")</f>
        <v/>
      </c>
    </row>
    <row r="2917">
      <c r="A2917" s="4" t="inlineStr">
        <is>
          <t>328</t>
        </is>
      </c>
      <c r="B2917" s="4" t="n">
        <v>3</v>
      </c>
      <c r="C2917" s="4" t="inlineStr">
        <is>
          <t>elk</t>
        </is>
      </c>
      <c r="D2917" s="4" t="n">
        <v>2012</v>
      </c>
      <c r="E2917" s="4" t="inlineStr"/>
      <c r="F2917" s="5" t="n">
        <v>605</v>
      </c>
      <c r="G2917" s="5" t="n">
        <v>3849</v>
      </c>
      <c r="H2917" s="5" t="n">
        <v>168</v>
      </c>
      <c r="I2917" s="5" t="n">
        <v>89</v>
      </c>
      <c r="J2917" s="5" t="n">
        <v>77</v>
      </c>
      <c r="K2917" s="10">
        <f>IF(F2917&gt;0,H2917/F2917,"")</f>
        <v/>
      </c>
      <c r="L2917" s="16">
        <f>IF(AND(G2917&gt;0,H2917&gt;0),G2917/H2917,"")</f>
        <v/>
      </c>
    </row>
    <row r="2918">
      <c r="A2918" s="4" t="inlineStr">
        <is>
          <t>328</t>
        </is>
      </c>
      <c r="B2918" s="4" t="n">
        <v>3</v>
      </c>
      <c r="C2918" s="4" t="inlineStr">
        <is>
          <t>elk</t>
        </is>
      </c>
      <c r="D2918" s="4" t="n">
        <v>2013</v>
      </c>
      <c r="E2918" s="4" t="inlineStr"/>
      <c r="F2918" s="5" t="n"/>
      <c r="G2918" s="5" t="n"/>
      <c r="H2918" s="5" t="n">
        <v>164</v>
      </c>
      <c r="I2918" s="5" t="n">
        <v>97</v>
      </c>
      <c r="J2918" s="5" t="n">
        <v>62</v>
      </c>
      <c r="K2918" s="10">
        <f>IF(F2918&gt;0,H2918/F2918,"")</f>
        <v/>
      </c>
      <c r="L2918" s="16">
        <f>IF(AND(G2918&gt;0,H2918&gt;0),G2918/H2918,"")</f>
        <v/>
      </c>
    </row>
    <row r="2919">
      <c r="A2919" s="4" t="inlineStr">
        <is>
          <t>328</t>
        </is>
      </c>
      <c r="B2919" s="4" t="n">
        <v>3</v>
      </c>
      <c r="C2919" s="4" t="inlineStr">
        <is>
          <t>elk</t>
        </is>
      </c>
      <c r="D2919" s="4" t="n">
        <v>2014</v>
      </c>
      <c r="E2919" s="4" t="inlineStr"/>
      <c r="F2919" s="5" t="n">
        <v>674</v>
      </c>
      <c r="G2919" s="5" t="n">
        <v>4427</v>
      </c>
      <c r="H2919" s="5" t="n">
        <v>193</v>
      </c>
      <c r="I2919" s="5" t="n">
        <v>102</v>
      </c>
      <c r="J2919" s="5" t="n">
        <v>82</v>
      </c>
      <c r="K2919" s="10">
        <f>IF(F2919&gt;0,H2919/F2919,"")</f>
        <v/>
      </c>
      <c r="L2919" s="16">
        <f>IF(AND(G2919&gt;0,H2919&gt;0),G2919/H2919,"")</f>
        <v/>
      </c>
    </row>
    <row r="2920">
      <c r="A2920" s="4" t="inlineStr">
        <is>
          <t>328</t>
        </is>
      </c>
      <c r="B2920" s="4" t="n">
        <v>3</v>
      </c>
      <c r="C2920" s="4" t="inlineStr">
        <is>
          <t>elk</t>
        </is>
      </c>
      <c r="D2920" s="4" t="n">
        <v>2015</v>
      </c>
      <c r="E2920" s="4" t="inlineStr"/>
      <c r="F2920" s="5" t="n">
        <v>804</v>
      </c>
      <c r="G2920" s="5" t="n">
        <v>5203</v>
      </c>
      <c r="H2920" s="5" t="n">
        <v>264</v>
      </c>
      <c r="I2920" s="5" t="n">
        <v>120</v>
      </c>
      <c r="J2920" s="5" t="n">
        <v>133</v>
      </c>
      <c r="K2920" s="10">
        <f>IF(F2920&gt;0,H2920/F2920,"")</f>
        <v/>
      </c>
      <c r="L2920" s="16">
        <f>IF(AND(G2920&gt;0,H2920&gt;0),G2920/H2920,"")</f>
        <v/>
      </c>
    </row>
    <row r="2921">
      <c r="A2921" s="4" t="inlineStr">
        <is>
          <t>328</t>
        </is>
      </c>
      <c r="B2921" s="4" t="n">
        <v>3</v>
      </c>
      <c r="C2921" s="4" t="inlineStr">
        <is>
          <t>elk</t>
        </is>
      </c>
      <c r="D2921" s="4" t="n">
        <v>2016</v>
      </c>
      <c r="E2921" s="4" t="inlineStr"/>
      <c r="F2921" s="5" t="n">
        <v>632</v>
      </c>
      <c r="G2921" s="5" t="n">
        <v>3692</v>
      </c>
      <c r="H2921" s="5" t="n">
        <v>131</v>
      </c>
      <c r="I2921" s="5" t="n">
        <v>60</v>
      </c>
      <c r="J2921" s="5" t="n">
        <v>63</v>
      </c>
      <c r="K2921" s="10">
        <f>IF(F2921&gt;0,H2921/F2921,"")</f>
        <v/>
      </c>
      <c r="L2921" s="16">
        <f>IF(AND(G2921&gt;0,H2921&gt;0),G2921/H2921,"")</f>
        <v/>
      </c>
    </row>
    <row r="2922">
      <c r="A2922" s="4" t="inlineStr">
        <is>
          <t>328</t>
        </is>
      </c>
      <c r="B2922" s="4" t="n">
        <v>3</v>
      </c>
      <c r="C2922" s="4" t="inlineStr">
        <is>
          <t>elk</t>
        </is>
      </c>
      <c r="D2922" s="4" t="n">
        <v>2017</v>
      </c>
      <c r="E2922" s="4" t="inlineStr"/>
      <c r="F2922" s="5" t="n"/>
      <c r="G2922" s="5" t="n"/>
      <c r="H2922" s="5" t="n">
        <v>189</v>
      </c>
      <c r="I2922" s="5" t="n">
        <v>112</v>
      </c>
      <c r="J2922" s="5" t="n">
        <v>75</v>
      </c>
      <c r="K2922" s="10">
        <f>IF(F2922&gt;0,H2922/F2922,"")</f>
        <v/>
      </c>
      <c r="L2922" s="16">
        <f>IF(AND(G2922&gt;0,H2922&gt;0),G2922/H2922,"")</f>
        <v/>
      </c>
    </row>
    <row r="2923">
      <c r="A2923" s="4" t="inlineStr">
        <is>
          <t>328</t>
        </is>
      </c>
      <c r="B2923" s="4" t="n">
        <v>3</v>
      </c>
      <c r="C2923" s="4" t="inlineStr">
        <is>
          <t>elk</t>
        </is>
      </c>
      <c r="D2923" s="4" t="n">
        <v>2018</v>
      </c>
      <c r="E2923" s="4" t="inlineStr"/>
      <c r="F2923" s="5" t="n">
        <v>683</v>
      </c>
      <c r="G2923" s="5" t="n">
        <v>4053</v>
      </c>
      <c r="H2923" s="5" t="n">
        <v>191</v>
      </c>
      <c r="I2923" s="5" t="n">
        <v>103</v>
      </c>
      <c r="J2923" s="5" t="n">
        <v>79</v>
      </c>
      <c r="K2923" s="10">
        <f>IF(F2923&gt;0,H2923/F2923,"")</f>
        <v/>
      </c>
      <c r="L2923" s="16">
        <f>IF(AND(G2923&gt;0,H2923&gt;0),G2923/H2923,"")</f>
        <v/>
      </c>
    </row>
    <row r="2924">
      <c r="A2924" s="4" t="inlineStr">
        <is>
          <t>328</t>
        </is>
      </c>
      <c r="B2924" s="4" t="n">
        <v>3</v>
      </c>
      <c r="C2924" s="4" t="inlineStr">
        <is>
          <t>elk</t>
        </is>
      </c>
      <c r="D2924" s="4" t="n">
        <v>2019</v>
      </c>
      <c r="E2924" s="4" t="inlineStr"/>
      <c r="F2924" s="5" t="n"/>
      <c r="G2924" s="5" t="n"/>
      <c r="H2924" s="5" t="n">
        <v>118</v>
      </c>
      <c r="I2924" s="5" t="n">
        <v>65</v>
      </c>
      <c r="J2924" s="5" t="n">
        <v>44</v>
      </c>
      <c r="K2924" s="10">
        <f>IF(F2924&gt;0,H2924/F2924,"")</f>
        <v/>
      </c>
      <c r="L2924" s="16">
        <f>IF(AND(G2924&gt;0,H2924&gt;0),G2924/H2924,"")</f>
        <v/>
      </c>
    </row>
    <row r="2925">
      <c r="A2925" s="4" t="inlineStr">
        <is>
          <t>328</t>
        </is>
      </c>
      <c r="B2925" s="4" t="n">
        <v>3</v>
      </c>
      <c r="C2925" s="4" t="inlineStr">
        <is>
          <t>elk</t>
        </is>
      </c>
      <c r="D2925" s="4" t="n">
        <v>2020</v>
      </c>
      <c r="E2925" s="4" t="inlineStr"/>
      <c r="F2925" s="5" t="n">
        <v>715</v>
      </c>
      <c r="G2925" s="5" t="n">
        <v>5094</v>
      </c>
      <c r="H2925" s="5" t="n">
        <v>186</v>
      </c>
      <c r="I2925" s="5" t="n">
        <v>82</v>
      </c>
      <c r="J2925" s="5" t="n">
        <v>95</v>
      </c>
      <c r="K2925" s="10">
        <f>IF(F2925&gt;0,H2925/F2925,"")</f>
        <v/>
      </c>
      <c r="L2925" s="16">
        <f>IF(AND(G2925&gt;0,H2925&gt;0),G2925/H2925,"")</f>
        <v/>
      </c>
    </row>
    <row r="2926">
      <c r="A2926" s="4" t="inlineStr">
        <is>
          <t>328</t>
        </is>
      </c>
      <c r="B2926" s="4" t="n">
        <v>3</v>
      </c>
      <c r="C2926" s="4" t="inlineStr">
        <is>
          <t>elk</t>
        </is>
      </c>
      <c r="D2926" s="4" t="n">
        <v>2021</v>
      </c>
      <c r="E2926" s="4" t="inlineStr"/>
      <c r="F2926" s="5" t="n"/>
      <c r="G2926" s="5" t="n"/>
      <c r="H2926" s="5" t="n">
        <v>118</v>
      </c>
      <c r="I2926" s="5" t="n">
        <v>65</v>
      </c>
      <c r="J2926" s="5" t="n">
        <v>50</v>
      </c>
      <c r="K2926" s="10">
        <f>IF(F2926&gt;0,H2926/F2926,"")</f>
        <v/>
      </c>
      <c r="L2926" s="16">
        <f>IF(AND(G2926&gt;0,H2926&gt;0),G2926/H2926,"")</f>
        <v/>
      </c>
    </row>
    <row r="2927">
      <c r="A2927" s="4" t="inlineStr">
        <is>
          <t>329</t>
        </is>
      </c>
      <c r="B2927" s="4" t="n">
        <v>3</v>
      </c>
      <c r="C2927" s="4" t="inlineStr">
        <is>
          <t>elk</t>
        </is>
      </c>
      <c r="D2927" s="4" t="n">
        <v>2004</v>
      </c>
      <c r="E2927" s="13" t="inlineStr">
        <is>
          <t>General</t>
        </is>
      </c>
      <c r="F2927" s="5" t="n">
        <v>2246</v>
      </c>
      <c r="G2927" s="5" t="n">
        <v>12152</v>
      </c>
      <c r="H2927" s="5" t="n">
        <v>360</v>
      </c>
      <c r="I2927" s="5" t="n">
        <v>134</v>
      </c>
      <c r="J2927" s="5" t="n">
        <v>196</v>
      </c>
      <c r="K2927" s="10">
        <f>IF(F2927&gt;0,H2927/F2927,"")</f>
        <v/>
      </c>
      <c r="L2927" s="16">
        <f>IF(AND(G2927&gt;0,H2927&gt;0),G2927/H2927,"")</f>
        <v/>
      </c>
    </row>
    <row r="2928">
      <c r="A2928" s="4" t="inlineStr">
        <is>
          <t>329</t>
        </is>
      </c>
      <c r="B2928" s="4" t="n">
        <v>3</v>
      </c>
      <c r="C2928" s="4" t="inlineStr">
        <is>
          <t>elk</t>
        </is>
      </c>
      <c r="D2928" s="4" t="n">
        <v>2005</v>
      </c>
      <c r="E2928" s="13" t="inlineStr">
        <is>
          <t>General</t>
        </is>
      </c>
      <c r="F2928" s="5" t="n">
        <v>1675</v>
      </c>
      <c r="G2928" s="5" t="n">
        <v>9219</v>
      </c>
      <c r="H2928" s="5" t="n">
        <v>510</v>
      </c>
      <c r="I2928" s="5" t="n">
        <v>217</v>
      </c>
      <c r="J2928" s="5" t="n">
        <v>232</v>
      </c>
      <c r="K2928" s="10">
        <f>IF(F2928&gt;0,H2928/F2928,"")</f>
        <v/>
      </c>
      <c r="L2928" s="16">
        <f>IF(AND(G2928&gt;0,H2928&gt;0),G2928/H2928,"")</f>
        <v/>
      </c>
    </row>
    <row r="2929">
      <c r="A2929" s="4" t="inlineStr">
        <is>
          <t>329</t>
        </is>
      </c>
      <c r="B2929" s="4" t="n">
        <v>3</v>
      </c>
      <c r="C2929" s="4" t="inlineStr">
        <is>
          <t>elk</t>
        </is>
      </c>
      <c r="D2929" s="4" t="n">
        <v>2006</v>
      </c>
      <c r="E2929" s="13" t="inlineStr">
        <is>
          <t>General</t>
        </is>
      </c>
      <c r="F2929" s="5" t="n">
        <v>1282</v>
      </c>
      <c r="G2929" s="5" t="n">
        <v>7234</v>
      </c>
      <c r="H2929" s="5" t="n">
        <v>298</v>
      </c>
      <c r="I2929" s="5" t="n">
        <v>138</v>
      </c>
      <c r="J2929" s="5" t="n">
        <v>124</v>
      </c>
      <c r="K2929" s="10">
        <f>IF(F2929&gt;0,H2929/F2929,"")</f>
        <v/>
      </c>
      <c r="L2929" s="16">
        <f>IF(AND(G2929&gt;0,H2929&gt;0),G2929/H2929,"")</f>
        <v/>
      </c>
    </row>
    <row r="2930">
      <c r="A2930" s="4" t="inlineStr">
        <is>
          <t>329</t>
        </is>
      </c>
      <c r="B2930" s="4" t="n">
        <v>3</v>
      </c>
      <c r="C2930" s="4" t="inlineStr">
        <is>
          <t>elk</t>
        </is>
      </c>
      <c r="D2930" s="4" t="n">
        <v>2007</v>
      </c>
      <c r="E2930" s="13" t="inlineStr">
        <is>
          <t>General</t>
        </is>
      </c>
      <c r="F2930" s="5" t="n">
        <v>1466</v>
      </c>
      <c r="G2930" s="5" t="n">
        <v>8156</v>
      </c>
      <c r="H2930" s="5" t="n">
        <v>363</v>
      </c>
      <c r="I2930" s="5" t="n">
        <v>150</v>
      </c>
      <c r="J2930" s="5" t="n">
        <v>165</v>
      </c>
      <c r="K2930" s="10">
        <f>IF(F2930&gt;0,H2930/F2930,"")</f>
        <v/>
      </c>
      <c r="L2930" s="16">
        <f>IF(AND(G2930&gt;0,H2930&gt;0),G2930/H2930,"")</f>
        <v/>
      </c>
    </row>
    <row r="2931">
      <c r="A2931" s="4" t="inlineStr">
        <is>
          <t>329</t>
        </is>
      </c>
      <c r="B2931" s="4" t="n">
        <v>3</v>
      </c>
      <c r="C2931" s="4" t="inlineStr">
        <is>
          <t>elk</t>
        </is>
      </c>
      <c r="D2931" s="4" t="n">
        <v>2008</v>
      </c>
      <c r="E2931" s="13" t="inlineStr">
        <is>
          <t>General</t>
        </is>
      </c>
      <c r="F2931" s="5" t="n">
        <v>1296</v>
      </c>
      <c r="G2931" s="5" t="n">
        <v>7428</v>
      </c>
      <c r="H2931" s="5" t="n">
        <v>238</v>
      </c>
      <c r="I2931" s="5" t="n">
        <v>119</v>
      </c>
      <c r="J2931" s="5" t="n">
        <v>108</v>
      </c>
      <c r="K2931" s="10">
        <f>IF(F2931&gt;0,H2931/F2931,"")</f>
        <v/>
      </c>
      <c r="L2931" s="16">
        <f>IF(AND(G2931&gt;0,H2931&gt;0),G2931/H2931,"")</f>
        <v/>
      </c>
    </row>
    <row r="2932">
      <c r="A2932" s="4" t="inlineStr">
        <is>
          <t>329</t>
        </is>
      </c>
      <c r="B2932" s="4" t="n">
        <v>3</v>
      </c>
      <c r="C2932" s="4" t="inlineStr">
        <is>
          <t>elk</t>
        </is>
      </c>
      <c r="D2932" s="4" t="n">
        <v>2009</v>
      </c>
      <c r="E2932" s="13" t="inlineStr">
        <is>
          <t>General</t>
        </is>
      </c>
      <c r="F2932" s="5" t="n">
        <v>1453</v>
      </c>
      <c r="G2932" s="5" t="n">
        <v>7720</v>
      </c>
      <c r="H2932" s="5" t="n">
        <v>355</v>
      </c>
      <c r="I2932" s="5" t="n">
        <v>170</v>
      </c>
      <c r="J2932" s="5" t="n">
        <v>169</v>
      </c>
      <c r="K2932" s="10">
        <f>IF(F2932&gt;0,H2932/F2932,"")</f>
        <v/>
      </c>
      <c r="L2932" s="16">
        <f>IF(AND(G2932&gt;0,H2932&gt;0),G2932/H2932,"")</f>
        <v/>
      </c>
    </row>
    <row r="2933">
      <c r="A2933" s="4" t="inlineStr">
        <is>
          <t>329</t>
        </is>
      </c>
      <c r="B2933" s="4" t="n">
        <v>3</v>
      </c>
      <c r="C2933" s="4" t="inlineStr">
        <is>
          <t>elk</t>
        </is>
      </c>
      <c r="D2933" s="4" t="n">
        <v>2010</v>
      </c>
      <c r="E2933" s="13" t="inlineStr">
        <is>
          <t>General</t>
        </is>
      </c>
      <c r="F2933" s="5" t="n">
        <v>1159</v>
      </c>
      <c r="G2933" s="5" t="n">
        <v>6534</v>
      </c>
      <c r="H2933" s="5" t="n">
        <v>260</v>
      </c>
      <c r="I2933" s="5" t="n">
        <v>128</v>
      </c>
      <c r="J2933" s="5" t="n">
        <v>113</v>
      </c>
      <c r="K2933" s="10">
        <f>IF(F2933&gt;0,H2933/F2933,"")</f>
        <v/>
      </c>
      <c r="L2933" s="16">
        <f>IF(AND(G2933&gt;0,H2933&gt;0),G2933/H2933,"")</f>
        <v/>
      </c>
    </row>
    <row r="2934">
      <c r="A2934" s="4" t="inlineStr">
        <is>
          <t>329</t>
        </is>
      </c>
      <c r="B2934" s="4" t="n">
        <v>3</v>
      </c>
      <c r="C2934" s="4" t="inlineStr">
        <is>
          <t>elk</t>
        </is>
      </c>
      <c r="D2934" s="4" t="n">
        <v>2011</v>
      </c>
      <c r="E2934" s="13" t="inlineStr">
        <is>
          <t>General</t>
        </is>
      </c>
      <c r="F2934" s="5" t="n">
        <v>1225</v>
      </c>
      <c r="G2934" s="5" t="n">
        <v>7802</v>
      </c>
      <c r="H2934" s="5" t="n">
        <v>188</v>
      </c>
      <c r="I2934" s="5" t="n">
        <v>112</v>
      </c>
      <c r="J2934" s="5" t="n">
        <v>68</v>
      </c>
      <c r="K2934" s="10">
        <f>IF(F2934&gt;0,H2934/F2934,"")</f>
        <v/>
      </c>
      <c r="L2934" s="16">
        <f>IF(AND(G2934&gt;0,H2934&gt;0),G2934/H2934,"")</f>
        <v/>
      </c>
    </row>
    <row r="2935">
      <c r="A2935" s="4" t="inlineStr">
        <is>
          <t>329</t>
        </is>
      </c>
      <c r="B2935" s="4" t="n">
        <v>3</v>
      </c>
      <c r="C2935" s="4" t="inlineStr">
        <is>
          <t>elk</t>
        </is>
      </c>
      <c r="D2935" s="4" t="n">
        <v>2012</v>
      </c>
      <c r="E2935" s="13" t="inlineStr">
        <is>
          <t>General</t>
        </is>
      </c>
      <c r="F2935" s="5" t="n">
        <v>1235</v>
      </c>
      <c r="G2935" s="5" t="n">
        <v>6790</v>
      </c>
      <c r="H2935" s="5" t="n">
        <v>252</v>
      </c>
      <c r="I2935" s="5" t="n">
        <v>131</v>
      </c>
      <c r="J2935" s="5" t="n">
        <v>106</v>
      </c>
      <c r="K2935" s="10">
        <f>IF(F2935&gt;0,H2935/F2935,"")</f>
        <v/>
      </c>
      <c r="L2935" s="16">
        <f>IF(AND(G2935&gt;0,H2935&gt;0),G2935/H2935,"")</f>
        <v/>
      </c>
    </row>
    <row r="2936">
      <c r="A2936" s="4" t="inlineStr">
        <is>
          <t>329</t>
        </is>
      </c>
      <c r="B2936" s="4" t="n">
        <v>3</v>
      </c>
      <c r="C2936" s="4" t="inlineStr">
        <is>
          <t>elk</t>
        </is>
      </c>
      <c r="D2936" s="4" t="n">
        <v>2013</v>
      </c>
      <c r="E2936" s="13" t="inlineStr">
        <is>
          <t>General</t>
        </is>
      </c>
      <c r="F2936" s="5" t="n"/>
      <c r="G2936" s="5" t="n"/>
      <c r="H2936" s="5" t="n">
        <v>208</v>
      </c>
      <c r="I2936" s="5" t="n">
        <v>121</v>
      </c>
      <c r="J2936" s="5" t="n">
        <v>78</v>
      </c>
      <c r="K2936" s="10">
        <f>IF(F2936&gt;0,H2936/F2936,"")</f>
        <v/>
      </c>
      <c r="L2936" s="16">
        <f>IF(AND(G2936&gt;0,H2936&gt;0),G2936/H2936,"")</f>
        <v/>
      </c>
    </row>
    <row r="2937">
      <c r="A2937" s="4" t="inlineStr">
        <is>
          <t>329</t>
        </is>
      </c>
      <c r="B2937" s="4" t="n">
        <v>3</v>
      </c>
      <c r="C2937" s="4" t="inlineStr">
        <is>
          <t>elk</t>
        </is>
      </c>
      <c r="D2937" s="4" t="n">
        <v>2014</v>
      </c>
      <c r="E2937" s="13" t="inlineStr">
        <is>
          <t>General</t>
        </is>
      </c>
      <c r="F2937" s="5" t="n">
        <v>1583</v>
      </c>
      <c r="G2937" s="5" t="n">
        <v>9412</v>
      </c>
      <c r="H2937" s="5" t="n">
        <v>406</v>
      </c>
      <c r="I2937" s="5" t="n">
        <v>251</v>
      </c>
      <c r="J2937" s="5" t="n">
        <v>143</v>
      </c>
      <c r="K2937" s="10">
        <f>IF(F2937&gt;0,H2937/F2937,"")</f>
        <v/>
      </c>
      <c r="L2937" s="16">
        <f>IF(AND(G2937&gt;0,H2937&gt;0),G2937/H2937,"")</f>
        <v/>
      </c>
    </row>
    <row r="2938">
      <c r="A2938" s="4" t="inlineStr">
        <is>
          <t>329</t>
        </is>
      </c>
      <c r="B2938" s="4" t="n">
        <v>3</v>
      </c>
      <c r="C2938" s="4" t="inlineStr">
        <is>
          <t>elk</t>
        </is>
      </c>
      <c r="D2938" s="4" t="n">
        <v>2015</v>
      </c>
      <c r="E2938" s="13" t="inlineStr">
        <is>
          <t>General</t>
        </is>
      </c>
      <c r="F2938" s="5" t="n">
        <v>1940</v>
      </c>
      <c r="G2938" s="5" t="n">
        <v>12538</v>
      </c>
      <c r="H2938" s="5" t="n">
        <v>615</v>
      </c>
      <c r="I2938" s="5" t="n">
        <v>253</v>
      </c>
      <c r="J2938" s="5" t="n">
        <v>319</v>
      </c>
      <c r="K2938" s="10">
        <f>IF(F2938&gt;0,H2938/F2938,"")</f>
        <v/>
      </c>
      <c r="L2938" s="16">
        <f>IF(AND(G2938&gt;0,H2938&gt;0),G2938/H2938,"")</f>
        <v/>
      </c>
    </row>
    <row r="2939">
      <c r="A2939" s="4" t="inlineStr">
        <is>
          <t>329</t>
        </is>
      </c>
      <c r="B2939" s="4" t="n">
        <v>3</v>
      </c>
      <c r="C2939" s="4" t="inlineStr">
        <is>
          <t>elk</t>
        </is>
      </c>
      <c r="D2939" s="4" t="n">
        <v>2016</v>
      </c>
      <c r="E2939" s="13" t="inlineStr">
        <is>
          <t>General</t>
        </is>
      </c>
      <c r="F2939" s="5" t="n">
        <v>2051</v>
      </c>
      <c r="G2939" s="5" t="n">
        <v>13204</v>
      </c>
      <c r="H2939" s="5" t="n">
        <v>548</v>
      </c>
      <c r="I2939" s="5" t="n">
        <v>161</v>
      </c>
      <c r="J2939" s="5" t="n">
        <v>357</v>
      </c>
      <c r="K2939" s="10">
        <f>IF(F2939&gt;0,H2939/F2939,"")</f>
        <v/>
      </c>
      <c r="L2939" s="16">
        <f>IF(AND(G2939&gt;0,H2939&gt;0),G2939/H2939,"")</f>
        <v/>
      </c>
    </row>
    <row r="2940">
      <c r="A2940" s="4" t="inlineStr">
        <is>
          <t>329</t>
        </is>
      </c>
      <c r="B2940" s="4" t="n">
        <v>3</v>
      </c>
      <c r="C2940" s="4" t="inlineStr">
        <is>
          <t>elk</t>
        </is>
      </c>
      <c r="D2940" s="4" t="n">
        <v>2017</v>
      </c>
      <c r="E2940" s="13" t="inlineStr">
        <is>
          <t>General</t>
        </is>
      </c>
      <c r="F2940" s="5" t="n"/>
      <c r="G2940" s="5" t="n"/>
      <c r="H2940" s="5" t="n">
        <v>734</v>
      </c>
      <c r="I2940" s="5" t="n">
        <v>226</v>
      </c>
      <c r="J2940" s="5" t="n">
        <v>488</v>
      </c>
      <c r="K2940" s="10">
        <f>IF(F2940&gt;0,H2940/F2940,"")</f>
        <v/>
      </c>
      <c r="L2940" s="16">
        <f>IF(AND(G2940&gt;0,H2940&gt;0),G2940/H2940,"")</f>
        <v/>
      </c>
    </row>
    <row r="2941">
      <c r="A2941" s="4" t="inlineStr">
        <is>
          <t>329</t>
        </is>
      </c>
      <c r="B2941" s="4" t="n">
        <v>3</v>
      </c>
      <c r="C2941" s="4" t="inlineStr">
        <is>
          <t>elk</t>
        </is>
      </c>
      <c r="D2941" s="4" t="n">
        <v>2018</v>
      </c>
      <c r="E2941" s="13" t="inlineStr">
        <is>
          <t>General</t>
        </is>
      </c>
      <c r="F2941" s="5" t="n">
        <v>1924</v>
      </c>
      <c r="G2941" s="5" t="n">
        <v>11384</v>
      </c>
      <c r="H2941" s="5" t="n">
        <v>416</v>
      </c>
      <c r="I2941" s="5" t="n">
        <v>170</v>
      </c>
      <c r="J2941" s="5" t="n">
        <v>240</v>
      </c>
      <c r="K2941" s="10">
        <f>IF(F2941&gt;0,H2941/F2941,"")</f>
        <v/>
      </c>
      <c r="L2941" s="16">
        <f>IF(AND(G2941&gt;0,H2941&gt;0),G2941/H2941,"")</f>
        <v/>
      </c>
    </row>
    <row r="2942">
      <c r="A2942" s="4" t="inlineStr">
        <is>
          <t>329</t>
        </is>
      </c>
      <c r="B2942" s="4" t="n">
        <v>3</v>
      </c>
      <c r="C2942" s="4" t="inlineStr">
        <is>
          <t>elk</t>
        </is>
      </c>
      <c r="D2942" s="4" t="n">
        <v>2019</v>
      </c>
      <c r="E2942" s="13" t="inlineStr">
        <is>
          <t>General</t>
        </is>
      </c>
      <c r="F2942" s="5" t="n"/>
      <c r="G2942" s="5" t="n"/>
      <c r="H2942" s="5" t="n">
        <v>506</v>
      </c>
      <c r="I2942" s="5" t="n">
        <v>229</v>
      </c>
      <c r="J2942" s="5" t="n">
        <v>260</v>
      </c>
      <c r="K2942" s="10">
        <f>IF(F2942&gt;0,H2942/F2942,"")</f>
        <v/>
      </c>
      <c r="L2942" s="16">
        <f>IF(AND(G2942&gt;0,H2942&gt;0),G2942/H2942,"")</f>
        <v/>
      </c>
    </row>
    <row r="2943">
      <c r="A2943" s="4" t="inlineStr">
        <is>
          <t>329</t>
        </is>
      </c>
      <c r="B2943" s="4" t="n">
        <v>3</v>
      </c>
      <c r="C2943" s="4" t="inlineStr">
        <is>
          <t>elk</t>
        </is>
      </c>
      <c r="D2943" s="4" t="n">
        <v>2020</v>
      </c>
      <c r="E2943" s="13" t="inlineStr">
        <is>
          <t>General</t>
        </is>
      </c>
      <c r="F2943" s="5" t="n">
        <v>1956</v>
      </c>
      <c r="G2943" s="5" t="n">
        <v>12473</v>
      </c>
      <c r="H2943" s="5" t="n">
        <v>492</v>
      </c>
      <c r="I2943" s="5" t="n">
        <v>191</v>
      </c>
      <c r="J2943" s="5" t="n">
        <v>270</v>
      </c>
      <c r="K2943" s="10">
        <f>IF(F2943&gt;0,H2943/F2943,"")</f>
        <v/>
      </c>
      <c r="L2943" s="16">
        <f>IF(AND(G2943&gt;0,H2943&gt;0),G2943/H2943,"")</f>
        <v/>
      </c>
    </row>
    <row r="2944">
      <c r="A2944" s="4" t="inlineStr">
        <is>
          <t>329</t>
        </is>
      </c>
      <c r="B2944" s="4" t="n">
        <v>3</v>
      </c>
      <c r="C2944" s="4" t="inlineStr">
        <is>
          <t>elk</t>
        </is>
      </c>
      <c r="D2944" s="4" t="n">
        <v>2021</v>
      </c>
      <c r="E2944" s="13" t="inlineStr">
        <is>
          <t>General</t>
        </is>
      </c>
      <c r="F2944" s="5" t="n"/>
      <c r="G2944" s="5" t="n"/>
      <c r="H2944" s="5" t="n">
        <v>411</v>
      </c>
      <c r="I2944" s="5" t="n">
        <v>176</v>
      </c>
      <c r="J2944" s="5" t="n">
        <v>208</v>
      </c>
      <c r="K2944" s="10">
        <f>IF(F2944&gt;0,H2944/F2944,"")</f>
        <v/>
      </c>
      <c r="L2944" s="16">
        <f>IF(AND(G2944&gt;0,H2944&gt;0),G2944/H2944,"")</f>
        <v/>
      </c>
    </row>
    <row r="2945">
      <c r="A2945" s="4" t="inlineStr">
        <is>
          <t>329</t>
        </is>
      </c>
      <c r="B2945" s="4" t="n">
        <v>3</v>
      </c>
      <c r="C2945" s="4" t="inlineStr">
        <is>
          <t>elk</t>
        </is>
      </c>
      <c r="D2945" s="4" t="n">
        <v>2022</v>
      </c>
      <c r="E2945" s="13" t="inlineStr">
        <is>
          <t>General</t>
        </is>
      </c>
      <c r="F2945" s="5" t="n">
        <v>1970</v>
      </c>
      <c r="G2945" s="5" t="n">
        <v>12303</v>
      </c>
      <c r="H2945" s="5" t="n">
        <v>551</v>
      </c>
      <c r="I2945" s="5" t="n">
        <v>227</v>
      </c>
      <c r="J2945" s="5" t="n">
        <v>299</v>
      </c>
      <c r="K2945" s="10">
        <f>IF(F2945&gt;0,H2945/F2945,"")</f>
        <v/>
      </c>
      <c r="L2945" s="16">
        <f>IF(AND(G2945&gt;0,H2945&gt;0),G2945/H2945,"")</f>
        <v/>
      </c>
    </row>
    <row r="2946">
      <c r="A2946" s="4" t="inlineStr">
        <is>
          <t>329</t>
        </is>
      </c>
      <c r="B2946" s="4" t="n">
        <v>3</v>
      </c>
      <c r="C2946" s="4" t="inlineStr">
        <is>
          <t>elk</t>
        </is>
      </c>
      <c r="D2946" s="4" t="n">
        <v>2023</v>
      </c>
      <c r="E2946" s="13" t="inlineStr">
        <is>
          <t>General</t>
        </is>
      </c>
      <c r="F2946" s="5" t="n"/>
      <c r="G2946" s="5" t="n"/>
      <c r="H2946" s="5" t="n">
        <v>371</v>
      </c>
      <c r="I2946" s="5" t="n">
        <v>188</v>
      </c>
      <c r="J2946" s="5" t="n">
        <v>173</v>
      </c>
      <c r="K2946" s="10">
        <f>IF(F2946&gt;0,H2946/F2946,"")</f>
        <v/>
      </c>
      <c r="L2946" s="16">
        <f>IF(AND(G2946&gt;0,H2946&gt;0),G2946/H2946,"")</f>
        <v/>
      </c>
    </row>
    <row r="2947">
      <c r="A2947" s="4" t="inlineStr">
        <is>
          <t>329</t>
        </is>
      </c>
      <c r="B2947" s="4" t="n">
        <v>3</v>
      </c>
      <c r="C2947" s="4" t="inlineStr">
        <is>
          <t>elk</t>
        </is>
      </c>
      <c r="D2947" s="4" t="n">
        <v>2024</v>
      </c>
      <c r="E2947" s="13" t="inlineStr">
        <is>
          <t>General</t>
        </is>
      </c>
      <c r="F2947" s="5" t="n">
        <v>1912</v>
      </c>
      <c r="G2947" s="5" t="n">
        <v>14822</v>
      </c>
      <c r="H2947" s="5" t="n">
        <v>410</v>
      </c>
      <c r="I2947" s="5" t="n">
        <v>201</v>
      </c>
      <c r="J2947" s="5" t="n">
        <v>206</v>
      </c>
      <c r="K2947" s="10">
        <f>IF(F2947&gt;0,H2947/F2947,"")</f>
        <v/>
      </c>
      <c r="L2947" s="16">
        <f>IF(AND(G2947&gt;0,H2947&gt;0),G2947/H2947,"")</f>
        <v/>
      </c>
    </row>
    <row r="2948">
      <c r="A2948" s="4" t="inlineStr">
        <is>
          <t>329</t>
        </is>
      </c>
      <c r="B2948" s="4" t="n">
        <v>3</v>
      </c>
      <c r="C2948" s="4" t="inlineStr">
        <is>
          <t>elk</t>
        </is>
      </c>
      <c r="D2948" s="4" t="n">
        <v>2025</v>
      </c>
      <c r="E2948" s="13" t="inlineStr">
        <is>
          <t>General</t>
        </is>
      </c>
      <c r="F2948" s="5" t="n"/>
      <c r="G2948" s="5" t="n"/>
      <c r="H2948" s="5" t="n">
        <v>432</v>
      </c>
      <c r="I2948" s="5" t="n">
        <v>234</v>
      </c>
      <c r="J2948" s="5" t="n">
        <v>180</v>
      </c>
      <c r="K2948" s="10">
        <f>IF(F2948&gt;0,H2948/F2948,"")</f>
        <v/>
      </c>
      <c r="L2948" s="16">
        <f>IF(AND(G2948&gt;0,H2948&gt;0),G2948/H2948,"")</f>
        <v/>
      </c>
    </row>
    <row r="2949">
      <c r="A2949" s="4" t="inlineStr">
        <is>
          <t>330</t>
        </is>
      </c>
      <c r="B2949" s="4" t="n">
        <v>3</v>
      </c>
      <c r="C2949" s="4" t="inlineStr">
        <is>
          <t>elk</t>
        </is>
      </c>
      <c r="D2949" s="4" t="n">
        <v>2004</v>
      </c>
      <c r="E2949" s="4" t="inlineStr"/>
      <c r="F2949" s="5" t="n">
        <v>1790</v>
      </c>
      <c r="G2949" s="5" t="n">
        <v>9071</v>
      </c>
      <c r="H2949" s="5" t="n">
        <v>299</v>
      </c>
      <c r="I2949" s="5" t="n">
        <v>143</v>
      </c>
      <c r="J2949" s="5" t="n">
        <v>138</v>
      </c>
      <c r="K2949" s="10">
        <f>IF(F2949&gt;0,H2949/F2949,"")</f>
        <v/>
      </c>
      <c r="L2949" s="16">
        <f>IF(AND(G2949&gt;0,H2949&gt;0),G2949/H2949,"")</f>
        <v/>
      </c>
    </row>
    <row r="2950">
      <c r="A2950" s="4" t="inlineStr">
        <is>
          <t>330</t>
        </is>
      </c>
      <c r="B2950" s="4" t="n">
        <v>3</v>
      </c>
      <c r="C2950" s="4" t="inlineStr">
        <is>
          <t>elk</t>
        </is>
      </c>
      <c r="D2950" s="4" t="n">
        <v>2005</v>
      </c>
      <c r="E2950" s="4" t="inlineStr"/>
      <c r="F2950" s="5" t="n">
        <v>1357</v>
      </c>
      <c r="G2950" s="5" t="n">
        <v>8341</v>
      </c>
      <c r="H2950" s="5" t="n">
        <v>270</v>
      </c>
      <c r="I2950" s="5" t="n">
        <v>121</v>
      </c>
      <c r="J2950" s="5" t="n">
        <v>133</v>
      </c>
      <c r="K2950" s="10">
        <f>IF(F2950&gt;0,H2950/F2950,"")</f>
        <v/>
      </c>
      <c r="L2950" s="16">
        <f>IF(AND(G2950&gt;0,H2950&gt;0),G2950/H2950,"")</f>
        <v/>
      </c>
    </row>
    <row r="2951">
      <c r="A2951" s="4" t="inlineStr">
        <is>
          <t>330</t>
        </is>
      </c>
      <c r="B2951" s="4" t="n">
        <v>3</v>
      </c>
      <c r="C2951" s="4" t="inlineStr">
        <is>
          <t>elk</t>
        </is>
      </c>
      <c r="D2951" s="4" t="n">
        <v>2006</v>
      </c>
      <c r="E2951" s="4" t="inlineStr"/>
      <c r="F2951" s="5" t="n">
        <v>1003</v>
      </c>
      <c r="G2951" s="5" t="n">
        <v>5707</v>
      </c>
      <c r="H2951" s="5" t="n">
        <v>156</v>
      </c>
      <c r="I2951" s="5" t="n">
        <v>89</v>
      </c>
      <c r="J2951" s="5" t="n">
        <v>52</v>
      </c>
      <c r="K2951" s="10">
        <f>IF(F2951&gt;0,H2951/F2951,"")</f>
        <v/>
      </c>
      <c r="L2951" s="16">
        <f>IF(AND(G2951&gt;0,H2951&gt;0),G2951/H2951,"")</f>
        <v/>
      </c>
    </row>
    <row r="2952">
      <c r="A2952" s="4" t="inlineStr">
        <is>
          <t>330</t>
        </is>
      </c>
      <c r="B2952" s="4" t="n">
        <v>3</v>
      </c>
      <c r="C2952" s="4" t="inlineStr">
        <is>
          <t>elk</t>
        </is>
      </c>
      <c r="D2952" s="4" t="n">
        <v>2007</v>
      </c>
      <c r="E2952" s="4" t="inlineStr"/>
      <c r="F2952" s="5" t="n">
        <v>1285</v>
      </c>
      <c r="G2952" s="5" t="n">
        <v>7376</v>
      </c>
      <c r="H2952" s="5" t="n">
        <v>308</v>
      </c>
      <c r="I2952" s="5" t="n">
        <v>159</v>
      </c>
      <c r="J2952" s="5" t="n">
        <v>122</v>
      </c>
      <c r="K2952" s="10">
        <f>IF(F2952&gt;0,H2952/F2952,"")</f>
        <v/>
      </c>
      <c r="L2952" s="16">
        <f>IF(AND(G2952&gt;0,H2952&gt;0),G2952/H2952,"")</f>
        <v/>
      </c>
    </row>
    <row r="2953">
      <c r="A2953" s="4" t="inlineStr">
        <is>
          <t>330</t>
        </is>
      </c>
      <c r="B2953" s="4" t="n">
        <v>3</v>
      </c>
      <c r="C2953" s="4" t="inlineStr">
        <is>
          <t>elk</t>
        </is>
      </c>
      <c r="D2953" s="4" t="n">
        <v>2008</v>
      </c>
      <c r="E2953" s="4" t="inlineStr"/>
      <c r="F2953" s="5" t="n">
        <v>1341</v>
      </c>
      <c r="G2953" s="5" t="n">
        <v>8210</v>
      </c>
      <c r="H2953" s="5" t="n">
        <v>262</v>
      </c>
      <c r="I2953" s="5" t="n">
        <v>81</v>
      </c>
      <c r="J2953" s="5" t="n">
        <v>157</v>
      </c>
      <c r="K2953" s="10">
        <f>IF(F2953&gt;0,H2953/F2953,"")</f>
        <v/>
      </c>
      <c r="L2953" s="16">
        <f>IF(AND(G2953&gt;0,H2953&gt;0),G2953/H2953,"")</f>
        <v/>
      </c>
    </row>
    <row r="2954">
      <c r="A2954" s="4" t="inlineStr">
        <is>
          <t>330</t>
        </is>
      </c>
      <c r="B2954" s="4" t="n">
        <v>3</v>
      </c>
      <c r="C2954" s="4" t="inlineStr">
        <is>
          <t>elk</t>
        </is>
      </c>
      <c r="D2954" s="4" t="n">
        <v>2009</v>
      </c>
      <c r="E2954" s="4" t="inlineStr"/>
      <c r="F2954" s="5" t="n">
        <v>1059</v>
      </c>
      <c r="G2954" s="5" t="n">
        <v>6691</v>
      </c>
      <c r="H2954" s="5" t="n">
        <v>177</v>
      </c>
      <c r="I2954" s="5" t="n">
        <v>71</v>
      </c>
      <c r="J2954" s="5" t="n">
        <v>98</v>
      </c>
      <c r="K2954" s="10">
        <f>IF(F2954&gt;0,H2954/F2954,"")</f>
        <v/>
      </c>
      <c r="L2954" s="16">
        <f>IF(AND(G2954&gt;0,H2954&gt;0),G2954/H2954,"")</f>
        <v/>
      </c>
    </row>
    <row r="2955">
      <c r="A2955" s="4" t="inlineStr">
        <is>
          <t>330</t>
        </is>
      </c>
      <c r="B2955" s="4" t="n">
        <v>3</v>
      </c>
      <c r="C2955" s="4" t="inlineStr">
        <is>
          <t>elk</t>
        </is>
      </c>
      <c r="D2955" s="4" t="n">
        <v>2010</v>
      </c>
      <c r="E2955" s="4" t="inlineStr"/>
      <c r="F2955" s="5" t="n">
        <v>1072</v>
      </c>
      <c r="G2955" s="5" t="n">
        <v>6474</v>
      </c>
      <c r="H2955" s="5" t="n">
        <v>156</v>
      </c>
      <c r="I2955" s="5" t="n">
        <v>95</v>
      </c>
      <c r="J2955" s="5" t="n">
        <v>55</v>
      </c>
      <c r="K2955" s="10">
        <f>IF(F2955&gt;0,H2955/F2955,"")</f>
        <v/>
      </c>
      <c r="L2955" s="16">
        <f>IF(AND(G2955&gt;0,H2955&gt;0),G2955/H2955,"")</f>
        <v/>
      </c>
    </row>
    <row r="2956">
      <c r="A2956" s="4" t="inlineStr">
        <is>
          <t>330</t>
        </is>
      </c>
      <c r="B2956" s="4" t="n">
        <v>3</v>
      </c>
      <c r="C2956" s="4" t="inlineStr">
        <is>
          <t>elk</t>
        </is>
      </c>
      <c r="D2956" s="4" t="n">
        <v>2011</v>
      </c>
      <c r="E2956" s="4" t="inlineStr"/>
      <c r="F2956" s="5" t="n">
        <v>1063</v>
      </c>
      <c r="G2956" s="5" t="n">
        <v>6006</v>
      </c>
      <c r="H2956" s="5" t="n">
        <v>112</v>
      </c>
      <c r="I2956" s="5" t="n">
        <v>31</v>
      </c>
      <c r="J2956" s="5" t="n">
        <v>81</v>
      </c>
      <c r="K2956" s="10">
        <f>IF(F2956&gt;0,H2956/F2956,"")</f>
        <v/>
      </c>
      <c r="L2956" s="16">
        <f>IF(AND(G2956&gt;0,H2956&gt;0),G2956/H2956,"")</f>
        <v/>
      </c>
    </row>
    <row r="2957">
      <c r="A2957" s="4" t="inlineStr">
        <is>
          <t>330</t>
        </is>
      </c>
      <c r="B2957" s="4" t="n">
        <v>3</v>
      </c>
      <c r="C2957" s="4" t="inlineStr">
        <is>
          <t>elk</t>
        </is>
      </c>
      <c r="D2957" s="4" t="n">
        <v>2012</v>
      </c>
      <c r="E2957" s="4" t="inlineStr"/>
      <c r="F2957" s="5" t="n">
        <v>930</v>
      </c>
      <c r="G2957" s="5" t="n">
        <v>5918</v>
      </c>
      <c r="H2957" s="5" t="n">
        <v>133</v>
      </c>
      <c r="I2957" s="5" t="n">
        <v>103</v>
      </c>
      <c r="J2957" s="5" t="n">
        <v>27</v>
      </c>
      <c r="K2957" s="10">
        <f>IF(F2957&gt;0,H2957/F2957,"")</f>
        <v/>
      </c>
      <c r="L2957" s="16">
        <f>IF(AND(G2957&gt;0,H2957&gt;0),G2957/H2957,"")</f>
        <v/>
      </c>
    </row>
    <row r="2958">
      <c r="A2958" s="4" t="inlineStr">
        <is>
          <t>330</t>
        </is>
      </c>
      <c r="B2958" s="4" t="n">
        <v>3</v>
      </c>
      <c r="C2958" s="4" t="inlineStr">
        <is>
          <t>elk</t>
        </is>
      </c>
      <c r="D2958" s="4" t="n">
        <v>2013</v>
      </c>
      <c r="E2958" s="4" t="inlineStr"/>
      <c r="F2958" s="5" t="n"/>
      <c r="G2958" s="5" t="n"/>
      <c r="H2958" s="5" t="n">
        <v>123</v>
      </c>
      <c r="I2958" s="5" t="n">
        <v>73</v>
      </c>
      <c r="J2958" s="5" t="n">
        <v>48</v>
      </c>
      <c r="K2958" s="10">
        <f>IF(F2958&gt;0,H2958/F2958,"")</f>
        <v/>
      </c>
      <c r="L2958" s="16">
        <f>IF(AND(G2958&gt;0,H2958&gt;0),G2958/H2958,"")</f>
        <v/>
      </c>
    </row>
    <row r="2959">
      <c r="A2959" s="4" t="inlineStr">
        <is>
          <t>330</t>
        </is>
      </c>
      <c r="B2959" s="4" t="n">
        <v>3</v>
      </c>
      <c r="C2959" s="4" t="inlineStr">
        <is>
          <t>elk</t>
        </is>
      </c>
      <c r="D2959" s="4" t="n">
        <v>2014</v>
      </c>
      <c r="E2959" s="4" t="inlineStr"/>
      <c r="F2959" s="5" t="n">
        <v>1013</v>
      </c>
      <c r="G2959" s="5" t="n">
        <v>6186</v>
      </c>
      <c r="H2959" s="5" t="n">
        <v>209</v>
      </c>
      <c r="I2959" s="5" t="n">
        <v>107</v>
      </c>
      <c r="J2959" s="5" t="n">
        <v>93</v>
      </c>
      <c r="K2959" s="10">
        <f>IF(F2959&gt;0,H2959/F2959,"")</f>
        <v/>
      </c>
      <c r="L2959" s="16">
        <f>IF(AND(G2959&gt;0,H2959&gt;0),G2959/H2959,"")</f>
        <v/>
      </c>
    </row>
    <row r="2960">
      <c r="A2960" s="4" t="inlineStr">
        <is>
          <t>330</t>
        </is>
      </c>
      <c r="B2960" s="4" t="n">
        <v>3</v>
      </c>
      <c r="C2960" s="4" t="inlineStr">
        <is>
          <t>elk</t>
        </is>
      </c>
      <c r="D2960" s="4" t="n">
        <v>2015</v>
      </c>
      <c r="E2960" s="4" t="inlineStr"/>
      <c r="F2960" s="5" t="n">
        <v>1149</v>
      </c>
      <c r="G2960" s="5" t="n">
        <v>7141</v>
      </c>
      <c r="H2960" s="5" t="n">
        <v>227</v>
      </c>
      <c r="I2960" s="5" t="n">
        <v>100</v>
      </c>
      <c r="J2960" s="5" t="n">
        <v>107</v>
      </c>
      <c r="K2960" s="10">
        <f>IF(F2960&gt;0,H2960/F2960,"")</f>
        <v/>
      </c>
      <c r="L2960" s="16">
        <f>IF(AND(G2960&gt;0,H2960&gt;0),G2960/H2960,"")</f>
        <v/>
      </c>
    </row>
    <row r="2961">
      <c r="A2961" s="4" t="inlineStr">
        <is>
          <t>330</t>
        </is>
      </c>
      <c r="B2961" s="4" t="n">
        <v>3</v>
      </c>
      <c r="C2961" s="4" t="inlineStr">
        <is>
          <t>elk</t>
        </is>
      </c>
      <c r="D2961" s="4" t="n">
        <v>2016</v>
      </c>
      <c r="E2961" s="4" t="inlineStr"/>
      <c r="F2961" s="5" t="n">
        <v>1086</v>
      </c>
      <c r="G2961" s="5" t="n">
        <v>7015</v>
      </c>
      <c r="H2961" s="5" t="n">
        <v>168</v>
      </c>
      <c r="I2961" s="5" t="n">
        <v>85</v>
      </c>
      <c r="J2961" s="5" t="n">
        <v>77</v>
      </c>
      <c r="K2961" s="10">
        <f>IF(F2961&gt;0,H2961/F2961,"")</f>
        <v/>
      </c>
      <c r="L2961" s="16">
        <f>IF(AND(G2961&gt;0,H2961&gt;0),G2961/H2961,"")</f>
        <v/>
      </c>
    </row>
    <row r="2962">
      <c r="A2962" s="4" t="inlineStr">
        <is>
          <t>330</t>
        </is>
      </c>
      <c r="B2962" s="4" t="n">
        <v>3</v>
      </c>
      <c r="C2962" s="4" t="inlineStr">
        <is>
          <t>elk</t>
        </is>
      </c>
      <c r="D2962" s="4" t="n">
        <v>2017</v>
      </c>
      <c r="E2962" s="4" t="inlineStr"/>
      <c r="F2962" s="5" t="n"/>
      <c r="G2962" s="5" t="n"/>
      <c r="H2962" s="5" t="n">
        <v>137</v>
      </c>
      <c r="I2962" s="5" t="n">
        <v>71</v>
      </c>
      <c r="J2962" s="5" t="n">
        <v>63</v>
      </c>
      <c r="K2962" s="10">
        <f>IF(F2962&gt;0,H2962/F2962,"")</f>
        <v/>
      </c>
      <c r="L2962" s="16">
        <f>IF(AND(G2962&gt;0,H2962&gt;0),G2962/H2962,"")</f>
        <v/>
      </c>
    </row>
    <row r="2963">
      <c r="A2963" s="4" t="inlineStr">
        <is>
          <t>330</t>
        </is>
      </c>
      <c r="B2963" s="4" t="n">
        <v>3</v>
      </c>
      <c r="C2963" s="4" t="inlineStr">
        <is>
          <t>elk</t>
        </is>
      </c>
      <c r="D2963" s="4" t="n">
        <v>2018</v>
      </c>
      <c r="E2963" s="4" t="inlineStr"/>
      <c r="F2963" s="5" t="n">
        <v>1089</v>
      </c>
      <c r="G2963" s="5" t="n">
        <v>7072</v>
      </c>
      <c r="H2963" s="5" t="n">
        <v>166</v>
      </c>
      <c r="I2963" s="5" t="n">
        <v>91</v>
      </c>
      <c r="J2963" s="5" t="n">
        <v>69</v>
      </c>
      <c r="K2963" s="10">
        <f>IF(F2963&gt;0,H2963/F2963,"")</f>
        <v/>
      </c>
      <c r="L2963" s="16">
        <f>IF(AND(G2963&gt;0,H2963&gt;0),G2963/H2963,"")</f>
        <v/>
      </c>
    </row>
    <row r="2964">
      <c r="A2964" s="4" t="inlineStr">
        <is>
          <t>330</t>
        </is>
      </c>
      <c r="B2964" s="4" t="n">
        <v>3</v>
      </c>
      <c r="C2964" s="4" t="inlineStr">
        <is>
          <t>elk</t>
        </is>
      </c>
      <c r="D2964" s="4" t="n">
        <v>2019</v>
      </c>
      <c r="E2964" s="4" t="inlineStr"/>
      <c r="F2964" s="5" t="n"/>
      <c r="G2964" s="5" t="n"/>
      <c r="H2964" s="5" t="n">
        <v>199</v>
      </c>
      <c r="I2964" s="5" t="n">
        <v>95</v>
      </c>
      <c r="J2964" s="5" t="n">
        <v>92</v>
      </c>
      <c r="K2964" s="10">
        <f>IF(F2964&gt;0,H2964/F2964,"")</f>
        <v/>
      </c>
      <c r="L2964" s="16">
        <f>IF(AND(G2964&gt;0,H2964&gt;0),G2964/H2964,"")</f>
        <v/>
      </c>
    </row>
    <row r="2965">
      <c r="A2965" s="4" t="inlineStr">
        <is>
          <t>330</t>
        </is>
      </c>
      <c r="B2965" s="4" t="n">
        <v>3</v>
      </c>
      <c r="C2965" s="4" t="inlineStr">
        <is>
          <t>elk</t>
        </is>
      </c>
      <c r="D2965" s="4" t="n">
        <v>2020</v>
      </c>
      <c r="E2965" s="4" t="inlineStr"/>
      <c r="F2965" s="5" t="n">
        <v>1181</v>
      </c>
      <c r="G2965" s="5" t="n">
        <v>8359</v>
      </c>
      <c r="H2965" s="5" t="n">
        <v>177</v>
      </c>
      <c r="I2965" s="5" t="n">
        <v>126</v>
      </c>
      <c r="J2965" s="5" t="n">
        <v>47</v>
      </c>
      <c r="K2965" s="10">
        <f>IF(F2965&gt;0,H2965/F2965,"")</f>
        <v/>
      </c>
      <c r="L2965" s="16">
        <f>IF(AND(G2965&gt;0,H2965&gt;0),G2965/H2965,"")</f>
        <v/>
      </c>
    </row>
    <row r="2966">
      <c r="A2966" s="4" t="inlineStr">
        <is>
          <t>330</t>
        </is>
      </c>
      <c r="B2966" s="4" t="n">
        <v>3</v>
      </c>
      <c r="C2966" s="4" t="inlineStr">
        <is>
          <t>elk</t>
        </is>
      </c>
      <c r="D2966" s="4" t="n">
        <v>2021</v>
      </c>
      <c r="E2966" s="4" t="inlineStr"/>
      <c r="F2966" s="5" t="n"/>
      <c r="G2966" s="5" t="n"/>
      <c r="H2966" s="5" t="n">
        <v>180</v>
      </c>
      <c r="I2966" s="5" t="n">
        <v>93</v>
      </c>
      <c r="J2966" s="5" t="n">
        <v>87</v>
      </c>
      <c r="K2966" s="10">
        <f>IF(F2966&gt;0,H2966/F2966,"")</f>
        <v/>
      </c>
      <c r="L2966" s="16">
        <f>IF(AND(G2966&gt;0,H2966&gt;0),G2966/H2966,"")</f>
        <v/>
      </c>
    </row>
    <row r="2967">
      <c r="A2967" s="4" t="inlineStr">
        <is>
          <t>331</t>
        </is>
      </c>
      <c r="B2967" s="4" t="n">
        <v>3</v>
      </c>
      <c r="C2967" s="4" t="inlineStr">
        <is>
          <t>elk</t>
        </is>
      </c>
      <c r="D2967" s="4" t="n">
        <v>2004</v>
      </c>
      <c r="E2967" s="13" t="inlineStr">
        <is>
          <t>General</t>
        </is>
      </c>
      <c r="F2967" s="5" t="n">
        <v>2578</v>
      </c>
      <c r="G2967" s="5" t="n">
        <v>17308</v>
      </c>
      <c r="H2967" s="5" t="n">
        <v>323</v>
      </c>
      <c r="I2967" s="5" t="n">
        <v>124</v>
      </c>
      <c r="J2967" s="5" t="n">
        <v>151</v>
      </c>
      <c r="K2967" s="10">
        <f>IF(F2967&gt;0,H2967/F2967,"")</f>
        <v/>
      </c>
      <c r="L2967" s="16">
        <f>IF(AND(G2967&gt;0,H2967&gt;0),G2967/H2967,"")</f>
        <v/>
      </c>
    </row>
    <row r="2968">
      <c r="A2968" s="4" t="inlineStr">
        <is>
          <t>331</t>
        </is>
      </c>
      <c r="B2968" s="4" t="n">
        <v>3</v>
      </c>
      <c r="C2968" s="4" t="inlineStr">
        <is>
          <t>elk</t>
        </is>
      </c>
      <c r="D2968" s="4" t="n">
        <v>2005</v>
      </c>
      <c r="E2968" s="13" t="inlineStr">
        <is>
          <t>General</t>
        </is>
      </c>
      <c r="F2968" s="5" t="n">
        <v>2064</v>
      </c>
      <c r="G2968" s="5" t="n">
        <v>13067</v>
      </c>
      <c r="H2968" s="5" t="n">
        <v>448</v>
      </c>
      <c r="I2968" s="5" t="n">
        <v>206</v>
      </c>
      <c r="J2968" s="5" t="n">
        <v>229</v>
      </c>
      <c r="K2968" s="10">
        <f>IF(F2968&gt;0,H2968/F2968,"")</f>
        <v/>
      </c>
      <c r="L2968" s="16">
        <f>IF(AND(G2968&gt;0,H2968&gt;0),G2968/H2968,"")</f>
        <v/>
      </c>
    </row>
    <row r="2969">
      <c r="A2969" s="4" t="inlineStr">
        <is>
          <t>331</t>
        </is>
      </c>
      <c r="B2969" s="4" t="n">
        <v>3</v>
      </c>
      <c r="C2969" s="4" t="inlineStr">
        <is>
          <t>elk</t>
        </is>
      </c>
      <c r="D2969" s="4" t="n">
        <v>2006</v>
      </c>
      <c r="E2969" s="13" t="inlineStr">
        <is>
          <t>General</t>
        </is>
      </c>
      <c r="F2969" s="5" t="n">
        <v>1705</v>
      </c>
      <c r="G2969" s="5" t="n">
        <v>11598</v>
      </c>
      <c r="H2969" s="5" t="n">
        <v>237</v>
      </c>
      <c r="I2969" s="5" t="n">
        <v>137</v>
      </c>
      <c r="J2969" s="5" t="n">
        <v>100</v>
      </c>
      <c r="K2969" s="10">
        <f>IF(F2969&gt;0,H2969/F2969,"")</f>
        <v/>
      </c>
      <c r="L2969" s="16">
        <f>IF(AND(G2969&gt;0,H2969&gt;0),G2969/H2969,"")</f>
        <v/>
      </c>
    </row>
    <row r="2970">
      <c r="A2970" s="4" t="inlineStr">
        <is>
          <t>331</t>
        </is>
      </c>
      <c r="B2970" s="4" t="n">
        <v>3</v>
      </c>
      <c r="C2970" s="4" t="inlineStr">
        <is>
          <t>elk</t>
        </is>
      </c>
      <c r="D2970" s="4" t="n">
        <v>2007</v>
      </c>
      <c r="E2970" s="13" t="inlineStr">
        <is>
          <t>General</t>
        </is>
      </c>
      <c r="F2970" s="5" t="n">
        <v>1612</v>
      </c>
      <c r="G2970" s="5" t="n">
        <v>10447</v>
      </c>
      <c r="H2970" s="5" t="n">
        <v>299</v>
      </c>
      <c r="I2970" s="5" t="n">
        <v>135</v>
      </c>
      <c r="J2970" s="5" t="n">
        <v>161</v>
      </c>
      <c r="K2970" s="10">
        <f>IF(F2970&gt;0,H2970/F2970,"")</f>
        <v/>
      </c>
      <c r="L2970" s="16">
        <f>IF(AND(G2970&gt;0,H2970&gt;0),G2970/H2970,"")</f>
        <v/>
      </c>
    </row>
    <row r="2971">
      <c r="A2971" s="4" t="inlineStr">
        <is>
          <t>331</t>
        </is>
      </c>
      <c r="B2971" s="4" t="n">
        <v>3</v>
      </c>
      <c r="C2971" s="4" t="inlineStr">
        <is>
          <t>elk</t>
        </is>
      </c>
      <c r="D2971" s="4" t="n">
        <v>2008</v>
      </c>
      <c r="E2971" s="13" t="inlineStr">
        <is>
          <t>General</t>
        </is>
      </c>
      <c r="F2971" s="5" t="n">
        <v>1576</v>
      </c>
      <c r="G2971" s="5" t="n">
        <v>11009</v>
      </c>
      <c r="H2971" s="5" t="n">
        <v>142</v>
      </c>
      <c r="I2971" s="5" t="n">
        <v>56</v>
      </c>
      <c r="J2971" s="5" t="n">
        <v>76</v>
      </c>
      <c r="K2971" s="10">
        <f>IF(F2971&gt;0,H2971/F2971,"")</f>
        <v/>
      </c>
      <c r="L2971" s="16">
        <f>IF(AND(G2971&gt;0,H2971&gt;0),G2971/H2971,"")</f>
        <v/>
      </c>
    </row>
    <row r="2972">
      <c r="A2972" s="4" t="inlineStr">
        <is>
          <t>331</t>
        </is>
      </c>
      <c r="B2972" s="4" t="n">
        <v>3</v>
      </c>
      <c r="C2972" s="4" t="inlineStr">
        <is>
          <t>elk</t>
        </is>
      </c>
      <c r="D2972" s="4" t="n">
        <v>2009</v>
      </c>
      <c r="E2972" s="13" t="inlineStr">
        <is>
          <t>General</t>
        </is>
      </c>
      <c r="F2972" s="5" t="n">
        <v>1571</v>
      </c>
      <c r="G2972" s="5" t="n">
        <v>10597</v>
      </c>
      <c r="H2972" s="5" t="n">
        <v>237</v>
      </c>
      <c r="I2972" s="5" t="n">
        <v>104</v>
      </c>
      <c r="J2972" s="5" t="n">
        <v>111</v>
      </c>
      <c r="K2972" s="10">
        <f>IF(F2972&gt;0,H2972/F2972,"")</f>
        <v/>
      </c>
      <c r="L2972" s="16">
        <f>IF(AND(G2972&gt;0,H2972&gt;0),G2972/H2972,"")</f>
        <v/>
      </c>
    </row>
    <row r="2973">
      <c r="A2973" s="4" t="inlineStr">
        <is>
          <t>331</t>
        </is>
      </c>
      <c r="B2973" s="4" t="n">
        <v>3</v>
      </c>
      <c r="C2973" s="4" t="inlineStr">
        <is>
          <t>elk</t>
        </is>
      </c>
      <c r="D2973" s="4" t="n">
        <v>2010</v>
      </c>
      <c r="E2973" s="13" t="inlineStr">
        <is>
          <t>General</t>
        </is>
      </c>
      <c r="F2973" s="5" t="n">
        <v>1572</v>
      </c>
      <c r="G2973" s="5" t="n">
        <v>10380</v>
      </c>
      <c r="H2973" s="5" t="n">
        <v>251</v>
      </c>
      <c r="I2973" s="5" t="n">
        <v>111</v>
      </c>
      <c r="J2973" s="5" t="n">
        <v>131</v>
      </c>
      <c r="K2973" s="10">
        <f>IF(F2973&gt;0,H2973/F2973,"")</f>
        <v/>
      </c>
      <c r="L2973" s="16">
        <f>IF(AND(G2973&gt;0,H2973&gt;0),G2973/H2973,"")</f>
        <v/>
      </c>
    </row>
    <row r="2974">
      <c r="A2974" s="4" t="inlineStr">
        <is>
          <t>331</t>
        </is>
      </c>
      <c r="B2974" s="4" t="n">
        <v>3</v>
      </c>
      <c r="C2974" s="4" t="inlineStr">
        <is>
          <t>elk</t>
        </is>
      </c>
      <c r="D2974" s="4" t="n">
        <v>2011</v>
      </c>
      <c r="E2974" s="13" t="inlineStr">
        <is>
          <t>General</t>
        </is>
      </c>
      <c r="F2974" s="5" t="n">
        <v>1457</v>
      </c>
      <c r="G2974" s="5" t="n">
        <v>10663</v>
      </c>
      <c r="H2974" s="5" t="n">
        <v>170</v>
      </c>
      <c r="I2974" s="5" t="n">
        <v>67</v>
      </c>
      <c r="J2974" s="5" t="n">
        <v>100</v>
      </c>
      <c r="K2974" s="10">
        <f>IF(F2974&gt;0,H2974/F2974,"")</f>
        <v/>
      </c>
      <c r="L2974" s="16">
        <f>IF(AND(G2974&gt;0,H2974&gt;0),G2974/H2974,"")</f>
        <v/>
      </c>
    </row>
    <row r="2975">
      <c r="A2975" s="4" t="inlineStr">
        <is>
          <t>331</t>
        </is>
      </c>
      <c r="B2975" s="4" t="n">
        <v>3</v>
      </c>
      <c r="C2975" s="4" t="inlineStr">
        <is>
          <t>elk</t>
        </is>
      </c>
      <c r="D2975" s="4" t="n">
        <v>2012</v>
      </c>
      <c r="E2975" s="13" t="inlineStr">
        <is>
          <t>General</t>
        </is>
      </c>
      <c r="F2975" s="5" t="n">
        <v>1565</v>
      </c>
      <c r="G2975" s="5" t="n">
        <v>10697</v>
      </c>
      <c r="H2975" s="5" t="n">
        <v>223</v>
      </c>
      <c r="I2975" s="5" t="n">
        <v>128</v>
      </c>
      <c r="J2975" s="5" t="n">
        <v>91</v>
      </c>
      <c r="K2975" s="10">
        <f>IF(F2975&gt;0,H2975/F2975,"")</f>
        <v/>
      </c>
      <c r="L2975" s="16">
        <f>IF(AND(G2975&gt;0,H2975&gt;0),G2975/H2975,"")</f>
        <v/>
      </c>
    </row>
    <row r="2976">
      <c r="A2976" s="4" t="inlineStr">
        <is>
          <t>331</t>
        </is>
      </c>
      <c r="B2976" s="4" t="n">
        <v>3</v>
      </c>
      <c r="C2976" s="4" t="inlineStr">
        <is>
          <t>elk</t>
        </is>
      </c>
      <c r="D2976" s="4" t="n">
        <v>2013</v>
      </c>
      <c r="E2976" s="13" t="inlineStr">
        <is>
          <t>General</t>
        </is>
      </c>
      <c r="F2976" s="5" t="n"/>
      <c r="G2976" s="5" t="n"/>
      <c r="H2976" s="5" t="n">
        <v>217</v>
      </c>
      <c r="I2976" s="5" t="n">
        <v>139</v>
      </c>
      <c r="J2976" s="5" t="n">
        <v>73</v>
      </c>
      <c r="K2976" s="10">
        <f>IF(F2976&gt;0,H2976/F2976,"")</f>
        <v/>
      </c>
      <c r="L2976" s="16">
        <f>IF(AND(G2976&gt;0,H2976&gt;0),G2976/H2976,"")</f>
        <v/>
      </c>
    </row>
    <row r="2977">
      <c r="A2977" s="4" t="inlineStr">
        <is>
          <t>331</t>
        </is>
      </c>
      <c r="B2977" s="4" t="n">
        <v>3</v>
      </c>
      <c r="C2977" s="4" t="inlineStr">
        <is>
          <t>elk</t>
        </is>
      </c>
      <c r="D2977" s="4" t="n">
        <v>2014</v>
      </c>
      <c r="E2977" s="13" t="inlineStr">
        <is>
          <t>General</t>
        </is>
      </c>
      <c r="F2977" s="5" t="n">
        <v>1753</v>
      </c>
      <c r="G2977" s="5" t="n">
        <v>12754</v>
      </c>
      <c r="H2977" s="5" t="n">
        <v>207</v>
      </c>
      <c r="I2977" s="5" t="n">
        <v>144</v>
      </c>
      <c r="J2977" s="5" t="n">
        <v>60</v>
      </c>
      <c r="K2977" s="10">
        <f>IF(F2977&gt;0,H2977/F2977,"")</f>
        <v/>
      </c>
      <c r="L2977" s="16">
        <f>IF(AND(G2977&gt;0,H2977&gt;0),G2977/H2977,"")</f>
        <v/>
      </c>
    </row>
    <row r="2978">
      <c r="A2978" s="4" t="inlineStr">
        <is>
          <t>331</t>
        </is>
      </c>
      <c r="B2978" s="4" t="n">
        <v>3</v>
      </c>
      <c r="C2978" s="4" t="inlineStr">
        <is>
          <t>elk</t>
        </is>
      </c>
      <c r="D2978" s="4" t="n">
        <v>2015</v>
      </c>
      <c r="E2978" s="13" t="inlineStr">
        <is>
          <t>General</t>
        </is>
      </c>
      <c r="F2978" s="5" t="n">
        <v>1657</v>
      </c>
      <c r="G2978" s="5" t="n">
        <v>11996</v>
      </c>
      <c r="H2978" s="5" t="n">
        <v>288</v>
      </c>
      <c r="I2978" s="5" t="n">
        <v>173</v>
      </c>
      <c r="J2978" s="5" t="n">
        <v>109</v>
      </c>
      <c r="K2978" s="10">
        <f>IF(F2978&gt;0,H2978/F2978,"")</f>
        <v/>
      </c>
      <c r="L2978" s="16">
        <f>IF(AND(G2978&gt;0,H2978&gt;0),G2978/H2978,"")</f>
        <v/>
      </c>
    </row>
    <row r="2979">
      <c r="A2979" s="4" t="inlineStr">
        <is>
          <t>331</t>
        </is>
      </c>
      <c r="B2979" s="4" t="n">
        <v>3</v>
      </c>
      <c r="C2979" s="4" t="inlineStr">
        <is>
          <t>elk</t>
        </is>
      </c>
      <c r="D2979" s="4" t="n">
        <v>2016</v>
      </c>
      <c r="E2979" s="13" t="inlineStr">
        <is>
          <t>General</t>
        </is>
      </c>
      <c r="F2979" s="5" t="n">
        <v>1561</v>
      </c>
      <c r="G2979" s="5" t="n">
        <v>11337</v>
      </c>
      <c r="H2979" s="5" t="n">
        <v>136</v>
      </c>
      <c r="I2979" s="5" t="n">
        <v>70</v>
      </c>
      <c r="J2979" s="5" t="n">
        <v>60</v>
      </c>
      <c r="K2979" s="10">
        <f>IF(F2979&gt;0,H2979/F2979,"")</f>
        <v/>
      </c>
      <c r="L2979" s="16">
        <f>IF(AND(G2979&gt;0,H2979&gt;0),G2979/H2979,"")</f>
        <v/>
      </c>
    </row>
    <row r="2980">
      <c r="A2980" s="4" t="inlineStr">
        <is>
          <t>331</t>
        </is>
      </c>
      <c r="B2980" s="4" t="n">
        <v>3</v>
      </c>
      <c r="C2980" s="4" t="inlineStr">
        <is>
          <t>elk</t>
        </is>
      </c>
      <c r="D2980" s="4" t="n">
        <v>2017</v>
      </c>
      <c r="E2980" s="13" t="inlineStr">
        <is>
          <t>General</t>
        </is>
      </c>
      <c r="F2980" s="5" t="n"/>
      <c r="G2980" s="5" t="n"/>
      <c r="H2980" s="5" t="n">
        <v>307</v>
      </c>
      <c r="I2980" s="5" t="n">
        <v>198</v>
      </c>
      <c r="J2980" s="5" t="n">
        <v>103</v>
      </c>
      <c r="K2980" s="10">
        <f>IF(F2980&gt;0,H2980/F2980,"")</f>
        <v/>
      </c>
      <c r="L2980" s="16">
        <f>IF(AND(G2980&gt;0,H2980&gt;0),G2980/H2980,"")</f>
        <v/>
      </c>
    </row>
    <row r="2981">
      <c r="A2981" s="4" t="inlineStr">
        <is>
          <t>331</t>
        </is>
      </c>
      <c r="B2981" s="4" t="n">
        <v>3</v>
      </c>
      <c r="C2981" s="4" t="inlineStr">
        <is>
          <t>elk</t>
        </is>
      </c>
      <c r="D2981" s="4" t="n">
        <v>2018</v>
      </c>
      <c r="E2981" s="13" t="inlineStr">
        <is>
          <t>General</t>
        </is>
      </c>
      <c r="F2981" s="5" t="n">
        <v>1921</v>
      </c>
      <c r="G2981" s="5" t="n">
        <v>13085</v>
      </c>
      <c r="H2981" s="5" t="n">
        <v>333</v>
      </c>
      <c r="I2981" s="5" t="n">
        <v>112</v>
      </c>
      <c r="J2981" s="5" t="n">
        <v>206</v>
      </c>
      <c r="K2981" s="10">
        <f>IF(F2981&gt;0,H2981/F2981,"")</f>
        <v/>
      </c>
      <c r="L2981" s="16">
        <f>IF(AND(G2981&gt;0,H2981&gt;0),G2981/H2981,"")</f>
        <v/>
      </c>
    </row>
    <row r="2982">
      <c r="A2982" s="4" t="inlineStr">
        <is>
          <t>331</t>
        </is>
      </c>
      <c r="B2982" s="4" t="n">
        <v>3</v>
      </c>
      <c r="C2982" s="4" t="inlineStr">
        <is>
          <t>elk</t>
        </is>
      </c>
      <c r="D2982" s="4" t="n">
        <v>2019</v>
      </c>
      <c r="E2982" s="13" t="inlineStr">
        <is>
          <t>General</t>
        </is>
      </c>
      <c r="F2982" s="5" t="n"/>
      <c r="G2982" s="5" t="n"/>
      <c r="H2982" s="5" t="n">
        <v>327</v>
      </c>
      <c r="I2982" s="5" t="n">
        <v>126</v>
      </c>
      <c r="J2982" s="5" t="n">
        <v>189</v>
      </c>
      <c r="K2982" s="10">
        <f>IF(F2982&gt;0,H2982/F2982,"")</f>
        <v/>
      </c>
      <c r="L2982" s="16">
        <f>IF(AND(G2982&gt;0,H2982&gt;0),G2982/H2982,"")</f>
        <v/>
      </c>
    </row>
    <row r="2983">
      <c r="A2983" s="4" t="inlineStr">
        <is>
          <t>331</t>
        </is>
      </c>
      <c r="B2983" s="4" t="n">
        <v>3</v>
      </c>
      <c r="C2983" s="4" t="inlineStr">
        <is>
          <t>elk</t>
        </is>
      </c>
      <c r="D2983" s="4" t="n">
        <v>2020</v>
      </c>
      <c r="E2983" s="13" t="inlineStr">
        <is>
          <t>General</t>
        </is>
      </c>
      <c r="F2983" s="5" t="n">
        <v>1836</v>
      </c>
      <c r="G2983" s="5" t="n">
        <v>13141</v>
      </c>
      <c r="H2983" s="5" t="n">
        <v>277</v>
      </c>
      <c r="I2983" s="5" t="n">
        <v>124</v>
      </c>
      <c r="J2983" s="5" t="n">
        <v>143</v>
      </c>
      <c r="K2983" s="10">
        <f>IF(F2983&gt;0,H2983/F2983,"")</f>
        <v/>
      </c>
      <c r="L2983" s="16">
        <f>IF(AND(G2983&gt;0,H2983&gt;0),G2983/H2983,"")</f>
        <v/>
      </c>
    </row>
    <row r="2984">
      <c r="A2984" s="4" t="inlineStr">
        <is>
          <t>331</t>
        </is>
      </c>
      <c r="B2984" s="4" t="n">
        <v>3</v>
      </c>
      <c r="C2984" s="4" t="inlineStr">
        <is>
          <t>elk</t>
        </is>
      </c>
      <c r="D2984" s="4" t="n">
        <v>2021</v>
      </c>
      <c r="E2984" s="13" t="inlineStr">
        <is>
          <t>General</t>
        </is>
      </c>
      <c r="F2984" s="5" t="n"/>
      <c r="G2984" s="5" t="n"/>
      <c r="H2984" s="5" t="n">
        <v>207</v>
      </c>
      <c r="I2984" s="5" t="n">
        <v>114</v>
      </c>
      <c r="J2984" s="5" t="n">
        <v>85</v>
      </c>
      <c r="K2984" s="10">
        <f>IF(F2984&gt;0,H2984/F2984,"")</f>
        <v/>
      </c>
      <c r="L2984" s="16">
        <f>IF(AND(G2984&gt;0,H2984&gt;0),G2984/H2984,"")</f>
        <v/>
      </c>
    </row>
    <row r="2985">
      <c r="A2985" s="4" t="inlineStr">
        <is>
          <t>331</t>
        </is>
      </c>
      <c r="B2985" s="4" t="n">
        <v>3</v>
      </c>
      <c r="C2985" s="4" t="inlineStr">
        <is>
          <t>elk</t>
        </is>
      </c>
      <c r="D2985" s="4" t="n">
        <v>2022</v>
      </c>
      <c r="E2985" s="13" t="inlineStr">
        <is>
          <t>General</t>
        </is>
      </c>
      <c r="F2985" s="5" t="n">
        <v>2782</v>
      </c>
      <c r="G2985" s="5" t="n">
        <v>19867</v>
      </c>
      <c r="H2985" s="5" t="n">
        <v>583</v>
      </c>
      <c r="I2985" s="5" t="n">
        <v>327</v>
      </c>
      <c r="J2985" s="5" t="n">
        <v>241</v>
      </c>
      <c r="K2985" s="10">
        <f>IF(F2985&gt;0,H2985/F2985,"")</f>
        <v/>
      </c>
      <c r="L2985" s="16">
        <f>IF(AND(G2985&gt;0,H2985&gt;0),G2985/H2985,"")</f>
        <v/>
      </c>
    </row>
    <row r="2986">
      <c r="A2986" s="4" t="inlineStr">
        <is>
          <t>331</t>
        </is>
      </c>
      <c r="B2986" s="4" t="n">
        <v>3</v>
      </c>
      <c r="C2986" s="4" t="inlineStr">
        <is>
          <t>elk</t>
        </is>
      </c>
      <c r="D2986" s="4" t="n">
        <v>2023</v>
      </c>
      <c r="E2986" s="13" t="inlineStr">
        <is>
          <t>General</t>
        </is>
      </c>
      <c r="F2986" s="5" t="n"/>
      <c r="G2986" s="5" t="n"/>
      <c r="H2986" s="5" t="n">
        <v>353</v>
      </c>
      <c r="I2986" s="5" t="n">
        <v>202</v>
      </c>
      <c r="J2986" s="5" t="n">
        <v>135</v>
      </c>
      <c r="K2986" s="10">
        <f>IF(F2986&gt;0,H2986/F2986,"")</f>
        <v/>
      </c>
      <c r="L2986" s="16">
        <f>IF(AND(G2986&gt;0,H2986&gt;0),G2986/H2986,"")</f>
        <v/>
      </c>
    </row>
    <row r="2987">
      <c r="A2987" s="4" t="inlineStr">
        <is>
          <t>331</t>
        </is>
      </c>
      <c r="B2987" s="4" t="n">
        <v>3</v>
      </c>
      <c r="C2987" s="4" t="inlineStr">
        <is>
          <t>elk</t>
        </is>
      </c>
      <c r="D2987" s="4" t="n">
        <v>2024</v>
      </c>
      <c r="E2987" s="13" t="inlineStr">
        <is>
          <t>General</t>
        </is>
      </c>
      <c r="F2987" s="5" t="n">
        <v>3111</v>
      </c>
      <c r="G2987" s="5" t="n">
        <v>25077</v>
      </c>
      <c r="H2987" s="5" t="n">
        <v>597</v>
      </c>
      <c r="I2987" s="5" t="n">
        <v>349</v>
      </c>
      <c r="J2987" s="5" t="n">
        <v>239</v>
      </c>
      <c r="K2987" s="10">
        <f>IF(F2987&gt;0,H2987/F2987,"")</f>
        <v/>
      </c>
      <c r="L2987" s="16">
        <f>IF(AND(G2987&gt;0,H2987&gt;0),G2987/H2987,"")</f>
        <v/>
      </c>
    </row>
    <row r="2988">
      <c r="A2988" s="4" t="inlineStr">
        <is>
          <t>331</t>
        </is>
      </c>
      <c r="B2988" s="4" t="n">
        <v>3</v>
      </c>
      <c r="C2988" s="4" t="inlineStr">
        <is>
          <t>elk</t>
        </is>
      </c>
      <c r="D2988" s="4" t="n">
        <v>2025</v>
      </c>
      <c r="E2988" s="13" t="inlineStr">
        <is>
          <t>General</t>
        </is>
      </c>
      <c r="F2988" s="5" t="n"/>
      <c r="G2988" s="5" t="n"/>
      <c r="H2988" s="5" t="n">
        <v>689</v>
      </c>
      <c r="I2988" s="5" t="n">
        <v>384</v>
      </c>
      <c r="J2988" s="5" t="n">
        <v>285</v>
      </c>
      <c r="K2988" s="10">
        <f>IF(F2988&gt;0,H2988/F2988,"")</f>
        <v/>
      </c>
      <c r="L2988" s="16">
        <f>IF(AND(G2988&gt;0,H2988&gt;0),G2988/H2988,"")</f>
        <v/>
      </c>
    </row>
    <row r="2989">
      <c r="A2989" s="4" t="inlineStr">
        <is>
          <t>332</t>
        </is>
      </c>
      <c r="B2989" s="4" t="n">
        <v>3</v>
      </c>
      <c r="C2989" s="4" t="inlineStr">
        <is>
          <t>elk</t>
        </is>
      </c>
      <c r="D2989" s="4" t="n">
        <v>2004</v>
      </c>
      <c r="E2989" s="4" t="inlineStr"/>
      <c r="F2989" s="5" t="n">
        <v>2006</v>
      </c>
      <c r="G2989" s="5" t="n">
        <v>12016</v>
      </c>
      <c r="H2989" s="5" t="n">
        <v>293</v>
      </c>
      <c r="I2989" s="5" t="n">
        <v>110</v>
      </c>
      <c r="J2989" s="5" t="n">
        <v>164</v>
      </c>
      <c r="K2989" s="10">
        <f>IF(F2989&gt;0,H2989/F2989,"")</f>
        <v/>
      </c>
      <c r="L2989" s="16">
        <f>IF(AND(G2989&gt;0,H2989&gt;0),G2989/H2989,"")</f>
        <v/>
      </c>
    </row>
    <row r="2990">
      <c r="A2990" s="4" t="inlineStr">
        <is>
          <t>332</t>
        </is>
      </c>
      <c r="B2990" s="4" t="n">
        <v>3</v>
      </c>
      <c r="C2990" s="4" t="inlineStr">
        <is>
          <t>elk</t>
        </is>
      </c>
      <c r="D2990" s="4" t="n">
        <v>2005</v>
      </c>
      <c r="E2990" s="4" t="inlineStr"/>
      <c r="F2990" s="5" t="n">
        <v>1532</v>
      </c>
      <c r="G2990" s="5" t="n">
        <v>8958</v>
      </c>
      <c r="H2990" s="5" t="n">
        <v>476</v>
      </c>
      <c r="I2990" s="5" t="n">
        <v>214</v>
      </c>
      <c r="J2990" s="5" t="n">
        <v>220</v>
      </c>
      <c r="K2990" s="10">
        <f>IF(F2990&gt;0,H2990/F2990,"")</f>
        <v/>
      </c>
      <c r="L2990" s="16">
        <f>IF(AND(G2990&gt;0,H2990&gt;0),G2990/H2990,"")</f>
        <v/>
      </c>
    </row>
    <row r="2991">
      <c r="A2991" s="4" t="inlineStr">
        <is>
          <t>332</t>
        </is>
      </c>
      <c r="B2991" s="4" t="n">
        <v>3</v>
      </c>
      <c r="C2991" s="4" t="inlineStr">
        <is>
          <t>elk</t>
        </is>
      </c>
      <c r="D2991" s="4" t="n">
        <v>2006</v>
      </c>
      <c r="E2991" s="4" t="inlineStr"/>
      <c r="F2991" s="5" t="n">
        <v>1149</v>
      </c>
      <c r="G2991" s="5" t="n">
        <v>6618</v>
      </c>
      <c r="H2991" s="5" t="n">
        <v>187</v>
      </c>
      <c r="I2991" s="5" t="n">
        <v>71</v>
      </c>
      <c r="J2991" s="5" t="n">
        <v>100</v>
      </c>
      <c r="K2991" s="10">
        <f>IF(F2991&gt;0,H2991/F2991,"")</f>
        <v/>
      </c>
      <c r="L2991" s="16">
        <f>IF(AND(G2991&gt;0,H2991&gt;0),G2991/H2991,"")</f>
        <v/>
      </c>
    </row>
    <row r="2992">
      <c r="A2992" s="4" t="inlineStr">
        <is>
          <t>332</t>
        </is>
      </c>
      <c r="B2992" s="4" t="n">
        <v>3</v>
      </c>
      <c r="C2992" s="4" t="inlineStr">
        <is>
          <t>elk</t>
        </is>
      </c>
      <c r="D2992" s="4" t="n">
        <v>2007</v>
      </c>
      <c r="E2992" s="4" t="inlineStr"/>
      <c r="F2992" s="5" t="n">
        <v>1026</v>
      </c>
      <c r="G2992" s="5" t="n">
        <v>6628</v>
      </c>
      <c r="H2992" s="5" t="n">
        <v>243</v>
      </c>
      <c r="I2992" s="5" t="n">
        <v>130</v>
      </c>
      <c r="J2992" s="5" t="n">
        <v>102</v>
      </c>
      <c r="K2992" s="10">
        <f>IF(F2992&gt;0,H2992/F2992,"")</f>
        <v/>
      </c>
      <c r="L2992" s="16">
        <f>IF(AND(G2992&gt;0,H2992&gt;0),G2992/H2992,"")</f>
        <v/>
      </c>
    </row>
    <row r="2993">
      <c r="A2993" s="4" t="inlineStr">
        <is>
          <t>332</t>
        </is>
      </c>
      <c r="B2993" s="4" t="n">
        <v>3</v>
      </c>
      <c r="C2993" s="4" t="inlineStr">
        <is>
          <t>elk</t>
        </is>
      </c>
      <c r="D2993" s="4" t="n">
        <v>2008</v>
      </c>
      <c r="E2993" s="4" t="inlineStr"/>
      <c r="F2993" s="5" t="n">
        <v>1110</v>
      </c>
      <c r="G2993" s="5" t="n">
        <v>7753</v>
      </c>
      <c r="H2993" s="5" t="n">
        <v>146</v>
      </c>
      <c r="I2993" s="5" t="n">
        <v>82</v>
      </c>
      <c r="J2993" s="5" t="n">
        <v>55</v>
      </c>
      <c r="K2993" s="10">
        <f>IF(F2993&gt;0,H2993/F2993,"")</f>
        <v/>
      </c>
      <c r="L2993" s="16">
        <f>IF(AND(G2993&gt;0,H2993&gt;0),G2993/H2993,"")</f>
        <v/>
      </c>
    </row>
    <row r="2994">
      <c r="A2994" s="4" t="inlineStr">
        <is>
          <t>332</t>
        </is>
      </c>
      <c r="B2994" s="4" t="n">
        <v>3</v>
      </c>
      <c r="C2994" s="4" t="inlineStr">
        <is>
          <t>elk</t>
        </is>
      </c>
      <c r="D2994" s="4" t="n">
        <v>2009</v>
      </c>
      <c r="E2994" s="4" t="inlineStr"/>
      <c r="F2994" s="5" t="n">
        <v>1100</v>
      </c>
      <c r="G2994" s="5" t="n">
        <v>6208</v>
      </c>
      <c r="H2994" s="5" t="n">
        <v>213</v>
      </c>
      <c r="I2994" s="5" t="n">
        <v>126</v>
      </c>
      <c r="J2994" s="5" t="n">
        <v>81</v>
      </c>
      <c r="K2994" s="10">
        <f>IF(F2994&gt;0,H2994/F2994,"")</f>
        <v/>
      </c>
      <c r="L2994" s="16">
        <f>IF(AND(G2994&gt;0,H2994&gt;0),G2994/H2994,"")</f>
        <v/>
      </c>
    </row>
    <row r="2995">
      <c r="A2995" s="4" t="inlineStr">
        <is>
          <t>332</t>
        </is>
      </c>
      <c r="B2995" s="4" t="n">
        <v>3</v>
      </c>
      <c r="C2995" s="4" t="inlineStr">
        <is>
          <t>elk</t>
        </is>
      </c>
      <c r="D2995" s="4" t="n">
        <v>2010</v>
      </c>
      <c r="E2995" s="4" t="inlineStr"/>
      <c r="F2995" s="5" t="n">
        <v>1134</v>
      </c>
      <c r="G2995" s="5" t="n">
        <v>7491</v>
      </c>
      <c r="H2995" s="5" t="n">
        <v>246</v>
      </c>
      <c r="I2995" s="5" t="n">
        <v>155</v>
      </c>
      <c r="J2995" s="5" t="n">
        <v>81</v>
      </c>
      <c r="K2995" s="10">
        <f>IF(F2995&gt;0,H2995/F2995,"")</f>
        <v/>
      </c>
      <c r="L2995" s="16">
        <f>IF(AND(G2995&gt;0,H2995&gt;0),G2995/H2995,"")</f>
        <v/>
      </c>
    </row>
    <row r="2996">
      <c r="A2996" s="4" t="inlineStr">
        <is>
          <t>332</t>
        </is>
      </c>
      <c r="B2996" s="4" t="n">
        <v>3</v>
      </c>
      <c r="C2996" s="4" t="inlineStr">
        <is>
          <t>elk</t>
        </is>
      </c>
      <c r="D2996" s="4" t="n">
        <v>2011</v>
      </c>
      <c r="E2996" s="4" t="inlineStr"/>
      <c r="F2996" s="5" t="n">
        <v>1273</v>
      </c>
      <c r="G2996" s="5" t="n">
        <v>8517</v>
      </c>
      <c r="H2996" s="5" t="n">
        <v>208</v>
      </c>
      <c r="I2996" s="5" t="n">
        <v>148</v>
      </c>
      <c r="J2996" s="5" t="n">
        <v>55</v>
      </c>
      <c r="K2996" s="10">
        <f>IF(F2996&gt;0,H2996/F2996,"")</f>
        <v/>
      </c>
      <c r="L2996" s="16">
        <f>IF(AND(G2996&gt;0,H2996&gt;0),G2996/H2996,"")</f>
        <v/>
      </c>
    </row>
    <row r="2997">
      <c r="A2997" s="4" t="inlineStr">
        <is>
          <t>332</t>
        </is>
      </c>
      <c r="B2997" s="4" t="n">
        <v>3</v>
      </c>
      <c r="C2997" s="4" t="inlineStr">
        <is>
          <t>elk</t>
        </is>
      </c>
      <c r="D2997" s="4" t="n">
        <v>2012</v>
      </c>
      <c r="E2997" s="4" t="inlineStr"/>
      <c r="F2997" s="5" t="n">
        <v>1152</v>
      </c>
      <c r="G2997" s="5" t="n">
        <v>7290</v>
      </c>
      <c r="H2997" s="5" t="n">
        <v>175</v>
      </c>
      <c r="I2997" s="5" t="n">
        <v>126</v>
      </c>
      <c r="J2997" s="5" t="n">
        <v>47</v>
      </c>
      <c r="K2997" s="10">
        <f>IF(F2997&gt;0,H2997/F2997,"")</f>
        <v/>
      </c>
      <c r="L2997" s="16">
        <f>IF(AND(G2997&gt;0,H2997&gt;0),G2997/H2997,"")</f>
        <v/>
      </c>
    </row>
    <row r="2998">
      <c r="A2998" s="4" t="inlineStr">
        <is>
          <t>332</t>
        </is>
      </c>
      <c r="B2998" s="4" t="n">
        <v>3</v>
      </c>
      <c r="C2998" s="4" t="inlineStr">
        <is>
          <t>elk</t>
        </is>
      </c>
      <c r="D2998" s="4" t="n">
        <v>2013</v>
      </c>
      <c r="E2998" s="4" t="inlineStr"/>
      <c r="F2998" s="5" t="n"/>
      <c r="G2998" s="5" t="n"/>
      <c r="H2998" s="5" t="n">
        <v>130</v>
      </c>
      <c r="I2998" s="5" t="n">
        <v>81</v>
      </c>
      <c r="J2998" s="5" t="n">
        <v>47</v>
      </c>
      <c r="K2998" s="10">
        <f>IF(F2998&gt;0,H2998/F2998,"")</f>
        <v/>
      </c>
      <c r="L2998" s="16">
        <f>IF(AND(G2998&gt;0,H2998&gt;0),G2998/H2998,"")</f>
        <v/>
      </c>
    </row>
    <row r="2999">
      <c r="A2999" s="4" t="inlineStr">
        <is>
          <t>332</t>
        </is>
      </c>
      <c r="B2999" s="4" t="n">
        <v>3</v>
      </c>
      <c r="C2999" s="4" t="inlineStr">
        <is>
          <t>elk</t>
        </is>
      </c>
      <c r="D2999" s="4" t="n">
        <v>2014</v>
      </c>
      <c r="E2999" s="4" t="inlineStr"/>
      <c r="F2999" s="5" t="n">
        <v>1209</v>
      </c>
      <c r="G2999" s="5" t="n">
        <v>7719</v>
      </c>
      <c r="H2999" s="5" t="n">
        <v>202</v>
      </c>
      <c r="I2999" s="5" t="n">
        <v>127</v>
      </c>
      <c r="J2999" s="5" t="n">
        <v>69</v>
      </c>
      <c r="K2999" s="10">
        <f>IF(F2999&gt;0,H2999/F2999,"")</f>
        <v/>
      </c>
      <c r="L2999" s="16">
        <f>IF(AND(G2999&gt;0,H2999&gt;0),G2999/H2999,"")</f>
        <v/>
      </c>
    </row>
    <row r="3000">
      <c r="A3000" s="4" t="inlineStr">
        <is>
          <t>332</t>
        </is>
      </c>
      <c r="B3000" s="4" t="n">
        <v>3</v>
      </c>
      <c r="C3000" s="4" t="inlineStr">
        <is>
          <t>elk</t>
        </is>
      </c>
      <c r="D3000" s="4" t="n">
        <v>2015</v>
      </c>
      <c r="E3000" s="4" t="inlineStr"/>
      <c r="F3000" s="5" t="n">
        <v>1118</v>
      </c>
      <c r="G3000" s="5" t="n">
        <v>7845</v>
      </c>
      <c r="H3000" s="5" t="n">
        <v>225</v>
      </c>
      <c r="I3000" s="5" t="n">
        <v>132</v>
      </c>
      <c r="J3000" s="5" t="n">
        <v>84</v>
      </c>
      <c r="K3000" s="10">
        <f>IF(F3000&gt;0,H3000/F3000,"")</f>
        <v/>
      </c>
      <c r="L3000" s="16">
        <f>IF(AND(G3000&gt;0,H3000&gt;0),G3000/H3000,"")</f>
        <v/>
      </c>
    </row>
    <row r="3001">
      <c r="A3001" s="4" t="inlineStr">
        <is>
          <t>332</t>
        </is>
      </c>
      <c r="B3001" s="4" t="n">
        <v>3</v>
      </c>
      <c r="C3001" s="4" t="inlineStr">
        <is>
          <t>elk</t>
        </is>
      </c>
      <c r="D3001" s="4" t="n">
        <v>2016</v>
      </c>
      <c r="E3001" s="4" t="inlineStr"/>
      <c r="F3001" s="5" t="n">
        <v>1252</v>
      </c>
      <c r="G3001" s="5" t="n">
        <v>8583</v>
      </c>
      <c r="H3001" s="5" t="n">
        <v>173</v>
      </c>
      <c r="I3001" s="5" t="n">
        <v>88</v>
      </c>
      <c r="J3001" s="5" t="n">
        <v>72</v>
      </c>
      <c r="K3001" s="10">
        <f>IF(F3001&gt;0,H3001/F3001,"")</f>
        <v/>
      </c>
      <c r="L3001" s="16">
        <f>IF(AND(G3001&gt;0,H3001&gt;0),G3001/H3001,"")</f>
        <v/>
      </c>
    </row>
    <row r="3002">
      <c r="A3002" s="4" t="inlineStr">
        <is>
          <t>332</t>
        </is>
      </c>
      <c r="B3002" s="4" t="n">
        <v>3</v>
      </c>
      <c r="C3002" s="4" t="inlineStr">
        <is>
          <t>elk</t>
        </is>
      </c>
      <c r="D3002" s="4" t="n">
        <v>2017</v>
      </c>
      <c r="E3002" s="4" t="inlineStr"/>
      <c r="F3002" s="5" t="n"/>
      <c r="G3002" s="5" t="n"/>
      <c r="H3002" s="5" t="n">
        <v>277</v>
      </c>
      <c r="I3002" s="5" t="n">
        <v>160</v>
      </c>
      <c r="J3002" s="5" t="n">
        <v>113</v>
      </c>
      <c r="K3002" s="10">
        <f>IF(F3002&gt;0,H3002/F3002,"")</f>
        <v/>
      </c>
      <c r="L3002" s="16">
        <f>IF(AND(G3002&gt;0,H3002&gt;0),G3002/H3002,"")</f>
        <v/>
      </c>
    </row>
    <row r="3003">
      <c r="A3003" s="4" t="inlineStr">
        <is>
          <t>332</t>
        </is>
      </c>
      <c r="B3003" s="4" t="n">
        <v>3</v>
      </c>
      <c r="C3003" s="4" t="inlineStr">
        <is>
          <t>elk</t>
        </is>
      </c>
      <c r="D3003" s="4" t="n">
        <v>2018</v>
      </c>
      <c r="E3003" s="4" t="inlineStr"/>
      <c r="F3003" s="5" t="n">
        <v>1417</v>
      </c>
      <c r="G3003" s="5" t="n">
        <v>9088</v>
      </c>
      <c r="H3003" s="5" t="n">
        <v>244</v>
      </c>
      <c r="I3003" s="5" t="n">
        <v>97</v>
      </c>
      <c r="J3003" s="5" t="n">
        <v>132</v>
      </c>
      <c r="K3003" s="10">
        <f>IF(F3003&gt;0,H3003/F3003,"")</f>
        <v/>
      </c>
      <c r="L3003" s="16">
        <f>IF(AND(G3003&gt;0,H3003&gt;0),G3003/H3003,"")</f>
        <v/>
      </c>
    </row>
    <row r="3004">
      <c r="A3004" s="4" t="inlineStr">
        <is>
          <t>332</t>
        </is>
      </c>
      <c r="B3004" s="4" t="n">
        <v>3</v>
      </c>
      <c r="C3004" s="4" t="inlineStr">
        <is>
          <t>elk</t>
        </is>
      </c>
      <c r="D3004" s="4" t="n">
        <v>2019</v>
      </c>
      <c r="E3004" s="4" t="inlineStr"/>
      <c r="F3004" s="5" t="n"/>
      <c r="G3004" s="5" t="n"/>
      <c r="H3004" s="5" t="n">
        <v>277</v>
      </c>
      <c r="I3004" s="5" t="n">
        <v>90</v>
      </c>
      <c r="J3004" s="5" t="n">
        <v>172</v>
      </c>
      <c r="K3004" s="10">
        <f>IF(F3004&gt;0,H3004/F3004,"")</f>
        <v/>
      </c>
      <c r="L3004" s="16">
        <f>IF(AND(G3004&gt;0,H3004&gt;0),G3004/H3004,"")</f>
        <v/>
      </c>
    </row>
    <row r="3005">
      <c r="A3005" s="4" t="inlineStr">
        <is>
          <t>332</t>
        </is>
      </c>
      <c r="B3005" s="4" t="n">
        <v>3</v>
      </c>
      <c r="C3005" s="4" t="inlineStr">
        <is>
          <t>elk</t>
        </is>
      </c>
      <c r="D3005" s="4" t="n">
        <v>2020</v>
      </c>
      <c r="E3005" s="4" t="inlineStr"/>
      <c r="F3005" s="5" t="n">
        <v>1359</v>
      </c>
      <c r="G3005" s="5" t="n">
        <v>8542</v>
      </c>
      <c r="H3005" s="5" t="n">
        <v>248</v>
      </c>
      <c r="I3005" s="5" t="n">
        <v>124</v>
      </c>
      <c r="J3005" s="5" t="n">
        <v>121</v>
      </c>
      <c r="K3005" s="10">
        <f>IF(F3005&gt;0,H3005/F3005,"")</f>
        <v/>
      </c>
      <c r="L3005" s="16">
        <f>IF(AND(G3005&gt;0,H3005&gt;0),G3005/H3005,"")</f>
        <v/>
      </c>
    </row>
    <row r="3006">
      <c r="A3006" s="4" t="inlineStr">
        <is>
          <t>332</t>
        </is>
      </c>
      <c r="B3006" s="4" t="n">
        <v>3</v>
      </c>
      <c r="C3006" s="4" t="inlineStr">
        <is>
          <t>elk</t>
        </is>
      </c>
      <c r="D3006" s="4" t="n">
        <v>2021</v>
      </c>
      <c r="E3006" s="4" t="inlineStr"/>
      <c r="F3006" s="5" t="n"/>
      <c r="G3006" s="5" t="n"/>
      <c r="H3006" s="5" t="n">
        <v>215</v>
      </c>
      <c r="I3006" s="5" t="n">
        <v>100</v>
      </c>
      <c r="J3006" s="5" t="n">
        <v>115</v>
      </c>
      <c r="K3006" s="10">
        <f>IF(F3006&gt;0,H3006/F3006,"")</f>
        <v/>
      </c>
      <c r="L3006" s="16">
        <f>IF(AND(G3006&gt;0,H3006&gt;0),G3006/H3006,"")</f>
        <v/>
      </c>
    </row>
    <row r="3007">
      <c r="A3007" s="4" t="inlineStr">
        <is>
          <t>333</t>
        </is>
      </c>
      <c r="B3007" s="4" t="n">
        <v>3</v>
      </c>
      <c r="C3007" s="4" t="inlineStr">
        <is>
          <t>elk</t>
        </is>
      </c>
      <c r="D3007" s="4" t="n">
        <v>2004</v>
      </c>
      <c r="E3007" s="4" t="inlineStr"/>
      <c r="F3007" s="5" t="n">
        <v>869</v>
      </c>
      <c r="G3007" s="5" t="n">
        <v>5274</v>
      </c>
      <c r="H3007" s="5" t="n">
        <v>115</v>
      </c>
      <c r="I3007" s="5" t="n">
        <v>46</v>
      </c>
      <c r="J3007" s="5" t="n">
        <v>56</v>
      </c>
      <c r="K3007" s="10">
        <f>IF(F3007&gt;0,H3007/F3007,"")</f>
        <v/>
      </c>
      <c r="L3007" s="16">
        <f>IF(AND(G3007&gt;0,H3007&gt;0),G3007/H3007,"")</f>
        <v/>
      </c>
    </row>
    <row r="3008">
      <c r="A3008" s="4" t="inlineStr">
        <is>
          <t>333</t>
        </is>
      </c>
      <c r="B3008" s="4" t="n">
        <v>3</v>
      </c>
      <c r="C3008" s="4" t="inlineStr">
        <is>
          <t>elk</t>
        </is>
      </c>
      <c r="D3008" s="4" t="n">
        <v>2005</v>
      </c>
      <c r="E3008" s="4" t="inlineStr"/>
      <c r="F3008" s="5" t="n">
        <v>903</v>
      </c>
      <c r="G3008" s="5" t="n">
        <v>5852</v>
      </c>
      <c r="H3008" s="5" t="n">
        <v>194</v>
      </c>
      <c r="I3008" s="5" t="n">
        <v>64</v>
      </c>
      <c r="J3008" s="5" t="n">
        <v>122</v>
      </c>
      <c r="K3008" s="10">
        <f>IF(F3008&gt;0,H3008/F3008,"")</f>
        <v/>
      </c>
      <c r="L3008" s="16">
        <f>IF(AND(G3008&gt;0,H3008&gt;0),G3008/H3008,"")</f>
        <v/>
      </c>
    </row>
    <row r="3009">
      <c r="A3009" s="4" t="inlineStr">
        <is>
          <t>333</t>
        </is>
      </c>
      <c r="B3009" s="4" t="n">
        <v>3</v>
      </c>
      <c r="C3009" s="4" t="inlineStr">
        <is>
          <t>elk</t>
        </is>
      </c>
      <c r="D3009" s="4" t="n">
        <v>2006</v>
      </c>
      <c r="E3009" s="4" t="inlineStr"/>
      <c r="F3009" s="5" t="n">
        <v>857</v>
      </c>
      <c r="G3009" s="5" t="n">
        <v>5232</v>
      </c>
      <c r="H3009" s="5" t="n">
        <v>104</v>
      </c>
      <c r="I3009" s="5" t="n">
        <v>63</v>
      </c>
      <c r="J3009" s="5" t="n">
        <v>30</v>
      </c>
      <c r="K3009" s="10">
        <f>IF(F3009&gt;0,H3009/F3009,"")</f>
        <v/>
      </c>
      <c r="L3009" s="16">
        <f>IF(AND(G3009&gt;0,H3009&gt;0),G3009/H3009,"")</f>
        <v/>
      </c>
    </row>
    <row r="3010">
      <c r="A3010" s="4" t="inlineStr">
        <is>
          <t>333</t>
        </is>
      </c>
      <c r="B3010" s="4" t="n">
        <v>3</v>
      </c>
      <c r="C3010" s="4" t="inlineStr">
        <is>
          <t>elk</t>
        </is>
      </c>
      <c r="D3010" s="4" t="n">
        <v>2007</v>
      </c>
      <c r="E3010" s="4" t="inlineStr"/>
      <c r="F3010" s="5" t="n">
        <v>1031</v>
      </c>
      <c r="G3010" s="5" t="n">
        <v>5929</v>
      </c>
      <c r="H3010" s="5" t="n">
        <v>160</v>
      </c>
      <c r="I3010" s="5" t="n">
        <v>106</v>
      </c>
      <c r="J3010" s="5" t="n">
        <v>50</v>
      </c>
      <c r="K3010" s="10">
        <f>IF(F3010&gt;0,H3010/F3010,"")</f>
        <v/>
      </c>
      <c r="L3010" s="16">
        <f>IF(AND(G3010&gt;0,H3010&gt;0),G3010/H3010,"")</f>
        <v/>
      </c>
    </row>
    <row r="3011">
      <c r="A3011" s="4" t="inlineStr">
        <is>
          <t>333</t>
        </is>
      </c>
      <c r="B3011" s="4" t="n">
        <v>3</v>
      </c>
      <c r="C3011" s="4" t="inlineStr">
        <is>
          <t>elk</t>
        </is>
      </c>
      <c r="D3011" s="4" t="n">
        <v>2008</v>
      </c>
      <c r="E3011" s="4" t="inlineStr"/>
      <c r="F3011" s="5" t="n">
        <v>1063</v>
      </c>
      <c r="G3011" s="5" t="n">
        <v>6197</v>
      </c>
      <c r="H3011" s="5" t="n">
        <v>148</v>
      </c>
      <c r="I3011" s="5" t="n">
        <v>41</v>
      </c>
      <c r="J3011" s="5" t="n">
        <v>89</v>
      </c>
      <c r="K3011" s="10">
        <f>IF(F3011&gt;0,H3011/F3011,"")</f>
        <v/>
      </c>
      <c r="L3011" s="16">
        <f>IF(AND(G3011&gt;0,H3011&gt;0),G3011/H3011,"")</f>
        <v/>
      </c>
    </row>
    <row r="3012">
      <c r="A3012" s="4" t="inlineStr">
        <is>
          <t>333</t>
        </is>
      </c>
      <c r="B3012" s="4" t="n">
        <v>3</v>
      </c>
      <c r="C3012" s="4" t="inlineStr">
        <is>
          <t>elk</t>
        </is>
      </c>
      <c r="D3012" s="4" t="n">
        <v>2009</v>
      </c>
      <c r="E3012" s="4" t="inlineStr"/>
      <c r="F3012" s="5" t="n">
        <v>898</v>
      </c>
      <c r="G3012" s="5" t="n">
        <v>5362</v>
      </c>
      <c r="H3012" s="5" t="n">
        <v>140</v>
      </c>
      <c r="I3012" s="5" t="n">
        <v>89</v>
      </c>
      <c r="J3012" s="5" t="n">
        <v>39</v>
      </c>
      <c r="K3012" s="10">
        <f>IF(F3012&gt;0,H3012/F3012,"")</f>
        <v/>
      </c>
      <c r="L3012" s="16">
        <f>IF(AND(G3012&gt;0,H3012&gt;0),G3012/H3012,"")</f>
        <v/>
      </c>
    </row>
    <row r="3013">
      <c r="A3013" s="4" t="inlineStr">
        <is>
          <t>333</t>
        </is>
      </c>
      <c r="B3013" s="4" t="n">
        <v>3</v>
      </c>
      <c r="C3013" s="4" t="inlineStr">
        <is>
          <t>elk</t>
        </is>
      </c>
      <c r="D3013" s="4" t="n">
        <v>2010</v>
      </c>
      <c r="E3013" s="4" t="inlineStr"/>
      <c r="F3013" s="5" t="n">
        <v>858</v>
      </c>
      <c r="G3013" s="5" t="n">
        <v>5096</v>
      </c>
      <c r="H3013" s="5" t="n">
        <v>144</v>
      </c>
      <c r="I3013" s="5" t="n">
        <v>77</v>
      </c>
      <c r="J3013" s="5" t="n">
        <v>67</v>
      </c>
      <c r="K3013" s="10">
        <f>IF(F3013&gt;0,H3013/F3013,"")</f>
        <v/>
      </c>
      <c r="L3013" s="16">
        <f>IF(AND(G3013&gt;0,H3013&gt;0),G3013/H3013,"")</f>
        <v/>
      </c>
    </row>
    <row r="3014">
      <c r="A3014" s="4" t="inlineStr">
        <is>
          <t>333</t>
        </is>
      </c>
      <c r="B3014" s="4" t="n">
        <v>3</v>
      </c>
      <c r="C3014" s="4" t="inlineStr">
        <is>
          <t>elk</t>
        </is>
      </c>
      <c r="D3014" s="4" t="n">
        <v>2011</v>
      </c>
      <c r="E3014" s="4" t="inlineStr"/>
      <c r="F3014" s="5" t="n">
        <v>790</v>
      </c>
      <c r="G3014" s="5" t="n">
        <v>5325</v>
      </c>
      <c r="H3014" s="5" t="n">
        <v>88</v>
      </c>
      <c r="I3014" s="5" t="n">
        <v>46</v>
      </c>
      <c r="J3014" s="5" t="n">
        <v>33</v>
      </c>
      <c r="K3014" s="10">
        <f>IF(F3014&gt;0,H3014/F3014,"")</f>
        <v/>
      </c>
      <c r="L3014" s="16">
        <f>IF(AND(G3014&gt;0,H3014&gt;0),G3014/H3014,"")</f>
        <v/>
      </c>
    </row>
    <row r="3015">
      <c r="A3015" s="4" t="inlineStr">
        <is>
          <t>333</t>
        </is>
      </c>
      <c r="B3015" s="4" t="n">
        <v>3</v>
      </c>
      <c r="C3015" s="4" t="inlineStr">
        <is>
          <t>elk</t>
        </is>
      </c>
      <c r="D3015" s="4" t="n">
        <v>2012</v>
      </c>
      <c r="E3015" s="4" t="inlineStr"/>
      <c r="F3015" s="5" t="n">
        <v>888</v>
      </c>
      <c r="G3015" s="5" t="n">
        <v>5070</v>
      </c>
      <c r="H3015" s="5" t="n">
        <v>131</v>
      </c>
      <c r="I3015" s="5" t="n">
        <v>68</v>
      </c>
      <c r="J3015" s="5" t="n">
        <v>52</v>
      </c>
      <c r="K3015" s="10">
        <f>IF(F3015&gt;0,H3015/F3015,"")</f>
        <v/>
      </c>
      <c r="L3015" s="16">
        <f>IF(AND(G3015&gt;0,H3015&gt;0),G3015/H3015,"")</f>
        <v/>
      </c>
    </row>
    <row r="3016">
      <c r="A3016" s="4" t="inlineStr">
        <is>
          <t>333</t>
        </is>
      </c>
      <c r="B3016" s="4" t="n">
        <v>3</v>
      </c>
      <c r="C3016" s="4" t="inlineStr">
        <is>
          <t>elk</t>
        </is>
      </c>
      <c r="D3016" s="4" t="n">
        <v>2013</v>
      </c>
      <c r="E3016" s="4" t="inlineStr"/>
      <c r="F3016" s="5" t="n"/>
      <c r="G3016" s="5" t="n"/>
      <c r="H3016" s="5" t="n">
        <v>101</v>
      </c>
      <c r="I3016" s="5" t="n">
        <v>56</v>
      </c>
      <c r="J3016" s="5" t="n">
        <v>39</v>
      </c>
      <c r="K3016" s="10">
        <f>IF(F3016&gt;0,H3016/F3016,"")</f>
        <v/>
      </c>
      <c r="L3016" s="16">
        <f>IF(AND(G3016&gt;0,H3016&gt;0),G3016/H3016,"")</f>
        <v/>
      </c>
    </row>
    <row r="3017">
      <c r="A3017" s="4" t="inlineStr">
        <is>
          <t>333</t>
        </is>
      </c>
      <c r="B3017" s="4" t="n">
        <v>3</v>
      </c>
      <c r="C3017" s="4" t="inlineStr">
        <is>
          <t>elk</t>
        </is>
      </c>
      <c r="D3017" s="4" t="n">
        <v>2014</v>
      </c>
      <c r="E3017" s="4" t="inlineStr"/>
      <c r="F3017" s="5" t="n">
        <v>931</v>
      </c>
      <c r="G3017" s="5" t="n">
        <v>5507</v>
      </c>
      <c r="H3017" s="5" t="n">
        <v>126</v>
      </c>
      <c r="I3017" s="5" t="n">
        <v>65</v>
      </c>
      <c r="J3017" s="5" t="n">
        <v>55</v>
      </c>
      <c r="K3017" s="10">
        <f>IF(F3017&gt;0,H3017/F3017,"")</f>
        <v/>
      </c>
      <c r="L3017" s="16">
        <f>IF(AND(G3017&gt;0,H3017&gt;0),G3017/H3017,"")</f>
        <v/>
      </c>
    </row>
    <row r="3018">
      <c r="A3018" s="4" t="inlineStr">
        <is>
          <t>333</t>
        </is>
      </c>
      <c r="B3018" s="4" t="n">
        <v>3</v>
      </c>
      <c r="C3018" s="4" t="inlineStr">
        <is>
          <t>elk</t>
        </is>
      </c>
      <c r="D3018" s="4" t="n">
        <v>2015</v>
      </c>
      <c r="E3018" s="4" t="inlineStr"/>
      <c r="F3018" s="5" t="n">
        <v>925</v>
      </c>
      <c r="G3018" s="5" t="n">
        <v>6312</v>
      </c>
      <c r="H3018" s="5" t="n">
        <v>126</v>
      </c>
      <c r="I3018" s="5" t="n">
        <v>56</v>
      </c>
      <c r="J3018" s="5" t="n">
        <v>70</v>
      </c>
      <c r="K3018" s="10">
        <f>IF(F3018&gt;0,H3018/F3018,"")</f>
        <v/>
      </c>
      <c r="L3018" s="16">
        <f>IF(AND(G3018&gt;0,H3018&gt;0),G3018/H3018,"")</f>
        <v/>
      </c>
    </row>
    <row r="3019">
      <c r="A3019" s="4" t="inlineStr">
        <is>
          <t>333</t>
        </is>
      </c>
      <c r="B3019" s="4" t="n">
        <v>3</v>
      </c>
      <c r="C3019" s="4" t="inlineStr">
        <is>
          <t>elk</t>
        </is>
      </c>
      <c r="D3019" s="4" t="n">
        <v>2016</v>
      </c>
      <c r="E3019" s="4" t="inlineStr"/>
      <c r="F3019" s="5" t="n">
        <v>913</v>
      </c>
      <c r="G3019" s="5" t="n">
        <v>6694</v>
      </c>
      <c r="H3019" s="5" t="n">
        <v>124</v>
      </c>
      <c r="I3019" s="5" t="n">
        <v>54</v>
      </c>
      <c r="J3019" s="5" t="n">
        <v>64</v>
      </c>
      <c r="K3019" s="10">
        <f>IF(F3019&gt;0,H3019/F3019,"")</f>
        <v/>
      </c>
      <c r="L3019" s="16">
        <f>IF(AND(G3019&gt;0,H3019&gt;0),G3019/H3019,"")</f>
        <v/>
      </c>
    </row>
    <row r="3020">
      <c r="A3020" s="4" t="inlineStr">
        <is>
          <t>333</t>
        </is>
      </c>
      <c r="B3020" s="4" t="n">
        <v>3</v>
      </c>
      <c r="C3020" s="4" t="inlineStr">
        <is>
          <t>elk</t>
        </is>
      </c>
      <c r="D3020" s="4" t="n">
        <v>2017</v>
      </c>
      <c r="E3020" s="4" t="inlineStr"/>
      <c r="F3020" s="5" t="n"/>
      <c r="G3020" s="5" t="n"/>
      <c r="H3020" s="5" t="n">
        <v>229</v>
      </c>
      <c r="I3020" s="5" t="n">
        <v>94</v>
      </c>
      <c r="J3020" s="5" t="n">
        <v>118</v>
      </c>
      <c r="K3020" s="10">
        <f>IF(F3020&gt;0,H3020/F3020,"")</f>
        <v/>
      </c>
      <c r="L3020" s="16">
        <f>IF(AND(G3020&gt;0,H3020&gt;0),G3020/H3020,"")</f>
        <v/>
      </c>
    </row>
    <row r="3021">
      <c r="A3021" s="4" t="inlineStr">
        <is>
          <t>333</t>
        </is>
      </c>
      <c r="B3021" s="4" t="n">
        <v>3</v>
      </c>
      <c r="C3021" s="4" t="inlineStr">
        <is>
          <t>elk</t>
        </is>
      </c>
      <c r="D3021" s="4" t="n">
        <v>2018</v>
      </c>
      <c r="E3021" s="4" t="inlineStr"/>
      <c r="F3021" s="5" t="n">
        <v>982</v>
      </c>
      <c r="G3021" s="5" t="n">
        <v>5807</v>
      </c>
      <c r="H3021" s="5" t="n">
        <v>173</v>
      </c>
      <c r="I3021" s="5" t="n">
        <v>87</v>
      </c>
      <c r="J3021" s="5" t="n">
        <v>80</v>
      </c>
      <c r="K3021" s="10">
        <f>IF(F3021&gt;0,H3021/F3021,"")</f>
        <v/>
      </c>
      <c r="L3021" s="16">
        <f>IF(AND(G3021&gt;0,H3021&gt;0),G3021/H3021,"")</f>
        <v/>
      </c>
    </row>
    <row r="3022">
      <c r="A3022" s="4" t="inlineStr">
        <is>
          <t>333</t>
        </is>
      </c>
      <c r="B3022" s="4" t="n">
        <v>3</v>
      </c>
      <c r="C3022" s="4" t="inlineStr">
        <is>
          <t>elk</t>
        </is>
      </c>
      <c r="D3022" s="4" t="n">
        <v>2019</v>
      </c>
      <c r="E3022" s="4" t="inlineStr"/>
      <c r="F3022" s="5" t="n"/>
      <c r="G3022" s="5" t="n"/>
      <c r="H3022" s="5" t="n">
        <v>179</v>
      </c>
      <c r="I3022" s="5" t="n">
        <v>99</v>
      </c>
      <c r="J3022" s="5" t="n">
        <v>71</v>
      </c>
      <c r="K3022" s="10">
        <f>IF(F3022&gt;0,H3022/F3022,"")</f>
        <v/>
      </c>
      <c r="L3022" s="16">
        <f>IF(AND(G3022&gt;0,H3022&gt;0),G3022/H3022,"")</f>
        <v/>
      </c>
    </row>
    <row r="3023">
      <c r="A3023" s="4" t="inlineStr">
        <is>
          <t>333</t>
        </is>
      </c>
      <c r="B3023" s="4" t="n">
        <v>3</v>
      </c>
      <c r="C3023" s="4" t="inlineStr">
        <is>
          <t>elk</t>
        </is>
      </c>
      <c r="D3023" s="4" t="n">
        <v>2020</v>
      </c>
      <c r="E3023" s="4" t="inlineStr"/>
      <c r="F3023" s="5" t="n">
        <v>1133</v>
      </c>
      <c r="G3023" s="5" t="n">
        <v>7829</v>
      </c>
      <c r="H3023" s="5" t="n">
        <v>280</v>
      </c>
      <c r="I3023" s="5" t="n">
        <v>132</v>
      </c>
      <c r="J3023" s="5" t="n">
        <v>135</v>
      </c>
      <c r="K3023" s="10">
        <f>IF(F3023&gt;0,H3023/F3023,"")</f>
        <v/>
      </c>
      <c r="L3023" s="16">
        <f>IF(AND(G3023&gt;0,H3023&gt;0),G3023/H3023,"")</f>
        <v/>
      </c>
    </row>
    <row r="3024">
      <c r="A3024" s="4" t="inlineStr">
        <is>
          <t>333</t>
        </is>
      </c>
      <c r="B3024" s="4" t="n">
        <v>3</v>
      </c>
      <c r="C3024" s="4" t="inlineStr">
        <is>
          <t>elk</t>
        </is>
      </c>
      <c r="D3024" s="4" t="n">
        <v>2021</v>
      </c>
      <c r="E3024" s="4" t="inlineStr"/>
      <c r="F3024" s="5" t="n"/>
      <c r="G3024" s="5" t="n"/>
      <c r="H3024" s="5" t="n">
        <v>175</v>
      </c>
      <c r="I3024" s="5" t="n">
        <v>81</v>
      </c>
      <c r="J3024" s="5" t="n">
        <v>94</v>
      </c>
      <c r="K3024" s="10">
        <f>IF(F3024&gt;0,H3024/F3024,"")</f>
        <v/>
      </c>
      <c r="L3024" s="16">
        <f>IF(AND(G3024&gt;0,H3024&gt;0),G3024/H3024,"")</f>
        <v/>
      </c>
    </row>
    <row r="3025">
      <c r="A3025" s="4" t="inlineStr">
        <is>
          <t>334</t>
        </is>
      </c>
      <c r="B3025" s="4" t="n">
        <v>3</v>
      </c>
      <c r="C3025" s="4" t="inlineStr">
        <is>
          <t>elk</t>
        </is>
      </c>
      <c r="D3025" s="4" t="n">
        <v>2010</v>
      </c>
      <c r="E3025" s="4" t="inlineStr"/>
      <c r="F3025" s="5" t="n">
        <v>509</v>
      </c>
      <c r="G3025" s="5" t="n">
        <v>2988</v>
      </c>
      <c r="H3025" s="5" t="n">
        <v>79</v>
      </c>
      <c r="I3025" s="5" t="n">
        <v>31</v>
      </c>
      <c r="J3025" s="5" t="n">
        <v>44</v>
      </c>
      <c r="K3025" s="10">
        <f>IF(F3025&gt;0,H3025/F3025,"")</f>
        <v/>
      </c>
      <c r="L3025" s="16">
        <f>IF(AND(G3025&gt;0,H3025&gt;0),G3025/H3025,"")</f>
        <v/>
      </c>
    </row>
    <row r="3026">
      <c r="A3026" s="4" t="inlineStr">
        <is>
          <t>334</t>
        </is>
      </c>
      <c r="B3026" s="4" t="n">
        <v>3</v>
      </c>
      <c r="C3026" s="4" t="inlineStr">
        <is>
          <t>elk</t>
        </is>
      </c>
      <c r="D3026" s="4" t="n">
        <v>2011</v>
      </c>
      <c r="E3026" s="4" t="inlineStr"/>
      <c r="F3026" s="5" t="n">
        <v>509</v>
      </c>
      <c r="G3026" s="5" t="n">
        <v>3155</v>
      </c>
      <c r="H3026" s="5" t="n">
        <v>68</v>
      </c>
      <c r="I3026" s="5" t="n">
        <v>25</v>
      </c>
      <c r="J3026" s="5" t="n">
        <v>43</v>
      </c>
      <c r="K3026" s="10">
        <f>IF(F3026&gt;0,H3026/F3026,"")</f>
        <v/>
      </c>
      <c r="L3026" s="16">
        <f>IF(AND(G3026&gt;0,H3026&gt;0),G3026/H3026,"")</f>
        <v/>
      </c>
    </row>
    <row r="3027">
      <c r="A3027" s="4" t="inlineStr">
        <is>
          <t>334</t>
        </is>
      </c>
      <c r="B3027" s="4" t="n">
        <v>3</v>
      </c>
      <c r="C3027" s="4" t="inlineStr">
        <is>
          <t>elk</t>
        </is>
      </c>
      <c r="D3027" s="4" t="n">
        <v>2012</v>
      </c>
      <c r="E3027" s="4" t="inlineStr"/>
      <c r="F3027" s="5" t="n">
        <v>660</v>
      </c>
      <c r="G3027" s="5" t="n">
        <v>4055</v>
      </c>
      <c r="H3027" s="5" t="n">
        <v>70</v>
      </c>
      <c r="I3027" s="5" t="n">
        <v>49</v>
      </c>
      <c r="J3027" s="5" t="n">
        <v>15</v>
      </c>
      <c r="K3027" s="10">
        <f>IF(F3027&gt;0,H3027/F3027,"")</f>
        <v/>
      </c>
      <c r="L3027" s="16">
        <f>IF(AND(G3027&gt;0,H3027&gt;0),G3027/H3027,"")</f>
        <v/>
      </c>
    </row>
    <row r="3028">
      <c r="A3028" s="4" t="inlineStr">
        <is>
          <t>334</t>
        </is>
      </c>
      <c r="B3028" s="4" t="n">
        <v>3</v>
      </c>
      <c r="C3028" s="4" t="inlineStr">
        <is>
          <t>elk</t>
        </is>
      </c>
      <c r="D3028" s="4" t="n">
        <v>2013</v>
      </c>
      <c r="E3028" s="4" t="inlineStr"/>
      <c r="F3028" s="5" t="n"/>
      <c r="G3028" s="5" t="n"/>
      <c r="H3028" s="5" t="n">
        <v>77</v>
      </c>
      <c r="I3028" s="5" t="n">
        <v>36</v>
      </c>
      <c r="J3028" s="5" t="n">
        <v>37</v>
      </c>
      <c r="K3028" s="10">
        <f>IF(F3028&gt;0,H3028/F3028,"")</f>
        <v/>
      </c>
      <c r="L3028" s="16">
        <f>IF(AND(G3028&gt;0,H3028&gt;0),G3028/H3028,"")</f>
        <v/>
      </c>
    </row>
    <row r="3029">
      <c r="A3029" s="4" t="inlineStr">
        <is>
          <t>334</t>
        </is>
      </c>
      <c r="B3029" s="4" t="n">
        <v>3</v>
      </c>
      <c r="C3029" s="4" t="inlineStr">
        <is>
          <t>elk</t>
        </is>
      </c>
      <c r="D3029" s="4" t="n">
        <v>2014</v>
      </c>
      <c r="E3029" s="4" t="inlineStr"/>
      <c r="F3029" s="5" t="n">
        <v>646</v>
      </c>
      <c r="G3029" s="5" t="n">
        <v>3889</v>
      </c>
      <c r="H3029" s="5" t="n">
        <v>97</v>
      </c>
      <c r="I3029" s="5" t="n">
        <v>28</v>
      </c>
      <c r="J3029" s="5" t="n">
        <v>64</v>
      </c>
      <c r="K3029" s="10">
        <f>IF(F3029&gt;0,H3029/F3029,"")</f>
        <v/>
      </c>
      <c r="L3029" s="16">
        <f>IF(AND(G3029&gt;0,H3029&gt;0),G3029/H3029,"")</f>
        <v/>
      </c>
    </row>
    <row r="3030">
      <c r="A3030" s="4" t="inlineStr">
        <is>
          <t>334</t>
        </is>
      </c>
      <c r="B3030" s="4" t="n">
        <v>3</v>
      </c>
      <c r="C3030" s="4" t="inlineStr">
        <is>
          <t>elk</t>
        </is>
      </c>
      <c r="D3030" s="4" t="n">
        <v>2015</v>
      </c>
      <c r="E3030" s="4" t="inlineStr"/>
      <c r="F3030" s="5" t="n">
        <v>599</v>
      </c>
      <c r="G3030" s="5" t="n">
        <v>3672</v>
      </c>
      <c r="H3030" s="5" t="n">
        <v>93</v>
      </c>
      <c r="I3030" s="5" t="n">
        <v>44</v>
      </c>
      <c r="J3030" s="5" t="n">
        <v>48</v>
      </c>
      <c r="K3030" s="10">
        <f>IF(F3030&gt;0,H3030/F3030,"")</f>
        <v/>
      </c>
      <c r="L3030" s="16">
        <f>IF(AND(G3030&gt;0,H3030&gt;0),G3030/H3030,"")</f>
        <v/>
      </c>
    </row>
    <row r="3031">
      <c r="A3031" s="4" t="inlineStr">
        <is>
          <t>334</t>
        </is>
      </c>
      <c r="B3031" s="4" t="n">
        <v>3</v>
      </c>
      <c r="C3031" s="4" t="inlineStr">
        <is>
          <t>elk</t>
        </is>
      </c>
      <c r="D3031" s="4" t="n">
        <v>2016</v>
      </c>
      <c r="E3031" s="4" t="inlineStr"/>
      <c r="F3031" s="5" t="n">
        <v>678</v>
      </c>
      <c r="G3031" s="5" t="n">
        <v>4375</v>
      </c>
      <c r="H3031" s="5" t="n">
        <v>95</v>
      </c>
      <c r="I3031" s="5" t="n">
        <v>54</v>
      </c>
      <c r="J3031" s="5" t="n">
        <v>41</v>
      </c>
      <c r="K3031" s="10">
        <f>IF(F3031&gt;0,H3031/F3031,"")</f>
        <v/>
      </c>
      <c r="L3031" s="16">
        <f>IF(AND(G3031&gt;0,H3031&gt;0),G3031/H3031,"")</f>
        <v/>
      </c>
    </row>
    <row r="3032">
      <c r="A3032" s="4" t="inlineStr">
        <is>
          <t>334</t>
        </is>
      </c>
      <c r="B3032" s="4" t="n">
        <v>3</v>
      </c>
      <c r="C3032" s="4" t="inlineStr">
        <is>
          <t>elk</t>
        </is>
      </c>
      <c r="D3032" s="4" t="n">
        <v>2017</v>
      </c>
      <c r="E3032" s="4" t="inlineStr"/>
      <c r="F3032" s="5" t="n"/>
      <c r="G3032" s="5" t="n"/>
      <c r="H3032" s="5" t="n">
        <v>102</v>
      </c>
      <c r="I3032" s="5" t="n">
        <v>62</v>
      </c>
      <c r="J3032" s="5" t="n">
        <v>37</v>
      </c>
      <c r="K3032" s="10">
        <f>IF(F3032&gt;0,H3032/F3032,"")</f>
        <v/>
      </c>
      <c r="L3032" s="16">
        <f>IF(AND(G3032&gt;0,H3032&gt;0),G3032/H3032,"")</f>
        <v/>
      </c>
    </row>
    <row r="3033">
      <c r="A3033" s="4" t="inlineStr">
        <is>
          <t>334</t>
        </is>
      </c>
      <c r="B3033" s="4" t="n">
        <v>3</v>
      </c>
      <c r="C3033" s="4" t="inlineStr">
        <is>
          <t>elk</t>
        </is>
      </c>
      <c r="D3033" s="4" t="n">
        <v>2018</v>
      </c>
      <c r="E3033" s="4" t="inlineStr"/>
      <c r="F3033" s="5" t="n">
        <v>639</v>
      </c>
      <c r="G3033" s="5" t="n">
        <v>4400</v>
      </c>
      <c r="H3033" s="5" t="n">
        <v>128</v>
      </c>
      <c r="I3033" s="5" t="n">
        <v>57</v>
      </c>
      <c r="J3033" s="5" t="n">
        <v>64</v>
      </c>
      <c r="K3033" s="10">
        <f>IF(F3033&gt;0,H3033/F3033,"")</f>
        <v/>
      </c>
      <c r="L3033" s="16">
        <f>IF(AND(G3033&gt;0,H3033&gt;0),G3033/H3033,"")</f>
        <v/>
      </c>
    </row>
    <row r="3034">
      <c r="A3034" s="4" t="inlineStr">
        <is>
          <t>334</t>
        </is>
      </c>
      <c r="B3034" s="4" t="n">
        <v>3</v>
      </c>
      <c r="C3034" s="4" t="inlineStr">
        <is>
          <t>elk</t>
        </is>
      </c>
      <c r="D3034" s="4" t="n">
        <v>2019</v>
      </c>
      <c r="E3034" s="4" t="inlineStr"/>
      <c r="F3034" s="5" t="n"/>
      <c r="G3034" s="5" t="n"/>
      <c r="H3034" s="5" t="n">
        <v>113</v>
      </c>
      <c r="I3034" s="5" t="n">
        <v>42</v>
      </c>
      <c r="J3034" s="5" t="n">
        <v>64</v>
      </c>
      <c r="K3034" s="10">
        <f>IF(F3034&gt;0,H3034/F3034,"")</f>
        <v/>
      </c>
      <c r="L3034" s="16">
        <f>IF(AND(G3034&gt;0,H3034&gt;0),G3034/H3034,"")</f>
        <v/>
      </c>
    </row>
    <row r="3035">
      <c r="A3035" s="4" t="inlineStr">
        <is>
          <t>334</t>
        </is>
      </c>
      <c r="B3035" s="4" t="n">
        <v>3</v>
      </c>
      <c r="C3035" s="4" t="inlineStr">
        <is>
          <t>elk</t>
        </is>
      </c>
      <c r="D3035" s="4" t="n">
        <v>2020</v>
      </c>
      <c r="E3035" s="4" t="inlineStr"/>
      <c r="F3035" s="5" t="n">
        <v>699</v>
      </c>
      <c r="G3035" s="5" t="n">
        <v>4846</v>
      </c>
      <c r="H3035" s="5" t="n">
        <v>69</v>
      </c>
      <c r="I3035" s="5" t="n">
        <v>24</v>
      </c>
      <c r="J3035" s="5" t="n">
        <v>36</v>
      </c>
      <c r="K3035" s="10">
        <f>IF(F3035&gt;0,H3035/F3035,"")</f>
        <v/>
      </c>
      <c r="L3035" s="16">
        <f>IF(AND(G3035&gt;0,H3035&gt;0),G3035/H3035,"")</f>
        <v/>
      </c>
    </row>
    <row r="3036">
      <c r="A3036" s="4" t="inlineStr">
        <is>
          <t>334</t>
        </is>
      </c>
      <c r="B3036" s="4" t="n">
        <v>3</v>
      </c>
      <c r="C3036" s="4" t="inlineStr">
        <is>
          <t>elk</t>
        </is>
      </c>
      <c r="D3036" s="4" t="n">
        <v>2021</v>
      </c>
      <c r="E3036" s="4" t="inlineStr"/>
      <c r="F3036" s="5" t="n"/>
      <c r="G3036" s="5" t="n"/>
      <c r="H3036" s="5" t="n">
        <v>87</v>
      </c>
      <c r="I3036" s="5" t="n">
        <v>22</v>
      </c>
      <c r="J3036" s="5" t="n">
        <v>57</v>
      </c>
      <c r="K3036" s="10">
        <f>IF(F3036&gt;0,H3036/F3036,"")</f>
        <v/>
      </c>
      <c r="L3036" s="16">
        <f>IF(AND(G3036&gt;0,H3036&gt;0),G3036/H3036,"")</f>
        <v/>
      </c>
    </row>
    <row r="3037">
      <c r="A3037" s="4" t="inlineStr">
        <is>
          <t>335</t>
        </is>
      </c>
      <c r="B3037" s="4" t="n">
        <v>3</v>
      </c>
      <c r="C3037" s="4" t="inlineStr">
        <is>
          <t>elk</t>
        </is>
      </c>
      <c r="D3037" s="4" t="n">
        <v>2004</v>
      </c>
      <c r="E3037" s="13" t="inlineStr">
        <is>
          <t>General</t>
        </is>
      </c>
      <c r="F3037" s="5" t="n">
        <v>961</v>
      </c>
      <c r="G3037" s="5" t="n">
        <v>7215</v>
      </c>
      <c r="H3037" s="5" t="n">
        <v>103</v>
      </c>
      <c r="I3037" s="5" t="n">
        <v>50</v>
      </c>
      <c r="J3037" s="5" t="n">
        <v>48</v>
      </c>
      <c r="K3037" s="10">
        <f>IF(F3037&gt;0,H3037/F3037,"")</f>
        <v/>
      </c>
      <c r="L3037" s="16">
        <f>IF(AND(G3037&gt;0,H3037&gt;0),G3037/H3037,"")</f>
        <v/>
      </c>
    </row>
    <row r="3038">
      <c r="A3038" s="4" t="inlineStr">
        <is>
          <t>335</t>
        </is>
      </c>
      <c r="B3038" s="4" t="n">
        <v>3</v>
      </c>
      <c r="C3038" s="4" t="inlineStr">
        <is>
          <t>elk</t>
        </is>
      </c>
      <c r="D3038" s="4" t="n">
        <v>2005</v>
      </c>
      <c r="E3038" s="13" t="inlineStr">
        <is>
          <t>General</t>
        </is>
      </c>
      <c r="F3038" s="5" t="n">
        <v>793</v>
      </c>
      <c r="G3038" s="5" t="n">
        <v>5318</v>
      </c>
      <c r="H3038" s="5" t="n">
        <v>169</v>
      </c>
      <c r="I3038" s="5" t="n">
        <v>61</v>
      </c>
      <c r="J3038" s="5" t="n">
        <v>104</v>
      </c>
      <c r="K3038" s="10">
        <f>IF(F3038&gt;0,H3038/F3038,"")</f>
        <v/>
      </c>
      <c r="L3038" s="16">
        <f>IF(AND(G3038&gt;0,H3038&gt;0),G3038/H3038,"")</f>
        <v/>
      </c>
    </row>
    <row r="3039">
      <c r="A3039" s="4" t="inlineStr">
        <is>
          <t>335</t>
        </is>
      </c>
      <c r="B3039" s="4" t="n">
        <v>3</v>
      </c>
      <c r="C3039" s="4" t="inlineStr">
        <is>
          <t>elk</t>
        </is>
      </c>
      <c r="D3039" s="4" t="n">
        <v>2006</v>
      </c>
      <c r="E3039" s="13" t="inlineStr">
        <is>
          <t>General</t>
        </is>
      </c>
      <c r="F3039" s="5" t="n">
        <v>868</v>
      </c>
      <c r="G3039" s="5" t="n">
        <v>6983</v>
      </c>
      <c r="H3039" s="5" t="n">
        <v>180</v>
      </c>
      <c r="I3039" s="5" t="n">
        <v>89</v>
      </c>
      <c r="J3039" s="5" t="n">
        <v>81</v>
      </c>
      <c r="K3039" s="10">
        <f>IF(F3039&gt;0,H3039/F3039,"")</f>
        <v/>
      </c>
      <c r="L3039" s="16">
        <f>IF(AND(G3039&gt;0,H3039&gt;0),G3039/H3039,"")</f>
        <v/>
      </c>
    </row>
    <row r="3040">
      <c r="A3040" s="4" t="inlineStr">
        <is>
          <t>335</t>
        </is>
      </c>
      <c r="B3040" s="4" t="n">
        <v>3</v>
      </c>
      <c r="C3040" s="4" t="inlineStr">
        <is>
          <t>elk</t>
        </is>
      </c>
      <c r="D3040" s="4" t="n">
        <v>2007</v>
      </c>
      <c r="E3040" s="13" t="inlineStr">
        <is>
          <t>General</t>
        </is>
      </c>
      <c r="F3040" s="5" t="n">
        <v>877</v>
      </c>
      <c r="G3040" s="5" t="n">
        <v>6351</v>
      </c>
      <c r="H3040" s="5" t="n">
        <v>122</v>
      </c>
      <c r="I3040" s="5" t="n">
        <v>47</v>
      </c>
      <c r="J3040" s="5" t="n">
        <v>59</v>
      </c>
      <c r="K3040" s="10">
        <f>IF(F3040&gt;0,H3040/F3040,"")</f>
        <v/>
      </c>
      <c r="L3040" s="16">
        <f>IF(AND(G3040&gt;0,H3040&gt;0),G3040/H3040,"")</f>
        <v/>
      </c>
    </row>
    <row r="3041">
      <c r="A3041" s="4" t="inlineStr">
        <is>
          <t>335</t>
        </is>
      </c>
      <c r="B3041" s="4" t="n">
        <v>3</v>
      </c>
      <c r="C3041" s="4" t="inlineStr">
        <is>
          <t>elk</t>
        </is>
      </c>
      <c r="D3041" s="4" t="n">
        <v>2008</v>
      </c>
      <c r="E3041" s="13" t="inlineStr">
        <is>
          <t>General</t>
        </is>
      </c>
      <c r="F3041" s="5" t="n">
        <v>1004</v>
      </c>
      <c r="G3041" s="5" t="n">
        <v>7116</v>
      </c>
      <c r="H3041" s="5" t="n">
        <v>165</v>
      </c>
      <c r="I3041" s="5" t="n">
        <v>79</v>
      </c>
      <c r="J3041" s="5" t="n">
        <v>83</v>
      </c>
      <c r="K3041" s="10">
        <f>IF(F3041&gt;0,H3041/F3041,"")</f>
        <v/>
      </c>
      <c r="L3041" s="16">
        <f>IF(AND(G3041&gt;0,H3041&gt;0),G3041/H3041,"")</f>
        <v/>
      </c>
    </row>
    <row r="3042">
      <c r="A3042" s="4" t="inlineStr">
        <is>
          <t>335</t>
        </is>
      </c>
      <c r="B3042" s="4" t="n">
        <v>3</v>
      </c>
      <c r="C3042" s="4" t="inlineStr">
        <is>
          <t>elk</t>
        </is>
      </c>
      <c r="D3042" s="4" t="n">
        <v>2009</v>
      </c>
      <c r="E3042" s="13" t="inlineStr">
        <is>
          <t>General</t>
        </is>
      </c>
      <c r="F3042" s="5" t="n">
        <v>900</v>
      </c>
      <c r="G3042" s="5" t="n">
        <v>6582</v>
      </c>
      <c r="H3042" s="5" t="n">
        <v>85</v>
      </c>
      <c r="I3042" s="5" t="n">
        <v>34</v>
      </c>
      <c r="J3042" s="5" t="n">
        <v>49</v>
      </c>
      <c r="K3042" s="10">
        <f>IF(F3042&gt;0,H3042/F3042,"")</f>
        <v/>
      </c>
      <c r="L3042" s="16">
        <f>IF(AND(G3042&gt;0,H3042&gt;0),G3042/H3042,"")</f>
        <v/>
      </c>
    </row>
    <row r="3043">
      <c r="A3043" s="4" t="inlineStr">
        <is>
          <t>335</t>
        </is>
      </c>
      <c r="B3043" s="4" t="n">
        <v>3</v>
      </c>
      <c r="C3043" s="4" t="inlineStr">
        <is>
          <t>elk</t>
        </is>
      </c>
      <c r="D3043" s="4" t="n">
        <v>2010</v>
      </c>
      <c r="E3043" s="13" t="inlineStr">
        <is>
          <t>General</t>
        </is>
      </c>
      <c r="F3043" s="5" t="n">
        <v>1050</v>
      </c>
      <c r="G3043" s="5" t="n">
        <v>7727</v>
      </c>
      <c r="H3043" s="5" t="n">
        <v>206</v>
      </c>
      <c r="I3043" s="5" t="n">
        <v>95</v>
      </c>
      <c r="J3043" s="5" t="n">
        <v>102</v>
      </c>
      <c r="K3043" s="10">
        <f>IF(F3043&gt;0,H3043/F3043,"")</f>
        <v/>
      </c>
      <c r="L3043" s="16">
        <f>IF(AND(G3043&gt;0,H3043&gt;0),G3043/H3043,"")</f>
        <v/>
      </c>
    </row>
    <row r="3044">
      <c r="A3044" s="4" t="inlineStr">
        <is>
          <t>335</t>
        </is>
      </c>
      <c r="B3044" s="4" t="n">
        <v>3</v>
      </c>
      <c r="C3044" s="4" t="inlineStr">
        <is>
          <t>elk</t>
        </is>
      </c>
      <c r="D3044" s="4" t="n">
        <v>2011</v>
      </c>
      <c r="E3044" s="13" t="inlineStr">
        <is>
          <t>General</t>
        </is>
      </c>
      <c r="F3044" s="5" t="n">
        <v>1080</v>
      </c>
      <c r="G3044" s="5" t="n">
        <v>7364</v>
      </c>
      <c r="H3044" s="5" t="n">
        <v>154</v>
      </c>
      <c r="I3044" s="5" t="n">
        <v>78</v>
      </c>
      <c r="J3044" s="5" t="n">
        <v>68</v>
      </c>
      <c r="K3044" s="10">
        <f>IF(F3044&gt;0,H3044/F3044,"")</f>
        <v/>
      </c>
      <c r="L3044" s="16">
        <f>IF(AND(G3044&gt;0,H3044&gt;0),G3044/H3044,"")</f>
        <v/>
      </c>
    </row>
    <row r="3045">
      <c r="A3045" s="4" t="inlineStr">
        <is>
          <t>335</t>
        </is>
      </c>
      <c r="B3045" s="4" t="n">
        <v>3</v>
      </c>
      <c r="C3045" s="4" t="inlineStr">
        <is>
          <t>elk</t>
        </is>
      </c>
      <c r="D3045" s="4" t="n">
        <v>2012</v>
      </c>
      <c r="E3045" s="13" t="inlineStr">
        <is>
          <t>General</t>
        </is>
      </c>
      <c r="F3045" s="5" t="n">
        <v>1234</v>
      </c>
      <c r="G3045" s="5" t="n">
        <v>8691</v>
      </c>
      <c r="H3045" s="5" t="n">
        <v>198</v>
      </c>
      <c r="I3045" s="5" t="n">
        <v>108</v>
      </c>
      <c r="J3045" s="5" t="n">
        <v>81</v>
      </c>
      <c r="K3045" s="10">
        <f>IF(F3045&gt;0,H3045/F3045,"")</f>
        <v/>
      </c>
      <c r="L3045" s="16">
        <f>IF(AND(G3045&gt;0,H3045&gt;0),G3045/H3045,"")</f>
        <v/>
      </c>
    </row>
    <row r="3046">
      <c r="A3046" s="4" t="inlineStr">
        <is>
          <t>335</t>
        </is>
      </c>
      <c r="B3046" s="4" t="n">
        <v>3</v>
      </c>
      <c r="C3046" s="4" t="inlineStr">
        <is>
          <t>elk</t>
        </is>
      </c>
      <c r="D3046" s="4" t="n">
        <v>2013</v>
      </c>
      <c r="E3046" s="13" t="inlineStr">
        <is>
          <t>General</t>
        </is>
      </c>
      <c r="F3046" s="5" t="n"/>
      <c r="G3046" s="5" t="n"/>
      <c r="H3046" s="5" t="n">
        <v>197</v>
      </c>
      <c r="I3046" s="5" t="n">
        <v>62</v>
      </c>
      <c r="J3046" s="5" t="n">
        <v>126</v>
      </c>
      <c r="K3046" s="10">
        <f>IF(F3046&gt;0,H3046/F3046,"")</f>
        <v/>
      </c>
      <c r="L3046" s="16">
        <f>IF(AND(G3046&gt;0,H3046&gt;0),G3046/H3046,"")</f>
        <v/>
      </c>
    </row>
    <row r="3047">
      <c r="A3047" s="4" t="inlineStr">
        <is>
          <t>335</t>
        </is>
      </c>
      <c r="B3047" s="4" t="n">
        <v>3</v>
      </c>
      <c r="C3047" s="4" t="inlineStr">
        <is>
          <t>elk</t>
        </is>
      </c>
      <c r="D3047" s="4" t="n">
        <v>2014</v>
      </c>
      <c r="E3047" s="13" t="inlineStr">
        <is>
          <t>General</t>
        </is>
      </c>
      <c r="F3047" s="5" t="n">
        <v>1365</v>
      </c>
      <c r="G3047" s="5" t="n">
        <v>10707</v>
      </c>
      <c r="H3047" s="5" t="n">
        <v>248</v>
      </c>
      <c r="I3047" s="5" t="n">
        <v>105</v>
      </c>
      <c r="J3047" s="5" t="n">
        <v>125</v>
      </c>
      <c r="K3047" s="10">
        <f>IF(F3047&gt;0,H3047/F3047,"")</f>
        <v/>
      </c>
      <c r="L3047" s="16">
        <f>IF(AND(G3047&gt;0,H3047&gt;0),G3047/H3047,"")</f>
        <v/>
      </c>
    </row>
    <row r="3048">
      <c r="A3048" s="4" t="inlineStr">
        <is>
          <t>335</t>
        </is>
      </c>
      <c r="B3048" s="4" t="n">
        <v>3</v>
      </c>
      <c r="C3048" s="4" t="inlineStr">
        <is>
          <t>elk</t>
        </is>
      </c>
      <c r="D3048" s="4" t="n">
        <v>2015</v>
      </c>
      <c r="E3048" s="13" t="inlineStr">
        <is>
          <t>General</t>
        </is>
      </c>
      <c r="F3048" s="5" t="n">
        <v>1438</v>
      </c>
      <c r="G3048" s="5" t="n">
        <v>12019</v>
      </c>
      <c r="H3048" s="5" t="n">
        <v>221</v>
      </c>
      <c r="I3048" s="5" t="n">
        <v>113</v>
      </c>
      <c r="J3048" s="5" t="n">
        <v>108</v>
      </c>
      <c r="K3048" s="10">
        <f>IF(F3048&gt;0,H3048/F3048,"")</f>
        <v/>
      </c>
      <c r="L3048" s="16">
        <f>IF(AND(G3048&gt;0,H3048&gt;0),G3048/H3048,"")</f>
        <v/>
      </c>
    </row>
    <row r="3049">
      <c r="A3049" s="4" t="inlineStr">
        <is>
          <t>335</t>
        </is>
      </c>
      <c r="B3049" s="4" t="n">
        <v>3</v>
      </c>
      <c r="C3049" s="4" t="inlineStr">
        <is>
          <t>elk</t>
        </is>
      </c>
      <c r="D3049" s="4" t="n">
        <v>2016</v>
      </c>
      <c r="E3049" s="13" t="inlineStr">
        <is>
          <t>General</t>
        </is>
      </c>
      <c r="F3049" s="5" t="n">
        <v>1480</v>
      </c>
      <c r="G3049" s="5" t="n">
        <v>11922</v>
      </c>
      <c r="H3049" s="5" t="n">
        <v>119</v>
      </c>
      <c r="I3049" s="5" t="n">
        <v>65</v>
      </c>
      <c r="J3049" s="5" t="n">
        <v>51</v>
      </c>
      <c r="K3049" s="10">
        <f>IF(F3049&gt;0,H3049/F3049,"")</f>
        <v/>
      </c>
      <c r="L3049" s="16">
        <f>IF(AND(G3049&gt;0,H3049&gt;0),G3049/H3049,"")</f>
        <v/>
      </c>
    </row>
    <row r="3050">
      <c r="A3050" s="4" t="inlineStr">
        <is>
          <t>335</t>
        </is>
      </c>
      <c r="B3050" s="4" t="n">
        <v>3</v>
      </c>
      <c r="C3050" s="4" t="inlineStr">
        <is>
          <t>elk</t>
        </is>
      </c>
      <c r="D3050" s="4" t="n">
        <v>2017</v>
      </c>
      <c r="E3050" s="13" t="inlineStr">
        <is>
          <t>General</t>
        </is>
      </c>
      <c r="F3050" s="5" t="n"/>
      <c r="G3050" s="5" t="n"/>
      <c r="H3050" s="5" t="n">
        <v>320</v>
      </c>
      <c r="I3050" s="5" t="n">
        <v>195</v>
      </c>
      <c r="J3050" s="5" t="n">
        <v>117</v>
      </c>
      <c r="K3050" s="10">
        <f>IF(F3050&gt;0,H3050/F3050,"")</f>
        <v/>
      </c>
      <c r="L3050" s="16">
        <f>IF(AND(G3050&gt;0,H3050&gt;0),G3050/H3050,"")</f>
        <v/>
      </c>
    </row>
    <row r="3051">
      <c r="A3051" s="4" t="inlineStr">
        <is>
          <t>335</t>
        </is>
      </c>
      <c r="B3051" s="4" t="n">
        <v>3</v>
      </c>
      <c r="C3051" s="4" t="inlineStr">
        <is>
          <t>elk</t>
        </is>
      </c>
      <c r="D3051" s="4" t="n">
        <v>2018</v>
      </c>
      <c r="E3051" s="13" t="inlineStr">
        <is>
          <t>General</t>
        </is>
      </c>
      <c r="F3051" s="5" t="n">
        <v>1341</v>
      </c>
      <c r="G3051" s="5" t="n">
        <v>9974</v>
      </c>
      <c r="H3051" s="5" t="n">
        <v>161</v>
      </c>
      <c r="I3051" s="5" t="n">
        <v>91</v>
      </c>
      <c r="J3051" s="5" t="n">
        <v>71</v>
      </c>
      <c r="K3051" s="10">
        <f>IF(F3051&gt;0,H3051/F3051,"")</f>
        <v/>
      </c>
      <c r="L3051" s="16">
        <f>IF(AND(G3051&gt;0,H3051&gt;0),G3051/H3051,"")</f>
        <v/>
      </c>
    </row>
    <row r="3052">
      <c r="A3052" s="4" t="inlineStr">
        <is>
          <t>335</t>
        </is>
      </c>
      <c r="B3052" s="4" t="n">
        <v>3</v>
      </c>
      <c r="C3052" s="4" t="inlineStr">
        <is>
          <t>elk</t>
        </is>
      </c>
      <c r="D3052" s="4" t="n">
        <v>2019</v>
      </c>
      <c r="E3052" s="13" t="inlineStr">
        <is>
          <t>General</t>
        </is>
      </c>
      <c r="F3052" s="5" t="n"/>
      <c r="G3052" s="5" t="n"/>
      <c r="H3052" s="5" t="n">
        <v>222</v>
      </c>
      <c r="I3052" s="5" t="n">
        <v>115</v>
      </c>
      <c r="J3052" s="5" t="n">
        <v>107</v>
      </c>
      <c r="K3052" s="10">
        <f>IF(F3052&gt;0,H3052/F3052,"")</f>
        <v/>
      </c>
      <c r="L3052" s="16">
        <f>IF(AND(G3052&gt;0,H3052&gt;0),G3052/H3052,"")</f>
        <v/>
      </c>
    </row>
    <row r="3053">
      <c r="A3053" s="4" t="inlineStr">
        <is>
          <t>335</t>
        </is>
      </c>
      <c r="B3053" s="4" t="n">
        <v>3</v>
      </c>
      <c r="C3053" s="4" t="inlineStr">
        <is>
          <t>elk</t>
        </is>
      </c>
      <c r="D3053" s="4" t="n">
        <v>2020</v>
      </c>
      <c r="E3053" s="13" t="inlineStr">
        <is>
          <t>General</t>
        </is>
      </c>
      <c r="F3053" s="5" t="n">
        <v>1369</v>
      </c>
      <c r="G3053" s="5" t="n">
        <v>11582</v>
      </c>
      <c r="H3053" s="5" t="n">
        <v>239</v>
      </c>
      <c r="I3053" s="5" t="n">
        <v>139</v>
      </c>
      <c r="J3053" s="5" t="n">
        <v>97</v>
      </c>
      <c r="K3053" s="10">
        <f>IF(F3053&gt;0,H3053/F3053,"")</f>
        <v/>
      </c>
      <c r="L3053" s="16">
        <f>IF(AND(G3053&gt;0,H3053&gt;0),G3053/H3053,"")</f>
        <v/>
      </c>
    </row>
    <row r="3054">
      <c r="A3054" s="4" t="inlineStr">
        <is>
          <t>335</t>
        </is>
      </c>
      <c r="B3054" s="4" t="n">
        <v>3</v>
      </c>
      <c r="C3054" s="4" t="inlineStr">
        <is>
          <t>elk</t>
        </is>
      </c>
      <c r="D3054" s="4" t="n">
        <v>2021</v>
      </c>
      <c r="E3054" s="13" t="inlineStr">
        <is>
          <t>General</t>
        </is>
      </c>
      <c r="F3054" s="5" t="n"/>
      <c r="G3054" s="5" t="n"/>
      <c r="H3054" s="5" t="n">
        <v>226</v>
      </c>
      <c r="I3054" s="5" t="n">
        <v>129</v>
      </c>
      <c r="J3054" s="5" t="n">
        <v>97</v>
      </c>
      <c r="K3054" s="10">
        <f>IF(F3054&gt;0,H3054/F3054,"")</f>
        <v/>
      </c>
      <c r="L3054" s="16">
        <f>IF(AND(G3054&gt;0,H3054&gt;0),G3054/H3054,"")</f>
        <v/>
      </c>
    </row>
    <row r="3055">
      <c r="A3055" s="4" t="inlineStr">
        <is>
          <t>335</t>
        </is>
      </c>
      <c r="B3055" s="4" t="n">
        <v>3</v>
      </c>
      <c r="C3055" s="4" t="inlineStr">
        <is>
          <t>elk</t>
        </is>
      </c>
      <c r="D3055" s="4" t="n">
        <v>2022</v>
      </c>
      <c r="E3055" s="13" t="inlineStr">
        <is>
          <t>General</t>
        </is>
      </c>
      <c r="F3055" s="5" t="n">
        <v>1415</v>
      </c>
      <c r="G3055" s="5" t="n">
        <v>11263</v>
      </c>
      <c r="H3055" s="5" t="n">
        <v>226</v>
      </c>
      <c r="I3055" s="5" t="n">
        <v>168</v>
      </c>
      <c r="J3055" s="5" t="n">
        <v>52</v>
      </c>
      <c r="K3055" s="10">
        <f>IF(F3055&gt;0,H3055/F3055,"")</f>
        <v/>
      </c>
      <c r="L3055" s="16">
        <f>IF(AND(G3055&gt;0,H3055&gt;0),G3055/H3055,"")</f>
        <v/>
      </c>
    </row>
    <row r="3056">
      <c r="A3056" s="4" t="inlineStr">
        <is>
          <t>335</t>
        </is>
      </c>
      <c r="B3056" s="4" t="n">
        <v>3</v>
      </c>
      <c r="C3056" s="4" t="inlineStr">
        <is>
          <t>elk</t>
        </is>
      </c>
      <c r="D3056" s="4" t="n">
        <v>2023</v>
      </c>
      <c r="E3056" s="13" t="inlineStr">
        <is>
          <t>General</t>
        </is>
      </c>
      <c r="F3056" s="5" t="n"/>
      <c r="G3056" s="5" t="n"/>
      <c r="H3056" s="5" t="n">
        <v>217</v>
      </c>
      <c r="I3056" s="5" t="n">
        <v>116</v>
      </c>
      <c r="J3056" s="5" t="n">
        <v>98</v>
      </c>
      <c r="K3056" s="10">
        <f>IF(F3056&gt;0,H3056/F3056,"")</f>
        <v/>
      </c>
      <c r="L3056" s="16">
        <f>IF(AND(G3056&gt;0,H3056&gt;0),G3056/H3056,"")</f>
        <v/>
      </c>
    </row>
    <row r="3057">
      <c r="A3057" s="4" t="inlineStr">
        <is>
          <t>335</t>
        </is>
      </c>
      <c r="B3057" s="4" t="n">
        <v>3</v>
      </c>
      <c r="C3057" s="4" t="inlineStr">
        <is>
          <t>elk</t>
        </is>
      </c>
      <c r="D3057" s="4" t="n">
        <v>2024</v>
      </c>
      <c r="E3057" s="13" t="inlineStr">
        <is>
          <t>General</t>
        </is>
      </c>
      <c r="F3057" s="5" t="n">
        <v>1692</v>
      </c>
      <c r="G3057" s="5" t="n">
        <v>14140</v>
      </c>
      <c r="H3057" s="5" t="n">
        <v>186</v>
      </c>
      <c r="I3057" s="5" t="n">
        <v>91</v>
      </c>
      <c r="J3057" s="5" t="n">
        <v>92</v>
      </c>
      <c r="K3057" s="10">
        <f>IF(F3057&gt;0,H3057/F3057,"")</f>
        <v/>
      </c>
      <c r="L3057" s="16">
        <f>IF(AND(G3057&gt;0,H3057&gt;0),G3057/H3057,"")</f>
        <v/>
      </c>
    </row>
    <row r="3058">
      <c r="A3058" s="4" t="inlineStr">
        <is>
          <t>335</t>
        </is>
      </c>
      <c r="B3058" s="4" t="n">
        <v>3</v>
      </c>
      <c r="C3058" s="4" t="inlineStr">
        <is>
          <t>elk</t>
        </is>
      </c>
      <c r="D3058" s="4" t="n">
        <v>2025</v>
      </c>
      <c r="E3058" s="13" t="inlineStr">
        <is>
          <t>General</t>
        </is>
      </c>
      <c r="F3058" s="5" t="n"/>
      <c r="G3058" s="5" t="n"/>
      <c r="H3058" s="5" t="n">
        <v>227</v>
      </c>
      <c r="I3058" s="5" t="n">
        <v>126</v>
      </c>
      <c r="J3058" s="5" t="n">
        <v>97</v>
      </c>
      <c r="K3058" s="10">
        <f>IF(F3058&gt;0,H3058/F3058,"")</f>
        <v/>
      </c>
      <c r="L3058" s="16">
        <f>IF(AND(G3058&gt;0,H3058&gt;0),G3058/H3058,"")</f>
        <v/>
      </c>
    </row>
    <row r="3059">
      <c r="A3059" s="4" t="inlineStr">
        <is>
          <t>339</t>
        </is>
      </c>
      <c r="B3059" s="4" t="n">
        <v>3</v>
      </c>
      <c r="C3059" s="4" t="inlineStr">
        <is>
          <t>elk</t>
        </is>
      </c>
      <c r="D3059" s="4" t="n">
        <v>2004</v>
      </c>
      <c r="E3059" s="13" t="inlineStr">
        <is>
          <t>General</t>
        </is>
      </c>
      <c r="F3059" s="5" t="n">
        <v>731</v>
      </c>
      <c r="G3059" s="5" t="n">
        <v>5145</v>
      </c>
      <c r="H3059" s="5" t="n">
        <v>131</v>
      </c>
      <c r="I3059" s="5" t="n">
        <v>64</v>
      </c>
      <c r="J3059" s="5" t="n">
        <v>57</v>
      </c>
      <c r="K3059" s="10">
        <f>IF(F3059&gt;0,H3059/F3059,"")</f>
        <v/>
      </c>
      <c r="L3059" s="16">
        <f>IF(AND(G3059&gt;0,H3059&gt;0),G3059/H3059,"")</f>
        <v/>
      </c>
    </row>
    <row r="3060">
      <c r="A3060" s="4" t="inlineStr">
        <is>
          <t>339</t>
        </is>
      </c>
      <c r="B3060" s="4" t="n">
        <v>3</v>
      </c>
      <c r="C3060" s="4" t="inlineStr">
        <is>
          <t>elk</t>
        </is>
      </c>
      <c r="D3060" s="4" t="n">
        <v>2005</v>
      </c>
      <c r="E3060" s="13" t="inlineStr">
        <is>
          <t>General</t>
        </is>
      </c>
      <c r="F3060" s="5" t="n">
        <v>831</v>
      </c>
      <c r="G3060" s="5" t="n">
        <v>5103</v>
      </c>
      <c r="H3060" s="5" t="n">
        <v>198</v>
      </c>
      <c r="I3060" s="5" t="n">
        <v>81</v>
      </c>
      <c r="J3060" s="5" t="n">
        <v>97</v>
      </c>
      <c r="K3060" s="10">
        <f>IF(F3060&gt;0,H3060/F3060,"")</f>
        <v/>
      </c>
      <c r="L3060" s="16">
        <f>IF(AND(G3060&gt;0,H3060&gt;0),G3060/H3060,"")</f>
        <v/>
      </c>
    </row>
    <row r="3061">
      <c r="A3061" s="4" t="inlineStr">
        <is>
          <t>339</t>
        </is>
      </c>
      <c r="B3061" s="4" t="n">
        <v>3</v>
      </c>
      <c r="C3061" s="4" t="inlineStr">
        <is>
          <t>elk</t>
        </is>
      </c>
      <c r="D3061" s="4" t="n">
        <v>2006</v>
      </c>
      <c r="E3061" s="13" t="inlineStr">
        <is>
          <t>General</t>
        </is>
      </c>
      <c r="F3061" s="5" t="n">
        <v>835</v>
      </c>
      <c r="G3061" s="5" t="n">
        <v>5598</v>
      </c>
      <c r="H3061" s="5" t="n">
        <v>201</v>
      </c>
      <c r="I3061" s="5" t="n">
        <v>70</v>
      </c>
      <c r="J3061" s="5" t="n">
        <v>114</v>
      </c>
      <c r="K3061" s="10">
        <f>IF(F3061&gt;0,H3061/F3061,"")</f>
        <v/>
      </c>
      <c r="L3061" s="16">
        <f>IF(AND(G3061&gt;0,H3061&gt;0),G3061/H3061,"")</f>
        <v/>
      </c>
    </row>
    <row r="3062">
      <c r="A3062" s="4" t="inlineStr">
        <is>
          <t>339</t>
        </is>
      </c>
      <c r="B3062" s="4" t="n">
        <v>3</v>
      </c>
      <c r="C3062" s="4" t="inlineStr">
        <is>
          <t>elk</t>
        </is>
      </c>
      <c r="D3062" s="4" t="n">
        <v>2007</v>
      </c>
      <c r="E3062" s="13" t="inlineStr">
        <is>
          <t>General</t>
        </is>
      </c>
      <c r="F3062" s="5" t="n">
        <v>934</v>
      </c>
      <c r="G3062" s="5" t="n">
        <v>5886</v>
      </c>
      <c r="H3062" s="5" t="n">
        <v>182</v>
      </c>
      <c r="I3062" s="5" t="n">
        <v>92</v>
      </c>
      <c r="J3062" s="5" t="n">
        <v>77</v>
      </c>
      <c r="K3062" s="10">
        <f>IF(F3062&gt;0,H3062/F3062,"")</f>
        <v/>
      </c>
      <c r="L3062" s="16">
        <f>IF(AND(G3062&gt;0,H3062&gt;0),G3062/H3062,"")</f>
        <v/>
      </c>
    </row>
    <row r="3063">
      <c r="A3063" s="4" t="inlineStr">
        <is>
          <t>339</t>
        </is>
      </c>
      <c r="B3063" s="4" t="n">
        <v>3</v>
      </c>
      <c r="C3063" s="4" t="inlineStr">
        <is>
          <t>elk</t>
        </is>
      </c>
      <c r="D3063" s="4" t="n">
        <v>2008</v>
      </c>
      <c r="E3063" s="13" t="inlineStr">
        <is>
          <t>General</t>
        </is>
      </c>
      <c r="F3063" s="5" t="n">
        <v>950</v>
      </c>
      <c r="G3063" s="5" t="n">
        <v>6583</v>
      </c>
      <c r="H3063" s="5" t="n">
        <v>154</v>
      </c>
      <c r="I3063" s="5" t="n">
        <v>46</v>
      </c>
      <c r="J3063" s="5" t="n">
        <v>99</v>
      </c>
      <c r="K3063" s="10">
        <f>IF(F3063&gt;0,H3063/F3063,"")</f>
        <v/>
      </c>
      <c r="L3063" s="16">
        <f>IF(AND(G3063&gt;0,H3063&gt;0),G3063/H3063,"")</f>
        <v/>
      </c>
    </row>
    <row r="3064">
      <c r="A3064" s="4" t="inlineStr">
        <is>
          <t>339</t>
        </is>
      </c>
      <c r="B3064" s="4" t="n">
        <v>3</v>
      </c>
      <c r="C3064" s="4" t="inlineStr">
        <is>
          <t>elk</t>
        </is>
      </c>
      <c r="D3064" s="4" t="n">
        <v>2009</v>
      </c>
      <c r="E3064" s="13" t="inlineStr">
        <is>
          <t>General</t>
        </is>
      </c>
      <c r="F3064" s="5" t="n">
        <v>1187</v>
      </c>
      <c r="G3064" s="5" t="n">
        <v>8120</v>
      </c>
      <c r="H3064" s="5" t="n">
        <v>199</v>
      </c>
      <c r="I3064" s="5" t="n">
        <v>43</v>
      </c>
      <c r="J3064" s="5" t="n">
        <v>143</v>
      </c>
      <c r="K3064" s="10">
        <f>IF(F3064&gt;0,H3064/F3064,"")</f>
        <v/>
      </c>
      <c r="L3064" s="16">
        <f>IF(AND(G3064&gt;0,H3064&gt;0),G3064/H3064,"")</f>
        <v/>
      </c>
    </row>
    <row r="3065">
      <c r="A3065" s="4" t="inlineStr">
        <is>
          <t>339</t>
        </is>
      </c>
      <c r="B3065" s="4" t="n">
        <v>3</v>
      </c>
      <c r="C3065" s="4" t="inlineStr">
        <is>
          <t>elk</t>
        </is>
      </c>
      <c r="D3065" s="4" t="n">
        <v>2010</v>
      </c>
      <c r="E3065" s="13" t="inlineStr">
        <is>
          <t>General</t>
        </is>
      </c>
      <c r="F3065" s="5" t="n">
        <v>1170</v>
      </c>
      <c r="G3065" s="5" t="n">
        <v>7329</v>
      </c>
      <c r="H3065" s="5" t="n">
        <v>315</v>
      </c>
      <c r="I3065" s="5" t="n">
        <v>65</v>
      </c>
      <c r="J3065" s="5" t="n">
        <v>217</v>
      </c>
      <c r="K3065" s="10">
        <f>IF(F3065&gt;0,H3065/F3065,"")</f>
        <v/>
      </c>
      <c r="L3065" s="16">
        <f>IF(AND(G3065&gt;0,H3065&gt;0),G3065/H3065,"")</f>
        <v/>
      </c>
    </row>
    <row r="3066">
      <c r="A3066" s="4" t="inlineStr">
        <is>
          <t>339</t>
        </is>
      </c>
      <c r="B3066" s="4" t="n">
        <v>3</v>
      </c>
      <c r="C3066" s="4" t="inlineStr">
        <is>
          <t>elk</t>
        </is>
      </c>
      <c r="D3066" s="4" t="n">
        <v>2011</v>
      </c>
      <c r="E3066" s="13" t="inlineStr">
        <is>
          <t>General</t>
        </is>
      </c>
      <c r="F3066" s="5" t="n">
        <v>1293</v>
      </c>
      <c r="G3066" s="5" t="n">
        <v>8030</v>
      </c>
      <c r="H3066" s="5" t="n">
        <v>289</v>
      </c>
      <c r="I3066" s="5" t="n">
        <v>82</v>
      </c>
      <c r="J3066" s="5" t="n">
        <v>181</v>
      </c>
      <c r="K3066" s="10">
        <f>IF(F3066&gt;0,H3066/F3066,"")</f>
        <v/>
      </c>
      <c r="L3066" s="16">
        <f>IF(AND(G3066&gt;0,H3066&gt;0),G3066/H3066,"")</f>
        <v/>
      </c>
    </row>
    <row r="3067">
      <c r="A3067" s="4" t="inlineStr">
        <is>
          <t>339</t>
        </is>
      </c>
      <c r="B3067" s="4" t="n">
        <v>3</v>
      </c>
      <c r="C3067" s="4" t="inlineStr">
        <is>
          <t>elk</t>
        </is>
      </c>
      <c r="D3067" s="4" t="n">
        <v>2012</v>
      </c>
      <c r="E3067" s="13" t="inlineStr">
        <is>
          <t>General</t>
        </is>
      </c>
      <c r="F3067" s="5" t="n">
        <v>1459</v>
      </c>
      <c r="G3067" s="5" t="n">
        <v>8815</v>
      </c>
      <c r="H3067" s="5" t="n">
        <v>219</v>
      </c>
      <c r="I3067" s="5" t="n">
        <v>58</v>
      </c>
      <c r="J3067" s="5" t="n">
        <v>126</v>
      </c>
      <c r="K3067" s="10">
        <f>IF(F3067&gt;0,H3067/F3067,"")</f>
        <v/>
      </c>
      <c r="L3067" s="16">
        <f>IF(AND(G3067&gt;0,H3067&gt;0),G3067/H3067,"")</f>
        <v/>
      </c>
    </row>
    <row r="3068">
      <c r="A3068" s="4" t="inlineStr">
        <is>
          <t>339</t>
        </is>
      </c>
      <c r="B3068" s="4" t="n">
        <v>3</v>
      </c>
      <c r="C3068" s="4" t="inlineStr">
        <is>
          <t>elk</t>
        </is>
      </c>
      <c r="D3068" s="4" t="n">
        <v>2013</v>
      </c>
      <c r="E3068" s="13" t="inlineStr">
        <is>
          <t>General</t>
        </is>
      </c>
      <c r="F3068" s="5" t="n"/>
      <c r="G3068" s="5" t="n"/>
      <c r="H3068" s="5" t="n">
        <v>158</v>
      </c>
      <c r="I3068" s="5" t="n">
        <v>58</v>
      </c>
      <c r="J3068" s="5" t="n">
        <v>92</v>
      </c>
      <c r="K3068" s="10">
        <f>IF(F3068&gt;0,H3068/F3068,"")</f>
        <v/>
      </c>
      <c r="L3068" s="16">
        <f>IF(AND(G3068&gt;0,H3068&gt;0),G3068/H3068,"")</f>
        <v/>
      </c>
    </row>
    <row r="3069">
      <c r="A3069" s="4" t="inlineStr">
        <is>
          <t>339</t>
        </is>
      </c>
      <c r="B3069" s="4" t="n">
        <v>3</v>
      </c>
      <c r="C3069" s="4" t="inlineStr">
        <is>
          <t>elk</t>
        </is>
      </c>
      <c r="D3069" s="4" t="n">
        <v>2014</v>
      </c>
      <c r="E3069" s="13" t="inlineStr">
        <is>
          <t>General</t>
        </is>
      </c>
      <c r="F3069" s="5" t="n">
        <v>833</v>
      </c>
      <c r="G3069" s="5" t="n">
        <v>6637</v>
      </c>
      <c r="H3069" s="5" t="n">
        <v>68</v>
      </c>
      <c r="I3069" s="5" t="n">
        <v>55</v>
      </c>
      <c r="J3069" s="5" t="n">
        <v>9</v>
      </c>
      <c r="K3069" s="10">
        <f>IF(F3069&gt;0,H3069/F3069,"")</f>
        <v/>
      </c>
      <c r="L3069" s="16">
        <f>IF(AND(G3069&gt;0,H3069&gt;0),G3069/H3069,"")</f>
        <v/>
      </c>
    </row>
    <row r="3070">
      <c r="A3070" s="4" t="inlineStr">
        <is>
          <t>339</t>
        </is>
      </c>
      <c r="B3070" s="4" t="n">
        <v>3</v>
      </c>
      <c r="C3070" s="4" t="inlineStr">
        <is>
          <t>elk</t>
        </is>
      </c>
      <c r="D3070" s="4" t="n">
        <v>2015</v>
      </c>
      <c r="E3070" s="13" t="inlineStr">
        <is>
          <t>General</t>
        </is>
      </c>
      <c r="F3070" s="5" t="n">
        <v>728</v>
      </c>
      <c r="G3070" s="5" t="n">
        <v>5366</v>
      </c>
      <c r="H3070" s="5" t="n">
        <v>127</v>
      </c>
      <c r="I3070" s="5" t="n">
        <v>43</v>
      </c>
      <c r="J3070" s="5" t="n">
        <v>76</v>
      </c>
      <c r="K3070" s="10">
        <f>IF(F3070&gt;0,H3070/F3070,"")</f>
        <v/>
      </c>
      <c r="L3070" s="16">
        <f>IF(AND(G3070&gt;0,H3070&gt;0),G3070/H3070,"")</f>
        <v/>
      </c>
    </row>
    <row r="3071">
      <c r="A3071" s="4" t="inlineStr">
        <is>
          <t>339</t>
        </is>
      </c>
      <c r="B3071" s="4" t="n">
        <v>3</v>
      </c>
      <c r="C3071" s="4" t="inlineStr">
        <is>
          <t>elk</t>
        </is>
      </c>
      <c r="D3071" s="4" t="n">
        <v>2016</v>
      </c>
      <c r="E3071" s="13" t="inlineStr">
        <is>
          <t>General</t>
        </is>
      </c>
      <c r="F3071" s="5" t="n">
        <v>739</v>
      </c>
      <c r="G3071" s="5" t="n">
        <v>5794</v>
      </c>
      <c r="H3071" s="5" t="n">
        <v>123</v>
      </c>
      <c r="I3071" s="5" t="n">
        <v>43</v>
      </c>
      <c r="J3071" s="5" t="n">
        <v>66</v>
      </c>
      <c r="K3071" s="10">
        <f>IF(F3071&gt;0,H3071/F3071,"")</f>
        <v/>
      </c>
      <c r="L3071" s="16">
        <f>IF(AND(G3071&gt;0,H3071&gt;0),G3071/H3071,"")</f>
        <v/>
      </c>
    </row>
    <row r="3072">
      <c r="A3072" s="4" t="inlineStr">
        <is>
          <t>339</t>
        </is>
      </c>
      <c r="B3072" s="4" t="n">
        <v>3</v>
      </c>
      <c r="C3072" s="4" t="inlineStr">
        <is>
          <t>elk</t>
        </is>
      </c>
      <c r="D3072" s="4" t="n">
        <v>2017</v>
      </c>
      <c r="E3072" s="13" t="inlineStr">
        <is>
          <t>General</t>
        </is>
      </c>
      <c r="F3072" s="5" t="n"/>
      <c r="G3072" s="5" t="n"/>
      <c r="H3072" s="5" t="n">
        <v>102</v>
      </c>
      <c r="I3072" s="5" t="n">
        <v>39</v>
      </c>
      <c r="J3072" s="5" t="n">
        <v>48</v>
      </c>
      <c r="K3072" s="10">
        <f>IF(F3072&gt;0,H3072/F3072,"")</f>
        <v/>
      </c>
      <c r="L3072" s="16">
        <f>IF(AND(G3072&gt;0,H3072&gt;0),G3072/H3072,"")</f>
        <v/>
      </c>
    </row>
    <row r="3073">
      <c r="A3073" s="4" t="inlineStr">
        <is>
          <t>339</t>
        </is>
      </c>
      <c r="B3073" s="4" t="n">
        <v>3</v>
      </c>
      <c r="C3073" s="4" t="inlineStr">
        <is>
          <t>elk</t>
        </is>
      </c>
      <c r="D3073" s="4" t="n">
        <v>2018</v>
      </c>
      <c r="E3073" s="13" t="inlineStr">
        <is>
          <t>General</t>
        </is>
      </c>
      <c r="F3073" s="5" t="n">
        <v>752</v>
      </c>
      <c r="G3073" s="5" t="n">
        <v>5613</v>
      </c>
      <c r="H3073" s="5" t="n">
        <v>88</v>
      </c>
      <c r="I3073" s="5" t="n">
        <v>24</v>
      </c>
      <c r="J3073" s="5" t="n">
        <v>60</v>
      </c>
      <c r="K3073" s="10">
        <f>IF(F3073&gt;0,H3073/F3073,"")</f>
        <v/>
      </c>
      <c r="L3073" s="16">
        <f>IF(AND(G3073&gt;0,H3073&gt;0),G3073/H3073,"")</f>
        <v/>
      </c>
    </row>
    <row r="3074">
      <c r="A3074" s="4" t="inlineStr">
        <is>
          <t>339</t>
        </is>
      </c>
      <c r="B3074" s="4" t="n">
        <v>3</v>
      </c>
      <c r="C3074" s="4" t="inlineStr">
        <is>
          <t>elk</t>
        </is>
      </c>
      <c r="D3074" s="4" t="n">
        <v>2019</v>
      </c>
      <c r="E3074" s="13" t="inlineStr">
        <is>
          <t>General</t>
        </is>
      </c>
      <c r="F3074" s="5" t="n"/>
      <c r="G3074" s="5" t="n"/>
      <c r="H3074" s="5" t="n">
        <v>120</v>
      </c>
      <c r="I3074" s="5" t="n">
        <v>35</v>
      </c>
      <c r="J3074" s="5" t="n">
        <v>63</v>
      </c>
      <c r="K3074" s="10">
        <f>IF(F3074&gt;0,H3074/F3074,"")</f>
        <v/>
      </c>
      <c r="L3074" s="16">
        <f>IF(AND(G3074&gt;0,H3074&gt;0),G3074/H3074,"")</f>
        <v/>
      </c>
    </row>
    <row r="3075">
      <c r="A3075" s="4" t="inlineStr">
        <is>
          <t>339</t>
        </is>
      </c>
      <c r="B3075" s="4" t="n">
        <v>3</v>
      </c>
      <c r="C3075" s="4" t="inlineStr">
        <is>
          <t>elk</t>
        </is>
      </c>
      <c r="D3075" s="4" t="n">
        <v>2020</v>
      </c>
      <c r="E3075" s="13" t="inlineStr">
        <is>
          <t>General</t>
        </is>
      </c>
      <c r="F3075" s="5" t="n">
        <v>733</v>
      </c>
      <c r="G3075" s="5" t="n">
        <v>5077</v>
      </c>
      <c r="H3075" s="5" t="n">
        <v>85</v>
      </c>
      <c r="I3075" s="5" t="n">
        <v>34</v>
      </c>
      <c r="J3075" s="5" t="n">
        <v>45</v>
      </c>
      <c r="K3075" s="10">
        <f>IF(F3075&gt;0,H3075/F3075,"")</f>
        <v/>
      </c>
      <c r="L3075" s="16">
        <f>IF(AND(G3075&gt;0,H3075&gt;0),G3075/H3075,"")</f>
        <v/>
      </c>
    </row>
    <row r="3076">
      <c r="A3076" s="4" t="inlineStr">
        <is>
          <t>339</t>
        </is>
      </c>
      <c r="B3076" s="4" t="n">
        <v>3</v>
      </c>
      <c r="C3076" s="4" t="inlineStr">
        <is>
          <t>elk</t>
        </is>
      </c>
      <c r="D3076" s="4" t="n">
        <v>2021</v>
      </c>
      <c r="E3076" s="13" t="inlineStr">
        <is>
          <t>General</t>
        </is>
      </c>
      <c r="F3076" s="5" t="n"/>
      <c r="G3076" s="5" t="n"/>
      <c r="H3076" s="5" t="n">
        <v>77</v>
      </c>
      <c r="I3076" s="5" t="n">
        <v>37</v>
      </c>
      <c r="J3076" s="5" t="n">
        <v>40</v>
      </c>
      <c r="K3076" s="10">
        <f>IF(F3076&gt;0,H3076/F3076,"")</f>
        <v/>
      </c>
      <c r="L3076" s="16">
        <f>IF(AND(G3076&gt;0,H3076&gt;0),G3076/H3076,"")</f>
        <v/>
      </c>
    </row>
    <row r="3077">
      <c r="A3077" s="4" t="inlineStr">
        <is>
          <t>339</t>
        </is>
      </c>
      <c r="B3077" s="4" t="n">
        <v>3</v>
      </c>
      <c r="C3077" s="4" t="inlineStr">
        <is>
          <t>elk</t>
        </is>
      </c>
      <c r="D3077" s="4" t="n">
        <v>2022</v>
      </c>
      <c r="E3077" s="13" t="inlineStr">
        <is>
          <t>General</t>
        </is>
      </c>
      <c r="F3077" s="5" t="n">
        <v>817</v>
      </c>
      <c r="G3077" s="5" t="n">
        <v>5683</v>
      </c>
      <c r="H3077" s="5" t="n">
        <v>177</v>
      </c>
      <c r="I3077" s="5" t="n">
        <v>81</v>
      </c>
      <c r="J3077" s="5" t="n">
        <v>96</v>
      </c>
      <c r="K3077" s="10">
        <f>IF(F3077&gt;0,H3077/F3077,"")</f>
        <v/>
      </c>
      <c r="L3077" s="16">
        <f>IF(AND(G3077&gt;0,H3077&gt;0),G3077/H3077,"")</f>
        <v/>
      </c>
    </row>
    <row r="3078">
      <c r="A3078" s="4" t="inlineStr">
        <is>
          <t>339</t>
        </is>
      </c>
      <c r="B3078" s="4" t="n">
        <v>3</v>
      </c>
      <c r="C3078" s="4" t="inlineStr">
        <is>
          <t>elk</t>
        </is>
      </c>
      <c r="D3078" s="4" t="n">
        <v>2023</v>
      </c>
      <c r="E3078" s="13" t="inlineStr">
        <is>
          <t>General</t>
        </is>
      </c>
      <c r="F3078" s="5" t="n"/>
      <c r="G3078" s="5" t="n"/>
      <c r="H3078" s="5" t="n">
        <v>124</v>
      </c>
      <c r="I3078" s="5" t="n">
        <v>49</v>
      </c>
      <c r="J3078" s="5" t="n">
        <v>72</v>
      </c>
      <c r="K3078" s="10">
        <f>IF(F3078&gt;0,H3078/F3078,"")</f>
        <v/>
      </c>
      <c r="L3078" s="16">
        <f>IF(AND(G3078&gt;0,H3078&gt;0),G3078/H3078,"")</f>
        <v/>
      </c>
    </row>
    <row r="3079">
      <c r="A3079" s="4" t="inlineStr">
        <is>
          <t>339</t>
        </is>
      </c>
      <c r="B3079" s="4" t="n">
        <v>3</v>
      </c>
      <c r="C3079" s="4" t="inlineStr">
        <is>
          <t>elk</t>
        </is>
      </c>
      <c r="D3079" s="4" t="n">
        <v>2024</v>
      </c>
      <c r="E3079" s="13" t="inlineStr">
        <is>
          <t>General</t>
        </is>
      </c>
      <c r="F3079" s="5" t="n">
        <v>1020</v>
      </c>
      <c r="G3079" s="5" t="n">
        <v>7741</v>
      </c>
      <c r="H3079" s="5" t="n">
        <v>194</v>
      </c>
      <c r="I3079" s="5" t="n">
        <v>52</v>
      </c>
      <c r="J3079" s="5" t="n">
        <v>127</v>
      </c>
      <c r="K3079" s="10">
        <f>IF(F3079&gt;0,H3079/F3079,"")</f>
        <v/>
      </c>
      <c r="L3079" s="16">
        <f>IF(AND(G3079&gt;0,H3079&gt;0),G3079/H3079,"")</f>
        <v/>
      </c>
    </row>
    <row r="3080">
      <c r="A3080" s="4" t="inlineStr">
        <is>
          <t>339</t>
        </is>
      </c>
      <c r="B3080" s="4" t="n">
        <v>3</v>
      </c>
      <c r="C3080" s="4" t="inlineStr">
        <is>
          <t>elk</t>
        </is>
      </c>
      <c r="D3080" s="4" t="n">
        <v>2025</v>
      </c>
      <c r="E3080" s="13" t="inlineStr">
        <is>
          <t>General</t>
        </is>
      </c>
      <c r="F3080" s="5" t="n"/>
      <c r="G3080" s="5" t="n"/>
      <c r="H3080" s="5" t="n">
        <v>176</v>
      </c>
      <c r="I3080" s="5" t="n">
        <v>78</v>
      </c>
      <c r="J3080" s="5" t="n">
        <v>92</v>
      </c>
      <c r="K3080" s="10">
        <f>IF(F3080&gt;0,H3080/F3080,"")</f>
        <v/>
      </c>
      <c r="L3080" s="16">
        <f>IF(AND(G3080&gt;0,H3080&gt;0),G3080/H3080,"")</f>
        <v/>
      </c>
    </row>
    <row r="3081">
      <c r="A3081" s="4" t="inlineStr">
        <is>
          <t>340</t>
        </is>
      </c>
      <c r="B3081" s="4" t="n">
        <v>3</v>
      </c>
      <c r="C3081" s="4" t="inlineStr">
        <is>
          <t>elk</t>
        </is>
      </c>
      <c r="D3081" s="4" t="n">
        <v>2004</v>
      </c>
      <c r="E3081" s="13" t="inlineStr">
        <is>
          <t>General</t>
        </is>
      </c>
      <c r="F3081" s="5" t="n">
        <v>1544</v>
      </c>
      <c r="G3081" s="5" t="n">
        <v>10936</v>
      </c>
      <c r="H3081" s="5" t="n">
        <v>204</v>
      </c>
      <c r="I3081" s="5" t="n">
        <v>107</v>
      </c>
      <c r="J3081" s="5" t="n">
        <v>84</v>
      </c>
      <c r="K3081" s="10">
        <f>IF(F3081&gt;0,H3081/F3081,"")</f>
        <v/>
      </c>
      <c r="L3081" s="16">
        <f>IF(AND(G3081&gt;0,H3081&gt;0),G3081/H3081,"")</f>
        <v/>
      </c>
    </row>
    <row r="3082">
      <c r="A3082" s="4" t="inlineStr">
        <is>
          <t>340</t>
        </is>
      </c>
      <c r="B3082" s="4" t="n">
        <v>3</v>
      </c>
      <c r="C3082" s="4" t="inlineStr">
        <is>
          <t>elk</t>
        </is>
      </c>
      <c r="D3082" s="4" t="n">
        <v>2005</v>
      </c>
      <c r="E3082" s="13" t="inlineStr">
        <is>
          <t>General</t>
        </is>
      </c>
      <c r="F3082" s="5" t="n">
        <v>1579</v>
      </c>
      <c r="G3082" s="5" t="n">
        <v>10521</v>
      </c>
      <c r="H3082" s="5" t="n">
        <v>358</v>
      </c>
      <c r="I3082" s="5" t="n">
        <v>210</v>
      </c>
      <c r="J3082" s="5" t="n">
        <v>136</v>
      </c>
      <c r="K3082" s="10">
        <f>IF(F3082&gt;0,H3082/F3082,"")</f>
        <v/>
      </c>
      <c r="L3082" s="16">
        <f>IF(AND(G3082&gt;0,H3082&gt;0),G3082/H3082,"")</f>
        <v/>
      </c>
    </row>
    <row r="3083">
      <c r="A3083" s="4" t="inlineStr">
        <is>
          <t>340</t>
        </is>
      </c>
      <c r="B3083" s="4" t="n">
        <v>3</v>
      </c>
      <c r="C3083" s="4" t="inlineStr">
        <is>
          <t>elk</t>
        </is>
      </c>
      <c r="D3083" s="4" t="n">
        <v>2006</v>
      </c>
      <c r="E3083" s="13" t="inlineStr">
        <is>
          <t>General</t>
        </is>
      </c>
      <c r="F3083" s="5" t="n">
        <v>1669</v>
      </c>
      <c r="G3083" s="5" t="n">
        <v>10008</v>
      </c>
      <c r="H3083" s="5" t="n">
        <v>286</v>
      </c>
      <c r="I3083" s="5" t="n">
        <v>139</v>
      </c>
      <c r="J3083" s="5" t="n">
        <v>135</v>
      </c>
      <c r="K3083" s="10">
        <f>IF(F3083&gt;0,H3083/F3083,"")</f>
        <v/>
      </c>
      <c r="L3083" s="16">
        <f>IF(AND(G3083&gt;0,H3083&gt;0),G3083/H3083,"")</f>
        <v/>
      </c>
    </row>
    <row r="3084">
      <c r="A3084" s="4" t="inlineStr">
        <is>
          <t>340</t>
        </is>
      </c>
      <c r="B3084" s="4" t="n">
        <v>3</v>
      </c>
      <c r="C3084" s="4" t="inlineStr">
        <is>
          <t>elk</t>
        </is>
      </c>
      <c r="D3084" s="4" t="n">
        <v>2007</v>
      </c>
      <c r="E3084" s="13" t="inlineStr">
        <is>
          <t>General</t>
        </is>
      </c>
      <c r="F3084" s="5" t="n">
        <v>1519</v>
      </c>
      <c r="G3084" s="5" t="n">
        <v>10533</v>
      </c>
      <c r="H3084" s="5" t="n">
        <v>252</v>
      </c>
      <c r="I3084" s="5" t="n">
        <v>145</v>
      </c>
      <c r="J3084" s="5" t="n">
        <v>104</v>
      </c>
      <c r="K3084" s="10">
        <f>IF(F3084&gt;0,H3084/F3084,"")</f>
        <v/>
      </c>
      <c r="L3084" s="16">
        <f>IF(AND(G3084&gt;0,H3084&gt;0),G3084/H3084,"")</f>
        <v/>
      </c>
    </row>
    <row r="3085">
      <c r="A3085" s="4" t="inlineStr">
        <is>
          <t>340</t>
        </is>
      </c>
      <c r="B3085" s="4" t="n">
        <v>3</v>
      </c>
      <c r="C3085" s="4" t="inlineStr">
        <is>
          <t>elk</t>
        </is>
      </c>
      <c r="D3085" s="4" t="n">
        <v>2008</v>
      </c>
      <c r="E3085" s="13" t="inlineStr">
        <is>
          <t>General</t>
        </is>
      </c>
      <c r="F3085" s="5" t="n">
        <v>1615</v>
      </c>
      <c r="G3085" s="5" t="n">
        <v>11923</v>
      </c>
      <c r="H3085" s="5" t="n">
        <v>306</v>
      </c>
      <c r="I3085" s="5" t="n">
        <v>168</v>
      </c>
      <c r="J3085" s="5" t="n">
        <v>136</v>
      </c>
      <c r="K3085" s="10">
        <f>IF(F3085&gt;0,H3085/F3085,"")</f>
        <v/>
      </c>
      <c r="L3085" s="16">
        <f>IF(AND(G3085&gt;0,H3085&gt;0),G3085/H3085,"")</f>
        <v/>
      </c>
    </row>
    <row r="3086">
      <c r="A3086" s="4" t="inlineStr">
        <is>
          <t>340</t>
        </is>
      </c>
      <c r="B3086" s="4" t="n">
        <v>3</v>
      </c>
      <c r="C3086" s="4" t="inlineStr">
        <is>
          <t>elk</t>
        </is>
      </c>
      <c r="D3086" s="4" t="n">
        <v>2009</v>
      </c>
      <c r="E3086" s="13" t="inlineStr">
        <is>
          <t>General</t>
        </is>
      </c>
      <c r="F3086" s="5" t="n">
        <v>1754</v>
      </c>
      <c r="G3086" s="5" t="n">
        <v>11664</v>
      </c>
      <c r="H3086" s="5" t="n">
        <v>296</v>
      </c>
      <c r="I3086" s="5" t="n">
        <v>142</v>
      </c>
      <c r="J3086" s="5" t="n">
        <v>143</v>
      </c>
      <c r="K3086" s="10">
        <f>IF(F3086&gt;0,H3086/F3086,"")</f>
        <v/>
      </c>
      <c r="L3086" s="16">
        <f>IF(AND(G3086&gt;0,H3086&gt;0),G3086/H3086,"")</f>
        <v/>
      </c>
    </row>
    <row r="3087">
      <c r="A3087" s="4" t="inlineStr">
        <is>
          <t>340</t>
        </is>
      </c>
      <c r="B3087" s="4" t="n">
        <v>3</v>
      </c>
      <c r="C3087" s="4" t="inlineStr">
        <is>
          <t>elk</t>
        </is>
      </c>
      <c r="D3087" s="4" t="n">
        <v>2010</v>
      </c>
      <c r="E3087" s="13" t="inlineStr">
        <is>
          <t>General</t>
        </is>
      </c>
      <c r="F3087" s="5" t="n">
        <v>1795</v>
      </c>
      <c r="G3087" s="5" t="n">
        <v>12753</v>
      </c>
      <c r="H3087" s="5" t="n">
        <v>309</v>
      </c>
      <c r="I3087" s="5" t="n">
        <v>146</v>
      </c>
      <c r="J3087" s="5" t="n">
        <v>154</v>
      </c>
      <c r="K3087" s="10">
        <f>IF(F3087&gt;0,H3087/F3087,"")</f>
        <v/>
      </c>
      <c r="L3087" s="16">
        <f>IF(AND(G3087&gt;0,H3087&gt;0),G3087/H3087,"")</f>
        <v/>
      </c>
    </row>
    <row r="3088">
      <c r="A3088" s="4" t="inlineStr">
        <is>
          <t>340</t>
        </is>
      </c>
      <c r="B3088" s="4" t="n">
        <v>3</v>
      </c>
      <c r="C3088" s="4" t="inlineStr">
        <is>
          <t>elk</t>
        </is>
      </c>
      <c r="D3088" s="4" t="n">
        <v>2011</v>
      </c>
      <c r="E3088" s="13" t="inlineStr">
        <is>
          <t>General</t>
        </is>
      </c>
      <c r="F3088" s="5" t="n">
        <v>2062</v>
      </c>
      <c r="G3088" s="5" t="n">
        <v>15181</v>
      </c>
      <c r="H3088" s="5" t="n">
        <v>311</v>
      </c>
      <c r="I3088" s="5" t="n">
        <v>173</v>
      </c>
      <c r="J3088" s="5" t="n">
        <v>134</v>
      </c>
      <c r="K3088" s="10">
        <f>IF(F3088&gt;0,H3088/F3088,"")</f>
        <v/>
      </c>
      <c r="L3088" s="16">
        <f>IF(AND(G3088&gt;0,H3088&gt;0),G3088/H3088,"")</f>
        <v/>
      </c>
    </row>
    <row r="3089">
      <c r="A3089" s="4" t="inlineStr">
        <is>
          <t>340</t>
        </is>
      </c>
      <c r="B3089" s="4" t="n">
        <v>3</v>
      </c>
      <c r="C3089" s="4" t="inlineStr">
        <is>
          <t>elk</t>
        </is>
      </c>
      <c r="D3089" s="4" t="n">
        <v>2012</v>
      </c>
      <c r="E3089" s="13" t="inlineStr">
        <is>
          <t>General</t>
        </is>
      </c>
      <c r="F3089" s="5" t="n">
        <v>2016</v>
      </c>
      <c r="G3089" s="5" t="n">
        <v>15452</v>
      </c>
      <c r="H3089" s="5" t="n">
        <v>304</v>
      </c>
      <c r="I3089" s="5" t="n">
        <v>191</v>
      </c>
      <c r="J3089" s="5" t="n">
        <v>102</v>
      </c>
      <c r="K3089" s="10">
        <f>IF(F3089&gt;0,H3089/F3089,"")</f>
        <v/>
      </c>
      <c r="L3089" s="16">
        <f>IF(AND(G3089&gt;0,H3089&gt;0),G3089/H3089,"")</f>
        <v/>
      </c>
    </row>
    <row r="3090">
      <c r="A3090" s="4" t="inlineStr">
        <is>
          <t>340</t>
        </is>
      </c>
      <c r="B3090" s="4" t="n">
        <v>3</v>
      </c>
      <c r="C3090" s="4" t="inlineStr">
        <is>
          <t>elk</t>
        </is>
      </c>
      <c r="D3090" s="4" t="n">
        <v>2013</v>
      </c>
      <c r="E3090" s="13" t="inlineStr">
        <is>
          <t>General</t>
        </is>
      </c>
      <c r="F3090" s="5" t="n"/>
      <c r="G3090" s="5" t="n"/>
      <c r="H3090" s="5" t="n">
        <v>341</v>
      </c>
      <c r="I3090" s="5" t="n">
        <v>166</v>
      </c>
      <c r="J3090" s="5" t="n">
        <v>174</v>
      </c>
      <c r="K3090" s="10">
        <f>IF(F3090&gt;0,H3090/F3090,"")</f>
        <v/>
      </c>
      <c r="L3090" s="16">
        <f>IF(AND(G3090&gt;0,H3090&gt;0),G3090/H3090,"")</f>
        <v/>
      </c>
    </row>
    <row r="3091">
      <c r="A3091" s="4" t="inlineStr">
        <is>
          <t>340</t>
        </is>
      </c>
      <c r="B3091" s="4" t="n">
        <v>3</v>
      </c>
      <c r="C3091" s="4" t="inlineStr">
        <is>
          <t>elk</t>
        </is>
      </c>
      <c r="D3091" s="4" t="n">
        <v>2014</v>
      </c>
      <c r="E3091" s="13" t="inlineStr">
        <is>
          <t>General</t>
        </is>
      </c>
      <c r="F3091" s="5" t="n">
        <v>2675</v>
      </c>
      <c r="G3091" s="5" t="n">
        <v>19549</v>
      </c>
      <c r="H3091" s="5" t="n">
        <v>518</v>
      </c>
      <c r="I3091" s="5" t="n">
        <v>248</v>
      </c>
      <c r="J3091" s="5" t="n">
        <v>265</v>
      </c>
      <c r="K3091" s="10">
        <f>IF(F3091&gt;0,H3091/F3091,"")</f>
        <v/>
      </c>
      <c r="L3091" s="16">
        <f>IF(AND(G3091&gt;0,H3091&gt;0),G3091/H3091,"")</f>
        <v/>
      </c>
    </row>
    <row r="3092">
      <c r="A3092" s="4" t="inlineStr">
        <is>
          <t>340</t>
        </is>
      </c>
      <c r="B3092" s="4" t="n">
        <v>3</v>
      </c>
      <c r="C3092" s="4" t="inlineStr">
        <is>
          <t>elk</t>
        </is>
      </c>
      <c r="D3092" s="4" t="n">
        <v>2015</v>
      </c>
      <c r="E3092" s="13" t="inlineStr">
        <is>
          <t>General</t>
        </is>
      </c>
      <c r="F3092" s="5" t="n">
        <v>2448</v>
      </c>
      <c r="G3092" s="5" t="n">
        <v>19504</v>
      </c>
      <c r="H3092" s="5" t="n">
        <v>607</v>
      </c>
      <c r="I3092" s="5" t="n">
        <v>228</v>
      </c>
      <c r="J3092" s="5" t="n">
        <v>360</v>
      </c>
      <c r="K3092" s="10">
        <f>IF(F3092&gt;0,H3092/F3092,"")</f>
        <v/>
      </c>
      <c r="L3092" s="16">
        <f>IF(AND(G3092&gt;0,H3092&gt;0),G3092/H3092,"")</f>
        <v/>
      </c>
    </row>
    <row r="3093">
      <c r="A3093" s="4" t="inlineStr">
        <is>
          <t>340</t>
        </is>
      </c>
      <c r="B3093" s="4" t="n">
        <v>3</v>
      </c>
      <c r="C3093" s="4" t="inlineStr">
        <is>
          <t>elk</t>
        </is>
      </c>
      <c r="D3093" s="4" t="n">
        <v>2016</v>
      </c>
      <c r="E3093" s="13" t="inlineStr">
        <is>
          <t>General</t>
        </is>
      </c>
      <c r="F3093" s="5" t="n">
        <v>2412</v>
      </c>
      <c r="G3093" s="5" t="n">
        <v>19547</v>
      </c>
      <c r="H3093" s="5" t="n">
        <v>392</v>
      </c>
      <c r="I3093" s="5" t="n">
        <v>176</v>
      </c>
      <c r="J3093" s="5" t="n">
        <v>204</v>
      </c>
      <c r="K3093" s="10">
        <f>IF(F3093&gt;0,H3093/F3093,"")</f>
        <v/>
      </c>
      <c r="L3093" s="16">
        <f>IF(AND(G3093&gt;0,H3093&gt;0),G3093/H3093,"")</f>
        <v/>
      </c>
    </row>
    <row r="3094">
      <c r="A3094" s="4" t="inlineStr">
        <is>
          <t>340</t>
        </is>
      </c>
      <c r="B3094" s="4" t="n">
        <v>3</v>
      </c>
      <c r="C3094" s="4" t="inlineStr">
        <is>
          <t>elk</t>
        </is>
      </c>
      <c r="D3094" s="4" t="n">
        <v>2017</v>
      </c>
      <c r="E3094" s="13" t="inlineStr">
        <is>
          <t>General</t>
        </is>
      </c>
      <c r="F3094" s="5" t="n"/>
      <c r="G3094" s="5" t="n"/>
      <c r="H3094" s="5" t="n">
        <v>414</v>
      </c>
      <c r="I3094" s="5" t="n">
        <v>185</v>
      </c>
      <c r="J3094" s="5" t="n">
        <v>221</v>
      </c>
      <c r="K3094" s="10">
        <f>IF(F3094&gt;0,H3094/F3094,"")</f>
        <v/>
      </c>
      <c r="L3094" s="16">
        <f>IF(AND(G3094&gt;0,H3094&gt;0),G3094/H3094,"")</f>
        <v/>
      </c>
    </row>
    <row r="3095">
      <c r="A3095" s="4" t="inlineStr">
        <is>
          <t>340</t>
        </is>
      </c>
      <c r="B3095" s="4" t="n">
        <v>3</v>
      </c>
      <c r="C3095" s="4" t="inlineStr">
        <is>
          <t>elk</t>
        </is>
      </c>
      <c r="D3095" s="4" t="n">
        <v>2018</v>
      </c>
      <c r="E3095" s="13" t="inlineStr">
        <is>
          <t>General</t>
        </is>
      </c>
      <c r="F3095" s="5" t="n">
        <v>2217</v>
      </c>
      <c r="G3095" s="5" t="n">
        <v>16576</v>
      </c>
      <c r="H3095" s="5" t="n">
        <v>344</v>
      </c>
      <c r="I3095" s="5" t="n">
        <v>150</v>
      </c>
      <c r="J3095" s="5" t="n">
        <v>187</v>
      </c>
      <c r="K3095" s="10">
        <f>IF(F3095&gt;0,H3095/F3095,"")</f>
        <v/>
      </c>
      <c r="L3095" s="16">
        <f>IF(AND(G3095&gt;0,H3095&gt;0),G3095/H3095,"")</f>
        <v/>
      </c>
    </row>
    <row r="3096">
      <c r="A3096" s="4" t="inlineStr">
        <is>
          <t>340</t>
        </is>
      </c>
      <c r="B3096" s="4" t="n">
        <v>3</v>
      </c>
      <c r="C3096" s="4" t="inlineStr">
        <is>
          <t>elk</t>
        </is>
      </c>
      <c r="D3096" s="4" t="n">
        <v>2019</v>
      </c>
      <c r="E3096" s="13" t="inlineStr">
        <is>
          <t>General</t>
        </is>
      </c>
      <c r="F3096" s="5" t="n"/>
      <c r="G3096" s="5" t="n"/>
      <c r="H3096" s="5" t="n">
        <v>342</v>
      </c>
      <c r="I3096" s="5" t="n">
        <v>158</v>
      </c>
      <c r="J3096" s="5" t="n">
        <v>165</v>
      </c>
      <c r="K3096" s="10">
        <f>IF(F3096&gt;0,H3096/F3096,"")</f>
        <v/>
      </c>
      <c r="L3096" s="16">
        <f>IF(AND(G3096&gt;0,H3096&gt;0),G3096/H3096,"")</f>
        <v/>
      </c>
    </row>
    <row r="3097">
      <c r="A3097" s="4" t="inlineStr">
        <is>
          <t>340</t>
        </is>
      </c>
      <c r="B3097" s="4" t="n">
        <v>3</v>
      </c>
      <c r="C3097" s="4" t="inlineStr">
        <is>
          <t>elk</t>
        </is>
      </c>
      <c r="D3097" s="4" t="n">
        <v>2020</v>
      </c>
      <c r="E3097" s="13" t="inlineStr">
        <is>
          <t>General</t>
        </is>
      </c>
      <c r="F3097" s="5" t="n">
        <v>2419</v>
      </c>
      <c r="G3097" s="5" t="n">
        <v>19040</v>
      </c>
      <c r="H3097" s="5" t="n">
        <v>380</v>
      </c>
      <c r="I3097" s="5" t="n">
        <v>193</v>
      </c>
      <c r="J3097" s="5" t="n">
        <v>172</v>
      </c>
      <c r="K3097" s="10">
        <f>IF(F3097&gt;0,H3097/F3097,"")</f>
        <v/>
      </c>
      <c r="L3097" s="16">
        <f>IF(AND(G3097&gt;0,H3097&gt;0),G3097/H3097,"")</f>
        <v/>
      </c>
    </row>
    <row r="3098">
      <c r="A3098" s="4" t="inlineStr">
        <is>
          <t>340</t>
        </is>
      </c>
      <c r="B3098" s="4" t="n">
        <v>3</v>
      </c>
      <c r="C3098" s="4" t="inlineStr">
        <is>
          <t>elk</t>
        </is>
      </c>
      <c r="D3098" s="4" t="n">
        <v>2021</v>
      </c>
      <c r="E3098" s="13" t="inlineStr">
        <is>
          <t>General</t>
        </is>
      </c>
      <c r="F3098" s="5" t="n"/>
      <c r="G3098" s="5" t="n"/>
      <c r="H3098" s="5" t="n">
        <v>319</v>
      </c>
      <c r="I3098" s="5" t="n">
        <v>136</v>
      </c>
      <c r="J3098" s="5" t="n">
        <v>176</v>
      </c>
      <c r="K3098" s="10">
        <f>IF(F3098&gt;0,H3098/F3098,"")</f>
        <v/>
      </c>
      <c r="L3098" s="16">
        <f>IF(AND(G3098&gt;0,H3098&gt;0),G3098/H3098,"")</f>
        <v/>
      </c>
    </row>
    <row r="3099">
      <c r="A3099" s="4" t="inlineStr">
        <is>
          <t>340</t>
        </is>
      </c>
      <c r="B3099" s="4" t="n">
        <v>3</v>
      </c>
      <c r="C3099" s="4" t="inlineStr">
        <is>
          <t>elk</t>
        </is>
      </c>
      <c r="D3099" s="4" t="n">
        <v>2022</v>
      </c>
      <c r="E3099" s="13" t="inlineStr">
        <is>
          <t>General</t>
        </is>
      </c>
      <c r="F3099" s="5" t="n">
        <v>1922</v>
      </c>
      <c r="G3099" s="5" t="n">
        <v>14720</v>
      </c>
      <c r="H3099" s="5" t="n">
        <v>327</v>
      </c>
      <c r="I3099" s="5" t="n">
        <v>169</v>
      </c>
      <c r="J3099" s="5" t="n">
        <v>153</v>
      </c>
      <c r="K3099" s="10">
        <f>IF(F3099&gt;0,H3099/F3099,"")</f>
        <v/>
      </c>
      <c r="L3099" s="16">
        <f>IF(AND(G3099&gt;0,H3099&gt;0),G3099/H3099,"")</f>
        <v/>
      </c>
    </row>
    <row r="3100">
      <c r="A3100" s="4" t="inlineStr">
        <is>
          <t>340</t>
        </is>
      </c>
      <c r="B3100" s="4" t="n">
        <v>3</v>
      </c>
      <c r="C3100" s="4" t="inlineStr">
        <is>
          <t>elk</t>
        </is>
      </c>
      <c r="D3100" s="4" t="n">
        <v>2023</v>
      </c>
      <c r="E3100" s="13" t="inlineStr">
        <is>
          <t>General</t>
        </is>
      </c>
      <c r="F3100" s="5" t="n"/>
      <c r="G3100" s="5" t="n"/>
      <c r="H3100" s="5" t="n">
        <v>310</v>
      </c>
      <c r="I3100" s="5" t="n">
        <v>181</v>
      </c>
      <c r="J3100" s="5" t="n">
        <v>127</v>
      </c>
      <c r="K3100" s="10">
        <f>IF(F3100&gt;0,H3100/F3100,"")</f>
        <v/>
      </c>
      <c r="L3100" s="16">
        <f>IF(AND(G3100&gt;0,H3100&gt;0),G3100/H3100,"")</f>
        <v/>
      </c>
    </row>
    <row r="3101">
      <c r="A3101" s="4" t="inlineStr">
        <is>
          <t>340</t>
        </is>
      </c>
      <c r="B3101" s="4" t="n">
        <v>3</v>
      </c>
      <c r="C3101" s="4" t="inlineStr">
        <is>
          <t>elk</t>
        </is>
      </c>
      <c r="D3101" s="4" t="n">
        <v>2024</v>
      </c>
      <c r="E3101" s="13" t="inlineStr">
        <is>
          <t>General</t>
        </is>
      </c>
      <c r="F3101" s="5" t="n">
        <v>2068</v>
      </c>
      <c r="G3101" s="5" t="n">
        <v>16427</v>
      </c>
      <c r="H3101" s="5" t="n">
        <v>387</v>
      </c>
      <c r="I3101" s="5" t="n">
        <v>178</v>
      </c>
      <c r="J3101" s="5" t="n">
        <v>200</v>
      </c>
      <c r="K3101" s="10">
        <f>IF(F3101&gt;0,H3101/F3101,"")</f>
        <v/>
      </c>
      <c r="L3101" s="16">
        <f>IF(AND(G3101&gt;0,H3101&gt;0),G3101/H3101,"")</f>
        <v/>
      </c>
    </row>
    <row r="3102">
      <c r="A3102" s="4" t="inlineStr">
        <is>
          <t>340</t>
        </is>
      </c>
      <c r="B3102" s="4" t="n">
        <v>3</v>
      </c>
      <c r="C3102" s="4" t="inlineStr">
        <is>
          <t>elk</t>
        </is>
      </c>
      <c r="D3102" s="4" t="n">
        <v>2025</v>
      </c>
      <c r="E3102" s="13" t="inlineStr">
        <is>
          <t>General</t>
        </is>
      </c>
      <c r="F3102" s="5" t="n"/>
      <c r="G3102" s="5" t="n"/>
      <c r="H3102" s="5" t="n">
        <v>397</v>
      </c>
      <c r="I3102" s="5" t="n">
        <v>172</v>
      </c>
      <c r="J3102" s="5" t="n">
        <v>208</v>
      </c>
      <c r="K3102" s="10">
        <f>IF(F3102&gt;0,H3102/F3102,"")</f>
        <v/>
      </c>
      <c r="L3102" s="16">
        <f>IF(AND(G3102&gt;0,H3102&gt;0),G3102/H3102,"")</f>
        <v/>
      </c>
    </row>
    <row r="3103">
      <c r="A3103" s="4" t="inlineStr">
        <is>
          <t>341</t>
        </is>
      </c>
      <c r="B3103" s="4" t="n">
        <v>3</v>
      </c>
      <c r="C3103" s="4" t="inlineStr">
        <is>
          <t>elk</t>
        </is>
      </c>
      <c r="D3103" s="4" t="n">
        <v>2004</v>
      </c>
      <c r="E3103" s="4" t="inlineStr"/>
      <c r="F3103" s="5" t="n">
        <v>1007</v>
      </c>
      <c r="G3103" s="5" t="n">
        <v>7254</v>
      </c>
      <c r="H3103" s="5" t="n">
        <v>75</v>
      </c>
      <c r="I3103" s="5" t="n">
        <v>27</v>
      </c>
      <c r="J3103" s="5" t="n">
        <v>33</v>
      </c>
      <c r="K3103" s="10">
        <f>IF(F3103&gt;0,H3103/F3103,"")</f>
        <v/>
      </c>
      <c r="L3103" s="16">
        <f>IF(AND(G3103&gt;0,H3103&gt;0),G3103/H3103,"")</f>
        <v/>
      </c>
    </row>
    <row r="3104">
      <c r="A3104" s="4" t="inlineStr">
        <is>
          <t>341</t>
        </is>
      </c>
      <c r="B3104" s="4" t="n">
        <v>3</v>
      </c>
      <c r="C3104" s="4" t="inlineStr">
        <is>
          <t>elk</t>
        </is>
      </c>
      <c r="D3104" s="4" t="n">
        <v>2005</v>
      </c>
      <c r="E3104" s="4" t="inlineStr"/>
      <c r="F3104" s="5" t="n">
        <v>819</v>
      </c>
      <c r="G3104" s="5" t="n">
        <v>6279</v>
      </c>
      <c r="H3104" s="5" t="n">
        <v>223</v>
      </c>
      <c r="I3104" s="5" t="n">
        <v>103</v>
      </c>
      <c r="J3104" s="5" t="n">
        <v>102</v>
      </c>
      <c r="K3104" s="10">
        <f>IF(F3104&gt;0,H3104/F3104,"")</f>
        <v/>
      </c>
      <c r="L3104" s="16">
        <f>IF(AND(G3104&gt;0,H3104&gt;0),G3104/H3104,"")</f>
        <v/>
      </c>
    </row>
    <row r="3105">
      <c r="A3105" s="4" t="inlineStr">
        <is>
          <t>341</t>
        </is>
      </c>
      <c r="B3105" s="4" t="n">
        <v>3</v>
      </c>
      <c r="C3105" s="4" t="inlineStr">
        <is>
          <t>elk</t>
        </is>
      </c>
      <c r="D3105" s="4" t="n">
        <v>2006</v>
      </c>
      <c r="E3105" s="4" t="inlineStr"/>
      <c r="F3105" s="5" t="n">
        <v>738</v>
      </c>
      <c r="G3105" s="5" t="n">
        <v>5049</v>
      </c>
      <c r="H3105" s="5" t="n">
        <v>115</v>
      </c>
      <c r="I3105" s="5" t="n">
        <v>74</v>
      </c>
      <c r="J3105" s="5" t="n">
        <v>41</v>
      </c>
      <c r="K3105" s="10">
        <f>IF(F3105&gt;0,H3105/F3105,"")</f>
        <v/>
      </c>
      <c r="L3105" s="16">
        <f>IF(AND(G3105&gt;0,H3105&gt;0),G3105/H3105,"")</f>
        <v/>
      </c>
    </row>
    <row r="3106">
      <c r="A3106" s="4" t="inlineStr">
        <is>
          <t>341</t>
        </is>
      </c>
      <c r="B3106" s="4" t="n">
        <v>3</v>
      </c>
      <c r="C3106" s="4" t="inlineStr">
        <is>
          <t>elk</t>
        </is>
      </c>
      <c r="D3106" s="4" t="n">
        <v>2007</v>
      </c>
      <c r="E3106" s="4" t="inlineStr"/>
      <c r="F3106" s="5" t="n">
        <v>557</v>
      </c>
      <c r="G3106" s="5" t="n">
        <v>3892</v>
      </c>
      <c r="H3106" s="5" t="n">
        <v>89</v>
      </c>
      <c r="I3106" s="5" t="n">
        <v>36</v>
      </c>
      <c r="J3106" s="5" t="n">
        <v>46</v>
      </c>
      <c r="K3106" s="10">
        <f>IF(F3106&gt;0,H3106/F3106,"")</f>
        <v/>
      </c>
      <c r="L3106" s="16">
        <f>IF(AND(G3106&gt;0,H3106&gt;0),G3106/H3106,"")</f>
        <v/>
      </c>
    </row>
    <row r="3107">
      <c r="A3107" s="4" t="inlineStr">
        <is>
          <t>341</t>
        </is>
      </c>
      <c r="B3107" s="4" t="n">
        <v>3</v>
      </c>
      <c r="C3107" s="4" t="inlineStr">
        <is>
          <t>elk</t>
        </is>
      </c>
      <c r="D3107" s="4" t="n">
        <v>2008</v>
      </c>
      <c r="E3107" s="4" t="inlineStr"/>
      <c r="F3107" s="5" t="n">
        <v>612</v>
      </c>
      <c r="G3107" s="5" t="n">
        <v>4086</v>
      </c>
      <c r="H3107" s="5" t="n">
        <v>46</v>
      </c>
      <c r="I3107" s="5" t="n">
        <v>24</v>
      </c>
      <c r="J3107" s="5" t="n">
        <v>19</v>
      </c>
      <c r="K3107" s="10">
        <f>IF(F3107&gt;0,H3107/F3107,"")</f>
        <v/>
      </c>
      <c r="L3107" s="16">
        <f>IF(AND(G3107&gt;0,H3107&gt;0),G3107/H3107,"")</f>
        <v/>
      </c>
    </row>
    <row r="3108">
      <c r="A3108" s="4" t="inlineStr">
        <is>
          <t>341</t>
        </is>
      </c>
      <c r="B3108" s="4" t="n">
        <v>3</v>
      </c>
      <c r="C3108" s="4" t="inlineStr">
        <is>
          <t>elk</t>
        </is>
      </c>
      <c r="D3108" s="4" t="n">
        <v>2009</v>
      </c>
      <c r="E3108" s="4" t="inlineStr"/>
      <c r="F3108" s="5" t="n">
        <v>528</v>
      </c>
      <c r="G3108" s="5" t="n">
        <v>3729</v>
      </c>
      <c r="H3108" s="5" t="n">
        <v>56</v>
      </c>
      <c r="I3108" s="5" t="n">
        <v>38</v>
      </c>
      <c r="J3108" s="5" t="n">
        <v>18</v>
      </c>
      <c r="K3108" s="10">
        <f>IF(F3108&gt;0,H3108/F3108,"")</f>
        <v/>
      </c>
      <c r="L3108" s="16">
        <f>IF(AND(G3108&gt;0,H3108&gt;0),G3108/H3108,"")</f>
        <v/>
      </c>
    </row>
    <row r="3109">
      <c r="A3109" s="4" t="inlineStr">
        <is>
          <t>341</t>
        </is>
      </c>
      <c r="B3109" s="4" t="n">
        <v>3</v>
      </c>
      <c r="C3109" s="4" t="inlineStr">
        <is>
          <t>elk</t>
        </is>
      </c>
      <c r="D3109" s="4" t="n">
        <v>2010</v>
      </c>
      <c r="E3109" s="4" t="inlineStr"/>
      <c r="F3109" s="5" t="n">
        <v>540</v>
      </c>
      <c r="G3109" s="5" t="n">
        <v>3911</v>
      </c>
      <c r="H3109" s="5" t="n">
        <v>74</v>
      </c>
      <c r="I3109" s="5" t="n">
        <v>56</v>
      </c>
      <c r="J3109" s="5" t="n">
        <v>18</v>
      </c>
      <c r="K3109" s="10">
        <f>IF(F3109&gt;0,H3109/F3109,"")</f>
        <v/>
      </c>
      <c r="L3109" s="16">
        <f>IF(AND(G3109&gt;0,H3109&gt;0),G3109/H3109,"")</f>
        <v/>
      </c>
    </row>
    <row r="3110">
      <c r="A3110" s="4" t="inlineStr">
        <is>
          <t>341</t>
        </is>
      </c>
      <c r="B3110" s="4" t="n">
        <v>3</v>
      </c>
      <c r="C3110" s="4" t="inlineStr">
        <is>
          <t>elk</t>
        </is>
      </c>
      <c r="D3110" s="4" t="n">
        <v>2011</v>
      </c>
      <c r="E3110" s="4" t="inlineStr"/>
      <c r="F3110" s="5" t="n">
        <v>460</v>
      </c>
      <c r="G3110" s="5" t="n">
        <v>3281</v>
      </c>
      <c r="H3110" s="5" t="n">
        <v>39</v>
      </c>
      <c r="I3110" s="5" t="n">
        <v>31</v>
      </c>
      <c r="J3110" s="5" t="n">
        <v>8</v>
      </c>
      <c r="K3110" s="10">
        <f>IF(F3110&gt;0,H3110/F3110,"")</f>
        <v/>
      </c>
      <c r="L3110" s="16">
        <f>IF(AND(G3110&gt;0,H3110&gt;0),G3110/H3110,"")</f>
        <v/>
      </c>
    </row>
    <row r="3111">
      <c r="A3111" s="4" t="inlineStr">
        <is>
          <t>341</t>
        </is>
      </c>
      <c r="B3111" s="4" t="n">
        <v>3</v>
      </c>
      <c r="C3111" s="4" t="inlineStr">
        <is>
          <t>elk</t>
        </is>
      </c>
      <c r="D3111" s="4" t="n">
        <v>2012</v>
      </c>
      <c r="E3111" s="4" t="inlineStr"/>
      <c r="F3111" s="5" t="n">
        <v>490</v>
      </c>
      <c r="G3111" s="5" t="n">
        <v>3731</v>
      </c>
      <c r="H3111" s="5" t="n">
        <v>53</v>
      </c>
      <c r="I3111" s="5" t="n">
        <v>45</v>
      </c>
      <c r="J3111" s="5" t="n">
        <v>8</v>
      </c>
      <c r="K3111" s="10">
        <f>IF(F3111&gt;0,H3111/F3111,"")</f>
        <v/>
      </c>
      <c r="L3111" s="16">
        <f>IF(AND(G3111&gt;0,H3111&gt;0),G3111/H3111,"")</f>
        <v/>
      </c>
    </row>
    <row r="3112">
      <c r="A3112" s="4" t="inlineStr">
        <is>
          <t>341</t>
        </is>
      </c>
      <c r="B3112" s="4" t="n">
        <v>3</v>
      </c>
      <c r="C3112" s="4" t="inlineStr">
        <is>
          <t>elk</t>
        </is>
      </c>
      <c r="D3112" s="4" t="n">
        <v>2013</v>
      </c>
      <c r="E3112" s="4" t="inlineStr"/>
      <c r="F3112" s="5" t="n"/>
      <c r="G3112" s="5" t="n"/>
      <c r="H3112" s="5" t="n">
        <v>73</v>
      </c>
      <c r="I3112" s="5" t="n">
        <v>59</v>
      </c>
      <c r="J3112" s="5" t="n">
        <v>14</v>
      </c>
      <c r="K3112" s="10">
        <f>IF(F3112&gt;0,H3112/F3112,"")</f>
        <v/>
      </c>
      <c r="L3112" s="16">
        <f>IF(AND(G3112&gt;0,H3112&gt;0),G3112/H3112,"")</f>
        <v/>
      </c>
    </row>
    <row r="3113">
      <c r="A3113" s="4" t="inlineStr">
        <is>
          <t>341</t>
        </is>
      </c>
      <c r="B3113" s="4" t="n">
        <v>3</v>
      </c>
      <c r="C3113" s="4" t="inlineStr">
        <is>
          <t>elk</t>
        </is>
      </c>
      <c r="D3113" s="4" t="n">
        <v>2014</v>
      </c>
      <c r="E3113" s="4" t="inlineStr"/>
      <c r="F3113" s="5" t="n">
        <v>693</v>
      </c>
      <c r="G3113" s="5" t="n">
        <v>5538</v>
      </c>
      <c r="H3113" s="5" t="n">
        <v>102</v>
      </c>
      <c r="I3113" s="5" t="n">
        <v>56</v>
      </c>
      <c r="J3113" s="5" t="n">
        <v>42</v>
      </c>
      <c r="K3113" s="10">
        <f>IF(F3113&gt;0,H3113/F3113,"")</f>
        <v/>
      </c>
      <c r="L3113" s="16">
        <f>IF(AND(G3113&gt;0,H3113&gt;0),G3113/H3113,"")</f>
        <v/>
      </c>
    </row>
    <row r="3114">
      <c r="A3114" s="4" t="inlineStr">
        <is>
          <t>341</t>
        </is>
      </c>
      <c r="B3114" s="4" t="n">
        <v>3</v>
      </c>
      <c r="C3114" s="4" t="inlineStr">
        <is>
          <t>elk</t>
        </is>
      </c>
      <c r="D3114" s="4" t="n">
        <v>2015</v>
      </c>
      <c r="E3114" s="4" t="inlineStr"/>
      <c r="F3114" s="5" t="n">
        <v>705</v>
      </c>
      <c r="G3114" s="5" t="n">
        <v>5458</v>
      </c>
      <c r="H3114" s="5" t="n">
        <v>181</v>
      </c>
      <c r="I3114" s="5" t="n">
        <v>99</v>
      </c>
      <c r="J3114" s="5" t="n">
        <v>71</v>
      </c>
      <c r="K3114" s="10">
        <f>IF(F3114&gt;0,H3114/F3114,"")</f>
        <v/>
      </c>
      <c r="L3114" s="16">
        <f>IF(AND(G3114&gt;0,H3114&gt;0),G3114/H3114,"")</f>
        <v/>
      </c>
    </row>
    <row r="3115">
      <c r="A3115" s="4" t="inlineStr">
        <is>
          <t>341</t>
        </is>
      </c>
      <c r="B3115" s="4" t="n">
        <v>3</v>
      </c>
      <c r="C3115" s="4" t="inlineStr">
        <is>
          <t>elk</t>
        </is>
      </c>
      <c r="D3115" s="4" t="n">
        <v>2016</v>
      </c>
      <c r="E3115" s="4" t="inlineStr"/>
      <c r="F3115" s="5" t="n">
        <v>600</v>
      </c>
      <c r="G3115" s="5" t="n">
        <v>5192</v>
      </c>
      <c r="H3115" s="5" t="n">
        <v>67</v>
      </c>
      <c r="I3115" s="5" t="n">
        <v>49</v>
      </c>
      <c r="J3115" s="5" t="n">
        <v>15</v>
      </c>
      <c r="K3115" s="10">
        <f>IF(F3115&gt;0,H3115/F3115,"")</f>
        <v/>
      </c>
      <c r="L3115" s="16">
        <f>IF(AND(G3115&gt;0,H3115&gt;0),G3115/H3115,"")</f>
        <v/>
      </c>
    </row>
    <row r="3116">
      <c r="A3116" s="4" t="inlineStr">
        <is>
          <t>341</t>
        </is>
      </c>
      <c r="B3116" s="4" t="n">
        <v>3</v>
      </c>
      <c r="C3116" s="4" t="inlineStr">
        <is>
          <t>elk</t>
        </is>
      </c>
      <c r="D3116" s="4" t="n">
        <v>2017</v>
      </c>
      <c r="E3116" s="4" t="inlineStr"/>
      <c r="F3116" s="5" t="n"/>
      <c r="G3116" s="5" t="n"/>
      <c r="H3116" s="5" t="n">
        <v>145</v>
      </c>
      <c r="I3116" s="5" t="n">
        <v>86</v>
      </c>
      <c r="J3116" s="5" t="n">
        <v>56</v>
      </c>
      <c r="K3116" s="10">
        <f>IF(F3116&gt;0,H3116/F3116,"")</f>
        <v/>
      </c>
      <c r="L3116" s="16">
        <f>IF(AND(G3116&gt;0,H3116&gt;0),G3116/H3116,"")</f>
        <v/>
      </c>
    </row>
    <row r="3117">
      <c r="A3117" s="4" t="inlineStr">
        <is>
          <t>341</t>
        </is>
      </c>
      <c r="B3117" s="4" t="n">
        <v>3</v>
      </c>
      <c r="C3117" s="4" t="inlineStr">
        <is>
          <t>elk</t>
        </is>
      </c>
      <c r="D3117" s="4" t="n">
        <v>2018</v>
      </c>
      <c r="E3117" s="4" t="inlineStr"/>
      <c r="F3117" s="5" t="n">
        <v>720</v>
      </c>
      <c r="G3117" s="5" t="n">
        <v>5900</v>
      </c>
      <c r="H3117" s="5" t="n">
        <v>93</v>
      </c>
      <c r="I3117" s="5" t="n">
        <v>46</v>
      </c>
      <c r="J3117" s="5" t="n">
        <v>47</v>
      </c>
      <c r="K3117" s="10">
        <f>IF(F3117&gt;0,H3117/F3117,"")</f>
        <v/>
      </c>
      <c r="L3117" s="16">
        <f>IF(AND(G3117&gt;0,H3117&gt;0),G3117/H3117,"")</f>
        <v/>
      </c>
    </row>
    <row r="3118">
      <c r="A3118" s="4" t="inlineStr">
        <is>
          <t>341</t>
        </is>
      </c>
      <c r="B3118" s="4" t="n">
        <v>3</v>
      </c>
      <c r="C3118" s="4" t="inlineStr">
        <is>
          <t>elk</t>
        </is>
      </c>
      <c r="D3118" s="4" t="n">
        <v>2019</v>
      </c>
      <c r="E3118" s="4" t="inlineStr"/>
      <c r="F3118" s="5" t="n"/>
      <c r="G3118" s="5" t="n"/>
      <c r="H3118" s="5" t="n">
        <v>112</v>
      </c>
      <c r="I3118" s="5" t="n">
        <v>52</v>
      </c>
      <c r="J3118" s="5" t="n">
        <v>58</v>
      </c>
      <c r="K3118" s="10">
        <f>IF(F3118&gt;0,H3118/F3118,"")</f>
        <v/>
      </c>
      <c r="L3118" s="16">
        <f>IF(AND(G3118&gt;0,H3118&gt;0),G3118/H3118,"")</f>
        <v/>
      </c>
    </row>
    <row r="3119">
      <c r="A3119" s="4" t="inlineStr">
        <is>
          <t>341</t>
        </is>
      </c>
      <c r="B3119" s="4" t="n">
        <v>3</v>
      </c>
      <c r="C3119" s="4" t="inlineStr">
        <is>
          <t>elk</t>
        </is>
      </c>
      <c r="D3119" s="4" t="n">
        <v>2020</v>
      </c>
      <c r="E3119" s="4" t="inlineStr"/>
      <c r="F3119" s="5" t="n">
        <v>811</v>
      </c>
      <c r="G3119" s="5" t="n">
        <v>6657</v>
      </c>
      <c r="H3119" s="5" t="n">
        <v>120</v>
      </c>
      <c r="I3119" s="5" t="n">
        <v>58</v>
      </c>
      <c r="J3119" s="5" t="n">
        <v>63</v>
      </c>
      <c r="K3119" s="10">
        <f>IF(F3119&gt;0,H3119/F3119,"")</f>
        <v/>
      </c>
      <c r="L3119" s="16">
        <f>IF(AND(G3119&gt;0,H3119&gt;0),G3119/H3119,"")</f>
        <v/>
      </c>
    </row>
    <row r="3120">
      <c r="A3120" s="4" t="inlineStr">
        <is>
          <t>341</t>
        </is>
      </c>
      <c r="B3120" s="4" t="n">
        <v>3</v>
      </c>
      <c r="C3120" s="4" t="inlineStr">
        <is>
          <t>elk</t>
        </is>
      </c>
      <c r="D3120" s="4" t="n">
        <v>2021</v>
      </c>
      <c r="E3120" s="4" t="inlineStr"/>
      <c r="F3120" s="5" t="n"/>
      <c r="G3120" s="5" t="n"/>
      <c r="H3120" s="5" t="n">
        <v>88</v>
      </c>
      <c r="I3120" s="5" t="n">
        <v>55</v>
      </c>
      <c r="J3120" s="5" t="n">
        <v>32</v>
      </c>
      <c r="K3120" s="10">
        <f>IF(F3120&gt;0,H3120/F3120,"")</f>
        <v/>
      </c>
      <c r="L3120" s="16">
        <f>IF(AND(G3120&gt;0,H3120&gt;0),G3120/H3120,"")</f>
        <v/>
      </c>
    </row>
    <row r="3121">
      <c r="A3121" s="4" t="inlineStr">
        <is>
          <t>343</t>
        </is>
      </c>
      <c r="B3121" s="4" t="n">
        <v>3</v>
      </c>
      <c r="C3121" s="4" t="inlineStr">
        <is>
          <t>elk</t>
        </is>
      </c>
      <c r="D3121" s="4" t="n">
        <v>2004</v>
      </c>
      <c r="E3121" s="13" t="inlineStr">
        <is>
          <t>General</t>
        </is>
      </c>
      <c r="F3121" s="5" t="n">
        <v>1133</v>
      </c>
      <c r="G3121" s="5" t="n">
        <v>8083</v>
      </c>
      <c r="H3121" s="5" t="n">
        <v>105</v>
      </c>
      <c r="I3121" s="5" t="n">
        <v>48</v>
      </c>
      <c r="J3121" s="5" t="n">
        <v>47</v>
      </c>
      <c r="K3121" s="10">
        <f>IF(F3121&gt;0,H3121/F3121,"")</f>
        <v/>
      </c>
      <c r="L3121" s="16">
        <f>IF(AND(G3121&gt;0,H3121&gt;0),G3121/H3121,"")</f>
        <v/>
      </c>
    </row>
    <row r="3122">
      <c r="A3122" s="4" t="inlineStr">
        <is>
          <t>343</t>
        </is>
      </c>
      <c r="B3122" s="4" t="n">
        <v>3</v>
      </c>
      <c r="C3122" s="4" t="inlineStr">
        <is>
          <t>elk</t>
        </is>
      </c>
      <c r="D3122" s="4" t="n">
        <v>2005</v>
      </c>
      <c r="E3122" s="13" t="inlineStr">
        <is>
          <t>General</t>
        </is>
      </c>
      <c r="F3122" s="5" t="n">
        <v>1042</v>
      </c>
      <c r="G3122" s="5" t="n">
        <v>7378</v>
      </c>
      <c r="H3122" s="5" t="n">
        <v>159</v>
      </c>
      <c r="I3122" s="5" t="n">
        <v>55</v>
      </c>
      <c r="J3122" s="5" t="n">
        <v>93</v>
      </c>
      <c r="K3122" s="10">
        <f>IF(F3122&gt;0,H3122/F3122,"")</f>
        <v/>
      </c>
      <c r="L3122" s="16">
        <f>IF(AND(G3122&gt;0,H3122&gt;0),G3122/H3122,"")</f>
        <v/>
      </c>
    </row>
    <row r="3123">
      <c r="A3123" s="4" t="inlineStr">
        <is>
          <t>343</t>
        </is>
      </c>
      <c r="B3123" s="4" t="n">
        <v>3</v>
      </c>
      <c r="C3123" s="4" t="inlineStr">
        <is>
          <t>elk</t>
        </is>
      </c>
      <c r="D3123" s="4" t="n">
        <v>2006</v>
      </c>
      <c r="E3123" s="13" t="inlineStr">
        <is>
          <t>General</t>
        </is>
      </c>
      <c r="F3123" s="5" t="n">
        <v>946</v>
      </c>
      <c r="G3123" s="5" t="n">
        <v>6417</v>
      </c>
      <c r="H3123" s="5" t="n">
        <v>146</v>
      </c>
      <c r="I3123" s="5" t="n">
        <v>52</v>
      </c>
      <c r="J3123" s="5" t="n">
        <v>86</v>
      </c>
      <c r="K3123" s="10">
        <f>IF(F3123&gt;0,H3123/F3123,"")</f>
        <v/>
      </c>
      <c r="L3123" s="16">
        <f>IF(AND(G3123&gt;0,H3123&gt;0),G3123/H3123,"")</f>
        <v/>
      </c>
    </row>
    <row r="3124">
      <c r="A3124" s="4" t="inlineStr">
        <is>
          <t>343</t>
        </is>
      </c>
      <c r="B3124" s="4" t="n">
        <v>3</v>
      </c>
      <c r="C3124" s="4" t="inlineStr">
        <is>
          <t>elk</t>
        </is>
      </c>
      <c r="D3124" s="4" t="n">
        <v>2007</v>
      </c>
      <c r="E3124" s="13" t="inlineStr">
        <is>
          <t>General</t>
        </is>
      </c>
      <c r="F3124" s="5" t="n">
        <v>1163</v>
      </c>
      <c r="G3124" s="5" t="n">
        <v>8255</v>
      </c>
      <c r="H3124" s="5" t="n">
        <v>131</v>
      </c>
      <c r="I3124" s="5" t="n">
        <v>53</v>
      </c>
      <c r="J3124" s="5" t="n">
        <v>76</v>
      </c>
      <c r="K3124" s="10">
        <f>IF(F3124&gt;0,H3124/F3124,"")</f>
        <v/>
      </c>
      <c r="L3124" s="16">
        <f>IF(AND(G3124&gt;0,H3124&gt;0),G3124/H3124,"")</f>
        <v/>
      </c>
    </row>
    <row r="3125">
      <c r="A3125" s="4" t="inlineStr">
        <is>
          <t>343</t>
        </is>
      </c>
      <c r="B3125" s="4" t="n">
        <v>3</v>
      </c>
      <c r="C3125" s="4" t="inlineStr">
        <is>
          <t>elk</t>
        </is>
      </c>
      <c r="D3125" s="4" t="n">
        <v>2008</v>
      </c>
      <c r="E3125" s="13" t="inlineStr">
        <is>
          <t>General</t>
        </is>
      </c>
      <c r="F3125" s="5" t="n">
        <v>1215</v>
      </c>
      <c r="G3125" s="5" t="n">
        <v>9666</v>
      </c>
      <c r="H3125" s="5" t="n">
        <v>117</v>
      </c>
      <c r="I3125" s="5" t="n">
        <v>45</v>
      </c>
      <c r="J3125" s="5" t="n">
        <v>67</v>
      </c>
      <c r="K3125" s="10">
        <f>IF(F3125&gt;0,H3125/F3125,"")</f>
        <v/>
      </c>
      <c r="L3125" s="16">
        <f>IF(AND(G3125&gt;0,H3125&gt;0),G3125/H3125,"")</f>
        <v/>
      </c>
    </row>
    <row r="3126">
      <c r="A3126" s="4" t="inlineStr">
        <is>
          <t>343</t>
        </is>
      </c>
      <c r="B3126" s="4" t="n">
        <v>3</v>
      </c>
      <c r="C3126" s="4" t="inlineStr">
        <is>
          <t>elk</t>
        </is>
      </c>
      <c r="D3126" s="4" t="n">
        <v>2009</v>
      </c>
      <c r="E3126" s="13" t="inlineStr">
        <is>
          <t>General</t>
        </is>
      </c>
      <c r="F3126" s="5" t="n">
        <v>1318</v>
      </c>
      <c r="G3126" s="5" t="n">
        <v>9412</v>
      </c>
      <c r="H3126" s="5" t="n">
        <v>219</v>
      </c>
      <c r="I3126" s="5" t="n">
        <v>87</v>
      </c>
      <c r="J3126" s="5" t="n">
        <v>115</v>
      </c>
      <c r="K3126" s="10">
        <f>IF(F3126&gt;0,H3126/F3126,"")</f>
        <v/>
      </c>
      <c r="L3126" s="16">
        <f>IF(AND(G3126&gt;0,H3126&gt;0),G3126/H3126,"")</f>
        <v/>
      </c>
    </row>
    <row r="3127">
      <c r="A3127" s="4" t="inlineStr">
        <is>
          <t>343</t>
        </is>
      </c>
      <c r="B3127" s="4" t="n">
        <v>3</v>
      </c>
      <c r="C3127" s="4" t="inlineStr">
        <is>
          <t>elk</t>
        </is>
      </c>
      <c r="D3127" s="4" t="n">
        <v>2010</v>
      </c>
      <c r="E3127" s="13" t="inlineStr">
        <is>
          <t>General</t>
        </is>
      </c>
      <c r="F3127" s="5" t="n">
        <v>1523</v>
      </c>
      <c r="G3127" s="5" t="n">
        <v>12707</v>
      </c>
      <c r="H3127" s="5" t="n">
        <v>313</v>
      </c>
      <c r="I3127" s="5" t="n">
        <v>92</v>
      </c>
      <c r="J3127" s="5" t="n">
        <v>182</v>
      </c>
      <c r="K3127" s="10">
        <f>IF(F3127&gt;0,H3127/F3127,"")</f>
        <v/>
      </c>
      <c r="L3127" s="16">
        <f>IF(AND(G3127&gt;0,H3127&gt;0),G3127/H3127,"")</f>
        <v/>
      </c>
    </row>
    <row r="3128">
      <c r="A3128" s="4" t="inlineStr">
        <is>
          <t>343</t>
        </is>
      </c>
      <c r="B3128" s="4" t="n">
        <v>3</v>
      </c>
      <c r="C3128" s="4" t="inlineStr">
        <is>
          <t>elk</t>
        </is>
      </c>
      <c r="D3128" s="4" t="n">
        <v>2011</v>
      </c>
      <c r="E3128" s="13" t="inlineStr">
        <is>
          <t>General</t>
        </is>
      </c>
      <c r="F3128" s="5" t="n">
        <v>1616</v>
      </c>
      <c r="G3128" s="5" t="n">
        <v>11820</v>
      </c>
      <c r="H3128" s="5" t="n">
        <v>183</v>
      </c>
      <c r="I3128" s="5" t="n">
        <v>53</v>
      </c>
      <c r="J3128" s="5" t="n">
        <v>115</v>
      </c>
      <c r="K3128" s="10">
        <f>IF(F3128&gt;0,H3128/F3128,"")</f>
        <v/>
      </c>
      <c r="L3128" s="16">
        <f>IF(AND(G3128&gt;0,H3128&gt;0),G3128/H3128,"")</f>
        <v/>
      </c>
    </row>
    <row r="3129">
      <c r="A3129" s="4" t="inlineStr">
        <is>
          <t>343</t>
        </is>
      </c>
      <c r="B3129" s="4" t="n">
        <v>3</v>
      </c>
      <c r="C3129" s="4" t="inlineStr">
        <is>
          <t>elk</t>
        </is>
      </c>
      <c r="D3129" s="4" t="n">
        <v>2012</v>
      </c>
      <c r="E3129" s="13" t="inlineStr">
        <is>
          <t>General</t>
        </is>
      </c>
      <c r="F3129" s="5" t="n">
        <v>1402</v>
      </c>
      <c r="G3129" s="5" t="n">
        <v>11211</v>
      </c>
      <c r="H3129" s="5" t="n">
        <v>146</v>
      </c>
      <c r="I3129" s="5" t="n">
        <v>77</v>
      </c>
      <c r="J3129" s="5" t="n">
        <v>57</v>
      </c>
      <c r="K3129" s="10">
        <f>IF(F3129&gt;0,H3129/F3129,"")</f>
        <v/>
      </c>
      <c r="L3129" s="16">
        <f>IF(AND(G3129&gt;0,H3129&gt;0),G3129/H3129,"")</f>
        <v/>
      </c>
    </row>
    <row r="3130">
      <c r="A3130" s="4" t="inlineStr">
        <is>
          <t>343</t>
        </is>
      </c>
      <c r="B3130" s="4" t="n">
        <v>3</v>
      </c>
      <c r="C3130" s="4" t="inlineStr">
        <is>
          <t>elk</t>
        </is>
      </c>
      <c r="D3130" s="4" t="n">
        <v>2013</v>
      </c>
      <c r="E3130" s="13" t="inlineStr">
        <is>
          <t>General</t>
        </is>
      </c>
      <c r="F3130" s="5" t="n"/>
      <c r="G3130" s="5" t="n"/>
      <c r="H3130" s="5" t="n">
        <v>84</v>
      </c>
      <c r="I3130" s="5" t="n">
        <v>39</v>
      </c>
      <c r="J3130" s="5" t="n">
        <v>41</v>
      </c>
      <c r="K3130" s="10">
        <f>IF(F3130&gt;0,H3130/F3130,"")</f>
        <v/>
      </c>
      <c r="L3130" s="16">
        <f>IF(AND(G3130&gt;0,H3130&gt;0),G3130/H3130,"")</f>
        <v/>
      </c>
    </row>
    <row r="3131">
      <c r="A3131" s="4" t="inlineStr">
        <is>
          <t>343</t>
        </is>
      </c>
      <c r="B3131" s="4" t="n">
        <v>3</v>
      </c>
      <c r="C3131" s="4" t="inlineStr">
        <is>
          <t>elk</t>
        </is>
      </c>
      <c r="D3131" s="4" t="n">
        <v>2014</v>
      </c>
      <c r="E3131" s="13" t="inlineStr">
        <is>
          <t>General</t>
        </is>
      </c>
      <c r="F3131" s="5" t="n">
        <v>1230</v>
      </c>
      <c r="G3131" s="5" t="n">
        <v>9098</v>
      </c>
      <c r="H3131" s="5" t="n">
        <v>155</v>
      </c>
      <c r="I3131" s="5" t="n">
        <v>102</v>
      </c>
      <c r="J3131" s="5" t="n">
        <v>51</v>
      </c>
      <c r="K3131" s="10">
        <f>IF(F3131&gt;0,H3131/F3131,"")</f>
        <v/>
      </c>
      <c r="L3131" s="16">
        <f>IF(AND(G3131&gt;0,H3131&gt;0),G3131/H3131,"")</f>
        <v/>
      </c>
    </row>
    <row r="3132">
      <c r="A3132" s="4" t="inlineStr">
        <is>
          <t>343</t>
        </is>
      </c>
      <c r="B3132" s="4" t="n">
        <v>3</v>
      </c>
      <c r="C3132" s="4" t="inlineStr">
        <is>
          <t>elk</t>
        </is>
      </c>
      <c r="D3132" s="4" t="n">
        <v>2015</v>
      </c>
      <c r="E3132" s="13" t="inlineStr">
        <is>
          <t>General</t>
        </is>
      </c>
      <c r="F3132" s="5" t="n">
        <v>1161</v>
      </c>
      <c r="G3132" s="5" t="n">
        <v>10149</v>
      </c>
      <c r="H3132" s="5" t="n">
        <v>168</v>
      </c>
      <c r="I3132" s="5" t="n">
        <v>85</v>
      </c>
      <c r="J3132" s="5" t="n">
        <v>78</v>
      </c>
      <c r="K3132" s="10">
        <f>IF(F3132&gt;0,H3132/F3132,"")</f>
        <v/>
      </c>
      <c r="L3132" s="16">
        <f>IF(AND(G3132&gt;0,H3132&gt;0),G3132/H3132,"")</f>
        <v/>
      </c>
    </row>
    <row r="3133">
      <c r="A3133" s="4" t="inlineStr">
        <is>
          <t>343</t>
        </is>
      </c>
      <c r="B3133" s="4" t="n">
        <v>3</v>
      </c>
      <c r="C3133" s="4" t="inlineStr">
        <is>
          <t>elk</t>
        </is>
      </c>
      <c r="D3133" s="4" t="n">
        <v>2016</v>
      </c>
      <c r="E3133" s="13" t="inlineStr">
        <is>
          <t>General</t>
        </is>
      </c>
      <c r="F3133" s="5" t="n">
        <v>1298</v>
      </c>
      <c r="G3133" s="5" t="n">
        <v>11122</v>
      </c>
      <c r="H3133" s="5" t="n">
        <v>155</v>
      </c>
      <c r="I3133" s="5" t="n">
        <v>63</v>
      </c>
      <c r="J3133" s="5" t="n">
        <v>83</v>
      </c>
      <c r="K3133" s="10">
        <f>IF(F3133&gt;0,H3133/F3133,"")</f>
        <v/>
      </c>
      <c r="L3133" s="16">
        <f>IF(AND(G3133&gt;0,H3133&gt;0),G3133/H3133,"")</f>
        <v/>
      </c>
    </row>
    <row r="3134">
      <c r="A3134" s="4" t="inlineStr">
        <is>
          <t>343</t>
        </is>
      </c>
      <c r="B3134" s="4" t="n">
        <v>3</v>
      </c>
      <c r="C3134" s="4" t="inlineStr">
        <is>
          <t>elk</t>
        </is>
      </c>
      <c r="D3134" s="4" t="n">
        <v>2017</v>
      </c>
      <c r="E3134" s="13" t="inlineStr">
        <is>
          <t>General</t>
        </is>
      </c>
      <c r="F3134" s="5" t="n"/>
      <c r="G3134" s="5" t="n"/>
      <c r="H3134" s="5" t="n">
        <v>172</v>
      </c>
      <c r="I3134" s="5" t="n">
        <v>100</v>
      </c>
      <c r="J3134" s="5" t="n">
        <v>72</v>
      </c>
      <c r="K3134" s="10">
        <f>IF(F3134&gt;0,H3134/F3134,"")</f>
        <v/>
      </c>
      <c r="L3134" s="16">
        <f>IF(AND(G3134&gt;0,H3134&gt;0),G3134/H3134,"")</f>
        <v/>
      </c>
    </row>
    <row r="3135">
      <c r="A3135" s="4" t="inlineStr">
        <is>
          <t>343</t>
        </is>
      </c>
      <c r="B3135" s="4" t="n">
        <v>3</v>
      </c>
      <c r="C3135" s="4" t="inlineStr">
        <is>
          <t>elk</t>
        </is>
      </c>
      <c r="D3135" s="4" t="n">
        <v>2018</v>
      </c>
      <c r="E3135" s="13" t="inlineStr">
        <is>
          <t>General</t>
        </is>
      </c>
      <c r="F3135" s="5" t="n">
        <v>1118</v>
      </c>
      <c r="G3135" s="5" t="n">
        <v>9262</v>
      </c>
      <c r="H3135" s="5" t="n">
        <v>127</v>
      </c>
      <c r="I3135" s="5" t="n">
        <v>56</v>
      </c>
      <c r="J3135" s="5" t="n">
        <v>64</v>
      </c>
      <c r="K3135" s="10">
        <f>IF(F3135&gt;0,H3135/F3135,"")</f>
        <v/>
      </c>
      <c r="L3135" s="16">
        <f>IF(AND(G3135&gt;0,H3135&gt;0),G3135/H3135,"")</f>
        <v/>
      </c>
    </row>
    <row r="3136">
      <c r="A3136" s="4" t="inlineStr">
        <is>
          <t>343</t>
        </is>
      </c>
      <c r="B3136" s="4" t="n">
        <v>3</v>
      </c>
      <c r="C3136" s="4" t="inlineStr">
        <is>
          <t>elk</t>
        </is>
      </c>
      <c r="D3136" s="4" t="n">
        <v>2019</v>
      </c>
      <c r="E3136" s="13" t="inlineStr">
        <is>
          <t>General</t>
        </is>
      </c>
      <c r="F3136" s="5" t="n"/>
      <c r="G3136" s="5" t="n"/>
      <c r="H3136" s="5" t="n">
        <v>150</v>
      </c>
      <c r="I3136" s="5" t="n">
        <v>82</v>
      </c>
      <c r="J3136" s="5" t="n">
        <v>62</v>
      </c>
      <c r="K3136" s="10">
        <f>IF(F3136&gt;0,H3136/F3136,"")</f>
        <v/>
      </c>
      <c r="L3136" s="16">
        <f>IF(AND(G3136&gt;0,H3136&gt;0),G3136/H3136,"")</f>
        <v/>
      </c>
    </row>
    <row r="3137">
      <c r="A3137" s="4" t="inlineStr">
        <is>
          <t>343</t>
        </is>
      </c>
      <c r="B3137" s="4" t="n">
        <v>3</v>
      </c>
      <c r="C3137" s="4" t="inlineStr">
        <is>
          <t>elk</t>
        </is>
      </c>
      <c r="D3137" s="4" t="n">
        <v>2020</v>
      </c>
      <c r="E3137" s="13" t="inlineStr">
        <is>
          <t>General</t>
        </is>
      </c>
      <c r="F3137" s="5" t="n">
        <v>1167</v>
      </c>
      <c r="G3137" s="5" t="n">
        <v>9443</v>
      </c>
      <c r="H3137" s="5" t="n">
        <v>151</v>
      </c>
      <c r="I3137" s="5" t="n">
        <v>62</v>
      </c>
      <c r="J3137" s="5" t="n">
        <v>89</v>
      </c>
      <c r="K3137" s="10">
        <f>IF(F3137&gt;0,H3137/F3137,"")</f>
        <v/>
      </c>
      <c r="L3137" s="16">
        <f>IF(AND(G3137&gt;0,H3137&gt;0),G3137/H3137,"")</f>
        <v/>
      </c>
    </row>
    <row r="3138">
      <c r="A3138" s="4" t="inlineStr">
        <is>
          <t>343</t>
        </is>
      </c>
      <c r="B3138" s="4" t="n">
        <v>3</v>
      </c>
      <c r="C3138" s="4" t="inlineStr">
        <is>
          <t>elk</t>
        </is>
      </c>
      <c r="D3138" s="4" t="n">
        <v>2021</v>
      </c>
      <c r="E3138" s="13" t="inlineStr">
        <is>
          <t>General</t>
        </is>
      </c>
      <c r="F3138" s="5" t="n"/>
      <c r="G3138" s="5" t="n"/>
      <c r="H3138" s="5" t="n">
        <v>63</v>
      </c>
      <c r="I3138" s="5" t="n">
        <v>38</v>
      </c>
      <c r="J3138" s="5" t="n">
        <v>21</v>
      </c>
      <c r="K3138" s="10">
        <f>IF(F3138&gt;0,H3138/F3138,"")</f>
        <v/>
      </c>
      <c r="L3138" s="16">
        <f>IF(AND(G3138&gt;0,H3138&gt;0),G3138/H3138,"")</f>
        <v/>
      </c>
    </row>
    <row r="3139">
      <c r="A3139" s="4" t="inlineStr">
        <is>
          <t>343</t>
        </is>
      </c>
      <c r="B3139" s="4" t="n">
        <v>3</v>
      </c>
      <c r="C3139" s="4" t="inlineStr">
        <is>
          <t>elk</t>
        </is>
      </c>
      <c r="D3139" s="4" t="n">
        <v>2022</v>
      </c>
      <c r="E3139" s="13" t="inlineStr">
        <is>
          <t>General</t>
        </is>
      </c>
      <c r="F3139" s="5" t="n">
        <v>1041</v>
      </c>
      <c r="G3139" s="5" t="n">
        <v>8439</v>
      </c>
      <c r="H3139" s="5" t="n">
        <v>168</v>
      </c>
      <c r="I3139" s="5" t="n">
        <v>87</v>
      </c>
      <c r="J3139" s="5" t="n">
        <v>81</v>
      </c>
      <c r="K3139" s="10">
        <f>IF(F3139&gt;0,H3139/F3139,"")</f>
        <v/>
      </c>
      <c r="L3139" s="16">
        <f>IF(AND(G3139&gt;0,H3139&gt;0),G3139/H3139,"")</f>
        <v/>
      </c>
    </row>
    <row r="3140">
      <c r="A3140" s="4" t="inlineStr">
        <is>
          <t>343</t>
        </is>
      </c>
      <c r="B3140" s="4" t="n">
        <v>3</v>
      </c>
      <c r="C3140" s="4" t="inlineStr">
        <is>
          <t>elk</t>
        </is>
      </c>
      <c r="D3140" s="4" t="n">
        <v>2023</v>
      </c>
      <c r="E3140" s="13" t="inlineStr">
        <is>
          <t>General</t>
        </is>
      </c>
      <c r="F3140" s="5" t="n"/>
      <c r="G3140" s="5" t="n"/>
      <c r="H3140" s="5" t="n">
        <v>111</v>
      </c>
      <c r="I3140" s="5" t="n">
        <v>53</v>
      </c>
      <c r="J3140" s="5" t="n">
        <v>52</v>
      </c>
      <c r="K3140" s="10">
        <f>IF(F3140&gt;0,H3140/F3140,"")</f>
        <v/>
      </c>
      <c r="L3140" s="16">
        <f>IF(AND(G3140&gt;0,H3140&gt;0),G3140/H3140,"")</f>
        <v/>
      </c>
    </row>
    <row r="3141">
      <c r="A3141" s="4" t="inlineStr">
        <is>
          <t>343</t>
        </is>
      </c>
      <c r="B3141" s="4" t="n">
        <v>3</v>
      </c>
      <c r="C3141" s="4" t="inlineStr">
        <is>
          <t>elk</t>
        </is>
      </c>
      <c r="D3141" s="4" t="n">
        <v>2024</v>
      </c>
      <c r="E3141" s="13" t="inlineStr">
        <is>
          <t>General</t>
        </is>
      </c>
      <c r="F3141" s="5" t="n">
        <v>1318</v>
      </c>
      <c r="G3141" s="5" t="n">
        <v>11212</v>
      </c>
      <c r="H3141" s="5" t="n">
        <v>153</v>
      </c>
      <c r="I3141" s="5" t="n">
        <v>66</v>
      </c>
      <c r="J3141" s="5" t="n">
        <v>84</v>
      </c>
      <c r="K3141" s="10">
        <f>IF(F3141&gt;0,H3141/F3141,"")</f>
        <v/>
      </c>
      <c r="L3141" s="16">
        <f>IF(AND(G3141&gt;0,H3141&gt;0),G3141/H3141,"")</f>
        <v/>
      </c>
    </row>
    <row r="3142">
      <c r="A3142" s="4" t="inlineStr">
        <is>
          <t>343</t>
        </is>
      </c>
      <c r="B3142" s="4" t="n">
        <v>3</v>
      </c>
      <c r="C3142" s="4" t="inlineStr">
        <is>
          <t>elk</t>
        </is>
      </c>
      <c r="D3142" s="4" t="n">
        <v>2025</v>
      </c>
      <c r="E3142" s="13" t="inlineStr">
        <is>
          <t>General</t>
        </is>
      </c>
      <c r="F3142" s="5" t="n"/>
      <c r="G3142" s="5" t="n"/>
      <c r="H3142" s="5" t="n">
        <v>165</v>
      </c>
      <c r="I3142" s="5" t="n">
        <v>66</v>
      </c>
      <c r="J3142" s="5" t="n">
        <v>95</v>
      </c>
      <c r="K3142" s="10">
        <f>IF(F3142&gt;0,H3142/F3142,"")</f>
        <v/>
      </c>
      <c r="L3142" s="16">
        <f>IF(AND(G3142&gt;0,H3142&gt;0),G3142/H3142,"")</f>
        <v/>
      </c>
    </row>
    <row r="3143">
      <c r="A3143" s="4" t="inlineStr">
        <is>
          <t>350</t>
        </is>
      </c>
      <c r="B3143" s="4" t="n">
        <v>3</v>
      </c>
      <c r="C3143" s="4" t="inlineStr">
        <is>
          <t>elk</t>
        </is>
      </c>
      <c r="D3143" s="4" t="n">
        <v>2004</v>
      </c>
      <c r="E3143" s="13" t="inlineStr">
        <is>
          <t>General</t>
        </is>
      </c>
      <c r="F3143" s="5" t="n">
        <v>810</v>
      </c>
      <c r="G3143" s="5" t="n">
        <v>5816</v>
      </c>
      <c r="H3143" s="5" t="n">
        <v>74</v>
      </c>
      <c r="I3143" s="5" t="n">
        <v>34</v>
      </c>
      <c r="J3143" s="5" t="n">
        <v>33</v>
      </c>
      <c r="K3143" s="10">
        <f>IF(F3143&gt;0,H3143/F3143,"")</f>
        <v/>
      </c>
      <c r="L3143" s="16">
        <f>IF(AND(G3143&gt;0,H3143&gt;0),G3143/H3143,"")</f>
        <v/>
      </c>
    </row>
    <row r="3144">
      <c r="A3144" s="4" t="inlineStr">
        <is>
          <t>350</t>
        </is>
      </c>
      <c r="B3144" s="4" t="n">
        <v>3</v>
      </c>
      <c r="C3144" s="4" t="inlineStr">
        <is>
          <t>elk</t>
        </is>
      </c>
      <c r="D3144" s="4" t="n">
        <v>2005</v>
      </c>
      <c r="E3144" s="13" t="inlineStr">
        <is>
          <t>General</t>
        </is>
      </c>
      <c r="F3144" s="5" t="n">
        <v>819</v>
      </c>
      <c r="G3144" s="5" t="n">
        <v>6442</v>
      </c>
      <c r="H3144" s="5" t="n">
        <v>125</v>
      </c>
      <c r="I3144" s="5" t="n">
        <v>66</v>
      </c>
      <c r="J3144" s="5" t="n">
        <v>50</v>
      </c>
      <c r="K3144" s="10">
        <f>IF(F3144&gt;0,H3144/F3144,"")</f>
        <v/>
      </c>
      <c r="L3144" s="16">
        <f>IF(AND(G3144&gt;0,H3144&gt;0),G3144/H3144,"")</f>
        <v/>
      </c>
    </row>
    <row r="3145">
      <c r="A3145" s="4" t="inlineStr">
        <is>
          <t>350</t>
        </is>
      </c>
      <c r="B3145" s="4" t="n">
        <v>3</v>
      </c>
      <c r="C3145" s="4" t="inlineStr">
        <is>
          <t>elk</t>
        </is>
      </c>
      <c r="D3145" s="4" t="n">
        <v>2006</v>
      </c>
      <c r="E3145" s="13" t="inlineStr">
        <is>
          <t>General</t>
        </is>
      </c>
      <c r="F3145" s="5" t="n">
        <v>825</v>
      </c>
      <c r="G3145" s="5" t="n">
        <v>5881</v>
      </c>
      <c r="H3145" s="5" t="n">
        <v>109</v>
      </c>
      <c r="I3145" s="5" t="n">
        <v>43</v>
      </c>
      <c r="J3145" s="5" t="n">
        <v>61</v>
      </c>
      <c r="K3145" s="10">
        <f>IF(F3145&gt;0,H3145/F3145,"")</f>
        <v/>
      </c>
      <c r="L3145" s="16">
        <f>IF(AND(G3145&gt;0,H3145&gt;0),G3145/H3145,"")</f>
        <v/>
      </c>
    </row>
    <row r="3146">
      <c r="A3146" s="4" t="inlineStr">
        <is>
          <t>350</t>
        </is>
      </c>
      <c r="B3146" s="4" t="n">
        <v>3</v>
      </c>
      <c r="C3146" s="4" t="inlineStr">
        <is>
          <t>elk</t>
        </is>
      </c>
      <c r="D3146" s="4" t="n">
        <v>2007</v>
      </c>
      <c r="E3146" s="13" t="inlineStr">
        <is>
          <t>General</t>
        </is>
      </c>
      <c r="F3146" s="5" t="n">
        <v>932</v>
      </c>
      <c r="G3146" s="5" t="n">
        <v>7453</v>
      </c>
      <c r="H3146" s="5" t="n">
        <v>67</v>
      </c>
      <c r="I3146" s="5" t="n">
        <v>38</v>
      </c>
      <c r="J3146" s="5" t="n">
        <v>29</v>
      </c>
      <c r="K3146" s="10">
        <f>IF(F3146&gt;0,H3146/F3146,"")</f>
        <v/>
      </c>
      <c r="L3146" s="16">
        <f>IF(AND(G3146&gt;0,H3146&gt;0),G3146/H3146,"")</f>
        <v/>
      </c>
    </row>
    <row r="3147">
      <c r="A3147" s="4" t="inlineStr">
        <is>
          <t>350</t>
        </is>
      </c>
      <c r="B3147" s="4" t="n">
        <v>3</v>
      </c>
      <c r="C3147" s="4" t="inlineStr">
        <is>
          <t>elk</t>
        </is>
      </c>
      <c r="D3147" s="4" t="n">
        <v>2008</v>
      </c>
      <c r="E3147" s="13" t="inlineStr">
        <is>
          <t>General</t>
        </is>
      </c>
      <c r="F3147" s="5" t="n">
        <v>877</v>
      </c>
      <c r="G3147" s="5" t="n">
        <v>6689</v>
      </c>
      <c r="H3147" s="5" t="n">
        <v>108</v>
      </c>
      <c r="I3147" s="5" t="n">
        <v>45</v>
      </c>
      <c r="J3147" s="5" t="n">
        <v>61</v>
      </c>
      <c r="K3147" s="10">
        <f>IF(F3147&gt;0,H3147/F3147,"")</f>
        <v/>
      </c>
      <c r="L3147" s="16">
        <f>IF(AND(G3147&gt;0,H3147&gt;0),G3147/H3147,"")</f>
        <v/>
      </c>
    </row>
    <row r="3148">
      <c r="A3148" s="4" t="inlineStr">
        <is>
          <t>350</t>
        </is>
      </c>
      <c r="B3148" s="4" t="n">
        <v>3</v>
      </c>
      <c r="C3148" s="4" t="inlineStr">
        <is>
          <t>elk</t>
        </is>
      </c>
      <c r="D3148" s="4" t="n">
        <v>2009</v>
      </c>
      <c r="E3148" s="13" t="inlineStr">
        <is>
          <t>General</t>
        </is>
      </c>
      <c r="F3148" s="5" t="n">
        <v>950</v>
      </c>
      <c r="G3148" s="5" t="n">
        <v>7384</v>
      </c>
      <c r="H3148" s="5" t="n">
        <v>114</v>
      </c>
      <c r="I3148" s="5" t="n">
        <v>76</v>
      </c>
      <c r="J3148" s="5" t="n">
        <v>33</v>
      </c>
      <c r="K3148" s="10">
        <f>IF(F3148&gt;0,H3148/F3148,"")</f>
        <v/>
      </c>
      <c r="L3148" s="16">
        <f>IF(AND(G3148&gt;0,H3148&gt;0),G3148/H3148,"")</f>
        <v/>
      </c>
    </row>
    <row r="3149">
      <c r="A3149" s="4" t="inlineStr">
        <is>
          <t>350</t>
        </is>
      </c>
      <c r="B3149" s="4" t="n">
        <v>3</v>
      </c>
      <c r="C3149" s="4" t="inlineStr">
        <is>
          <t>elk</t>
        </is>
      </c>
      <c r="D3149" s="4" t="n">
        <v>2010</v>
      </c>
      <c r="E3149" s="13" t="inlineStr">
        <is>
          <t>General</t>
        </is>
      </c>
      <c r="F3149" s="5" t="n">
        <v>1110</v>
      </c>
      <c r="G3149" s="5" t="n">
        <v>8345</v>
      </c>
      <c r="H3149" s="5" t="n">
        <v>164</v>
      </c>
      <c r="I3149" s="5" t="n">
        <v>108</v>
      </c>
      <c r="J3149" s="5" t="n">
        <v>49</v>
      </c>
      <c r="K3149" s="10">
        <f>IF(F3149&gt;0,H3149/F3149,"")</f>
        <v/>
      </c>
      <c r="L3149" s="16">
        <f>IF(AND(G3149&gt;0,H3149&gt;0),G3149/H3149,"")</f>
        <v/>
      </c>
    </row>
    <row r="3150">
      <c r="A3150" s="4" t="inlineStr">
        <is>
          <t>350</t>
        </is>
      </c>
      <c r="B3150" s="4" t="n">
        <v>3</v>
      </c>
      <c r="C3150" s="4" t="inlineStr">
        <is>
          <t>elk</t>
        </is>
      </c>
      <c r="D3150" s="4" t="n">
        <v>2011</v>
      </c>
      <c r="E3150" s="13" t="inlineStr">
        <is>
          <t>General</t>
        </is>
      </c>
      <c r="F3150" s="5" t="n">
        <v>1039</v>
      </c>
      <c r="G3150" s="5" t="n">
        <v>8034</v>
      </c>
      <c r="H3150" s="5" t="n">
        <v>120</v>
      </c>
      <c r="I3150" s="5" t="n">
        <v>64</v>
      </c>
      <c r="J3150" s="5" t="n">
        <v>49</v>
      </c>
      <c r="K3150" s="10">
        <f>IF(F3150&gt;0,H3150/F3150,"")</f>
        <v/>
      </c>
      <c r="L3150" s="16">
        <f>IF(AND(G3150&gt;0,H3150&gt;0),G3150/H3150,"")</f>
        <v/>
      </c>
    </row>
    <row r="3151">
      <c r="A3151" s="4" t="inlineStr">
        <is>
          <t>350</t>
        </is>
      </c>
      <c r="B3151" s="4" t="n">
        <v>3</v>
      </c>
      <c r="C3151" s="4" t="inlineStr">
        <is>
          <t>elk</t>
        </is>
      </c>
      <c r="D3151" s="4" t="n">
        <v>2012</v>
      </c>
      <c r="E3151" s="13" t="inlineStr">
        <is>
          <t>General</t>
        </is>
      </c>
      <c r="F3151" s="5" t="n">
        <v>1245</v>
      </c>
      <c r="G3151" s="5" t="n">
        <v>9292</v>
      </c>
      <c r="H3151" s="5" t="n">
        <v>218</v>
      </c>
      <c r="I3151" s="5" t="n">
        <v>146</v>
      </c>
      <c r="J3151" s="5" t="n">
        <v>61</v>
      </c>
      <c r="K3151" s="10">
        <f>IF(F3151&gt;0,H3151/F3151,"")</f>
        <v/>
      </c>
      <c r="L3151" s="16">
        <f>IF(AND(G3151&gt;0,H3151&gt;0),G3151/H3151,"")</f>
        <v/>
      </c>
    </row>
    <row r="3152">
      <c r="A3152" s="4" t="inlineStr">
        <is>
          <t>350</t>
        </is>
      </c>
      <c r="B3152" s="4" t="n">
        <v>3</v>
      </c>
      <c r="C3152" s="4" t="inlineStr">
        <is>
          <t>elk</t>
        </is>
      </c>
      <c r="D3152" s="4" t="n">
        <v>2013</v>
      </c>
      <c r="E3152" s="13" t="inlineStr">
        <is>
          <t>General</t>
        </is>
      </c>
      <c r="F3152" s="5" t="n"/>
      <c r="G3152" s="5" t="n"/>
      <c r="H3152" s="5" t="n">
        <v>118</v>
      </c>
      <c r="I3152" s="5" t="n">
        <v>64</v>
      </c>
      <c r="J3152" s="5" t="n">
        <v>51</v>
      </c>
      <c r="K3152" s="10">
        <f>IF(F3152&gt;0,H3152/F3152,"")</f>
        <v/>
      </c>
      <c r="L3152" s="16">
        <f>IF(AND(G3152&gt;0,H3152&gt;0),G3152/H3152,"")</f>
        <v/>
      </c>
    </row>
    <row r="3153">
      <c r="A3153" s="4" t="inlineStr">
        <is>
          <t>350</t>
        </is>
      </c>
      <c r="B3153" s="4" t="n">
        <v>3</v>
      </c>
      <c r="C3153" s="4" t="inlineStr">
        <is>
          <t>elk</t>
        </is>
      </c>
      <c r="D3153" s="4" t="n">
        <v>2014</v>
      </c>
      <c r="E3153" s="13" t="inlineStr">
        <is>
          <t>General</t>
        </is>
      </c>
      <c r="F3153" s="5" t="n">
        <v>1298</v>
      </c>
      <c r="G3153" s="5" t="n">
        <v>9530</v>
      </c>
      <c r="H3153" s="5" t="n">
        <v>164</v>
      </c>
      <c r="I3153" s="5" t="n">
        <v>90</v>
      </c>
      <c r="J3153" s="5" t="n">
        <v>67</v>
      </c>
      <c r="K3153" s="10">
        <f>IF(F3153&gt;0,H3153/F3153,"")</f>
        <v/>
      </c>
      <c r="L3153" s="16">
        <f>IF(AND(G3153&gt;0,H3153&gt;0),G3153/H3153,"")</f>
        <v/>
      </c>
    </row>
    <row r="3154">
      <c r="A3154" s="4" t="inlineStr">
        <is>
          <t>350</t>
        </is>
      </c>
      <c r="B3154" s="4" t="n">
        <v>3</v>
      </c>
      <c r="C3154" s="4" t="inlineStr">
        <is>
          <t>elk</t>
        </is>
      </c>
      <c r="D3154" s="4" t="n">
        <v>2015</v>
      </c>
      <c r="E3154" s="13" t="inlineStr">
        <is>
          <t>General</t>
        </is>
      </c>
      <c r="F3154" s="5" t="n">
        <v>1223</v>
      </c>
      <c r="G3154" s="5" t="n">
        <v>9690</v>
      </c>
      <c r="H3154" s="5" t="n">
        <v>205</v>
      </c>
      <c r="I3154" s="5" t="n">
        <v>91</v>
      </c>
      <c r="J3154" s="5" t="n">
        <v>109</v>
      </c>
      <c r="K3154" s="10">
        <f>IF(F3154&gt;0,H3154/F3154,"")</f>
        <v/>
      </c>
      <c r="L3154" s="16">
        <f>IF(AND(G3154&gt;0,H3154&gt;0),G3154/H3154,"")</f>
        <v/>
      </c>
    </row>
    <row r="3155">
      <c r="A3155" s="4" t="inlineStr">
        <is>
          <t>350</t>
        </is>
      </c>
      <c r="B3155" s="4" t="n">
        <v>3</v>
      </c>
      <c r="C3155" s="4" t="inlineStr">
        <is>
          <t>elk</t>
        </is>
      </c>
      <c r="D3155" s="4" t="n">
        <v>2016</v>
      </c>
      <c r="E3155" s="13" t="inlineStr">
        <is>
          <t>General</t>
        </is>
      </c>
      <c r="F3155" s="5" t="n">
        <v>1282</v>
      </c>
      <c r="G3155" s="5" t="n">
        <v>10092</v>
      </c>
      <c r="H3155" s="5" t="n">
        <v>150</v>
      </c>
      <c r="I3155" s="5" t="n">
        <v>44</v>
      </c>
      <c r="J3155" s="5" t="n">
        <v>98</v>
      </c>
      <c r="K3155" s="10">
        <f>IF(F3155&gt;0,H3155/F3155,"")</f>
        <v/>
      </c>
      <c r="L3155" s="16">
        <f>IF(AND(G3155&gt;0,H3155&gt;0),G3155/H3155,"")</f>
        <v/>
      </c>
    </row>
    <row r="3156">
      <c r="A3156" s="4" t="inlineStr">
        <is>
          <t>350</t>
        </is>
      </c>
      <c r="B3156" s="4" t="n">
        <v>3</v>
      </c>
      <c r="C3156" s="4" t="inlineStr">
        <is>
          <t>elk</t>
        </is>
      </c>
      <c r="D3156" s="4" t="n">
        <v>2017</v>
      </c>
      <c r="E3156" s="13" t="inlineStr">
        <is>
          <t>General</t>
        </is>
      </c>
      <c r="F3156" s="5" t="n"/>
      <c r="G3156" s="5" t="n"/>
      <c r="H3156" s="5" t="n">
        <v>289</v>
      </c>
      <c r="I3156" s="5" t="n">
        <v>89</v>
      </c>
      <c r="J3156" s="5" t="n">
        <v>195</v>
      </c>
      <c r="K3156" s="10">
        <f>IF(F3156&gt;0,H3156/F3156,"")</f>
        <v/>
      </c>
      <c r="L3156" s="16">
        <f>IF(AND(G3156&gt;0,H3156&gt;0),G3156/H3156,"")</f>
        <v/>
      </c>
    </row>
    <row r="3157">
      <c r="A3157" s="4" t="inlineStr">
        <is>
          <t>350</t>
        </is>
      </c>
      <c r="B3157" s="4" t="n">
        <v>3</v>
      </c>
      <c r="C3157" s="4" t="inlineStr">
        <is>
          <t>elk</t>
        </is>
      </c>
      <c r="D3157" s="4" t="n">
        <v>2018</v>
      </c>
      <c r="E3157" s="13" t="inlineStr">
        <is>
          <t>General</t>
        </is>
      </c>
      <c r="F3157" s="5" t="n">
        <v>1197</v>
      </c>
      <c r="G3157" s="5" t="n">
        <v>9206</v>
      </c>
      <c r="H3157" s="5" t="n">
        <v>138</v>
      </c>
      <c r="I3157" s="5" t="n">
        <v>53</v>
      </c>
      <c r="J3157" s="5" t="n">
        <v>81</v>
      </c>
      <c r="K3157" s="10">
        <f>IF(F3157&gt;0,H3157/F3157,"")</f>
        <v/>
      </c>
      <c r="L3157" s="16">
        <f>IF(AND(G3157&gt;0,H3157&gt;0),G3157/H3157,"")</f>
        <v/>
      </c>
    </row>
    <row r="3158">
      <c r="A3158" s="4" t="inlineStr">
        <is>
          <t>350</t>
        </is>
      </c>
      <c r="B3158" s="4" t="n">
        <v>3</v>
      </c>
      <c r="C3158" s="4" t="inlineStr">
        <is>
          <t>elk</t>
        </is>
      </c>
      <c r="D3158" s="4" t="n">
        <v>2019</v>
      </c>
      <c r="E3158" s="13" t="inlineStr">
        <is>
          <t>General</t>
        </is>
      </c>
      <c r="F3158" s="5" t="n"/>
      <c r="G3158" s="5" t="n"/>
      <c r="H3158" s="5" t="n">
        <v>115</v>
      </c>
      <c r="I3158" s="5" t="n">
        <v>53</v>
      </c>
      <c r="J3158" s="5" t="n">
        <v>59</v>
      </c>
      <c r="K3158" s="10">
        <f>IF(F3158&gt;0,H3158/F3158,"")</f>
        <v/>
      </c>
      <c r="L3158" s="16">
        <f>IF(AND(G3158&gt;0,H3158&gt;0),G3158/H3158,"")</f>
        <v/>
      </c>
    </row>
    <row r="3159">
      <c r="A3159" s="4" t="inlineStr">
        <is>
          <t>350</t>
        </is>
      </c>
      <c r="B3159" s="4" t="n">
        <v>3</v>
      </c>
      <c r="C3159" s="4" t="inlineStr">
        <is>
          <t>elk</t>
        </is>
      </c>
      <c r="D3159" s="4" t="n">
        <v>2020</v>
      </c>
      <c r="E3159" s="13" t="inlineStr">
        <is>
          <t>General</t>
        </is>
      </c>
      <c r="F3159" s="5" t="n">
        <v>900</v>
      </c>
      <c r="G3159" s="5" t="n">
        <v>6314</v>
      </c>
      <c r="H3159" s="5" t="n">
        <v>68</v>
      </c>
      <c r="I3159" s="5" t="n">
        <v>53</v>
      </c>
      <c r="J3159" s="5" t="n">
        <v>15</v>
      </c>
      <c r="K3159" s="10">
        <f>IF(F3159&gt;0,H3159/F3159,"")</f>
        <v/>
      </c>
      <c r="L3159" s="16">
        <f>IF(AND(G3159&gt;0,H3159&gt;0),G3159/H3159,"")</f>
        <v/>
      </c>
    </row>
    <row r="3160">
      <c r="A3160" s="4" t="inlineStr">
        <is>
          <t>350</t>
        </is>
      </c>
      <c r="B3160" s="4" t="n">
        <v>3</v>
      </c>
      <c r="C3160" s="4" t="inlineStr">
        <is>
          <t>elk</t>
        </is>
      </c>
      <c r="D3160" s="4" t="n">
        <v>2021</v>
      </c>
      <c r="E3160" s="13" t="inlineStr">
        <is>
          <t>General</t>
        </is>
      </c>
      <c r="F3160" s="5" t="n"/>
      <c r="G3160" s="5" t="n"/>
      <c r="H3160" s="5" t="n">
        <v>82</v>
      </c>
      <c r="I3160" s="5" t="n">
        <v>54</v>
      </c>
      <c r="J3160" s="5" t="n">
        <v>28</v>
      </c>
      <c r="K3160" s="10">
        <f>IF(F3160&gt;0,H3160/F3160,"")</f>
        <v/>
      </c>
      <c r="L3160" s="16">
        <f>IF(AND(G3160&gt;0,H3160&gt;0),G3160/H3160,"")</f>
        <v/>
      </c>
    </row>
    <row r="3161">
      <c r="A3161" s="4" t="inlineStr">
        <is>
          <t>350</t>
        </is>
      </c>
      <c r="B3161" s="4" t="n">
        <v>3</v>
      </c>
      <c r="C3161" s="4" t="inlineStr">
        <is>
          <t>elk</t>
        </is>
      </c>
      <c r="D3161" s="4" t="n">
        <v>2022</v>
      </c>
      <c r="E3161" s="13" t="inlineStr">
        <is>
          <t>General</t>
        </is>
      </c>
      <c r="F3161" s="5" t="n">
        <v>815</v>
      </c>
      <c r="G3161" s="5" t="n">
        <v>6817</v>
      </c>
      <c r="H3161" s="5" t="n">
        <v>64</v>
      </c>
      <c r="I3161" s="5" t="n">
        <v>55</v>
      </c>
      <c r="J3161" s="5" t="n">
        <v>9</v>
      </c>
      <c r="K3161" s="10">
        <f>IF(F3161&gt;0,H3161/F3161,"")</f>
        <v/>
      </c>
      <c r="L3161" s="16">
        <f>IF(AND(G3161&gt;0,H3161&gt;0),G3161/H3161,"")</f>
        <v/>
      </c>
    </row>
    <row r="3162">
      <c r="A3162" s="4" t="inlineStr">
        <is>
          <t>350</t>
        </is>
      </c>
      <c r="B3162" s="4" t="n">
        <v>3</v>
      </c>
      <c r="C3162" s="4" t="inlineStr">
        <is>
          <t>elk</t>
        </is>
      </c>
      <c r="D3162" s="4" t="n">
        <v>2023</v>
      </c>
      <c r="E3162" s="13" t="inlineStr">
        <is>
          <t>General</t>
        </is>
      </c>
      <c r="F3162" s="5" t="n"/>
      <c r="G3162" s="5" t="n"/>
      <c r="H3162" s="5" t="n">
        <v>85</v>
      </c>
      <c r="I3162" s="5" t="n">
        <v>62</v>
      </c>
      <c r="J3162" s="5" t="n">
        <v>23</v>
      </c>
      <c r="K3162" s="10">
        <f>IF(F3162&gt;0,H3162/F3162,"")</f>
        <v/>
      </c>
      <c r="L3162" s="16">
        <f>IF(AND(G3162&gt;0,H3162&gt;0),G3162/H3162,"")</f>
        <v/>
      </c>
    </row>
    <row r="3163">
      <c r="A3163" s="4" t="inlineStr">
        <is>
          <t>350</t>
        </is>
      </c>
      <c r="B3163" s="4" t="n">
        <v>3</v>
      </c>
      <c r="C3163" s="4" t="inlineStr">
        <is>
          <t>elk</t>
        </is>
      </c>
      <c r="D3163" s="4" t="n">
        <v>2024</v>
      </c>
      <c r="E3163" s="13" t="inlineStr">
        <is>
          <t>General</t>
        </is>
      </c>
      <c r="F3163" s="5" t="n">
        <v>946</v>
      </c>
      <c r="G3163" s="5" t="n">
        <v>7901</v>
      </c>
      <c r="H3163" s="5" t="n">
        <v>99</v>
      </c>
      <c r="I3163" s="5" t="n">
        <v>77</v>
      </c>
      <c r="J3163" s="5" t="n">
        <v>21</v>
      </c>
      <c r="K3163" s="10">
        <f>IF(F3163&gt;0,H3163/F3163,"")</f>
        <v/>
      </c>
      <c r="L3163" s="16">
        <f>IF(AND(G3163&gt;0,H3163&gt;0),G3163/H3163,"")</f>
        <v/>
      </c>
    </row>
    <row r="3164">
      <c r="A3164" s="4" t="inlineStr">
        <is>
          <t>350</t>
        </is>
      </c>
      <c r="B3164" s="4" t="n">
        <v>3</v>
      </c>
      <c r="C3164" s="4" t="inlineStr">
        <is>
          <t>elk</t>
        </is>
      </c>
      <c r="D3164" s="4" t="n">
        <v>2025</v>
      </c>
      <c r="E3164" s="13" t="inlineStr">
        <is>
          <t>General</t>
        </is>
      </c>
      <c r="F3164" s="5" t="n"/>
      <c r="G3164" s="5" t="n"/>
      <c r="H3164" s="5" t="n">
        <v>93</v>
      </c>
      <c r="I3164" s="5" t="n">
        <v>62</v>
      </c>
      <c r="J3164" s="5" t="n">
        <v>31</v>
      </c>
      <c r="K3164" s="10">
        <f>IF(F3164&gt;0,H3164/F3164,"")</f>
        <v/>
      </c>
      <c r="L3164" s="16">
        <f>IF(AND(G3164&gt;0,H3164&gt;0),G3164/H3164,"")</f>
        <v/>
      </c>
    </row>
    <row r="3165">
      <c r="A3165" s="4" t="inlineStr">
        <is>
          <t>360</t>
        </is>
      </c>
      <c r="B3165" s="4" t="n">
        <v>3</v>
      </c>
      <c r="C3165" s="4" t="inlineStr">
        <is>
          <t>elk</t>
        </is>
      </c>
      <c r="D3165" s="4" t="n">
        <v>2004</v>
      </c>
      <c r="E3165" s="13" t="inlineStr">
        <is>
          <t>General</t>
        </is>
      </c>
      <c r="F3165" s="5" t="n">
        <v>1877</v>
      </c>
      <c r="G3165" s="5" t="n">
        <v>9279</v>
      </c>
      <c r="H3165" s="5" t="n">
        <v>498</v>
      </c>
      <c r="I3165" s="5" t="n">
        <v>234</v>
      </c>
      <c r="J3165" s="5" t="n">
        <v>218</v>
      </c>
      <c r="K3165" s="10">
        <f>IF(F3165&gt;0,H3165/F3165,"")</f>
        <v/>
      </c>
      <c r="L3165" s="16">
        <f>IF(AND(G3165&gt;0,H3165&gt;0),G3165/H3165,"")</f>
        <v/>
      </c>
    </row>
    <row r="3166">
      <c r="A3166" s="4" t="inlineStr">
        <is>
          <t>360</t>
        </is>
      </c>
      <c r="B3166" s="4" t="n">
        <v>3</v>
      </c>
      <c r="C3166" s="4" t="inlineStr">
        <is>
          <t>elk</t>
        </is>
      </c>
      <c r="D3166" s="4" t="n">
        <v>2005</v>
      </c>
      <c r="E3166" s="13" t="inlineStr">
        <is>
          <t>General</t>
        </is>
      </c>
      <c r="F3166" s="5" t="n">
        <v>1811</v>
      </c>
      <c r="G3166" s="5" t="n">
        <v>9553</v>
      </c>
      <c r="H3166" s="5" t="n">
        <v>510</v>
      </c>
      <c r="I3166" s="5" t="n">
        <v>238</v>
      </c>
      <c r="J3166" s="5" t="n">
        <v>246</v>
      </c>
      <c r="K3166" s="10">
        <f>IF(F3166&gt;0,H3166/F3166,"")</f>
        <v/>
      </c>
      <c r="L3166" s="16">
        <f>IF(AND(G3166&gt;0,H3166&gt;0),G3166/H3166,"")</f>
        <v/>
      </c>
    </row>
    <row r="3167">
      <c r="A3167" s="4" t="inlineStr">
        <is>
          <t>360</t>
        </is>
      </c>
      <c r="B3167" s="4" t="n">
        <v>3</v>
      </c>
      <c r="C3167" s="4" t="inlineStr">
        <is>
          <t>elk</t>
        </is>
      </c>
      <c r="D3167" s="4" t="n">
        <v>2006</v>
      </c>
      <c r="E3167" s="13" t="inlineStr">
        <is>
          <t>General</t>
        </is>
      </c>
      <c r="F3167" s="5" t="n">
        <v>2077</v>
      </c>
      <c r="G3167" s="5" t="n">
        <v>11115</v>
      </c>
      <c r="H3167" s="5" t="n">
        <v>602</v>
      </c>
      <c r="I3167" s="5" t="n">
        <v>328</v>
      </c>
      <c r="J3167" s="5" t="n">
        <v>222</v>
      </c>
      <c r="K3167" s="10">
        <f>IF(F3167&gt;0,H3167/F3167,"")</f>
        <v/>
      </c>
      <c r="L3167" s="16">
        <f>IF(AND(G3167&gt;0,H3167&gt;0),G3167/H3167,"")</f>
        <v/>
      </c>
    </row>
    <row r="3168">
      <c r="A3168" s="4" t="inlineStr">
        <is>
          <t>360</t>
        </is>
      </c>
      <c r="B3168" s="4" t="n">
        <v>3</v>
      </c>
      <c r="C3168" s="4" t="inlineStr">
        <is>
          <t>elk</t>
        </is>
      </c>
      <c r="D3168" s="4" t="n">
        <v>2007</v>
      </c>
      <c r="E3168" s="13" t="inlineStr">
        <is>
          <t>General</t>
        </is>
      </c>
      <c r="F3168" s="5" t="n">
        <v>2115</v>
      </c>
      <c r="G3168" s="5" t="n">
        <v>10835</v>
      </c>
      <c r="H3168" s="5" t="n">
        <v>566</v>
      </c>
      <c r="I3168" s="5" t="n">
        <v>244</v>
      </c>
      <c r="J3168" s="5" t="n">
        <v>286</v>
      </c>
      <c r="K3168" s="10">
        <f>IF(F3168&gt;0,H3168/F3168,"")</f>
        <v/>
      </c>
      <c r="L3168" s="16">
        <f>IF(AND(G3168&gt;0,H3168&gt;0),G3168/H3168,"")</f>
        <v/>
      </c>
    </row>
    <row r="3169">
      <c r="A3169" s="4" t="inlineStr">
        <is>
          <t>360</t>
        </is>
      </c>
      <c r="B3169" s="4" t="n">
        <v>3</v>
      </c>
      <c r="C3169" s="4" t="inlineStr">
        <is>
          <t>elk</t>
        </is>
      </c>
      <c r="D3169" s="4" t="n">
        <v>2008</v>
      </c>
      <c r="E3169" s="13" t="inlineStr">
        <is>
          <t>General</t>
        </is>
      </c>
      <c r="F3169" s="5" t="n">
        <v>2733</v>
      </c>
      <c r="G3169" s="5" t="n">
        <v>15531</v>
      </c>
      <c r="H3169" s="5" t="n">
        <v>652</v>
      </c>
      <c r="I3169" s="5" t="n">
        <v>195</v>
      </c>
      <c r="J3169" s="5" t="n">
        <v>422</v>
      </c>
      <c r="K3169" s="10">
        <f>IF(F3169&gt;0,H3169/F3169,"")</f>
        <v/>
      </c>
      <c r="L3169" s="16">
        <f>IF(AND(G3169&gt;0,H3169&gt;0),G3169/H3169,"")</f>
        <v/>
      </c>
    </row>
    <row r="3170">
      <c r="A3170" s="4" t="inlineStr">
        <is>
          <t>360</t>
        </is>
      </c>
      <c r="B3170" s="4" t="n">
        <v>3</v>
      </c>
      <c r="C3170" s="4" t="inlineStr">
        <is>
          <t>elk</t>
        </is>
      </c>
      <c r="D3170" s="4" t="n">
        <v>2009</v>
      </c>
      <c r="E3170" s="13" t="inlineStr">
        <is>
          <t>General</t>
        </is>
      </c>
      <c r="F3170" s="5" t="n">
        <v>2379</v>
      </c>
      <c r="G3170" s="5" t="n">
        <v>12832</v>
      </c>
      <c r="H3170" s="5" t="n">
        <v>505</v>
      </c>
      <c r="I3170" s="5" t="n">
        <v>192</v>
      </c>
      <c r="J3170" s="5" t="n">
        <v>289</v>
      </c>
      <c r="K3170" s="10">
        <f>IF(F3170&gt;0,H3170/F3170,"")</f>
        <v/>
      </c>
      <c r="L3170" s="16">
        <f>IF(AND(G3170&gt;0,H3170&gt;0),G3170/H3170,"")</f>
        <v/>
      </c>
    </row>
    <row r="3171">
      <c r="A3171" s="4" t="inlineStr">
        <is>
          <t>360</t>
        </is>
      </c>
      <c r="B3171" s="4" t="n">
        <v>3</v>
      </c>
      <c r="C3171" s="4" t="inlineStr">
        <is>
          <t>elk</t>
        </is>
      </c>
      <c r="D3171" s="4" t="n">
        <v>2010</v>
      </c>
      <c r="E3171" s="13" t="inlineStr">
        <is>
          <t>General</t>
        </is>
      </c>
      <c r="F3171" s="5" t="n">
        <v>2239</v>
      </c>
      <c r="G3171" s="5" t="n">
        <v>12750</v>
      </c>
      <c r="H3171" s="5" t="n">
        <v>639</v>
      </c>
      <c r="I3171" s="5" t="n">
        <v>249</v>
      </c>
      <c r="J3171" s="5" t="n">
        <v>355</v>
      </c>
      <c r="K3171" s="10">
        <f>IF(F3171&gt;0,H3171/F3171,"")</f>
        <v/>
      </c>
      <c r="L3171" s="16">
        <f>IF(AND(G3171&gt;0,H3171&gt;0),G3171/H3171,"")</f>
        <v/>
      </c>
    </row>
    <row r="3172">
      <c r="A3172" s="4" t="inlineStr">
        <is>
          <t>360</t>
        </is>
      </c>
      <c r="B3172" s="4" t="n">
        <v>3</v>
      </c>
      <c r="C3172" s="4" t="inlineStr">
        <is>
          <t>elk</t>
        </is>
      </c>
      <c r="D3172" s="4" t="n">
        <v>2011</v>
      </c>
      <c r="E3172" s="13" t="inlineStr">
        <is>
          <t>General</t>
        </is>
      </c>
      <c r="F3172" s="5" t="n">
        <v>1875</v>
      </c>
      <c r="G3172" s="5" t="n">
        <v>11305</v>
      </c>
      <c r="H3172" s="5" t="n">
        <v>286</v>
      </c>
      <c r="I3172" s="5" t="n">
        <v>122</v>
      </c>
      <c r="J3172" s="5" t="n">
        <v>144</v>
      </c>
      <c r="K3172" s="10">
        <f>IF(F3172&gt;0,H3172/F3172,"")</f>
        <v/>
      </c>
      <c r="L3172" s="16">
        <f>IF(AND(G3172&gt;0,H3172&gt;0),G3172/H3172,"")</f>
        <v/>
      </c>
    </row>
    <row r="3173">
      <c r="A3173" s="4" t="inlineStr">
        <is>
          <t>360</t>
        </is>
      </c>
      <c r="B3173" s="4" t="n">
        <v>3</v>
      </c>
      <c r="C3173" s="4" t="inlineStr">
        <is>
          <t>elk</t>
        </is>
      </c>
      <c r="D3173" s="4" t="n">
        <v>2012</v>
      </c>
      <c r="E3173" s="13" t="inlineStr">
        <is>
          <t>General</t>
        </is>
      </c>
      <c r="F3173" s="5" t="n">
        <v>1390</v>
      </c>
      <c r="G3173" s="5" t="n">
        <v>7978</v>
      </c>
      <c r="H3173" s="5" t="n">
        <v>186</v>
      </c>
      <c r="I3173" s="5" t="n">
        <v>140</v>
      </c>
      <c r="J3173" s="5" t="n">
        <v>43</v>
      </c>
      <c r="K3173" s="10">
        <f>IF(F3173&gt;0,H3173/F3173,"")</f>
        <v/>
      </c>
      <c r="L3173" s="16">
        <f>IF(AND(G3173&gt;0,H3173&gt;0),G3173/H3173,"")</f>
        <v/>
      </c>
    </row>
    <row r="3174">
      <c r="A3174" s="4" t="inlineStr">
        <is>
          <t>360</t>
        </is>
      </c>
      <c r="B3174" s="4" t="n">
        <v>3</v>
      </c>
      <c r="C3174" s="4" t="inlineStr">
        <is>
          <t>elk</t>
        </is>
      </c>
      <c r="D3174" s="4" t="n">
        <v>2013</v>
      </c>
      <c r="E3174" s="13" t="inlineStr">
        <is>
          <t>General</t>
        </is>
      </c>
      <c r="F3174" s="5" t="n"/>
      <c r="G3174" s="5" t="n"/>
      <c r="H3174" s="5" t="n">
        <v>220</v>
      </c>
      <c r="I3174" s="5" t="n">
        <v>164</v>
      </c>
      <c r="J3174" s="5" t="n">
        <v>53</v>
      </c>
      <c r="K3174" s="10">
        <f>IF(F3174&gt;0,H3174/F3174,"")</f>
        <v/>
      </c>
      <c r="L3174" s="16">
        <f>IF(AND(G3174&gt;0,H3174&gt;0),G3174/H3174,"")</f>
        <v/>
      </c>
    </row>
    <row r="3175">
      <c r="A3175" s="4" t="inlineStr">
        <is>
          <t>360</t>
        </is>
      </c>
      <c r="B3175" s="4" t="n">
        <v>3</v>
      </c>
      <c r="C3175" s="4" t="inlineStr">
        <is>
          <t>elk</t>
        </is>
      </c>
      <c r="D3175" s="4" t="n">
        <v>2014</v>
      </c>
      <c r="E3175" s="13" t="inlineStr">
        <is>
          <t>General</t>
        </is>
      </c>
      <c r="F3175" s="5" t="n">
        <v>1896</v>
      </c>
      <c r="G3175" s="5" t="n">
        <v>10719</v>
      </c>
      <c r="H3175" s="5" t="n">
        <v>401</v>
      </c>
      <c r="I3175" s="5" t="n">
        <v>206</v>
      </c>
      <c r="J3175" s="5" t="n">
        <v>181</v>
      </c>
      <c r="K3175" s="10">
        <f>IF(F3175&gt;0,H3175/F3175,"")</f>
        <v/>
      </c>
      <c r="L3175" s="16">
        <f>IF(AND(G3175&gt;0,H3175&gt;0),G3175/H3175,"")</f>
        <v/>
      </c>
    </row>
    <row r="3176">
      <c r="A3176" s="4" t="inlineStr">
        <is>
          <t>360</t>
        </is>
      </c>
      <c r="B3176" s="4" t="n">
        <v>3</v>
      </c>
      <c r="C3176" s="4" t="inlineStr">
        <is>
          <t>elk</t>
        </is>
      </c>
      <c r="D3176" s="4" t="n">
        <v>2015</v>
      </c>
      <c r="E3176" s="13" t="inlineStr">
        <is>
          <t>General</t>
        </is>
      </c>
      <c r="F3176" s="5" t="n">
        <v>2307</v>
      </c>
      <c r="G3176" s="5" t="n">
        <v>14241</v>
      </c>
      <c r="H3176" s="5" t="n">
        <v>721</v>
      </c>
      <c r="I3176" s="5" t="n">
        <v>384</v>
      </c>
      <c r="J3176" s="5" t="n">
        <v>302</v>
      </c>
      <c r="K3176" s="10">
        <f>IF(F3176&gt;0,H3176/F3176,"")</f>
        <v/>
      </c>
      <c r="L3176" s="16">
        <f>IF(AND(G3176&gt;0,H3176&gt;0),G3176/H3176,"")</f>
        <v/>
      </c>
    </row>
    <row r="3177">
      <c r="A3177" s="4" t="inlineStr">
        <is>
          <t>360</t>
        </is>
      </c>
      <c r="B3177" s="4" t="n">
        <v>3</v>
      </c>
      <c r="C3177" s="4" t="inlineStr">
        <is>
          <t>elk</t>
        </is>
      </c>
      <c r="D3177" s="4" t="n">
        <v>2016</v>
      </c>
      <c r="E3177" s="13" t="inlineStr">
        <is>
          <t>General</t>
        </is>
      </c>
      <c r="F3177" s="5" t="n">
        <v>2382</v>
      </c>
      <c r="G3177" s="5" t="n">
        <v>15499</v>
      </c>
      <c r="H3177" s="5" t="n">
        <v>462</v>
      </c>
      <c r="I3177" s="5" t="n">
        <v>215</v>
      </c>
      <c r="J3177" s="5" t="n">
        <v>224</v>
      </c>
      <c r="K3177" s="10">
        <f>IF(F3177&gt;0,H3177/F3177,"")</f>
        <v/>
      </c>
      <c r="L3177" s="16">
        <f>IF(AND(G3177&gt;0,H3177&gt;0),G3177/H3177,"")</f>
        <v/>
      </c>
    </row>
    <row r="3178">
      <c r="A3178" s="4" t="inlineStr">
        <is>
          <t>360</t>
        </is>
      </c>
      <c r="B3178" s="4" t="n">
        <v>3</v>
      </c>
      <c r="C3178" s="4" t="inlineStr">
        <is>
          <t>elk</t>
        </is>
      </c>
      <c r="D3178" s="4" t="n">
        <v>2017</v>
      </c>
      <c r="E3178" s="13" t="inlineStr">
        <is>
          <t>General</t>
        </is>
      </c>
      <c r="F3178" s="5" t="n"/>
      <c r="G3178" s="5" t="n"/>
      <c r="H3178" s="5" t="n">
        <v>545</v>
      </c>
      <c r="I3178" s="5" t="n">
        <v>299</v>
      </c>
      <c r="J3178" s="5" t="n">
        <v>223</v>
      </c>
      <c r="K3178" s="10">
        <f>IF(F3178&gt;0,H3178/F3178,"")</f>
        <v/>
      </c>
      <c r="L3178" s="16">
        <f>IF(AND(G3178&gt;0,H3178&gt;0),G3178/H3178,"")</f>
        <v/>
      </c>
    </row>
    <row r="3179">
      <c r="A3179" s="4" t="inlineStr">
        <is>
          <t>360</t>
        </is>
      </c>
      <c r="B3179" s="4" t="n">
        <v>3</v>
      </c>
      <c r="C3179" s="4" t="inlineStr">
        <is>
          <t>elk</t>
        </is>
      </c>
      <c r="D3179" s="4" t="n">
        <v>2018</v>
      </c>
      <c r="E3179" s="13" t="inlineStr">
        <is>
          <t>General</t>
        </is>
      </c>
      <c r="F3179" s="5" t="n">
        <v>2190</v>
      </c>
      <c r="G3179" s="5" t="n">
        <v>14445</v>
      </c>
      <c r="H3179" s="5" t="n">
        <v>633</v>
      </c>
      <c r="I3179" s="5" t="n">
        <v>310</v>
      </c>
      <c r="J3179" s="5" t="n">
        <v>285</v>
      </c>
      <c r="K3179" s="10">
        <f>IF(F3179&gt;0,H3179/F3179,"")</f>
        <v/>
      </c>
      <c r="L3179" s="16">
        <f>IF(AND(G3179&gt;0,H3179&gt;0),G3179/H3179,"")</f>
        <v/>
      </c>
    </row>
    <row r="3180">
      <c r="A3180" s="4" t="inlineStr">
        <is>
          <t>360</t>
        </is>
      </c>
      <c r="B3180" s="4" t="n">
        <v>3</v>
      </c>
      <c r="C3180" s="4" t="inlineStr">
        <is>
          <t>elk</t>
        </is>
      </c>
      <c r="D3180" s="4" t="n">
        <v>2019</v>
      </c>
      <c r="E3180" s="13" t="inlineStr">
        <is>
          <t>General</t>
        </is>
      </c>
      <c r="F3180" s="5" t="n"/>
      <c r="G3180" s="5" t="n"/>
      <c r="H3180" s="5" t="n">
        <v>528</v>
      </c>
      <c r="I3180" s="5" t="n">
        <v>256</v>
      </c>
      <c r="J3180" s="5" t="n">
        <v>260</v>
      </c>
      <c r="K3180" s="10">
        <f>IF(F3180&gt;0,H3180/F3180,"")</f>
        <v/>
      </c>
      <c r="L3180" s="16">
        <f>IF(AND(G3180&gt;0,H3180&gt;0),G3180/H3180,"")</f>
        <v/>
      </c>
    </row>
    <row r="3181">
      <c r="A3181" s="4" t="inlineStr">
        <is>
          <t>360</t>
        </is>
      </c>
      <c r="B3181" s="4" t="n">
        <v>3</v>
      </c>
      <c r="C3181" s="4" t="inlineStr">
        <is>
          <t>elk</t>
        </is>
      </c>
      <c r="D3181" s="4" t="n">
        <v>2020</v>
      </c>
      <c r="E3181" s="13" t="inlineStr">
        <is>
          <t>General</t>
        </is>
      </c>
      <c r="F3181" s="5" t="n">
        <v>2281</v>
      </c>
      <c r="G3181" s="5" t="n">
        <v>16174</v>
      </c>
      <c r="H3181" s="5" t="n">
        <v>533</v>
      </c>
      <c r="I3181" s="5" t="n">
        <v>263</v>
      </c>
      <c r="J3181" s="5" t="n">
        <v>250</v>
      </c>
      <c r="K3181" s="10">
        <f>IF(F3181&gt;0,H3181/F3181,"")</f>
        <v/>
      </c>
      <c r="L3181" s="16">
        <f>IF(AND(G3181&gt;0,H3181&gt;0),G3181/H3181,"")</f>
        <v/>
      </c>
    </row>
    <row r="3182">
      <c r="A3182" s="4" t="inlineStr">
        <is>
          <t>360</t>
        </is>
      </c>
      <c r="B3182" s="4" t="n">
        <v>3</v>
      </c>
      <c r="C3182" s="4" t="inlineStr">
        <is>
          <t>elk</t>
        </is>
      </c>
      <c r="D3182" s="4" t="n">
        <v>2021</v>
      </c>
      <c r="E3182" s="13" t="inlineStr">
        <is>
          <t>General</t>
        </is>
      </c>
      <c r="F3182" s="5" t="n"/>
      <c r="G3182" s="5" t="n"/>
      <c r="H3182" s="5" t="n">
        <v>794</v>
      </c>
      <c r="I3182" s="5" t="n">
        <v>366</v>
      </c>
      <c r="J3182" s="5" t="n">
        <v>390</v>
      </c>
      <c r="K3182" s="10">
        <f>IF(F3182&gt;0,H3182/F3182,"")</f>
        <v/>
      </c>
      <c r="L3182" s="16">
        <f>IF(AND(G3182&gt;0,H3182&gt;0),G3182/H3182,"")</f>
        <v/>
      </c>
    </row>
    <row r="3183">
      <c r="A3183" s="4" t="inlineStr">
        <is>
          <t>360</t>
        </is>
      </c>
      <c r="B3183" s="4" t="n">
        <v>3</v>
      </c>
      <c r="C3183" s="4" t="inlineStr">
        <is>
          <t>elk</t>
        </is>
      </c>
      <c r="D3183" s="4" t="n">
        <v>2022</v>
      </c>
      <c r="E3183" s="13" t="inlineStr">
        <is>
          <t>General</t>
        </is>
      </c>
      <c r="F3183" s="5" t="n">
        <v>3541</v>
      </c>
      <c r="G3183" s="5" t="n">
        <v>24210</v>
      </c>
      <c r="H3183" s="5" t="n">
        <v>1697</v>
      </c>
      <c r="I3183" s="5" t="n">
        <v>733</v>
      </c>
      <c r="J3183" s="5" t="n">
        <v>902</v>
      </c>
      <c r="K3183" s="10">
        <f>IF(F3183&gt;0,H3183/F3183,"")</f>
        <v/>
      </c>
      <c r="L3183" s="16">
        <f>IF(AND(G3183&gt;0,H3183&gt;0),G3183/H3183,"")</f>
        <v/>
      </c>
    </row>
    <row r="3184">
      <c r="A3184" s="4" t="inlineStr">
        <is>
          <t>360</t>
        </is>
      </c>
      <c r="B3184" s="4" t="n">
        <v>3</v>
      </c>
      <c r="C3184" s="4" t="inlineStr">
        <is>
          <t>elk</t>
        </is>
      </c>
      <c r="D3184" s="4" t="n">
        <v>2023</v>
      </c>
      <c r="E3184" s="13" t="inlineStr">
        <is>
          <t>General</t>
        </is>
      </c>
      <c r="F3184" s="5" t="n"/>
      <c r="G3184" s="5" t="n"/>
      <c r="H3184" s="5" t="n">
        <v>714</v>
      </c>
      <c r="I3184" s="5" t="n">
        <v>313</v>
      </c>
      <c r="J3184" s="5" t="n">
        <v>379</v>
      </c>
      <c r="K3184" s="10">
        <f>IF(F3184&gt;0,H3184/F3184,"")</f>
        <v/>
      </c>
      <c r="L3184" s="16">
        <f>IF(AND(G3184&gt;0,H3184&gt;0),G3184/H3184,"")</f>
        <v/>
      </c>
    </row>
    <row r="3185">
      <c r="A3185" s="4" t="inlineStr">
        <is>
          <t>360</t>
        </is>
      </c>
      <c r="B3185" s="4" t="n">
        <v>3</v>
      </c>
      <c r="C3185" s="4" t="inlineStr">
        <is>
          <t>elk</t>
        </is>
      </c>
      <c r="D3185" s="4" t="n">
        <v>2024</v>
      </c>
      <c r="E3185" s="13" t="inlineStr">
        <is>
          <t>General</t>
        </is>
      </c>
      <c r="F3185" s="5" t="n">
        <v>3402</v>
      </c>
      <c r="G3185" s="5" t="n">
        <v>25702</v>
      </c>
      <c r="H3185" s="5" t="n">
        <v>1099</v>
      </c>
      <c r="I3185" s="5" t="n">
        <v>377</v>
      </c>
      <c r="J3185" s="5" t="n">
        <v>695</v>
      </c>
      <c r="K3185" s="10">
        <f>IF(F3185&gt;0,H3185/F3185,"")</f>
        <v/>
      </c>
      <c r="L3185" s="16">
        <f>IF(AND(G3185&gt;0,H3185&gt;0),G3185/H3185,"")</f>
        <v/>
      </c>
    </row>
    <row r="3186">
      <c r="A3186" s="4" t="inlineStr">
        <is>
          <t>360</t>
        </is>
      </c>
      <c r="B3186" s="4" t="n">
        <v>3</v>
      </c>
      <c r="C3186" s="4" t="inlineStr">
        <is>
          <t>elk</t>
        </is>
      </c>
      <c r="D3186" s="4" t="n">
        <v>2025</v>
      </c>
      <c r="E3186" s="13" t="inlineStr">
        <is>
          <t>General</t>
        </is>
      </c>
      <c r="F3186" s="5" t="n"/>
      <c r="G3186" s="5" t="n"/>
      <c r="H3186" s="5" t="n">
        <v>629</v>
      </c>
      <c r="I3186" s="5" t="n">
        <v>258</v>
      </c>
      <c r="J3186" s="5" t="n">
        <v>364</v>
      </c>
      <c r="K3186" s="10">
        <f>IF(F3186&gt;0,H3186/F3186,"")</f>
        <v/>
      </c>
      <c r="L3186" s="16">
        <f>IF(AND(G3186&gt;0,H3186&gt;0),G3186/H3186,"")</f>
        <v/>
      </c>
    </row>
    <row r="3187">
      <c r="A3187" s="4" t="inlineStr">
        <is>
          <t>361</t>
        </is>
      </c>
      <c r="B3187" s="4" t="n">
        <v>3</v>
      </c>
      <c r="C3187" s="4" t="inlineStr">
        <is>
          <t>elk</t>
        </is>
      </c>
      <c r="D3187" s="4" t="n">
        <v>2004</v>
      </c>
      <c r="E3187" s="13" t="inlineStr">
        <is>
          <t>General</t>
        </is>
      </c>
      <c r="F3187" s="5" t="n">
        <v>573</v>
      </c>
      <c r="G3187" s="5" t="n">
        <v>4475</v>
      </c>
      <c r="H3187" s="5" t="n">
        <v>74</v>
      </c>
      <c r="I3187" s="5" t="n">
        <v>32</v>
      </c>
      <c r="J3187" s="5" t="n">
        <v>36</v>
      </c>
      <c r="K3187" s="10">
        <f>IF(F3187&gt;0,H3187/F3187,"")</f>
        <v/>
      </c>
      <c r="L3187" s="16">
        <f>IF(AND(G3187&gt;0,H3187&gt;0),G3187/H3187,"")</f>
        <v/>
      </c>
    </row>
    <row r="3188">
      <c r="A3188" s="4" t="inlineStr">
        <is>
          <t>361</t>
        </is>
      </c>
      <c r="B3188" s="4" t="n">
        <v>3</v>
      </c>
      <c r="C3188" s="4" t="inlineStr">
        <is>
          <t>elk</t>
        </is>
      </c>
      <c r="D3188" s="4" t="n">
        <v>2005</v>
      </c>
      <c r="E3188" s="13" t="inlineStr">
        <is>
          <t>General</t>
        </is>
      </c>
      <c r="F3188" s="5" t="n">
        <v>508</v>
      </c>
      <c r="G3188" s="5" t="n">
        <v>3184</v>
      </c>
      <c r="H3188" s="5" t="n">
        <v>78</v>
      </c>
      <c r="I3188" s="5" t="n">
        <v>27</v>
      </c>
      <c r="J3188" s="5" t="n">
        <v>43</v>
      </c>
      <c r="K3188" s="10">
        <f>IF(F3188&gt;0,H3188/F3188,"")</f>
        <v/>
      </c>
      <c r="L3188" s="16">
        <f>IF(AND(G3188&gt;0,H3188&gt;0),G3188/H3188,"")</f>
        <v/>
      </c>
    </row>
    <row r="3189">
      <c r="A3189" s="4" t="inlineStr">
        <is>
          <t>361</t>
        </is>
      </c>
      <c r="B3189" s="4" t="n">
        <v>3</v>
      </c>
      <c r="C3189" s="4" t="inlineStr">
        <is>
          <t>elk</t>
        </is>
      </c>
      <c r="D3189" s="4" t="n">
        <v>2006</v>
      </c>
      <c r="E3189" s="13" t="inlineStr">
        <is>
          <t>General</t>
        </is>
      </c>
      <c r="F3189" s="5" t="n">
        <v>500</v>
      </c>
      <c r="G3189" s="5" t="n">
        <v>2919</v>
      </c>
      <c r="H3189" s="5" t="n">
        <v>93</v>
      </c>
      <c r="I3189" s="5" t="n">
        <v>46</v>
      </c>
      <c r="J3189" s="5" t="n">
        <v>43</v>
      </c>
      <c r="K3189" s="10">
        <f>IF(F3189&gt;0,H3189/F3189,"")</f>
        <v/>
      </c>
      <c r="L3189" s="16">
        <f>IF(AND(G3189&gt;0,H3189&gt;0),G3189/H3189,"")</f>
        <v/>
      </c>
    </row>
    <row r="3190">
      <c r="A3190" s="4" t="inlineStr">
        <is>
          <t>361</t>
        </is>
      </c>
      <c r="B3190" s="4" t="n">
        <v>3</v>
      </c>
      <c r="C3190" s="4" t="inlineStr">
        <is>
          <t>elk</t>
        </is>
      </c>
      <c r="D3190" s="4" t="n">
        <v>2007</v>
      </c>
      <c r="E3190" s="13" t="inlineStr">
        <is>
          <t>General</t>
        </is>
      </c>
      <c r="F3190" s="5" t="n">
        <v>554</v>
      </c>
      <c r="G3190" s="5" t="n">
        <v>4608</v>
      </c>
      <c r="H3190" s="5" t="n">
        <v>65</v>
      </c>
      <c r="I3190" s="5" t="n">
        <v>25</v>
      </c>
      <c r="J3190" s="5" t="n">
        <v>33</v>
      </c>
      <c r="K3190" s="10">
        <f>IF(F3190&gt;0,H3190/F3190,"")</f>
        <v/>
      </c>
      <c r="L3190" s="16">
        <f>IF(AND(G3190&gt;0,H3190&gt;0),G3190/H3190,"")</f>
        <v/>
      </c>
    </row>
    <row r="3191">
      <c r="A3191" s="4" t="inlineStr">
        <is>
          <t>361</t>
        </is>
      </c>
      <c r="B3191" s="4" t="n">
        <v>3</v>
      </c>
      <c r="C3191" s="4" t="inlineStr">
        <is>
          <t>elk</t>
        </is>
      </c>
      <c r="D3191" s="4" t="n">
        <v>2008</v>
      </c>
      <c r="E3191" s="13" t="inlineStr">
        <is>
          <t>General</t>
        </is>
      </c>
      <c r="F3191" s="5" t="n">
        <v>558</v>
      </c>
      <c r="G3191" s="5" t="n">
        <v>4059</v>
      </c>
      <c r="H3191" s="5" t="n">
        <v>83</v>
      </c>
      <c r="I3191" s="5" t="n">
        <v>45</v>
      </c>
      <c r="J3191" s="5" t="n">
        <v>31</v>
      </c>
      <c r="K3191" s="10">
        <f>IF(F3191&gt;0,H3191/F3191,"")</f>
        <v/>
      </c>
      <c r="L3191" s="16">
        <f>IF(AND(G3191&gt;0,H3191&gt;0),G3191/H3191,"")</f>
        <v/>
      </c>
    </row>
    <row r="3192">
      <c r="A3192" s="4" t="inlineStr">
        <is>
          <t>361</t>
        </is>
      </c>
      <c r="B3192" s="4" t="n">
        <v>3</v>
      </c>
      <c r="C3192" s="4" t="inlineStr">
        <is>
          <t>elk</t>
        </is>
      </c>
      <c r="D3192" s="4" t="n">
        <v>2009</v>
      </c>
      <c r="E3192" s="13" t="inlineStr">
        <is>
          <t>General</t>
        </is>
      </c>
      <c r="F3192" s="5" t="n">
        <v>546</v>
      </c>
      <c r="G3192" s="5" t="n">
        <v>4220</v>
      </c>
      <c r="H3192" s="5" t="n">
        <v>57</v>
      </c>
      <c r="I3192" s="5" t="n">
        <v>27</v>
      </c>
      <c r="J3192" s="5" t="n">
        <v>28</v>
      </c>
      <c r="K3192" s="10">
        <f>IF(F3192&gt;0,H3192/F3192,"")</f>
        <v/>
      </c>
      <c r="L3192" s="16">
        <f>IF(AND(G3192&gt;0,H3192&gt;0),G3192/H3192,"")</f>
        <v/>
      </c>
    </row>
    <row r="3193">
      <c r="A3193" s="4" t="inlineStr">
        <is>
          <t>361</t>
        </is>
      </c>
      <c r="B3193" s="4" t="n">
        <v>3</v>
      </c>
      <c r="C3193" s="4" t="inlineStr">
        <is>
          <t>elk</t>
        </is>
      </c>
      <c r="D3193" s="4" t="n">
        <v>2010</v>
      </c>
      <c r="E3193" s="13" t="inlineStr">
        <is>
          <t>General</t>
        </is>
      </c>
      <c r="F3193" s="5" t="n">
        <v>501</v>
      </c>
      <c r="G3193" s="5" t="n">
        <v>3716</v>
      </c>
      <c r="H3193" s="5" t="n">
        <v>95</v>
      </c>
      <c r="I3193" s="5" t="n">
        <v>43</v>
      </c>
      <c r="J3193" s="5" t="n">
        <v>46</v>
      </c>
      <c r="K3193" s="10">
        <f>IF(F3193&gt;0,H3193/F3193,"")</f>
        <v/>
      </c>
      <c r="L3193" s="16">
        <f>IF(AND(G3193&gt;0,H3193&gt;0),G3193/H3193,"")</f>
        <v/>
      </c>
    </row>
    <row r="3194">
      <c r="A3194" s="4" t="inlineStr">
        <is>
          <t>361</t>
        </is>
      </c>
      <c r="B3194" s="4" t="n">
        <v>3</v>
      </c>
      <c r="C3194" s="4" t="inlineStr">
        <is>
          <t>elk</t>
        </is>
      </c>
      <c r="D3194" s="4" t="n">
        <v>2011</v>
      </c>
      <c r="E3194" s="13" t="inlineStr">
        <is>
          <t>General</t>
        </is>
      </c>
      <c r="F3194" s="5" t="n">
        <v>511</v>
      </c>
      <c r="G3194" s="5" t="n">
        <v>3685</v>
      </c>
      <c r="H3194" s="5" t="n">
        <v>91</v>
      </c>
      <c r="I3194" s="5" t="n">
        <v>48</v>
      </c>
      <c r="J3194" s="5" t="n">
        <v>40</v>
      </c>
      <c r="K3194" s="10">
        <f>IF(F3194&gt;0,H3194/F3194,"")</f>
        <v/>
      </c>
      <c r="L3194" s="16">
        <f>IF(AND(G3194&gt;0,H3194&gt;0),G3194/H3194,"")</f>
        <v/>
      </c>
    </row>
    <row r="3195">
      <c r="A3195" s="4" t="inlineStr">
        <is>
          <t>361</t>
        </is>
      </c>
      <c r="B3195" s="4" t="n">
        <v>3</v>
      </c>
      <c r="C3195" s="4" t="inlineStr">
        <is>
          <t>elk</t>
        </is>
      </c>
      <c r="D3195" s="4" t="n">
        <v>2012</v>
      </c>
      <c r="E3195" s="13" t="inlineStr">
        <is>
          <t>General</t>
        </is>
      </c>
      <c r="F3195" s="5" t="n">
        <v>523</v>
      </c>
      <c r="G3195" s="5" t="n">
        <v>4119</v>
      </c>
      <c r="H3195" s="5" t="n">
        <v>40</v>
      </c>
      <c r="I3195" s="5" t="n">
        <v>22</v>
      </c>
      <c r="J3195" s="5" t="n">
        <v>16</v>
      </c>
      <c r="K3195" s="10">
        <f>IF(F3195&gt;0,H3195/F3195,"")</f>
        <v/>
      </c>
      <c r="L3195" s="16">
        <f>IF(AND(G3195&gt;0,H3195&gt;0),G3195/H3195,"")</f>
        <v/>
      </c>
    </row>
    <row r="3196">
      <c r="A3196" s="4" t="inlineStr">
        <is>
          <t>361</t>
        </is>
      </c>
      <c r="B3196" s="4" t="n">
        <v>3</v>
      </c>
      <c r="C3196" s="4" t="inlineStr">
        <is>
          <t>elk</t>
        </is>
      </c>
      <c r="D3196" s="4" t="n">
        <v>2013</v>
      </c>
      <c r="E3196" s="13" t="inlineStr">
        <is>
          <t>General</t>
        </is>
      </c>
      <c r="F3196" s="5" t="n"/>
      <c r="G3196" s="5" t="n"/>
      <c r="H3196" s="5" t="n">
        <v>35</v>
      </c>
      <c r="I3196" s="5" t="n">
        <v>8</v>
      </c>
      <c r="J3196" s="5" t="n">
        <v>21</v>
      </c>
      <c r="K3196" s="10">
        <f>IF(F3196&gt;0,H3196/F3196,"")</f>
        <v/>
      </c>
      <c r="L3196" s="16">
        <f>IF(AND(G3196&gt;0,H3196&gt;0),G3196/H3196,"")</f>
        <v/>
      </c>
    </row>
    <row r="3197">
      <c r="A3197" s="4" t="inlineStr">
        <is>
          <t>361</t>
        </is>
      </c>
      <c r="B3197" s="4" t="n">
        <v>3</v>
      </c>
      <c r="C3197" s="4" t="inlineStr">
        <is>
          <t>elk</t>
        </is>
      </c>
      <c r="D3197" s="4" t="n">
        <v>2014</v>
      </c>
      <c r="E3197" s="13" t="inlineStr">
        <is>
          <t>General</t>
        </is>
      </c>
      <c r="F3197" s="5" t="n">
        <v>485</v>
      </c>
      <c r="G3197" s="5" t="n">
        <v>4029</v>
      </c>
      <c r="H3197" s="5" t="n">
        <v>54</v>
      </c>
      <c r="I3197" s="5" t="n">
        <v>20</v>
      </c>
      <c r="J3197" s="5" t="n">
        <v>34</v>
      </c>
      <c r="K3197" s="10">
        <f>IF(F3197&gt;0,H3197/F3197,"")</f>
        <v/>
      </c>
      <c r="L3197" s="16">
        <f>IF(AND(G3197&gt;0,H3197&gt;0),G3197/H3197,"")</f>
        <v/>
      </c>
    </row>
    <row r="3198">
      <c r="A3198" s="4" t="inlineStr">
        <is>
          <t>361</t>
        </is>
      </c>
      <c r="B3198" s="4" t="n">
        <v>3</v>
      </c>
      <c r="C3198" s="4" t="inlineStr">
        <is>
          <t>elk</t>
        </is>
      </c>
      <c r="D3198" s="4" t="n">
        <v>2015</v>
      </c>
      <c r="E3198" s="13" t="inlineStr">
        <is>
          <t>General</t>
        </is>
      </c>
      <c r="F3198" s="5" t="n">
        <v>474</v>
      </c>
      <c r="G3198" s="5" t="n">
        <v>3874</v>
      </c>
      <c r="H3198" s="5" t="n">
        <v>60</v>
      </c>
      <c r="I3198" s="5" t="n">
        <v>24</v>
      </c>
      <c r="J3198" s="5" t="n">
        <v>36</v>
      </c>
      <c r="K3198" s="10">
        <f>IF(F3198&gt;0,H3198/F3198,"")</f>
        <v/>
      </c>
      <c r="L3198" s="16">
        <f>IF(AND(G3198&gt;0,H3198&gt;0),G3198/H3198,"")</f>
        <v/>
      </c>
    </row>
    <row r="3199">
      <c r="A3199" s="4" t="inlineStr">
        <is>
          <t>361</t>
        </is>
      </c>
      <c r="B3199" s="4" t="n">
        <v>3</v>
      </c>
      <c r="C3199" s="4" t="inlineStr">
        <is>
          <t>elk</t>
        </is>
      </c>
      <c r="D3199" s="4" t="n">
        <v>2016</v>
      </c>
      <c r="E3199" s="13" t="inlineStr">
        <is>
          <t>General</t>
        </is>
      </c>
      <c r="F3199" s="5" t="n">
        <v>566</v>
      </c>
      <c r="G3199" s="5" t="n">
        <v>4753</v>
      </c>
      <c r="H3199" s="5" t="n">
        <v>83</v>
      </c>
      <c r="I3199" s="5" t="n">
        <v>25</v>
      </c>
      <c r="J3199" s="5" t="n">
        <v>55</v>
      </c>
      <c r="K3199" s="10">
        <f>IF(F3199&gt;0,H3199/F3199,"")</f>
        <v/>
      </c>
      <c r="L3199" s="16">
        <f>IF(AND(G3199&gt;0,H3199&gt;0),G3199/H3199,"")</f>
        <v/>
      </c>
    </row>
    <row r="3200">
      <c r="A3200" s="4" t="inlineStr">
        <is>
          <t>361</t>
        </is>
      </c>
      <c r="B3200" s="4" t="n">
        <v>3</v>
      </c>
      <c r="C3200" s="4" t="inlineStr">
        <is>
          <t>elk</t>
        </is>
      </c>
      <c r="D3200" s="4" t="n">
        <v>2017</v>
      </c>
      <c r="E3200" s="13" t="inlineStr">
        <is>
          <t>General</t>
        </is>
      </c>
      <c r="F3200" s="5" t="n"/>
      <c r="G3200" s="5" t="n"/>
      <c r="H3200" s="5" t="n">
        <v>69</v>
      </c>
      <c r="I3200" s="5" t="n">
        <v>31</v>
      </c>
      <c r="J3200" s="5" t="n">
        <v>38</v>
      </c>
      <c r="K3200" s="10">
        <f>IF(F3200&gt;0,H3200/F3200,"")</f>
        <v/>
      </c>
      <c r="L3200" s="16">
        <f>IF(AND(G3200&gt;0,H3200&gt;0),G3200/H3200,"")</f>
        <v/>
      </c>
    </row>
    <row r="3201">
      <c r="A3201" s="4" t="inlineStr">
        <is>
          <t>361</t>
        </is>
      </c>
      <c r="B3201" s="4" t="n">
        <v>3</v>
      </c>
      <c r="C3201" s="4" t="inlineStr">
        <is>
          <t>elk</t>
        </is>
      </c>
      <c r="D3201" s="4" t="n">
        <v>2018</v>
      </c>
      <c r="E3201" s="13" t="inlineStr">
        <is>
          <t>General</t>
        </is>
      </c>
      <c r="F3201" s="5" t="n">
        <v>516</v>
      </c>
      <c r="G3201" s="5" t="n">
        <v>4265</v>
      </c>
      <c r="H3201" s="5" t="n">
        <v>47</v>
      </c>
      <c r="I3201" s="5" t="n">
        <v>28</v>
      </c>
      <c r="J3201" s="5" t="n">
        <v>19</v>
      </c>
      <c r="K3201" s="10">
        <f>IF(F3201&gt;0,H3201/F3201,"")</f>
        <v/>
      </c>
      <c r="L3201" s="16">
        <f>IF(AND(G3201&gt;0,H3201&gt;0),G3201/H3201,"")</f>
        <v/>
      </c>
    </row>
    <row r="3202">
      <c r="A3202" s="4" t="inlineStr">
        <is>
          <t>361</t>
        </is>
      </c>
      <c r="B3202" s="4" t="n">
        <v>3</v>
      </c>
      <c r="C3202" s="4" t="inlineStr">
        <is>
          <t>elk</t>
        </is>
      </c>
      <c r="D3202" s="4" t="n">
        <v>2019</v>
      </c>
      <c r="E3202" s="13" t="inlineStr">
        <is>
          <t>General</t>
        </is>
      </c>
      <c r="F3202" s="5" t="n"/>
      <c r="G3202" s="5" t="n"/>
      <c r="H3202" s="5" t="n">
        <v>46</v>
      </c>
      <c r="I3202" s="5" t="n">
        <v>26</v>
      </c>
      <c r="J3202" s="5" t="n">
        <v>20</v>
      </c>
      <c r="K3202" s="10">
        <f>IF(F3202&gt;0,H3202/F3202,"")</f>
        <v/>
      </c>
      <c r="L3202" s="16">
        <f>IF(AND(G3202&gt;0,H3202&gt;0),G3202/H3202,"")</f>
        <v/>
      </c>
    </row>
    <row r="3203">
      <c r="A3203" s="4" t="inlineStr">
        <is>
          <t>361</t>
        </is>
      </c>
      <c r="B3203" s="4" t="n">
        <v>3</v>
      </c>
      <c r="C3203" s="4" t="inlineStr">
        <is>
          <t>elk</t>
        </is>
      </c>
      <c r="D3203" s="4" t="n">
        <v>2020</v>
      </c>
      <c r="E3203" s="13" t="inlineStr">
        <is>
          <t>General</t>
        </is>
      </c>
      <c r="F3203" s="5" t="n">
        <v>327</v>
      </c>
      <c r="G3203" s="5" t="n">
        <v>2536</v>
      </c>
      <c r="H3203" s="5" t="n">
        <v>48</v>
      </c>
      <c r="I3203" s="5" t="n">
        <v>33</v>
      </c>
      <c r="J3203" s="5" t="n">
        <v>15</v>
      </c>
      <c r="K3203" s="10">
        <f>IF(F3203&gt;0,H3203/F3203,"")</f>
        <v/>
      </c>
      <c r="L3203" s="16">
        <f>IF(AND(G3203&gt;0,H3203&gt;0),G3203/H3203,"")</f>
        <v/>
      </c>
    </row>
    <row r="3204">
      <c r="A3204" s="4" t="inlineStr">
        <is>
          <t>361</t>
        </is>
      </c>
      <c r="B3204" s="4" t="n">
        <v>3</v>
      </c>
      <c r="C3204" s="4" t="inlineStr">
        <is>
          <t>elk</t>
        </is>
      </c>
      <c r="D3204" s="4" t="n">
        <v>2021</v>
      </c>
      <c r="E3204" s="13" t="inlineStr">
        <is>
          <t>General</t>
        </is>
      </c>
      <c r="F3204" s="5" t="n"/>
      <c r="G3204" s="5" t="n"/>
      <c r="H3204" s="5" t="n">
        <v>74</v>
      </c>
      <c r="I3204" s="5" t="n">
        <v>26</v>
      </c>
      <c r="J3204" s="5" t="n">
        <v>45</v>
      </c>
      <c r="K3204" s="10">
        <f>IF(F3204&gt;0,H3204/F3204,"")</f>
        <v/>
      </c>
      <c r="L3204" s="16">
        <f>IF(AND(G3204&gt;0,H3204&gt;0),G3204/H3204,"")</f>
        <v/>
      </c>
    </row>
    <row r="3205">
      <c r="A3205" s="4" t="inlineStr">
        <is>
          <t>361</t>
        </is>
      </c>
      <c r="B3205" s="4" t="n">
        <v>3</v>
      </c>
      <c r="C3205" s="4" t="inlineStr">
        <is>
          <t>elk</t>
        </is>
      </c>
      <c r="D3205" s="4" t="n">
        <v>2022</v>
      </c>
      <c r="E3205" s="13" t="inlineStr">
        <is>
          <t>General</t>
        </is>
      </c>
      <c r="F3205" s="5" t="n">
        <v>587</v>
      </c>
      <c r="G3205" s="5" t="n">
        <v>4640</v>
      </c>
      <c r="H3205" s="5" t="n">
        <v>106</v>
      </c>
      <c r="I3205" s="5" t="n">
        <v>75</v>
      </c>
      <c r="J3205" s="5" t="n">
        <v>31</v>
      </c>
      <c r="K3205" s="10">
        <f>IF(F3205&gt;0,H3205/F3205,"")</f>
        <v/>
      </c>
      <c r="L3205" s="16">
        <f>IF(AND(G3205&gt;0,H3205&gt;0),G3205/H3205,"")</f>
        <v/>
      </c>
    </row>
    <row r="3206">
      <c r="A3206" s="4" t="inlineStr">
        <is>
          <t>361</t>
        </is>
      </c>
      <c r="B3206" s="4" t="n">
        <v>3</v>
      </c>
      <c r="C3206" s="4" t="inlineStr">
        <is>
          <t>elk</t>
        </is>
      </c>
      <c r="D3206" s="4" t="n">
        <v>2023</v>
      </c>
      <c r="E3206" s="13" t="inlineStr">
        <is>
          <t>General</t>
        </is>
      </c>
      <c r="F3206" s="5" t="n"/>
      <c r="G3206" s="5" t="n"/>
      <c r="H3206" s="5" t="n">
        <v>87</v>
      </c>
      <c r="I3206" s="5" t="n">
        <v>72</v>
      </c>
      <c r="J3206" s="5" t="n">
        <v>16</v>
      </c>
      <c r="K3206" s="10">
        <f>IF(F3206&gt;0,H3206/F3206,"")</f>
        <v/>
      </c>
      <c r="L3206" s="16">
        <f>IF(AND(G3206&gt;0,H3206&gt;0),G3206/H3206,"")</f>
        <v/>
      </c>
    </row>
    <row r="3207">
      <c r="A3207" s="4" t="inlineStr">
        <is>
          <t>361</t>
        </is>
      </c>
      <c r="B3207" s="4" t="n">
        <v>3</v>
      </c>
      <c r="C3207" s="4" t="inlineStr">
        <is>
          <t>elk</t>
        </is>
      </c>
      <c r="D3207" s="4" t="n">
        <v>2024</v>
      </c>
      <c r="E3207" s="13" t="inlineStr">
        <is>
          <t>General</t>
        </is>
      </c>
      <c r="F3207" s="5" t="n">
        <v>581</v>
      </c>
      <c r="G3207" s="5" t="n">
        <v>5021</v>
      </c>
      <c r="H3207" s="5" t="n">
        <v>87</v>
      </c>
      <c r="I3207" s="5" t="n">
        <v>37</v>
      </c>
      <c r="J3207" s="5" t="n">
        <v>50</v>
      </c>
      <c r="K3207" s="10">
        <f>IF(F3207&gt;0,H3207/F3207,"")</f>
        <v/>
      </c>
      <c r="L3207" s="16">
        <f>IF(AND(G3207&gt;0,H3207&gt;0),G3207/H3207,"")</f>
        <v/>
      </c>
    </row>
    <row r="3208">
      <c r="A3208" s="4" t="inlineStr">
        <is>
          <t>361</t>
        </is>
      </c>
      <c r="B3208" s="4" t="n">
        <v>3</v>
      </c>
      <c r="C3208" s="4" t="inlineStr">
        <is>
          <t>elk</t>
        </is>
      </c>
      <c r="D3208" s="4" t="n">
        <v>2025</v>
      </c>
      <c r="E3208" s="13" t="inlineStr">
        <is>
          <t>General</t>
        </is>
      </c>
      <c r="F3208" s="5" t="n"/>
      <c r="G3208" s="5" t="n"/>
      <c r="H3208" s="5" t="n">
        <v>79</v>
      </c>
      <c r="I3208" s="5" t="n">
        <v>46</v>
      </c>
      <c r="J3208" s="5" t="n">
        <v>31</v>
      </c>
      <c r="K3208" s="10">
        <f>IF(F3208&gt;0,H3208/F3208,"")</f>
        <v/>
      </c>
      <c r="L3208" s="16">
        <f>IF(AND(G3208&gt;0,H3208&gt;0),G3208/H3208,"")</f>
        <v/>
      </c>
    </row>
    <row r="3209">
      <c r="A3209" s="4" t="inlineStr">
        <is>
          <t>362</t>
        </is>
      </c>
      <c r="B3209" s="4" t="n">
        <v>3</v>
      </c>
      <c r="C3209" s="4" t="inlineStr">
        <is>
          <t>elk</t>
        </is>
      </c>
      <c r="D3209" s="4" t="n">
        <v>2004</v>
      </c>
      <c r="E3209" s="4" t="inlineStr"/>
      <c r="F3209" s="5" t="n">
        <v>1193</v>
      </c>
      <c r="G3209" s="5" t="n">
        <v>5514</v>
      </c>
      <c r="H3209" s="5" t="n">
        <v>368</v>
      </c>
      <c r="I3209" s="5" t="n">
        <v>110</v>
      </c>
      <c r="J3209" s="5" t="n">
        <v>226</v>
      </c>
      <c r="K3209" s="10">
        <f>IF(F3209&gt;0,H3209/F3209,"")</f>
        <v/>
      </c>
      <c r="L3209" s="16">
        <f>IF(AND(G3209&gt;0,H3209&gt;0),G3209/H3209,"")</f>
        <v/>
      </c>
    </row>
    <row r="3210">
      <c r="A3210" s="4" t="inlineStr">
        <is>
          <t>362</t>
        </is>
      </c>
      <c r="B3210" s="4" t="n">
        <v>3</v>
      </c>
      <c r="C3210" s="4" t="inlineStr">
        <is>
          <t>elk</t>
        </is>
      </c>
      <c r="D3210" s="4" t="n">
        <v>2005</v>
      </c>
      <c r="E3210" s="4" t="inlineStr"/>
      <c r="F3210" s="5" t="n">
        <v>1048</v>
      </c>
      <c r="G3210" s="5" t="n">
        <v>5777</v>
      </c>
      <c r="H3210" s="5" t="n">
        <v>353</v>
      </c>
      <c r="I3210" s="5" t="n">
        <v>115</v>
      </c>
      <c r="J3210" s="5" t="n">
        <v>190</v>
      </c>
      <c r="K3210" s="10">
        <f>IF(F3210&gt;0,H3210/F3210,"")</f>
        <v/>
      </c>
      <c r="L3210" s="16">
        <f>IF(AND(G3210&gt;0,H3210&gt;0),G3210/H3210,"")</f>
        <v/>
      </c>
    </row>
    <row r="3211">
      <c r="A3211" s="4" t="inlineStr">
        <is>
          <t>362</t>
        </is>
      </c>
      <c r="B3211" s="4" t="n">
        <v>3</v>
      </c>
      <c r="C3211" s="4" t="inlineStr">
        <is>
          <t>elk</t>
        </is>
      </c>
      <c r="D3211" s="4" t="n">
        <v>2006</v>
      </c>
      <c r="E3211" s="4" t="inlineStr"/>
      <c r="F3211" s="5" t="n">
        <v>725</v>
      </c>
      <c r="G3211" s="5" t="n">
        <v>3624</v>
      </c>
      <c r="H3211" s="5" t="n">
        <v>151</v>
      </c>
      <c r="I3211" s="5" t="n">
        <v>62</v>
      </c>
      <c r="J3211" s="5" t="n">
        <v>70</v>
      </c>
      <c r="K3211" s="10">
        <f>IF(F3211&gt;0,H3211/F3211,"")</f>
        <v/>
      </c>
      <c r="L3211" s="16">
        <f>IF(AND(G3211&gt;0,H3211&gt;0),G3211/H3211,"")</f>
        <v/>
      </c>
    </row>
    <row r="3212">
      <c r="A3212" s="4" t="inlineStr">
        <is>
          <t>362</t>
        </is>
      </c>
      <c r="B3212" s="4" t="n">
        <v>3</v>
      </c>
      <c r="C3212" s="4" t="inlineStr">
        <is>
          <t>elk</t>
        </is>
      </c>
      <c r="D3212" s="4" t="n">
        <v>2007</v>
      </c>
      <c r="E3212" s="4" t="inlineStr"/>
      <c r="F3212" s="5" t="n">
        <v>883</v>
      </c>
      <c r="G3212" s="5" t="n">
        <v>5254</v>
      </c>
      <c r="H3212" s="5" t="n">
        <v>187</v>
      </c>
      <c r="I3212" s="5" t="n">
        <v>77</v>
      </c>
      <c r="J3212" s="5" t="n">
        <v>86</v>
      </c>
      <c r="K3212" s="10">
        <f>IF(F3212&gt;0,H3212/F3212,"")</f>
        <v/>
      </c>
      <c r="L3212" s="16">
        <f>IF(AND(G3212&gt;0,H3212&gt;0),G3212/H3212,"")</f>
        <v/>
      </c>
    </row>
    <row r="3213">
      <c r="A3213" s="4" t="inlineStr">
        <is>
          <t>362</t>
        </is>
      </c>
      <c r="B3213" s="4" t="n">
        <v>3</v>
      </c>
      <c r="C3213" s="4" t="inlineStr">
        <is>
          <t>elk</t>
        </is>
      </c>
      <c r="D3213" s="4" t="n">
        <v>2008</v>
      </c>
      <c r="E3213" s="4" t="inlineStr"/>
      <c r="F3213" s="5" t="n">
        <v>1124</v>
      </c>
      <c r="G3213" s="5" t="n">
        <v>6835</v>
      </c>
      <c r="H3213" s="5" t="n">
        <v>316</v>
      </c>
      <c r="I3213" s="5" t="n">
        <v>77</v>
      </c>
      <c r="J3213" s="5" t="n">
        <v>212</v>
      </c>
      <c r="K3213" s="10">
        <f>IF(F3213&gt;0,H3213/F3213,"")</f>
        <v/>
      </c>
      <c r="L3213" s="16">
        <f>IF(AND(G3213&gt;0,H3213&gt;0),G3213/H3213,"")</f>
        <v/>
      </c>
    </row>
    <row r="3214">
      <c r="A3214" s="4" t="inlineStr">
        <is>
          <t>362</t>
        </is>
      </c>
      <c r="B3214" s="4" t="n">
        <v>3</v>
      </c>
      <c r="C3214" s="4" t="inlineStr">
        <is>
          <t>elk</t>
        </is>
      </c>
      <c r="D3214" s="4" t="n">
        <v>2009</v>
      </c>
      <c r="E3214" s="4" t="inlineStr"/>
      <c r="F3214" s="5" t="n">
        <v>978</v>
      </c>
      <c r="G3214" s="5" t="n">
        <v>6395</v>
      </c>
      <c r="H3214" s="5" t="n">
        <v>203</v>
      </c>
      <c r="I3214" s="5" t="n">
        <v>51</v>
      </c>
      <c r="J3214" s="5" t="n">
        <v>150</v>
      </c>
      <c r="K3214" s="10">
        <f>IF(F3214&gt;0,H3214/F3214,"")</f>
        <v/>
      </c>
      <c r="L3214" s="16">
        <f>IF(AND(G3214&gt;0,H3214&gt;0),G3214/H3214,"")</f>
        <v/>
      </c>
    </row>
    <row r="3215">
      <c r="A3215" s="4" t="inlineStr">
        <is>
          <t>362</t>
        </is>
      </c>
      <c r="B3215" s="4" t="n">
        <v>3</v>
      </c>
      <c r="C3215" s="4" t="inlineStr">
        <is>
          <t>elk</t>
        </is>
      </c>
      <c r="D3215" s="4" t="n">
        <v>2010</v>
      </c>
      <c r="E3215" s="4" t="inlineStr"/>
      <c r="F3215" s="5" t="n">
        <v>929</v>
      </c>
      <c r="G3215" s="5" t="n">
        <v>6147</v>
      </c>
      <c r="H3215" s="5" t="n">
        <v>255</v>
      </c>
      <c r="I3215" s="5" t="n">
        <v>106</v>
      </c>
      <c r="J3215" s="5" t="n">
        <v>132</v>
      </c>
      <c r="K3215" s="10">
        <f>IF(F3215&gt;0,H3215/F3215,"")</f>
        <v/>
      </c>
      <c r="L3215" s="16">
        <f>IF(AND(G3215&gt;0,H3215&gt;0),G3215/H3215,"")</f>
        <v/>
      </c>
    </row>
    <row r="3216">
      <c r="A3216" s="4" t="inlineStr">
        <is>
          <t>362</t>
        </is>
      </c>
      <c r="B3216" s="4" t="n">
        <v>3</v>
      </c>
      <c r="C3216" s="4" t="inlineStr">
        <is>
          <t>elk</t>
        </is>
      </c>
      <c r="D3216" s="4" t="n">
        <v>2011</v>
      </c>
      <c r="E3216" s="4" t="inlineStr"/>
      <c r="F3216" s="5" t="n">
        <v>944</v>
      </c>
      <c r="G3216" s="5" t="n">
        <v>5427</v>
      </c>
      <c r="H3216" s="5" t="n">
        <v>166</v>
      </c>
      <c r="I3216" s="5" t="n">
        <v>50</v>
      </c>
      <c r="J3216" s="5" t="n">
        <v>107</v>
      </c>
      <c r="K3216" s="10">
        <f>IF(F3216&gt;0,H3216/F3216,"")</f>
        <v/>
      </c>
      <c r="L3216" s="16">
        <f>IF(AND(G3216&gt;0,H3216&gt;0),G3216/H3216,"")</f>
        <v/>
      </c>
    </row>
    <row r="3217">
      <c r="A3217" s="4" t="inlineStr">
        <is>
          <t>362</t>
        </is>
      </c>
      <c r="B3217" s="4" t="n">
        <v>3</v>
      </c>
      <c r="C3217" s="4" t="inlineStr">
        <is>
          <t>elk</t>
        </is>
      </c>
      <c r="D3217" s="4" t="n">
        <v>2012</v>
      </c>
      <c r="E3217" s="4" t="inlineStr"/>
      <c r="F3217" s="5" t="n">
        <v>633</v>
      </c>
      <c r="G3217" s="5" t="n">
        <v>3717</v>
      </c>
      <c r="H3217" s="5" t="n">
        <v>88</v>
      </c>
      <c r="I3217" s="5" t="n">
        <v>69</v>
      </c>
      <c r="J3217" s="5" t="n">
        <v>20</v>
      </c>
      <c r="K3217" s="10">
        <f>IF(F3217&gt;0,H3217/F3217,"")</f>
        <v/>
      </c>
      <c r="L3217" s="16">
        <f>IF(AND(G3217&gt;0,H3217&gt;0),G3217/H3217,"")</f>
        <v/>
      </c>
    </row>
    <row r="3218">
      <c r="A3218" s="4" t="inlineStr">
        <is>
          <t>362</t>
        </is>
      </c>
      <c r="B3218" s="4" t="n">
        <v>3</v>
      </c>
      <c r="C3218" s="4" t="inlineStr">
        <is>
          <t>elk</t>
        </is>
      </c>
      <c r="D3218" s="4" t="n">
        <v>2013</v>
      </c>
      <c r="E3218" s="4" t="inlineStr"/>
      <c r="F3218" s="5" t="n"/>
      <c r="G3218" s="5" t="n"/>
      <c r="H3218" s="5" t="n">
        <v>102</v>
      </c>
      <c r="I3218" s="5" t="n">
        <v>69</v>
      </c>
      <c r="J3218" s="5" t="n">
        <v>33</v>
      </c>
      <c r="K3218" s="10">
        <f>IF(F3218&gt;0,H3218/F3218,"")</f>
        <v/>
      </c>
      <c r="L3218" s="16">
        <f>IF(AND(G3218&gt;0,H3218&gt;0),G3218/H3218,"")</f>
        <v/>
      </c>
    </row>
    <row r="3219">
      <c r="A3219" s="4" t="inlineStr">
        <is>
          <t>362</t>
        </is>
      </c>
      <c r="B3219" s="4" t="n">
        <v>3</v>
      </c>
      <c r="C3219" s="4" t="inlineStr">
        <is>
          <t>elk</t>
        </is>
      </c>
      <c r="D3219" s="4" t="n">
        <v>2014</v>
      </c>
      <c r="E3219" s="4" t="inlineStr"/>
      <c r="F3219" s="5" t="n">
        <v>924</v>
      </c>
      <c r="G3219" s="5" t="n">
        <v>5415</v>
      </c>
      <c r="H3219" s="5" t="n">
        <v>218</v>
      </c>
      <c r="I3219" s="5" t="n">
        <v>107</v>
      </c>
      <c r="J3219" s="5" t="n">
        <v>106</v>
      </c>
      <c r="K3219" s="10">
        <f>IF(F3219&gt;0,H3219/F3219,"")</f>
        <v/>
      </c>
      <c r="L3219" s="16">
        <f>IF(AND(G3219&gt;0,H3219&gt;0),G3219/H3219,"")</f>
        <v/>
      </c>
    </row>
    <row r="3220">
      <c r="A3220" s="4" t="inlineStr">
        <is>
          <t>362</t>
        </is>
      </c>
      <c r="B3220" s="4" t="n">
        <v>3</v>
      </c>
      <c r="C3220" s="4" t="inlineStr">
        <is>
          <t>elk</t>
        </is>
      </c>
      <c r="D3220" s="4" t="n">
        <v>2015</v>
      </c>
      <c r="E3220" s="4" t="inlineStr"/>
      <c r="F3220" s="5" t="n">
        <v>1032</v>
      </c>
      <c r="G3220" s="5" t="n">
        <v>7033</v>
      </c>
      <c r="H3220" s="5" t="n">
        <v>339</v>
      </c>
      <c r="I3220" s="5" t="n">
        <v>120</v>
      </c>
      <c r="J3220" s="5" t="n">
        <v>194</v>
      </c>
      <c r="K3220" s="10">
        <f>IF(F3220&gt;0,H3220/F3220,"")</f>
        <v/>
      </c>
      <c r="L3220" s="16">
        <f>IF(AND(G3220&gt;0,H3220&gt;0),G3220/H3220,"")</f>
        <v/>
      </c>
    </row>
    <row r="3221">
      <c r="A3221" s="4" t="inlineStr">
        <is>
          <t>362</t>
        </is>
      </c>
      <c r="B3221" s="4" t="n">
        <v>3</v>
      </c>
      <c r="C3221" s="4" t="inlineStr">
        <is>
          <t>elk</t>
        </is>
      </c>
      <c r="D3221" s="4" t="n">
        <v>2016</v>
      </c>
      <c r="E3221" s="4" t="inlineStr"/>
      <c r="F3221" s="5" t="n">
        <v>975</v>
      </c>
      <c r="G3221" s="5" t="n">
        <v>6605</v>
      </c>
      <c r="H3221" s="5" t="n">
        <v>198</v>
      </c>
      <c r="I3221" s="5" t="n">
        <v>84</v>
      </c>
      <c r="J3221" s="5" t="n">
        <v>108</v>
      </c>
      <c r="K3221" s="10">
        <f>IF(F3221&gt;0,H3221/F3221,"")</f>
        <v/>
      </c>
      <c r="L3221" s="16">
        <f>IF(AND(G3221&gt;0,H3221&gt;0),G3221/H3221,"")</f>
        <v/>
      </c>
    </row>
    <row r="3222">
      <c r="A3222" s="4" t="inlineStr">
        <is>
          <t>362</t>
        </is>
      </c>
      <c r="B3222" s="4" t="n">
        <v>3</v>
      </c>
      <c r="C3222" s="4" t="inlineStr">
        <is>
          <t>elk</t>
        </is>
      </c>
      <c r="D3222" s="4" t="n">
        <v>2017</v>
      </c>
      <c r="E3222" s="4" t="inlineStr"/>
      <c r="F3222" s="5" t="n"/>
      <c r="G3222" s="5" t="n"/>
      <c r="H3222" s="5" t="n">
        <v>260</v>
      </c>
      <c r="I3222" s="5" t="n">
        <v>95</v>
      </c>
      <c r="J3222" s="5" t="n">
        <v>148</v>
      </c>
      <c r="K3222" s="10">
        <f>IF(F3222&gt;0,H3222/F3222,"")</f>
        <v/>
      </c>
      <c r="L3222" s="16">
        <f>IF(AND(G3222&gt;0,H3222&gt;0),G3222/H3222,"")</f>
        <v/>
      </c>
    </row>
    <row r="3223">
      <c r="A3223" s="4" t="inlineStr">
        <is>
          <t>362</t>
        </is>
      </c>
      <c r="B3223" s="4" t="n">
        <v>3</v>
      </c>
      <c r="C3223" s="4" t="inlineStr">
        <is>
          <t>elk</t>
        </is>
      </c>
      <c r="D3223" s="4" t="n">
        <v>2018</v>
      </c>
      <c r="E3223" s="4" t="inlineStr"/>
      <c r="F3223" s="5" t="n">
        <v>820</v>
      </c>
      <c r="G3223" s="5" t="n">
        <v>5618</v>
      </c>
      <c r="H3223" s="5" t="n">
        <v>176</v>
      </c>
      <c r="I3223" s="5" t="n">
        <v>77</v>
      </c>
      <c r="J3223" s="5" t="n">
        <v>81</v>
      </c>
      <c r="K3223" s="10">
        <f>IF(F3223&gt;0,H3223/F3223,"")</f>
        <v/>
      </c>
      <c r="L3223" s="16">
        <f>IF(AND(G3223&gt;0,H3223&gt;0),G3223/H3223,"")</f>
        <v/>
      </c>
    </row>
    <row r="3224">
      <c r="A3224" s="4" t="inlineStr">
        <is>
          <t>362</t>
        </is>
      </c>
      <c r="B3224" s="4" t="n">
        <v>3</v>
      </c>
      <c r="C3224" s="4" t="inlineStr">
        <is>
          <t>elk</t>
        </is>
      </c>
      <c r="D3224" s="4" t="n">
        <v>2019</v>
      </c>
      <c r="E3224" s="4" t="inlineStr"/>
      <c r="F3224" s="5" t="n"/>
      <c r="G3224" s="5" t="n"/>
      <c r="H3224" s="5" t="n">
        <v>171</v>
      </c>
      <c r="I3224" s="5" t="n">
        <v>86</v>
      </c>
      <c r="J3224" s="5" t="n">
        <v>77</v>
      </c>
      <c r="K3224" s="10">
        <f>IF(F3224&gt;0,H3224/F3224,"")</f>
        <v/>
      </c>
      <c r="L3224" s="16">
        <f>IF(AND(G3224&gt;0,H3224&gt;0),G3224/H3224,"")</f>
        <v/>
      </c>
    </row>
    <row r="3225">
      <c r="A3225" s="4" t="inlineStr">
        <is>
          <t>362</t>
        </is>
      </c>
      <c r="B3225" s="4" t="n">
        <v>3</v>
      </c>
      <c r="C3225" s="4" t="inlineStr">
        <is>
          <t>elk</t>
        </is>
      </c>
      <c r="D3225" s="4" t="n">
        <v>2020</v>
      </c>
      <c r="E3225" s="4" t="inlineStr"/>
      <c r="F3225" s="5" t="n">
        <v>1017</v>
      </c>
      <c r="G3225" s="5" t="n">
        <v>7880</v>
      </c>
      <c r="H3225" s="5" t="n">
        <v>289</v>
      </c>
      <c r="I3225" s="5" t="n">
        <v>160</v>
      </c>
      <c r="J3225" s="5" t="n">
        <v>117</v>
      </c>
      <c r="K3225" s="10">
        <f>IF(F3225&gt;0,H3225/F3225,"")</f>
        <v/>
      </c>
      <c r="L3225" s="16">
        <f>IF(AND(G3225&gt;0,H3225&gt;0),G3225/H3225,"")</f>
        <v/>
      </c>
    </row>
    <row r="3226">
      <c r="A3226" s="4" t="inlineStr">
        <is>
          <t>362</t>
        </is>
      </c>
      <c r="B3226" s="4" t="n">
        <v>3</v>
      </c>
      <c r="C3226" s="4" t="inlineStr">
        <is>
          <t>elk</t>
        </is>
      </c>
      <c r="D3226" s="4" t="n">
        <v>2021</v>
      </c>
      <c r="E3226" s="4" t="inlineStr"/>
      <c r="F3226" s="5" t="n"/>
      <c r="G3226" s="5" t="n"/>
      <c r="H3226" s="5" t="n">
        <v>183</v>
      </c>
      <c r="I3226" s="5" t="n">
        <v>73</v>
      </c>
      <c r="J3226" s="5" t="n">
        <v>107</v>
      </c>
      <c r="K3226" s="10">
        <f>IF(F3226&gt;0,H3226/F3226,"")</f>
        <v/>
      </c>
      <c r="L3226" s="16">
        <f>IF(AND(G3226&gt;0,H3226&gt;0),G3226/H3226,"")</f>
        <v/>
      </c>
    </row>
    <row r="3227">
      <c r="A3227" s="4" t="inlineStr">
        <is>
          <t>370</t>
        </is>
      </c>
      <c r="B3227" s="4" t="n">
        <v>3</v>
      </c>
      <c r="C3227" s="4" t="inlineStr">
        <is>
          <t>elk</t>
        </is>
      </c>
      <c r="D3227" s="4" t="n">
        <v>2004</v>
      </c>
      <c r="E3227" s="13" t="inlineStr">
        <is>
          <t>General</t>
        </is>
      </c>
      <c r="F3227" s="5" t="n">
        <v>537</v>
      </c>
      <c r="G3227" s="5" t="n">
        <v>3633</v>
      </c>
      <c r="H3227" s="5" t="n">
        <v>69</v>
      </c>
      <c r="I3227" s="5" t="n">
        <v>37</v>
      </c>
      <c r="J3227" s="5" t="n">
        <v>32</v>
      </c>
      <c r="K3227" s="10">
        <f>IF(F3227&gt;0,H3227/F3227,"")</f>
        <v/>
      </c>
      <c r="L3227" s="16">
        <f>IF(AND(G3227&gt;0,H3227&gt;0),G3227/H3227,"")</f>
        <v/>
      </c>
    </row>
    <row r="3228">
      <c r="A3228" s="4" t="inlineStr">
        <is>
          <t>370</t>
        </is>
      </c>
      <c r="B3228" s="4" t="n">
        <v>3</v>
      </c>
      <c r="C3228" s="4" t="inlineStr">
        <is>
          <t>elk</t>
        </is>
      </c>
      <c r="D3228" s="4" t="n">
        <v>2005</v>
      </c>
      <c r="E3228" s="13" t="inlineStr">
        <is>
          <t>General</t>
        </is>
      </c>
      <c r="F3228" s="5" t="n">
        <v>520</v>
      </c>
      <c r="G3228" s="5" t="n">
        <v>3615</v>
      </c>
      <c r="H3228" s="5" t="n">
        <v>95</v>
      </c>
      <c r="I3228" s="5" t="n">
        <v>35</v>
      </c>
      <c r="J3228" s="5" t="n">
        <v>56</v>
      </c>
      <c r="K3228" s="10">
        <f>IF(F3228&gt;0,H3228/F3228,"")</f>
        <v/>
      </c>
      <c r="L3228" s="16">
        <f>IF(AND(G3228&gt;0,H3228&gt;0),G3228/H3228,"")</f>
        <v/>
      </c>
    </row>
    <row r="3229">
      <c r="A3229" s="4" t="inlineStr">
        <is>
          <t>370</t>
        </is>
      </c>
      <c r="B3229" s="4" t="n">
        <v>3</v>
      </c>
      <c r="C3229" s="4" t="inlineStr">
        <is>
          <t>elk</t>
        </is>
      </c>
      <c r="D3229" s="4" t="n">
        <v>2006</v>
      </c>
      <c r="E3229" s="13" t="inlineStr">
        <is>
          <t>General</t>
        </is>
      </c>
      <c r="F3229" s="5" t="n">
        <v>563</v>
      </c>
      <c r="G3229" s="5" t="n">
        <v>3337</v>
      </c>
      <c r="H3229" s="5" t="n">
        <v>123</v>
      </c>
      <c r="I3229" s="5" t="n">
        <v>50</v>
      </c>
      <c r="J3229" s="5" t="n">
        <v>73</v>
      </c>
      <c r="K3229" s="10">
        <f>IF(F3229&gt;0,H3229/F3229,"")</f>
        <v/>
      </c>
      <c r="L3229" s="16">
        <f>IF(AND(G3229&gt;0,H3229&gt;0),G3229/H3229,"")</f>
        <v/>
      </c>
    </row>
    <row r="3230">
      <c r="A3230" s="4" t="inlineStr">
        <is>
          <t>370</t>
        </is>
      </c>
      <c r="B3230" s="4" t="n">
        <v>3</v>
      </c>
      <c r="C3230" s="4" t="inlineStr">
        <is>
          <t>elk</t>
        </is>
      </c>
      <c r="D3230" s="4" t="n">
        <v>2007</v>
      </c>
      <c r="E3230" s="13" t="inlineStr">
        <is>
          <t>General</t>
        </is>
      </c>
      <c r="F3230" s="5" t="n">
        <v>710</v>
      </c>
      <c r="G3230" s="5" t="n">
        <v>4841</v>
      </c>
      <c r="H3230" s="5" t="n">
        <v>109</v>
      </c>
      <c r="I3230" s="5" t="n">
        <v>56</v>
      </c>
      <c r="J3230" s="5" t="n">
        <v>42</v>
      </c>
      <c r="K3230" s="10">
        <f>IF(F3230&gt;0,H3230/F3230,"")</f>
        <v/>
      </c>
      <c r="L3230" s="16">
        <f>IF(AND(G3230&gt;0,H3230&gt;0),G3230/H3230,"")</f>
        <v/>
      </c>
    </row>
    <row r="3231">
      <c r="A3231" s="4" t="inlineStr">
        <is>
          <t>370</t>
        </is>
      </c>
      <c r="B3231" s="4" t="n">
        <v>3</v>
      </c>
      <c r="C3231" s="4" t="inlineStr">
        <is>
          <t>elk</t>
        </is>
      </c>
      <c r="D3231" s="4" t="n">
        <v>2008</v>
      </c>
      <c r="E3231" s="13" t="inlineStr">
        <is>
          <t>General</t>
        </is>
      </c>
      <c r="F3231" s="5" t="n">
        <v>686</v>
      </c>
      <c r="G3231" s="5" t="n">
        <v>4570</v>
      </c>
      <c r="H3231" s="5" t="n">
        <v>92</v>
      </c>
      <c r="I3231" s="5" t="n">
        <v>35</v>
      </c>
      <c r="J3231" s="5" t="n">
        <v>53</v>
      </c>
      <c r="K3231" s="10">
        <f>IF(F3231&gt;0,H3231/F3231,"")</f>
        <v/>
      </c>
      <c r="L3231" s="16">
        <f>IF(AND(G3231&gt;0,H3231&gt;0),G3231/H3231,"")</f>
        <v/>
      </c>
    </row>
    <row r="3232">
      <c r="A3232" s="4" t="inlineStr">
        <is>
          <t>370</t>
        </is>
      </c>
      <c r="B3232" s="4" t="n">
        <v>3</v>
      </c>
      <c r="C3232" s="4" t="inlineStr">
        <is>
          <t>elk</t>
        </is>
      </c>
      <c r="D3232" s="4" t="n">
        <v>2009</v>
      </c>
      <c r="E3232" s="13" t="inlineStr">
        <is>
          <t>General</t>
        </is>
      </c>
      <c r="F3232" s="5" t="n">
        <v>792</v>
      </c>
      <c r="G3232" s="5" t="n">
        <v>5627</v>
      </c>
      <c r="H3232" s="5" t="n">
        <v>112</v>
      </c>
      <c r="I3232" s="5" t="n">
        <v>69</v>
      </c>
      <c r="J3232" s="5" t="n">
        <v>44</v>
      </c>
      <c r="K3232" s="10">
        <f>IF(F3232&gt;0,H3232/F3232,"")</f>
        <v/>
      </c>
      <c r="L3232" s="16">
        <f>IF(AND(G3232&gt;0,H3232&gt;0),G3232/H3232,"")</f>
        <v/>
      </c>
    </row>
    <row r="3233">
      <c r="A3233" s="4" t="inlineStr">
        <is>
          <t>370</t>
        </is>
      </c>
      <c r="B3233" s="4" t="n">
        <v>3</v>
      </c>
      <c r="C3233" s="4" t="inlineStr">
        <is>
          <t>elk</t>
        </is>
      </c>
      <c r="D3233" s="4" t="n">
        <v>2010</v>
      </c>
      <c r="E3233" s="13" t="inlineStr">
        <is>
          <t>General</t>
        </is>
      </c>
      <c r="F3233" s="5" t="n">
        <v>643</v>
      </c>
      <c r="G3233" s="5" t="n">
        <v>4568</v>
      </c>
      <c r="H3233" s="5" t="n">
        <v>101</v>
      </c>
      <c r="I3233" s="5" t="n">
        <v>44</v>
      </c>
      <c r="J3233" s="5" t="n">
        <v>53</v>
      </c>
      <c r="K3233" s="10">
        <f>IF(F3233&gt;0,H3233/F3233,"")</f>
        <v/>
      </c>
      <c r="L3233" s="16">
        <f>IF(AND(G3233&gt;0,H3233&gt;0),G3233/H3233,"")</f>
        <v/>
      </c>
    </row>
    <row r="3234">
      <c r="A3234" s="4" t="inlineStr">
        <is>
          <t>370</t>
        </is>
      </c>
      <c r="B3234" s="4" t="n">
        <v>3</v>
      </c>
      <c r="C3234" s="4" t="inlineStr">
        <is>
          <t>elk</t>
        </is>
      </c>
      <c r="D3234" s="4" t="n">
        <v>2011</v>
      </c>
      <c r="E3234" s="13" t="inlineStr">
        <is>
          <t>General</t>
        </is>
      </c>
      <c r="F3234" s="5" t="n">
        <v>723</v>
      </c>
      <c r="G3234" s="5" t="n">
        <v>5106</v>
      </c>
      <c r="H3234" s="5" t="n">
        <v>101</v>
      </c>
      <c r="I3234" s="5" t="n">
        <v>37</v>
      </c>
      <c r="J3234" s="5" t="n">
        <v>59</v>
      </c>
      <c r="K3234" s="10">
        <f>IF(F3234&gt;0,H3234/F3234,"")</f>
        <v/>
      </c>
      <c r="L3234" s="16">
        <f>IF(AND(G3234&gt;0,H3234&gt;0),G3234/H3234,"")</f>
        <v/>
      </c>
    </row>
    <row r="3235">
      <c r="A3235" s="4" t="inlineStr">
        <is>
          <t>370</t>
        </is>
      </c>
      <c r="B3235" s="4" t="n">
        <v>3</v>
      </c>
      <c r="C3235" s="4" t="inlineStr">
        <is>
          <t>elk</t>
        </is>
      </c>
      <c r="D3235" s="4" t="n">
        <v>2012</v>
      </c>
      <c r="E3235" s="13" t="inlineStr">
        <is>
          <t>General</t>
        </is>
      </c>
      <c r="F3235" s="5" t="n">
        <v>843</v>
      </c>
      <c r="G3235" s="5" t="n">
        <v>6506</v>
      </c>
      <c r="H3235" s="5" t="n">
        <v>123</v>
      </c>
      <c r="I3235" s="5" t="n">
        <v>64</v>
      </c>
      <c r="J3235" s="5" t="n">
        <v>55</v>
      </c>
      <c r="K3235" s="10">
        <f>IF(F3235&gt;0,H3235/F3235,"")</f>
        <v/>
      </c>
      <c r="L3235" s="16">
        <f>IF(AND(G3235&gt;0,H3235&gt;0),G3235/H3235,"")</f>
        <v/>
      </c>
    </row>
    <row r="3236">
      <c r="A3236" s="4" t="inlineStr">
        <is>
          <t>370</t>
        </is>
      </c>
      <c r="B3236" s="4" t="n">
        <v>3</v>
      </c>
      <c r="C3236" s="4" t="inlineStr">
        <is>
          <t>elk</t>
        </is>
      </c>
      <c r="D3236" s="4" t="n">
        <v>2013</v>
      </c>
      <c r="E3236" s="13" t="inlineStr">
        <is>
          <t>General</t>
        </is>
      </c>
      <c r="F3236" s="5" t="n"/>
      <c r="G3236" s="5" t="n"/>
      <c r="H3236" s="5" t="n">
        <v>93</v>
      </c>
      <c r="I3236" s="5" t="n">
        <v>45</v>
      </c>
      <c r="J3236" s="5" t="n">
        <v>49</v>
      </c>
      <c r="K3236" s="10">
        <f>IF(F3236&gt;0,H3236/F3236,"")</f>
        <v/>
      </c>
      <c r="L3236" s="16">
        <f>IF(AND(G3236&gt;0,H3236&gt;0),G3236/H3236,"")</f>
        <v/>
      </c>
    </row>
    <row r="3237">
      <c r="A3237" s="4" t="inlineStr">
        <is>
          <t>370</t>
        </is>
      </c>
      <c r="B3237" s="4" t="n">
        <v>3</v>
      </c>
      <c r="C3237" s="4" t="inlineStr">
        <is>
          <t>elk</t>
        </is>
      </c>
      <c r="D3237" s="4" t="n">
        <v>2014</v>
      </c>
      <c r="E3237" s="13" t="inlineStr">
        <is>
          <t>General</t>
        </is>
      </c>
      <c r="F3237" s="5" t="n">
        <v>953</v>
      </c>
      <c r="G3237" s="5" t="n">
        <v>7045</v>
      </c>
      <c r="H3237" s="5" t="n">
        <v>158</v>
      </c>
      <c r="I3237" s="5" t="n">
        <v>104</v>
      </c>
      <c r="J3237" s="5" t="n">
        <v>51</v>
      </c>
      <c r="K3237" s="10">
        <f>IF(F3237&gt;0,H3237/F3237,"")</f>
        <v/>
      </c>
      <c r="L3237" s="16">
        <f>IF(AND(G3237&gt;0,H3237&gt;0),G3237/H3237,"")</f>
        <v/>
      </c>
    </row>
    <row r="3238">
      <c r="A3238" s="4" t="inlineStr">
        <is>
          <t>370</t>
        </is>
      </c>
      <c r="B3238" s="4" t="n">
        <v>3</v>
      </c>
      <c r="C3238" s="4" t="inlineStr">
        <is>
          <t>elk</t>
        </is>
      </c>
      <c r="D3238" s="4" t="n">
        <v>2015</v>
      </c>
      <c r="E3238" s="13" t="inlineStr">
        <is>
          <t>General</t>
        </is>
      </c>
      <c r="F3238" s="5" t="n">
        <v>889</v>
      </c>
      <c r="G3238" s="5" t="n">
        <v>6534</v>
      </c>
      <c r="H3238" s="5" t="n">
        <v>141</v>
      </c>
      <c r="I3238" s="5" t="n">
        <v>82</v>
      </c>
      <c r="J3238" s="5" t="n">
        <v>56</v>
      </c>
      <c r="K3238" s="10">
        <f>IF(F3238&gt;0,H3238/F3238,"")</f>
        <v/>
      </c>
      <c r="L3238" s="16">
        <f>IF(AND(G3238&gt;0,H3238&gt;0),G3238/H3238,"")</f>
        <v/>
      </c>
    </row>
    <row r="3239">
      <c r="A3239" s="4" t="inlineStr">
        <is>
          <t>370</t>
        </is>
      </c>
      <c r="B3239" s="4" t="n">
        <v>3</v>
      </c>
      <c r="C3239" s="4" t="inlineStr">
        <is>
          <t>elk</t>
        </is>
      </c>
      <c r="D3239" s="4" t="n">
        <v>2016</v>
      </c>
      <c r="E3239" s="13" t="inlineStr">
        <is>
          <t>General</t>
        </is>
      </c>
      <c r="F3239" s="5" t="n">
        <v>937</v>
      </c>
      <c r="G3239" s="5" t="n">
        <v>6481</v>
      </c>
      <c r="H3239" s="5" t="n">
        <v>96</v>
      </c>
      <c r="I3239" s="5" t="n">
        <v>25</v>
      </c>
      <c r="J3239" s="5" t="n">
        <v>62</v>
      </c>
      <c r="K3239" s="10">
        <f>IF(F3239&gt;0,H3239/F3239,"")</f>
        <v/>
      </c>
      <c r="L3239" s="16">
        <f>IF(AND(G3239&gt;0,H3239&gt;0),G3239/H3239,"")</f>
        <v/>
      </c>
    </row>
    <row r="3240">
      <c r="A3240" s="4" t="inlineStr">
        <is>
          <t>370</t>
        </is>
      </c>
      <c r="B3240" s="4" t="n">
        <v>3</v>
      </c>
      <c r="C3240" s="4" t="inlineStr">
        <is>
          <t>elk</t>
        </is>
      </c>
      <c r="D3240" s="4" t="n">
        <v>2017</v>
      </c>
      <c r="E3240" s="13" t="inlineStr">
        <is>
          <t>General</t>
        </is>
      </c>
      <c r="F3240" s="5" t="n"/>
      <c r="G3240" s="5" t="n"/>
      <c r="H3240" s="5" t="n">
        <v>186</v>
      </c>
      <c r="I3240" s="5" t="n">
        <v>51</v>
      </c>
      <c r="J3240" s="5" t="n">
        <v>131</v>
      </c>
      <c r="K3240" s="10">
        <f>IF(F3240&gt;0,H3240/F3240,"")</f>
        <v/>
      </c>
      <c r="L3240" s="16">
        <f>IF(AND(G3240&gt;0,H3240&gt;0),G3240/H3240,"")</f>
        <v/>
      </c>
    </row>
    <row r="3241">
      <c r="A3241" s="4" t="inlineStr">
        <is>
          <t>370</t>
        </is>
      </c>
      <c r="B3241" s="4" t="n">
        <v>3</v>
      </c>
      <c r="C3241" s="4" t="inlineStr">
        <is>
          <t>elk</t>
        </is>
      </c>
      <c r="D3241" s="4" t="n">
        <v>2018</v>
      </c>
      <c r="E3241" s="13" t="inlineStr">
        <is>
          <t>General</t>
        </is>
      </c>
      <c r="F3241" s="5" t="n">
        <v>812</v>
      </c>
      <c r="G3241" s="5" t="n">
        <v>5172</v>
      </c>
      <c r="H3241" s="5" t="n">
        <v>105</v>
      </c>
      <c r="I3241" s="5" t="n">
        <v>49</v>
      </c>
      <c r="J3241" s="5" t="n">
        <v>50</v>
      </c>
      <c r="K3241" s="10">
        <f>IF(F3241&gt;0,H3241/F3241,"")</f>
        <v/>
      </c>
      <c r="L3241" s="16">
        <f>IF(AND(G3241&gt;0,H3241&gt;0),G3241/H3241,"")</f>
        <v/>
      </c>
    </row>
    <row r="3242">
      <c r="A3242" s="4" t="inlineStr">
        <is>
          <t>370</t>
        </is>
      </c>
      <c r="B3242" s="4" t="n">
        <v>3</v>
      </c>
      <c r="C3242" s="4" t="inlineStr">
        <is>
          <t>elk</t>
        </is>
      </c>
      <c r="D3242" s="4" t="n">
        <v>2019</v>
      </c>
      <c r="E3242" s="13" t="inlineStr">
        <is>
          <t>General</t>
        </is>
      </c>
      <c r="F3242" s="5" t="n"/>
      <c r="G3242" s="5" t="n"/>
      <c r="H3242" s="5" t="n">
        <v>108</v>
      </c>
      <c r="I3242" s="5" t="n">
        <v>42</v>
      </c>
      <c r="J3242" s="5" t="n">
        <v>67</v>
      </c>
      <c r="K3242" s="10">
        <f>IF(F3242&gt;0,H3242/F3242,"")</f>
        <v/>
      </c>
      <c r="L3242" s="16">
        <f>IF(AND(G3242&gt;0,H3242&gt;0),G3242/H3242,"")</f>
        <v/>
      </c>
    </row>
    <row r="3243">
      <c r="A3243" s="4" t="inlineStr">
        <is>
          <t>370</t>
        </is>
      </c>
      <c r="B3243" s="4" t="n">
        <v>3</v>
      </c>
      <c r="C3243" s="4" t="inlineStr">
        <is>
          <t>elk</t>
        </is>
      </c>
      <c r="D3243" s="4" t="n">
        <v>2020</v>
      </c>
      <c r="E3243" s="13" t="inlineStr">
        <is>
          <t>General</t>
        </is>
      </c>
      <c r="F3243" s="5" t="n">
        <v>667</v>
      </c>
      <c r="G3243" s="5" t="n">
        <v>4278</v>
      </c>
      <c r="H3243" s="5" t="n">
        <v>120</v>
      </c>
      <c r="I3243" s="5" t="n">
        <v>58</v>
      </c>
      <c r="J3243" s="5" t="n">
        <v>61</v>
      </c>
      <c r="K3243" s="10">
        <f>IF(F3243&gt;0,H3243/F3243,"")</f>
        <v/>
      </c>
      <c r="L3243" s="16">
        <f>IF(AND(G3243&gt;0,H3243&gt;0),G3243/H3243,"")</f>
        <v/>
      </c>
    </row>
    <row r="3244">
      <c r="A3244" s="4" t="inlineStr">
        <is>
          <t>370</t>
        </is>
      </c>
      <c r="B3244" s="4" t="n">
        <v>3</v>
      </c>
      <c r="C3244" s="4" t="inlineStr">
        <is>
          <t>elk</t>
        </is>
      </c>
      <c r="D3244" s="4" t="n">
        <v>2021</v>
      </c>
      <c r="E3244" s="13" t="inlineStr">
        <is>
          <t>General</t>
        </is>
      </c>
      <c r="F3244" s="5" t="n"/>
      <c r="G3244" s="5" t="n"/>
      <c r="H3244" s="5" t="n">
        <v>60</v>
      </c>
      <c r="I3244" s="5" t="n">
        <v>30</v>
      </c>
      <c r="J3244" s="5" t="n">
        <v>30</v>
      </c>
      <c r="K3244" s="10">
        <f>IF(F3244&gt;0,H3244/F3244,"")</f>
        <v/>
      </c>
      <c r="L3244" s="16">
        <f>IF(AND(G3244&gt;0,H3244&gt;0),G3244/H3244,"")</f>
        <v/>
      </c>
    </row>
    <row r="3245">
      <c r="A3245" s="4" t="inlineStr">
        <is>
          <t>370</t>
        </is>
      </c>
      <c r="B3245" s="4" t="n">
        <v>3</v>
      </c>
      <c r="C3245" s="4" t="inlineStr">
        <is>
          <t>elk</t>
        </is>
      </c>
      <c r="D3245" s="4" t="n">
        <v>2022</v>
      </c>
      <c r="E3245" s="13" t="inlineStr">
        <is>
          <t>General</t>
        </is>
      </c>
      <c r="F3245" s="5" t="n">
        <v>542</v>
      </c>
      <c r="G3245" s="5" t="n">
        <v>3670</v>
      </c>
      <c r="H3245" s="5" t="n">
        <v>88</v>
      </c>
      <c r="I3245" s="5" t="n">
        <v>49</v>
      </c>
      <c r="J3245" s="5" t="n">
        <v>36</v>
      </c>
      <c r="K3245" s="10">
        <f>IF(F3245&gt;0,H3245/F3245,"")</f>
        <v/>
      </c>
      <c r="L3245" s="16">
        <f>IF(AND(G3245&gt;0,H3245&gt;0),G3245/H3245,"")</f>
        <v/>
      </c>
    </row>
    <row r="3246">
      <c r="A3246" s="4" t="inlineStr">
        <is>
          <t>370</t>
        </is>
      </c>
      <c r="B3246" s="4" t="n">
        <v>3</v>
      </c>
      <c r="C3246" s="4" t="inlineStr">
        <is>
          <t>elk</t>
        </is>
      </c>
      <c r="D3246" s="4" t="n">
        <v>2023</v>
      </c>
      <c r="E3246" s="13" t="inlineStr">
        <is>
          <t>General</t>
        </is>
      </c>
      <c r="F3246" s="5" t="n"/>
      <c r="G3246" s="5" t="n"/>
      <c r="H3246" s="5" t="n">
        <v>86</v>
      </c>
      <c r="I3246" s="5" t="n">
        <v>49</v>
      </c>
      <c r="J3246" s="5" t="n">
        <v>33</v>
      </c>
      <c r="K3246" s="10">
        <f>IF(F3246&gt;0,H3246/F3246,"")</f>
        <v/>
      </c>
      <c r="L3246" s="16">
        <f>IF(AND(G3246&gt;0,H3246&gt;0),G3246/H3246,"")</f>
        <v/>
      </c>
    </row>
    <row r="3247">
      <c r="A3247" s="4" t="inlineStr">
        <is>
          <t>370</t>
        </is>
      </c>
      <c r="B3247" s="4" t="n">
        <v>3</v>
      </c>
      <c r="C3247" s="4" t="inlineStr">
        <is>
          <t>elk</t>
        </is>
      </c>
      <c r="D3247" s="4" t="n">
        <v>2024</v>
      </c>
      <c r="E3247" s="13" t="inlineStr">
        <is>
          <t>General</t>
        </is>
      </c>
      <c r="F3247" s="5" t="n">
        <v>629</v>
      </c>
      <c r="G3247" s="5" t="n">
        <v>4650</v>
      </c>
      <c r="H3247" s="5" t="n">
        <v>80</v>
      </c>
      <c r="I3247" s="5" t="n">
        <v>29</v>
      </c>
      <c r="J3247" s="5" t="n">
        <v>51</v>
      </c>
      <c r="K3247" s="10">
        <f>IF(F3247&gt;0,H3247/F3247,"")</f>
        <v/>
      </c>
      <c r="L3247" s="16">
        <f>IF(AND(G3247&gt;0,H3247&gt;0),G3247/H3247,"")</f>
        <v/>
      </c>
    </row>
    <row r="3248">
      <c r="A3248" s="4" t="inlineStr">
        <is>
          <t>370</t>
        </is>
      </c>
      <c r="B3248" s="4" t="n">
        <v>3</v>
      </c>
      <c r="C3248" s="4" t="inlineStr">
        <is>
          <t>elk</t>
        </is>
      </c>
      <c r="D3248" s="4" t="n">
        <v>2025</v>
      </c>
      <c r="E3248" s="13" t="inlineStr">
        <is>
          <t>General</t>
        </is>
      </c>
      <c r="F3248" s="5" t="n"/>
      <c r="G3248" s="5" t="n"/>
      <c r="H3248" s="5" t="n">
        <v>103</v>
      </c>
      <c r="I3248" s="5" t="n">
        <v>52</v>
      </c>
      <c r="J3248" s="5" t="n">
        <v>49</v>
      </c>
      <c r="K3248" s="10">
        <f>IF(F3248&gt;0,H3248/F3248,"")</f>
        <v/>
      </c>
      <c r="L3248" s="16">
        <f>IF(AND(G3248&gt;0,H3248&gt;0),G3248/H3248,"")</f>
        <v/>
      </c>
    </row>
    <row r="3249">
      <c r="A3249" s="4" t="inlineStr">
        <is>
          <t>380</t>
        </is>
      </c>
      <c r="B3249" s="4" t="n">
        <v>3</v>
      </c>
      <c r="C3249" s="4" t="inlineStr">
        <is>
          <t>elk</t>
        </is>
      </c>
      <c r="D3249" s="4" t="n">
        <v>2004</v>
      </c>
      <c r="E3249" s="13" t="inlineStr">
        <is>
          <t>General</t>
        </is>
      </c>
      <c r="F3249" s="5" t="n">
        <v>2532</v>
      </c>
      <c r="G3249" s="5" t="n">
        <v>18478</v>
      </c>
      <c r="H3249" s="5" t="n">
        <v>405</v>
      </c>
      <c r="I3249" s="5" t="n">
        <v>252</v>
      </c>
      <c r="J3249" s="5" t="n">
        <v>136</v>
      </c>
      <c r="K3249" s="10">
        <f>IF(F3249&gt;0,H3249/F3249,"")</f>
        <v/>
      </c>
      <c r="L3249" s="16">
        <f>IF(AND(G3249&gt;0,H3249&gt;0),G3249/H3249,"")</f>
        <v/>
      </c>
    </row>
    <row r="3250">
      <c r="A3250" s="4" t="inlineStr">
        <is>
          <t>380</t>
        </is>
      </c>
      <c r="B3250" s="4" t="n">
        <v>3</v>
      </c>
      <c r="C3250" s="4" t="inlineStr">
        <is>
          <t>elk</t>
        </is>
      </c>
      <c r="D3250" s="4" t="n">
        <v>2005</v>
      </c>
      <c r="E3250" s="13" t="inlineStr">
        <is>
          <t>General</t>
        </is>
      </c>
      <c r="F3250" s="5" t="n">
        <v>2642</v>
      </c>
      <c r="G3250" s="5" t="n">
        <v>17384</v>
      </c>
      <c r="H3250" s="5" t="n">
        <v>552</v>
      </c>
      <c r="I3250" s="5" t="n">
        <v>299</v>
      </c>
      <c r="J3250" s="5" t="n">
        <v>236</v>
      </c>
      <c r="K3250" s="10">
        <f>IF(F3250&gt;0,H3250/F3250,"")</f>
        <v/>
      </c>
      <c r="L3250" s="16">
        <f>IF(AND(G3250&gt;0,H3250&gt;0),G3250/H3250,"")</f>
        <v/>
      </c>
    </row>
    <row r="3251">
      <c r="A3251" s="4" t="inlineStr">
        <is>
          <t>380</t>
        </is>
      </c>
      <c r="B3251" s="4" t="n">
        <v>3</v>
      </c>
      <c r="C3251" s="4" t="inlineStr">
        <is>
          <t>elk</t>
        </is>
      </c>
      <c r="D3251" s="4" t="n">
        <v>2006</v>
      </c>
      <c r="E3251" s="13" t="inlineStr">
        <is>
          <t>General</t>
        </is>
      </c>
      <c r="F3251" s="5" t="n">
        <v>3177</v>
      </c>
      <c r="G3251" s="5" t="n">
        <v>20887</v>
      </c>
      <c r="H3251" s="5" t="n">
        <v>737</v>
      </c>
      <c r="I3251" s="5" t="n">
        <v>357</v>
      </c>
      <c r="J3251" s="5" t="n">
        <v>330</v>
      </c>
      <c r="K3251" s="10">
        <f>IF(F3251&gt;0,H3251/F3251,"")</f>
        <v/>
      </c>
      <c r="L3251" s="16">
        <f>IF(AND(G3251&gt;0,H3251&gt;0),G3251/H3251,"")</f>
        <v/>
      </c>
    </row>
    <row r="3252">
      <c r="A3252" s="4" t="inlineStr">
        <is>
          <t>380</t>
        </is>
      </c>
      <c r="B3252" s="4" t="n">
        <v>3</v>
      </c>
      <c r="C3252" s="4" t="inlineStr">
        <is>
          <t>elk</t>
        </is>
      </c>
      <c r="D3252" s="4" t="n">
        <v>2007</v>
      </c>
      <c r="E3252" s="13" t="inlineStr">
        <is>
          <t>General</t>
        </is>
      </c>
      <c r="F3252" s="5" t="n">
        <v>3130</v>
      </c>
      <c r="G3252" s="5" t="n">
        <v>22767</v>
      </c>
      <c r="H3252" s="5" t="n">
        <v>762</v>
      </c>
      <c r="I3252" s="5" t="n">
        <v>420</v>
      </c>
      <c r="J3252" s="5" t="n">
        <v>324</v>
      </c>
      <c r="K3252" s="10">
        <f>IF(F3252&gt;0,H3252/F3252,"")</f>
        <v/>
      </c>
      <c r="L3252" s="16">
        <f>IF(AND(G3252&gt;0,H3252&gt;0),G3252/H3252,"")</f>
        <v/>
      </c>
    </row>
    <row r="3253">
      <c r="A3253" s="4" t="inlineStr">
        <is>
          <t>380</t>
        </is>
      </c>
      <c r="B3253" s="4" t="n">
        <v>3</v>
      </c>
      <c r="C3253" s="4" t="inlineStr">
        <is>
          <t>elk</t>
        </is>
      </c>
      <c r="D3253" s="4" t="n">
        <v>2008</v>
      </c>
      <c r="E3253" s="13" t="inlineStr">
        <is>
          <t>General</t>
        </is>
      </c>
      <c r="F3253" s="5" t="n">
        <v>3265</v>
      </c>
      <c r="G3253" s="5" t="n">
        <v>25161</v>
      </c>
      <c r="H3253" s="5" t="n">
        <v>502</v>
      </c>
      <c r="I3253" s="5" t="n">
        <v>240</v>
      </c>
      <c r="J3253" s="5" t="n">
        <v>236</v>
      </c>
      <c r="K3253" s="10">
        <f>IF(F3253&gt;0,H3253/F3253,"")</f>
        <v/>
      </c>
      <c r="L3253" s="16">
        <f>IF(AND(G3253&gt;0,H3253&gt;0),G3253/H3253,"")</f>
        <v/>
      </c>
    </row>
    <row r="3254">
      <c r="A3254" s="4" t="inlineStr">
        <is>
          <t>380</t>
        </is>
      </c>
      <c r="B3254" s="4" t="n">
        <v>3</v>
      </c>
      <c r="C3254" s="4" t="inlineStr">
        <is>
          <t>elk</t>
        </is>
      </c>
      <c r="D3254" s="4" t="n">
        <v>2009</v>
      </c>
      <c r="E3254" s="13" t="inlineStr">
        <is>
          <t>General</t>
        </is>
      </c>
      <c r="F3254" s="5" t="n">
        <v>3617</v>
      </c>
      <c r="G3254" s="5" t="n">
        <v>26379</v>
      </c>
      <c r="H3254" s="5" t="n">
        <v>638</v>
      </c>
      <c r="I3254" s="5" t="n">
        <v>282</v>
      </c>
      <c r="J3254" s="5" t="n">
        <v>315</v>
      </c>
      <c r="K3254" s="10">
        <f>IF(F3254&gt;0,H3254/F3254,"")</f>
        <v/>
      </c>
      <c r="L3254" s="16">
        <f>IF(AND(G3254&gt;0,H3254&gt;0),G3254/H3254,"")</f>
        <v/>
      </c>
    </row>
    <row r="3255">
      <c r="A3255" s="4" t="inlineStr">
        <is>
          <t>380</t>
        </is>
      </c>
      <c r="B3255" s="4" t="n">
        <v>3</v>
      </c>
      <c r="C3255" s="4" t="inlineStr">
        <is>
          <t>elk</t>
        </is>
      </c>
      <c r="D3255" s="4" t="n">
        <v>2010</v>
      </c>
      <c r="E3255" s="13" t="inlineStr">
        <is>
          <t>General</t>
        </is>
      </c>
      <c r="F3255" s="5" t="n">
        <v>3559</v>
      </c>
      <c r="G3255" s="5" t="n">
        <v>26178</v>
      </c>
      <c r="H3255" s="5" t="n">
        <v>738</v>
      </c>
      <c r="I3255" s="5" t="n">
        <v>312</v>
      </c>
      <c r="J3255" s="5" t="n">
        <v>398</v>
      </c>
      <c r="K3255" s="10">
        <f>IF(F3255&gt;0,H3255/F3255,"")</f>
        <v/>
      </c>
      <c r="L3255" s="16">
        <f>IF(AND(G3255&gt;0,H3255&gt;0),G3255/H3255,"")</f>
        <v/>
      </c>
    </row>
    <row r="3256">
      <c r="A3256" s="4" t="inlineStr">
        <is>
          <t>380</t>
        </is>
      </c>
      <c r="B3256" s="4" t="n">
        <v>3</v>
      </c>
      <c r="C3256" s="4" t="inlineStr">
        <is>
          <t>elk</t>
        </is>
      </c>
      <c r="D3256" s="4" t="n">
        <v>2011</v>
      </c>
      <c r="E3256" s="13" t="inlineStr">
        <is>
          <t>General</t>
        </is>
      </c>
      <c r="F3256" s="5" t="n">
        <v>3371</v>
      </c>
      <c r="G3256" s="5" t="n">
        <v>24427</v>
      </c>
      <c r="H3256" s="5" t="n">
        <v>546</v>
      </c>
      <c r="I3256" s="5" t="n">
        <v>267</v>
      </c>
      <c r="J3256" s="5" t="n">
        <v>267</v>
      </c>
      <c r="K3256" s="10">
        <f>IF(F3256&gt;0,H3256/F3256,"")</f>
        <v/>
      </c>
      <c r="L3256" s="16">
        <f>IF(AND(G3256&gt;0,H3256&gt;0),G3256/H3256,"")</f>
        <v/>
      </c>
    </row>
    <row r="3257">
      <c r="A3257" s="4" t="inlineStr">
        <is>
          <t>380</t>
        </is>
      </c>
      <c r="B3257" s="4" t="n">
        <v>3</v>
      </c>
      <c r="C3257" s="4" t="inlineStr">
        <is>
          <t>elk</t>
        </is>
      </c>
      <c r="D3257" s="4" t="n">
        <v>2012</v>
      </c>
      <c r="E3257" s="13" t="inlineStr">
        <is>
          <t>General</t>
        </is>
      </c>
      <c r="F3257" s="5" t="n">
        <v>3396</v>
      </c>
      <c r="G3257" s="5" t="n">
        <v>24420</v>
      </c>
      <c r="H3257" s="5" t="n">
        <v>489</v>
      </c>
      <c r="I3257" s="5" t="n">
        <v>267</v>
      </c>
      <c r="J3257" s="5" t="n">
        <v>200</v>
      </c>
      <c r="K3257" s="10">
        <f>IF(F3257&gt;0,H3257/F3257,"")</f>
        <v/>
      </c>
      <c r="L3257" s="16">
        <f>IF(AND(G3257&gt;0,H3257&gt;0),G3257/H3257,"")</f>
        <v/>
      </c>
    </row>
    <row r="3258">
      <c r="A3258" s="4" t="inlineStr">
        <is>
          <t>380</t>
        </is>
      </c>
      <c r="B3258" s="4" t="n">
        <v>3</v>
      </c>
      <c r="C3258" s="4" t="inlineStr">
        <is>
          <t>elk</t>
        </is>
      </c>
      <c r="D3258" s="4" t="n">
        <v>2013</v>
      </c>
      <c r="E3258" s="13" t="inlineStr">
        <is>
          <t>General</t>
        </is>
      </c>
      <c r="F3258" s="5" t="n"/>
      <c r="G3258" s="5" t="n"/>
      <c r="H3258" s="5" t="n">
        <v>487</v>
      </c>
      <c r="I3258" s="5" t="n">
        <v>248</v>
      </c>
      <c r="J3258" s="5" t="n">
        <v>228</v>
      </c>
      <c r="K3258" s="10">
        <f>IF(F3258&gt;0,H3258/F3258,"")</f>
        <v/>
      </c>
      <c r="L3258" s="16">
        <f>IF(AND(G3258&gt;0,H3258&gt;0),G3258/H3258,"")</f>
        <v/>
      </c>
    </row>
    <row r="3259">
      <c r="A3259" s="4" t="inlineStr">
        <is>
          <t>380</t>
        </is>
      </c>
      <c r="B3259" s="4" t="n">
        <v>3</v>
      </c>
      <c r="C3259" s="4" t="inlineStr">
        <is>
          <t>elk</t>
        </is>
      </c>
      <c r="D3259" s="4" t="n">
        <v>2014</v>
      </c>
      <c r="E3259" s="13" t="inlineStr">
        <is>
          <t>General</t>
        </is>
      </c>
      <c r="F3259" s="5" t="n">
        <v>3862</v>
      </c>
      <c r="G3259" s="5" t="n">
        <v>27647</v>
      </c>
      <c r="H3259" s="5" t="n">
        <v>711</v>
      </c>
      <c r="I3259" s="5" t="n">
        <v>345</v>
      </c>
      <c r="J3259" s="5" t="n">
        <v>330</v>
      </c>
      <c r="K3259" s="10">
        <f>IF(F3259&gt;0,H3259/F3259,"")</f>
        <v/>
      </c>
      <c r="L3259" s="16">
        <f>IF(AND(G3259&gt;0,H3259&gt;0),G3259/H3259,"")</f>
        <v/>
      </c>
    </row>
    <row r="3260">
      <c r="A3260" s="4" t="inlineStr">
        <is>
          <t>380</t>
        </is>
      </c>
      <c r="B3260" s="4" t="n">
        <v>3</v>
      </c>
      <c r="C3260" s="4" t="inlineStr">
        <is>
          <t>elk</t>
        </is>
      </c>
      <c r="D3260" s="4" t="n">
        <v>2015</v>
      </c>
      <c r="E3260" s="13" t="inlineStr">
        <is>
          <t>General</t>
        </is>
      </c>
      <c r="F3260" s="5" t="n">
        <v>3936</v>
      </c>
      <c r="G3260" s="5" t="n">
        <v>31786</v>
      </c>
      <c r="H3260" s="5" t="n">
        <v>716</v>
      </c>
      <c r="I3260" s="5" t="n">
        <v>342</v>
      </c>
      <c r="J3260" s="5" t="n">
        <v>347</v>
      </c>
      <c r="K3260" s="10">
        <f>IF(F3260&gt;0,H3260/F3260,"")</f>
        <v/>
      </c>
      <c r="L3260" s="16">
        <f>IF(AND(G3260&gt;0,H3260&gt;0),G3260/H3260,"")</f>
        <v/>
      </c>
    </row>
    <row r="3261">
      <c r="A3261" s="4" t="inlineStr">
        <is>
          <t>380</t>
        </is>
      </c>
      <c r="B3261" s="4" t="n">
        <v>3</v>
      </c>
      <c r="C3261" s="4" t="inlineStr">
        <is>
          <t>elk</t>
        </is>
      </c>
      <c r="D3261" s="4" t="n">
        <v>2016</v>
      </c>
      <c r="E3261" s="13" t="inlineStr">
        <is>
          <t>General</t>
        </is>
      </c>
      <c r="F3261" s="5" t="n">
        <v>3462</v>
      </c>
      <c r="G3261" s="5" t="n">
        <v>27737</v>
      </c>
      <c r="H3261" s="5" t="n">
        <v>452</v>
      </c>
      <c r="I3261" s="5" t="n">
        <v>219</v>
      </c>
      <c r="J3261" s="5" t="n">
        <v>209</v>
      </c>
      <c r="K3261" s="10">
        <f>IF(F3261&gt;0,H3261/F3261,"")</f>
        <v/>
      </c>
      <c r="L3261" s="16">
        <f>IF(AND(G3261&gt;0,H3261&gt;0),G3261/H3261,"")</f>
        <v/>
      </c>
    </row>
    <row r="3262">
      <c r="A3262" s="4" t="inlineStr">
        <is>
          <t>380</t>
        </is>
      </c>
      <c r="B3262" s="4" t="n">
        <v>3</v>
      </c>
      <c r="C3262" s="4" t="inlineStr">
        <is>
          <t>elk</t>
        </is>
      </c>
      <c r="D3262" s="4" t="n">
        <v>2017</v>
      </c>
      <c r="E3262" s="13" t="inlineStr">
        <is>
          <t>General</t>
        </is>
      </c>
      <c r="F3262" s="5" t="n"/>
      <c r="G3262" s="5" t="n"/>
      <c r="H3262" s="5" t="n">
        <v>808</v>
      </c>
      <c r="I3262" s="5" t="n">
        <v>368</v>
      </c>
      <c r="J3262" s="5" t="n">
        <v>394</v>
      </c>
      <c r="K3262" s="10">
        <f>IF(F3262&gt;0,H3262/F3262,"")</f>
        <v/>
      </c>
      <c r="L3262" s="16">
        <f>IF(AND(G3262&gt;0,H3262&gt;0),G3262/H3262,"")</f>
        <v/>
      </c>
    </row>
    <row r="3263">
      <c r="A3263" s="4" t="inlineStr">
        <is>
          <t>380</t>
        </is>
      </c>
      <c r="B3263" s="4" t="n">
        <v>3</v>
      </c>
      <c r="C3263" s="4" t="inlineStr">
        <is>
          <t>elk</t>
        </is>
      </c>
      <c r="D3263" s="4" t="n">
        <v>2018</v>
      </c>
      <c r="E3263" s="13" t="inlineStr">
        <is>
          <t>General</t>
        </is>
      </c>
      <c r="F3263" s="5" t="n">
        <v>3443</v>
      </c>
      <c r="G3263" s="5" t="n">
        <v>25945</v>
      </c>
      <c r="H3263" s="5" t="n">
        <v>644</v>
      </c>
      <c r="I3263" s="5" t="n">
        <v>281</v>
      </c>
      <c r="J3263" s="5" t="n">
        <v>333</v>
      </c>
      <c r="K3263" s="10">
        <f>IF(F3263&gt;0,H3263/F3263,"")</f>
        <v/>
      </c>
      <c r="L3263" s="16">
        <f>IF(AND(G3263&gt;0,H3263&gt;0),G3263/H3263,"")</f>
        <v/>
      </c>
    </row>
    <row r="3264">
      <c r="A3264" s="4" t="inlineStr">
        <is>
          <t>380</t>
        </is>
      </c>
      <c r="B3264" s="4" t="n">
        <v>3</v>
      </c>
      <c r="C3264" s="4" t="inlineStr">
        <is>
          <t>elk</t>
        </is>
      </c>
      <c r="D3264" s="4" t="n">
        <v>2019</v>
      </c>
      <c r="E3264" s="13" t="inlineStr">
        <is>
          <t>General</t>
        </is>
      </c>
      <c r="F3264" s="5" t="n"/>
      <c r="G3264" s="5" t="n"/>
      <c r="H3264" s="5" t="n">
        <v>725</v>
      </c>
      <c r="I3264" s="5" t="n">
        <v>320</v>
      </c>
      <c r="J3264" s="5" t="n">
        <v>380</v>
      </c>
      <c r="K3264" s="10">
        <f>IF(F3264&gt;0,H3264/F3264,"")</f>
        <v/>
      </c>
      <c r="L3264" s="16">
        <f>IF(AND(G3264&gt;0,H3264&gt;0),G3264/H3264,"")</f>
        <v/>
      </c>
    </row>
    <row r="3265">
      <c r="A3265" s="4" t="inlineStr">
        <is>
          <t>380</t>
        </is>
      </c>
      <c r="B3265" s="4" t="n">
        <v>3</v>
      </c>
      <c r="C3265" s="4" t="inlineStr">
        <is>
          <t>elk</t>
        </is>
      </c>
      <c r="D3265" s="4" t="n">
        <v>2020</v>
      </c>
      <c r="E3265" s="13" t="inlineStr">
        <is>
          <t>General</t>
        </is>
      </c>
      <c r="F3265" s="5" t="n">
        <v>3253</v>
      </c>
      <c r="G3265" s="5" t="n">
        <v>25232</v>
      </c>
      <c r="H3265" s="5" t="n">
        <v>795</v>
      </c>
      <c r="I3265" s="5" t="n">
        <v>327</v>
      </c>
      <c r="J3265" s="5" t="n">
        <v>426</v>
      </c>
      <c r="K3265" s="10">
        <f>IF(F3265&gt;0,H3265/F3265,"")</f>
        <v/>
      </c>
      <c r="L3265" s="16">
        <f>IF(AND(G3265&gt;0,H3265&gt;0),G3265/H3265,"")</f>
        <v/>
      </c>
    </row>
    <row r="3266">
      <c r="A3266" s="4" t="inlineStr">
        <is>
          <t>380</t>
        </is>
      </c>
      <c r="B3266" s="4" t="n">
        <v>3</v>
      </c>
      <c r="C3266" s="4" t="inlineStr">
        <is>
          <t>elk</t>
        </is>
      </c>
      <c r="D3266" s="4" t="n">
        <v>2021</v>
      </c>
      <c r="E3266" s="13" t="inlineStr">
        <is>
          <t>General</t>
        </is>
      </c>
      <c r="F3266" s="5" t="n"/>
      <c r="G3266" s="5" t="n"/>
      <c r="H3266" s="5" t="n">
        <v>583</v>
      </c>
      <c r="I3266" s="5" t="n">
        <v>259</v>
      </c>
      <c r="J3266" s="5" t="n">
        <v>296</v>
      </c>
      <c r="K3266" s="10">
        <f>IF(F3266&gt;0,H3266/F3266,"")</f>
        <v/>
      </c>
      <c r="L3266" s="16">
        <f>IF(AND(G3266&gt;0,H3266&gt;0),G3266/H3266,"")</f>
        <v/>
      </c>
    </row>
    <row r="3267">
      <c r="A3267" s="4" t="inlineStr">
        <is>
          <t>380</t>
        </is>
      </c>
      <c r="B3267" s="4" t="n">
        <v>3</v>
      </c>
      <c r="C3267" s="4" t="inlineStr">
        <is>
          <t>elk</t>
        </is>
      </c>
      <c r="D3267" s="4" t="n">
        <v>2022</v>
      </c>
      <c r="E3267" s="13" t="inlineStr">
        <is>
          <t>General</t>
        </is>
      </c>
      <c r="F3267" s="5" t="n">
        <v>3116</v>
      </c>
      <c r="G3267" s="5" t="n">
        <v>23686</v>
      </c>
      <c r="H3267" s="5" t="n">
        <v>680</v>
      </c>
      <c r="I3267" s="5" t="n">
        <v>247</v>
      </c>
      <c r="J3267" s="5" t="n">
        <v>397</v>
      </c>
      <c r="K3267" s="10">
        <f>IF(F3267&gt;0,H3267/F3267,"")</f>
        <v/>
      </c>
      <c r="L3267" s="16">
        <f>IF(AND(G3267&gt;0,H3267&gt;0),G3267/H3267,"")</f>
        <v/>
      </c>
    </row>
    <row r="3268">
      <c r="A3268" s="4" t="inlineStr">
        <is>
          <t>380</t>
        </is>
      </c>
      <c r="B3268" s="4" t="n">
        <v>3</v>
      </c>
      <c r="C3268" s="4" t="inlineStr">
        <is>
          <t>elk</t>
        </is>
      </c>
      <c r="D3268" s="4" t="n">
        <v>2023</v>
      </c>
      <c r="E3268" s="13" t="inlineStr">
        <is>
          <t>General</t>
        </is>
      </c>
      <c r="F3268" s="5" t="n"/>
      <c r="G3268" s="5" t="n"/>
      <c r="H3268" s="5" t="n">
        <v>484</v>
      </c>
      <c r="I3268" s="5" t="n">
        <v>182</v>
      </c>
      <c r="J3268" s="5" t="n">
        <v>281</v>
      </c>
      <c r="K3268" s="10">
        <f>IF(F3268&gt;0,H3268/F3268,"")</f>
        <v/>
      </c>
      <c r="L3268" s="16">
        <f>IF(AND(G3268&gt;0,H3268&gt;0),G3268/H3268,"")</f>
        <v/>
      </c>
    </row>
    <row r="3269">
      <c r="A3269" s="4" t="inlineStr">
        <is>
          <t>380</t>
        </is>
      </c>
      <c r="B3269" s="4" t="n">
        <v>3</v>
      </c>
      <c r="C3269" s="4" t="inlineStr">
        <is>
          <t>elk</t>
        </is>
      </c>
      <c r="D3269" s="4" t="n">
        <v>2024</v>
      </c>
      <c r="E3269" s="13" t="inlineStr">
        <is>
          <t>General</t>
        </is>
      </c>
      <c r="F3269" s="5" t="n">
        <v>2801</v>
      </c>
      <c r="G3269" s="5" t="n">
        <v>22674</v>
      </c>
      <c r="H3269" s="5" t="n">
        <v>474</v>
      </c>
      <c r="I3269" s="5" t="n">
        <v>236</v>
      </c>
      <c r="J3269" s="5" t="n">
        <v>215</v>
      </c>
      <c r="K3269" s="10">
        <f>IF(F3269&gt;0,H3269/F3269,"")</f>
        <v/>
      </c>
      <c r="L3269" s="16">
        <f>IF(AND(G3269&gt;0,H3269&gt;0),G3269/H3269,"")</f>
        <v/>
      </c>
    </row>
    <row r="3270">
      <c r="A3270" s="4" t="inlineStr">
        <is>
          <t>380</t>
        </is>
      </c>
      <c r="B3270" s="4" t="n">
        <v>3</v>
      </c>
      <c r="C3270" s="4" t="inlineStr">
        <is>
          <t>elk</t>
        </is>
      </c>
      <c r="D3270" s="4" t="n">
        <v>2025</v>
      </c>
      <c r="E3270" s="13" t="inlineStr">
        <is>
          <t>General</t>
        </is>
      </c>
      <c r="F3270" s="5" t="n"/>
      <c r="G3270" s="5" t="n"/>
      <c r="H3270" s="5" t="n">
        <v>419</v>
      </c>
      <c r="I3270" s="5" t="n">
        <v>169</v>
      </c>
      <c r="J3270" s="5" t="n">
        <v>236</v>
      </c>
      <c r="K3270" s="10">
        <f>IF(F3270&gt;0,H3270/F3270,"")</f>
        <v/>
      </c>
      <c r="L3270" s="16">
        <f>IF(AND(G3270&gt;0,H3270&gt;0),G3270/H3270,"")</f>
        <v/>
      </c>
    </row>
    <row r="3271">
      <c r="A3271" s="4" t="inlineStr">
        <is>
          <t>388</t>
        </is>
      </c>
      <c r="B3271" s="4" t="n">
        <v>3</v>
      </c>
      <c r="C3271" s="4" t="inlineStr">
        <is>
          <t>elk</t>
        </is>
      </c>
      <c r="D3271" s="4" t="n">
        <v>2006</v>
      </c>
      <c r="E3271" s="13" t="inlineStr">
        <is>
          <t>General</t>
        </is>
      </c>
      <c r="F3271" s="5" t="n">
        <v>116</v>
      </c>
      <c r="G3271" s="5" t="n">
        <v>732</v>
      </c>
      <c r="H3271" s="5" t="n">
        <v>11</v>
      </c>
      <c r="I3271" s="5" t="n">
        <v>0</v>
      </c>
      <c r="J3271" s="5" t="n">
        <v>11</v>
      </c>
      <c r="K3271" s="10">
        <f>IF(F3271&gt;0,H3271/F3271,"")</f>
        <v/>
      </c>
      <c r="L3271" s="16">
        <f>IF(AND(G3271&gt;0,H3271&gt;0),G3271/H3271,"")</f>
        <v/>
      </c>
    </row>
    <row r="3272">
      <c r="A3272" s="4" t="inlineStr">
        <is>
          <t>388</t>
        </is>
      </c>
      <c r="B3272" s="4" t="n">
        <v>3</v>
      </c>
      <c r="C3272" s="4" t="inlineStr">
        <is>
          <t>elk</t>
        </is>
      </c>
      <c r="D3272" s="4" t="n">
        <v>2008</v>
      </c>
      <c r="E3272" s="13" t="inlineStr">
        <is>
          <t>General</t>
        </is>
      </c>
      <c r="F3272" s="5" t="n">
        <v>155</v>
      </c>
      <c r="G3272" s="5" t="n">
        <v>1215</v>
      </c>
      <c r="H3272" s="5" t="n">
        <v>6</v>
      </c>
      <c r="I3272" s="5" t="n">
        <v>3</v>
      </c>
      <c r="J3272" s="5" t="n">
        <v>3</v>
      </c>
      <c r="K3272" s="10">
        <f>IF(F3272&gt;0,H3272/F3272,"")</f>
        <v/>
      </c>
      <c r="L3272" s="16">
        <f>IF(AND(G3272&gt;0,H3272&gt;0),G3272/H3272,"")</f>
        <v/>
      </c>
    </row>
    <row r="3273">
      <c r="A3273" s="4" t="inlineStr">
        <is>
          <t>388</t>
        </is>
      </c>
      <c r="B3273" s="4" t="n">
        <v>3</v>
      </c>
      <c r="C3273" s="4" t="inlineStr">
        <is>
          <t>elk</t>
        </is>
      </c>
      <c r="D3273" s="4" t="n">
        <v>2009</v>
      </c>
      <c r="E3273" s="13" t="inlineStr">
        <is>
          <t>General</t>
        </is>
      </c>
      <c r="F3273" s="5" t="n">
        <v>147</v>
      </c>
      <c r="G3273" s="5" t="n">
        <v>943</v>
      </c>
      <c r="H3273" s="5" t="n">
        <v>23</v>
      </c>
      <c r="I3273" s="5" t="n">
        <v>15</v>
      </c>
      <c r="J3273" s="5" t="n">
        <v>8</v>
      </c>
      <c r="K3273" s="10">
        <f>IF(F3273&gt;0,H3273/F3273,"")</f>
        <v/>
      </c>
      <c r="L3273" s="16">
        <f>IF(AND(G3273&gt;0,H3273&gt;0),G3273/H3273,"")</f>
        <v/>
      </c>
    </row>
    <row r="3274">
      <c r="A3274" s="4" t="inlineStr">
        <is>
          <t>388</t>
        </is>
      </c>
      <c r="B3274" s="4" t="n">
        <v>3</v>
      </c>
      <c r="C3274" s="4" t="inlineStr">
        <is>
          <t>elk</t>
        </is>
      </c>
      <c r="D3274" s="4" t="n">
        <v>2010</v>
      </c>
      <c r="E3274" s="13" t="inlineStr">
        <is>
          <t>General</t>
        </is>
      </c>
      <c r="F3274" s="5" t="n">
        <v>184</v>
      </c>
      <c r="G3274" s="5" t="n">
        <v>780</v>
      </c>
      <c r="H3274" s="5" t="n">
        <v>11</v>
      </c>
      <c r="I3274" s="5" t="n">
        <v>3</v>
      </c>
      <c r="J3274" s="5" t="n">
        <v>8</v>
      </c>
      <c r="K3274" s="10">
        <f>IF(F3274&gt;0,H3274/F3274,"")</f>
        <v/>
      </c>
      <c r="L3274" s="16">
        <f>IF(AND(G3274&gt;0,H3274&gt;0),G3274/H3274,"")</f>
        <v/>
      </c>
    </row>
    <row r="3275">
      <c r="A3275" s="4" t="inlineStr">
        <is>
          <t>388</t>
        </is>
      </c>
      <c r="B3275" s="4" t="n">
        <v>3</v>
      </c>
      <c r="C3275" s="4" t="inlineStr">
        <is>
          <t>elk</t>
        </is>
      </c>
      <c r="D3275" s="4" t="n">
        <v>2011</v>
      </c>
      <c r="E3275" s="13" t="inlineStr">
        <is>
          <t>General</t>
        </is>
      </c>
      <c r="F3275" s="5" t="n">
        <v>194</v>
      </c>
      <c r="G3275" s="5" t="n">
        <v>945</v>
      </c>
      <c r="H3275" s="5" t="n">
        <v>22</v>
      </c>
      <c r="I3275" s="5" t="n">
        <v>11</v>
      </c>
      <c r="J3275" s="5" t="n">
        <v>8</v>
      </c>
      <c r="K3275" s="10">
        <f>IF(F3275&gt;0,H3275/F3275,"")</f>
        <v/>
      </c>
      <c r="L3275" s="16">
        <f>IF(AND(G3275&gt;0,H3275&gt;0),G3275/H3275,"")</f>
        <v/>
      </c>
    </row>
    <row r="3276">
      <c r="A3276" s="4" t="inlineStr">
        <is>
          <t>388</t>
        </is>
      </c>
      <c r="B3276" s="4" t="n">
        <v>3</v>
      </c>
      <c r="C3276" s="4" t="inlineStr">
        <is>
          <t>elk</t>
        </is>
      </c>
      <c r="D3276" s="4" t="n">
        <v>2012</v>
      </c>
      <c r="E3276" s="13" t="inlineStr">
        <is>
          <t>General</t>
        </is>
      </c>
      <c r="F3276" s="5" t="n">
        <v>198</v>
      </c>
      <c r="G3276" s="5" t="n">
        <v>1400</v>
      </c>
      <c r="H3276" s="5" t="n">
        <v>6</v>
      </c>
      <c r="I3276" s="5" t="n">
        <v>0</v>
      </c>
      <c r="J3276" s="5" t="n">
        <v>6</v>
      </c>
      <c r="K3276" s="10">
        <f>IF(F3276&gt;0,H3276/F3276,"")</f>
        <v/>
      </c>
      <c r="L3276" s="16">
        <f>IF(AND(G3276&gt;0,H3276&gt;0),G3276/H3276,"")</f>
        <v/>
      </c>
    </row>
    <row r="3277">
      <c r="A3277" s="4" t="inlineStr">
        <is>
          <t>388</t>
        </is>
      </c>
      <c r="B3277" s="4" t="n">
        <v>3</v>
      </c>
      <c r="C3277" s="4" t="inlineStr">
        <is>
          <t>elk</t>
        </is>
      </c>
      <c r="D3277" s="4" t="n">
        <v>2013</v>
      </c>
      <c r="E3277" s="13" t="inlineStr">
        <is>
          <t>General</t>
        </is>
      </c>
      <c r="F3277" s="5" t="n"/>
      <c r="G3277" s="5" t="n"/>
      <c r="H3277" s="5" t="n">
        <v>11</v>
      </c>
      <c r="I3277" s="5" t="n">
        <v>6</v>
      </c>
      <c r="J3277" s="5" t="n">
        <v>6</v>
      </c>
      <c r="K3277" s="10">
        <f>IF(F3277&gt;0,H3277/F3277,"")</f>
        <v/>
      </c>
      <c r="L3277" s="16">
        <f>IF(AND(G3277&gt;0,H3277&gt;0),G3277/H3277,"")</f>
        <v/>
      </c>
    </row>
    <row r="3278">
      <c r="A3278" s="4" t="inlineStr">
        <is>
          <t>388</t>
        </is>
      </c>
      <c r="B3278" s="4" t="n">
        <v>3</v>
      </c>
      <c r="C3278" s="4" t="inlineStr">
        <is>
          <t>elk</t>
        </is>
      </c>
      <c r="D3278" s="4" t="n">
        <v>2014</v>
      </c>
      <c r="E3278" s="13" t="inlineStr">
        <is>
          <t>General</t>
        </is>
      </c>
      <c r="F3278" s="5" t="n">
        <v>145</v>
      </c>
      <c r="G3278" s="5" t="n">
        <v>619</v>
      </c>
      <c r="H3278" s="5" t="n">
        <v>20</v>
      </c>
      <c r="I3278" s="5" t="n">
        <v>11</v>
      </c>
      <c r="J3278" s="5" t="n">
        <v>9</v>
      </c>
      <c r="K3278" s="10">
        <f>IF(F3278&gt;0,H3278/F3278,"")</f>
        <v/>
      </c>
      <c r="L3278" s="16">
        <f>IF(AND(G3278&gt;0,H3278&gt;0),G3278/H3278,"")</f>
        <v/>
      </c>
    </row>
    <row r="3279">
      <c r="A3279" s="4" t="inlineStr">
        <is>
          <t>388</t>
        </is>
      </c>
      <c r="B3279" s="4" t="n">
        <v>3</v>
      </c>
      <c r="C3279" s="4" t="inlineStr">
        <is>
          <t>elk</t>
        </is>
      </c>
      <c r="D3279" s="4" t="n">
        <v>2015</v>
      </c>
      <c r="E3279" s="13" t="inlineStr">
        <is>
          <t>General</t>
        </is>
      </c>
      <c r="F3279" s="5" t="n">
        <v>182</v>
      </c>
      <c r="G3279" s="5" t="n">
        <v>1077</v>
      </c>
      <c r="H3279" s="5" t="n">
        <v>32</v>
      </c>
      <c r="I3279" s="5" t="n">
        <v>12</v>
      </c>
      <c r="J3279" s="5" t="n">
        <v>18</v>
      </c>
      <c r="K3279" s="10">
        <f>IF(F3279&gt;0,H3279/F3279,"")</f>
        <v/>
      </c>
      <c r="L3279" s="16">
        <f>IF(AND(G3279&gt;0,H3279&gt;0),G3279/H3279,"")</f>
        <v/>
      </c>
    </row>
    <row r="3280">
      <c r="A3280" s="4" t="inlineStr">
        <is>
          <t>388</t>
        </is>
      </c>
      <c r="B3280" s="4" t="n">
        <v>3</v>
      </c>
      <c r="C3280" s="4" t="inlineStr">
        <is>
          <t>elk</t>
        </is>
      </c>
      <c r="D3280" s="4" t="n">
        <v>2016</v>
      </c>
      <c r="E3280" s="13" t="inlineStr">
        <is>
          <t>General</t>
        </is>
      </c>
      <c r="F3280" s="5" t="n">
        <v>155</v>
      </c>
      <c r="G3280" s="5" t="n">
        <v>1134</v>
      </c>
      <c r="H3280" s="5" t="n">
        <v>12</v>
      </c>
      <c r="I3280" s="5" t="n">
        <v>9</v>
      </c>
      <c r="J3280" s="5" t="n">
        <v>3</v>
      </c>
      <c r="K3280" s="10">
        <f>IF(F3280&gt;0,H3280/F3280,"")</f>
        <v/>
      </c>
      <c r="L3280" s="16">
        <f>IF(AND(G3280&gt;0,H3280&gt;0),G3280/H3280,"")</f>
        <v/>
      </c>
    </row>
    <row r="3281">
      <c r="A3281" s="4" t="inlineStr">
        <is>
          <t>388</t>
        </is>
      </c>
      <c r="B3281" s="4" t="n">
        <v>3</v>
      </c>
      <c r="C3281" s="4" t="inlineStr">
        <is>
          <t>elk</t>
        </is>
      </c>
      <c r="D3281" s="4" t="n">
        <v>2017</v>
      </c>
      <c r="E3281" s="13" t="inlineStr">
        <is>
          <t>General</t>
        </is>
      </c>
      <c r="F3281" s="5" t="n"/>
      <c r="G3281" s="5" t="n"/>
      <c r="H3281" s="5" t="n">
        <v>20</v>
      </c>
      <c r="I3281" s="5" t="n">
        <v>6</v>
      </c>
      <c r="J3281" s="5" t="n">
        <v>14</v>
      </c>
      <c r="K3281" s="10">
        <f>IF(F3281&gt;0,H3281/F3281,"")</f>
        <v/>
      </c>
      <c r="L3281" s="16">
        <f>IF(AND(G3281&gt;0,H3281&gt;0),G3281/H3281,"")</f>
        <v/>
      </c>
    </row>
    <row r="3282">
      <c r="A3282" s="4" t="inlineStr">
        <is>
          <t>388</t>
        </is>
      </c>
      <c r="B3282" s="4" t="n">
        <v>3</v>
      </c>
      <c r="C3282" s="4" t="inlineStr">
        <is>
          <t>elk</t>
        </is>
      </c>
      <c r="D3282" s="4" t="n">
        <v>2018</v>
      </c>
      <c r="E3282" s="13" t="inlineStr">
        <is>
          <t>General</t>
        </is>
      </c>
      <c r="F3282" s="5" t="n">
        <v>183</v>
      </c>
      <c r="G3282" s="5" t="n">
        <v>1008</v>
      </c>
      <c r="H3282" s="5" t="n">
        <v>27</v>
      </c>
      <c r="I3282" s="5" t="n">
        <v>11</v>
      </c>
      <c r="J3282" s="5" t="n">
        <v>13</v>
      </c>
      <c r="K3282" s="10">
        <f>IF(F3282&gt;0,H3282/F3282,"")</f>
        <v/>
      </c>
      <c r="L3282" s="16">
        <f>IF(AND(G3282&gt;0,H3282&gt;0),G3282/H3282,"")</f>
        <v/>
      </c>
    </row>
    <row r="3283">
      <c r="A3283" s="4" t="inlineStr">
        <is>
          <t>388</t>
        </is>
      </c>
      <c r="B3283" s="4" t="n">
        <v>3</v>
      </c>
      <c r="C3283" s="4" t="inlineStr">
        <is>
          <t>elk</t>
        </is>
      </c>
      <c r="D3283" s="4" t="n">
        <v>2019</v>
      </c>
      <c r="E3283" s="13" t="inlineStr">
        <is>
          <t>General</t>
        </is>
      </c>
      <c r="F3283" s="5" t="n"/>
      <c r="G3283" s="5" t="n"/>
      <c r="H3283" s="5" t="n">
        <v>6</v>
      </c>
      <c r="I3283" s="5" t="n">
        <v>0</v>
      </c>
      <c r="J3283" s="5" t="n">
        <v>6</v>
      </c>
      <c r="K3283" s="10">
        <f>IF(F3283&gt;0,H3283/F3283,"")</f>
        <v/>
      </c>
      <c r="L3283" s="16">
        <f>IF(AND(G3283&gt;0,H3283&gt;0),G3283/H3283,"")</f>
        <v/>
      </c>
    </row>
    <row r="3284">
      <c r="A3284" s="4" t="inlineStr">
        <is>
          <t>388</t>
        </is>
      </c>
      <c r="B3284" s="4" t="n">
        <v>3</v>
      </c>
      <c r="C3284" s="4" t="inlineStr">
        <is>
          <t>elk</t>
        </is>
      </c>
      <c r="D3284" s="4" t="n">
        <v>2020</v>
      </c>
      <c r="E3284" s="13" t="inlineStr">
        <is>
          <t>General</t>
        </is>
      </c>
      <c r="F3284" s="5" t="n">
        <v>216</v>
      </c>
      <c r="G3284" s="5" t="n">
        <v>1466</v>
      </c>
      <c r="H3284" s="5" t="n">
        <v>49</v>
      </c>
      <c r="I3284" s="5" t="n">
        <v>17</v>
      </c>
      <c r="J3284" s="5" t="n">
        <v>25</v>
      </c>
      <c r="K3284" s="10">
        <f>IF(F3284&gt;0,H3284/F3284,"")</f>
        <v/>
      </c>
      <c r="L3284" s="16">
        <f>IF(AND(G3284&gt;0,H3284&gt;0),G3284/H3284,"")</f>
        <v/>
      </c>
    </row>
    <row r="3285">
      <c r="A3285" s="4" t="inlineStr">
        <is>
          <t>388</t>
        </is>
      </c>
      <c r="B3285" s="4" t="n">
        <v>3</v>
      </c>
      <c r="C3285" s="4" t="inlineStr">
        <is>
          <t>elk</t>
        </is>
      </c>
      <c r="D3285" s="4" t="n">
        <v>2021</v>
      </c>
      <c r="E3285" s="13" t="inlineStr">
        <is>
          <t>General</t>
        </is>
      </c>
      <c r="F3285" s="5" t="n"/>
      <c r="G3285" s="5" t="n"/>
      <c r="H3285" s="5" t="n">
        <v>4</v>
      </c>
      <c r="I3285" s="5" t="n">
        <v>0</v>
      </c>
      <c r="J3285" s="5" t="n">
        <v>4</v>
      </c>
      <c r="K3285" s="10">
        <f>IF(F3285&gt;0,H3285/F3285,"")</f>
        <v/>
      </c>
      <c r="L3285" s="16">
        <f>IF(AND(G3285&gt;0,H3285&gt;0),G3285/H3285,"")</f>
        <v/>
      </c>
    </row>
    <row r="3286">
      <c r="A3286" s="4" t="inlineStr">
        <is>
          <t>388</t>
        </is>
      </c>
      <c r="B3286" s="4" t="n">
        <v>3</v>
      </c>
      <c r="C3286" s="4" t="inlineStr">
        <is>
          <t>elk</t>
        </is>
      </c>
      <c r="D3286" s="4" t="n">
        <v>2022</v>
      </c>
      <c r="E3286" s="13" t="inlineStr">
        <is>
          <t>General</t>
        </is>
      </c>
      <c r="F3286" s="5" t="n">
        <v>201</v>
      </c>
      <c r="G3286" s="5" t="n">
        <v>1189</v>
      </c>
      <c r="H3286" s="5" t="n">
        <v>38</v>
      </c>
      <c r="I3286" s="5" t="n">
        <v>6</v>
      </c>
      <c r="J3286" s="5" t="n">
        <v>28</v>
      </c>
      <c r="K3286" s="10">
        <f>IF(F3286&gt;0,H3286/F3286,"")</f>
        <v/>
      </c>
      <c r="L3286" s="16">
        <f>IF(AND(G3286&gt;0,H3286&gt;0),G3286/H3286,"")</f>
        <v/>
      </c>
    </row>
    <row r="3287">
      <c r="A3287" s="4" t="inlineStr">
        <is>
          <t>388</t>
        </is>
      </c>
      <c r="B3287" s="4" t="n">
        <v>3</v>
      </c>
      <c r="C3287" s="4" t="inlineStr">
        <is>
          <t>elk</t>
        </is>
      </c>
      <c r="D3287" s="4" t="n">
        <v>2023</v>
      </c>
      <c r="E3287" s="13" t="inlineStr">
        <is>
          <t>General</t>
        </is>
      </c>
      <c r="F3287" s="5" t="n"/>
      <c r="G3287" s="5" t="n"/>
      <c r="H3287" s="5" t="n">
        <v>28</v>
      </c>
      <c r="I3287" s="5" t="n">
        <v>10</v>
      </c>
      <c r="J3287" s="5" t="n">
        <v>18</v>
      </c>
      <c r="K3287" s="10">
        <f>IF(F3287&gt;0,H3287/F3287,"")</f>
        <v/>
      </c>
      <c r="L3287" s="16">
        <f>IF(AND(G3287&gt;0,H3287&gt;0),G3287/H3287,"")</f>
        <v/>
      </c>
    </row>
    <row r="3288">
      <c r="A3288" s="4" t="inlineStr">
        <is>
          <t>388</t>
        </is>
      </c>
      <c r="B3288" s="4" t="n">
        <v>3</v>
      </c>
      <c r="C3288" s="4" t="inlineStr">
        <is>
          <t>elk</t>
        </is>
      </c>
      <c r="D3288" s="4" t="n">
        <v>2024</v>
      </c>
      <c r="E3288" s="13" t="inlineStr">
        <is>
          <t>General</t>
        </is>
      </c>
      <c r="F3288" s="5" t="n">
        <v>304</v>
      </c>
      <c r="G3288" s="5" t="n">
        <v>1882</v>
      </c>
      <c r="H3288" s="5" t="n">
        <v>27</v>
      </c>
      <c r="I3288" s="5" t="n">
        <v>12</v>
      </c>
      <c r="J3288" s="5" t="n">
        <v>15</v>
      </c>
      <c r="K3288" s="10">
        <f>IF(F3288&gt;0,H3288/F3288,"")</f>
        <v/>
      </c>
      <c r="L3288" s="16">
        <f>IF(AND(G3288&gt;0,H3288&gt;0),G3288/H3288,"")</f>
        <v/>
      </c>
    </row>
    <row r="3289">
      <c r="A3289" s="4" t="inlineStr">
        <is>
          <t>388</t>
        </is>
      </c>
      <c r="B3289" s="4" t="n">
        <v>3</v>
      </c>
      <c r="C3289" s="4" t="inlineStr">
        <is>
          <t>elk</t>
        </is>
      </c>
      <c r="D3289" s="4" t="n">
        <v>2025</v>
      </c>
      <c r="E3289" s="13" t="inlineStr">
        <is>
          <t>General</t>
        </is>
      </c>
      <c r="F3289" s="5" t="n"/>
      <c r="G3289" s="5" t="n"/>
      <c r="H3289" s="5" t="n">
        <v>31</v>
      </c>
      <c r="I3289" s="5" t="n">
        <v>17</v>
      </c>
      <c r="J3289" s="5" t="n">
        <v>15</v>
      </c>
      <c r="K3289" s="10">
        <f>IF(F3289&gt;0,H3289/F3289,"")</f>
        <v/>
      </c>
      <c r="L3289" s="16">
        <f>IF(AND(G3289&gt;0,H3289&gt;0),G3289/H3289,"")</f>
        <v/>
      </c>
    </row>
    <row r="3290">
      <c r="A3290" s="4" t="inlineStr">
        <is>
          <t>390</t>
        </is>
      </c>
      <c r="B3290" s="4" t="n">
        <v>3</v>
      </c>
      <c r="C3290" s="4" t="inlineStr">
        <is>
          <t>elk</t>
        </is>
      </c>
      <c r="D3290" s="4" t="n">
        <v>2004</v>
      </c>
      <c r="E3290" s="13" t="inlineStr">
        <is>
          <t>General</t>
        </is>
      </c>
      <c r="F3290" s="5" t="n">
        <v>521</v>
      </c>
      <c r="G3290" s="5" t="n">
        <v>2199</v>
      </c>
      <c r="H3290" s="5" t="n">
        <v>196</v>
      </c>
      <c r="I3290" s="5" t="n">
        <v>62</v>
      </c>
      <c r="J3290" s="5" t="n">
        <v>128</v>
      </c>
      <c r="K3290" s="10">
        <f>IF(F3290&gt;0,H3290/F3290,"")</f>
        <v/>
      </c>
      <c r="L3290" s="16">
        <f>IF(AND(G3290&gt;0,H3290&gt;0),G3290/H3290,"")</f>
        <v/>
      </c>
    </row>
    <row r="3291">
      <c r="A3291" s="4" t="inlineStr">
        <is>
          <t>390</t>
        </is>
      </c>
      <c r="B3291" s="4" t="n">
        <v>3</v>
      </c>
      <c r="C3291" s="4" t="inlineStr">
        <is>
          <t>elk</t>
        </is>
      </c>
      <c r="D3291" s="4" t="n">
        <v>2005</v>
      </c>
      <c r="E3291" s="13" t="inlineStr">
        <is>
          <t>General</t>
        </is>
      </c>
      <c r="F3291" s="5" t="n">
        <v>550</v>
      </c>
      <c r="G3291" s="5" t="n">
        <v>2572</v>
      </c>
      <c r="H3291" s="5" t="n">
        <v>230</v>
      </c>
      <c r="I3291" s="5" t="n">
        <v>81</v>
      </c>
      <c r="J3291" s="5" t="n">
        <v>128</v>
      </c>
      <c r="K3291" s="10">
        <f>IF(F3291&gt;0,H3291/F3291,"")</f>
        <v/>
      </c>
      <c r="L3291" s="16">
        <f>IF(AND(G3291&gt;0,H3291&gt;0),G3291/H3291,"")</f>
        <v/>
      </c>
    </row>
    <row r="3292">
      <c r="A3292" s="4" t="inlineStr">
        <is>
          <t>390</t>
        </is>
      </c>
      <c r="B3292" s="4" t="n">
        <v>3</v>
      </c>
      <c r="C3292" s="4" t="inlineStr">
        <is>
          <t>elk</t>
        </is>
      </c>
      <c r="D3292" s="4" t="n">
        <v>2006</v>
      </c>
      <c r="E3292" s="13" t="inlineStr">
        <is>
          <t>General</t>
        </is>
      </c>
      <c r="F3292" s="5" t="n">
        <v>706</v>
      </c>
      <c r="G3292" s="5" t="n">
        <v>3361</v>
      </c>
      <c r="H3292" s="5" t="n">
        <v>291</v>
      </c>
      <c r="I3292" s="5" t="n">
        <v>145</v>
      </c>
      <c r="J3292" s="5" t="n">
        <v>131</v>
      </c>
      <c r="K3292" s="10">
        <f>IF(F3292&gt;0,H3292/F3292,"")</f>
        <v/>
      </c>
      <c r="L3292" s="16">
        <f>IF(AND(G3292&gt;0,H3292&gt;0),G3292/H3292,"")</f>
        <v/>
      </c>
    </row>
    <row r="3293">
      <c r="A3293" s="4" t="inlineStr">
        <is>
          <t>390</t>
        </is>
      </c>
      <c r="B3293" s="4" t="n">
        <v>3</v>
      </c>
      <c r="C3293" s="4" t="inlineStr">
        <is>
          <t>elk</t>
        </is>
      </c>
      <c r="D3293" s="4" t="n">
        <v>2007</v>
      </c>
      <c r="E3293" s="13" t="inlineStr">
        <is>
          <t>General</t>
        </is>
      </c>
      <c r="F3293" s="5" t="n">
        <v>873</v>
      </c>
      <c r="G3293" s="5" t="n">
        <v>3975</v>
      </c>
      <c r="H3293" s="5" t="n">
        <v>495</v>
      </c>
      <c r="I3293" s="5" t="n">
        <v>249</v>
      </c>
      <c r="J3293" s="5" t="n">
        <v>212</v>
      </c>
      <c r="K3293" s="10">
        <f>IF(F3293&gt;0,H3293/F3293,"")</f>
        <v/>
      </c>
      <c r="L3293" s="16">
        <f>IF(AND(G3293&gt;0,H3293&gt;0),G3293/H3293,"")</f>
        <v/>
      </c>
    </row>
    <row r="3294">
      <c r="A3294" s="4" t="inlineStr">
        <is>
          <t>390</t>
        </is>
      </c>
      <c r="B3294" s="4" t="n">
        <v>3</v>
      </c>
      <c r="C3294" s="4" t="inlineStr">
        <is>
          <t>elk</t>
        </is>
      </c>
      <c r="D3294" s="4" t="n">
        <v>2008</v>
      </c>
      <c r="E3294" s="13" t="inlineStr">
        <is>
          <t>General</t>
        </is>
      </c>
      <c r="F3294" s="5" t="n">
        <v>1102</v>
      </c>
      <c r="G3294" s="5" t="n">
        <v>7157</v>
      </c>
      <c r="H3294" s="5" t="n">
        <v>285</v>
      </c>
      <c r="I3294" s="5" t="n">
        <v>107</v>
      </c>
      <c r="J3294" s="5" t="n">
        <v>160</v>
      </c>
      <c r="K3294" s="10">
        <f>IF(F3294&gt;0,H3294/F3294,"")</f>
        <v/>
      </c>
      <c r="L3294" s="16">
        <f>IF(AND(G3294&gt;0,H3294&gt;0),G3294/H3294,"")</f>
        <v/>
      </c>
    </row>
    <row r="3295">
      <c r="A3295" s="4" t="inlineStr">
        <is>
          <t>390</t>
        </is>
      </c>
      <c r="B3295" s="4" t="n">
        <v>3</v>
      </c>
      <c r="C3295" s="4" t="inlineStr">
        <is>
          <t>elk</t>
        </is>
      </c>
      <c r="D3295" s="4" t="n">
        <v>2009</v>
      </c>
      <c r="E3295" s="13" t="inlineStr">
        <is>
          <t>General</t>
        </is>
      </c>
      <c r="F3295" s="5" t="n">
        <v>770</v>
      </c>
      <c r="G3295" s="5" t="n">
        <v>3982</v>
      </c>
      <c r="H3295" s="5" t="n">
        <v>183</v>
      </c>
      <c r="I3295" s="5" t="n">
        <v>62</v>
      </c>
      <c r="J3295" s="5" t="n">
        <v>103</v>
      </c>
      <c r="K3295" s="10">
        <f>IF(F3295&gt;0,H3295/F3295,"")</f>
        <v/>
      </c>
      <c r="L3295" s="16">
        <f>IF(AND(G3295&gt;0,H3295&gt;0),G3295/H3295,"")</f>
        <v/>
      </c>
    </row>
    <row r="3296">
      <c r="A3296" s="4" t="inlineStr">
        <is>
          <t>390</t>
        </is>
      </c>
      <c r="B3296" s="4" t="n">
        <v>3</v>
      </c>
      <c r="C3296" s="4" t="inlineStr">
        <is>
          <t>elk</t>
        </is>
      </c>
      <c r="D3296" s="4" t="n">
        <v>2010</v>
      </c>
      <c r="E3296" s="13" t="inlineStr">
        <is>
          <t>General</t>
        </is>
      </c>
      <c r="F3296" s="5" t="n">
        <v>704</v>
      </c>
      <c r="G3296" s="5" t="n">
        <v>4821</v>
      </c>
      <c r="H3296" s="5" t="n">
        <v>239</v>
      </c>
      <c r="I3296" s="5" t="n">
        <v>117</v>
      </c>
      <c r="J3296" s="5" t="n">
        <v>109</v>
      </c>
      <c r="K3296" s="10">
        <f>IF(F3296&gt;0,H3296/F3296,"")</f>
        <v/>
      </c>
      <c r="L3296" s="16">
        <f>IF(AND(G3296&gt;0,H3296&gt;0),G3296/H3296,"")</f>
        <v/>
      </c>
    </row>
    <row r="3297">
      <c r="A3297" s="4" t="inlineStr">
        <is>
          <t>390</t>
        </is>
      </c>
      <c r="B3297" s="4" t="n">
        <v>3</v>
      </c>
      <c r="C3297" s="4" t="inlineStr">
        <is>
          <t>elk</t>
        </is>
      </c>
      <c r="D3297" s="4" t="n">
        <v>2011</v>
      </c>
      <c r="E3297" s="13" t="inlineStr">
        <is>
          <t>General</t>
        </is>
      </c>
      <c r="F3297" s="5" t="n">
        <v>673</v>
      </c>
      <c r="G3297" s="5" t="n">
        <v>4144</v>
      </c>
      <c r="H3297" s="5" t="n">
        <v>124</v>
      </c>
      <c r="I3297" s="5" t="n">
        <v>58</v>
      </c>
      <c r="J3297" s="5" t="n">
        <v>55</v>
      </c>
      <c r="K3297" s="10">
        <f>IF(F3297&gt;0,H3297/F3297,"")</f>
        <v/>
      </c>
      <c r="L3297" s="16">
        <f>IF(AND(G3297&gt;0,H3297&gt;0),G3297/H3297,"")</f>
        <v/>
      </c>
    </row>
    <row r="3298">
      <c r="A3298" s="4" t="inlineStr">
        <is>
          <t>390</t>
        </is>
      </c>
      <c r="B3298" s="4" t="n">
        <v>3</v>
      </c>
      <c r="C3298" s="4" t="inlineStr">
        <is>
          <t>elk</t>
        </is>
      </c>
      <c r="D3298" s="4" t="n">
        <v>2012</v>
      </c>
      <c r="E3298" s="13" t="inlineStr">
        <is>
          <t>General</t>
        </is>
      </c>
      <c r="F3298" s="5" t="n">
        <v>721</v>
      </c>
      <c r="G3298" s="5" t="n">
        <v>4174</v>
      </c>
      <c r="H3298" s="5" t="n">
        <v>215</v>
      </c>
      <c r="I3298" s="5" t="n">
        <v>116</v>
      </c>
      <c r="J3298" s="5" t="n">
        <v>92</v>
      </c>
      <c r="K3298" s="10">
        <f>IF(F3298&gt;0,H3298/F3298,"")</f>
        <v/>
      </c>
      <c r="L3298" s="16">
        <f>IF(AND(G3298&gt;0,H3298&gt;0),G3298/H3298,"")</f>
        <v/>
      </c>
    </row>
    <row r="3299">
      <c r="A3299" s="4" t="inlineStr">
        <is>
          <t>390</t>
        </is>
      </c>
      <c r="B3299" s="4" t="n">
        <v>3</v>
      </c>
      <c r="C3299" s="4" t="inlineStr">
        <is>
          <t>elk</t>
        </is>
      </c>
      <c r="D3299" s="4" t="n">
        <v>2013</v>
      </c>
      <c r="E3299" s="13" t="inlineStr">
        <is>
          <t>General</t>
        </is>
      </c>
      <c r="F3299" s="5" t="n"/>
      <c r="G3299" s="5" t="n"/>
      <c r="H3299" s="5" t="n">
        <v>206</v>
      </c>
      <c r="I3299" s="5" t="n">
        <v>103</v>
      </c>
      <c r="J3299" s="5" t="n">
        <v>95</v>
      </c>
      <c r="K3299" s="10">
        <f>IF(F3299&gt;0,H3299/F3299,"")</f>
        <v/>
      </c>
      <c r="L3299" s="16">
        <f>IF(AND(G3299&gt;0,H3299&gt;0),G3299/H3299,"")</f>
        <v/>
      </c>
    </row>
    <row r="3300">
      <c r="A3300" s="4" t="inlineStr">
        <is>
          <t>390</t>
        </is>
      </c>
      <c r="B3300" s="4" t="n">
        <v>3</v>
      </c>
      <c r="C3300" s="4" t="inlineStr">
        <is>
          <t>elk</t>
        </is>
      </c>
      <c r="D3300" s="4" t="n">
        <v>2014</v>
      </c>
      <c r="E3300" s="13" t="inlineStr">
        <is>
          <t>General</t>
        </is>
      </c>
      <c r="F3300" s="5" t="n">
        <v>750</v>
      </c>
      <c r="G3300" s="5" t="n">
        <v>4212</v>
      </c>
      <c r="H3300" s="5" t="n">
        <v>272</v>
      </c>
      <c r="I3300" s="5" t="n">
        <v>130</v>
      </c>
      <c r="J3300" s="5" t="n">
        <v>129</v>
      </c>
      <c r="K3300" s="10">
        <f>IF(F3300&gt;0,H3300/F3300,"")</f>
        <v/>
      </c>
      <c r="L3300" s="16">
        <f>IF(AND(G3300&gt;0,H3300&gt;0),G3300/H3300,"")</f>
        <v/>
      </c>
    </row>
    <row r="3301">
      <c r="A3301" s="4" t="inlineStr">
        <is>
          <t>390</t>
        </is>
      </c>
      <c r="B3301" s="4" t="n">
        <v>3</v>
      </c>
      <c r="C3301" s="4" t="inlineStr">
        <is>
          <t>elk</t>
        </is>
      </c>
      <c r="D3301" s="4" t="n">
        <v>2015</v>
      </c>
      <c r="E3301" s="13" t="inlineStr">
        <is>
          <t>General</t>
        </is>
      </c>
      <c r="F3301" s="5" t="n">
        <v>763</v>
      </c>
      <c r="G3301" s="5" t="n">
        <v>5496</v>
      </c>
      <c r="H3301" s="5" t="n">
        <v>309</v>
      </c>
      <c r="I3301" s="5" t="n">
        <v>146</v>
      </c>
      <c r="J3301" s="5" t="n">
        <v>154</v>
      </c>
      <c r="K3301" s="10">
        <f>IF(F3301&gt;0,H3301/F3301,"")</f>
        <v/>
      </c>
      <c r="L3301" s="16">
        <f>IF(AND(G3301&gt;0,H3301&gt;0),G3301/H3301,"")</f>
        <v/>
      </c>
    </row>
    <row r="3302">
      <c r="A3302" s="4" t="inlineStr">
        <is>
          <t>390</t>
        </is>
      </c>
      <c r="B3302" s="4" t="n">
        <v>3</v>
      </c>
      <c r="C3302" s="4" t="inlineStr">
        <is>
          <t>elk</t>
        </is>
      </c>
      <c r="D3302" s="4" t="n">
        <v>2016</v>
      </c>
      <c r="E3302" s="13" t="inlineStr">
        <is>
          <t>General</t>
        </is>
      </c>
      <c r="F3302" s="5" t="n">
        <v>973</v>
      </c>
      <c r="G3302" s="5" t="n">
        <v>6954</v>
      </c>
      <c r="H3302" s="5" t="n">
        <v>273</v>
      </c>
      <c r="I3302" s="5" t="n">
        <v>78</v>
      </c>
      <c r="J3302" s="5" t="n">
        <v>189</v>
      </c>
      <c r="K3302" s="10">
        <f>IF(F3302&gt;0,H3302/F3302,"")</f>
        <v/>
      </c>
      <c r="L3302" s="16">
        <f>IF(AND(G3302&gt;0,H3302&gt;0),G3302/H3302,"")</f>
        <v/>
      </c>
    </row>
    <row r="3303">
      <c r="A3303" s="4" t="inlineStr">
        <is>
          <t>390</t>
        </is>
      </c>
      <c r="B3303" s="4" t="n">
        <v>3</v>
      </c>
      <c r="C3303" s="4" t="inlineStr">
        <is>
          <t>elk</t>
        </is>
      </c>
      <c r="D3303" s="4" t="n">
        <v>2017</v>
      </c>
      <c r="E3303" s="13" t="inlineStr">
        <is>
          <t>General</t>
        </is>
      </c>
      <c r="F3303" s="5" t="n"/>
      <c r="G3303" s="5" t="n"/>
      <c r="H3303" s="5" t="n">
        <v>453</v>
      </c>
      <c r="I3303" s="5" t="n">
        <v>214</v>
      </c>
      <c r="J3303" s="5" t="n">
        <v>210</v>
      </c>
      <c r="K3303" s="10">
        <f>IF(F3303&gt;0,H3303/F3303,"")</f>
        <v/>
      </c>
      <c r="L3303" s="16">
        <f>IF(AND(G3303&gt;0,H3303&gt;0),G3303/H3303,"")</f>
        <v/>
      </c>
    </row>
    <row r="3304">
      <c r="A3304" s="4" t="inlineStr">
        <is>
          <t>390</t>
        </is>
      </c>
      <c r="B3304" s="4" t="n">
        <v>3</v>
      </c>
      <c r="C3304" s="4" t="inlineStr">
        <is>
          <t>elk</t>
        </is>
      </c>
      <c r="D3304" s="4" t="n">
        <v>2018</v>
      </c>
      <c r="E3304" s="13" t="inlineStr">
        <is>
          <t>General</t>
        </is>
      </c>
      <c r="F3304" s="5" t="n">
        <v>1072</v>
      </c>
      <c r="G3304" s="5" t="n">
        <v>9062</v>
      </c>
      <c r="H3304" s="5" t="n">
        <v>318</v>
      </c>
      <c r="I3304" s="5" t="n">
        <v>102</v>
      </c>
      <c r="J3304" s="5" t="n">
        <v>207</v>
      </c>
      <c r="K3304" s="10">
        <f>IF(F3304&gt;0,H3304/F3304,"")</f>
        <v/>
      </c>
      <c r="L3304" s="16">
        <f>IF(AND(G3304&gt;0,H3304&gt;0),G3304/H3304,"")</f>
        <v/>
      </c>
    </row>
    <row r="3305">
      <c r="A3305" s="4" t="inlineStr">
        <is>
          <t>390</t>
        </is>
      </c>
      <c r="B3305" s="4" t="n">
        <v>3</v>
      </c>
      <c r="C3305" s="4" t="inlineStr">
        <is>
          <t>elk</t>
        </is>
      </c>
      <c r="D3305" s="4" t="n">
        <v>2019</v>
      </c>
      <c r="E3305" s="13" t="inlineStr">
        <is>
          <t>General</t>
        </is>
      </c>
      <c r="F3305" s="5" t="n"/>
      <c r="G3305" s="5" t="n"/>
      <c r="H3305" s="5" t="n">
        <v>194</v>
      </c>
      <c r="I3305" s="5" t="n">
        <v>66</v>
      </c>
      <c r="J3305" s="5" t="n">
        <v>116</v>
      </c>
      <c r="K3305" s="10">
        <f>IF(F3305&gt;0,H3305/F3305,"")</f>
        <v/>
      </c>
      <c r="L3305" s="16">
        <f>IF(AND(G3305&gt;0,H3305&gt;0),G3305/H3305,"")</f>
        <v/>
      </c>
    </row>
    <row r="3306">
      <c r="A3306" s="4" t="inlineStr">
        <is>
          <t>390</t>
        </is>
      </c>
      <c r="B3306" s="4" t="n">
        <v>3</v>
      </c>
      <c r="C3306" s="4" t="inlineStr">
        <is>
          <t>elk</t>
        </is>
      </c>
      <c r="D3306" s="4" t="n">
        <v>2020</v>
      </c>
      <c r="E3306" s="13" t="inlineStr">
        <is>
          <t>General</t>
        </is>
      </c>
      <c r="F3306" s="5" t="n">
        <v>952</v>
      </c>
      <c r="G3306" s="5" t="n">
        <v>6285</v>
      </c>
      <c r="H3306" s="5" t="n">
        <v>288</v>
      </c>
      <c r="I3306" s="5" t="n">
        <v>133</v>
      </c>
      <c r="J3306" s="5" t="n">
        <v>152</v>
      </c>
      <c r="K3306" s="10">
        <f>IF(F3306&gt;0,H3306/F3306,"")</f>
        <v/>
      </c>
      <c r="L3306" s="16">
        <f>IF(AND(G3306&gt;0,H3306&gt;0),G3306/H3306,"")</f>
        <v/>
      </c>
    </row>
    <row r="3307">
      <c r="A3307" s="4" t="inlineStr">
        <is>
          <t>390</t>
        </is>
      </c>
      <c r="B3307" s="4" t="n">
        <v>3</v>
      </c>
      <c r="C3307" s="4" t="inlineStr">
        <is>
          <t>elk</t>
        </is>
      </c>
      <c r="D3307" s="4" t="n">
        <v>2021</v>
      </c>
      <c r="E3307" s="13" t="inlineStr">
        <is>
          <t>General</t>
        </is>
      </c>
      <c r="F3307" s="5" t="n"/>
      <c r="G3307" s="5" t="n"/>
      <c r="H3307" s="5" t="n">
        <v>143</v>
      </c>
      <c r="I3307" s="5" t="n">
        <v>62</v>
      </c>
      <c r="J3307" s="5" t="n">
        <v>77</v>
      </c>
      <c r="K3307" s="10">
        <f>IF(F3307&gt;0,H3307/F3307,"")</f>
        <v/>
      </c>
      <c r="L3307" s="16">
        <f>IF(AND(G3307&gt;0,H3307&gt;0),G3307/H3307,"")</f>
        <v/>
      </c>
    </row>
    <row r="3308">
      <c r="A3308" s="4" t="inlineStr">
        <is>
          <t>390</t>
        </is>
      </c>
      <c r="B3308" s="4" t="n">
        <v>3</v>
      </c>
      <c r="C3308" s="4" t="inlineStr">
        <is>
          <t>elk</t>
        </is>
      </c>
      <c r="D3308" s="4" t="n">
        <v>2022</v>
      </c>
      <c r="E3308" s="13" t="inlineStr">
        <is>
          <t>General</t>
        </is>
      </c>
      <c r="F3308" s="5" t="n">
        <v>722</v>
      </c>
      <c r="G3308" s="5" t="n">
        <v>4807</v>
      </c>
      <c r="H3308" s="5" t="n">
        <v>202</v>
      </c>
      <c r="I3308" s="5" t="n">
        <v>100</v>
      </c>
      <c r="J3308" s="5" t="n">
        <v>99</v>
      </c>
      <c r="K3308" s="10">
        <f>IF(F3308&gt;0,H3308/F3308,"")</f>
        <v/>
      </c>
      <c r="L3308" s="16">
        <f>IF(AND(G3308&gt;0,H3308&gt;0),G3308/H3308,"")</f>
        <v/>
      </c>
    </row>
    <row r="3309">
      <c r="A3309" s="4" t="inlineStr">
        <is>
          <t>390</t>
        </is>
      </c>
      <c r="B3309" s="4" t="n">
        <v>3</v>
      </c>
      <c r="C3309" s="4" t="inlineStr">
        <is>
          <t>elk</t>
        </is>
      </c>
      <c r="D3309" s="4" t="n">
        <v>2023</v>
      </c>
      <c r="E3309" s="13" t="inlineStr">
        <is>
          <t>General</t>
        </is>
      </c>
      <c r="F3309" s="5" t="n"/>
      <c r="G3309" s="5" t="n"/>
      <c r="H3309" s="5" t="n">
        <v>163</v>
      </c>
      <c r="I3309" s="5" t="n">
        <v>68</v>
      </c>
      <c r="J3309" s="5" t="n">
        <v>96</v>
      </c>
      <c r="K3309" s="10">
        <f>IF(F3309&gt;0,H3309/F3309,"")</f>
        <v/>
      </c>
      <c r="L3309" s="16">
        <f>IF(AND(G3309&gt;0,H3309&gt;0),G3309/H3309,"")</f>
        <v/>
      </c>
    </row>
    <row r="3310">
      <c r="A3310" s="4" t="inlineStr">
        <is>
          <t>390</t>
        </is>
      </c>
      <c r="B3310" s="4" t="n">
        <v>3</v>
      </c>
      <c r="C3310" s="4" t="inlineStr">
        <is>
          <t>elk</t>
        </is>
      </c>
      <c r="D3310" s="4" t="n">
        <v>2024</v>
      </c>
      <c r="E3310" s="13" t="inlineStr">
        <is>
          <t>General</t>
        </is>
      </c>
      <c r="F3310" s="5" t="n">
        <v>790</v>
      </c>
      <c r="G3310" s="5" t="n">
        <v>6178</v>
      </c>
      <c r="H3310" s="5" t="n">
        <v>214</v>
      </c>
      <c r="I3310" s="5" t="n">
        <v>73</v>
      </c>
      <c r="J3310" s="5" t="n">
        <v>141</v>
      </c>
      <c r="K3310" s="10">
        <f>IF(F3310&gt;0,H3310/F3310,"")</f>
        <v/>
      </c>
      <c r="L3310" s="16">
        <f>IF(AND(G3310&gt;0,H3310&gt;0),G3310/H3310,"")</f>
        <v/>
      </c>
    </row>
    <row r="3311">
      <c r="A3311" s="4" t="inlineStr">
        <is>
          <t>390</t>
        </is>
      </c>
      <c r="B3311" s="4" t="n">
        <v>3</v>
      </c>
      <c r="C3311" s="4" t="inlineStr">
        <is>
          <t>elk</t>
        </is>
      </c>
      <c r="D3311" s="4" t="n">
        <v>2025</v>
      </c>
      <c r="E3311" s="13" t="inlineStr">
        <is>
          <t>General</t>
        </is>
      </c>
      <c r="F3311" s="5" t="n"/>
      <c r="G3311" s="5" t="n"/>
      <c r="H3311" s="5" t="n">
        <v>162</v>
      </c>
      <c r="I3311" s="5" t="n">
        <v>97</v>
      </c>
      <c r="J3311" s="5" t="n">
        <v>61</v>
      </c>
      <c r="K3311" s="10">
        <f>IF(F3311&gt;0,H3311/F3311,"")</f>
        <v/>
      </c>
      <c r="L3311" s="16">
        <f>IF(AND(G3311&gt;0,H3311&gt;0),G3311/H3311,"")</f>
        <v/>
      </c>
    </row>
    <row r="3312">
      <c r="A3312" s="4" t="inlineStr">
        <is>
          <t>391</t>
        </is>
      </c>
      <c r="B3312" s="4" t="n">
        <v>3</v>
      </c>
      <c r="C3312" s="4" t="inlineStr">
        <is>
          <t>elk</t>
        </is>
      </c>
      <c r="D3312" s="4" t="n">
        <v>2004</v>
      </c>
      <c r="E3312" s="13" t="inlineStr">
        <is>
          <t>General</t>
        </is>
      </c>
      <c r="F3312" s="5" t="n">
        <v>1163</v>
      </c>
      <c r="G3312" s="5" t="n">
        <v>7176</v>
      </c>
      <c r="H3312" s="5" t="n">
        <v>272</v>
      </c>
      <c r="I3312" s="5" t="n">
        <v>159</v>
      </c>
      <c r="J3312" s="5" t="n">
        <v>95</v>
      </c>
      <c r="K3312" s="10">
        <f>IF(F3312&gt;0,H3312/F3312,"")</f>
        <v/>
      </c>
      <c r="L3312" s="16">
        <f>IF(AND(G3312&gt;0,H3312&gt;0),G3312/H3312,"")</f>
        <v/>
      </c>
    </row>
    <row r="3313">
      <c r="A3313" s="4" t="inlineStr">
        <is>
          <t>391</t>
        </is>
      </c>
      <c r="B3313" s="4" t="n">
        <v>3</v>
      </c>
      <c r="C3313" s="4" t="inlineStr">
        <is>
          <t>elk</t>
        </is>
      </c>
      <c r="D3313" s="4" t="n">
        <v>2005</v>
      </c>
      <c r="E3313" s="13" t="inlineStr">
        <is>
          <t>General</t>
        </is>
      </c>
      <c r="F3313" s="5" t="n">
        <v>1011</v>
      </c>
      <c r="G3313" s="5" t="n">
        <v>5919</v>
      </c>
      <c r="H3313" s="5" t="n">
        <v>294</v>
      </c>
      <c r="I3313" s="5" t="n">
        <v>173</v>
      </c>
      <c r="J3313" s="5" t="n">
        <v>109</v>
      </c>
      <c r="K3313" s="10">
        <f>IF(F3313&gt;0,H3313/F3313,"")</f>
        <v/>
      </c>
      <c r="L3313" s="16">
        <f>IF(AND(G3313&gt;0,H3313&gt;0),G3313/H3313,"")</f>
        <v/>
      </c>
    </row>
    <row r="3314">
      <c r="A3314" s="4" t="inlineStr">
        <is>
          <t>391</t>
        </is>
      </c>
      <c r="B3314" s="4" t="n">
        <v>3</v>
      </c>
      <c r="C3314" s="4" t="inlineStr">
        <is>
          <t>elk</t>
        </is>
      </c>
      <c r="D3314" s="4" t="n">
        <v>2006</v>
      </c>
      <c r="E3314" s="13" t="inlineStr">
        <is>
          <t>General</t>
        </is>
      </c>
      <c r="F3314" s="5" t="n">
        <v>1012</v>
      </c>
      <c r="G3314" s="5" t="n">
        <v>6136</v>
      </c>
      <c r="H3314" s="5" t="n">
        <v>347</v>
      </c>
      <c r="I3314" s="5" t="n">
        <v>185</v>
      </c>
      <c r="J3314" s="5" t="n">
        <v>134</v>
      </c>
      <c r="K3314" s="10">
        <f>IF(F3314&gt;0,H3314/F3314,"")</f>
        <v/>
      </c>
      <c r="L3314" s="16">
        <f>IF(AND(G3314&gt;0,H3314&gt;0),G3314/H3314,"")</f>
        <v/>
      </c>
    </row>
    <row r="3315">
      <c r="A3315" s="4" t="inlineStr">
        <is>
          <t>391</t>
        </is>
      </c>
      <c r="B3315" s="4" t="n">
        <v>3</v>
      </c>
      <c r="C3315" s="4" t="inlineStr">
        <is>
          <t>elk</t>
        </is>
      </c>
      <c r="D3315" s="4" t="n">
        <v>2007</v>
      </c>
      <c r="E3315" s="13" t="inlineStr">
        <is>
          <t>General</t>
        </is>
      </c>
      <c r="F3315" s="5" t="n">
        <v>1091</v>
      </c>
      <c r="G3315" s="5" t="n">
        <v>6030</v>
      </c>
      <c r="H3315" s="5" t="n">
        <v>354</v>
      </c>
      <c r="I3315" s="5" t="n">
        <v>198</v>
      </c>
      <c r="J3315" s="5" t="n">
        <v>147</v>
      </c>
      <c r="K3315" s="10">
        <f>IF(F3315&gt;0,H3315/F3315,"")</f>
        <v/>
      </c>
      <c r="L3315" s="16">
        <f>IF(AND(G3315&gt;0,H3315&gt;0),G3315/H3315,"")</f>
        <v/>
      </c>
    </row>
    <row r="3316">
      <c r="A3316" s="4" t="inlineStr">
        <is>
          <t>391</t>
        </is>
      </c>
      <c r="B3316" s="4" t="n">
        <v>3</v>
      </c>
      <c r="C3316" s="4" t="inlineStr">
        <is>
          <t>elk</t>
        </is>
      </c>
      <c r="D3316" s="4" t="n">
        <v>2008</v>
      </c>
      <c r="E3316" s="13" t="inlineStr">
        <is>
          <t>General</t>
        </is>
      </c>
      <c r="F3316" s="5" t="n">
        <v>1289</v>
      </c>
      <c r="G3316" s="5" t="n">
        <v>9260</v>
      </c>
      <c r="H3316" s="5" t="n">
        <v>259</v>
      </c>
      <c r="I3316" s="5" t="n">
        <v>185</v>
      </c>
      <c r="J3316" s="5" t="n">
        <v>69</v>
      </c>
      <c r="K3316" s="10">
        <f>IF(F3316&gt;0,H3316/F3316,"")</f>
        <v/>
      </c>
      <c r="L3316" s="16">
        <f>IF(AND(G3316&gt;0,H3316&gt;0),G3316/H3316,"")</f>
        <v/>
      </c>
    </row>
    <row r="3317">
      <c r="A3317" s="4" t="inlineStr">
        <is>
          <t>391</t>
        </is>
      </c>
      <c r="B3317" s="4" t="n">
        <v>3</v>
      </c>
      <c r="C3317" s="4" t="inlineStr">
        <is>
          <t>elk</t>
        </is>
      </c>
      <c r="D3317" s="4" t="n">
        <v>2009</v>
      </c>
      <c r="E3317" s="13" t="inlineStr">
        <is>
          <t>General</t>
        </is>
      </c>
      <c r="F3317" s="5" t="n">
        <v>1298</v>
      </c>
      <c r="G3317" s="5" t="n">
        <v>8596</v>
      </c>
      <c r="H3317" s="5" t="n">
        <v>306</v>
      </c>
      <c r="I3317" s="5" t="n">
        <v>199</v>
      </c>
      <c r="J3317" s="5" t="n">
        <v>95</v>
      </c>
      <c r="K3317" s="10">
        <f>IF(F3317&gt;0,H3317/F3317,"")</f>
        <v/>
      </c>
      <c r="L3317" s="16">
        <f>IF(AND(G3317&gt;0,H3317&gt;0),G3317/H3317,"")</f>
        <v/>
      </c>
    </row>
    <row r="3318">
      <c r="A3318" s="4" t="inlineStr">
        <is>
          <t>391</t>
        </is>
      </c>
      <c r="B3318" s="4" t="n">
        <v>3</v>
      </c>
      <c r="C3318" s="4" t="inlineStr">
        <is>
          <t>elk</t>
        </is>
      </c>
      <c r="D3318" s="4" t="n">
        <v>2010</v>
      </c>
      <c r="E3318" s="13" t="inlineStr">
        <is>
          <t>General</t>
        </is>
      </c>
      <c r="F3318" s="5" t="n">
        <v>1259</v>
      </c>
      <c r="G3318" s="5" t="n">
        <v>8177</v>
      </c>
      <c r="H3318" s="5" t="n">
        <v>377</v>
      </c>
      <c r="I3318" s="5" t="n">
        <v>212</v>
      </c>
      <c r="J3318" s="5" t="n">
        <v>154</v>
      </c>
      <c r="K3318" s="10">
        <f>IF(F3318&gt;0,H3318/F3318,"")</f>
        <v/>
      </c>
      <c r="L3318" s="16">
        <f>IF(AND(G3318&gt;0,H3318&gt;0),G3318/H3318,"")</f>
        <v/>
      </c>
    </row>
    <row r="3319">
      <c r="A3319" s="4" t="inlineStr">
        <is>
          <t>391</t>
        </is>
      </c>
      <c r="B3319" s="4" t="n">
        <v>3</v>
      </c>
      <c r="C3319" s="4" t="inlineStr">
        <is>
          <t>elk</t>
        </is>
      </c>
      <c r="D3319" s="4" t="n">
        <v>2011</v>
      </c>
      <c r="E3319" s="13" t="inlineStr">
        <is>
          <t>General</t>
        </is>
      </c>
      <c r="F3319" s="5" t="n">
        <v>1227</v>
      </c>
      <c r="G3319" s="5" t="n">
        <v>8190</v>
      </c>
      <c r="H3319" s="5" t="n">
        <v>262</v>
      </c>
      <c r="I3319" s="5" t="n">
        <v>140</v>
      </c>
      <c r="J3319" s="5" t="n">
        <v>105</v>
      </c>
      <c r="K3319" s="10">
        <f>IF(F3319&gt;0,H3319/F3319,"")</f>
        <v/>
      </c>
      <c r="L3319" s="16">
        <f>IF(AND(G3319&gt;0,H3319&gt;0),G3319/H3319,"")</f>
        <v/>
      </c>
    </row>
    <row r="3320">
      <c r="A3320" s="4" t="inlineStr">
        <is>
          <t>391</t>
        </is>
      </c>
      <c r="B3320" s="4" t="n">
        <v>3</v>
      </c>
      <c r="C3320" s="4" t="inlineStr">
        <is>
          <t>elk</t>
        </is>
      </c>
      <c r="D3320" s="4" t="n">
        <v>2012</v>
      </c>
      <c r="E3320" s="13" t="inlineStr">
        <is>
          <t>General</t>
        </is>
      </c>
      <c r="F3320" s="5" t="n">
        <v>1310</v>
      </c>
      <c r="G3320" s="5" t="n">
        <v>8485</v>
      </c>
      <c r="H3320" s="5" t="n">
        <v>307</v>
      </c>
      <c r="I3320" s="5" t="n">
        <v>216</v>
      </c>
      <c r="J3320" s="5" t="n">
        <v>79</v>
      </c>
      <c r="K3320" s="10">
        <f>IF(F3320&gt;0,H3320/F3320,"")</f>
        <v/>
      </c>
      <c r="L3320" s="16">
        <f>IF(AND(G3320&gt;0,H3320&gt;0),G3320/H3320,"")</f>
        <v/>
      </c>
    </row>
    <row r="3321">
      <c r="A3321" s="4" t="inlineStr">
        <is>
          <t>391</t>
        </is>
      </c>
      <c r="B3321" s="4" t="n">
        <v>3</v>
      </c>
      <c r="C3321" s="4" t="inlineStr">
        <is>
          <t>elk</t>
        </is>
      </c>
      <c r="D3321" s="4" t="n">
        <v>2013</v>
      </c>
      <c r="E3321" s="13" t="inlineStr">
        <is>
          <t>General</t>
        </is>
      </c>
      <c r="F3321" s="5" t="n"/>
      <c r="G3321" s="5" t="n"/>
      <c r="H3321" s="5" t="n">
        <v>311</v>
      </c>
      <c r="I3321" s="5" t="n">
        <v>181</v>
      </c>
      <c r="J3321" s="5" t="n">
        <v>119</v>
      </c>
      <c r="K3321" s="10">
        <f>IF(F3321&gt;0,H3321/F3321,"")</f>
        <v/>
      </c>
      <c r="L3321" s="16">
        <f>IF(AND(G3321&gt;0,H3321&gt;0),G3321/H3321,"")</f>
        <v/>
      </c>
    </row>
    <row r="3322">
      <c r="A3322" s="4" t="inlineStr">
        <is>
          <t>391</t>
        </is>
      </c>
      <c r="B3322" s="4" t="n">
        <v>3</v>
      </c>
      <c r="C3322" s="4" t="inlineStr">
        <is>
          <t>elk</t>
        </is>
      </c>
      <c r="D3322" s="4" t="n">
        <v>2014</v>
      </c>
      <c r="E3322" s="13" t="inlineStr">
        <is>
          <t>General</t>
        </is>
      </c>
      <c r="F3322" s="5" t="n">
        <v>1579</v>
      </c>
      <c r="G3322" s="5" t="n">
        <v>11355</v>
      </c>
      <c r="H3322" s="5" t="n">
        <v>406</v>
      </c>
      <c r="I3322" s="5" t="n">
        <v>239</v>
      </c>
      <c r="J3322" s="5" t="n">
        <v>152</v>
      </c>
      <c r="K3322" s="10">
        <f>IF(F3322&gt;0,H3322/F3322,"")</f>
        <v/>
      </c>
      <c r="L3322" s="16">
        <f>IF(AND(G3322&gt;0,H3322&gt;0),G3322/H3322,"")</f>
        <v/>
      </c>
    </row>
    <row r="3323">
      <c r="A3323" s="4" t="inlineStr">
        <is>
          <t>391</t>
        </is>
      </c>
      <c r="B3323" s="4" t="n">
        <v>3</v>
      </c>
      <c r="C3323" s="4" t="inlineStr">
        <is>
          <t>elk</t>
        </is>
      </c>
      <c r="D3323" s="4" t="n">
        <v>2015</v>
      </c>
      <c r="E3323" s="13" t="inlineStr">
        <is>
          <t>General</t>
        </is>
      </c>
      <c r="F3323" s="5" t="n">
        <v>1677</v>
      </c>
      <c r="G3323" s="5" t="n">
        <v>12437</v>
      </c>
      <c r="H3323" s="5" t="n">
        <v>498</v>
      </c>
      <c r="I3323" s="5" t="n">
        <v>270</v>
      </c>
      <c r="J3323" s="5" t="n">
        <v>204</v>
      </c>
      <c r="K3323" s="10">
        <f>IF(F3323&gt;0,H3323/F3323,"")</f>
        <v/>
      </c>
      <c r="L3323" s="16">
        <f>IF(AND(G3323&gt;0,H3323&gt;0),G3323/H3323,"")</f>
        <v/>
      </c>
    </row>
    <row r="3324">
      <c r="A3324" s="4" t="inlineStr">
        <is>
          <t>391</t>
        </is>
      </c>
      <c r="B3324" s="4" t="n">
        <v>3</v>
      </c>
      <c r="C3324" s="4" t="inlineStr">
        <is>
          <t>elk</t>
        </is>
      </c>
      <c r="D3324" s="4" t="n">
        <v>2016</v>
      </c>
      <c r="E3324" s="13" t="inlineStr">
        <is>
          <t>General</t>
        </is>
      </c>
      <c r="F3324" s="5" t="n">
        <v>2259</v>
      </c>
      <c r="G3324" s="5" t="n">
        <v>17734</v>
      </c>
      <c r="H3324" s="5" t="n">
        <v>613</v>
      </c>
      <c r="I3324" s="5" t="n">
        <v>224</v>
      </c>
      <c r="J3324" s="5" t="n">
        <v>367</v>
      </c>
      <c r="K3324" s="10">
        <f>IF(F3324&gt;0,H3324/F3324,"")</f>
        <v/>
      </c>
      <c r="L3324" s="16">
        <f>IF(AND(G3324&gt;0,H3324&gt;0),G3324/H3324,"")</f>
        <v/>
      </c>
    </row>
    <row r="3325">
      <c r="A3325" s="4" t="inlineStr">
        <is>
          <t>391</t>
        </is>
      </c>
      <c r="B3325" s="4" t="n">
        <v>3</v>
      </c>
      <c r="C3325" s="4" t="inlineStr">
        <is>
          <t>elk</t>
        </is>
      </c>
      <c r="D3325" s="4" t="n">
        <v>2017</v>
      </c>
      <c r="E3325" s="13" t="inlineStr">
        <is>
          <t>General</t>
        </is>
      </c>
      <c r="F3325" s="5" t="n"/>
      <c r="G3325" s="5" t="n"/>
      <c r="H3325" s="5" t="n">
        <v>841</v>
      </c>
      <c r="I3325" s="5" t="n">
        <v>343</v>
      </c>
      <c r="J3325" s="5" t="n">
        <v>448</v>
      </c>
      <c r="K3325" s="10">
        <f>IF(F3325&gt;0,H3325/F3325,"")</f>
        <v/>
      </c>
      <c r="L3325" s="16">
        <f>IF(AND(G3325&gt;0,H3325&gt;0),G3325/H3325,"")</f>
        <v/>
      </c>
    </row>
    <row r="3326">
      <c r="A3326" s="4" t="inlineStr">
        <is>
          <t>391</t>
        </is>
      </c>
      <c r="B3326" s="4" t="n">
        <v>3</v>
      </c>
      <c r="C3326" s="4" t="inlineStr">
        <is>
          <t>elk</t>
        </is>
      </c>
      <c r="D3326" s="4" t="n">
        <v>2018</v>
      </c>
      <c r="E3326" s="13" t="inlineStr">
        <is>
          <t>General</t>
        </is>
      </c>
      <c r="F3326" s="5" t="n">
        <v>2270</v>
      </c>
      <c r="G3326" s="5" t="n">
        <v>17217</v>
      </c>
      <c r="H3326" s="5" t="n">
        <v>505</v>
      </c>
      <c r="I3326" s="5" t="n">
        <v>212</v>
      </c>
      <c r="J3326" s="5" t="n">
        <v>272</v>
      </c>
      <c r="K3326" s="10">
        <f>IF(F3326&gt;0,H3326/F3326,"")</f>
        <v/>
      </c>
      <c r="L3326" s="16">
        <f>IF(AND(G3326&gt;0,H3326&gt;0),G3326/H3326,"")</f>
        <v/>
      </c>
    </row>
    <row r="3327">
      <c r="A3327" s="4" t="inlineStr">
        <is>
          <t>391</t>
        </is>
      </c>
      <c r="B3327" s="4" t="n">
        <v>3</v>
      </c>
      <c r="C3327" s="4" t="inlineStr">
        <is>
          <t>elk</t>
        </is>
      </c>
      <c r="D3327" s="4" t="n">
        <v>2019</v>
      </c>
      <c r="E3327" s="13" t="inlineStr">
        <is>
          <t>General</t>
        </is>
      </c>
      <c r="F3327" s="5" t="n"/>
      <c r="G3327" s="5" t="n"/>
      <c r="H3327" s="5" t="n">
        <v>375</v>
      </c>
      <c r="I3327" s="5" t="n">
        <v>204</v>
      </c>
      <c r="J3327" s="5" t="n">
        <v>169</v>
      </c>
      <c r="K3327" s="10">
        <f>IF(F3327&gt;0,H3327/F3327,"")</f>
        <v/>
      </c>
      <c r="L3327" s="16">
        <f>IF(AND(G3327&gt;0,H3327&gt;0),G3327/H3327,"")</f>
        <v/>
      </c>
    </row>
    <row r="3328">
      <c r="A3328" s="4" t="inlineStr">
        <is>
          <t>391</t>
        </is>
      </c>
      <c r="B3328" s="4" t="n">
        <v>3</v>
      </c>
      <c r="C3328" s="4" t="inlineStr">
        <is>
          <t>elk</t>
        </is>
      </c>
      <c r="D3328" s="4" t="n">
        <v>2020</v>
      </c>
      <c r="E3328" s="13" t="inlineStr">
        <is>
          <t>General</t>
        </is>
      </c>
      <c r="F3328" s="5" t="n">
        <v>1943</v>
      </c>
      <c r="G3328" s="5" t="n">
        <v>14367</v>
      </c>
      <c r="H3328" s="5" t="n">
        <v>323</v>
      </c>
      <c r="I3328" s="5" t="n">
        <v>184</v>
      </c>
      <c r="J3328" s="5" t="n">
        <v>123</v>
      </c>
      <c r="K3328" s="10">
        <f>IF(F3328&gt;0,H3328/F3328,"")</f>
        <v/>
      </c>
      <c r="L3328" s="16">
        <f>IF(AND(G3328&gt;0,H3328&gt;0),G3328/H3328,"")</f>
        <v/>
      </c>
    </row>
    <row r="3329">
      <c r="A3329" s="4" t="inlineStr">
        <is>
          <t>391</t>
        </is>
      </c>
      <c r="B3329" s="4" t="n">
        <v>3</v>
      </c>
      <c r="C3329" s="4" t="inlineStr">
        <is>
          <t>elk</t>
        </is>
      </c>
      <c r="D3329" s="4" t="n">
        <v>2021</v>
      </c>
      <c r="E3329" s="13" t="inlineStr">
        <is>
          <t>General</t>
        </is>
      </c>
      <c r="F3329" s="5" t="n"/>
      <c r="G3329" s="5" t="n"/>
      <c r="H3329" s="5" t="n">
        <v>405</v>
      </c>
      <c r="I3329" s="5" t="n">
        <v>234</v>
      </c>
      <c r="J3329" s="5" t="n">
        <v>147</v>
      </c>
      <c r="K3329" s="10">
        <f>IF(F3329&gt;0,H3329/F3329,"")</f>
        <v/>
      </c>
      <c r="L3329" s="16">
        <f>IF(AND(G3329&gt;0,H3329&gt;0),G3329/H3329,"")</f>
        <v/>
      </c>
    </row>
    <row r="3330">
      <c r="A3330" s="4" t="inlineStr">
        <is>
          <t>391</t>
        </is>
      </c>
      <c r="B3330" s="4" t="n">
        <v>3</v>
      </c>
      <c r="C3330" s="4" t="inlineStr">
        <is>
          <t>elk</t>
        </is>
      </c>
      <c r="D3330" s="4" t="n">
        <v>2022</v>
      </c>
      <c r="E3330" s="13" t="inlineStr">
        <is>
          <t>General</t>
        </is>
      </c>
      <c r="F3330" s="5" t="n">
        <v>1727</v>
      </c>
      <c r="G3330" s="5" t="n">
        <v>13256</v>
      </c>
      <c r="H3330" s="5" t="n">
        <v>287</v>
      </c>
      <c r="I3330" s="5" t="n">
        <v>154</v>
      </c>
      <c r="J3330" s="5" t="n">
        <v>127</v>
      </c>
      <c r="K3330" s="10">
        <f>IF(F3330&gt;0,H3330/F3330,"")</f>
        <v/>
      </c>
      <c r="L3330" s="16">
        <f>IF(AND(G3330&gt;0,H3330&gt;0),G3330/H3330,"")</f>
        <v/>
      </c>
    </row>
    <row r="3331">
      <c r="A3331" s="4" t="inlineStr">
        <is>
          <t>391</t>
        </is>
      </c>
      <c r="B3331" s="4" t="n">
        <v>3</v>
      </c>
      <c r="C3331" s="4" t="inlineStr">
        <is>
          <t>elk</t>
        </is>
      </c>
      <c r="D3331" s="4" t="n">
        <v>2023</v>
      </c>
      <c r="E3331" s="13" t="inlineStr">
        <is>
          <t>General</t>
        </is>
      </c>
      <c r="F3331" s="5" t="n"/>
      <c r="G3331" s="5" t="n"/>
      <c r="H3331" s="5" t="n">
        <v>261</v>
      </c>
      <c r="I3331" s="5" t="n">
        <v>189</v>
      </c>
      <c r="J3331" s="5" t="n">
        <v>61</v>
      </c>
      <c r="K3331" s="10">
        <f>IF(F3331&gt;0,H3331/F3331,"")</f>
        <v/>
      </c>
      <c r="L3331" s="16">
        <f>IF(AND(G3331&gt;0,H3331&gt;0),G3331/H3331,"")</f>
        <v/>
      </c>
    </row>
    <row r="3332">
      <c r="A3332" s="4" t="inlineStr">
        <is>
          <t>391</t>
        </is>
      </c>
      <c r="B3332" s="4" t="n">
        <v>3</v>
      </c>
      <c r="C3332" s="4" t="inlineStr">
        <is>
          <t>elk</t>
        </is>
      </c>
      <c r="D3332" s="4" t="n">
        <v>2025</v>
      </c>
      <c r="E3332" s="13" t="inlineStr">
        <is>
          <t>General</t>
        </is>
      </c>
      <c r="F3332" s="5" t="n"/>
      <c r="G3332" s="5" t="n"/>
      <c r="H3332" s="5" t="n">
        <v>313</v>
      </c>
      <c r="I3332" s="5" t="n">
        <v>189</v>
      </c>
      <c r="J3332" s="5" t="n">
        <v>118</v>
      </c>
      <c r="K3332" s="10">
        <f>IF(F3332&gt;0,H3332/F3332,"")</f>
        <v/>
      </c>
      <c r="L3332" s="16">
        <f>IF(AND(G3332&gt;0,H3332&gt;0),G3332/H3332,"")</f>
        <v/>
      </c>
    </row>
    <row r="3333">
      <c r="A3333" s="4" t="inlineStr">
        <is>
          <t>391N</t>
        </is>
      </c>
      <c r="B3333" s="4" t="n">
        <v>3</v>
      </c>
      <c r="C3333" s="4" t="inlineStr">
        <is>
          <t>elk</t>
        </is>
      </c>
      <c r="D3333" s="4" t="n">
        <v>2024</v>
      </c>
      <c r="E3333" s="13" t="inlineStr">
        <is>
          <t>General</t>
        </is>
      </c>
      <c r="F3333" s="5" t="n">
        <v>1078</v>
      </c>
      <c r="G3333" s="5" t="n">
        <v>8246</v>
      </c>
      <c r="H3333" s="5" t="n">
        <v>182</v>
      </c>
      <c r="I3333" s="5" t="n">
        <v>75</v>
      </c>
      <c r="J3333" s="5" t="n">
        <v>99</v>
      </c>
      <c r="K3333" s="10">
        <f>IF(F3333&gt;0,H3333/F3333,"")</f>
        <v/>
      </c>
      <c r="L3333" s="16">
        <f>IF(AND(G3333&gt;0,H3333&gt;0),G3333/H3333,"")</f>
        <v/>
      </c>
    </row>
    <row r="3334">
      <c r="A3334" s="4" t="inlineStr">
        <is>
          <t>391S</t>
        </is>
      </c>
      <c r="B3334" s="4" t="n">
        <v>3</v>
      </c>
      <c r="C3334" s="4" t="inlineStr">
        <is>
          <t>elk</t>
        </is>
      </c>
      <c r="D3334" s="4" t="n">
        <v>2024</v>
      </c>
      <c r="E3334" s="13" t="inlineStr">
        <is>
          <t>General</t>
        </is>
      </c>
      <c r="F3334" s="5" t="n">
        <v>826</v>
      </c>
      <c r="G3334" s="5" t="n">
        <v>6632</v>
      </c>
      <c r="H3334" s="5" t="n">
        <v>150</v>
      </c>
      <c r="I3334" s="5" t="n">
        <v>60</v>
      </c>
      <c r="J3334" s="5" t="n">
        <v>86</v>
      </c>
      <c r="K3334" s="10">
        <f>IF(F3334&gt;0,H3334/F3334,"")</f>
        <v/>
      </c>
      <c r="L3334" s="16">
        <f>IF(AND(G3334&gt;0,H3334&gt;0),G3334/H3334,"")</f>
        <v/>
      </c>
    </row>
    <row r="3335">
      <c r="A3335" s="4" t="inlineStr">
        <is>
          <t>392</t>
        </is>
      </c>
      <c r="B3335" s="4" t="n">
        <v>3</v>
      </c>
      <c r="C3335" s="4" t="inlineStr">
        <is>
          <t>elk</t>
        </is>
      </c>
      <c r="D3335" s="4" t="n">
        <v>2004</v>
      </c>
      <c r="E3335" s="13" t="inlineStr">
        <is>
          <t>General</t>
        </is>
      </c>
      <c r="F3335" s="5" t="n">
        <v>1880</v>
      </c>
      <c r="G3335" s="5" t="n">
        <v>12749</v>
      </c>
      <c r="H3335" s="5" t="n">
        <v>307</v>
      </c>
      <c r="I3335" s="5" t="n">
        <v>125</v>
      </c>
      <c r="J3335" s="5" t="n">
        <v>169</v>
      </c>
      <c r="K3335" s="10">
        <f>IF(F3335&gt;0,H3335/F3335,"")</f>
        <v/>
      </c>
      <c r="L3335" s="16">
        <f>IF(AND(G3335&gt;0,H3335&gt;0),G3335/H3335,"")</f>
        <v/>
      </c>
    </row>
    <row r="3336">
      <c r="A3336" s="4" t="inlineStr">
        <is>
          <t>392</t>
        </is>
      </c>
      <c r="B3336" s="4" t="n">
        <v>3</v>
      </c>
      <c r="C3336" s="4" t="inlineStr">
        <is>
          <t>elk</t>
        </is>
      </c>
      <c r="D3336" s="4" t="n">
        <v>2005</v>
      </c>
      <c r="E3336" s="13" t="inlineStr">
        <is>
          <t>General</t>
        </is>
      </c>
      <c r="F3336" s="5" t="n">
        <v>1649</v>
      </c>
      <c r="G3336" s="5" t="n">
        <v>11028</v>
      </c>
      <c r="H3336" s="5" t="n">
        <v>310</v>
      </c>
      <c r="I3336" s="5" t="n">
        <v>139</v>
      </c>
      <c r="J3336" s="5" t="n">
        <v>155</v>
      </c>
      <c r="K3336" s="10">
        <f>IF(F3336&gt;0,H3336/F3336,"")</f>
        <v/>
      </c>
      <c r="L3336" s="16">
        <f>IF(AND(G3336&gt;0,H3336&gt;0),G3336/H3336,"")</f>
        <v/>
      </c>
    </row>
    <row r="3337">
      <c r="A3337" s="4" t="inlineStr">
        <is>
          <t>392</t>
        </is>
      </c>
      <c r="B3337" s="4" t="n">
        <v>3</v>
      </c>
      <c r="C3337" s="4" t="inlineStr">
        <is>
          <t>elk</t>
        </is>
      </c>
      <c r="D3337" s="4" t="n">
        <v>2006</v>
      </c>
      <c r="E3337" s="13" t="inlineStr">
        <is>
          <t>General</t>
        </is>
      </c>
      <c r="F3337" s="5" t="n">
        <v>1860</v>
      </c>
      <c r="G3337" s="5" t="n">
        <v>11852</v>
      </c>
      <c r="H3337" s="5" t="n">
        <v>353</v>
      </c>
      <c r="I3337" s="5" t="n">
        <v>172</v>
      </c>
      <c r="J3337" s="5" t="n">
        <v>163</v>
      </c>
      <c r="K3337" s="10">
        <f>IF(F3337&gt;0,H3337/F3337,"")</f>
        <v/>
      </c>
      <c r="L3337" s="16">
        <f>IF(AND(G3337&gt;0,H3337&gt;0),G3337/H3337,"")</f>
        <v/>
      </c>
    </row>
    <row r="3338">
      <c r="A3338" s="4" t="inlineStr">
        <is>
          <t>392</t>
        </is>
      </c>
      <c r="B3338" s="4" t="n">
        <v>3</v>
      </c>
      <c r="C3338" s="4" t="inlineStr">
        <is>
          <t>elk</t>
        </is>
      </c>
      <c r="D3338" s="4" t="n">
        <v>2007</v>
      </c>
      <c r="E3338" s="13" t="inlineStr">
        <is>
          <t>General</t>
        </is>
      </c>
      <c r="F3338" s="5" t="n">
        <v>1827</v>
      </c>
      <c r="G3338" s="5" t="n">
        <v>13070</v>
      </c>
      <c r="H3338" s="5" t="n">
        <v>404</v>
      </c>
      <c r="I3338" s="5" t="n">
        <v>192</v>
      </c>
      <c r="J3338" s="5" t="n">
        <v>212</v>
      </c>
      <c r="K3338" s="10">
        <f>IF(F3338&gt;0,H3338/F3338,"")</f>
        <v/>
      </c>
      <c r="L3338" s="16">
        <f>IF(AND(G3338&gt;0,H3338&gt;0),G3338/H3338,"")</f>
        <v/>
      </c>
    </row>
    <row r="3339">
      <c r="A3339" s="4" t="inlineStr">
        <is>
          <t>392</t>
        </is>
      </c>
      <c r="B3339" s="4" t="n">
        <v>3</v>
      </c>
      <c r="C3339" s="4" t="inlineStr">
        <is>
          <t>elk</t>
        </is>
      </c>
      <c r="D3339" s="4" t="n">
        <v>2008</v>
      </c>
      <c r="E3339" s="13" t="inlineStr">
        <is>
          <t>General</t>
        </is>
      </c>
      <c r="F3339" s="5" t="n">
        <v>1787</v>
      </c>
      <c r="G3339" s="5" t="n">
        <v>14313</v>
      </c>
      <c r="H3339" s="5" t="n">
        <v>251</v>
      </c>
      <c r="I3339" s="5" t="n">
        <v>122</v>
      </c>
      <c r="J3339" s="5" t="n">
        <v>122</v>
      </c>
      <c r="K3339" s="10">
        <f>IF(F3339&gt;0,H3339/F3339,"")</f>
        <v/>
      </c>
      <c r="L3339" s="16">
        <f>IF(AND(G3339&gt;0,H3339&gt;0),G3339/H3339,"")</f>
        <v/>
      </c>
    </row>
    <row r="3340">
      <c r="A3340" s="4" t="inlineStr">
        <is>
          <t>392</t>
        </is>
      </c>
      <c r="B3340" s="4" t="n">
        <v>3</v>
      </c>
      <c r="C3340" s="4" t="inlineStr">
        <is>
          <t>elk</t>
        </is>
      </c>
      <c r="D3340" s="4" t="n">
        <v>2009</v>
      </c>
      <c r="E3340" s="13" t="inlineStr">
        <is>
          <t>General</t>
        </is>
      </c>
      <c r="F3340" s="5" t="n">
        <v>1860</v>
      </c>
      <c r="G3340" s="5" t="n">
        <v>14039</v>
      </c>
      <c r="H3340" s="5" t="n">
        <v>337</v>
      </c>
      <c r="I3340" s="5" t="n">
        <v>157</v>
      </c>
      <c r="J3340" s="5" t="n">
        <v>165</v>
      </c>
      <c r="K3340" s="10">
        <f>IF(F3340&gt;0,H3340/F3340,"")</f>
        <v/>
      </c>
      <c r="L3340" s="16">
        <f>IF(AND(G3340&gt;0,H3340&gt;0),G3340/H3340,"")</f>
        <v/>
      </c>
    </row>
    <row r="3341">
      <c r="A3341" s="4" t="inlineStr">
        <is>
          <t>392</t>
        </is>
      </c>
      <c r="B3341" s="4" t="n">
        <v>3</v>
      </c>
      <c r="C3341" s="4" t="inlineStr">
        <is>
          <t>elk</t>
        </is>
      </c>
      <c r="D3341" s="4" t="n">
        <v>2010</v>
      </c>
      <c r="E3341" s="13" t="inlineStr">
        <is>
          <t>General</t>
        </is>
      </c>
      <c r="F3341" s="5" t="n">
        <v>1970</v>
      </c>
      <c r="G3341" s="5" t="n">
        <v>14498</v>
      </c>
      <c r="H3341" s="5" t="n">
        <v>488</v>
      </c>
      <c r="I3341" s="5" t="n">
        <v>161</v>
      </c>
      <c r="J3341" s="5" t="n">
        <v>282</v>
      </c>
      <c r="K3341" s="10">
        <f>IF(F3341&gt;0,H3341/F3341,"")</f>
        <v/>
      </c>
      <c r="L3341" s="16">
        <f>IF(AND(G3341&gt;0,H3341&gt;0),G3341/H3341,"")</f>
        <v/>
      </c>
    </row>
    <row r="3342">
      <c r="A3342" s="4" t="inlineStr">
        <is>
          <t>392</t>
        </is>
      </c>
      <c r="B3342" s="4" t="n">
        <v>3</v>
      </c>
      <c r="C3342" s="4" t="inlineStr">
        <is>
          <t>elk</t>
        </is>
      </c>
      <c r="D3342" s="4" t="n">
        <v>2011</v>
      </c>
      <c r="E3342" s="13" t="inlineStr">
        <is>
          <t>General</t>
        </is>
      </c>
      <c r="F3342" s="5" t="n">
        <v>1893</v>
      </c>
      <c r="G3342" s="5" t="n">
        <v>14830</v>
      </c>
      <c r="H3342" s="5" t="n">
        <v>360</v>
      </c>
      <c r="I3342" s="5" t="n">
        <v>158</v>
      </c>
      <c r="J3342" s="5" t="n">
        <v>188</v>
      </c>
      <c r="K3342" s="10">
        <f>IF(F3342&gt;0,H3342/F3342,"")</f>
        <v/>
      </c>
      <c r="L3342" s="16">
        <f>IF(AND(G3342&gt;0,H3342&gt;0),G3342/H3342,"")</f>
        <v/>
      </c>
    </row>
    <row r="3343">
      <c r="A3343" s="4" t="inlineStr">
        <is>
          <t>392</t>
        </is>
      </c>
      <c r="B3343" s="4" t="n">
        <v>3</v>
      </c>
      <c r="C3343" s="4" t="inlineStr">
        <is>
          <t>elk</t>
        </is>
      </c>
      <c r="D3343" s="4" t="n">
        <v>2012</v>
      </c>
      <c r="E3343" s="13" t="inlineStr">
        <is>
          <t>General</t>
        </is>
      </c>
      <c r="F3343" s="5" t="n">
        <v>1753</v>
      </c>
      <c r="G3343" s="5" t="n">
        <v>13856</v>
      </c>
      <c r="H3343" s="5" t="n">
        <v>240</v>
      </c>
      <c r="I3343" s="5" t="n">
        <v>159</v>
      </c>
      <c r="J3343" s="5" t="n">
        <v>81</v>
      </c>
      <c r="K3343" s="10">
        <f>IF(F3343&gt;0,H3343/F3343,"")</f>
        <v/>
      </c>
      <c r="L3343" s="16">
        <f>IF(AND(G3343&gt;0,H3343&gt;0),G3343/H3343,"")</f>
        <v/>
      </c>
    </row>
    <row r="3344">
      <c r="A3344" s="4" t="inlineStr">
        <is>
          <t>392</t>
        </is>
      </c>
      <c r="B3344" s="4" t="n">
        <v>3</v>
      </c>
      <c r="C3344" s="4" t="inlineStr">
        <is>
          <t>elk</t>
        </is>
      </c>
      <c r="D3344" s="4" t="n">
        <v>2013</v>
      </c>
      <c r="E3344" s="13" t="inlineStr">
        <is>
          <t>General</t>
        </is>
      </c>
      <c r="F3344" s="5" t="n"/>
      <c r="G3344" s="5" t="n"/>
      <c r="H3344" s="5" t="n">
        <v>317</v>
      </c>
      <c r="I3344" s="5" t="n">
        <v>162</v>
      </c>
      <c r="J3344" s="5" t="n">
        <v>150</v>
      </c>
      <c r="K3344" s="10">
        <f>IF(F3344&gt;0,H3344/F3344,"")</f>
        <v/>
      </c>
      <c r="L3344" s="16">
        <f>IF(AND(G3344&gt;0,H3344&gt;0),G3344/H3344,"")</f>
        <v/>
      </c>
    </row>
    <row r="3345">
      <c r="A3345" s="4" t="inlineStr">
        <is>
          <t>392</t>
        </is>
      </c>
      <c r="B3345" s="4" t="n">
        <v>3</v>
      </c>
      <c r="C3345" s="4" t="inlineStr">
        <is>
          <t>elk</t>
        </is>
      </c>
      <c r="D3345" s="4" t="n">
        <v>2014</v>
      </c>
      <c r="E3345" s="13" t="inlineStr">
        <is>
          <t>General</t>
        </is>
      </c>
      <c r="F3345" s="5" t="n">
        <v>2018</v>
      </c>
      <c r="G3345" s="5" t="n">
        <v>14997</v>
      </c>
      <c r="H3345" s="5" t="n">
        <v>350</v>
      </c>
      <c r="I3345" s="5" t="n">
        <v>174</v>
      </c>
      <c r="J3345" s="5" t="n">
        <v>164</v>
      </c>
      <c r="K3345" s="10">
        <f>IF(F3345&gt;0,H3345/F3345,"")</f>
        <v/>
      </c>
      <c r="L3345" s="16">
        <f>IF(AND(G3345&gt;0,H3345&gt;0),G3345/H3345,"")</f>
        <v/>
      </c>
    </row>
    <row r="3346">
      <c r="A3346" s="4" t="inlineStr">
        <is>
          <t>392</t>
        </is>
      </c>
      <c r="B3346" s="4" t="n">
        <v>3</v>
      </c>
      <c r="C3346" s="4" t="inlineStr">
        <is>
          <t>elk</t>
        </is>
      </c>
      <c r="D3346" s="4" t="n">
        <v>2015</v>
      </c>
      <c r="E3346" s="13" t="inlineStr">
        <is>
          <t>General</t>
        </is>
      </c>
      <c r="F3346" s="5" t="n">
        <v>1968</v>
      </c>
      <c r="G3346" s="5" t="n">
        <v>16100</v>
      </c>
      <c r="H3346" s="5" t="n">
        <v>457</v>
      </c>
      <c r="I3346" s="5" t="n">
        <v>167</v>
      </c>
      <c r="J3346" s="5" t="n">
        <v>277</v>
      </c>
      <c r="K3346" s="10">
        <f>IF(F3346&gt;0,H3346/F3346,"")</f>
        <v/>
      </c>
      <c r="L3346" s="16">
        <f>IF(AND(G3346&gt;0,H3346&gt;0),G3346/H3346,"")</f>
        <v/>
      </c>
    </row>
    <row r="3347">
      <c r="A3347" s="4" t="inlineStr">
        <is>
          <t>392</t>
        </is>
      </c>
      <c r="B3347" s="4" t="n">
        <v>3</v>
      </c>
      <c r="C3347" s="4" t="inlineStr">
        <is>
          <t>elk</t>
        </is>
      </c>
      <c r="D3347" s="4" t="n">
        <v>2016</v>
      </c>
      <c r="E3347" s="13" t="inlineStr">
        <is>
          <t>General</t>
        </is>
      </c>
      <c r="F3347" s="5" t="n">
        <v>1373</v>
      </c>
      <c r="G3347" s="5" t="n">
        <v>10669</v>
      </c>
      <c r="H3347" s="5" t="n">
        <v>131</v>
      </c>
      <c r="I3347" s="5" t="n">
        <v>81</v>
      </c>
      <c r="J3347" s="5" t="n">
        <v>47</v>
      </c>
      <c r="K3347" s="10">
        <f>IF(F3347&gt;0,H3347/F3347,"")</f>
        <v/>
      </c>
      <c r="L3347" s="16">
        <f>IF(AND(G3347&gt;0,H3347&gt;0),G3347/H3347,"")</f>
        <v/>
      </c>
    </row>
    <row r="3348">
      <c r="A3348" s="4" t="inlineStr">
        <is>
          <t>392</t>
        </is>
      </c>
      <c r="B3348" s="4" t="n">
        <v>3</v>
      </c>
      <c r="C3348" s="4" t="inlineStr">
        <is>
          <t>elk</t>
        </is>
      </c>
      <c r="D3348" s="4" t="n">
        <v>2017</v>
      </c>
      <c r="E3348" s="13" t="inlineStr">
        <is>
          <t>General</t>
        </is>
      </c>
      <c r="F3348" s="5" t="n"/>
      <c r="G3348" s="5" t="n"/>
      <c r="H3348" s="5" t="n">
        <v>158</v>
      </c>
      <c r="I3348" s="5" t="n">
        <v>97</v>
      </c>
      <c r="J3348" s="5" t="n">
        <v>53</v>
      </c>
      <c r="K3348" s="10">
        <f>IF(F3348&gt;0,H3348/F3348,"")</f>
        <v/>
      </c>
      <c r="L3348" s="16">
        <f>IF(AND(G3348&gt;0,H3348&gt;0),G3348/H3348,"")</f>
        <v/>
      </c>
    </row>
    <row r="3349">
      <c r="A3349" s="4" t="inlineStr">
        <is>
          <t>392</t>
        </is>
      </c>
      <c r="B3349" s="4" t="n">
        <v>3</v>
      </c>
      <c r="C3349" s="4" t="inlineStr">
        <is>
          <t>elk</t>
        </is>
      </c>
      <c r="D3349" s="4" t="n">
        <v>2018</v>
      </c>
      <c r="E3349" s="13" t="inlineStr">
        <is>
          <t>General</t>
        </is>
      </c>
      <c r="F3349" s="5" t="n">
        <v>1217</v>
      </c>
      <c r="G3349" s="5" t="n">
        <v>8487</v>
      </c>
      <c r="H3349" s="5" t="n">
        <v>187</v>
      </c>
      <c r="I3349" s="5" t="n">
        <v>118</v>
      </c>
      <c r="J3349" s="5" t="n">
        <v>69</v>
      </c>
      <c r="K3349" s="10">
        <f>IF(F3349&gt;0,H3349/F3349,"")</f>
        <v/>
      </c>
      <c r="L3349" s="16">
        <f>IF(AND(G3349&gt;0,H3349&gt;0),G3349/H3349,"")</f>
        <v/>
      </c>
    </row>
    <row r="3350">
      <c r="A3350" s="4" t="inlineStr">
        <is>
          <t>392</t>
        </is>
      </c>
      <c r="B3350" s="4" t="n">
        <v>3</v>
      </c>
      <c r="C3350" s="4" t="inlineStr">
        <is>
          <t>elk</t>
        </is>
      </c>
      <c r="D3350" s="4" t="n">
        <v>2019</v>
      </c>
      <c r="E3350" s="13" t="inlineStr">
        <is>
          <t>General</t>
        </is>
      </c>
      <c r="F3350" s="5" t="n"/>
      <c r="G3350" s="5" t="n"/>
      <c r="H3350" s="5" t="n">
        <v>113</v>
      </c>
      <c r="I3350" s="5" t="n">
        <v>81</v>
      </c>
      <c r="J3350" s="5" t="n">
        <v>28</v>
      </c>
      <c r="K3350" s="10">
        <f>IF(F3350&gt;0,H3350/F3350,"")</f>
        <v/>
      </c>
      <c r="L3350" s="16">
        <f>IF(AND(G3350&gt;0,H3350&gt;0),G3350/H3350,"")</f>
        <v/>
      </c>
    </row>
    <row r="3351">
      <c r="A3351" s="4" t="inlineStr">
        <is>
          <t>392</t>
        </is>
      </c>
      <c r="B3351" s="4" t="n">
        <v>3</v>
      </c>
      <c r="C3351" s="4" t="inlineStr">
        <is>
          <t>elk</t>
        </is>
      </c>
      <c r="D3351" s="4" t="n">
        <v>2020</v>
      </c>
      <c r="E3351" s="13" t="inlineStr">
        <is>
          <t>General</t>
        </is>
      </c>
      <c r="F3351" s="5" t="n">
        <v>1011</v>
      </c>
      <c r="G3351" s="5" t="n">
        <v>8068</v>
      </c>
      <c r="H3351" s="5" t="n">
        <v>127</v>
      </c>
      <c r="I3351" s="5" t="n">
        <v>95</v>
      </c>
      <c r="J3351" s="5" t="n">
        <v>32</v>
      </c>
      <c r="K3351" s="10">
        <f>IF(F3351&gt;0,H3351/F3351,"")</f>
        <v/>
      </c>
      <c r="L3351" s="16">
        <f>IF(AND(G3351&gt;0,H3351&gt;0),G3351/H3351,"")</f>
        <v/>
      </c>
    </row>
    <row r="3352">
      <c r="A3352" s="4" t="inlineStr">
        <is>
          <t>392</t>
        </is>
      </c>
      <c r="B3352" s="4" t="n">
        <v>3</v>
      </c>
      <c r="C3352" s="4" t="inlineStr">
        <is>
          <t>elk</t>
        </is>
      </c>
      <c r="D3352" s="4" t="n">
        <v>2021</v>
      </c>
      <c r="E3352" s="13" t="inlineStr">
        <is>
          <t>General</t>
        </is>
      </c>
      <c r="F3352" s="5" t="n"/>
      <c r="G3352" s="5" t="n"/>
      <c r="H3352" s="5" t="n">
        <v>125</v>
      </c>
      <c r="I3352" s="5" t="n">
        <v>101</v>
      </c>
      <c r="J3352" s="5" t="n">
        <v>24</v>
      </c>
      <c r="K3352" s="10">
        <f>IF(F3352&gt;0,H3352/F3352,"")</f>
        <v/>
      </c>
      <c r="L3352" s="16">
        <f>IF(AND(G3352&gt;0,H3352&gt;0),G3352/H3352,"")</f>
        <v/>
      </c>
    </row>
    <row r="3353">
      <c r="A3353" s="4" t="inlineStr">
        <is>
          <t>392</t>
        </is>
      </c>
      <c r="B3353" s="4" t="n">
        <v>3</v>
      </c>
      <c r="C3353" s="4" t="inlineStr">
        <is>
          <t>elk</t>
        </is>
      </c>
      <c r="D3353" s="4" t="n">
        <v>2022</v>
      </c>
      <c r="E3353" s="13" t="inlineStr">
        <is>
          <t>General</t>
        </is>
      </c>
      <c r="F3353" s="5" t="n">
        <v>987</v>
      </c>
      <c r="G3353" s="5" t="n">
        <v>7923</v>
      </c>
      <c r="H3353" s="5" t="n">
        <v>125</v>
      </c>
      <c r="I3353" s="5" t="n">
        <v>79</v>
      </c>
      <c r="J3353" s="5" t="n">
        <v>45</v>
      </c>
      <c r="K3353" s="10">
        <f>IF(F3353&gt;0,H3353/F3353,"")</f>
        <v/>
      </c>
      <c r="L3353" s="16">
        <f>IF(AND(G3353&gt;0,H3353&gt;0),G3353/H3353,"")</f>
        <v/>
      </c>
    </row>
    <row r="3354">
      <c r="A3354" s="4" t="inlineStr">
        <is>
          <t>392</t>
        </is>
      </c>
      <c r="B3354" s="4" t="n">
        <v>3</v>
      </c>
      <c r="C3354" s="4" t="inlineStr">
        <is>
          <t>elk</t>
        </is>
      </c>
      <c r="D3354" s="4" t="n">
        <v>2023</v>
      </c>
      <c r="E3354" s="13" t="inlineStr">
        <is>
          <t>General</t>
        </is>
      </c>
      <c r="F3354" s="5" t="n"/>
      <c r="G3354" s="5" t="n"/>
      <c r="H3354" s="5" t="n">
        <v>112</v>
      </c>
      <c r="I3354" s="5" t="n">
        <v>94</v>
      </c>
      <c r="J3354" s="5" t="n">
        <v>15</v>
      </c>
      <c r="K3354" s="10">
        <f>IF(F3354&gt;0,H3354/F3354,"")</f>
        <v/>
      </c>
      <c r="L3354" s="16">
        <f>IF(AND(G3354&gt;0,H3354&gt;0),G3354/H3354,"")</f>
        <v/>
      </c>
    </row>
    <row r="3355">
      <c r="A3355" s="4" t="inlineStr">
        <is>
          <t>392</t>
        </is>
      </c>
      <c r="B3355" s="4" t="n">
        <v>3</v>
      </c>
      <c r="C3355" s="4" t="inlineStr">
        <is>
          <t>elk</t>
        </is>
      </c>
      <c r="D3355" s="4" t="n">
        <v>2024</v>
      </c>
      <c r="E3355" s="13" t="inlineStr">
        <is>
          <t>General</t>
        </is>
      </c>
      <c r="F3355" s="5" t="n">
        <v>1109</v>
      </c>
      <c r="G3355" s="5" t="n">
        <v>8538</v>
      </c>
      <c r="H3355" s="5" t="n">
        <v>111</v>
      </c>
      <c r="I3355" s="5" t="n">
        <v>66</v>
      </c>
      <c r="J3355" s="5" t="n">
        <v>42</v>
      </c>
      <c r="K3355" s="10">
        <f>IF(F3355&gt;0,H3355/F3355,"")</f>
        <v/>
      </c>
      <c r="L3355" s="16">
        <f>IF(AND(G3355&gt;0,H3355&gt;0),G3355/H3355,"")</f>
        <v/>
      </c>
    </row>
    <row r="3356">
      <c r="A3356" s="4" t="inlineStr">
        <is>
          <t>392</t>
        </is>
      </c>
      <c r="B3356" s="4" t="n">
        <v>3</v>
      </c>
      <c r="C3356" s="4" t="inlineStr">
        <is>
          <t>elk</t>
        </is>
      </c>
      <c r="D3356" s="4" t="n">
        <v>2025</v>
      </c>
      <c r="E3356" s="13" t="inlineStr">
        <is>
          <t>General</t>
        </is>
      </c>
      <c r="F3356" s="5" t="n"/>
      <c r="G3356" s="5" t="n"/>
      <c r="H3356" s="5" t="n">
        <v>94</v>
      </c>
      <c r="I3356" s="5" t="n">
        <v>84</v>
      </c>
      <c r="J3356" s="5" t="n">
        <v>10</v>
      </c>
      <c r="K3356" s="10">
        <f>IF(F3356&gt;0,H3356/F3356,"")</f>
        <v/>
      </c>
      <c r="L3356" s="16">
        <f>IF(AND(G3356&gt;0,H3356&gt;0),G3356/H3356,"")</f>
        <v/>
      </c>
    </row>
    <row r="3357">
      <c r="A3357" s="4" t="inlineStr">
        <is>
          <t>393</t>
        </is>
      </c>
      <c r="B3357" s="4" t="n">
        <v>3</v>
      </c>
      <c r="C3357" s="4" t="inlineStr">
        <is>
          <t>elk</t>
        </is>
      </c>
      <c r="D3357" s="4" t="n">
        <v>2004</v>
      </c>
      <c r="E3357" s="13" t="inlineStr">
        <is>
          <t>General</t>
        </is>
      </c>
      <c r="F3357" s="5" t="n">
        <v>1797</v>
      </c>
      <c r="G3357" s="5" t="n">
        <v>8480</v>
      </c>
      <c r="H3357" s="5" t="n">
        <v>403</v>
      </c>
      <c r="I3357" s="5" t="n">
        <v>210</v>
      </c>
      <c r="J3357" s="5" t="n">
        <v>179</v>
      </c>
      <c r="K3357" s="10">
        <f>IF(F3357&gt;0,H3357/F3357,"")</f>
        <v/>
      </c>
      <c r="L3357" s="16">
        <f>IF(AND(G3357&gt;0,H3357&gt;0),G3357/H3357,"")</f>
        <v/>
      </c>
    </row>
    <row r="3358">
      <c r="A3358" s="4" t="inlineStr">
        <is>
          <t>393</t>
        </is>
      </c>
      <c r="B3358" s="4" t="n">
        <v>3</v>
      </c>
      <c r="C3358" s="4" t="inlineStr">
        <is>
          <t>elk</t>
        </is>
      </c>
      <c r="D3358" s="4" t="n">
        <v>2005</v>
      </c>
      <c r="E3358" s="13" t="inlineStr">
        <is>
          <t>General</t>
        </is>
      </c>
      <c r="F3358" s="5" t="n">
        <v>1747</v>
      </c>
      <c r="G3358" s="5" t="n">
        <v>8641</v>
      </c>
      <c r="H3358" s="5" t="n">
        <v>498</v>
      </c>
      <c r="I3358" s="5" t="n">
        <v>227</v>
      </c>
      <c r="J3358" s="5" t="n">
        <v>262</v>
      </c>
      <c r="K3358" s="10">
        <f>IF(F3358&gt;0,H3358/F3358,"")</f>
        <v/>
      </c>
      <c r="L3358" s="16">
        <f>IF(AND(G3358&gt;0,H3358&gt;0),G3358/H3358,"")</f>
        <v/>
      </c>
    </row>
    <row r="3359">
      <c r="A3359" s="4" t="inlineStr">
        <is>
          <t>393</t>
        </is>
      </c>
      <c r="B3359" s="4" t="n">
        <v>3</v>
      </c>
      <c r="C3359" s="4" t="inlineStr">
        <is>
          <t>elk</t>
        </is>
      </c>
      <c r="D3359" s="4" t="n">
        <v>2006</v>
      </c>
      <c r="E3359" s="13" t="inlineStr">
        <is>
          <t>General</t>
        </is>
      </c>
      <c r="F3359" s="5" t="n">
        <v>1546</v>
      </c>
      <c r="G3359" s="5" t="n">
        <v>8198</v>
      </c>
      <c r="H3359" s="5" t="n">
        <v>447</v>
      </c>
      <c r="I3359" s="5" t="n">
        <v>219</v>
      </c>
      <c r="J3359" s="5" t="n">
        <v>206</v>
      </c>
      <c r="K3359" s="10">
        <f>IF(F3359&gt;0,H3359/F3359,"")</f>
        <v/>
      </c>
      <c r="L3359" s="16">
        <f>IF(AND(G3359&gt;0,H3359&gt;0),G3359/H3359,"")</f>
        <v/>
      </c>
    </row>
    <row r="3360">
      <c r="A3360" s="4" t="inlineStr">
        <is>
          <t>393</t>
        </is>
      </c>
      <c r="B3360" s="4" t="n">
        <v>3</v>
      </c>
      <c r="C3360" s="4" t="inlineStr">
        <is>
          <t>elk</t>
        </is>
      </c>
      <c r="D3360" s="4" t="n">
        <v>2007</v>
      </c>
      <c r="E3360" s="13" t="inlineStr">
        <is>
          <t>General</t>
        </is>
      </c>
      <c r="F3360" s="5" t="n">
        <v>1734</v>
      </c>
      <c r="G3360" s="5" t="n">
        <v>8989</v>
      </c>
      <c r="H3360" s="5" t="n">
        <v>599</v>
      </c>
      <c r="I3360" s="5" t="n">
        <v>262</v>
      </c>
      <c r="J3360" s="5" t="n">
        <v>307</v>
      </c>
      <c r="K3360" s="10">
        <f>IF(F3360&gt;0,H3360/F3360,"")</f>
        <v/>
      </c>
      <c r="L3360" s="16">
        <f>IF(AND(G3360&gt;0,H3360&gt;0),G3360/H3360,"")</f>
        <v/>
      </c>
    </row>
    <row r="3361">
      <c r="A3361" s="4" t="inlineStr">
        <is>
          <t>393</t>
        </is>
      </c>
      <c r="B3361" s="4" t="n">
        <v>3</v>
      </c>
      <c r="C3361" s="4" t="inlineStr">
        <is>
          <t>elk</t>
        </is>
      </c>
      <c r="D3361" s="4" t="n">
        <v>2008</v>
      </c>
      <c r="E3361" s="13" t="inlineStr">
        <is>
          <t>General</t>
        </is>
      </c>
      <c r="F3361" s="5" t="n">
        <v>2199</v>
      </c>
      <c r="G3361" s="5" t="n">
        <v>12992</v>
      </c>
      <c r="H3361" s="5" t="n">
        <v>806</v>
      </c>
      <c r="I3361" s="5" t="n">
        <v>281</v>
      </c>
      <c r="J3361" s="5" t="n">
        <v>487</v>
      </c>
      <c r="K3361" s="10">
        <f>IF(F3361&gt;0,H3361/F3361,"")</f>
        <v/>
      </c>
      <c r="L3361" s="16">
        <f>IF(AND(G3361&gt;0,H3361&gt;0),G3361/H3361,"")</f>
        <v/>
      </c>
    </row>
    <row r="3362">
      <c r="A3362" s="4" t="inlineStr">
        <is>
          <t>393</t>
        </is>
      </c>
      <c r="B3362" s="4" t="n">
        <v>3</v>
      </c>
      <c r="C3362" s="4" t="inlineStr">
        <is>
          <t>elk</t>
        </is>
      </c>
      <c r="D3362" s="4" t="n">
        <v>2009</v>
      </c>
      <c r="E3362" s="13" t="inlineStr">
        <is>
          <t>General</t>
        </is>
      </c>
      <c r="F3362" s="5" t="n">
        <v>1992</v>
      </c>
      <c r="G3362" s="5" t="n">
        <v>11359</v>
      </c>
      <c r="H3362" s="5" t="n">
        <v>471</v>
      </c>
      <c r="I3362" s="5" t="n">
        <v>213</v>
      </c>
      <c r="J3362" s="5" t="n">
        <v>222</v>
      </c>
      <c r="K3362" s="10">
        <f>IF(F3362&gt;0,H3362/F3362,"")</f>
        <v/>
      </c>
      <c r="L3362" s="16">
        <f>IF(AND(G3362&gt;0,H3362&gt;0),G3362/H3362,"")</f>
        <v/>
      </c>
    </row>
    <row r="3363">
      <c r="A3363" s="4" t="inlineStr">
        <is>
          <t>393</t>
        </is>
      </c>
      <c r="B3363" s="4" t="n">
        <v>3</v>
      </c>
      <c r="C3363" s="4" t="inlineStr">
        <is>
          <t>elk</t>
        </is>
      </c>
      <c r="D3363" s="4" t="n">
        <v>2010</v>
      </c>
      <c r="E3363" s="13" t="inlineStr">
        <is>
          <t>General</t>
        </is>
      </c>
      <c r="F3363" s="5" t="n">
        <v>1855</v>
      </c>
      <c r="G3363" s="5" t="n">
        <v>9948</v>
      </c>
      <c r="H3363" s="5" t="n">
        <v>507</v>
      </c>
      <c r="I3363" s="5" t="n">
        <v>222</v>
      </c>
      <c r="J3363" s="5" t="n">
        <v>246</v>
      </c>
      <c r="K3363" s="10">
        <f>IF(F3363&gt;0,H3363/F3363,"")</f>
        <v/>
      </c>
      <c r="L3363" s="16">
        <f>IF(AND(G3363&gt;0,H3363&gt;0),G3363/H3363,"")</f>
        <v/>
      </c>
    </row>
    <row r="3364">
      <c r="A3364" s="4" t="inlineStr">
        <is>
          <t>393</t>
        </is>
      </c>
      <c r="B3364" s="4" t="n">
        <v>3</v>
      </c>
      <c r="C3364" s="4" t="inlineStr">
        <is>
          <t>elk</t>
        </is>
      </c>
      <c r="D3364" s="4" t="n">
        <v>2011</v>
      </c>
      <c r="E3364" s="13" t="inlineStr">
        <is>
          <t>General</t>
        </is>
      </c>
      <c r="F3364" s="5" t="n">
        <v>2121</v>
      </c>
      <c r="G3364" s="5" t="n">
        <v>12131</v>
      </c>
      <c r="H3364" s="5" t="n">
        <v>469</v>
      </c>
      <c r="I3364" s="5" t="n">
        <v>242</v>
      </c>
      <c r="J3364" s="5" t="n">
        <v>201</v>
      </c>
      <c r="K3364" s="10">
        <f>IF(F3364&gt;0,H3364/F3364,"")</f>
        <v/>
      </c>
      <c r="L3364" s="16">
        <f>IF(AND(G3364&gt;0,H3364&gt;0),G3364/H3364,"")</f>
        <v/>
      </c>
    </row>
    <row r="3365">
      <c r="A3365" s="4" t="inlineStr">
        <is>
          <t>393</t>
        </is>
      </c>
      <c r="B3365" s="4" t="n">
        <v>3</v>
      </c>
      <c r="C3365" s="4" t="inlineStr">
        <is>
          <t>elk</t>
        </is>
      </c>
      <c r="D3365" s="4" t="n">
        <v>2012</v>
      </c>
      <c r="E3365" s="13" t="inlineStr">
        <is>
          <t>General</t>
        </is>
      </c>
      <c r="F3365" s="5" t="n">
        <v>2234</v>
      </c>
      <c r="G3365" s="5" t="n">
        <v>13304</v>
      </c>
      <c r="H3365" s="5" t="n">
        <v>591</v>
      </c>
      <c r="I3365" s="5" t="n">
        <v>252</v>
      </c>
      <c r="J3365" s="5" t="n">
        <v>311</v>
      </c>
      <c r="K3365" s="10">
        <f>IF(F3365&gt;0,H3365/F3365,"")</f>
        <v/>
      </c>
      <c r="L3365" s="16">
        <f>IF(AND(G3365&gt;0,H3365&gt;0),G3365/H3365,"")</f>
        <v/>
      </c>
    </row>
    <row r="3366">
      <c r="A3366" s="4" t="inlineStr">
        <is>
          <t>393</t>
        </is>
      </c>
      <c r="B3366" s="4" t="n">
        <v>3</v>
      </c>
      <c r="C3366" s="4" t="inlineStr">
        <is>
          <t>elk</t>
        </is>
      </c>
      <c r="D3366" s="4" t="n">
        <v>2013</v>
      </c>
      <c r="E3366" s="13" t="inlineStr">
        <is>
          <t>General</t>
        </is>
      </c>
      <c r="F3366" s="5" t="n"/>
      <c r="G3366" s="5" t="n"/>
      <c r="H3366" s="5" t="n">
        <v>444</v>
      </c>
      <c r="I3366" s="5" t="n">
        <v>233</v>
      </c>
      <c r="J3366" s="5" t="n">
        <v>197</v>
      </c>
      <c r="K3366" s="10">
        <f>IF(F3366&gt;0,H3366/F3366,"")</f>
        <v/>
      </c>
      <c r="L3366" s="16">
        <f>IF(AND(G3366&gt;0,H3366&gt;0),G3366/H3366,"")</f>
        <v/>
      </c>
    </row>
    <row r="3367">
      <c r="A3367" s="4" t="inlineStr">
        <is>
          <t>393</t>
        </is>
      </c>
      <c r="B3367" s="4" t="n">
        <v>3</v>
      </c>
      <c r="C3367" s="4" t="inlineStr">
        <is>
          <t>elk</t>
        </is>
      </c>
      <c r="D3367" s="4" t="n">
        <v>2014</v>
      </c>
      <c r="E3367" s="13" t="inlineStr">
        <is>
          <t>General</t>
        </is>
      </c>
      <c r="F3367" s="5" t="n">
        <v>2283</v>
      </c>
      <c r="G3367" s="5" t="n">
        <v>12278</v>
      </c>
      <c r="H3367" s="5" t="n">
        <v>745</v>
      </c>
      <c r="I3367" s="5" t="n">
        <v>284</v>
      </c>
      <c r="J3367" s="5" t="n">
        <v>424</v>
      </c>
      <c r="K3367" s="10">
        <f>IF(F3367&gt;0,H3367/F3367,"")</f>
        <v/>
      </c>
      <c r="L3367" s="16">
        <f>IF(AND(G3367&gt;0,H3367&gt;0),G3367/H3367,"")</f>
        <v/>
      </c>
    </row>
    <row r="3368">
      <c r="A3368" s="4" t="inlineStr">
        <is>
          <t>393</t>
        </is>
      </c>
      <c r="B3368" s="4" t="n">
        <v>3</v>
      </c>
      <c r="C3368" s="4" t="inlineStr">
        <is>
          <t>elk</t>
        </is>
      </c>
      <c r="D3368" s="4" t="n">
        <v>2015</v>
      </c>
      <c r="E3368" s="13" t="inlineStr">
        <is>
          <t>General</t>
        </is>
      </c>
      <c r="F3368" s="5" t="n">
        <v>2446</v>
      </c>
      <c r="G3368" s="5" t="n">
        <v>14538</v>
      </c>
      <c r="H3368" s="5" t="n">
        <v>940</v>
      </c>
      <c r="I3368" s="5" t="n">
        <v>276</v>
      </c>
      <c r="J3368" s="5" t="n">
        <v>605</v>
      </c>
      <c r="K3368" s="10">
        <f>IF(F3368&gt;0,H3368/F3368,"")</f>
        <v/>
      </c>
      <c r="L3368" s="16">
        <f>IF(AND(G3368&gt;0,H3368&gt;0),G3368/H3368,"")</f>
        <v/>
      </c>
    </row>
    <row r="3369">
      <c r="A3369" s="4" t="inlineStr">
        <is>
          <t>393</t>
        </is>
      </c>
      <c r="B3369" s="4" t="n">
        <v>3</v>
      </c>
      <c r="C3369" s="4" t="inlineStr">
        <is>
          <t>elk</t>
        </is>
      </c>
      <c r="D3369" s="4" t="n">
        <v>2016</v>
      </c>
      <c r="E3369" s="13" t="inlineStr">
        <is>
          <t>General</t>
        </is>
      </c>
      <c r="F3369" s="5" t="n">
        <v>2097</v>
      </c>
      <c r="G3369" s="5" t="n">
        <v>13563</v>
      </c>
      <c r="H3369" s="5" t="n">
        <v>510</v>
      </c>
      <c r="I3369" s="5" t="n">
        <v>192</v>
      </c>
      <c r="J3369" s="5" t="n">
        <v>306</v>
      </c>
      <c r="K3369" s="10">
        <f>IF(F3369&gt;0,H3369/F3369,"")</f>
        <v/>
      </c>
      <c r="L3369" s="16">
        <f>IF(AND(G3369&gt;0,H3369&gt;0),G3369/H3369,"")</f>
        <v/>
      </c>
    </row>
    <row r="3370">
      <c r="A3370" s="4" t="inlineStr">
        <is>
          <t>393</t>
        </is>
      </c>
      <c r="B3370" s="4" t="n">
        <v>3</v>
      </c>
      <c r="C3370" s="4" t="inlineStr">
        <is>
          <t>elk</t>
        </is>
      </c>
      <c r="D3370" s="4" t="n">
        <v>2017</v>
      </c>
      <c r="E3370" s="13" t="inlineStr">
        <is>
          <t>General</t>
        </is>
      </c>
      <c r="F3370" s="5" t="n"/>
      <c r="G3370" s="5" t="n"/>
      <c r="H3370" s="5" t="n">
        <v>773</v>
      </c>
      <c r="I3370" s="5" t="n">
        <v>316</v>
      </c>
      <c r="J3370" s="5" t="n">
        <v>437</v>
      </c>
      <c r="K3370" s="10">
        <f>IF(F3370&gt;0,H3370/F3370,"")</f>
        <v/>
      </c>
      <c r="L3370" s="16">
        <f>IF(AND(G3370&gt;0,H3370&gt;0),G3370/H3370,"")</f>
        <v/>
      </c>
    </row>
    <row r="3371">
      <c r="A3371" s="4" t="inlineStr">
        <is>
          <t>393</t>
        </is>
      </c>
      <c r="B3371" s="4" t="n">
        <v>3</v>
      </c>
      <c r="C3371" s="4" t="inlineStr">
        <is>
          <t>elk</t>
        </is>
      </c>
      <c r="D3371" s="4" t="n">
        <v>2018</v>
      </c>
      <c r="E3371" s="13" t="inlineStr">
        <is>
          <t>General</t>
        </is>
      </c>
      <c r="F3371" s="5" t="n">
        <v>2050</v>
      </c>
      <c r="G3371" s="5" t="n">
        <v>12523</v>
      </c>
      <c r="H3371" s="5" t="n">
        <v>576</v>
      </c>
      <c r="I3371" s="5" t="n">
        <v>244</v>
      </c>
      <c r="J3371" s="5" t="n">
        <v>305</v>
      </c>
      <c r="K3371" s="10">
        <f>IF(F3371&gt;0,H3371/F3371,"")</f>
        <v/>
      </c>
      <c r="L3371" s="16">
        <f>IF(AND(G3371&gt;0,H3371&gt;0),G3371/H3371,"")</f>
        <v/>
      </c>
    </row>
    <row r="3372">
      <c r="A3372" s="4" t="inlineStr">
        <is>
          <t>393</t>
        </is>
      </c>
      <c r="B3372" s="4" t="n">
        <v>3</v>
      </c>
      <c r="C3372" s="4" t="inlineStr">
        <is>
          <t>elk</t>
        </is>
      </c>
      <c r="D3372" s="4" t="n">
        <v>2019</v>
      </c>
      <c r="E3372" s="13" t="inlineStr">
        <is>
          <t>General</t>
        </is>
      </c>
      <c r="F3372" s="5" t="n"/>
      <c r="G3372" s="5" t="n"/>
      <c r="H3372" s="5" t="n">
        <v>528</v>
      </c>
      <c r="I3372" s="5" t="n">
        <v>199</v>
      </c>
      <c r="J3372" s="5" t="n">
        <v>306</v>
      </c>
      <c r="K3372" s="10">
        <f>IF(F3372&gt;0,H3372/F3372,"")</f>
        <v/>
      </c>
      <c r="L3372" s="16">
        <f>IF(AND(G3372&gt;0,H3372&gt;0),G3372/H3372,"")</f>
        <v/>
      </c>
    </row>
    <row r="3373">
      <c r="A3373" s="4" t="inlineStr">
        <is>
          <t>393</t>
        </is>
      </c>
      <c r="B3373" s="4" t="n">
        <v>3</v>
      </c>
      <c r="C3373" s="4" t="inlineStr">
        <is>
          <t>elk</t>
        </is>
      </c>
      <c r="D3373" s="4" t="n">
        <v>2020</v>
      </c>
      <c r="E3373" s="13" t="inlineStr">
        <is>
          <t>General</t>
        </is>
      </c>
      <c r="F3373" s="5" t="n">
        <v>1877</v>
      </c>
      <c r="G3373" s="5" t="n">
        <v>11472</v>
      </c>
      <c r="H3373" s="5" t="n">
        <v>565</v>
      </c>
      <c r="I3373" s="5" t="n">
        <v>345</v>
      </c>
      <c r="J3373" s="5" t="n">
        <v>203</v>
      </c>
      <c r="K3373" s="10">
        <f>IF(F3373&gt;0,H3373/F3373,"")</f>
        <v/>
      </c>
      <c r="L3373" s="16">
        <f>IF(AND(G3373&gt;0,H3373&gt;0),G3373/H3373,"")</f>
        <v/>
      </c>
    </row>
    <row r="3374">
      <c r="A3374" s="4" t="inlineStr">
        <is>
          <t>393</t>
        </is>
      </c>
      <c r="B3374" s="4" t="n">
        <v>3</v>
      </c>
      <c r="C3374" s="4" t="inlineStr">
        <is>
          <t>elk</t>
        </is>
      </c>
      <c r="D3374" s="4" t="n">
        <v>2021</v>
      </c>
      <c r="E3374" s="13" t="inlineStr">
        <is>
          <t>General</t>
        </is>
      </c>
      <c r="F3374" s="5" t="n"/>
      <c r="G3374" s="5" t="n"/>
      <c r="H3374" s="5" t="n">
        <v>486</v>
      </c>
      <c r="I3374" s="5" t="n">
        <v>233</v>
      </c>
      <c r="J3374" s="5" t="n">
        <v>250</v>
      </c>
      <c r="K3374" s="10">
        <f>IF(F3374&gt;0,H3374/F3374,"")</f>
        <v/>
      </c>
      <c r="L3374" s="16">
        <f>IF(AND(G3374&gt;0,H3374&gt;0),G3374/H3374,"")</f>
        <v/>
      </c>
    </row>
    <row r="3375">
      <c r="A3375" s="4" t="inlineStr">
        <is>
          <t>393</t>
        </is>
      </c>
      <c r="B3375" s="4" t="n">
        <v>3</v>
      </c>
      <c r="C3375" s="4" t="inlineStr">
        <is>
          <t>elk</t>
        </is>
      </c>
      <c r="D3375" s="4" t="n">
        <v>2022</v>
      </c>
      <c r="E3375" s="13" t="inlineStr">
        <is>
          <t>General</t>
        </is>
      </c>
      <c r="F3375" s="5" t="n">
        <v>1861</v>
      </c>
      <c r="G3375" s="5" t="n">
        <v>12237</v>
      </c>
      <c r="H3375" s="5" t="n">
        <v>636</v>
      </c>
      <c r="I3375" s="5" t="n">
        <v>317</v>
      </c>
      <c r="J3375" s="5" t="n">
        <v>298</v>
      </c>
      <c r="K3375" s="10">
        <f>IF(F3375&gt;0,H3375/F3375,"")</f>
        <v/>
      </c>
      <c r="L3375" s="16">
        <f>IF(AND(G3375&gt;0,H3375&gt;0),G3375/H3375,"")</f>
        <v/>
      </c>
    </row>
    <row r="3376">
      <c r="A3376" s="4" t="inlineStr">
        <is>
          <t>393</t>
        </is>
      </c>
      <c r="B3376" s="4" t="n">
        <v>3</v>
      </c>
      <c r="C3376" s="4" t="inlineStr">
        <is>
          <t>elk</t>
        </is>
      </c>
      <c r="D3376" s="4" t="n">
        <v>2023</v>
      </c>
      <c r="E3376" s="13" t="inlineStr">
        <is>
          <t>General</t>
        </is>
      </c>
      <c r="F3376" s="5" t="n"/>
      <c r="G3376" s="5" t="n"/>
      <c r="H3376" s="5" t="n">
        <v>542</v>
      </c>
      <c r="I3376" s="5" t="n">
        <v>298</v>
      </c>
      <c r="J3376" s="5" t="n">
        <v>229</v>
      </c>
      <c r="K3376" s="10">
        <f>IF(F3376&gt;0,H3376/F3376,"")</f>
        <v/>
      </c>
      <c r="L3376" s="16">
        <f>IF(AND(G3376&gt;0,H3376&gt;0),G3376/H3376,"")</f>
        <v/>
      </c>
    </row>
    <row r="3377">
      <c r="A3377" s="4" t="inlineStr">
        <is>
          <t>393</t>
        </is>
      </c>
      <c r="B3377" s="4" t="n">
        <v>3</v>
      </c>
      <c r="C3377" s="4" t="inlineStr">
        <is>
          <t>elk</t>
        </is>
      </c>
      <c r="D3377" s="4" t="n">
        <v>2024</v>
      </c>
      <c r="E3377" s="13" t="inlineStr">
        <is>
          <t>General</t>
        </is>
      </c>
      <c r="F3377" s="5" t="n">
        <v>2048</v>
      </c>
      <c r="G3377" s="5" t="n">
        <v>14310</v>
      </c>
      <c r="H3377" s="5" t="n">
        <v>590</v>
      </c>
      <c r="I3377" s="5" t="n">
        <v>237</v>
      </c>
      <c r="J3377" s="5" t="n">
        <v>345</v>
      </c>
      <c r="K3377" s="10">
        <f>IF(F3377&gt;0,H3377/F3377,"")</f>
        <v/>
      </c>
      <c r="L3377" s="16">
        <f>IF(AND(G3377&gt;0,H3377&gt;0),G3377/H3377,"")</f>
        <v/>
      </c>
    </row>
    <row r="3378">
      <c r="A3378" s="4" t="inlineStr">
        <is>
          <t>393</t>
        </is>
      </c>
      <c r="B3378" s="4" t="n">
        <v>3</v>
      </c>
      <c r="C3378" s="4" t="inlineStr">
        <is>
          <t>elk</t>
        </is>
      </c>
      <c r="D3378" s="4" t="n">
        <v>2025</v>
      </c>
      <c r="E3378" s="13" t="inlineStr">
        <is>
          <t>General</t>
        </is>
      </c>
      <c r="F3378" s="5" t="n"/>
      <c r="G3378" s="5" t="n"/>
      <c r="H3378" s="5" t="n">
        <v>507</v>
      </c>
      <c r="I3378" s="5" t="n">
        <v>270</v>
      </c>
      <c r="J3378" s="5" t="n">
        <v>237</v>
      </c>
      <c r="K3378" s="10">
        <f>IF(F3378&gt;0,H3378/F3378,"")</f>
        <v/>
      </c>
      <c r="L3378" s="16">
        <f>IF(AND(G3378&gt;0,H3378&gt;0),G3378/H3378,"")</f>
        <v/>
      </c>
    </row>
    <row r="3379">
      <c r="A3379" s="4" t="inlineStr">
        <is>
          <t>400</t>
        </is>
      </c>
      <c r="B3379" s="4" t="n">
        <v>4</v>
      </c>
      <c r="C3379" s="4" t="inlineStr">
        <is>
          <t>elk</t>
        </is>
      </c>
      <c r="D3379" s="4" t="n">
        <v>2004</v>
      </c>
      <c r="E3379" s="13" t="inlineStr">
        <is>
          <t>General</t>
        </is>
      </c>
      <c r="F3379" s="5" t="n">
        <v>38</v>
      </c>
      <c r="G3379" s="5" t="n">
        <v>176</v>
      </c>
      <c r="H3379" s="5" t="n">
        <v>4</v>
      </c>
      <c r="I3379" s="5" t="n">
        <v>3</v>
      </c>
      <c r="J3379" s="5" t="n">
        <v>1</v>
      </c>
      <c r="K3379" s="10">
        <f>IF(F3379&gt;0,H3379/F3379,"")</f>
        <v/>
      </c>
      <c r="L3379" s="16">
        <f>IF(AND(G3379&gt;0,H3379&gt;0),G3379/H3379,"")</f>
        <v/>
      </c>
    </row>
    <row r="3380">
      <c r="A3380" s="4" t="inlineStr">
        <is>
          <t>400</t>
        </is>
      </c>
      <c r="B3380" s="4" t="n">
        <v>4</v>
      </c>
      <c r="C3380" s="4" t="inlineStr">
        <is>
          <t>elk</t>
        </is>
      </c>
      <c r="D3380" s="4" t="n">
        <v>2005</v>
      </c>
      <c r="E3380" s="13" t="inlineStr">
        <is>
          <t>General</t>
        </is>
      </c>
      <c r="F3380" s="5" t="n">
        <v>54</v>
      </c>
      <c r="G3380" s="5" t="n">
        <v>359</v>
      </c>
      <c r="H3380" s="5" t="n">
        <v>26</v>
      </c>
      <c r="I3380" s="5" t="n">
        <v>10</v>
      </c>
      <c r="J3380" s="5" t="n">
        <v>14</v>
      </c>
      <c r="K3380" s="10">
        <f>IF(F3380&gt;0,H3380/F3380,"")</f>
        <v/>
      </c>
      <c r="L3380" s="16">
        <f>IF(AND(G3380&gt;0,H3380&gt;0),G3380/H3380,"")</f>
        <v/>
      </c>
    </row>
    <row r="3381">
      <c r="A3381" s="4" t="inlineStr">
        <is>
          <t>400</t>
        </is>
      </c>
      <c r="B3381" s="4" t="n">
        <v>4</v>
      </c>
      <c r="C3381" s="4" t="inlineStr">
        <is>
          <t>elk</t>
        </is>
      </c>
      <c r="D3381" s="4" t="n">
        <v>2006</v>
      </c>
      <c r="E3381" s="13" t="inlineStr">
        <is>
          <t>General</t>
        </is>
      </c>
      <c r="F3381" s="5" t="n">
        <v>103</v>
      </c>
      <c r="G3381" s="5" t="n">
        <v>562</v>
      </c>
      <c r="H3381" s="5" t="n">
        <v>29</v>
      </c>
      <c r="I3381" s="5" t="n">
        <v>18</v>
      </c>
      <c r="J3381" s="5" t="n">
        <v>11</v>
      </c>
      <c r="K3381" s="10">
        <f>IF(F3381&gt;0,H3381/F3381,"")</f>
        <v/>
      </c>
      <c r="L3381" s="16">
        <f>IF(AND(G3381&gt;0,H3381&gt;0),G3381/H3381,"")</f>
        <v/>
      </c>
    </row>
    <row r="3382">
      <c r="A3382" s="4" t="inlineStr">
        <is>
          <t>400</t>
        </is>
      </c>
      <c r="B3382" s="4" t="n">
        <v>4</v>
      </c>
      <c r="C3382" s="4" t="inlineStr">
        <is>
          <t>elk</t>
        </is>
      </c>
      <c r="D3382" s="4" t="n">
        <v>2007</v>
      </c>
      <c r="E3382" s="13" t="inlineStr">
        <is>
          <t>General</t>
        </is>
      </c>
      <c r="F3382" s="5" t="n">
        <v>57</v>
      </c>
      <c r="G3382" s="5" t="n">
        <v>468</v>
      </c>
      <c r="H3382" s="5" t="n">
        <v>14</v>
      </c>
      <c r="I3382" s="5" t="n">
        <v>4</v>
      </c>
      <c r="J3382" s="5" t="n">
        <v>5</v>
      </c>
      <c r="K3382" s="10">
        <f>IF(F3382&gt;0,H3382/F3382,"")</f>
        <v/>
      </c>
      <c r="L3382" s="16">
        <f>IF(AND(G3382&gt;0,H3382&gt;0),G3382/H3382,"")</f>
        <v/>
      </c>
    </row>
    <row r="3383">
      <c r="A3383" s="4" t="inlineStr">
        <is>
          <t>400</t>
        </is>
      </c>
      <c r="B3383" s="4" t="n">
        <v>4</v>
      </c>
      <c r="C3383" s="4" t="inlineStr">
        <is>
          <t>elk</t>
        </is>
      </c>
      <c r="D3383" s="4" t="n">
        <v>2008</v>
      </c>
      <c r="E3383" s="13" t="inlineStr">
        <is>
          <t>General</t>
        </is>
      </c>
      <c r="F3383" s="5" t="n">
        <v>69</v>
      </c>
      <c r="G3383" s="5" t="n">
        <v>552</v>
      </c>
      <c r="H3383" s="5" t="n">
        <v>3</v>
      </c>
      <c r="I3383" s="5" t="n">
        <v>3</v>
      </c>
      <c r="J3383" s="5" t="n">
        <v>0</v>
      </c>
      <c r="K3383" s="10">
        <f>IF(F3383&gt;0,H3383/F3383,"")</f>
        <v/>
      </c>
      <c r="L3383" s="16">
        <f>IF(AND(G3383&gt;0,H3383&gt;0),G3383/H3383,"")</f>
        <v/>
      </c>
    </row>
    <row r="3384">
      <c r="A3384" s="4" t="inlineStr">
        <is>
          <t>400</t>
        </is>
      </c>
      <c r="B3384" s="4" t="n">
        <v>4</v>
      </c>
      <c r="C3384" s="4" t="inlineStr">
        <is>
          <t>elk</t>
        </is>
      </c>
      <c r="D3384" s="4" t="n">
        <v>2009</v>
      </c>
      <c r="E3384" s="13" t="inlineStr">
        <is>
          <t>General</t>
        </is>
      </c>
      <c r="F3384" s="5" t="n">
        <v>110</v>
      </c>
      <c r="G3384" s="5" t="n">
        <v>802</v>
      </c>
      <c r="H3384" s="5" t="n">
        <v>5</v>
      </c>
      <c r="I3384" s="5" t="n">
        <v>0</v>
      </c>
      <c r="J3384" s="5" t="n">
        <v>0</v>
      </c>
      <c r="K3384" s="10">
        <f>IF(F3384&gt;0,H3384/F3384,"")</f>
        <v/>
      </c>
      <c r="L3384" s="16">
        <f>IF(AND(G3384&gt;0,H3384&gt;0),G3384/H3384,"")</f>
        <v/>
      </c>
    </row>
    <row r="3385">
      <c r="A3385" s="4" t="inlineStr">
        <is>
          <t>400</t>
        </is>
      </c>
      <c r="B3385" s="4" t="n">
        <v>4</v>
      </c>
      <c r="C3385" s="4" t="inlineStr">
        <is>
          <t>elk</t>
        </is>
      </c>
      <c r="D3385" s="4" t="n">
        <v>2010</v>
      </c>
      <c r="E3385" s="13" t="inlineStr">
        <is>
          <t>General</t>
        </is>
      </c>
      <c r="F3385" s="5" t="n">
        <v>106</v>
      </c>
      <c r="G3385" s="5" t="n">
        <v>691</v>
      </c>
      <c r="H3385" s="5" t="n">
        <v>16</v>
      </c>
      <c r="I3385" s="5" t="n">
        <v>8</v>
      </c>
      <c r="J3385" s="5" t="n">
        <v>6</v>
      </c>
      <c r="K3385" s="10">
        <f>IF(F3385&gt;0,H3385/F3385,"")</f>
        <v/>
      </c>
      <c r="L3385" s="16">
        <f>IF(AND(G3385&gt;0,H3385&gt;0),G3385/H3385,"")</f>
        <v/>
      </c>
    </row>
    <row r="3386">
      <c r="A3386" s="4" t="inlineStr">
        <is>
          <t>400</t>
        </is>
      </c>
      <c r="B3386" s="4" t="n">
        <v>4</v>
      </c>
      <c r="C3386" s="4" t="inlineStr">
        <is>
          <t>elk</t>
        </is>
      </c>
      <c r="D3386" s="4" t="n">
        <v>2011</v>
      </c>
      <c r="E3386" s="13" t="inlineStr">
        <is>
          <t>General</t>
        </is>
      </c>
      <c r="F3386" s="5" t="n">
        <v>86</v>
      </c>
      <c r="G3386" s="5" t="n">
        <v>603</v>
      </c>
      <c r="H3386" s="5" t="n">
        <v>6</v>
      </c>
      <c r="I3386" s="5" t="n">
        <v>0</v>
      </c>
      <c r="J3386" s="5" t="n">
        <v>3</v>
      </c>
      <c r="K3386" s="10">
        <f>IF(F3386&gt;0,H3386/F3386,"")</f>
        <v/>
      </c>
      <c r="L3386" s="16">
        <f>IF(AND(G3386&gt;0,H3386&gt;0),G3386/H3386,"")</f>
        <v/>
      </c>
    </row>
    <row r="3387">
      <c r="A3387" s="4" t="inlineStr">
        <is>
          <t>400</t>
        </is>
      </c>
      <c r="B3387" s="4" t="n">
        <v>4</v>
      </c>
      <c r="C3387" s="4" t="inlineStr">
        <is>
          <t>elk</t>
        </is>
      </c>
      <c r="D3387" s="4" t="n">
        <v>2012</v>
      </c>
      <c r="E3387" s="13" t="inlineStr">
        <is>
          <t>General</t>
        </is>
      </c>
      <c r="F3387" s="5" t="n">
        <v>64</v>
      </c>
      <c r="G3387" s="5" t="n">
        <v>442</v>
      </c>
      <c r="H3387" s="5" t="n">
        <v>11</v>
      </c>
      <c r="I3387" s="5" t="n">
        <v>3</v>
      </c>
      <c r="J3387" s="5" t="n">
        <v>8</v>
      </c>
      <c r="K3387" s="10">
        <f>IF(F3387&gt;0,H3387/F3387,"")</f>
        <v/>
      </c>
      <c r="L3387" s="16">
        <f>IF(AND(G3387&gt;0,H3387&gt;0),G3387/H3387,"")</f>
        <v/>
      </c>
    </row>
    <row r="3388">
      <c r="A3388" s="4" t="inlineStr">
        <is>
          <t>400</t>
        </is>
      </c>
      <c r="B3388" s="4" t="n">
        <v>4</v>
      </c>
      <c r="C3388" s="4" t="inlineStr">
        <is>
          <t>elk</t>
        </is>
      </c>
      <c r="D3388" s="4" t="n">
        <v>2013</v>
      </c>
      <c r="E3388" s="13" t="inlineStr">
        <is>
          <t>General</t>
        </is>
      </c>
      <c r="F3388" s="5" t="n"/>
      <c r="G3388" s="5" t="n"/>
      <c r="H3388" s="5" t="n">
        <v>3</v>
      </c>
      <c r="I3388" s="5" t="n">
        <v>0</v>
      </c>
      <c r="J3388" s="5" t="n">
        <v>3</v>
      </c>
      <c r="K3388" s="10">
        <f>IF(F3388&gt;0,H3388/F3388,"")</f>
        <v/>
      </c>
      <c r="L3388" s="16">
        <f>IF(AND(G3388&gt;0,H3388&gt;0),G3388/H3388,"")</f>
        <v/>
      </c>
    </row>
    <row r="3389">
      <c r="A3389" s="4" t="inlineStr">
        <is>
          <t>400</t>
        </is>
      </c>
      <c r="B3389" s="4" t="n">
        <v>4</v>
      </c>
      <c r="C3389" s="4" t="inlineStr">
        <is>
          <t>elk</t>
        </is>
      </c>
      <c r="D3389" s="4" t="n">
        <v>2014</v>
      </c>
      <c r="E3389" s="13" t="inlineStr">
        <is>
          <t>General</t>
        </is>
      </c>
      <c r="F3389" s="5" t="n">
        <v>85</v>
      </c>
      <c r="G3389" s="5" t="n">
        <v>459</v>
      </c>
      <c r="H3389" s="5" t="n">
        <v>6</v>
      </c>
      <c r="I3389" s="5" t="n">
        <v>3</v>
      </c>
      <c r="J3389" s="5" t="n">
        <v>3</v>
      </c>
      <c r="K3389" s="10">
        <f>IF(F3389&gt;0,H3389/F3389,"")</f>
        <v/>
      </c>
      <c r="L3389" s="16">
        <f>IF(AND(G3389&gt;0,H3389&gt;0),G3389/H3389,"")</f>
        <v/>
      </c>
    </row>
    <row r="3390">
      <c r="A3390" s="4" t="inlineStr">
        <is>
          <t>400</t>
        </is>
      </c>
      <c r="B3390" s="4" t="n">
        <v>4</v>
      </c>
      <c r="C3390" s="4" t="inlineStr">
        <is>
          <t>elk</t>
        </is>
      </c>
      <c r="D3390" s="4" t="n">
        <v>2015</v>
      </c>
      <c r="E3390" s="13" t="inlineStr">
        <is>
          <t>General</t>
        </is>
      </c>
      <c r="F3390" s="5" t="n">
        <v>104</v>
      </c>
      <c r="G3390" s="5" t="n">
        <v>505</v>
      </c>
      <c r="H3390" s="5" t="n">
        <v>15</v>
      </c>
      <c r="I3390" s="5" t="n">
        <v>6</v>
      </c>
      <c r="J3390" s="5" t="n">
        <v>9</v>
      </c>
      <c r="K3390" s="10">
        <f>IF(F3390&gt;0,H3390/F3390,"")</f>
        <v/>
      </c>
      <c r="L3390" s="16">
        <f>IF(AND(G3390&gt;0,H3390&gt;0),G3390/H3390,"")</f>
        <v/>
      </c>
    </row>
    <row r="3391">
      <c r="A3391" s="4" t="inlineStr">
        <is>
          <t>400</t>
        </is>
      </c>
      <c r="B3391" s="4" t="n">
        <v>4</v>
      </c>
      <c r="C3391" s="4" t="inlineStr">
        <is>
          <t>elk</t>
        </is>
      </c>
      <c r="D3391" s="4" t="n">
        <v>2016</v>
      </c>
      <c r="E3391" s="13" t="inlineStr">
        <is>
          <t>General</t>
        </is>
      </c>
      <c r="F3391" s="5" t="n">
        <v>127</v>
      </c>
      <c r="G3391" s="5" t="n">
        <v>862</v>
      </c>
      <c r="H3391" s="5" t="n">
        <v>6</v>
      </c>
      <c r="I3391" s="5" t="n">
        <v>3</v>
      </c>
      <c r="J3391" s="5" t="n">
        <v>3</v>
      </c>
      <c r="K3391" s="10">
        <f>IF(F3391&gt;0,H3391/F3391,"")</f>
        <v/>
      </c>
      <c r="L3391" s="16">
        <f>IF(AND(G3391&gt;0,H3391&gt;0),G3391/H3391,"")</f>
        <v/>
      </c>
    </row>
    <row r="3392">
      <c r="A3392" s="4" t="inlineStr">
        <is>
          <t>400</t>
        </is>
      </c>
      <c r="B3392" s="4" t="n">
        <v>4</v>
      </c>
      <c r="C3392" s="4" t="inlineStr">
        <is>
          <t>elk</t>
        </is>
      </c>
      <c r="D3392" s="4" t="n">
        <v>2017</v>
      </c>
      <c r="E3392" s="13" t="inlineStr">
        <is>
          <t>General</t>
        </is>
      </c>
      <c r="F3392" s="5" t="n"/>
      <c r="G3392" s="5" t="n"/>
      <c r="H3392" s="5" t="n">
        <v>14</v>
      </c>
      <c r="I3392" s="5" t="n">
        <v>6</v>
      </c>
      <c r="J3392" s="5" t="n">
        <v>6</v>
      </c>
      <c r="K3392" s="10">
        <f>IF(F3392&gt;0,H3392/F3392,"")</f>
        <v/>
      </c>
      <c r="L3392" s="16">
        <f>IF(AND(G3392&gt;0,H3392&gt;0),G3392/H3392,"")</f>
        <v/>
      </c>
    </row>
    <row r="3393">
      <c r="A3393" s="4" t="inlineStr">
        <is>
          <t>400</t>
        </is>
      </c>
      <c r="B3393" s="4" t="n">
        <v>4</v>
      </c>
      <c r="C3393" s="4" t="inlineStr">
        <is>
          <t>elk</t>
        </is>
      </c>
      <c r="D3393" s="4" t="n">
        <v>2018</v>
      </c>
      <c r="E3393" s="13" t="inlineStr">
        <is>
          <t>General</t>
        </is>
      </c>
      <c r="F3393" s="5" t="n">
        <v>129</v>
      </c>
      <c r="G3393" s="5" t="n">
        <v>594</v>
      </c>
      <c r="H3393" s="5" t="n">
        <v>12</v>
      </c>
      <c r="I3393" s="5" t="n">
        <v>3</v>
      </c>
      <c r="J3393" s="5" t="n">
        <v>10</v>
      </c>
      <c r="K3393" s="10">
        <f>IF(F3393&gt;0,H3393/F3393,"")</f>
        <v/>
      </c>
      <c r="L3393" s="16">
        <f>IF(AND(G3393&gt;0,H3393&gt;0),G3393/H3393,"")</f>
        <v/>
      </c>
    </row>
    <row r="3394">
      <c r="A3394" s="4" t="inlineStr">
        <is>
          <t>400</t>
        </is>
      </c>
      <c r="B3394" s="4" t="n">
        <v>4</v>
      </c>
      <c r="C3394" s="4" t="inlineStr">
        <is>
          <t>elk</t>
        </is>
      </c>
      <c r="D3394" s="4" t="n">
        <v>2019</v>
      </c>
      <c r="E3394" s="13" t="inlineStr">
        <is>
          <t>General</t>
        </is>
      </c>
      <c r="F3394" s="5" t="n"/>
      <c r="G3394" s="5" t="n"/>
      <c r="H3394" s="5" t="n">
        <v>23</v>
      </c>
      <c r="I3394" s="5" t="n">
        <v>8</v>
      </c>
      <c r="J3394" s="5" t="n">
        <v>15</v>
      </c>
      <c r="K3394" s="10">
        <f>IF(F3394&gt;0,H3394/F3394,"")</f>
        <v/>
      </c>
      <c r="L3394" s="16">
        <f>IF(AND(G3394&gt;0,H3394&gt;0),G3394/H3394,"")</f>
        <v/>
      </c>
    </row>
    <row r="3395">
      <c r="A3395" s="4" t="inlineStr">
        <is>
          <t>400</t>
        </is>
      </c>
      <c r="B3395" s="4" t="n">
        <v>4</v>
      </c>
      <c r="C3395" s="4" t="inlineStr">
        <is>
          <t>elk</t>
        </is>
      </c>
      <c r="D3395" s="4" t="n">
        <v>2020</v>
      </c>
      <c r="E3395" s="13" t="inlineStr">
        <is>
          <t>General</t>
        </is>
      </c>
      <c r="F3395" s="5" t="n">
        <v>264</v>
      </c>
      <c r="G3395" s="5" t="n">
        <v>1797</v>
      </c>
      <c r="H3395" s="5" t="n">
        <v>90</v>
      </c>
      <c r="I3395" s="5" t="n">
        <v>44</v>
      </c>
      <c r="J3395" s="5" t="n">
        <v>46</v>
      </c>
      <c r="K3395" s="10">
        <f>IF(F3395&gt;0,H3395/F3395,"")</f>
        <v/>
      </c>
      <c r="L3395" s="16">
        <f>IF(AND(G3395&gt;0,H3395&gt;0),G3395/H3395,"")</f>
        <v/>
      </c>
    </row>
    <row r="3396">
      <c r="A3396" s="4" t="inlineStr">
        <is>
          <t>400</t>
        </is>
      </c>
      <c r="B3396" s="4" t="n">
        <v>4</v>
      </c>
      <c r="C3396" s="4" t="inlineStr">
        <is>
          <t>elk</t>
        </is>
      </c>
      <c r="D3396" s="4" t="n">
        <v>2021</v>
      </c>
      <c r="E3396" s="13" t="inlineStr">
        <is>
          <t>General</t>
        </is>
      </c>
      <c r="F3396" s="5" t="n"/>
      <c r="G3396" s="5" t="n"/>
      <c r="H3396" s="5" t="n">
        <v>16</v>
      </c>
      <c r="I3396" s="5" t="n">
        <v>12</v>
      </c>
      <c r="J3396" s="5" t="n">
        <v>4</v>
      </c>
      <c r="K3396" s="10">
        <f>IF(F3396&gt;0,H3396/F3396,"")</f>
        <v/>
      </c>
      <c r="L3396" s="16">
        <f>IF(AND(G3396&gt;0,H3396&gt;0),G3396/H3396,"")</f>
        <v/>
      </c>
    </row>
    <row r="3397">
      <c r="A3397" s="4" t="inlineStr">
        <is>
          <t>400</t>
        </is>
      </c>
      <c r="B3397" s="4" t="n">
        <v>4</v>
      </c>
      <c r="C3397" s="4" t="inlineStr">
        <is>
          <t>elk</t>
        </is>
      </c>
      <c r="D3397" s="4" t="n">
        <v>2022</v>
      </c>
      <c r="E3397" s="13" t="inlineStr">
        <is>
          <t>General</t>
        </is>
      </c>
      <c r="F3397" s="5" t="n">
        <v>129</v>
      </c>
      <c r="G3397" s="5" t="n">
        <v>865</v>
      </c>
      <c r="H3397" s="5" t="n">
        <v>20</v>
      </c>
      <c r="I3397" s="5" t="n">
        <v>7</v>
      </c>
      <c r="J3397" s="5" t="n">
        <v>13</v>
      </c>
      <c r="K3397" s="10">
        <f>IF(F3397&gt;0,H3397/F3397,"")</f>
        <v/>
      </c>
      <c r="L3397" s="16">
        <f>IF(AND(G3397&gt;0,H3397&gt;0),G3397/H3397,"")</f>
        <v/>
      </c>
    </row>
    <row r="3398">
      <c r="A3398" s="4" t="inlineStr">
        <is>
          <t>400</t>
        </is>
      </c>
      <c r="B3398" s="4" t="n">
        <v>4</v>
      </c>
      <c r="C3398" s="4" t="inlineStr">
        <is>
          <t>elk</t>
        </is>
      </c>
      <c r="D3398" s="4" t="n">
        <v>2023</v>
      </c>
      <c r="E3398" s="13" t="inlineStr">
        <is>
          <t>General</t>
        </is>
      </c>
      <c r="F3398" s="5" t="n"/>
      <c r="G3398" s="5" t="n"/>
      <c r="H3398" s="5" t="n">
        <v>33</v>
      </c>
      <c r="I3398" s="5" t="n">
        <v>12</v>
      </c>
      <c r="J3398" s="5" t="n">
        <v>18</v>
      </c>
      <c r="K3398" s="10">
        <f>IF(F3398&gt;0,H3398/F3398,"")</f>
        <v/>
      </c>
      <c r="L3398" s="16">
        <f>IF(AND(G3398&gt;0,H3398&gt;0),G3398/H3398,"")</f>
        <v/>
      </c>
    </row>
    <row r="3399">
      <c r="A3399" s="4" t="inlineStr">
        <is>
          <t>400</t>
        </is>
      </c>
      <c r="B3399" s="4" t="n">
        <v>4</v>
      </c>
      <c r="C3399" s="4" t="inlineStr">
        <is>
          <t>elk</t>
        </is>
      </c>
      <c r="D3399" s="4" t="n">
        <v>2024</v>
      </c>
      <c r="E3399" s="13" t="inlineStr">
        <is>
          <t>General</t>
        </is>
      </c>
      <c r="F3399" s="5" t="n">
        <v>202</v>
      </c>
      <c r="G3399" s="5" t="n">
        <v>1332</v>
      </c>
      <c r="H3399" s="5" t="n">
        <v>29</v>
      </c>
      <c r="I3399" s="5" t="n">
        <v>6</v>
      </c>
      <c r="J3399" s="5" t="n">
        <v>23</v>
      </c>
      <c r="K3399" s="10">
        <f>IF(F3399&gt;0,H3399/F3399,"")</f>
        <v/>
      </c>
      <c r="L3399" s="16">
        <f>IF(AND(G3399&gt;0,H3399&gt;0),G3399/H3399,"")</f>
        <v/>
      </c>
    </row>
    <row r="3400">
      <c r="A3400" s="4" t="inlineStr">
        <is>
          <t>400</t>
        </is>
      </c>
      <c r="B3400" s="4" t="n">
        <v>4</v>
      </c>
      <c r="C3400" s="4" t="inlineStr">
        <is>
          <t>elk</t>
        </is>
      </c>
      <c r="D3400" s="4" t="n">
        <v>2025</v>
      </c>
      <c r="E3400" s="13" t="inlineStr">
        <is>
          <t>General</t>
        </is>
      </c>
      <c r="F3400" s="5" t="n"/>
      <c r="G3400" s="5" t="n"/>
      <c r="H3400" s="5" t="n">
        <v>27</v>
      </c>
      <c r="I3400" s="5" t="n">
        <v>4</v>
      </c>
      <c r="J3400" s="5" t="n">
        <v>23</v>
      </c>
      <c r="K3400" s="10">
        <f>IF(F3400&gt;0,H3400/F3400,"")</f>
        <v/>
      </c>
      <c r="L3400" s="16">
        <f>IF(AND(G3400&gt;0,H3400&gt;0),G3400/H3400,"")</f>
        <v/>
      </c>
    </row>
    <row r="3401">
      <c r="A3401" s="4" t="inlineStr">
        <is>
          <t>401</t>
        </is>
      </c>
      <c r="B3401" s="4" t="n">
        <v>4</v>
      </c>
      <c r="C3401" s="4" t="inlineStr">
        <is>
          <t>elk</t>
        </is>
      </c>
      <c r="D3401" s="4" t="n">
        <v>2004</v>
      </c>
      <c r="E3401" s="13" t="inlineStr">
        <is>
          <t>General</t>
        </is>
      </c>
      <c r="F3401" s="5" t="n">
        <v>248</v>
      </c>
      <c r="G3401" s="5" t="n">
        <v>1179</v>
      </c>
      <c r="H3401" s="5" t="n">
        <v>46</v>
      </c>
      <c r="I3401" s="5" t="n">
        <v>26</v>
      </c>
      <c r="J3401" s="5" t="n">
        <v>17</v>
      </c>
      <c r="K3401" s="10">
        <f>IF(F3401&gt;0,H3401/F3401,"")</f>
        <v/>
      </c>
      <c r="L3401" s="16">
        <f>IF(AND(G3401&gt;0,H3401&gt;0),G3401/H3401,"")</f>
        <v/>
      </c>
    </row>
    <row r="3402">
      <c r="A3402" s="4" t="inlineStr">
        <is>
          <t>401</t>
        </is>
      </c>
      <c r="B3402" s="4" t="n">
        <v>4</v>
      </c>
      <c r="C3402" s="4" t="inlineStr">
        <is>
          <t>elk</t>
        </is>
      </c>
      <c r="D3402" s="4" t="n">
        <v>2005</v>
      </c>
      <c r="E3402" s="13" t="inlineStr">
        <is>
          <t>General</t>
        </is>
      </c>
      <c r="F3402" s="5" t="n">
        <v>264</v>
      </c>
      <c r="G3402" s="5" t="n">
        <v>1103</v>
      </c>
      <c r="H3402" s="5" t="n">
        <v>71</v>
      </c>
      <c r="I3402" s="5" t="n">
        <v>29</v>
      </c>
      <c r="J3402" s="5" t="n">
        <v>37</v>
      </c>
      <c r="K3402" s="10">
        <f>IF(F3402&gt;0,H3402/F3402,"")</f>
        <v/>
      </c>
      <c r="L3402" s="16">
        <f>IF(AND(G3402&gt;0,H3402&gt;0),G3402/H3402,"")</f>
        <v/>
      </c>
    </row>
    <row r="3403">
      <c r="A3403" s="4" t="inlineStr">
        <is>
          <t>401</t>
        </is>
      </c>
      <c r="B3403" s="4" t="n">
        <v>4</v>
      </c>
      <c r="C3403" s="4" t="inlineStr">
        <is>
          <t>elk</t>
        </is>
      </c>
      <c r="D3403" s="4" t="n">
        <v>2006</v>
      </c>
      <c r="E3403" s="13" t="inlineStr">
        <is>
          <t>General</t>
        </is>
      </c>
      <c r="F3403" s="5" t="n">
        <v>226</v>
      </c>
      <c r="G3403" s="5" t="n">
        <v>1067</v>
      </c>
      <c r="H3403" s="5" t="n">
        <v>51</v>
      </c>
      <c r="I3403" s="5" t="n">
        <v>28</v>
      </c>
      <c r="J3403" s="5" t="n">
        <v>23</v>
      </c>
      <c r="K3403" s="10">
        <f>IF(F3403&gt;0,H3403/F3403,"")</f>
        <v/>
      </c>
      <c r="L3403" s="16">
        <f>IF(AND(G3403&gt;0,H3403&gt;0),G3403/H3403,"")</f>
        <v/>
      </c>
    </row>
    <row r="3404">
      <c r="A3404" s="4" t="inlineStr">
        <is>
          <t>401</t>
        </is>
      </c>
      <c r="B3404" s="4" t="n">
        <v>4</v>
      </c>
      <c r="C3404" s="4" t="inlineStr">
        <is>
          <t>elk</t>
        </is>
      </c>
      <c r="D3404" s="4" t="n">
        <v>2007</v>
      </c>
      <c r="E3404" s="13" t="inlineStr">
        <is>
          <t>General</t>
        </is>
      </c>
      <c r="F3404" s="5" t="n">
        <v>341</v>
      </c>
      <c r="G3404" s="5" t="n">
        <v>1984</v>
      </c>
      <c r="H3404" s="5" t="n">
        <v>79</v>
      </c>
      <c r="I3404" s="5" t="n">
        <v>32</v>
      </c>
      <c r="J3404" s="5" t="n">
        <v>44</v>
      </c>
      <c r="K3404" s="10">
        <f>IF(F3404&gt;0,H3404/F3404,"")</f>
        <v/>
      </c>
      <c r="L3404" s="16">
        <f>IF(AND(G3404&gt;0,H3404&gt;0),G3404/H3404,"")</f>
        <v/>
      </c>
    </row>
    <row r="3405">
      <c r="A3405" s="4" t="inlineStr">
        <is>
          <t>401</t>
        </is>
      </c>
      <c r="B3405" s="4" t="n">
        <v>4</v>
      </c>
      <c r="C3405" s="4" t="inlineStr">
        <is>
          <t>elk</t>
        </is>
      </c>
      <c r="D3405" s="4" t="n">
        <v>2008</v>
      </c>
      <c r="E3405" s="13" t="inlineStr">
        <is>
          <t>General</t>
        </is>
      </c>
      <c r="F3405" s="5" t="n">
        <v>346</v>
      </c>
      <c r="G3405" s="5" t="n">
        <v>1883</v>
      </c>
      <c r="H3405" s="5" t="n">
        <v>56</v>
      </c>
      <c r="I3405" s="5" t="n">
        <v>18</v>
      </c>
      <c r="J3405" s="5" t="n">
        <v>36</v>
      </c>
      <c r="K3405" s="10">
        <f>IF(F3405&gt;0,H3405/F3405,"")</f>
        <v/>
      </c>
      <c r="L3405" s="16">
        <f>IF(AND(G3405&gt;0,H3405&gt;0),G3405/H3405,"")</f>
        <v/>
      </c>
    </row>
    <row r="3406">
      <c r="A3406" s="4" t="inlineStr">
        <is>
          <t>401</t>
        </is>
      </c>
      <c r="B3406" s="4" t="n">
        <v>4</v>
      </c>
      <c r="C3406" s="4" t="inlineStr">
        <is>
          <t>elk</t>
        </is>
      </c>
      <c r="D3406" s="4" t="n">
        <v>2009</v>
      </c>
      <c r="E3406" s="13" t="inlineStr">
        <is>
          <t>General</t>
        </is>
      </c>
      <c r="F3406" s="5" t="n">
        <v>376</v>
      </c>
      <c r="G3406" s="5" t="n">
        <v>2574</v>
      </c>
      <c r="H3406" s="5" t="n">
        <v>54</v>
      </c>
      <c r="I3406" s="5" t="n">
        <v>26</v>
      </c>
      <c r="J3406" s="5" t="n">
        <v>21</v>
      </c>
      <c r="K3406" s="10">
        <f>IF(F3406&gt;0,H3406/F3406,"")</f>
        <v/>
      </c>
      <c r="L3406" s="16">
        <f>IF(AND(G3406&gt;0,H3406&gt;0),G3406/H3406,"")</f>
        <v/>
      </c>
    </row>
    <row r="3407">
      <c r="A3407" s="4" t="inlineStr">
        <is>
          <t>401</t>
        </is>
      </c>
      <c r="B3407" s="4" t="n">
        <v>4</v>
      </c>
      <c r="C3407" s="4" t="inlineStr">
        <is>
          <t>elk</t>
        </is>
      </c>
      <c r="D3407" s="4" t="n">
        <v>2010</v>
      </c>
      <c r="E3407" s="13" t="inlineStr">
        <is>
          <t>General</t>
        </is>
      </c>
      <c r="F3407" s="5" t="n">
        <v>285</v>
      </c>
      <c r="G3407" s="5" t="n">
        <v>1479</v>
      </c>
      <c r="H3407" s="5" t="n">
        <v>64</v>
      </c>
      <c r="I3407" s="5" t="n">
        <v>23</v>
      </c>
      <c r="J3407" s="5" t="n">
        <v>34</v>
      </c>
      <c r="K3407" s="10">
        <f>IF(F3407&gt;0,H3407/F3407,"")</f>
        <v/>
      </c>
      <c r="L3407" s="16">
        <f>IF(AND(G3407&gt;0,H3407&gt;0),G3407/H3407,"")</f>
        <v/>
      </c>
    </row>
    <row r="3408">
      <c r="A3408" s="4" t="inlineStr">
        <is>
          <t>401</t>
        </is>
      </c>
      <c r="B3408" s="4" t="n">
        <v>4</v>
      </c>
      <c r="C3408" s="4" t="inlineStr">
        <is>
          <t>elk</t>
        </is>
      </c>
      <c r="D3408" s="4" t="n">
        <v>2011</v>
      </c>
      <c r="E3408" s="13" t="inlineStr">
        <is>
          <t>General</t>
        </is>
      </c>
      <c r="F3408" s="5" t="n">
        <v>272</v>
      </c>
      <c r="G3408" s="5" t="n">
        <v>1396</v>
      </c>
      <c r="H3408" s="5" t="n">
        <v>39</v>
      </c>
      <c r="I3408" s="5" t="n">
        <v>11</v>
      </c>
      <c r="J3408" s="5" t="n">
        <v>25</v>
      </c>
      <c r="K3408" s="10">
        <f>IF(F3408&gt;0,H3408/F3408,"")</f>
        <v/>
      </c>
      <c r="L3408" s="16">
        <f>IF(AND(G3408&gt;0,H3408&gt;0),G3408/H3408,"")</f>
        <v/>
      </c>
    </row>
    <row r="3409">
      <c r="A3409" s="4" t="inlineStr">
        <is>
          <t>401</t>
        </is>
      </c>
      <c r="B3409" s="4" t="n">
        <v>4</v>
      </c>
      <c r="C3409" s="4" t="inlineStr">
        <is>
          <t>elk</t>
        </is>
      </c>
      <c r="D3409" s="4" t="n">
        <v>2012</v>
      </c>
      <c r="E3409" s="13" t="inlineStr">
        <is>
          <t>General</t>
        </is>
      </c>
      <c r="F3409" s="5" t="n">
        <v>328</v>
      </c>
      <c r="G3409" s="5" t="n">
        <v>1576</v>
      </c>
      <c r="H3409" s="5" t="n">
        <v>50</v>
      </c>
      <c r="I3409" s="5" t="n">
        <v>15</v>
      </c>
      <c r="J3409" s="5" t="n">
        <v>30</v>
      </c>
      <c r="K3409" s="10">
        <f>IF(F3409&gt;0,H3409/F3409,"")</f>
        <v/>
      </c>
      <c r="L3409" s="16">
        <f>IF(AND(G3409&gt;0,H3409&gt;0),G3409/H3409,"")</f>
        <v/>
      </c>
    </row>
    <row r="3410">
      <c r="A3410" s="4" t="inlineStr">
        <is>
          <t>401</t>
        </is>
      </c>
      <c r="B3410" s="4" t="n">
        <v>4</v>
      </c>
      <c r="C3410" s="4" t="inlineStr">
        <is>
          <t>elk</t>
        </is>
      </c>
      <c r="D3410" s="4" t="n">
        <v>2013</v>
      </c>
      <c r="E3410" s="13" t="inlineStr">
        <is>
          <t>General</t>
        </is>
      </c>
      <c r="F3410" s="5" t="n"/>
      <c r="G3410" s="5" t="n"/>
      <c r="H3410" s="5" t="n">
        <v>62</v>
      </c>
      <c r="I3410" s="5" t="n">
        <v>18</v>
      </c>
      <c r="J3410" s="5" t="n">
        <v>37</v>
      </c>
      <c r="K3410" s="10">
        <f>IF(F3410&gt;0,H3410/F3410,"")</f>
        <v/>
      </c>
      <c r="L3410" s="16">
        <f>IF(AND(G3410&gt;0,H3410&gt;0),G3410/H3410,"")</f>
        <v/>
      </c>
    </row>
    <row r="3411">
      <c r="A3411" s="4" t="inlineStr">
        <is>
          <t>401</t>
        </is>
      </c>
      <c r="B3411" s="4" t="n">
        <v>4</v>
      </c>
      <c r="C3411" s="4" t="inlineStr">
        <is>
          <t>elk</t>
        </is>
      </c>
      <c r="D3411" s="4" t="n">
        <v>2014</v>
      </c>
      <c r="E3411" s="13" t="inlineStr">
        <is>
          <t>General</t>
        </is>
      </c>
      <c r="F3411" s="5" t="n">
        <v>460</v>
      </c>
      <c r="G3411" s="5" t="n">
        <v>2208</v>
      </c>
      <c r="H3411" s="5" t="n">
        <v>121</v>
      </c>
      <c r="I3411" s="5" t="n">
        <v>22</v>
      </c>
      <c r="J3411" s="5" t="n">
        <v>94</v>
      </c>
      <c r="K3411" s="10">
        <f>IF(F3411&gt;0,H3411/F3411,"")</f>
        <v/>
      </c>
      <c r="L3411" s="16">
        <f>IF(AND(G3411&gt;0,H3411&gt;0),G3411/H3411,"")</f>
        <v/>
      </c>
    </row>
    <row r="3412">
      <c r="A3412" s="4" t="inlineStr">
        <is>
          <t>401</t>
        </is>
      </c>
      <c r="B3412" s="4" t="n">
        <v>4</v>
      </c>
      <c r="C3412" s="4" t="inlineStr">
        <is>
          <t>elk</t>
        </is>
      </c>
      <c r="D3412" s="4" t="n">
        <v>2015</v>
      </c>
      <c r="E3412" s="13" t="inlineStr">
        <is>
          <t>General</t>
        </is>
      </c>
      <c r="F3412" s="5" t="n">
        <v>541</v>
      </c>
      <c r="G3412" s="5" t="n">
        <v>2711</v>
      </c>
      <c r="H3412" s="5" t="n">
        <v>169</v>
      </c>
      <c r="I3412" s="5" t="n">
        <v>34</v>
      </c>
      <c r="J3412" s="5" t="n">
        <v>126</v>
      </c>
      <c r="K3412" s="10">
        <f>IF(F3412&gt;0,H3412/F3412,"")</f>
        <v/>
      </c>
      <c r="L3412" s="16">
        <f>IF(AND(G3412&gt;0,H3412&gt;0),G3412/H3412,"")</f>
        <v/>
      </c>
    </row>
    <row r="3413">
      <c r="A3413" s="4" t="inlineStr">
        <is>
          <t>401</t>
        </is>
      </c>
      <c r="B3413" s="4" t="n">
        <v>4</v>
      </c>
      <c r="C3413" s="4" t="inlineStr">
        <is>
          <t>elk</t>
        </is>
      </c>
      <c r="D3413" s="4" t="n">
        <v>2016</v>
      </c>
      <c r="E3413" s="13" t="inlineStr">
        <is>
          <t>General</t>
        </is>
      </c>
      <c r="F3413" s="5" t="n">
        <v>571</v>
      </c>
      <c r="G3413" s="5" t="n">
        <v>3534</v>
      </c>
      <c r="H3413" s="5" t="n">
        <v>146</v>
      </c>
      <c r="I3413" s="5" t="n">
        <v>42</v>
      </c>
      <c r="J3413" s="5" t="n">
        <v>101</v>
      </c>
      <c r="K3413" s="10">
        <f>IF(F3413&gt;0,H3413/F3413,"")</f>
        <v/>
      </c>
      <c r="L3413" s="16">
        <f>IF(AND(G3413&gt;0,H3413&gt;0),G3413/H3413,"")</f>
        <v/>
      </c>
    </row>
    <row r="3414">
      <c r="A3414" s="4" t="inlineStr">
        <is>
          <t>401</t>
        </is>
      </c>
      <c r="B3414" s="4" t="n">
        <v>4</v>
      </c>
      <c r="C3414" s="4" t="inlineStr">
        <is>
          <t>elk</t>
        </is>
      </c>
      <c r="D3414" s="4" t="n">
        <v>2017</v>
      </c>
      <c r="E3414" s="13" t="inlineStr">
        <is>
          <t>General</t>
        </is>
      </c>
      <c r="F3414" s="5" t="n"/>
      <c r="G3414" s="5" t="n"/>
      <c r="H3414" s="5" t="n">
        <v>106</v>
      </c>
      <c r="I3414" s="5" t="n">
        <v>30</v>
      </c>
      <c r="J3414" s="5" t="n">
        <v>73</v>
      </c>
      <c r="K3414" s="10">
        <f>IF(F3414&gt;0,H3414/F3414,"")</f>
        <v/>
      </c>
      <c r="L3414" s="16">
        <f>IF(AND(G3414&gt;0,H3414&gt;0),G3414/H3414,"")</f>
        <v/>
      </c>
    </row>
    <row r="3415">
      <c r="A3415" s="4" t="inlineStr">
        <is>
          <t>401</t>
        </is>
      </c>
      <c r="B3415" s="4" t="n">
        <v>4</v>
      </c>
      <c r="C3415" s="4" t="inlineStr">
        <is>
          <t>elk</t>
        </is>
      </c>
      <c r="D3415" s="4" t="n">
        <v>2018</v>
      </c>
      <c r="E3415" s="13" t="inlineStr">
        <is>
          <t>General</t>
        </is>
      </c>
      <c r="F3415" s="5" t="n">
        <v>525</v>
      </c>
      <c r="G3415" s="5" t="n">
        <v>3395</v>
      </c>
      <c r="H3415" s="5" t="n">
        <v>101</v>
      </c>
      <c r="I3415" s="5" t="n">
        <v>17</v>
      </c>
      <c r="J3415" s="5" t="n">
        <v>78</v>
      </c>
      <c r="K3415" s="10">
        <f>IF(F3415&gt;0,H3415/F3415,"")</f>
        <v/>
      </c>
      <c r="L3415" s="16">
        <f>IF(AND(G3415&gt;0,H3415&gt;0),G3415/H3415,"")</f>
        <v/>
      </c>
    </row>
    <row r="3416">
      <c r="A3416" s="4" t="inlineStr">
        <is>
          <t>401</t>
        </is>
      </c>
      <c r="B3416" s="4" t="n">
        <v>4</v>
      </c>
      <c r="C3416" s="4" t="inlineStr">
        <is>
          <t>elk</t>
        </is>
      </c>
      <c r="D3416" s="4" t="n">
        <v>2019</v>
      </c>
      <c r="E3416" s="13" t="inlineStr">
        <is>
          <t>General</t>
        </is>
      </c>
      <c r="F3416" s="5" t="n"/>
      <c r="G3416" s="5" t="n"/>
      <c r="H3416" s="5" t="n">
        <v>59</v>
      </c>
      <c r="I3416" s="5" t="n">
        <v>17</v>
      </c>
      <c r="J3416" s="5" t="n">
        <v>42</v>
      </c>
      <c r="K3416" s="10">
        <f>IF(F3416&gt;0,H3416/F3416,"")</f>
        <v/>
      </c>
      <c r="L3416" s="16">
        <f>IF(AND(G3416&gt;0,H3416&gt;0),G3416/H3416,"")</f>
        <v/>
      </c>
    </row>
    <row r="3417">
      <c r="A3417" s="4" t="inlineStr">
        <is>
          <t>401</t>
        </is>
      </c>
      <c r="B3417" s="4" t="n">
        <v>4</v>
      </c>
      <c r="C3417" s="4" t="inlineStr">
        <is>
          <t>elk</t>
        </is>
      </c>
      <c r="D3417" s="4" t="n">
        <v>2020</v>
      </c>
      <c r="E3417" s="13" t="inlineStr">
        <is>
          <t>General</t>
        </is>
      </c>
      <c r="F3417" s="5" t="n">
        <v>429</v>
      </c>
      <c r="G3417" s="5" t="n">
        <v>2585</v>
      </c>
      <c r="H3417" s="5" t="n">
        <v>49</v>
      </c>
      <c r="I3417" s="5" t="n">
        <v>16</v>
      </c>
      <c r="J3417" s="5" t="n">
        <v>32</v>
      </c>
      <c r="K3417" s="10">
        <f>IF(F3417&gt;0,H3417/F3417,"")</f>
        <v/>
      </c>
      <c r="L3417" s="16">
        <f>IF(AND(G3417&gt;0,H3417&gt;0),G3417/H3417,"")</f>
        <v/>
      </c>
    </row>
    <row r="3418">
      <c r="A3418" s="4" t="inlineStr">
        <is>
          <t>401</t>
        </is>
      </c>
      <c r="B3418" s="4" t="n">
        <v>4</v>
      </c>
      <c r="C3418" s="4" t="inlineStr">
        <is>
          <t>elk</t>
        </is>
      </c>
      <c r="D3418" s="4" t="n">
        <v>2021</v>
      </c>
      <c r="E3418" s="13" t="inlineStr">
        <is>
          <t>General</t>
        </is>
      </c>
      <c r="F3418" s="5" t="n"/>
      <c r="G3418" s="5" t="n"/>
      <c r="H3418" s="5" t="n">
        <v>42</v>
      </c>
      <c r="I3418" s="5" t="n">
        <v>20</v>
      </c>
      <c r="J3418" s="5" t="n">
        <v>22</v>
      </c>
      <c r="K3418" s="10">
        <f>IF(F3418&gt;0,H3418/F3418,"")</f>
        <v/>
      </c>
      <c r="L3418" s="16">
        <f>IF(AND(G3418&gt;0,H3418&gt;0),G3418/H3418,"")</f>
        <v/>
      </c>
    </row>
    <row r="3419">
      <c r="A3419" s="4" t="inlineStr">
        <is>
          <t>401</t>
        </is>
      </c>
      <c r="B3419" s="4" t="n">
        <v>4</v>
      </c>
      <c r="C3419" s="4" t="inlineStr">
        <is>
          <t>elk</t>
        </is>
      </c>
      <c r="D3419" s="4" t="n">
        <v>2022</v>
      </c>
      <c r="E3419" s="13" t="inlineStr">
        <is>
          <t>General</t>
        </is>
      </c>
      <c r="F3419" s="5" t="n">
        <v>414</v>
      </c>
      <c r="G3419" s="5" t="n">
        <v>2734</v>
      </c>
      <c r="H3419" s="5" t="n">
        <v>98</v>
      </c>
      <c r="I3419" s="5" t="n">
        <v>41</v>
      </c>
      <c r="J3419" s="5" t="n">
        <v>54</v>
      </c>
      <c r="K3419" s="10">
        <f>IF(F3419&gt;0,H3419/F3419,"")</f>
        <v/>
      </c>
      <c r="L3419" s="16">
        <f>IF(AND(G3419&gt;0,H3419&gt;0),G3419/H3419,"")</f>
        <v/>
      </c>
    </row>
    <row r="3420">
      <c r="A3420" s="4" t="inlineStr">
        <is>
          <t>401</t>
        </is>
      </c>
      <c r="B3420" s="4" t="n">
        <v>4</v>
      </c>
      <c r="C3420" s="4" t="inlineStr">
        <is>
          <t>elk</t>
        </is>
      </c>
      <c r="D3420" s="4" t="n">
        <v>2023</v>
      </c>
      <c r="E3420" s="13" t="inlineStr">
        <is>
          <t>General</t>
        </is>
      </c>
      <c r="F3420" s="5" t="n"/>
      <c r="G3420" s="5" t="n"/>
      <c r="H3420" s="5" t="n">
        <v>104</v>
      </c>
      <c r="I3420" s="5" t="n">
        <v>37</v>
      </c>
      <c r="J3420" s="5" t="n">
        <v>67</v>
      </c>
      <c r="K3420" s="10">
        <f>IF(F3420&gt;0,H3420/F3420,"")</f>
        <v/>
      </c>
      <c r="L3420" s="16">
        <f>IF(AND(G3420&gt;0,H3420&gt;0),G3420/H3420,"")</f>
        <v/>
      </c>
    </row>
    <row r="3421">
      <c r="A3421" s="4" t="inlineStr">
        <is>
          <t>401</t>
        </is>
      </c>
      <c r="B3421" s="4" t="n">
        <v>4</v>
      </c>
      <c r="C3421" s="4" t="inlineStr">
        <is>
          <t>elk</t>
        </is>
      </c>
      <c r="D3421" s="4" t="n">
        <v>2024</v>
      </c>
      <c r="E3421" s="13" t="inlineStr">
        <is>
          <t>General</t>
        </is>
      </c>
      <c r="F3421" s="5" t="n">
        <v>405</v>
      </c>
      <c r="G3421" s="5" t="n">
        <v>2461</v>
      </c>
      <c r="H3421" s="5" t="n">
        <v>125</v>
      </c>
      <c r="I3421" s="5" t="n">
        <v>65</v>
      </c>
      <c r="J3421" s="5" t="n">
        <v>60</v>
      </c>
      <c r="K3421" s="10">
        <f>IF(F3421&gt;0,H3421/F3421,"")</f>
        <v/>
      </c>
      <c r="L3421" s="16">
        <f>IF(AND(G3421&gt;0,H3421&gt;0),G3421/H3421,"")</f>
        <v/>
      </c>
    </row>
    <row r="3422">
      <c r="A3422" s="4" t="inlineStr">
        <is>
          <t>401</t>
        </is>
      </c>
      <c r="B3422" s="4" t="n">
        <v>4</v>
      </c>
      <c r="C3422" s="4" t="inlineStr">
        <is>
          <t>elk</t>
        </is>
      </c>
      <c r="D3422" s="4" t="n">
        <v>2025</v>
      </c>
      <c r="E3422" s="13" t="inlineStr">
        <is>
          <t>General</t>
        </is>
      </c>
      <c r="F3422" s="5" t="n"/>
      <c r="G3422" s="5" t="n"/>
      <c r="H3422" s="5" t="n">
        <v>106</v>
      </c>
      <c r="I3422" s="5" t="n">
        <v>34</v>
      </c>
      <c r="J3422" s="5" t="n">
        <v>68</v>
      </c>
      <c r="K3422" s="10">
        <f>IF(F3422&gt;0,H3422/F3422,"")</f>
        <v/>
      </c>
      <c r="L3422" s="16">
        <f>IF(AND(G3422&gt;0,H3422&gt;0),G3422/H3422,"")</f>
        <v/>
      </c>
    </row>
    <row r="3423">
      <c r="A3423" s="4" t="inlineStr">
        <is>
          <t>403</t>
        </is>
      </c>
      <c r="B3423" s="4" t="n">
        <v>4</v>
      </c>
      <c r="C3423" s="4" t="inlineStr">
        <is>
          <t>elk</t>
        </is>
      </c>
      <c r="D3423" s="4" t="n">
        <v>2004</v>
      </c>
      <c r="E3423" s="13" t="inlineStr">
        <is>
          <t>General</t>
        </is>
      </c>
      <c r="F3423" s="5" t="n">
        <v>10</v>
      </c>
      <c r="G3423" s="5" t="n">
        <v>28</v>
      </c>
      <c r="H3423" s="5" t="n">
        <v>0</v>
      </c>
      <c r="I3423" s="5" t="n">
        <v>0</v>
      </c>
      <c r="J3423" s="5" t="n">
        <v>0</v>
      </c>
      <c r="K3423" s="10">
        <f>IF(F3423&gt;0,H3423/F3423,"")</f>
        <v/>
      </c>
      <c r="L3423" s="16">
        <f>IF(AND(G3423&gt;0,H3423&gt;0),G3423/H3423,"")</f>
        <v/>
      </c>
    </row>
    <row r="3424">
      <c r="A3424" s="4" t="inlineStr">
        <is>
          <t>403</t>
        </is>
      </c>
      <c r="B3424" s="4" t="n">
        <v>4</v>
      </c>
      <c r="C3424" s="4" t="inlineStr">
        <is>
          <t>elk</t>
        </is>
      </c>
      <c r="D3424" s="4" t="n">
        <v>2005</v>
      </c>
      <c r="E3424" s="13" t="inlineStr">
        <is>
          <t>General</t>
        </is>
      </c>
      <c r="F3424" s="5" t="n">
        <v>8</v>
      </c>
      <c r="G3424" s="5" t="n">
        <v>24</v>
      </c>
      <c r="H3424" s="5" t="n">
        <v>0</v>
      </c>
      <c r="I3424" s="5" t="n">
        <v>0</v>
      </c>
      <c r="J3424" s="5" t="n">
        <v>0</v>
      </c>
      <c r="K3424" s="10">
        <f>IF(F3424&gt;0,H3424/F3424,"")</f>
        <v/>
      </c>
      <c r="L3424" s="16">
        <f>IF(AND(G3424&gt;0,H3424&gt;0),G3424/H3424,"")</f>
        <v/>
      </c>
    </row>
    <row r="3425">
      <c r="A3425" s="4" t="inlineStr">
        <is>
          <t>403</t>
        </is>
      </c>
      <c r="B3425" s="4" t="n">
        <v>4</v>
      </c>
      <c r="C3425" s="4" t="inlineStr">
        <is>
          <t>elk</t>
        </is>
      </c>
      <c r="D3425" s="4" t="n">
        <v>2006</v>
      </c>
      <c r="E3425" s="13" t="inlineStr">
        <is>
          <t>General</t>
        </is>
      </c>
      <c r="F3425" s="5" t="n">
        <v>29</v>
      </c>
      <c r="G3425" s="5" t="n">
        <v>108</v>
      </c>
      <c r="H3425" s="5" t="n">
        <v>4</v>
      </c>
      <c r="I3425" s="5" t="n">
        <v>0</v>
      </c>
      <c r="J3425" s="5" t="n">
        <v>4</v>
      </c>
      <c r="K3425" s="10">
        <f>IF(F3425&gt;0,H3425/F3425,"")</f>
        <v/>
      </c>
      <c r="L3425" s="16">
        <f>IF(AND(G3425&gt;0,H3425&gt;0),G3425/H3425,"")</f>
        <v/>
      </c>
    </row>
    <row r="3426">
      <c r="A3426" s="4" t="inlineStr">
        <is>
          <t>403</t>
        </is>
      </c>
      <c r="B3426" s="4" t="n">
        <v>4</v>
      </c>
      <c r="C3426" s="4" t="inlineStr">
        <is>
          <t>elk</t>
        </is>
      </c>
      <c r="D3426" s="4" t="n">
        <v>2007</v>
      </c>
      <c r="E3426" s="13" t="inlineStr">
        <is>
          <t>General</t>
        </is>
      </c>
      <c r="F3426" s="5" t="n">
        <v>17</v>
      </c>
      <c r="G3426" s="5" t="n">
        <v>65</v>
      </c>
      <c r="H3426" s="5" t="n">
        <v>0</v>
      </c>
      <c r="I3426" s="5" t="n">
        <v>0</v>
      </c>
      <c r="J3426" s="5" t="n">
        <v>0</v>
      </c>
      <c r="K3426" s="10">
        <f>IF(F3426&gt;0,H3426/F3426,"")</f>
        <v/>
      </c>
      <c r="L3426" s="16">
        <f>IF(AND(G3426&gt;0,H3426&gt;0),G3426/H3426,"")</f>
        <v/>
      </c>
    </row>
    <row r="3427">
      <c r="A3427" s="4" t="inlineStr">
        <is>
          <t>403</t>
        </is>
      </c>
      <c r="B3427" s="4" t="n">
        <v>4</v>
      </c>
      <c r="C3427" s="4" t="inlineStr">
        <is>
          <t>elk</t>
        </is>
      </c>
      <c r="D3427" s="4" t="n">
        <v>2009</v>
      </c>
      <c r="E3427" s="13" t="inlineStr">
        <is>
          <t>General</t>
        </is>
      </c>
      <c r="F3427" s="5" t="n">
        <v>15</v>
      </c>
      <c r="G3427" s="5" t="n">
        <v>58</v>
      </c>
      <c r="H3427" s="5" t="n">
        <v>3</v>
      </c>
      <c r="I3427" s="5" t="n">
        <v>3</v>
      </c>
      <c r="J3427" s="5" t="n">
        <v>0</v>
      </c>
      <c r="K3427" s="10">
        <f>IF(F3427&gt;0,H3427/F3427,"")</f>
        <v/>
      </c>
      <c r="L3427" s="16">
        <f>IF(AND(G3427&gt;0,H3427&gt;0),G3427/H3427,"")</f>
        <v/>
      </c>
    </row>
    <row r="3428">
      <c r="A3428" s="4" t="inlineStr">
        <is>
          <t>403</t>
        </is>
      </c>
      <c r="B3428" s="4" t="n">
        <v>4</v>
      </c>
      <c r="C3428" s="4" t="inlineStr">
        <is>
          <t>elk</t>
        </is>
      </c>
      <c r="D3428" s="4" t="n">
        <v>2010</v>
      </c>
      <c r="E3428" s="13" t="inlineStr">
        <is>
          <t>General</t>
        </is>
      </c>
      <c r="F3428" s="5" t="n">
        <v>11</v>
      </c>
      <c r="G3428" s="5" t="n">
        <v>83</v>
      </c>
      <c r="H3428" s="5" t="n">
        <v>0</v>
      </c>
      <c r="I3428" s="5" t="n">
        <v>0</v>
      </c>
      <c r="J3428" s="5" t="n">
        <v>0</v>
      </c>
      <c r="K3428" s="10">
        <f>IF(F3428&gt;0,H3428/F3428,"")</f>
        <v/>
      </c>
      <c r="L3428" s="16">
        <f>IF(AND(G3428&gt;0,H3428&gt;0),G3428/H3428,"")</f>
        <v/>
      </c>
    </row>
    <row r="3429">
      <c r="A3429" s="4" t="inlineStr">
        <is>
          <t>403</t>
        </is>
      </c>
      <c r="B3429" s="4" t="n">
        <v>4</v>
      </c>
      <c r="C3429" s="4" t="inlineStr">
        <is>
          <t>elk</t>
        </is>
      </c>
      <c r="D3429" s="4" t="n">
        <v>2012</v>
      </c>
      <c r="E3429" s="13" t="inlineStr">
        <is>
          <t>General</t>
        </is>
      </c>
      <c r="F3429" s="5" t="n">
        <v>25</v>
      </c>
      <c r="G3429" s="5" t="n">
        <v>116</v>
      </c>
      <c r="H3429" s="5" t="n">
        <v>3</v>
      </c>
      <c r="I3429" s="5" t="n">
        <v>3</v>
      </c>
      <c r="J3429" s="5" t="n">
        <v>0</v>
      </c>
      <c r="K3429" s="10">
        <f>IF(F3429&gt;0,H3429/F3429,"")</f>
        <v/>
      </c>
      <c r="L3429" s="16">
        <f>IF(AND(G3429&gt;0,H3429&gt;0),G3429/H3429,"")</f>
        <v/>
      </c>
    </row>
    <row r="3430">
      <c r="A3430" s="4" t="inlineStr">
        <is>
          <t>403</t>
        </is>
      </c>
      <c r="B3430" s="4" t="n">
        <v>4</v>
      </c>
      <c r="C3430" s="4" t="inlineStr">
        <is>
          <t>elk</t>
        </is>
      </c>
      <c r="D3430" s="4" t="n">
        <v>2013</v>
      </c>
      <c r="E3430" s="13" t="inlineStr">
        <is>
          <t>General</t>
        </is>
      </c>
      <c r="F3430" s="5" t="n"/>
      <c r="G3430" s="5" t="n"/>
      <c r="H3430" s="5" t="n">
        <v>3</v>
      </c>
      <c r="I3430" s="5" t="n">
        <v>0</v>
      </c>
      <c r="J3430" s="5" t="n">
        <v>3</v>
      </c>
      <c r="K3430" s="10">
        <f>IF(F3430&gt;0,H3430/F3430,"")</f>
        <v/>
      </c>
      <c r="L3430" s="16">
        <f>IF(AND(G3430&gt;0,H3430&gt;0),G3430/H3430,"")</f>
        <v/>
      </c>
    </row>
    <row r="3431">
      <c r="A3431" s="4" t="inlineStr">
        <is>
          <t>403</t>
        </is>
      </c>
      <c r="B3431" s="4" t="n">
        <v>4</v>
      </c>
      <c r="C3431" s="4" t="inlineStr">
        <is>
          <t>elk</t>
        </is>
      </c>
      <c r="D3431" s="4" t="n">
        <v>2014</v>
      </c>
      <c r="E3431" s="13" t="inlineStr">
        <is>
          <t>General</t>
        </is>
      </c>
      <c r="F3431" s="5" t="n">
        <v>28</v>
      </c>
      <c r="G3431" s="5" t="n">
        <v>190</v>
      </c>
      <c r="H3431" s="5" t="n">
        <v>0</v>
      </c>
      <c r="I3431" s="5" t="n">
        <v>0</v>
      </c>
      <c r="J3431" s="5" t="n">
        <v>0</v>
      </c>
      <c r="K3431" s="10">
        <f>IF(F3431&gt;0,H3431/F3431,"")</f>
        <v/>
      </c>
      <c r="L3431" s="16">
        <f>IF(AND(G3431&gt;0,H3431&gt;0),G3431/H3431,"")</f>
        <v/>
      </c>
    </row>
    <row r="3432">
      <c r="A3432" s="4" t="inlineStr">
        <is>
          <t>403</t>
        </is>
      </c>
      <c r="B3432" s="4" t="n">
        <v>4</v>
      </c>
      <c r="C3432" s="4" t="inlineStr">
        <is>
          <t>elk</t>
        </is>
      </c>
      <c r="D3432" s="4" t="n">
        <v>2016</v>
      </c>
      <c r="E3432" s="13" t="inlineStr">
        <is>
          <t>General</t>
        </is>
      </c>
      <c r="F3432" s="5" t="n">
        <v>34</v>
      </c>
      <c r="G3432" s="5" t="n">
        <v>270</v>
      </c>
      <c r="H3432" s="5" t="n">
        <v>0</v>
      </c>
      <c r="I3432" s="5" t="n">
        <v>0</v>
      </c>
      <c r="J3432" s="5" t="n">
        <v>0</v>
      </c>
      <c r="K3432" s="10">
        <f>IF(F3432&gt;0,H3432/F3432,"")</f>
        <v/>
      </c>
      <c r="L3432" s="16">
        <f>IF(AND(G3432&gt;0,H3432&gt;0),G3432/H3432,"")</f>
        <v/>
      </c>
    </row>
    <row r="3433">
      <c r="A3433" s="4" t="inlineStr">
        <is>
          <t>403</t>
        </is>
      </c>
      <c r="B3433" s="4" t="n">
        <v>4</v>
      </c>
      <c r="C3433" s="4" t="inlineStr">
        <is>
          <t>elk</t>
        </is>
      </c>
      <c r="D3433" s="4" t="n">
        <v>2017</v>
      </c>
      <c r="E3433" s="13" t="inlineStr">
        <is>
          <t>General</t>
        </is>
      </c>
      <c r="F3433" s="5" t="n"/>
      <c r="G3433" s="5" t="n"/>
      <c r="H3433" s="5" t="n">
        <v>5</v>
      </c>
      <c r="I3433" s="5" t="n">
        <v>0</v>
      </c>
      <c r="J3433" s="5" t="n">
        <v>5</v>
      </c>
      <c r="K3433" s="10">
        <f>IF(F3433&gt;0,H3433/F3433,"")</f>
        <v/>
      </c>
      <c r="L3433" s="16">
        <f>IF(AND(G3433&gt;0,H3433&gt;0),G3433/H3433,"")</f>
        <v/>
      </c>
    </row>
    <row r="3434">
      <c r="A3434" s="4" t="inlineStr">
        <is>
          <t>403</t>
        </is>
      </c>
      <c r="B3434" s="4" t="n">
        <v>4</v>
      </c>
      <c r="C3434" s="4" t="inlineStr">
        <is>
          <t>elk</t>
        </is>
      </c>
      <c r="D3434" s="4" t="n">
        <v>2018</v>
      </c>
      <c r="E3434" s="13" t="inlineStr">
        <is>
          <t>General</t>
        </is>
      </c>
      <c r="F3434" s="5" t="n">
        <v>47</v>
      </c>
      <c r="G3434" s="5" t="n">
        <v>209</v>
      </c>
      <c r="H3434" s="5" t="n">
        <v>6</v>
      </c>
      <c r="I3434" s="5" t="n">
        <v>3</v>
      </c>
      <c r="J3434" s="5" t="n">
        <v>3</v>
      </c>
      <c r="K3434" s="10">
        <f>IF(F3434&gt;0,H3434/F3434,"")</f>
        <v/>
      </c>
      <c r="L3434" s="16">
        <f>IF(AND(G3434&gt;0,H3434&gt;0),G3434/H3434,"")</f>
        <v/>
      </c>
    </row>
    <row r="3435">
      <c r="A3435" s="4" t="inlineStr">
        <is>
          <t>403</t>
        </is>
      </c>
      <c r="B3435" s="4" t="n">
        <v>4</v>
      </c>
      <c r="C3435" s="4" t="inlineStr">
        <is>
          <t>elk</t>
        </is>
      </c>
      <c r="D3435" s="4" t="n">
        <v>2019</v>
      </c>
      <c r="E3435" s="13" t="inlineStr">
        <is>
          <t>General</t>
        </is>
      </c>
      <c r="F3435" s="5" t="n"/>
      <c r="G3435" s="5" t="n"/>
      <c r="H3435" s="5" t="n">
        <v>9</v>
      </c>
      <c r="I3435" s="5" t="n">
        <v>9</v>
      </c>
      <c r="J3435" s="5" t="n">
        <v>0</v>
      </c>
      <c r="K3435" s="10">
        <f>IF(F3435&gt;0,H3435/F3435,"")</f>
        <v/>
      </c>
      <c r="L3435" s="16">
        <f>IF(AND(G3435&gt;0,H3435&gt;0),G3435/H3435,"")</f>
        <v/>
      </c>
    </row>
    <row r="3436">
      <c r="A3436" s="4" t="inlineStr">
        <is>
          <t>403</t>
        </is>
      </c>
      <c r="B3436" s="4" t="n">
        <v>4</v>
      </c>
      <c r="C3436" s="4" t="inlineStr">
        <is>
          <t>elk</t>
        </is>
      </c>
      <c r="D3436" s="4" t="n">
        <v>2020</v>
      </c>
      <c r="E3436" s="13" t="inlineStr">
        <is>
          <t>General</t>
        </is>
      </c>
      <c r="F3436" s="5" t="n">
        <v>53</v>
      </c>
      <c r="G3436" s="5" t="n">
        <v>352</v>
      </c>
      <c r="H3436" s="5" t="n">
        <v>7</v>
      </c>
      <c r="I3436" s="5" t="n">
        <v>3</v>
      </c>
      <c r="J3436" s="5" t="n">
        <v>4</v>
      </c>
      <c r="K3436" s="10">
        <f>IF(F3436&gt;0,H3436/F3436,"")</f>
        <v/>
      </c>
      <c r="L3436" s="16">
        <f>IF(AND(G3436&gt;0,H3436&gt;0),G3436/H3436,"")</f>
        <v/>
      </c>
    </row>
    <row r="3437">
      <c r="A3437" s="4" t="inlineStr">
        <is>
          <t>403</t>
        </is>
      </c>
      <c r="B3437" s="4" t="n">
        <v>4</v>
      </c>
      <c r="C3437" s="4" t="inlineStr">
        <is>
          <t>elk</t>
        </is>
      </c>
      <c r="D3437" s="4" t="n">
        <v>2021</v>
      </c>
      <c r="E3437" s="13" t="inlineStr">
        <is>
          <t>General</t>
        </is>
      </c>
      <c r="F3437" s="5" t="n"/>
      <c r="G3437" s="5" t="n"/>
      <c r="H3437" s="5" t="n">
        <v>3</v>
      </c>
      <c r="I3437" s="5" t="n">
        <v>0</v>
      </c>
      <c r="J3437" s="5" t="n">
        <v>3</v>
      </c>
      <c r="K3437" s="10">
        <f>IF(F3437&gt;0,H3437/F3437,"")</f>
        <v/>
      </c>
      <c r="L3437" s="16">
        <f>IF(AND(G3437&gt;0,H3437&gt;0),G3437/H3437,"")</f>
        <v/>
      </c>
    </row>
    <row r="3438">
      <c r="A3438" s="4" t="inlineStr">
        <is>
          <t>403</t>
        </is>
      </c>
      <c r="B3438" s="4" t="n">
        <v>4</v>
      </c>
      <c r="C3438" s="4" t="inlineStr">
        <is>
          <t>elk</t>
        </is>
      </c>
      <c r="D3438" s="4" t="n">
        <v>2022</v>
      </c>
      <c r="E3438" s="13" t="inlineStr">
        <is>
          <t>General</t>
        </is>
      </c>
      <c r="F3438" s="5" t="n">
        <v>46</v>
      </c>
      <c r="G3438" s="5" t="n">
        <v>139</v>
      </c>
      <c r="H3438" s="5" t="n">
        <v>6</v>
      </c>
      <c r="I3438" s="5" t="n">
        <v>3</v>
      </c>
      <c r="J3438" s="5" t="n">
        <v>3</v>
      </c>
      <c r="K3438" s="10">
        <f>IF(F3438&gt;0,H3438/F3438,"")</f>
        <v/>
      </c>
      <c r="L3438" s="16">
        <f>IF(AND(G3438&gt;0,H3438&gt;0),G3438/H3438,"")</f>
        <v/>
      </c>
    </row>
    <row r="3439">
      <c r="A3439" s="4" t="inlineStr">
        <is>
          <t>403</t>
        </is>
      </c>
      <c r="B3439" s="4" t="n">
        <v>4</v>
      </c>
      <c r="C3439" s="4" t="inlineStr">
        <is>
          <t>elk</t>
        </is>
      </c>
      <c r="D3439" s="4" t="n">
        <v>2023</v>
      </c>
      <c r="E3439" s="13" t="inlineStr">
        <is>
          <t>General</t>
        </is>
      </c>
      <c r="F3439" s="5" t="n"/>
      <c r="G3439" s="5" t="n"/>
      <c r="H3439" s="5" t="n">
        <v>3</v>
      </c>
      <c r="I3439" s="5" t="n">
        <v>3</v>
      </c>
      <c r="J3439" s="5" t="n">
        <v>0</v>
      </c>
      <c r="K3439" s="10">
        <f>IF(F3439&gt;0,H3439/F3439,"")</f>
        <v/>
      </c>
      <c r="L3439" s="16">
        <f>IF(AND(G3439&gt;0,H3439&gt;0),G3439/H3439,"")</f>
        <v/>
      </c>
    </row>
    <row r="3440">
      <c r="A3440" s="4" t="inlineStr">
        <is>
          <t>403</t>
        </is>
      </c>
      <c r="B3440" s="4" t="n">
        <v>4</v>
      </c>
      <c r="C3440" s="4" t="inlineStr">
        <is>
          <t>elk</t>
        </is>
      </c>
      <c r="D3440" s="4" t="n">
        <v>2024</v>
      </c>
      <c r="E3440" s="13" t="inlineStr">
        <is>
          <t>General</t>
        </is>
      </c>
      <c r="F3440" s="5" t="n">
        <v>54</v>
      </c>
      <c r="G3440" s="5" t="n">
        <v>278</v>
      </c>
      <c r="H3440" s="5" t="n">
        <v>6</v>
      </c>
      <c r="I3440" s="5" t="n">
        <v>0</v>
      </c>
      <c r="J3440" s="5" t="n">
        <v>6</v>
      </c>
      <c r="K3440" s="10">
        <f>IF(F3440&gt;0,H3440/F3440,"")</f>
        <v/>
      </c>
      <c r="L3440" s="16">
        <f>IF(AND(G3440&gt;0,H3440&gt;0),G3440/H3440,"")</f>
        <v/>
      </c>
    </row>
    <row r="3441">
      <c r="A3441" s="4" t="inlineStr">
        <is>
          <t>403</t>
        </is>
      </c>
      <c r="B3441" s="4" t="n">
        <v>4</v>
      </c>
      <c r="C3441" s="4" t="inlineStr">
        <is>
          <t>elk</t>
        </is>
      </c>
      <c r="D3441" s="4" t="n">
        <v>2025</v>
      </c>
      <c r="E3441" s="13" t="inlineStr">
        <is>
          <t>General</t>
        </is>
      </c>
      <c r="F3441" s="5" t="n"/>
      <c r="G3441" s="5" t="n"/>
      <c r="H3441" s="5" t="n">
        <v>10</v>
      </c>
      <c r="I3441" s="5" t="n">
        <v>10</v>
      </c>
      <c r="J3441" s="5" t="n">
        <v>0</v>
      </c>
      <c r="K3441" s="10">
        <f>IF(F3441&gt;0,H3441/F3441,"")</f>
        <v/>
      </c>
      <c r="L3441" s="16">
        <f>IF(AND(G3441&gt;0,H3441&gt;0),G3441/H3441,"")</f>
        <v/>
      </c>
    </row>
    <row r="3442">
      <c r="A3442" s="4" t="inlineStr">
        <is>
          <t>404</t>
        </is>
      </c>
      <c r="B3442" s="4" t="n">
        <v>4</v>
      </c>
      <c r="C3442" s="4" t="inlineStr">
        <is>
          <t>elk</t>
        </is>
      </c>
      <c r="D3442" s="4" t="n">
        <v>2004</v>
      </c>
      <c r="E3442" s="13" t="inlineStr">
        <is>
          <t>General</t>
        </is>
      </c>
      <c r="F3442" s="5" t="n">
        <v>69</v>
      </c>
      <c r="G3442" s="5" t="n">
        <v>187</v>
      </c>
      <c r="H3442" s="5" t="n">
        <v>7</v>
      </c>
      <c r="I3442" s="5" t="n">
        <v>4</v>
      </c>
      <c r="J3442" s="5" t="n">
        <v>3</v>
      </c>
      <c r="K3442" s="10">
        <f>IF(F3442&gt;0,H3442/F3442,"")</f>
        <v/>
      </c>
      <c r="L3442" s="16">
        <f>IF(AND(G3442&gt;0,H3442&gt;0),G3442/H3442,"")</f>
        <v/>
      </c>
    </row>
    <row r="3443">
      <c r="A3443" s="4" t="inlineStr">
        <is>
          <t>404</t>
        </is>
      </c>
      <c r="B3443" s="4" t="n">
        <v>4</v>
      </c>
      <c r="C3443" s="4" t="inlineStr">
        <is>
          <t>elk</t>
        </is>
      </c>
      <c r="D3443" s="4" t="n">
        <v>2005</v>
      </c>
      <c r="E3443" s="13" t="inlineStr">
        <is>
          <t>General</t>
        </is>
      </c>
      <c r="F3443" s="5" t="n">
        <v>144</v>
      </c>
      <c r="G3443" s="5" t="n">
        <v>664</v>
      </c>
      <c r="H3443" s="5" t="n">
        <v>18</v>
      </c>
      <c r="I3443" s="5" t="n">
        <v>10</v>
      </c>
      <c r="J3443" s="5" t="n">
        <v>8</v>
      </c>
      <c r="K3443" s="10">
        <f>IF(F3443&gt;0,H3443/F3443,"")</f>
        <v/>
      </c>
      <c r="L3443" s="16">
        <f>IF(AND(G3443&gt;0,H3443&gt;0),G3443/H3443,"")</f>
        <v/>
      </c>
    </row>
    <row r="3444">
      <c r="A3444" s="4" t="inlineStr">
        <is>
          <t>404</t>
        </is>
      </c>
      <c r="B3444" s="4" t="n">
        <v>4</v>
      </c>
      <c r="C3444" s="4" t="inlineStr">
        <is>
          <t>elk</t>
        </is>
      </c>
      <c r="D3444" s="4" t="n">
        <v>2006</v>
      </c>
      <c r="E3444" s="13" t="inlineStr">
        <is>
          <t>General</t>
        </is>
      </c>
      <c r="F3444" s="5" t="n">
        <v>180</v>
      </c>
      <c r="G3444" s="5" t="n">
        <v>866</v>
      </c>
      <c r="H3444" s="5" t="n">
        <v>35</v>
      </c>
      <c r="I3444" s="5" t="n">
        <v>30</v>
      </c>
      <c r="J3444" s="5" t="n">
        <v>4</v>
      </c>
      <c r="K3444" s="10">
        <f>IF(F3444&gt;0,H3444/F3444,"")</f>
        <v/>
      </c>
      <c r="L3444" s="16">
        <f>IF(AND(G3444&gt;0,H3444&gt;0),G3444/H3444,"")</f>
        <v/>
      </c>
    </row>
    <row r="3445">
      <c r="A3445" s="4" t="inlineStr">
        <is>
          <t>404</t>
        </is>
      </c>
      <c r="B3445" s="4" t="n">
        <v>4</v>
      </c>
      <c r="C3445" s="4" t="inlineStr">
        <is>
          <t>elk</t>
        </is>
      </c>
      <c r="D3445" s="4" t="n">
        <v>2007</v>
      </c>
      <c r="E3445" s="13" t="inlineStr">
        <is>
          <t>General</t>
        </is>
      </c>
      <c r="F3445" s="5" t="n">
        <v>131</v>
      </c>
      <c r="G3445" s="5" t="n">
        <v>388</v>
      </c>
      <c r="H3445" s="5" t="n">
        <v>21</v>
      </c>
      <c r="I3445" s="5" t="n">
        <v>12</v>
      </c>
      <c r="J3445" s="5" t="n">
        <v>10</v>
      </c>
      <c r="K3445" s="10">
        <f>IF(F3445&gt;0,H3445/F3445,"")</f>
        <v/>
      </c>
      <c r="L3445" s="16">
        <f>IF(AND(G3445&gt;0,H3445&gt;0),G3445/H3445,"")</f>
        <v/>
      </c>
    </row>
    <row r="3446">
      <c r="A3446" s="4" t="inlineStr">
        <is>
          <t>404</t>
        </is>
      </c>
      <c r="B3446" s="4" t="n">
        <v>4</v>
      </c>
      <c r="C3446" s="4" t="inlineStr">
        <is>
          <t>elk</t>
        </is>
      </c>
      <c r="D3446" s="4" t="n">
        <v>2008</v>
      </c>
      <c r="E3446" s="13" t="inlineStr">
        <is>
          <t>General</t>
        </is>
      </c>
      <c r="F3446" s="5" t="n">
        <v>165</v>
      </c>
      <c r="G3446" s="5" t="n">
        <v>627</v>
      </c>
      <c r="H3446" s="5" t="n">
        <v>17</v>
      </c>
      <c r="I3446" s="5" t="n">
        <v>11</v>
      </c>
      <c r="J3446" s="5" t="n">
        <v>6</v>
      </c>
      <c r="K3446" s="10">
        <f>IF(F3446&gt;0,H3446/F3446,"")</f>
        <v/>
      </c>
      <c r="L3446" s="16">
        <f>IF(AND(G3446&gt;0,H3446&gt;0),G3446/H3446,"")</f>
        <v/>
      </c>
    </row>
    <row r="3447">
      <c r="A3447" s="4" t="inlineStr">
        <is>
          <t>404</t>
        </is>
      </c>
      <c r="B3447" s="4" t="n">
        <v>4</v>
      </c>
      <c r="C3447" s="4" t="inlineStr">
        <is>
          <t>elk</t>
        </is>
      </c>
      <c r="D3447" s="4" t="n">
        <v>2009</v>
      </c>
      <c r="E3447" s="13" t="inlineStr">
        <is>
          <t>General</t>
        </is>
      </c>
      <c r="F3447" s="5" t="n">
        <v>211</v>
      </c>
      <c r="G3447" s="5" t="n">
        <v>1193</v>
      </c>
      <c r="H3447" s="5" t="n">
        <v>24</v>
      </c>
      <c r="I3447" s="5" t="n">
        <v>15</v>
      </c>
      <c r="J3447" s="5" t="n">
        <v>9</v>
      </c>
      <c r="K3447" s="10">
        <f>IF(F3447&gt;0,H3447/F3447,"")</f>
        <v/>
      </c>
      <c r="L3447" s="16">
        <f>IF(AND(G3447&gt;0,H3447&gt;0),G3447/H3447,"")</f>
        <v/>
      </c>
    </row>
    <row r="3448">
      <c r="A3448" s="4" t="inlineStr">
        <is>
          <t>404</t>
        </is>
      </c>
      <c r="B3448" s="4" t="n">
        <v>4</v>
      </c>
      <c r="C3448" s="4" t="inlineStr">
        <is>
          <t>elk</t>
        </is>
      </c>
      <c r="D3448" s="4" t="n">
        <v>2010</v>
      </c>
      <c r="E3448" s="13" t="inlineStr">
        <is>
          <t>General</t>
        </is>
      </c>
      <c r="F3448" s="5" t="n">
        <v>143</v>
      </c>
      <c r="G3448" s="5" t="n">
        <v>689</v>
      </c>
      <c r="H3448" s="5" t="n">
        <v>14</v>
      </c>
      <c r="I3448" s="5" t="n">
        <v>8</v>
      </c>
      <c r="J3448" s="5" t="n">
        <v>5</v>
      </c>
      <c r="K3448" s="10">
        <f>IF(F3448&gt;0,H3448/F3448,"")</f>
        <v/>
      </c>
      <c r="L3448" s="16">
        <f>IF(AND(G3448&gt;0,H3448&gt;0),G3448/H3448,"")</f>
        <v/>
      </c>
    </row>
    <row r="3449">
      <c r="A3449" s="4" t="inlineStr">
        <is>
          <t>404</t>
        </is>
      </c>
      <c r="B3449" s="4" t="n">
        <v>4</v>
      </c>
      <c r="C3449" s="4" t="inlineStr">
        <is>
          <t>elk</t>
        </is>
      </c>
      <c r="D3449" s="4" t="n">
        <v>2011</v>
      </c>
      <c r="E3449" s="13" t="inlineStr">
        <is>
          <t>General</t>
        </is>
      </c>
      <c r="F3449" s="5" t="n">
        <v>177</v>
      </c>
      <c r="G3449" s="5" t="n">
        <v>715</v>
      </c>
      <c r="H3449" s="5" t="n">
        <v>17</v>
      </c>
      <c r="I3449" s="5" t="n">
        <v>3</v>
      </c>
      <c r="J3449" s="5" t="n">
        <v>11</v>
      </c>
      <c r="K3449" s="10">
        <f>IF(F3449&gt;0,H3449/F3449,"")</f>
        <v/>
      </c>
      <c r="L3449" s="16">
        <f>IF(AND(G3449&gt;0,H3449&gt;0),G3449/H3449,"")</f>
        <v/>
      </c>
    </row>
    <row r="3450">
      <c r="A3450" s="4" t="inlineStr">
        <is>
          <t>404</t>
        </is>
      </c>
      <c r="B3450" s="4" t="n">
        <v>4</v>
      </c>
      <c r="C3450" s="4" t="inlineStr">
        <is>
          <t>elk</t>
        </is>
      </c>
      <c r="D3450" s="4" t="n">
        <v>2012</v>
      </c>
      <c r="E3450" s="13" t="inlineStr">
        <is>
          <t>General</t>
        </is>
      </c>
      <c r="F3450" s="5" t="n">
        <v>165</v>
      </c>
      <c r="G3450" s="5" t="n">
        <v>720</v>
      </c>
      <c r="H3450" s="5" t="n">
        <v>13</v>
      </c>
      <c r="I3450" s="5" t="n">
        <v>7</v>
      </c>
      <c r="J3450" s="5" t="n">
        <v>6</v>
      </c>
      <c r="K3450" s="10">
        <f>IF(F3450&gt;0,H3450/F3450,"")</f>
        <v/>
      </c>
      <c r="L3450" s="16">
        <f>IF(AND(G3450&gt;0,H3450&gt;0),G3450/H3450,"")</f>
        <v/>
      </c>
    </row>
    <row r="3451">
      <c r="A3451" s="4" t="inlineStr">
        <is>
          <t>404</t>
        </is>
      </c>
      <c r="B3451" s="4" t="n">
        <v>4</v>
      </c>
      <c r="C3451" s="4" t="inlineStr">
        <is>
          <t>elk</t>
        </is>
      </c>
      <c r="D3451" s="4" t="n">
        <v>2013</v>
      </c>
      <c r="E3451" s="13" t="inlineStr">
        <is>
          <t>General</t>
        </is>
      </c>
      <c r="F3451" s="5" t="n"/>
      <c r="G3451" s="5" t="n"/>
      <c r="H3451" s="5" t="n">
        <v>26</v>
      </c>
      <c r="I3451" s="5" t="n">
        <v>22</v>
      </c>
      <c r="J3451" s="5" t="n">
        <v>4</v>
      </c>
      <c r="K3451" s="10">
        <f>IF(F3451&gt;0,H3451/F3451,"")</f>
        <v/>
      </c>
      <c r="L3451" s="16">
        <f>IF(AND(G3451&gt;0,H3451&gt;0),G3451/H3451,"")</f>
        <v/>
      </c>
    </row>
    <row r="3452">
      <c r="A3452" s="4" t="inlineStr">
        <is>
          <t>404</t>
        </is>
      </c>
      <c r="B3452" s="4" t="n">
        <v>4</v>
      </c>
      <c r="C3452" s="4" t="inlineStr">
        <is>
          <t>elk</t>
        </is>
      </c>
      <c r="D3452" s="4" t="n">
        <v>2014</v>
      </c>
      <c r="E3452" s="13" t="inlineStr">
        <is>
          <t>General</t>
        </is>
      </c>
      <c r="F3452" s="5" t="n">
        <v>191</v>
      </c>
      <c r="G3452" s="5" t="n">
        <v>857</v>
      </c>
      <c r="H3452" s="5" t="n">
        <v>25</v>
      </c>
      <c r="I3452" s="5" t="n">
        <v>3</v>
      </c>
      <c r="J3452" s="5" t="n">
        <v>19</v>
      </c>
      <c r="K3452" s="10">
        <f>IF(F3452&gt;0,H3452/F3452,"")</f>
        <v/>
      </c>
      <c r="L3452" s="16">
        <f>IF(AND(G3452&gt;0,H3452&gt;0),G3452/H3452,"")</f>
        <v/>
      </c>
    </row>
    <row r="3453">
      <c r="A3453" s="4" t="inlineStr">
        <is>
          <t>404</t>
        </is>
      </c>
      <c r="B3453" s="4" t="n">
        <v>4</v>
      </c>
      <c r="C3453" s="4" t="inlineStr">
        <is>
          <t>elk</t>
        </is>
      </c>
      <c r="D3453" s="4" t="n">
        <v>2015</v>
      </c>
      <c r="E3453" s="13" t="inlineStr">
        <is>
          <t>General</t>
        </is>
      </c>
      <c r="F3453" s="5" t="n">
        <v>232</v>
      </c>
      <c r="G3453" s="5" t="n">
        <v>1399</v>
      </c>
      <c r="H3453" s="5" t="n">
        <v>47</v>
      </c>
      <c r="I3453" s="5" t="n">
        <v>12</v>
      </c>
      <c r="J3453" s="5" t="n">
        <v>23</v>
      </c>
      <c r="K3453" s="10">
        <f>IF(F3453&gt;0,H3453/F3453,"")</f>
        <v/>
      </c>
      <c r="L3453" s="16">
        <f>IF(AND(G3453&gt;0,H3453&gt;0),G3453/H3453,"")</f>
        <v/>
      </c>
    </row>
    <row r="3454">
      <c r="A3454" s="4" t="inlineStr">
        <is>
          <t>404</t>
        </is>
      </c>
      <c r="B3454" s="4" t="n">
        <v>4</v>
      </c>
      <c r="C3454" s="4" t="inlineStr">
        <is>
          <t>elk</t>
        </is>
      </c>
      <c r="D3454" s="4" t="n">
        <v>2016</v>
      </c>
      <c r="E3454" s="13" t="inlineStr">
        <is>
          <t>General</t>
        </is>
      </c>
      <c r="F3454" s="5" t="n">
        <v>156</v>
      </c>
      <c r="G3454" s="5" t="n">
        <v>802</v>
      </c>
      <c r="H3454" s="5" t="n">
        <v>3</v>
      </c>
      <c r="I3454" s="5" t="n">
        <v>0</v>
      </c>
      <c r="J3454" s="5" t="n">
        <v>3</v>
      </c>
      <c r="K3454" s="10">
        <f>IF(F3454&gt;0,H3454/F3454,"")</f>
        <v/>
      </c>
      <c r="L3454" s="16">
        <f>IF(AND(G3454&gt;0,H3454&gt;0),G3454/H3454,"")</f>
        <v/>
      </c>
    </row>
    <row r="3455">
      <c r="A3455" s="4" t="inlineStr">
        <is>
          <t>404</t>
        </is>
      </c>
      <c r="B3455" s="4" t="n">
        <v>4</v>
      </c>
      <c r="C3455" s="4" t="inlineStr">
        <is>
          <t>elk</t>
        </is>
      </c>
      <c r="D3455" s="4" t="n">
        <v>2017</v>
      </c>
      <c r="E3455" s="13" t="inlineStr">
        <is>
          <t>General</t>
        </is>
      </c>
      <c r="F3455" s="5" t="n"/>
      <c r="G3455" s="5" t="n"/>
      <c r="H3455" s="5" t="n">
        <v>23</v>
      </c>
      <c r="I3455" s="5" t="n">
        <v>14</v>
      </c>
      <c r="J3455" s="5" t="n">
        <v>9</v>
      </c>
      <c r="K3455" s="10">
        <f>IF(F3455&gt;0,H3455/F3455,"")</f>
        <v/>
      </c>
      <c r="L3455" s="16">
        <f>IF(AND(G3455&gt;0,H3455&gt;0),G3455/H3455,"")</f>
        <v/>
      </c>
    </row>
    <row r="3456">
      <c r="A3456" s="4" t="inlineStr">
        <is>
          <t>404</t>
        </is>
      </c>
      <c r="B3456" s="4" t="n">
        <v>4</v>
      </c>
      <c r="C3456" s="4" t="inlineStr">
        <is>
          <t>elk</t>
        </is>
      </c>
      <c r="D3456" s="4" t="n">
        <v>2018</v>
      </c>
      <c r="E3456" s="13" t="inlineStr">
        <is>
          <t>General</t>
        </is>
      </c>
      <c r="F3456" s="5" t="n">
        <v>172</v>
      </c>
      <c r="G3456" s="5" t="n">
        <v>864</v>
      </c>
      <c r="H3456" s="5" t="n">
        <v>19</v>
      </c>
      <c r="I3456" s="5" t="n">
        <v>6</v>
      </c>
      <c r="J3456" s="5" t="n">
        <v>7</v>
      </c>
      <c r="K3456" s="10">
        <f>IF(F3456&gt;0,H3456/F3456,"")</f>
        <v/>
      </c>
      <c r="L3456" s="16">
        <f>IF(AND(G3456&gt;0,H3456&gt;0),G3456/H3456,"")</f>
        <v/>
      </c>
    </row>
    <row r="3457">
      <c r="A3457" s="4" t="inlineStr">
        <is>
          <t>404</t>
        </is>
      </c>
      <c r="B3457" s="4" t="n">
        <v>4</v>
      </c>
      <c r="C3457" s="4" t="inlineStr">
        <is>
          <t>elk</t>
        </is>
      </c>
      <c r="D3457" s="4" t="n">
        <v>2019</v>
      </c>
      <c r="E3457" s="13" t="inlineStr">
        <is>
          <t>General</t>
        </is>
      </c>
      <c r="F3457" s="5" t="n"/>
      <c r="G3457" s="5" t="n"/>
      <c r="H3457" s="5" t="n">
        <v>15</v>
      </c>
      <c r="I3457" s="5" t="n">
        <v>12</v>
      </c>
      <c r="J3457" s="5" t="n">
        <v>3</v>
      </c>
      <c r="K3457" s="10">
        <f>IF(F3457&gt;0,H3457/F3457,"")</f>
        <v/>
      </c>
      <c r="L3457" s="16">
        <f>IF(AND(G3457&gt;0,H3457&gt;0),G3457/H3457,"")</f>
        <v/>
      </c>
    </row>
    <row r="3458">
      <c r="A3458" s="4" t="inlineStr">
        <is>
          <t>404</t>
        </is>
      </c>
      <c r="B3458" s="4" t="n">
        <v>4</v>
      </c>
      <c r="C3458" s="4" t="inlineStr">
        <is>
          <t>elk</t>
        </is>
      </c>
      <c r="D3458" s="4" t="n">
        <v>2020</v>
      </c>
      <c r="E3458" s="13" t="inlineStr">
        <is>
          <t>General</t>
        </is>
      </c>
      <c r="F3458" s="5" t="n">
        <v>168</v>
      </c>
      <c r="G3458" s="5" t="n">
        <v>909</v>
      </c>
      <c r="H3458" s="5" t="n">
        <v>23</v>
      </c>
      <c r="I3458" s="5" t="n">
        <v>9</v>
      </c>
      <c r="J3458" s="5" t="n">
        <v>14</v>
      </c>
      <c r="K3458" s="10">
        <f>IF(F3458&gt;0,H3458/F3458,"")</f>
        <v/>
      </c>
      <c r="L3458" s="16">
        <f>IF(AND(G3458&gt;0,H3458&gt;0),G3458/H3458,"")</f>
        <v/>
      </c>
    </row>
    <row r="3459">
      <c r="A3459" s="4" t="inlineStr">
        <is>
          <t>404</t>
        </is>
      </c>
      <c r="B3459" s="4" t="n">
        <v>4</v>
      </c>
      <c r="C3459" s="4" t="inlineStr">
        <is>
          <t>elk</t>
        </is>
      </c>
      <c r="D3459" s="4" t="n">
        <v>2021</v>
      </c>
      <c r="E3459" s="13" t="inlineStr">
        <is>
          <t>General</t>
        </is>
      </c>
      <c r="F3459" s="5" t="n"/>
      <c r="G3459" s="5" t="n"/>
      <c r="H3459" s="5" t="n">
        <v>12</v>
      </c>
      <c r="I3459" s="5" t="n">
        <v>8</v>
      </c>
      <c r="J3459" s="5" t="n">
        <v>0</v>
      </c>
      <c r="K3459" s="10">
        <f>IF(F3459&gt;0,H3459/F3459,"")</f>
        <v/>
      </c>
      <c r="L3459" s="16">
        <f>IF(AND(G3459&gt;0,H3459&gt;0),G3459/H3459,"")</f>
        <v/>
      </c>
    </row>
    <row r="3460">
      <c r="A3460" s="4" t="inlineStr">
        <is>
          <t>404</t>
        </is>
      </c>
      <c r="B3460" s="4" t="n">
        <v>4</v>
      </c>
      <c r="C3460" s="4" t="inlineStr">
        <is>
          <t>elk</t>
        </is>
      </c>
      <c r="D3460" s="4" t="n">
        <v>2022</v>
      </c>
      <c r="E3460" s="13" t="inlineStr">
        <is>
          <t>General</t>
        </is>
      </c>
      <c r="F3460" s="5" t="n">
        <v>139</v>
      </c>
      <c r="G3460" s="5" t="n">
        <v>747</v>
      </c>
      <c r="H3460" s="5" t="n">
        <v>15</v>
      </c>
      <c r="I3460" s="5" t="n">
        <v>6</v>
      </c>
      <c r="J3460" s="5" t="n">
        <v>9</v>
      </c>
      <c r="K3460" s="10">
        <f>IF(F3460&gt;0,H3460/F3460,"")</f>
        <v/>
      </c>
      <c r="L3460" s="16">
        <f>IF(AND(G3460&gt;0,H3460&gt;0),G3460/H3460,"")</f>
        <v/>
      </c>
    </row>
    <row r="3461">
      <c r="A3461" s="4" t="inlineStr">
        <is>
          <t>404</t>
        </is>
      </c>
      <c r="B3461" s="4" t="n">
        <v>4</v>
      </c>
      <c r="C3461" s="4" t="inlineStr">
        <is>
          <t>elk</t>
        </is>
      </c>
      <c r="D3461" s="4" t="n">
        <v>2023</v>
      </c>
      <c r="E3461" s="13" t="inlineStr">
        <is>
          <t>General</t>
        </is>
      </c>
      <c r="F3461" s="5" t="n"/>
      <c r="G3461" s="5" t="n"/>
      <c r="H3461" s="5" t="n">
        <v>15</v>
      </c>
      <c r="I3461" s="5" t="n">
        <v>5</v>
      </c>
      <c r="J3461" s="5" t="n">
        <v>9</v>
      </c>
      <c r="K3461" s="10">
        <f>IF(F3461&gt;0,H3461/F3461,"")</f>
        <v/>
      </c>
      <c r="L3461" s="16">
        <f>IF(AND(G3461&gt;0,H3461&gt;0),G3461/H3461,"")</f>
        <v/>
      </c>
    </row>
    <row r="3462">
      <c r="A3462" s="4" t="inlineStr">
        <is>
          <t>404</t>
        </is>
      </c>
      <c r="B3462" s="4" t="n">
        <v>4</v>
      </c>
      <c r="C3462" s="4" t="inlineStr">
        <is>
          <t>elk</t>
        </is>
      </c>
      <c r="D3462" s="4" t="n">
        <v>2024</v>
      </c>
      <c r="E3462" s="13" t="inlineStr">
        <is>
          <t>General</t>
        </is>
      </c>
      <c r="F3462" s="5" t="n">
        <v>134</v>
      </c>
      <c r="G3462" s="5" t="n">
        <v>713</v>
      </c>
      <c r="H3462" s="5" t="n">
        <v>17</v>
      </c>
      <c r="I3462" s="5" t="n">
        <v>6</v>
      </c>
      <c r="J3462" s="5" t="n">
        <v>11</v>
      </c>
      <c r="K3462" s="10">
        <f>IF(F3462&gt;0,H3462/F3462,"")</f>
        <v/>
      </c>
      <c r="L3462" s="16">
        <f>IF(AND(G3462&gt;0,H3462&gt;0),G3462/H3462,"")</f>
        <v/>
      </c>
    </row>
    <row r="3463">
      <c r="A3463" s="4" t="inlineStr">
        <is>
          <t>404</t>
        </is>
      </c>
      <c r="B3463" s="4" t="n">
        <v>4</v>
      </c>
      <c r="C3463" s="4" t="inlineStr">
        <is>
          <t>elk</t>
        </is>
      </c>
      <c r="D3463" s="4" t="n">
        <v>2025</v>
      </c>
      <c r="E3463" s="13" t="inlineStr">
        <is>
          <t>General</t>
        </is>
      </c>
      <c r="F3463" s="5" t="n"/>
      <c r="G3463" s="5" t="n"/>
      <c r="H3463" s="5" t="n">
        <v>3</v>
      </c>
      <c r="I3463" s="5" t="n">
        <v>0</v>
      </c>
      <c r="J3463" s="5" t="n">
        <v>3</v>
      </c>
      <c r="K3463" s="10">
        <f>IF(F3463&gt;0,H3463/F3463,"")</f>
        <v/>
      </c>
      <c r="L3463" s="16">
        <f>IF(AND(G3463&gt;0,H3463&gt;0),G3463/H3463,"")</f>
        <v/>
      </c>
    </row>
    <row r="3464">
      <c r="A3464" s="4" t="inlineStr">
        <is>
          <t>405</t>
        </is>
      </c>
      <c r="B3464" s="4" t="n">
        <v>4</v>
      </c>
      <c r="C3464" s="4" t="inlineStr">
        <is>
          <t>elk</t>
        </is>
      </c>
      <c r="D3464" s="4" t="n">
        <v>2004</v>
      </c>
      <c r="E3464" s="13" t="inlineStr">
        <is>
          <t>General</t>
        </is>
      </c>
      <c r="F3464" s="5" t="n">
        <v>23</v>
      </c>
      <c r="G3464" s="5" t="n">
        <v>94</v>
      </c>
      <c r="H3464" s="5" t="n">
        <v>3</v>
      </c>
      <c r="I3464" s="5" t="n">
        <v>3</v>
      </c>
      <c r="J3464" s="5" t="n">
        <v>0</v>
      </c>
      <c r="K3464" s="10">
        <f>IF(F3464&gt;0,H3464/F3464,"")</f>
        <v/>
      </c>
      <c r="L3464" s="16">
        <f>IF(AND(G3464&gt;0,H3464&gt;0),G3464/H3464,"")</f>
        <v/>
      </c>
    </row>
    <row r="3465">
      <c r="A3465" s="4" t="inlineStr">
        <is>
          <t>405</t>
        </is>
      </c>
      <c r="B3465" s="4" t="n">
        <v>4</v>
      </c>
      <c r="C3465" s="4" t="inlineStr">
        <is>
          <t>elk</t>
        </is>
      </c>
      <c r="D3465" s="4" t="n">
        <v>2005</v>
      </c>
      <c r="E3465" s="13" t="inlineStr">
        <is>
          <t>General</t>
        </is>
      </c>
      <c r="F3465" s="5" t="n">
        <v>49</v>
      </c>
      <c r="G3465" s="5" t="n">
        <v>207</v>
      </c>
      <c r="H3465" s="5" t="n">
        <v>4</v>
      </c>
      <c r="I3465" s="5" t="n">
        <v>4</v>
      </c>
      <c r="J3465" s="5" t="n">
        <v>0</v>
      </c>
      <c r="K3465" s="10">
        <f>IF(F3465&gt;0,H3465/F3465,"")</f>
        <v/>
      </c>
      <c r="L3465" s="16">
        <f>IF(AND(G3465&gt;0,H3465&gt;0),G3465/H3465,"")</f>
        <v/>
      </c>
    </row>
    <row r="3466">
      <c r="A3466" s="4" t="inlineStr">
        <is>
          <t>405</t>
        </is>
      </c>
      <c r="B3466" s="4" t="n">
        <v>4</v>
      </c>
      <c r="C3466" s="4" t="inlineStr">
        <is>
          <t>elk</t>
        </is>
      </c>
      <c r="D3466" s="4" t="n">
        <v>2006</v>
      </c>
      <c r="E3466" s="13" t="inlineStr">
        <is>
          <t>General</t>
        </is>
      </c>
      <c r="F3466" s="5" t="n">
        <v>41</v>
      </c>
      <c r="G3466" s="5" t="n">
        <v>167</v>
      </c>
      <c r="H3466" s="5" t="n">
        <v>4</v>
      </c>
      <c r="I3466" s="5" t="n">
        <v>0</v>
      </c>
      <c r="J3466" s="5" t="n">
        <v>0</v>
      </c>
      <c r="K3466" s="10">
        <f>IF(F3466&gt;0,H3466/F3466,"")</f>
        <v/>
      </c>
      <c r="L3466" s="16">
        <f>IF(AND(G3466&gt;0,H3466&gt;0),G3466/H3466,"")</f>
        <v/>
      </c>
    </row>
    <row r="3467">
      <c r="A3467" s="4" t="inlineStr">
        <is>
          <t>405</t>
        </is>
      </c>
      <c r="B3467" s="4" t="n">
        <v>4</v>
      </c>
      <c r="C3467" s="4" t="inlineStr">
        <is>
          <t>elk</t>
        </is>
      </c>
      <c r="D3467" s="4" t="n">
        <v>2007</v>
      </c>
      <c r="E3467" s="13" t="inlineStr">
        <is>
          <t>General</t>
        </is>
      </c>
      <c r="F3467" s="5" t="n">
        <v>48</v>
      </c>
      <c r="G3467" s="5" t="n">
        <v>203</v>
      </c>
      <c r="H3467" s="5" t="n">
        <v>5</v>
      </c>
      <c r="I3467" s="5" t="n">
        <v>0</v>
      </c>
      <c r="J3467" s="5" t="n">
        <v>5</v>
      </c>
      <c r="K3467" s="10">
        <f>IF(F3467&gt;0,H3467/F3467,"")</f>
        <v/>
      </c>
      <c r="L3467" s="16">
        <f>IF(AND(G3467&gt;0,H3467&gt;0),G3467/H3467,"")</f>
        <v/>
      </c>
    </row>
    <row r="3468">
      <c r="A3468" s="4" t="inlineStr">
        <is>
          <t>405</t>
        </is>
      </c>
      <c r="B3468" s="4" t="n">
        <v>4</v>
      </c>
      <c r="C3468" s="4" t="inlineStr">
        <is>
          <t>elk</t>
        </is>
      </c>
      <c r="D3468" s="4" t="n">
        <v>2008</v>
      </c>
      <c r="E3468" s="13" t="inlineStr">
        <is>
          <t>General</t>
        </is>
      </c>
      <c r="F3468" s="5" t="n">
        <v>31</v>
      </c>
      <c r="G3468" s="5" t="n">
        <v>159</v>
      </c>
      <c r="H3468" s="5" t="n">
        <v>6</v>
      </c>
      <c r="I3468" s="5" t="n">
        <v>6</v>
      </c>
      <c r="J3468" s="5" t="n">
        <v>0</v>
      </c>
      <c r="K3468" s="10">
        <f>IF(F3468&gt;0,H3468/F3468,"")</f>
        <v/>
      </c>
      <c r="L3468" s="16">
        <f>IF(AND(G3468&gt;0,H3468&gt;0),G3468/H3468,"")</f>
        <v/>
      </c>
    </row>
    <row r="3469">
      <c r="A3469" s="4" t="inlineStr">
        <is>
          <t>405</t>
        </is>
      </c>
      <c r="B3469" s="4" t="n">
        <v>4</v>
      </c>
      <c r="C3469" s="4" t="inlineStr">
        <is>
          <t>elk</t>
        </is>
      </c>
      <c r="D3469" s="4" t="n">
        <v>2009</v>
      </c>
      <c r="E3469" s="13" t="inlineStr">
        <is>
          <t>General</t>
        </is>
      </c>
      <c r="F3469" s="5" t="n">
        <v>36</v>
      </c>
      <c r="G3469" s="5" t="n">
        <v>145</v>
      </c>
      <c r="H3469" s="5" t="n">
        <v>9</v>
      </c>
      <c r="I3469" s="5" t="n">
        <v>3</v>
      </c>
      <c r="J3469" s="5" t="n">
        <v>3</v>
      </c>
      <c r="K3469" s="10">
        <f>IF(F3469&gt;0,H3469/F3469,"")</f>
        <v/>
      </c>
      <c r="L3469" s="16">
        <f>IF(AND(G3469&gt;0,H3469&gt;0),G3469/H3469,"")</f>
        <v/>
      </c>
    </row>
    <row r="3470">
      <c r="A3470" s="4" t="inlineStr">
        <is>
          <t>405</t>
        </is>
      </c>
      <c r="B3470" s="4" t="n">
        <v>4</v>
      </c>
      <c r="C3470" s="4" t="inlineStr">
        <is>
          <t>elk</t>
        </is>
      </c>
      <c r="D3470" s="4" t="n">
        <v>2010</v>
      </c>
      <c r="E3470" s="13" t="inlineStr">
        <is>
          <t>General</t>
        </is>
      </c>
      <c r="F3470" s="5" t="n">
        <v>31</v>
      </c>
      <c r="G3470" s="5" t="n">
        <v>173</v>
      </c>
      <c r="H3470" s="5" t="n">
        <v>3</v>
      </c>
      <c r="I3470" s="5" t="n">
        <v>3</v>
      </c>
      <c r="J3470" s="5" t="n">
        <v>0</v>
      </c>
      <c r="K3470" s="10">
        <f>IF(F3470&gt;0,H3470/F3470,"")</f>
        <v/>
      </c>
      <c r="L3470" s="16">
        <f>IF(AND(G3470&gt;0,H3470&gt;0),G3470/H3470,"")</f>
        <v/>
      </c>
    </row>
    <row r="3471">
      <c r="A3471" s="4" t="inlineStr">
        <is>
          <t>405</t>
        </is>
      </c>
      <c r="B3471" s="4" t="n">
        <v>4</v>
      </c>
      <c r="C3471" s="4" t="inlineStr">
        <is>
          <t>elk</t>
        </is>
      </c>
      <c r="D3471" s="4" t="n">
        <v>2011</v>
      </c>
      <c r="E3471" s="13" t="inlineStr">
        <is>
          <t>General</t>
        </is>
      </c>
      <c r="F3471" s="5" t="n">
        <v>56</v>
      </c>
      <c r="G3471" s="5" t="n">
        <v>234</v>
      </c>
      <c r="H3471" s="5" t="n">
        <v>3</v>
      </c>
      <c r="I3471" s="5" t="n">
        <v>3</v>
      </c>
      <c r="J3471" s="5" t="n">
        <v>0</v>
      </c>
      <c r="K3471" s="10">
        <f>IF(F3471&gt;0,H3471/F3471,"")</f>
        <v/>
      </c>
      <c r="L3471" s="16">
        <f>IF(AND(G3471&gt;0,H3471&gt;0),G3471/H3471,"")</f>
        <v/>
      </c>
    </row>
    <row r="3472">
      <c r="A3472" s="4" t="inlineStr">
        <is>
          <t>405</t>
        </is>
      </c>
      <c r="B3472" s="4" t="n">
        <v>4</v>
      </c>
      <c r="C3472" s="4" t="inlineStr">
        <is>
          <t>elk</t>
        </is>
      </c>
      <c r="D3472" s="4" t="n">
        <v>2013</v>
      </c>
      <c r="E3472" s="13" t="inlineStr">
        <is>
          <t>General</t>
        </is>
      </c>
      <c r="F3472" s="5" t="n"/>
      <c r="G3472" s="5" t="n"/>
      <c r="H3472" s="5" t="n">
        <v>6</v>
      </c>
      <c r="I3472" s="5" t="n">
        <v>6</v>
      </c>
      <c r="J3472" s="5" t="n">
        <v>0</v>
      </c>
      <c r="K3472" s="10">
        <f>IF(F3472&gt;0,H3472/F3472,"")</f>
        <v/>
      </c>
      <c r="L3472" s="16">
        <f>IF(AND(G3472&gt;0,H3472&gt;0),G3472/H3472,"")</f>
        <v/>
      </c>
    </row>
    <row r="3473">
      <c r="A3473" s="4" t="inlineStr">
        <is>
          <t>405</t>
        </is>
      </c>
      <c r="B3473" s="4" t="n">
        <v>4</v>
      </c>
      <c r="C3473" s="4" t="inlineStr">
        <is>
          <t>elk</t>
        </is>
      </c>
      <c r="D3473" s="4" t="n">
        <v>2014</v>
      </c>
      <c r="E3473" s="13" t="inlineStr">
        <is>
          <t>General</t>
        </is>
      </c>
      <c r="F3473" s="5" t="n">
        <v>45</v>
      </c>
      <c r="G3473" s="5" t="n">
        <v>227</v>
      </c>
      <c r="H3473" s="5" t="n">
        <v>3</v>
      </c>
      <c r="I3473" s="5" t="n">
        <v>3</v>
      </c>
      <c r="J3473" s="5" t="n">
        <v>0</v>
      </c>
      <c r="K3473" s="10">
        <f>IF(F3473&gt;0,H3473/F3473,"")</f>
        <v/>
      </c>
      <c r="L3473" s="16">
        <f>IF(AND(G3473&gt;0,H3473&gt;0),G3473/H3473,"")</f>
        <v/>
      </c>
    </row>
    <row r="3474">
      <c r="A3474" s="4" t="inlineStr">
        <is>
          <t>405</t>
        </is>
      </c>
      <c r="B3474" s="4" t="n">
        <v>4</v>
      </c>
      <c r="C3474" s="4" t="inlineStr">
        <is>
          <t>elk</t>
        </is>
      </c>
      <c r="D3474" s="4" t="n">
        <v>2015</v>
      </c>
      <c r="E3474" s="13" t="inlineStr">
        <is>
          <t>General</t>
        </is>
      </c>
      <c r="F3474" s="5" t="n">
        <v>43</v>
      </c>
      <c r="G3474" s="5" t="n">
        <v>468</v>
      </c>
      <c r="H3474" s="5" t="n">
        <v>6</v>
      </c>
      <c r="I3474" s="5" t="n">
        <v>6</v>
      </c>
      <c r="J3474" s="5" t="n">
        <v>0</v>
      </c>
      <c r="K3474" s="10">
        <f>IF(F3474&gt;0,H3474/F3474,"")</f>
        <v/>
      </c>
      <c r="L3474" s="16">
        <f>IF(AND(G3474&gt;0,H3474&gt;0),G3474/H3474,"")</f>
        <v/>
      </c>
    </row>
    <row r="3475">
      <c r="A3475" s="4" t="inlineStr">
        <is>
          <t>405</t>
        </is>
      </c>
      <c r="B3475" s="4" t="n">
        <v>4</v>
      </c>
      <c r="C3475" s="4" t="inlineStr">
        <is>
          <t>elk</t>
        </is>
      </c>
      <c r="D3475" s="4" t="n">
        <v>2016</v>
      </c>
      <c r="E3475" s="13" t="inlineStr">
        <is>
          <t>General</t>
        </is>
      </c>
      <c r="F3475" s="5" t="n">
        <v>49</v>
      </c>
      <c r="G3475" s="5" t="n">
        <v>186</v>
      </c>
      <c r="H3475" s="5" t="n">
        <v>6</v>
      </c>
      <c r="I3475" s="5" t="n">
        <v>0</v>
      </c>
      <c r="J3475" s="5" t="n">
        <v>6</v>
      </c>
      <c r="K3475" s="10">
        <f>IF(F3475&gt;0,H3475/F3475,"")</f>
        <v/>
      </c>
      <c r="L3475" s="16">
        <f>IF(AND(G3475&gt;0,H3475&gt;0),G3475/H3475,"")</f>
        <v/>
      </c>
    </row>
    <row r="3476">
      <c r="A3476" s="4" t="inlineStr">
        <is>
          <t>405</t>
        </is>
      </c>
      <c r="B3476" s="4" t="n">
        <v>4</v>
      </c>
      <c r="C3476" s="4" t="inlineStr">
        <is>
          <t>elk</t>
        </is>
      </c>
      <c r="D3476" s="4" t="n">
        <v>2017</v>
      </c>
      <c r="E3476" s="13" t="inlineStr">
        <is>
          <t>General</t>
        </is>
      </c>
      <c r="F3476" s="5" t="n"/>
      <c r="G3476" s="5" t="n"/>
      <c r="H3476" s="5" t="n">
        <v>6</v>
      </c>
      <c r="I3476" s="5" t="n">
        <v>6</v>
      </c>
      <c r="J3476" s="5" t="n">
        <v>0</v>
      </c>
      <c r="K3476" s="10">
        <f>IF(F3476&gt;0,H3476/F3476,"")</f>
        <v/>
      </c>
      <c r="L3476" s="16">
        <f>IF(AND(G3476&gt;0,H3476&gt;0),G3476/H3476,"")</f>
        <v/>
      </c>
    </row>
    <row r="3477">
      <c r="A3477" s="4" t="inlineStr">
        <is>
          <t>405</t>
        </is>
      </c>
      <c r="B3477" s="4" t="n">
        <v>4</v>
      </c>
      <c r="C3477" s="4" t="inlineStr">
        <is>
          <t>elk</t>
        </is>
      </c>
      <c r="D3477" s="4" t="n">
        <v>2019</v>
      </c>
      <c r="E3477" s="13" t="inlineStr">
        <is>
          <t>General</t>
        </is>
      </c>
      <c r="F3477" s="5" t="n"/>
      <c r="G3477" s="5" t="n"/>
      <c r="H3477" s="5" t="n">
        <v>3</v>
      </c>
      <c r="I3477" s="5" t="n">
        <v>0</v>
      </c>
      <c r="J3477" s="5" t="n">
        <v>3</v>
      </c>
      <c r="K3477" s="10">
        <f>IF(F3477&gt;0,H3477/F3477,"")</f>
        <v/>
      </c>
      <c r="L3477" s="16">
        <f>IF(AND(G3477&gt;0,H3477&gt;0),G3477/H3477,"")</f>
        <v/>
      </c>
    </row>
    <row r="3478">
      <c r="A3478" s="4" t="inlineStr">
        <is>
          <t>405</t>
        </is>
      </c>
      <c r="B3478" s="4" t="n">
        <v>4</v>
      </c>
      <c r="C3478" s="4" t="inlineStr">
        <is>
          <t>elk</t>
        </is>
      </c>
      <c r="D3478" s="4" t="n">
        <v>2020</v>
      </c>
      <c r="E3478" s="13" t="inlineStr">
        <is>
          <t>General</t>
        </is>
      </c>
      <c r="F3478" s="5" t="n">
        <v>65</v>
      </c>
      <c r="G3478" s="5" t="n">
        <v>475</v>
      </c>
      <c r="H3478" s="5" t="n">
        <v>7</v>
      </c>
      <c r="I3478" s="5" t="n">
        <v>0</v>
      </c>
      <c r="J3478" s="5" t="n">
        <v>7</v>
      </c>
      <c r="K3478" s="10">
        <f>IF(F3478&gt;0,H3478/F3478,"")</f>
        <v/>
      </c>
      <c r="L3478" s="16">
        <f>IF(AND(G3478&gt;0,H3478&gt;0),G3478/H3478,"")</f>
        <v/>
      </c>
    </row>
    <row r="3479">
      <c r="A3479" s="4" t="inlineStr">
        <is>
          <t>405</t>
        </is>
      </c>
      <c r="B3479" s="4" t="n">
        <v>4</v>
      </c>
      <c r="C3479" s="4" t="inlineStr">
        <is>
          <t>elk</t>
        </is>
      </c>
      <c r="D3479" s="4" t="n">
        <v>2021</v>
      </c>
      <c r="E3479" s="13" t="inlineStr">
        <is>
          <t>General</t>
        </is>
      </c>
      <c r="F3479" s="5" t="n"/>
      <c r="G3479" s="5" t="n"/>
      <c r="H3479" s="5" t="n">
        <v>8</v>
      </c>
      <c r="I3479" s="5" t="n">
        <v>4</v>
      </c>
      <c r="J3479" s="5" t="n">
        <v>4</v>
      </c>
      <c r="K3479" s="10">
        <f>IF(F3479&gt;0,H3479/F3479,"")</f>
        <v/>
      </c>
      <c r="L3479" s="16">
        <f>IF(AND(G3479&gt;0,H3479&gt;0),G3479/H3479,"")</f>
        <v/>
      </c>
    </row>
    <row r="3480">
      <c r="A3480" s="4" t="inlineStr">
        <is>
          <t>405</t>
        </is>
      </c>
      <c r="B3480" s="4" t="n">
        <v>4</v>
      </c>
      <c r="C3480" s="4" t="inlineStr">
        <is>
          <t>elk</t>
        </is>
      </c>
      <c r="D3480" s="4" t="n">
        <v>2022</v>
      </c>
      <c r="E3480" s="13" t="inlineStr">
        <is>
          <t>General</t>
        </is>
      </c>
      <c r="F3480" s="5" t="n">
        <v>53</v>
      </c>
      <c r="G3480" s="5" t="n">
        <v>271</v>
      </c>
      <c r="H3480" s="5" t="n">
        <v>15</v>
      </c>
      <c r="I3480" s="5" t="n">
        <v>2</v>
      </c>
      <c r="J3480" s="5" t="n">
        <v>13</v>
      </c>
      <c r="K3480" s="10">
        <f>IF(F3480&gt;0,H3480/F3480,"")</f>
        <v/>
      </c>
      <c r="L3480" s="16">
        <f>IF(AND(G3480&gt;0,H3480&gt;0),G3480/H3480,"")</f>
        <v/>
      </c>
    </row>
    <row r="3481">
      <c r="A3481" s="4" t="inlineStr">
        <is>
          <t>405</t>
        </is>
      </c>
      <c r="B3481" s="4" t="n">
        <v>4</v>
      </c>
      <c r="C3481" s="4" t="inlineStr">
        <is>
          <t>elk</t>
        </is>
      </c>
      <c r="D3481" s="4" t="n">
        <v>2023</v>
      </c>
      <c r="E3481" s="13" t="inlineStr">
        <is>
          <t>General</t>
        </is>
      </c>
      <c r="F3481" s="5" t="n"/>
      <c r="G3481" s="5" t="n"/>
      <c r="H3481" s="5" t="n">
        <v>11</v>
      </c>
      <c r="I3481" s="5" t="n">
        <v>8</v>
      </c>
      <c r="J3481" s="5" t="n">
        <v>3</v>
      </c>
      <c r="K3481" s="10">
        <f>IF(F3481&gt;0,H3481/F3481,"")</f>
        <v/>
      </c>
      <c r="L3481" s="16">
        <f>IF(AND(G3481&gt;0,H3481&gt;0),G3481/H3481,"")</f>
        <v/>
      </c>
    </row>
    <row r="3482">
      <c r="A3482" s="4" t="inlineStr">
        <is>
          <t>405</t>
        </is>
      </c>
      <c r="B3482" s="4" t="n">
        <v>4</v>
      </c>
      <c r="C3482" s="4" t="inlineStr">
        <is>
          <t>elk</t>
        </is>
      </c>
      <c r="D3482" s="4" t="n">
        <v>2024</v>
      </c>
      <c r="E3482" s="13" t="inlineStr">
        <is>
          <t>General</t>
        </is>
      </c>
      <c r="F3482" s="5" t="n">
        <v>101</v>
      </c>
      <c r="G3482" s="5" t="n">
        <v>540</v>
      </c>
      <c r="H3482" s="5" t="n">
        <v>14</v>
      </c>
      <c r="I3482" s="5" t="n">
        <v>3</v>
      </c>
      <c r="J3482" s="5" t="n">
        <v>9</v>
      </c>
      <c r="K3482" s="10">
        <f>IF(F3482&gt;0,H3482/F3482,"")</f>
        <v/>
      </c>
      <c r="L3482" s="16">
        <f>IF(AND(G3482&gt;0,H3482&gt;0),G3482/H3482,"")</f>
        <v/>
      </c>
    </row>
    <row r="3483">
      <c r="A3483" s="4" t="inlineStr">
        <is>
          <t>405</t>
        </is>
      </c>
      <c r="B3483" s="4" t="n">
        <v>4</v>
      </c>
      <c r="C3483" s="4" t="inlineStr">
        <is>
          <t>elk</t>
        </is>
      </c>
      <c r="D3483" s="4" t="n">
        <v>2025</v>
      </c>
      <c r="E3483" s="13" t="inlineStr">
        <is>
          <t>General</t>
        </is>
      </c>
      <c r="F3483" s="5" t="n"/>
      <c r="G3483" s="5" t="n"/>
      <c r="H3483" s="5" t="n">
        <v>18</v>
      </c>
      <c r="I3483" s="5" t="n">
        <v>4</v>
      </c>
      <c r="J3483" s="5" t="n">
        <v>14</v>
      </c>
      <c r="K3483" s="10">
        <f>IF(F3483&gt;0,H3483/F3483,"")</f>
        <v/>
      </c>
      <c r="L3483" s="16">
        <f>IF(AND(G3483&gt;0,H3483&gt;0),G3483/H3483,"")</f>
        <v/>
      </c>
    </row>
    <row r="3484">
      <c r="A3484" s="4" t="inlineStr">
        <is>
          <t>406</t>
        </is>
      </c>
      <c r="B3484" s="4" t="n">
        <v>4</v>
      </c>
      <c r="C3484" s="4" t="inlineStr">
        <is>
          <t>elk</t>
        </is>
      </c>
      <c r="D3484" s="4" t="n">
        <v>2004</v>
      </c>
      <c r="E3484" s="13" t="inlineStr">
        <is>
          <t>General</t>
        </is>
      </c>
      <c r="F3484" s="5" t="n">
        <v>45</v>
      </c>
      <c r="G3484" s="5" t="n">
        <v>455</v>
      </c>
      <c r="H3484" s="5" t="n">
        <v>3</v>
      </c>
      <c r="I3484" s="5" t="n">
        <v>0</v>
      </c>
      <c r="J3484" s="5" t="n">
        <v>3</v>
      </c>
      <c r="K3484" s="10">
        <f>IF(F3484&gt;0,H3484/F3484,"")</f>
        <v/>
      </c>
      <c r="L3484" s="16">
        <f>IF(AND(G3484&gt;0,H3484&gt;0),G3484/H3484,"")</f>
        <v/>
      </c>
    </row>
    <row r="3485">
      <c r="A3485" s="4" t="inlineStr">
        <is>
          <t>406</t>
        </is>
      </c>
      <c r="B3485" s="4" t="n">
        <v>4</v>
      </c>
      <c r="C3485" s="4" t="inlineStr">
        <is>
          <t>elk</t>
        </is>
      </c>
      <c r="D3485" s="4" t="n">
        <v>2005</v>
      </c>
      <c r="E3485" s="13" t="inlineStr">
        <is>
          <t>General</t>
        </is>
      </c>
      <c r="F3485" s="5" t="n">
        <v>29</v>
      </c>
      <c r="G3485" s="5" t="n">
        <v>168</v>
      </c>
      <c r="H3485" s="5" t="n">
        <v>5</v>
      </c>
      <c r="I3485" s="5" t="n">
        <v>3</v>
      </c>
      <c r="J3485" s="5" t="n">
        <v>3</v>
      </c>
      <c r="K3485" s="10">
        <f>IF(F3485&gt;0,H3485/F3485,"")</f>
        <v/>
      </c>
      <c r="L3485" s="16">
        <f>IF(AND(G3485&gt;0,H3485&gt;0),G3485/H3485,"")</f>
        <v/>
      </c>
    </row>
    <row r="3486">
      <c r="A3486" s="4" t="inlineStr">
        <is>
          <t>406</t>
        </is>
      </c>
      <c r="B3486" s="4" t="n">
        <v>4</v>
      </c>
      <c r="C3486" s="4" t="inlineStr">
        <is>
          <t>elk</t>
        </is>
      </c>
      <c r="D3486" s="4" t="n">
        <v>2006</v>
      </c>
      <c r="E3486" s="13" t="inlineStr">
        <is>
          <t>General</t>
        </is>
      </c>
      <c r="F3486" s="5" t="n">
        <v>65</v>
      </c>
      <c r="G3486" s="5" t="n">
        <v>557</v>
      </c>
      <c r="H3486" s="5" t="n">
        <v>9</v>
      </c>
      <c r="I3486" s="5" t="n">
        <v>0</v>
      </c>
      <c r="J3486" s="5" t="n">
        <v>6</v>
      </c>
      <c r="K3486" s="10">
        <f>IF(F3486&gt;0,H3486/F3486,"")</f>
        <v/>
      </c>
      <c r="L3486" s="16">
        <f>IF(AND(G3486&gt;0,H3486&gt;0),G3486/H3486,"")</f>
        <v/>
      </c>
    </row>
    <row r="3487">
      <c r="A3487" s="4" t="inlineStr">
        <is>
          <t>406</t>
        </is>
      </c>
      <c r="B3487" s="4" t="n">
        <v>4</v>
      </c>
      <c r="C3487" s="4" t="inlineStr">
        <is>
          <t>elk</t>
        </is>
      </c>
      <c r="D3487" s="4" t="n">
        <v>2007</v>
      </c>
      <c r="E3487" s="13" t="inlineStr">
        <is>
          <t>General</t>
        </is>
      </c>
      <c r="F3487" s="5" t="n">
        <v>24</v>
      </c>
      <c r="G3487" s="5" t="n">
        <v>78</v>
      </c>
      <c r="H3487" s="5" t="n">
        <v>5</v>
      </c>
      <c r="I3487" s="5" t="n">
        <v>0</v>
      </c>
      <c r="J3487" s="5" t="n">
        <v>5</v>
      </c>
      <c r="K3487" s="10">
        <f>IF(F3487&gt;0,H3487/F3487,"")</f>
        <v/>
      </c>
      <c r="L3487" s="16">
        <f>IF(AND(G3487&gt;0,H3487&gt;0),G3487/H3487,"")</f>
        <v/>
      </c>
    </row>
    <row r="3488">
      <c r="A3488" s="4" t="inlineStr">
        <is>
          <t>406</t>
        </is>
      </c>
      <c r="B3488" s="4" t="n">
        <v>4</v>
      </c>
      <c r="C3488" s="4" t="inlineStr">
        <is>
          <t>elk</t>
        </is>
      </c>
      <c r="D3488" s="4" t="n">
        <v>2009</v>
      </c>
      <c r="E3488" s="13" t="inlineStr">
        <is>
          <t>General</t>
        </is>
      </c>
      <c r="F3488" s="5" t="n">
        <v>50</v>
      </c>
      <c r="G3488" s="5" t="n">
        <v>370</v>
      </c>
      <c r="H3488" s="5" t="n">
        <v>4</v>
      </c>
      <c r="I3488" s="5" t="n">
        <v>3</v>
      </c>
      <c r="J3488" s="5" t="n">
        <v>1</v>
      </c>
      <c r="K3488" s="10">
        <f>IF(F3488&gt;0,H3488/F3488,"")</f>
        <v/>
      </c>
      <c r="L3488" s="16">
        <f>IF(AND(G3488&gt;0,H3488&gt;0),G3488/H3488,"")</f>
        <v/>
      </c>
    </row>
    <row r="3489">
      <c r="A3489" s="4" t="inlineStr">
        <is>
          <t>406</t>
        </is>
      </c>
      <c r="B3489" s="4" t="n">
        <v>4</v>
      </c>
      <c r="C3489" s="4" t="inlineStr">
        <is>
          <t>elk</t>
        </is>
      </c>
      <c r="D3489" s="4" t="n">
        <v>2010</v>
      </c>
      <c r="E3489" s="13" t="inlineStr">
        <is>
          <t>General</t>
        </is>
      </c>
      <c r="F3489" s="5" t="n">
        <v>44</v>
      </c>
      <c r="G3489" s="5" t="n">
        <v>239</v>
      </c>
      <c r="H3489" s="5" t="n">
        <v>3</v>
      </c>
      <c r="I3489" s="5" t="n">
        <v>0</v>
      </c>
      <c r="J3489" s="5" t="n">
        <v>3</v>
      </c>
      <c r="K3489" s="10">
        <f>IF(F3489&gt;0,H3489/F3489,"")</f>
        <v/>
      </c>
      <c r="L3489" s="16">
        <f>IF(AND(G3489&gt;0,H3489&gt;0),G3489/H3489,"")</f>
        <v/>
      </c>
    </row>
    <row r="3490">
      <c r="A3490" s="4" t="inlineStr">
        <is>
          <t>406</t>
        </is>
      </c>
      <c r="B3490" s="4" t="n">
        <v>4</v>
      </c>
      <c r="C3490" s="4" t="inlineStr">
        <is>
          <t>elk</t>
        </is>
      </c>
      <c r="D3490" s="4" t="n">
        <v>2012</v>
      </c>
      <c r="E3490" s="13" t="inlineStr">
        <is>
          <t>General</t>
        </is>
      </c>
      <c r="F3490" s="5" t="n">
        <v>55</v>
      </c>
      <c r="G3490" s="5" t="n">
        <v>247</v>
      </c>
      <c r="H3490" s="5" t="n">
        <v>3</v>
      </c>
      <c r="I3490" s="5" t="n">
        <v>0</v>
      </c>
      <c r="J3490" s="5" t="n">
        <v>3</v>
      </c>
      <c r="K3490" s="10">
        <f>IF(F3490&gt;0,H3490/F3490,"")</f>
        <v/>
      </c>
      <c r="L3490" s="16">
        <f>IF(AND(G3490&gt;0,H3490&gt;0),G3490/H3490,"")</f>
        <v/>
      </c>
    </row>
    <row r="3491">
      <c r="A3491" s="4" t="inlineStr">
        <is>
          <t>406</t>
        </is>
      </c>
      <c r="B3491" s="4" t="n">
        <v>4</v>
      </c>
      <c r="C3491" s="4" t="inlineStr">
        <is>
          <t>elk</t>
        </is>
      </c>
      <c r="D3491" s="4" t="n">
        <v>2013</v>
      </c>
      <c r="E3491" s="13" t="inlineStr">
        <is>
          <t>General</t>
        </is>
      </c>
      <c r="F3491" s="5" t="n"/>
      <c r="G3491" s="5" t="n"/>
      <c r="H3491" s="5" t="n">
        <v>11</v>
      </c>
      <c r="I3491" s="5" t="n">
        <v>3</v>
      </c>
      <c r="J3491" s="5" t="n">
        <v>6</v>
      </c>
      <c r="K3491" s="10">
        <f>IF(F3491&gt;0,H3491/F3491,"")</f>
        <v/>
      </c>
      <c r="L3491" s="16">
        <f>IF(AND(G3491&gt;0,H3491&gt;0),G3491/H3491,"")</f>
        <v/>
      </c>
    </row>
    <row r="3492">
      <c r="A3492" s="4" t="inlineStr">
        <is>
          <t>406</t>
        </is>
      </c>
      <c r="B3492" s="4" t="n">
        <v>4</v>
      </c>
      <c r="C3492" s="4" t="inlineStr">
        <is>
          <t>elk</t>
        </is>
      </c>
      <c r="D3492" s="4" t="n">
        <v>2014</v>
      </c>
      <c r="E3492" s="13" t="inlineStr">
        <is>
          <t>General</t>
        </is>
      </c>
      <c r="F3492" s="5" t="n">
        <v>49</v>
      </c>
      <c r="G3492" s="5" t="n">
        <v>205</v>
      </c>
      <c r="H3492" s="5" t="n">
        <v>3</v>
      </c>
      <c r="I3492" s="5" t="n">
        <v>3</v>
      </c>
      <c r="J3492" s="5" t="n">
        <v>0</v>
      </c>
      <c r="K3492" s="10">
        <f>IF(F3492&gt;0,H3492/F3492,"")</f>
        <v/>
      </c>
      <c r="L3492" s="16">
        <f>IF(AND(G3492&gt;0,H3492&gt;0),G3492/H3492,"")</f>
        <v/>
      </c>
    </row>
    <row r="3493">
      <c r="A3493" s="4" t="inlineStr">
        <is>
          <t>406</t>
        </is>
      </c>
      <c r="B3493" s="4" t="n">
        <v>4</v>
      </c>
      <c r="C3493" s="4" t="inlineStr">
        <is>
          <t>elk</t>
        </is>
      </c>
      <c r="D3493" s="4" t="n">
        <v>2015</v>
      </c>
      <c r="E3493" s="13" t="inlineStr">
        <is>
          <t>General</t>
        </is>
      </c>
      <c r="F3493" s="5" t="n">
        <v>45</v>
      </c>
      <c r="G3493" s="5" t="n">
        <v>196</v>
      </c>
      <c r="H3493" s="5" t="n">
        <v>3</v>
      </c>
      <c r="I3493" s="5" t="n">
        <v>0</v>
      </c>
      <c r="J3493" s="5" t="n">
        <v>3</v>
      </c>
      <c r="K3493" s="10">
        <f>IF(F3493&gt;0,H3493/F3493,"")</f>
        <v/>
      </c>
      <c r="L3493" s="16">
        <f>IF(AND(G3493&gt;0,H3493&gt;0),G3493/H3493,"")</f>
        <v/>
      </c>
    </row>
    <row r="3494">
      <c r="A3494" s="4" t="inlineStr">
        <is>
          <t>406</t>
        </is>
      </c>
      <c r="B3494" s="4" t="n">
        <v>4</v>
      </c>
      <c r="C3494" s="4" t="inlineStr">
        <is>
          <t>elk</t>
        </is>
      </c>
      <c r="D3494" s="4" t="n">
        <v>2016</v>
      </c>
      <c r="E3494" s="13" t="inlineStr">
        <is>
          <t>General</t>
        </is>
      </c>
      <c r="F3494" s="5" t="n">
        <v>49</v>
      </c>
      <c r="G3494" s="5" t="n">
        <v>321</v>
      </c>
      <c r="H3494" s="5" t="n">
        <v>9</v>
      </c>
      <c r="I3494" s="5" t="n">
        <v>6</v>
      </c>
      <c r="J3494" s="5" t="n">
        <v>2</v>
      </c>
      <c r="K3494" s="10">
        <f>IF(F3494&gt;0,H3494/F3494,"")</f>
        <v/>
      </c>
      <c r="L3494" s="16">
        <f>IF(AND(G3494&gt;0,H3494&gt;0),G3494/H3494,"")</f>
        <v/>
      </c>
    </row>
    <row r="3495">
      <c r="A3495" s="4" t="inlineStr">
        <is>
          <t>406</t>
        </is>
      </c>
      <c r="B3495" s="4" t="n">
        <v>4</v>
      </c>
      <c r="C3495" s="4" t="inlineStr">
        <is>
          <t>elk</t>
        </is>
      </c>
      <c r="D3495" s="4" t="n">
        <v>2017</v>
      </c>
      <c r="E3495" s="13" t="inlineStr">
        <is>
          <t>General</t>
        </is>
      </c>
      <c r="F3495" s="5" t="n"/>
      <c r="G3495" s="5" t="n"/>
      <c r="H3495" s="5" t="n">
        <v>13</v>
      </c>
      <c r="I3495" s="5" t="n">
        <v>6</v>
      </c>
      <c r="J3495" s="5" t="n">
        <v>8</v>
      </c>
      <c r="K3495" s="10">
        <f>IF(F3495&gt;0,H3495/F3495,"")</f>
        <v/>
      </c>
      <c r="L3495" s="16">
        <f>IF(AND(G3495&gt;0,H3495&gt;0),G3495/H3495,"")</f>
        <v/>
      </c>
    </row>
    <row r="3496">
      <c r="A3496" s="4" t="inlineStr">
        <is>
          <t>406</t>
        </is>
      </c>
      <c r="B3496" s="4" t="n">
        <v>4</v>
      </c>
      <c r="C3496" s="4" t="inlineStr">
        <is>
          <t>elk</t>
        </is>
      </c>
      <c r="D3496" s="4" t="n">
        <v>2018</v>
      </c>
      <c r="E3496" s="13" t="inlineStr">
        <is>
          <t>General</t>
        </is>
      </c>
      <c r="F3496" s="5" t="n">
        <v>75</v>
      </c>
      <c r="G3496" s="5" t="n">
        <v>258</v>
      </c>
      <c r="H3496" s="5" t="n">
        <v>3</v>
      </c>
      <c r="I3496" s="5" t="n">
        <v>3</v>
      </c>
      <c r="J3496" s="5" t="n">
        <v>0</v>
      </c>
      <c r="K3496" s="10">
        <f>IF(F3496&gt;0,H3496/F3496,"")</f>
        <v/>
      </c>
      <c r="L3496" s="16">
        <f>IF(AND(G3496&gt;0,H3496&gt;0),G3496/H3496,"")</f>
        <v/>
      </c>
    </row>
    <row r="3497">
      <c r="A3497" s="4" t="inlineStr">
        <is>
          <t>406</t>
        </is>
      </c>
      <c r="B3497" s="4" t="n">
        <v>4</v>
      </c>
      <c r="C3497" s="4" t="inlineStr">
        <is>
          <t>elk</t>
        </is>
      </c>
      <c r="D3497" s="4" t="n">
        <v>2019</v>
      </c>
      <c r="E3497" s="13" t="inlineStr">
        <is>
          <t>General</t>
        </is>
      </c>
      <c r="F3497" s="5" t="n"/>
      <c r="G3497" s="5" t="n"/>
      <c r="H3497" s="5" t="n">
        <v>12</v>
      </c>
      <c r="I3497" s="5" t="n">
        <v>6</v>
      </c>
      <c r="J3497" s="5" t="n">
        <v>6</v>
      </c>
      <c r="K3497" s="10">
        <f>IF(F3497&gt;0,H3497/F3497,"")</f>
        <v/>
      </c>
      <c r="L3497" s="16">
        <f>IF(AND(G3497&gt;0,H3497&gt;0),G3497/H3497,"")</f>
        <v/>
      </c>
    </row>
    <row r="3498">
      <c r="A3498" s="4" t="inlineStr">
        <is>
          <t>406</t>
        </is>
      </c>
      <c r="B3498" s="4" t="n">
        <v>4</v>
      </c>
      <c r="C3498" s="4" t="inlineStr">
        <is>
          <t>elk</t>
        </is>
      </c>
      <c r="D3498" s="4" t="n">
        <v>2020</v>
      </c>
      <c r="E3498" s="13" t="inlineStr">
        <is>
          <t>General</t>
        </is>
      </c>
      <c r="F3498" s="5" t="n">
        <v>90</v>
      </c>
      <c r="G3498" s="5" t="n">
        <v>462</v>
      </c>
      <c r="H3498" s="5" t="n">
        <v>3</v>
      </c>
      <c r="I3498" s="5" t="n">
        <v>3</v>
      </c>
      <c r="J3498" s="5" t="n">
        <v>0</v>
      </c>
      <c r="K3498" s="10">
        <f>IF(F3498&gt;0,H3498/F3498,"")</f>
        <v/>
      </c>
      <c r="L3498" s="16">
        <f>IF(AND(G3498&gt;0,H3498&gt;0),G3498/H3498,"")</f>
        <v/>
      </c>
    </row>
    <row r="3499">
      <c r="A3499" s="4" t="inlineStr">
        <is>
          <t>406</t>
        </is>
      </c>
      <c r="B3499" s="4" t="n">
        <v>4</v>
      </c>
      <c r="C3499" s="4" t="inlineStr">
        <is>
          <t>elk</t>
        </is>
      </c>
      <c r="D3499" s="4" t="n">
        <v>2021</v>
      </c>
      <c r="E3499" s="13" t="inlineStr">
        <is>
          <t>General</t>
        </is>
      </c>
      <c r="F3499" s="5" t="n"/>
      <c r="G3499" s="5" t="n"/>
      <c r="H3499" s="5" t="n">
        <v>3</v>
      </c>
      <c r="I3499" s="5" t="n">
        <v>3</v>
      </c>
      <c r="J3499" s="5" t="n">
        <v>0</v>
      </c>
      <c r="K3499" s="10">
        <f>IF(F3499&gt;0,H3499/F3499,"")</f>
        <v/>
      </c>
      <c r="L3499" s="16">
        <f>IF(AND(G3499&gt;0,H3499&gt;0),G3499/H3499,"")</f>
        <v/>
      </c>
    </row>
    <row r="3500">
      <c r="A3500" s="4" t="inlineStr">
        <is>
          <t>406</t>
        </is>
      </c>
      <c r="B3500" s="4" t="n">
        <v>4</v>
      </c>
      <c r="C3500" s="4" t="inlineStr">
        <is>
          <t>elk</t>
        </is>
      </c>
      <c r="D3500" s="4" t="n">
        <v>2022</v>
      </c>
      <c r="E3500" s="13" t="inlineStr">
        <is>
          <t>General</t>
        </is>
      </c>
      <c r="F3500" s="5" t="n">
        <v>62</v>
      </c>
      <c r="G3500" s="5" t="n">
        <v>281</v>
      </c>
      <c r="H3500" s="5" t="n">
        <v>6</v>
      </c>
      <c r="I3500" s="5" t="n">
        <v>6</v>
      </c>
      <c r="J3500" s="5" t="n">
        <v>0</v>
      </c>
      <c r="K3500" s="10">
        <f>IF(F3500&gt;0,H3500/F3500,"")</f>
        <v/>
      </c>
      <c r="L3500" s="16">
        <f>IF(AND(G3500&gt;0,H3500&gt;0),G3500/H3500,"")</f>
        <v/>
      </c>
    </row>
    <row r="3501">
      <c r="A3501" s="4" t="inlineStr">
        <is>
          <t>406</t>
        </is>
      </c>
      <c r="B3501" s="4" t="n">
        <v>4</v>
      </c>
      <c r="C3501" s="4" t="inlineStr">
        <is>
          <t>elk</t>
        </is>
      </c>
      <c r="D3501" s="4" t="n">
        <v>2023</v>
      </c>
      <c r="E3501" s="13" t="inlineStr">
        <is>
          <t>General</t>
        </is>
      </c>
      <c r="F3501" s="5" t="n"/>
      <c r="G3501" s="5" t="n"/>
      <c r="H3501" s="5" t="n">
        <v>6</v>
      </c>
      <c r="I3501" s="5" t="n">
        <v>3</v>
      </c>
      <c r="J3501" s="5" t="n">
        <v>3</v>
      </c>
      <c r="K3501" s="10">
        <f>IF(F3501&gt;0,H3501/F3501,"")</f>
        <v/>
      </c>
      <c r="L3501" s="16">
        <f>IF(AND(G3501&gt;0,H3501&gt;0),G3501/H3501,"")</f>
        <v/>
      </c>
    </row>
    <row r="3502">
      <c r="A3502" s="4" t="inlineStr">
        <is>
          <t>406</t>
        </is>
      </c>
      <c r="B3502" s="4" t="n">
        <v>4</v>
      </c>
      <c r="C3502" s="4" t="inlineStr">
        <is>
          <t>elk</t>
        </is>
      </c>
      <c r="D3502" s="4" t="n">
        <v>2024</v>
      </c>
      <c r="E3502" s="13" t="inlineStr">
        <is>
          <t>General</t>
        </is>
      </c>
      <c r="F3502" s="5" t="n">
        <v>78</v>
      </c>
      <c r="G3502" s="5" t="n">
        <v>405</v>
      </c>
      <c r="H3502" s="5" t="n">
        <v>11</v>
      </c>
      <c r="I3502" s="5" t="n">
        <v>6</v>
      </c>
      <c r="J3502" s="5" t="n">
        <v>6</v>
      </c>
      <c r="K3502" s="10">
        <f>IF(F3502&gt;0,H3502/F3502,"")</f>
        <v/>
      </c>
      <c r="L3502" s="16">
        <f>IF(AND(G3502&gt;0,H3502&gt;0),G3502/H3502,"")</f>
        <v/>
      </c>
    </row>
    <row r="3503">
      <c r="A3503" s="4" t="inlineStr">
        <is>
          <t>406</t>
        </is>
      </c>
      <c r="B3503" s="4" t="n">
        <v>4</v>
      </c>
      <c r="C3503" s="4" t="inlineStr">
        <is>
          <t>elk</t>
        </is>
      </c>
      <c r="D3503" s="4" t="n">
        <v>2025</v>
      </c>
      <c r="E3503" s="13" t="inlineStr">
        <is>
          <t>General</t>
        </is>
      </c>
      <c r="F3503" s="5" t="n"/>
      <c r="G3503" s="5" t="n"/>
      <c r="H3503" s="5" t="n">
        <v>7</v>
      </c>
      <c r="I3503" s="5" t="n">
        <v>3</v>
      </c>
      <c r="J3503" s="5" t="n">
        <v>4</v>
      </c>
      <c r="K3503" s="10">
        <f>IF(F3503&gt;0,H3503/F3503,"")</f>
        <v/>
      </c>
      <c r="L3503" s="16">
        <f>IF(AND(G3503&gt;0,H3503&gt;0),G3503/H3503,"")</f>
        <v/>
      </c>
    </row>
    <row r="3504">
      <c r="A3504" s="4" t="inlineStr">
        <is>
          <t>410</t>
        </is>
      </c>
      <c r="B3504" s="4" t="n">
        <v>4</v>
      </c>
      <c r="C3504" s="4" t="inlineStr">
        <is>
          <t>elk</t>
        </is>
      </c>
      <c r="D3504" s="4" t="n">
        <v>2004</v>
      </c>
      <c r="E3504" s="15" t="inlineStr">
        <is>
          <t>Draw</t>
        </is>
      </c>
      <c r="F3504" s="5" t="n">
        <v>2246</v>
      </c>
      <c r="G3504" s="5" t="n">
        <v>14858</v>
      </c>
      <c r="H3504" s="5" t="n">
        <v>893</v>
      </c>
      <c r="I3504" s="5" t="n">
        <v>256</v>
      </c>
      <c r="J3504" s="5" t="n">
        <v>573</v>
      </c>
      <c r="K3504" s="10">
        <f>IF(F3504&gt;0,H3504/F3504,"")</f>
        <v/>
      </c>
      <c r="L3504" s="16">
        <f>IF(AND(G3504&gt;0,H3504&gt;0),G3504/H3504,"")</f>
        <v/>
      </c>
    </row>
    <row r="3505">
      <c r="A3505" s="4" t="inlineStr">
        <is>
          <t>410</t>
        </is>
      </c>
      <c r="B3505" s="4" t="n">
        <v>4</v>
      </c>
      <c r="C3505" s="4" t="inlineStr">
        <is>
          <t>elk</t>
        </is>
      </c>
      <c r="D3505" s="4" t="n">
        <v>2005</v>
      </c>
      <c r="E3505" s="15" t="inlineStr">
        <is>
          <t>Draw</t>
        </is>
      </c>
      <c r="F3505" s="5" t="n">
        <v>2502</v>
      </c>
      <c r="G3505" s="5" t="n">
        <v>15333</v>
      </c>
      <c r="H3505" s="5" t="n">
        <v>765</v>
      </c>
      <c r="I3505" s="5" t="n">
        <v>202</v>
      </c>
      <c r="J3505" s="5" t="n">
        <v>498</v>
      </c>
      <c r="K3505" s="10">
        <f>IF(F3505&gt;0,H3505/F3505,"")</f>
        <v/>
      </c>
      <c r="L3505" s="16">
        <f>IF(AND(G3505&gt;0,H3505&gt;0),G3505/H3505,"")</f>
        <v/>
      </c>
    </row>
    <row r="3506">
      <c r="A3506" s="4" t="inlineStr">
        <is>
          <t>410</t>
        </is>
      </c>
      <c r="B3506" s="4" t="n">
        <v>4</v>
      </c>
      <c r="C3506" s="4" t="inlineStr">
        <is>
          <t>elk</t>
        </is>
      </c>
      <c r="D3506" s="4" t="n">
        <v>2006</v>
      </c>
      <c r="E3506" s="15" t="inlineStr">
        <is>
          <t>Draw</t>
        </is>
      </c>
      <c r="F3506" s="5" t="n">
        <v>2240</v>
      </c>
      <c r="G3506" s="5" t="n">
        <v>13174</v>
      </c>
      <c r="H3506" s="5" t="n">
        <v>759</v>
      </c>
      <c r="I3506" s="5" t="n">
        <v>209</v>
      </c>
      <c r="J3506" s="5" t="n">
        <v>492</v>
      </c>
      <c r="K3506" s="10">
        <f>IF(F3506&gt;0,H3506/F3506,"")</f>
        <v/>
      </c>
      <c r="L3506" s="16">
        <f>IF(AND(G3506&gt;0,H3506&gt;0),G3506/H3506,"")</f>
        <v/>
      </c>
    </row>
    <row r="3507">
      <c r="A3507" s="4" t="inlineStr">
        <is>
          <t>410</t>
        </is>
      </c>
      <c r="B3507" s="4" t="n">
        <v>4</v>
      </c>
      <c r="C3507" s="4" t="inlineStr">
        <is>
          <t>elk</t>
        </is>
      </c>
      <c r="D3507" s="4" t="n">
        <v>2007</v>
      </c>
      <c r="E3507" s="15" t="inlineStr">
        <is>
          <t>Draw</t>
        </is>
      </c>
      <c r="F3507" s="5" t="n">
        <v>2513</v>
      </c>
      <c r="G3507" s="5" t="n">
        <v>15889</v>
      </c>
      <c r="H3507" s="5" t="n">
        <v>568</v>
      </c>
      <c r="I3507" s="5" t="n">
        <v>243</v>
      </c>
      <c r="J3507" s="5" t="n">
        <v>281</v>
      </c>
      <c r="K3507" s="10">
        <f>IF(F3507&gt;0,H3507/F3507,"")</f>
        <v/>
      </c>
      <c r="L3507" s="16">
        <f>IF(AND(G3507&gt;0,H3507&gt;0),G3507/H3507,"")</f>
        <v/>
      </c>
    </row>
    <row r="3508">
      <c r="A3508" s="4" t="inlineStr">
        <is>
          <t>410</t>
        </is>
      </c>
      <c r="B3508" s="4" t="n">
        <v>4</v>
      </c>
      <c r="C3508" s="4" t="inlineStr">
        <is>
          <t>elk</t>
        </is>
      </c>
      <c r="D3508" s="4" t="n">
        <v>2008</v>
      </c>
      <c r="E3508" s="15" t="inlineStr">
        <is>
          <t>Draw</t>
        </is>
      </c>
      <c r="F3508" s="5" t="n">
        <v>1788</v>
      </c>
      <c r="G3508" s="5" t="n">
        <v>12375</v>
      </c>
      <c r="H3508" s="5" t="n">
        <v>287</v>
      </c>
      <c r="I3508" s="5" t="n">
        <v>172</v>
      </c>
      <c r="J3508" s="5" t="n">
        <v>104</v>
      </c>
      <c r="K3508" s="10">
        <f>IF(F3508&gt;0,H3508/F3508,"")</f>
        <v/>
      </c>
      <c r="L3508" s="16">
        <f>IF(AND(G3508&gt;0,H3508&gt;0),G3508/H3508,"")</f>
        <v/>
      </c>
    </row>
    <row r="3509">
      <c r="A3509" s="4" t="inlineStr">
        <is>
          <t>410</t>
        </is>
      </c>
      <c r="B3509" s="4" t="n">
        <v>4</v>
      </c>
      <c r="C3509" s="4" t="inlineStr">
        <is>
          <t>elk</t>
        </is>
      </c>
      <c r="D3509" s="4" t="n">
        <v>2009</v>
      </c>
      <c r="E3509" s="15" t="inlineStr">
        <is>
          <t>Draw</t>
        </is>
      </c>
      <c r="F3509" s="5" t="n">
        <v>1801</v>
      </c>
      <c r="G3509" s="5" t="n">
        <v>12462</v>
      </c>
      <c r="H3509" s="5" t="n">
        <v>318</v>
      </c>
      <c r="I3509" s="5" t="n">
        <v>202</v>
      </c>
      <c r="J3509" s="5" t="n">
        <v>113</v>
      </c>
      <c r="K3509" s="10">
        <f>IF(F3509&gt;0,H3509/F3509,"")</f>
        <v/>
      </c>
      <c r="L3509" s="16">
        <f>IF(AND(G3509&gt;0,H3509&gt;0),G3509/H3509,"")</f>
        <v/>
      </c>
    </row>
    <row r="3510">
      <c r="A3510" s="4" t="inlineStr">
        <is>
          <t>410</t>
        </is>
      </c>
      <c r="B3510" s="4" t="n">
        <v>4</v>
      </c>
      <c r="C3510" s="4" t="inlineStr">
        <is>
          <t>elk</t>
        </is>
      </c>
      <c r="D3510" s="4" t="n">
        <v>2010</v>
      </c>
      <c r="E3510" s="15" t="inlineStr">
        <is>
          <t>Draw</t>
        </is>
      </c>
      <c r="F3510" s="5" t="n">
        <v>1536</v>
      </c>
      <c r="G3510" s="5" t="n">
        <v>10625</v>
      </c>
      <c r="H3510" s="5" t="n">
        <v>390</v>
      </c>
      <c r="I3510" s="5" t="n">
        <v>199</v>
      </c>
      <c r="J3510" s="5" t="n">
        <v>185</v>
      </c>
      <c r="K3510" s="10">
        <f>IF(F3510&gt;0,H3510/F3510,"")</f>
        <v/>
      </c>
      <c r="L3510" s="16">
        <f>IF(AND(G3510&gt;0,H3510&gt;0),G3510/H3510,"")</f>
        <v/>
      </c>
    </row>
    <row r="3511">
      <c r="A3511" s="4" t="inlineStr">
        <is>
          <t>410</t>
        </is>
      </c>
      <c r="B3511" s="4" t="n">
        <v>4</v>
      </c>
      <c r="C3511" s="4" t="inlineStr">
        <is>
          <t>elk</t>
        </is>
      </c>
      <c r="D3511" s="4" t="n">
        <v>2011</v>
      </c>
      <c r="E3511" s="15" t="inlineStr">
        <is>
          <t>Draw</t>
        </is>
      </c>
      <c r="F3511" s="5" t="n">
        <v>1533</v>
      </c>
      <c r="G3511" s="5" t="n">
        <v>11196</v>
      </c>
      <c r="H3511" s="5" t="n">
        <v>389</v>
      </c>
      <c r="I3511" s="5" t="n">
        <v>160</v>
      </c>
      <c r="J3511" s="5" t="n">
        <v>213</v>
      </c>
      <c r="K3511" s="10">
        <f>IF(F3511&gt;0,H3511/F3511,"")</f>
        <v/>
      </c>
      <c r="L3511" s="16">
        <f>IF(AND(G3511&gt;0,H3511&gt;0),G3511/H3511,"")</f>
        <v/>
      </c>
    </row>
    <row r="3512">
      <c r="A3512" s="4" t="inlineStr">
        <is>
          <t>410</t>
        </is>
      </c>
      <c r="B3512" s="4" t="n">
        <v>4</v>
      </c>
      <c r="C3512" s="4" t="inlineStr">
        <is>
          <t>elk</t>
        </is>
      </c>
      <c r="D3512" s="4" t="n">
        <v>2012</v>
      </c>
      <c r="E3512" s="15" t="inlineStr">
        <is>
          <t>Draw</t>
        </is>
      </c>
      <c r="F3512" s="5" t="n">
        <v>1871</v>
      </c>
      <c r="G3512" s="5" t="n">
        <v>13310</v>
      </c>
      <c r="H3512" s="5" t="n">
        <v>412</v>
      </c>
      <c r="I3512" s="5" t="n">
        <v>185</v>
      </c>
      <c r="J3512" s="5" t="n">
        <v>220</v>
      </c>
      <c r="K3512" s="10">
        <f>IF(F3512&gt;0,H3512/F3512,"")</f>
        <v/>
      </c>
      <c r="L3512" s="16">
        <f>IF(AND(G3512&gt;0,H3512&gt;0),G3512/H3512,"")</f>
        <v/>
      </c>
    </row>
    <row r="3513">
      <c r="A3513" s="4" t="inlineStr">
        <is>
          <t>410</t>
        </is>
      </c>
      <c r="B3513" s="4" t="n">
        <v>4</v>
      </c>
      <c r="C3513" s="4" t="inlineStr">
        <is>
          <t>elk</t>
        </is>
      </c>
      <c r="D3513" s="4" t="n">
        <v>2013</v>
      </c>
      <c r="E3513" s="15" t="inlineStr">
        <is>
          <t>Draw</t>
        </is>
      </c>
      <c r="F3513" s="5" t="n"/>
      <c r="G3513" s="5" t="n"/>
      <c r="H3513" s="5" t="n">
        <v>531</v>
      </c>
      <c r="I3513" s="5" t="n">
        <v>219</v>
      </c>
      <c r="J3513" s="5" t="n">
        <v>307</v>
      </c>
      <c r="K3513" s="10">
        <f>IF(F3513&gt;0,H3513/F3513,"")</f>
        <v/>
      </c>
      <c r="L3513" s="16">
        <f>IF(AND(G3513&gt;0,H3513&gt;0),G3513/H3513,"")</f>
        <v/>
      </c>
    </row>
    <row r="3514">
      <c r="A3514" s="4" t="inlineStr">
        <is>
          <t>410</t>
        </is>
      </c>
      <c r="B3514" s="4" t="n">
        <v>4</v>
      </c>
      <c r="C3514" s="4" t="inlineStr">
        <is>
          <t>elk</t>
        </is>
      </c>
      <c r="D3514" s="4" t="n">
        <v>2014</v>
      </c>
      <c r="E3514" s="15" t="inlineStr">
        <is>
          <t>Draw</t>
        </is>
      </c>
      <c r="F3514" s="5" t="n">
        <v>2037</v>
      </c>
      <c r="G3514" s="5" t="n">
        <v>14415</v>
      </c>
      <c r="H3514" s="5" t="n">
        <v>398</v>
      </c>
      <c r="I3514" s="5" t="n">
        <v>234</v>
      </c>
      <c r="J3514" s="5" t="n">
        <v>152</v>
      </c>
      <c r="K3514" s="10">
        <f>IF(F3514&gt;0,H3514/F3514,"")</f>
        <v/>
      </c>
      <c r="L3514" s="16">
        <f>IF(AND(G3514&gt;0,H3514&gt;0),G3514/H3514,"")</f>
        <v/>
      </c>
    </row>
    <row r="3515">
      <c r="A3515" s="4" t="inlineStr">
        <is>
          <t>410</t>
        </is>
      </c>
      <c r="B3515" s="4" t="n">
        <v>4</v>
      </c>
      <c r="C3515" s="4" t="inlineStr">
        <is>
          <t>elk</t>
        </is>
      </c>
      <c r="D3515" s="4" t="n">
        <v>2015</v>
      </c>
      <c r="E3515" s="15" t="inlineStr">
        <is>
          <t>Draw</t>
        </is>
      </c>
      <c r="F3515" s="5" t="n">
        <v>2199</v>
      </c>
      <c r="G3515" s="5" t="n">
        <v>15237</v>
      </c>
      <c r="H3515" s="5" t="n">
        <v>776</v>
      </c>
      <c r="I3515" s="5" t="n">
        <v>281</v>
      </c>
      <c r="J3515" s="5" t="n">
        <v>475</v>
      </c>
      <c r="K3515" s="10">
        <f>IF(F3515&gt;0,H3515/F3515,"")</f>
        <v/>
      </c>
      <c r="L3515" s="16">
        <f>IF(AND(G3515&gt;0,H3515&gt;0),G3515/H3515,"")</f>
        <v/>
      </c>
    </row>
    <row r="3516">
      <c r="A3516" s="4" t="inlineStr">
        <is>
          <t>410</t>
        </is>
      </c>
      <c r="B3516" s="4" t="n">
        <v>4</v>
      </c>
      <c r="C3516" s="4" t="inlineStr">
        <is>
          <t>elk</t>
        </is>
      </c>
      <c r="D3516" s="4" t="n">
        <v>2016</v>
      </c>
      <c r="E3516" s="15" t="inlineStr">
        <is>
          <t>Draw</t>
        </is>
      </c>
      <c r="F3516" s="5" t="n">
        <v>2233</v>
      </c>
      <c r="G3516" s="5" t="n">
        <v>16061</v>
      </c>
      <c r="H3516" s="5" t="n">
        <v>695</v>
      </c>
      <c r="I3516" s="5" t="n">
        <v>309</v>
      </c>
      <c r="J3516" s="5" t="n">
        <v>366</v>
      </c>
      <c r="K3516" s="10">
        <f>IF(F3516&gt;0,H3516/F3516,"")</f>
        <v/>
      </c>
      <c r="L3516" s="16">
        <f>IF(AND(G3516&gt;0,H3516&gt;0),G3516/H3516,"")</f>
        <v/>
      </c>
    </row>
    <row r="3517">
      <c r="A3517" s="4" t="inlineStr">
        <is>
          <t>410</t>
        </is>
      </c>
      <c r="B3517" s="4" t="n">
        <v>4</v>
      </c>
      <c r="C3517" s="4" t="inlineStr">
        <is>
          <t>elk</t>
        </is>
      </c>
      <c r="D3517" s="4" t="n">
        <v>2017</v>
      </c>
      <c r="E3517" s="15" t="inlineStr">
        <is>
          <t>Draw</t>
        </is>
      </c>
      <c r="F3517" s="5" t="n"/>
      <c r="G3517" s="5" t="n"/>
      <c r="H3517" s="5" t="n">
        <v>595</v>
      </c>
      <c r="I3517" s="5" t="n">
        <v>264</v>
      </c>
      <c r="J3517" s="5" t="n">
        <v>306</v>
      </c>
      <c r="K3517" s="10">
        <f>IF(F3517&gt;0,H3517/F3517,"")</f>
        <v/>
      </c>
      <c r="L3517" s="16">
        <f>IF(AND(G3517&gt;0,H3517&gt;0),G3517/H3517,"")</f>
        <v/>
      </c>
    </row>
    <row r="3518">
      <c r="A3518" s="4" t="inlineStr">
        <is>
          <t>410</t>
        </is>
      </c>
      <c r="B3518" s="4" t="n">
        <v>4</v>
      </c>
      <c r="C3518" s="4" t="inlineStr">
        <is>
          <t>elk</t>
        </is>
      </c>
      <c r="D3518" s="4" t="n">
        <v>2018</v>
      </c>
      <c r="E3518" s="15" t="inlineStr">
        <is>
          <t>Draw</t>
        </is>
      </c>
      <c r="F3518" s="5" t="n">
        <v>2355</v>
      </c>
      <c r="G3518" s="5" t="n">
        <v>17252</v>
      </c>
      <c r="H3518" s="5" t="n">
        <v>651</v>
      </c>
      <c r="I3518" s="5" t="n">
        <v>270</v>
      </c>
      <c r="J3518" s="5" t="n">
        <v>372</v>
      </c>
      <c r="K3518" s="10">
        <f>IF(F3518&gt;0,H3518/F3518,"")</f>
        <v/>
      </c>
      <c r="L3518" s="16">
        <f>IF(AND(G3518&gt;0,H3518&gt;0),G3518/H3518,"")</f>
        <v/>
      </c>
    </row>
    <row r="3519">
      <c r="A3519" s="4" t="inlineStr">
        <is>
          <t>410</t>
        </is>
      </c>
      <c r="B3519" s="4" t="n">
        <v>4</v>
      </c>
      <c r="C3519" s="4" t="inlineStr">
        <is>
          <t>elk</t>
        </is>
      </c>
      <c r="D3519" s="4" t="n">
        <v>2019</v>
      </c>
      <c r="E3519" s="15" t="inlineStr">
        <is>
          <t>Draw</t>
        </is>
      </c>
      <c r="F3519" s="5" t="n"/>
      <c r="G3519" s="5" t="n"/>
      <c r="H3519" s="5" t="n">
        <v>649</v>
      </c>
      <c r="I3519" s="5" t="n">
        <v>272</v>
      </c>
      <c r="J3519" s="5" t="n">
        <v>366</v>
      </c>
      <c r="K3519" s="10">
        <f>IF(F3519&gt;0,H3519/F3519,"")</f>
        <v/>
      </c>
      <c r="L3519" s="16">
        <f>IF(AND(G3519&gt;0,H3519&gt;0),G3519/H3519,"")</f>
        <v/>
      </c>
    </row>
    <row r="3520">
      <c r="A3520" s="4" t="inlineStr">
        <is>
          <t>410</t>
        </is>
      </c>
      <c r="B3520" s="4" t="n">
        <v>4</v>
      </c>
      <c r="C3520" s="4" t="inlineStr">
        <is>
          <t>elk</t>
        </is>
      </c>
      <c r="D3520" s="4" t="n">
        <v>2020</v>
      </c>
      <c r="E3520" s="15" t="inlineStr">
        <is>
          <t>Draw</t>
        </is>
      </c>
      <c r="F3520" s="5" t="n">
        <v>2350</v>
      </c>
      <c r="G3520" s="5" t="n">
        <v>18464</v>
      </c>
      <c r="H3520" s="5" t="n">
        <v>950</v>
      </c>
      <c r="I3520" s="5" t="n">
        <v>297</v>
      </c>
      <c r="J3520" s="5" t="n">
        <v>637</v>
      </c>
      <c r="K3520" s="10">
        <f>IF(F3520&gt;0,H3520/F3520,"")</f>
        <v/>
      </c>
      <c r="L3520" s="16">
        <f>IF(AND(G3520&gt;0,H3520&gt;0),G3520/H3520,"")</f>
        <v/>
      </c>
    </row>
    <row r="3521">
      <c r="A3521" s="4" t="inlineStr">
        <is>
          <t>410</t>
        </is>
      </c>
      <c r="B3521" s="4" t="n">
        <v>4</v>
      </c>
      <c r="C3521" s="4" t="inlineStr">
        <is>
          <t>elk</t>
        </is>
      </c>
      <c r="D3521" s="4" t="n">
        <v>2021</v>
      </c>
      <c r="E3521" s="15" t="inlineStr">
        <is>
          <t>Draw</t>
        </is>
      </c>
      <c r="F3521" s="5" t="n"/>
      <c r="G3521" s="5" t="n"/>
      <c r="H3521" s="5" t="n">
        <v>723</v>
      </c>
      <c r="I3521" s="5" t="n">
        <v>326</v>
      </c>
      <c r="J3521" s="5" t="n">
        <v>387</v>
      </c>
      <c r="K3521" s="10">
        <f>IF(F3521&gt;0,H3521/F3521,"")</f>
        <v/>
      </c>
      <c r="L3521" s="16">
        <f>IF(AND(G3521&gt;0,H3521&gt;0),G3521/H3521,"")</f>
        <v/>
      </c>
    </row>
    <row r="3522">
      <c r="A3522" s="4" t="inlineStr">
        <is>
          <t>410</t>
        </is>
      </c>
      <c r="B3522" s="4" t="n">
        <v>4</v>
      </c>
      <c r="C3522" s="4" t="inlineStr">
        <is>
          <t>elk</t>
        </is>
      </c>
      <c r="D3522" s="4" t="n">
        <v>2022</v>
      </c>
      <c r="E3522" s="15" t="inlineStr">
        <is>
          <t>Draw</t>
        </is>
      </c>
      <c r="F3522" s="5" t="n">
        <v>1871</v>
      </c>
      <c r="G3522" s="5" t="n">
        <v>15743</v>
      </c>
      <c r="H3522" s="5" t="n">
        <v>452</v>
      </c>
      <c r="I3522" s="5" t="n">
        <v>213</v>
      </c>
      <c r="J3522" s="5" t="n">
        <v>236</v>
      </c>
      <c r="K3522" s="10">
        <f>IF(F3522&gt;0,H3522/F3522,"")</f>
        <v/>
      </c>
      <c r="L3522" s="16">
        <f>IF(AND(G3522&gt;0,H3522&gt;0),G3522/H3522,"")</f>
        <v/>
      </c>
    </row>
    <row r="3523">
      <c r="A3523" s="4" t="inlineStr">
        <is>
          <t>410</t>
        </is>
      </c>
      <c r="B3523" s="4" t="n">
        <v>4</v>
      </c>
      <c r="C3523" s="4" t="inlineStr">
        <is>
          <t>elk</t>
        </is>
      </c>
      <c r="D3523" s="4" t="n">
        <v>2023</v>
      </c>
      <c r="E3523" s="15" t="inlineStr">
        <is>
          <t>Draw</t>
        </is>
      </c>
      <c r="F3523" s="5" t="n"/>
      <c r="G3523" s="5" t="n"/>
      <c r="H3523" s="5" t="n">
        <v>333</v>
      </c>
      <c r="I3523" s="5" t="n">
        <v>170</v>
      </c>
      <c r="J3523" s="5" t="n">
        <v>158</v>
      </c>
      <c r="K3523" s="10">
        <f>IF(F3523&gt;0,H3523/F3523,"")</f>
        <v/>
      </c>
      <c r="L3523" s="16">
        <f>IF(AND(G3523&gt;0,H3523&gt;0),G3523/H3523,"")</f>
        <v/>
      </c>
    </row>
    <row r="3524">
      <c r="A3524" s="4" t="inlineStr">
        <is>
          <t>410</t>
        </is>
      </c>
      <c r="B3524" s="4" t="n">
        <v>4</v>
      </c>
      <c r="C3524" s="4" t="inlineStr">
        <is>
          <t>elk</t>
        </is>
      </c>
      <c r="D3524" s="4" t="n">
        <v>2024</v>
      </c>
      <c r="E3524" s="15" t="inlineStr">
        <is>
          <t>Draw</t>
        </is>
      </c>
      <c r="F3524" s="5" t="n">
        <v>1332</v>
      </c>
      <c r="G3524" s="5" t="n">
        <v>11196</v>
      </c>
      <c r="H3524" s="5" t="n">
        <v>378</v>
      </c>
      <c r="I3524" s="5" t="n">
        <v>209</v>
      </c>
      <c r="J3524" s="5" t="n">
        <v>167</v>
      </c>
      <c r="K3524" s="10">
        <f>IF(F3524&gt;0,H3524/F3524,"")</f>
        <v/>
      </c>
      <c r="L3524" s="16">
        <f>IF(AND(G3524&gt;0,H3524&gt;0),G3524/H3524,"")</f>
        <v/>
      </c>
    </row>
    <row r="3525">
      <c r="A3525" s="4" t="inlineStr">
        <is>
          <t>410</t>
        </is>
      </c>
      <c r="B3525" s="4" t="n">
        <v>4</v>
      </c>
      <c r="C3525" s="4" t="inlineStr">
        <is>
          <t>elk</t>
        </is>
      </c>
      <c r="D3525" s="4" t="n">
        <v>2025</v>
      </c>
      <c r="E3525" s="15" t="inlineStr">
        <is>
          <t>Draw</t>
        </is>
      </c>
      <c r="F3525" s="5" t="n"/>
      <c r="G3525" s="5" t="n"/>
      <c r="H3525" s="5" t="n">
        <v>452</v>
      </c>
      <c r="I3525" s="5" t="n">
        <v>247</v>
      </c>
      <c r="J3525" s="5" t="n">
        <v>202</v>
      </c>
      <c r="K3525" s="10">
        <f>IF(F3525&gt;0,H3525/F3525,"")</f>
        <v/>
      </c>
      <c r="L3525" s="16">
        <f>IF(AND(G3525&gt;0,H3525&gt;0),G3525/H3525,"")</f>
        <v/>
      </c>
    </row>
    <row r="3526">
      <c r="A3526" s="4" t="inlineStr">
        <is>
          <t>411</t>
        </is>
      </c>
      <c r="B3526" s="4" t="n">
        <v>4</v>
      </c>
      <c r="C3526" s="4" t="inlineStr">
        <is>
          <t>elk</t>
        </is>
      </c>
      <c r="D3526" s="4" t="n">
        <v>2004</v>
      </c>
      <c r="E3526" s="13" t="inlineStr">
        <is>
          <t>General</t>
        </is>
      </c>
      <c r="F3526" s="5" t="n">
        <v>758</v>
      </c>
      <c r="G3526" s="5" t="n">
        <v>4478</v>
      </c>
      <c r="H3526" s="5" t="n">
        <v>179</v>
      </c>
      <c r="I3526" s="5" t="n">
        <v>61</v>
      </c>
      <c r="J3526" s="5" t="n">
        <v>105</v>
      </c>
      <c r="K3526" s="10">
        <f>IF(F3526&gt;0,H3526/F3526,"")</f>
        <v/>
      </c>
      <c r="L3526" s="16">
        <f>IF(AND(G3526&gt;0,H3526&gt;0),G3526/H3526,"")</f>
        <v/>
      </c>
    </row>
    <row r="3527">
      <c r="A3527" s="4" t="inlineStr">
        <is>
          <t>411</t>
        </is>
      </c>
      <c r="B3527" s="4" t="n">
        <v>4</v>
      </c>
      <c r="C3527" s="4" t="inlineStr">
        <is>
          <t>elk</t>
        </is>
      </c>
      <c r="D3527" s="4" t="n">
        <v>2005</v>
      </c>
      <c r="E3527" s="13" t="inlineStr">
        <is>
          <t>General</t>
        </is>
      </c>
      <c r="F3527" s="5" t="n">
        <v>896</v>
      </c>
      <c r="G3527" s="5" t="n">
        <v>5953</v>
      </c>
      <c r="H3527" s="5" t="n">
        <v>239</v>
      </c>
      <c r="I3527" s="5" t="n">
        <v>100</v>
      </c>
      <c r="J3527" s="5" t="n">
        <v>129</v>
      </c>
      <c r="K3527" s="10">
        <f>IF(F3527&gt;0,H3527/F3527,"")</f>
        <v/>
      </c>
      <c r="L3527" s="16">
        <f>IF(AND(G3527&gt;0,H3527&gt;0),G3527/H3527,"")</f>
        <v/>
      </c>
    </row>
    <row r="3528">
      <c r="A3528" s="4" t="inlineStr">
        <is>
          <t>411</t>
        </is>
      </c>
      <c r="B3528" s="4" t="n">
        <v>4</v>
      </c>
      <c r="C3528" s="4" t="inlineStr">
        <is>
          <t>elk</t>
        </is>
      </c>
      <c r="D3528" s="4" t="n">
        <v>2006</v>
      </c>
      <c r="E3528" s="13" t="inlineStr">
        <is>
          <t>General</t>
        </is>
      </c>
      <c r="F3528" s="5" t="n">
        <v>901</v>
      </c>
      <c r="G3528" s="5" t="n">
        <v>5616</v>
      </c>
      <c r="H3528" s="5" t="n">
        <v>207</v>
      </c>
      <c r="I3528" s="5" t="n">
        <v>110</v>
      </c>
      <c r="J3528" s="5" t="n">
        <v>83</v>
      </c>
      <c r="K3528" s="10">
        <f>IF(F3528&gt;0,H3528/F3528,"")</f>
        <v/>
      </c>
      <c r="L3528" s="16">
        <f>IF(AND(G3528&gt;0,H3528&gt;0),G3528/H3528,"")</f>
        <v/>
      </c>
    </row>
    <row r="3529">
      <c r="A3529" s="4" t="inlineStr">
        <is>
          <t>411</t>
        </is>
      </c>
      <c r="B3529" s="4" t="n">
        <v>4</v>
      </c>
      <c r="C3529" s="4" t="inlineStr">
        <is>
          <t>elk</t>
        </is>
      </c>
      <c r="D3529" s="4" t="n">
        <v>2007</v>
      </c>
      <c r="E3529" s="13" t="inlineStr">
        <is>
          <t>General</t>
        </is>
      </c>
      <c r="F3529" s="5" t="n">
        <v>953</v>
      </c>
      <c r="G3529" s="5" t="n">
        <v>6047</v>
      </c>
      <c r="H3529" s="5" t="n">
        <v>258</v>
      </c>
      <c r="I3529" s="5" t="n">
        <v>135</v>
      </c>
      <c r="J3529" s="5" t="n">
        <v>113</v>
      </c>
      <c r="K3529" s="10">
        <f>IF(F3529&gt;0,H3529/F3529,"")</f>
        <v/>
      </c>
      <c r="L3529" s="16">
        <f>IF(AND(G3529&gt;0,H3529&gt;0),G3529/H3529,"")</f>
        <v/>
      </c>
    </row>
    <row r="3530">
      <c r="A3530" s="4" t="inlineStr">
        <is>
          <t>411</t>
        </is>
      </c>
      <c r="B3530" s="4" t="n">
        <v>4</v>
      </c>
      <c r="C3530" s="4" t="inlineStr">
        <is>
          <t>elk</t>
        </is>
      </c>
      <c r="D3530" s="4" t="n">
        <v>2008</v>
      </c>
      <c r="E3530" s="13" t="inlineStr">
        <is>
          <t>General</t>
        </is>
      </c>
      <c r="F3530" s="5" t="n">
        <v>1156</v>
      </c>
      <c r="G3530" s="5" t="n">
        <v>7883</v>
      </c>
      <c r="H3530" s="5" t="n">
        <v>228</v>
      </c>
      <c r="I3530" s="5" t="n">
        <v>125</v>
      </c>
      <c r="J3530" s="5" t="n">
        <v>97</v>
      </c>
      <c r="K3530" s="10">
        <f>IF(F3530&gt;0,H3530/F3530,"")</f>
        <v/>
      </c>
      <c r="L3530" s="16">
        <f>IF(AND(G3530&gt;0,H3530&gt;0),G3530/H3530,"")</f>
        <v/>
      </c>
    </row>
    <row r="3531">
      <c r="A3531" s="4" t="inlineStr">
        <is>
          <t>411</t>
        </is>
      </c>
      <c r="B3531" s="4" t="n">
        <v>4</v>
      </c>
      <c r="C3531" s="4" t="inlineStr">
        <is>
          <t>elk</t>
        </is>
      </c>
      <c r="D3531" s="4" t="n">
        <v>2009</v>
      </c>
      <c r="E3531" s="13" t="inlineStr">
        <is>
          <t>General</t>
        </is>
      </c>
      <c r="F3531" s="5" t="n">
        <v>1260</v>
      </c>
      <c r="G3531" s="5" t="n">
        <v>8265</v>
      </c>
      <c r="H3531" s="5" t="n">
        <v>238</v>
      </c>
      <c r="I3531" s="5" t="n">
        <v>140</v>
      </c>
      <c r="J3531" s="5" t="n">
        <v>85</v>
      </c>
      <c r="K3531" s="10">
        <f>IF(F3531&gt;0,H3531/F3531,"")</f>
        <v/>
      </c>
      <c r="L3531" s="16">
        <f>IF(AND(G3531&gt;0,H3531&gt;0),G3531/H3531,"")</f>
        <v/>
      </c>
    </row>
    <row r="3532">
      <c r="A3532" s="4" t="inlineStr">
        <is>
          <t>411</t>
        </is>
      </c>
      <c r="B3532" s="4" t="n">
        <v>4</v>
      </c>
      <c r="C3532" s="4" t="inlineStr">
        <is>
          <t>elk</t>
        </is>
      </c>
      <c r="D3532" s="4" t="n">
        <v>2010</v>
      </c>
      <c r="E3532" s="13" t="inlineStr">
        <is>
          <t>General</t>
        </is>
      </c>
      <c r="F3532" s="5" t="n">
        <v>1235</v>
      </c>
      <c r="G3532" s="5" t="n">
        <v>9518</v>
      </c>
      <c r="H3532" s="5" t="n">
        <v>339</v>
      </c>
      <c r="I3532" s="5" t="n">
        <v>186</v>
      </c>
      <c r="J3532" s="5" t="n">
        <v>124</v>
      </c>
      <c r="K3532" s="10">
        <f>IF(F3532&gt;0,H3532/F3532,"")</f>
        <v/>
      </c>
      <c r="L3532" s="16">
        <f>IF(AND(G3532&gt;0,H3532&gt;0),G3532/H3532,"")</f>
        <v/>
      </c>
    </row>
    <row r="3533">
      <c r="A3533" s="4" t="inlineStr">
        <is>
          <t>411</t>
        </is>
      </c>
      <c r="B3533" s="4" t="n">
        <v>4</v>
      </c>
      <c r="C3533" s="4" t="inlineStr">
        <is>
          <t>elk</t>
        </is>
      </c>
      <c r="D3533" s="4" t="n">
        <v>2011</v>
      </c>
      <c r="E3533" s="13" t="inlineStr">
        <is>
          <t>General</t>
        </is>
      </c>
      <c r="F3533" s="5" t="n">
        <v>1265</v>
      </c>
      <c r="G3533" s="5" t="n">
        <v>8855</v>
      </c>
      <c r="H3533" s="5" t="n">
        <v>271</v>
      </c>
      <c r="I3533" s="5" t="n">
        <v>142</v>
      </c>
      <c r="J3533" s="5" t="n">
        <v>117</v>
      </c>
      <c r="K3533" s="10">
        <f>IF(F3533&gt;0,H3533/F3533,"")</f>
        <v/>
      </c>
      <c r="L3533" s="16">
        <f>IF(AND(G3533&gt;0,H3533&gt;0),G3533/H3533,"")</f>
        <v/>
      </c>
    </row>
    <row r="3534">
      <c r="A3534" s="4" t="inlineStr">
        <is>
          <t>411</t>
        </is>
      </c>
      <c r="B3534" s="4" t="n">
        <v>4</v>
      </c>
      <c r="C3534" s="4" t="inlineStr">
        <is>
          <t>elk</t>
        </is>
      </c>
      <c r="D3534" s="4" t="n">
        <v>2012</v>
      </c>
      <c r="E3534" s="13" t="inlineStr">
        <is>
          <t>General</t>
        </is>
      </c>
      <c r="F3534" s="5" t="n">
        <v>1420</v>
      </c>
      <c r="G3534" s="5" t="n">
        <v>9772</v>
      </c>
      <c r="H3534" s="5" t="n">
        <v>354</v>
      </c>
      <c r="I3534" s="5" t="n">
        <v>183</v>
      </c>
      <c r="J3534" s="5" t="n">
        <v>156</v>
      </c>
      <c r="K3534" s="10">
        <f>IF(F3534&gt;0,H3534/F3534,"")</f>
        <v/>
      </c>
      <c r="L3534" s="16">
        <f>IF(AND(G3534&gt;0,H3534&gt;0),G3534/H3534,"")</f>
        <v/>
      </c>
    </row>
    <row r="3535">
      <c r="A3535" s="4" t="inlineStr">
        <is>
          <t>411</t>
        </is>
      </c>
      <c r="B3535" s="4" t="n">
        <v>4</v>
      </c>
      <c r="C3535" s="4" t="inlineStr">
        <is>
          <t>elk</t>
        </is>
      </c>
      <c r="D3535" s="4" t="n">
        <v>2013</v>
      </c>
      <c r="E3535" s="13" t="inlineStr">
        <is>
          <t>General</t>
        </is>
      </c>
      <c r="F3535" s="5" t="n"/>
      <c r="G3535" s="5" t="n"/>
      <c r="H3535" s="5" t="n">
        <v>315</v>
      </c>
      <c r="I3535" s="5" t="n">
        <v>150</v>
      </c>
      <c r="J3535" s="5" t="n">
        <v>155</v>
      </c>
      <c r="K3535" s="10">
        <f>IF(F3535&gt;0,H3535/F3535,"")</f>
        <v/>
      </c>
      <c r="L3535" s="16">
        <f>IF(AND(G3535&gt;0,H3535&gt;0),G3535/H3535,"")</f>
        <v/>
      </c>
    </row>
    <row r="3536">
      <c r="A3536" s="4" t="inlineStr">
        <is>
          <t>411</t>
        </is>
      </c>
      <c r="B3536" s="4" t="n">
        <v>4</v>
      </c>
      <c r="C3536" s="4" t="inlineStr">
        <is>
          <t>elk</t>
        </is>
      </c>
      <c r="D3536" s="4" t="n">
        <v>2014</v>
      </c>
      <c r="E3536" s="13" t="inlineStr">
        <is>
          <t>General</t>
        </is>
      </c>
      <c r="F3536" s="5" t="n">
        <v>1332</v>
      </c>
      <c r="G3536" s="5" t="n">
        <v>7985</v>
      </c>
      <c r="H3536" s="5" t="n">
        <v>296</v>
      </c>
      <c r="I3536" s="5" t="n">
        <v>125</v>
      </c>
      <c r="J3536" s="5" t="n">
        <v>145</v>
      </c>
      <c r="K3536" s="10">
        <f>IF(F3536&gt;0,H3536/F3536,"")</f>
        <v/>
      </c>
      <c r="L3536" s="16">
        <f>IF(AND(G3536&gt;0,H3536&gt;0),G3536/H3536,"")</f>
        <v/>
      </c>
    </row>
    <row r="3537">
      <c r="A3537" s="4" t="inlineStr">
        <is>
          <t>411</t>
        </is>
      </c>
      <c r="B3537" s="4" t="n">
        <v>4</v>
      </c>
      <c r="C3537" s="4" t="inlineStr">
        <is>
          <t>elk</t>
        </is>
      </c>
      <c r="D3537" s="4" t="n">
        <v>2015</v>
      </c>
      <c r="E3537" s="13" t="inlineStr">
        <is>
          <t>General</t>
        </is>
      </c>
      <c r="F3537" s="5" t="n">
        <v>1436</v>
      </c>
      <c r="G3537" s="5" t="n">
        <v>10461</v>
      </c>
      <c r="H3537" s="5" t="n">
        <v>336</v>
      </c>
      <c r="I3537" s="5" t="n">
        <v>166</v>
      </c>
      <c r="J3537" s="5" t="n">
        <v>147</v>
      </c>
      <c r="K3537" s="10">
        <f>IF(F3537&gt;0,H3537/F3537,"")</f>
        <v/>
      </c>
      <c r="L3537" s="16">
        <f>IF(AND(G3537&gt;0,H3537&gt;0),G3537/H3537,"")</f>
        <v/>
      </c>
    </row>
    <row r="3538">
      <c r="A3538" s="4" t="inlineStr">
        <is>
          <t>411</t>
        </is>
      </c>
      <c r="B3538" s="4" t="n">
        <v>4</v>
      </c>
      <c r="C3538" s="4" t="inlineStr">
        <is>
          <t>elk</t>
        </is>
      </c>
      <c r="D3538" s="4" t="n">
        <v>2016</v>
      </c>
      <c r="E3538" s="13" t="inlineStr">
        <is>
          <t>General</t>
        </is>
      </c>
      <c r="F3538" s="5" t="n">
        <v>1680</v>
      </c>
      <c r="G3538" s="5" t="n">
        <v>10515</v>
      </c>
      <c r="H3538" s="5" t="n">
        <v>497</v>
      </c>
      <c r="I3538" s="5" t="n">
        <v>155</v>
      </c>
      <c r="J3538" s="5" t="n">
        <v>307</v>
      </c>
      <c r="K3538" s="10">
        <f>IF(F3538&gt;0,H3538/F3538,"")</f>
        <v/>
      </c>
      <c r="L3538" s="16">
        <f>IF(AND(G3538&gt;0,H3538&gt;0),G3538/H3538,"")</f>
        <v/>
      </c>
    </row>
    <row r="3539">
      <c r="A3539" s="4" t="inlineStr">
        <is>
          <t>411</t>
        </is>
      </c>
      <c r="B3539" s="4" t="n">
        <v>4</v>
      </c>
      <c r="C3539" s="4" t="inlineStr">
        <is>
          <t>elk</t>
        </is>
      </c>
      <c r="D3539" s="4" t="n">
        <v>2017</v>
      </c>
      <c r="E3539" s="13" t="inlineStr">
        <is>
          <t>General</t>
        </is>
      </c>
      <c r="F3539" s="5" t="n"/>
      <c r="G3539" s="5" t="n"/>
      <c r="H3539" s="5" t="n">
        <v>630</v>
      </c>
      <c r="I3539" s="5" t="n">
        <v>205</v>
      </c>
      <c r="J3539" s="5" t="n">
        <v>402</v>
      </c>
      <c r="K3539" s="10">
        <f>IF(F3539&gt;0,H3539/F3539,"")</f>
        <v/>
      </c>
      <c r="L3539" s="16">
        <f>IF(AND(G3539&gt;0,H3539&gt;0),G3539/H3539,"")</f>
        <v/>
      </c>
    </row>
    <row r="3540">
      <c r="A3540" s="4" t="inlineStr">
        <is>
          <t>411</t>
        </is>
      </c>
      <c r="B3540" s="4" t="n">
        <v>4</v>
      </c>
      <c r="C3540" s="4" t="inlineStr">
        <is>
          <t>elk</t>
        </is>
      </c>
      <c r="D3540" s="4" t="n">
        <v>2018</v>
      </c>
      <c r="E3540" s="13" t="inlineStr">
        <is>
          <t>General</t>
        </is>
      </c>
      <c r="F3540" s="5" t="n">
        <v>1849</v>
      </c>
      <c r="G3540" s="5" t="n">
        <v>12414</v>
      </c>
      <c r="H3540" s="5" t="n">
        <v>560</v>
      </c>
      <c r="I3540" s="5" t="n">
        <v>192</v>
      </c>
      <c r="J3540" s="5" t="n">
        <v>350</v>
      </c>
      <c r="K3540" s="10">
        <f>IF(F3540&gt;0,H3540/F3540,"")</f>
        <v/>
      </c>
      <c r="L3540" s="16">
        <f>IF(AND(G3540&gt;0,H3540&gt;0),G3540/H3540,"")</f>
        <v/>
      </c>
    </row>
    <row r="3541">
      <c r="A3541" s="4" t="inlineStr">
        <is>
          <t>411</t>
        </is>
      </c>
      <c r="B3541" s="4" t="n">
        <v>4</v>
      </c>
      <c r="C3541" s="4" t="inlineStr">
        <is>
          <t>elk</t>
        </is>
      </c>
      <c r="D3541" s="4" t="n">
        <v>2019</v>
      </c>
      <c r="E3541" s="13" t="inlineStr">
        <is>
          <t>General</t>
        </is>
      </c>
      <c r="F3541" s="5" t="n"/>
      <c r="G3541" s="5" t="n"/>
      <c r="H3541" s="5" t="n">
        <v>615</v>
      </c>
      <c r="I3541" s="5" t="n">
        <v>188</v>
      </c>
      <c r="J3541" s="5" t="n">
        <v>406</v>
      </c>
      <c r="K3541" s="10">
        <f>IF(F3541&gt;0,H3541/F3541,"")</f>
        <v/>
      </c>
      <c r="L3541" s="16">
        <f>IF(AND(G3541&gt;0,H3541&gt;0),G3541/H3541,"")</f>
        <v/>
      </c>
    </row>
    <row r="3542">
      <c r="A3542" s="4" t="inlineStr">
        <is>
          <t>411</t>
        </is>
      </c>
      <c r="B3542" s="4" t="n">
        <v>4</v>
      </c>
      <c r="C3542" s="4" t="inlineStr">
        <is>
          <t>elk</t>
        </is>
      </c>
      <c r="D3542" s="4" t="n">
        <v>2020</v>
      </c>
      <c r="E3542" s="13" t="inlineStr">
        <is>
          <t>General</t>
        </is>
      </c>
      <c r="F3542" s="5" t="n">
        <v>1976</v>
      </c>
      <c r="G3542" s="5" t="n">
        <v>13506</v>
      </c>
      <c r="H3542" s="5" t="n">
        <v>700</v>
      </c>
      <c r="I3542" s="5" t="n">
        <v>345</v>
      </c>
      <c r="J3542" s="5" t="n">
        <v>338</v>
      </c>
      <c r="K3542" s="10">
        <f>IF(F3542&gt;0,H3542/F3542,"")</f>
        <v/>
      </c>
      <c r="L3542" s="16">
        <f>IF(AND(G3542&gt;0,H3542&gt;0),G3542/H3542,"")</f>
        <v/>
      </c>
    </row>
    <row r="3543">
      <c r="A3543" s="4" t="inlineStr">
        <is>
          <t>411E</t>
        </is>
      </c>
      <c r="B3543" s="4" t="n">
        <v>4</v>
      </c>
      <c r="C3543" s="4" t="inlineStr">
        <is>
          <t>elk</t>
        </is>
      </c>
      <c r="D3543" s="4" t="n">
        <v>2021</v>
      </c>
      <c r="E3543" s="13" t="inlineStr">
        <is>
          <t>General</t>
        </is>
      </c>
      <c r="F3543" s="5" t="n"/>
      <c r="G3543" s="5" t="n"/>
      <c r="H3543" s="5" t="n">
        <v>348</v>
      </c>
      <c r="I3543" s="5" t="n">
        <v>125</v>
      </c>
      <c r="J3543" s="5" t="n">
        <v>212</v>
      </c>
      <c r="K3543" s="10">
        <f>IF(F3543&gt;0,H3543/F3543,"")</f>
        <v/>
      </c>
      <c r="L3543" s="16">
        <f>IF(AND(G3543&gt;0,H3543&gt;0),G3543/H3543,"")</f>
        <v/>
      </c>
    </row>
    <row r="3544">
      <c r="A3544" s="4" t="inlineStr">
        <is>
          <t>411E</t>
        </is>
      </c>
      <c r="B3544" s="4" t="n">
        <v>4</v>
      </c>
      <c r="C3544" s="4" t="inlineStr">
        <is>
          <t>elk</t>
        </is>
      </c>
      <c r="D3544" s="4" t="n">
        <v>2022</v>
      </c>
      <c r="E3544" s="13" t="inlineStr">
        <is>
          <t>General</t>
        </is>
      </c>
      <c r="F3544" s="5" t="n">
        <v>1350</v>
      </c>
      <c r="G3544" s="5" t="n">
        <v>9563</v>
      </c>
      <c r="H3544" s="5" t="n">
        <v>402</v>
      </c>
      <c r="I3544" s="5" t="n">
        <v>159</v>
      </c>
      <c r="J3544" s="5" t="n">
        <v>236</v>
      </c>
      <c r="K3544" s="10">
        <f>IF(F3544&gt;0,H3544/F3544,"")</f>
        <v/>
      </c>
      <c r="L3544" s="16">
        <f>IF(AND(G3544&gt;0,H3544&gt;0),G3544/H3544,"")</f>
        <v/>
      </c>
    </row>
    <row r="3545">
      <c r="A3545" s="4" t="inlineStr">
        <is>
          <t>411E</t>
        </is>
      </c>
      <c r="B3545" s="4" t="n">
        <v>4</v>
      </c>
      <c r="C3545" s="4" t="inlineStr">
        <is>
          <t>elk</t>
        </is>
      </c>
      <c r="D3545" s="4" t="n">
        <v>2023</v>
      </c>
      <c r="E3545" s="13" t="inlineStr">
        <is>
          <t>General</t>
        </is>
      </c>
      <c r="F3545" s="5" t="n"/>
      <c r="G3545" s="5" t="n"/>
      <c r="H3545" s="5" t="n">
        <v>523</v>
      </c>
      <c r="I3545" s="5" t="n">
        <v>181</v>
      </c>
      <c r="J3545" s="5" t="n">
        <v>334</v>
      </c>
      <c r="K3545" s="10">
        <f>IF(F3545&gt;0,H3545/F3545,"")</f>
        <v/>
      </c>
      <c r="L3545" s="16">
        <f>IF(AND(G3545&gt;0,H3545&gt;0),G3545/H3545,"")</f>
        <v/>
      </c>
    </row>
    <row r="3546">
      <c r="A3546" s="4" t="inlineStr">
        <is>
          <t>411E</t>
        </is>
      </c>
      <c r="B3546" s="4" t="n">
        <v>4</v>
      </c>
      <c r="C3546" s="4" t="inlineStr">
        <is>
          <t>elk</t>
        </is>
      </c>
      <c r="D3546" s="4" t="n">
        <v>2024</v>
      </c>
      <c r="E3546" s="13" t="inlineStr">
        <is>
          <t>General</t>
        </is>
      </c>
      <c r="F3546" s="5" t="n">
        <v>1381</v>
      </c>
      <c r="G3546" s="5" t="n">
        <v>10671</v>
      </c>
      <c r="H3546" s="5" t="n">
        <v>534</v>
      </c>
      <c r="I3546" s="5" t="n">
        <v>220</v>
      </c>
      <c r="J3546" s="5" t="n">
        <v>296</v>
      </c>
      <c r="K3546" s="10">
        <f>IF(F3546&gt;0,H3546/F3546,"")</f>
        <v/>
      </c>
      <c r="L3546" s="16">
        <f>IF(AND(G3546&gt;0,H3546&gt;0),G3546/H3546,"")</f>
        <v/>
      </c>
    </row>
    <row r="3547">
      <c r="A3547" s="4" t="inlineStr">
        <is>
          <t>411E</t>
        </is>
      </c>
      <c r="B3547" s="4" t="n">
        <v>4</v>
      </c>
      <c r="C3547" s="4" t="inlineStr">
        <is>
          <t>elk</t>
        </is>
      </c>
      <c r="D3547" s="4" t="n">
        <v>2025</v>
      </c>
      <c r="E3547" s="13" t="inlineStr">
        <is>
          <t>General</t>
        </is>
      </c>
      <c r="F3547" s="5" t="n"/>
      <c r="G3547" s="5" t="n"/>
      <c r="H3547" s="5" t="n">
        <v>525</v>
      </c>
      <c r="I3547" s="5" t="n">
        <v>332</v>
      </c>
      <c r="J3547" s="5" t="n">
        <v>189</v>
      </c>
      <c r="K3547" s="10">
        <f>IF(F3547&gt;0,H3547/F3547,"")</f>
        <v/>
      </c>
      <c r="L3547" s="16">
        <f>IF(AND(G3547&gt;0,H3547&gt;0),G3547/H3547,"")</f>
        <v/>
      </c>
    </row>
    <row r="3548">
      <c r="A3548" s="4" t="inlineStr">
        <is>
          <t>411W</t>
        </is>
      </c>
      <c r="B3548" s="4" t="n">
        <v>4</v>
      </c>
      <c r="C3548" s="4" t="inlineStr">
        <is>
          <t>elk</t>
        </is>
      </c>
      <c r="D3548" s="4" t="n">
        <v>2021</v>
      </c>
      <c r="E3548" s="13" t="inlineStr">
        <is>
          <t>General</t>
        </is>
      </c>
      <c r="F3548" s="5" t="n"/>
      <c r="G3548" s="5" t="n"/>
      <c r="H3548" s="5" t="n">
        <v>152</v>
      </c>
      <c r="I3548" s="5" t="n">
        <v>66</v>
      </c>
      <c r="J3548" s="5" t="n">
        <v>83</v>
      </c>
      <c r="K3548" s="10">
        <f>IF(F3548&gt;0,H3548/F3548,"")</f>
        <v/>
      </c>
      <c r="L3548" s="16">
        <f>IF(AND(G3548&gt;0,H3548&gt;0),G3548/H3548,"")</f>
        <v/>
      </c>
    </row>
    <row r="3549">
      <c r="A3549" s="4" t="inlineStr">
        <is>
          <t>411W</t>
        </is>
      </c>
      <c r="B3549" s="4" t="n">
        <v>4</v>
      </c>
      <c r="C3549" s="4" t="inlineStr">
        <is>
          <t>elk</t>
        </is>
      </c>
      <c r="D3549" s="4" t="n">
        <v>2022</v>
      </c>
      <c r="E3549" s="13" t="inlineStr">
        <is>
          <t>General</t>
        </is>
      </c>
      <c r="F3549" s="5" t="n">
        <v>953</v>
      </c>
      <c r="G3549" s="5" t="n">
        <v>6343</v>
      </c>
      <c r="H3549" s="5" t="n">
        <v>293</v>
      </c>
      <c r="I3549" s="5" t="n">
        <v>107</v>
      </c>
      <c r="J3549" s="5" t="n">
        <v>186</v>
      </c>
      <c r="K3549" s="10">
        <f>IF(F3549&gt;0,H3549/F3549,"")</f>
        <v/>
      </c>
      <c r="L3549" s="16">
        <f>IF(AND(G3549&gt;0,H3549&gt;0),G3549/H3549,"")</f>
        <v/>
      </c>
    </row>
    <row r="3550">
      <c r="A3550" s="4" t="inlineStr">
        <is>
          <t>411W</t>
        </is>
      </c>
      <c r="B3550" s="4" t="n">
        <v>4</v>
      </c>
      <c r="C3550" s="4" t="inlineStr">
        <is>
          <t>elk</t>
        </is>
      </c>
      <c r="D3550" s="4" t="n">
        <v>2023</v>
      </c>
      <c r="E3550" s="13" t="inlineStr">
        <is>
          <t>General</t>
        </is>
      </c>
      <c r="F3550" s="5" t="n"/>
      <c r="G3550" s="5" t="n"/>
      <c r="H3550" s="5" t="n">
        <v>323</v>
      </c>
      <c r="I3550" s="5" t="n">
        <v>117</v>
      </c>
      <c r="J3550" s="5" t="n">
        <v>194</v>
      </c>
      <c r="K3550" s="10">
        <f>IF(F3550&gt;0,H3550/F3550,"")</f>
        <v/>
      </c>
      <c r="L3550" s="16">
        <f>IF(AND(G3550&gt;0,H3550&gt;0),G3550/H3550,"")</f>
        <v/>
      </c>
    </row>
    <row r="3551">
      <c r="A3551" s="4" t="inlineStr">
        <is>
          <t>411W</t>
        </is>
      </c>
      <c r="B3551" s="4" t="n">
        <v>4</v>
      </c>
      <c r="C3551" s="4" t="inlineStr">
        <is>
          <t>elk</t>
        </is>
      </c>
      <c r="D3551" s="4" t="n">
        <v>2024</v>
      </c>
      <c r="E3551" s="13" t="inlineStr">
        <is>
          <t>General</t>
        </is>
      </c>
      <c r="F3551" s="5" t="n">
        <v>902</v>
      </c>
      <c r="G3551" s="5" t="n">
        <v>7285</v>
      </c>
      <c r="H3551" s="5" t="n">
        <v>355</v>
      </c>
      <c r="I3551" s="5" t="n">
        <v>156</v>
      </c>
      <c r="J3551" s="5" t="n">
        <v>196</v>
      </c>
      <c r="K3551" s="10">
        <f>IF(F3551&gt;0,H3551/F3551,"")</f>
        <v/>
      </c>
      <c r="L3551" s="16">
        <f>IF(AND(G3551&gt;0,H3551&gt;0),G3551/H3551,"")</f>
        <v/>
      </c>
    </row>
    <row r="3552">
      <c r="A3552" s="4" t="inlineStr">
        <is>
          <t>411W</t>
        </is>
      </c>
      <c r="B3552" s="4" t="n">
        <v>4</v>
      </c>
      <c r="C3552" s="4" t="inlineStr">
        <is>
          <t>elk</t>
        </is>
      </c>
      <c r="D3552" s="4" t="n">
        <v>2025</v>
      </c>
      <c r="E3552" s="13" t="inlineStr">
        <is>
          <t>General</t>
        </is>
      </c>
      <c r="F3552" s="5" t="n"/>
      <c r="G3552" s="5" t="n"/>
      <c r="H3552" s="5" t="n">
        <v>320</v>
      </c>
      <c r="I3552" s="5" t="n">
        <v>151</v>
      </c>
      <c r="J3552" s="5" t="n">
        <v>165</v>
      </c>
      <c r="K3552" s="10">
        <f>IF(F3552&gt;0,H3552/F3552,"")</f>
        <v/>
      </c>
      <c r="L3552" s="16">
        <f>IF(AND(G3552&gt;0,H3552&gt;0),G3552/H3552,"")</f>
        <v/>
      </c>
    </row>
    <row r="3553">
      <c r="A3553" s="4" t="inlineStr">
        <is>
          <t>412</t>
        </is>
      </c>
      <c r="B3553" s="4" t="n">
        <v>4</v>
      </c>
      <c r="C3553" s="4" t="inlineStr">
        <is>
          <t>elk</t>
        </is>
      </c>
      <c r="D3553" s="4" t="n">
        <v>2004</v>
      </c>
      <c r="E3553" s="13" t="inlineStr">
        <is>
          <t>General</t>
        </is>
      </c>
      <c r="F3553" s="5" t="n">
        <v>352</v>
      </c>
      <c r="G3553" s="5" t="n">
        <v>2187</v>
      </c>
      <c r="H3553" s="5" t="n">
        <v>84</v>
      </c>
      <c r="I3553" s="5" t="n">
        <v>34</v>
      </c>
      <c r="J3553" s="5" t="n">
        <v>37</v>
      </c>
      <c r="K3553" s="10">
        <f>IF(F3553&gt;0,H3553/F3553,"")</f>
        <v/>
      </c>
      <c r="L3553" s="16">
        <f>IF(AND(G3553&gt;0,H3553&gt;0),G3553/H3553,"")</f>
        <v/>
      </c>
    </row>
    <row r="3554">
      <c r="A3554" s="4" t="inlineStr">
        <is>
          <t>412</t>
        </is>
      </c>
      <c r="B3554" s="4" t="n">
        <v>4</v>
      </c>
      <c r="C3554" s="4" t="inlineStr">
        <is>
          <t>elk</t>
        </is>
      </c>
      <c r="D3554" s="4" t="n">
        <v>2005</v>
      </c>
      <c r="E3554" s="13" t="inlineStr">
        <is>
          <t>General</t>
        </is>
      </c>
      <c r="F3554" s="5" t="n">
        <v>331</v>
      </c>
      <c r="G3554" s="5" t="n">
        <v>1552</v>
      </c>
      <c r="H3554" s="5" t="n">
        <v>83</v>
      </c>
      <c r="I3554" s="5" t="n">
        <v>36</v>
      </c>
      <c r="J3554" s="5" t="n">
        <v>40</v>
      </c>
      <c r="K3554" s="10">
        <f>IF(F3554&gt;0,H3554/F3554,"")</f>
        <v/>
      </c>
      <c r="L3554" s="16">
        <f>IF(AND(G3554&gt;0,H3554&gt;0),G3554/H3554,"")</f>
        <v/>
      </c>
    </row>
    <row r="3555">
      <c r="A3555" s="4" t="inlineStr">
        <is>
          <t>412</t>
        </is>
      </c>
      <c r="B3555" s="4" t="n">
        <v>4</v>
      </c>
      <c r="C3555" s="4" t="inlineStr">
        <is>
          <t>elk</t>
        </is>
      </c>
      <c r="D3555" s="4" t="n">
        <v>2006</v>
      </c>
      <c r="E3555" s="13" t="inlineStr">
        <is>
          <t>General</t>
        </is>
      </c>
      <c r="F3555" s="5" t="n">
        <v>269</v>
      </c>
      <c r="G3555" s="5" t="n">
        <v>1412</v>
      </c>
      <c r="H3555" s="5" t="n">
        <v>71</v>
      </c>
      <c r="I3555" s="5" t="n">
        <v>45</v>
      </c>
      <c r="J3555" s="5" t="n">
        <v>21</v>
      </c>
      <c r="K3555" s="10">
        <f>IF(F3555&gt;0,H3555/F3555,"")</f>
        <v/>
      </c>
      <c r="L3555" s="16">
        <f>IF(AND(G3555&gt;0,H3555&gt;0),G3555/H3555,"")</f>
        <v/>
      </c>
    </row>
    <row r="3556">
      <c r="A3556" s="4" t="inlineStr">
        <is>
          <t>412</t>
        </is>
      </c>
      <c r="B3556" s="4" t="n">
        <v>4</v>
      </c>
      <c r="C3556" s="4" t="inlineStr">
        <is>
          <t>elk</t>
        </is>
      </c>
      <c r="D3556" s="4" t="n">
        <v>2007</v>
      </c>
      <c r="E3556" s="13" t="inlineStr">
        <is>
          <t>General</t>
        </is>
      </c>
      <c r="F3556" s="5" t="n">
        <v>344</v>
      </c>
      <c r="G3556" s="5" t="n">
        <v>2207</v>
      </c>
      <c r="H3556" s="5" t="n">
        <v>143</v>
      </c>
      <c r="I3556" s="5" t="n">
        <v>67</v>
      </c>
      <c r="J3556" s="5" t="n">
        <v>69</v>
      </c>
      <c r="K3556" s="10">
        <f>IF(F3556&gt;0,H3556/F3556,"")</f>
        <v/>
      </c>
      <c r="L3556" s="16">
        <f>IF(AND(G3556&gt;0,H3556&gt;0),G3556/H3556,"")</f>
        <v/>
      </c>
    </row>
    <row r="3557">
      <c r="A3557" s="4" t="inlineStr">
        <is>
          <t>412</t>
        </is>
      </c>
      <c r="B3557" s="4" t="n">
        <v>4</v>
      </c>
      <c r="C3557" s="4" t="inlineStr">
        <is>
          <t>elk</t>
        </is>
      </c>
      <c r="D3557" s="4" t="n">
        <v>2008</v>
      </c>
      <c r="E3557" s="13" t="inlineStr">
        <is>
          <t>General</t>
        </is>
      </c>
      <c r="F3557" s="5" t="n">
        <v>439</v>
      </c>
      <c r="G3557" s="5" t="n">
        <v>2479</v>
      </c>
      <c r="H3557" s="5" t="n">
        <v>90</v>
      </c>
      <c r="I3557" s="5" t="n">
        <v>50</v>
      </c>
      <c r="J3557" s="5" t="n">
        <v>37</v>
      </c>
      <c r="K3557" s="10">
        <f>IF(F3557&gt;0,H3557/F3557,"")</f>
        <v/>
      </c>
      <c r="L3557" s="16">
        <f>IF(AND(G3557&gt;0,H3557&gt;0),G3557/H3557,"")</f>
        <v/>
      </c>
    </row>
    <row r="3558">
      <c r="A3558" s="4" t="inlineStr">
        <is>
          <t>412</t>
        </is>
      </c>
      <c r="B3558" s="4" t="n">
        <v>4</v>
      </c>
      <c r="C3558" s="4" t="inlineStr">
        <is>
          <t>elk</t>
        </is>
      </c>
      <c r="D3558" s="4" t="n">
        <v>2009</v>
      </c>
      <c r="E3558" s="13" t="inlineStr">
        <is>
          <t>General</t>
        </is>
      </c>
      <c r="F3558" s="5" t="n">
        <v>409</v>
      </c>
      <c r="G3558" s="5" t="n">
        <v>2627</v>
      </c>
      <c r="H3558" s="5" t="n">
        <v>101</v>
      </c>
      <c r="I3558" s="5" t="n">
        <v>63</v>
      </c>
      <c r="J3558" s="5" t="n">
        <v>38</v>
      </c>
      <c r="K3558" s="10">
        <f>IF(F3558&gt;0,H3558/F3558,"")</f>
        <v/>
      </c>
      <c r="L3558" s="16">
        <f>IF(AND(G3558&gt;0,H3558&gt;0),G3558/H3558,"")</f>
        <v/>
      </c>
    </row>
    <row r="3559">
      <c r="A3559" s="4" t="inlineStr">
        <is>
          <t>412</t>
        </is>
      </c>
      <c r="B3559" s="4" t="n">
        <v>4</v>
      </c>
      <c r="C3559" s="4" t="inlineStr">
        <is>
          <t>elk</t>
        </is>
      </c>
      <c r="D3559" s="4" t="n">
        <v>2010</v>
      </c>
      <c r="E3559" s="13" t="inlineStr">
        <is>
          <t>General</t>
        </is>
      </c>
      <c r="F3559" s="5" t="n">
        <v>363</v>
      </c>
      <c r="G3559" s="5" t="n">
        <v>2241</v>
      </c>
      <c r="H3559" s="5" t="n">
        <v>139</v>
      </c>
      <c r="I3559" s="5" t="n">
        <v>58</v>
      </c>
      <c r="J3559" s="5" t="n">
        <v>71</v>
      </c>
      <c r="K3559" s="10">
        <f>IF(F3559&gt;0,H3559/F3559,"")</f>
        <v/>
      </c>
      <c r="L3559" s="16">
        <f>IF(AND(G3559&gt;0,H3559&gt;0),G3559/H3559,"")</f>
        <v/>
      </c>
    </row>
    <row r="3560">
      <c r="A3560" s="4" t="inlineStr">
        <is>
          <t>412</t>
        </is>
      </c>
      <c r="B3560" s="4" t="n">
        <v>4</v>
      </c>
      <c r="C3560" s="4" t="inlineStr">
        <is>
          <t>elk</t>
        </is>
      </c>
      <c r="D3560" s="4" t="n">
        <v>2011</v>
      </c>
      <c r="E3560" s="13" t="inlineStr">
        <is>
          <t>General</t>
        </is>
      </c>
      <c r="F3560" s="5" t="n">
        <v>430</v>
      </c>
      <c r="G3560" s="5" t="n">
        <v>4197</v>
      </c>
      <c r="H3560" s="5" t="n">
        <v>139</v>
      </c>
      <c r="I3560" s="5" t="n">
        <v>64</v>
      </c>
      <c r="J3560" s="5" t="n">
        <v>72</v>
      </c>
      <c r="K3560" s="10">
        <f>IF(F3560&gt;0,H3560/F3560,"")</f>
        <v/>
      </c>
      <c r="L3560" s="16">
        <f>IF(AND(G3560&gt;0,H3560&gt;0),G3560/H3560,"")</f>
        <v/>
      </c>
    </row>
    <row r="3561">
      <c r="A3561" s="4" t="inlineStr">
        <is>
          <t>412</t>
        </is>
      </c>
      <c r="B3561" s="4" t="n">
        <v>4</v>
      </c>
      <c r="C3561" s="4" t="inlineStr">
        <is>
          <t>elk</t>
        </is>
      </c>
      <c r="D3561" s="4" t="n">
        <v>2012</v>
      </c>
      <c r="E3561" s="13" t="inlineStr">
        <is>
          <t>General</t>
        </is>
      </c>
      <c r="F3561" s="5" t="n">
        <v>410</v>
      </c>
      <c r="G3561" s="5" t="n">
        <v>2737</v>
      </c>
      <c r="H3561" s="5" t="n">
        <v>110</v>
      </c>
      <c r="I3561" s="5" t="n">
        <v>55</v>
      </c>
      <c r="J3561" s="5" t="n">
        <v>50</v>
      </c>
      <c r="K3561" s="10">
        <f>IF(F3561&gt;0,H3561/F3561,"")</f>
        <v/>
      </c>
      <c r="L3561" s="16">
        <f>IF(AND(G3561&gt;0,H3561&gt;0),G3561/H3561,"")</f>
        <v/>
      </c>
    </row>
    <row r="3562">
      <c r="A3562" s="4" t="inlineStr">
        <is>
          <t>412</t>
        </is>
      </c>
      <c r="B3562" s="4" t="n">
        <v>4</v>
      </c>
      <c r="C3562" s="4" t="inlineStr">
        <is>
          <t>elk</t>
        </is>
      </c>
      <c r="D3562" s="4" t="n">
        <v>2013</v>
      </c>
      <c r="E3562" s="13" t="inlineStr">
        <is>
          <t>General</t>
        </is>
      </c>
      <c r="F3562" s="5" t="n"/>
      <c r="G3562" s="5" t="n"/>
      <c r="H3562" s="5" t="n">
        <v>170</v>
      </c>
      <c r="I3562" s="5" t="n">
        <v>53</v>
      </c>
      <c r="J3562" s="5" t="n">
        <v>108</v>
      </c>
      <c r="K3562" s="10">
        <f>IF(F3562&gt;0,H3562/F3562,"")</f>
        <v/>
      </c>
      <c r="L3562" s="16">
        <f>IF(AND(G3562&gt;0,H3562&gt;0),G3562/H3562,"")</f>
        <v/>
      </c>
    </row>
    <row r="3563">
      <c r="A3563" s="4" t="inlineStr">
        <is>
          <t>412</t>
        </is>
      </c>
      <c r="B3563" s="4" t="n">
        <v>4</v>
      </c>
      <c r="C3563" s="4" t="inlineStr">
        <is>
          <t>elk</t>
        </is>
      </c>
      <c r="D3563" s="4" t="n">
        <v>2014</v>
      </c>
      <c r="E3563" s="13" t="inlineStr">
        <is>
          <t>General</t>
        </is>
      </c>
      <c r="F3563" s="5" t="n">
        <v>607</v>
      </c>
      <c r="G3563" s="5" t="n">
        <v>3563</v>
      </c>
      <c r="H3563" s="5" t="n">
        <v>227</v>
      </c>
      <c r="I3563" s="5" t="n">
        <v>79</v>
      </c>
      <c r="J3563" s="5" t="n">
        <v>132</v>
      </c>
      <c r="K3563" s="10">
        <f>IF(F3563&gt;0,H3563/F3563,"")</f>
        <v/>
      </c>
      <c r="L3563" s="16">
        <f>IF(AND(G3563&gt;0,H3563&gt;0),G3563/H3563,"")</f>
        <v/>
      </c>
    </row>
    <row r="3564">
      <c r="A3564" s="4" t="inlineStr">
        <is>
          <t>412</t>
        </is>
      </c>
      <c r="B3564" s="4" t="n">
        <v>4</v>
      </c>
      <c r="C3564" s="4" t="inlineStr">
        <is>
          <t>elk</t>
        </is>
      </c>
      <c r="D3564" s="4" t="n">
        <v>2015</v>
      </c>
      <c r="E3564" s="13" t="inlineStr">
        <is>
          <t>General</t>
        </is>
      </c>
      <c r="F3564" s="5" t="n">
        <v>652</v>
      </c>
      <c r="G3564" s="5" t="n">
        <v>4395</v>
      </c>
      <c r="H3564" s="5" t="n">
        <v>207</v>
      </c>
      <c r="I3564" s="5" t="n">
        <v>52</v>
      </c>
      <c r="J3564" s="5" t="n">
        <v>137</v>
      </c>
      <c r="K3564" s="10">
        <f>IF(F3564&gt;0,H3564/F3564,"")</f>
        <v/>
      </c>
      <c r="L3564" s="16">
        <f>IF(AND(G3564&gt;0,H3564&gt;0),G3564/H3564,"")</f>
        <v/>
      </c>
    </row>
    <row r="3565">
      <c r="A3565" s="4" t="inlineStr">
        <is>
          <t>412</t>
        </is>
      </c>
      <c r="B3565" s="4" t="n">
        <v>4</v>
      </c>
      <c r="C3565" s="4" t="inlineStr">
        <is>
          <t>elk</t>
        </is>
      </c>
      <c r="D3565" s="4" t="n">
        <v>2016</v>
      </c>
      <c r="E3565" s="13" t="inlineStr">
        <is>
          <t>General</t>
        </is>
      </c>
      <c r="F3565" s="5" t="n">
        <v>570</v>
      </c>
      <c r="G3565" s="5" t="n">
        <v>3951</v>
      </c>
      <c r="H3565" s="5" t="n">
        <v>179</v>
      </c>
      <c r="I3565" s="5" t="n">
        <v>64</v>
      </c>
      <c r="J3565" s="5" t="n">
        <v>108</v>
      </c>
      <c r="K3565" s="10">
        <f>IF(F3565&gt;0,H3565/F3565,"")</f>
        <v/>
      </c>
      <c r="L3565" s="16">
        <f>IF(AND(G3565&gt;0,H3565&gt;0),G3565/H3565,"")</f>
        <v/>
      </c>
    </row>
    <row r="3566">
      <c r="A3566" s="4" t="inlineStr">
        <is>
          <t>412</t>
        </is>
      </c>
      <c r="B3566" s="4" t="n">
        <v>4</v>
      </c>
      <c r="C3566" s="4" t="inlineStr">
        <is>
          <t>elk</t>
        </is>
      </c>
      <c r="D3566" s="4" t="n">
        <v>2017</v>
      </c>
      <c r="E3566" s="13" t="inlineStr">
        <is>
          <t>General</t>
        </is>
      </c>
      <c r="F3566" s="5" t="n"/>
      <c r="G3566" s="5" t="n"/>
      <c r="H3566" s="5" t="n">
        <v>225</v>
      </c>
      <c r="I3566" s="5" t="n">
        <v>63</v>
      </c>
      <c r="J3566" s="5" t="n">
        <v>148</v>
      </c>
      <c r="K3566" s="10">
        <f>IF(F3566&gt;0,H3566/F3566,"")</f>
        <v/>
      </c>
      <c r="L3566" s="16">
        <f>IF(AND(G3566&gt;0,H3566&gt;0),G3566/H3566,"")</f>
        <v/>
      </c>
    </row>
    <row r="3567">
      <c r="A3567" s="4" t="inlineStr">
        <is>
          <t>412</t>
        </is>
      </c>
      <c r="B3567" s="4" t="n">
        <v>4</v>
      </c>
      <c r="C3567" s="4" t="inlineStr">
        <is>
          <t>elk</t>
        </is>
      </c>
      <c r="D3567" s="4" t="n">
        <v>2018</v>
      </c>
      <c r="E3567" s="13" t="inlineStr">
        <is>
          <t>General</t>
        </is>
      </c>
      <c r="F3567" s="5" t="n">
        <v>667</v>
      </c>
      <c r="G3567" s="5" t="n">
        <v>4351</v>
      </c>
      <c r="H3567" s="5" t="n">
        <v>206</v>
      </c>
      <c r="I3567" s="5" t="n">
        <v>72</v>
      </c>
      <c r="J3567" s="5" t="n">
        <v>128</v>
      </c>
      <c r="K3567" s="10">
        <f>IF(F3567&gt;0,H3567/F3567,"")</f>
        <v/>
      </c>
      <c r="L3567" s="16">
        <f>IF(AND(G3567&gt;0,H3567&gt;0),G3567/H3567,"")</f>
        <v/>
      </c>
    </row>
    <row r="3568">
      <c r="A3568" s="4" t="inlineStr">
        <is>
          <t>412</t>
        </is>
      </c>
      <c r="B3568" s="4" t="n">
        <v>4</v>
      </c>
      <c r="C3568" s="4" t="inlineStr">
        <is>
          <t>elk</t>
        </is>
      </c>
      <c r="D3568" s="4" t="n">
        <v>2019</v>
      </c>
      <c r="E3568" s="13" t="inlineStr">
        <is>
          <t>General</t>
        </is>
      </c>
      <c r="F3568" s="5" t="n"/>
      <c r="G3568" s="5" t="n"/>
      <c r="H3568" s="5" t="n">
        <v>208</v>
      </c>
      <c r="I3568" s="5" t="n">
        <v>83</v>
      </c>
      <c r="J3568" s="5" t="n">
        <v>117</v>
      </c>
      <c r="K3568" s="10">
        <f>IF(F3568&gt;0,H3568/F3568,"")</f>
        <v/>
      </c>
      <c r="L3568" s="16">
        <f>IF(AND(G3568&gt;0,H3568&gt;0),G3568/H3568,"")</f>
        <v/>
      </c>
    </row>
    <row r="3569">
      <c r="A3569" s="4" t="inlineStr">
        <is>
          <t>412</t>
        </is>
      </c>
      <c r="B3569" s="4" t="n">
        <v>4</v>
      </c>
      <c r="C3569" s="4" t="inlineStr">
        <is>
          <t>elk</t>
        </is>
      </c>
      <c r="D3569" s="4" t="n">
        <v>2020</v>
      </c>
      <c r="E3569" s="13" t="inlineStr">
        <is>
          <t>General</t>
        </is>
      </c>
      <c r="F3569" s="5" t="n">
        <v>630</v>
      </c>
      <c r="G3569" s="5" t="n">
        <v>4548</v>
      </c>
      <c r="H3569" s="5" t="n">
        <v>175</v>
      </c>
      <c r="I3569" s="5" t="n">
        <v>95</v>
      </c>
      <c r="J3569" s="5" t="n">
        <v>79</v>
      </c>
      <c r="K3569" s="10">
        <f>IF(F3569&gt;0,H3569/F3569,"")</f>
        <v/>
      </c>
      <c r="L3569" s="16">
        <f>IF(AND(G3569&gt;0,H3569&gt;0),G3569/H3569,"")</f>
        <v/>
      </c>
    </row>
    <row r="3570">
      <c r="A3570" s="4" t="inlineStr">
        <is>
          <t>412</t>
        </is>
      </c>
      <c r="B3570" s="4" t="n">
        <v>4</v>
      </c>
      <c r="C3570" s="4" t="inlineStr">
        <is>
          <t>elk</t>
        </is>
      </c>
      <c r="D3570" s="4" t="n">
        <v>2021</v>
      </c>
      <c r="E3570" s="13" t="inlineStr">
        <is>
          <t>General</t>
        </is>
      </c>
      <c r="F3570" s="5" t="n"/>
      <c r="G3570" s="5" t="n"/>
      <c r="H3570" s="5" t="n">
        <v>160</v>
      </c>
      <c r="I3570" s="5" t="n">
        <v>78</v>
      </c>
      <c r="J3570" s="5" t="n">
        <v>82</v>
      </c>
      <c r="K3570" s="10">
        <f>IF(F3570&gt;0,H3570/F3570,"")</f>
        <v/>
      </c>
      <c r="L3570" s="16">
        <f>IF(AND(G3570&gt;0,H3570&gt;0),G3570/H3570,"")</f>
        <v/>
      </c>
    </row>
    <row r="3571">
      <c r="A3571" s="4" t="inlineStr">
        <is>
          <t>412</t>
        </is>
      </c>
      <c r="B3571" s="4" t="n">
        <v>4</v>
      </c>
      <c r="C3571" s="4" t="inlineStr">
        <is>
          <t>elk</t>
        </is>
      </c>
      <c r="D3571" s="4" t="n">
        <v>2022</v>
      </c>
      <c r="E3571" s="13" t="inlineStr">
        <is>
          <t>General</t>
        </is>
      </c>
      <c r="F3571" s="5" t="n">
        <v>643</v>
      </c>
      <c r="G3571" s="5" t="n">
        <v>3754</v>
      </c>
      <c r="H3571" s="5" t="n">
        <v>150</v>
      </c>
      <c r="I3571" s="5" t="n">
        <v>85</v>
      </c>
      <c r="J3571" s="5" t="n">
        <v>65</v>
      </c>
      <c r="K3571" s="10">
        <f>IF(F3571&gt;0,H3571/F3571,"")</f>
        <v/>
      </c>
      <c r="L3571" s="16">
        <f>IF(AND(G3571&gt;0,H3571&gt;0),G3571/H3571,"")</f>
        <v/>
      </c>
    </row>
    <row r="3572">
      <c r="A3572" s="4" t="inlineStr">
        <is>
          <t>412</t>
        </is>
      </c>
      <c r="B3572" s="4" t="n">
        <v>4</v>
      </c>
      <c r="C3572" s="4" t="inlineStr">
        <is>
          <t>elk</t>
        </is>
      </c>
      <c r="D3572" s="4" t="n">
        <v>2023</v>
      </c>
      <c r="E3572" s="13" t="inlineStr">
        <is>
          <t>General</t>
        </is>
      </c>
      <c r="F3572" s="5" t="n"/>
      <c r="G3572" s="5" t="n"/>
      <c r="H3572" s="5" t="n">
        <v>179</v>
      </c>
      <c r="I3572" s="5" t="n">
        <v>81</v>
      </c>
      <c r="J3572" s="5" t="n">
        <v>94</v>
      </c>
      <c r="K3572" s="10">
        <f>IF(F3572&gt;0,H3572/F3572,"")</f>
        <v/>
      </c>
      <c r="L3572" s="16">
        <f>IF(AND(G3572&gt;0,H3572&gt;0),G3572/H3572,"")</f>
        <v/>
      </c>
    </row>
    <row r="3573">
      <c r="A3573" s="4" t="inlineStr">
        <is>
          <t>412</t>
        </is>
      </c>
      <c r="B3573" s="4" t="n">
        <v>4</v>
      </c>
      <c r="C3573" s="4" t="inlineStr">
        <is>
          <t>elk</t>
        </is>
      </c>
      <c r="D3573" s="4" t="n">
        <v>2024</v>
      </c>
      <c r="E3573" s="13" t="inlineStr">
        <is>
          <t>General</t>
        </is>
      </c>
      <c r="F3573" s="5" t="n">
        <v>614</v>
      </c>
      <c r="G3573" s="5" t="n">
        <v>4376</v>
      </c>
      <c r="H3573" s="5" t="n">
        <v>186</v>
      </c>
      <c r="I3573" s="5" t="n">
        <v>107</v>
      </c>
      <c r="J3573" s="5" t="n">
        <v>76</v>
      </c>
      <c r="K3573" s="10">
        <f>IF(F3573&gt;0,H3573/F3573,"")</f>
        <v/>
      </c>
      <c r="L3573" s="16">
        <f>IF(AND(G3573&gt;0,H3573&gt;0),G3573/H3573,"")</f>
        <v/>
      </c>
    </row>
    <row r="3574">
      <c r="A3574" s="4" t="inlineStr">
        <is>
          <t>412</t>
        </is>
      </c>
      <c r="B3574" s="4" t="n">
        <v>4</v>
      </c>
      <c r="C3574" s="4" t="inlineStr">
        <is>
          <t>elk</t>
        </is>
      </c>
      <c r="D3574" s="4" t="n">
        <v>2025</v>
      </c>
      <c r="E3574" s="13" t="inlineStr">
        <is>
          <t>General</t>
        </is>
      </c>
      <c r="F3574" s="5" t="n"/>
      <c r="G3574" s="5" t="n"/>
      <c r="H3574" s="5" t="n">
        <v>253</v>
      </c>
      <c r="I3574" s="5" t="n">
        <v>117</v>
      </c>
      <c r="J3574" s="5" t="n">
        <v>129</v>
      </c>
      <c r="K3574" s="10">
        <f>IF(F3574&gt;0,H3574/F3574,"")</f>
        <v/>
      </c>
      <c r="L3574" s="16">
        <f>IF(AND(G3574&gt;0,H3574&gt;0),G3574/H3574,"")</f>
        <v/>
      </c>
    </row>
    <row r="3575">
      <c r="A3575" s="4" t="inlineStr">
        <is>
          <t>413</t>
        </is>
      </c>
      <c r="B3575" s="4" t="n">
        <v>4</v>
      </c>
      <c r="C3575" s="4" t="inlineStr">
        <is>
          <t>elk</t>
        </is>
      </c>
      <c r="D3575" s="4" t="n">
        <v>2004</v>
      </c>
      <c r="E3575" s="13" t="inlineStr">
        <is>
          <t>General</t>
        </is>
      </c>
      <c r="F3575" s="5" t="n">
        <v>1089</v>
      </c>
      <c r="G3575" s="5" t="n">
        <v>5308</v>
      </c>
      <c r="H3575" s="5" t="n">
        <v>110</v>
      </c>
      <c r="I3575" s="5" t="n">
        <v>65</v>
      </c>
      <c r="J3575" s="5" t="n">
        <v>37</v>
      </c>
      <c r="K3575" s="10">
        <f>IF(F3575&gt;0,H3575/F3575,"")</f>
        <v/>
      </c>
      <c r="L3575" s="16">
        <f>IF(AND(G3575&gt;0,H3575&gt;0),G3575/H3575,"")</f>
        <v/>
      </c>
    </row>
    <row r="3576">
      <c r="A3576" s="4" t="inlineStr">
        <is>
          <t>413</t>
        </is>
      </c>
      <c r="B3576" s="4" t="n">
        <v>4</v>
      </c>
      <c r="C3576" s="4" t="inlineStr">
        <is>
          <t>elk</t>
        </is>
      </c>
      <c r="D3576" s="4" t="n">
        <v>2005</v>
      </c>
      <c r="E3576" s="13" t="inlineStr">
        <is>
          <t>General</t>
        </is>
      </c>
      <c r="F3576" s="5" t="n">
        <v>845</v>
      </c>
      <c r="G3576" s="5" t="n">
        <v>4557</v>
      </c>
      <c r="H3576" s="5" t="n">
        <v>119</v>
      </c>
      <c r="I3576" s="5" t="n">
        <v>50</v>
      </c>
      <c r="J3576" s="5" t="n">
        <v>65</v>
      </c>
      <c r="K3576" s="10">
        <f>IF(F3576&gt;0,H3576/F3576,"")</f>
        <v/>
      </c>
      <c r="L3576" s="16">
        <f>IF(AND(G3576&gt;0,H3576&gt;0),G3576/H3576,"")</f>
        <v/>
      </c>
    </row>
    <row r="3577">
      <c r="A3577" s="4" t="inlineStr">
        <is>
          <t>413</t>
        </is>
      </c>
      <c r="B3577" s="4" t="n">
        <v>4</v>
      </c>
      <c r="C3577" s="4" t="inlineStr">
        <is>
          <t>elk</t>
        </is>
      </c>
      <c r="D3577" s="4" t="n">
        <v>2006</v>
      </c>
      <c r="E3577" s="13" t="inlineStr">
        <is>
          <t>General</t>
        </is>
      </c>
      <c r="F3577" s="5" t="n">
        <v>876</v>
      </c>
      <c r="G3577" s="5" t="n">
        <v>4425</v>
      </c>
      <c r="H3577" s="5" t="n">
        <v>97</v>
      </c>
      <c r="I3577" s="5" t="n">
        <v>47</v>
      </c>
      <c r="J3577" s="5" t="n">
        <v>42</v>
      </c>
      <c r="K3577" s="10">
        <f>IF(F3577&gt;0,H3577/F3577,"")</f>
        <v/>
      </c>
      <c r="L3577" s="16">
        <f>IF(AND(G3577&gt;0,H3577&gt;0),G3577/H3577,"")</f>
        <v/>
      </c>
    </row>
    <row r="3578">
      <c r="A3578" s="4" t="inlineStr">
        <is>
          <t>413</t>
        </is>
      </c>
      <c r="B3578" s="4" t="n">
        <v>4</v>
      </c>
      <c r="C3578" s="4" t="inlineStr">
        <is>
          <t>elk</t>
        </is>
      </c>
      <c r="D3578" s="4" t="n">
        <v>2007</v>
      </c>
      <c r="E3578" s="13" t="inlineStr">
        <is>
          <t>General</t>
        </is>
      </c>
      <c r="F3578" s="5" t="n">
        <v>1073</v>
      </c>
      <c r="G3578" s="5" t="n">
        <v>5806</v>
      </c>
      <c r="H3578" s="5" t="n">
        <v>251</v>
      </c>
      <c r="I3578" s="5" t="n">
        <v>135</v>
      </c>
      <c r="J3578" s="5" t="n">
        <v>88</v>
      </c>
      <c r="K3578" s="10">
        <f>IF(F3578&gt;0,H3578/F3578,"")</f>
        <v/>
      </c>
      <c r="L3578" s="16">
        <f>IF(AND(G3578&gt;0,H3578&gt;0),G3578/H3578,"")</f>
        <v/>
      </c>
    </row>
    <row r="3579">
      <c r="A3579" s="4" t="inlineStr">
        <is>
          <t>413</t>
        </is>
      </c>
      <c r="B3579" s="4" t="n">
        <v>4</v>
      </c>
      <c r="C3579" s="4" t="inlineStr">
        <is>
          <t>elk</t>
        </is>
      </c>
      <c r="D3579" s="4" t="n">
        <v>2008</v>
      </c>
      <c r="E3579" s="13" t="inlineStr">
        <is>
          <t>General</t>
        </is>
      </c>
      <c r="F3579" s="5" t="n">
        <v>1016</v>
      </c>
      <c r="G3579" s="5" t="n">
        <v>5731</v>
      </c>
      <c r="H3579" s="5" t="n">
        <v>162</v>
      </c>
      <c r="I3579" s="5" t="n">
        <v>79</v>
      </c>
      <c r="J3579" s="5" t="n">
        <v>73</v>
      </c>
      <c r="K3579" s="10">
        <f>IF(F3579&gt;0,H3579/F3579,"")</f>
        <v/>
      </c>
      <c r="L3579" s="16">
        <f>IF(AND(G3579&gt;0,H3579&gt;0),G3579/H3579,"")</f>
        <v/>
      </c>
    </row>
    <row r="3580">
      <c r="A3580" s="4" t="inlineStr">
        <is>
          <t>413</t>
        </is>
      </c>
      <c r="B3580" s="4" t="n">
        <v>4</v>
      </c>
      <c r="C3580" s="4" t="inlineStr">
        <is>
          <t>elk</t>
        </is>
      </c>
      <c r="D3580" s="4" t="n">
        <v>2009</v>
      </c>
      <c r="E3580" s="13" t="inlineStr">
        <is>
          <t>General</t>
        </is>
      </c>
      <c r="F3580" s="5" t="n">
        <v>806</v>
      </c>
      <c r="G3580" s="5" t="n">
        <v>4768</v>
      </c>
      <c r="H3580" s="5" t="n">
        <v>112</v>
      </c>
      <c r="I3580" s="5" t="n">
        <v>42</v>
      </c>
      <c r="J3580" s="5" t="n">
        <v>67</v>
      </c>
      <c r="K3580" s="10">
        <f>IF(F3580&gt;0,H3580/F3580,"")</f>
        <v/>
      </c>
      <c r="L3580" s="16">
        <f>IF(AND(G3580&gt;0,H3580&gt;0),G3580/H3580,"")</f>
        <v/>
      </c>
    </row>
    <row r="3581">
      <c r="A3581" s="4" t="inlineStr">
        <is>
          <t>413</t>
        </is>
      </c>
      <c r="B3581" s="4" t="n">
        <v>4</v>
      </c>
      <c r="C3581" s="4" t="inlineStr">
        <is>
          <t>elk</t>
        </is>
      </c>
      <c r="D3581" s="4" t="n">
        <v>2010</v>
      </c>
      <c r="E3581" s="13" t="inlineStr">
        <is>
          <t>General</t>
        </is>
      </c>
      <c r="F3581" s="5" t="n">
        <v>1031</v>
      </c>
      <c r="G3581" s="5" t="n">
        <v>5795</v>
      </c>
      <c r="H3581" s="5" t="n">
        <v>175</v>
      </c>
      <c r="I3581" s="5" t="n">
        <v>94</v>
      </c>
      <c r="J3581" s="5" t="n">
        <v>70</v>
      </c>
      <c r="K3581" s="10">
        <f>IF(F3581&gt;0,H3581/F3581,"")</f>
        <v/>
      </c>
      <c r="L3581" s="16">
        <f>IF(AND(G3581&gt;0,H3581&gt;0),G3581/H3581,"")</f>
        <v/>
      </c>
    </row>
    <row r="3582">
      <c r="A3582" s="4" t="inlineStr">
        <is>
          <t>413</t>
        </is>
      </c>
      <c r="B3582" s="4" t="n">
        <v>4</v>
      </c>
      <c r="C3582" s="4" t="inlineStr">
        <is>
          <t>elk</t>
        </is>
      </c>
      <c r="D3582" s="4" t="n">
        <v>2011</v>
      </c>
      <c r="E3582" s="13" t="inlineStr">
        <is>
          <t>General</t>
        </is>
      </c>
      <c r="F3582" s="5" t="n">
        <v>953</v>
      </c>
      <c r="G3582" s="5" t="n">
        <v>5374</v>
      </c>
      <c r="H3582" s="5" t="n">
        <v>123</v>
      </c>
      <c r="I3582" s="5" t="n">
        <v>61</v>
      </c>
      <c r="J3582" s="5" t="n">
        <v>54</v>
      </c>
      <c r="K3582" s="10">
        <f>IF(F3582&gt;0,H3582/F3582,"")</f>
        <v/>
      </c>
      <c r="L3582" s="16">
        <f>IF(AND(G3582&gt;0,H3582&gt;0),G3582/H3582,"")</f>
        <v/>
      </c>
    </row>
    <row r="3583">
      <c r="A3583" s="4" t="inlineStr">
        <is>
          <t>413</t>
        </is>
      </c>
      <c r="B3583" s="4" t="n">
        <v>4</v>
      </c>
      <c r="C3583" s="4" t="inlineStr">
        <is>
          <t>elk</t>
        </is>
      </c>
      <c r="D3583" s="4" t="n">
        <v>2012</v>
      </c>
      <c r="E3583" s="13" t="inlineStr">
        <is>
          <t>General</t>
        </is>
      </c>
      <c r="F3583" s="5" t="n">
        <v>1062</v>
      </c>
      <c r="G3583" s="5" t="n">
        <v>6167</v>
      </c>
      <c r="H3583" s="5" t="n">
        <v>140</v>
      </c>
      <c r="I3583" s="5" t="n">
        <v>78</v>
      </c>
      <c r="J3583" s="5" t="n">
        <v>54</v>
      </c>
      <c r="K3583" s="10">
        <f>IF(F3583&gt;0,H3583/F3583,"")</f>
        <v/>
      </c>
      <c r="L3583" s="16">
        <f>IF(AND(G3583&gt;0,H3583&gt;0),G3583/H3583,"")</f>
        <v/>
      </c>
    </row>
    <row r="3584">
      <c r="A3584" s="4" t="inlineStr">
        <is>
          <t>413</t>
        </is>
      </c>
      <c r="B3584" s="4" t="n">
        <v>4</v>
      </c>
      <c r="C3584" s="4" t="inlineStr">
        <is>
          <t>elk</t>
        </is>
      </c>
      <c r="D3584" s="4" t="n">
        <v>2013</v>
      </c>
      <c r="E3584" s="13" t="inlineStr">
        <is>
          <t>General</t>
        </is>
      </c>
      <c r="F3584" s="5" t="n"/>
      <c r="G3584" s="5" t="n"/>
      <c r="H3584" s="5" t="n">
        <v>132</v>
      </c>
      <c r="I3584" s="5" t="n">
        <v>59</v>
      </c>
      <c r="J3584" s="5" t="n">
        <v>68</v>
      </c>
      <c r="K3584" s="10">
        <f>IF(F3584&gt;0,H3584/F3584,"")</f>
        <v/>
      </c>
      <c r="L3584" s="16">
        <f>IF(AND(G3584&gt;0,H3584&gt;0),G3584/H3584,"")</f>
        <v/>
      </c>
    </row>
    <row r="3585">
      <c r="A3585" s="4" t="inlineStr">
        <is>
          <t>413</t>
        </is>
      </c>
      <c r="B3585" s="4" t="n">
        <v>4</v>
      </c>
      <c r="C3585" s="4" t="inlineStr">
        <is>
          <t>elk</t>
        </is>
      </c>
      <c r="D3585" s="4" t="n">
        <v>2014</v>
      </c>
      <c r="E3585" s="13" t="inlineStr">
        <is>
          <t>General</t>
        </is>
      </c>
      <c r="F3585" s="5" t="n">
        <v>1116</v>
      </c>
      <c r="G3585" s="5" t="n">
        <v>6547</v>
      </c>
      <c r="H3585" s="5" t="n">
        <v>170</v>
      </c>
      <c r="I3585" s="5" t="n">
        <v>93</v>
      </c>
      <c r="J3585" s="5" t="n">
        <v>71</v>
      </c>
      <c r="K3585" s="10">
        <f>IF(F3585&gt;0,H3585/F3585,"")</f>
        <v/>
      </c>
      <c r="L3585" s="16">
        <f>IF(AND(G3585&gt;0,H3585&gt;0),G3585/H3585,"")</f>
        <v/>
      </c>
    </row>
    <row r="3586">
      <c r="A3586" s="4" t="inlineStr">
        <is>
          <t>413</t>
        </is>
      </c>
      <c r="B3586" s="4" t="n">
        <v>4</v>
      </c>
      <c r="C3586" s="4" t="inlineStr">
        <is>
          <t>elk</t>
        </is>
      </c>
      <c r="D3586" s="4" t="n">
        <v>2015</v>
      </c>
      <c r="E3586" s="13" t="inlineStr">
        <is>
          <t>General</t>
        </is>
      </c>
      <c r="F3586" s="5" t="n">
        <v>1103</v>
      </c>
      <c r="G3586" s="5" t="n">
        <v>7255</v>
      </c>
      <c r="H3586" s="5" t="n">
        <v>172</v>
      </c>
      <c r="I3586" s="5" t="n">
        <v>85</v>
      </c>
      <c r="J3586" s="5" t="n">
        <v>78</v>
      </c>
      <c r="K3586" s="10">
        <f>IF(F3586&gt;0,H3586/F3586,"")</f>
        <v/>
      </c>
      <c r="L3586" s="16">
        <f>IF(AND(G3586&gt;0,H3586&gt;0),G3586/H3586,"")</f>
        <v/>
      </c>
    </row>
    <row r="3587">
      <c r="A3587" s="4" t="inlineStr">
        <is>
          <t>413</t>
        </is>
      </c>
      <c r="B3587" s="4" t="n">
        <v>4</v>
      </c>
      <c r="C3587" s="4" t="inlineStr">
        <is>
          <t>elk</t>
        </is>
      </c>
      <c r="D3587" s="4" t="n">
        <v>2016</v>
      </c>
      <c r="E3587" s="13" t="inlineStr">
        <is>
          <t>General</t>
        </is>
      </c>
      <c r="F3587" s="5" t="n">
        <v>1083</v>
      </c>
      <c r="G3587" s="5" t="n">
        <v>6672</v>
      </c>
      <c r="H3587" s="5" t="n">
        <v>138</v>
      </c>
      <c r="I3587" s="5" t="n">
        <v>76</v>
      </c>
      <c r="J3587" s="5" t="n">
        <v>56</v>
      </c>
      <c r="K3587" s="10">
        <f>IF(F3587&gt;0,H3587/F3587,"")</f>
        <v/>
      </c>
      <c r="L3587" s="16">
        <f>IF(AND(G3587&gt;0,H3587&gt;0),G3587/H3587,"")</f>
        <v/>
      </c>
    </row>
    <row r="3588">
      <c r="A3588" s="4" t="inlineStr">
        <is>
          <t>413</t>
        </is>
      </c>
      <c r="B3588" s="4" t="n">
        <v>4</v>
      </c>
      <c r="C3588" s="4" t="inlineStr">
        <is>
          <t>elk</t>
        </is>
      </c>
      <c r="D3588" s="4" t="n">
        <v>2017</v>
      </c>
      <c r="E3588" s="13" t="inlineStr">
        <is>
          <t>General</t>
        </is>
      </c>
      <c r="F3588" s="5" t="n"/>
      <c r="G3588" s="5" t="n"/>
      <c r="H3588" s="5" t="n">
        <v>146</v>
      </c>
      <c r="I3588" s="5" t="n">
        <v>103</v>
      </c>
      <c r="J3588" s="5" t="n">
        <v>40</v>
      </c>
      <c r="K3588" s="10">
        <f>IF(F3588&gt;0,H3588/F3588,"")</f>
        <v/>
      </c>
      <c r="L3588" s="16">
        <f>IF(AND(G3588&gt;0,H3588&gt;0),G3588/H3588,"")</f>
        <v/>
      </c>
    </row>
    <row r="3589">
      <c r="A3589" s="4" t="inlineStr">
        <is>
          <t>413</t>
        </is>
      </c>
      <c r="B3589" s="4" t="n">
        <v>4</v>
      </c>
      <c r="C3589" s="4" t="inlineStr">
        <is>
          <t>elk</t>
        </is>
      </c>
      <c r="D3589" s="4" t="n">
        <v>2018</v>
      </c>
      <c r="E3589" s="13" t="inlineStr">
        <is>
          <t>General</t>
        </is>
      </c>
      <c r="F3589" s="5" t="n">
        <v>1011</v>
      </c>
      <c r="G3589" s="5" t="n">
        <v>5701</v>
      </c>
      <c r="H3589" s="5" t="n">
        <v>164</v>
      </c>
      <c r="I3589" s="5" t="n">
        <v>91</v>
      </c>
      <c r="J3589" s="5" t="n">
        <v>71</v>
      </c>
      <c r="K3589" s="10">
        <f>IF(F3589&gt;0,H3589/F3589,"")</f>
        <v/>
      </c>
      <c r="L3589" s="16">
        <f>IF(AND(G3589&gt;0,H3589&gt;0),G3589/H3589,"")</f>
        <v/>
      </c>
    </row>
    <row r="3590">
      <c r="A3590" s="4" t="inlineStr">
        <is>
          <t>413</t>
        </is>
      </c>
      <c r="B3590" s="4" t="n">
        <v>4</v>
      </c>
      <c r="C3590" s="4" t="inlineStr">
        <is>
          <t>elk</t>
        </is>
      </c>
      <c r="D3590" s="4" t="n">
        <v>2019</v>
      </c>
      <c r="E3590" s="13" t="inlineStr">
        <is>
          <t>General</t>
        </is>
      </c>
      <c r="F3590" s="5" t="n"/>
      <c r="G3590" s="5" t="n"/>
      <c r="H3590" s="5" t="n">
        <v>132</v>
      </c>
      <c r="I3590" s="5" t="n">
        <v>47</v>
      </c>
      <c r="J3590" s="5" t="n">
        <v>75</v>
      </c>
      <c r="K3590" s="10">
        <f>IF(F3590&gt;0,H3590/F3590,"")</f>
        <v/>
      </c>
      <c r="L3590" s="16">
        <f>IF(AND(G3590&gt;0,H3590&gt;0),G3590/H3590,"")</f>
        <v/>
      </c>
    </row>
    <row r="3591">
      <c r="A3591" s="4" t="inlineStr">
        <is>
          <t>413</t>
        </is>
      </c>
      <c r="B3591" s="4" t="n">
        <v>4</v>
      </c>
      <c r="C3591" s="4" t="inlineStr">
        <is>
          <t>elk</t>
        </is>
      </c>
      <c r="D3591" s="4" t="n">
        <v>2020</v>
      </c>
      <c r="E3591" s="13" t="inlineStr">
        <is>
          <t>General</t>
        </is>
      </c>
      <c r="F3591" s="5" t="n">
        <v>908</v>
      </c>
      <c r="G3591" s="5" t="n">
        <v>5785</v>
      </c>
      <c r="H3591" s="5" t="n">
        <v>141</v>
      </c>
      <c r="I3591" s="5" t="n">
        <v>81</v>
      </c>
      <c r="J3591" s="5" t="n">
        <v>57</v>
      </c>
      <c r="K3591" s="10">
        <f>IF(F3591&gt;0,H3591/F3591,"")</f>
        <v/>
      </c>
      <c r="L3591" s="16">
        <f>IF(AND(G3591&gt;0,H3591&gt;0),G3591/H3591,"")</f>
        <v/>
      </c>
    </row>
    <row r="3592">
      <c r="A3592" s="4" t="inlineStr">
        <is>
          <t>413</t>
        </is>
      </c>
      <c r="B3592" s="4" t="n">
        <v>4</v>
      </c>
      <c r="C3592" s="4" t="inlineStr">
        <is>
          <t>elk</t>
        </is>
      </c>
      <c r="D3592" s="4" t="n">
        <v>2021</v>
      </c>
      <c r="E3592" s="13" t="inlineStr">
        <is>
          <t>General</t>
        </is>
      </c>
      <c r="F3592" s="5" t="n"/>
      <c r="G3592" s="5" t="n"/>
      <c r="H3592" s="5" t="n">
        <v>238</v>
      </c>
      <c r="I3592" s="5" t="n">
        <v>122</v>
      </c>
      <c r="J3592" s="5" t="n">
        <v>115</v>
      </c>
      <c r="K3592" s="10">
        <f>IF(F3592&gt;0,H3592/F3592,"")</f>
        <v/>
      </c>
      <c r="L3592" s="16">
        <f>IF(AND(G3592&gt;0,H3592&gt;0),G3592/H3592,"")</f>
        <v/>
      </c>
    </row>
    <row r="3593">
      <c r="A3593" s="4" t="inlineStr">
        <is>
          <t>413</t>
        </is>
      </c>
      <c r="B3593" s="4" t="n">
        <v>4</v>
      </c>
      <c r="C3593" s="4" t="inlineStr">
        <is>
          <t>elk</t>
        </is>
      </c>
      <c r="D3593" s="4" t="n">
        <v>2022</v>
      </c>
      <c r="E3593" s="13" t="inlineStr">
        <is>
          <t>General</t>
        </is>
      </c>
      <c r="F3593" s="5" t="n">
        <v>1789</v>
      </c>
      <c r="G3593" s="5" t="n">
        <v>11684</v>
      </c>
      <c r="H3593" s="5" t="n">
        <v>406</v>
      </c>
      <c r="I3593" s="5" t="n">
        <v>213</v>
      </c>
      <c r="J3593" s="5" t="n">
        <v>184</v>
      </c>
      <c r="K3593" s="10">
        <f>IF(F3593&gt;0,H3593/F3593,"")</f>
        <v/>
      </c>
      <c r="L3593" s="16">
        <f>IF(AND(G3593&gt;0,H3593&gt;0),G3593/H3593,"")</f>
        <v/>
      </c>
    </row>
    <row r="3594">
      <c r="A3594" s="4" t="inlineStr">
        <is>
          <t>413</t>
        </is>
      </c>
      <c r="B3594" s="4" t="n">
        <v>4</v>
      </c>
      <c r="C3594" s="4" t="inlineStr">
        <is>
          <t>elk</t>
        </is>
      </c>
      <c r="D3594" s="4" t="n">
        <v>2023</v>
      </c>
      <c r="E3594" s="13" t="inlineStr">
        <is>
          <t>General</t>
        </is>
      </c>
      <c r="F3594" s="5" t="n"/>
      <c r="G3594" s="5" t="n"/>
      <c r="H3594" s="5" t="n">
        <v>348</v>
      </c>
      <c r="I3594" s="5" t="n">
        <v>203</v>
      </c>
      <c r="J3594" s="5" t="n">
        <v>136</v>
      </c>
      <c r="K3594" s="10">
        <f>IF(F3594&gt;0,H3594/F3594,"")</f>
        <v/>
      </c>
      <c r="L3594" s="16">
        <f>IF(AND(G3594&gt;0,H3594&gt;0),G3594/H3594,"")</f>
        <v/>
      </c>
    </row>
    <row r="3595">
      <c r="A3595" s="4" t="inlineStr">
        <is>
          <t>413</t>
        </is>
      </c>
      <c r="B3595" s="4" t="n">
        <v>4</v>
      </c>
      <c r="C3595" s="4" t="inlineStr">
        <is>
          <t>elk</t>
        </is>
      </c>
      <c r="D3595" s="4" t="n">
        <v>2024</v>
      </c>
      <c r="E3595" s="13" t="inlineStr">
        <is>
          <t>General</t>
        </is>
      </c>
      <c r="F3595" s="5" t="n">
        <v>1994</v>
      </c>
      <c r="G3595" s="5" t="n">
        <v>15316</v>
      </c>
      <c r="H3595" s="5" t="n">
        <v>317</v>
      </c>
      <c r="I3595" s="5" t="n">
        <v>158</v>
      </c>
      <c r="J3595" s="5" t="n">
        <v>144</v>
      </c>
      <c r="K3595" s="10">
        <f>IF(F3595&gt;0,H3595/F3595,"")</f>
        <v/>
      </c>
      <c r="L3595" s="16">
        <f>IF(AND(G3595&gt;0,H3595&gt;0),G3595/H3595,"")</f>
        <v/>
      </c>
    </row>
    <row r="3596">
      <c r="A3596" s="4" t="inlineStr">
        <is>
          <t>413</t>
        </is>
      </c>
      <c r="B3596" s="4" t="n">
        <v>4</v>
      </c>
      <c r="C3596" s="4" t="inlineStr">
        <is>
          <t>elk</t>
        </is>
      </c>
      <c r="D3596" s="4" t="n">
        <v>2025</v>
      </c>
      <c r="E3596" s="13" t="inlineStr">
        <is>
          <t>General</t>
        </is>
      </c>
      <c r="F3596" s="5" t="n"/>
      <c r="G3596" s="5" t="n"/>
      <c r="H3596" s="5" t="n">
        <v>374</v>
      </c>
      <c r="I3596" s="5" t="n">
        <v>162</v>
      </c>
      <c r="J3596" s="5" t="n">
        <v>208</v>
      </c>
      <c r="K3596" s="10">
        <f>IF(F3596&gt;0,H3596/F3596,"")</f>
        <v/>
      </c>
      <c r="L3596" s="16">
        <f>IF(AND(G3596&gt;0,H3596&gt;0),G3596/H3596,"")</f>
        <v/>
      </c>
    </row>
    <row r="3597">
      <c r="A3597" s="4" t="inlineStr">
        <is>
          <t>415</t>
        </is>
      </c>
      <c r="B3597" s="4" t="n">
        <v>4</v>
      </c>
      <c r="C3597" s="4" t="inlineStr">
        <is>
          <t>elk</t>
        </is>
      </c>
      <c r="D3597" s="4" t="n">
        <v>2004</v>
      </c>
      <c r="E3597" s="13" t="inlineStr">
        <is>
          <t>General</t>
        </is>
      </c>
      <c r="F3597" s="5" t="n">
        <v>161</v>
      </c>
      <c r="G3597" s="5" t="n">
        <v>909</v>
      </c>
      <c r="H3597" s="5" t="n">
        <v>16</v>
      </c>
      <c r="I3597" s="5" t="n">
        <v>8</v>
      </c>
      <c r="J3597" s="5" t="n">
        <v>7</v>
      </c>
      <c r="K3597" s="10">
        <f>IF(F3597&gt;0,H3597/F3597,"")</f>
        <v/>
      </c>
      <c r="L3597" s="16">
        <f>IF(AND(G3597&gt;0,H3597&gt;0),G3597/H3597,"")</f>
        <v/>
      </c>
    </row>
    <row r="3598">
      <c r="A3598" s="4" t="inlineStr">
        <is>
          <t>415</t>
        </is>
      </c>
      <c r="B3598" s="4" t="n">
        <v>4</v>
      </c>
      <c r="C3598" s="4" t="inlineStr">
        <is>
          <t>elk</t>
        </is>
      </c>
      <c r="D3598" s="4" t="n">
        <v>2005</v>
      </c>
      <c r="E3598" s="13" t="inlineStr">
        <is>
          <t>General</t>
        </is>
      </c>
      <c r="F3598" s="5" t="n">
        <v>136</v>
      </c>
      <c r="G3598" s="5" t="n">
        <v>866</v>
      </c>
      <c r="H3598" s="5" t="n">
        <v>21</v>
      </c>
      <c r="I3598" s="5" t="n">
        <v>18</v>
      </c>
      <c r="J3598" s="5" t="n">
        <v>0</v>
      </c>
      <c r="K3598" s="10">
        <f>IF(F3598&gt;0,H3598/F3598,"")</f>
        <v/>
      </c>
      <c r="L3598" s="16">
        <f>IF(AND(G3598&gt;0,H3598&gt;0),G3598/H3598,"")</f>
        <v/>
      </c>
    </row>
    <row r="3599">
      <c r="A3599" s="4" t="inlineStr">
        <is>
          <t>415</t>
        </is>
      </c>
      <c r="B3599" s="4" t="n">
        <v>4</v>
      </c>
      <c r="C3599" s="4" t="inlineStr">
        <is>
          <t>elk</t>
        </is>
      </c>
      <c r="D3599" s="4" t="n">
        <v>2006</v>
      </c>
      <c r="E3599" s="13" t="inlineStr">
        <is>
          <t>General</t>
        </is>
      </c>
      <c r="F3599" s="5" t="n">
        <v>175</v>
      </c>
      <c r="G3599" s="5" t="n">
        <v>995</v>
      </c>
      <c r="H3599" s="5" t="n">
        <v>37</v>
      </c>
      <c r="I3599" s="5" t="n">
        <v>30</v>
      </c>
      <c r="J3599" s="5" t="n">
        <v>7</v>
      </c>
      <c r="K3599" s="10">
        <f>IF(F3599&gt;0,H3599/F3599,"")</f>
        <v/>
      </c>
      <c r="L3599" s="16">
        <f>IF(AND(G3599&gt;0,H3599&gt;0),G3599/H3599,"")</f>
        <v/>
      </c>
    </row>
    <row r="3600">
      <c r="A3600" s="4" t="inlineStr">
        <is>
          <t>415</t>
        </is>
      </c>
      <c r="B3600" s="4" t="n">
        <v>4</v>
      </c>
      <c r="C3600" s="4" t="inlineStr">
        <is>
          <t>elk</t>
        </is>
      </c>
      <c r="D3600" s="4" t="n">
        <v>2007</v>
      </c>
      <c r="E3600" s="13" t="inlineStr">
        <is>
          <t>General</t>
        </is>
      </c>
      <c r="F3600" s="5" t="n">
        <v>256</v>
      </c>
      <c r="G3600" s="5" t="n">
        <v>1497</v>
      </c>
      <c r="H3600" s="5" t="n">
        <v>36</v>
      </c>
      <c r="I3600" s="5" t="n">
        <v>22</v>
      </c>
      <c r="J3600" s="5" t="n">
        <v>13</v>
      </c>
      <c r="K3600" s="10">
        <f>IF(F3600&gt;0,H3600/F3600,"")</f>
        <v/>
      </c>
      <c r="L3600" s="16">
        <f>IF(AND(G3600&gt;0,H3600&gt;0),G3600/H3600,"")</f>
        <v/>
      </c>
    </row>
    <row r="3601">
      <c r="A3601" s="4" t="inlineStr">
        <is>
          <t>415</t>
        </is>
      </c>
      <c r="B3601" s="4" t="n">
        <v>4</v>
      </c>
      <c r="C3601" s="4" t="inlineStr">
        <is>
          <t>elk</t>
        </is>
      </c>
      <c r="D3601" s="4" t="n">
        <v>2008</v>
      </c>
      <c r="E3601" s="13" t="inlineStr">
        <is>
          <t>General</t>
        </is>
      </c>
      <c r="F3601" s="5" t="n">
        <v>199</v>
      </c>
      <c r="G3601" s="5" t="n">
        <v>1470</v>
      </c>
      <c r="H3601" s="5" t="n">
        <v>8</v>
      </c>
      <c r="I3601" s="5" t="n">
        <v>8</v>
      </c>
      <c r="J3601" s="5" t="n">
        <v>0</v>
      </c>
      <c r="K3601" s="10">
        <f>IF(F3601&gt;0,H3601/F3601,"")</f>
        <v/>
      </c>
      <c r="L3601" s="16">
        <f>IF(AND(G3601&gt;0,H3601&gt;0),G3601/H3601,"")</f>
        <v/>
      </c>
    </row>
    <row r="3602">
      <c r="A3602" s="4" t="inlineStr">
        <is>
          <t>415</t>
        </is>
      </c>
      <c r="B3602" s="4" t="n">
        <v>4</v>
      </c>
      <c r="C3602" s="4" t="inlineStr">
        <is>
          <t>elk</t>
        </is>
      </c>
      <c r="D3602" s="4" t="n">
        <v>2009</v>
      </c>
      <c r="E3602" s="13" t="inlineStr">
        <is>
          <t>General</t>
        </is>
      </c>
      <c r="F3602" s="5" t="n">
        <v>226</v>
      </c>
      <c r="G3602" s="5" t="n">
        <v>1240</v>
      </c>
      <c r="H3602" s="5" t="n">
        <v>33</v>
      </c>
      <c r="I3602" s="5" t="n">
        <v>18</v>
      </c>
      <c r="J3602" s="5" t="n">
        <v>15</v>
      </c>
      <c r="K3602" s="10">
        <f>IF(F3602&gt;0,H3602/F3602,"")</f>
        <v/>
      </c>
      <c r="L3602" s="16">
        <f>IF(AND(G3602&gt;0,H3602&gt;0),G3602/H3602,"")</f>
        <v/>
      </c>
    </row>
    <row r="3603">
      <c r="A3603" s="4" t="inlineStr">
        <is>
          <t>415</t>
        </is>
      </c>
      <c r="B3603" s="4" t="n">
        <v>4</v>
      </c>
      <c r="C3603" s="4" t="inlineStr">
        <is>
          <t>elk</t>
        </is>
      </c>
      <c r="D3603" s="4" t="n">
        <v>2010</v>
      </c>
      <c r="E3603" s="13" t="inlineStr">
        <is>
          <t>General</t>
        </is>
      </c>
      <c r="F3603" s="5" t="n">
        <v>176</v>
      </c>
      <c r="G3603" s="5" t="n">
        <v>1095</v>
      </c>
      <c r="H3603" s="5" t="n">
        <v>25</v>
      </c>
      <c r="I3603" s="5" t="n">
        <v>19</v>
      </c>
      <c r="J3603" s="5" t="n">
        <v>6</v>
      </c>
      <c r="K3603" s="10">
        <f>IF(F3603&gt;0,H3603/F3603,"")</f>
        <v/>
      </c>
      <c r="L3603" s="16">
        <f>IF(AND(G3603&gt;0,H3603&gt;0),G3603/H3603,"")</f>
        <v/>
      </c>
    </row>
    <row r="3604">
      <c r="A3604" s="4" t="inlineStr">
        <is>
          <t>415</t>
        </is>
      </c>
      <c r="B3604" s="4" t="n">
        <v>4</v>
      </c>
      <c r="C3604" s="4" t="inlineStr">
        <is>
          <t>elk</t>
        </is>
      </c>
      <c r="D3604" s="4" t="n">
        <v>2011</v>
      </c>
      <c r="E3604" s="13" t="inlineStr">
        <is>
          <t>General</t>
        </is>
      </c>
      <c r="F3604" s="5" t="n">
        <v>246</v>
      </c>
      <c r="G3604" s="5" t="n">
        <v>1538</v>
      </c>
      <c r="H3604" s="5" t="n">
        <v>25</v>
      </c>
      <c r="I3604" s="5" t="n">
        <v>8</v>
      </c>
      <c r="J3604" s="5" t="n">
        <v>17</v>
      </c>
      <c r="K3604" s="10">
        <f>IF(F3604&gt;0,H3604/F3604,"")</f>
        <v/>
      </c>
      <c r="L3604" s="16">
        <f>IF(AND(G3604&gt;0,H3604&gt;0),G3604/H3604,"")</f>
        <v/>
      </c>
    </row>
    <row r="3605">
      <c r="A3605" s="4" t="inlineStr">
        <is>
          <t>415</t>
        </is>
      </c>
      <c r="B3605" s="4" t="n">
        <v>4</v>
      </c>
      <c r="C3605" s="4" t="inlineStr">
        <is>
          <t>elk</t>
        </is>
      </c>
      <c r="D3605" s="4" t="n">
        <v>2012</v>
      </c>
      <c r="E3605" s="13" t="inlineStr">
        <is>
          <t>General</t>
        </is>
      </c>
      <c r="F3605" s="5" t="n">
        <v>195</v>
      </c>
      <c r="G3605" s="5" t="n">
        <v>1395</v>
      </c>
      <c r="H3605" s="5" t="n">
        <v>16</v>
      </c>
      <c r="I3605" s="5" t="n">
        <v>13</v>
      </c>
      <c r="J3605" s="5" t="n">
        <v>3</v>
      </c>
      <c r="K3605" s="10">
        <f>IF(F3605&gt;0,H3605/F3605,"")</f>
        <v/>
      </c>
      <c r="L3605" s="16">
        <f>IF(AND(G3605&gt;0,H3605&gt;0),G3605/H3605,"")</f>
        <v/>
      </c>
    </row>
    <row r="3606">
      <c r="A3606" s="4" t="inlineStr">
        <is>
          <t>415</t>
        </is>
      </c>
      <c r="B3606" s="4" t="n">
        <v>4</v>
      </c>
      <c r="C3606" s="4" t="inlineStr">
        <is>
          <t>elk</t>
        </is>
      </c>
      <c r="D3606" s="4" t="n">
        <v>2013</v>
      </c>
      <c r="E3606" s="13" t="inlineStr">
        <is>
          <t>General</t>
        </is>
      </c>
      <c r="F3606" s="5" t="n"/>
      <c r="G3606" s="5" t="n"/>
      <c r="H3606" s="5" t="n">
        <v>16</v>
      </c>
      <c r="I3606" s="5" t="n">
        <v>5</v>
      </c>
      <c r="J3606" s="5" t="n">
        <v>8</v>
      </c>
      <c r="K3606" s="10">
        <f>IF(F3606&gt;0,H3606/F3606,"")</f>
        <v/>
      </c>
      <c r="L3606" s="16">
        <f>IF(AND(G3606&gt;0,H3606&gt;0),G3606/H3606,"")</f>
        <v/>
      </c>
    </row>
    <row r="3607">
      <c r="A3607" s="4" t="inlineStr">
        <is>
          <t>415</t>
        </is>
      </c>
      <c r="B3607" s="4" t="n">
        <v>4</v>
      </c>
      <c r="C3607" s="4" t="inlineStr">
        <is>
          <t>elk</t>
        </is>
      </c>
      <c r="D3607" s="4" t="n">
        <v>2014</v>
      </c>
      <c r="E3607" s="13" t="inlineStr">
        <is>
          <t>General</t>
        </is>
      </c>
      <c r="F3607" s="5" t="n">
        <v>205</v>
      </c>
      <c r="G3607" s="5" t="n">
        <v>1285</v>
      </c>
      <c r="H3607" s="5" t="n">
        <v>23</v>
      </c>
      <c r="I3607" s="5" t="n">
        <v>11</v>
      </c>
      <c r="J3607" s="5" t="n">
        <v>11</v>
      </c>
      <c r="K3607" s="10">
        <f>IF(F3607&gt;0,H3607/F3607,"")</f>
        <v/>
      </c>
      <c r="L3607" s="16">
        <f>IF(AND(G3607&gt;0,H3607&gt;0),G3607/H3607,"")</f>
        <v/>
      </c>
    </row>
    <row r="3608">
      <c r="A3608" s="4" t="inlineStr">
        <is>
          <t>415</t>
        </is>
      </c>
      <c r="B3608" s="4" t="n">
        <v>4</v>
      </c>
      <c r="C3608" s="4" t="inlineStr">
        <is>
          <t>elk</t>
        </is>
      </c>
      <c r="D3608" s="4" t="n">
        <v>2015</v>
      </c>
      <c r="E3608" s="13" t="inlineStr">
        <is>
          <t>General</t>
        </is>
      </c>
      <c r="F3608" s="5" t="n">
        <v>187</v>
      </c>
      <c r="G3608" s="5" t="n">
        <v>1217</v>
      </c>
      <c r="H3608" s="5" t="n">
        <v>29</v>
      </c>
      <c r="I3608" s="5" t="n">
        <v>21</v>
      </c>
      <c r="J3608" s="5" t="n">
        <v>9</v>
      </c>
      <c r="K3608" s="10">
        <f>IF(F3608&gt;0,H3608/F3608,"")</f>
        <v/>
      </c>
      <c r="L3608" s="16">
        <f>IF(AND(G3608&gt;0,H3608&gt;0),G3608/H3608,"")</f>
        <v/>
      </c>
    </row>
    <row r="3609">
      <c r="A3609" s="4" t="inlineStr">
        <is>
          <t>415</t>
        </is>
      </c>
      <c r="B3609" s="4" t="n">
        <v>4</v>
      </c>
      <c r="C3609" s="4" t="inlineStr">
        <is>
          <t>elk</t>
        </is>
      </c>
      <c r="D3609" s="4" t="n">
        <v>2016</v>
      </c>
      <c r="E3609" s="13" t="inlineStr">
        <is>
          <t>General</t>
        </is>
      </c>
      <c r="F3609" s="5" t="n">
        <v>254</v>
      </c>
      <c r="G3609" s="5" t="n">
        <v>1727</v>
      </c>
      <c r="H3609" s="5" t="n">
        <v>22</v>
      </c>
      <c r="I3609" s="5" t="n">
        <v>6</v>
      </c>
      <c r="J3609" s="5" t="n">
        <v>16</v>
      </c>
      <c r="K3609" s="10">
        <f>IF(F3609&gt;0,H3609/F3609,"")</f>
        <v/>
      </c>
      <c r="L3609" s="16">
        <f>IF(AND(G3609&gt;0,H3609&gt;0),G3609/H3609,"")</f>
        <v/>
      </c>
    </row>
    <row r="3610">
      <c r="A3610" s="4" t="inlineStr">
        <is>
          <t>415</t>
        </is>
      </c>
      <c r="B3610" s="4" t="n">
        <v>4</v>
      </c>
      <c r="C3610" s="4" t="inlineStr">
        <is>
          <t>elk</t>
        </is>
      </c>
      <c r="D3610" s="4" t="n">
        <v>2017</v>
      </c>
      <c r="E3610" s="13" t="inlineStr">
        <is>
          <t>General</t>
        </is>
      </c>
      <c r="F3610" s="5" t="n"/>
      <c r="G3610" s="5" t="n"/>
      <c r="H3610" s="5" t="n">
        <v>34</v>
      </c>
      <c r="I3610" s="5" t="n">
        <v>20</v>
      </c>
      <c r="J3610" s="5" t="n">
        <v>11</v>
      </c>
      <c r="K3610" s="10">
        <f>IF(F3610&gt;0,H3610/F3610,"")</f>
        <v/>
      </c>
      <c r="L3610" s="16">
        <f>IF(AND(G3610&gt;0,H3610&gt;0),G3610/H3610,"")</f>
        <v/>
      </c>
    </row>
    <row r="3611">
      <c r="A3611" s="4" t="inlineStr">
        <is>
          <t>415</t>
        </is>
      </c>
      <c r="B3611" s="4" t="n">
        <v>4</v>
      </c>
      <c r="C3611" s="4" t="inlineStr">
        <is>
          <t>elk</t>
        </is>
      </c>
      <c r="D3611" s="4" t="n">
        <v>2018</v>
      </c>
      <c r="E3611" s="13" t="inlineStr">
        <is>
          <t>General</t>
        </is>
      </c>
      <c r="F3611" s="5" t="n">
        <v>182</v>
      </c>
      <c r="G3611" s="5" t="n">
        <v>1306</v>
      </c>
      <c r="H3611" s="5" t="n">
        <v>25</v>
      </c>
      <c r="I3611" s="5" t="n">
        <v>6</v>
      </c>
      <c r="J3611" s="5" t="n">
        <v>16</v>
      </c>
      <c r="K3611" s="10">
        <f>IF(F3611&gt;0,H3611/F3611,"")</f>
        <v/>
      </c>
      <c r="L3611" s="16">
        <f>IF(AND(G3611&gt;0,H3611&gt;0),G3611/H3611,"")</f>
        <v/>
      </c>
    </row>
    <row r="3612">
      <c r="A3612" s="4" t="inlineStr">
        <is>
          <t>415</t>
        </is>
      </c>
      <c r="B3612" s="4" t="n">
        <v>4</v>
      </c>
      <c r="C3612" s="4" t="inlineStr">
        <is>
          <t>elk</t>
        </is>
      </c>
      <c r="D3612" s="4" t="n">
        <v>2019</v>
      </c>
      <c r="E3612" s="13" t="inlineStr">
        <is>
          <t>General</t>
        </is>
      </c>
      <c r="F3612" s="5" t="n"/>
      <c r="G3612" s="5" t="n"/>
      <c r="H3612" s="5" t="n">
        <v>32</v>
      </c>
      <c r="I3612" s="5" t="n">
        <v>3</v>
      </c>
      <c r="J3612" s="5" t="n">
        <v>26</v>
      </c>
      <c r="K3612" s="10">
        <f>IF(F3612&gt;0,H3612/F3612,"")</f>
        <v/>
      </c>
      <c r="L3612" s="16">
        <f>IF(AND(G3612&gt;0,H3612&gt;0),G3612/H3612,"")</f>
        <v/>
      </c>
    </row>
    <row r="3613">
      <c r="A3613" s="4" t="inlineStr">
        <is>
          <t>415</t>
        </is>
      </c>
      <c r="B3613" s="4" t="n">
        <v>4</v>
      </c>
      <c r="C3613" s="4" t="inlineStr">
        <is>
          <t>elk</t>
        </is>
      </c>
      <c r="D3613" s="4" t="n">
        <v>2020</v>
      </c>
      <c r="E3613" s="13" t="inlineStr">
        <is>
          <t>General</t>
        </is>
      </c>
      <c r="F3613" s="5" t="n">
        <v>162</v>
      </c>
      <c r="G3613" s="5" t="n">
        <v>960</v>
      </c>
      <c r="H3613" s="5" t="n">
        <v>11</v>
      </c>
      <c r="I3613" s="5" t="n">
        <v>0</v>
      </c>
      <c r="J3613" s="5" t="n">
        <v>11</v>
      </c>
      <c r="K3613" s="10">
        <f>IF(F3613&gt;0,H3613/F3613,"")</f>
        <v/>
      </c>
      <c r="L3613" s="16">
        <f>IF(AND(G3613&gt;0,H3613&gt;0),G3613/H3613,"")</f>
        <v/>
      </c>
    </row>
    <row r="3614">
      <c r="A3614" s="4" t="inlineStr">
        <is>
          <t>415</t>
        </is>
      </c>
      <c r="B3614" s="4" t="n">
        <v>4</v>
      </c>
      <c r="C3614" s="4" t="inlineStr">
        <is>
          <t>elk</t>
        </is>
      </c>
      <c r="D3614" s="4" t="n">
        <v>2021</v>
      </c>
      <c r="E3614" s="13" t="inlineStr">
        <is>
          <t>General</t>
        </is>
      </c>
      <c r="F3614" s="5" t="n"/>
      <c r="G3614" s="5" t="n"/>
      <c r="H3614" s="5" t="n">
        <v>11</v>
      </c>
      <c r="I3614" s="5" t="n">
        <v>0</v>
      </c>
      <c r="J3614" s="5" t="n">
        <v>11</v>
      </c>
      <c r="K3614" s="10">
        <f>IF(F3614&gt;0,H3614/F3614,"")</f>
        <v/>
      </c>
      <c r="L3614" s="16">
        <f>IF(AND(G3614&gt;0,H3614&gt;0),G3614/H3614,"")</f>
        <v/>
      </c>
    </row>
    <row r="3615">
      <c r="A3615" s="4" t="inlineStr">
        <is>
          <t>415</t>
        </is>
      </c>
      <c r="B3615" s="4" t="n">
        <v>4</v>
      </c>
      <c r="C3615" s="4" t="inlineStr">
        <is>
          <t>elk</t>
        </is>
      </c>
      <c r="D3615" s="4" t="n">
        <v>2022</v>
      </c>
      <c r="E3615" s="13" t="inlineStr">
        <is>
          <t>General</t>
        </is>
      </c>
      <c r="F3615" s="5" t="n">
        <v>164</v>
      </c>
      <c r="G3615" s="5" t="n">
        <v>1247</v>
      </c>
      <c r="H3615" s="5" t="n">
        <v>16</v>
      </c>
      <c r="I3615" s="5" t="n">
        <v>0</v>
      </c>
      <c r="J3615" s="5" t="n">
        <v>16</v>
      </c>
      <c r="K3615" s="10">
        <f>IF(F3615&gt;0,H3615/F3615,"")</f>
        <v/>
      </c>
      <c r="L3615" s="16">
        <f>IF(AND(G3615&gt;0,H3615&gt;0),G3615/H3615,"")</f>
        <v/>
      </c>
    </row>
    <row r="3616">
      <c r="A3616" s="4" t="inlineStr">
        <is>
          <t>415</t>
        </is>
      </c>
      <c r="B3616" s="4" t="n">
        <v>4</v>
      </c>
      <c r="C3616" s="4" t="inlineStr">
        <is>
          <t>elk</t>
        </is>
      </c>
      <c r="D3616" s="4" t="n">
        <v>2023</v>
      </c>
      <c r="E3616" s="13" t="inlineStr">
        <is>
          <t>General</t>
        </is>
      </c>
      <c r="F3616" s="5" t="n"/>
      <c r="G3616" s="5" t="n"/>
      <c r="H3616" s="5" t="n">
        <v>12</v>
      </c>
      <c r="I3616" s="5" t="n">
        <v>3</v>
      </c>
      <c r="J3616" s="5" t="n">
        <v>6</v>
      </c>
      <c r="K3616" s="10">
        <f>IF(F3616&gt;0,H3616/F3616,"")</f>
        <v/>
      </c>
      <c r="L3616" s="16">
        <f>IF(AND(G3616&gt;0,H3616&gt;0),G3616/H3616,"")</f>
        <v/>
      </c>
    </row>
    <row r="3617">
      <c r="A3617" s="4" t="inlineStr">
        <is>
          <t>415</t>
        </is>
      </c>
      <c r="B3617" s="4" t="n">
        <v>4</v>
      </c>
      <c r="C3617" s="4" t="inlineStr">
        <is>
          <t>elk</t>
        </is>
      </c>
      <c r="D3617" s="4" t="n">
        <v>2024</v>
      </c>
      <c r="E3617" s="13" t="inlineStr">
        <is>
          <t>General</t>
        </is>
      </c>
      <c r="F3617" s="5" t="n">
        <v>134</v>
      </c>
      <c r="G3617" s="5" t="n">
        <v>877</v>
      </c>
      <c r="H3617" s="5" t="n">
        <v>12</v>
      </c>
      <c r="I3617" s="5" t="n">
        <v>9</v>
      </c>
      <c r="J3617" s="5" t="n">
        <v>3</v>
      </c>
      <c r="K3617" s="10">
        <f>IF(F3617&gt;0,H3617/F3617,"")</f>
        <v/>
      </c>
      <c r="L3617" s="16">
        <f>IF(AND(G3617&gt;0,H3617&gt;0),G3617/H3617,"")</f>
        <v/>
      </c>
    </row>
    <row r="3618">
      <c r="A3618" s="4" t="inlineStr">
        <is>
          <t>415</t>
        </is>
      </c>
      <c r="B3618" s="4" t="n">
        <v>4</v>
      </c>
      <c r="C3618" s="4" t="inlineStr">
        <is>
          <t>elk</t>
        </is>
      </c>
      <c r="D3618" s="4" t="n">
        <v>2025</v>
      </c>
      <c r="E3618" s="13" t="inlineStr">
        <is>
          <t>General</t>
        </is>
      </c>
      <c r="F3618" s="5" t="n"/>
      <c r="G3618" s="5" t="n"/>
      <c r="H3618" s="5" t="n">
        <v>18</v>
      </c>
      <c r="I3618" s="5" t="n">
        <v>18</v>
      </c>
      <c r="J3618" s="5" t="n">
        <v>0</v>
      </c>
      <c r="K3618" s="10">
        <f>IF(F3618&gt;0,H3618/F3618,"")</f>
        <v/>
      </c>
      <c r="L3618" s="16">
        <f>IF(AND(G3618&gt;0,H3618&gt;0),G3618/H3618,"")</f>
        <v/>
      </c>
    </row>
    <row r="3619">
      <c r="A3619" s="4" t="inlineStr">
        <is>
          <t>416</t>
        </is>
      </c>
      <c r="B3619" s="4" t="n">
        <v>4</v>
      </c>
      <c r="C3619" s="4" t="inlineStr">
        <is>
          <t>elk</t>
        </is>
      </c>
      <c r="D3619" s="4" t="n">
        <v>2004</v>
      </c>
      <c r="E3619" s="13" t="inlineStr">
        <is>
          <t>General</t>
        </is>
      </c>
      <c r="F3619" s="5" t="n">
        <v>1400</v>
      </c>
      <c r="G3619" s="5" t="n">
        <v>7182</v>
      </c>
      <c r="H3619" s="5" t="n">
        <v>189</v>
      </c>
      <c r="I3619" s="5" t="n">
        <v>119</v>
      </c>
      <c r="J3619" s="5" t="n">
        <v>65</v>
      </c>
      <c r="K3619" s="10">
        <f>IF(F3619&gt;0,H3619/F3619,"")</f>
        <v/>
      </c>
      <c r="L3619" s="16">
        <f>IF(AND(G3619&gt;0,H3619&gt;0),G3619/H3619,"")</f>
        <v/>
      </c>
    </row>
    <row r="3620">
      <c r="A3620" s="4" t="inlineStr">
        <is>
          <t>416</t>
        </is>
      </c>
      <c r="B3620" s="4" t="n">
        <v>4</v>
      </c>
      <c r="C3620" s="4" t="inlineStr">
        <is>
          <t>elk</t>
        </is>
      </c>
      <c r="D3620" s="4" t="n">
        <v>2005</v>
      </c>
      <c r="E3620" s="13" t="inlineStr">
        <is>
          <t>General</t>
        </is>
      </c>
      <c r="F3620" s="5" t="n">
        <v>1360</v>
      </c>
      <c r="G3620" s="5" t="n">
        <v>7787</v>
      </c>
      <c r="H3620" s="5" t="n">
        <v>240</v>
      </c>
      <c r="I3620" s="5" t="n">
        <v>120</v>
      </c>
      <c r="J3620" s="5" t="n">
        <v>100</v>
      </c>
      <c r="K3620" s="10">
        <f>IF(F3620&gt;0,H3620/F3620,"")</f>
        <v/>
      </c>
      <c r="L3620" s="16">
        <f>IF(AND(G3620&gt;0,H3620&gt;0),G3620/H3620,"")</f>
        <v/>
      </c>
    </row>
    <row r="3621">
      <c r="A3621" s="4" t="inlineStr">
        <is>
          <t>416</t>
        </is>
      </c>
      <c r="B3621" s="4" t="n">
        <v>4</v>
      </c>
      <c r="C3621" s="4" t="inlineStr">
        <is>
          <t>elk</t>
        </is>
      </c>
      <c r="D3621" s="4" t="n">
        <v>2006</v>
      </c>
      <c r="E3621" s="13" t="inlineStr">
        <is>
          <t>General</t>
        </is>
      </c>
      <c r="F3621" s="5" t="n">
        <v>1302</v>
      </c>
      <c r="G3621" s="5" t="n">
        <v>6863</v>
      </c>
      <c r="H3621" s="5" t="n">
        <v>409</v>
      </c>
      <c r="I3621" s="5" t="n">
        <v>203</v>
      </c>
      <c r="J3621" s="5" t="n">
        <v>191</v>
      </c>
      <c r="K3621" s="10">
        <f>IF(F3621&gt;0,H3621/F3621,"")</f>
        <v/>
      </c>
      <c r="L3621" s="16">
        <f>IF(AND(G3621&gt;0,H3621&gt;0),G3621/H3621,"")</f>
        <v/>
      </c>
    </row>
    <row r="3622">
      <c r="A3622" s="4" t="inlineStr">
        <is>
          <t>416</t>
        </is>
      </c>
      <c r="B3622" s="4" t="n">
        <v>4</v>
      </c>
      <c r="C3622" s="4" t="inlineStr">
        <is>
          <t>elk</t>
        </is>
      </c>
      <c r="D3622" s="4" t="n">
        <v>2007</v>
      </c>
      <c r="E3622" s="13" t="inlineStr">
        <is>
          <t>General</t>
        </is>
      </c>
      <c r="F3622" s="5" t="n">
        <v>1608</v>
      </c>
      <c r="G3622" s="5" t="n">
        <v>8974</v>
      </c>
      <c r="H3622" s="5" t="n">
        <v>408</v>
      </c>
      <c r="I3622" s="5" t="n">
        <v>190</v>
      </c>
      <c r="J3622" s="5" t="n">
        <v>179</v>
      </c>
      <c r="K3622" s="10">
        <f>IF(F3622&gt;0,H3622/F3622,"")</f>
        <v/>
      </c>
      <c r="L3622" s="16">
        <f>IF(AND(G3622&gt;0,H3622&gt;0),G3622/H3622,"")</f>
        <v/>
      </c>
    </row>
    <row r="3623">
      <c r="A3623" s="4" t="inlineStr">
        <is>
          <t>416</t>
        </is>
      </c>
      <c r="B3623" s="4" t="n">
        <v>4</v>
      </c>
      <c r="C3623" s="4" t="inlineStr">
        <is>
          <t>elk</t>
        </is>
      </c>
      <c r="D3623" s="4" t="n">
        <v>2008</v>
      </c>
      <c r="E3623" s="13" t="inlineStr">
        <is>
          <t>General</t>
        </is>
      </c>
      <c r="F3623" s="5" t="n">
        <v>1663</v>
      </c>
      <c r="G3623" s="5" t="n">
        <v>8921</v>
      </c>
      <c r="H3623" s="5" t="n">
        <v>309</v>
      </c>
      <c r="I3623" s="5" t="n">
        <v>155</v>
      </c>
      <c r="J3623" s="5" t="n">
        <v>138</v>
      </c>
      <c r="K3623" s="10">
        <f>IF(F3623&gt;0,H3623/F3623,"")</f>
        <v/>
      </c>
      <c r="L3623" s="16">
        <f>IF(AND(G3623&gt;0,H3623&gt;0),G3623/H3623,"")</f>
        <v/>
      </c>
    </row>
    <row r="3624">
      <c r="A3624" s="4" t="inlineStr">
        <is>
          <t>416</t>
        </is>
      </c>
      <c r="B3624" s="4" t="n">
        <v>4</v>
      </c>
      <c r="C3624" s="4" t="inlineStr">
        <is>
          <t>elk</t>
        </is>
      </c>
      <c r="D3624" s="4" t="n">
        <v>2009</v>
      </c>
      <c r="E3624" s="13" t="inlineStr">
        <is>
          <t>General</t>
        </is>
      </c>
      <c r="F3624" s="5" t="n">
        <v>1565</v>
      </c>
      <c r="G3624" s="5" t="n">
        <v>8513</v>
      </c>
      <c r="H3624" s="5" t="n">
        <v>304</v>
      </c>
      <c r="I3624" s="5" t="n">
        <v>157</v>
      </c>
      <c r="J3624" s="5" t="n">
        <v>139</v>
      </c>
      <c r="K3624" s="10">
        <f>IF(F3624&gt;0,H3624/F3624,"")</f>
        <v/>
      </c>
      <c r="L3624" s="16">
        <f>IF(AND(G3624&gt;0,H3624&gt;0),G3624/H3624,"")</f>
        <v/>
      </c>
    </row>
    <row r="3625">
      <c r="A3625" s="4" t="inlineStr">
        <is>
          <t>416</t>
        </is>
      </c>
      <c r="B3625" s="4" t="n">
        <v>4</v>
      </c>
      <c r="C3625" s="4" t="inlineStr">
        <is>
          <t>elk</t>
        </is>
      </c>
      <c r="D3625" s="4" t="n">
        <v>2010</v>
      </c>
      <c r="E3625" s="13" t="inlineStr">
        <is>
          <t>General</t>
        </is>
      </c>
      <c r="F3625" s="5" t="n">
        <v>1618</v>
      </c>
      <c r="G3625" s="5" t="n">
        <v>9559</v>
      </c>
      <c r="H3625" s="5" t="n">
        <v>315</v>
      </c>
      <c r="I3625" s="5" t="n">
        <v>160</v>
      </c>
      <c r="J3625" s="5" t="n">
        <v>145</v>
      </c>
      <c r="K3625" s="10">
        <f>IF(F3625&gt;0,H3625/F3625,"")</f>
        <v/>
      </c>
      <c r="L3625" s="16">
        <f>IF(AND(G3625&gt;0,H3625&gt;0),G3625/H3625,"")</f>
        <v/>
      </c>
    </row>
    <row r="3626">
      <c r="A3626" s="4" t="inlineStr">
        <is>
          <t>416</t>
        </is>
      </c>
      <c r="B3626" s="4" t="n">
        <v>4</v>
      </c>
      <c r="C3626" s="4" t="inlineStr">
        <is>
          <t>elk</t>
        </is>
      </c>
      <c r="D3626" s="4" t="n">
        <v>2011</v>
      </c>
      <c r="E3626" s="13" t="inlineStr">
        <is>
          <t>General</t>
        </is>
      </c>
      <c r="F3626" s="5" t="n">
        <v>1742</v>
      </c>
      <c r="G3626" s="5" t="n">
        <v>9572</v>
      </c>
      <c r="H3626" s="5" t="n">
        <v>280</v>
      </c>
      <c r="I3626" s="5" t="n">
        <v>117</v>
      </c>
      <c r="J3626" s="5" t="n">
        <v>149</v>
      </c>
      <c r="K3626" s="10">
        <f>IF(F3626&gt;0,H3626/F3626,"")</f>
        <v/>
      </c>
      <c r="L3626" s="16">
        <f>IF(AND(G3626&gt;0,H3626&gt;0),G3626/H3626,"")</f>
        <v/>
      </c>
    </row>
    <row r="3627">
      <c r="A3627" s="4" t="inlineStr">
        <is>
          <t>416</t>
        </is>
      </c>
      <c r="B3627" s="4" t="n">
        <v>4</v>
      </c>
      <c r="C3627" s="4" t="inlineStr">
        <is>
          <t>elk</t>
        </is>
      </c>
      <c r="D3627" s="4" t="n">
        <v>2012</v>
      </c>
      <c r="E3627" s="13" t="inlineStr">
        <is>
          <t>General</t>
        </is>
      </c>
      <c r="F3627" s="5" t="n">
        <v>1986</v>
      </c>
      <c r="G3627" s="5" t="n">
        <v>12368</v>
      </c>
      <c r="H3627" s="5" t="n">
        <v>410</v>
      </c>
      <c r="I3627" s="5" t="n">
        <v>201</v>
      </c>
      <c r="J3627" s="5" t="n">
        <v>189</v>
      </c>
      <c r="K3627" s="10">
        <f>IF(F3627&gt;0,H3627/F3627,"")</f>
        <v/>
      </c>
      <c r="L3627" s="16">
        <f>IF(AND(G3627&gt;0,H3627&gt;0),G3627/H3627,"")</f>
        <v/>
      </c>
    </row>
    <row r="3628">
      <c r="A3628" s="4" t="inlineStr">
        <is>
          <t>416</t>
        </is>
      </c>
      <c r="B3628" s="4" t="n">
        <v>4</v>
      </c>
      <c r="C3628" s="4" t="inlineStr">
        <is>
          <t>elk</t>
        </is>
      </c>
      <c r="D3628" s="4" t="n">
        <v>2013</v>
      </c>
      <c r="E3628" s="13" t="inlineStr">
        <is>
          <t>General</t>
        </is>
      </c>
      <c r="F3628" s="5" t="n"/>
      <c r="G3628" s="5" t="n"/>
      <c r="H3628" s="5" t="n">
        <v>402</v>
      </c>
      <c r="I3628" s="5" t="n">
        <v>214</v>
      </c>
      <c r="J3628" s="5" t="n">
        <v>176</v>
      </c>
      <c r="K3628" s="10">
        <f>IF(F3628&gt;0,H3628/F3628,"")</f>
        <v/>
      </c>
      <c r="L3628" s="16">
        <f>IF(AND(G3628&gt;0,H3628&gt;0),G3628/H3628,"")</f>
        <v/>
      </c>
    </row>
    <row r="3629">
      <c r="A3629" s="4" t="inlineStr">
        <is>
          <t>416</t>
        </is>
      </c>
      <c r="B3629" s="4" t="n">
        <v>4</v>
      </c>
      <c r="C3629" s="4" t="inlineStr">
        <is>
          <t>elk</t>
        </is>
      </c>
      <c r="D3629" s="4" t="n">
        <v>2014</v>
      </c>
      <c r="E3629" s="13" t="inlineStr">
        <is>
          <t>General</t>
        </is>
      </c>
      <c r="F3629" s="5" t="n">
        <v>1790</v>
      </c>
      <c r="G3629" s="5" t="n">
        <v>10662</v>
      </c>
      <c r="H3629" s="5" t="n">
        <v>355</v>
      </c>
      <c r="I3629" s="5" t="n">
        <v>190</v>
      </c>
      <c r="J3629" s="5" t="n">
        <v>137</v>
      </c>
      <c r="K3629" s="10">
        <f>IF(F3629&gt;0,H3629/F3629,"")</f>
        <v/>
      </c>
      <c r="L3629" s="16">
        <f>IF(AND(G3629&gt;0,H3629&gt;0),G3629/H3629,"")</f>
        <v/>
      </c>
    </row>
    <row r="3630">
      <c r="A3630" s="4" t="inlineStr">
        <is>
          <t>416</t>
        </is>
      </c>
      <c r="B3630" s="4" t="n">
        <v>4</v>
      </c>
      <c r="C3630" s="4" t="inlineStr">
        <is>
          <t>elk</t>
        </is>
      </c>
      <c r="D3630" s="4" t="n">
        <v>2015</v>
      </c>
      <c r="E3630" s="13" t="inlineStr">
        <is>
          <t>General</t>
        </is>
      </c>
      <c r="F3630" s="5" t="n">
        <v>1667</v>
      </c>
      <c r="G3630" s="5" t="n">
        <v>10411</v>
      </c>
      <c r="H3630" s="5" t="n">
        <v>293</v>
      </c>
      <c r="I3630" s="5" t="n">
        <v>115</v>
      </c>
      <c r="J3630" s="5" t="n">
        <v>152</v>
      </c>
      <c r="K3630" s="10">
        <f>IF(F3630&gt;0,H3630/F3630,"")</f>
        <v/>
      </c>
      <c r="L3630" s="16">
        <f>IF(AND(G3630&gt;0,H3630&gt;0),G3630/H3630,"")</f>
        <v/>
      </c>
    </row>
    <row r="3631">
      <c r="A3631" s="4" t="inlineStr">
        <is>
          <t>416</t>
        </is>
      </c>
      <c r="B3631" s="4" t="n">
        <v>4</v>
      </c>
      <c r="C3631" s="4" t="inlineStr">
        <is>
          <t>elk</t>
        </is>
      </c>
      <c r="D3631" s="4" t="n">
        <v>2016</v>
      </c>
      <c r="E3631" s="13" t="inlineStr">
        <is>
          <t>General</t>
        </is>
      </c>
      <c r="F3631" s="5" t="n">
        <v>2055</v>
      </c>
      <c r="G3631" s="5" t="n">
        <v>13209</v>
      </c>
      <c r="H3631" s="5" t="n">
        <v>334</v>
      </c>
      <c r="I3631" s="5" t="n">
        <v>186</v>
      </c>
      <c r="J3631" s="5" t="n">
        <v>135</v>
      </c>
      <c r="K3631" s="10">
        <f>IF(F3631&gt;0,H3631/F3631,"")</f>
        <v/>
      </c>
      <c r="L3631" s="16">
        <f>IF(AND(G3631&gt;0,H3631&gt;0),G3631/H3631,"")</f>
        <v/>
      </c>
    </row>
    <row r="3632">
      <c r="A3632" s="4" t="inlineStr">
        <is>
          <t>416</t>
        </is>
      </c>
      <c r="B3632" s="4" t="n">
        <v>4</v>
      </c>
      <c r="C3632" s="4" t="inlineStr">
        <is>
          <t>elk</t>
        </is>
      </c>
      <c r="D3632" s="4" t="n">
        <v>2017</v>
      </c>
      <c r="E3632" s="13" t="inlineStr">
        <is>
          <t>General</t>
        </is>
      </c>
      <c r="F3632" s="5" t="n"/>
      <c r="G3632" s="5" t="n"/>
      <c r="H3632" s="5" t="n">
        <v>406</v>
      </c>
      <c r="I3632" s="5" t="n">
        <v>194</v>
      </c>
      <c r="J3632" s="5" t="n">
        <v>193</v>
      </c>
      <c r="K3632" s="10">
        <f>IF(F3632&gt;0,H3632/F3632,"")</f>
        <v/>
      </c>
      <c r="L3632" s="16">
        <f>IF(AND(G3632&gt;0,H3632&gt;0),G3632/H3632,"")</f>
        <v/>
      </c>
    </row>
    <row r="3633">
      <c r="A3633" s="4" t="inlineStr">
        <is>
          <t>416</t>
        </is>
      </c>
      <c r="B3633" s="4" t="n">
        <v>4</v>
      </c>
      <c r="C3633" s="4" t="inlineStr">
        <is>
          <t>elk</t>
        </is>
      </c>
      <c r="D3633" s="4" t="n">
        <v>2018</v>
      </c>
      <c r="E3633" s="13" t="inlineStr">
        <is>
          <t>General</t>
        </is>
      </c>
      <c r="F3633" s="5" t="n">
        <v>2089</v>
      </c>
      <c r="G3633" s="5" t="n">
        <v>12532</v>
      </c>
      <c r="H3633" s="5" t="n">
        <v>357</v>
      </c>
      <c r="I3633" s="5" t="n">
        <v>196</v>
      </c>
      <c r="J3633" s="5" t="n">
        <v>161</v>
      </c>
      <c r="K3633" s="10">
        <f>IF(F3633&gt;0,H3633/F3633,"")</f>
        <v/>
      </c>
      <c r="L3633" s="16">
        <f>IF(AND(G3633&gt;0,H3633&gt;0),G3633/H3633,"")</f>
        <v/>
      </c>
    </row>
    <row r="3634">
      <c r="A3634" s="4" t="inlineStr">
        <is>
          <t>416</t>
        </is>
      </c>
      <c r="B3634" s="4" t="n">
        <v>4</v>
      </c>
      <c r="C3634" s="4" t="inlineStr">
        <is>
          <t>elk</t>
        </is>
      </c>
      <c r="D3634" s="4" t="n">
        <v>2019</v>
      </c>
      <c r="E3634" s="13" t="inlineStr">
        <is>
          <t>General</t>
        </is>
      </c>
      <c r="F3634" s="5" t="n"/>
      <c r="G3634" s="5" t="n"/>
      <c r="H3634" s="5" t="n">
        <v>322</v>
      </c>
      <c r="I3634" s="5" t="n">
        <v>181</v>
      </c>
      <c r="J3634" s="5" t="n">
        <v>126</v>
      </c>
      <c r="K3634" s="10">
        <f>IF(F3634&gt;0,H3634/F3634,"")</f>
        <v/>
      </c>
      <c r="L3634" s="16">
        <f>IF(AND(G3634&gt;0,H3634&gt;0),G3634/H3634,"")</f>
        <v/>
      </c>
    </row>
    <row r="3635">
      <c r="A3635" s="4" t="inlineStr">
        <is>
          <t>416</t>
        </is>
      </c>
      <c r="B3635" s="4" t="n">
        <v>4</v>
      </c>
      <c r="C3635" s="4" t="inlineStr">
        <is>
          <t>elk</t>
        </is>
      </c>
      <c r="D3635" s="4" t="n">
        <v>2020</v>
      </c>
      <c r="E3635" s="13" t="inlineStr">
        <is>
          <t>General</t>
        </is>
      </c>
      <c r="F3635" s="5" t="n">
        <v>1629</v>
      </c>
      <c r="G3635" s="5" t="n">
        <v>10546</v>
      </c>
      <c r="H3635" s="5" t="n">
        <v>365</v>
      </c>
      <c r="I3635" s="5" t="n">
        <v>199</v>
      </c>
      <c r="J3635" s="5" t="n">
        <v>156</v>
      </c>
      <c r="K3635" s="10">
        <f>IF(F3635&gt;0,H3635/F3635,"")</f>
        <v/>
      </c>
      <c r="L3635" s="16">
        <f>IF(AND(G3635&gt;0,H3635&gt;0),G3635/H3635,"")</f>
        <v/>
      </c>
    </row>
    <row r="3636">
      <c r="A3636" s="4" t="inlineStr">
        <is>
          <t>416</t>
        </is>
      </c>
      <c r="B3636" s="4" t="n">
        <v>4</v>
      </c>
      <c r="C3636" s="4" t="inlineStr">
        <is>
          <t>elk</t>
        </is>
      </c>
      <c r="D3636" s="4" t="n">
        <v>2021</v>
      </c>
      <c r="E3636" s="13" t="inlineStr">
        <is>
          <t>General</t>
        </is>
      </c>
      <c r="F3636" s="5" t="n"/>
      <c r="G3636" s="5" t="n"/>
      <c r="H3636" s="5" t="n">
        <v>480</v>
      </c>
      <c r="I3636" s="5" t="n">
        <v>273</v>
      </c>
      <c r="J3636" s="5" t="n">
        <v>191</v>
      </c>
      <c r="K3636" s="10">
        <f>IF(F3636&gt;0,H3636/F3636,"")</f>
        <v/>
      </c>
      <c r="L3636" s="16">
        <f>IF(AND(G3636&gt;0,H3636&gt;0),G3636/H3636,"")</f>
        <v/>
      </c>
    </row>
    <row r="3637">
      <c r="A3637" s="4" t="inlineStr">
        <is>
          <t>416</t>
        </is>
      </c>
      <c r="B3637" s="4" t="n">
        <v>4</v>
      </c>
      <c r="C3637" s="4" t="inlineStr">
        <is>
          <t>elk</t>
        </is>
      </c>
      <c r="D3637" s="4" t="n">
        <v>2022</v>
      </c>
      <c r="E3637" s="13" t="inlineStr">
        <is>
          <t>General</t>
        </is>
      </c>
      <c r="F3637" s="5" t="n">
        <v>3081</v>
      </c>
      <c r="G3637" s="5" t="n">
        <v>19666</v>
      </c>
      <c r="H3637" s="5" t="n">
        <v>695</v>
      </c>
      <c r="I3637" s="5" t="n">
        <v>359</v>
      </c>
      <c r="J3637" s="5" t="n">
        <v>320</v>
      </c>
      <c r="K3637" s="10">
        <f>IF(F3637&gt;0,H3637/F3637,"")</f>
        <v/>
      </c>
      <c r="L3637" s="16">
        <f>IF(AND(G3637&gt;0,H3637&gt;0),G3637/H3637,"")</f>
        <v/>
      </c>
    </row>
    <row r="3638">
      <c r="A3638" s="4" t="inlineStr">
        <is>
          <t>416</t>
        </is>
      </c>
      <c r="B3638" s="4" t="n">
        <v>4</v>
      </c>
      <c r="C3638" s="4" t="inlineStr">
        <is>
          <t>elk</t>
        </is>
      </c>
      <c r="D3638" s="4" t="n">
        <v>2023</v>
      </c>
      <c r="E3638" s="13" t="inlineStr">
        <is>
          <t>General</t>
        </is>
      </c>
      <c r="F3638" s="5" t="n"/>
      <c r="G3638" s="5" t="n"/>
      <c r="H3638" s="5" t="n">
        <v>589</v>
      </c>
      <c r="I3638" s="5" t="n">
        <v>334</v>
      </c>
      <c r="J3638" s="5" t="n">
        <v>252</v>
      </c>
      <c r="K3638" s="10">
        <f>IF(F3638&gt;0,H3638/F3638,"")</f>
        <v/>
      </c>
      <c r="L3638" s="16">
        <f>IF(AND(G3638&gt;0,H3638&gt;0),G3638/H3638,"")</f>
        <v/>
      </c>
    </row>
    <row r="3639">
      <c r="A3639" s="4" t="inlineStr">
        <is>
          <t>416</t>
        </is>
      </c>
      <c r="B3639" s="4" t="n">
        <v>4</v>
      </c>
      <c r="C3639" s="4" t="inlineStr">
        <is>
          <t>elk</t>
        </is>
      </c>
      <c r="D3639" s="4" t="n">
        <v>2024</v>
      </c>
      <c r="E3639" s="13" t="inlineStr">
        <is>
          <t>General</t>
        </is>
      </c>
      <c r="F3639" s="5" t="n">
        <v>3284</v>
      </c>
      <c r="G3639" s="5" t="n">
        <v>23265</v>
      </c>
      <c r="H3639" s="5" t="n">
        <v>620</v>
      </c>
      <c r="I3639" s="5" t="n">
        <v>311</v>
      </c>
      <c r="J3639" s="5" t="n">
        <v>297</v>
      </c>
      <c r="K3639" s="10">
        <f>IF(F3639&gt;0,H3639/F3639,"")</f>
        <v/>
      </c>
      <c r="L3639" s="16">
        <f>IF(AND(G3639&gt;0,H3639&gt;0),G3639/H3639,"")</f>
        <v/>
      </c>
    </row>
    <row r="3640">
      <c r="A3640" s="4" t="inlineStr">
        <is>
          <t>416</t>
        </is>
      </c>
      <c r="B3640" s="4" t="n">
        <v>4</v>
      </c>
      <c r="C3640" s="4" t="inlineStr">
        <is>
          <t>elk</t>
        </is>
      </c>
      <c r="D3640" s="4" t="n">
        <v>2025</v>
      </c>
      <c r="E3640" s="13" t="inlineStr">
        <is>
          <t>General</t>
        </is>
      </c>
      <c r="F3640" s="5" t="n"/>
      <c r="G3640" s="5" t="n"/>
      <c r="H3640" s="5" t="n">
        <v>563</v>
      </c>
      <c r="I3640" s="5" t="n">
        <v>279</v>
      </c>
      <c r="J3640" s="5" t="n">
        <v>273</v>
      </c>
      <c r="K3640" s="10">
        <f>IF(F3640&gt;0,H3640/F3640,"")</f>
        <v/>
      </c>
      <c r="L3640" s="16">
        <f>IF(AND(G3640&gt;0,H3640&gt;0),G3640/H3640,"")</f>
        <v/>
      </c>
    </row>
    <row r="3641">
      <c r="A3641" s="4" t="inlineStr">
        <is>
          <t>417</t>
        </is>
      </c>
      <c r="B3641" s="4" t="n">
        <v>4</v>
      </c>
      <c r="C3641" s="4" t="inlineStr">
        <is>
          <t>elk</t>
        </is>
      </c>
      <c r="D3641" s="4" t="n">
        <v>2004</v>
      </c>
      <c r="E3641" s="15" t="inlineStr">
        <is>
          <t>Draw</t>
        </is>
      </c>
      <c r="F3641" s="5" t="n">
        <v>728</v>
      </c>
      <c r="G3641" s="5" t="n">
        <v>3984</v>
      </c>
      <c r="H3641" s="5" t="n">
        <v>225</v>
      </c>
      <c r="I3641" s="5" t="n">
        <v>87</v>
      </c>
      <c r="J3641" s="5" t="n">
        <v>128</v>
      </c>
      <c r="K3641" s="10">
        <f>IF(F3641&gt;0,H3641/F3641,"")</f>
        <v/>
      </c>
      <c r="L3641" s="16">
        <f>IF(AND(G3641&gt;0,H3641&gt;0),G3641/H3641,"")</f>
        <v/>
      </c>
    </row>
    <row r="3642">
      <c r="A3642" s="4" t="inlineStr">
        <is>
          <t>417</t>
        </is>
      </c>
      <c r="B3642" s="4" t="n">
        <v>4</v>
      </c>
      <c r="C3642" s="4" t="inlineStr">
        <is>
          <t>elk</t>
        </is>
      </c>
      <c r="D3642" s="4" t="n">
        <v>2005</v>
      </c>
      <c r="E3642" s="15" t="inlineStr">
        <is>
          <t>Draw</t>
        </is>
      </c>
      <c r="F3642" s="5" t="n">
        <v>776</v>
      </c>
      <c r="G3642" s="5" t="n">
        <v>4730</v>
      </c>
      <c r="H3642" s="5" t="n">
        <v>221</v>
      </c>
      <c r="I3642" s="5" t="n">
        <v>94</v>
      </c>
      <c r="J3642" s="5" t="n">
        <v>116</v>
      </c>
      <c r="K3642" s="10">
        <f>IF(F3642&gt;0,H3642/F3642,"")</f>
        <v/>
      </c>
      <c r="L3642" s="16">
        <f>IF(AND(G3642&gt;0,H3642&gt;0),G3642/H3642,"")</f>
        <v/>
      </c>
    </row>
    <row r="3643">
      <c r="A3643" s="4" t="inlineStr">
        <is>
          <t>417</t>
        </is>
      </c>
      <c r="B3643" s="4" t="n">
        <v>4</v>
      </c>
      <c r="C3643" s="4" t="inlineStr">
        <is>
          <t>elk</t>
        </is>
      </c>
      <c r="D3643" s="4" t="n">
        <v>2006</v>
      </c>
      <c r="E3643" s="15" t="inlineStr">
        <is>
          <t>Draw</t>
        </is>
      </c>
      <c r="F3643" s="5" t="n">
        <v>588</v>
      </c>
      <c r="G3643" s="5" t="n">
        <v>3388</v>
      </c>
      <c r="H3643" s="5" t="n">
        <v>154</v>
      </c>
      <c r="I3643" s="5" t="n">
        <v>78</v>
      </c>
      <c r="J3643" s="5" t="n">
        <v>69</v>
      </c>
      <c r="K3643" s="10">
        <f>IF(F3643&gt;0,H3643/F3643,"")</f>
        <v/>
      </c>
      <c r="L3643" s="16">
        <f>IF(AND(G3643&gt;0,H3643&gt;0),G3643/H3643,"")</f>
        <v/>
      </c>
    </row>
    <row r="3644">
      <c r="A3644" s="4" t="inlineStr">
        <is>
          <t>417</t>
        </is>
      </c>
      <c r="B3644" s="4" t="n">
        <v>4</v>
      </c>
      <c r="C3644" s="4" t="inlineStr">
        <is>
          <t>elk</t>
        </is>
      </c>
      <c r="D3644" s="4" t="n">
        <v>2007</v>
      </c>
      <c r="E3644" s="15" t="inlineStr">
        <is>
          <t>Draw</t>
        </is>
      </c>
      <c r="F3644" s="5" t="n">
        <v>691</v>
      </c>
      <c r="G3644" s="5" t="n">
        <v>5134</v>
      </c>
      <c r="H3644" s="5" t="n">
        <v>168</v>
      </c>
      <c r="I3644" s="5" t="n">
        <v>98</v>
      </c>
      <c r="J3644" s="5" t="n">
        <v>63</v>
      </c>
      <c r="K3644" s="10">
        <f>IF(F3644&gt;0,H3644/F3644,"")</f>
        <v/>
      </c>
      <c r="L3644" s="16">
        <f>IF(AND(G3644&gt;0,H3644&gt;0),G3644/H3644,"")</f>
        <v/>
      </c>
    </row>
    <row r="3645">
      <c r="A3645" s="4" t="inlineStr">
        <is>
          <t>417</t>
        </is>
      </c>
      <c r="B3645" s="4" t="n">
        <v>4</v>
      </c>
      <c r="C3645" s="4" t="inlineStr">
        <is>
          <t>elk</t>
        </is>
      </c>
      <c r="D3645" s="4" t="n">
        <v>2008</v>
      </c>
      <c r="E3645" s="15" t="inlineStr">
        <is>
          <t>Draw</t>
        </is>
      </c>
      <c r="F3645" s="5" t="n">
        <v>831</v>
      </c>
      <c r="G3645" s="5" t="n">
        <v>4757</v>
      </c>
      <c r="H3645" s="5" t="n">
        <v>190</v>
      </c>
      <c r="I3645" s="5" t="n">
        <v>69</v>
      </c>
      <c r="J3645" s="5" t="n">
        <v>111</v>
      </c>
      <c r="K3645" s="10">
        <f>IF(F3645&gt;0,H3645/F3645,"")</f>
        <v/>
      </c>
      <c r="L3645" s="16">
        <f>IF(AND(G3645&gt;0,H3645&gt;0),G3645/H3645,"")</f>
        <v/>
      </c>
    </row>
    <row r="3646">
      <c r="A3646" s="4" t="inlineStr">
        <is>
          <t>417</t>
        </is>
      </c>
      <c r="B3646" s="4" t="n">
        <v>4</v>
      </c>
      <c r="C3646" s="4" t="inlineStr">
        <is>
          <t>elk</t>
        </is>
      </c>
      <c r="D3646" s="4" t="n">
        <v>2009</v>
      </c>
      <c r="E3646" s="15" t="inlineStr">
        <is>
          <t>Draw</t>
        </is>
      </c>
      <c r="F3646" s="5" t="n">
        <v>683</v>
      </c>
      <c r="G3646" s="5" t="n">
        <v>4652</v>
      </c>
      <c r="H3646" s="5" t="n">
        <v>155</v>
      </c>
      <c r="I3646" s="5" t="n">
        <v>64</v>
      </c>
      <c r="J3646" s="5" t="n">
        <v>86</v>
      </c>
      <c r="K3646" s="10">
        <f>IF(F3646&gt;0,H3646/F3646,"")</f>
        <v/>
      </c>
      <c r="L3646" s="16">
        <f>IF(AND(G3646&gt;0,H3646&gt;0),G3646/H3646,"")</f>
        <v/>
      </c>
    </row>
    <row r="3647">
      <c r="A3647" s="4" t="inlineStr">
        <is>
          <t>417</t>
        </is>
      </c>
      <c r="B3647" s="4" t="n">
        <v>4</v>
      </c>
      <c r="C3647" s="4" t="inlineStr">
        <is>
          <t>elk</t>
        </is>
      </c>
      <c r="D3647" s="4" t="n">
        <v>2010</v>
      </c>
      <c r="E3647" s="15" t="inlineStr">
        <is>
          <t>Draw</t>
        </is>
      </c>
      <c r="F3647" s="5" t="n">
        <v>508</v>
      </c>
      <c r="G3647" s="5" t="n">
        <v>2939</v>
      </c>
      <c r="H3647" s="5" t="n">
        <v>102</v>
      </c>
      <c r="I3647" s="5" t="n">
        <v>42</v>
      </c>
      <c r="J3647" s="5" t="n">
        <v>57</v>
      </c>
      <c r="K3647" s="10">
        <f>IF(F3647&gt;0,H3647/F3647,"")</f>
        <v/>
      </c>
      <c r="L3647" s="16">
        <f>IF(AND(G3647&gt;0,H3647&gt;0),G3647/H3647,"")</f>
        <v/>
      </c>
    </row>
    <row r="3648">
      <c r="A3648" s="4" t="inlineStr">
        <is>
          <t>417</t>
        </is>
      </c>
      <c r="B3648" s="4" t="n">
        <v>4</v>
      </c>
      <c r="C3648" s="4" t="inlineStr">
        <is>
          <t>elk</t>
        </is>
      </c>
      <c r="D3648" s="4" t="n">
        <v>2011</v>
      </c>
      <c r="E3648" s="15" t="inlineStr">
        <is>
          <t>Draw</t>
        </is>
      </c>
      <c r="F3648" s="5" t="n">
        <v>579</v>
      </c>
      <c r="G3648" s="5" t="n">
        <v>3621</v>
      </c>
      <c r="H3648" s="5" t="n">
        <v>197</v>
      </c>
      <c r="I3648" s="5" t="n">
        <v>59</v>
      </c>
      <c r="J3648" s="5" t="n">
        <v>133</v>
      </c>
      <c r="K3648" s="10">
        <f>IF(F3648&gt;0,H3648/F3648,"")</f>
        <v/>
      </c>
      <c r="L3648" s="16">
        <f>IF(AND(G3648&gt;0,H3648&gt;0),G3648/H3648,"")</f>
        <v/>
      </c>
    </row>
    <row r="3649">
      <c r="A3649" s="4" t="inlineStr">
        <is>
          <t>417</t>
        </is>
      </c>
      <c r="B3649" s="4" t="n">
        <v>4</v>
      </c>
      <c r="C3649" s="4" t="inlineStr">
        <is>
          <t>elk</t>
        </is>
      </c>
      <c r="D3649" s="4" t="n">
        <v>2012</v>
      </c>
      <c r="E3649" s="15" t="inlineStr">
        <is>
          <t>Draw</t>
        </is>
      </c>
      <c r="F3649" s="5" t="n">
        <v>487</v>
      </c>
      <c r="G3649" s="5" t="n">
        <v>2912</v>
      </c>
      <c r="H3649" s="5" t="n">
        <v>105</v>
      </c>
      <c r="I3649" s="5" t="n">
        <v>45</v>
      </c>
      <c r="J3649" s="5" t="n">
        <v>52</v>
      </c>
      <c r="K3649" s="10">
        <f>IF(F3649&gt;0,H3649/F3649,"")</f>
        <v/>
      </c>
      <c r="L3649" s="16">
        <f>IF(AND(G3649&gt;0,H3649&gt;0),G3649/H3649,"")</f>
        <v/>
      </c>
    </row>
    <row r="3650">
      <c r="A3650" s="4" t="inlineStr">
        <is>
          <t>417</t>
        </is>
      </c>
      <c r="B3650" s="4" t="n">
        <v>4</v>
      </c>
      <c r="C3650" s="4" t="inlineStr">
        <is>
          <t>elk</t>
        </is>
      </c>
      <c r="D3650" s="4" t="n">
        <v>2013</v>
      </c>
      <c r="E3650" s="15" t="inlineStr">
        <is>
          <t>Draw</t>
        </is>
      </c>
      <c r="F3650" s="5" t="n"/>
      <c r="G3650" s="5" t="n"/>
      <c r="H3650" s="5" t="n">
        <v>123</v>
      </c>
      <c r="I3650" s="5" t="n">
        <v>49</v>
      </c>
      <c r="J3650" s="5" t="n">
        <v>68</v>
      </c>
      <c r="K3650" s="10">
        <f>IF(F3650&gt;0,H3650/F3650,"")</f>
        <v/>
      </c>
      <c r="L3650" s="16">
        <f>IF(AND(G3650&gt;0,H3650&gt;0),G3650/H3650,"")</f>
        <v/>
      </c>
    </row>
    <row r="3651">
      <c r="A3651" s="4" t="inlineStr">
        <is>
          <t>417</t>
        </is>
      </c>
      <c r="B3651" s="4" t="n">
        <v>4</v>
      </c>
      <c r="C3651" s="4" t="inlineStr">
        <is>
          <t>elk</t>
        </is>
      </c>
      <c r="D3651" s="4" t="n">
        <v>2014</v>
      </c>
      <c r="E3651" s="15" t="inlineStr">
        <is>
          <t>Draw</t>
        </is>
      </c>
      <c r="F3651" s="5" t="n">
        <v>674</v>
      </c>
      <c r="G3651" s="5" t="n">
        <v>4015</v>
      </c>
      <c r="H3651" s="5" t="n">
        <v>138</v>
      </c>
      <c r="I3651" s="5" t="n">
        <v>49</v>
      </c>
      <c r="J3651" s="5" t="n">
        <v>81</v>
      </c>
      <c r="K3651" s="10">
        <f>IF(F3651&gt;0,H3651/F3651,"")</f>
        <v/>
      </c>
      <c r="L3651" s="16">
        <f>IF(AND(G3651&gt;0,H3651&gt;0),G3651/H3651,"")</f>
        <v/>
      </c>
    </row>
    <row r="3652">
      <c r="A3652" s="4" t="inlineStr">
        <is>
          <t>417</t>
        </is>
      </c>
      <c r="B3652" s="4" t="n">
        <v>4</v>
      </c>
      <c r="C3652" s="4" t="inlineStr">
        <is>
          <t>elk</t>
        </is>
      </c>
      <c r="D3652" s="4" t="n">
        <v>2015</v>
      </c>
      <c r="E3652" s="15" t="inlineStr">
        <is>
          <t>Draw</t>
        </is>
      </c>
      <c r="F3652" s="5" t="n">
        <v>563</v>
      </c>
      <c r="G3652" s="5" t="n">
        <v>3575</v>
      </c>
      <c r="H3652" s="5" t="n">
        <v>155</v>
      </c>
      <c r="I3652" s="5" t="n">
        <v>50</v>
      </c>
      <c r="J3652" s="5" t="n">
        <v>94</v>
      </c>
      <c r="K3652" s="10">
        <f>IF(F3652&gt;0,H3652/F3652,"")</f>
        <v/>
      </c>
      <c r="L3652" s="16">
        <f>IF(AND(G3652&gt;0,H3652&gt;0),G3652/H3652,"")</f>
        <v/>
      </c>
    </row>
    <row r="3653">
      <c r="A3653" s="4" t="inlineStr">
        <is>
          <t>417</t>
        </is>
      </c>
      <c r="B3653" s="4" t="n">
        <v>4</v>
      </c>
      <c r="C3653" s="4" t="inlineStr">
        <is>
          <t>elk</t>
        </is>
      </c>
      <c r="D3653" s="4" t="n">
        <v>2016</v>
      </c>
      <c r="E3653" s="15" t="inlineStr">
        <is>
          <t>Draw</t>
        </is>
      </c>
      <c r="F3653" s="5" t="n">
        <v>634</v>
      </c>
      <c r="G3653" s="5" t="n">
        <v>3886</v>
      </c>
      <c r="H3653" s="5" t="n">
        <v>178</v>
      </c>
      <c r="I3653" s="5" t="n">
        <v>71</v>
      </c>
      <c r="J3653" s="5" t="n">
        <v>97</v>
      </c>
      <c r="K3653" s="10">
        <f>IF(F3653&gt;0,H3653/F3653,"")</f>
        <v/>
      </c>
      <c r="L3653" s="16">
        <f>IF(AND(G3653&gt;0,H3653&gt;0),G3653/H3653,"")</f>
        <v/>
      </c>
    </row>
    <row r="3654">
      <c r="A3654" s="4" t="inlineStr">
        <is>
          <t>417</t>
        </is>
      </c>
      <c r="B3654" s="4" t="n">
        <v>4</v>
      </c>
      <c r="C3654" s="4" t="inlineStr">
        <is>
          <t>elk</t>
        </is>
      </c>
      <c r="D3654" s="4" t="n">
        <v>2017</v>
      </c>
      <c r="E3654" s="15" t="inlineStr">
        <is>
          <t>Draw</t>
        </is>
      </c>
      <c r="F3654" s="5" t="n"/>
      <c r="G3654" s="5" t="n"/>
      <c r="H3654" s="5" t="n">
        <v>160</v>
      </c>
      <c r="I3654" s="5" t="n">
        <v>65</v>
      </c>
      <c r="J3654" s="5" t="n">
        <v>87</v>
      </c>
      <c r="K3654" s="10">
        <f>IF(F3654&gt;0,H3654/F3654,"")</f>
        <v/>
      </c>
      <c r="L3654" s="16">
        <f>IF(AND(G3654&gt;0,H3654&gt;0),G3654/H3654,"")</f>
        <v/>
      </c>
    </row>
    <row r="3655">
      <c r="A3655" s="4" t="inlineStr">
        <is>
          <t>417</t>
        </is>
      </c>
      <c r="B3655" s="4" t="n">
        <v>4</v>
      </c>
      <c r="C3655" s="4" t="inlineStr">
        <is>
          <t>elk</t>
        </is>
      </c>
      <c r="D3655" s="4" t="n">
        <v>2018</v>
      </c>
      <c r="E3655" s="15" t="inlineStr">
        <is>
          <t>Draw</t>
        </is>
      </c>
      <c r="F3655" s="5" t="n">
        <v>626</v>
      </c>
      <c r="G3655" s="5" t="n">
        <v>4131</v>
      </c>
      <c r="H3655" s="5" t="n">
        <v>206</v>
      </c>
      <c r="I3655" s="5" t="n">
        <v>85</v>
      </c>
      <c r="J3655" s="5" t="n">
        <v>112</v>
      </c>
      <c r="K3655" s="10">
        <f>IF(F3655&gt;0,H3655/F3655,"")</f>
        <v/>
      </c>
      <c r="L3655" s="16">
        <f>IF(AND(G3655&gt;0,H3655&gt;0),G3655/H3655,"")</f>
        <v/>
      </c>
    </row>
    <row r="3656">
      <c r="A3656" s="4" t="inlineStr">
        <is>
          <t>417</t>
        </is>
      </c>
      <c r="B3656" s="4" t="n">
        <v>4</v>
      </c>
      <c r="C3656" s="4" t="inlineStr">
        <is>
          <t>elk</t>
        </is>
      </c>
      <c r="D3656" s="4" t="n">
        <v>2019</v>
      </c>
      <c r="E3656" s="15" t="inlineStr">
        <is>
          <t>Draw</t>
        </is>
      </c>
      <c r="F3656" s="5" t="n"/>
      <c r="G3656" s="5" t="n"/>
      <c r="H3656" s="5" t="n">
        <v>231</v>
      </c>
      <c r="I3656" s="5" t="n">
        <v>82</v>
      </c>
      <c r="J3656" s="5" t="n">
        <v>134</v>
      </c>
      <c r="K3656" s="10">
        <f>IF(F3656&gt;0,H3656/F3656,"")</f>
        <v/>
      </c>
      <c r="L3656" s="16">
        <f>IF(AND(G3656&gt;0,H3656&gt;0),G3656/H3656,"")</f>
        <v/>
      </c>
    </row>
    <row r="3657">
      <c r="A3657" s="4" t="inlineStr">
        <is>
          <t>417</t>
        </is>
      </c>
      <c r="B3657" s="4" t="n">
        <v>4</v>
      </c>
      <c r="C3657" s="4" t="inlineStr">
        <is>
          <t>elk</t>
        </is>
      </c>
      <c r="D3657" s="4" t="n">
        <v>2020</v>
      </c>
      <c r="E3657" s="15" t="inlineStr">
        <is>
          <t>Draw</t>
        </is>
      </c>
      <c r="F3657" s="5" t="n">
        <v>811</v>
      </c>
      <c r="G3657" s="5" t="n">
        <v>5333</v>
      </c>
      <c r="H3657" s="5" t="n">
        <v>334</v>
      </c>
      <c r="I3657" s="5" t="n">
        <v>172</v>
      </c>
      <c r="J3657" s="5" t="n">
        <v>159</v>
      </c>
      <c r="K3657" s="10">
        <f>IF(F3657&gt;0,H3657/F3657,"")</f>
        <v/>
      </c>
      <c r="L3657" s="16">
        <f>IF(AND(G3657&gt;0,H3657&gt;0),G3657/H3657,"")</f>
        <v/>
      </c>
    </row>
    <row r="3658">
      <c r="A3658" s="4" t="inlineStr">
        <is>
          <t>417</t>
        </is>
      </c>
      <c r="B3658" s="4" t="n">
        <v>4</v>
      </c>
      <c r="C3658" s="4" t="inlineStr">
        <is>
          <t>elk</t>
        </is>
      </c>
      <c r="D3658" s="4" t="n">
        <v>2021</v>
      </c>
      <c r="E3658" s="15" t="inlineStr">
        <is>
          <t>Draw</t>
        </is>
      </c>
      <c r="F3658" s="5" t="n"/>
      <c r="G3658" s="5" t="n"/>
      <c r="H3658" s="5" t="n">
        <v>208</v>
      </c>
      <c r="I3658" s="5" t="n">
        <v>105</v>
      </c>
      <c r="J3658" s="5" t="n">
        <v>99</v>
      </c>
      <c r="K3658" s="10">
        <f>IF(F3658&gt;0,H3658/F3658,"")</f>
        <v/>
      </c>
      <c r="L3658" s="16">
        <f>IF(AND(G3658&gt;0,H3658&gt;0),G3658/H3658,"")</f>
        <v/>
      </c>
    </row>
    <row r="3659">
      <c r="A3659" s="4" t="inlineStr">
        <is>
          <t>417</t>
        </is>
      </c>
      <c r="B3659" s="4" t="n">
        <v>4</v>
      </c>
      <c r="C3659" s="4" t="inlineStr">
        <is>
          <t>elk</t>
        </is>
      </c>
      <c r="D3659" s="4" t="n">
        <v>2022</v>
      </c>
      <c r="E3659" s="15" t="inlineStr">
        <is>
          <t>Draw</t>
        </is>
      </c>
      <c r="F3659" s="5" t="n">
        <v>822</v>
      </c>
      <c r="G3659" s="5" t="n">
        <v>5685</v>
      </c>
      <c r="H3659" s="5" t="n">
        <v>278</v>
      </c>
      <c r="I3659" s="5" t="n">
        <v>161</v>
      </c>
      <c r="J3659" s="5" t="n">
        <v>114</v>
      </c>
      <c r="K3659" s="10">
        <f>IF(F3659&gt;0,H3659/F3659,"")</f>
        <v/>
      </c>
      <c r="L3659" s="16">
        <f>IF(AND(G3659&gt;0,H3659&gt;0),G3659/H3659,"")</f>
        <v/>
      </c>
    </row>
    <row r="3660">
      <c r="A3660" s="4" t="inlineStr">
        <is>
          <t>417</t>
        </is>
      </c>
      <c r="B3660" s="4" t="n">
        <v>4</v>
      </c>
      <c r="C3660" s="4" t="inlineStr">
        <is>
          <t>elk</t>
        </is>
      </c>
      <c r="D3660" s="4" t="n">
        <v>2023</v>
      </c>
      <c r="E3660" s="15" t="inlineStr">
        <is>
          <t>Draw</t>
        </is>
      </c>
      <c r="F3660" s="5" t="n"/>
      <c r="G3660" s="5" t="n"/>
      <c r="H3660" s="5" t="n">
        <v>245</v>
      </c>
      <c r="I3660" s="5" t="n">
        <v>105</v>
      </c>
      <c r="J3660" s="5" t="n">
        <v>134</v>
      </c>
      <c r="K3660" s="10">
        <f>IF(F3660&gt;0,H3660/F3660,"")</f>
        <v/>
      </c>
      <c r="L3660" s="16">
        <f>IF(AND(G3660&gt;0,H3660&gt;0),G3660/H3660,"")</f>
        <v/>
      </c>
    </row>
    <row r="3661">
      <c r="A3661" s="4" t="inlineStr">
        <is>
          <t>417</t>
        </is>
      </c>
      <c r="B3661" s="4" t="n">
        <v>4</v>
      </c>
      <c r="C3661" s="4" t="inlineStr">
        <is>
          <t>elk</t>
        </is>
      </c>
      <c r="D3661" s="4" t="n">
        <v>2024</v>
      </c>
      <c r="E3661" s="15" t="inlineStr">
        <is>
          <t>Draw</t>
        </is>
      </c>
      <c r="F3661" s="5" t="n">
        <v>662</v>
      </c>
      <c r="G3661" s="5" t="n">
        <v>4997</v>
      </c>
      <c r="H3661" s="5" t="n">
        <v>292</v>
      </c>
      <c r="I3661" s="5" t="n">
        <v>185</v>
      </c>
      <c r="J3661" s="5" t="n">
        <v>107</v>
      </c>
      <c r="K3661" s="10">
        <f>IF(F3661&gt;0,H3661/F3661,"")</f>
        <v/>
      </c>
      <c r="L3661" s="16">
        <f>IF(AND(G3661&gt;0,H3661&gt;0),G3661/H3661,"")</f>
        <v/>
      </c>
    </row>
    <row r="3662">
      <c r="A3662" s="4" t="inlineStr">
        <is>
          <t>417</t>
        </is>
      </c>
      <c r="B3662" s="4" t="n">
        <v>4</v>
      </c>
      <c r="C3662" s="4" t="inlineStr">
        <is>
          <t>elk</t>
        </is>
      </c>
      <c r="D3662" s="4" t="n">
        <v>2025</v>
      </c>
      <c r="E3662" s="15" t="inlineStr">
        <is>
          <t>Draw</t>
        </is>
      </c>
      <c r="F3662" s="5" t="n"/>
      <c r="G3662" s="5" t="n"/>
      <c r="H3662" s="5" t="n">
        <v>302</v>
      </c>
      <c r="I3662" s="5" t="n">
        <v>185</v>
      </c>
      <c r="J3662" s="5" t="n">
        <v>117</v>
      </c>
      <c r="K3662" s="10">
        <f>IF(F3662&gt;0,H3662/F3662,"")</f>
        <v/>
      </c>
      <c r="L3662" s="16">
        <f>IF(AND(G3662&gt;0,H3662&gt;0),G3662/H3662,"")</f>
        <v/>
      </c>
    </row>
    <row r="3663">
      <c r="A3663" s="4" t="inlineStr">
        <is>
          <t>418</t>
        </is>
      </c>
      <c r="B3663" s="4" t="n">
        <v>4</v>
      </c>
      <c r="C3663" s="4" t="inlineStr">
        <is>
          <t>elk</t>
        </is>
      </c>
      <c r="D3663" s="4" t="n">
        <v>2004</v>
      </c>
      <c r="E3663" s="13" t="inlineStr">
        <is>
          <t>General</t>
        </is>
      </c>
      <c r="F3663" s="5" t="n">
        <v>537</v>
      </c>
      <c r="G3663" s="5" t="n">
        <v>2518</v>
      </c>
      <c r="H3663" s="5" t="n">
        <v>53</v>
      </c>
      <c r="I3663" s="5" t="n">
        <v>23</v>
      </c>
      <c r="J3663" s="5" t="n">
        <v>28</v>
      </c>
      <c r="K3663" s="10">
        <f>IF(F3663&gt;0,H3663/F3663,"")</f>
        <v/>
      </c>
      <c r="L3663" s="16">
        <f>IF(AND(G3663&gt;0,H3663&gt;0),G3663/H3663,"")</f>
        <v/>
      </c>
    </row>
    <row r="3664">
      <c r="A3664" s="4" t="inlineStr">
        <is>
          <t>418</t>
        </is>
      </c>
      <c r="B3664" s="4" t="n">
        <v>4</v>
      </c>
      <c r="C3664" s="4" t="inlineStr">
        <is>
          <t>elk</t>
        </is>
      </c>
      <c r="D3664" s="4" t="n">
        <v>2005</v>
      </c>
      <c r="E3664" s="13" t="inlineStr">
        <is>
          <t>General</t>
        </is>
      </c>
      <c r="F3664" s="5" t="n">
        <v>622</v>
      </c>
      <c r="G3664" s="5" t="n">
        <v>3186</v>
      </c>
      <c r="H3664" s="5" t="n">
        <v>95</v>
      </c>
      <c r="I3664" s="5" t="n">
        <v>34</v>
      </c>
      <c r="J3664" s="5" t="n">
        <v>52</v>
      </c>
      <c r="K3664" s="10">
        <f>IF(F3664&gt;0,H3664/F3664,"")</f>
        <v/>
      </c>
      <c r="L3664" s="16">
        <f>IF(AND(G3664&gt;0,H3664&gt;0),G3664/H3664,"")</f>
        <v/>
      </c>
    </row>
    <row r="3665">
      <c r="A3665" s="4" t="inlineStr">
        <is>
          <t>418</t>
        </is>
      </c>
      <c r="B3665" s="4" t="n">
        <v>4</v>
      </c>
      <c r="C3665" s="4" t="inlineStr">
        <is>
          <t>elk</t>
        </is>
      </c>
      <c r="D3665" s="4" t="n">
        <v>2006</v>
      </c>
      <c r="E3665" s="13" t="inlineStr">
        <is>
          <t>General</t>
        </is>
      </c>
      <c r="F3665" s="5" t="n">
        <v>493</v>
      </c>
      <c r="G3665" s="5" t="n">
        <v>2387</v>
      </c>
      <c r="H3665" s="5" t="n">
        <v>68</v>
      </c>
      <c r="I3665" s="5" t="n">
        <v>33</v>
      </c>
      <c r="J3665" s="5" t="n">
        <v>35</v>
      </c>
      <c r="K3665" s="10">
        <f>IF(F3665&gt;0,H3665/F3665,"")</f>
        <v/>
      </c>
      <c r="L3665" s="16">
        <f>IF(AND(G3665&gt;0,H3665&gt;0),G3665/H3665,"")</f>
        <v/>
      </c>
    </row>
    <row r="3666">
      <c r="A3666" s="4" t="inlineStr">
        <is>
          <t>418</t>
        </is>
      </c>
      <c r="B3666" s="4" t="n">
        <v>4</v>
      </c>
      <c r="C3666" s="4" t="inlineStr">
        <is>
          <t>elk</t>
        </is>
      </c>
      <c r="D3666" s="4" t="n">
        <v>2007</v>
      </c>
      <c r="E3666" s="13" t="inlineStr">
        <is>
          <t>General</t>
        </is>
      </c>
      <c r="F3666" s="5" t="n">
        <v>568</v>
      </c>
      <c r="G3666" s="5" t="n">
        <v>3152</v>
      </c>
      <c r="H3666" s="5" t="n">
        <v>81</v>
      </c>
      <c r="I3666" s="5" t="n">
        <v>31</v>
      </c>
      <c r="J3666" s="5" t="n">
        <v>41</v>
      </c>
      <c r="K3666" s="10">
        <f>IF(F3666&gt;0,H3666/F3666,"")</f>
        <v/>
      </c>
      <c r="L3666" s="16">
        <f>IF(AND(G3666&gt;0,H3666&gt;0),G3666/H3666,"")</f>
        <v/>
      </c>
    </row>
    <row r="3667">
      <c r="A3667" s="4" t="inlineStr">
        <is>
          <t>418</t>
        </is>
      </c>
      <c r="B3667" s="4" t="n">
        <v>4</v>
      </c>
      <c r="C3667" s="4" t="inlineStr">
        <is>
          <t>elk</t>
        </is>
      </c>
      <c r="D3667" s="4" t="n">
        <v>2008</v>
      </c>
      <c r="E3667" s="13" t="inlineStr">
        <is>
          <t>General</t>
        </is>
      </c>
      <c r="F3667" s="5" t="n">
        <v>419</v>
      </c>
      <c r="G3667" s="5" t="n">
        <v>2036</v>
      </c>
      <c r="H3667" s="5" t="n">
        <v>53</v>
      </c>
      <c r="I3667" s="5" t="n">
        <v>22</v>
      </c>
      <c r="J3667" s="5" t="n">
        <v>29</v>
      </c>
      <c r="K3667" s="10">
        <f>IF(F3667&gt;0,H3667/F3667,"")</f>
        <v/>
      </c>
      <c r="L3667" s="16">
        <f>IF(AND(G3667&gt;0,H3667&gt;0),G3667/H3667,"")</f>
        <v/>
      </c>
    </row>
    <row r="3668">
      <c r="A3668" s="4" t="inlineStr">
        <is>
          <t>418</t>
        </is>
      </c>
      <c r="B3668" s="4" t="n">
        <v>4</v>
      </c>
      <c r="C3668" s="4" t="inlineStr">
        <is>
          <t>elk</t>
        </is>
      </c>
      <c r="D3668" s="4" t="n">
        <v>2009</v>
      </c>
      <c r="E3668" s="13" t="inlineStr">
        <is>
          <t>General</t>
        </is>
      </c>
      <c r="F3668" s="5" t="n">
        <v>364</v>
      </c>
      <c r="G3668" s="5" t="n">
        <v>1959</v>
      </c>
      <c r="H3668" s="5" t="n">
        <v>48</v>
      </c>
      <c r="I3668" s="5" t="n">
        <v>24</v>
      </c>
      <c r="J3668" s="5" t="n">
        <v>24</v>
      </c>
      <c r="K3668" s="10">
        <f>IF(F3668&gt;0,H3668/F3668,"")</f>
        <v/>
      </c>
      <c r="L3668" s="16">
        <f>IF(AND(G3668&gt;0,H3668&gt;0),G3668/H3668,"")</f>
        <v/>
      </c>
    </row>
    <row r="3669">
      <c r="A3669" s="4" t="inlineStr">
        <is>
          <t>418</t>
        </is>
      </c>
      <c r="B3669" s="4" t="n">
        <v>4</v>
      </c>
      <c r="C3669" s="4" t="inlineStr">
        <is>
          <t>elk</t>
        </is>
      </c>
      <c r="D3669" s="4" t="n">
        <v>2010</v>
      </c>
      <c r="E3669" s="13" t="inlineStr">
        <is>
          <t>General</t>
        </is>
      </c>
      <c r="F3669" s="5" t="n">
        <v>478</v>
      </c>
      <c r="G3669" s="5" t="n">
        <v>2024</v>
      </c>
      <c r="H3669" s="5" t="n">
        <v>147</v>
      </c>
      <c r="I3669" s="5" t="n">
        <v>61</v>
      </c>
      <c r="J3669" s="5" t="n">
        <v>75</v>
      </c>
      <c r="K3669" s="10">
        <f>IF(F3669&gt;0,H3669/F3669,"")</f>
        <v/>
      </c>
      <c r="L3669" s="16">
        <f>IF(AND(G3669&gt;0,H3669&gt;0),G3669/H3669,"")</f>
        <v/>
      </c>
    </row>
    <row r="3670">
      <c r="A3670" s="4" t="inlineStr">
        <is>
          <t>418</t>
        </is>
      </c>
      <c r="B3670" s="4" t="n">
        <v>4</v>
      </c>
      <c r="C3670" s="4" t="inlineStr">
        <is>
          <t>elk</t>
        </is>
      </c>
      <c r="D3670" s="4" t="n">
        <v>2011</v>
      </c>
      <c r="E3670" s="13" t="inlineStr">
        <is>
          <t>General</t>
        </is>
      </c>
      <c r="F3670" s="5" t="n">
        <v>367</v>
      </c>
      <c r="G3670" s="5" t="n">
        <v>2022</v>
      </c>
      <c r="H3670" s="5" t="n">
        <v>46</v>
      </c>
      <c r="I3670" s="5" t="n">
        <v>25</v>
      </c>
      <c r="J3670" s="5" t="n">
        <v>18</v>
      </c>
      <c r="K3670" s="10">
        <f>IF(F3670&gt;0,H3670/F3670,"")</f>
        <v/>
      </c>
      <c r="L3670" s="16">
        <f>IF(AND(G3670&gt;0,H3670&gt;0),G3670/H3670,"")</f>
        <v/>
      </c>
    </row>
    <row r="3671">
      <c r="A3671" s="4" t="inlineStr">
        <is>
          <t>418</t>
        </is>
      </c>
      <c r="B3671" s="4" t="n">
        <v>4</v>
      </c>
      <c r="C3671" s="4" t="inlineStr">
        <is>
          <t>elk</t>
        </is>
      </c>
      <c r="D3671" s="4" t="n">
        <v>2012</v>
      </c>
      <c r="E3671" s="13" t="inlineStr">
        <is>
          <t>General</t>
        </is>
      </c>
      <c r="F3671" s="5" t="n">
        <v>365</v>
      </c>
      <c r="G3671" s="5" t="n">
        <v>1901</v>
      </c>
      <c r="H3671" s="5" t="n">
        <v>57</v>
      </c>
      <c r="I3671" s="5" t="n">
        <v>39</v>
      </c>
      <c r="J3671" s="5" t="n">
        <v>18</v>
      </c>
      <c r="K3671" s="10">
        <f>IF(F3671&gt;0,H3671/F3671,"")</f>
        <v/>
      </c>
      <c r="L3671" s="16">
        <f>IF(AND(G3671&gt;0,H3671&gt;0),G3671/H3671,"")</f>
        <v/>
      </c>
    </row>
    <row r="3672">
      <c r="A3672" s="4" t="inlineStr">
        <is>
          <t>418</t>
        </is>
      </c>
      <c r="B3672" s="4" t="n">
        <v>4</v>
      </c>
      <c r="C3672" s="4" t="inlineStr">
        <is>
          <t>elk</t>
        </is>
      </c>
      <c r="D3672" s="4" t="n">
        <v>2013</v>
      </c>
      <c r="E3672" s="13" t="inlineStr">
        <is>
          <t>General</t>
        </is>
      </c>
      <c r="F3672" s="5" t="n"/>
      <c r="G3672" s="5" t="n"/>
      <c r="H3672" s="5" t="n">
        <v>50</v>
      </c>
      <c r="I3672" s="5" t="n">
        <v>25</v>
      </c>
      <c r="J3672" s="5" t="n">
        <v>25</v>
      </c>
      <c r="K3672" s="10">
        <f>IF(F3672&gt;0,H3672/F3672,"")</f>
        <v/>
      </c>
      <c r="L3672" s="16">
        <f>IF(AND(G3672&gt;0,H3672&gt;0),G3672/H3672,"")</f>
        <v/>
      </c>
    </row>
    <row r="3673">
      <c r="A3673" s="4" t="inlineStr">
        <is>
          <t>418</t>
        </is>
      </c>
      <c r="B3673" s="4" t="n">
        <v>4</v>
      </c>
      <c r="C3673" s="4" t="inlineStr">
        <is>
          <t>elk</t>
        </is>
      </c>
      <c r="D3673" s="4" t="n">
        <v>2014</v>
      </c>
      <c r="E3673" s="13" t="inlineStr">
        <is>
          <t>General</t>
        </is>
      </c>
      <c r="F3673" s="5" t="n">
        <v>359</v>
      </c>
      <c r="G3673" s="5" t="n">
        <v>1934</v>
      </c>
      <c r="H3673" s="5" t="n">
        <v>76</v>
      </c>
      <c r="I3673" s="5" t="n">
        <v>57</v>
      </c>
      <c r="J3673" s="5" t="n">
        <v>16</v>
      </c>
      <c r="K3673" s="10">
        <f>IF(F3673&gt;0,H3673/F3673,"")</f>
        <v/>
      </c>
      <c r="L3673" s="16">
        <f>IF(AND(G3673&gt;0,H3673&gt;0),G3673/H3673,"")</f>
        <v/>
      </c>
    </row>
    <row r="3674">
      <c r="A3674" s="4" t="inlineStr">
        <is>
          <t>418</t>
        </is>
      </c>
      <c r="B3674" s="4" t="n">
        <v>4</v>
      </c>
      <c r="C3674" s="4" t="inlineStr">
        <is>
          <t>elk</t>
        </is>
      </c>
      <c r="D3674" s="4" t="n">
        <v>2015</v>
      </c>
      <c r="E3674" s="13" t="inlineStr">
        <is>
          <t>General</t>
        </is>
      </c>
      <c r="F3674" s="5" t="n">
        <v>443</v>
      </c>
      <c r="G3674" s="5" t="n">
        <v>2630</v>
      </c>
      <c r="H3674" s="5" t="n">
        <v>75</v>
      </c>
      <c r="I3674" s="5" t="n">
        <v>54</v>
      </c>
      <c r="J3674" s="5" t="n">
        <v>21</v>
      </c>
      <c r="K3674" s="10">
        <f>IF(F3674&gt;0,H3674/F3674,"")</f>
        <v/>
      </c>
      <c r="L3674" s="16">
        <f>IF(AND(G3674&gt;0,H3674&gt;0),G3674/H3674,"")</f>
        <v/>
      </c>
    </row>
    <row r="3675">
      <c r="A3675" s="4" t="inlineStr">
        <is>
          <t>418</t>
        </is>
      </c>
      <c r="B3675" s="4" t="n">
        <v>4</v>
      </c>
      <c r="C3675" s="4" t="inlineStr">
        <is>
          <t>elk</t>
        </is>
      </c>
      <c r="D3675" s="4" t="n">
        <v>2016</v>
      </c>
      <c r="E3675" s="13" t="inlineStr">
        <is>
          <t>General</t>
        </is>
      </c>
      <c r="F3675" s="5" t="n">
        <v>395</v>
      </c>
      <c r="G3675" s="5" t="n">
        <v>2402</v>
      </c>
      <c r="H3675" s="5" t="n">
        <v>53</v>
      </c>
      <c r="I3675" s="5" t="n">
        <v>41</v>
      </c>
      <c r="J3675" s="5" t="n">
        <v>9</v>
      </c>
      <c r="K3675" s="10">
        <f>IF(F3675&gt;0,H3675/F3675,"")</f>
        <v/>
      </c>
      <c r="L3675" s="16">
        <f>IF(AND(G3675&gt;0,H3675&gt;0),G3675/H3675,"")</f>
        <v/>
      </c>
    </row>
    <row r="3676">
      <c r="A3676" s="4" t="inlineStr">
        <is>
          <t>418</t>
        </is>
      </c>
      <c r="B3676" s="4" t="n">
        <v>4</v>
      </c>
      <c r="C3676" s="4" t="inlineStr">
        <is>
          <t>elk</t>
        </is>
      </c>
      <c r="D3676" s="4" t="n">
        <v>2017</v>
      </c>
      <c r="E3676" s="13" t="inlineStr">
        <is>
          <t>General</t>
        </is>
      </c>
      <c r="F3676" s="5" t="n"/>
      <c r="G3676" s="5" t="n"/>
      <c r="H3676" s="5" t="n">
        <v>82</v>
      </c>
      <c r="I3676" s="5" t="n">
        <v>48</v>
      </c>
      <c r="J3676" s="5" t="n">
        <v>31</v>
      </c>
      <c r="K3676" s="10">
        <f>IF(F3676&gt;0,H3676/F3676,"")</f>
        <v/>
      </c>
      <c r="L3676" s="16">
        <f>IF(AND(G3676&gt;0,H3676&gt;0),G3676/H3676,"")</f>
        <v/>
      </c>
    </row>
    <row r="3677">
      <c r="A3677" s="4" t="inlineStr">
        <is>
          <t>418</t>
        </is>
      </c>
      <c r="B3677" s="4" t="n">
        <v>4</v>
      </c>
      <c r="C3677" s="4" t="inlineStr">
        <is>
          <t>elk</t>
        </is>
      </c>
      <c r="D3677" s="4" t="n">
        <v>2018</v>
      </c>
      <c r="E3677" s="13" t="inlineStr">
        <is>
          <t>General</t>
        </is>
      </c>
      <c r="F3677" s="5" t="n">
        <v>397</v>
      </c>
      <c r="G3677" s="5" t="n">
        <v>2127</v>
      </c>
      <c r="H3677" s="5" t="n">
        <v>69</v>
      </c>
      <c r="I3677" s="5" t="n">
        <v>43</v>
      </c>
      <c r="J3677" s="5" t="n">
        <v>27</v>
      </c>
      <c r="K3677" s="10">
        <f>IF(F3677&gt;0,H3677/F3677,"")</f>
        <v/>
      </c>
      <c r="L3677" s="16">
        <f>IF(AND(G3677&gt;0,H3677&gt;0),G3677/H3677,"")</f>
        <v/>
      </c>
    </row>
    <row r="3678">
      <c r="A3678" s="4" t="inlineStr">
        <is>
          <t>418</t>
        </is>
      </c>
      <c r="B3678" s="4" t="n">
        <v>4</v>
      </c>
      <c r="C3678" s="4" t="inlineStr">
        <is>
          <t>elk</t>
        </is>
      </c>
      <c r="D3678" s="4" t="n">
        <v>2019</v>
      </c>
      <c r="E3678" s="13" t="inlineStr">
        <is>
          <t>General</t>
        </is>
      </c>
      <c r="F3678" s="5" t="n"/>
      <c r="G3678" s="5" t="n"/>
      <c r="H3678" s="5" t="n">
        <v>74</v>
      </c>
      <c r="I3678" s="5" t="n">
        <v>27</v>
      </c>
      <c r="J3678" s="5" t="n">
        <v>44</v>
      </c>
      <c r="K3678" s="10">
        <f>IF(F3678&gt;0,H3678/F3678,"")</f>
        <v/>
      </c>
      <c r="L3678" s="16">
        <f>IF(AND(G3678&gt;0,H3678&gt;0),G3678/H3678,"")</f>
        <v/>
      </c>
    </row>
    <row r="3679">
      <c r="A3679" s="4" t="inlineStr">
        <is>
          <t>418</t>
        </is>
      </c>
      <c r="B3679" s="4" t="n">
        <v>4</v>
      </c>
      <c r="C3679" s="4" t="inlineStr">
        <is>
          <t>elk</t>
        </is>
      </c>
      <c r="D3679" s="4" t="n">
        <v>2020</v>
      </c>
      <c r="E3679" s="13" t="inlineStr">
        <is>
          <t>General</t>
        </is>
      </c>
      <c r="F3679" s="5" t="n">
        <v>331</v>
      </c>
      <c r="G3679" s="5" t="n">
        <v>1946</v>
      </c>
      <c r="H3679" s="5" t="n">
        <v>100</v>
      </c>
      <c r="I3679" s="5" t="n">
        <v>56</v>
      </c>
      <c r="J3679" s="5" t="n">
        <v>43</v>
      </c>
      <c r="K3679" s="10">
        <f>IF(F3679&gt;0,H3679/F3679,"")</f>
        <v/>
      </c>
      <c r="L3679" s="16">
        <f>IF(AND(G3679&gt;0,H3679&gt;0),G3679/H3679,"")</f>
        <v/>
      </c>
    </row>
    <row r="3680">
      <c r="A3680" s="4" t="inlineStr">
        <is>
          <t>418</t>
        </is>
      </c>
      <c r="B3680" s="4" t="n">
        <v>4</v>
      </c>
      <c r="C3680" s="4" t="inlineStr">
        <is>
          <t>elk</t>
        </is>
      </c>
      <c r="D3680" s="4" t="n">
        <v>2021</v>
      </c>
      <c r="E3680" s="13" t="inlineStr">
        <is>
          <t>General</t>
        </is>
      </c>
      <c r="F3680" s="5" t="n"/>
      <c r="G3680" s="5" t="n"/>
      <c r="H3680" s="5" t="n">
        <v>76</v>
      </c>
      <c r="I3680" s="5" t="n">
        <v>37</v>
      </c>
      <c r="J3680" s="5" t="n">
        <v>39</v>
      </c>
      <c r="K3680" s="10">
        <f>IF(F3680&gt;0,H3680/F3680,"")</f>
        <v/>
      </c>
      <c r="L3680" s="16">
        <f>IF(AND(G3680&gt;0,H3680&gt;0),G3680/H3680,"")</f>
        <v/>
      </c>
    </row>
    <row r="3681">
      <c r="A3681" s="4" t="inlineStr">
        <is>
          <t>418</t>
        </is>
      </c>
      <c r="B3681" s="4" t="n">
        <v>4</v>
      </c>
      <c r="C3681" s="4" t="inlineStr">
        <is>
          <t>elk</t>
        </is>
      </c>
      <c r="D3681" s="4" t="n">
        <v>2022</v>
      </c>
      <c r="E3681" s="13" t="inlineStr">
        <is>
          <t>General</t>
        </is>
      </c>
      <c r="F3681" s="5" t="n">
        <v>297</v>
      </c>
      <c r="G3681" s="5" t="n">
        <v>1643</v>
      </c>
      <c r="H3681" s="5" t="n">
        <v>103</v>
      </c>
      <c r="I3681" s="5" t="n">
        <v>40</v>
      </c>
      <c r="J3681" s="5" t="n">
        <v>61</v>
      </c>
      <c r="K3681" s="10">
        <f>IF(F3681&gt;0,H3681/F3681,"")</f>
        <v/>
      </c>
      <c r="L3681" s="16">
        <f>IF(AND(G3681&gt;0,H3681&gt;0),G3681/H3681,"")</f>
        <v/>
      </c>
    </row>
    <row r="3682">
      <c r="A3682" s="4" t="inlineStr">
        <is>
          <t>418</t>
        </is>
      </c>
      <c r="B3682" s="4" t="n">
        <v>4</v>
      </c>
      <c r="C3682" s="4" t="inlineStr">
        <is>
          <t>elk</t>
        </is>
      </c>
      <c r="D3682" s="4" t="n">
        <v>2023</v>
      </c>
      <c r="E3682" s="13" t="inlineStr">
        <is>
          <t>General</t>
        </is>
      </c>
      <c r="F3682" s="5" t="n"/>
      <c r="G3682" s="5" t="n"/>
      <c r="H3682" s="5" t="n">
        <v>108</v>
      </c>
      <c r="I3682" s="5" t="n">
        <v>58</v>
      </c>
      <c r="J3682" s="5" t="n">
        <v>50</v>
      </c>
      <c r="K3682" s="10">
        <f>IF(F3682&gt;0,H3682/F3682,"")</f>
        <v/>
      </c>
      <c r="L3682" s="16">
        <f>IF(AND(G3682&gt;0,H3682&gt;0),G3682/H3682,"")</f>
        <v/>
      </c>
    </row>
    <row r="3683">
      <c r="A3683" s="4" t="inlineStr">
        <is>
          <t>418</t>
        </is>
      </c>
      <c r="B3683" s="4" t="n">
        <v>4</v>
      </c>
      <c r="C3683" s="4" t="inlineStr">
        <is>
          <t>elk</t>
        </is>
      </c>
      <c r="D3683" s="4" t="n">
        <v>2024</v>
      </c>
      <c r="E3683" s="13" t="inlineStr">
        <is>
          <t>General</t>
        </is>
      </c>
      <c r="F3683" s="5" t="n">
        <v>416</v>
      </c>
      <c r="G3683" s="5" t="n">
        <v>2919</v>
      </c>
      <c r="H3683" s="5" t="n">
        <v>114</v>
      </c>
      <c r="I3683" s="5" t="n">
        <v>19</v>
      </c>
      <c r="J3683" s="5" t="n">
        <v>89</v>
      </c>
      <c r="K3683" s="10">
        <f>IF(F3683&gt;0,H3683/F3683,"")</f>
        <v/>
      </c>
      <c r="L3683" s="16">
        <f>IF(AND(G3683&gt;0,H3683&gt;0),G3683/H3683,"")</f>
        <v/>
      </c>
    </row>
    <row r="3684">
      <c r="A3684" s="4" t="inlineStr">
        <is>
          <t>418</t>
        </is>
      </c>
      <c r="B3684" s="4" t="n">
        <v>4</v>
      </c>
      <c r="C3684" s="4" t="inlineStr">
        <is>
          <t>elk</t>
        </is>
      </c>
      <c r="D3684" s="4" t="n">
        <v>2025</v>
      </c>
      <c r="E3684" s="13" t="inlineStr">
        <is>
          <t>General</t>
        </is>
      </c>
      <c r="F3684" s="5" t="n"/>
      <c r="G3684" s="5" t="n"/>
      <c r="H3684" s="5" t="n">
        <v>186</v>
      </c>
      <c r="I3684" s="5" t="n">
        <v>53</v>
      </c>
      <c r="J3684" s="5" t="n">
        <v>122</v>
      </c>
      <c r="K3684" s="10">
        <f>IF(F3684&gt;0,H3684/F3684,"")</f>
        <v/>
      </c>
      <c r="L3684" s="16">
        <f>IF(AND(G3684&gt;0,H3684&gt;0),G3684/H3684,"")</f>
        <v/>
      </c>
    </row>
    <row r="3685">
      <c r="A3685" s="4" t="inlineStr">
        <is>
          <t>419</t>
        </is>
      </c>
      <c r="B3685" s="4" t="n">
        <v>4</v>
      </c>
      <c r="C3685" s="4" t="inlineStr">
        <is>
          <t>elk</t>
        </is>
      </c>
      <c r="D3685" s="4" t="n">
        <v>2004</v>
      </c>
      <c r="E3685" s="13" t="inlineStr">
        <is>
          <t>General</t>
        </is>
      </c>
      <c r="F3685" s="5" t="n">
        <v>79</v>
      </c>
      <c r="G3685" s="5" t="n">
        <v>348</v>
      </c>
      <c r="H3685" s="5" t="n">
        <v>2</v>
      </c>
      <c r="I3685" s="5" t="n">
        <v>0</v>
      </c>
      <c r="J3685" s="5" t="n">
        <v>2</v>
      </c>
      <c r="K3685" s="10">
        <f>IF(F3685&gt;0,H3685/F3685,"")</f>
        <v/>
      </c>
      <c r="L3685" s="16">
        <f>IF(AND(G3685&gt;0,H3685&gt;0),G3685/H3685,"")</f>
        <v/>
      </c>
    </row>
    <row r="3686">
      <c r="A3686" s="4" t="inlineStr">
        <is>
          <t>419</t>
        </is>
      </c>
      <c r="B3686" s="4" t="n">
        <v>4</v>
      </c>
      <c r="C3686" s="4" t="inlineStr">
        <is>
          <t>elk</t>
        </is>
      </c>
      <c r="D3686" s="4" t="n">
        <v>2005</v>
      </c>
      <c r="E3686" s="13" t="inlineStr">
        <is>
          <t>General</t>
        </is>
      </c>
      <c r="F3686" s="5" t="n">
        <v>103</v>
      </c>
      <c r="G3686" s="5" t="n">
        <v>597</v>
      </c>
      <c r="H3686" s="5" t="n">
        <v>11</v>
      </c>
      <c r="I3686" s="5" t="n">
        <v>11</v>
      </c>
      <c r="J3686" s="5" t="n">
        <v>0</v>
      </c>
      <c r="K3686" s="10">
        <f>IF(F3686&gt;0,H3686/F3686,"")</f>
        <v/>
      </c>
      <c r="L3686" s="16">
        <f>IF(AND(G3686&gt;0,H3686&gt;0),G3686/H3686,"")</f>
        <v/>
      </c>
    </row>
    <row r="3687">
      <c r="A3687" s="4" t="inlineStr">
        <is>
          <t>419</t>
        </is>
      </c>
      <c r="B3687" s="4" t="n">
        <v>4</v>
      </c>
      <c r="C3687" s="4" t="inlineStr">
        <is>
          <t>elk</t>
        </is>
      </c>
      <c r="D3687" s="4" t="n">
        <v>2006</v>
      </c>
      <c r="E3687" s="13" t="inlineStr">
        <is>
          <t>General</t>
        </is>
      </c>
      <c r="F3687" s="5" t="n">
        <v>136</v>
      </c>
      <c r="G3687" s="5" t="n">
        <v>557</v>
      </c>
      <c r="H3687" s="5" t="n">
        <v>22</v>
      </c>
      <c r="I3687" s="5" t="n">
        <v>15</v>
      </c>
      <c r="J3687" s="5" t="n">
        <v>7</v>
      </c>
      <c r="K3687" s="10">
        <f>IF(F3687&gt;0,H3687/F3687,"")</f>
        <v/>
      </c>
      <c r="L3687" s="16">
        <f>IF(AND(G3687&gt;0,H3687&gt;0),G3687/H3687,"")</f>
        <v/>
      </c>
    </row>
    <row r="3688">
      <c r="A3688" s="4" t="inlineStr">
        <is>
          <t>419</t>
        </is>
      </c>
      <c r="B3688" s="4" t="n">
        <v>4</v>
      </c>
      <c r="C3688" s="4" t="inlineStr">
        <is>
          <t>elk</t>
        </is>
      </c>
      <c r="D3688" s="4" t="n">
        <v>2007</v>
      </c>
      <c r="E3688" s="13" t="inlineStr">
        <is>
          <t>General</t>
        </is>
      </c>
      <c r="F3688" s="5" t="n">
        <v>92</v>
      </c>
      <c r="G3688" s="5" t="n">
        <v>503</v>
      </c>
      <c r="H3688" s="5" t="n">
        <v>5</v>
      </c>
      <c r="I3688" s="5" t="n">
        <v>0</v>
      </c>
      <c r="J3688" s="5" t="n">
        <v>5</v>
      </c>
      <c r="K3688" s="10">
        <f>IF(F3688&gt;0,H3688/F3688,"")</f>
        <v/>
      </c>
      <c r="L3688" s="16">
        <f>IF(AND(G3688&gt;0,H3688&gt;0),G3688/H3688,"")</f>
        <v/>
      </c>
    </row>
    <row r="3689">
      <c r="A3689" s="4" t="inlineStr">
        <is>
          <t>419</t>
        </is>
      </c>
      <c r="B3689" s="4" t="n">
        <v>4</v>
      </c>
      <c r="C3689" s="4" t="inlineStr">
        <is>
          <t>elk</t>
        </is>
      </c>
      <c r="D3689" s="4" t="n">
        <v>2008</v>
      </c>
      <c r="E3689" s="13" t="inlineStr">
        <is>
          <t>General</t>
        </is>
      </c>
      <c r="F3689" s="5" t="n">
        <v>102</v>
      </c>
      <c r="G3689" s="5" t="n">
        <v>696</v>
      </c>
      <c r="H3689" s="5" t="n">
        <v>12</v>
      </c>
      <c r="I3689" s="5" t="n">
        <v>9</v>
      </c>
      <c r="J3689" s="5" t="n">
        <v>0</v>
      </c>
      <c r="K3689" s="10">
        <f>IF(F3689&gt;0,H3689/F3689,"")</f>
        <v/>
      </c>
      <c r="L3689" s="16">
        <f>IF(AND(G3689&gt;0,H3689&gt;0),G3689/H3689,"")</f>
        <v/>
      </c>
    </row>
    <row r="3690">
      <c r="A3690" s="4" t="inlineStr">
        <is>
          <t>419</t>
        </is>
      </c>
      <c r="B3690" s="4" t="n">
        <v>4</v>
      </c>
      <c r="C3690" s="4" t="inlineStr">
        <is>
          <t>elk</t>
        </is>
      </c>
      <c r="D3690" s="4" t="n">
        <v>2009</v>
      </c>
      <c r="E3690" s="13" t="inlineStr">
        <is>
          <t>General</t>
        </is>
      </c>
      <c r="F3690" s="5" t="n">
        <v>87</v>
      </c>
      <c r="G3690" s="5" t="n">
        <v>282</v>
      </c>
      <c r="H3690" s="5" t="n">
        <v>8</v>
      </c>
      <c r="I3690" s="5" t="n">
        <v>3</v>
      </c>
      <c r="J3690" s="5" t="n">
        <v>3</v>
      </c>
      <c r="K3690" s="10">
        <f>IF(F3690&gt;0,H3690/F3690,"")</f>
        <v/>
      </c>
      <c r="L3690" s="16">
        <f>IF(AND(G3690&gt;0,H3690&gt;0),G3690/H3690,"")</f>
        <v/>
      </c>
    </row>
    <row r="3691">
      <c r="A3691" s="4" t="inlineStr">
        <is>
          <t>419</t>
        </is>
      </c>
      <c r="B3691" s="4" t="n">
        <v>4</v>
      </c>
      <c r="C3691" s="4" t="inlineStr">
        <is>
          <t>elk</t>
        </is>
      </c>
      <c r="D3691" s="4" t="n">
        <v>2010</v>
      </c>
      <c r="E3691" s="13" t="inlineStr">
        <is>
          <t>General</t>
        </is>
      </c>
      <c r="F3691" s="5" t="n">
        <v>108</v>
      </c>
      <c r="G3691" s="5" t="n">
        <v>503</v>
      </c>
      <c r="H3691" s="5" t="n">
        <v>19</v>
      </c>
      <c r="I3691" s="5" t="n">
        <v>14</v>
      </c>
      <c r="J3691" s="5" t="n">
        <v>5</v>
      </c>
      <c r="K3691" s="10">
        <f>IF(F3691&gt;0,H3691/F3691,"")</f>
        <v/>
      </c>
      <c r="L3691" s="16">
        <f>IF(AND(G3691&gt;0,H3691&gt;0),G3691/H3691,"")</f>
        <v/>
      </c>
    </row>
    <row r="3692">
      <c r="A3692" s="4" t="inlineStr">
        <is>
          <t>419</t>
        </is>
      </c>
      <c r="B3692" s="4" t="n">
        <v>4</v>
      </c>
      <c r="C3692" s="4" t="inlineStr">
        <is>
          <t>elk</t>
        </is>
      </c>
      <c r="D3692" s="4" t="n">
        <v>2011</v>
      </c>
      <c r="E3692" s="13" t="inlineStr">
        <is>
          <t>General</t>
        </is>
      </c>
      <c r="F3692" s="5" t="n">
        <v>63</v>
      </c>
      <c r="G3692" s="5" t="n">
        <v>451</v>
      </c>
      <c r="H3692" s="5" t="n">
        <v>5</v>
      </c>
      <c r="I3692" s="5" t="n">
        <v>0</v>
      </c>
      <c r="J3692" s="5" t="n">
        <v>5</v>
      </c>
      <c r="K3692" s="10">
        <f>IF(F3692&gt;0,H3692/F3692,"")</f>
        <v/>
      </c>
      <c r="L3692" s="16">
        <f>IF(AND(G3692&gt;0,H3692&gt;0),G3692/H3692,"")</f>
        <v/>
      </c>
    </row>
    <row r="3693">
      <c r="A3693" s="4" t="inlineStr">
        <is>
          <t>419</t>
        </is>
      </c>
      <c r="B3693" s="4" t="n">
        <v>4</v>
      </c>
      <c r="C3693" s="4" t="inlineStr">
        <is>
          <t>elk</t>
        </is>
      </c>
      <c r="D3693" s="4" t="n">
        <v>2012</v>
      </c>
      <c r="E3693" s="13" t="inlineStr">
        <is>
          <t>General</t>
        </is>
      </c>
      <c r="F3693" s="5" t="n">
        <v>60</v>
      </c>
      <c r="G3693" s="5" t="n">
        <v>286</v>
      </c>
      <c r="H3693" s="5" t="n">
        <v>14</v>
      </c>
      <c r="I3693" s="5" t="n">
        <v>8</v>
      </c>
      <c r="J3693" s="5" t="n">
        <v>5</v>
      </c>
      <c r="K3693" s="10">
        <f>IF(F3693&gt;0,H3693/F3693,"")</f>
        <v/>
      </c>
      <c r="L3693" s="16">
        <f>IF(AND(G3693&gt;0,H3693&gt;0),G3693/H3693,"")</f>
        <v/>
      </c>
    </row>
    <row r="3694">
      <c r="A3694" s="4" t="inlineStr">
        <is>
          <t>419</t>
        </is>
      </c>
      <c r="B3694" s="4" t="n">
        <v>4</v>
      </c>
      <c r="C3694" s="4" t="inlineStr">
        <is>
          <t>elk</t>
        </is>
      </c>
      <c r="D3694" s="4" t="n">
        <v>2013</v>
      </c>
      <c r="E3694" s="13" t="inlineStr">
        <is>
          <t>General</t>
        </is>
      </c>
      <c r="F3694" s="5" t="n"/>
      <c r="G3694" s="5" t="n"/>
      <c r="H3694" s="5" t="n">
        <v>43</v>
      </c>
      <c r="I3694" s="5" t="n">
        <v>22</v>
      </c>
      <c r="J3694" s="5" t="n">
        <v>21</v>
      </c>
      <c r="K3694" s="10">
        <f>IF(F3694&gt;0,H3694/F3694,"")</f>
        <v/>
      </c>
      <c r="L3694" s="16">
        <f>IF(AND(G3694&gt;0,H3694&gt;0),G3694/H3694,"")</f>
        <v/>
      </c>
    </row>
    <row r="3695">
      <c r="A3695" s="4" t="inlineStr">
        <is>
          <t>419</t>
        </is>
      </c>
      <c r="B3695" s="4" t="n">
        <v>4</v>
      </c>
      <c r="C3695" s="4" t="inlineStr">
        <is>
          <t>elk</t>
        </is>
      </c>
      <c r="D3695" s="4" t="n">
        <v>2014</v>
      </c>
      <c r="E3695" s="13" t="inlineStr">
        <is>
          <t>General</t>
        </is>
      </c>
      <c r="F3695" s="5" t="n">
        <v>126</v>
      </c>
      <c r="G3695" s="5" t="n">
        <v>711</v>
      </c>
      <c r="H3695" s="5" t="n">
        <v>23</v>
      </c>
      <c r="I3695" s="5" t="n">
        <v>11</v>
      </c>
      <c r="J3695" s="5" t="n">
        <v>11</v>
      </c>
      <c r="K3695" s="10">
        <f>IF(F3695&gt;0,H3695/F3695,"")</f>
        <v/>
      </c>
      <c r="L3695" s="16">
        <f>IF(AND(G3695&gt;0,H3695&gt;0),G3695/H3695,"")</f>
        <v/>
      </c>
    </row>
    <row r="3696">
      <c r="A3696" s="4" t="inlineStr">
        <is>
          <t>419</t>
        </is>
      </c>
      <c r="B3696" s="4" t="n">
        <v>4</v>
      </c>
      <c r="C3696" s="4" t="inlineStr">
        <is>
          <t>elk</t>
        </is>
      </c>
      <c r="D3696" s="4" t="n">
        <v>2015</v>
      </c>
      <c r="E3696" s="13" t="inlineStr">
        <is>
          <t>General</t>
        </is>
      </c>
      <c r="F3696" s="5" t="n">
        <v>147</v>
      </c>
      <c r="G3696" s="5" t="n">
        <v>680</v>
      </c>
      <c r="H3696" s="5" t="n">
        <v>29</v>
      </c>
      <c r="I3696" s="5" t="n">
        <v>9</v>
      </c>
      <c r="J3696" s="5" t="n">
        <v>17</v>
      </c>
      <c r="K3696" s="10">
        <f>IF(F3696&gt;0,H3696/F3696,"")</f>
        <v/>
      </c>
      <c r="L3696" s="16">
        <f>IF(AND(G3696&gt;0,H3696&gt;0),G3696/H3696,"")</f>
        <v/>
      </c>
    </row>
    <row r="3697">
      <c r="A3697" s="4" t="inlineStr">
        <is>
          <t>419</t>
        </is>
      </c>
      <c r="B3697" s="4" t="n">
        <v>4</v>
      </c>
      <c r="C3697" s="4" t="inlineStr">
        <is>
          <t>elk</t>
        </is>
      </c>
      <c r="D3697" s="4" t="n">
        <v>2016</v>
      </c>
      <c r="E3697" s="13" t="inlineStr">
        <is>
          <t>General</t>
        </is>
      </c>
      <c r="F3697" s="5" t="n">
        <v>148</v>
      </c>
      <c r="G3697" s="5" t="n">
        <v>684</v>
      </c>
      <c r="H3697" s="5" t="n">
        <v>22</v>
      </c>
      <c r="I3697" s="5" t="n">
        <v>10</v>
      </c>
      <c r="J3697" s="5" t="n">
        <v>13</v>
      </c>
      <c r="K3697" s="10">
        <f>IF(F3697&gt;0,H3697/F3697,"")</f>
        <v/>
      </c>
      <c r="L3697" s="16">
        <f>IF(AND(G3697&gt;0,H3697&gt;0),G3697/H3697,"")</f>
        <v/>
      </c>
    </row>
    <row r="3698">
      <c r="A3698" s="4" t="inlineStr">
        <is>
          <t>419</t>
        </is>
      </c>
      <c r="B3698" s="4" t="n">
        <v>4</v>
      </c>
      <c r="C3698" s="4" t="inlineStr">
        <is>
          <t>elk</t>
        </is>
      </c>
      <c r="D3698" s="4" t="n">
        <v>2017</v>
      </c>
      <c r="E3698" s="13" t="inlineStr">
        <is>
          <t>General</t>
        </is>
      </c>
      <c r="F3698" s="5" t="n"/>
      <c r="G3698" s="5" t="n"/>
      <c r="H3698" s="5" t="n">
        <v>40</v>
      </c>
      <c r="I3698" s="5" t="n">
        <v>26</v>
      </c>
      <c r="J3698" s="5" t="n">
        <v>14</v>
      </c>
      <c r="K3698" s="10">
        <f>IF(F3698&gt;0,H3698/F3698,"")</f>
        <v/>
      </c>
      <c r="L3698" s="16">
        <f>IF(AND(G3698&gt;0,H3698&gt;0),G3698/H3698,"")</f>
        <v/>
      </c>
    </row>
    <row r="3699">
      <c r="A3699" s="4" t="inlineStr">
        <is>
          <t>419</t>
        </is>
      </c>
      <c r="B3699" s="4" t="n">
        <v>4</v>
      </c>
      <c r="C3699" s="4" t="inlineStr">
        <is>
          <t>elk</t>
        </is>
      </c>
      <c r="D3699" s="4" t="n">
        <v>2018</v>
      </c>
      <c r="E3699" s="13" t="inlineStr">
        <is>
          <t>General</t>
        </is>
      </c>
      <c r="F3699" s="5" t="n">
        <v>163</v>
      </c>
      <c r="G3699" s="5" t="n">
        <v>887</v>
      </c>
      <c r="H3699" s="5" t="n">
        <v>31</v>
      </c>
      <c r="I3699" s="5" t="n">
        <v>9</v>
      </c>
      <c r="J3699" s="5" t="n">
        <v>19</v>
      </c>
      <c r="K3699" s="10">
        <f>IF(F3699&gt;0,H3699/F3699,"")</f>
        <v/>
      </c>
      <c r="L3699" s="16">
        <f>IF(AND(G3699&gt;0,H3699&gt;0),G3699/H3699,"")</f>
        <v/>
      </c>
    </row>
    <row r="3700">
      <c r="A3700" s="4" t="inlineStr">
        <is>
          <t>419</t>
        </is>
      </c>
      <c r="B3700" s="4" t="n">
        <v>4</v>
      </c>
      <c r="C3700" s="4" t="inlineStr">
        <is>
          <t>elk</t>
        </is>
      </c>
      <c r="D3700" s="4" t="n">
        <v>2019</v>
      </c>
      <c r="E3700" s="13" t="inlineStr">
        <is>
          <t>General</t>
        </is>
      </c>
      <c r="F3700" s="5" t="n"/>
      <c r="G3700" s="5" t="n"/>
      <c r="H3700" s="5" t="n">
        <v>21</v>
      </c>
      <c r="I3700" s="5" t="n">
        <v>9</v>
      </c>
      <c r="J3700" s="5" t="n">
        <v>12</v>
      </c>
      <c r="K3700" s="10">
        <f>IF(F3700&gt;0,H3700/F3700,"")</f>
        <v/>
      </c>
      <c r="L3700" s="16">
        <f>IF(AND(G3700&gt;0,H3700&gt;0),G3700/H3700,"")</f>
        <v/>
      </c>
    </row>
    <row r="3701">
      <c r="A3701" s="4" t="inlineStr">
        <is>
          <t>419</t>
        </is>
      </c>
      <c r="B3701" s="4" t="n">
        <v>4</v>
      </c>
      <c r="C3701" s="4" t="inlineStr">
        <is>
          <t>elk</t>
        </is>
      </c>
      <c r="D3701" s="4" t="n">
        <v>2020</v>
      </c>
      <c r="E3701" s="13" t="inlineStr">
        <is>
          <t>General</t>
        </is>
      </c>
      <c r="F3701" s="5" t="n">
        <v>152</v>
      </c>
      <c r="G3701" s="5" t="n">
        <v>830</v>
      </c>
      <c r="H3701" s="5" t="n">
        <v>29</v>
      </c>
      <c r="I3701" s="5" t="n">
        <v>10</v>
      </c>
      <c r="J3701" s="5" t="n">
        <v>19</v>
      </c>
      <c r="K3701" s="10">
        <f>IF(F3701&gt;0,H3701/F3701,"")</f>
        <v/>
      </c>
      <c r="L3701" s="16">
        <f>IF(AND(G3701&gt;0,H3701&gt;0),G3701/H3701,"")</f>
        <v/>
      </c>
    </row>
    <row r="3702">
      <c r="A3702" s="4" t="inlineStr">
        <is>
          <t>419</t>
        </is>
      </c>
      <c r="B3702" s="4" t="n">
        <v>4</v>
      </c>
      <c r="C3702" s="4" t="inlineStr">
        <is>
          <t>elk</t>
        </is>
      </c>
      <c r="D3702" s="4" t="n">
        <v>2021</v>
      </c>
      <c r="E3702" s="13" t="inlineStr">
        <is>
          <t>General</t>
        </is>
      </c>
      <c r="F3702" s="5" t="n"/>
      <c r="G3702" s="5" t="n"/>
      <c r="H3702" s="5" t="n">
        <v>22</v>
      </c>
      <c r="I3702" s="5" t="n">
        <v>7</v>
      </c>
      <c r="J3702" s="5" t="n">
        <v>11</v>
      </c>
      <c r="K3702" s="10">
        <f>IF(F3702&gt;0,H3702/F3702,"")</f>
        <v/>
      </c>
      <c r="L3702" s="16">
        <f>IF(AND(G3702&gt;0,H3702&gt;0),G3702/H3702,"")</f>
        <v/>
      </c>
    </row>
    <row r="3703">
      <c r="A3703" s="4" t="inlineStr">
        <is>
          <t>419</t>
        </is>
      </c>
      <c r="B3703" s="4" t="n">
        <v>4</v>
      </c>
      <c r="C3703" s="4" t="inlineStr">
        <is>
          <t>elk</t>
        </is>
      </c>
      <c r="D3703" s="4" t="n">
        <v>2022</v>
      </c>
      <c r="E3703" s="13" t="inlineStr">
        <is>
          <t>General</t>
        </is>
      </c>
      <c r="F3703" s="5" t="n">
        <v>144</v>
      </c>
      <c r="G3703" s="5" t="n">
        <v>764</v>
      </c>
      <c r="H3703" s="5" t="n">
        <v>61</v>
      </c>
      <c r="I3703" s="5" t="n">
        <v>29</v>
      </c>
      <c r="J3703" s="5" t="n">
        <v>32</v>
      </c>
      <c r="K3703" s="10">
        <f>IF(F3703&gt;0,H3703/F3703,"")</f>
        <v/>
      </c>
      <c r="L3703" s="16">
        <f>IF(AND(G3703&gt;0,H3703&gt;0),G3703/H3703,"")</f>
        <v/>
      </c>
    </row>
    <row r="3704">
      <c r="A3704" s="4" t="inlineStr">
        <is>
          <t>419</t>
        </is>
      </c>
      <c r="B3704" s="4" t="n">
        <v>4</v>
      </c>
      <c r="C3704" s="4" t="inlineStr">
        <is>
          <t>elk</t>
        </is>
      </c>
      <c r="D3704" s="4" t="n">
        <v>2023</v>
      </c>
      <c r="E3704" s="13" t="inlineStr">
        <is>
          <t>General</t>
        </is>
      </c>
      <c r="F3704" s="5" t="n"/>
      <c r="G3704" s="5" t="n"/>
      <c r="H3704" s="5" t="n">
        <v>59</v>
      </c>
      <c r="I3704" s="5" t="n">
        <v>30</v>
      </c>
      <c r="J3704" s="5" t="n">
        <v>26</v>
      </c>
      <c r="K3704" s="10">
        <f>IF(F3704&gt;0,H3704/F3704,"")</f>
        <v/>
      </c>
      <c r="L3704" s="16">
        <f>IF(AND(G3704&gt;0,H3704&gt;0),G3704/H3704,"")</f>
        <v/>
      </c>
    </row>
    <row r="3705">
      <c r="A3705" s="4" t="inlineStr">
        <is>
          <t>419</t>
        </is>
      </c>
      <c r="B3705" s="4" t="n">
        <v>4</v>
      </c>
      <c r="C3705" s="4" t="inlineStr">
        <is>
          <t>elk</t>
        </is>
      </c>
      <c r="D3705" s="4" t="n">
        <v>2024</v>
      </c>
      <c r="E3705" s="13" t="inlineStr">
        <is>
          <t>General</t>
        </is>
      </c>
      <c r="F3705" s="5" t="n">
        <v>247</v>
      </c>
      <c r="G3705" s="5" t="n">
        <v>1542</v>
      </c>
      <c r="H3705" s="5" t="n">
        <v>42</v>
      </c>
      <c r="I3705" s="5" t="n">
        <v>18</v>
      </c>
      <c r="J3705" s="5" t="n">
        <v>21</v>
      </c>
      <c r="K3705" s="10">
        <f>IF(F3705&gt;0,H3705/F3705,"")</f>
        <v/>
      </c>
      <c r="L3705" s="16">
        <f>IF(AND(G3705&gt;0,H3705&gt;0),G3705/H3705,"")</f>
        <v/>
      </c>
    </row>
    <row r="3706">
      <c r="A3706" s="4" t="inlineStr">
        <is>
          <t>419</t>
        </is>
      </c>
      <c r="B3706" s="4" t="n">
        <v>4</v>
      </c>
      <c r="C3706" s="4" t="inlineStr">
        <is>
          <t>elk</t>
        </is>
      </c>
      <c r="D3706" s="4" t="n">
        <v>2025</v>
      </c>
      <c r="E3706" s="13" t="inlineStr">
        <is>
          <t>General</t>
        </is>
      </c>
      <c r="F3706" s="5" t="n"/>
      <c r="G3706" s="5" t="n"/>
      <c r="H3706" s="5" t="n">
        <v>58</v>
      </c>
      <c r="I3706" s="5" t="n">
        <v>17</v>
      </c>
      <c r="J3706" s="5" t="n">
        <v>40</v>
      </c>
      <c r="K3706" s="10">
        <f>IF(F3706&gt;0,H3706/F3706,"")</f>
        <v/>
      </c>
      <c r="L3706" s="16">
        <f>IF(AND(G3706&gt;0,H3706&gt;0),G3706/H3706,"")</f>
        <v/>
      </c>
    </row>
    <row r="3707">
      <c r="A3707" s="4" t="inlineStr">
        <is>
          <t>420</t>
        </is>
      </c>
      <c r="B3707" s="4" t="n">
        <v>4</v>
      </c>
      <c r="C3707" s="4" t="inlineStr">
        <is>
          <t>elk</t>
        </is>
      </c>
      <c r="D3707" s="4" t="n">
        <v>2004</v>
      </c>
      <c r="E3707" s="13" t="inlineStr">
        <is>
          <t>General</t>
        </is>
      </c>
      <c r="F3707" s="5" t="n">
        <v>181</v>
      </c>
      <c r="G3707" s="5" t="n">
        <v>954</v>
      </c>
      <c r="H3707" s="5" t="n">
        <v>16</v>
      </c>
      <c r="I3707" s="5" t="n">
        <v>9</v>
      </c>
      <c r="J3707" s="5" t="n">
        <v>7</v>
      </c>
      <c r="K3707" s="10">
        <f>IF(F3707&gt;0,H3707/F3707,"")</f>
        <v/>
      </c>
      <c r="L3707" s="16">
        <f>IF(AND(G3707&gt;0,H3707&gt;0),G3707/H3707,"")</f>
        <v/>
      </c>
    </row>
    <row r="3708">
      <c r="A3708" s="4" t="inlineStr">
        <is>
          <t>420</t>
        </is>
      </c>
      <c r="B3708" s="4" t="n">
        <v>4</v>
      </c>
      <c r="C3708" s="4" t="inlineStr">
        <is>
          <t>elk</t>
        </is>
      </c>
      <c r="D3708" s="4" t="n">
        <v>2005</v>
      </c>
      <c r="E3708" s="13" t="inlineStr">
        <is>
          <t>General</t>
        </is>
      </c>
      <c r="F3708" s="5" t="n">
        <v>161</v>
      </c>
      <c r="G3708" s="5" t="n">
        <v>1066</v>
      </c>
      <c r="H3708" s="5" t="n">
        <v>48</v>
      </c>
      <c r="I3708" s="5" t="n">
        <v>26</v>
      </c>
      <c r="J3708" s="5" t="n">
        <v>21</v>
      </c>
      <c r="K3708" s="10">
        <f>IF(F3708&gt;0,H3708/F3708,"")</f>
        <v/>
      </c>
      <c r="L3708" s="16">
        <f>IF(AND(G3708&gt;0,H3708&gt;0),G3708/H3708,"")</f>
        <v/>
      </c>
    </row>
    <row r="3709">
      <c r="A3709" s="4" t="inlineStr">
        <is>
          <t>420</t>
        </is>
      </c>
      <c r="B3709" s="4" t="n">
        <v>4</v>
      </c>
      <c r="C3709" s="4" t="inlineStr">
        <is>
          <t>elk</t>
        </is>
      </c>
      <c r="D3709" s="4" t="n">
        <v>2006</v>
      </c>
      <c r="E3709" s="13" t="inlineStr">
        <is>
          <t>General</t>
        </is>
      </c>
      <c r="F3709" s="5" t="n">
        <v>264</v>
      </c>
      <c r="G3709" s="5" t="n">
        <v>1492</v>
      </c>
      <c r="H3709" s="5" t="n">
        <v>80</v>
      </c>
      <c r="I3709" s="5" t="n">
        <v>51</v>
      </c>
      <c r="J3709" s="5" t="n">
        <v>28</v>
      </c>
      <c r="K3709" s="10">
        <f>IF(F3709&gt;0,H3709/F3709,"")</f>
        <v/>
      </c>
      <c r="L3709" s="16">
        <f>IF(AND(G3709&gt;0,H3709&gt;0),G3709/H3709,"")</f>
        <v/>
      </c>
    </row>
    <row r="3710">
      <c r="A3710" s="4" t="inlineStr">
        <is>
          <t>420</t>
        </is>
      </c>
      <c r="B3710" s="4" t="n">
        <v>4</v>
      </c>
      <c r="C3710" s="4" t="inlineStr">
        <is>
          <t>elk</t>
        </is>
      </c>
      <c r="D3710" s="4" t="n">
        <v>2007</v>
      </c>
      <c r="E3710" s="13" t="inlineStr">
        <is>
          <t>General</t>
        </is>
      </c>
      <c r="F3710" s="5" t="n">
        <v>235</v>
      </c>
      <c r="G3710" s="5" t="n">
        <v>1443</v>
      </c>
      <c r="H3710" s="5" t="n">
        <v>81</v>
      </c>
      <c r="I3710" s="5" t="n">
        <v>35</v>
      </c>
      <c r="J3710" s="5" t="n">
        <v>42</v>
      </c>
      <c r="K3710" s="10">
        <f>IF(F3710&gt;0,H3710/F3710,"")</f>
        <v/>
      </c>
      <c r="L3710" s="16">
        <f>IF(AND(G3710&gt;0,H3710&gt;0),G3710/H3710,"")</f>
        <v/>
      </c>
    </row>
    <row r="3711">
      <c r="A3711" s="4" t="inlineStr">
        <is>
          <t>420</t>
        </is>
      </c>
      <c r="B3711" s="4" t="n">
        <v>4</v>
      </c>
      <c r="C3711" s="4" t="inlineStr">
        <is>
          <t>elk</t>
        </is>
      </c>
      <c r="D3711" s="4" t="n">
        <v>2008</v>
      </c>
      <c r="E3711" s="13" t="inlineStr">
        <is>
          <t>General</t>
        </is>
      </c>
      <c r="F3711" s="5" t="n">
        <v>455</v>
      </c>
      <c r="G3711" s="5" t="n">
        <v>3111</v>
      </c>
      <c r="H3711" s="5" t="n">
        <v>68</v>
      </c>
      <c r="I3711" s="5" t="n">
        <v>41</v>
      </c>
      <c r="J3711" s="5" t="n">
        <v>24</v>
      </c>
      <c r="K3711" s="10">
        <f>IF(F3711&gt;0,H3711/F3711,"")</f>
        <v/>
      </c>
      <c r="L3711" s="16">
        <f>IF(AND(G3711&gt;0,H3711&gt;0),G3711/H3711,"")</f>
        <v/>
      </c>
    </row>
    <row r="3712">
      <c r="A3712" s="4" t="inlineStr">
        <is>
          <t>420</t>
        </is>
      </c>
      <c r="B3712" s="4" t="n">
        <v>4</v>
      </c>
      <c r="C3712" s="4" t="inlineStr">
        <is>
          <t>elk</t>
        </is>
      </c>
      <c r="D3712" s="4" t="n">
        <v>2009</v>
      </c>
      <c r="E3712" s="13" t="inlineStr">
        <is>
          <t>General</t>
        </is>
      </c>
      <c r="F3712" s="5" t="n">
        <v>525</v>
      </c>
      <c r="G3712" s="5" t="n">
        <v>3162</v>
      </c>
      <c r="H3712" s="5" t="n">
        <v>99</v>
      </c>
      <c r="I3712" s="5" t="n">
        <v>53</v>
      </c>
      <c r="J3712" s="5" t="n">
        <v>42</v>
      </c>
      <c r="K3712" s="10">
        <f>IF(F3712&gt;0,H3712/F3712,"")</f>
        <v/>
      </c>
      <c r="L3712" s="16">
        <f>IF(AND(G3712&gt;0,H3712&gt;0),G3712/H3712,"")</f>
        <v/>
      </c>
    </row>
    <row r="3713">
      <c r="A3713" s="4" t="inlineStr">
        <is>
          <t>420</t>
        </is>
      </c>
      <c r="B3713" s="4" t="n">
        <v>4</v>
      </c>
      <c r="C3713" s="4" t="inlineStr">
        <is>
          <t>elk</t>
        </is>
      </c>
      <c r="D3713" s="4" t="n">
        <v>2010</v>
      </c>
      <c r="E3713" s="13" t="inlineStr">
        <is>
          <t>General</t>
        </is>
      </c>
      <c r="F3713" s="5" t="n">
        <v>452</v>
      </c>
      <c r="G3713" s="5" t="n">
        <v>2722</v>
      </c>
      <c r="H3713" s="5" t="n">
        <v>127</v>
      </c>
      <c r="I3713" s="5" t="n">
        <v>55</v>
      </c>
      <c r="J3713" s="5" t="n">
        <v>68</v>
      </c>
      <c r="K3713" s="10">
        <f>IF(F3713&gt;0,H3713/F3713,"")</f>
        <v/>
      </c>
      <c r="L3713" s="16">
        <f>IF(AND(G3713&gt;0,H3713&gt;0),G3713/H3713,"")</f>
        <v/>
      </c>
    </row>
    <row r="3714">
      <c r="A3714" s="4" t="inlineStr">
        <is>
          <t>420</t>
        </is>
      </c>
      <c r="B3714" s="4" t="n">
        <v>4</v>
      </c>
      <c r="C3714" s="4" t="inlineStr">
        <is>
          <t>elk</t>
        </is>
      </c>
      <c r="D3714" s="4" t="n">
        <v>2011</v>
      </c>
      <c r="E3714" s="13" t="inlineStr">
        <is>
          <t>General</t>
        </is>
      </c>
      <c r="F3714" s="5" t="n">
        <v>433</v>
      </c>
      <c r="G3714" s="5" t="n">
        <v>2756</v>
      </c>
      <c r="H3714" s="5" t="n">
        <v>108</v>
      </c>
      <c r="I3714" s="5" t="n">
        <v>41</v>
      </c>
      <c r="J3714" s="5" t="n">
        <v>53</v>
      </c>
      <c r="K3714" s="10">
        <f>IF(F3714&gt;0,H3714/F3714,"")</f>
        <v/>
      </c>
      <c r="L3714" s="16">
        <f>IF(AND(G3714&gt;0,H3714&gt;0),G3714/H3714,"")</f>
        <v/>
      </c>
    </row>
    <row r="3715">
      <c r="A3715" s="4" t="inlineStr">
        <is>
          <t>420</t>
        </is>
      </c>
      <c r="B3715" s="4" t="n">
        <v>4</v>
      </c>
      <c r="C3715" s="4" t="inlineStr">
        <is>
          <t>elk</t>
        </is>
      </c>
      <c r="D3715" s="4" t="n">
        <v>2012</v>
      </c>
      <c r="E3715" s="13" t="inlineStr">
        <is>
          <t>General</t>
        </is>
      </c>
      <c r="F3715" s="5" t="n">
        <v>449</v>
      </c>
      <c r="G3715" s="5" t="n">
        <v>2730</v>
      </c>
      <c r="H3715" s="5" t="n">
        <v>88</v>
      </c>
      <c r="I3715" s="5" t="n">
        <v>63</v>
      </c>
      <c r="J3715" s="5" t="n">
        <v>26</v>
      </c>
      <c r="K3715" s="10">
        <f>IF(F3715&gt;0,H3715/F3715,"")</f>
        <v/>
      </c>
      <c r="L3715" s="16">
        <f>IF(AND(G3715&gt;0,H3715&gt;0),G3715/H3715,"")</f>
        <v/>
      </c>
    </row>
    <row r="3716">
      <c r="A3716" s="4" t="inlineStr">
        <is>
          <t>420</t>
        </is>
      </c>
      <c r="B3716" s="4" t="n">
        <v>4</v>
      </c>
      <c r="C3716" s="4" t="inlineStr">
        <is>
          <t>elk</t>
        </is>
      </c>
      <c r="D3716" s="4" t="n">
        <v>2013</v>
      </c>
      <c r="E3716" s="13" t="inlineStr">
        <is>
          <t>General</t>
        </is>
      </c>
      <c r="F3716" s="5" t="n"/>
      <c r="G3716" s="5" t="n"/>
      <c r="H3716" s="5" t="n">
        <v>50</v>
      </c>
      <c r="I3716" s="5" t="n">
        <v>10</v>
      </c>
      <c r="J3716" s="5" t="n">
        <v>35</v>
      </c>
      <c r="K3716" s="10">
        <f>IF(F3716&gt;0,H3716/F3716,"")</f>
        <v/>
      </c>
      <c r="L3716" s="16">
        <f>IF(AND(G3716&gt;0,H3716&gt;0),G3716/H3716,"")</f>
        <v/>
      </c>
    </row>
    <row r="3717">
      <c r="A3717" s="4" t="inlineStr">
        <is>
          <t>420</t>
        </is>
      </c>
      <c r="B3717" s="4" t="n">
        <v>4</v>
      </c>
      <c r="C3717" s="4" t="inlineStr">
        <is>
          <t>elk</t>
        </is>
      </c>
      <c r="D3717" s="4" t="n">
        <v>2014</v>
      </c>
      <c r="E3717" s="13" t="inlineStr">
        <is>
          <t>General</t>
        </is>
      </c>
      <c r="F3717" s="5" t="n">
        <v>332</v>
      </c>
      <c r="G3717" s="5" t="n">
        <v>1817</v>
      </c>
      <c r="H3717" s="5" t="n">
        <v>67</v>
      </c>
      <c r="I3717" s="5" t="n">
        <v>18</v>
      </c>
      <c r="J3717" s="5" t="n">
        <v>46</v>
      </c>
      <c r="K3717" s="10">
        <f>IF(F3717&gt;0,H3717/F3717,"")</f>
        <v/>
      </c>
      <c r="L3717" s="16">
        <f>IF(AND(G3717&gt;0,H3717&gt;0),G3717/H3717,"")</f>
        <v/>
      </c>
    </row>
    <row r="3718">
      <c r="A3718" s="4" t="inlineStr">
        <is>
          <t>420</t>
        </is>
      </c>
      <c r="B3718" s="4" t="n">
        <v>4</v>
      </c>
      <c r="C3718" s="4" t="inlineStr">
        <is>
          <t>elk</t>
        </is>
      </c>
      <c r="D3718" s="4" t="n">
        <v>2015</v>
      </c>
      <c r="E3718" s="13" t="inlineStr">
        <is>
          <t>General</t>
        </is>
      </c>
      <c r="F3718" s="5" t="n">
        <v>425</v>
      </c>
      <c r="G3718" s="5" t="n">
        <v>2832</v>
      </c>
      <c r="H3718" s="5" t="n">
        <v>87</v>
      </c>
      <c r="I3718" s="5" t="n">
        <v>32</v>
      </c>
      <c r="J3718" s="5" t="n">
        <v>46</v>
      </c>
      <c r="K3718" s="10">
        <f>IF(F3718&gt;0,H3718/F3718,"")</f>
        <v/>
      </c>
      <c r="L3718" s="16">
        <f>IF(AND(G3718&gt;0,H3718&gt;0),G3718/H3718,"")</f>
        <v/>
      </c>
    </row>
    <row r="3719">
      <c r="A3719" s="4" t="inlineStr">
        <is>
          <t>420</t>
        </is>
      </c>
      <c r="B3719" s="4" t="n">
        <v>4</v>
      </c>
      <c r="C3719" s="4" t="inlineStr">
        <is>
          <t>elk</t>
        </is>
      </c>
      <c r="D3719" s="4" t="n">
        <v>2016</v>
      </c>
      <c r="E3719" s="13" t="inlineStr">
        <is>
          <t>General</t>
        </is>
      </c>
      <c r="F3719" s="5" t="n">
        <v>361</v>
      </c>
      <c r="G3719" s="5" t="n">
        <v>2541</v>
      </c>
      <c r="H3719" s="5" t="n">
        <v>79</v>
      </c>
      <c r="I3719" s="5" t="n">
        <v>33</v>
      </c>
      <c r="J3719" s="5" t="n">
        <v>35</v>
      </c>
      <c r="K3719" s="10">
        <f>IF(F3719&gt;0,H3719/F3719,"")</f>
        <v/>
      </c>
      <c r="L3719" s="16">
        <f>IF(AND(G3719&gt;0,H3719&gt;0),G3719/H3719,"")</f>
        <v/>
      </c>
    </row>
    <row r="3720">
      <c r="A3720" s="4" t="inlineStr">
        <is>
          <t>420</t>
        </is>
      </c>
      <c r="B3720" s="4" t="n">
        <v>4</v>
      </c>
      <c r="C3720" s="4" t="inlineStr">
        <is>
          <t>elk</t>
        </is>
      </c>
      <c r="D3720" s="4" t="n">
        <v>2017</v>
      </c>
      <c r="E3720" s="13" t="inlineStr">
        <is>
          <t>General</t>
        </is>
      </c>
      <c r="F3720" s="5" t="n"/>
      <c r="G3720" s="5" t="n"/>
      <c r="H3720" s="5" t="n">
        <v>79</v>
      </c>
      <c r="I3720" s="5" t="n">
        <v>41</v>
      </c>
      <c r="J3720" s="5" t="n">
        <v>34</v>
      </c>
      <c r="K3720" s="10">
        <f>IF(F3720&gt;0,H3720/F3720,"")</f>
        <v/>
      </c>
      <c r="L3720" s="16">
        <f>IF(AND(G3720&gt;0,H3720&gt;0),G3720/H3720,"")</f>
        <v/>
      </c>
    </row>
    <row r="3721">
      <c r="A3721" s="4" t="inlineStr">
        <is>
          <t>420</t>
        </is>
      </c>
      <c r="B3721" s="4" t="n">
        <v>4</v>
      </c>
      <c r="C3721" s="4" t="inlineStr">
        <is>
          <t>elk</t>
        </is>
      </c>
      <c r="D3721" s="4" t="n">
        <v>2018</v>
      </c>
      <c r="E3721" s="13" t="inlineStr">
        <is>
          <t>General</t>
        </is>
      </c>
      <c r="F3721" s="5" t="n">
        <v>365</v>
      </c>
      <c r="G3721" s="5" t="n">
        <v>2371</v>
      </c>
      <c r="H3721" s="5" t="n">
        <v>73</v>
      </c>
      <c r="I3721" s="5" t="n">
        <v>44</v>
      </c>
      <c r="J3721" s="5" t="n">
        <v>27</v>
      </c>
      <c r="K3721" s="10">
        <f>IF(F3721&gt;0,H3721/F3721,"")</f>
        <v/>
      </c>
      <c r="L3721" s="16">
        <f>IF(AND(G3721&gt;0,H3721&gt;0),G3721/H3721,"")</f>
        <v/>
      </c>
    </row>
    <row r="3722">
      <c r="A3722" s="4" t="inlineStr">
        <is>
          <t>420</t>
        </is>
      </c>
      <c r="B3722" s="4" t="n">
        <v>4</v>
      </c>
      <c r="C3722" s="4" t="inlineStr">
        <is>
          <t>elk</t>
        </is>
      </c>
      <c r="D3722" s="4" t="n">
        <v>2019</v>
      </c>
      <c r="E3722" s="13" t="inlineStr">
        <is>
          <t>General</t>
        </is>
      </c>
      <c r="F3722" s="5" t="n"/>
      <c r="G3722" s="5" t="n"/>
      <c r="H3722" s="5" t="n">
        <v>59</v>
      </c>
      <c r="I3722" s="5" t="n">
        <v>28</v>
      </c>
      <c r="J3722" s="5" t="n">
        <v>31</v>
      </c>
      <c r="K3722" s="10">
        <f>IF(F3722&gt;0,H3722/F3722,"")</f>
        <v/>
      </c>
      <c r="L3722" s="16">
        <f>IF(AND(G3722&gt;0,H3722&gt;0),G3722/H3722,"")</f>
        <v/>
      </c>
    </row>
    <row r="3723">
      <c r="A3723" s="4" t="inlineStr">
        <is>
          <t>420</t>
        </is>
      </c>
      <c r="B3723" s="4" t="n">
        <v>4</v>
      </c>
      <c r="C3723" s="4" t="inlineStr">
        <is>
          <t>elk</t>
        </is>
      </c>
      <c r="D3723" s="4" t="n">
        <v>2020</v>
      </c>
      <c r="E3723" s="13" t="inlineStr">
        <is>
          <t>General</t>
        </is>
      </c>
      <c r="F3723" s="5" t="n">
        <v>332</v>
      </c>
      <c r="G3723" s="5" t="n">
        <v>2147</v>
      </c>
      <c r="H3723" s="5" t="n">
        <v>39</v>
      </c>
      <c r="I3723" s="5" t="n">
        <v>18</v>
      </c>
      <c r="J3723" s="5" t="n">
        <v>19</v>
      </c>
      <c r="K3723" s="10">
        <f>IF(F3723&gt;0,H3723/F3723,"")</f>
        <v/>
      </c>
      <c r="L3723" s="16">
        <f>IF(AND(G3723&gt;0,H3723&gt;0),G3723/H3723,"")</f>
        <v/>
      </c>
    </row>
    <row r="3724">
      <c r="A3724" s="4" t="inlineStr">
        <is>
          <t>420</t>
        </is>
      </c>
      <c r="B3724" s="4" t="n">
        <v>4</v>
      </c>
      <c r="C3724" s="4" t="inlineStr">
        <is>
          <t>elk</t>
        </is>
      </c>
      <c r="D3724" s="4" t="n">
        <v>2021</v>
      </c>
      <c r="E3724" s="13" t="inlineStr">
        <is>
          <t>General</t>
        </is>
      </c>
      <c r="F3724" s="5" t="n"/>
      <c r="G3724" s="5" t="n"/>
      <c r="H3724" s="5" t="n">
        <v>83</v>
      </c>
      <c r="I3724" s="5" t="n">
        <v>42</v>
      </c>
      <c r="J3724" s="5" t="n">
        <v>34</v>
      </c>
      <c r="K3724" s="10">
        <f>IF(F3724&gt;0,H3724/F3724,"")</f>
        <v/>
      </c>
      <c r="L3724" s="16">
        <f>IF(AND(G3724&gt;0,H3724&gt;0),G3724/H3724,"")</f>
        <v/>
      </c>
    </row>
    <row r="3725">
      <c r="A3725" s="4" t="inlineStr">
        <is>
          <t>420</t>
        </is>
      </c>
      <c r="B3725" s="4" t="n">
        <v>4</v>
      </c>
      <c r="C3725" s="4" t="inlineStr">
        <is>
          <t>elk</t>
        </is>
      </c>
      <c r="D3725" s="4" t="n">
        <v>2022</v>
      </c>
      <c r="E3725" s="13" t="inlineStr">
        <is>
          <t>General</t>
        </is>
      </c>
      <c r="F3725" s="5" t="n">
        <v>296</v>
      </c>
      <c r="G3725" s="5" t="n">
        <v>2061</v>
      </c>
      <c r="H3725" s="5" t="n">
        <v>58</v>
      </c>
      <c r="I3725" s="5" t="n">
        <v>21</v>
      </c>
      <c r="J3725" s="5" t="n">
        <v>37</v>
      </c>
      <c r="K3725" s="10">
        <f>IF(F3725&gt;0,H3725/F3725,"")</f>
        <v/>
      </c>
      <c r="L3725" s="16">
        <f>IF(AND(G3725&gt;0,H3725&gt;0),G3725/H3725,"")</f>
        <v/>
      </c>
    </row>
    <row r="3726">
      <c r="A3726" s="4" t="inlineStr">
        <is>
          <t>420</t>
        </is>
      </c>
      <c r="B3726" s="4" t="n">
        <v>4</v>
      </c>
      <c r="C3726" s="4" t="inlineStr">
        <is>
          <t>elk</t>
        </is>
      </c>
      <c r="D3726" s="4" t="n">
        <v>2023</v>
      </c>
      <c r="E3726" s="13" t="inlineStr">
        <is>
          <t>General</t>
        </is>
      </c>
      <c r="F3726" s="5" t="n"/>
      <c r="G3726" s="5" t="n"/>
      <c r="H3726" s="5" t="n">
        <v>37</v>
      </c>
      <c r="I3726" s="5" t="n">
        <v>12</v>
      </c>
      <c r="J3726" s="5" t="n">
        <v>25</v>
      </c>
      <c r="K3726" s="10">
        <f>IF(F3726&gt;0,H3726/F3726,"")</f>
        <v/>
      </c>
      <c r="L3726" s="16">
        <f>IF(AND(G3726&gt;0,H3726&gt;0),G3726/H3726,"")</f>
        <v/>
      </c>
    </row>
    <row r="3727">
      <c r="A3727" s="4" t="inlineStr">
        <is>
          <t>420</t>
        </is>
      </c>
      <c r="B3727" s="4" t="n">
        <v>4</v>
      </c>
      <c r="C3727" s="4" t="inlineStr">
        <is>
          <t>elk</t>
        </is>
      </c>
      <c r="D3727" s="4" t="n">
        <v>2024</v>
      </c>
      <c r="E3727" s="13" t="inlineStr">
        <is>
          <t>General</t>
        </is>
      </c>
      <c r="F3727" s="5" t="n">
        <v>314</v>
      </c>
      <c r="G3727" s="5" t="n">
        <v>2385</v>
      </c>
      <c r="H3727" s="5" t="n">
        <v>80</v>
      </c>
      <c r="I3727" s="5" t="n">
        <v>41</v>
      </c>
      <c r="J3727" s="5" t="n">
        <v>37</v>
      </c>
      <c r="K3727" s="10">
        <f>IF(F3727&gt;0,H3727/F3727,"")</f>
        <v/>
      </c>
      <c r="L3727" s="16">
        <f>IF(AND(G3727&gt;0,H3727&gt;0),G3727/H3727,"")</f>
        <v/>
      </c>
    </row>
    <row r="3728">
      <c r="A3728" s="4" t="inlineStr">
        <is>
          <t>420</t>
        </is>
      </c>
      <c r="B3728" s="4" t="n">
        <v>4</v>
      </c>
      <c r="C3728" s="4" t="inlineStr">
        <is>
          <t>elk</t>
        </is>
      </c>
      <c r="D3728" s="4" t="n">
        <v>2025</v>
      </c>
      <c r="E3728" s="13" t="inlineStr">
        <is>
          <t>General</t>
        </is>
      </c>
      <c r="F3728" s="5" t="n"/>
      <c r="G3728" s="5" t="n"/>
      <c r="H3728" s="5" t="n">
        <v>80</v>
      </c>
      <c r="I3728" s="5" t="n">
        <v>34</v>
      </c>
      <c r="J3728" s="5" t="n">
        <v>45</v>
      </c>
      <c r="K3728" s="10">
        <f>IF(F3728&gt;0,H3728/F3728,"")</f>
        <v/>
      </c>
      <c r="L3728" s="16">
        <f>IF(AND(G3728&gt;0,H3728&gt;0),G3728/H3728,"")</f>
        <v/>
      </c>
    </row>
    <row r="3729">
      <c r="A3729" s="4" t="inlineStr">
        <is>
          <t>421</t>
        </is>
      </c>
      <c r="B3729" s="4" t="n">
        <v>4</v>
      </c>
      <c r="C3729" s="4" t="inlineStr">
        <is>
          <t>elk</t>
        </is>
      </c>
      <c r="D3729" s="4" t="n">
        <v>2004</v>
      </c>
      <c r="E3729" s="13" t="inlineStr">
        <is>
          <t>General</t>
        </is>
      </c>
      <c r="F3729" s="5" t="n">
        <v>352</v>
      </c>
      <c r="G3729" s="5" t="n">
        <v>1552</v>
      </c>
      <c r="H3729" s="5" t="n">
        <v>124</v>
      </c>
      <c r="I3729" s="5" t="n">
        <v>39</v>
      </c>
      <c r="J3729" s="5" t="n">
        <v>79</v>
      </c>
      <c r="K3729" s="10">
        <f>IF(F3729&gt;0,H3729/F3729,"")</f>
        <v/>
      </c>
      <c r="L3729" s="16">
        <f>IF(AND(G3729&gt;0,H3729&gt;0),G3729/H3729,"")</f>
        <v/>
      </c>
    </row>
    <row r="3730">
      <c r="A3730" s="4" t="inlineStr">
        <is>
          <t>421</t>
        </is>
      </c>
      <c r="B3730" s="4" t="n">
        <v>4</v>
      </c>
      <c r="C3730" s="4" t="inlineStr">
        <is>
          <t>elk</t>
        </is>
      </c>
      <c r="D3730" s="4" t="n">
        <v>2005</v>
      </c>
      <c r="E3730" s="13" t="inlineStr">
        <is>
          <t>General</t>
        </is>
      </c>
      <c r="F3730" s="5" t="n">
        <v>446</v>
      </c>
      <c r="G3730" s="5" t="n">
        <v>2052</v>
      </c>
      <c r="H3730" s="5" t="n">
        <v>163</v>
      </c>
      <c r="I3730" s="5" t="n">
        <v>59</v>
      </c>
      <c r="J3730" s="5" t="n">
        <v>90</v>
      </c>
      <c r="K3730" s="10">
        <f>IF(F3730&gt;0,H3730/F3730,"")</f>
        <v/>
      </c>
      <c r="L3730" s="16">
        <f>IF(AND(G3730&gt;0,H3730&gt;0),G3730/H3730,"")</f>
        <v/>
      </c>
    </row>
    <row r="3731">
      <c r="A3731" s="4" t="inlineStr">
        <is>
          <t>421</t>
        </is>
      </c>
      <c r="B3731" s="4" t="n">
        <v>4</v>
      </c>
      <c r="C3731" s="4" t="inlineStr">
        <is>
          <t>elk</t>
        </is>
      </c>
      <c r="D3731" s="4" t="n">
        <v>2006</v>
      </c>
      <c r="E3731" s="13" t="inlineStr">
        <is>
          <t>General</t>
        </is>
      </c>
      <c r="F3731" s="5" t="n">
        <v>296</v>
      </c>
      <c r="G3731" s="5" t="n">
        <v>1715</v>
      </c>
      <c r="H3731" s="5" t="n">
        <v>125</v>
      </c>
      <c r="I3731" s="5" t="n">
        <v>45</v>
      </c>
      <c r="J3731" s="5" t="n">
        <v>69</v>
      </c>
      <c r="K3731" s="10">
        <f>IF(F3731&gt;0,H3731/F3731,"")</f>
        <v/>
      </c>
      <c r="L3731" s="16">
        <f>IF(AND(G3731&gt;0,H3731&gt;0),G3731/H3731,"")</f>
        <v/>
      </c>
    </row>
    <row r="3732">
      <c r="A3732" s="4" t="inlineStr">
        <is>
          <t>421</t>
        </is>
      </c>
      <c r="B3732" s="4" t="n">
        <v>4</v>
      </c>
      <c r="C3732" s="4" t="inlineStr">
        <is>
          <t>elk</t>
        </is>
      </c>
      <c r="D3732" s="4" t="n">
        <v>2007</v>
      </c>
      <c r="E3732" s="13" t="inlineStr">
        <is>
          <t>General</t>
        </is>
      </c>
      <c r="F3732" s="5" t="n">
        <v>419</v>
      </c>
      <c r="G3732" s="5" t="n">
        <v>1800</v>
      </c>
      <c r="H3732" s="5" t="n">
        <v>171</v>
      </c>
      <c r="I3732" s="5" t="n">
        <v>41</v>
      </c>
      <c r="J3732" s="5" t="n">
        <v>115</v>
      </c>
      <c r="K3732" s="10">
        <f>IF(F3732&gt;0,H3732/F3732,"")</f>
        <v/>
      </c>
      <c r="L3732" s="16">
        <f>IF(AND(G3732&gt;0,H3732&gt;0),G3732/H3732,"")</f>
        <v/>
      </c>
    </row>
    <row r="3733">
      <c r="A3733" s="4" t="inlineStr">
        <is>
          <t>421</t>
        </is>
      </c>
      <c r="B3733" s="4" t="n">
        <v>4</v>
      </c>
      <c r="C3733" s="4" t="inlineStr">
        <is>
          <t>elk</t>
        </is>
      </c>
      <c r="D3733" s="4" t="n">
        <v>2008</v>
      </c>
      <c r="E3733" s="13" t="inlineStr">
        <is>
          <t>General</t>
        </is>
      </c>
      <c r="F3733" s="5" t="n">
        <v>389</v>
      </c>
      <c r="G3733" s="5" t="n">
        <v>2188</v>
      </c>
      <c r="H3733" s="5" t="n">
        <v>106</v>
      </c>
      <c r="I3733" s="5" t="n">
        <v>42</v>
      </c>
      <c r="J3733" s="5" t="n">
        <v>61</v>
      </c>
      <c r="K3733" s="10">
        <f>IF(F3733&gt;0,H3733/F3733,"")</f>
        <v/>
      </c>
      <c r="L3733" s="16">
        <f>IF(AND(G3733&gt;0,H3733&gt;0),G3733/H3733,"")</f>
        <v/>
      </c>
    </row>
    <row r="3734">
      <c r="A3734" s="4" t="inlineStr">
        <is>
          <t>421</t>
        </is>
      </c>
      <c r="B3734" s="4" t="n">
        <v>4</v>
      </c>
      <c r="C3734" s="4" t="inlineStr">
        <is>
          <t>elk</t>
        </is>
      </c>
      <c r="D3734" s="4" t="n">
        <v>2009</v>
      </c>
      <c r="E3734" s="13" t="inlineStr">
        <is>
          <t>General</t>
        </is>
      </c>
      <c r="F3734" s="5" t="n">
        <v>335</v>
      </c>
      <c r="G3734" s="5" t="n">
        <v>2044</v>
      </c>
      <c r="H3734" s="5" t="n">
        <v>104</v>
      </c>
      <c r="I3734" s="5" t="n">
        <v>39</v>
      </c>
      <c r="J3734" s="5" t="n">
        <v>56</v>
      </c>
      <c r="K3734" s="10">
        <f>IF(F3734&gt;0,H3734/F3734,"")</f>
        <v/>
      </c>
      <c r="L3734" s="16">
        <f>IF(AND(G3734&gt;0,H3734&gt;0),G3734/H3734,"")</f>
        <v/>
      </c>
    </row>
    <row r="3735">
      <c r="A3735" s="4" t="inlineStr">
        <is>
          <t>421</t>
        </is>
      </c>
      <c r="B3735" s="4" t="n">
        <v>4</v>
      </c>
      <c r="C3735" s="4" t="inlineStr">
        <is>
          <t>elk</t>
        </is>
      </c>
      <c r="D3735" s="4" t="n">
        <v>2010</v>
      </c>
      <c r="E3735" s="13" t="inlineStr">
        <is>
          <t>General</t>
        </is>
      </c>
      <c r="F3735" s="5" t="n">
        <v>362</v>
      </c>
      <c r="G3735" s="5" t="n">
        <v>1542</v>
      </c>
      <c r="H3735" s="5" t="n">
        <v>140</v>
      </c>
      <c r="I3735" s="5" t="n">
        <v>44</v>
      </c>
      <c r="J3735" s="5" t="n">
        <v>80</v>
      </c>
      <c r="K3735" s="10">
        <f>IF(F3735&gt;0,H3735/F3735,"")</f>
        <v/>
      </c>
      <c r="L3735" s="16">
        <f>IF(AND(G3735&gt;0,H3735&gt;0),G3735/H3735,"")</f>
        <v/>
      </c>
    </row>
    <row r="3736">
      <c r="A3736" s="4" t="inlineStr">
        <is>
          <t>421</t>
        </is>
      </c>
      <c r="B3736" s="4" t="n">
        <v>4</v>
      </c>
      <c r="C3736" s="4" t="inlineStr">
        <is>
          <t>elk</t>
        </is>
      </c>
      <c r="D3736" s="4" t="n">
        <v>2011</v>
      </c>
      <c r="E3736" s="13" t="inlineStr">
        <is>
          <t>General</t>
        </is>
      </c>
      <c r="F3736" s="5" t="n">
        <v>370</v>
      </c>
      <c r="G3736" s="5" t="n">
        <v>1958</v>
      </c>
      <c r="H3736" s="5" t="n">
        <v>112</v>
      </c>
      <c r="I3736" s="5" t="n">
        <v>31</v>
      </c>
      <c r="J3736" s="5" t="n">
        <v>76</v>
      </c>
      <c r="K3736" s="10">
        <f>IF(F3736&gt;0,H3736/F3736,"")</f>
        <v/>
      </c>
      <c r="L3736" s="16">
        <f>IF(AND(G3736&gt;0,H3736&gt;0),G3736/H3736,"")</f>
        <v/>
      </c>
    </row>
    <row r="3737">
      <c r="A3737" s="4" t="inlineStr">
        <is>
          <t>421</t>
        </is>
      </c>
      <c r="B3737" s="4" t="n">
        <v>4</v>
      </c>
      <c r="C3737" s="4" t="inlineStr">
        <is>
          <t>elk</t>
        </is>
      </c>
      <c r="D3737" s="4" t="n">
        <v>2012</v>
      </c>
      <c r="E3737" s="13" t="inlineStr">
        <is>
          <t>General</t>
        </is>
      </c>
      <c r="F3737" s="5" t="n">
        <v>314</v>
      </c>
      <c r="G3737" s="5" t="n">
        <v>1684</v>
      </c>
      <c r="H3737" s="5" t="n">
        <v>92</v>
      </c>
      <c r="I3737" s="5" t="n">
        <v>34</v>
      </c>
      <c r="J3737" s="5" t="n">
        <v>50</v>
      </c>
      <c r="K3737" s="10">
        <f>IF(F3737&gt;0,H3737/F3737,"")</f>
        <v/>
      </c>
      <c r="L3737" s="16">
        <f>IF(AND(G3737&gt;0,H3737&gt;0),G3737/H3737,"")</f>
        <v/>
      </c>
    </row>
    <row r="3738">
      <c r="A3738" s="4" t="inlineStr">
        <is>
          <t>421</t>
        </is>
      </c>
      <c r="B3738" s="4" t="n">
        <v>4</v>
      </c>
      <c r="C3738" s="4" t="inlineStr">
        <is>
          <t>elk</t>
        </is>
      </c>
      <c r="D3738" s="4" t="n">
        <v>2013</v>
      </c>
      <c r="E3738" s="13" t="inlineStr">
        <is>
          <t>General</t>
        </is>
      </c>
      <c r="F3738" s="5" t="n"/>
      <c r="G3738" s="5" t="n"/>
      <c r="H3738" s="5" t="n">
        <v>169</v>
      </c>
      <c r="I3738" s="5" t="n">
        <v>53</v>
      </c>
      <c r="J3738" s="5" t="n">
        <v>105</v>
      </c>
      <c r="K3738" s="10">
        <f>IF(F3738&gt;0,H3738/F3738,"")</f>
        <v/>
      </c>
      <c r="L3738" s="16">
        <f>IF(AND(G3738&gt;0,H3738&gt;0),G3738/H3738,"")</f>
        <v/>
      </c>
    </row>
    <row r="3739">
      <c r="A3739" s="4" t="inlineStr">
        <is>
          <t>421</t>
        </is>
      </c>
      <c r="B3739" s="4" t="n">
        <v>4</v>
      </c>
      <c r="C3739" s="4" t="inlineStr">
        <is>
          <t>elk</t>
        </is>
      </c>
      <c r="D3739" s="4" t="n">
        <v>2014</v>
      </c>
      <c r="E3739" s="13" t="inlineStr">
        <is>
          <t>General</t>
        </is>
      </c>
      <c r="F3739" s="5" t="n">
        <v>443</v>
      </c>
      <c r="G3739" s="5" t="n">
        <v>2067</v>
      </c>
      <c r="H3739" s="5" t="n">
        <v>177</v>
      </c>
      <c r="I3739" s="5" t="n">
        <v>52</v>
      </c>
      <c r="J3739" s="5" t="n">
        <v>117</v>
      </c>
      <c r="K3739" s="10">
        <f>IF(F3739&gt;0,H3739/F3739,"")</f>
        <v/>
      </c>
      <c r="L3739" s="16">
        <f>IF(AND(G3739&gt;0,H3739&gt;0),G3739/H3739,"")</f>
        <v/>
      </c>
    </row>
    <row r="3740">
      <c r="A3740" s="4" t="inlineStr">
        <is>
          <t>421</t>
        </is>
      </c>
      <c r="B3740" s="4" t="n">
        <v>4</v>
      </c>
      <c r="C3740" s="4" t="inlineStr">
        <is>
          <t>elk</t>
        </is>
      </c>
      <c r="D3740" s="4" t="n">
        <v>2015</v>
      </c>
      <c r="E3740" s="13" t="inlineStr">
        <is>
          <t>General</t>
        </is>
      </c>
      <c r="F3740" s="5" t="n">
        <v>419</v>
      </c>
      <c r="G3740" s="5" t="n">
        <v>1884</v>
      </c>
      <c r="H3740" s="5" t="n">
        <v>175</v>
      </c>
      <c r="I3740" s="5" t="n">
        <v>82</v>
      </c>
      <c r="J3740" s="5" t="n">
        <v>87</v>
      </c>
      <c r="K3740" s="10">
        <f>IF(F3740&gt;0,H3740/F3740,"")</f>
        <v/>
      </c>
      <c r="L3740" s="16">
        <f>IF(AND(G3740&gt;0,H3740&gt;0),G3740/H3740,"")</f>
        <v/>
      </c>
    </row>
    <row r="3741">
      <c r="A3741" s="4" t="inlineStr">
        <is>
          <t>421</t>
        </is>
      </c>
      <c r="B3741" s="4" t="n">
        <v>4</v>
      </c>
      <c r="C3741" s="4" t="inlineStr">
        <is>
          <t>elk</t>
        </is>
      </c>
      <c r="D3741" s="4" t="n">
        <v>2016</v>
      </c>
      <c r="E3741" s="13" t="inlineStr">
        <is>
          <t>General</t>
        </is>
      </c>
      <c r="F3741" s="5" t="n">
        <v>393</v>
      </c>
      <c r="G3741" s="5" t="n">
        <v>2092</v>
      </c>
      <c r="H3741" s="5" t="n">
        <v>106</v>
      </c>
      <c r="I3741" s="5" t="n">
        <v>44</v>
      </c>
      <c r="J3741" s="5" t="n">
        <v>59</v>
      </c>
      <c r="K3741" s="10">
        <f>IF(F3741&gt;0,H3741/F3741,"")</f>
        <v/>
      </c>
      <c r="L3741" s="16">
        <f>IF(AND(G3741&gt;0,H3741&gt;0),G3741/H3741,"")</f>
        <v/>
      </c>
    </row>
    <row r="3742">
      <c r="A3742" s="4" t="inlineStr">
        <is>
          <t>421</t>
        </is>
      </c>
      <c r="B3742" s="4" t="n">
        <v>4</v>
      </c>
      <c r="C3742" s="4" t="inlineStr">
        <is>
          <t>elk</t>
        </is>
      </c>
      <c r="D3742" s="4" t="n">
        <v>2017</v>
      </c>
      <c r="E3742" s="13" t="inlineStr">
        <is>
          <t>General</t>
        </is>
      </c>
      <c r="F3742" s="5" t="n"/>
      <c r="G3742" s="5" t="n"/>
      <c r="H3742" s="5" t="n">
        <v>87</v>
      </c>
      <c r="I3742" s="5" t="n">
        <v>49</v>
      </c>
      <c r="J3742" s="5" t="n">
        <v>33</v>
      </c>
      <c r="K3742" s="10">
        <f>IF(F3742&gt;0,H3742/F3742,"")</f>
        <v/>
      </c>
      <c r="L3742" s="16">
        <f>IF(AND(G3742&gt;0,H3742&gt;0),G3742/H3742,"")</f>
        <v/>
      </c>
    </row>
    <row r="3743">
      <c r="A3743" s="4" t="inlineStr">
        <is>
          <t>421</t>
        </is>
      </c>
      <c r="B3743" s="4" t="n">
        <v>4</v>
      </c>
      <c r="C3743" s="4" t="inlineStr">
        <is>
          <t>elk</t>
        </is>
      </c>
      <c r="D3743" s="4" t="n">
        <v>2018</v>
      </c>
      <c r="E3743" s="13" t="inlineStr">
        <is>
          <t>General</t>
        </is>
      </c>
      <c r="F3743" s="5" t="n">
        <v>323</v>
      </c>
      <c r="G3743" s="5" t="n">
        <v>1754</v>
      </c>
      <c r="H3743" s="5" t="n">
        <v>118</v>
      </c>
      <c r="I3743" s="5" t="n">
        <v>39</v>
      </c>
      <c r="J3743" s="5" t="n">
        <v>72</v>
      </c>
      <c r="K3743" s="10">
        <f>IF(F3743&gt;0,H3743/F3743,"")</f>
        <v/>
      </c>
      <c r="L3743" s="16">
        <f>IF(AND(G3743&gt;0,H3743&gt;0),G3743/H3743,"")</f>
        <v/>
      </c>
    </row>
    <row r="3744">
      <c r="A3744" s="4" t="inlineStr">
        <is>
          <t>421</t>
        </is>
      </c>
      <c r="B3744" s="4" t="n">
        <v>4</v>
      </c>
      <c r="C3744" s="4" t="inlineStr">
        <is>
          <t>elk</t>
        </is>
      </c>
      <c r="D3744" s="4" t="n">
        <v>2019</v>
      </c>
      <c r="E3744" s="13" t="inlineStr">
        <is>
          <t>General</t>
        </is>
      </c>
      <c r="F3744" s="5" t="n"/>
      <c r="G3744" s="5" t="n"/>
      <c r="H3744" s="5" t="n">
        <v>90</v>
      </c>
      <c r="I3744" s="5" t="n">
        <v>60</v>
      </c>
      <c r="J3744" s="5" t="n">
        <v>30</v>
      </c>
      <c r="K3744" s="10">
        <f>IF(F3744&gt;0,H3744/F3744,"")</f>
        <v/>
      </c>
      <c r="L3744" s="16">
        <f>IF(AND(G3744&gt;0,H3744&gt;0),G3744/H3744,"")</f>
        <v/>
      </c>
    </row>
    <row r="3745">
      <c r="A3745" s="4" t="inlineStr">
        <is>
          <t>421</t>
        </is>
      </c>
      <c r="B3745" s="4" t="n">
        <v>4</v>
      </c>
      <c r="C3745" s="4" t="inlineStr">
        <is>
          <t>elk</t>
        </is>
      </c>
      <c r="D3745" s="4" t="n">
        <v>2020</v>
      </c>
      <c r="E3745" s="13" t="inlineStr">
        <is>
          <t>General</t>
        </is>
      </c>
      <c r="F3745" s="5" t="n">
        <v>335</v>
      </c>
      <c r="G3745" s="5" t="n">
        <v>2316</v>
      </c>
      <c r="H3745" s="5" t="n">
        <v>89</v>
      </c>
      <c r="I3745" s="5" t="n">
        <v>54</v>
      </c>
      <c r="J3745" s="5" t="n">
        <v>29</v>
      </c>
      <c r="K3745" s="10">
        <f>IF(F3745&gt;0,H3745/F3745,"")</f>
        <v/>
      </c>
      <c r="L3745" s="16">
        <f>IF(AND(G3745&gt;0,H3745&gt;0),G3745/H3745,"")</f>
        <v/>
      </c>
    </row>
    <row r="3746">
      <c r="A3746" s="4" t="inlineStr">
        <is>
          <t>421</t>
        </is>
      </c>
      <c r="B3746" s="4" t="n">
        <v>4</v>
      </c>
      <c r="C3746" s="4" t="inlineStr">
        <is>
          <t>elk</t>
        </is>
      </c>
      <c r="D3746" s="4" t="n">
        <v>2021</v>
      </c>
      <c r="E3746" s="13" t="inlineStr">
        <is>
          <t>General</t>
        </is>
      </c>
      <c r="F3746" s="5" t="n"/>
      <c r="G3746" s="5" t="n"/>
      <c r="H3746" s="5" t="n">
        <v>136</v>
      </c>
      <c r="I3746" s="5" t="n">
        <v>81</v>
      </c>
      <c r="J3746" s="5" t="n">
        <v>51</v>
      </c>
      <c r="K3746" s="10">
        <f>IF(F3746&gt;0,H3746/F3746,"")</f>
        <v/>
      </c>
      <c r="L3746" s="16">
        <f>IF(AND(G3746&gt;0,H3746&gt;0),G3746/H3746,"")</f>
        <v/>
      </c>
    </row>
    <row r="3747">
      <c r="A3747" s="4" t="inlineStr">
        <is>
          <t>421</t>
        </is>
      </c>
      <c r="B3747" s="4" t="n">
        <v>4</v>
      </c>
      <c r="C3747" s="4" t="inlineStr">
        <is>
          <t>elk</t>
        </is>
      </c>
      <c r="D3747" s="4" t="n">
        <v>2022</v>
      </c>
      <c r="E3747" s="13" t="inlineStr">
        <is>
          <t>General</t>
        </is>
      </c>
      <c r="F3747" s="5" t="n">
        <v>478</v>
      </c>
      <c r="G3747" s="5" t="n">
        <v>2615</v>
      </c>
      <c r="H3747" s="5" t="n">
        <v>103</v>
      </c>
      <c r="I3747" s="5" t="n">
        <v>47</v>
      </c>
      <c r="J3747" s="5" t="n">
        <v>56</v>
      </c>
      <c r="K3747" s="10">
        <f>IF(F3747&gt;0,H3747/F3747,"")</f>
        <v/>
      </c>
      <c r="L3747" s="16">
        <f>IF(AND(G3747&gt;0,H3747&gt;0),G3747/H3747,"")</f>
        <v/>
      </c>
    </row>
    <row r="3748">
      <c r="A3748" s="4" t="inlineStr">
        <is>
          <t>421</t>
        </is>
      </c>
      <c r="B3748" s="4" t="n">
        <v>4</v>
      </c>
      <c r="C3748" s="4" t="inlineStr">
        <is>
          <t>elk</t>
        </is>
      </c>
      <c r="D3748" s="4" t="n">
        <v>2023</v>
      </c>
      <c r="E3748" s="13" t="inlineStr">
        <is>
          <t>General</t>
        </is>
      </c>
      <c r="F3748" s="5" t="n"/>
      <c r="G3748" s="5" t="n"/>
      <c r="H3748" s="5" t="n">
        <v>154</v>
      </c>
      <c r="I3748" s="5" t="n">
        <v>96</v>
      </c>
      <c r="J3748" s="5" t="n">
        <v>55</v>
      </c>
      <c r="K3748" s="10">
        <f>IF(F3748&gt;0,H3748/F3748,"")</f>
        <v/>
      </c>
      <c r="L3748" s="16">
        <f>IF(AND(G3748&gt;0,H3748&gt;0),G3748/H3748,"")</f>
        <v/>
      </c>
    </row>
    <row r="3749">
      <c r="A3749" s="4" t="inlineStr">
        <is>
          <t>421</t>
        </is>
      </c>
      <c r="B3749" s="4" t="n">
        <v>4</v>
      </c>
      <c r="C3749" s="4" t="inlineStr">
        <is>
          <t>elk</t>
        </is>
      </c>
      <c r="D3749" s="4" t="n">
        <v>2024</v>
      </c>
      <c r="E3749" s="13" t="inlineStr">
        <is>
          <t>General</t>
        </is>
      </c>
      <c r="F3749" s="5" t="n">
        <v>596</v>
      </c>
      <c r="G3749" s="5" t="n">
        <v>3737</v>
      </c>
      <c r="H3749" s="5" t="n">
        <v>167</v>
      </c>
      <c r="I3749" s="5" t="n">
        <v>68</v>
      </c>
      <c r="J3749" s="5" t="n">
        <v>99</v>
      </c>
      <c r="K3749" s="10">
        <f>IF(F3749&gt;0,H3749/F3749,"")</f>
        <v/>
      </c>
      <c r="L3749" s="16">
        <f>IF(AND(G3749&gt;0,H3749&gt;0),G3749/H3749,"")</f>
        <v/>
      </c>
    </row>
    <row r="3750">
      <c r="A3750" s="4" t="inlineStr">
        <is>
          <t>421</t>
        </is>
      </c>
      <c r="B3750" s="4" t="n">
        <v>4</v>
      </c>
      <c r="C3750" s="4" t="inlineStr">
        <is>
          <t>elk</t>
        </is>
      </c>
      <c r="D3750" s="4" t="n">
        <v>2025</v>
      </c>
      <c r="E3750" s="13" t="inlineStr">
        <is>
          <t>General</t>
        </is>
      </c>
      <c r="F3750" s="5" t="n"/>
      <c r="G3750" s="5" t="n"/>
      <c r="H3750" s="5" t="n">
        <v>184</v>
      </c>
      <c r="I3750" s="5" t="n">
        <v>84</v>
      </c>
      <c r="J3750" s="5" t="n">
        <v>96</v>
      </c>
      <c r="K3750" s="10">
        <f>IF(F3750&gt;0,H3750/F3750,"")</f>
        <v/>
      </c>
      <c r="L3750" s="16">
        <f>IF(AND(G3750&gt;0,H3750&gt;0),G3750/H3750,"")</f>
        <v/>
      </c>
    </row>
    <row r="3751">
      <c r="A3751" s="4" t="inlineStr">
        <is>
          <t>422</t>
        </is>
      </c>
      <c r="B3751" s="4" t="n">
        <v>4</v>
      </c>
      <c r="C3751" s="4" t="inlineStr">
        <is>
          <t>elk</t>
        </is>
      </c>
      <c r="D3751" s="4" t="n">
        <v>2004</v>
      </c>
      <c r="E3751" s="13" t="inlineStr">
        <is>
          <t>General</t>
        </is>
      </c>
      <c r="F3751" s="5" t="n">
        <v>637</v>
      </c>
      <c r="G3751" s="5" t="n">
        <v>3496</v>
      </c>
      <c r="H3751" s="5" t="n">
        <v>88</v>
      </c>
      <c r="I3751" s="5" t="n">
        <v>64</v>
      </c>
      <c r="J3751" s="5" t="n">
        <v>19</v>
      </c>
      <c r="K3751" s="10">
        <f>IF(F3751&gt;0,H3751/F3751,"")</f>
        <v/>
      </c>
      <c r="L3751" s="16">
        <f>IF(AND(G3751&gt;0,H3751&gt;0),G3751/H3751,"")</f>
        <v/>
      </c>
    </row>
    <row r="3752">
      <c r="A3752" s="4" t="inlineStr">
        <is>
          <t>422</t>
        </is>
      </c>
      <c r="B3752" s="4" t="n">
        <v>4</v>
      </c>
      <c r="C3752" s="4" t="inlineStr">
        <is>
          <t>elk</t>
        </is>
      </c>
      <c r="D3752" s="4" t="n">
        <v>2005</v>
      </c>
      <c r="E3752" s="13" t="inlineStr">
        <is>
          <t>General</t>
        </is>
      </c>
      <c r="F3752" s="5" t="n">
        <v>455</v>
      </c>
      <c r="G3752" s="5" t="n">
        <v>2389</v>
      </c>
      <c r="H3752" s="5" t="n">
        <v>80</v>
      </c>
      <c r="I3752" s="5" t="n">
        <v>32</v>
      </c>
      <c r="J3752" s="5" t="n">
        <v>44</v>
      </c>
      <c r="K3752" s="10">
        <f>IF(F3752&gt;0,H3752/F3752,"")</f>
        <v/>
      </c>
      <c r="L3752" s="16">
        <f>IF(AND(G3752&gt;0,H3752&gt;0),G3752/H3752,"")</f>
        <v/>
      </c>
    </row>
    <row r="3753">
      <c r="A3753" s="4" t="inlineStr">
        <is>
          <t>422</t>
        </is>
      </c>
      <c r="B3753" s="4" t="n">
        <v>4</v>
      </c>
      <c r="C3753" s="4" t="inlineStr">
        <is>
          <t>elk</t>
        </is>
      </c>
      <c r="D3753" s="4" t="n">
        <v>2006</v>
      </c>
      <c r="E3753" s="13" t="inlineStr">
        <is>
          <t>General</t>
        </is>
      </c>
      <c r="F3753" s="5" t="n">
        <v>342</v>
      </c>
      <c r="G3753" s="5" t="n">
        <v>1765</v>
      </c>
      <c r="H3753" s="5" t="n">
        <v>121</v>
      </c>
      <c r="I3753" s="5" t="n">
        <v>71</v>
      </c>
      <c r="J3753" s="5" t="n">
        <v>40</v>
      </c>
      <c r="K3753" s="10">
        <f>IF(F3753&gt;0,H3753/F3753,"")</f>
        <v/>
      </c>
      <c r="L3753" s="16">
        <f>IF(AND(G3753&gt;0,H3753&gt;0),G3753/H3753,"")</f>
        <v/>
      </c>
    </row>
    <row r="3754">
      <c r="A3754" s="4" t="inlineStr">
        <is>
          <t>422</t>
        </is>
      </c>
      <c r="B3754" s="4" t="n">
        <v>4</v>
      </c>
      <c r="C3754" s="4" t="inlineStr">
        <is>
          <t>elk</t>
        </is>
      </c>
      <c r="D3754" s="4" t="n">
        <v>2007</v>
      </c>
      <c r="E3754" s="13" t="inlineStr">
        <is>
          <t>General</t>
        </is>
      </c>
      <c r="F3754" s="5" t="n">
        <v>387</v>
      </c>
      <c r="G3754" s="5" t="n">
        <v>2039</v>
      </c>
      <c r="H3754" s="5" t="n">
        <v>72</v>
      </c>
      <c r="I3754" s="5" t="n">
        <v>44</v>
      </c>
      <c r="J3754" s="5" t="n">
        <v>28</v>
      </c>
      <c r="K3754" s="10">
        <f>IF(F3754&gt;0,H3754/F3754,"")</f>
        <v/>
      </c>
      <c r="L3754" s="16">
        <f>IF(AND(G3754&gt;0,H3754&gt;0),G3754/H3754,"")</f>
        <v/>
      </c>
    </row>
    <row r="3755">
      <c r="A3755" s="4" t="inlineStr">
        <is>
          <t>422</t>
        </is>
      </c>
      <c r="B3755" s="4" t="n">
        <v>4</v>
      </c>
      <c r="C3755" s="4" t="inlineStr">
        <is>
          <t>elk</t>
        </is>
      </c>
      <c r="D3755" s="4" t="n">
        <v>2008</v>
      </c>
      <c r="E3755" s="13" t="inlineStr">
        <is>
          <t>General</t>
        </is>
      </c>
      <c r="F3755" s="5" t="n">
        <v>490</v>
      </c>
      <c r="G3755" s="5" t="n">
        <v>3037</v>
      </c>
      <c r="H3755" s="5" t="n">
        <v>78</v>
      </c>
      <c r="I3755" s="5" t="n">
        <v>54</v>
      </c>
      <c r="J3755" s="5" t="n">
        <v>22</v>
      </c>
      <c r="K3755" s="10">
        <f>IF(F3755&gt;0,H3755/F3755,"")</f>
        <v/>
      </c>
      <c r="L3755" s="16">
        <f>IF(AND(G3755&gt;0,H3755&gt;0),G3755/H3755,"")</f>
        <v/>
      </c>
    </row>
    <row r="3756">
      <c r="A3756" s="4" t="inlineStr">
        <is>
          <t>422</t>
        </is>
      </c>
      <c r="B3756" s="4" t="n">
        <v>4</v>
      </c>
      <c r="C3756" s="4" t="inlineStr">
        <is>
          <t>elk</t>
        </is>
      </c>
      <c r="D3756" s="4" t="n">
        <v>2009</v>
      </c>
      <c r="E3756" s="13" t="inlineStr">
        <is>
          <t>General</t>
        </is>
      </c>
      <c r="F3756" s="5" t="n">
        <v>453</v>
      </c>
      <c r="G3756" s="5" t="n">
        <v>2480</v>
      </c>
      <c r="H3756" s="5" t="n">
        <v>102</v>
      </c>
      <c r="I3756" s="5" t="n">
        <v>59</v>
      </c>
      <c r="J3756" s="5" t="n">
        <v>33</v>
      </c>
      <c r="K3756" s="10">
        <f>IF(F3756&gt;0,H3756/F3756,"")</f>
        <v/>
      </c>
      <c r="L3756" s="16">
        <f>IF(AND(G3756&gt;0,H3756&gt;0),G3756/H3756,"")</f>
        <v/>
      </c>
    </row>
    <row r="3757">
      <c r="A3757" s="4" t="inlineStr">
        <is>
          <t>422</t>
        </is>
      </c>
      <c r="B3757" s="4" t="n">
        <v>4</v>
      </c>
      <c r="C3757" s="4" t="inlineStr">
        <is>
          <t>elk</t>
        </is>
      </c>
      <c r="D3757" s="4" t="n">
        <v>2010</v>
      </c>
      <c r="E3757" s="13" t="inlineStr">
        <is>
          <t>General</t>
        </is>
      </c>
      <c r="F3757" s="5" t="n">
        <v>422</v>
      </c>
      <c r="G3757" s="5" t="n">
        <v>2523</v>
      </c>
      <c r="H3757" s="5" t="n">
        <v>74</v>
      </c>
      <c r="I3757" s="5" t="n">
        <v>38</v>
      </c>
      <c r="J3757" s="5" t="n">
        <v>34</v>
      </c>
      <c r="K3757" s="10">
        <f>IF(F3757&gt;0,H3757/F3757,"")</f>
        <v/>
      </c>
      <c r="L3757" s="16">
        <f>IF(AND(G3757&gt;0,H3757&gt;0),G3757/H3757,"")</f>
        <v/>
      </c>
    </row>
    <row r="3758">
      <c r="A3758" s="4" t="inlineStr">
        <is>
          <t>422</t>
        </is>
      </c>
      <c r="B3758" s="4" t="n">
        <v>4</v>
      </c>
      <c r="C3758" s="4" t="inlineStr">
        <is>
          <t>elk</t>
        </is>
      </c>
      <c r="D3758" s="4" t="n">
        <v>2011</v>
      </c>
      <c r="E3758" s="13" t="inlineStr">
        <is>
          <t>General</t>
        </is>
      </c>
      <c r="F3758" s="5" t="n">
        <v>478</v>
      </c>
      <c r="G3758" s="5" t="n">
        <v>3220</v>
      </c>
      <c r="H3758" s="5" t="n">
        <v>96</v>
      </c>
      <c r="I3758" s="5" t="n">
        <v>48</v>
      </c>
      <c r="J3758" s="5" t="n">
        <v>44</v>
      </c>
      <c r="K3758" s="10">
        <f>IF(F3758&gt;0,H3758/F3758,"")</f>
        <v/>
      </c>
      <c r="L3758" s="16">
        <f>IF(AND(G3758&gt;0,H3758&gt;0),G3758/H3758,"")</f>
        <v/>
      </c>
    </row>
    <row r="3759">
      <c r="A3759" s="4" t="inlineStr">
        <is>
          <t>422</t>
        </is>
      </c>
      <c r="B3759" s="4" t="n">
        <v>4</v>
      </c>
      <c r="C3759" s="4" t="inlineStr">
        <is>
          <t>elk</t>
        </is>
      </c>
      <c r="D3759" s="4" t="n">
        <v>2012</v>
      </c>
      <c r="E3759" s="13" t="inlineStr">
        <is>
          <t>General</t>
        </is>
      </c>
      <c r="F3759" s="5" t="n">
        <v>686</v>
      </c>
      <c r="G3759" s="5" t="n">
        <v>3526</v>
      </c>
      <c r="H3759" s="5" t="n">
        <v>120</v>
      </c>
      <c r="I3759" s="5" t="n">
        <v>58</v>
      </c>
      <c r="J3759" s="5" t="n">
        <v>50</v>
      </c>
      <c r="K3759" s="10">
        <f>IF(F3759&gt;0,H3759/F3759,"")</f>
        <v/>
      </c>
      <c r="L3759" s="16">
        <f>IF(AND(G3759&gt;0,H3759&gt;0),G3759/H3759,"")</f>
        <v/>
      </c>
    </row>
    <row r="3760">
      <c r="A3760" s="4" t="inlineStr">
        <is>
          <t>422</t>
        </is>
      </c>
      <c r="B3760" s="4" t="n">
        <v>4</v>
      </c>
      <c r="C3760" s="4" t="inlineStr">
        <is>
          <t>elk</t>
        </is>
      </c>
      <c r="D3760" s="4" t="n">
        <v>2013</v>
      </c>
      <c r="E3760" s="13" t="inlineStr">
        <is>
          <t>General</t>
        </is>
      </c>
      <c r="F3760" s="5" t="n"/>
      <c r="G3760" s="5" t="n"/>
      <c r="H3760" s="5" t="n">
        <v>174</v>
      </c>
      <c r="I3760" s="5" t="n">
        <v>61</v>
      </c>
      <c r="J3760" s="5" t="n">
        <v>99</v>
      </c>
      <c r="K3760" s="10">
        <f>IF(F3760&gt;0,H3760/F3760,"")</f>
        <v/>
      </c>
      <c r="L3760" s="16">
        <f>IF(AND(G3760&gt;0,H3760&gt;0),G3760/H3760,"")</f>
        <v/>
      </c>
    </row>
    <row r="3761">
      <c r="A3761" s="4" t="inlineStr">
        <is>
          <t>422</t>
        </is>
      </c>
      <c r="B3761" s="4" t="n">
        <v>4</v>
      </c>
      <c r="C3761" s="4" t="inlineStr">
        <is>
          <t>elk</t>
        </is>
      </c>
      <c r="D3761" s="4" t="n">
        <v>2014</v>
      </c>
      <c r="E3761" s="13" t="inlineStr">
        <is>
          <t>General</t>
        </is>
      </c>
      <c r="F3761" s="5" t="n">
        <v>722</v>
      </c>
      <c r="G3761" s="5" t="n">
        <v>4599</v>
      </c>
      <c r="H3761" s="5" t="n">
        <v>183</v>
      </c>
      <c r="I3761" s="5" t="n">
        <v>90</v>
      </c>
      <c r="J3761" s="5" t="n">
        <v>87</v>
      </c>
      <c r="K3761" s="10">
        <f>IF(F3761&gt;0,H3761/F3761,"")</f>
        <v/>
      </c>
      <c r="L3761" s="16">
        <f>IF(AND(G3761&gt;0,H3761&gt;0),G3761/H3761,"")</f>
        <v/>
      </c>
    </row>
    <row r="3762">
      <c r="A3762" s="4" t="inlineStr">
        <is>
          <t>422</t>
        </is>
      </c>
      <c r="B3762" s="4" t="n">
        <v>4</v>
      </c>
      <c r="C3762" s="4" t="inlineStr">
        <is>
          <t>elk</t>
        </is>
      </c>
      <c r="D3762" s="4" t="n">
        <v>2015</v>
      </c>
      <c r="E3762" s="13" t="inlineStr">
        <is>
          <t>General</t>
        </is>
      </c>
      <c r="F3762" s="5" t="n">
        <v>572</v>
      </c>
      <c r="G3762" s="5" t="n">
        <v>3724</v>
      </c>
      <c r="H3762" s="5" t="n">
        <v>165</v>
      </c>
      <c r="I3762" s="5" t="n">
        <v>63</v>
      </c>
      <c r="J3762" s="5" t="n">
        <v>93</v>
      </c>
      <c r="K3762" s="10">
        <f>IF(F3762&gt;0,H3762/F3762,"")</f>
        <v/>
      </c>
      <c r="L3762" s="16">
        <f>IF(AND(G3762&gt;0,H3762&gt;0),G3762/H3762,"")</f>
        <v/>
      </c>
    </row>
    <row r="3763">
      <c r="A3763" s="4" t="inlineStr">
        <is>
          <t>422</t>
        </is>
      </c>
      <c r="B3763" s="4" t="n">
        <v>4</v>
      </c>
      <c r="C3763" s="4" t="inlineStr">
        <is>
          <t>elk</t>
        </is>
      </c>
      <c r="D3763" s="4" t="n">
        <v>2016</v>
      </c>
      <c r="E3763" s="13" t="inlineStr">
        <is>
          <t>General</t>
        </is>
      </c>
      <c r="F3763" s="5" t="n">
        <v>700</v>
      </c>
      <c r="G3763" s="5" t="n">
        <v>4994</v>
      </c>
      <c r="H3763" s="5" t="n">
        <v>203</v>
      </c>
      <c r="I3763" s="5" t="n">
        <v>55</v>
      </c>
      <c r="J3763" s="5" t="n">
        <v>143</v>
      </c>
      <c r="K3763" s="10">
        <f>IF(F3763&gt;0,H3763/F3763,"")</f>
        <v/>
      </c>
      <c r="L3763" s="16">
        <f>IF(AND(G3763&gt;0,H3763&gt;0),G3763/H3763,"")</f>
        <v/>
      </c>
    </row>
    <row r="3764">
      <c r="A3764" s="4" t="inlineStr">
        <is>
          <t>422</t>
        </is>
      </c>
      <c r="B3764" s="4" t="n">
        <v>4</v>
      </c>
      <c r="C3764" s="4" t="inlineStr">
        <is>
          <t>elk</t>
        </is>
      </c>
      <c r="D3764" s="4" t="n">
        <v>2017</v>
      </c>
      <c r="E3764" s="13" t="inlineStr">
        <is>
          <t>General</t>
        </is>
      </c>
      <c r="F3764" s="5" t="n"/>
      <c r="G3764" s="5" t="n"/>
      <c r="H3764" s="5" t="n">
        <v>242</v>
      </c>
      <c r="I3764" s="5" t="n">
        <v>91</v>
      </c>
      <c r="J3764" s="5" t="n">
        <v>149</v>
      </c>
      <c r="K3764" s="10">
        <f>IF(F3764&gt;0,H3764/F3764,"")</f>
        <v/>
      </c>
      <c r="L3764" s="16">
        <f>IF(AND(G3764&gt;0,H3764&gt;0),G3764/H3764,"")</f>
        <v/>
      </c>
    </row>
    <row r="3765">
      <c r="A3765" s="4" t="inlineStr">
        <is>
          <t>422</t>
        </is>
      </c>
      <c r="B3765" s="4" t="n">
        <v>4</v>
      </c>
      <c r="C3765" s="4" t="inlineStr">
        <is>
          <t>elk</t>
        </is>
      </c>
      <c r="D3765" s="4" t="n">
        <v>2018</v>
      </c>
      <c r="E3765" s="13" t="inlineStr">
        <is>
          <t>General</t>
        </is>
      </c>
      <c r="F3765" s="5" t="n">
        <v>670</v>
      </c>
      <c r="G3765" s="5" t="n">
        <v>4192</v>
      </c>
      <c r="H3765" s="5" t="n">
        <v>165</v>
      </c>
      <c r="I3765" s="5" t="n">
        <v>51</v>
      </c>
      <c r="J3765" s="5" t="n">
        <v>112</v>
      </c>
      <c r="K3765" s="10">
        <f>IF(F3765&gt;0,H3765/F3765,"")</f>
        <v/>
      </c>
      <c r="L3765" s="16">
        <f>IF(AND(G3765&gt;0,H3765&gt;0),G3765/H3765,"")</f>
        <v/>
      </c>
    </row>
    <row r="3766">
      <c r="A3766" s="4" t="inlineStr">
        <is>
          <t>422</t>
        </is>
      </c>
      <c r="B3766" s="4" t="n">
        <v>4</v>
      </c>
      <c r="C3766" s="4" t="inlineStr">
        <is>
          <t>elk</t>
        </is>
      </c>
      <c r="D3766" s="4" t="n">
        <v>2019</v>
      </c>
      <c r="E3766" s="13" t="inlineStr">
        <is>
          <t>General</t>
        </is>
      </c>
      <c r="F3766" s="5" t="n"/>
      <c r="G3766" s="5" t="n"/>
      <c r="H3766" s="5" t="n">
        <v>132</v>
      </c>
      <c r="I3766" s="5" t="n">
        <v>43</v>
      </c>
      <c r="J3766" s="5" t="n">
        <v>86</v>
      </c>
      <c r="K3766" s="10">
        <f>IF(F3766&gt;0,H3766/F3766,"")</f>
        <v/>
      </c>
      <c r="L3766" s="16">
        <f>IF(AND(G3766&gt;0,H3766&gt;0),G3766/H3766,"")</f>
        <v/>
      </c>
    </row>
    <row r="3767">
      <c r="A3767" s="4" t="inlineStr">
        <is>
          <t>422</t>
        </is>
      </c>
      <c r="B3767" s="4" t="n">
        <v>4</v>
      </c>
      <c r="C3767" s="4" t="inlineStr">
        <is>
          <t>elk</t>
        </is>
      </c>
      <c r="D3767" s="4" t="n">
        <v>2020</v>
      </c>
      <c r="E3767" s="13" t="inlineStr">
        <is>
          <t>General</t>
        </is>
      </c>
      <c r="F3767" s="5" t="n">
        <v>517</v>
      </c>
      <c r="G3767" s="5" t="n">
        <v>3108</v>
      </c>
      <c r="H3767" s="5" t="n">
        <v>145</v>
      </c>
      <c r="I3767" s="5" t="n">
        <v>57</v>
      </c>
      <c r="J3767" s="5" t="n">
        <v>85</v>
      </c>
      <c r="K3767" s="10">
        <f>IF(F3767&gt;0,H3767/F3767,"")</f>
        <v/>
      </c>
      <c r="L3767" s="16">
        <f>IF(AND(G3767&gt;0,H3767&gt;0),G3767/H3767,"")</f>
        <v/>
      </c>
    </row>
    <row r="3768">
      <c r="A3768" s="4" t="inlineStr">
        <is>
          <t>422</t>
        </is>
      </c>
      <c r="B3768" s="4" t="n">
        <v>4</v>
      </c>
      <c r="C3768" s="4" t="inlineStr">
        <is>
          <t>elk</t>
        </is>
      </c>
      <c r="D3768" s="4" t="n">
        <v>2021</v>
      </c>
      <c r="E3768" s="13" t="inlineStr">
        <is>
          <t>General</t>
        </is>
      </c>
      <c r="F3768" s="5" t="n"/>
      <c r="G3768" s="5" t="n"/>
      <c r="H3768" s="5" t="n">
        <v>140</v>
      </c>
      <c r="I3768" s="5" t="n">
        <v>42</v>
      </c>
      <c r="J3768" s="5" t="n">
        <v>98</v>
      </c>
      <c r="K3768" s="10">
        <f>IF(F3768&gt;0,H3768/F3768,"")</f>
        <v/>
      </c>
      <c r="L3768" s="16">
        <f>IF(AND(G3768&gt;0,H3768&gt;0),G3768/H3768,"")</f>
        <v/>
      </c>
    </row>
    <row r="3769">
      <c r="A3769" s="4" t="inlineStr">
        <is>
          <t>422</t>
        </is>
      </c>
      <c r="B3769" s="4" t="n">
        <v>4</v>
      </c>
      <c r="C3769" s="4" t="inlineStr">
        <is>
          <t>elk</t>
        </is>
      </c>
      <c r="D3769" s="4" t="n">
        <v>2022</v>
      </c>
      <c r="E3769" s="13" t="inlineStr">
        <is>
          <t>General</t>
        </is>
      </c>
      <c r="F3769" s="5" t="n">
        <v>627</v>
      </c>
      <c r="G3769" s="5" t="n">
        <v>3890</v>
      </c>
      <c r="H3769" s="5" t="n">
        <v>133</v>
      </c>
      <c r="I3769" s="5" t="n">
        <v>75</v>
      </c>
      <c r="J3769" s="5" t="n">
        <v>54</v>
      </c>
      <c r="K3769" s="10">
        <f>IF(F3769&gt;0,H3769/F3769,"")</f>
        <v/>
      </c>
      <c r="L3769" s="16">
        <f>IF(AND(G3769&gt;0,H3769&gt;0),G3769/H3769,"")</f>
        <v/>
      </c>
    </row>
    <row r="3770">
      <c r="A3770" s="4" t="inlineStr">
        <is>
          <t>422</t>
        </is>
      </c>
      <c r="B3770" s="4" t="n">
        <v>4</v>
      </c>
      <c r="C3770" s="4" t="inlineStr">
        <is>
          <t>elk</t>
        </is>
      </c>
      <c r="D3770" s="4" t="n">
        <v>2023</v>
      </c>
      <c r="E3770" s="13" t="inlineStr">
        <is>
          <t>General</t>
        </is>
      </c>
      <c r="F3770" s="5" t="n"/>
      <c r="G3770" s="5" t="n"/>
      <c r="H3770" s="5" t="n">
        <v>109</v>
      </c>
      <c r="I3770" s="5" t="n">
        <v>51</v>
      </c>
      <c r="J3770" s="5" t="n">
        <v>58</v>
      </c>
      <c r="K3770" s="10">
        <f>IF(F3770&gt;0,H3770/F3770,"")</f>
        <v/>
      </c>
      <c r="L3770" s="16">
        <f>IF(AND(G3770&gt;0,H3770&gt;0),G3770/H3770,"")</f>
        <v/>
      </c>
    </row>
    <row r="3771">
      <c r="A3771" s="4" t="inlineStr">
        <is>
          <t>422</t>
        </is>
      </c>
      <c r="B3771" s="4" t="n">
        <v>4</v>
      </c>
      <c r="C3771" s="4" t="inlineStr">
        <is>
          <t>elk</t>
        </is>
      </c>
      <c r="D3771" s="4" t="n">
        <v>2024</v>
      </c>
      <c r="E3771" s="13" t="inlineStr">
        <is>
          <t>General</t>
        </is>
      </c>
      <c r="F3771" s="5" t="n">
        <v>740</v>
      </c>
      <c r="G3771" s="5" t="n">
        <v>4379</v>
      </c>
      <c r="H3771" s="5" t="n">
        <v>151</v>
      </c>
      <c r="I3771" s="5" t="n">
        <v>61</v>
      </c>
      <c r="J3771" s="5" t="n">
        <v>87</v>
      </c>
      <c r="K3771" s="10">
        <f>IF(F3771&gt;0,H3771/F3771,"")</f>
        <v/>
      </c>
      <c r="L3771" s="16">
        <f>IF(AND(G3771&gt;0,H3771&gt;0),G3771/H3771,"")</f>
        <v/>
      </c>
    </row>
    <row r="3772">
      <c r="A3772" s="4" t="inlineStr">
        <is>
          <t>422</t>
        </is>
      </c>
      <c r="B3772" s="4" t="n">
        <v>4</v>
      </c>
      <c r="C3772" s="4" t="inlineStr">
        <is>
          <t>elk</t>
        </is>
      </c>
      <c r="D3772" s="4" t="n">
        <v>2025</v>
      </c>
      <c r="E3772" s="13" t="inlineStr">
        <is>
          <t>General</t>
        </is>
      </c>
      <c r="F3772" s="5" t="n"/>
      <c r="G3772" s="5" t="n"/>
      <c r="H3772" s="5" t="n">
        <v>136</v>
      </c>
      <c r="I3772" s="5" t="n">
        <v>52</v>
      </c>
      <c r="J3772" s="5" t="n">
        <v>84</v>
      </c>
      <c r="K3772" s="10">
        <f>IF(F3772&gt;0,H3772/F3772,"")</f>
        <v/>
      </c>
      <c r="L3772" s="16">
        <f>IF(AND(G3772&gt;0,H3772&gt;0),G3772/H3772,"")</f>
        <v/>
      </c>
    </row>
    <row r="3773">
      <c r="A3773" s="4" t="inlineStr">
        <is>
          <t>423</t>
        </is>
      </c>
      <c r="B3773" s="4" t="n">
        <v>4</v>
      </c>
      <c r="C3773" s="4" t="inlineStr">
        <is>
          <t>elk</t>
        </is>
      </c>
      <c r="D3773" s="4" t="n">
        <v>2004</v>
      </c>
      <c r="E3773" s="4" t="inlineStr"/>
      <c r="F3773" s="5" t="n">
        <v>363</v>
      </c>
      <c r="G3773" s="5" t="n">
        <v>1675</v>
      </c>
      <c r="H3773" s="5" t="n">
        <v>52</v>
      </c>
      <c r="I3773" s="5" t="n">
        <v>22</v>
      </c>
      <c r="J3773" s="5" t="n">
        <v>26</v>
      </c>
      <c r="K3773" s="10">
        <f>IF(F3773&gt;0,H3773/F3773,"")</f>
        <v/>
      </c>
      <c r="L3773" s="16">
        <f>IF(AND(G3773&gt;0,H3773&gt;0),G3773/H3773,"")</f>
        <v/>
      </c>
    </row>
    <row r="3774">
      <c r="A3774" s="4" t="inlineStr">
        <is>
          <t>423</t>
        </is>
      </c>
      <c r="B3774" s="4" t="n">
        <v>4</v>
      </c>
      <c r="C3774" s="4" t="inlineStr">
        <is>
          <t>elk</t>
        </is>
      </c>
      <c r="D3774" s="4" t="n">
        <v>2005</v>
      </c>
      <c r="E3774" s="4" t="inlineStr"/>
      <c r="F3774" s="5" t="n">
        <v>385</v>
      </c>
      <c r="G3774" s="5" t="n">
        <v>2193</v>
      </c>
      <c r="H3774" s="5" t="n">
        <v>117</v>
      </c>
      <c r="I3774" s="5" t="n">
        <v>63</v>
      </c>
      <c r="J3774" s="5" t="n">
        <v>50</v>
      </c>
      <c r="K3774" s="10">
        <f>IF(F3774&gt;0,H3774/F3774,"")</f>
        <v/>
      </c>
      <c r="L3774" s="16">
        <f>IF(AND(G3774&gt;0,H3774&gt;0),G3774/H3774,"")</f>
        <v/>
      </c>
    </row>
    <row r="3775">
      <c r="A3775" s="4" t="inlineStr">
        <is>
          <t>423</t>
        </is>
      </c>
      <c r="B3775" s="4" t="n">
        <v>4</v>
      </c>
      <c r="C3775" s="4" t="inlineStr">
        <is>
          <t>elk</t>
        </is>
      </c>
      <c r="D3775" s="4" t="n">
        <v>2006</v>
      </c>
      <c r="E3775" s="4" t="inlineStr"/>
      <c r="F3775" s="5" t="n">
        <v>439</v>
      </c>
      <c r="G3775" s="5" t="n">
        <v>2703</v>
      </c>
      <c r="H3775" s="5" t="n">
        <v>122</v>
      </c>
      <c r="I3775" s="5" t="n">
        <v>67</v>
      </c>
      <c r="J3775" s="5" t="n">
        <v>55</v>
      </c>
      <c r="K3775" s="10">
        <f>IF(F3775&gt;0,H3775/F3775,"")</f>
        <v/>
      </c>
      <c r="L3775" s="16">
        <f>IF(AND(G3775&gt;0,H3775&gt;0),G3775/H3775,"")</f>
        <v/>
      </c>
    </row>
    <row r="3776">
      <c r="A3776" s="4" t="inlineStr">
        <is>
          <t>423</t>
        </is>
      </c>
      <c r="B3776" s="4" t="n">
        <v>4</v>
      </c>
      <c r="C3776" s="4" t="inlineStr">
        <is>
          <t>elk</t>
        </is>
      </c>
      <c r="D3776" s="4" t="n">
        <v>2007</v>
      </c>
      <c r="E3776" s="4" t="inlineStr"/>
      <c r="F3776" s="5" t="n">
        <v>492</v>
      </c>
      <c r="G3776" s="5" t="n">
        <v>2937</v>
      </c>
      <c r="H3776" s="5" t="n">
        <v>138</v>
      </c>
      <c r="I3776" s="5" t="n">
        <v>56</v>
      </c>
      <c r="J3776" s="5" t="n">
        <v>72</v>
      </c>
      <c r="K3776" s="10">
        <f>IF(F3776&gt;0,H3776/F3776,"")</f>
        <v/>
      </c>
      <c r="L3776" s="16">
        <f>IF(AND(G3776&gt;0,H3776&gt;0),G3776/H3776,"")</f>
        <v/>
      </c>
    </row>
    <row r="3777">
      <c r="A3777" s="4" t="inlineStr">
        <is>
          <t>423</t>
        </is>
      </c>
      <c r="B3777" s="4" t="n">
        <v>4</v>
      </c>
      <c r="C3777" s="4" t="inlineStr">
        <is>
          <t>elk</t>
        </is>
      </c>
      <c r="D3777" s="4" t="n">
        <v>2008</v>
      </c>
      <c r="E3777" s="4" t="inlineStr"/>
      <c r="F3777" s="5" t="n">
        <v>470</v>
      </c>
      <c r="G3777" s="5" t="n">
        <v>2664</v>
      </c>
      <c r="H3777" s="5" t="n">
        <v>118</v>
      </c>
      <c r="I3777" s="5" t="n">
        <v>43</v>
      </c>
      <c r="J3777" s="5" t="n">
        <v>67</v>
      </c>
      <c r="K3777" s="10">
        <f>IF(F3777&gt;0,H3777/F3777,"")</f>
        <v/>
      </c>
      <c r="L3777" s="16">
        <f>IF(AND(G3777&gt;0,H3777&gt;0),G3777/H3777,"")</f>
        <v/>
      </c>
    </row>
    <row r="3778">
      <c r="A3778" s="4" t="inlineStr">
        <is>
          <t>423</t>
        </is>
      </c>
      <c r="B3778" s="4" t="n">
        <v>4</v>
      </c>
      <c r="C3778" s="4" t="inlineStr">
        <is>
          <t>elk</t>
        </is>
      </c>
      <c r="D3778" s="4" t="n">
        <v>2009</v>
      </c>
      <c r="E3778" s="4" t="inlineStr"/>
      <c r="F3778" s="5" t="n">
        <v>487</v>
      </c>
      <c r="G3778" s="5" t="n">
        <v>2936</v>
      </c>
      <c r="H3778" s="5" t="n">
        <v>74</v>
      </c>
      <c r="I3778" s="5" t="n">
        <v>33</v>
      </c>
      <c r="J3778" s="5" t="n">
        <v>41</v>
      </c>
      <c r="K3778" s="10">
        <f>IF(F3778&gt;0,H3778/F3778,"")</f>
        <v/>
      </c>
      <c r="L3778" s="16">
        <f>IF(AND(G3778&gt;0,H3778&gt;0),G3778/H3778,"")</f>
        <v/>
      </c>
    </row>
    <row r="3779">
      <c r="A3779" s="4" t="inlineStr">
        <is>
          <t>423</t>
        </is>
      </c>
      <c r="B3779" s="4" t="n">
        <v>4</v>
      </c>
      <c r="C3779" s="4" t="inlineStr">
        <is>
          <t>elk</t>
        </is>
      </c>
      <c r="D3779" s="4" t="n">
        <v>2010</v>
      </c>
      <c r="E3779" s="4" t="inlineStr"/>
      <c r="F3779" s="5" t="n">
        <v>449</v>
      </c>
      <c r="G3779" s="5" t="n">
        <v>2444</v>
      </c>
      <c r="H3779" s="5" t="n">
        <v>77</v>
      </c>
      <c r="I3779" s="5" t="n">
        <v>31</v>
      </c>
      <c r="J3779" s="5" t="n">
        <v>47</v>
      </c>
      <c r="K3779" s="10">
        <f>IF(F3779&gt;0,H3779/F3779,"")</f>
        <v/>
      </c>
      <c r="L3779" s="16">
        <f>IF(AND(G3779&gt;0,H3779&gt;0),G3779/H3779,"")</f>
        <v/>
      </c>
    </row>
    <row r="3780">
      <c r="A3780" s="4" t="inlineStr">
        <is>
          <t>423</t>
        </is>
      </c>
      <c r="B3780" s="4" t="n">
        <v>4</v>
      </c>
      <c r="C3780" s="4" t="inlineStr">
        <is>
          <t>elk</t>
        </is>
      </c>
      <c r="D3780" s="4" t="n">
        <v>2011</v>
      </c>
      <c r="E3780" s="4" t="inlineStr"/>
      <c r="F3780" s="5" t="n">
        <v>485</v>
      </c>
      <c r="G3780" s="5" t="n">
        <v>2621</v>
      </c>
      <c r="H3780" s="5" t="n">
        <v>92</v>
      </c>
      <c r="I3780" s="5" t="n">
        <v>28</v>
      </c>
      <c r="J3780" s="5" t="n">
        <v>55</v>
      </c>
      <c r="K3780" s="10">
        <f>IF(F3780&gt;0,H3780/F3780,"")</f>
        <v/>
      </c>
      <c r="L3780" s="16">
        <f>IF(AND(G3780&gt;0,H3780&gt;0),G3780/H3780,"")</f>
        <v/>
      </c>
    </row>
    <row r="3781">
      <c r="A3781" s="4" t="inlineStr">
        <is>
          <t>423</t>
        </is>
      </c>
      <c r="B3781" s="4" t="n">
        <v>4</v>
      </c>
      <c r="C3781" s="4" t="inlineStr">
        <is>
          <t>elk</t>
        </is>
      </c>
      <c r="D3781" s="4" t="n">
        <v>2012</v>
      </c>
      <c r="E3781" s="4" t="inlineStr"/>
      <c r="F3781" s="5" t="n">
        <v>471</v>
      </c>
      <c r="G3781" s="5" t="n">
        <v>2618</v>
      </c>
      <c r="H3781" s="5" t="n">
        <v>77</v>
      </c>
      <c r="I3781" s="5" t="n">
        <v>42</v>
      </c>
      <c r="J3781" s="5" t="n">
        <v>35</v>
      </c>
      <c r="K3781" s="10">
        <f>IF(F3781&gt;0,H3781/F3781,"")</f>
        <v/>
      </c>
      <c r="L3781" s="16">
        <f>IF(AND(G3781&gt;0,H3781&gt;0),G3781/H3781,"")</f>
        <v/>
      </c>
    </row>
    <row r="3782">
      <c r="A3782" s="4" t="inlineStr">
        <is>
          <t>423</t>
        </is>
      </c>
      <c r="B3782" s="4" t="n">
        <v>4</v>
      </c>
      <c r="C3782" s="4" t="inlineStr">
        <is>
          <t>elk</t>
        </is>
      </c>
      <c r="D3782" s="4" t="n">
        <v>2013</v>
      </c>
      <c r="E3782" s="4" t="inlineStr"/>
      <c r="F3782" s="5" t="n"/>
      <c r="G3782" s="5" t="n"/>
      <c r="H3782" s="5" t="n">
        <v>91</v>
      </c>
      <c r="I3782" s="5" t="n">
        <v>50</v>
      </c>
      <c r="J3782" s="5" t="n">
        <v>38</v>
      </c>
      <c r="K3782" s="10">
        <f>IF(F3782&gt;0,H3782/F3782,"")</f>
        <v/>
      </c>
      <c r="L3782" s="16">
        <f>IF(AND(G3782&gt;0,H3782&gt;0),G3782/H3782,"")</f>
        <v/>
      </c>
    </row>
    <row r="3783">
      <c r="A3783" s="4" t="inlineStr">
        <is>
          <t>423</t>
        </is>
      </c>
      <c r="B3783" s="4" t="n">
        <v>4</v>
      </c>
      <c r="C3783" s="4" t="inlineStr">
        <is>
          <t>elk</t>
        </is>
      </c>
      <c r="D3783" s="4" t="n">
        <v>2014</v>
      </c>
      <c r="E3783" s="4" t="inlineStr"/>
      <c r="F3783" s="5" t="n">
        <v>474</v>
      </c>
      <c r="G3783" s="5" t="n">
        <v>2311</v>
      </c>
      <c r="H3783" s="5" t="n">
        <v>133</v>
      </c>
      <c r="I3783" s="5" t="n">
        <v>37</v>
      </c>
      <c r="J3783" s="5" t="n">
        <v>91</v>
      </c>
      <c r="K3783" s="10">
        <f>IF(F3783&gt;0,H3783/F3783,"")</f>
        <v/>
      </c>
      <c r="L3783" s="16">
        <f>IF(AND(G3783&gt;0,H3783&gt;0),G3783/H3783,"")</f>
        <v/>
      </c>
    </row>
    <row r="3784">
      <c r="A3784" s="4" t="inlineStr">
        <is>
          <t>423</t>
        </is>
      </c>
      <c r="B3784" s="4" t="n">
        <v>4</v>
      </c>
      <c r="C3784" s="4" t="inlineStr">
        <is>
          <t>elk</t>
        </is>
      </c>
      <c r="D3784" s="4" t="n">
        <v>2015</v>
      </c>
      <c r="E3784" s="4" t="inlineStr"/>
      <c r="F3784" s="5" t="n">
        <v>391</v>
      </c>
      <c r="G3784" s="5" t="n">
        <v>2540</v>
      </c>
      <c r="H3784" s="5" t="n">
        <v>129</v>
      </c>
      <c r="I3784" s="5" t="n">
        <v>68</v>
      </c>
      <c r="J3784" s="5" t="n">
        <v>56</v>
      </c>
      <c r="K3784" s="10">
        <f>IF(F3784&gt;0,H3784/F3784,"")</f>
        <v/>
      </c>
      <c r="L3784" s="16">
        <f>IF(AND(G3784&gt;0,H3784&gt;0),G3784/H3784,"")</f>
        <v/>
      </c>
    </row>
    <row r="3785">
      <c r="A3785" s="4" t="inlineStr">
        <is>
          <t>423</t>
        </is>
      </c>
      <c r="B3785" s="4" t="n">
        <v>4</v>
      </c>
      <c r="C3785" s="4" t="inlineStr">
        <is>
          <t>elk</t>
        </is>
      </c>
      <c r="D3785" s="4" t="n">
        <v>2016</v>
      </c>
      <c r="E3785" s="4" t="inlineStr"/>
      <c r="F3785" s="5" t="n">
        <v>470</v>
      </c>
      <c r="G3785" s="5" t="n">
        <v>3165</v>
      </c>
      <c r="H3785" s="5" t="n">
        <v>94</v>
      </c>
      <c r="I3785" s="5" t="n">
        <v>35</v>
      </c>
      <c r="J3785" s="5" t="n">
        <v>59</v>
      </c>
      <c r="K3785" s="10">
        <f>IF(F3785&gt;0,H3785/F3785,"")</f>
        <v/>
      </c>
      <c r="L3785" s="16">
        <f>IF(AND(G3785&gt;0,H3785&gt;0),G3785/H3785,"")</f>
        <v/>
      </c>
    </row>
    <row r="3786">
      <c r="A3786" s="4" t="inlineStr">
        <is>
          <t>423</t>
        </is>
      </c>
      <c r="B3786" s="4" t="n">
        <v>4</v>
      </c>
      <c r="C3786" s="4" t="inlineStr">
        <is>
          <t>elk</t>
        </is>
      </c>
      <c r="D3786" s="4" t="n">
        <v>2017</v>
      </c>
      <c r="E3786" s="4" t="inlineStr"/>
      <c r="F3786" s="5" t="n"/>
      <c r="G3786" s="5" t="n"/>
      <c r="H3786" s="5" t="n">
        <v>93</v>
      </c>
      <c r="I3786" s="5" t="n">
        <v>51</v>
      </c>
      <c r="J3786" s="5" t="n">
        <v>36</v>
      </c>
      <c r="K3786" s="10">
        <f>IF(F3786&gt;0,H3786/F3786,"")</f>
        <v/>
      </c>
      <c r="L3786" s="16">
        <f>IF(AND(G3786&gt;0,H3786&gt;0),G3786/H3786,"")</f>
        <v/>
      </c>
    </row>
    <row r="3787">
      <c r="A3787" s="4" t="inlineStr">
        <is>
          <t>423</t>
        </is>
      </c>
      <c r="B3787" s="4" t="n">
        <v>4</v>
      </c>
      <c r="C3787" s="4" t="inlineStr">
        <is>
          <t>elk</t>
        </is>
      </c>
      <c r="D3787" s="4" t="n">
        <v>2018</v>
      </c>
      <c r="E3787" s="4" t="inlineStr"/>
      <c r="F3787" s="5" t="n">
        <v>346</v>
      </c>
      <c r="G3787" s="5" t="n">
        <v>2365</v>
      </c>
      <c r="H3787" s="5" t="n">
        <v>108</v>
      </c>
      <c r="I3787" s="5" t="n">
        <v>40</v>
      </c>
      <c r="J3787" s="5" t="n">
        <v>65</v>
      </c>
      <c r="K3787" s="10">
        <f>IF(F3787&gt;0,H3787/F3787,"")</f>
        <v/>
      </c>
      <c r="L3787" s="16">
        <f>IF(AND(G3787&gt;0,H3787&gt;0),G3787/H3787,"")</f>
        <v/>
      </c>
    </row>
    <row r="3788">
      <c r="A3788" s="4" t="inlineStr">
        <is>
          <t>423</t>
        </is>
      </c>
      <c r="B3788" s="4" t="n">
        <v>4</v>
      </c>
      <c r="C3788" s="4" t="inlineStr">
        <is>
          <t>elk</t>
        </is>
      </c>
      <c r="D3788" s="4" t="n">
        <v>2019</v>
      </c>
      <c r="E3788" s="4" t="inlineStr"/>
      <c r="F3788" s="5" t="n"/>
      <c r="G3788" s="5" t="n"/>
      <c r="H3788" s="5" t="n">
        <v>61</v>
      </c>
      <c r="I3788" s="5" t="n">
        <v>34</v>
      </c>
      <c r="J3788" s="5" t="n">
        <v>28</v>
      </c>
      <c r="K3788" s="10">
        <f>IF(F3788&gt;0,H3788/F3788,"")</f>
        <v/>
      </c>
      <c r="L3788" s="16">
        <f>IF(AND(G3788&gt;0,H3788&gt;0),G3788/H3788,"")</f>
        <v/>
      </c>
    </row>
    <row r="3789">
      <c r="A3789" s="4" t="inlineStr">
        <is>
          <t>423</t>
        </is>
      </c>
      <c r="B3789" s="4" t="n">
        <v>4</v>
      </c>
      <c r="C3789" s="4" t="inlineStr">
        <is>
          <t>elk</t>
        </is>
      </c>
      <c r="D3789" s="4" t="n">
        <v>2020</v>
      </c>
      <c r="E3789" s="4" t="inlineStr"/>
      <c r="F3789" s="5" t="n">
        <v>349</v>
      </c>
      <c r="G3789" s="5" t="n">
        <v>1940</v>
      </c>
      <c r="H3789" s="5" t="n">
        <v>75</v>
      </c>
      <c r="I3789" s="5" t="n">
        <v>43</v>
      </c>
      <c r="J3789" s="5" t="n">
        <v>33</v>
      </c>
      <c r="K3789" s="10">
        <f>IF(F3789&gt;0,H3789/F3789,"")</f>
        <v/>
      </c>
      <c r="L3789" s="16">
        <f>IF(AND(G3789&gt;0,H3789&gt;0),G3789/H3789,"")</f>
        <v/>
      </c>
    </row>
    <row r="3790">
      <c r="A3790" s="4" t="inlineStr">
        <is>
          <t>423</t>
        </is>
      </c>
      <c r="B3790" s="4" t="n">
        <v>4</v>
      </c>
      <c r="C3790" s="4" t="inlineStr">
        <is>
          <t>elk</t>
        </is>
      </c>
      <c r="D3790" s="4" t="n">
        <v>2021</v>
      </c>
      <c r="E3790" s="4" t="inlineStr"/>
      <c r="F3790" s="5" t="n"/>
      <c r="G3790" s="5" t="n"/>
      <c r="H3790" s="5" t="n">
        <v>53</v>
      </c>
      <c r="I3790" s="5" t="n">
        <v>26</v>
      </c>
      <c r="J3790" s="5" t="n">
        <v>27</v>
      </c>
      <c r="K3790" s="10">
        <f>IF(F3790&gt;0,H3790/F3790,"")</f>
        <v/>
      </c>
      <c r="L3790" s="16">
        <f>IF(AND(G3790&gt;0,H3790&gt;0),G3790/H3790,"")</f>
        <v/>
      </c>
    </row>
    <row r="3791">
      <c r="A3791" s="4" t="inlineStr">
        <is>
          <t>424</t>
        </is>
      </c>
      <c r="B3791" s="4" t="n">
        <v>4</v>
      </c>
      <c r="C3791" s="4" t="inlineStr">
        <is>
          <t>elk</t>
        </is>
      </c>
      <c r="D3791" s="4" t="n">
        <v>2004</v>
      </c>
      <c r="E3791" s="13" t="inlineStr">
        <is>
          <t>General</t>
        </is>
      </c>
      <c r="F3791" s="5" t="n">
        <v>411</v>
      </c>
      <c r="G3791" s="5" t="n">
        <v>2001</v>
      </c>
      <c r="H3791" s="5" t="n">
        <v>40</v>
      </c>
      <c r="I3791" s="5" t="n">
        <v>31</v>
      </c>
      <c r="J3791" s="5" t="n">
        <v>5</v>
      </c>
      <c r="K3791" s="10">
        <f>IF(F3791&gt;0,H3791/F3791,"")</f>
        <v/>
      </c>
      <c r="L3791" s="16">
        <f>IF(AND(G3791&gt;0,H3791&gt;0),G3791/H3791,"")</f>
        <v/>
      </c>
    </row>
    <row r="3792">
      <c r="A3792" s="4" t="inlineStr">
        <is>
          <t>424</t>
        </is>
      </c>
      <c r="B3792" s="4" t="n">
        <v>4</v>
      </c>
      <c r="C3792" s="4" t="inlineStr">
        <is>
          <t>elk</t>
        </is>
      </c>
      <c r="D3792" s="4" t="n">
        <v>2005</v>
      </c>
      <c r="E3792" s="13" t="inlineStr">
        <is>
          <t>General</t>
        </is>
      </c>
      <c r="F3792" s="5" t="n">
        <v>311</v>
      </c>
      <c r="G3792" s="5" t="n">
        <v>1715</v>
      </c>
      <c r="H3792" s="5" t="n">
        <v>46</v>
      </c>
      <c r="I3792" s="5" t="n">
        <v>30</v>
      </c>
      <c r="J3792" s="5" t="n">
        <v>16</v>
      </c>
      <c r="K3792" s="10">
        <f>IF(F3792&gt;0,H3792/F3792,"")</f>
        <v/>
      </c>
      <c r="L3792" s="16">
        <f>IF(AND(G3792&gt;0,H3792&gt;0),G3792/H3792,"")</f>
        <v/>
      </c>
    </row>
    <row r="3793">
      <c r="A3793" s="4" t="inlineStr">
        <is>
          <t>424</t>
        </is>
      </c>
      <c r="B3793" s="4" t="n">
        <v>4</v>
      </c>
      <c r="C3793" s="4" t="inlineStr">
        <is>
          <t>elk</t>
        </is>
      </c>
      <c r="D3793" s="4" t="n">
        <v>2006</v>
      </c>
      <c r="E3793" s="13" t="inlineStr">
        <is>
          <t>General</t>
        </is>
      </c>
      <c r="F3793" s="5" t="n">
        <v>355</v>
      </c>
      <c r="G3793" s="5" t="n">
        <v>1669</v>
      </c>
      <c r="H3793" s="5" t="n">
        <v>72</v>
      </c>
      <c r="I3793" s="5" t="n">
        <v>41</v>
      </c>
      <c r="J3793" s="5" t="n">
        <v>28</v>
      </c>
      <c r="K3793" s="10">
        <f>IF(F3793&gt;0,H3793/F3793,"")</f>
        <v/>
      </c>
      <c r="L3793" s="16">
        <f>IF(AND(G3793&gt;0,H3793&gt;0),G3793/H3793,"")</f>
        <v/>
      </c>
    </row>
    <row r="3794">
      <c r="A3794" s="4" t="inlineStr">
        <is>
          <t>424</t>
        </is>
      </c>
      <c r="B3794" s="4" t="n">
        <v>4</v>
      </c>
      <c r="C3794" s="4" t="inlineStr">
        <is>
          <t>elk</t>
        </is>
      </c>
      <c r="D3794" s="4" t="n">
        <v>2007</v>
      </c>
      <c r="E3794" s="13" t="inlineStr">
        <is>
          <t>General</t>
        </is>
      </c>
      <c r="F3794" s="5" t="n">
        <v>338</v>
      </c>
      <c r="G3794" s="5" t="n">
        <v>1987</v>
      </c>
      <c r="H3794" s="5" t="n">
        <v>25</v>
      </c>
      <c r="I3794" s="5" t="n">
        <v>25</v>
      </c>
      <c r="J3794" s="5" t="n">
        <v>0</v>
      </c>
      <c r="K3794" s="10">
        <f>IF(F3794&gt;0,H3794/F3794,"")</f>
        <v/>
      </c>
      <c r="L3794" s="16">
        <f>IF(AND(G3794&gt;0,H3794&gt;0),G3794/H3794,"")</f>
        <v/>
      </c>
    </row>
    <row r="3795">
      <c r="A3795" s="4" t="inlineStr">
        <is>
          <t>424</t>
        </is>
      </c>
      <c r="B3795" s="4" t="n">
        <v>4</v>
      </c>
      <c r="C3795" s="4" t="inlineStr">
        <is>
          <t>elk</t>
        </is>
      </c>
      <c r="D3795" s="4" t="n">
        <v>2008</v>
      </c>
      <c r="E3795" s="13" t="inlineStr">
        <is>
          <t>General</t>
        </is>
      </c>
      <c r="F3795" s="5" t="n">
        <v>389</v>
      </c>
      <c r="G3795" s="5" t="n">
        <v>2260</v>
      </c>
      <c r="H3795" s="5" t="n">
        <v>30</v>
      </c>
      <c r="I3795" s="5" t="n">
        <v>20</v>
      </c>
      <c r="J3795" s="5" t="n">
        <v>9</v>
      </c>
      <c r="K3795" s="10">
        <f>IF(F3795&gt;0,H3795/F3795,"")</f>
        <v/>
      </c>
      <c r="L3795" s="16">
        <f>IF(AND(G3795&gt;0,H3795&gt;0),G3795/H3795,"")</f>
        <v/>
      </c>
    </row>
    <row r="3796">
      <c r="A3796" s="4" t="inlineStr">
        <is>
          <t>424</t>
        </is>
      </c>
      <c r="B3796" s="4" t="n">
        <v>4</v>
      </c>
      <c r="C3796" s="4" t="inlineStr">
        <is>
          <t>elk</t>
        </is>
      </c>
      <c r="D3796" s="4" t="n">
        <v>2009</v>
      </c>
      <c r="E3796" s="13" t="inlineStr">
        <is>
          <t>General</t>
        </is>
      </c>
      <c r="F3796" s="5" t="n">
        <v>297</v>
      </c>
      <c r="G3796" s="5" t="n">
        <v>1608</v>
      </c>
      <c r="H3796" s="5" t="n">
        <v>21</v>
      </c>
      <c r="I3796" s="5" t="n">
        <v>18</v>
      </c>
      <c r="J3796" s="5" t="n">
        <v>3</v>
      </c>
      <c r="K3796" s="10">
        <f>IF(F3796&gt;0,H3796/F3796,"")</f>
        <v/>
      </c>
      <c r="L3796" s="16">
        <f>IF(AND(G3796&gt;0,H3796&gt;0),G3796/H3796,"")</f>
        <v/>
      </c>
    </row>
    <row r="3797">
      <c r="A3797" s="4" t="inlineStr">
        <is>
          <t>424</t>
        </is>
      </c>
      <c r="B3797" s="4" t="n">
        <v>4</v>
      </c>
      <c r="C3797" s="4" t="inlineStr">
        <is>
          <t>elk</t>
        </is>
      </c>
      <c r="D3797" s="4" t="n">
        <v>2010</v>
      </c>
      <c r="E3797" s="13" t="inlineStr">
        <is>
          <t>General</t>
        </is>
      </c>
      <c r="F3797" s="5" t="n">
        <v>360</v>
      </c>
      <c r="G3797" s="5" t="n">
        <v>1974</v>
      </c>
      <c r="H3797" s="5" t="n">
        <v>37</v>
      </c>
      <c r="I3797" s="5" t="n">
        <v>17</v>
      </c>
      <c r="J3797" s="5" t="n">
        <v>18</v>
      </c>
      <c r="K3797" s="10">
        <f>IF(F3797&gt;0,H3797/F3797,"")</f>
        <v/>
      </c>
      <c r="L3797" s="16">
        <f>IF(AND(G3797&gt;0,H3797&gt;0),G3797/H3797,"")</f>
        <v/>
      </c>
    </row>
    <row r="3798">
      <c r="A3798" s="4" t="inlineStr">
        <is>
          <t>424</t>
        </is>
      </c>
      <c r="B3798" s="4" t="n">
        <v>4</v>
      </c>
      <c r="C3798" s="4" t="inlineStr">
        <is>
          <t>elk</t>
        </is>
      </c>
      <c r="D3798" s="4" t="n">
        <v>2011</v>
      </c>
      <c r="E3798" s="13" t="inlineStr">
        <is>
          <t>General</t>
        </is>
      </c>
      <c r="F3798" s="5" t="n">
        <v>394</v>
      </c>
      <c r="G3798" s="5" t="n">
        <v>2359</v>
      </c>
      <c r="H3798" s="5" t="n">
        <v>58</v>
      </c>
      <c r="I3798" s="5" t="n">
        <v>39</v>
      </c>
      <c r="J3798" s="5" t="n">
        <v>19</v>
      </c>
      <c r="K3798" s="10">
        <f>IF(F3798&gt;0,H3798/F3798,"")</f>
        <v/>
      </c>
      <c r="L3798" s="16">
        <f>IF(AND(G3798&gt;0,H3798&gt;0),G3798/H3798,"")</f>
        <v/>
      </c>
    </row>
    <row r="3799">
      <c r="A3799" s="4" t="inlineStr">
        <is>
          <t>424</t>
        </is>
      </c>
      <c r="B3799" s="4" t="n">
        <v>4</v>
      </c>
      <c r="C3799" s="4" t="inlineStr">
        <is>
          <t>elk</t>
        </is>
      </c>
      <c r="D3799" s="4" t="n">
        <v>2012</v>
      </c>
      <c r="E3799" s="13" t="inlineStr">
        <is>
          <t>General</t>
        </is>
      </c>
      <c r="F3799" s="5" t="n">
        <v>355</v>
      </c>
      <c r="G3799" s="5" t="n">
        <v>2131</v>
      </c>
      <c r="H3799" s="5" t="n">
        <v>26</v>
      </c>
      <c r="I3799" s="5" t="n">
        <v>17</v>
      </c>
      <c r="J3799" s="5" t="n">
        <v>9</v>
      </c>
      <c r="K3799" s="10">
        <f>IF(F3799&gt;0,H3799/F3799,"")</f>
        <v/>
      </c>
      <c r="L3799" s="16">
        <f>IF(AND(G3799&gt;0,H3799&gt;0),G3799/H3799,"")</f>
        <v/>
      </c>
    </row>
    <row r="3800">
      <c r="A3800" s="4" t="inlineStr">
        <is>
          <t>424</t>
        </is>
      </c>
      <c r="B3800" s="4" t="n">
        <v>4</v>
      </c>
      <c r="C3800" s="4" t="inlineStr">
        <is>
          <t>elk</t>
        </is>
      </c>
      <c r="D3800" s="4" t="n">
        <v>2013</v>
      </c>
      <c r="E3800" s="13" t="inlineStr">
        <is>
          <t>General</t>
        </is>
      </c>
      <c r="F3800" s="5" t="n"/>
      <c r="G3800" s="5" t="n"/>
      <c r="H3800" s="5" t="n">
        <v>23</v>
      </c>
      <c r="I3800" s="5" t="n">
        <v>11</v>
      </c>
      <c r="J3800" s="5" t="n">
        <v>12</v>
      </c>
      <c r="K3800" s="10">
        <f>IF(F3800&gt;0,H3800/F3800,"")</f>
        <v/>
      </c>
      <c r="L3800" s="16">
        <f>IF(AND(G3800&gt;0,H3800&gt;0),G3800/H3800,"")</f>
        <v/>
      </c>
    </row>
    <row r="3801">
      <c r="A3801" s="4" t="inlineStr">
        <is>
          <t>424</t>
        </is>
      </c>
      <c r="B3801" s="4" t="n">
        <v>4</v>
      </c>
      <c r="C3801" s="4" t="inlineStr">
        <is>
          <t>elk</t>
        </is>
      </c>
      <c r="D3801" s="4" t="n">
        <v>2014</v>
      </c>
      <c r="E3801" s="13" t="inlineStr">
        <is>
          <t>General</t>
        </is>
      </c>
      <c r="F3801" s="5" t="n">
        <v>393</v>
      </c>
      <c r="G3801" s="5" t="n">
        <v>2327</v>
      </c>
      <c r="H3801" s="5" t="n">
        <v>28</v>
      </c>
      <c r="I3801" s="5" t="n">
        <v>23</v>
      </c>
      <c r="J3801" s="5" t="n">
        <v>6</v>
      </c>
      <c r="K3801" s="10">
        <f>IF(F3801&gt;0,H3801/F3801,"")</f>
        <v/>
      </c>
      <c r="L3801" s="16">
        <f>IF(AND(G3801&gt;0,H3801&gt;0),G3801/H3801,"")</f>
        <v/>
      </c>
    </row>
    <row r="3802">
      <c r="A3802" s="4" t="inlineStr">
        <is>
          <t>424</t>
        </is>
      </c>
      <c r="B3802" s="4" t="n">
        <v>4</v>
      </c>
      <c r="C3802" s="4" t="inlineStr">
        <is>
          <t>elk</t>
        </is>
      </c>
      <c r="D3802" s="4" t="n">
        <v>2015</v>
      </c>
      <c r="E3802" s="13" t="inlineStr">
        <is>
          <t>General</t>
        </is>
      </c>
      <c r="F3802" s="5" t="n">
        <v>355</v>
      </c>
      <c r="G3802" s="5" t="n">
        <v>2213</v>
      </c>
      <c r="H3802" s="5" t="n">
        <v>18</v>
      </c>
      <c r="I3802" s="5" t="n">
        <v>12</v>
      </c>
      <c r="J3802" s="5" t="n">
        <v>3</v>
      </c>
      <c r="K3802" s="10">
        <f>IF(F3802&gt;0,H3802/F3802,"")</f>
        <v/>
      </c>
      <c r="L3802" s="16">
        <f>IF(AND(G3802&gt;0,H3802&gt;0),G3802/H3802,"")</f>
        <v/>
      </c>
    </row>
    <row r="3803">
      <c r="A3803" s="4" t="inlineStr">
        <is>
          <t>424</t>
        </is>
      </c>
      <c r="B3803" s="4" t="n">
        <v>4</v>
      </c>
      <c r="C3803" s="4" t="inlineStr">
        <is>
          <t>elk</t>
        </is>
      </c>
      <c r="D3803" s="4" t="n">
        <v>2016</v>
      </c>
      <c r="E3803" s="13" t="inlineStr">
        <is>
          <t>General</t>
        </is>
      </c>
      <c r="F3803" s="5" t="n">
        <v>311</v>
      </c>
      <c r="G3803" s="5" t="n">
        <v>2030</v>
      </c>
      <c r="H3803" s="5" t="n">
        <v>19</v>
      </c>
      <c r="I3803" s="5" t="n">
        <v>6</v>
      </c>
      <c r="J3803" s="5" t="n">
        <v>12</v>
      </c>
      <c r="K3803" s="10">
        <f>IF(F3803&gt;0,H3803/F3803,"")</f>
        <v/>
      </c>
      <c r="L3803" s="16">
        <f>IF(AND(G3803&gt;0,H3803&gt;0),G3803/H3803,"")</f>
        <v/>
      </c>
    </row>
    <row r="3804">
      <c r="A3804" s="4" t="inlineStr">
        <is>
          <t>424</t>
        </is>
      </c>
      <c r="B3804" s="4" t="n">
        <v>4</v>
      </c>
      <c r="C3804" s="4" t="inlineStr">
        <is>
          <t>elk</t>
        </is>
      </c>
      <c r="D3804" s="4" t="n">
        <v>2017</v>
      </c>
      <c r="E3804" s="13" t="inlineStr">
        <is>
          <t>General</t>
        </is>
      </c>
      <c r="F3804" s="5" t="n"/>
      <c r="G3804" s="5" t="n"/>
      <c r="H3804" s="5" t="n">
        <v>32</v>
      </c>
      <c r="I3804" s="5" t="n">
        <v>32</v>
      </c>
      <c r="J3804" s="5" t="n">
        <v>0</v>
      </c>
      <c r="K3804" s="10">
        <f>IF(F3804&gt;0,H3804/F3804,"")</f>
        <v/>
      </c>
      <c r="L3804" s="16">
        <f>IF(AND(G3804&gt;0,H3804&gt;0),G3804/H3804,"")</f>
        <v/>
      </c>
    </row>
    <row r="3805">
      <c r="A3805" s="4" t="inlineStr">
        <is>
          <t>424</t>
        </is>
      </c>
      <c r="B3805" s="4" t="n">
        <v>4</v>
      </c>
      <c r="C3805" s="4" t="inlineStr">
        <is>
          <t>elk</t>
        </is>
      </c>
      <c r="D3805" s="4" t="n">
        <v>2018</v>
      </c>
      <c r="E3805" s="13" t="inlineStr">
        <is>
          <t>General</t>
        </is>
      </c>
      <c r="F3805" s="5" t="n">
        <v>296</v>
      </c>
      <c r="G3805" s="5" t="n">
        <v>1796</v>
      </c>
      <c r="H3805" s="5" t="n">
        <v>25</v>
      </c>
      <c r="I3805" s="5" t="n">
        <v>13</v>
      </c>
      <c r="J3805" s="5" t="n">
        <v>9</v>
      </c>
      <c r="K3805" s="10">
        <f>IF(F3805&gt;0,H3805/F3805,"")</f>
        <v/>
      </c>
      <c r="L3805" s="16">
        <f>IF(AND(G3805&gt;0,H3805&gt;0),G3805/H3805,"")</f>
        <v/>
      </c>
    </row>
    <row r="3806">
      <c r="A3806" s="4" t="inlineStr">
        <is>
          <t>424</t>
        </is>
      </c>
      <c r="B3806" s="4" t="n">
        <v>4</v>
      </c>
      <c r="C3806" s="4" t="inlineStr">
        <is>
          <t>elk</t>
        </is>
      </c>
      <c r="D3806" s="4" t="n">
        <v>2019</v>
      </c>
      <c r="E3806" s="13" t="inlineStr">
        <is>
          <t>General</t>
        </is>
      </c>
      <c r="F3806" s="5" t="n"/>
      <c r="G3806" s="5" t="n"/>
      <c r="H3806" s="5" t="n">
        <v>41</v>
      </c>
      <c r="I3806" s="5" t="n">
        <v>21</v>
      </c>
      <c r="J3806" s="5" t="n">
        <v>17</v>
      </c>
      <c r="K3806" s="10">
        <f>IF(F3806&gt;0,H3806/F3806,"")</f>
        <v/>
      </c>
      <c r="L3806" s="16">
        <f>IF(AND(G3806&gt;0,H3806&gt;0),G3806/H3806,"")</f>
        <v/>
      </c>
    </row>
    <row r="3807">
      <c r="A3807" s="4" t="inlineStr">
        <is>
          <t>424</t>
        </is>
      </c>
      <c r="B3807" s="4" t="n">
        <v>4</v>
      </c>
      <c r="C3807" s="4" t="inlineStr">
        <is>
          <t>elk</t>
        </is>
      </c>
      <c r="D3807" s="4" t="n">
        <v>2020</v>
      </c>
      <c r="E3807" s="13" t="inlineStr">
        <is>
          <t>General</t>
        </is>
      </c>
      <c r="F3807" s="5" t="n">
        <v>228</v>
      </c>
      <c r="G3807" s="5" t="n">
        <v>1703</v>
      </c>
      <c r="H3807" s="5" t="n">
        <v>33</v>
      </c>
      <c r="I3807" s="5" t="n">
        <v>21</v>
      </c>
      <c r="J3807" s="5" t="n">
        <v>12</v>
      </c>
      <c r="K3807" s="10">
        <f>IF(F3807&gt;0,H3807/F3807,"")</f>
        <v/>
      </c>
      <c r="L3807" s="16">
        <f>IF(AND(G3807&gt;0,H3807&gt;0),G3807/H3807,"")</f>
        <v/>
      </c>
    </row>
    <row r="3808">
      <c r="A3808" s="4" t="inlineStr">
        <is>
          <t>424</t>
        </is>
      </c>
      <c r="B3808" s="4" t="n">
        <v>4</v>
      </c>
      <c r="C3808" s="4" t="inlineStr">
        <is>
          <t>elk</t>
        </is>
      </c>
      <c r="D3808" s="4" t="n">
        <v>2021</v>
      </c>
      <c r="E3808" s="13" t="inlineStr">
        <is>
          <t>General</t>
        </is>
      </c>
      <c r="F3808" s="5" t="n"/>
      <c r="G3808" s="5" t="n"/>
      <c r="H3808" s="5" t="n">
        <v>14</v>
      </c>
      <c r="I3808" s="5" t="n">
        <v>11</v>
      </c>
      <c r="J3808" s="5" t="n">
        <v>2</v>
      </c>
      <c r="K3808" s="10">
        <f>IF(F3808&gt;0,H3808/F3808,"")</f>
        <v/>
      </c>
      <c r="L3808" s="16">
        <f>IF(AND(G3808&gt;0,H3808&gt;0),G3808/H3808,"")</f>
        <v/>
      </c>
    </row>
    <row r="3809">
      <c r="A3809" s="4" t="inlineStr">
        <is>
          <t>424</t>
        </is>
      </c>
      <c r="B3809" s="4" t="n">
        <v>4</v>
      </c>
      <c r="C3809" s="4" t="inlineStr">
        <is>
          <t>elk</t>
        </is>
      </c>
      <c r="D3809" s="4" t="n">
        <v>2022</v>
      </c>
      <c r="E3809" s="13" t="inlineStr">
        <is>
          <t>General</t>
        </is>
      </c>
      <c r="F3809" s="5" t="n">
        <v>210</v>
      </c>
      <c r="G3809" s="5" t="n">
        <v>1099</v>
      </c>
      <c r="H3809" s="5" t="n">
        <v>28</v>
      </c>
      <c r="I3809" s="5" t="n">
        <v>22</v>
      </c>
      <c r="J3809" s="5" t="n">
        <v>3</v>
      </c>
      <c r="K3809" s="10">
        <f>IF(F3809&gt;0,H3809/F3809,"")</f>
        <v/>
      </c>
      <c r="L3809" s="16">
        <f>IF(AND(G3809&gt;0,H3809&gt;0),G3809/H3809,"")</f>
        <v/>
      </c>
    </row>
    <row r="3810">
      <c r="A3810" s="4" t="inlineStr">
        <is>
          <t>424</t>
        </is>
      </c>
      <c r="B3810" s="4" t="n">
        <v>4</v>
      </c>
      <c r="C3810" s="4" t="inlineStr">
        <is>
          <t>elk</t>
        </is>
      </c>
      <c r="D3810" s="4" t="n">
        <v>2023</v>
      </c>
      <c r="E3810" s="13" t="inlineStr">
        <is>
          <t>General</t>
        </is>
      </c>
      <c r="F3810" s="5" t="n"/>
      <c r="G3810" s="5" t="n"/>
      <c r="H3810" s="5" t="n">
        <v>11</v>
      </c>
      <c r="I3810" s="5" t="n">
        <v>11</v>
      </c>
      <c r="J3810" s="5" t="n">
        <v>0</v>
      </c>
      <c r="K3810" s="10">
        <f>IF(F3810&gt;0,H3810/F3810,"")</f>
        <v/>
      </c>
      <c r="L3810" s="16">
        <f>IF(AND(G3810&gt;0,H3810&gt;0),G3810/H3810,"")</f>
        <v/>
      </c>
    </row>
    <row r="3811">
      <c r="A3811" s="4" t="inlineStr">
        <is>
          <t>424</t>
        </is>
      </c>
      <c r="B3811" s="4" t="n">
        <v>4</v>
      </c>
      <c r="C3811" s="4" t="inlineStr">
        <is>
          <t>elk</t>
        </is>
      </c>
      <c r="D3811" s="4" t="n">
        <v>2024</v>
      </c>
      <c r="E3811" s="13" t="inlineStr">
        <is>
          <t>General</t>
        </is>
      </c>
      <c r="F3811" s="5" t="n">
        <v>279</v>
      </c>
      <c r="G3811" s="5" t="n">
        <v>1391</v>
      </c>
      <c r="H3811" s="5" t="n">
        <v>29</v>
      </c>
      <c r="I3811" s="5" t="n">
        <v>8</v>
      </c>
      <c r="J3811" s="5" t="n">
        <v>18</v>
      </c>
      <c r="K3811" s="10">
        <f>IF(F3811&gt;0,H3811/F3811,"")</f>
        <v/>
      </c>
      <c r="L3811" s="16">
        <f>IF(AND(G3811&gt;0,H3811&gt;0),G3811/H3811,"")</f>
        <v/>
      </c>
    </row>
    <row r="3812">
      <c r="A3812" s="4" t="inlineStr">
        <is>
          <t>424</t>
        </is>
      </c>
      <c r="B3812" s="4" t="n">
        <v>4</v>
      </c>
      <c r="C3812" s="4" t="inlineStr">
        <is>
          <t>elk</t>
        </is>
      </c>
      <c r="D3812" s="4" t="n">
        <v>2025</v>
      </c>
      <c r="E3812" s="13" t="inlineStr">
        <is>
          <t>General</t>
        </is>
      </c>
      <c r="F3812" s="5" t="n"/>
      <c r="G3812" s="5" t="n"/>
      <c r="H3812" s="5" t="n">
        <v>4</v>
      </c>
      <c r="I3812" s="5" t="n">
        <v>4</v>
      </c>
      <c r="J3812" s="5" t="n">
        <v>0</v>
      </c>
      <c r="K3812" s="10">
        <f>IF(F3812&gt;0,H3812/F3812,"")</f>
        <v/>
      </c>
      <c r="L3812" s="16">
        <f>IF(AND(G3812&gt;0,H3812&gt;0),G3812/H3812,"")</f>
        <v/>
      </c>
    </row>
    <row r="3813">
      <c r="A3813" s="4" t="inlineStr">
        <is>
          <t>425</t>
        </is>
      </c>
      <c r="B3813" s="4" t="n">
        <v>4</v>
      </c>
      <c r="C3813" s="4" t="inlineStr">
        <is>
          <t>elk</t>
        </is>
      </c>
      <c r="D3813" s="4" t="n">
        <v>2004</v>
      </c>
      <c r="E3813" s="13" t="inlineStr">
        <is>
          <t>General</t>
        </is>
      </c>
      <c r="F3813" s="5" t="n">
        <v>335</v>
      </c>
      <c r="G3813" s="5" t="n">
        <v>1427</v>
      </c>
      <c r="H3813" s="5" t="n">
        <v>80</v>
      </c>
      <c r="I3813" s="5" t="n">
        <v>14</v>
      </c>
      <c r="J3813" s="5" t="n">
        <v>58</v>
      </c>
      <c r="K3813" s="10">
        <f>IF(F3813&gt;0,H3813/F3813,"")</f>
        <v/>
      </c>
      <c r="L3813" s="16">
        <f>IF(AND(G3813&gt;0,H3813&gt;0),G3813/H3813,"")</f>
        <v/>
      </c>
    </row>
    <row r="3814">
      <c r="A3814" s="4" t="inlineStr">
        <is>
          <t>425</t>
        </is>
      </c>
      <c r="B3814" s="4" t="n">
        <v>4</v>
      </c>
      <c r="C3814" s="4" t="inlineStr">
        <is>
          <t>elk</t>
        </is>
      </c>
      <c r="D3814" s="4" t="n">
        <v>2005</v>
      </c>
      <c r="E3814" s="13" t="inlineStr">
        <is>
          <t>General</t>
        </is>
      </c>
      <c r="F3814" s="5" t="n">
        <v>456</v>
      </c>
      <c r="G3814" s="5" t="n">
        <v>2185</v>
      </c>
      <c r="H3814" s="5" t="n">
        <v>65</v>
      </c>
      <c r="I3814" s="5" t="n">
        <v>32</v>
      </c>
      <c r="J3814" s="5" t="n">
        <v>32</v>
      </c>
      <c r="K3814" s="10">
        <f>IF(F3814&gt;0,H3814/F3814,"")</f>
        <v/>
      </c>
      <c r="L3814" s="16">
        <f>IF(AND(G3814&gt;0,H3814&gt;0),G3814/H3814,"")</f>
        <v/>
      </c>
    </row>
    <row r="3815">
      <c r="A3815" s="4" t="inlineStr">
        <is>
          <t>425</t>
        </is>
      </c>
      <c r="B3815" s="4" t="n">
        <v>4</v>
      </c>
      <c r="C3815" s="4" t="inlineStr">
        <is>
          <t>elk</t>
        </is>
      </c>
      <c r="D3815" s="4" t="n">
        <v>2006</v>
      </c>
      <c r="E3815" s="13" t="inlineStr">
        <is>
          <t>General</t>
        </is>
      </c>
      <c r="F3815" s="5" t="n">
        <v>475</v>
      </c>
      <c r="G3815" s="5" t="n">
        <v>2212</v>
      </c>
      <c r="H3815" s="5" t="n">
        <v>101</v>
      </c>
      <c r="I3815" s="5" t="n">
        <v>28</v>
      </c>
      <c r="J3815" s="5" t="n">
        <v>64</v>
      </c>
      <c r="K3815" s="10">
        <f>IF(F3815&gt;0,H3815/F3815,"")</f>
        <v/>
      </c>
      <c r="L3815" s="16">
        <f>IF(AND(G3815&gt;0,H3815&gt;0),G3815/H3815,"")</f>
        <v/>
      </c>
    </row>
    <row r="3816">
      <c r="A3816" s="4" t="inlineStr">
        <is>
          <t>425</t>
        </is>
      </c>
      <c r="B3816" s="4" t="n">
        <v>4</v>
      </c>
      <c r="C3816" s="4" t="inlineStr">
        <is>
          <t>elk</t>
        </is>
      </c>
      <c r="D3816" s="4" t="n">
        <v>2007</v>
      </c>
      <c r="E3816" s="13" t="inlineStr">
        <is>
          <t>General</t>
        </is>
      </c>
      <c r="F3816" s="5" t="n">
        <v>595</v>
      </c>
      <c r="G3816" s="5" t="n">
        <v>2451</v>
      </c>
      <c r="H3816" s="5" t="n">
        <v>135</v>
      </c>
      <c r="I3816" s="5" t="n">
        <v>34</v>
      </c>
      <c r="J3816" s="5" t="n">
        <v>95</v>
      </c>
      <c r="K3816" s="10">
        <f>IF(F3816&gt;0,H3816/F3816,"")</f>
        <v/>
      </c>
      <c r="L3816" s="16">
        <f>IF(AND(G3816&gt;0,H3816&gt;0),G3816/H3816,"")</f>
        <v/>
      </c>
    </row>
    <row r="3817">
      <c r="A3817" s="4" t="inlineStr">
        <is>
          <t>425</t>
        </is>
      </c>
      <c r="B3817" s="4" t="n">
        <v>4</v>
      </c>
      <c r="C3817" s="4" t="inlineStr">
        <is>
          <t>elk</t>
        </is>
      </c>
      <c r="D3817" s="4" t="n">
        <v>2008</v>
      </c>
      <c r="E3817" s="13" t="inlineStr">
        <is>
          <t>General</t>
        </is>
      </c>
      <c r="F3817" s="5" t="n">
        <v>569</v>
      </c>
      <c r="G3817" s="5" t="n">
        <v>2490</v>
      </c>
      <c r="H3817" s="5" t="n">
        <v>44</v>
      </c>
      <c r="I3817" s="5" t="n">
        <v>22</v>
      </c>
      <c r="J3817" s="5" t="n">
        <v>22</v>
      </c>
      <c r="K3817" s="10">
        <f>IF(F3817&gt;0,H3817/F3817,"")</f>
        <v/>
      </c>
      <c r="L3817" s="16">
        <f>IF(AND(G3817&gt;0,H3817&gt;0),G3817/H3817,"")</f>
        <v/>
      </c>
    </row>
    <row r="3818">
      <c r="A3818" s="4" t="inlineStr">
        <is>
          <t>425</t>
        </is>
      </c>
      <c r="B3818" s="4" t="n">
        <v>4</v>
      </c>
      <c r="C3818" s="4" t="inlineStr">
        <is>
          <t>elk</t>
        </is>
      </c>
      <c r="D3818" s="4" t="n">
        <v>2009</v>
      </c>
      <c r="E3818" s="13" t="inlineStr">
        <is>
          <t>General</t>
        </is>
      </c>
      <c r="F3818" s="5" t="n">
        <v>522</v>
      </c>
      <c r="G3818" s="5" t="n">
        <v>2557</v>
      </c>
      <c r="H3818" s="5" t="n">
        <v>70</v>
      </c>
      <c r="I3818" s="5" t="n">
        <v>15</v>
      </c>
      <c r="J3818" s="5" t="n">
        <v>50</v>
      </c>
      <c r="K3818" s="10">
        <f>IF(F3818&gt;0,H3818/F3818,"")</f>
        <v/>
      </c>
      <c r="L3818" s="16">
        <f>IF(AND(G3818&gt;0,H3818&gt;0),G3818/H3818,"")</f>
        <v/>
      </c>
    </row>
    <row r="3819">
      <c r="A3819" s="4" t="inlineStr">
        <is>
          <t>425</t>
        </is>
      </c>
      <c r="B3819" s="4" t="n">
        <v>4</v>
      </c>
      <c r="C3819" s="4" t="inlineStr">
        <is>
          <t>elk</t>
        </is>
      </c>
      <c r="D3819" s="4" t="n">
        <v>2010</v>
      </c>
      <c r="E3819" s="13" t="inlineStr">
        <is>
          <t>General</t>
        </is>
      </c>
      <c r="F3819" s="5" t="n">
        <v>509</v>
      </c>
      <c r="G3819" s="5" t="n">
        <v>2398</v>
      </c>
      <c r="H3819" s="5" t="n">
        <v>52</v>
      </c>
      <c r="I3819" s="5" t="n">
        <v>36</v>
      </c>
      <c r="J3819" s="5" t="n">
        <v>16</v>
      </c>
      <c r="K3819" s="10">
        <f>IF(F3819&gt;0,H3819/F3819,"")</f>
        <v/>
      </c>
      <c r="L3819" s="16">
        <f>IF(AND(G3819&gt;0,H3819&gt;0),G3819/H3819,"")</f>
        <v/>
      </c>
    </row>
    <row r="3820">
      <c r="A3820" s="4" t="inlineStr">
        <is>
          <t>425</t>
        </is>
      </c>
      <c r="B3820" s="4" t="n">
        <v>4</v>
      </c>
      <c r="C3820" s="4" t="inlineStr">
        <is>
          <t>elk</t>
        </is>
      </c>
      <c r="D3820" s="4" t="n">
        <v>2011</v>
      </c>
      <c r="E3820" s="13" t="inlineStr">
        <is>
          <t>General</t>
        </is>
      </c>
      <c r="F3820" s="5" t="n">
        <v>622</v>
      </c>
      <c r="G3820" s="5" t="n">
        <v>3156</v>
      </c>
      <c r="H3820" s="5" t="n">
        <v>75</v>
      </c>
      <c r="I3820" s="5" t="n">
        <v>36</v>
      </c>
      <c r="J3820" s="5" t="n">
        <v>33</v>
      </c>
      <c r="K3820" s="10">
        <f>IF(F3820&gt;0,H3820/F3820,"")</f>
        <v/>
      </c>
      <c r="L3820" s="16">
        <f>IF(AND(G3820&gt;0,H3820&gt;0),G3820/H3820,"")</f>
        <v/>
      </c>
    </row>
    <row r="3821">
      <c r="A3821" s="4" t="inlineStr">
        <is>
          <t>425</t>
        </is>
      </c>
      <c r="B3821" s="4" t="n">
        <v>4</v>
      </c>
      <c r="C3821" s="4" t="inlineStr">
        <is>
          <t>elk</t>
        </is>
      </c>
      <c r="D3821" s="4" t="n">
        <v>2012</v>
      </c>
      <c r="E3821" s="13" t="inlineStr">
        <is>
          <t>General</t>
        </is>
      </c>
      <c r="F3821" s="5" t="n">
        <v>640</v>
      </c>
      <c r="G3821" s="5" t="n">
        <v>3242</v>
      </c>
      <c r="H3821" s="5" t="n">
        <v>173</v>
      </c>
      <c r="I3821" s="5" t="n">
        <v>31</v>
      </c>
      <c r="J3821" s="5" t="n">
        <v>136</v>
      </c>
      <c r="K3821" s="10">
        <f>IF(F3821&gt;0,H3821/F3821,"")</f>
        <v/>
      </c>
      <c r="L3821" s="16">
        <f>IF(AND(G3821&gt;0,H3821&gt;0),G3821/H3821,"")</f>
        <v/>
      </c>
    </row>
    <row r="3822">
      <c r="A3822" s="4" t="inlineStr">
        <is>
          <t>425</t>
        </is>
      </c>
      <c r="B3822" s="4" t="n">
        <v>4</v>
      </c>
      <c r="C3822" s="4" t="inlineStr">
        <is>
          <t>elk</t>
        </is>
      </c>
      <c r="D3822" s="4" t="n">
        <v>2013</v>
      </c>
      <c r="E3822" s="13" t="inlineStr">
        <is>
          <t>General</t>
        </is>
      </c>
      <c r="F3822" s="5" t="n"/>
      <c r="G3822" s="5" t="n"/>
      <c r="H3822" s="5" t="n">
        <v>160</v>
      </c>
      <c r="I3822" s="5" t="n">
        <v>36</v>
      </c>
      <c r="J3822" s="5" t="n">
        <v>115</v>
      </c>
      <c r="K3822" s="10">
        <f>IF(F3822&gt;0,H3822/F3822,"")</f>
        <v/>
      </c>
      <c r="L3822" s="16">
        <f>IF(AND(G3822&gt;0,H3822&gt;0),G3822/H3822,"")</f>
        <v/>
      </c>
    </row>
    <row r="3823">
      <c r="A3823" s="4" t="inlineStr">
        <is>
          <t>425</t>
        </is>
      </c>
      <c r="B3823" s="4" t="n">
        <v>4</v>
      </c>
      <c r="C3823" s="4" t="inlineStr">
        <is>
          <t>elk</t>
        </is>
      </c>
      <c r="D3823" s="4" t="n">
        <v>2014</v>
      </c>
      <c r="E3823" s="13" t="inlineStr">
        <is>
          <t>General</t>
        </is>
      </c>
      <c r="F3823" s="5" t="n">
        <v>501</v>
      </c>
      <c r="G3823" s="5" t="n">
        <v>2397</v>
      </c>
      <c r="H3823" s="5" t="n">
        <v>108</v>
      </c>
      <c r="I3823" s="5" t="n">
        <v>35</v>
      </c>
      <c r="J3823" s="5" t="n">
        <v>60</v>
      </c>
      <c r="K3823" s="10">
        <f>IF(F3823&gt;0,H3823/F3823,"")</f>
        <v/>
      </c>
      <c r="L3823" s="16">
        <f>IF(AND(G3823&gt;0,H3823&gt;0),G3823/H3823,"")</f>
        <v/>
      </c>
    </row>
    <row r="3824">
      <c r="A3824" s="4" t="inlineStr">
        <is>
          <t>425</t>
        </is>
      </c>
      <c r="B3824" s="4" t="n">
        <v>4</v>
      </c>
      <c r="C3824" s="4" t="inlineStr">
        <is>
          <t>elk</t>
        </is>
      </c>
      <c r="D3824" s="4" t="n">
        <v>2015</v>
      </c>
      <c r="E3824" s="13" t="inlineStr">
        <is>
          <t>General</t>
        </is>
      </c>
      <c r="F3824" s="5" t="n">
        <v>531</v>
      </c>
      <c r="G3824" s="5" t="n">
        <v>3237</v>
      </c>
      <c r="H3824" s="5" t="n">
        <v>177</v>
      </c>
      <c r="I3824" s="5" t="n">
        <v>24</v>
      </c>
      <c r="J3824" s="5" t="n">
        <v>139</v>
      </c>
      <c r="K3824" s="10">
        <f>IF(F3824&gt;0,H3824/F3824,"")</f>
        <v/>
      </c>
      <c r="L3824" s="16">
        <f>IF(AND(G3824&gt;0,H3824&gt;0),G3824/H3824,"")</f>
        <v/>
      </c>
    </row>
    <row r="3825">
      <c r="A3825" s="4" t="inlineStr">
        <is>
          <t>425</t>
        </is>
      </c>
      <c r="B3825" s="4" t="n">
        <v>4</v>
      </c>
      <c r="C3825" s="4" t="inlineStr">
        <is>
          <t>elk</t>
        </is>
      </c>
      <c r="D3825" s="4" t="n">
        <v>2016</v>
      </c>
      <c r="E3825" s="13" t="inlineStr">
        <is>
          <t>General</t>
        </is>
      </c>
      <c r="F3825" s="5" t="n">
        <v>513</v>
      </c>
      <c r="G3825" s="5" t="n">
        <v>2869</v>
      </c>
      <c r="H3825" s="5" t="n">
        <v>32</v>
      </c>
      <c r="I3825" s="5" t="n">
        <v>15</v>
      </c>
      <c r="J3825" s="5" t="n">
        <v>17</v>
      </c>
      <c r="K3825" s="10">
        <f>IF(F3825&gt;0,H3825/F3825,"")</f>
        <v/>
      </c>
      <c r="L3825" s="16">
        <f>IF(AND(G3825&gt;0,H3825&gt;0),G3825/H3825,"")</f>
        <v/>
      </c>
    </row>
    <row r="3826">
      <c r="A3826" s="4" t="inlineStr">
        <is>
          <t>425</t>
        </is>
      </c>
      <c r="B3826" s="4" t="n">
        <v>4</v>
      </c>
      <c r="C3826" s="4" t="inlineStr">
        <is>
          <t>elk</t>
        </is>
      </c>
      <c r="D3826" s="4" t="n">
        <v>2017</v>
      </c>
      <c r="E3826" s="13" t="inlineStr">
        <is>
          <t>General</t>
        </is>
      </c>
      <c r="F3826" s="5" t="n"/>
      <c r="G3826" s="5" t="n"/>
      <c r="H3826" s="5" t="n">
        <v>86</v>
      </c>
      <c r="I3826" s="5" t="n">
        <v>40</v>
      </c>
      <c r="J3826" s="5" t="n">
        <v>44</v>
      </c>
      <c r="K3826" s="10">
        <f>IF(F3826&gt;0,H3826/F3826,"")</f>
        <v/>
      </c>
      <c r="L3826" s="16">
        <f>IF(AND(G3826&gt;0,H3826&gt;0),G3826/H3826,"")</f>
        <v/>
      </c>
    </row>
    <row r="3827">
      <c r="A3827" s="4" t="inlineStr">
        <is>
          <t>425</t>
        </is>
      </c>
      <c r="B3827" s="4" t="n">
        <v>4</v>
      </c>
      <c r="C3827" s="4" t="inlineStr">
        <is>
          <t>elk</t>
        </is>
      </c>
      <c r="D3827" s="4" t="n">
        <v>2018</v>
      </c>
      <c r="E3827" s="13" t="inlineStr">
        <is>
          <t>General</t>
        </is>
      </c>
      <c r="F3827" s="5" t="n">
        <v>483</v>
      </c>
      <c r="G3827" s="5" t="n">
        <v>2521</v>
      </c>
      <c r="H3827" s="5" t="n">
        <v>72</v>
      </c>
      <c r="I3827" s="5" t="n">
        <v>20</v>
      </c>
      <c r="J3827" s="5" t="n">
        <v>51</v>
      </c>
      <c r="K3827" s="10">
        <f>IF(F3827&gt;0,H3827/F3827,"")</f>
        <v/>
      </c>
      <c r="L3827" s="16">
        <f>IF(AND(G3827&gt;0,H3827&gt;0),G3827/H3827,"")</f>
        <v/>
      </c>
    </row>
    <row r="3828">
      <c r="A3828" s="4" t="inlineStr">
        <is>
          <t>425</t>
        </is>
      </c>
      <c r="B3828" s="4" t="n">
        <v>4</v>
      </c>
      <c r="C3828" s="4" t="inlineStr">
        <is>
          <t>elk</t>
        </is>
      </c>
      <c r="D3828" s="4" t="n">
        <v>2019</v>
      </c>
      <c r="E3828" s="13" t="inlineStr">
        <is>
          <t>General</t>
        </is>
      </c>
      <c r="F3828" s="5" t="n"/>
      <c r="G3828" s="5" t="n"/>
      <c r="H3828" s="5" t="n">
        <v>75</v>
      </c>
      <c r="I3828" s="5" t="n">
        <v>29</v>
      </c>
      <c r="J3828" s="5" t="n">
        <v>44</v>
      </c>
      <c r="K3828" s="10">
        <f>IF(F3828&gt;0,H3828/F3828,"")</f>
        <v/>
      </c>
      <c r="L3828" s="16">
        <f>IF(AND(G3828&gt;0,H3828&gt;0),G3828/H3828,"")</f>
        <v/>
      </c>
    </row>
    <row r="3829">
      <c r="A3829" s="4" t="inlineStr">
        <is>
          <t>425</t>
        </is>
      </c>
      <c r="B3829" s="4" t="n">
        <v>4</v>
      </c>
      <c r="C3829" s="4" t="inlineStr">
        <is>
          <t>elk</t>
        </is>
      </c>
      <c r="D3829" s="4" t="n">
        <v>2020</v>
      </c>
      <c r="E3829" s="13" t="inlineStr">
        <is>
          <t>General</t>
        </is>
      </c>
      <c r="F3829" s="5" t="n">
        <v>505</v>
      </c>
      <c r="G3829" s="5" t="n">
        <v>3156</v>
      </c>
      <c r="H3829" s="5" t="n">
        <v>78</v>
      </c>
      <c r="I3829" s="5" t="n">
        <v>36</v>
      </c>
      <c r="J3829" s="5" t="n">
        <v>35</v>
      </c>
      <c r="K3829" s="10">
        <f>IF(F3829&gt;0,H3829/F3829,"")</f>
        <v/>
      </c>
      <c r="L3829" s="16">
        <f>IF(AND(G3829&gt;0,H3829&gt;0),G3829/H3829,"")</f>
        <v/>
      </c>
    </row>
    <row r="3830">
      <c r="A3830" s="4" t="inlineStr">
        <is>
          <t>425</t>
        </is>
      </c>
      <c r="B3830" s="4" t="n">
        <v>4</v>
      </c>
      <c r="C3830" s="4" t="inlineStr">
        <is>
          <t>elk</t>
        </is>
      </c>
      <c r="D3830" s="4" t="n">
        <v>2021</v>
      </c>
      <c r="E3830" s="13" t="inlineStr">
        <is>
          <t>General</t>
        </is>
      </c>
      <c r="F3830" s="5" t="n"/>
      <c r="G3830" s="5" t="n"/>
      <c r="H3830" s="5" t="n">
        <v>43</v>
      </c>
      <c r="I3830" s="5" t="n">
        <v>19</v>
      </c>
      <c r="J3830" s="5" t="n">
        <v>24</v>
      </c>
      <c r="K3830" s="10">
        <f>IF(F3830&gt;0,H3830/F3830,"")</f>
        <v/>
      </c>
      <c r="L3830" s="16">
        <f>IF(AND(G3830&gt;0,H3830&gt;0),G3830/H3830,"")</f>
        <v/>
      </c>
    </row>
    <row r="3831">
      <c r="A3831" s="4" t="inlineStr">
        <is>
          <t>425</t>
        </is>
      </c>
      <c r="B3831" s="4" t="n">
        <v>4</v>
      </c>
      <c r="C3831" s="4" t="inlineStr">
        <is>
          <t>elk</t>
        </is>
      </c>
      <c r="D3831" s="4" t="n">
        <v>2022</v>
      </c>
      <c r="E3831" s="13" t="inlineStr">
        <is>
          <t>General</t>
        </is>
      </c>
      <c r="F3831" s="5" t="n">
        <v>338</v>
      </c>
      <c r="G3831" s="5" t="n">
        <v>1990</v>
      </c>
      <c r="H3831" s="5" t="n">
        <v>51</v>
      </c>
      <c r="I3831" s="5" t="n">
        <v>25</v>
      </c>
      <c r="J3831" s="5" t="n">
        <v>26</v>
      </c>
      <c r="K3831" s="10">
        <f>IF(F3831&gt;0,H3831/F3831,"")</f>
        <v/>
      </c>
      <c r="L3831" s="16">
        <f>IF(AND(G3831&gt;0,H3831&gt;0),G3831/H3831,"")</f>
        <v/>
      </c>
    </row>
    <row r="3832">
      <c r="A3832" s="4" t="inlineStr">
        <is>
          <t>425</t>
        </is>
      </c>
      <c r="B3832" s="4" t="n">
        <v>4</v>
      </c>
      <c r="C3832" s="4" t="inlineStr">
        <is>
          <t>elk</t>
        </is>
      </c>
      <c r="D3832" s="4" t="n">
        <v>2023</v>
      </c>
      <c r="E3832" s="13" t="inlineStr">
        <is>
          <t>General</t>
        </is>
      </c>
      <c r="F3832" s="5" t="n"/>
      <c r="G3832" s="5" t="n"/>
      <c r="H3832" s="5" t="n">
        <v>66</v>
      </c>
      <c r="I3832" s="5" t="n">
        <v>34</v>
      </c>
      <c r="J3832" s="5" t="n">
        <v>32</v>
      </c>
      <c r="K3832" s="10">
        <f>IF(F3832&gt;0,H3832/F3832,"")</f>
        <v/>
      </c>
      <c r="L3832" s="16">
        <f>IF(AND(G3832&gt;0,H3832&gt;0),G3832/H3832,"")</f>
        <v/>
      </c>
    </row>
    <row r="3833">
      <c r="A3833" s="4" t="inlineStr">
        <is>
          <t>425</t>
        </is>
      </c>
      <c r="B3833" s="4" t="n">
        <v>4</v>
      </c>
      <c r="C3833" s="4" t="inlineStr">
        <is>
          <t>elk</t>
        </is>
      </c>
      <c r="D3833" s="4" t="n">
        <v>2024</v>
      </c>
      <c r="E3833" s="13" t="inlineStr">
        <is>
          <t>General</t>
        </is>
      </c>
      <c r="F3833" s="5" t="n">
        <v>461</v>
      </c>
      <c r="G3833" s="5" t="n">
        <v>2781</v>
      </c>
      <c r="H3833" s="5" t="n">
        <v>76</v>
      </c>
      <c r="I3833" s="5" t="n">
        <v>32</v>
      </c>
      <c r="J3833" s="5" t="n">
        <v>44</v>
      </c>
      <c r="K3833" s="10">
        <f>IF(F3833&gt;0,H3833/F3833,"")</f>
        <v/>
      </c>
      <c r="L3833" s="16">
        <f>IF(AND(G3833&gt;0,H3833&gt;0),G3833/H3833,"")</f>
        <v/>
      </c>
    </row>
    <row r="3834">
      <c r="A3834" s="4" t="inlineStr">
        <is>
          <t>425</t>
        </is>
      </c>
      <c r="B3834" s="4" t="n">
        <v>4</v>
      </c>
      <c r="C3834" s="4" t="inlineStr">
        <is>
          <t>elk</t>
        </is>
      </c>
      <c r="D3834" s="4" t="n">
        <v>2025</v>
      </c>
      <c r="E3834" s="13" t="inlineStr">
        <is>
          <t>General</t>
        </is>
      </c>
      <c r="F3834" s="5" t="n"/>
      <c r="G3834" s="5" t="n"/>
      <c r="H3834" s="5" t="n">
        <v>98</v>
      </c>
      <c r="I3834" s="5" t="n">
        <v>18</v>
      </c>
      <c r="J3834" s="5" t="n">
        <v>74</v>
      </c>
      <c r="K3834" s="10">
        <f>IF(F3834&gt;0,H3834/F3834,"")</f>
        <v/>
      </c>
      <c r="L3834" s="16">
        <f>IF(AND(G3834&gt;0,H3834&gt;0),G3834/H3834,"")</f>
        <v/>
      </c>
    </row>
    <row r="3835">
      <c r="A3835" s="4" t="inlineStr">
        <is>
          <t>426</t>
        </is>
      </c>
      <c r="B3835" s="4" t="n">
        <v>4</v>
      </c>
      <c r="C3835" s="4" t="inlineStr">
        <is>
          <t>elk</t>
        </is>
      </c>
      <c r="D3835" s="4" t="n">
        <v>2004</v>
      </c>
      <c r="E3835" s="15" t="inlineStr">
        <is>
          <t>Draw</t>
        </is>
      </c>
      <c r="F3835" s="5" t="n">
        <v>103</v>
      </c>
      <c r="G3835" s="5" t="n">
        <v>382</v>
      </c>
      <c r="H3835" s="5" t="n">
        <v>24</v>
      </c>
      <c r="I3835" s="5" t="n">
        <v>13</v>
      </c>
      <c r="J3835" s="5" t="n">
        <v>9</v>
      </c>
      <c r="K3835" s="10">
        <f>IF(F3835&gt;0,H3835/F3835,"")</f>
        <v/>
      </c>
      <c r="L3835" s="16">
        <f>IF(AND(G3835&gt;0,H3835&gt;0),G3835/H3835,"")</f>
        <v/>
      </c>
    </row>
    <row r="3836">
      <c r="A3836" s="4" t="inlineStr">
        <is>
          <t>426</t>
        </is>
      </c>
      <c r="B3836" s="4" t="n">
        <v>4</v>
      </c>
      <c r="C3836" s="4" t="inlineStr">
        <is>
          <t>elk</t>
        </is>
      </c>
      <c r="D3836" s="4" t="n">
        <v>2005</v>
      </c>
      <c r="E3836" s="15" t="inlineStr">
        <is>
          <t>Draw</t>
        </is>
      </c>
      <c r="F3836" s="5" t="n">
        <v>112</v>
      </c>
      <c r="G3836" s="5" t="n">
        <v>594</v>
      </c>
      <c r="H3836" s="5" t="n">
        <v>20</v>
      </c>
      <c r="I3836" s="5" t="n">
        <v>12</v>
      </c>
      <c r="J3836" s="5" t="n">
        <v>8</v>
      </c>
      <c r="K3836" s="10">
        <f>IF(F3836&gt;0,H3836/F3836,"")</f>
        <v/>
      </c>
      <c r="L3836" s="16">
        <f>IF(AND(G3836&gt;0,H3836&gt;0),G3836/H3836,"")</f>
        <v/>
      </c>
    </row>
    <row r="3837">
      <c r="A3837" s="4" t="inlineStr">
        <is>
          <t>426</t>
        </is>
      </c>
      <c r="B3837" s="4" t="n">
        <v>4</v>
      </c>
      <c r="C3837" s="4" t="inlineStr">
        <is>
          <t>elk</t>
        </is>
      </c>
      <c r="D3837" s="4" t="n">
        <v>2006</v>
      </c>
      <c r="E3837" s="15" t="inlineStr">
        <is>
          <t>Draw</t>
        </is>
      </c>
      <c r="F3837" s="5" t="n">
        <v>68</v>
      </c>
      <c r="G3837" s="5" t="n">
        <v>321</v>
      </c>
      <c r="H3837" s="5" t="n">
        <v>18</v>
      </c>
      <c r="I3837" s="5" t="n">
        <v>7</v>
      </c>
      <c r="J3837" s="5" t="n">
        <v>11</v>
      </c>
      <c r="K3837" s="10">
        <f>IF(F3837&gt;0,H3837/F3837,"")</f>
        <v/>
      </c>
      <c r="L3837" s="16">
        <f>IF(AND(G3837&gt;0,H3837&gt;0),G3837/H3837,"")</f>
        <v/>
      </c>
    </row>
    <row r="3838">
      <c r="A3838" s="4" t="inlineStr">
        <is>
          <t>426</t>
        </is>
      </c>
      <c r="B3838" s="4" t="n">
        <v>4</v>
      </c>
      <c r="C3838" s="4" t="inlineStr">
        <is>
          <t>elk</t>
        </is>
      </c>
      <c r="D3838" s="4" t="n">
        <v>2007</v>
      </c>
      <c r="E3838" s="15" t="inlineStr">
        <is>
          <t>Draw</t>
        </is>
      </c>
      <c r="F3838" s="5" t="n">
        <v>155</v>
      </c>
      <c r="G3838" s="5" t="n">
        <v>872</v>
      </c>
      <c r="H3838" s="5" t="n">
        <v>50</v>
      </c>
      <c r="I3838" s="5" t="n">
        <v>3</v>
      </c>
      <c r="J3838" s="5" t="n">
        <v>38</v>
      </c>
      <c r="K3838" s="10">
        <f>IF(F3838&gt;0,H3838/F3838,"")</f>
        <v/>
      </c>
      <c r="L3838" s="16">
        <f>IF(AND(G3838&gt;0,H3838&gt;0),G3838/H3838,"")</f>
        <v/>
      </c>
    </row>
    <row r="3839">
      <c r="A3839" s="4" t="inlineStr">
        <is>
          <t>426</t>
        </is>
      </c>
      <c r="B3839" s="4" t="n">
        <v>4</v>
      </c>
      <c r="C3839" s="4" t="inlineStr">
        <is>
          <t>elk</t>
        </is>
      </c>
      <c r="D3839" s="4" t="n">
        <v>2008</v>
      </c>
      <c r="E3839" s="15" t="inlineStr">
        <is>
          <t>Draw</t>
        </is>
      </c>
      <c r="F3839" s="5" t="n">
        <v>148</v>
      </c>
      <c r="G3839" s="5" t="n">
        <v>541</v>
      </c>
      <c r="H3839" s="5" t="n">
        <v>23</v>
      </c>
      <c r="I3839" s="5" t="n">
        <v>4</v>
      </c>
      <c r="J3839" s="5" t="n">
        <v>19</v>
      </c>
      <c r="K3839" s="10">
        <f>IF(F3839&gt;0,H3839/F3839,"")</f>
        <v/>
      </c>
      <c r="L3839" s="16">
        <f>IF(AND(G3839&gt;0,H3839&gt;0),G3839/H3839,"")</f>
        <v/>
      </c>
    </row>
    <row r="3840">
      <c r="A3840" s="4" t="inlineStr">
        <is>
          <t>426</t>
        </is>
      </c>
      <c r="B3840" s="4" t="n">
        <v>4</v>
      </c>
      <c r="C3840" s="4" t="inlineStr">
        <is>
          <t>elk</t>
        </is>
      </c>
      <c r="D3840" s="4" t="n">
        <v>2009</v>
      </c>
      <c r="E3840" s="15" t="inlineStr">
        <is>
          <t>Draw</t>
        </is>
      </c>
      <c r="F3840" s="5" t="n">
        <v>187</v>
      </c>
      <c r="G3840" s="5" t="n">
        <v>994</v>
      </c>
      <c r="H3840" s="5" t="n">
        <v>36</v>
      </c>
      <c r="I3840" s="5" t="n">
        <v>13</v>
      </c>
      <c r="J3840" s="5" t="n">
        <v>23</v>
      </c>
      <c r="K3840" s="10">
        <f>IF(F3840&gt;0,H3840/F3840,"")</f>
        <v/>
      </c>
      <c r="L3840" s="16">
        <f>IF(AND(G3840&gt;0,H3840&gt;0),G3840/H3840,"")</f>
        <v/>
      </c>
    </row>
    <row r="3841">
      <c r="A3841" s="4" t="inlineStr">
        <is>
          <t>426</t>
        </is>
      </c>
      <c r="B3841" s="4" t="n">
        <v>4</v>
      </c>
      <c r="C3841" s="4" t="inlineStr">
        <is>
          <t>elk</t>
        </is>
      </c>
      <c r="D3841" s="4" t="n">
        <v>2010</v>
      </c>
      <c r="E3841" s="15" t="inlineStr">
        <is>
          <t>Draw</t>
        </is>
      </c>
      <c r="F3841" s="5" t="n">
        <v>112</v>
      </c>
      <c r="G3841" s="5" t="n">
        <v>489</v>
      </c>
      <c r="H3841" s="5" t="n">
        <v>23</v>
      </c>
      <c r="I3841" s="5" t="n">
        <v>6</v>
      </c>
      <c r="J3841" s="5" t="n">
        <v>17</v>
      </c>
      <c r="K3841" s="10">
        <f>IF(F3841&gt;0,H3841/F3841,"")</f>
        <v/>
      </c>
      <c r="L3841" s="16">
        <f>IF(AND(G3841&gt;0,H3841&gt;0),G3841/H3841,"")</f>
        <v/>
      </c>
    </row>
    <row r="3842">
      <c r="A3842" s="4" t="inlineStr">
        <is>
          <t>426</t>
        </is>
      </c>
      <c r="B3842" s="4" t="n">
        <v>4</v>
      </c>
      <c r="C3842" s="4" t="inlineStr">
        <is>
          <t>elk</t>
        </is>
      </c>
      <c r="D3842" s="4" t="n">
        <v>2011</v>
      </c>
      <c r="E3842" s="15" t="inlineStr">
        <is>
          <t>Draw</t>
        </is>
      </c>
      <c r="F3842" s="5" t="n">
        <v>151</v>
      </c>
      <c r="G3842" s="5" t="n">
        <v>1001</v>
      </c>
      <c r="H3842" s="5" t="n">
        <v>50</v>
      </c>
      <c r="I3842" s="5" t="n">
        <v>20</v>
      </c>
      <c r="J3842" s="5" t="n">
        <v>31</v>
      </c>
      <c r="K3842" s="10">
        <f>IF(F3842&gt;0,H3842/F3842,"")</f>
        <v/>
      </c>
      <c r="L3842" s="16">
        <f>IF(AND(G3842&gt;0,H3842&gt;0),G3842/H3842,"")</f>
        <v/>
      </c>
    </row>
    <row r="3843">
      <c r="A3843" s="4" t="inlineStr">
        <is>
          <t>426</t>
        </is>
      </c>
      <c r="B3843" s="4" t="n">
        <v>4</v>
      </c>
      <c r="C3843" s="4" t="inlineStr">
        <is>
          <t>elk</t>
        </is>
      </c>
      <c r="D3843" s="4" t="n">
        <v>2012</v>
      </c>
      <c r="E3843" s="15" t="inlineStr">
        <is>
          <t>Draw</t>
        </is>
      </c>
      <c r="F3843" s="5" t="n">
        <v>156</v>
      </c>
      <c r="G3843" s="5" t="n">
        <v>873</v>
      </c>
      <c r="H3843" s="5" t="n">
        <v>39</v>
      </c>
      <c r="I3843" s="5" t="n">
        <v>21</v>
      </c>
      <c r="J3843" s="5" t="n">
        <v>17</v>
      </c>
      <c r="K3843" s="10">
        <f>IF(F3843&gt;0,H3843/F3843,"")</f>
        <v/>
      </c>
      <c r="L3843" s="16">
        <f>IF(AND(G3843&gt;0,H3843&gt;0),G3843/H3843,"")</f>
        <v/>
      </c>
    </row>
    <row r="3844">
      <c r="A3844" s="4" t="inlineStr">
        <is>
          <t>426</t>
        </is>
      </c>
      <c r="B3844" s="4" t="n">
        <v>4</v>
      </c>
      <c r="C3844" s="4" t="inlineStr">
        <is>
          <t>elk</t>
        </is>
      </c>
      <c r="D3844" s="4" t="n">
        <v>2013</v>
      </c>
      <c r="E3844" s="15" t="inlineStr">
        <is>
          <t>Draw</t>
        </is>
      </c>
      <c r="F3844" s="5" t="n"/>
      <c r="G3844" s="5" t="n"/>
      <c r="H3844" s="5" t="n">
        <v>43</v>
      </c>
      <c r="I3844" s="5" t="n">
        <v>17</v>
      </c>
      <c r="J3844" s="5" t="n">
        <v>23</v>
      </c>
      <c r="K3844" s="10">
        <f>IF(F3844&gt;0,H3844/F3844,"")</f>
        <v/>
      </c>
      <c r="L3844" s="16">
        <f>IF(AND(G3844&gt;0,H3844&gt;0),G3844/H3844,"")</f>
        <v/>
      </c>
    </row>
    <row r="3845">
      <c r="A3845" s="4" t="inlineStr">
        <is>
          <t>426</t>
        </is>
      </c>
      <c r="B3845" s="4" t="n">
        <v>4</v>
      </c>
      <c r="C3845" s="4" t="inlineStr">
        <is>
          <t>elk</t>
        </is>
      </c>
      <c r="D3845" s="4" t="n">
        <v>2014</v>
      </c>
      <c r="E3845" s="15" t="inlineStr">
        <is>
          <t>Draw</t>
        </is>
      </c>
      <c r="F3845" s="5" t="n">
        <v>317</v>
      </c>
      <c r="G3845" s="5" t="n">
        <v>2003</v>
      </c>
      <c r="H3845" s="5" t="n">
        <v>75</v>
      </c>
      <c r="I3845" s="5" t="n">
        <v>26</v>
      </c>
      <c r="J3845" s="5" t="n">
        <v>49</v>
      </c>
      <c r="K3845" s="10">
        <f>IF(F3845&gt;0,H3845/F3845,"")</f>
        <v/>
      </c>
      <c r="L3845" s="16">
        <f>IF(AND(G3845&gt;0,H3845&gt;0),G3845/H3845,"")</f>
        <v/>
      </c>
    </row>
    <row r="3846">
      <c r="A3846" s="4" t="inlineStr">
        <is>
          <t>426</t>
        </is>
      </c>
      <c r="B3846" s="4" t="n">
        <v>4</v>
      </c>
      <c r="C3846" s="4" t="inlineStr">
        <is>
          <t>elk</t>
        </is>
      </c>
      <c r="D3846" s="4" t="n">
        <v>2015</v>
      </c>
      <c r="E3846" s="15" t="inlineStr">
        <is>
          <t>Draw</t>
        </is>
      </c>
      <c r="F3846" s="5" t="n">
        <v>393</v>
      </c>
      <c r="G3846" s="5" t="n">
        <v>2083</v>
      </c>
      <c r="H3846" s="5" t="n">
        <v>110</v>
      </c>
      <c r="I3846" s="5" t="n">
        <v>34</v>
      </c>
      <c r="J3846" s="5" t="n">
        <v>61</v>
      </c>
      <c r="K3846" s="10">
        <f>IF(F3846&gt;0,H3846/F3846,"")</f>
        <v/>
      </c>
      <c r="L3846" s="16">
        <f>IF(AND(G3846&gt;0,H3846&gt;0),G3846/H3846,"")</f>
        <v/>
      </c>
    </row>
    <row r="3847">
      <c r="A3847" s="4" t="inlineStr">
        <is>
          <t>426</t>
        </is>
      </c>
      <c r="B3847" s="4" t="n">
        <v>4</v>
      </c>
      <c r="C3847" s="4" t="inlineStr">
        <is>
          <t>elk</t>
        </is>
      </c>
      <c r="D3847" s="4" t="n">
        <v>2016</v>
      </c>
      <c r="E3847" s="15" t="inlineStr">
        <is>
          <t>Draw</t>
        </is>
      </c>
      <c r="F3847" s="5" t="n">
        <v>392</v>
      </c>
      <c r="G3847" s="5" t="n">
        <v>2426</v>
      </c>
      <c r="H3847" s="5" t="n">
        <v>82</v>
      </c>
      <c r="I3847" s="5" t="n">
        <v>42</v>
      </c>
      <c r="J3847" s="5" t="n">
        <v>41</v>
      </c>
      <c r="K3847" s="10">
        <f>IF(F3847&gt;0,H3847/F3847,"")</f>
        <v/>
      </c>
      <c r="L3847" s="16">
        <f>IF(AND(G3847&gt;0,H3847&gt;0),G3847/H3847,"")</f>
        <v/>
      </c>
    </row>
    <row r="3848">
      <c r="A3848" s="4" t="inlineStr">
        <is>
          <t>426</t>
        </is>
      </c>
      <c r="B3848" s="4" t="n">
        <v>4</v>
      </c>
      <c r="C3848" s="4" t="inlineStr">
        <is>
          <t>elk</t>
        </is>
      </c>
      <c r="D3848" s="4" t="n">
        <v>2017</v>
      </c>
      <c r="E3848" s="15" t="inlineStr">
        <is>
          <t>Draw</t>
        </is>
      </c>
      <c r="F3848" s="5" t="n"/>
      <c r="G3848" s="5" t="n"/>
      <c r="H3848" s="5" t="n">
        <v>79</v>
      </c>
      <c r="I3848" s="5" t="n">
        <v>38</v>
      </c>
      <c r="J3848" s="5" t="n">
        <v>41</v>
      </c>
      <c r="K3848" s="10">
        <f>IF(F3848&gt;0,H3848/F3848,"")</f>
        <v/>
      </c>
      <c r="L3848" s="16">
        <f>IF(AND(G3848&gt;0,H3848&gt;0),G3848/H3848,"")</f>
        <v/>
      </c>
    </row>
    <row r="3849">
      <c r="A3849" s="4" t="inlineStr">
        <is>
          <t>426</t>
        </is>
      </c>
      <c r="B3849" s="4" t="n">
        <v>4</v>
      </c>
      <c r="C3849" s="4" t="inlineStr">
        <is>
          <t>elk</t>
        </is>
      </c>
      <c r="D3849" s="4" t="n">
        <v>2018</v>
      </c>
      <c r="E3849" s="15" t="inlineStr">
        <is>
          <t>Draw</t>
        </is>
      </c>
      <c r="F3849" s="5" t="n">
        <v>390</v>
      </c>
      <c r="G3849" s="5" t="n">
        <v>2627</v>
      </c>
      <c r="H3849" s="5" t="n">
        <v>68</v>
      </c>
      <c r="I3849" s="5" t="n">
        <v>28</v>
      </c>
      <c r="J3849" s="5" t="n">
        <v>34</v>
      </c>
      <c r="K3849" s="10">
        <f>IF(F3849&gt;0,H3849/F3849,"")</f>
        <v/>
      </c>
      <c r="L3849" s="16">
        <f>IF(AND(G3849&gt;0,H3849&gt;0),G3849/H3849,"")</f>
        <v/>
      </c>
    </row>
    <row r="3850">
      <c r="A3850" s="4" t="inlineStr">
        <is>
          <t>426</t>
        </is>
      </c>
      <c r="B3850" s="4" t="n">
        <v>4</v>
      </c>
      <c r="C3850" s="4" t="inlineStr">
        <is>
          <t>elk</t>
        </is>
      </c>
      <c r="D3850" s="4" t="n">
        <v>2019</v>
      </c>
      <c r="E3850" s="15" t="inlineStr">
        <is>
          <t>Draw</t>
        </is>
      </c>
      <c r="F3850" s="5" t="n"/>
      <c r="G3850" s="5" t="n"/>
      <c r="H3850" s="5" t="n">
        <v>71</v>
      </c>
      <c r="I3850" s="5" t="n">
        <v>44</v>
      </c>
      <c r="J3850" s="5" t="n">
        <v>27</v>
      </c>
      <c r="K3850" s="10">
        <f>IF(F3850&gt;0,H3850/F3850,"")</f>
        <v/>
      </c>
      <c r="L3850" s="16">
        <f>IF(AND(G3850&gt;0,H3850&gt;0),G3850/H3850,"")</f>
        <v/>
      </c>
    </row>
    <row r="3851">
      <c r="A3851" s="4" t="inlineStr">
        <is>
          <t>426</t>
        </is>
      </c>
      <c r="B3851" s="4" t="n">
        <v>4</v>
      </c>
      <c r="C3851" s="4" t="inlineStr">
        <is>
          <t>elk</t>
        </is>
      </c>
      <c r="D3851" s="4" t="n">
        <v>2020</v>
      </c>
      <c r="E3851" s="15" t="inlineStr">
        <is>
          <t>Draw</t>
        </is>
      </c>
      <c r="F3851" s="5" t="n">
        <v>377</v>
      </c>
      <c r="G3851" s="5" t="n">
        <v>2737</v>
      </c>
      <c r="H3851" s="5" t="n">
        <v>90</v>
      </c>
      <c r="I3851" s="5" t="n">
        <v>39</v>
      </c>
      <c r="J3851" s="5" t="n">
        <v>48</v>
      </c>
      <c r="K3851" s="10">
        <f>IF(F3851&gt;0,H3851/F3851,"")</f>
        <v/>
      </c>
      <c r="L3851" s="16">
        <f>IF(AND(G3851&gt;0,H3851&gt;0),G3851/H3851,"")</f>
        <v/>
      </c>
    </row>
    <row r="3852">
      <c r="A3852" s="4" t="inlineStr">
        <is>
          <t>426</t>
        </is>
      </c>
      <c r="B3852" s="4" t="n">
        <v>4</v>
      </c>
      <c r="C3852" s="4" t="inlineStr">
        <is>
          <t>elk</t>
        </is>
      </c>
      <c r="D3852" s="4" t="n">
        <v>2021</v>
      </c>
      <c r="E3852" s="15" t="inlineStr">
        <is>
          <t>Draw</t>
        </is>
      </c>
      <c r="F3852" s="5" t="n"/>
      <c r="G3852" s="5" t="n"/>
      <c r="H3852" s="5" t="n">
        <v>67</v>
      </c>
      <c r="I3852" s="5" t="n">
        <v>49</v>
      </c>
      <c r="J3852" s="5" t="n">
        <v>18</v>
      </c>
      <c r="K3852" s="10">
        <f>IF(F3852&gt;0,H3852/F3852,"")</f>
        <v/>
      </c>
      <c r="L3852" s="16">
        <f>IF(AND(G3852&gt;0,H3852&gt;0),G3852/H3852,"")</f>
        <v/>
      </c>
    </row>
    <row r="3853">
      <c r="A3853" s="4" t="inlineStr">
        <is>
          <t>426</t>
        </is>
      </c>
      <c r="B3853" s="4" t="n">
        <v>4</v>
      </c>
      <c r="C3853" s="4" t="inlineStr">
        <is>
          <t>elk</t>
        </is>
      </c>
      <c r="D3853" s="4" t="n">
        <v>2022</v>
      </c>
      <c r="E3853" s="15" t="inlineStr">
        <is>
          <t>Draw</t>
        </is>
      </c>
      <c r="F3853" s="5" t="n">
        <v>322</v>
      </c>
      <c r="G3853" s="5" t="n">
        <v>2477</v>
      </c>
      <c r="H3853" s="5" t="n">
        <v>91</v>
      </c>
      <c r="I3853" s="5" t="n">
        <v>50</v>
      </c>
      <c r="J3853" s="5" t="n">
        <v>42</v>
      </c>
      <c r="K3853" s="10">
        <f>IF(F3853&gt;0,H3853/F3853,"")</f>
        <v/>
      </c>
      <c r="L3853" s="16">
        <f>IF(AND(G3853&gt;0,H3853&gt;0),G3853/H3853,"")</f>
        <v/>
      </c>
    </row>
    <row r="3854">
      <c r="A3854" s="4" t="inlineStr">
        <is>
          <t>426</t>
        </is>
      </c>
      <c r="B3854" s="4" t="n">
        <v>4</v>
      </c>
      <c r="C3854" s="4" t="inlineStr">
        <is>
          <t>elk</t>
        </is>
      </c>
      <c r="D3854" s="4" t="n">
        <v>2023</v>
      </c>
      <c r="E3854" s="15" t="inlineStr">
        <is>
          <t>Draw</t>
        </is>
      </c>
      <c r="F3854" s="5" t="n"/>
      <c r="G3854" s="5" t="n"/>
      <c r="H3854" s="5" t="n">
        <v>106</v>
      </c>
      <c r="I3854" s="5" t="n">
        <v>45</v>
      </c>
      <c r="J3854" s="5" t="n">
        <v>58</v>
      </c>
      <c r="K3854" s="10">
        <f>IF(F3854&gt;0,H3854/F3854,"")</f>
        <v/>
      </c>
      <c r="L3854" s="16">
        <f>IF(AND(G3854&gt;0,H3854&gt;0),G3854/H3854,"")</f>
        <v/>
      </c>
    </row>
    <row r="3855">
      <c r="A3855" s="4" t="inlineStr">
        <is>
          <t>426</t>
        </is>
      </c>
      <c r="B3855" s="4" t="n">
        <v>4</v>
      </c>
      <c r="C3855" s="4" t="inlineStr">
        <is>
          <t>elk</t>
        </is>
      </c>
      <c r="D3855" s="4" t="n">
        <v>2024</v>
      </c>
      <c r="E3855" s="15" t="inlineStr">
        <is>
          <t>Draw</t>
        </is>
      </c>
      <c r="F3855" s="5" t="n">
        <v>319</v>
      </c>
      <c r="G3855" s="5" t="n">
        <v>2106</v>
      </c>
      <c r="H3855" s="5" t="n">
        <v>89</v>
      </c>
      <c r="I3855" s="5" t="n">
        <v>57</v>
      </c>
      <c r="J3855" s="5" t="n">
        <v>29</v>
      </c>
      <c r="K3855" s="10">
        <f>IF(F3855&gt;0,H3855/F3855,"")</f>
        <v/>
      </c>
      <c r="L3855" s="16">
        <f>IF(AND(G3855&gt;0,H3855&gt;0),G3855/H3855,"")</f>
        <v/>
      </c>
    </row>
    <row r="3856">
      <c r="A3856" s="4" t="inlineStr">
        <is>
          <t>426</t>
        </is>
      </c>
      <c r="B3856" s="4" t="n">
        <v>4</v>
      </c>
      <c r="C3856" s="4" t="inlineStr">
        <is>
          <t>elk</t>
        </is>
      </c>
      <c r="D3856" s="4" t="n">
        <v>2025</v>
      </c>
      <c r="E3856" s="15" t="inlineStr">
        <is>
          <t>Draw</t>
        </is>
      </c>
      <c r="F3856" s="5" t="n"/>
      <c r="G3856" s="5" t="n"/>
      <c r="H3856" s="5" t="n">
        <v>122</v>
      </c>
      <c r="I3856" s="5" t="n">
        <v>53</v>
      </c>
      <c r="J3856" s="5" t="n">
        <v>69</v>
      </c>
      <c r="K3856" s="10">
        <f>IF(F3856&gt;0,H3856/F3856,"")</f>
        <v/>
      </c>
      <c r="L3856" s="16">
        <f>IF(AND(G3856&gt;0,H3856&gt;0),G3856/H3856,"")</f>
        <v/>
      </c>
    </row>
    <row r="3857">
      <c r="A3857" s="4" t="inlineStr">
        <is>
          <t>432</t>
        </is>
      </c>
      <c r="B3857" s="4" t="n">
        <v>4</v>
      </c>
      <c r="C3857" s="4" t="inlineStr">
        <is>
          <t>elk</t>
        </is>
      </c>
      <c r="D3857" s="4" t="n">
        <v>2004</v>
      </c>
      <c r="E3857" s="13" t="inlineStr">
        <is>
          <t>General</t>
        </is>
      </c>
      <c r="F3857" s="5" t="n">
        <v>961</v>
      </c>
      <c r="G3857" s="5" t="n">
        <v>4800</v>
      </c>
      <c r="H3857" s="5" t="n">
        <v>117</v>
      </c>
      <c r="I3857" s="5" t="n">
        <v>59</v>
      </c>
      <c r="J3857" s="5" t="n">
        <v>56</v>
      </c>
      <c r="K3857" s="10">
        <f>IF(F3857&gt;0,H3857/F3857,"")</f>
        <v/>
      </c>
      <c r="L3857" s="16">
        <f>IF(AND(G3857&gt;0,H3857&gt;0),G3857/H3857,"")</f>
        <v/>
      </c>
    </row>
    <row r="3858">
      <c r="A3858" s="4" t="inlineStr">
        <is>
          <t>432</t>
        </is>
      </c>
      <c r="B3858" s="4" t="n">
        <v>4</v>
      </c>
      <c r="C3858" s="4" t="inlineStr">
        <is>
          <t>elk</t>
        </is>
      </c>
      <c r="D3858" s="4" t="n">
        <v>2005</v>
      </c>
      <c r="E3858" s="13" t="inlineStr">
        <is>
          <t>General</t>
        </is>
      </c>
      <c r="F3858" s="5" t="n">
        <v>867</v>
      </c>
      <c r="G3858" s="5" t="n">
        <v>5020</v>
      </c>
      <c r="H3858" s="5" t="n">
        <v>123</v>
      </c>
      <c r="I3858" s="5" t="n">
        <v>76</v>
      </c>
      <c r="J3858" s="5" t="n">
        <v>38</v>
      </c>
      <c r="K3858" s="10">
        <f>IF(F3858&gt;0,H3858/F3858,"")</f>
        <v/>
      </c>
      <c r="L3858" s="16">
        <f>IF(AND(G3858&gt;0,H3858&gt;0),G3858/H3858,"")</f>
        <v/>
      </c>
    </row>
    <row r="3859">
      <c r="A3859" s="4" t="inlineStr">
        <is>
          <t>432</t>
        </is>
      </c>
      <c r="B3859" s="4" t="n">
        <v>4</v>
      </c>
      <c r="C3859" s="4" t="inlineStr">
        <is>
          <t>elk</t>
        </is>
      </c>
      <c r="D3859" s="4" t="n">
        <v>2006</v>
      </c>
      <c r="E3859" s="13" t="inlineStr">
        <is>
          <t>General</t>
        </is>
      </c>
      <c r="F3859" s="5" t="n">
        <v>688</v>
      </c>
      <c r="G3859" s="5" t="n">
        <v>3731</v>
      </c>
      <c r="H3859" s="5" t="n">
        <v>122</v>
      </c>
      <c r="I3859" s="5" t="n">
        <v>63</v>
      </c>
      <c r="J3859" s="5" t="n">
        <v>48</v>
      </c>
      <c r="K3859" s="10">
        <f>IF(F3859&gt;0,H3859/F3859,"")</f>
        <v/>
      </c>
      <c r="L3859" s="16">
        <f>IF(AND(G3859&gt;0,H3859&gt;0),G3859/H3859,"")</f>
        <v/>
      </c>
    </row>
    <row r="3860">
      <c r="A3860" s="4" t="inlineStr">
        <is>
          <t>432</t>
        </is>
      </c>
      <c r="B3860" s="4" t="n">
        <v>4</v>
      </c>
      <c r="C3860" s="4" t="inlineStr">
        <is>
          <t>elk</t>
        </is>
      </c>
      <c r="D3860" s="4" t="n">
        <v>2007</v>
      </c>
      <c r="E3860" s="13" t="inlineStr">
        <is>
          <t>General</t>
        </is>
      </c>
      <c r="F3860" s="5" t="n">
        <v>859</v>
      </c>
      <c r="G3860" s="5" t="n">
        <v>4779</v>
      </c>
      <c r="H3860" s="5" t="n">
        <v>139</v>
      </c>
      <c r="I3860" s="5" t="n">
        <v>76</v>
      </c>
      <c r="J3860" s="5" t="n">
        <v>59</v>
      </c>
      <c r="K3860" s="10">
        <f>IF(F3860&gt;0,H3860/F3860,"")</f>
        <v/>
      </c>
      <c r="L3860" s="16">
        <f>IF(AND(G3860&gt;0,H3860&gt;0),G3860/H3860,"")</f>
        <v/>
      </c>
    </row>
    <row r="3861">
      <c r="A3861" s="4" t="inlineStr">
        <is>
          <t>432</t>
        </is>
      </c>
      <c r="B3861" s="4" t="n">
        <v>4</v>
      </c>
      <c r="C3861" s="4" t="inlineStr">
        <is>
          <t>elk</t>
        </is>
      </c>
      <c r="D3861" s="4" t="n">
        <v>2008</v>
      </c>
      <c r="E3861" s="13" t="inlineStr">
        <is>
          <t>General</t>
        </is>
      </c>
      <c r="F3861" s="5" t="n">
        <v>950</v>
      </c>
      <c r="G3861" s="5" t="n">
        <v>5564</v>
      </c>
      <c r="H3861" s="5" t="n">
        <v>118</v>
      </c>
      <c r="I3861" s="5" t="n">
        <v>57</v>
      </c>
      <c r="J3861" s="5" t="n">
        <v>52</v>
      </c>
      <c r="K3861" s="10">
        <f>IF(F3861&gt;0,H3861/F3861,"")</f>
        <v/>
      </c>
      <c r="L3861" s="16">
        <f>IF(AND(G3861&gt;0,H3861&gt;0),G3861/H3861,"")</f>
        <v/>
      </c>
    </row>
    <row r="3862">
      <c r="A3862" s="4" t="inlineStr">
        <is>
          <t>432</t>
        </is>
      </c>
      <c r="B3862" s="4" t="n">
        <v>4</v>
      </c>
      <c r="C3862" s="4" t="inlineStr">
        <is>
          <t>elk</t>
        </is>
      </c>
      <c r="D3862" s="4" t="n">
        <v>2009</v>
      </c>
      <c r="E3862" s="13" t="inlineStr">
        <is>
          <t>General</t>
        </is>
      </c>
      <c r="F3862" s="5" t="n">
        <v>926</v>
      </c>
      <c r="G3862" s="5" t="n">
        <v>4815</v>
      </c>
      <c r="H3862" s="5" t="n">
        <v>140</v>
      </c>
      <c r="I3862" s="5" t="n">
        <v>81</v>
      </c>
      <c r="J3862" s="5" t="n">
        <v>56</v>
      </c>
      <c r="K3862" s="10">
        <f>IF(F3862&gt;0,H3862/F3862,"")</f>
        <v/>
      </c>
      <c r="L3862" s="16">
        <f>IF(AND(G3862&gt;0,H3862&gt;0),G3862/H3862,"")</f>
        <v/>
      </c>
    </row>
    <row r="3863">
      <c r="A3863" s="4" t="inlineStr">
        <is>
          <t>432</t>
        </is>
      </c>
      <c r="B3863" s="4" t="n">
        <v>4</v>
      </c>
      <c r="C3863" s="4" t="inlineStr">
        <is>
          <t>elk</t>
        </is>
      </c>
      <c r="D3863" s="4" t="n">
        <v>2010</v>
      </c>
      <c r="E3863" s="13" t="inlineStr">
        <is>
          <t>General</t>
        </is>
      </c>
      <c r="F3863" s="5" t="n">
        <v>872</v>
      </c>
      <c r="G3863" s="5" t="n">
        <v>4509</v>
      </c>
      <c r="H3863" s="5" t="n">
        <v>138</v>
      </c>
      <c r="I3863" s="5" t="n">
        <v>83</v>
      </c>
      <c r="J3863" s="5" t="n">
        <v>46</v>
      </c>
      <c r="K3863" s="10">
        <f>IF(F3863&gt;0,H3863/F3863,"")</f>
        <v/>
      </c>
      <c r="L3863" s="16">
        <f>IF(AND(G3863&gt;0,H3863&gt;0),G3863/H3863,"")</f>
        <v/>
      </c>
    </row>
    <row r="3864">
      <c r="A3864" s="4" t="inlineStr">
        <is>
          <t>432</t>
        </is>
      </c>
      <c r="B3864" s="4" t="n">
        <v>4</v>
      </c>
      <c r="C3864" s="4" t="inlineStr">
        <is>
          <t>elk</t>
        </is>
      </c>
      <c r="D3864" s="4" t="n">
        <v>2011</v>
      </c>
      <c r="E3864" s="13" t="inlineStr">
        <is>
          <t>General</t>
        </is>
      </c>
      <c r="F3864" s="5" t="n">
        <v>992</v>
      </c>
      <c r="G3864" s="5" t="n">
        <v>5468</v>
      </c>
      <c r="H3864" s="5" t="n">
        <v>125</v>
      </c>
      <c r="I3864" s="5" t="n">
        <v>73</v>
      </c>
      <c r="J3864" s="5" t="n">
        <v>47</v>
      </c>
      <c r="K3864" s="10">
        <f>IF(F3864&gt;0,H3864/F3864,"")</f>
        <v/>
      </c>
      <c r="L3864" s="16">
        <f>IF(AND(G3864&gt;0,H3864&gt;0),G3864/H3864,"")</f>
        <v/>
      </c>
    </row>
    <row r="3865">
      <c r="A3865" s="4" t="inlineStr">
        <is>
          <t>432</t>
        </is>
      </c>
      <c r="B3865" s="4" t="n">
        <v>4</v>
      </c>
      <c r="C3865" s="4" t="inlineStr">
        <is>
          <t>elk</t>
        </is>
      </c>
      <c r="D3865" s="4" t="n">
        <v>2012</v>
      </c>
      <c r="E3865" s="13" t="inlineStr">
        <is>
          <t>General</t>
        </is>
      </c>
      <c r="F3865" s="5" t="n">
        <v>964</v>
      </c>
      <c r="G3865" s="5" t="n">
        <v>5418</v>
      </c>
      <c r="H3865" s="5" t="n">
        <v>118</v>
      </c>
      <c r="I3865" s="5" t="n">
        <v>61</v>
      </c>
      <c r="J3865" s="5" t="n">
        <v>51</v>
      </c>
      <c r="K3865" s="10">
        <f>IF(F3865&gt;0,H3865/F3865,"")</f>
        <v/>
      </c>
      <c r="L3865" s="16">
        <f>IF(AND(G3865&gt;0,H3865&gt;0),G3865/H3865,"")</f>
        <v/>
      </c>
    </row>
    <row r="3866">
      <c r="A3866" s="4" t="inlineStr">
        <is>
          <t>432</t>
        </is>
      </c>
      <c r="B3866" s="4" t="n">
        <v>4</v>
      </c>
      <c r="C3866" s="4" t="inlineStr">
        <is>
          <t>elk</t>
        </is>
      </c>
      <c r="D3866" s="4" t="n">
        <v>2013</v>
      </c>
      <c r="E3866" s="13" t="inlineStr">
        <is>
          <t>General</t>
        </is>
      </c>
      <c r="F3866" s="5" t="n"/>
      <c r="G3866" s="5" t="n"/>
      <c r="H3866" s="5" t="n">
        <v>94</v>
      </c>
      <c r="I3866" s="5" t="n">
        <v>35</v>
      </c>
      <c r="J3866" s="5" t="n">
        <v>53</v>
      </c>
      <c r="K3866" s="10">
        <f>IF(F3866&gt;0,H3866/F3866,"")</f>
        <v/>
      </c>
      <c r="L3866" s="16">
        <f>IF(AND(G3866&gt;0,H3866&gt;0),G3866/H3866,"")</f>
        <v/>
      </c>
    </row>
    <row r="3867">
      <c r="A3867" s="4" t="inlineStr">
        <is>
          <t>432</t>
        </is>
      </c>
      <c r="B3867" s="4" t="n">
        <v>4</v>
      </c>
      <c r="C3867" s="4" t="inlineStr">
        <is>
          <t>elk</t>
        </is>
      </c>
      <c r="D3867" s="4" t="n">
        <v>2014</v>
      </c>
      <c r="E3867" s="13" t="inlineStr">
        <is>
          <t>General</t>
        </is>
      </c>
      <c r="F3867" s="5" t="n">
        <v>1135</v>
      </c>
      <c r="G3867" s="5" t="n">
        <v>6117</v>
      </c>
      <c r="H3867" s="5" t="n">
        <v>160</v>
      </c>
      <c r="I3867" s="5" t="n">
        <v>82</v>
      </c>
      <c r="J3867" s="5" t="n">
        <v>70</v>
      </c>
      <c r="K3867" s="10">
        <f>IF(F3867&gt;0,H3867/F3867,"")</f>
        <v/>
      </c>
      <c r="L3867" s="16">
        <f>IF(AND(G3867&gt;0,H3867&gt;0),G3867/H3867,"")</f>
        <v/>
      </c>
    </row>
    <row r="3868">
      <c r="A3868" s="4" t="inlineStr">
        <is>
          <t>432</t>
        </is>
      </c>
      <c r="B3868" s="4" t="n">
        <v>4</v>
      </c>
      <c r="C3868" s="4" t="inlineStr">
        <is>
          <t>elk</t>
        </is>
      </c>
      <c r="D3868" s="4" t="n">
        <v>2015</v>
      </c>
      <c r="E3868" s="13" t="inlineStr">
        <is>
          <t>General</t>
        </is>
      </c>
      <c r="F3868" s="5" t="n">
        <v>1032</v>
      </c>
      <c r="G3868" s="5" t="n">
        <v>6409</v>
      </c>
      <c r="H3868" s="5" t="n">
        <v>108</v>
      </c>
      <c r="I3868" s="5" t="n">
        <v>70</v>
      </c>
      <c r="J3868" s="5" t="n">
        <v>32</v>
      </c>
      <c r="K3868" s="10">
        <f>IF(F3868&gt;0,H3868/F3868,"")</f>
        <v/>
      </c>
      <c r="L3868" s="16">
        <f>IF(AND(G3868&gt;0,H3868&gt;0),G3868/H3868,"")</f>
        <v/>
      </c>
    </row>
    <row r="3869">
      <c r="A3869" s="4" t="inlineStr">
        <is>
          <t>432</t>
        </is>
      </c>
      <c r="B3869" s="4" t="n">
        <v>4</v>
      </c>
      <c r="C3869" s="4" t="inlineStr">
        <is>
          <t>elk</t>
        </is>
      </c>
      <c r="D3869" s="4" t="n">
        <v>2016</v>
      </c>
      <c r="E3869" s="13" t="inlineStr">
        <is>
          <t>General</t>
        </is>
      </c>
      <c r="F3869" s="5" t="n">
        <v>1093</v>
      </c>
      <c r="G3869" s="5" t="n">
        <v>6888</v>
      </c>
      <c r="H3869" s="5" t="n">
        <v>117</v>
      </c>
      <c r="I3869" s="5" t="n">
        <v>60</v>
      </c>
      <c r="J3869" s="5" t="n">
        <v>57</v>
      </c>
      <c r="K3869" s="10">
        <f>IF(F3869&gt;0,H3869/F3869,"")</f>
        <v/>
      </c>
      <c r="L3869" s="16">
        <f>IF(AND(G3869&gt;0,H3869&gt;0),G3869/H3869,"")</f>
        <v/>
      </c>
    </row>
    <row r="3870">
      <c r="A3870" s="4" t="inlineStr">
        <is>
          <t>432</t>
        </is>
      </c>
      <c r="B3870" s="4" t="n">
        <v>4</v>
      </c>
      <c r="C3870" s="4" t="inlineStr">
        <is>
          <t>elk</t>
        </is>
      </c>
      <c r="D3870" s="4" t="n">
        <v>2017</v>
      </c>
      <c r="E3870" s="13" t="inlineStr">
        <is>
          <t>General</t>
        </is>
      </c>
      <c r="F3870" s="5" t="n"/>
      <c r="G3870" s="5" t="n"/>
      <c r="H3870" s="5" t="n">
        <v>128</v>
      </c>
      <c r="I3870" s="5" t="n">
        <v>83</v>
      </c>
      <c r="J3870" s="5" t="n">
        <v>37</v>
      </c>
      <c r="K3870" s="10">
        <f>IF(F3870&gt;0,H3870/F3870,"")</f>
        <v/>
      </c>
      <c r="L3870" s="16">
        <f>IF(AND(G3870&gt;0,H3870&gt;0),G3870/H3870,"")</f>
        <v/>
      </c>
    </row>
    <row r="3871">
      <c r="A3871" s="4" t="inlineStr">
        <is>
          <t>432</t>
        </is>
      </c>
      <c r="B3871" s="4" t="n">
        <v>4</v>
      </c>
      <c r="C3871" s="4" t="inlineStr">
        <is>
          <t>elk</t>
        </is>
      </c>
      <c r="D3871" s="4" t="n">
        <v>2018</v>
      </c>
      <c r="E3871" s="13" t="inlineStr">
        <is>
          <t>General</t>
        </is>
      </c>
      <c r="F3871" s="5" t="n">
        <v>985</v>
      </c>
      <c r="G3871" s="5" t="n">
        <v>5889</v>
      </c>
      <c r="H3871" s="5" t="n">
        <v>174</v>
      </c>
      <c r="I3871" s="5" t="n">
        <v>84</v>
      </c>
      <c r="J3871" s="5" t="n">
        <v>84</v>
      </c>
      <c r="K3871" s="10">
        <f>IF(F3871&gt;0,H3871/F3871,"")</f>
        <v/>
      </c>
      <c r="L3871" s="16">
        <f>IF(AND(G3871&gt;0,H3871&gt;0),G3871/H3871,"")</f>
        <v/>
      </c>
    </row>
    <row r="3872">
      <c r="A3872" s="4" t="inlineStr">
        <is>
          <t>432</t>
        </is>
      </c>
      <c r="B3872" s="4" t="n">
        <v>4</v>
      </c>
      <c r="C3872" s="4" t="inlineStr">
        <is>
          <t>elk</t>
        </is>
      </c>
      <c r="D3872" s="4" t="n">
        <v>2019</v>
      </c>
      <c r="E3872" s="13" t="inlineStr">
        <is>
          <t>General</t>
        </is>
      </c>
      <c r="F3872" s="5" t="n"/>
      <c r="G3872" s="5" t="n"/>
      <c r="H3872" s="5" t="n">
        <v>94</v>
      </c>
      <c r="I3872" s="5" t="n">
        <v>45</v>
      </c>
      <c r="J3872" s="5" t="n">
        <v>42</v>
      </c>
      <c r="K3872" s="10">
        <f>IF(F3872&gt;0,H3872/F3872,"")</f>
        <v/>
      </c>
      <c r="L3872" s="16">
        <f>IF(AND(G3872&gt;0,H3872&gt;0),G3872/H3872,"")</f>
        <v/>
      </c>
    </row>
    <row r="3873">
      <c r="A3873" s="4" t="inlineStr">
        <is>
          <t>432</t>
        </is>
      </c>
      <c r="B3873" s="4" t="n">
        <v>4</v>
      </c>
      <c r="C3873" s="4" t="inlineStr">
        <is>
          <t>elk</t>
        </is>
      </c>
      <c r="D3873" s="4" t="n">
        <v>2020</v>
      </c>
      <c r="E3873" s="13" t="inlineStr">
        <is>
          <t>General</t>
        </is>
      </c>
      <c r="F3873" s="5" t="n">
        <v>886</v>
      </c>
      <c r="G3873" s="5" t="n">
        <v>5818</v>
      </c>
      <c r="H3873" s="5" t="n">
        <v>154</v>
      </c>
      <c r="I3873" s="5" t="n">
        <v>92</v>
      </c>
      <c r="J3873" s="5" t="n">
        <v>56</v>
      </c>
      <c r="K3873" s="10">
        <f>IF(F3873&gt;0,H3873/F3873,"")</f>
        <v/>
      </c>
      <c r="L3873" s="16">
        <f>IF(AND(G3873&gt;0,H3873&gt;0),G3873/H3873,"")</f>
        <v/>
      </c>
    </row>
    <row r="3874">
      <c r="A3874" s="4" t="inlineStr">
        <is>
          <t>432</t>
        </is>
      </c>
      <c r="B3874" s="4" t="n">
        <v>4</v>
      </c>
      <c r="C3874" s="4" t="inlineStr">
        <is>
          <t>elk</t>
        </is>
      </c>
      <c r="D3874" s="4" t="n">
        <v>2021</v>
      </c>
      <c r="E3874" s="13" t="inlineStr">
        <is>
          <t>General</t>
        </is>
      </c>
      <c r="F3874" s="5" t="n"/>
      <c r="G3874" s="5" t="n"/>
      <c r="H3874" s="5" t="n">
        <v>115</v>
      </c>
      <c r="I3874" s="5" t="n">
        <v>76</v>
      </c>
      <c r="J3874" s="5" t="n">
        <v>39</v>
      </c>
      <c r="K3874" s="10">
        <f>IF(F3874&gt;0,H3874/F3874,"")</f>
        <v/>
      </c>
      <c r="L3874" s="16">
        <f>IF(AND(G3874&gt;0,H3874&gt;0),G3874/H3874,"")</f>
        <v/>
      </c>
    </row>
    <row r="3875">
      <c r="A3875" s="4" t="inlineStr">
        <is>
          <t>441</t>
        </is>
      </c>
      <c r="B3875" s="4" t="n">
        <v>4</v>
      </c>
      <c r="C3875" s="4" t="inlineStr">
        <is>
          <t>elk</t>
        </is>
      </c>
      <c r="D3875" s="4" t="n">
        <v>2004</v>
      </c>
      <c r="E3875" s="13" t="inlineStr">
        <is>
          <t>General</t>
        </is>
      </c>
      <c r="F3875" s="5" t="n">
        <v>331</v>
      </c>
      <c r="G3875" s="5" t="n">
        <v>2085</v>
      </c>
      <c r="H3875" s="5" t="n">
        <v>57</v>
      </c>
      <c r="I3875" s="5" t="n">
        <v>25</v>
      </c>
      <c r="J3875" s="5" t="n">
        <v>29</v>
      </c>
      <c r="K3875" s="10">
        <f>IF(F3875&gt;0,H3875/F3875,"")</f>
        <v/>
      </c>
      <c r="L3875" s="16">
        <f>IF(AND(G3875&gt;0,H3875&gt;0),G3875/H3875,"")</f>
        <v/>
      </c>
    </row>
    <row r="3876">
      <c r="A3876" s="4" t="inlineStr">
        <is>
          <t>441</t>
        </is>
      </c>
      <c r="B3876" s="4" t="n">
        <v>4</v>
      </c>
      <c r="C3876" s="4" t="inlineStr">
        <is>
          <t>elk</t>
        </is>
      </c>
      <c r="D3876" s="4" t="n">
        <v>2005</v>
      </c>
      <c r="E3876" s="13" t="inlineStr">
        <is>
          <t>General</t>
        </is>
      </c>
      <c r="F3876" s="5" t="n">
        <v>352</v>
      </c>
      <c r="G3876" s="5" t="n">
        <v>1737</v>
      </c>
      <c r="H3876" s="5" t="n">
        <v>49</v>
      </c>
      <c r="I3876" s="5" t="n">
        <v>20</v>
      </c>
      <c r="J3876" s="5" t="n">
        <v>25</v>
      </c>
      <c r="K3876" s="10">
        <f>IF(F3876&gt;0,H3876/F3876,"")</f>
        <v/>
      </c>
      <c r="L3876" s="16">
        <f>IF(AND(G3876&gt;0,H3876&gt;0),G3876/H3876,"")</f>
        <v/>
      </c>
    </row>
    <row r="3877">
      <c r="A3877" s="4" t="inlineStr">
        <is>
          <t>441</t>
        </is>
      </c>
      <c r="B3877" s="4" t="n">
        <v>4</v>
      </c>
      <c r="C3877" s="4" t="inlineStr">
        <is>
          <t>elk</t>
        </is>
      </c>
      <c r="D3877" s="4" t="n">
        <v>2006</v>
      </c>
      <c r="E3877" s="13" t="inlineStr">
        <is>
          <t>General</t>
        </is>
      </c>
      <c r="F3877" s="5" t="n">
        <v>440</v>
      </c>
      <c r="G3877" s="5" t="n">
        <v>2282</v>
      </c>
      <c r="H3877" s="5" t="n">
        <v>128</v>
      </c>
      <c r="I3877" s="5" t="n">
        <v>32</v>
      </c>
      <c r="J3877" s="5" t="n">
        <v>91</v>
      </c>
      <c r="K3877" s="10">
        <f>IF(F3877&gt;0,H3877/F3877,"")</f>
        <v/>
      </c>
      <c r="L3877" s="16">
        <f>IF(AND(G3877&gt;0,H3877&gt;0),G3877/H3877,"")</f>
        <v/>
      </c>
    </row>
    <row r="3878">
      <c r="A3878" s="4" t="inlineStr">
        <is>
          <t>441</t>
        </is>
      </c>
      <c r="B3878" s="4" t="n">
        <v>4</v>
      </c>
      <c r="C3878" s="4" t="inlineStr">
        <is>
          <t>elk</t>
        </is>
      </c>
      <c r="D3878" s="4" t="n">
        <v>2007</v>
      </c>
      <c r="E3878" s="13" t="inlineStr">
        <is>
          <t>General</t>
        </is>
      </c>
      <c r="F3878" s="5" t="n">
        <v>518</v>
      </c>
      <c r="G3878" s="5" t="n">
        <v>2717</v>
      </c>
      <c r="H3878" s="5" t="n">
        <v>112</v>
      </c>
      <c r="I3878" s="5" t="n">
        <v>40</v>
      </c>
      <c r="J3878" s="5" t="n">
        <v>54</v>
      </c>
      <c r="K3878" s="10">
        <f>IF(F3878&gt;0,H3878/F3878,"")</f>
        <v/>
      </c>
      <c r="L3878" s="16">
        <f>IF(AND(G3878&gt;0,H3878&gt;0),G3878/H3878,"")</f>
        <v/>
      </c>
    </row>
    <row r="3879">
      <c r="A3879" s="4" t="inlineStr">
        <is>
          <t>441</t>
        </is>
      </c>
      <c r="B3879" s="4" t="n">
        <v>4</v>
      </c>
      <c r="C3879" s="4" t="inlineStr">
        <is>
          <t>elk</t>
        </is>
      </c>
      <c r="D3879" s="4" t="n">
        <v>2008</v>
      </c>
      <c r="E3879" s="13" t="inlineStr">
        <is>
          <t>General</t>
        </is>
      </c>
      <c r="F3879" s="5" t="n">
        <v>588</v>
      </c>
      <c r="G3879" s="5" t="n">
        <v>3847</v>
      </c>
      <c r="H3879" s="5" t="n">
        <v>78</v>
      </c>
      <c r="I3879" s="5" t="n">
        <v>36</v>
      </c>
      <c r="J3879" s="5" t="n">
        <v>42</v>
      </c>
      <c r="K3879" s="10">
        <f>IF(F3879&gt;0,H3879/F3879,"")</f>
        <v/>
      </c>
      <c r="L3879" s="16">
        <f>IF(AND(G3879&gt;0,H3879&gt;0),G3879/H3879,"")</f>
        <v/>
      </c>
    </row>
    <row r="3880">
      <c r="A3880" s="4" t="inlineStr">
        <is>
          <t>441</t>
        </is>
      </c>
      <c r="B3880" s="4" t="n">
        <v>4</v>
      </c>
      <c r="C3880" s="4" t="inlineStr">
        <is>
          <t>elk</t>
        </is>
      </c>
      <c r="D3880" s="4" t="n">
        <v>2009</v>
      </c>
      <c r="E3880" s="13" t="inlineStr">
        <is>
          <t>General</t>
        </is>
      </c>
      <c r="F3880" s="5" t="n">
        <v>568</v>
      </c>
      <c r="G3880" s="5" t="n">
        <v>3456</v>
      </c>
      <c r="H3880" s="5" t="n">
        <v>105</v>
      </c>
      <c r="I3880" s="5" t="n">
        <v>34</v>
      </c>
      <c r="J3880" s="5" t="n">
        <v>69</v>
      </c>
      <c r="K3880" s="10">
        <f>IF(F3880&gt;0,H3880/F3880,"")</f>
        <v/>
      </c>
      <c r="L3880" s="16">
        <f>IF(AND(G3880&gt;0,H3880&gt;0),G3880/H3880,"")</f>
        <v/>
      </c>
    </row>
    <row r="3881">
      <c r="A3881" s="4" t="inlineStr">
        <is>
          <t>441</t>
        </is>
      </c>
      <c r="B3881" s="4" t="n">
        <v>4</v>
      </c>
      <c r="C3881" s="4" t="inlineStr">
        <is>
          <t>elk</t>
        </is>
      </c>
      <c r="D3881" s="4" t="n">
        <v>2010</v>
      </c>
      <c r="E3881" s="13" t="inlineStr">
        <is>
          <t>General</t>
        </is>
      </c>
      <c r="F3881" s="5" t="n">
        <v>481</v>
      </c>
      <c r="G3881" s="5" t="n">
        <v>2756</v>
      </c>
      <c r="H3881" s="5" t="n">
        <v>117</v>
      </c>
      <c r="I3881" s="5" t="n">
        <v>41</v>
      </c>
      <c r="J3881" s="5" t="n">
        <v>67</v>
      </c>
      <c r="K3881" s="10">
        <f>IF(F3881&gt;0,H3881/F3881,"")</f>
        <v/>
      </c>
      <c r="L3881" s="16">
        <f>IF(AND(G3881&gt;0,H3881&gt;0),G3881/H3881,"")</f>
        <v/>
      </c>
    </row>
    <row r="3882">
      <c r="A3882" s="4" t="inlineStr">
        <is>
          <t>441</t>
        </is>
      </c>
      <c r="B3882" s="4" t="n">
        <v>4</v>
      </c>
      <c r="C3882" s="4" t="inlineStr">
        <is>
          <t>elk</t>
        </is>
      </c>
      <c r="D3882" s="4" t="n">
        <v>2011</v>
      </c>
      <c r="E3882" s="13" t="inlineStr">
        <is>
          <t>General</t>
        </is>
      </c>
      <c r="F3882" s="5" t="n">
        <v>451</v>
      </c>
      <c r="G3882" s="5" t="n">
        <v>2750</v>
      </c>
      <c r="H3882" s="5" t="n">
        <v>72</v>
      </c>
      <c r="I3882" s="5" t="n">
        <v>18</v>
      </c>
      <c r="J3882" s="5" t="n">
        <v>52</v>
      </c>
      <c r="K3882" s="10">
        <f>IF(F3882&gt;0,H3882/F3882,"")</f>
        <v/>
      </c>
      <c r="L3882" s="16">
        <f>IF(AND(G3882&gt;0,H3882&gt;0),G3882/H3882,"")</f>
        <v/>
      </c>
    </row>
    <row r="3883">
      <c r="A3883" s="4" t="inlineStr">
        <is>
          <t>441</t>
        </is>
      </c>
      <c r="B3883" s="4" t="n">
        <v>4</v>
      </c>
      <c r="C3883" s="4" t="inlineStr">
        <is>
          <t>elk</t>
        </is>
      </c>
      <c r="D3883" s="4" t="n">
        <v>2012</v>
      </c>
      <c r="E3883" s="13" t="inlineStr">
        <is>
          <t>General</t>
        </is>
      </c>
      <c r="F3883" s="5" t="n">
        <v>494</v>
      </c>
      <c r="G3883" s="5" t="n">
        <v>2955</v>
      </c>
      <c r="H3883" s="5" t="n">
        <v>76</v>
      </c>
      <c r="I3883" s="5" t="n">
        <v>28</v>
      </c>
      <c r="J3883" s="5" t="n">
        <v>45</v>
      </c>
      <c r="K3883" s="10">
        <f>IF(F3883&gt;0,H3883/F3883,"")</f>
        <v/>
      </c>
      <c r="L3883" s="16">
        <f>IF(AND(G3883&gt;0,H3883&gt;0),G3883/H3883,"")</f>
        <v/>
      </c>
    </row>
    <row r="3884">
      <c r="A3884" s="4" t="inlineStr">
        <is>
          <t>441</t>
        </is>
      </c>
      <c r="B3884" s="4" t="n">
        <v>4</v>
      </c>
      <c r="C3884" s="4" t="inlineStr">
        <is>
          <t>elk</t>
        </is>
      </c>
      <c r="D3884" s="4" t="n">
        <v>2013</v>
      </c>
      <c r="E3884" s="13" t="inlineStr">
        <is>
          <t>General</t>
        </is>
      </c>
      <c r="F3884" s="5" t="n"/>
      <c r="G3884" s="5" t="n"/>
      <c r="H3884" s="5" t="n">
        <v>92</v>
      </c>
      <c r="I3884" s="5" t="n">
        <v>31</v>
      </c>
      <c r="J3884" s="5" t="n">
        <v>58</v>
      </c>
      <c r="K3884" s="10">
        <f>IF(F3884&gt;0,H3884/F3884,"")</f>
        <v/>
      </c>
      <c r="L3884" s="16">
        <f>IF(AND(G3884&gt;0,H3884&gt;0),G3884/H3884,"")</f>
        <v/>
      </c>
    </row>
    <row r="3885">
      <c r="A3885" s="4" t="inlineStr">
        <is>
          <t>441</t>
        </is>
      </c>
      <c r="B3885" s="4" t="n">
        <v>4</v>
      </c>
      <c r="C3885" s="4" t="inlineStr">
        <is>
          <t>elk</t>
        </is>
      </c>
      <c r="D3885" s="4" t="n">
        <v>2014</v>
      </c>
      <c r="E3885" s="13" t="inlineStr">
        <is>
          <t>General</t>
        </is>
      </c>
      <c r="F3885" s="5" t="n">
        <v>641</v>
      </c>
      <c r="G3885" s="5" t="n">
        <v>4342</v>
      </c>
      <c r="H3885" s="5" t="n">
        <v>122</v>
      </c>
      <c r="I3885" s="5" t="n">
        <v>28</v>
      </c>
      <c r="J3885" s="5" t="n">
        <v>94</v>
      </c>
      <c r="K3885" s="10">
        <f>IF(F3885&gt;0,H3885/F3885,"")</f>
        <v/>
      </c>
      <c r="L3885" s="16">
        <f>IF(AND(G3885&gt;0,H3885&gt;0),G3885/H3885,"")</f>
        <v/>
      </c>
    </row>
    <row r="3886">
      <c r="A3886" s="4" t="inlineStr">
        <is>
          <t>441</t>
        </is>
      </c>
      <c r="B3886" s="4" t="n">
        <v>4</v>
      </c>
      <c r="C3886" s="4" t="inlineStr">
        <is>
          <t>elk</t>
        </is>
      </c>
      <c r="D3886" s="4" t="n">
        <v>2015</v>
      </c>
      <c r="E3886" s="13" t="inlineStr">
        <is>
          <t>General</t>
        </is>
      </c>
      <c r="F3886" s="5" t="n">
        <v>499</v>
      </c>
      <c r="G3886" s="5" t="n">
        <v>3978</v>
      </c>
      <c r="H3886" s="5" t="n">
        <v>100</v>
      </c>
      <c r="I3886" s="5" t="n">
        <v>26</v>
      </c>
      <c r="J3886" s="5" t="n">
        <v>62</v>
      </c>
      <c r="K3886" s="10">
        <f>IF(F3886&gt;0,H3886/F3886,"")</f>
        <v/>
      </c>
      <c r="L3886" s="16">
        <f>IF(AND(G3886&gt;0,H3886&gt;0),G3886/H3886,"")</f>
        <v/>
      </c>
    </row>
    <row r="3887">
      <c r="A3887" s="4" t="inlineStr">
        <is>
          <t>441</t>
        </is>
      </c>
      <c r="B3887" s="4" t="n">
        <v>4</v>
      </c>
      <c r="C3887" s="4" t="inlineStr">
        <is>
          <t>elk</t>
        </is>
      </c>
      <c r="D3887" s="4" t="n">
        <v>2016</v>
      </c>
      <c r="E3887" s="13" t="inlineStr">
        <is>
          <t>General</t>
        </is>
      </c>
      <c r="F3887" s="5" t="n">
        <v>439</v>
      </c>
      <c r="G3887" s="5" t="n">
        <v>2999</v>
      </c>
      <c r="H3887" s="5" t="n">
        <v>46</v>
      </c>
      <c r="I3887" s="5" t="n">
        <v>22</v>
      </c>
      <c r="J3887" s="5" t="n">
        <v>25</v>
      </c>
      <c r="K3887" s="10">
        <f>IF(F3887&gt;0,H3887/F3887,"")</f>
        <v/>
      </c>
      <c r="L3887" s="16">
        <f>IF(AND(G3887&gt;0,H3887&gt;0),G3887/H3887,"")</f>
        <v/>
      </c>
    </row>
    <row r="3888">
      <c r="A3888" s="4" t="inlineStr">
        <is>
          <t>441</t>
        </is>
      </c>
      <c r="B3888" s="4" t="n">
        <v>4</v>
      </c>
      <c r="C3888" s="4" t="inlineStr">
        <is>
          <t>elk</t>
        </is>
      </c>
      <c r="D3888" s="4" t="n">
        <v>2017</v>
      </c>
      <c r="E3888" s="13" t="inlineStr">
        <is>
          <t>General</t>
        </is>
      </c>
      <c r="F3888" s="5" t="n"/>
      <c r="G3888" s="5" t="n"/>
      <c r="H3888" s="5" t="n">
        <v>51</v>
      </c>
      <c r="I3888" s="5" t="n">
        <v>25</v>
      </c>
      <c r="J3888" s="5" t="n">
        <v>24</v>
      </c>
      <c r="K3888" s="10">
        <f>IF(F3888&gt;0,H3888/F3888,"")</f>
        <v/>
      </c>
      <c r="L3888" s="16">
        <f>IF(AND(G3888&gt;0,H3888&gt;0),G3888/H3888,"")</f>
        <v/>
      </c>
    </row>
    <row r="3889">
      <c r="A3889" s="4" t="inlineStr">
        <is>
          <t>441</t>
        </is>
      </c>
      <c r="B3889" s="4" t="n">
        <v>4</v>
      </c>
      <c r="C3889" s="4" t="inlineStr">
        <is>
          <t>elk</t>
        </is>
      </c>
      <c r="D3889" s="4" t="n">
        <v>2018</v>
      </c>
      <c r="E3889" s="13" t="inlineStr">
        <is>
          <t>General</t>
        </is>
      </c>
      <c r="F3889" s="5" t="n">
        <v>459</v>
      </c>
      <c r="G3889" s="5" t="n">
        <v>3336</v>
      </c>
      <c r="H3889" s="5" t="n">
        <v>65</v>
      </c>
      <c r="I3889" s="5" t="n">
        <v>26</v>
      </c>
      <c r="J3889" s="5" t="n">
        <v>36</v>
      </c>
      <c r="K3889" s="10">
        <f>IF(F3889&gt;0,H3889/F3889,"")</f>
        <v/>
      </c>
      <c r="L3889" s="16">
        <f>IF(AND(G3889&gt;0,H3889&gt;0),G3889/H3889,"")</f>
        <v/>
      </c>
    </row>
    <row r="3890">
      <c r="A3890" s="4" t="inlineStr">
        <is>
          <t>441</t>
        </is>
      </c>
      <c r="B3890" s="4" t="n">
        <v>4</v>
      </c>
      <c r="C3890" s="4" t="inlineStr">
        <is>
          <t>elk</t>
        </is>
      </c>
      <c r="D3890" s="4" t="n">
        <v>2019</v>
      </c>
      <c r="E3890" s="13" t="inlineStr">
        <is>
          <t>General</t>
        </is>
      </c>
      <c r="F3890" s="5" t="n"/>
      <c r="G3890" s="5" t="n"/>
      <c r="H3890" s="5" t="n">
        <v>54</v>
      </c>
      <c r="I3890" s="5" t="n">
        <v>30</v>
      </c>
      <c r="J3890" s="5" t="n">
        <v>24</v>
      </c>
      <c r="K3890" s="10">
        <f>IF(F3890&gt;0,H3890/F3890,"")</f>
        <v/>
      </c>
      <c r="L3890" s="16">
        <f>IF(AND(G3890&gt;0,H3890&gt;0),G3890/H3890,"")</f>
        <v/>
      </c>
    </row>
    <row r="3891">
      <c r="A3891" s="4" t="inlineStr">
        <is>
          <t>441</t>
        </is>
      </c>
      <c r="B3891" s="4" t="n">
        <v>4</v>
      </c>
      <c r="C3891" s="4" t="inlineStr">
        <is>
          <t>elk</t>
        </is>
      </c>
      <c r="D3891" s="4" t="n">
        <v>2020</v>
      </c>
      <c r="E3891" s="13" t="inlineStr">
        <is>
          <t>General</t>
        </is>
      </c>
      <c r="F3891" s="5" t="n">
        <v>451</v>
      </c>
      <c r="G3891" s="5" t="n">
        <v>3300</v>
      </c>
      <c r="H3891" s="5" t="n">
        <v>69</v>
      </c>
      <c r="I3891" s="5" t="n">
        <v>27</v>
      </c>
      <c r="J3891" s="5" t="n">
        <v>42</v>
      </c>
      <c r="K3891" s="10">
        <f>IF(F3891&gt;0,H3891/F3891,"")</f>
        <v/>
      </c>
      <c r="L3891" s="16">
        <f>IF(AND(G3891&gt;0,H3891&gt;0),G3891/H3891,"")</f>
        <v/>
      </c>
    </row>
    <row r="3892">
      <c r="A3892" s="4" t="inlineStr">
        <is>
          <t>441</t>
        </is>
      </c>
      <c r="B3892" s="4" t="n">
        <v>4</v>
      </c>
      <c r="C3892" s="4" t="inlineStr">
        <is>
          <t>elk</t>
        </is>
      </c>
      <c r="D3892" s="4" t="n">
        <v>2021</v>
      </c>
      <c r="E3892" s="13" t="inlineStr">
        <is>
          <t>General</t>
        </is>
      </c>
      <c r="F3892" s="5" t="n"/>
      <c r="G3892" s="5" t="n"/>
      <c r="H3892" s="5" t="n">
        <v>73</v>
      </c>
      <c r="I3892" s="5" t="n">
        <v>27</v>
      </c>
      <c r="J3892" s="5" t="n">
        <v>42</v>
      </c>
      <c r="K3892" s="10">
        <f>IF(F3892&gt;0,H3892/F3892,"")</f>
        <v/>
      </c>
      <c r="L3892" s="16">
        <f>IF(AND(G3892&gt;0,H3892&gt;0),G3892/H3892,"")</f>
        <v/>
      </c>
    </row>
    <row r="3893">
      <c r="A3893" s="4" t="inlineStr">
        <is>
          <t>441</t>
        </is>
      </c>
      <c r="B3893" s="4" t="n">
        <v>4</v>
      </c>
      <c r="C3893" s="4" t="inlineStr">
        <is>
          <t>elk</t>
        </is>
      </c>
      <c r="D3893" s="4" t="n">
        <v>2022</v>
      </c>
      <c r="E3893" s="13" t="inlineStr">
        <is>
          <t>General</t>
        </is>
      </c>
      <c r="F3893" s="5" t="n">
        <v>401</v>
      </c>
      <c r="G3893" s="5" t="n">
        <v>2924</v>
      </c>
      <c r="H3893" s="5" t="n">
        <v>64</v>
      </c>
      <c r="I3893" s="5" t="n">
        <v>22</v>
      </c>
      <c r="J3893" s="5" t="n">
        <v>42</v>
      </c>
      <c r="K3893" s="10">
        <f>IF(F3893&gt;0,H3893/F3893,"")</f>
        <v/>
      </c>
      <c r="L3893" s="16">
        <f>IF(AND(G3893&gt;0,H3893&gt;0),G3893/H3893,"")</f>
        <v/>
      </c>
    </row>
    <row r="3894">
      <c r="A3894" s="4" t="inlineStr">
        <is>
          <t>441</t>
        </is>
      </c>
      <c r="B3894" s="4" t="n">
        <v>4</v>
      </c>
      <c r="C3894" s="4" t="inlineStr">
        <is>
          <t>elk</t>
        </is>
      </c>
      <c r="D3894" s="4" t="n">
        <v>2023</v>
      </c>
      <c r="E3894" s="13" t="inlineStr">
        <is>
          <t>General</t>
        </is>
      </c>
      <c r="F3894" s="5" t="n"/>
      <c r="G3894" s="5" t="n"/>
      <c r="H3894" s="5" t="n">
        <v>75</v>
      </c>
      <c r="I3894" s="5" t="n">
        <v>25</v>
      </c>
      <c r="J3894" s="5" t="n">
        <v>48</v>
      </c>
      <c r="K3894" s="10">
        <f>IF(F3894&gt;0,H3894/F3894,"")</f>
        <v/>
      </c>
      <c r="L3894" s="16">
        <f>IF(AND(G3894&gt;0,H3894&gt;0),G3894/H3894,"")</f>
        <v/>
      </c>
    </row>
    <row r="3895">
      <c r="A3895" s="4" t="inlineStr">
        <is>
          <t>441</t>
        </is>
      </c>
      <c r="B3895" s="4" t="n">
        <v>4</v>
      </c>
      <c r="C3895" s="4" t="inlineStr">
        <is>
          <t>elk</t>
        </is>
      </c>
      <c r="D3895" s="4" t="n">
        <v>2024</v>
      </c>
      <c r="E3895" s="13" t="inlineStr">
        <is>
          <t>General</t>
        </is>
      </c>
      <c r="F3895" s="5" t="n">
        <v>577</v>
      </c>
      <c r="G3895" s="5" t="n">
        <v>3846</v>
      </c>
      <c r="H3895" s="5" t="n">
        <v>98</v>
      </c>
      <c r="I3895" s="5" t="n">
        <v>30</v>
      </c>
      <c r="J3895" s="5" t="n">
        <v>65</v>
      </c>
      <c r="K3895" s="10">
        <f>IF(F3895&gt;0,H3895/F3895,"")</f>
        <v/>
      </c>
      <c r="L3895" s="16">
        <f>IF(AND(G3895&gt;0,H3895&gt;0),G3895/H3895,"")</f>
        <v/>
      </c>
    </row>
    <row r="3896">
      <c r="A3896" s="4" t="inlineStr">
        <is>
          <t>441</t>
        </is>
      </c>
      <c r="B3896" s="4" t="n">
        <v>4</v>
      </c>
      <c r="C3896" s="4" t="inlineStr">
        <is>
          <t>elk</t>
        </is>
      </c>
      <c r="D3896" s="4" t="n">
        <v>2025</v>
      </c>
      <c r="E3896" s="13" t="inlineStr">
        <is>
          <t>General</t>
        </is>
      </c>
      <c r="F3896" s="5" t="n"/>
      <c r="G3896" s="5" t="n"/>
      <c r="H3896" s="5" t="n">
        <v>123</v>
      </c>
      <c r="I3896" s="5" t="n">
        <v>48</v>
      </c>
      <c r="J3896" s="5" t="n">
        <v>75</v>
      </c>
      <c r="K3896" s="10">
        <f>IF(F3896&gt;0,H3896/F3896,"")</f>
        <v/>
      </c>
      <c r="L3896" s="16">
        <f>IF(AND(G3896&gt;0,H3896&gt;0),G3896/H3896,"")</f>
        <v/>
      </c>
    </row>
    <row r="3897">
      <c r="A3897" s="4" t="inlineStr">
        <is>
          <t>442</t>
        </is>
      </c>
      <c r="B3897" s="4" t="n">
        <v>4</v>
      </c>
      <c r="C3897" s="4" t="inlineStr">
        <is>
          <t>elk</t>
        </is>
      </c>
      <c r="D3897" s="4" t="n">
        <v>2004</v>
      </c>
      <c r="E3897" s="13" t="inlineStr">
        <is>
          <t>General</t>
        </is>
      </c>
      <c r="F3897" s="5" t="n">
        <v>925</v>
      </c>
      <c r="G3897" s="5" t="n">
        <v>5245</v>
      </c>
      <c r="H3897" s="5" t="n">
        <v>135</v>
      </c>
      <c r="I3897" s="5" t="n">
        <v>68</v>
      </c>
      <c r="J3897" s="5" t="n">
        <v>56</v>
      </c>
      <c r="K3897" s="10">
        <f>IF(F3897&gt;0,H3897/F3897,"")</f>
        <v/>
      </c>
      <c r="L3897" s="16">
        <f>IF(AND(G3897&gt;0,H3897&gt;0),G3897/H3897,"")</f>
        <v/>
      </c>
    </row>
    <row r="3898">
      <c r="A3898" s="4" t="inlineStr">
        <is>
          <t>442</t>
        </is>
      </c>
      <c r="B3898" s="4" t="n">
        <v>4</v>
      </c>
      <c r="C3898" s="4" t="inlineStr">
        <is>
          <t>elk</t>
        </is>
      </c>
      <c r="D3898" s="4" t="n">
        <v>2005</v>
      </c>
      <c r="E3898" s="13" t="inlineStr">
        <is>
          <t>General</t>
        </is>
      </c>
      <c r="F3898" s="5" t="n">
        <v>593</v>
      </c>
      <c r="G3898" s="5" t="n">
        <v>3118</v>
      </c>
      <c r="H3898" s="5" t="n">
        <v>121</v>
      </c>
      <c r="I3898" s="5" t="n">
        <v>69</v>
      </c>
      <c r="J3898" s="5" t="n">
        <v>37</v>
      </c>
      <c r="K3898" s="10">
        <f>IF(F3898&gt;0,H3898/F3898,"")</f>
        <v/>
      </c>
      <c r="L3898" s="16">
        <f>IF(AND(G3898&gt;0,H3898&gt;0),G3898/H3898,"")</f>
        <v/>
      </c>
    </row>
    <row r="3899">
      <c r="A3899" s="4" t="inlineStr">
        <is>
          <t>442</t>
        </is>
      </c>
      <c r="B3899" s="4" t="n">
        <v>4</v>
      </c>
      <c r="C3899" s="4" t="inlineStr">
        <is>
          <t>elk</t>
        </is>
      </c>
      <c r="D3899" s="4" t="n">
        <v>2006</v>
      </c>
      <c r="E3899" s="13" t="inlineStr">
        <is>
          <t>General</t>
        </is>
      </c>
      <c r="F3899" s="5" t="n">
        <v>693</v>
      </c>
      <c r="G3899" s="5" t="n">
        <v>3945</v>
      </c>
      <c r="H3899" s="5" t="n">
        <v>136</v>
      </c>
      <c r="I3899" s="5" t="n">
        <v>87</v>
      </c>
      <c r="J3899" s="5" t="n">
        <v>42</v>
      </c>
      <c r="K3899" s="10">
        <f>IF(F3899&gt;0,H3899/F3899,"")</f>
        <v/>
      </c>
      <c r="L3899" s="16">
        <f>IF(AND(G3899&gt;0,H3899&gt;0),G3899/H3899,"")</f>
        <v/>
      </c>
    </row>
    <row r="3900">
      <c r="A3900" s="4" t="inlineStr">
        <is>
          <t>442</t>
        </is>
      </c>
      <c r="B3900" s="4" t="n">
        <v>4</v>
      </c>
      <c r="C3900" s="4" t="inlineStr">
        <is>
          <t>elk</t>
        </is>
      </c>
      <c r="D3900" s="4" t="n">
        <v>2007</v>
      </c>
      <c r="E3900" s="13" t="inlineStr">
        <is>
          <t>General</t>
        </is>
      </c>
      <c r="F3900" s="5" t="n">
        <v>743</v>
      </c>
      <c r="G3900" s="5" t="n">
        <v>4479</v>
      </c>
      <c r="H3900" s="5" t="n">
        <v>164</v>
      </c>
      <c r="I3900" s="5" t="n">
        <v>96</v>
      </c>
      <c r="J3900" s="5" t="n">
        <v>52</v>
      </c>
      <c r="K3900" s="10">
        <f>IF(F3900&gt;0,H3900/F3900,"")</f>
        <v/>
      </c>
      <c r="L3900" s="16">
        <f>IF(AND(G3900&gt;0,H3900&gt;0),G3900/H3900,"")</f>
        <v/>
      </c>
    </row>
    <row r="3901">
      <c r="A3901" s="4" t="inlineStr">
        <is>
          <t>442</t>
        </is>
      </c>
      <c r="B3901" s="4" t="n">
        <v>4</v>
      </c>
      <c r="C3901" s="4" t="inlineStr">
        <is>
          <t>elk</t>
        </is>
      </c>
      <c r="D3901" s="4" t="n">
        <v>2008</v>
      </c>
      <c r="E3901" s="13" t="inlineStr">
        <is>
          <t>General</t>
        </is>
      </c>
      <c r="F3901" s="5" t="n">
        <v>933</v>
      </c>
      <c r="G3901" s="5" t="n">
        <v>6204</v>
      </c>
      <c r="H3901" s="5" t="n">
        <v>110</v>
      </c>
      <c r="I3901" s="5" t="n">
        <v>67</v>
      </c>
      <c r="J3901" s="5" t="n">
        <v>40</v>
      </c>
      <c r="K3901" s="10">
        <f>IF(F3901&gt;0,H3901/F3901,"")</f>
        <v/>
      </c>
      <c r="L3901" s="16">
        <f>IF(AND(G3901&gt;0,H3901&gt;0),G3901/H3901,"")</f>
        <v/>
      </c>
    </row>
    <row r="3902">
      <c r="A3902" s="4" t="inlineStr">
        <is>
          <t>442</t>
        </is>
      </c>
      <c r="B3902" s="4" t="n">
        <v>4</v>
      </c>
      <c r="C3902" s="4" t="inlineStr">
        <is>
          <t>elk</t>
        </is>
      </c>
      <c r="D3902" s="4" t="n">
        <v>2009</v>
      </c>
      <c r="E3902" s="13" t="inlineStr">
        <is>
          <t>General</t>
        </is>
      </c>
      <c r="F3902" s="5" t="n">
        <v>824</v>
      </c>
      <c r="G3902" s="5" t="n">
        <v>5100</v>
      </c>
      <c r="H3902" s="5" t="n">
        <v>120</v>
      </c>
      <c r="I3902" s="5" t="n">
        <v>56</v>
      </c>
      <c r="J3902" s="5" t="n">
        <v>56</v>
      </c>
      <c r="K3902" s="10">
        <f>IF(F3902&gt;0,H3902/F3902,"")</f>
        <v/>
      </c>
      <c r="L3902" s="16">
        <f>IF(AND(G3902&gt;0,H3902&gt;0),G3902/H3902,"")</f>
        <v/>
      </c>
    </row>
    <row r="3903">
      <c r="A3903" s="4" t="inlineStr">
        <is>
          <t>442</t>
        </is>
      </c>
      <c r="B3903" s="4" t="n">
        <v>4</v>
      </c>
      <c r="C3903" s="4" t="inlineStr">
        <is>
          <t>elk</t>
        </is>
      </c>
      <c r="D3903" s="4" t="n">
        <v>2010</v>
      </c>
      <c r="E3903" s="13" t="inlineStr">
        <is>
          <t>General</t>
        </is>
      </c>
      <c r="F3903" s="5" t="n">
        <v>883</v>
      </c>
      <c r="G3903" s="5" t="n">
        <v>4875</v>
      </c>
      <c r="H3903" s="5" t="n">
        <v>186</v>
      </c>
      <c r="I3903" s="5" t="n">
        <v>95</v>
      </c>
      <c r="J3903" s="5" t="n">
        <v>75</v>
      </c>
      <c r="K3903" s="10">
        <f>IF(F3903&gt;0,H3903/F3903,"")</f>
        <v/>
      </c>
      <c r="L3903" s="16">
        <f>IF(AND(G3903&gt;0,H3903&gt;0),G3903/H3903,"")</f>
        <v/>
      </c>
    </row>
    <row r="3904">
      <c r="A3904" s="4" t="inlineStr">
        <is>
          <t>442</t>
        </is>
      </c>
      <c r="B3904" s="4" t="n">
        <v>4</v>
      </c>
      <c r="C3904" s="4" t="inlineStr">
        <is>
          <t>elk</t>
        </is>
      </c>
      <c r="D3904" s="4" t="n">
        <v>2011</v>
      </c>
      <c r="E3904" s="13" t="inlineStr">
        <is>
          <t>General</t>
        </is>
      </c>
      <c r="F3904" s="5" t="n">
        <v>962</v>
      </c>
      <c r="G3904" s="5" t="n">
        <v>5414</v>
      </c>
      <c r="H3904" s="5" t="n">
        <v>160</v>
      </c>
      <c r="I3904" s="5" t="n">
        <v>50</v>
      </c>
      <c r="J3904" s="5" t="n">
        <v>102</v>
      </c>
      <c r="K3904" s="10">
        <f>IF(F3904&gt;0,H3904/F3904,"")</f>
        <v/>
      </c>
      <c r="L3904" s="16">
        <f>IF(AND(G3904&gt;0,H3904&gt;0),G3904/H3904,"")</f>
        <v/>
      </c>
    </row>
    <row r="3905">
      <c r="A3905" s="4" t="inlineStr">
        <is>
          <t>442</t>
        </is>
      </c>
      <c r="B3905" s="4" t="n">
        <v>4</v>
      </c>
      <c r="C3905" s="4" t="inlineStr">
        <is>
          <t>elk</t>
        </is>
      </c>
      <c r="D3905" s="4" t="n">
        <v>2012</v>
      </c>
      <c r="E3905" s="13" t="inlineStr">
        <is>
          <t>General</t>
        </is>
      </c>
      <c r="F3905" s="5" t="n">
        <v>1037</v>
      </c>
      <c r="G3905" s="5" t="n">
        <v>6036</v>
      </c>
      <c r="H3905" s="5" t="n">
        <v>188</v>
      </c>
      <c r="I3905" s="5" t="n">
        <v>78</v>
      </c>
      <c r="J3905" s="5" t="n">
        <v>98</v>
      </c>
      <c r="K3905" s="10">
        <f>IF(F3905&gt;0,H3905/F3905,"")</f>
        <v/>
      </c>
      <c r="L3905" s="16">
        <f>IF(AND(G3905&gt;0,H3905&gt;0),G3905/H3905,"")</f>
        <v/>
      </c>
    </row>
    <row r="3906">
      <c r="A3906" s="4" t="inlineStr">
        <is>
          <t>442</t>
        </is>
      </c>
      <c r="B3906" s="4" t="n">
        <v>4</v>
      </c>
      <c r="C3906" s="4" t="inlineStr">
        <is>
          <t>elk</t>
        </is>
      </c>
      <c r="D3906" s="4" t="n">
        <v>2013</v>
      </c>
      <c r="E3906" s="13" t="inlineStr">
        <is>
          <t>General</t>
        </is>
      </c>
      <c r="F3906" s="5" t="n"/>
      <c r="G3906" s="5" t="n"/>
      <c r="H3906" s="5" t="n">
        <v>187</v>
      </c>
      <c r="I3906" s="5" t="n">
        <v>53</v>
      </c>
      <c r="J3906" s="5" t="n">
        <v>126</v>
      </c>
      <c r="K3906" s="10">
        <f>IF(F3906&gt;0,H3906/F3906,"")</f>
        <v/>
      </c>
      <c r="L3906" s="16">
        <f>IF(AND(G3906&gt;0,H3906&gt;0),G3906/H3906,"")</f>
        <v/>
      </c>
    </row>
    <row r="3907">
      <c r="A3907" s="4" t="inlineStr">
        <is>
          <t>442</t>
        </is>
      </c>
      <c r="B3907" s="4" t="n">
        <v>4</v>
      </c>
      <c r="C3907" s="4" t="inlineStr">
        <is>
          <t>elk</t>
        </is>
      </c>
      <c r="D3907" s="4" t="n">
        <v>2014</v>
      </c>
      <c r="E3907" s="13" t="inlineStr">
        <is>
          <t>General</t>
        </is>
      </c>
      <c r="F3907" s="5" t="n">
        <v>1036</v>
      </c>
      <c r="G3907" s="5" t="n">
        <v>6417</v>
      </c>
      <c r="H3907" s="5" t="n">
        <v>171</v>
      </c>
      <c r="I3907" s="5" t="n">
        <v>71</v>
      </c>
      <c r="J3907" s="5" t="n">
        <v>93</v>
      </c>
      <c r="K3907" s="10">
        <f>IF(F3907&gt;0,H3907/F3907,"")</f>
        <v/>
      </c>
      <c r="L3907" s="16">
        <f>IF(AND(G3907&gt;0,H3907&gt;0),G3907/H3907,"")</f>
        <v/>
      </c>
    </row>
    <row r="3908">
      <c r="A3908" s="4" t="inlineStr">
        <is>
          <t>442</t>
        </is>
      </c>
      <c r="B3908" s="4" t="n">
        <v>4</v>
      </c>
      <c r="C3908" s="4" t="inlineStr">
        <is>
          <t>elk</t>
        </is>
      </c>
      <c r="D3908" s="4" t="n">
        <v>2015</v>
      </c>
      <c r="E3908" s="13" t="inlineStr">
        <is>
          <t>General</t>
        </is>
      </c>
      <c r="F3908" s="5" t="n">
        <v>1012</v>
      </c>
      <c r="G3908" s="5" t="n">
        <v>6465</v>
      </c>
      <c r="H3908" s="5" t="n">
        <v>256</v>
      </c>
      <c r="I3908" s="5" t="n">
        <v>95</v>
      </c>
      <c r="J3908" s="5" t="n">
        <v>141</v>
      </c>
      <c r="K3908" s="10">
        <f>IF(F3908&gt;0,H3908/F3908,"")</f>
        <v/>
      </c>
      <c r="L3908" s="16">
        <f>IF(AND(G3908&gt;0,H3908&gt;0),G3908/H3908,"")</f>
        <v/>
      </c>
    </row>
    <row r="3909">
      <c r="A3909" s="4" t="inlineStr">
        <is>
          <t>442</t>
        </is>
      </c>
      <c r="B3909" s="4" t="n">
        <v>4</v>
      </c>
      <c r="C3909" s="4" t="inlineStr">
        <is>
          <t>elk</t>
        </is>
      </c>
      <c r="D3909" s="4" t="n">
        <v>2016</v>
      </c>
      <c r="E3909" s="13" t="inlineStr">
        <is>
          <t>General</t>
        </is>
      </c>
      <c r="F3909" s="5" t="n">
        <v>802</v>
      </c>
      <c r="G3909" s="5" t="n">
        <v>4846</v>
      </c>
      <c r="H3909" s="5" t="n">
        <v>117</v>
      </c>
      <c r="I3909" s="5" t="n">
        <v>55</v>
      </c>
      <c r="J3909" s="5" t="n">
        <v>59</v>
      </c>
      <c r="K3909" s="10">
        <f>IF(F3909&gt;0,H3909/F3909,"")</f>
        <v/>
      </c>
      <c r="L3909" s="16">
        <f>IF(AND(G3909&gt;0,H3909&gt;0),G3909/H3909,"")</f>
        <v/>
      </c>
    </row>
    <row r="3910">
      <c r="A3910" s="4" t="inlineStr">
        <is>
          <t>442</t>
        </is>
      </c>
      <c r="B3910" s="4" t="n">
        <v>4</v>
      </c>
      <c r="C3910" s="4" t="inlineStr">
        <is>
          <t>elk</t>
        </is>
      </c>
      <c r="D3910" s="4" t="n">
        <v>2017</v>
      </c>
      <c r="E3910" s="13" t="inlineStr">
        <is>
          <t>General</t>
        </is>
      </c>
      <c r="F3910" s="5" t="n"/>
      <c r="G3910" s="5" t="n"/>
      <c r="H3910" s="5" t="n">
        <v>161</v>
      </c>
      <c r="I3910" s="5" t="n">
        <v>129</v>
      </c>
      <c r="J3910" s="5" t="n">
        <v>29</v>
      </c>
      <c r="K3910" s="10">
        <f>IF(F3910&gt;0,H3910/F3910,"")</f>
        <v/>
      </c>
      <c r="L3910" s="16">
        <f>IF(AND(G3910&gt;0,H3910&gt;0),G3910/H3910,"")</f>
        <v/>
      </c>
    </row>
    <row r="3911">
      <c r="A3911" s="4" t="inlineStr">
        <is>
          <t>442</t>
        </is>
      </c>
      <c r="B3911" s="4" t="n">
        <v>4</v>
      </c>
      <c r="C3911" s="4" t="inlineStr">
        <is>
          <t>elk</t>
        </is>
      </c>
      <c r="D3911" s="4" t="n">
        <v>2018</v>
      </c>
      <c r="E3911" s="13" t="inlineStr">
        <is>
          <t>General</t>
        </is>
      </c>
      <c r="F3911" s="5" t="n">
        <v>732</v>
      </c>
      <c r="G3911" s="5" t="n">
        <v>5243</v>
      </c>
      <c r="H3911" s="5" t="n">
        <v>116</v>
      </c>
      <c r="I3911" s="5" t="n">
        <v>61</v>
      </c>
      <c r="J3911" s="5" t="n">
        <v>49</v>
      </c>
      <c r="K3911" s="10">
        <f>IF(F3911&gt;0,H3911/F3911,"")</f>
        <v/>
      </c>
      <c r="L3911" s="16">
        <f>IF(AND(G3911&gt;0,H3911&gt;0),G3911/H3911,"")</f>
        <v/>
      </c>
    </row>
    <row r="3912">
      <c r="A3912" s="4" t="inlineStr">
        <is>
          <t>442</t>
        </is>
      </c>
      <c r="B3912" s="4" t="n">
        <v>4</v>
      </c>
      <c r="C3912" s="4" t="inlineStr">
        <is>
          <t>elk</t>
        </is>
      </c>
      <c r="D3912" s="4" t="n">
        <v>2019</v>
      </c>
      <c r="E3912" s="13" t="inlineStr">
        <is>
          <t>General</t>
        </is>
      </c>
      <c r="F3912" s="5" t="n"/>
      <c r="G3912" s="5" t="n"/>
      <c r="H3912" s="5" t="n">
        <v>80</v>
      </c>
      <c r="I3912" s="5" t="n">
        <v>48</v>
      </c>
      <c r="J3912" s="5" t="n">
        <v>29</v>
      </c>
      <c r="K3912" s="10">
        <f>IF(F3912&gt;0,H3912/F3912,"")</f>
        <v/>
      </c>
      <c r="L3912" s="16">
        <f>IF(AND(G3912&gt;0,H3912&gt;0),G3912/H3912,"")</f>
        <v/>
      </c>
    </row>
    <row r="3913">
      <c r="A3913" s="4" t="inlineStr">
        <is>
          <t>442</t>
        </is>
      </c>
      <c r="B3913" s="4" t="n">
        <v>4</v>
      </c>
      <c r="C3913" s="4" t="inlineStr">
        <is>
          <t>elk</t>
        </is>
      </c>
      <c r="D3913" s="4" t="n">
        <v>2020</v>
      </c>
      <c r="E3913" s="13" t="inlineStr">
        <is>
          <t>General</t>
        </is>
      </c>
      <c r="F3913" s="5" t="n">
        <v>690</v>
      </c>
      <c r="G3913" s="5" t="n">
        <v>4055</v>
      </c>
      <c r="H3913" s="5" t="n">
        <v>103</v>
      </c>
      <c r="I3913" s="5" t="n">
        <v>68</v>
      </c>
      <c r="J3913" s="5" t="n">
        <v>29</v>
      </c>
      <c r="K3913" s="10">
        <f>IF(F3913&gt;0,H3913/F3913,"")</f>
        <v/>
      </c>
      <c r="L3913" s="16">
        <f>IF(AND(G3913&gt;0,H3913&gt;0),G3913/H3913,"")</f>
        <v/>
      </c>
    </row>
    <row r="3914">
      <c r="A3914" s="4" t="inlineStr">
        <is>
          <t>442</t>
        </is>
      </c>
      <c r="B3914" s="4" t="n">
        <v>4</v>
      </c>
      <c r="C3914" s="4" t="inlineStr">
        <is>
          <t>elk</t>
        </is>
      </c>
      <c r="D3914" s="4" t="n">
        <v>2021</v>
      </c>
      <c r="E3914" s="13" t="inlineStr">
        <is>
          <t>General</t>
        </is>
      </c>
      <c r="F3914" s="5" t="n"/>
      <c r="G3914" s="5" t="n"/>
      <c r="H3914" s="5" t="n">
        <v>92</v>
      </c>
      <c r="I3914" s="5" t="n">
        <v>63</v>
      </c>
      <c r="J3914" s="5" t="n">
        <v>29</v>
      </c>
      <c r="K3914" s="10">
        <f>IF(F3914&gt;0,H3914/F3914,"")</f>
        <v/>
      </c>
      <c r="L3914" s="16">
        <f>IF(AND(G3914&gt;0,H3914&gt;0),G3914/H3914,"")</f>
        <v/>
      </c>
    </row>
    <row r="3915">
      <c r="A3915" s="4" t="inlineStr">
        <is>
          <t>442</t>
        </is>
      </c>
      <c r="B3915" s="4" t="n">
        <v>4</v>
      </c>
      <c r="C3915" s="4" t="inlineStr">
        <is>
          <t>elk</t>
        </is>
      </c>
      <c r="D3915" s="4" t="n">
        <v>2022</v>
      </c>
      <c r="E3915" s="13" t="inlineStr">
        <is>
          <t>General</t>
        </is>
      </c>
      <c r="F3915" s="5" t="n">
        <v>512</v>
      </c>
      <c r="G3915" s="5" t="n">
        <v>3226</v>
      </c>
      <c r="H3915" s="5" t="n">
        <v>98</v>
      </c>
      <c r="I3915" s="5" t="n">
        <v>69</v>
      </c>
      <c r="J3915" s="5" t="n">
        <v>25</v>
      </c>
      <c r="K3915" s="10">
        <f>IF(F3915&gt;0,H3915/F3915,"")</f>
        <v/>
      </c>
      <c r="L3915" s="16">
        <f>IF(AND(G3915&gt;0,H3915&gt;0),G3915/H3915,"")</f>
        <v/>
      </c>
    </row>
    <row r="3916">
      <c r="A3916" s="4" t="inlineStr">
        <is>
          <t>442</t>
        </is>
      </c>
      <c r="B3916" s="4" t="n">
        <v>4</v>
      </c>
      <c r="C3916" s="4" t="inlineStr">
        <is>
          <t>elk</t>
        </is>
      </c>
      <c r="D3916" s="4" t="n">
        <v>2023</v>
      </c>
      <c r="E3916" s="13" t="inlineStr">
        <is>
          <t>General</t>
        </is>
      </c>
      <c r="F3916" s="5" t="n"/>
      <c r="G3916" s="5" t="n"/>
      <c r="H3916" s="5" t="n">
        <v>52</v>
      </c>
      <c r="I3916" s="5" t="n">
        <v>44</v>
      </c>
      <c r="J3916" s="5" t="n">
        <v>6</v>
      </c>
      <c r="K3916" s="10">
        <f>IF(F3916&gt;0,H3916/F3916,"")</f>
        <v/>
      </c>
      <c r="L3916" s="16">
        <f>IF(AND(G3916&gt;0,H3916&gt;0),G3916/H3916,"")</f>
        <v/>
      </c>
    </row>
    <row r="3917">
      <c r="A3917" s="4" t="inlineStr">
        <is>
          <t>442</t>
        </is>
      </c>
      <c r="B3917" s="4" t="n">
        <v>4</v>
      </c>
      <c r="C3917" s="4" t="inlineStr">
        <is>
          <t>elk</t>
        </is>
      </c>
      <c r="D3917" s="4" t="n">
        <v>2024</v>
      </c>
      <c r="E3917" s="13" t="inlineStr">
        <is>
          <t>General</t>
        </is>
      </c>
      <c r="F3917" s="5" t="n">
        <v>550</v>
      </c>
      <c r="G3917" s="5" t="n">
        <v>3920</v>
      </c>
      <c r="H3917" s="5" t="n">
        <v>58</v>
      </c>
      <c r="I3917" s="5" t="n">
        <v>32</v>
      </c>
      <c r="J3917" s="5" t="n">
        <v>26</v>
      </c>
      <c r="K3917" s="10">
        <f>IF(F3917&gt;0,H3917/F3917,"")</f>
        <v/>
      </c>
      <c r="L3917" s="16">
        <f>IF(AND(G3917&gt;0,H3917&gt;0),G3917/H3917,"")</f>
        <v/>
      </c>
    </row>
    <row r="3918">
      <c r="A3918" s="4" t="inlineStr">
        <is>
          <t>442</t>
        </is>
      </c>
      <c r="B3918" s="4" t="n">
        <v>4</v>
      </c>
      <c r="C3918" s="4" t="inlineStr">
        <is>
          <t>elk</t>
        </is>
      </c>
      <c r="D3918" s="4" t="n">
        <v>2025</v>
      </c>
      <c r="E3918" s="13" t="inlineStr">
        <is>
          <t>General</t>
        </is>
      </c>
      <c r="F3918" s="5" t="n"/>
      <c r="G3918" s="5" t="n"/>
      <c r="H3918" s="5" t="n">
        <v>44</v>
      </c>
      <c r="I3918" s="5" t="n">
        <v>38</v>
      </c>
      <c r="J3918" s="5" t="n">
        <v>7</v>
      </c>
      <c r="K3918" s="10">
        <f>IF(F3918&gt;0,H3918/F3918,"")</f>
        <v/>
      </c>
      <c r="L3918" s="16">
        <f>IF(AND(G3918&gt;0,H3918&gt;0),G3918/H3918,"")</f>
        <v/>
      </c>
    </row>
    <row r="3919">
      <c r="A3919" s="4" t="inlineStr">
        <is>
          <t>444</t>
        </is>
      </c>
      <c r="B3919" s="4" t="n">
        <v>4</v>
      </c>
      <c r="C3919" s="4" t="inlineStr">
        <is>
          <t>elk</t>
        </is>
      </c>
      <c r="D3919" s="4" t="n">
        <v>2004</v>
      </c>
      <c r="E3919" s="13" t="inlineStr">
        <is>
          <t>General</t>
        </is>
      </c>
      <c r="F3919" s="5" t="n">
        <v>205</v>
      </c>
      <c r="G3919" s="5" t="n">
        <v>1030</v>
      </c>
      <c r="H3919" s="5" t="n">
        <v>33</v>
      </c>
      <c r="I3919" s="5" t="n">
        <v>22</v>
      </c>
      <c r="J3919" s="5" t="n">
        <v>8</v>
      </c>
      <c r="K3919" s="10">
        <f>IF(F3919&gt;0,H3919/F3919,"")</f>
        <v/>
      </c>
      <c r="L3919" s="16">
        <f>IF(AND(G3919&gt;0,H3919&gt;0),G3919/H3919,"")</f>
        <v/>
      </c>
    </row>
    <row r="3920">
      <c r="A3920" s="4" t="inlineStr">
        <is>
          <t>444</t>
        </is>
      </c>
      <c r="B3920" s="4" t="n">
        <v>4</v>
      </c>
      <c r="C3920" s="4" t="inlineStr">
        <is>
          <t>elk</t>
        </is>
      </c>
      <c r="D3920" s="4" t="n">
        <v>2005</v>
      </c>
      <c r="E3920" s="13" t="inlineStr">
        <is>
          <t>General</t>
        </is>
      </c>
      <c r="F3920" s="5" t="n">
        <v>188</v>
      </c>
      <c r="G3920" s="5" t="n">
        <v>880</v>
      </c>
      <c r="H3920" s="5" t="n">
        <v>38</v>
      </c>
      <c r="I3920" s="5" t="n">
        <v>23</v>
      </c>
      <c r="J3920" s="5" t="n">
        <v>13</v>
      </c>
      <c r="K3920" s="10">
        <f>IF(F3920&gt;0,H3920/F3920,"")</f>
        <v/>
      </c>
      <c r="L3920" s="16">
        <f>IF(AND(G3920&gt;0,H3920&gt;0),G3920/H3920,"")</f>
        <v/>
      </c>
    </row>
    <row r="3921">
      <c r="A3921" s="4" t="inlineStr">
        <is>
          <t>444</t>
        </is>
      </c>
      <c r="B3921" s="4" t="n">
        <v>4</v>
      </c>
      <c r="C3921" s="4" t="inlineStr">
        <is>
          <t>elk</t>
        </is>
      </c>
      <c r="D3921" s="4" t="n">
        <v>2006</v>
      </c>
      <c r="E3921" s="13" t="inlineStr">
        <is>
          <t>General</t>
        </is>
      </c>
      <c r="F3921" s="5" t="n">
        <v>203</v>
      </c>
      <c r="G3921" s="5" t="n">
        <v>995</v>
      </c>
      <c r="H3921" s="5" t="n">
        <v>41</v>
      </c>
      <c r="I3921" s="5" t="n">
        <v>19</v>
      </c>
      <c r="J3921" s="5" t="n">
        <v>18</v>
      </c>
      <c r="K3921" s="10">
        <f>IF(F3921&gt;0,H3921/F3921,"")</f>
        <v/>
      </c>
      <c r="L3921" s="16">
        <f>IF(AND(G3921&gt;0,H3921&gt;0),G3921/H3921,"")</f>
        <v/>
      </c>
    </row>
    <row r="3922">
      <c r="A3922" s="4" t="inlineStr">
        <is>
          <t>444</t>
        </is>
      </c>
      <c r="B3922" s="4" t="n">
        <v>4</v>
      </c>
      <c r="C3922" s="4" t="inlineStr">
        <is>
          <t>elk</t>
        </is>
      </c>
      <c r="D3922" s="4" t="n">
        <v>2007</v>
      </c>
      <c r="E3922" s="13" t="inlineStr">
        <is>
          <t>General</t>
        </is>
      </c>
      <c r="F3922" s="5" t="n">
        <v>235</v>
      </c>
      <c r="G3922" s="5" t="n">
        <v>934</v>
      </c>
      <c r="H3922" s="5" t="n">
        <v>25</v>
      </c>
      <c r="I3922" s="5" t="n">
        <v>20</v>
      </c>
      <c r="J3922" s="5" t="n">
        <v>5</v>
      </c>
      <c r="K3922" s="10">
        <f>IF(F3922&gt;0,H3922/F3922,"")</f>
        <v/>
      </c>
      <c r="L3922" s="16">
        <f>IF(AND(G3922&gt;0,H3922&gt;0),G3922/H3922,"")</f>
        <v/>
      </c>
    </row>
    <row r="3923">
      <c r="A3923" s="4" t="inlineStr">
        <is>
          <t>444</t>
        </is>
      </c>
      <c r="B3923" s="4" t="n">
        <v>4</v>
      </c>
      <c r="C3923" s="4" t="inlineStr">
        <is>
          <t>elk</t>
        </is>
      </c>
      <c r="D3923" s="4" t="n">
        <v>2008</v>
      </c>
      <c r="E3923" s="13" t="inlineStr">
        <is>
          <t>General</t>
        </is>
      </c>
      <c r="F3923" s="5" t="n">
        <v>212</v>
      </c>
      <c r="G3923" s="5" t="n">
        <v>1127</v>
      </c>
      <c r="H3923" s="5" t="n">
        <v>15</v>
      </c>
      <c r="I3923" s="5" t="n">
        <v>15</v>
      </c>
      <c r="J3923" s="5" t="n">
        <v>0</v>
      </c>
      <c r="K3923" s="10">
        <f>IF(F3923&gt;0,H3923/F3923,"")</f>
        <v/>
      </c>
      <c r="L3923" s="16">
        <f>IF(AND(G3923&gt;0,H3923&gt;0),G3923/H3923,"")</f>
        <v/>
      </c>
    </row>
    <row r="3924">
      <c r="A3924" s="4" t="inlineStr">
        <is>
          <t>444</t>
        </is>
      </c>
      <c r="B3924" s="4" t="n">
        <v>4</v>
      </c>
      <c r="C3924" s="4" t="inlineStr">
        <is>
          <t>elk</t>
        </is>
      </c>
      <c r="D3924" s="4" t="n">
        <v>2009</v>
      </c>
      <c r="E3924" s="13" t="inlineStr">
        <is>
          <t>General</t>
        </is>
      </c>
      <c r="F3924" s="5" t="n">
        <v>258</v>
      </c>
      <c r="G3924" s="5" t="n">
        <v>1449</v>
      </c>
      <c r="H3924" s="5" t="n">
        <v>36</v>
      </c>
      <c r="I3924" s="5" t="n">
        <v>24</v>
      </c>
      <c r="J3924" s="5" t="n">
        <v>12</v>
      </c>
      <c r="K3924" s="10">
        <f>IF(F3924&gt;0,H3924/F3924,"")</f>
        <v/>
      </c>
      <c r="L3924" s="16">
        <f>IF(AND(G3924&gt;0,H3924&gt;0),G3924/H3924,"")</f>
        <v/>
      </c>
    </row>
    <row r="3925">
      <c r="A3925" s="4" t="inlineStr">
        <is>
          <t>444</t>
        </is>
      </c>
      <c r="B3925" s="4" t="n">
        <v>4</v>
      </c>
      <c r="C3925" s="4" t="inlineStr">
        <is>
          <t>elk</t>
        </is>
      </c>
      <c r="D3925" s="4" t="n">
        <v>2010</v>
      </c>
      <c r="E3925" s="13" t="inlineStr">
        <is>
          <t>General</t>
        </is>
      </c>
      <c r="F3925" s="5" t="n">
        <v>184</v>
      </c>
      <c r="G3925" s="5" t="n">
        <v>908</v>
      </c>
      <c r="H3925" s="5" t="n">
        <v>26</v>
      </c>
      <c r="I3925" s="5" t="n">
        <v>19</v>
      </c>
      <c r="J3925" s="5" t="n">
        <v>5</v>
      </c>
      <c r="K3925" s="10">
        <f>IF(F3925&gt;0,H3925/F3925,"")</f>
        <v/>
      </c>
      <c r="L3925" s="16">
        <f>IF(AND(G3925&gt;0,H3925&gt;0),G3925/H3925,"")</f>
        <v/>
      </c>
    </row>
    <row r="3926">
      <c r="A3926" s="4" t="inlineStr">
        <is>
          <t>444</t>
        </is>
      </c>
      <c r="B3926" s="4" t="n">
        <v>4</v>
      </c>
      <c r="C3926" s="4" t="inlineStr">
        <is>
          <t>elk</t>
        </is>
      </c>
      <c r="D3926" s="4" t="n">
        <v>2011</v>
      </c>
      <c r="E3926" s="13" t="inlineStr">
        <is>
          <t>General</t>
        </is>
      </c>
      <c r="F3926" s="5" t="n">
        <v>256</v>
      </c>
      <c r="G3926" s="5" t="n">
        <v>1024</v>
      </c>
      <c r="H3926" s="5" t="n">
        <v>33</v>
      </c>
      <c r="I3926" s="5" t="n">
        <v>22</v>
      </c>
      <c r="J3926" s="5" t="n">
        <v>8</v>
      </c>
      <c r="K3926" s="10">
        <f>IF(F3926&gt;0,H3926/F3926,"")</f>
        <v/>
      </c>
      <c r="L3926" s="16">
        <f>IF(AND(G3926&gt;0,H3926&gt;0),G3926/H3926,"")</f>
        <v/>
      </c>
    </row>
    <row r="3927">
      <c r="A3927" s="4" t="inlineStr">
        <is>
          <t>444</t>
        </is>
      </c>
      <c r="B3927" s="4" t="n">
        <v>4</v>
      </c>
      <c r="C3927" s="4" t="inlineStr">
        <is>
          <t>elk</t>
        </is>
      </c>
      <c r="D3927" s="4" t="n">
        <v>2012</v>
      </c>
      <c r="E3927" s="13" t="inlineStr">
        <is>
          <t>General</t>
        </is>
      </c>
      <c r="F3927" s="5" t="n">
        <v>202</v>
      </c>
      <c r="G3927" s="5" t="n">
        <v>1074</v>
      </c>
      <c r="H3927" s="5" t="n">
        <v>42</v>
      </c>
      <c r="I3927" s="5" t="n">
        <v>20</v>
      </c>
      <c r="J3927" s="5" t="n">
        <v>20</v>
      </c>
      <c r="K3927" s="10">
        <f>IF(F3927&gt;0,H3927/F3927,"")</f>
        <v/>
      </c>
      <c r="L3927" s="16">
        <f>IF(AND(G3927&gt;0,H3927&gt;0),G3927/H3927,"")</f>
        <v/>
      </c>
    </row>
    <row r="3928">
      <c r="A3928" s="4" t="inlineStr">
        <is>
          <t>444</t>
        </is>
      </c>
      <c r="B3928" s="4" t="n">
        <v>4</v>
      </c>
      <c r="C3928" s="4" t="inlineStr">
        <is>
          <t>elk</t>
        </is>
      </c>
      <c r="D3928" s="4" t="n">
        <v>2013</v>
      </c>
      <c r="E3928" s="13" t="inlineStr">
        <is>
          <t>General</t>
        </is>
      </c>
      <c r="F3928" s="5" t="n"/>
      <c r="G3928" s="5" t="n"/>
      <c r="H3928" s="5" t="n">
        <v>28</v>
      </c>
      <c r="I3928" s="5" t="n">
        <v>17</v>
      </c>
      <c r="J3928" s="5" t="n">
        <v>8</v>
      </c>
      <c r="K3928" s="10">
        <f>IF(F3928&gt;0,H3928/F3928,"")</f>
        <v/>
      </c>
      <c r="L3928" s="16">
        <f>IF(AND(G3928&gt;0,H3928&gt;0),G3928/H3928,"")</f>
        <v/>
      </c>
    </row>
    <row r="3929">
      <c r="A3929" s="4" t="inlineStr">
        <is>
          <t>444</t>
        </is>
      </c>
      <c r="B3929" s="4" t="n">
        <v>4</v>
      </c>
      <c r="C3929" s="4" t="inlineStr">
        <is>
          <t>elk</t>
        </is>
      </c>
      <c r="D3929" s="4" t="n">
        <v>2014</v>
      </c>
      <c r="E3929" s="13" t="inlineStr">
        <is>
          <t>General</t>
        </is>
      </c>
      <c r="F3929" s="5" t="n">
        <v>223</v>
      </c>
      <c r="G3929" s="5" t="n">
        <v>1190</v>
      </c>
      <c r="H3929" s="5" t="n">
        <v>37</v>
      </c>
      <c r="I3929" s="5" t="n">
        <v>11</v>
      </c>
      <c r="J3929" s="5" t="n">
        <v>23</v>
      </c>
      <c r="K3929" s="10">
        <f>IF(F3929&gt;0,H3929/F3929,"")</f>
        <v/>
      </c>
      <c r="L3929" s="16">
        <f>IF(AND(G3929&gt;0,H3929&gt;0),G3929/H3929,"")</f>
        <v/>
      </c>
    </row>
    <row r="3930">
      <c r="A3930" s="4" t="inlineStr">
        <is>
          <t>444</t>
        </is>
      </c>
      <c r="B3930" s="4" t="n">
        <v>4</v>
      </c>
      <c r="C3930" s="4" t="inlineStr">
        <is>
          <t>elk</t>
        </is>
      </c>
      <c r="D3930" s="4" t="n">
        <v>2015</v>
      </c>
      <c r="E3930" s="13" t="inlineStr">
        <is>
          <t>General</t>
        </is>
      </c>
      <c r="F3930" s="5" t="n">
        <v>277</v>
      </c>
      <c r="G3930" s="5" t="n">
        <v>1608</v>
      </c>
      <c r="H3930" s="5" t="n">
        <v>32</v>
      </c>
      <c r="I3930" s="5" t="n">
        <v>15</v>
      </c>
      <c r="J3930" s="5" t="n">
        <v>17</v>
      </c>
      <c r="K3930" s="10">
        <f>IF(F3930&gt;0,H3930/F3930,"")</f>
        <v/>
      </c>
      <c r="L3930" s="16">
        <f>IF(AND(G3930&gt;0,H3930&gt;0),G3930/H3930,"")</f>
        <v/>
      </c>
    </row>
    <row r="3931">
      <c r="A3931" s="4" t="inlineStr">
        <is>
          <t>444</t>
        </is>
      </c>
      <c r="B3931" s="4" t="n">
        <v>4</v>
      </c>
      <c r="C3931" s="4" t="inlineStr">
        <is>
          <t>elk</t>
        </is>
      </c>
      <c r="D3931" s="4" t="n">
        <v>2016</v>
      </c>
      <c r="E3931" s="13" t="inlineStr">
        <is>
          <t>General</t>
        </is>
      </c>
      <c r="F3931" s="5" t="n">
        <v>207</v>
      </c>
      <c r="G3931" s="5" t="n">
        <v>1216</v>
      </c>
      <c r="H3931" s="5" t="n">
        <v>35</v>
      </c>
      <c r="I3931" s="5" t="n">
        <v>10</v>
      </c>
      <c r="J3931" s="5" t="n">
        <v>22</v>
      </c>
      <c r="K3931" s="10">
        <f>IF(F3931&gt;0,H3931/F3931,"")</f>
        <v/>
      </c>
      <c r="L3931" s="16">
        <f>IF(AND(G3931&gt;0,H3931&gt;0),G3931/H3931,"")</f>
        <v/>
      </c>
    </row>
    <row r="3932">
      <c r="A3932" s="4" t="inlineStr">
        <is>
          <t>444</t>
        </is>
      </c>
      <c r="B3932" s="4" t="n">
        <v>4</v>
      </c>
      <c r="C3932" s="4" t="inlineStr">
        <is>
          <t>elk</t>
        </is>
      </c>
      <c r="D3932" s="4" t="n">
        <v>2017</v>
      </c>
      <c r="E3932" s="13" t="inlineStr">
        <is>
          <t>General</t>
        </is>
      </c>
      <c r="F3932" s="5" t="n"/>
      <c r="G3932" s="5" t="n"/>
      <c r="H3932" s="5" t="n">
        <v>48</v>
      </c>
      <c r="I3932" s="5" t="n">
        <v>28</v>
      </c>
      <c r="J3932" s="5" t="n">
        <v>14</v>
      </c>
      <c r="K3932" s="10">
        <f>IF(F3932&gt;0,H3932/F3932,"")</f>
        <v/>
      </c>
      <c r="L3932" s="16">
        <f>IF(AND(G3932&gt;0,H3932&gt;0),G3932/H3932,"")</f>
        <v/>
      </c>
    </row>
    <row r="3933">
      <c r="A3933" s="4" t="inlineStr">
        <is>
          <t>444</t>
        </is>
      </c>
      <c r="B3933" s="4" t="n">
        <v>4</v>
      </c>
      <c r="C3933" s="4" t="inlineStr">
        <is>
          <t>elk</t>
        </is>
      </c>
      <c r="D3933" s="4" t="n">
        <v>2018</v>
      </c>
      <c r="E3933" s="13" t="inlineStr">
        <is>
          <t>General</t>
        </is>
      </c>
      <c r="F3933" s="5" t="n">
        <v>270</v>
      </c>
      <c r="G3933" s="5" t="n">
        <v>1567</v>
      </c>
      <c r="H3933" s="5" t="n">
        <v>25</v>
      </c>
      <c r="I3933" s="5" t="n">
        <v>15</v>
      </c>
      <c r="J3933" s="5" t="n">
        <v>10</v>
      </c>
      <c r="K3933" s="10">
        <f>IF(F3933&gt;0,H3933/F3933,"")</f>
        <v/>
      </c>
      <c r="L3933" s="16">
        <f>IF(AND(G3933&gt;0,H3933&gt;0),G3933/H3933,"")</f>
        <v/>
      </c>
    </row>
    <row r="3934">
      <c r="A3934" s="4" t="inlineStr">
        <is>
          <t>444</t>
        </is>
      </c>
      <c r="B3934" s="4" t="n">
        <v>4</v>
      </c>
      <c r="C3934" s="4" t="inlineStr">
        <is>
          <t>elk</t>
        </is>
      </c>
      <c r="D3934" s="4" t="n">
        <v>2019</v>
      </c>
      <c r="E3934" s="13" t="inlineStr">
        <is>
          <t>General</t>
        </is>
      </c>
      <c r="F3934" s="5" t="n"/>
      <c r="G3934" s="5" t="n"/>
      <c r="H3934" s="5" t="n">
        <v>30</v>
      </c>
      <c r="I3934" s="5" t="n">
        <v>15</v>
      </c>
      <c r="J3934" s="5" t="n">
        <v>15</v>
      </c>
      <c r="K3934" s="10">
        <f>IF(F3934&gt;0,H3934/F3934,"")</f>
        <v/>
      </c>
      <c r="L3934" s="16">
        <f>IF(AND(G3934&gt;0,H3934&gt;0),G3934/H3934,"")</f>
        <v/>
      </c>
    </row>
    <row r="3935">
      <c r="A3935" s="4" t="inlineStr">
        <is>
          <t>444</t>
        </is>
      </c>
      <c r="B3935" s="4" t="n">
        <v>4</v>
      </c>
      <c r="C3935" s="4" t="inlineStr">
        <is>
          <t>elk</t>
        </is>
      </c>
      <c r="D3935" s="4" t="n">
        <v>2020</v>
      </c>
      <c r="E3935" s="13" t="inlineStr">
        <is>
          <t>General</t>
        </is>
      </c>
      <c r="F3935" s="5" t="n">
        <v>190</v>
      </c>
      <c r="G3935" s="5" t="n">
        <v>1033</v>
      </c>
      <c r="H3935" s="5" t="n">
        <v>22</v>
      </c>
      <c r="I3935" s="5" t="n">
        <v>13</v>
      </c>
      <c r="J3935" s="5" t="n">
        <v>9</v>
      </c>
      <c r="K3935" s="10">
        <f>IF(F3935&gt;0,H3935/F3935,"")</f>
        <v/>
      </c>
      <c r="L3935" s="16">
        <f>IF(AND(G3935&gt;0,H3935&gt;0),G3935/H3935,"")</f>
        <v/>
      </c>
    </row>
    <row r="3936">
      <c r="A3936" s="4" t="inlineStr">
        <is>
          <t>444</t>
        </is>
      </c>
      <c r="B3936" s="4" t="n">
        <v>4</v>
      </c>
      <c r="C3936" s="4" t="inlineStr">
        <is>
          <t>elk</t>
        </is>
      </c>
      <c r="D3936" s="4" t="n">
        <v>2021</v>
      </c>
      <c r="E3936" s="13" t="inlineStr">
        <is>
          <t>General</t>
        </is>
      </c>
      <c r="F3936" s="5" t="n"/>
      <c r="G3936" s="5" t="n"/>
      <c r="H3936" s="5" t="n">
        <v>15</v>
      </c>
      <c r="I3936" s="5" t="n">
        <v>7</v>
      </c>
      <c r="J3936" s="5" t="n">
        <v>7</v>
      </c>
      <c r="K3936" s="10">
        <f>IF(F3936&gt;0,H3936/F3936,"")</f>
        <v/>
      </c>
      <c r="L3936" s="16">
        <f>IF(AND(G3936&gt;0,H3936&gt;0),G3936/H3936,"")</f>
        <v/>
      </c>
    </row>
    <row r="3937">
      <c r="A3937" s="4" t="inlineStr">
        <is>
          <t>444</t>
        </is>
      </c>
      <c r="B3937" s="4" t="n">
        <v>4</v>
      </c>
      <c r="C3937" s="4" t="inlineStr">
        <is>
          <t>elk</t>
        </is>
      </c>
      <c r="D3937" s="4" t="n">
        <v>2022</v>
      </c>
      <c r="E3937" s="13" t="inlineStr">
        <is>
          <t>General</t>
        </is>
      </c>
      <c r="F3937" s="5" t="n">
        <v>143</v>
      </c>
      <c r="G3937" s="5" t="n">
        <v>675</v>
      </c>
      <c r="H3937" s="5" t="n">
        <v>16</v>
      </c>
      <c r="I3937" s="5" t="n">
        <v>10</v>
      </c>
      <c r="J3937" s="5" t="n">
        <v>6</v>
      </c>
      <c r="K3937" s="10">
        <f>IF(F3937&gt;0,H3937/F3937,"")</f>
        <v/>
      </c>
      <c r="L3937" s="16">
        <f>IF(AND(G3937&gt;0,H3937&gt;0),G3937/H3937,"")</f>
        <v/>
      </c>
    </row>
    <row r="3938">
      <c r="A3938" s="4" t="inlineStr">
        <is>
          <t>444</t>
        </is>
      </c>
      <c r="B3938" s="4" t="n">
        <v>4</v>
      </c>
      <c r="C3938" s="4" t="inlineStr">
        <is>
          <t>elk</t>
        </is>
      </c>
      <c r="D3938" s="4" t="n">
        <v>2023</v>
      </c>
      <c r="E3938" s="13" t="inlineStr">
        <is>
          <t>General</t>
        </is>
      </c>
      <c r="F3938" s="5" t="n"/>
      <c r="G3938" s="5" t="n"/>
      <c r="H3938" s="5" t="n">
        <v>18</v>
      </c>
      <c r="I3938" s="5" t="n">
        <v>8</v>
      </c>
      <c r="J3938" s="5" t="n">
        <v>9</v>
      </c>
      <c r="K3938" s="10">
        <f>IF(F3938&gt;0,H3938/F3938,"")</f>
        <v/>
      </c>
      <c r="L3938" s="16">
        <f>IF(AND(G3938&gt;0,H3938&gt;0),G3938/H3938,"")</f>
        <v/>
      </c>
    </row>
    <row r="3939">
      <c r="A3939" s="4" t="inlineStr">
        <is>
          <t>444</t>
        </is>
      </c>
      <c r="B3939" s="4" t="n">
        <v>4</v>
      </c>
      <c r="C3939" s="4" t="inlineStr">
        <is>
          <t>elk</t>
        </is>
      </c>
      <c r="D3939" s="4" t="n">
        <v>2024</v>
      </c>
      <c r="E3939" s="13" t="inlineStr">
        <is>
          <t>General</t>
        </is>
      </c>
      <c r="F3939" s="5" t="n">
        <v>175</v>
      </c>
      <c r="G3939" s="5" t="n">
        <v>1159</v>
      </c>
      <c r="H3939" s="5" t="n">
        <v>18</v>
      </c>
      <c r="I3939" s="5" t="n">
        <v>11</v>
      </c>
      <c r="J3939" s="5" t="n">
        <v>7</v>
      </c>
      <c r="K3939" s="10">
        <f>IF(F3939&gt;0,H3939/F3939,"")</f>
        <v/>
      </c>
      <c r="L3939" s="16">
        <f>IF(AND(G3939&gt;0,H3939&gt;0),G3939/H3939,"")</f>
        <v/>
      </c>
    </row>
    <row r="3940">
      <c r="A3940" s="4" t="inlineStr">
        <is>
          <t>444</t>
        </is>
      </c>
      <c r="B3940" s="4" t="n">
        <v>4</v>
      </c>
      <c r="C3940" s="4" t="inlineStr">
        <is>
          <t>elk</t>
        </is>
      </c>
      <c r="D3940" s="4" t="n">
        <v>2025</v>
      </c>
      <c r="E3940" s="13" t="inlineStr">
        <is>
          <t>General</t>
        </is>
      </c>
      <c r="F3940" s="5" t="n"/>
      <c r="G3940" s="5" t="n"/>
      <c r="H3940" s="5" t="n">
        <v>22</v>
      </c>
      <c r="I3940" s="5" t="n">
        <v>14</v>
      </c>
      <c r="J3940" s="5" t="n">
        <v>8</v>
      </c>
      <c r="K3940" s="10">
        <f>IF(F3940&gt;0,H3940/F3940,"")</f>
        <v/>
      </c>
      <c r="L3940" s="16">
        <f>IF(AND(G3940&gt;0,H3940&gt;0),G3940/H3940,"")</f>
        <v/>
      </c>
    </row>
    <row r="3941">
      <c r="A3941" s="4" t="inlineStr">
        <is>
          <t>445</t>
        </is>
      </c>
      <c r="B3941" s="4" t="n">
        <v>4</v>
      </c>
      <c r="C3941" s="4" t="inlineStr">
        <is>
          <t>elk</t>
        </is>
      </c>
      <c r="D3941" s="4" t="n">
        <v>2004</v>
      </c>
      <c r="E3941" s="13" t="inlineStr">
        <is>
          <t>General</t>
        </is>
      </c>
      <c r="F3941" s="5" t="n">
        <v>573</v>
      </c>
      <c r="G3941" s="5" t="n">
        <v>2787</v>
      </c>
      <c r="H3941" s="5" t="n">
        <v>135</v>
      </c>
      <c r="I3941" s="5" t="n">
        <v>90</v>
      </c>
      <c r="J3941" s="5" t="n">
        <v>39</v>
      </c>
      <c r="K3941" s="10">
        <f>IF(F3941&gt;0,H3941/F3941,"")</f>
        <v/>
      </c>
      <c r="L3941" s="16">
        <f>IF(AND(G3941&gt;0,H3941&gt;0),G3941/H3941,"")</f>
        <v/>
      </c>
    </row>
    <row r="3942">
      <c r="A3942" s="4" t="inlineStr">
        <is>
          <t>445</t>
        </is>
      </c>
      <c r="B3942" s="4" t="n">
        <v>4</v>
      </c>
      <c r="C3942" s="4" t="inlineStr">
        <is>
          <t>elk</t>
        </is>
      </c>
      <c r="D3942" s="4" t="n">
        <v>2005</v>
      </c>
      <c r="E3942" s="13" t="inlineStr">
        <is>
          <t>General</t>
        </is>
      </c>
      <c r="F3942" s="5" t="n">
        <v>469</v>
      </c>
      <c r="G3942" s="5" t="n">
        <v>2081</v>
      </c>
      <c r="H3942" s="5" t="n">
        <v>155</v>
      </c>
      <c r="I3942" s="5" t="n">
        <v>97</v>
      </c>
      <c r="J3942" s="5" t="n">
        <v>53</v>
      </c>
      <c r="K3942" s="10">
        <f>IF(F3942&gt;0,H3942/F3942,"")</f>
        <v/>
      </c>
      <c r="L3942" s="16">
        <f>IF(AND(G3942&gt;0,H3942&gt;0),G3942/H3942,"")</f>
        <v/>
      </c>
    </row>
    <row r="3943">
      <c r="A3943" s="4" t="inlineStr">
        <is>
          <t>445</t>
        </is>
      </c>
      <c r="B3943" s="4" t="n">
        <v>4</v>
      </c>
      <c r="C3943" s="4" t="inlineStr">
        <is>
          <t>elk</t>
        </is>
      </c>
      <c r="D3943" s="4" t="n">
        <v>2006</v>
      </c>
      <c r="E3943" s="13" t="inlineStr">
        <is>
          <t>General</t>
        </is>
      </c>
      <c r="F3943" s="5" t="n">
        <v>682</v>
      </c>
      <c r="G3943" s="5" t="n">
        <v>2841</v>
      </c>
      <c r="H3943" s="5" t="n">
        <v>279</v>
      </c>
      <c r="I3943" s="5" t="n">
        <v>130</v>
      </c>
      <c r="J3943" s="5" t="n">
        <v>131</v>
      </c>
      <c r="K3943" s="10">
        <f>IF(F3943&gt;0,H3943/F3943,"")</f>
        <v/>
      </c>
      <c r="L3943" s="16">
        <f>IF(AND(G3943&gt;0,H3943&gt;0),G3943/H3943,"")</f>
        <v/>
      </c>
    </row>
    <row r="3944">
      <c r="A3944" s="4" t="inlineStr">
        <is>
          <t>445</t>
        </is>
      </c>
      <c r="B3944" s="4" t="n">
        <v>4</v>
      </c>
      <c r="C3944" s="4" t="inlineStr">
        <is>
          <t>elk</t>
        </is>
      </c>
      <c r="D3944" s="4" t="n">
        <v>2007</v>
      </c>
      <c r="E3944" s="13" t="inlineStr">
        <is>
          <t>General</t>
        </is>
      </c>
      <c r="F3944" s="5" t="n">
        <v>802</v>
      </c>
      <c r="G3944" s="5" t="n">
        <v>3724</v>
      </c>
      <c r="H3944" s="5" t="n">
        <v>313</v>
      </c>
      <c r="I3944" s="5" t="n">
        <v>127</v>
      </c>
      <c r="J3944" s="5" t="n">
        <v>159</v>
      </c>
      <c r="K3944" s="10">
        <f>IF(F3944&gt;0,H3944/F3944,"")</f>
        <v/>
      </c>
      <c r="L3944" s="16">
        <f>IF(AND(G3944&gt;0,H3944&gt;0),G3944/H3944,"")</f>
        <v/>
      </c>
    </row>
    <row r="3945">
      <c r="A3945" s="4" t="inlineStr">
        <is>
          <t>445</t>
        </is>
      </c>
      <c r="B3945" s="4" t="n">
        <v>4</v>
      </c>
      <c r="C3945" s="4" t="inlineStr">
        <is>
          <t>elk</t>
        </is>
      </c>
      <c r="D3945" s="4" t="n">
        <v>2008</v>
      </c>
      <c r="E3945" s="13" t="inlineStr">
        <is>
          <t>General</t>
        </is>
      </c>
      <c r="F3945" s="5" t="n">
        <v>748</v>
      </c>
      <c r="G3945" s="5" t="n">
        <v>3781</v>
      </c>
      <c r="H3945" s="5" t="n">
        <v>253</v>
      </c>
      <c r="I3945" s="5" t="n">
        <v>82</v>
      </c>
      <c r="J3945" s="5" t="n">
        <v>142</v>
      </c>
      <c r="K3945" s="10">
        <f>IF(F3945&gt;0,H3945/F3945,"")</f>
        <v/>
      </c>
      <c r="L3945" s="16">
        <f>IF(AND(G3945&gt;0,H3945&gt;0),G3945/H3945,"")</f>
        <v/>
      </c>
    </row>
    <row r="3946">
      <c r="A3946" s="4" t="inlineStr">
        <is>
          <t>445</t>
        </is>
      </c>
      <c r="B3946" s="4" t="n">
        <v>4</v>
      </c>
      <c r="C3946" s="4" t="inlineStr">
        <is>
          <t>elk</t>
        </is>
      </c>
      <c r="D3946" s="4" t="n">
        <v>2009</v>
      </c>
      <c r="E3946" s="13" t="inlineStr">
        <is>
          <t>General</t>
        </is>
      </c>
      <c r="F3946" s="5" t="n">
        <v>853</v>
      </c>
      <c r="G3946" s="5" t="n">
        <v>3780</v>
      </c>
      <c r="H3946" s="5" t="n">
        <v>280</v>
      </c>
      <c r="I3946" s="5" t="n">
        <v>101</v>
      </c>
      <c r="J3946" s="5" t="n">
        <v>164</v>
      </c>
      <c r="K3946" s="10">
        <f>IF(F3946&gt;0,H3946/F3946,"")</f>
        <v/>
      </c>
      <c r="L3946" s="16">
        <f>IF(AND(G3946&gt;0,H3946&gt;0),G3946/H3946,"")</f>
        <v/>
      </c>
    </row>
    <row r="3947">
      <c r="A3947" s="4" t="inlineStr">
        <is>
          <t>445</t>
        </is>
      </c>
      <c r="B3947" s="4" t="n">
        <v>4</v>
      </c>
      <c r="C3947" s="4" t="inlineStr">
        <is>
          <t>elk</t>
        </is>
      </c>
      <c r="D3947" s="4" t="n">
        <v>2010</v>
      </c>
      <c r="E3947" s="13" t="inlineStr">
        <is>
          <t>General</t>
        </is>
      </c>
      <c r="F3947" s="5" t="n">
        <v>836</v>
      </c>
      <c r="G3947" s="5" t="n">
        <v>3654</v>
      </c>
      <c r="H3947" s="5" t="n">
        <v>351</v>
      </c>
      <c r="I3947" s="5" t="n">
        <v>138</v>
      </c>
      <c r="J3947" s="5" t="n">
        <v>191</v>
      </c>
      <c r="K3947" s="10">
        <f>IF(F3947&gt;0,H3947/F3947,"")</f>
        <v/>
      </c>
      <c r="L3947" s="16">
        <f>IF(AND(G3947&gt;0,H3947&gt;0),G3947/H3947,"")</f>
        <v/>
      </c>
    </row>
    <row r="3948">
      <c r="A3948" s="4" t="inlineStr">
        <is>
          <t>445</t>
        </is>
      </c>
      <c r="B3948" s="4" t="n">
        <v>4</v>
      </c>
      <c r="C3948" s="4" t="inlineStr">
        <is>
          <t>elk</t>
        </is>
      </c>
      <c r="D3948" s="4" t="n">
        <v>2011</v>
      </c>
      <c r="E3948" s="13" t="inlineStr">
        <is>
          <t>General</t>
        </is>
      </c>
      <c r="F3948" s="5" t="n">
        <v>899</v>
      </c>
      <c r="G3948" s="5" t="n">
        <v>4254</v>
      </c>
      <c r="H3948" s="5" t="n">
        <v>289</v>
      </c>
      <c r="I3948" s="5" t="n">
        <v>104</v>
      </c>
      <c r="J3948" s="5" t="n">
        <v>157</v>
      </c>
      <c r="K3948" s="10">
        <f>IF(F3948&gt;0,H3948/F3948,"")</f>
        <v/>
      </c>
      <c r="L3948" s="16">
        <f>IF(AND(G3948&gt;0,H3948&gt;0),G3948/H3948,"")</f>
        <v/>
      </c>
    </row>
    <row r="3949">
      <c r="A3949" s="4" t="inlineStr">
        <is>
          <t>445</t>
        </is>
      </c>
      <c r="B3949" s="4" t="n">
        <v>4</v>
      </c>
      <c r="C3949" s="4" t="inlineStr">
        <is>
          <t>elk</t>
        </is>
      </c>
      <c r="D3949" s="4" t="n">
        <v>2012</v>
      </c>
      <c r="E3949" s="13" t="inlineStr">
        <is>
          <t>General</t>
        </is>
      </c>
      <c r="F3949" s="5" t="n">
        <v>885</v>
      </c>
      <c r="G3949" s="5" t="n">
        <v>4975</v>
      </c>
      <c r="H3949" s="5" t="n">
        <v>279</v>
      </c>
      <c r="I3949" s="5" t="n">
        <v>114</v>
      </c>
      <c r="J3949" s="5" t="n">
        <v>151</v>
      </c>
      <c r="K3949" s="10">
        <f>IF(F3949&gt;0,H3949/F3949,"")</f>
        <v/>
      </c>
      <c r="L3949" s="16">
        <f>IF(AND(G3949&gt;0,H3949&gt;0),G3949/H3949,"")</f>
        <v/>
      </c>
    </row>
    <row r="3950">
      <c r="A3950" s="4" t="inlineStr">
        <is>
          <t>445</t>
        </is>
      </c>
      <c r="B3950" s="4" t="n">
        <v>4</v>
      </c>
      <c r="C3950" s="4" t="inlineStr">
        <is>
          <t>elk</t>
        </is>
      </c>
      <c r="D3950" s="4" t="n">
        <v>2013</v>
      </c>
      <c r="E3950" s="13" t="inlineStr">
        <is>
          <t>General</t>
        </is>
      </c>
      <c r="F3950" s="5" t="n"/>
      <c r="G3950" s="5" t="n"/>
      <c r="H3950" s="5" t="n">
        <v>317</v>
      </c>
      <c r="I3950" s="5" t="n">
        <v>163</v>
      </c>
      <c r="J3950" s="5" t="n">
        <v>143</v>
      </c>
      <c r="K3950" s="10">
        <f>IF(F3950&gt;0,H3950/F3950,"")</f>
        <v/>
      </c>
      <c r="L3950" s="16">
        <f>IF(AND(G3950&gt;0,H3950&gt;0),G3950/H3950,"")</f>
        <v/>
      </c>
    </row>
    <row r="3951">
      <c r="A3951" s="4" t="inlineStr">
        <is>
          <t>445</t>
        </is>
      </c>
      <c r="B3951" s="4" t="n">
        <v>4</v>
      </c>
      <c r="C3951" s="4" t="inlineStr">
        <is>
          <t>elk</t>
        </is>
      </c>
      <c r="D3951" s="4" t="n">
        <v>2014</v>
      </c>
      <c r="E3951" s="13" t="inlineStr">
        <is>
          <t>General</t>
        </is>
      </c>
      <c r="F3951" s="5" t="n">
        <v>701</v>
      </c>
      <c r="G3951" s="5" t="n">
        <v>3344</v>
      </c>
      <c r="H3951" s="5" t="n">
        <v>286</v>
      </c>
      <c r="I3951" s="5" t="n">
        <v>111</v>
      </c>
      <c r="J3951" s="5" t="n">
        <v>166</v>
      </c>
      <c r="K3951" s="10">
        <f>IF(F3951&gt;0,H3951/F3951,"")</f>
        <v/>
      </c>
      <c r="L3951" s="16">
        <f>IF(AND(G3951&gt;0,H3951&gt;0),G3951/H3951,"")</f>
        <v/>
      </c>
    </row>
    <row r="3952">
      <c r="A3952" s="4" t="inlineStr">
        <is>
          <t>445</t>
        </is>
      </c>
      <c r="B3952" s="4" t="n">
        <v>4</v>
      </c>
      <c r="C3952" s="4" t="inlineStr">
        <is>
          <t>elk</t>
        </is>
      </c>
      <c r="D3952" s="4" t="n">
        <v>2015</v>
      </c>
      <c r="E3952" s="13" t="inlineStr">
        <is>
          <t>General</t>
        </is>
      </c>
      <c r="F3952" s="5" t="n">
        <v>939</v>
      </c>
      <c r="G3952" s="5" t="n">
        <v>4883</v>
      </c>
      <c r="H3952" s="5" t="n">
        <v>391</v>
      </c>
      <c r="I3952" s="5" t="n">
        <v>126</v>
      </c>
      <c r="J3952" s="5" t="n">
        <v>233</v>
      </c>
      <c r="K3952" s="10">
        <f>IF(F3952&gt;0,H3952/F3952,"")</f>
        <v/>
      </c>
      <c r="L3952" s="16">
        <f>IF(AND(G3952&gt;0,H3952&gt;0),G3952/H3952,"")</f>
        <v/>
      </c>
    </row>
    <row r="3953">
      <c r="A3953" s="4" t="inlineStr">
        <is>
          <t>445</t>
        </is>
      </c>
      <c r="B3953" s="4" t="n">
        <v>4</v>
      </c>
      <c r="C3953" s="4" t="inlineStr">
        <is>
          <t>elk</t>
        </is>
      </c>
      <c r="D3953" s="4" t="n">
        <v>2016</v>
      </c>
      <c r="E3953" s="13" t="inlineStr">
        <is>
          <t>General</t>
        </is>
      </c>
      <c r="F3953" s="5" t="n">
        <v>930</v>
      </c>
      <c r="G3953" s="5" t="n">
        <v>4631</v>
      </c>
      <c r="H3953" s="5" t="n">
        <v>324</v>
      </c>
      <c r="I3953" s="5" t="n">
        <v>119</v>
      </c>
      <c r="J3953" s="5" t="n">
        <v>195</v>
      </c>
      <c r="K3953" s="10">
        <f>IF(F3953&gt;0,H3953/F3953,"")</f>
        <v/>
      </c>
      <c r="L3953" s="16">
        <f>IF(AND(G3953&gt;0,H3953&gt;0),G3953/H3953,"")</f>
        <v/>
      </c>
    </row>
    <row r="3954">
      <c r="A3954" s="4" t="inlineStr">
        <is>
          <t>445</t>
        </is>
      </c>
      <c r="B3954" s="4" t="n">
        <v>4</v>
      </c>
      <c r="C3954" s="4" t="inlineStr">
        <is>
          <t>elk</t>
        </is>
      </c>
      <c r="D3954" s="4" t="n">
        <v>2017</v>
      </c>
      <c r="E3954" s="13" t="inlineStr">
        <is>
          <t>General</t>
        </is>
      </c>
      <c r="F3954" s="5" t="n"/>
      <c r="G3954" s="5" t="n"/>
      <c r="H3954" s="5" t="n">
        <v>341</v>
      </c>
      <c r="I3954" s="5" t="n">
        <v>141</v>
      </c>
      <c r="J3954" s="5" t="n">
        <v>194</v>
      </c>
      <c r="K3954" s="10">
        <f>IF(F3954&gt;0,H3954/F3954,"")</f>
        <v/>
      </c>
      <c r="L3954" s="16">
        <f>IF(AND(G3954&gt;0,H3954&gt;0),G3954/H3954,"")</f>
        <v/>
      </c>
    </row>
    <row r="3955">
      <c r="A3955" s="4" t="inlineStr">
        <is>
          <t>445</t>
        </is>
      </c>
      <c r="B3955" s="4" t="n">
        <v>4</v>
      </c>
      <c r="C3955" s="4" t="inlineStr">
        <is>
          <t>elk</t>
        </is>
      </c>
      <c r="D3955" s="4" t="n">
        <v>2018</v>
      </c>
      <c r="E3955" s="13" t="inlineStr">
        <is>
          <t>General</t>
        </is>
      </c>
      <c r="F3955" s="5" t="n">
        <v>740</v>
      </c>
      <c r="G3955" s="5" t="n">
        <v>3803</v>
      </c>
      <c r="H3955" s="5" t="n">
        <v>305</v>
      </c>
      <c r="I3955" s="5" t="n">
        <v>129</v>
      </c>
      <c r="J3955" s="5" t="n">
        <v>155</v>
      </c>
      <c r="K3955" s="10">
        <f>IF(F3955&gt;0,H3955/F3955,"")</f>
        <v/>
      </c>
      <c r="L3955" s="16">
        <f>IF(AND(G3955&gt;0,H3955&gt;0),G3955/H3955,"")</f>
        <v/>
      </c>
    </row>
    <row r="3956">
      <c r="A3956" s="4" t="inlineStr">
        <is>
          <t>445</t>
        </is>
      </c>
      <c r="B3956" s="4" t="n">
        <v>4</v>
      </c>
      <c r="C3956" s="4" t="inlineStr">
        <is>
          <t>elk</t>
        </is>
      </c>
      <c r="D3956" s="4" t="n">
        <v>2019</v>
      </c>
      <c r="E3956" s="13" t="inlineStr">
        <is>
          <t>General</t>
        </is>
      </c>
      <c r="F3956" s="5" t="n"/>
      <c r="G3956" s="5" t="n"/>
      <c r="H3956" s="5" t="n">
        <v>276</v>
      </c>
      <c r="I3956" s="5" t="n">
        <v>134</v>
      </c>
      <c r="J3956" s="5" t="n">
        <v>134</v>
      </c>
      <c r="K3956" s="10">
        <f>IF(F3956&gt;0,H3956/F3956,"")</f>
        <v/>
      </c>
      <c r="L3956" s="16">
        <f>IF(AND(G3956&gt;0,H3956&gt;0),G3956/H3956,"")</f>
        <v/>
      </c>
    </row>
    <row r="3957">
      <c r="A3957" s="4" t="inlineStr">
        <is>
          <t>445</t>
        </is>
      </c>
      <c r="B3957" s="4" t="n">
        <v>4</v>
      </c>
      <c r="C3957" s="4" t="inlineStr">
        <is>
          <t>elk</t>
        </is>
      </c>
      <c r="D3957" s="4" t="n">
        <v>2020</v>
      </c>
      <c r="E3957" s="13" t="inlineStr">
        <is>
          <t>General</t>
        </is>
      </c>
      <c r="F3957" s="5" t="n">
        <v>794</v>
      </c>
      <c r="G3957" s="5" t="n">
        <v>4632</v>
      </c>
      <c r="H3957" s="5" t="n">
        <v>311</v>
      </c>
      <c r="I3957" s="5" t="n">
        <v>143</v>
      </c>
      <c r="J3957" s="5" t="n">
        <v>161</v>
      </c>
      <c r="K3957" s="10">
        <f>IF(F3957&gt;0,H3957/F3957,"")</f>
        <v/>
      </c>
      <c r="L3957" s="16">
        <f>IF(AND(G3957&gt;0,H3957&gt;0),G3957/H3957,"")</f>
        <v/>
      </c>
    </row>
    <row r="3958">
      <c r="A3958" s="4" t="inlineStr">
        <is>
          <t>445</t>
        </is>
      </c>
      <c r="B3958" s="4" t="n">
        <v>4</v>
      </c>
      <c r="C3958" s="4" t="inlineStr">
        <is>
          <t>elk</t>
        </is>
      </c>
      <c r="D3958" s="4" t="n">
        <v>2021</v>
      </c>
      <c r="E3958" s="13" t="inlineStr">
        <is>
          <t>General</t>
        </is>
      </c>
      <c r="F3958" s="5" t="n"/>
      <c r="G3958" s="5" t="n"/>
      <c r="H3958" s="5" t="n">
        <v>330</v>
      </c>
      <c r="I3958" s="5" t="n">
        <v>157</v>
      </c>
      <c r="J3958" s="5" t="n">
        <v>169</v>
      </c>
      <c r="K3958" s="10">
        <f>IF(F3958&gt;0,H3958/F3958,"")</f>
        <v/>
      </c>
      <c r="L3958" s="16">
        <f>IF(AND(G3958&gt;0,H3958&gt;0),G3958/H3958,"")</f>
        <v/>
      </c>
    </row>
    <row r="3959">
      <c r="A3959" s="4" t="inlineStr">
        <is>
          <t>445</t>
        </is>
      </c>
      <c r="B3959" s="4" t="n">
        <v>4</v>
      </c>
      <c r="C3959" s="4" t="inlineStr">
        <is>
          <t>elk</t>
        </is>
      </c>
      <c r="D3959" s="4" t="n">
        <v>2022</v>
      </c>
      <c r="E3959" s="13" t="inlineStr">
        <is>
          <t>General</t>
        </is>
      </c>
      <c r="F3959" s="5" t="n">
        <v>720</v>
      </c>
      <c r="G3959" s="5" t="n">
        <v>3777</v>
      </c>
      <c r="H3959" s="5" t="n">
        <v>266</v>
      </c>
      <c r="I3959" s="5" t="n">
        <v>137</v>
      </c>
      <c r="J3959" s="5" t="n">
        <v>123</v>
      </c>
      <c r="K3959" s="10">
        <f>IF(F3959&gt;0,H3959/F3959,"")</f>
        <v/>
      </c>
      <c r="L3959" s="16">
        <f>IF(AND(G3959&gt;0,H3959&gt;0),G3959/H3959,"")</f>
        <v/>
      </c>
    </row>
    <row r="3960">
      <c r="A3960" s="4" t="inlineStr">
        <is>
          <t>445</t>
        </is>
      </c>
      <c r="B3960" s="4" t="n">
        <v>4</v>
      </c>
      <c r="C3960" s="4" t="inlineStr">
        <is>
          <t>elk</t>
        </is>
      </c>
      <c r="D3960" s="4" t="n">
        <v>2023</v>
      </c>
      <c r="E3960" s="13" t="inlineStr">
        <is>
          <t>General</t>
        </is>
      </c>
      <c r="F3960" s="5" t="n"/>
      <c r="G3960" s="5" t="n"/>
      <c r="H3960" s="5" t="n">
        <v>382</v>
      </c>
      <c r="I3960" s="5" t="n">
        <v>170</v>
      </c>
      <c r="J3960" s="5" t="n">
        <v>213</v>
      </c>
      <c r="K3960" s="10">
        <f>IF(F3960&gt;0,H3960/F3960,"")</f>
        <v/>
      </c>
      <c r="L3960" s="16">
        <f>IF(AND(G3960&gt;0,H3960&gt;0),G3960/H3960,"")</f>
        <v/>
      </c>
    </row>
    <row r="3961">
      <c r="A3961" s="4" t="inlineStr">
        <is>
          <t>445</t>
        </is>
      </c>
      <c r="B3961" s="4" t="n">
        <v>4</v>
      </c>
      <c r="C3961" s="4" t="inlineStr">
        <is>
          <t>elk</t>
        </is>
      </c>
      <c r="D3961" s="4" t="n">
        <v>2024</v>
      </c>
      <c r="E3961" s="13" t="inlineStr">
        <is>
          <t>General</t>
        </is>
      </c>
      <c r="F3961" s="5" t="n">
        <v>847</v>
      </c>
      <c r="G3961" s="5" t="n">
        <v>5200</v>
      </c>
      <c r="H3961" s="5" t="n">
        <v>350</v>
      </c>
      <c r="I3961" s="5" t="n">
        <v>147</v>
      </c>
      <c r="J3961" s="5" t="n">
        <v>187</v>
      </c>
      <c r="K3961" s="10">
        <f>IF(F3961&gt;0,H3961/F3961,"")</f>
        <v/>
      </c>
      <c r="L3961" s="16">
        <f>IF(AND(G3961&gt;0,H3961&gt;0),G3961/H3961,"")</f>
        <v/>
      </c>
    </row>
    <row r="3962">
      <c r="A3962" s="4" t="inlineStr">
        <is>
          <t>445</t>
        </is>
      </c>
      <c r="B3962" s="4" t="n">
        <v>4</v>
      </c>
      <c r="C3962" s="4" t="inlineStr">
        <is>
          <t>elk</t>
        </is>
      </c>
      <c r="D3962" s="4" t="n">
        <v>2025</v>
      </c>
      <c r="E3962" s="13" t="inlineStr">
        <is>
          <t>General</t>
        </is>
      </c>
      <c r="F3962" s="5" t="n"/>
      <c r="G3962" s="5" t="n"/>
      <c r="H3962" s="5" t="n">
        <v>521</v>
      </c>
      <c r="I3962" s="5" t="n">
        <v>181</v>
      </c>
      <c r="J3962" s="5" t="n">
        <v>341</v>
      </c>
      <c r="K3962" s="10">
        <f>IF(F3962&gt;0,H3962/F3962,"")</f>
        <v/>
      </c>
      <c r="L3962" s="16">
        <f>IF(AND(G3962&gt;0,H3962&gt;0),G3962/H3962,"")</f>
        <v/>
      </c>
    </row>
    <row r="3963">
      <c r="A3963" s="4" t="inlineStr">
        <is>
          <t>446</t>
        </is>
      </c>
      <c r="B3963" s="4" t="n">
        <v>4</v>
      </c>
      <c r="C3963" s="4" t="inlineStr">
        <is>
          <t>elk</t>
        </is>
      </c>
      <c r="D3963" s="4" t="n">
        <v>2004</v>
      </c>
      <c r="E3963" s="13" t="inlineStr">
        <is>
          <t>General</t>
        </is>
      </c>
      <c r="F3963" s="5" t="n">
        <v>1044</v>
      </c>
      <c r="G3963" s="5" t="n">
        <v>5509</v>
      </c>
      <c r="H3963" s="5" t="n">
        <v>335</v>
      </c>
      <c r="I3963" s="5" t="n">
        <v>117</v>
      </c>
      <c r="J3963" s="5" t="n">
        <v>196</v>
      </c>
      <c r="K3963" s="10">
        <f>IF(F3963&gt;0,H3963/F3963,"")</f>
        <v/>
      </c>
      <c r="L3963" s="16">
        <f>IF(AND(G3963&gt;0,H3963&gt;0),G3963/H3963,"")</f>
        <v/>
      </c>
    </row>
    <row r="3964">
      <c r="A3964" s="4" t="inlineStr">
        <is>
          <t>446</t>
        </is>
      </c>
      <c r="B3964" s="4" t="n">
        <v>4</v>
      </c>
      <c r="C3964" s="4" t="inlineStr">
        <is>
          <t>elk</t>
        </is>
      </c>
      <c r="D3964" s="4" t="n">
        <v>2005</v>
      </c>
      <c r="E3964" s="13" t="inlineStr">
        <is>
          <t>General</t>
        </is>
      </c>
      <c r="F3964" s="5" t="n">
        <v>982</v>
      </c>
      <c r="G3964" s="5" t="n">
        <v>5541</v>
      </c>
      <c r="H3964" s="5" t="n">
        <v>303</v>
      </c>
      <c r="I3964" s="5" t="n">
        <v>139</v>
      </c>
      <c r="J3964" s="5" t="n">
        <v>153</v>
      </c>
      <c r="K3964" s="10">
        <f>IF(F3964&gt;0,H3964/F3964,"")</f>
        <v/>
      </c>
      <c r="L3964" s="16">
        <f>IF(AND(G3964&gt;0,H3964&gt;0),G3964/H3964,"")</f>
        <v/>
      </c>
    </row>
    <row r="3965">
      <c r="A3965" s="4" t="inlineStr">
        <is>
          <t>446</t>
        </is>
      </c>
      <c r="B3965" s="4" t="n">
        <v>4</v>
      </c>
      <c r="C3965" s="4" t="inlineStr">
        <is>
          <t>elk</t>
        </is>
      </c>
      <c r="D3965" s="4" t="n">
        <v>2006</v>
      </c>
      <c r="E3965" s="13" t="inlineStr">
        <is>
          <t>General</t>
        </is>
      </c>
      <c r="F3965" s="5" t="n">
        <v>1135</v>
      </c>
      <c r="G3965" s="5" t="n">
        <v>6142</v>
      </c>
      <c r="H3965" s="5" t="n">
        <v>412</v>
      </c>
      <c r="I3965" s="5" t="n">
        <v>182</v>
      </c>
      <c r="J3965" s="5" t="n">
        <v>200</v>
      </c>
      <c r="K3965" s="10">
        <f>IF(F3965&gt;0,H3965/F3965,"")</f>
        <v/>
      </c>
      <c r="L3965" s="16">
        <f>IF(AND(G3965&gt;0,H3965&gt;0),G3965/H3965,"")</f>
        <v/>
      </c>
    </row>
    <row r="3966">
      <c r="A3966" s="4" t="inlineStr">
        <is>
          <t>446</t>
        </is>
      </c>
      <c r="B3966" s="4" t="n">
        <v>4</v>
      </c>
      <c r="C3966" s="4" t="inlineStr">
        <is>
          <t>elk</t>
        </is>
      </c>
      <c r="D3966" s="4" t="n">
        <v>2007</v>
      </c>
      <c r="E3966" s="13" t="inlineStr">
        <is>
          <t>General</t>
        </is>
      </c>
      <c r="F3966" s="5" t="n">
        <v>1039</v>
      </c>
      <c r="G3966" s="5" t="n">
        <v>5358</v>
      </c>
      <c r="H3966" s="5" t="n">
        <v>416</v>
      </c>
      <c r="I3966" s="5" t="n">
        <v>143</v>
      </c>
      <c r="J3966" s="5" t="n">
        <v>249</v>
      </c>
      <c r="K3966" s="10">
        <f>IF(F3966&gt;0,H3966/F3966,"")</f>
        <v/>
      </c>
      <c r="L3966" s="16">
        <f>IF(AND(G3966&gt;0,H3966&gt;0),G3966/H3966,"")</f>
        <v/>
      </c>
    </row>
    <row r="3967">
      <c r="A3967" s="4" t="inlineStr">
        <is>
          <t>446</t>
        </is>
      </c>
      <c r="B3967" s="4" t="n">
        <v>4</v>
      </c>
      <c r="C3967" s="4" t="inlineStr">
        <is>
          <t>elk</t>
        </is>
      </c>
      <c r="D3967" s="4" t="n">
        <v>2008</v>
      </c>
      <c r="E3967" s="13" t="inlineStr">
        <is>
          <t>General</t>
        </is>
      </c>
      <c r="F3967" s="5" t="n">
        <v>979</v>
      </c>
      <c r="G3967" s="5" t="n">
        <v>5960</v>
      </c>
      <c r="H3967" s="5" t="n">
        <v>323</v>
      </c>
      <c r="I3967" s="5" t="n">
        <v>110</v>
      </c>
      <c r="J3967" s="5" t="n">
        <v>195</v>
      </c>
      <c r="K3967" s="10">
        <f>IF(F3967&gt;0,H3967/F3967,"")</f>
        <v/>
      </c>
      <c r="L3967" s="16">
        <f>IF(AND(G3967&gt;0,H3967&gt;0),G3967/H3967,"")</f>
        <v/>
      </c>
    </row>
    <row r="3968">
      <c r="A3968" s="4" t="inlineStr">
        <is>
          <t>446</t>
        </is>
      </c>
      <c r="B3968" s="4" t="n">
        <v>4</v>
      </c>
      <c r="C3968" s="4" t="inlineStr">
        <is>
          <t>elk</t>
        </is>
      </c>
      <c r="D3968" s="4" t="n">
        <v>2009</v>
      </c>
      <c r="E3968" s="13" t="inlineStr">
        <is>
          <t>General</t>
        </is>
      </c>
      <c r="F3968" s="5" t="n">
        <v>909</v>
      </c>
      <c r="G3968" s="5" t="n">
        <v>5208</v>
      </c>
      <c r="H3968" s="5" t="n">
        <v>286</v>
      </c>
      <c r="I3968" s="5" t="n">
        <v>137</v>
      </c>
      <c r="J3968" s="5" t="n">
        <v>115</v>
      </c>
      <c r="K3968" s="10">
        <f>IF(F3968&gt;0,H3968/F3968,"")</f>
        <v/>
      </c>
      <c r="L3968" s="16">
        <f>IF(AND(G3968&gt;0,H3968&gt;0),G3968/H3968,"")</f>
        <v/>
      </c>
    </row>
    <row r="3969">
      <c r="A3969" s="4" t="inlineStr">
        <is>
          <t>446</t>
        </is>
      </c>
      <c r="B3969" s="4" t="n">
        <v>4</v>
      </c>
      <c r="C3969" s="4" t="inlineStr">
        <is>
          <t>elk</t>
        </is>
      </c>
      <c r="D3969" s="4" t="n">
        <v>2010</v>
      </c>
      <c r="E3969" s="13" t="inlineStr">
        <is>
          <t>General</t>
        </is>
      </c>
      <c r="F3969" s="5" t="n">
        <v>1044</v>
      </c>
      <c r="G3969" s="5" t="n">
        <v>6177</v>
      </c>
      <c r="H3969" s="5" t="n">
        <v>345</v>
      </c>
      <c r="I3969" s="5" t="n">
        <v>152</v>
      </c>
      <c r="J3969" s="5" t="n">
        <v>176</v>
      </c>
      <c r="K3969" s="10">
        <f>IF(F3969&gt;0,H3969/F3969,"")</f>
        <v/>
      </c>
      <c r="L3969" s="16">
        <f>IF(AND(G3969&gt;0,H3969&gt;0),G3969/H3969,"")</f>
        <v/>
      </c>
    </row>
    <row r="3970">
      <c r="A3970" s="4" t="inlineStr">
        <is>
          <t>446</t>
        </is>
      </c>
      <c r="B3970" s="4" t="n">
        <v>4</v>
      </c>
      <c r="C3970" s="4" t="inlineStr">
        <is>
          <t>elk</t>
        </is>
      </c>
      <c r="D3970" s="4" t="n">
        <v>2011</v>
      </c>
      <c r="E3970" s="13" t="inlineStr">
        <is>
          <t>General</t>
        </is>
      </c>
      <c r="F3970" s="5" t="n">
        <v>1199</v>
      </c>
      <c r="G3970" s="5" t="n">
        <v>7196</v>
      </c>
      <c r="H3970" s="5" t="n">
        <v>352</v>
      </c>
      <c r="I3970" s="5" t="n">
        <v>181</v>
      </c>
      <c r="J3970" s="5" t="n">
        <v>161</v>
      </c>
      <c r="K3970" s="10">
        <f>IF(F3970&gt;0,H3970/F3970,"")</f>
        <v/>
      </c>
      <c r="L3970" s="16">
        <f>IF(AND(G3970&gt;0,H3970&gt;0),G3970/H3970,"")</f>
        <v/>
      </c>
    </row>
    <row r="3971">
      <c r="A3971" s="4" t="inlineStr">
        <is>
          <t>446</t>
        </is>
      </c>
      <c r="B3971" s="4" t="n">
        <v>4</v>
      </c>
      <c r="C3971" s="4" t="inlineStr">
        <is>
          <t>elk</t>
        </is>
      </c>
      <c r="D3971" s="4" t="n">
        <v>2012</v>
      </c>
      <c r="E3971" s="13" t="inlineStr">
        <is>
          <t>General</t>
        </is>
      </c>
      <c r="F3971" s="5" t="n">
        <v>1237</v>
      </c>
      <c r="G3971" s="5" t="n">
        <v>6607</v>
      </c>
      <c r="H3971" s="5" t="n">
        <v>404</v>
      </c>
      <c r="I3971" s="5" t="n">
        <v>215</v>
      </c>
      <c r="J3971" s="5" t="n">
        <v>181</v>
      </c>
      <c r="K3971" s="10">
        <f>IF(F3971&gt;0,H3971/F3971,"")</f>
        <v/>
      </c>
      <c r="L3971" s="16">
        <f>IF(AND(G3971&gt;0,H3971&gt;0),G3971/H3971,"")</f>
        <v/>
      </c>
    </row>
    <row r="3972">
      <c r="A3972" s="4" t="inlineStr">
        <is>
          <t>446</t>
        </is>
      </c>
      <c r="B3972" s="4" t="n">
        <v>4</v>
      </c>
      <c r="C3972" s="4" t="inlineStr">
        <is>
          <t>elk</t>
        </is>
      </c>
      <c r="D3972" s="4" t="n">
        <v>2013</v>
      </c>
      <c r="E3972" s="13" t="inlineStr">
        <is>
          <t>General</t>
        </is>
      </c>
      <c r="F3972" s="5" t="n"/>
      <c r="G3972" s="5" t="n"/>
      <c r="H3972" s="5" t="n">
        <v>417</v>
      </c>
      <c r="I3972" s="5" t="n">
        <v>167</v>
      </c>
      <c r="J3972" s="5" t="n">
        <v>228</v>
      </c>
      <c r="K3972" s="10">
        <f>IF(F3972&gt;0,H3972/F3972,"")</f>
        <v/>
      </c>
      <c r="L3972" s="16">
        <f>IF(AND(G3972&gt;0,H3972&gt;0),G3972/H3972,"")</f>
        <v/>
      </c>
    </row>
    <row r="3973">
      <c r="A3973" s="4" t="inlineStr">
        <is>
          <t>446</t>
        </is>
      </c>
      <c r="B3973" s="4" t="n">
        <v>4</v>
      </c>
      <c r="C3973" s="4" t="inlineStr">
        <is>
          <t>elk</t>
        </is>
      </c>
      <c r="D3973" s="4" t="n">
        <v>2014</v>
      </c>
      <c r="E3973" s="13" t="inlineStr">
        <is>
          <t>General</t>
        </is>
      </c>
      <c r="F3973" s="5" t="n">
        <v>1352</v>
      </c>
      <c r="G3973" s="5" t="n">
        <v>7391</v>
      </c>
      <c r="H3973" s="5" t="n">
        <v>557</v>
      </c>
      <c r="I3973" s="5" t="n">
        <v>203</v>
      </c>
      <c r="J3973" s="5" t="n">
        <v>309</v>
      </c>
      <c r="K3973" s="10">
        <f>IF(F3973&gt;0,H3973/F3973,"")</f>
        <v/>
      </c>
      <c r="L3973" s="16">
        <f>IF(AND(G3973&gt;0,H3973&gt;0),G3973/H3973,"")</f>
        <v/>
      </c>
    </row>
    <row r="3974">
      <c r="A3974" s="4" t="inlineStr">
        <is>
          <t>446</t>
        </is>
      </c>
      <c r="B3974" s="4" t="n">
        <v>4</v>
      </c>
      <c r="C3974" s="4" t="inlineStr">
        <is>
          <t>elk</t>
        </is>
      </c>
      <c r="D3974" s="4" t="n">
        <v>2015</v>
      </c>
      <c r="E3974" s="13" t="inlineStr">
        <is>
          <t>General</t>
        </is>
      </c>
      <c r="F3974" s="5" t="n">
        <v>2689</v>
      </c>
      <c r="G3974" s="5" t="n">
        <v>15412</v>
      </c>
      <c r="H3974" s="5" t="n">
        <v>1002</v>
      </c>
      <c r="I3974" s="5" t="n">
        <v>259</v>
      </c>
      <c r="J3974" s="5" t="n">
        <v>649</v>
      </c>
      <c r="K3974" s="10">
        <f>IF(F3974&gt;0,H3974/F3974,"")</f>
        <v/>
      </c>
      <c r="L3974" s="16">
        <f>IF(AND(G3974&gt;0,H3974&gt;0),G3974/H3974,"")</f>
        <v/>
      </c>
    </row>
    <row r="3975">
      <c r="A3975" s="4" t="inlineStr">
        <is>
          <t>446</t>
        </is>
      </c>
      <c r="B3975" s="4" t="n">
        <v>4</v>
      </c>
      <c r="C3975" s="4" t="inlineStr">
        <is>
          <t>elk</t>
        </is>
      </c>
      <c r="D3975" s="4" t="n">
        <v>2016</v>
      </c>
      <c r="E3975" s="13" t="inlineStr">
        <is>
          <t>General</t>
        </is>
      </c>
      <c r="F3975" s="5" t="n">
        <v>2183</v>
      </c>
      <c r="G3975" s="5" t="n">
        <v>12752</v>
      </c>
      <c r="H3975" s="5" t="n">
        <v>513</v>
      </c>
      <c r="I3975" s="5" t="n">
        <v>216</v>
      </c>
      <c r="J3975" s="5" t="n">
        <v>283</v>
      </c>
      <c r="K3975" s="10">
        <f>IF(F3975&gt;0,H3975/F3975,"")</f>
        <v/>
      </c>
      <c r="L3975" s="16">
        <f>IF(AND(G3975&gt;0,H3975&gt;0),G3975/H3975,"")</f>
        <v/>
      </c>
    </row>
    <row r="3976">
      <c r="A3976" s="4" t="inlineStr">
        <is>
          <t>446</t>
        </is>
      </c>
      <c r="B3976" s="4" t="n">
        <v>4</v>
      </c>
      <c r="C3976" s="4" t="inlineStr">
        <is>
          <t>elk</t>
        </is>
      </c>
      <c r="D3976" s="4" t="n">
        <v>2017</v>
      </c>
      <c r="E3976" s="13" t="inlineStr">
        <is>
          <t>General</t>
        </is>
      </c>
      <c r="F3976" s="5" t="n"/>
      <c r="G3976" s="5" t="n"/>
      <c r="H3976" s="5" t="n">
        <v>507</v>
      </c>
      <c r="I3976" s="5" t="n">
        <v>221</v>
      </c>
      <c r="J3976" s="5" t="n">
        <v>260</v>
      </c>
      <c r="K3976" s="10">
        <f>IF(F3976&gt;0,H3976/F3976,"")</f>
        <v/>
      </c>
      <c r="L3976" s="16">
        <f>IF(AND(G3976&gt;0,H3976&gt;0),G3976/H3976,"")</f>
        <v/>
      </c>
    </row>
    <row r="3977">
      <c r="A3977" s="4" t="inlineStr">
        <is>
          <t>446</t>
        </is>
      </c>
      <c r="B3977" s="4" t="n">
        <v>4</v>
      </c>
      <c r="C3977" s="4" t="inlineStr">
        <is>
          <t>elk</t>
        </is>
      </c>
      <c r="D3977" s="4" t="n">
        <v>2018</v>
      </c>
      <c r="E3977" s="13" t="inlineStr">
        <is>
          <t>General</t>
        </is>
      </c>
      <c r="F3977" s="5" t="n">
        <v>1457</v>
      </c>
      <c r="G3977" s="5" t="n">
        <v>7950</v>
      </c>
      <c r="H3977" s="5" t="n">
        <v>414</v>
      </c>
      <c r="I3977" s="5" t="n">
        <v>176</v>
      </c>
      <c r="J3977" s="5" t="n">
        <v>210</v>
      </c>
      <c r="K3977" s="10">
        <f>IF(F3977&gt;0,H3977/F3977,"")</f>
        <v/>
      </c>
      <c r="L3977" s="16">
        <f>IF(AND(G3977&gt;0,H3977&gt;0),G3977/H3977,"")</f>
        <v/>
      </c>
    </row>
    <row r="3978">
      <c r="A3978" s="4" t="inlineStr">
        <is>
          <t>446</t>
        </is>
      </c>
      <c r="B3978" s="4" t="n">
        <v>4</v>
      </c>
      <c r="C3978" s="4" t="inlineStr">
        <is>
          <t>elk</t>
        </is>
      </c>
      <c r="D3978" s="4" t="n">
        <v>2019</v>
      </c>
      <c r="E3978" s="13" t="inlineStr">
        <is>
          <t>General</t>
        </is>
      </c>
      <c r="F3978" s="5" t="n"/>
      <c r="G3978" s="5" t="n"/>
      <c r="H3978" s="5" t="n">
        <v>334</v>
      </c>
      <c r="I3978" s="5" t="n">
        <v>138</v>
      </c>
      <c r="J3978" s="5" t="n">
        <v>181</v>
      </c>
      <c r="K3978" s="10">
        <f>IF(F3978&gt;0,H3978/F3978,"")</f>
        <v/>
      </c>
      <c r="L3978" s="16">
        <f>IF(AND(G3978&gt;0,H3978&gt;0),G3978/H3978,"")</f>
        <v/>
      </c>
    </row>
    <row r="3979">
      <c r="A3979" s="4" t="inlineStr">
        <is>
          <t>446</t>
        </is>
      </c>
      <c r="B3979" s="4" t="n">
        <v>4</v>
      </c>
      <c r="C3979" s="4" t="inlineStr">
        <is>
          <t>elk</t>
        </is>
      </c>
      <c r="D3979" s="4" t="n">
        <v>2020</v>
      </c>
      <c r="E3979" s="13" t="inlineStr">
        <is>
          <t>General</t>
        </is>
      </c>
      <c r="F3979" s="5" t="n">
        <v>1223</v>
      </c>
      <c r="G3979" s="5" t="n">
        <v>7447</v>
      </c>
      <c r="H3979" s="5" t="n">
        <v>330</v>
      </c>
      <c r="I3979" s="5" t="n">
        <v>198</v>
      </c>
      <c r="J3979" s="5" t="n">
        <v>125</v>
      </c>
      <c r="K3979" s="10">
        <f>IF(F3979&gt;0,H3979/F3979,"")</f>
        <v/>
      </c>
      <c r="L3979" s="16">
        <f>IF(AND(G3979&gt;0,H3979&gt;0),G3979/H3979,"")</f>
        <v/>
      </c>
    </row>
    <row r="3980">
      <c r="A3980" s="4" t="inlineStr">
        <is>
          <t>446</t>
        </is>
      </c>
      <c r="B3980" s="4" t="n">
        <v>4</v>
      </c>
      <c r="C3980" s="4" t="inlineStr">
        <is>
          <t>elk</t>
        </is>
      </c>
      <c r="D3980" s="4" t="n">
        <v>2021</v>
      </c>
      <c r="E3980" s="13" t="inlineStr">
        <is>
          <t>General</t>
        </is>
      </c>
      <c r="F3980" s="5" t="n"/>
      <c r="G3980" s="5" t="n"/>
      <c r="H3980" s="5" t="n">
        <v>391</v>
      </c>
      <c r="I3980" s="5" t="n">
        <v>214</v>
      </c>
      <c r="J3980" s="5" t="n">
        <v>169</v>
      </c>
      <c r="K3980" s="10">
        <f>IF(F3980&gt;0,H3980/F3980,"")</f>
        <v/>
      </c>
      <c r="L3980" s="16">
        <f>IF(AND(G3980&gt;0,H3980&gt;0),G3980/H3980,"")</f>
        <v/>
      </c>
    </row>
    <row r="3981">
      <c r="A3981" s="4" t="inlineStr">
        <is>
          <t>446</t>
        </is>
      </c>
      <c r="B3981" s="4" t="n">
        <v>4</v>
      </c>
      <c r="C3981" s="4" t="inlineStr">
        <is>
          <t>elk</t>
        </is>
      </c>
      <c r="D3981" s="4" t="n">
        <v>2022</v>
      </c>
      <c r="E3981" s="13" t="inlineStr">
        <is>
          <t>General</t>
        </is>
      </c>
      <c r="F3981" s="5" t="n">
        <v>1081</v>
      </c>
      <c r="G3981" s="5" t="n">
        <v>6807</v>
      </c>
      <c r="H3981" s="5" t="n">
        <v>361</v>
      </c>
      <c r="I3981" s="5" t="n">
        <v>217</v>
      </c>
      <c r="J3981" s="5" t="n">
        <v>140</v>
      </c>
      <c r="K3981" s="10">
        <f>IF(F3981&gt;0,H3981/F3981,"")</f>
        <v/>
      </c>
      <c r="L3981" s="16">
        <f>IF(AND(G3981&gt;0,H3981&gt;0),G3981/H3981,"")</f>
        <v/>
      </c>
    </row>
    <row r="3982">
      <c r="A3982" s="4" t="inlineStr">
        <is>
          <t>446</t>
        </is>
      </c>
      <c r="B3982" s="4" t="n">
        <v>4</v>
      </c>
      <c r="C3982" s="4" t="inlineStr">
        <is>
          <t>elk</t>
        </is>
      </c>
      <c r="D3982" s="4" t="n">
        <v>2023</v>
      </c>
      <c r="E3982" s="13" t="inlineStr">
        <is>
          <t>General</t>
        </is>
      </c>
      <c r="F3982" s="5" t="n"/>
      <c r="G3982" s="5" t="n"/>
      <c r="H3982" s="5" t="n">
        <v>432</v>
      </c>
      <c r="I3982" s="5" t="n">
        <v>232</v>
      </c>
      <c r="J3982" s="5" t="n">
        <v>190</v>
      </c>
      <c r="K3982" s="10">
        <f>IF(F3982&gt;0,H3982/F3982,"")</f>
        <v/>
      </c>
      <c r="L3982" s="16">
        <f>IF(AND(G3982&gt;0,H3982&gt;0),G3982/H3982,"")</f>
        <v/>
      </c>
    </row>
    <row r="3983">
      <c r="A3983" s="4" t="inlineStr">
        <is>
          <t>446</t>
        </is>
      </c>
      <c r="B3983" s="4" t="n">
        <v>4</v>
      </c>
      <c r="C3983" s="4" t="inlineStr">
        <is>
          <t>elk</t>
        </is>
      </c>
      <c r="D3983" s="4" t="n">
        <v>2024</v>
      </c>
      <c r="E3983" s="13" t="inlineStr">
        <is>
          <t>General</t>
        </is>
      </c>
      <c r="F3983" s="5" t="n">
        <v>1140</v>
      </c>
      <c r="G3983" s="5" t="n">
        <v>7253</v>
      </c>
      <c r="H3983" s="5" t="n">
        <v>399</v>
      </c>
      <c r="I3983" s="5" t="n">
        <v>167</v>
      </c>
      <c r="J3983" s="5" t="n">
        <v>220</v>
      </c>
      <c r="K3983" s="10">
        <f>IF(F3983&gt;0,H3983/F3983,"")</f>
        <v/>
      </c>
      <c r="L3983" s="16">
        <f>IF(AND(G3983&gt;0,H3983&gt;0),G3983/H3983,"")</f>
        <v/>
      </c>
    </row>
    <row r="3984">
      <c r="A3984" s="4" t="inlineStr">
        <is>
          <t>446</t>
        </is>
      </c>
      <c r="B3984" s="4" t="n">
        <v>4</v>
      </c>
      <c r="C3984" s="4" t="inlineStr">
        <is>
          <t>elk</t>
        </is>
      </c>
      <c r="D3984" s="4" t="n">
        <v>2025</v>
      </c>
      <c r="E3984" s="13" t="inlineStr">
        <is>
          <t>General</t>
        </is>
      </c>
      <c r="F3984" s="5" t="n"/>
      <c r="G3984" s="5" t="n"/>
      <c r="H3984" s="5" t="n">
        <v>294</v>
      </c>
      <c r="I3984" s="5" t="n">
        <v>143</v>
      </c>
      <c r="J3984" s="5" t="n">
        <v>151</v>
      </c>
      <c r="K3984" s="10">
        <f>IF(F3984&gt;0,H3984/F3984,"")</f>
        <v/>
      </c>
      <c r="L3984" s="16">
        <f>IF(AND(G3984&gt;0,H3984&gt;0),G3984/H3984,"")</f>
        <v/>
      </c>
    </row>
    <row r="3985">
      <c r="A3985" s="4" t="inlineStr">
        <is>
          <t>447</t>
        </is>
      </c>
      <c r="B3985" s="4" t="n">
        <v>4</v>
      </c>
      <c r="C3985" s="4" t="inlineStr">
        <is>
          <t>elk</t>
        </is>
      </c>
      <c r="D3985" s="4" t="n">
        <v>2004</v>
      </c>
      <c r="E3985" s="15" t="inlineStr">
        <is>
          <t>Draw</t>
        </is>
      </c>
      <c r="F3985" s="5" t="n">
        <v>594</v>
      </c>
      <c r="G3985" s="5" t="n">
        <v>3234</v>
      </c>
      <c r="H3985" s="5" t="n">
        <v>109</v>
      </c>
      <c r="I3985" s="5" t="n">
        <v>70</v>
      </c>
      <c r="J3985" s="5" t="n">
        <v>35</v>
      </c>
      <c r="K3985" s="10">
        <f>IF(F3985&gt;0,H3985/F3985,"")</f>
        <v/>
      </c>
      <c r="L3985" s="16">
        <f>IF(AND(G3985&gt;0,H3985&gt;0),G3985/H3985,"")</f>
        <v/>
      </c>
    </row>
    <row r="3986">
      <c r="A3986" s="4" t="inlineStr">
        <is>
          <t>447</t>
        </is>
      </c>
      <c r="B3986" s="4" t="n">
        <v>4</v>
      </c>
      <c r="C3986" s="4" t="inlineStr">
        <is>
          <t>elk</t>
        </is>
      </c>
      <c r="D3986" s="4" t="n">
        <v>2005</v>
      </c>
      <c r="E3986" s="15" t="inlineStr">
        <is>
          <t>Draw</t>
        </is>
      </c>
      <c r="F3986" s="5" t="n">
        <v>550</v>
      </c>
      <c r="G3986" s="5" t="n">
        <v>3023</v>
      </c>
      <c r="H3986" s="5" t="n">
        <v>110</v>
      </c>
      <c r="I3986" s="5" t="n">
        <v>47</v>
      </c>
      <c r="J3986" s="5" t="n">
        <v>53</v>
      </c>
      <c r="K3986" s="10">
        <f>IF(F3986&gt;0,H3986/F3986,"")</f>
        <v/>
      </c>
      <c r="L3986" s="16">
        <f>IF(AND(G3986&gt;0,H3986&gt;0),G3986/H3986,"")</f>
        <v/>
      </c>
    </row>
    <row r="3987">
      <c r="A3987" s="4" t="inlineStr">
        <is>
          <t>447</t>
        </is>
      </c>
      <c r="B3987" s="4" t="n">
        <v>4</v>
      </c>
      <c r="C3987" s="4" t="inlineStr">
        <is>
          <t>elk</t>
        </is>
      </c>
      <c r="D3987" s="4" t="n">
        <v>2006</v>
      </c>
      <c r="E3987" s="15" t="inlineStr">
        <is>
          <t>Draw</t>
        </is>
      </c>
      <c r="F3987" s="5" t="n">
        <v>615</v>
      </c>
      <c r="G3987" s="5" t="n">
        <v>3744</v>
      </c>
      <c r="H3987" s="5" t="n">
        <v>148</v>
      </c>
      <c r="I3987" s="5" t="n">
        <v>63</v>
      </c>
      <c r="J3987" s="5" t="n">
        <v>71</v>
      </c>
      <c r="K3987" s="10">
        <f>IF(F3987&gt;0,H3987/F3987,"")</f>
        <v/>
      </c>
      <c r="L3987" s="16">
        <f>IF(AND(G3987&gt;0,H3987&gt;0),G3987/H3987,"")</f>
        <v/>
      </c>
    </row>
    <row r="3988">
      <c r="A3988" s="4" t="inlineStr">
        <is>
          <t>447</t>
        </is>
      </c>
      <c r="B3988" s="4" t="n">
        <v>4</v>
      </c>
      <c r="C3988" s="4" t="inlineStr">
        <is>
          <t>elk</t>
        </is>
      </c>
      <c r="D3988" s="4" t="n">
        <v>2007</v>
      </c>
      <c r="E3988" s="15" t="inlineStr">
        <is>
          <t>Draw</t>
        </is>
      </c>
      <c r="F3988" s="5" t="n">
        <v>708</v>
      </c>
      <c r="G3988" s="5" t="n">
        <v>4712</v>
      </c>
      <c r="H3988" s="5" t="n">
        <v>141</v>
      </c>
      <c r="I3988" s="5" t="n">
        <v>53</v>
      </c>
      <c r="J3988" s="5" t="n">
        <v>78</v>
      </c>
      <c r="K3988" s="10">
        <f>IF(F3988&gt;0,H3988/F3988,"")</f>
        <v/>
      </c>
      <c r="L3988" s="16">
        <f>IF(AND(G3988&gt;0,H3988&gt;0),G3988/H3988,"")</f>
        <v/>
      </c>
    </row>
    <row r="3989">
      <c r="A3989" s="4" t="inlineStr">
        <is>
          <t>447</t>
        </is>
      </c>
      <c r="B3989" s="4" t="n">
        <v>4</v>
      </c>
      <c r="C3989" s="4" t="inlineStr">
        <is>
          <t>elk</t>
        </is>
      </c>
      <c r="D3989" s="4" t="n">
        <v>2008</v>
      </c>
      <c r="E3989" s="15" t="inlineStr">
        <is>
          <t>Draw</t>
        </is>
      </c>
      <c r="F3989" s="5" t="n">
        <v>799</v>
      </c>
      <c r="G3989" s="5" t="n">
        <v>5016</v>
      </c>
      <c r="H3989" s="5" t="n">
        <v>182</v>
      </c>
      <c r="I3989" s="5" t="n">
        <v>67</v>
      </c>
      <c r="J3989" s="5" t="n">
        <v>103</v>
      </c>
      <c r="K3989" s="10">
        <f>IF(F3989&gt;0,H3989/F3989,"")</f>
        <v/>
      </c>
      <c r="L3989" s="16">
        <f>IF(AND(G3989&gt;0,H3989&gt;0),G3989/H3989,"")</f>
        <v/>
      </c>
    </row>
    <row r="3990">
      <c r="A3990" s="4" t="inlineStr">
        <is>
          <t>447</t>
        </is>
      </c>
      <c r="B3990" s="4" t="n">
        <v>4</v>
      </c>
      <c r="C3990" s="4" t="inlineStr">
        <is>
          <t>elk</t>
        </is>
      </c>
      <c r="D3990" s="4" t="n">
        <v>2009</v>
      </c>
      <c r="E3990" s="15" t="inlineStr">
        <is>
          <t>Draw</t>
        </is>
      </c>
      <c r="F3990" s="5" t="n">
        <v>735</v>
      </c>
      <c r="G3990" s="5" t="n">
        <v>4016</v>
      </c>
      <c r="H3990" s="5" t="n">
        <v>150</v>
      </c>
      <c r="I3990" s="5" t="n">
        <v>65</v>
      </c>
      <c r="J3990" s="5" t="n">
        <v>70</v>
      </c>
      <c r="K3990" s="10">
        <f>IF(F3990&gt;0,H3990/F3990,"")</f>
        <v/>
      </c>
      <c r="L3990" s="16">
        <f>IF(AND(G3990&gt;0,H3990&gt;0),G3990/H3990,"")</f>
        <v/>
      </c>
    </row>
    <row r="3991">
      <c r="A3991" s="4" t="inlineStr">
        <is>
          <t>447</t>
        </is>
      </c>
      <c r="B3991" s="4" t="n">
        <v>4</v>
      </c>
      <c r="C3991" s="4" t="inlineStr">
        <is>
          <t>elk</t>
        </is>
      </c>
      <c r="D3991" s="4" t="n">
        <v>2010</v>
      </c>
      <c r="E3991" s="15" t="inlineStr">
        <is>
          <t>Draw</t>
        </is>
      </c>
      <c r="F3991" s="5" t="n">
        <v>542</v>
      </c>
      <c r="G3991" s="5" t="n">
        <v>3698</v>
      </c>
      <c r="H3991" s="5" t="n">
        <v>209</v>
      </c>
      <c r="I3991" s="5" t="n">
        <v>75</v>
      </c>
      <c r="J3991" s="5" t="n">
        <v>122</v>
      </c>
      <c r="K3991" s="10">
        <f>IF(F3991&gt;0,H3991/F3991,"")</f>
        <v/>
      </c>
      <c r="L3991" s="16">
        <f>IF(AND(G3991&gt;0,H3991&gt;0),G3991/H3991,"")</f>
        <v/>
      </c>
    </row>
    <row r="3992">
      <c r="A3992" s="4" t="inlineStr">
        <is>
          <t>447</t>
        </is>
      </c>
      <c r="B3992" s="4" t="n">
        <v>4</v>
      </c>
      <c r="C3992" s="4" t="inlineStr">
        <is>
          <t>elk</t>
        </is>
      </c>
      <c r="D3992" s="4" t="n">
        <v>2011</v>
      </c>
      <c r="E3992" s="15" t="inlineStr">
        <is>
          <t>Draw</t>
        </is>
      </c>
      <c r="F3992" s="5" t="n">
        <v>706</v>
      </c>
      <c r="G3992" s="5" t="n">
        <v>3907</v>
      </c>
      <c r="H3992" s="5" t="n">
        <v>193</v>
      </c>
      <c r="I3992" s="5" t="n">
        <v>80</v>
      </c>
      <c r="J3992" s="5" t="n">
        <v>109</v>
      </c>
      <c r="K3992" s="10">
        <f>IF(F3992&gt;0,H3992/F3992,"")</f>
        <v/>
      </c>
      <c r="L3992" s="16">
        <f>IF(AND(G3992&gt;0,H3992&gt;0),G3992/H3992,"")</f>
        <v/>
      </c>
    </row>
    <row r="3993">
      <c r="A3993" s="4" t="inlineStr">
        <is>
          <t>447</t>
        </is>
      </c>
      <c r="B3993" s="4" t="n">
        <v>4</v>
      </c>
      <c r="C3993" s="4" t="inlineStr">
        <is>
          <t>elk</t>
        </is>
      </c>
      <c r="D3993" s="4" t="n">
        <v>2012</v>
      </c>
      <c r="E3993" s="15" t="inlineStr">
        <is>
          <t>Draw</t>
        </is>
      </c>
      <c r="F3993" s="5" t="n">
        <v>662</v>
      </c>
      <c r="G3993" s="5" t="n">
        <v>3700</v>
      </c>
      <c r="H3993" s="5" t="n">
        <v>125</v>
      </c>
      <c r="I3993" s="5" t="n">
        <v>56</v>
      </c>
      <c r="J3993" s="5" t="n">
        <v>66</v>
      </c>
      <c r="K3993" s="10">
        <f>IF(F3993&gt;0,H3993/F3993,"")</f>
        <v/>
      </c>
      <c r="L3993" s="16">
        <f>IF(AND(G3993&gt;0,H3993&gt;0),G3993/H3993,"")</f>
        <v/>
      </c>
    </row>
    <row r="3994">
      <c r="A3994" s="4" t="inlineStr">
        <is>
          <t>447</t>
        </is>
      </c>
      <c r="B3994" s="4" t="n">
        <v>4</v>
      </c>
      <c r="C3994" s="4" t="inlineStr">
        <is>
          <t>elk</t>
        </is>
      </c>
      <c r="D3994" s="4" t="n">
        <v>2013</v>
      </c>
      <c r="E3994" s="15" t="inlineStr">
        <is>
          <t>Draw</t>
        </is>
      </c>
      <c r="F3994" s="5" t="n"/>
      <c r="G3994" s="5" t="n"/>
      <c r="H3994" s="5" t="n">
        <v>220</v>
      </c>
      <c r="I3994" s="5" t="n">
        <v>99</v>
      </c>
      <c r="J3994" s="5" t="n">
        <v>112</v>
      </c>
      <c r="K3994" s="10">
        <f>IF(F3994&gt;0,H3994/F3994,"")</f>
        <v/>
      </c>
      <c r="L3994" s="16">
        <f>IF(AND(G3994&gt;0,H3994&gt;0),G3994/H3994,"")</f>
        <v/>
      </c>
    </row>
    <row r="3995">
      <c r="A3995" s="4" t="inlineStr">
        <is>
          <t>447</t>
        </is>
      </c>
      <c r="B3995" s="4" t="n">
        <v>4</v>
      </c>
      <c r="C3995" s="4" t="inlineStr">
        <is>
          <t>elk</t>
        </is>
      </c>
      <c r="D3995" s="4" t="n">
        <v>2014</v>
      </c>
      <c r="E3995" s="15" t="inlineStr">
        <is>
          <t>Draw</t>
        </is>
      </c>
      <c r="F3995" s="5" t="n">
        <v>1105</v>
      </c>
      <c r="G3995" s="5" t="n">
        <v>6193</v>
      </c>
      <c r="H3995" s="5" t="n">
        <v>303</v>
      </c>
      <c r="I3995" s="5" t="n">
        <v>83</v>
      </c>
      <c r="J3995" s="5" t="n">
        <v>192</v>
      </c>
      <c r="K3995" s="10">
        <f>IF(F3995&gt;0,H3995/F3995,"")</f>
        <v/>
      </c>
      <c r="L3995" s="16">
        <f>IF(AND(G3995&gt;0,H3995&gt;0),G3995/H3995,"")</f>
        <v/>
      </c>
    </row>
    <row r="3996">
      <c r="A3996" s="4" t="inlineStr">
        <is>
          <t>447</t>
        </is>
      </c>
      <c r="B3996" s="4" t="n">
        <v>4</v>
      </c>
      <c r="C3996" s="4" t="inlineStr">
        <is>
          <t>elk</t>
        </is>
      </c>
      <c r="D3996" s="4" t="n">
        <v>2015</v>
      </c>
      <c r="E3996" s="15" t="inlineStr">
        <is>
          <t>Draw</t>
        </is>
      </c>
      <c r="F3996" s="5" t="n">
        <v>1041</v>
      </c>
      <c r="G3996" s="5" t="n">
        <v>6104</v>
      </c>
      <c r="H3996" s="5" t="n">
        <v>285</v>
      </c>
      <c r="I3996" s="5" t="n">
        <v>76</v>
      </c>
      <c r="J3996" s="5" t="n">
        <v>191</v>
      </c>
      <c r="K3996" s="10">
        <f>IF(F3996&gt;0,H3996/F3996,"")</f>
        <v/>
      </c>
      <c r="L3996" s="16">
        <f>IF(AND(G3996&gt;0,H3996&gt;0),G3996/H3996,"")</f>
        <v/>
      </c>
    </row>
    <row r="3997">
      <c r="A3997" s="4" t="inlineStr">
        <is>
          <t>447</t>
        </is>
      </c>
      <c r="B3997" s="4" t="n">
        <v>4</v>
      </c>
      <c r="C3997" s="4" t="inlineStr">
        <is>
          <t>elk</t>
        </is>
      </c>
      <c r="D3997" s="4" t="n">
        <v>2016</v>
      </c>
      <c r="E3997" s="15" t="inlineStr">
        <is>
          <t>Draw</t>
        </is>
      </c>
      <c r="F3997" s="5" t="n">
        <v>1110</v>
      </c>
      <c r="G3997" s="5" t="n">
        <v>7441</v>
      </c>
      <c r="H3997" s="5" t="n">
        <v>224</v>
      </c>
      <c r="I3997" s="5" t="n">
        <v>93</v>
      </c>
      <c r="J3997" s="5" t="n">
        <v>122</v>
      </c>
      <c r="K3997" s="10">
        <f>IF(F3997&gt;0,H3997/F3997,"")</f>
        <v/>
      </c>
      <c r="L3997" s="16">
        <f>IF(AND(G3997&gt;0,H3997&gt;0),G3997/H3997,"")</f>
        <v/>
      </c>
    </row>
    <row r="3998">
      <c r="A3998" s="4" t="inlineStr">
        <is>
          <t>447</t>
        </is>
      </c>
      <c r="B3998" s="4" t="n">
        <v>4</v>
      </c>
      <c r="C3998" s="4" t="inlineStr">
        <is>
          <t>elk</t>
        </is>
      </c>
      <c r="D3998" s="4" t="n">
        <v>2017</v>
      </c>
      <c r="E3998" s="15" t="inlineStr">
        <is>
          <t>Draw</t>
        </is>
      </c>
      <c r="F3998" s="5" t="n"/>
      <c r="G3998" s="5" t="n"/>
      <c r="H3998" s="5" t="n">
        <v>259</v>
      </c>
      <c r="I3998" s="5" t="n">
        <v>83</v>
      </c>
      <c r="J3998" s="5" t="n">
        <v>162</v>
      </c>
      <c r="K3998" s="10">
        <f>IF(F3998&gt;0,H3998/F3998,"")</f>
        <v/>
      </c>
      <c r="L3998" s="16">
        <f>IF(AND(G3998&gt;0,H3998&gt;0),G3998/H3998,"")</f>
        <v/>
      </c>
    </row>
    <row r="3999">
      <c r="A3999" s="4" t="inlineStr">
        <is>
          <t>447</t>
        </is>
      </c>
      <c r="B3999" s="4" t="n">
        <v>4</v>
      </c>
      <c r="C3999" s="4" t="inlineStr">
        <is>
          <t>elk</t>
        </is>
      </c>
      <c r="D3999" s="4" t="n">
        <v>2018</v>
      </c>
      <c r="E3999" s="15" t="inlineStr">
        <is>
          <t>Draw</t>
        </is>
      </c>
      <c r="F3999" s="5" t="n">
        <v>1015</v>
      </c>
      <c r="G3999" s="5" t="n">
        <v>6404</v>
      </c>
      <c r="H3999" s="5" t="n">
        <v>294</v>
      </c>
      <c r="I3999" s="5" t="n">
        <v>80</v>
      </c>
      <c r="J3999" s="5" t="n">
        <v>207</v>
      </c>
      <c r="K3999" s="10">
        <f>IF(F3999&gt;0,H3999/F3999,"")</f>
        <v/>
      </c>
      <c r="L3999" s="16">
        <f>IF(AND(G3999&gt;0,H3999&gt;0),G3999/H3999,"")</f>
        <v/>
      </c>
    </row>
    <row r="4000">
      <c r="A4000" s="4" t="inlineStr">
        <is>
          <t>447</t>
        </is>
      </c>
      <c r="B4000" s="4" t="n">
        <v>4</v>
      </c>
      <c r="C4000" s="4" t="inlineStr">
        <is>
          <t>elk</t>
        </is>
      </c>
      <c r="D4000" s="4" t="n">
        <v>2019</v>
      </c>
      <c r="E4000" s="15" t="inlineStr">
        <is>
          <t>Draw</t>
        </is>
      </c>
      <c r="F4000" s="5" t="n"/>
      <c r="G4000" s="5" t="n"/>
      <c r="H4000" s="5" t="n">
        <v>270</v>
      </c>
      <c r="I4000" s="5" t="n">
        <v>97</v>
      </c>
      <c r="J4000" s="5" t="n">
        <v>166</v>
      </c>
      <c r="K4000" s="10">
        <f>IF(F4000&gt;0,H4000/F4000,"")</f>
        <v/>
      </c>
      <c r="L4000" s="16">
        <f>IF(AND(G4000&gt;0,H4000&gt;0),G4000/H4000,"")</f>
        <v/>
      </c>
    </row>
    <row r="4001">
      <c r="A4001" s="4" t="inlineStr">
        <is>
          <t>447</t>
        </is>
      </c>
      <c r="B4001" s="4" t="n">
        <v>4</v>
      </c>
      <c r="C4001" s="4" t="inlineStr">
        <is>
          <t>elk</t>
        </is>
      </c>
      <c r="D4001" s="4" t="n">
        <v>2020</v>
      </c>
      <c r="E4001" s="15" t="inlineStr">
        <is>
          <t>Draw</t>
        </is>
      </c>
      <c r="F4001" s="5" t="n">
        <v>928</v>
      </c>
      <c r="G4001" s="5" t="n">
        <v>6104</v>
      </c>
      <c r="H4001" s="5" t="n">
        <v>224</v>
      </c>
      <c r="I4001" s="5" t="n">
        <v>88</v>
      </c>
      <c r="J4001" s="5" t="n">
        <v>136</v>
      </c>
      <c r="K4001" s="10">
        <f>IF(F4001&gt;0,H4001/F4001,"")</f>
        <v/>
      </c>
      <c r="L4001" s="16">
        <f>IF(AND(G4001&gt;0,H4001&gt;0),G4001/H4001,"")</f>
        <v/>
      </c>
    </row>
    <row r="4002">
      <c r="A4002" s="4" t="inlineStr">
        <is>
          <t>447</t>
        </is>
      </c>
      <c r="B4002" s="4" t="n">
        <v>4</v>
      </c>
      <c r="C4002" s="4" t="inlineStr">
        <is>
          <t>elk</t>
        </is>
      </c>
      <c r="D4002" s="4" t="n">
        <v>2021</v>
      </c>
      <c r="E4002" s="15" t="inlineStr">
        <is>
          <t>Draw</t>
        </is>
      </c>
      <c r="F4002" s="5" t="n"/>
      <c r="G4002" s="5" t="n"/>
      <c r="H4002" s="5" t="n">
        <v>246</v>
      </c>
      <c r="I4002" s="5" t="n">
        <v>99</v>
      </c>
      <c r="J4002" s="5" t="n">
        <v>143</v>
      </c>
      <c r="K4002" s="10">
        <f>IF(F4002&gt;0,H4002/F4002,"")</f>
        <v/>
      </c>
      <c r="L4002" s="16">
        <f>IF(AND(G4002&gt;0,H4002&gt;0),G4002/H4002,"")</f>
        <v/>
      </c>
    </row>
    <row r="4003">
      <c r="A4003" s="4" t="inlineStr">
        <is>
          <t>447</t>
        </is>
      </c>
      <c r="B4003" s="4" t="n">
        <v>4</v>
      </c>
      <c r="C4003" s="4" t="inlineStr">
        <is>
          <t>elk</t>
        </is>
      </c>
      <c r="D4003" s="4" t="n">
        <v>2022</v>
      </c>
      <c r="E4003" s="15" t="inlineStr">
        <is>
          <t>Draw</t>
        </is>
      </c>
      <c r="F4003" s="5" t="n">
        <v>978</v>
      </c>
      <c r="G4003" s="5" t="n">
        <v>6383</v>
      </c>
      <c r="H4003" s="5" t="n">
        <v>230</v>
      </c>
      <c r="I4003" s="5" t="n">
        <v>118</v>
      </c>
      <c r="J4003" s="5" t="n">
        <v>109</v>
      </c>
      <c r="K4003" s="10">
        <f>IF(F4003&gt;0,H4003/F4003,"")</f>
        <v/>
      </c>
      <c r="L4003" s="16">
        <f>IF(AND(G4003&gt;0,H4003&gt;0),G4003/H4003,"")</f>
        <v/>
      </c>
    </row>
    <row r="4004">
      <c r="A4004" s="4" t="inlineStr">
        <is>
          <t>447</t>
        </is>
      </c>
      <c r="B4004" s="4" t="n">
        <v>4</v>
      </c>
      <c r="C4004" s="4" t="inlineStr">
        <is>
          <t>elk</t>
        </is>
      </c>
      <c r="D4004" s="4" t="n">
        <v>2023</v>
      </c>
      <c r="E4004" s="15" t="inlineStr">
        <is>
          <t>Draw</t>
        </is>
      </c>
      <c r="F4004" s="5" t="n"/>
      <c r="G4004" s="5" t="n"/>
      <c r="H4004" s="5" t="n">
        <v>286</v>
      </c>
      <c r="I4004" s="5" t="n">
        <v>109</v>
      </c>
      <c r="J4004" s="5" t="n">
        <v>171</v>
      </c>
      <c r="K4004" s="10">
        <f>IF(F4004&gt;0,H4004/F4004,"")</f>
        <v/>
      </c>
      <c r="L4004" s="16">
        <f>IF(AND(G4004&gt;0,H4004&gt;0),G4004/H4004,"")</f>
        <v/>
      </c>
    </row>
    <row r="4005">
      <c r="A4005" s="4" t="inlineStr">
        <is>
          <t>447</t>
        </is>
      </c>
      <c r="B4005" s="4" t="n">
        <v>4</v>
      </c>
      <c r="C4005" s="4" t="inlineStr">
        <is>
          <t>elk</t>
        </is>
      </c>
      <c r="D4005" s="4" t="n">
        <v>2024</v>
      </c>
      <c r="E4005" s="15" t="inlineStr">
        <is>
          <t>Draw</t>
        </is>
      </c>
      <c r="F4005" s="5" t="n">
        <v>1063</v>
      </c>
      <c r="G4005" s="5" t="n">
        <v>7041</v>
      </c>
      <c r="H4005" s="5" t="n">
        <v>281</v>
      </c>
      <c r="I4005" s="5" t="n">
        <v>146</v>
      </c>
      <c r="J4005" s="5" t="n">
        <v>132</v>
      </c>
      <c r="K4005" s="10">
        <f>IF(F4005&gt;0,H4005/F4005,"")</f>
        <v/>
      </c>
      <c r="L4005" s="16">
        <f>IF(AND(G4005&gt;0,H4005&gt;0),G4005/H4005,"")</f>
        <v/>
      </c>
    </row>
    <row r="4006">
      <c r="A4006" s="4" t="inlineStr">
        <is>
          <t>447</t>
        </is>
      </c>
      <c r="B4006" s="4" t="n">
        <v>4</v>
      </c>
      <c r="C4006" s="4" t="inlineStr">
        <is>
          <t>elk</t>
        </is>
      </c>
      <c r="D4006" s="4" t="n">
        <v>2025</v>
      </c>
      <c r="E4006" s="15" t="inlineStr">
        <is>
          <t>Draw</t>
        </is>
      </c>
      <c r="F4006" s="5" t="n"/>
      <c r="G4006" s="5" t="n"/>
      <c r="H4006" s="5" t="n">
        <v>277</v>
      </c>
      <c r="I4006" s="5" t="n">
        <v>127</v>
      </c>
      <c r="J4006" s="5" t="n">
        <v>141</v>
      </c>
      <c r="K4006" s="10">
        <f>IF(F4006&gt;0,H4006/F4006,"")</f>
        <v/>
      </c>
      <c r="L4006" s="16">
        <f>IF(AND(G4006&gt;0,H4006&gt;0),G4006/H4006,"")</f>
        <v/>
      </c>
    </row>
    <row r="4007">
      <c r="A4007" s="4" t="inlineStr">
        <is>
          <t>448</t>
        </is>
      </c>
      <c r="B4007" s="4" t="n">
        <v>4</v>
      </c>
      <c r="C4007" s="4" t="inlineStr">
        <is>
          <t>elk</t>
        </is>
      </c>
      <c r="D4007" s="4" t="n">
        <v>2004</v>
      </c>
      <c r="E4007" s="13" t="inlineStr">
        <is>
          <t>General</t>
        </is>
      </c>
      <c r="F4007" s="5" t="n">
        <v>991</v>
      </c>
      <c r="G4007" s="5" t="n">
        <v>5303</v>
      </c>
      <c r="H4007" s="5" t="n">
        <v>120</v>
      </c>
      <c r="I4007" s="5" t="n">
        <v>72</v>
      </c>
      <c r="J4007" s="5" t="n">
        <v>45</v>
      </c>
      <c r="K4007" s="10">
        <f>IF(F4007&gt;0,H4007/F4007,"")</f>
        <v/>
      </c>
      <c r="L4007" s="16">
        <f>IF(AND(G4007&gt;0,H4007&gt;0),G4007/H4007,"")</f>
        <v/>
      </c>
    </row>
    <row r="4008">
      <c r="A4008" s="4" t="inlineStr">
        <is>
          <t>448</t>
        </is>
      </c>
      <c r="B4008" s="4" t="n">
        <v>4</v>
      </c>
      <c r="C4008" s="4" t="inlineStr">
        <is>
          <t>elk</t>
        </is>
      </c>
      <c r="D4008" s="4" t="n">
        <v>2005</v>
      </c>
      <c r="E4008" s="13" t="inlineStr">
        <is>
          <t>General</t>
        </is>
      </c>
      <c r="F4008" s="5" t="n">
        <v>776</v>
      </c>
      <c r="G4008" s="5" t="n">
        <v>4552</v>
      </c>
      <c r="H4008" s="5" t="n">
        <v>90</v>
      </c>
      <c r="I4008" s="5" t="n">
        <v>57</v>
      </c>
      <c r="J4008" s="5" t="n">
        <v>28</v>
      </c>
      <c r="K4008" s="10">
        <f>IF(F4008&gt;0,H4008/F4008,"")</f>
        <v/>
      </c>
      <c r="L4008" s="16">
        <f>IF(AND(G4008&gt;0,H4008&gt;0),G4008/H4008,"")</f>
        <v/>
      </c>
    </row>
    <row r="4009">
      <c r="A4009" s="4" t="inlineStr">
        <is>
          <t>448</t>
        </is>
      </c>
      <c r="B4009" s="4" t="n">
        <v>4</v>
      </c>
      <c r="C4009" s="4" t="inlineStr">
        <is>
          <t>elk</t>
        </is>
      </c>
      <c r="D4009" s="4" t="n">
        <v>2006</v>
      </c>
      <c r="E4009" s="13" t="inlineStr">
        <is>
          <t>General</t>
        </is>
      </c>
      <c r="F4009" s="5" t="n">
        <v>624</v>
      </c>
      <c r="G4009" s="5" t="n">
        <v>3800</v>
      </c>
      <c r="H4009" s="5" t="n">
        <v>70</v>
      </c>
      <c r="I4009" s="5" t="n">
        <v>35</v>
      </c>
      <c r="J4009" s="5" t="n">
        <v>34</v>
      </c>
      <c r="K4009" s="10">
        <f>IF(F4009&gt;0,H4009/F4009,"")</f>
        <v/>
      </c>
      <c r="L4009" s="16">
        <f>IF(AND(G4009&gt;0,H4009&gt;0),G4009/H4009,"")</f>
        <v/>
      </c>
    </row>
    <row r="4010">
      <c r="A4010" s="4" t="inlineStr">
        <is>
          <t>448</t>
        </is>
      </c>
      <c r="B4010" s="4" t="n">
        <v>4</v>
      </c>
      <c r="C4010" s="4" t="inlineStr">
        <is>
          <t>elk</t>
        </is>
      </c>
      <c r="D4010" s="4" t="n">
        <v>2007</v>
      </c>
      <c r="E4010" s="13" t="inlineStr">
        <is>
          <t>General</t>
        </is>
      </c>
      <c r="F4010" s="5" t="n">
        <v>837</v>
      </c>
      <c r="G4010" s="5" t="n">
        <v>5662</v>
      </c>
      <c r="H4010" s="5" t="n">
        <v>100</v>
      </c>
      <c r="I4010" s="5" t="n">
        <v>61</v>
      </c>
      <c r="J4010" s="5" t="n">
        <v>27</v>
      </c>
      <c r="K4010" s="10">
        <f>IF(F4010&gt;0,H4010/F4010,"")</f>
        <v/>
      </c>
      <c r="L4010" s="16">
        <f>IF(AND(G4010&gt;0,H4010&gt;0),G4010/H4010,"")</f>
        <v/>
      </c>
    </row>
    <row r="4011">
      <c r="A4011" s="4" t="inlineStr">
        <is>
          <t>448</t>
        </is>
      </c>
      <c r="B4011" s="4" t="n">
        <v>4</v>
      </c>
      <c r="C4011" s="4" t="inlineStr">
        <is>
          <t>elk</t>
        </is>
      </c>
      <c r="D4011" s="4" t="n">
        <v>2008</v>
      </c>
      <c r="E4011" s="13" t="inlineStr">
        <is>
          <t>General</t>
        </is>
      </c>
      <c r="F4011" s="5" t="n">
        <v>982</v>
      </c>
      <c r="G4011" s="5" t="n">
        <v>5847</v>
      </c>
      <c r="H4011" s="5" t="n">
        <v>67</v>
      </c>
      <c r="I4011" s="5" t="n">
        <v>37</v>
      </c>
      <c r="J4011" s="5" t="n">
        <v>28</v>
      </c>
      <c r="K4011" s="10">
        <f>IF(F4011&gt;0,H4011/F4011,"")</f>
        <v/>
      </c>
      <c r="L4011" s="16">
        <f>IF(AND(G4011&gt;0,H4011&gt;0),G4011/H4011,"")</f>
        <v/>
      </c>
    </row>
    <row r="4012">
      <c r="A4012" s="4" t="inlineStr">
        <is>
          <t>448</t>
        </is>
      </c>
      <c r="B4012" s="4" t="n">
        <v>4</v>
      </c>
      <c r="C4012" s="4" t="inlineStr">
        <is>
          <t>elk</t>
        </is>
      </c>
      <c r="D4012" s="4" t="n">
        <v>2009</v>
      </c>
      <c r="E4012" s="13" t="inlineStr">
        <is>
          <t>General</t>
        </is>
      </c>
      <c r="F4012" s="5" t="n">
        <v>899</v>
      </c>
      <c r="G4012" s="5" t="n">
        <v>4757</v>
      </c>
      <c r="H4012" s="5" t="n">
        <v>97</v>
      </c>
      <c r="I4012" s="5" t="n">
        <v>64</v>
      </c>
      <c r="J4012" s="5" t="n">
        <v>33</v>
      </c>
      <c r="K4012" s="10">
        <f>IF(F4012&gt;0,H4012/F4012,"")</f>
        <v/>
      </c>
      <c r="L4012" s="16">
        <f>IF(AND(G4012&gt;0,H4012&gt;0),G4012/H4012,"")</f>
        <v/>
      </c>
    </row>
    <row r="4013">
      <c r="A4013" s="4" t="inlineStr">
        <is>
          <t>448</t>
        </is>
      </c>
      <c r="B4013" s="4" t="n">
        <v>4</v>
      </c>
      <c r="C4013" s="4" t="inlineStr">
        <is>
          <t>elk</t>
        </is>
      </c>
      <c r="D4013" s="4" t="n">
        <v>2010</v>
      </c>
      <c r="E4013" s="13" t="inlineStr">
        <is>
          <t>General</t>
        </is>
      </c>
      <c r="F4013" s="5" t="n">
        <v>1072</v>
      </c>
      <c r="G4013" s="5" t="n">
        <v>6095</v>
      </c>
      <c r="H4013" s="5" t="n">
        <v>176</v>
      </c>
      <c r="I4013" s="5" t="n">
        <v>80</v>
      </c>
      <c r="J4013" s="5" t="n">
        <v>82</v>
      </c>
      <c r="K4013" s="10">
        <f>IF(F4013&gt;0,H4013/F4013,"")</f>
        <v/>
      </c>
      <c r="L4013" s="16">
        <f>IF(AND(G4013&gt;0,H4013&gt;0),G4013/H4013,"")</f>
        <v/>
      </c>
    </row>
    <row r="4014">
      <c r="A4014" s="4" t="inlineStr">
        <is>
          <t>448</t>
        </is>
      </c>
      <c r="B4014" s="4" t="n">
        <v>4</v>
      </c>
      <c r="C4014" s="4" t="inlineStr">
        <is>
          <t>elk</t>
        </is>
      </c>
      <c r="D4014" s="4" t="n">
        <v>2011</v>
      </c>
      <c r="E4014" s="13" t="inlineStr">
        <is>
          <t>General</t>
        </is>
      </c>
      <c r="F4014" s="5" t="n">
        <v>1102</v>
      </c>
      <c r="G4014" s="5" t="n">
        <v>6751</v>
      </c>
      <c r="H4014" s="5" t="n">
        <v>118</v>
      </c>
      <c r="I4014" s="5" t="n">
        <v>78</v>
      </c>
      <c r="J4014" s="5" t="n">
        <v>35</v>
      </c>
      <c r="K4014" s="10">
        <f>IF(F4014&gt;0,H4014/F4014,"")</f>
        <v/>
      </c>
      <c r="L4014" s="16">
        <f>IF(AND(G4014&gt;0,H4014&gt;0),G4014/H4014,"")</f>
        <v/>
      </c>
    </row>
    <row r="4015">
      <c r="A4015" s="4" t="inlineStr">
        <is>
          <t>448</t>
        </is>
      </c>
      <c r="B4015" s="4" t="n">
        <v>4</v>
      </c>
      <c r="C4015" s="4" t="inlineStr">
        <is>
          <t>elk</t>
        </is>
      </c>
      <c r="D4015" s="4" t="n">
        <v>2012</v>
      </c>
      <c r="E4015" s="13" t="inlineStr">
        <is>
          <t>General</t>
        </is>
      </c>
      <c r="F4015" s="5" t="n">
        <v>1260</v>
      </c>
      <c r="G4015" s="5" t="n">
        <v>8107</v>
      </c>
      <c r="H4015" s="5" t="n">
        <v>214</v>
      </c>
      <c r="I4015" s="5" t="n">
        <v>140</v>
      </c>
      <c r="J4015" s="5" t="n">
        <v>67</v>
      </c>
      <c r="K4015" s="10">
        <f>IF(F4015&gt;0,H4015/F4015,"")</f>
        <v/>
      </c>
      <c r="L4015" s="16">
        <f>IF(AND(G4015&gt;0,H4015&gt;0),G4015/H4015,"")</f>
        <v/>
      </c>
    </row>
    <row r="4016">
      <c r="A4016" s="4" t="inlineStr">
        <is>
          <t>448</t>
        </is>
      </c>
      <c r="B4016" s="4" t="n">
        <v>4</v>
      </c>
      <c r="C4016" s="4" t="inlineStr">
        <is>
          <t>elk</t>
        </is>
      </c>
      <c r="D4016" s="4" t="n">
        <v>2013</v>
      </c>
      <c r="E4016" s="13" t="inlineStr">
        <is>
          <t>General</t>
        </is>
      </c>
      <c r="F4016" s="5" t="n"/>
      <c r="G4016" s="5" t="n"/>
      <c r="H4016" s="5" t="n">
        <v>110</v>
      </c>
      <c r="I4016" s="5" t="n">
        <v>55</v>
      </c>
      <c r="J4016" s="5" t="n">
        <v>50</v>
      </c>
      <c r="K4016" s="10">
        <f>IF(F4016&gt;0,H4016/F4016,"")</f>
        <v/>
      </c>
      <c r="L4016" s="16">
        <f>IF(AND(G4016&gt;0,H4016&gt;0),G4016/H4016,"")</f>
        <v/>
      </c>
    </row>
    <row r="4017">
      <c r="A4017" s="4" t="inlineStr">
        <is>
          <t>448</t>
        </is>
      </c>
      <c r="B4017" s="4" t="n">
        <v>4</v>
      </c>
      <c r="C4017" s="4" t="inlineStr">
        <is>
          <t>elk</t>
        </is>
      </c>
      <c r="D4017" s="4" t="n">
        <v>2014</v>
      </c>
      <c r="E4017" s="13" t="inlineStr">
        <is>
          <t>General</t>
        </is>
      </c>
      <c r="F4017" s="5" t="n">
        <v>1238</v>
      </c>
      <c r="G4017" s="5" t="n">
        <v>7817</v>
      </c>
      <c r="H4017" s="5" t="n">
        <v>148</v>
      </c>
      <c r="I4017" s="5" t="n">
        <v>93</v>
      </c>
      <c r="J4017" s="5" t="n">
        <v>47</v>
      </c>
      <c r="K4017" s="10">
        <f>IF(F4017&gt;0,H4017/F4017,"")</f>
        <v/>
      </c>
      <c r="L4017" s="16">
        <f>IF(AND(G4017&gt;0,H4017&gt;0),G4017/H4017,"")</f>
        <v/>
      </c>
    </row>
    <row r="4018">
      <c r="A4018" s="4" t="inlineStr">
        <is>
          <t>448</t>
        </is>
      </c>
      <c r="B4018" s="4" t="n">
        <v>4</v>
      </c>
      <c r="C4018" s="4" t="inlineStr">
        <is>
          <t>elk</t>
        </is>
      </c>
      <c r="D4018" s="4" t="n">
        <v>2015</v>
      </c>
      <c r="E4018" s="13" t="inlineStr">
        <is>
          <t>General</t>
        </is>
      </c>
      <c r="F4018" s="5" t="n">
        <v>1065</v>
      </c>
      <c r="G4018" s="5" t="n">
        <v>6962</v>
      </c>
      <c r="H4018" s="5" t="n">
        <v>176</v>
      </c>
      <c r="I4018" s="5" t="n">
        <v>75</v>
      </c>
      <c r="J4018" s="5" t="n">
        <v>90</v>
      </c>
      <c r="K4018" s="10">
        <f>IF(F4018&gt;0,H4018/F4018,"")</f>
        <v/>
      </c>
      <c r="L4018" s="16">
        <f>IF(AND(G4018&gt;0,H4018&gt;0),G4018/H4018,"")</f>
        <v/>
      </c>
    </row>
    <row r="4019">
      <c r="A4019" s="4" t="inlineStr">
        <is>
          <t>448</t>
        </is>
      </c>
      <c r="B4019" s="4" t="n">
        <v>4</v>
      </c>
      <c r="C4019" s="4" t="inlineStr">
        <is>
          <t>elk</t>
        </is>
      </c>
      <c r="D4019" s="4" t="n">
        <v>2016</v>
      </c>
      <c r="E4019" s="13" t="inlineStr">
        <is>
          <t>General</t>
        </is>
      </c>
      <c r="F4019" s="5" t="n">
        <v>1074</v>
      </c>
      <c r="G4019" s="5" t="n">
        <v>6985</v>
      </c>
      <c r="H4019" s="5" t="n">
        <v>118</v>
      </c>
      <c r="I4019" s="5" t="n">
        <v>61</v>
      </c>
      <c r="J4019" s="5" t="n">
        <v>55</v>
      </c>
      <c r="K4019" s="10">
        <f>IF(F4019&gt;0,H4019/F4019,"")</f>
        <v/>
      </c>
      <c r="L4019" s="16">
        <f>IF(AND(G4019&gt;0,H4019&gt;0),G4019/H4019,"")</f>
        <v/>
      </c>
    </row>
    <row r="4020">
      <c r="A4020" s="4" t="inlineStr">
        <is>
          <t>448</t>
        </is>
      </c>
      <c r="B4020" s="4" t="n">
        <v>4</v>
      </c>
      <c r="C4020" s="4" t="inlineStr">
        <is>
          <t>elk</t>
        </is>
      </c>
      <c r="D4020" s="4" t="n">
        <v>2017</v>
      </c>
      <c r="E4020" s="13" t="inlineStr">
        <is>
          <t>General</t>
        </is>
      </c>
      <c r="F4020" s="5" t="n"/>
      <c r="G4020" s="5" t="n"/>
      <c r="H4020" s="5" t="n">
        <v>158</v>
      </c>
      <c r="I4020" s="5" t="n">
        <v>84</v>
      </c>
      <c r="J4020" s="5" t="n">
        <v>67</v>
      </c>
      <c r="K4020" s="10">
        <f>IF(F4020&gt;0,H4020/F4020,"")</f>
        <v/>
      </c>
      <c r="L4020" s="16">
        <f>IF(AND(G4020&gt;0,H4020&gt;0),G4020/H4020,"")</f>
        <v/>
      </c>
    </row>
    <row r="4021">
      <c r="A4021" s="4" t="inlineStr">
        <is>
          <t>448</t>
        </is>
      </c>
      <c r="B4021" s="4" t="n">
        <v>4</v>
      </c>
      <c r="C4021" s="4" t="inlineStr">
        <is>
          <t>elk</t>
        </is>
      </c>
      <c r="D4021" s="4" t="n">
        <v>2018</v>
      </c>
      <c r="E4021" s="13" t="inlineStr">
        <is>
          <t>General</t>
        </is>
      </c>
      <c r="F4021" s="5" t="n">
        <v>936</v>
      </c>
      <c r="G4021" s="5" t="n">
        <v>6123</v>
      </c>
      <c r="H4021" s="5" t="n">
        <v>134</v>
      </c>
      <c r="I4021" s="5" t="n">
        <v>81</v>
      </c>
      <c r="J4021" s="5" t="n">
        <v>44</v>
      </c>
      <c r="K4021" s="10">
        <f>IF(F4021&gt;0,H4021/F4021,"")</f>
        <v/>
      </c>
      <c r="L4021" s="16">
        <f>IF(AND(G4021&gt;0,H4021&gt;0),G4021/H4021,"")</f>
        <v/>
      </c>
    </row>
    <row r="4022">
      <c r="A4022" s="4" t="inlineStr">
        <is>
          <t>448</t>
        </is>
      </c>
      <c r="B4022" s="4" t="n">
        <v>4</v>
      </c>
      <c r="C4022" s="4" t="inlineStr">
        <is>
          <t>elk</t>
        </is>
      </c>
      <c r="D4022" s="4" t="n">
        <v>2019</v>
      </c>
      <c r="E4022" s="13" t="inlineStr">
        <is>
          <t>General</t>
        </is>
      </c>
      <c r="F4022" s="5" t="n"/>
      <c r="G4022" s="5" t="n"/>
      <c r="H4022" s="5" t="n">
        <v>124</v>
      </c>
      <c r="I4022" s="5" t="n">
        <v>39</v>
      </c>
      <c r="J4022" s="5" t="n">
        <v>74</v>
      </c>
      <c r="K4022" s="10">
        <f>IF(F4022&gt;0,H4022/F4022,"")</f>
        <v/>
      </c>
      <c r="L4022" s="16">
        <f>IF(AND(G4022&gt;0,H4022&gt;0),G4022/H4022,"")</f>
        <v/>
      </c>
    </row>
    <row r="4023">
      <c r="A4023" s="4" t="inlineStr">
        <is>
          <t>448</t>
        </is>
      </c>
      <c r="B4023" s="4" t="n">
        <v>4</v>
      </c>
      <c r="C4023" s="4" t="inlineStr">
        <is>
          <t>elk</t>
        </is>
      </c>
      <c r="D4023" s="4" t="n">
        <v>2020</v>
      </c>
      <c r="E4023" s="13" t="inlineStr">
        <is>
          <t>General</t>
        </is>
      </c>
      <c r="F4023" s="5" t="n">
        <v>794</v>
      </c>
      <c r="G4023" s="5" t="n">
        <v>4998</v>
      </c>
      <c r="H4023" s="5" t="n">
        <v>142</v>
      </c>
      <c r="I4023" s="5" t="n">
        <v>83</v>
      </c>
      <c r="J4023" s="5" t="n">
        <v>57</v>
      </c>
      <c r="K4023" s="10">
        <f>IF(F4023&gt;0,H4023/F4023,"")</f>
        <v/>
      </c>
      <c r="L4023" s="16">
        <f>IF(AND(G4023&gt;0,H4023&gt;0),G4023/H4023,"")</f>
        <v/>
      </c>
    </row>
    <row r="4024">
      <c r="A4024" s="4" t="inlineStr">
        <is>
          <t>448</t>
        </is>
      </c>
      <c r="B4024" s="4" t="n">
        <v>4</v>
      </c>
      <c r="C4024" s="4" t="inlineStr">
        <is>
          <t>elk</t>
        </is>
      </c>
      <c r="D4024" s="4" t="n">
        <v>2021</v>
      </c>
      <c r="E4024" s="13" t="inlineStr">
        <is>
          <t>General</t>
        </is>
      </c>
      <c r="F4024" s="5" t="n"/>
      <c r="G4024" s="5" t="n"/>
      <c r="H4024" s="5" t="n">
        <v>116</v>
      </c>
      <c r="I4024" s="5" t="n">
        <v>78</v>
      </c>
      <c r="J4024" s="5" t="n">
        <v>38</v>
      </c>
      <c r="K4024" s="10">
        <f>IF(F4024&gt;0,H4024/F4024,"")</f>
        <v/>
      </c>
      <c r="L4024" s="16">
        <f>IF(AND(G4024&gt;0,H4024&gt;0),G4024/H4024,"")</f>
        <v/>
      </c>
    </row>
    <row r="4025">
      <c r="A4025" s="4" t="inlineStr">
        <is>
          <t>448</t>
        </is>
      </c>
      <c r="B4025" s="4" t="n">
        <v>4</v>
      </c>
      <c r="C4025" s="4" t="inlineStr">
        <is>
          <t>elk</t>
        </is>
      </c>
      <c r="D4025" s="4" t="n">
        <v>2022</v>
      </c>
      <c r="E4025" s="13" t="inlineStr">
        <is>
          <t>General</t>
        </is>
      </c>
      <c r="F4025" s="5" t="n">
        <v>941</v>
      </c>
      <c r="G4025" s="5" t="n">
        <v>6637</v>
      </c>
      <c r="H4025" s="5" t="n">
        <v>191</v>
      </c>
      <c r="I4025" s="5" t="n">
        <v>88</v>
      </c>
      <c r="J4025" s="5" t="n">
        <v>95</v>
      </c>
      <c r="K4025" s="10">
        <f>IF(F4025&gt;0,H4025/F4025,"")</f>
        <v/>
      </c>
      <c r="L4025" s="16">
        <f>IF(AND(G4025&gt;0,H4025&gt;0),G4025/H4025,"")</f>
        <v/>
      </c>
    </row>
    <row r="4026">
      <c r="A4026" s="4" t="inlineStr">
        <is>
          <t>448</t>
        </is>
      </c>
      <c r="B4026" s="4" t="n">
        <v>4</v>
      </c>
      <c r="C4026" s="4" t="inlineStr">
        <is>
          <t>elk</t>
        </is>
      </c>
      <c r="D4026" s="4" t="n">
        <v>2023</v>
      </c>
      <c r="E4026" s="13" t="inlineStr">
        <is>
          <t>General</t>
        </is>
      </c>
      <c r="F4026" s="5" t="n"/>
      <c r="G4026" s="5" t="n"/>
      <c r="H4026" s="5" t="n">
        <v>143</v>
      </c>
      <c r="I4026" s="5" t="n">
        <v>79</v>
      </c>
      <c r="J4026" s="5" t="n">
        <v>59</v>
      </c>
      <c r="K4026" s="10">
        <f>IF(F4026&gt;0,H4026/F4026,"")</f>
        <v/>
      </c>
      <c r="L4026" s="16">
        <f>IF(AND(G4026&gt;0,H4026&gt;0),G4026/H4026,"")</f>
        <v/>
      </c>
    </row>
    <row r="4027">
      <c r="A4027" s="4" t="inlineStr">
        <is>
          <t>448</t>
        </is>
      </c>
      <c r="B4027" s="4" t="n">
        <v>4</v>
      </c>
      <c r="C4027" s="4" t="inlineStr">
        <is>
          <t>elk</t>
        </is>
      </c>
      <c r="D4027" s="4" t="n">
        <v>2024</v>
      </c>
      <c r="E4027" s="13" t="inlineStr">
        <is>
          <t>General</t>
        </is>
      </c>
      <c r="F4027" s="5" t="n">
        <v>1072</v>
      </c>
      <c r="G4027" s="5" t="n">
        <v>7397</v>
      </c>
      <c r="H4027" s="5" t="n">
        <v>122</v>
      </c>
      <c r="I4027" s="5" t="n">
        <v>73</v>
      </c>
      <c r="J4027" s="5" t="n">
        <v>40</v>
      </c>
      <c r="K4027" s="10">
        <f>IF(F4027&gt;0,H4027/F4027,"")</f>
        <v/>
      </c>
      <c r="L4027" s="16">
        <f>IF(AND(G4027&gt;0,H4027&gt;0),G4027/H4027,"")</f>
        <v/>
      </c>
    </row>
    <row r="4028">
      <c r="A4028" s="4" t="inlineStr">
        <is>
          <t>448</t>
        </is>
      </c>
      <c r="B4028" s="4" t="n">
        <v>4</v>
      </c>
      <c r="C4028" s="4" t="inlineStr">
        <is>
          <t>elk</t>
        </is>
      </c>
      <c r="D4028" s="4" t="n">
        <v>2025</v>
      </c>
      <c r="E4028" s="13" t="inlineStr">
        <is>
          <t>General</t>
        </is>
      </c>
      <c r="F4028" s="5" t="n"/>
      <c r="G4028" s="5" t="n"/>
      <c r="H4028" s="5" t="n">
        <v>124</v>
      </c>
      <c r="I4028" s="5" t="n">
        <v>75</v>
      </c>
      <c r="J4028" s="5" t="n">
        <v>49</v>
      </c>
      <c r="K4028" s="10">
        <f>IF(F4028&gt;0,H4028/F4028,"")</f>
        <v/>
      </c>
      <c r="L4028" s="16">
        <f>IF(AND(G4028&gt;0,H4028&gt;0),G4028/H4028,"")</f>
        <v/>
      </c>
    </row>
    <row r="4029">
      <c r="A4029" s="4" t="inlineStr">
        <is>
          <t>449</t>
        </is>
      </c>
      <c r="B4029" s="4" t="n">
        <v>4</v>
      </c>
      <c r="C4029" s="4" t="inlineStr">
        <is>
          <t>elk</t>
        </is>
      </c>
      <c r="D4029" s="4" t="n">
        <v>2004</v>
      </c>
      <c r="E4029" s="4" t="inlineStr"/>
      <c r="F4029" s="5" t="n">
        <v>617</v>
      </c>
      <c r="G4029" s="5" t="n">
        <v>2998</v>
      </c>
      <c r="H4029" s="5" t="n">
        <v>137</v>
      </c>
      <c r="I4029" s="5" t="n">
        <v>65</v>
      </c>
      <c r="J4029" s="5" t="n">
        <v>62</v>
      </c>
      <c r="K4029" s="10">
        <f>IF(F4029&gt;0,H4029/F4029,"")</f>
        <v/>
      </c>
      <c r="L4029" s="16">
        <f>IF(AND(G4029&gt;0,H4029&gt;0),G4029/H4029,"")</f>
        <v/>
      </c>
    </row>
    <row r="4030">
      <c r="A4030" s="4" t="inlineStr">
        <is>
          <t>449</t>
        </is>
      </c>
      <c r="B4030" s="4" t="n">
        <v>4</v>
      </c>
      <c r="C4030" s="4" t="inlineStr">
        <is>
          <t>elk</t>
        </is>
      </c>
      <c r="D4030" s="4" t="n">
        <v>2005</v>
      </c>
      <c r="E4030" s="4" t="inlineStr"/>
      <c r="F4030" s="5" t="n">
        <v>573</v>
      </c>
      <c r="G4030" s="5" t="n">
        <v>3106</v>
      </c>
      <c r="H4030" s="5" t="n">
        <v>105</v>
      </c>
      <c r="I4030" s="5" t="n">
        <v>51</v>
      </c>
      <c r="J4030" s="5" t="n">
        <v>49</v>
      </c>
      <c r="K4030" s="10">
        <f>IF(F4030&gt;0,H4030/F4030,"")</f>
        <v/>
      </c>
      <c r="L4030" s="16">
        <f>IF(AND(G4030&gt;0,H4030&gt;0),G4030/H4030,"")</f>
        <v/>
      </c>
    </row>
    <row r="4031">
      <c r="A4031" s="4" t="inlineStr">
        <is>
          <t>449</t>
        </is>
      </c>
      <c r="B4031" s="4" t="n">
        <v>4</v>
      </c>
      <c r="C4031" s="4" t="inlineStr">
        <is>
          <t>elk</t>
        </is>
      </c>
      <c r="D4031" s="4" t="n">
        <v>2006</v>
      </c>
      <c r="E4031" s="4" t="inlineStr"/>
      <c r="F4031" s="5" t="n">
        <v>494</v>
      </c>
      <c r="G4031" s="5" t="n">
        <v>2151</v>
      </c>
      <c r="H4031" s="5" t="n">
        <v>111</v>
      </c>
      <c r="I4031" s="5" t="n">
        <v>50</v>
      </c>
      <c r="J4031" s="5" t="n">
        <v>55</v>
      </c>
      <c r="K4031" s="10">
        <f>IF(F4031&gt;0,H4031/F4031,"")</f>
        <v/>
      </c>
      <c r="L4031" s="16">
        <f>IF(AND(G4031&gt;0,H4031&gt;0),G4031/H4031,"")</f>
        <v/>
      </c>
    </row>
    <row r="4032">
      <c r="A4032" s="4" t="inlineStr">
        <is>
          <t>449</t>
        </is>
      </c>
      <c r="B4032" s="4" t="n">
        <v>4</v>
      </c>
      <c r="C4032" s="4" t="inlineStr">
        <is>
          <t>elk</t>
        </is>
      </c>
      <c r="D4032" s="4" t="n">
        <v>2007</v>
      </c>
      <c r="E4032" s="4" t="inlineStr"/>
      <c r="F4032" s="5" t="n">
        <v>584</v>
      </c>
      <c r="G4032" s="5" t="n">
        <v>3540</v>
      </c>
      <c r="H4032" s="5" t="n">
        <v>118</v>
      </c>
      <c r="I4032" s="5" t="n">
        <v>54</v>
      </c>
      <c r="J4032" s="5" t="n">
        <v>59</v>
      </c>
      <c r="K4032" s="10">
        <f>IF(F4032&gt;0,H4032/F4032,"")</f>
        <v/>
      </c>
      <c r="L4032" s="16">
        <f>IF(AND(G4032&gt;0,H4032&gt;0),G4032/H4032,"")</f>
        <v/>
      </c>
    </row>
    <row r="4033">
      <c r="A4033" s="4" t="inlineStr">
        <is>
          <t>449</t>
        </is>
      </c>
      <c r="B4033" s="4" t="n">
        <v>4</v>
      </c>
      <c r="C4033" s="4" t="inlineStr">
        <is>
          <t>elk</t>
        </is>
      </c>
      <c r="D4033" s="4" t="n">
        <v>2008</v>
      </c>
      <c r="E4033" s="4" t="inlineStr"/>
      <c r="F4033" s="5" t="n">
        <v>614</v>
      </c>
      <c r="G4033" s="5" t="n">
        <v>3099</v>
      </c>
      <c r="H4033" s="5" t="n">
        <v>97</v>
      </c>
      <c r="I4033" s="5" t="n">
        <v>49</v>
      </c>
      <c r="J4033" s="5" t="n">
        <v>39</v>
      </c>
      <c r="K4033" s="10">
        <f>IF(F4033&gt;0,H4033/F4033,"")</f>
        <v/>
      </c>
      <c r="L4033" s="16">
        <f>IF(AND(G4033&gt;0,H4033&gt;0),G4033/H4033,"")</f>
        <v/>
      </c>
    </row>
    <row r="4034">
      <c r="A4034" s="4" t="inlineStr">
        <is>
          <t>449</t>
        </is>
      </c>
      <c r="B4034" s="4" t="n">
        <v>4</v>
      </c>
      <c r="C4034" s="4" t="inlineStr">
        <is>
          <t>elk</t>
        </is>
      </c>
      <c r="D4034" s="4" t="n">
        <v>2009</v>
      </c>
      <c r="E4034" s="4" t="inlineStr"/>
      <c r="F4034" s="5" t="n">
        <v>517</v>
      </c>
      <c r="G4034" s="5" t="n">
        <v>2398</v>
      </c>
      <c r="H4034" s="5" t="n">
        <v>118</v>
      </c>
      <c r="I4034" s="5" t="n">
        <v>51</v>
      </c>
      <c r="J4034" s="5" t="n">
        <v>68</v>
      </c>
      <c r="K4034" s="10">
        <f>IF(F4034&gt;0,H4034/F4034,"")</f>
        <v/>
      </c>
      <c r="L4034" s="16">
        <f>IF(AND(G4034&gt;0,H4034&gt;0),G4034/H4034,"")</f>
        <v/>
      </c>
    </row>
    <row r="4035">
      <c r="A4035" s="4" t="inlineStr">
        <is>
          <t>449</t>
        </is>
      </c>
      <c r="B4035" s="4" t="n">
        <v>4</v>
      </c>
      <c r="C4035" s="4" t="inlineStr">
        <is>
          <t>elk</t>
        </is>
      </c>
      <c r="D4035" s="4" t="n">
        <v>2010</v>
      </c>
      <c r="E4035" s="4" t="inlineStr"/>
      <c r="F4035" s="5" t="n">
        <v>582</v>
      </c>
      <c r="G4035" s="5" t="n">
        <v>3231</v>
      </c>
      <c r="H4035" s="5" t="n">
        <v>131</v>
      </c>
      <c r="I4035" s="5" t="n">
        <v>67</v>
      </c>
      <c r="J4035" s="5" t="n">
        <v>45</v>
      </c>
      <c r="K4035" s="10">
        <f>IF(F4035&gt;0,H4035/F4035,"")</f>
        <v/>
      </c>
      <c r="L4035" s="16">
        <f>IF(AND(G4035&gt;0,H4035&gt;0),G4035/H4035,"")</f>
        <v/>
      </c>
    </row>
    <row r="4036">
      <c r="A4036" s="4" t="inlineStr">
        <is>
          <t>449</t>
        </is>
      </c>
      <c r="B4036" s="4" t="n">
        <v>4</v>
      </c>
      <c r="C4036" s="4" t="inlineStr">
        <is>
          <t>elk</t>
        </is>
      </c>
      <c r="D4036" s="4" t="n">
        <v>2011</v>
      </c>
      <c r="E4036" s="4" t="inlineStr"/>
      <c r="F4036" s="5" t="n">
        <v>747</v>
      </c>
      <c r="G4036" s="5" t="n">
        <v>3855</v>
      </c>
      <c r="H4036" s="5" t="n">
        <v>138</v>
      </c>
      <c r="I4036" s="5" t="n">
        <v>86</v>
      </c>
      <c r="J4036" s="5" t="n">
        <v>41</v>
      </c>
      <c r="K4036" s="10">
        <f>IF(F4036&gt;0,H4036/F4036,"")</f>
        <v/>
      </c>
      <c r="L4036" s="16">
        <f>IF(AND(G4036&gt;0,H4036&gt;0),G4036/H4036,"")</f>
        <v/>
      </c>
    </row>
    <row r="4037">
      <c r="A4037" s="4" t="inlineStr">
        <is>
          <t>449</t>
        </is>
      </c>
      <c r="B4037" s="4" t="n">
        <v>4</v>
      </c>
      <c r="C4037" s="4" t="inlineStr">
        <is>
          <t>elk</t>
        </is>
      </c>
      <c r="D4037" s="4" t="n">
        <v>2012</v>
      </c>
      <c r="E4037" s="4" t="inlineStr"/>
      <c r="F4037" s="5" t="n">
        <v>842</v>
      </c>
      <c r="G4037" s="5" t="n">
        <v>4495</v>
      </c>
      <c r="H4037" s="5" t="n">
        <v>144</v>
      </c>
      <c r="I4037" s="5" t="n">
        <v>78</v>
      </c>
      <c r="J4037" s="5" t="n">
        <v>49</v>
      </c>
      <c r="K4037" s="10">
        <f>IF(F4037&gt;0,H4037/F4037,"")</f>
        <v/>
      </c>
      <c r="L4037" s="16">
        <f>IF(AND(G4037&gt;0,H4037&gt;0),G4037/H4037,"")</f>
        <v/>
      </c>
    </row>
    <row r="4038">
      <c r="A4038" s="4" t="inlineStr">
        <is>
          <t>449</t>
        </is>
      </c>
      <c r="B4038" s="4" t="n">
        <v>4</v>
      </c>
      <c r="C4038" s="4" t="inlineStr">
        <is>
          <t>elk</t>
        </is>
      </c>
      <c r="D4038" s="4" t="n">
        <v>2013</v>
      </c>
      <c r="E4038" s="4" t="inlineStr"/>
      <c r="F4038" s="5" t="n"/>
      <c r="G4038" s="5" t="n"/>
      <c r="H4038" s="5" t="n">
        <v>156</v>
      </c>
      <c r="I4038" s="5" t="n">
        <v>73</v>
      </c>
      <c r="J4038" s="5" t="n">
        <v>75</v>
      </c>
      <c r="K4038" s="10">
        <f>IF(F4038&gt;0,H4038/F4038,"")</f>
        <v/>
      </c>
      <c r="L4038" s="16">
        <f>IF(AND(G4038&gt;0,H4038&gt;0),G4038/H4038,"")</f>
        <v/>
      </c>
    </row>
    <row r="4039">
      <c r="A4039" s="4" t="inlineStr">
        <is>
          <t>449</t>
        </is>
      </c>
      <c r="B4039" s="4" t="n">
        <v>4</v>
      </c>
      <c r="C4039" s="4" t="inlineStr">
        <is>
          <t>elk</t>
        </is>
      </c>
      <c r="D4039" s="4" t="n">
        <v>2014</v>
      </c>
      <c r="E4039" s="4" t="inlineStr"/>
      <c r="F4039" s="5" t="n">
        <v>759</v>
      </c>
      <c r="G4039" s="5" t="n">
        <v>4288</v>
      </c>
      <c r="H4039" s="5" t="n">
        <v>152</v>
      </c>
      <c r="I4039" s="5" t="n">
        <v>71</v>
      </c>
      <c r="J4039" s="5" t="n">
        <v>73</v>
      </c>
      <c r="K4039" s="10">
        <f>IF(F4039&gt;0,H4039/F4039,"")</f>
        <v/>
      </c>
      <c r="L4039" s="16">
        <f>IF(AND(G4039&gt;0,H4039&gt;0),G4039/H4039,"")</f>
        <v/>
      </c>
    </row>
    <row r="4040">
      <c r="A4040" s="4" t="inlineStr">
        <is>
          <t>449</t>
        </is>
      </c>
      <c r="B4040" s="4" t="n">
        <v>4</v>
      </c>
      <c r="C4040" s="4" t="inlineStr">
        <is>
          <t>elk</t>
        </is>
      </c>
      <c r="D4040" s="4" t="n">
        <v>2015</v>
      </c>
      <c r="E4040" s="4" t="inlineStr"/>
      <c r="F4040" s="5" t="n">
        <v>920</v>
      </c>
      <c r="G4040" s="5" t="n">
        <v>4889</v>
      </c>
      <c r="H4040" s="5" t="n">
        <v>192</v>
      </c>
      <c r="I4040" s="5" t="n">
        <v>70</v>
      </c>
      <c r="J4040" s="5" t="n">
        <v>122</v>
      </c>
      <c r="K4040" s="10">
        <f>IF(F4040&gt;0,H4040/F4040,"")</f>
        <v/>
      </c>
      <c r="L4040" s="16">
        <f>IF(AND(G4040&gt;0,H4040&gt;0),G4040/H4040,"")</f>
        <v/>
      </c>
    </row>
    <row r="4041">
      <c r="A4041" s="4" t="inlineStr">
        <is>
          <t>449</t>
        </is>
      </c>
      <c r="B4041" s="4" t="n">
        <v>4</v>
      </c>
      <c r="C4041" s="4" t="inlineStr">
        <is>
          <t>elk</t>
        </is>
      </c>
      <c r="D4041" s="4" t="n">
        <v>2016</v>
      </c>
      <c r="E4041" s="4" t="inlineStr"/>
      <c r="F4041" s="5" t="n">
        <v>749</v>
      </c>
      <c r="G4041" s="5" t="n">
        <v>4410</v>
      </c>
      <c r="H4041" s="5" t="n">
        <v>105</v>
      </c>
      <c r="I4041" s="5" t="n">
        <v>44</v>
      </c>
      <c r="J4041" s="5" t="n">
        <v>54</v>
      </c>
      <c r="K4041" s="10">
        <f>IF(F4041&gt;0,H4041/F4041,"")</f>
        <v/>
      </c>
      <c r="L4041" s="16">
        <f>IF(AND(G4041&gt;0,H4041&gt;0),G4041/H4041,"")</f>
        <v/>
      </c>
    </row>
    <row r="4042">
      <c r="A4042" s="4" t="inlineStr">
        <is>
          <t>449</t>
        </is>
      </c>
      <c r="B4042" s="4" t="n">
        <v>4</v>
      </c>
      <c r="C4042" s="4" t="inlineStr">
        <is>
          <t>elk</t>
        </is>
      </c>
      <c r="D4042" s="4" t="n">
        <v>2017</v>
      </c>
      <c r="E4042" s="4" t="inlineStr"/>
      <c r="F4042" s="5" t="n"/>
      <c r="G4042" s="5" t="n"/>
      <c r="H4042" s="5" t="n">
        <v>149</v>
      </c>
      <c r="I4042" s="5" t="n">
        <v>51</v>
      </c>
      <c r="J4042" s="5" t="n">
        <v>83</v>
      </c>
      <c r="K4042" s="10">
        <f>IF(F4042&gt;0,H4042/F4042,"")</f>
        <v/>
      </c>
      <c r="L4042" s="16">
        <f>IF(AND(G4042&gt;0,H4042&gt;0),G4042/H4042,"")</f>
        <v/>
      </c>
    </row>
    <row r="4043">
      <c r="A4043" s="4" t="inlineStr">
        <is>
          <t>449</t>
        </is>
      </c>
      <c r="B4043" s="4" t="n">
        <v>4</v>
      </c>
      <c r="C4043" s="4" t="inlineStr">
        <is>
          <t>elk</t>
        </is>
      </c>
      <c r="D4043" s="4" t="n">
        <v>2018</v>
      </c>
      <c r="E4043" s="4" t="inlineStr"/>
      <c r="F4043" s="5" t="n">
        <v>739</v>
      </c>
      <c r="G4043" s="5" t="n">
        <v>3749</v>
      </c>
      <c r="H4043" s="5" t="n">
        <v>188</v>
      </c>
      <c r="I4043" s="5" t="n">
        <v>79</v>
      </c>
      <c r="J4043" s="5" t="n">
        <v>102</v>
      </c>
      <c r="K4043" s="10">
        <f>IF(F4043&gt;0,H4043/F4043,"")</f>
        <v/>
      </c>
      <c r="L4043" s="16">
        <f>IF(AND(G4043&gt;0,H4043&gt;0),G4043/H4043,"")</f>
        <v/>
      </c>
    </row>
    <row r="4044">
      <c r="A4044" s="4" t="inlineStr">
        <is>
          <t>449</t>
        </is>
      </c>
      <c r="B4044" s="4" t="n">
        <v>4</v>
      </c>
      <c r="C4044" s="4" t="inlineStr">
        <is>
          <t>elk</t>
        </is>
      </c>
      <c r="D4044" s="4" t="n">
        <v>2019</v>
      </c>
      <c r="E4044" s="4" t="inlineStr"/>
      <c r="F4044" s="5" t="n"/>
      <c r="G4044" s="5" t="n"/>
      <c r="H4044" s="5" t="n">
        <v>141</v>
      </c>
      <c r="I4044" s="5" t="n">
        <v>65</v>
      </c>
      <c r="J4044" s="5" t="n">
        <v>64</v>
      </c>
      <c r="K4044" s="10">
        <f>IF(F4044&gt;0,H4044/F4044,"")</f>
        <v/>
      </c>
      <c r="L4044" s="16">
        <f>IF(AND(G4044&gt;0,H4044&gt;0),G4044/H4044,"")</f>
        <v/>
      </c>
    </row>
    <row r="4045">
      <c r="A4045" s="4" t="inlineStr">
        <is>
          <t>450</t>
        </is>
      </c>
      <c r="B4045" s="4" t="n">
        <v>4</v>
      </c>
      <c r="C4045" s="4" t="inlineStr">
        <is>
          <t>elk</t>
        </is>
      </c>
      <c r="D4045" s="4" t="n">
        <v>2004</v>
      </c>
      <c r="E4045" s="13" t="inlineStr">
        <is>
          <t>General</t>
        </is>
      </c>
      <c r="F4045" s="5" t="n">
        <v>147</v>
      </c>
      <c r="G4045" s="5" t="n">
        <v>776</v>
      </c>
      <c r="H4045" s="5" t="n">
        <v>20</v>
      </c>
      <c r="I4045" s="5" t="n">
        <v>0</v>
      </c>
      <c r="J4045" s="5" t="n">
        <v>16</v>
      </c>
      <c r="K4045" s="10">
        <f>IF(F4045&gt;0,H4045/F4045,"")</f>
        <v/>
      </c>
      <c r="L4045" s="16">
        <f>IF(AND(G4045&gt;0,H4045&gt;0),G4045/H4045,"")</f>
        <v/>
      </c>
    </row>
    <row r="4046">
      <c r="A4046" s="4" t="inlineStr">
        <is>
          <t>450</t>
        </is>
      </c>
      <c r="B4046" s="4" t="n">
        <v>4</v>
      </c>
      <c r="C4046" s="4" t="inlineStr">
        <is>
          <t>elk</t>
        </is>
      </c>
      <c r="D4046" s="4" t="n">
        <v>2005</v>
      </c>
      <c r="E4046" s="13" t="inlineStr">
        <is>
          <t>General</t>
        </is>
      </c>
      <c r="F4046" s="5" t="n">
        <v>182</v>
      </c>
      <c r="G4046" s="5" t="n">
        <v>926</v>
      </c>
      <c r="H4046" s="5" t="n">
        <v>44</v>
      </c>
      <c r="I4046" s="5" t="n">
        <v>21</v>
      </c>
      <c r="J4046" s="5" t="n">
        <v>16</v>
      </c>
      <c r="K4046" s="10">
        <f>IF(F4046&gt;0,H4046/F4046,"")</f>
        <v/>
      </c>
      <c r="L4046" s="16">
        <f>IF(AND(G4046&gt;0,H4046&gt;0),G4046/H4046,"")</f>
        <v/>
      </c>
    </row>
    <row r="4047">
      <c r="A4047" s="4" t="inlineStr">
        <is>
          <t>450</t>
        </is>
      </c>
      <c r="B4047" s="4" t="n">
        <v>4</v>
      </c>
      <c r="C4047" s="4" t="inlineStr">
        <is>
          <t>elk</t>
        </is>
      </c>
      <c r="D4047" s="4" t="n">
        <v>2006</v>
      </c>
      <c r="E4047" s="13" t="inlineStr">
        <is>
          <t>General</t>
        </is>
      </c>
      <c r="F4047" s="5" t="n">
        <v>133</v>
      </c>
      <c r="G4047" s="5" t="n">
        <v>683</v>
      </c>
      <c r="H4047" s="5" t="n">
        <v>37</v>
      </c>
      <c r="I4047" s="5" t="n">
        <v>19</v>
      </c>
      <c r="J4047" s="5" t="n">
        <v>18</v>
      </c>
      <c r="K4047" s="10">
        <f>IF(F4047&gt;0,H4047/F4047,"")</f>
        <v/>
      </c>
      <c r="L4047" s="16">
        <f>IF(AND(G4047&gt;0,H4047&gt;0),G4047/H4047,"")</f>
        <v/>
      </c>
    </row>
    <row r="4048">
      <c r="A4048" s="4" t="inlineStr">
        <is>
          <t>450</t>
        </is>
      </c>
      <c r="B4048" s="4" t="n">
        <v>4</v>
      </c>
      <c r="C4048" s="4" t="inlineStr">
        <is>
          <t>elk</t>
        </is>
      </c>
      <c r="D4048" s="4" t="n">
        <v>2007</v>
      </c>
      <c r="E4048" s="13" t="inlineStr">
        <is>
          <t>General</t>
        </is>
      </c>
      <c r="F4048" s="5" t="n">
        <v>195</v>
      </c>
      <c r="G4048" s="5" t="n">
        <v>1116</v>
      </c>
      <c r="H4048" s="5" t="n">
        <v>45</v>
      </c>
      <c r="I4048" s="5" t="n">
        <v>35</v>
      </c>
      <c r="J4048" s="5" t="n">
        <v>10</v>
      </c>
      <c r="K4048" s="10">
        <f>IF(F4048&gt;0,H4048/F4048,"")</f>
        <v/>
      </c>
      <c r="L4048" s="16">
        <f>IF(AND(G4048&gt;0,H4048&gt;0),G4048/H4048,"")</f>
        <v/>
      </c>
    </row>
    <row r="4049">
      <c r="A4049" s="4" t="inlineStr">
        <is>
          <t>450</t>
        </is>
      </c>
      <c r="B4049" s="4" t="n">
        <v>4</v>
      </c>
      <c r="C4049" s="4" t="inlineStr">
        <is>
          <t>elk</t>
        </is>
      </c>
      <c r="D4049" s="4" t="n">
        <v>2008</v>
      </c>
      <c r="E4049" s="13" t="inlineStr">
        <is>
          <t>General</t>
        </is>
      </c>
      <c r="F4049" s="5" t="n">
        <v>193</v>
      </c>
      <c r="G4049" s="5" t="n">
        <v>988</v>
      </c>
      <c r="H4049" s="5" t="n">
        <v>49</v>
      </c>
      <c r="I4049" s="5" t="n">
        <v>28</v>
      </c>
      <c r="J4049" s="5" t="n">
        <v>21</v>
      </c>
      <c r="K4049" s="10">
        <f>IF(F4049&gt;0,H4049/F4049,"")</f>
        <v/>
      </c>
      <c r="L4049" s="16">
        <f>IF(AND(G4049&gt;0,H4049&gt;0),G4049/H4049,"")</f>
        <v/>
      </c>
    </row>
    <row r="4050">
      <c r="A4050" s="4" t="inlineStr">
        <is>
          <t>450</t>
        </is>
      </c>
      <c r="B4050" s="4" t="n">
        <v>4</v>
      </c>
      <c r="C4050" s="4" t="inlineStr">
        <is>
          <t>elk</t>
        </is>
      </c>
      <c r="D4050" s="4" t="n">
        <v>2009</v>
      </c>
      <c r="E4050" s="13" t="inlineStr">
        <is>
          <t>General</t>
        </is>
      </c>
      <c r="F4050" s="5" t="n">
        <v>151</v>
      </c>
      <c r="G4050" s="5" t="n">
        <v>927</v>
      </c>
      <c r="H4050" s="5" t="n">
        <v>15</v>
      </c>
      <c r="I4050" s="5" t="n">
        <v>4</v>
      </c>
      <c r="J4050" s="5" t="n">
        <v>10</v>
      </c>
      <c r="K4050" s="10">
        <f>IF(F4050&gt;0,H4050/F4050,"")</f>
        <v/>
      </c>
      <c r="L4050" s="16">
        <f>IF(AND(G4050&gt;0,H4050&gt;0),G4050/H4050,"")</f>
        <v/>
      </c>
    </row>
    <row r="4051">
      <c r="A4051" s="4" t="inlineStr">
        <is>
          <t>450</t>
        </is>
      </c>
      <c r="B4051" s="4" t="n">
        <v>4</v>
      </c>
      <c r="C4051" s="4" t="inlineStr">
        <is>
          <t>elk</t>
        </is>
      </c>
      <c r="D4051" s="4" t="n">
        <v>2010</v>
      </c>
      <c r="E4051" s="13" t="inlineStr">
        <is>
          <t>General</t>
        </is>
      </c>
      <c r="F4051" s="5" t="n">
        <v>140</v>
      </c>
      <c r="G4051" s="5" t="n">
        <v>1036</v>
      </c>
      <c r="H4051" s="5" t="n">
        <v>29</v>
      </c>
      <c r="I4051" s="5" t="n">
        <v>13</v>
      </c>
      <c r="J4051" s="5" t="n">
        <v>14</v>
      </c>
      <c r="K4051" s="10">
        <f>IF(F4051&gt;0,H4051/F4051,"")</f>
        <v/>
      </c>
      <c r="L4051" s="16">
        <f>IF(AND(G4051&gt;0,H4051&gt;0),G4051/H4051,"")</f>
        <v/>
      </c>
    </row>
    <row r="4052">
      <c r="A4052" s="4" t="inlineStr">
        <is>
          <t>450</t>
        </is>
      </c>
      <c r="B4052" s="4" t="n">
        <v>4</v>
      </c>
      <c r="C4052" s="4" t="inlineStr">
        <is>
          <t>elk</t>
        </is>
      </c>
      <c r="D4052" s="4" t="n">
        <v>2011</v>
      </c>
      <c r="E4052" s="13" t="inlineStr">
        <is>
          <t>General</t>
        </is>
      </c>
      <c r="F4052" s="5" t="n">
        <v>166</v>
      </c>
      <c r="G4052" s="5" t="n">
        <v>1247</v>
      </c>
      <c r="H4052" s="5" t="n">
        <v>25</v>
      </c>
      <c r="I4052" s="5" t="n">
        <v>6</v>
      </c>
      <c r="J4052" s="5" t="n">
        <v>17</v>
      </c>
      <c r="K4052" s="10">
        <f>IF(F4052&gt;0,H4052/F4052,"")</f>
        <v/>
      </c>
      <c r="L4052" s="16">
        <f>IF(AND(G4052&gt;0,H4052&gt;0),G4052/H4052,"")</f>
        <v/>
      </c>
    </row>
    <row r="4053">
      <c r="A4053" s="4" t="inlineStr">
        <is>
          <t>450</t>
        </is>
      </c>
      <c r="B4053" s="4" t="n">
        <v>4</v>
      </c>
      <c r="C4053" s="4" t="inlineStr">
        <is>
          <t>elk</t>
        </is>
      </c>
      <c r="D4053" s="4" t="n">
        <v>2012</v>
      </c>
      <c r="E4053" s="13" t="inlineStr">
        <is>
          <t>General</t>
        </is>
      </c>
      <c r="F4053" s="5" t="n">
        <v>194</v>
      </c>
      <c r="G4053" s="5" t="n">
        <v>1163</v>
      </c>
      <c r="H4053" s="5" t="n">
        <v>27</v>
      </c>
      <c r="I4053" s="5" t="n">
        <v>13</v>
      </c>
      <c r="J4053" s="5" t="n">
        <v>15</v>
      </c>
      <c r="K4053" s="10">
        <f>IF(F4053&gt;0,H4053/F4053,"")</f>
        <v/>
      </c>
      <c r="L4053" s="16">
        <f>IF(AND(G4053&gt;0,H4053&gt;0),G4053/H4053,"")</f>
        <v/>
      </c>
    </row>
    <row r="4054">
      <c r="A4054" s="4" t="inlineStr">
        <is>
          <t>450</t>
        </is>
      </c>
      <c r="B4054" s="4" t="n">
        <v>4</v>
      </c>
      <c r="C4054" s="4" t="inlineStr">
        <is>
          <t>elk</t>
        </is>
      </c>
      <c r="D4054" s="4" t="n">
        <v>2013</v>
      </c>
      <c r="E4054" s="13" t="inlineStr">
        <is>
          <t>General</t>
        </is>
      </c>
      <c r="F4054" s="5" t="n"/>
      <c r="G4054" s="5" t="n"/>
      <c r="H4054" s="5" t="n">
        <v>56</v>
      </c>
      <c r="I4054" s="5" t="n">
        <v>11</v>
      </c>
      <c r="J4054" s="5" t="n">
        <v>45</v>
      </c>
      <c r="K4054" s="10">
        <f>IF(F4054&gt;0,H4054/F4054,"")</f>
        <v/>
      </c>
      <c r="L4054" s="16">
        <f>IF(AND(G4054&gt;0,H4054&gt;0),G4054/H4054,"")</f>
        <v/>
      </c>
    </row>
    <row r="4055">
      <c r="A4055" s="4" t="inlineStr">
        <is>
          <t>450</t>
        </is>
      </c>
      <c r="B4055" s="4" t="n">
        <v>4</v>
      </c>
      <c r="C4055" s="4" t="inlineStr">
        <is>
          <t>elk</t>
        </is>
      </c>
      <c r="D4055" s="4" t="n">
        <v>2014</v>
      </c>
      <c r="E4055" s="13" t="inlineStr">
        <is>
          <t>General</t>
        </is>
      </c>
      <c r="F4055" s="5" t="n">
        <v>253</v>
      </c>
      <c r="G4055" s="5" t="n">
        <v>1262</v>
      </c>
      <c r="H4055" s="5" t="n">
        <v>42</v>
      </c>
      <c r="I4055" s="5" t="n">
        <v>3</v>
      </c>
      <c r="J4055" s="5" t="n">
        <v>33</v>
      </c>
      <c r="K4055" s="10">
        <f>IF(F4055&gt;0,H4055/F4055,"")</f>
        <v/>
      </c>
      <c r="L4055" s="16">
        <f>IF(AND(G4055&gt;0,H4055&gt;0),G4055/H4055,"")</f>
        <v/>
      </c>
    </row>
    <row r="4056">
      <c r="A4056" s="4" t="inlineStr">
        <is>
          <t>450</t>
        </is>
      </c>
      <c r="B4056" s="4" t="n">
        <v>4</v>
      </c>
      <c r="C4056" s="4" t="inlineStr">
        <is>
          <t>elk</t>
        </is>
      </c>
      <c r="D4056" s="4" t="n">
        <v>2015</v>
      </c>
      <c r="E4056" s="13" t="inlineStr">
        <is>
          <t>General</t>
        </is>
      </c>
      <c r="F4056" s="5" t="n">
        <v>315</v>
      </c>
      <c r="G4056" s="5" t="n">
        <v>2016</v>
      </c>
      <c r="H4056" s="5" t="n">
        <v>58</v>
      </c>
      <c r="I4056" s="5" t="n">
        <v>7</v>
      </c>
      <c r="J4056" s="5" t="n">
        <v>51</v>
      </c>
      <c r="K4056" s="10">
        <f>IF(F4056&gt;0,H4056/F4056,"")</f>
        <v/>
      </c>
      <c r="L4056" s="16">
        <f>IF(AND(G4056&gt;0,H4056&gt;0),G4056/H4056,"")</f>
        <v/>
      </c>
    </row>
    <row r="4057">
      <c r="A4057" s="4" t="inlineStr">
        <is>
          <t>450</t>
        </is>
      </c>
      <c r="B4057" s="4" t="n">
        <v>4</v>
      </c>
      <c r="C4057" s="4" t="inlineStr">
        <is>
          <t>elk</t>
        </is>
      </c>
      <c r="D4057" s="4" t="n">
        <v>2016</v>
      </c>
      <c r="E4057" s="13" t="inlineStr">
        <is>
          <t>General</t>
        </is>
      </c>
      <c r="F4057" s="5" t="n">
        <v>243</v>
      </c>
      <c r="G4057" s="5" t="n">
        <v>1636</v>
      </c>
      <c r="H4057" s="5" t="n">
        <v>38</v>
      </c>
      <c r="I4057" s="5" t="n">
        <v>23</v>
      </c>
      <c r="J4057" s="5" t="n">
        <v>13</v>
      </c>
      <c r="K4057" s="10">
        <f>IF(F4057&gt;0,H4057/F4057,"")</f>
        <v/>
      </c>
      <c r="L4057" s="16">
        <f>IF(AND(G4057&gt;0,H4057&gt;0),G4057/H4057,"")</f>
        <v/>
      </c>
    </row>
    <row r="4058">
      <c r="A4058" s="4" t="inlineStr">
        <is>
          <t>450</t>
        </is>
      </c>
      <c r="B4058" s="4" t="n">
        <v>4</v>
      </c>
      <c r="C4058" s="4" t="inlineStr">
        <is>
          <t>elk</t>
        </is>
      </c>
      <c r="D4058" s="4" t="n">
        <v>2017</v>
      </c>
      <c r="E4058" s="13" t="inlineStr">
        <is>
          <t>General</t>
        </is>
      </c>
      <c r="F4058" s="5" t="n"/>
      <c r="G4058" s="5" t="n"/>
      <c r="H4058" s="5" t="n">
        <v>26</v>
      </c>
      <c r="I4058" s="5" t="n">
        <v>9</v>
      </c>
      <c r="J4058" s="5" t="n">
        <v>17</v>
      </c>
      <c r="K4058" s="10">
        <f>IF(F4058&gt;0,H4058/F4058,"")</f>
        <v/>
      </c>
      <c r="L4058" s="16">
        <f>IF(AND(G4058&gt;0,H4058&gt;0),G4058/H4058,"")</f>
        <v/>
      </c>
    </row>
    <row r="4059">
      <c r="A4059" s="4" t="inlineStr">
        <is>
          <t>450</t>
        </is>
      </c>
      <c r="B4059" s="4" t="n">
        <v>4</v>
      </c>
      <c r="C4059" s="4" t="inlineStr">
        <is>
          <t>elk</t>
        </is>
      </c>
      <c r="D4059" s="4" t="n">
        <v>2018</v>
      </c>
      <c r="E4059" s="13" t="inlineStr">
        <is>
          <t>General</t>
        </is>
      </c>
      <c r="F4059" s="5" t="n">
        <v>188</v>
      </c>
      <c r="G4059" s="5" t="n">
        <v>1078</v>
      </c>
      <c r="H4059" s="5" t="n">
        <v>35</v>
      </c>
      <c r="I4059" s="5" t="n">
        <v>16</v>
      </c>
      <c r="J4059" s="5" t="n">
        <v>16</v>
      </c>
      <c r="K4059" s="10">
        <f>IF(F4059&gt;0,H4059/F4059,"")</f>
        <v/>
      </c>
      <c r="L4059" s="16">
        <f>IF(AND(G4059&gt;0,H4059&gt;0),G4059/H4059,"")</f>
        <v/>
      </c>
    </row>
    <row r="4060">
      <c r="A4060" s="4" t="inlineStr">
        <is>
          <t>450</t>
        </is>
      </c>
      <c r="B4060" s="4" t="n">
        <v>4</v>
      </c>
      <c r="C4060" s="4" t="inlineStr">
        <is>
          <t>elk</t>
        </is>
      </c>
      <c r="D4060" s="4" t="n">
        <v>2019</v>
      </c>
      <c r="E4060" s="13" t="inlineStr">
        <is>
          <t>General</t>
        </is>
      </c>
      <c r="F4060" s="5" t="n"/>
      <c r="G4060" s="5" t="n"/>
      <c r="H4060" s="5" t="n">
        <v>36</v>
      </c>
      <c r="I4060" s="5" t="n">
        <v>12</v>
      </c>
      <c r="J4060" s="5" t="n">
        <v>24</v>
      </c>
      <c r="K4060" s="10">
        <f>IF(F4060&gt;0,H4060/F4060,"")</f>
        <v/>
      </c>
      <c r="L4060" s="16">
        <f>IF(AND(G4060&gt;0,H4060&gt;0),G4060/H4060,"")</f>
        <v/>
      </c>
    </row>
    <row r="4061">
      <c r="A4061" s="4" t="inlineStr">
        <is>
          <t>450</t>
        </is>
      </c>
      <c r="B4061" s="4" t="n">
        <v>4</v>
      </c>
      <c r="C4061" s="4" t="inlineStr">
        <is>
          <t>elk</t>
        </is>
      </c>
      <c r="D4061" s="4" t="n">
        <v>2020</v>
      </c>
      <c r="E4061" s="13" t="inlineStr">
        <is>
          <t>General</t>
        </is>
      </c>
      <c r="F4061" s="5" t="n">
        <v>184</v>
      </c>
      <c r="G4061" s="5" t="n">
        <v>1329</v>
      </c>
      <c r="H4061" s="5" t="n">
        <v>35</v>
      </c>
      <c r="I4061" s="5" t="n">
        <v>21</v>
      </c>
      <c r="J4061" s="5" t="n">
        <v>14</v>
      </c>
      <c r="K4061" s="10">
        <f>IF(F4061&gt;0,H4061/F4061,"")</f>
        <v/>
      </c>
      <c r="L4061" s="16">
        <f>IF(AND(G4061&gt;0,H4061&gt;0),G4061/H4061,"")</f>
        <v/>
      </c>
    </row>
    <row r="4062">
      <c r="A4062" s="4" t="inlineStr">
        <is>
          <t>450</t>
        </is>
      </c>
      <c r="B4062" s="4" t="n">
        <v>4</v>
      </c>
      <c r="C4062" s="4" t="inlineStr">
        <is>
          <t>elk</t>
        </is>
      </c>
      <c r="D4062" s="4" t="n">
        <v>2021</v>
      </c>
      <c r="E4062" s="13" t="inlineStr">
        <is>
          <t>General</t>
        </is>
      </c>
      <c r="F4062" s="5" t="n"/>
      <c r="G4062" s="5" t="n"/>
      <c r="H4062" s="5" t="n">
        <v>37</v>
      </c>
      <c r="I4062" s="5" t="n">
        <v>4</v>
      </c>
      <c r="J4062" s="5" t="n">
        <v>33</v>
      </c>
      <c r="K4062" s="10">
        <f>IF(F4062&gt;0,H4062/F4062,"")</f>
        <v/>
      </c>
      <c r="L4062" s="16">
        <f>IF(AND(G4062&gt;0,H4062&gt;0),G4062/H4062,"")</f>
        <v/>
      </c>
    </row>
    <row r="4063">
      <c r="A4063" s="4" t="inlineStr">
        <is>
          <t>450</t>
        </is>
      </c>
      <c r="B4063" s="4" t="n">
        <v>4</v>
      </c>
      <c r="C4063" s="4" t="inlineStr">
        <is>
          <t>elk</t>
        </is>
      </c>
      <c r="D4063" s="4" t="n">
        <v>2022</v>
      </c>
      <c r="E4063" s="13" t="inlineStr">
        <is>
          <t>General</t>
        </is>
      </c>
      <c r="F4063" s="5" t="n">
        <v>322</v>
      </c>
      <c r="G4063" s="5" t="n">
        <v>1977</v>
      </c>
      <c r="H4063" s="5" t="n">
        <v>89</v>
      </c>
      <c r="I4063" s="5" t="n">
        <v>47</v>
      </c>
      <c r="J4063" s="5" t="n">
        <v>36</v>
      </c>
      <c r="K4063" s="10">
        <f>IF(F4063&gt;0,H4063/F4063,"")</f>
        <v/>
      </c>
      <c r="L4063" s="16">
        <f>IF(AND(G4063&gt;0,H4063&gt;0),G4063/H4063,"")</f>
        <v/>
      </c>
    </row>
    <row r="4064">
      <c r="A4064" s="4" t="inlineStr">
        <is>
          <t>450</t>
        </is>
      </c>
      <c r="B4064" s="4" t="n">
        <v>4</v>
      </c>
      <c r="C4064" s="4" t="inlineStr">
        <is>
          <t>elk</t>
        </is>
      </c>
      <c r="D4064" s="4" t="n">
        <v>2023</v>
      </c>
      <c r="E4064" s="13" t="inlineStr">
        <is>
          <t>General</t>
        </is>
      </c>
      <c r="F4064" s="5" t="n"/>
      <c r="G4064" s="5" t="n"/>
      <c r="H4064" s="5" t="n">
        <v>61</v>
      </c>
      <c r="I4064" s="5" t="n">
        <v>30</v>
      </c>
      <c r="J4064" s="5" t="n">
        <v>31</v>
      </c>
      <c r="K4064" s="10">
        <f>IF(F4064&gt;0,H4064/F4064,"")</f>
        <v/>
      </c>
      <c r="L4064" s="16">
        <f>IF(AND(G4064&gt;0,H4064&gt;0),G4064/H4064,"")</f>
        <v/>
      </c>
    </row>
    <row r="4065">
      <c r="A4065" s="4" t="inlineStr">
        <is>
          <t>450</t>
        </is>
      </c>
      <c r="B4065" s="4" t="n">
        <v>4</v>
      </c>
      <c r="C4065" s="4" t="inlineStr">
        <is>
          <t>elk</t>
        </is>
      </c>
      <c r="D4065" s="4" t="n">
        <v>2024</v>
      </c>
      <c r="E4065" s="13" t="inlineStr">
        <is>
          <t>General</t>
        </is>
      </c>
      <c r="F4065" s="5" t="n">
        <v>358</v>
      </c>
      <c r="G4065" s="5" t="n">
        <v>2231</v>
      </c>
      <c r="H4065" s="5" t="n">
        <v>44</v>
      </c>
      <c r="I4065" s="5" t="n">
        <v>23</v>
      </c>
      <c r="J4065" s="5" t="n">
        <v>21</v>
      </c>
      <c r="K4065" s="10">
        <f>IF(F4065&gt;0,H4065/F4065,"")</f>
        <v/>
      </c>
      <c r="L4065" s="16">
        <f>IF(AND(G4065&gt;0,H4065&gt;0),G4065/H4065,"")</f>
        <v/>
      </c>
    </row>
    <row r="4066">
      <c r="A4066" s="4" t="inlineStr">
        <is>
          <t>450</t>
        </is>
      </c>
      <c r="B4066" s="4" t="n">
        <v>4</v>
      </c>
      <c r="C4066" s="4" t="inlineStr">
        <is>
          <t>elk</t>
        </is>
      </c>
      <c r="D4066" s="4" t="n">
        <v>2025</v>
      </c>
      <c r="E4066" s="13" t="inlineStr">
        <is>
          <t>General</t>
        </is>
      </c>
      <c r="F4066" s="5" t="n"/>
      <c r="G4066" s="5" t="n"/>
      <c r="H4066" s="5" t="n">
        <v>53</v>
      </c>
      <c r="I4066" s="5" t="n">
        <v>28</v>
      </c>
      <c r="J4066" s="5" t="n">
        <v>26</v>
      </c>
      <c r="K4066" s="10">
        <f>IF(F4066&gt;0,H4066/F4066,"")</f>
        <v/>
      </c>
      <c r="L4066" s="16">
        <f>IF(AND(G4066&gt;0,H4066&gt;0),G4066/H4066,"")</f>
        <v/>
      </c>
    </row>
    <row r="4067">
      <c r="A4067" s="4" t="inlineStr">
        <is>
          <t>451</t>
        </is>
      </c>
      <c r="B4067" s="4" t="n">
        <v>4</v>
      </c>
      <c r="C4067" s="4" t="inlineStr">
        <is>
          <t>elk</t>
        </is>
      </c>
      <c r="D4067" s="4" t="n">
        <v>2016</v>
      </c>
      <c r="E4067" s="13" t="inlineStr">
        <is>
          <t>General</t>
        </is>
      </c>
      <c r="F4067" s="5" t="n">
        <v>330</v>
      </c>
      <c r="G4067" s="5" t="n">
        <v>1678</v>
      </c>
      <c r="H4067" s="5" t="n">
        <v>100</v>
      </c>
      <c r="I4067" s="5" t="n">
        <v>32</v>
      </c>
      <c r="J4067" s="5" t="n">
        <v>62</v>
      </c>
      <c r="K4067" s="10">
        <f>IF(F4067&gt;0,H4067/F4067,"")</f>
        <v/>
      </c>
      <c r="L4067" s="16">
        <f>IF(AND(G4067&gt;0,H4067&gt;0),G4067/H4067,"")</f>
        <v/>
      </c>
    </row>
    <row r="4068">
      <c r="A4068" s="4" t="inlineStr">
        <is>
          <t>451</t>
        </is>
      </c>
      <c r="B4068" s="4" t="n">
        <v>4</v>
      </c>
      <c r="C4068" s="4" t="inlineStr">
        <is>
          <t>elk</t>
        </is>
      </c>
      <c r="D4068" s="4" t="n">
        <v>2017</v>
      </c>
      <c r="E4068" s="13" t="inlineStr">
        <is>
          <t>General</t>
        </is>
      </c>
      <c r="F4068" s="5" t="n"/>
      <c r="G4068" s="5" t="n"/>
      <c r="H4068" s="5" t="n">
        <v>77</v>
      </c>
      <c r="I4068" s="5" t="n">
        <v>37</v>
      </c>
      <c r="J4068" s="5" t="n">
        <v>32</v>
      </c>
      <c r="K4068" s="10">
        <f>IF(F4068&gt;0,H4068/F4068,"")</f>
        <v/>
      </c>
      <c r="L4068" s="16">
        <f>IF(AND(G4068&gt;0,H4068&gt;0),G4068/H4068,"")</f>
        <v/>
      </c>
    </row>
    <row r="4069">
      <c r="A4069" s="4" t="inlineStr">
        <is>
          <t>451</t>
        </is>
      </c>
      <c r="B4069" s="4" t="n">
        <v>4</v>
      </c>
      <c r="C4069" s="4" t="inlineStr">
        <is>
          <t>elk</t>
        </is>
      </c>
      <c r="D4069" s="4" t="n">
        <v>2018</v>
      </c>
      <c r="E4069" s="13" t="inlineStr">
        <is>
          <t>General</t>
        </is>
      </c>
      <c r="F4069" s="5" t="n">
        <v>282</v>
      </c>
      <c r="G4069" s="5" t="n">
        <v>1531</v>
      </c>
      <c r="H4069" s="5" t="n">
        <v>81</v>
      </c>
      <c r="I4069" s="5" t="n">
        <v>50</v>
      </c>
      <c r="J4069" s="5" t="n">
        <v>31</v>
      </c>
      <c r="K4069" s="10">
        <f>IF(F4069&gt;0,H4069/F4069,"")</f>
        <v/>
      </c>
      <c r="L4069" s="16">
        <f>IF(AND(G4069&gt;0,H4069&gt;0),G4069/H4069,"")</f>
        <v/>
      </c>
    </row>
    <row r="4070">
      <c r="A4070" s="4" t="inlineStr">
        <is>
          <t>451</t>
        </is>
      </c>
      <c r="B4070" s="4" t="n">
        <v>4</v>
      </c>
      <c r="C4070" s="4" t="inlineStr">
        <is>
          <t>elk</t>
        </is>
      </c>
      <c r="D4070" s="4" t="n">
        <v>2019</v>
      </c>
      <c r="E4070" s="13" t="inlineStr">
        <is>
          <t>General</t>
        </is>
      </c>
      <c r="F4070" s="5" t="n"/>
      <c r="G4070" s="5" t="n"/>
      <c r="H4070" s="5" t="n">
        <v>74</v>
      </c>
      <c r="I4070" s="5" t="n">
        <v>26</v>
      </c>
      <c r="J4070" s="5" t="n">
        <v>43</v>
      </c>
      <c r="K4070" s="10">
        <f>IF(F4070&gt;0,H4070/F4070,"")</f>
        <v/>
      </c>
      <c r="L4070" s="16">
        <f>IF(AND(G4070&gt;0,H4070&gt;0),G4070/H4070,"")</f>
        <v/>
      </c>
    </row>
    <row r="4071">
      <c r="A4071" s="4" t="inlineStr">
        <is>
          <t>451</t>
        </is>
      </c>
      <c r="B4071" s="4" t="n">
        <v>4</v>
      </c>
      <c r="C4071" s="4" t="inlineStr">
        <is>
          <t>elk</t>
        </is>
      </c>
      <c r="D4071" s="4" t="n">
        <v>2020</v>
      </c>
      <c r="E4071" s="13" t="inlineStr">
        <is>
          <t>General</t>
        </is>
      </c>
      <c r="F4071" s="5" t="n">
        <v>234</v>
      </c>
      <c r="G4071" s="5" t="n">
        <v>1321</v>
      </c>
      <c r="H4071" s="5" t="n">
        <v>47</v>
      </c>
      <c r="I4071" s="5" t="n">
        <v>27</v>
      </c>
      <c r="J4071" s="5" t="n">
        <v>17</v>
      </c>
      <c r="K4071" s="10">
        <f>IF(F4071&gt;0,H4071/F4071,"")</f>
        <v/>
      </c>
      <c r="L4071" s="16">
        <f>IF(AND(G4071&gt;0,H4071&gt;0),G4071/H4071,"")</f>
        <v/>
      </c>
    </row>
    <row r="4072">
      <c r="A4072" s="4" t="inlineStr">
        <is>
          <t>451</t>
        </is>
      </c>
      <c r="B4072" s="4" t="n">
        <v>4</v>
      </c>
      <c r="C4072" s="4" t="inlineStr">
        <is>
          <t>elk</t>
        </is>
      </c>
      <c r="D4072" s="4" t="n">
        <v>2021</v>
      </c>
      <c r="E4072" s="13" t="inlineStr">
        <is>
          <t>General</t>
        </is>
      </c>
      <c r="F4072" s="5" t="n"/>
      <c r="G4072" s="5" t="n"/>
      <c r="H4072" s="5" t="n">
        <v>44</v>
      </c>
      <c r="I4072" s="5" t="n">
        <v>28</v>
      </c>
      <c r="J4072" s="5" t="n">
        <v>16</v>
      </c>
      <c r="K4072" s="10">
        <f>IF(F4072&gt;0,H4072/F4072,"")</f>
        <v/>
      </c>
      <c r="L4072" s="16">
        <f>IF(AND(G4072&gt;0,H4072&gt;0),G4072/H4072,"")</f>
        <v/>
      </c>
    </row>
    <row r="4073">
      <c r="A4073" s="4" t="inlineStr">
        <is>
          <t>451</t>
        </is>
      </c>
      <c r="B4073" s="4" t="n">
        <v>4</v>
      </c>
      <c r="C4073" s="4" t="inlineStr">
        <is>
          <t>elk</t>
        </is>
      </c>
      <c r="D4073" s="4" t="n">
        <v>2022</v>
      </c>
      <c r="E4073" s="13" t="inlineStr">
        <is>
          <t>General</t>
        </is>
      </c>
      <c r="F4073" s="5" t="n">
        <v>167</v>
      </c>
      <c r="G4073" s="5" t="n">
        <v>1043</v>
      </c>
      <c r="H4073" s="5" t="n">
        <v>50</v>
      </c>
      <c r="I4073" s="5" t="n">
        <v>17</v>
      </c>
      <c r="J4073" s="5" t="n">
        <v>30</v>
      </c>
      <c r="K4073" s="10">
        <f>IF(F4073&gt;0,H4073/F4073,"")</f>
        <v/>
      </c>
      <c r="L4073" s="16">
        <f>IF(AND(G4073&gt;0,H4073&gt;0),G4073/H4073,"")</f>
        <v/>
      </c>
    </row>
    <row r="4074">
      <c r="A4074" s="4" t="inlineStr">
        <is>
          <t>451</t>
        </is>
      </c>
      <c r="B4074" s="4" t="n">
        <v>4</v>
      </c>
      <c r="C4074" s="4" t="inlineStr">
        <is>
          <t>elk</t>
        </is>
      </c>
      <c r="D4074" s="4" t="n">
        <v>2023</v>
      </c>
      <c r="E4074" s="13" t="inlineStr">
        <is>
          <t>General</t>
        </is>
      </c>
      <c r="F4074" s="5" t="n"/>
      <c r="G4074" s="5" t="n"/>
      <c r="H4074" s="5" t="n">
        <v>30</v>
      </c>
      <c r="I4074" s="5" t="n">
        <v>15</v>
      </c>
      <c r="J4074" s="5" t="n">
        <v>15</v>
      </c>
      <c r="K4074" s="10">
        <f>IF(F4074&gt;0,H4074/F4074,"")</f>
        <v/>
      </c>
      <c r="L4074" s="16">
        <f>IF(AND(G4074&gt;0,H4074&gt;0),G4074/H4074,"")</f>
        <v/>
      </c>
    </row>
    <row r="4075">
      <c r="A4075" s="4" t="inlineStr">
        <is>
          <t>451</t>
        </is>
      </c>
      <c r="B4075" s="4" t="n">
        <v>4</v>
      </c>
      <c r="C4075" s="4" t="inlineStr">
        <is>
          <t>elk</t>
        </is>
      </c>
      <c r="D4075" s="4" t="n">
        <v>2024</v>
      </c>
      <c r="E4075" s="13" t="inlineStr">
        <is>
          <t>General</t>
        </is>
      </c>
      <c r="F4075" s="5" t="n">
        <v>224</v>
      </c>
      <c r="G4075" s="5" t="n">
        <v>1689</v>
      </c>
      <c r="H4075" s="5" t="n">
        <v>49</v>
      </c>
      <c r="I4075" s="5" t="n">
        <v>19</v>
      </c>
      <c r="J4075" s="5" t="n">
        <v>30</v>
      </c>
      <c r="K4075" s="10">
        <f>IF(F4075&gt;0,H4075/F4075,"")</f>
        <v/>
      </c>
      <c r="L4075" s="16">
        <f>IF(AND(G4075&gt;0,H4075&gt;0),G4075/H4075,"")</f>
        <v/>
      </c>
    </row>
    <row r="4076">
      <c r="A4076" s="4" t="inlineStr">
        <is>
          <t>451</t>
        </is>
      </c>
      <c r="B4076" s="4" t="n">
        <v>4</v>
      </c>
      <c r="C4076" s="4" t="inlineStr">
        <is>
          <t>elk</t>
        </is>
      </c>
      <c r="D4076" s="4" t="n">
        <v>2025</v>
      </c>
      <c r="E4076" s="13" t="inlineStr">
        <is>
          <t>General</t>
        </is>
      </c>
      <c r="F4076" s="5" t="n"/>
      <c r="G4076" s="5" t="n"/>
      <c r="H4076" s="5" t="n">
        <v>39</v>
      </c>
      <c r="I4076" s="5" t="n">
        <v>14</v>
      </c>
      <c r="J4076" s="5" t="n">
        <v>26</v>
      </c>
      <c r="K4076" s="10">
        <f>IF(F4076&gt;0,H4076/F4076,"")</f>
        <v/>
      </c>
      <c r="L4076" s="16">
        <f>IF(AND(G4076&gt;0,H4076&gt;0),G4076/H4076,"")</f>
        <v/>
      </c>
    </row>
    <row r="4077">
      <c r="A4077" s="4" t="inlineStr">
        <is>
          <t>452</t>
        </is>
      </c>
      <c r="B4077" s="4" t="n">
        <v>4</v>
      </c>
      <c r="C4077" s="4" t="inlineStr">
        <is>
          <t>elk</t>
        </is>
      </c>
      <c r="D4077" s="4" t="n">
        <v>2004</v>
      </c>
      <c r="E4077" s="13" t="inlineStr">
        <is>
          <t>General</t>
        </is>
      </c>
      <c r="F4077" s="5" t="n">
        <v>500</v>
      </c>
      <c r="G4077" s="5" t="n">
        <v>2303</v>
      </c>
      <c r="H4077" s="5" t="n">
        <v>124</v>
      </c>
      <c r="I4077" s="5" t="n">
        <v>71</v>
      </c>
      <c r="J4077" s="5" t="n">
        <v>52</v>
      </c>
      <c r="K4077" s="10">
        <f>IF(F4077&gt;0,H4077/F4077,"")</f>
        <v/>
      </c>
      <c r="L4077" s="16">
        <f>IF(AND(G4077&gt;0,H4077&gt;0),G4077/H4077,"")</f>
        <v/>
      </c>
    </row>
    <row r="4078">
      <c r="A4078" s="4" t="inlineStr">
        <is>
          <t>452</t>
        </is>
      </c>
      <c r="B4078" s="4" t="n">
        <v>4</v>
      </c>
      <c r="C4078" s="4" t="inlineStr">
        <is>
          <t>elk</t>
        </is>
      </c>
      <c r="D4078" s="4" t="n">
        <v>2005</v>
      </c>
      <c r="E4078" s="13" t="inlineStr">
        <is>
          <t>General</t>
        </is>
      </c>
      <c r="F4078" s="5" t="n">
        <v>388</v>
      </c>
      <c r="G4078" s="5" t="n">
        <v>1683</v>
      </c>
      <c r="H4078" s="5" t="n">
        <v>59</v>
      </c>
      <c r="I4078" s="5" t="n">
        <v>40</v>
      </c>
      <c r="J4078" s="5" t="n">
        <v>19</v>
      </c>
      <c r="K4078" s="10">
        <f>IF(F4078&gt;0,H4078/F4078,"")</f>
        <v/>
      </c>
      <c r="L4078" s="16">
        <f>IF(AND(G4078&gt;0,H4078&gt;0),G4078/H4078,"")</f>
        <v/>
      </c>
    </row>
    <row r="4079">
      <c r="A4079" s="4" t="inlineStr">
        <is>
          <t>452</t>
        </is>
      </c>
      <c r="B4079" s="4" t="n">
        <v>4</v>
      </c>
      <c r="C4079" s="4" t="inlineStr">
        <is>
          <t>elk</t>
        </is>
      </c>
      <c r="D4079" s="4" t="n">
        <v>2006</v>
      </c>
      <c r="E4079" s="13" t="inlineStr">
        <is>
          <t>General</t>
        </is>
      </c>
      <c r="F4079" s="5" t="n">
        <v>612</v>
      </c>
      <c r="G4079" s="5" t="n">
        <v>2685</v>
      </c>
      <c r="H4079" s="5" t="n">
        <v>176</v>
      </c>
      <c r="I4079" s="5" t="n">
        <v>78</v>
      </c>
      <c r="J4079" s="5" t="n">
        <v>86</v>
      </c>
      <c r="K4079" s="10">
        <f>IF(F4079&gt;0,H4079/F4079,"")</f>
        <v/>
      </c>
      <c r="L4079" s="16">
        <f>IF(AND(G4079&gt;0,H4079&gt;0),G4079/H4079,"")</f>
        <v/>
      </c>
    </row>
    <row r="4080">
      <c r="A4080" s="4" t="inlineStr">
        <is>
          <t>452</t>
        </is>
      </c>
      <c r="B4080" s="4" t="n">
        <v>4</v>
      </c>
      <c r="C4080" s="4" t="inlineStr">
        <is>
          <t>elk</t>
        </is>
      </c>
      <c r="D4080" s="4" t="n">
        <v>2007</v>
      </c>
      <c r="E4080" s="13" t="inlineStr">
        <is>
          <t>General</t>
        </is>
      </c>
      <c r="F4080" s="5" t="n">
        <v>475</v>
      </c>
      <c r="G4080" s="5" t="n">
        <v>2365</v>
      </c>
      <c r="H4080" s="5" t="n">
        <v>133</v>
      </c>
      <c r="I4080" s="5" t="n">
        <v>54</v>
      </c>
      <c r="J4080" s="5" t="n">
        <v>73</v>
      </c>
      <c r="K4080" s="10">
        <f>IF(F4080&gt;0,H4080/F4080,"")</f>
        <v/>
      </c>
      <c r="L4080" s="16">
        <f>IF(AND(G4080&gt;0,H4080&gt;0),G4080/H4080,"")</f>
        <v/>
      </c>
    </row>
    <row r="4081">
      <c r="A4081" s="4" t="inlineStr">
        <is>
          <t>452</t>
        </is>
      </c>
      <c r="B4081" s="4" t="n">
        <v>4</v>
      </c>
      <c r="C4081" s="4" t="inlineStr">
        <is>
          <t>elk</t>
        </is>
      </c>
      <c r="D4081" s="4" t="n">
        <v>2008</v>
      </c>
      <c r="E4081" s="13" t="inlineStr">
        <is>
          <t>General</t>
        </is>
      </c>
      <c r="F4081" s="5" t="n">
        <v>471</v>
      </c>
      <c r="G4081" s="5" t="n">
        <v>2189</v>
      </c>
      <c r="H4081" s="5" t="n">
        <v>89</v>
      </c>
      <c r="I4081" s="5" t="n">
        <v>64</v>
      </c>
      <c r="J4081" s="5" t="n">
        <v>19</v>
      </c>
      <c r="K4081" s="10">
        <f>IF(F4081&gt;0,H4081/F4081,"")</f>
        <v/>
      </c>
      <c r="L4081" s="16">
        <f>IF(AND(G4081&gt;0,H4081&gt;0),G4081/H4081,"")</f>
        <v/>
      </c>
    </row>
    <row r="4082">
      <c r="A4082" s="4" t="inlineStr">
        <is>
          <t>452</t>
        </is>
      </c>
      <c r="B4082" s="4" t="n">
        <v>4</v>
      </c>
      <c r="C4082" s="4" t="inlineStr">
        <is>
          <t>elk</t>
        </is>
      </c>
      <c r="D4082" s="4" t="n">
        <v>2009</v>
      </c>
      <c r="E4082" s="13" t="inlineStr">
        <is>
          <t>General</t>
        </is>
      </c>
      <c r="F4082" s="5" t="n">
        <v>452</v>
      </c>
      <c r="G4082" s="5" t="n">
        <v>1943</v>
      </c>
      <c r="H4082" s="5" t="n">
        <v>119</v>
      </c>
      <c r="I4082" s="5" t="n">
        <v>59</v>
      </c>
      <c r="J4082" s="5" t="n">
        <v>50</v>
      </c>
      <c r="K4082" s="10">
        <f>IF(F4082&gt;0,H4082/F4082,"")</f>
        <v/>
      </c>
      <c r="L4082" s="16">
        <f>IF(AND(G4082&gt;0,H4082&gt;0),G4082/H4082,"")</f>
        <v/>
      </c>
    </row>
    <row r="4083">
      <c r="A4083" s="4" t="inlineStr">
        <is>
          <t>452</t>
        </is>
      </c>
      <c r="B4083" s="4" t="n">
        <v>4</v>
      </c>
      <c r="C4083" s="4" t="inlineStr">
        <is>
          <t>elk</t>
        </is>
      </c>
      <c r="D4083" s="4" t="n">
        <v>2010</v>
      </c>
      <c r="E4083" s="13" t="inlineStr">
        <is>
          <t>General</t>
        </is>
      </c>
      <c r="F4083" s="5" t="n">
        <v>594</v>
      </c>
      <c r="G4083" s="5" t="n">
        <v>2660</v>
      </c>
      <c r="H4083" s="5" t="n">
        <v>165</v>
      </c>
      <c r="I4083" s="5" t="n">
        <v>69</v>
      </c>
      <c r="J4083" s="5" t="n">
        <v>85</v>
      </c>
      <c r="K4083" s="10">
        <f>IF(F4083&gt;0,H4083/F4083,"")</f>
        <v/>
      </c>
      <c r="L4083" s="16">
        <f>IF(AND(G4083&gt;0,H4083&gt;0),G4083/H4083,"")</f>
        <v/>
      </c>
    </row>
    <row r="4084">
      <c r="A4084" s="4" t="inlineStr">
        <is>
          <t>452</t>
        </is>
      </c>
      <c r="B4084" s="4" t="n">
        <v>4</v>
      </c>
      <c r="C4084" s="4" t="inlineStr">
        <is>
          <t>elk</t>
        </is>
      </c>
      <c r="D4084" s="4" t="n">
        <v>2011</v>
      </c>
      <c r="E4084" s="13" t="inlineStr">
        <is>
          <t>General</t>
        </is>
      </c>
      <c r="F4084" s="5" t="n">
        <v>669</v>
      </c>
      <c r="G4084" s="5" t="n">
        <v>4486</v>
      </c>
      <c r="H4084" s="5" t="n">
        <v>160</v>
      </c>
      <c r="I4084" s="5" t="n">
        <v>90</v>
      </c>
      <c r="J4084" s="5" t="n">
        <v>57</v>
      </c>
      <c r="K4084" s="10">
        <f>IF(F4084&gt;0,H4084/F4084,"")</f>
        <v/>
      </c>
      <c r="L4084" s="16">
        <f>IF(AND(G4084&gt;0,H4084&gt;0),G4084/H4084,"")</f>
        <v/>
      </c>
    </row>
    <row r="4085">
      <c r="A4085" s="4" t="inlineStr">
        <is>
          <t>452</t>
        </is>
      </c>
      <c r="B4085" s="4" t="n">
        <v>4</v>
      </c>
      <c r="C4085" s="4" t="inlineStr">
        <is>
          <t>elk</t>
        </is>
      </c>
      <c r="D4085" s="4" t="n">
        <v>2012</v>
      </c>
      <c r="E4085" s="13" t="inlineStr">
        <is>
          <t>General</t>
        </is>
      </c>
      <c r="F4085" s="5" t="n">
        <v>680</v>
      </c>
      <c r="G4085" s="5" t="n">
        <v>3372</v>
      </c>
      <c r="H4085" s="5" t="n">
        <v>160</v>
      </c>
      <c r="I4085" s="5" t="n">
        <v>98</v>
      </c>
      <c r="J4085" s="5" t="n">
        <v>57</v>
      </c>
      <c r="K4085" s="10">
        <f>IF(F4085&gt;0,H4085/F4085,"")</f>
        <v/>
      </c>
      <c r="L4085" s="16">
        <f>IF(AND(G4085&gt;0,H4085&gt;0),G4085/H4085,"")</f>
        <v/>
      </c>
    </row>
    <row r="4086">
      <c r="A4086" s="4" t="inlineStr">
        <is>
          <t>452</t>
        </is>
      </c>
      <c r="B4086" s="4" t="n">
        <v>4</v>
      </c>
      <c r="C4086" s="4" t="inlineStr">
        <is>
          <t>elk</t>
        </is>
      </c>
      <c r="D4086" s="4" t="n">
        <v>2013</v>
      </c>
      <c r="E4086" s="13" t="inlineStr">
        <is>
          <t>General</t>
        </is>
      </c>
      <c r="F4086" s="5" t="n"/>
      <c r="G4086" s="5" t="n"/>
      <c r="H4086" s="5" t="n">
        <v>108</v>
      </c>
      <c r="I4086" s="5" t="n">
        <v>50</v>
      </c>
      <c r="J4086" s="5" t="n">
        <v>55</v>
      </c>
      <c r="K4086" s="10">
        <f>IF(F4086&gt;0,H4086/F4086,"")</f>
        <v/>
      </c>
      <c r="L4086" s="16">
        <f>IF(AND(G4086&gt;0,H4086&gt;0),G4086/H4086,"")</f>
        <v/>
      </c>
    </row>
    <row r="4087">
      <c r="A4087" s="4" t="inlineStr">
        <is>
          <t>452</t>
        </is>
      </c>
      <c r="B4087" s="4" t="n">
        <v>4</v>
      </c>
      <c r="C4087" s="4" t="inlineStr">
        <is>
          <t>elk</t>
        </is>
      </c>
      <c r="D4087" s="4" t="n">
        <v>2014</v>
      </c>
      <c r="E4087" s="13" t="inlineStr">
        <is>
          <t>General</t>
        </is>
      </c>
      <c r="F4087" s="5" t="n">
        <v>627</v>
      </c>
      <c r="G4087" s="5" t="n">
        <v>3240</v>
      </c>
      <c r="H4087" s="5" t="n">
        <v>197</v>
      </c>
      <c r="I4087" s="5" t="n">
        <v>74</v>
      </c>
      <c r="J4087" s="5" t="n">
        <v>118</v>
      </c>
      <c r="K4087" s="10">
        <f>IF(F4087&gt;0,H4087/F4087,"")</f>
        <v/>
      </c>
      <c r="L4087" s="16">
        <f>IF(AND(G4087&gt;0,H4087&gt;0),G4087/H4087,"")</f>
        <v/>
      </c>
    </row>
    <row r="4088">
      <c r="A4088" s="4" t="inlineStr">
        <is>
          <t>452</t>
        </is>
      </c>
      <c r="B4088" s="4" t="n">
        <v>4</v>
      </c>
      <c r="C4088" s="4" t="inlineStr">
        <is>
          <t>elk</t>
        </is>
      </c>
      <c r="D4088" s="4" t="n">
        <v>2015</v>
      </c>
      <c r="E4088" s="13" t="inlineStr">
        <is>
          <t>General</t>
        </is>
      </c>
      <c r="F4088" s="5" t="n">
        <v>1258</v>
      </c>
      <c r="G4088" s="5" t="n">
        <v>6348</v>
      </c>
      <c r="H4088" s="5" t="n">
        <v>342</v>
      </c>
      <c r="I4088" s="5" t="n">
        <v>135</v>
      </c>
      <c r="J4088" s="5" t="n">
        <v>186</v>
      </c>
      <c r="K4088" s="10">
        <f>IF(F4088&gt;0,H4088/F4088,"")</f>
        <v/>
      </c>
      <c r="L4088" s="16">
        <f>IF(AND(G4088&gt;0,H4088&gt;0),G4088/H4088,"")</f>
        <v/>
      </c>
    </row>
    <row r="4089">
      <c r="A4089" s="4" t="inlineStr">
        <is>
          <t>452</t>
        </is>
      </c>
      <c r="B4089" s="4" t="n">
        <v>4</v>
      </c>
      <c r="C4089" s="4" t="inlineStr">
        <is>
          <t>elk</t>
        </is>
      </c>
      <c r="D4089" s="4" t="n">
        <v>2016</v>
      </c>
      <c r="E4089" s="13" t="inlineStr">
        <is>
          <t>General</t>
        </is>
      </c>
      <c r="F4089" s="5" t="n">
        <v>979</v>
      </c>
      <c r="G4089" s="5" t="n">
        <v>5491</v>
      </c>
      <c r="H4089" s="5" t="n">
        <v>180</v>
      </c>
      <c r="I4089" s="5" t="n">
        <v>89</v>
      </c>
      <c r="J4089" s="5" t="n">
        <v>78</v>
      </c>
      <c r="K4089" s="10">
        <f>IF(F4089&gt;0,H4089/F4089,"")</f>
        <v/>
      </c>
      <c r="L4089" s="16">
        <f>IF(AND(G4089&gt;0,H4089&gt;0),G4089/H4089,"")</f>
        <v/>
      </c>
    </row>
    <row r="4090">
      <c r="A4090" s="4" t="inlineStr">
        <is>
          <t>452</t>
        </is>
      </c>
      <c r="B4090" s="4" t="n">
        <v>4</v>
      </c>
      <c r="C4090" s="4" t="inlineStr">
        <is>
          <t>elk</t>
        </is>
      </c>
      <c r="D4090" s="4" t="n">
        <v>2017</v>
      </c>
      <c r="E4090" s="13" t="inlineStr">
        <is>
          <t>General</t>
        </is>
      </c>
      <c r="F4090" s="5" t="n"/>
      <c r="G4090" s="5" t="n"/>
      <c r="H4090" s="5" t="n">
        <v>265</v>
      </c>
      <c r="I4090" s="5" t="n">
        <v>120</v>
      </c>
      <c r="J4090" s="5" t="n">
        <v>131</v>
      </c>
      <c r="K4090" s="10">
        <f>IF(F4090&gt;0,H4090/F4090,"")</f>
        <v/>
      </c>
      <c r="L4090" s="16">
        <f>IF(AND(G4090&gt;0,H4090&gt;0),G4090/H4090,"")</f>
        <v/>
      </c>
    </row>
    <row r="4091">
      <c r="A4091" s="4" t="inlineStr">
        <is>
          <t>452</t>
        </is>
      </c>
      <c r="B4091" s="4" t="n">
        <v>4</v>
      </c>
      <c r="C4091" s="4" t="inlineStr">
        <is>
          <t>elk</t>
        </is>
      </c>
      <c r="D4091" s="4" t="n">
        <v>2018</v>
      </c>
      <c r="E4091" s="13" t="inlineStr">
        <is>
          <t>General</t>
        </is>
      </c>
      <c r="F4091" s="5" t="n">
        <v>876</v>
      </c>
      <c r="G4091" s="5" t="n">
        <v>4368</v>
      </c>
      <c r="H4091" s="5" t="n">
        <v>244</v>
      </c>
      <c r="I4091" s="5" t="n">
        <v>98</v>
      </c>
      <c r="J4091" s="5" t="n">
        <v>128</v>
      </c>
      <c r="K4091" s="10">
        <f>IF(F4091&gt;0,H4091/F4091,"")</f>
        <v/>
      </c>
      <c r="L4091" s="16">
        <f>IF(AND(G4091&gt;0,H4091&gt;0),G4091/H4091,"")</f>
        <v/>
      </c>
    </row>
    <row r="4092">
      <c r="A4092" s="4" t="inlineStr">
        <is>
          <t>452</t>
        </is>
      </c>
      <c r="B4092" s="4" t="n">
        <v>4</v>
      </c>
      <c r="C4092" s="4" t="inlineStr">
        <is>
          <t>elk</t>
        </is>
      </c>
      <c r="D4092" s="4" t="n">
        <v>2019</v>
      </c>
      <c r="E4092" s="13" t="inlineStr">
        <is>
          <t>General</t>
        </is>
      </c>
      <c r="F4092" s="5" t="n"/>
      <c r="G4092" s="5" t="n"/>
      <c r="H4092" s="5" t="n">
        <v>249</v>
      </c>
      <c r="I4092" s="5" t="n">
        <v>114</v>
      </c>
      <c r="J4092" s="5" t="n">
        <v>132</v>
      </c>
      <c r="K4092" s="10">
        <f>IF(F4092&gt;0,H4092/F4092,"")</f>
        <v/>
      </c>
      <c r="L4092" s="16">
        <f>IF(AND(G4092&gt;0,H4092&gt;0),G4092/H4092,"")</f>
        <v/>
      </c>
    </row>
    <row r="4093">
      <c r="A4093" s="4" t="inlineStr">
        <is>
          <t>452</t>
        </is>
      </c>
      <c r="B4093" s="4" t="n">
        <v>4</v>
      </c>
      <c r="C4093" s="4" t="inlineStr">
        <is>
          <t>elk</t>
        </is>
      </c>
      <c r="D4093" s="4" t="n">
        <v>2020</v>
      </c>
      <c r="E4093" s="13" t="inlineStr">
        <is>
          <t>General</t>
        </is>
      </c>
      <c r="F4093" s="5" t="n">
        <v>1498</v>
      </c>
      <c r="G4093" s="5" t="n">
        <v>8386</v>
      </c>
      <c r="H4093" s="5" t="n">
        <v>414</v>
      </c>
      <c r="I4093" s="5" t="n">
        <v>187</v>
      </c>
      <c r="J4093" s="5" t="n">
        <v>223</v>
      </c>
      <c r="K4093" s="10">
        <f>IF(F4093&gt;0,H4093/F4093,"")</f>
        <v/>
      </c>
      <c r="L4093" s="16">
        <f>IF(AND(G4093&gt;0,H4093&gt;0),G4093/H4093,"")</f>
        <v/>
      </c>
    </row>
    <row r="4094">
      <c r="A4094" s="4" t="inlineStr">
        <is>
          <t>452</t>
        </is>
      </c>
      <c r="B4094" s="4" t="n">
        <v>4</v>
      </c>
      <c r="C4094" s="4" t="inlineStr">
        <is>
          <t>elk</t>
        </is>
      </c>
      <c r="D4094" s="4" t="n">
        <v>2021</v>
      </c>
      <c r="E4094" s="13" t="inlineStr">
        <is>
          <t>General</t>
        </is>
      </c>
      <c r="F4094" s="5" t="n"/>
      <c r="G4094" s="5" t="n"/>
      <c r="H4094" s="5" t="n">
        <v>335</v>
      </c>
      <c r="I4094" s="5" t="n">
        <v>146</v>
      </c>
      <c r="J4094" s="5" t="n">
        <v>170</v>
      </c>
      <c r="K4094" s="10">
        <f>IF(F4094&gt;0,H4094/F4094,"")</f>
        <v/>
      </c>
      <c r="L4094" s="16">
        <f>IF(AND(G4094&gt;0,H4094&gt;0),G4094/H4094,"")</f>
        <v/>
      </c>
    </row>
    <row r="4095">
      <c r="A4095" s="4" t="inlineStr">
        <is>
          <t>452</t>
        </is>
      </c>
      <c r="B4095" s="4" t="n">
        <v>4</v>
      </c>
      <c r="C4095" s="4" t="inlineStr">
        <is>
          <t>elk</t>
        </is>
      </c>
      <c r="D4095" s="4" t="n">
        <v>2022</v>
      </c>
      <c r="E4095" s="13" t="inlineStr">
        <is>
          <t>General</t>
        </is>
      </c>
      <c r="F4095" s="5" t="n">
        <v>1366</v>
      </c>
      <c r="G4095" s="5" t="n">
        <v>7631</v>
      </c>
      <c r="H4095" s="5" t="n">
        <v>360</v>
      </c>
      <c r="I4095" s="5" t="n">
        <v>178</v>
      </c>
      <c r="J4095" s="5" t="n">
        <v>181</v>
      </c>
      <c r="K4095" s="10">
        <f>IF(F4095&gt;0,H4095/F4095,"")</f>
        <v/>
      </c>
      <c r="L4095" s="16">
        <f>IF(AND(G4095&gt;0,H4095&gt;0),G4095/H4095,"")</f>
        <v/>
      </c>
    </row>
    <row r="4096">
      <c r="A4096" s="4" t="inlineStr">
        <is>
          <t>452</t>
        </is>
      </c>
      <c r="B4096" s="4" t="n">
        <v>4</v>
      </c>
      <c r="C4096" s="4" t="inlineStr">
        <is>
          <t>elk</t>
        </is>
      </c>
      <c r="D4096" s="4" t="n">
        <v>2023</v>
      </c>
      <c r="E4096" s="13" t="inlineStr">
        <is>
          <t>General</t>
        </is>
      </c>
      <c r="F4096" s="5" t="n"/>
      <c r="G4096" s="5" t="n"/>
      <c r="H4096" s="5" t="n">
        <v>284</v>
      </c>
      <c r="I4096" s="5" t="n">
        <v>122</v>
      </c>
      <c r="J4096" s="5" t="n">
        <v>160</v>
      </c>
      <c r="K4096" s="10">
        <f>IF(F4096&gt;0,H4096/F4096,"")</f>
        <v/>
      </c>
      <c r="L4096" s="16">
        <f>IF(AND(G4096&gt;0,H4096&gt;0),G4096/H4096,"")</f>
        <v/>
      </c>
    </row>
    <row r="4097">
      <c r="A4097" s="4" t="inlineStr">
        <is>
          <t>452</t>
        </is>
      </c>
      <c r="B4097" s="4" t="n">
        <v>4</v>
      </c>
      <c r="C4097" s="4" t="inlineStr">
        <is>
          <t>elk</t>
        </is>
      </c>
      <c r="D4097" s="4" t="n">
        <v>2024</v>
      </c>
      <c r="E4097" s="13" t="inlineStr">
        <is>
          <t>General</t>
        </is>
      </c>
      <c r="F4097" s="5" t="n">
        <v>1349</v>
      </c>
      <c r="G4097" s="5" t="n">
        <v>8575</v>
      </c>
      <c r="H4097" s="5" t="n">
        <v>334</v>
      </c>
      <c r="I4097" s="5" t="n">
        <v>141</v>
      </c>
      <c r="J4097" s="5" t="n">
        <v>179</v>
      </c>
      <c r="K4097" s="10">
        <f>IF(F4097&gt;0,H4097/F4097,"")</f>
        <v/>
      </c>
      <c r="L4097" s="16">
        <f>IF(AND(G4097&gt;0,H4097&gt;0),G4097/H4097,"")</f>
        <v/>
      </c>
    </row>
    <row r="4098">
      <c r="A4098" s="4" t="inlineStr">
        <is>
          <t>452</t>
        </is>
      </c>
      <c r="B4098" s="4" t="n">
        <v>4</v>
      </c>
      <c r="C4098" s="4" t="inlineStr">
        <is>
          <t>elk</t>
        </is>
      </c>
      <c r="D4098" s="4" t="n">
        <v>2025</v>
      </c>
      <c r="E4098" s="13" t="inlineStr">
        <is>
          <t>General</t>
        </is>
      </c>
      <c r="F4098" s="5" t="n"/>
      <c r="G4098" s="5" t="n"/>
      <c r="H4098" s="5" t="n">
        <v>299</v>
      </c>
      <c r="I4098" s="5" t="n">
        <v>173</v>
      </c>
      <c r="J4098" s="5" t="n">
        <v>119</v>
      </c>
      <c r="K4098" s="10">
        <f>IF(F4098&gt;0,H4098/F4098,"")</f>
        <v/>
      </c>
      <c r="L4098" s="16">
        <f>IF(AND(G4098&gt;0,H4098&gt;0),G4098/H4098,"")</f>
        <v/>
      </c>
    </row>
    <row r="4099">
      <c r="A4099" s="4" t="inlineStr">
        <is>
          <t>454</t>
        </is>
      </c>
      <c r="B4099" s="4" t="n">
        <v>4</v>
      </c>
      <c r="C4099" s="4" t="inlineStr">
        <is>
          <t>elk</t>
        </is>
      </c>
      <c r="D4099" s="4" t="n">
        <v>2004</v>
      </c>
      <c r="E4099" s="4" t="inlineStr"/>
      <c r="F4099" s="5" t="n">
        <v>1038</v>
      </c>
      <c r="G4099" s="5" t="n">
        <v>5018</v>
      </c>
      <c r="H4099" s="5" t="n">
        <v>157</v>
      </c>
      <c r="I4099" s="5" t="n">
        <v>88</v>
      </c>
      <c r="J4099" s="5" t="n">
        <v>59</v>
      </c>
      <c r="K4099" s="10">
        <f>IF(F4099&gt;0,H4099/F4099,"")</f>
        <v/>
      </c>
      <c r="L4099" s="16">
        <f>IF(AND(G4099&gt;0,H4099&gt;0),G4099/H4099,"")</f>
        <v/>
      </c>
    </row>
    <row r="4100">
      <c r="A4100" s="4" t="inlineStr">
        <is>
          <t>454</t>
        </is>
      </c>
      <c r="B4100" s="4" t="n">
        <v>4</v>
      </c>
      <c r="C4100" s="4" t="inlineStr">
        <is>
          <t>elk</t>
        </is>
      </c>
      <c r="D4100" s="4" t="n">
        <v>2005</v>
      </c>
      <c r="E4100" s="4" t="inlineStr"/>
      <c r="F4100" s="5" t="n">
        <v>747</v>
      </c>
      <c r="G4100" s="5" t="n">
        <v>4193</v>
      </c>
      <c r="H4100" s="5" t="n">
        <v>109</v>
      </c>
      <c r="I4100" s="5" t="n">
        <v>84</v>
      </c>
      <c r="J4100" s="5" t="n">
        <v>23</v>
      </c>
      <c r="K4100" s="10">
        <f>IF(F4100&gt;0,H4100/F4100,"")</f>
        <v/>
      </c>
      <c r="L4100" s="16">
        <f>IF(AND(G4100&gt;0,H4100&gt;0),G4100/H4100,"")</f>
        <v/>
      </c>
    </row>
    <row r="4101">
      <c r="A4101" s="4" t="inlineStr">
        <is>
          <t>454</t>
        </is>
      </c>
      <c r="B4101" s="4" t="n">
        <v>4</v>
      </c>
      <c r="C4101" s="4" t="inlineStr">
        <is>
          <t>elk</t>
        </is>
      </c>
      <c r="D4101" s="4" t="n">
        <v>2006</v>
      </c>
      <c r="E4101" s="4" t="inlineStr"/>
      <c r="F4101" s="5" t="n">
        <v>707</v>
      </c>
      <c r="G4101" s="5" t="n">
        <v>3833</v>
      </c>
      <c r="H4101" s="5" t="n">
        <v>244</v>
      </c>
      <c r="I4101" s="5" t="n">
        <v>127</v>
      </c>
      <c r="J4101" s="5" t="n">
        <v>96</v>
      </c>
      <c r="K4101" s="10">
        <f>IF(F4101&gt;0,H4101/F4101,"")</f>
        <v/>
      </c>
      <c r="L4101" s="16">
        <f>IF(AND(G4101&gt;0,H4101&gt;0),G4101/H4101,"")</f>
        <v/>
      </c>
    </row>
    <row r="4102">
      <c r="A4102" s="4" t="inlineStr">
        <is>
          <t>454</t>
        </is>
      </c>
      <c r="B4102" s="4" t="n">
        <v>4</v>
      </c>
      <c r="C4102" s="4" t="inlineStr">
        <is>
          <t>elk</t>
        </is>
      </c>
      <c r="D4102" s="4" t="n">
        <v>2007</v>
      </c>
      <c r="E4102" s="4" t="inlineStr"/>
      <c r="F4102" s="5" t="n">
        <v>1027</v>
      </c>
      <c r="G4102" s="5" t="n">
        <v>6235</v>
      </c>
      <c r="H4102" s="5" t="n">
        <v>164</v>
      </c>
      <c r="I4102" s="5" t="n">
        <v>80</v>
      </c>
      <c r="J4102" s="5" t="n">
        <v>79</v>
      </c>
      <c r="K4102" s="10">
        <f>IF(F4102&gt;0,H4102/F4102,"")</f>
        <v/>
      </c>
      <c r="L4102" s="16">
        <f>IF(AND(G4102&gt;0,H4102&gt;0),G4102/H4102,"")</f>
        <v/>
      </c>
    </row>
    <row r="4103">
      <c r="A4103" s="4" t="inlineStr">
        <is>
          <t>454</t>
        </is>
      </c>
      <c r="B4103" s="4" t="n">
        <v>4</v>
      </c>
      <c r="C4103" s="4" t="inlineStr">
        <is>
          <t>elk</t>
        </is>
      </c>
      <c r="D4103" s="4" t="n">
        <v>2008</v>
      </c>
      <c r="E4103" s="4" t="inlineStr"/>
      <c r="F4103" s="5" t="n">
        <v>892</v>
      </c>
      <c r="G4103" s="5" t="n">
        <v>5104</v>
      </c>
      <c r="H4103" s="5" t="n">
        <v>134</v>
      </c>
      <c r="I4103" s="5" t="n">
        <v>53</v>
      </c>
      <c r="J4103" s="5" t="n">
        <v>68</v>
      </c>
      <c r="K4103" s="10">
        <f>IF(F4103&gt;0,H4103/F4103,"")</f>
        <v/>
      </c>
      <c r="L4103" s="16">
        <f>IF(AND(G4103&gt;0,H4103&gt;0),G4103/H4103,"")</f>
        <v/>
      </c>
    </row>
    <row r="4104">
      <c r="A4104" s="4" t="inlineStr">
        <is>
          <t>454</t>
        </is>
      </c>
      <c r="B4104" s="4" t="n">
        <v>4</v>
      </c>
      <c r="C4104" s="4" t="inlineStr">
        <is>
          <t>elk</t>
        </is>
      </c>
      <c r="D4104" s="4" t="n">
        <v>2009</v>
      </c>
      <c r="E4104" s="4" t="inlineStr"/>
      <c r="F4104" s="5" t="n">
        <v>961</v>
      </c>
      <c r="G4104" s="5" t="n">
        <v>5531</v>
      </c>
      <c r="H4104" s="5" t="n">
        <v>163</v>
      </c>
      <c r="I4104" s="5" t="n">
        <v>65</v>
      </c>
      <c r="J4104" s="5" t="n">
        <v>83</v>
      </c>
      <c r="K4104" s="10">
        <f>IF(F4104&gt;0,H4104/F4104,"")</f>
        <v/>
      </c>
      <c r="L4104" s="16">
        <f>IF(AND(G4104&gt;0,H4104&gt;0),G4104/H4104,"")</f>
        <v/>
      </c>
    </row>
    <row r="4105">
      <c r="A4105" s="4" t="inlineStr">
        <is>
          <t>454</t>
        </is>
      </c>
      <c r="B4105" s="4" t="n">
        <v>4</v>
      </c>
      <c r="C4105" s="4" t="inlineStr">
        <is>
          <t>elk</t>
        </is>
      </c>
      <c r="D4105" s="4" t="n">
        <v>2010</v>
      </c>
      <c r="E4105" s="4" t="inlineStr"/>
      <c r="F4105" s="5" t="n">
        <v>891</v>
      </c>
      <c r="G4105" s="5" t="n">
        <v>5037</v>
      </c>
      <c r="H4105" s="5" t="n">
        <v>146</v>
      </c>
      <c r="I4105" s="5" t="n">
        <v>53</v>
      </c>
      <c r="J4105" s="5" t="n">
        <v>85</v>
      </c>
      <c r="K4105" s="10">
        <f>IF(F4105&gt;0,H4105/F4105,"")</f>
        <v/>
      </c>
      <c r="L4105" s="16">
        <f>IF(AND(G4105&gt;0,H4105&gt;0),G4105/H4105,"")</f>
        <v/>
      </c>
    </row>
    <row r="4106">
      <c r="A4106" s="4" t="inlineStr">
        <is>
          <t>454</t>
        </is>
      </c>
      <c r="B4106" s="4" t="n">
        <v>4</v>
      </c>
      <c r="C4106" s="4" t="inlineStr">
        <is>
          <t>elk</t>
        </is>
      </c>
      <c r="D4106" s="4" t="n">
        <v>2011</v>
      </c>
      <c r="E4106" s="4" t="inlineStr"/>
      <c r="F4106" s="5" t="n">
        <v>1020</v>
      </c>
      <c r="G4106" s="5" t="n">
        <v>5322</v>
      </c>
      <c r="H4106" s="5" t="n">
        <v>150</v>
      </c>
      <c r="I4106" s="5" t="n">
        <v>75</v>
      </c>
      <c r="J4106" s="5" t="n">
        <v>69</v>
      </c>
      <c r="K4106" s="10">
        <f>IF(F4106&gt;0,H4106/F4106,"")</f>
        <v/>
      </c>
      <c r="L4106" s="16">
        <f>IF(AND(G4106&gt;0,H4106&gt;0),G4106/H4106,"")</f>
        <v/>
      </c>
    </row>
    <row r="4107">
      <c r="A4107" s="4" t="inlineStr">
        <is>
          <t>454</t>
        </is>
      </c>
      <c r="B4107" s="4" t="n">
        <v>4</v>
      </c>
      <c r="C4107" s="4" t="inlineStr">
        <is>
          <t>elk</t>
        </is>
      </c>
      <c r="D4107" s="4" t="n">
        <v>2012</v>
      </c>
      <c r="E4107" s="4" t="inlineStr"/>
      <c r="F4107" s="5" t="n">
        <v>926</v>
      </c>
      <c r="G4107" s="5" t="n">
        <v>5060</v>
      </c>
      <c r="H4107" s="5" t="n">
        <v>122</v>
      </c>
      <c r="I4107" s="5" t="n">
        <v>69</v>
      </c>
      <c r="J4107" s="5" t="n">
        <v>51</v>
      </c>
      <c r="K4107" s="10">
        <f>IF(F4107&gt;0,H4107/F4107,"")</f>
        <v/>
      </c>
      <c r="L4107" s="16">
        <f>IF(AND(G4107&gt;0,H4107&gt;0),G4107/H4107,"")</f>
        <v/>
      </c>
    </row>
    <row r="4108">
      <c r="A4108" s="4" t="inlineStr">
        <is>
          <t>454</t>
        </is>
      </c>
      <c r="B4108" s="4" t="n">
        <v>4</v>
      </c>
      <c r="C4108" s="4" t="inlineStr">
        <is>
          <t>elk</t>
        </is>
      </c>
      <c r="D4108" s="4" t="n">
        <v>2013</v>
      </c>
      <c r="E4108" s="4" t="inlineStr"/>
      <c r="F4108" s="5" t="n"/>
      <c r="G4108" s="5" t="n"/>
      <c r="H4108" s="5" t="n">
        <v>136</v>
      </c>
      <c r="I4108" s="5" t="n">
        <v>61</v>
      </c>
      <c r="J4108" s="5" t="n">
        <v>66</v>
      </c>
      <c r="K4108" s="10">
        <f>IF(F4108&gt;0,H4108/F4108,"")</f>
        <v/>
      </c>
      <c r="L4108" s="16">
        <f>IF(AND(G4108&gt;0,H4108&gt;0),G4108/H4108,"")</f>
        <v/>
      </c>
    </row>
    <row r="4109">
      <c r="A4109" s="4" t="inlineStr">
        <is>
          <t>454</t>
        </is>
      </c>
      <c r="B4109" s="4" t="n">
        <v>4</v>
      </c>
      <c r="C4109" s="4" t="inlineStr">
        <is>
          <t>elk</t>
        </is>
      </c>
      <c r="D4109" s="4" t="n">
        <v>2014</v>
      </c>
      <c r="E4109" s="4" t="inlineStr"/>
      <c r="F4109" s="5" t="n">
        <v>1211</v>
      </c>
      <c r="G4109" s="5" t="n">
        <v>7895</v>
      </c>
      <c r="H4109" s="5" t="n">
        <v>162</v>
      </c>
      <c r="I4109" s="5" t="n">
        <v>65</v>
      </c>
      <c r="J4109" s="5" t="n">
        <v>92</v>
      </c>
      <c r="K4109" s="10">
        <f>IF(F4109&gt;0,H4109/F4109,"")</f>
        <v/>
      </c>
      <c r="L4109" s="16">
        <f>IF(AND(G4109&gt;0,H4109&gt;0),G4109/H4109,"")</f>
        <v/>
      </c>
    </row>
    <row r="4110">
      <c r="A4110" s="4" t="inlineStr">
        <is>
          <t>454</t>
        </is>
      </c>
      <c r="B4110" s="4" t="n">
        <v>4</v>
      </c>
      <c r="C4110" s="4" t="inlineStr">
        <is>
          <t>elk</t>
        </is>
      </c>
      <c r="D4110" s="4" t="n">
        <v>2015</v>
      </c>
      <c r="E4110" s="4" t="inlineStr"/>
      <c r="F4110" s="5" t="n">
        <v>945</v>
      </c>
      <c r="G4110" s="5" t="n">
        <v>5699</v>
      </c>
      <c r="H4110" s="5" t="n">
        <v>155</v>
      </c>
      <c r="I4110" s="5" t="n">
        <v>78</v>
      </c>
      <c r="J4110" s="5" t="n">
        <v>74</v>
      </c>
      <c r="K4110" s="10">
        <f>IF(F4110&gt;0,H4110/F4110,"")</f>
        <v/>
      </c>
      <c r="L4110" s="16">
        <f>IF(AND(G4110&gt;0,H4110&gt;0),G4110/H4110,"")</f>
        <v/>
      </c>
    </row>
    <row r="4111">
      <c r="A4111" s="4" t="inlineStr">
        <is>
          <t>454</t>
        </is>
      </c>
      <c r="B4111" s="4" t="n">
        <v>4</v>
      </c>
      <c r="C4111" s="4" t="inlineStr">
        <is>
          <t>elk</t>
        </is>
      </c>
      <c r="D4111" s="4" t="n">
        <v>2016</v>
      </c>
      <c r="E4111" s="4" t="inlineStr"/>
      <c r="F4111" s="5" t="n">
        <v>886</v>
      </c>
      <c r="G4111" s="5" t="n">
        <v>5360</v>
      </c>
      <c r="H4111" s="5" t="n">
        <v>126</v>
      </c>
      <c r="I4111" s="5" t="n">
        <v>70</v>
      </c>
      <c r="J4111" s="5" t="n">
        <v>50</v>
      </c>
      <c r="K4111" s="10">
        <f>IF(F4111&gt;0,H4111/F4111,"")</f>
        <v/>
      </c>
      <c r="L4111" s="16">
        <f>IF(AND(G4111&gt;0,H4111&gt;0),G4111/H4111,"")</f>
        <v/>
      </c>
    </row>
    <row r="4112">
      <c r="A4112" s="4" t="inlineStr">
        <is>
          <t>454</t>
        </is>
      </c>
      <c r="B4112" s="4" t="n">
        <v>4</v>
      </c>
      <c r="C4112" s="4" t="inlineStr">
        <is>
          <t>elk</t>
        </is>
      </c>
      <c r="D4112" s="4" t="n">
        <v>2017</v>
      </c>
      <c r="E4112" s="4" t="inlineStr"/>
      <c r="F4112" s="5" t="n"/>
      <c r="G4112" s="5" t="n"/>
      <c r="H4112" s="5" t="n">
        <v>140</v>
      </c>
      <c r="I4112" s="5" t="n">
        <v>51</v>
      </c>
      <c r="J4112" s="5" t="n">
        <v>83</v>
      </c>
      <c r="K4112" s="10">
        <f>IF(F4112&gt;0,H4112/F4112,"")</f>
        <v/>
      </c>
      <c r="L4112" s="16">
        <f>IF(AND(G4112&gt;0,H4112&gt;0),G4112/H4112,"")</f>
        <v/>
      </c>
    </row>
    <row r="4113">
      <c r="A4113" s="4" t="inlineStr">
        <is>
          <t>454</t>
        </is>
      </c>
      <c r="B4113" s="4" t="n">
        <v>4</v>
      </c>
      <c r="C4113" s="4" t="inlineStr">
        <is>
          <t>elk</t>
        </is>
      </c>
      <c r="D4113" s="4" t="n">
        <v>2018</v>
      </c>
      <c r="E4113" s="4" t="inlineStr"/>
      <c r="F4113" s="5" t="n">
        <v>933</v>
      </c>
      <c r="G4113" s="5" t="n">
        <v>5482</v>
      </c>
      <c r="H4113" s="5" t="n">
        <v>171</v>
      </c>
      <c r="I4113" s="5" t="n">
        <v>92</v>
      </c>
      <c r="J4113" s="5" t="n">
        <v>64</v>
      </c>
      <c r="K4113" s="10">
        <f>IF(F4113&gt;0,H4113/F4113,"")</f>
        <v/>
      </c>
      <c r="L4113" s="16">
        <f>IF(AND(G4113&gt;0,H4113&gt;0),G4113/H4113,"")</f>
        <v/>
      </c>
    </row>
    <row r="4114">
      <c r="A4114" s="4" t="inlineStr">
        <is>
          <t>454</t>
        </is>
      </c>
      <c r="B4114" s="4" t="n">
        <v>4</v>
      </c>
      <c r="C4114" s="4" t="inlineStr">
        <is>
          <t>elk</t>
        </is>
      </c>
      <c r="D4114" s="4" t="n">
        <v>2019</v>
      </c>
      <c r="E4114" s="4" t="inlineStr"/>
      <c r="F4114" s="5" t="n"/>
      <c r="G4114" s="5" t="n"/>
      <c r="H4114" s="5" t="n">
        <v>165</v>
      </c>
      <c r="I4114" s="5" t="n">
        <v>70</v>
      </c>
      <c r="J4114" s="5" t="n">
        <v>83</v>
      </c>
      <c r="K4114" s="10">
        <f>IF(F4114&gt;0,H4114/F4114,"")</f>
        <v/>
      </c>
      <c r="L4114" s="16">
        <f>IF(AND(G4114&gt;0,H4114&gt;0),G4114/H4114,"")</f>
        <v/>
      </c>
    </row>
    <row r="4115">
      <c r="A4115" s="4" t="inlineStr">
        <is>
          <t>454</t>
        </is>
      </c>
      <c r="B4115" s="4" t="n">
        <v>4</v>
      </c>
      <c r="C4115" s="4" t="inlineStr">
        <is>
          <t>elk</t>
        </is>
      </c>
      <c r="D4115" s="4" t="n">
        <v>2020</v>
      </c>
      <c r="E4115" s="4" t="inlineStr"/>
      <c r="F4115" s="5" t="n">
        <v>1006</v>
      </c>
      <c r="G4115" s="5" t="n">
        <v>6977</v>
      </c>
      <c r="H4115" s="5" t="n">
        <v>138</v>
      </c>
      <c r="I4115" s="5" t="n">
        <v>58</v>
      </c>
      <c r="J4115" s="5" t="n">
        <v>69</v>
      </c>
      <c r="K4115" s="10">
        <f>IF(F4115&gt;0,H4115/F4115,"")</f>
        <v/>
      </c>
      <c r="L4115" s="16">
        <f>IF(AND(G4115&gt;0,H4115&gt;0),G4115/H4115,"")</f>
        <v/>
      </c>
    </row>
    <row r="4116">
      <c r="A4116" s="4" t="inlineStr">
        <is>
          <t>454</t>
        </is>
      </c>
      <c r="B4116" s="4" t="n">
        <v>4</v>
      </c>
      <c r="C4116" s="4" t="inlineStr">
        <is>
          <t>elk</t>
        </is>
      </c>
      <c r="D4116" s="4" t="n">
        <v>2021</v>
      </c>
      <c r="E4116" s="4" t="inlineStr"/>
      <c r="F4116" s="5" t="n"/>
      <c r="G4116" s="5" t="n"/>
      <c r="H4116" s="5" t="n">
        <v>77</v>
      </c>
      <c r="I4116" s="5" t="n">
        <v>37</v>
      </c>
      <c r="J4116" s="5" t="n">
        <v>40</v>
      </c>
      <c r="K4116" s="10">
        <f>IF(F4116&gt;0,H4116/F4116,"")</f>
        <v/>
      </c>
      <c r="L4116" s="16">
        <f>IF(AND(G4116&gt;0,H4116&gt;0),G4116/H4116,"")</f>
        <v/>
      </c>
    </row>
    <row r="4117">
      <c r="A4117" s="4" t="inlineStr">
        <is>
          <t>455</t>
        </is>
      </c>
      <c r="B4117" s="4" t="n">
        <v>4</v>
      </c>
      <c r="C4117" s="4" t="inlineStr">
        <is>
          <t>elk</t>
        </is>
      </c>
      <c r="D4117" s="4" t="n">
        <v>2004</v>
      </c>
      <c r="E4117" s="15" t="inlineStr">
        <is>
          <t>Draw</t>
        </is>
      </c>
      <c r="F4117" s="5" t="n">
        <v>119</v>
      </c>
      <c r="G4117" s="5" t="n">
        <v>583</v>
      </c>
      <c r="H4117" s="5" t="n">
        <v>43</v>
      </c>
      <c r="I4117" s="5" t="n">
        <v>31</v>
      </c>
      <c r="J4117" s="5" t="n">
        <v>12</v>
      </c>
      <c r="K4117" s="10">
        <f>IF(F4117&gt;0,H4117/F4117,"")</f>
        <v/>
      </c>
      <c r="L4117" s="16">
        <f>IF(AND(G4117&gt;0,H4117&gt;0),G4117/H4117,"")</f>
        <v/>
      </c>
    </row>
    <row r="4118">
      <c r="A4118" s="4" t="inlineStr">
        <is>
          <t>455</t>
        </is>
      </c>
      <c r="B4118" s="4" t="n">
        <v>4</v>
      </c>
      <c r="C4118" s="4" t="inlineStr">
        <is>
          <t>elk</t>
        </is>
      </c>
      <c r="D4118" s="4" t="n">
        <v>2005</v>
      </c>
      <c r="E4118" s="15" t="inlineStr">
        <is>
          <t>Draw</t>
        </is>
      </c>
      <c r="F4118" s="5" t="n">
        <v>120</v>
      </c>
      <c r="G4118" s="5" t="n">
        <v>768</v>
      </c>
      <c r="H4118" s="5" t="n">
        <v>50</v>
      </c>
      <c r="I4118" s="5" t="n">
        <v>49</v>
      </c>
      <c r="J4118" s="5" t="n">
        <v>1</v>
      </c>
      <c r="K4118" s="10">
        <f>IF(F4118&gt;0,H4118/F4118,"")</f>
        <v/>
      </c>
      <c r="L4118" s="16">
        <f>IF(AND(G4118&gt;0,H4118&gt;0),G4118/H4118,"")</f>
        <v/>
      </c>
    </row>
    <row r="4119">
      <c r="A4119" s="4" t="inlineStr">
        <is>
          <t>455</t>
        </is>
      </c>
      <c r="B4119" s="4" t="n">
        <v>4</v>
      </c>
      <c r="C4119" s="4" t="inlineStr">
        <is>
          <t>elk</t>
        </is>
      </c>
      <c r="D4119" s="4" t="n">
        <v>2006</v>
      </c>
      <c r="E4119" s="15" t="inlineStr">
        <is>
          <t>Draw</t>
        </is>
      </c>
      <c r="F4119" s="5" t="n">
        <v>145</v>
      </c>
      <c r="G4119" s="5" t="n">
        <v>782</v>
      </c>
      <c r="H4119" s="5" t="n">
        <v>66</v>
      </c>
      <c r="I4119" s="5" t="n">
        <v>45</v>
      </c>
      <c r="J4119" s="5" t="n">
        <v>21</v>
      </c>
      <c r="K4119" s="10">
        <f>IF(F4119&gt;0,H4119/F4119,"")</f>
        <v/>
      </c>
      <c r="L4119" s="16">
        <f>IF(AND(G4119&gt;0,H4119&gt;0),G4119/H4119,"")</f>
        <v/>
      </c>
    </row>
    <row r="4120">
      <c r="A4120" s="4" t="inlineStr">
        <is>
          <t>455</t>
        </is>
      </c>
      <c r="B4120" s="4" t="n">
        <v>4</v>
      </c>
      <c r="C4120" s="4" t="inlineStr">
        <is>
          <t>elk</t>
        </is>
      </c>
      <c r="D4120" s="4" t="n">
        <v>2007</v>
      </c>
      <c r="E4120" s="15" t="inlineStr">
        <is>
          <t>Draw</t>
        </is>
      </c>
      <c r="F4120" s="5" t="n">
        <v>201</v>
      </c>
      <c r="G4120" s="5" t="n">
        <v>1051</v>
      </c>
      <c r="H4120" s="5" t="n">
        <v>61</v>
      </c>
      <c r="I4120" s="5" t="n">
        <v>42</v>
      </c>
      <c r="J4120" s="5" t="n">
        <v>12</v>
      </c>
      <c r="K4120" s="10">
        <f>IF(F4120&gt;0,H4120/F4120,"")</f>
        <v/>
      </c>
      <c r="L4120" s="16">
        <f>IF(AND(G4120&gt;0,H4120&gt;0),G4120/H4120,"")</f>
        <v/>
      </c>
    </row>
    <row r="4121">
      <c r="A4121" s="4" t="inlineStr">
        <is>
          <t>455</t>
        </is>
      </c>
      <c r="B4121" s="4" t="n">
        <v>4</v>
      </c>
      <c r="C4121" s="4" t="inlineStr">
        <is>
          <t>elk</t>
        </is>
      </c>
      <c r="D4121" s="4" t="n">
        <v>2008</v>
      </c>
      <c r="E4121" s="15" t="inlineStr">
        <is>
          <t>Draw</t>
        </is>
      </c>
      <c r="F4121" s="5" t="n">
        <v>272</v>
      </c>
      <c r="G4121" s="5" t="n">
        <v>1331</v>
      </c>
      <c r="H4121" s="5" t="n">
        <v>76</v>
      </c>
      <c r="I4121" s="5" t="n">
        <v>41</v>
      </c>
      <c r="J4121" s="5" t="n">
        <v>27</v>
      </c>
      <c r="K4121" s="10">
        <f>IF(F4121&gt;0,H4121/F4121,"")</f>
        <v/>
      </c>
      <c r="L4121" s="16">
        <f>IF(AND(G4121&gt;0,H4121&gt;0),G4121/H4121,"")</f>
        <v/>
      </c>
    </row>
    <row r="4122">
      <c r="A4122" s="4" t="inlineStr">
        <is>
          <t>455</t>
        </is>
      </c>
      <c r="B4122" s="4" t="n">
        <v>4</v>
      </c>
      <c r="C4122" s="4" t="inlineStr">
        <is>
          <t>elk</t>
        </is>
      </c>
      <c r="D4122" s="4" t="n">
        <v>2009</v>
      </c>
      <c r="E4122" s="15" t="inlineStr">
        <is>
          <t>Draw</t>
        </is>
      </c>
      <c r="F4122" s="5" t="n">
        <v>214</v>
      </c>
      <c r="G4122" s="5" t="n">
        <v>1082</v>
      </c>
      <c r="H4122" s="5" t="n">
        <v>81</v>
      </c>
      <c r="I4122" s="5" t="n">
        <v>62</v>
      </c>
      <c r="J4122" s="5" t="n">
        <v>17</v>
      </c>
      <c r="K4122" s="10">
        <f>IF(F4122&gt;0,H4122/F4122,"")</f>
        <v/>
      </c>
      <c r="L4122" s="16">
        <f>IF(AND(G4122&gt;0,H4122&gt;0),G4122/H4122,"")</f>
        <v/>
      </c>
    </row>
    <row r="4123">
      <c r="A4123" s="4" t="inlineStr">
        <is>
          <t>455</t>
        </is>
      </c>
      <c r="B4123" s="4" t="n">
        <v>4</v>
      </c>
      <c r="C4123" s="4" t="inlineStr">
        <is>
          <t>elk</t>
        </is>
      </c>
      <c r="D4123" s="4" t="n">
        <v>2010</v>
      </c>
      <c r="E4123" s="15" t="inlineStr">
        <is>
          <t>Draw</t>
        </is>
      </c>
      <c r="F4123" s="5" t="n">
        <v>203</v>
      </c>
      <c r="G4123" s="5" t="n">
        <v>1208</v>
      </c>
      <c r="H4123" s="5" t="n">
        <v>105</v>
      </c>
      <c r="I4123" s="5" t="n">
        <v>60</v>
      </c>
      <c r="J4123" s="5" t="n">
        <v>38</v>
      </c>
      <c r="K4123" s="10">
        <f>IF(F4123&gt;0,H4123/F4123,"")</f>
        <v/>
      </c>
      <c r="L4123" s="16">
        <f>IF(AND(G4123&gt;0,H4123&gt;0),G4123/H4123,"")</f>
        <v/>
      </c>
    </row>
    <row r="4124">
      <c r="A4124" s="4" t="inlineStr">
        <is>
          <t>455</t>
        </is>
      </c>
      <c r="B4124" s="4" t="n">
        <v>4</v>
      </c>
      <c r="C4124" s="4" t="inlineStr">
        <is>
          <t>elk</t>
        </is>
      </c>
      <c r="D4124" s="4" t="n">
        <v>2011</v>
      </c>
      <c r="E4124" s="15" t="inlineStr">
        <is>
          <t>Draw</t>
        </is>
      </c>
      <c r="F4124" s="5" t="n">
        <v>195</v>
      </c>
      <c r="G4124" s="5" t="n">
        <v>1168</v>
      </c>
      <c r="H4124" s="5" t="n">
        <v>98</v>
      </c>
      <c r="I4124" s="5" t="n">
        <v>43</v>
      </c>
      <c r="J4124" s="5" t="n">
        <v>55</v>
      </c>
      <c r="K4124" s="10">
        <f>IF(F4124&gt;0,H4124/F4124,"")</f>
        <v/>
      </c>
      <c r="L4124" s="16">
        <f>IF(AND(G4124&gt;0,H4124&gt;0),G4124/H4124,"")</f>
        <v/>
      </c>
    </row>
    <row r="4125">
      <c r="A4125" s="4" t="inlineStr">
        <is>
          <t>455</t>
        </is>
      </c>
      <c r="B4125" s="4" t="n">
        <v>4</v>
      </c>
      <c r="C4125" s="4" t="inlineStr">
        <is>
          <t>elk</t>
        </is>
      </c>
      <c r="D4125" s="4" t="n">
        <v>2012</v>
      </c>
      <c r="E4125" s="15" t="inlineStr">
        <is>
          <t>Draw</t>
        </is>
      </c>
      <c r="F4125" s="5" t="n">
        <v>223</v>
      </c>
      <c r="G4125" s="5" t="n">
        <v>1295</v>
      </c>
      <c r="H4125" s="5" t="n">
        <v>84</v>
      </c>
      <c r="I4125" s="5" t="n">
        <v>58</v>
      </c>
      <c r="J4125" s="5" t="n">
        <v>24</v>
      </c>
      <c r="K4125" s="10">
        <f>IF(F4125&gt;0,H4125/F4125,"")</f>
        <v/>
      </c>
      <c r="L4125" s="16">
        <f>IF(AND(G4125&gt;0,H4125&gt;0),G4125/H4125,"")</f>
        <v/>
      </c>
    </row>
    <row r="4126">
      <c r="A4126" s="4" t="inlineStr">
        <is>
          <t>455</t>
        </is>
      </c>
      <c r="B4126" s="4" t="n">
        <v>4</v>
      </c>
      <c r="C4126" s="4" t="inlineStr">
        <is>
          <t>elk</t>
        </is>
      </c>
      <c r="D4126" s="4" t="n">
        <v>2013</v>
      </c>
      <c r="E4126" s="15" t="inlineStr">
        <is>
          <t>Draw</t>
        </is>
      </c>
      <c r="F4126" s="5" t="n"/>
      <c r="G4126" s="5" t="n"/>
      <c r="H4126" s="5" t="n">
        <v>103</v>
      </c>
      <c r="I4126" s="5" t="n">
        <v>42</v>
      </c>
      <c r="J4126" s="5" t="n">
        <v>56</v>
      </c>
      <c r="K4126" s="10">
        <f>IF(F4126&gt;0,H4126/F4126,"")</f>
        <v/>
      </c>
      <c r="L4126" s="16">
        <f>IF(AND(G4126&gt;0,H4126&gt;0),G4126/H4126,"")</f>
        <v/>
      </c>
    </row>
    <row r="4127">
      <c r="A4127" s="4" t="inlineStr">
        <is>
          <t>455</t>
        </is>
      </c>
      <c r="B4127" s="4" t="n">
        <v>4</v>
      </c>
      <c r="C4127" s="4" t="inlineStr">
        <is>
          <t>elk</t>
        </is>
      </c>
      <c r="D4127" s="4" t="n">
        <v>2014</v>
      </c>
      <c r="E4127" s="15" t="inlineStr">
        <is>
          <t>Draw</t>
        </is>
      </c>
      <c r="F4127" s="5" t="n">
        <v>317</v>
      </c>
      <c r="G4127" s="5" t="n">
        <v>1860</v>
      </c>
      <c r="H4127" s="5" t="n">
        <v>131</v>
      </c>
      <c r="I4127" s="5" t="n">
        <v>65</v>
      </c>
      <c r="J4127" s="5" t="n">
        <v>60</v>
      </c>
      <c r="K4127" s="10">
        <f>IF(F4127&gt;0,H4127/F4127,"")</f>
        <v/>
      </c>
      <c r="L4127" s="16">
        <f>IF(AND(G4127&gt;0,H4127&gt;0),G4127/H4127,"")</f>
        <v/>
      </c>
    </row>
    <row r="4128">
      <c r="A4128" s="4" t="inlineStr">
        <is>
          <t>455</t>
        </is>
      </c>
      <c r="B4128" s="4" t="n">
        <v>4</v>
      </c>
      <c r="C4128" s="4" t="inlineStr">
        <is>
          <t>elk</t>
        </is>
      </c>
      <c r="D4128" s="4" t="n">
        <v>2015</v>
      </c>
      <c r="E4128" s="15" t="inlineStr">
        <is>
          <t>Draw</t>
        </is>
      </c>
      <c r="F4128" s="5" t="n">
        <v>278</v>
      </c>
      <c r="G4128" s="5" t="n">
        <v>1972</v>
      </c>
      <c r="H4128" s="5" t="n">
        <v>101</v>
      </c>
      <c r="I4128" s="5" t="n">
        <v>33</v>
      </c>
      <c r="J4128" s="5" t="n">
        <v>62</v>
      </c>
      <c r="K4128" s="10">
        <f>IF(F4128&gt;0,H4128/F4128,"")</f>
        <v/>
      </c>
      <c r="L4128" s="16">
        <f>IF(AND(G4128&gt;0,H4128&gt;0),G4128/H4128,"")</f>
        <v/>
      </c>
    </row>
    <row r="4129">
      <c r="A4129" s="4" t="inlineStr">
        <is>
          <t>455</t>
        </is>
      </c>
      <c r="B4129" s="4" t="n">
        <v>4</v>
      </c>
      <c r="C4129" s="4" t="inlineStr">
        <is>
          <t>elk</t>
        </is>
      </c>
      <c r="D4129" s="4" t="n">
        <v>2016</v>
      </c>
      <c r="E4129" s="15" t="inlineStr">
        <is>
          <t>Draw</t>
        </is>
      </c>
      <c r="F4129" s="5" t="n">
        <v>240</v>
      </c>
      <c r="G4129" s="5" t="n">
        <v>1770</v>
      </c>
      <c r="H4129" s="5" t="n">
        <v>91</v>
      </c>
      <c r="I4129" s="5" t="n">
        <v>23</v>
      </c>
      <c r="J4129" s="5" t="n">
        <v>62</v>
      </c>
      <c r="K4129" s="10">
        <f>IF(F4129&gt;0,H4129/F4129,"")</f>
        <v/>
      </c>
      <c r="L4129" s="16">
        <f>IF(AND(G4129&gt;0,H4129&gt;0),G4129/H4129,"")</f>
        <v/>
      </c>
    </row>
    <row r="4130">
      <c r="A4130" s="4" t="inlineStr">
        <is>
          <t>455</t>
        </is>
      </c>
      <c r="B4130" s="4" t="n">
        <v>4</v>
      </c>
      <c r="C4130" s="4" t="inlineStr">
        <is>
          <t>elk</t>
        </is>
      </c>
      <c r="D4130" s="4" t="n">
        <v>2017</v>
      </c>
      <c r="E4130" s="15" t="inlineStr">
        <is>
          <t>Draw</t>
        </is>
      </c>
      <c r="F4130" s="5" t="n"/>
      <c r="G4130" s="5" t="n"/>
      <c r="H4130" s="5" t="n">
        <v>163</v>
      </c>
      <c r="I4130" s="5" t="n">
        <v>56</v>
      </c>
      <c r="J4130" s="5" t="n">
        <v>96</v>
      </c>
      <c r="K4130" s="10">
        <f>IF(F4130&gt;0,H4130/F4130,"")</f>
        <v/>
      </c>
      <c r="L4130" s="16">
        <f>IF(AND(G4130&gt;0,H4130&gt;0),G4130/H4130,"")</f>
        <v/>
      </c>
    </row>
    <row r="4131">
      <c r="A4131" s="4" t="inlineStr">
        <is>
          <t>455</t>
        </is>
      </c>
      <c r="B4131" s="4" t="n">
        <v>4</v>
      </c>
      <c r="C4131" s="4" t="inlineStr">
        <is>
          <t>elk</t>
        </is>
      </c>
      <c r="D4131" s="4" t="n">
        <v>2018</v>
      </c>
      <c r="E4131" s="15" t="inlineStr">
        <is>
          <t>Draw</t>
        </is>
      </c>
      <c r="F4131" s="5" t="n">
        <v>330</v>
      </c>
      <c r="G4131" s="5" t="n">
        <v>2247</v>
      </c>
      <c r="H4131" s="5" t="n">
        <v>119</v>
      </c>
      <c r="I4131" s="5" t="n">
        <v>49</v>
      </c>
      <c r="J4131" s="5" t="n">
        <v>60</v>
      </c>
      <c r="K4131" s="10">
        <f>IF(F4131&gt;0,H4131/F4131,"")</f>
        <v/>
      </c>
      <c r="L4131" s="16">
        <f>IF(AND(G4131&gt;0,H4131&gt;0),G4131/H4131,"")</f>
        <v/>
      </c>
    </row>
    <row r="4132">
      <c r="A4132" s="4" t="inlineStr">
        <is>
          <t>455</t>
        </is>
      </c>
      <c r="B4132" s="4" t="n">
        <v>4</v>
      </c>
      <c r="C4132" s="4" t="inlineStr">
        <is>
          <t>elk</t>
        </is>
      </c>
      <c r="D4132" s="4" t="n">
        <v>2019</v>
      </c>
      <c r="E4132" s="15" t="inlineStr">
        <is>
          <t>Draw</t>
        </is>
      </c>
      <c r="F4132" s="5" t="n"/>
      <c r="G4132" s="5" t="n"/>
      <c r="H4132" s="5" t="n">
        <v>210</v>
      </c>
      <c r="I4132" s="5" t="n">
        <v>46</v>
      </c>
      <c r="J4132" s="5" t="n">
        <v>151</v>
      </c>
      <c r="K4132" s="10">
        <f>IF(F4132&gt;0,H4132/F4132,"")</f>
        <v/>
      </c>
      <c r="L4132" s="16">
        <f>IF(AND(G4132&gt;0,H4132&gt;0),G4132/H4132,"")</f>
        <v/>
      </c>
    </row>
    <row r="4133">
      <c r="A4133" s="4" t="inlineStr">
        <is>
          <t>455</t>
        </is>
      </c>
      <c r="B4133" s="4" t="n">
        <v>4</v>
      </c>
      <c r="C4133" s="4" t="inlineStr">
        <is>
          <t>elk</t>
        </is>
      </c>
      <c r="D4133" s="4" t="n">
        <v>2020</v>
      </c>
      <c r="E4133" s="15" t="inlineStr">
        <is>
          <t>Draw</t>
        </is>
      </c>
      <c r="F4133" s="5" t="n">
        <v>244</v>
      </c>
      <c r="G4133" s="5" t="n">
        <v>1524</v>
      </c>
      <c r="H4133" s="5" t="n">
        <v>120</v>
      </c>
      <c r="I4133" s="5" t="n">
        <v>42</v>
      </c>
      <c r="J4133" s="5" t="n">
        <v>75</v>
      </c>
      <c r="K4133" s="10">
        <f>IF(F4133&gt;0,H4133/F4133,"")</f>
        <v/>
      </c>
      <c r="L4133" s="16">
        <f>IF(AND(G4133&gt;0,H4133&gt;0),G4133/H4133,"")</f>
        <v/>
      </c>
    </row>
    <row r="4134">
      <c r="A4134" s="4" t="inlineStr">
        <is>
          <t>455</t>
        </is>
      </c>
      <c r="B4134" s="4" t="n">
        <v>4</v>
      </c>
      <c r="C4134" s="4" t="inlineStr">
        <is>
          <t>elk</t>
        </is>
      </c>
      <c r="D4134" s="4" t="n">
        <v>2021</v>
      </c>
      <c r="E4134" s="15" t="inlineStr">
        <is>
          <t>Draw</t>
        </is>
      </c>
      <c r="F4134" s="5" t="n"/>
      <c r="G4134" s="5" t="n"/>
      <c r="H4134" s="5" t="n">
        <v>104</v>
      </c>
      <c r="I4134" s="5" t="n">
        <v>49</v>
      </c>
      <c r="J4134" s="5" t="n">
        <v>54</v>
      </c>
      <c r="K4134" s="10">
        <f>IF(F4134&gt;0,H4134/F4134,"")</f>
        <v/>
      </c>
      <c r="L4134" s="16">
        <f>IF(AND(G4134&gt;0,H4134&gt;0),G4134/H4134,"")</f>
        <v/>
      </c>
    </row>
    <row r="4135">
      <c r="A4135" s="4" t="inlineStr">
        <is>
          <t>455</t>
        </is>
      </c>
      <c r="B4135" s="4" t="n">
        <v>4</v>
      </c>
      <c r="C4135" s="4" t="inlineStr">
        <is>
          <t>elk</t>
        </is>
      </c>
      <c r="D4135" s="4" t="n">
        <v>2022</v>
      </c>
      <c r="E4135" s="15" t="inlineStr">
        <is>
          <t>Draw</t>
        </is>
      </c>
      <c r="F4135" s="5" t="n">
        <v>291</v>
      </c>
      <c r="G4135" s="5" t="n">
        <v>1910</v>
      </c>
      <c r="H4135" s="5" t="n">
        <v>154</v>
      </c>
      <c r="I4135" s="5" t="n">
        <v>56</v>
      </c>
      <c r="J4135" s="5" t="n">
        <v>98</v>
      </c>
      <c r="K4135" s="10">
        <f>IF(F4135&gt;0,H4135/F4135,"")</f>
        <v/>
      </c>
      <c r="L4135" s="16">
        <f>IF(AND(G4135&gt;0,H4135&gt;0),G4135/H4135,"")</f>
        <v/>
      </c>
    </row>
    <row r="4136">
      <c r="A4136" s="4" t="inlineStr">
        <is>
          <t>455</t>
        </is>
      </c>
      <c r="B4136" s="4" t="n">
        <v>4</v>
      </c>
      <c r="C4136" s="4" t="inlineStr">
        <is>
          <t>elk</t>
        </is>
      </c>
      <c r="D4136" s="4" t="n">
        <v>2023</v>
      </c>
      <c r="E4136" s="15" t="inlineStr">
        <is>
          <t>Draw</t>
        </is>
      </c>
      <c r="F4136" s="5" t="n"/>
      <c r="G4136" s="5" t="n"/>
      <c r="H4136" s="5" t="n">
        <v>101</v>
      </c>
      <c r="I4136" s="5" t="n">
        <v>29</v>
      </c>
      <c r="J4136" s="5" t="n">
        <v>71</v>
      </c>
      <c r="K4136" s="10">
        <f>IF(F4136&gt;0,H4136/F4136,"")</f>
        <v/>
      </c>
      <c r="L4136" s="16">
        <f>IF(AND(G4136&gt;0,H4136&gt;0),G4136/H4136,"")</f>
        <v/>
      </c>
    </row>
    <row r="4137">
      <c r="A4137" s="4" t="inlineStr">
        <is>
          <t>455</t>
        </is>
      </c>
      <c r="B4137" s="4" t="n">
        <v>4</v>
      </c>
      <c r="C4137" s="4" t="inlineStr">
        <is>
          <t>elk</t>
        </is>
      </c>
      <c r="D4137" s="4" t="n">
        <v>2024</v>
      </c>
      <c r="E4137" s="15" t="inlineStr">
        <is>
          <t>Draw</t>
        </is>
      </c>
      <c r="F4137" s="5" t="n">
        <v>317</v>
      </c>
      <c r="G4137" s="5" t="n">
        <v>2227</v>
      </c>
      <c r="H4137" s="5" t="n">
        <v>148</v>
      </c>
      <c r="I4137" s="5" t="n">
        <v>48</v>
      </c>
      <c r="J4137" s="5" t="n">
        <v>96</v>
      </c>
      <c r="K4137" s="10">
        <f>IF(F4137&gt;0,H4137/F4137,"")</f>
        <v/>
      </c>
      <c r="L4137" s="16">
        <f>IF(AND(G4137&gt;0,H4137&gt;0),G4137/H4137,"")</f>
        <v/>
      </c>
    </row>
    <row r="4138">
      <c r="A4138" s="4" t="inlineStr">
        <is>
          <t>455</t>
        </is>
      </c>
      <c r="B4138" s="4" t="n">
        <v>4</v>
      </c>
      <c r="C4138" s="4" t="inlineStr">
        <is>
          <t>elk</t>
        </is>
      </c>
      <c r="D4138" s="4" t="n">
        <v>2025</v>
      </c>
      <c r="E4138" s="15" t="inlineStr">
        <is>
          <t>Draw</t>
        </is>
      </c>
      <c r="F4138" s="5" t="n"/>
      <c r="G4138" s="5" t="n"/>
      <c r="H4138" s="5" t="n">
        <v>124</v>
      </c>
      <c r="I4138" s="5" t="n">
        <v>55</v>
      </c>
      <c r="J4138" s="5" t="n">
        <v>62</v>
      </c>
      <c r="K4138" s="10">
        <f>IF(F4138&gt;0,H4138/F4138,"")</f>
        <v/>
      </c>
      <c r="L4138" s="16">
        <f>IF(AND(G4138&gt;0,H4138&gt;0),G4138/H4138,"")</f>
        <v/>
      </c>
    </row>
    <row r="4139">
      <c r="A4139" s="4" t="inlineStr">
        <is>
          <t>471</t>
        </is>
      </c>
      <c r="B4139" s="4" t="n">
        <v>4</v>
      </c>
      <c r="C4139" s="4" t="inlineStr">
        <is>
          <t>elk</t>
        </is>
      </c>
      <c r="D4139" s="4" t="n">
        <v>2004</v>
      </c>
      <c r="E4139" s="13" t="inlineStr">
        <is>
          <t>General</t>
        </is>
      </c>
      <c r="F4139" s="5" t="n">
        <v>30</v>
      </c>
      <c r="G4139" s="5" t="n">
        <v>87</v>
      </c>
      <c r="H4139" s="5" t="n">
        <v>3</v>
      </c>
      <c r="I4139" s="5" t="n">
        <v>3</v>
      </c>
      <c r="J4139" s="5" t="n">
        <v>0</v>
      </c>
      <c r="K4139" s="10">
        <f>IF(F4139&gt;0,H4139/F4139,"")</f>
        <v/>
      </c>
      <c r="L4139" s="16">
        <f>IF(AND(G4139&gt;0,H4139&gt;0),G4139/H4139,"")</f>
        <v/>
      </c>
    </row>
    <row r="4140">
      <c r="A4140" s="4" t="inlineStr">
        <is>
          <t>471</t>
        </is>
      </c>
      <c r="B4140" s="4" t="n">
        <v>4</v>
      </c>
      <c r="C4140" s="4" t="inlineStr">
        <is>
          <t>elk</t>
        </is>
      </c>
      <c r="D4140" s="4" t="n">
        <v>2005</v>
      </c>
      <c r="E4140" s="13" t="inlineStr">
        <is>
          <t>General</t>
        </is>
      </c>
      <c r="F4140" s="5" t="n">
        <v>15</v>
      </c>
      <c r="G4140" s="5" t="n">
        <v>72</v>
      </c>
      <c r="H4140" s="5" t="n">
        <v>4</v>
      </c>
      <c r="I4140" s="5" t="n">
        <v>3</v>
      </c>
      <c r="J4140" s="5" t="n">
        <v>1</v>
      </c>
      <c r="K4140" s="10">
        <f>IF(F4140&gt;0,H4140/F4140,"")</f>
        <v/>
      </c>
      <c r="L4140" s="16">
        <f>IF(AND(G4140&gt;0,H4140&gt;0),G4140/H4140,"")</f>
        <v/>
      </c>
    </row>
    <row r="4141">
      <c r="A4141" s="4" t="inlineStr">
        <is>
          <t>471</t>
        </is>
      </c>
      <c r="B4141" s="4" t="n">
        <v>4</v>
      </c>
      <c r="C4141" s="4" t="inlineStr">
        <is>
          <t>elk</t>
        </is>
      </c>
      <c r="D4141" s="4" t="n">
        <v>2006</v>
      </c>
      <c r="E4141" s="13" t="inlineStr">
        <is>
          <t>General</t>
        </is>
      </c>
      <c r="F4141" s="5" t="n">
        <v>43</v>
      </c>
      <c r="G4141" s="5" t="n">
        <v>354</v>
      </c>
      <c r="H4141" s="5" t="n">
        <v>4</v>
      </c>
      <c r="I4141" s="5" t="n">
        <v>4</v>
      </c>
      <c r="J4141" s="5" t="n">
        <v>0</v>
      </c>
      <c r="K4141" s="10">
        <f>IF(F4141&gt;0,H4141/F4141,"")</f>
        <v/>
      </c>
      <c r="L4141" s="16">
        <f>IF(AND(G4141&gt;0,H4141&gt;0),G4141/H4141,"")</f>
        <v/>
      </c>
    </row>
    <row r="4142">
      <c r="A4142" s="4" t="inlineStr">
        <is>
          <t>471</t>
        </is>
      </c>
      <c r="B4142" s="4" t="n">
        <v>4</v>
      </c>
      <c r="C4142" s="4" t="inlineStr">
        <is>
          <t>elk</t>
        </is>
      </c>
      <c r="D4142" s="4" t="n">
        <v>2007</v>
      </c>
      <c r="E4142" s="13" t="inlineStr">
        <is>
          <t>General</t>
        </is>
      </c>
      <c r="F4142" s="5" t="n">
        <v>17</v>
      </c>
      <c r="G4142" s="5" t="n">
        <v>78</v>
      </c>
      <c r="H4142" s="5" t="n">
        <v>3</v>
      </c>
      <c r="I4142" s="5" t="n">
        <v>3</v>
      </c>
      <c r="J4142" s="5" t="n">
        <v>0</v>
      </c>
      <c r="K4142" s="10">
        <f>IF(F4142&gt;0,H4142/F4142,"")</f>
        <v/>
      </c>
      <c r="L4142" s="16">
        <f>IF(AND(G4142&gt;0,H4142&gt;0),G4142/H4142,"")</f>
        <v/>
      </c>
    </row>
    <row r="4143">
      <c r="A4143" s="4" t="inlineStr">
        <is>
          <t>471</t>
        </is>
      </c>
      <c r="B4143" s="4" t="n">
        <v>4</v>
      </c>
      <c r="C4143" s="4" t="inlineStr">
        <is>
          <t>elk</t>
        </is>
      </c>
      <c r="D4143" s="4" t="n">
        <v>2008</v>
      </c>
      <c r="E4143" s="13" t="inlineStr">
        <is>
          <t>General</t>
        </is>
      </c>
      <c r="F4143" s="5" t="n">
        <v>34</v>
      </c>
      <c r="G4143" s="5" t="n">
        <v>115</v>
      </c>
      <c r="H4143" s="5" t="n">
        <v>15</v>
      </c>
      <c r="I4143" s="5" t="n">
        <v>6</v>
      </c>
      <c r="J4143" s="5" t="n">
        <v>9</v>
      </c>
      <c r="K4143" s="10">
        <f>IF(F4143&gt;0,H4143/F4143,"")</f>
        <v/>
      </c>
      <c r="L4143" s="16">
        <f>IF(AND(G4143&gt;0,H4143&gt;0),G4143/H4143,"")</f>
        <v/>
      </c>
    </row>
    <row r="4144">
      <c r="A4144" s="4" t="inlineStr">
        <is>
          <t>471</t>
        </is>
      </c>
      <c r="B4144" s="4" t="n">
        <v>4</v>
      </c>
      <c r="C4144" s="4" t="inlineStr">
        <is>
          <t>elk</t>
        </is>
      </c>
      <c r="D4144" s="4" t="n">
        <v>2009</v>
      </c>
      <c r="E4144" s="13" t="inlineStr">
        <is>
          <t>General</t>
        </is>
      </c>
      <c r="F4144" s="5" t="n">
        <v>43</v>
      </c>
      <c r="G4144" s="5" t="n">
        <v>167</v>
      </c>
      <c r="H4144" s="5" t="n">
        <v>9</v>
      </c>
      <c r="I4144" s="5" t="n">
        <v>6</v>
      </c>
      <c r="J4144" s="5" t="n">
        <v>3</v>
      </c>
      <c r="K4144" s="10">
        <f>IF(F4144&gt;0,H4144/F4144,"")</f>
        <v/>
      </c>
      <c r="L4144" s="16">
        <f>IF(AND(G4144&gt;0,H4144&gt;0),G4144/H4144,"")</f>
        <v/>
      </c>
    </row>
    <row r="4145">
      <c r="A4145" s="4" t="inlineStr">
        <is>
          <t>471</t>
        </is>
      </c>
      <c r="B4145" s="4" t="n">
        <v>4</v>
      </c>
      <c r="C4145" s="4" t="inlineStr">
        <is>
          <t>elk</t>
        </is>
      </c>
      <c r="D4145" s="4" t="n">
        <v>2010</v>
      </c>
      <c r="E4145" s="13" t="inlineStr">
        <is>
          <t>General</t>
        </is>
      </c>
      <c r="F4145" s="5" t="n">
        <v>34</v>
      </c>
      <c r="G4145" s="5" t="n">
        <v>165</v>
      </c>
      <c r="H4145" s="5" t="n">
        <v>3</v>
      </c>
      <c r="I4145" s="5" t="n">
        <v>3</v>
      </c>
      <c r="J4145" s="5" t="n">
        <v>0</v>
      </c>
      <c r="K4145" s="10">
        <f>IF(F4145&gt;0,H4145/F4145,"")</f>
        <v/>
      </c>
      <c r="L4145" s="16">
        <f>IF(AND(G4145&gt;0,H4145&gt;0),G4145/H4145,"")</f>
        <v/>
      </c>
    </row>
    <row r="4146">
      <c r="A4146" s="4" t="inlineStr">
        <is>
          <t>471</t>
        </is>
      </c>
      <c r="B4146" s="4" t="n">
        <v>4</v>
      </c>
      <c r="C4146" s="4" t="inlineStr">
        <is>
          <t>elk</t>
        </is>
      </c>
      <c r="D4146" s="4" t="n">
        <v>2011</v>
      </c>
      <c r="E4146" s="13" t="inlineStr">
        <is>
          <t>General</t>
        </is>
      </c>
      <c r="F4146" s="5" t="n">
        <v>40</v>
      </c>
      <c r="G4146" s="5" t="n">
        <v>160</v>
      </c>
      <c r="H4146" s="5" t="n">
        <v>3</v>
      </c>
      <c r="I4146" s="5" t="n">
        <v>0</v>
      </c>
      <c r="J4146" s="5" t="n">
        <v>3</v>
      </c>
      <c r="K4146" s="10">
        <f>IF(F4146&gt;0,H4146/F4146,"")</f>
        <v/>
      </c>
      <c r="L4146" s="16">
        <f>IF(AND(G4146&gt;0,H4146&gt;0),G4146/H4146,"")</f>
        <v/>
      </c>
    </row>
    <row r="4147">
      <c r="A4147" s="4" t="inlineStr">
        <is>
          <t>471</t>
        </is>
      </c>
      <c r="B4147" s="4" t="n">
        <v>4</v>
      </c>
      <c r="C4147" s="4" t="inlineStr">
        <is>
          <t>elk</t>
        </is>
      </c>
      <c r="D4147" s="4" t="n">
        <v>2012</v>
      </c>
      <c r="E4147" s="13" t="inlineStr">
        <is>
          <t>General</t>
        </is>
      </c>
      <c r="F4147" s="5" t="n">
        <v>34</v>
      </c>
      <c r="G4147" s="5" t="n">
        <v>172</v>
      </c>
      <c r="H4147" s="5" t="n">
        <v>2</v>
      </c>
      <c r="I4147" s="5" t="n">
        <v>2</v>
      </c>
      <c r="J4147" s="5" t="n">
        <v>0</v>
      </c>
      <c r="K4147" s="10">
        <f>IF(F4147&gt;0,H4147/F4147,"")</f>
        <v/>
      </c>
      <c r="L4147" s="16">
        <f>IF(AND(G4147&gt;0,H4147&gt;0),G4147/H4147,"")</f>
        <v/>
      </c>
    </row>
    <row r="4148">
      <c r="A4148" s="4" t="inlineStr">
        <is>
          <t>471</t>
        </is>
      </c>
      <c r="B4148" s="4" t="n">
        <v>4</v>
      </c>
      <c r="C4148" s="4" t="inlineStr">
        <is>
          <t>elk</t>
        </is>
      </c>
      <c r="D4148" s="4" t="n">
        <v>2013</v>
      </c>
      <c r="E4148" s="13" t="inlineStr">
        <is>
          <t>General</t>
        </is>
      </c>
      <c r="F4148" s="5" t="n"/>
      <c r="G4148" s="5" t="n"/>
      <c r="H4148" s="5" t="n">
        <v>5</v>
      </c>
      <c r="I4148" s="5" t="n">
        <v>0</v>
      </c>
      <c r="J4148" s="5" t="n">
        <v>2</v>
      </c>
      <c r="K4148" s="10">
        <f>IF(F4148&gt;0,H4148/F4148,"")</f>
        <v/>
      </c>
      <c r="L4148" s="16">
        <f>IF(AND(G4148&gt;0,H4148&gt;0),G4148/H4148,"")</f>
        <v/>
      </c>
    </row>
    <row r="4149">
      <c r="A4149" s="4" t="inlineStr">
        <is>
          <t>471</t>
        </is>
      </c>
      <c r="B4149" s="4" t="n">
        <v>4</v>
      </c>
      <c r="C4149" s="4" t="inlineStr">
        <is>
          <t>elk</t>
        </is>
      </c>
      <c r="D4149" s="4" t="n">
        <v>2014</v>
      </c>
      <c r="E4149" s="13" t="inlineStr">
        <is>
          <t>General</t>
        </is>
      </c>
      <c r="F4149" s="5" t="n">
        <v>52</v>
      </c>
      <c r="G4149" s="5" t="n">
        <v>188</v>
      </c>
      <c r="H4149" s="5" t="n">
        <v>10</v>
      </c>
      <c r="I4149" s="5" t="n">
        <v>4</v>
      </c>
      <c r="J4149" s="5" t="n">
        <v>6</v>
      </c>
      <c r="K4149" s="10">
        <f>IF(F4149&gt;0,H4149/F4149,"")</f>
        <v/>
      </c>
      <c r="L4149" s="16">
        <f>IF(AND(G4149&gt;0,H4149&gt;0),G4149/H4149,"")</f>
        <v/>
      </c>
    </row>
    <row r="4150">
      <c r="A4150" s="4" t="inlineStr">
        <is>
          <t>471</t>
        </is>
      </c>
      <c r="B4150" s="4" t="n">
        <v>4</v>
      </c>
      <c r="C4150" s="4" t="inlineStr">
        <is>
          <t>elk</t>
        </is>
      </c>
      <c r="D4150" s="4" t="n">
        <v>2015</v>
      </c>
      <c r="E4150" s="13" t="inlineStr">
        <is>
          <t>General</t>
        </is>
      </c>
      <c r="F4150" s="5" t="n">
        <v>65</v>
      </c>
      <c r="G4150" s="5" t="n">
        <v>437</v>
      </c>
      <c r="H4150" s="5" t="n">
        <v>12</v>
      </c>
      <c r="I4150" s="5" t="n">
        <v>3</v>
      </c>
      <c r="J4150" s="5" t="n">
        <v>9</v>
      </c>
      <c r="K4150" s="10">
        <f>IF(F4150&gt;0,H4150/F4150,"")</f>
        <v/>
      </c>
      <c r="L4150" s="16">
        <f>IF(AND(G4150&gt;0,H4150&gt;0),G4150/H4150,"")</f>
        <v/>
      </c>
    </row>
    <row r="4151">
      <c r="A4151" s="4" t="inlineStr">
        <is>
          <t>471</t>
        </is>
      </c>
      <c r="B4151" s="4" t="n">
        <v>4</v>
      </c>
      <c r="C4151" s="4" t="inlineStr">
        <is>
          <t>elk</t>
        </is>
      </c>
      <c r="D4151" s="4" t="n">
        <v>2016</v>
      </c>
      <c r="E4151" s="13" t="inlineStr">
        <is>
          <t>General</t>
        </is>
      </c>
      <c r="F4151" s="5" t="n">
        <v>36</v>
      </c>
      <c r="G4151" s="5" t="n">
        <v>154</v>
      </c>
      <c r="H4151" s="5" t="n">
        <v>6</v>
      </c>
      <c r="I4151" s="5" t="n">
        <v>3</v>
      </c>
      <c r="J4151" s="5" t="n">
        <v>3</v>
      </c>
      <c r="K4151" s="10">
        <f>IF(F4151&gt;0,H4151/F4151,"")</f>
        <v/>
      </c>
      <c r="L4151" s="16">
        <f>IF(AND(G4151&gt;0,H4151&gt;0),G4151/H4151,"")</f>
        <v/>
      </c>
    </row>
    <row r="4152">
      <c r="A4152" s="4" t="inlineStr">
        <is>
          <t>471</t>
        </is>
      </c>
      <c r="B4152" s="4" t="n">
        <v>4</v>
      </c>
      <c r="C4152" s="4" t="inlineStr">
        <is>
          <t>elk</t>
        </is>
      </c>
      <c r="D4152" s="4" t="n">
        <v>2017</v>
      </c>
      <c r="E4152" s="13" t="inlineStr">
        <is>
          <t>General</t>
        </is>
      </c>
      <c r="F4152" s="5" t="n"/>
      <c r="G4152" s="5" t="n"/>
      <c r="H4152" s="5" t="n">
        <v>12</v>
      </c>
      <c r="I4152" s="5" t="n">
        <v>9</v>
      </c>
      <c r="J4152" s="5" t="n">
        <v>0</v>
      </c>
      <c r="K4152" s="10">
        <f>IF(F4152&gt;0,H4152/F4152,"")</f>
        <v/>
      </c>
      <c r="L4152" s="16">
        <f>IF(AND(G4152&gt;0,H4152&gt;0),G4152/H4152,"")</f>
        <v/>
      </c>
    </row>
    <row r="4153">
      <c r="A4153" s="4" t="inlineStr">
        <is>
          <t>471</t>
        </is>
      </c>
      <c r="B4153" s="4" t="n">
        <v>4</v>
      </c>
      <c r="C4153" s="4" t="inlineStr">
        <is>
          <t>elk</t>
        </is>
      </c>
      <c r="D4153" s="4" t="n">
        <v>2018</v>
      </c>
      <c r="E4153" s="13" t="inlineStr">
        <is>
          <t>General</t>
        </is>
      </c>
      <c r="F4153" s="5" t="n">
        <v>64</v>
      </c>
      <c r="G4153" s="5" t="n">
        <v>365</v>
      </c>
      <c r="H4153" s="5" t="n">
        <v>4</v>
      </c>
      <c r="I4153" s="5" t="n">
        <v>4</v>
      </c>
      <c r="J4153" s="5" t="n">
        <v>0</v>
      </c>
      <c r="K4153" s="10">
        <f>IF(F4153&gt;0,H4153/F4153,"")</f>
        <v/>
      </c>
      <c r="L4153" s="16">
        <f>IF(AND(G4153&gt;0,H4153&gt;0),G4153/H4153,"")</f>
        <v/>
      </c>
    </row>
    <row r="4154">
      <c r="A4154" s="4" t="inlineStr">
        <is>
          <t>471</t>
        </is>
      </c>
      <c r="B4154" s="4" t="n">
        <v>4</v>
      </c>
      <c r="C4154" s="4" t="inlineStr">
        <is>
          <t>elk</t>
        </is>
      </c>
      <c r="D4154" s="4" t="n">
        <v>2019</v>
      </c>
      <c r="E4154" s="13" t="inlineStr">
        <is>
          <t>General</t>
        </is>
      </c>
      <c r="F4154" s="5" t="n"/>
      <c r="G4154" s="5" t="n"/>
      <c r="H4154" s="5" t="n">
        <v>12</v>
      </c>
      <c r="I4154" s="5" t="n">
        <v>9</v>
      </c>
      <c r="J4154" s="5" t="n">
        <v>3</v>
      </c>
      <c r="K4154" s="10">
        <f>IF(F4154&gt;0,H4154/F4154,"")</f>
        <v/>
      </c>
      <c r="L4154" s="16">
        <f>IF(AND(G4154&gt;0,H4154&gt;0),G4154/H4154,"")</f>
        <v/>
      </c>
    </row>
    <row r="4155">
      <c r="A4155" s="4" t="inlineStr">
        <is>
          <t>471</t>
        </is>
      </c>
      <c r="B4155" s="4" t="n">
        <v>4</v>
      </c>
      <c r="C4155" s="4" t="inlineStr">
        <is>
          <t>elk</t>
        </is>
      </c>
      <c r="D4155" s="4" t="n">
        <v>2020</v>
      </c>
      <c r="E4155" s="13" t="inlineStr">
        <is>
          <t>General</t>
        </is>
      </c>
      <c r="F4155" s="5" t="n">
        <v>65</v>
      </c>
      <c r="G4155" s="5" t="n">
        <v>261</v>
      </c>
      <c r="H4155" s="5" t="n">
        <v>7</v>
      </c>
      <c r="I4155" s="5" t="n">
        <v>7</v>
      </c>
      <c r="J4155" s="5" t="n">
        <v>0</v>
      </c>
      <c r="K4155" s="10">
        <f>IF(F4155&gt;0,H4155/F4155,"")</f>
        <v/>
      </c>
      <c r="L4155" s="16">
        <f>IF(AND(G4155&gt;0,H4155&gt;0),G4155/H4155,"")</f>
        <v/>
      </c>
    </row>
    <row r="4156">
      <c r="A4156" s="4" t="inlineStr">
        <is>
          <t>471</t>
        </is>
      </c>
      <c r="B4156" s="4" t="n">
        <v>4</v>
      </c>
      <c r="C4156" s="4" t="inlineStr">
        <is>
          <t>elk</t>
        </is>
      </c>
      <c r="D4156" s="4" t="n">
        <v>2021</v>
      </c>
      <c r="E4156" s="13" t="inlineStr">
        <is>
          <t>General</t>
        </is>
      </c>
      <c r="F4156" s="5" t="n"/>
      <c r="G4156" s="5" t="n"/>
      <c r="H4156" s="5" t="n">
        <v>23</v>
      </c>
      <c r="I4156" s="5" t="n">
        <v>23</v>
      </c>
      <c r="J4156" s="5" t="n">
        <v>0</v>
      </c>
      <c r="K4156" s="10">
        <f>IF(F4156&gt;0,H4156/F4156,"")</f>
        <v/>
      </c>
      <c r="L4156" s="16">
        <f>IF(AND(G4156&gt;0,H4156&gt;0),G4156/H4156,"")</f>
        <v/>
      </c>
    </row>
    <row r="4157">
      <c r="A4157" s="4" t="inlineStr">
        <is>
          <t>471</t>
        </is>
      </c>
      <c r="B4157" s="4" t="n">
        <v>4</v>
      </c>
      <c r="C4157" s="4" t="inlineStr">
        <is>
          <t>elk</t>
        </is>
      </c>
      <c r="D4157" s="4" t="n">
        <v>2022</v>
      </c>
      <c r="E4157" s="13" t="inlineStr">
        <is>
          <t>General</t>
        </is>
      </c>
      <c r="F4157" s="5" t="n">
        <v>63</v>
      </c>
      <c r="G4157" s="5" t="n">
        <v>277</v>
      </c>
      <c r="H4157" s="5" t="n">
        <v>36</v>
      </c>
      <c r="I4157" s="5" t="n">
        <v>20</v>
      </c>
      <c r="J4157" s="5" t="n">
        <v>17</v>
      </c>
      <c r="K4157" s="10">
        <f>IF(F4157&gt;0,H4157/F4157,"")</f>
        <v/>
      </c>
      <c r="L4157" s="16">
        <f>IF(AND(G4157&gt;0,H4157&gt;0),G4157/H4157,"")</f>
        <v/>
      </c>
    </row>
    <row r="4158">
      <c r="A4158" s="4" t="inlineStr">
        <is>
          <t>471</t>
        </is>
      </c>
      <c r="B4158" s="4" t="n">
        <v>4</v>
      </c>
      <c r="C4158" s="4" t="inlineStr">
        <is>
          <t>elk</t>
        </is>
      </c>
      <c r="D4158" s="4" t="n">
        <v>2023</v>
      </c>
      <c r="E4158" s="13" t="inlineStr">
        <is>
          <t>General</t>
        </is>
      </c>
      <c r="F4158" s="5" t="n"/>
      <c r="G4158" s="5" t="n"/>
      <c r="H4158" s="5" t="n">
        <v>26</v>
      </c>
      <c r="I4158" s="5" t="n">
        <v>20</v>
      </c>
      <c r="J4158" s="5" t="n">
        <v>6</v>
      </c>
      <c r="K4158" s="10">
        <f>IF(F4158&gt;0,H4158/F4158,"")</f>
        <v/>
      </c>
      <c r="L4158" s="16">
        <f>IF(AND(G4158&gt;0,H4158&gt;0),G4158/H4158,"")</f>
        <v/>
      </c>
    </row>
    <row r="4159">
      <c r="A4159" s="4" t="inlineStr">
        <is>
          <t>471</t>
        </is>
      </c>
      <c r="B4159" s="4" t="n">
        <v>4</v>
      </c>
      <c r="C4159" s="4" t="inlineStr">
        <is>
          <t>elk</t>
        </is>
      </c>
      <c r="D4159" s="4" t="n">
        <v>2024</v>
      </c>
      <c r="E4159" s="13" t="inlineStr">
        <is>
          <t>General</t>
        </is>
      </c>
      <c r="F4159" s="5" t="n">
        <v>99</v>
      </c>
      <c r="G4159" s="5" t="n">
        <v>693</v>
      </c>
      <c r="H4159" s="5" t="n">
        <v>9</v>
      </c>
      <c r="I4159" s="5" t="n">
        <v>9</v>
      </c>
      <c r="J4159" s="5" t="n">
        <v>0</v>
      </c>
      <c r="K4159" s="10">
        <f>IF(F4159&gt;0,H4159/F4159,"")</f>
        <v/>
      </c>
      <c r="L4159" s="16">
        <f>IF(AND(G4159&gt;0,H4159&gt;0),G4159/H4159,"")</f>
        <v/>
      </c>
    </row>
    <row r="4160">
      <c r="A4160" s="4" t="inlineStr">
        <is>
          <t>471</t>
        </is>
      </c>
      <c r="B4160" s="4" t="n">
        <v>4</v>
      </c>
      <c r="C4160" s="4" t="inlineStr">
        <is>
          <t>elk</t>
        </is>
      </c>
      <c r="D4160" s="4" t="n">
        <v>2025</v>
      </c>
      <c r="E4160" s="13" t="inlineStr">
        <is>
          <t>General</t>
        </is>
      </c>
      <c r="F4160" s="5" t="n"/>
      <c r="G4160" s="5" t="n"/>
      <c r="H4160" s="5" t="n">
        <v>15</v>
      </c>
      <c r="I4160" s="5" t="n">
        <v>11</v>
      </c>
      <c r="J4160" s="5" t="n">
        <v>4</v>
      </c>
      <c r="K4160" s="10">
        <f>IF(F4160&gt;0,H4160/F4160,"")</f>
        <v/>
      </c>
      <c r="L4160" s="16">
        <f>IF(AND(G4160&gt;0,H4160&gt;0),G4160/H4160,"")</f>
        <v/>
      </c>
    </row>
    <row r="4161">
      <c r="A4161" s="4" t="inlineStr">
        <is>
          <t>500</t>
        </is>
      </c>
      <c r="B4161" s="4" t="n">
        <v>5</v>
      </c>
      <c r="C4161" s="4" t="inlineStr">
        <is>
          <t>elk</t>
        </is>
      </c>
      <c r="D4161" s="4" t="n">
        <v>2004</v>
      </c>
      <c r="E4161" s="4" t="inlineStr"/>
      <c r="F4161" s="5" t="n">
        <v>276</v>
      </c>
      <c r="G4161" s="5" t="n">
        <v>1454</v>
      </c>
      <c r="H4161" s="5" t="n">
        <v>28</v>
      </c>
      <c r="I4161" s="5" t="n">
        <v>11</v>
      </c>
      <c r="J4161" s="5" t="n">
        <v>17</v>
      </c>
      <c r="K4161" s="10">
        <f>IF(F4161&gt;0,H4161/F4161,"")</f>
        <v/>
      </c>
      <c r="L4161" s="16">
        <f>IF(AND(G4161&gt;0,H4161&gt;0),G4161/H4161,"")</f>
        <v/>
      </c>
    </row>
    <row r="4162">
      <c r="A4162" s="4" t="inlineStr">
        <is>
          <t>500</t>
        </is>
      </c>
      <c r="B4162" s="4" t="n">
        <v>5</v>
      </c>
      <c r="C4162" s="4" t="inlineStr">
        <is>
          <t>elk</t>
        </is>
      </c>
      <c r="D4162" s="4" t="n">
        <v>2005</v>
      </c>
      <c r="E4162" s="4" t="inlineStr"/>
      <c r="F4162" s="5" t="n">
        <v>218</v>
      </c>
      <c r="G4162" s="5" t="n">
        <v>1124</v>
      </c>
      <c r="H4162" s="5" t="n">
        <v>28</v>
      </c>
      <c r="I4162" s="5" t="n">
        <v>12</v>
      </c>
      <c r="J4162" s="5" t="n">
        <v>15</v>
      </c>
      <c r="K4162" s="10">
        <f>IF(F4162&gt;0,H4162/F4162,"")</f>
        <v/>
      </c>
      <c r="L4162" s="16">
        <f>IF(AND(G4162&gt;0,H4162&gt;0),G4162/H4162,"")</f>
        <v/>
      </c>
    </row>
    <row r="4163">
      <c r="A4163" s="4" t="inlineStr">
        <is>
          <t>500</t>
        </is>
      </c>
      <c r="B4163" s="4" t="n">
        <v>5</v>
      </c>
      <c r="C4163" s="4" t="inlineStr">
        <is>
          <t>elk</t>
        </is>
      </c>
      <c r="D4163" s="4" t="n">
        <v>2006</v>
      </c>
      <c r="E4163" s="4" t="inlineStr"/>
      <c r="F4163" s="5" t="n">
        <v>256</v>
      </c>
      <c r="G4163" s="5" t="n">
        <v>1727</v>
      </c>
      <c r="H4163" s="5" t="n">
        <v>31</v>
      </c>
      <c r="I4163" s="5" t="n">
        <v>9</v>
      </c>
      <c r="J4163" s="5" t="n">
        <v>11</v>
      </c>
      <c r="K4163" s="10">
        <f>IF(F4163&gt;0,H4163/F4163,"")</f>
        <v/>
      </c>
      <c r="L4163" s="16">
        <f>IF(AND(G4163&gt;0,H4163&gt;0),G4163/H4163,"")</f>
        <v/>
      </c>
    </row>
    <row r="4164">
      <c r="A4164" s="4" t="inlineStr">
        <is>
          <t>500</t>
        </is>
      </c>
      <c r="B4164" s="4" t="n">
        <v>5</v>
      </c>
      <c r="C4164" s="4" t="inlineStr">
        <is>
          <t>elk</t>
        </is>
      </c>
      <c r="D4164" s="4" t="n">
        <v>2007</v>
      </c>
      <c r="E4164" s="4" t="inlineStr"/>
      <c r="F4164" s="5" t="n">
        <v>246</v>
      </c>
      <c r="G4164" s="5" t="n">
        <v>1094</v>
      </c>
      <c r="H4164" s="5" t="n">
        <v>56</v>
      </c>
      <c r="I4164" s="5" t="n">
        <v>18</v>
      </c>
      <c r="J4164" s="5" t="n">
        <v>34</v>
      </c>
      <c r="K4164" s="10">
        <f>IF(F4164&gt;0,H4164/F4164,"")</f>
        <v/>
      </c>
      <c r="L4164" s="16">
        <f>IF(AND(G4164&gt;0,H4164&gt;0),G4164/H4164,"")</f>
        <v/>
      </c>
    </row>
    <row r="4165">
      <c r="A4165" s="4" t="inlineStr">
        <is>
          <t>500</t>
        </is>
      </c>
      <c r="B4165" s="4" t="n">
        <v>5</v>
      </c>
      <c r="C4165" s="4" t="inlineStr">
        <is>
          <t>elk</t>
        </is>
      </c>
      <c r="D4165" s="4" t="n">
        <v>2008</v>
      </c>
      <c r="E4165" s="4" t="inlineStr"/>
      <c r="F4165" s="5" t="n">
        <v>260</v>
      </c>
      <c r="G4165" s="5" t="n">
        <v>1667</v>
      </c>
      <c r="H4165" s="5" t="n">
        <v>23</v>
      </c>
      <c r="I4165" s="5" t="n">
        <v>17</v>
      </c>
      <c r="J4165" s="5" t="n">
        <v>3</v>
      </c>
      <c r="K4165" s="10">
        <f>IF(F4165&gt;0,H4165/F4165,"")</f>
        <v/>
      </c>
      <c r="L4165" s="16">
        <f>IF(AND(G4165&gt;0,H4165&gt;0),G4165/H4165,"")</f>
        <v/>
      </c>
    </row>
    <row r="4166">
      <c r="A4166" s="4" t="inlineStr">
        <is>
          <t>500</t>
        </is>
      </c>
      <c r="B4166" s="4" t="n">
        <v>5</v>
      </c>
      <c r="C4166" s="4" t="inlineStr">
        <is>
          <t>elk</t>
        </is>
      </c>
      <c r="D4166" s="4" t="n">
        <v>2009</v>
      </c>
      <c r="E4166" s="4" t="inlineStr"/>
      <c r="F4166" s="5" t="n">
        <v>260</v>
      </c>
      <c r="G4166" s="5" t="n">
        <v>1823</v>
      </c>
      <c r="H4166" s="5" t="n">
        <v>29</v>
      </c>
      <c r="I4166" s="5" t="n">
        <v>23</v>
      </c>
      <c r="J4166" s="5" t="n">
        <v>6</v>
      </c>
      <c r="K4166" s="10">
        <f>IF(F4166&gt;0,H4166/F4166,"")</f>
        <v/>
      </c>
      <c r="L4166" s="16">
        <f>IF(AND(G4166&gt;0,H4166&gt;0),G4166/H4166,"")</f>
        <v/>
      </c>
    </row>
    <row r="4167">
      <c r="A4167" s="4" t="inlineStr">
        <is>
          <t>500</t>
        </is>
      </c>
      <c r="B4167" s="4" t="n">
        <v>5</v>
      </c>
      <c r="C4167" s="4" t="inlineStr">
        <is>
          <t>elk</t>
        </is>
      </c>
      <c r="D4167" s="4" t="n">
        <v>2010</v>
      </c>
      <c r="E4167" s="4" t="inlineStr"/>
      <c r="F4167" s="5" t="n">
        <v>256</v>
      </c>
      <c r="G4167" s="5" t="n">
        <v>1484</v>
      </c>
      <c r="H4167" s="5" t="n">
        <v>30</v>
      </c>
      <c r="I4167" s="5" t="n">
        <v>11</v>
      </c>
      <c r="J4167" s="5" t="n">
        <v>13</v>
      </c>
      <c r="K4167" s="10">
        <f>IF(F4167&gt;0,H4167/F4167,"")</f>
        <v/>
      </c>
      <c r="L4167" s="16">
        <f>IF(AND(G4167&gt;0,H4167&gt;0),G4167/H4167,"")</f>
        <v/>
      </c>
    </row>
    <row r="4168">
      <c r="A4168" s="4" t="inlineStr">
        <is>
          <t>500</t>
        </is>
      </c>
      <c r="B4168" s="4" t="n">
        <v>5</v>
      </c>
      <c r="C4168" s="4" t="inlineStr">
        <is>
          <t>elk</t>
        </is>
      </c>
      <c r="D4168" s="4" t="n">
        <v>2011</v>
      </c>
      <c r="E4168" s="4" t="inlineStr"/>
      <c r="F4168" s="5" t="n">
        <v>279</v>
      </c>
      <c r="G4168" s="5" t="n">
        <v>1763</v>
      </c>
      <c r="H4168" s="5" t="n">
        <v>48</v>
      </c>
      <c r="I4168" s="5" t="n">
        <v>13</v>
      </c>
      <c r="J4168" s="5" t="n">
        <v>30</v>
      </c>
      <c r="K4168" s="10">
        <f>IF(F4168&gt;0,H4168/F4168,"")</f>
        <v/>
      </c>
      <c r="L4168" s="16">
        <f>IF(AND(G4168&gt;0,H4168&gt;0),G4168/H4168,"")</f>
        <v/>
      </c>
    </row>
    <row r="4169">
      <c r="A4169" s="4" t="inlineStr">
        <is>
          <t>500</t>
        </is>
      </c>
      <c r="B4169" s="4" t="n">
        <v>5</v>
      </c>
      <c r="C4169" s="4" t="inlineStr">
        <is>
          <t>elk</t>
        </is>
      </c>
      <c r="D4169" s="4" t="n">
        <v>2012</v>
      </c>
      <c r="E4169" s="4" t="inlineStr"/>
      <c r="F4169" s="5" t="n">
        <v>376</v>
      </c>
      <c r="G4169" s="5" t="n">
        <v>2462</v>
      </c>
      <c r="H4169" s="5" t="n">
        <v>31</v>
      </c>
      <c r="I4169" s="5" t="n">
        <v>14</v>
      </c>
      <c r="J4169" s="5" t="n">
        <v>18</v>
      </c>
      <c r="K4169" s="10">
        <f>IF(F4169&gt;0,H4169/F4169,"")</f>
        <v/>
      </c>
      <c r="L4169" s="16">
        <f>IF(AND(G4169&gt;0,H4169&gt;0),G4169/H4169,"")</f>
        <v/>
      </c>
    </row>
    <row r="4170">
      <c r="A4170" s="4" t="inlineStr">
        <is>
          <t>500</t>
        </is>
      </c>
      <c r="B4170" s="4" t="n">
        <v>5</v>
      </c>
      <c r="C4170" s="4" t="inlineStr">
        <is>
          <t>elk</t>
        </is>
      </c>
      <c r="D4170" s="4" t="n">
        <v>2013</v>
      </c>
      <c r="E4170" s="4" t="inlineStr"/>
      <c r="F4170" s="5" t="n"/>
      <c r="G4170" s="5" t="n"/>
      <c r="H4170" s="5" t="n">
        <v>61</v>
      </c>
      <c r="I4170" s="5" t="n">
        <v>26</v>
      </c>
      <c r="J4170" s="5" t="n">
        <v>35</v>
      </c>
      <c r="K4170" s="10">
        <f>IF(F4170&gt;0,H4170/F4170,"")</f>
        <v/>
      </c>
      <c r="L4170" s="16">
        <f>IF(AND(G4170&gt;0,H4170&gt;0),G4170/H4170,"")</f>
        <v/>
      </c>
    </row>
    <row r="4171">
      <c r="A4171" s="4" t="inlineStr">
        <is>
          <t>500</t>
        </is>
      </c>
      <c r="B4171" s="4" t="n">
        <v>5</v>
      </c>
      <c r="C4171" s="4" t="inlineStr">
        <is>
          <t>elk</t>
        </is>
      </c>
      <c r="D4171" s="4" t="n">
        <v>2014</v>
      </c>
      <c r="E4171" s="4" t="inlineStr"/>
      <c r="F4171" s="5" t="n">
        <v>375</v>
      </c>
      <c r="G4171" s="5" t="n">
        <v>2069</v>
      </c>
      <c r="H4171" s="5" t="n">
        <v>44</v>
      </c>
      <c r="I4171" s="5" t="n">
        <v>19</v>
      </c>
      <c r="J4171" s="5" t="n">
        <v>24</v>
      </c>
      <c r="K4171" s="10">
        <f>IF(F4171&gt;0,H4171/F4171,"")</f>
        <v/>
      </c>
      <c r="L4171" s="16">
        <f>IF(AND(G4171&gt;0,H4171&gt;0),G4171/H4171,"")</f>
        <v/>
      </c>
    </row>
    <row r="4172">
      <c r="A4172" s="4" t="inlineStr">
        <is>
          <t>500</t>
        </is>
      </c>
      <c r="B4172" s="4" t="n">
        <v>5</v>
      </c>
      <c r="C4172" s="4" t="inlineStr">
        <is>
          <t>elk</t>
        </is>
      </c>
      <c r="D4172" s="4" t="n">
        <v>2015</v>
      </c>
      <c r="E4172" s="4" t="inlineStr"/>
      <c r="F4172" s="5" t="n">
        <v>443</v>
      </c>
      <c r="G4172" s="5" t="n">
        <v>2918</v>
      </c>
      <c r="H4172" s="5" t="n">
        <v>47</v>
      </c>
      <c r="I4172" s="5" t="n">
        <v>23</v>
      </c>
      <c r="J4172" s="5" t="n">
        <v>21</v>
      </c>
      <c r="K4172" s="10">
        <f>IF(F4172&gt;0,H4172/F4172,"")</f>
        <v/>
      </c>
      <c r="L4172" s="16">
        <f>IF(AND(G4172&gt;0,H4172&gt;0),G4172/H4172,"")</f>
        <v/>
      </c>
    </row>
    <row r="4173">
      <c r="A4173" s="4" t="inlineStr">
        <is>
          <t>500</t>
        </is>
      </c>
      <c r="B4173" s="4" t="n">
        <v>5</v>
      </c>
      <c r="C4173" s="4" t="inlineStr">
        <is>
          <t>elk</t>
        </is>
      </c>
      <c r="D4173" s="4" t="n">
        <v>2016</v>
      </c>
      <c r="E4173" s="4" t="inlineStr"/>
      <c r="F4173" s="5" t="n">
        <v>474</v>
      </c>
      <c r="G4173" s="5" t="n">
        <v>3165</v>
      </c>
      <c r="H4173" s="5" t="n">
        <v>60</v>
      </c>
      <c r="I4173" s="5" t="n">
        <v>29</v>
      </c>
      <c r="J4173" s="5" t="n">
        <v>31</v>
      </c>
      <c r="K4173" s="10">
        <f>IF(F4173&gt;0,H4173/F4173,"")</f>
        <v/>
      </c>
      <c r="L4173" s="16">
        <f>IF(AND(G4173&gt;0,H4173&gt;0),G4173/H4173,"")</f>
        <v/>
      </c>
    </row>
    <row r="4174">
      <c r="A4174" s="4" t="inlineStr">
        <is>
          <t>500</t>
        </is>
      </c>
      <c r="B4174" s="4" t="n">
        <v>5</v>
      </c>
      <c r="C4174" s="4" t="inlineStr">
        <is>
          <t>elk</t>
        </is>
      </c>
      <c r="D4174" s="4" t="n">
        <v>2017</v>
      </c>
      <c r="E4174" s="4" t="inlineStr"/>
      <c r="F4174" s="5" t="n"/>
      <c r="G4174" s="5" t="n"/>
      <c r="H4174" s="5" t="n">
        <v>76</v>
      </c>
      <c r="I4174" s="5" t="n">
        <v>40</v>
      </c>
      <c r="J4174" s="5" t="n">
        <v>27</v>
      </c>
      <c r="K4174" s="10">
        <f>IF(F4174&gt;0,H4174/F4174,"")</f>
        <v/>
      </c>
      <c r="L4174" s="16">
        <f>IF(AND(G4174&gt;0,H4174&gt;0),G4174/H4174,"")</f>
        <v/>
      </c>
    </row>
    <row r="4175">
      <c r="A4175" s="4" t="inlineStr">
        <is>
          <t>500</t>
        </is>
      </c>
      <c r="B4175" s="4" t="n">
        <v>5</v>
      </c>
      <c r="C4175" s="4" t="inlineStr">
        <is>
          <t>elk</t>
        </is>
      </c>
      <c r="D4175" s="4" t="n">
        <v>2018</v>
      </c>
      <c r="E4175" s="4" t="inlineStr"/>
      <c r="F4175" s="5" t="n">
        <v>534</v>
      </c>
      <c r="G4175" s="5" t="n">
        <v>3843</v>
      </c>
      <c r="H4175" s="5" t="n">
        <v>90</v>
      </c>
      <c r="I4175" s="5" t="n">
        <v>50</v>
      </c>
      <c r="J4175" s="5" t="n">
        <v>38</v>
      </c>
      <c r="K4175" s="10">
        <f>IF(F4175&gt;0,H4175/F4175,"")</f>
        <v/>
      </c>
      <c r="L4175" s="16">
        <f>IF(AND(G4175&gt;0,H4175&gt;0),G4175/H4175,"")</f>
        <v/>
      </c>
    </row>
    <row r="4176">
      <c r="A4176" s="4" t="inlineStr">
        <is>
          <t>500</t>
        </is>
      </c>
      <c r="B4176" s="4" t="n">
        <v>5</v>
      </c>
      <c r="C4176" s="4" t="inlineStr">
        <is>
          <t>elk</t>
        </is>
      </c>
      <c r="D4176" s="4" t="n">
        <v>2019</v>
      </c>
      <c r="E4176" s="4" t="inlineStr"/>
      <c r="F4176" s="5" t="n"/>
      <c r="G4176" s="5" t="n"/>
      <c r="H4176" s="5" t="n">
        <v>88</v>
      </c>
      <c r="I4176" s="5" t="n">
        <v>41</v>
      </c>
      <c r="J4176" s="5" t="n">
        <v>44</v>
      </c>
      <c r="K4176" s="10">
        <f>IF(F4176&gt;0,H4176/F4176,"")</f>
        <v/>
      </c>
      <c r="L4176" s="16">
        <f>IF(AND(G4176&gt;0,H4176&gt;0),G4176/H4176,"")</f>
        <v/>
      </c>
    </row>
    <row r="4177">
      <c r="A4177" s="4" t="inlineStr">
        <is>
          <t>500</t>
        </is>
      </c>
      <c r="B4177" s="4" t="n">
        <v>5</v>
      </c>
      <c r="C4177" s="4" t="inlineStr">
        <is>
          <t>elk</t>
        </is>
      </c>
      <c r="D4177" s="4" t="n">
        <v>2020</v>
      </c>
      <c r="E4177" s="4" t="inlineStr"/>
      <c r="F4177" s="5" t="n">
        <v>610</v>
      </c>
      <c r="G4177" s="5" t="n">
        <v>4302</v>
      </c>
      <c r="H4177" s="5" t="n">
        <v>126</v>
      </c>
      <c r="I4177" s="5" t="n">
        <v>57</v>
      </c>
      <c r="J4177" s="5" t="n">
        <v>50</v>
      </c>
      <c r="K4177" s="10">
        <f>IF(F4177&gt;0,H4177/F4177,"")</f>
        <v/>
      </c>
      <c r="L4177" s="16">
        <f>IF(AND(G4177&gt;0,H4177&gt;0),G4177/H4177,"")</f>
        <v/>
      </c>
    </row>
    <row r="4178">
      <c r="A4178" s="4" t="inlineStr">
        <is>
          <t>500</t>
        </is>
      </c>
      <c r="B4178" s="4" t="n">
        <v>5</v>
      </c>
      <c r="C4178" s="4" t="inlineStr">
        <is>
          <t>elk</t>
        </is>
      </c>
      <c r="D4178" s="4" t="n">
        <v>2021</v>
      </c>
      <c r="E4178" s="4" t="inlineStr"/>
      <c r="F4178" s="5" t="n"/>
      <c r="G4178" s="5" t="n"/>
      <c r="H4178" s="5" t="n">
        <v>66</v>
      </c>
      <c r="I4178" s="5" t="n">
        <v>43</v>
      </c>
      <c r="J4178" s="5" t="n">
        <v>23</v>
      </c>
      <c r="K4178" s="10">
        <f>IF(F4178&gt;0,H4178/F4178,"")</f>
        <v/>
      </c>
      <c r="L4178" s="16">
        <f>IF(AND(G4178&gt;0,H4178&gt;0),G4178/H4178,"")</f>
        <v/>
      </c>
    </row>
    <row r="4179">
      <c r="A4179" s="4" t="inlineStr">
        <is>
          <t>502</t>
        </is>
      </c>
      <c r="B4179" s="4" t="n">
        <v>5</v>
      </c>
      <c r="C4179" s="4" t="inlineStr">
        <is>
          <t>elk</t>
        </is>
      </c>
      <c r="D4179" s="4" t="n">
        <v>2004</v>
      </c>
      <c r="E4179" s="15" t="inlineStr">
        <is>
          <t>Draw</t>
        </is>
      </c>
      <c r="F4179" s="5" t="n">
        <v>206</v>
      </c>
      <c r="G4179" s="5" t="n">
        <v>1312</v>
      </c>
      <c r="H4179" s="5" t="n">
        <v>15</v>
      </c>
      <c r="I4179" s="5" t="n">
        <v>3</v>
      </c>
      <c r="J4179" s="5" t="n">
        <v>12</v>
      </c>
      <c r="K4179" s="10">
        <f>IF(F4179&gt;0,H4179/F4179,"")</f>
        <v/>
      </c>
      <c r="L4179" s="16">
        <f>IF(AND(G4179&gt;0,H4179&gt;0),G4179/H4179,"")</f>
        <v/>
      </c>
    </row>
    <row r="4180">
      <c r="A4180" s="4" t="inlineStr">
        <is>
          <t>502</t>
        </is>
      </c>
      <c r="B4180" s="4" t="n">
        <v>5</v>
      </c>
      <c r="C4180" s="4" t="inlineStr">
        <is>
          <t>elk</t>
        </is>
      </c>
      <c r="D4180" s="4" t="n">
        <v>2005</v>
      </c>
      <c r="E4180" s="15" t="inlineStr">
        <is>
          <t>Draw</t>
        </is>
      </c>
      <c r="F4180" s="5" t="n">
        <v>198</v>
      </c>
      <c r="G4180" s="5" t="n">
        <v>988</v>
      </c>
      <c r="H4180" s="5" t="n">
        <v>27</v>
      </c>
      <c r="I4180" s="5" t="n">
        <v>5</v>
      </c>
      <c r="J4180" s="5" t="n">
        <v>19</v>
      </c>
      <c r="K4180" s="10">
        <f>IF(F4180&gt;0,H4180/F4180,"")</f>
        <v/>
      </c>
      <c r="L4180" s="16">
        <f>IF(AND(G4180&gt;0,H4180&gt;0),G4180/H4180,"")</f>
        <v/>
      </c>
    </row>
    <row r="4181">
      <c r="A4181" s="4" t="inlineStr">
        <is>
          <t>502</t>
        </is>
      </c>
      <c r="B4181" s="4" t="n">
        <v>5</v>
      </c>
      <c r="C4181" s="4" t="inlineStr">
        <is>
          <t>elk</t>
        </is>
      </c>
      <c r="D4181" s="4" t="n">
        <v>2006</v>
      </c>
      <c r="E4181" s="15" t="inlineStr">
        <is>
          <t>Draw</t>
        </is>
      </c>
      <c r="F4181" s="5" t="n">
        <v>173</v>
      </c>
      <c r="G4181" s="5" t="n">
        <v>898</v>
      </c>
      <c r="H4181" s="5" t="n">
        <v>23</v>
      </c>
      <c r="I4181" s="5" t="n">
        <v>12</v>
      </c>
      <c r="J4181" s="5" t="n">
        <v>11</v>
      </c>
      <c r="K4181" s="10">
        <f>IF(F4181&gt;0,H4181/F4181,"")</f>
        <v/>
      </c>
      <c r="L4181" s="16">
        <f>IF(AND(G4181&gt;0,H4181&gt;0),G4181/H4181,"")</f>
        <v/>
      </c>
    </row>
    <row r="4182">
      <c r="A4182" s="4" t="inlineStr">
        <is>
          <t>502</t>
        </is>
      </c>
      <c r="B4182" s="4" t="n">
        <v>5</v>
      </c>
      <c r="C4182" s="4" t="inlineStr">
        <is>
          <t>elk</t>
        </is>
      </c>
      <c r="D4182" s="4" t="n">
        <v>2007</v>
      </c>
      <c r="E4182" s="15" t="inlineStr">
        <is>
          <t>Draw</t>
        </is>
      </c>
      <c r="F4182" s="5" t="n">
        <v>143</v>
      </c>
      <c r="G4182" s="5" t="n">
        <v>958</v>
      </c>
      <c r="H4182" s="5" t="n">
        <v>10</v>
      </c>
      <c r="I4182" s="5" t="n">
        <v>5</v>
      </c>
      <c r="J4182" s="5" t="n">
        <v>0</v>
      </c>
      <c r="K4182" s="10">
        <f>IF(F4182&gt;0,H4182/F4182,"")</f>
        <v/>
      </c>
      <c r="L4182" s="16">
        <f>IF(AND(G4182&gt;0,H4182&gt;0),G4182/H4182,"")</f>
        <v/>
      </c>
    </row>
    <row r="4183">
      <c r="A4183" s="4" t="inlineStr">
        <is>
          <t>502</t>
        </is>
      </c>
      <c r="B4183" s="4" t="n">
        <v>5</v>
      </c>
      <c r="C4183" s="4" t="inlineStr">
        <is>
          <t>elk</t>
        </is>
      </c>
      <c r="D4183" s="4" t="n">
        <v>2008</v>
      </c>
      <c r="E4183" s="15" t="inlineStr">
        <is>
          <t>Draw</t>
        </is>
      </c>
      <c r="F4183" s="5" t="n">
        <v>143</v>
      </c>
      <c r="G4183" s="5" t="n">
        <v>997</v>
      </c>
      <c r="H4183" s="5" t="n">
        <v>16</v>
      </c>
      <c r="I4183" s="5" t="n">
        <v>3</v>
      </c>
      <c r="J4183" s="5" t="n">
        <v>12</v>
      </c>
      <c r="K4183" s="10">
        <f>IF(F4183&gt;0,H4183/F4183,"")</f>
        <v/>
      </c>
      <c r="L4183" s="16">
        <f>IF(AND(G4183&gt;0,H4183&gt;0),G4183/H4183,"")</f>
        <v/>
      </c>
    </row>
    <row r="4184">
      <c r="A4184" s="4" t="inlineStr">
        <is>
          <t>502</t>
        </is>
      </c>
      <c r="B4184" s="4" t="n">
        <v>5</v>
      </c>
      <c r="C4184" s="4" t="inlineStr">
        <is>
          <t>elk</t>
        </is>
      </c>
      <c r="D4184" s="4" t="n">
        <v>2009</v>
      </c>
      <c r="E4184" s="15" t="inlineStr">
        <is>
          <t>Draw</t>
        </is>
      </c>
      <c r="F4184" s="5" t="n">
        <v>207</v>
      </c>
      <c r="G4184" s="5" t="n">
        <v>1312</v>
      </c>
      <c r="H4184" s="5" t="n">
        <v>27</v>
      </c>
      <c r="I4184" s="5" t="n">
        <v>15</v>
      </c>
      <c r="J4184" s="5" t="n">
        <v>12</v>
      </c>
      <c r="K4184" s="10">
        <f>IF(F4184&gt;0,H4184/F4184,"")</f>
        <v/>
      </c>
      <c r="L4184" s="16">
        <f>IF(AND(G4184&gt;0,H4184&gt;0),G4184/H4184,"")</f>
        <v/>
      </c>
    </row>
    <row r="4185">
      <c r="A4185" s="4" t="inlineStr">
        <is>
          <t>502</t>
        </is>
      </c>
      <c r="B4185" s="4" t="n">
        <v>5</v>
      </c>
      <c r="C4185" s="4" t="inlineStr">
        <is>
          <t>elk</t>
        </is>
      </c>
      <c r="D4185" s="4" t="n">
        <v>2010</v>
      </c>
      <c r="E4185" s="15" t="inlineStr">
        <is>
          <t>Draw</t>
        </is>
      </c>
      <c r="F4185" s="5" t="n">
        <v>144</v>
      </c>
      <c r="G4185" s="5" t="n">
        <v>847</v>
      </c>
      <c r="H4185" s="5" t="n">
        <v>7</v>
      </c>
      <c r="I4185" s="5" t="n">
        <v>5</v>
      </c>
      <c r="J4185" s="5" t="n">
        <v>3</v>
      </c>
      <c r="K4185" s="10">
        <f>IF(F4185&gt;0,H4185/F4185,"")</f>
        <v/>
      </c>
      <c r="L4185" s="16">
        <f>IF(AND(G4185&gt;0,H4185&gt;0),G4185/H4185,"")</f>
        <v/>
      </c>
    </row>
    <row r="4186">
      <c r="A4186" s="4" t="inlineStr">
        <is>
          <t>502</t>
        </is>
      </c>
      <c r="B4186" s="4" t="n">
        <v>5</v>
      </c>
      <c r="C4186" s="4" t="inlineStr">
        <is>
          <t>elk</t>
        </is>
      </c>
      <c r="D4186" s="4" t="n">
        <v>2011</v>
      </c>
      <c r="E4186" s="15" t="inlineStr">
        <is>
          <t>Draw</t>
        </is>
      </c>
      <c r="F4186" s="5" t="n">
        <v>160</v>
      </c>
      <c r="G4186" s="5" t="n">
        <v>713</v>
      </c>
      <c r="H4186" s="5" t="n">
        <v>13</v>
      </c>
      <c r="I4186" s="5" t="n">
        <v>9</v>
      </c>
      <c r="J4186" s="5" t="n">
        <v>4</v>
      </c>
      <c r="K4186" s="10">
        <f>IF(F4186&gt;0,H4186/F4186,"")</f>
        <v/>
      </c>
      <c r="L4186" s="16">
        <f>IF(AND(G4186&gt;0,H4186&gt;0),G4186/H4186,"")</f>
        <v/>
      </c>
    </row>
    <row r="4187">
      <c r="A4187" s="4" t="inlineStr">
        <is>
          <t>502</t>
        </is>
      </c>
      <c r="B4187" s="4" t="n">
        <v>5</v>
      </c>
      <c r="C4187" s="4" t="inlineStr">
        <is>
          <t>elk</t>
        </is>
      </c>
      <c r="D4187" s="4" t="n">
        <v>2012</v>
      </c>
      <c r="E4187" s="15" t="inlineStr">
        <is>
          <t>Draw</t>
        </is>
      </c>
      <c r="F4187" s="5" t="n">
        <v>202</v>
      </c>
      <c r="G4187" s="5" t="n">
        <v>1189</v>
      </c>
      <c r="H4187" s="5" t="n">
        <v>36</v>
      </c>
      <c r="I4187" s="5" t="n">
        <v>12</v>
      </c>
      <c r="J4187" s="5" t="n">
        <v>24</v>
      </c>
      <c r="K4187" s="10">
        <f>IF(F4187&gt;0,H4187/F4187,"")</f>
        <v/>
      </c>
      <c r="L4187" s="16">
        <f>IF(AND(G4187&gt;0,H4187&gt;0),G4187/H4187,"")</f>
        <v/>
      </c>
    </row>
    <row r="4188">
      <c r="A4188" s="4" t="inlineStr">
        <is>
          <t>502</t>
        </is>
      </c>
      <c r="B4188" s="4" t="n">
        <v>5</v>
      </c>
      <c r="C4188" s="4" t="inlineStr">
        <is>
          <t>elk</t>
        </is>
      </c>
      <c r="D4188" s="4" t="n">
        <v>2013</v>
      </c>
      <c r="E4188" s="15" t="inlineStr">
        <is>
          <t>Draw</t>
        </is>
      </c>
      <c r="F4188" s="5" t="n"/>
      <c r="G4188" s="5" t="n"/>
      <c r="H4188" s="5" t="n">
        <v>25</v>
      </c>
      <c r="I4188" s="5" t="n">
        <v>6</v>
      </c>
      <c r="J4188" s="5" t="n">
        <v>14</v>
      </c>
      <c r="K4188" s="10">
        <f>IF(F4188&gt;0,H4188/F4188,"")</f>
        <v/>
      </c>
      <c r="L4188" s="16">
        <f>IF(AND(G4188&gt;0,H4188&gt;0),G4188/H4188,"")</f>
        <v/>
      </c>
    </row>
    <row r="4189">
      <c r="A4189" s="4" t="inlineStr">
        <is>
          <t>502</t>
        </is>
      </c>
      <c r="B4189" s="4" t="n">
        <v>5</v>
      </c>
      <c r="C4189" s="4" t="inlineStr">
        <is>
          <t>elk</t>
        </is>
      </c>
      <c r="D4189" s="4" t="n">
        <v>2014</v>
      </c>
      <c r="E4189" s="15" t="inlineStr">
        <is>
          <t>Draw</t>
        </is>
      </c>
      <c r="F4189" s="5" t="n">
        <v>203</v>
      </c>
      <c r="G4189" s="5" t="n">
        <v>1104</v>
      </c>
      <c r="H4189" s="5" t="n">
        <v>38</v>
      </c>
      <c r="I4189" s="5" t="n">
        <v>15</v>
      </c>
      <c r="J4189" s="5" t="n">
        <v>20</v>
      </c>
      <c r="K4189" s="10">
        <f>IF(F4189&gt;0,H4189/F4189,"")</f>
        <v/>
      </c>
      <c r="L4189" s="16">
        <f>IF(AND(G4189&gt;0,H4189&gt;0),G4189/H4189,"")</f>
        <v/>
      </c>
    </row>
    <row r="4190">
      <c r="A4190" s="4" t="inlineStr">
        <is>
          <t>502</t>
        </is>
      </c>
      <c r="B4190" s="4" t="n">
        <v>5</v>
      </c>
      <c r="C4190" s="4" t="inlineStr">
        <is>
          <t>elk</t>
        </is>
      </c>
      <c r="D4190" s="4" t="n">
        <v>2015</v>
      </c>
      <c r="E4190" s="15" t="inlineStr">
        <is>
          <t>Draw</t>
        </is>
      </c>
      <c r="F4190" s="5" t="n">
        <v>220</v>
      </c>
      <c r="G4190" s="5" t="n">
        <v>1287</v>
      </c>
      <c r="H4190" s="5" t="n">
        <v>57</v>
      </c>
      <c r="I4190" s="5" t="n">
        <v>19</v>
      </c>
      <c r="J4190" s="5" t="n">
        <v>35</v>
      </c>
      <c r="K4190" s="10">
        <f>IF(F4190&gt;0,H4190/F4190,"")</f>
        <v/>
      </c>
      <c r="L4190" s="16">
        <f>IF(AND(G4190&gt;0,H4190&gt;0),G4190/H4190,"")</f>
        <v/>
      </c>
    </row>
    <row r="4191">
      <c r="A4191" s="4" t="inlineStr">
        <is>
          <t>502</t>
        </is>
      </c>
      <c r="B4191" s="4" t="n">
        <v>5</v>
      </c>
      <c r="C4191" s="4" t="inlineStr">
        <is>
          <t>elk</t>
        </is>
      </c>
      <c r="D4191" s="4" t="n">
        <v>2016</v>
      </c>
      <c r="E4191" s="15" t="inlineStr">
        <is>
          <t>Draw</t>
        </is>
      </c>
      <c r="F4191" s="5" t="n">
        <v>201</v>
      </c>
      <c r="G4191" s="5" t="n">
        <v>1280</v>
      </c>
      <c r="H4191" s="5" t="n">
        <v>22</v>
      </c>
      <c r="I4191" s="5" t="n">
        <v>10</v>
      </c>
      <c r="J4191" s="5" t="n">
        <v>13</v>
      </c>
      <c r="K4191" s="10">
        <f>IF(F4191&gt;0,H4191/F4191,"")</f>
        <v/>
      </c>
      <c r="L4191" s="16">
        <f>IF(AND(G4191&gt;0,H4191&gt;0),G4191/H4191,"")</f>
        <v/>
      </c>
    </row>
    <row r="4192">
      <c r="A4192" s="4" t="inlineStr">
        <is>
          <t>502</t>
        </is>
      </c>
      <c r="B4192" s="4" t="n">
        <v>5</v>
      </c>
      <c r="C4192" s="4" t="inlineStr">
        <is>
          <t>elk</t>
        </is>
      </c>
      <c r="D4192" s="4" t="n">
        <v>2017</v>
      </c>
      <c r="E4192" s="15" t="inlineStr">
        <is>
          <t>Draw</t>
        </is>
      </c>
      <c r="F4192" s="5" t="n"/>
      <c r="G4192" s="5" t="n"/>
      <c r="H4192" s="5" t="n">
        <v>36</v>
      </c>
      <c r="I4192" s="5" t="n">
        <v>17</v>
      </c>
      <c r="J4192" s="5" t="n">
        <v>16</v>
      </c>
      <c r="K4192" s="10">
        <f>IF(F4192&gt;0,H4192/F4192,"")</f>
        <v/>
      </c>
      <c r="L4192" s="16">
        <f>IF(AND(G4192&gt;0,H4192&gt;0),G4192/H4192,"")</f>
        <v/>
      </c>
    </row>
    <row r="4193">
      <c r="A4193" s="4" t="inlineStr">
        <is>
          <t>502</t>
        </is>
      </c>
      <c r="B4193" s="4" t="n">
        <v>5</v>
      </c>
      <c r="C4193" s="4" t="inlineStr">
        <is>
          <t>elk</t>
        </is>
      </c>
      <c r="D4193" s="4" t="n">
        <v>2018</v>
      </c>
      <c r="E4193" s="15" t="inlineStr">
        <is>
          <t>Draw</t>
        </is>
      </c>
      <c r="F4193" s="5" t="n">
        <v>232</v>
      </c>
      <c r="G4193" s="5" t="n">
        <v>1543</v>
      </c>
      <c r="H4193" s="5" t="n">
        <v>26</v>
      </c>
      <c r="I4193" s="5" t="n">
        <v>13</v>
      </c>
      <c r="J4193" s="5" t="n">
        <v>10</v>
      </c>
      <c r="K4193" s="10">
        <f>IF(F4193&gt;0,H4193/F4193,"")</f>
        <v/>
      </c>
      <c r="L4193" s="16">
        <f>IF(AND(G4193&gt;0,H4193&gt;0),G4193/H4193,"")</f>
        <v/>
      </c>
    </row>
    <row r="4194">
      <c r="A4194" s="4" t="inlineStr">
        <is>
          <t>502</t>
        </is>
      </c>
      <c r="B4194" s="4" t="n">
        <v>5</v>
      </c>
      <c r="C4194" s="4" t="inlineStr">
        <is>
          <t>elk</t>
        </is>
      </c>
      <c r="D4194" s="4" t="n">
        <v>2019</v>
      </c>
      <c r="E4194" s="15" t="inlineStr">
        <is>
          <t>Draw</t>
        </is>
      </c>
      <c r="F4194" s="5" t="n"/>
      <c r="G4194" s="5" t="n"/>
      <c r="H4194" s="5" t="n">
        <v>41</v>
      </c>
      <c r="I4194" s="5" t="n">
        <v>14</v>
      </c>
      <c r="J4194" s="5" t="n">
        <v>24</v>
      </c>
      <c r="K4194" s="10">
        <f>IF(F4194&gt;0,H4194/F4194,"")</f>
        <v/>
      </c>
      <c r="L4194" s="16">
        <f>IF(AND(G4194&gt;0,H4194&gt;0),G4194/H4194,"")</f>
        <v/>
      </c>
    </row>
    <row r="4195">
      <c r="A4195" s="4" t="inlineStr">
        <is>
          <t>502</t>
        </is>
      </c>
      <c r="B4195" s="4" t="n">
        <v>5</v>
      </c>
      <c r="C4195" s="4" t="inlineStr">
        <is>
          <t>elk</t>
        </is>
      </c>
      <c r="D4195" s="4" t="n">
        <v>2020</v>
      </c>
      <c r="E4195" s="15" t="inlineStr">
        <is>
          <t>Draw</t>
        </is>
      </c>
      <c r="F4195" s="5" t="n">
        <v>256</v>
      </c>
      <c r="G4195" s="5" t="n">
        <v>1832</v>
      </c>
      <c r="H4195" s="5" t="n">
        <v>41</v>
      </c>
      <c r="I4195" s="5" t="n">
        <v>21</v>
      </c>
      <c r="J4195" s="5" t="n">
        <v>17</v>
      </c>
      <c r="K4195" s="10">
        <f>IF(F4195&gt;0,H4195/F4195,"")</f>
        <v/>
      </c>
      <c r="L4195" s="16">
        <f>IF(AND(G4195&gt;0,H4195&gt;0),G4195/H4195,"")</f>
        <v/>
      </c>
    </row>
    <row r="4196">
      <c r="A4196" s="4" t="inlineStr">
        <is>
          <t>502</t>
        </is>
      </c>
      <c r="B4196" s="4" t="n">
        <v>5</v>
      </c>
      <c r="C4196" s="4" t="inlineStr">
        <is>
          <t>elk</t>
        </is>
      </c>
      <c r="D4196" s="4" t="n">
        <v>2021</v>
      </c>
      <c r="E4196" s="15" t="inlineStr">
        <is>
          <t>Draw</t>
        </is>
      </c>
      <c r="F4196" s="5" t="n"/>
      <c r="G4196" s="5" t="n"/>
      <c r="H4196" s="5" t="n">
        <v>46</v>
      </c>
      <c r="I4196" s="5" t="n">
        <v>14</v>
      </c>
      <c r="J4196" s="5" t="n">
        <v>31</v>
      </c>
      <c r="K4196" s="10">
        <f>IF(F4196&gt;0,H4196/F4196,"")</f>
        <v/>
      </c>
      <c r="L4196" s="16">
        <f>IF(AND(G4196&gt;0,H4196&gt;0),G4196/H4196,"")</f>
        <v/>
      </c>
    </row>
    <row r="4197">
      <c r="A4197" s="4" t="inlineStr">
        <is>
          <t>502</t>
        </is>
      </c>
      <c r="B4197" s="4" t="n">
        <v>5</v>
      </c>
      <c r="C4197" s="4" t="inlineStr">
        <is>
          <t>elk</t>
        </is>
      </c>
      <c r="D4197" s="4" t="n">
        <v>2022</v>
      </c>
      <c r="E4197" s="15" t="inlineStr">
        <is>
          <t>Draw</t>
        </is>
      </c>
      <c r="F4197" s="5" t="n">
        <v>332</v>
      </c>
      <c r="G4197" s="5" t="n">
        <v>3197</v>
      </c>
      <c r="H4197" s="5" t="n">
        <v>46</v>
      </c>
      <c r="I4197" s="5" t="n">
        <v>23</v>
      </c>
      <c r="J4197" s="5" t="n">
        <v>20</v>
      </c>
      <c r="K4197" s="10">
        <f>IF(F4197&gt;0,H4197/F4197,"")</f>
        <v/>
      </c>
      <c r="L4197" s="16">
        <f>IF(AND(G4197&gt;0,H4197&gt;0),G4197/H4197,"")</f>
        <v/>
      </c>
    </row>
    <row r="4198">
      <c r="A4198" s="4" t="inlineStr">
        <is>
          <t>502</t>
        </is>
      </c>
      <c r="B4198" s="4" t="n">
        <v>5</v>
      </c>
      <c r="C4198" s="4" t="inlineStr">
        <is>
          <t>elk</t>
        </is>
      </c>
      <c r="D4198" s="4" t="n">
        <v>2023</v>
      </c>
      <c r="E4198" s="15" t="inlineStr">
        <is>
          <t>Draw</t>
        </is>
      </c>
      <c r="F4198" s="5" t="n"/>
      <c r="G4198" s="5" t="n"/>
      <c r="H4198" s="5" t="n">
        <v>115</v>
      </c>
      <c r="I4198" s="5" t="n">
        <v>50</v>
      </c>
      <c r="J4198" s="5" t="n">
        <v>65</v>
      </c>
      <c r="K4198" s="10">
        <f>IF(F4198&gt;0,H4198/F4198,"")</f>
        <v/>
      </c>
      <c r="L4198" s="16">
        <f>IF(AND(G4198&gt;0,H4198&gt;0),G4198/H4198,"")</f>
        <v/>
      </c>
    </row>
    <row r="4199">
      <c r="A4199" s="4" t="inlineStr">
        <is>
          <t>502</t>
        </is>
      </c>
      <c r="B4199" s="4" t="n">
        <v>5</v>
      </c>
      <c r="C4199" s="4" t="inlineStr">
        <is>
          <t>elk</t>
        </is>
      </c>
      <c r="D4199" s="4" t="n">
        <v>2024</v>
      </c>
      <c r="E4199" s="15" t="inlineStr">
        <is>
          <t>Draw</t>
        </is>
      </c>
      <c r="F4199" s="5" t="n">
        <v>384</v>
      </c>
      <c r="G4199" s="5" t="n">
        <v>2691</v>
      </c>
      <c r="H4199" s="5" t="n">
        <v>58</v>
      </c>
      <c r="I4199" s="5" t="n">
        <v>18</v>
      </c>
      <c r="J4199" s="5" t="n">
        <v>40</v>
      </c>
      <c r="K4199" s="10">
        <f>IF(F4199&gt;0,H4199/F4199,"")</f>
        <v/>
      </c>
      <c r="L4199" s="16">
        <f>IF(AND(G4199&gt;0,H4199&gt;0),G4199/H4199,"")</f>
        <v/>
      </c>
    </row>
    <row r="4200">
      <c r="A4200" s="4" t="inlineStr">
        <is>
          <t>502</t>
        </is>
      </c>
      <c r="B4200" s="4" t="n">
        <v>5</v>
      </c>
      <c r="C4200" s="4" t="inlineStr">
        <is>
          <t>elk</t>
        </is>
      </c>
      <c r="D4200" s="4" t="n">
        <v>2025</v>
      </c>
      <c r="E4200" s="15" t="inlineStr">
        <is>
          <t>Draw</t>
        </is>
      </c>
      <c r="F4200" s="5" t="n"/>
      <c r="G4200" s="5" t="n"/>
      <c r="H4200" s="5" t="n">
        <v>70</v>
      </c>
      <c r="I4200" s="5" t="n">
        <v>24</v>
      </c>
      <c r="J4200" s="5" t="n">
        <v>46</v>
      </c>
      <c r="K4200" s="10">
        <f>IF(F4200&gt;0,H4200/F4200,"")</f>
        <v/>
      </c>
      <c r="L4200" s="16">
        <f>IF(AND(G4200&gt;0,H4200&gt;0),G4200/H4200,"")</f>
        <v/>
      </c>
    </row>
    <row r="4201">
      <c r="A4201" s="4" t="inlineStr">
        <is>
          <t>510</t>
        </is>
      </c>
      <c r="B4201" s="4" t="n">
        <v>5</v>
      </c>
      <c r="C4201" s="4" t="inlineStr">
        <is>
          <t>elk</t>
        </is>
      </c>
      <c r="D4201" s="4" t="n">
        <v>2004</v>
      </c>
      <c r="E4201" s="4" t="inlineStr"/>
      <c r="F4201" s="5" t="n">
        <v>36</v>
      </c>
      <c r="G4201" s="5" t="n">
        <v>353</v>
      </c>
      <c r="H4201" s="5" t="n">
        <v>7</v>
      </c>
      <c r="I4201" s="5" t="n">
        <v>3</v>
      </c>
      <c r="J4201" s="5" t="n">
        <v>5</v>
      </c>
      <c r="K4201" s="10">
        <f>IF(F4201&gt;0,H4201/F4201,"")</f>
        <v/>
      </c>
      <c r="L4201" s="16">
        <f>IF(AND(G4201&gt;0,H4201&gt;0),G4201/H4201,"")</f>
        <v/>
      </c>
    </row>
    <row r="4202">
      <c r="A4202" s="4" t="inlineStr">
        <is>
          <t>510</t>
        </is>
      </c>
      <c r="B4202" s="4" t="n">
        <v>5</v>
      </c>
      <c r="C4202" s="4" t="inlineStr">
        <is>
          <t>elk</t>
        </is>
      </c>
      <c r="D4202" s="4" t="n">
        <v>2005</v>
      </c>
      <c r="E4202" s="4" t="inlineStr"/>
      <c r="F4202" s="5" t="n">
        <v>54</v>
      </c>
      <c r="G4202" s="5" t="n">
        <v>274</v>
      </c>
      <c r="H4202" s="5" t="n">
        <v>6</v>
      </c>
      <c r="I4202" s="5" t="n">
        <v>0</v>
      </c>
      <c r="J4202" s="5" t="n">
        <v>6</v>
      </c>
      <c r="K4202" s="10">
        <f>IF(F4202&gt;0,H4202/F4202,"")</f>
        <v/>
      </c>
      <c r="L4202" s="16">
        <f>IF(AND(G4202&gt;0,H4202&gt;0),G4202/H4202,"")</f>
        <v/>
      </c>
    </row>
    <row r="4203">
      <c r="A4203" s="4" t="inlineStr">
        <is>
          <t>510</t>
        </is>
      </c>
      <c r="B4203" s="4" t="n">
        <v>5</v>
      </c>
      <c r="C4203" s="4" t="inlineStr">
        <is>
          <t>elk</t>
        </is>
      </c>
      <c r="D4203" s="4" t="n">
        <v>2006</v>
      </c>
      <c r="E4203" s="4" t="inlineStr"/>
      <c r="F4203" s="5" t="n">
        <v>27</v>
      </c>
      <c r="G4203" s="5" t="n">
        <v>148</v>
      </c>
      <c r="H4203" s="5" t="n">
        <v>4</v>
      </c>
      <c r="I4203" s="5" t="n">
        <v>0</v>
      </c>
      <c r="J4203" s="5" t="n">
        <v>4</v>
      </c>
      <c r="K4203" s="10">
        <f>IF(F4203&gt;0,H4203/F4203,"")</f>
        <v/>
      </c>
      <c r="L4203" s="16">
        <f>IF(AND(G4203&gt;0,H4203&gt;0),G4203/H4203,"")</f>
        <v/>
      </c>
    </row>
    <row r="4204">
      <c r="A4204" s="4" t="inlineStr">
        <is>
          <t>510</t>
        </is>
      </c>
      <c r="B4204" s="4" t="n">
        <v>5</v>
      </c>
      <c r="C4204" s="4" t="inlineStr">
        <is>
          <t>elk</t>
        </is>
      </c>
      <c r="D4204" s="4" t="n">
        <v>2007</v>
      </c>
      <c r="E4204" s="4" t="inlineStr"/>
      <c r="F4204" s="5" t="n">
        <v>46</v>
      </c>
      <c r="G4204" s="5" t="n">
        <v>268</v>
      </c>
      <c r="H4204" s="5" t="n">
        <v>3</v>
      </c>
      <c r="I4204" s="5" t="n">
        <v>0</v>
      </c>
      <c r="J4204" s="5" t="n">
        <v>3</v>
      </c>
      <c r="K4204" s="10">
        <f>IF(F4204&gt;0,H4204/F4204,"")</f>
        <v/>
      </c>
      <c r="L4204" s="16">
        <f>IF(AND(G4204&gt;0,H4204&gt;0),G4204/H4204,"")</f>
        <v/>
      </c>
    </row>
    <row r="4205">
      <c r="A4205" s="4" t="inlineStr">
        <is>
          <t>510</t>
        </is>
      </c>
      <c r="B4205" s="4" t="n">
        <v>5</v>
      </c>
      <c r="C4205" s="4" t="inlineStr">
        <is>
          <t>elk</t>
        </is>
      </c>
      <c r="D4205" s="4" t="n">
        <v>2008</v>
      </c>
      <c r="E4205" s="4" t="inlineStr"/>
      <c r="F4205" s="5" t="n">
        <v>34</v>
      </c>
      <c r="G4205" s="5" t="n">
        <v>225</v>
      </c>
      <c r="H4205" s="5" t="n">
        <v>3</v>
      </c>
      <c r="I4205" s="5" t="n">
        <v>0</v>
      </c>
      <c r="J4205" s="5" t="n">
        <v>3</v>
      </c>
      <c r="K4205" s="10">
        <f>IF(F4205&gt;0,H4205/F4205,"")</f>
        <v/>
      </c>
      <c r="L4205" s="16">
        <f>IF(AND(G4205&gt;0,H4205&gt;0),G4205/H4205,"")</f>
        <v/>
      </c>
    </row>
    <row r="4206">
      <c r="A4206" s="4" t="inlineStr">
        <is>
          <t>510</t>
        </is>
      </c>
      <c r="B4206" s="4" t="n">
        <v>5</v>
      </c>
      <c r="C4206" s="4" t="inlineStr">
        <is>
          <t>elk</t>
        </is>
      </c>
      <c r="D4206" s="4" t="n">
        <v>2010</v>
      </c>
      <c r="E4206" s="4" t="inlineStr"/>
      <c r="F4206" s="5" t="n">
        <v>48</v>
      </c>
      <c r="G4206" s="5" t="n">
        <v>189</v>
      </c>
      <c r="H4206" s="5" t="n">
        <v>3</v>
      </c>
      <c r="I4206" s="5" t="n">
        <v>0</v>
      </c>
      <c r="J4206" s="5" t="n">
        <v>3</v>
      </c>
      <c r="K4206" s="10">
        <f>IF(F4206&gt;0,H4206/F4206,"")</f>
        <v/>
      </c>
      <c r="L4206" s="16">
        <f>IF(AND(G4206&gt;0,H4206&gt;0),G4206/H4206,"")</f>
        <v/>
      </c>
    </row>
    <row r="4207">
      <c r="A4207" s="4" t="inlineStr">
        <is>
          <t>510</t>
        </is>
      </c>
      <c r="B4207" s="4" t="n">
        <v>5</v>
      </c>
      <c r="C4207" s="4" t="inlineStr">
        <is>
          <t>elk</t>
        </is>
      </c>
      <c r="D4207" s="4" t="n">
        <v>2012</v>
      </c>
      <c r="E4207" s="4" t="inlineStr"/>
      <c r="F4207" s="5" t="n">
        <v>54</v>
      </c>
      <c r="G4207" s="5" t="n">
        <v>210</v>
      </c>
      <c r="H4207" s="5" t="n">
        <v>11</v>
      </c>
      <c r="I4207" s="5" t="n">
        <v>0</v>
      </c>
      <c r="J4207" s="5" t="n">
        <v>8</v>
      </c>
      <c r="K4207" s="10">
        <f>IF(F4207&gt;0,H4207/F4207,"")</f>
        <v/>
      </c>
      <c r="L4207" s="16">
        <f>IF(AND(G4207&gt;0,H4207&gt;0),G4207/H4207,"")</f>
        <v/>
      </c>
    </row>
    <row r="4208">
      <c r="A4208" s="4" t="inlineStr">
        <is>
          <t>510E</t>
        </is>
      </c>
      <c r="B4208" s="4" t="n">
        <v>5</v>
      </c>
      <c r="C4208" s="4" t="inlineStr">
        <is>
          <t>elk</t>
        </is>
      </c>
      <c r="D4208" s="4" t="n">
        <v>2013</v>
      </c>
      <c r="E4208" s="4" t="inlineStr"/>
      <c r="F4208" s="5" t="n"/>
      <c r="G4208" s="5" t="n"/>
      <c r="H4208" s="5" t="n">
        <v>3</v>
      </c>
      <c r="I4208" s="5" t="n">
        <v>3</v>
      </c>
      <c r="J4208" s="5" t="n">
        <v>0</v>
      </c>
      <c r="K4208" s="10">
        <f>IF(F4208&gt;0,H4208/F4208,"")</f>
        <v/>
      </c>
      <c r="L4208" s="16">
        <f>IF(AND(G4208&gt;0,H4208&gt;0),G4208/H4208,"")</f>
        <v/>
      </c>
    </row>
    <row r="4209">
      <c r="A4209" s="4" t="inlineStr">
        <is>
          <t>510E</t>
        </is>
      </c>
      <c r="B4209" s="4" t="n">
        <v>5</v>
      </c>
      <c r="C4209" s="4" t="inlineStr">
        <is>
          <t>elk</t>
        </is>
      </c>
      <c r="D4209" s="4" t="n">
        <v>2014</v>
      </c>
      <c r="E4209" s="4" t="inlineStr"/>
      <c r="F4209" s="5" t="n">
        <v>15</v>
      </c>
      <c r="G4209" s="5" t="n">
        <v>70</v>
      </c>
      <c r="H4209" s="5" t="n">
        <v>3</v>
      </c>
      <c r="I4209" s="5" t="n">
        <v>3</v>
      </c>
      <c r="J4209" s="5" t="n">
        <v>0</v>
      </c>
      <c r="K4209" s="10">
        <f>IF(F4209&gt;0,H4209/F4209,"")</f>
        <v/>
      </c>
      <c r="L4209" s="16">
        <f>IF(AND(G4209&gt;0,H4209&gt;0),G4209/H4209,"")</f>
        <v/>
      </c>
    </row>
    <row r="4210">
      <c r="A4210" s="4" t="inlineStr">
        <is>
          <t>510E</t>
        </is>
      </c>
      <c r="B4210" s="4" t="n">
        <v>5</v>
      </c>
      <c r="C4210" s="4" t="inlineStr">
        <is>
          <t>elk</t>
        </is>
      </c>
      <c r="D4210" s="4" t="n">
        <v>2018</v>
      </c>
      <c r="E4210" s="4" t="inlineStr"/>
      <c r="F4210" s="5" t="n">
        <v>16</v>
      </c>
      <c r="G4210" s="5" t="n">
        <v>49</v>
      </c>
      <c r="H4210" s="5" t="n">
        <v>3</v>
      </c>
      <c r="I4210" s="5" t="n">
        <v>0</v>
      </c>
      <c r="J4210" s="5" t="n">
        <v>3</v>
      </c>
      <c r="K4210" s="10">
        <f>IF(F4210&gt;0,H4210/F4210,"")</f>
        <v/>
      </c>
      <c r="L4210" s="16">
        <f>IF(AND(G4210&gt;0,H4210&gt;0),G4210/H4210,"")</f>
        <v/>
      </c>
    </row>
    <row r="4211">
      <c r="A4211" s="4" t="inlineStr">
        <is>
          <t>510W</t>
        </is>
      </c>
      <c r="B4211" s="4" t="n">
        <v>5</v>
      </c>
      <c r="C4211" s="4" t="inlineStr">
        <is>
          <t>elk</t>
        </is>
      </c>
      <c r="D4211" s="4" t="n">
        <v>2014</v>
      </c>
      <c r="E4211" s="4" t="inlineStr"/>
      <c r="F4211" s="5" t="n">
        <v>25</v>
      </c>
      <c r="G4211" s="5" t="n">
        <v>136</v>
      </c>
      <c r="H4211" s="5" t="n">
        <v>6</v>
      </c>
      <c r="I4211" s="5" t="n">
        <v>3</v>
      </c>
      <c r="J4211" s="5" t="n">
        <v>3</v>
      </c>
      <c r="K4211" s="10">
        <f>IF(F4211&gt;0,H4211/F4211,"")</f>
        <v/>
      </c>
      <c r="L4211" s="16">
        <f>IF(AND(G4211&gt;0,H4211&gt;0),G4211/H4211,"")</f>
        <v/>
      </c>
    </row>
    <row r="4212">
      <c r="A4212" s="4" t="inlineStr">
        <is>
          <t>510W</t>
        </is>
      </c>
      <c r="B4212" s="4" t="n">
        <v>5</v>
      </c>
      <c r="C4212" s="4" t="inlineStr">
        <is>
          <t>elk</t>
        </is>
      </c>
      <c r="D4212" s="4" t="n">
        <v>2015</v>
      </c>
      <c r="E4212" s="4" t="inlineStr"/>
      <c r="F4212" s="5" t="n">
        <v>25</v>
      </c>
      <c r="G4212" s="5" t="n">
        <v>112</v>
      </c>
      <c r="H4212" s="5" t="n">
        <v>15</v>
      </c>
      <c r="I4212" s="5" t="n">
        <v>0</v>
      </c>
      <c r="J4212" s="5" t="n">
        <v>15</v>
      </c>
      <c r="K4212" s="10">
        <f>IF(F4212&gt;0,H4212/F4212,"")</f>
        <v/>
      </c>
      <c r="L4212" s="16">
        <f>IF(AND(G4212&gt;0,H4212&gt;0),G4212/H4212,"")</f>
        <v/>
      </c>
    </row>
    <row r="4213">
      <c r="A4213" s="4" t="inlineStr">
        <is>
          <t>510W</t>
        </is>
      </c>
      <c r="B4213" s="4" t="n">
        <v>5</v>
      </c>
      <c r="C4213" s="4" t="inlineStr">
        <is>
          <t>elk</t>
        </is>
      </c>
      <c r="D4213" s="4" t="n">
        <v>2016</v>
      </c>
      <c r="E4213" s="4" t="inlineStr"/>
      <c r="F4213" s="5" t="n">
        <v>44</v>
      </c>
      <c r="G4213" s="5" t="n">
        <v>211</v>
      </c>
      <c r="H4213" s="5" t="n">
        <v>9</v>
      </c>
      <c r="I4213" s="5" t="n">
        <v>0</v>
      </c>
      <c r="J4213" s="5" t="n">
        <v>9</v>
      </c>
      <c r="K4213" s="10">
        <f>IF(F4213&gt;0,H4213/F4213,"")</f>
        <v/>
      </c>
      <c r="L4213" s="16">
        <f>IF(AND(G4213&gt;0,H4213&gt;0),G4213/H4213,"")</f>
        <v/>
      </c>
    </row>
    <row r="4214">
      <c r="A4214" s="4" t="inlineStr">
        <is>
          <t>510W</t>
        </is>
      </c>
      <c r="B4214" s="4" t="n">
        <v>5</v>
      </c>
      <c r="C4214" s="4" t="inlineStr">
        <is>
          <t>elk</t>
        </is>
      </c>
      <c r="D4214" s="4" t="n">
        <v>2017</v>
      </c>
      <c r="E4214" s="4" t="inlineStr"/>
      <c r="F4214" s="5" t="n"/>
      <c r="G4214" s="5" t="n"/>
      <c r="H4214" s="5" t="n">
        <v>12</v>
      </c>
      <c r="I4214" s="5" t="n">
        <v>3</v>
      </c>
      <c r="J4214" s="5" t="n">
        <v>9</v>
      </c>
      <c r="K4214" s="10">
        <f>IF(F4214&gt;0,H4214/F4214,"")</f>
        <v/>
      </c>
      <c r="L4214" s="16">
        <f>IF(AND(G4214&gt;0,H4214&gt;0),G4214/H4214,"")</f>
        <v/>
      </c>
    </row>
    <row r="4215">
      <c r="A4215" s="4" t="inlineStr">
        <is>
          <t>510W</t>
        </is>
      </c>
      <c r="B4215" s="4" t="n">
        <v>5</v>
      </c>
      <c r="C4215" s="4" t="inlineStr">
        <is>
          <t>elk</t>
        </is>
      </c>
      <c r="D4215" s="4" t="n">
        <v>2018</v>
      </c>
      <c r="E4215" s="4" t="inlineStr"/>
      <c r="F4215" s="5" t="n">
        <v>56</v>
      </c>
      <c r="G4215" s="5" t="n">
        <v>519</v>
      </c>
      <c r="H4215" s="5" t="n">
        <v>3</v>
      </c>
      <c r="I4215" s="5" t="n">
        <v>0</v>
      </c>
      <c r="J4215" s="5" t="n">
        <v>3</v>
      </c>
      <c r="K4215" s="10">
        <f>IF(F4215&gt;0,H4215/F4215,"")</f>
        <v/>
      </c>
      <c r="L4215" s="16">
        <f>IF(AND(G4215&gt;0,H4215&gt;0),G4215/H4215,"")</f>
        <v/>
      </c>
    </row>
    <row r="4216">
      <c r="A4216" s="4" t="inlineStr">
        <is>
          <t>510W</t>
        </is>
      </c>
      <c r="B4216" s="4" t="n">
        <v>5</v>
      </c>
      <c r="C4216" s="4" t="inlineStr">
        <is>
          <t>elk</t>
        </is>
      </c>
      <c r="D4216" s="4" t="n">
        <v>2019</v>
      </c>
      <c r="E4216" s="4" t="inlineStr"/>
      <c r="F4216" s="5" t="n"/>
      <c r="G4216" s="5" t="n"/>
      <c r="H4216" s="5" t="n">
        <v>18</v>
      </c>
      <c r="I4216" s="5" t="n">
        <v>9</v>
      </c>
      <c r="J4216" s="5" t="n">
        <v>9</v>
      </c>
      <c r="K4216" s="10">
        <f>IF(F4216&gt;0,H4216/F4216,"")</f>
        <v/>
      </c>
      <c r="L4216" s="16">
        <f>IF(AND(G4216&gt;0,H4216&gt;0),G4216/H4216,"")</f>
        <v/>
      </c>
    </row>
    <row r="4217">
      <c r="A4217" s="4" t="inlineStr">
        <is>
          <t>510W</t>
        </is>
      </c>
      <c r="B4217" s="4" t="n">
        <v>5</v>
      </c>
      <c r="C4217" s="4" t="inlineStr">
        <is>
          <t>elk</t>
        </is>
      </c>
      <c r="D4217" s="4" t="n">
        <v>2020</v>
      </c>
      <c r="E4217" s="4" t="inlineStr"/>
      <c r="F4217" s="5" t="n">
        <v>33</v>
      </c>
      <c r="G4217" s="5" t="n">
        <v>179</v>
      </c>
      <c r="H4217" s="5" t="n">
        <v>4</v>
      </c>
      <c r="I4217" s="5" t="n">
        <v>0</v>
      </c>
      <c r="J4217" s="5" t="n">
        <v>4</v>
      </c>
      <c r="K4217" s="10">
        <f>IF(F4217&gt;0,H4217/F4217,"")</f>
        <v/>
      </c>
      <c r="L4217" s="16">
        <f>IF(AND(G4217&gt;0,H4217&gt;0),G4217/H4217,"")</f>
        <v/>
      </c>
    </row>
    <row r="4218">
      <c r="A4218" s="4" t="inlineStr">
        <is>
          <t>511</t>
        </is>
      </c>
      <c r="B4218" s="4" t="n">
        <v>5</v>
      </c>
      <c r="C4218" s="4" t="inlineStr">
        <is>
          <t>elk</t>
        </is>
      </c>
      <c r="D4218" s="4" t="n">
        <v>2004</v>
      </c>
      <c r="E4218" s="4" t="inlineStr"/>
      <c r="F4218" s="5" t="n">
        <v>94</v>
      </c>
      <c r="G4218" s="5" t="n">
        <v>494</v>
      </c>
      <c r="H4218" s="5" t="n">
        <v>15</v>
      </c>
      <c r="I4218" s="5" t="n">
        <v>7</v>
      </c>
      <c r="J4218" s="5" t="n">
        <v>8</v>
      </c>
      <c r="K4218" s="10">
        <f>IF(F4218&gt;0,H4218/F4218,"")</f>
        <v/>
      </c>
      <c r="L4218" s="16">
        <f>IF(AND(G4218&gt;0,H4218&gt;0),G4218/H4218,"")</f>
        <v/>
      </c>
    </row>
    <row r="4219">
      <c r="A4219" s="4" t="inlineStr">
        <is>
          <t>511</t>
        </is>
      </c>
      <c r="B4219" s="4" t="n">
        <v>5</v>
      </c>
      <c r="C4219" s="4" t="inlineStr">
        <is>
          <t>elk</t>
        </is>
      </c>
      <c r="D4219" s="4" t="n">
        <v>2005</v>
      </c>
      <c r="E4219" s="4" t="inlineStr"/>
      <c r="F4219" s="5" t="n">
        <v>165</v>
      </c>
      <c r="G4219" s="5" t="n">
        <v>746</v>
      </c>
      <c r="H4219" s="5" t="n">
        <v>18</v>
      </c>
      <c r="I4219" s="5" t="n">
        <v>8</v>
      </c>
      <c r="J4219" s="5" t="n">
        <v>8</v>
      </c>
      <c r="K4219" s="10">
        <f>IF(F4219&gt;0,H4219/F4219,"")</f>
        <v/>
      </c>
      <c r="L4219" s="16">
        <f>IF(AND(G4219&gt;0,H4219&gt;0),G4219/H4219,"")</f>
        <v/>
      </c>
    </row>
    <row r="4220">
      <c r="A4220" s="4" t="inlineStr">
        <is>
          <t>511</t>
        </is>
      </c>
      <c r="B4220" s="4" t="n">
        <v>5</v>
      </c>
      <c r="C4220" s="4" t="inlineStr">
        <is>
          <t>elk</t>
        </is>
      </c>
      <c r="D4220" s="4" t="n">
        <v>2006</v>
      </c>
      <c r="E4220" s="4" t="inlineStr"/>
      <c r="F4220" s="5" t="n">
        <v>202</v>
      </c>
      <c r="G4220" s="5" t="n">
        <v>903</v>
      </c>
      <c r="H4220" s="5" t="n">
        <v>13</v>
      </c>
      <c r="I4220" s="5" t="n">
        <v>6</v>
      </c>
      <c r="J4220" s="5" t="n">
        <v>4</v>
      </c>
      <c r="K4220" s="10">
        <f>IF(F4220&gt;0,H4220/F4220,"")</f>
        <v/>
      </c>
      <c r="L4220" s="16">
        <f>IF(AND(G4220&gt;0,H4220&gt;0),G4220/H4220,"")</f>
        <v/>
      </c>
    </row>
    <row r="4221">
      <c r="A4221" s="4" t="inlineStr">
        <is>
          <t>511</t>
        </is>
      </c>
      <c r="B4221" s="4" t="n">
        <v>5</v>
      </c>
      <c r="C4221" s="4" t="inlineStr">
        <is>
          <t>elk</t>
        </is>
      </c>
      <c r="D4221" s="4" t="n">
        <v>2007</v>
      </c>
      <c r="E4221" s="4" t="inlineStr"/>
      <c r="F4221" s="5" t="n">
        <v>172</v>
      </c>
      <c r="G4221" s="5" t="n">
        <v>1057</v>
      </c>
      <c r="H4221" s="5" t="n">
        <v>23</v>
      </c>
      <c r="I4221" s="5" t="n">
        <v>19</v>
      </c>
      <c r="J4221" s="5" t="n">
        <v>3</v>
      </c>
      <c r="K4221" s="10">
        <f>IF(F4221&gt;0,H4221/F4221,"")</f>
        <v/>
      </c>
      <c r="L4221" s="16">
        <f>IF(AND(G4221&gt;0,H4221&gt;0),G4221/H4221,"")</f>
        <v/>
      </c>
    </row>
    <row r="4222">
      <c r="A4222" s="4" t="inlineStr">
        <is>
          <t>511</t>
        </is>
      </c>
      <c r="B4222" s="4" t="n">
        <v>5</v>
      </c>
      <c r="C4222" s="4" t="inlineStr">
        <is>
          <t>elk</t>
        </is>
      </c>
      <c r="D4222" s="4" t="n">
        <v>2008</v>
      </c>
      <c r="E4222" s="4" t="inlineStr"/>
      <c r="F4222" s="5" t="n">
        <v>172</v>
      </c>
      <c r="G4222" s="5" t="n">
        <v>803</v>
      </c>
      <c r="H4222" s="5" t="n">
        <v>20</v>
      </c>
      <c r="I4222" s="5" t="n">
        <v>17</v>
      </c>
      <c r="J4222" s="5" t="n">
        <v>3</v>
      </c>
      <c r="K4222" s="10">
        <f>IF(F4222&gt;0,H4222/F4222,"")</f>
        <v/>
      </c>
      <c r="L4222" s="16">
        <f>IF(AND(G4222&gt;0,H4222&gt;0),G4222/H4222,"")</f>
        <v/>
      </c>
    </row>
    <row r="4223">
      <c r="A4223" s="4" t="inlineStr">
        <is>
          <t>511</t>
        </is>
      </c>
      <c r="B4223" s="4" t="n">
        <v>5</v>
      </c>
      <c r="C4223" s="4" t="inlineStr">
        <is>
          <t>elk</t>
        </is>
      </c>
      <c r="D4223" s="4" t="n">
        <v>2009</v>
      </c>
      <c r="E4223" s="4" t="inlineStr"/>
      <c r="F4223" s="5" t="n">
        <v>149</v>
      </c>
      <c r="G4223" s="5" t="n">
        <v>845</v>
      </c>
      <c r="H4223" s="5" t="n">
        <v>15</v>
      </c>
      <c r="I4223" s="5" t="n">
        <v>9</v>
      </c>
      <c r="J4223" s="5" t="n">
        <v>5</v>
      </c>
      <c r="K4223" s="10">
        <f>IF(F4223&gt;0,H4223/F4223,"")</f>
        <v/>
      </c>
      <c r="L4223" s="16">
        <f>IF(AND(G4223&gt;0,H4223&gt;0),G4223/H4223,"")</f>
        <v/>
      </c>
    </row>
    <row r="4224">
      <c r="A4224" s="4" t="inlineStr">
        <is>
          <t>511</t>
        </is>
      </c>
      <c r="B4224" s="4" t="n">
        <v>5</v>
      </c>
      <c r="C4224" s="4" t="inlineStr">
        <is>
          <t>elk</t>
        </is>
      </c>
      <c r="D4224" s="4" t="n">
        <v>2010</v>
      </c>
      <c r="E4224" s="4" t="inlineStr"/>
      <c r="F4224" s="5" t="n">
        <v>234</v>
      </c>
      <c r="G4224" s="5" t="n">
        <v>1171</v>
      </c>
      <c r="H4224" s="5" t="n">
        <v>50</v>
      </c>
      <c r="I4224" s="5" t="n">
        <v>17</v>
      </c>
      <c r="J4224" s="5" t="n">
        <v>31</v>
      </c>
      <c r="K4224" s="10">
        <f>IF(F4224&gt;0,H4224/F4224,"")</f>
        <v/>
      </c>
      <c r="L4224" s="16">
        <f>IF(AND(G4224&gt;0,H4224&gt;0),G4224/H4224,"")</f>
        <v/>
      </c>
    </row>
    <row r="4225">
      <c r="A4225" s="4" t="inlineStr">
        <is>
          <t>511</t>
        </is>
      </c>
      <c r="B4225" s="4" t="n">
        <v>5</v>
      </c>
      <c r="C4225" s="4" t="inlineStr">
        <is>
          <t>elk</t>
        </is>
      </c>
      <c r="D4225" s="4" t="n">
        <v>2011</v>
      </c>
      <c r="E4225" s="4" t="inlineStr"/>
      <c r="F4225" s="5" t="n">
        <v>189</v>
      </c>
      <c r="G4225" s="5" t="n">
        <v>1191</v>
      </c>
      <c r="H4225" s="5" t="n">
        <v>21</v>
      </c>
      <c r="I4225" s="5" t="n">
        <v>10</v>
      </c>
      <c r="J4225" s="5" t="n">
        <v>8</v>
      </c>
      <c r="K4225" s="10">
        <f>IF(F4225&gt;0,H4225/F4225,"")</f>
        <v/>
      </c>
      <c r="L4225" s="16">
        <f>IF(AND(G4225&gt;0,H4225&gt;0),G4225/H4225,"")</f>
        <v/>
      </c>
    </row>
    <row r="4226">
      <c r="A4226" s="4" t="inlineStr">
        <is>
          <t>511</t>
        </is>
      </c>
      <c r="B4226" s="4" t="n">
        <v>5</v>
      </c>
      <c r="C4226" s="4" t="inlineStr">
        <is>
          <t>elk</t>
        </is>
      </c>
      <c r="D4226" s="4" t="n">
        <v>2012</v>
      </c>
      <c r="E4226" s="4" t="inlineStr"/>
      <c r="F4226" s="5" t="n">
        <v>191</v>
      </c>
      <c r="G4226" s="5" t="n">
        <v>1171</v>
      </c>
      <c r="H4226" s="5" t="n">
        <v>23</v>
      </c>
      <c r="I4226" s="5" t="n">
        <v>11</v>
      </c>
      <c r="J4226" s="5" t="n">
        <v>8</v>
      </c>
      <c r="K4226" s="10">
        <f>IF(F4226&gt;0,H4226/F4226,"")</f>
        <v/>
      </c>
      <c r="L4226" s="16">
        <f>IF(AND(G4226&gt;0,H4226&gt;0),G4226/H4226,"")</f>
        <v/>
      </c>
    </row>
    <row r="4227">
      <c r="A4227" s="4" t="inlineStr">
        <is>
          <t>511</t>
        </is>
      </c>
      <c r="B4227" s="4" t="n">
        <v>5</v>
      </c>
      <c r="C4227" s="4" t="inlineStr">
        <is>
          <t>elk</t>
        </is>
      </c>
      <c r="D4227" s="4" t="n">
        <v>2013</v>
      </c>
      <c r="E4227" s="4" t="inlineStr"/>
      <c r="F4227" s="5" t="n"/>
      <c r="G4227" s="5" t="n"/>
      <c r="H4227" s="5" t="n">
        <v>34</v>
      </c>
      <c r="I4227" s="5" t="n">
        <v>20</v>
      </c>
      <c r="J4227" s="5" t="n">
        <v>11</v>
      </c>
      <c r="K4227" s="10">
        <f>IF(F4227&gt;0,H4227/F4227,"")</f>
        <v/>
      </c>
      <c r="L4227" s="16">
        <f>IF(AND(G4227&gt;0,H4227&gt;0),G4227/H4227,"")</f>
        <v/>
      </c>
    </row>
    <row r="4228">
      <c r="A4228" s="4" t="inlineStr">
        <is>
          <t>511</t>
        </is>
      </c>
      <c r="B4228" s="4" t="n">
        <v>5</v>
      </c>
      <c r="C4228" s="4" t="inlineStr">
        <is>
          <t>elk</t>
        </is>
      </c>
      <c r="D4228" s="4" t="n">
        <v>2014</v>
      </c>
      <c r="E4228" s="4" t="inlineStr"/>
      <c r="F4228" s="5" t="n">
        <v>253</v>
      </c>
      <c r="G4228" s="5" t="n">
        <v>1409</v>
      </c>
      <c r="H4228" s="5" t="n">
        <v>40</v>
      </c>
      <c r="I4228" s="5" t="n">
        <v>28</v>
      </c>
      <c r="J4228" s="5" t="n">
        <v>11</v>
      </c>
      <c r="K4228" s="10">
        <f>IF(F4228&gt;0,H4228/F4228,"")</f>
        <v/>
      </c>
      <c r="L4228" s="16">
        <f>IF(AND(G4228&gt;0,H4228&gt;0),G4228/H4228,"")</f>
        <v/>
      </c>
    </row>
    <row r="4229">
      <c r="A4229" s="4" t="inlineStr">
        <is>
          <t>511</t>
        </is>
      </c>
      <c r="B4229" s="4" t="n">
        <v>5</v>
      </c>
      <c r="C4229" s="4" t="inlineStr">
        <is>
          <t>elk</t>
        </is>
      </c>
      <c r="D4229" s="4" t="n">
        <v>2015</v>
      </c>
      <c r="E4229" s="4" t="inlineStr"/>
      <c r="F4229" s="5" t="n">
        <v>189</v>
      </c>
      <c r="G4229" s="5" t="n">
        <v>1303</v>
      </c>
      <c r="H4229" s="5" t="n">
        <v>21</v>
      </c>
      <c r="I4229" s="5" t="n">
        <v>13</v>
      </c>
      <c r="J4229" s="5" t="n">
        <v>4</v>
      </c>
      <c r="K4229" s="10">
        <f>IF(F4229&gt;0,H4229/F4229,"")</f>
        <v/>
      </c>
      <c r="L4229" s="16">
        <f>IF(AND(G4229&gt;0,H4229&gt;0),G4229/H4229,"")</f>
        <v/>
      </c>
    </row>
    <row r="4230">
      <c r="A4230" s="4" t="inlineStr">
        <is>
          <t>511</t>
        </is>
      </c>
      <c r="B4230" s="4" t="n">
        <v>5</v>
      </c>
      <c r="C4230" s="4" t="inlineStr">
        <is>
          <t>elk</t>
        </is>
      </c>
      <c r="D4230" s="4" t="n">
        <v>2016</v>
      </c>
      <c r="E4230" s="4" t="inlineStr"/>
      <c r="F4230" s="5" t="n">
        <v>269</v>
      </c>
      <c r="G4230" s="5" t="n">
        <v>1528</v>
      </c>
      <c r="H4230" s="5" t="n">
        <v>47</v>
      </c>
      <c r="I4230" s="5" t="n">
        <v>28</v>
      </c>
      <c r="J4230" s="5" t="n">
        <v>13</v>
      </c>
      <c r="K4230" s="10">
        <f>IF(F4230&gt;0,H4230/F4230,"")</f>
        <v/>
      </c>
      <c r="L4230" s="16">
        <f>IF(AND(G4230&gt;0,H4230&gt;0),G4230/H4230,"")</f>
        <v/>
      </c>
    </row>
    <row r="4231">
      <c r="A4231" s="4" t="inlineStr">
        <is>
          <t>511</t>
        </is>
      </c>
      <c r="B4231" s="4" t="n">
        <v>5</v>
      </c>
      <c r="C4231" s="4" t="inlineStr">
        <is>
          <t>elk</t>
        </is>
      </c>
      <c r="D4231" s="4" t="n">
        <v>2017</v>
      </c>
      <c r="E4231" s="4" t="inlineStr"/>
      <c r="F4231" s="5" t="n"/>
      <c r="G4231" s="5" t="n"/>
      <c r="H4231" s="5" t="n">
        <v>62</v>
      </c>
      <c r="I4231" s="5" t="n">
        <v>22</v>
      </c>
      <c r="J4231" s="5" t="n">
        <v>37</v>
      </c>
      <c r="K4231" s="10">
        <f>IF(F4231&gt;0,H4231/F4231,"")</f>
        <v/>
      </c>
      <c r="L4231" s="16">
        <f>IF(AND(G4231&gt;0,H4231&gt;0),G4231/H4231,"")</f>
        <v/>
      </c>
    </row>
    <row r="4232">
      <c r="A4232" s="4" t="inlineStr">
        <is>
          <t>511</t>
        </is>
      </c>
      <c r="B4232" s="4" t="n">
        <v>5</v>
      </c>
      <c r="C4232" s="4" t="inlineStr">
        <is>
          <t>elk</t>
        </is>
      </c>
      <c r="D4232" s="4" t="n">
        <v>2018</v>
      </c>
      <c r="E4232" s="4" t="inlineStr"/>
      <c r="F4232" s="5" t="n">
        <v>247</v>
      </c>
      <c r="G4232" s="5" t="n">
        <v>1518</v>
      </c>
      <c r="H4232" s="5" t="n">
        <v>40</v>
      </c>
      <c r="I4232" s="5" t="n">
        <v>13</v>
      </c>
      <c r="J4232" s="5" t="n">
        <v>24</v>
      </c>
      <c r="K4232" s="10">
        <f>IF(F4232&gt;0,H4232/F4232,"")</f>
        <v/>
      </c>
      <c r="L4232" s="16">
        <f>IF(AND(G4232&gt;0,H4232&gt;0),G4232/H4232,"")</f>
        <v/>
      </c>
    </row>
    <row r="4233">
      <c r="A4233" s="4" t="inlineStr">
        <is>
          <t>511</t>
        </is>
      </c>
      <c r="B4233" s="4" t="n">
        <v>5</v>
      </c>
      <c r="C4233" s="4" t="inlineStr">
        <is>
          <t>elk</t>
        </is>
      </c>
      <c r="D4233" s="4" t="n">
        <v>2019</v>
      </c>
      <c r="E4233" s="4" t="inlineStr"/>
      <c r="F4233" s="5" t="n"/>
      <c r="G4233" s="5" t="n"/>
      <c r="H4233" s="5" t="n">
        <v>50</v>
      </c>
      <c r="I4233" s="5" t="n">
        <v>10</v>
      </c>
      <c r="J4233" s="5" t="n">
        <v>31</v>
      </c>
      <c r="K4233" s="10">
        <f>IF(F4233&gt;0,H4233/F4233,"")</f>
        <v/>
      </c>
      <c r="L4233" s="16">
        <f>IF(AND(G4233&gt;0,H4233&gt;0),G4233/H4233,"")</f>
        <v/>
      </c>
    </row>
    <row r="4234">
      <c r="A4234" s="4" t="inlineStr">
        <is>
          <t>511</t>
        </is>
      </c>
      <c r="B4234" s="4" t="n">
        <v>5</v>
      </c>
      <c r="C4234" s="4" t="inlineStr">
        <is>
          <t>elk</t>
        </is>
      </c>
      <c r="D4234" s="4" t="n">
        <v>2020</v>
      </c>
      <c r="E4234" s="4" t="inlineStr"/>
      <c r="F4234" s="5" t="n">
        <v>281</v>
      </c>
      <c r="G4234" s="5" t="n">
        <v>1479</v>
      </c>
      <c r="H4234" s="5" t="n">
        <v>47</v>
      </c>
      <c r="I4234" s="5" t="n">
        <v>23</v>
      </c>
      <c r="J4234" s="5" t="n">
        <v>25</v>
      </c>
      <c r="K4234" s="10">
        <f>IF(F4234&gt;0,H4234/F4234,"")</f>
        <v/>
      </c>
      <c r="L4234" s="16">
        <f>IF(AND(G4234&gt;0,H4234&gt;0),G4234/H4234,"")</f>
        <v/>
      </c>
    </row>
    <row r="4235">
      <c r="A4235" s="4" t="inlineStr">
        <is>
          <t>511</t>
        </is>
      </c>
      <c r="B4235" s="4" t="n">
        <v>5</v>
      </c>
      <c r="C4235" s="4" t="inlineStr">
        <is>
          <t>elk</t>
        </is>
      </c>
      <c r="D4235" s="4" t="n">
        <v>2021</v>
      </c>
      <c r="E4235" s="4" t="inlineStr"/>
      <c r="F4235" s="5" t="n"/>
      <c r="G4235" s="5" t="n"/>
      <c r="H4235" s="5" t="n">
        <v>83</v>
      </c>
      <c r="I4235" s="5" t="n">
        <v>27</v>
      </c>
      <c r="J4235" s="5" t="n">
        <v>52</v>
      </c>
      <c r="K4235" s="10">
        <f>IF(F4235&gt;0,H4235/F4235,"")</f>
        <v/>
      </c>
      <c r="L4235" s="16">
        <f>IF(AND(G4235&gt;0,H4235&gt;0),G4235/H4235,"")</f>
        <v/>
      </c>
    </row>
    <row r="4236">
      <c r="A4236" s="4" t="inlineStr">
        <is>
          <t>515</t>
        </is>
      </c>
      <c r="B4236" s="4" t="n">
        <v>5</v>
      </c>
      <c r="C4236" s="4" t="inlineStr">
        <is>
          <t>elk</t>
        </is>
      </c>
      <c r="D4236" s="4" t="n">
        <v>2022</v>
      </c>
      <c r="E4236" s="13" t="inlineStr">
        <is>
          <t>General</t>
        </is>
      </c>
      <c r="F4236" s="5" t="n">
        <v>971</v>
      </c>
      <c r="G4236" s="5" t="n">
        <v>7136</v>
      </c>
      <c r="H4236" s="5" t="n">
        <v>264</v>
      </c>
      <c r="I4236" s="5" t="n">
        <v>168</v>
      </c>
      <c r="J4236" s="5" t="n">
        <v>92</v>
      </c>
      <c r="K4236" s="10">
        <f>IF(F4236&gt;0,H4236/F4236,"")</f>
        <v/>
      </c>
      <c r="L4236" s="16">
        <f>IF(AND(G4236&gt;0,H4236&gt;0),G4236/H4236,"")</f>
        <v/>
      </c>
    </row>
    <row r="4237">
      <c r="A4237" s="4" t="inlineStr">
        <is>
          <t>515</t>
        </is>
      </c>
      <c r="B4237" s="4" t="n">
        <v>5</v>
      </c>
      <c r="C4237" s="4" t="inlineStr">
        <is>
          <t>elk</t>
        </is>
      </c>
      <c r="D4237" s="4" t="n">
        <v>2023</v>
      </c>
      <c r="E4237" s="13" t="inlineStr">
        <is>
          <t>General</t>
        </is>
      </c>
      <c r="F4237" s="5" t="n"/>
      <c r="G4237" s="5" t="n"/>
      <c r="H4237" s="5" t="n">
        <v>268</v>
      </c>
      <c r="I4237" s="5" t="n">
        <v>151</v>
      </c>
      <c r="J4237" s="5" t="n">
        <v>108</v>
      </c>
      <c r="K4237" s="10">
        <f>IF(F4237&gt;0,H4237/F4237,"")</f>
        <v/>
      </c>
      <c r="L4237" s="16">
        <f>IF(AND(G4237&gt;0,H4237&gt;0),G4237/H4237,"")</f>
        <v/>
      </c>
    </row>
    <row r="4238">
      <c r="A4238" s="4" t="inlineStr">
        <is>
          <t>515</t>
        </is>
      </c>
      <c r="B4238" s="4" t="n">
        <v>5</v>
      </c>
      <c r="C4238" s="4" t="inlineStr">
        <is>
          <t>elk</t>
        </is>
      </c>
      <c r="D4238" s="4" t="n">
        <v>2024</v>
      </c>
      <c r="E4238" s="13" t="inlineStr">
        <is>
          <t>General</t>
        </is>
      </c>
      <c r="F4238" s="5" t="n">
        <v>968</v>
      </c>
      <c r="G4238" s="5" t="n">
        <v>6815</v>
      </c>
      <c r="H4238" s="5" t="n">
        <v>234</v>
      </c>
      <c r="I4238" s="5" t="n">
        <v>129</v>
      </c>
      <c r="J4238" s="5" t="n">
        <v>105</v>
      </c>
      <c r="K4238" s="10">
        <f>IF(F4238&gt;0,H4238/F4238,"")</f>
        <v/>
      </c>
      <c r="L4238" s="16">
        <f>IF(AND(G4238&gt;0,H4238&gt;0),G4238/H4238,"")</f>
        <v/>
      </c>
    </row>
    <row r="4239">
      <c r="A4239" s="4" t="inlineStr">
        <is>
          <t>515</t>
        </is>
      </c>
      <c r="B4239" s="4" t="n">
        <v>5</v>
      </c>
      <c r="C4239" s="4" t="inlineStr">
        <is>
          <t>elk</t>
        </is>
      </c>
      <c r="D4239" s="4" t="n">
        <v>2025</v>
      </c>
      <c r="E4239" s="13" t="inlineStr">
        <is>
          <t>General</t>
        </is>
      </c>
      <c r="F4239" s="5" t="n"/>
      <c r="G4239" s="5" t="n"/>
      <c r="H4239" s="5" t="n">
        <v>340</v>
      </c>
      <c r="I4239" s="5" t="n">
        <v>185</v>
      </c>
      <c r="J4239" s="5" t="n">
        <v>152</v>
      </c>
      <c r="K4239" s="10">
        <f>IF(F4239&gt;0,H4239/F4239,"")</f>
        <v/>
      </c>
      <c r="L4239" s="16">
        <f>IF(AND(G4239&gt;0,H4239&gt;0),G4239/H4239,"")</f>
        <v/>
      </c>
    </row>
    <row r="4240">
      <c r="A4240" s="4" t="inlineStr">
        <is>
          <t>520</t>
        </is>
      </c>
      <c r="B4240" s="4" t="n">
        <v>5</v>
      </c>
      <c r="C4240" s="4" t="inlineStr">
        <is>
          <t>elk</t>
        </is>
      </c>
      <c r="D4240" s="4" t="n">
        <v>2004</v>
      </c>
      <c r="E4240" s="4" t="inlineStr"/>
      <c r="F4240" s="5" t="n">
        <v>1290</v>
      </c>
      <c r="G4240" s="5" t="n">
        <v>8181</v>
      </c>
      <c r="H4240" s="5" t="n">
        <v>154</v>
      </c>
      <c r="I4240" s="5" t="n">
        <v>97</v>
      </c>
      <c r="J4240" s="5" t="n">
        <v>56</v>
      </c>
      <c r="K4240" s="10">
        <f>IF(F4240&gt;0,H4240/F4240,"")</f>
        <v/>
      </c>
      <c r="L4240" s="16">
        <f>IF(AND(G4240&gt;0,H4240&gt;0),G4240/H4240,"")</f>
        <v/>
      </c>
    </row>
    <row r="4241">
      <c r="A4241" s="4" t="inlineStr">
        <is>
          <t>520</t>
        </is>
      </c>
      <c r="B4241" s="4" t="n">
        <v>5</v>
      </c>
      <c r="C4241" s="4" t="inlineStr">
        <is>
          <t>elk</t>
        </is>
      </c>
      <c r="D4241" s="4" t="n">
        <v>2005</v>
      </c>
      <c r="E4241" s="4" t="inlineStr"/>
      <c r="F4241" s="5" t="n">
        <v>1067</v>
      </c>
      <c r="G4241" s="5" t="n">
        <v>6509</v>
      </c>
      <c r="H4241" s="5" t="n">
        <v>171</v>
      </c>
      <c r="I4241" s="5" t="n">
        <v>94</v>
      </c>
      <c r="J4241" s="5" t="n">
        <v>76</v>
      </c>
      <c r="K4241" s="10">
        <f>IF(F4241&gt;0,H4241/F4241,"")</f>
        <v/>
      </c>
      <c r="L4241" s="16">
        <f>IF(AND(G4241&gt;0,H4241&gt;0),G4241/H4241,"")</f>
        <v/>
      </c>
    </row>
    <row r="4242">
      <c r="A4242" s="4" t="inlineStr">
        <is>
          <t>520</t>
        </is>
      </c>
      <c r="B4242" s="4" t="n">
        <v>5</v>
      </c>
      <c r="C4242" s="4" t="inlineStr">
        <is>
          <t>elk</t>
        </is>
      </c>
      <c r="D4242" s="4" t="n">
        <v>2006</v>
      </c>
      <c r="E4242" s="4" t="inlineStr"/>
      <c r="F4242" s="5" t="n">
        <v>866</v>
      </c>
      <c r="G4242" s="5" t="n">
        <v>4230</v>
      </c>
      <c r="H4242" s="5" t="n">
        <v>136</v>
      </c>
      <c r="I4242" s="5" t="n">
        <v>78</v>
      </c>
      <c r="J4242" s="5" t="n">
        <v>56</v>
      </c>
      <c r="K4242" s="10">
        <f>IF(F4242&gt;0,H4242/F4242,"")</f>
        <v/>
      </c>
      <c r="L4242" s="16">
        <f>IF(AND(G4242&gt;0,H4242&gt;0),G4242/H4242,"")</f>
        <v/>
      </c>
    </row>
    <row r="4243">
      <c r="A4243" s="4" t="inlineStr">
        <is>
          <t>520</t>
        </is>
      </c>
      <c r="B4243" s="4" t="n">
        <v>5</v>
      </c>
      <c r="C4243" s="4" t="inlineStr">
        <is>
          <t>elk</t>
        </is>
      </c>
      <c r="D4243" s="4" t="n">
        <v>2007</v>
      </c>
      <c r="E4243" s="4" t="inlineStr"/>
      <c r="F4243" s="5" t="n">
        <v>943</v>
      </c>
      <c r="G4243" s="5" t="n">
        <v>5172</v>
      </c>
      <c r="H4243" s="5" t="n">
        <v>151</v>
      </c>
      <c r="I4243" s="5" t="n">
        <v>78</v>
      </c>
      <c r="J4243" s="5" t="n">
        <v>73</v>
      </c>
      <c r="K4243" s="10">
        <f>IF(F4243&gt;0,H4243/F4243,"")</f>
        <v/>
      </c>
      <c r="L4243" s="16">
        <f>IF(AND(G4243&gt;0,H4243&gt;0),G4243/H4243,"")</f>
        <v/>
      </c>
    </row>
    <row r="4244">
      <c r="A4244" s="4" t="inlineStr">
        <is>
          <t>520</t>
        </is>
      </c>
      <c r="B4244" s="4" t="n">
        <v>5</v>
      </c>
      <c r="C4244" s="4" t="inlineStr">
        <is>
          <t>elk</t>
        </is>
      </c>
      <c r="D4244" s="4" t="n">
        <v>2008</v>
      </c>
      <c r="E4244" s="4" t="inlineStr"/>
      <c r="F4244" s="5" t="n">
        <v>899</v>
      </c>
      <c r="G4244" s="5" t="n">
        <v>5439</v>
      </c>
      <c r="H4244" s="5" t="n">
        <v>124</v>
      </c>
      <c r="I4244" s="5" t="n">
        <v>73</v>
      </c>
      <c r="J4244" s="5" t="n">
        <v>46</v>
      </c>
      <c r="K4244" s="10">
        <f>IF(F4244&gt;0,H4244/F4244,"")</f>
        <v/>
      </c>
      <c r="L4244" s="16">
        <f>IF(AND(G4244&gt;0,H4244&gt;0),G4244/H4244,"")</f>
        <v/>
      </c>
    </row>
    <row r="4245">
      <c r="A4245" s="4" t="inlineStr">
        <is>
          <t>520</t>
        </is>
      </c>
      <c r="B4245" s="4" t="n">
        <v>5</v>
      </c>
      <c r="C4245" s="4" t="inlineStr">
        <is>
          <t>elk</t>
        </is>
      </c>
      <c r="D4245" s="4" t="n">
        <v>2009</v>
      </c>
      <c r="E4245" s="4" t="inlineStr"/>
      <c r="F4245" s="5" t="n">
        <v>1015</v>
      </c>
      <c r="G4245" s="5" t="n">
        <v>6193</v>
      </c>
      <c r="H4245" s="5" t="n">
        <v>138</v>
      </c>
      <c r="I4245" s="5" t="n">
        <v>73</v>
      </c>
      <c r="J4245" s="5" t="n">
        <v>60</v>
      </c>
      <c r="K4245" s="10">
        <f>IF(F4245&gt;0,H4245/F4245,"")</f>
        <v/>
      </c>
      <c r="L4245" s="16">
        <f>IF(AND(G4245&gt;0,H4245&gt;0),G4245/H4245,"")</f>
        <v/>
      </c>
    </row>
    <row r="4246">
      <c r="A4246" s="4" t="inlineStr">
        <is>
          <t>520</t>
        </is>
      </c>
      <c r="B4246" s="4" t="n">
        <v>5</v>
      </c>
      <c r="C4246" s="4" t="inlineStr">
        <is>
          <t>elk</t>
        </is>
      </c>
      <c r="D4246" s="4" t="n">
        <v>2010</v>
      </c>
      <c r="E4246" s="4" t="inlineStr"/>
      <c r="F4246" s="5" t="n">
        <v>970</v>
      </c>
      <c r="G4246" s="5" t="n">
        <v>5523</v>
      </c>
      <c r="H4246" s="5" t="n">
        <v>190</v>
      </c>
      <c r="I4246" s="5" t="n">
        <v>106</v>
      </c>
      <c r="J4246" s="5" t="n">
        <v>76</v>
      </c>
      <c r="K4246" s="10">
        <f>IF(F4246&gt;0,H4246/F4246,"")</f>
        <v/>
      </c>
      <c r="L4246" s="16">
        <f>IF(AND(G4246&gt;0,H4246&gt;0),G4246/H4246,"")</f>
        <v/>
      </c>
    </row>
    <row r="4247">
      <c r="A4247" s="4" t="inlineStr">
        <is>
          <t>520</t>
        </is>
      </c>
      <c r="B4247" s="4" t="n">
        <v>5</v>
      </c>
      <c r="C4247" s="4" t="inlineStr">
        <is>
          <t>elk</t>
        </is>
      </c>
      <c r="D4247" s="4" t="n">
        <v>2011</v>
      </c>
      <c r="E4247" s="4" t="inlineStr"/>
      <c r="F4247" s="5" t="n">
        <v>1156</v>
      </c>
      <c r="G4247" s="5" t="n">
        <v>7024</v>
      </c>
      <c r="H4247" s="5" t="n">
        <v>180</v>
      </c>
      <c r="I4247" s="5" t="n">
        <v>95</v>
      </c>
      <c r="J4247" s="5" t="n">
        <v>78</v>
      </c>
      <c r="K4247" s="10">
        <f>IF(F4247&gt;0,H4247/F4247,"")</f>
        <v/>
      </c>
      <c r="L4247" s="16">
        <f>IF(AND(G4247&gt;0,H4247&gt;0),G4247/H4247,"")</f>
        <v/>
      </c>
    </row>
    <row r="4248">
      <c r="A4248" s="4" t="inlineStr">
        <is>
          <t>520</t>
        </is>
      </c>
      <c r="B4248" s="4" t="n">
        <v>5</v>
      </c>
      <c r="C4248" s="4" t="inlineStr">
        <is>
          <t>elk</t>
        </is>
      </c>
      <c r="D4248" s="4" t="n">
        <v>2012</v>
      </c>
      <c r="E4248" s="4" t="inlineStr"/>
      <c r="F4248" s="5" t="n">
        <v>1069</v>
      </c>
      <c r="G4248" s="5" t="n">
        <v>6407</v>
      </c>
      <c r="H4248" s="5" t="n">
        <v>200</v>
      </c>
      <c r="I4248" s="5" t="n">
        <v>131</v>
      </c>
      <c r="J4248" s="5" t="n">
        <v>68</v>
      </c>
      <c r="K4248" s="10">
        <f>IF(F4248&gt;0,H4248/F4248,"")</f>
        <v/>
      </c>
      <c r="L4248" s="16">
        <f>IF(AND(G4248&gt;0,H4248&gt;0),G4248/H4248,"")</f>
        <v/>
      </c>
    </row>
    <row r="4249">
      <c r="A4249" s="4" t="inlineStr">
        <is>
          <t>520E</t>
        </is>
      </c>
      <c r="B4249" s="4" t="n">
        <v>5</v>
      </c>
      <c r="C4249" s="4" t="inlineStr">
        <is>
          <t>elk</t>
        </is>
      </c>
      <c r="D4249" s="4" t="n">
        <v>2017</v>
      </c>
      <c r="E4249" s="4" t="inlineStr"/>
      <c r="F4249" s="5" t="n"/>
      <c r="G4249" s="5" t="n"/>
      <c r="H4249" s="5" t="n">
        <v>88</v>
      </c>
      <c r="I4249" s="5" t="n">
        <v>25</v>
      </c>
      <c r="J4249" s="5" t="n">
        <v>61</v>
      </c>
      <c r="K4249" s="10">
        <f>IF(F4249&gt;0,H4249/F4249,"")</f>
        <v/>
      </c>
      <c r="L4249" s="16">
        <f>IF(AND(G4249&gt;0,H4249&gt;0),G4249/H4249,"")</f>
        <v/>
      </c>
    </row>
    <row r="4250">
      <c r="A4250" s="4" t="inlineStr">
        <is>
          <t>520W</t>
        </is>
      </c>
      <c r="B4250" s="4" t="n">
        <v>5</v>
      </c>
      <c r="C4250" s="4" t="inlineStr">
        <is>
          <t>elk</t>
        </is>
      </c>
      <c r="D4250" s="4" t="n">
        <v>2017</v>
      </c>
      <c r="E4250" s="4" t="inlineStr"/>
      <c r="F4250" s="5" t="n"/>
      <c r="G4250" s="5" t="n"/>
      <c r="H4250" s="5" t="n">
        <v>208</v>
      </c>
      <c r="I4250" s="5" t="n">
        <v>98</v>
      </c>
      <c r="J4250" s="5" t="n">
        <v>101</v>
      </c>
      <c r="K4250" s="10">
        <f>IF(F4250&gt;0,H4250/F4250,"")</f>
        <v/>
      </c>
      <c r="L4250" s="16">
        <f>IF(AND(G4250&gt;0,H4250&gt;0),G4250/H4250,"")</f>
        <v/>
      </c>
    </row>
    <row r="4251">
      <c r="A4251" s="4" t="inlineStr">
        <is>
          <t>525</t>
        </is>
      </c>
      <c r="B4251" s="4" t="n">
        <v>5</v>
      </c>
      <c r="C4251" s="4" t="inlineStr">
        <is>
          <t>elk</t>
        </is>
      </c>
      <c r="D4251" s="4" t="n">
        <v>2022</v>
      </c>
      <c r="E4251" s="13" t="inlineStr">
        <is>
          <t>General</t>
        </is>
      </c>
      <c r="F4251" s="5" t="n">
        <v>1826</v>
      </c>
      <c r="G4251" s="5" t="n">
        <v>12280</v>
      </c>
      <c r="H4251" s="5" t="n">
        <v>489</v>
      </c>
      <c r="I4251" s="5" t="n">
        <v>293</v>
      </c>
      <c r="J4251" s="5" t="n">
        <v>189</v>
      </c>
      <c r="K4251" s="10">
        <f>IF(F4251&gt;0,H4251/F4251,"")</f>
        <v/>
      </c>
      <c r="L4251" s="16">
        <f>IF(AND(G4251&gt;0,H4251&gt;0),G4251/H4251,"")</f>
        <v/>
      </c>
    </row>
    <row r="4252">
      <c r="A4252" s="4" t="inlineStr">
        <is>
          <t>525</t>
        </is>
      </c>
      <c r="B4252" s="4" t="n">
        <v>5</v>
      </c>
      <c r="C4252" s="4" t="inlineStr">
        <is>
          <t>elk</t>
        </is>
      </c>
      <c r="D4252" s="4" t="n">
        <v>2023</v>
      </c>
      <c r="E4252" s="13" t="inlineStr">
        <is>
          <t>General</t>
        </is>
      </c>
      <c r="F4252" s="5" t="n"/>
      <c r="G4252" s="5" t="n"/>
      <c r="H4252" s="5" t="n">
        <v>533</v>
      </c>
      <c r="I4252" s="5" t="n">
        <v>262</v>
      </c>
      <c r="J4252" s="5" t="n">
        <v>259</v>
      </c>
      <c r="K4252" s="10">
        <f>IF(F4252&gt;0,H4252/F4252,"")</f>
        <v/>
      </c>
      <c r="L4252" s="16">
        <f>IF(AND(G4252&gt;0,H4252&gt;0),G4252/H4252,"")</f>
        <v/>
      </c>
    </row>
    <row r="4253">
      <c r="A4253" s="4" t="inlineStr">
        <is>
          <t>525</t>
        </is>
      </c>
      <c r="B4253" s="4" t="n">
        <v>5</v>
      </c>
      <c r="C4253" s="4" t="inlineStr">
        <is>
          <t>elk</t>
        </is>
      </c>
      <c r="D4253" s="4" t="n">
        <v>2024</v>
      </c>
      <c r="E4253" s="13" t="inlineStr">
        <is>
          <t>General</t>
        </is>
      </c>
      <c r="F4253" s="5" t="n">
        <v>1874</v>
      </c>
      <c r="G4253" s="5" t="n">
        <v>13939</v>
      </c>
      <c r="H4253" s="5" t="n">
        <v>512</v>
      </c>
      <c r="I4253" s="5" t="n">
        <v>220</v>
      </c>
      <c r="J4253" s="5" t="n">
        <v>292</v>
      </c>
      <c r="K4253" s="10">
        <f>IF(F4253&gt;0,H4253/F4253,"")</f>
        <v/>
      </c>
      <c r="L4253" s="16">
        <f>IF(AND(G4253&gt;0,H4253&gt;0),G4253/H4253,"")</f>
        <v/>
      </c>
    </row>
    <row r="4254">
      <c r="A4254" s="4" t="inlineStr">
        <is>
          <t>525</t>
        </is>
      </c>
      <c r="B4254" s="4" t="n">
        <v>5</v>
      </c>
      <c r="C4254" s="4" t="inlineStr">
        <is>
          <t>elk</t>
        </is>
      </c>
      <c r="D4254" s="4" t="n">
        <v>2025</v>
      </c>
      <c r="E4254" s="13" t="inlineStr">
        <is>
          <t>General</t>
        </is>
      </c>
      <c r="F4254" s="5" t="n"/>
      <c r="G4254" s="5" t="n"/>
      <c r="H4254" s="5" t="n">
        <v>421</v>
      </c>
      <c r="I4254" s="5" t="n">
        <v>223</v>
      </c>
      <c r="J4254" s="5" t="n">
        <v>198</v>
      </c>
      <c r="K4254" s="10">
        <f>IF(F4254&gt;0,H4254/F4254,"")</f>
        <v/>
      </c>
      <c r="L4254" s="16">
        <f>IF(AND(G4254&gt;0,H4254&gt;0),G4254/H4254,"")</f>
        <v/>
      </c>
    </row>
    <row r="4255">
      <c r="A4255" s="4" t="inlineStr">
        <is>
          <t>530</t>
        </is>
      </c>
      <c r="B4255" s="4" t="n">
        <v>5</v>
      </c>
      <c r="C4255" s="4" t="inlineStr">
        <is>
          <t>elk</t>
        </is>
      </c>
      <c r="D4255" s="4" t="n">
        <v>2004</v>
      </c>
      <c r="E4255" s="4" t="inlineStr"/>
      <c r="F4255" s="5" t="n">
        <v>213</v>
      </c>
      <c r="G4255" s="5" t="n">
        <v>1120</v>
      </c>
      <c r="H4255" s="5" t="n">
        <v>50</v>
      </c>
      <c r="I4255" s="5" t="n">
        <v>14</v>
      </c>
      <c r="J4255" s="5" t="n">
        <v>30</v>
      </c>
      <c r="K4255" s="10">
        <f>IF(F4255&gt;0,H4255/F4255,"")</f>
        <v/>
      </c>
      <c r="L4255" s="16">
        <f>IF(AND(G4255&gt;0,H4255&gt;0),G4255/H4255,"")</f>
        <v/>
      </c>
    </row>
    <row r="4256">
      <c r="A4256" s="4" t="inlineStr">
        <is>
          <t>530</t>
        </is>
      </c>
      <c r="B4256" s="4" t="n">
        <v>5</v>
      </c>
      <c r="C4256" s="4" t="inlineStr">
        <is>
          <t>elk</t>
        </is>
      </c>
      <c r="D4256" s="4" t="n">
        <v>2005</v>
      </c>
      <c r="E4256" s="4" t="inlineStr"/>
      <c r="F4256" s="5" t="n">
        <v>252</v>
      </c>
      <c r="G4256" s="5" t="n">
        <v>1477</v>
      </c>
      <c r="H4256" s="5" t="n">
        <v>62</v>
      </c>
      <c r="I4256" s="5" t="n">
        <v>19</v>
      </c>
      <c r="J4256" s="5" t="n">
        <v>43</v>
      </c>
      <c r="K4256" s="10">
        <f>IF(F4256&gt;0,H4256/F4256,"")</f>
        <v/>
      </c>
      <c r="L4256" s="16">
        <f>IF(AND(G4256&gt;0,H4256&gt;0),G4256/H4256,"")</f>
        <v/>
      </c>
    </row>
    <row r="4257">
      <c r="A4257" s="4" t="inlineStr">
        <is>
          <t>530</t>
        </is>
      </c>
      <c r="B4257" s="4" t="n">
        <v>5</v>
      </c>
      <c r="C4257" s="4" t="inlineStr">
        <is>
          <t>elk</t>
        </is>
      </c>
      <c r="D4257" s="4" t="n">
        <v>2006</v>
      </c>
      <c r="E4257" s="4" t="inlineStr"/>
      <c r="F4257" s="5" t="n">
        <v>428</v>
      </c>
      <c r="G4257" s="5" t="n">
        <v>2291</v>
      </c>
      <c r="H4257" s="5" t="n">
        <v>76</v>
      </c>
      <c r="I4257" s="5" t="n">
        <v>36</v>
      </c>
      <c r="J4257" s="5" t="n">
        <v>29</v>
      </c>
      <c r="K4257" s="10">
        <f>IF(F4257&gt;0,H4257/F4257,"")</f>
        <v/>
      </c>
      <c r="L4257" s="16">
        <f>IF(AND(G4257&gt;0,H4257&gt;0),G4257/H4257,"")</f>
        <v/>
      </c>
    </row>
    <row r="4258">
      <c r="A4258" s="4" t="inlineStr">
        <is>
          <t>530</t>
        </is>
      </c>
      <c r="B4258" s="4" t="n">
        <v>5</v>
      </c>
      <c r="C4258" s="4" t="inlineStr">
        <is>
          <t>elk</t>
        </is>
      </c>
      <c r="D4258" s="4" t="n">
        <v>2007</v>
      </c>
      <c r="E4258" s="4" t="inlineStr"/>
      <c r="F4258" s="5" t="n">
        <v>442</v>
      </c>
      <c r="G4258" s="5" t="n">
        <v>2374</v>
      </c>
      <c r="H4258" s="5" t="n">
        <v>102</v>
      </c>
      <c r="I4258" s="5" t="n">
        <v>19</v>
      </c>
      <c r="J4258" s="5" t="n">
        <v>78</v>
      </c>
      <c r="K4258" s="10">
        <f>IF(F4258&gt;0,H4258/F4258,"")</f>
        <v/>
      </c>
      <c r="L4258" s="16">
        <f>IF(AND(G4258&gt;0,H4258&gt;0),G4258/H4258,"")</f>
        <v/>
      </c>
    </row>
    <row r="4259">
      <c r="A4259" s="4" t="inlineStr">
        <is>
          <t>530</t>
        </is>
      </c>
      <c r="B4259" s="4" t="n">
        <v>5</v>
      </c>
      <c r="C4259" s="4" t="inlineStr">
        <is>
          <t>elk</t>
        </is>
      </c>
      <c r="D4259" s="4" t="n">
        <v>2008</v>
      </c>
      <c r="E4259" s="4" t="inlineStr"/>
      <c r="F4259" s="5" t="n">
        <v>335</v>
      </c>
      <c r="G4259" s="5" t="n">
        <v>1590</v>
      </c>
      <c r="H4259" s="5" t="n">
        <v>23</v>
      </c>
      <c r="I4259" s="5" t="n">
        <v>12</v>
      </c>
      <c r="J4259" s="5" t="n">
        <v>11</v>
      </c>
      <c r="K4259" s="10">
        <f>IF(F4259&gt;0,H4259/F4259,"")</f>
        <v/>
      </c>
      <c r="L4259" s="16">
        <f>IF(AND(G4259&gt;0,H4259&gt;0),G4259/H4259,"")</f>
        <v/>
      </c>
    </row>
    <row r="4260">
      <c r="A4260" s="4" t="inlineStr">
        <is>
          <t>530</t>
        </is>
      </c>
      <c r="B4260" s="4" t="n">
        <v>5</v>
      </c>
      <c r="C4260" s="4" t="inlineStr">
        <is>
          <t>elk</t>
        </is>
      </c>
      <c r="D4260" s="4" t="n">
        <v>2009</v>
      </c>
      <c r="E4260" s="4" t="inlineStr"/>
      <c r="F4260" s="5" t="n">
        <v>396</v>
      </c>
      <c r="G4260" s="5" t="n">
        <v>2086</v>
      </c>
      <c r="H4260" s="5" t="n">
        <v>57</v>
      </c>
      <c r="I4260" s="5" t="n">
        <v>14</v>
      </c>
      <c r="J4260" s="5" t="n">
        <v>43</v>
      </c>
      <c r="K4260" s="10">
        <f>IF(F4260&gt;0,H4260/F4260,"")</f>
        <v/>
      </c>
      <c r="L4260" s="16">
        <f>IF(AND(G4260&gt;0,H4260&gt;0),G4260/H4260,"")</f>
        <v/>
      </c>
    </row>
    <row r="4261">
      <c r="A4261" s="4" t="inlineStr">
        <is>
          <t>530</t>
        </is>
      </c>
      <c r="B4261" s="4" t="n">
        <v>5</v>
      </c>
      <c r="C4261" s="4" t="inlineStr">
        <is>
          <t>elk</t>
        </is>
      </c>
      <c r="D4261" s="4" t="n">
        <v>2010</v>
      </c>
      <c r="E4261" s="4" t="inlineStr"/>
      <c r="F4261" s="5" t="n">
        <v>353</v>
      </c>
      <c r="G4261" s="5" t="n">
        <v>1945</v>
      </c>
      <c r="H4261" s="5" t="n">
        <v>38</v>
      </c>
      <c r="I4261" s="5" t="n">
        <v>6</v>
      </c>
      <c r="J4261" s="5" t="n">
        <v>29</v>
      </c>
      <c r="K4261" s="10">
        <f>IF(F4261&gt;0,H4261/F4261,"")</f>
        <v/>
      </c>
      <c r="L4261" s="16">
        <f>IF(AND(G4261&gt;0,H4261&gt;0),G4261/H4261,"")</f>
        <v/>
      </c>
    </row>
    <row r="4262">
      <c r="A4262" s="4" t="inlineStr">
        <is>
          <t>530</t>
        </is>
      </c>
      <c r="B4262" s="4" t="n">
        <v>5</v>
      </c>
      <c r="C4262" s="4" t="inlineStr">
        <is>
          <t>elk</t>
        </is>
      </c>
      <c r="D4262" s="4" t="n">
        <v>2011</v>
      </c>
      <c r="E4262" s="4" t="inlineStr"/>
      <c r="F4262" s="5" t="n">
        <v>441</v>
      </c>
      <c r="G4262" s="5" t="n">
        <v>2443</v>
      </c>
      <c r="H4262" s="5" t="n">
        <v>60</v>
      </c>
      <c r="I4262" s="5" t="n">
        <v>10</v>
      </c>
      <c r="J4262" s="5" t="n">
        <v>51</v>
      </c>
      <c r="K4262" s="10">
        <f>IF(F4262&gt;0,H4262/F4262,"")</f>
        <v/>
      </c>
      <c r="L4262" s="16">
        <f>IF(AND(G4262&gt;0,H4262&gt;0),G4262/H4262,"")</f>
        <v/>
      </c>
    </row>
    <row r="4263">
      <c r="A4263" s="4" t="inlineStr">
        <is>
          <t>530</t>
        </is>
      </c>
      <c r="B4263" s="4" t="n">
        <v>5</v>
      </c>
      <c r="C4263" s="4" t="inlineStr">
        <is>
          <t>elk</t>
        </is>
      </c>
      <c r="D4263" s="4" t="n">
        <v>2012</v>
      </c>
      <c r="E4263" s="4" t="inlineStr"/>
      <c r="F4263" s="5" t="n">
        <v>466</v>
      </c>
      <c r="G4263" s="5" t="n">
        <v>2023</v>
      </c>
      <c r="H4263" s="5" t="n">
        <v>57</v>
      </c>
      <c r="I4263" s="5" t="n">
        <v>9</v>
      </c>
      <c r="J4263" s="5" t="n">
        <v>42</v>
      </c>
      <c r="K4263" s="10">
        <f>IF(F4263&gt;0,H4263/F4263,"")</f>
        <v/>
      </c>
      <c r="L4263" s="16">
        <f>IF(AND(G4263&gt;0,H4263&gt;0),G4263/H4263,"")</f>
        <v/>
      </c>
    </row>
    <row r="4264">
      <c r="A4264" s="4" t="inlineStr">
        <is>
          <t>530</t>
        </is>
      </c>
      <c r="B4264" s="4" t="n">
        <v>5</v>
      </c>
      <c r="C4264" s="4" t="inlineStr">
        <is>
          <t>elk</t>
        </is>
      </c>
      <c r="D4264" s="4" t="n">
        <v>2013</v>
      </c>
      <c r="E4264" s="4" t="inlineStr"/>
      <c r="F4264" s="5" t="n"/>
      <c r="G4264" s="5" t="n"/>
      <c r="H4264" s="5" t="n">
        <v>55</v>
      </c>
      <c r="I4264" s="5" t="n">
        <v>31</v>
      </c>
      <c r="J4264" s="5" t="n">
        <v>22</v>
      </c>
      <c r="K4264" s="10">
        <f>IF(F4264&gt;0,H4264/F4264,"")</f>
        <v/>
      </c>
      <c r="L4264" s="16">
        <f>IF(AND(G4264&gt;0,H4264&gt;0),G4264/H4264,"")</f>
        <v/>
      </c>
    </row>
    <row r="4265">
      <c r="A4265" s="4" t="inlineStr">
        <is>
          <t>530</t>
        </is>
      </c>
      <c r="B4265" s="4" t="n">
        <v>5</v>
      </c>
      <c r="C4265" s="4" t="inlineStr">
        <is>
          <t>elk</t>
        </is>
      </c>
      <c r="D4265" s="4" t="n">
        <v>2014</v>
      </c>
      <c r="E4265" s="4" t="inlineStr"/>
      <c r="F4265" s="5" t="n">
        <v>501</v>
      </c>
      <c r="G4265" s="5" t="n">
        <v>2563</v>
      </c>
      <c r="H4265" s="5" t="n">
        <v>88</v>
      </c>
      <c r="I4265" s="5" t="n">
        <v>44</v>
      </c>
      <c r="J4265" s="5" t="n">
        <v>42</v>
      </c>
      <c r="K4265" s="10">
        <f>IF(F4265&gt;0,H4265/F4265,"")</f>
        <v/>
      </c>
      <c r="L4265" s="16">
        <f>IF(AND(G4265&gt;0,H4265&gt;0),G4265/H4265,"")</f>
        <v/>
      </c>
    </row>
    <row r="4266">
      <c r="A4266" s="4" t="inlineStr">
        <is>
          <t>530</t>
        </is>
      </c>
      <c r="B4266" s="4" t="n">
        <v>5</v>
      </c>
      <c r="C4266" s="4" t="inlineStr">
        <is>
          <t>elk</t>
        </is>
      </c>
      <c r="D4266" s="4" t="n">
        <v>2015</v>
      </c>
      <c r="E4266" s="4" t="inlineStr"/>
      <c r="F4266" s="5" t="n">
        <v>528</v>
      </c>
      <c r="G4266" s="5" t="n">
        <v>3413</v>
      </c>
      <c r="H4266" s="5" t="n">
        <v>78</v>
      </c>
      <c r="I4266" s="5" t="n">
        <v>34</v>
      </c>
      <c r="J4266" s="5" t="n">
        <v>44</v>
      </c>
      <c r="K4266" s="10">
        <f>IF(F4266&gt;0,H4266/F4266,"")</f>
        <v/>
      </c>
      <c r="L4266" s="16">
        <f>IF(AND(G4266&gt;0,H4266&gt;0),G4266/H4266,"")</f>
        <v/>
      </c>
    </row>
    <row r="4267">
      <c r="A4267" s="4" t="inlineStr">
        <is>
          <t>530</t>
        </is>
      </c>
      <c r="B4267" s="4" t="n">
        <v>5</v>
      </c>
      <c r="C4267" s="4" t="inlineStr">
        <is>
          <t>elk</t>
        </is>
      </c>
      <c r="D4267" s="4" t="n">
        <v>2016</v>
      </c>
      <c r="E4267" s="4" t="inlineStr"/>
      <c r="F4267" s="5" t="n">
        <v>718</v>
      </c>
      <c r="G4267" s="5" t="n">
        <v>4516</v>
      </c>
      <c r="H4267" s="5" t="n">
        <v>173</v>
      </c>
      <c r="I4267" s="5" t="n">
        <v>79</v>
      </c>
      <c r="J4267" s="5" t="n">
        <v>94</v>
      </c>
      <c r="K4267" s="10">
        <f>IF(F4267&gt;0,H4267/F4267,"")</f>
        <v/>
      </c>
      <c r="L4267" s="16">
        <f>IF(AND(G4267&gt;0,H4267&gt;0),G4267/H4267,"")</f>
        <v/>
      </c>
    </row>
    <row r="4268">
      <c r="A4268" s="4" t="inlineStr">
        <is>
          <t>530</t>
        </is>
      </c>
      <c r="B4268" s="4" t="n">
        <v>5</v>
      </c>
      <c r="C4268" s="4" t="inlineStr">
        <is>
          <t>elk</t>
        </is>
      </c>
      <c r="D4268" s="4" t="n">
        <v>2017</v>
      </c>
      <c r="E4268" s="4" t="inlineStr"/>
      <c r="F4268" s="5" t="n"/>
      <c r="G4268" s="5" t="n"/>
      <c r="H4268" s="5" t="n">
        <v>160</v>
      </c>
      <c r="I4268" s="5" t="n">
        <v>63</v>
      </c>
      <c r="J4268" s="5" t="n">
        <v>89</v>
      </c>
      <c r="K4268" s="10">
        <f>IF(F4268&gt;0,H4268/F4268,"")</f>
        <v/>
      </c>
      <c r="L4268" s="16">
        <f>IF(AND(G4268&gt;0,H4268&gt;0),G4268/H4268,"")</f>
        <v/>
      </c>
    </row>
    <row r="4269">
      <c r="A4269" s="4" t="inlineStr">
        <is>
          <t>530</t>
        </is>
      </c>
      <c r="B4269" s="4" t="n">
        <v>5</v>
      </c>
      <c r="C4269" s="4" t="inlineStr">
        <is>
          <t>elk</t>
        </is>
      </c>
      <c r="D4269" s="4" t="n">
        <v>2018</v>
      </c>
      <c r="E4269" s="4" t="inlineStr"/>
      <c r="F4269" s="5" t="n">
        <v>927</v>
      </c>
      <c r="G4269" s="5" t="n">
        <v>5600</v>
      </c>
      <c r="H4269" s="5" t="n">
        <v>241</v>
      </c>
      <c r="I4269" s="5" t="n">
        <v>72</v>
      </c>
      <c r="J4269" s="5" t="n">
        <v>153</v>
      </c>
      <c r="K4269" s="10">
        <f>IF(F4269&gt;0,H4269/F4269,"")</f>
        <v/>
      </c>
      <c r="L4269" s="16">
        <f>IF(AND(G4269&gt;0,H4269&gt;0),G4269/H4269,"")</f>
        <v/>
      </c>
    </row>
    <row r="4270">
      <c r="A4270" s="4" t="inlineStr">
        <is>
          <t>530</t>
        </is>
      </c>
      <c r="B4270" s="4" t="n">
        <v>5</v>
      </c>
      <c r="C4270" s="4" t="inlineStr">
        <is>
          <t>elk</t>
        </is>
      </c>
      <c r="D4270" s="4" t="n">
        <v>2019</v>
      </c>
      <c r="E4270" s="4" t="inlineStr"/>
      <c r="F4270" s="5" t="n"/>
      <c r="G4270" s="5" t="n"/>
      <c r="H4270" s="5" t="n">
        <v>218</v>
      </c>
      <c r="I4270" s="5" t="n">
        <v>52</v>
      </c>
      <c r="J4270" s="5" t="n">
        <v>160</v>
      </c>
      <c r="K4270" s="10">
        <f>IF(F4270&gt;0,H4270/F4270,"")</f>
        <v/>
      </c>
      <c r="L4270" s="16">
        <f>IF(AND(G4270&gt;0,H4270&gt;0),G4270/H4270,"")</f>
        <v/>
      </c>
    </row>
    <row r="4271">
      <c r="A4271" s="4" t="inlineStr">
        <is>
          <t>530</t>
        </is>
      </c>
      <c r="B4271" s="4" t="n">
        <v>5</v>
      </c>
      <c r="C4271" s="4" t="inlineStr">
        <is>
          <t>elk</t>
        </is>
      </c>
      <c r="D4271" s="4" t="n">
        <v>2020</v>
      </c>
      <c r="E4271" s="4" t="inlineStr"/>
      <c r="F4271" s="5" t="n">
        <v>917</v>
      </c>
      <c r="G4271" s="5" t="n">
        <v>5827</v>
      </c>
      <c r="H4271" s="5" t="n">
        <v>170</v>
      </c>
      <c r="I4271" s="5" t="n">
        <v>66</v>
      </c>
      <c r="J4271" s="5" t="n">
        <v>97</v>
      </c>
      <c r="K4271" s="10">
        <f>IF(F4271&gt;0,H4271/F4271,"")</f>
        <v/>
      </c>
      <c r="L4271" s="16">
        <f>IF(AND(G4271&gt;0,H4271&gt;0),G4271/H4271,"")</f>
        <v/>
      </c>
    </row>
    <row r="4272">
      <c r="A4272" s="4" t="inlineStr">
        <is>
          <t>530</t>
        </is>
      </c>
      <c r="B4272" s="4" t="n">
        <v>5</v>
      </c>
      <c r="C4272" s="4" t="inlineStr">
        <is>
          <t>elk</t>
        </is>
      </c>
      <c r="D4272" s="4" t="n">
        <v>2021</v>
      </c>
      <c r="E4272" s="4" t="inlineStr"/>
      <c r="F4272" s="5" t="n"/>
      <c r="G4272" s="5" t="n"/>
      <c r="H4272" s="5" t="n">
        <v>230</v>
      </c>
      <c r="I4272" s="5" t="n">
        <v>63</v>
      </c>
      <c r="J4272" s="5" t="n">
        <v>167</v>
      </c>
      <c r="K4272" s="10">
        <f>IF(F4272&gt;0,H4272/F4272,"")</f>
        <v/>
      </c>
      <c r="L4272" s="16">
        <f>IF(AND(G4272&gt;0,H4272&gt;0),G4272/H4272,"")</f>
        <v/>
      </c>
    </row>
    <row r="4273">
      <c r="A4273" s="4" t="inlineStr">
        <is>
          <t>535E</t>
        </is>
      </c>
      <c r="B4273" s="4" t="n">
        <v>5</v>
      </c>
      <c r="C4273" s="4" t="inlineStr">
        <is>
          <t>elk</t>
        </is>
      </c>
      <c r="D4273" s="4" t="n">
        <v>2022</v>
      </c>
      <c r="E4273" s="13" t="inlineStr">
        <is>
          <t>General</t>
        </is>
      </c>
      <c r="F4273" s="5" t="n">
        <v>771</v>
      </c>
      <c r="G4273" s="5" t="n">
        <v>4670</v>
      </c>
      <c r="H4273" s="5" t="n">
        <v>181</v>
      </c>
      <c r="I4273" s="5" t="n">
        <v>72</v>
      </c>
      <c r="J4273" s="5" t="n">
        <v>105</v>
      </c>
      <c r="K4273" s="10">
        <f>IF(F4273&gt;0,H4273/F4273,"")</f>
        <v/>
      </c>
      <c r="L4273" s="16">
        <f>IF(AND(G4273&gt;0,H4273&gt;0),G4273/H4273,"")</f>
        <v/>
      </c>
    </row>
    <row r="4274">
      <c r="A4274" s="4" t="inlineStr">
        <is>
          <t>535E</t>
        </is>
      </c>
      <c r="B4274" s="4" t="n">
        <v>5</v>
      </c>
      <c r="C4274" s="4" t="inlineStr">
        <is>
          <t>elk</t>
        </is>
      </c>
      <c r="D4274" s="4" t="n">
        <v>2023</v>
      </c>
      <c r="E4274" s="13" t="inlineStr">
        <is>
          <t>General</t>
        </is>
      </c>
      <c r="F4274" s="5" t="n"/>
      <c r="G4274" s="5" t="n"/>
      <c r="H4274" s="5" t="n">
        <v>397</v>
      </c>
      <c r="I4274" s="5" t="n">
        <v>84</v>
      </c>
      <c r="J4274" s="5" t="n">
        <v>302</v>
      </c>
      <c r="K4274" s="10">
        <f>IF(F4274&gt;0,H4274/F4274,"")</f>
        <v/>
      </c>
      <c r="L4274" s="16">
        <f>IF(AND(G4274&gt;0,H4274&gt;0),G4274/H4274,"")</f>
        <v/>
      </c>
    </row>
    <row r="4275">
      <c r="A4275" s="4" t="inlineStr">
        <is>
          <t>535E</t>
        </is>
      </c>
      <c r="B4275" s="4" t="n">
        <v>5</v>
      </c>
      <c r="C4275" s="4" t="inlineStr">
        <is>
          <t>elk</t>
        </is>
      </c>
      <c r="D4275" s="4" t="n">
        <v>2024</v>
      </c>
      <c r="E4275" s="13" t="inlineStr">
        <is>
          <t>General</t>
        </is>
      </c>
      <c r="F4275" s="5" t="n">
        <v>1023</v>
      </c>
      <c r="G4275" s="5" t="n">
        <v>6547</v>
      </c>
      <c r="H4275" s="5" t="n">
        <v>323</v>
      </c>
      <c r="I4275" s="5" t="n">
        <v>69</v>
      </c>
      <c r="J4275" s="5" t="n">
        <v>247</v>
      </c>
      <c r="K4275" s="10">
        <f>IF(F4275&gt;0,H4275/F4275,"")</f>
        <v/>
      </c>
      <c r="L4275" s="16">
        <f>IF(AND(G4275&gt;0,H4275&gt;0),G4275/H4275,"")</f>
        <v/>
      </c>
    </row>
    <row r="4276">
      <c r="A4276" s="4" t="inlineStr">
        <is>
          <t>535E</t>
        </is>
      </c>
      <c r="B4276" s="4" t="n">
        <v>5</v>
      </c>
      <c r="C4276" s="4" t="inlineStr">
        <is>
          <t>elk</t>
        </is>
      </c>
      <c r="D4276" s="4" t="n">
        <v>2025</v>
      </c>
      <c r="E4276" s="13" t="inlineStr">
        <is>
          <t>General</t>
        </is>
      </c>
      <c r="F4276" s="5" t="n"/>
      <c r="G4276" s="5" t="n"/>
      <c r="H4276" s="5" t="n">
        <v>286</v>
      </c>
      <c r="I4276" s="5" t="n">
        <v>86</v>
      </c>
      <c r="J4276" s="5" t="n">
        <v>185</v>
      </c>
      <c r="K4276" s="10">
        <f>IF(F4276&gt;0,H4276/F4276,"")</f>
        <v/>
      </c>
      <c r="L4276" s="16">
        <f>IF(AND(G4276&gt;0,H4276&gt;0),G4276/H4276,"")</f>
        <v/>
      </c>
    </row>
    <row r="4277">
      <c r="A4277" s="4" t="inlineStr">
        <is>
          <t>535W</t>
        </is>
      </c>
      <c r="B4277" s="4" t="n">
        <v>5</v>
      </c>
      <c r="C4277" s="4" t="inlineStr">
        <is>
          <t>elk</t>
        </is>
      </c>
      <c r="D4277" s="4" t="n">
        <v>2022</v>
      </c>
      <c r="E4277" s="13" t="inlineStr">
        <is>
          <t>General</t>
        </is>
      </c>
      <c r="F4277" s="5" t="n">
        <v>498</v>
      </c>
      <c r="G4277" s="5" t="n">
        <v>3286</v>
      </c>
      <c r="H4277" s="5" t="n">
        <v>98</v>
      </c>
      <c r="I4277" s="5" t="n">
        <v>33</v>
      </c>
      <c r="J4277" s="5" t="n">
        <v>55</v>
      </c>
      <c r="K4277" s="10">
        <f>IF(F4277&gt;0,H4277/F4277,"")</f>
        <v/>
      </c>
      <c r="L4277" s="16">
        <f>IF(AND(G4277&gt;0,H4277&gt;0),G4277/H4277,"")</f>
        <v/>
      </c>
    </row>
    <row r="4278">
      <c r="A4278" s="4" t="inlineStr">
        <is>
          <t>535W</t>
        </is>
      </c>
      <c r="B4278" s="4" t="n">
        <v>5</v>
      </c>
      <c r="C4278" s="4" t="inlineStr">
        <is>
          <t>elk</t>
        </is>
      </c>
      <c r="D4278" s="4" t="n">
        <v>2023</v>
      </c>
      <c r="E4278" s="13" t="inlineStr">
        <is>
          <t>General</t>
        </is>
      </c>
      <c r="F4278" s="5" t="n"/>
      <c r="G4278" s="5" t="n"/>
      <c r="H4278" s="5" t="n">
        <v>230</v>
      </c>
      <c r="I4278" s="5" t="n">
        <v>49</v>
      </c>
      <c r="J4278" s="5" t="n">
        <v>162</v>
      </c>
      <c r="K4278" s="10">
        <f>IF(F4278&gt;0,H4278/F4278,"")</f>
        <v/>
      </c>
      <c r="L4278" s="16">
        <f>IF(AND(G4278&gt;0,H4278&gt;0),G4278/H4278,"")</f>
        <v/>
      </c>
    </row>
    <row r="4279">
      <c r="A4279" s="4" t="inlineStr">
        <is>
          <t>535W</t>
        </is>
      </c>
      <c r="B4279" s="4" t="n">
        <v>5</v>
      </c>
      <c r="C4279" s="4" t="inlineStr">
        <is>
          <t>elk</t>
        </is>
      </c>
      <c r="D4279" s="4" t="n">
        <v>2024</v>
      </c>
      <c r="E4279" s="13" t="inlineStr">
        <is>
          <t>General</t>
        </is>
      </c>
      <c r="F4279" s="5" t="n">
        <v>678</v>
      </c>
      <c r="G4279" s="5" t="n">
        <v>4906</v>
      </c>
      <c r="H4279" s="5" t="n">
        <v>213</v>
      </c>
      <c r="I4279" s="5" t="n">
        <v>55</v>
      </c>
      <c r="J4279" s="5" t="n">
        <v>155</v>
      </c>
      <c r="K4279" s="10">
        <f>IF(F4279&gt;0,H4279/F4279,"")</f>
        <v/>
      </c>
      <c r="L4279" s="16">
        <f>IF(AND(G4279&gt;0,H4279&gt;0),G4279/H4279,"")</f>
        <v/>
      </c>
    </row>
    <row r="4280">
      <c r="A4280" s="4" t="inlineStr">
        <is>
          <t>535W</t>
        </is>
      </c>
      <c r="B4280" s="4" t="n">
        <v>5</v>
      </c>
      <c r="C4280" s="4" t="inlineStr">
        <is>
          <t>elk</t>
        </is>
      </c>
      <c r="D4280" s="4" t="n">
        <v>2025</v>
      </c>
      <c r="E4280" s="13" t="inlineStr">
        <is>
          <t>General</t>
        </is>
      </c>
      <c r="F4280" s="5" t="n"/>
      <c r="G4280" s="5" t="n"/>
      <c r="H4280" s="5" t="n">
        <v>196</v>
      </c>
      <c r="I4280" s="5" t="n">
        <v>54</v>
      </c>
      <c r="J4280" s="5" t="n">
        <v>142</v>
      </c>
      <c r="K4280" s="10">
        <f>IF(F4280&gt;0,H4280/F4280,"")</f>
        <v/>
      </c>
      <c r="L4280" s="16">
        <f>IF(AND(G4280&gt;0,H4280&gt;0),G4280/H4280,"")</f>
        <v/>
      </c>
    </row>
    <row r="4281">
      <c r="A4281" s="4" t="inlineStr">
        <is>
          <t>540</t>
        </is>
      </c>
      <c r="B4281" s="4" t="n">
        <v>5</v>
      </c>
      <c r="C4281" s="4" t="inlineStr">
        <is>
          <t>elk</t>
        </is>
      </c>
      <c r="D4281" s="4" t="n">
        <v>2004</v>
      </c>
      <c r="E4281" s="13" t="inlineStr">
        <is>
          <t>General</t>
        </is>
      </c>
      <c r="F4281" s="5" t="n">
        <v>938</v>
      </c>
      <c r="G4281" s="5" t="n">
        <v>4675</v>
      </c>
      <c r="H4281" s="5" t="n">
        <v>141</v>
      </c>
      <c r="I4281" s="5" t="n">
        <v>54</v>
      </c>
      <c r="J4281" s="5" t="n">
        <v>77</v>
      </c>
      <c r="K4281" s="10">
        <f>IF(F4281&gt;0,H4281/F4281,"")</f>
        <v/>
      </c>
      <c r="L4281" s="16">
        <f>IF(AND(G4281&gt;0,H4281&gt;0),G4281/H4281,"")</f>
        <v/>
      </c>
    </row>
    <row r="4282">
      <c r="A4282" s="4" t="inlineStr">
        <is>
          <t>540</t>
        </is>
      </c>
      <c r="B4282" s="4" t="n">
        <v>5</v>
      </c>
      <c r="C4282" s="4" t="inlineStr">
        <is>
          <t>elk</t>
        </is>
      </c>
      <c r="D4282" s="4" t="n">
        <v>2005</v>
      </c>
      <c r="E4282" s="13" t="inlineStr">
        <is>
          <t>General</t>
        </is>
      </c>
      <c r="F4282" s="5" t="n">
        <v>762</v>
      </c>
      <c r="G4282" s="5" t="n">
        <v>3811</v>
      </c>
      <c r="H4282" s="5" t="n">
        <v>147</v>
      </c>
      <c r="I4282" s="5" t="n">
        <v>77</v>
      </c>
      <c r="J4282" s="5" t="n">
        <v>67</v>
      </c>
      <c r="K4282" s="10">
        <f>IF(F4282&gt;0,H4282/F4282,"")</f>
        <v/>
      </c>
      <c r="L4282" s="16">
        <f>IF(AND(G4282&gt;0,H4282&gt;0),G4282/H4282,"")</f>
        <v/>
      </c>
    </row>
    <row r="4283">
      <c r="A4283" s="4" t="inlineStr">
        <is>
          <t>540</t>
        </is>
      </c>
      <c r="B4283" s="4" t="n">
        <v>5</v>
      </c>
      <c r="C4283" s="4" t="inlineStr">
        <is>
          <t>elk</t>
        </is>
      </c>
      <c r="D4283" s="4" t="n">
        <v>2006</v>
      </c>
      <c r="E4283" s="13" t="inlineStr">
        <is>
          <t>General</t>
        </is>
      </c>
      <c r="F4283" s="5" t="n">
        <v>664</v>
      </c>
      <c r="G4283" s="5" t="n">
        <v>3561</v>
      </c>
      <c r="H4283" s="5" t="n">
        <v>147</v>
      </c>
      <c r="I4283" s="5" t="n">
        <v>92</v>
      </c>
      <c r="J4283" s="5" t="n">
        <v>54</v>
      </c>
      <c r="K4283" s="10">
        <f>IF(F4283&gt;0,H4283/F4283,"")</f>
        <v/>
      </c>
      <c r="L4283" s="16">
        <f>IF(AND(G4283&gt;0,H4283&gt;0),G4283/H4283,"")</f>
        <v/>
      </c>
    </row>
    <row r="4284">
      <c r="A4284" s="4" t="inlineStr">
        <is>
          <t>540</t>
        </is>
      </c>
      <c r="B4284" s="4" t="n">
        <v>5</v>
      </c>
      <c r="C4284" s="4" t="inlineStr">
        <is>
          <t>elk</t>
        </is>
      </c>
      <c r="D4284" s="4" t="n">
        <v>2007</v>
      </c>
      <c r="E4284" s="13" t="inlineStr">
        <is>
          <t>General</t>
        </is>
      </c>
      <c r="F4284" s="5" t="n">
        <v>761</v>
      </c>
      <c r="G4284" s="5" t="n">
        <v>4645</v>
      </c>
      <c r="H4284" s="5" t="n">
        <v>83</v>
      </c>
      <c r="I4284" s="5" t="n">
        <v>34</v>
      </c>
      <c r="J4284" s="5" t="n">
        <v>48</v>
      </c>
      <c r="K4284" s="10">
        <f>IF(F4284&gt;0,H4284/F4284,"")</f>
        <v/>
      </c>
      <c r="L4284" s="16">
        <f>IF(AND(G4284&gt;0,H4284&gt;0),G4284/H4284,"")</f>
        <v/>
      </c>
    </row>
    <row r="4285">
      <c r="A4285" s="4" t="inlineStr">
        <is>
          <t>540</t>
        </is>
      </c>
      <c r="B4285" s="4" t="n">
        <v>5</v>
      </c>
      <c r="C4285" s="4" t="inlineStr">
        <is>
          <t>elk</t>
        </is>
      </c>
      <c r="D4285" s="4" t="n">
        <v>2008</v>
      </c>
      <c r="E4285" s="13" t="inlineStr">
        <is>
          <t>General</t>
        </is>
      </c>
      <c r="F4285" s="5" t="n">
        <v>831</v>
      </c>
      <c r="G4285" s="5" t="n">
        <v>4829</v>
      </c>
      <c r="H4285" s="5" t="n">
        <v>118</v>
      </c>
      <c r="I4285" s="5" t="n">
        <v>71</v>
      </c>
      <c r="J4285" s="5" t="n">
        <v>43</v>
      </c>
      <c r="K4285" s="10">
        <f>IF(F4285&gt;0,H4285/F4285,"")</f>
        <v/>
      </c>
      <c r="L4285" s="16">
        <f>IF(AND(G4285&gt;0,H4285&gt;0),G4285/H4285,"")</f>
        <v/>
      </c>
    </row>
    <row r="4286">
      <c r="A4286" s="4" t="inlineStr">
        <is>
          <t>540</t>
        </is>
      </c>
      <c r="B4286" s="4" t="n">
        <v>5</v>
      </c>
      <c r="C4286" s="4" t="inlineStr">
        <is>
          <t>elk</t>
        </is>
      </c>
      <c r="D4286" s="4" t="n">
        <v>2009</v>
      </c>
      <c r="E4286" s="13" t="inlineStr">
        <is>
          <t>General</t>
        </is>
      </c>
      <c r="F4286" s="5" t="n">
        <v>770</v>
      </c>
      <c r="G4286" s="5" t="n">
        <v>4423</v>
      </c>
      <c r="H4286" s="5" t="n">
        <v>119</v>
      </c>
      <c r="I4286" s="5" t="n">
        <v>69</v>
      </c>
      <c r="J4286" s="5" t="n">
        <v>42</v>
      </c>
      <c r="K4286" s="10">
        <f>IF(F4286&gt;0,H4286/F4286,"")</f>
        <v/>
      </c>
      <c r="L4286" s="16">
        <f>IF(AND(G4286&gt;0,H4286&gt;0),G4286/H4286,"")</f>
        <v/>
      </c>
    </row>
    <row r="4287">
      <c r="A4287" s="4" t="inlineStr">
        <is>
          <t>540</t>
        </is>
      </c>
      <c r="B4287" s="4" t="n">
        <v>5</v>
      </c>
      <c r="C4287" s="4" t="inlineStr">
        <is>
          <t>elk</t>
        </is>
      </c>
      <c r="D4287" s="4" t="n">
        <v>2010</v>
      </c>
      <c r="E4287" s="13" t="inlineStr">
        <is>
          <t>General</t>
        </is>
      </c>
      <c r="F4287" s="5" t="n">
        <v>1008</v>
      </c>
      <c r="G4287" s="5" t="n">
        <v>6608</v>
      </c>
      <c r="H4287" s="5" t="n">
        <v>234</v>
      </c>
      <c r="I4287" s="5" t="n">
        <v>94</v>
      </c>
      <c r="J4287" s="5" t="n">
        <v>102</v>
      </c>
      <c r="K4287" s="10">
        <f>IF(F4287&gt;0,H4287/F4287,"")</f>
        <v/>
      </c>
      <c r="L4287" s="16">
        <f>IF(AND(G4287&gt;0,H4287&gt;0),G4287/H4287,"")</f>
        <v/>
      </c>
    </row>
    <row r="4288">
      <c r="A4288" s="4" t="inlineStr">
        <is>
          <t>540</t>
        </is>
      </c>
      <c r="B4288" s="4" t="n">
        <v>5</v>
      </c>
      <c r="C4288" s="4" t="inlineStr">
        <is>
          <t>elk</t>
        </is>
      </c>
      <c r="D4288" s="4" t="n">
        <v>2011</v>
      </c>
      <c r="E4288" s="13" t="inlineStr">
        <is>
          <t>General</t>
        </is>
      </c>
      <c r="F4288" s="5" t="n">
        <v>1081</v>
      </c>
      <c r="G4288" s="5" t="n">
        <v>6251</v>
      </c>
      <c r="H4288" s="5" t="n">
        <v>253</v>
      </c>
      <c r="I4288" s="5" t="n">
        <v>103</v>
      </c>
      <c r="J4288" s="5" t="n">
        <v>127</v>
      </c>
      <c r="K4288" s="10">
        <f>IF(F4288&gt;0,H4288/F4288,"")</f>
        <v/>
      </c>
      <c r="L4288" s="16">
        <f>IF(AND(G4288&gt;0,H4288&gt;0),G4288/H4288,"")</f>
        <v/>
      </c>
    </row>
    <row r="4289">
      <c r="A4289" s="4" t="inlineStr">
        <is>
          <t>540</t>
        </is>
      </c>
      <c r="B4289" s="4" t="n">
        <v>5</v>
      </c>
      <c r="C4289" s="4" t="inlineStr">
        <is>
          <t>elk</t>
        </is>
      </c>
      <c r="D4289" s="4" t="n">
        <v>2012</v>
      </c>
      <c r="E4289" s="13" t="inlineStr">
        <is>
          <t>General</t>
        </is>
      </c>
      <c r="F4289" s="5" t="n">
        <v>1073</v>
      </c>
      <c r="G4289" s="5" t="n">
        <v>6272</v>
      </c>
      <c r="H4289" s="5" t="n">
        <v>151</v>
      </c>
      <c r="I4289" s="5" t="n">
        <v>73</v>
      </c>
      <c r="J4289" s="5" t="n">
        <v>73</v>
      </c>
      <c r="K4289" s="10">
        <f>IF(F4289&gt;0,H4289/F4289,"")</f>
        <v/>
      </c>
      <c r="L4289" s="16">
        <f>IF(AND(G4289&gt;0,H4289&gt;0),G4289/H4289,"")</f>
        <v/>
      </c>
    </row>
    <row r="4290">
      <c r="A4290" s="4" t="inlineStr">
        <is>
          <t>540</t>
        </is>
      </c>
      <c r="B4290" s="4" t="n">
        <v>5</v>
      </c>
      <c r="C4290" s="4" t="inlineStr">
        <is>
          <t>elk</t>
        </is>
      </c>
      <c r="D4290" s="4" t="n">
        <v>2013</v>
      </c>
      <c r="E4290" s="13" t="inlineStr">
        <is>
          <t>General</t>
        </is>
      </c>
      <c r="F4290" s="5" t="n"/>
      <c r="G4290" s="5" t="n"/>
      <c r="H4290" s="5" t="n">
        <v>154</v>
      </c>
      <c r="I4290" s="5" t="n">
        <v>87</v>
      </c>
      <c r="J4290" s="5" t="n">
        <v>60</v>
      </c>
      <c r="K4290" s="10">
        <f>IF(F4290&gt;0,H4290/F4290,"")</f>
        <v/>
      </c>
      <c r="L4290" s="16">
        <f>IF(AND(G4290&gt;0,H4290&gt;0),G4290/H4290,"")</f>
        <v/>
      </c>
    </row>
    <row r="4291">
      <c r="A4291" s="4" t="inlineStr">
        <is>
          <t>540</t>
        </is>
      </c>
      <c r="B4291" s="4" t="n">
        <v>5</v>
      </c>
      <c r="C4291" s="4" t="inlineStr">
        <is>
          <t>elk</t>
        </is>
      </c>
      <c r="D4291" s="4" t="n">
        <v>2014</v>
      </c>
      <c r="E4291" s="13" t="inlineStr">
        <is>
          <t>General</t>
        </is>
      </c>
      <c r="F4291" s="5" t="n">
        <v>1012</v>
      </c>
      <c r="G4291" s="5" t="n">
        <v>5715</v>
      </c>
      <c r="H4291" s="5" t="n">
        <v>268</v>
      </c>
      <c r="I4291" s="5" t="n">
        <v>116</v>
      </c>
      <c r="J4291" s="5" t="n">
        <v>135</v>
      </c>
      <c r="K4291" s="10">
        <f>IF(F4291&gt;0,H4291/F4291,"")</f>
        <v/>
      </c>
      <c r="L4291" s="16">
        <f>IF(AND(G4291&gt;0,H4291&gt;0),G4291/H4291,"")</f>
        <v/>
      </c>
    </row>
    <row r="4292">
      <c r="A4292" s="4" t="inlineStr">
        <is>
          <t>540</t>
        </is>
      </c>
      <c r="B4292" s="4" t="n">
        <v>5</v>
      </c>
      <c r="C4292" s="4" t="inlineStr">
        <is>
          <t>elk</t>
        </is>
      </c>
      <c r="D4292" s="4" t="n">
        <v>2015</v>
      </c>
      <c r="E4292" s="13" t="inlineStr">
        <is>
          <t>General</t>
        </is>
      </c>
      <c r="F4292" s="5" t="n">
        <v>1134</v>
      </c>
      <c r="G4292" s="5" t="n">
        <v>7101</v>
      </c>
      <c r="H4292" s="5" t="n">
        <v>278</v>
      </c>
      <c r="I4292" s="5" t="n">
        <v>109</v>
      </c>
      <c r="J4292" s="5" t="n">
        <v>147</v>
      </c>
      <c r="K4292" s="10">
        <f>IF(F4292&gt;0,H4292/F4292,"")</f>
        <v/>
      </c>
      <c r="L4292" s="16">
        <f>IF(AND(G4292&gt;0,H4292&gt;0),G4292/H4292,"")</f>
        <v/>
      </c>
    </row>
    <row r="4293">
      <c r="A4293" s="4" t="inlineStr">
        <is>
          <t>540</t>
        </is>
      </c>
      <c r="B4293" s="4" t="n">
        <v>5</v>
      </c>
      <c r="C4293" s="4" t="inlineStr">
        <is>
          <t>elk</t>
        </is>
      </c>
      <c r="D4293" s="4" t="n">
        <v>2016</v>
      </c>
      <c r="E4293" s="13" t="inlineStr">
        <is>
          <t>General</t>
        </is>
      </c>
      <c r="F4293" s="5" t="n">
        <v>1178</v>
      </c>
      <c r="G4293" s="5" t="n">
        <v>7985</v>
      </c>
      <c r="H4293" s="5" t="n">
        <v>243</v>
      </c>
      <c r="I4293" s="5" t="n">
        <v>79</v>
      </c>
      <c r="J4293" s="5" t="n">
        <v>151</v>
      </c>
      <c r="K4293" s="10">
        <f>IF(F4293&gt;0,H4293/F4293,"")</f>
        <v/>
      </c>
      <c r="L4293" s="16">
        <f>IF(AND(G4293&gt;0,H4293&gt;0),G4293/H4293,"")</f>
        <v/>
      </c>
    </row>
    <row r="4294">
      <c r="A4294" s="4" t="inlineStr">
        <is>
          <t>540</t>
        </is>
      </c>
      <c r="B4294" s="4" t="n">
        <v>5</v>
      </c>
      <c r="C4294" s="4" t="inlineStr">
        <is>
          <t>elk</t>
        </is>
      </c>
      <c r="D4294" s="4" t="n">
        <v>2017</v>
      </c>
      <c r="E4294" s="13" t="inlineStr">
        <is>
          <t>General</t>
        </is>
      </c>
      <c r="F4294" s="5" t="n"/>
      <c r="G4294" s="5" t="n"/>
      <c r="H4294" s="5" t="n">
        <v>366</v>
      </c>
      <c r="I4294" s="5" t="n">
        <v>174</v>
      </c>
      <c r="J4294" s="5" t="n">
        <v>178</v>
      </c>
      <c r="K4294" s="10">
        <f>IF(F4294&gt;0,H4294/F4294,"")</f>
        <v/>
      </c>
      <c r="L4294" s="16">
        <f>IF(AND(G4294&gt;0,H4294&gt;0),G4294/H4294,"")</f>
        <v/>
      </c>
    </row>
    <row r="4295">
      <c r="A4295" s="4" t="inlineStr">
        <is>
          <t>540</t>
        </is>
      </c>
      <c r="B4295" s="4" t="n">
        <v>5</v>
      </c>
      <c r="C4295" s="4" t="inlineStr">
        <is>
          <t>elk</t>
        </is>
      </c>
      <c r="D4295" s="4" t="n">
        <v>2018</v>
      </c>
      <c r="E4295" s="13" t="inlineStr">
        <is>
          <t>General</t>
        </is>
      </c>
      <c r="F4295" s="5" t="n">
        <v>1058</v>
      </c>
      <c r="G4295" s="5" t="n">
        <v>6074</v>
      </c>
      <c r="H4295" s="5" t="n">
        <v>277</v>
      </c>
      <c r="I4295" s="5" t="n">
        <v>91</v>
      </c>
      <c r="J4295" s="5" t="n">
        <v>166</v>
      </c>
      <c r="K4295" s="10">
        <f>IF(F4295&gt;0,H4295/F4295,"")</f>
        <v/>
      </c>
      <c r="L4295" s="16">
        <f>IF(AND(G4295&gt;0,H4295&gt;0),G4295/H4295,"")</f>
        <v/>
      </c>
    </row>
    <row r="4296">
      <c r="A4296" s="4" t="inlineStr">
        <is>
          <t>540</t>
        </is>
      </c>
      <c r="B4296" s="4" t="n">
        <v>5</v>
      </c>
      <c r="C4296" s="4" t="inlineStr">
        <is>
          <t>elk</t>
        </is>
      </c>
      <c r="D4296" s="4" t="n">
        <v>2019</v>
      </c>
      <c r="E4296" s="13" t="inlineStr">
        <is>
          <t>General</t>
        </is>
      </c>
      <c r="F4296" s="5" t="n"/>
      <c r="G4296" s="5" t="n"/>
      <c r="H4296" s="5" t="n">
        <v>350</v>
      </c>
      <c r="I4296" s="5" t="n">
        <v>111</v>
      </c>
      <c r="J4296" s="5" t="n">
        <v>212</v>
      </c>
      <c r="K4296" s="10">
        <f>IF(F4296&gt;0,H4296/F4296,"")</f>
        <v/>
      </c>
      <c r="L4296" s="16">
        <f>IF(AND(G4296&gt;0,H4296&gt;0),G4296/H4296,"")</f>
        <v/>
      </c>
    </row>
    <row r="4297">
      <c r="A4297" s="4" t="inlineStr">
        <is>
          <t>540</t>
        </is>
      </c>
      <c r="B4297" s="4" t="n">
        <v>5</v>
      </c>
      <c r="C4297" s="4" t="inlineStr">
        <is>
          <t>elk</t>
        </is>
      </c>
      <c r="D4297" s="4" t="n">
        <v>2020</v>
      </c>
      <c r="E4297" s="13" t="inlineStr">
        <is>
          <t>General</t>
        </is>
      </c>
      <c r="F4297" s="5" t="n">
        <v>1091</v>
      </c>
      <c r="G4297" s="5" t="n">
        <v>7267</v>
      </c>
      <c r="H4297" s="5" t="n">
        <v>261</v>
      </c>
      <c r="I4297" s="5" t="n">
        <v>86</v>
      </c>
      <c r="J4297" s="5" t="n">
        <v>162</v>
      </c>
      <c r="K4297" s="10">
        <f>IF(F4297&gt;0,H4297/F4297,"")</f>
        <v/>
      </c>
      <c r="L4297" s="16">
        <f>IF(AND(G4297&gt;0,H4297&gt;0),G4297/H4297,"")</f>
        <v/>
      </c>
    </row>
    <row r="4298">
      <c r="A4298" s="4" t="inlineStr">
        <is>
          <t>540</t>
        </is>
      </c>
      <c r="B4298" s="4" t="n">
        <v>5</v>
      </c>
      <c r="C4298" s="4" t="inlineStr">
        <is>
          <t>elk</t>
        </is>
      </c>
      <c r="D4298" s="4" t="n">
        <v>2021</v>
      </c>
      <c r="E4298" s="13" t="inlineStr">
        <is>
          <t>General</t>
        </is>
      </c>
      <c r="F4298" s="5" t="n"/>
      <c r="G4298" s="5" t="n"/>
      <c r="H4298" s="5" t="n">
        <v>268</v>
      </c>
      <c r="I4298" s="5" t="n">
        <v>119</v>
      </c>
      <c r="J4298" s="5" t="n">
        <v>134</v>
      </c>
      <c r="K4298" s="10">
        <f>IF(F4298&gt;0,H4298/F4298,"")</f>
        <v/>
      </c>
      <c r="L4298" s="16">
        <f>IF(AND(G4298&gt;0,H4298&gt;0),G4298/H4298,"")</f>
        <v/>
      </c>
    </row>
    <row r="4299">
      <c r="A4299" s="4" t="inlineStr">
        <is>
          <t>540</t>
        </is>
      </c>
      <c r="B4299" s="4" t="n">
        <v>5</v>
      </c>
      <c r="C4299" s="4" t="inlineStr">
        <is>
          <t>elk</t>
        </is>
      </c>
      <c r="D4299" s="4" t="n">
        <v>2022</v>
      </c>
      <c r="E4299" s="13" t="inlineStr">
        <is>
          <t>General</t>
        </is>
      </c>
      <c r="F4299" s="5" t="n">
        <v>1188</v>
      </c>
      <c r="G4299" s="5" t="n">
        <v>8123</v>
      </c>
      <c r="H4299" s="5" t="n">
        <v>292</v>
      </c>
      <c r="I4299" s="5" t="n">
        <v>141</v>
      </c>
      <c r="J4299" s="5" t="n">
        <v>145</v>
      </c>
      <c r="K4299" s="10">
        <f>IF(F4299&gt;0,H4299/F4299,"")</f>
        <v/>
      </c>
      <c r="L4299" s="16">
        <f>IF(AND(G4299&gt;0,H4299&gt;0),G4299/H4299,"")</f>
        <v/>
      </c>
    </row>
    <row r="4300">
      <c r="A4300" s="4" t="inlineStr">
        <is>
          <t>540</t>
        </is>
      </c>
      <c r="B4300" s="4" t="n">
        <v>5</v>
      </c>
      <c r="C4300" s="4" t="inlineStr">
        <is>
          <t>elk</t>
        </is>
      </c>
      <c r="D4300" s="4" t="n">
        <v>2023</v>
      </c>
      <c r="E4300" s="13" t="inlineStr">
        <is>
          <t>General</t>
        </is>
      </c>
      <c r="F4300" s="5" t="n"/>
      <c r="G4300" s="5" t="n"/>
      <c r="H4300" s="5" t="n">
        <v>299</v>
      </c>
      <c r="I4300" s="5" t="n">
        <v>105</v>
      </c>
      <c r="J4300" s="5" t="n">
        <v>170</v>
      </c>
      <c r="K4300" s="10">
        <f>IF(F4300&gt;0,H4300/F4300,"")</f>
        <v/>
      </c>
      <c r="L4300" s="16">
        <f>IF(AND(G4300&gt;0,H4300&gt;0),G4300/H4300,"")</f>
        <v/>
      </c>
    </row>
    <row r="4301">
      <c r="A4301" s="4" t="inlineStr">
        <is>
          <t>540</t>
        </is>
      </c>
      <c r="B4301" s="4" t="n">
        <v>5</v>
      </c>
      <c r="C4301" s="4" t="inlineStr">
        <is>
          <t>elk</t>
        </is>
      </c>
      <c r="D4301" s="4" t="n">
        <v>2024</v>
      </c>
      <c r="E4301" s="13" t="inlineStr">
        <is>
          <t>General</t>
        </is>
      </c>
      <c r="F4301" s="5" t="n">
        <v>1259</v>
      </c>
      <c r="G4301" s="5" t="n">
        <v>9219</v>
      </c>
      <c r="H4301" s="5" t="n">
        <v>315</v>
      </c>
      <c r="I4301" s="5" t="n">
        <v>95</v>
      </c>
      <c r="J4301" s="5" t="n">
        <v>210</v>
      </c>
      <c r="K4301" s="10">
        <f>IF(F4301&gt;0,H4301/F4301,"")</f>
        <v/>
      </c>
      <c r="L4301" s="16">
        <f>IF(AND(G4301&gt;0,H4301&gt;0),G4301/H4301,"")</f>
        <v/>
      </c>
    </row>
    <row r="4302">
      <c r="A4302" s="4" t="inlineStr">
        <is>
          <t>540</t>
        </is>
      </c>
      <c r="B4302" s="4" t="n">
        <v>5</v>
      </c>
      <c r="C4302" s="4" t="inlineStr">
        <is>
          <t>elk</t>
        </is>
      </c>
      <c r="D4302" s="4" t="n">
        <v>2025</v>
      </c>
      <c r="E4302" s="13" t="inlineStr">
        <is>
          <t>General</t>
        </is>
      </c>
      <c r="F4302" s="5" t="n"/>
      <c r="G4302" s="5" t="n"/>
      <c r="H4302" s="5" t="n">
        <v>205</v>
      </c>
      <c r="I4302" s="5" t="n">
        <v>97</v>
      </c>
      <c r="J4302" s="5" t="n">
        <v>100</v>
      </c>
      <c r="K4302" s="10">
        <f>IF(F4302&gt;0,H4302/F4302,"")</f>
        <v/>
      </c>
      <c r="L4302" s="16">
        <f>IF(AND(G4302&gt;0,H4302&gt;0),G4302/H4302,"")</f>
        <v/>
      </c>
    </row>
    <row r="4303">
      <c r="A4303" s="4" t="inlineStr">
        <is>
          <t>555</t>
        </is>
      </c>
      <c r="B4303" s="4" t="n">
        <v>5</v>
      </c>
      <c r="C4303" s="4" t="inlineStr">
        <is>
          <t>elk</t>
        </is>
      </c>
      <c r="D4303" s="4" t="n">
        <v>2022</v>
      </c>
      <c r="E4303" s="15" t="inlineStr">
        <is>
          <t>Draw</t>
        </is>
      </c>
      <c r="F4303" s="5" t="n">
        <v>126</v>
      </c>
      <c r="G4303" s="5" t="n">
        <v>875</v>
      </c>
      <c r="H4303" s="5" t="n">
        <v>28</v>
      </c>
      <c r="I4303" s="5" t="n">
        <v>24</v>
      </c>
      <c r="J4303" s="5" t="n">
        <v>4</v>
      </c>
      <c r="K4303" s="10">
        <f>IF(F4303&gt;0,H4303/F4303,"")</f>
        <v/>
      </c>
      <c r="L4303" s="16">
        <f>IF(AND(G4303&gt;0,H4303&gt;0),G4303/H4303,"")</f>
        <v/>
      </c>
    </row>
    <row r="4304">
      <c r="A4304" s="4" t="inlineStr">
        <is>
          <t>555</t>
        </is>
      </c>
      <c r="B4304" s="4" t="n">
        <v>5</v>
      </c>
      <c r="C4304" s="4" t="inlineStr">
        <is>
          <t>elk</t>
        </is>
      </c>
      <c r="D4304" s="4" t="n">
        <v>2023</v>
      </c>
      <c r="E4304" s="15" t="inlineStr">
        <is>
          <t>Draw</t>
        </is>
      </c>
      <c r="F4304" s="5" t="n"/>
      <c r="G4304" s="5" t="n"/>
      <c r="H4304" s="5" t="n">
        <v>30</v>
      </c>
      <c r="I4304" s="5" t="n">
        <v>25</v>
      </c>
      <c r="J4304" s="5" t="n">
        <v>5</v>
      </c>
      <c r="K4304" s="10">
        <f>IF(F4304&gt;0,H4304/F4304,"")</f>
        <v/>
      </c>
      <c r="L4304" s="16">
        <f>IF(AND(G4304&gt;0,H4304&gt;0),G4304/H4304,"")</f>
        <v/>
      </c>
    </row>
    <row r="4305">
      <c r="A4305" s="4" t="inlineStr">
        <is>
          <t>555</t>
        </is>
      </c>
      <c r="B4305" s="4" t="n">
        <v>5</v>
      </c>
      <c r="C4305" s="4" t="inlineStr">
        <is>
          <t>elk</t>
        </is>
      </c>
      <c r="D4305" s="4" t="n">
        <v>2024</v>
      </c>
      <c r="E4305" s="15" t="inlineStr">
        <is>
          <t>Draw</t>
        </is>
      </c>
      <c r="F4305" s="5" t="n">
        <v>217</v>
      </c>
      <c r="G4305" s="5" t="n">
        <v>1797</v>
      </c>
      <c r="H4305" s="5" t="n">
        <v>44</v>
      </c>
      <c r="I4305" s="5" t="n">
        <v>14</v>
      </c>
      <c r="J4305" s="5" t="n">
        <v>30</v>
      </c>
      <c r="K4305" s="10">
        <f>IF(F4305&gt;0,H4305/F4305,"")</f>
        <v/>
      </c>
      <c r="L4305" s="16">
        <f>IF(AND(G4305&gt;0,H4305&gt;0),G4305/H4305,"")</f>
        <v/>
      </c>
    </row>
    <row r="4306">
      <c r="A4306" s="4" t="inlineStr">
        <is>
          <t>555</t>
        </is>
      </c>
      <c r="B4306" s="4" t="n">
        <v>5</v>
      </c>
      <c r="C4306" s="4" t="inlineStr">
        <is>
          <t>elk</t>
        </is>
      </c>
      <c r="D4306" s="4" t="n">
        <v>2025</v>
      </c>
      <c r="E4306" s="15" t="inlineStr">
        <is>
          <t>Draw</t>
        </is>
      </c>
      <c r="F4306" s="5" t="n"/>
      <c r="G4306" s="5" t="n"/>
      <c r="H4306" s="5" t="n">
        <v>59</v>
      </c>
      <c r="I4306" s="5" t="n">
        <v>20</v>
      </c>
      <c r="J4306" s="5" t="n">
        <v>39</v>
      </c>
      <c r="K4306" s="10">
        <f>IF(F4306&gt;0,H4306/F4306,"")</f>
        <v/>
      </c>
      <c r="L4306" s="16">
        <f>IF(AND(G4306&gt;0,H4306&gt;0),G4306/H4306,"")</f>
        <v/>
      </c>
    </row>
    <row r="4307">
      <c r="A4307" s="4" t="inlineStr">
        <is>
          <t>560</t>
        </is>
      </c>
      <c r="B4307" s="4" t="n">
        <v>5</v>
      </c>
      <c r="C4307" s="4" t="inlineStr">
        <is>
          <t>elk</t>
        </is>
      </c>
      <c r="D4307" s="4" t="n">
        <v>2004</v>
      </c>
      <c r="E4307" s="4" t="inlineStr"/>
      <c r="F4307" s="5" t="n">
        <v>894</v>
      </c>
      <c r="G4307" s="5" t="n">
        <v>4771</v>
      </c>
      <c r="H4307" s="5" t="n">
        <v>157</v>
      </c>
      <c r="I4307" s="5" t="n">
        <v>84</v>
      </c>
      <c r="J4307" s="5" t="n">
        <v>65</v>
      </c>
      <c r="K4307" s="10">
        <f>IF(F4307&gt;0,H4307/F4307,"")</f>
        <v/>
      </c>
      <c r="L4307" s="16">
        <f>IF(AND(G4307&gt;0,H4307&gt;0),G4307/H4307,"")</f>
        <v/>
      </c>
    </row>
    <row r="4308">
      <c r="A4308" s="4" t="inlineStr">
        <is>
          <t>560</t>
        </is>
      </c>
      <c r="B4308" s="4" t="n">
        <v>5</v>
      </c>
      <c r="C4308" s="4" t="inlineStr">
        <is>
          <t>elk</t>
        </is>
      </c>
      <c r="D4308" s="4" t="n">
        <v>2005</v>
      </c>
      <c r="E4308" s="4" t="inlineStr"/>
      <c r="F4308" s="5" t="n">
        <v>825</v>
      </c>
      <c r="G4308" s="5" t="n">
        <v>3948</v>
      </c>
      <c r="H4308" s="5" t="n">
        <v>128</v>
      </c>
      <c r="I4308" s="5" t="n">
        <v>77</v>
      </c>
      <c r="J4308" s="5" t="n">
        <v>49</v>
      </c>
      <c r="K4308" s="10">
        <f>IF(F4308&gt;0,H4308/F4308,"")</f>
        <v/>
      </c>
      <c r="L4308" s="16">
        <f>IF(AND(G4308&gt;0,H4308&gt;0),G4308/H4308,"")</f>
        <v/>
      </c>
    </row>
    <row r="4309">
      <c r="A4309" s="4" t="inlineStr">
        <is>
          <t>560</t>
        </is>
      </c>
      <c r="B4309" s="4" t="n">
        <v>5</v>
      </c>
      <c r="C4309" s="4" t="inlineStr">
        <is>
          <t>elk</t>
        </is>
      </c>
      <c r="D4309" s="4" t="n">
        <v>2006</v>
      </c>
      <c r="E4309" s="4" t="inlineStr"/>
      <c r="F4309" s="5" t="n">
        <v>729</v>
      </c>
      <c r="G4309" s="5" t="n">
        <v>3456</v>
      </c>
      <c r="H4309" s="5" t="n">
        <v>160</v>
      </c>
      <c r="I4309" s="5" t="n">
        <v>97</v>
      </c>
      <c r="J4309" s="5" t="n">
        <v>55</v>
      </c>
      <c r="K4309" s="10">
        <f>IF(F4309&gt;0,H4309/F4309,"")</f>
        <v/>
      </c>
      <c r="L4309" s="16">
        <f>IF(AND(G4309&gt;0,H4309&gt;0),G4309/H4309,"")</f>
        <v/>
      </c>
    </row>
    <row r="4310">
      <c r="A4310" s="4" t="inlineStr">
        <is>
          <t>560</t>
        </is>
      </c>
      <c r="B4310" s="4" t="n">
        <v>5</v>
      </c>
      <c r="C4310" s="4" t="inlineStr">
        <is>
          <t>elk</t>
        </is>
      </c>
      <c r="D4310" s="4" t="n">
        <v>2007</v>
      </c>
      <c r="E4310" s="4" t="inlineStr"/>
      <c r="F4310" s="5" t="n">
        <v>758</v>
      </c>
      <c r="G4310" s="5" t="n">
        <v>3655</v>
      </c>
      <c r="H4310" s="5" t="n">
        <v>140</v>
      </c>
      <c r="I4310" s="5" t="n">
        <v>74</v>
      </c>
      <c r="J4310" s="5" t="n">
        <v>61</v>
      </c>
      <c r="K4310" s="10">
        <f>IF(F4310&gt;0,H4310/F4310,"")</f>
        <v/>
      </c>
      <c r="L4310" s="16">
        <f>IF(AND(G4310&gt;0,H4310&gt;0),G4310/H4310,"")</f>
        <v/>
      </c>
    </row>
    <row r="4311">
      <c r="A4311" s="4" t="inlineStr">
        <is>
          <t>560</t>
        </is>
      </c>
      <c r="B4311" s="4" t="n">
        <v>5</v>
      </c>
      <c r="C4311" s="4" t="inlineStr">
        <is>
          <t>elk</t>
        </is>
      </c>
      <c r="D4311" s="4" t="n">
        <v>2008</v>
      </c>
      <c r="E4311" s="4" t="inlineStr"/>
      <c r="F4311" s="5" t="n">
        <v>829</v>
      </c>
      <c r="G4311" s="5" t="n">
        <v>4297</v>
      </c>
      <c r="H4311" s="5" t="n">
        <v>278</v>
      </c>
      <c r="I4311" s="5" t="n">
        <v>159</v>
      </c>
      <c r="J4311" s="5" t="n">
        <v>101</v>
      </c>
      <c r="K4311" s="10">
        <f>IF(F4311&gt;0,H4311/F4311,"")</f>
        <v/>
      </c>
      <c r="L4311" s="16">
        <f>IF(AND(G4311&gt;0,H4311&gt;0),G4311/H4311,"")</f>
        <v/>
      </c>
    </row>
    <row r="4312">
      <c r="A4312" s="4" t="inlineStr">
        <is>
          <t>560</t>
        </is>
      </c>
      <c r="B4312" s="4" t="n">
        <v>5</v>
      </c>
      <c r="C4312" s="4" t="inlineStr">
        <is>
          <t>elk</t>
        </is>
      </c>
      <c r="D4312" s="4" t="n">
        <v>2009</v>
      </c>
      <c r="E4312" s="4" t="inlineStr"/>
      <c r="F4312" s="5" t="n">
        <v>853</v>
      </c>
      <c r="G4312" s="5" t="n">
        <v>4791</v>
      </c>
      <c r="H4312" s="5" t="n">
        <v>256</v>
      </c>
      <c r="I4312" s="5" t="n">
        <v>121</v>
      </c>
      <c r="J4312" s="5" t="n">
        <v>129</v>
      </c>
      <c r="K4312" s="10">
        <f>IF(F4312&gt;0,H4312/F4312,"")</f>
        <v/>
      </c>
      <c r="L4312" s="16">
        <f>IF(AND(G4312&gt;0,H4312&gt;0),G4312/H4312,"")</f>
        <v/>
      </c>
    </row>
    <row r="4313">
      <c r="A4313" s="4" t="inlineStr">
        <is>
          <t>560</t>
        </is>
      </c>
      <c r="B4313" s="4" t="n">
        <v>5</v>
      </c>
      <c r="C4313" s="4" t="inlineStr">
        <is>
          <t>elk</t>
        </is>
      </c>
      <c r="D4313" s="4" t="n">
        <v>2010</v>
      </c>
      <c r="E4313" s="4" t="inlineStr"/>
      <c r="F4313" s="5" t="n">
        <v>770</v>
      </c>
      <c r="G4313" s="5" t="n">
        <v>4543</v>
      </c>
      <c r="H4313" s="5" t="n">
        <v>174</v>
      </c>
      <c r="I4313" s="5" t="n">
        <v>102</v>
      </c>
      <c r="J4313" s="5" t="n">
        <v>70</v>
      </c>
      <c r="K4313" s="10">
        <f>IF(F4313&gt;0,H4313/F4313,"")</f>
        <v/>
      </c>
      <c r="L4313" s="16">
        <f>IF(AND(G4313&gt;0,H4313&gt;0),G4313/H4313,"")</f>
        <v/>
      </c>
    </row>
    <row r="4314">
      <c r="A4314" s="4" t="inlineStr">
        <is>
          <t>560</t>
        </is>
      </c>
      <c r="B4314" s="4" t="n">
        <v>5</v>
      </c>
      <c r="C4314" s="4" t="inlineStr">
        <is>
          <t>elk</t>
        </is>
      </c>
      <c r="D4314" s="4" t="n">
        <v>2011</v>
      </c>
      <c r="E4314" s="4" t="inlineStr"/>
      <c r="F4314" s="5" t="n">
        <v>947</v>
      </c>
      <c r="G4314" s="5" t="n">
        <v>5316</v>
      </c>
      <c r="H4314" s="5" t="n">
        <v>241</v>
      </c>
      <c r="I4314" s="5" t="n">
        <v>136</v>
      </c>
      <c r="J4314" s="5" t="n">
        <v>92</v>
      </c>
      <c r="K4314" s="10">
        <f>IF(F4314&gt;0,H4314/F4314,"")</f>
        <v/>
      </c>
      <c r="L4314" s="16">
        <f>IF(AND(G4314&gt;0,H4314&gt;0),G4314/H4314,"")</f>
        <v/>
      </c>
    </row>
    <row r="4315">
      <c r="A4315" s="4" t="inlineStr">
        <is>
          <t>560</t>
        </is>
      </c>
      <c r="B4315" s="4" t="n">
        <v>5</v>
      </c>
      <c r="C4315" s="4" t="inlineStr">
        <is>
          <t>elk</t>
        </is>
      </c>
      <c r="D4315" s="4" t="n">
        <v>2012</v>
      </c>
      <c r="E4315" s="4" t="inlineStr"/>
      <c r="F4315" s="5" t="n">
        <v>1055</v>
      </c>
      <c r="G4315" s="5" t="n">
        <v>5761</v>
      </c>
      <c r="H4315" s="5" t="n">
        <v>244</v>
      </c>
      <c r="I4315" s="5" t="n">
        <v>143</v>
      </c>
      <c r="J4315" s="5" t="n">
        <v>98</v>
      </c>
      <c r="K4315" s="10">
        <f>IF(F4315&gt;0,H4315/F4315,"")</f>
        <v/>
      </c>
      <c r="L4315" s="16">
        <f>IF(AND(G4315&gt;0,H4315&gt;0),G4315/H4315,"")</f>
        <v/>
      </c>
    </row>
    <row r="4316">
      <c r="A4316" s="4" t="inlineStr">
        <is>
          <t>560</t>
        </is>
      </c>
      <c r="B4316" s="4" t="n">
        <v>5</v>
      </c>
      <c r="C4316" s="4" t="inlineStr">
        <is>
          <t>elk</t>
        </is>
      </c>
      <c r="D4316" s="4" t="n">
        <v>2013</v>
      </c>
      <c r="E4316" s="4" t="inlineStr"/>
      <c r="F4316" s="5" t="n"/>
      <c r="G4316" s="5" t="n"/>
      <c r="H4316" s="5" t="n">
        <v>303</v>
      </c>
      <c r="I4316" s="5" t="n">
        <v>158</v>
      </c>
      <c r="J4316" s="5" t="n">
        <v>143</v>
      </c>
      <c r="K4316" s="10">
        <f>IF(F4316&gt;0,H4316/F4316,"")</f>
        <v/>
      </c>
      <c r="L4316" s="16">
        <f>IF(AND(G4316&gt;0,H4316&gt;0),G4316/H4316,"")</f>
        <v/>
      </c>
    </row>
    <row r="4317">
      <c r="A4317" s="4" t="inlineStr">
        <is>
          <t>560</t>
        </is>
      </c>
      <c r="B4317" s="4" t="n">
        <v>5</v>
      </c>
      <c r="C4317" s="4" t="inlineStr">
        <is>
          <t>elk</t>
        </is>
      </c>
      <c r="D4317" s="4" t="n">
        <v>2014</v>
      </c>
      <c r="E4317" s="4" t="inlineStr"/>
      <c r="F4317" s="5" t="n">
        <v>1164</v>
      </c>
      <c r="G4317" s="5" t="n">
        <v>6289</v>
      </c>
      <c r="H4317" s="5" t="n">
        <v>330</v>
      </c>
      <c r="I4317" s="5" t="n">
        <v>178</v>
      </c>
      <c r="J4317" s="5" t="n">
        <v>141</v>
      </c>
      <c r="K4317" s="10">
        <f>IF(F4317&gt;0,H4317/F4317,"")</f>
        <v/>
      </c>
      <c r="L4317" s="16">
        <f>IF(AND(G4317&gt;0,H4317&gt;0),G4317/H4317,"")</f>
        <v/>
      </c>
    </row>
    <row r="4318">
      <c r="A4318" s="4" t="inlineStr">
        <is>
          <t>560</t>
        </is>
      </c>
      <c r="B4318" s="4" t="n">
        <v>5</v>
      </c>
      <c r="C4318" s="4" t="inlineStr">
        <is>
          <t>elk</t>
        </is>
      </c>
      <c r="D4318" s="4" t="n">
        <v>2015</v>
      </c>
      <c r="E4318" s="4" t="inlineStr"/>
      <c r="F4318" s="5" t="n">
        <v>1190</v>
      </c>
      <c r="G4318" s="5" t="n">
        <v>6676</v>
      </c>
      <c r="H4318" s="5" t="n">
        <v>325</v>
      </c>
      <c r="I4318" s="5" t="n">
        <v>141</v>
      </c>
      <c r="J4318" s="5" t="n">
        <v>164</v>
      </c>
      <c r="K4318" s="10">
        <f>IF(F4318&gt;0,H4318/F4318,"")</f>
        <v/>
      </c>
      <c r="L4318" s="16">
        <f>IF(AND(G4318&gt;0,H4318&gt;0),G4318/H4318,"")</f>
        <v/>
      </c>
    </row>
    <row r="4319">
      <c r="A4319" s="4" t="inlineStr">
        <is>
          <t>560</t>
        </is>
      </c>
      <c r="B4319" s="4" t="n">
        <v>5</v>
      </c>
      <c r="C4319" s="4" t="inlineStr">
        <is>
          <t>elk</t>
        </is>
      </c>
      <c r="D4319" s="4" t="n">
        <v>2017</v>
      </c>
      <c r="E4319" s="4" t="inlineStr"/>
      <c r="F4319" s="5" t="n"/>
      <c r="G4319" s="5" t="n"/>
      <c r="H4319" s="5" t="n">
        <v>360</v>
      </c>
      <c r="I4319" s="5" t="n">
        <v>171</v>
      </c>
      <c r="J4319" s="5" t="n">
        <v>180</v>
      </c>
      <c r="K4319" s="10">
        <f>IF(F4319&gt;0,H4319/F4319,"")</f>
        <v/>
      </c>
      <c r="L4319" s="16">
        <f>IF(AND(G4319&gt;0,H4319&gt;0),G4319/H4319,"")</f>
        <v/>
      </c>
    </row>
    <row r="4320">
      <c r="A4320" s="4" t="inlineStr">
        <is>
          <t>560N</t>
        </is>
      </c>
      <c r="B4320" s="4" t="n">
        <v>5</v>
      </c>
      <c r="C4320" s="4" t="inlineStr">
        <is>
          <t>elk</t>
        </is>
      </c>
      <c r="D4320" s="4" t="n">
        <v>2016</v>
      </c>
      <c r="E4320" s="4" t="inlineStr"/>
      <c r="F4320" s="5" t="n">
        <v>255</v>
      </c>
      <c r="G4320" s="5" t="n">
        <v>2006</v>
      </c>
      <c r="H4320" s="5" t="n">
        <v>90</v>
      </c>
      <c r="I4320" s="5" t="n">
        <v>35</v>
      </c>
      <c r="J4320" s="5" t="n">
        <v>46</v>
      </c>
      <c r="K4320" s="10">
        <f>IF(F4320&gt;0,H4320/F4320,"")</f>
        <v/>
      </c>
      <c r="L4320" s="16">
        <f>IF(AND(G4320&gt;0,H4320&gt;0),G4320/H4320,"")</f>
        <v/>
      </c>
    </row>
    <row r="4321">
      <c r="A4321" s="4" t="inlineStr">
        <is>
          <t>560N</t>
        </is>
      </c>
      <c r="B4321" s="4" t="n">
        <v>5</v>
      </c>
      <c r="C4321" s="4" t="inlineStr">
        <is>
          <t>elk</t>
        </is>
      </c>
      <c r="D4321" s="4" t="n">
        <v>2018</v>
      </c>
      <c r="E4321" s="4" t="inlineStr"/>
      <c r="F4321" s="5" t="n">
        <v>856</v>
      </c>
      <c r="G4321" s="5" t="n">
        <v>4858</v>
      </c>
      <c r="H4321" s="5" t="n">
        <v>279</v>
      </c>
      <c r="I4321" s="5" t="n">
        <v>125</v>
      </c>
      <c r="J4321" s="5" t="n">
        <v>138</v>
      </c>
      <c r="K4321" s="10">
        <f>IF(F4321&gt;0,H4321/F4321,"")</f>
        <v/>
      </c>
      <c r="L4321" s="16">
        <f>IF(AND(G4321&gt;0,H4321&gt;0),G4321/H4321,"")</f>
        <v/>
      </c>
    </row>
    <row r="4322">
      <c r="A4322" s="4" t="inlineStr">
        <is>
          <t>560N</t>
        </is>
      </c>
      <c r="B4322" s="4" t="n">
        <v>5</v>
      </c>
      <c r="C4322" s="4" t="inlineStr">
        <is>
          <t>elk</t>
        </is>
      </c>
      <c r="D4322" s="4" t="n">
        <v>2019</v>
      </c>
      <c r="E4322" s="4" t="inlineStr"/>
      <c r="F4322" s="5" t="n"/>
      <c r="G4322" s="5" t="n"/>
      <c r="H4322" s="5" t="n">
        <v>241</v>
      </c>
      <c r="I4322" s="5" t="n">
        <v>80</v>
      </c>
      <c r="J4322" s="5" t="n">
        <v>158</v>
      </c>
      <c r="K4322" s="10">
        <f>IF(F4322&gt;0,H4322/F4322,"")</f>
        <v/>
      </c>
      <c r="L4322" s="16">
        <f>IF(AND(G4322&gt;0,H4322&gt;0),G4322/H4322,"")</f>
        <v/>
      </c>
    </row>
    <row r="4323">
      <c r="A4323" s="4" t="inlineStr">
        <is>
          <t>560N</t>
        </is>
      </c>
      <c r="B4323" s="4" t="n">
        <v>5</v>
      </c>
      <c r="C4323" s="4" t="inlineStr">
        <is>
          <t>elk</t>
        </is>
      </c>
      <c r="D4323" s="4" t="n">
        <v>2020</v>
      </c>
      <c r="E4323" s="4" t="inlineStr"/>
      <c r="F4323" s="5" t="n">
        <v>812</v>
      </c>
      <c r="G4323" s="5" t="n">
        <v>5060</v>
      </c>
      <c r="H4323" s="5" t="n">
        <v>216</v>
      </c>
      <c r="I4323" s="5" t="n">
        <v>107</v>
      </c>
      <c r="J4323" s="5" t="n">
        <v>95</v>
      </c>
      <c r="K4323" s="10">
        <f>IF(F4323&gt;0,H4323/F4323,"")</f>
        <v/>
      </c>
      <c r="L4323" s="16">
        <f>IF(AND(G4323&gt;0,H4323&gt;0),G4323/H4323,"")</f>
        <v/>
      </c>
    </row>
    <row r="4324">
      <c r="A4324" s="4" t="inlineStr">
        <is>
          <t>560N</t>
        </is>
      </c>
      <c r="B4324" s="4" t="n">
        <v>5</v>
      </c>
      <c r="C4324" s="4" t="inlineStr">
        <is>
          <t>elk</t>
        </is>
      </c>
      <c r="D4324" s="4" t="n">
        <v>2021</v>
      </c>
      <c r="E4324" s="4" t="inlineStr"/>
      <c r="F4324" s="5" t="n"/>
      <c r="G4324" s="5" t="n"/>
      <c r="H4324" s="5" t="n">
        <v>166</v>
      </c>
      <c r="I4324" s="5" t="n">
        <v>87</v>
      </c>
      <c r="J4324" s="5" t="n">
        <v>79</v>
      </c>
      <c r="K4324" s="10">
        <f>IF(F4324&gt;0,H4324/F4324,"")</f>
        <v/>
      </c>
      <c r="L4324" s="16">
        <f>IF(AND(G4324&gt;0,H4324&gt;0),G4324/H4324,"")</f>
        <v/>
      </c>
    </row>
    <row r="4325">
      <c r="A4325" s="4" t="inlineStr">
        <is>
          <t>560S</t>
        </is>
      </c>
      <c r="B4325" s="4" t="n">
        <v>5</v>
      </c>
      <c r="C4325" s="4" t="inlineStr">
        <is>
          <t>elk</t>
        </is>
      </c>
      <c r="D4325" s="4" t="n">
        <v>2016</v>
      </c>
      <c r="E4325" s="4" t="inlineStr"/>
      <c r="F4325" s="5" t="n">
        <v>91</v>
      </c>
      <c r="G4325" s="5" t="n">
        <v>419</v>
      </c>
      <c r="H4325" s="5" t="n">
        <v>12</v>
      </c>
      <c r="I4325" s="5" t="n">
        <v>5</v>
      </c>
      <c r="J4325" s="5" t="n">
        <v>6</v>
      </c>
      <c r="K4325" s="10">
        <f>IF(F4325&gt;0,H4325/F4325,"")</f>
        <v/>
      </c>
      <c r="L4325" s="16">
        <f>IF(AND(G4325&gt;0,H4325&gt;0),G4325/H4325,"")</f>
        <v/>
      </c>
    </row>
    <row r="4326">
      <c r="A4326" s="4" t="inlineStr">
        <is>
          <t>560S</t>
        </is>
      </c>
      <c r="B4326" s="4" t="n">
        <v>5</v>
      </c>
      <c r="C4326" s="4" t="inlineStr">
        <is>
          <t>elk</t>
        </is>
      </c>
      <c r="D4326" s="4" t="n">
        <v>2018</v>
      </c>
      <c r="E4326" s="4" t="inlineStr"/>
      <c r="F4326" s="5" t="n">
        <v>295</v>
      </c>
      <c r="G4326" s="5" t="n">
        <v>2135</v>
      </c>
      <c r="H4326" s="5" t="n">
        <v>58</v>
      </c>
      <c r="I4326" s="5" t="n">
        <v>40</v>
      </c>
      <c r="J4326" s="5" t="n">
        <v>18</v>
      </c>
      <c r="K4326" s="10">
        <f>IF(F4326&gt;0,H4326/F4326,"")</f>
        <v/>
      </c>
      <c r="L4326" s="16">
        <f>IF(AND(G4326&gt;0,H4326&gt;0),G4326/H4326,"")</f>
        <v/>
      </c>
    </row>
    <row r="4327">
      <c r="A4327" s="4" t="inlineStr">
        <is>
          <t>560S</t>
        </is>
      </c>
      <c r="B4327" s="4" t="n">
        <v>5</v>
      </c>
      <c r="C4327" s="4" t="inlineStr">
        <is>
          <t>elk</t>
        </is>
      </c>
      <c r="D4327" s="4" t="n">
        <v>2019</v>
      </c>
      <c r="E4327" s="4" t="inlineStr"/>
      <c r="F4327" s="5" t="n"/>
      <c r="G4327" s="5" t="n"/>
      <c r="H4327" s="5" t="n">
        <v>83</v>
      </c>
      <c r="I4327" s="5" t="n">
        <v>36</v>
      </c>
      <c r="J4327" s="5" t="n">
        <v>44</v>
      </c>
      <c r="K4327" s="10">
        <f>IF(F4327&gt;0,H4327/F4327,"")</f>
        <v/>
      </c>
      <c r="L4327" s="16">
        <f>IF(AND(G4327&gt;0,H4327&gt;0),G4327/H4327,"")</f>
        <v/>
      </c>
    </row>
    <row r="4328">
      <c r="A4328" s="4" t="inlineStr">
        <is>
          <t>560S</t>
        </is>
      </c>
      <c r="B4328" s="4" t="n">
        <v>5</v>
      </c>
      <c r="C4328" s="4" t="inlineStr">
        <is>
          <t>elk</t>
        </is>
      </c>
      <c r="D4328" s="4" t="n">
        <v>2020</v>
      </c>
      <c r="E4328" s="4" t="inlineStr"/>
      <c r="F4328" s="5" t="n">
        <v>281</v>
      </c>
      <c r="G4328" s="5" t="n">
        <v>1809</v>
      </c>
      <c r="H4328" s="5" t="n">
        <v>58</v>
      </c>
      <c r="I4328" s="5" t="n">
        <v>45</v>
      </c>
      <c r="J4328" s="5" t="n">
        <v>10</v>
      </c>
      <c r="K4328" s="10">
        <f>IF(F4328&gt;0,H4328/F4328,"")</f>
        <v/>
      </c>
      <c r="L4328" s="16">
        <f>IF(AND(G4328&gt;0,H4328&gt;0),G4328/H4328,"")</f>
        <v/>
      </c>
    </row>
    <row r="4329">
      <c r="A4329" s="4" t="inlineStr">
        <is>
          <t>560S</t>
        </is>
      </c>
      <c r="B4329" s="4" t="n">
        <v>5</v>
      </c>
      <c r="C4329" s="4" t="inlineStr">
        <is>
          <t>elk</t>
        </is>
      </c>
      <c r="D4329" s="4" t="n">
        <v>2021</v>
      </c>
      <c r="E4329" s="4" t="inlineStr"/>
      <c r="F4329" s="5" t="n"/>
      <c r="G4329" s="5" t="n"/>
      <c r="H4329" s="5" t="n">
        <v>43</v>
      </c>
      <c r="I4329" s="5" t="n">
        <v>32</v>
      </c>
      <c r="J4329" s="5" t="n">
        <v>11</v>
      </c>
      <c r="K4329" s="10">
        <f>IF(F4329&gt;0,H4329/F4329,"")</f>
        <v/>
      </c>
      <c r="L4329" s="16">
        <f>IF(AND(G4329&gt;0,H4329&gt;0),G4329/H4329,"")</f>
        <v/>
      </c>
    </row>
    <row r="4330">
      <c r="A4330" s="4" t="inlineStr">
        <is>
          <t>565</t>
        </is>
      </c>
      <c r="B4330" s="4" t="n">
        <v>5</v>
      </c>
      <c r="C4330" s="4" t="inlineStr">
        <is>
          <t>elk</t>
        </is>
      </c>
      <c r="D4330" s="4" t="n">
        <v>2022</v>
      </c>
      <c r="E4330" s="13" t="inlineStr">
        <is>
          <t>General</t>
        </is>
      </c>
      <c r="F4330" s="5" t="n">
        <v>108</v>
      </c>
      <c r="G4330" s="5" t="n">
        <v>753</v>
      </c>
      <c r="H4330" s="5" t="n">
        <v>35</v>
      </c>
      <c r="I4330" s="5" t="n">
        <v>19</v>
      </c>
      <c r="J4330" s="5" t="n">
        <v>16</v>
      </c>
      <c r="K4330" s="10">
        <f>IF(F4330&gt;0,H4330/F4330,"")</f>
        <v/>
      </c>
      <c r="L4330" s="16">
        <f>IF(AND(G4330&gt;0,H4330&gt;0),G4330/H4330,"")</f>
        <v/>
      </c>
    </row>
    <row r="4331">
      <c r="A4331" s="4" t="inlineStr">
        <is>
          <t>565</t>
        </is>
      </c>
      <c r="B4331" s="4" t="n">
        <v>5</v>
      </c>
      <c r="C4331" s="4" t="inlineStr">
        <is>
          <t>elk</t>
        </is>
      </c>
      <c r="D4331" s="4" t="n">
        <v>2023</v>
      </c>
      <c r="E4331" s="13" t="inlineStr">
        <is>
          <t>General</t>
        </is>
      </c>
      <c r="F4331" s="5" t="n"/>
      <c r="G4331" s="5" t="n"/>
      <c r="H4331" s="5" t="n">
        <v>39</v>
      </c>
      <c r="I4331" s="5" t="n">
        <v>15</v>
      </c>
      <c r="J4331" s="5" t="n">
        <v>24</v>
      </c>
      <c r="K4331" s="10">
        <f>IF(F4331&gt;0,H4331/F4331,"")</f>
        <v/>
      </c>
      <c r="L4331" s="16">
        <f>IF(AND(G4331&gt;0,H4331&gt;0),G4331/H4331,"")</f>
        <v/>
      </c>
    </row>
    <row r="4332">
      <c r="A4332" s="4" t="inlineStr">
        <is>
          <t>565</t>
        </is>
      </c>
      <c r="B4332" s="4" t="n">
        <v>5</v>
      </c>
      <c r="C4332" s="4" t="inlineStr">
        <is>
          <t>elk</t>
        </is>
      </c>
      <c r="D4332" s="4" t="n">
        <v>2024</v>
      </c>
      <c r="E4332" s="13" t="inlineStr">
        <is>
          <t>General</t>
        </is>
      </c>
      <c r="F4332" s="5" t="n">
        <v>86</v>
      </c>
      <c r="G4332" s="5" t="n">
        <v>454</v>
      </c>
      <c r="H4332" s="5" t="n">
        <v>13</v>
      </c>
      <c r="I4332" s="5" t="n">
        <v>3</v>
      </c>
      <c r="J4332" s="5" t="n">
        <v>10</v>
      </c>
      <c r="K4332" s="10">
        <f>IF(F4332&gt;0,H4332/F4332,"")</f>
        <v/>
      </c>
      <c r="L4332" s="16">
        <f>IF(AND(G4332&gt;0,H4332&gt;0),G4332/H4332,"")</f>
        <v/>
      </c>
    </row>
    <row r="4333">
      <c r="A4333" s="4" t="inlineStr">
        <is>
          <t>565</t>
        </is>
      </c>
      <c r="B4333" s="4" t="n">
        <v>5</v>
      </c>
      <c r="C4333" s="4" t="inlineStr">
        <is>
          <t>elk</t>
        </is>
      </c>
      <c r="D4333" s="4" t="n">
        <v>2025</v>
      </c>
      <c r="E4333" s="13" t="inlineStr">
        <is>
          <t>General</t>
        </is>
      </c>
      <c r="F4333" s="5" t="n"/>
      <c r="G4333" s="5" t="n"/>
      <c r="H4333" s="5" t="n">
        <v>18</v>
      </c>
      <c r="I4333" s="5" t="n">
        <v>15</v>
      </c>
      <c r="J4333" s="5" t="n">
        <v>4</v>
      </c>
      <c r="K4333" s="10">
        <f>IF(F4333&gt;0,H4333/F4333,"")</f>
        <v/>
      </c>
      <c r="L4333" s="16">
        <f>IF(AND(G4333&gt;0,H4333&gt;0),G4333/H4333,"")</f>
        <v/>
      </c>
    </row>
    <row r="4334">
      <c r="A4334" s="4" t="inlineStr">
        <is>
          <t>570</t>
        </is>
      </c>
      <c r="B4334" s="4" t="n">
        <v>5</v>
      </c>
      <c r="C4334" s="4" t="inlineStr">
        <is>
          <t>elk</t>
        </is>
      </c>
      <c r="D4334" s="4" t="n">
        <v>2004</v>
      </c>
      <c r="E4334" s="4" t="inlineStr"/>
      <c r="F4334" s="5" t="n">
        <v>199</v>
      </c>
      <c r="G4334" s="5" t="n">
        <v>1111</v>
      </c>
      <c r="H4334" s="5" t="n">
        <v>16</v>
      </c>
      <c r="I4334" s="5" t="n">
        <v>7</v>
      </c>
      <c r="J4334" s="5" t="n">
        <v>7</v>
      </c>
      <c r="K4334" s="10">
        <f>IF(F4334&gt;0,H4334/F4334,"")</f>
        <v/>
      </c>
      <c r="L4334" s="16">
        <f>IF(AND(G4334&gt;0,H4334&gt;0),G4334/H4334,"")</f>
        <v/>
      </c>
    </row>
    <row r="4335">
      <c r="A4335" s="4" t="inlineStr">
        <is>
          <t>570</t>
        </is>
      </c>
      <c r="B4335" s="4" t="n">
        <v>5</v>
      </c>
      <c r="C4335" s="4" t="inlineStr">
        <is>
          <t>elk</t>
        </is>
      </c>
      <c r="D4335" s="4" t="n">
        <v>2005</v>
      </c>
      <c r="E4335" s="4" t="inlineStr"/>
      <c r="F4335" s="5" t="n">
        <v>210</v>
      </c>
      <c r="G4335" s="5" t="n">
        <v>1089</v>
      </c>
      <c r="H4335" s="5" t="n">
        <v>45</v>
      </c>
      <c r="I4335" s="5" t="n">
        <v>16</v>
      </c>
      <c r="J4335" s="5" t="n">
        <v>27</v>
      </c>
      <c r="K4335" s="10">
        <f>IF(F4335&gt;0,H4335/F4335,"")</f>
        <v/>
      </c>
      <c r="L4335" s="16">
        <f>IF(AND(G4335&gt;0,H4335&gt;0),G4335/H4335,"")</f>
        <v/>
      </c>
    </row>
    <row r="4336">
      <c r="A4336" s="4" t="inlineStr">
        <is>
          <t>570</t>
        </is>
      </c>
      <c r="B4336" s="4" t="n">
        <v>5</v>
      </c>
      <c r="C4336" s="4" t="inlineStr">
        <is>
          <t>elk</t>
        </is>
      </c>
      <c r="D4336" s="4" t="n">
        <v>2006</v>
      </c>
      <c r="E4336" s="4" t="inlineStr"/>
      <c r="F4336" s="5" t="n">
        <v>175</v>
      </c>
      <c r="G4336" s="5" t="n">
        <v>850</v>
      </c>
      <c r="H4336" s="5" t="n">
        <v>25</v>
      </c>
      <c r="I4336" s="5" t="n">
        <v>7</v>
      </c>
      <c r="J4336" s="5" t="n">
        <v>18</v>
      </c>
      <c r="K4336" s="10">
        <f>IF(F4336&gt;0,H4336/F4336,"")</f>
        <v/>
      </c>
      <c r="L4336" s="16">
        <f>IF(AND(G4336&gt;0,H4336&gt;0),G4336/H4336,"")</f>
        <v/>
      </c>
    </row>
    <row r="4337">
      <c r="A4337" s="4" t="inlineStr">
        <is>
          <t>570</t>
        </is>
      </c>
      <c r="B4337" s="4" t="n">
        <v>5</v>
      </c>
      <c r="C4337" s="4" t="inlineStr">
        <is>
          <t>elk</t>
        </is>
      </c>
      <c r="D4337" s="4" t="n">
        <v>2007</v>
      </c>
      <c r="E4337" s="4" t="inlineStr"/>
      <c r="F4337" s="5" t="n">
        <v>232</v>
      </c>
      <c r="G4337" s="5" t="n">
        <v>1515</v>
      </c>
      <c r="H4337" s="5" t="n">
        <v>60</v>
      </c>
      <c r="I4337" s="5" t="n">
        <v>27</v>
      </c>
      <c r="J4337" s="5" t="n">
        <v>34</v>
      </c>
      <c r="K4337" s="10">
        <f>IF(F4337&gt;0,H4337/F4337,"")</f>
        <v/>
      </c>
      <c r="L4337" s="16">
        <f>IF(AND(G4337&gt;0,H4337&gt;0),G4337/H4337,"")</f>
        <v/>
      </c>
    </row>
    <row r="4338">
      <c r="A4338" s="4" t="inlineStr">
        <is>
          <t>570</t>
        </is>
      </c>
      <c r="B4338" s="4" t="n">
        <v>5</v>
      </c>
      <c r="C4338" s="4" t="inlineStr">
        <is>
          <t>elk</t>
        </is>
      </c>
      <c r="D4338" s="4" t="n">
        <v>2008</v>
      </c>
      <c r="E4338" s="4" t="inlineStr"/>
      <c r="F4338" s="5" t="n">
        <v>305</v>
      </c>
      <c r="G4338" s="5" t="n">
        <v>1668</v>
      </c>
      <c r="H4338" s="5" t="n">
        <v>70</v>
      </c>
      <c r="I4338" s="5" t="n">
        <v>31</v>
      </c>
      <c r="J4338" s="5" t="n">
        <v>39</v>
      </c>
      <c r="K4338" s="10">
        <f>IF(F4338&gt;0,H4338/F4338,"")</f>
        <v/>
      </c>
      <c r="L4338" s="16">
        <f>IF(AND(G4338&gt;0,H4338&gt;0),G4338/H4338,"")</f>
        <v/>
      </c>
    </row>
    <row r="4339">
      <c r="A4339" s="4" t="inlineStr">
        <is>
          <t>570</t>
        </is>
      </c>
      <c r="B4339" s="4" t="n">
        <v>5</v>
      </c>
      <c r="C4339" s="4" t="inlineStr">
        <is>
          <t>elk</t>
        </is>
      </c>
      <c r="D4339" s="4" t="n">
        <v>2009</v>
      </c>
      <c r="E4339" s="4" t="inlineStr"/>
      <c r="F4339" s="5" t="n">
        <v>290</v>
      </c>
      <c r="G4339" s="5" t="n">
        <v>1396</v>
      </c>
      <c r="H4339" s="5" t="n">
        <v>68</v>
      </c>
      <c r="I4339" s="5" t="n">
        <v>35</v>
      </c>
      <c r="J4339" s="5" t="n">
        <v>33</v>
      </c>
      <c r="K4339" s="10">
        <f>IF(F4339&gt;0,H4339/F4339,"")</f>
        <v/>
      </c>
      <c r="L4339" s="16">
        <f>IF(AND(G4339&gt;0,H4339&gt;0),G4339/H4339,"")</f>
        <v/>
      </c>
    </row>
    <row r="4340">
      <c r="A4340" s="4" t="inlineStr">
        <is>
          <t>570</t>
        </is>
      </c>
      <c r="B4340" s="4" t="n">
        <v>5</v>
      </c>
      <c r="C4340" s="4" t="inlineStr">
        <is>
          <t>elk</t>
        </is>
      </c>
      <c r="D4340" s="4" t="n">
        <v>2010</v>
      </c>
      <c r="E4340" s="4" t="inlineStr"/>
      <c r="F4340" s="5" t="n">
        <v>313</v>
      </c>
      <c r="G4340" s="5" t="n">
        <v>1517</v>
      </c>
      <c r="H4340" s="5" t="n">
        <v>58</v>
      </c>
      <c r="I4340" s="5" t="n">
        <v>31</v>
      </c>
      <c r="J4340" s="5" t="n">
        <v>27</v>
      </c>
      <c r="K4340" s="10">
        <f>IF(F4340&gt;0,H4340/F4340,"")</f>
        <v/>
      </c>
      <c r="L4340" s="16">
        <f>IF(AND(G4340&gt;0,H4340&gt;0),G4340/H4340,"")</f>
        <v/>
      </c>
    </row>
    <row r="4341">
      <c r="A4341" s="4" t="inlineStr">
        <is>
          <t>570</t>
        </is>
      </c>
      <c r="B4341" s="4" t="n">
        <v>5</v>
      </c>
      <c r="C4341" s="4" t="inlineStr">
        <is>
          <t>elk</t>
        </is>
      </c>
      <c r="D4341" s="4" t="n">
        <v>2011</v>
      </c>
      <c r="E4341" s="4" t="inlineStr"/>
      <c r="F4341" s="5" t="n">
        <v>317</v>
      </c>
      <c r="G4341" s="5" t="n">
        <v>1853</v>
      </c>
      <c r="H4341" s="5" t="n">
        <v>73</v>
      </c>
      <c r="I4341" s="5" t="n">
        <v>25</v>
      </c>
      <c r="J4341" s="5" t="n">
        <v>42</v>
      </c>
      <c r="K4341" s="10">
        <f>IF(F4341&gt;0,H4341/F4341,"")</f>
        <v/>
      </c>
      <c r="L4341" s="16">
        <f>IF(AND(G4341&gt;0,H4341&gt;0),G4341/H4341,"")</f>
        <v/>
      </c>
    </row>
    <row r="4342">
      <c r="A4342" s="4" t="inlineStr">
        <is>
          <t>570</t>
        </is>
      </c>
      <c r="B4342" s="4" t="n">
        <v>5</v>
      </c>
      <c r="C4342" s="4" t="inlineStr">
        <is>
          <t>elk</t>
        </is>
      </c>
      <c r="D4342" s="4" t="n">
        <v>2012</v>
      </c>
      <c r="E4342" s="4" t="inlineStr"/>
      <c r="F4342" s="5" t="n">
        <v>382</v>
      </c>
      <c r="G4342" s="5" t="n">
        <v>2203</v>
      </c>
      <c r="H4342" s="5" t="n">
        <v>80</v>
      </c>
      <c r="I4342" s="5" t="n">
        <v>26</v>
      </c>
      <c r="J4342" s="5" t="n">
        <v>46</v>
      </c>
      <c r="K4342" s="10">
        <f>IF(F4342&gt;0,H4342/F4342,"")</f>
        <v/>
      </c>
      <c r="L4342" s="16">
        <f>IF(AND(G4342&gt;0,H4342&gt;0),G4342/H4342,"")</f>
        <v/>
      </c>
    </row>
    <row r="4343">
      <c r="A4343" s="4" t="inlineStr">
        <is>
          <t>570</t>
        </is>
      </c>
      <c r="B4343" s="4" t="n">
        <v>5</v>
      </c>
      <c r="C4343" s="4" t="inlineStr">
        <is>
          <t>elk</t>
        </is>
      </c>
      <c r="D4343" s="4" t="n">
        <v>2013</v>
      </c>
      <c r="E4343" s="4" t="inlineStr"/>
      <c r="F4343" s="5" t="n"/>
      <c r="G4343" s="5" t="n"/>
      <c r="H4343" s="5" t="n">
        <v>93</v>
      </c>
      <c r="I4343" s="5" t="n">
        <v>34</v>
      </c>
      <c r="J4343" s="5" t="n">
        <v>54</v>
      </c>
      <c r="K4343" s="10">
        <f>IF(F4343&gt;0,H4343/F4343,"")</f>
        <v/>
      </c>
      <c r="L4343" s="16">
        <f>IF(AND(G4343&gt;0,H4343&gt;0),G4343/H4343,"")</f>
        <v/>
      </c>
    </row>
    <row r="4344">
      <c r="A4344" s="4" t="inlineStr">
        <is>
          <t>570</t>
        </is>
      </c>
      <c r="B4344" s="4" t="n">
        <v>5</v>
      </c>
      <c r="C4344" s="4" t="inlineStr">
        <is>
          <t>elk</t>
        </is>
      </c>
      <c r="D4344" s="4" t="n">
        <v>2014</v>
      </c>
      <c r="E4344" s="4" t="inlineStr"/>
      <c r="F4344" s="5" t="n">
        <v>418</v>
      </c>
      <c r="G4344" s="5" t="n">
        <v>2435</v>
      </c>
      <c r="H4344" s="5" t="n">
        <v>105</v>
      </c>
      <c r="I4344" s="5" t="n">
        <v>44</v>
      </c>
      <c r="J4344" s="5" t="n">
        <v>55</v>
      </c>
      <c r="K4344" s="10">
        <f>IF(F4344&gt;0,H4344/F4344,"")</f>
        <v/>
      </c>
      <c r="L4344" s="16">
        <f>IF(AND(G4344&gt;0,H4344&gt;0),G4344/H4344,"")</f>
        <v/>
      </c>
    </row>
    <row r="4345">
      <c r="A4345" s="4" t="inlineStr">
        <is>
          <t>570</t>
        </is>
      </c>
      <c r="B4345" s="4" t="n">
        <v>5</v>
      </c>
      <c r="C4345" s="4" t="inlineStr">
        <is>
          <t>elk</t>
        </is>
      </c>
      <c r="D4345" s="4" t="n">
        <v>2015</v>
      </c>
      <c r="E4345" s="4" t="inlineStr"/>
      <c r="F4345" s="5" t="n">
        <v>459</v>
      </c>
      <c r="G4345" s="5" t="n">
        <v>2755</v>
      </c>
      <c r="H4345" s="5" t="n">
        <v>111</v>
      </c>
      <c r="I4345" s="5" t="n">
        <v>24</v>
      </c>
      <c r="J4345" s="5" t="n">
        <v>84</v>
      </c>
      <c r="K4345" s="10">
        <f>IF(F4345&gt;0,H4345/F4345,"")</f>
        <v/>
      </c>
      <c r="L4345" s="16">
        <f>IF(AND(G4345&gt;0,H4345&gt;0),G4345/H4345,"")</f>
        <v/>
      </c>
    </row>
    <row r="4346">
      <c r="A4346" s="4" t="inlineStr">
        <is>
          <t>570</t>
        </is>
      </c>
      <c r="B4346" s="4" t="n">
        <v>5</v>
      </c>
      <c r="C4346" s="4" t="inlineStr">
        <is>
          <t>elk</t>
        </is>
      </c>
      <c r="D4346" s="4" t="n">
        <v>2016</v>
      </c>
      <c r="E4346" s="4" t="inlineStr"/>
      <c r="F4346" s="5" t="n">
        <v>443</v>
      </c>
      <c r="G4346" s="5" t="n">
        <v>2849</v>
      </c>
      <c r="H4346" s="5" t="n">
        <v>97</v>
      </c>
      <c r="I4346" s="5" t="n">
        <v>47</v>
      </c>
      <c r="J4346" s="5" t="n">
        <v>47</v>
      </c>
      <c r="K4346" s="10">
        <f>IF(F4346&gt;0,H4346/F4346,"")</f>
        <v/>
      </c>
      <c r="L4346" s="16">
        <f>IF(AND(G4346&gt;0,H4346&gt;0),G4346/H4346,"")</f>
        <v/>
      </c>
    </row>
    <row r="4347">
      <c r="A4347" s="4" t="inlineStr">
        <is>
          <t>570</t>
        </is>
      </c>
      <c r="B4347" s="4" t="n">
        <v>5</v>
      </c>
      <c r="C4347" s="4" t="inlineStr">
        <is>
          <t>elk</t>
        </is>
      </c>
      <c r="D4347" s="4" t="n">
        <v>2017</v>
      </c>
      <c r="E4347" s="4" t="inlineStr"/>
      <c r="F4347" s="5" t="n"/>
      <c r="G4347" s="5" t="n"/>
      <c r="H4347" s="5" t="n">
        <v>146</v>
      </c>
      <c r="I4347" s="5" t="n">
        <v>55</v>
      </c>
      <c r="J4347" s="5" t="n">
        <v>85</v>
      </c>
      <c r="K4347" s="10">
        <f>IF(F4347&gt;0,H4347/F4347,"")</f>
        <v/>
      </c>
      <c r="L4347" s="16">
        <f>IF(AND(G4347&gt;0,H4347&gt;0),G4347/H4347,"")</f>
        <v/>
      </c>
    </row>
    <row r="4348">
      <c r="A4348" s="4" t="inlineStr">
        <is>
          <t>570</t>
        </is>
      </c>
      <c r="B4348" s="4" t="n">
        <v>5</v>
      </c>
      <c r="C4348" s="4" t="inlineStr">
        <is>
          <t>elk</t>
        </is>
      </c>
      <c r="D4348" s="4" t="n">
        <v>2018</v>
      </c>
      <c r="E4348" s="4" t="inlineStr"/>
      <c r="F4348" s="5" t="n">
        <v>514</v>
      </c>
      <c r="G4348" s="5" t="n">
        <v>3508</v>
      </c>
      <c r="H4348" s="5" t="n">
        <v>142</v>
      </c>
      <c r="I4348" s="5" t="n">
        <v>58</v>
      </c>
      <c r="J4348" s="5" t="n">
        <v>77</v>
      </c>
      <c r="K4348" s="10">
        <f>IF(F4348&gt;0,H4348/F4348,"")</f>
        <v/>
      </c>
      <c r="L4348" s="16">
        <f>IF(AND(G4348&gt;0,H4348&gt;0),G4348/H4348,"")</f>
        <v/>
      </c>
    </row>
    <row r="4349">
      <c r="A4349" s="4" t="inlineStr">
        <is>
          <t>570</t>
        </is>
      </c>
      <c r="B4349" s="4" t="n">
        <v>5</v>
      </c>
      <c r="C4349" s="4" t="inlineStr">
        <is>
          <t>elk</t>
        </is>
      </c>
      <c r="D4349" s="4" t="n">
        <v>2019</v>
      </c>
      <c r="E4349" s="4" t="inlineStr"/>
      <c r="F4349" s="5" t="n"/>
      <c r="G4349" s="5" t="n"/>
      <c r="H4349" s="5" t="n">
        <v>170</v>
      </c>
      <c r="I4349" s="5" t="n">
        <v>98</v>
      </c>
      <c r="J4349" s="5" t="n">
        <v>66</v>
      </c>
      <c r="K4349" s="10">
        <f>IF(F4349&gt;0,H4349/F4349,"")</f>
        <v/>
      </c>
      <c r="L4349" s="16">
        <f>IF(AND(G4349&gt;0,H4349&gt;0),G4349/H4349,"")</f>
        <v/>
      </c>
    </row>
    <row r="4350">
      <c r="A4350" s="4" t="inlineStr">
        <is>
          <t>570</t>
        </is>
      </c>
      <c r="B4350" s="4" t="n">
        <v>5</v>
      </c>
      <c r="C4350" s="4" t="inlineStr">
        <is>
          <t>elk</t>
        </is>
      </c>
      <c r="D4350" s="4" t="n">
        <v>2020</v>
      </c>
      <c r="E4350" s="4" t="inlineStr"/>
      <c r="F4350" s="5" t="n">
        <v>693</v>
      </c>
      <c r="G4350" s="5" t="n">
        <v>4874</v>
      </c>
      <c r="H4350" s="5" t="n">
        <v>255</v>
      </c>
      <c r="I4350" s="5" t="n">
        <v>112</v>
      </c>
      <c r="J4350" s="5" t="n">
        <v>139</v>
      </c>
      <c r="K4350" s="10">
        <f>IF(F4350&gt;0,H4350/F4350,"")</f>
        <v/>
      </c>
      <c r="L4350" s="16">
        <f>IF(AND(G4350&gt;0,H4350&gt;0),G4350/H4350,"")</f>
        <v/>
      </c>
    </row>
    <row r="4351">
      <c r="A4351" s="4" t="inlineStr">
        <is>
          <t>570</t>
        </is>
      </c>
      <c r="B4351" s="4" t="n">
        <v>5</v>
      </c>
      <c r="C4351" s="4" t="inlineStr">
        <is>
          <t>elk</t>
        </is>
      </c>
      <c r="D4351" s="4" t="n">
        <v>2021</v>
      </c>
      <c r="E4351" s="4" t="inlineStr"/>
      <c r="F4351" s="5" t="n"/>
      <c r="G4351" s="5" t="n"/>
      <c r="H4351" s="5" t="n">
        <v>174</v>
      </c>
      <c r="I4351" s="5" t="n">
        <v>62</v>
      </c>
      <c r="J4351" s="5" t="n">
        <v>112</v>
      </c>
      <c r="K4351" s="10">
        <f>IF(F4351&gt;0,H4351/F4351,"")</f>
        <v/>
      </c>
      <c r="L4351" s="16">
        <f>IF(AND(G4351&gt;0,H4351&gt;0),G4351/H4351,"")</f>
        <v/>
      </c>
    </row>
    <row r="4352">
      <c r="A4352" s="4" t="inlineStr">
        <is>
          <t>575</t>
        </is>
      </c>
      <c r="B4352" s="4" t="n">
        <v>5</v>
      </c>
      <c r="C4352" s="4" t="inlineStr">
        <is>
          <t>elk</t>
        </is>
      </c>
      <c r="D4352" s="4" t="n">
        <v>2004</v>
      </c>
      <c r="E4352" s="13" t="inlineStr">
        <is>
          <t>General</t>
        </is>
      </c>
      <c r="F4352" s="5" t="n">
        <v>327</v>
      </c>
      <c r="G4352" s="5" t="n">
        <v>1700</v>
      </c>
      <c r="H4352" s="5" t="n">
        <v>47</v>
      </c>
      <c r="I4352" s="5" t="n">
        <v>13</v>
      </c>
      <c r="J4352" s="5" t="n">
        <v>33</v>
      </c>
      <c r="K4352" s="10">
        <f>IF(F4352&gt;0,H4352/F4352,"")</f>
        <v/>
      </c>
      <c r="L4352" s="16">
        <f>IF(AND(G4352&gt;0,H4352&gt;0),G4352/H4352,"")</f>
        <v/>
      </c>
    </row>
    <row r="4353">
      <c r="A4353" s="4" t="inlineStr">
        <is>
          <t>575</t>
        </is>
      </c>
      <c r="B4353" s="4" t="n">
        <v>5</v>
      </c>
      <c r="C4353" s="4" t="inlineStr">
        <is>
          <t>elk</t>
        </is>
      </c>
      <c r="D4353" s="4" t="n">
        <v>2005</v>
      </c>
      <c r="E4353" s="13" t="inlineStr">
        <is>
          <t>General</t>
        </is>
      </c>
      <c r="F4353" s="5" t="n">
        <v>253</v>
      </c>
      <c r="G4353" s="5" t="n">
        <v>1225</v>
      </c>
      <c r="H4353" s="5" t="n">
        <v>28</v>
      </c>
      <c r="I4353" s="5" t="n">
        <v>7</v>
      </c>
      <c r="J4353" s="5" t="n">
        <v>21</v>
      </c>
      <c r="K4353" s="10">
        <f>IF(F4353&gt;0,H4353/F4353,"")</f>
        <v/>
      </c>
      <c r="L4353" s="16">
        <f>IF(AND(G4353&gt;0,H4353&gt;0),G4353/H4353,"")</f>
        <v/>
      </c>
    </row>
    <row r="4354">
      <c r="A4354" s="4" t="inlineStr">
        <is>
          <t>575</t>
        </is>
      </c>
      <c r="B4354" s="4" t="n">
        <v>5</v>
      </c>
      <c r="C4354" s="4" t="inlineStr">
        <is>
          <t>elk</t>
        </is>
      </c>
      <c r="D4354" s="4" t="n">
        <v>2006</v>
      </c>
      <c r="E4354" s="13" t="inlineStr">
        <is>
          <t>General</t>
        </is>
      </c>
      <c r="F4354" s="5" t="n">
        <v>444</v>
      </c>
      <c r="G4354" s="5" t="n">
        <v>2186</v>
      </c>
      <c r="H4354" s="5" t="n">
        <v>70</v>
      </c>
      <c r="I4354" s="5" t="n">
        <v>26</v>
      </c>
      <c r="J4354" s="5" t="n">
        <v>40</v>
      </c>
      <c r="K4354" s="10">
        <f>IF(F4354&gt;0,H4354/F4354,"")</f>
        <v/>
      </c>
      <c r="L4354" s="16">
        <f>IF(AND(G4354&gt;0,H4354&gt;0),G4354/H4354,"")</f>
        <v/>
      </c>
    </row>
    <row r="4355">
      <c r="A4355" s="4" t="inlineStr">
        <is>
          <t>575</t>
        </is>
      </c>
      <c r="B4355" s="4" t="n">
        <v>5</v>
      </c>
      <c r="C4355" s="4" t="inlineStr">
        <is>
          <t>elk</t>
        </is>
      </c>
      <c r="D4355" s="4" t="n">
        <v>2007</v>
      </c>
      <c r="E4355" s="13" t="inlineStr">
        <is>
          <t>General</t>
        </is>
      </c>
      <c r="F4355" s="5" t="n">
        <v>419</v>
      </c>
      <c r="G4355" s="5" t="n">
        <v>2779</v>
      </c>
      <c r="H4355" s="5" t="n">
        <v>57</v>
      </c>
      <c r="I4355" s="5" t="n">
        <v>23</v>
      </c>
      <c r="J4355" s="5" t="n">
        <v>29</v>
      </c>
      <c r="K4355" s="10">
        <f>IF(F4355&gt;0,H4355/F4355,"")</f>
        <v/>
      </c>
      <c r="L4355" s="16">
        <f>IF(AND(G4355&gt;0,H4355&gt;0),G4355/H4355,"")</f>
        <v/>
      </c>
    </row>
    <row r="4356">
      <c r="A4356" s="4" t="inlineStr">
        <is>
          <t>575</t>
        </is>
      </c>
      <c r="B4356" s="4" t="n">
        <v>5</v>
      </c>
      <c r="C4356" s="4" t="inlineStr">
        <is>
          <t>elk</t>
        </is>
      </c>
      <c r="D4356" s="4" t="n">
        <v>2008</v>
      </c>
      <c r="E4356" s="13" t="inlineStr">
        <is>
          <t>General</t>
        </is>
      </c>
      <c r="F4356" s="5" t="n">
        <v>414</v>
      </c>
      <c r="G4356" s="5" t="n">
        <v>2611</v>
      </c>
      <c r="H4356" s="5" t="n">
        <v>56</v>
      </c>
      <c r="I4356" s="5" t="n">
        <v>30</v>
      </c>
      <c r="J4356" s="5" t="n">
        <v>26</v>
      </c>
      <c r="K4356" s="10">
        <f>IF(F4356&gt;0,H4356/F4356,"")</f>
        <v/>
      </c>
      <c r="L4356" s="16">
        <f>IF(AND(G4356&gt;0,H4356&gt;0),G4356/H4356,"")</f>
        <v/>
      </c>
    </row>
    <row r="4357">
      <c r="A4357" s="4" t="inlineStr">
        <is>
          <t>575</t>
        </is>
      </c>
      <c r="B4357" s="4" t="n">
        <v>5</v>
      </c>
      <c r="C4357" s="4" t="inlineStr">
        <is>
          <t>elk</t>
        </is>
      </c>
      <c r="D4357" s="4" t="n">
        <v>2009</v>
      </c>
      <c r="E4357" s="13" t="inlineStr">
        <is>
          <t>General</t>
        </is>
      </c>
      <c r="F4357" s="5" t="n">
        <v>497</v>
      </c>
      <c r="G4357" s="5" t="n">
        <v>2975</v>
      </c>
      <c r="H4357" s="5" t="n">
        <v>57</v>
      </c>
      <c r="I4357" s="5" t="n">
        <v>23</v>
      </c>
      <c r="J4357" s="5" t="n">
        <v>31</v>
      </c>
      <c r="K4357" s="10">
        <f>IF(F4357&gt;0,H4357/F4357,"")</f>
        <v/>
      </c>
      <c r="L4357" s="16">
        <f>IF(AND(G4357&gt;0,H4357&gt;0),G4357/H4357,"")</f>
        <v/>
      </c>
    </row>
    <row r="4358">
      <c r="A4358" s="4" t="inlineStr">
        <is>
          <t>575</t>
        </is>
      </c>
      <c r="B4358" s="4" t="n">
        <v>5</v>
      </c>
      <c r="C4358" s="4" t="inlineStr">
        <is>
          <t>elk</t>
        </is>
      </c>
      <c r="D4358" s="4" t="n">
        <v>2010</v>
      </c>
      <c r="E4358" s="13" t="inlineStr">
        <is>
          <t>General</t>
        </is>
      </c>
      <c r="F4358" s="5" t="n">
        <v>414</v>
      </c>
      <c r="G4358" s="5" t="n">
        <v>2317</v>
      </c>
      <c r="H4358" s="5" t="n">
        <v>42</v>
      </c>
      <c r="I4358" s="5" t="n">
        <v>16</v>
      </c>
      <c r="J4358" s="5" t="n">
        <v>26</v>
      </c>
      <c r="K4358" s="10">
        <f>IF(F4358&gt;0,H4358/F4358,"")</f>
        <v/>
      </c>
      <c r="L4358" s="16">
        <f>IF(AND(G4358&gt;0,H4358&gt;0),G4358/H4358,"")</f>
        <v/>
      </c>
    </row>
    <row r="4359">
      <c r="A4359" s="4" t="inlineStr">
        <is>
          <t>575</t>
        </is>
      </c>
      <c r="B4359" s="4" t="n">
        <v>5</v>
      </c>
      <c r="C4359" s="4" t="inlineStr">
        <is>
          <t>elk</t>
        </is>
      </c>
      <c r="D4359" s="4" t="n">
        <v>2011</v>
      </c>
      <c r="E4359" s="13" t="inlineStr">
        <is>
          <t>General</t>
        </is>
      </c>
      <c r="F4359" s="5" t="n">
        <v>454</v>
      </c>
      <c r="G4359" s="5" t="n">
        <v>2409</v>
      </c>
      <c r="H4359" s="5" t="n">
        <v>76</v>
      </c>
      <c r="I4359" s="5" t="n">
        <v>18</v>
      </c>
      <c r="J4359" s="5" t="n">
        <v>55</v>
      </c>
      <c r="K4359" s="10">
        <f>IF(F4359&gt;0,H4359/F4359,"")</f>
        <v/>
      </c>
      <c r="L4359" s="16">
        <f>IF(AND(G4359&gt;0,H4359&gt;0),G4359/H4359,"")</f>
        <v/>
      </c>
    </row>
    <row r="4360">
      <c r="A4360" s="4" t="inlineStr">
        <is>
          <t>575</t>
        </is>
      </c>
      <c r="B4360" s="4" t="n">
        <v>5</v>
      </c>
      <c r="C4360" s="4" t="inlineStr">
        <is>
          <t>elk</t>
        </is>
      </c>
      <c r="D4360" s="4" t="n">
        <v>2012</v>
      </c>
      <c r="E4360" s="13" t="inlineStr">
        <is>
          <t>General</t>
        </is>
      </c>
      <c r="F4360" s="5" t="n">
        <v>448</v>
      </c>
      <c r="G4360" s="5" t="n">
        <v>2197</v>
      </c>
      <c r="H4360" s="5" t="n">
        <v>50</v>
      </c>
      <c r="I4360" s="5" t="n">
        <v>14</v>
      </c>
      <c r="J4360" s="5" t="n">
        <v>27</v>
      </c>
      <c r="K4360" s="10">
        <f>IF(F4360&gt;0,H4360/F4360,"")</f>
        <v/>
      </c>
      <c r="L4360" s="16">
        <f>IF(AND(G4360&gt;0,H4360&gt;0),G4360/H4360,"")</f>
        <v/>
      </c>
    </row>
    <row r="4361">
      <c r="A4361" s="4" t="inlineStr">
        <is>
          <t>575</t>
        </is>
      </c>
      <c r="B4361" s="4" t="n">
        <v>5</v>
      </c>
      <c r="C4361" s="4" t="inlineStr">
        <is>
          <t>elk</t>
        </is>
      </c>
      <c r="D4361" s="4" t="n">
        <v>2013</v>
      </c>
      <c r="E4361" s="13" t="inlineStr">
        <is>
          <t>General</t>
        </is>
      </c>
      <c r="F4361" s="5" t="n"/>
      <c r="G4361" s="5" t="n"/>
      <c r="H4361" s="5" t="n">
        <v>126</v>
      </c>
      <c r="I4361" s="5" t="n">
        <v>38</v>
      </c>
      <c r="J4361" s="5" t="n">
        <v>77</v>
      </c>
      <c r="K4361" s="10">
        <f>IF(F4361&gt;0,H4361/F4361,"")</f>
        <v/>
      </c>
      <c r="L4361" s="16">
        <f>IF(AND(G4361&gt;0,H4361&gt;0),G4361/H4361,"")</f>
        <v/>
      </c>
    </row>
    <row r="4362">
      <c r="A4362" s="4" t="inlineStr">
        <is>
          <t>575</t>
        </is>
      </c>
      <c r="B4362" s="4" t="n">
        <v>5</v>
      </c>
      <c r="C4362" s="4" t="inlineStr">
        <is>
          <t>elk</t>
        </is>
      </c>
      <c r="D4362" s="4" t="n">
        <v>2014</v>
      </c>
      <c r="E4362" s="13" t="inlineStr">
        <is>
          <t>General</t>
        </is>
      </c>
      <c r="F4362" s="5" t="n">
        <v>582</v>
      </c>
      <c r="G4362" s="5" t="n">
        <v>3037</v>
      </c>
      <c r="H4362" s="5" t="n">
        <v>118</v>
      </c>
      <c r="I4362" s="5" t="n">
        <v>33</v>
      </c>
      <c r="J4362" s="5" t="n">
        <v>76</v>
      </c>
      <c r="K4362" s="10">
        <f>IF(F4362&gt;0,H4362/F4362,"")</f>
        <v/>
      </c>
      <c r="L4362" s="16">
        <f>IF(AND(G4362&gt;0,H4362&gt;0),G4362/H4362,"")</f>
        <v/>
      </c>
    </row>
    <row r="4363">
      <c r="A4363" s="4" t="inlineStr">
        <is>
          <t>575</t>
        </is>
      </c>
      <c r="B4363" s="4" t="n">
        <v>5</v>
      </c>
      <c r="C4363" s="4" t="inlineStr">
        <is>
          <t>elk</t>
        </is>
      </c>
      <c r="D4363" s="4" t="n">
        <v>2015</v>
      </c>
      <c r="E4363" s="13" t="inlineStr">
        <is>
          <t>General</t>
        </is>
      </c>
      <c r="F4363" s="5" t="n">
        <v>826</v>
      </c>
      <c r="G4363" s="5" t="n">
        <v>5373</v>
      </c>
      <c r="H4363" s="5" t="n">
        <v>160</v>
      </c>
      <c r="I4363" s="5" t="n">
        <v>57</v>
      </c>
      <c r="J4363" s="5" t="n">
        <v>97</v>
      </c>
      <c r="K4363" s="10">
        <f>IF(F4363&gt;0,H4363/F4363,"")</f>
        <v/>
      </c>
      <c r="L4363" s="16">
        <f>IF(AND(G4363&gt;0,H4363&gt;0),G4363/H4363,"")</f>
        <v/>
      </c>
    </row>
    <row r="4364">
      <c r="A4364" s="4" t="inlineStr">
        <is>
          <t>575</t>
        </is>
      </c>
      <c r="B4364" s="4" t="n">
        <v>5</v>
      </c>
      <c r="C4364" s="4" t="inlineStr">
        <is>
          <t>elk</t>
        </is>
      </c>
      <c r="D4364" s="4" t="n">
        <v>2016</v>
      </c>
      <c r="E4364" s="13" t="inlineStr">
        <is>
          <t>General</t>
        </is>
      </c>
      <c r="F4364" s="5" t="n">
        <v>722</v>
      </c>
      <c r="G4364" s="5" t="n">
        <v>4521</v>
      </c>
      <c r="H4364" s="5" t="n">
        <v>137</v>
      </c>
      <c r="I4364" s="5" t="n">
        <v>45</v>
      </c>
      <c r="J4364" s="5" t="n">
        <v>89</v>
      </c>
      <c r="K4364" s="10">
        <f>IF(F4364&gt;0,H4364/F4364,"")</f>
        <v/>
      </c>
      <c r="L4364" s="16">
        <f>IF(AND(G4364&gt;0,H4364&gt;0),G4364/H4364,"")</f>
        <v/>
      </c>
    </row>
    <row r="4365">
      <c r="A4365" s="4" t="inlineStr">
        <is>
          <t>575</t>
        </is>
      </c>
      <c r="B4365" s="4" t="n">
        <v>5</v>
      </c>
      <c r="C4365" s="4" t="inlineStr">
        <is>
          <t>elk</t>
        </is>
      </c>
      <c r="D4365" s="4" t="n">
        <v>2017</v>
      </c>
      <c r="E4365" s="13" t="inlineStr">
        <is>
          <t>General</t>
        </is>
      </c>
      <c r="F4365" s="5" t="n"/>
      <c r="G4365" s="5" t="n"/>
      <c r="H4365" s="5" t="n">
        <v>154</v>
      </c>
      <c r="I4365" s="5" t="n">
        <v>40</v>
      </c>
      <c r="J4365" s="5" t="n">
        <v>105</v>
      </c>
      <c r="K4365" s="10">
        <f>IF(F4365&gt;0,H4365/F4365,"")</f>
        <v/>
      </c>
      <c r="L4365" s="16">
        <f>IF(AND(G4365&gt;0,H4365&gt;0),G4365/H4365,"")</f>
        <v/>
      </c>
    </row>
    <row r="4366">
      <c r="A4366" s="4" t="inlineStr">
        <is>
          <t>575</t>
        </is>
      </c>
      <c r="B4366" s="4" t="n">
        <v>5</v>
      </c>
      <c r="C4366" s="4" t="inlineStr">
        <is>
          <t>elk</t>
        </is>
      </c>
      <c r="D4366" s="4" t="n">
        <v>2018</v>
      </c>
      <c r="E4366" s="13" t="inlineStr">
        <is>
          <t>General</t>
        </is>
      </c>
      <c r="F4366" s="5" t="n">
        <v>667</v>
      </c>
      <c r="G4366" s="5" t="n">
        <v>4555</v>
      </c>
      <c r="H4366" s="5" t="n">
        <v>181</v>
      </c>
      <c r="I4366" s="5" t="n">
        <v>36</v>
      </c>
      <c r="J4366" s="5" t="n">
        <v>135</v>
      </c>
      <c r="K4366" s="10">
        <f>IF(F4366&gt;0,H4366/F4366,"")</f>
        <v/>
      </c>
      <c r="L4366" s="16">
        <f>IF(AND(G4366&gt;0,H4366&gt;0),G4366/H4366,"")</f>
        <v/>
      </c>
    </row>
    <row r="4367">
      <c r="A4367" s="4" t="inlineStr">
        <is>
          <t>575</t>
        </is>
      </c>
      <c r="B4367" s="4" t="n">
        <v>5</v>
      </c>
      <c r="C4367" s="4" t="inlineStr">
        <is>
          <t>elk</t>
        </is>
      </c>
      <c r="D4367" s="4" t="n">
        <v>2019</v>
      </c>
      <c r="E4367" s="13" t="inlineStr">
        <is>
          <t>General</t>
        </is>
      </c>
      <c r="F4367" s="5" t="n"/>
      <c r="G4367" s="5" t="n"/>
      <c r="H4367" s="5" t="n">
        <v>127</v>
      </c>
      <c r="I4367" s="5" t="n">
        <v>44</v>
      </c>
      <c r="J4367" s="5" t="n">
        <v>80</v>
      </c>
      <c r="K4367" s="10">
        <f>IF(F4367&gt;0,H4367/F4367,"")</f>
        <v/>
      </c>
      <c r="L4367" s="16">
        <f>IF(AND(G4367&gt;0,H4367&gt;0),G4367/H4367,"")</f>
        <v/>
      </c>
    </row>
    <row r="4368">
      <c r="A4368" s="4" t="inlineStr">
        <is>
          <t>575</t>
        </is>
      </c>
      <c r="B4368" s="4" t="n">
        <v>5</v>
      </c>
      <c r="C4368" s="4" t="inlineStr">
        <is>
          <t>elk</t>
        </is>
      </c>
      <c r="D4368" s="4" t="n">
        <v>2020</v>
      </c>
      <c r="E4368" s="13" t="inlineStr">
        <is>
          <t>General</t>
        </is>
      </c>
      <c r="F4368" s="5" t="n">
        <v>664</v>
      </c>
      <c r="G4368" s="5" t="n">
        <v>4174</v>
      </c>
      <c r="H4368" s="5" t="n">
        <v>181</v>
      </c>
      <c r="I4368" s="5" t="n">
        <v>43</v>
      </c>
      <c r="J4368" s="5" t="n">
        <v>131</v>
      </c>
      <c r="K4368" s="10">
        <f>IF(F4368&gt;0,H4368/F4368,"")</f>
        <v/>
      </c>
      <c r="L4368" s="16">
        <f>IF(AND(G4368&gt;0,H4368&gt;0),G4368/H4368,"")</f>
        <v/>
      </c>
    </row>
    <row r="4369">
      <c r="A4369" s="4" t="inlineStr">
        <is>
          <t>575</t>
        </is>
      </c>
      <c r="B4369" s="4" t="n">
        <v>5</v>
      </c>
      <c r="C4369" s="4" t="inlineStr">
        <is>
          <t>elk</t>
        </is>
      </c>
      <c r="D4369" s="4" t="n">
        <v>2021</v>
      </c>
      <c r="E4369" s="13" t="inlineStr">
        <is>
          <t>General</t>
        </is>
      </c>
      <c r="F4369" s="5" t="n"/>
      <c r="G4369" s="5" t="n"/>
      <c r="H4369" s="5" t="n">
        <v>135</v>
      </c>
      <c r="I4369" s="5" t="n">
        <v>51</v>
      </c>
      <c r="J4369" s="5" t="n">
        <v>80</v>
      </c>
      <c r="K4369" s="10">
        <f>IF(F4369&gt;0,H4369/F4369,"")</f>
        <v/>
      </c>
      <c r="L4369" s="16">
        <f>IF(AND(G4369&gt;0,H4369&gt;0),G4369/H4369,"")</f>
        <v/>
      </c>
    </row>
    <row r="4370">
      <c r="A4370" s="4" t="inlineStr">
        <is>
          <t>575</t>
        </is>
      </c>
      <c r="B4370" s="4" t="n">
        <v>5</v>
      </c>
      <c r="C4370" s="4" t="inlineStr">
        <is>
          <t>elk</t>
        </is>
      </c>
      <c r="D4370" s="4" t="n">
        <v>2022</v>
      </c>
      <c r="E4370" s="13" t="inlineStr">
        <is>
          <t>General</t>
        </is>
      </c>
      <c r="F4370" s="5" t="n">
        <v>920</v>
      </c>
      <c r="G4370" s="5" t="n">
        <v>5996</v>
      </c>
      <c r="H4370" s="5" t="n">
        <v>199</v>
      </c>
      <c r="I4370" s="5" t="n">
        <v>144</v>
      </c>
      <c r="J4370" s="5" t="n">
        <v>52</v>
      </c>
      <c r="K4370" s="10">
        <f>IF(F4370&gt;0,H4370/F4370,"")</f>
        <v/>
      </c>
      <c r="L4370" s="16">
        <f>IF(AND(G4370&gt;0,H4370&gt;0),G4370/H4370,"")</f>
        <v/>
      </c>
    </row>
    <row r="4371">
      <c r="A4371" s="4" t="inlineStr">
        <is>
          <t>575</t>
        </is>
      </c>
      <c r="B4371" s="4" t="n">
        <v>5</v>
      </c>
      <c r="C4371" s="4" t="inlineStr">
        <is>
          <t>elk</t>
        </is>
      </c>
      <c r="D4371" s="4" t="n">
        <v>2023</v>
      </c>
      <c r="E4371" s="13" t="inlineStr">
        <is>
          <t>General</t>
        </is>
      </c>
      <c r="F4371" s="5" t="n"/>
      <c r="G4371" s="5" t="n"/>
      <c r="H4371" s="5" t="n">
        <v>215</v>
      </c>
      <c r="I4371" s="5" t="n">
        <v>89</v>
      </c>
      <c r="J4371" s="5" t="n">
        <v>124</v>
      </c>
      <c r="K4371" s="10">
        <f>IF(F4371&gt;0,H4371/F4371,"")</f>
        <v/>
      </c>
      <c r="L4371" s="16">
        <f>IF(AND(G4371&gt;0,H4371&gt;0),G4371/H4371,"")</f>
        <v/>
      </c>
    </row>
    <row r="4372">
      <c r="A4372" s="4" t="inlineStr">
        <is>
          <t>575</t>
        </is>
      </c>
      <c r="B4372" s="4" t="n">
        <v>5</v>
      </c>
      <c r="C4372" s="4" t="inlineStr">
        <is>
          <t>elk</t>
        </is>
      </c>
      <c r="D4372" s="4" t="n">
        <v>2024</v>
      </c>
      <c r="E4372" s="13" t="inlineStr">
        <is>
          <t>General</t>
        </is>
      </c>
      <c r="F4372" s="5" t="n">
        <v>991</v>
      </c>
      <c r="G4372" s="5" t="n">
        <v>7518</v>
      </c>
      <c r="H4372" s="5" t="n">
        <v>250</v>
      </c>
      <c r="I4372" s="5" t="n">
        <v>102</v>
      </c>
      <c r="J4372" s="5" t="n">
        <v>142</v>
      </c>
      <c r="K4372" s="10">
        <f>IF(F4372&gt;0,H4372/F4372,"")</f>
        <v/>
      </c>
      <c r="L4372" s="16">
        <f>IF(AND(G4372&gt;0,H4372&gt;0),G4372/H4372,"")</f>
        <v/>
      </c>
    </row>
    <row r="4373">
      <c r="A4373" s="4" t="inlineStr">
        <is>
          <t>575</t>
        </is>
      </c>
      <c r="B4373" s="4" t="n">
        <v>5</v>
      </c>
      <c r="C4373" s="4" t="inlineStr">
        <is>
          <t>elk</t>
        </is>
      </c>
      <c r="D4373" s="4" t="n">
        <v>2025</v>
      </c>
      <c r="E4373" s="13" t="inlineStr">
        <is>
          <t>General</t>
        </is>
      </c>
      <c r="F4373" s="5" t="n"/>
      <c r="G4373" s="5" t="n"/>
      <c r="H4373" s="5" t="n">
        <v>245</v>
      </c>
      <c r="I4373" s="5" t="n">
        <v>98</v>
      </c>
      <c r="J4373" s="5" t="n">
        <v>143</v>
      </c>
      <c r="K4373" s="10">
        <f>IF(F4373&gt;0,H4373/F4373,"")</f>
        <v/>
      </c>
      <c r="L4373" s="16">
        <f>IF(AND(G4373&gt;0,H4373&gt;0),G4373/H4373,"")</f>
        <v/>
      </c>
    </row>
    <row r="4374">
      <c r="A4374" s="4" t="inlineStr">
        <is>
          <t>580</t>
        </is>
      </c>
      <c r="B4374" s="4" t="n">
        <v>5</v>
      </c>
      <c r="C4374" s="4" t="inlineStr">
        <is>
          <t>elk</t>
        </is>
      </c>
      <c r="D4374" s="4" t="n">
        <v>2004</v>
      </c>
      <c r="E4374" s="13" t="inlineStr">
        <is>
          <t>General</t>
        </is>
      </c>
      <c r="F4374" s="5" t="n">
        <v>1139</v>
      </c>
      <c r="G4374" s="5" t="n">
        <v>5496</v>
      </c>
      <c r="H4374" s="5" t="n">
        <v>334</v>
      </c>
      <c r="I4374" s="5" t="n">
        <v>144</v>
      </c>
      <c r="J4374" s="5" t="n">
        <v>161</v>
      </c>
      <c r="K4374" s="10">
        <f>IF(F4374&gt;0,H4374/F4374,"")</f>
        <v/>
      </c>
      <c r="L4374" s="16">
        <f>IF(AND(G4374&gt;0,H4374&gt;0),G4374/H4374,"")</f>
        <v/>
      </c>
    </row>
    <row r="4375">
      <c r="A4375" s="4" t="inlineStr">
        <is>
          <t>580</t>
        </is>
      </c>
      <c r="B4375" s="4" t="n">
        <v>5</v>
      </c>
      <c r="C4375" s="4" t="inlineStr">
        <is>
          <t>elk</t>
        </is>
      </c>
      <c r="D4375" s="4" t="n">
        <v>2005</v>
      </c>
      <c r="E4375" s="13" t="inlineStr">
        <is>
          <t>General</t>
        </is>
      </c>
      <c r="F4375" s="5" t="n">
        <v>955</v>
      </c>
      <c r="G4375" s="5" t="n">
        <v>5323</v>
      </c>
      <c r="H4375" s="5" t="n">
        <v>323</v>
      </c>
      <c r="I4375" s="5" t="n">
        <v>144</v>
      </c>
      <c r="J4375" s="5" t="n">
        <v>162</v>
      </c>
      <c r="K4375" s="10">
        <f>IF(F4375&gt;0,H4375/F4375,"")</f>
        <v/>
      </c>
      <c r="L4375" s="16">
        <f>IF(AND(G4375&gt;0,H4375&gt;0),G4375/H4375,"")</f>
        <v/>
      </c>
    </row>
    <row r="4376">
      <c r="A4376" s="4" t="inlineStr">
        <is>
          <t>580</t>
        </is>
      </c>
      <c r="B4376" s="4" t="n">
        <v>5</v>
      </c>
      <c r="C4376" s="4" t="inlineStr">
        <is>
          <t>elk</t>
        </is>
      </c>
      <c r="D4376" s="4" t="n">
        <v>2006</v>
      </c>
      <c r="E4376" s="13" t="inlineStr">
        <is>
          <t>General</t>
        </is>
      </c>
      <c r="F4376" s="5" t="n">
        <v>1000</v>
      </c>
      <c r="G4376" s="5" t="n">
        <v>5004</v>
      </c>
      <c r="H4376" s="5" t="n">
        <v>363</v>
      </c>
      <c r="I4376" s="5" t="n">
        <v>190</v>
      </c>
      <c r="J4376" s="5" t="n">
        <v>155</v>
      </c>
      <c r="K4376" s="10">
        <f>IF(F4376&gt;0,H4376/F4376,"")</f>
        <v/>
      </c>
      <c r="L4376" s="16">
        <f>IF(AND(G4376&gt;0,H4376&gt;0),G4376/H4376,"")</f>
        <v/>
      </c>
    </row>
    <row r="4377">
      <c r="A4377" s="4" t="inlineStr">
        <is>
          <t>580</t>
        </is>
      </c>
      <c r="B4377" s="4" t="n">
        <v>5</v>
      </c>
      <c r="C4377" s="4" t="inlineStr">
        <is>
          <t>elk</t>
        </is>
      </c>
      <c r="D4377" s="4" t="n">
        <v>2007</v>
      </c>
      <c r="E4377" s="13" t="inlineStr">
        <is>
          <t>General</t>
        </is>
      </c>
      <c r="F4377" s="5" t="n">
        <v>1024</v>
      </c>
      <c r="G4377" s="5" t="n">
        <v>5348</v>
      </c>
      <c r="H4377" s="5" t="n">
        <v>339</v>
      </c>
      <c r="I4377" s="5" t="n">
        <v>164</v>
      </c>
      <c r="J4377" s="5" t="n">
        <v>158</v>
      </c>
      <c r="K4377" s="10">
        <f>IF(F4377&gt;0,H4377/F4377,"")</f>
        <v/>
      </c>
      <c r="L4377" s="16">
        <f>IF(AND(G4377&gt;0,H4377&gt;0),G4377/H4377,"")</f>
        <v/>
      </c>
    </row>
    <row r="4378">
      <c r="A4378" s="4" t="inlineStr">
        <is>
          <t>580</t>
        </is>
      </c>
      <c r="B4378" s="4" t="n">
        <v>5</v>
      </c>
      <c r="C4378" s="4" t="inlineStr">
        <is>
          <t>elk</t>
        </is>
      </c>
      <c r="D4378" s="4" t="n">
        <v>2008</v>
      </c>
      <c r="E4378" s="13" t="inlineStr">
        <is>
          <t>General</t>
        </is>
      </c>
      <c r="F4378" s="5" t="n">
        <v>1039</v>
      </c>
      <c r="G4378" s="5" t="n">
        <v>5982</v>
      </c>
      <c r="H4378" s="5" t="n">
        <v>286</v>
      </c>
      <c r="I4378" s="5" t="n">
        <v>142</v>
      </c>
      <c r="J4378" s="5" t="n">
        <v>141</v>
      </c>
      <c r="K4378" s="10">
        <f>IF(F4378&gt;0,H4378/F4378,"")</f>
        <v/>
      </c>
      <c r="L4378" s="16">
        <f>IF(AND(G4378&gt;0,H4378&gt;0),G4378/H4378,"")</f>
        <v/>
      </c>
    </row>
    <row r="4379">
      <c r="A4379" s="4" t="inlineStr">
        <is>
          <t>580</t>
        </is>
      </c>
      <c r="B4379" s="4" t="n">
        <v>5</v>
      </c>
      <c r="C4379" s="4" t="inlineStr">
        <is>
          <t>elk</t>
        </is>
      </c>
      <c r="D4379" s="4" t="n">
        <v>2009</v>
      </c>
      <c r="E4379" s="13" t="inlineStr">
        <is>
          <t>General</t>
        </is>
      </c>
      <c r="F4379" s="5" t="n">
        <v>1210</v>
      </c>
      <c r="G4379" s="5" t="n">
        <v>6293</v>
      </c>
      <c r="H4379" s="5" t="n">
        <v>370</v>
      </c>
      <c r="I4379" s="5" t="n">
        <v>176</v>
      </c>
      <c r="J4379" s="5" t="n">
        <v>170</v>
      </c>
      <c r="K4379" s="10">
        <f>IF(F4379&gt;0,H4379/F4379,"")</f>
        <v/>
      </c>
      <c r="L4379" s="16">
        <f>IF(AND(G4379&gt;0,H4379&gt;0),G4379/H4379,"")</f>
        <v/>
      </c>
    </row>
    <row r="4380">
      <c r="A4380" s="4" t="inlineStr">
        <is>
          <t>580</t>
        </is>
      </c>
      <c r="B4380" s="4" t="n">
        <v>5</v>
      </c>
      <c r="C4380" s="4" t="inlineStr">
        <is>
          <t>elk</t>
        </is>
      </c>
      <c r="D4380" s="4" t="n">
        <v>2010</v>
      </c>
      <c r="E4380" s="13" t="inlineStr">
        <is>
          <t>General</t>
        </is>
      </c>
      <c r="F4380" s="5" t="n">
        <v>1201</v>
      </c>
      <c r="G4380" s="5" t="n">
        <v>6155</v>
      </c>
      <c r="H4380" s="5" t="n">
        <v>385</v>
      </c>
      <c r="I4380" s="5" t="n">
        <v>185</v>
      </c>
      <c r="J4380" s="5" t="n">
        <v>193</v>
      </c>
      <c r="K4380" s="10">
        <f>IF(F4380&gt;0,H4380/F4380,"")</f>
        <v/>
      </c>
      <c r="L4380" s="16">
        <f>IF(AND(G4380&gt;0,H4380&gt;0),G4380/H4380,"")</f>
        <v/>
      </c>
    </row>
    <row r="4381">
      <c r="A4381" s="4" t="inlineStr">
        <is>
          <t>580</t>
        </is>
      </c>
      <c r="B4381" s="4" t="n">
        <v>5</v>
      </c>
      <c r="C4381" s="4" t="inlineStr">
        <is>
          <t>elk</t>
        </is>
      </c>
      <c r="D4381" s="4" t="n">
        <v>2011</v>
      </c>
      <c r="E4381" s="13" t="inlineStr">
        <is>
          <t>General</t>
        </is>
      </c>
      <c r="F4381" s="5" t="n">
        <v>1250</v>
      </c>
      <c r="G4381" s="5" t="n">
        <v>6872</v>
      </c>
      <c r="H4381" s="5" t="n">
        <v>349</v>
      </c>
      <c r="I4381" s="5" t="n">
        <v>180</v>
      </c>
      <c r="J4381" s="5" t="n">
        <v>151</v>
      </c>
      <c r="K4381" s="10">
        <f>IF(F4381&gt;0,H4381/F4381,"")</f>
        <v/>
      </c>
      <c r="L4381" s="16">
        <f>IF(AND(G4381&gt;0,H4381&gt;0),G4381/H4381,"")</f>
        <v/>
      </c>
    </row>
    <row r="4382">
      <c r="A4382" s="4" t="inlineStr">
        <is>
          <t>580</t>
        </is>
      </c>
      <c r="B4382" s="4" t="n">
        <v>5</v>
      </c>
      <c r="C4382" s="4" t="inlineStr">
        <is>
          <t>elk</t>
        </is>
      </c>
      <c r="D4382" s="4" t="n">
        <v>2012</v>
      </c>
      <c r="E4382" s="13" t="inlineStr">
        <is>
          <t>General</t>
        </is>
      </c>
      <c r="F4382" s="5" t="n">
        <v>1269</v>
      </c>
      <c r="G4382" s="5" t="n">
        <v>6684</v>
      </c>
      <c r="H4382" s="5" t="n">
        <v>393</v>
      </c>
      <c r="I4382" s="5" t="n">
        <v>211</v>
      </c>
      <c r="J4382" s="5" t="n">
        <v>165</v>
      </c>
      <c r="K4382" s="10">
        <f>IF(F4382&gt;0,H4382/F4382,"")</f>
        <v/>
      </c>
      <c r="L4382" s="16">
        <f>IF(AND(G4382&gt;0,H4382&gt;0),G4382/H4382,"")</f>
        <v/>
      </c>
    </row>
    <row r="4383">
      <c r="A4383" s="4" t="inlineStr">
        <is>
          <t>580</t>
        </is>
      </c>
      <c r="B4383" s="4" t="n">
        <v>5</v>
      </c>
      <c r="C4383" s="4" t="inlineStr">
        <is>
          <t>elk</t>
        </is>
      </c>
      <c r="D4383" s="4" t="n">
        <v>2017</v>
      </c>
      <c r="E4383" s="13" t="inlineStr">
        <is>
          <t>General</t>
        </is>
      </c>
      <c r="F4383" s="5" t="n"/>
      <c r="G4383" s="5" t="n"/>
      <c r="H4383" s="5" t="n">
        <v>0</v>
      </c>
      <c r="I4383" s="5" t="n">
        <v>0</v>
      </c>
      <c r="J4383" s="5" t="n">
        <v>0</v>
      </c>
      <c r="K4383" s="10">
        <f>IF(F4383&gt;0,H4383/F4383,"")</f>
        <v/>
      </c>
      <c r="L4383" s="16">
        <f>IF(AND(G4383&gt;0,H4383&gt;0),G4383/H4383,"")</f>
        <v/>
      </c>
    </row>
    <row r="4384">
      <c r="A4384" s="4" t="inlineStr">
        <is>
          <t>580N</t>
        </is>
      </c>
      <c r="B4384" s="4" t="n">
        <v>5</v>
      </c>
      <c r="C4384" s="4" t="inlineStr">
        <is>
          <t>elk</t>
        </is>
      </c>
      <c r="D4384" s="4" t="n">
        <v>2013</v>
      </c>
      <c r="E4384" s="13" t="inlineStr">
        <is>
          <t>General</t>
        </is>
      </c>
      <c r="F4384" s="5" t="n"/>
      <c r="G4384" s="5" t="n"/>
      <c r="H4384" s="5" t="n">
        <v>288</v>
      </c>
      <c r="I4384" s="5" t="n">
        <v>136</v>
      </c>
      <c r="J4384" s="5" t="n">
        <v>139</v>
      </c>
      <c r="K4384" s="10">
        <f>IF(F4384&gt;0,H4384/F4384,"")</f>
        <v/>
      </c>
      <c r="L4384" s="16">
        <f>IF(AND(G4384&gt;0,H4384&gt;0),G4384/H4384,"")</f>
        <v/>
      </c>
    </row>
    <row r="4385">
      <c r="A4385" s="4" t="inlineStr">
        <is>
          <t>580N</t>
        </is>
      </c>
      <c r="B4385" s="4" t="n">
        <v>5</v>
      </c>
      <c r="C4385" s="4" t="inlineStr">
        <is>
          <t>elk</t>
        </is>
      </c>
      <c r="D4385" s="4" t="n">
        <v>2014</v>
      </c>
      <c r="E4385" s="13" t="inlineStr">
        <is>
          <t>General</t>
        </is>
      </c>
      <c r="F4385" s="5" t="n">
        <v>868</v>
      </c>
      <c r="G4385" s="5" t="n">
        <v>4475</v>
      </c>
      <c r="H4385" s="5" t="n">
        <v>284</v>
      </c>
      <c r="I4385" s="5" t="n">
        <v>148</v>
      </c>
      <c r="J4385" s="5" t="n">
        <v>119</v>
      </c>
      <c r="K4385" s="10">
        <f>IF(F4385&gt;0,H4385/F4385,"")</f>
        <v/>
      </c>
      <c r="L4385" s="16">
        <f>IF(AND(G4385&gt;0,H4385&gt;0),G4385/H4385,"")</f>
        <v/>
      </c>
    </row>
    <row r="4386">
      <c r="A4386" s="4" t="inlineStr">
        <is>
          <t>580N</t>
        </is>
      </c>
      <c r="B4386" s="4" t="n">
        <v>5</v>
      </c>
      <c r="C4386" s="4" t="inlineStr">
        <is>
          <t>elk</t>
        </is>
      </c>
      <c r="D4386" s="4" t="n">
        <v>2015</v>
      </c>
      <c r="E4386" s="13" t="inlineStr">
        <is>
          <t>General</t>
        </is>
      </c>
      <c r="F4386" s="5" t="n">
        <v>1048</v>
      </c>
      <c r="G4386" s="5" t="n">
        <v>5842</v>
      </c>
      <c r="H4386" s="5" t="n">
        <v>424</v>
      </c>
      <c r="I4386" s="5" t="n">
        <v>185</v>
      </c>
      <c r="J4386" s="5" t="n">
        <v>223</v>
      </c>
      <c r="K4386" s="10">
        <f>IF(F4386&gt;0,H4386/F4386,"")</f>
        <v/>
      </c>
      <c r="L4386" s="16">
        <f>IF(AND(G4386&gt;0,H4386&gt;0),G4386/H4386,"")</f>
        <v/>
      </c>
    </row>
    <row r="4387">
      <c r="A4387" s="4" t="inlineStr">
        <is>
          <t>580N</t>
        </is>
      </c>
      <c r="B4387" s="4" t="n">
        <v>5</v>
      </c>
      <c r="C4387" s="4" t="inlineStr">
        <is>
          <t>elk</t>
        </is>
      </c>
      <c r="D4387" s="4" t="n">
        <v>2016</v>
      </c>
      <c r="E4387" s="13" t="inlineStr">
        <is>
          <t>General</t>
        </is>
      </c>
      <c r="F4387" s="5" t="n">
        <v>1129</v>
      </c>
      <c r="G4387" s="5" t="n">
        <v>6969</v>
      </c>
      <c r="H4387" s="5" t="n">
        <v>392</v>
      </c>
      <c r="I4387" s="5" t="n">
        <v>191</v>
      </c>
      <c r="J4387" s="5" t="n">
        <v>190</v>
      </c>
      <c r="K4387" s="10">
        <f>IF(F4387&gt;0,H4387/F4387,"")</f>
        <v/>
      </c>
      <c r="L4387" s="16">
        <f>IF(AND(G4387&gt;0,H4387&gt;0),G4387/H4387,"")</f>
        <v/>
      </c>
    </row>
    <row r="4388">
      <c r="A4388" s="4" t="inlineStr">
        <is>
          <t>580N</t>
        </is>
      </c>
      <c r="B4388" s="4" t="n">
        <v>5</v>
      </c>
      <c r="C4388" s="4" t="inlineStr">
        <is>
          <t>elk</t>
        </is>
      </c>
      <c r="D4388" s="4" t="n">
        <v>2017</v>
      </c>
      <c r="E4388" s="13" t="inlineStr">
        <is>
          <t>General</t>
        </is>
      </c>
      <c r="F4388" s="5" t="n"/>
      <c r="G4388" s="5" t="n"/>
      <c r="H4388" s="5" t="n">
        <v>453</v>
      </c>
      <c r="I4388" s="5" t="n">
        <v>210</v>
      </c>
      <c r="J4388" s="5" t="n">
        <v>230</v>
      </c>
      <c r="K4388" s="10">
        <f>IF(F4388&gt;0,H4388/F4388,"")</f>
        <v/>
      </c>
      <c r="L4388" s="16">
        <f>IF(AND(G4388&gt;0,H4388&gt;0),G4388/H4388,"")</f>
        <v/>
      </c>
    </row>
    <row r="4389">
      <c r="A4389" s="4" t="inlineStr">
        <is>
          <t>580N</t>
        </is>
      </c>
      <c r="B4389" s="4" t="n">
        <v>5</v>
      </c>
      <c r="C4389" s="4" t="inlineStr">
        <is>
          <t>elk</t>
        </is>
      </c>
      <c r="D4389" s="4" t="n">
        <v>2018</v>
      </c>
      <c r="E4389" s="13" t="inlineStr">
        <is>
          <t>General</t>
        </is>
      </c>
      <c r="F4389" s="5" t="n">
        <v>1252</v>
      </c>
      <c r="G4389" s="5" t="n">
        <v>6653</v>
      </c>
      <c r="H4389" s="5" t="n">
        <v>562</v>
      </c>
      <c r="I4389" s="5" t="n">
        <v>223</v>
      </c>
      <c r="J4389" s="5" t="n">
        <v>311</v>
      </c>
      <c r="K4389" s="10">
        <f>IF(F4389&gt;0,H4389/F4389,"")</f>
        <v/>
      </c>
      <c r="L4389" s="16">
        <f>IF(AND(G4389&gt;0,H4389&gt;0),G4389/H4389,"")</f>
        <v/>
      </c>
    </row>
    <row r="4390">
      <c r="A4390" s="4" t="inlineStr">
        <is>
          <t>580N</t>
        </is>
      </c>
      <c r="B4390" s="4" t="n">
        <v>5</v>
      </c>
      <c r="C4390" s="4" t="inlineStr">
        <is>
          <t>elk</t>
        </is>
      </c>
      <c r="D4390" s="4" t="n">
        <v>2019</v>
      </c>
      <c r="E4390" s="13" t="inlineStr">
        <is>
          <t>General</t>
        </is>
      </c>
      <c r="F4390" s="5" t="n"/>
      <c r="G4390" s="5" t="n"/>
      <c r="H4390" s="5" t="n">
        <v>480</v>
      </c>
      <c r="I4390" s="5" t="n">
        <v>176</v>
      </c>
      <c r="J4390" s="5" t="n">
        <v>289</v>
      </c>
      <c r="K4390" s="10">
        <f>IF(F4390&gt;0,H4390/F4390,"")</f>
        <v/>
      </c>
      <c r="L4390" s="16">
        <f>IF(AND(G4390&gt;0,H4390&gt;0),G4390/H4390,"")</f>
        <v/>
      </c>
    </row>
    <row r="4391">
      <c r="A4391" s="4" t="inlineStr">
        <is>
          <t>580N</t>
        </is>
      </c>
      <c r="B4391" s="4" t="n">
        <v>5</v>
      </c>
      <c r="C4391" s="4" t="inlineStr">
        <is>
          <t>elk</t>
        </is>
      </c>
      <c r="D4391" s="4" t="n">
        <v>2020</v>
      </c>
      <c r="E4391" s="13" t="inlineStr">
        <is>
          <t>General</t>
        </is>
      </c>
      <c r="F4391" s="5" t="n">
        <v>1140</v>
      </c>
      <c r="G4391" s="5" t="n">
        <v>7209</v>
      </c>
      <c r="H4391" s="5" t="n">
        <v>413</v>
      </c>
      <c r="I4391" s="5" t="n">
        <v>195</v>
      </c>
      <c r="J4391" s="5" t="n">
        <v>198</v>
      </c>
      <c r="K4391" s="10">
        <f>IF(F4391&gt;0,H4391/F4391,"")</f>
        <v/>
      </c>
      <c r="L4391" s="16">
        <f>IF(AND(G4391&gt;0,H4391&gt;0),G4391/H4391,"")</f>
        <v/>
      </c>
    </row>
    <row r="4392">
      <c r="A4392" s="4" t="inlineStr">
        <is>
          <t>580N</t>
        </is>
      </c>
      <c r="B4392" s="4" t="n">
        <v>5</v>
      </c>
      <c r="C4392" s="4" t="inlineStr">
        <is>
          <t>elk</t>
        </is>
      </c>
      <c r="D4392" s="4" t="n">
        <v>2021</v>
      </c>
      <c r="E4392" s="13" t="inlineStr">
        <is>
          <t>General</t>
        </is>
      </c>
      <c r="F4392" s="5" t="n"/>
      <c r="G4392" s="5" t="n"/>
      <c r="H4392" s="5" t="n">
        <v>459</v>
      </c>
      <c r="I4392" s="5" t="n">
        <v>192</v>
      </c>
      <c r="J4392" s="5" t="n">
        <v>251</v>
      </c>
      <c r="K4392" s="10">
        <f>IF(F4392&gt;0,H4392/F4392,"")</f>
        <v/>
      </c>
      <c r="L4392" s="16">
        <f>IF(AND(G4392&gt;0,H4392&gt;0),G4392/H4392,"")</f>
        <v/>
      </c>
    </row>
    <row r="4393">
      <c r="A4393" s="4" t="inlineStr">
        <is>
          <t>580N</t>
        </is>
      </c>
      <c r="B4393" s="4" t="n">
        <v>5</v>
      </c>
      <c r="C4393" s="4" t="inlineStr">
        <is>
          <t>elk</t>
        </is>
      </c>
      <c r="D4393" s="4" t="n">
        <v>2022</v>
      </c>
      <c r="E4393" s="13" t="inlineStr">
        <is>
          <t>General</t>
        </is>
      </c>
      <c r="F4393" s="5" t="n">
        <v>1184</v>
      </c>
      <c r="G4393" s="5" t="n">
        <v>6491</v>
      </c>
      <c r="H4393" s="5" t="n">
        <v>508</v>
      </c>
      <c r="I4393" s="5" t="n">
        <v>260</v>
      </c>
      <c r="J4393" s="5" t="n">
        <v>242</v>
      </c>
      <c r="K4393" s="10">
        <f>IF(F4393&gt;0,H4393/F4393,"")</f>
        <v/>
      </c>
      <c r="L4393" s="16">
        <f>IF(AND(G4393&gt;0,H4393&gt;0),G4393/H4393,"")</f>
        <v/>
      </c>
    </row>
    <row r="4394">
      <c r="A4394" s="4" t="inlineStr">
        <is>
          <t>580N</t>
        </is>
      </c>
      <c r="B4394" s="4" t="n">
        <v>5</v>
      </c>
      <c r="C4394" s="4" t="inlineStr">
        <is>
          <t>elk</t>
        </is>
      </c>
      <c r="D4394" s="4" t="n">
        <v>2023</v>
      </c>
      <c r="E4394" s="13" t="inlineStr">
        <is>
          <t>General</t>
        </is>
      </c>
      <c r="F4394" s="5" t="n"/>
      <c r="G4394" s="5" t="n"/>
      <c r="H4394" s="5" t="n">
        <v>544</v>
      </c>
      <c r="I4394" s="5" t="n">
        <v>272</v>
      </c>
      <c r="J4394" s="5" t="n">
        <v>269</v>
      </c>
      <c r="K4394" s="10">
        <f>IF(F4394&gt;0,H4394/F4394,"")</f>
        <v/>
      </c>
      <c r="L4394" s="16">
        <f>IF(AND(G4394&gt;0,H4394&gt;0),G4394/H4394,"")</f>
        <v/>
      </c>
    </row>
    <row r="4395">
      <c r="A4395" s="4" t="inlineStr">
        <is>
          <t>580N</t>
        </is>
      </c>
      <c r="B4395" s="4" t="n">
        <v>5</v>
      </c>
      <c r="C4395" s="4" t="inlineStr">
        <is>
          <t>elk</t>
        </is>
      </c>
      <c r="D4395" s="4" t="n">
        <v>2024</v>
      </c>
      <c r="E4395" s="13" t="inlineStr">
        <is>
          <t>General</t>
        </is>
      </c>
      <c r="F4395" s="5" t="n">
        <v>1353</v>
      </c>
      <c r="G4395" s="5" t="n">
        <v>8706</v>
      </c>
      <c r="H4395" s="5" t="n">
        <v>482</v>
      </c>
      <c r="I4395" s="5" t="n">
        <v>186</v>
      </c>
      <c r="J4395" s="5" t="n">
        <v>285</v>
      </c>
      <c r="K4395" s="10">
        <f>IF(F4395&gt;0,H4395/F4395,"")</f>
        <v/>
      </c>
      <c r="L4395" s="16">
        <f>IF(AND(G4395&gt;0,H4395&gt;0),G4395/H4395,"")</f>
        <v/>
      </c>
    </row>
    <row r="4396">
      <c r="A4396" s="4" t="inlineStr">
        <is>
          <t>580N</t>
        </is>
      </c>
      <c r="B4396" s="4" t="n">
        <v>5</v>
      </c>
      <c r="C4396" s="4" t="inlineStr">
        <is>
          <t>elk</t>
        </is>
      </c>
      <c r="D4396" s="4" t="n">
        <v>2025</v>
      </c>
      <c r="E4396" s="13" t="inlineStr">
        <is>
          <t>General</t>
        </is>
      </c>
      <c r="F4396" s="5" t="n"/>
      <c r="G4396" s="5" t="n"/>
      <c r="H4396" s="5" t="n">
        <v>604</v>
      </c>
      <c r="I4396" s="5" t="n">
        <v>227</v>
      </c>
      <c r="J4396" s="5" t="n">
        <v>363</v>
      </c>
      <c r="K4396" s="10">
        <f>IF(F4396&gt;0,H4396/F4396,"")</f>
        <v/>
      </c>
      <c r="L4396" s="16">
        <f>IF(AND(G4396&gt;0,H4396&gt;0),G4396/H4396,"")</f>
        <v/>
      </c>
    </row>
    <row r="4397">
      <c r="A4397" s="4" t="inlineStr">
        <is>
          <t>580S</t>
        </is>
      </c>
      <c r="B4397" s="4" t="n">
        <v>5</v>
      </c>
      <c r="C4397" s="4" t="inlineStr">
        <is>
          <t>elk</t>
        </is>
      </c>
      <c r="D4397" s="4" t="n">
        <v>2013</v>
      </c>
      <c r="E4397" s="13" t="inlineStr">
        <is>
          <t>General</t>
        </is>
      </c>
      <c r="F4397" s="5" t="n"/>
      <c r="G4397" s="5" t="n"/>
      <c r="H4397" s="5" t="n">
        <v>123</v>
      </c>
      <c r="I4397" s="5" t="n">
        <v>55</v>
      </c>
      <c r="J4397" s="5" t="n">
        <v>66</v>
      </c>
      <c r="K4397" s="10">
        <f>IF(F4397&gt;0,H4397/F4397,"")</f>
        <v/>
      </c>
      <c r="L4397" s="16">
        <f>IF(AND(G4397&gt;0,H4397&gt;0),G4397/H4397,"")</f>
        <v/>
      </c>
    </row>
    <row r="4398">
      <c r="A4398" s="4" t="inlineStr">
        <is>
          <t>580S</t>
        </is>
      </c>
      <c r="B4398" s="4" t="n">
        <v>5</v>
      </c>
      <c r="C4398" s="4" t="inlineStr">
        <is>
          <t>elk</t>
        </is>
      </c>
      <c r="D4398" s="4" t="n">
        <v>2014</v>
      </c>
      <c r="E4398" s="13" t="inlineStr">
        <is>
          <t>General</t>
        </is>
      </c>
      <c r="F4398" s="5" t="n">
        <v>395</v>
      </c>
      <c r="G4398" s="5" t="n">
        <v>2228</v>
      </c>
      <c r="H4398" s="5" t="n">
        <v>138</v>
      </c>
      <c r="I4398" s="5" t="n">
        <v>70</v>
      </c>
      <c r="J4398" s="5" t="n">
        <v>63</v>
      </c>
      <c r="K4398" s="10">
        <f>IF(F4398&gt;0,H4398/F4398,"")</f>
        <v/>
      </c>
      <c r="L4398" s="16">
        <f>IF(AND(G4398&gt;0,H4398&gt;0),G4398/H4398,"")</f>
        <v/>
      </c>
    </row>
    <row r="4399">
      <c r="A4399" s="4" t="inlineStr">
        <is>
          <t>580S</t>
        </is>
      </c>
      <c r="B4399" s="4" t="n">
        <v>5</v>
      </c>
      <c r="C4399" s="4" t="inlineStr">
        <is>
          <t>elk</t>
        </is>
      </c>
      <c r="D4399" s="4" t="n">
        <v>2015</v>
      </c>
      <c r="E4399" s="13" t="inlineStr">
        <is>
          <t>General</t>
        </is>
      </c>
      <c r="F4399" s="5" t="n">
        <v>350</v>
      </c>
      <c r="G4399" s="5" t="n">
        <v>2220</v>
      </c>
      <c r="H4399" s="5" t="n">
        <v>130</v>
      </c>
      <c r="I4399" s="5" t="n">
        <v>51</v>
      </c>
      <c r="J4399" s="5" t="n">
        <v>70</v>
      </c>
      <c r="K4399" s="10">
        <f>IF(F4399&gt;0,H4399/F4399,"")</f>
        <v/>
      </c>
      <c r="L4399" s="16">
        <f>IF(AND(G4399&gt;0,H4399&gt;0),G4399/H4399,"")</f>
        <v/>
      </c>
    </row>
    <row r="4400">
      <c r="A4400" s="4" t="inlineStr">
        <is>
          <t>580S</t>
        </is>
      </c>
      <c r="B4400" s="4" t="n">
        <v>5</v>
      </c>
      <c r="C4400" s="4" t="inlineStr">
        <is>
          <t>elk</t>
        </is>
      </c>
      <c r="D4400" s="4" t="n">
        <v>2016</v>
      </c>
      <c r="E4400" s="13" t="inlineStr">
        <is>
          <t>General</t>
        </is>
      </c>
      <c r="F4400" s="5" t="n">
        <v>456</v>
      </c>
      <c r="G4400" s="5" t="n">
        <v>2785</v>
      </c>
      <c r="H4400" s="5" t="n">
        <v>95</v>
      </c>
      <c r="I4400" s="5" t="n">
        <v>57</v>
      </c>
      <c r="J4400" s="5" t="n">
        <v>35</v>
      </c>
      <c r="K4400" s="10">
        <f>IF(F4400&gt;0,H4400/F4400,"")</f>
        <v/>
      </c>
      <c r="L4400" s="16">
        <f>IF(AND(G4400&gt;0,H4400&gt;0),G4400/H4400,"")</f>
        <v/>
      </c>
    </row>
    <row r="4401">
      <c r="A4401" s="4" t="inlineStr">
        <is>
          <t>580S</t>
        </is>
      </c>
      <c r="B4401" s="4" t="n">
        <v>5</v>
      </c>
      <c r="C4401" s="4" t="inlineStr">
        <is>
          <t>elk</t>
        </is>
      </c>
      <c r="D4401" s="4" t="n">
        <v>2017</v>
      </c>
      <c r="E4401" s="13" t="inlineStr">
        <is>
          <t>General</t>
        </is>
      </c>
      <c r="F4401" s="5" t="n"/>
      <c r="G4401" s="5" t="n"/>
      <c r="H4401" s="5" t="n">
        <v>169</v>
      </c>
      <c r="I4401" s="5" t="n">
        <v>73</v>
      </c>
      <c r="J4401" s="5" t="n">
        <v>96</v>
      </c>
      <c r="K4401" s="10">
        <f>IF(F4401&gt;0,H4401/F4401,"")</f>
        <v/>
      </c>
      <c r="L4401" s="16">
        <f>IF(AND(G4401&gt;0,H4401&gt;0),G4401/H4401,"")</f>
        <v/>
      </c>
    </row>
    <row r="4402">
      <c r="A4402" s="4" t="inlineStr">
        <is>
          <t>580S</t>
        </is>
      </c>
      <c r="B4402" s="4" t="n">
        <v>5</v>
      </c>
      <c r="C4402" s="4" t="inlineStr">
        <is>
          <t>elk</t>
        </is>
      </c>
      <c r="D4402" s="4" t="n">
        <v>2018</v>
      </c>
      <c r="E4402" s="13" t="inlineStr">
        <is>
          <t>General</t>
        </is>
      </c>
      <c r="F4402" s="5" t="n">
        <v>404</v>
      </c>
      <c r="G4402" s="5" t="n">
        <v>2687</v>
      </c>
      <c r="H4402" s="5" t="n">
        <v>161</v>
      </c>
      <c r="I4402" s="5" t="n">
        <v>59</v>
      </c>
      <c r="J4402" s="5" t="n">
        <v>100</v>
      </c>
      <c r="K4402" s="10">
        <f>IF(F4402&gt;0,H4402/F4402,"")</f>
        <v/>
      </c>
      <c r="L4402" s="16">
        <f>IF(AND(G4402&gt;0,H4402&gt;0),G4402/H4402,"")</f>
        <v/>
      </c>
    </row>
    <row r="4403">
      <c r="A4403" s="4" t="inlineStr">
        <is>
          <t>580S</t>
        </is>
      </c>
      <c r="B4403" s="4" t="n">
        <v>5</v>
      </c>
      <c r="C4403" s="4" t="inlineStr">
        <is>
          <t>elk</t>
        </is>
      </c>
      <c r="D4403" s="4" t="n">
        <v>2019</v>
      </c>
      <c r="E4403" s="13" t="inlineStr">
        <is>
          <t>General</t>
        </is>
      </c>
      <c r="F4403" s="5" t="n"/>
      <c r="G4403" s="5" t="n"/>
      <c r="H4403" s="5" t="n">
        <v>137</v>
      </c>
      <c r="I4403" s="5" t="n">
        <v>59</v>
      </c>
      <c r="J4403" s="5" t="n">
        <v>75</v>
      </c>
      <c r="K4403" s="10">
        <f>IF(F4403&gt;0,H4403/F4403,"")</f>
        <v/>
      </c>
      <c r="L4403" s="16">
        <f>IF(AND(G4403&gt;0,H4403&gt;0),G4403/H4403,"")</f>
        <v/>
      </c>
    </row>
    <row r="4404">
      <c r="A4404" s="4" t="inlineStr">
        <is>
          <t>580S</t>
        </is>
      </c>
      <c r="B4404" s="4" t="n">
        <v>5</v>
      </c>
      <c r="C4404" s="4" t="inlineStr">
        <is>
          <t>elk</t>
        </is>
      </c>
      <c r="D4404" s="4" t="n">
        <v>2020</v>
      </c>
      <c r="E4404" s="13" t="inlineStr">
        <is>
          <t>General</t>
        </is>
      </c>
      <c r="F4404" s="5" t="n">
        <v>382</v>
      </c>
      <c r="G4404" s="5" t="n">
        <v>2753</v>
      </c>
      <c r="H4404" s="5" t="n">
        <v>144</v>
      </c>
      <c r="I4404" s="5" t="n">
        <v>40</v>
      </c>
      <c r="J4404" s="5" t="n">
        <v>101</v>
      </c>
      <c r="K4404" s="10">
        <f>IF(F4404&gt;0,H4404/F4404,"")</f>
        <v/>
      </c>
      <c r="L4404" s="16">
        <f>IF(AND(G4404&gt;0,H4404&gt;0),G4404/H4404,"")</f>
        <v/>
      </c>
    </row>
    <row r="4405">
      <c r="A4405" s="4" t="inlineStr">
        <is>
          <t>580S</t>
        </is>
      </c>
      <c r="B4405" s="4" t="n">
        <v>5</v>
      </c>
      <c r="C4405" s="4" t="inlineStr">
        <is>
          <t>elk</t>
        </is>
      </c>
      <c r="D4405" s="4" t="n">
        <v>2021</v>
      </c>
      <c r="E4405" s="13" t="inlineStr">
        <is>
          <t>General</t>
        </is>
      </c>
      <c r="F4405" s="5" t="n"/>
      <c r="G4405" s="5" t="n"/>
      <c r="H4405" s="5" t="n">
        <v>145</v>
      </c>
      <c r="I4405" s="5" t="n">
        <v>49</v>
      </c>
      <c r="J4405" s="5" t="n">
        <v>92</v>
      </c>
      <c r="K4405" s="10">
        <f>IF(F4405&gt;0,H4405/F4405,"")</f>
        <v/>
      </c>
      <c r="L4405" s="16">
        <f>IF(AND(G4405&gt;0,H4405&gt;0),G4405/H4405,"")</f>
        <v/>
      </c>
    </row>
    <row r="4406">
      <c r="A4406" s="4" t="inlineStr">
        <is>
          <t>580S</t>
        </is>
      </c>
      <c r="B4406" s="4" t="n">
        <v>5</v>
      </c>
      <c r="C4406" s="4" t="inlineStr">
        <is>
          <t>elk</t>
        </is>
      </c>
      <c r="D4406" s="4" t="n">
        <v>2022</v>
      </c>
      <c r="E4406" s="13" t="inlineStr">
        <is>
          <t>General</t>
        </is>
      </c>
      <c r="F4406" s="5" t="n">
        <v>456</v>
      </c>
      <c r="G4406" s="5" t="n">
        <v>2876</v>
      </c>
      <c r="H4406" s="5" t="n">
        <v>169</v>
      </c>
      <c r="I4406" s="5" t="n">
        <v>97</v>
      </c>
      <c r="J4406" s="5" t="n">
        <v>72</v>
      </c>
      <c r="K4406" s="10">
        <f>IF(F4406&gt;0,H4406/F4406,"")</f>
        <v/>
      </c>
      <c r="L4406" s="16">
        <f>IF(AND(G4406&gt;0,H4406&gt;0),G4406/H4406,"")</f>
        <v/>
      </c>
    </row>
    <row r="4407">
      <c r="A4407" s="4" t="inlineStr">
        <is>
          <t>580S</t>
        </is>
      </c>
      <c r="B4407" s="4" t="n">
        <v>5</v>
      </c>
      <c r="C4407" s="4" t="inlineStr">
        <is>
          <t>elk</t>
        </is>
      </c>
      <c r="D4407" s="4" t="n">
        <v>2023</v>
      </c>
      <c r="E4407" s="13" t="inlineStr">
        <is>
          <t>General</t>
        </is>
      </c>
      <c r="F4407" s="5" t="n"/>
      <c r="G4407" s="5" t="n"/>
      <c r="H4407" s="5" t="n">
        <v>266</v>
      </c>
      <c r="I4407" s="5" t="n">
        <v>123</v>
      </c>
      <c r="J4407" s="5" t="n">
        <v>143</v>
      </c>
      <c r="K4407" s="10">
        <f>IF(F4407&gt;0,H4407/F4407,"")</f>
        <v/>
      </c>
      <c r="L4407" s="16">
        <f>IF(AND(G4407&gt;0,H4407&gt;0),G4407/H4407,"")</f>
        <v/>
      </c>
    </row>
    <row r="4408">
      <c r="A4408" s="4" t="inlineStr">
        <is>
          <t>580S</t>
        </is>
      </c>
      <c r="B4408" s="4" t="n">
        <v>5</v>
      </c>
      <c r="C4408" s="4" t="inlineStr">
        <is>
          <t>elk</t>
        </is>
      </c>
      <c r="D4408" s="4" t="n">
        <v>2024</v>
      </c>
      <c r="E4408" s="13" t="inlineStr">
        <is>
          <t>General</t>
        </is>
      </c>
      <c r="F4408" s="5" t="n">
        <v>477</v>
      </c>
      <c r="G4408" s="5" t="n">
        <v>3497</v>
      </c>
      <c r="H4408" s="5" t="n">
        <v>198</v>
      </c>
      <c r="I4408" s="5" t="n">
        <v>80</v>
      </c>
      <c r="J4408" s="5" t="n">
        <v>116</v>
      </c>
      <c r="K4408" s="10">
        <f>IF(F4408&gt;0,H4408/F4408,"")</f>
        <v/>
      </c>
      <c r="L4408" s="16">
        <f>IF(AND(G4408&gt;0,H4408&gt;0),G4408/H4408,"")</f>
        <v/>
      </c>
    </row>
    <row r="4409">
      <c r="A4409" s="4" t="inlineStr">
        <is>
          <t>580S</t>
        </is>
      </c>
      <c r="B4409" s="4" t="n">
        <v>5</v>
      </c>
      <c r="C4409" s="4" t="inlineStr">
        <is>
          <t>elk</t>
        </is>
      </c>
      <c r="D4409" s="4" t="n">
        <v>2025</v>
      </c>
      <c r="E4409" s="13" t="inlineStr">
        <is>
          <t>General</t>
        </is>
      </c>
      <c r="F4409" s="5" t="n"/>
      <c r="G4409" s="5" t="n"/>
      <c r="H4409" s="5" t="n">
        <v>198</v>
      </c>
      <c r="I4409" s="5" t="n">
        <v>103</v>
      </c>
      <c r="J4409" s="5" t="n">
        <v>95</v>
      </c>
      <c r="K4409" s="10">
        <f>IF(F4409&gt;0,H4409/F4409,"")</f>
        <v/>
      </c>
      <c r="L4409" s="16">
        <f>IF(AND(G4409&gt;0,H4409&gt;0),G4409/H4409,"")</f>
        <v/>
      </c>
    </row>
    <row r="4410">
      <c r="A4410" s="4" t="inlineStr">
        <is>
          <t>590</t>
        </is>
      </c>
      <c r="B4410" s="4" t="n">
        <v>5</v>
      </c>
      <c r="C4410" s="4" t="inlineStr">
        <is>
          <t>elk</t>
        </is>
      </c>
      <c r="D4410" s="4" t="n">
        <v>2004</v>
      </c>
      <c r="E4410" s="13" t="inlineStr">
        <is>
          <t>General</t>
        </is>
      </c>
      <c r="F4410" s="5" t="n">
        <v>1354</v>
      </c>
      <c r="G4410" s="5" t="n">
        <v>7717</v>
      </c>
      <c r="H4410" s="5" t="n">
        <v>357</v>
      </c>
      <c r="I4410" s="5" t="n">
        <v>120</v>
      </c>
      <c r="J4410" s="5" t="n">
        <v>215</v>
      </c>
      <c r="K4410" s="10">
        <f>IF(F4410&gt;0,H4410/F4410,"")</f>
        <v/>
      </c>
      <c r="L4410" s="16">
        <f>IF(AND(G4410&gt;0,H4410&gt;0),G4410/H4410,"")</f>
        <v/>
      </c>
    </row>
    <row r="4411">
      <c r="A4411" s="4" t="inlineStr">
        <is>
          <t>590</t>
        </is>
      </c>
      <c r="B4411" s="4" t="n">
        <v>5</v>
      </c>
      <c r="C4411" s="4" t="inlineStr">
        <is>
          <t>elk</t>
        </is>
      </c>
      <c r="D4411" s="4" t="n">
        <v>2005</v>
      </c>
      <c r="E4411" s="13" t="inlineStr">
        <is>
          <t>General</t>
        </is>
      </c>
      <c r="F4411" s="5" t="n">
        <v>1273</v>
      </c>
      <c r="G4411" s="5" t="n">
        <v>8394</v>
      </c>
      <c r="H4411" s="5" t="n">
        <v>318</v>
      </c>
      <c r="I4411" s="5" t="n">
        <v>142</v>
      </c>
      <c r="J4411" s="5" t="n">
        <v>170</v>
      </c>
      <c r="K4411" s="10">
        <f>IF(F4411&gt;0,H4411/F4411,"")</f>
        <v/>
      </c>
      <c r="L4411" s="16">
        <f>IF(AND(G4411&gt;0,H4411&gt;0),G4411/H4411,"")</f>
        <v/>
      </c>
    </row>
    <row r="4412">
      <c r="A4412" s="4" t="inlineStr">
        <is>
          <t>590</t>
        </is>
      </c>
      <c r="B4412" s="4" t="n">
        <v>5</v>
      </c>
      <c r="C4412" s="4" t="inlineStr">
        <is>
          <t>elk</t>
        </is>
      </c>
      <c r="D4412" s="4" t="n">
        <v>2006</v>
      </c>
      <c r="E4412" s="13" t="inlineStr">
        <is>
          <t>General</t>
        </is>
      </c>
      <c r="F4412" s="5" t="n">
        <v>1304</v>
      </c>
      <c r="G4412" s="5" t="n">
        <v>7999</v>
      </c>
      <c r="H4412" s="5" t="n">
        <v>416</v>
      </c>
      <c r="I4412" s="5" t="n">
        <v>198</v>
      </c>
      <c r="J4412" s="5" t="n">
        <v>202</v>
      </c>
      <c r="K4412" s="10">
        <f>IF(F4412&gt;0,H4412/F4412,"")</f>
        <v/>
      </c>
      <c r="L4412" s="16">
        <f>IF(AND(G4412&gt;0,H4412&gt;0),G4412/H4412,"")</f>
        <v/>
      </c>
    </row>
    <row r="4413">
      <c r="A4413" s="4" t="inlineStr">
        <is>
          <t>590</t>
        </is>
      </c>
      <c r="B4413" s="4" t="n">
        <v>5</v>
      </c>
      <c r="C4413" s="4" t="inlineStr">
        <is>
          <t>elk</t>
        </is>
      </c>
      <c r="D4413" s="4" t="n">
        <v>2007</v>
      </c>
      <c r="E4413" s="13" t="inlineStr">
        <is>
          <t>General</t>
        </is>
      </c>
      <c r="F4413" s="5" t="n">
        <v>1374</v>
      </c>
      <c r="G4413" s="5" t="n">
        <v>8981</v>
      </c>
      <c r="H4413" s="5" t="n">
        <v>326</v>
      </c>
      <c r="I4413" s="5" t="n">
        <v>158</v>
      </c>
      <c r="J4413" s="5" t="n">
        <v>153</v>
      </c>
      <c r="K4413" s="10">
        <f>IF(F4413&gt;0,H4413/F4413,"")</f>
        <v/>
      </c>
      <c r="L4413" s="16">
        <f>IF(AND(G4413&gt;0,H4413&gt;0),G4413/H4413,"")</f>
        <v/>
      </c>
    </row>
    <row r="4414">
      <c r="A4414" s="4" t="inlineStr">
        <is>
          <t>590</t>
        </is>
      </c>
      <c r="B4414" s="4" t="n">
        <v>5</v>
      </c>
      <c r="C4414" s="4" t="inlineStr">
        <is>
          <t>elk</t>
        </is>
      </c>
      <c r="D4414" s="4" t="n">
        <v>2008</v>
      </c>
      <c r="E4414" s="13" t="inlineStr">
        <is>
          <t>General</t>
        </is>
      </c>
      <c r="F4414" s="5" t="n">
        <v>1472</v>
      </c>
      <c r="G4414" s="5" t="n">
        <v>10756</v>
      </c>
      <c r="H4414" s="5" t="n">
        <v>296</v>
      </c>
      <c r="I4414" s="5" t="n">
        <v>163</v>
      </c>
      <c r="J4414" s="5" t="n">
        <v>118</v>
      </c>
      <c r="K4414" s="10">
        <f>IF(F4414&gt;0,H4414/F4414,"")</f>
        <v/>
      </c>
      <c r="L4414" s="16">
        <f>IF(AND(G4414&gt;0,H4414&gt;0),G4414/H4414,"")</f>
        <v/>
      </c>
    </row>
    <row r="4415">
      <c r="A4415" s="4" t="inlineStr">
        <is>
          <t>590</t>
        </is>
      </c>
      <c r="B4415" s="4" t="n">
        <v>5</v>
      </c>
      <c r="C4415" s="4" t="inlineStr">
        <is>
          <t>elk</t>
        </is>
      </c>
      <c r="D4415" s="4" t="n">
        <v>2009</v>
      </c>
      <c r="E4415" s="13" t="inlineStr">
        <is>
          <t>General</t>
        </is>
      </c>
      <c r="F4415" s="5" t="n">
        <v>1623</v>
      </c>
      <c r="G4415" s="5" t="n">
        <v>11505</v>
      </c>
      <c r="H4415" s="5" t="n">
        <v>345</v>
      </c>
      <c r="I4415" s="5" t="n">
        <v>168</v>
      </c>
      <c r="J4415" s="5" t="n">
        <v>158</v>
      </c>
      <c r="K4415" s="10">
        <f>IF(F4415&gt;0,H4415/F4415,"")</f>
        <v/>
      </c>
      <c r="L4415" s="16">
        <f>IF(AND(G4415&gt;0,H4415&gt;0),G4415/H4415,"")</f>
        <v/>
      </c>
    </row>
    <row r="4416">
      <c r="A4416" s="4" t="inlineStr">
        <is>
          <t>590</t>
        </is>
      </c>
      <c r="B4416" s="4" t="n">
        <v>5</v>
      </c>
      <c r="C4416" s="4" t="inlineStr">
        <is>
          <t>elk</t>
        </is>
      </c>
      <c r="D4416" s="4" t="n">
        <v>2010</v>
      </c>
      <c r="E4416" s="13" t="inlineStr">
        <is>
          <t>General</t>
        </is>
      </c>
      <c r="F4416" s="5" t="n">
        <v>1414</v>
      </c>
      <c r="G4416" s="5" t="n">
        <v>9516</v>
      </c>
      <c r="H4416" s="5" t="n">
        <v>365</v>
      </c>
      <c r="I4416" s="5" t="n">
        <v>178</v>
      </c>
      <c r="J4416" s="5" t="n">
        <v>175</v>
      </c>
      <c r="K4416" s="10">
        <f>IF(F4416&gt;0,H4416/F4416,"")</f>
        <v/>
      </c>
      <c r="L4416" s="16">
        <f>IF(AND(G4416&gt;0,H4416&gt;0),G4416/H4416,"")</f>
        <v/>
      </c>
    </row>
    <row r="4417">
      <c r="A4417" s="4" t="inlineStr">
        <is>
          <t>590</t>
        </is>
      </c>
      <c r="B4417" s="4" t="n">
        <v>5</v>
      </c>
      <c r="C4417" s="4" t="inlineStr">
        <is>
          <t>elk</t>
        </is>
      </c>
      <c r="D4417" s="4" t="n">
        <v>2011</v>
      </c>
      <c r="E4417" s="13" t="inlineStr">
        <is>
          <t>General</t>
        </is>
      </c>
      <c r="F4417" s="5" t="n">
        <v>1625</v>
      </c>
      <c r="G4417" s="5" t="n">
        <v>10762</v>
      </c>
      <c r="H4417" s="5" t="n">
        <v>417</v>
      </c>
      <c r="I4417" s="5" t="n">
        <v>178</v>
      </c>
      <c r="J4417" s="5" t="n">
        <v>207</v>
      </c>
      <c r="K4417" s="10">
        <f>IF(F4417&gt;0,H4417/F4417,"")</f>
        <v/>
      </c>
      <c r="L4417" s="16">
        <f>IF(AND(G4417&gt;0,H4417&gt;0),G4417/H4417,"")</f>
        <v/>
      </c>
    </row>
    <row r="4418">
      <c r="A4418" s="4" t="inlineStr">
        <is>
          <t>590</t>
        </is>
      </c>
      <c r="B4418" s="4" t="n">
        <v>5</v>
      </c>
      <c r="C4418" s="4" t="inlineStr">
        <is>
          <t>elk</t>
        </is>
      </c>
      <c r="D4418" s="4" t="n">
        <v>2012</v>
      </c>
      <c r="E4418" s="13" t="inlineStr">
        <is>
          <t>General</t>
        </is>
      </c>
      <c r="F4418" s="5" t="n">
        <v>1795</v>
      </c>
      <c r="G4418" s="5" t="n">
        <v>12043</v>
      </c>
      <c r="H4418" s="5" t="n">
        <v>497</v>
      </c>
      <c r="I4418" s="5" t="n">
        <v>169</v>
      </c>
      <c r="J4418" s="5" t="n">
        <v>314</v>
      </c>
      <c r="K4418" s="10">
        <f>IF(F4418&gt;0,H4418/F4418,"")</f>
        <v/>
      </c>
      <c r="L4418" s="16">
        <f>IF(AND(G4418&gt;0,H4418&gt;0),G4418/H4418,"")</f>
        <v/>
      </c>
    </row>
    <row r="4419">
      <c r="A4419" s="4" t="inlineStr">
        <is>
          <t>590</t>
        </is>
      </c>
      <c r="B4419" s="4" t="n">
        <v>5</v>
      </c>
      <c r="C4419" s="4" t="inlineStr">
        <is>
          <t>elk</t>
        </is>
      </c>
      <c r="D4419" s="4" t="n">
        <v>2013</v>
      </c>
      <c r="E4419" s="13" t="inlineStr">
        <is>
          <t>General</t>
        </is>
      </c>
      <c r="F4419" s="5" t="n"/>
      <c r="G4419" s="5" t="n"/>
      <c r="H4419" s="5" t="n">
        <v>333</v>
      </c>
      <c r="I4419" s="5" t="n">
        <v>173</v>
      </c>
      <c r="J4419" s="5" t="n">
        <v>150</v>
      </c>
      <c r="K4419" s="10">
        <f>IF(F4419&gt;0,H4419/F4419,"")</f>
        <v/>
      </c>
      <c r="L4419" s="16">
        <f>IF(AND(G4419&gt;0,H4419&gt;0),G4419/H4419,"")</f>
        <v/>
      </c>
    </row>
    <row r="4420">
      <c r="A4420" s="4" t="inlineStr">
        <is>
          <t>590</t>
        </is>
      </c>
      <c r="B4420" s="4" t="n">
        <v>5</v>
      </c>
      <c r="C4420" s="4" t="inlineStr">
        <is>
          <t>elk</t>
        </is>
      </c>
      <c r="D4420" s="4" t="n">
        <v>2014</v>
      </c>
      <c r="E4420" s="13" t="inlineStr">
        <is>
          <t>General</t>
        </is>
      </c>
      <c r="F4420" s="5" t="n">
        <v>1780</v>
      </c>
      <c r="G4420" s="5" t="n">
        <v>11789</v>
      </c>
      <c r="H4420" s="5" t="n">
        <v>394</v>
      </c>
      <c r="I4420" s="5" t="n">
        <v>220</v>
      </c>
      <c r="J4420" s="5" t="n">
        <v>163</v>
      </c>
      <c r="K4420" s="10">
        <f>IF(F4420&gt;0,H4420/F4420,"")</f>
        <v/>
      </c>
      <c r="L4420" s="16">
        <f>IF(AND(G4420&gt;0,H4420&gt;0),G4420/H4420,"")</f>
        <v/>
      </c>
    </row>
    <row r="4421">
      <c r="A4421" s="4" t="inlineStr">
        <is>
          <t>590</t>
        </is>
      </c>
      <c r="B4421" s="4" t="n">
        <v>5</v>
      </c>
      <c r="C4421" s="4" t="inlineStr">
        <is>
          <t>elk</t>
        </is>
      </c>
      <c r="D4421" s="4" t="n">
        <v>2015</v>
      </c>
      <c r="E4421" s="13" t="inlineStr">
        <is>
          <t>General</t>
        </is>
      </c>
      <c r="F4421" s="5" t="n">
        <v>1943</v>
      </c>
      <c r="G4421" s="5" t="n">
        <v>14901</v>
      </c>
      <c r="H4421" s="5" t="n">
        <v>513</v>
      </c>
      <c r="I4421" s="5" t="n">
        <v>214</v>
      </c>
      <c r="J4421" s="5" t="n">
        <v>265</v>
      </c>
      <c r="K4421" s="10">
        <f>IF(F4421&gt;0,H4421/F4421,"")</f>
        <v/>
      </c>
      <c r="L4421" s="16">
        <f>IF(AND(G4421&gt;0,H4421&gt;0),G4421/H4421,"")</f>
        <v/>
      </c>
    </row>
    <row r="4422">
      <c r="A4422" s="4" t="inlineStr">
        <is>
          <t>590</t>
        </is>
      </c>
      <c r="B4422" s="4" t="n">
        <v>5</v>
      </c>
      <c r="C4422" s="4" t="inlineStr">
        <is>
          <t>elk</t>
        </is>
      </c>
      <c r="D4422" s="4" t="n">
        <v>2017</v>
      </c>
      <c r="E4422" s="13" t="inlineStr">
        <is>
          <t>General</t>
        </is>
      </c>
      <c r="F4422" s="5" t="n"/>
      <c r="G4422" s="5" t="n"/>
      <c r="H4422" s="5" t="n">
        <v>660</v>
      </c>
      <c r="I4422" s="5" t="n">
        <v>252</v>
      </c>
      <c r="J4422" s="5" t="n">
        <v>389</v>
      </c>
      <c r="K4422" s="10">
        <f>IF(F4422&gt;0,H4422/F4422,"")</f>
        <v/>
      </c>
      <c r="L4422" s="16">
        <f>IF(AND(G4422&gt;0,H4422&gt;0),G4422/H4422,"")</f>
        <v/>
      </c>
    </row>
    <row r="4423">
      <c r="A4423" s="4" t="inlineStr">
        <is>
          <t>590</t>
        </is>
      </c>
      <c r="B4423" s="4" t="n">
        <v>5</v>
      </c>
      <c r="C4423" s="4" t="inlineStr">
        <is>
          <t>elk</t>
        </is>
      </c>
      <c r="D4423" s="4" t="n">
        <v>2022</v>
      </c>
      <c r="E4423" s="13" t="inlineStr">
        <is>
          <t>General</t>
        </is>
      </c>
      <c r="F4423" s="5" t="n">
        <v>2283</v>
      </c>
      <c r="G4423" s="5" t="n">
        <v>16649</v>
      </c>
      <c r="H4423" s="5" t="n">
        <v>712</v>
      </c>
      <c r="I4423" s="5" t="n">
        <v>323</v>
      </c>
      <c r="J4423" s="5" t="n">
        <v>360</v>
      </c>
      <c r="K4423" s="10">
        <f>IF(F4423&gt;0,H4423/F4423,"")</f>
        <v/>
      </c>
      <c r="L4423" s="16">
        <f>IF(AND(G4423&gt;0,H4423&gt;0),G4423/H4423,"")</f>
        <v/>
      </c>
    </row>
    <row r="4424">
      <c r="A4424" s="4" t="inlineStr">
        <is>
          <t>590</t>
        </is>
      </c>
      <c r="B4424" s="4" t="n">
        <v>5</v>
      </c>
      <c r="C4424" s="4" t="inlineStr">
        <is>
          <t>elk</t>
        </is>
      </c>
      <c r="D4424" s="4" t="n">
        <v>2023</v>
      </c>
      <c r="E4424" s="13" t="inlineStr">
        <is>
          <t>General</t>
        </is>
      </c>
      <c r="F4424" s="5" t="n"/>
      <c r="G4424" s="5" t="n"/>
      <c r="H4424" s="5" t="n">
        <v>651</v>
      </c>
      <c r="I4424" s="5" t="n">
        <v>300</v>
      </c>
      <c r="J4424" s="5" t="n">
        <v>345</v>
      </c>
      <c r="K4424" s="10">
        <f>IF(F4424&gt;0,H4424/F4424,"")</f>
        <v/>
      </c>
      <c r="L4424" s="16">
        <f>IF(AND(G4424&gt;0,H4424&gt;0),G4424/H4424,"")</f>
        <v/>
      </c>
    </row>
    <row r="4425">
      <c r="A4425" s="4" t="inlineStr">
        <is>
          <t>590</t>
        </is>
      </c>
      <c r="B4425" s="4" t="n">
        <v>5</v>
      </c>
      <c r="C4425" s="4" t="inlineStr">
        <is>
          <t>elk</t>
        </is>
      </c>
      <c r="D4425" s="4" t="n">
        <v>2024</v>
      </c>
      <c r="E4425" s="13" t="inlineStr">
        <is>
          <t>General</t>
        </is>
      </c>
      <c r="F4425" s="5" t="n">
        <v>2494</v>
      </c>
      <c r="G4425" s="5" t="n">
        <v>18625</v>
      </c>
      <c r="H4425" s="5" t="n">
        <v>750</v>
      </c>
      <c r="I4425" s="5" t="n">
        <v>310</v>
      </c>
      <c r="J4425" s="5" t="n">
        <v>435</v>
      </c>
      <c r="K4425" s="10">
        <f>IF(F4425&gt;0,H4425/F4425,"")</f>
        <v/>
      </c>
      <c r="L4425" s="16">
        <f>IF(AND(G4425&gt;0,H4425&gt;0),G4425/H4425,"")</f>
        <v/>
      </c>
    </row>
    <row r="4426">
      <c r="A4426" s="4" t="inlineStr">
        <is>
          <t>590</t>
        </is>
      </c>
      <c r="B4426" s="4" t="n">
        <v>5</v>
      </c>
      <c r="C4426" s="4" t="inlineStr">
        <is>
          <t>elk</t>
        </is>
      </c>
      <c r="D4426" s="4" t="n">
        <v>2025</v>
      </c>
      <c r="E4426" s="13" t="inlineStr">
        <is>
          <t>General</t>
        </is>
      </c>
      <c r="F4426" s="5" t="n"/>
      <c r="G4426" s="5" t="n"/>
      <c r="H4426" s="5" t="n">
        <v>766</v>
      </c>
      <c r="I4426" s="5" t="n">
        <v>382</v>
      </c>
      <c r="J4426" s="5" t="n">
        <v>376</v>
      </c>
      <c r="K4426" s="10">
        <f>IF(F4426&gt;0,H4426/F4426,"")</f>
        <v/>
      </c>
      <c r="L4426" s="16">
        <f>IF(AND(G4426&gt;0,H4426&gt;0),G4426/H4426,"")</f>
        <v/>
      </c>
    </row>
    <row r="4427">
      <c r="A4427" s="4" t="inlineStr">
        <is>
          <t>590N</t>
        </is>
      </c>
      <c r="B4427" s="4" t="n">
        <v>5</v>
      </c>
      <c r="C4427" s="4" t="inlineStr">
        <is>
          <t>elk</t>
        </is>
      </c>
      <c r="D4427" s="4" t="n">
        <v>2016</v>
      </c>
      <c r="E4427" s="13" t="inlineStr">
        <is>
          <t>General</t>
        </is>
      </c>
      <c r="F4427" s="5" t="n">
        <v>1231</v>
      </c>
      <c r="G4427" s="5" t="n">
        <v>9145</v>
      </c>
      <c r="H4427" s="5" t="n">
        <v>304</v>
      </c>
      <c r="I4427" s="5" t="n">
        <v>161</v>
      </c>
      <c r="J4427" s="5" t="n">
        <v>136</v>
      </c>
      <c r="K4427" s="10">
        <f>IF(F4427&gt;0,H4427/F4427,"")</f>
        <v/>
      </c>
      <c r="L4427" s="16">
        <f>IF(AND(G4427&gt;0,H4427&gt;0),G4427/H4427,"")</f>
        <v/>
      </c>
    </row>
    <row r="4428">
      <c r="A4428" s="4" t="inlineStr">
        <is>
          <t>590N</t>
        </is>
      </c>
      <c r="B4428" s="4" t="n">
        <v>5</v>
      </c>
      <c r="C4428" s="4" t="inlineStr">
        <is>
          <t>elk</t>
        </is>
      </c>
      <c r="D4428" s="4" t="n">
        <v>2018</v>
      </c>
      <c r="E4428" s="13" t="inlineStr">
        <is>
          <t>General</t>
        </is>
      </c>
      <c r="F4428" s="5" t="n">
        <v>1825</v>
      </c>
      <c r="G4428" s="5" t="n">
        <v>14589</v>
      </c>
      <c r="H4428" s="5" t="n">
        <v>484</v>
      </c>
      <c r="I4428" s="5" t="n">
        <v>208</v>
      </c>
      <c r="J4428" s="5" t="n">
        <v>253</v>
      </c>
      <c r="K4428" s="10">
        <f>IF(F4428&gt;0,H4428/F4428,"")</f>
        <v/>
      </c>
      <c r="L4428" s="16">
        <f>IF(AND(G4428&gt;0,H4428&gt;0),G4428/H4428,"")</f>
        <v/>
      </c>
    </row>
    <row r="4429">
      <c r="A4429" s="4" t="inlineStr">
        <is>
          <t>590N</t>
        </is>
      </c>
      <c r="B4429" s="4" t="n">
        <v>5</v>
      </c>
      <c r="C4429" s="4" t="inlineStr">
        <is>
          <t>elk</t>
        </is>
      </c>
      <c r="D4429" s="4" t="n">
        <v>2019</v>
      </c>
      <c r="E4429" s="13" t="inlineStr">
        <is>
          <t>General</t>
        </is>
      </c>
      <c r="F4429" s="5" t="n"/>
      <c r="G4429" s="5" t="n"/>
      <c r="H4429" s="5" t="n">
        <v>550</v>
      </c>
      <c r="I4429" s="5" t="n">
        <v>207</v>
      </c>
      <c r="J4429" s="5" t="n">
        <v>309</v>
      </c>
      <c r="K4429" s="10">
        <f>IF(F4429&gt;0,H4429/F4429,"")</f>
        <v/>
      </c>
      <c r="L4429" s="16">
        <f>IF(AND(G4429&gt;0,H4429&gt;0),G4429/H4429,"")</f>
        <v/>
      </c>
    </row>
    <row r="4430">
      <c r="A4430" s="4" t="inlineStr">
        <is>
          <t>590N</t>
        </is>
      </c>
      <c r="B4430" s="4" t="n">
        <v>5</v>
      </c>
      <c r="C4430" s="4" t="inlineStr">
        <is>
          <t>elk</t>
        </is>
      </c>
      <c r="D4430" s="4" t="n">
        <v>2020</v>
      </c>
      <c r="E4430" s="13" t="inlineStr">
        <is>
          <t>General</t>
        </is>
      </c>
      <c r="F4430" s="5" t="n">
        <v>1891</v>
      </c>
      <c r="G4430" s="5" t="n">
        <v>14129</v>
      </c>
      <c r="H4430" s="5" t="n">
        <v>642</v>
      </c>
      <c r="I4430" s="5" t="n">
        <v>226</v>
      </c>
      <c r="J4430" s="5" t="n">
        <v>401</v>
      </c>
      <c r="K4430" s="10">
        <f>IF(F4430&gt;0,H4430/F4430,"")</f>
        <v/>
      </c>
      <c r="L4430" s="16">
        <f>IF(AND(G4430&gt;0,H4430&gt;0),G4430/H4430,"")</f>
        <v/>
      </c>
    </row>
    <row r="4431">
      <c r="A4431" s="4" t="inlineStr">
        <is>
          <t>590N</t>
        </is>
      </c>
      <c r="B4431" s="4" t="n">
        <v>5</v>
      </c>
      <c r="C4431" s="4" t="inlineStr">
        <is>
          <t>elk</t>
        </is>
      </c>
      <c r="D4431" s="4" t="n">
        <v>2021</v>
      </c>
      <c r="E4431" s="13" t="inlineStr">
        <is>
          <t>General</t>
        </is>
      </c>
      <c r="F4431" s="5" t="n"/>
      <c r="G4431" s="5" t="n"/>
      <c r="H4431" s="5" t="n">
        <v>420</v>
      </c>
      <c r="I4431" s="5" t="n">
        <v>170</v>
      </c>
      <c r="J4431" s="5" t="n">
        <v>239</v>
      </c>
      <c r="K4431" s="10">
        <f>IF(F4431&gt;0,H4431/F4431,"")</f>
        <v/>
      </c>
      <c r="L4431" s="16">
        <f>IF(AND(G4431&gt;0,H4431&gt;0),G4431/H4431,"")</f>
        <v/>
      </c>
    </row>
    <row r="4432">
      <c r="A4432" s="4" t="inlineStr">
        <is>
          <t>590S</t>
        </is>
      </c>
      <c r="B4432" s="4" t="n">
        <v>5</v>
      </c>
      <c r="C4432" s="4" t="inlineStr">
        <is>
          <t>elk</t>
        </is>
      </c>
      <c r="D4432" s="4" t="n">
        <v>2016</v>
      </c>
      <c r="E4432" s="13" t="inlineStr">
        <is>
          <t>General</t>
        </is>
      </c>
      <c r="F4432" s="5" t="n">
        <v>305</v>
      </c>
      <c r="G4432" s="5" t="n">
        <v>1947</v>
      </c>
      <c r="H4432" s="5" t="n">
        <v>58</v>
      </c>
      <c r="I4432" s="5" t="n">
        <v>35</v>
      </c>
      <c r="J4432" s="5" t="n">
        <v>20</v>
      </c>
      <c r="K4432" s="10">
        <f>IF(F4432&gt;0,H4432/F4432,"")</f>
        <v/>
      </c>
      <c r="L4432" s="16">
        <f>IF(AND(G4432&gt;0,H4432&gt;0),G4432/H4432,"")</f>
        <v/>
      </c>
    </row>
    <row r="4433">
      <c r="A4433" s="4" t="inlineStr">
        <is>
          <t>590S</t>
        </is>
      </c>
      <c r="B4433" s="4" t="n">
        <v>5</v>
      </c>
      <c r="C4433" s="4" t="inlineStr">
        <is>
          <t>elk</t>
        </is>
      </c>
      <c r="D4433" s="4" t="n">
        <v>2018</v>
      </c>
      <c r="E4433" s="13" t="inlineStr">
        <is>
          <t>General</t>
        </is>
      </c>
      <c r="F4433" s="5" t="n">
        <v>457</v>
      </c>
      <c r="G4433" s="5" t="n">
        <v>2885</v>
      </c>
      <c r="H4433" s="5" t="n">
        <v>98</v>
      </c>
      <c r="I4433" s="5" t="n">
        <v>40</v>
      </c>
      <c r="J4433" s="5" t="n">
        <v>57</v>
      </c>
      <c r="K4433" s="10">
        <f>IF(F4433&gt;0,H4433/F4433,"")</f>
        <v/>
      </c>
      <c r="L4433" s="16">
        <f>IF(AND(G4433&gt;0,H4433&gt;0),G4433/H4433,"")</f>
        <v/>
      </c>
    </row>
    <row r="4434">
      <c r="A4434" s="4" t="inlineStr">
        <is>
          <t>590S</t>
        </is>
      </c>
      <c r="B4434" s="4" t="n">
        <v>5</v>
      </c>
      <c r="C4434" s="4" t="inlineStr">
        <is>
          <t>elk</t>
        </is>
      </c>
      <c r="D4434" s="4" t="n">
        <v>2019</v>
      </c>
      <c r="E4434" s="13" t="inlineStr">
        <is>
          <t>General</t>
        </is>
      </c>
      <c r="F4434" s="5" t="n"/>
      <c r="G4434" s="5" t="n"/>
      <c r="H4434" s="5" t="n">
        <v>148</v>
      </c>
      <c r="I4434" s="5" t="n">
        <v>51</v>
      </c>
      <c r="J4434" s="5" t="n">
        <v>85</v>
      </c>
      <c r="K4434" s="10">
        <f>IF(F4434&gt;0,H4434/F4434,"")</f>
        <v/>
      </c>
      <c r="L4434" s="16">
        <f>IF(AND(G4434&gt;0,H4434&gt;0),G4434/H4434,"")</f>
        <v/>
      </c>
    </row>
    <row r="4435">
      <c r="A4435" s="4" t="inlineStr">
        <is>
          <t>590S</t>
        </is>
      </c>
      <c r="B4435" s="4" t="n">
        <v>5</v>
      </c>
      <c r="C4435" s="4" t="inlineStr">
        <is>
          <t>elk</t>
        </is>
      </c>
      <c r="D4435" s="4" t="n">
        <v>2020</v>
      </c>
      <c r="E4435" s="13" t="inlineStr">
        <is>
          <t>General</t>
        </is>
      </c>
      <c r="F4435" s="5" t="n">
        <v>470</v>
      </c>
      <c r="G4435" s="5" t="n">
        <v>3978</v>
      </c>
      <c r="H4435" s="5" t="n">
        <v>129</v>
      </c>
      <c r="I4435" s="5" t="n">
        <v>42</v>
      </c>
      <c r="J4435" s="5" t="n">
        <v>88</v>
      </c>
      <c r="K4435" s="10">
        <f>IF(F4435&gt;0,H4435/F4435,"")</f>
        <v/>
      </c>
      <c r="L4435" s="16">
        <f>IF(AND(G4435&gt;0,H4435&gt;0),G4435/H4435,"")</f>
        <v/>
      </c>
    </row>
    <row r="4436">
      <c r="A4436" s="4" t="inlineStr">
        <is>
          <t>590S</t>
        </is>
      </c>
      <c r="B4436" s="4" t="n">
        <v>5</v>
      </c>
      <c r="C4436" s="4" t="inlineStr">
        <is>
          <t>elk</t>
        </is>
      </c>
      <c r="D4436" s="4" t="n">
        <v>2021</v>
      </c>
      <c r="E4436" s="13" t="inlineStr">
        <is>
          <t>General</t>
        </is>
      </c>
      <c r="F4436" s="5" t="n"/>
      <c r="G4436" s="5" t="n"/>
      <c r="H4436" s="5" t="n">
        <v>61</v>
      </c>
      <c r="I4436" s="5" t="n">
        <v>22</v>
      </c>
      <c r="J4436" s="5" t="n">
        <v>39</v>
      </c>
      <c r="K4436" s="10">
        <f>IF(F4436&gt;0,H4436/F4436,"")</f>
        <v/>
      </c>
      <c r="L4436" s="16">
        <f>IF(AND(G4436&gt;0,H4436&gt;0),G4436/H4436,"")</f>
        <v/>
      </c>
    </row>
    <row r="4437">
      <c r="A4437" s="4" t="inlineStr">
        <is>
          <t>600</t>
        </is>
      </c>
      <c r="B4437" s="4" t="n">
        <v>6</v>
      </c>
      <c r="C4437" s="4" t="inlineStr">
        <is>
          <t>elk</t>
        </is>
      </c>
      <c r="D4437" s="4" t="n">
        <v>2005</v>
      </c>
      <c r="E4437" s="13" t="inlineStr">
        <is>
          <t>General</t>
        </is>
      </c>
      <c r="F4437" s="5" t="n">
        <v>27</v>
      </c>
      <c r="G4437" s="5" t="n">
        <v>104</v>
      </c>
      <c r="H4437" s="5" t="n">
        <v>4</v>
      </c>
      <c r="I4437" s="5" t="n">
        <v>3</v>
      </c>
      <c r="J4437" s="5" t="n">
        <v>1</v>
      </c>
      <c r="K4437" s="10">
        <f>IF(F4437&gt;0,H4437/F4437,"")</f>
        <v/>
      </c>
      <c r="L4437" s="16">
        <f>IF(AND(G4437&gt;0,H4437&gt;0),G4437/H4437,"")</f>
        <v/>
      </c>
    </row>
    <row r="4438">
      <c r="A4438" s="4" t="inlineStr">
        <is>
          <t>600</t>
        </is>
      </c>
      <c r="B4438" s="4" t="n">
        <v>6</v>
      </c>
      <c r="C4438" s="4" t="inlineStr">
        <is>
          <t>elk</t>
        </is>
      </c>
      <c r="D4438" s="4" t="n">
        <v>2007</v>
      </c>
      <c r="E4438" s="13" t="inlineStr">
        <is>
          <t>General</t>
        </is>
      </c>
      <c r="F4438" s="5" t="n">
        <v>38</v>
      </c>
      <c r="G4438" s="5" t="n">
        <v>140</v>
      </c>
      <c r="H4438" s="5" t="n">
        <v>8</v>
      </c>
      <c r="I4438" s="5" t="n">
        <v>8</v>
      </c>
      <c r="J4438" s="5" t="n">
        <v>0</v>
      </c>
      <c r="K4438" s="10">
        <f>IF(F4438&gt;0,H4438/F4438,"")</f>
        <v/>
      </c>
      <c r="L4438" s="16">
        <f>IF(AND(G4438&gt;0,H4438&gt;0),G4438/H4438,"")</f>
        <v/>
      </c>
    </row>
    <row r="4439">
      <c r="A4439" s="4" t="inlineStr">
        <is>
          <t>600</t>
        </is>
      </c>
      <c r="B4439" s="4" t="n">
        <v>6</v>
      </c>
      <c r="C4439" s="4" t="inlineStr">
        <is>
          <t>elk</t>
        </is>
      </c>
      <c r="D4439" s="4" t="n">
        <v>2008</v>
      </c>
      <c r="E4439" s="13" t="inlineStr">
        <is>
          <t>General</t>
        </is>
      </c>
      <c r="F4439" s="5" t="n">
        <v>100</v>
      </c>
      <c r="G4439" s="5" t="n">
        <v>562</v>
      </c>
      <c r="H4439" s="5" t="n">
        <v>7</v>
      </c>
      <c r="I4439" s="5" t="n">
        <v>3</v>
      </c>
      <c r="J4439" s="5" t="n">
        <v>4</v>
      </c>
      <c r="K4439" s="10">
        <f>IF(F4439&gt;0,H4439/F4439,"")</f>
        <v/>
      </c>
      <c r="L4439" s="16">
        <f>IF(AND(G4439&gt;0,H4439&gt;0),G4439/H4439,"")</f>
        <v/>
      </c>
    </row>
    <row r="4440">
      <c r="A4440" s="4" t="inlineStr">
        <is>
          <t>600</t>
        </is>
      </c>
      <c r="B4440" s="4" t="n">
        <v>6</v>
      </c>
      <c r="C4440" s="4" t="inlineStr">
        <is>
          <t>elk</t>
        </is>
      </c>
      <c r="D4440" s="4" t="n">
        <v>2009</v>
      </c>
      <c r="E4440" s="13" t="inlineStr">
        <is>
          <t>General</t>
        </is>
      </c>
      <c r="F4440" s="5" t="n">
        <v>91</v>
      </c>
      <c r="G4440" s="5" t="n">
        <v>448</v>
      </c>
      <c r="H4440" s="5" t="n">
        <v>15</v>
      </c>
      <c r="I4440" s="5" t="n">
        <v>6</v>
      </c>
      <c r="J4440" s="5" t="n">
        <v>6</v>
      </c>
      <c r="K4440" s="10">
        <f>IF(F4440&gt;0,H4440/F4440,"")</f>
        <v/>
      </c>
      <c r="L4440" s="16">
        <f>IF(AND(G4440&gt;0,H4440&gt;0),G4440/H4440,"")</f>
        <v/>
      </c>
    </row>
    <row r="4441">
      <c r="A4441" s="4" t="inlineStr">
        <is>
          <t>600</t>
        </is>
      </c>
      <c r="B4441" s="4" t="n">
        <v>6</v>
      </c>
      <c r="C4441" s="4" t="inlineStr">
        <is>
          <t>elk</t>
        </is>
      </c>
      <c r="D4441" s="4" t="n">
        <v>2010</v>
      </c>
      <c r="E4441" s="13" t="inlineStr">
        <is>
          <t>General</t>
        </is>
      </c>
      <c r="F4441" s="5" t="n">
        <v>105</v>
      </c>
      <c r="G4441" s="5" t="n">
        <v>453</v>
      </c>
      <c r="H4441" s="5" t="n">
        <v>3</v>
      </c>
      <c r="I4441" s="5" t="n">
        <v>3</v>
      </c>
      <c r="J4441" s="5" t="n">
        <v>0</v>
      </c>
      <c r="K4441" s="10">
        <f>IF(F4441&gt;0,H4441/F4441,"")</f>
        <v/>
      </c>
      <c r="L4441" s="16">
        <f>IF(AND(G4441&gt;0,H4441&gt;0),G4441/H4441,"")</f>
        <v/>
      </c>
    </row>
    <row r="4442">
      <c r="A4442" s="4" t="inlineStr">
        <is>
          <t>600</t>
        </is>
      </c>
      <c r="B4442" s="4" t="n">
        <v>6</v>
      </c>
      <c r="C4442" s="4" t="inlineStr">
        <is>
          <t>elk</t>
        </is>
      </c>
      <c r="D4442" s="4" t="n">
        <v>2011</v>
      </c>
      <c r="E4442" s="13" t="inlineStr">
        <is>
          <t>General</t>
        </is>
      </c>
      <c r="F4442" s="5" t="n">
        <v>81</v>
      </c>
      <c r="G4442" s="5" t="n">
        <v>504</v>
      </c>
      <c r="H4442" s="5" t="n">
        <v>6</v>
      </c>
      <c r="I4442" s="5" t="n">
        <v>0</v>
      </c>
      <c r="J4442" s="5" t="n">
        <v>6</v>
      </c>
      <c r="K4442" s="10">
        <f>IF(F4442&gt;0,H4442/F4442,"")</f>
        <v/>
      </c>
      <c r="L4442" s="16">
        <f>IF(AND(G4442&gt;0,H4442&gt;0),G4442/H4442,"")</f>
        <v/>
      </c>
    </row>
    <row r="4443">
      <c r="A4443" s="4" t="inlineStr">
        <is>
          <t>600</t>
        </is>
      </c>
      <c r="B4443" s="4" t="n">
        <v>6</v>
      </c>
      <c r="C4443" s="4" t="inlineStr">
        <is>
          <t>elk</t>
        </is>
      </c>
      <c r="D4443" s="4" t="n">
        <v>2012</v>
      </c>
      <c r="E4443" s="13" t="inlineStr">
        <is>
          <t>General</t>
        </is>
      </c>
      <c r="F4443" s="5" t="n">
        <v>100</v>
      </c>
      <c r="G4443" s="5" t="n">
        <v>591</v>
      </c>
      <c r="H4443" s="5" t="n">
        <v>3</v>
      </c>
      <c r="I4443" s="5" t="n">
        <v>3</v>
      </c>
      <c r="J4443" s="5" t="n">
        <v>0</v>
      </c>
      <c r="K4443" s="10">
        <f>IF(F4443&gt;0,H4443/F4443,"")</f>
        <v/>
      </c>
      <c r="L4443" s="16">
        <f>IF(AND(G4443&gt;0,H4443&gt;0),G4443/H4443,"")</f>
        <v/>
      </c>
    </row>
    <row r="4444">
      <c r="A4444" s="4" t="inlineStr">
        <is>
          <t>600</t>
        </is>
      </c>
      <c r="B4444" s="4" t="n">
        <v>6</v>
      </c>
      <c r="C4444" s="4" t="inlineStr">
        <is>
          <t>elk</t>
        </is>
      </c>
      <c r="D4444" s="4" t="n">
        <v>2013</v>
      </c>
      <c r="E4444" s="13" t="inlineStr">
        <is>
          <t>General</t>
        </is>
      </c>
      <c r="F4444" s="5" t="n"/>
      <c r="G4444" s="5" t="n"/>
      <c r="H4444" s="5" t="n">
        <v>3</v>
      </c>
      <c r="I4444" s="5" t="n">
        <v>3</v>
      </c>
      <c r="J4444" s="5" t="n">
        <v>0</v>
      </c>
      <c r="K4444" s="10">
        <f>IF(F4444&gt;0,H4444/F4444,"")</f>
        <v/>
      </c>
      <c r="L4444" s="16">
        <f>IF(AND(G4444&gt;0,H4444&gt;0),G4444/H4444,"")</f>
        <v/>
      </c>
    </row>
    <row r="4445">
      <c r="A4445" s="4" t="inlineStr">
        <is>
          <t>600</t>
        </is>
      </c>
      <c r="B4445" s="4" t="n">
        <v>6</v>
      </c>
      <c r="C4445" s="4" t="inlineStr">
        <is>
          <t>elk</t>
        </is>
      </c>
      <c r="D4445" s="4" t="n">
        <v>2014</v>
      </c>
      <c r="E4445" s="13" t="inlineStr">
        <is>
          <t>General</t>
        </is>
      </c>
      <c r="F4445" s="5" t="n">
        <v>99</v>
      </c>
      <c r="G4445" s="5" t="n">
        <v>673</v>
      </c>
      <c r="H4445" s="5" t="n">
        <v>6</v>
      </c>
      <c r="I4445" s="5" t="n">
        <v>6</v>
      </c>
      <c r="J4445" s="5" t="n">
        <v>0</v>
      </c>
      <c r="K4445" s="10">
        <f>IF(F4445&gt;0,H4445/F4445,"")</f>
        <v/>
      </c>
      <c r="L4445" s="16">
        <f>IF(AND(G4445&gt;0,H4445&gt;0),G4445/H4445,"")</f>
        <v/>
      </c>
    </row>
    <row r="4446">
      <c r="A4446" s="4" t="inlineStr">
        <is>
          <t>600</t>
        </is>
      </c>
      <c r="B4446" s="4" t="n">
        <v>6</v>
      </c>
      <c r="C4446" s="4" t="inlineStr">
        <is>
          <t>elk</t>
        </is>
      </c>
      <c r="D4446" s="4" t="n">
        <v>2015</v>
      </c>
      <c r="E4446" s="13" t="inlineStr">
        <is>
          <t>General</t>
        </is>
      </c>
      <c r="F4446" s="5" t="n">
        <v>104</v>
      </c>
      <c r="G4446" s="5" t="n">
        <v>1077</v>
      </c>
      <c r="H4446" s="5" t="n">
        <v>6</v>
      </c>
      <c r="I4446" s="5" t="n">
        <v>3</v>
      </c>
      <c r="J4446" s="5" t="n">
        <v>3</v>
      </c>
      <c r="K4446" s="10">
        <f>IF(F4446&gt;0,H4446/F4446,"")</f>
        <v/>
      </c>
      <c r="L4446" s="16">
        <f>IF(AND(G4446&gt;0,H4446&gt;0),G4446/H4446,"")</f>
        <v/>
      </c>
    </row>
    <row r="4447">
      <c r="A4447" s="4" t="inlineStr">
        <is>
          <t>600</t>
        </is>
      </c>
      <c r="B4447" s="4" t="n">
        <v>6</v>
      </c>
      <c r="C4447" s="4" t="inlineStr">
        <is>
          <t>elk</t>
        </is>
      </c>
      <c r="D4447" s="4" t="n">
        <v>2016</v>
      </c>
      <c r="E4447" s="13" t="inlineStr">
        <is>
          <t>General</t>
        </is>
      </c>
      <c r="F4447" s="5" t="n">
        <v>189</v>
      </c>
      <c r="G4447" s="5" t="n">
        <v>1284</v>
      </c>
      <c r="H4447" s="5" t="n">
        <v>3</v>
      </c>
      <c r="I4447" s="5" t="n">
        <v>3</v>
      </c>
      <c r="J4447" s="5" t="n">
        <v>0</v>
      </c>
      <c r="K4447" s="10">
        <f>IF(F4447&gt;0,H4447/F4447,"")</f>
        <v/>
      </c>
      <c r="L4447" s="16">
        <f>IF(AND(G4447&gt;0,H4447&gt;0),G4447/H4447,"")</f>
        <v/>
      </c>
    </row>
    <row r="4448">
      <c r="A4448" s="4" t="inlineStr">
        <is>
          <t>600</t>
        </is>
      </c>
      <c r="B4448" s="4" t="n">
        <v>6</v>
      </c>
      <c r="C4448" s="4" t="inlineStr">
        <is>
          <t>elk</t>
        </is>
      </c>
      <c r="D4448" s="4" t="n">
        <v>2017</v>
      </c>
      <c r="E4448" s="13" t="inlineStr">
        <is>
          <t>General</t>
        </is>
      </c>
      <c r="F4448" s="5" t="n"/>
      <c r="G4448" s="5" t="n"/>
      <c r="H4448" s="5" t="n">
        <v>3</v>
      </c>
      <c r="I4448" s="5" t="n">
        <v>3</v>
      </c>
      <c r="J4448" s="5" t="n">
        <v>0</v>
      </c>
      <c r="K4448" s="10">
        <f>IF(F4448&gt;0,H4448/F4448,"")</f>
        <v/>
      </c>
      <c r="L4448" s="16">
        <f>IF(AND(G4448&gt;0,H4448&gt;0),G4448/H4448,"")</f>
        <v/>
      </c>
    </row>
    <row r="4449">
      <c r="A4449" s="4" t="inlineStr">
        <is>
          <t>600</t>
        </is>
      </c>
      <c r="B4449" s="4" t="n">
        <v>6</v>
      </c>
      <c r="C4449" s="4" t="inlineStr">
        <is>
          <t>elk</t>
        </is>
      </c>
      <c r="D4449" s="4" t="n">
        <v>2018</v>
      </c>
      <c r="E4449" s="13" t="inlineStr">
        <is>
          <t>General</t>
        </is>
      </c>
      <c r="F4449" s="5" t="n">
        <v>125</v>
      </c>
      <c r="G4449" s="5" t="n">
        <v>854</v>
      </c>
      <c r="H4449" s="5" t="n">
        <v>3</v>
      </c>
      <c r="I4449" s="5" t="n">
        <v>0</v>
      </c>
      <c r="J4449" s="5" t="n">
        <v>3</v>
      </c>
      <c r="K4449" s="10">
        <f>IF(F4449&gt;0,H4449/F4449,"")</f>
        <v/>
      </c>
      <c r="L4449" s="16">
        <f>IF(AND(G4449&gt;0,H4449&gt;0),G4449/H4449,"")</f>
        <v/>
      </c>
    </row>
    <row r="4450">
      <c r="A4450" s="4" t="inlineStr">
        <is>
          <t>600</t>
        </is>
      </c>
      <c r="B4450" s="4" t="n">
        <v>6</v>
      </c>
      <c r="C4450" s="4" t="inlineStr">
        <is>
          <t>elk</t>
        </is>
      </c>
      <c r="D4450" s="4" t="n">
        <v>2019</v>
      </c>
      <c r="E4450" s="13" t="inlineStr">
        <is>
          <t>General</t>
        </is>
      </c>
      <c r="F4450" s="5" t="n"/>
      <c r="G4450" s="5" t="n"/>
      <c r="H4450" s="5" t="n">
        <v>9</v>
      </c>
      <c r="I4450" s="5" t="n">
        <v>6</v>
      </c>
      <c r="J4450" s="5" t="n">
        <v>0</v>
      </c>
      <c r="K4450" s="10">
        <f>IF(F4450&gt;0,H4450/F4450,"")</f>
        <v/>
      </c>
      <c r="L4450" s="16">
        <f>IF(AND(G4450&gt;0,H4450&gt;0),G4450/H4450,"")</f>
        <v/>
      </c>
    </row>
    <row r="4451">
      <c r="A4451" s="4" t="inlineStr">
        <is>
          <t>600</t>
        </is>
      </c>
      <c r="B4451" s="4" t="n">
        <v>6</v>
      </c>
      <c r="C4451" s="4" t="inlineStr">
        <is>
          <t>elk</t>
        </is>
      </c>
      <c r="D4451" s="4" t="n">
        <v>2020</v>
      </c>
      <c r="E4451" s="13" t="inlineStr">
        <is>
          <t>General</t>
        </is>
      </c>
      <c r="F4451" s="5" t="n">
        <v>148</v>
      </c>
      <c r="G4451" s="5" t="n">
        <v>1075</v>
      </c>
      <c r="H4451" s="5" t="n">
        <v>17</v>
      </c>
      <c r="I4451" s="5" t="n">
        <v>10</v>
      </c>
      <c r="J4451" s="5" t="n">
        <v>7</v>
      </c>
      <c r="K4451" s="10">
        <f>IF(F4451&gt;0,H4451/F4451,"")</f>
        <v/>
      </c>
      <c r="L4451" s="16">
        <f>IF(AND(G4451&gt;0,H4451&gt;0),G4451/H4451,"")</f>
        <v/>
      </c>
    </row>
    <row r="4452">
      <c r="A4452" s="4" t="inlineStr">
        <is>
          <t>600</t>
        </is>
      </c>
      <c r="B4452" s="4" t="n">
        <v>6</v>
      </c>
      <c r="C4452" s="4" t="inlineStr">
        <is>
          <t>elk</t>
        </is>
      </c>
      <c r="D4452" s="4" t="n">
        <v>2021</v>
      </c>
      <c r="E4452" s="13" t="inlineStr">
        <is>
          <t>General</t>
        </is>
      </c>
      <c r="F4452" s="5" t="n"/>
      <c r="G4452" s="5" t="n"/>
      <c r="H4452" s="5" t="n">
        <v>16</v>
      </c>
      <c r="I4452" s="5" t="n">
        <v>8</v>
      </c>
      <c r="J4452" s="5" t="n">
        <v>8</v>
      </c>
      <c r="K4452" s="10">
        <f>IF(F4452&gt;0,H4452/F4452,"")</f>
        <v/>
      </c>
      <c r="L4452" s="16">
        <f>IF(AND(G4452&gt;0,H4452&gt;0),G4452/H4452,"")</f>
        <v/>
      </c>
    </row>
    <row r="4453">
      <c r="A4453" s="4" t="inlineStr">
        <is>
          <t>600</t>
        </is>
      </c>
      <c r="B4453" s="4" t="n">
        <v>6</v>
      </c>
      <c r="C4453" s="4" t="inlineStr">
        <is>
          <t>elk</t>
        </is>
      </c>
      <c r="D4453" s="4" t="n">
        <v>2022</v>
      </c>
      <c r="E4453" s="13" t="inlineStr">
        <is>
          <t>General</t>
        </is>
      </c>
      <c r="F4453" s="5" t="n">
        <v>105</v>
      </c>
      <c r="G4453" s="5" t="n">
        <v>566</v>
      </c>
      <c r="H4453" s="5" t="n">
        <v>22</v>
      </c>
      <c r="I4453" s="5" t="n">
        <v>13</v>
      </c>
      <c r="J4453" s="5" t="n">
        <v>9</v>
      </c>
      <c r="K4453" s="10">
        <f>IF(F4453&gt;0,H4453/F4453,"")</f>
        <v/>
      </c>
      <c r="L4453" s="16">
        <f>IF(AND(G4453&gt;0,H4453&gt;0),G4453/H4453,"")</f>
        <v/>
      </c>
    </row>
    <row r="4454">
      <c r="A4454" s="4" t="inlineStr">
        <is>
          <t>600</t>
        </is>
      </c>
      <c r="B4454" s="4" t="n">
        <v>6</v>
      </c>
      <c r="C4454" s="4" t="inlineStr">
        <is>
          <t>elk</t>
        </is>
      </c>
      <c r="D4454" s="4" t="n">
        <v>2023</v>
      </c>
      <c r="E4454" s="13" t="inlineStr">
        <is>
          <t>General</t>
        </is>
      </c>
      <c r="F4454" s="5" t="n"/>
      <c r="G4454" s="5" t="n"/>
      <c r="H4454" s="5" t="n">
        <v>9</v>
      </c>
      <c r="I4454" s="5" t="n">
        <v>3</v>
      </c>
      <c r="J4454" s="5" t="n">
        <v>6</v>
      </c>
      <c r="K4454" s="10">
        <f>IF(F4454&gt;0,H4454/F4454,"")</f>
        <v/>
      </c>
      <c r="L4454" s="16">
        <f>IF(AND(G4454&gt;0,H4454&gt;0),G4454/H4454,"")</f>
        <v/>
      </c>
    </row>
    <row r="4455">
      <c r="A4455" s="4" t="inlineStr">
        <is>
          <t>600</t>
        </is>
      </c>
      <c r="B4455" s="4" t="n">
        <v>6</v>
      </c>
      <c r="C4455" s="4" t="inlineStr">
        <is>
          <t>elk</t>
        </is>
      </c>
      <c r="D4455" s="4" t="n">
        <v>2024</v>
      </c>
      <c r="E4455" s="13" t="inlineStr">
        <is>
          <t>General</t>
        </is>
      </c>
      <c r="F4455" s="5" t="n">
        <v>154</v>
      </c>
      <c r="G4455" s="5" t="n">
        <v>771</v>
      </c>
      <c r="H4455" s="5" t="n">
        <v>14</v>
      </c>
      <c r="I4455" s="5" t="n">
        <v>9</v>
      </c>
      <c r="J4455" s="5" t="n">
        <v>3</v>
      </c>
      <c r="K4455" s="10">
        <f>IF(F4455&gt;0,H4455/F4455,"")</f>
        <v/>
      </c>
      <c r="L4455" s="16">
        <f>IF(AND(G4455&gt;0,H4455&gt;0),G4455/H4455,"")</f>
        <v/>
      </c>
    </row>
    <row r="4456">
      <c r="A4456" s="4" t="inlineStr">
        <is>
          <t>600</t>
        </is>
      </c>
      <c r="B4456" s="4" t="n">
        <v>6</v>
      </c>
      <c r="C4456" s="4" t="inlineStr">
        <is>
          <t>elk</t>
        </is>
      </c>
      <c r="D4456" s="4" t="n">
        <v>2025</v>
      </c>
      <c r="E4456" s="13" t="inlineStr">
        <is>
          <t>General</t>
        </is>
      </c>
      <c r="F4456" s="5" t="n"/>
      <c r="G4456" s="5" t="n"/>
      <c r="H4456" s="5" t="n">
        <v>22</v>
      </c>
      <c r="I4456" s="5" t="n">
        <v>15</v>
      </c>
      <c r="J4456" s="5" t="n">
        <v>7</v>
      </c>
      <c r="K4456" s="10">
        <f>IF(F4456&gt;0,H4456/F4456,"")</f>
        <v/>
      </c>
      <c r="L4456" s="16">
        <f>IF(AND(G4456&gt;0,H4456&gt;0),G4456/H4456,"")</f>
        <v/>
      </c>
    </row>
    <row r="4457">
      <c r="A4457" s="4" t="inlineStr">
        <is>
          <t>610</t>
        </is>
      </c>
      <c r="B4457" s="4" t="n">
        <v>6</v>
      </c>
      <c r="C4457" s="4" t="inlineStr">
        <is>
          <t>elk</t>
        </is>
      </c>
      <c r="D4457" s="4" t="n">
        <v>2004</v>
      </c>
      <c r="E4457" s="4" t="inlineStr"/>
      <c r="F4457" s="5" t="n">
        <v>102</v>
      </c>
      <c r="G4457" s="5" t="n">
        <v>466</v>
      </c>
      <c r="H4457" s="5" t="n">
        <v>7</v>
      </c>
      <c r="I4457" s="5" t="n">
        <v>2</v>
      </c>
      <c r="J4457" s="5" t="n">
        <v>6</v>
      </c>
      <c r="K4457" s="10">
        <f>IF(F4457&gt;0,H4457/F4457,"")</f>
        <v/>
      </c>
      <c r="L4457" s="16">
        <f>IF(AND(G4457&gt;0,H4457&gt;0),G4457/H4457,"")</f>
        <v/>
      </c>
    </row>
    <row r="4458">
      <c r="A4458" s="4" t="inlineStr">
        <is>
          <t>610</t>
        </is>
      </c>
      <c r="B4458" s="4" t="n">
        <v>6</v>
      </c>
      <c r="C4458" s="4" t="inlineStr">
        <is>
          <t>elk</t>
        </is>
      </c>
      <c r="D4458" s="4" t="n">
        <v>2005</v>
      </c>
      <c r="E4458" s="4" t="inlineStr"/>
      <c r="F4458" s="5" t="n">
        <v>50</v>
      </c>
      <c r="G4458" s="5" t="n">
        <v>212</v>
      </c>
      <c r="H4458" s="5" t="n">
        <v>3</v>
      </c>
      <c r="I4458" s="5" t="n">
        <v>0</v>
      </c>
      <c r="J4458" s="5" t="n">
        <v>3</v>
      </c>
      <c r="K4458" s="10">
        <f>IF(F4458&gt;0,H4458/F4458,"")</f>
        <v/>
      </c>
      <c r="L4458" s="16">
        <f>IF(AND(G4458&gt;0,H4458&gt;0),G4458/H4458,"")</f>
        <v/>
      </c>
    </row>
    <row r="4459">
      <c r="A4459" s="4" t="inlineStr">
        <is>
          <t>610</t>
        </is>
      </c>
      <c r="B4459" s="4" t="n">
        <v>6</v>
      </c>
      <c r="C4459" s="4" t="inlineStr">
        <is>
          <t>elk</t>
        </is>
      </c>
      <c r="D4459" s="4" t="n">
        <v>2006</v>
      </c>
      <c r="E4459" s="4" t="inlineStr"/>
      <c r="F4459" s="5" t="n">
        <v>77</v>
      </c>
      <c r="G4459" s="5" t="n">
        <v>589</v>
      </c>
      <c r="H4459" s="5" t="n">
        <v>4</v>
      </c>
      <c r="I4459" s="5" t="n">
        <v>4</v>
      </c>
      <c r="J4459" s="5" t="n">
        <v>0</v>
      </c>
      <c r="K4459" s="10">
        <f>IF(F4459&gt;0,H4459/F4459,"")</f>
        <v/>
      </c>
      <c r="L4459" s="16">
        <f>IF(AND(G4459&gt;0,H4459&gt;0),G4459/H4459,"")</f>
        <v/>
      </c>
    </row>
    <row r="4460">
      <c r="A4460" s="4" t="inlineStr">
        <is>
          <t>610</t>
        </is>
      </c>
      <c r="B4460" s="4" t="n">
        <v>6</v>
      </c>
      <c r="C4460" s="4" t="inlineStr">
        <is>
          <t>elk</t>
        </is>
      </c>
      <c r="D4460" s="4" t="n">
        <v>2007</v>
      </c>
      <c r="E4460" s="4" t="inlineStr"/>
      <c r="F4460" s="5" t="n">
        <v>71</v>
      </c>
      <c r="G4460" s="5" t="n">
        <v>475</v>
      </c>
      <c r="H4460" s="5" t="n">
        <v>10</v>
      </c>
      <c r="I4460" s="5" t="n">
        <v>10</v>
      </c>
      <c r="J4460" s="5" t="n">
        <v>0</v>
      </c>
      <c r="K4460" s="10">
        <f>IF(F4460&gt;0,H4460/F4460,"")</f>
        <v/>
      </c>
      <c r="L4460" s="16">
        <f>IF(AND(G4460&gt;0,H4460&gt;0),G4460/H4460,"")</f>
        <v/>
      </c>
    </row>
    <row r="4461">
      <c r="A4461" s="4" t="inlineStr">
        <is>
          <t>611</t>
        </is>
      </c>
      <c r="B4461" s="4" t="n">
        <v>6</v>
      </c>
      <c r="C4461" s="4" t="inlineStr">
        <is>
          <t>elk</t>
        </is>
      </c>
      <c r="D4461" s="4" t="n">
        <v>2004</v>
      </c>
      <c r="E4461" s="4" t="inlineStr"/>
      <c r="F4461" s="5" t="n">
        <v>13</v>
      </c>
      <c r="G4461" s="5" t="n">
        <v>57</v>
      </c>
      <c r="H4461" s="5" t="n">
        <v>0</v>
      </c>
      <c r="I4461" s="5" t="n">
        <v>0</v>
      </c>
      <c r="J4461" s="5" t="n">
        <v>0</v>
      </c>
      <c r="K4461" s="10">
        <f>IF(F4461&gt;0,H4461/F4461,"")</f>
        <v/>
      </c>
      <c r="L4461" s="16">
        <f>IF(AND(G4461&gt;0,H4461&gt;0),G4461/H4461,"")</f>
        <v/>
      </c>
    </row>
    <row r="4462">
      <c r="A4462" s="4" t="inlineStr">
        <is>
          <t>611</t>
        </is>
      </c>
      <c r="B4462" s="4" t="n">
        <v>6</v>
      </c>
      <c r="C4462" s="4" t="inlineStr">
        <is>
          <t>elk</t>
        </is>
      </c>
      <c r="D4462" s="4" t="n">
        <v>2005</v>
      </c>
      <c r="E4462" s="4" t="inlineStr"/>
      <c r="F4462" s="5" t="n">
        <v>19</v>
      </c>
      <c r="G4462" s="5" t="n">
        <v>118</v>
      </c>
      <c r="H4462" s="5" t="n">
        <v>0</v>
      </c>
      <c r="I4462" s="5" t="n">
        <v>0</v>
      </c>
      <c r="J4462" s="5" t="n">
        <v>0</v>
      </c>
      <c r="K4462" s="10">
        <f>IF(F4462&gt;0,H4462/F4462,"")</f>
        <v/>
      </c>
      <c r="L4462" s="16">
        <f>IF(AND(G4462&gt;0,H4462&gt;0),G4462/H4462,"")</f>
        <v/>
      </c>
    </row>
    <row r="4463">
      <c r="A4463" s="4" t="inlineStr">
        <is>
          <t>611</t>
        </is>
      </c>
      <c r="B4463" s="4" t="n">
        <v>6</v>
      </c>
      <c r="C4463" s="4" t="inlineStr">
        <is>
          <t>elk</t>
        </is>
      </c>
      <c r="D4463" s="4" t="n">
        <v>2009</v>
      </c>
      <c r="E4463" s="4" t="inlineStr"/>
      <c r="F4463" s="5" t="n">
        <v>22</v>
      </c>
      <c r="G4463" s="5" t="n">
        <v>162</v>
      </c>
      <c r="H4463" s="5" t="n">
        <v>6</v>
      </c>
      <c r="I4463" s="5" t="n">
        <v>6</v>
      </c>
      <c r="J4463" s="5" t="n">
        <v>0</v>
      </c>
      <c r="K4463" s="10">
        <f>IF(F4463&gt;0,H4463/F4463,"")</f>
        <v/>
      </c>
      <c r="L4463" s="16">
        <f>IF(AND(G4463&gt;0,H4463&gt;0),G4463/H4463,"")</f>
        <v/>
      </c>
    </row>
    <row r="4464">
      <c r="A4464" s="4" t="inlineStr">
        <is>
          <t>611</t>
        </is>
      </c>
      <c r="B4464" s="4" t="n">
        <v>6</v>
      </c>
      <c r="C4464" s="4" t="inlineStr">
        <is>
          <t>elk</t>
        </is>
      </c>
      <c r="D4464" s="4" t="n">
        <v>2013</v>
      </c>
      <c r="E4464" s="4" t="inlineStr"/>
      <c r="F4464" s="5" t="n"/>
      <c r="G4464" s="5" t="n"/>
      <c r="H4464" s="5" t="n">
        <v>2</v>
      </c>
      <c r="I4464" s="5" t="n">
        <v>2</v>
      </c>
      <c r="J4464" s="5" t="n">
        <v>0</v>
      </c>
      <c r="K4464" s="10">
        <f>IF(F4464&gt;0,H4464/F4464,"")</f>
        <v/>
      </c>
      <c r="L4464" s="16">
        <f>IF(AND(G4464&gt;0,H4464&gt;0),G4464/H4464,"")</f>
        <v/>
      </c>
    </row>
    <row r="4465">
      <c r="A4465" s="4" t="inlineStr">
        <is>
          <t>611</t>
        </is>
      </c>
      <c r="B4465" s="4" t="n">
        <v>6</v>
      </c>
      <c r="C4465" s="4" t="inlineStr">
        <is>
          <t>elk</t>
        </is>
      </c>
      <c r="D4465" s="4" t="n">
        <v>2014</v>
      </c>
      <c r="E4465" s="4" t="inlineStr"/>
      <c r="F4465" s="5" t="n">
        <v>23</v>
      </c>
      <c r="G4465" s="5" t="n">
        <v>93</v>
      </c>
      <c r="H4465" s="5" t="n">
        <v>3</v>
      </c>
      <c r="I4465" s="5" t="n">
        <v>3</v>
      </c>
      <c r="J4465" s="5" t="n">
        <v>0</v>
      </c>
      <c r="K4465" s="10">
        <f>IF(F4465&gt;0,H4465/F4465,"")</f>
        <v/>
      </c>
      <c r="L4465" s="16">
        <f>IF(AND(G4465&gt;0,H4465&gt;0),G4465/H4465,"")</f>
        <v/>
      </c>
    </row>
    <row r="4466">
      <c r="A4466" s="4" t="inlineStr">
        <is>
          <t>611</t>
        </is>
      </c>
      <c r="B4466" s="4" t="n">
        <v>6</v>
      </c>
      <c r="C4466" s="4" t="inlineStr">
        <is>
          <t>elk</t>
        </is>
      </c>
      <c r="D4466" s="4" t="n">
        <v>2017</v>
      </c>
      <c r="E4466" s="4" t="inlineStr"/>
      <c r="F4466" s="5" t="n"/>
      <c r="G4466" s="5" t="n"/>
      <c r="H4466" s="5" t="n">
        <v>3</v>
      </c>
      <c r="I4466" s="5" t="n">
        <v>3</v>
      </c>
      <c r="J4466" s="5" t="n">
        <v>0</v>
      </c>
      <c r="K4466" s="10">
        <f>IF(F4466&gt;0,H4466/F4466,"")</f>
        <v/>
      </c>
      <c r="L4466" s="16">
        <f>IF(AND(G4466&gt;0,H4466&gt;0),G4466/H4466,"")</f>
        <v/>
      </c>
    </row>
    <row r="4467">
      <c r="A4467" s="4" t="inlineStr">
        <is>
          <t>611</t>
        </is>
      </c>
      <c r="B4467" s="4" t="n">
        <v>6</v>
      </c>
      <c r="C4467" s="4" t="inlineStr">
        <is>
          <t>elk</t>
        </is>
      </c>
      <c r="D4467" s="4" t="n">
        <v>2019</v>
      </c>
      <c r="E4467" s="4" t="inlineStr"/>
      <c r="F4467" s="5" t="n"/>
      <c r="G4467" s="5" t="n"/>
      <c r="H4467" s="5" t="n">
        <v>2</v>
      </c>
      <c r="I4467" s="5" t="n">
        <v>0</v>
      </c>
      <c r="J4467" s="5" t="n">
        <v>2</v>
      </c>
      <c r="K4467" s="10">
        <f>IF(F4467&gt;0,H4467/F4467,"")</f>
        <v/>
      </c>
      <c r="L4467" s="16">
        <f>IF(AND(G4467&gt;0,H4467&gt;0),G4467/H4467,"")</f>
        <v/>
      </c>
    </row>
    <row r="4468">
      <c r="A4468" s="4" t="inlineStr">
        <is>
          <t>620</t>
        </is>
      </c>
      <c r="B4468" s="4" t="n">
        <v>6</v>
      </c>
      <c r="C4468" s="4" t="inlineStr">
        <is>
          <t>elk</t>
        </is>
      </c>
      <c r="D4468" s="4" t="n">
        <v>2004</v>
      </c>
      <c r="E4468" s="15" t="inlineStr">
        <is>
          <t>Draw</t>
        </is>
      </c>
      <c r="F4468" s="5" t="n">
        <v>454</v>
      </c>
      <c r="G4468" s="5" t="n">
        <v>2776</v>
      </c>
      <c r="H4468" s="5" t="n">
        <v>112</v>
      </c>
      <c r="I4468" s="5" t="n">
        <v>55</v>
      </c>
      <c r="J4468" s="5" t="n">
        <v>54</v>
      </c>
      <c r="K4468" s="10">
        <f>IF(F4468&gt;0,H4468/F4468,"")</f>
        <v/>
      </c>
      <c r="L4468" s="16">
        <f>IF(AND(G4468&gt;0,H4468&gt;0),G4468/H4468,"")</f>
        <v/>
      </c>
    </row>
    <row r="4469">
      <c r="A4469" s="4" t="inlineStr">
        <is>
          <t>620</t>
        </is>
      </c>
      <c r="B4469" s="4" t="n">
        <v>6</v>
      </c>
      <c r="C4469" s="4" t="inlineStr">
        <is>
          <t>elk</t>
        </is>
      </c>
      <c r="D4469" s="4" t="n">
        <v>2005</v>
      </c>
      <c r="E4469" s="15" t="inlineStr">
        <is>
          <t>Draw</t>
        </is>
      </c>
      <c r="F4469" s="5" t="n">
        <v>612</v>
      </c>
      <c r="G4469" s="5" t="n">
        <v>4439</v>
      </c>
      <c r="H4469" s="5" t="n">
        <v>116</v>
      </c>
      <c r="I4469" s="5" t="n">
        <v>69</v>
      </c>
      <c r="J4469" s="5" t="n">
        <v>40</v>
      </c>
      <c r="K4469" s="10">
        <f>IF(F4469&gt;0,H4469/F4469,"")</f>
        <v/>
      </c>
      <c r="L4469" s="16">
        <f>IF(AND(G4469&gt;0,H4469&gt;0),G4469/H4469,"")</f>
        <v/>
      </c>
    </row>
    <row r="4470">
      <c r="A4470" s="4" t="inlineStr">
        <is>
          <t>620</t>
        </is>
      </c>
      <c r="B4470" s="4" t="n">
        <v>6</v>
      </c>
      <c r="C4470" s="4" t="inlineStr">
        <is>
          <t>elk</t>
        </is>
      </c>
      <c r="D4470" s="4" t="n">
        <v>2006</v>
      </c>
      <c r="E4470" s="15" t="inlineStr">
        <is>
          <t>Draw</t>
        </is>
      </c>
      <c r="F4470" s="5" t="n">
        <v>619</v>
      </c>
      <c r="G4470" s="5" t="n">
        <v>3892</v>
      </c>
      <c r="H4470" s="5" t="n">
        <v>166</v>
      </c>
      <c r="I4470" s="5" t="n">
        <v>99</v>
      </c>
      <c r="J4470" s="5" t="n">
        <v>62</v>
      </c>
      <c r="K4470" s="10">
        <f>IF(F4470&gt;0,H4470/F4470,"")</f>
        <v/>
      </c>
      <c r="L4470" s="16">
        <f>IF(AND(G4470&gt;0,H4470&gt;0),G4470/H4470,"")</f>
        <v/>
      </c>
    </row>
    <row r="4471">
      <c r="A4471" s="4" t="inlineStr">
        <is>
          <t>620</t>
        </is>
      </c>
      <c r="B4471" s="4" t="n">
        <v>6</v>
      </c>
      <c r="C4471" s="4" t="inlineStr">
        <is>
          <t>elk</t>
        </is>
      </c>
      <c r="D4471" s="4" t="n">
        <v>2007</v>
      </c>
      <c r="E4471" s="15" t="inlineStr">
        <is>
          <t>Draw</t>
        </is>
      </c>
      <c r="F4471" s="5" t="n">
        <v>993</v>
      </c>
      <c r="G4471" s="5" t="n">
        <v>7031</v>
      </c>
      <c r="H4471" s="5" t="n">
        <v>301</v>
      </c>
      <c r="I4471" s="5" t="n">
        <v>204</v>
      </c>
      <c r="J4471" s="5" t="n">
        <v>78</v>
      </c>
      <c r="K4471" s="10">
        <f>IF(F4471&gt;0,H4471/F4471,"")</f>
        <v/>
      </c>
      <c r="L4471" s="16">
        <f>IF(AND(G4471&gt;0,H4471&gt;0),G4471/H4471,"")</f>
        <v/>
      </c>
    </row>
    <row r="4472">
      <c r="A4472" s="4" t="inlineStr">
        <is>
          <t>620</t>
        </is>
      </c>
      <c r="B4472" s="4" t="n">
        <v>6</v>
      </c>
      <c r="C4472" s="4" t="inlineStr">
        <is>
          <t>elk</t>
        </is>
      </c>
      <c r="D4472" s="4" t="n">
        <v>2008</v>
      </c>
      <c r="E4472" s="15" t="inlineStr">
        <is>
          <t>Draw</t>
        </is>
      </c>
      <c r="F4472" s="5" t="n">
        <v>1001</v>
      </c>
      <c r="G4472" s="5" t="n">
        <v>6905</v>
      </c>
      <c r="H4472" s="5" t="n">
        <v>218</v>
      </c>
      <c r="I4472" s="5" t="n">
        <v>163</v>
      </c>
      <c r="J4472" s="5" t="n">
        <v>44</v>
      </c>
      <c r="K4472" s="10">
        <f>IF(F4472&gt;0,H4472/F4472,"")</f>
        <v/>
      </c>
      <c r="L4472" s="16">
        <f>IF(AND(G4472&gt;0,H4472&gt;0),G4472/H4472,"")</f>
        <v/>
      </c>
    </row>
    <row r="4473">
      <c r="A4473" s="4" t="inlineStr">
        <is>
          <t>620</t>
        </is>
      </c>
      <c r="B4473" s="4" t="n">
        <v>6</v>
      </c>
      <c r="C4473" s="4" t="inlineStr">
        <is>
          <t>elk</t>
        </is>
      </c>
      <c r="D4473" s="4" t="n">
        <v>2009</v>
      </c>
      <c r="E4473" s="15" t="inlineStr">
        <is>
          <t>Draw</t>
        </is>
      </c>
      <c r="F4473" s="5" t="n">
        <v>929</v>
      </c>
      <c r="G4473" s="5" t="n">
        <v>6370</v>
      </c>
      <c r="H4473" s="5" t="n">
        <v>170</v>
      </c>
      <c r="I4473" s="5" t="n">
        <v>101</v>
      </c>
      <c r="J4473" s="5" t="n">
        <v>60</v>
      </c>
      <c r="K4473" s="10">
        <f>IF(F4473&gt;0,H4473/F4473,"")</f>
        <v/>
      </c>
      <c r="L4473" s="16">
        <f>IF(AND(G4473&gt;0,H4473&gt;0),G4473/H4473,"")</f>
        <v/>
      </c>
    </row>
    <row r="4474">
      <c r="A4474" s="4" t="inlineStr">
        <is>
          <t>620</t>
        </is>
      </c>
      <c r="B4474" s="4" t="n">
        <v>6</v>
      </c>
      <c r="C4474" s="4" t="inlineStr">
        <is>
          <t>elk</t>
        </is>
      </c>
      <c r="D4474" s="4" t="n">
        <v>2010</v>
      </c>
      <c r="E4474" s="15" t="inlineStr">
        <is>
          <t>Draw</t>
        </is>
      </c>
      <c r="F4474" s="5" t="n">
        <v>760</v>
      </c>
      <c r="G4474" s="5" t="n">
        <v>5385</v>
      </c>
      <c r="H4474" s="5" t="n">
        <v>114</v>
      </c>
      <c r="I4474" s="5" t="n">
        <v>72</v>
      </c>
      <c r="J4474" s="5" t="n">
        <v>42</v>
      </c>
      <c r="K4474" s="10">
        <f>IF(F4474&gt;0,H4474/F4474,"")</f>
        <v/>
      </c>
      <c r="L4474" s="16">
        <f>IF(AND(G4474&gt;0,H4474&gt;0),G4474/H4474,"")</f>
        <v/>
      </c>
    </row>
    <row r="4475">
      <c r="A4475" s="4" t="inlineStr">
        <is>
          <t>620</t>
        </is>
      </c>
      <c r="B4475" s="4" t="n">
        <v>6</v>
      </c>
      <c r="C4475" s="4" t="inlineStr">
        <is>
          <t>elk</t>
        </is>
      </c>
      <c r="D4475" s="4" t="n">
        <v>2011</v>
      </c>
      <c r="E4475" s="15" t="inlineStr">
        <is>
          <t>Draw</t>
        </is>
      </c>
      <c r="F4475" s="5" t="n">
        <v>692</v>
      </c>
      <c r="G4475" s="5" t="n">
        <v>5039</v>
      </c>
      <c r="H4475" s="5" t="n">
        <v>146</v>
      </c>
      <c r="I4475" s="5" t="n">
        <v>78</v>
      </c>
      <c r="J4475" s="5" t="n">
        <v>54</v>
      </c>
      <c r="K4475" s="10">
        <f>IF(F4475&gt;0,H4475/F4475,"")</f>
        <v/>
      </c>
      <c r="L4475" s="16">
        <f>IF(AND(G4475&gt;0,H4475&gt;0),G4475/H4475,"")</f>
        <v/>
      </c>
    </row>
    <row r="4476">
      <c r="A4476" s="4" t="inlineStr">
        <is>
          <t>620</t>
        </is>
      </c>
      <c r="B4476" s="4" t="n">
        <v>6</v>
      </c>
      <c r="C4476" s="4" t="inlineStr">
        <is>
          <t>elk</t>
        </is>
      </c>
      <c r="D4476" s="4" t="n">
        <v>2012</v>
      </c>
      <c r="E4476" s="15" t="inlineStr">
        <is>
          <t>Draw</t>
        </is>
      </c>
      <c r="F4476" s="5" t="n">
        <v>742</v>
      </c>
      <c r="G4476" s="5" t="n">
        <v>5458</v>
      </c>
      <c r="H4476" s="5" t="n">
        <v>111</v>
      </c>
      <c r="I4476" s="5" t="n">
        <v>65</v>
      </c>
      <c r="J4476" s="5" t="n">
        <v>40</v>
      </c>
      <c r="K4476" s="10">
        <f>IF(F4476&gt;0,H4476/F4476,"")</f>
        <v/>
      </c>
      <c r="L4476" s="16">
        <f>IF(AND(G4476&gt;0,H4476&gt;0),G4476/H4476,"")</f>
        <v/>
      </c>
    </row>
    <row r="4477">
      <c r="A4477" s="4" t="inlineStr">
        <is>
          <t>620</t>
        </is>
      </c>
      <c r="B4477" s="4" t="n">
        <v>6</v>
      </c>
      <c r="C4477" s="4" t="inlineStr">
        <is>
          <t>elk</t>
        </is>
      </c>
      <c r="D4477" s="4" t="n">
        <v>2013</v>
      </c>
      <c r="E4477" s="15" t="inlineStr">
        <is>
          <t>Draw</t>
        </is>
      </c>
      <c r="F4477" s="5" t="n"/>
      <c r="G4477" s="5" t="n"/>
      <c r="H4477" s="5" t="n">
        <v>133</v>
      </c>
      <c r="I4477" s="5" t="n">
        <v>87</v>
      </c>
      <c r="J4477" s="5" t="n">
        <v>46</v>
      </c>
      <c r="K4477" s="10">
        <f>IF(F4477&gt;0,H4477/F4477,"")</f>
        <v/>
      </c>
      <c r="L4477" s="16">
        <f>IF(AND(G4477&gt;0,H4477&gt;0),G4477/H4477,"")</f>
        <v/>
      </c>
    </row>
    <row r="4478">
      <c r="A4478" s="4" t="inlineStr">
        <is>
          <t>620</t>
        </is>
      </c>
      <c r="B4478" s="4" t="n">
        <v>6</v>
      </c>
      <c r="C4478" s="4" t="inlineStr">
        <is>
          <t>elk</t>
        </is>
      </c>
      <c r="D4478" s="4" t="n">
        <v>2014</v>
      </c>
      <c r="E4478" s="15" t="inlineStr">
        <is>
          <t>Draw</t>
        </is>
      </c>
      <c r="F4478" s="5" t="n">
        <v>646</v>
      </c>
      <c r="G4478" s="5" t="n">
        <v>4309</v>
      </c>
      <c r="H4478" s="5" t="n">
        <v>112</v>
      </c>
      <c r="I4478" s="5" t="n">
        <v>80</v>
      </c>
      <c r="J4478" s="5" t="n">
        <v>25</v>
      </c>
      <c r="K4478" s="10">
        <f>IF(F4478&gt;0,H4478/F4478,"")</f>
        <v/>
      </c>
      <c r="L4478" s="16">
        <f>IF(AND(G4478&gt;0,H4478&gt;0),G4478/H4478,"")</f>
        <v/>
      </c>
    </row>
    <row r="4479">
      <c r="A4479" s="4" t="inlineStr">
        <is>
          <t>620</t>
        </is>
      </c>
      <c r="B4479" s="4" t="n">
        <v>6</v>
      </c>
      <c r="C4479" s="4" t="inlineStr">
        <is>
          <t>elk</t>
        </is>
      </c>
      <c r="D4479" s="4" t="n">
        <v>2015</v>
      </c>
      <c r="E4479" s="15" t="inlineStr">
        <is>
          <t>Draw</t>
        </is>
      </c>
      <c r="F4479" s="5" t="n">
        <v>755</v>
      </c>
      <c r="G4479" s="5" t="n">
        <v>6188</v>
      </c>
      <c r="H4479" s="5" t="n">
        <v>113</v>
      </c>
      <c r="I4479" s="5" t="n">
        <v>83</v>
      </c>
      <c r="J4479" s="5" t="n">
        <v>30</v>
      </c>
      <c r="K4479" s="10">
        <f>IF(F4479&gt;0,H4479/F4479,"")</f>
        <v/>
      </c>
      <c r="L4479" s="16">
        <f>IF(AND(G4479&gt;0,H4479&gt;0),G4479/H4479,"")</f>
        <v/>
      </c>
    </row>
    <row r="4480">
      <c r="A4480" s="4" t="inlineStr">
        <is>
          <t>620</t>
        </is>
      </c>
      <c r="B4480" s="4" t="n">
        <v>6</v>
      </c>
      <c r="C4480" s="4" t="inlineStr">
        <is>
          <t>elk</t>
        </is>
      </c>
      <c r="D4480" s="4" t="n">
        <v>2016</v>
      </c>
      <c r="E4480" s="15" t="inlineStr">
        <is>
          <t>Draw</t>
        </is>
      </c>
      <c r="F4480" s="5" t="n">
        <v>761</v>
      </c>
      <c r="G4480" s="5" t="n">
        <v>5107</v>
      </c>
      <c r="H4480" s="5" t="n">
        <v>150</v>
      </c>
      <c r="I4480" s="5" t="n">
        <v>105</v>
      </c>
      <c r="J4480" s="5" t="n">
        <v>37</v>
      </c>
      <c r="K4480" s="10">
        <f>IF(F4480&gt;0,H4480/F4480,"")</f>
        <v/>
      </c>
      <c r="L4480" s="16">
        <f>IF(AND(G4480&gt;0,H4480&gt;0),G4480/H4480,"")</f>
        <v/>
      </c>
    </row>
    <row r="4481">
      <c r="A4481" s="4" t="inlineStr">
        <is>
          <t>620</t>
        </is>
      </c>
      <c r="B4481" s="4" t="n">
        <v>6</v>
      </c>
      <c r="C4481" s="4" t="inlineStr">
        <is>
          <t>elk</t>
        </is>
      </c>
      <c r="D4481" s="4" t="n">
        <v>2017</v>
      </c>
      <c r="E4481" s="15" t="inlineStr">
        <is>
          <t>Draw</t>
        </is>
      </c>
      <c r="F4481" s="5" t="n"/>
      <c r="G4481" s="5" t="n"/>
      <c r="H4481" s="5" t="n">
        <v>132</v>
      </c>
      <c r="I4481" s="5" t="n">
        <v>70</v>
      </c>
      <c r="J4481" s="5" t="n">
        <v>55</v>
      </c>
      <c r="K4481" s="10">
        <f>IF(F4481&gt;0,H4481/F4481,"")</f>
        <v/>
      </c>
      <c r="L4481" s="16">
        <f>IF(AND(G4481&gt;0,H4481&gt;0),G4481/H4481,"")</f>
        <v/>
      </c>
    </row>
    <row r="4482">
      <c r="A4482" s="4" t="inlineStr">
        <is>
          <t>620</t>
        </is>
      </c>
      <c r="B4482" s="4" t="n">
        <v>6</v>
      </c>
      <c r="C4482" s="4" t="inlineStr">
        <is>
          <t>elk</t>
        </is>
      </c>
      <c r="D4482" s="4" t="n">
        <v>2018</v>
      </c>
      <c r="E4482" s="15" t="inlineStr">
        <is>
          <t>Draw</t>
        </is>
      </c>
      <c r="F4482" s="5" t="n">
        <v>814</v>
      </c>
      <c r="G4482" s="5" t="n">
        <v>5159</v>
      </c>
      <c r="H4482" s="5" t="n">
        <v>150</v>
      </c>
      <c r="I4482" s="5" t="n">
        <v>78</v>
      </c>
      <c r="J4482" s="5" t="n">
        <v>66</v>
      </c>
      <c r="K4482" s="10">
        <f>IF(F4482&gt;0,H4482/F4482,"")</f>
        <v/>
      </c>
      <c r="L4482" s="16">
        <f>IF(AND(G4482&gt;0,H4482&gt;0),G4482/H4482,"")</f>
        <v/>
      </c>
    </row>
    <row r="4483">
      <c r="A4483" s="4" t="inlineStr">
        <is>
          <t>620</t>
        </is>
      </c>
      <c r="B4483" s="4" t="n">
        <v>6</v>
      </c>
      <c r="C4483" s="4" t="inlineStr">
        <is>
          <t>elk</t>
        </is>
      </c>
      <c r="D4483" s="4" t="n">
        <v>2019</v>
      </c>
      <c r="E4483" s="15" t="inlineStr">
        <is>
          <t>Draw</t>
        </is>
      </c>
      <c r="F4483" s="5" t="n"/>
      <c r="G4483" s="5" t="n"/>
      <c r="H4483" s="5" t="n">
        <v>132</v>
      </c>
      <c r="I4483" s="5" t="n">
        <v>85</v>
      </c>
      <c r="J4483" s="5" t="n">
        <v>44</v>
      </c>
      <c r="K4483" s="10">
        <f>IF(F4483&gt;0,H4483/F4483,"")</f>
        <v/>
      </c>
      <c r="L4483" s="16">
        <f>IF(AND(G4483&gt;0,H4483&gt;0),G4483/H4483,"")</f>
        <v/>
      </c>
    </row>
    <row r="4484">
      <c r="A4484" s="4" t="inlineStr">
        <is>
          <t>620</t>
        </is>
      </c>
      <c r="B4484" s="4" t="n">
        <v>6</v>
      </c>
      <c r="C4484" s="4" t="inlineStr">
        <is>
          <t>elk</t>
        </is>
      </c>
      <c r="D4484" s="4" t="n">
        <v>2020</v>
      </c>
      <c r="E4484" s="15" t="inlineStr">
        <is>
          <t>Draw</t>
        </is>
      </c>
      <c r="F4484" s="5" t="n">
        <v>750</v>
      </c>
      <c r="G4484" s="5" t="n">
        <v>5117</v>
      </c>
      <c r="H4484" s="5" t="n">
        <v>143</v>
      </c>
      <c r="I4484" s="5" t="n">
        <v>83</v>
      </c>
      <c r="J4484" s="5" t="n">
        <v>58</v>
      </c>
      <c r="K4484" s="10">
        <f>IF(F4484&gt;0,H4484/F4484,"")</f>
        <v/>
      </c>
      <c r="L4484" s="16">
        <f>IF(AND(G4484&gt;0,H4484&gt;0),G4484/H4484,"")</f>
        <v/>
      </c>
    </row>
    <row r="4485">
      <c r="A4485" s="4" t="inlineStr">
        <is>
          <t>620</t>
        </is>
      </c>
      <c r="B4485" s="4" t="n">
        <v>6</v>
      </c>
      <c r="C4485" s="4" t="inlineStr">
        <is>
          <t>elk</t>
        </is>
      </c>
      <c r="D4485" s="4" t="n">
        <v>2021</v>
      </c>
      <c r="E4485" s="15" t="inlineStr">
        <is>
          <t>Draw</t>
        </is>
      </c>
      <c r="F4485" s="5" t="n"/>
      <c r="G4485" s="5" t="n"/>
      <c r="H4485" s="5" t="n">
        <v>135</v>
      </c>
      <c r="I4485" s="5" t="n">
        <v>73</v>
      </c>
      <c r="J4485" s="5" t="n">
        <v>59</v>
      </c>
      <c r="K4485" s="10">
        <f>IF(F4485&gt;0,H4485/F4485,"")</f>
        <v/>
      </c>
      <c r="L4485" s="16">
        <f>IF(AND(G4485&gt;0,H4485&gt;0),G4485/H4485,"")</f>
        <v/>
      </c>
    </row>
    <row r="4486">
      <c r="A4486" s="4" t="inlineStr">
        <is>
          <t>620</t>
        </is>
      </c>
      <c r="B4486" s="4" t="n">
        <v>6</v>
      </c>
      <c r="C4486" s="4" t="inlineStr">
        <is>
          <t>elk</t>
        </is>
      </c>
      <c r="D4486" s="4" t="n">
        <v>2022</v>
      </c>
      <c r="E4486" s="15" t="inlineStr">
        <is>
          <t>Draw</t>
        </is>
      </c>
      <c r="F4486" s="5" t="n">
        <v>824</v>
      </c>
      <c r="G4486" s="5" t="n">
        <v>5806</v>
      </c>
      <c r="H4486" s="5" t="n">
        <v>129</v>
      </c>
      <c r="I4486" s="5" t="n">
        <v>92</v>
      </c>
      <c r="J4486" s="5" t="n">
        <v>37</v>
      </c>
      <c r="K4486" s="10">
        <f>IF(F4486&gt;0,H4486/F4486,"")</f>
        <v/>
      </c>
      <c r="L4486" s="16">
        <f>IF(AND(G4486&gt;0,H4486&gt;0),G4486/H4486,"")</f>
        <v/>
      </c>
    </row>
    <row r="4487">
      <c r="A4487" s="4" t="inlineStr">
        <is>
          <t>620</t>
        </is>
      </c>
      <c r="B4487" s="4" t="n">
        <v>6</v>
      </c>
      <c r="C4487" s="4" t="inlineStr">
        <is>
          <t>elk</t>
        </is>
      </c>
      <c r="D4487" s="4" t="n">
        <v>2023</v>
      </c>
      <c r="E4487" s="15" t="inlineStr">
        <is>
          <t>Draw</t>
        </is>
      </c>
      <c r="F4487" s="5" t="n"/>
      <c r="G4487" s="5" t="n"/>
      <c r="H4487" s="5" t="n">
        <v>92</v>
      </c>
      <c r="I4487" s="5" t="n">
        <v>46</v>
      </c>
      <c r="J4487" s="5" t="n">
        <v>45</v>
      </c>
      <c r="K4487" s="10">
        <f>IF(F4487&gt;0,H4487/F4487,"")</f>
        <v/>
      </c>
      <c r="L4487" s="16">
        <f>IF(AND(G4487&gt;0,H4487&gt;0),G4487/H4487,"")</f>
        <v/>
      </c>
    </row>
    <row r="4488">
      <c r="A4488" s="4" t="inlineStr">
        <is>
          <t>620</t>
        </is>
      </c>
      <c r="B4488" s="4" t="n">
        <v>6</v>
      </c>
      <c r="C4488" s="4" t="inlineStr">
        <is>
          <t>elk</t>
        </is>
      </c>
      <c r="D4488" s="4" t="n">
        <v>2024</v>
      </c>
      <c r="E4488" s="15" t="inlineStr">
        <is>
          <t>Draw</t>
        </is>
      </c>
      <c r="F4488" s="5" t="n">
        <v>704</v>
      </c>
      <c r="G4488" s="5" t="n">
        <v>6028</v>
      </c>
      <c r="H4488" s="5" t="n">
        <v>128</v>
      </c>
      <c r="I4488" s="5" t="n">
        <v>91</v>
      </c>
      <c r="J4488" s="5" t="n">
        <v>34</v>
      </c>
      <c r="K4488" s="10">
        <f>IF(F4488&gt;0,H4488/F4488,"")</f>
        <v/>
      </c>
      <c r="L4488" s="16">
        <f>IF(AND(G4488&gt;0,H4488&gt;0),G4488/H4488,"")</f>
        <v/>
      </c>
    </row>
    <row r="4489">
      <c r="A4489" s="4" t="inlineStr">
        <is>
          <t>620</t>
        </is>
      </c>
      <c r="B4489" s="4" t="n">
        <v>6</v>
      </c>
      <c r="C4489" s="4" t="inlineStr">
        <is>
          <t>elk</t>
        </is>
      </c>
      <c r="D4489" s="4" t="n">
        <v>2025</v>
      </c>
      <c r="E4489" s="15" t="inlineStr">
        <is>
          <t>Draw</t>
        </is>
      </c>
      <c r="F4489" s="5" t="n"/>
      <c r="G4489" s="5" t="n"/>
      <c r="H4489" s="5" t="n">
        <v>117</v>
      </c>
      <c r="I4489" s="5" t="n">
        <v>76</v>
      </c>
      <c r="J4489" s="5" t="n">
        <v>38</v>
      </c>
      <c r="K4489" s="10">
        <f>IF(F4489&gt;0,H4489/F4489,"")</f>
        <v/>
      </c>
      <c r="L4489" s="16">
        <f>IF(AND(G4489&gt;0,H4489&gt;0),G4489/H4489,"")</f>
        <v/>
      </c>
    </row>
    <row r="4490">
      <c r="A4490" s="4" t="inlineStr">
        <is>
          <t>621</t>
        </is>
      </c>
      <c r="B4490" s="4" t="n">
        <v>6</v>
      </c>
      <c r="C4490" s="4" t="inlineStr">
        <is>
          <t>elk</t>
        </is>
      </c>
      <c r="D4490" s="4" t="n">
        <v>2004</v>
      </c>
      <c r="E4490" s="15" t="inlineStr">
        <is>
          <t>Draw</t>
        </is>
      </c>
      <c r="F4490" s="5" t="n">
        <v>716</v>
      </c>
      <c r="G4490" s="5" t="n">
        <v>4544</v>
      </c>
      <c r="H4490" s="5" t="n">
        <v>222</v>
      </c>
      <c r="I4490" s="5" t="n">
        <v>69</v>
      </c>
      <c r="J4490" s="5" t="n">
        <v>138</v>
      </c>
      <c r="K4490" s="10">
        <f>IF(F4490&gt;0,H4490/F4490,"")</f>
        <v/>
      </c>
      <c r="L4490" s="16">
        <f>IF(AND(G4490&gt;0,H4490&gt;0),G4490/H4490,"")</f>
        <v/>
      </c>
    </row>
    <row r="4491">
      <c r="A4491" s="4" t="inlineStr">
        <is>
          <t>621</t>
        </is>
      </c>
      <c r="B4491" s="4" t="n">
        <v>6</v>
      </c>
      <c r="C4491" s="4" t="inlineStr">
        <is>
          <t>elk</t>
        </is>
      </c>
      <c r="D4491" s="4" t="n">
        <v>2005</v>
      </c>
      <c r="E4491" s="15" t="inlineStr">
        <is>
          <t>Draw</t>
        </is>
      </c>
      <c r="F4491" s="5" t="n">
        <v>666</v>
      </c>
      <c r="G4491" s="5" t="n">
        <v>3999</v>
      </c>
      <c r="H4491" s="5" t="n">
        <v>212</v>
      </c>
      <c r="I4491" s="5" t="n">
        <v>57</v>
      </c>
      <c r="J4491" s="5" t="n">
        <v>137</v>
      </c>
      <c r="K4491" s="10">
        <f>IF(F4491&gt;0,H4491/F4491,"")</f>
        <v/>
      </c>
      <c r="L4491" s="16">
        <f>IF(AND(G4491&gt;0,H4491&gt;0),G4491/H4491,"")</f>
        <v/>
      </c>
    </row>
    <row r="4492">
      <c r="A4492" s="4" t="inlineStr">
        <is>
          <t>621</t>
        </is>
      </c>
      <c r="B4492" s="4" t="n">
        <v>6</v>
      </c>
      <c r="C4492" s="4" t="inlineStr">
        <is>
          <t>elk</t>
        </is>
      </c>
      <c r="D4492" s="4" t="n">
        <v>2006</v>
      </c>
      <c r="E4492" s="15" t="inlineStr">
        <is>
          <t>Draw</t>
        </is>
      </c>
      <c r="F4492" s="5" t="n">
        <v>864</v>
      </c>
      <c r="G4492" s="5" t="n">
        <v>4848</v>
      </c>
      <c r="H4492" s="5" t="n">
        <v>371</v>
      </c>
      <c r="I4492" s="5" t="n">
        <v>96</v>
      </c>
      <c r="J4492" s="5" t="n">
        <v>246</v>
      </c>
      <c r="K4492" s="10">
        <f>IF(F4492&gt;0,H4492/F4492,"")</f>
        <v/>
      </c>
      <c r="L4492" s="16">
        <f>IF(AND(G4492&gt;0,H4492&gt;0),G4492/H4492,"")</f>
        <v/>
      </c>
    </row>
    <row r="4493">
      <c r="A4493" s="4" t="inlineStr">
        <is>
          <t>621</t>
        </is>
      </c>
      <c r="B4493" s="4" t="n">
        <v>6</v>
      </c>
      <c r="C4493" s="4" t="inlineStr">
        <is>
          <t>elk</t>
        </is>
      </c>
      <c r="D4493" s="4" t="n">
        <v>2007</v>
      </c>
      <c r="E4493" s="15" t="inlineStr">
        <is>
          <t>Draw</t>
        </is>
      </c>
      <c r="F4493" s="5" t="n">
        <v>975</v>
      </c>
      <c r="G4493" s="5" t="n">
        <v>6251</v>
      </c>
      <c r="H4493" s="5" t="n">
        <v>316</v>
      </c>
      <c r="I4493" s="5" t="n">
        <v>78</v>
      </c>
      <c r="J4493" s="5" t="n">
        <v>215</v>
      </c>
      <c r="K4493" s="10">
        <f>IF(F4493&gt;0,H4493/F4493,"")</f>
        <v/>
      </c>
      <c r="L4493" s="16">
        <f>IF(AND(G4493&gt;0,H4493&gt;0),G4493/H4493,"")</f>
        <v/>
      </c>
    </row>
    <row r="4494">
      <c r="A4494" s="4" t="inlineStr">
        <is>
          <t>621</t>
        </is>
      </c>
      <c r="B4494" s="4" t="n">
        <v>6</v>
      </c>
      <c r="C4494" s="4" t="inlineStr">
        <is>
          <t>elk</t>
        </is>
      </c>
      <c r="D4494" s="4" t="n">
        <v>2008</v>
      </c>
      <c r="E4494" s="15" t="inlineStr">
        <is>
          <t>Draw</t>
        </is>
      </c>
      <c r="F4494" s="5" t="n">
        <v>693</v>
      </c>
      <c r="G4494" s="5" t="n">
        <v>4210</v>
      </c>
      <c r="H4494" s="5" t="n">
        <v>171</v>
      </c>
      <c r="I4494" s="5" t="n">
        <v>48</v>
      </c>
      <c r="J4494" s="5" t="n">
        <v>119</v>
      </c>
      <c r="K4494" s="10">
        <f>IF(F4494&gt;0,H4494/F4494,"")</f>
        <v/>
      </c>
      <c r="L4494" s="16">
        <f>IF(AND(G4494&gt;0,H4494&gt;0),G4494/H4494,"")</f>
        <v/>
      </c>
    </row>
    <row r="4495">
      <c r="A4495" s="4" t="inlineStr">
        <is>
          <t>621</t>
        </is>
      </c>
      <c r="B4495" s="4" t="n">
        <v>6</v>
      </c>
      <c r="C4495" s="4" t="inlineStr">
        <is>
          <t>elk</t>
        </is>
      </c>
      <c r="D4495" s="4" t="n">
        <v>2009</v>
      </c>
      <c r="E4495" s="15" t="inlineStr">
        <is>
          <t>Draw</t>
        </is>
      </c>
      <c r="F4495" s="5" t="n">
        <v>809</v>
      </c>
      <c r="G4495" s="5" t="n">
        <v>4804</v>
      </c>
      <c r="H4495" s="5" t="n">
        <v>148</v>
      </c>
      <c r="I4495" s="5" t="n">
        <v>53</v>
      </c>
      <c r="J4495" s="5" t="n">
        <v>92</v>
      </c>
      <c r="K4495" s="10">
        <f>IF(F4495&gt;0,H4495/F4495,"")</f>
        <v/>
      </c>
      <c r="L4495" s="16">
        <f>IF(AND(G4495&gt;0,H4495&gt;0),G4495/H4495,"")</f>
        <v/>
      </c>
    </row>
    <row r="4496">
      <c r="A4496" s="4" t="inlineStr">
        <is>
          <t>621</t>
        </is>
      </c>
      <c r="B4496" s="4" t="n">
        <v>6</v>
      </c>
      <c r="C4496" s="4" t="inlineStr">
        <is>
          <t>elk</t>
        </is>
      </c>
      <c r="D4496" s="4" t="n">
        <v>2010</v>
      </c>
      <c r="E4496" s="15" t="inlineStr">
        <is>
          <t>Draw</t>
        </is>
      </c>
      <c r="F4496" s="5" t="n">
        <v>499</v>
      </c>
      <c r="G4496" s="5" t="n">
        <v>3279</v>
      </c>
      <c r="H4496" s="5" t="n">
        <v>114</v>
      </c>
      <c r="I4496" s="5" t="n">
        <v>53</v>
      </c>
      <c r="J4496" s="5" t="n">
        <v>53</v>
      </c>
      <c r="K4496" s="10">
        <f>IF(F4496&gt;0,H4496/F4496,"")</f>
        <v/>
      </c>
      <c r="L4496" s="16">
        <f>IF(AND(G4496&gt;0,H4496&gt;0),G4496/H4496,"")</f>
        <v/>
      </c>
    </row>
    <row r="4497">
      <c r="A4497" s="4" t="inlineStr">
        <is>
          <t>621</t>
        </is>
      </c>
      <c r="B4497" s="4" t="n">
        <v>6</v>
      </c>
      <c r="C4497" s="4" t="inlineStr">
        <is>
          <t>elk</t>
        </is>
      </c>
      <c r="D4497" s="4" t="n">
        <v>2011</v>
      </c>
      <c r="E4497" s="15" t="inlineStr">
        <is>
          <t>Draw</t>
        </is>
      </c>
      <c r="F4497" s="5" t="n">
        <v>529</v>
      </c>
      <c r="G4497" s="5" t="n">
        <v>3165</v>
      </c>
      <c r="H4497" s="5" t="n">
        <v>147</v>
      </c>
      <c r="I4497" s="5" t="n">
        <v>33</v>
      </c>
      <c r="J4497" s="5" t="n">
        <v>109</v>
      </c>
      <c r="K4497" s="10">
        <f>IF(F4497&gt;0,H4497/F4497,"")</f>
        <v/>
      </c>
      <c r="L4497" s="16">
        <f>IF(AND(G4497&gt;0,H4497&gt;0),G4497/H4497,"")</f>
        <v/>
      </c>
    </row>
    <row r="4498">
      <c r="A4498" s="4" t="inlineStr">
        <is>
          <t>621</t>
        </is>
      </c>
      <c r="B4498" s="4" t="n">
        <v>6</v>
      </c>
      <c r="C4498" s="4" t="inlineStr">
        <is>
          <t>elk</t>
        </is>
      </c>
      <c r="D4498" s="4" t="n">
        <v>2012</v>
      </c>
      <c r="E4498" s="15" t="inlineStr">
        <is>
          <t>Draw</t>
        </is>
      </c>
      <c r="F4498" s="5" t="n">
        <v>587</v>
      </c>
      <c r="G4498" s="5" t="n">
        <v>3971</v>
      </c>
      <c r="H4498" s="5" t="n">
        <v>136</v>
      </c>
      <c r="I4498" s="5" t="n">
        <v>60</v>
      </c>
      <c r="J4498" s="5" t="n">
        <v>70</v>
      </c>
      <c r="K4498" s="10">
        <f>IF(F4498&gt;0,H4498/F4498,"")</f>
        <v/>
      </c>
      <c r="L4498" s="16">
        <f>IF(AND(G4498&gt;0,H4498&gt;0),G4498/H4498,"")</f>
        <v/>
      </c>
    </row>
    <row r="4499">
      <c r="A4499" s="4" t="inlineStr">
        <is>
          <t>621</t>
        </is>
      </c>
      <c r="B4499" s="4" t="n">
        <v>6</v>
      </c>
      <c r="C4499" s="4" t="inlineStr">
        <is>
          <t>elk</t>
        </is>
      </c>
      <c r="D4499" s="4" t="n">
        <v>2013</v>
      </c>
      <c r="E4499" s="15" t="inlineStr">
        <is>
          <t>Draw</t>
        </is>
      </c>
      <c r="F4499" s="5" t="n"/>
      <c r="G4499" s="5" t="n"/>
      <c r="H4499" s="5" t="n">
        <v>118</v>
      </c>
      <c r="I4499" s="5" t="n">
        <v>54</v>
      </c>
      <c r="J4499" s="5" t="n">
        <v>62</v>
      </c>
      <c r="K4499" s="10">
        <f>IF(F4499&gt;0,H4499/F4499,"")</f>
        <v/>
      </c>
      <c r="L4499" s="16">
        <f>IF(AND(G4499&gt;0,H4499&gt;0),G4499/H4499,"")</f>
        <v/>
      </c>
    </row>
    <row r="4500">
      <c r="A4500" s="4" t="inlineStr">
        <is>
          <t>621</t>
        </is>
      </c>
      <c r="B4500" s="4" t="n">
        <v>6</v>
      </c>
      <c r="C4500" s="4" t="inlineStr">
        <is>
          <t>elk</t>
        </is>
      </c>
      <c r="D4500" s="4" t="n">
        <v>2014</v>
      </c>
      <c r="E4500" s="15" t="inlineStr">
        <is>
          <t>Draw</t>
        </is>
      </c>
      <c r="F4500" s="5" t="n">
        <v>584</v>
      </c>
      <c r="G4500" s="5" t="n">
        <v>3813</v>
      </c>
      <c r="H4500" s="5" t="n">
        <v>85</v>
      </c>
      <c r="I4500" s="5" t="n">
        <v>67</v>
      </c>
      <c r="J4500" s="5" t="n">
        <v>16</v>
      </c>
      <c r="K4500" s="10">
        <f>IF(F4500&gt;0,H4500/F4500,"")</f>
        <v/>
      </c>
      <c r="L4500" s="16">
        <f>IF(AND(G4500&gt;0,H4500&gt;0),G4500/H4500,"")</f>
        <v/>
      </c>
    </row>
    <row r="4501">
      <c r="A4501" s="4" t="inlineStr">
        <is>
          <t>621</t>
        </is>
      </c>
      <c r="B4501" s="4" t="n">
        <v>6</v>
      </c>
      <c r="C4501" s="4" t="inlineStr">
        <is>
          <t>elk</t>
        </is>
      </c>
      <c r="D4501" s="4" t="n">
        <v>2015</v>
      </c>
      <c r="E4501" s="15" t="inlineStr">
        <is>
          <t>Draw</t>
        </is>
      </c>
      <c r="F4501" s="5" t="n">
        <v>613</v>
      </c>
      <c r="G4501" s="5" t="n">
        <v>4395</v>
      </c>
      <c r="H4501" s="5" t="n">
        <v>176</v>
      </c>
      <c r="I4501" s="5" t="n">
        <v>55</v>
      </c>
      <c r="J4501" s="5" t="n">
        <v>120</v>
      </c>
      <c r="K4501" s="10">
        <f>IF(F4501&gt;0,H4501/F4501,"")</f>
        <v/>
      </c>
      <c r="L4501" s="16">
        <f>IF(AND(G4501&gt;0,H4501&gt;0),G4501/H4501,"")</f>
        <v/>
      </c>
    </row>
    <row r="4502">
      <c r="A4502" s="4" t="inlineStr">
        <is>
          <t>621</t>
        </is>
      </c>
      <c r="B4502" s="4" t="n">
        <v>6</v>
      </c>
      <c r="C4502" s="4" t="inlineStr">
        <is>
          <t>elk</t>
        </is>
      </c>
      <c r="D4502" s="4" t="n">
        <v>2016</v>
      </c>
      <c r="E4502" s="15" t="inlineStr">
        <is>
          <t>Draw</t>
        </is>
      </c>
      <c r="F4502" s="5" t="n">
        <v>842</v>
      </c>
      <c r="G4502" s="5" t="n">
        <v>5826</v>
      </c>
      <c r="H4502" s="5" t="n">
        <v>200</v>
      </c>
      <c r="I4502" s="5" t="n">
        <v>90</v>
      </c>
      <c r="J4502" s="5" t="n">
        <v>99</v>
      </c>
      <c r="K4502" s="10">
        <f>IF(F4502&gt;0,H4502/F4502,"")</f>
        <v/>
      </c>
      <c r="L4502" s="16">
        <f>IF(AND(G4502&gt;0,H4502&gt;0),G4502/H4502,"")</f>
        <v/>
      </c>
    </row>
    <row r="4503">
      <c r="A4503" s="4" t="inlineStr">
        <is>
          <t>621</t>
        </is>
      </c>
      <c r="B4503" s="4" t="n">
        <v>6</v>
      </c>
      <c r="C4503" s="4" t="inlineStr">
        <is>
          <t>elk</t>
        </is>
      </c>
      <c r="D4503" s="4" t="n">
        <v>2017</v>
      </c>
      <c r="E4503" s="15" t="inlineStr">
        <is>
          <t>Draw</t>
        </is>
      </c>
      <c r="F4503" s="5" t="n"/>
      <c r="G4503" s="5" t="n"/>
      <c r="H4503" s="5" t="n">
        <v>136</v>
      </c>
      <c r="I4503" s="5" t="n">
        <v>62</v>
      </c>
      <c r="J4503" s="5" t="n">
        <v>74</v>
      </c>
      <c r="K4503" s="10">
        <f>IF(F4503&gt;0,H4503/F4503,"")</f>
        <v/>
      </c>
      <c r="L4503" s="16">
        <f>IF(AND(G4503&gt;0,H4503&gt;0),G4503/H4503,"")</f>
        <v/>
      </c>
    </row>
    <row r="4504">
      <c r="A4504" s="4" t="inlineStr">
        <is>
          <t>621</t>
        </is>
      </c>
      <c r="B4504" s="4" t="n">
        <v>6</v>
      </c>
      <c r="C4504" s="4" t="inlineStr">
        <is>
          <t>elk</t>
        </is>
      </c>
      <c r="D4504" s="4" t="n">
        <v>2018</v>
      </c>
      <c r="E4504" s="15" t="inlineStr">
        <is>
          <t>Draw</t>
        </is>
      </c>
      <c r="F4504" s="5" t="n">
        <v>713</v>
      </c>
      <c r="G4504" s="5" t="n">
        <v>5069</v>
      </c>
      <c r="H4504" s="5" t="n">
        <v>117</v>
      </c>
      <c r="I4504" s="5" t="n">
        <v>46</v>
      </c>
      <c r="J4504" s="5" t="n">
        <v>71</v>
      </c>
      <c r="K4504" s="10">
        <f>IF(F4504&gt;0,H4504/F4504,"")</f>
        <v/>
      </c>
      <c r="L4504" s="16">
        <f>IF(AND(G4504&gt;0,H4504&gt;0),G4504/H4504,"")</f>
        <v/>
      </c>
    </row>
    <row r="4505">
      <c r="A4505" s="4" t="inlineStr">
        <is>
          <t>621</t>
        </is>
      </c>
      <c r="B4505" s="4" t="n">
        <v>6</v>
      </c>
      <c r="C4505" s="4" t="inlineStr">
        <is>
          <t>elk</t>
        </is>
      </c>
      <c r="D4505" s="4" t="n">
        <v>2019</v>
      </c>
      <c r="E4505" s="15" t="inlineStr">
        <is>
          <t>Draw</t>
        </is>
      </c>
      <c r="F4505" s="5" t="n"/>
      <c r="G4505" s="5" t="n"/>
      <c r="H4505" s="5" t="n">
        <v>94</v>
      </c>
      <c r="I4505" s="5" t="n">
        <v>48</v>
      </c>
      <c r="J4505" s="5" t="n">
        <v>46</v>
      </c>
      <c r="K4505" s="10">
        <f>IF(F4505&gt;0,H4505/F4505,"")</f>
        <v/>
      </c>
      <c r="L4505" s="16">
        <f>IF(AND(G4505&gt;0,H4505&gt;0),G4505/H4505,"")</f>
        <v/>
      </c>
    </row>
    <row r="4506">
      <c r="A4506" s="4" t="inlineStr">
        <is>
          <t>621</t>
        </is>
      </c>
      <c r="B4506" s="4" t="n">
        <v>6</v>
      </c>
      <c r="C4506" s="4" t="inlineStr">
        <is>
          <t>elk</t>
        </is>
      </c>
      <c r="D4506" s="4" t="n">
        <v>2020</v>
      </c>
      <c r="E4506" s="15" t="inlineStr">
        <is>
          <t>Draw</t>
        </is>
      </c>
      <c r="F4506" s="5" t="n">
        <v>722</v>
      </c>
      <c r="G4506" s="5" t="n">
        <v>5224</v>
      </c>
      <c r="H4506" s="5" t="n">
        <v>155</v>
      </c>
      <c r="I4506" s="5" t="n">
        <v>77</v>
      </c>
      <c r="J4506" s="5" t="n">
        <v>78</v>
      </c>
      <c r="K4506" s="10">
        <f>IF(F4506&gt;0,H4506/F4506,"")</f>
        <v/>
      </c>
      <c r="L4506" s="16">
        <f>IF(AND(G4506&gt;0,H4506&gt;0),G4506/H4506,"")</f>
        <v/>
      </c>
    </row>
    <row r="4507">
      <c r="A4507" s="4" t="inlineStr">
        <is>
          <t>621</t>
        </is>
      </c>
      <c r="B4507" s="4" t="n">
        <v>6</v>
      </c>
      <c r="C4507" s="4" t="inlineStr">
        <is>
          <t>elk</t>
        </is>
      </c>
      <c r="D4507" s="4" t="n">
        <v>2021</v>
      </c>
      <c r="E4507" s="15" t="inlineStr">
        <is>
          <t>Draw</t>
        </is>
      </c>
      <c r="F4507" s="5" t="n"/>
      <c r="G4507" s="5" t="n"/>
      <c r="H4507" s="5" t="n">
        <v>144</v>
      </c>
      <c r="I4507" s="5" t="n">
        <v>60</v>
      </c>
      <c r="J4507" s="5" t="n">
        <v>84</v>
      </c>
      <c r="K4507" s="10">
        <f>IF(F4507&gt;0,H4507/F4507,"")</f>
        <v/>
      </c>
      <c r="L4507" s="16">
        <f>IF(AND(G4507&gt;0,H4507&gt;0),G4507/H4507,"")</f>
        <v/>
      </c>
    </row>
    <row r="4508">
      <c r="A4508" s="4" t="inlineStr">
        <is>
          <t>621</t>
        </is>
      </c>
      <c r="B4508" s="4" t="n">
        <v>6</v>
      </c>
      <c r="C4508" s="4" t="inlineStr">
        <is>
          <t>elk</t>
        </is>
      </c>
      <c r="D4508" s="4" t="n">
        <v>2022</v>
      </c>
      <c r="E4508" s="15" t="inlineStr">
        <is>
          <t>Draw</t>
        </is>
      </c>
      <c r="F4508" s="5" t="n">
        <v>525</v>
      </c>
      <c r="G4508" s="5" t="n">
        <v>3704</v>
      </c>
      <c r="H4508" s="5" t="n">
        <v>118</v>
      </c>
      <c r="I4508" s="5" t="n">
        <v>77</v>
      </c>
      <c r="J4508" s="5" t="n">
        <v>41</v>
      </c>
      <c r="K4508" s="10">
        <f>IF(F4508&gt;0,H4508/F4508,"")</f>
        <v/>
      </c>
      <c r="L4508" s="16">
        <f>IF(AND(G4508&gt;0,H4508&gt;0),G4508/H4508,"")</f>
        <v/>
      </c>
    </row>
    <row r="4509">
      <c r="A4509" s="4" t="inlineStr">
        <is>
          <t>621</t>
        </is>
      </c>
      <c r="B4509" s="4" t="n">
        <v>6</v>
      </c>
      <c r="C4509" s="4" t="inlineStr">
        <is>
          <t>elk</t>
        </is>
      </c>
      <c r="D4509" s="4" t="n">
        <v>2023</v>
      </c>
      <c r="E4509" s="15" t="inlineStr">
        <is>
          <t>Draw</t>
        </is>
      </c>
      <c r="F4509" s="5" t="n"/>
      <c r="G4509" s="5" t="n"/>
      <c r="H4509" s="5" t="n">
        <v>126</v>
      </c>
      <c r="I4509" s="5" t="n">
        <v>72</v>
      </c>
      <c r="J4509" s="5" t="n">
        <v>51</v>
      </c>
      <c r="K4509" s="10">
        <f>IF(F4509&gt;0,H4509/F4509,"")</f>
        <v/>
      </c>
      <c r="L4509" s="16">
        <f>IF(AND(G4509&gt;0,H4509&gt;0),G4509/H4509,"")</f>
        <v/>
      </c>
    </row>
    <row r="4510">
      <c r="A4510" s="4" t="inlineStr">
        <is>
          <t>621</t>
        </is>
      </c>
      <c r="B4510" s="4" t="n">
        <v>6</v>
      </c>
      <c r="C4510" s="4" t="inlineStr">
        <is>
          <t>elk</t>
        </is>
      </c>
      <c r="D4510" s="4" t="n">
        <v>2024</v>
      </c>
      <c r="E4510" s="15" t="inlineStr">
        <is>
          <t>Draw</t>
        </is>
      </c>
      <c r="F4510" s="5" t="n">
        <v>582</v>
      </c>
      <c r="G4510" s="5" t="n">
        <v>4593</v>
      </c>
      <c r="H4510" s="5" t="n">
        <v>94</v>
      </c>
      <c r="I4510" s="5" t="n">
        <v>58</v>
      </c>
      <c r="J4510" s="5" t="n">
        <v>36</v>
      </c>
      <c r="K4510" s="10">
        <f>IF(F4510&gt;0,H4510/F4510,"")</f>
        <v/>
      </c>
      <c r="L4510" s="16">
        <f>IF(AND(G4510&gt;0,H4510&gt;0),G4510/H4510,"")</f>
        <v/>
      </c>
    </row>
    <row r="4511">
      <c r="A4511" s="4" t="inlineStr">
        <is>
          <t>621</t>
        </is>
      </c>
      <c r="B4511" s="4" t="n">
        <v>6</v>
      </c>
      <c r="C4511" s="4" t="inlineStr">
        <is>
          <t>elk</t>
        </is>
      </c>
      <c r="D4511" s="4" t="n">
        <v>2025</v>
      </c>
      <c r="E4511" s="15" t="inlineStr">
        <is>
          <t>Draw</t>
        </is>
      </c>
      <c r="F4511" s="5" t="n"/>
      <c r="G4511" s="5" t="n"/>
      <c r="H4511" s="5" t="n">
        <v>93</v>
      </c>
      <c r="I4511" s="5" t="n">
        <v>54</v>
      </c>
      <c r="J4511" s="5" t="n">
        <v>39</v>
      </c>
      <c r="K4511" s="10">
        <f>IF(F4511&gt;0,H4511/F4511,"")</f>
        <v/>
      </c>
      <c r="L4511" s="16">
        <f>IF(AND(G4511&gt;0,H4511&gt;0),G4511/H4511,"")</f>
        <v/>
      </c>
    </row>
    <row r="4512">
      <c r="A4512" s="4" t="inlineStr">
        <is>
          <t>622</t>
        </is>
      </c>
      <c r="B4512" s="4" t="n">
        <v>6</v>
      </c>
      <c r="C4512" s="4" t="inlineStr">
        <is>
          <t>elk</t>
        </is>
      </c>
      <c r="D4512" s="4" t="n">
        <v>2004</v>
      </c>
      <c r="E4512" s="15" t="inlineStr">
        <is>
          <t>Draw</t>
        </is>
      </c>
      <c r="F4512" s="5" t="n">
        <v>319</v>
      </c>
      <c r="G4512" s="5" t="n">
        <v>2128</v>
      </c>
      <c r="H4512" s="5" t="n">
        <v>111</v>
      </c>
      <c r="I4512" s="5" t="n">
        <v>73</v>
      </c>
      <c r="J4512" s="5" t="n">
        <v>36</v>
      </c>
      <c r="K4512" s="10">
        <f>IF(F4512&gt;0,H4512/F4512,"")</f>
        <v/>
      </c>
      <c r="L4512" s="16">
        <f>IF(AND(G4512&gt;0,H4512&gt;0),G4512/H4512,"")</f>
        <v/>
      </c>
    </row>
    <row r="4513">
      <c r="A4513" s="4" t="inlineStr">
        <is>
          <t>622</t>
        </is>
      </c>
      <c r="B4513" s="4" t="n">
        <v>6</v>
      </c>
      <c r="C4513" s="4" t="inlineStr">
        <is>
          <t>elk</t>
        </is>
      </c>
      <c r="D4513" s="4" t="n">
        <v>2005</v>
      </c>
      <c r="E4513" s="15" t="inlineStr">
        <is>
          <t>Draw</t>
        </is>
      </c>
      <c r="F4513" s="5" t="n">
        <v>339</v>
      </c>
      <c r="G4513" s="5" t="n">
        <v>2183</v>
      </c>
      <c r="H4513" s="5" t="n">
        <v>75</v>
      </c>
      <c r="I4513" s="5" t="n">
        <v>45</v>
      </c>
      <c r="J4513" s="5" t="n">
        <v>29</v>
      </c>
      <c r="K4513" s="10">
        <f>IF(F4513&gt;0,H4513/F4513,"")</f>
        <v/>
      </c>
      <c r="L4513" s="16">
        <f>IF(AND(G4513&gt;0,H4513&gt;0),G4513/H4513,"")</f>
        <v/>
      </c>
    </row>
    <row r="4514">
      <c r="A4514" s="4" t="inlineStr">
        <is>
          <t>622</t>
        </is>
      </c>
      <c r="B4514" s="4" t="n">
        <v>6</v>
      </c>
      <c r="C4514" s="4" t="inlineStr">
        <is>
          <t>elk</t>
        </is>
      </c>
      <c r="D4514" s="4" t="n">
        <v>2006</v>
      </c>
      <c r="E4514" s="15" t="inlineStr">
        <is>
          <t>Draw</t>
        </is>
      </c>
      <c r="F4514" s="5" t="n">
        <v>525</v>
      </c>
      <c r="G4514" s="5" t="n">
        <v>2733</v>
      </c>
      <c r="H4514" s="5" t="n">
        <v>211</v>
      </c>
      <c r="I4514" s="5" t="n">
        <v>61</v>
      </c>
      <c r="J4514" s="5" t="n">
        <v>129</v>
      </c>
      <c r="K4514" s="10">
        <f>IF(F4514&gt;0,H4514/F4514,"")</f>
        <v/>
      </c>
      <c r="L4514" s="16">
        <f>IF(AND(G4514&gt;0,H4514&gt;0),G4514/H4514,"")</f>
        <v/>
      </c>
    </row>
    <row r="4515">
      <c r="A4515" s="4" t="inlineStr">
        <is>
          <t>622</t>
        </is>
      </c>
      <c r="B4515" s="4" t="n">
        <v>6</v>
      </c>
      <c r="C4515" s="4" t="inlineStr">
        <is>
          <t>elk</t>
        </is>
      </c>
      <c r="D4515" s="4" t="n">
        <v>2007</v>
      </c>
      <c r="E4515" s="15" t="inlineStr">
        <is>
          <t>Draw</t>
        </is>
      </c>
      <c r="F4515" s="5" t="n">
        <v>730</v>
      </c>
      <c r="G4515" s="5" t="n">
        <v>3437</v>
      </c>
      <c r="H4515" s="5" t="n">
        <v>350</v>
      </c>
      <c r="I4515" s="5" t="n">
        <v>97</v>
      </c>
      <c r="J4515" s="5" t="n">
        <v>237</v>
      </c>
      <c r="K4515" s="10">
        <f>IF(F4515&gt;0,H4515/F4515,"")</f>
        <v/>
      </c>
      <c r="L4515" s="16">
        <f>IF(AND(G4515&gt;0,H4515&gt;0),G4515/H4515,"")</f>
        <v/>
      </c>
    </row>
    <row r="4516">
      <c r="A4516" s="4" t="inlineStr">
        <is>
          <t>622</t>
        </is>
      </c>
      <c r="B4516" s="4" t="n">
        <v>6</v>
      </c>
      <c r="C4516" s="4" t="inlineStr">
        <is>
          <t>elk</t>
        </is>
      </c>
      <c r="D4516" s="4" t="n">
        <v>2008</v>
      </c>
      <c r="E4516" s="15" t="inlineStr">
        <is>
          <t>Draw</t>
        </is>
      </c>
      <c r="F4516" s="5" t="n">
        <v>995</v>
      </c>
      <c r="G4516" s="5" t="n">
        <v>5565</v>
      </c>
      <c r="H4516" s="5" t="n">
        <v>346</v>
      </c>
      <c r="I4516" s="5" t="n">
        <v>89</v>
      </c>
      <c r="J4516" s="5" t="n">
        <v>233</v>
      </c>
      <c r="K4516" s="10">
        <f>IF(F4516&gt;0,H4516/F4516,"")</f>
        <v/>
      </c>
      <c r="L4516" s="16">
        <f>IF(AND(G4516&gt;0,H4516&gt;0),G4516/H4516,"")</f>
        <v/>
      </c>
    </row>
    <row r="4517">
      <c r="A4517" s="4" t="inlineStr">
        <is>
          <t>622</t>
        </is>
      </c>
      <c r="B4517" s="4" t="n">
        <v>6</v>
      </c>
      <c r="C4517" s="4" t="inlineStr">
        <is>
          <t>elk</t>
        </is>
      </c>
      <c r="D4517" s="4" t="n">
        <v>2009</v>
      </c>
      <c r="E4517" s="15" t="inlineStr">
        <is>
          <t>Draw</t>
        </is>
      </c>
      <c r="F4517" s="5" t="n">
        <v>913</v>
      </c>
      <c r="G4517" s="5" t="n">
        <v>4821</v>
      </c>
      <c r="H4517" s="5" t="n">
        <v>318</v>
      </c>
      <c r="I4517" s="5" t="n">
        <v>76</v>
      </c>
      <c r="J4517" s="5" t="n">
        <v>227</v>
      </c>
      <c r="K4517" s="10">
        <f>IF(F4517&gt;0,H4517/F4517,"")</f>
        <v/>
      </c>
      <c r="L4517" s="16">
        <f>IF(AND(G4517&gt;0,H4517&gt;0),G4517/H4517,"")</f>
        <v/>
      </c>
    </row>
    <row r="4518">
      <c r="A4518" s="4" t="inlineStr">
        <is>
          <t>622</t>
        </is>
      </c>
      <c r="B4518" s="4" t="n">
        <v>6</v>
      </c>
      <c r="C4518" s="4" t="inlineStr">
        <is>
          <t>elk</t>
        </is>
      </c>
      <c r="D4518" s="4" t="n">
        <v>2010</v>
      </c>
      <c r="E4518" s="15" t="inlineStr">
        <is>
          <t>Draw</t>
        </is>
      </c>
      <c r="F4518" s="5" t="n">
        <v>740</v>
      </c>
      <c r="G4518" s="5" t="n">
        <v>4175</v>
      </c>
      <c r="H4518" s="5" t="n">
        <v>307</v>
      </c>
      <c r="I4518" s="5" t="n">
        <v>52</v>
      </c>
      <c r="J4518" s="5" t="n">
        <v>242</v>
      </c>
      <c r="K4518" s="10">
        <f>IF(F4518&gt;0,H4518/F4518,"")</f>
        <v/>
      </c>
      <c r="L4518" s="16">
        <f>IF(AND(G4518&gt;0,H4518&gt;0),G4518/H4518,"")</f>
        <v/>
      </c>
    </row>
    <row r="4519">
      <c r="A4519" s="4" t="inlineStr">
        <is>
          <t>622</t>
        </is>
      </c>
      <c r="B4519" s="4" t="n">
        <v>6</v>
      </c>
      <c r="C4519" s="4" t="inlineStr">
        <is>
          <t>elk</t>
        </is>
      </c>
      <c r="D4519" s="4" t="n">
        <v>2011</v>
      </c>
      <c r="E4519" s="15" t="inlineStr">
        <is>
          <t>Draw</t>
        </is>
      </c>
      <c r="F4519" s="5" t="n">
        <v>725</v>
      </c>
      <c r="G4519" s="5" t="n">
        <v>3741</v>
      </c>
      <c r="H4519" s="5" t="n">
        <v>340</v>
      </c>
      <c r="I4519" s="5" t="n">
        <v>87</v>
      </c>
      <c r="J4519" s="5" t="n">
        <v>235</v>
      </c>
      <c r="K4519" s="10">
        <f>IF(F4519&gt;0,H4519/F4519,"")</f>
        <v/>
      </c>
      <c r="L4519" s="16">
        <f>IF(AND(G4519&gt;0,H4519&gt;0),G4519/H4519,"")</f>
        <v/>
      </c>
    </row>
    <row r="4520">
      <c r="A4520" s="4" t="inlineStr">
        <is>
          <t>622</t>
        </is>
      </c>
      <c r="B4520" s="4" t="n">
        <v>6</v>
      </c>
      <c r="C4520" s="4" t="inlineStr">
        <is>
          <t>elk</t>
        </is>
      </c>
      <c r="D4520" s="4" t="n">
        <v>2012</v>
      </c>
      <c r="E4520" s="15" t="inlineStr">
        <is>
          <t>Draw</t>
        </is>
      </c>
      <c r="F4520" s="5" t="n">
        <v>545</v>
      </c>
      <c r="G4520" s="5" t="n">
        <v>3023</v>
      </c>
      <c r="H4520" s="5" t="n">
        <v>141</v>
      </c>
      <c r="I4520" s="5" t="n">
        <v>38</v>
      </c>
      <c r="J4520" s="5" t="n">
        <v>101</v>
      </c>
      <c r="K4520" s="10">
        <f>IF(F4520&gt;0,H4520/F4520,"")</f>
        <v/>
      </c>
      <c r="L4520" s="16">
        <f>IF(AND(G4520&gt;0,H4520&gt;0),G4520/H4520,"")</f>
        <v/>
      </c>
    </row>
    <row r="4521">
      <c r="A4521" s="4" t="inlineStr">
        <is>
          <t>622</t>
        </is>
      </c>
      <c r="B4521" s="4" t="n">
        <v>6</v>
      </c>
      <c r="C4521" s="4" t="inlineStr">
        <is>
          <t>elk</t>
        </is>
      </c>
      <c r="D4521" s="4" t="n">
        <v>2013</v>
      </c>
      <c r="E4521" s="15" t="inlineStr">
        <is>
          <t>Draw</t>
        </is>
      </c>
      <c r="F4521" s="5" t="n"/>
      <c r="G4521" s="5" t="n"/>
      <c r="H4521" s="5" t="n">
        <v>233</v>
      </c>
      <c r="I4521" s="5" t="n">
        <v>42</v>
      </c>
      <c r="J4521" s="5" t="n">
        <v>183</v>
      </c>
      <c r="K4521" s="10">
        <f>IF(F4521&gt;0,H4521/F4521,"")</f>
        <v/>
      </c>
      <c r="L4521" s="16">
        <f>IF(AND(G4521&gt;0,H4521&gt;0),G4521/H4521,"")</f>
        <v/>
      </c>
    </row>
    <row r="4522">
      <c r="A4522" s="4" t="inlineStr">
        <is>
          <t>622</t>
        </is>
      </c>
      <c r="B4522" s="4" t="n">
        <v>6</v>
      </c>
      <c r="C4522" s="4" t="inlineStr">
        <is>
          <t>elk</t>
        </is>
      </c>
      <c r="D4522" s="4" t="n">
        <v>2014</v>
      </c>
      <c r="E4522" s="15" t="inlineStr">
        <is>
          <t>Draw</t>
        </is>
      </c>
      <c r="F4522" s="5" t="n">
        <v>588</v>
      </c>
      <c r="G4522" s="5" t="n">
        <v>3679</v>
      </c>
      <c r="H4522" s="5" t="n">
        <v>119</v>
      </c>
      <c r="I4522" s="5" t="n">
        <v>51</v>
      </c>
      <c r="J4522" s="5" t="n">
        <v>66</v>
      </c>
      <c r="K4522" s="10">
        <f>IF(F4522&gt;0,H4522/F4522,"")</f>
        <v/>
      </c>
      <c r="L4522" s="16">
        <f>IF(AND(G4522&gt;0,H4522&gt;0),G4522/H4522,"")</f>
        <v/>
      </c>
    </row>
    <row r="4523">
      <c r="A4523" s="4" t="inlineStr">
        <is>
          <t>622</t>
        </is>
      </c>
      <c r="B4523" s="4" t="n">
        <v>6</v>
      </c>
      <c r="C4523" s="4" t="inlineStr">
        <is>
          <t>elk</t>
        </is>
      </c>
      <c r="D4523" s="4" t="n">
        <v>2015</v>
      </c>
      <c r="E4523" s="15" t="inlineStr">
        <is>
          <t>Draw</t>
        </is>
      </c>
      <c r="F4523" s="5" t="n">
        <v>577</v>
      </c>
      <c r="G4523" s="5" t="n">
        <v>3474</v>
      </c>
      <c r="H4523" s="5" t="n">
        <v>281</v>
      </c>
      <c r="I4523" s="5" t="n">
        <v>30</v>
      </c>
      <c r="J4523" s="5" t="n">
        <v>238</v>
      </c>
      <c r="K4523" s="10">
        <f>IF(F4523&gt;0,H4523/F4523,"")</f>
        <v/>
      </c>
      <c r="L4523" s="16">
        <f>IF(AND(G4523&gt;0,H4523&gt;0),G4523/H4523,"")</f>
        <v/>
      </c>
    </row>
    <row r="4524">
      <c r="A4524" s="4" t="inlineStr">
        <is>
          <t>622</t>
        </is>
      </c>
      <c r="B4524" s="4" t="n">
        <v>6</v>
      </c>
      <c r="C4524" s="4" t="inlineStr">
        <is>
          <t>elk</t>
        </is>
      </c>
      <c r="D4524" s="4" t="n">
        <v>2016</v>
      </c>
      <c r="E4524" s="15" t="inlineStr">
        <is>
          <t>Draw</t>
        </is>
      </c>
      <c r="F4524" s="5" t="n">
        <v>725</v>
      </c>
      <c r="G4524" s="5" t="n">
        <v>4223</v>
      </c>
      <c r="H4524" s="5" t="n">
        <v>248</v>
      </c>
      <c r="I4524" s="5" t="n">
        <v>69</v>
      </c>
      <c r="J4524" s="5" t="n">
        <v>174</v>
      </c>
      <c r="K4524" s="10">
        <f>IF(F4524&gt;0,H4524/F4524,"")</f>
        <v/>
      </c>
      <c r="L4524" s="16">
        <f>IF(AND(G4524&gt;0,H4524&gt;0),G4524/H4524,"")</f>
        <v/>
      </c>
    </row>
    <row r="4525">
      <c r="A4525" s="4" t="inlineStr">
        <is>
          <t>622</t>
        </is>
      </c>
      <c r="B4525" s="4" t="n">
        <v>6</v>
      </c>
      <c r="C4525" s="4" t="inlineStr">
        <is>
          <t>elk</t>
        </is>
      </c>
      <c r="D4525" s="4" t="n">
        <v>2017</v>
      </c>
      <c r="E4525" s="15" t="inlineStr">
        <is>
          <t>Draw</t>
        </is>
      </c>
      <c r="F4525" s="5" t="n"/>
      <c r="G4525" s="5" t="n"/>
      <c r="H4525" s="5" t="n">
        <v>189</v>
      </c>
      <c r="I4525" s="5" t="n">
        <v>54</v>
      </c>
      <c r="J4525" s="5" t="n">
        <v>129</v>
      </c>
      <c r="K4525" s="10">
        <f>IF(F4525&gt;0,H4525/F4525,"")</f>
        <v/>
      </c>
      <c r="L4525" s="16">
        <f>IF(AND(G4525&gt;0,H4525&gt;0),G4525/H4525,"")</f>
        <v/>
      </c>
    </row>
    <row r="4526">
      <c r="A4526" s="4" t="inlineStr">
        <is>
          <t>622</t>
        </is>
      </c>
      <c r="B4526" s="4" t="n">
        <v>6</v>
      </c>
      <c r="C4526" s="4" t="inlineStr">
        <is>
          <t>elk</t>
        </is>
      </c>
      <c r="D4526" s="4" t="n">
        <v>2018</v>
      </c>
      <c r="E4526" s="15" t="inlineStr">
        <is>
          <t>Draw</t>
        </is>
      </c>
      <c r="F4526" s="5" t="n">
        <v>712</v>
      </c>
      <c r="G4526" s="5" t="n">
        <v>4847</v>
      </c>
      <c r="H4526" s="5" t="n">
        <v>241</v>
      </c>
      <c r="I4526" s="5" t="n">
        <v>77</v>
      </c>
      <c r="J4526" s="5" t="n">
        <v>157</v>
      </c>
      <c r="K4526" s="10">
        <f>IF(F4526&gt;0,H4526/F4526,"")</f>
        <v/>
      </c>
      <c r="L4526" s="16">
        <f>IF(AND(G4526&gt;0,H4526&gt;0),G4526/H4526,"")</f>
        <v/>
      </c>
    </row>
    <row r="4527">
      <c r="A4527" s="4" t="inlineStr">
        <is>
          <t>622</t>
        </is>
      </c>
      <c r="B4527" s="4" t="n">
        <v>6</v>
      </c>
      <c r="C4527" s="4" t="inlineStr">
        <is>
          <t>elk</t>
        </is>
      </c>
      <c r="D4527" s="4" t="n">
        <v>2019</v>
      </c>
      <c r="E4527" s="15" t="inlineStr">
        <is>
          <t>Draw</t>
        </is>
      </c>
      <c r="F4527" s="5" t="n"/>
      <c r="G4527" s="5" t="n"/>
      <c r="H4527" s="5" t="n">
        <v>201</v>
      </c>
      <c r="I4527" s="5" t="n">
        <v>61</v>
      </c>
      <c r="J4527" s="5" t="n">
        <v>137</v>
      </c>
      <c r="K4527" s="10">
        <f>IF(F4527&gt;0,H4527/F4527,"")</f>
        <v/>
      </c>
      <c r="L4527" s="16">
        <f>IF(AND(G4527&gt;0,H4527&gt;0),G4527/H4527,"")</f>
        <v/>
      </c>
    </row>
    <row r="4528">
      <c r="A4528" s="4" t="inlineStr">
        <is>
          <t>622</t>
        </is>
      </c>
      <c r="B4528" s="4" t="n">
        <v>6</v>
      </c>
      <c r="C4528" s="4" t="inlineStr">
        <is>
          <t>elk</t>
        </is>
      </c>
      <c r="D4528" s="4" t="n">
        <v>2020</v>
      </c>
      <c r="E4528" s="15" t="inlineStr">
        <is>
          <t>Draw</t>
        </is>
      </c>
      <c r="F4528" s="5" t="n">
        <v>746</v>
      </c>
      <c r="G4528" s="5" t="n">
        <v>4381</v>
      </c>
      <c r="H4528" s="5" t="n">
        <v>264</v>
      </c>
      <c r="I4528" s="5" t="n">
        <v>82</v>
      </c>
      <c r="J4528" s="5" t="n">
        <v>170</v>
      </c>
      <c r="K4528" s="10">
        <f>IF(F4528&gt;0,H4528/F4528,"")</f>
        <v/>
      </c>
      <c r="L4528" s="16">
        <f>IF(AND(G4528&gt;0,H4528&gt;0),G4528/H4528,"")</f>
        <v/>
      </c>
    </row>
    <row r="4529">
      <c r="A4529" s="4" t="inlineStr">
        <is>
          <t>622</t>
        </is>
      </c>
      <c r="B4529" s="4" t="n">
        <v>6</v>
      </c>
      <c r="C4529" s="4" t="inlineStr">
        <is>
          <t>elk</t>
        </is>
      </c>
      <c r="D4529" s="4" t="n">
        <v>2021</v>
      </c>
      <c r="E4529" s="15" t="inlineStr">
        <is>
          <t>Draw</t>
        </is>
      </c>
      <c r="F4529" s="5" t="n"/>
      <c r="G4529" s="5" t="n"/>
      <c r="H4529" s="5" t="n">
        <v>234</v>
      </c>
      <c r="I4529" s="5" t="n">
        <v>90</v>
      </c>
      <c r="J4529" s="5" t="n">
        <v>129</v>
      </c>
      <c r="K4529" s="10">
        <f>IF(F4529&gt;0,H4529/F4529,"")</f>
        <v/>
      </c>
      <c r="L4529" s="16">
        <f>IF(AND(G4529&gt;0,H4529&gt;0),G4529/H4529,"")</f>
        <v/>
      </c>
    </row>
    <row r="4530">
      <c r="A4530" s="4" t="inlineStr">
        <is>
          <t>622</t>
        </is>
      </c>
      <c r="B4530" s="4" t="n">
        <v>6</v>
      </c>
      <c r="C4530" s="4" t="inlineStr">
        <is>
          <t>elk</t>
        </is>
      </c>
      <c r="D4530" s="4" t="n">
        <v>2022</v>
      </c>
      <c r="E4530" s="15" t="inlineStr">
        <is>
          <t>Draw</t>
        </is>
      </c>
      <c r="F4530" s="5" t="n">
        <v>542</v>
      </c>
      <c r="G4530" s="5" t="n">
        <v>3553</v>
      </c>
      <c r="H4530" s="5" t="n">
        <v>138</v>
      </c>
      <c r="I4530" s="5" t="n">
        <v>72</v>
      </c>
      <c r="J4530" s="5" t="n">
        <v>65</v>
      </c>
      <c r="K4530" s="10">
        <f>IF(F4530&gt;0,H4530/F4530,"")</f>
        <v/>
      </c>
      <c r="L4530" s="16">
        <f>IF(AND(G4530&gt;0,H4530&gt;0),G4530/H4530,"")</f>
        <v/>
      </c>
    </row>
    <row r="4531">
      <c r="A4531" s="4" t="inlineStr">
        <is>
          <t>622</t>
        </is>
      </c>
      <c r="B4531" s="4" t="n">
        <v>6</v>
      </c>
      <c r="C4531" s="4" t="inlineStr">
        <is>
          <t>elk</t>
        </is>
      </c>
      <c r="D4531" s="4" t="n">
        <v>2023</v>
      </c>
      <c r="E4531" s="15" t="inlineStr">
        <is>
          <t>Draw</t>
        </is>
      </c>
      <c r="F4531" s="5" t="n"/>
      <c r="G4531" s="5" t="n"/>
      <c r="H4531" s="5" t="n">
        <v>152</v>
      </c>
      <c r="I4531" s="5" t="n">
        <v>90</v>
      </c>
      <c r="J4531" s="5" t="n">
        <v>57</v>
      </c>
      <c r="K4531" s="10">
        <f>IF(F4531&gt;0,H4531/F4531,"")</f>
        <v/>
      </c>
      <c r="L4531" s="16">
        <f>IF(AND(G4531&gt;0,H4531&gt;0),G4531/H4531,"")</f>
        <v/>
      </c>
    </row>
    <row r="4532">
      <c r="A4532" s="4" t="inlineStr">
        <is>
          <t>622</t>
        </is>
      </c>
      <c r="B4532" s="4" t="n">
        <v>6</v>
      </c>
      <c r="C4532" s="4" t="inlineStr">
        <is>
          <t>elk</t>
        </is>
      </c>
      <c r="D4532" s="4" t="n">
        <v>2024</v>
      </c>
      <c r="E4532" s="15" t="inlineStr">
        <is>
          <t>Draw</t>
        </is>
      </c>
      <c r="F4532" s="5" t="n">
        <v>455</v>
      </c>
      <c r="G4532" s="5" t="n">
        <v>3566</v>
      </c>
      <c r="H4532" s="5" t="n">
        <v>101</v>
      </c>
      <c r="I4532" s="5" t="n">
        <v>64</v>
      </c>
      <c r="J4532" s="5" t="n">
        <v>36</v>
      </c>
      <c r="K4532" s="10">
        <f>IF(F4532&gt;0,H4532/F4532,"")</f>
        <v/>
      </c>
      <c r="L4532" s="16">
        <f>IF(AND(G4532&gt;0,H4532&gt;0),G4532/H4532,"")</f>
        <v/>
      </c>
    </row>
    <row r="4533">
      <c r="A4533" s="4" t="inlineStr">
        <is>
          <t>622</t>
        </is>
      </c>
      <c r="B4533" s="4" t="n">
        <v>6</v>
      </c>
      <c r="C4533" s="4" t="inlineStr">
        <is>
          <t>elk</t>
        </is>
      </c>
      <c r="D4533" s="4" t="n">
        <v>2025</v>
      </c>
      <c r="E4533" s="15" t="inlineStr">
        <is>
          <t>Draw</t>
        </is>
      </c>
      <c r="F4533" s="5" t="n"/>
      <c r="G4533" s="5" t="n"/>
      <c r="H4533" s="5" t="n">
        <v>102</v>
      </c>
      <c r="I4533" s="5" t="n">
        <v>52</v>
      </c>
      <c r="J4533" s="5" t="n">
        <v>50</v>
      </c>
      <c r="K4533" s="10">
        <f>IF(F4533&gt;0,H4533/F4533,"")</f>
        <v/>
      </c>
      <c r="L4533" s="16">
        <f>IF(AND(G4533&gt;0,H4533&gt;0),G4533/H4533,"")</f>
        <v/>
      </c>
    </row>
    <row r="4534">
      <c r="A4534" s="4" t="inlineStr">
        <is>
          <t>630</t>
        </is>
      </c>
      <c r="B4534" s="4" t="n">
        <v>6</v>
      </c>
      <c r="C4534" s="4" t="inlineStr">
        <is>
          <t>elk</t>
        </is>
      </c>
      <c r="D4534" s="4" t="n">
        <v>2004</v>
      </c>
      <c r="E4534" s="15" t="inlineStr">
        <is>
          <t>Draw</t>
        </is>
      </c>
      <c r="F4534" s="5" t="n">
        <v>28</v>
      </c>
      <c r="G4534" s="5" t="n">
        <v>95</v>
      </c>
      <c r="H4534" s="5" t="n">
        <v>7</v>
      </c>
      <c r="I4534" s="5" t="n">
        <v>3</v>
      </c>
      <c r="J4534" s="5" t="n">
        <v>4</v>
      </c>
      <c r="K4534" s="10">
        <f>IF(F4534&gt;0,H4534/F4534,"")</f>
        <v/>
      </c>
      <c r="L4534" s="16">
        <f>IF(AND(G4534&gt;0,H4534&gt;0),G4534/H4534,"")</f>
        <v/>
      </c>
    </row>
    <row r="4535">
      <c r="A4535" s="4" t="inlineStr">
        <is>
          <t>630</t>
        </is>
      </c>
      <c r="B4535" s="4" t="n">
        <v>6</v>
      </c>
      <c r="C4535" s="4" t="inlineStr">
        <is>
          <t>elk</t>
        </is>
      </c>
      <c r="D4535" s="4" t="n">
        <v>2005</v>
      </c>
      <c r="E4535" s="15" t="inlineStr">
        <is>
          <t>Draw</t>
        </is>
      </c>
      <c r="F4535" s="5" t="n">
        <v>48</v>
      </c>
      <c r="G4535" s="5" t="n">
        <v>323</v>
      </c>
      <c r="H4535" s="5" t="n">
        <v>0</v>
      </c>
      <c r="I4535" s="5" t="n">
        <v>0</v>
      </c>
      <c r="J4535" s="5" t="n">
        <v>0</v>
      </c>
      <c r="K4535" s="10">
        <f>IF(F4535&gt;0,H4535/F4535,"")</f>
        <v/>
      </c>
      <c r="L4535" s="16">
        <f>IF(AND(G4535&gt;0,H4535&gt;0),G4535/H4535,"")</f>
        <v/>
      </c>
    </row>
    <row r="4536">
      <c r="A4536" s="4" t="inlineStr">
        <is>
          <t>630</t>
        </is>
      </c>
      <c r="B4536" s="4" t="n">
        <v>6</v>
      </c>
      <c r="C4536" s="4" t="inlineStr">
        <is>
          <t>elk</t>
        </is>
      </c>
      <c r="D4536" s="4" t="n">
        <v>2006</v>
      </c>
      <c r="E4536" s="15" t="inlineStr">
        <is>
          <t>Draw</t>
        </is>
      </c>
      <c r="F4536" s="5" t="n">
        <v>50</v>
      </c>
      <c r="G4536" s="5" t="n">
        <v>264</v>
      </c>
      <c r="H4536" s="5" t="n">
        <v>9</v>
      </c>
      <c r="I4536" s="5" t="n">
        <v>0</v>
      </c>
      <c r="J4536" s="5" t="n">
        <v>9</v>
      </c>
      <c r="K4536" s="10">
        <f>IF(F4536&gt;0,H4536/F4536,"")</f>
        <v/>
      </c>
      <c r="L4536" s="16">
        <f>IF(AND(G4536&gt;0,H4536&gt;0),G4536/H4536,"")</f>
        <v/>
      </c>
    </row>
    <row r="4537">
      <c r="A4537" s="4" t="inlineStr">
        <is>
          <t>630</t>
        </is>
      </c>
      <c r="B4537" s="4" t="n">
        <v>6</v>
      </c>
      <c r="C4537" s="4" t="inlineStr">
        <is>
          <t>elk</t>
        </is>
      </c>
      <c r="D4537" s="4" t="n">
        <v>2007</v>
      </c>
      <c r="E4537" s="15" t="inlineStr">
        <is>
          <t>Draw</t>
        </is>
      </c>
      <c r="F4537" s="5" t="n">
        <v>74</v>
      </c>
      <c r="G4537" s="5" t="n">
        <v>464</v>
      </c>
      <c r="H4537" s="5" t="n">
        <v>0</v>
      </c>
      <c r="I4537" s="5" t="n">
        <v>0</v>
      </c>
      <c r="J4537" s="5" t="n">
        <v>0</v>
      </c>
      <c r="K4537" s="10">
        <f>IF(F4537&gt;0,H4537/F4537,"")</f>
        <v/>
      </c>
      <c r="L4537" s="16">
        <f>IF(AND(G4537&gt;0,H4537&gt;0),G4537/H4537,"")</f>
        <v/>
      </c>
    </row>
    <row r="4538">
      <c r="A4538" s="4" t="inlineStr">
        <is>
          <t>630</t>
        </is>
      </c>
      <c r="B4538" s="4" t="n">
        <v>6</v>
      </c>
      <c r="C4538" s="4" t="inlineStr">
        <is>
          <t>elk</t>
        </is>
      </c>
      <c r="D4538" s="4" t="n">
        <v>2008</v>
      </c>
      <c r="E4538" s="15" t="inlineStr">
        <is>
          <t>Draw</t>
        </is>
      </c>
      <c r="F4538" s="5" t="n">
        <v>57</v>
      </c>
      <c r="G4538" s="5" t="n">
        <v>297</v>
      </c>
      <c r="H4538" s="5" t="n">
        <v>3</v>
      </c>
      <c r="I4538" s="5" t="n">
        <v>2</v>
      </c>
      <c r="J4538" s="5" t="n">
        <v>2</v>
      </c>
      <c r="K4538" s="10">
        <f>IF(F4538&gt;0,H4538/F4538,"")</f>
        <v/>
      </c>
      <c r="L4538" s="16">
        <f>IF(AND(G4538&gt;0,H4538&gt;0),G4538/H4538,"")</f>
        <v/>
      </c>
    </row>
    <row r="4539">
      <c r="A4539" s="4" t="inlineStr">
        <is>
          <t>630</t>
        </is>
      </c>
      <c r="B4539" s="4" t="n">
        <v>6</v>
      </c>
      <c r="C4539" s="4" t="inlineStr">
        <is>
          <t>elk</t>
        </is>
      </c>
      <c r="D4539" s="4" t="n">
        <v>2009</v>
      </c>
      <c r="E4539" s="15" t="inlineStr">
        <is>
          <t>Draw</t>
        </is>
      </c>
      <c r="F4539" s="5" t="n">
        <v>78</v>
      </c>
      <c r="G4539" s="5" t="n">
        <v>480</v>
      </c>
      <c r="H4539" s="5" t="n">
        <v>5</v>
      </c>
      <c r="I4539" s="5" t="n">
        <v>0</v>
      </c>
      <c r="J4539" s="5" t="n">
        <v>5</v>
      </c>
      <c r="K4539" s="10">
        <f>IF(F4539&gt;0,H4539/F4539,"")</f>
        <v/>
      </c>
      <c r="L4539" s="16">
        <f>IF(AND(G4539&gt;0,H4539&gt;0),G4539/H4539,"")</f>
        <v/>
      </c>
    </row>
    <row r="4540">
      <c r="A4540" s="4" t="inlineStr">
        <is>
          <t>630</t>
        </is>
      </c>
      <c r="B4540" s="4" t="n">
        <v>6</v>
      </c>
      <c r="C4540" s="4" t="inlineStr">
        <is>
          <t>elk</t>
        </is>
      </c>
      <c r="D4540" s="4" t="n">
        <v>2010</v>
      </c>
      <c r="E4540" s="15" t="inlineStr">
        <is>
          <t>Draw</t>
        </is>
      </c>
      <c r="F4540" s="5" t="n">
        <v>79</v>
      </c>
      <c r="G4540" s="5" t="n">
        <v>432</v>
      </c>
      <c r="H4540" s="5" t="n">
        <v>10</v>
      </c>
      <c r="I4540" s="5" t="n">
        <v>0</v>
      </c>
      <c r="J4540" s="5" t="n">
        <v>10</v>
      </c>
      <c r="K4540" s="10">
        <f>IF(F4540&gt;0,H4540/F4540,"")</f>
        <v/>
      </c>
      <c r="L4540" s="16">
        <f>IF(AND(G4540&gt;0,H4540&gt;0),G4540/H4540,"")</f>
        <v/>
      </c>
    </row>
    <row r="4541">
      <c r="A4541" s="4" t="inlineStr">
        <is>
          <t>630</t>
        </is>
      </c>
      <c r="B4541" s="4" t="n">
        <v>6</v>
      </c>
      <c r="C4541" s="4" t="inlineStr">
        <is>
          <t>elk</t>
        </is>
      </c>
      <c r="D4541" s="4" t="n">
        <v>2011</v>
      </c>
      <c r="E4541" s="15" t="inlineStr">
        <is>
          <t>Draw</t>
        </is>
      </c>
      <c r="F4541" s="5" t="n">
        <v>44</v>
      </c>
      <c r="G4541" s="5" t="n">
        <v>236</v>
      </c>
      <c r="H4541" s="5" t="n">
        <v>6</v>
      </c>
      <c r="I4541" s="5" t="n">
        <v>3</v>
      </c>
      <c r="J4541" s="5" t="n">
        <v>3</v>
      </c>
      <c r="K4541" s="10">
        <f>IF(F4541&gt;0,H4541/F4541,"")</f>
        <v/>
      </c>
      <c r="L4541" s="16">
        <f>IF(AND(G4541&gt;0,H4541&gt;0),G4541/H4541,"")</f>
        <v/>
      </c>
    </row>
    <row r="4542">
      <c r="A4542" s="4" t="inlineStr">
        <is>
          <t>630</t>
        </is>
      </c>
      <c r="B4542" s="4" t="n">
        <v>6</v>
      </c>
      <c r="C4542" s="4" t="inlineStr">
        <is>
          <t>elk</t>
        </is>
      </c>
      <c r="D4542" s="4" t="n">
        <v>2012</v>
      </c>
      <c r="E4542" s="15" t="inlineStr">
        <is>
          <t>Draw</t>
        </is>
      </c>
      <c r="F4542" s="5" t="n">
        <v>36</v>
      </c>
      <c r="G4542" s="5" t="n">
        <v>154</v>
      </c>
      <c r="H4542" s="5" t="n">
        <v>5</v>
      </c>
      <c r="I4542" s="5" t="n">
        <v>4</v>
      </c>
      <c r="J4542" s="5" t="n">
        <v>1</v>
      </c>
      <c r="K4542" s="10">
        <f>IF(F4542&gt;0,H4542/F4542,"")</f>
        <v/>
      </c>
      <c r="L4542" s="16">
        <f>IF(AND(G4542&gt;0,H4542&gt;0),G4542/H4542,"")</f>
        <v/>
      </c>
    </row>
    <row r="4543">
      <c r="A4543" s="4" t="inlineStr">
        <is>
          <t>630</t>
        </is>
      </c>
      <c r="B4543" s="4" t="n">
        <v>6</v>
      </c>
      <c r="C4543" s="4" t="inlineStr">
        <is>
          <t>elk</t>
        </is>
      </c>
      <c r="D4543" s="4" t="n">
        <v>2013</v>
      </c>
      <c r="E4543" s="15" t="inlineStr">
        <is>
          <t>Draw</t>
        </is>
      </c>
      <c r="F4543" s="5" t="n"/>
      <c r="G4543" s="5" t="n"/>
      <c r="H4543" s="5" t="n">
        <v>6</v>
      </c>
      <c r="I4543" s="5" t="n">
        <v>2</v>
      </c>
      <c r="J4543" s="5" t="n">
        <v>3</v>
      </c>
      <c r="K4543" s="10">
        <f>IF(F4543&gt;0,H4543/F4543,"")</f>
        <v/>
      </c>
      <c r="L4543" s="16">
        <f>IF(AND(G4543&gt;0,H4543&gt;0),G4543/H4543,"")</f>
        <v/>
      </c>
    </row>
    <row r="4544">
      <c r="A4544" s="4" t="inlineStr">
        <is>
          <t>630</t>
        </is>
      </c>
      <c r="B4544" s="4" t="n">
        <v>6</v>
      </c>
      <c r="C4544" s="4" t="inlineStr">
        <is>
          <t>elk</t>
        </is>
      </c>
      <c r="D4544" s="4" t="n">
        <v>2014</v>
      </c>
      <c r="E4544" s="15" t="inlineStr">
        <is>
          <t>Draw</t>
        </is>
      </c>
      <c r="F4544" s="5" t="n">
        <v>31</v>
      </c>
      <c r="G4544" s="5" t="n">
        <v>201</v>
      </c>
      <c r="H4544" s="5" t="n">
        <v>9</v>
      </c>
      <c r="I4544" s="5" t="n">
        <v>5</v>
      </c>
      <c r="J4544" s="5" t="n">
        <v>4</v>
      </c>
      <c r="K4544" s="10">
        <f>IF(F4544&gt;0,H4544/F4544,"")</f>
        <v/>
      </c>
      <c r="L4544" s="16">
        <f>IF(AND(G4544&gt;0,H4544&gt;0),G4544/H4544,"")</f>
        <v/>
      </c>
    </row>
    <row r="4545">
      <c r="A4545" s="4" t="inlineStr">
        <is>
          <t>630</t>
        </is>
      </c>
      <c r="B4545" s="4" t="n">
        <v>6</v>
      </c>
      <c r="C4545" s="4" t="inlineStr">
        <is>
          <t>elk</t>
        </is>
      </c>
      <c r="D4545" s="4" t="n">
        <v>2015</v>
      </c>
      <c r="E4545" s="15" t="inlineStr">
        <is>
          <t>Draw</t>
        </is>
      </c>
      <c r="F4545" s="5" t="n">
        <v>71</v>
      </c>
      <c r="G4545" s="5" t="n">
        <v>475</v>
      </c>
      <c r="H4545" s="5" t="n">
        <v>8</v>
      </c>
      <c r="I4545" s="5" t="n">
        <v>8</v>
      </c>
      <c r="J4545" s="5" t="n">
        <v>0</v>
      </c>
      <c r="K4545" s="10">
        <f>IF(F4545&gt;0,H4545/F4545,"")</f>
        <v/>
      </c>
      <c r="L4545" s="16">
        <f>IF(AND(G4545&gt;0,H4545&gt;0),G4545/H4545,"")</f>
        <v/>
      </c>
    </row>
    <row r="4546">
      <c r="A4546" s="4" t="inlineStr">
        <is>
          <t>630</t>
        </is>
      </c>
      <c r="B4546" s="4" t="n">
        <v>6</v>
      </c>
      <c r="C4546" s="4" t="inlineStr">
        <is>
          <t>elk</t>
        </is>
      </c>
      <c r="D4546" s="4" t="n">
        <v>2016</v>
      </c>
      <c r="E4546" s="15" t="inlineStr">
        <is>
          <t>Draw</t>
        </is>
      </c>
      <c r="F4546" s="5" t="n">
        <v>132</v>
      </c>
      <c r="G4546" s="5" t="n">
        <v>643</v>
      </c>
      <c r="H4546" s="5" t="n">
        <v>24</v>
      </c>
      <c r="I4546" s="5" t="n">
        <v>2</v>
      </c>
      <c r="J4546" s="5" t="n">
        <v>22</v>
      </c>
      <c r="K4546" s="10">
        <f>IF(F4546&gt;0,H4546/F4546,"")</f>
        <v/>
      </c>
      <c r="L4546" s="16">
        <f>IF(AND(G4546&gt;0,H4546&gt;0),G4546/H4546,"")</f>
        <v/>
      </c>
    </row>
    <row r="4547">
      <c r="A4547" s="4" t="inlineStr">
        <is>
          <t>630</t>
        </is>
      </c>
      <c r="B4547" s="4" t="n">
        <v>6</v>
      </c>
      <c r="C4547" s="4" t="inlineStr">
        <is>
          <t>elk</t>
        </is>
      </c>
      <c r="D4547" s="4" t="n">
        <v>2017</v>
      </c>
      <c r="E4547" s="15" t="inlineStr">
        <is>
          <t>Draw</t>
        </is>
      </c>
      <c r="F4547" s="5" t="n"/>
      <c r="G4547" s="5" t="n"/>
      <c r="H4547" s="5" t="n">
        <v>8</v>
      </c>
      <c r="I4547" s="5" t="n">
        <v>4</v>
      </c>
      <c r="J4547" s="5" t="n">
        <v>3</v>
      </c>
      <c r="K4547" s="10">
        <f>IF(F4547&gt;0,H4547/F4547,"")</f>
        <v/>
      </c>
      <c r="L4547" s="16">
        <f>IF(AND(G4547&gt;0,H4547&gt;0),G4547/H4547,"")</f>
        <v/>
      </c>
    </row>
    <row r="4548">
      <c r="A4548" s="4" t="inlineStr">
        <is>
          <t>630</t>
        </is>
      </c>
      <c r="B4548" s="4" t="n">
        <v>6</v>
      </c>
      <c r="C4548" s="4" t="inlineStr">
        <is>
          <t>elk</t>
        </is>
      </c>
      <c r="D4548" s="4" t="n">
        <v>2018</v>
      </c>
      <c r="E4548" s="15" t="inlineStr">
        <is>
          <t>Draw</t>
        </is>
      </c>
      <c r="F4548" s="5" t="n">
        <v>110</v>
      </c>
      <c r="G4548" s="5" t="n">
        <v>643</v>
      </c>
      <c r="H4548" s="5" t="n">
        <v>12</v>
      </c>
      <c r="I4548" s="5" t="n">
        <v>3</v>
      </c>
      <c r="J4548" s="5" t="n">
        <v>6</v>
      </c>
      <c r="K4548" s="10">
        <f>IF(F4548&gt;0,H4548/F4548,"")</f>
        <v/>
      </c>
      <c r="L4548" s="16">
        <f>IF(AND(G4548&gt;0,H4548&gt;0),G4548/H4548,"")</f>
        <v/>
      </c>
    </row>
    <row r="4549">
      <c r="A4549" s="4" t="inlineStr">
        <is>
          <t>630</t>
        </is>
      </c>
      <c r="B4549" s="4" t="n">
        <v>6</v>
      </c>
      <c r="C4549" s="4" t="inlineStr">
        <is>
          <t>elk</t>
        </is>
      </c>
      <c r="D4549" s="4" t="n">
        <v>2019</v>
      </c>
      <c r="E4549" s="15" t="inlineStr">
        <is>
          <t>Draw</t>
        </is>
      </c>
      <c r="F4549" s="5" t="n"/>
      <c r="G4549" s="5" t="n"/>
      <c r="H4549" s="5" t="n">
        <v>18</v>
      </c>
      <c r="I4549" s="5" t="n">
        <v>10</v>
      </c>
      <c r="J4549" s="5" t="n">
        <v>8</v>
      </c>
      <c r="K4549" s="10">
        <f>IF(F4549&gt;0,H4549/F4549,"")</f>
        <v/>
      </c>
      <c r="L4549" s="16">
        <f>IF(AND(G4549&gt;0,H4549&gt;0),G4549/H4549,"")</f>
        <v/>
      </c>
    </row>
    <row r="4550">
      <c r="A4550" s="4" t="inlineStr">
        <is>
          <t>630</t>
        </is>
      </c>
      <c r="B4550" s="4" t="n">
        <v>6</v>
      </c>
      <c r="C4550" s="4" t="inlineStr">
        <is>
          <t>elk</t>
        </is>
      </c>
      <c r="D4550" s="4" t="n">
        <v>2020</v>
      </c>
      <c r="E4550" s="15" t="inlineStr">
        <is>
          <t>Draw</t>
        </is>
      </c>
      <c r="F4550" s="5" t="n">
        <v>70</v>
      </c>
      <c r="G4550" s="5" t="n">
        <v>362</v>
      </c>
      <c r="H4550" s="5" t="n">
        <v>2</v>
      </c>
      <c r="I4550" s="5" t="n">
        <v>0</v>
      </c>
      <c r="J4550" s="5" t="n">
        <v>2</v>
      </c>
      <c r="K4550" s="10">
        <f>IF(F4550&gt;0,H4550/F4550,"")</f>
        <v/>
      </c>
      <c r="L4550" s="16">
        <f>IF(AND(G4550&gt;0,H4550&gt;0),G4550/H4550,"")</f>
        <v/>
      </c>
    </row>
    <row r="4551">
      <c r="A4551" s="4" t="inlineStr">
        <is>
          <t>630</t>
        </is>
      </c>
      <c r="B4551" s="4" t="n">
        <v>6</v>
      </c>
      <c r="C4551" s="4" t="inlineStr">
        <is>
          <t>elk</t>
        </is>
      </c>
      <c r="D4551" s="4" t="n">
        <v>2021</v>
      </c>
      <c r="E4551" s="15" t="inlineStr">
        <is>
          <t>Draw</t>
        </is>
      </c>
      <c r="F4551" s="5" t="n"/>
      <c r="G4551" s="5" t="n"/>
      <c r="H4551" s="5" t="n">
        <v>14</v>
      </c>
      <c r="I4551" s="5" t="n">
        <v>5</v>
      </c>
      <c r="J4551" s="5" t="n">
        <v>10</v>
      </c>
      <c r="K4551" s="10">
        <f>IF(F4551&gt;0,H4551/F4551,"")</f>
        <v/>
      </c>
      <c r="L4551" s="16">
        <f>IF(AND(G4551&gt;0,H4551&gt;0),G4551/H4551,"")</f>
        <v/>
      </c>
    </row>
    <row r="4552">
      <c r="A4552" s="4" t="inlineStr">
        <is>
          <t>630</t>
        </is>
      </c>
      <c r="B4552" s="4" t="n">
        <v>6</v>
      </c>
      <c r="C4552" s="4" t="inlineStr">
        <is>
          <t>elk</t>
        </is>
      </c>
      <c r="D4552" s="4" t="n">
        <v>2022</v>
      </c>
      <c r="E4552" s="15" t="inlineStr">
        <is>
          <t>Draw</t>
        </is>
      </c>
      <c r="F4552" s="5" t="n">
        <v>283</v>
      </c>
      <c r="G4552" s="5" t="n">
        <v>1977</v>
      </c>
      <c r="H4552" s="5" t="n">
        <v>55</v>
      </c>
      <c r="I4552" s="5" t="n">
        <v>32</v>
      </c>
      <c r="J4552" s="5" t="n">
        <v>23</v>
      </c>
      <c r="K4552" s="10">
        <f>IF(F4552&gt;0,H4552/F4552,"")</f>
        <v/>
      </c>
      <c r="L4552" s="16">
        <f>IF(AND(G4552&gt;0,H4552&gt;0),G4552/H4552,"")</f>
        <v/>
      </c>
    </row>
    <row r="4553">
      <c r="A4553" s="4" t="inlineStr">
        <is>
          <t>630</t>
        </is>
      </c>
      <c r="B4553" s="4" t="n">
        <v>6</v>
      </c>
      <c r="C4553" s="4" t="inlineStr">
        <is>
          <t>elk</t>
        </is>
      </c>
      <c r="D4553" s="4" t="n">
        <v>2023</v>
      </c>
      <c r="E4553" s="15" t="inlineStr">
        <is>
          <t>Draw</t>
        </is>
      </c>
      <c r="F4553" s="5" t="n"/>
      <c r="G4553" s="5" t="n"/>
      <c r="H4553" s="5" t="n">
        <v>59</v>
      </c>
      <c r="I4553" s="5" t="n">
        <v>31</v>
      </c>
      <c r="J4553" s="5" t="n">
        <v>28</v>
      </c>
      <c r="K4553" s="10">
        <f>IF(F4553&gt;0,H4553/F4553,"")</f>
        <v/>
      </c>
      <c r="L4553" s="16">
        <f>IF(AND(G4553&gt;0,H4553&gt;0),G4553/H4553,"")</f>
        <v/>
      </c>
    </row>
    <row r="4554">
      <c r="A4554" s="4" t="inlineStr">
        <is>
          <t>630</t>
        </is>
      </c>
      <c r="B4554" s="4" t="n">
        <v>6</v>
      </c>
      <c r="C4554" s="4" t="inlineStr">
        <is>
          <t>elk</t>
        </is>
      </c>
      <c r="D4554" s="4" t="n">
        <v>2024</v>
      </c>
      <c r="E4554" s="15" t="inlineStr">
        <is>
          <t>Draw</t>
        </is>
      </c>
      <c r="F4554" s="5" t="n">
        <v>273</v>
      </c>
      <c r="G4554" s="5" t="n">
        <v>2168</v>
      </c>
      <c r="H4554" s="5" t="n">
        <v>61</v>
      </c>
      <c r="I4554" s="5" t="n">
        <v>30</v>
      </c>
      <c r="J4554" s="5" t="n">
        <v>29</v>
      </c>
      <c r="K4554" s="10">
        <f>IF(F4554&gt;0,H4554/F4554,"")</f>
        <v/>
      </c>
      <c r="L4554" s="16">
        <f>IF(AND(G4554&gt;0,H4554&gt;0),G4554/H4554,"")</f>
        <v/>
      </c>
    </row>
    <row r="4555">
      <c r="A4555" s="4" t="inlineStr">
        <is>
          <t>630</t>
        </is>
      </c>
      <c r="B4555" s="4" t="n">
        <v>6</v>
      </c>
      <c r="C4555" s="4" t="inlineStr">
        <is>
          <t>elk</t>
        </is>
      </c>
      <c r="D4555" s="4" t="n">
        <v>2025</v>
      </c>
      <c r="E4555" s="15" t="inlineStr">
        <is>
          <t>Draw</t>
        </is>
      </c>
      <c r="F4555" s="5" t="n"/>
      <c r="G4555" s="5" t="n"/>
      <c r="H4555" s="5" t="n">
        <v>54</v>
      </c>
      <c r="I4555" s="5" t="n">
        <v>38</v>
      </c>
      <c r="J4555" s="5" t="n">
        <v>16</v>
      </c>
      <c r="K4555" s="10">
        <f>IF(F4555&gt;0,H4555/F4555,"")</f>
        <v/>
      </c>
      <c r="L4555" s="16">
        <f>IF(AND(G4555&gt;0,H4555&gt;0),G4555/H4555,"")</f>
        <v/>
      </c>
    </row>
    <row r="4556">
      <c r="A4556" s="4" t="inlineStr">
        <is>
          <t>631</t>
        </is>
      </c>
      <c r="B4556" s="4" t="n">
        <v>6</v>
      </c>
      <c r="C4556" s="4" t="inlineStr">
        <is>
          <t>elk</t>
        </is>
      </c>
      <c r="D4556" s="4" t="n">
        <v>2004</v>
      </c>
      <c r="E4556" s="4" t="inlineStr"/>
      <c r="F4556" s="5" t="n">
        <v>294</v>
      </c>
      <c r="G4556" s="5" t="n">
        <v>1699</v>
      </c>
      <c r="H4556" s="5" t="n">
        <v>124</v>
      </c>
      <c r="I4556" s="5" t="n">
        <v>43</v>
      </c>
      <c r="J4556" s="5" t="n">
        <v>75</v>
      </c>
      <c r="K4556" s="10">
        <f>IF(F4556&gt;0,H4556/F4556,"")</f>
        <v/>
      </c>
      <c r="L4556" s="16">
        <f>IF(AND(G4556&gt;0,H4556&gt;0),G4556/H4556,"")</f>
        <v/>
      </c>
    </row>
    <row r="4557">
      <c r="A4557" s="4" t="inlineStr">
        <is>
          <t>631</t>
        </is>
      </c>
      <c r="B4557" s="4" t="n">
        <v>6</v>
      </c>
      <c r="C4557" s="4" t="inlineStr">
        <is>
          <t>elk</t>
        </is>
      </c>
      <c r="D4557" s="4" t="n">
        <v>2005</v>
      </c>
      <c r="E4557" s="4" t="inlineStr"/>
      <c r="F4557" s="5" t="n">
        <v>223</v>
      </c>
      <c r="G4557" s="5" t="n">
        <v>1348</v>
      </c>
      <c r="H4557" s="5" t="n">
        <v>51</v>
      </c>
      <c r="I4557" s="5" t="n">
        <v>21</v>
      </c>
      <c r="J4557" s="5" t="n">
        <v>26</v>
      </c>
      <c r="K4557" s="10">
        <f>IF(F4557&gt;0,H4557/F4557,"")</f>
        <v/>
      </c>
      <c r="L4557" s="16">
        <f>IF(AND(G4557&gt;0,H4557&gt;0),G4557/H4557,"")</f>
        <v/>
      </c>
    </row>
    <row r="4558">
      <c r="A4558" s="4" t="inlineStr">
        <is>
          <t>631</t>
        </is>
      </c>
      <c r="B4558" s="4" t="n">
        <v>6</v>
      </c>
      <c r="C4558" s="4" t="inlineStr">
        <is>
          <t>elk</t>
        </is>
      </c>
      <c r="D4558" s="4" t="n">
        <v>2006</v>
      </c>
      <c r="E4558" s="4" t="inlineStr"/>
      <c r="F4558" s="5" t="n">
        <v>272</v>
      </c>
      <c r="G4558" s="5" t="n">
        <v>1443</v>
      </c>
      <c r="H4558" s="5" t="n">
        <v>144</v>
      </c>
      <c r="I4558" s="5" t="n">
        <v>55</v>
      </c>
      <c r="J4558" s="5" t="n">
        <v>77</v>
      </c>
      <c r="K4558" s="10">
        <f>IF(F4558&gt;0,H4558/F4558,"")</f>
        <v/>
      </c>
      <c r="L4558" s="16">
        <f>IF(AND(G4558&gt;0,H4558&gt;0),G4558/H4558,"")</f>
        <v/>
      </c>
    </row>
    <row r="4559">
      <c r="A4559" s="4" t="inlineStr">
        <is>
          <t>631</t>
        </is>
      </c>
      <c r="B4559" s="4" t="n">
        <v>6</v>
      </c>
      <c r="C4559" s="4" t="inlineStr">
        <is>
          <t>elk</t>
        </is>
      </c>
      <c r="D4559" s="4" t="n">
        <v>2007</v>
      </c>
      <c r="E4559" s="4" t="inlineStr"/>
      <c r="F4559" s="5" t="n">
        <v>329</v>
      </c>
      <c r="G4559" s="5" t="n">
        <v>2272</v>
      </c>
      <c r="H4559" s="5" t="n">
        <v>113</v>
      </c>
      <c r="I4559" s="5" t="n">
        <v>47</v>
      </c>
      <c r="J4559" s="5" t="n">
        <v>58</v>
      </c>
      <c r="K4559" s="10">
        <f>IF(F4559&gt;0,H4559/F4559,"")</f>
        <v/>
      </c>
      <c r="L4559" s="16">
        <f>IF(AND(G4559&gt;0,H4559&gt;0),G4559/H4559,"")</f>
        <v/>
      </c>
    </row>
    <row r="4560">
      <c r="A4560" s="4" t="inlineStr">
        <is>
          <t>631</t>
        </is>
      </c>
      <c r="B4560" s="4" t="n">
        <v>6</v>
      </c>
      <c r="C4560" s="4" t="inlineStr">
        <is>
          <t>elk</t>
        </is>
      </c>
      <c r="D4560" s="4" t="n">
        <v>2008</v>
      </c>
      <c r="E4560" s="4" t="inlineStr"/>
      <c r="F4560" s="5" t="n">
        <v>361</v>
      </c>
      <c r="G4560" s="5" t="n">
        <v>2312</v>
      </c>
      <c r="H4560" s="5" t="n">
        <v>101</v>
      </c>
      <c r="I4560" s="5" t="n">
        <v>47</v>
      </c>
      <c r="J4560" s="5" t="n">
        <v>47</v>
      </c>
      <c r="K4560" s="10">
        <f>IF(F4560&gt;0,H4560/F4560,"")</f>
        <v/>
      </c>
      <c r="L4560" s="16">
        <f>IF(AND(G4560&gt;0,H4560&gt;0),G4560/H4560,"")</f>
        <v/>
      </c>
    </row>
    <row r="4561">
      <c r="A4561" s="4" t="inlineStr">
        <is>
          <t>631</t>
        </is>
      </c>
      <c r="B4561" s="4" t="n">
        <v>6</v>
      </c>
      <c r="C4561" s="4" t="inlineStr">
        <is>
          <t>elk</t>
        </is>
      </c>
      <c r="D4561" s="4" t="n">
        <v>2009</v>
      </c>
      <c r="E4561" s="4" t="inlineStr"/>
      <c r="F4561" s="5" t="n">
        <v>353</v>
      </c>
      <c r="G4561" s="5" t="n">
        <v>1920</v>
      </c>
      <c r="H4561" s="5" t="n">
        <v>98</v>
      </c>
      <c r="I4561" s="5" t="n">
        <v>51</v>
      </c>
      <c r="J4561" s="5" t="n">
        <v>45</v>
      </c>
      <c r="K4561" s="10">
        <f>IF(F4561&gt;0,H4561/F4561,"")</f>
        <v/>
      </c>
      <c r="L4561" s="16">
        <f>IF(AND(G4561&gt;0,H4561&gt;0),G4561/H4561,"")</f>
        <v/>
      </c>
    </row>
    <row r="4562">
      <c r="A4562" s="4" t="inlineStr">
        <is>
          <t>631</t>
        </is>
      </c>
      <c r="B4562" s="4" t="n">
        <v>6</v>
      </c>
      <c r="C4562" s="4" t="inlineStr">
        <is>
          <t>elk</t>
        </is>
      </c>
      <c r="D4562" s="4" t="n">
        <v>2010</v>
      </c>
      <c r="E4562" s="4" t="inlineStr"/>
      <c r="F4562" s="5" t="n">
        <v>287</v>
      </c>
      <c r="G4562" s="5" t="n">
        <v>1704</v>
      </c>
      <c r="H4562" s="5" t="n">
        <v>100</v>
      </c>
      <c r="I4562" s="5" t="n">
        <v>44</v>
      </c>
      <c r="J4562" s="5" t="n">
        <v>55</v>
      </c>
      <c r="K4562" s="10">
        <f>IF(F4562&gt;0,H4562/F4562,"")</f>
        <v/>
      </c>
      <c r="L4562" s="16">
        <f>IF(AND(G4562&gt;0,H4562&gt;0),G4562/H4562,"")</f>
        <v/>
      </c>
    </row>
    <row r="4563">
      <c r="A4563" s="4" t="inlineStr">
        <is>
          <t>631</t>
        </is>
      </c>
      <c r="B4563" s="4" t="n">
        <v>6</v>
      </c>
      <c r="C4563" s="4" t="inlineStr">
        <is>
          <t>elk</t>
        </is>
      </c>
      <c r="D4563" s="4" t="n">
        <v>2011</v>
      </c>
      <c r="E4563" s="4" t="inlineStr"/>
      <c r="F4563" s="5" t="n">
        <v>279</v>
      </c>
      <c r="G4563" s="5" t="n">
        <v>1793</v>
      </c>
      <c r="H4563" s="5" t="n">
        <v>93</v>
      </c>
      <c r="I4563" s="5" t="n">
        <v>41</v>
      </c>
      <c r="J4563" s="5" t="n">
        <v>50</v>
      </c>
      <c r="K4563" s="10">
        <f>IF(F4563&gt;0,H4563/F4563,"")</f>
        <v/>
      </c>
      <c r="L4563" s="16">
        <f>IF(AND(G4563&gt;0,H4563&gt;0),G4563/H4563,"")</f>
        <v/>
      </c>
    </row>
    <row r="4564">
      <c r="A4564" s="4" t="inlineStr">
        <is>
          <t>631</t>
        </is>
      </c>
      <c r="B4564" s="4" t="n">
        <v>6</v>
      </c>
      <c r="C4564" s="4" t="inlineStr">
        <is>
          <t>elk</t>
        </is>
      </c>
      <c r="D4564" s="4" t="n">
        <v>2012</v>
      </c>
      <c r="E4564" s="4" t="inlineStr"/>
      <c r="F4564" s="5" t="n">
        <v>262</v>
      </c>
      <c r="G4564" s="5" t="n">
        <v>1690</v>
      </c>
      <c r="H4564" s="5" t="n">
        <v>73</v>
      </c>
      <c r="I4564" s="5" t="n">
        <v>31</v>
      </c>
      <c r="J4564" s="5" t="n">
        <v>42</v>
      </c>
      <c r="K4564" s="10">
        <f>IF(F4564&gt;0,H4564/F4564,"")</f>
        <v/>
      </c>
      <c r="L4564" s="16">
        <f>IF(AND(G4564&gt;0,H4564&gt;0),G4564/H4564,"")</f>
        <v/>
      </c>
    </row>
    <row r="4565">
      <c r="A4565" s="4" t="inlineStr">
        <is>
          <t>631</t>
        </is>
      </c>
      <c r="B4565" s="4" t="n">
        <v>6</v>
      </c>
      <c r="C4565" s="4" t="inlineStr">
        <is>
          <t>elk</t>
        </is>
      </c>
      <c r="D4565" s="4" t="n">
        <v>2013</v>
      </c>
      <c r="E4565" s="4" t="inlineStr"/>
      <c r="F4565" s="5" t="n"/>
      <c r="G4565" s="5" t="n"/>
      <c r="H4565" s="5" t="n">
        <v>79</v>
      </c>
      <c r="I4565" s="5" t="n">
        <v>43</v>
      </c>
      <c r="J4565" s="5" t="n">
        <v>34</v>
      </c>
      <c r="K4565" s="10">
        <f>IF(F4565&gt;0,H4565/F4565,"")</f>
        <v/>
      </c>
      <c r="L4565" s="16">
        <f>IF(AND(G4565&gt;0,H4565&gt;0),G4565/H4565,"")</f>
        <v/>
      </c>
    </row>
    <row r="4566">
      <c r="A4566" s="4" t="inlineStr">
        <is>
          <t>631</t>
        </is>
      </c>
      <c r="B4566" s="4" t="n">
        <v>6</v>
      </c>
      <c r="C4566" s="4" t="inlineStr">
        <is>
          <t>elk</t>
        </is>
      </c>
      <c r="D4566" s="4" t="n">
        <v>2014</v>
      </c>
      <c r="E4566" s="4" t="inlineStr"/>
      <c r="F4566" s="5" t="n">
        <v>278</v>
      </c>
      <c r="G4566" s="5" t="n">
        <v>1886</v>
      </c>
      <c r="H4566" s="5" t="n">
        <v>56</v>
      </c>
      <c r="I4566" s="5" t="n">
        <v>45</v>
      </c>
      <c r="J4566" s="5" t="n">
        <v>11</v>
      </c>
      <c r="K4566" s="10">
        <f>IF(F4566&gt;0,H4566/F4566,"")</f>
        <v/>
      </c>
      <c r="L4566" s="16">
        <f>IF(AND(G4566&gt;0,H4566&gt;0),G4566/H4566,"")</f>
        <v/>
      </c>
    </row>
    <row r="4567">
      <c r="A4567" s="4" t="inlineStr">
        <is>
          <t>631</t>
        </is>
      </c>
      <c r="B4567" s="4" t="n">
        <v>6</v>
      </c>
      <c r="C4567" s="4" t="inlineStr">
        <is>
          <t>elk</t>
        </is>
      </c>
      <c r="D4567" s="4" t="n">
        <v>2015</v>
      </c>
      <c r="E4567" s="4" t="inlineStr"/>
      <c r="F4567" s="5" t="n">
        <v>273</v>
      </c>
      <c r="G4567" s="5" t="n">
        <v>2015</v>
      </c>
      <c r="H4567" s="5" t="n">
        <v>89</v>
      </c>
      <c r="I4567" s="5" t="n">
        <v>46</v>
      </c>
      <c r="J4567" s="5" t="n">
        <v>41</v>
      </c>
      <c r="K4567" s="10">
        <f>IF(F4567&gt;0,H4567/F4567,"")</f>
        <v/>
      </c>
      <c r="L4567" s="16">
        <f>IF(AND(G4567&gt;0,H4567&gt;0),G4567/H4567,"")</f>
        <v/>
      </c>
    </row>
    <row r="4568">
      <c r="A4568" s="4" t="inlineStr">
        <is>
          <t>631</t>
        </is>
      </c>
      <c r="B4568" s="4" t="n">
        <v>6</v>
      </c>
      <c r="C4568" s="4" t="inlineStr">
        <is>
          <t>elk</t>
        </is>
      </c>
      <c r="D4568" s="4" t="n">
        <v>2016</v>
      </c>
      <c r="E4568" s="4" t="inlineStr"/>
      <c r="F4568" s="5" t="n">
        <v>296</v>
      </c>
      <c r="G4568" s="5" t="n">
        <v>1945</v>
      </c>
      <c r="H4568" s="5" t="n">
        <v>103</v>
      </c>
      <c r="I4568" s="5" t="n">
        <v>39</v>
      </c>
      <c r="J4568" s="5" t="n">
        <v>63</v>
      </c>
      <c r="K4568" s="10">
        <f>IF(F4568&gt;0,H4568/F4568,"")</f>
        <v/>
      </c>
      <c r="L4568" s="16">
        <f>IF(AND(G4568&gt;0,H4568&gt;0),G4568/H4568,"")</f>
        <v/>
      </c>
    </row>
    <row r="4569">
      <c r="A4569" s="4" t="inlineStr">
        <is>
          <t>631</t>
        </is>
      </c>
      <c r="B4569" s="4" t="n">
        <v>6</v>
      </c>
      <c r="C4569" s="4" t="inlineStr">
        <is>
          <t>elk</t>
        </is>
      </c>
      <c r="D4569" s="4" t="n">
        <v>2017</v>
      </c>
      <c r="E4569" s="4" t="inlineStr"/>
      <c r="F4569" s="5" t="n"/>
      <c r="G4569" s="5" t="n"/>
      <c r="H4569" s="5" t="n">
        <v>74</v>
      </c>
      <c r="I4569" s="5" t="n">
        <v>34</v>
      </c>
      <c r="J4569" s="5" t="n">
        <v>38</v>
      </c>
      <c r="K4569" s="10">
        <f>IF(F4569&gt;0,H4569/F4569,"")</f>
        <v/>
      </c>
      <c r="L4569" s="16">
        <f>IF(AND(G4569&gt;0,H4569&gt;0),G4569/H4569,"")</f>
        <v/>
      </c>
    </row>
    <row r="4570">
      <c r="A4570" s="4" t="inlineStr">
        <is>
          <t>631</t>
        </is>
      </c>
      <c r="B4570" s="4" t="n">
        <v>6</v>
      </c>
      <c r="C4570" s="4" t="inlineStr">
        <is>
          <t>elk</t>
        </is>
      </c>
      <c r="D4570" s="4" t="n">
        <v>2018</v>
      </c>
      <c r="E4570" s="4" t="inlineStr"/>
      <c r="F4570" s="5" t="n">
        <v>303</v>
      </c>
      <c r="G4570" s="5" t="n">
        <v>2084</v>
      </c>
      <c r="H4570" s="5" t="n">
        <v>60</v>
      </c>
      <c r="I4570" s="5" t="n">
        <v>34</v>
      </c>
      <c r="J4570" s="5" t="n">
        <v>27</v>
      </c>
      <c r="K4570" s="10">
        <f>IF(F4570&gt;0,H4570/F4570,"")</f>
        <v/>
      </c>
      <c r="L4570" s="16">
        <f>IF(AND(G4570&gt;0,H4570&gt;0),G4570/H4570,"")</f>
        <v/>
      </c>
    </row>
    <row r="4571">
      <c r="A4571" s="4" t="inlineStr">
        <is>
          <t>631</t>
        </is>
      </c>
      <c r="B4571" s="4" t="n">
        <v>6</v>
      </c>
      <c r="C4571" s="4" t="inlineStr">
        <is>
          <t>elk</t>
        </is>
      </c>
      <c r="D4571" s="4" t="n">
        <v>2019</v>
      </c>
      <c r="E4571" s="4" t="inlineStr"/>
      <c r="F4571" s="5" t="n"/>
      <c r="G4571" s="5" t="n"/>
      <c r="H4571" s="5" t="n">
        <v>44</v>
      </c>
      <c r="I4571" s="5" t="n">
        <v>28</v>
      </c>
      <c r="J4571" s="5" t="n">
        <v>14</v>
      </c>
      <c r="K4571" s="10">
        <f>IF(F4571&gt;0,H4571/F4571,"")</f>
        <v/>
      </c>
      <c r="L4571" s="16">
        <f>IF(AND(G4571&gt;0,H4571&gt;0),G4571/H4571,"")</f>
        <v/>
      </c>
    </row>
    <row r="4572">
      <c r="A4572" s="4" t="inlineStr">
        <is>
          <t>631</t>
        </is>
      </c>
      <c r="B4572" s="4" t="n">
        <v>6</v>
      </c>
      <c r="C4572" s="4" t="inlineStr">
        <is>
          <t>elk</t>
        </is>
      </c>
      <c r="D4572" s="4" t="n">
        <v>2020</v>
      </c>
      <c r="E4572" s="4" t="inlineStr"/>
      <c r="F4572" s="5" t="n">
        <v>209</v>
      </c>
      <c r="G4572" s="5" t="n">
        <v>1573</v>
      </c>
      <c r="H4572" s="5" t="n">
        <v>47</v>
      </c>
      <c r="I4572" s="5" t="n">
        <v>34</v>
      </c>
      <c r="J4572" s="5" t="n">
        <v>13</v>
      </c>
      <c r="K4572" s="10">
        <f>IF(F4572&gt;0,H4572/F4572,"")</f>
        <v/>
      </c>
      <c r="L4572" s="16">
        <f>IF(AND(G4572&gt;0,H4572&gt;0),G4572/H4572,"")</f>
        <v/>
      </c>
    </row>
    <row r="4573">
      <c r="A4573" s="4" t="inlineStr">
        <is>
          <t>631</t>
        </is>
      </c>
      <c r="B4573" s="4" t="n">
        <v>6</v>
      </c>
      <c r="C4573" s="4" t="inlineStr">
        <is>
          <t>elk</t>
        </is>
      </c>
      <c r="D4573" s="4" t="n">
        <v>2021</v>
      </c>
      <c r="E4573" s="4" t="inlineStr"/>
      <c r="F4573" s="5" t="n"/>
      <c r="G4573" s="5" t="n"/>
      <c r="H4573" s="5" t="n">
        <v>64</v>
      </c>
      <c r="I4573" s="5" t="n">
        <v>38</v>
      </c>
      <c r="J4573" s="5" t="n">
        <v>26</v>
      </c>
      <c r="K4573" s="10">
        <f>IF(F4573&gt;0,H4573/F4573,"")</f>
        <v/>
      </c>
      <c r="L4573" s="16">
        <f>IF(AND(G4573&gt;0,H4573&gt;0),G4573/H4573,"")</f>
        <v/>
      </c>
    </row>
    <row r="4574">
      <c r="A4574" s="4" t="inlineStr">
        <is>
          <t>632</t>
        </is>
      </c>
      <c r="B4574" s="4" t="n">
        <v>6</v>
      </c>
      <c r="C4574" s="4" t="inlineStr">
        <is>
          <t>elk</t>
        </is>
      </c>
      <c r="D4574" s="4" t="n">
        <v>2004</v>
      </c>
      <c r="E4574" s="4" t="inlineStr"/>
      <c r="F4574" s="5" t="n">
        <v>132</v>
      </c>
      <c r="G4574" s="5" t="n">
        <v>859</v>
      </c>
      <c r="H4574" s="5" t="n">
        <v>31</v>
      </c>
      <c r="I4574" s="5" t="n">
        <v>14</v>
      </c>
      <c r="J4574" s="5" t="n">
        <v>14</v>
      </c>
      <c r="K4574" s="10">
        <f>IF(F4574&gt;0,H4574/F4574,"")</f>
        <v/>
      </c>
      <c r="L4574" s="16">
        <f>IF(AND(G4574&gt;0,H4574&gt;0),G4574/H4574,"")</f>
        <v/>
      </c>
    </row>
    <row r="4575">
      <c r="A4575" s="4" t="inlineStr">
        <is>
          <t>632</t>
        </is>
      </c>
      <c r="B4575" s="4" t="n">
        <v>6</v>
      </c>
      <c r="C4575" s="4" t="inlineStr">
        <is>
          <t>elk</t>
        </is>
      </c>
      <c r="D4575" s="4" t="n">
        <v>2005</v>
      </c>
      <c r="E4575" s="4" t="inlineStr"/>
      <c r="F4575" s="5" t="n">
        <v>126</v>
      </c>
      <c r="G4575" s="5" t="n">
        <v>798</v>
      </c>
      <c r="H4575" s="5" t="n">
        <v>20</v>
      </c>
      <c r="I4575" s="5" t="n">
        <v>11</v>
      </c>
      <c r="J4575" s="5" t="n">
        <v>9</v>
      </c>
      <c r="K4575" s="10">
        <f>IF(F4575&gt;0,H4575/F4575,"")</f>
        <v/>
      </c>
      <c r="L4575" s="16">
        <f>IF(AND(G4575&gt;0,H4575&gt;0),G4575/H4575,"")</f>
        <v/>
      </c>
    </row>
    <row r="4576">
      <c r="A4576" s="4" t="inlineStr">
        <is>
          <t>632</t>
        </is>
      </c>
      <c r="B4576" s="4" t="n">
        <v>6</v>
      </c>
      <c r="C4576" s="4" t="inlineStr">
        <is>
          <t>elk</t>
        </is>
      </c>
      <c r="D4576" s="4" t="n">
        <v>2006</v>
      </c>
      <c r="E4576" s="4" t="inlineStr"/>
      <c r="F4576" s="5" t="n">
        <v>127</v>
      </c>
      <c r="G4576" s="5" t="n">
        <v>890</v>
      </c>
      <c r="H4576" s="5" t="n">
        <v>37</v>
      </c>
      <c r="I4576" s="5" t="n">
        <v>19</v>
      </c>
      <c r="J4576" s="5" t="n">
        <v>19</v>
      </c>
      <c r="K4576" s="10">
        <f>IF(F4576&gt;0,H4576/F4576,"")</f>
        <v/>
      </c>
      <c r="L4576" s="16">
        <f>IF(AND(G4576&gt;0,H4576&gt;0),G4576/H4576,"")</f>
        <v/>
      </c>
    </row>
    <row r="4577">
      <c r="A4577" s="4" t="inlineStr">
        <is>
          <t>632</t>
        </is>
      </c>
      <c r="B4577" s="4" t="n">
        <v>6</v>
      </c>
      <c r="C4577" s="4" t="inlineStr">
        <is>
          <t>elk</t>
        </is>
      </c>
      <c r="D4577" s="4" t="n">
        <v>2007</v>
      </c>
      <c r="E4577" s="4" t="inlineStr"/>
      <c r="F4577" s="5" t="n">
        <v>194</v>
      </c>
      <c r="G4577" s="5" t="n">
        <v>1165</v>
      </c>
      <c r="H4577" s="5" t="n">
        <v>48</v>
      </c>
      <c r="I4577" s="5" t="n">
        <v>31</v>
      </c>
      <c r="J4577" s="5" t="n">
        <v>16</v>
      </c>
      <c r="K4577" s="10">
        <f>IF(F4577&gt;0,H4577/F4577,"")</f>
        <v/>
      </c>
      <c r="L4577" s="16">
        <f>IF(AND(G4577&gt;0,H4577&gt;0),G4577/H4577,"")</f>
        <v/>
      </c>
    </row>
    <row r="4578">
      <c r="A4578" s="4" t="inlineStr">
        <is>
          <t>632</t>
        </is>
      </c>
      <c r="B4578" s="4" t="n">
        <v>6</v>
      </c>
      <c r="C4578" s="4" t="inlineStr">
        <is>
          <t>elk</t>
        </is>
      </c>
      <c r="D4578" s="4" t="n">
        <v>2008</v>
      </c>
      <c r="E4578" s="4" t="inlineStr"/>
      <c r="F4578" s="5" t="n">
        <v>218</v>
      </c>
      <c r="G4578" s="5" t="n">
        <v>1550</v>
      </c>
      <c r="H4578" s="5" t="n">
        <v>36</v>
      </c>
      <c r="I4578" s="5" t="n">
        <v>17</v>
      </c>
      <c r="J4578" s="5" t="n">
        <v>19</v>
      </c>
      <c r="K4578" s="10">
        <f>IF(F4578&gt;0,H4578/F4578,"")</f>
        <v/>
      </c>
      <c r="L4578" s="16">
        <f>IF(AND(G4578&gt;0,H4578&gt;0),G4578/H4578,"")</f>
        <v/>
      </c>
    </row>
    <row r="4579">
      <c r="A4579" s="4" t="inlineStr">
        <is>
          <t>632</t>
        </is>
      </c>
      <c r="B4579" s="4" t="n">
        <v>6</v>
      </c>
      <c r="C4579" s="4" t="inlineStr">
        <is>
          <t>elk</t>
        </is>
      </c>
      <c r="D4579" s="4" t="n">
        <v>2009</v>
      </c>
      <c r="E4579" s="4" t="inlineStr"/>
      <c r="F4579" s="5" t="n">
        <v>201</v>
      </c>
      <c r="G4579" s="5" t="n">
        <v>1523</v>
      </c>
      <c r="H4579" s="5" t="n">
        <v>49</v>
      </c>
      <c r="I4579" s="5" t="n">
        <v>24</v>
      </c>
      <c r="J4579" s="5" t="n">
        <v>23</v>
      </c>
      <c r="K4579" s="10">
        <f>IF(F4579&gt;0,H4579/F4579,"")</f>
        <v/>
      </c>
      <c r="L4579" s="16">
        <f>IF(AND(G4579&gt;0,H4579&gt;0),G4579/H4579,"")</f>
        <v/>
      </c>
    </row>
    <row r="4580">
      <c r="A4580" s="4" t="inlineStr">
        <is>
          <t>632</t>
        </is>
      </c>
      <c r="B4580" s="4" t="n">
        <v>6</v>
      </c>
      <c r="C4580" s="4" t="inlineStr">
        <is>
          <t>elk</t>
        </is>
      </c>
      <c r="D4580" s="4" t="n">
        <v>2010</v>
      </c>
      <c r="E4580" s="4" t="inlineStr"/>
      <c r="F4580" s="5" t="n">
        <v>136</v>
      </c>
      <c r="G4580" s="5" t="n">
        <v>978</v>
      </c>
      <c r="H4580" s="5" t="n">
        <v>36</v>
      </c>
      <c r="I4580" s="5" t="n">
        <v>26</v>
      </c>
      <c r="J4580" s="5" t="n">
        <v>10</v>
      </c>
      <c r="K4580" s="10">
        <f>IF(F4580&gt;0,H4580/F4580,"")</f>
        <v/>
      </c>
      <c r="L4580" s="16">
        <f>IF(AND(G4580&gt;0,H4580&gt;0),G4580/H4580,"")</f>
        <v/>
      </c>
    </row>
    <row r="4581">
      <c r="A4581" s="4" t="inlineStr">
        <is>
          <t>632</t>
        </is>
      </c>
      <c r="B4581" s="4" t="n">
        <v>6</v>
      </c>
      <c r="C4581" s="4" t="inlineStr">
        <is>
          <t>elk</t>
        </is>
      </c>
      <c r="D4581" s="4" t="n">
        <v>2011</v>
      </c>
      <c r="E4581" s="4" t="inlineStr"/>
      <c r="F4581" s="5" t="n">
        <v>123</v>
      </c>
      <c r="G4581" s="5" t="n">
        <v>789</v>
      </c>
      <c r="H4581" s="5" t="n">
        <v>38</v>
      </c>
      <c r="I4581" s="5" t="n">
        <v>17</v>
      </c>
      <c r="J4581" s="5" t="n">
        <v>22</v>
      </c>
      <c r="K4581" s="10">
        <f>IF(F4581&gt;0,H4581/F4581,"")</f>
        <v/>
      </c>
      <c r="L4581" s="16">
        <f>IF(AND(G4581&gt;0,H4581&gt;0),G4581/H4581,"")</f>
        <v/>
      </c>
    </row>
    <row r="4582">
      <c r="A4582" s="4" t="inlineStr">
        <is>
          <t>632</t>
        </is>
      </c>
      <c r="B4582" s="4" t="n">
        <v>6</v>
      </c>
      <c r="C4582" s="4" t="inlineStr">
        <is>
          <t>elk</t>
        </is>
      </c>
      <c r="D4582" s="4" t="n">
        <v>2012</v>
      </c>
      <c r="E4582" s="4" t="inlineStr"/>
      <c r="F4582" s="5" t="n">
        <v>127</v>
      </c>
      <c r="G4582" s="5" t="n">
        <v>925</v>
      </c>
      <c r="H4582" s="5" t="n">
        <v>22</v>
      </c>
      <c r="I4582" s="5" t="n">
        <v>18</v>
      </c>
      <c r="J4582" s="5" t="n">
        <v>4</v>
      </c>
      <c r="K4582" s="10">
        <f>IF(F4582&gt;0,H4582/F4582,"")</f>
        <v/>
      </c>
      <c r="L4582" s="16">
        <f>IF(AND(G4582&gt;0,H4582&gt;0),G4582/H4582,"")</f>
        <v/>
      </c>
    </row>
    <row r="4583">
      <c r="A4583" s="4" t="inlineStr">
        <is>
          <t>632</t>
        </is>
      </c>
      <c r="B4583" s="4" t="n">
        <v>6</v>
      </c>
      <c r="C4583" s="4" t="inlineStr">
        <is>
          <t>elk</t>
        </is>
      </c>
      <c r="D4583" s="4" t="n">
        <v>2013</v>
      </c>
      <c r="E4583" s="4" t="inlineStr"/>
      <c r="F4583" s="5" t="n"/>
      <c r="G4583" s="5" t="n"/>
      <c r="H4583" s="5" t="n">
        <v>30</v>
      </c>
      <c r="I4583" s="5" t="n">
        <v>16</v>
      </c>
      <c r="J4583" s="5" t="n">
        <v>14</v>
      </c>
      <c r="K4583" s="10">
        <f>IF(F4583&gt;0,H4583/F4583,"")</f>
        <v/>
      </c>
      <c r="L4583" s="16">
        <f>IF(AND(G4583&gt;0,H4583&gt;0),G4583/H4583,"")</f>
        <v/>
      </c>
    </row>
    <row r="4584">
      <c r="A4584" s="4" t="inlineStr">
        <is>
          <t>632</t>
        </is>
      </c>
      <c r="B4584" s="4" t="n">
        <v>6</v>
      </c>
      <c r="C4584" s="4" t="inlineStr">
        <is>
          <t>elk</t>
        </is>
      </c>
      <c r="D4584" s="4" t="n">
        <v>2014</v>
      </c>
      <c r="E4584" s="4" t="inlineStr"/>
      <c r="F4584" s="5" t="n">
        <v>145</v>
      </c>
      <c r="G4584" s="5" t="n">
        <v>1117</v>
      </c>
      <c r="H4584" s="5" t="n">
        <v>37</v>
      </c>
      <c r="I4584" s="5" t="n">
        <v>25</v>
      </c>
      <c r="J4584" s="5" t="n">
        <v>12</v>
      </c>
      <c r="K4584" s="10">
        <f>IF(F4584&gt;0,H4584/F4584,"")</f>
        <v/>
      </c>
      <c r="L4584" s="16">
        <f>IF(AND(G4584&gt;0,H4584&gt;0),G4584/H4584,"")</f>
        <v/>
      </c>
    </row>
    <row r="4585">
      <c r="A4585" s="4" t="inlineStr">
        <is>
          <t>632</t>
        </is>
      </c>
      <c r="B4585" s="4" t="n">
        <v>6</v>
      </c>
      <c r="C4585" s="4" t="inlineStr">
        <is>
          <t>elk</t>
        </is>
      </c>
      <c r="D4585" s="4" t="n">
        <v>2015</v>
      </c>
      <c r="E4585" s="4" t="inlineStr"/>
      <c r="F4585" s="5" t="n">
        <v>148</v>
      </c>
      <c r="G4585" s="5" t="n">
        <v>1223</v>
      </c>
      <c r="H4585" s="5" t="n">
        <v>20</v>
      </c>
      <c r="I4585" s="5" t="n">
        <v>14</v>
      </c>
      <c r="J4585" s="5" t="n">
        <v>6</v>
      </c>
      <c r="K4585" s="10">
        <f>IF(F4585&gt;0,H4585/F4585,"")</f>
        <v/>
      </c>
      <c r="L4585" s="16">
        <f>IF(AND(G4585&gt;0,H4585&gt;0),G4585/H4585,"")</f>
        <v/>
      </c>
    </row>
    <row r="4586">
      <c r="A4586" s="4" t="inlineStr">
        <is>
          <t>632</t>
        </is>
      </c>
      <c r="B4586" s="4" t="n">
        <v>6</v>
      </c>
      <c r="C4586" s="4" t="inlineStr">
        <is>
          <t>elk</t>
        </is>
      </c>
      <c r="D4586" s="4" t="n">
        <v>2016</v>
      </c>
      <c r="E4586" s="4" t="inlineStr"/>
      <c r="F4586" s="5" t="n">
        <v>174</v>
      </c>
      <c r="G4586" s="5" t="n">
        <v>1147</v>
      </c>
      <c r="H4586" s="5" t="n">
        <v>37</v>
      </c>
      <c r="I4586" s="5" t="n">
        <v>17</v>
      </c>
      <c r="J4586" s="5" t="n">
        <v>13</v>
      </c>
      <c r="K4586" s="10">
        <f>IF(F4586&gt;0,H4586/F4586,"")</f>
        <v/>
      </c>
      <c r="L4586" s="16">
        <f>IF(AND(G4586&gt;0,H4586&gt;0),G4586/H4586,"")</f>
        <v/>
      </c>
    </row>
    <row r="4587">
      <c r="A4587" s="4" t="inlineStr">
        <is>
          <t>632</t>
        </is>
      </c>
      <c r="B4587" s="4" t="n">
        <v>6</v>
      </c>
      <c r="C4587" s="4" t="inlineStr">
        <is>
          <t>elk</t>
        </is>
      </c>
      <c r="D4587" s="4" t="n">
        <v>2017</v>
      </c>
      <c r="E4587" s="4" t="inlineStr"/>
      <c r="F4587" s="5" t="n"/>
      <c r="G4587" s="5" t="n"/>
      <c r="H4587" s="5" t="n">
        <v>23</v>
      </c>
      <c r="I4587" s="5" t="n">
        <v>18</v>
      </c>
      <c r="J4587" s="5" t="n">
        <v>5</v>
      </c>
      <c r="K4587" s="10">
        <f>IF(F4587&gt;0,H4587/F4587,"")</f>
        <v/>
      </c>
      <c r="L4587" s="16">
        <f>IF(AND(G4587&gt;0,H4587&gt;0),G4587/H4587,"")</f>
        <v/>
      </c>
    </row>
    <row r="4588">
      <c r="A4588" s="4" t="inlineStr">
        <is>
          <t>632</t>
        </is>
      </c>
      <c r="B4588" s="4" t="n">
        <v>6</v>
      </c>
      <c r="C4588" s="4" t="inlineStr">
        <is>
          <t>elk</t>
        </is>
      </c>
      <c r="D4588" s="4" t="n">
        <v>2018</v>
      </c>
      <c r="E4588" s="4" t="inlineStr"/>
      <c r="F4588" s="5" t="n">
        <v>185</v>
      </c>
      <c r="G4588" s="5" t="n">
        <v>1305</v>
      </c>
      <c r="H4588" s="5" t="n">
        <v>14</v>
      </c>
      <c r="I4588" s="5" t="n">
        <v>10</v>
      </c>
      <c r="J4588" s="5" t="n">
        <v>4</v>
      </c>
      <c r="K4588" s="10">
        <f>IF(F4588&gt;0,H4588/F4588,"")</f>
        <v/>
      </c>
      <c r="L4588" s="16">
        <f>IF(AND(G4588&gt;0,H4588&gt;0),G4588/H4588,"")</f>
        <v/>
      </c>
    </row>
    <row r="4589">
      <c r="A4589" s="4" t="inlineStr">
        <is>
          <t>632</t>
        </is>
      </c>
      <c r="B4589" s="4" t="n">
        <v>6</v>
      </c>
      <c r="C4589" s="4" t="inlineStr">
        <is>
          <t>elk</t>
        </is>
      </c>
      <c r="D4589" s="4" t="n">
        <v>2019</v>
      </c>
      <c r="E4589" s="4" t="inlineStr"/>
      <c r="F4589" s="5" t="n"/>
      <c r="G4589" s="5" t="n"/>
      <c r="H4589" s="5" t="n">
        <v>19</v>
      </c>
      <c r="I4589" s="5" t="n">
        <v>18</v>
      </c>
      <c r="J4589" s="5" t="n">
        <v>2</v>
      </c>
      <c r="K4589" s="10">
        <f>IF(F4589&gt;0,H4589/F4589,"")</f>
        <v/>
      </c>
      <c r="L4589" s="16">
        <f>IF(AND(G4589&gt;0,H4589&gt;0),G4589/H4589,"")</f>
        <v/>
      </c>
    </row>
    <row r="4590">
      <c r="A4590" s="4" t="inlineStr">
        <is>
          <t>632</t>
        </is>
      </c>
      <c r="B4590" s="4" t="n">
        <v>6</v>
      </c>
      <c r="C4590" s="4" t="inlineStr">
        <is>
          <t>elk</t>
        </is>
      </c>
      <c r="D4590" s="4" t="n">
        <v>2020</v>
      </c>
      <c r="E4590" s="4" t="inlineStr"/>
      <c r="F4590" s="5" t="n">
        <v>110</v>
      </c>
      <c r="G4590" s="5" t="n">
        <v>807</v>
      </c>
      <c r="H4590" s="5" t="n">
        <v>19</v>
      </c>
      <c r="I4590" s="5" t="n">
        <v>15</v>
      </c>
      <c r="J4590" s="5" t="n">
        <v>2</v>
      </c>
      <c r="K4590" s="10">
        <f>IF(F4590&gt;0,H4590/F4590,"")</f>
        <v/>
      </c>
      <c r="L4590" s="16">
        <f>IF(AND(G4590&gt;0,H4590&gt;0),G4590/H4590,"")</f>
        <v/>
      </c>
    </row>
    <row r="4591">
      <c r="A4591" s="4" t="inlineStr">
        <is>
          <t>632</t>
        </is>
      </c>
      <c r="B4591" s="4" t="n">
        <v>6</v>
      </c>
      <c r="C4591" s="4" t="inlineStr">
        <is>
          <t>elk</t>
        </is>
      </c>
      <c r="D4591" s="4" t="n">
        <v>2021</v>
      </c>
      <c r="E4591" s="4" t="inlineStr"/>
      <c r="F4591" s="5" t="n"/>
      <c r="G4591" s="5" t="n"/>
      <c r="H4591" s="5" t="n">
        <v>16</v>
      </c>
      <c r="I4591" s="5" t="n">
        <v>16</v>
      </c>
      <c r="J4591" s="5" t="n">
        <v>0</v>
      </c>
      <c r="K4591" s="10">
        <f>IF(F4591&gt;0,H4591/F4591,"")</f>
        <v/>
      </c>
      <c r="L4591" s="16">
        <f>IF(AND(G4591&gt;0,H4591&gt;0),G4591/H4591,"")</f>
        <v/>
      </c>
    </row>
    <row r="4592">
      <c r="A4592" s="4" t="inlineStr">
        <is>
          <t>640</t>
        </is>
      </c>
      <c r="B4592" s="4" t="n">
        <v>6</v>
      </c>
      <c r="C4592" s="4" t="inlineStr">
        <is>
          <t>elk</t>
        </is>
      </c>
      <c r="D4592" s="4" t="n">
        <v>2004</v>
      </c>
      <c r="E4592" s="13" t="inlineStr">
        <is>
          <t>General</t>
        </is>
      </c>
      <c r="F4592" s="5" t="n">
        <v>13</v>
      </c>
      <c r="G4592" s="5" t="n">
        <v>36</v>
      </c>
      <c r="H4592" s="5" t="n">
        <v>1</v>
      </c>
      <c r="I4592" s="5" t="n">
        <v>1</v>
      </c>
      <c r="J4592" s="5" t="n">
        <v>0</v>
      </c>
      <c r="K4592" s="10">
        <f>IF(F4592&gt;0,H4592/F4592,"")</f>
        <v/>
      </c>
      <c r="L4592" s="16">
        <f>IF(AND(G4592&gt;0,H4592&gt;0),G4592/H4592,"")</f>
        <v/>
      </c>
    </row>
    <row r="4593">
      <c r="A4593" s="4" t="inlineStr">
        <is>
          <t>640</t>
        </is>
      </c>
      <c r="B4593" s="4" t="n">
        <v>6</v>
      </c>
      <c r="C4593" s="4" t="inlineStr">
        <is>
          <t>elk</t>
        </is>
      </c>
      <c r="D4593" s="4" t="n">
        <v>2005</v>
      </c>
      <c r="E4593" s="13" t="inlineStr">
        <is>
          <t>General</t>
        </is>
      </c>
      <c r="F4593" s="5" t="n">
        <v>37</v>
      </c>
      <c r="G4593" s="5" t="n">
        <v>106</v>
      </c>
      <c r="H4593" s="5" t="n">
        <v>4</v>
      </c>
      <c r="I4593" s="5" t="n">
        <v>0</v>
      </c>
      <c r="J4593" s="5" t="n">
        <v>1</v>
      </c>
      <c r="K4593" s="10">
        <f>IF(F4593&gt;0,H4593/F4593,"")</f>
        <v/>
      </c>
      <c r="L4593" s="16">
        <f>IF(AND(G4593&gt;0,H4593&gt;0),G4593/H4593,"")</f>
        <v/>
      </c>
    </row>
    <row r="4594">
      <c r="A4594" s="4" t="inlineStr">
        <is>
          <t>640</t>
        </is>
      </c>
      <c r="B4594" s="4" t="n">
        <v>6</v>
      </c>
      <c r="C4594" s="4" t="inlineStr">
        <is>
          <t>elk</t>
        </is>
      </c>
      <c r="D4594" s="4" t="n">
        <v>2006</v>
      </c>
      <c r="E4594" s="13" t="inlineStr">
        <is>
          <t>General</t>
        </is>
      </c>
      <c r="F4594" s="5" t="n">
        <v>8</v>
      </c>
      <c r="G4594" s="5" t="n">
        <v>65</v>
      </c>
      <c r="H4594" s="5" t="n">
        <v>4</v>
      </c>
      <c r="I4594" s="5" t="n">
        <v>0</v>
      </c>
      <c r="J4594" s="5" t="n">
        <v>4</v>
      </c>
      <c r="K4594" s="10">
        <f>IF(F4594&gt;0,H4594/F4594,"")</f>
        <v/>
      </c>
      <c r="L4594" s="16">
        <f>IF(AND(G4594&gt;0,H4594&gt;0),G4594/H4594,"")</f>
        <v/>
      </c>
    </row>
    <row r="4595">
      <c r="A4595" s="4" t="inlineStr">
        <is>
          <t>640</t>
        </is>
      </c>
      <c r="B4595" s="4" t="n">
        <v>6</v>
      </c>
      <c r="C4595" s="4" t="inlineStr">
        <is>
          <t>elk</t>
        </is>
      </c>
      <c r="D4595" s="4" t="n">
        <v>2008</v>
      </c>
      <c r="E4595" s="13" t="inlineStr">
        <is>
          <t>General</t>
        </is>
      </c>
      <c r="F4595" s="5" t="n">
        <v>14</v>
      </c>
      <c r="G4595" s="5" t="n">
        <v>91</v>
      </c>
      <c r="H4595" s="5" t="n">
        <v>3</v>
      </c>
      <c r="I4595" s="5" t="n">
        <v>3</v>
      </c>
      <c r="J4595" s="5" t="n">
        <v>0</v>
      </c>
      <c r="K4595" s="10">
        <f>IF(F4595&gt;0,H4595/F4595,"")</f>
        <v/>
      </c>
      <c r="L4595" s="16">
        <f>IF(AND(G4595&gt;0,H4595&gt;0),G4595/H4595,"")</f>
        <v/>
      </c>
    </row>
    <row r="4596">
      <c r="A4596" s="4" t="inlineStr">
        <is>
          <t>640</t>
        </is>
      </c>
      <c r="B4596" s="4" t="n">
        <v>6</v>
      </c>
      <c r="C4596" s="4" t="inlineStr">
        <is>
          <t>elk</t>
        </is>
      </c>
      <c r="D4596" s="4" t="n">
        <v>2009</v>
      </c>
      <c r="E4596" s="13" t="inlineStr">
        <is>
          <t>General</t>
        </is>
      </c>
      <c r="F4596" s="5" t="n">
        <v>14</v>
      </c>
      <c r="G4596" s="5" t="n">
        <v>78</v>
      </c>
      <c r="H4596" s="5" t="n">
        <v>3</v>
      </c>
      <c r="I4596" s="5" t="n">
        <v>3</v>
      </c>
      <c r="J4596" s="5" t="n">
        <v>0</v>
      </c>
      <c r="K4596" s="10">
        <f>IF(F4596&gt;0,H4596/F4596,"")</f>
        <v/>
      </c>
      <c r="L4596" s="16">
        <f>IF(AND(G4596&gt;0,H4596&gt;0),G4596/H4596,"")</f>
        <v/>
      </c>
    </row>
    <row r="4597">
      <c r="A4597" s="4" t="inlineStr">
        <is>
          <t>640</t>
        </is>
      </c>
      <c r="B4597" s="4" t="n">
        <v>6</v>
      </c>
      <c r="C4597" s="4" t="inlineStr">
        <is>
          <t>elk</t>
        </is>
      </c>
      <c r="D4597" s="4" t="n">
        <v>2010</v>
      </c>
      <c r="E4597" s="13" t="inlineStr">
        <is>
          <t>General</t>
        </is>
      </c>
      <c r="F4597" s="5" t="n">
        <v>21</v>
      </c>
      <c r="G4597" s="5" t="n">
        <v>237</v>
      </c>
      <c r="H4597" s="5" t="n">
        <v>17</v>
      </c>
      <c r="I4597" s="5" t="n">
        <v>11</v>
      </c>
      <c r="J4597" s="5" t="n">
        <v>6</v>
      </c>
      <c r="K4597" s="10">
        <f>IF(F4597&gt;0,H4597/F4597,"")</f>
        <v/>
      </c>
      <c r="L4597" s="16">
        <f>IF(AND(G4597&gt;0,H4597&gt;0),G4597/H4597,"")</f>
        <v/>
      </c>
    </row>
    <row r="4598">
      <c r="A4598" s="4" t="inlineStr">
        <is>
          <t>640</t>
        </is>
      </c>
      <c r="B4598" s="4" t="n">
        <v>6</v>
      </c>
      <c r="C4598" s="4" t="inlineStr">
        <is>
          <t>elk</t>
        </is>
      </c>
      <c r="D4598" s="4" t="n">
        <v>2014</v>
      </c>
      <c r="E4598" s="13" t="inlineStr">
        <is>
          <t>General</t>
        </is>
      </c>
      <c r="F4598" s="5" t="n">
        <v>16</v>
      </c>
      <c r="G4598" s="5" t="n">
        <v>87</v>
      </c>
      <c r="H4598" s="5" t="n">
        <v>3</v>
      </c>
      <c r="I4598" s="5" t="n">
        <v>3</v>
      </c>
      <c r="J4598" s="5" t="n">
        <v>0</v>
      </c>
      <c r="K4598" s="10">
        <f>IF(F4598&gt;0,H4598/F4598,"")</f>
        <v/>
      </c>
      <c r="L4598" s="16">
        <f>IF(AND(G4598&gt;0,H4598&gt;0),G4598/H4598,"")</f>
        <v/>
      </c>
    </row>
    <row r="4599">
      <c r="A4599" s="4" t="inlineStr">
        <is>
          <t>640</t>
        </is>
      </c>
      <c r="B4599" s="4" t="n">
        <v>6</v>
      </c>
      <c r="C4599" s="4" t="inlineStr">
        <is>
          <t>elk</t>
        </is>
      </c>
      <c r="D4599" s="4" t="n">
        <v>2015</v>
      </c>
      <c r="E4599" s="13" t="inlineStr">
        <is>
          <t>General</t>
        </is>
      </c>
      <c r="F4599" s="5" t="n">
        <v>50</v>
      </c>
      <c r="G4599" s="5" t="n">
        <v>247</v>
      </c>
      <c r="H4599" s="5" t="n">
        <v>6</v>
      </c>
      <c r="I4599" s="5" t="n">
        <v>6</v>
      </c>
      <c r="J4599" s="5" t="n">
        <v>0</v>
      </c>
      <c r="K4599" s="10">
        <f>IF(F4599&gt;0,H4599/F4599,"")</f>
        <v/>
      </c>
      <c r="L4599" s="16">
        <f>IF(AND(G4599&gt;0,H4599&gt;0),G4599/H4599,"")</f>
        <v/>
      </c>
    </row>
    <row r="4600">
      <c r="A4600" s="4" t="inlineStr">
        <is>
          <t>640</t>
        </is>
      </c>
      <c r="B4600" s="4" t="n">
        <v>6</v>
      </c>
      <c r="C4600" s="4" t="inlineStr">
        <is>
          <t>elk</t>
        </is>
      </c>
      <c r="D4600" s="4" t="n">
        <v>2016</v>
      </c>
      <c r="E4600" s="13" t="inlineStr">
        <is>
          <t>General</t>
        </is>
      </c>
      <c r="F4600" s="5" t="n">
        <v>39</v>
      </c>
      <c r="G4600" s="5" t="n">
        <v>350</v>
      </c>
      <c r="H4600" s="5" t="n">
        <v>3</v>
      </c>
      <c r="I4600" s="5" t="n">
        <v>3</v>
      </c>
      <c r="J4600" s="5" t="n">
        <v>0</v>
      </c>
      <c r="K4600" s="10">
        <f>IF(F4600&gt;0,H4600/F4600,"")</f>
        <v/>
      </c>
      <c r="L4600" s="16">
        <f>IF(AND(G4600&gt;0,H4600&gt;0),G4600/H4600,"")</f>
        <v/>
      </c>
    </row>
    <row r="4601">
      <c r="A4601" s="4" t="inlineStr">
        <is>
          <t>640</t>
        </is>
      </c>
      <c r="B4601" s="4" t="n">
        <v>6</v>
      </c>
      <c r="C4601" s="4" t="inlineStr">
        <is>
          <t>elk</t>
        </is>
      </c>
      <c r="D4601" s="4" t="n">
        <v>2018</v>
      </c>
      <c r="E4601" s="13" t="inlineStr">
        <is>
          <t>General</t>
        </is>
      </c>
      <c r="F4601" s="5" t="n">
        <v>24</v>
      </c>
      <c r="G4601" s="5" t="n">
        <v>124</v>
      </c>
      <c r="H4601" s="5" t="n">
        <v>3</v>
      </c>
      <c r="I4601" s="5" t="n">
        <v>0</v>
      </c>
      <c r="J4601" s="5" t="n">
        <v>3</v>
      </c>
      <c r="K4601" s="10">
        <f>IF(F4601&gt;0,H4601/F4601,"")</f>
        <v/>
      </c>
      <c r="L4601" s="16">
        <f>IF(AND(G4601&gt;0,H4601&gt;0),G4601/H4601,"")</f>
        <v/>
      </c>
    </row>
    <row r="4602">
      <c r="A4602" s="4" t="inlineStr">
        <is>
          <t>640</t>
        </is>
      </c>
      <c r="B4602" s="4" t="n">
        <v>6</v>
      </c>
      <c r="C4602" s="4" t="inlineStr">
        <is>
          <t>elk</t>
        </is>
      </c>
      <c r="D4602" s="4" t="n">
        <v>2019</v>
      </c>
      <c r="E4602" s="13" t="inlineStr">
        <is>
          <t>General</t>
        </is>
      </c>
      <c r="F4602" s="5" t="n"/>
      <c r="G4602" s="5" t="n"/>
      <c r="H4602" s="5" t="n">
        <v>3</v>
      </c>
      <c r="I4602" s="5" t="n">
        <v>3</v>
      </c>
      <c r="J4602" s="5" t="n">
        <v>0</v>
      </c>
      <c r="K4602" s="10">
        <f>IF(F4602&gt;0,H4602/F4602,"")</f>
        <v/>
      </c>
      <c r="L4602" s="16">
        <f>IF(AND(G4602&gt;0,H4602&gt;0),G4602/H4602,"")</f>
        <v/>
      </c>
    </row>
    <row r="4603">
      <c r="A4603" s="4" t="inlineStr">
        <is>
          <t>640</t>
        </is>
      </c>
      <c r="B4603" s="4" t="n">
        <v>6</v>
      </c>
      <c r="C4603" s="4" t="inlineStr">
        <is>
          <t>elk</t>
        </is>
      </c>
      <c r="D4603" s="4" t="n">
        <v>2020</v>
      </c>
      <c r="E4603" s="13" t="inlineStr">
        <is>
          <t>General</t>
        </is>
      </c>
      <c r="F4603" s="5" t="n">
        <v>41</v>
      </c>
      <c r="G4603" s="5" t="n">
        <v>343</v>
      </c>
      <c r="H4603" s="5" t="n">
        <v>4</v>
      </c>
      <c r="I4603" s="5" t="n">
        <v>4</v>
      </c>
      <c r="J4603" s="5" t="n">
        <v>0</v>
      </c>
      <c r="K4603" s="10">
        <f>IF(F4603&gt;0,H4603/F4603,"")</f>
        <v/>
      </c>
      <c r="L4603" s="16">
        <f>IF(AND(G4603&gt;0,H4603&gt;0),G4603/H4603,"")</f>
        <v/>
      </c>
    </row>
    <row r="4604">
      <c r="A4604" s="4" t="inlineStr">
        <is>
          <t>640</t>
        </is>
      </c>
      <c r="B4604" s="4" t="n">
        <v>6</v>
      </c>
      <c r="C4604" s="4" t="inlineStr">
        <is>
          <t>elk</t>
        </is>
      </c>
      <c r="D4604" s="4" t="n">
        <v>2021</v>
      </c>
      <c r="E4604" s="13" t="inlineStr">
        <is>
          <t>General</t>
        </is>
      </c>
      <c r="F4604" s="5" t="n"/>
      <c r="G4604" s="5" t="n"/>
      <c r="H4604" s="5" t="n">
        <v>4</v>
      </c>
      <c r="I4604" s="5" t="n">
        <v>4</v>
      </c>
      <c r="J4604" s="5" t="n">
        <v>0</v>
      </c>
      <c r="K4604" s="10">
        <f>IF(F4604&gt;0,H4604/F4604,"")</f>
        <v/>
      </c>
      <c r="L4604" s="16">
        <f>IF(AND(G4604&gt;0,H4604&gt;0),G4604/H4604,"")</f>
        <v/>
      </c>
    </row>
    <row r="4605">
      <c r="A4605" s="4" t="inlineStr">
        <is>
          <t>640</t>
        </is>
      </c>
      <c r="B4605" s="4" t="n">
        <v>6</v>
      </c>
      <c r="C4605" s="4" t="inlineStr">
        <is>
          <t>elk</t>
        </is>
      </c>
      <c r="D4605" s="4" t="n">
        <v>2022</v>
      </c>
      <c r="E4605" s="13" t="inlineStr">
        <is>
          <t>General</t>
        </is>
      </c>
      <c r="F4605" s="5" t="n">
        <v>95</v>
      </c>
      <c r="G4605" s="5" t="n">
        <v>657</v>
      </c>
      <c r="H4605" s="5" t="n">
        <v>16</v>
      </c>
      <c r="I4605" s="5" t="n">
        <v>16</v>
      </c>
      <c r="J4605" s="5" t="n">
        <v>0</v>
      </c>
      <c r="K4605" s="10">
        <f>IF(F4605&gt;0,H4605/F4605,"")</f>
        <v/>
      </c>
      <c r="L4605" s="16">
        <f>IF(AND(G4605&gt;0,H4605&gt;0),G4605/H4605,"")</f>
        <v/>
      </c>
    </row>
    <row r="4606">
      <c r="A4606" s="4" t="inlineStr">
        <is>
          <t>640</t>
        </is>
      </c>
      <c r="B4606" s="4" t="n">
        <v>6</v>
      </c>
      <c r="C4606" s="4" t="inlineStr">
        <is>
          <t>elk</t>
        </is>
      </c>
      <c r="D4606" s="4" t="n">
        <v>2023</v>
      </c>
      <c r="E4606" s="13" t="inlineStr">
        <is>
          <t>General</t>
        </is>
      </c>
      <c r="F4606" s="5" t="n"/>
      <c r="G4606" s="5" t="n"/>
      <c r="H4606" s="5" t="n">
        <v>14</v>
      </c>
      <c r="I4606" s="5" t="n">
        <v>12</v>
      </c>
      <c r="J4606" s="5" t="n">
        <v>3</v>
      </c>
      <c r="K4606" s="10">
        <f>IF(F4606&gt;0,H4606/F4606,"")</f>
        <v/>
      </c>
      <c r="L4606" s="16">
        <f>IF(AND(G4606&gt;0,H4606&gt;0),G4606/H4606,"")</f>
        <v/>
      </c>
    </row>
    <row r="4607">
      <c r="A4607" s="4" t="inlineStr">
        <is>
          <t>640</t>
        </is>
      </c>
      <c r="B4607" s="4" t="n">
        <v>6</v>
      </c>
      <c r="C4607" s="4" t="inlineStr">
        <is>
          <t>elk</t>
        </is>
      </c>
      <c r="D4607" s="4" t="n">
        <v>2024</v>
      </c>
      <c r="E4607" s="13" t="inlineStr">
        <is>
          <t>General</t>
        </is>
      </c>
      <c r="F4607" s="5" t="n">
        <v>89</v>
      </c>
      <c r="G4607" s="5" t="n">
        <v>449</v>
      </c>
      <c r="H4607" s="5" t="n">
        <v>3</v>
      </c>
      <c r="I4607" s="5" t="n">
        <v>0</v>
      </c>
      <c r="J4607" s="5" t="n">
        <v>3</v>
      </c>
      <c r="K4607" s="10">
        <f>IF(F4607&gt;0,H4607/F4607,"")</f>
        <v/>
      </c>
      <c r="L4607" s="16">
        <f>IF(AND(G4607&gt;0,H4607&gt;0),G4607/H4607,"")</f>
        <v/>
      </c>
    </row>
    <row r="4608">
      <c r="A4608" s="4" t="inlineStr">
        <is>
          <t>640</t>
        </is>
      </c>
      <c r="B4608" s="4" t="n">
        <v>6</v>
      </c>
      <c r="C4608" s="4" t="inlineStr">
        <is>
          <t>elk</t>
        </is>
      </c>
      <c r="D4608" s="4" t="n">
        <v>2025</v>
      </c>
      <c r="E4608" s="13" t="inlineStr">
        <is>
          <t>General</t>
        </is>
      </c>
      <c r="F4608" s="5" t="n"/>
      <c r="G4608" s="5" t="n"/>
      <c r="H4608" s="5" t="n">
        <v>27</v>
      </c>
      <c r="I4608" s="5" t="n">
        <v>23</v>
      </c>
      <c r="J4608" s="5" t="n">
        <v>4</v>
      </c>
      <c r="K4608" s="10">
        <f>IF(F4608&gt;0,H4608/F4608,"")</f>
        <v/>
      </c>
      <c r="L4608" s="16">
        <f>IF(AND(G4608&gt;0,H4608&gt;0),G4608/H4608,"")</f>
        <v/>
      </c>
    </row>
    <row r="4609">
      <c r="A4609" s="4" t="inlineStr">
        <is>
          <t>641</t>
        </is>
      </c>
      <c r="B4609" s="4" t="n">
        <v>6</v>
      </c>
      <c r="C4609" s="4" t="inlineStr">
        <is>
          <t>elk</t>
        </is>
      </c>
      <c r="D4609" s="4" t="n">
        <v>2005</v>
      </c>
      <c r="E4609" s="4" t="inlineStr"/>
      <c r="F4609" s="5" t="n">
        <v>5</v>
      </c>
      <c r="G4609" s="5" t="n">
        <v>24</v>
      </c>
      <c r="H4609" s="5" t="n">
        <v>0</v>
      </c>
      <c r="I4609" s="5" t="n">
        <v>0</v>
      </c>
      <c r="J4609" s="5" t="n">
        <v>0</v>
      </c>
      <c r="K4609" s="10">
        <f>IF(F4609&gt;0,H4609/F4609,"")</f>
        <v/>
      </c>
      <c r="L4609" s="16">
        <f>IF(AND(G4609&gt;0,H4609&gt;0),G4609/H4609,"")</f>
        <v/>
      </c>
    </row>
    <row r="4610">
      <c r="A4610" s="4" t="inlineStr">
        <is>
          <t>641</t>
        </is>
      </c>
      <c r="B4610" s="4" t="n">
        <v>6</v>
      </c>
      <c r="C4610" s="4" t="inlineStr">
        <is>
          <t>elk</t>
        </is>
      </c>
      <c r="D4610" s="4" t="n">
        <v>2015</v>
      </c>
      <c r="E4610" s="4" t="inlineStr"/>
      <c r="F4610" s="5" t="n">
        <v>25</v>
      </c>
      <c r="G4610" s="5" t="n">
        <v>214</v>
      </c>
      <c r="H4610" s="5" t="n">
        <v>3</v>
      </c>
      <c r="I4610" s="5" t="n">
        <v>3</v>
      </c>
      <c r="J4610" s="5" t="n">
        <v>0</v>
      </c>
      <c r="K4610" s="10">
        <f>IF(F4610&gt;0,H4610/F4610,"")</f>
        <v/>
      </c>
      <c r="L4610" s="16">
        <f>IF(AND(G4610&gt;0,H4610&gt;0),G4610/H4610,"")</f>
        <v/>
      </c>
    </row>
    <row r="4611">
      <c r="A4611" s="4" t="inlineStr">
        <is>
          <t>641</t>
        </is>
      </c>
      <c r="B4611" s="4" t="n">
        <v>6</v>
      </c>
      <c r="C4611" s="4" t="inlineStr">
        <is>
          <t>elk</t>
        </is>
      </c>
      <c r="D4611" s="4" t="n">
        <v>2016</v>
      </c>
      <c r="E4611" s="4" t="inlineStr"/>
      <c r="F4611" s="5" t="n">
        <v>24</v>
      </c>
      <c r="G4611" s="5" t="n">
        <v>512</v>
      </c>
      <c r="H4611" s="5" t="n">
        <v>3</v>
      </c>
      <c r="I4611" s="5" t="n">
        <v>3</v>
      </c>
      <c r="J4611" s="5" t="n">
        <v>0</v>
      </c>
      <c r="K4611" s="10">
        <f>IF(F4611&gt;0,H4611/F4611,"")</f>
        <v/>
      </c>
      <c r="L4611" s="16">
        <f>IF(AND(G4611&gt;0,H4611&gt;0),G4611/H4611,"")</f>
        <v/>
      </c>
    </row>
    <row r="4612">
      <c r="A4612" s="4" t="inlineStr">
        <is>
          <t>641</t>
        </is>
      </c>
      <c r="B4612" s="4" t="n">
        <v>6</v>
      </c>
      <c r="C4612" s="4" t="inlineStr">
        <is>
          <t>elk</t>
        </is>
      </c>
      <c r="D4612" s="4" t="n">
        <v>2018</v>
      </c>
      <c r="E4612" s="4" t="inlineStr"/>
      <c r="F4612" s="5" t="n">
        <v>21</v>
      </c>
      <c r="G4612" s="5" t="n">
        <v>199</v>
      </c>
      <c r="H4612" s="5" t="n">
        <v>2</v>
      </c>
      <c r="I4612" s="5" t="n">
        <v>2</v>
      </c>
      <c r="J4612" s="5" t="n">
        <v>0</v>
      </c>
      <c r="K4612" s="10">
        <f>IF(F4612&gt;0,H4612/F4612,"")</f>
        <v/>
      </c>
      <c r="L4612" s="16">
        <f>IF(AND(G4612&gt;0,H4612&gt;0),G4612/H4612,"")</f>
        <v/>
      </c>
    </row>
    <row r="4613">
      <c r="A4613" s="4" t="inlineStr">
        <is>
          <t>650</t>
        </is>
      </c>
      <c r="B4613" s="4" t="n">
        <v>6</v>
      </c>
      <c r="C4613" s="4" t="inlineStr">
        <is>
          <t>elk</t>
        </is>
      </c>
      <c r="D4613" s="4" t="n">
        <v>2004</v>
      </c>
      <c r="E4613" s="13" t="inlineStr">
        <is>
          <t>General</t>
        </is>
      </c>
      <c r="F4613" s="5" t="n">
        <v>19</v>
      </c>
      <c r="G4613" s="5" t="n">
        <v>108</v>
      </c>
      <c r="H4613" s="5" t="n">
        <v>0</v>
      </c>
      <c r="I4613" s="5" t="n">
        <v>0</v>
      </c>
      <c r="J4613" s="5" t="n">
        <v>0</v>
      </c>
      <c r="K4613" s="10">
        <f>IF(F4613&gt;0,H4613/F4613,"")</f>
        <v/>
      </c>
      <c r="L4613" s="16">
        <f>IF(AND(G4613&gt;0,H4613&gt;0),G4613/H4613,"")</f>
        <v/>
      </c>
    </row>
    <row r="4614">
      <c r="A4614" s="4" t="inlineStr">
        <is>
          <t>650</t>
        </is>
      </c>
      <c r="B4614" s="4" t="n">
        <v>6</v>
      </c>
      <c r="C4614" s="4" t="inlineStr">
        <is>
          <t>elk</t>
        </is>
      </c>
      <c r="D4614" s="4" t="n">
        <v>2005</v>
      </c>
      <c r="E4614" s="13" t="inlineStr">
        <is>
          <t>General</t>
        </is>
      </c>
      <c r="F4614" s="5" t="n">
        <v>26</v>
      </c>
      <c r="G4614" s="5" t="n">
        <v>111</v>
      </c>
      <c r="H4614" s="5" t="n">
        <v>0</v>
      </c>
      <c r="I4614" s="5" t="n">
        <v>0</v>
      </c>
      <c r="J4614" s="5" t="n">
        <v>0</v>
      </c>
      <c r="K4614" s="10">
        <f>IF(F4614&gt;0,H4614/F4614,"")</f>
        <v/>
      </c>
      <c r="L4614" s="16">
        <f>IF(AND(G4614&gt;0,H4614&gt;0),G4614/H4614,"")</f>
        <v/>
      </c>
    </row>
    <row r="4615">
      <c r="A4615" s="4" t="inlineStr">
        <is>
          <t>650</t>
        </is>
      </c>
      <c r="B4615" s="4" t="n">
        <v>6</v>
      </c>
      <c r="C4615" s="4" t="inlineStr">
        <is>
          <t>elk</t>
        </is>
      </c>
      <c r="D4615" s="4" t="n">
        <v>2006</v>
      </c>
      <c r="E4615" s="13" t="inlineStr">
        <is>
          <t>General</t>
        </is>
      </c>
      <c r="F4615" s="5" t="n">
        <v>11</v>
      </c>
      <c r="G4615" s="5" t="n">
        <v>32</v>
      </c>
      <c r="H4615" s="5" t="n">
        <v>4</v>
      </c>
      <c r="I4615" s="5" t="n">
        <v>4</v>
      </c>
      <c r="J4615" s="5" t="n">
        <v>0</v>
      </c>
      <c r="K4615" s="10">
        <f>IF(F4615&gt;0,H4615/F4615,"")</f>
        <v/>
      </c>
      <c r="L4615" s="16">
        <f>IF(AND(G4615&gt;0,H4615&gt;0),G4615/H4615,"")</f>
        <v/>
      </c>
    </row>
    <row r="4616">
      <c r="A4616" s="4" t="inlineStr">
        <is>
          <t>650</t>
        </is>
      </c>
      <c r="B4616" s="4" t="n">
        <v>6</v>
      </c>
      <c r="C4616" s="4" t="inlineStr">
        <is>
          <t>elk</t>
        </is>
      </c>
      <c r="D4616" s="4" t="n">
        <v>2008</v>
      </c>
      <c r="E4616" s="13" t="inlineStr">
        <is>
          <t>General</t>
        </is>
      </c>
      <c r="F4616" s="5" t="n">
        <v>20</v>
      </c>
      <c r="G4616" s="5" t="n">
        <v>100</v>
      </c>
      <c r="H4616" s="5" t="n">
        <v>3</v>
      </c>
      <c r="I4616" s="5" t="n">
        <v>3</v>
      </c>
      <c r="J4616" s="5" t="n">
        <v>0</v>
      </c>
      <c r="K4616" s="10">
        <f>IF(F4616&gt;0,H4616/F4616,"")</f>
        <v/>
      </c>
      <c r="L4616" s="16">
        <f>IF(AND(G4616&gt;0,H4616&gt;0),G4616/H4616,"")</f>
        <v/>
      </c>
    </row>
    <row r="4617">
      <c r="A4617" s="4" t="inlineStr">
        <is>
          <t>650</t>
        </is>
      </c>
      <c r="B4617" s="4" t="n">
        <v>6</v>
      </c>
      <c r="C4617" s="4" t="inlineStr">
        <is>
          <t>elk</t>
        </is>
      </c>
      <c r="D4617" s="4" t="n">
        <v>2009</v>
      </c>
      <c r="E4617" s="13" t="inlineStr">
        <is>
          <t>General</t>
        </is>
      </c>
      <c r="F4617" s="5" t="n">
        <v>17</v>
      </c>
      <c r="G4617" s="5" t="n">
        <v>200</v>
      </c>
      <c r="H4617" s="5" t="n">
        <v>2</v>
      </c>
      <c r="I4617" s="5" t="n">
        <v>0</v>
      </c>
      <c r="J4617" s="5" t="n">
        <v>2</v>
      </c>
      <c r="K4617" s="10">
        <f>IF(F4617&gt;0,H4617/F4617,"")</f>
        <v/>
      </c>
      <c r="L4617" s="16">
        <f>IF(AND(G4617&gt;0,H4617&gt;0),G4617/H4617,"")</f>
        <v/>
      </c>
    </row>
    <row r="4618">
      <c r="A4618" s="4" t="inlineStr">
        <is>
          <t>650</t>
        </is>
      </c>
      <c r="B4618" s="4" t="n">
        <v>6</v>
      </c>
      <c r="C4618" s="4" t="inlineStr">
        <is>
          <t>elk</t>
        </is>
      </c>
      <c r="D4618" s="4" t="n">
        <v>2011</v>
      </c>
      <c r="E4618" s="13" t="inlineStr">
        <is>
          <t>General</t>
        </is>
      </c>
      <c r="F4618" s="5" t="n">
        <v>12</v>
      </c>
      <c r="G4618" s="5" t="n">
        <v>39</v>
      </c>
      <c r="H4618" s="5" t="n">
        <v>3</v>
      </c>
      <c r="I4618" s="5" t="n">
        <v>0</v>
      </c>
      <c r="J4618" s="5" t="n">
        <v>3</v>
      </c>
      <c r="K4618" s="10">
        <f>IF(F4618&gt;0,H4618/F4618,"")</f>
        <v/>
      </c>
      <c r="L4618" s="16">
        <f>IF(AND(G4618&gt;0,H4618&gt;0),G4618/H4618,"")</f>
        <v/>
      </c>
    </row>
    <row r="4619">
      <c r="A4619" s="4" t="inlineStr">
        <is>
          <t>650</t>
        </is>
      </c>
      <c r="B4619" s="4" t="n">
        <v>6</v>
      </c>
      <c r="C4619" s="4" t="inlineStr">
        <is>
          <t>elk</t>
        </is>
      </c>
      <c r="D4619" s="4" t="n">
        <v>2013</v>
      </c>
      <c r="E4619" s="13" t="inlineStr">
        <is>
          <t>General</t>
        </is>
      </c>
      <c r="F4619" s="5" t="n"/>
      <c r="G4619" s="5" t="n"/>
      <c r="H4619" s="5" t="n">
        <v>6</v>
      </c>
      <c r="I4619" s="5" t="n">
        <v>3</v>
      </c>
      <c r="J4619" s="5" t="n">
        <v>3</v>
      </c>
      <c r="K4619" s="10">
        <f>IF(F4619&gt;0,H4619/F4619,"")</f>
        <v/>
      </c>
      <c r="L4619" s="16">
        <f>IF(AND(G4619&gt;0,H4619&gt;0),G4619/H4619,"")</f>
        <v/>
      </c>
    </row>
    <row r="4620">
      <c r="A4620" s="4" t="inlineStr">
        <is>
          <t>650</t>
        </is>
      </c>
      <c r="B4620" s="4" t="n">
        <v>6</v>
      </c>
      <c r="C4620" s="4" t="inlineStr">
        <is>
          <t>elk</t>
        </is>
      </c>
      <c r="D4620" s="4" t="n">
        <v>2017</v>
      </c>
      <c r="E4620" s="13" t="inlineStr">
        <is>
          <t>General</t>
        </is>
      </c>
      <c r="F4620" s="5" t="n"/>
      <c r="G4620" s="5" t="n"/>
      <c r="H4620" s="5" t="n">
        <v>3</v>
      </c>
      <c r="I4620" s="5" t="n">
        <v>0</v>
      </c>
      <c r="J4620" s="5" t="n">
        <v>3</v>
      </c>
      <c r="K4620" s="10">
        <f>IF(F4620&gt;0,H4620/F4620,"")</f>
        <v/>
      </c>
      <c r="L4620" s="16">
        <f>IF(AND(G4620&gt;0,H4620&gt;0),G4620/H4620,"")</f>
        <v/>
      </c>
    </row>
    <row r="4621">
      <c r="A4621" s="4" t="inlineStr">
        <is>
          <t>650</t>
        </is>
      </c>
      <c r="B4621" s="4" t="n">
        <v>6</v>
      </c>
      <c r="C4621" s="4" t="inlineStr">
        <is>
          <t>elk</t>
        </is>
      </c>
      <c r="D4621" s="4" t="n">
        <v>2021</v>
      </c>
      <c r="E4621" s="13" t="inlineStr">
        <is>
          <t>General</t>
        </is>
      </c>
      <c r="F4621" s="5" t="n"/>
      <c r="G4621" s="5" t="n"/>
      <c r="H4621" s="5" t="n">
        <v>4</v>
      </c>
      <c r="I4621" s="5" t="n">
        <v>0</v>
      </c>
      <c r="J4621" s="5" t="n">
        <v>4</v>
      </c>
      <c r="K4621" s="10">
        <f>IF(F4621&gt;0,H4621/F4621,"")</f>
        <v/>
      </c>
      <c r="L4621" s="16">
        <f>IF(AND(G4621&gt;0,H4621&gt;0),G4621/H4621,"")</f>
        <v/>
      </c>
    </row>
    <row r="4622">
      <c r="A4622" s="4" t="inlineStr">
        <is>
          <t>650</t>
        </is>
      </c>
      <c r="B4622" s="4" t="n">
        <v>6</v>
      </c>
      <c r="C4622" s="4" t="inlineStr">
        <is>
          <t>elk</t>
        </is>
      </c>
      <c r="D4622" s="4" t="n">
        <v>2022</v>
      </c>
      <c r="E4622" s="13" t="inlineStr">
        <is>
          <t>General</t>
        </is>
      </c>
      <c r="F4622" s="5" t="n">
        <v>82</v>
      </c>
      <c r="G4622" s="5" t="n">
        <v>582</v>
      </c>
      <c r="H4622" s="5" t="n">
        <v>9</v>
      </c>
      <c r="I4622" s="5" t="n">
        <v>9</v>
      </c>
      <c r="J4622" s="5" t="n">
        <v>0</v>
      </c>
      <c r="K4622" s="10">
        <f>IF(F4622&gt;0,H4622/F4622,"")</f>
        <v/>
      </c>
      <c r="L4622" s="16">
        <f>IF(AND(G4622&gt;0,H4622&gt;0),G4622/H4622,"")</f>
        <v/>
      </c>
    </row>
    <row r="4623">
      <c r="A4623" s="4" t="inlineStr">
        <is>
          <t>650</t>
        </is>
      </c>
      <c r="B4623" s="4" t="n">
        <v>6</v>
      </c>
      <c r="C4623" s="4" t="inlineStr">
        <is>
          <t>elk</t>
        </is>
      </c>
      <c r="D4623" s="4" t="n">
        <v>2023</v>
      </c>
      <c r="E4623" s="13" t="inlineStr">
        <is>
          <t>General</t>
        </is>
      </c>
      <c r="F4623" s="5" t="n"/>
      <c r="G4623" s="5" t="n"/>
      <c r="H4623" s="5" t="n">
        <v>6</v>
      </c>
      <c r="I4623" s="5" t="n">
        <v>3</v>
      </c>
      <c r="J4623" s="5" t="n">
        <v>3</v>
      </c>
      <c r="K4623" s="10">
        <f>IF(F4623&gt;0,H4623/F4623,"")</f>
        <v/>
      </c>
      <c r="L4623" s="16">
        <f>IF(AND(G4623&gt;0,H4623&gt;0),G4623/H4623,"")</f>
        <v/>
      </c>
    </row>
    <row r="4624">
      <c r="A4624" s="4" t="inlineStr">
        <is>
          <t>650</t>
        </is>
      </c>
      <c r="B4624" s="4" t="n">
        <v>6</v>
      </c>
      <c r="C4624" s="4" t="inlineStr">
        <is>
          <t>elk</t>
        </is>
      </c>
      <c r="D4624" s="4" t="n">
        <v>2024</v>
      </c>
      <c r="E4624" s="13" t="inlineStr">
        <is>
          <t>General</t>
        </is>
      </c>
      <c r="F4624" s="5" t="n">
        <v>98</v>
      </c>
      <c r="G4624" s="5" t="n">
        <v>558</v>
      </c>
      <c r="H4624" s="5" t="n">
        <v>14</v>
      </c>
      <c r="I4624" s="5" t="n">
        <v>3</v>
      </c>
      <c r="J4624" s="5" t="n">
        <v>11</v>
      </c>
      <c r="K4624" s="10">
        <f>IF(F4624&gt;0,H4624/F4624,"")</f>
        <v/>
      </c>
      <c r="L4624" s="16">
        <f>IF(AND(G4624&gt;0,H4624&gt;0),G4624/H4624,"")</f>
        <v/>
      </c>
    </row>
    <row r="4625">
      <c r="A4625" s="4" t="inlineStr">
        <is>
          <t>650</t>
        </is>
      </c>
      <c r="B4625" s="4" t="n">
        <v>6</v>
      </c>
      <c r="C4625" s="4" t="inlineStr">
        <is>
          <t>elk</t>
        </is>
      </c>
      <c r="D4625" s="4" t="n">
        <v>2025</v>
      </c>
      <c r="E4625" s="13" t="inlineStr">
        <is>
          <t>General</t>
        </is>
      </c>
      <c r="F4625" s="5" t="n"/>
      <c r="G4625" s="5" t="n"/>
      <c r="H4625" s="5" t="n">
        <v>4</v>
      </c>
      <c r="I4625" s="5" t="n">
        <v>4</v>
      </c>
      <c r="J4625" s="5" t="n">
        <v>0</v>
      </c>
      <c r="K4625" s="10">
        <f>IF(F4625&gt;0,H4625/F4625,"")</f>
        <v/>
      </c>
      <c r="L4625" s="16">
        <f>IF(AND(G4625&gt;0,H4625&gt;0),G4625/H4625,"")</f>
        <v/>
      </c>
    </row>
    <row r="4626">
      <c r="A4626" s="4" t="inlineStr">
        <is>
          <t>651</t>
        </is>
      </c>
      <c r="B4626" s="4" t="n">
        <v>6</v>
      </c>
      <c r="C4626" s="4" t="inlineStr">
        <is>
          <t>elk</t>
        </is>
      </c>
      <c r="D4626" s="4" t="n">
        <v>2004</v>
      </c>
      <c r="E4626" s="4" t="inlineStr"/>
      <c r="F4626" s="5" t="n">
        <v>38</v>
      </c>
      <c r="G4626" s="5" t="n">
        <v>285</v>
      </c>
      <c r="H4626" s="5" t="n">
        <v>3</v>
      </c>
      <c r="I4626" s="5" t="n">
        <v>3</v>
      </c>
      <c r="J4626" s="5" t="n">
        <v>0</v>
      </c>
      <c r="K4626" s="10">
        <f>IF(F4626&gt;0,H4626/F4626,"")</f>
        <v/>
      </c>
      <c r="L4626" s="16">
        <f>IF(AND(G4626&gt;0,H4626&gt;0),G4626/H4626,"")</f>
        <v/>
      </c>
    </row>
    <row r="4627">
      <c r="A4627" s="4" t="inlineStr">
        <is>
          <t>651</t>
        </is>
      </c>
      <c r="B4627" s="4" t="n">
        <v>6</v>
      </c>
      <c r="C4627" s="4" t="inlineStr">
        <is>
          <t>elk</t>
        </is>
      </c>
      <c r="D4627" s="4" t="n">
        <v>2005</v>
      </c>
      <c r="E4627" s="4" t="inlineStr"/>
      <c r="F4627" s="5" t="n">
        <v>10</v>
      </c>
      <c r="G4627" s="5" t="n">
        <v>36</v>
      </c>
      <c r="H4627" s="5" t="n">
        <v>1</v>
      </c>
      <c r="I4627" s="5" t="n">
        <v>1</v>
      </c>
      <c r="J4627" s="5" t="n">
        <v>0</v>
      </c>
      <c r="K4627" s="10">
        <f>IF(F4627&gt;0,H4627/F4627,"")</f>
        <v/>
      </c>
      <c r="L4627" s="16">
        <f>IF(AND(G4627&gt;0,H4627&gt;0),G4627/H4627,"")</f>
        <v/>
      </c>
    </row>
    <row r="4628">
      <c r="A4628" s="4" t="inlineStr">
        <is>
          <t>651</t>
        </is>
      </c>
      <c r="B4628" s="4" t="n">
        <v>6</v>
      </c>
      <c r="C4628" s="4" t="inlineStr">
        <is>
          <t>elk</t>
        </is>
      </c>
      <c r="D4628" s="4" t="n">
        <v>2009</v>
      </c>
      <c r="E4628" s="4" t="inlineStr"/>
      <c r="F4628" s="5" t="n">
        <v>41</v>
      </c>
      <c r="G4628" s="5" t="n">
        <v>296</v>
      </c>
      <c r="H4628" s="5" t="n">
        <v>3</v>
      </c>
      <c r="I4628" s="5" t="n">
        <v>3</v>
      </c>
      <c r="J4628" s="5" t="n">
        <v>0</v>
      </c>
      <c r="K4628" s="10">
        <f>IF(F4628&gt;0,H4628/F4628,"")</f>
        <v/>
      </c>
      <c r="L4628" s="16">
        <f>IF(AND(G4628&gt;0,H4628&gt;0),G4628/H4628,"")</f>
        <v/>
      </c>
    </row>
    <row r="4629">
      <c r="A4629" s="4" t="inlineStr">
        <is>
          <t>651</t>
        </is>
      </c>
      <c r="B4629" s="4" t="n">
        <v>6</v>
      </c>
      <c r="C4629" s="4" t="inlineStr">
        <is>
          <t>elk</t>
        </is>
      </c>
      <c r="D4629" s="4" t="n">
        <v>2010</v>
      </c>
      <c r="E4629" s="4" t="inlineStr"/>
      <c r="F4629" s="5" t="n">
        <v>51</v>
      </c>
      <c r="G4629" s="5" t="n">
        <v>364</v>
      </c>
      <c r="H4629" s="5" t="n">
        <v>18</v>
      </c>
      <c r="I4629" s="5" t="n">
        <v>16</v>
      </c>
      <c r="J4629" s="5" t="n">
        <v>3</v>
      </c>
      <c r="K4629" s="10">
        <f>IF(F4629&gt;0,H4629/F4629,"")</f>
        <v/>
      </c>
      <c r="L4629" s="16">
        <f>IF(AND(G4629&gt;0,H4629&gt;0),G4629/H4629,"")</f>
        <v/>
      </c>
    </row>
    <row r="4630">
      <c r="A4630" s="4" t="inlineStr">
        <is>
          <t>651</t>
        </is>
      </c>
      <c r="B4630" s="4" t="n">
        <v>6</v>
      </c>
      <c r="C4630" s="4" t="inlineStr">
        <is>
          <t>elk</t>
        </is>
      </c>
      <c r="D4630" s="4" t="n">
        <v>2011</v>
      </c>
      <c r="E4630" s="4" t="inlineStr"/>
      <c r="F4630" s="5" t="n">
        <v>21</v>
      </c>
      <c r="G4630" s="5" t="n">
        <v>63</v>
      </c>
      <c r="H4630" s="5" t="n">
        <v>3</v>
      </c>
      <c r="I4630" s="5" t="n">
        <v>3</v>
      </c>
      <c r="J4630" s="5" t="n">
        <v>0</v>
      </c>
      <c r="K4630" s="10">
        <f>IF(F4630&gt;0,H4630/F4630,"")</f>
        <v/>
      </c>
      <c r="L4630" s="16">
        <f>IF(AND(G4630&gt;0,H4630&gt;0),G4630/H4630,"")</f>
        <v/>
      </c>
    </row>
    <row r="4631">
      <c r="A4631" s="4" t="inlineStr">
        <is>
          <t>651</t>
        </is>
      </c>
      <c r="B4631" s="4" t="n">
        <v>6</v>
      </c>
      <c r="C4631" s="4" t="inlineStr">
        <is>
          <t>elk</t>
        </is>
      </c>
      <c r="D4631" s="4" t="n">
        <v>2012</v>
      </c>
      <c r="E4631" s="4" t="inlineStr"/>
      <c r="F4631" s="5" t="n">
        <v>53</v>
      </c>
      <c r="G4631" s="5" t="n">
        <v>206</v>
      </c>
      <c r="H4631" s="5" t="n">
        <v>4</v>
      </c>
      <c r="I4631" s="5" t="n">
        <v>0</v>
      </c>
      <c r="J4631" s="5" t="n">
        <v>1</v>
      </c>
      <c r="K4631" s="10">
        <f>IF(F4631&gt;0,H4631/F4631,"")</f>
        <v/>
      </c>
      <c r="L4631" s="16">
        <f>IF(AND(G4631&gt;0,H4631&gt;0),G4631/H4631,"")</f>
        <v/>
      </c>
    </row>
    <row r="4632">
      <c r="A4632" s="4" t="inlineStr">
        <is>
          <t>651</t>
        </is>
      </c>
      <c r="B4632" s="4" t="n">
        <v>6</v>
      </c>
      <c r="C4632" s="4" t="inlineStr">
        <is>
          <t>elk</t>
        </is>
      </c>
      <c r="D4632" s="4" t="n">
        <v>2013</v>
      </c>
      <c r="E4632" s="4" t="inlineStr"/>
      <c r="F4632" s="5" t="n"/>
      <c r="G4632" s="5" t="n"/>
      <c r="H4632" s="5" t="n">
        <v>6</v>
      </c>
      <c r="I4632" s="5" t="n">
        <v>6</v>
      </c>
      <c r="J4632" s="5" t="n">
        <v>0</v>
      </c>
      <c r="K4632" s="10">
        <f>IF(F4632&gt;0,H4632/F4632,"")</f>
        <v/>
      </c>
      <c r="L4632" s="16">
        <f>IF(AND(G4632&gt;0,H4632&gt;0),G4632/H4632,"")</f>
        <v/>
      </c>
    </row>
    <row r="4633">
      <c r="A4633" s="4" t="inlineStr">
        <is>
          <t>651</t>
        </is>
      </c>
      <c r="B4633" s="4" t="n">
        <v>6</v>
      </c>
      <c r="C4633" s="4" t="inlineStr">
        <is>
          <t>elk</t>
        </is>
      </c>
      <c r="D4633" s="4" t="n">
        <v>2015</v>
      </c>
      <c r="E4633" s="4" t="inlineStr"/>
      <c r="F4633" s="5" t="n">
        <v>31</v>
      </c>
      <c r="G4633" s="5" t="n">
        <v>79</v>
      </c>
      <c r="H4633" s="5" t="n">
        <v>6</v>
      </c>
      <c r="I4633" s="5" t="n">
        <v>6</v>
      </c>
      <c r="J4633" s="5" t="n">
        <v>0</v>
      </c>
      <c r="K4633" s="10">
        <f>IF(F4633&gt;0,H4633/F4633,"")</f>
        <v/>
      </c>
      <c r="L4633" s="16">
        <f>IF(AND(G4633&gt;0,H4633&gt;0),G4633/H4633,"")</f>
        <v/>
      </c>
    </row>
    <row r="4634">
      <c r="A4634" s="4" t="inlineStr">
        <is>
          <t>651</t>
        </is>
      </c>
      <c r="B4634" s="4" t="n">
        <v>6</v>
      </c>
      <c r="C4634" s="4" t="inlineStr">
        <is>
          <t>elk</t>
        </is>
      </c>
      <c r="D4634" s="4" t="n">
        <v>2016</v>
      </c>
      <c r="E4634" s="4" t="inlineStr"/>
      <c r="F4634" s="5" t="n">
        <v>25</v>
      </c>
      <c r="G4634" s="5" t="n">
        <v>239</v>
      </c>
      <c r="H4634" s="5" t="n">
        <v>3</v>
      </c>
      <c r="I4634" s="5" t="n">
        <v>3</v>
      </c>
      <c r="J4634" s="5" t="n">
        <v>0</v>
      </c>
      <c r="K4634" s="10">
        <f>IF(F4634&gt;0,H4634/F4634,"")</f>
        <v/>
      </c>
      <c r="L4634" s="16">
        <f>IF(AND(G4634&gt;0,H4634&gt;0),G4634/H4634,"")</f>
        <v/>
      </c>
    </row>
    <row r="4635">
      <c r="A4635" s="4" t="inlineStr">
        <is>
          <t>651</t>
        </is>
      </c>
      <c r="B4635" s="4" t="n">
        <v>6</v>
      </c>
      <c r="C4635" s="4" t="inlineStr">
        <is>
          <t>elk</t>
        </is>
      </c>
      <c r="D4635" s="4" t="n">
        <v>2017</v>
      </c>
      <c r="E4635" s="4" t="inlineStr"/>
      <c r="F4635" s="5" t="n"/>
      <c r="G4635" s="5" t="n"/>
      <c r="H4635" s="5" t="n">
        <v>3</v>
      </c>
      <c r="I4635" s="5" t="n">
        <v>3</v>
      </c>
      <c r="J4635" s="5" t="n">
        <v>0</v>
      </c>
      <c r="K4635" s="10">
        <f>IF(F4635&gt;0,H4635/F4635,"")</f>
        <v/>
      </c>
      <c r="L4635" s="16">
        <f>IF(AND(G4635&gt;0,H4635&gt;0),G4635/H4635,"")</f>
        <v/>
      </c>
    </row>
    <row r="4636">
      <c r="A4636" s="4" t="inlineStr">
        <is>
          <t>651</t>
        </is>
      </c>
      <c r="B4636" s="4" t="n">
        <v>6</v>
      </c>
      <c r="C4636" s="4" t="inlineStr">
        <is>
          <t>elk</t>
        </is>
      </c>
      <c r="D4636" s="4" t="n">
        <v>2019</v>
      </c>
      <c r="E4636" s="4" t="inlineStr"/>
      <c r="F4636" s="5" t="n"/>
      <c r="G4636" s="5" t="n"/>
      <c r="H4636" s="5" t="n">
        <v>14</v>
      </c>
      <c r="I4636" s="5" t="n">
        <v>8</v>
      </c>
      <c r="J4636" s="5" t="n">
        <v>6</v>
      </c>
      <c r="K4636" s="10">
        <f>IF(F4636&gt;0,H4636/F4636,"")</f>
        <v/>
      </c>
      <c r="L4636" s="16">
        <f>IF(AND(G4636&gt;0,H4636&gt;0),G4636/H4636,"")</f>
        <v/>
      </c>
    </row>
    <row r="4637">
      <c r="A4637" s="4" t="inlineStr">
        <is>
          <t>652</t>
        </is>
      </c>
      <c r="B4637" s="4" t="n">
        <v>6</v>
      </c>
      <c r="C4637" s="4" t="inlineStr">
        <is>
          <t>elk</t>
        </is>
      </c>
      <c r="D4637" s="4" t="n">
        <v>2004</v>
      </c>
      <c r="E4637" s="13" t="inlineStr">
        <is>
          <t>General</t>
        </is>
      </c>
      <c r="F4637" s="5" t="n">
        <v>12</v>
      </c>
      <c r="G4637" s="5" t="n">
        <v>54</v>
      </c>
      <c r="H4637" s="5" t="n">
        <v>0</v>
      </c>
      <c r="I4637" s="5" t="n">
        <v>0</v>
      </c>
      <c r="J4637" s="5" t="n">
        <v>0</v>
      </c>
      <c r="K4637" s="10">
        <f>IF(F4637&gt;0,H4637/F4637,"")</f>
        <v/>
      </c>
      <c r="L4637" s="16">
        <f>IF(AND(G4637&gt;0,H4637&gt;0),G4637/H4637,"")</f>
        <v/>
      </c>
    </row>
    <row r="4638">
      <c r="A4638" s="4" t="inlineStr">
        <is>
          <t>652</t>
        </is>
      </c>
      <c r="B4638" s="4" t="n">
        <v>6</v>
      </c>
      <c r="C4638" s="4" t="inlineStr">
        <is>
          <t>elk</t>
        </is>
      </c>
      <c r="D4638" s="4" t="n">
        <v>2005</v>
      </c>
      <c r="E4638" s="13" t="inlineStr">
        <is>
          <t>General</t>
        </is>
      </c>
      <c r="F4638" s="5" t="n">
        <v>7</v>
      </c>
      <c r="G4638" s="5" t="n">
        <v>16</v>
      </c>
      <c r="H4638" s="5" t="n">
        <v>0</v>
      </c>
      <c r="I4638" s="5" t="n">
        <v>0</v>
      </c>
      <c r="J4638" s="5" t="n">
        <v>0</v>
      </c>
      <c r="K4638" s="10">
        <f>IF(F4638&gt;0,H4638/F4638,"")</f>
        <v/>
      </c>
      <c r="L4638" s="16">
        <f>IF(AND(G4638&gt;0,H4638&gt;0),G4638/H4638,"")</f>
        <v/>
      </c>
    </row>
    <row r="4639">
      <c r="A4639" s="4" t="inlineStr">
        <is>
          <t>652</t>
        </is>
      </c>
      <c r="B4639" s="4" t="n">
        <v>6</v>
      </c>
      <c r="C4639" s="4" t="inlineStr">
        <is>
          <t>elk</t>
        </is>
      </c>
      <c r="D4639" s="4" t="n">
        <v>2006</v>
      </c>
      <c r="E4639" s="13" t="inlineStr">
        <is>
          <t>General</t>
        </is>
      </c>
      <c r="F4639" s="5" t="n">
        <v>2</v>
      </c>
      <c r="G4639" s="5" t="n">
        <v>6</v>
      </c>
      <c r="H4639" s="5" t="n">
        <v>4</v>
      </c>
      <c r="I4639" s="5" t="n">
        <v>0</v>
      </c>
      <c r="J4639" s="5" t="n">
        <v>0</v>
      </c>
      <c r="K4639" s="10">
        <f>IF(F4639&gt;0,H4639/F4639,"")</f>
        <v/>
      </c>
      <c r="L4639" s="16">
        <f>IF(AND(G4639&gt;0,H4639&gt;0),G4639/H4639,"")</f>
        <v/>
      </c>
    </row>
    <row r="4640">
      <c r="A4640" s="4" t="inlineStr">
        <is>
          <t>652</t>
        </is>
      </c>
      <c r="B4640" s="4" t="n">
        <v>6</v>
      </c>
      <c r="C4640" s="4" t="inlineStr">
        <is>
          <t>elk</t>
        </is>
      </c>
      <c r="D4640" s="4" t="n">
        <v>2012</v>
      </c>
      <c r="E4640" s="13" t="inlineStr">
        <is>
          <t>General</t>
        </is>
      </c>
      <c r="F4640" s="5" t="n">
        <v>12</v>
      </c>
      <c r="G4640" s="5" t="n">
        <v>35</v>
      </c>
      <c r="H4640" s="5" t="n">
        <v>2</v>
      </c>
      <c r="I4640" s="5" t="n">
        <v>2</v>
      </c>
      <c r="J4640" s="5" t="n">
        <v>0</v>
      </c>
      <c r="K4640" s="10">
        <f>IF(F4640&gt;0,H4640/F4640,"")</f>
        <v/>
      </c>
      <c r="L4640" s="16">
        <f>IF(AND(G4640&gt;0,H4640&gt;0),G4640/H4640,"")</f>
        <v/>
      </c>
    </row>
    <row r="4641">
      <c r="A4641" s="4" t="inlineStr">
        <is>
          <t>652</t>
        </is>
      </c>
      <c r="B4641" s="4" t="n">
        <v>6</v>
      </c>
      <c r="C4641" s="4" t="inlineStr">
        <is>
          <t>elk</t>
        </is>
      </c>
      <c r="D4641" s="4" t="n">
        <v>2021</v>
      </c>
      <c r="E4641" s="13" t="inlineStr">
        <is>
          <t>General</t>
        </is>
      </c>
      <c r="F4641" s="5" t="n"/>
      <c r="G4641" s="5" t="n"/>
      <c r="H4641" s="5" t="n">
        <v>3</v>
      </c>
      <c r="I4641" s="5" t="n">
        <v>3</v>
      </c>
      <c r="J4641" s="5" t="n">
        <v>0</v>
      </c>
      <c r="K4641" s="10">
        <f>IF(F4641&gt;0,H4641/F4641,"")</f>
        <v/>
      </c>
      <c r="L4641" s="16">
        <f>IF(AND(G4641&gt;0,H4641&gt;0),G4641/H4641,"")</f>
        <v/>
      </c>
    </row>
    <row r="4642">
      <c r="A4642" s="4" t="inlineStr">
        <is>
          <t>652</t>
        </is>
      </c>
      <c r="B4642" s="4" t="n">
        <v>6</v>
      </c>
      <c r="C4642" s="4" t="inlineStr">
        <is>
          <t>elk</t>
        </is>
      </c>
      <c r="D4642" s="4" t="n">
        <v>2023</v>
      </c>
      <c r="E4642" s="13" t="inlineStr">
        <is>
          <t>General</t>
        </is>
      </c>
      <c r="F4642" s="5" t="n"/>
      <c r="G4642" s="5" t="n"/>
      <c r="H4642" s="5" t="n">
        <v>3</v>
      </c>
      <c r="I4642" s="5" t="n">
        <v>3</v>
      </c>
      <c r="J4642" s="5" t="n">
        <v>0</v>
      </c>
      <c r="K4642" s="10">
        <f>IF(F4642&gt;0,H4642/F4642,"")</f>
        <v/>
      </c>
      <c r="L4642" s="16">
        <f>IF(AND(G4642&gt;0,H4642&gt;0),G4642/H4642,"")</f>
        <v/>
      </c>
    </row>
    <row r="4643">
      <c r="A4643" s="4" t="inlineStr">
        <is>
          <t>670</t>
        </is>
      </c>
      <c r="B4643" s="4" t="n">
        <v>6</v>
      </c>
      <c r="C4643" s="4" t="inlineStr">
        <is>
          <t>elk</t>
        </is>
      </c>
      <c r="D4643" s="4" t="n">
        <v>2004</v>
      </c>
      <c r="E4643" s="13" t="inlineStr">
        <is>
          <t>General</t>
        </is>
      </c>
      <c r="F4643" s="5" t="n">
        <v>57</v>
      </c>
      <c r="G4643" s="5" t="n">
        <v>293</v>
      </c>
      <c r="H4643" s="5" t="n">
        <v>0</v>
      </c>
      <c r="I4643" s="5" t="n">
        <v>0</v>
      </c>
      <c r="J4643" s="5" t="n">
        <v>0</v>
      </c>
      <c r="K4643" s="10">
        <f>IF(F4643&gt;0,H4643/F4643,"")</f>
        <v/>
      </c>
      <c r="L4643" s="16">
        <f>IF(AND(G4643&gt;0,H4643&gt;0),G4643/H4643,"")</f>
        <v/>
      </c>
    </row>
    <row r="4644">
      <c r="A4644" s="4" t="inlineStr">
        <is>
          <t>670</t>
        </is>
      </c>
      <c r="B4644" s="4" t="n">
        <v>6</v>
      </c>
      <c r="C4644" s="4" t="inlineStr">
        <is>
          <t>elk</t>
        </is>
      </c>
      <c r="D4644" s="4" t="n">
        <v>2005</v>
      </c>
      <c r="E4644" s="13" t="inlineStr">
        <is>
          <t>General</t>
        </is>
      </c>
      <c r="F4644" s="5" t="n">
        <v>30</v>
      </c>
      <c r="G4644" s="5" t="n">
        <v>181</v>
      </c>
      <c r="H4644" s="5" t="n">
        <v>0</v>
      </c>
      <c r="I4644" s="5" t="n">
        <v>0</v>
      </c>
      <c r="J4644" s="5" t="n">
        <v>0</v>
      </c>
      <c r="K4644" s="10">
        <f>IF(F4644&gt;0,H4644/F4644,"")</f>
        <v/>
      </c>
      <c r="L4644" s="16">
        <f>IF(AND(G4644&gt;0,H4644&gt;0),G4644/H4644,"")</f>
        <v/>
      </c>
    </row>
    <row r="4645">
      <c r="A4645" s="4" t="inlineStr">
        <is>
          <t>670</t>
        </is>
      </c>
      <c r="B4645" s="4" t="n">
        <v>6</v>
      </c>
      <c r="C4645" s="4" t="inlineStr">
        <is>
          <t>elk</t>
        </is>
      </c>
      <c r="D4645" s="4" t="n">
        <v>2008</v>
      </c>
      <c r="E4645" s="13" t="inlineStr">
        <is>
          <t>General</t>
        </is>
      </c>
      <c r="F4645" s="5" t="n">
        <v>43</v>
      </c>
      <c r="G4645" s="5" t="n">
        <v>171</v>
      </c>
      <c r="H4645" s="5" t="n">
        <v>5</v>
      </c>
      <c r="I4645" s="5" t="n">
        <v>3</v>
      </c>
      <c r="J4645" s="5" t="n">
        <v>2</v>
      </c>
      <c r="K4645" s="10">
        <f>IF(F4645&gt;0,H4645/F4645,"")</f>
        <v/>
      </c>
      <c r="L4645" s="16">
        <f>IF(AND(G4645&gt;0,H4645&gt;0),G4645/H4645,"")</f>
        <v/>
      </c>
    </row>
    <row r="4646">
      <c r="A4646" s="4" t="inlineStr">
        <is>
          <t>670</t>
        </is>
      </c>
      <c r="B4646" s="4" t="n">
        <v>6</v>
      </c>
      <c r="C4646" s="4" t="inlineStr">
        <is>
          <t>elk</t>
        </is>
      </c>
      <c r="D4646" s="4" t="n">
        <v>2010</v>
      </c>
      <c r="E4646" s="13" t="inlineStr">
        <is>
          <t>General</t>
        </is>
      </c>
      <c r="F4646" s="5" t="n">
        <v>42</v>
      </c>
      <c r="G4646" s="5" t="n">
        <v>193</v>
      </c>
      <c r="H4646" s="5" t="n">
        <v>8</v>
      </c>
      <c r="I4646" s="5" t="n">
        <v>5</v>
      </c>
      <c r="J4646" s="5" t="n">
        <v>3</v>
      </c>
      <c r="K4646" s="10">
        <f>IF(F4646&gt;0,H4646/F4646,"")</f>
        <v/>
      </c>
      <c r="L4646" s="16">
        <f>IF(AND(G4646&gt;0,H4646&gt;0),G4646/H4646,"")</f>
        <v/>
      </c>
    </row>
    <row r="4647">
      <c r="A4647" s="4" t="inlineStr">
        <is>
          <t>670</t>
        </is>
      </c>
      <c r="B4647" s="4" t="n">
        <v>6</v>
      </c>
      <c r="C4647" s="4" t="inlineStr">
        <is>
          <t>elk</t>
        </is>
      </c>
      <c r="D4647" s="4" t="n">
        <v>2012</v>
      </c>
      <c r="E4647" s="13" t="inlineStr">
        <is>
          <t>General</t>
        </is>
      </c>
      <c r="F4647" s="5" t="n">
        <v>29</v>
      </c>
      <c r="G4647" s="5" t="n">
        <v>136</v>
      </c>
      <c r="H4647" s="5" t="n">
        <v>8</v>
      </c>
      <c r="I4647" s="5" t="n">
        <v>0</v>
      </c>
      <c r="J4647" s="5" t="n">
        <v>8</v>
      </c>
      <c r="K4647" s="10">
        <f>IF(F4647&gt;0,H4647/F4647,"")</f>
        <v/>
      </c>
      <c r="L4647" s="16">
        <f>IF(AND(G4647&gt;0,H4647&gt;0),G4647/H4647,"")</f>
        <v/>
      </c>
    </row>
    <row r="4648">
      <c r="A4648" s="4" t="inlineStr">
        <is>
          <t>670</t>
        </is>
      </c>
      <c r="B4648" s="4" t="n">
        <v>6</v>
      </c>
      <c r="C4648" s="4" t="inlineStr">
        <is>
          <t>elk</t>
        </is>
      </c>
      <c r="D4648" s="4" t="n">
        <v>2013</v>
      </c>
      <c r="E4648" s="13" t="inlineStr">
        <is>
          <t>General</t>
        </is>
      </c>
      <c r="F4648" s="5" t="n"/>
      <c r="G4648" s="5" t="n"/>
      <c r="H4648" s="5" t="n">
        <v>14</v>
      </c>
      <c r="I4648" s="5" t="n">
        <v>14</v>
      </c>
      <c r="J4648" s="5" t="n">
        <v>0</v>
      </c>
      <c r="K4648" s="10">
        <f>IF(F4648&gt;0,H4648/F4648,"")</f>
        <v/>
      </c>
      <c r="L4648" s="16">
        <f>IF(AND(G4648&gt;0,H4648&gt;0),G4648/H4648,"")</f>
        <v/>
      </c>
    </row>
    <row r="4649">
      <c r="A4649" s="4" t="inlineStr">
        <is>
          <t>670</t>
        </is>
      </c>
      <c r="B4649" s="4" t="n">
        <v>6</v>
      </c>
      <c r="C4649" s="4" t="inlineStr">
        <is>
          <t>elk</t>
        </is>
      </c>
      <c r="D4649" s="4" t="n">
        <v>2014</v>
      </c>
      <c r="E4649" s="13" t="inlineStr">
        <is>
          <t>General</t>
        </is>
      </c>
      <c r="F4649" s="5" t="n">
        <v>68</v>
      </c>
      <c r="G4649" s="5" t="n">
        <v>348</v>
      </c>
      <c r="H4649" s="5" t="n">
        <v>3</v>
      </c>
      <c r="I4649" s="5" t="n">
        <v>3</v>
      </c>
      <c r="J4649" s="5" t="n">
        <v>0</v>
      </c>
      <c r="K4649" s="10">
        <f>IF(F4649&gt;0,H4649/F4649,"")</f>
        <v/>
      </c>
      <c r="L4649" s="16">
        <f>IF(AND(G4649&gt;0,H4649&gt;0),G4649/H4649,"")</f>
        <v/>
      </c>
    </row>
    <row r="4650">
      <c r="A4650" s="4" t="inlineStr">
        <is>
          <t>670</t>
        </is>
      </c>
      <c r="B4650" s="4" t="n">
        <v>6</v>
      </c>
      <c r="C4650" s="4" t="inlineStr">
        <is>
          <t>elk</t>
        </is>
      </c>
      <c r="D4650" s="4" t="n">
        <v>2015</v>
      </c>
      <c r="E4650" s="13" t="inlineStr">
        <is>
          <t>General</t>
        </is>
      </c>
      <c r="F4650" s="5" t="n">
        <v>89</v>
      </c>
      <c r="G4650" s="5" t="n">
        <v>638</v>
      </c>
      <c r="H4650" s="5" t="n">
        <v>3</v>
      </c>
      <c r="I4650" s="5" t="n">
        <v>0</v>
      </c>
      <c r="J4650" s="5" t="n">
        <v>3</v>
      </c>
      <c r="K4650" s="10">
        <f>IF(F4650&gt;0,H4650/F4650,"")</f>
        <v/>
      </c>
      <c r="L4650" s="16">
        <f>IF(AND(G4650&gt;0,H4650&gt;0),G4650/H4650,"")</f>
        <v/>
      </c>
    </row>
    <row r="4651">
      <c r="A4651" s="4" t="inlineStr">
        <is>
          <t>670</t>
        </is>
      </c>
      <c r="B4651" s="4" t="n">
        <v>6</v>
      </c>
      <c r="C4651" s="4" t="inlineStr">
        <is>
          <t>elk</t>
        </is>
      </c>
      <c r="D4651" s="4" t="n">
        <v>2018</v>
      </c>
      <c r="E4651" s="13" t="inlineStr">
        <is>
          <t>General</t>
        </is>
      </c>
      <c r="F4651" s="5" t="n">
        <v>36</v>
      </c>
      <c r="G4651" s="5" t="n">
        <v>296</v>
      </c>
      <c r="H4651" s="5" t="n">
        <v>6</v>
      </c>
      <c r="I4651" s="5" t="n">
        <v>6</v>
      </c>
      <c r="J4651" s="5" t="n">
        <v>0</v>
      </c>
      <c r="K4651" s="10">
        <f>IF(F4651&gt;0,H4651/F4651,"")</f>
        <v/>
      </c>
      <c r="L4651" s="16">
        <f>IF(AND(G4651&gt;0,H4651&gt;0),G4651/H4651,"")</f>
        <v/>
      </c>
    </row>
    <row r="4652">
      <c r="A4652" s="4" t="inlineStr">
        <is>
          <t>670</t>
        </is>
      </c>
      <c r="B4652" s="4" t="n">
        <v>6</v>
      </c>
      <c r="C4652" s="4" t="inlineStr">
        <is>
          <t>elk</t>
        </is>
      </c>
      <c r="D4652" s="4" t="n">
        <v>2020</v>
      </c>
      <c r="E4652" s="13" t="inlineStr">
        <is>
          <t>General</t>
        </is>
      </c>
      <c r="F4652" s="5" t="n">
        <v>35</v>
      </c>
      <c r="G4652" s="5" t="n">
        <v>254</v>
      </c>
      <c r="H4652" s="5" t="n">
        <v>4</v>
      </c>
      <c r="I4652" s="5" t="n">
        <v>4</v>
      </c>
      <c r="J4652" s="5" t="n">
        <v>0</v>
      </c>
      <c r="K4652" s="10">
        <f>IF(F4652&gt;0,H4652/F4652,"")</f>
        <v/>
      </c>
      <c r="L4652" s="16">
        <f>IF(AND(G4652&gt;0,H4652&gt;0),G4652/H4652,"")</f>
        <v/>
      </c>
    </row>
    <row r="4653">
      <c r="A4653" s="4" t="inlineStr">
        <is>
          <t>670</t>
        </is>
      </c>
      <c r="B4653" s="4" t="n">
        <v>6</v>
      </c>
      <c r="C4653" s="4" t="inlineStr">
        <is>
          <t>elk</t>
        </is>
      </c>
      <c r="D4653" s="4" t="n">
        <v>2021</v>
      </c>
      <c r="E4653" s="13" t="inlineStr">
        <is>
          <t>General</t>
        </is>
      </c>
      <c r="F4653" s="5" t="n"/>
      <c r="G4653" s="5" t="n"/>
      <c r="H4653" s="5" t="n">
        <v>7</v>
      </c>
      <c r="I4653" s="5" t="n">
        <v>7</v>
      </c>
      <c r="J4653" s="5" t="n">
        <v>0</v>
      </c>
      <c r="K4653" s="10">
        <f>IF(F4653&gt;0,H4653/F4653,"")</f>
        <v/>
      </c>
      <c r="L4653" s="16">
        <f>IF(AND(G4653&gt;0,H4653&gt;0),G4653/H4653,"")</f>
        <v/>
      </c>
    </row>
    <row r="4654">
      <c r="A4654" s="4" t="inlineStr">
        <is>
          <t>670</t>
        </is>
      </c>
      <c r="B4654" s="4" t="n">
        <v>6</v>
      </c>
      <c r="C4654" s="4" t="inlineStr">
        <is>
          <t>elk</t>
        </is>
      </c>
      <c r="D4654" s="4" t="n">
        <v>2022</v>
      </c>
      <c r="E4654" s="13" t="inlineStr">
        <is>
          <t>General</t>
        </is>
      </c>
      <c r="F4654" s="5" t="n">
        <v>70</v>
      </c>
      <c r="G4654" s="5" t="n">
        <v>363</v>
      </c>
      <c r="H4654" s="5" t="n">
        <v>7</v>
      </c>
      <c r="I4654" s="5" t="n">
        <v>0</v>
      </c>
      <c r="J4654" s="5" t="n">
        <v>7</v>
      </c>
      <c r="K4654" s="10">
        <f>IF(F4654&gt;0,H4654/F4654,"")</f>
        <v/>
      </c>
      <c r="L4654" s="16">
        <f>IF(AND(G4654&gt;0,H4654&gt;0),G4654/H4654,"")</f>
        <v/>
      </c>
    </row>
    <row r="4655">
      <c r="A4655" s="4" t="inlineStr">
        <is>
          <t>670</t>
        </is>
      </c>
      <c r="B4655" s="4" t="n">
        <v>6</v>
      </c>
      <c r="C4655" s="4" t="inlineStr">
        <is>
          <t>elk</t>
        </is>
      </c>
      <c r="D4655" s="4" t="n">
        <v>2023</v>
      </c>
      <c r="E4655" s="13" t="inlineStr">
        <is>
          <t>General</t>
        </is>
      </c>
      <c r="F4655" s="5" t="n"/>
      <c r="G4655" s="5" t="n"/>
      <c r="H4655" s="5" t="n">
        <v>3</v>
      </c>
      <c r="I4655" s="5" t="n">
        <v>0</v>
      </c>
      <c r="J4655" s="5" t="n">
        <v>3</v>
      </c>
      <c r="K4655" s="10">
        <f>IF(F4655&gt;0,H4655/F4655,"")</f>
        <v/>
      </c>
      <c r="L4655" s="16">
        <f>IF(AND(G4655&gt;0,H4655&gt;0),G4655/H4655,"")</f>
        <v/>
      </c>
    </row>
    <row r="4656">
      <c r="A4656" s="4" t="inlineStr">
        <is>
          <t>670</t>
        </is>
      </c>
      <c r="B4656" s="4" t="n">
        <v>6</v>
      </c>
      <c r="C4656" s="4" t="inlineStr">
        <is>
          <t>elk</t>
        </is>
      </c>
      <c r="D4656" s="4" t="n">
        <v>2024</v>
      </c>
      <c r="E4656" s="13" t="inlineStr">
        <is>
          <t>General</t>
        </is>
      </c>
      <c r="F4656" s="5" t="n">
        <v>65</v>
      </c>
      <c r="G4656" s="5" t="n">
        <v>294</v>
      </c>
      <c r="H4656" s="5" t="n">
        <v>3</v>
      </c>
      <c r="I4656" s="5" t="n">
        <v>3</v>
      </c>
      <c r="J4656" s="5" t="n">
        <v>0</v>
      </c>
      <c r="K4656" s="10">
        <f>IF(F4656&gt;0,H4656/F4656,"")</f>
        <v/>
      </c>
      <c r="L4656" s="16">
        <f>IF(AND(G4656&gt;0,H4656&gt;0),G4656/H4656,"")</f>
        <v/>
      </c>
    </row>
    <row r="4657">
      <c r="A4657" s="4" t="inlineStr">
        <is>
          <t>670</t>
        </is>
      </c>
      <c r="B4657" s="4" t="n">
        <v>6</v>
      </c>
      <c r="C4657" s="4" t="inlineStr">
        <is>
          <t>elk</t>
        </is>
      </c>
      <c r="D4657" s="4" t="n">
        <v>2025</v>
      </c>
      <c r="E4657" s="13" t="inlineStr">
        <is>
          <t>General</t>
        </is>
      </c>
      <c r="F4657" s="5" t="n"/>
      <c r="G4657" s="5" t="n"/>
      <c r="H4657" s="5" t="n">
        <v>8</v>
      </c>
      <c r="I4657" s="5" t="n">
        <v>8</v>
      </c>
      <c r="J4657" s="5" t="n">
        <v>0</v>
      </c>
      <c r="K4657" s="10">
        <f>IF(F4657&gt;0,H4657/F4657,"")</f>
        <v/>
      </c>
      <c r="L4657" s="16">
        <f>IF(AND(G4657&gt;0,H4657&gt;0),G4657/H4657,"")</f>
        <v/>
      </c>
    </row>
    <row r="4658">
      <c r="A4658" s="4" t="inlineStr">
        <is>
          <t>680</t>
        </is>
      </c>
      <c r="B4658" s="4" t="n">
        <v>6</v>
      </c>
      <c r="C4658" s="4" t="inlineStr">
        <is>
          <t>elk</t>
        </is>
      </c>
      <c r="D4658" s="4" t="n">
        <v>2004</v>
      </c>
      <c r="E4658" s="4" t="inlineStr"/>
      <c r="F4658" s="5" t="n">
        <v>26</v>
      </c>
      <c r="G4658" s="5" t="n">
        <v>100</v>
      </c>
      <c r="H4658" s="5" t="n">
        <v>9</v>
      </c>
      <c r="I4658" s="5" t="n">
        <v>6</v>
      </c>
      <c r="J4658" s="5" t="n">
        <v>3</v>
      </c>
      <c r="K4658" s="10">
        <f>IF(F4658&gt;0,H4658/F4658,"")</f>
        <v/>
      </c>
      <c r="L4658" s="16">
        <f>IF(AND(G4658&gt;0,H4658&gt;0),G4658/H4658,"")</f>
        <v/>
      </c>
    </row>
    <row r="4659">
      <c r="A4659" s="4" t="inlineStr">
        <is>
          <t>680</t>
        </is>
      </c>
      <c r="B4659" s="4" t="n">
        <v>6</v>
      </c>
      <c r="C4659" s="4" t="inlineStr">
        <is>
          <t>elk</t>
        </is>
      </c>
      <c r="D4659" s="4" t="n">
        <v>2005</v>
      </c>
      <c r="E4659" s="4" t="inlineStr"/>
      <c r="F4659" s="5" t="n">
        <v>52</v>
      </c>
      <c r="G4659" s="5" t="n">
        <v>257</v>
      </c>
      <c r="H4659" s="5" t="n">
        <v>4</v>
      </c>
      <c r="I4659" s="5" t="n">
        <v>0</v>
      </c>
      <c r="J4659" s="5" t="n">
        <v>4</v>
      </c>
      <c r="K4659" s="10">
        <f>IF(F4659&gt;0,H4659/F4659,"")</f>
        <v/>
      </c>
      <c r="L4659" s="16">
        <f>IF(AND(G4659&gt;0,H4659&gt;0),G4659/H4659,"")</f>
        <v/>
      </c>
    </row>
    <row r="4660">
      <c r="A4660" s="4" t="inlineStr">
        <is>
          <t>680</t>
        </is>
      </c>
      <c r="B4660" s="4" t="n">
        <v>6</v>
      </c>
      <c r="C4660" s="4" t="inlineStr">
        <is>
          <t>elk</t>
        </is>
      </c>
      <c r="D4660" s="4" t="n">
        <v>2006</v>
      </c>
      <c r="E4660" s="4" t="inlineStr"/>
      <c r="F4660" s="5" t="n">
        <v>49</v>
      </c>
      <c r="G4660" s="5" t="n">
        <v>312</v>
      </c>
      <c r="H4660" s="5" t="n">
        <v>6</v>
      </c>
      <c r="I4660" s="5" t="n">
        <v>2</v>
      </c>
      <c r="J4660" s="5" t="n">
        <v>2</v>
      </c>
      <c r="K4660" s="10">
        <f>IF(F4660&gt;0,H4660/F4660,"")</f>
        <v/>
      </c>
      <c r="L4660" s="16">
        <f>IF(AND(G4660&gt;0,H4660&gt;0),G4660/H4660,"")</f>
        <v/>
      </c>
    </row>
    <row r="4661">
      <c r="A4661" s="4" t="inlineStr">
        <is>
          <t>680</t>
        </is>
      </c>
      <c r="B4661" s="4" t="n">
        <v>6</v>
      </c>
      <c r="C4661" s="4" t="inlineStr">
        <is>
          <t>elk</t>
        </is>
      </c>
      <c r="D4661" s="4" t="n">
        <v>2007</v>
      </c>
      <c r="E4661" s="4" t="inlineStr"/>
      <c r="F4661" s="5" t="n">
        <v>85</v>
      </c>
      <c r="G4661" s="5" t="n">
        <v>475</v>
      </c>
      <c r="H4661" s="5" t="n">
        <v>22</v>
      </c>
      <c r="I4661" s="5" t="n">
        <v>5</v>
      </c>
      <c r="J4661" s="5" t="n">
        <v>14</v>
      </c>
      <c r="K4661" s="10">
        <f>IF(F4661&gt;0,H4661/F4661,"")</f>
        <v/>
      </c>
      <c r="L4661" s="16">
        <f>IF(AND(G4661&gt;0,H4661&gt;0),G4661/H4661,"")</f>
        <v/>
      </c>
    </row>
    <row r="4662">
      <c r="A4662" s="4" t="inlineStr">
        <is>
          <t>680</t>
        </is>
      </c>
      <c r="B4662" s="4" t="n">
        <v>6</v>
      </c>
      <c r="C4662" s="4" t="inlineStr">
        <is>
          <t>elk</t>
        </is>
      </c>
      <c r="D4662" s="4" t="n">
        <v>2008</v>
      </c>
      <c r="E4662" s="4" t="inlineStr"/>
      <c r="F4662" s="5" t="n">
        <v>59</v>
      </c>
      <c r="G4662" s="5" t="n">
        <v>303</v>
      </c>
      <c r="H4662" s="5" t="n">
        <v>10</v>
      </c>
      <c r="I4662" s="5" t="n">
        <v>4</v>
      </c>
      <c r="J4662" s="5" t="n">
        <v>5</v>
      </c>
      <c r="K4662" s="10">
        <f>IF(F4662&gt;0,H4662/F4662,"")</f>
        <v/>
      </c>
      <c r="L4662" s="16">
        <f>IF(AND(G4662&gt;0,H4662&gt;0),G4662/H4662,"")</f>
        <v/>
      </c>
    </row>
    <row r="4663">
      <c r="A4663" s="4" t="inlineStr">
        <is>
          <t>680</t>
        </is>
      </c>
      <c r="B4663" s="4" t="n">
        <v>6</v>
      </c>
      <c r="C4663" s="4" t="inlineStr">
        <is>
          <t>elk</t>
        </is>
      </c>
      <c r="D4663" s="4" t="n">
        <v>2009</v>
      </c>
      <c r="E4663" s="4" t="inlineStr"/>
      <c r="F4663" s="5" t="n">
        <v>34</v>
      </c>
      <c r="G4663" s="5" t="n">
        <v>218</v>
      </c>
      <c r="H4663" s="5" t="n">
        <v>6</v>
      </c>
      <c r="I4663" s="5" t="n">
        <v>0</v>
      </c>
      <c r="J4663" s="5" t="n">
        <v>5</v>
      </c>
      <c r="K4663" s="10">
        <f>IF(F4663&gt;0,H4663/F4663,"")</f>
        <v/>
      </c>
      <c r="L4663" s="16">
        <f>IF(AND(G4663&gt;0,H4663&gt;0),G4663/H4663,"")</f>
        <v/>
      </c>
    </row>
    <row r="4664">
      <c r="A4664" s="4" t="inlineStr">
        <is>
          <t>680</t>
        </is>
      </c>
      <c r="B4664" s="4" t="n">
        <v>6</v>
      </c>
      <c r="C4664" s="4" t="inlineStr">
        <is>
          <t>elk</t>
        </is>
      </c>
      <c r="D4664" s="4" t="n">
        <v>2010</v>
      </c>
      <c r="E4664" s="4" t="inlineStr"/>
      <c r="F4664" s="5" t="n">
        <v>53</v>
      </c>
      <c r="G4664" s="5" t="n">
        <v>261</v>
      </c>
      <c r="H4664" s="5" t="n">
        <v>3</v>
      </c>
      <c r="I4664" s="5" t="n">
        <v>1</v>
      </c>
      <c r="J4664" s="5" t="n">
        <v>2</v>
      </c>
      <c r="K4664" s="10">
        <f>IF(F4664&gt;0,H4664/F4664,"")</f>
        <v/>
      </c>
      <c r="L4664" s="16">
        <f>IF(AND(G4664&gt;0,H4664&gt;0),G4664/H4664,"")</f>
        <v/>
      </c>
    </row>
    <row r="4665">
      <c r="A4665" s="4" t="inlineStr">
        <is>
          <t>680</t>
        </is>
      </c>
      <c r="B4665" s="4" t="n">
        <v>6</v>
      </c>
      <c r="C4665" s="4" t="inlineStr">
        <is>
          <t>elk</t>
        </is>
      </c>
      <c r="D4665" s="4" t="n">
        <v>2011</v>
      </c>
      <c r="E4665" s="4" t="inlineStr"/>
      <c r="F4665" s="5" t="n">
        <v>59</v>
      </c>
      <c r="G4665" s="5" t="n">
        <v>347</v>
      </c>
      <c r="H4665" s="5" t="n">
        <v>12</v>
      </c>
      <c r="I4665" s="5" t="n">
        <v>6</v>
      </c>
      <c r="J4665" s="5" t="n">
        <v>5</v>
      </c>
      <c r="K4665" s="10">
        <f>IF(F4665&gt;0,H4665/F4665,"")</f>
        <v/>
      </c>
      <c r="L4665" s="16">
        <f>IF(AND(G4665&gt;0,H4665&gt;0),G4665/H4665,"")</f>
        <v/>
      </c>
    </row>
    <row r="4666">
      <c r="A4666" s="4" t="inlineStr">
        <is>
          <t>680</t>
        </is>
      </c>
      <c r="B4666" s="4" t="n">
        <v>6</v>
      </c>
      <c r="C4666" s="4" t="inlineStr">
        <is>
          <t>elk</t>
        </is>
      </c>
      <c r="D4666" s="4" t="n">
        <v>2012</v>
      </c>
      <c r="E4666" s="4" t="inlineStr"/>
      <c r="F4666" s="5" t="n">
        <v>66</v>
      </c>
      <c r="G4666" s="5" t="n">
        <v>492</v>
      </c>
      <c r="H4666" s="5" t="n">
        <v>6</v>
      </c>
      <c r="I4666" s="5" t="n">
        <v>4</v>
      </c>
      <c r="J4666" s="5" t="n">
        <v>2</v>
      </c>
      <c r="K4666" s="10">
        <f>IF(F4666&gt;0,H4666/F4666,"")</f>
        <v/>
      </c>
      <c r="L4666" s="16">
        <f>IF(AND(G4666&gt;0,H4666&gt;0),G4666/H4666,"")</f>
        <v/>
      </c>
    </row>
    <row r="4667">
      <c r="A4667" s="4" t="inlineStr">
        <is>
          <t>680</t>
        </is>
      </c>
      <c r="B4667" s="4" t="n">
        <v>6</v>
      </c>
      <c r="C4667" s="4" t="inlineStr">
        <is>
          <t>elk</t>
        </is>
      </c>
      <c r="D4667" s="4" t="n">
        <v>2013</v>
      </c>
      <c r="E4667" s="4" t="inlineStr"/>
      <c r="F4667" s="5" t="n"/>
      <c r="G4667" s="5" t="n"/>
      <c r="H4667" s="5" t="n">
        <v>10</v>
      </c>
      <c r="I4667" s="5" t="n">
        <v>3</v>
      </c>
      <c r="J4667" s="5" t="n">
        <v>5</v>
      </c>
      <c r="K4667" s="10">
        <f>IF(F4667&gt;0,H4667/F4667,"")</f>
        <v/>
      </c>
      <c r="L4667" s="16">
        <f>IF(AND(G4667&gt;0,H4667&gt;0),G4667/H4667,"")</f>
        <v/>
      </c>
    </row>
    <row r="4668">
      <c r="A4668" s="4" t="inlineStr">
        <is>
          <t>680</t>
        </is>
      </c>
      <c r="B4668" s="4" t="n">
        <v>6</v>
      </c>
      <c r="C4668" s="4" t="inlineStr">
        <is>
          <t>elk</t>
        </is>
      </c>
      <c r="D4668" s="4" t="n">
        <v>2014</v>
      </c>
      <c r="E4668" s="4" t="inlineStr"/>
      <c r="F4668" s="5" t="n">
        <v>73</v>
      </c>
      <c r="G4668" s="5" t="n">
        <v>533</v>
      </c>
      <c r="H4668" s="5" t="n">
        <v>6</v>
      </c>
      <c r="I4668" s="5" t="n">
        <v>6</v>
      </c>
      <c r="J4668" s="5" t="n">
        <v>0</v>
      </c>
      <c r="K4668" s="10">
        <f>IF(F4668&gt;0,H4668/F4668,"")</f>
        <v/>
      </c>
      <c r="L4668" s="16">
        <f>IF(AND(G4668&gt;0,H4668&gt;0),G4668/H4668,"")</f>
        <v/>
      </c>
    </row>
    <row r="4669">
      <c r="A4669" s="4" t="inlineStr">
        <is>
          <t>680</t>
        </is>
      </c>
      <c r="B4669" s="4" t="n">
        <v>6</v>
      </c>
      <c r="C4669" s="4" t="inlineStr">
        <is>
          <t>elk</t>
        </is>
      </c>
      <c r="D4669" s="4" t="n">
        <v>2015</v>
      </c>
      <c r="E4669" s="4" t="inlineStr"/>
      <c r="F4669" s="5" t="n">
        <v>60</v>
      </c>
      <c r="G4669" s="5" t="n">
        <v>332</v>
      </c>
      <c r="H4669" s="5" t="n">
        <v>30</v>
      </c>
      <c r="I4669" s="5" t="n">
        <v>6</v>
      </c>
      <c r="J4669" s="5" t="n">
        <v>19</v>
      </c>
      <c r="K4669" s="10">
        <f>IF(F4669&gt;0,H4669/F4669,"")</f>
        <v/>
      </c>
      <c r="L4669" s="16">
        <f>IF(AND(G4669&gt;0,H4669&gt;0),G4669/H4669,"")</f>
        <v/>
      </c>
    </row>
    <row r="4670">
      <c r="A4670" s="4" t="inlineStr">
        <is>
          <t>680</t>
        </is>
      </c>
      <c r="B4670" s="4" t="n">
        <v>6</v>
      </c>
      <c r="C4670" s="4" t="inlineStr">
        <is>
          <t>elk</t>
        </is>
      </c>
      <c r="D4670" s="4" t="n">
        <v>2016</v>
      </c>
      <c r="E4670" s="4" t="inlineStr"/>
      <c r="F4670" s="5" t="n">
        <v>118</v>
      </c>
      <c r="G4670" s="5" t="n">
        <v>696</v>
      </c>
      <c r="H4670" s="5" t="n">
        <v>32</v>
      </c>
      <c r="I4670" s="5" t="n">
        <v>6</v>
      </c>
      <c r="J4670" s="5" t="n">
        <v>26</v>
      </c>
      <c r="K4670" s="10">
        <f>IF(F4670&gt;0,H4670/F4670,"")</f>
        <v/>
      </c>
      <c r="L4670" s="16">
        <f>IF(AND(G4670&gt;0,H4670&gt;0),G4670/H4670,"")</f>
        <v/>
      </c>
    </row>
    <row r="4671">
      <c r="A4671" s="4" t="inlineStr">
        <is>
          <t>680</t>
        </is>
      </c>
      <c r="B4671" s="4" t="n">
        <v>6</v>
      </c>
      <c r="C4671" s="4" t="inlineStr">
        <is>
          <t>elk</t>
        </is>
      </c>
      <c r="D4671" s="4" t="n">
        <v>2017</v>
      </c>
      <c r="E4671" s="4" t="inlineStr"/>
      <c r="F4671" s="5" t="n"/>
      <c r="G4671" s="5" t="n"/>
      <c r="H4671" s="5" t="n">
        <v>16</v>
      </c>
      <c r="I4671" s="5" t="n">
        <v>2</v>
      </c>
      <c r="J4671" s="5" t="n">
        <v>14</v>
      </c>
      <c r="K4671" s="10">
        <f>IF(F4671&gt;0,H4671/F4671,"")</f>
        <v/>
      </c>
      <c r="L4671" s="16">
        <f>IF(AND(G4671&gt;0,H4671&gt;0),G4671/H4671,"")</f>
        <v/>
      </c>
    </row>
    <row r="4672">
      <c r="A4672" s="4" t="inlineStr">
        <is>
          <t>680</t>
        </is>
      </c>
      <c r="B4672" s="4" t="n">
        <v>6</v>
      </c>
      <c r="C4672" s="4" t="inlineStr">
        <is>
          <t>elk</t>
        </is>
      </c>
      <c r="D4672" s="4" t="n">
        <v>2018</v>
      </c>
      <c r="E4672" s="4" t="inlineStr"/>
      <c r="F4672" s="5" t="n">
        <v>97</v>
      </c>
      <c r="G4672" s="5" t="n">
        <v>572</v>
      </c>
      <c r="H4672" s="5" t="n">
        <v>11</v>
      </c>
      <c r="I4672" s="5" t="n">
        <v>0</v>
      </c>
      <c r="J4672" s="5" t="n">
        <v>8</v>
      </c>
      <c r="K4672" s="10">
        <f>IF(F4672&gt;0,H4672/F4672,"")</f>
        <v/>
      </c>
      <c r="L4672" s="16">
        <f>IF(AND(G4672&gt;0,H4672&gt;0),G4672/H4672,"")</f>
        <v/>
      </c>
    </row>
    <row r="4673">
      <c r="A4673" s="4" t="inlineStr">
        <is>
          <t>680</t>
        </is>
      </c>
      <c r="B4673" s="4" t="n">
        <v>6</v>
      </c>
      <c r="C4673" s="4" t="inlineStr">
        <is>
          <t>elk</t>
        </is>
      </c>
      <c r="D4673" s="4" t="n">
        <v>2019</v>
      </c>
      <c r="E4673" s="4" t="inlineStr"/>
      <c r="F4673" s="5" t="n"/>
      <c r="G4673" s="5" t="n"/>
      <c r="H4673" s="5" t="n">
        <v>9</v>
      </c>
      <c r="I4673" s="5" t="n">
        <v>3</v>
      </c>
      <c r="J4673" s="5" t="n">
        <v>6</v>
      </c>
      <c r="K4673" s="10">
        <f>IF(F4673&gt;0,H4673/F4673,"")</f>
        <v/>
      </c>
      <c r="L4673" s="16">
        <f>IF(AND(G4673&gt;0,H4673&gt;0),G4673/H4673,"")</f>
        <v/>
      </c>
    </row>
    <row r="4674">
      <c r="A4674" s="4" t="inlineStr">
        <is>
          <t>690</t>
        </is>
      </c>
      <c r="B4674" s="4" t="n">
        <v>6</v>
      </c>
      <c r="C4674" s="4" t="inlineStr">
        <is>
          <t>elk</t>
        </is>
      </c>
      <c r="D4674" s="4" t="n">
        <v>2004</v>
      </c>
      <c r="E4674" s="15" t="inlineStr">
        <is>
          <t>Draw</t>
        </is>
      </c>
      <c r="F4674" s="5" t="n">
        <v>128</v>
      </c>
      <c r="G4674" s="5" t="n">
        <v>698</v>
      </c>
      <c r="H4674" s="5" t="n">
        <v>47</v>
      </c>
      <c r="I4674" s="5" t="n">
        <v>16</v>
      </c>
      <c r="J4674" s="5" t="n">
        <v>31</v>
      </c>
      <c r="K4674" s="10">
        <f>IF(F4674&gt;0,H4674/F4674,"")</f>
        <v/>
      </c>
      <c r="L4674" s="16">
        <f>IF(AND(G4674&gt;0,H4674&gt;0),G4674/H4674,"")</f>
        <v/>
      </c>
    </row>
    <row r="4675">
      <c r="A4675" s="4" t="inlineStr">
        <is>
          <t>690</t>
        </is>
      </c>
      <c r="B4675" s="4" t="n">
        <v>6</v>
      </c>
      <c r="C4675" s="4" t="inlineStr">
        <is>
          <t>elk</t>
        </is>
      </c>
      <c r="D4675" s="4" t="n">
        <v>2005</v>
      </c>
      <c r="E4675" s="15" t="inlineStr">
        <is>
          <t>Draw</t>
        </is>
      </c>
      <c r="F4675" s="5" t="n">
        <v>115</v>
      </c>
      <c r="G4675" s="5" t="n">
        <v>628</v>
      </c>
      <c r="H4675" s="5" t="n">
        <v>50</v>
      </c>
      <c r="I4675" s="5" t="n">
        <v>11</v>
      </c>
      <c r="J4675" s="5" t="n">
        <v>35</v>
      </c>
      <c r="K4675" s="10">
        <f>IF(F4675&gt;0,H4675/F4675,"")</f>
        <v/>
      </c>
      <c r="L4675" s="16">
        <f>IF(AND(G4675&gt;0,H4675&gt;0),G4675/H4675,"")</f>
        <v/>
      </c>
    </row>
    <row r="4676">
      <c r="A4676" s="4" t="inlineStr">
        <is>
          <t>690</t>
        </is>
      </c>
      <c r="B4676" s="4" t="n">
        <v>6</v>
      </c>
      <c r="C4676" s="4" t="inlineStr">
        <is>
          <t>elk</t>
        </is>
      </c>
      <c r="D4676" s="4" t="n">
        <v>2006</v>
      </c>
      <c r="E4676" s="15" t="inlineStr">
        <is>
          <t>Draw</t>
        </is>
      </c>
      <c r="F4676" s="5" t="n">
        <v>149</v>
      </c>
      <c r="G4676" s="5" t="n">
        <v>846</v>
      </c>
      <c r="H4676" s="5" t="n">
        <v>73</v>
      </c>
      <c r="I4676" s="5" t="n">
        <v>26</v>
      </c>
      <c r="J4676" s="5" t="n">
        <v>30</v>
      </c>
      <c r="K4676" s="10">
        <f>IF(F4676&gt;0,H4676/F4676,"")</f>
        <v/>
      </c>
      <c r="L4676" s="16">
        <f>IF(AND(G4676&gt;0,H4676&gt;0),G4676/H4676,"")</f>
        <v/>
      </c>
    </row>
    <row r="4677">
      <c r="A4677" s="4" t="inlineStr">
        <is>
          <t>690</t>
        </is>
      </c>
      <c r="B4677" s="4" t="n">
        <v>6</v>
      </c>
      <c r="C4677" s="4" t="inlineStr">
        <is>
          <t>elk</t>
        </is>
      </c>
      <c r="D4677" s="4" t="n">
        <v>2007</v>
      </c>
      <c r="E4677" s="15" t="inlineStr">
        <is>
          <t>Draw</t>
        </is>
      </c>
      <c r="F4677" s="5" t="n">
        <v>258</v>
      </c>
      <c r="G4677" s="5" t="n">
        <v>1665</v>
      </c>
      <c r="H4677" s="5" t="n">
        <v>93</v>
      </c>
      <c r="I4677" s="5" t="n">
        <v>33</v>
      </c>
      <c r="J4677" s="5" t="n">
        <v>57</v>
      </c>
      <c r="K4677" s="10">
        <f>IF(F4677&gt;0,H4677/F4677,"")</f>
        <v/>
      </c>
      <c r="L4677" s="16">
        <f>IF(AND(G4677&gt;0,H4677&gt;0),G4677/H4677,"")</f>
        <v/>
      </c>
    </row>
    <row r="4678">
      <c r="A4678" s="4" t="inlineStr">
        <is>
          <t>690</t>
        </is>
      </c>
      <c r="B4678" s="4" t="n">
        <v>6</v>
      </c>
      <c r="C4678" s="4" t="inlineStr">
        <is>
          <t>elk</t>
        </is>
      </c>
      <c r="D4678" s="4" t="n">
        <v>2008</v>
      </c>
      <c r="E4678" s="15" t="inlineStr">
        <is>
          <t>Draw</t>
        </is>
      </c>
      <c r="F4678" s="5" t="n">
        <v>300</v>
      </c>
      <c r="G4678" s="5" t="n">
        <v>1923</v>
      </c>
      <c r="H4678" s="5" t="n">
        <v>72</v>
      </c>
      <c r="I4678" s="5" t="n">
        <v>27</v>
      </c>
      <c r="J4678" s="5" t="n">
        <v>42</v>
      </c>
      <c r="K4678" s="10">
        <f>IF(F4678&gt;0,H4678/F4678,"")</f>
        <v/>
      </c>
      <c r="L4678" s="16">
        <f>IF(AND(G4678&gt;0,H4678&gt;0),G4678/H4678,"")</f>
        <v/>
      </c>
    </row>
    <row r="4679">
      <c r="A4679" s="4" t="inlineStr">
        <is>
          <t>690</t>
        </is>
      </c>
      <c r="B4679" s="4" t="n">
        <v>6</v>
      </c>
      <c r="C4679" s="4" t="inlineStr">
        <is>
          <t>elk</t>
        </is>
      </c>
      <c r="D4679" s="4" t="n">
        <v>2009</v>
      </c>
      <c r="E4679" s="15" t="inlineStr">
        <is>
          <t>Draw</t>
        </is>
      </c>
      <c r="F4679" s="5" t="n">
        <v>366</v>
      </c>
      <c r="G4679" s="5" t="n">
        <v>2055</v>
      </c>
      <c r="H4679" s="5" t="n">
        <v>62</v>
      </c>
      <c r="I4679" s="5" t="n">
        <v>30</v>
      </c>
      <c r="J4679" s="5" t="n">
        <v>29</v>
      </c>
      <c r="K4679" s="10">
        <f>IF(F4679&gt;0,H4679/F4679,"")</f>
        <v/>
      </c>
      <c r="L4679" s="16">
        <f>IF(AND(G4679&gt;0,H4679&gt;0),G4679/H4679,"")</f>
        <v/>
      </c>
    </row>
    <row r="4680">
      <c r="A4680" s="4" t="inlineStr">
        <is>
          <t>690</t>
        </is>
      </c>
      <c r="B4680" s="4" t="n">
        <v>6</v>
      </c>
      <c r="C4680" s="4" t="inlineStr">
        <is>
          <t>elk</t>
        </is>
      </c>
      <c r="D4680" s="4" t="n">
        <v>2010</v>
      </c>
      <c r="E4680" s="15" t="inlineStr">
        <is>
          <t>Draw</t>
        </is>
      </c>
      <c r="F4680" s="5" t="n">
        <v>298</v>
      </c>
      <c r="G4680" s="5" t="n">
        <v>1670</v>
      </c>
      <c r="H4680" s="5" t="n">
        <v>134</v>
      </c>
      <c r="I4680" s="5" t="n">
        <v>40</v>
      </c>
      <c r="J4680" s="5" t="n">
        <v>86</v>
      </c>
      <c r="K4680" s="10">
        <f>IF(F4680&gt;0,H4680/F4680,"")</f>
        <v/>
      </c>
      <c r="L4680" s="16">
        <f>IF(AND(G4680&gt;0,H4680&gt;0),G4680/H4680,"")</f>
        <v/>
      </c>
    </row>
    <row r="4681">
      <c r="A4681" s="4" t="inlineStr">
        <is>
          <t>690</t>
        </is>
      </c>
      <c r="B4681" s="4" t="n">
        <v>6</v>
      </c>
      <c r="C4681" s="4" t="inlineStr">
        <is>
          <t>elk</t>
        </is>
      </c>
      <c r="D4681" s="4" t="n">
        <v>2011</v>
      </c>
      <c r="E4681" s="15" t="inlineStr">
        <is>
          <t>Draw</t>
        </is>
      </c>
      <c r="F4681" s="5" t="n">
        <v>299</v>
      </c>
      <c r="G4681" s="5" t="n">
        <v>2001</v>
      </c>
      <c r="H4681" s="5" t="n">
        <v>110</v>
      </c>
      <c r="I4681" s="5" t="n">
        <v>29</v>
      </c>
      <c r="J4681" s="5" t="n">
        <v>73</v>
      </c>
      <c r="K4681" s="10">
        <f>IF(F4681&gt;0,H4681/F4681,"")</f>
        <v/>
      </c>
      <c r="L4681" s="16">
        <f>IF(AND(G4681&gt;0,H4681&gt;0),G4681/H4681,"")</f>
        <v/>
      </c>
    </row>
    <row r="4682">
      <c r="A4682" s="4" t="inlineStr">
        <is>
          <t>690</t>
        </is>
      </c>
      <c r="B4682" s="4" t="n">
        <v>6</v>
      </c>
      <c r="C4682" s="4" t="inlineStr">
        <is>
          <t>elk</t>
        </is>
      </c>
      <c r="D4682" s="4" t="n">
        <v>2012</v>
      </c>
      <c r="E4682" s="15" t="inlineStr">
        <is>
          <t>Draw</t>
        </is>
      </c>
      <c r="F4682" s="5" t="n">
        <v>307</v>
      </c>
      <c r="G4682" s="5" t="n">
        <v>1869</v>
      </c>
      <c r="H4682" s="5" t="n">
        <v>69</v>
      </c>
      <c r="I4682" s="5" t="n">
        <v>27</v>
      </c>
      <c r="J4682" s="5" t="n">
        <v>41</v>
      </c>
      <c r="K4682" s="10">
        <f>IF(F4682&gt;0,H4682/F4682,"")</f>
        <v/>
      </c>
      <c r="L4682" s="16">
        <f>IF(AND(G4682&gt;0,H4682&gt;0),G4682/H4682,"")</f>
        <v/>
      </c>
    </row>
    <row r="4683">
      <c r="A4683" s="4" t="inlineStr">
        <is>
          <t>690</t>
        </is>
      </c>
      <c r="B4683" s="4" t="n">
        <v>6</v>
      </c>
      <c r="C4683" s="4" t="inlineStr">
        <is>
          <t>elk</t>
        </is>
      </c>
      <c r="D4683" s="4" t="n">
        <v>2013</v>
      </c>
      <c r="E4683" s="15" t="inlineStr">
        <is>
          <t>Draw</t>
        </is>
      </c>
      <c r="F4683" s="5" t="n"/>
      <c r="G4683" s="5" t="n"/>
      <c r="H4683" s="5" t="n">
        <v>74</v>
      </c>
      <c r="I4683" s="5" t="n">
        <v>47</v>
      </c>
      <c r="J4683" s="5" t="n">
        <v>27</v>
      </c>
      <c r="K4683" s="10">
        <f>IF(F4683&gt;0,H4683/F4683,"")</f>
        <v/>
      </c>
      <c r="L4683" s="16">
        <f>IF(AND(G4683&gt;0,H4683&gt;0),G4683/H4683,"")</f>
        <v/>
      </c>
    </row>
    <row r="4684">
      <c r="A4684" s="4" t="inlineStr">
        <is>
          <t>690</t>
        </is>
      </c>
      <c r="B4684" s="4" t="n">
        <v>6</v>
      </c>
      <c r="C4684" s="4" t="inlineStr">
        <is>
          <t>elk</t>
        </is>
      </c>
      <c r="D4684" s="4" t="n">
        <v>2014</v>
      </c>
      <c r="E4684" s="15" t="inlineStr">
        <is>
          <t>Draw</t>
        </is>
      </c>
      <c r="F4684" s="5" t="n">
        <v>283</v>
      </c>
      <c r="G4684" s="5" t="n">
        <v>1599</v>
      </c>
      <c r="H4684" s="5" t="n">
        <v>71</v>
      </c>
      <c r="I4684" s="5" t="n">
        <v>42</v>
      </c>
      <c r="J4684" s="5" t="n">
        <v>29</v>
      </c>
      <c r="K4684" s="10">
        <f>IF(F4684&gt;0,H4684/F4684,"")</f>
        <v/>
      </c>
      <c r="L4684" s="16">
        <f>IF(AND(G4684&gt;0,H4684&gt;0),G4684/H4684,"")</f>
        <v/>
      </c>
    </row>
    <row r="4685">
      <c r="A4685" s="4" t="inlineStr">
        <is>
          <t>690</t>
        </is>
      </c>
      <c r="B4685" s="4" t="n">
        <v>6</v>
      </c>
      <c r="C4685" s="4" t="inlineStr">
        <is>
          <t>elk</t>
        </is>
      </c>
      <c r="D4685" s="4" t="n">
        <v>2015</v>
      </c>
      <c r="E4685" s="15" t="inlineStr">
        <is>
          <t>Draw</t>
        </is>
      </c>
      <c r="F4685" s="5" t="n">
        <v>339</v>
      </c>
      <c r="G4685" s="5" t="n">
        <v>1975</v>
      </c>
      <c r="H4685" s="5" t="n">
        <v>129</v>
      </c>
      <c r="I4685" s="5" t="n">
        <v>42</v>
      </c>
      <c r="J4685" s="5" t="n">
        <v>80</v>
      </c>
      <c r="K4685" s="10">
        <f>IF(F4685&gt;0,H4685/F4685,"")</f>
        <v/>
      </c>
      <c r="L4685" s="16">
        <f>IF(AND(G4685&gt;0,H4685&gt;0),G4685/H4685,"")</f>
        <v/>
      </c>
    </row>
    <row r="4686">
      <c r="A4686" s="4" t="inlineStr">
        <is>
          <t>690</t>
        </is>
      </c>
      <c r="B4686" s="4" t="n">
        <v>6</v>
      </c>
      <c r="C4686" s="4" t="inlineStr">
        <is>
          <t>elk</t>
        </is>
      </c>
      <c r="D4686" s="4" t="n">
        <v>2016</v>
      </c>
      <c r="E4686" s="15" t="inlineStr">
        <is>
          <t>Draw</t>
        </is>
      </c>
      <c r="F4686" s="5" t="n">
        <v>352</v>
      </c>
      <c r="G4686" s="5" t="n">
        <v>2256</v>
      </c>
      <c r="H4686" s="5" t="n">
        <v>106</v>
      </c>
      <c r="I4686" s="5" t="n">
        <v>39</v>
      </c>
      <c r="J4686" s="5" t="n">
        <v>59</v>
      </c>
      <c r="K4686" s="10">
        <f>IF(F4686&gt;0,H4686/F4686,"")</f>
        <v/>
      </c>
      <c r="L4686" s="16">
        <f>IF(AND(G4686&gt;0,H4686&gt;0),G4686/H4686,"")</f>
        <v/>
      </c>
    </row>
    <row r="4687">
      <c r="A4687" s="4" t="inlineStr">
        <is>
          <t>690</t>
        </is>
      </c>
      <c r="B4687" s="4" t="n">
        <v>6</v>
      </c>
      <c r="C4687" s="4" t="inlineStr">
        <is>
          <t>elk</t>
        </is>
      </c>
      <c r="D4687" s="4" t="n">
        <v>2017</v>
      </c>
      <c r="E4687" s="15" t="inlineStr">
        <is>
          <t>Draw</t>
        </is>
      </c>
      <c r="F4687" s="5" t="n"/>
      <c r="G4687" s="5" t="n"/>
      <c r="H4687" s="5" t="n">
        <v>70</v>
      </c>
      <c r="I4687" s="5" t="n">
        <v>32</v>
      </c>
      <c r="J4687" s="5" t="n">
        <v>38</v>
      </c>
      <c r="K4687" s="10">
        <f>IF(F4687&gt;0,H4687/F4687,"")</f>
        <v/>
      </c>
      <c r="L4687" s="16">
        <f>IF(AND(G4687&gt;0,H4687&gt;0),G4687/H4687,"")</f>
        <v/>
      </c>
    </row>
    <row r="4688">
      <c r="A4688" s="4" t="inlineStr">
        <is>
          <t>690</t>
        </is>
      </c>
      <c r="B4688" s="4" t="n">
        <v>6</v>
      </c>
      <c r="C4688" s="4" t="inlineStr">
        <is>
          <t>elk</t>
        </is>
      </c>
      <c r="D4688" s="4" t="n">
        <v>2018</v>
      </c>
      <c r="E4688" s="15" t="inlineStr">
        <is>
          <t>Draw</t>
        </is>
      </c>
      <c r="F4688" s="5" t="n">
        <v>351</v>
      </c>
      <c r="G4688" s="5" t="n">
        <v>2099</v>
      </c>
      <c r="H4688" s="5" t="n">
        <v>97</v>
      </c>
      <c r="I4688" s="5" t="n">
        <v>32</v>
      </c>
      <c r="J4688" s="5" t="n">
        <v>63</v>
      </c>
      <c r="K4688" s="10">
        <f>IF(F4688&gt;0,H4688/F4688,"")</f>
        <v/>
      </c>
      <c r="L4688" s="16">
        <f>IF(AND(G4688&gt;0,H4688&gt;0),G4688/H4688,"")</f>
        <v/>
      </c>
    </row>
    <row r="4689">
      <c r="A4689" s="4" t="inlineStr">
        <is>
          <t>690</t>
        </is>
      </c>
      <c r="B4689" s="4" t="n">
        <v>6</v>
      </c>
      <c r="C4689" s="4" t="inlineStr">
        <is>
          <t>elk</t>
        </is>
      </c>
      <c r="D4689" s="4" t="n">
        <v>2019</v>
      </c>
      <c r="E4689" s="15" t="inlineStr">
        <is>
          <t>Draw</t>
        </is>
      </c>
      <c r="F4689" s="5" t="n"/>
      <c r="G4689" s="5" t="n"/>
      <c r="H4689" s="5" t="n">
        <v>107</v>
      </c>
      <c r="I4689" s="5" t="n">
        <v>36</v>
      </c>
      <c r="J4689" s="5" t="n">
        <v>61</v>
      </c>
      <c r="K4689" s="10">
        <f>IF(F4689&gt;0,H4689/F4689,"")</f>
        <v/>
      </c>
      <c r="L4689" s="16">
        <f>IF(AND(G4689&gt;0,H4689&gt;0),G4689/H4689,"")</f>
        <v/>
      </c>
    </row>
    <row r="4690">
      <c r="A4690" s="4" t="inlineStr">
        <is>
          <t>690</t>
        </is>
      </c>
      <c r="B4690" s="4" t="n">
        <v>6</v>
      </c>
      <c r="C4690" s="4" t="inlineStr">
        <is>
          <t>elk</t>
        </is>
      </c>
      <c r="D4690" s="4" t="n">
        <v>2020</v>
      </c>
      <c r="E4690" s="15" t="inlineStr">
        <is>
          <t>Draw</t>
        </is>
      </c>
      <c r="F4690" s="5" t="n">
        <v>694</v>
      </c>
      <c r="G4690" s="5" t="n">
        <v>4978</v>
      </c>
      <c r="H4690" s="5" t="n">
        <v>232</v>
      </c>
      <c r="I4690" s="5" t="n">
        <v>65</v>
      </c>
      <c r="J4690" s="5" t="n">
        <v>163</v>
      </c>
      <c r="K4690" s="10">
        <f>IF(F4690&gt;0,H4690/F4690,"")</f>
        <v/>
      </c>
      <c r="L4690" s="16">
        <f>IF(AND(G4690&gt;0,H4690&gt;0),G4690/H4690,"")</f>
        <v/>
      </c>
    </row>
    <row r="4691">
      <c r="A4691" s="4" t="inlineStr">
        <is>
          <t>690</t>
        </is>
      </c>
      <c r="B4691" s="4" t="n">
        <v>6</v>
      </c>
      <c r="C4691" s="4" t="inlineStr">
        <is>
          <t>elk</t>
        </is>
      </c>
      <c r="D4691" s="4" t="n">
        <v>2021</v>
      </c>
      <c r="E4691" s="15" t="inlineStr">
        <is>
          <t>Draw</t>
        </is>
      </c>
      <c r="F4691" s="5" t="n"/>
      <c r="G4691" s="5" t="n"/>
      <c r="H4691" s="5" t="n">
        <v>179</v>
      </c>
      <c r="I4691" s="5" t="n">
        <v>58</v>
      </c>
      <c r="J4691" s="5" t="n">
        <v>117</v>
      </c>
      <c r="K4691" s="10">
        <f>IF(F4691&gt;0,H4691/F4691,"")</f>
        <v/>
      </c>
      <c r="L4691" s="16">
        <f>IF(AND(G4691&gt;0,H4691&gt;0),G4691/H4691,"")</f>
        <v/>
      </c>
    </row>
    <row r="4692">
      <c r="A4692" s="4" t="inlineStr">
        <is>
          <t>690</t>
        </is>
      </c>
      <c r="B4692" s="4" t="n">
        <v>6</v>
      </c>
      <c r="C4692" s="4" t="inlineStr">
        <is>
          <t>elk</t>
        </is>
      </c>
      <c r="D4692" s="4" t="n">
        <v>2022</v>
      </c>
      <c r="E4692" s="15" t="inlineStr">
        <is>
          <t>Draw</t>
        </is>
      </c>
      <c r="F4692" s="5" t="n">
        <v>664</v>
      </c>
      <c r="G4692" s="5" t="n">
        <v>4014</v>
      </c>
      <c r="H4692" s="5" t="n">
        <v>220</v>
      </c>
      <c r="I4692" s="5" t="n">
        <v>56</v>
      </c>
      <c r="J4692" s="5" t="n">
        <v>153</v>
      </c>
      <c r="K4692" s="10">
        <f>IF(F4692&gt;0,H4692/F4692,"")</f>
        <v/>
      </c>
      <c r="L4692" s="16">
        <f>IF(AND(G4692&gt;0,H4692&gt;0),G4692/H4692,"")</f>
        <v/>
      </c>
    </row>
    <row r="4693">
      <c r="A4693" s="4" t="inlineStr">
        <is>
          <t>690</t>
        </is>
      </c>
      <c r="B4693" s="4" t="n">
        <v>6</v>
      </c>
      <c r="C4693" s="4" t="inlineStr">
        <is>
          <t>elk</t>
        </is>
      </c>
      <c r="D4693" s="4" t="n">
        <v>2023</v>
      </c>
      <c r="E4693" s="15" t="inlineStr">
        <is>
          <t>Draw</t>
        </is>
      </c>
      <c r="F4693" s="5" t="n"/>
      <c r="G4693" s="5" t="n"/>
      <c r="H4693" s="5" t="n">
        <v>209</v>
      </c>
      <c r="I4693" s="5" t="n">
        <v>67</v>
      </c>
      <c r="J4693" s="5" t="n">
        <v>127</v>
      </c>
      <c r="K4693" s="10">
        <f>IF(F4693&gt;0,H4693/F4693,"")</f>
        <v/>
      </c>
      <c r="L4693" s="16">
        <f>IF(AND(G4693&gt;0,H4693&gt;0),G4693/H4693,"")</f>
        <v/>
      </c>
    </row>
    <row r="4694">
      <c r="A4694" s="4" t="inlineStr">
        <is>
          <t>690</t>
        </is>
      </c>
      <c r="B4694" s="4" t="n">
        <v>6</v>
      </c>
      <c r="C4694" s="4" t="inlineStr">
        <is>
          <t>elk</t>
        </is>
      </c>
      <c r="D4694" s="4" t="n">
        <v>2024</v>
      </c>
      <c r="E4694" s="15" t="inlineStr">
        <is>
          <t>Draw</t>
        </is>
      </c>
      <c r="F4694" s="5" t="n">
        <v>776</v>
      </c>
      <c r="G4694" s="5" t="n">
        <v>5391</v>
      </c>
      <c r="H4694" s="5" t="n">
        <v>257</v>
      </c>
      <c r="I4694" s="5" t="n">
        <v>82</v>
      </c>
      <c r="J4694" s="5" t="n">
        <v>172</v>
      </c>
      <c r="K4694" s="10">
        <f>IF(F4694&gt;0,H4694/F4694,"")</f>
        <v/>
      </c>
      <c r="L4694" s="16">
        <f>IF(AND(G4694&gt;0,H4694&gt;0),G4694/H4694,"")</f>
        <v/>
      </c>
    </row>
    <row r="4695">
      <c r="A4695" s="4" t="inlineStr">
        <is>
          <t>690</t>
        </is>
      </c>
      <c r="B4695" s="4" t="n">
        <v>6</v>
      </c>
      <c r="C4695" s="4" t="inlineStr">
        <is>
          <t>elk</t>
        </is>
      </c>
      <c r="D4695" s="4" t="n">
        <v>2025</v>
      </c>
      <c r="E4695" s="15" t="inlineStr">
        <is>
          <t>Draw</t>
        </is>
      </c>
      <c r="F4695" s="5" t="n"/>
      <c r="G4695" s="5" t="n"/>
      <c r="H4695" s="5" t="n">
        <v>349</v>
      </c>
      <c r="I4695" s="5" t="n">
        <v>82</v>
      </c>
      <c r="J4695" s="5" t="n">
        <v>248</v>
      </c>
      <c r="K4695" s="10">
        <f>IF(F4695&gt;0,H4695/F4695,"")</f>
        <v/>
      </c>
      <c r="L4695" s="16">
        <f>IF(AND(G4695&gt;0,H4695&gt;0),G4695/H4695,"")</f>
        <v/>
      </c>
    </row>
    <row r="4696">
      <c r="A4696" s="4" t="inlineStr">
        <is>
          <t>700</t>
        </is>
      </c>
      <c r="B4696" s="4" t="n">
        <v>7</v>
      </c>
      <c r="C4696" s="4" t="inlineStr">
        <is>
          <t>elk</t>
        </is>
      </c>
      <c r="D4696" s="4" t="n">
        <v>2004</v>
      </c>
      <c r="E4696" s="15" t="inlineStr">
        <is>
          <t>Draw</t>
        </is>
      </c>
      <c r="F4696" s="5" t="n">
        <v>774</v>
      </c>
      <c r="G4696" s="5" t="n">
        <v>5000</v>
      </c>
      <c r="H4696" s="5" t="n">
        <v>252</v>
      </c>
      <c r="I4696" s="5" t="n">
        <v>145</v>
      </c>
      <c r="J4696" s="5" t="n">
        <v>97</v>
      </c>
      <c r="K4696" s="10">
        <f>IF(F4696&gt;0,H4696/F4696,"")</f>
        <v/>
      </c>
      <c r="L4696" s="16">
        <f>IF(AND(G4696&gt;0,H4696&gt;0),G4696/H4696,"")</f>
        <v/>
      </c>
    </row>
    <row r="4697">
      <c r="A4697" s="4" t="inlineStr">
        <is>
          <t>700</t>
        </is>
      </c>
      <c r="B4697" s="4" t="n">
        <v>7</v>
      </c>
      <c r="C4697" s="4" t="inlineStr">
        <is>
          <t>elk</t>
        </is>
      </c>
      <c r="D4697" s="4" t="n">
        <v>2005</v>
      </c>
      <c r="E4697" s="15" t="inlineStr">
        <is>
          <t>Draw</t>
        </is>
      </c>
      <c r="F4697" s="5" t="n">
        <v>987</v>
      </c>
      <c r="G4697" s="5" t="n">
        <v>6332</v>
      </c>
      <c r="H4697" s="5" t="n">
        <v>263</v>
      </c>
      <c r="I4697" s="5" t="n">
        <v>138</v>
      </c>
      <c r="J4697" s="5" t="n">
        <v>106</v>
      </c>
      <c r="K4697" s="10">
        <f>IF(F4697&gt;0,H4697/F4697,"")</f>
        <v/>
      </c>
      <c r="L4697" s="16">
        <f>IF(AND(G4697&gt;0,H4697&gt;0),G4697/H4697,"")</f>
        <v/>
      </c>
    </row>
    <row r="4698">
      <c r="A4698" s="4" t="inlineStr">
        <is>
          <t>700</t>
        </is>
      </c>
      <c r="B4698" s="4" t="n">
        <v>7</v>
      </c>
      <c r="C4698" s="4" t="inlineStr">
        <is>
          <t>elk</t>
        </is>
      </c>
      <c r="D4698" s="4" t="n">
        <v>2006</v>
      </c>
      <c r="E4698" s="15" t="inlineStr">
        <is>
          <t>Draw</t>
        </is>
      </c>
      <c r="F4698" s="5" t="n">
        <v>953</v>
      </c>
      <c r="G4698" s="5" t="n">
        <v>5513</v>
      </c>
      <c r="H4698" s="5" t="n">
        <v>404</v>
      </c>
      <c r="I4698" s="5" t="n">
        <v>197</v>
      </c>
      <c r="J4698" s="5" t="n">
        <v>179</v>
      </c>
      <c r="K4698" s="10">
        <f>IF(F4698&gt;0,H4698/F4698,"")</f>
        <v/>
      </c>
      <c r="L4698" s="16">
        <f>IF(AND(G4698&gt;0,H4698&gt;0),G4698/H4698,"")</f>
        <v/>
      </c>
    </row>
    <row r="4699">
      <c r="A4699" s="4" t="inlineStr">
        <is>
          <t>700</t>
        </is>
      </c>
      <c r="B4699" s="4" t="n">
        <v>7</v>
      </c>
      <c r="C4699" s="4" t="inlineStr">
        <is>
          <t>elk</t>
        </is>
      </c>
      <c r="D4699" s="4" t="n">
        <v>2007</v>
      </c>
      <c r="E4699" s="15" t="inlineStr">
        <is>
          <t>Draw</t>
        </is>
      </c>
      <c r="F4699" s="5" t="n">
        <v>1272</v>
      </c>
      <c r="G4699" s="5" t="n">
        <v>8254</v>
      </c>
      <c r="H4699" s="5" t="n">
        <v>332</v>
      </c>
      <c r="I4699" s="5" t="n">
        <v>191</v>
      </c>
      <c r="J4699" s="5" t="n">
        <v>123</v>
      </c>
      <c r="K4699" s="10">
        <f>IF(F4699&gt;0,H4699/F4699,"")</f>
        <v/>
      </c>
      <c r="L4699" s="16">
        <f>IF(AND(G4699&gt;0,H4699&gt;0),G4699/H4699,"")</f>
        <v/>
      </c>
    </row>
    <row r="4700">
      <c r="A4700" s="4" t="inlineStr">
        <is>
          <t>700</t>
        </is>
      </c>
      <c r="B4700" s="4" t="n">
        <v>7</v>
      </c>
      <c r="C4700" s="4" t="inlineStr">
        <is>
          <t>elk</t>
        </is>
      </c>
      <c r="D4700" s="4" t="n">
        <v>2008</v>
      </c>
      <c r="E4700" s="15" t="inlineStr">
        <is>
          <t>Draw</t>
        </is>
      </c>
      <c r="F4700" s="5" t="n">
        <v>1324</v>
      </c>
      <c r="G4700" s="5" t="n">
        <v>8929</v>
      </c>
      <c r="H4700" s="5" t="n">
        <v>381</v>
      </c>
      <c r="I4700" s="5" t="n">
        <v>199</v>
      </c>
      <c r="J4700" s="5" t="n">
        <v>168</v>
      </c>
      <c r="K4700" s="10">
        <f>IF(F4700&gt;0,H4700/F4700,"")</f>
        <v/>
      </c>
      <c r="L4700" s="16">
        <f>IF(AND(G4700&gt;0,H4700&gt;0),G4700/H4700,"")</f>
        <v/>
      </c>
    </row>
    <row r="4701">
      <c r="A4701" s="4" t="inlineStr">
        <is>
          <t>700</t>
        </is>
      </c>
      <c r="B4701" s="4" t="n">
        <v>7</v>
      </c>
      <c r="C4701" s="4" t="inlineStr">
        <is>
          <t>elk</t>
        </is>
      </c>
      <c r="D4701" s="4" t="n">
        <v>2009</v>
      </c>
      <c r="E4701" s="15" t="inlineStr">
        <is>
          <t>Draw</t>
        </is>
      </c>
      <c r="F4701" s="5" t="n">
        <v>1348</v>
      </c>
      <c r="G4701" s="5" t="n">
        <v>9013</v>
      </c>
      <c r="H4701" s="5" t="n">
        <v>408</v>
      </c>
      <c r="I4701" s="5" t="n">
        <v>218</v>
      </c>
      <c r="J4701" s="5" t="n">
        <v>173</v>
      </c>
      <c r="K4701" s="10">
        <f>IF(F4701&gt;0,H4701/F4701,"")</f>
        <v/>
      </c>
      <c r="L4701" s="16">
        <f>IF(AND(G4701&gt;0,H4701&gt;0),G4701/H4701,"")</f>
        <v/>
      </c>
    </row>
    <row r="4702">
      <c r="A4702" s="4" t="inlineStr">
        <is>
          <t>700</t>
        </is>
      </c>
      <c r="B4702" s="4" t="n">
        <v>7</v>
      </c>
      <c r="C4702" s="4" t="inlineStr">
        <is>
          <t>elk</t>
        </is>
      </c>
      <c r="D4702" s="4" t="n">
        <v>2010</v>
      </c>
      <c r="E4702" s="15" t="inlineStr">
        <is>
          <t>Draw</t>
        </is>
      </c>
      <c r="F4702" s="5" t="n">
        <v>1088</v>
      </c>
      <c r="G4702" s="5" t="n">
        <v>6584</v>
      </c>
      <c r="H4702" s="5" t="n">
        <v>387</v>
      </c>
      <c r="I4702" s="5" t="n">
        <v>181</v>
      </c>
      <c r="J4702" s="5" t="n">
        <v>192</v>
      </c>
      <c r="K4702" s="10">
        <f>IF(F4702&gt;0,H4702/F4702,"")</f>
        <v/>
      </c>
      <c r="L4702" s="16">
        <f>IF(AND(G4702&gt;0,H4702&gt;0),G4702/H4702,"")</f>
        <v/>
      </c>
    </row>
    <row r="4703">
      <c r="A4703" s="4" t="inlineStr">
        <is>
          <t>700</t>
        </is>
      </c>
      <c r="B4703" s="4" t="n">
        <v>7</v>
      </c>
      <c r="C4703" s="4" t="inlineStr">
        <is>
          <t>elk</t>
        </is>
      </c>
      <c r="D4703" s="4" t="n">
        <v>2011</v>
      </c>
      <c r="E4703" s="15" t="inlineStr">
        <is>
          <t>Draw</t>
        </is>
      </c>
      <c r="F4703" s="5" t="n">
        <v>1140</v>
      </c>
      <c r="G4703" s="5" t="n">
        <v>7521</v>
      </c>
      <c r="H4703" s="5" t="n">
        <v>486</v>
      </c>
      <c r="I4703" s="5" t="n">
        <v>144</v>
      </c>
      <c r="J4703" s="5" t="n">
        <v>315</v>
      </c>
      <c r="K4703" s="10">
        <f>IF(F4703&gt;0,H4703/F4703,"")</f>
        <v/>
      </c>
      <c r="L4703" s="16">
        <f>IF(AND(G4703&gt;0,H4703&gt;0),G4703/H4703,"")</f>
        <v/>
      </c>
    </row>
    <row r="4704">
      <c r="A4704" s="4" t="inlineStr">
        <is>
          <t>700</t>
        </is>
      </c>
      <c r="B4704" s="4" t="n">
        <v>7</v>
      </c>
      <c r="C4704" s="4" t="inlineStr">
        <is>
          <t>elk</t>
        </is>
      </c>
      <c r="D4704" s="4" t="n">
        <v>2012</v>
      </c>
      <c r="E4704" s="15" t="inlineStr">
        <is>
          <t>Draw</t>
        </is>
      </c>
      <c r="F4704" s="5" t="n">
        <v>1172</v>
      </c>
      <c r="G4704" s="5" t="n">
        <v>7533</v>
      </c>
      <c r="H4704" s="5" t="n">
        <v>423</v>
      </c>
      <c r="I4704" s="5" t="n">
        <v>179</v>
      </c>
      <c r="J4704" s="5" t="n">
        <v>220</v>
      </c>
      <c r="K4704" s="10">
        <f>IF(F4704&gt;0,H4704/F4704,"")</f>
        <v/>
      </c>
      <c r="L4704" s="16">
        <f>IF(AND(G4704&gt;0,H4704&gt;0),G4704/H4704,"")</f>
        <v/>
      </c>
    </row>
    <row r="4705">
      <c r="A4705" s="4" t="inlineStr">
        <is>
          <t>700</t>
        </is>
      </c>
      <c r="B4705" s="4" t="n">
        <v>7</v>
      </c>
      <c r="C4705" s="4" t="inlineStr">
        <is>
          <t>elk</t>
        </is>
      </c>
      <c r="D4705" s="4" t="n">
        <v>2013</v>
      </c>
      <c r="E4705" s="15" t="inlineStr">
        <is>
          <t>Draw</t>
        </is>
      </c>
      <c r="F4705" s="5" t="n"/>
      <c r="G4705" s="5" t="n"/>
      <c r="H4705" s="5" t="n">
        <v>503</v>
      </c>
      <c r="I4705" s="5" t="n">
        <v>198</v>
      </c>
      <c r="J4705" s="5" t="n">
        <v>289</v>
      </c>
      <c r="K4705" s="10">
        <f>IF(F4705&gt;0,H4705/F4705,"")</f>
        <v/>
      </c>
      <c r="L4705" s="16">
        <f>IF(AND(G4705&gt;0,H4705&gt;0),G4705/H4705,"")</f>
        <v/>
      </c>
    </row>
    <row r="4706">
      <c r="A4706" s="4" t="inlineStr">
        <is>
          <t>700</t>
        </is>
      </c>
      <c r="B4706" s="4" t="n">
        <v>7</v>
      </c>
      <c r="C4706" s="4" t="inlineStr">
        <is>
          <t>elk</t>
        </is>
      </c>
      <c r="D4706" s="4" t="n">
        <v>2014</v>
      </c>
      <c r="E4706" s="15" t="inlineStr">
        <is>
          <t>Draw</t>
        </is>
      </c>
      <c r="F4706" s="5" t="n">
        <v>1283</v>
      </c>
      <c r="G4706" s="5" t="n">
        <v>8244</v>
      </c>
      <c r="H4706" s="5" t="n">
        <v>377</v>
      </c>
      <c r="I4706" s="5" t="n">
        <v>209</v>
      </c>
      <c r="J4706" s="5" t="n">
        <v>151</v>
      </c>
      <c r="K4706" s="10">
        <f>IF(F4706&gt;0,H4706/F4706,"")</f>
        <v/>
      </c>
      <c r="L4706" s="16">
        <f>IF(AND(G4706&gt;0,H4706&gt;0),G4706/H4706,"")</f>
        <v/>
      </c>
    </row>
    <row r="4707">
      <c r="A4707" s="4" t="inlineStr">
        <is>
          <t>700</t>
        </is>
      </c>
      <c r="B4707" s="4" t="n">
        <v>7</v>
      </c>
      <c r="C4707" s="4" t="inlineStr">
        <is>
          <t>elk</t>
        </is>
      </c>
      <c r="D4707" s="4" t="n">
        <v>2015</v>
      </c>
      <c r="E4707" s="15" t="inlineStr">
        <is>
          <t>Draw</t>
        </is>
      </c>
      <c r="F4707" s="5" t="n">
        <v>1394</v>
      </c>
      <c r="G4707" s="5" t="n">
        <v>10022</v>
      </c>
      <c r="H4707" s="5" t="n">
        <v>460</v>
      </c>
      <c r="I4707" s="5" t="n">
        <v>224</v>
      </c>
      <c r="J4707" s="5" t="n">
        <v>224</v>
      </c>
      <c r="K4707" s="10">
        <f>IF(F4707&gt;0,H4707/F4707,"")</f>
        <v/>
      </c>
      <c r="L4707" s="16">
        <f>IF(AND(G4707&gt;0,H4707&gt;0),G4707/H4707,"")</f>
        <v/>
      </c>
    </row>
    <row r="4708">
      <c r="A4708" s="4" t="inlineStr">
        <is>
          <t>700</t>
        </is>
      </c>
      <c r="B4708" s="4" t="n">
        <v>7</v>
      </c>
      <c r="C4708" s="4" t="inlineStr">
        <is>
          <t>elk</t>
        </is>
      </c>
      <c r="D4708" s="4" t="n">
        <v>2016</v>
      </c>
      <c r="E4708" s="15" t="inlineStr">
        <is>
          <t>Draw</t>
        </is>
      </c>
      <c r="F4708" s="5" t="n">
        <v>1724</v>
      </c>
      <c r="G4708" s="5" t="n">
        <v>12374</v>
      </c>
      <c r="H4708" s="5" t="n">
        <v>578</v>
      </c>
      <c r="I4708" s="5" t="n">
        <v>249</v>
      </c>
      <c r="J4708" s="5" t="n">
        <v>304</v>
      </c>
      <c r="K4708" s="10">
        <f>IF(F4708&gt;0,H4708/F4708,"")</f>
        <v/>
      </c>
      <c r="L4708" s="16">
        <f>IF(AND(G4708&gt;0,H4708&gt;0),G4708/H4708,"")</f>
        <v/>
      </c>
    </row>
    <row r="4709">
      <c r="A4709" s="4" t="inlineStr">
        <is>
          <t>700</t>
        </is>
      </c>
      <c r="B4709" s="4" t="n">
        <v>7</v>
      </c>
      <c r="C4709" s="4" t="inlineStr">
        <is>
          <t>elk</t>
        </is>
      </c>
      <c r="D4709" s="4" t="n">
        <v>2017</v>
      </c>
      <c r="E4709" s="15" t="inlineStr">
        <is>
          <t>Draw</t>
        </is>
      </c>
      <c r="F4709" s="5" t="n"/>
      <c r="G4709" s="5" t="n"/>
      <c r="H4709" s="5" t="n">
        <v>489</v>
      </c>
      <c r="I4709" s="5" t="n">
        <v>201</v>
      </c>
      <c r="J4709" s="5" t="n">
        <v>270</v>
      </c>
      <c r="K4709" s="10">
        <f>IF(F4709&gt;0,H4709/F4709,"")</f>
        <v/>
      </c>
      <c r="L4709" s="16">
        <f>IF(AND(G4709&gt;0,H4709&gt;0),G4709/H4709,"")</f>
        <v/>
      </c>
    </row>
    <row r="4710">
      <c r="A4710" s="4" t="inlineStr">
        <is>
          <t>700</t>
        </is>
      </c>
      <c r="B4710" s="4" t="n">
        <v>7</v>
      </c>
      <c r="C4710" s="4" t="inlineStr">
        <is>
          <t>elk</t>
        </is>
      </c>
      <c r="D4710" s="4" t="n">
        <v>2018</v>
      </c>
      <c r="E4710" s="15" t="inlineStr">
        <is>
          <t>Draw</t>
        </is>
      </c>
      <c r="F4710" s="5" t="n">
        <v>1633</v>
      </c>
      <c r="G4710" s="5" t="n">
        <v>11076</v>
      </c>
      <c r="H4710" s="5" t="n">
        <v>535</v>
      </c>
      <c r="I4710" s="5" t="n">
        <v>257</v>
      </c>
      <c r="J4710" s="5" t="n">
        <v>257</v>
      </c>
      <c r="K4710" s="10">
        <f>IF(F4710&gt;0,H4710/F4710,"")</f>
        <v/>
      </c>
      <c r="L4710" s="16">
        <f>IF(AND(G4710&gt;0,H4710&gt;0),G4710/H4710,"")</f>
        <v/>
      </c>
    </row>
    <row r="4711">
      <c r="A4711" s="4" t="inlineStr">
        <is>
          <t>700</t>
        </is>
      </c>
      <c r="B4711" s="4" t="n">
        <v>7</v>
      </c>
      <c r="C4711" s="4" t="inlineStr">
        <is>
          <t>elk</t>
        </is>
      </c>
      <c r="D4711" s="4" t="n">
        <v>2019</v>
      </c>
      <c r="E4711" s="15" t="inlineStr">
        <is>
          <t>Draw</t>
        </is>
      </c>
      <c r="F4711" s="5" t="n"/>
      <c r="G4711" s="5" t="n"/>
      <c r="H4711" s="5" t="n">
        <v>493</v>
      </c>
      <c r="I4711" s="5" t="n">
        <v>204</v>
      </c>
      <c r="J4711" s="5" t="n">
        <v>270</v>
      </c>
      <c r="K4711" s="10">
        <f>IF(F4711&gt;0,H4711/F4711,"")</f>
        <v/>
      </c>
      <c r="L4711" s="16">
        <f>IF(AND(G4711&gt;0,H4711&gt;0),G4711/H4711,"")</f>
        <v/>
      </c>
    </row>
    <row r="4712">
      <c r="A4712" s="4" t="inlineStr">
        <is>
          <t>700</t>
        </is>
      </c>
      <c r="B4712" s="4" t="n">
        <v>7</v>
      </c>
      <c r="C4712" s="4" t="inlineStr">
        <is>
          <t>elk</t>
        </is>
      </c>
      <c r="D4712" s="4" t="n">
        <v>2020</v>
      </c>
      <c r="E4712" s="15" t="inlineStr">
        <is>
          <t>Draw</t>
        </is>
      </c>
      <c r="F4712" s="5" t="n">
        <v>1817</v>
      </c>
      <c r="G4712" s="5" t="n">
        <v>12721</v>
      </c>
      <c r="H4712" s="5" t="n">
        <v>648</v>
      </c>
      <c r="I4712" s="5" t="n">
        <v>294</v>
      </c>
      <c r="J4712" s="5" t="n">
        <v>333</v>
      </c>
      <c r="K4712" s="10">
        <f>IF(F4712&gt;0,H4712/F4712,"")</f>
        <v/>
      </c>
      <c r="L4712" s="16">
        <f>IF(AND(G4712&gt;0,H4712&gt;0),G4712/H4712,"")</f>
        <v/>
      </c>
    </row>
    <row r="4713">
      <c r="A4713" s="4" t="inlineStr">
        <is>
          <t>700</t>
        </is>
      </c>
      <c r="B4713" s="4" t="n">
        <v>7</v>
      </c>
      <c r="C4713" s="4" t="inlineStr">
        <is>
          <t>elk</t>
        </is>
      </c>
      <c r="D4713" s="4" t="n">
        <v>2021</v>
      </c>
      <c r="E4713" s="15" t="inlineStr">
        <is>
          <t>Draw</t>
        </is>
      </c>
      <c r="F4713" s="5" t="n"/>
      <c r="G4713" s="5" t="n"/>
      <c r="H4713" s="5" t="n">
        <v>499</v>
      </c>
      <c r="I4713" s="5" t="n">
        <v>237</v>
      </c>
      <c r="J4713" s="5" t="n">
        <v>262</v>
      </c>
      <c r="K4713" s="10">
        <f>IF(F4713&gt;0,H4713/F4713,"")</f>
        <v/>
      </c>
      <c r="L4713" s="16">
        <f>IF(AND(G4713&gt;0,H4713&gt;0),G4713/H4713,"")</f>
        <v/>
      </c>
    </row>
    <row r="4714">
      <c r="A4714" s="4" t="inlineStr">
        <is>
          <t>700</t>
        </is>
      </c>
      <c r="B4714" s="4" t="n">
        <v>7</v>
      </c>
      <c r="C4714" s="4" t="inlineStr">
        <is>
          <t>elk</t>
        </is>
      </c>
      <c r="D4714" s="4" t="n">
        <v>2022</v>
      </c>
      <c r="E4714" s="15" t="inlineStr">
        <is>
          <t>Draw</t>
        </is>
      </c>
      <c r="F4714" s="5" t="n">
        <v>1560</v>
      </c>
      <c r="G4714" s="5" t="n">
        <v>11716</v>
      </c>
      <c r="H4714" s="5" t="n">
        <v>499</v>
      </c>
      <c r="I4714" s="5" t="n">
        <v>267</v>
      </c>
      <c r="J4714" s="5" t="n">
        <v>222</v>
      </c>
      <c r="K4714" s="10">
        <f>IF(F4714&gt;0,H4714/F4714,"")</f>
        <v/>
      </c>
      <c r="L4714" s="16">
        <f>IF(AND(G4714&gt;0,H4714&gt;0),G4714/H4714,"")</f>
        <v/>
      </c>
    </row>
    <row r="4715">
      <c r="A4715" s="4" t="inlineStr">
        <is>
          <t>700</t>
        </is>
      </c>
      <c r="B4715" s="4" t="n">
        <v>7</v>
      </c>
      <c r="C4715" s="4" t="inlineStr">
        <is>
          <t>elk</t>
        </is>
      </c>
      <c r="D4715" s="4" t="n">
        <v>2023</v>
      </c>
      <c r="E4715" s="15" t="inlineStr">
        <is>
          <t>Draw</t>
        </is>
      </c>
      <c r="F4715" s="5" t="n"/>
      <c r="G4715" s="5" t="n"/>
      <c r="H4715" s="5" t="n">
        <v>518</v>
      </c>
      <c r="I4715" s="5" t="n">
        <v>229</v>
      </c>
      <c r="J4715" s="5" t="n">
        <v>279</v>
      </c>
      <c r="K4715" s="10">
        <f>IF(F4715&gt;0,H4715/F4715,"")</f>
        <v/>
      </c>
      <c r="L4715" s="16">
        <f>IF(AND(G4715&gt;0,H4715&gt;0),G4715/H4715,"")</f>
        <v/>
      </c>
    </row>
    <row r="4716">
      <c r="A4716" s="4" t="inlineStr">
        <is>
          <t>700</t>
        </is>
      </c>
      <c r="B4716" s="4" t="n">
        <v>7</v>
      </c>
      <c r="C4716" s="4" t="inlineStr">
        <is>
          <t>elk</t>
        </is>
      </c>
      <c r="D4716" s="4" t="n">
        <v>2024</v>
      </c>
      <c r="E4716" s="15" t="inlineStr">
        <is>
          <t>Draw</t>
        </is>
      </c>
      <c r="F4716" s="5" t="n">
        <v>1757</v>
      </c>
      <c r="G4716" s="5" t="n">
        <v>13104</v>
      </c>
      <c r="H4716" s="5" t="n">
        <v>660</v>
      </c>
      <c r="I4716" s="5" t="n">
        <v>294</v>
      </c>
      <c r="J4716" s="5" t="n">
        <v>352</v>
      </c>
      <c r="K4716" s="10">
        <f>IF(F4716&gt;0,H4716/F4716,"")</f>
        <v/>
      </c>
      <c r="L4716" s="16">
        <f>IF(AND(G4716&gt;0,H4716&gt;0),G4716/H4716,"")</f>
        <v/>
      </c>
    </row>
    <row r="4717">
      <c r="A4717" s="4" t="inlineStr">
        <is>
          <t>700</t>
        </is>
      </c>
      <c r="B4717" s="4" t="n">
        <v>7</v>
      </c>
      <c r="C4717" s="4" t="inlineStr">
        <is>
          <t>elk</t>
        </is>
      </c>
      <c r="D4717" s="4" t="n">
        <v>2025</v>
      </c>
      <c r="E4717" s="15" t="inlineStr">
        <is>
          <t>Draw</t>
        </is>
      </c>
      <c r="F4717" s="5" t="n"/>
      <c r="G4717" s="5" t="n"/>
      <c r="H4717" s="5" t="n">
        <v>588</v>
      </c>
      <c r="I4717" s="5" t="n">
        <v>297</v>
      </c>
      <c r="J4717" s="5" t="n">
        <v>279</v>
      </c>
      <c r="K4717" s="10">
        <f>IF(F4717&gt;0,H4717/F4717,"")</f>
        <v/>
      </c>
      <c r="L4717" s="16">
        <f>IF(AND(G4717&gt;0,H4717&gt;0),G4717/H4717,"")</f>
        <v/>
      </c>
    </row>
    <row r="4718">
      <c r="A4718" s="4" t="inlineStr">
        <is>
          <t>701</t>
        </is>
      </c>
      <c r="B4718" s="4" t="n">
        <v>7</v>
      </c>
      <c r="C4718" s="4" t="inlineStr">
        <is>
          <t>elk</t>
        </is>
      </c>
      <c r="D4718" s="4" t="n">
        <v>2004</v>
      </c>
      <c r="E4718" s="13" t="inlineStr">
        <is>
          <t>General</t>
        </is>
      </c>
      <c r="F4718" s="5" t="n">
        <v>88</v>
      </c>
      <c r="G4718" s="5" t="n">
        <v>414</v>
      </c>
      <c r="H4718" s="5" t="n">
        <v>13</v>
      </c>
      <c r="I4718" s="5" t="n">
        <v>8</v>
      </c>
      <c r="J4718" s="5" t="n">
        <v>5</v>
      </c>
      <c r="K4718" s="10">
        <f>IF(F4718&gt;0,H4718/F4718,"")</f>
        <v/>
      </c>
      <c r="L4718" s="16">
        <f>IF(AND(G4718&gt;0,H4718&gt;0),G4718/H4718,"")</f>
        <v/>
      </c>
    </row>
    <row r="4719">
      <c r="A4719" s="4" t="inlineStr">
        <is>
          <t>701</t>
        </is>
      </c>
      <c r="B4719" s="4" t="n">
        <v>7</v>
      </c>
      <c r="C4719" s="4" t="inlineStr">
        <is>
          <t>elk</t>
        </is>
      </c>
      <c r="D4719" s="4" t="n">
        <v>2005</v>
      </c>
      <c r="E4719" s="13" t="inlineStr">
        <is>
          <t>General</t>
        </is>
      </c>
      <c r="F4719" s="5" t="n">
        <v>91</v>
      </c>
      <c r="G4719" s="5" t="n">
        <v>563</v>
      </c>
      <c r="H4719" s="5" t="n">
        <v>14</v>
      </c>
      <c r="I4719" s="5" t="n">
        <v>7</v>
      </c>
      <c r="J4719" s="5" t="n">
        <v>7</v>
      </c>
      <c r="K4719" s="10">
        <f>IF(F4719&gt;0,H4719/F4719,"")</f>
        <v/>
      </c>
      <c r="L4719" s="16">
        <f>IF(AND(G4719&gt;0,H4719&gt;0),G4719/H4719,"")</f>
        <v/>
      </c>
    </row>
    <row r="4720">
      <c r="A4720" s="4" t="inlineStr">
        <is>
          <t>701</t>
        </is>
      </c>
      <c r="B4720" s="4" t="n">
        <v>7</v>
      </c>
      <c r="C4720" s="4" t="inlineStr">
        <is>
          <t>elk</t>
        </is>
      </c>
      <c r="D4720" s="4" t="n">
        <v>2006</v>
      </c>
      <c r="E4720" s="13" t="inlineStr">
        <is>
          <t>General</t>
        </is>
      </c>
      <c r="F4720" s="5" t="n">
        <v>128</v>
      </c>
      <c r="G4720" s="5" t="n">
        <v>841</v>
      </c>
      <c r="H4720" s="5" t="n">
        <v>21</v>
      </c>
      <c r="I4720" s="5" t="n">
        <v>12</v>
      </c>
      <c r="J4720" s="5" t="n">
        <v>10</v>
      </c>
      <c r="K4720" s="10">
        <f>IF(F4720&gt;0,H4720/F4720,"")</f>
        <v/>
      </c>
      <c r="L4720" s="16">
        <f>IF(AND(G4720&gt;0,H4720&gt;0),G4720/H4720,"")</f>
        <v/>
      </c>
    </row>
    <row r="4721">
      <c r="A4721" s="4" t="inlineStr">
        <is>
          <t>701</t>
        </is>
      </c>
      <c r="B4721" s="4" t="n">
        <v>7</v>
      </c>
      <c r="C4721" s="4" t="inlineStr">
        <is>
          <t>elk</t>
        </is>
      </c>
      <c r="D4721" s="4" t="n">
        <v>2007</v>
      </c>
      <c r="E4721" s="13" t="inlineStr">
        <is>
          <t>General</t>
        </is>
      </c>
      <c r="F4721" s="5" t="n">
        <v>112</v>
      </c>
      <c r="G4721" s="5" t="n">
        <v>634</v>
      </c>
      <c r="H4721" s="5" t="n">
        <v>29</v>
      </c>
      <c r="I4721" s="5" t="n">
        <v>13</v>
      </c>
      <c r="J4721" s="5" t="n">
        <v>16</v>
      </c>
      <c r="K4721" s="10">
        <f>IF(F4721&gt;0,H4721/F4721,"")</f>
        <v/>
      </c>
      <c r="L4721" s="16">
        <f>IF(AND(G4721&gt;0,H4721&gt;0),G4721/H4721,"")</f>
        <v/>
      </c>
    </row>
    <row r="4722">
      <c r="A4722" s="4" t="inlineStr">
        <is>
          <t>701</t>
        </is>
      </c>
      <c r="B4722" s="4" t="n">
        <v>7</v>
      </c>
      <c r="C4722" s="4" t="inlineStr">
        <is>
          <t>elk</t>
        </is>
      </c>
      <c r="D4722" s="4" t="n">
        <v>2008</v>
      </c>
      <c r="E4722" s="13" t="inlineStr">
        <is>
          <t>General</t>
        </is>
      </c>
      <c r="F4722" s="5" t="n">
        <v>204</v>
      </c>
      <c r="G4722" s="5" t="n">
        <v>1028</v>
      </c>
      <c r="H4722" s="5" t="n">
        <v>24</v>
      </c>
      <c r="I4722" s="5" t="n">
        <v>13</v>
      </c>
      <c r="J4722" s="5" t="n">
        <v>12</v>
      </c>
      <c r="K4722" s="10">
        <f>IF(F4722&gt;0,H4722/F4722,"")</f>
        <v/>
      </c>
      <c r="L4722" s="16">
        <f>IF(AND(G4722&gt;0,H4722&gt;0),G4722/H4722,"")</f>
        <v/>
      </c>
    </row>
    <row r="4723">
      <c r="A4723" s="4" t="inlineStr">
        <is>
          <t>701</t>
        </is>
      </c>
      <c r="B4723" s="4" t="n">
        <v>7</v>
      </c>
      <c r="C4723" s="4" t="inlineStr">
        <is>
          <t>elk</t>
        </is>
      </c>
      <c r="D4723" s="4" t="n">
        <v>2009</v>
      </c>
      <c r="E4723" s="13" t="inlineStr">
        <is>
          <t>General</t>
        </is>
      </c>
      <c r="F4723" s="5" t="n">
        <v>180</v>
      </c>
      <c r="G4723" s="5" t="n">
        <v>1143</v>
      </c>
      <c r="H4723" s="5" t="n">
        <v>49</v>
      </c>
      <c r="I4723" s="5" t="n">
        <v>28</v>
      </c>
      <c r="J4723" s="5" t="n">
        <v>14</v>
      </c>
      <c r="K4723" s="10">
        <f>IF(F4723&gt;0,H4723/F4723,"")</f>
        <v/>
      </c>
      <c r="L4723" s="16">
        <f>IF(AND(G4723&gt;0,H4723&gt;0),G4723/H4723,"")</f>
        <v/>
      </c>
    </row>
    <row r="4724">
      <c r="A4724" s="4" t="inlineStr">
        <is>
          <t>701</t>
        </is>
      </c>
      <c r="B4724" s="4" t="n">
        <v>7</v>
      </c>
      <c r="C4724" s="4" t="inlineStr">
        <is>
          <t>elk</t>
        </is>
      </c>
      <c r="D4724" s="4" t="n">
        <v>2010</v>
      </c>
      <c r="E4724" s="13" t="inlineStr">
        <is>
          <t>General</t>
        </is>
      </c>
      <c r="F4724" s="5" t="n">
        <v>215</v>
      </c>
      <c r="G4724" s="5" t="n">
        <v>1280</v>
      </c>
      <c r="H4724" s="5" t="n">
        <v>70</v>
      </c>
      <c r="I4724" s="5" t="n">
        <v>32</v>
      </c>
      <c r="J4724" s="5" t="n">
        <v>32</v>
      </c>
      <c r="K4724" s="10">
        <f>IF(F4724&gt;0,H4724/F4724,"")</f>
        <v/>
      </c>
      <c r="L4724" s="16">
        <f>IF(AND(G4724&gt;0,H4724&gt;0),G4724/H4724,"")</f>
        <v/>
      </c>
    </row>
    <row r="4725">
      <c r="A4725" s="4" t="inlineStr">
        <is>
          <t>701</t>
        </is>
      </c>
      <c r="B4725" s="4" t="n">
        <v>7</v>
      </c>
      <c r="C4725" s="4" t="inlineStr">
        <is>
          <t>elk</t>
        </is>
      </c>
      <c r="D4725" s="4" t="n">
        <v>2011</v>
      </c>
      <c r="E4725" s="13" t="inlineStr">
        <is>
          <t>General</t>
        </is>
      </c>
      <c r="F4725" s="5" t="n">
        <v>264</v>
      </c>
      <c r="G4725" s="5" t="n">
        <v>1543</v>
      </c>
      <c r="H4725" s="5" t="n">
        <v>59</v>
      </c>
      <c r="I4725" s="5" t="n">
        <v>29</v>
      </c>
      <c r="J4725" s="5" t="n">
        <v>31</v>
      </c>
      <c r="K4725" s="10">
        <f>IF(F4725&gt;0,H4725/F4725,"")</f>
        <v/>
      </c>
      <c r="L4725" s="16">
        <f>IF(AND(G4725&gt;0,H4725&gt;0),G4725/H4725,"")</f>
        <v/>
      </c>
    </row>
    <row r="4726">
      <c r="A4726" s="4" t="inlineStr">
        <is>
          <t>701</t>
        </is>
      </c>
      <c r="B4726" s="4" t="n">
        <v>7</v>
      </c>
      <c r="C4726" s="4" t="inlineStr">
        <is>
          <t>elk</t>
        </is>
      </c>
      <c r="D4726" s="4" t="n">
        <v>2012</v>
      </c>
      <c r="E4726" s="13" t="inlineStr">
        <is>
          <t>General</t>
        </is>
      </c>
      <c r="F4726" s="5" t="n">
        <v>300</v>
      </c>
      <c r="G4726" s="5" t="n">
        <v>1450</v>
      </c>
      <c r="H4726" s="5" t="n">
        <v>47</v>
      </c>
      <c r="I4726" s="5" t="n">
        <v>26</v>
      </c>
      <c r="J4726" s="5" t="n">
        <v>21</v>
      </c>
      <c r="K4726" s="10">
        <f>IF(F4726&gt;0,H4726/F4726,"")</f>
        <v/>
      </c>
      <c r="L4726" s="16">
        <f>IF(AND(G4726&gt;0,H4726&gt;0),G4726/H4726,"")</f>
        <v/>
      </c>
    </row>
    <row r="4727">
      <c r="A4727" s="4" t="inlineStr">
        <is>
          <t>701E</t>
        </is>
      </c>
      <c r="B4727" s="4" t="n">
        <v>7</v>
      </c>
      <c r="C4727" s="4" t="inlineStr">
        <is>
          <t>elk</t>
        </is>
      </c>
      <c r="D4727" s="4" t="n">
        <v>2013</v>
      </c>
      <c r="E4727" s="13" t="inlineStr">
        <is>
          <t>General</t>
        </is>
      </c>
      <c r="F4727" s="5" t="n"/>
      <c r="G4727" s="5" t="n"/>
      <c r="H4727" s="5" t="n">
        <v>26</v>
      </c>
      <c r="I4727" s="5" t="n">
        <v>11</v>
      </c>
      <c r="J4727" s="5" t="n">
        <v>16</v>
      </c>
      <c r="K4727" s="10">
        <f>IF(F4727&gt;0,H4727/F4727,"")</f>
        <v/>
      </c>
      <c r="L4727" s="16">
        <f>IF(AND(G4727&gt;0,H4727&gt;0),G4727/H4727,"")</f>
        <v/>
      </c>
    </row>
    <row r="4728">
      <c r="A4728" s="4" t="inlineStr">
        <is>
          <t>701E</t>
        </is>
      </c>
      <c r="B4728" s="4" t="n">
        <v>7</v>
      </c>
      <c r="C4728" s="4" t="inlineStr">
        <is>
          <t>elk</t>
        </is>
      </c>
      <c r="D4728" s="4" t="n">
        <v>2014</v>
      </c>
      <c r="E4728" s="13" t="inlineStr">
        <is>
          <t>General</t>
        </is>
      </c>
      <c r="F4728" s="5" t="n">
        <v>202</v>
      </c>
      <c r="G4728" s="5" t="n">
        <v>1091</v>
      </c>
      <c r="H4728" s="5" t="n">
        <v>26</v>
      </c>
      <c r="I4728" s="5" t="n">
        <v>15</v>
      </c>
      <c r="J4728" s="5" t="n">
        <v>11</v>
      </c>
      <c r="K4728" s="10">
        <f>IF(F4728&gt;0,H4728/F4728,"")</f>
        <v/>
      </c>
      <c r="L4728" s="16">
        <f>IF(AND(G4728&gt;0,H4728&gt;0),G4728/H4728,"")</f>
        <v/>
      </c>
    </row>
    <row r="4729">
      <c r="A4729" s="4" t="inlineStr">
        <is>
          <t>701E</t>
        </is>
      </c>
      <c r="B4729" s="4" t="n">
        <v>7</v>
      </c>
      <c r="C4729" s="4" t="inlineStr">
        <is>
          <t>elk</t>
        </is>
      </c>
      <c r="D4729" s="4" t="n">
        <v>2015</v>
      </c>
      <c r="E4729" s="13" t="inlineStr">
        <is>
          <t>General</t>
        </is>
      </c>
      <c r="F4729" s="5" t="n">
        <v>252</v>
      </c>
      <c r="G4729" s="5" t="n">
        <v>1335</v>
      </c>
      <c r="H4729" s="5" t="n">
        <v>27</v>
      </c>
      <c r="I4729" s="5" t="n">
        <v>18</v>
      </c>
      <c r="J4729" s="5" t="n">
        <v>9</v>
      </c>
      <c r="K4729" s="10">
        <f>IF(F4729&gt;0,H4729/F4729,"")</f>
        <v/>
      </c>
      <c r="L4729" s="16">
        <f>IF(AND(G4729&gt;0,H4729&gt;0),G4729/H4729,"")</f>
        <v/>
      </c>
    </row>
    <row r="4730">
      <c r="A4730" s="4" t="inlineStr">
        <is>
          <t>701E</t>
        </is>
      </c>
      <c r="B4730" s="4" t="n">
        <v>7</v>
      </c>
      <c r="C4730" s="4" t="inlineStr">
        <is>
          <t>elk</t>
        </is>
      </c>
      <c r="D4730" s="4" t="n">
        <v>2016</v>
      </c>
      <c r="E4730" s="13" t="inlineStr">
        <is>
          <t>General</t>
        </is>
      </c>
      <c r="F4730" s="5" t="n">
        <v>256</v>
      </c>
      <c r="G4730" s="5" t="n">
        <v>1629</v>
      </c>
      <c r="H4730" s="5" t="n">
        <v>38</v>
      </c>
      <c r="I4730" s="5" t="n">
        <v>16</v>
      </c>
      <c r="J4730" s="5" t="n">
        <v>16</v>
      </c>
      <c r="K4730" s="10">
        <f>IF(F4730&gt;0,H4730/F4730,"")</f>
        <v/>
      </c>
      <c r="L4730" s="16">
        <f>IF(AND(G4730&gt;0,H4730&gt;0),G4730/H4730,"")</f>
        <v/>
      </c>
    </row>
    <row r="4731">
      <c r="A4731" s="4" t="inlineStr">
        <is>
          <t>701E</t>
        </is>
      </c>
      <c r="B4731" s="4" t="n">
        <v>7</v>
      </c>
      <c r="C4731" s="4" t="inlineStr">
        <is>
          <t>elk</t>
        </is>
      </c>
      <c r="D4731" s="4" t="n">
        <v>2017</v>
      </c>
      <c r="E4731" s="13" t="inlineStr">
        <is>
          <t>General</t>
        </is>
      </c>
      <c r="F4731" s="5" t="n"/>
      <c r="G4731" s="5" t="n"/>
      <c r="H4731" s="5" t="n">
        <v>50</v>
      </c>
      <c r="I4731" s="5" t="n">
        <v>40</v>
      </c>
      <c r="J4731" s="5" t="n">
        <v>8</v>
      </c>
      <c r="K4731" s="10">
        <f>IF(F4731&gt;0,H4731/F4731,"")</f>
        <v/>
      </c>
      <c r="L4731" s="16">
        <f>IF(AND(G4731&gt;0,H4731&gt;0),G4731/H4731,"")</f>
        <v/>
      </c>
    </row>
    <row r="4732">
      <c r="A4732" s="4" t="inlineStr">
        <is>
          <t>701E</t>
        </is>
      </c>
      <c r="B4732" s="4" t="n">
        <v>7</v>
      </c>
      <c r="C4732" s="4" t="inlineStr">
        <is>
          <t>elk</t>
        </is>
      </c>
      <c r="D4732" s="4" t="n">
        <v>2019</v>
      </c>
      <c r="E4732" s="13" t="inlineStr">
        <is>
          <t>General</t>
        </is>
      </c>
      <c r="F4732" s="5" t="n"/>
      <c r="G4732" s="5" t="n"/>
      <c r="H4732" s="5" t="n">
        <v>70</v>
      </c>
      <c r="I4732" s="5" t="n">
        <v>49</v>
      </c>
      <c r="J4732" s="5" t="n">
        <v>17</v>
      </c>
      <c r="K4732" s="10">
        <f>IF(F4732&gt;0,H4732/F4732,"")</f>
        <v/>
      </c>
      <c r="L4732" s="16">
        <f>IF(AND(G4732&gt;0,H4732&gt;0),G4732/H4732,"")</f>
        <v/>
      </c>
    </row>
    <row r="4733">
      <c r="A4733" s="4" t="inlineStr">
        <is>
          <t>701E</t>
        </is>
      </c>
      <c r="B4733" s="4" t="n">
        <v>7</v>
      </c>
      <c r="C4733" s="4" t="inlineStr">
        <is>
          <t>elk</t>
        </is>
      </c>
      <c r="D4733" s="4" t="n">
        <v>2020</v>
      </c>
      <c r="E4733" s="13" t="inlineStr">
        <is>
          <t>General</t>
        </is>
      </c>
      <c r="F4733" s="5" t="n">
        <v>378</v>
      </c>
      <c r="G4733" s="5" t="n">
        <v>2195</v>
      </c>
      <c r="H4733" s="5" t="n">
        <v>83</v>
      </c>
      <c r="I4733" s="5" t="n">
        <v>62</v>
      </c>
      <c r="J4733" s="5" t="n">
        <v>17</v>
      </c>
      <c r="K4733" s="10">
        <f>IF(F4733&gt;0,H4733/F4733,"")</f>
        <v/>
      </c>
      <c r="L4733" s="16">
        <f>IF(AND(G4733&gt;0,H4733&gt;0),G4733/H4733,"")</f>
        <v/>
      </c>
    </row>
    <row r="4734">
      <c r="A4734" s="4" t="inlineStr">
        <is>
          <t>701E</t>
        </is>
      </c>
      <c r="B4734" s="4" t="n">
        <v>7</v>
      </c>
      <c r="C4734" s="4" t="inlineStr">
        <is>
          <t>elk</t>
        </is>
      </c>
      <c r="D4734" s="4" t="n">
        <v>2021</v>
      </c>
      <c r="E4734" s="13" t="inlineStr">
        <is>
          <t>General</t>
        </is>
      </c>
      <c r="F4734" s="5" t="n"/>
      <c r="G4734" s="5" t="n"/>
      <c r="H4734" s="5" t="n">
        <v>114</v>
      </c>
      <c r="I4734" s="5" t="n">
        <v>78</v>
      </c>
      <c r="J4734" s="5" t="n">
        <v>36</v>
      </c>
      <c r="K4734" s="10">
        <f>IF(F4734&gt;0,H4734/F4734,"")</f>
        <v/>
      </c>
      <c r="L4734" s="16">
        <f>IF(AND(G4734&gt;0,H4734&gt;0),G4734/H4734,"")</f>
        <v/>
      </c>
    </row>
    <row r="4735">
      <c r="A4735" s="4" t="inlineStr">
        <is>
          <t>701E</t>
        </is>
      </c>
      <c r="B4735" s="4" t="n">
        <v>7</v>
      </c>
      <c r="C4735" s="4" t="inlineStr">
        <is>
          <t>elk</t>
        </is>
      </c>
      <c r="D4735" s="4" t="n">
        <v>2022</v>
      </c>
      <c r="E4735" s="13" t="inlineStr">
        <is>
          <t>General</t>
        </is>
      </c>
      <c r="F4735" s="5" t="n">
        <v>363</v>
      </c>
      <c r="G4735" s="5" t="n">
        <v>2440</v>
      </c>
      <c r="H4735" s="5" t="n">
        <v>77</v>
      </c>
      <c r="I4735" s="5" t="n">
        <v>46</v>
      </c>
      <c r="J4735" s="5" t="n">
        <v>31</v>
      </c>
      <c r="K4735" s="10">
        <f>IF(F4735&gt;0,H4735/F4735,"")</f>
        <v/>
      </c>
      <c r="L4735" s="16">
        <f>IF(AND(G4735&gt;0,H4735&gt;0),G4735/H4735,"")</f>
        <v/>
      </c>
    </row>
    <row r="4736">
      <c r="A4736" s="4" t="inlineStr">
        <is>
          <t>701E</t>
        </is>
      </c>
      <c r="B4736" s="4" t="n">
        <v>7</v>
      </c>
      <c r="C4736" s="4" t="inlineStr">
        <is>
          <t>elk</t>
        </is>
      </c>
      <c r="D4736" s="4" t="n">
        <v>2023</v>
      </c>
      <c r="E4736" s="13" t="inlineStr">
        <is>
          <t>General</t>
        </is>
      </c>
      <c r="F4736" s="5" t="n"/>
      <c r="G4736" s="5" t="n"/>
      <c r="H4736" s="5" t="n">
        <v>92</v>
      </c>
      <c r="I4736" s="5" t="n">
        <v>59</v>
      </c>
      <c r="J4736" s="5" t="n">
        <v>33</v>
      </c>
      <c r="K4736" s="10">
        <f>IF(F4736&gt;0,H4736/F4736,"")</f>
        <v/>
      </c>
      <c r="L4736" s="16">
        <f>IF(AND(G4736&gt;0,H4736&gt;0),G4736/H4736,"")</f>
        <v/>
      </c>
    </row>
    <row r="4737">
      <c r="A4737" s="4" t="inlineStr">
        <is>
          <t>701E</t>
        </is>
      </c>
      <c r="B4737" s="4" t="n">
        <v>7</v>
      </c>
      <c r="C4737" s="4" t="inlineStr">
        <is>
          <t>elk</t>
        </is>
      </c>
      <c r="D4737" s="4" t="n">
        <v>2024</v>
      </c>
      <c r="E4737" s="13" t="inlineStr">
        <is>
          <t>General</t>
        </is>
      </c>
      <c r="F4737" s="5" t="n">
        <v>483</v>
      </c>
      <c r="G4737" s="5" t="n">
        <v>2732</v>
      </c>
      <c r="H4737" s="5" t="n">
        <v>105</v>
      </c>
      <c r="I4737" s="5" t="n">
        <v>57</v>
      </c>
      <c r="J4737" s="5" t="n">
        <v>44</v>
      </c>
      <c r="K4737" s="10">
        <f>IF(F4737&gt;0,H4737/F4737,"")</f>
        <v/>
      </c>
      <c r="L4737" s="16">
        <f>IF(AND(G4737&gt;0,H4737&gt;0),G4737/H4737,"")</f>
        <v/>
      </c>
    </row>
    <row r="4738">
      <c r="A4738" s="4" t="inlineStr">
        <is>
          <t>701E</t>
        </is>
      </c>
      <c r="B4738" s="4" t="n">
        <v>7</v>
      </c>
      <c r="C4738" s="4" t="inlineStr">
        <is>
          <t>elk</t>
        </is>
      </c>
      <c r="D4738" s="4" t="n">
        <v>2025</v>
      </c>
      <c r="E4738" s="13" t="inlineStr">
        <is>
          <t>General</t>
        </is>
      </c>
      <c r="F4738" s="5" t="n"/>
      <c r="G4738" s="5" t="n"/>
      <c r="H4738" s="5" t="n">
        <v>102</v>
      </c>
      <c r="I4738" s="5" t="n">
        <v>57</v>
      </c>
      <c r="J4738" s="5" t="n">
        <v>45</v>
      </c>
      <c r="K4738" s="10">
        <f>IF(F4738&gt;0,H4738/F4738,"")</f>
        <v/>
      </c>
      <c r="L4738" s="16">
        <f>IF(AND(G4738&gt;0,H4738&gt;0),G4738/H4738,"")</f>
        <v/>
      </c>
    </row>
    <row r="4739">
      <c r="A4739" s="4" t="inlineStr">
        <is>
          <t>701W</t>
        </is>
      </c>
      <c r="B4739" s="4" t="n">
        <v>7</v>
      </c>
      <c r="C4739" s="4" t="inlineStr">
        <is>
          <t>elk</t>
        </is>
      </c>
      <c r="D4739" s="4" t="n">
        <v>2013</v>
      </c>
      <c r="E4739" s="13" t="inlineStr">
        <is>
          <t>General</t>
        </is>
      </c>
      <c r="F4739" s="5" t="n"/>
      <c r="G4739" s="5" t="n"/>
      <c r="H4739" s="5" t="n">
        <v>17</v>
      </c>
      <c r="I4739" s="5" t="n">
        <v>9</v>
      </c>
      <c r="J4739" s="5" t="n">
        <v>8</v>
      </c>
      <c r="K4739" s="10">
        <f>IF(F4739&gt;0,H4739/F4739,"")</f>
        <v/>
      </c>
      <c r="L4739" s="16">
        <f>IF(AND(G4739&gt;0,H4739&gt;0),G4739/H4739,"")</f>
        <v/>
      </c>
    </row>
    <row r="4740">
      <c r="A4740" s="4" t="inlineStr">
        <is>
          <t>701W</t>
        </is>
      </c>
      <c r="B4740" s="4" t="n">
        <v>7</v>
      </c>
      <c r="C4740" s="4" t="inlineStr">
        <is>
          <t>elk</t>
        </is>
      </c>
      <c r="D4740" s="4" t="n">
        <v>2014</v>
      </c>
      <c r="E4740" s="13" t="inlineStr">
        <is>
          <t>General</t>
        </is>
      </c>
      <c r="F4740" s="5" t="n">
        <v>107</v>
      </c>
      <c r="G4740" s="5" t="n">
        <v>561</v>
      </c>
      <c r="H4740" s="5" t="n">
        <v>31</v>
      </c>
      <c r="I4740" s="5" t="n">
        <v>8</v>
      </c>
      <c r="J4740" s="5" t="n">
        <v>17</v>
      </c>
      <c r="K4740" s="10">
        <f>IF(F4740&gt;0,H4740/F4740,"")</f>
        <v/>
      </c>
      <c r="L4740" s="16">
        <f>IF(AND(G4740&gt;0,H4740&gt;0),G4740/H4740,"")</f>
        <v/>
      </c>
    </row>
    <row r="4741">
      <c r="A4741" s="4" t="inlineStr">
        <is>
          <t>701W</t>
        </is>
      </c>
      <c r="B4741" s="4" t="n">
        <v>7</v>
      </c>
      <c r="C4741" s="4" t="inlineStr">
        <is>
          <t>elk</t>
        </is>
      </c>
      <c r="D4741" s="4" t="n">
        <v>2015</v>
      </c>
      <c r="E4741" s="13" t="inlineStr">
        <is>
          <t>General</t>
        </is>
      </c>
      <c r="F4741" s="5" t="n">
        <v>141</v>
      </c>
      <c r="G4741" s="5" t="n">
        <v>932</v>
      </c>
      <c r="H4741" s="5" t="n">
        <v>10</v>
      </c>
      <c r="I4741" s="5" t="n">
        <v>2</v>
      </c>
      <c r="J4741" s="5" t="n">
        <v>8</v>
      </c>
      <c r="K4741" s="10">
        <f>IF(F4741&gt;0,H4741/F4741,"")</f>
        <v/>
      </c>
      <c r="L4741" s="16">
        <f>IF(AND(G4741&gt;0,H4741&gt;0),G4741/H4741,"")</f>
        <v/>
      </c>
    </row>
    <row r="4742">
      <c r="A4742" s="4" t="inlineStr">
        <is>
          <t>701W</t>
        </is>
      </c>
      <c r="B4742" s="4" t="n">
        <v>7</v>
      </c>
      <c r="C4742" s="4" t="inlineStr">
        <is>
          <t>elk</t>
        </is>
      </c>
      <c r="D4742" s="4" t="n">
        <v>2016</v>
      </c>
      <c r="E4742" s="13" t="inlineStr">
        <is>
          <t>General</t>
        </is>
      </c>
      <c r="F4742" s="5" t="n">
        <v>145</v>
      </c>
      <c r="G4742" s="5" t="n">
        <v>854</v>
      </c>
      <c r="H4742" s="5" t="n">
        <v>30</v>
      </c>
      <c r="I4742" s="5" t="n">
        <v>25</v>
      </c>
      <c r="J4742" s="5" t="n">
        <v>5</v>
      </c>
      <c r="K4742" s="10">
        <f>IF(F4742&gt;0,H4742/F4742,"")</f>
        <v/>
      </c>
      <c r="L4742" s="16">
        <f>IF(AND(G4742&gt;0,H4742&gt;0),G4742/H4742,"")</f>
        <v/>
      </c>
    </row>
    <row r="4743">
      <c r="A4743" s="4" t="inlineStr">
        <is>
          <t>701W</t>
        </is>
      </c>
      <c r="B4743" s="4" t="n">
        <v>7</v>
      </c>
      <c r="C4743" s="4" t="inlineStr">
        <is>
          <t>elk</t>
        </is>
      </c>
      <c r="D4743" s="4" t="n">
        <v>2017</v>
      </c>
      <c r="E4743" s="13" t="inlineStr">
        <is>
          <t>General</t>
        </is>
      </c>
      <c r="F4743" s="5" t="n"/>
      <c r="G4743" s="5" t="n"/>
      <c r="H4743" s="5" t="n">
        <v>34</v>
      </c>
      <c r="I4743" s="5" t="n">
        <v>14</v>
      </c>
      <c r="J4743" s="5" t="n">
        <v>18</v>
      </c>
      <c r="K4743" s="10">
        <f>IF(F4743&gt;0,H4743/F4743,"")</f>
        <v/>
      </c>
      <c r="L4743" s="16">
        <f>IF(AND(G4743&gt;0,H4743&gt;0),G4743/H4743,"")</f>
        <v/>
      </c>
    </row>
    <row r="4744">
      <c r="A4744" s="4" t="inlineStr">
        <is>
          <t>701W</t>
        </is>
      </c>
      <c r="B4744" s="4" t="n">
        <v>7</v>
      </c>
      <c r="C4744" s="4" t="inlineStr">
        <is>
          <t>elk</t>
        </is>
      </c>
      <c r="D4744" s="4" t="n">
        <v>2018</v>
      </c>
      <c r="E4744" s="13" t="inlineStr">
        <is>
          <t>General</t>
        </is>
      </c>
      <c r="F4744" s="5" t="n">
        <v>174</v>
      </c>
      <c r="G4744" s="5" t="n">
        <v>967</v>
      </c>
      <c r="H4744" s="5" t="n">
        <v>33</v>
      </c>
      <c r="I4744" s="5" t="n">
        <v>18</v>
      </c>
      <c r="J4744" s="5" t="n">
        <v>15</v>
      </c>
      <c r="K4744" s="10">
        <f>IF(F4744&gt;0,H4744/F4744,"")</f>
        <v/>
      </c>
      <c r="L4744" s="16">
        <f>IF(AND(G4744&gt;0,H4744&gt;0),G4744/H4744,"")</f>
        <v/>
      </c>
    </row>
    <row r="4745">
      <c r="A4745" s="4" t="inlineStr">
        <is>
          <t>701W</t>
        </is>
      </c>
      <c r="B4745" s="4" t="n">
        <v>7</v>
      </c>
      <c r="C4745" s="4" t="inlineStr">
        <is>
          <t>elk</t>
        </is>
      </c>
      <c r="D4745" s="4" t="n">
        <v>2019</v>
      </c>
      <c r="E4745" s="13" t="inlineStr">
        <is>
          <t>General</t>
        </is>
      </c>
      <c r="F4745" s="5" t="n"/>
      <c r="G4745" s="5" t="n"/>
      <c r="H4745" s="5" t="n">
        <v>22</v>
      </c>
      <c r="I4745" s="5" t="n">
        <v>11</v>
      </c>
      <c r="J4745" s="5" t="n">
        <v>9</v>
      </c>
      <c r="K4745" s="10">
        <f>IF(F4745&gt;0,H4745/F4745,"")</f>
        <v/>
      </c>
      <c r="L4745" s="16">
        <f>IF(AND(G4745&gt;0,H4745&gt;0),G4745/H4745,"")</f>
        <v/>
      </c>
    </row>
    <row r="4746">
      <c r="A4746" s="4" t="inlineStr">
        <is>
          <t>701W</t>
        </is>
      </c>
      <c r="B4746" s="4" t="n">
        <v>7</v>
      </c>
      <c r="C4746" s="4" t="inlineStr">
        <is>
          <t>elk</t>
        </is>
      </c>
      <c r="D4746" s="4" t="n">
        <v>2020</v>
      </c>
      <c r="E4746" s="13" t="inlineStr">
        <is>
          <t>General</t>
        </is>
      </c>
      <c r="F4746" s="5" t="n">
        <v>278</v>
      </c>
      <c r="G4746" s="5" t="n">
        <v>1655</v>
      </c>
      <c r="H4746" s="5" t="n">
        <v>98</v>
      </c>
      <c r="I4746" s="5" t="n">
        <v>59</v>
      </c>
      <c r="J4746" s="5" t="n">
        <v>35</v>
      </c>
      <c r="K4746" s="10">
        <f>IF(F4746&gt;0,H4746/F4746,"")</f>
        <v/>
      </c>
      <c r="L4746" s="16">
        <f>IF(AND(G4746&gt;0,H4746&gt;0),G4746/H4746,"")</f>
        <v/>
      </c>
    </row>
    <row r="4747">
      <c r="A4747" s="4" t="inlineStr">
        <is>
          <t>701W</t>
        </is>
      </c>
      <c r="B4747" s="4" t="n">
        <v>7</v>
      </c>
      <c r="C4747" s="4" t="inlineStr">
        <is>
          <t>elk</t>
        </is>
      </c>
      <c r="D4747" s="4" t="n">
        <v>2021</v>
      </c>
      <c r="E4747" s="13" t="inlineStr">
        <is>
          <t>General</t>
        </is>
      </c>
      <c r="F4747" s="5" t="n"/>
      <c r="G4747" s="5" t="n"/>
      <c r="H4747" s="5" t="n">
        <v>17</v>
      </c>
      <c r="I4747" s="5" t="n">
        <v>6</v>
      </c>
      <c r="J4747" s="5" t="n">
        <v>11</v>
      </c>
      <c r="K4747" s="10">
        <f>IF(F4747&gt;0,H4747/F4747,"")</f>
        <v/>
      </c>
      <c r="L4747" s="16">
        <f>IF(AND(G4747&gt;0,H4747&gt;0),G4747/H4747,"")</f>
        <v/>
      </c>
    </row>
    <row r="4748">
      <c r="A4748" s="4" t="inlineStr">
        <is>
          <t>701W</t>
        </is>
      </c>
      <c r="B4748" s="4" t="n">
        <v>7</v>
      </c>
      <c r="C4748" s="4" t="inlineStr">
        <is>
          <t>elk</t>
        </is>
      </c>
      <c r="D4748" s="4" t="n">
        <v>2022</v>
      </c>
      <c r="E4748" s="13" t="inlineStr">
        <is>
          <t>General</t>
        </is>
      </c>
      <c r="F4748" s="5" t="n">
        <v>140</v>
      </c>
      <c r="G4748" s="5" t="n">
        <v>777</v>
      </c>
      <c r="H4748" s="5" t="n">
        <v>17</v>
      </c>
      <c r="I4748" s="5" t="n">
        <v>12</v>
      </c>
      <c r="J4748" s="5" t="n">
        <v>6</v>
      </c>
      <c r="K4748" s="10">
        <f>IF(F4748&gt;0,H4748/F4748,"")</f>
        <v/>
      </c>
      <c r="L4748" s="16">
        <f>IF(AND(G4748&gt;0,H4748&gt;0),G4748/H4748,"")</f>
        <v/>
      </c>
    </row>
    <row r="4749">
      <c r="A4749" s="4" t="inlineStr">
        <is>
          <t>701W</t>
        </is>
      </c>
      <c r="B4749" s="4" t="n">
        <v>7</v>
      </c>
      <c r="C4749" s="4" t="inlineStr">
        <is>
          <t>elk</t>
        </is>
      </c>
      <c r="D4749" s="4" t="n">
        <v>2023</v>
      </c>
      <c r="E4749" s="13" t="inlineStr">
        <is>
          <t>General</t>
        </is>
      </c>
      <c r="F4749" s="5" t="n"/>
      <c r="G4749" s="5" t="n"/>
      <c r="H4749" s="5" t="n">
        <v>42</v>
      </c>
      <c r="I4749" s="5" t="n">
        <v>24</v>
      </c>
      <c r="J4749" s="5" t="n">
        <v>18</v>
      </c>
      <c r="K4749" s="10">
        <f>IF(F4749&gt;0,H4749/F4749,"")</f>
        <v/>
      </c>
      <c r="L4749" s="16">
        <f>IF(AND(G4749&gt;0,H4749&gt;0),G4749/H4749,"")</f>
        <v/>
      </c>
    </row>
    <row r="4750">
      <c r="A4750" s="4" t="inlineStr">
        <is>
          <t>701W</t>
        </is>
      </c>
      <c r="B4750" s="4" t="n">
        <v>7</v>
      </c>
      <c r="C4750" s="4" t="inlineStr">
        <is>
          <t>elk</t>
        </is>
      </c>
      <c r="D4750" s="4" t="n">
        <v>2024</v>
      </c>
      <c r="E4750" s="13" t="inlineStr">
        <is>
          <t>General</t>
        </is>
      </c>
      <c r="F4750" s="5" t="n">
        <v>219</v>
      </c>
      <c r="G4750" s="5" t="n">
        <v>1514</v>
      </c>
      <c r="H4750" s="5" t="n">
        <v>73</v>
      </c>
      <c r="I4750" s="5" t="n">
        <v>30</v>
      </c>
      <c r="J4750" s="5" t="n">
        <v>39</v>
      </c>
      <c r="K4750" s="10">
        <f>IF(F4750&gt;0,H4750/F4750,"")</f>
        <v/>
      </c>
      <c r="L4750" s="16">
        <f>IF(AND(G4750&gt;0,H4750&gt;0),G4750/H4750,"")</f>
        <v/>
      </c>
    </row>
    <row r="4751">
      <c r="A4751" s="4" t="inlineStr">
        <is>
          <t>701W</t>
        </is>
      </c>
      <c r="B4751" s="4" t="n">
        <v>7</v>
      </c>
      <c r="C4751" s="4" t="inlineStr">
        <is>
          <t>elk</t>
        </is>
      </c>
      <c r="D4751" s="4" t="n">
        <v>2025</v>
      </c>
      <c r="E4751" s="13" t="inlineStr">
        <is>
          <t>General</t>
        </is>
      </c>
      <c r="F4751" s="5" t="n"/>
      <c r="G4751" s="5" t="n"/>
      <c r="H4751" s="5" t="n">
        <v>37</v>
      </c>
      <c r="I4751" s="5" t="n">
        <v>21</v>
      </c>
      <c r="J4751" s="5" t="n">
        <v>16</v>
      </c>
      <c r="K4751" s="10">
        <f>IF(F4751&gt;0,H4751/F4751,"")</f>
        <v/>
      </c>
      <c r="L4751" s="16">
        <f>IF(AND(G4751&gt;0,H4751&gt;0),G4751/H4751,"")</f>
        <v/>
      </c>
    </row>
    <row r="4752">
      <c r="A4752" s="4" t="inlineStr">
        <is>
          <t>702</t>
        </is>
      </c>
      <c r="B4752" s="4" t="n">
        <v>7</v>
      </c>
      <c r="C4752" s="4" t="inlineStr">
        <is>
          <t>elk</t>
        </is>
      </c>
      <c r="D4752" s="4" t="n">
        <v>2004</v>
      </c>
      <c r="E4752" s="13" t="inlineStr">
        <is>
          <t>General</t>
        </is>
      </c>
      <c r="F4752" s="5" t="n">
        <v>198</v>
      </c>
      <c r="G4752" s="5" t="n">
        <v>1210</v>
      </c>
      <c r="H4752" s="5" t="n">
        <v>36</v>
      </c>
      <c r="I4752" s="5" t="n">
        <v>14</v>
      </c>
      <c r="J4752" s="5" t="n">
        <v>23</v>
      </c>
      <c r="K4752" s="10">
        <f>IF(F4752&gt;0,H4752/F4752,"")</f>
        <v/>
      </c>
      <c r="L4752" s="16">
        <f>IF(AND(G4752&gt;0,H4752&gt;0),G4752/H4752,"")</f>
        <v/>
      </c>
    </row>
    <row r="4753">
      <c r="A4753" s="4" t="inlineStr">
        <is>
          <t>702</t>
        </is>
      </c>
      <c r="B4753" s="4" t="n">
        <v>7</v>
      </c>
      <c r="C4753" s="4" t="inlineStr">
        <is>
          <t>elk</t>
        </is>
      </c>
      <c r="D4753" s="4" t="n">
        <v>2005</v>
      </c>
      <c r="E4753" s="13" t="inlineStr">
        <is>
          <t>General</t>
        </is>
      </c>
      <c r="F4753" s="5" t="n">
        <v>150</v>
      </c>
      <c r="G4753" s="5" t="n">
        <v>682</v>
      </c>
      <c r="H4753" s="5" t="n">
        <v>35</v>
      </c>
      <c r="I4753" s="5" t="n">
        <v>9</v>
      </c>
      <c r="J4753" s="5" t="n">
        <v>27</v>
      </c>
      <c r="K4753" s="10">
        <f>IF(F4753&gt;0,H4753/F4753,"")</f>
        <v/>
      </c>
      <c r="L4753" s="16">
        <f>IF(AND(G4753&gt;0,H4753&gt;0),G4753/H4753,"")</f>
        <v/>
      </c>
    </row>
    <row r="4754">
      <c r="A4754" s="4" t="inlineStr">
        <is>
          <t>702</t>
        </is>
      </c>
      <c r="B4754" s="4" t="n">
        <v>7</v>
      </c>
      <c r="C4754" s="4" t="inlineStr">
        <is>
          <t>elk</t>
        </is>
      </c>
      <c r="D4754" s="4" t="n">
        <v>2006</v>
      </c>
      <c r="E4754" s="13" t="inlineStr">
        <is>
          <t>General</t>
        </is>
      </c>
      <c r="F4754" s="5" t="n">
        <v>180</v>
      </c>
      <c r="G4754" s="5" t="n">
        <v>913</v>
      </c>
      <c r="H4754" s="5" t="n">
        <v>37</v>
      </c>
      <c r="I4754" s="5" t="n">
        <v>15</v>
      </c>
      <c r="J4754" s="5" t="n">
        <v>22</v>
      </c>
      <c r="K4754" s="10">
        <f>IF(F4754&gt;0,H4754/F4754,"")</f>
        <v/>
      </c>
      <c r="L4754" s="16">
        <f>IF(AND(G4754&gt;0,H4754&gt;0),G4754/H4754,"")</f>
        <v/>
      </c>
    </row>
    <row r="4755">
      <c r="A4755" s="4" t="inlineStr">
        <is>
          <t>702</t>
        </is>
      </c>
      <c r="B4755" s="4" t="n">
        <v>7</v>
      </c>
      <c r="C4755" s="4" t="inlineStr">
        <is>
          <t>elk</t>
        </is>
      </c>
      <c r="D4755" s="4" t="n">
        <v>2007</v>
      </c>
      <c r="E4755" s="13" t="inlineStr">
        <is>
          <t>General</t>
        </is>
      </c>
      <c r="F4755" s="5" t="n">
        <v>226</v>
      </c>
      <c r="G4755" s="5" t="n">
        <v>1421</v>
      </c>
      <c r="H4755" s="5" t="n">
        <v>23</v>
      </c>
      <c r="I4755" s="5" t="n">
        <v>21</v>
      </c>
      <c r="J4755" s="5" t="n">
        <v>2</v>
      </c>
      <c r="K4755" s="10">
        <f>IF(F4755&gt;0,H4755/F4755,"")</f>
        <v/>
      </c>
      <c r="L4755" s="16">
        <f>IF(AND(G4755&gt;0,H4755&gt;0),G4755/H4755,"")</f>
        <v/>
      </c>
    </row>
    <row r="4756">
      <c r="A4756" s="4" t="inlineStr">
        <is>
          <t>702</t>
        </is>
      </c>
      <c r="B4756" s="4" t="n">
        <v>7</v>
      </c>
      <c r="C4756" s="4" t="inlineStr">
        <is>
          <t>elk</t>
        </is>
      </c>
      <c r="D4756" s="4" t="n">
        <v>2008</v>
      </c>
      <c r="E4756" s="13" t="inlineStr">
        <is>
          <t>General</t>
        </is>
      </c>
      <c r="F4756" s="5" t="n">
        <v>254</v>
      </c>
      <c r="G4756" s="5" t="n">
        <v>1602</v>
      </c>
      <c r="H4756" s="5" t="n">
        <v>48</v>
      </c>
      <c r="I4756" s="5" t="n">
        <v>25</v>
      </c>
      <c r="J4756" s="5" t="n">
        <v>24</v>
      </c>
      <c r="K4756" s="10">
        <f>IF(F4756&gt;0,H4756/F4756,"")</f>
        <v/>
      </c>
      <c r="L4756" s="16">
        <f>IF(AND(G4756&gt;0,H4756&gt;0),G4756/H4756,"")</f>
        <v/>
      </c>
    </row>
    <row r="4757">
      <c r="A4757" s="4" t="inlineStr">
        <is>
          <t>702</t>
        </is>
      </c>
      <c r="B4757" s="4" t="n">
        <v>7</v>
      </c>
      <c r="C4757" s="4" t="inlineStr">
        <is>
          <t>elk</t>
        </is>
      </c>
      <c r="D4757" s="4" t="n">
        <v>2009</v>
      </c>
      <c r="E4757" s="13" t="inlineStr">
        <is>
          <t>General</t>
        </is>
      </c>
      <c r="F4757" s="5" t="n">
        <v>275</v>
      </c>
      <c r="G4757" s="5" t="n">
        <v>1571</v>
      </c>
      <c r="H4757" s="5" t="n">
        <v>43</v>
      </c>
      <c r="I4757" s="5" t="n">
        <v>35</v>
      </c>
      <c r="J4757" s="5" t="n">
        <v>8</v>
      </c>
      <c r="K4757" s="10">
        <f>IF(F4757&gt;0,H4757/F4757,"")</f>
        <v/>
      </c>
      <c r="L4757" s="16">
        <f>IF(AND(G4757&gt;0,H4757&gt;0),G4757/H4757,"")</f>
        <v/>
      </c>
    </row>
    <row r="4758">
      <c r="A4758" s="4" t="inlineStr">
        <is>
          <t>702</t>
        </is>
      </c>
      <c r="B4758" s="4" t="n">
        <v>7</v>
      </c>
      <c r="C4758" s="4" t="inlineStr">
        <is>
          <t>elk</t>
        </is>
      </c>
      <c r="D4758" s="4" t="n">
        <v>2010</v>
      </c>
      <c r="E4758" s="13" t="inlineStr">
        <is>
          <t>General</t>
        </is>
      </c>
      <c r="F4758" s="5" t="n">
        <v>326</v>
      </c>
      <c r="G4758" s="5" t="n">
        <v>1904</v>
      </c>
      <c r="H4758" s="5" t="n">
        <v>85</v>
      </c>
      <c r="I4758" s="5" t="n">
        <v>34</v>
      </c>
      <c r="J4758" s="5" t="n">
        <v>46</v>
      </c>
      <c r="K4758" s="10">
        <f>IF(F4758&gt;0,H4758/F4758,"")</f>
        <v/>
      </c>
      <c r="L4758" s="16">
        <f>IF(AND(G4758&gt;0,H4758&gt;0),G4758/H4758,"")</f>
        <v/>
      </c>
    </row>
    <row r="4759">
      <c r="A4759" s="4" t="inlineStr">
        <is>
          <t>702</t>
        </is>
      </c>
      <c r="B4759" s="4" t="n">
        <v>7</v>
      </c>
      <c r="C4759" s="4" t="inlineStr">
        <is>
          <t>elk</t>
        </is>
      </c>
      <c r="D4759" s="4" t="n">
        <v>2011</v>
      </c>
      <c r="E4759" s="13" t="inlineStr">
        <is>
          <t>General</t>
        </is>
      </c>
      <c r="F4759" s="5" t="n">
        <v>363</v>
      </c>
      <c r="G4759" s="5" t="n">
        <v>2116</v>
      </c>
      <c r="H4759" s="5" t="n">
        <v>82</v>
      </c>
      <c r="I4759" s="5" t="n">
        <v>39</v>
      </c>
      <c r="J4759" s="5" t="n">
        <v>34</v>
      </c>
      <c r="K4759" s="10">
        <f>IF(F4759&gt;0,H4759/F4759,"")</f>
        <v/>
      </c>
      <c r="L4759" s="16">
        <f>IF(AND(G4759&gt;0,H4759&gt;0),G4759/H4759,"")</f>
        <v/>
      </c>
    </row>
    <row r="4760">
      <c r="A4760" s="4" t="inlineStr">
        <is>
          <t>702</t>
        </is>
      </c>
      <c r="B4760" s="4" t="n">
        <v>7</v>
      </c>
      <c r="C4760" s="4" t="inlineStr">
        <is>
          <t>elk</t>
        </is>
      </c>
      <c r="D4760" s="4" t="n">
        <v>2012</v>
      </c>
      <c r="E4760" s="13" t="inlineStr">
        <is>
          <t>General</t>
        </is>
      </c>
      <c r="F4760" s="5" t="n">
        <v>523</v>
      </c>
      <c r="G4760" s="5" t="n">
        <v>3140</v>
      </c>
      <c r="H4760" s="5" t="n">
        <v>128</v>
      </c>
      <c r="I4760" s="5" t="n">
        <v>23</v>
      </c>
      <c r="J4760" s="5" t="n">
        <v>95</v>
      </c>
      <c r="K4760" s="10">
        <f>IF(F4760&gt;0,H4760/F4760,"")</f>
        <v/>
      </c>
      <c r="L4760" s="16">
        <f>IF(AND(G4760&gt;0,H4760&gt;0),G4760/H4760,"")</f>
        <v/>
      </c>
    </row>
    <row r="4761">
      <c r="A4761" s="4" t="inlineStr">
        <is>
          <t>702</t>
        </is>
      </c>
      <c r="B4761" s="4" t="n">
        <v>7</v>
      </c>
      <c r="C4761" s="4" t="inlineStr">
        <is>
          <t>elk</t>
        </is>
      </c>
      <c r="D4761" s="4" t="n">
        <v>2013</v>
      </c>
      <c r="E4761" s="13" t="inlineStr">
        <is>
          <t>General</t>
        </is>
      </c>
      <c r="F4761" s="5" t="n"/>
      <c r="G4761" s="5" t="n"/>
      <c r="H4761" s="5" t="n">
        <v>103</v>
      </c>
      <c r="I4761" s="5" t="n">
        <v>29</v>
      </c>
      <c r="J4761" s="5" t="n">
        <v>66</v>
      </c>
      <c r="K4761" s="10">
        <f>IF(F4761&gt;0,H4761/F4761,"")</f>
        <v/>
      </c>
      <c r="L4761" s="16">
        <f>IF(AND(G4761&gt;0,H4761&gt;0),G4761/H4761,"")</f>
        <v/>
      </c>
    </row>
    <row r="4762">
      <c r="A4762" s="4" t="inlineStr">
        <is>
          <t>702</t>
        </is>
      </c>
      <c r="B4762" s="4" t="n">
        <v>7</v>
      </c>
      <c r="C4762" s="4" t="inlineStr">
        <is>
          <t>elk</t>
        </is>
      </c>
      <c r="D4762" s="4" t="n">
        <v>2014</v>
      </c>
      <c r="E4762" s="13" t="inlineStr">
        <is>
          <t>General</t>
        </is>
      </c>
      <c r="F4762" s="5" t="n">
        <v>617</v>
      </c>
      <c r="G4762" s="5" t="n">
        <v>3494</v>
      </c>
      <c r="H4762" s="5" t="n">
        <v>150</v>
      </c>
      <c r="I4762" s="5" t="n">
        <v>73</v>
      </c>
      <c r="J4762" s="5" t="n">
        <v>71</v>
      </c>
      <c r="K4762" s="10">
        <f>IF(F4762&gt;0,H4762/F4762,"")</f>
        <v/>
      </c>
      <c r="L4762" s="16">
        <f>IF(AND(G4762&gt;0,H4762&gt;0),G4762/H4762,"")</f>
        <v/>
      </c>
    </row>
    <row r="4763">
      <c r="A4763" s="4" t="inlineStr">
        <is>
          <t>702</t>
        </is>
      </c>
      <c r="B4763" s="4" t="n">
        <v>7</v>
      </c>
      <c r="C4763" s="4" t="inlineStr">
        <is>
          <t>elk</t>
        </is>
      </c>
      <c r="D4763" s="4" t="n">
        <v>2015</v>
      </c>
      <c r="E4763" s="13" t="inlineStr">
        <is>
          <t>General</t>
        </is>
      </c>
      <c r="F4763" s="5" t="n">
        <v>589</v>
      </c>
      <c r="G4763" s="5" t="n">
        <v>4061</v>
      </c>
      <c r="H4763" s="5" t="n">
        <v>116</v>
      </c>
      <c r="I4763" s="5" t="n">
        <v>46</v>
      </c>
      <c r="J4763" s="5" t="n">
        <v>61</v>
      </c>
      <c r="K4763" s="10">
        <f>IF(F4763&gt;0,H4763/F4763,"")</f>
        <v/>
      </c>
      <c r="L4763" s="16">
        <f>IF(AND(G4763&gt;0,H4763&gt;0),G4763/H4763,"")</f>
        <v/>
      </c>
    </row>
    <row r="4764">
      <c r="A4764" s="4" t="inlineStr">
        <is>
          <t>702</t>
        </is>
      </c>
      <c r="B4764" s="4" t="n">
        <v>7</v>
      </c>
      <c r="C4764" s="4" t="inlineStr">
        <is>
          <t>elk</t>
        </is>
      </c>
      <c r="D4764" s="4" t="n">
        <v>2016</v>
      </c>
      <c r="E4764" s="13" t="inlineStr">
        <is>
          <t>General</t>
        </is>
      </c>
      <c r="F4764" s="5" t="n">
        <v>555</v>
      </c>
      <c r="G4764" s="5" t="n">
        <v>4068</v>
      </c>
      <c r="H4764" s="5" t="n">
        <v>104</v>
      </c>
      <c r="I4764" s="5" t="n">
        <v>44</v>
      </c>
      <c r="J4764" s="5" t="n">
        <v>56</v>
      </c>
      <c r="K4764" s="10">
        <f>IF(F4764&gt;0,H4764/F4764,"")</f>
        <v/>
      </c>
      <c r="L4764" s="16">
        <f>IF(AND(G4764&gt;0,H4764&gt;0),G4764/H4764,"")</f>
        <v/>
      </c>
    </row>
    <row r="4765">
      <c r="A4765" s="4" t="inlineStr">
        <is>
          <t>702</t>
        </is>
      </c>
      <c r="B4765" s="4" t="n">
        <v>7</v>
      </c>
      <c r="C4765" s="4" t="inlineStr">
        <is>
          <t>elk</t>
        </is>
      </c>
      <c r="D4765" s="4" t="n">
        <v>2017</v>
      </c>
      <c r="E4765" s="13" t="inlineStr">
        <is>
          <t>General</t>
        </is>
      </c>
      <c r="F4765" s="5" t="n"/>
      <c r="G4765" s="5" t="n"/>
      <c r="H4765" s="5" t="n">
        <v>137</v>
      </c>
      <c r="I4765" s="5" t="n">
        <v>45</v>
      </c>
      <c r="J4765" s="5" t="n">
        <v>86</v>
      </c>
      <c r="K4765" s="10">
        <f>IF(F4765&gt;0,H4765/F4765,"")</f>
        <v/>
      </c>
      <c r="L4765" s="16">
        <f>IF(AND(G4765&gt;0,H4765&gt;0),G4765/H4765,"")</f>
        <v/>
      </c>
    </row>
    <row r="4766">
      <c r="A4766" s="4" t="inlineStr">
        <is>
          <t>702</t>
        </is>
      </c>
      <c r="B4766" s="4" t="n">
        <v>7</v>
      </c>
      <c r="C4766" s="4" t="inlineStr">
        <is>
          <t>elk</t>
        </is>
      </c>
      <c r="D4766" s="4" t="n">
        <v>2018</v>
      </c>
      <c r="E4766" s="13" t="inlineStr">
        <is>
          <t>General</t>
        </is>
      </c>
      <c r="F4766" s="5" t="n">
        <v>609</v>
      </c>
      <c r="G4766" s="5" t="n">
        <v>4107</v>
      </c>
      <c r="H4766" s="5" t="n">
        <v>142</v>
      </c>
      <c r="I4766" s="5" t="n">
        <v>49</v>
      </c>
      <c r="J4766" s="5" t="n">
        <v>87</v>
      </c>
      <c r="K4766" s="10">
        <f>IF(F4766&gt;0,H4766/F4766,"")</f>
        <v/>
      </c>
      <c r="L4766" s="16">
        <f>IF(AND(G4766&gt;0,H4766&gt;0),G4766/H4766,"")</f>
        <v/>
      </c>
    </row>
    <row r="4767">
      <c r="A4767" s="4" t="inlineStr">
        <is>
          <t>702</t>
        </is>
      </c>
      <c r="B4767" s="4" t="n">
        <v>7</v>
      </c>
      <c r="C4767" s="4" t="inlineStr">
        <is>
          <t>elk</t>
        </is>
      </c>
      <c r="D4767" s="4" t="n">
        <v>2019</v>
      </c>
      <c r="E4767" s="13" t="inlineStr">
        <is>
          <t>General</t>
        </is>
      </c>
      <c r="F4767" s="5" t="n"/>
      <c r="G4767" s="5" t="n"/>
      <c r="H4767" s="5" t="n">
        <v>189</v>
      </c>
      <c r="I4767" s="5" t="n">
        <v>42</v>
      </c>
      <c r="J4767" s="5" t="n">
        <v>132</v>
      </c>
      <c r="K4767" s="10">
        <f>IF(F4767&gt;0,H4767/F4767,"")</f>
        <v/>
      </c>
      <c r="L4767" s="16">
        <f>IF(AND(G4767&gt;0,H4767&gt;0),G4767/H4767,"")</f>
        <v/>
      </c>
    </row>
    <row r="4768">
      <c r="A4768" s="4" t="inlineStr">
        <is>
          <t>702</t>
        </is>
      </c>
      <c r="B4768" s="4" t="n">
        <v>7</v>
      </c>
      <c r="C4768" s="4" t="inlineStr">
        <is>
          <t>elk</t>
        </is>
      </c>
      <c r="D4768" s="4" t="n">
        <v>2020</v>
      </c>
      <c r="E4768" s="13" t="inlineStr">
        <is>
          <t>General</t>
        </is>
      </c>
      <c r="F4768" s="5" t="n">
        <v>661</v>
      </c>
      <c r="G4768" s="5" t="n">
        <v>4537</v>
      </c>
      <c r="H4768" s="5" t="n">
        <v>210</v>
      </c>
      <c r="I4768" s="5" t="n">
        <v>90</v>
      </c>
      <c r="J4768" s="5" t="n">
        <v>111</v>
      </c>
      <c r="K4768" s="10">
        <f>IF(F4768&gt;0,H4768/F4768,"")</f>
        <v/>
      </c>
      <c r="L4768" s="16">
        <f>IF(AND(G4768&gt;0,H4768&gt;0),G4768/H4768,"")</f>
        <v/>
      </c>
    </row>
    <row r="4769">
      <c r="A4769" s="4" t="inlineStr">
        <is>
          <t>702</t>
        </is>
      </c>
      <c r="B4769" s="4" t="n">
        <v>7</v>
      </c>
      <c r="C4769" s="4" t="inlineStr">
        <is>
          <t>elk</t>
        </is>
      </c>
      <c r="D4769" s="4" t="n">
        <v>2021</v>
      </c>
      <c r="E4769" s="13" t="inlineStr">
        <is>
          <t>General</t>
        </is>
      </c>
      <c r="F4769" s="5" t="n"/>
      <c r="G4769" s="5" t="n"/>
      <c r="H4769" s="5" t="n">
        <v>224</v>
      </c>
      <c r="I4769" s="5" t="n">
        <v>118</v>
      </c>
      <c r="J4769" s="5" t="n">
        <v>99</v>
      </c>
      <c r="K4769" s="10">
        <f>IF(F4769&gt;0,H4769/F4769,"")</f>
        <v/>
      </c>
      <c r="L4769" s="16">
        <f>IF(AND(G4769&gt;0,H4769&gt;0),G4769/H4769,"")</f>
        <v/>
      </c>
    </row>
    <row r="4770">
      <c r="A4770" s="4" t="inlineStr">
        <is>
          <t>702</t>
        </is>
      </c>
      <c r="B4770" s="4" t="n">
        <v>7</v>
      </c>
      <c r="C4770" s="4" t="inlineStr">
        <is>
          <t>elk</t>
        </is>
      </c>
      <c r="D4770" s="4" t="n">
        <v>2022</v>
      </c>
      <c r="E4770" s="13" t="inlineStr">
        <is>
          <t>General</t>
        </is>
      </c>
      <c r="F4770" s="5" t="n">
        <v>716</v>
      </c>
      <c r="G4770" s="5" t="n">
        <v>4859</v>
      </c>
      <c r="H4770" s="5" t="n">
        <v>220</v>
      </c>
      <c r="I4770" s="5" t="n">
        <v>107</v>
      </c>
      <c r="J4770" s="5" t="n">
        <v>111</v>
      </c>
      <c r="K4770" s="10">
        <f>IF(F4770&gt;0,H4770/F4770,"")</f>
        <v/>
      </c>
      <c r="L4770" s="16">
        <f>IF(AND(G4770&gt;0,H4770&gt;0),G4770/H4770,"")</f>
        <v/>
      </c>
    </row>
    <row r="4771">
      <c r="A4771" s="4" t="inlineStr">
        <is>
          <t>702</t>
        </is>
      </c>
      <c r="B4771" s="4" t="n">
        <v>7</v>
      </c>
      <c r="C4771" s="4" t="inlineStr">
        <is>
          <t>elk</t>
        </is>
      </c>
      <c r="D4771" s="4" t="n">
        <v>2023</v>
      </c>
      <c r="E4771" s="13" t="inlineStr">
        <is>
          <t>General</t>
        </is>
      </c>
      <c r="F4771" s="5" t="n"/>
      <c r="G4771" s="5" t="n"/>
      <c r="H4771" s="5" t="n">
        <v>184</v>
      </c>
      <c r="I4771" s="5" t="n">
        <v>58</v>
      </c>
      <c r="J4771" s="5" t="n">
        <v>126</v>
      </c>
      <c r="K4771" s="10">
        <f>IF(F4771&gt;0,H4771/F4771,"")</f>
        <v/>
      </c>
      <c r="L4771" s="16">
        <f>IF(AND(G4771&gt;0,H4771&gt;0),G4771/H4771,"")</f>
        <v/>
      </c>
    </row>
    <row r="4772">
      <c r="A4772" s="4" t="inlineStr">
        <is>
          <t>702</t>
        </is>
      </c>
      <c r="B4772" s="4" t="n">
        <v>7</v>
      </c>
      <c r="C4772" s="4" t="inlineStr">
        <is>
          <t>elk</t>
        </is>
      </c>
      <c r="D4772" s="4" t="n">
        <v>2024</v>
      </c>
      <c r="E4772" s="13" t="inlineStr">
        <is>
          <t>General</t>
        </is>
      </c>
      <c r="F4772" s="5" t="n">
        <v>771</v>
      </c>
      <c r="G4772" s="5" t="n">
        <v>5137</v>
      </c>
      <c r="H4772" s="5" t="n">
        <v>284</v>
      </c>
      <c r="I4772" s="5" t="n">
        <v>102</v>
      </c>
      <c r="J4772" s="5" t="n">
        <v>173</v>
      </c>
      <c r="K4772" s="10">
        <f>IF(F4772&gt;0,H4772/F4772,"")</f>
        <v/>
      </c>
      <c r="L4772" s="16">
        <f>IF(AND(G4772&gt;0,H4772&gt;0),G4772/H4772,"")</f>
        <v/>
      </c>
    </row>
    <row r="4773">
      <c r="A4773" s="4" t="inlineStr">
        <is>
          <t>702</t>
        </is>
      </c>
      <c r="B4773" s="4" t="n">
        <v>7</v>
      </c>
      <c r="C4773" s="4" t="inlineStr">
        <is>
          <t>elk</t>
        </is>
      </c>
      <c r="D4773" s="4" t="n">
        <v>2025</v>
      </c>
      <c r="E4773" s="13" t="inlineStr">
        <is>
          <t>General</t>
        </is>
      </c>
      <c r="F4773" s="5" t="n"/>
      <c r="G4773" s="5" t="n"/>
      <c r="H4773" s="5" t="n">
        <v>263</v>
      </c>
      <c r="I4773" s="5" t="n">
        <v>99</v>
      </c>
      <c r="J4773" s="5" t="n">
        <v>150</v>
      </c>
      <c r="K4773" s="10">
        <f>IF(F4773&gt;0,H4773/F4773,"")</f>
        <v/>
      </c>
      <c r="L4773" s="16">
        <f>IF(AND(G4773&gt;0,H4773&gt;0),G4773/H4773,"")</f>
        <v/>
      </c>
    </row>
    <row r="4774">
      <c r="A4774" s="4" t="inlineStr">
        <is>
          <t>703</t>
        </is>
      </c>
      <c r="B4774" s="4" t="n">
        <v>7</v>
      </c>
      <c r="C4774" s="4" t="inlineStr">
        <is>
          <t>elk</t>
        </is>
      </c>
      <c r="D4774" s="4" t="n">
        <v>2004</v>
      </c>
      <c r="E4774" s="13" t="inlineStr">
        <is>
          <t>General</t>
        </is>
      </c>
      <c r="F4774" s="5" t="n">
        <v>18</v>
      </c>
      <c r="G4774" s="5" t="n">
        <v>103</v>
      </c>
      <c r="H4774" s="5" t="n">
        <v>3</v>
      </c>
      <c r="I4774" s="5" t="n">
        <v>1</v>
      </c>
      <c r="J4774" s="5" t="n">
        <v>2</v>
      </c>
      <c r="K4774" s="10">
        <f>IF(F4774&gt;0,H4774/F4774,"")</f>
        <v/>
      </c>
      <c r="L4774" s="16">
        <f>IF(AND(G4774&gt;0,H4774&gt;0),G4774/H4774,"")</f>
        <v/>
      </c>
    </row>
    <row r="4775">
      <c r="A4775" s="4" t="inlineStr">
        <is>
          <t>703</t>
        </is>
      </c>
      <c r="B4775" s="4" t="n">
        <v>7</v>
      </c>
      <c r="C4775" s="4" t="inlineStr">
        <is>
          <t>elk</t>
        </is>
      </c>
      <c r="D4775" s="4" t="n">
        <v>2005</v>
      </c>
      <c r="E4775" s="13" t="inlineStr">
        <is>
          <t>General</t>
        </is>
      </c>
      <c r="F4775" s="5" t="n">
        <v>38</v>
      </c>
      <c r="G4775" s="5" t="n">
        <v>177</v>
      </c>
      <c r="H4775" s="5" t="n">
        <v>8</v>
      </c>
      <c r="I4775" s="5" t="n">
        <v>3</v>
      </c>
      <c r="J4775" s="5" t="n">
        <v>3</v>
      </c>
      <c r="K4775" s="10">
        <f>IF(F4775&gt;0,H4775/F4775,"")</f>
        <v/>
      </c>
      <c r="L4775" s="16">
        <f>IF(AND(G4775&gt;0,H4775&gt;0),G4775/H4775,"")</f>
        <v/>
      </c>
    </row>
    <row r="4776">
      <c r="A4776" s="4" t="inlineStr">
        <is>
          <t>703</t>
        </is>
      </c>
      <c r="B4776" s="4" t="n">
        <v>7</v>
      </c>
      <c r="C4776" s="4" t="inlineStr">
        <is>
          <t>elk</t>
        </is>
      </c>
      <c r="D4776" s="4" t="n">
        <v>2006</v>
      </c>
      <c r="E4776" s="13" t="inlineStr">
        <is>
          <t>General</t>
        </is>
      </c>
      <c r="F4776" s="5" t="n">
        <v>74</v>
      </c>
      <c r="G4776" s="5" t="n">
        <v>406</v>
      </c>
      <c r="H4776" s="5" t="n">
        <v>20</v>
      </c>
      <c r="I4776" s="5" t="n">
        <v>20</v>
      </c>
      <c r="J4776" s="5" t="n">
        <v>0</v>
      </c>
      <c r="K4776" s="10">
        <f>IF(F4776&gt;0,H4776/F4776,"")</f>
        <v/>
      </c>
      <c r="L4776" s="16">
        <f>IF(AND(G4776&gt;0,H4776&gt;0),G4776/H4776,"")</f>
        <v/>
      </c>
    </row>
    <row r="4777">
      <c r="A4777" s="4" t="inlineStr">
        <is>
          <t>703</t>
        </is>
      </c>
      <c r="B4777" s="4" t="n">
        <v>7</v>
      </c>
      <c r="C4777" s="4" t="inlineStr">
        <is>
          <t>elk</t>
        </is>
      </c>
      <c r="D4777" s="4" t="n">
        <v>2007</v>
      </c>
      <c r="E4777" s="13" t="inlineStr">
        <is>
          <t>General</t>
        </is>
      </c>
      <c r="F4777" s="5" t="n">
        <v>60</v>
      </c>
      <c r="G4777" s="5" t="n">
        <v>298</v>
      </c>
      <c r="H4777" s="5" t="n">
        <v>5</v>
      </c>
      <c r="I4777" s="5" t="n">
        <v>5</v>
      </c>
      <c r="J4777" s="5" t="n">
        <v>0</v>
      </c>
      <c r="K4777" s="10">
        <f>IF(F4777&gt;0,H4777/F4777,"")</f>
        <v/>
      </c>
      <c r="L4777" s="16">
        <f>IF(AND(G4777&gt;0,H4777&gt;0),G4777/H4777,"")</f>
        <v/>
      </c>
    </row>
    <row r="4778">
      <c r="A4778" s="4" t="inlineStr">
        <is>
          <t>703</t>
        </is>
      </c>
      <c r="B4778" s="4" t="n">
        <v>7</v>
      </c>
      <c r="C4778" s="4" t="inlineStr">
        <is>
          <t>elk</t>
        </is>
      </c>
      <c r="D4778" s="4" t="n">
        <v>2008</v>
      </c>
      <c r="E4778" s="13" t="inlineStr">
        <is>
          <t>General</t>
        </is>
      </c>
      <c r="F4778" s="5" t="n">
        <v>90</v>
      </c>
      <c r="G4778" s="5" t="n">
        <v>743</v>
      </c>
      <c r="H4778" s="5" t="n">
        <v>8</v>
      </c>
      <c r="I4778" s="5" t="n">
        <v>5</v>
      </c>
      <c r="J4778" s="5" t="n">
        <v>3</v>
      </c>
      <c r="K4778" s="10">
        <f>IF(F4778&gt;0,H4778/F4778,"")</f>
        <v/>
      </c>
      <c r="L4778" s="16">
        <f>IF(AND(G4778&gt;0,H4778&gt;0),G4778/H4778,"")</f>
        <v/>
      </c>
    </row>
    <row r="4779">
      <c r="A4779" s="4" t="inlineStr">
        <is>
          <t>703</t>
        </is>
      </c>
      <c r="B4779" s="4" t="n">
        <v>7</v>
      </c>
      <c r="C4779" s="4" t="inlineStr">
        <is>
          <t>elk</t>
        </is>
      </c>
      <c r="D4779" s="4" t="n">
        <v>2009</v>
      </c>
      <c r="E4779" s="13" t="inlineStr">
        <is>
          <t>General</t>
        </is>
      </c>
      <c r="F4779" s="5" t="n">
        <v>151</v>
      </c>
      <c r="G4779" s="5" t="n">
        <v>1150</v>
      </c>
      <c r="H4779" s="5" t="n">
        <v>14</v>
      </c>
      <c r="I4779" s="5" t="n">
        <v>8</v>
      </c>
      <c r="J4779" s="5" t="n">
        <v>6</v>
      </c>
      <c r="K4779" s="10">
        <f>IF(F4779&gt;0,H4779/F4779,"")</f>
        <v/>
      </c>
      <c r="L4779" s="16">
        <f>IF(AND(G4779&gt;0,H4779&gt;0),G4779/H4779,"")</f>
        <v/>
      </c>
    </row>
    <row r="4780">
      <c r="A4780" s="4" t="inlineStr">
        <is>
          <t>703</t>
        </is>
      </c>
      <c r="B4780" s="4" t="n">
        <v>7</v>
      </c>
      <c r="C4780" s="4" t="inlineStr">
        <is>
          <t>elk</t>
        </is>
      </c>
      <c r="D4780" s="4" t="n">
        <v>2010</v>
      </c>
      <c r="E4780" s="13" t="inlineStr">
        <is>
          <t>General</t>
        </is>
      </c>
      <c r="F4780" s="5" t="n">
        <v>127</v>
      </c>
      <c r="G4780" s="5" t="n">
        <v>918</v>
      </c>
      <c r="H4780" s="5" t="n">
        <v>12</v>
      </c>
      <c r="I4780" s="5" t="n">
        <v>10</v>
      </c>
      <c r="J4780" s="5" t="n">
        <v>2</v>
      </c>
      <c r="K4780" s="10">
        <f>IF(F4780&gt;0,H4780/F4780,"")</f>
        <v/>
      </c>
      <c r="L4780" s="16">
        <f>IF(AND(G4780&gt;0,H4780&gt;0),G4780/H4780,"")</f>
        <v/>
      </c>
    </row>
    <row r="4781">
      <c r="A4781" s="4" t="inlineStr">
        <is>
          <t>703</t>
        </is>
      </c>
      <c r="B4781" s="4" t="n">
        <v>7</v>
      </c>
      <c r="C4781" s="4" t="inlineStr">
        <is>
          <t>elk</t>
        </is>
      </c>
      <c r="D4781" s="4" t="n">
        <v>2011</v>
      </c>
      <c r="E4781" s="13" t="inlineStr">
        <is>
          <t>General</t>
        </is>
      </c>
      <c r="F4781" s="5" t="n">
        <v>162</v>
      </c>
      <c r="G4781" s="5" t="n">
        <v>909</v>
      </c>
      <c r="H4781" s="5" t="n">
        <v>28</v>
      </c>
      <c r="I4781" s="5" t="n">
        <v>22</v>
      </c>
      <c r="J4781" s="5" t="n">
        <v>5</v>
      </c>
      <c r="K4781" s="10">
        <f>IF(F4781&gt;0,H4781/F4781,"")</f>
        <v/>
      </c>
      <c r="L4781" s="16">
        <f>IF(AND(G4781&gt;0,H4781&gt;0),G4781/H4781,"")</f>
        <v/>
      </c>
    </row>
    <row r="4782">
      <c r="A4782" s="4" t="inlineStr">
        <is>
          <t>703</t>
        </is>
      </c>
      <c r="B4782" s="4" t="n">
        <v>7</v>
      </c>
      <c r="C4782" s="4" t="inlineStr">
        <is>
          <t>elk</t>
        </is>
      </c>
      <c r="D4782" s="4" t="n">
        <v>2012</v>
      </c>
      <c r="E4782" s="13" t="inlineStr">
        <is>
          <t>General</t>
        </is>
      </c>
      <c r="F4782" s="5" t="n">
        <v>130</v>
      </c>
      <c r="G4782" s="5" t="n">
        <v>635</v>
      </c>
      <c r="H4782" s="5" t="n">
        <v>11</v>
      </c>
      <c r="I4782" s="5" t="n">
        <v>11</v>
      </c>
      <c r="J4782" s="5" t="n">
        <v>0</v>
      </c>
      <c r="K4782" s="10">
        <f>IF(F4782&gt;0,H4782/F4782,"")</f>
        <v/>
      </c>
      <c r="L4782" s="16">
        <f>IF(AND(G4782&gt;0,H4782&gt;0),G4782/H4782,"")</f>
        <v/>
      </c>
    </row>
    <row r="4783">
      <c r="A4783" s="4" t="inlineStr">
        <is>
          <t>703</t>
        </is>
      </c>
      <c r="B4783" s="4" t="n">
        <v>7</v>
      </c>
      <c r="C4783" s="4" t="inlineStr">
        <is>
          <t>elk</t>
        </is>
      </c>
      <c r="D4783" s="4" t="n">
        <v>2013</v>
      </c>
      <c r="E4783" s="13" t="inlineStr">
        <is>
          <t>General</t>
        </is>
      </c>
      <c r="F4783" s="5" t="n"/>
      <c r="G4783" s="5" t="n"/>
      <c r="H4783" s="5" t="n">
        <v>20</v>
      </c>
      <c r="I4783" s="5" t="n">
        <v>20</v>
      </c>
      <c r="J4783" s="5" t="n">
        <v>0</v>
      </c>
      <c r="K4783" s="10">
        <f>IF(F4783&gt;0,H4783/F4783,"")</f>
        <v/>
      </c>
      <c r="L4783" s="16">
        <f>IF(AND(G4783&gt;0,H4783&gt;0),G4783/H4783,"")</f>
        <v/>
      </c>
    </row>
    <row r="4784">
      <c r="A4784" s="4" t="inlineStr">
        <is>
          <t>703</t>
        </is>
      </c>
      <c r="B4784" s="4" t="n">
        <v>7</v>
      </c>
      <c r="C4784" s="4" t="inlineStr">
        <is>
          <t>elk</t>
        </is>
      </c>
      <c r="D4784" s="4" t="n">
        <v>2014</v>
      </c>
      <c r="E4784" s="13" t="inlineStr">
        <is>
          <t>General</t>
        </is>
      </c>
      <c r="F4784" s="5" t="n">
        <v>211</v>
      </c>
      <c r="G4784" s="5" t="n">
        <v>1015</v>
      </c>
      <c r="H4784" s="5" t="n">
        <v>38</v>
      </c>
      <c r="I4784" s="5" t="n">
        <v>36</v>
      </c>
      <c r="J4784" s="5" t="n">
        <v>3</v>
      </c>
      <c r="K4784" s="10">
        <f>IF(F4784&gt;0,H4784/F4784,"")</f>
        <v/>
      </c>
      <c r="L4784" s="16">
        <f>IF(AND(G4784&gt;0,H4784&gt;0),G4784/H4784,"")</f>
        <v/>
      </c>
    </row>
    <row r="4785">
      <c r="A4785" s="4" t="inlineStr">
        <is>
          <t>703</t>
        </is>
      </c>
      <c r="B4785" s="4" t="n">
        <v>7</v>
      </c>
      <c r="C4785" s="4" t="inlineStr">
        <is>
          <t>elk</t>
        </is>
      </c>
      <c r="D4785" s="4" t="n">
        <v>2015</v>
      </c>
      <c r="E4785" s="13" t="inlineStr">
        <is>
          <t>General</t>
        </is>
      </c>
      <c r="F4785" s="5" t="n">
        <v>268</v>
      </c>
      <c r="G4785" s="5" t="n">
        <v>1796</v>
      </c>
      <c r="H4785" s="5" t="n">
        <v>14</v>
      </c>
      <c r="I4785" s="5" t="n">
        <v>6</v>
      </c>
      <c r="J4785" s="5" t="n">
        <v>5</v>
      </c>
      <c r="K4785" s="10">
        <f>IF(F4785&gt;0,H4785/F4785,"")</f>
        <v/>
      </c>
      <c r="L4785" s="16">
        <f>IF(AND(G4785&gt;0,H4785&gt;0),G4785/H4785,"")</f>
        <v/>
      </c>
    </row>
    <row r="4786">
      <c r="A4786" s="4" t="inlineStr">
        <is>
          <t>703</t>
        </is>
      </c>
      <c r="B4786" s="4" t="n">
        <v>7</v>
      </c>
      <c r="C4786" s="4" t="inlineStr">
        <is>
          <t>elk</t>
        </is>
      </c>
      <c r="D4786" s="4" t="n">
        <v>2016</v>
      </c>
      <c r="E4786" s="13" t="inlineStr">
        <is>
          <t>General</t>
        </is>
      </c>
      <c r="F4786" s="5" t="n">
        <v>238</v>
      </c>
      <c r="G4786" s="5" t="n">
        <v>1387</v>
      </c>
      <c r="H4786" s="5" t="n">
        <v>21</v>
      </c>
      <c r="I4786" s="5" t="n">
        <v>12</v>
      </c>
      <c r="J4786" s="5" t="n">
        <v>6</v>
      </c>
      <c r="K4786" s="10">
        <f>IF(F4786&gt;0,H4786/F4786,"")</f>
        <v/>
      </c>
      <c r="L4786" s="16">
        <f>IF(AND(G4786&gt;0,H4786&gt;0),G4786/H4786,"")</f>
        <v/>
      </c>
    </row>
    <row r="4787">
      <c r="A4787" s="4" t="inlineStr">
        <is>
          <t>703</t>
        </is>
      </c>
      <c r="B4787" s="4" t="n">
        <v>7</v>
      </c>
      <c r="C4787" s="4" t="inlineStr">
        <is>
          <t>elk</t>
        </is>
      </c>
      <c r="D4787" s="4" t="n">
        <v>2017</v>
      </c>
      <c r="E4787" s="13" t="inlineStr">
        <is>
          <t>General</t>
        </is>
      </c>
      <c r="F4787" s="5" t="n"/>
      <c r="G4787" s="5" t="n"/>
      <c r="H4787" s="5" t="n">
        <v>6</v>
      </c>
      <c r="I4787" s="5" t="n">
        <v>0</v>
      </c>
      <c r="J4787" s="5" t="n">
        <v>6</v>
      </c>
      <c r="K4787" s="10">
        <f>IF(F4787&gt;0,H4787/F4787,"")</f>
        <v/>
      </c>
      <c r="L4787" s="16">
        <f>IF(AND(G4787&gt;0,H4787&gt;0),G4787/H4787,"")</f>
        <v/>
      </c>
    </row>
    <row r="4788">
      <c r="A4788" s="4" t="inlineStr">
        <is>
          <t>703</t>
        </is>
      </c>
      <c r="B4788" s="4" t="n">
        <v>7</v>
      </c>
      <c r="C4788" s="4" t="inlineStr">
        <is>
          <t>elk</t>
        </is>
      </c>
      <c r="D4788" s="4" t="n">
        <v>2018</v>
      </c>
      <c r="E4788" s="13" t="inlineStr">
        <is>
          <t>General</t>
        </is>
      </c>
      <c r="F4788" s="5" t="n">
        <v>209</v>
      </c>
      <c r="G4788" s="5" t="n">
        <v>1577</v>
      </c>
      <c r="H4788" s="5" t="n">
        <v>27</v>
      </c>
      <c r="I4788" s="5" t="n">
        <v>13</v>
      </c>
      <c r="J4788" s="5" t="n">
        <v>14</v>
      </c>
      <c r="K4788" s="10">
        <f>IF(F4788&gt;0,H4788/F4788,"")</f>
        <v/>
      </c>
      <c r="L4788" s="16">
        <f>IF(AND(G4788&gt;0,H4788&gt;0),G4788/H4788,"")</f>
        <v/>
      </c>
    </row>
    <row r="4789">
      <c r="A4789" s="4" t="inlineStr">
        <is>
          <t>703</t>
        </is>
      </c>
      <c r="B4789" s="4" t="n">
        <v>7</v>
      </c>
      <c r="C4789" s="4" t="inlineStr">
        <is>
          <t>elk</t>
        </is>
      </c>
      <c r="D4789" s="4" t="n">
        <v>2019</v>
      </c>
      <c r="E4789" s="13" t="inlineStr">
        <is>
          <t>General</t>
        </is>
      </c>
      <c r="F4789" s="5" t="n"/>
      <c r="G4789" s="5" t="n"/>
      <c r="H4789" s="5" t="n">
        <v>33</v>
      </c>
      <c r="I4789" s="5" t="n">
        <v>27</v>
      </c>
      <c r="J4789" s="5" t="n">
        <v>6</v>
      </c>
      <c r="K4789" s="10">
        <f>IF(F4789&gt;0,H4789/F4789,"")</f>
        <v/>
      </c>
      <c r="L4789" s="16">
        <f>IF(AND(G4789&gt;0,H4789&gt;0),G4789/H4789,"")</f>
        <v/>
      </c>
    </row>
    <row r="4790">
      <c r="A4790" s="4" t="inlineStr">
        <is>
          <t>703</t>
        </is>
      </c>
      <c r="B4790" s="4" t="n">
        <v>7</v>
      </c>
      <c r="C4790" s="4" t="inlineStr">
        <is>
          <t>elk</t>
        </is>
      </c>
      <c r="D4790" s="4" t="n">
        <v>2020</v>
      </c>
      <c r="E4790" s="13" t="inlineStr">
        <is>
          <t>General</t>
        </is>
      </c>
      <c r="F4790" s="5" t="n">
        <v>264</v>
      </c>
      <c r="G4790" s="5" t="n">
        <v>1885</v>
      </c>
      <c r="H4790" s="5" t="n">
        <v>65</v>
      </c>
      <c r="I4790" s="5" t="n">
        <v>55</v>
      </c>
      <c r="J4790" s="5" t="n">
        <v>6</v>
      </c>
      <c r="K4790" s="10">
        <f>IF(F4790&gt;0,H4790/F4790,"")</f>
        <v/>
      </c>
      <c r="L4790" s="16">
        <f>IF(AND(G4790&gt;0,H4790&gt;0),G4790/H4790,"")</f>
        <v/>
      </c>
    </row>
    <row r="4791">
      <c r="A4791" s="4" t="inlineStr">
        <is>
          <t>703</t>
        </is>
      </c>
      <c r="B4791" s="4" t="n">
        <v>7</v>
      </c>
      <c r="C4791" s="4" t="inlineStr">
        <is>
          <t>elk</t>
        </is>
      </c>
      <c r="D4791" s="4" t="n">
        <v>2021</v>
      </c>
      <c r="E4791" s="13" t="inlineStr">
        <is>
          <t>General</t>
        </is>
      </c>
      <c r="F4791" s="5" t="n"/>
      <c r="G4791" s="5" t="n"/>
      <c r="H4791" s="5" t="n">
        <v>41</v>
      </c>
      <c r="I4791" s="5" t="n">
        <v>34</v>
      </c>
      <c r="J4791" s="5" t="n">
        <v>8</v>
      </c>
      <c r="K4791" s="10">
        <f>IF(F4791&gt;0,H4791/F4791,"")</f>
        <v/>
      </c>
      <c r="L4791" s="16">
        <f>IF(AND(G4791&gt;0,H4791&gt;0),G4791/H4791,"")</f>
        <v/>
      </c>
    </row>
    <row r="4792">
      <c r="A4792" s="4" t="inlineStr">
        <is>
          <t>703</t>
        </is>
      </c>
      <c r="B4792" s="4" t="n">
        <v>7</v>
      </c>
      <c r="C4792" s="4" t="inlineStr">
        <is>
          <t>elk</t>
        </is>
      </c>
      <c r="D4792" s="4" t="n">
        <v>2022</v>
      </c>
      <c r="E4792" s="13" t="inlineStr">
        <is>
          <t>General</t>
        </is>
      </c>
      <c r="F4792" s="5" t="n">
        <v>431</v>
      </c>
      <c r="G4792" s="5" t="n">
        <v>2931</v>
      </c>
      <c r="H4792" s="5" t="n">
        <v>73</v>
      </c>
      <c r="I4792" s="5" t="n">
        <v>67</v>
      </c>
      <c r="J4792" s="5" t="n">
        <v>6</v>
      </c>
      <c r="K4792" s="10">
        <f>IF(F4792&gt;0,H4792/F4792,"")</f>
        <v/>
      </c>
      <c r="L4792" s="16">
        <f>IF(AND(G4792&gt;0,H4792&gt;0),G4792/H4792,"")</f>
        <v/>
      </c>
    </row>
    <row r="4793">
      <c r="A4793" s="4" t="inlineStr">
        <is>
          <t>703</t>
        </is>
      </c>
      <c r="B4793" s="4" t="n">
        <v>7</v>
      </c>
      <c r="C4793" s="4" t="inlineStr">
        <is>
          <t>elk</t>
        </is>
      </c>
      <c r="D4793" s="4" t="n">
        <v>2023</v>
      </c>
      <c r="E4793" s="13" t="inlineStr">
        <is>
          <t>General</t>
        </is>
      </c>
      <c r="F4793" s="5" t="n"/>
      <c r="G4793" s="5" t="n"/>
      <c r="H4793" s="5" t="n">
        <v>94</v>
      </c>
      <c r="I4793" s="5" t="n">
        <v>65</v>
      </c>
      <c r="J4793" s="5" t="n">
        <v>29</v>
      </c>
      <c r="K4793" s="10">
        <f>IF(F4793&gt;0,H4793/F4793,"")</f>
        <v/>
      </c>
      <c r="L4793" s="16">
        <f>IF(AND(G4793&gt;0,H4793&gt;0),G4793/H4793,"")</f>
        <v/>
      </c>
    </row>
    <row r="4794">
      <c r="A4794" s="4" t="inlineStr">
        <is>
          <t>703</t>
        </is>
      </c>
      <c r="B4794" s="4" t="n">
        <v>7</v>
      </c>
      <c r="C4794" s="4" t="inlineStr">
        <is>
          <t>elk</t>
        </is>
      </c>
      <c r="D4794" s="4" t="n">
        <v>2024</v>
      </c>
      <c r="E4794" s="13" t="inlineStr">
        <is>
          <t>General</t>
        </is>
      </c>
      <c r="F4794" s="5" t="n">
        <v>449</v>
      </c>
      <c r="G4794" s="5" t="n">
        <v>3246</v>
      </c>
      <c r="H4794" s="5" t="n">
        <v>62</v>
      </c>
      <c r="I4794" s="5" t="n">
        <v>39</v>
      </c>
      <c r="J4794" s="5" t="n">
        <v>18</v>
      </c>
      <c r="K4794" s="10">
        <f>IF(F4794&gt;0,H4794/F4794,"")</f>
        <v/>
      </c>
      <c r="L4794" s="16">
        <f>IF(AND(G4794&gt;0,H4794&gt;0),G4794/H4794,"")</f>
        <v/>
      </c>
    </row>
    <row r="4795">
      <c r="A4795" s="4" t="inlineStr">
        <is>
          <t>703</t>
        </is>
      </c>
      <c r="B4795" s="4" t="n">
        <v>7</v>
      </c>
      <c r="C4795" s="4" t="inlineStr">
        <is>
          <t>elk</t>
        </is>
      </c>
      <c r="D4795" s="4" t="n">
        <v>2025</v>
      </c>
      <c r="E4795" s="13" t="inlineStr">
        <is>
          <t>General</t>
        </is>
      </c>
      <c r="F4795" s="5" t="n"/>
      <c r="G4795" s="5" t="n"/>
      <c r="H4795" s="5" t="n">
        <v>111</v>
      </c>
      <c r="I4795" s="5" t="n">
        <v>77</v>
      </c>
      <c r="J4795" s="5" t="n">
        <v>34</v>
      </c>
      <c r="K4795" s="10">
        <f>IF(F4795&gt;0,H4795/F4795,"")</f>
        <v/>
      </c>
      <c r="L4795" s="16">
        <f>IF(AND(G4795&gt;0,H4795&gt;0),G4795/H4795,"")</f>
        <v/>
      </c>
    </row>
    <row r="4796">
      <c r="A4796" s="4" t="inlineStr">
        <is>
          <t>704</t>
        </is>
      </c>
      <c r="B4796" s="4" t="n">
        <v>7</v>
      </c>
      <c r="C4796" s="4" t="inlineStr">
        <is>
          <t>elk</t>
        </is>
      </c>
      <c r="D4796" s="4" t="n">
        <v>2004</v>
      </c>
      <c r="E4796" s="13" t="inlineStr">
        <is>
          <t>General</t>
        </is>
      </c>
      <c r="F4796" s="5" t="n">
        <v>535</v>
      </c>
      <c r="G4796" s="5" t="n">
        <v>3479</v>
      </c>
      <c r="H4796" s="5" t="n">
        <v>86</v>
      </c>
      <c r="I4796" s="5" t="n">
        <v>34</v>
      </c>
      <c r="J4796" s="5" t="n">
        <v>49</v>
      </c>
      <c r="K4796" s="10">
        <f>IF(F4796&gt;0,H4796/F4796,"")</f>
        <v/>
      </c>
      <c r="L4796" s="16">
        <f>IF(AND(G4796&gt;0,H4796&gt;0),G4796/H4796,"")</f>
        <v/>
      </c>
    </row>
    <row r="4797">
      <c r="A4797" s="4" t="inlineStr">
        <is>
          <t>704</t>
        </is>
      </c>
      <c r="B4797" s="4" t="n">
        <v>7</v>
      </c>
      <c r="C4797" s="4" t="inlineStr">
        <is>
          <t>elk</t>
        </is>
      </c>
      <c r="D4797" s="4" t="n">
        <v>2005</v>
      </c>
      <c r="E4797" s="13" t="inlineStr">
        <is>
          <t>General</t>
        </is>
      </c>
      <c r="F4797" s="5" t="n">
        <v>533</v>
      </c>
      <c r="G4797" s="5" t="n">
        <v>3685</v>
      </c>
      <c r="H4797" s="5" t="n">
        <v>93</v>
      </c>
      <c r="I4797" s="5" t="n">
        <v>44</v>
      </c>
      <c r="J4797" s="5" t="n">
        <v>40</v>
      </c>
      <c r="K4797" s="10">
        <f>IF(F4797&gt;0,H4797/F4797,"")</f>
        <v/>
      </c>
      <c r="L4797" s="16">
        <f>IF(AND(G4797&gt;0,H4797&gt;0),G4797/H4797,"")</f>
        <v/>
      </c>
    </row>
    <row r="4798">
      <c r="A4798" s="4" t="inlineStr">
        <is>
          <t>704</t>
        </is>
      </c>
      <c r="B4798" s="4" t="n">
        <v>7</v>
      </c>
      <c r="C4798" s="4" t="inlineStr">
        <is>
          <t>elk</t>
        </is>
      </c>
      <c r="D4798" s="4" t="n">
        <v>2006</v>
      </c>
      <c r="E4798" s="13" t="inlineStr">
        <is>
          <t>General</t>
        </is>
      </c>
      <c r="F4798" s="5" t="n">
        <v>458</v>
      </c>
      <c r="G4798" s="5" t="n">
        <v>3041</v>
      </c>
      <c r="H4798" s="5" t="n">
        <v>109</v>
      </c>
      <c r="I4798" s="5" t="n">
        <v>44</v>
      </c>
      <c r="J4798" s="5" t="n">
        <v>48</v>
      </c>
      <c r="K4798" s="10">
        <f>IF(F4798&gt;0,H4798/F4798,"")</f>
        <v/>
      </c>
      <c r="L4798" s="16">
        <f>IF(AND(G4798&gt;0,H4798&gt;0),G4798/H4798,"")</f>
        <v/>
      </c>
    </row>
    <row r="4799">
      <c r="A4799" s="4" t="inlineStr">
        <is>
          <t>704</t>
        </is>
      </c>
      <c r="B4799" s="4" t="n">
        <v>7</v>
      </c>
      <c r="C4799" s="4" t="inlineStr">
        <is>
          <t>elk</t>
        </is>
      </c>
      <c r="D4799" s="4" t="n">
        <v>2007</v>
      </c>
      <c r="E4799" s="13" t="inlineStr">
        <is>
          <t>General</t>
        </is>
      </c>
      <c r="F4799" s="5" t="n">
        <v>577</v>
      </c>
      <c r="G4799" s="5" t="n">
        <v>3993</v>
      </c>
      <c r="H4799" s="5" t="n">
        <v>105</v>
      </c>
      <c r="I4799" s="5" t="n">
        <v>56</v>
      </c>
      <c r="J4799" s="5" t="n">
        <v>49</v>
      </c>
      <c r="K4799" s="10">
        <f>IF(F4799&gt;0,H4799/F4799,"")</f>
        <v/>
      </c>
      <c r="L4799" s="16">
        <f>IF(AND(G4799&gt;0,H4799&gt;0),G4799/H4799,"")</f>
        <v/>
      </c>
    </row>
    <row r="4800">
      <c r="A4800" s="4" t="inlineStr">
        <is>
          <t>704</t>
        </is>
      </c>
      <c r="B4800" s="4" t="n">
        <v>7</v>
      </c>
      <c r="C4800" s="4" t="inlineStr">
        <is>
          <t>elk</t>
        </is>
      </c>
      <c r="D4800" s="4" t="n">
        <v>2008</v>
      </c>
      <c r="E4800" s="13" t="inlineStr">
        <is>
          <t>General</t>
        </is>
      </c>
      <c r="F4800" s="5" t="n">
        <v>678</v>
      </c>
      <c r="G4800" s="5" t="n">
        <v>5063</v>
      </c>
      <c r="H4800" s="5" t="n">
        <v>161</v>
      </c>
      <c r="I4800" s="5" t="n">
        <v>73</v>
      </c>
      <c r="J4800" s="5" t="n">
        <v>85</v>
      </c>
      <c r="K4800" s="10">
        <f>IF(F4800&gt;0,H4800/F4800,"")</f>
        <v/>
      </c>
      <c r="L4800" s="16">
        <f>IF(AND(G4800&gt;0,H4800&gt;0),G4800/H4800,"")</f>
        <v/>
      </c>
    </row>
    <row r="4801">
      <c r="A4801" s="4" t="inlineStr">
        <is>
          <t>704</t>
        </is>
      </c>
      <c r="B4801" s="4" t="n">
        <v>7</v>
      </c>
      <c r="C4801" s="4" t="inlineStr">
        <is>
          <t>elk</t>
        </is>
      </c>
      <c r="D4801" s="4" t="n">
        <v>2009</v>
      </c>
      <c r="E4801" s="13" t="inlineStr">
        <is>
          <t>General</t>
        </is>
      </c>
      <c r="F4801" s="5" t="n">
        <v>840</v>
      </c>
      <c r="G4801" s="5" t="n">
        <v>6247</v>
      </c>
      <c r="H4801" s="5" t="n">
        <v>145</v>
      </c>
      <c r="I4801" s="5" t="n">
        <v>69</v>
      </c>
      <c r="J4801" s="5" t="n">
        <v>69</v>
      </c>
      <c r="K4801" s="10">
        <f>IF(F4801&gt;0,H4801/F4801,"")</f>
        <v/>
      </c>
      <c r="L4801" s="16">
        <f>IF(AND(G4801&gt;0,H4801&gt;0),G4801/H4801,"")</f>
        <v/>
      </c>
    </row>
    <row r="4802">
      <c r="A4802" s="4" t="inlineStr">
        <is>
          <t>704</t>
        </is>
      </c>
      <c r="B4802" s="4" t="n">
        <v>7</v>
      </c>
      <c r="C4802" s="4" t="inlineStr">
        <is>
          <t>elk</t>
        </is>
      </c>
      <c r="D4802" s="4" t="n">
        <v>2010</v>
      </c>
      <c r="E4802" s="13" t="inlineStr">
        <is>
          <t>General</t>
        </is>
      </c>
      <c r="F4802" s="5" t="n">
        <v>745</v>
      </c>
      <c r="G4802" s="5" t="n">
        <v>5590</v>
      </c>
      <c r="H4802" s="5" t="n">
        <v>141</v>
      </c>
      <c r="I4802" s="5" t="n">
        <v>61</v>
      </c>
      <c r="J4802" s="5" t="n">
        <v>72</v>
      </c>
      <c r="K4802" s="10">
        <f>IF(F4802&gt;0,H4802/F4802,"")</f>
        <v/>
      </c>
      <c r="L4802" s="16">
        <f>IF(AND(G4802&gt;0,H4802&gt;0),G4802/H4802,"")</f>
        <v/>
      </c>
    </row>
    <row r="4803">
      <c r="A4803" s="4" t="inlineStr">
        <is>
          <t>704</t>
        </is>
      </c>
      <c r="B4803" s="4" t="n">
        <v>7</v>
      </c>
      <c r="C4803" s="4" t="inlineStr">
        <is>
          <t>elk</t>
        </is>
      </c>
      <c r="D4803" s="4" t="n">
        <v>2011</v>
      </c>
      <c r="E4803" s="13" t="inlineStr">
        <is>
          <t>General</t>
        </is>
      </c>
      <c r="F4803" s="5" t="n">
        <v>817</v>
      </c>
      <c r="G4803" s="5" t="n">
        <v>6232</v>
      </c>
      <c r="H4803" s="5" t="n">
        <v>175</v>
      </c>
      <c r="I4803" s="5" t="n">
        <v>57</v>
      </c>
      <c r="J4803" s="5" t="n">
        <v>100</v>
      </c>
      <c r="K4803" s="10">
        <f>IF(F4803&gt;0,H4803/F4803,"")</f>
        <v/>
      </c>
      <c r="L4803" s="16">
        <f>IF(AND(G4803&gt;0,H4803&gt;0),G4803/H4803,"")</f>
        <v/>
      </c>
    </row>
    <row r="4804">
      <c r="A4804" s="4" t="inlineStr">
        <is>
          <t>704</t>
        </is>
      </c>
      <c r="B4804" s="4" t="n">
        <v>7</v>
      </c>
      <c r="C4804" s="4" t="inlineStr">
        <is>
          <t>elk</t>
        </is>
      </c>
      <c r="D4804" s="4" t="n">
        <v>2012</v>
      </c>
      <c r="E4804" s="13" t="inlineStr">
        <is>
          <t>General</t>
        </is>
      </c>
      <c r="F4804" s="5" t="n">
        <v>719</v>
      </c>
      <c r="G4804" s="5" t="n">
        <v>5448</v>
      </c>
      <c r="H4804" s="5" t="n">
        <v>148</v>
      </c>
      <c r="I4804" s="5" t="n">
        <v>54</v>
      </c>
      <c r="J4804" s="5" t="n">
        <v>90</v>
      </c>
      <c r="K4804" s="10">
        <f>IF(F4804&gt;0,H4804/F4804,"")</f>
        <v/>
      </c>
      <c r="L4804" s="16">
        <f>IF(AND(G4804&gt;0,H4804&gt;0),G4804/H4804,"")</f>
        <v/>
      </c>
    </row>
    <row r="4805">
      <c r="A4805" s="4" t="inlineStr">
        <is>
          <t>704</t>
        </is>
      </c>
      <c r="B4805" s="4" t="n">
        <v>7</v>
      </c>
      <c r="C4805" s="4" t="inlineStr">
        <is>
          <t>elk</t>
        </is>
      </c>
      <c r="D4805" s="4" t="n">
        <v>2013</v>
      </c>
      <c r="E4805" s="13" t="inlineStr">
        <is>
          <t>General</t>
        </is>
      </c>
      <c r="F4805" s="5" t="n"/>
      <c r="G4805" s="5" t="n"/>
      <c r="H4805" s="5" t="n">
        <v>213</v>
      </c>
      <c r="I4805" s="5" t="n">
        <v>92</v>
      </c>
      <c r="J4805" s="5" t="n">
        <v>110</v>
      </c>
      <c r="K4805" s="10">
        <f>IF(F4805&gt;0,H4805/F4805,"")</f>
        <v/>
      </c>
      <c r="L4805" s="16">
        <f>IF(AND(G4805&gt;0,H4805&gt;0),G4805/H4805,"")</f>
        <v/>
      </c>
    </row>
    <row r="4806">
      <c r="A4806" s="4" t="inlineStr">
        <is>
          <t>704</t>
        </is>
      </c>
      <c r="B4806" s="4" t="n">
        <v>7</v>
      </c>
      <c r="C4806" s="4" t="inlineStr">
        <is>
          <t>elk</t>
        </is>
      </c>
      <c r="D4806" s="4" t="n">
        <v>2014</v>
      </c>
      <c r="E4806" s="13" t="inlineStr">
        <is>
          <t>General</t>
        </is>
      </c>
      <c r="F4806" s="5" t="n">
        <v>907</v>
      </c>
      <c r="G4806" s="5" t="n">
        <v>6130</v>
      </c>
      <c r="H4806" s="5" t="n">
        <v>217</v>
      </c>
      <c r="I4806" s="5" t="n">
        <v>102</v>
      </c>
      <c r="J4806" s="5" t="n">
        <v>109</v>
      </c>
      <c r="K4806" s="10">
        <f>IF(F4806&gt;0,H4806/F4806,"")</f>
        <v/>
      </c>
      <c r="L4806" s="16">
        <f>IF(AND(G4806&gt;0,H4806&gt;0),G4806/H4806,"")</f>
        <v/>
      </c>
    </row>
    <row r="4807">
      <c r="A4807" s="4" t="inlineStr">
        <is>
          <t>704</t>
        </is>
      </c>
      <c r="B4807" s="4" t="n">
        <v>7</v>
      </c>
      <c r="C4807" s="4" t="inlineStr">
        <is>
          <t>elk</t>
        </is>
      </c>
      <c r="D4807" s="4" t="n">
        <v>2015</v>
      </c>
      <c r="E4807" s="13" t="inlineStr">
        <is>
          <t>General</t>
        </is>
      </c>
      <c r="F4807" s="5" t="n">
        <v>1002</v>
      </c>
      <c r="G4807" s="5" t="n">
        <v>7359</v>
      </c>
      <c r="H4807" s="5" t="n">
        <v>236</v>
      </c>
      <c r="I4807" s="5" t="n">
        <v>89</v>
      </c>
      <c r="J4807" s="5" t="n">
        <v>133</v>
      </c>
      <c r="K4807" s="10">
        <f>IF(F4807&gt;0,H4807/F4807,"")</f>
        <v/>
      </c>
      <c r="L4807" s="16">
        <f>IF(AND(G4807&gt;0,H4807&gt;0),G4807/H4807,"")</f>
        <v/>
      </c>
    </row>
    <row r="4808">
      <c r="A4808" s="4" t="inlineStr">
        <is>
          <t>704</t>
        </is>
      </c>
      <c r="B4808" s="4" t="n">
        <v>7</v>
      </c>
      <c r="C4808" s="4" t="inlineStr">
        <is>
          <t>elk</t>
        </is>
      </c>
      <c r="D4808" s="4" t="n">
        <v>2016</v>
      </c>
      <c r="E4808" s="13" t="inlineStr">
        <is>
          <t>General</t>
        </is>
      </c>
      <c r="F4808" s="5" t="n">
        <v>1119</v>
      </c>
      <c r="G4808" s="5" t="n">
        <v>8384</v>
      </c>
      <c r="H4808" s="5" t="n">
        <v>224</v>
      </c>
      <c r="I4808" s="5" t="n">
        <v>98</v>
      </c>
      <c r="J4808" s="5" t="n">
        <v>120</v>
      </c>
      <c r="K4808" s="10">
        <f>IF(F4808&gt;0,H4808/F4808,"")</f>
        <v/>
      </c>
      <c r="L4808" s="16">
        <f>IF(AND(G4808&gt;0,H4808&gt;0),G4808/H4808,"")</f>
        <v/>
      </c>
    </row>
    <row r="4809">
      <c r="A4809" s="4" t="inlineStr">
        <is>
          <t>704</t>
        </is>
      </c>
      <c r="B4809" s="4" t="n">
        <v>7</v>
      </c>
      <c r="C4809" s="4" t="inlineStr">
        <is>
          <t>elk</t>
        </is>
      </c>
      <c r="D4809" s="4" t="n">
        <v>2017</v>
      </c>
      <c r="E4809" s="13" t="inlineStr">
        <is>
          <t>General</t>
        </is>
      </c>
      <c r="F4809" s="5" t="n"/>
      <c r="G4809" s="5" t="n"/>
      <c r="H4809" s="5" t="n">
        <v>333</v>
      </c>
      <c r="I4809" s="5" t="n">
        <v>139</v>
      </c>
      <c r="J4809" s="5" t="n">
        <v>174</v>
      </c>
      <c r="K4809" s="10">
        <f>IF(F4809&gt;0,H4809/F4809,"")</f>
        <v/>
      </c>
      <c r="L4809" s="16">
        <f>IF(AND(G4809&gt;0,H4809&gt;0),G4809/H4809,"")</f>
        <v/>
      </c>
    </row>
    <row r="4810">
      <c r="A4810" s="4" t="inlineStr">
        <is>
          <t>704</t>
        </is>
      </c>
      <c r="B4810" s="4" t="n">
        <v>7</v>
      </c>
      <c r="C4810" s="4" t="inlineStr">
        <is>
          <t>elk</t>
        </is>
      </c>
      <c r="D4810" s="4" t="n">
        <v>2018</v>
      </c>
      <c r="E4810" s="13" t="inlineStr">
        <is>
          <t>General</t>
        </is>
      </c>
      <c r="F4810" s="5" t="n">
        <v>1409</v>
      </c>
      <c r="G4810" s="5" t="n">
        <v>10525</v>
      </c>
      <c r="H4810" s="5" t="n">
        <v>327</v>
      </c>
      <c r="I4810" s="5" t="n">
        <v>123</v>
      </c>
      <c r="J4810" s="5" t="n">
        <v>194</v>
      </c>
      <c r="K4810" s="10">
        <f>IF(F4810&gt;0,H4810/F4810,"")</f>
        <v/>
      </c>
      <c r="L4810" s="16">
        <f>IF(AND(G4810&gt;0,H4810&gt;0),G4810/H4810,"")</f>
        <v/>
      </c>
    </row>
    <row r="4811">
      <c r="A4811" s="4" t="inlineStr">
        <is>
          <t>704</t>
        </is>
      </c>
      <c r="B4811" s="4" t="n">
        <v>7</v>
      </c>
      <c r="C4811" s="4" t="inlineStr">
        <is>
          <t>elk</t>
        </is>
      </c>
      <c r="D4811" s="4" t="n">
        <v>2019</v>
      </c>
      <c r="E4811" s="13" t="inlineStr">
        <is>
          <t>General</t>
        </is>
      </c>
      <c r="F4811" s="5" t="n"/>
      <c r="G4811" s="5" t="n"/>
      <c r="H4811" s="5" t="n">
        <v>301</v>
      </c>
      <c r="I4811" s="5" t="n">
        <v>122</v>
      </c>
      <c r="J4811" s="5" t="n">
        <v>164</v>
      </c>
      <c r="K4811" s="10">
        <f>IF(F4811&gt;0,H4811/F4811,"")</f>
        <v/>
      </c>
      <c r="L4811" s="16">
        <f>IF(AND(G4811&gt;0,H4811&gt;0),G4811/H4811,"")</f>
        <v/>
      </c>
    </row>
    <row r="4812">
      <c r="A4812" s="4" t="inlineStr">
        <is>
          <t>704</t>
        </is>
      </c>
      <c r="B4812" s="4" t="n">
        <v>7</v>
      </c>
      <c r="C4812" s="4" t="inlineStr">
        <is>
          <t>elk</t>
        </is>
      </c>
      <c r="D4812" s="4" t="n">
        <v>2020</v>
      </c>
      <c r="E4812" s="13" t="inlineStr">
        <is>
          <t>General</t>
        </is>
      </c>
      <c r="F4812" s="5" t="n">
        <v>1492</v>
      </c>
      <c r="G4812" s="5" t="n">
        <v>11973</v>
      </c>
      <c r="H4812" s="5" t="n">
        <v>421</v>
      </c>
      <c r="I4812" s="5" t="n">
        <v>153</v>
      </c>
      <c r="J4812" s="5" t="n">
        <v>263</v>
      </c>
      <c r="K4812" s="10">
        <f>IF(F4812&gt;0,H4812/F4812,"")</f>
        <v/>
      </c>
      <c r="L4812" s="16">
        <f>IF(AND(G4812&gt;0,H4812&gt;0),G4812/H4812,"")</f>
        <v/>
      </c>
    </row>
    <row r="4813">
      <c r="A4813" s="4" t="inlineStr">
        <is>
          <t>704</t>
        </is>
      </c>
      <c r="B4813" s="4" t="n">
        <v>7</v>
      </c>
      <c r="C4813" s="4" t="inlineStr">
        <is>
          <t>elk</t>
        </is>
      </c>
      <c r="D4813" s="4" t="n">
        <v>2021</v>
      </c>
      <c r="E4813" s="13" t="inlineStr">
        <is>
          <t>General</t>
        </is>
      </c>
      <c r="F4813" s="5" t="n"/>
      <c r="G4813" s="5" t="n"/>
      <c r="H4813" s="5" t="n">
        <v>401</v>
      </c>
      <c r="I4813" s="5" t="n">
        <v>191</v>
      </c>
      <c r="J4813" s="5" t="n">
        <v>206</v>
      </c>
      <c r="K4813" s="10">
        <f>IF(F4813&gt;0,H4813/F4813,"")</f>
        <v/>
      </c>
      <c r="L4813" s="16">
        <f>IF(AND(G4813&gt;0,H4813&gt;0),G4813/H4813,"")</f>
        <v/>
      </c>
    </row>
    <row r="4814">
      <c r="A4814" s="4" t="inlineStr">
        <is>
          <t>704</t>
        </is>
      </c>
      <c r="B4814" s="4" t="n">
        <v>7</v>
      </c>
      <c r="C4814" s="4" t="inlineStr">
        <is>
          <t>elk</t>
        </is>
      </c>
      <c r="D4814" s="4" t="n">
        <v>2022</v>
      </c>
      <c r="E4814" s="13" t="inlineStr">
        <is>
          <t>General</t>
        </is>
      </c>
      <c r="F4814" s="5" t="n">
        <v>1323</v>
      </c>
      <c r="G4814" s="5" t="n">
        <v>10458</v>
      </c>
      <c r="H4814" s="5" t="n">
        <v>342</v>
      </c>
      <c r="I4814" s="5" t="n">
        <v>169</v>
      </c>
      <c r="J4814" s="5" t="n">
        <v>163</v>
      </c>
      <c r="K4814" s="10">
        <f>IF(F4814&gt;0,H4814/F4814,"")</f>
        <v/>
      </c>
      <c r="L4814" s="16">
        <f>IF(AND(G4814&gt;0,H4814&gt;0),G4814/H4814,"")</f>
        <v/>
      </c>
    </row>
    <row r="4815">
      <c r="A4815" s="4" t="inlineStr">
        <is>
          <t>704</t>
        </is>
      </c>
      <c r="B4815" s="4" t="n">
        <v>7</v>
      </c>
      <c r="C4815" s="4" t="inlineStr">
        <is>
          <t>elk</t>
        </is>
      </c>
      <c r="D4815" s="4" t="n">
        <v>2023</v>
      </c>
      <c r="E4815" s="13" t="inlineStr">
        <is>
          <t>General</t>
        </is>
      </c>
      <c r="F4815" s="5" t="n"/>
      <c r="G4815" s="5" t="n"/>
      <c r="H4815" s="5" t="n">
        <v>396</v>
      </c>
      <c r="I4815" s="5" t="n">
        <v>166</v>
      </c>
      <c r="J4815" s="5" t="n">
        <v>207</v>
      </c>
      <c r="K4815" s="10">
        <f>IF(F4815&gt;0,H4815/F4815,"")</f>
        <v/>
      </c>
      <c r="L4815" s="16">
        <f>IF(AND(G4815&gt;0,H4815&gt;0),G4815/H4815,"")</f>
        <v/>
      </c>
    </row>
    <row r="4816">
      <c r="A4816" s="4" t="inlineStr">
        <is>
          <t>704</t>
        </is>
      </c>
      <c r="B4816" s="4" t="n">
        <v>7</v>
      </c>
      <c r="C4816" s="4" t="inlineStr">
        <is>
          <t>elk</t>
        </is>
      </c>
      <c r="D4816" s="4" t="n">
        <v>2024</v>
      </c>
      <c r="E4816" s="13" t="inlineStr">
        <is>
          <t>General</t>
        </is>
      </c>
      <c r="F4816" s="5" t="n">
        <v>1601</v>
      </c>
      <c r="G4816" s="5" t="n">
        <v>13141</v>
      </c>
      <c r="H4816" s="5" t="n">
        <v>534</v>
      </c>
      <c r="I4816" s="5" t="n">
        <v>233</v>
      </c>
      <c r="J4816" s="5" t="n">
        <v>287</v>
      </c>
      <c r="K4816" s="10">
        <f>IF(F4816&gt;0,H4816/F4816,"")</f>
        <v/>
      </c>
      <c r="L4816" s="16">
        <f>IF(AND(G4816&gt;0,H4816&gt;0),G4816/H4816,"")</f>
        <v/>
      </c>
    </row>
    <row r="4817">
      <c r="A4817" s="4" t="inlineStr">
        <is>
          <t>704</t>
        </is>
      </c>
      <c r="B4817" s="4" t="n">
        <v>7</v>
      </c>
      <c r="C4817" s="4" t="inlineStr">
        <is>
          <t>elk</t>
        </is>
      </c>
      <c r="D4817" s="4" t="n">
        <v>2025</v>
      </c>
      <c r="E4817" s="13" t="inlineStr">
        <is>
          <t>General</t>
        </is>
      </c>
      <c r="F4817" s="5" t="n"/>
      <c r="G4817" s="5" t="n"/>
      <c r="H4817" s="5" t="n">
        <v>492</v>
      </c>
      <c r="I4817" s="5" t="n">
        <v>250</v>
      </c>
      <c r="J4817" s="5" t="n">
        <v>232</v>
      </c>
      <c r="K4817" s="10">
        <f>IF(F4817&gt;0,H4817/F4817,"")</f>
        <v/>
      </c>
      <c r="L4817" s="16">
        <f>IF(AND(G4817&gt;0,H4817&gt;0),G4817/H4817,"")</f>
        <v/>
      </c>
    </row>
    <row r="4818">
      <c r="A4818" s="4" t="inlineStr">
        <is>
          <t>705</t>
        </is>
      </c>
      <c r="B4818" s="4" t="n">
        <v>7</v>
      </c>
      <c r="C4818" s="4" t="inlineStr">
        <is>
          <t>elk</t>
        </is>
      </c>
      <c r="D4818" s="4" t="n">
        <v>2004</v>
      </c>
      <c r="E4818" s="13" t="inlineStr">
        <is>
          <t>General</t>
        </is>
      </c>
      <c r="F4818" s="5" t="n">
        <v>147</v>
      </c>
      <c r="G4818" s="5" t="n">
        <v>816</v>
      </c>
      <c r="H4818" s="5" t="n">
        <v>28</v>
      </c>
      <c r="I4818" s="5" t="n">
        <v>9</v>
      </c>
      <c r="J4818" s="5" t="n">
        <v>14</v>
      </c>
      <c r="K4818" s="10">
        <f>IF(F4818&gt;0,H4818/F4818,"")</f>
        <v/>
      </c>
      <c r="L4818" s="16">
        <f>IF(AND(G4818&gt;0,H4818&gt;0),G4818/H4818,"")</f>
        <v/>
      </c>
    </row>
    <row r="4819">
      <c r="A4819" s="4" t="inlineStr">
        <is>
          <t>705</t>
        </is>
      </c>
      <c r="B4819" s="4" t="n">
        <v>7</v>
      </c>
      <c r="C4819" s="4" t="inlineStr">
        <is>
          <t>elk</t>
        </is>
      </c>
      <c r="D4819" s="4" t="n">
        <v>2005</v>
      </c>
      <c r="E4819" s="13" t="inlineStr">
        <is>
          <t>General</t>
        </is>
      </c>
      <c r="F4819" s="5" t="n">
        <v>209</v>
      </c>
      <c r="G4819" s="5" t="n">
        <v>1127</v>
      </c>
      <c r="H4819" s="5" t="n">
        <v>32</v>
      </c>
      <c r="I4819" s="5" t="n">
        <v>21</v>
      </c>
      <c r="J4819" s="5" t="n">
        <v>11</v>
      </c>
      <c r="K4819" s="10">
        <f>IF(F4819&gt;0,H4819/F4819,"")</f>
        <v/>
      </c>
      <c r="L4819" s="16">
        <f>IF(AND(G4819&gt;0,H4819&gt;0),G4819/H4819,"")</f>
        <v/>
      </c>
    </row>
    <row r="4820">
      <c r="A4820" s="4" t="inlineStr">
        <is>
          <t>705</t>
        </is>
      </c>
      <c r="B4820" s="4" t="n">
        <v>7</v>
      </c>
      <c r="C4820" s="4" t="inlineStr">
        <is>
          <t>elk</t>
        </is>
      </c>
      <c r="D4820" s="4" t="n">
        <v>2006</v>
      </c>
      <c r="E4820" s="13" t="inlineStr">
        <is>
          <t>General</t>
        </is>
      </c>
      <c r="F4820" s="5" t="n">
        <v>206</v>
      </c>
      <c r="G4820" s="5" t="n">
        <v>1223</v>
      </c>
      <c r="H4820" s="5" t="n">
        <v>56</v>
      </c>
      <c r="I4820" s="5" t="n">
        <v>31</v>
      </c>
      <c r="J4820" s="5" t="n">
        <v>25</v>
      </c>
      <c r="K4820" s="10">
        <f>IF(F4820&gt;0,H4820/F4820,"")</f>
        <v/>
      </c>
      <c r="L4820" s="16">
        <f>IF(AND(G4820&gt;0,H4820&gt;0),G4820/H4820,"")</f>
        <v/>
      </c>
    </row>
    <row r="4821">
      <c r="A4821" s="4" t="inlineStr">
        <is>
          <t>705</t>
        </is>
      </c>
      <c r="B4821" s="4" t="n">
        <v>7</v>
      </c>
      <c r="C4821" s="4" t="inlineStr">
        <is>
          <t>elk</t>
        </is>
      </c>
      <c r="D4821" s="4" t="n">
        <v>2007</v>
      </c>
      <c r="E4821" s="13" t="inlineStr">
        <is>
          <t>General</t>
        </is>
      </c>
      <c r="F4821" s="5" t="n">
        <v>193</v>
      </c>
      <c r="G4821" s="5" t="n">
        <v>1419</v>
      </c>
      <c r="H4821" s="5" t="n">
        <v>60</v>
      </c>
      <c r="I4821" s="5" t="n">
        <v>27</v>
      </c>
      <c r="J4821" s="5" t="n">
        <v>33</v>
      </c>
      <c r="K4821" s="10">
        <f>IF(F4821&gt;0,H4821/F4821,"")</f>
        <v/>
      </c>
      <c r="L4821" s="16">
        <f>IF(AND(G4821&gt;0,H4821&gt;0),G4821/H4821,"")</f>
        <v/>
      </c>
    </row>
    <row r="4822">
      <c r="A4822" s="4" t="inlineStr">
        <is>
          <t>705</t>
        </is>
      </c>
      <c r="B4822" s="4" t="n">
        <v>7</v>
      </c>
      <c r="C4822" s="4" t="inlineStr">
        <is>
          <t>elk</t>
        </is>
      </c>
      <c r="D4822" s="4" t="n">
        <v>2008</v>
      </c>
      <c r="E4822" s="13" t="inlineStr">
        <is>
          <t>General</t>
        </is>
      </c>
      <c r="F4822" s="5" t="n">
        <v>186</v>
      </c>
      <c r="G4822" s="5" t="n">
        <v>1161</v>
      </c>
      <c r="H4822" s="5" t="n">
        <v>27</v>
      </c>
      <c r="I4822" s="5" t="n">
        <v>16</v>
      </c>
      <c r="J4822" s="5" t="n">
        <v>11</v>
      </c>
      <c r="K4822" s="10">
        <f>IF(F4822&gt;0,H4822/F4822,"")</f>
        <v/>
      </c>
      <c r="L4822" s="16">
        <f>IF(AND(G4822&gt;0,H4822&gt;0),G4822/H4822,"")</f>
        <v/>
      </c>
    </row>
    <row r="4823">
      <c r="A4823" s="4" t="inlineStr">
        <is>
          <t>705</t>
        </is>
      </c>
      <c r="B4823" s="4" t="n">
        <v>7</v>
      </c>
      <c r="C4823" s="4" t="inlineStr">
        <is>
          <t>elk</t>
        </is>
      </c>
      <c r="D4823" s="4" t="n">
        <v>2009</v>
      </c>
      <c r="E4823" s="13" t="inlineStr">
        <is>
          <t>General</t>
        </is>
      </c>
      <c r="F4823" s="5" t="n">
        <v>180</v>
      </c>
      <c r="G4823" s="5" t="n">
        <v>1109</v>
      </c>
      <c r="H4823" s="5" t="n">
        <v>35</v>
      </c>
      <c r="I4823" s="5" t="n">
        <v>23</v>
      </c>
      <c r="J4823" s="5" t="n">
        <v>12</v>
      </c>
      <c r="K4823" s="10">
        <f>IF(F4823&gt;0,H4823/F4823,"")</f>
        <v/>
      </c>
      <c r="L4823" s="16">
        <f>IF(AND(G4823&gt;0,H4823&gt;0),G4823/H4823,"")</f>
        <v/>
      </c>
    </row>
    <row r="4824">
      <c r="A4824" s="4" t="inlineStr">
        <is>
          <t>705</t>
        </is>
      </c>
      <c r="B4824" s="4" t="n">
        <v>7</v>
      </c>
      <c r="C4824" s="4" t="inlineStr">
        <is>
          <t>elk</t>
        </is>
      </c>
      <c r="D4824" s="4" t="n">
        <v>2010</v>
      </c>
      <c r="E4824" s="13" t="inlineStr">
        <is>
          <t>General</t>
        </is>
      </c>
      <c r="F4824" s="5" t="n">
        <v>239</v>
      </c>
      <c r="G4824" s="5" t="n">
        <v>1348</v>
      </c>
      <c r="H4824" s="5" t="n">
        <v>51</v>
      </c>
      <c r="I4824" s="5" t="n">
        <v>30</v>
      </c>
      <c r="J4824" s="5" t="n">
        <v>20</v>
      </c>
      <c r="K4824" s="10">
        <f>IF(F4824&gt;0,H4824/F4824,"")</f>
        <v/>
      </c>
      <c r="L4824" s="16">
        <f>IF(AND(G4824&gt;0,H4824&gt;0),G4824/H4824,"")</f>
        <v/>
      </c>
    </row>
    <row r="4825">
      <c r="A4825" s="4" t="inlineStr">
        <is>
          <t>705</t>
        </is>
      </c>
      <c r="B4825" s="4" t="n">
        <v>7</v>
      </c>
      <c r="C4825" s="4" t="inlineStr">
        <is>
          <t>elk</t>
        </is>
      </c>
      <c r="D4825" s="4" t="n">
        <v>2011</v>
      </c>
      <c r="E4825" s="13" t="inlineStr">
        <is>
          <t>General</t>
        </is>
      </c>
      <c r="F4825" s="5" t="n">
        <v>274</v>
      </c>
      <c r="G4825" s="5" t="n">
        <v>1836</v>
      </c>
      <c r="H4825" s="5" t="n">
        <v>62</v>
      </c>
      <c r="I4825" s="5" t="n">
        <v>30</v>
      </c>
      <c r="J4825" s="5" t="n">
        <v>28</v>
      </c>
      <c r="K4825" s="10">
        <f>IF(F4825&gt;0,H4825/F4825,"")</f>
        <v/>
      </c>
      <c r="L4825" s="16">
        <f>IF(AND(G4825&gt;0,H4825&gt;0),G4825/H4825,"")</f>
        <v/>
      </c>
    </row>
    <row r="4826">
      <c r="A4826" s="4" t="inlineStr">
        <is>
          <t>705</t>
        </is>
      </c>
      <c r="B4826" s="4" t="n">
        <v>7</v>
      </c>
      <c r="C4826" s="4" t="inlineStr">
        <is>
          <t>elk</t>
        </is>
      </c>
      <c r="D4826" s="4" t="n">
        <v>2012</v>
      </c>
      <c r="E4826" s="13" t="inlineStr">
        <is>
          <t>General</t>
        </is>
      </c>
      <c r="F4826" s="5" t="n">
        <v>277</v>
      </c>
      <c r="G4826" s="5" t="n">
        <v>1743</v>
      </c>
      <c r="H4826" s="5" t="n">
        <v>49</v>
      </c>
      <c r="I4826" s="5" t="n">
        <v>26</v>
      </c>
      <c r="J4826" s="5" t="n">
        <v>23</v>
      </c>
      <c r="K4826" s="10">
        <f>IF(F4826&gt;0,H4826/F4826,"")</f>
        <v/>
      </c>
      <c r="L4826" s="16">
        <f>IF(AND(G4826&gt;0,H4826&gt;0),G4826/H4826,"")</f>
        <v/>
      </c>
    </row>
    <row r="4827">
      <c r="A4827" s="4" t="inlineStr">
        <is>
          <t>705</t>
        </is>
      </c>
      <c r="B4827" s="4" t="n">
        <v>7</v>
      </c>
      <c r="C4827" s="4" t="inlineStr">
        <is>
          <t>elk</t>
        </is>
      </c>
      <c r="D4827" s="4" t="n">
        <v>2013</v>
      </c>
      <c r="E4827" s="13" t="inlineStr">
        <is>
          <t>General</t>
        </is>
      </c>
      <c r="F4827" s="5" t="n"/>
      <c r="G4827" s="5" t="n"/>
      <c r="H4827" s="5" t="n">
        <v>58</v>
      </c>
      <c r="I4827" s="5" t="n">
        <v>35</v>
      </c>
      <c r="J4827" s="5" t="n">
        <v>23</v>
      </c>
      <c r="K4827" s="10">
        <f>IF(F4827&gt;0,H4827/F4827,"")</f>
        <v/>
      </c>
      <c r="L4827" s="16">
        <f>IF(AND(G4827&gt;0,H4827&gt;0),G4827/H4827,"")</f>
        <v/>
      </c>
    </row>
    <row r="4828">
      <c r="A4828" s="4" t="inlineStr">
        <is>
          <t>705</t>
        </is>
      </c>
      <c r="B4828" s="4" t="n">
        <v>7</v>
      </c>
      <c r="C4828" s="4" t="inlineStr">
        <is>
          <t>elk</t>
        </is>
      </c>
      <c r="D4828" s="4" t="n">
        <v>2014</v>
      </c>
      <c r="E4828" s="13" t="inlineStr">
        <is>
          <t>General</t>
        </is>
      </c>
      <c r="F4828" s="5" t="n">
        <v>351</v>
      </c>
      <c r="G4828" s="5" t="n">
        <v>2451</v>
      </c>
      <c r="H4828" s="5" t="n">
        <v>96</v>
      </c>
      <c r="I4828" s="5" t="n">
        <v>53</v>
      </c>
      <c r="J4828" s="5" t="n">
        <v>43</v>
      </c>
      <c r="K4828" s="10">
        <f>IF(F4828&gt;0,H4828/F4828,"")</f>
        <v/>
      </c>
      <c r="L4828" s="16">
        <f>IF(AND(G4828&gt;0,H4828&gt;0),G4828/H4828,"")</f>
        <v/>
      </c>
    </row>
    <row r="4829">
      <c r="A4829" s="4" t="inlineStr">
        <is>
          <t>705</t>
        </is>
      </c>
      <c r="B4829" s="4" t="n">
        <v>7</v>
      </c>
      <c r="C4829" s="4" t="inlineStr">
        <is>
          <t>elk</t>
        </is>
      </c>
      <c r="D4829" s="4" t="n">
        <v>2015</v>
      </c>
      <c r="E4829" s="13" t="inlineStr">
        <is>
          <t>General</t>
        </is>
      </c>
      <c r="F4829" s="5" t="n">
        <v>524</v>
      </c>
      <c r="G4829" s="5" t="n">
        <v>3290</v>
      </c>
      <c r="H4829" s="5" t="n">
        <v>109</v>
      </c>
      <c r="I4829" s="5" t="n">
        <v>56</v>
      </c>
      <c r="J4829" s="5" t="n">
        <v>48</v>
      </c>
      <c r="K4829" s="10">
        <f>IF(F4829&gt;0,H4829/F4829,"")</f>
        <v/>
      </c>
      <c r="L4829" s="16">
        <f>IF(AND(G4829&gt;0,H4829&gt;0),G4829/H4829,"")</f>
        <v/>
      </c>
    </row>
    <row r="4830">
      <c r="A4830" s="4" t="inlineStr">
        <is>
          <t>705</t>
        </is>
      </c>
      <c r="B4830" s="4" t="n">
        <v>7</v>
      </c>
      <c r="C4830" s="4" t="inlineStr">
        <is>
          <t>elk</t>
        </is>
      </c>
      <c r="D4830" s="4" t="n">
        <v>2016</v>
      </c>
      <c r="E4830" s="13" t="inlineStr">
        <is>
          <t>General</t>
        </is>
      </c>
      <c r="F4830" s="5" t="n">
        <v>416</v>
      </c>
      <c r="G4830" s="5" t="n">
        <v>2923</v>
      </c>
      <c r="H4830" s="5" t="n">
        <v>90</v>
      </c>
      <c r="I4830" s="5" t="n">
        <v>43</v>
      </c>
      <c r="J4830" s="5" t="n">
        <v>47</v>
      </c>
      <c r="K4830" s="10">
        <f>IF(F4830&gt;0,H4830/F4830,"")</f>
        <v/>
      </c>
      <c r="L4830" s="16">
        <f>IF(AND(G4830&gt;0,H4830&gt;0),G4830/H4830,"")</f>
        <v/>
      </c>
    </row>
    <row r="4831">
      <c r="A4831" s="4" t="inlineStr">
        <is>
          <t>705</t>
        </is>
      </c>
      <c r="B4831" s="4" t="n">
        <v>7</v>
      </c>
      <c r="C4831" s="4" t="inlineStr">
        <is>
          <t>elk</t>
        </is>
      </c>
      <c r="D4831" s="4" t="n">
        <v>2017</v>
      </c>
      <c r="E4831" s="13" t="inlineStr">
        <is>
          <t>General</t>
        </is>
      </c>
      <c r="F4831" s="5" t="n"/>
      <c r="G4831" s="5" t="n"/>
      <c r="H4831" s="5" t="n">
        <v>107</v>
      </c>
      <c r="I4831" s="5" t="n">
        <v>39</v>
      </c>
      <c r="J4831" s="5" t="n">
        <v>65</v>
      </c>
      <c r="K4831" s="10">
        <f>IF(F4831&gt;0,H4831/F4831,"")</f>
        <v/>
      </c>
      <c r="L4831" s="16">
        <f>IF(AND(G4831&gt;0,H4831&gt;0),G4831/H4831,"")</f>
        <v/>
      </c>
    </row>
    <row r="4832">
      <c r="A4832" s="4" t="inlineStr">
        <is>
          <t>705</t>
        </is>
      </c>
      <c r="B4832" s="4" t="n">
        <v>7</v>
      </c>
      <c r="C4832" s="4" t="inlineStr">
        <is>
          <t>elk</t>
        </is>
      </c>
      <c r="D4832" s="4" t="n">
        <v>2018</v>
      </c>
      <c r="E4832" s="13" t="inlineStr">
        <is>
          <t>General</t>
        </is>
      </c>
      <c r="F4832" s="5" t="n">
        <v>602</v>
      </c>
      <c r="G4832" s="5" t="n">
        <v>3834</v>
      </c>
      <c r="H4832" s="5" t="n">
        <v>159</v>
      </c>
      <c r="I4832" s="5" t="n">
        <v>79</v>
      </c>
      <c r="J4832" s="5" t="n">
        <v>76</v>
      </c>
      <c r="K4832" s="10">
        <f>IF(F4832&gt;0,H4832/F4832,"")</f>
        <v/>
      </c>
      <c r="L4832" s="16">
        <f>IF(AND(G4832&gt;0,H4832&gt;0),G4832/H4832,"")</f>
        <v/>
      </c>
    </row>
    <row r="4833">
      <c r="A4833" s="4" t="inlineStr">
        <is>
          <t>705</t>
        </is>
      </c>
      <c r="B4833" s="4" t="n">
        <v>7</v>
      </c>
      <c r="C4833" s="4" t="inlineStr">
        <is>
          <t>elk</t>
        </is>
      </c>
      <c r="D4833" s="4" t="n">
        <v>2019</v>
      </c>
      <c r="E4833" s="13" t="inlineStr">
        <is>
          <t>General</t>
        </is>
      </c>
      <c r="F4833" s="5" t="n"/>
      <c r="G4833" s="5" t="n"/>
      <c r="H4833" s="5" t="n">
        <v>166</v>
      </c>
      <c r="I4833" s="5" t="n">
        <v>72</v>
      </c>
      <c r="J4833" s="5" t="n">
        <v>87</v>
      </c>
      <c r="K4833" s="10">
        <f>IF(F4833&gt;0,H4833/F4833,"")</f>
        <v/>
      </c>
      <c r="L4833" s="16">
        <f>IF(AND(G4833&gt;0,H4833&gt;0),G4833/H4833,"")</f>
        <v/>
      </c>
    </row>
    <row r="4834">
      <c r="A4834" s="4" t="inlineStr">
        <is>
          <t>705</t>
        </is>
      </c>
      <c r="B4834" s="4" t="n">
        <v>7</v>
      </c>
      <c r="C4834" s="4" t="inlineStr">
        <is>
          <t>elk</t>
        </is>
      </c>
      <c r="D4834" s="4" t="n">
        <v>2020</v>
      </c>
      <c r="E4834" s="13" t="inlineStr">
        <is>
          <t>General</t>
        </is>
      </c>
      <c r="F4834" s="5" t="n">
        <v>529</v>
      </c>
      <c r="G4834" s="5" t="n">
        <v>3535</v>
      </c>
      <c r="H4834" s="5" t="n">
        <v>127</v>
      </c>
      <c r="I4834" s="5" t="n">
        <v>48</v>
      </c>
      <c r="J4834" s="5" t="n">
        <v>75</v>
      </c>
      <c r="K4834" s="10">
        <f>IF(F4834&gt;0,H4834/F4834,"")</f>
        <v/>
      </c>
      <c r="L4834" s="16">
        <f>IF(AND(G4834&gt;0,H4834&gt;0),G4834/H4834,"")</f>
        <v/>
      </c>
    </row>
    <row r="4835">
      <c r="A4835" s="4" t="inlineStr">
        <is>
          <t>705</t>
        </is>
      </c>
      <c r="B4835" s="4" t="n">
        <v>7</v>
      </c>
      <c r="C4835" s="4" t="inlineStr">
        <is>
          <t>elk</t>
        </is>
      </c>
      <c r="D4835" s="4" t="n">
        <v>2021</v>
      </c>
      <c r="E4835" s="13" t="inlineStr">
        <is>
          <t>General</t>
        </is>
      </c>
      <c r="F4835" s="5" t="n"/>
      <c r="G4835" s="5" t="n"/>
      <c r="H4835" s="5" t="n">
        <v>154</v>
      </c>
      <c r="I4835" s="5" t="n">
        <v>63</v>
      </c>
      <c r="J4835" s="5" t="n">
        <v>84</v>
      </c>
      <c r="K4835" s="10">
        <f>IF(F4835&gt;0,H4835/F4835,"")</f>
        <v/>
      </c>
      <c r="L4835" s="16">
        <f>IF(AND(G4835&gt;0,H4835&gt;0),G4835/H4835,"")</f>
        <v/>
      </c>
    </row>
    <row r="4836">
      <c r="A4836" s="4" t="inlineStr">
        <is>
          <t>705</t>
        </is>
      </c>
      <c r="B4836" s="4" t="n">
        <v>7</v>
      </c>
      <c r="C4836" s="4" t="inlineStr">
        <is>
          <t>elk</t>
        </is>
      </c>
      <c r="D4836" s="4" t="n">
        <v>2022</v>
      </c>
      <c r="E4836" s="13" t="inlineStr">
        <is>
          <t>General</t>
        </is>
      </c>
      <c r="F4836" s="5" t="n">
        <v>566</v>
      </c>
      <c r="G4836" s="5" t="n">
        <v>4039</v>
      </c>
      <c r="H4836" s="5" t="n">
        <v>184</v>
      </c>
      <c r="I4836" s="5" t="n">
        <v>66</v>
      </c>
      <c r="J4836" s="5" t="n">
        <v>118</v>
      </c>
      <c r="K4836" s="10">
        <f>IF(F4836&gt;0,H4836/F4836,"")</f>
        <v/>
      </c>
      <c r="L4836" s="16">
        <f>IF(AND(G4836&gt;0,H4836&gt;0),G4836/H4836,"")</f>
        <v/>
      </c>
    </row>
    <row r="4837">
      <c r="A4837" s="4" t="inlineStr">
        <is>
          <t>705</t>
        </is>
      </c>
      <c r="B4837" s="4" t="n">
        <v>7</v>
      </c>
      <c r="C4837" s="4" t="inlineStr">
        <is>
          <t>elk</t>
        </is>
      </c>
      <c r="D4837" s="4" t="n">
        <v>2023</v>
      </c>
      <c r="E4837" s="13" t="inlineStr">
        <is>
          <t>General</t>
        </is>
      </c>
      <c r="F4837" s="5" t="n"/>
      <c r="G4837" s="5" t="n"/>
      <c r="H4837" s="5" t="n">
        <v>171</v>
      </c>
      <c r="I4837" s="5" t="n">
        <v>80</v>
      </c>
      <c r="J4837" s="5" t="n">
        <v>86</v>
      </c>
      <c r="K4837" s="10">
        <f>IF(F4837&gt;0,H4837/F4837,"")</f>
        <v/>
      </c>
      <c r="L4837" s="16">
        <f>IF(AND(G4837&gt;0,H4837&gt;0),G4837/H4837,"")</f>
        <v/>
      </c>
    </row>
    <row r="4838">
      <c r="A4838" s="4" t="inlineStr">
        <is>
          <t>705</t>
        </is>
      </c>
      <c r="B4838" s="4" t="n">
        <v>7</v>
      </c>
      <c r="C4838" s="4" t="inlineStr">
        <is>
          <t>elk</t>
        </is>
      </c>
      <c r="D4838" s="4" t="n">
        <v>2024</v>
      </c>
      <c r="E4838" s="13" t="inlineStr">
        <is>
          <t>General</t>
        </is>
      </c>
      <c r="F4838" s="5" t="n">
        <v>727</v>
      </c>
      <c r="G4838" s="5" t="n">
        <v>5123</v>
      </c>
      <c r="H4838" s="5" t="n">
        <v>203</v>
      </c>
      <c r="I4838" s="5" t="n">
        <v>79</v>
      </c>
      <c r="J4838" s="5" t="n">
        <v>125</v>
      </c>
      <c r="K4838" s="10">
        <f>IF(F4838&gt;0,H4838/F4838,"")</f>
        <v/>
      </c>
      <c r="L4838" s="16">
        <f>IF(AND(G4838&gt;0,H4838&gt;0),G4838/H4838,"")</f>
        <v/>
      </c>
    </row>
    <row r="4839">
      <c r="A4839" s="4" t="inlineStr">
        <is>
          <t>705</t>
        </is>
      </c>
      <c r="B4839" s="4" t="n">
        <v>7</v>
      </c>
      <c r="C4839" s="4" t="inlineStr">
        <is>
          <t>elk</t>
        </is>
      </c>
      <c r="D4839" s="4" t="n">
        <v>2025</v>
      </c>
      <c r="E4839" s="13" t="inlineStr">
        <is>
          <t>General</t>
        </is>
      </c>
      <c r="F4839" s="5" t="n"/>
      <c r="G4839" s="5" t="n"/>
      <c r="H4839" s="5" t="n">
        <v>145</v>
      </c>
      <c r="I4839" s="5" t="n">
        <v>82</v>
      </c>
      <c r="J4839" s="5" t="n">
        <v>60</v>
      </c>
      <c r="K4839" s="10">
        <f>IF(F4839&gt;0,H4839/F4839,"")</f>
        <v/>
      </c>
      <c r="L4839" s="16">
        <f>IF(AND(G4839&gt;0,H4839&gt;0),G4839/H4839,"")</f>
        <v/>
      </c>
    </row>
    <row r="4840">
      <c r="A4840" s="4" t="inlineStr">
        <is>
          <t>100</t>
        </is>
      </c>
      <c r="B4840" s="4" t="n">
        <v>1</v>
      </c>
      <c r="C4840" s="4" t="inlineStr">
        <is>
          <t>mule deer</t>
        </is>
      </c>
      <c r="D4840" s="4" t="n">
        <v>2004</v>
      </c>
      <c r="E4840" s="13" t="inlineStr">
        <is>
          <t>General</t>
        </is>
      </c>
      <c r="F4840" s="5" t="n">
        <v>3496</v>
      </c>
      <c r="G4840" s="5" t="n">
        <v>23521</v>
      </c>
      <c r="H4840" s="5" t="n">
        <v>222</v>
      </c>
      <c r="I4840" s="5" t="n">
        <v>222</v>
      </c>
      <c r="J4840" s="5" t="n">
        <v>0</v>
      </c>
      <c r="K4840" s="10">
        <f>IF(F4840&gt;0,H4840/F4840,"")</f>
        <v/>
      </c>
      <c r="L4840" s="16">
        <f>IF(AND(G4840&gt;0,H4840&gt;0),G4840/H4840,"")</f>
        <v/>
      </c>
    </row>
    <row r="4841">
      <c r="A4841" s="4" t="inlineStr">
        <is>
          <t>100</t>
        </is>
      </c>
      <c r="B4841" s="4" t="n">
        <v>1</v>
      </c>
      <c r="C4841" s="4" t="inlineStr">
        <is>
          <t>mule deer</t>
        </is>
      </c>
      <c r="D4841" s="4" t="n">
        <v>2005</v>
      </c>
      <c r="E4841" s="13" t="inlineStr">
        <is>
          <t>General</t>
        </is>
      </c>
      <c r="F4841" s="5" t="n">
        <v>3178</v>
      </c>
      <c r="G4841" s="5" t="n">
        <v>23840</v>
      </c>
      <c r="H4841" s="5" t="n">
        <v>258</v>
      </c>
      <c r="I4841" s="5" t="n">
        <v>252</v>
      </c>
      <c r="J4841" s="5" t="n">
        <v>6</v>
      </c>
      <c r="K4841" s="10">
        <f>IF(F4841&gt;0,H4841/F4841,"")</f>
        <v/>
      </c>
      <c r="L4841" s="16">
        <f>IF(AND(G4841&gt;0,H4841&gt;0),G4841/H4841,"")</f>
        <v/>
      </c>
    </row>
    <row r="4842">
      <c r="A4842" s="4" t="inlineStr">
        <is>
          <t>100</t>
        </is>
      </c>
      <c r="B4842" s="4" t="n">
        <v>1</v>
      </c>
      <c r="C4842" s="4" t="inlineStr">
        <is>
          <t>mule deer</t>
        </is>
      </c>
      <c r="D4842" s="4" t="n">
        <v>2006</v>
      </c>
      <c r="E4842" s="13" t="inlineStr">
        <is>
          <t>General</t>
        </is>
      </c>
      <c r="F4842" s="5" t="n">
        <v>4153</v>
      </c>
      <c r="G4842" s="5" t="n">
        <v>31191</v>
      </c>
      <c r="H4842" s="5" t="n">
        <v>245</v>
      </c>
      <c r="I4842" s="5" t="n">
        <v>223</v>
      </c>
      <c r="J4842" s="5" t="n">
        <v>22</v>
      </c>
      <c r="K4842" s="10">
        <f>IF(F4842&gt;0,H4842/F4842,"")</f>
        <v/>
      </c>
      <c r="L4842" s="16">
        <f>IF(AND(G4842&gt;0,H4842&gt;0),G4842/H4842,"")</f>
        <v/>
      </c>
    </row>
    <row r="4843">
      <c r="A4843" s="4" t="inlineStr">
        <is>
          <t>100</t>
        </is>
      </c>
      <c r="B4843" s="4" t="n">
        <v>1</v>
      </c>
      <c r="C4843" s="4" t="inlineStr">
        <is>
          <t>mule deer</t>
        </is>
      </c>
      <c r="D4843" s="4" t="n">
        <v>2007</v>
      </c>
      <c r="E4843" s="13" t="inlineStr">
        <is>
          <t>General</t>
        </is>
      </c>
      <c r="F4843" s="5" t="n">
        <v>3490</v>
      </c>
      <c r="G4843" s="5" t="n">
        <v>24865</v>
      </c>
      <c r="H4843" s="5" t="n">
        <v>187</v>
      </c>
      <c r="I4843" s="5" t="n">
        <v>157</v>
      </c>
      <c r="J4843" s="5" t="n">
        <v>30</v>
      </c>
      <c r="K4843" s="10">
        <f>IF(F4843&gt;0,H4843/F4843,"")</f>
        <v/>
      </c>
      <c r="L4843" s="16">
        <f>IF(AND(G4843&gt;0,H4843&gt;0),G4843/H4843,"")</f>
        <v/>
      </c>
    </row>
    <row r="4844">
      <c r="A4844" s="4" t="inlineStr">
        <is>
          <t>100</t>
        </is>
      </c>
      <c r="B4844" s="4" t="n">
        <v>1</v>
      </c>
      <c r="C4844" s="4" t="inlineStr">
        <is>
          <t>mule deer</t>
        </is>
      </c>
      <c r="D4844" s="4" t="n">
        <v>2008</v>
      </c>
      <c r="E4844" s="13" t="inlineStr">
        <is>
          <t>General</t>
        </is>
      </c>
      <c r="F4844" s="5" t="n">
        <v>3675</v>
      </c>
      <c r="G4844" s="5" t="n">
        <v>31121</v>
      </c>
      <c r="H4844" s="5" t="n">
        <v>180</v>
      </c>
      <c r="I4844" s="5" t="n">
        <v>142</v>
      </c>
      <c r="J4844" s="5" t="n">
        <v>33</v>
      </c>
      <c r="K4844" s="10">
        <f>IF(F4844&gt;0,H4844/F4844,"")</f>
        <v/>
      </c>
      <c r="L4844" s="16">
        <f>IF(AND(G4844&gt;0,H4844&gt;0),G4844/H4844,"")</f>
        <v/>
      </c>
    </row>
    <row r="4845">
      <c r="A4845" s="4" t="inlineStr">
        <is>
          <t>100</t>
        </is>
      </c>
      <c r="B4845" s="4" t="n">
        <v>1</v>
      </c>
      <c r="C4845" s="4" t="inlineStr">
        <is>
          <t>mule deer</t>
        </is>
      </c>
      <c r="D4845" s="4" t="n">
        <v>2009</v>
      </c>
      <c r="E4845" s="13" t="inlineStr">
        <is>
          <t>General</t>
        </is>
      </c>
      <c r="F4845" s="5" t="n">
        <v>3562</v>
      </c>
      <c r="G4845" s="5" t="n">
        <v>26944</v>
      </c>
      <c r="H4845" s="5" t="n">
        <v>198</v>
      </c>
      <c r="I4845" s="5" t="n">
        <v>178</v>
      </c>
      <c r="J4845" s="5" t="n">
        <v>20</v>
      </c>
      <c r="K4845" s="10">
        <f>IF(F4845&gt;0,H4845/F4845,"")</f>
        <v/>
      </c>
      <c r="L4845" s="16">
        <f>IF(AND(G4845&gt;0,H4845&gt;0),G4845/H4845,"")</f>
        <v/>
      </c>
    </row>
    <row r="4846">
      <c r="A4846" s="4" t="inlineStr">
        <is>
          <t>100</t>
        </is>
      </c>
      <c r="B4846" s="4" t="n">
        <v>1</v>
      </c>
      <c r="C4846" s="4" t="inlineStr">
        <is>
          <t>mule deer</t>
        </is>
      </c>
      <c r="D4846" s="4" t="n">
        <v>2010</v>
      </c>
      <c r="E4846" s="13" t="inlineStr">
        <is>
          <t>General</t>
        </is>
      </c>
      <c r="F4846" s="5" t="n">
        <v>3190</v>
      </c>
      <c r="G4846" s="5" t="n">
        <v>24536</v>
      </c>
      <c r="H4846" s="5" t="n">
        <v>194</v>
      </c>
      <c r="I4846" s="5" t="n">
        <v>186</v>
      </c>
      <c r="J4846" s="5" t="n">
        <v>8</v>
      </c>
      <c r="K4846" s="10">
        <f>IF(F4846&gt;0,H4846/F4846,"")</f>
        <v/>
      </c>
      <c r="L4846" s="16">
        <f>IF(AND(G4846&gt;0,H4846&gt;0),G4846/H4846,"")</f>
        <v/>
      </c>
    </row>
    <row r="4847">
      <c r="A4847" s="4" t="inlineStr">
        <is>
          <t>100</t>
        </is>
      </c>
      <c r="B4847" s="4" t="n">
        <v>1</v>
      </c>
      <c r="C4847" s="4" t="inlineStr">
        <is>
          <t>mule deer</t>
        </is>
      </c>
      <c r="D4847" s="4" t="n">
        <v>2011</v>
      </c>
      <c r="E4847" s="13" t="inlineStr">
        <is>
          <t>General</t>
        </is>
      </c>
      <c r="F4847" s="5" t="n">
        <v>3082</v>
      </c>
      <c r="G4847" s="5" t="n">
        <v>24830</v>
      </c>
      <c r="H4847" s="5" t="n">
        <v>91</v>
      </c>
      <c r="I4847" s="5" t="n">
        <v>88</v>
      </c>
      <c r="J4847" s="5" t="n">
        <v>3</v>
      </c>
      <c r="K4847" s="10">
        <f>IF(F4847&gt;0,H4847/F4847,"")</f>
        <v/>
      </c>
      <c r="L4847" s="16">
        <f>IF(AND(G4847&gt;0,H4847&gt;0),G4847/H4847,"")</f>
        <v/>
      </c>
    </row>
    <row r="4848">
      <c r="A4848" s="4" t="inlineStr">
        <is>
          <t>100</t>
        </is>
      </c>
      <c r="B4848" s="4" t="n">
        <v>1</v>
      </c>
      <c r="C4848" s="4" t="inlineStr">
        <is>
          <t>mule deer</t>
        </is>
      </c>
      <c r="D4848" s="4" t="n">
        <v>2012</v>
      </c>
      <c r="E4848" s="13" t="inlineStr">
        <is>
          <t>General</t>
        </is>
      </c>
      <c r="F4848" s="5" t="n"/>
      <c r="G4848" s="5" t="n"/>
      <c r="H4848" s="5" t="n">
        <v>128</v>
      </c>
      <c r="I4848" s="5" t="n">
        <v>126</v>
      </c>
      <c r="J4848" s="5" t="n">
        <v>0</v>
      </c>
      <c r="K4848" s="10">
        <f>IF(F4848&gt;0,H4848/F4848,"")</f>
        <v/>
      </c>
      <c r="L4848" s="16">
        <f>IF(AND(G4848&gt;0,H4848&gt;0),G4848/H4848,"")</f>
        <v/>
      </c>
    </row>
    <row r="4849">
      <c r="A4849" s="4" t="inlineStr">
        <is>
          <t>100</t>
        </is>
      </c>
      <c r="B4849" s="4" t="n">
        <v>1</v>
      </c>
      <c r="C4849" s="4" t="inlineStr">
        <is>
          <t>mule deer</t>
        </is>
      </c>
      <c r="D4849" s="4" t="n">
        <v>2013</v>
      </c>
      <c r="E4849" s="13" t="inlineStr">
        <is>
          <t>General</t>
        </is>
      </c>
      <c r="F4849" s="5" t="n">
        <v>3335</v>
      </c>
      <c r="G4849" s="5" t="n">
        <v>27599</v>
      </c>
      <c r="H4849" s="5" t="n">
        <v>119</v>
      </c>
      <c r="I4849" s="5" t="n">
        <v>116</v>
      </c>
      <c r="J4849" s="5" t="n">
        <v>3</v>
      </c>
      <c r="K4849" s="10">
        <f>IF(F4849&gt;0,H4849/F4849,"")</f>
        <v/>
      </c>
      <c r="L4849" s="16">
        <f>IF(AND(G4849&gt;0,H4849&gt;0),G4849/H4849,"")</f>
        <v/>
      </c>
    </row>
    <row r="4850">
      <c r="A4850" s="4" t="inlineStr">
        <is>
          <t>100</t>
        </is>
      </c>
      <c r="B4850" s="4" t="n">
        <v>1</v>
      </c>
      <c r="C4850" s="4" t="inlineStr">
        <is>
          <t>mule deer</t>
        </is>
      </c>
      <c r="D4850" s="4" t="n">
        <v>2014</v>
      </c>
      <c r="E4850" s="13" t="inlineStr">
        <is>
          <t>General</t>
        </is>
      </c>
      <c r="F4850" s="5" t="n"/>
      <c r="G4850" s="5" t="n"/>
      <c r="H4850" s="5" t="n">
        <v>158</v>
      </c>
      <c r="I4850" s="5" t="n">
        <v>156</v>
      </c>
      <c r="J4850" s="5" t="n">
        <v>3</v>
      </c>
      <c r="K4850" s="10">
        <f>IF(F4850&gt;0,H4850/F4850,"")</f>
        <v/>
      </c>
      <c r="L4850" s="16">
        <f>IF(AND(G4850&gt;0,H4850&gt;0),G4850/H4850,"")</f>
        <v/>
      </c>
    </row>
    <row r="4851">
      <c r="A4851" s="4" t="inlineStr">
        <is>
          <t>100</t>
        </is>
      </c>
      <c r="B4851" s="4" t="n">
        <v>1</v>
      </c>
      <c r="C4851" s="4" t="inlineStr">
        <is>
          <t>mule deer</t>
        </is>
      </c>
      <c r="D4851" s="4" t="n">
        <v>2015</v>
      </c>
      <c r="E4851" s="13" t="inlineStr">
        <is>
          <t>General</t>
        </is>
      </c>
      <c r="F4851" s="5" t="n"/>
      <c r="G4851" s="5" t="n"/>
      <c r="H4851" s="5" t="n">
        <v>115</v>
      </c>
      <c r="I4851" s="5" t="n">
        <v>115</v>
      </c>
      <c r="J4851" s="5" t="n">
        <v>0</v>
      </c>
      <c r="K4851" s="10">
        <f>IF(F4851&gt;0,H4851/F4851,"")</f>
        <v/>
      </c>
      <c r="L4851" s="16">
        <f>IF(AND(G4851&gt;0,H4851&gt;0),G4851/H4851,"")</f>
        <v/>
      </c>
    </row>
    <row r="4852">
      <c r="A4852" s="4" t="inlineStr">
        <is>
          <t>100</t>
        </is>
      </c>
      <c r="B4852" s="4" t="n">
        <v>1</v>
      </c>
      <c r="C4852" s="4" t="inlineStr">
        <is>
          <t>mule deer</t>
        </is>
      </c>
      <c r="D4852" s="4" t="n">
        <v>2016</v>
      </c>
      <c r="E4852" s="13" t="inlineStr">
        <is>
          <t>General</t>
        </is>
      </c>
      <c r="F4852" s="5" t="n"/>
      <c r="G4852" s="5" t="n"/>
      <c r="H4852" s="5" t="n">
        <v>212</v>
      </c>
      <c r="I4852" s="5" t="n">
        <v>206</v>
      </c>
      <c r="J4852" s="5" t="n">
        <v>6</v>
      </c>
      <c r="K4852" s="10">
        <f>IF(F4852&gt;0,H4852/F4852,"")</f>
        <v/>
      </c>
      <c r="L4852" s="16">
        <f>IF(AND(G4852&gt;0,H4852&gt;0),G4852/H4852,"")</f>
        <v/>
      </c>
    </row>
    <row r="4853">
      <c r="A4853" s="4" t="inlineStr">
        <is>
          <t>100</t>
        </is>
      </c>
      <c r="B4853" s="4" t="n">
        <v>1</v>
      </c>
      <c r="C4853" s="4" t="inlineStr">
        <is>
          <t>mule deer</t>
        </is>
      </c>
      <c r="D4853" s="4" t="n">
        <v>2017</v>
      </c>
      <c r="E4853" s="13" t="inlineStr">
        <is>
          <t>General</t>
        </is>
      </c>
      <c r="F4853" s="5" t="n">
        <v>2830</v>
      </c>
      <c r="G4853" s="5" t="n">
        <v>20020</v>
      </c>
      <c r="H4853" s="5" t="n">
        <v>97</v>
      </c>
      <c r="I4853" s="5" t="n">
        <v>91</v>
      </c>
      <c r="J4853" s="5" t="n">
        <v>6</v>
      </c>
      <c r="K4853" s="10">
        <f>IF(F4853&gt;0,H4853/F4853,"")</f>
        <v/>
      </c>
      <c r="L4853" s="16">
        <f>IF(AND(G4853&gt;0,H4853&gt;0),G4853/H4853,"")</f>
        <v/>
      </c>
    </row>
    <row r="4854">
      <c r="A4854" s="4" t="inlineStr">
        <is>
          <t>100</t>
        </is>
      </c>
      <c r="B4854" s="4" t="n">
        <v>1</v>
      </c>
      <c r="C4854" s="4" t="inlineStr">
        <is>
          <t>mule deer</t>
        </is>
      </c>
      <c r="D4854" s="4" t="n">
        <v>2018</v>
      </c>
      <c r="E4854" s="13" t="inlineStr">
        <is>
          <t>General</t>
        </is>
      </c>
      <c r="F4854" s="5" t="n"/>
      <c r="G4854" s="5" t="n"/>
      <c r="H4854" s="5" t="n">
        <v>66</v>
      </c>
      <c r="I4854" s="5" t="n">
        <v>66</v>
      </c>
      <c r="J4854" s="5" t="n">
        <v>0</v>
      </c>
      <c r="K4854" s="10">
        <f>IF(F4854&gt;0,H4854/F4854,"")</f>
        <v/>
      </c>
      <c r="L4854" s="16">
        <f>IF(AND(G4854&gt;0,H4854&gt;0),G4854/H4854,"")</f>
        <v/>
      </c>
    </row>
    <row r="4855">
      <c r="A4855" s="4" t="inlineStr">
        <is>
          <t>100</t>
        </is>
      </c>
      <c r="B4855" s="4" t="n">
        <v>1</v>
      </c>
      <c r="C4855" s="4" t="inlineStr">
        <is>
          <t>mule deer</t>
        </is>
      </c>
      <c r="D4855" s="4" t="n">
        <v>2019</v>
      </c>
      <c r="E4855" s="13" t="inlineStr">
        <is>
          <t>General</t>
        </is>
      </c>
      <c r="F4855" s="5" t="n">
        <v>2392</v>
      </c>
      <c r="G4855" s="5" t="n">
        <v>18802</v>
      </c>
      <c r="H4855" s="5" t="n">
        <v>104</v>
      </c>
      <c r="I4855" s="5" t="n">
        <v>104</v>
      </c>
      <c r="J4855" s="5" t="n">
        <v>0</v>
      </c>
      <c r="K4855" s="10">
        <f>IF(F4855&gt;0,H4855/F4855,"")</f>
        <v/>
      </c>
      <c r="L4855" s="16">
        <f>IF(AND(G4855&gt;0,H4855&gt;0),G4855/H4855,"")</f>
        <v/>
      </c>
    </row>
    <row r="4856">
      <c r="A4856" s="4" t="inlineStr">
        <is>
          <t>100</t>
        </is>
      </c>
      <c r="B4856" s="4" t="n">
        <v>1</v>
      </c>
      <c r="C4856" s="4" t="inlineStr">
        <is>
          <t>mule deer</t>
        </is>
      </c>
      <c r="D4856" s="4" t="n">
        <v>2020</v>
      </c>
      <c r="E4856" s="13" t="inlineStr">
        <is>
          <t>General</t>
        </is>
      </c>
      <c r="F4856" s="5" t="n"/>
      <c r="G4856" s="5" t="n"/>
      <c r="H4856" s="5" t="n">
        <v>137</v>
      </c>
      <c r="I4856" s="5" t="n">
        <v>127</v>
      </c>
      <c r="J4856" s="5" t="n">
        <v>11</v>
      </c>
      <c r="K4856" s="10">
        <f>IF(F4856&gt;0,H4856/F4856,"")</f>
        <v/>
      </c>
      <c r="L4856" s="16">
        <f>IF(AND(G4856&gt;0,H4856&gt;0),G4856/H4856,"")</f>
        <v/>
      </c>
    </row>
    <row r="4857">
      <c r="A4857" s="4" t="inlineStr">
        <is>
          <t>100</t>
        </is>
      </c>
      <c r="B4857" s="4" t="n">
        <v>1</v>
      </c>
      <c r="C4857" s="4" t="inlineStr">
        <is>
          <t>mule deer</t>
        </is>
      </c>
      <c r="D4857" s="4" t="n">
        <v>2021</v>
      </c>
      <c r="E4857" s="13" t="inlineStr">
        <is>
          <t>General</t>
        </is>
      </c>
      <c r="F4857" s="5" t="n">
        <v>2402</v>
      </c>
      <c r="G4857" s="5" t="n">
        <v>17422</v>
      </c>
      <c r="H4857" s="5" t="n">
        <v>165</v>
      </c>
      <c r="I4857" s="5" t="n">
        <v>153</v>
      </c>
      <c r="J4857" s="5" t="n">
        <v>11</v>
      </c>
      <c r="K4857" s="10">
        <f>IF(F4857&gt;0,H4857/F4857,"")</f>
        <v/>
      </c>
      <c r="L4857" s="16">
        <f>IF(AND(G4857&gt;0,H4857&gt;0),G4857/H4857,"")</f>
        <v/>
      </c>
    </row>
    <row r="4858">
      <c r="A4858" s="4" t="inlineStr">
        <is>
          <t>100</t>
        </is>
      </c>
      <c r="B4858" s="4" t="n">
        <v>1</v>
      </c>
      <c r="C4858" s="4" t="inlineStr">
        <is>
          <t>mule deer</t>
        </is>
      </c>
      <c r="D4858" s="4" t="n">
        <v>2022</v>
      </c>
      <c r="E4858" s="13" t="inlineStr">
        <is>
          <t>General</t>
        </is>
      </c>
      <c r="F4858" s="5" t="n"/>
      <c r="G4858" s="5" t="n"/>
      <c r="H4858" s="5" t="n">
        <v>176</v>
      </c>
      <c r="I4858" s="5" t="n">
        <v>166</v>
      </c>
      <c r="J4858" s="5" t="n">
        <v>9</v>
      </c>
      <c r="K4858" s="10">
        <f>IF(F4858&gt;0,H4858/F4858,"")</f>
        <v/>
      </c>
      <c r="L4858" s="16">
        <f>IF(AND(G4858&gt;0,H4858&gt;0),G4858/H4858,"")</f>
        <v/>
      </c>
    </row>
    <row r="4859">
      <c r="A4859" s="4" t="inlineStr">
        <is>
          <t>100</t>
        </is>
      </c>
      <c r="B4859" s="4" t="n">
        <v>1</v>
      </c>
      <c r="C4859" s="4" t="inlineStr">
        <is>
          <t>mule deer</t>
        </is>
      </c>
      <c r="D4859" s="4" t="n">
        <v>2023</v>
      </c>
      <c r="E4859" s="13" t="inlineStr">
        <is>
          <t>General</t>
        </is>
      </c>
      <c r="F4859" s="5" t="n">
        <v>2846</v>
      </c>
      <c r="G4859" s="5" t="n">
        <v>23556</v>
      </c>
      <c r="H4859" s="5" t="n">
        <v>169</v>
      </c>
      <c r="I4859" s="5" t="n">
        <v>162</v>
      </c>
      <c r="J4859" s="5" t="n">
        <v>7</v>
      </c>
      <c r="K4859" s="10">
        <f>IF(F4859&gt;0,H4859/F4859,"")</f>
        <v/>
      </c>
      <c r="L4859" s="16">
        <f>IF(AND(G4859&gt;0,H4859&gt;0),G4859/H4859,"")</f>
        <v/>
      </c>
    </row>
    <row r="4860">
      <c r="A4860" s="4" t="inlineStr">
        <is>
          <t>100</t>
        </is>
      </c>
      <c r="B4860" s="4" t="n">
        <v>1</v>
      </c>
      <c r="C4860" s="4" t="inlineStr">
        <is>
          <t>mule deer</t>
        </is>
      </c>
      <c r="D4860" s="4" t="n">
        <v>2024</v>
      </c>
      <c r="E4860" s="13" t="inlineStr">
        <is>
          <t>General</t>
        </is>
      </c>
      <c r="F4860" s="5" t="n"/>
      <c r="G4860" s="5" t="n"/>
      <c r="H4860" s="5" t="n">
        <v>113</v>
      </c>
      <c r="I4860" s="5" t="n">
        <v>113</v>
      </c>
      <c r="J4860" s="5" t="n">
        <v>0</v>
      </c>
      <c r="K4860" s="10">
        <f>IF(F4860&gt;0,H4860/F4860,"")</f>
        <v/>
      </c>
      <c r="L4860" s="16">
        <f>IF(AND(G4860&gt;0,H4860&gt;0),G4860/H4860,"")</f>
        <v/>
      </c>
    </row>
    <row r="4861">
      <c r="A4861" s="4" t="inlineStr">
        <is>
          <t>100</t>
        </is>
      </c>
      <c r="B4861" s="4" t="n">
        <v>1</v>
      </c>
      <c r="C4861" s="4" t="inlineStr">
        <is>
          <t>mule deer</t>
        </is>
      </c>
      <c r="D4861" s="4" t="n">
        <v>2025</v>
      </c>
      <c r="E4861" s="13" t="inlineStr">
        <is>
          <t>General</t>
        </is>
      </c>
      <c r="F4861" s="5" t="n">
        <v>2765</v>
      </c>
      <c r="G4861" s="5" t="n">
        <v>22537</v>
      </c>
      <c r="H4861" s="5" t="n">
        <v>119</v>
      </c>
      <c r="I4861" s="5" t="n">
        <v>116</v>
      </c>
      <c r="J4861" s="5" t="n">
        <v>3</v>
      </c>
      <c r="K4861" s="10">
        <f>IF(F4861&gt;0,H4861/F4861,"")</f>
        <v/>
      </c>
      <c r="L4861" s="16">
        <f>IF(AND(G4861&gt;0,H4861&gt;0),G4861/H4861,"")</f>
        <v/>
      </c>
    </row>
    <row r="4862">
      <c r="A4862" s="4" t="inlineStr">
        <is>
          <t>101</t>
        </is>
      </c>
      <c r="B4862" s="4" t="n">
        <v>1</v>
      </c>
      <c r="C4862" s="4" t="inlineStr">
        <is>
          <t>mule deer</t>
        </is>
      </c>
      <c r="D4862" s="4" t="n">
        <v>2004</v>
      </c>
      <c r="E4862" s="13" t="inlineStr">
        <is>
          <t>General</t>
        </is>
      </c>
      <c r="F4862" s="5" t="n">
        <v>3007</v>
      </c>
      <c r="G4862" s="5" t="n">
        <v>19204</v>
      </c>
      <c r="H4862" s="5" t="n">
        <v>204</v>
      </c>
      <c r="I4862" s="5" t="n">
        <v>203</v>
      </c>
      <c r="J4862" s="5" t="n">
        <v>2</v>
      </c>
      <c r="K4862" s="10">
        <f>IF(F4862&gt;0,H4862/F4862,"")</f>
        <v/>
      </c>
      <c r="L4862" s="16">
        <f>IF(AND(G4862&gt;0,H4862&gt;0),G4862/H4862,"")</f>
        <v/>
      </c>
    </row>
    <row r="4863">
      <c r="A4863" s="4" t="inlineStr">
        <is>
          <t>101</t>
        </is>
      </c>
      <c r="B4863" s="4" t="n">
        <v>1</v>
      </c>
      <c r="C4863" s="4" t="inlineStr">
        <is>
          <t>mule deer</t>
        </is>
      </c>
      <c r="D4863" s="4" t="n">
        <v>2005</v>
      </c>
      <c r="E4863" s="13" t="inlineStr">
        <is>
          <t>General</t>
        </is>
      </c>
      <c r="F4863" s="5" t="n">
        <v>2996</v>
      </c>
      <c r="G4863" s="5" t="n">
        <v>21868</v>
      </c>
      <c r="H4863" s="5" t="n">
        <v>203</v>
      </c>
      <c r="I4863" s="5" t="n">
        <v>194</v>
      </c>
      <c r="J4863" s="5" t="n">
        <v>8</v>
      </c>
      <c r="K4863" s="10">
        <f>IF(F4863&gt;0,H4863/F4863,"")</f>
        <v/>
      </c>
      <c r="L4863" s="16">
        <f>IF(AND(G4863&gt;0,H4863&gt;0),G4863/H4863,"")</f>
        <v/>
      </c>
    </row>
    <row r="4864">
      <c r="A4864" s="4" t="inlineStr">
        <is>
          <t>101</t>
        </is>
      </c>
      <c r="B4864" s="4" t="n">
        <v>1</v>
      </c>
      <c r="C4864" s="4" t="inlineStr">
        <is>
          <t>mule deer</t>
        </is>
      </c>
      <c r="D4864" s="4" t="n">
        <v>2006</v>
      </c>
      <c r="E4864" s="13" t="inlineStr">
        <is>
          <t>General</t>
        </is>
      </c>
      <c r="F4864" s="5" t="n">
        <v>3249</v>
      </c>
      <c r="G4864" s="5" t="n">
        <v>24159</v>
      </c>
      <c r="H4864" s="5" t="n">
        <v>170</v>
      </c>
      <c r="I4864" s="5" t="n">
        <v>147</v>
      </c>
      <c r="J4864" s="5" t="n">
        <v>24</v>
      </c>
      <c r="K4864" s="10">
        <f>IF(F4864&gt;0,H4864/F4864,"")</f>
        <v/>
      </c>
      <c r="L4864" s="16">
        <f>IF(AND(G4864&gt;0,H4864&gt;0),G4864/H4864,"")</f>
        <v/>
      </c>
    </row>
    <row r="4865">
      <c r="A4865" s="4" t="inlineStr">
        <is>
          <t>101</t>
        </is>
      </c>
      <c r="B4865" s="4" t="n">
        <v>1</v>
      </c>
      <c r="C4865" s="4" t="inlineStr">
        <is>
          <t>mule deer</t>
        </is>
      </c>
      <c r="D4865" s="4" t="n">
        <v>2007</v>
      </c>
      <c r="E4865" s="13" t="inlineStr">
        <is>
          <t>General</t>
        </is>
      </c>
      <c r="F4865" s="5" t="n">
        <v>2950</v>
      </c>
      <c r="G4865" s="5" t="n">
        <v>21434</v>
      </c>
      <c r="H4865" s="5" t="n">
        <v>122</v>
      </c>
      <c r="I4865" s="5" t="n">
        <v>109</v>
      </c>
      <c r="J4865" s="5" t="n">
        <v>13</v>
      </c>
      <c r="K4865" s="10">
        <f>IF(F4865&gt;0,H4865/F4865,"")</f>
        <v/>
      </c>
      <c r="L4865" s="16">
        <f>IF(AND(G4865&gt;0,H4865&gt;0),G4865/H4865,"")</f>
        <v/>
      </c>
    </row>
    <row r="4866">
      <c r="A4866" s="4" t="inlineStr">
        <is>
          <t>101</t>
        </is>
      </c>
      <c r="B4866" s="4" t="n">
        <v>1</v>
      </c>
      <c r="C4866" s="4" t="inlineStr">
        <is>
          <t>mule deer</t>
        </is>
      </c>
      <c r="D4866" s="4" t="n">
        <v>2008</v>
      </c>
      <c r="E4866" s="13" t="inlineStr">
        <is>
          <t>General</t>
        </is>
      </c>
      <c r="F4866" s="5" t="n">
        <v>2969</v>
      </c>
      <c r="G4866" s="5" t="n">
        <v>24712</v>
      </c>
      <c r="H4866" s="5" t="n">
        <v>87</v>
      </c>
      <c r="I4866" s="5" t="n">
        <v>74</v>
      </c>
      <c r="J4866" s="5" t="n">
        <v>13</v>
      </c>
      <c r="K4866" s="10">
        <f>IF(F4866&gt;0,H4866/F4866,"")</f>
        <v/>
      </c>
      <c r="L4866" s="16">
        <f>IF(AND(G4866&gt;0,H4866&gt;0),G4866/H4866,"")</f>
        <v/>
      </c>
    </row>
    <row r="4867">
      <c r="A4867" s="4" t="inlineStr">
        <is>
          <t>101</t>
        </is>
      </c>
      <c r="B4867" s="4" t="n">
        <v>1</v>
      </c>
      <c r="C4867" s="4" t="inlineStr">
        <is>
          <t>mule deer</t>
        </is>
      </c>
      <c r="D4867" s="4" t="n">
        <v>2009</v>
      </c>
      <c r="E4867" s="13" t="inlineStr">
        <is>
          <t>General</t>
        </is>
      </c>
      <c r="F4867" s="5" t="n">
        <v>2785</v>
      </c>
      <c r="G4867" s="5" t="n">
        <v>20770</v>
      </c>
      <c r="H4867" s="5" t="n">
        <v>71</v>
      </c>
      <c r="I4867" s="5" t="n">
        <v>68</v>
      </c>
      <c r="J4867" s="5" t="n">
        <v>3</v>
      </c>
      <c r="K4867" s="10">
        <f>IF(F4867&gt;0,H4867/F4867,"")</f>
        <v/>
      </c>
      <c r="L4867" s="16">
        <f>IF(AND(G4867&gt;0,H4867&gt;0),G4867/H4867,"")</f>
        <v/>
      </c>
    </row>
    <row r="4868">
      <c r="A4868" s="4" t="inlineStr">
        <is>
          <t>101</t>
        </is>
      </c>
      <c r="B4868" s="4" t="n">
        <v>1</v>
      </c>
      <c r="C4868" s="4" t="inlineStr">
        <is>
          <t>mule deer</t>
        </is>
      </c>
      <c r="D4868" s="4" t="n">
        <v>2010</v>
      </c>
      <c r="E4868" s="13" t="inlineStr">
        <is>
          <t>General</t>
        </is>
      </c>
      <c r="F4868" s="5" t="n">
        <v>2418</v>
      </c>
      <c r="G4868" s="5" t="n">
        <v>21044</v>
      </c>
      <c r="H4868" s="5" t="n">
        <v>133</v>
      </c>
      <c r="I4868" s="5" t="n">
        <v>127</v>
      </c>
      <c r="J4868" s="5" t="n">
        <v>3</v>
      </c>
      <c r="K4868" s="10">
        <f>IF(F4868&gt;0,H4868/F4868,"")</f>
        <v/>
      </c>
      <c r="L4868" s="16">
        <f>IF(AND(G4868&gt;0,H4868&gt;0),G4868/H4868,"")</f>
        <v/>
      </c>
    </row>
    <row r="4869">
      <c r="A4869" s="4" t="inlineStr">
        <is>
          <t>101</t>
        </is>
      </c>
      <c r="B4869" s="4" t="n">
        <v>1</v>
      </c>
      <c r="C4869" s="4" t="inlineStr">
        <is>
          <t>mule deer</t>
        </is>
      </c>
      <c r="D4869" s="4" t="n">
        <v>2011</v>
      </c>
      <c r="E4869" s="13" t="inlineStr">
        <is>
          <t>General</t>
        </is>
      </c>
      <c r="F4869" s="5" t="n">
        <v>3001</v>
      </c>
      <c r="G4869" s="5" t="n">
        <v>24152</v>
      </c>
      <c r="H4869" s="5" t="n">
        <v>73</v>
      </c>
      <c r="I4869" s="5" t="n">
        <v>70</v>
      </c>
      <c r="J4869" s="5" t="n">
        <v>3</v>
      </c>
      <c r="K4869" s="10">
        <f>IF(F4869&gt;0,H4869/F4869,"")</f>
        <v/>
      </c>
      <c r="L4869" s="16">
        <f>IF(AND(G4869&gt;0,H4869&gt;0),G4869/H4869,"")</f>
        <v/>
      </c>
    </row>
    <row r="4870">
      <c r="A4870" s="4" t="inlineStr">
        <is>
          <t>101</t>
        </is>
      </c>
      <c r="B4870" s="4" t="n">
        <v>1</v>
      </c>
      <c r="C4870" s="4" t="inlineStr">
        <is>
          <t>mule deer</t>
        </is>
      </c>
      <c r="D4870" s="4" t="n">
        <v>2012</v>
      </c>
      <c r="E4870" s="13" t="inlineStr">
        <is>
          <t>General</t>
        </is>
      </c>
      <c r="F4870" s="5" t="n"/>
      <c r="G4870" s="5" t="n"/>
      <c r="H4870" s="5" t="n">
        <v>81</v>
      </c>
      <c r="I4870" s="5" t="n">
        <v>81</v>
      </c>
      <c r="J4870" s="5" t="n">
        <v>0</v>
      </c>
      <c r="K4870" s="10">
        <f>IF(F4870&gt;0,H4870/F4870,"")</f>
        <v/>
      </c>
      <c r="L4870" s="16">
        <f>IF(AND(G4870&gt;0,H4870&gt;0),G4870/H4870,"")</f>
        <v/>
      </c>
    </row>
    <row r="4871">
      <c r="A4871" s="4" t="inlineStr">
        <is>
          <t>101</t>
        </is>
      </c>
      <c r="B4871" s="4" t="n">
        <v>1</v>
      </c>
      <c r="C4871" s="4" t="inlineStr">
        <is>
          <t>mule deer</t>
        </is>
      </c>
      <c r="D4871" s="4" t="n">
        <v>2013</v>
      </c>
      <c r="E4871" s="13" t="inlineStr">
        <is>
          <t>General</t>
        </is>
      </c>
      <c r="F4871" s="5" t="n">
        <v>2842</v>
      </c>
      <c r="G4871" s="5" t="n">
        <v>21391</v>
      </c>
      <c r="H4871" s="5" t="n">
        <v>90</v>
      </c>
      <c r="I4871" s="5" t="n">
        <v>90</v>
      </c>
      <c r="J4871" s="5" t="n">
        <v>0</v>
      </c>
      <c r="K4871" s="10">
        <f>IF(F4871&gt;0,H4871/F4871,"")</f>
        <v/>
      </c>
      <c r="L4871" s="16">
        <f>IF(AND(G4871&gt;0,H4871&gt;0),G4871/H4871,"")</f>
        <v/>
      </c>
    </row>
    <row r="4872">
      <c r="A4872" s="4" t="inlineStr">
        <is>
          <t>101</t>
        </is>
      </c>
      <c r="B4872" s="4" t="n">
        <v>1</v>
      </c>
      <c r="C4872" s="4" t="inlineStr">
        <is>
          <t>mule deer</t>
        </is>
      </c>
      <c r="D4872" s="4" t="n">
        <v>2014</v>
      </c>
      <c r="E4872" s="13" t="inlineStr">
        <is>
          <t>General</t>
        </is>
      </c>
      <c r="F4872" s="5" t="n"/>
      <c r="G4872" s="5" t="n"/>
      <c r="H4872" s="5" t="n">
        <v>93</v>
      </c>
      <c r="I4872" s="5" t="n">
        <v>93</v>
      </c>
      <c r="J4872" s="5" t="n">
        <v>0</v>
      </c>
      <c r="K4872" s="10">
        <f>IF(F4872&gt;0,H4872/F4872,"")</f>
        <v/>
      </c>
      <c r="L4872" s="16">
        <f>IF(AND(G4872&gt;0,H4872&gt;0),G4872/H4872,"")</f>
        <v/>
      </c>
    </row>
    <row r="4873">
      <c r="A4873" s="4" t="inlineStr">
        <is>
          <t>101</t>
        </is>
      </c>
      <c r="B4873" s="4" t="n">
        <v>1</v>
      </c>
      <c r="C4873" s="4" t="inlineStr">
        <is>
          <t>mule deer</t>
        </is>
      </c>
      <c r="D4873" s="4" t="n">
        <v>2015</v>
      </c>
      <c r="E4873" s="13" t="inlineStr">
        <is>
          <t>General</t>
        </is>
      </c>
      <c r="F4873" s="5" t="n"/>
      <c r="G4873" s="5" t="n"/>
      <c r="H4873" s="5" t="n">
        <v>57</v>
      </c>
      <c r="I4873" s="5" t="n">
        <v>55</v>
      </c>
      <c r="J4873" s="5" t="n">
        <v>3</v>
      </c>
      <c r="K4873" s="10">
        <f>IF(F4873&gt;0,H4873/F4873,"")</f>
        <v/>
      </c>
      <c r="L4873" s="16">
        <f>IF(AND(G4873&gt;0,H4873&gt;0),G4873/H4873,"")</f>
        <v/>
      </c>
    </row>
    <row r="4874">
      <c r="A4874" s="4" t="inlineStr">
        <is>
          <t>101</t>
        </is>
      </c>
      <c r="B4874" s="4" t="n">
        <v>1</v>
      </c>
      <c r="C4874" s="4" t="inlineStr">
        <is>
          <t>mule deer</t>
        </is>
      </c>
      <c r="D4874" s="4" t="n">
        <v>2016</v>
      </c>
      <c r="E4874" s="13" t="inlineStr">
        <is>
          <t>General</t>
        </is>
      </c>
      <c r="F4874" s="5" t="n"/>
      <c r="G4874" s="5" t="n"/>
      <c r="H4874" s="5" t="n">
        <v>121</v>
      </c>
      <c r="I4874" s="5" t="n">
        <v>121</v>
      </c>
      <c r="J4874" s="5" t="n">
        <v>0</v>
      </c>
      <c r="K4874" s="10">
        <f>IF(F4874&gt;0,H4874/F4874,"")</f>
        <v/>
      </c>
      <c r="L4874" s="16">
        <f>IF(AND(G4874&gt;0,H4874&gt;0),G4874/H4874,"")</f>
        <v/>
      </c>
    </row>
    <row r="4875">
      <c r="A4875" s="4" t="inlineStr">
        <is>
          <t>101</t>
        </is>
      </c>
      <c r="B4875" s="4" t="n">
        <v>1</v>
      </c>
      <c r="C4875" s="4" t="inlineStr">
        <is>
          <t>mule deer</t>
        </is>
      </c>
      <c r="D4875" s="4" t="n">
        <v>2017</v>
      </c>
      <c r="E4875" s="13" t="inlineStr">
        <is>
          <t>General</t>
        </is>
      </c>
      <c r="F4875" s="5" t="n">
        <v>2765</v>
      </c>
      <c r="G4875" s="5" t="n">
        <v>19038</v>
      </c>
      <c r="H4875" s="5" t="n">
        <v>50</v>
      </c>
      <c r="I4875" s="5" t="n">
        <v>50</v>
      </c>
      <c r="J4875" s="5" t="n">
        <v>0</v>
      </c>
      <c r="K4875" s="10">
        <f>IF(F4875&gt;0,H4875/F4875,"")</f>
        <v/>
      </c>
      <c r="L4875" s="16">
        <f>IF(AND(G4875&gt;0,H4875&gt;0),G4875/H4875,"")</f>
        <v/>
      </c>
    </row>
    <row r="4876">
      <c r="A4876" s="4" t="inlineStr">
        <is>
          <t>101</t>
        </is>
      </c>
      <c r="B4876" s="4" t="n">
        <v>1</v>
      </c>
      <c r="C4876" s="4" t="inlineStr">
        <is>
          <t>mule deer</t>
        </is>
      </c>
      <c r="D4876" s="4" t="n">
        <v>2018</v>
      </c>
      <c r="E4876" s="13" t="inlineStr">
        <is>
          <t>General</t>
        </is>
      </c>
      <c r="F4876" s="5" t="n"/>
      <c r="G4876" s="5" t="n"/>
      <c r="H4876" s="5" t="n">
        <v>63</v>
      </c>
      <c r="I4876" s="5" t="n">
        <v>60</v>
      </c>
      <c r="J4876" s="5" t="n">
        <v>3</v>
      </c>
      <c r="K4876" s="10">
        <f>IF(F4876&gt;0,H4876/F4876,"")</f>
        <v/>
      </c>
      <c r="L4876" s="16">
        <f>IF(AND(G4876&gt;0,H4876&gt;0),G4876/H4876,"")</f>
        <v/>
      </c>
    </row>
    <row r="4877">
      <c r="A4877" s="4" t="inlineStr">
        <is>
          <t>101</t>
        </is>
      </c>
      <c r="B4877" s="4" t="n">
        <v>1</v>
      </c>
      <c r="C4877" s="4" t="inlineStr">
        <is>
          <t>mule deer</t>
        </is>
      </c>
      <c r="D4877" s="4" t="n">
        <v>2019</v>
      </c>
      <c r="E4877" s="13" t="inlineStr">
        <is>
          <t>General</t>
        </is>
      </c>
      <c r="F4877" s="5" t="n">
        <v>2463</v>
      </c>
      <c r="G4877" s="5" t="n">
        <v>17376</v>
      </c>
      <c r="H4877" s="5" t="n">
        <v>88</v>
      </c>
      <c r="I4877" s="5" t="n">
        <v>81</v>
      </c>
      <c r="J4877" s="5" t="n">
        <v>7</v>
      </c>
      <c r="K4877" s="10">
        <f>IF(F4877&gt;0,H4877/F4877,"")</f>
        <v/>
      </c>
      <c r="L4877" s="16">
        <f>IF(AND(G4877&gt;0,H4877&gt;0),G4877/H4877,"")</f>
        <v/>
      </c>
    </row>
    <row r="4878">
      <c r="A4878" s="4" t="inlineStr">
        <is>
          <t>101</t>
        </is>
      </c>
      <c r="B4878" s="4" t="n">
        <v>1</v>
      </c>
      <c r="C4878" s="4" t="inlineStr">
        <is>
          <t>mule deer</t>
        </is>
      </c>
      <c r="D4878" s="4" t="n">
        <v>2020</v>
      </c>
      <c r="E4878" s="13" t="inlineStr">
        <is>
          <t>General</t>
        </is>
      </c>
      <c r="F4878" s="5" t="n"/>
      <c r="G4878" s="5" t="n"/>
      <c r="H4878" s="5" t="n">
        <v>66</v>
      </c>
      <c r="I4878" s="5" t="n">
        <v>63</v>
      </c>
      <c r="J4878" s="5" t="n">
        <v>3</v>
      </c>
      <c r="K4878" s="10">
        <f>IF(F4878&gt;0,H4878/F4878,"")</f>
        <v/>
      </c>
      <c r="L4878" s="16">
        <f>IF(AND(G4878&gt;0,H4878&gt;0),G4878/H4878,"")</f>
        <v/>
      </c>
    </row>
    <row r="4879">
      <c r="A4879" s="4" t="inlineStr">
        <is>
          <t>101</t>
        </is>
      </c>
      <c r="B4879" s="4" t="n">
        <v>1</v>
      </c>
      <c r="C4879" s="4" t="inlineStr">
        <is>
          <t>mule deer</t>
        </is>
      </c>
      <c r="D4879" s="4" t="n">
        <v>2021</v>
      </c>
      <c r="E4879" s="13" t="inlineStr">
        <is>
          <t>General</t>
        </is>
      </c>
      <c r="F4879" s="5" t="n">
        <v>2328</v>
      </c>
      <c r="G4879" s="5" t="n">
        <v>15644</v>
      </c>
      <c r="H4879" s="5" t="n">
        <v>74</v>
      </c>
      <c r="I4879" s="5" t="n">
        <v>71</v>
      </c>
      <c r="J4879" s="5" t="n">
        <v>3</v>
      </c>
      <c r="K4879" s="10">
        <f>IF(F4879&gt;0,H4879/F4879,"")</f>
        <v/>
      </c>
      <c r="L4879" s="16">
        <f>IF(AND(G4879&gt;0,H4879&gt;0),G4879/H4879,"")</f>
        <v/>
      </c>
    </row>
    <row r="4880">
      <c r="A4880" s="4" t="inlineStr">
        <is>
          <t>101</t>
        </is>
      </c>
      <c r="B4880" s="4" t="n">
        <v>1</v>
      </c>
      <c r="C4880" s="4" t="inlineStr">
        <is>
          <t>mule deer</t>
        </is>
      </c>
      <c r="D4880" s="4" t="n">
        <v>2022</v>
      </c>
      <c r="E4880" s="13" t="inlineStr">
        <is>
          <t>General</t>
        </is>
      </c>
      <c r="F4880" s="5" t="n"/>
      <c r="G4880" s="5" t="n"/>
      <c r="H4880" s="5" t="n">
        <v>110</v>
      </c>
      <c r="I4880" s="5" t="n">
        <v>107</v>
      </c>
      <c r="J4880" s="5" t="n">
        <v>3</v>
      </c>
      <c r="K4880" s="10">
        <f>IF(F4880&gt;0,H4880/F4880,"")</f>
        <v/>
      </c>
      <c r="L4880" s="16">
        <f>IF(AND(G4880&gt;0,H4880&gt;0),G4880/H4880,"")</f>
        <v/>
      </c>
    </row>
    <row r="4881">
      <c r="A4881" s="4" t="inlineStr">
        <is>
          <t>101</t>
        </is>
      </c>
      <c r="B4881" s="4" t="n">
        <v>1</v>
      </c>
      <c r="C4881" s="4" t="inlineStr">
        <is>
          <t>mule deer</t>
        </is>
      </c>
      <c r="D4881" s="4" t="n">
        <v>2023</v>
      </c>
      <c r="E4881" s="13" t="inlineStr">
        <is>
          <t>General</t>
        </is>
      </c>
      <c r="F4881" s="5" t="n">
        <v>2955</v>
      </c>
      <c r="G4881" s="5" t="n">
        <v>21834</v>
      </c>
      <c r="H4881" s="5" t="n">
        <v>106</v>
      </c>
      <c r="I4881" s="5" t="n">
        <v>102</v>
      </c>
      <c r="J4881" s="5" t="n">
        <v>3</v>
      </c>
      <c r="K4881" s="10">
        <f>IF(F4881&gt;0,H4881/F4881,"")</f>
        <v/>
      </c>
      <c r="L4881" s="16">
        <f>IF(AND(G4881&gt;0,H4881&gt;0),G4881/H4881,"")</f>
        <v/>
      </c>
    </row>
    <row r="4882">
      <c r="A4882" s="4" t="inlineStr">
        <is>
          <t>101</t>
        </is>
      </c>
      <c r="B4882" s="4" t="n">
        <v>1</v>
      </c>
      <c r="C4882" s="4" t="inlineStr">
        <is>
          <t>mule deer</t>
        </is>
      </c>
      <c r="D4882" s="4" t="n">
        <v>2024</v>
      </c>
      <c r="E4882" s="13" t="inlineStr">
        <is>
          <t>General</t>
        </is>
      </c>
      <c r="F4882" s="5" t="n"/>
      <c r="G4882" s="5" t="n"/>
      <c r="H4882" s="5" t="n">
        <v>125</v>
      </c>
      <c r="I4882" s="5" t="n">
        <v>118</v>
      </c>
      <c r="J4882" s="5" t="n">
        <v>7</v>
      </c>
      <c r="K4882" s="10">
        <f>IF(F4882&gt;0,H4882/F4882,"")</f>
        <v/>
      </c>
      <c r="L4882" s="16">
        <f>IF(AND(G4882&gt;0,H4882&gt;0),G4882/H4882,"")</f>
        <v/>
      </c>
    </row>
    <row r="4883">
      <c r="A4883" s="4" t="inlineStr">
        <is>
          <t>101</t>
        </is>
      </c>
      <c r="B4883" s="4" t="n">
        <v>1</v>
      </c>
      <c r="C4883" s="4" t="inlineStr">
        <is>
          <t>mule deer</t>
        </is>
      </c>
      <c r="D4883" s="4" t="n">
        <v>2025</v>
      </c>
      <c r="E4883" s="13" t="inlineStr">
        <is>
          <t>General</t>
        </is>
      </c>
      <c r="F4883" s="5" t="n">
        <v>2913</v>
      </c>
      <c r="G4883" s="5" t="n">
        <v>22019</v>
      </c>
      <c r="H4883" s="5" t="n">
        <v>92</v>
      </c>
      <c r="I4883" s="5" t="n">
        <v>92</v>
      </c>
      <c r="J4883" s="5" t="n">
        <v>0</v>
      </c>
      <c r="K4883" s="10">
        <f>IF(F4883&gt;0,H4883/F4883,"")</f>
        <v/>
      </c>
      <c r="L4883" s="16">
        <f>IF(AND(G4883&gt;0,H4883&gt;0),G4883/H4883,"")</f>
        <v/>
      </c>
    </row>
    <row r="4884">
      <c r="A4884" s="4" t="inlineStr">
        <is>
          <t>102</t>
        </is>
      </c>
      <c r="B4884" s="4" t="n">
        <v>1</v>
      </c>
      <c r="C4884" s="4" t="inlineStr">
        <is>
          <t>mule deer</t>
        </is>
      </c>
      <c r="D4884" s="4" t="n">
        <v>2004</v>
      </c>
      <c r="E4884" s="4" t="inlineStr"/>
      <c r="F4884" s="5" t="n">
        <v>3826</v>
      </c>
      <c r="G4884" s="5" t="n">
        <v>19928</v>
      </c>
      <c r="H4884" s="5" t="n">
        <v>100</v>
      </c>
      <c r="I4884" s="5" t="n">
        <v>92</v>
      </c>
      <c r="J4884" s="5" t="n">
        <v>8</v>
      </c>
      <c r="K4884" s="10">
        <f>IF(F4884&gt;0,H4884/F4884,"")</f>
        <v/>
      </c>
      <c r="L4884" s="16">
        <f>IF(AND(G4884&gt;0,H4884&gt;0),G4884/H4884,"")</f>
        <v/>
      </c>
    </row>
    <row r="4885">
      <c r="A4885" s="4" t="inlineStr">
        <is>
          <t>102</t>
        </is>
      </c>
      <c r="B4885" s="4" t="n">
        <v>1</v>
      </c>
      <c r="C4885" s="4" t="inlineStr">
        <is>
          <t>mule deer</t>
        </is>
      </c>
      <c r="D4885" s="4" t="n">
        <v>2005</v>
      </c>
      <c r="E4885" s="4" t="inlineStr"/>
      <c r="F4885" s="5" t="n">
        <v>3631</v>
      </c>
      <c r="G4885" s="5" t="n">
        <v>20050</v>
      </c>
      <c r="H4885" s="5" t="n">
        <v>137</v>
      </c>
      <c r="I4885" s="5" t="n">
        <v>127</v>
      </c>
      <c r="J4885" s="5" t="n">
        <v>10</v>
      </c>
      <c r="K4885" s="10">
        <f>IF(F4885&gt;0,H4885/F4885,"")</f>
        <v/>
      </c>
      <c r="L4885" s="16">
        <f>IF(AND(G4885&gt;0,H4885&gt;0),G4885/H4885,"")</f>
        <v/>
      </c>
    </row>
    <row r="4886">
      <c r="A4886" s="4" t="inlineStr">
        <is>
          <t>102</t>
        </is>
      </c>
      <c r="B4886" s="4" t="n">
        <v>1</v>
      </c>
      <c r="C4886" s="4" t="inlineStr">
        <is>
          <t>mule deer</t>
        </is>
      </c>
      <c r="D4886" s="4" t="n">
        <v>2006</v>
      </c>
      <c r="E4886" s="4" t="inlineStr"/>
      <c r="F4886" s="5" t="n">
        <v>3933</v>
      </c>
      <c r="G4886" s="5" t="n">
        <v>24352</v>
      </c>
      <c r="H4886" s="5" t="n">
        <v>129</v>
      </c>
      <c r="I4886" s="5" t="n">
        <v>111</v>
      </c>
      <c r="J4886" s="5" t="n">
        <v>19</v>
      </c>
      <c r="K4886" s="10">
        <f>IF(F4886&gt;0,H4886/F4886,"")</f>
        <v/>
      </c>
      <c r="L4886" s="16">
        <f>IF(AND(G4886&gt;0,H4886&gt;0),G4886/H4886,"")</f>
        <v/>
      </c>
    </row>
    <row r="4887">
      <c r="A4887" s="4" t="inlineStr">
        <is>
          <t>102</t>
        </is>
      </c>
      <c r="B4887" s="4" t="n">
        <v>1</v>
      </c>
      <c r="C4887" s="4" t="inlineStr">
        <is>
          <t>mule deer</t>
        </is>
      </c>
      <c r="D4887" s="4" t="n">
        <v>2007</v>
      </c>
      <c r="E4887" s="4" t="inlineStr"/>
      <c r="F4887" s="5" t="n">
        <v>3660</v>
      </c>
      <c r="G4887" s="5" t="n">
        <v>23576</v>
      </c>
      <c r="H4887" s="5" t="n">
        <v>103</v>
      </c>
      <c r="I4887" s="5" t="n">
        <v>89</v>
      </c>
      <c r="J4887" s="5" t="n">
        <v>14</v>
      </c>
      <c r="K4887" s="10">
        <f>IF(F4887&gt;0,H4887/F4887,"")</f>
        <v/>
      </c>
      <c r="L4887" s="16">
        <f>IF(AND(G4887&gt;0,H4887&gt;0),G4887/H4887,"")</f>
        <v/>
      </c>
    </row>
    <row r="4888">
      <c r="A4888" s="4" t="inlineStr">
        <is>
          <t>102</t>
        </is>
      </c>
      <c r="B4888" s="4" t="n">
        <v>1</v>
      </c>
      <c r="C4888" s="4" t="inlineStr">
        <is>
          <t>mule deer</t>
        </is>
      </c>
      <c r="D4888" s="4" t="n">
        <v>2008</v>
      </c>
      <c r="E4888" s="4" t="inlineStr"/>
      <c r="F4888" s="5" t="n">
        <v>3452</v>
      </c>
      <c r="G4888" s="5" t="n">
        <v>22771</v>
      </c>
      <c r="H4888" s="5" t="n">
        <v>102</v>
      </c>
      <c r="I4888" s="5" t="n">
        <v>90</v>
      </c>
      <c r="J4888" s="5" t="n">
        <v>12</v>
      </c>
      <c r="K4888" s="10">
        <f>IF(F4888&gt;0,H4888/F4888,"")</f>
        <v/>
      </c>
      <c r="L4888" s="16">
        <f>IF(AND(G4888&gt;0,H4888&gt;0),G4888/H4888,"")</f>
        <v/>
      </c>
    </row>
    <row r="4889">
      <c r="A4889" s="4" t="inlineStr">
        <is>
          <t>102</t>
        </is>
      </c>
      <c r="B4889" s="4" t="n">
        <v>1</v>
      </c>
      <c r="C4889" s="4" t="inlineStr">
        <is>
          <t>mule deer</t>
        </is>
      </c>
      <c r="D4889" s="4" t="n">
        <v>2009</v>
      </c>
      <c r="E4889" s="4" t="inlineStr"/>
      <c r="F4889" s="5" t="n">
        <v>3233</v>
      </c>
      <c r="G4889" s="5" t="n">
        <v>20024</v>
      </c>
      <c r="H4889" s="5" t="n">
        <v>48</v>
      </c>
      <c r="I4889" s="5" t="n">
        <v>45</v>
      </c>
      <c r="J4889" s="5" t="n">
        <v>3</v>
      </c>
      <c r="K4889" s="10">
        <f>IF(F4889&gt;0,H4889/F4889,"")</f>
        <v/>
      </c>
      <c r="L4889" s="16">
        <f>IF(AND(G4889&gt;0,H4889&gt;0),G4889/H4889,"")</f>
        <v/>
      </c>
    </row>
    <row r="4890">
      <c r="A4890" s="4" t="inlineStr">
        <is>
          <t>102</t>
        </is>
      </c>
      <c r="B4890" s="4" t="n">
        <v>1</v>
      </c>
      <c r="C4890" s="4" t="inlineStr">
        <is>
          <t>mule deer</t>
        </is>
      </c>
      <c r="D4890" s="4" t="n">
        <v>2010</v>
      </c>
      <c r="E4890" s="4" t="inlineStr"/>
      <c r="F4890" s="5" t="n">
        <v>2719</v>
      </c>
      <c r="G4890" s="5" t="n">
        <v>17536</v>
      </c>
      <c r="H4890" s="5" t="n">
        <v>71</v>
      </c>
      <c r="I4890" s="5" t="n">
        <v>68</v>
      </c>
      <c r="J4890" s="5" t="n">
        <v>0</v>
      </c>
      <c r="K4890" s="10">
        <f>IF(F4890&gt;0,H4890/F4890,"")</f>
        <v/>
      </c>
      <c r="L4890" s="16">
        <f>IF(AND(G4890&gt;0,H4890&gt;0),G4890/H4890,"")</f>
        <v/>
      </c>
    </row>
    <row r="4891">
      <c r="A4891" s="4" t="inlineStr">
        <is>
          <t>102</t>
        </is>
      </c>
      <c r="B4891" s="4" t="n">
        <v>1</v>
      </c>
      <c r="C4891" s="4" t="inlineStr">
        <is>
          <t>mule deer</t>
        </is>
      </c>
      <c r="D4891" s="4" t="n">
        <v>2011</v>
      </c>
      <c r="E4891" s="4" t="inlineStr"/>
      <c r="F4891" s="5" t="n">
        <v>3112</v>
      </c>
      <c r="G4891" s="5" t="n">
        <v>20438</v>
      </c>
      <c r="H4891" s="5" t="n">
        <v>52</v>
      </c>
      <c r="I4891" s="5" t="n">
        <v>52</v>
      </c>
      <c r="J4891" s="5" t="n">
        <v>0</v>
      </c>
      <c r="K4891" s="10">
        <f>IF(F4891&gt;0,H4891/F4891,"")</f>
        <v/>
      </c>
      <c r="L4891" s="16">
        <f>IF(AND(G4891&gt;0,H4891&gt;0),G4891/H4891,"")</f>
        <v/>
      </c>
    </row>
    <row r="4892">
      <c r="A4892" s="4" t="inlineStr">
        <is>
          <t>102</t>
        </is>
      </c>
      <c r="B4892" s="4" t="n">
        <v>1</v>
      </c>
      <c r="C4892" s="4" t="inlineStr">
        <is>
          <t>mule deer</t>
        </is>
      </c>
      <c r="D4892" s="4" t="n">
        <v>2012</v>
      </c>
      <c r="E4892" s="4" t="inlineStr"/>
      <c r="F4892" s="5" t="n"/>
      <c r="G4892" s="5" t="n"/>
      <c r="H4892" s="5" t="n">
        <v>48</v>
      </c>
      <c r="I4892" s="5" t="n">
        <v>48</v>
      </c>
      <c r="J4892" s="5" t="n">
        <v>0</v>
      </c>
      <c r="K4892" s="10">
        <f>IF(F4892&gt;0,H4892/F4892,"")</f>
        <v/>
      </c>
      <c r="L4892" s="16">
        <f>IF(AND(G4892&gt;0,H4892&gt;0),G4892/H4892,"")</f>
        <v/>
      </c>
    </row>
    <row r="4893">
      <c r="A4893" s="4" t="inlineStr">
        <is>
          <t>102</t>
        </is>
      </c>
      <c r="B4893" s="4" t="n">
        <v>1</v>
      </c>
      <c r="C4893" s="4" t="inlineStr">
        <is>
          <t>mule deer</t>
        </is>
      </c>
      <c r="D4893" s="4" t="n">
        <v>2013</v>
      </c>
      <c r="E4893" s="4" t="inlineStr"/>
      <c r="F4893" s="5" t="n">
        <v>3209</v>
      </c>
      <c r="G4893" s="5" t="n">
        <v>20289</v>
      </c>
      <c r="H4893" s="5" t="n">
        <v>91</v>
      </c>
      <c r="I4893" s="5" t="n">
        <v>91</v>
      </c>
      <c r="J4893" s="5" t="n">
        <v>0</v>
      </c>
      <c r="K4893" s="10">
        <f>IF(F4893&gt;0,H4893/F4893,"")</f>
        <v/>
      </c>
      <c r="L4893" s="16">
        <f>IF(AND(G4893&gt;0,H4893&gt;0),G4893/H4893,"")</f>
        <v/>
      </c>
    </row>
    <row r="4894">
      <c r="A4894" s="4" t="inlineStr">
        <is>
          <t>102</t>
        </is>
      </c>
      <c r="B4894" s="4" t="n">
        <v>1</v>
      </c>
      <c r="C4894" s="4" t="inlineStr">
        <is>
          <t>mule deer</t>
        </is>
      </c>
      <c r="D4894" s="4" t="n">
        <v>2014</v>
      </c>
      <c r="E4894" s="4" t="inlineStr"/>
      <c r="F4894" s="5" t="n"/>
      <c r="G4894" s="5" t="n"/>
      <c r="H4894" s="5" t="n">
        <v>43</v>
      </c>
      <c r="I4894" s="5" t="n">
        <v>40</v>
      </c>
      <c r="J4894" s="5" t="n">
        <v>3</v>
      </c>
      <c r="K4894" s="10">
        <f>IF(F4894&gt;0,H4894/F4894,"")</f>
        <v/>
      </c>
      <c r="L4894" s="16">
        <f>IF(AND(G4894&gt;0,H4894&gt;0),G4894/H4894,"")</f>
        <v/>
      </c>
    </row>
    <row r="4895">
      <c r="A4895" s="4" t="inlineStr">
        <is>
          <t>102</t>
        </is>
      </c>
      <c r="B4895" s="4" t="n">
        <v>1</v>
      </c>
      <c r="C4895" s="4" t="inlineStr">
        <is>
          <t>mule deer</t>
        </is>
      </c>
      <c r="D4895" s="4" t="n">
        <v>2015</v>
      </c>
      <c r="E4895" s="4" t="inlineStr"/>
      <c r="F4895" s="5" t="n"/>
      <c r="G4895" s="5" t="n"/>
      <c r="H4895" s="5" t="n">
        <v>49</v>
      </c>
      <c r="I4895" s="5" t="n">
        <v>49</v>
      </c>
      <c r="J4895" s="5" t="n">
        <v>0</v>
      </c>
      <c r="K4895" s="10">
        <f>IF(F4895&gt;0,H4895/F4895,"")</f>
        <v/>
      </c>
      <c r="L4895" s="16">
        <f>IF(AND(G4895&gt;0,H4895&gt;0),G4895/H4895,"")</f>
        <v/>
      </c>
    </row>
    <row r="4896">
      <c r="A4896" s="4" t="inlineStr">
        <is>
          <t>102</t>
        </is>
      </c>
      <c r="B4896" s="4" t="n">
        <v>1</v>
      </c>
      <c r="C4896" s="4" t="inlineStr">
        <is>
          <t>mule deer</t>
        </is>
      </c>
      <c r="D4896" s="4" t="n">
        <v>2016</v>
      </c>
      <c r="E4896" s="4" t="inlineStr"/>
      <c r="F4896" s="5" t="n"/>
      <c r="G4896" s="5" t="n"/>
      <c r="H4896" s="5" t="n">
        <v>79</v>
      </c>
      <c r="I4896" s="5" t="n">
        <v>79</v>
      </c>
      <c r="J4896" s="5" t="n">
        <v>0</v>
      </c>
      <c r="K4896" s="10">
        <f>IF(F4896&gt;0,H4896/F4896,"")</f>
        <v/>
      </c>
      <c r="L4896" s="16">
        <f>IF(AND(G4896&gt;0,H4896&gt;0),G4896/H4896,"")</f>
        <v/>
      </c>
    </row>
    <row r="4897">
      <c r="A4897" s="4" t="inlineStr">
        <is>
          <t>102</t>
        </is>
      </c>
      <c r="B4897" s="4" t="n">
        <v>1</v>
      </c>
      <c r="C4897" s="4" t="inlineStr">
        <is>
          <t>mule deer</t>
        </is>
      </c>
      <c r="D4897" s="4" t="n">
        <v>2017</v>
      </c>
      <c r="E4897" s="4" t="inlineStr"/>
      <c r="F4897" s="5" t="n">
        <v>2845</v>
      </c>
      <c r="G4897" s="5" t="n">
        <v>17096</v>
      </c>
      <c r="H4897" s="5" t="n">
        <v>41</v>
      </c>
      <c r="I4897" s="5" t="n">
        <v>41</v>
      </c>
      <c r="J4897" s="5" t="n">
        <v>0</v>
      </c>
      <c r="K4897" s="10">
        <f>IF(F4897&gt;0,H4897/F4897,"")</f>
        <v/>
      </c>
      <c r="L4897" s="16">
        <f>IF(AND(G4897&gt;0,H4897&gt;0),G4897/H4897,"")</f>
        <v/>
      </c>
    </row>
    <row r="4898">
      <c r="A4898" s="4" t="inlineStr">
        <is>
          <t>102</t>
        </is>
      </c>
      <c r="B4898" s="4" t="n">
        <v>1</v>
      </c>
      <c r="C4898" s="4" t="inlineStr">
        <is>
          <t>mule deer</t>
        </is>
      </c>
      <c r="D4898" s="4" t="n">
        <v>2018</v>
      </c>
      <c r="E4898" s="4" t="inlineStr"/>
      <c r="F4898" s="5" t="n"/>
      <c r="G4898" s="5" t="n"/>
      <c r="H4898" s="5" t="n">
        <v>28</v>
      </c>
      <c r="I4898" s="5" t="n">
        <v>25</v>
      </c>
      <c r="J4898" s="5" t="n">
        <v>3</v>
      </c>
      <c r="K4898" s="10">
        <f>IF(F4898&gt;0,H4898/F4898,"")</f>
        <v/>
      </c>
      <c r="L4898" s="16">
        <f>IF(AND(G4898&gt;0,H4898&gt;0),G4898/H4898,"")</f>
        <v/>
      </c>
    </row>
    <row r="4899">
      <c r="A4899" s="4" t="inlineStr">
        <is>
          <t>102</t>
        </is>
      </c>
      <c r="B4899" s="4" t="n">
        <v>1</v>
      </c>
      <c r="C4899" s="4" t="inlineStr">
        <is>
          <t>mule deer</t>
        </is>
      </c>
      <c r="D4899" s="4" t="n">
        <v>2019</v>
      </c>
      <c r="E4899" s="4" t="inlineStr"/>
      <c r="F4899" s="5" t="n">
        <v>2439</v>
      </c>
      <c r="G4899" s="5" t="n">
        <v>14834</v>
      </c>
      <c r="H4899" s="5" t="n">
        <v>45</v>
      </c>
      <c r="I4899" s="5" t="n">
        <v>43</v>
      </c>
      <c r="J4899" s="5" t="n">
        <v>2</v>
      </c>
      <c r="K4899" s="10">
        <f>IF(F4899&gt;0,H4899/F4899,"")</f>
        <v/>
      </c>
      <c r="L4899" s="16">
        <f>IF(AND(G4899&gt;0,H4899&gt;0),G4899/H4899,"")</f>
        <v/>
      </c>
    </row>
    <row r="4900">
      <c r="A4900" s="4" t="inlineStr">
        <is>
          <t>102</t>
        </is>
      </c>
      <c r="B4900" s="4" t="n">
        <v>1</v>
      </c>
      <c r="C4900" s="4" t="inlineStr">
        <is>
          <t>mule deer</t>
        </is>
      </c>
      <c r="D4900" s="4" t="n">
        <v>2020</v>
      </c>
      <c r="E4900" s="4" t="inlineStr"/>
      <c r="F4900" s="5" t="n"/>
      <c r="G4900" s="5" t="n"/>
      <c r="H4900" s="5" t="n">
        <v>27</v>
      </c>
      <c r="I4900" s="5" t="n">
        <v>20</v>
      </c>
      <c r="J4900" s="5" t="n">
        <v>7</v>
      </c>
      <c r="K4900" s="10">
        <f>IF(F4900&gt;0,H4900/F4900,"")</f>
        <v/>
      </c>
      <c r="L4900" s="16">
        <f>IF(AND(G4900&gt;0,H4900&gt;0),G4900/H4900,"")</f>
        <v/>
      </c>
    </row>
    <row r="4901">
      <c r="A4901" s="4" t="inlineStr">
        <is>
          <t>102</t>
        </is>
      </c>
      <c r="B4901" s="4" t="n">
        <v>1</v>
      </c>
      <c r="C4901" s="4" t="inlineStr">
        <is>
          <t>mule deer</t>
        </is>
      </c>
      <c r="D4901" s="4" t="n">
        <v>2021</v>
      </c>
      <c r="E4901" s="4" t="inlineStr"/>
      <c r="F4901" s="5" t="n">
        <v>2620</v>
      </c>
      <c r="G4901" s="5" t="n">
        <v>15805</v>
      </c>
      <c r="H4901" s="5" t="n">
        <v>54</v>
      </c>
      <c r="I4901" s="5" t="n">
        <v>50</v>
      </c>
      <c r="J4901" s="5" t="n">
        <v>4</v>
      </c>
      <c r="K4901" s="10">
        <f>IF(F4901&gt;0,H4901/F4901,"")</f>
        <v/>
      </c>
      <c r="L4901" s="16">
        <f>IF(AND(G4901&gt;0,H4901&gt;0),G4901/H4901,"")</f>
        <v/>
      </c>
    </row>
    <row r="4902">
      <c r="A4902" s="4" t="inlineStr">
        <is>
          <t>103</t>
        </is>
      </c>
      <c r="B4902" s="4" t="n">
        <v>1</v>
      </c>
      <c r="C4902" s="4" t="inlineStr">
        <is>
          <t>mule deer</t>
        </is>
      </c>
      <c r="D4902" s="4" t="n">
        <v>2004</v>
      </c>
      <c r="E4902" s="13" t="inlineStr">
        <is>
          <t>General</t>
        </is>
      </c>
      <c r="F4902" s="5" t="n">
        <v>3950</v>
      </c>
      <c r="G4902" s="5" t="n">
        <v>23098</v>
      </c>
      <c r="H4902" s="5" t="n">
        <v>418</v>
      </c>
      <c r="I4902" s="5" t="n">
        <v>402</v>
      </c>
      <c r="J4902" s="5" t="n">
        <v>16</v>
      </c>
      <c r="K4902" s="10">
        <f>IF(F4902&gt;0,H4902/F4902,"")</f>
        <v/>
      </c>
      <c r="L4902" s="16">
        <f>IF(AND(G4902&gt;0,H4902&gt;0),G4902/H4902,"")</f>
        <v/>
      </c>
    </row>
    <row r="4903">
      <c r="A4903" s="4" t="inlineStr">
        <is>
          <t>103</t>
        </is>
      </c>
      <c r="B4903" s="4" t="n">
        <v>1</v>
      </c>
      <c r="C4903" s="4" t="inlineStr">
        <is>
          <t>mule deer</t>
        </is>
      </c>
      <c r="D4903" s="4" t="n">
        <v>2005</v>
      </c>
      <c r="E4903" s="13" t="inlineStr">
        <is>
          <t>General</t>
        </is>
      </c>
      <c r="F4903" s="5" t="n">
        <v>3701</v>
      </c>
      <c r="G4903" s="5" t="n">
        <v>25304</v>
      </c>
      <c r="H4903" s="5" t="n">
        <v>320</v>
      </c>
      <c r="I4903" s="5" t="n">
        <v>306</v>
      </c>
      <c r="J4903" s="5" t="n">
        <v>14</v>
      </c>
      <c r="K4903" s="10">
        <f>IF(F4903&gt;0,H4903/F4903,"")</f>
        <v/>
      </c>
      <c r="L4903" s="16">
        <f>IF(AND(G4903&gt;0,H4903&gt;0),G4903/H4903,"")</f>
        <v/>
      </c>
    </row>
    <row r="4904">
      <c r="A4904" s="4" t="inlineStr">
        <is>
          <t>103</t>
        </is>
      </c>
      <c r="B4904" s="4" t="n">
        <v>1</v>
      </c>
      <c r="C4904" s="4" t="inlineStr">
        <is>
          <t>mule deer</t>
        </is>
      </c>
      <c r="D4904" s="4" t="n">
        <v>2006</v>
      </c>
      <c r="E4904" s="13" t="inlineStr">
        <is>
          <t>General</t>
        </is>
      </c>
      <c r="F4904" s="5" t="n">
        <v>3601</v>
      </c>
      <c r="G4904" s="5" t="n">
        <v>25102</v>
      </c>
      <c r="H4904" s="5" t="n">
        <v>256</v>
      </c>
      <c r="I4904" s="5" t="n">
        <v>227</v>
      </c>
      <c r="J4904" s="5" t="n">
        <v>29</v>
      </c>
      <c r="K4904" s="10">
        <f>IF(F4904&gt;0,H4904/F4904,"")</f>
        <v/>
      </c>
      <c r="L4904" s="16">
        <f>IF(AND(G4904&gt;0,H4904&gt;0),G4904/H4904,"")</f>
        <v/>
      </c>
    </row>
    <row r="4905">
      <c r="A4905" s="4" t="inlineStr">
        <is>
          <t>103</t>
        </is>
      </c>
      <c r="B4905" s="4" t="n">
        <v>1</v>
      </c>
      <c r="C4905" s="4" t="inlineStr">
        <is>
          <t>mule deer</t>
        </is>
      </c>
      <c r="D4905" s="4" t="n">
        <v>2007</v>
      </c>
      <c r="E4905" s="13" t="inlineStr">
        <is>
          <t>General</t>
        </is>
      </c>
      <c r="F4905" s="5" t="n">
        <v>3424</v>
      </c>
      <c r="G4905" s="5" t="n">
        <v>25275</v>
      </c>
      <c r="H4905" s="5" t="n">
        <v>249</v>
      </c>
      <c r="I4905" s="5" t="n">
        <v>223</v>
      </c>
      <c r="J4905" s="5" t="n">
        <v>26</v>
      </c>
      <c r="K4905" s="10">
        <f>IF(F4905&gt;0,H4905/F4905,"")</f>
        <v/>
      </c>
      <c r="L4905" s="16">
        <f>IF(AND(G4905&gt;0,H4905&gt;0),G4905/H4905,"")</f>
        <v/>
      </c>
    </row>
    <row r="4906">
      <c r="A4906" s="4" t="inlineStr">
        <is>
          <t>103</t>
        </is>
      </c>
      <c r="B4906" s="4" t="n">
        <v>1</v>
      </c>
      <c r="C4906" s="4" t="inlineStr">
        <is>
          <t>mule deer</t>
        </is>
      </c>
      <c r="D4906" s="4" t="n">
        <v>2008</v>
      </c>
      <c r="E4906" s="13" t="inlineStr">
        <is>
          <t>General</t>
        </is>
      </c>
      <c r="F4906" s="5" t="n">
        <v>3398</v>
      </c>
      <c r="G4906" s="5" t="n">
        <v>24493</v>
      </c>
      <c r="H4906" s="5" t="n">
        <v>152</v>
      </c>
      <c r="I4906" s="5" t="n">
        <v>114</v>
      </c>
      <c r="J4906" s="5" t="n">
        <v>38</v>
      </c>
      <c r="K4906" s="10">
        <f>IF(F4906&gt;0,H4906/F4906,"")</f>
        <v/>
      </c>
      <c r="L4906" s="16">
        <f>IF(AND(G4906&gt;0,H4906&gt;0),G4906/H4906,"")</f>
        <v/>
      </c>
    </row>
    <row r="4907">
      <c r="A4907" s="4" t="inlineStr">
        <is>
          <t>103</t>
        </is>
      </c>
      <c r="B4907" s="4" t="n">
        <v>1</v>
      </c>
      <c r="C4907" s="4" t="inlineStr">
        <is>
          <t>mule deer</t>
        </is>
      </c>
      <c r="D4907" s="4" t="n">
        <v>2009</v>
      </c>
      <c r="E4907" s="13" t="inlineStr">
        <is>
          <t>General</t>
        </is>
      </c>
      <c r="F4907" s="5" t="n">
        <v>3065</v>
      </c>
      <c r="G4907" s="5" t="n">
        <v>23391</v>
      </c>
      <c r="H4907" s="5" t="n">
        <v>172</v>
      </c>
      <c r="I4907" s="5" t="n">
        <v>157</v>
      </c>
      <c r="J4907" s="5" t="n">
        <v>15</v>
      </c>
      <c r="K4907" s="10">
        <f>IF(F4907&gt;0,H4907/F4907,"")</f>
        <v/>
      </c>
      <c r="L4907" s="16">
        <f>IF(AND(G4907&gt;0,H4907&gt;0),G4907/H4907,"")</f>
        <v/>
      </c>
    </row>
    <row r="4908">
      <c r="A4908" s="4" t="inlineStr">
        <is>
          <t>103</t>
        </is>
      </c>
      <c r="B4908" s="4" t="n">
        <v>1</v>
      </c>
      <c r="C4908" s="4" t="inlineStr">
        <is>
          <t>mule deer</t>
        </is>
      </c>
      <c r="D4908" s="4" t="n">
        <v>2010</v>
      </c>
      <c r="E4908" s="13" t="inlineStr">
        <is>
          <t>General</t>
        </is>
      </c>
      <c r="F4908" s="5" t="n">
        <v>2738</v>
      </c>
      <c r="G4908" s="5" t="n">
        <v>19912</v>
      </c>
      <c r="H4908" s="5" t="n">
        <v>156</v>
      </c>
      <c r="I4908" s="5" t="n">
        <v>152</v>
      </c>
      <c r="J4908" s="5" t="n">
        <v>4</v>
      </c>
      <c r="K4908" s="10">
        <f>IF(F4908&gt;0,H4908/F4908,"")</f>
        <v/>
      </c>
      <c r="L4908" s="16">
        <f>IF(AND(G4908&gt;0,H4908&gt;0),G4908/H4908,"")</f>
        <v/>
      </c>
    </row>
    <row r="4909">
      <c r="A4909" s="4" t="inlineStr">
        <is>
          <t>103</t>
        </is>
      </c>
      <c r="B4909" s="4" t="n">
        <v>1</v>
      </c>
      <c r="C4909" s="4" t="inlineStr">
        <is>
          <t>mule deer</t>
        </is>
      </c>
      <c r="D4909" s="4" t="n">
        <v>2011</v>
      </c>
      <c r="E4909" s="13" t="inlineStr">
        <is>
          <t>General</t>
        </is>
      </c>
      <c r="F4909" s="5" t="n">
        <v>2852</v>
      </c>
      <c r="G4909" s="5" t="n">
        <v>20163</v>
      </c>
      <c r="H4909" s="5" t="n">
        <v>124</v>
      </c>
      <c r="I4909" s="5" t="n">
        <v>121</v>
      </c>
      <c r="J4909" s="5" t="n">
        <v>3</v>
      </c>
      <c r="K4909" s="10">
        <f>IF(F4909&gt;0,H4909/F4909,"")</f>
        <v/>
      </c>
      <c r="L4909" s="16">
        <f>IF(AND(G4909&gt;0,H4909&gt;0),G4909/H4909,"")</f>
        <v/>
      </c>
    </row>
    <row r="4910">
      <c r="A4910" s="4" t="inlineStr">
        <is>
          <t>103</t>
        </is>
      </c>
      <c r="B4910" s="4" t="n">
        <v>1</v>
      </c>
      <c r="C4910" s="4" t="inlineStr">
        <is>
          <t>mule deer</t>
        </is>
      </c>
      <c r="D4910" s="4" t="n">
        <v>2012</v>
      </c>
      <c r="E4910" s="13" t="inlineStr">
        <is>
          <t>General</t>
        </is>
      </c>
      <c r="F4910" s="5" t="n"/>
      <c r="G4910" s="5" t="n"/>
      <c r="H4910" s="5" t="n">
        <v>140</v>
      </c>
      <c r="I4910" s="5" t="n">
        <v>140</v>
      </c>
      <c r="J4910" s="5" t="n">
        <v>0</v>
      </c>
      <c r="K4910" s="10">
        <f>IF(F4910&gt;0,H4910/F4910,"")</f>
        <v/>
      </c>
      <c r="L4910" s="16">
        <f>IF(AND(G4910&gt;0,H4910&gt;0),G4910/H4910,"")</f>
        <v/>
      </c>
    </row>
    <row r="4911">
      <c r="A4911" s="4" t="inlineStr">
        <is>
          <t>103</t>
        </is>
      </c>
      <c r="B4911" s="4" t="n">
        <v>1</v>
      </c>
      <c r="C4911" s="4" t="inlineStr">
        <is>
          <t>mule deer</t>
        </is>
      </c>
      <c r="D4911" s="4" t="n">
        <v>2013</v>
      </c>
      <c r="E4911" s="13" t="inlineStr">
        <is>
          <t>General</t>
        </is>
      </c>
      <c r="F4911" s="5" t="n">
        <v>2731</v>
      </c>
      <c r="G4911" s="5" t="n">
        <v>20750</v>
      </c>
      <c r="H4911" s="5" t="n">
        <v>155</v>
      </c>
      <c r="I4911" s="5" t="n">
        <v>150</v>
      </c>
      <c r="J4911" s="5" t="n">
        <v>6</v>
      </c>
      <c r="K4911" s="10">
        <f>IF(F4911&gt;0,H4911/F4911,"")</f>
        <v/>
      </c>
      <c r="L4911" s="16">
        <f>IF(AND(G4911&gt;0,H4911&gt;0),G4911/H4911,"")</f>
        <v/>
      </c>
    </row>
    <row r="4912">
      <c r="A4912" s="4" t="inlineStr">
        <is>
          <t>103</t>
        </is>
      </c>
      <c r="B4912" s="4" t="n">
        <v>1</v>
      </c>
      <c r="C4912" s="4" t="inlineStr">
        <is>
          <t>mule deer</t>
        </is>
      </c>
      <c r="D4912" s="4" t="n">
        <v>2014</v>
      </c>
      <c r="E4912" s="13" t="inlineStr">
        <is>
          <t>General</t>
        </is>
      </c>
      <c r="F4912" s="5" t="n"/>
      <c r="G4912" s="5" t="n"/>
      <c r="H4912" s="5" t="n">
        <v>153</v>
      </c>
      <c r="I4912" s="5" t="n">
        <v>153</v>
      </c>
      <c r="J4912" s="5" t="n">
        <v>0</v>
      </c>
      <c r="K4912" s="10">
        <f>IF(F4912&gt;0,H4912/F4912,"")</f>
        <v/>
      </c>
      <c r="L4912" s="16">
        <f>IF(AND(G4912&gt;0,H4912&gt;0),G4912/H4912,"")</f>
        <v/>
      </c>
    </row>
    <row r="4913">
      <c r="A4913" s="4" t="inlineStr">
        <is>
          <t>103</t>
        </is>
      </c>
      <c r="B4913" s="4" t="n">
        <v>1</v>
      </c>
      <c r="C4913" s="4" t="inlineStr">
        <is>
          <t>mule deer</t>
        </is>
      </c>
      <c r="D4913" s="4" t="n">
        <v>2015</v>
      </c>
      <c r="E4913" s="13" t="inlineStr">
        <is>
          <t>General</t>
        </is>
      </c>
      <c r="F4913" s="5" t="n"/>
      <c r="G4913" s="5" t="n"/>
      <c r="H4913" s="5" t="n">
        <v>115</v>
      </c>
      <c r="I4913" s="5" t="n">
        <v>115</v>
      </c>
      <c r="J4913" s="5" t="n">
        <v>0</v>
      </c>
      <c r="K4913" s="10">
        <f>IF(F4913&gt;0,H4913/F4913,"")</f>
        <v/>
      </c>
      <c r="L4913" s="16">
        <f>IF(AND(G4913&gt;0,H4913&gt;0),G4913/H4913,"")</f>
        <v/>
      </c>
    </row>
    <row r="4914">
      <c r="A4914" s="4" t="inlineStr">
        <is>
          <t>103</t>
        </is>
      </c>
      <c r="B4914" s="4" t="n">
        <v>1</v>
      </c>
      <c r="C4914" s="4" t="inlineStr">
        <is>
          <t>mule deer</t>
        </is>
      </c>
      <c r="D4914" s="4" t="n">
        <v>2016</v>
      </c>
      <c r="E4914" s="13" t="inlineStr">
        <is>
          <t>General</t>
        </is>
      </c>
      <c r="F4914" s="5" t="n"/>
      <c r="G4914" s="5" t="n"/>
      <c r="H4914" s="5" t="n">
        <v>184</v>
      </c>
      <c r="I4914" s="5" t="n">
        <v>173</v>
      </c>
      <c r="J4914" s="5" t="n">
        <v>11</v>
      </c>
      <c r="K4914" s="10">
        <f>IF(F4914&gt;0,H4914/F4914,"")</f>
        <v/>
      </c>
      <c r="L4914" s="16">
        <f>IF(AND(G4914&gt;0,H4914&gt;0),G4914/H4914,"")</f>
        <v/>
      </c>
    </row>
    <row r="4915">
      <c r="A4915" s="4" t="inlineStr">
        <is>
          <t>103</t>
        </is>
      </c>
      <c r="B4915" s="4" t="n">
        <v>1</v>
      </c>
      <c r="C4915" s="4" t="inlineStr">
        <is>
          <t>mule deer</t>
        </is>
      </c>
      <c r="D4915" s="4" t="n">
        <v>2017</v>
      </c>
      <c r="E4915" s="13" t="inlineStr">
        <is>
          <t>General</t>
        </is>
      </c>
      <c r="F4915" s="5" t="n">
        <v>2732</v>
      </c>
      <c r="G4915" s="5" t="n">
        <v>18515</v>
      </c>
      <c r="H4915" s="5" t="n">
        <v>119</v>
      </c>
      <c r="I4915" s="5" t="n">
        <v>101</v>
      </c>
      <c r="J4915" s="5" t="n">
        <v>12</v>
      </c>
      <c r="K4915" s="10">
        <f>IF(F4915&gt;0,H4915/F4915,"")</f>
        <v/>
      </c>
      <c r="L4915" s="16">
        <f>IF(AND(G4915&gt;0,H4915&gt;0),G4915/H4915,"")</f>
        <v/>
      </c>
    </row>
    <row r="4916">
      <c r="A4916" s="4" t="inlineStr">
        <is>
          <t>103</t>
        </is>
      </c>
      <c r="B4916" s="4" t="n">
        <v>1</v>
      </c>
      <c r="C4916" s="4" t="inlineStr">
        <is>
          <t>mule deer</t>
        </is>
      </c>
      <c r="D4916" s="4" t="n">
        <v>2018</v>
      </c>
      <c r="E4916" s="13" t="inlineStr">
        <is>
          <t>General</t>
        </is>
      </c>
      <c r="F4916" s="5" t="n"/>
      <c r="G4916" s="5" t="n"/>
      <c r="H4916" s="5" t="n">
        <v>112</v>
      </c>
      <c r="I4916" s="5" t="n">
        <v>112</v>
      </c>
      <c r="J4916" s="5" t="n">
        <v>0</v>
      </c>
      <c r="K4916" s="10">
        <f>IF(F4916&gt;0,H4916/F4916,"")</f>
        <v/>
      </c>
      <c r="L4916" s="16">
        <f>IF(AND(G4916&gt;0,H4916&gt;0),G4916/H4916,"")</f>
        <v/>
      </c>
    </row>
    <row r="4917">
      <c r="A4917" s="4" t="inlineStr">
        <is>
          <t>103</t>
        </is>
      </c>
      <c r="B4917" s="4" t="n">
        <v>1</v>
      </c>
      <c r="C4917" s="4" t="inlineStr">
        <is>
          <t>mule deer</t>
        </is>
      </c>
      <c r="D4917" s="4" t="n">
        <v>2019</v>
      </c>
      <c r="E4917" s="13" t="inlineStr">
        <is>
          <t>General</t>
        </is>
      </c>
      <c r="F4917" s="5" t="n">
        <v>2659</v>
      </c>
      <c r="G4917" s="5" t="n">
        <v>18071</v>
      </c>
      <c r="H4917" s="5" t="n">
        <v>120</v>
      </c>
      <c r="I4917" s="5" t="n">
        <v>120</v>
      </c>
      <c r="J4917" s="5" t="n">
        <v>0</v>
      </c>
      <c r="K4917" s="10">
        <f>IF(F4917&gt;0,H4917/F4917,"")</f>
        <v/>
      </c>
      <c r="L4917" s="16">
        <f>IF(AND(G4917&gt;0,H4917&gt;0),G4917/H4917,"")</f>
        <v/>
      </c>
    </row>
    <row r="4918">
      <c r="A4918" s="4" t="inlineStr">
        <is>
          <t>103</t>
        </is>
      </c>
      <c r="B4918" s="4" t="n">
        <v>1</v>
      </c>
      <c r="C4918" s="4" t="inlineStr">
        <is>
          <t>mule deer</t>
        </is>
      </c>
      <c r="D4918" s="4" t="n">
        <v>2020</v>
      </c>
      <c r="E4918" s="13" t="inlineStr">
        <is>
          <t>General</t>
        </is>
      </c>
      <c r="F4918" s="5" t="n"/>
      <c r="G4918" s="5" t="n"/>
      <c r="H4918" s="5" t="n">
        <v>159</v>
      </c>
      <c r="I4918" s="5" t="n">
        <v>143</v>
      </c>
      <c r="J4918" s="5" t="n">
        <v>16</v>
      </c>
      <c r="K4918" s="10">
        <f>IF(F4918&gt;0,H4918/F4918,"")</f>
        <v/>
      </c>
      <c r="L4918" s="16">
        <f>IF(AND(G4918&gt;0,H4918&gt;0),G4918/H4918,"")</f>
        <v/>
      </c>
    </row>
    <row r="4919">
      <c r="A4919" s="4" t="inlineStr">
        <is>
          <t>103</t>
        </is>
      </c>
      <c r="B4919" s="4" t="n">
        <v>1</v>
      </c>
      <c r="C4919" s="4" t="inlineStr">
        <is>
          <t>mule deer</t>
        </is>
      </c>
      <c r="D4919" s="4" t="n">
        <v>2021</v>
      </c>
      <c r="E4919" s="13" t="inlineStr">
        <is>
          <t>General</t>
        </is>
      </c>
      <c r="F4919" s="5" t="n">
        <v>2546</v>
      </c>
      <c r="G4919" s="5" t="n">
        <v>18236</v>
      </c>
      <c r="H4919" s="5" t="n">
        <v>138</v>
      </c>
      <c r="I4919" s="5" t="n">
        <v>136</v>
      </c>
      <c r="J4919" s="5" t="n">
        <v>2</v>
      </c>
      <c r="K4919" s="10">
        <f>IF(F4919&gt;0,H4919/F4919,"")</f>
        <v/>
      </c>
      <c r="L4919" s="16">
        <f>IF(AND(G4919&gt;0,H4919&gt;0),G4919/H4919,"")</f>
        <v/>
      </c>
    </row>
    <row r="4920">
      <c r="A4920" s="4" t="inlineStr">
        <is>
          <t>103</t>
        </is>
      </c>
      <c r="B4920" s="4" t="n">
        <v>1</v>
      </c>
      <c r="C4920" s="4" t="inlineStr">
        <is>
          <t>mule deer</t>
        </is>
      </c>
      <c r="D4920" s="4" t="n">
        <v>2022</v>
      </c>
      <c r="E4920" s="13" t="inlineStr">
        <is>
          <t>General</t>
        </is>
      </c>
      <c r="F4920" s="5" t="n"/>
      <c r="G4920" s="5" t="n"/>
      <c r="H4920" s="5" t="n">
        <v>158</v>
      </c>
      <c r="I4920" s="5" t="n">
        <v>149</v>
      </c>
      <c r="J4920" s="5" t="n">
        <v>10</v>
      </c>
      <c r="K4920" s="10">
        <f>IF(F4920&gt;0,H4920/F4920,"")</f>
        <v/>
      </c>
      <c r="L4920" s="16">
        <f>IF(AND(G4920&gt;0,H4920&gt;0),G4920/H4920,"")</f>
        <v/>
      </c>
    </row>
    <row r="4921">
      <c r="A4921" s="4" t="inlineStr">
        <is>
          <t>103</t>
        </is>
      </c>
      <c r="B4921" s="4" t="n">
        <v>1</v>
      </c>
      <c r="C4921" s="4" t="inlineStr">
        <is>
          <t>mule deer</t>
        </is>
      </c>
      <c r="D4921" s="4" t="n">
        <v>2023</v>
      </c>
      <c r="E4921" s="13" t="inlineStr">
        <is>
          <t>General</t>
        </is>
      </c>
      <c r="F4921" s="5" t="n">
        <v>5391</v>
      </c>
      <c r="G4921" s="5" t="n">
        <v>39826</v>
      </c>
      <c r="H4921" s="5" t="n">
        <v>207</v>
      </c>
      <c r="I4921" s="5" t="n">
        <v>201</v>
      </c>
      <c r="J4921" s="5" t="n">
        <v>6</v>
      </c>
      <c r="K4921" s="10">
        <f>IF(F4921&gt;0,H4921/F4921,"")</f>
        <v/>
      </c>
      <c r="L4921" s="16">
        <f>IF(AND(G4921&gt;0,H4921&gt;0),G4921/H4921,"")</f>
        <v/>
      </c>
    </row>
    <row r="4922">
      <c r="A4922" s="4" t="inlineStr">
        <is>
          <t>103</t>
        </is>
      </c>
      <c r="B4922" s="4" t="n">
        <v>1</v>
      </c>
      <c r="C4922" s="4" t="inlineStr">
        <is>
          <t>mule deer</t>
        </is>
      </c>
      <c r="D4922" s="4" t="n">
        <v>2024</v>
      </c>
      <c r="E4922" s="13" t="inlineStr">
        <is>
          <t>General</t>
        </is>
      </c>
      <c r="F4922" s="5" t="n"/>
      <c r="G4922" s="5" t="n"/>
      <c r="H4922" s="5" t="n">
        <v>233</v>
      </c>
      <c r="I4922" s="5" t="n">
        <v>233</v>
      </c>
      <c r="J4922" s="5" t="n">
        <v>0</v>
      </c>
      <c r="K4922" s="10">
        <f>IF(F4922&gt;0,H4922/F4922,"")</f>
        <v/>
      </c>
      <c r="L4922" s="16">
        <f>IF(AND(G4922&gt;0,H4922&gt;0),G4922/H4922,"")</f>
        <v/>
      </c>
    </row>
    <row r="4923">
      <c r="A4923" s="4" t="inlineStr">
        <is>
          <t>103</t>
        </is>
      </c>
      <c r="B4923" s="4" t="n">
        <v>1</v>
      </c>
      <c r="C4923" s="4" t="inlineStr">
        <is>
          <t>mule deer</t>
        </is>
      </c>
      <c r="D4923" s="4" t="n">
        <v>2025</v>
      </c>
      <c r="E4923" s="13" t="inlineStr">
        <is>
          <t>General</t>
        </is>
      </c>
      <c r="F4923" s="5" t="n">
        <v>5147</v>
      </c>
      <c r="G4923" s="5" t="n">
        <v>35014</v>
      </c>
      <c r="H4923" s="5" t="n">
        <v>212</v>
      </c>
      <c r="I4923" s="5" t="n">
        <v>212</v>
      </c>
      <c r="J4923" s="5" t="n">
        <v>0</v>
      </c>
      <c r="K4923" s="10">
        <f>IF(F4923&gt;0,H4923/F4923,"")</f>
        <v/>
      </c>
      <c r="L4923" s="16">
        <f>IF(AND(G4923&gt;0,H4923&gt;0),G4923/H4923,"")</f>
        <v/>
      </c>
    </row>
    <row r="4924">
      <c r="A4924" s="4" t="inlineStr">
        <is>
          <t>104</t>
        </is>
      </c>
      <c r="B4924" s="4" t="n">
        <v>1</v>
      </c>
      <c r="C4924" s="4" t="inlineStr">
        <is>
          <t>mule deer</t>
        </is>
      </c>
      <c r="D4924" s="4" t="n">
        <v>2004</v>
      </c>
      <c r="E4924" s="13" t="inlineStr">
        <is>
          <t>General</t>
        </is>
      </c>
      <c r="F4924" s="5" t="n">
        <v>2256</v>
      </c>
      <c r="G4924" s="5" t="n">
        <v>14794</v>
      </c>
      <c r="H4924" s="5" t="n">
        <v>150</v>
      </c>
      <c r="I4924" s="5" t="n">
        <v>148</v>
      </c>
      <c r="J4924" s="5" t="n">
        <v>2</v>
      </c>
      <c r="K4924" s="10">
        <f>IF(F4924&gt;0,H4924/F4924,"")</f>
        <v/>
      </c>
      <c r="L4924" s="16">
        <f>IF(AND(G4924&gt;0,H4924&gt;0),G4924/H4924,"")</f>
        <v/>
      </c>
    </row>
    <row r="4925">
      <c r="A4925" s="4" t="inlineStr">
        <is>
          <t>104</t>
        </is>
      </c>
      <c r="B4925" s="4" t="n">
        <v>1</v>
      </c>
      <c r="C4925" s="4" t="inlineStr">
        <is>
          <t>mule deer</t>
        </is>
      </c>
      <c r="D4925" s="4" t="n">
        <v>2005</v>
      </c>
      <c r="E4925" s="13" t="inlineStr">
        <is>
          <t>General</t>
        </is>
      </c>
      <c r="F4925" s="5" t="n">
        <v>2124</v>
      </c>
      <c r="G4925" s="5" t="n">
        <v>16288</v>
      </c>
      <c r="H4925" s="5" t="n">
        <v>166</v>
      </c>
      <c r="I4925" s="5" t="n">
        <v>158</v>
      </c>
      <c r="J4925" s="5" t="n">
        <v>8</v>
      </c>
      <c r="K4925" s="10">
        <f>IF(F4925&gt;0,H4925/F4925,"")</f>
        <v/>
      </c>
      <c r="L4925" s="16">
        <f>IF(AND(G4925&gt;0,H4925&gt;0),G4925/H4925,"")</f>
        <v/>
      </c>
    </row>
    <row r="4926">
      <c r="A4926" s="4" t="inlineStr">
        <is>
          <t>104</t>
        </is>
      </c>
      <c r="B4926" s="4" t="n">
        <v>1</v>
      </c>
      <c r="C4926" s="4" t="inlineStr">
        <is>
          <t>mule deer</t>
        </is>
      </c>
      <c r="D4926" s="4" t="n">
        <v>2006</v>
      </c>
      <c r="E4926" s="13" t="inlineStr">
        <is>
          <t>General</t>
        </is>
      </c>
      <c r="F4926" s="5" t="n">
        <v>2261</v>
      </c>
      <c r="G4926" s="5" t="n">
        <v>16847</v>
      </c>
      <c r="H4926" s="5" t="n">
        <v>119</v>
      </c>
      <c r="I4926" s="5" t="n">
        <v>106</v>
      </c>
      <c r="J4926" s="5" t="n">
        <v>13</v>
      </c>
      <c r="K4926" s="10">
        <f>IF(F4926&gt;0,H4926/F4926,"")</f>
        <v/>
      </c>
      <c r="L4926" s="16">
        <f>IF(AND(G4926&gt;0,H4926&gt;0),G4926/H4926,"")</f>
        <v/>
      </c>
    </row>
    <row r="4927">
      <c r="A4927" s="4" t="inlineStr">
        <is>
          <t>104</t>
        </is>
      </c>
      <c r="B4927" s="4" t="n">
        <v>1</v>
      </c>
      <c r="C4927" s="4" t="inlineStr">
        <is>
          <t>mule deer</t>
        </is>
      </c>
      <c r="D4927" s="4" t="n">
        <v>2007</v>
      </c>
      <c r="E4927" s="13" t="inlineStr">
        <is>
          <t>General</t>
        </is>
      </c>
      <c r="F4927" s="5" t="n">
        <v>2340</v>
      </c>
      <c r="G4927" s="5" t="n">
        <v>19108</v>
      </c>
      <c r="H4927" s="5" t="n">
        <v>108</v>
      </c>
      <c r="I4927" s="5" t="n">
        <v>106</v>
      </c>
      <c r="J4927" s="5" t="n">
        <v>1</v>
      </c>
      <c r="K4927" s="10">
        <f>IF(F4927&gt;0,H4927/F4927,"")</f>
        <v/>
      </c>
      <c r="L4927" s="16">
        <f>IF(AND(G4927&gt;0,H4927&gt;0),G4927/H4927,"")</f>
        <v/>
      </c>
    </row>
    <row r="4928">
      <c r="A4928" s="4" t="inlineStr">
        <is>
          <t>104</t>
        </is>
      </c>
      <c r="B4928" s="4" t="n">
        <v>1</v>
      </c>
      <c r="C4928" s="4" t="inlineStr">
        <is>
          <t>mule deer</t>
        </is>
      </c>
      <c r="D4928" s="4" t="n">
        <v>2008</v>
      </c>
      <c r="E4928" s="13" t="inlineStr">
        <is>
          <t>General</t>
        </is>
      </c>
      <c r="F4928" s="5" t="n">
        <v>2279</v>
      </c>
      <c r="G4928" s="5" t="n">
        <v>18793</v>
      </c>
      <c r="H4928" s="5" t="n">
        <v>106</v>
      </c>
      <c r="I4928" s="5" t="n">
        <v>90</v>
      </c>
      <c r="J4928" s="5" t="n">
        <v>16</v>
      </c>
      <c r="K4928" s="10">
        <f>IF(F4928&gt;0,H4928/F4928,"")</f>
        <v/>
      </c>
      <c r="L4928" s="16">
        <f>IF(AND(G4928&gt;0,H4928&gt;0),G4928/H4928,"")</f>
        <v/>
      </c>
    </row>
    <row r="4929">
      <c r="A4929" s="4" t="inlineStr">
        <is>
          <t>104</t>
        </is>
      </c>
      <c r="B4929" s="4" t="n">
        <v>1</v>
      </c>
      <c r="C4929" s="4" t="inlineStr">
        <is>
          <t>mule deer</t>
        </is>
      </c>
      <c r="D4929" s="4" t="n">
        <v>2009</v>
      </c>
      <c r="E4929" s="13" t="inlineStr">
        <is>
          <t>General</t>
        </is>
      </c>
      <c r="F4929" s="5" t="n">
        <v>1999</v>
      </c>
      <c r="G4929" s="5" t="n">
        <v>15224</v>
      </c>
      <c r="H4929" s="5" t="n">
        <v>80</v>
      </c>
      <c r="I4929" s="5" t="n">
        <v>74</v>
      </c>
      <c r="J4929" s="5" t="n">
        <v>6</v>
      </c>
      <c r="K4929" s="10">
        <f>IF(F4929&gt;0,H4929/F4929,"")</f>
        <v/>
      </c>
      <c r="L4929" s="16">
        <f>IF(AND(G4929&gt;0,H4929&gt;0),G4929/H4929,"")</f>
        <v/>
      </c>
    </row>
    <row r="4930">
      <c r="A4930" s="4" t="inlineStr">
        <is>
          <t>104</t>
        </is>
      </c>
      <c r="B4930" s="4" t="n">
        <v>1</v>
      </c>
      <c r="C4930" s="4" t="inlineStr">
        <is>
          <t>mule deer</t>
        </is>
      </c>
      <c r="D4930" s="4" t="n">
        <v>2010</v>
      </c>
      <c r="E4930" s="13" t="inlineStr">
        <is>
          <t>General</t>
        </is>
      </c>
      <c r="F4930" s="5" t="n">
        <v>1708</v>
      </c>
      <c r="G4930" s="5" t="n">
        <v>13044</v>
      </c>
      <c r="H4930" s="5" t="n">
        <v>89</v>
      </c>
      <c r="I4930" s="5" t="n">
        <v>73</v>
      </c>
      <c r="J4930" s="5" t="n">
        <v>15</v>
      </c>
      <c r="K4930" s="10">
        <f>IF(F4930&gt;0,H4930/F4930,"")</f>
        <v/>
      </c>
      <c r="L4930" s="16">
        <f>IF(AND(G4930&gt;0,H4930&gt;0),G4930/H4930,"")</f>
        <v/>
      </c>
    </row>
    <row r="4931">
      <c r="A4931" s="4" t="inlineStr">
        <is>
          <t>104</t>
        </is>
      </c>
      <c r="B4931" s="4" t="n">
        <v>1</v>
      </c>
      <c r="C4931" s="4" t="inlineStr">
        <is>
          <t>mule deer</t>
        </is>
      </c>
      <c r="D4931" s="4" t="n">
        <v>2011</v>
      </c>
      <c r="E4931" s="13" t="inlineStr">
        <is>
          <t>General</t>
        </is>
      </c>
      <c r="F4931" s="5" t="n">
        <v>1988</v>
      </c>
      <c r="G4931" s="5" t="n">
        <v>15187</v>
      </c>
      <c r="H4931" s="5" t="n">
        <v>49</v>
      </c>
      <c r="I4931" s="5" t="n">
        <v>45</v>
      </c>
      <c r="J4931" s="5" t="n">
        <v>5</v>
      </c>
      <c r="K4931" s="10">
        <f>IF(F4931&gt;0,H4931/F4931,"")</f>
        <v/>
      </c>
      <c r="L4931" s="16">
        <f>IF(AND(G4931&gt;0,H4931&gt;0),G4931/H4931,"")</f>
        <v/>
      </c>
    </row>
    <row r="4932">
      <c r="A4932" s="4" t="inlineStr">
        <is>
          <t>104</t>
        </is>
      </c>
      <c r="B4932" s="4" t="n">
        <v>1</v>
      </c>
      <c r="C4932" s="4" t="inlineStr">
        <is>
          <t>mule deer</t>
        </is>
      </c>
      <c r="D4932" s="4" t="n">
        <v>2012</v>
      </c>
      <c r="E4932" s="13" t="inlineStr">
        <is>
          <t>General</t>
        </is>
      </c>
      <c r="F4932" s="5" t="n"/>
      <c r="G4932" s="5" t="n"/>
      <c r="H4932" s="5" t="n">
        <v>56</v>
      </c>
      <c r="I4932" s="5" t="n">
        <v>56</v>
      </c>
      <c r="J4932" s="5" t="n">
        <v>0</v>
      </c>
      <c r="K4932" s="10">
        <f>IF(F4932&gt;0,H4932/F4932,"")</f>
        <v/>
      </c>
      <c r="L4932" s="16">
        <f>IF(AND(G4932&gt;0,H4932&gt;0),G4932/H4932,"")</f>
        <v/>
      </c>
    </row>
    <row r="4933">
      <c r="A4933" s="4" t="inlineStr">
        <is>
          <t>104</t>
        </is>
      </c>
      <c r="B4933" s="4" t="n">
        <v>1</v>
      </c>
      <c r="C4933" s="4" t="inlineStr">
        <is>
          <t>mule deer</t>
        </is>
      </c>
      <c r="D4933" s="4" t="n">
        <v>2013</v>
      </c>
      <c r="E4933" s="13" t="inlineStr">
        <is>
          <t>General</t>
        </is>
      </c>
      <c r="F4933" s="5" t="n">
        <v>1840</v>
      </c>
      <c r="G4933" s="5" t="n">
        <v>14343</v>
      </c>
      <c r="H4933" s="5" t="n">
        <v>79</v>
      </c>
      <c r="I4933" s="5" t="n">
        <v>79</v>
      </c>
      <c r="J4933" s="5" t="n">
        <v>0</v>
      </c>
      <c r="K4933" s="10">
        <f>IF(F4933&gt;0,H4933/F4933,"")</f>
        <v/>
      </c>
      <c r="L4933" s="16">
        <f>IF(AND(G4933&gt;0,H4933&gt;0),G4933/H4933,"")</f>
        <v/>
      </c>
    </row>
    <row r="4934">
      <c r="A4934" s="4" t="inlineStr">
        <is>
          <t>104</t>
        </is>
      </c>
      <c r="B4934" s="4" t="n">
        <v>1</v>
      </c>
      <c r="C4934" s="4" t="inlineStr">
        <is>
          <t>mule deer</t>
        </is>
      </c>
      <c r="D4934" s="4" t="n">
        <v>2014</v>
      </c>
      <c r="E4934" s="13" t="inlineStr">
        <is>
          <t>General</t>
        </is>
      </c>
      <c r="F4934" s="5" t="n"/>
      <c r="G4934" s="5" t="n"/>
      <c r="H4934" s="5" t="n">
        <v>85</v>
      </c>
      <c r="I4934" s="5" t="n">
        <v>85</v>
      </c>
      <c r="J4934" s="5" t="n">
        <v>0</v>
      </c>
      <c r="K4934" s="10">
        <f>IF(F4934&gt;0,H4934/F4934,"")</f>
        <v/>
      </c>
      <c r="L4934" s="16">
        <f>IF(AND(G4934&gt;0,H4934&gt;0),G4934/H4934,"")</f>
        <v/>
      </c>
    </row>
    <row r="4935">
      <c r="A4935" s="4" t="inlineStr">
        <is>
          <t>104</t>
        </is>
      </c>
      <c r="B4935" s="4" t="n">
        <v>1</v>
      </c>
      <c r="C4935" s="4" t="inlineStr">
        <is>
          <t>mule deer</t>
        </is>
      </c>
      <c r="D4935" s="4" t="n">
        <v>2015</v>
      </c>
      <c r="E4935" s="13" t="inlineStr">
        <is>
          <t>General</t>
        </is>
      </c>
      <c r="F4935" s="5" t="n"/>
      <c r="G4935" s="5" t="n"/>
      <c r="H4935" s="5" t="n">
        <v>83</v>
      </c>
      <c r="I4935" s="5" t="n">
        <v>81</v>
      </c>
      <c r="J4935" s="5" t="n">
        <v>3</v>
      </c>
      <c r="K4935" s="10">
        <f>IF(F4935&gt;0,H4935/F4935,"")</f>
        <v/>
      </c>
      <c r="L4935" s="16">
        <f>IF(AND(G4935&gt;0,H4935&gt;0),G4935/H4935,"")</f>
        <v/>
      </c>
    </row>
    <row r="4936">
      <c r="A4936" s="4" t="inlineStr">
        <is>
          <t>104</t>
        </is>
      </c>
      <c r="B4936" s="4" t="n">
        <v>1</v>
      </c>
      <c r="C4936" s="4" t="inlineStr">
        <is>
          <t>mule deer</t>
        </is>
      </c>
      <c r="D4936" s="4" t="n">
        <v>2016</v>
      </c>
      <c r="E4936" s="13" t="inlineStr">
        <is>
          <t>General</t>
        </is>
      </c>
      <c r="F4936" s="5" t="n"/>
      <c r="G4936" s="5" t="n"/>
      <c r="H4936" s="5" t="n">
        <v>64</v>
      </c>
      <c r="I4936" s="5" t="n">
        <v>64</v>
      </c>
      <c r="J4936" s="5" t="n">
        <v>0</v>
      </c>
      <c r="K4936" s="10">
        <f>IF(F4936&gt;0,H4936/F4936,"")</f>
        <v/>
      </c>
      <c r="L4936" s="16">
        <f>IF(AND(G4936&gt;0,H4936&gt;0),G4936/H4936,"")</f>
        <v/>
      </c>
    </row>
    <row r="4937">
      <c r="A4937" s="4" t="inlineStr">
        <is>
          <t>104</t>
        </is>
      </c>
      <c r="B4937" s="4" t="n">
        <v>1</v>
      </c>
      <c r="C4937" s="4" t="inlineStr">
        <is>
          <t>mule deer</t>
        </is>
      </c>
      <c r="D4937" s="4" t="n">
        <v>2017</v>
      </c>
      <c r="E4937" s="13" t="inlineStr">
        <is>
          <t>General</t>
        </is>
      </c>
      <c r="F4937" s="5" t="n">
        <v>1323</v>
      </c>
      <c r="G4937" s="5" t="n">
        <v>8540</v>
      </c>
      <c r="H4937" s="5" t="n">
        <v>29</v>
      </c>
      <c r="I4937" s="5" t="n">
        <v>27</v>
      </c>
      <c r="J4937" s="5" t="n">
        <v>2</v>
      </c>
      <c r="K4937" s="10">
        <f>IF(F4937&gt;0,H4937/F4937,"")</f>
        <v/>
      </c>
      <c r="L4937" s="16">
        <f>IF(AND(G4937&gt;0,H4937&gt;0),G4937/H4937,"")</f>
        <v/>
      </c>
    </row>
    <row r="4938">
      <c r="A4938" s="4" t="inlineStr">
        <is>
          <t>104</t>
        </is>
      </c>
      <c r="B4938" s="4" t="n">
        <v>1</v>
      </c>
      <c r="C4938" s="4" t="inlineStr">
        <is>
          <t>mule deer</t>
        </is>
      </c>
      <c r="D4938" s="4" t="n">
        <v>2018</v>
      </c>
      <c r="E4938" s="13" t="inlineStr">
        <is>
          <t>General</t>
        </is>
      </c>
      <c r="F4938" s="5" t="n"/>
      <c r="G4938" s="5" t="n"/>
      <c r="H4938" s="5" t="n">
        <v>70</v>
      </c>
      <c r="I4938" s="5" t="n">
        <v>67</v>
      </c>
      <c r="J4938" s="5" t="n">
        <v>3</v>
      </c>
      <c r="K4938" s="10">
        <f>IF(F4938&gt;0,H4938/F4938,"")</f>
        <v/>
      </c>
      <c r="L4938" s="16">
        <f>IF(AND(G4938&gt;0,H4938&gt;0),G4938/H4938,"")</f>
        <v/>
      </c>
    </row>
    <row r="4939">
      <c r="A4939" s="4" t="inlineStr">
        <is>
          <t>104</t>
        </is>
      </c>
      <c r="B4939" s="4" t="n">
        <v>1</v>
      </c>
      <c r="C4939" s="4" t="inlineStr">
        <is>
          <t>mule deer</t>
        </is>
      </c>
      <c r="D4939" s="4" t="n">
        <v>2019</v>
      </c>
      <c r="E4939" s="13" t="inlineStr">
        <is>
          <t>General</t>
        </is>
      </c>
      <c r="F4939" s="5" t="n">
        <v>1389</v>
      </c>
      <c r="G4939" s="5" t="n">
        <v>10904</v>
      </c>
      <c r="H4939" s="5" t="n">
        <v>62</v>
      </c>
      <c r="I4939" s="5" t="n">
        <v>58</v>
      </c>
      <c r="J4939" s="5" t="n">
        <v>4</v>
      </c>
      <c r="K4939" s="10">
        <f>IF(F4939&gt;0,H4939/F4939,"")</f>
        <v/>
      </c>
      <c r="L4939" s="16">
        <f>IF(AND(G4939&gt;0,H4939&gt;0),G4939/H4939,"")</f>
        <v/>
      </c>
    </row>
    <row r="4940">
      <c r="A4940" s="4" t="inlineStr">
        <is>
          <t>104</t>
        </is>
      </c>
      <c r="B4940" s="4" t="n">
        <v>1</v>
      </c>
      <c r="C4940" s="4" t="inlineStr">
        <is>
          <t>mule deer</t>
        </is>
      </c>
      <c r="D4940" s="4" t="n">
        <v>2020</v>
      </c>
      <c r="E4940" s="13" t="inlineStr">
        <is>
          <t>General</t>
        </is>
      </c>
      <c r="F4940" s="5" t="n"/>
      <c r="G4940" s="5" t="n"/>
      <c r="H4940" s="5" t="n">
        <v>81</v>
      </c>
      <c r="I4940" s="5" t="n">
        <v>77</v>
      </c>
      <c r="J4940" s="5" t="n">
        <v>4</v>
      </c>
      <c r="K4940" s="10">
        <f>IF(F4940&gt;0,H4940/F4940,"")</f>
        <v/>
      </c>
      <c r="L4940" s="16">
        <f>IF(AND(G4940&gt;0,H4940&gt;0),G4940/H4940,"")</f>
        <v/>
      </c>
    </row>
    <row r="4941">
      <c r="A4941" s="4" t="inlineStr">
        <is>
          <t>104</t>
        </is>
      </c>
      <c r="B4941" s="4" t="n">
        <v>1</v>
      </c>
      <c r="C4941" s="4" t="inlineStr">
        <is>
          <t>mule deer</t>
        </is>
      </c>
      <c r="D4941" s="4" t="n">
        <v>2021</v>
      </c>
      <c r="E4941" s="13" t="inlineStr">
        <is>
          <t>General</t>
        </is>
      </c>
      <c r="F4941" s="5" t="n">
        <v>1283</v>
      </c>
      <c r="G4941" s="5" t="n">
        <v>10730</v>
      </c>
      <c r="H4941" s="5" t="n">
        <v>57</v>
      </c>
      <c r="I4941" s="5" t="n">
        <v>57</v>
      </c>
      <c r="J4941" s="5" t="n">
        <v>0</v>
      </c>
      <c r="K4941" s="10">
        <f>IF(F4941&gt;0,H4941/F4941,"")</f>
        <v/>
      </c>
      <c r="L4941" s="16">
        <f>IF(AND(G4941&gt;0,H4941&gt;0),G4941/H4941,"")</f>
        <v/>
      </c>
    </row>
    <row r="4942">
      <c r="A4942" s="4" t="inlineStr">
        <is>
          <t>104</t>
        </is>
      </c>
      <c r="B4942" s="4" t="n">
        <v>1</v>
      </c>
      <c r="C4942" s="4" t="inlineStr">
        <is>
          <t>mule deer</t>
        </is>
      </c>
      <c r="D4942" s="4" t="n">
        <v>2022</v>
      </c>
      <c r="E4942" s="13" t="inlineStr">
        <is>
          <t>General</t>
        </is>
      </c>
      <c r="F4942" s="5" t="n"/>
      <c r="G4942" s="5" t="n"/>
      <c r="H4942" s="5" t="n">
        <v>39</v>
      </c>
      <c r="I4942" s="5" t="n">
        <v>35</v>
      </c>
      <c r="J4942" s="5" t="n">
        <v>3</v>
      </c>
      <c r="K4942" s="10">
        <f>IF(F4942&gt;0,H4942/F4942,"")</f>
        <v/>
      </c>
      <c r="L4942" s="16">
        <f>IF(AND(G4942&gt;0,H4942&gt;0),G4942/H4942,"")</f>
        <v/>
      </c>
    </row>
    <row r="4943">
      <c r="A4943" s="4" t="inlineStr">
        <is>
          <t>104</t>
        </is>
      </c>
      <c r="B4943" s="4" t="n">
        <v>1</v>
      </c>
      <c r="C4943" s="4" t="inlineStr">
        <is>
          <t>mule deer</t>
        </is>
      </c>
      <c r="D4943" s="4" t="n">
        <v>2023</v>
      </c>
      <c r="E4943" s="13" t="inlineStr">
        <is>
          <t>General</t>
        </is>
      </c>
      <c r="F4943" s="5" t="n">
        <v>1264</v>
      </c>
      <c r="G4943" s="5" t="n">
        <v>9592</v>
      </c>
      <c r="H4943" s="5" t="n">
        <v>59</v>
      </c>
      <c r="I4943" s="5" t="n">
        <v>56</v>
      </c>
      <c r="J4943" s="5" t="n">
        <v>4</v>
      </c>
      <c r="K4943" s="10">
        <f>IF(F4943&gt;0,H4943/F4943,"")</f>
        <v/>
      </c>
      <c r="L4943" s="16">
        <f>IF(AND(G4943&gt;0,H4943&gt;0),G4943/H4943,"")</f>
        <v/>
      </c>
    </row>
    <row r="4944">
      <c r="A4944" s="4" t="inlineStr">
        <is>
          <t>104</t>
        </is>
      </c>
      <c r="B4944" s="4" t="n">
        <v>1</v>
      </c>
      <c r="C4944" s="4" t="inlineStr">
        <is>
          <t>mule deer</t>
        </is>
      </c>
      <c r="D4944" s="4" t="n">
        <v>2024</v>
      </c>
      <c r="E4944" s="13" t="inlineStr">
        <is>
          <t>General</t>
        </is>
      </c>
      <c r="F4944" s="5" t="n"/>
      <c r="G4944" s="5" t="n"/>
      <c r="H4944" s="5" t="n">
        <v>66</v>
      </c>
      <c r="I4944" s="5" t="n">
        <v>59</v>
      </c>
      <c r="J4944" s="5" t="n">
        <v>7</v>
      </c>
      <c r="K4944" s="10">
        <f>IF(F4944&gt;0,H4944/F4944,"")</f>
        <v/>
      </c>
      <c r="L4944" s="16">
        <f>IF(AND(G4944&gt;0,H4944&gt;0),G4944/H4944,"")</f>
        <v/>
      </c>
    </row>
    <row r="4945">
      <c r="A4945" s="4" t="inlineStr">
        <is>
          <t>104</t>
        </is>
      </c>
      <c r="B4945" s="4" t="n">
        <v>1</v>
      </c>
      <c r="C4945" s="4" t="inlineStr">
        <is>
          <t>mule deer</t>
        </is>
      </c>
      <c r="D4945" s="4" t="n">
        <v>2025</v>
      </c>
      <c r="E4945" s="13" t="inlineStr">
        <is>
          <t>General</t>
        </is>
      </c>
      <c r="F4945" s="5" t="n">
        <v>1575</v>
      </c>
      <c r="G4945" s="5" t="n">
        <v>12880</v>
      </c>
      <c r="H4945" s="5" t="n">
        <v>64</v>
      </c>
      <c r="I4945" s="5" t="n">
        <v>58</v>
      </c>
      <c r="J4945" s="5" t="n">
        <v>6</v>
      </c>
      <c r="K4945" s="10">
        <f>IF(F4945&gt;0,H4945/F4945,"")</f>
        <v/>
      </c>
      <c r="L4945" s="16">
        <f>IF(AND(G4945&gt;0,H4945&gt;0),G4945/H4945,"")</f>
        <v/>
      </c>
    </row>
    <row r="4946">
      <c r="A4946" s="4" t="inlineStr">
        <is>
          <t>109</t>
        </is>
      </c>
      <c r="B4946" s="4" t="n">
        <v>1</v>
      </c>
      <c r="C4946" s="4" t="inlineStr">
        <is>
          <t>mule deer</t>
        </is>
      </c>
      <c r="D4946" s="4" t="n">
        <v>2004</v>
      </c>
      <c r="E4946" s="4" t="inlineStr"/>
      <c r="F4946" s="5" t="n">
        <v>616</v>
      </c>
      <c r="G4946" s="5" t="n">
        <v>3742</v>
      </c>
      <c r="H4946" s="5" t="n">
        <v>74</v>
      </c>
      <c r="I4946" s="5" t="n">
        <v>74</v>
      </c>
      <c r="J4946" s="5" t="n">
        <v>0</v>
      </c>
      <c r="K4946" s="10">
        <f>IF(F4946&gt;0,H4946/F4946,"")</f>
        <v/>
      </c>
      <c r="L4946" s="16">
        <f>IF(AND(G4946&gt;0,H4946&gt;0),G4946/H4946,"")</f>
        <v/>
      </c>
    </row>
    <row r="4947">
      <c r="A4947" s="4" t="inlineStr">
        <is>
          <t>109</t>
        </is>
      </c>
      <c r="B4947" s="4" t="n">
        <v>1</v>
      </c>
      <c r="C4947" s="4" t="inlineStr">
        <is>
          <t>mule deer</t>
        </is>
      </c>
      <c r="D4947" s="4" t="n">
        <v>2005</v>
      </c>
      <c r="E4947" s="4" t="inlineStr"/>
      <c r="F4947" s="5" t="n">
        <v>644</v>
      </c>
      <c r="G4947" s="5" t="n">
        <v>3523</v>
      </c>
      <c r="H4947" s="5" t="n">
        <v>87</v>
      </c>
      <c r="I4947" s="5" t="n">
        <v>83</v>
      </c>
      <c r="J4947" s="5" t="n">
        <v>4</v>
      </c>
      <c r="K4947" s="10">
        <f>IF(F4947&gt;0,H4947/F4947,"")</f>
        <v/>
      </c>
      <c r="L4947" s="16">
        <f>IF(AND(G4947&gt;0,H4947&gt;0),G4947/H4947,"")</f>
        <v/>
      </c>
    </row>
    <row r="4948">
      <c r="A4948" s="4" t="inlineStr">
        <is>
          <t>109</t>
        </is>
      </c>
      <c r="B4948" s="4" t="n">
        <v>1</v>
      </c>
      <c r="C4948" s="4" t="inlineStr">
        <is>
          <t>mule deer</t>
        </is>
      </c>
      <c r="D4948" s="4" t="n">
        <v>2006</v>
      </c>
      <c r="E4948" s="4" t="inlineStr"/>
      <c r="F4948" s="5" t="n">
        <v>603</v>
      </c>
      <c r="G4948" s="5" t="n">
        <v>3683</v>
      </c>
      <c r="H4948" s="5" t="n">
        <v>66</v>
      </c>
      <c r="I4948" s="5" t="n">
        <v>66</v>
      </c>
      <c r="J4948" s="5" t="n">
        <v>0</v>
      </c>
      <c r="K4948" s="10">
        <f>IF(F4948&gt;0,H4948/F4948,"")</f>
        <v/>
      </c>
      <c r="L4948" s="16">
        <f>IF(AND(G4948&gt;0,H4948&gt;0),G4948/H4948,"")</f>
        <v/>
      </c>
    </row>
    <row r="4949">
      <c r="A4949" s="4" t="inlineStr">
        <is>
          <t>109</t>
        </is>
      </c>
      <c r="B4949" s="4" t="n">
        <v>1</v>
      </c>
      <c r="C4949" s="4" t="inlineStr">
        <is>
          <t>mule deer</t>
        </is>
      </c>
      <c r="D4949" s="4" t="n">
        <v>2007</v>
      </c>
      <c r="E4949" s="4" t="inlineStr"/>
      <c r="F4949" s="5" t="n">
        <v>708</v>
      </c>
      <c r="G4949" s="5" t="n">
        <v>5062</v>
      </c>
      <c r="H4949" s="5" t="n">
        <v>42</v>
      </c>
      <c r="I4949" s="5" t="n">
        <v>36</v>
      </c>
      <c r="J4949" s="5" t="n">
        <v>5</v>
      </c>
      <c r="K4949" s="10">
        <f>IF(F4949&gt;0,H4949/F4949,"")</f>
        <v/>
      </c>
      <c r="L4949" s="16">
        <f>IF(AND(G4949&gt;0,H4949&gt;0),G4949/H4949,"")</f>
        <v/>
      </c>
    </row>
    <row r="4950">
      <c r="A4950" s="4" t="inlineStr">
        <is>
          <t>109</t>
        </is>
      </c>
      <c r="B4950" s="4" t="n">
        <v>1</v>
      </c>
      <c r="C4950" s="4" t="inlineStr">
        <is>
          <t>mule deer</t>
        </is>
      </c>
      <c r="D4950" s="4" t="n">
        <v>2008</v>
      </c>
      <c r="E4950" s="4" t="inlineStr"/>
      <c r="F4950" s="5" t="n">
        <v>641</v>
      </c>
      <c r="G4950" s="5" t="n">
        <v>5385</v>
      </c>
      <c r="H4950" s="5" t="n">
        <v>37</v>
      </c>
      <c r="I4950" s="5" t="n">
        <v>33</v>
      </c>
      <c r="J4950" s="5" t="n">
        <v>4</v>
      </c>
      <c r="K4950" s="10">
        <f>IF(F4950&gt;0,H4950/F4950,"")</f>
        <v/>
      </c>
      <c r="L4950" s="16">
        <f>IF(AND(G4950&gt;0,H4950&gt;0),G4950/H4950,"")</f>
        <v/>
      </c>
    </row>
    <row r="4951">
      <c r="A4951" s="4" t="inlineStr">
        <is>
          <t>109</t>
        </is>
      </c>
      <c r="B4951" s="4" t="n">
        <v>1</v>
      </c>
      <c r="C4951" s="4" t="inlineStr">
        <is>
          <t>mule deer</t>
        </is>
      </c>
      <c r="D4951" s="4" t="n">
        <v>2009</v>
      </c>
      <c r="E4951" s="4" t="inlineStr"/>
      <c r="F4951" s="5" t="n">
        <v>690</v>
      </c>
      <c r="G4951" s="5" t="n">
        <v>4634</v>
      </c>
      <c r="H4951" s="5" t="n">
        <v>89</v>
      </c>
      <c r="I4951" s="5" t="n">
        <v>86</v>
      </c>
      <c r="J4951" s="5" t="n">
        <v>3</v>
      </c>
      <c r="K4951" s="10">
        <f>IF(F4951&gt;0,H4951/F4951,"")</f>
        <v/>
      </c>
      <c r="L4951" s="16">
        <f>IF(AND(G4951&gt;0,H4951&gt;0),G4951/H4951,"")</f>
        <v/>
      </c>
    </row>
    <row r="4952">
      <c r="A4952" s="4" t="inlineStr">
        <is>
          <t>109</t>
        </is>
      </c>
      <c r="B4952" s="4" t="n">
        <v>1</v>
      </c>
      <c r="C4952" s="4" t="inlineStr">
        <is>
          <t>mule deer</t>
        </is>
      </c>
      <c r="D4952" s="4" t="n">
        <v>2010</v>
      </c>
      <c r="E4952" s="4" t="inlineStr"/>
      <c r="F4952" s="5" t="n">
        <v>547</v>
      </c>
      <c r="G4952" s="5" t="n">
        <v>3546</v>
      </c>
      <c r="H4952" s="5" t="n">
        <v>50</v>
      </c>
      <c r="I4952" s="5" t="n">
        <v>50</v>
      </c>
      <c r="J4952" s="5" t="n">
        <v>0</v>
      </c>
      <c r="K4952" s="10">
        <f>IF(F4952&gt;0,H4952/F4952,"")</f>
        <v/>
      </c>
      <c r="L4952" s="16">
        <f>IF(AND(G4952&gt;0,H4952&gt;0),G4952/H4952,"")</f>
        <v/>
      </c>
    </row>
    <row r="4953">
      <c r="A4953" s="4" t="inlineStr">
        <is>
          <t>109</t>
        </is>
      </c>
      <c r="B4953" s="4" t="n">
        <v>1</v>
      </c>
      <c r="C4953" s="4" t="inlineStr">
        <is>
          <t>mule deer</t>
        </is>
      </c>
      <c r="D4953" s="4" t="n">
        <v>2011</v>
      </c>
      <c r="E4953" s="4" t="inlineStr"/>
      <c r="F4953" s="5" t="n">
        <v>623</v>
      </c>
      <c r="G4953" s="5" t="n">
        <v>5166</v>
      </c>
      <c r="H4953" s="5" t="n">
        <v>26</v>
      </c>
      <c r="I4953" s="5" t="n">
        <v>23</v>
      </c>
      <c r="J4953" s="5" t="n">
        <v>4</v>
      </c>
      <c r="K4953" s="10">
        <f>IF(F4953&gt;0,H4953/F4953,"")</f>
        <v/>
      </c>
      <c r="L4953" s="16">
        <f>IF(AND(G4953&gt;0,H4953&gt;0),G4953/H4953,"")</f>
        <v/>
      </c>
    </row>
    <row r="4954">
      <c r="A4954" s="4" t="inlineStr">
        <is>
          <t>109</t>
        </is>
      </c>
      <c r="B4954" s="4" t="n">
        <v>1</v>
      </c>
      <c r="C4954" s="4" t="inlineStr">
        <is>
          <t>mule deer</t>
        </is>
      </c>
      <c r="D4954" s="4" t="n">
        <v>2012</v>
      </c>
      <c r="E4954" s="4" t="inlineStr"/>
      <c r="F4954" s="5" t="n"/>
      <c r="G4954" s="5" t="n"/>
      <c r="H4954" s="5" t="n">
        <v>11</v>
      </c>
      <c r="I4954" s="5" t="n">
        <v>11</v>
      </c>
      <c r="J4954" s="5" t="n">
        <v>0</v>
      </c>
      <c r="K4954" s="10">
        <f>IF(F4954&gt;0,H4954/F4954,"")</f>
        <v/>
      </c>
      <c r="L4954" s="16">
        <f>IF(AND(G4954&gt;0,H4954&gt;0),G4954/H4954,"")</f>
        <v/>
      </c>
    </row>
    <row r="4955">
      <c r="A4955" s="4" t="inlineStr">
        <is>
          <t>109</t>
        </is>
      </c>
      <c r="B4955" s="4" t="n">
        <v>1</v>
      </c>
      <c r="C4955" s="4" t="inlineStr">
        <is>
          <t>mule deer</t>
        </is>
      </c>
      <c r="D4955" s="4" t="n">
        <v>2013</v>
      </c>
      <c r="E4955" s="4" t="inlineStr"/>
      <c r="F4955" s="5" t="n">
        <v>505</v>
      </c>
      <c r="G4955" s="5" t="n">
        <v>3634</v>
      </c>
      <c r="H4955" s="5" t="n">
        <v>25</v>
      </c>
      <c r="I4955" s="5" t="n">
        <v>25</v>
      </c>
      <c r="J4955" s="5" t="n">
        <v>0</v>
      </c>
      <c r="K4955" s="10">
        <f>IF(F4955&gt;0,H4955/F4955,"")</f>
        <v/>
      </c>
      <c r="L4955" s="16">
        <f>IF(AND(G4955&gt;0,H4955&gt;0),G4955/H4955,"")</f>
        <v/>
      </c>
    </row>
    <row r="4956">
      <c r="A4956" s="4" t="inlineStr">
        <is>
          <t>109</t>
        </is>
      </c>
      <c r="B4956" s="4" t="n">
        <v>1</v>
      </c>
      <c r="C4956" s="4" t="inlineStr">
        <is>
          <t>mule deer</t>
        </is>
      </c>
      <c r="D4956" s="4" t="n">
        <v>2014</v>
      </c>
      <c r="E4956" s="4" t="inlineStr"/>
      <c r="F4956" s="5" t="n"/>
      <c r="G4956" s="5" t="n"/>
      <c r="H4956" s="5" t="n">
        <v>18</v>
      </c>
      <c r="I4956" s="5" t="n">
        <v>18</v>
      </c>
      <c r="J4956" s="5" t="n">
        <v>0</v>
      </c>
      <c r="K4956" s="10">
        <f>IF(F4956&gt;0,H4956/F4956,"")</f>
        <v/>
      </c>
      <c r="L4956" s="16">
        <f>IF(AND(G4956&gt;0,H4956&gt;0),G4956/H4956,"")</f>
        <v/>
      </c>
    </row>
    <row r="4957">
      <c r="A4957" s="4" t="inlineStr">
        <is>
          <t>109</t>
        </is>
      </c>
      <c r="B4957" s="4" t="n">
        <v>1</v>
      </c>
      <c r="C4957" s="4" t="inlineStr">
        <is>
          <t>mule deer</t>
        </is>
      </c>
      <c r="D4957" s="4" t="n">
        <v>2015</v>
      </c>
      <c r="E4957" s="4" t="inlineStr"/>
      <c r="F4957" s="5" t="n"/>
      <c r="G4957" s="5" t="n"/>
      <c r="H4957" s="5" t="n">
        <v>39</v>
      </c>
      <c r="I4957" s="5" t="n">
        <v>37</v>
      </c>
      <c r="J4957" s="5" t="n">
        <v>2</v>
      </c>
      <c r="K4957" s="10">
        <f>IF(F4957&gt;0,H4957/F4957,"")</f>
        <v/>
      </c>
      <c r="L4957" s="16">
        <f>IF(AND(G4957&gt;0,H4957&gt;0),G4957/H4957,"")</f>
        <v/>
      </c>
    </row>
    <row r="4958">
      <c r="A4958" s="4" t="inlineStr">
        <is>
          <t>109</t>
        </is>
      </c>
      <c r="B4958" s="4" t="n">
        <v>1</v>
      </c>
      <c r="C4958" s="4" t="inlineStr">
        <is>
          <t>mule deer</t>
        </is>
      </c>
      <c r="D4958" s="4" t="n">
        <v>2016</v>
      </c>
      <c r="E4958" s="4" t="inlineStr"/>
      <c r="F4958" s="5" t="n"/>
      <c r="G4958" s="5" t="n"/>
      <c r="H4958" s="5" t="n">
        <v>21</v>
      </c>
      <c r="I4958" s="5" t="n">
        <v>21</v>
      </c>
      <c r="J4958" s="5" t="n">
        <v>0</v>
      </c>
      <c r="K4958" s="10">
        <f>IF(F4958&gt;0,H4958/F4958,"")</f>
        <v/>
      </c>
      <c r="L4958" s="16">
        <f>IF(AND(G4958&gt;0,H4958&gt;0),G4958/H4958,"")</f>
        <v/>
      </c>
    </row>
    <row r="4959">
      <c r="A4959" s="4" t="inlineStr">
        <is>
          <t>109</t>
        </is>
      </c>
      <c r="B4959" s="4" t="n">
        <v>1</v>
      </c>
      <c r="C4959" s="4" t="inlineStr">
        <is>
          <t>mule deer</t>
        </is>
      </c>
      <c r="D4959" s="4" t="n">
        <v>2017</v>
      </c>
      <c r="E4959" s="4" t="inlineStr"/>
      <c r="F4959" s="5" t="n">
        <v>565</v>
      </c>
      <c r="G4959" s="5" t="n">
        <v>3634</v>
      </c>
      <c r="H4959" s="5" t="n">
        <v>12</v>
      </c>
      <c r="I4959" s="5" t="n">
        <v>12</v>
      </c>
      <c r="J4959" s="5" t="n">
        <v>0</v>
      </c>
      <c r="K4959" s="10">
        <f>IF(F4959&gt;0,H4959/F4959,"")</f>
        <v/>
      </c>
      <c r="L4959" s="16">
        <f>IF(AND(G4959&gt;0,H4959&gt;0),G4959/H4959,"")</f>
        <v/>
      </c>
    </row>
    <row r="4960">
      <c r="A4960" s="4" t="inlineStr">
        <is>
          <t>109</t>
        </is>
      </c>
      <c r="B4960" s="4" t="n">
        <v>1</v>
      </c>
      <c r="C4960" s="4" t="inlineStr">
        <is>
          <t>mule deer</t>
        </is>
      </c>
      <c r="D4960" s="4" t="n">
        <v>2018</v>
      </c>
      <c r="E4960" s="4" t="inlineStr"/>
      <c r="F4960" s="5" t="n"/>
      <c r="G4960" s="5" t="n"/>
      <c r="H4960" s="5" t="n">
        <v>37</v>
      </c>
      <c r="I4960" s="5" t="n">
        <v>37</v>
      </c>
      <c r="J4960" s="5" t="n">
        <v>0</v>
      </c>
      <c r="K4960" s="10">
        <f>IF(F4960&gt;0,H4960/F4960,"")</f>
        <v/>
      </c>
      <c r="L4960" s="16">
        <f>IF(AND(G4960&gt;0,H4960&gt;0),G4960/H4960,"")</f>
        <v/>
      </c>
    </row>
    <row r="4961">
      <c r="A4961" s="4" t="inlineStr">
        <is>
          <t>109</t>
        </is>
      </c>
      <c r="B4961" s="4" t="n">
        <v>1</v>
      </c>
      <c r="C4961" s="4" t="inlineStr">
        <is>
          <t>mule deer</t>
        </is>
      </c>
      <c r="D4961" s="4" t="n">
        <v>2019</v>
      </c>
      <c r="E4961" s="4" t="inlineStr"/>
      <c r="F4961" s="5" t="n">
        <v>690</v>
      </c>
      <c r="G4961" s="5" t="n">
        <v>4516</v>
      </c>
      <c r="H4961" s="5" t="n">
        <v>25</v>
      </c>
      <c r="I4961" s="5" t="n">
        <v>25</v>
      </c>
      <c r="J4961" s="5" t="n">
        <v>0</v>
      </c>
      <c r="K4961" s="10">
        <f>IF(F4961&gt;0,H4961/F4961,"")</f>
        <v/>
      </c>
      <c r="L4961" s="16">
        <f>IF(AND(G4961&gt;0,H4961&gt;0),G4961/H4961,"")</f>
        <v/>
      </c>
    </row>
    <row r="4962">
      <c r="A4962" s="4" t="inlineStr">
        <is>
          <t>109</t>
        </is>
      </c>
      <c r="B4962" s="4" t="n">
        <v>1</v>
      </c>
      <c r="C4962" s="4" t="inlineStr">
        <is>
          <t>mule deer</t>
        </is>
      </c>
      <c r="D4962" s="4" t="n">
        <v>2020</v>
      </c>
      <c r="E4962" s="4" t="inlineStr"/>
      <c r="F4962" s="5" t="n"/>
      <c r="G4962" s="5" t="n"/>
      <c r="H4962" s="5" t="n">
        <v>55</v>
      </c>
      <c r="I4962" s="5" t="n">
        <v>55</v>
      </c>
      <c r="J4962" s="5" t="n">
        <v>0</v>
      </c>
      <c r="K4962" s="10">
        <f>IF(F4962&gt;0,H4962/F4962,"")</f>
        <v/>
      </c>
      <c r="L4962" s="16">
        <f>IF(AND(G4962&gt;0,H4962&gt;0),G4962/H4962,"")</f>
        <v/>
      </c>
    </row>
    <row r="4963">
      <c r="A4963" s="4" t="inlineStr">
        <is>
          <t>109</t>
        </is>
      </c>
      <c r="B4963" s="4" t="n">
        <v>1</v>
      </c>
      <c r="C4963" s="4" t="inlineStr">
        <is>
          <t>mule deer</t>
        </is>
      </c>
      <c r="D4963" s="4" t="n">
        <v>2021</v>
      </c>
      <c r="E4963" s="4" t="inlineStr"/>
      <c r="F4963" s="5" t="n">
        <v>532</v>
      </c>
      <c r="G4963" s="5" t="n">
        <v>3607</v>
      </c>
      <c r="H4963" s="5" t="n">
        <v>39</v>
      </c>
      <c r="I4963" s="5" t="n">
        <v>39</v>
      </c>
      <c r="J4963" s="5" t="n">
        <v>0</v>
      </c>
      <c r="K4963" s="10">
        <f>IF(F4963&gt;0,H4963/F4963,"")</f>
        <v/>
      </c>
      <c r="L4963" s="16">
        <f>IF(AND(G4963&gt;0,H4963&gt;0),G4963/H4963,"")</f>
        <v/>
      </c>
    </row>
    <row r="4964">
      <c r="A4964" s="4" t="inlineStr">
        <is>
          <t>110</t>
        </is>
      </c>
      <c r="B4964" s="4" t="n">
        <v>1</v>
      </c>
      <c r="C4964" s="4" t="inlineStr">
        <is>
          <t>mule deer</t>
        </is>
      </c>
      <c r="D4964" s="4" t="n">
        <v>2004</v>
      </c>
      <c r="E4964" s="13" t="inlineStr">
        <is>
          <t>General</t>
        </is>
      </c>
      <c r="F4964" s="5" t="n">
        <v>2241</v>
      </c>
      <c r="G4964" s="5" t="n">
        <v>11188</v>
      </c>
      <c r="H4964" s="5" t="n">
        <v>104</v>
      </c>
      <c r="I4964" s="5" t="n">
        <v>104</v>
      </c>
      <c r="J4964" s="5" t="n">
        <v>0</v>
      </c>
      <c r="K4964" s="10">
        <f>IF(F4964&gt;0,H4964/F4964,"")</f>
        <v/>
      </c>
      <c r="L4964" s="16">
        <f>IF(AND(G4964&gt;0,H4964&gt;0),G4964/H4964,"")</f>
        <v/>
      </c>
    </row>
    <row r="4965">
      <c r="A4965" s="4" t="inlineStr">
        <is>
          <t>110</t>
        </is>
      </c>
      <c r="B4965" s="4" t="n">
        <v>1</v>
      </c>
      <c r="C4965" s="4" t="inlineStr">
        <is>
          <t>mule deer</t>
        </is>
      </c>
      <c r="D4965" s="4" t="n">
        <v>2005</v>
      </c>
      <c r="E4965" s="13" t="inlineStr">
        <is>
          <t>General</t>
        </is>
      </c>
      <c r="F4965" s="5" t="n">
        <v>2242</v>
      </c>
      <c r="G4965" s="5" t="n">
        <v>12810</v>
      </c>
      <c r="H4965" s="5" t="n">
        <v>182</v>
      </c>
      <c r="I4965" s="5" t="n">
        <v>182</v>
      </c>
      <c r="J4965" s="5" t="n">
        <v>0</v>
      </c>
      <c r="K4965" s="10">
        <f>IF(F4965&gt;0,H4965/F4965,"")</f>
        <v/>
      </c>
      <c r="L4965" s="16">
        <f>IF(AND(G4965&gt;0,H4965&gt;0),G4965/H4965,"")</f>
        <v/>
      </c>
    </row>
    <row r="4966">
      <c r="A4966" s="4" t="inlineStr">
        <is>
          <t>110</t>
        </is>
      </c>
      <c r="B4966" s="4" t="n">
        <v>1</v>
      </c>
      <c r="C4966" s="4" t="inlineStr">
        <is>
          <t>mule deer</t>
        </is>
      </c>
      <c r="D4966" s="4" t="n">
        <v>2006</v>
      </c>
      <c r="E4966" s="13" t="inlineStr">
        <is>
          <t>General</t>
        </is>
      </c>
      <c r="F4966" s="5" t="n">
        <v>2430</v>
      </c>
      <c r="G4966" s="5" t="n">
        <v>16277</v>
      </c>
      <c r="H4966" s="5" t="n">
        <v>165</v>
      </c>
      <c r="I4966" s="5" t="n">
        <v>165</v>
      </c>
      <c r="J4966" s="5" t="n">
        <v>0</v>
      </c>
      <c r="K4966" s="10">
        <f>IF(F4966&gt;0,H4966/F4966,"")</f>
        <v/>
      </c>
      <c r="L4966" s="16">
        <f>IF(AND(G4966&gt;0,H4966&gt;0),G4966/H4966,"")</f>
        <v/>
      </c>
    </row>
    <row r="4967">
      <c r="A4967" s="4" t="inlineStr">
        <is>
          <t>110</t>
        </is>
      </c>
      <c r="B4967" s="4" t="n">
        <v>1</v>
      </c>
      <c r="C4967" s="4" t="inlineStr">
        <is>
          <t>mule deer</t>
        </is>
      </c>
      <c r="D4967" s="4" t="n">
        <v>2007</v>
      </c>
      <c r="E4967" s="13" t="inlineStr">
        <is>
          <t>General</t>
        </is>
      </c>
      <c r="F4967" s="5" t="n">
        <v>2051</v>
      </c>
      <c r="G4967" s="5" t="n">
        <v>13816</v>
      </c>
      <c r="H4967" s="5" t="n">
        <v>90</v>
      </c>
      <c r="I4967" s="5" t="n">
        <v>85</v>
      </c>
      <c r="J4967" s="5" t="n">
        <v>5</v>
      </c>
      <c r="K4967" s="10">
        <f>IF(F4967&gt;0,H4967/F4967,"")</f>
        <v/>
      </c>
      <c r="L4967" s="16">
        <f>IF(AND(G4967&gt;0,H4967&gt;0),G4967/H4967,"")</f>
        <v/>
      </c>
    </row>
    <row r="4968">
      <c r="A4968" s="4" t="inlineStr">
        <is>
          <t>110</t>
        </is>
      </c>
      <c r="B4968" s="4" t="n">
        <v>1</v>
      </c>
      <c r="C4968" s="4" t="inlineStr">
        <is>
          <t>mule deer</t>
        </is>
      </c>
      <c r="D4968" s="4" t="n">
        <v>2008</v>
      </c>
      <c r="E4968" s="13" t="inlineStr">
        <is>
          <t>General</t>
        </is>
      </c>
      <c r="F4968" s="5" t="n">
        <v>2278</v>
      </c>
      <c r="G4968" s="5" t="n">
        <v>14800</v>
      </c>
      <c r="H4968" s="5" t="n">
        <v>75</v>
      </c>
      <c r="I4968" s="5" t="n">
        <v>69</v>
      </c>
      <c r="J4968" s="5" t="n">
        <v>6</v>
      </c>
      <c r="K4968" s="10">
        <f>IF(F4968&gt;0,H4968/F4968,"")</f>
        <v/>
      </c>
      <c r="L4968" s="16">
        <f>IF(AND(G4968&gt;0,H4968&gt;0),G4968/H4968,"")</f>
        <v/>
      </c>
    </row>
    <row r="4969">
      <c r="A4969" s="4" t="inlineStr">
        <is>
          <t>110</t>
        </is>
      </c>
      <c r="B4969" s="4" t="n">
        <v>1</v>
      </c>
      <c r="C4969" s="4" t="inlineStr">
        <is>
          <t>mule deer</t>
        </is>
      </c>
      <c r="D4969" s="4" t="n">
        <v>2009</v>
      </c>
      <c r="E4969" s="13" t="inlineStr">
        <is>
          <t>General</t>
        </is>
      </c>
      <c r="F4969" s="5" t="n">
        <v>2203</v>
      </c>
      <c r="G4969" s="5" t="n">
        <v>15303</v>
      </c>
      <c r="H4969" s="5" t="n">
        <v>89</v>
      </c>
      <c r="I4969" s="5" t="n">
        <v>89</v>
      </c>
      <c r="J4969" s="5" t="n">
        <v>0</v>
      </c>
      <c r="K4969" s="10">
        <f>IF(F4969&gt;0,H4969/F4969,"")</f>
        <v/>
      </c>
      <c r="L4969" s="16">
        <f>IF(AND(G4969&gt;0,H4969&gt;0),G4969/H4969,"")</f>
        <v/>
      </c>
    </row>
    <row r="4970">
      <c r="A4970" s="4" t="inlineStr">
        <is>
          <t>110</t>
        </is>
      </c>
      <c r="B4970" s="4" t="n">
        <v>1</v>
      </c>
      <c r="C4970" s="4" t="inlineStr">
        <is>
          <t>mule deer</t>
        </is>
      </c>
      <c r="D4970" s="4" t="n">
        <v>2010</v>
      </c>
      <c r="E4970" s="13" t="inlineStr">
        <is>
          <t>General</t>
        </is>
      </c>
      <c r="F4970" s="5" t="n">
        <v>1838</v>
      </c>
      <c r="G4970" s="5" t="n">
        <v>12409</v>
      </c>
      <c r="H4970" s="5" t="n">
        <v>76</v>
      </c>
      <c r="I4970" s="5" t="n">
        <v>73</v>
      </c>
      <c r="J4970" s="5" t="n">
        <v>3</v>
      </c>
      <c r="K4970" s="10">
        <f>IF(F4970&gt;0,H4970/F4970,"")</f>
        <v/>
      </c>
      <c r="L4970" s="16">
        <f>IF(AND(G4970&gt;0,H4970&gt;0),G4970/H4970,"")</f>
        <v/>
      </c>
    </row>
    <row r="4971">
      <c r="A4971" s="4" t="inlineStr">
        <is>
          <t>110</t>
        </is>
      </c>
      <c r="B4971" s="4" t="n">
        <v>1</v>
      </c>
      <c r="C4971" s="4" t="inlineStr">
        <is>
          <t>mule deer</t>
        </is>
      </c>
      <c r="D4971" s="4" t="n">
        <v>2011</v>
      </c>
      <c r="E4971" s="13" t="inlineStr">
        <is>
          <t>General</t>
        </is>
      </c>
      <c r="F4971" s="5" t="n">
        <v>1877</v>
      </c>
      <c r="G4971" s="5" t="n">
        <v>13234</v>
      </c>
      <c r="H4971" s="5" t="n">
        <v>25</v>
      </c>
      <c r="I4971" s="5" t="n">
        <v>22</v>
      </c>
      <c r="J4971" s="5" t="n">
        <v>3</v>
      </c>
      <c r="K4971" s="10">
        <f>IF(F4971&gt;0,H4971/F4971,"")</f>
        <v/>
      </c>
      <c r="L4971" s="16">
        <f>IF(AND(G4971&gt;0,H4971&gt;0),G4971/H4971,"")</f>
        <v/>
      </c>
    </row>
    <row r="4972">
      <c r="A4972" s="4" t="inlineStr">
        <is>
          <t>110</t>
        </is>
      </c>
      <c r="B4972" s="4" t="n">
        <v>1</v>
      </c>
      <c r="C4972" s="4" t="inlineStr">
        <is>
          <t>mule deer</t>
        </is>
      </c>
      <c r="D4972" s="4" t="n">
        <v>2012</v>
      </c>
      <c r="E4972" s="13" t="inlineStr">
        <is>
          <t>General</t>
        </is>
      </c>
      <c r="F4972" s="5" t="n"/>
      <c r="G4972" s="5" t="n"/>
      <c r="H4972" s="5" t="n">
        <v>31</v>
      </c>
      <c r="I4972" s="5" t="n">
        <v>31</v>
      </c>
      <c r="J4972" s="5" t="n">
        <v>0</v>
      </c>
      <c r="K4972" s="10">
        <f>IF(F4972&gt;0,H4972/F4972,"")</f>
        <v/>
      </c>
      <c r="L4972" s="16">
        <f>IF(AND(G4972&gt;0,H4972&gt;0),G4972/H4972,"")</f>
        <v/>
      </c>
    </row>
    <row r="4973">
      <c r="A4973" s="4" t="inlineStr">
        <is>
          <t>110</t>
        </is>
      </c>
      <c r="B4973" s="4" t="n">
        <v>1</v>
      </c>
      <c r="C4973" s="4" t="inlineStr">
        <is>
          <t>mule deer</t>
        </is>
      </c>
      <c r="D4973" s="4" t="n">
        <v>2013</v>
      </c>
      <c r="E4973" s="13" t="inlineStr">
        <is>
          <t>General</t>
        </is>
      </c>
      <c r="F4973" s="5" t="n">
        <v>1926</v>
      </c>
      <c r="G4973" s="5" t="n">
        <v>12732</v>
      </c>
      <c r="H4973" s="5" t="n">
        <v>68</v>
      </c>
      <c r="I4973" s="5" t="n">
        <v>62</v>
      </c>
      <c r="J4973" s="5" t="n">
        <v>6</v>
      </c>
      <c r="K4973" s="10">
        <f>IF(F4973&gt;0,H4973/F4973,"")</f>
        <v/>
      </c>
      <c r="L4973" s="16">
        <f>IF(AND(G4973&gt;0,H4973&gt;0),G4973/H4973,"")</f>
        <v/>
      </c>
    </row>
    <row r="4974">
      <c r="A4974" s="4" t="inlineStr">
        <is>
          <t>110</t>
        </is>
      </c>
      <c r="B4974" s="4" t="n">
        <v>1</v>
      </c>
      <c r="C4974" s="4" t="inlineStr">
        <is>
          <t>mule deer</t>
        </is>
      </c>
      <c r="D4974" s="4" t="n">
        <v>2014</v>
      </c>
      <c r="E4974" s="13" t="inlineStr">
        <is>
          <t>General</t>
        </is>
      </c>
      <c r="F4974" s="5" t="n"/>
      <c r="G4974" s="5" t="n"/>
      <c r="H4974" s="5" t="n">
        <v>26</v>
      </c>
      <c r="I4974" s="5" t="n">
        <v>26</v>
      </c>
      <c r="J4974" s="5" t="n">
        <v>0</v>
      </c>
      <c r="K4974" s="10">
        <f>IF(F4974&gt;0,H4974/F4974,"")</f>
        <v/>
      </c>
      <c r="L4974" s="16">
        <f>IF(AND(G4974&gt;0,H4974&gt;0),G4974/H4974,"")</f>
        <v/>
      </c>
    </row>
    <row r="4975">
      <c r="A4975" s="4" t="inlineStr">
        <is>
          <t>110</t>
        </is>
      </c>
      <c r="B4975" s="4" t="n">
        <v>1</v>
      </c>
      <c r="C4975" s="4" t="inlineStr">
        <is>
          <t>mule deer</t>
        </is>
      </c>
      <c r="D4975" s="4" t="n">
        <v>2015</v>
      </c>
      <c r="E4975" s="13" t="inlineStr">
        <is>
          <t>General</t>
        </is>
      </c>
      <c r="F4975" s="5" t="n"/>
      <c r="G4975" s="5" t="n"/>
      <c r="H4975" s="5" t="n">
        <v>26</v>
      </c>
      <c r="I4975" s="5" t="n">
        <v>26</v>
      </c>
      <c r="J4975" s="5" t="n">
        <v>0</v>
      </c>
      <c r="K4975" s="10">
        <f>IF(F4975&gt;0,H4975/F4975,"")</f>
        <v/>
      </c>
      <c r="L4975" s="16">
        <f>IF(AND(G4975&gt;0,H4975&gt;0),G4975/H4975,"")</f>
        <v/>
      </c>
    </row>
    <row r="4976">
      <c r="A4976" s="4" t="inlineStr">
        <is>
          <t>110</t>
        </is>
      </c>
      <c r="B4976" s="4" t="n">
        <v>1</v>
      </c>
      <c r="C4976" s="4" t="inlineStr">
        <is>
          <t>mule deer</t>
        </is>
      </c>
      <c r="D4976" s="4" t="n">
        <v>2016</v>
      </c>
      <c r="E4976" s="13" t="inlineStr">
        <is>
          <t>General</t>
        </is>
      </c>
      <c r="F4976" s="5" t="n"/>
      <c r="G4976" s="5" t="n"/>
      <c r="H4976" s="5" t="n">
        <v>53</v>
      </c>
      <c r="I4976" s="5" t="n">
        <v>53</v>
      </c>
      <c r="J4976" s="5" t="n">
        <v>0</v>
      </c>
      <c r="K4976" s="10">
        <f>IF(F4976&gt;0,H4976/F4976,"")</f>
        <v/>
      </c>
      <c r="L4976" s="16">
        <f>IF(AND(G4976&gt;0,H4976&gt;0),G4976/H4976,"")</f>
        <v/>
      </c>
    </row>
    <row r="4977">
      <c r="A4977" s="4" t="inlineStr">
        <is>
          <t>110</t>
        </is>
      </c>
      <c r="B4977" s="4" t="n">
        <v>1</v>
      </c>
      <c r="C4977" s="4" t="inlineStr">
        <is>
          <t>mule deer</t>
        </is>
      </c>
      <c r="D4977" s="4" t="n">
        <v>2017</v>
      </c>
      <c r="E4977" s="13" t="inlineStr">
        <is>
          <t>General</t>
        </is>
      </c>
      <c r="F4977" s="5" t="n">
        <v>1451</v>
      </c>
      <c r="G4977" s="5" t="n">
        <v>9238</v>
      </c>
      <c r="H4977" s="5" t="n">
        <v>30</v>
      </c>
      <c r="I4977" s="5" t="n">
        <v>30</v>
      </c>
      <c r="J4977" s="5" t="n">
        <v>0</v>
      </c>
      <c r="K4977" s="10">
        <f>IF(F4977&gt;0,H4977/F4977,"")</f>
        <v/>
      </c>
      <c r="L4977" s="16">
        <f>IF(AND(G4977&gt;0,H4977&gt;0),G4977/H4977,"")</f>
        <v/>
      </c>
    </row>
    <row r="4978">
      <c r="A4978" s="4" t="inlineStr">
        <is>
          <t>110</t>
        </is>
      </c>
      <c r="B4978" s="4" t="n">
        <v>1</v>
      </c>
      <c r="C4978" s="4" t="inlineStr">
        <is>
          <t>mule deer</t>
        </is>
      </c>
      <c r="D4978" s="4" t="n">
        <v>2018</v>
      </c>
      <c r="E4978" s="13" t="inlineStr">
        <is>
          <t>General</t>
        </is>
      </c>
      <c r="F4978" s="5" t="n"/>
      <c r="G4978" s="5" t="n"/>
      <c r="H4978" s="5" t="n">
        <v>38</v>
      </c>
      <c r="I4978" s="5" t="n">
        <v>38</v>
      </c>
      <c r="J4978" s="5" t="n">
        <v>0</v>
      </c>
      <c r="K4978" s="10">
        <f>IF(F4978&gt;0,H4978/F4978,"")</f>
        <v/>
      </c>
      <c r="L4978" s="16">
        <f>IF(AND(G4978&gt;0,H4978&gt;0),G4978/H4978,"")</f>
        <v/>
      </c>
    </row>
    <row r="4979">
      <c r="A4979" s="4" t="inlineStr">
        <is>
          <t>110</t>
        </is>
      </c>
      <c r="B4979" s="4" t="n">
        <v>1</v>
      </c>
      <c r="C4979" s="4" t="inlineStr">
        <is>
          <t>mule deer</t>
        </is>
      </c>
      <c r="D4979" s="4" t="n">
        <v>2019</v>
      </c>
      <c r="E4979" s="13" t="inlineStr">
        <is>
          <t>General</t>
        </is>
      </c>
      <c r="F4979" s="5" t="n">
        <v>1180</v>
      </c>
      <c r="G4979" s="5" t="n">
        <v>7297</v>
      </c>
      <c r="H4979" s="5" t="n">
        <v>14</v>
      </c>
      <c r="I4979" s="5" t="n">
        <v>14</v>
      </c>
      <c r="J4979" s="5" t="n">
        <v>0</v>
      </c>
      <c r="K4979" s="10">
        <f>IF(F4979&gt;0,H4979/F4979,"")</f>
        <v/>
      </c>
      <c r="L4979" s="16">
        <f>IF(AND(G4979&gt;0,H4979&gt;0),G4979/H4979,"")</f>
        <v/>
      </c>
    </row>
    <row r="4980">
      <c r="A4980" s="4" t="inlineStr">
        <is>
          <t>110</t>
        </is>
      </c>
      <c r="B4980" s="4" t="n">
        <v>1</v>
      </c>
      <c r="C4980" s="4" t="inlineStr">
        <is>
          <t>mule deer</t>
        </is>
      </c>
      <c r="D4980" s="4" t="n">
        <v>2020</v>
      </c>
      <c r="E4980" s="13" t="inlineStr">
        <is>
          <t>General</t>
        </is>
      </c>
      <c r="F4980" s="5" t="n"/>
      <c r="G4980" s="5" t="n"/>
      <c r="H4980" s="5" t="n">
        <v>30</v>
      </c>
      <c r="I4980" s="5" t="n">
        <v>26</v>
      </c>
      <c r="J4980" s="5" t="n">
        <v>3</v>
      </c>
      <c r="K4980" s="10">
        <f>IF(F4980&gt;0,H4980/F4980,"")</f>
        <v/>
      </c>
      <c r="L4980" s="16">
        <f>IF(AND(G4980&gt;0,H4980&gt;0),G4980/H4980,"")</f>
        <v/>
      </c>
    </row>
    <row r="4981">
      <c r="A4981" s="4" t="inlineStr">
        <is>
          <t>110</t>
        </is>
      </c>
      <c r="B4981" s="4" t="n">
        <v>1</v>
      </c>
      <c r="C4981" s="4" t="inlineStr">
        <is>
          <t>mule deer</t>
        </is>
      </c>
      <c r="D4981" s="4" t="n">
        <v>2021</v>
      </c>
      <c r="E4981" s="13" t="inlineStr">
        <is>
          <t>General</t>
        </is>
      </c>
      <c r="F4981" s="5" t="n">
        <v>1118</v>
      </c>
      <c r="G4981" s="5" t="n">
        <v>6739</v>
      </c>
      <c r="H4981" s="5" t="n">
        <v>8</v>
      </c>
      <c r="I4981" s="5" t="n">
        <v>8</v>
      </c>
      <c r="J4981" s="5" t="n">
        <v>0</v>
      </c>
      <c r="K4981" s="10">
        <f>IF(F4981&gt;0,H4981/F4981,"")</f>
        <v/>
      </c>
      <c r="L4981" s="16">
        <f>IF(AND(G4981&gt;0,H4981&gt;0),G4981/H4981,"")</f>
        <v/>
      </c>
    </row>
    <row r="4982">
      <c r="A4982" s="4" t="inlineStr">
        <is>
          <t>110</t>
        </is>
      </c>
      <c r="B4982" s="4" t="n">
        <v>1</v>
      </c>
      <c r="C4982" s="4" t="inlineStr">
        <is>
          <t>mule deer</t>
        </is>
      </c>
      <c r="D4982" s="4" t="n">
        <v>2022</v>
      </c>
      <c r="E4982" s="13" t="inlineStr">
        <is>
          <t>General</t>
        </is>
      </c>
      <c r="F4982" s="5" t="n"/>
      <c r="G4982" s="5" t="n"/>
      <c r="H4982" s="5" t="n">
        <v>20</v>
      </c>
      <c r="I4982" s="5" t="n">
        <v>20</v>
      </c>
      <c r="J4982" s="5" t="n">
        <v>0</v>
      </c>
      <c r="K4982" s="10">
        <f>IF(F4982&gt;0,H4982/F4982,"")</f>
        <v/>
      </c>
      <c r="L4982" s="16">
        <f>IF(AND(G4982&gt;0,H4982&gt;0),G4982/H4982,"")</f>
        <v/>
      </c>
    </row>
    <row r="4983">
      <c r="A4983" s="4" t="inlineStr">
        <is>
          <t>110</t>
        </is>
      </c>
      <c r="B4983" s="4" t="n">
        <v>1</v>
      </c>
      <c r="C4983" s="4" t="inlineStr">
        <is>
          <t>mule deer</t>
        </is>
      </c>
      <c r="D4983" s="4" t="n">
        <v>2023</v>
      </c>
      <c r="E4983" s="13" t="inlineStr">
        <is>
          <t>General</t>
        </is>
      </c>
      <c r="F4983" s="5" t="n">
        <v>1360</v>
      </c>
      <c r="G4983" s="5" t="n">
        <v>7975</v>
      </c>
      <c r="H4983" s="5" t="n">
        <v>40</v>
      </c>
      <c r="I4983" s="5" t="n">
        <v>40</v>
      </c>
      <c r="J4983" s="5" t="n">
        <v>0</v>
      </c>
      <c r="K4983" s="10">
        <f>IF(F4983&gt;0,H4983/F4983,"")</f>
        <v/>
      </c>
      <c r="L4983" s="16">
        <f>IF(AND(G4983&gt;0,H4983&gt;0),G4983/H4983,"")</f>
        <v/>
      </c>
    </row>
    <row r="4984">
      <c r="A4984" s="4" t="inlineStr">
        <is>
          <t>110</t>
        </is>
      </c>
      <c r="B4984" s="4" t="n">
        <v>1</v>
      </c>
      <c r="C4984" s="4" t="inlineStr">
        <is>
          <t>mule deer</t>
        </is>
      </c>
      <c r="D4984" s="4" t="n">
        <v>2024</v>
      </c>
      <c r="E4984" s="13" t="inlineStr">
        <is>
          <t>General</t>
        </is>
      </c>
      <c r="F4984" s="5" t="n"/>
      <c r="G4984" s="5" t="n"/>
      <c r="H4984" s="5" t="n">
        <v>25</v>
      </c>
      <c r="I4984" s="5" t="n">
        <v>22</v>
      </c>
      <c r="J4984" s="5" t="n">
        <v>3</v>
      </c>
      <c r="K4984" s="10">
        <f>IF(F4984&gt;0,H4984/F4984,"")</f>
        <v/>
      </c>
      <c r="L4984" s="16">
        <f>IF(AND(G4984&gt;0,H4984&gt;0),G4984/H4984,"")</f>
        <v/>
      </c>
    </row>
    <row r="4985">
      <c r="A4985" s="4" t="inlineStr">
        <is>
          <t>110</t>
        </is>
      </c>
      <c r="B4985" s="4" t="n">
        <v>1</v>
      </c>
      <c r="C4985" s="4" t="inlineStr">
        <is>
          <t>mule deer</t>
        </is>
      </c>
      <c r="D4985" s="4" t="n">
        <v>2025</v>
      </c>
      <c r="E4985" s="13" t="inlineStr">
        <is>
          <t>General</t>
        </is>
      </c>
      <c r="F4985" s="5" t="n">
        <v>1344</v>
      </c>
      <c r="G4985" s="5" t="n">
        <v>8403</v>
      </c>
      <c r="H4985" s="5" t="n">
        <v>38</v>
      </c>
      <c r="I4985" s="5" t="n">
        <v>38</v>
      </c>
      <c r="J4985" s="5" t="n">
        <v>0</v>
      </c>
      <c r="K4985" s="10">
        <f>IF(F4985&gt;0,H4985/F4985,"")</f>
        <v/>
      </c>
      <c r="L4985" s="16">
        <f>IF(AND(G4985&gt;0,H4985&gt;0),G4985/H4985,"")</f>
        <v/>
      </c>
    </row>
    <row r="4986">
      <c r="A4986" s="4" t="inlineStr">
        <is>
          <t>120</t>
        </is>
      </c>
      <c r="B4986" s="4" t="n">
        <v>1</v>
      </c>
      <c r="C4986" s="4" t="inlineStr">
        <is>
          <t>mule deer</t>
        </is>
      </c>
      <c r="D4986" s="4" t="n">
        <v>2004</v>
      </c>
      <c r="E4986" s="13" t="inlineStr">
        <is>
          <t>General</t>
        </is>
      </c>
      <c r="F4986" s="5" t="n">
        <v>2533</v>
      </c>
      <c r="G4986" s="5" t="n">
        <v>12888</v>
      </c>
      <c r="H4986" s="5" t="n">
        <v>66</v>
      </c>
      <c r="I4986" s="5" t="n">
        <v>63</v>
      </c>
      <c r="J4986" s="5" t="n">
        <v>4</v>
      </c>
      <c r="K4986" s="10">
        <f>IF(F4986&gt;0,H4986/F4986,"")</f>
        <v/>
      </c>
      <c r="L4986" s="16">
        <f>IF(AND(G4986&gt;0,H4986&gt;0),G4986/H4986,"")</f>
        <v/>
      </c>
    </row>
    <row r="4987">
      <c r="A4987" s="4" t="inlineStr">
        <is>
          <t>120</t>
        </is>
      </c>
      <c r="B4987" s="4" t="n">
        <v>1</v>
      </c>
      <c r="C4987" s="4" t="inlineStr">
        <is>
          <t>mule deer</t>
        </is>
      </c>
      <c r="D4987" s="4" t="n">
        <v>2005</v>
      </c>
      <c r="E4987" s="13" t="inlineStr">
        <is>
          <t>General</t>
        </is>
      </c>
      <c r="F4987" s="5" t="n">
        <v>2914</v>
      </c>
      <c r="G4987" s="5" t="n">
        <v>16017</v>
      </c>
      <c r="H4987" s="5" t="n">
        <v>93</v>
      </c>
      <c r="I4987" s="5" t="n">
        <v>87</v>
      </c>
      <c r="J4987" s="5" t="n">
        <v>6</v>
      </c>
      <c r="K4987" s="10">
        <f>IF(F4987&gt;0,H4987/F4987,"")</f>
        <v/>
      </c>
      <c r="L4987" s="16">
        <f>IF(AND(G4987&gt;0,H4987&gt;0),G4987/H4987,"")</f>
        <v/>
      </c>
    </row>
    <row r="4988">
      <c r="A4988" s="4" t="inlineStr">
        <is>
          <t>120</t>
        </is>
      </c>
      <c r="B4988" s="4" t="n">
        <v>1</v>
      </c>
      <c r="C4988" s="4" t="inlineStr">
        <is>
          <t>mule deer</t>
        </is>
      </c>
      <c r="D4988" s="4" t="n">
        <v>2006</v>
      </c>
      <c r="E4988" s="13" t="inlineStr">
        <is>
          <t>General</t>
        </is>
      </c>
      <c r="F4988" s="5" t="n">
        <v>2713</v>
      </c>
      <c r="G4988" s="5" t="n">
        <v>16766</v>
      </c>
      <c r="H4988" s="5" t="n">
        <v>96</v>
      </c>
      <c r="I4988" s="5" t="n">
        <v>85</v>
      </c>
      <c r="J4988" s="5" t="n">
        <v>7</v>
      </c>
      <c r="K4988" s="10">
        <f>IF(F4988&gt;0,H4988/F4988,"")</f>
        <v/>
      </c>
      <c r="L4988" s="16">
        <f>IF(AND(G4988&gt;0,H4988&gt;0),G4988/H4988,"")</f>
        <v/>
      </c>
    </row>
    <row r="4989">
      <c r="A4989" s="4" t="inlineStr">
        <is>
          <t>120</t>
        </is>
      </c>
      <c r="B4989" s="4" t="n">
        <v>1</v>
      </c>
      <c r="C4989" s="4" t="inlineStr">
        <is>
          <t>mule deer</t>
        </is>
      </c>
      <c r="D4989" s="4" t="n">
        <v>2007</v>
      </c>
      <c r="E4989" s="13" t="inlineStr">
        <is>
          <t>General</t>
        </is>
      </c>
      <c r="F4989" s="5" t="n">
        <v>3024</v>
      </c>
      <c r="G4989" s="5" t="n">
        <v>18279</v>
      </c>
      <c r="H4989" s="5" t="n">
        <v>103</v>
      </c>
      <c r="I4989" s="5" t="n">
        <v>103</v>
      </c>
      <c r="J4989" s="5" t="n">
        <v>0</v>
      </c>
      <c r="K4989" s="10">
        <f>IF(F4989&gt;0,H4989/F4989,"")</f>
        <v/>
      </c>
      <c r="L4989" s="16">
        <f>IF(AND(G4989&gt;0,H4989&gt;0),G4989/H4989,"")</f>
        <v/>
      </c>
    </row>
    <row r="4990">
      <c r="A4990" s="4" t="inlineStr">
        <is>
          <t>120</t>
        </is>
      </c>
      <c r="B4990" s="4" t="n">
        <v>1</v>
      </c>
      <c r="C4990" s="4" t="inlineStr">
        <is>
          <t>mule deer</t>
        </is>
      </c>
      <c r="D4990" s="4" t="n">
        <v>2008</v>
      </c>
      <c r="E4990" s="13" t="inlineStr">
        <is>
          <t>General</t>
        </is>
      </c>
      <c r="F4990" s="5" t="n">
        <v>2594</v>
      </c>
      <c r="G4990" s="5" t="n">
        <v>17463</v>
      </c>
      <c r="H4990" s="5" t="n">
        <v>39</v>
      </c>
      <c r="I4990" s="5" t="n">
        <v>33</v>
      </c>
      <c r="J4990" s="5" t="n">
        <v>6</v>
      </c>
      <c r="K4990" s="10">
        <f>IF(F4990&gt;0,H4990/F4990,"")</f>
        <v/>
      </c>
      <c r="L4990" s="16">
        <f>IF(AND(G4990&gt;0,H4990&gt;0),G4990/H4990,"")</f>
        <v/>
      </c>
    </row>
    <row r="4991">
      <c r="A4991" s="4" t="inlineStr">
        <is>
          <t>120</t>
        </is>
      </c>
      <c r="B4991" s="4" t="n">
        <v>1</v>
      </c>
      <c r="C4991" s="4" t="inlineStr">
        <is>
          <t>mule deer</t>
        </is>
      </c>
      <c r="D4991" s="4" t="n">
        <v>2009</v>
      </c>
      <c r="E4991" s="13" t="inlineStr">
        <is>
          <t>General</t>
        </is>
      </c>
      <c r="F4991" s="5" t="n">
        <v>2392</v>
      </c>
      <c r="G4991" s="5" t="n">
        <v>14276</v>
      </c>
      <c r="H4991" s="5" t="n">
        <v>67</v>
      </c>
      <c r="I4991" s="5" t="n">
        <v>60</v>
      </c>
      <c r="J4991" s="5" t="n">
        <v>7</v>
      </c>
      <c r="K4991" s="10">
        <f>IF(F4991&gt;0,H4991/F4991,"")</f>
        <v/>
      </c>
      <c r="L4991" s="16">
        <f>IF(AND(G4991&gt;0,H4991&gt;0),G4991/H4991,"")</f>
        <v/>
      </c>
    </row>
    <row r="4992">
      <c r="A4992" s="4" t="inlineStr">
        <is>
          <t>120</t>
        </is>
      </c>
      <c r="B4992" s="4" t="n">
        <v>1</v>
      </c>
      <c r="C4992" s="4" t="inlineStr">
        <is>
          <t>mule deer</t>
        </is>
      </c>
      <c r="D4992" s="4" t="n">
        <v>2010</v>
      </c>
      <c r="E4992" s="13" t="inlineStr">
        <is>
          <t>General</t>
        </is>
      </c>
      <c r="F4992" s="5" t="n">
        <v>1972</v>
      </c>
      <c r="G4992" s="5" t="n">
        <v>11938</v>
      </c>
      <c r="H4992" s="5" t="n">
        <v>48</v>
      </c>
      <c r="I4992" s="5" t="n">
        <v>45</v>
      </c>
      <c r="J4992" s="5" t="n">
        <v>0</v>
      </c>
      <c r="K4992" s="10">
        <f>IF(F4992&gt;0,H4992/F4992,"")</f>
        <v/>
      </c>
      <c r="L4992" s="16">
        <f>IF(AND(G4992&gt;0,H4992&gt;0),G4992/H4992,"")</f>
        <v/>
      </c>
    </row>
    <row r="4993">
      <c r="A4993" s="4" t="inlineStr">
        <is>
          <t>120</t>
        </is>
      </c>
      <c r="B4993" s="4" t="n">
        <v>1</v>
      </c>
      <c r="C4993" s="4" t="inlineStr">
        <is>
          <t>mule deer</t>
        </is>
      </c>
      <c r="D4993" s="4" t="n">
        <v>2011</v>
      </c>
      <c r="E4993" s="13" t="inlineStr">
        <is>
          <t>General</t>
        </is>
      </c>
      <c r="F4993" s="5" t="n">
        <v>2391</v>
      </c>
      <c r="G4993" s="5" t="n">
        <v>14174</v>
      </c>
      <c r="H4993" s="5" t="n">
        <v>43</v>
      </c>
      <c r="I4993" s="5" t="n">
        <v>42</v>
      </c>
      <c r="J4993" s="5" t="n">
        <v>1</v>
      </c>
      <c r="K4993" s="10">
        <f>IF(F4993&gt;0,H4993/F4993,"")</f>
        <v/>
      </c>
      <c r="L4993" s="16">
        <f>IF(AND(G4993&gt;0,H4993&gt;0),G4993/H4993,"")</f>
        <v/>
      </c>
    </row>
    <row r="4994">
      <c r="A4994" s="4" t="inlineStr">
        <is>
          <t>120</t>
        </is>
      </c>
      <c r="B4994" s="4" t="n">
        <v>1</v>
      </c>
      <c r="C4994" s="4" t="inlineStr">
        <is>
          <t>mule deer</t>
        </is>
      </c>
      <c r="D4994" s="4" t="n">
        <v>2012</v>
      </c>
      <c r="E4994" s="13" t="inlineStr">
        <is>
          <t>General</t>
        </is>
      </c>
      <c r="F4994" s="5" t="n"/>
      <c r="G4994" s="5" t="n"/>
      <c r="H4994" s="5" t="n">
        <v>53</v>
      </c>
      <c r="I4994" s="5" t="n">
        <v>53</v>
      </c>
      <c r="J4994" s="5" t="n">
        <v>0</v>
      </c>
      <c r="K4994" s="10">
        <f>IF(F4994&gt;0,H4994/F4994,"")</f>
        <v/>
      </c>
      <c r="L4994" s="16">
        <f>IF(AND(G4994&gt;0,H4994&gt;0),G4994/H4994,"")</f>
        <v/>
      </c>
    </row>
    <row r="4995">
      <c r="A4995" s="4" t="inlineStr">
        <is>
          <t>120</t>
        </is>
      </c>
      <c r="B4995" s="4" t="n">
        <v>1</v>
      </c>
      <c r="C4995" s="4" t="inlineStr">
        <is>
          <t>mule deer</t>
        </is>
      </c>
      <c r="D4995" s="4" t="n">
        <v>2013</v>
      </c>
      <c r="E4995" s="13" t="inlineStr">
        <is>
          <t>General</t>
        </is>
      </c>
      <c r="F4995" s="5" t="n">
        <v>2589</v>
      </c>
      <c r="G4995" s="5" t="n">
        <v>16491</v>
      </c>
      <c r="H4995" s="5" t="n">
        <v>40</v>
      </c>
      <c r="I4995" s="5" t="n">
        <v>37</v>
      </c>
      <c r="J4995" s="5" t="n">
        <v>3</v>
      </c>
      <c r="K4995" s="10">
        <f>IF(F4995&gt;0,H4995/F4995,"")</f>
        <v/>
      </c>
      <c r="L4995" s="16">
        <f>IF(AND(G4995&gt;0,H4995&gt;0),G4995/H4995,"")</f>
        <v/>
      </c>
    </row>
    <row r="4996">
      <c r="A4996" s="4" t="inlineStr">
        <is>
          <t>120</t>
        </is>
      </c>
      <c r="B4996" s="4" t="n">
        <v>1</v>
      </c>
      <c r="C4996" s="4" t="inlineStr">
        <is>
          <t>mule deer</t>
        </is>
      </c>
      <c r="D4996" s="4" t="n">
        <v>2014</v>
      </c>
      <c r="E4996" s="13" t="inlineStr">
        <is>
          <t>General</t>
        </is>
      </c>
      <c r="F4996" s="5" t="n"/>
      <c r="G4996" s="5" t="n"/>
      <c r="H4996" s="5" t="n">
        <v>31</v>
      </c>
      <c r="I4996" s="5" t="n">
        <v>31</v>
      </c>
      <c r="J4996" s="5" t="n">
        <v>0</v>
      </c>
      <c r="K4996" s="10">
        <f>IF(F4996&gt;0,H4996/F4996,"")</f>
        <v/>
      </c>
      <c r="L4996" s="16">
        <f>IF(AND(G4996&gt;0,H4996&gt;0),G4996/H4996,"")</f>
        <v/>
      </c>
    </row>
    <row r="4997">
      <c r="A4997" s="4" t="inlineStr">
        <is>
          <t>120</t>
        </is>
      </c>
      <c r="B4997" s="4" t="n">
        <v>1</v>
      </c>
      <c r="C4997" s="4" t="inlineStr">
        <is>
          <t>mule deer</t>
        </is>
      </c>
      <c r="D4997" s="4" t="n">
        <v>2015</v>
      </c>
      <c r="E4997" s="13" t="inlineStr">
        <is>
          <t>General</t>
        </is>
      </c>
      <c r="F4997" s="5" t="n"/>
      <c r="G4997" s="5" t="n"/>
      <c r="H4997" s="5" t="n">
        <v>42</v>
      </c>
      <c r="I4997" s="5" t="n">
        <v>37</v>
      </c>
      <c r="J4997" s="5" t="n">
        <v>5</v>
      </c>
      <c r="K4997" s="10">
        <f>IF(F4997&gt;0,H4997/F4997,"")</f>
        <v/>
      </c>
      <c r="L4997" s="16">
        <f>IF(AND(G4997&gt;0,H4997&gt;0),G4997/H4997,"")</f>
        <v/>
      </c>
    </row>
    <row r="4998">
      <c r="A4998" s="4" t="inlineStr">
        <is>
          <t>120</t>
        </is>
      </c>
      <c r="B4998" s="4" t="n">
        <v>1</v>
      </c>
      <c r="C4998" s="4" t="inlineStr">
        <is>
          <t>mule deer</t>
        </is>
      </c>
      <c r="D4998" s="4" t="n">
        <v>2016</v>
      </c>
      <c r="E4998" s="13" t="inlineStr">
        <is>
          <t>General</t>
        </is>
      </c>
      <c r="F4998" s="5" t="n"/>
      <c r="G4998" s="5" t="n"/>
      <c r="H4998" s="5" t="n">
        <v>61</v>
      </c>
      <c r="I4998" s="5" t="n">
        <v>58</v>
      </c>
      <c r="J4998" s="5" t="n">
        <v>3</v>
      </c>
      <c r="K4998" s="10">
        <f>IF(F4998&gt;0,H4998/F4998,"")</f>
        <v/>
      </c>
      <c r="L4998" s="16">
        <f>IF(AND(G4998&gt;0,H4998&gt;0),G4998/H4998,"")</f>
        <v/>
      </c>
    </row>
    <row r="4999">
      <c r="A4999" s="4" t="inlineStr">
        <is>
          <t>120</t>
        </is>
      </c>
      <c r="B4999" s="4" t="n">
        <v>1</v>
      </c>
      <c r="C4999" s="4" t="inlineStr">
        <is>
          <t>mule deer</t>
        </is>
      </c>
      <c r="D4999" s="4" t="n">
        <v>2017</v>
      </c>
      <c r="E4999" s="13" t="inlineStr">
        <is>
          <t>General</t>
        </is>
      </c>
      <c r="F4999" s="5" t="n">
        <v>2358</v>
      </c>
      <c r="G4999" s="5" t="n">
        <v>12935</v>
      </c>
      <c r="H4999" s="5" t="n">
        <v>19</v>
      </c>
      <c r="I4999" s="5" t="n">
        <v>18</v>
      </c>
      <c r="J4999" s="5" t="n">
        <v>1</v>
      </c>
      <c r="K4999" s="10">
        <f>IF(F4999&gt;0,H4999/F4999,"")</f>
        <v/>
      </c>
      <c r="L4999" s="16">
        <f>IF(AND(G4999&gt;0,H4999&gt;0),G4999/H4999,"")</f>
        <v/>
      </c>
    </row>
    <row r="5000">
      <c r="A5000" s="4" t="inlineStr">
        <is>
          <t>120</t>
        </is>
      </c>
      <c r="B5000" s="4" t="n">
        <v>1</v>
      </c>
      <c r="C5000" s="4" t="inlineStr">
        <is>
          <t>mule deer</t>
        </is>
      </c>
      <c r="D5000" s="4" t="n">
        <v>2018</v>
      </c>
      <c r="E5000" s="13" t="inlineStr">
        <is>
          <t>General</t>
        </is>
      </c>
      <c r="F5000" s="5" t="n"/>
      <c r="G5000" s="5" t="n"/>
      <c r="H5000" s="5" t="n">
        <v>28</v>
      </c>
      <c r="I5000" s="5" t="n">
        <v>25</v>
      </c>
      <c r="J5000" s="5" t="n">
        <v>3</v>
      </c>
      <c r="K5000" s="10">
        <f>IF(F5000&gt;0,H5000/F5000,"")</f>
        <v/>
      </c>
      <c r="L5000" s="16">
        <f>IF(AND(G5000&gt;0,H5000&gt;0),G5000/H5000,"")</f>
        <v/>
      </c>
    </row>
    <row r="5001">
      <c r="A5001" s="4" t="inlineStr">
        <is>
          <t>120</t>
        </is>
      </c>
      <c r="B5001" s="4" t="n">
        <v>1</v>
      </c>
      <c r="C5001" s="4" t="inlineStr">
        <is>
          <t>mule deer</t>
        </is>
      </c>
      <c r="D5001" s="4" t="n">
        <v>2019</v>
      </c>
      <c r="E5001" s="13" t="inlineStr">
        <is>
          <t>General</t>
        </is>
      </c>
      <c r="F5001" s="5" t="n">
        <v>2196</v>
      </c>
      <c r="G5001" s="5" t="n">
        <v>12842</v>
      </c>
      <c r="H5001" s="5" t="n">
        <v>43</v>
      </c>
      <c r="I5001" s="5" t="n">
        <v>40</v>
      </c>
      <c r="J5001" s="5" t="n">
        <v>3</v>
      </c>
      <c r="K5001" s="10">
        <f>IF(F5001&gt;0,H5001/F5001,"")</f>
        <v/>
      </c>
      <c r="L5001" s="16">
        <f>IF(AND(G5001&gt;0,H5001&gt;0),G5001/H5001,"")</f>
        <v/>
      </c>
    </row>
    <row r="5002">
      <c r="A5002" s="4" t="inlineStr">
        <is>
          <t>120</t>
        </is>
      </c>
      <c r="B5002" s="4" t="n">
        <v>1</v>
      </c>
      <c r="C5002" s="4" t="inlineStr">
        <is>
          <t>mule deer</t>
        </is>
      </c>
      <c r="D5002" s="4" t="n">
        <v>2020</v>
      </c>
      <c r="E5002" s="13" t="inlineStr">
        <is>
          <t>General</t>
        </is>
      </c>
      <c r="F5002" s="5" t="n"/>
      <c r="G5002" s="5" t="n"/>
      <c r="H5002" s="5" t="n">
        <v>37</v>
      </c>
      <c r="I5002" s="5" t="n">
        <v>37</v>
      </c>
      <c r="J5002" s="5" t="n">
        <v>0</v>
      </c>
      <c r="K5002" s="10">
        <f>IF(F5002&gt;0,H5002/F5002,"")</f>
        <v/>
      </c>
      <c r="L5002" s="16">
        <f>IF(AND(G5002&gt;0,H5002&gt;0),G5002/H5002,"")</f>
        <v/>
      </c>
    </row>
    <row r="5003">
      <c r="A5003" s="4" t="inlineStr">
        <is>
          <t>120</t>
        </is>
      </c>
      <c r="B5003" s="4" t="n">
        <v>1</v>
      </c>
      <c r="C5003" s="4" t="inlineStr">
        <is>
          <t>mule deer</t>
        </is>
      </c>
      <c r="D5003" s="4" t="n">
        <v>2021</v>
      </c>
      <c r="E5003" s="13" t="inlineStr">
        <is>
          <t>General</t>
        </is>
      </c>
      <c r="F5003" s="5" t="n">
        <v>1956</v>
      </c>
      <c r="G5003" s="5" t="n">
        <v>12140</v>
      </c>
      <c r="H5003" s="5" t="n">
        <v>36</v>
      </c>
      <c r="I5003" s="5" t="n">
        <v>36</v>
      </c>
      <c r="J5003" s="5" t="n">
        <v>0</v>
      </c>
      <c r="K5003" s="10">
        <f>IF(F5003&gt;0,H5003/F5003,"")</f>
        <v/>
      </c>
      <c r="L5003" s="16">
        <f>IF(AND(G5003&gt;0,H5003&gt;0),G5003/H5003,"")</f>
        <v/>
      </c>
    </row>
    <row r="5004">
      <c r="A5004" s="4" t="inlineStr">
        <is>
          <t>120</t>
        </is>
      </c>
      <c r="B5004" s="4" t="n">
        <v>1</v>
      </c>
      <c r="C5004" s="4" t="inlineStr">
        <is>
          <t>mule deer</t>
        </is>
      </c>
      <c r="D5004" s="4" t="n">
        <v>2022</v>
      </c>
      <c r="E5004" s="13" t="inlineStr">
        <is>
          <t>General</t>
        </is>
      </c>
      <c r="F5004" s="5" t="n"/>
      <c r="G5004" s="5" t="n"/>
      <c r="H5004" s="5" t="n">
        <v>49</v>
      </c>
      <c r="I5004" s="5" t="n">
        <v>49</v>
      </c>
      <c r="J5004" s="5" t="n">
        <v>0</v>
      </c>
      <c r="K5004" s="10">
        <f>IF(F5004&gt;0,H5004/F5004,"")</f>
        <v/>
      </c>
      <c r="L5004" s="16">
        <f>IF(AND(G5004&gt;0,H5004&gt;0),G5004/H5004,"")</f>
        <v/>
      </c>
    </row>
    <row r="5005">
      <c r="A5005" s="4" t="inlineStr">
        <is>
          <t>120</t>
        </is>
      </c>
      <c r="B5005" s="4" t="n">
        <v>1</v>
      </c>
      <c r="C5005" s="4" t="inlineStr">
        <is>
          <t>mule deer</t>
        </is>
      </c>
      <c r="D5005" s="4" t="n">
        <v>2023</v>
      </c>
      <c r="E5005" s="13" t="inlineStr">
        <is>
          <t>General</t>
        </is>
      </c>
      <c r="F5005" s="5" t="n">
        <v>2206</v>
      </c>
      <c r="G5005" s="5" t="n">
        <v>14981</v>
      </c>
      <c r="H5005" s="5" t="n">
        <v>47</v>
      </c>
      <c r="I5005" s="5" t="n">
        <v>44</v>
      </c>
      <c r="J5005" s="5" t="n">
        <v>3</v>
      </c>
      <c r="K5005" s="10">
        <f>IF(F5005&gt;0,H5005/F5005,"")</f>
        <v/>
      </c>
      <c r="L5005" s="16">
        <f>IF(AND(G5005&gt;0,H5005&gt;0),G5005/H5005,"")</f>
        <v/>
      </c>
    </row>
    <row r="5006">
      <c r="A5006" s="4" t="inlineStr">
        <is>
          <t>120</t>
        </is>
      </c>
      <c r="B5006" s="4" t="n">
        <v>1</v>
      </c>
      <c r="C5006" s="4" t="inlineStr">
        <is>
          <t>mule deer</t>
        </is>
      </c>
      <c r="D5006" s="4" t="n">
        <v>2024</v>
      </c>
      <c r="E5006" s="13" t="inlineStr">
        <is>
          <t>General</t>
        </is>
      </c>
      <c r="F5006" s="5" t="n"/>
      <c r="G5006" s="5" t="n"/>
      <c r="H5006" s="5" t="n">
        <v>34</v>
      </c>
      <c r="I5006" s="5" t="n">
        <v>30</v>
      </c>
      <c r="J5006" s="5" t="n">
        <v>3</v>
      </c>
      <c r="K5006" s="10">
        <f>IF(F5006&gt;0,H5006/F5006,"")</f>
        <v/>
      </c>
      <c r="L5006" s="16">
        <f>IF(AND(G5006&gt;0,H5006&gt;0),G5006/H5006,"")</f>
        <v/>
      </c>
    </row>
    <row r="5007">
      <c r="A5007" s="4" t="inlineStr">
        <is>
          <t>120</t>
        </is>
      </c>
      <c r="B5007" s="4" t="n">
        <v>1</v>
      </c>
      <c r="C5007" s="4" t="inlineStr">
        <is>
          <t>mule deer</t>
        </is>
      </c>
      <c r="D5007" s="4" t="n">
        <v>2025</v>
      </c>
      <c r="E5007" s="13" t="inlineStr">
        <is>
          <t>General</t>
        </is>
      </c>
      <c r="F5007" s="5" t="n">
        <v>2179</v>
      </c>
      <c r="G5007" s="5" t="n">
        <v>14543</v>
      </c>
      <c r="H5007" s="5" t="n">
        <v>52</v>
      </c>
      <c r="I5007" s="5" t="n">
        <v>45</v>
      </c>
      <c r="J5007" s="5" t="n">
        <v>7</v>
      </c>
      <c r="K5007" s="10">
        <f>IF(F5007&gt;0,H5007/F5007,"")</f>
        <v/>
      </c>
      <c r="L5007" s="16">
        <f>IF(AND(G5007&gt;0,H5007&gt;0),G5007/H5007,"")</f>
        <v/>
      </c>
    </row>
    <row r="5008">
      <c r="A5008" s="4" t="inlineStr">
        <is>
          <t>121</t>
        </is>
      </c>
      <c r="B5008" s="4" t="n">
        <v>1</v>
      </c>
      <c r="C5008" s="4" t="inlineStr">
        <is>
          <t>mule deer</t>
        </is>
      </c>
      <c r="D5008" s="4" t="n">
        <v>2004</v>
      </c>
      <c r="E5008" s="13" t="inlineStr">
        <is>
          <t>General</t>
        </is>
      </c>
      <c r="F5008" s="5" t="n">
        <v>3094</v>
      </c>
      <c r="G5008" s="5" t="n">
        <v>22535</v>
      </c>
      <c r="H5008" s="5" t="n">
        <v>157</v>
      </c>
      <c r="I5008" s="5" t="n">
        <v>153</v>
      </c>
      <c r="J5008" s="5" t="n">
        <v>4</v>
      </c>
      <c r="K5008" s="10">
        <f>IF(F5008&gt;0,H5008/F5008,"")</f>
        <v/>
      </c>
      <c r="L5008" s="16">
        <f>IF(AND(G5008&gt;0,H5008&gt;0),G5008/H5008,"")</f>
        <v/>
      </c>
    </row>
    <row r="5009">
      <c r="A5009" s="4" t="inlineStr">
        <is>
          <t>121</t>
        </is>
      </c>
      <c r="B5009" s="4" t="n">
        <v>1</v>
      </c>
      <c r="C5009" s="4" t="inlineStr">
        <is>
          <t>mule deer</t>
        </is>
      </c>
      <c r="D5009" s="4" t="n">
        <v>2005</v>
      </c>
      <c r="E5009" s="13" t="inlineStr">
        <is>
          <t>General</t>
        </is>
      </c>
      <c r="F5009" s="5" t="n">
        <v>3412</v>
      </c>
      <c r="G5009" s="5" t="n">
        <v>26980</v>
      </c>
      <c r="H5009" s="5" t="n">
        <v>256</v>
      </c>
      <c r="I5009" s="5" t="n">
        <v>252</v>
      </c>
      <c r="J5009" s="5" t="n">
        <v>4</v>
      </c>
      <c r="K5009" s="10">
        <f>IF(F5009&gt;0,H5009/F5009,"")</f>
        <v/>
      </c>
      <c r="L5009" s="16">
        <f>IF(AND(G5009&gt;0,H5009&gt;0),G5009/H5009,"")</f>
        <v/>
      </c>
    </row>
    <row r="5010">
      <c r="A5010" s="4" t="inlineStr">
        <is>
          <t>121</t>
        </is>
      </c>
      <c r="B5010" s="4" t="n">
        <v>1</v>
      </c>
      <c r="C5010" s="4" t="inlineStr">
        <is>
          <t>mule deer</t>
        </is>
      </c>
      <c r="D5010" s="4" t="n">
        <v>2006</v>
      </c>
      <c r="E5010" s="13" t="inlineStr">
        <is>
          <t>General</t>
        </is>
      </c>
      <c r="F5010" s="5" t="n">
        <v>3460</v>
      </c>
      <c r="G5010" s="5" t="n">
        <v>27322</v>
      </c>
      <c r="H5010" s="5" t="n">
        <v>219</v>
      </c>
      <c r="I5010" s="5" t="n">
        <v>206</v>
      </c>
      <c r="J5010" s="5" t="n">
        <v>12</v>
      </c>
      <c r="K5010" s="10">
        <f>IF(F5010&gt;0,H5010/F5010,"")</f>
        <v/>
      </c>
      <c r="L5010" s="16">
        <f>IF(AND(G5010&gt;0,H5010&gt;0),G5010/H5010,"")</f>
        <v/>
      </c>
    </row>
    <row r="5011">
      <c r="A5011" s="4" t="inlineStr">
        <is>
          <t>121</t>
        </is>
      </c>
      <c r="B5011" s="4" t="n">
        <v>1</v>
      </c>
      <c r="C5011" s="4" t="inlineStr">
        <is>
          <t>mule deer</t>
        </is>
      </c>
      <c r="D5011" s="4" t="n">
        <v>2007</v>
      </c>
      <c r="E5011" s="13" t="inlineStr">
        <is>
          <t>General</t>
        </is>
      </c>
      <c r="F5011" s="5" t="n">
        <v>3767</v>
      </c>
      <c r="G5011" s="5" t="n">
        <v>29346</v>
      </c>
      <c r="H5011" s="5" t="n">
        <v>187</v>
      </c>
      <c r="I5011" s="5" t="n">
        <v>183</v>
      </c>
      <c r="J5011" s="5" t="n">
        <v>5</v>
      </c>
      <c r="K5011" s="10">
        <f>IF(F5011&gt;0,H5011/F5011,"")</f>
        <v/>
      </c>
      <c r="L5011" s="16">
        <f>IF(AND(G5011&gt;0,H5011&gt;0),G5011/H5011,"")</f>
        <v/>
      </c>
    </row>
    <row r="5012">
      <c r="A5012" s="4" t="inlineStr">
        <is>
          <t>121</t>
        </is>
      </c>
      <c r="B5012" s="4" t="n">
        <v>1</v>
      </c>
      <c r="C5012" s="4" t="inlineStr">
        <is>
          <t>mule deer</t>
        </is>
      </c>
      <c r="D5012" s="4" t="n">
        <v>2008</v>
      </c>
      <c r="E5012" s="13" t="inlineStr">
        <is>
          <t>General</t>
        </is>
      </c>
      <c r="F5012" s="5" t="n">
        <v>3588</v>
      </c>
      <c r="G5012" s="5" t="n">
        <v>29668</v>
      </c>
      <c r="H5012" s="5" t="n">
        <v>232</v>
      </c>
      <c r="I5012" s="5" t="n">
        <v>200</v>
      </c>
      <c r="J5012" s="5" t="n">
        <v>32</v>
      </c>
      <c r="K5012" s="10">
        <f>IF(F5012&gt;0,H5012/F5012,"")</f>
        <v/>
      </c>
      <c r="L5012" s="16">
        <f>IF(AND(G5012&gt;0,H5012&gt;0),G5012/H5012,"")</f>
        <v/>
      </c>
    </row>
    <row r="5013">
      <c r="A5013" s="4" t="inlineStr">
        <is>
          <t>121</t>
        </is>
      </c>
      <c r="B5013" s="4" t="n">
        <v>1</v>
      </c>
      <c r="C5013" s="4" t="inlineStr">
        <is>
          <t>mule deer</t>
        </is>
      </c>
      <c r="D5013" s="4" t="n">
        <v>2009</v>
      </c>
      <c r="E5013" s="13" t="inlineStr">
        <is>
          <t>General</t>
        </is>
      </c>
      <c r="F5013" s="5" t="n">
        <v>3146</v>
      </c>
      <c r="G5013" s="5" t="n">
        <v>27281</v>
      </c>
      <c r="H5013" s="5" t="n">
        <v>128</v>
      </c>
      <c r="I5013" s="5" t="n">
        <v>120</v>
      </c>
      <c r="J5013" s="5" t="n">
        <v>8</v>
      </c>
      <c r="K5013" s="10">
        <f>IF(F5013&gt;0,H5013/F5013,"")</f>
        <v/>
      </c>
      <c r="L5013" s="16">
        <f>IF(AND(G5013&gt;0,H5013&gt;0),G5013/H5013,"")</f>
        <v/>
      </c>
    </row>
    <row r="5014">
      <c r="A5014" s="4" t="inlineStr">
        <is>
          <t>121</t>
        </is>
      </c>
      <c r="B5014" s="4" t="n">
        <v>1</v>
      </c>
      <c r="C5014" s="4" t="inlineStr">
        <is>
          <t>mule deer</t>
        </is>
      </c>
      <c r="D5014" s="4" t="n">
        <v>2010</v>
      </c>
      <c r="E5014" s="13" t="inlineStr">
        <is>
          <t>General</t>
        </is>
      </c>
      <c r="F5014" s="5" t="n">
        <v>3038</v>
      </c>
      <c r="G5014" s="5" t="n">
        <v>27012</v>
      </c>
      <c r="H5014" s="5" t="n">
        <v>164</v>
      </c>
      <c r="I5014" s="5" t="n">
        <v>157</v>
      </c>
      <c r="J5014" s="5" t="n">
        <v>8</v>
      </c>
      <c r="K5014" s="10">
        <f>IF(F5014&gt;0,H5014/F5014,"")</f>
        <v/>
      </c>
      <c r="L5014" s="16">
        <f>IF(AND(G5014&gt;0,H5014&gt;0),G5014/H5014,"")</f>
        <v/>
      </c>
    </row>
    <row r="5015">
      <c r="A5015" s="4" t="inlineStr">
        <is>
          <t>121</t>
        </is>
      </c>
      <c r="B5015" s="4" t="n">
        <v>1</v>
      </c>
      <c r="C5015" s="4" t="inlineStr">
        <is>
          <t>mule deer</t>
        </is>
      </c>
      <c r="D5015" s="4" t="n">
        <v>2011</v>
      </c>
      <c r="E5015" s="13" t="inlineStr">
        <is>
          <t>General</t>
        </is>
      </c>
      <c r="F5015" s="5" t="n">
        <v>3463</v>
      </c>
      <c r="G5015" s="5" t="n">
        <v>28587</v>
      </c>
      <c r="H5015" s="5" t="n">
        <v>118</v>
      </c>
      <c r="I5015" s="5" t="n">
        <v>111</v>
      </c>
      <c r="J5015" s="5" t="n">
        <v>7</v>
      </c>
      <c r="K5015" s="10">
        <f>IF(F5015&gt;0,H5015/F5015,"")</f>
        <v/>
      </c>
      <c r="L5015" s="16">
        <f>IF(AND(G5015&gt;0,H5015&gt;0),G5015/H5015,"")</f>
        <v/>
      </c>
    </row>
    <row r="5016">
      <c r="A5016" s="4" t="inlineStr">
        <is>
          <t>121</t>
        </is>
      </c>
      <c r="B5016" s="4" t="n">
        <v>1</v>
      </c>
      <c r="C5016" s="4" t="inlineStr">
        <is>
          <t>mule deer</t>
        </is>
      </c>
      <c r="D5016" s="4" t="n">
        <v>2012</v>
      </c>
      <c r="E5016" s="13" t="inlineStr">
        <is>
          <t>General</t>
        </is>
      </c>
      <c r="F5016" s="5" t="n"/>
      <c r="G5016" s="5" t="n"/>
      <c r="H5016" s="5" t="n">
        <v>117</v>
      </c>
      <c r="I5016" s="5" t="n">
        <v>117</v>
      </c>
      <c r="J5016" s="5" t="n">
        <v>0</v>
      </c>
      <c r="K5016" s="10">
        <f>IF(F5016&gt;0,H5016/F5016,"")</f>
        <v/>
      </c>
      <c r="L5016" s="16">
        <f>IF(AND(G5016&gt;0,H5016&gt;0),G5016/H5016,"")</f>
        <v/>
      </c>
    </row>
    <row r="5017">
      <c r="A5017" s="4" t="inlineStr">
        <is>
          <t>121</t>
        </is>
      </c>
      <c r="B5017" s="4" t="n">
        <v>1</v>
      </c>
      <c r="C5017" s="4" t="inlineStr">
        <is>
          <t>mule deer</t>
        </is>
      </c>
      <c r="D5017" s="4" t="n">
        <v>2013</v>
      </c>
      <c r="E5017" s="13" t="inlineStr">
        <is>
          <t>General</t>
        </is>
      </c>
      <c r="F5017" s="5" t="n">
        <v>3223</v>
      </c>
      <c r="G5017" s="5" t="n">
        <v>26537</v>
      </c>
      <c r="H5017" s="5" t="n">
        <v>97</v>
      </c>
      <c r="I5017" s="5" t="n">
        <v>89</v>
      </c>
      <c r="J5017" s="5" t="n">
        <v>5</v>
      </c>
      <c r="K5017" s="10">
        <f>IF(F5017&gt;0,H5017/F5017,"")</f>
        <v/>
      </c>
      <c r="L5017" s="16">
        <f>IF(AND(G5017&gt;0,H5017&gt;0),G5017/H5017,"")</f>
        <v/>
      </c>
    </row>
    <row r="5018">
      <c r="A5018" s="4" t="inlineStr">
        <is>
          <t>121</t>
        </is>
      </c>
      <c r="B5018" s="4" t="n">
        <v>1</v>
      </c>
      <c r="C5018" s="4" t="inlineStr">
        <is>
          <t>mule deer</t>
        </is>
      </c>
      <c r="D5018" s="4" t="n">
        <v>2014</v>
      </c>
      <c r="E5018" s="13" t="inlineStr">
        <is>
          <t>General</t>
        </is>
      </c>
      <c r="F5018" s="5" t="n"/>
      <c r="G5018" s="5" t="n"/>
      <c r="H5018" s="5" t="n">
        <v>110</v>
      </c>
      <c r="I5018" s="5" t="n">
        <v>107</v>
      </c>
      <c r="J5018" s="5" t="n">
        <v>3</v>
      </c>
      <c r="K5018" s="10">
        <f>IF(F5018&gt;0,H5018/F5018,"")</f>
        <v/>
      </c>
      <c r="L5018" s="16">
        <f>IF(AND(G5018&gt;0,H5018&gt;0),G5018/H5018,"")</f>
        <v/>
      </c>
    </row>
    <row r="5019">
      <c r="A5019" s="4" t="inlineStr">
        <is>
          <t>121</t>
        </is>
      </c>
      <c r="B5019" s="4" t="n">
        <v>1</v>
      </c>
      <c r="C5019" s="4" t="inlineStr">
        <is>
          <t>mule deer</t>
        </is>
      </c>
      <c r="D5019" s="4" t="n">
        <v>2015</v>
      </c>
      <c r="E5019" s="13" t="inlineStr">
        <is>
          <t>General</t>
        </is>
      </c>
      <c r="F5019" s="5" t="n"/>
      <c r="G5019" s="5" t="n"/>
      <c r="H5019" s="5" t="n">
        <v>98</v>
      </c>
      <c r="I5019" s="5" t="n">
        <v>92</v>
      </c>
      <c r="J5019" s="5" t="n">
        <v>6</v>
      </c>
      <c r="K5019" s="10">
        <f>IF(F5019&gt;0,H5019/F5019,"")</f>
        <v/>
      </c>
      <c r="L5019" s="16">
        <f>IF(AND(G5019&gt;0,H5019&gt;0),G5019/H5019,"")</f>
        <v/>
      </c>
    </row>
    <row r="5020">
      <c r="A5020" s="4" t="inlineStr">
        <is>
          <t>121</t>
        </is>
      </c>
      <c r="B5020" s="4" t="n">
        <v>1</v>
      </c>
      <c r="C5020" s="4" t="inlineStr">
        <is>
          <t>mule deer</t>
        </is>
      </c>
      <c r="D5020" s="4" t="n">
        <v>2016</v>
      </c>
      <c r="E5020" s="13" t="inlineStr">
        <is>
          <t>General</t>
        </is>
      </c>
      <c r="F5020" s="5" t="n"/>
      <c r="G5020" s="5" t="n"/>
      <c r="H5020" s="5" t="n">
        <v>179</v>
      </c>
      <c r="I5020" s="5" t="n">
        <v>168</v>
      </c>
      <c r="J5020" s="5" t="n">
        <v>11</v>
      </c>
      <c r="K5020" s="10">
        <f>IF(F5020&gt;0,H5020/F5020,"")</f>
        <v/>
      </c>
      <c r="L5020" s="16">
        <f>IF(AND(G5020&gt;0,H5020&gt;0),G5020/H5020,"")</f>
        <v/>
      </c>
    </row>
    <row r="5021">
      <c r="A5021" s="4" t="inlineStr">
        <is>
          <t>121</t>
        </is>
      </c>
      <c r="B5021" s="4" t="n">
        <v>1</v>
      </c>
      <c r="C5021" s="4" t="inlineStr">
        <is>
          <t>mule deer</t>
        </is>
      </c>
      <c r="D5021" s="4" t="n">
        <v>2017</v>
      </c>
      <c r="E5021" s="13" t="inlineStr">
        <is>
          <t>General</t>
        </is>
      </c>
      <c r="F5021" s="5" t="n">
        <v>2662</v>
      </c>
      <c r="G5021" s="5" t="n">
        <v>21098</v>
      </c>
      <c r="H5021" s="5" t="n">
        <v>92</v>
      </c>
      <c r="I5021" s="5" t="n">
        <v>83</v>
      </c>
      <c r="J5021" s="5" t="n">
        <v>10</v>
      </c>
      <c r="K5021" s="10">
        <f>IF(F5021&gt;0,H5021/F5021,"")</f>
        <v/>
      </c>
      <c r="L5021" s="16">
        <f>IF(AND(G5021&gt;0,H5021&gt;0),G5021/H5021,"")</f>
        <v/>
      </c>
    </row>
    <row r="5022">
      <c r="A5022" s="4" t="inlineStr">
        <is>
          <t>121</t>
        </is>
      </c>
      <c r="B5022" s="4" t="n">
        <v>1</v>
      </c>
      <c r="C5022" s="4" t="inlineStr">
        <is>
          <t>mule deer</t>
        </is>
      </c>
      <c r="D5022" s="4" t="n">
        <v>2018</v>
      </c>
      <c r="E5022" s="13" t="inlineStr">
        <is>
          <t>General</t>
        </is>
      </c>
      <c r="F5022" s="5" t="n"/>
      <c r="G5022" s="5" t="n"/>
      <c r="H5022" s="5" t="n">
        <v>106</v>
      </c>
      <c r="I5022" s="5" t="n">
        <v>106</v>
      </c>
      <c r="J5022" s="5" t="n">
        <v>0</v>
      </c>
      <c r="K5022" s="10">
        <f>IF(F5022&gt;0,H5022/F5022,"")</f>
        <v/>
      </c>
      <c r="L5022" s="16">
        <f>IF(AND(G5022&gt;0,H5022&gt;0),G5022/H5022,"")</f>
        <v/>
      </c>
    </row>
    <row r="5023">
      <c r="A5023" s="4" t="inlineStr">
        <is>
          <t>121</t>
        </is>
      </c>
      <c r="B5023" s="4" t="n">
        <v>1</v>
      </c>
      <c r="C5023" s="4" t="inlineStr">
        <is>
          <t>mule deer</t>
        </is>
      </c>
      <c r="D5023" s="4" t="n">
        <v>2019</v>
      </c>
      <c r="E5023" s="13" t="inlineStr">
        <is>
          <t>General</t>
        </is>
      </c>
      <c r="F5023" s="5" t="n">
        <v>2810</v>
      </c>
      <c r="G5023" s="5" t="n">
        <v>23762</v>
      </c>
      <c r="H5023" s="5" t="n">
        <v>119</v>
      </c>
      <c r="I5023" s="5" t="n">
        <v>119</v>
      </c>
      <c r="J5023" s="5" t="n">
        <v>0</v>
      </c>
      <c r="K5023" s="10">
        <f>IF(F5023&gt;0,H5023/F5023,"")</f>
        <v/>
      </c>
      <c r="L5023" s="16">
        <f>IF(AND(G5023&gt;0,H5023&gt;0),G5023/H5023,"")</f>
        <v/>
      </c>
    </row>
    <row r="5024">
      <c r="A5024" s="4" t="inlineStr">
        <is>
          <t>121</t>
        </is>
      </c>
      <c r="B5024" s="4" t="n">
        <v>1</v>
      </c>
      <c r="C5024" s="4" t="inlineStr">
        <is>
          <t>mule deer</t>
        </is>
      </c>
      <c r="D5024" s="4" t="n">
        <v>2020</v>
      </c>
      <c r="E5024" s="13" t="inlineStr">
        <is>
          <t>General</t>
        </is>
      </c>
      <c r="F5024" s="5" t="n"/>
      <c r="G5024" s="5" t="n"/>
      <c r="H5024" s="5" t="n">
        <v>72</v>
      </c>
      <c r="I5024" s="5" t="n">
        <v>72</v>
      </c>
      <c r="J5024" s="5" t="n">
        <v>0</v>
      </c>
      <c r="K5024" s="10">
        <f>IF(F5024&gt;0,H5024/F5024,"")</f>
        <v/>
      </c>
      <c r="L5024" s="16">
        <f>IF(AND(G5024&gt;0,H5024&gt;0),G5024/H5024,"")</f>
        <v/>
      </c>
    </row>
    <row r="5025">
      <c r="A5025" s="4" t="inlineStr">
        <is>
          <t>121</t>
        </is>
      </c>
      <c r="B5025" s="4" t="n">
        <v>1</v>
      </c>
      <c r="C5025" s="4" t="inlineStr">
        <is>
          <t>mule deer</t>
        </is>
      </c>
      <c r="D5025" s="4" t="n">
        <v>2021</v>
      </c>
      <c r="E5025" s="13" t="inlineStr">
        <is>
          <t>General</t>
        </is>
      </c>
      <c r="F5025" s="5" t="n">
        <v>2404</v>
      </c>
      <c r="G5025" s="5" t="n">
        <v>20248</v>
      </c>
      <c r="H5025" s="5" t="n">
        <v>130</v>
      </c>
      <c r="I5025" s="5" t="n">
        <v>123</v>
      </c>
      <c r="J5025" s="5" t="n">
        <v>6</v>
      </c>
      <c r="K5025" s="10">
        <f>IF(F5025&gt;0,H5025/F5025,"")</f>
        <v/>
      </c>
      <c r="L5025" s="16">
        <f>IF(AND(G5025&gt;0,H5025&gt;0),G5025/H5025,"")</f>
        <v/>
      </c>
    </row>
    <row r="5026">
      <c r="A5026" s="4" t="inlineStr">
        <is>
          <t>121</t>
        </is>
      </c>
      <c r="B5026" s="4" t="n">
        <v>1</v>
      </c>
      <c r="C5026" s="4" t="inlineStr">
        <is>
          <t>mule deer</t>
        </is>
      </c>
      <c r="D5026" s="4" t="n">
        <v>2022</v>
      </c>
      <c r="E5026" s="13" t="inlineStr">
        <is>
          <t>General</t>
        </is>
      </c>
      <c r="F5026" s="5" t="n"/>
      <c r="G5026" s="5" t="n"/>
      <c r="H5026" s="5" t="n">
        <v>120</v>
      </c>
      <c r="I5026" s="5" t="n">
        <v>115</v>
      </c>
      <c r="J5026" s="5" t="n">
        <v>6</v>
      </c>
      <c r="K5026" s="10">
        <f>IF(F5026&gt;0,H5026/F5026,"")</f>
        <v/>
      </c>
      <c r="L5026" s="16">
        <f>IF(AND(G5026&gt;0,H5026&gt;0),G5026/H5026,"")</f>
        <v/>
      </c>
    </row>
    <row r="5027">
      <c r="A5027" s="4" t="inlineStr">
        <is>
          <t>121</t>
        </is>
      </c>
      <c r="B5027" s="4" t="n">
        <v>1</v>
      </c>
      <c r="C5027" s="4" t="inlineStr">
        <is>
          <t>mule deer</t>
        </is>
      </c>
      <c r="D5027" s="4" t="n">
        <v>2023</v>
      </c>
      <c r="E5027" s="13" t="inlineStr">
        <is>
          <t>General</t>
        </is>
      </c>
      <c r="F5027" s="5" t="n">
        <v>2551</v>
      </c>
      <c r="G5027" s="5" t="n">
        <v>21482</v>
      </c>
      <c r="H5027" s="5" t="n">
        <v>131</v>
      </c>
      <c r="I5027" s="5" t="n">
        <v>122</v>
      </c>
      <c r="J5027" s="5" t="n">
        <v>8</v>
      </c>
      <c r="K5027" s="10">
        <f>IF(F5027&gt;0,H5027/F5027,"")</f>
        <v/>
      </c>
      <c r="L5027" s="16">
        <f>IF(AND(G5027&gt;0,H5027&gt;0),G5027/H5027,"")</f>
        <v/>
      </c>
    </row>
    <row r="5028">
      <c r="A5028" s="4" t="inlineStr">
        <is>
          <t>121</t>
        </is>
      </c>
      <c r="B5028" s="4" t="n">
        <v>1</v>
      </c>
      <c r="C5028" s="4" t="inlineStr">
        <is>
          <t>mule deer</t>
        </is>
      </c>
      <c r="D5028" s="4" t="n">
        <v>2024</v>
      </c>
      <c r="E5028" s="13" t="inlineStr">
        <is>
          <t>General</t>
        </is>
      </c>
      <c r="F5028" s="5" t="n"/>
      <c r="G5028" s="5" t="n"/>
      <c r="H5028" s="5" t="n">
        <v>169</v>
      </c>
      <c r="I5028" s="5" t="n">
        <v>166</v>
      </c>
      <c r="J5028" s="5" t="n">
        <v>3</v>
      </c>
      <c r="K5028" s="10">
        <f>IF(F5028&gt;0,H5028/F5028,"")</f>
        <v/>
      </c>
      <c r="L5028" s="16">
        <f>IF(AND(G5028&gt;0,H5028&gt;0),G5028/H5028,"")</f>
        <v/>
      </c>
    </row>
    <row r="5029">
      <c r="A5029" s="4" t="inlineStr">
        <is>
          <t>121</t>
        </is>
      </c>
      <c r="B5029" s="4" t="n">
        <v>1</v>
      </c>
      <c r="C5029" s="4" t="inlineStr">
        <is>
          <t>mule deer</t>
        </is>
      </c>
      <c r="D5029" s="4" t="n">
        <v>2025</v>
      </c>
      <c r="E5029" s="13" t="inlineStr">
        <is>
          <t>General</t>
        </is>
      </c>
      <c r="F5029" s="5" t="n">
        <v>2639</v>
      </c>
      <c r="G5029" s="5" t="n">
        <v>22986</v>
      </c>
      <c r="H5029" s="5" t="n">
        <v>176</v>
      </c>
      <c r="I5029" s="5" t="n">
        <v>176</v>
      </c>
      <c r="J5029" s="5" t="n">
        <v>0</v>
      </c>
      <c r="K5029" s="10">
        <f>IF(F5029&gt;0,H5029/F5029,"")</f>
        <v/>
      </c>
      <c r="L5029" s="16">
        <f>IF(AND(G5029&gt;0,H5029&gt;0),G5029/H5029,"")</f>
        <v/>
      </c>
    </row>
    <row r="5030">
      <c r="A5030" s="4" t="inlineStr">
        <is>
          <t>122</t>
        </is>
      </c>
      <c r="B5030" s="4" t="n">
        <v>1</v>
      </c>
      <c r="C5030" s="4" t="inlineStr">
        <is>
          <t>mule deer</t>
        </is>
      </c>
      <c r="D5030" s="4" t="n">
        <v>2004</v>
      </c>
      <c r="E5030" s="13" t="inlineStr">
        <is>
          <t>General</t>
        </is>
      </c>
      <c r="F5030" s="5" t="n">
        <v>2359</v>
      </c>
      <c r="G5030" s="5" t="n">
        <v>14172</v>
      </c>
      <c r="H5030" s="5" t="n">
        <v>208</v>
      </c>
      <c r="I5030" s="5" t="n">
        <v>205</v>
      </c>
      <c r="J5030" s="5" t="n">
        <v>4</v>
      </c>
      <c r="K5030" s="10">
        <f>IF(F5030&gt;0,H5030/F5030,"")</f>
        <v/>
      </c>
      <c r="L5030" s="16">
        <f>IF(AND(G5030&gt;0,H5030&gt;0),G5030/H5030,"")</f>
        <v/>
      </c>
    </row>
    <row r="5031">
      <c r="A5031" s="4" t="inlineStr">
        <is>
          <t>122</t>
        </is>
      </c>
      <c r="B5031" s="4" t="n">
        <v>1</v>
      </c>
      <c r="C5031" s="4" t="inlineStr">
        <is>
          <t>mule deer</t>
        </is>
      </c>
      <c r="D5031" s="4" t="n">
        <v>2005</v>
      </c>
      <c r="E5031" s="13" t="inlineStr">
        <is>
          <t>General</t>
        </is>
      </c>
      <c r="F5031" s="5" t="n">
        <v>2372</v>
      </c>
      <c r="G5031" s="5" t="n">
        <v>14109</v>
      </c>
      <c r="H5031" s="5" t="n">
        <v>201</v>
      </c>
      <c r="I5031" s="5" t="n">
        <v>197</v>
      </c>
      <c r="J5031" s="5" t="n">
        <v>4</v>
      </c>
      <c r="K5031" s="10">
        <f>IF(F5031&gt;0,H5031/F5031,"")</f>
        <v/>
      </c>
      <c r="L5031" s="16">
        <f>IF(AND(G5031&gt;0,H5031&gt;0),G5031/H5031,"")</f>
        <v/>
      </c>
    </row>
    <row r="5032">
      <c r="A5032" s="4" t="inlineStr">
        <is>
          <t>122</t>
        </is>
      </c>
      <c r="B5032" s="4" t="n">
        <v>1</v>
      </c>
      <c r="C5032" s="4" t="inlineStr">
        <is>
          <t>mule deer</t>
        </is>
      </c>
      <c r="D5032" s="4" t="n">
        <v>2006</v>
      </c>
      <c r="E5032" s="13" t="inlineStr">
        <is>
          <t>General</t>
        </is>
      </c>
      <c r="F5032" s="5" t="n">
        <v>2218</v>
      </c>
      <c r="G5032" s="5" t="n">
        <v>15846</v>
      </c>
      <c r="H5032" s="5" t="n">
        <v>115</v>
      </c>
      <c r="I5032" s="5" t="n">
        <v>110</v>
      </c>
      <c r="J5032" s="5" t="n">
        <v>6</v>
      </c>
      <c r="K5032" s="10">
        <f>IF(F5032&gt;0,H5032/F5032,"")</f>
        <v/>
      </c>
      <c r="L5032" s="16">
        <f>IF(AND(G5032&gt;0,H5032&gt;0),G5032/H5032,"")</f>
        <v/>
      </c>
    </row>
    <row r="5033">
      <c r="A5033" s="4" t="inlineStr">
        <is>
          <t>122</t>
        </is>
      </c>
      <c r="B5033" s="4" t="n">
        <v>1</v>
      </c>
      <c r="C5033" s="4" t="inlineStr">
        <is>
          <t>mule deer</t>
        </is>
      </c>
      <c r="D5033" s="4" t="n">
        <v>2007</v>
      </c>
      <c r="E5033" s="13" t="inlineStr">
        <is>
          <t>General</t>
        </is>
      </c>
      <c r="F5033" s="5" t="n">
        <v>2186</v>
      </c>
      <c r="G5033" s="5" t="n">
        <v>15417</v>
      </c>
      <c r="H5033" s="5" t="n">
        <v>176</v>
      </c>
      <c r="I5033" s="5" t="n">
        <v>172</v>
      </c>
      <c r="J5033" s="5" t="n">
        <v>4</v>
      </c>
      <c r="K5033" s="10">
        <f>IF(F5033&gt;0,H5033/F5033,"")</f>
        <v/>
      </c>
      <c r="L5033" s="16">
        <f>IF(AND(G5033&gt;0,H5033&gt;0),G5033/H5033,"")</f>
        <v/>
      </c>
    </row>
    <row r="5034">
      <c r="A5034" s="4" t="inlineStr">
        <is>
          <t>122</t>
        </is>
      </c>
      <c r="B5034" s="4" t="n">
        <v>1</v>
      </c>
      <c r="C5034" s="4" t="inlineStr">
        <is>
          <t>mule deer</t>
        </is>
      </c>
      <c r="D5034" s="4" t="n">
        <v>2008</v>
      </c>
      <c r="E5034" s="13" t="inlineStr">
        <is>
          <t>General</t>
        </is>
      </c>
      <c r="F5034" s="5" t="n">
        <v>2294</v>
      </c>
      <c r="G5034" s="5" t="n">
        <v>15661</v>
      </c>
      <c r="H5034" s="5" t="n">
        <v>152</v>
      </c>
      <c r="I5034" s="5" t="n">
        <v>124</v>
      </c>
      <c r="J5034" s="5" t="n">
        <v>26</v>
      </c>
      <c r="K5034" s="10">
        <f>IF(F5034&gt;0,H5034/F5034,"")</f>
        <v/>
      </c>
      <c r="L5034" s="16">
        <f>IF(AND(G5034&gt;0,H5034&gt;0),G5034/H5034,"")</f>
        <v/>
      </c>
    </row>
    <row r="5035">
      <c r="A5035" s="4" t="inlineStr">
        <is>
          <t>122</t>
        </is>
      </c>
      <c r="B5035" s="4" t="n">
        <v>1</v>
      </c>
      <c r="C5035" s="4" t="inlineStr">
        <is>
          <t>mule deer</t>
        </is>
      </c>
      <c r="D5035" s="4" t="n">
        <v>2009</v>
      </c>
      <c r="E5035" s="13" t="inlineStr">
        <is>
          <t>General</t>
        </is>
      </c>
      <c r="F5035" s="5" t="n">
        <v>2277</v>
      </c>
      <c r="G5035" s="5" t="n">
        <v>15795</v>
      </c>
      <c r="H5035" s="5" t="n">
        <v>117</v>
      </c>
      <c r="I5035" s="5" t="n">
        <v>94</v>
      </c>
      <c r="J5035" s="5" t="n">
        <v>23</v>
      </c>
      <c r="K5035" s="10">
        <f>IF(F5035&gt;0,H5035/F5035,"")</f>
        <v/>
      </c>
      <c r="L5035" s="16">
        <f>IF(AND(G5035&gt;0,H5035&gt;0),G5035/H5035,"")</f>
        <v/>
      </c>
    </row>
    <row r="5036">
      <c r="A5036" s="4" t="inlineStr">
        <is>
          <t>122</t>
        </is>
      </c>
      <c r="B5036" s="4" t="n">
        <v>1</v>
      </c>
      <c r="C5036" s="4" t="inlineStr">
        <is>
          <t>mule deer</t>
        </is>
      </c>
      <c r="D5036" s="4" t="n">
        <v>2010</v>
      </c>
      <c r="E5036" s="13" t="inlineStr">
        <is>
          <t>General</t>
        </is>
      </c>
      <c r="F5036" s="5" t="n">
        <v>1781</v>
      </c>
      <c r="G5036" s="5" t="n">
        <v>12338</v>
      </c>
      <c r="H5036" s="5" t="n">
        <v>135</v>
      </c>
      <c r="I5036" s="5" t="n">
        <v>132</v>
      </c>
      <c r="J5036" s="5" t="n">
        <v>3</v>
      </c>
      <c r="K5036" s="10">
        <f>IF(F5036&gt;0,H5036/F5036,"")</f>
        <v/>
      </c>
      <c r="L5036" s="16">
        <f>IF(AND(G5036&gt;0,H5036&gt;0),G5036/H5036,"")</f>
        <v/>
      </c>
    </row>
    <row r="5037">
      <c r="A5037" s="4" t="inlineStr">
        <is>
          <t>122</t>
        </is>
      </c>
      <c r="B5037" s="4" t="n">
        <v>1</v>
      </c>
      <c r="C5037" s="4" t="inlineStr">
        <is>
          <t>mule deer</t>
        </is>
      </c>
      <c r="D5037" s="4" t="n">
        <v>2011</v>
      </c>
      <c r="E5037" s="13" t="inlineStr">
        <is>
          <t>General</t>
        </is>
      </c>
      <c r="F5037" s="5" t="n">
        <v>2266</v>
      </c>
      <c r="G5037" s="5" t="n">
        <v>16240</v>
      </c>
      <c r="H5037" s="5" t="n">
        <v>116</v>
      </c>
      <c r="I5037" s="5" t="n">
        <v>107</v>
      </c>
      <c r="J5037" s="5" t="n">
        <v>10</v>
      </c>
      <c r="K5037" s="10">
        <f>IF(F5037&gt;0,H5037/F5037,"")</f>
        <v/>
      </c>
      <c r="L5037" s="16">
        <f>IF(AND(G5037&gt;0,H5037&gt;0),G5037/H5037,"")</f>
        <v/>
      </c>
    </row>
    <row r="5038">
      <c r="A5038" s="4" t="inlineStr">
        <is>
          <t>122</t>
        </is>
      </c>
      <c r="B5038" s="4" t="n">
        <v>1</v>
      </c>
      <c r="C5038" s="4" t="inlineStr">
        <is>
          <t>mule deer</t>
        </is>
      </c>
      <c r="D5038" s="4" t="n">
        <v>2012</v>
      </c>
      <c r="E5038" s="13" t="inlineStr">
        <is>
          <t>General</t>
        </is>
      </c>
      <c r="F5038" s="5" t="n"/>
      <c r="G5038" s="5" t="n"/>
      <c r="H5038" s="5" t="n">
        <v>106</v>
      </c>
      <c r="I5038" s="5" t="n">
        <v>103</v>
      </c>
      <c r="J5038" s="5" t="n">
        <v>3</v>
      </c>
      <c r="K5038" s="10">
        <f>IF(F5038&gt;0,H5038/F5038,"")</f>
        <v/>
      </c>
      <c r="L5038" s="16">
        <f>IF(AND(G5038&gt;0,H5038&gt;0),G5038/H5038,"")</f>
        <v/>
      </c>
    </row>
    <row r="5039">
      <c r="A5039" s="4" t="inlineStr">
        <is>
          <t>122</t>
        </is>
      </c>
      <c r="B5039" s="4" t="n">
        <v>1</v>
      </c>
      <c r="C5039" s="4" t="inlineStr">
        <is>
          <t>mule deer</t>
        </is>
      </c>
      <c r="D5039" s="4" t="n">
        <v>2013</v>
      </c>
      <c r="E5039" s="13" t="inlineStr">
        <is>
          <t>General</t>
        </is>
      </c>
      <c r="F5039" s="5" t="n">
        <v>2199</v>
      </c>
      <c r="G5039" s="5" t="n">
        <v>15012</v>
      </c>
      <c r="H5039" s="5" t="n">
        <v>120</v>
      </c>
      <c r="I5039" s="5" t="n">
        <v>118</v>
      </c>
      <c r="J5039" s="5" t="n">
        <v>0</v>
      </c>
      <c r="K5039" s="10">
        <f>IF(F5039&gt;0,H5039/F5039,"")</f>
        <v/>
      </c>
      <c r="L5039" s="16">
        <f>IF(AND(G5039&gt;0,H5039&gt;0),G5039/H5039,"")</f>
        <v/>
      </c>
    </row>
    <row r="5040">
      <c r="A5040" s="4" t="inlineStr">
        <is>
          <t>122</t>
        </is>
      </c>
      <c r="B5040" s="4" t="n">
        <v>1</v>
      </c>
      <c r="C5040" s="4" t="inlineStr">
        <is>
          <t>mule deer</t>
        </is>
      </c>
      <c r="D5040" s="4" t="n">
        <v>2014</v>
      </c>
      <c r="E5040" s="13" t="inlineStr">
        <is>
          <t>General</t>
        </is>
      </c>
      <c r="F5040" s="5" t="n"/>
      <c r="G5040" s="5" t="n"/>
      <c r="H5040" s="5" t="n">
        <v>129</v>
      </c>
      <c r="I5040" s="5" t="n">
        <v>127</v>
      </c>
      <c r="J5040" s="5" t="n">
        <v>2</v>
      </c>
      <c r="K5040" s="10">
        <f>IF(F5040&gt;0,H5040/F5040,"")</f>
        <v/>
      </c>
      <c r="L5040" s="16">
        <f>IF(AND(G5040&gt;0,H5040&gt;0),G5040/H5040,"")</f>
        <v/>
      </c>
    </row>
    <row r="5041">
      <c r="A5041" s="4" t="inlineStr">
        <is>
          <t>122</t>
        </is>
      </c>
      <c r="B5041" s="4" t="n">
        <v>1</v>
      </c>
      <c r="C5041" s="4" t="inlineStr">
        <is>
          <t>mule deer</t>
        </is>
      </c>
      <c r="D5041" s="4" t="n">
        <v>2015</v>
      </c>
      <c r="E5041" s="13" t="inlineStr">
        <is>
          <t>General</t>
        </is>
      </c>
      <c r="F5041" s="5" t="n"/>
      <c r="G5041" s="5" t="n"/>
      <c r="H5041" s="5" t="n">
        <v>172</v>
      </c>
      <c r="I5041" s="5" t="n">
        <v>169</v>
      </c>
      <c r="J5041" s="5" t="n">
        <v>3</v>
      </c>
      <c r="K5041" s="10">
        <f>IF(F5041&gt;0,H5041/F5041,"")</f>
        <v/>
      </c>
      <c r="L5041" s="16">
        <f>IF(AND(G5041&gt;0,H5041&gt;0),G5041/H5041,"")</f>
        <v/>
      </c>
    </row>
    <row r="5042">
      <c r="A5042" s="4" t="inlineStr">
        <is>
          <t>122</t>
        </is>
      </c>
      <c r="B5042" s="4" t="n">
        <v>1</v>
      </c>
      <c r="C5042" s="4" t="inlineStr">
        <is>
          <t>mule deer</t>
        </is>
      </c>
      <c r="D5042" s="4" t="n">
        <v>2016</v>
      </c>
      <c r="E5042" s="13" t="inlineStr">
        <is>
          <t>General</t>
        </is>
      </c>
      <c r="F5042" s="5" t="n"/>
      <c r="G5042" s="5" t="n"/>
      <c r="H5042" s="5" t="n">
        <v>175</v>
      </c>
      <c r="I5042" s="5" t="n">
        <v>175</v>
      </c>
      <c r="J5042" s="5" t="n">
        <v>0</v>
      </c>
      <c r="K5042" s="10">
        <f>IF(F5042&gt;0,H5042/F5042,"")</f>
        <v/>
      </c>
      <c r="L5042" s="16">
        <f>IF(AND(G5042&gt;0,H5042&gt;0),G5042/H5042,"")</f>
        <v/>
      </c>
    </row>
    <row r="5043">
      <c r="A5043" s="4" t="inlineStr">
        <is>
          <t>122</t>
        </is>
      </c>
      <c r="B5043" s="4" t="n">
        <v>1</v>
      </c>
      <c r="C5043" s="4" t="inlineStr">
        <is>
          <t>mule deer</t>
        </is>
      </c>
      <c r="D5043" s="4" t="n">
        <v>2017</v>
      </c>
      <c r="E5043" s="13" t="inlineStr">
        <is>
          <t>General</t>
        </is>
      </c>
      <c r="F5043" s="5" t="n">
        <v>2273</v>
      </c>
      <c r="G5043" s="5" t="n">
        <v>15380</v>
      </c>
      <c r="H5043" s="5" t="n">
        <v>106</v>
      </c>
      <c r="I5043" s="5" t="n">
        <v>106</v>
      </c>
      <c r="J5043" s="5" t="n">
        <v>0</v>
      </c>
      <c r="K5043" s="10">
        <f>IF(F5043&gt;0,H5043/F5043,"")</f>
        <v/>
      </c>
      <c r="L5043" s="16">
        <f>IF(AND(G5043&gt;0,H5043&gt;0),G5043/H5043,"")</f>
        <v/>
      </c>
    </row>
    <row r="5044">
      <c r="A5044" s="4" t="inlineStr">
        <is>
          <t>122</t>
        </is>
      </c>
      <c r="B5044" s="4" t="n">
        <v>1</v>
      </c>
      <c r="C5044" s="4" t="inlineStr">
        <is>
          <t>mule deer</t>
        </is>
      </c>
      <c r="D5044" s="4" t="n">
        <v>2018</v>
      </c>
      <c r="E5044" s="13" t="inlineStr">
        <is>
          <t>General</t>
        </is>
      </c>
      <c r="F5044" s="5" t="n"/>
      <c r="G5044" s="5" t="n"/>
      <c r="H5044" s="5" t="n">
        <v>113</v>
      </c>
      <c r="I5044" s="5" t="n">
        <v>107</v>
      </c>
      <c r="J5044" s="5" t="n">
        <v>6</v>
      </c>
      <c r="K5044" s="10">
        <f>IF(F5044&gt;0,H5044/F5044,"")</f>
        <v/>
      </c>
      <c r="L5044" s="16">
        <f>IF(AND(G5044&gt;0,H5044&gt;0),G5044/H5044,"")</f>
        <v/>
      </c>
    </row>
    <row r="5045">
      <c r="A5045" s="4" t="inlineStr">
        <is>
          <t>122</t>
        </is>
      </c>
      <c r="B5045" s="4" t="n">
        <v>1</v>
      </c>
      <c r="C5045" s="4" t="inlineStr">
        <is>
          <t>mule deer</t>
        </is>
      </c>
      <c r="D5045" s="4" t="n">
        <v>2019</v>
      </c>
      <c r="E5045" s="13" t="inlineStr">
        <is>
          <t>General</t>
        </is>
      </c>
      <c r="F5045" s="5" t="n">
        <v>2024</v>
      </c>
      <c r="G5045" s="5" t="n">
        <v>14804</v>
      </c>
      <c r="H5045" s="5" t="n">
        <v>151</v>
      </c>
      <c r="I5045" s="5" t="n">
        <v>151</v>
      </c>
      <c r="J5045" s="5" t="n">
        <v>0</v>
      </c>
      <c r="K5045" s="10">
        <f>IF(F5045&gt;0,H5045/F5045,"")</f>
        <v/>
      </c>
      <c r="L5045" s="16">
        <f>IF(AND(G5045&gt;0,H5045&gt;0),G5045/H5045,"")</f>
        <v/>
      </c>
    </row>
    <row r="5046">
      <c r="A5046" s="4" t="inlineStr">
        <is>
          <t>122</t>
        </is>
      </c>
      <c r="B5046" s="4" t="n">
        <v>1</v>
      </c>
      <c r="C5046" s="4" t="inlineStr">
        <is>
          <t>mule deer</t>
        </is>
      </c>
      <c r="D5046" s="4" t="n">
        <v>2020</v>
      </c>
      <c r="E5046" s="13" t="inlineStr">
        <is>
          <t>General</t>
        </is>
      </c>
      <c r="F5046" s="5" t="n"/>
      <c r="G5046" s="5" t="n"/>
      <c r="H5046" s="5" t="n">
        <v>117</v>
      </c>
      <c r="I5046" s="5" t="n">
        <v>114</v>
      </c>
      <c r="J5046" s="5" t="n">
        <v>2</v>
      </c>
      <c r="K5046" s="10">
        <f>IF(F5046&gt;0,H5046/F5046,"")</f>
        <v/>
      </c>
      <c r="L5046" s="16">
        <f>IF(AND(G5046&gt;0,H5046&gt;0),G5046/H5046,"")</f>
        <v/>
      </c>
    </row>
    <row r="5047">
      <c r="A5047" s="4" t="inlineStr">
        <is>
          <t>122</t>
        </is>
      </c>
      <c r="B5047" s="4" t="n">
        <v>1</v>
      </c>
      <c r="C5047" s="4" t="inlineStr">
        <is>
          <t>mule deer</t>
        </is>
      </c>
      <c r="D5047" s="4" t="n">
        <v>2021</v>
      </c>
      <c r="E5047" s="13" t="inlineStr">
        <is>
          <t>General</t>
        </is>
      </c>
      <c r="F5047" s="5" t="n">
        <v>1896</v>
      </c>
      <c r="G5047" s="5" t="n">
        <v>15178</v>
      </c>
      <c r="H5047" s="5" t="n">
        <v>123</v>
      </c>
      <c r="I5047" s="5" t="n">
        <v>119</v>
      </c>
      <c r="J5047" s="5" t="n">
        <v>4</v>
      </c>
      <c r="K5047" s="10">
        <f>IF(F5047&gt;0,H5047/F5047,"")</f>
        <v/>
      </c>
      <c r="L5047" s="16">
        <f>IF(AND(G5047&gt;0,H5047&gt;0),G5047/H5047,"")</f>
        <v/>
      </c>
    </row>
    <row r="5048">
      <c r="A5048" s="4" t="inlineStr">
        <is>
          <t>122</t>
        </is>
      </c>
      <c r="B5048" s="4" t="n">
        <v>1</v>
      </c>
      <c r="C5048" s="4" t="inlineStr">
        <is>
          <t>mule deer</t>
        </is>
      </c>
      <c r="D5048" s="4" t="n">
        <v>2022</v>
      </c>
      <c r="E5048" s="13" t="inlineStr">
        <is>
          <t>General</t>
        </is>
      </c>
      <c r="F5048" s="5" t="n"/>
      <c r="G5048" s="5" t="n"/>
      <c r="H5048" s="5" t="n">
        <v>158</v>
      </c>
      <c r="I5048" s="5" t="n">
        <v>152</v>
      </c>
      <c r="J5048" s="5" t="n">
        <v>5</v>
      </c>
      <c r="K5048" s="10">
        <f>IF(F5048&gt;0,H5048/F5048,"")</f>
        <v/>
      </c>
      <c r="L5048" s="16">
        <f>IF(AND(G5048&gt;0,H5048&gt;0),G5048/H5048,"")</f>
        <v/>
      </c>
    </row>
    <row r="5049">
      <c r="A5049" s="4" t="inlineStr">
        <is>
          <t>122</t>
        </is>
      </c>
      <c r="B5049" s="4" t="n">
        <v>1</v>
      </c>
      <c r="C5049" s="4" t="inlineStr">
        <is>
          <t>mule deer</t>
        </is>
      </c>
      <c r="D5049" s="4" t="n">
        <v>2023</v>
      </c>
      <c r="E5049" s="13" t="inlineStr">
        <is>
          <t>General</t>
        </is>
      </c>
      <c r="F5049" s="5" t="n">
        <v>2183</v>
      </c>
      <c r="G5049" s="5" t="n">
        <v>16754</v>
      </c>
      <c r="H5049" s="5" t="n">
        <v>189</v>
      </c>
      <c r="I5049" s="5" t="n">
        <v>186</v>
      </c>
      <c r="J5049" s="5" t="n">
        <v>3</v>
      </c>
      <c r="K5049" s="10">
        <f>IF(F5049&gt;0,H5049/F5049,"")</f>
        <v/>
      </c>
      <c r="L5049" s="16">
        <f>IF(AND(G5049&gt;0,H5049&gt;0),G5049/H5049,"")</f>
        <v/>
      </c>
    </row>
    <row r="5050">
      <c r="A5050" s="4" t="inlineStr">
        <is>
          <t>122</t>
        </is>
      </c>
      <c r="B5050" s="4" t="n">
        <v>1</v>
      </c>
      <c r="C5050" s="4" t="inlineStr">
        <is>
          <t>mule deer</t>
        </is>
      </c>
      <c r="D5050" s="4" t="n">
        <v>2024</v>
      </c>
      <c r="E5050" s="13" t="inlineStr">
        <is>
          <t>General</t>
        </is>
      </c>
      <c r="F5050" s="5" t="n"/>
      <c r="G5050" s="5" t="n"/>
      <c r="H5050" s="5" t="n">
        <v>201</v>
      </c>
      <c r="I5050" s="5" t="n">
        <v>201</v>
      </c>
      <c r="J5050" s="5" t="n">
        <v>0</v>
      </c>
      <c r="K5050" s="10">
        <f>IF(F5050&gt;0,H5050/F5050,"")</f>
        <v/>
      </c>
      <c r="L5050" s="16">
        <f>IF(AND(G5050&gt;0,H5050&gt;0),G5050/H5050,"")</f>
        <v/>
      </c>
    </row>
    <row r="5051">
      <c r="A5051" s="4" t="inlineStr">
        <is>
          <t>122</t>
        </is>
      </c>
      <c r="B5051" s="4" t="n">
        <v>1</v>
      </c>
      <c r="C5051" s="4" t="inlineStr">
        <is>
          <t>mule deer</t>
        </is>
      </c>
      <c r="D5051" s="4" t="n">
        <v>2025</v>
      </c>
      <c r="E5051" s="13" t="inlineStr">
        <is>
          <t>General</t>
        </is>
      </c>
      <c r="F5051" s="5" t="n">
        <v>2412</v>
      </c>
      <c r="G5051" s="5" t="n">
        <v>18636</v>
      </c>
      <c r="H5051" s="5" t="n">
        <v>160</v>
      </c>
      <c r="I5051" s="5" t="n">
        <v>160</v>
      </c>
      <c r="J5051" s="5" t="n">
        <v>0</v>
      </c>
      <c r="K5051" s="10">
        <f>IF(F5051&gt;0,H5051/F5051,"")</f>
        <v/>
      </c>
      <c r="L5051" s="16">
        <f>IF(AND(G5051&gt;0,H5051&gt;0),G5051/H5051,"")</f>
        <v/>
      </c>
    </row>
    <row r="5052">
      <c r="A5052" s="4" t="inlineStr">
        <is>
          <t>123</t>
        </is>
      </c>
      <c r="B5052" s="4" t="n">
        <v>1</v>
      </c>
      <c r="C5052" s="4" t="inlineStr">
        <is>
          <t>mule deer</t>
        </is>
      </c>
      <c r="D5052" s="4" t="n">
        <v>2004</v>
      </c>
      <c r="E5052" s="13" t="inlineStr">
        <is>
          <t>General</t>
        </is>
      </c>
      <c r="F5052" s="5" t="n">
        <v>743</v>
      </c>
      <c r="G5052" s="5" t="n">
        <v>4625</v>
      </c>
      <c r="H5052" s="5" t="n">
        <v>49</v>
      </c>
      <c r="I5052" s="5" t="n">
        <v>49</v>
      </c>
      <c r="J5052" s="5" t="n">
        <v>0</v>
      </c>
      <c r="K5052" s="10">
        <f>IF(F5052&gt;0,H5052/F5052,"")</f>
        <v/>
      </c>
      <c r="L5052" s="16">
        <f>IF(AND(G5052&gt;0,H5052&gt;0),G5052/H5052,"")</f>
        <v/>
      </c>
    </row>
    <row r="5053">
      <c r="A5053" s="4" t="inlineStr">
        <is>
          <t>123</t>
        </is>
      </c>
      <c r="B5053" s="4" t="n">
        <v>1</v>
      </c>
      <c r="C5053" s="4" t="inlineStr">
        <is>
          <t>mule deer</t>
        </is>
      </c>
      <c r="D5053" s="4" t="n">
        <v>2005</v>
      </c>
      <c r="E5053" s="13" t="inlineStr">
        <is>
          <t>General</t>
        </is>
      </c>
      <c r="F5053" s="5" t="n">
        <v>746</v>
      </c>
      <c r="G5053" s="5" t="n">
        <v>4879</v>
      </c>
      <c r="H5053" s="5" t="n">
        <v>51</v>
      </c>
      <c r="I5053" s="5" t="n">
        <v>46</v>
      </c>
      <c r="J5053" s="5" t="n">
        <v>5</v>
      </c>
      <c r="K5053" s="10">
        <f>IF(F5053&gt;0,H5053/F5053,"")</f>
        <v/>
      </c>
      <c r="L5053" s="16">
        <f>IF(AND(G5053&gt;0,H5053&gt;0),G5053/H5053,"")</f>
        <v/>
      </c>
    </row>
    <row r="5054">
      <c r="A5054" s="4" t="inlineStr">
        <is>
          <t>123</t>
        </is>
      </c>
      <c r="B5054" s="4" t="n">
        <v>1</v>
      </c>
      <c r="C5054" s="4" t="inlineStr">
        <is>
          <t>mule deer</t>
        </is>
      </c>
      <c r="D5054" s="4" t="n">
        <v>2006</v>
      </c>
      <c r="E5054" s="13" t="inlineStr">
        <is>
          <t>General</t>
        </is>
      </c>
      <c r="F5054" s="5" t="n">
        <v>898</v>
      </c>
      <c r="G5054" s="5" t="n">
        <v>6339</v>
      </c>
      <c r="H5054" s="5" t="n">
        <v>71</v>
      </c>
      <c r="I5054" s="5" t="n">
        <v>60</v>
      </c>
      <c r="J5054" s="5" t="n">
        <v>7</v>
      </c>
      <c r="K5054" s="10">
        <f>IF(F5054&gt;0,H5054/F5054,"")</f>
        <v/>
      </c>
      <c r="L5054" s="16">
        <f>IF(AND(G5054&gt;0,H5054&gt;0),G5054/H5054,"")</f>
        <v/>
      </c>
    </row>
    <row r="5055">
      <c r="A5055" s="4" t="inlineStr">
        <is>
          <t>123</t>
        </is>
      </c>
      <c r="B5055" s="4" t="n">
        <v>1</v>
      </c>
      <c r="C5055" s="4" t="inlineStr">
        <is>
          <t>mule deer</t>
        </is>
      </c>
      <c r="D5055" s="4" t="n">
        <v>2007</v>
      </c>
      <c r="E5055" s="13" t="inlineStr">
        <is>
          <t>General</t>
        </is>
      </c>
      <c r="F5055" s="5" t="n">
        <v>747</v>
      </c>
      <c r="G5055" s="5" t="n">
        <v>6041</v>
      </c>
      <c r="H5055" s="5" t="n">
        <v>32</v>
      </c>
      <c r="I5055" s="5" t="n">
        <v>24</v>
      </c>
      <c r="J5055" s="5" t="n">
        <v>8</v>
      </c>
      <c r="K5055" s="10">
        <f>IF(F5055&gt;0,H5055/F5055,"")</f>
        <v/>
      </c>
      <c r="L5055" s="16">
        <f>IF(AND(G5055&gt;0,H5055&gt;0),G5055/H5055,"")</f>
        <v/>
      </c>
    </row>
    <row r="5056">
      <c r="A5056" s="4" t="inlineStr">
        <is>
          <t>123</t>
        </is>
      </c>
      <c r="B5056" s="4" t="n">
        <v>1</v>
      </c>
      <c r="C5056" s="4" t="inlineStr">
        <is>
          <t>mule deer</t>
        </is>
      </c>
      <c r="D5056" s="4" t="n">
        <v>2008</v>
      </c>
      <c r="E5056" s="13" t="inlineStr">
        <is>
          <t>General</t>
        </is>
      </c>
      <c r="F5056" s="5" t="n">
        <v>726</v>
      </c>
      <c r="G5056" s="5" t="n">
        <v>5609</v>
      </c>
      <c r="H5056" s="5" t="n">
        <v>46</v>
      </c>
      <c r="I5056" s="5" t="n">
        <v>35</v>
      </c>
      <c r="J5056" s="5" t="n">
        <v>11</v>
      </c>
      <c r="K5056" s="10">
        <f>IF(F5056&gt;0,H5056/F5056,"")</f>
        <v/>
      </c>
      <c r="L5056" s="16">
        <f>IF(AND(G5056&gt;0,H5056&gt;0),G5056/H5056,"")</f>
        <v/>
      </c>
    </row>
    <row r="5057">
      <c r="A5057" s="4" t="inlineStr">
        <is>
          <t>123</t>
        </is>
      </c>
      <c r="B5057" s="4" t="n">
        <v>1</v>
      </c>
      <c r="C5057" s="4" t="inlineStr">
        <is>
          <t>mule deer</t>
        </is>
      </c>
      <c r="D5057" s="4" t="n">
        <v>2009</v>
      </c>
      <c r="E5057" s="13" t="inlineStr">
        <is>
          <t>General</t>
        </is>
      </c>
      <c r="F5057" s="5" t="n">
        <v>852</v>
      </c>
      <c r="G5057" s="5" t="n">
        <v>7094</v>
      </c>
      <c r="H5057" s="5" t="n">
        <v>59</v>
      </c>
      <c r="I5057" s="5" t="n">
        <v>41</v>
      </c>
      <c r="J5057" s="5" t="n">
        <v>18</v>
      </c>
      <c r="K5057" s="10">
        <f>IF(F5057&gt;0,H5057/F5057,"")</f>
        <v/>
      </c>
      <c r="L5057" s="16">
        <f>IF(AND(G5057&gt;0,H5057&gt;0),G5057/H5057,"")</f>
        <v/>
      </c>
    </row>
    <row r="5058">
      <c r="A5058" s="4" t="inlineStr">
        <is>
          <t>123</t>
        </is>
      </c>
      <c r="B5058" s="4" t="n">
        <v>1</v>
      </c>
      <c r="C5058" s="4" t="inlineStr">
        <is>
          <t>mule deer</t>
        </is>
      </c>
      <c r="D5058" s="4" t="n">
        <v>2010</v>
      </c>
      <c r="E5058" s="13" t="inlineStr">
        <is>
          <t>General</t>
        </is>
      </c>
      <c r="F5058" s="5" t="n">
        <v>699</v>
      </c>
      <c r="G5058" s="5" t="n">
        <v>5407</v>
      </c>
      <c r="H5058" s="5" t="n">
        <v>51</v>
      </c>
      <c r="I5058" s="5" t="n">
        <v>49</v>
      </c>
      <c r="J5058" s="5" t="n">
        <v>3</v>
      </c>
      <c r="K5058" s="10">
        <f>IF(F5058&gt;0,H5058/F5058,"")</f>
        <v/>
      </c>
      <c r="L5058" s="16">
        <f>IF(AND(G5058&gt;0,H5058&gt;0),G5058/H5058,"")</f>
        <v/>
      </c>
    </row>
    <row r="5059">
      <c r="A5059" s="4" t="inlineStr">
        <is>
          <t>123</t>
        </is>
      </c>
      <c r="B5059" s="4" t="n">
        <v>1</v>
      </c>
      <c r="C5059" s="4" t="inlineStr">
        <is>
          <t>mule deer</t>
        </is>
      </c>
      <c r="D5059" s="4" t="n">
        <v>2011</v>
      </c>
      <c r="E5059" s="13" t="inlineStr">
        <is>
          <t>General</t>
        </is>
      </c>
      <c r="F5059" s="5" t="n">
        <v>751</v>
      </c>
      <c r="G5059" s="5" t="n">
        <v>5852</v>
      </c>
      <c r="H5059" s="5" t="n">
        <v>27</v>
      </c>
      <c r="I5059" s="5" t="n">
        <v>25</v>
      </c>
      <c r="J5059" s="5" t="n">
        <v>2</v>
      </c>
      <c r="K5059" s="10">
        <f>IF(F5059&gt;0,H5059/F5059,"")</f>
        <v/>
      </c>
      <c r="L5059" s="16">
        <f>IF(AND(G5059&gt;0,H5059&gt;0),G5059/H5059,"")</f>
        <v/>
      </c>
    </row>
    <row r="5060">
      <c r="A5060" s="4" t="inlineStr">
        <is>
          <t>123</t>
        </is>
      </c>
      <c r="B5060" s="4" t="n">
        <v>1</v>
      </c>
      <c r="C5060" s="4" t="inlineStr">
        <is>
          <t>mule deer</t>
        </is>
      </c>
      <c r="D5060" s="4" t="n">
        <v>2012</v>
      </c>
      <c r="E5060" s="13" t="inlineStr">
        <is>
          <t>General</t>
        </is>
      </c>
      <c r="F5060" s="5" t="n"/>
      <c r="G5060" s="5" t="n"/>
      <c r="H5060" s="5" t="n">
        <v>53</v>
      </c>
      <c r="I5060" s="5" t="n">
        <v>53</v>
      </c>
      <c r="J5060" s="5" t="n">
        <v>0</v>
      </c>
      <c r="K5060" s="10">
        <f>IF(F5060&gt;0,H5060/F5060,"")</f>
        <v/>
      </c>
      <c r="L5060" s="16">
        <f>IF(AND(G5060&gt;0,H5060&gt;0),G5060/H5060,"")</f>
        <v/>
      </c>
    </row>
    <row r="5061">
      <c r="A5061" s="4" t="inlineStr">
        <is>
          <t>123</t>
        </is>
      </c>
      <c r="B5061" s="4" t="n">
        <v>1</v>
      </c>
      <c r="C5061" s="4" t="inlineStr">
        <is>
          <t>mule deer</t>
        </is>
      </c>
      <c r="D5061" s="4" t="n">
        <v>2013</v>
      </c>
      <c r="E5061" s="13" t="inlineStr">
        <is>
          <t>General</t>
        </is>
      </c>
      <c r="F5061" s="5" t="n">
        <v>646</v>
      </c>
      <c r="G5061" s="5" t="n">
        <v>4679</v>
      </c>
      <c r="H5061" s="5" t="n">
        <v>25</v>
      </c>
      <c r="I5061" s="5" t="n">
        <v>25</v>
      </c>
      <c r="J5061" s="5" t="n">
        <v>0</v>
      </c>
      <c r="K5061" s="10">
        <f>IF(F5061&gt;0,H5061/F5061,"")</f>
        <v/>
      </c>
      <c r="L5061" s="16">
        <f>IF(AND(G5061&gt;0,H5061&gt;0),G5061/H5061,"")</f>
        <v/>
      </c>
    </row>
    <row r="5062">
      <c r="A5062" s="4" t="inlineStr">
        <is>
          <t>123</t>
        </is>
      </c>
      <c r="B5062" s="4" t="n">
        <v>1</v>
      </c>
      <c r="C5062" s="4" t="inlineStr">
        <is>
          <t>mule deer</t>
        </is>
      </c>
      <c r="D5062" s="4" t="n">
        <v>2014</v>
      </c>
      <c r="E5062" s="13" t="inlineStr">
        <is>
          <t>General</t>
        </is>
      </c>
      <c r="F5062" s="5" t="n"/>
      <c r="G5062" s="5" t="n"/>
      <c r="H5062" s="5" t="n">
        <v>45</v>
      </c>
      <c r="I5062" s="5" t="n">
        <v>45</v>
      </c>
      <c r="J5062" s="5" t="n">
        <v>0</v>
      </c>
      <c r="K5062" s="10">
        <f>IF(F5062&gt;0,H5062/F5062,"")</f>
        <v/>
      </c>
      <c r="L5062" s="16">
        <f>IF(AND(G5062&gt;0,H5062&gt;0),G5062/H5062,"")</f>
        <v/>
      </c>
    </row>
    <row r="5063">
      <c r="A5063" s="4" t="inlineStr">
        <is>
          <t>123</t>
        </is>
      </c>
      <c r="B5063" s="4" t="n">
        <v>1</v>
      </c>
      <c r="C5063" s="4" t="inlineStr">
        <is>
          <t>mule deer</t>
        </is>
      </c>
      <c r="D5063" s="4" t="n">
        <v>2015</v>
      </c>
      <c r="E5063" s="13" t="inlineStr">
        <is>
          <t>General</t>
        </is>
      </c>
      <c r="F5063" s="5" t="n"/>
      <c r="G5063" s="5" t="n"/>
      <c r="H5063" s="5" t="n">
        <v>20</v>
      </c>
      <c r="I5063" s="5" t="n">
        <v>20</v>
      </c>
      <c r="J5063" s="5" t="n">
        <v>0</v>
      </c>
      <c r="K5063" s="10">
        <f>IF(F5063&gt;0,H5063/F5063,"")</f>
        <v/>
      </c>
      <c r="L5063" s="16">
        <f>IF(AND(G5063&gt;0,H5063&gt;0),G5063/H5063,"")</f>
        <v/>
      </c>
    </row>
    <row r="5064">
      <c r="A5064" s="4" t="inlineStr">
        <is>
          <t>123</t>
        </is>
      </c>
      <c r="B5064" s="4" t="n">
        <v>1</v>
      </c>
      <c r="C5064" s="4" t="inlineStr">
        <is>
          <t>mule deer</t>
        </is>
      </c>
      <c r="D5064" s="4" t="n">
        <v>2016</v>
      </c>
      <c r="E5064" s="13" t="inlineStr">
        <is>
          <t>General</t>
        </is>
      </c>
      <c r="F5064" s="5" t="n"/>
      <c r="G5064" s="5" t="n"/>
      <c r="H5064" s="5" t="n">
        <v>87</v>
      </c>
      <c r="I5064" s="5" t="n">
        <v>84</v>
      </c>
      <c r="J5064" s="5" t="n">
        <v>3</v>
      </c>
      <c r="K5064" s="10">
        <f>IF(F5064&gt;0,H5064/F5064,"")</f>
        <v/>
      </c>
      <c r="L5064" s="16">
        <f>IF(AND(G5064&gt;0,H5064&gt;0),G5064/H5064,"")</f>
        <v/>
      </c>
    </row>
    <row r="5065">
      <c r="A5065" s="4" t="inlineStr">
        <is>
          <t>123</t>
        </is>
      </c>
      <c r="B5065" s="4" t="n">
        <v>1</v>
      </c>
      <c r="C5065" s="4" t="inlineStr">
        <is>
          <t>mule deer</t>
        </is>
      </c>
      <c r="D5065" s="4" t="n">
        <v>2017</v>
      </c>
      <c r="E5065" s="13" t="inlineStr">
        <is>
          <t>General</t>
        </is>
      </c>
      <c r="F5065" s="5" t="n">
        <v>758</v>
      </c>
      <c r="G5065" s="5" t="n">
        <v>5305</v>
      </c>
      <c r="H5065" s="5" t="n">
        <v>26</v>
      </c>
      <c r="I5065" s="5" t="n">
        <v>26</v>
      </c>
      <c r="J5065" s="5" t="n">
        <v>0</v>
      </c>
      <c r="K5065" s="10">
        <f>IF(F5065&gt;0,H5065/F5065,"")</f>
        <v/>
      </c>
      <c r="L5065" s="16">
        <f>IF(AND(G5065&gt;0,H5065&gt;0),G5065/H5065,"")</f>
        <v/>
      </c>
    </row>
    <row r="5066">
      <c r="A5066" s="4" t="inlineStr">
        <is>
          <t>123</t>
        </is>
      </c>
      <c r="B5066" s="4" t="n">
        <v>1</v>
      </c>
      <c r="C5066" s="4" t="inlineStr">
        <is>
          <t>mule deer</t>
        </is>
      </c>
      <c r="D5066" s="4" t="n">
        <v>2018</v>
      </c>
      <c r="E5066" s="13" t="inlineStr">
        <is>
          <t>General</t>
        </is>
      </c>
      <c r="F5066" s="5" t="n"/>
      <c r="G5066" s="5" t="n"/>
      <c r="H5066" s="5" t="n">
        <v>46</v>
      </c>
      <c r="I5066" s="5" t="n">
        <v>46</v>
      </c>
      <c r="J5066" s="5" t="n">
        <v>0</v>
      </c>
      <c r="K5066" s="10">
        <f>IF(F5066&gt;0,H5066/F5066,"")</f>
        <v/>
      </c>
      <c r="L5066" s="16">
        <f>IF(AND(G5066&gt;0,H5066&gt;0),G5066/H5066,"")</f>
        <v/>
      </c>
    </row>
    <row r="5067">
      <c r="A5067" s="4" t="inlineStr">
        <is>
          <t>123</t>
        </is>
      </c>
      <c r="B5067" s="4" t="n">
        <v>1</v>
      </c>
      <c r="C5067" s="4" t="inlineStr">
        <is>
          <t>mule deer</t>
        </is>
      </c>
      <c r="D5067" s="4" t="n">
        <v>2019</v>
      </c>
      <c r="E5067" s="13" t="inlineStr">
        <is>
          <t>General</t>
        </is>
      </c>
      <c r="F5067" s="5" t="n">
        <v>688</v>
      </c>
      <c r="G5067" s="5" t="n">
        <v>5200</v>
      </c>
      <c r="H5067" s="5" t="n">
        <v>50</v>
      </c>
      <c r="I5067" s="5" t="n">
        <v>46</v>
      </c>
      <c r="J5067" s="5" t="n">
        <v>4</v>
      </c>
      <c r="K5067" s="10">
        <f>IF(F5067&gt;0,H5067/F5067,"")</f>
        <v/>
      </c>
      <c r="L5067" s="16">
        <f>IF(AND(G5067&gt;0,H5067&gt;0),G5067/H5067,"")</f>
        <v/>
      </c>
    </row>
    <row r="5068">
      <c r="A5068" s="4" t="inlineStr">
        <is>
          <t>123</t>
        </is>
      </c>
      <c r="B5068" s="4" t="n">
        <v>1</v>
      </c>
      <c r="C5068" s="4" t="inlineStr">
        <is>
          <t>mule deer</t>
        </is>
      </c>
      <c r="D5068" s="4" t="n">
        <v>2020</v>
      </c>
      <c r="E5068" s="13" t="inlineStr">
        <is>
          <t>General</t>
        </is>
      </c>
      <c r="F5068" s="5" t="n"/>
      <c r="G5068" s="5" t="n"/>
      <c r="H5068" s="5" t="n">
        <v>13</v>
      </c>
      <c r="I5068" s="5" t="n">
        <v>13</v>
      </c>
      <c r="J5068" s="5" t="n">
        <v>0</v>
      </c>
      <c r="K5068" s="10">
        <f>IF(F5068&gt;0,H5068/F5068,"")</f>
        <v/>
      </c>
      <c r="L5068" s="16">
        <f>IF(AND(G5068&gt;0,H5068&gt;0),G5068/H5068,"")</f>
        <v/>
      </c>
    </row>
    <row r="5069">
      <c r="A5069" s="4" t="inlineStr">
        <is>
          <t>123</t>
        </is>
      </c>
      <c r="B5069" s="4" t="n">
        <v>1</v>
      </c>
      <c r="C5069" s="4" t="inlineStr">
        <is>
          <t>mule deer</t>
        </is>
      </c>
      <c r="D5069" s="4" t="n">
        <v>2021</v>
      </c>
      <c r="E5069" s="13" t="inlineStr">
        <is>
          <t>General</t>
        </is>
      </c>
      <c r="F5069" s="5" t="n">
        <v>603</v>
      </c>
      <c r="G5069" s="5" t="n">
        <v>3638</v>
      </c>
      <c r="H5069" s="5" t="n">
        <v>19</v>
      </c>
      <c r="I5069" s="5" t="n">
        <v>19</v>
      </c>
      <c r="J5069" s="5" t="n">
        <v>0</v>
      </c>
      <c r="K5069" s="10">
        <f>IF(F5069&gt;0,H5069/F5069,"")</f>
        <v/>
      </c>
      <c r="L5069" s="16">
        <f>IF(AND(G5069&gt;0,H5069&gt;0),G5069/H5069,"")</f>
        <v/>
      </c>
    </row>
    <row r="5070">
      <c r="A5070" s="4" t="inlineStr">
        <is>
          <t>123</t>
        </is>
      </c>
      <c r="B5070" s="4" t="n">
        <v>1</v>
      </c>
      <c r="C5070" s="4" t="inlineStr">
        <is>
          <t>mule deer</t>
        </is>
      </c>
      <c r="D5070" s="4" t="n">
        <v>2022</v>
      </c>
      <c r="E5070" s="13" t="inlineStr">
        <is>
          <t>General</t>
        </is>
      </c>
      <c r="F5070" s="5" t="n"/>
      <c r="G5070" s="5" t="n"/>
      <c r="H5070" s="5" t="n">
        <v>26</v>
      </c>
      <c r="I5070" s="5" t="n">
        <v>26</v>
      </c>
      <c r="J5070" s="5" t="n">
        <v>0</v>
      </c>
      <c r="K5070" s="10">
        <f>IF(F5070&gt;0,H5070/F5070,"")</f>
        <v/>
      </c>
      <c r="L5070" s="16">
        <f>IF(AND(G5070&gt;0,H5070&gt;0),G5070/H5070,"")</f>
        <v/>
      </c>
    </row>
    <row r="5071">
      <c r="A5071" s="4" t="inlineStr">
        <is>
          <t>123</t>
        </is>
      </c>
      <c r="B5071" s="4" t="n">
        <v>1</v>
      </c>
      <c r="C5071" s="4" t="inlineStr">
        <is>
          <t>mule deer</t>
        </is>
      </c>
      <c r="D5071" s="4" t="n">
        <v>2023</v>
      </c>
      <c r="E5071" s="13" t="inlineStr">
        <is>
          <t>General</t>
        </is>
      </c>
      <c r="F5071" s="5" t="n">
        <v>585</v>
      </c>
      <c r="G5071" s="5" t="n">
        <v>5209</v>
      </c>
      <c r="H5071" s="5" t="n">
        <v>47</v>
      </c>
      <c r="I5071" s="5" t="n">
        <v>47</v>
      </c>
      <c r="J5071" s="5" t="n">
        <v>0</v>
      </c>
      <c r="K5071" s="10">
        <f>IF(F5071&gt;0,H5071/F5071,"")</f>
        <v/>
      </c>
      <c r="L5071" s="16">
        <f>IF(AND(G5071&gt;0,H5071&gt;0),G5071/H5071,"")</f>
        <v/>
      </c>
    </row>
    <row r="5072">
      <c r="A5072" s="4" t="inlineStr">
        <is>
          <t>123</t>
        </is>
      </c>
      <c r="B5072" s="4" t="n">
        <v>1</v>
      </c>
      <c r="C5072" s="4" t="inlineStr">
        <is>
          <t>mule deer</t>
        </is>
      </c>
      <c r="D5072" s="4" t="n">
        <v>2024</v>
      </c>
      <c r="E5072" s="13" t="inlineStr">
        <is>
          <t>General</t>
        </is>
      </c>
      <c r="F5072" s="5" t="n"/>
      <c r="G5072" s="5" t="n"/>
      <c r="H5072" s="5" t="n">
        <v>72</v>
      </c>
      <c r="I5072" s="5" t="n">
        <v>72</v>
      </c>
      <c r="J5072" s="5" t="n">
        <v>0</v>
      </c>
      <c r="K5072" s="10">
        <f>IF(F5072&gt;0,H5072/F5072,"")</f>
        <v/>
      </c>
      <c r="L5072" s="16">
        <f>IF(AND(G5072&gt;0,H5072&gt;0),G5072/H5072,"")</f>
        <v/>
      </c>
    </row>
    <row r="5073">
      <c r="A5073" s="4" t="inlineStr">
        <is>
          <t>123</t>
        </is>
      </c>
      <c r="B5073" s="4" t="n">
        <v>1</v>
      </c>
      <c r="C5073" s="4" t="inlineStr">
        <is>
          <t>mule deer</t>
        </is>
      </c>
      <c r="D5073" s="4" t="n">
        <v>2025</v>
      </c>
      <c r="E5073" s="13" t="inlineStr">
        <is>
          <t>General</t>
        </is>
      </c>
      <c r="F5073" s="5" t="n">
        <v>702</v>
      </c>
      <c r="G5073" s="5" t="n">
        <v>5564</v>
      </c>
      <c r="H5073" s="5" t="n">
        <v>53</v>
      </c>
      <c r="I5073" s="5" t="n">
        <v>53</v>
      </c>
      <c r="J5073" s="5" t="n">
        <v>0</v>
      </c>
      <c r="K5073" s="10">
        <f>IF(F5073&gt;0,H5073/F5073,"")</f>
        <v/>
      </c>
      <c r="L5073" s="16">
        <f>IF(AND(G5073&gt;0,H5073&gt;0),G5073/H5073,"")</f>
        <v/>
      </c>
    </row>
    <row r="5074">
      <c r="A5074" s="4" t="inlineStr">
        <is>
          <t>124</t>
        </is>
      </c>
      <c r="B5074" s="4" t="n">
        <v>1</v>
      </c>
      <c r="C5074" s="4" t="inlineStr">
        <is>
          <t>mule deer</t>
        </is>
      </c>
      <c r="D5074" s="4" t="n">
        <v>2004</v>
      </c>
      <c r="E5074" s="13" t="inlineStr">
        <is>
          <t>General</t>
        </is>
      </c>
      <c r="F5074" s="5" t="n">
        <v>588</v>
      </c>
      <c r="G5074" s="5" t="n">
        <v>3968</v>
      </c>
      <c r="H5074" s="5" t="n">
        <v>42</v>
      </c>
      <c r="I5074" s="5" t="n">
        <v>38</v>
      </c>
      <c r="J5074" s="5" t="n">
        <v>4</v>
      </c>
      <c r="K5074" s="10">
        <f>IF(F5074&gt;0,H5074/F5074,"")</f>
        <v/>
      </c>
      <c r="L5074" s="16">
        <f>IF(AND(G5074&gt;0,H5074&gt;0),G5074/H5074,"")</f>
        <v/>
      </c>
    </row>
    <row r="5075">
      <c r="A5075" s="4" t="inlineStr">
        <is>
          <t>124</t>
        </is>
      </c>
      <c r="B5075" s="4" t="n">
        <v>1</v>
      </c>
      <c r="C5075" s="4" t="inlineStr">
        <is>
          <t>mule deer</t>
        </is>
      </c>
      <c r="D5075" s="4" t="n">
        <v>2005</v>
      </c>
      <c r="E5075" s="13" t="inlineStr">
        <is>
          <t>General</t>
        </is>
      </c>
      <c r="F5075" s="5" t="n">
        <v>436</v>
      </c>
      <c r="G5075" s="5" t="n">
        <v>2815</v>
      </c>
      <c r="H5075" s="5" t="n">
        <v>47</v>
      </c>
      <c r="I5075" s="5" t="n">
        <v>47</v>
      </c>
      <c r="J5075" s="5" t="n">
        <v>0</v>
      </c>
      <c r="K5075" s="10">
        <f>IF(F5075&gt;0,H5075/F5075,"")</f>
        <v/>
      </c>
      <c r="L5075" s="16">
        <f>IF(AND(G5075&gt;0,H5075&gt;0),G5075/H5075,"")</f>
        <v/>
      </c>
    </row>
    <row r="5076">
      <c r="A5076" s="4" t="inlineStr">
        <is>
          <t>124</t>
        </is>
      </c>
      <c r="B5076" s="4" t="n">
        <v>1</v>
      </c>
      <c r="C5076" s="4" t="inlineStr">
        <is>
          <t>mule deer</t>
        </is>
      </c>
      <c r="D5076" s="4" t="n">
        <v>2006</v>
      </c>
      <c r="E5076" s="13" t="inlineStr">
        <is>
          <t>General</t>
        </is>
      </c>
      <c r="F5076" s="5" t="n">
        <v>611</v>
      </c>
      <c r="G5076" s="5" t="n">
        <v>4280</v>
      </c>
      <c r="H5076" s="5" t="n">
        <v>82</v>
      </c>
      <c r="I5076" s="5" t="n">
        <v>74</v>
      </c>
      <c r="J5076" s="5" t="n">
        <v>7</v>
      </c>
      <c r="K5076" s="10">
        <f>IF(F5076&gt;0,H5076/F5076,"")</f>
        <v/>
      </c>
      <c r="L5076" s="16">
        <f>IF(AND(G5076&gt;0,H5076&gt;0),G5076/H5076,"")</f>
        <v/>
      </c>
    </row>
    <row r="5077">
      <c r="A5077" s="4" t="inlineStr">
        <is>
          <t>124</t>
        </is>
      </c>
      <c r="B5077" s="4" t="n">
        <v>1</v>
      </c>
      <c r="C5077" s="4" t="inlineStr">
        <is>
          <t>mule deer</t>
        </is>
      </c>
      <c r="D5077" s="4" t="n">
        <v>2007</v>
      </c>
      <c r="E5077" s="13" t="inlineStr">
        <is>
          <t>General</t>
        </is>
      </c>
      <c r="F5077" s="5" t="n">
        <v>619</v>
      </c>
      <c r="G5077" s="5" t="n">
        <v>4266</v>
      </c>
      <c r="H5077" s="5" t="n">
        <v>53</v>
      </c>
      <c r="I5077" s="5" t="n">
        <v>53</v>
      </c>
      <c r="J5077" s="5" t="n">
        <v>0</v>
      </c>
      <c r="K5077" s="10">
        <f>IF(F5077&gt;0,H5077/F5077,"")</f>
        <v/>
      </c>
      <c r="L5077" s="16">
        <f>IF(AND(G5077&gt;0,H5077&gt;0),G5077/H5077,"")</f>
        <v/>
      </c>
    </row>
    <row r="5078">
      <c r="A5078" s="4" t="inlineStr">
        <is>
          <t>124</t>
        </is>
      </c>
      <c r="B5078" s="4" t="n">
        <v>1</v>
      </c>
      <c r="C5078" s="4" t="inlineStr">
        <is>
          <t>mule deer</t>
        </is>
      </c>
      <c r="D5078" s="4" t="n">
        <v>2008</v>
      </c>
      <c r="E5078" s="13" t="inlineStr">
        <is>
          <t>General</t>
        </is>
      </c>
      <c r="F5078" s="5" t="n">
        <v>716</v>
      </c>
      <c r="G5078" s="5" t="n">
        <v>5091</v>
      </c>
      <c r="H5078" s="5" t="n">
        <v>52</v>
      </c>
      <c r="I5078" s="5" t="n">
        <v>50</v>
      </c>
      <c r="J5078" s="5" t="n">
        <v>2</v>
      </c>
      <c r="K5078" s="10">
        <f>IF(F5078&gt;0,H5078/F5078,"")</f>
        <v/>
      </c>
      <c r="L5078" s="16">
        <f>IF(AND(G5078&gt;0,H5078&gt;0),G5078/H5078,"")</f>
        <v/>
      </c>
    </row>
    <row r="5079">
      <c r="A5079" s="4" t="inlineStr">
        <is>
          <t>124</t>
        </is>
      </c>
      <c r="B5079" s="4" t="n">
        <v>1</v>
      </c>
      <c r="C5079" s="4" t="inlineStr">
        <is>
          <t>mule deer</t>
        </is>
      </c>
      <c r="D5079" s="4" t="n">
        <v>2009</v>
      </c>
      <c r="E5079" s="13" t="inlineStr">
        <is>
          <t>General</t>
        </is>
      </c>
      <c r="F5079" s="5" t="n">
        <v>581</v>
      </c>
      <c r="G5079" s="5" t="n">
        <v>4564</v>
      </c>
      <c r="H5079" s="5" t="n">
        <v>39</v>
      </c>
      <c r="I5079" s="5" t="n">
        <v>33</v>
      </c>
      <c r="J5079" s="5" t="n">
        <v>7</v>
      </c>
      <c r="K5079" s="10">
        <f>IF(F5079&gt;0,H5079/F5079,"")</f>
        <v/>
      </c>
      <c r="L5079" s="16">
        <f>IF(AND(G5079&gt;0,H5079&gt;0),G5079/H5079,"")</f>
        <v/>
      </c>
    </row>
    <row r="5080">
      <c r="A5080" s="4" t="inlineStr">
        <is>
          <t>124</t>
        </is>
      </c>
      <c r="B5080" s="4" t="n">
        <v>1</v>
      </c>
      <c r="C5080" s="4" t="inlineStr">
        <is>
          <t>mule deer</t>
        </is>
      </c>
      <c r="D5080" s="4" t="n">
        <v>2010</v>
      </c>
      <c r="E5080" s="13" t="inlineStr">
        <is>
          <t>General</t>
        </is>
      </c>
      <c r="F5080" s="5" t="n">
        <v>663</v>
      </c>
      <c r="G5080" s="5" t="n">
        <v>5539</v>
      </c>
      <c r="H5080" s="5" t="n">
        <v>44</v>
      </c>
      <c r="I5080" s="5" t="n">
        <v>42</v>
      </c>
      <c r="J5080" s="5" t="n">
        <v>0</v>
      </c>
      <c r="K5080" s="10">
        <f>IF(F5080&gt;0,H5080/F5080,"")</f>
        <v/>
      </c>
      <c r="L5080" s="16">
        <f>IF(AND(G5080&gt;0,H5080&gt;0),G5080/H5080,"")</f>
        <v/>
      </c>
    </row>
    <row r="5081">
      <c r="A5081" s="4" t="inlineStr">
        <is>
          <t>124</t>
        </is>
      </c>
      <c r="B5081" s="4" t="n">
        <v>1</v>
      </c>
      <c r="C5081" s="4" t="inlineStr">
        <is>
          <t>mule deer</t>
        </is>
      </c>
      <c r="D5081" s="4" t="n">
        <v>2011</v>
      </c>
      <c r="E5081" s="13" t="inlineStr">
        <is>
          <t>General</t>
        </is>
      </c>
      <c r="F5081" s="5" t="n">
        <v>636</v>
      </c>
      <c r="G5081" s="5" t="n">
        <v>4039</v>
      </c>
      <c r="H5081" s="5" t="n">
        <v>33</v>
      </c>
      <c r="I5081" s="5" t="n">
        <v>33</v>
      </c>
      <c r="J5081" s="5" t="n">
        <v>0</v>
      </c>
      <c r="K5081" s="10">
        <f>IF(F5081&gt;0,H5081/F5081,"")</f>
        <v/>
      </c>
      <c r="L5081" s="16">
        <f>IF(AND(G5081&gt;0,H5081&gt;0),G5081/H5081,"")</f>
        <v/>
      </c>
    </row>
    <row r="5082">
      <c r="A5082" s="4" t="inlineStr">
        <is>
          <t>124</t>
        </is>
      </c>
      <c r="B5082" s="4" t="n">
        <v>1</v>
      </c>
      <c r="C5082" s="4" t="inlineStr">
        <is>
          <t>mule deer</t>
        </is>
      </c>
      <c r="D5082" s="4" t="n">
        <v>2012</v>
      </c>
      <c r="E5082" s="13" t="inlineStr">
        <is>
          <t>General</t>
        </is>
      </c>
      <c r="F5082" s="5" t="n"/>
      <c r="G5082" s="5" t="n"/>
      <c r="H5082" s="5" t="n">
        <v>47</v>
      </c>
      <c r="I5082" s="5" t="n">
        <v>45</v>
      </c>
      <c r="J5082" s="5" t="n">
        <v>3</v>
      </c>
      <c r="K5082" s="10">
        <f>IF(F5082&gt;0,H5082/F5082,"")</f>
        <v/>
      </c>
      <c r="L5082" s="16">
        <f>IF(AND(G5082&gt;0,H5082&gt;0),G5082/H5082,"")</f>
        <v/>
      </c>
    </row>
    <row r="5083">
      <c r="A5083" s="4" t="inlineStr">
        <is>
          <t>124</t>
        </is>
      </c>
      <c r="B5083" s="4" t="n">
        <v>1</v>
      </c>
      <c r="C5083" s="4" t="inlineStr">
        <is>
          <t>mule deer</t>
        </is>
      </c>
      <c r="D5083" s="4" t="n">
        <v>2013</v>
      </c>
      <c r="E5083" s="13" t="inlineStr">
        <is>
          <t>General</t>
        </is>
      </c>
      <c r="F5083" s="5" t="n">
        <v>736</v>
      </c>
      <c r="G5083" s="5" t="n">
        <v>4729</v>
      </c>
      <c r="H5083" s="5" t="n">
        <v>45</v>
      </c>
      <c r="I5083" s="5" t="n">
        <v>42</v>
      </c>
      <c r="J5083" s="5" t="n">
        <v>2</v>
      </c>
      <c r="K5083" s="10">
        <f>IF(F5083&gt;0,H5083/F5083,"")</f>
        <v/>
      </c>
      <c r="L5083" s="16">
        <f>IF(AND(G5083&gt;0,H5083&gt;0),G5083/H5083,"")</f>
        <v/>
      </c>
    </row>
    <row r="5084">
      <c r="A5084" s="4" t="inlineStr">
        <is>
          <t>124</t>
        </is>
      </c>
      <c r="B5084" s="4" t="n">
        <v>1</v>
      </c>
      <c r="C5084" s="4" t="inlineStr">
        <is>
          <t>mule deer</t>
        </is>
      </c>
      <c r="D5084" s="4" t="n">
        <v>2014</v>
      </c>
      <c r="E5084" s="13" t="inlineStr">
        <is>
          <t>General</t>
        </is>
      </c>
      <c r="F5084" s="5" t="n"/>
      <c r="G5084" s="5" t="n"/>
      <c r="H5084" s="5" t="n">
        <v>39</v>
      </c>
      <c r="I5084" s="5" t="n">
        <v>34</v>
      </c>
      <c r="J5084" s="5" t="n">
        <v>5</v>
      </c>
      <c r="K5084" s="10">
        <f>IF(F5084&gt;0,H5084/F5084,"")</f>
        <v/>
      </c>
      <c r="L5084" s="16">
        <f>IF(AND(G5084&gt;0,H5084&gt;0),G5084/H5084,"")</f>
        <v/>
      </c>
    </row>
    <row r="5085">
      <c r="A5085" s="4" t="inlineStr">
        <is>
          <t>124</t>
        </is>
      </c>
      <c r="B5085" s="4" t="n">
        <v>1</v>
      </c>
      <c r="C5085" s="4" t="inlineStr">
        <is>
          <t>mule deer</t>
        </is>
      </c>
      <c r="D5085" s="4" t="n">
        <v>2015</v>
      </c>
      <c r="E5085" s="13" t="inlineStr">
        <is>
          <t>General</t>
        </is>
      </c>
      <c r="F5085" s="5" t="n"/>
      <c r="G5085" s="5" t="n"/>
      <c r="H5085" s="5" t="n">
        <v>29</v>
      </c>
      <c r="I5085" s="5" t="n">
        <v>29</v>
      </c>
      <c r="J5085" s="5" t="n">
        <v>0</v>
      </c>
      <c r="K5085" s="10">
        <f>IF(F5085&gt;0,H5085/F5085,"")</f>
        <v/>
      </c>
      <c r="L5085" s="16">
        <f>IF(AND(G5085&gt;0,H5085&gt;0),G5085/H5085,"")</f>
        <v/>
      </c>
    </row>
    <row r="5086">
      <c r="A5086" s="4" t="inlineStr">
        <is>
          <t>124</t>
        </is>
      </c>
      <c r="B5086" s="4" t="n">
        <v>1</v>
      </c>
      <c r="C5086" s="4" t="inlineStr">
        <is>
          <t>mule deer</t>
        </is>
      </c>
      <c r="D5086" s="4" t="n">
        <v>2016</v>
      </c>
      <c r="E5086" s="13" t="inlineStr">
        <is>
          <t>General</t>
        </is>
      </c>
      <c r="F5086" s="5" t="n"/>
      <c r="G5086" s="5" t="n"/>
      <c r="H5086" s="5" t="n">
        <v>60</v>
      </c>
      <c r="I5086" s="5" t="n">
        <v>60</v>
      </c>
      <c r="J5086" s="5" t="n">
        <v>0</v>
      </c>
      <c r="K5086" s="10">
        <f>IF(F5086&gt;0,H5086/F5086,"")</f>
        <v/>
      </c>
      <c r="L5086" s="16">
        <f>IF(AND(G5086&gt;0,H5086&gt;0),G5086/H5086,"")</f>
        <v/>
      </c>
    </row>
    <row r="5087">
      <c r="A5087" s="4" t="inlineStr">
        <is>
          <t>124</t>
        </is>
      </c>
      <c r="B5087" s="4" t="n">
        <v>1</v>
      </c>
      <c r="C5087" s="4" t="inlineStr">
        <is>
          <t>mule deer</t>
        </is>
      </c>
      <c r="D5087" s="4" t="n">
        <v>2017</v>
      </c>
      <c r="E5087" s="13" t="inlineStr">
        <is>
          <t>General</t>
        </is>
      </c>
      <c r="F5087" s="5" t="n">
        <v>565</v>
      </c>
      <c r="G5087" s="5" t="n">
        <v>3303</v>
      </c>
      <c r="H5087" s="5" t="n">
        <v>53</v>
      </c>
      <c r="I5087" s="5" t="n">
        <v>53</v>
      </c>
      <c r="J5087" s="5" t="n">
        <v>0</v>
      </c>
      <c r="K5087" s="10">
        <f>IF(F5087&gt;0,H5087/F5087,"")</f>
        <v/>
      </c>
      <c r="L5087" s="16">
        <f>IF(AND(G5087&gt;0,H5087&gt;0),G5087/H5087,"")</f>
        <v/>
      </c>
    </row>
    <row r="5088">
      <c r="A5088" s="4" t="inlineStr">
        <is>
          <t>124</t>
        </is>
      </c>
      <c r="B5088" s="4" t="n">
        <v>1</v>
      </c>
      <c r="C5088" s="4" t="inlineStr">
        <is>
          <t>mule deer</t>
        </is>
      </c>
      <c r="D5088" s="4" t="n">
        <v>2018</v>
      </c>
      <c r="E5088" s="13" t="inlineStr">
        <is>
          <t>General</t>
        </is>
      </c>
      <c r="F5088" s="5" t="n"/>
      <c r="G5088" s="5" t="n"/>
      <c r="H5088" s="5" t="n">
        <v>41</v>
      </c>
      <c r="I5088" s="5" t="n">
        <v>41</v>
      </c>
      <c r="J5088" s="5" t="n">
        <v>0</v>
      </c>
      <c r="K5088" s="10">
        <f>IF(F5088&gt;0,H5088/F5088,"")</f>
        <v/>
      </c>
      <c r="L5088" s="16">
        <f>IF(AND(G5088&gt;0,H5088&gt;0),G5088/H5088,"")</f>
        <v/>
      </c>
    </row>
    <row r="5089">
      <c r="A5089" s="4" t="inlineStr">
        <is>
          <t>124</t>
        </is>
      </c>
      <c r="B5089" s="4" t="n">
        <v>1</v>
      </c>
      <c r="C5089" s="4" t="inlineStr">
        <is>
          <t>mule deer</t>
        </is>
      </c>
      <c r="D5089" s="4" t="n">
        <v>2019</v>
      </c>
      <c r="E5089" s="13" t="inlineStr">
        <is>
          <t>General</t>
        </is>
      </c>
      <c r="F5089" s="5" t="n">
        <v>443</v>
      </c>
      <c r="G5089" s="5" t="n">
        <v>2615</v>
      </c>
      <c r="H5089" s="5" t="n">
        <v>50</v>
      </c>
      <c r="I5089" s="5" t="n">
        <v>50</v>
      </c>
      <c r="J5089" s="5" t="n">
        <v>0</v>
      </c>
      <c r="K5089" s="10">
        <f>IF(F5089&gt;0,H5089/F5089,"")</f>
        <v/>
      </c>
      <c r="L5089" s="16">
        <f>IF(AND(G5089&gt;0,H5089&gt;0),G5089/H5089,"")</f>
        <v/>
      </c>
    </row>
    <row r="5090">
      <c r="A5090" s="4" t="inlineStr">
        <is>
          <t>124</t>
        </is>
      </c>
      <c r="B5090" s="4" t="n">
        <v>1</v>
      </c>
      <c r="C5090" s="4" t="inlineStr">
        <is>
          <t>mule deer</t>
        </is>
      </c>
      <c r="D5090" s="4" t="n">
        <v>2020</v>
      </c>
      <c r="E5090" s="13" t="inlineStr">
        <is>
          <t>General</t>
        </is>
      </c>
      <c r="F5090" s="5" t="n"/>
      <c r="G5090" s="5" t="n"/>
      <c r="H5090" s="5" t="n">
        <v>44</v>
      </c>
      <c r="I5090" s="5" t="n">
        <v>44</v>
      </c>
      <c r="J5090" s="5" t="n">
        <v>0</v>
      </c>
      <c r="K5090" s="10">
        <f>IF(F5090&gt;0,H5090/F5090,"")</f>
        <v/>
      </c>
      <c r="L5090" s="16">
        <f>IF(AND(G5090&gt;0,H5090&gt;0),G5090/H5090,"")</f>
        <v/>
      </c>
    </row>
    <row r="5091">
      <c r="A5091" s="4" t="inlineStr">
        <is>
          <t>124</t>
        </is>
      </c>
      <c r="B5091" s="4" t="n">
        <v>1</v>
      </c>
      <c r="C5091" s="4" t="inlineStr">
        <is>
          <t>mule deer</t>
        </is>
      </c>
      <c r="D5091" s="4" t="n">
        <v>2021</v>
      </c>
      <c r="E5091" s="13" t="inlineStr">
        <is>
          <t>General</t>
        </is>
      </c>
      <c r="F5091" s="5" t="n">
        <v>425</v>
      </c>
      <c r="G5091" s="5" t="n">
        <v>3216</v>
      </c>
      <c r="H5091" s="5" t="n">
        <v>27</v>
      </c>
      <c r="I5091" s="5" t="n">
        <v>27</v>
      </c>
      <c r="J5091" s="5" t="n">
        <v>0</v>
      </c>
      <c r="K5091" s="10">
        <f>IF(F5091&gt;0,H5091/F5091,"")</f>
        <v/>
      </c>
      <c r="L5091" s="16">
        <f>IF(AND(G5091&gt;0,H5091&gt;0),G5091/H5091,"")</f>
        <v/>
      </c>
    </row>
    <row r="5092">
      <c r="A5092" s="4" t="inlineStr">
        <is>
          <t>124</t>
        </is>
      </c>
      <c r="B5092" s="4" t="n">
        <v>1</v>
      </c>
      <c r="C5092" s="4" t="inlineStr">
        <is>
          <t>mule deer</t>
        </is>
      </c>
      <c r="D5092" s="4" t="n">
        <v>2022</v>
      </c>
      <c r="E5092" s="13" t="inlineStr">
        <is>
          <t>General</t>
        </is>
      </c>
      <c r="F5092" s="5" t="n"/>
      <c r="G5092" s="5" t="n"/>
      <c r="H5092" s="5" t="n">
        <v>71</v>
      </c>
      <c r="I5092" s="5" t="n">
        <v>71</v>
      </c>
      <c r="J5092" s="5" t="n">
        <v>0</v>
      </c>
      <c r="K5092" s="10">
        <f>IF(F5092&gt;0,H5092/F5092,"")</f>
        <v/>
      </c>
      <c r="L5092" s="16">
        <f>IF(AND(G5092&gt;0,H5092&gt;0),G5092/H5092,"")</f>
        <v/>
      </c>
    </row>
    <row r="5093">
      <c r="A5093" s="4" t="inlineStr">
        <is>
          <t>124</t>
        </is>
      </c>
      <c r="B5093" s="4" t="n">
        <v>1</v>
      </c>
      <c r="C5093" s="4" t="inlineStr">
        <is>
          <t>mule deer</t>
        </is>
      </c>
      <c r="D5093" s="4" t="n">
        <v>2023</v>
      </c>
      <c r="E5093" s="13" t="inlineStr">
        <is>
          <t>General</t>
        </is>
      </c>
      <c r="F5093" s="5" t="n">
        <v>446</v>
      </c>
      <c r="G5093" s="5" t="n">
        <v>3681</v>
      </c>
      <c r="H5093" s="5" t="n">
        <v>65</v>
      </c>
      <c r="I5093" s="5" t="n">
        <v>63</v>
      </c>
      <c r="J5093" s="5" t="n">
        <v>2</v>
      </c>
      <c r="K5093" s="10">
        <f>IF(F5093&gt;0,H5093/F5093,"")</f>
        <v/>
      </c>
      <c r="L5093" s="16">
        <f>IF(AND(G5093&gt;0,H5093&gt;0),G5093/H5093,"")</f>
        <v/>
      </c>
    </row>
    <row r="5094">
      <c r="A5094" s="4" t="inlineStr">
        <is>
          <t>124</t>
        </is>
      </c>
      <c r="B5094" s="4" t="n">
        <v>1</v>
      </c>
      <c r="C5094" s="4" t="inlineStr">
        <is>
          <t>mule deer</t>
        </is>
      </c>
      <c r="D5094" s="4" t="n">
        <v>2024</v>
      </c>
      <c r="E5094" s="13" t="inlineStr">
        <is>
          <t>General</t>
        </is>
      </c>
      <c r="F5094" s="5" t="n"/>
      <c r="G5094" s="5" t="n"/>
      <c r="H5094" s="5" t="n">
        <v>53</v>
      </c>
      <c r="I5094" s="5" t="n">
        <v>53</v>
      </c>
      <c r="J5094" s="5" t="n">
        <v>0</v>
      </c>
      <c r="K5094" s="10">
        <f>IF(F5094&gt;0,H5094/F5094,"")</f>
        <v/>
      </c>
      <c r="L5094" s="16">
        <f>IF(AND(G5094&gt;0,H5094&gt;0),G5094/H5094,"")</f>
        <v/>
      </c>
    </row>
    <row r="5095">
      <c r="A5095" s="4" t="inlineStr">
        <is>
          <t>124</t>
        </is>
      </c>
      <c r="B5095" s="4" t="n">
        <v>1</v>
      </c>
      <c r="C5095" s="4" t="inlineStr">
        <is>
          <t>mule deer</t>
        </is>
      </c>
      <c r="D5095" s="4" t="n">
        <v>2025</v>
      </c>
      <c r="E5095" s="13" t="inlineStr">
        <is>
          <t>General</t>
        </is>
      </c>
      <c r="F5095" s="5" t="n">
        <v>441</v>
      </c>
      <c r="G5095" s="5" t="n">
        <v>3426</v>
      </c>
      <c r="H5095" s="5" t="n">
        <v>75</v>
      </c>
      <c r="I5095" s="5" t="n">
        <v>75</v>
      </c>
      <c r="J5095" s="5" t="n">
        <v>0</v>
      </c>
      <c r="K5095" s="10">
        <f>IF(F5095&gt;0,H5095/F5095,"")</f>
        <v/>
      </c>
      <c r="L5095" s="16">
        <f>IF(AND(G5095&gt;0,H5095&gt;0),G5095/H5095,"")</f>
        <v/>
      </c>
    </row>
    <row r="5096">
      <c r="A5096" s="4" t="inlineStr">
        <is>
          <t>130</t>
        </is>
      </c>
      <c r="B5096" s="4" t="n">
        <v>1</v>
      </c>
      <c r="C5096" s="4" t="inlineStr">
        <is>
          <t>mule deer</t>
        </is>
      </c>
      <c r="D5096" s="4" t="n">
        <v>2004</v>
      </c>
      <c r="E5096" s="13" t="inlineStr">
        <is>
          <t>General</t>
        </is>
      </c>
      <c r="F5096" s="5" t="n">
        <v>2698</v>
      </c>
      <c r="G5096" s="5" t="n">
        <v>13386</v>
      </c>
      <c r="H5096" s="5" t="n">
        <v>60</v>
      </c>
      <c r="I5096" s="5" t="n">
        <v>54</v>
      </c>
      <c r="J5096" s="5" t="n">
        <v>5</v>
      </c>
      <c r="K5096" s="10">
        <f>IF(F5096&gt;0,H5096/F5096,"")</f>
        <v/>
      </c>
      <c r="L5096" s="16">
        <f>IF(AND(G5096&gt;0,H5096&gt;0),G5096/H5096,"")</f>
        <v/>
      </c>
    </row>
    <row r="5097">
      <c r="A5097" s="4" t="inlineStr">
        <is>
          <t>130</t>
        </is>
      </c>
      <c r="B5097" s="4" t="n">
        <v>1</v>
      </c>
      <c r="C5097" s="4" t="inlineStr">
        <is>
          <t>mule deer</t>
        </is>
      </c>
      <c r="D5097" s="4" t="n">
        <v>2005</v>
      </c>
      <c r="E5097" s="13" t="inlineStr">
        <is>
          <t>General</t>
        </is>
      </c>
      <c r="F5097" s="5" t="n">
        <v>2771</v>
      </c>
      <c r="G5097" s="5" t="n">
        <v>14845</v>
      </c>
      <c r="H5097" s="5" t="n">
        <v>52</v>
      </c>
      <c r="I5097" s="5" t="n">
        <v>50</v>
      </c>
      <c r="J5097" s="5" t="n">
        <v>1</v>
      </c>
      <c r="K5097" s="10">
        <f>IF(F5097&gt;0,H5097/F5097,"")</f>
        <v/>
      </c>
      <c r="L5097" s="16">
        <f>IF(AND(G5097&gt;0,H5097&gt;0),G5097/H5097,"")</f>
        <v/>
      </c>
    </row>
    <row r="5098">
      <c r="A5098" s="4" t="inlineStr">
        <is>
          <t>130</t>
        </is>
      </c>
      <c r="B5098" s="4" t="n">
        <v>1</v>
      </c>
      <c r="C5098" s="4" t="inlineStr">
        <is>
          <t>mule deer</t>
        </is>
      </c>
      <c r="D5098" s="4" t="n">
        <v>2006</v>
      </c>
      <c r="E5098" s="13" t="inlineStr">
        <is>
          <t>General</t>
        </is>
      </c>
      <c r="F5098" s="5" t="n">
        <v>2893</v>
      </c>
      <c r="G5098" s="5" t="n">
        <v>16791</v>
      </c>
      <c r="H5098" s="5" t="n">
        <v>34</v>
      </c>
      <c r="I5098" s="5" t="n">
        <v>27</v>
      </c>
      <c r="J5098" s="5" t="n">
        <v>7</v>
      </c>
      <c r="K5098" s="10">
        <f>IF(F5098&gt;0,H5098/F5098,"")</f>
        <v/>
      </c>
      <c r="L5098" s="16">
        <f>IF(AND(G5098&gt;0,H5098&gt;0),G5098/H5098,"")</f>
        <v/>
      </c>
    </row>
    <row r="5099">
      <c r="A5099" s="4" t="inlineStr">
        <is>
          <t>130</t>
        </is>
      </c>
      <c r="B5099" s="4" t="n">
        <v>1</v>
      </c>
      <c r="C5099" s="4" t="inlineStr">
        <is>
          <t>mule deer</t>
        </is>
      </c>
      <c r="D5099" s="4" t="n">
        <v>2007</v>
      </c>
      <c r="E5099" s="13" t="inlineStr">
        <is>
          <t>General</t>
        </is>
      </c>
      <c r="F5099" s="5" t="n">
        <v>2512</v>
      </c>
      <c r="G5099" s="5" t="n">
        <v>15419</v>
      </c>
      <c r="H5099" s="5" t="n">
        <v>45</v>
      </c>
      <c r="I5099" s="5" t="n">
        <v>41</v>
      </c>
      <c r="J5099" s="5" t="n">
        <v>0</v>
      </c>
      <c r="K5099" s="10">
        <f>IF(F5099&gt;0,H5099/F5099,"")</f>
        <v/>
      </c>
      <c r="L5099" s="16">
        <f>IF(AND(G5099&gt;0,H5099&gt;0),G5099/H5099,"")</f>
        <v/>
      </c>
    </row>
    <row r="5100">
      <c r="A5100" s="4" t="inlineStr">
        <is>
          <t>130</t>
        </is>
      </c>
      <c r="B5100" s="4" t="n">
        <v>1</v>
      </c>
      <c r="C5100" s="4" t="inlineStr">
        <is>
          <t>mule deer</t>
        </is>
      </c>
      <c r="D5100" s="4" t="n">
        <v>2008</v>
      </c>
      <c r="E5100" s="13" t="inlineStr">
        <is>
          <t>General</t>
        </is>
      </c>
      <c r="F5100" s="5" t="n">
        <v>2701</v>
      </c>
      <c r="G5100" s="5" t="n">
        <v>17245</v>
      </c>
      <c r="H5100" s="5" t="n">
        <v>44</v>
      </c>
      <c r="I5100" s="5" t="n">
        <v>35</v>
      </c>
      <c r="J5100" s="5" t="n">
        <v>9</v>
      </c>
      <c r="K5100" s="10">
        <f>IF(F5100&gt;0,H5100/F5100,"")</f>
        <v/>
      </c>
      <c r="L5100" s="16">
        <f>IF(AND(G5100&gt;0,H5100&gt;0),G5100/H5100,"")</f>
        <v/>
      </c>
    </row>
    <row r="5101">
      <c r="A5101" s="4" t="inlineStr">
        <is>
          <t>130</t>
        </is>
      </c>
      <c r="B5101" s="4" t="n">
        <v>1</v>
      </c>
      <c r="C5101" s="4" t="inlineStr">
        <is>
          <t>mule deer</t>
        </is>
      </c>
      <c r="D5101" s="4" t="n">
        <v>2009</v>
      </c>
      <c r="E5101" s="13" t="inlineStr">
        <is>
          <t>General</t>
        </is>
      </c>
      <c r="F5101" s="5" t="n">
        <v>2617</v>
      </c>
      <c r="G5101" s="5" t="n">
        <v>15792</v>
      </c>
      <c r="H5101" s="5" t="n">
        <v>35</v>
      </c>
      <c r="I5101" s="5" t="n">
        <v>35</v>
      </c>
      <c r="J5101" s="5" t="n">
        <v>0</v>
      </c>
      <c r="K5101" s="10">
        <f>IF(F5101&gt;0,H5101/F5101,"")</f>
        <v/>
      </c>
      <c r="L5101" s="16">
        <f>IF(AND(G5101&gt;0,H5101&gt;0),G5101/H5101,"")</f>
        <v/>
      </c>
    </row>
    <row r="5102">
      <c r="A5102" s="4" t="inlineStr">
        <is>
          <t>130</t>
        </is>
      </c>
      <c r="B5102" s="4" t="n">
        <v>1</v>
      </c>
      <c r="C5102" s="4" t="inlineStr">
        <is>
          <t>mule deer</t>
        </is>
      </c>
      <c r="D5102" s="4" t="n">
        <v>2010</v>
      </c>
      <c r="E5102" s="13" t="inlineStr">
        <is>
          <t>General</t>
        </is>
      </c>
      <c r="F5102" s="5" t="n">
        <v>2467</v>
      </c>
      <c r="G5102" s="5" t="n">
        <v>15099</v>
      </c>
      <c r="H5102" s="5" t="n">
        <v>45</v>
      </c>
      <c r="I5102" s="5" t="n">
        <v>45</v>
      </c>
      <c r="J5102" s="5" t="n">
        <v>0</v>
      </c>
      <c r="K5102" s="10">
        <f>IF(F5102&gt;0,H5102/F5102,"")</f>
        <v/>
      </c>
      <c r="L5102" s="16">
        <f>IF(AND(G5102&gt;0,H5102&gt;0),G5102/H5102,"")</f>
        <v/>
      </c>
    </row>
    <row r="5103">
      <c r="A5103" s="4" t="inlineStr">
        <is>
          <t>130</t>
        </is>
      </c>
      <c r="B5103" s="4" t="n">
        <v>1</v>
      </c>
      <c r="C5103" s="4" t="inlineStr">
        <is>
          <t>mule deer</t>
        </is>
      </c>
      <c r="D5103" s="4" t="n">
        <v>2011</v>
      </c>
      <c r="E5103" s="13" t="inlineStr">
        <is>
          <t>General</t>
        </is>
      </c>
      <c r="F5103" s="5" t="n">
        <v>2545</v>
      </c>
      <c r="G5103" s="5" t="n">
        <v>14701</v>
      </c>
      <c r="H5103" s="5" t="n">
        <v>17</v>
      </c>
      <c r="I5103" s="5" t="n">
        <v>15</v>
      </c>
      <c r="J5103" s="5" t="n">
        <v>1</v>
      </c>
      <c r="K5103" s="10">
        <f>IF(F5103&gt;0,H5103/F5103,"")</f>
        <v/>
      </c>
      <c r="L5103" s="16">
        <f>IF(AND(G5103&gt;0,H5103&gt;0),G5103/H5103,"")</f>
        <v/>
      </c>
    </row>
    <row r="5104">
      <c r="A5104" s="4" t="inlineStr">
        <is>
          <t>130</t>
        </is>
      </c>
      <c r="B5104" s="4" t="n">
        <v>1</v>
      </c>
      <c r="C5104" s="4" t="inlineStr">
        <is>
          <t>mule deer</t>
        </is>
      </c>
      <c r="D5104" s="4" t="n">
        <v>2012</v>
      </c>
      <c r="E5104" s="13" t="inlineStr">
        <is>
          <t>General</t>
        </is>
      </c>
      <c r="F5104" s="5" t="n"/>
      <c r="G5104" s="5" t="n"/>
      <c r="H5104" s="5" t="n">
        <v>44</v>
      </c>
      <c r="I5104" s="5" t="n">
        <v>44</v>
      </c>
      <c r="J5104" s="5" t="n">
        <v>0</v>
      </c>
      <c r="K5104" s="10">
        <f>IF(F5104&gt;0,H5104/F5104,"")</f>
        <v/>
      </c>
      <c r="L5104" s="16">
        <f>IF(AND(G5104&gt;0,H5104&gt;0),G5104/H5104,"")</f>
        <v/>
      </c>
    </row>
    <row r="5105">
      <c r="A5105" s="4" t="inlineStr">
        <is>
          <t>130</t>
        </is>
      </c>
      <c r="B5105" s="4" t="n">
        <v>1</v>
      </c>
      <c r="C5105" s="4" t="inlineStr">
        <is>
          <t>mule deer</t>
        </is>
      </c>
      <c r="D5105" s="4" t="n">
        <v>2013</v>
      </c>
      <c r="E5105" s="13" t="inlineStr">
        <is>
          <t>General</t>
        </is>
      </c>
      <c r="F5105" s="5" t="n">
        <v>2749</v>
      </c>
      <c r="G5105" s="5" t="n">
        <v>17021</v>
      </c>
      <c r="H5105" s="5" t="n">
        <v>20</v>
      </c>
      <c r="I5105" s="5" t="n">
        <v>17</v>
      </c>
      <c r="J5105" s="5" t="n">
        <v>3</v>
      </c>
      <c r="K5105" s="10">
        <f>IF(F5105&gt;0,H5105/F5105,"")</f>
        <v/>
      </c>
      <c r="L5105" s="16">
        <f>IF(AND(G5105&gt;0,H5105&gt;0),G5105/H5105,"")</f>
        <v/>
      </c>
    </row>
    <row r="5106">
      <c r="A5106" s="4" t="inlineStr">
        <is>
          <t>130</t>
        </is>
      </c>
      <c r="B5106" s="4" t="n">
        <v>1</v>
      </c>
      <c r="C5106" s="4" t="inlineStr">
        <is>
          <t>mule deer</t>
        </is>
      </c>
      <c r="D5106" s="4" t="n">
        <v>2014</v>
      </c>
      <c r="E5106" s="13" t="inlineStr">
        <is>
          <t>General</t>
        </is>
      </c>
      <c r="F5106" s="5" t="n"/>
      <c r="G5106" s="5" t="n"/>
      <c r="H5106" s="5" t="n">
        <v>27</v>
      </c>
      <c r="I5106" s="5" t="n">
        <v>27</v>
      </c>
      <c r="J5106" s="5" t="n">
        <v>0</v>
      </c>
      <c r="K5106" s="10">
        <f>IF(F5106&gt;0,H5106/F5106,"")</f>
        <v/>
      </c>
      <c r="L5106" s="16">
        <f>IF(AND(G5106&gt;0,H5106&gt;0),G5106/H5106,"")</f>
        <v/>
      </c>
    </row>
    <row r="5107">
      <c r="A5107" s="4" t="inlineStr">
        <is>
          <t>130</t>
        </is>
      </c>
      <c r="B5107" s="4" t="n">
        <v>1</v>
      </c>
      <c r="C5107" s="4" t="inlineStr">
        <is>
          <t>mule deer</t>
        </is>
      </c>
      <c r="D5107" s="4" t="n">
        <v>2015</v>
      </c>
      <c r="E5107" s="13" t="inlineStr">
        <is>
          <t>General</t>
        </is>
      </c>
      <c r="F5107" s="5" t="n"/>
      <c r="G5107" s="5" t="n"/>
      <c r="H5107" s="5" t="n">
        <v>24</v>
      </c>
      <c r="I5107" s="5" t="n">
        <v>24</v>
      </c>
      <c r="J5107" s="5" t="n">
        <v>0</v>
      </c>
      <c r="K5107" s="10">
        <f>IF(F5107&gt;0,H5107/F5107,"")</f>
        <v/>
      </c>
      <c r="L5107" s="16">
        <f>IF(AND(G5107&gt;0,H5107&gt;0),G5107/H5107,"")</f>
        <v/>
      </c>
    </row>
    <row r="5108">
      <c r="A5108" s="4" t="inlineStr">
        <is>
          <t>130</t>
        </is>
      </c>
      <c r="B5108" s="4" t="n">
        <v>1</v>
      </c>
      <c r="C5108" s="4" t="inlineStr">
        <is>
          <t>mule deer</t>
        </is>
      </c>
      <c r="D5108" s="4" t="n">
        <v>2016</v>
      </c>
      <c r="E5108" s="13" t="inlineStr">
        <is>
          <t>General</t>
        </is>
      </c>
      <c r="F5108" s="5" t="n"/>
      <c r="G5108" s="5" t="n"/>
      <c r="H5108" s="5" t="n">
        <v>56</v>
      </c>
      <c r="I5108" s="5" t="n">
        <v>45</v>
      </c>
      <c r="J5108" s="5" t="n">
        <v>11</v>
      </c>
      <c r="K5108" s="10">
        <f>IF(F5108&gt;0,H5108/F5108,"")</f>
        <v/>
      </c>
      <c r="L5108" s="16">
        <f>IF(AND(G5108&gt;0,H5108&gt;0),G5108/H5108,"")</f>
        <v/>
      </c>
    </row>
    <row r="5109">
      <c r="A5109" s="4" t="inlineStr">
        <is>
          <t>130</t>
        </is>
      </c>
      <c r="B5109" s="4" t="n">
        <v>1</v>
      </c>
      <c r="C5109" s="4" t="inlineStr">
        <is>
          <t>mule deer</t>
        </is>
      </c>
      <c r="D5109" s="4" t="n">
        <v>2017</v>
      </c>
      <c r="E5109" s="13" t="inlineStr">
        <is>
          <t>General</t>
        </is>
      </c>
      <c r="F5109" s="5" t="n">
        <v>2327</v>
      </c>
      <c r="G5109" s="5" t="n">
        <v>12703</v>
      </c>
      <c r="H5109" s="5" t="n">
        <v>34</v>
      </c>
      <c r="I5109" s="5" t="n">
        <v>31</v>
      </c>
      <c r="J5109" s="5" t="n">
        <v>3</v>
      </c>
      <c r="K5109" s="10">
        <f>IF(F5109&gt;0,H5109/F5109,"")</f>
        <v/>
      </c>
      <c r="L5109" s="16">
        <f>IF(AND(G5109&gt;0,H5109&gt;0),G5109/H5109,"")</f>
        <v/>
      </c>
    </row>
    <row r="5110">
      <c r="A5110" s="4" t="inlineStr">
        <is>
          <t>130</t>
        </is>
      </c>
      <c r="B5110" s="4" t="n">
        <v>1</v>
      </c>
      <c r="C5110" s="4" t="inlineStr">
        <is>
          <t>mule deer</t>
        </is>
      </c>
      <c r="D5110" s="4" t="n">
        <v>2018</v>
      </c>
      <c r="E5110" s="13" t="inlineStr">
        <is>
          <t>General</t>
        </is>
      </c>
      <c r="F5110" s="5" t="n"/>
      <c r="G5110" s="5" t="n"/>
      <c r="H5110" s="5" t="n">
        <v>33</v>
      </c>
      <c r="I5110" s="5" t="n">
        <v>33</v>
      </c>
      <c r="J5110" s="5" t="n">
        <v>0</v>
      </c>
      <c r="K5110" s="10">
        <f>IF(F5110&gt;0,H5110/F5110,"")</f>
        <v/>
      </c>
      <c r="L5110" s="16">
        <f>IF(AND(G5110&gt;0,H5110&gt;0),G5110/H5110,"")</f>
        <v/>
      </c>
    </row>
    <row r="5111">
      <c r="A5111" s="4" t="inlineStr">
        <is>
          <t>130</t>
        </is>
      </c>
      <c r="B5111" s="4" t="n">
        <v>1</v>
      </c>
      <c r="C5111" s="4" t="inlineStr">
        <is>
          <t>mule deer</t>
        </is>
      </c>
      <c r="D5111" s="4" t="n">
        <v>2019</v>
      </c>
      <c r="E5111" s="13" t="inlineStr">
        <is>
          <t>General</t>
        </is>
      </c>
      <c r="F5111" s="5" t="n">
        <v>1822</v>
      </c>
      <c r="G5111" s="5" t="n">
        <v>11443</v>
      </c>
      <c r="H5111" s="5" t="n">
        <v>3</v>
      </c>
      <c r="I5111" s="5" t="n">
        <v>3</v>
      </c>
      <c r="J5111" s="5" t="n">
        <v>0</v>
      </c>
      <c r="K5111" s="10">
        <f>IF(F5111&gt;0,H5111/F5111,"")</f>
        <v/>
      </c>
      <c r="L5111" s="16">
        <f>IF(AND(G5111&gt;0,H5111&gt;0),G5111/H5111,"")</f>
        <v/>
      </c>
    </row>
    <row r="5112">
      <c r="A5112" s="4" t="inlineStr">
        <is>
          <t>130</t>
        </is>
      </c>
      <c r="B5112" s="4" t="n">
        <v>1</v>
      </c>
      <c r="C5112" s="4" t="inlineStr">
        <is>
          <t>mule deer</t>
        </is>
      </c>
      <c r="D5112" s="4" t="n">
        <v>2020</v>
      </c>
      <c r="E5112" s="13" t="inlineStr">
        <is>
          <t>General</t>
        </is>
      </c>
      <c r="F5112" s="5" t="n"/>
      <c r="G5112" s="5" t="n"/>
      <c r="H5112" s="5" t="n">
        <v>33</v>
      </c>
      <c r="I5112" s="5" t="n">
        <v>30</v>
      </c>
      <c r="J5112" s="5" t="n">
        <v>3</v>
      </c>
      <c r="K5112" s="10">
        <f>IF(F5112&gt;0,H5112/F5112,"")</f>
        <v/>
      </c>
      <c r="L5112" s="16">
        <f>IF(AND(G5112&gt;0,H5112&gt;0),G5112/H5112,"")</f>
        <v/>
      </c>
    </row>
    <row r="5113">
      <c r="A5113" s="4" t="inlineStr">
        <is>
          <t>130</t>
        </is>
      </c>
      <c r="B5113" s="4" t="n">
        <v>1</v>
      </c>
      <c r="C5113" s="4" t="inlineStr">
        <is>
          <t>mule deer</t>
        </is>
      </c>
      <c r="D5113" s="4" t="n">
        <v>2021</v>
      </c>
      <c r="E5113" s="13" t="inlineStr">
        <is>
          <t>General</t>
        </is>
      </c>
      <c r="F5113" s="5" t="n">
        <v>1820</v>
      </c>
      <c r="G5113" s="5" t="n">
        <v>11720</v>
      </c>
      <c r="H5113" s="5" t="n">
        <v>14</v>
      </c>
      <c r="I5113" s="5" t="n">
        <v>14</v>
      </c>
      <c r="J5113" s="5" t="n">
        <v>0</v>
      </c>
      <c r="K5113" s="10">
        <f>IF(F5113&gt;0,H5113/F5113,"")</f>
        <v/>
      </c>
      <c r="L5113" s="16">
        <f>IF(AND(G5113&gt;0,H5113&gt;0),G5113/H5113,"")</f>
        <v/>
      </c>
    </row>
    <row r="5114">
      <c r="A5114" s="4" t="inlineStr">
        <is>
          <t>130</t>
        </is>
      </c>
      <c r="B5114" s="4" t="n">
        <v>1</v>
      </c>
      <c r="C5114" s="4" t="inlineStr">
        <is>
          <t>mule deer</t>
        </is>
      </c>
      <c r="D5114" s="4" t="n">
        <v>2022</v>
      </c>
      <c r="E5114" s="13" t="inlineStr">
        <is>
          <t>General</t>
        </is>
      </c>
      <c r="F5114" s="5" t="n"/>
      <c r="G5114" s="5" t="n"/>
      <c r="H5114" s="5" t="n">
        <v>33</v>
      </c>
      <c r="I5114" s="5" t="n">
        <v>26</v>
      </c>
      <c r="J5114" s="5" t="n">
        <v>7</v>
      </c>
      <c r="K5114" s="10">
        <f>IF(F5114&gt;0,H5114/F5114,"")</f>
        <v/>
      </c>
      <c r="L5114" s="16">
        <f>IF(AND(G5114&gt;0,H5114&gt;0),G5114/H5114,"")</f>
        <v/>
      </c>
    </row>
    <row r="5115">
      <c r="A5115" s="4" t="inlineStr">
        <is>
          <t>130</t>
        </is>
      </c>
      <c r="B5115" s="4" t="n">
        <v>1</v>
      </c>
      <c r="C5115" s="4" t="inlineStr">
        <is>
          <t>mule deer</t>
        </is>
      </c>
      <c r="D5115" s="4" t="n">
        <v>2023</v>
      </c>
      <c r="E5115" s="13" t="inlineStr">
        <is>
          <t>General</t>
        </is>
      </c>
      <c r="F5115" s="5" t="n">
        <v>1785</v>
      </c>
      <c r="G5115" s="5" t="n">
        <v>11029</v>
      </c>
      <c r="H5115" s="5" t="n">
        <v>20</v>
      </c>
      <c r="I5115" s="5" t="n">
        <v>20</v>
      </c>
      <c r="J5115" s="5" t="n">
        <v>0</v>
      </c>
      <c r="K5115" s="10">
        <f>IF(F5115&gt;0,H5115/F5115,"")</f>
        <v/>
      </c>
      <c r="L5115" s="16">
        <f>IF(AND(G5115&gt;0,H5115&gt;0),G5115/H5115,"")</f>
        <v/>
      </c>
    </row>
    <row r="5116">
      <c r="A5116" s="4" t="inlineStr">
        <is>
          <t>130</t>
        </is>
      </c>
      <c r="B5116" s="4" t="n">
        <v>1</v>
      </c>
      <c r="C5116" s="4" t="inlineStr">
        <is>
          <t>mule deer</t>
        </is>
      </c>
      <c r="D5116" s="4" t="n">
        <v>2024</v>
      </c>
      <c r="E5116" s="13" t="inlineStr">
        <is>
          <t>General</t>
        </is>
      </c>
      <c r="F5116" s="5" t="n"/>
      <c r="G5116" s="5" t="n"/>
      <c r="H5116" s="5" t="n">
        <v>32</v>
      </c>
      <c r="I5116" s="5" t="n">
        <v>32</v>
      </c>
      <c r="J5116" s="5" t="n">
        <v>0</v>
      </c>
      <c r="K5116" s="10">
        <f>IF(F5116&gt;0,H5116/F5116,"")</f>
        <v/>
      </c>
      <c r="L5116" s="16">
        <f>IF(AND(G5116&gt;0,H5116&gt;0),G5116/H5116,"")</f>
        <v/>
      </c>
    </row>
    <row r="5117">
      <c r="A5117" s="4" t="inlineStr">
        <is>
          <t>130</t>
        </is>
      </c>
      <c r="B5117" s="4" t="n">
        <v>1</v>
      </c>
      <c r="C5117" s="4" t="inlineStr">
        <is>
          <t>mule deer</t>
        </is>
      </c>
      <c r="D5117" s="4" t="n">
        <v>2025</v>
      </c>
      <c r="E5117" s="13" t="inlineStr">
        <is>
          <t>General</t>
        </is>
      </c>
      <c r="F5117" s="5" t="n">
        <v>2069</v>
      </c>
      <c r="G5117" s="5" t="n">
        <v>12295</v>
      </c>
      <c r="H5117" s="5" t="n">
        <v>45</v>
      </c>
      <c r="I5117" s="5" t="n">
        <v>45</v>
      </c>
      <c r="J5117" s="5" t="n">
        <v>0</v>
      </c>
      <c r="K5117" s="10">
        <f>IF(F5117&gt;0,H5117/F5117,"")</f>
        <v/>
      </c>
      <c r="L5117" s="16">
        <f>IF(AND(G5117&gt;0,H5117&gt;0),G5117/H5117,"")</f>
        <v/>
      </c>
    </row>
    <row r="5118">
      <c r="A5118" s="4" t="inlineStr">
        <is>
          <t>132</t>
        </is>
      </c>
      <c r="B5118" s="4" t="n">
        <v>1</v>
      </c>
      <c r="C5118" s="4" t="inlineStr">
        <is>
          <t>mule deer</t>
        </is>
      </c>
      <c r="D5118" s="4" t="n">
        <v>2004</v>
      </c>
      <c r="E5118" s="4" t="inlineStr"/>
      <c r="F5118" s="5" t="n">
        <v>1704</v>
      </c>
      <c r="G5118" s="5" t="n">
        <v>9232</v>
      </c>
      <c r="H5118" s="5" t="n">
        <v>44</v>
      </c>
      <c r="I5118" s="5" t="n">
        <v>38</v>
      </c>
      <c r="J5118" s="5" t="n">
        <v>7</v>
      </c>
      <c r="K5118" s="10">
        <f>IF(F5118&gt;0,H5118/F5118,"")</f>
        <v/>
      </c>
      <c r="L5118" s="16">
        <f>IF(AND(G5118&gt;0,H5118&gt;0),G5118/H5118,"")</f>
        <v/>
      </c>
    </row>
    <row r="5119">
      <c r="A5119" s="4" t="inlineStr">
        <is>
          <t>132</t>
        </is>
      </c>
      <c r="B5119" s="4" t="n">
        <v>1</v>
      </c>
      <c r="C5119" s="4" t="inlineStr">
        <is>
          <t>mule deer</t>
        </is>
      </c>
      <c r="D5119" s="4" t="n">
        <v>2005</v>
      </c>
      <c r="E5119" s="4" t="inlineStr"/>
      <c r="F5119" s="5" t="n">
        <v>1285</v>
      </c>
      <c r="G5119" s="5" t="n">
        <v>7855</v>
      </c>
      <c r="H5119" s="5" t="n">
        <v>24</v>
      </c>
      <c r="I5119" s="5" t="n">
        <v>20</v>
      </c>
      <c r="J5119" s="5" t="n">
        <v>4</v>
      </c>
      <c r="K5119" s="10">
        <f>IF(F5119&gt;0,H5119/F5119,"")</f>
        <v/>
      </c>
      <c r="L5119" s="16">
        <f>IF(AND(G5119&gt;0,H5119&gt;0),G5119/H5119,"")</f>
        <v/>
      </c>
    </row>
    <row r="5120">
      <c r="A5120" s="4" t="inlineStr">
        <is>
          <t>132</t>
        </is>
      </c>
      <c r="B5120" s="4" t="n">
        <v>1</v>
      </c>
      <c r="C5120" s="4" t="inlineStr">
        <is>
          <t>mule deer</t>
        </is>
      </c>
      <c r="D5120" s="4" t="n">
        <v>2006</v>
      </c>
      <c r="E5120" s="4" t="inlineStr"/>
      <c r="F5120" s="5" t="n">
        <v>1303</v>
      </c>
      <c r="G5120" s="5" t="n">
        <v>7765</v>
      </c>
      <c r="H5120" s="5" t="n">
        <v>43</v>
      </c>
      <c r="I5120" s="5" t="n">
        <v>37</v>
      </c>
      <c r="J5120" s="5" t="n">
        <v>6</v>
      </c>
      <c r="K5120" s="10">
        <f>IF(F5120&gt;0,H5120/F5120,"")</f>
        <v/>
      </c>
      <c r="L5120" s="16">
        <f>IF(AND(G5120&gt;0,H5120&gt;0),G5120/H5120,"")</f>
        <v/>
      </c>
    </row>
    <row r="5121">
      <c r="A5121" s="4" t="inlineStr">
        <is>
          <t>132</t>
        </is>
      </c>
      <c r="B5121" s="4" t="n">
        <v>1</v>
      </c>
      <c r="C5121" s="4" t="inlineStr">
        <is>
          <t>mule deer</t>
        </is>
      </c>
      <c r="D5121" s="4" t="n">
        <v>2007</v>
      </c>
      <c r="E5121" s="4" t="inlineStr"/>
      <c r="F5121" s="5" t="n">
        <v>1393</v>
      </c>
      <c r="G5121" s="5" t="n">
        <v>8053</v>
      </c>
      <c r="H5121" s="5" t="n">
        <v>29</v>
      </c>
      <c r="I5121" s="5" t="n">
        <v>29</v>
      </c>
      <c r="J5121" s="5" t="n">
        <v>0</v>
      </c>
      <c r="K5121" s="10">
        <f>IF(F5121&gt;0,H5121/F5121,"")</f>
        <v/>
      </c>
      <c r="L5121" s="16">
        <f>IF(AND(G5121&gt;0,H5121&gt;0),G5121/H5121,"")</f>
        <v/>
      </c>
    </row>
    <row r="5122">
      <c r="A5122" s="4" t="inlineStr">
        <is>
          <t>132</t>
        </is>
      </c>
      <c r="B5122" s="4" t="n">
        <v>1</v>
      </c>
      <c r="C5122" s="4" t="inlineStr">
        <is>
          <t>mule deer</t>
        </is>
      </c>
      <c r="D5122" s="4" t="n">
        <v>2008</v>
      </c>
      <c r="E5122" s="4" t="inlineStr"/>
      <c r="F5122" s="5" t="n">
        <v>1413</v>
      </c>
      <c r="G5122" s="5" t="n">
        <v>8725</v>
      </c>
      <c r="H5122" s="5" t="n">
        <v>38</v>
      </c>
      <c r="I5122" s="5" t="n">
        <v>24</v>
      </c>
      <c r="J5122" s="5" t="n">
        <v>14</v>
      </c>
      <c r="K5122" s="10">
        <f>IF(F5122&gt;0,H5122/F5122,"")</f>
        <v/>
      </c>
      <c r="L5122" s="16">
        <f>IF(AND(G5122&gt;0,H5122&gt;0),G5122/H5122,"")</f>
        <v/>
      </c>
    </row>
    <row r="5123">
      <c r="A5123" s="4" t="inlineStr">
        <is>
          <t>132</t>
        </is>
      </c>
      <c r="B5123" s="4" t="n">
        <v>1</v>
      </c>
      <c r="C5123" s="4" t="inlineStr">
        <is>
          <t>mule deer</t>
        </is>
      </c>
      <c r="D5123" s="4" t="n">
        <v>2009</v>
      </c>
      <c r="E5123" s="4" t="inlineStr"/>
      <c r="F5123" s="5" t="n">
        <v>1338</v>
      </c>
      <c r="G5123" s="5" t="n">
        <v>7876</v>
      </c>
      <c r="H5123" s="5" t="n">
        <v>27</v>
      </c>
      <c r="I5123" s="5" t="n">
        <v>18</v>
      </c>
      <c r="J5123" s="5" t="n">
        <v>9</v>
      </c>
      <c r="K5123" s="10">
        <f>IF(F5123&gt;0,H5123/F5123,"")</f>
        <v/>
      </c>
      <c r="L5123" s="16">
        <f>IF(AND(G5123&gt;0,H5123&gt;0),G5123/H5123,"")</f>
        <v/>
      </c>
    </row>
    <row r="5124">
      <c r="A5124" s="4" t="inlineStr">
        <is>
          <t>132</t>
        </is>
      </c>
      <c r="B5124" s="4" t="n">
        <v>1</v>
      </c>
      <c r="C5124" s="4" t="inlineStr">
        <is>
          <t>mule deer</t>
        </is>
      </c>
      <c r="D5124" s="4" t="n">
        <v>2010</v>
      </c>
      <c r="E5124" s="4" t="inlineStr"/>
      <c r="F5124" s="5" t="n">
        <v>1245</v>
      </c>
      <c r="G5124" s="5" t="n">
        <v>7970</v>
      </c>
      <c r="H5124" s="5" t="n">
        <v>23</v>
      </c>
      <c r="I5124" s="5" t="n">
        <v>20</v>
      </c>
      <c r="J5124" s="5" t="n">
        <v>3</v>
      </c>
      <c r="K5124" s="10">
        <f>IF(F5124&gt;0,H5124/F5124,"")</f>
        <v/>
      </c>
      <c r="L5124" s="16">
        <f>IF(AND(G5124&gt;0,H5124&gt;0),G5124/H5124,"")</f>
        <v/>
      </c>
    </row>
    <row r="5125">
      <c r="A5125" s="4" t="inlineStr">
        <is>
          <t>132</t>
        </is>
      </c>
      <c r="B5125" s="4" t="n">
        <v>1</v>
      </c>
      <c r="C5125" s="4" t="inlineStr">
        <is>
          <t>mule deer</t>
        </is>
      </c>
      <c r="D5125" s="4" t="n">
        <v>2011</v>
      </c>
      <c r="E5125" s="4" t="inlineStr"/>
      <c r="F5125" s="5" t="n">
        <v>1460</v>
      </c>
      <c r="G5125" s="5" t="n">
        <v>9286</v>
      </c>
      <c r="H5125" s="5" t="n">
        <v>15</v>
      </c>
      <c r="I5125" s="5" t="n">
        <v>11</v>
      </c>
      <c r="J5125" s="5" t="n">
        <v>4</v>
      </c>
      <c r="K5125" s="10">
        <f>IF(F5125&gt;0,H5125/F5125,"")</f>
        <v/>
      </c>
      <c r="L5125" s="16">
        <f>IF(AND(G5125&gt;0,H5125&gt;0),G5125/H5125,"")</f>
        <v/>
      </c>
    </row>
    <row r="5126">
      <c r="A5126" s="4" t="inlineStr">
        <is>
          <t>132</t>
        </is>
      </c>
      <c r="B5126" s="4" t="n">
        <v>1</v>
      </c>
      <c r="C5126" s="4" t="inlineStr">
        <is>
          <t>mule deer</t>
        </is>
      </c>
      <c r="D5126" s="4" t="n">
        <v>2012</v>
      </c>
      <c r="E5126" s="4" t="inlineStr"/>
      <c r="F5126" s="5" t="n"/>
      <c r="G5126" s="5" t="n"/>
      <c r="H5126" s="5" t="n">
        <v>11</v>
      </c>
      <c r="I5126" s="5" t="n">
        <v>11</v>
      </c>
      <c r="J5126" s="5" t="n">
        <v>0</v>
      </c>
      <c r="K5126" s="10">
        <f>IF(F5126&gt;0,H5126/F5126,"")</f>
        <v/>
      </c>
      <c r="L5126" s="16">
        <f>IF(AND(G5126&gt;0,H5126&gt;0),G5126/H5126,"")</f>
        <v/>
      </c>
    </row>
    <row r="5127">
      <c r="A5127" s="4" t="inlineStr">
        <is>
          <t>132</t>
        </is>
      </c>
      <c r="B5127" s="4" t="n">
        <v>1</v>
      </c>
      <c r="C5127" s="4" t="inlineStr">
        <is>
          <t>mule deer</t>
        </is>
      </c>
      <c r="D5127" s="4" t="n">
        <v>2013</v>
      </c>
      <c r="E5127" s="4" t="inlineStr"/>
      <c r="F5127" s="5" t="n">
        <v>1465</v>
      </c>
      <c r="G5127" s="5" t="n">
        <v>8377</v>
      </c>
      <c r="H5127" s="5" t="n">
        <v>37</v>
      </c>
      <c r="I5127" s="5" t="n">
        <v>37</v>
      </c>
      <c r="J5127" s="5" t="n">
        <v>0</v>
      </c>
      <c r="K5127" s="10">
        <f>IF(F5127&gt;0,H5127/F5127,"")</f>
        <v/>
      </c>
      <c r="L5127" s="16">
        <f>IF(AND(G5127&gt;0,H5127&gt;0),G5127/H5127,"")</f>
        <v/>
      </c>
    </row>
    <row r="5128">
      <c r="A5128" s="4" t="inlineStr">
        <is>
          <t>132</t>
        </is>
      </c>
      <c r="B5128" s="4" t="n">
        <v>1</v>
      </c>
      <c r="C5128" s="4" t="inlineStr">
        <is>
          <t>mule deer</t>
        </is>
      </c>
      <c r="D5128" s="4" t="n">
        <v>2014</v>
      </c>
      <c r="E5128" s="4" t="inlineStr"/>
      <c r="F5128" s="5" t="n"/>
      <c r="G5128" s="5" t="n"/>
      <c r="H5128" s="5" t="n">
        <v>47</v>
      </c>
      <c r="I5128" s="5" t="n">
        <v>47</v>
      </c>
      <c r="J5128" s="5" t="n">
        <v>0</v>
      </c>
      <c r="K5128" s="10">
        <f>IF(F5128&gt;0,H5128/F5128,"")</f>
        <v/>
      </c>
      <c r="L5128" s="16">
        <f>IF(AND(G5128&gt;0,H5128&gt;0),G5128/H5128,"")</f>
        <v/>
      </c>
    </row>
    <row r="5129">
      <c r="A5129" s="4" t="inlineStr">
        <is>
          <t>132</t>
        </is>
      </c>
      <c r="B5129" s="4" t="n">
        <v>1</v>
      </c>
      <c r="C5129" s="4" t="inlineStr">
        <is>
          <t>mule deer</t>
        </is>
      </c>
      <c r="D5129" s="4" t="n">
        <v>2015</v>
      </c>
      <c r="E5129" s="4" t="inlineStr"/>
      <c r="F5129" s="5" t="n"/>
      <c r="G5129" s="5" t="n"/>
      <c r="H5129" s="5" t="n">
        <v>14</v>
      </c>
      <c r="I5129" s="5" t="n">
        <v>14</v>
      </c>
      <c r="J5129" s="5" t="n">
        <v>0</v>
      </c>
      <c r="K5129" s="10">
        <f>IF(F5129&gt;0,H5129/F5129,"")</f>
        <v/>
      </c>
      <c r="L5129" s="16">
        <f>IF(AND(G5129&gt;0,H5129&gt;0),G5129/H5129,"")</f>
        <v/>
      </c>
    </row>
    <row r="5130">
      <c r="A5130" s="4" t="inlineStr">
        <is>
          <t>132</t>
        </is>
      </c>
      <c r="B5130" s="4" t="n">
        <v>1</v>
      </c>
      <c r="C5130" s="4" t="inlineStr">
        <is>
          <t>mule deer</t>
        </is>
      </c>
      <c r="D5130" s="4" t="n">
        <v>2016</v>
      </c>
      <c r="E5130" s="4" t="inlineStr"/>
      <c r="F5130" s="5" t="n"/>
      <c r="G5130" s="5" t="n"/>
      <c r="H5130" s="5" t="n">
        <v>36</v>
      </c>
      <c r="I5130" s="5" t="n">
        <v>36</v>
      </c>
      <c r="J5130" s="5" t="n">
        <v>0</v>
      </c>
      <c r="K5130" s="10">
        <f>IF(F5130&gt;0,H5130/F5130,"")</f>
        <v/>
      </c>
      <c r="L5130" s="16">
        <f>IF(AND(G5130&gt;0,H5130&gt;0),G5130/H5130,"")</f>
        <v/>
      </c>
    </row>
    <row r="5131">
      <c r="A5131" s="4" t="inlineStr">
        <is>
          <t>132</t>
        </is>
      </c>
      <c r="B5131" s="4" t="n">
        <v>1</v>
      </c>
      <c r="C5131" s="4" t="inlineStr">
        <is>
          <t>mule deer</t>
        </is>
      </c>
      <c r="D5131" s="4" t="n">
        <v>2017</v>
      </c>
      <c r="E5131" s="4" t="inlineStr"/>
      <c r="F5131" s="5" t="n">
        <v>1051</v>
      </c>
      <c r="G5131" s="5" t="n">
        <v>6717</v>
      </c>
      <c r="H5131" s="5" t="n">
        <v>30</v>
      </c>
      <c r="I5131" s="5" t="n">
        <v>27</v>
      </c>
      <c r="J5131" s="5" t="n">
        <v>3</v>
      </c>
      <c r="K5131" s="10">
        <f>IF(F5131&gt;0,H5131/F5131,"")</f>
        <v/>
      </c>
      <c r="L5131" s="16">
        <f>IF(AND(G5131&gt;0,H5131&gt;0),G5131/H5131,"")</f>
        <v/>
      </c>
    </row>
    <row r="5132">
      <c r="A5132" s="4" t="inlineStr">
        <is>
          <t>132</t>
        </is>
      </c>
      <c r="B5132" s="4" t="n">
        <v>1</v>
      </c>
      <c r="C5132" s="4" t="inlineStr">
        <is>
          <t>mule deer</t>
        </is>
      </c>
      <c r="D5132" s="4" t="n">
        <v>2018</v>
      </c>
      <c r="E5132" s="4" t="inlineStr"/>
      <c r="F5132" s="5" t="n"/>
      <c r="G5132" s="5" t="n"/>
      <c r="H5132" s="5" t="n">
        <v>22</v>
      </c>
      <c r="I5132" s="5" t="n">
        <v>19</v>
      </c>
      <c r="J5132" s="5" t="n">
        <v>3</v>
      </c>
      <c r="K5132" s="10">
        <f>IF(F5132&gt;0,H5132/F5132,"")</f>
        <v/>
      </c>
      <c r="L5132" s="16">
        <f>IF(AND(G5132&gt;0,H5132&gt;0),G5132/H5132,"")</f>
        <v/>
      </c>
    </row>
    <row r="5133">
      <c r="A5133" s="4" t="inlineStr">
        <is>
          <t>132</t>
        </is>
      </c>
      <c r="B5133" s="4" t="n">
        <v>1</v>
      </c>
      <c r="C5133" s="4" t="inlineStr">
        <is>
          <t>mule deer</t>
        </is>
      </c>
      <c r="D5133" s="4" t="n">
        <v>2019</v>
      </c>
      <c r="E5133" s="4" t="inlineStr"/>
      <c r="F5133" s="5" t="n">
        <v>1051</v>
      </c>
      <c r="G5133" s="5" t="n">
        <v>6383</v>
      </c>
      <c r="H5133" s="5" t="n">
        <v>33</v>
      </c>
      <c r="I5133" s="5" t="n">
        <v>33</v>
      </c>
      <c r="J5133" s="5" t="n">
        <v>0</v>
      </c>
      <c r="K5133" s="10">
        <f>IF(F5133&gt;0,H5133/F5133,"")</f>
        <v/>
      </c>
      <c r="L5133" s="16">
        <f>IF(AND(G5133&gt;0,H5133&gt;0),G5133/H5133,"")</f>
        <v/>
      </c>
    </row>
    <row r="5134">
      <c r="A5134" s="4" t="inlineStr">
        <is>
          <t>140</t>
        </is>
      </c>
      <c r="B5134" s="4" t="n">
        <v>1</v>
      </c>
      <c r="C5134" s="4" t="inlineStr">
        <is>
          <t>mule deer</t>
        </is>
      </c>
      <c r="D5134" s="4" t="n">
        <v>2004</v>
      </c>
      <c r="E5134" s="13" t="inlineStr">
        <is>
          <t>General</t>
        </is>
      </c>
      <c r="F5134" s="5" t="n">
        <v>837</v>
      </c>
      <c r="G5134" s="5" t="n">
        <v>4425</v>
      </c>
      <c r="H5134" s="5" t="n">
        <v>90</v>
      </c>
      <c r="I5134" s="5" t="n">
        <v>90</v>
      </c>
      <c r="J5134" s="5" t="n">
        <v>0</v>
      </c>
      <c r="K5134" s="10">
        <f>IF(F5134&gt;0,H5134/F5134,"")</f>
        <v/>
      </c>
      <c r="L5134" s="16">
        <f>IF(AND(G5134&gt;0,H5134&gt;0),G5134/H5134,"")</f>
        <v/>
      </c>
    </row>
    <row r="5135">
      <c r="A5135" s="4" t="inlineStr">
        <is>
          <t>140</t>
        </is>
      </c>
      <c r="B5135" s="4" t="n">
        <v>1</v>
      </c>
      <c r="C5135" s="4" t="inlineStr">
        <is>
          <t>mule deer</t>
        </is>
      </c>
      <c r="D5135" s="4" t="n">
        <v>2005</v>
      </c>
      <c r="E5135" s="13" t="inlineStr">
        <is>
          <t>General</t>
        </is>
      </c>
      <c r="F5135" s="5" t="n">
        <v>628</v>
      </c>
      <c r="G5135" s="5" t="n">
        <v>3520</v>
      </c>
      <c r="H5135" s="5" t="n">
        <v>53</v>
      </c>
      <c r="I5135" s="5" t="n">
        <v>53</v>
      </c>
      <c r="J5135" s="5" t="n">
        <v>0</v>
      </c>
      <c r="K5135" s="10">
        <f>IF(F5135&gt;0,H5135/F5135,"")</f>
        <v/>
      </c>
      <c r="L5135" s="16">
        <f>IF(AND(G5135&gt;0,H5135&gt;0),G5135/H5135,"")</f>
        <v/>
      </c>
    </row>
    <row r="5136">
      <c r="A5136" s="4" t="inlineStr">
        <is>
          <t>140</t>
        </is>
      </c>
      <c r="B5136" s="4" t="n">
        <v>1</v>
      </c>
      <c r="C5136" s="4" t="inlineStr">
        <is>
          <t>mule deer</t>
        </is>
      </c>
      <c r="D5136" s="4" t="n">
        <v>2006</v>
      </c>
      <c r="E5136" s="13" t="inlineStr">
        <is>
          <t>General</t>
        </is>
      </c>
      <c r="F5136" s="5" t="n">
        <v>783</v>
      </c>
      <c r="G5136" s="5" t="n">
        <v>5075</v>
      </c>
      <c r="H5136" s="5" t="n">
        <v>67</v>
      </c>
      <c r="I5136" s="5" t="n">
        <v>67</v>
      </c>
      <c r="J5136" s="5" t="n">
        <v>0</v>
      </c>
      <c r="K5136" s="10">
        <f>IF(F5136&gt;0,H5136/F5136,"")</f>
        <v/>
      </c>
      <c r="L5136" s="16">
        <f>IF(AND(G5136&gt;0,H5136&gt;0),G5136/H5136,"")</f>
        <v/>
      </c>
    </row>
    <row r="5137">
      <c r="A5137" s="4" t="inlineStr">
        <is>
          <t>140</t>
        </is>
      </c>
      <c r="B5137" s="4" t="n">
        <v>1</v>
      </c>
      <c r="C5137" s="4" t="inlineStr">
        <is>
          <t>mule deer</t>
        </is>
      </c>
      <c r="D5137" s="4" t="n">
        <v>2007</v>
      </c>
      <c r="E5137" s="13" t="inlineStr">
        <is>
          <t>General</t>
        </is>
      </c>
      <c r="F5137" s="5" t="n">
        <v>739</v>
      </c>
      <c r="G5137" s="5" t="n">
        <v>5084</v>
      </c>
      <c r="H5137" s="5" t="n">
        <v>60</v>
      </c>
      <c r="I5137" s="5" t="n">
        <v>55</v>
      </c>
      <c r="J5137" s="5" t="n">
        <v>5</v>
      </c>
      <c r="K5137" s="10">
        <f>IF(F5137&gt;0,H5137/F5137,"")</f>
        <v/>
      </c>
      <c r="L5137" s="16">
        <f>IF(AND(G5137&gt;0,H5137&gt;0),G5137/H5137,"")</f>
        <v/>
      </c>
    </row>
    <row r="5138">
      <c r="A5138" s="4" t="inlineStr">
        <is>
          <t>140</t>
        </is>
      </c>
      <c r="B5138" s="4" t="n">
        <v>1</v>
      </c>
      <c r="C5138" s="4" t="inlineStr">
        <is>
          <t>mule deer</t>
        </is>
      </c>
      <c r="D5138" s="4" t="n">
        <v>2008</v>
      </c>
      <c r="E5138" s="13" t="inlineStr">
        <is>
          <t>General</t>
        </is>
      </c>
      <c r="F5138" s="5" t="n">
        <v>935</v>
      </c>
      <c r="G5138" s="5" t="n">
        <v>6678</v>
      </c>
      <c r="H5138" s="5" t="n">
        <v>45</v>
      </c>
      <c r="I5138" s="5" t="n">
        <v>45</v>
      </c>
      <c r="J5138" s="5" t="n">
        <v>0</v>
      </c>
      <c r="K5138" s="10">
        <f>IF(F5138&gt;0,H5138/F5138,"")</f>
        <v/>
      </c>
      <c r="L5138" s="16">
        <f>IF(AND(G5138&gt;0,H5138&gt;0),G5138/H5138,"")</f>
        <v/>
      </c>
    </row>
    <row r="5139">
      <c r="A5139" s="4" t="inlineStr">
        <is>
          <t>140</t>
        </is>
      </c>
      <c r="B5139" s="4" t="n">
        <v>1</v>
      </c>
      <c r="C5139" s="4" t="inlineStr">
        <is>
          <t>mule deer</t>
        </is>
      </c>
      <c r="D5139" s="4" t="n">
        <v>2009</v>
      </c>
      <c r="E5139" s="13" t="inlineStr">
        <is>
          <t>General</t>
        </is>
      </c>
      <c r="F5139" s="5" t="n">
        <v>957</v>
      </c>
      <c r="G5139" s="5" t="n">
        <v>6829</v>
      </c>
      <c r="H5139" s="5" t="n">
        <v>53</v>
      </c>
      <c r="I5139" s="5" t="n">
        <v>50</v>
      </c>
      <c r="J5139" s="5" t="n">
        <v>3</v>
      </c>
      <c r="K5139" s="10">
        <f>IF(F5139&gt;0,H5139/F5139,"")</f>
        <v/>
      </c>
      <c r="L5139" s="16">
        <f>IF(AND(G5139&gt;0,H5139&gt;0),G5139/H5139,"")</f>
        <v/>
      </c>
    </row>
    <row r="5140">
      <c r="A5140" s="4" t="inlineStr">
        <is>
          <t>140</t>
        </is>
      </c>
      <c r="B5140" s="4" t="n">
        <v>1</v>
      </c>
      <c r="C5140" s="4" t="inlineStr">
        <is>
          <t>mule deer</t>
        </is>
      </c>
      <c r="D5140" s="4" t="n">
        <v>2010</v>
      </c>
      <c r="E5140" s="13" t="inlineStr">
        <is>
          <t>General</t>
        </is>
      </c>
      <c r="F5140" s="5" t="n">
        <v>693</v>
      </c>
      <c r="G5140" s="5" t="n">
        <v>4711</v>
      </c>
      <c r="H5140" s="5" t="n">
        <v>20</v>
      </c>
      <c r="I5140" s="5" t="n">
        <v>20</v>
      </c>
      <c r="J5140" s="5" t="n">
        <v>0</v>
      </c>
      <c r="K5140" s="10">
        <f>IF(F5140&gt;0,H5140/F5140,"")</f>
        <v/>
      </c>
      <c r="L5140" s="16">
        <f>IF(AND(G5140&gt;0,H5140&gt;0),G5140/H5140,"")</f>
        <v/>
      </c>
    </row>
    <row r="5141">
      <c r="A5141" s="4" t="inlineStr">
        <is>
          <t>140</t>
        </is>
      </c>
      <c r="B5141" s="4" t="n">
        <v>1</v>
      </c>
      <c r="C5141" s="4" t="inlineStr">
        <is>
          <t>mule deer</t>
        </is>
      </c>
      <c r="D5141" s="4" t="n">
        <v>2011</v>
      </c>
      <c r="E5141" s="13" t="inlineStr">
        <is>
          <t>General</t>
        </is>
      </c>
      <c r="F5141" s="5" t="n">
        <v>782</v>
      </c>
      <c r="G5141" s="5" t="n">
        <v>5462</v>
      </c>
      <c r="H5141" s="5" t="n">
        <v>20</v>
      </c>
      <c r="I5141" s="5" t="n">
        <v>17</v>
      </c>
      <c r="J5141" s="5" t="n">
        <v>3</v>
      </c>
      <c r="K5141" s="10">
        <f>IF(F5141&gt;0,H5141/F5141,"")</f>
        <v/>
      </c>
      <c r="L5141" s="16">
        <f>IF(AND(G5141&gt;0,H5141&gt;0),G5141/H5141,"")</f>
        <v/>
      </c>
    </row>
    <row r="5142">
      <c r="A5142" s="4" t="inlineStr">
        <is>
          <t>140</t>
        </is>
      </c>
      <c r="B5142" s="4" t="n">
        <v>1</v>
      </c>
      <c r="C5142" s="4" t="inlineStr">
        <is>
          <t>mule deer</t>
        </is>
      </c>
      <c r="D5142" s="4" t="n">
        <v>2012</v>
      </c>
      <c r="E5142" s="13" t="inlineStr">
        <is>
          <t>General</t>
        </is>
      </c>
      <c r="F5142" s="5" t="n"/>
      <c r="G5142" s="5" t="n"/>
      <c r="H5142" s="5" t="n">
        <v>45</v>
      </c>
      <c r="I5142" s="5" t="n">
        <v>45</v>
      </c>
      <c r="J5142" s="5" t="n">
        <v>0</v>
      </c>
      <c r="K5142" s="10">
        <f>IF(F5142&gt;0,H5142/F5142,"")</f>
        <v/>
      </c>
      <c r="L5142" s="16">
        <f>IF(AND(G5142&gt;0,H5142&gt;0),G5142/H5142,"")</f>
        <v/>
      </c>
    </row>
    <row r="5143">
      <c r="A5143" s="4" t="inlineStr">
        <is>
          <t>140</t>
        </is>
      </c>
      <c r="B5143" s="4" t="n">
        <v>1</v>
      </c>
      <c r="C5143" s="4" t="inlineStr">
        <is>
          <t>mule deer</t>
        </is>
      </c>
      <c r="D5143" s="4" t="n">
        <v>2013</v>
      </c>
      <c r="E5143" s="13" t="inlineStr">
        <is>
          <t>General</t>
        </is>
      </c>
      <c r="F5143" s="5" t="n">
        <v>641</v>
      </c>
      <c r="G5143" s="5" t="n">
        <v>4135</v>
      </c>
      <c r="H5143" s="5" t="n">
        <v>28</v>
      </c>
      <c r="I5143" s="5" t="n">
        <v>28</v>
      </c>
      <c r="J5143" s="5" t="n">
        <v>0</v>
      </c>
      <c r="K5143" s="10">
        <f>IF(F5143&gt;0,H5143/F5143,"")</f>
        <v/>
      </c>
      <c r="L5143" s="16">
        <f>IF(AND(G5143&gt;0,H5143&gt;0),G5143/H5143,"")</f>
        <v/>
      </c>
    </row>
    <row r="5144">
      <c r="A5144" s="4" t="inlineStr">
        <is>
          <t>140</t>
        </is>
      </c>
      <c r="B5144" s="4" t="n">
        <v>1</v>
      </c>
      <c r="C5144" s="4" t="inlineStr">
        <is>
          <t>mule deer</t>
        </is>
      </c>
      <c r="D5144" s="4" t="n">
        <v>2014</v>
      </c>
      <c r="E5144" s="13" t="inlineStr">
        <is>
          <t>General</t>
        </is>
      </c>
      <c r="F5144" s="5" t="n"/>
      <c r="G5144" s="5" t="n"/>
      <c r="H5144" s="5" t="n">
        <v>31</v>
      </c>
      <c r="I5144" s="5" t="n">
        <v>28</v>
      </c>
      <c r="J5144" s="5" t="n">
        <v>3</v>
      </c>
      <c r="K5144" s="10">
        <f>IF(F5144&gt;0,H5144/F5144,"")</f>
        <v/>
      </c>
      <c r="L5144" s="16">
        <f>IF(AND(G5144&gt;0,H5144&gt;0),G5144/H5144,"")</f>
        <v/>
      </c>
    </row>
    <row r="5145">
      <c r="A5145" s="4" t="inlineStr">
        <is>
          <t>140</t>
        </is>
      </c>
      <c r="B5145" s="4" t="n">
        <v>1</v>
      </c>
      <c r="C5145" s="4" t="inlineStr">
        <is>
          <t>mule deer</t>
        </is>
      </c>
      <c r="D5145" s="4" t="n">
        <v>2015</v>
      </c>
      <c r="E5145" s="13" t="inlineStr">
        <is>
          <t>General</t>
        </is>
      </c>
      <c r="F5145" s="5" t="n"/>
      <c r="G5145" s="5" t="n"/>
      <c r="H5145" s="5" t="n">
        <v>23</v>
      </c>
      <c r="I5145" s="5" t="n">
        <v>23</v>
      </c>
      <c r="J5145" s="5" t="n">
        <v>0</v>
      </c>
      <c r="K5145" s="10">
        <f>IF(F5145&gt;0,H5145/F5145,"")</f>
        <v/>
      </c>
      <c r="L5145" s="16">
        <f>IF(AND(G5145&gt;0,H5145&gt;0),G5145/H5145,"")</f>
        <v/>
      </c>
    </row>
    <row r="5146">
      <c r="A5146" s="4" t="inlineStr">
        <is>
          <t>140</t>
        </is>
      </c>
      <c r="B5146" s="4" t="n">
        <v>1</v>
      </c>
      <c r="C5146" s="4" t="inlineStr">
        <is>
          <t>mule deer</t>
        </is>
      </c>
      <c r="D5146" s="4" t="n">
        <v>2016</v>
      </c>
      <c r="E5146" s="13" t="inlineStr">
        <is>
          <t>General</t>
        </is>
      </c>
      <c r="F5146" s="5" t="n"/>
      <c r="G5146" s="5" t="n"/>
      <c r="H5146" s="5" t="n">
        <v>40</v>
      </c>
      <c r="I5146" s="5" t="n">
        <v>40</v>
      </c>
      <c r="J5146" s="5" t="n">
        <v>0</v>
      </c>
      <c r="K5146" s="10">
        <f>IF(F5146&gt;0,H5146/F5146,"")</f>
        <v/>
      </c>
      <c r="L5146" s="16">
        <f>IF(AND(G5146&gt;0,H5146&gt;0),G5146/H5146,"")</f>
        <v/>
      </c>
    </row>
    <row r="5147">
      <c r="A5147" s="4" t="inlineStr">
        <is>
          <t>140</t>
        </is>
      </c>
      <c r="B5147" s="4" t="n">
        <v>1</v>
      </c>
      <c r="C5147" s="4" t="inlineStr">
        <is>
          <t>mule deer</t>
        </is>
      </c>
      <c r="D5147" s="4" t="n">
        <v>2017</v>
      </c>
      <c r="E5147" s="13" t="inlineStr">
        <is>
          <t>General</t>
        </is>
      </c>
      <c r="F5147" s="5" t="n">
        <v>509</v>
      </c>
      <c r="G5147" s="5" t="n">
        <v>3193</v>
      </c>
      <c r="H5147" s="5" t="n">
        <v>21</v>
      </c>
      <c r="I5147" s="5" t="n">
        <v>21</v>
      </c>
      <c r="J5147" s="5" t="n">
        <v>0</v>
      </c>
      <c r="K5147" s="10">
        <f>IF(F5147&gt;0,H5147/F5147,"")</f>
        <v/>
      </c>
      <c r="L5147" s="16">
        <f>IF(AND(G5147&gt;0,H5147&gt;0),G5147/H5147,"")</f>
        <v/>
      </c>
    </row>
    <row r="5148">
      <c r="A5148" s="4" t="inlineStr">
        <is>
          <t>140</t>
        </is>
      </c>
      <c r="B5148" s="4" t="n">
        <v>1</v>
      </c>
      <c r="C5148" s="4" t="inlineStr">
        <is>
          <t>mule deer</t>
        </is>
      </c>
      <c r="D5148" s="4" t="n">
        <v>2018</v>
      </c>
      <c r="E5148" s="13" t="inlineStr">
        <is>
          <t>General</t>
        </is>
      </c>
      <c r="F5148" s="5" t="n"/>
      <c r="G5148" s="5" t="n"/>
      <c r="H5148" s="5" t="n">
        <v>9</v>
      </c>
      <c r="I5148" s="5" t="n">
        <v>9</v>
      </c>
      <c r="J5148" s="5" t="n">
        <v>0</v>
      </c>
      <c r="K5148" s="10">
        <f>IF(F5148&gt;0,H5148/F5148,"")</f>
        <v/>
      </c>
      <c r="L5148" s="16">
        <f>IF(AND(G5148&gt;0,H5148&gt;0),G5148/H5148,"")</f>
        <v/>
      </c>
    </row>
    <row r="5149">
      <c r="A5149" s="4" t="inlineStr">
        <is>
          <t>140</t>
        </is>
      </c>
      <c r="B5149" s="4" t="n">
        <v>1</v>
      </c>
      <c r="C5149" s="4" t="inlineStr">
        <is>
          <t>mule deer</t>
        </is>
      </c>
      <c r="D5149" s="4" t="n">
        <v>2019</v>
      </c>
      <c r="E5149" s="13" t="inlineStr">
        <is>
          <t>General</t>
        </is>
      </c>
      <c r="F5149" s="5" t="n">
        <v>481</v>
      </c>
      <c r="G5149" s="5" t="n">
        <v>3858</v>
      </c>
      <c r="H5149" s="5" t="n">
        <v>18</v>
      </c>
      <c r="I5149" s="5" t="n">
        <v>14</v>
      </c>
      <c r="J5149" s="5" t="n">
        <v>4</v>
      </c>
      <c r="K5149" s="10">
        <f>IF(F5149&gt;0,H5149/F5149,"")</f>
        <v/>
      </c>
      <c r="L5149" s="16">
        <f>IF(AND(G5149&gt;0,H5149&gt;0),G5149/H5149,"")</f>
        <v/>
      </c>
    </row>
    <row r="5150">
      <c r="A5150" s="4" t="inlineStr">
        <is>
          <t>140</t>
        </is>
      </c>
      <c r="B5150" s="4" t="n">
        <v>1</v>
      </c>
      <c r="C5150" s="4" t="inlineStr">
        <is>
          <t>mule deer</t>
        </is>
      </c>
      <c r="D5150" s="4" t="n">
        <v>2020</v>
      </c>
      <c r="E5150" s="13" t="inlineStr">
        <is>
          <t>General</t>
        </is>
      </c>
      <c r="F5150" s="5" t="n"/>
      <c r="G5150" s="5" t="n"/>
      <c r="H5150" s="5" t="n">
        <v>10</v>
      </c>
      <c r="I5150" s="5" t="n">
        <v>10</v>
      </c>
      <c r="J5150" s="5" t="n">
        <v>0</v>
      </c>
      <c r="K5150" s="10">
        <f>IF(F5150&gt;0,H5150/F5150,"")</f>
        <v/>
      </c>
      <c r="L5150" s="16">
        <f>IF(AND(G5150&gt;0,H5150&gt;0),G5150/H5150,"")</f>
        <v/>
      </c>
    </row>
    <row r="5151">
      <c r="A5151" s="4" t="inlineStr">
        <is>
          <t>140</t>
        </is>
      </c>
      <c r="B5151" s="4" t="n">
        <v>1</v>
      </c>
      <c r="C5151" s="4" t="inlineStr">
        <is>
          <t>mule deer</t>
        </is>
      </c>
      <c r="D5151" s="4" t="n">
        <v>2021</v>
      </c>
      <c r="E5151" s="13" t="inlineStr">
        <is>
          <t>General</t>
        </is>
      </c>
      <c r="F5151" s="5" t="n">
        <v>638</v>
      </c>
      <c r="G5151" s="5" t="n">
        <v>4400</v>
      </c>
      <c r="H5151" s="5" t="n">
        <v>28</v>
      </c>
      <c r="I5151" s="5" t="n">
        <v>28</v>
      </c>
      <c r="J5151" s="5" t="n">
        <v>0</v>
      </c>
      <c r="K5151" s="10">
        <f>IF(F5151&gt;0,H5151/F5151,"")</f>
        <v/>
      </c>
      <c r="L5151" s="16">
        <f>IF(AND(G5151&gt;0,H5151&gt;0),G5151/H5151,"")</f>
        <v/>
      </c>
    </row>
    <row r="5152">
      <c r="A5152" s="4" t="inlineStr">
        <is>
          <t>140</t>
        </is>
      </c>
      <c r="B5152" s="4" t="n">
        <v>1</v>
      </c>
      <c r="C5152" s="4" t="inlineStr">
        <is>
          <t>mule deer</t>
        </is>
      </c>
      <c r="D5152" s="4" t="n">
        <v>2022</v>
      </c>
      <c r="E5152" s="13" t="inlineStr">
        <is>
          <t>General</t>
        </is>
      </c>
      <c r="F5152" s="5" t="n"/>
      <c r="G5152" s="5" t="n"/>
      <c r="H5152" s="5" t="n">
        <v>36</v>
      </c>
      <c r="I5152" s="5" t="n">
        <v>36</v>
      </c>
      <c r="J5152" s="5" t="n">
        <v>0</v>
      </c>
      <c r="K5152" s="10">
        <f>IF(F5152&gt;0,H5152/F5152,"")</f>
        <v/>
      </c>
      <c r="L5152" s="16">
        <f>IF(AND(G5152&gt;0,H5152&gt;0),G5152/H5152,"")</f>
        <v/>
      </c>
    </row>
    <row r="5153">
      <c r="A5153" s="4" t="inlineStr">
        <is>
          <t>140</t>
        </is>
      </c>
      <c r="B5153" s="4" t="n">
        <v>1</v>
      </c>
      <c r="C5153" s="4" t="inlineStr">
        <is>
          <t>mule deer</t>
        </is>
      </c>
      <c r="D5153" s="4" t="n">
        <v>2023</v>
      </c>
      <c r="E5153" s="13" t="inlineStr">
        <is>
          <t>General</t>
        </is>
      </c>
      <c r="F5153" s="5" t="n">
        <v>628</v>
      </c>
      <c r="G5153" s="5" t="n">
        <v>4228</v>
      </c>
      <c r="H5153" s="5" t="n">
        <v>44</v>
      </c>
      <c r="I5153" s="5" t="n">
        <v>40</v>
      </c>
      <c r="J5153" s="5" t="n">
        <v>3</v>
      </c>
      <c r="K5153" s="10">
        <f>IF(F5153&gt;0,H5153/F5153,"")</f>
        <v/>
      </c>
      <c r="L5153" s="16">
        <f>IF(AND(G5153&gt;0,H5153&gt;0),G5153/H5153,"")</f>
        <v/>
      </c>
    </row>
    <row r="5154">
      <c r="A5154" s="4" t="inlineStr">
        <is>
          <t>140</t>
        </is>
      </c>
      <c r="B5154" s="4" t="n">
        <v>1</v>
      </c>
      <c r="C5154" s="4" t="inlineStr">
        <is>
          <t>mule deer</t>
        </is>
      </c>
      <c r="D5154" s="4" t="n">
        <v>2024</v>
      </c>
      <c r="E5154" s="13" t="inlineStr">
        <is>
          <t>General</t>
        </is>
      </c>
      <c r="F5154" s="5" t="n"/>
      <c r="G5154" s="5" t="n"/>
      <c r="H5154" s="5" t="n">
        <v>31</v>
      </c>
      <c r="I5154" s="5" t="n">
        <v>31</v>
      </c>
      <c r="J5154" s="5" t="n">
        <v>0</v>
      </c>
      <c r="K5154" s="10">
        <f>IF(F5154&gt;0,H5154/F5154,"")</f>
        <v/>
      </c>
      <c r="L5154" s="16">
        <f>IF(AND(G5154&gt;0,H5154&gt;0),G5154/H5154,"")</f>
        <v/>
      </c>
    </row>
    <row r="5155">
      <c r="A5155" s="4" t="inlineStr">
        <is>
          <t>140</t>
        </is>
      </c>
      <c r="B5155" s="4" t="n">
        <v>1</v>
      </c>
      <c r="C5155" s="4" t="inlineStr">
        <is>
          <t>mule deer</t>
        </is>
      </c>
      <c r="D5155" s="4" t="n">
        <v>2025</v>
      </c>
      <c r="E5155" s="13" t="inlineStr">
        <is>
          <t>General</t>
        </is>
      </c>
      <c r="F5155" s="5" t="n">
        <v>750</v>
      </c>
      <c r="G5155" s="5" t="n">
        <v>4851</v>
      </c>
      <c r="H5155" s="5" t="n">
        <v>33</v>
      </c>
      <c r="I5155" s="5" t="n">
        <v>33</v>
      </c>
      <c r="J5155" s="5" t="n">
        <v>0</v>
      </c>
      <c r="K5155" s="10">
        <f>IF(F5155&gt;0,H5155/F5155,"")</f>
        <v/>
      </c>
      <c r="L5155" s="16">
        <f>IF(AND(G5155&gt;0,H5155&gt;0),G5155/H5155,"")</f>
        <v/>
      </c>
    </row>
    <row r="5156">
      <c r="A5156" s="4" t="inlineStr">
        <is>
          <t>141</t>
        </is>
      </c>
      <c r="B5156" s="4" t="n">
        <v>1</v>
      </c>
      <c r="C5156" s="4" t="inlineStr">
        <is>
          <t>mule deer</t>
        </is>
      </c>
      <c r="D5156" s="4" t="n">
        <v>2004</v>
      </c>
      <c r="E5156" s="13" t="inlineStr">
        <is>
          <t>General</t>
        </is>
      </c>
      <c r="F5156" s="5" t="n">
        <v>173</v>
      </c>
      <c r="G5156" s="5" t="n">
        <v>1283</v>
      </c>
      <c r="H5156" s="5" t="n">
        <v>26</v>
      </c>
      <c r="I5156" s="5" t="n">
        <v>26</v>
      </c>
      <c r="J5156" s="5" t="n">
        <v>0</v>
      </c>
      <c r="K5156" s="10">
        <f>IF(F5156&gt;0,H5156/F5156,"")</f>
        <v/>
      </c>
      <c r="L5156" s="16">
        <f>IF(AND(G5156&gt;0,H5156&gt;0),G5156/H5156,"")</f>
        <v/>
      </c>
    </row>
    <row r="5157">
      <c r="A5157" s="4" t="inlineStr">
        <is>
          <t>141</t>
        </is>
      </c>
      <c r="B5157" s="4" t="n">
        <v>1</v>
      </c>
      <c r="C5157" s="4" t="inlineStr">
        <is>
          <t>mule deer</t>
        </is>
      </c>
      <c r="D5157" s="4" t="n">
        <v>2005</v>
      </c>
      <c r="E5157" s="13" t="inlineStr">
        <is>
          <t>General</t>
        </is>
      </c>
      <c r="F5157" s="5" t="n">
        <v>195</v>
      </c>
      <c r="G5157" s="5" t="n">
        <v>1311</v>
      </c>
      <c r="H5157" s="5" t="n">
        <v>38</v>
      </c>
      <c r="I5157" s="5" t="n">
        <v>37</v>
      </c>
      <c r="J5157" s="5" t="n">
        <v>1</v>
      </c>
      <c r="K5157" s="10">
        <f>IF(F5157&gt;0,H5157/F5157,"")</f>
        <v/>
      </c>
      <c r="L5157" s="16">
        <f>IF(AND(G5157&gt;0,H5157&gt;0),G5157/H5157,"")</f>
        <v/>
      </c>
    </row>
    <row r="5158">
      <c r="A5158" s="4" t="inlineStr">
        <is>
          <t>141</t>
        </is>
      </c>
      <c r="B5158" s="4" t="n">
        <v>1</v>
      </c>
      <c r="C5158" s="4" t="inlineStr">
        <is>
          <t>mule deer</t>
        </is>
      </c>
      <c r="D5158" s="4" t="n">
        <v>2006</v>
      </c>
      <c r="E5158" s="13" t="inlineStr">
        <is>
          <t>General</t>
        </is>
      </c>
      <c r="F5158" s="5" t="n">
        <v>138</v>
      </c>
      <c r="G5158" s="5" t="n">
        <v>1555</v>
      </c>
      <c r="H5158" s="5" t="n">
        <v>7</v>
      </c>
      <c r="I5158" s="5" t="n">
        <v>7</v>
      </c>
      <c r="J5158" s="5" t="n">
        <v>0</v>
      </c>
      <c r="K5158" s="10">
        <f>IF(F5158&gt;0,H5158/F5158,"")</f>
        <v/>
      </c>
      <c r="L5158" s="16">
        <f>IF(AND(G5158&gt;0,H5158&gt;0),G5158/H5158,"")</f>
        <v/>
      </c>
    </row>
    <row r="5159">
      <c r="A5159" s="4" t="inlineStr">
        <is>
          <t>141</t>
        </is>
      </c>
      <c r="B5159" s="4" t="n">
        <v>1</v>
      </c>
      <c r="C5159" s="4" t="inlineStr">
        <is>
          <t>mule deer</t>
        </is>
      </c>
      <c r="D5159" s="4" t="n">
        <v>2007</v>
      </c>
      <c r="E5159" s="13" t="inlineStr">
        <is>
          <t>General</t>
        </is>
      </c>
      <c r="F5159" s="5" t="n">
        <v>178</v>
      </c>
      <c r="G5159" s="5" t="n">
        <v>1329</v>
      </c>
      <c r="H5159" s="5" t="n">
        <v>19</v>
      </c>
      <c r="I5159" s="5" t="n">
        <v>19</v>
      </c>
      <c r="J5159" s="5" t="n">
        <v>0</v>
      </c>
      <c r="K5159" s="10">
        <f>IF(F5159&gt;0,H5159/F5159,"")</f>
        <v/>
      </c>
      <c r="L5159" s="16">
        <f>IF(AND(G5159&gt;0,H5159&gt;0),G5159/H5159,"")</f>
        <v/>
      </c>
    </row>
    <row r="5160">
      <c r="A5160" s="4" t="inlineStr">
        <is>
          <t>141</t>
        </is>
      </c>
      <c r="B5160" s="4" t="n">
        <v>1</v>
      </c>
      <c r="C5160" s="4" t="inlineStr">
        <is>
          <t>mule deer</t>
        </is>
      </c>
      <c r="D5160" s="4" t="n">
        <v>2008</v>
      </c>
      <c r="E5160" s="13" t="inlineStr">
        <is>
          <t>General</t>
        </is>
      </c>
      <c r="F5160" s="5" t="n">
        <v>171</v>
      </c>
      <c r="G5160" s="5" t="n">
        <v>1423</v>
      </c>
      <c r="H5160" s="5" t="n">
        <v>12</v>
      </c>
      <c r="I5160" s="5" t="n">
        <v>12</v>
      </c>
      <c r="J5160" s="5" t="n">
        <v>0</v>
      </c>
      <c r="K5160" s="10">
        <f>IF(F5160&gt;0,H5160/F5160,"")</f>
        <v/>
      </c>
      <c r="L5160" s="16">
        <f>IF(AND(G5160&gt;0,H5160&gt;0),G5160/H5160,"")</f>
        <v/>
      </c>
    </row>
    <row r="5161">
      <c r="A5161" s="4" t="inlineStr">
        <is>
          <t>141</t>
        </is>
      </c>
      <c r="B5161" s="4" t="n">
        <v>1</v>
      </c>
      <c r="C5161" s="4" t="inlineStr">
        <is>
          <t>mule deer</t>
        </is>
      </c>
      <c r="D5161" s="4" t="n">
        <v>2009</v>
      </c>
      <c r="E5161" s="13" t="inlineStr">
        <is>
          <t>General</t>
        </is>
      </c>
      <c r="F5161" s="5" t="n">
        <v>177</v>
      </c>
      <c r="G5161" s="5" t="n">
        <v>1297</v>
      </c>
      <c r="H5161" s="5" t="n">
        <v>9</v>
      </c>
      <c r="I5161" s="5" t="n">
        <v>9</v>
      </c>
      <c r="J5161" s="5" t="n">
        <v>0</v>
      </c>
      <c r="K5161" s="10">
        <f>IF(F5161&gt;0,H5161/F5161,"")</f>
        <v/>
      </c>
      <c r="L5161" s="16">
        <f>IF(AND(G5161&gt;0,H5161&gt;0),G5161/H5161,"")</f>
        <v/>
      </c>
    </row>
    <row r="5162">
      <c r="A5162" s="4" t="inlineStr">
        <is>
          <t>141</t>
        </is>
      </c>
      <c r="B5162" s="4" t="n">
        <v>1</v>
      </c>
      <c r="C5162" s="4" t="inlineStr">
        <is>
          <t>mule deer</t>
        </is>
      </c>
      <c r="D5162" s="4" t="n">
        <v>2010</v>
      </c>
      <c r="E5162" s="13" t="inlineStr">
        <is>
          <t>General</t>
        </is>
      </c>
      <c r="F5162" s="5" t="n">
        <v>141</v>
      </c>
      <c r="G5162" s="5" t="n">
        <v>788</v>
      </c>
      <c r="H5162" s="5" t="n">
        <v>14</v>
      </c>
      <c r="I5162" s="5" t="n">
        <v>14</v>
      </c>
      <c r="J5162" s="5" t="n">
        <v>0</v>
      </c>
      <c r="K5162" s="10">
        <f>IF(F5162&gt;0,H5162/F5162,"")</f>
        <v/>
      </c>
      <c r="L5162" s="16">
        <f>IF(AND(G5162&gt;0,H5162&gt;0),G5162/H5162,"")</f>
        <v/>
      </c>
    </row>
    <row r="5163">
      <c r="A5163" s="4" t="inlineStr">
        <is>
          <t>141</t>
        </is>
      </c>
      <c r="B5163" s="4" t="n">
        <v>1</v>
      </c>
      <c r="C5163" s="4" t="inlineStr">
        <is>
          <t>mule deer</t>
        </is>
      </c>
      <c r="D5163" s="4" t="n">
        <v>2012</v>
      </c>
      <c r="E5163" s="13" t="inlineStr">
        <is>
          <t>General</t>
        </is>
      </c>
      <c r="F5163" s="5" t="n"/>
      <c r="G5163" s="5" t="n"/>
      <c r="H5163" s="5" t="n">
        <v>6</v>
      </c>
      <c r="I5163" s="5" t="n">
        <v>6</v>
      </c>
      <c r="J5163" s="5" t="n">
        <v>0</v>
      </c>
      <c r="K5163" s="10">
        <f>IF(F5163&gt;0,H5163/F5163,"")</f>
        <v/>
      </c>
      <c r="L5163" s="16">
        <f>IF(AND(G5163&gt;0,H5163&gt;0),G5163/H5163,"")</f>
        <v/>
      </c>
    </row>
    <row r="5164">
      <c r="A5164" s="4" t="inlineStr">
        <is>
          <t>141</t>
        </is>
      </c>
      <c r="B5164" s="4" t="n">
        <v>1</v>
      </c>
      <c r="C5164" s="4" t="inlineStr">
        <is>
          <t>mule deer</t>
        </is>
      </c>
      <c r="D5164" s="4" t="n">
        <v>2013</v>
      </c>
      <c r="E5164" s="13" t="inlineStr">
        <is>
          <t>General</t>
        </is>
      </c>
      <c r="F5164" s="5" t="n">
        <v>125</v>
      </c>
      <c r="G5164" s="5" t="n">
        <v>809</v>
      </c>
      <c r="H5164" s="5" t="n">
        <v>6</v>
      </c>
      <c r="I5164" s="5" t="n">
        <v>6</v>
      </c>
      <c r="J5164" s="5" t="n">
        <v>0</v>
      </c>
      <c r="K5164" s="10">
        <f>IF(F5164&gt;0,H5164/F5164,"")</f>
        <v/>
      </c>
      <c r="L5164" s="16">
        <f>IF(AND(G5164&gt;0,H5164&gt;0),G5164/H5164,"")</f>
        <v/>
      </c>
    </row>
    <row r="5165">
      <c r="A5165" s="4" t="inlineStr">
        <is>
          <t>141</t>
        </is>
      </c>
      <c r="B5165" s="4" t="n">
        <v>1</v>
      </c>
      <c r="C5165" s="4" t="inlineStr">
        <is>
          <t>mule deer</t>
        </is>
      </c>
      <c r="D5165" s="4" t="n">
        <v>2014</v>
      </c>
      <c r="E5165" s="13" t="inlineStr">
        <is>
          <t>General</t>
        </is>
      </c>
      <c r="F5165" s="5" t="n"/>
      <c r="G5165" s="5" t="n"/>
      <c r="H5165" s="5" t="n">
        <v>9</v>
      </c>
      <c r="I5165" s="5" t="n">
        <v>9</v>
      </c>
      <c r="J5165" s="5" t="n">
        <v>0</v>
      </c>
      <c r="K5165" s="10">
        <f>IF(F5165&gt;0,H5165/F5165,"")</f>
        <v/>
      </c>
      <c r="L5165" s="16">
        <f>IF(AND(G5165&gt;0,H5165&gt;0),G5165/H5165,"")</f>
        <v/>
      </c>
    </row>
    <row r="5166">
      <c r="A5166" s="4" t="inlineStr">
        <is>
          <t>141</t>
        </is>
      </c>
      <c r="B5166" s="4" t="n">
        <v>1</v>
      </c>
      <c r="C5166" s="4" t="inlineStr">
        <is>
          <t>mule deer</t>
        </is>
      </c>
      <c r="D5166" s="4" t="n">
        <v>2015</v>
      </c>
      <c r="E5166" s="13" t="inlineStr">
        <is>
          <t>General</t>
        </is>
      </c>
      <c r="F5166" s="5" t="n"/>
      <c r="G5166" s="5" t="n"/>
      <c r="H5166" s="5" t="n">
        <v>6</v>
      </c>
      <c r="I5166" s="5" t="n">
        <v>3</v>
      </c>
      <c r="J5166" s="5" t="n">
        <v>0</v>
      </c>
      <c r="K5166" s="10">
        <f>IF(F5166&gt;0,H5166/F5166,"")</f>
        <v/>
      </c>
      <c r="L5166" s="16">
        <f>IF(AND(G5166&gt;0,H5166&gt;0),G5166/H5166,"")</f>
        <v/>
      </c>
    </row>
    <row r="5167">
      <c r="A5167" s="4" t="inlineStr">
        <is>
          <t>141</t>
        </is>
      </c>
      <c r="B5167" s="4" t="n">
        <v>1</v>
      </c>
      <c r="C5167" s="4" t="inlineStr">
        <is>
          <t>mule deer</t>
        </is>
      </c>
      <c r="D5167" s="4" t="n">
        <v>2016</v>
      </c>
      <c r="E5167" s="13" t="inlineStr">
        <is>
          <t>General</t>
        </is>
      </c>
      <c r="F5167" s="5" t="n"/>
      <c r="G5167" s="5" t="n"/>
      <c r="H5167" s="5" t="n">
        <v>3</v>
      </c>
      <c r="I5167" s="5" t="n">
        <v>3</v>
      </c>
      <c r="J5167" s="5" t="n">
        <v>0</v>
      </c>
      <c r="K5167" s="10">
        <f>IF(F5167&gt;0,H5167/F5167,"")</f>
        <v/>
      </c>
      <c r="L5167" s="16">
        <f>IF(AND(G5167&gt;0,H5167&gt;0),G5167/H5167,"")</f>
        <v/>
      </c>
    </row>
    <row r="5168">
      <c r="A5168" s="4" t="inlineStr">
        <is>
          <t>141</t>
        </is>
      </c>
      <c r="B5168" s="4" t="n">
        <v>1</v>
      </c>
      <c r="C5168" s="4" t="inlineStr">
        <is>
          <t>mule deer</t>
        </is>
      </c>
      <c r="D5168" s="4" t="n">
        <v>2017</v>
      </c>
      <c r="E5168" s="13" t="inlineStr">
        <is>
          <t>General</t>
        </is>
      </c>
      <c r="F5168" s="5" t="n">
        <v>86</v>
      </c>
      <c r="G5168" s="5" t="n">
        <v>686</v>
      </c>
      <c r="H5168" s="5" t="n">
        <v>9</v>
      </c>
      <c r="I5168" s="5" t="n">
        <v>9</v>
      </c>
      <c r="J5168" s="5" t="n">
        <v>0</v>
      </c>
      <c r="K5168" s="10">
        <f>IF(F5168&gt;0,H5168/F5168,"")</f>
        <v/>
      </c>
      <c r="L5168" s="16">
        <f>IF(AND(G5168&gt;0,H5168&gt;0),G5168/H5168,"")</f>
        <v/>
      </c>
    </row>
    <row r="5169">
      <c r="A5169" s="4" t="inlineStr">
        <is>
          <t>141</t>
        </is>
      </c>
      <c r="B5169" s="4" t="n">
        <v>1</v>
      </c>
      <c r="C5169" s="4" t="inlineStr">
        <is>
          <t>mule deer</t>
        </is>
      </c>
      <c r="D5169" s="4" t="n">
        <v>2018</v>
      </c>
      <c r="E5169" s="13" t="inlineStr">
        <is>
          <t>General</t>
        </is>
      </c>
      <c r="F5169" s="5" t="n"/>
      <c r="G5169" s="5" t="n"/>
      <c r="H5169" s="5" t="n">
        <v>3</v>
      </c>
      <c r="I5169" s="5" t="n">
        <v>3</v>
      </c>
      <c r="J5169" s="5" t="n">
        <v>0</v>
      </c>
      <c r="K5169" s="10">
        <f>IF(F5169&gt;0,H5169/F5169,"")</f>
        <v/>
      </c>
      <c r="L5169" s="16">
        <f>IF(AND(G5169&gt;0,H5169&gt;0),G5169/H5169,"")</f>
        <v/>
      </c>
    </row>
    <row r="5170">
      <c r="A5170" s="4" t="inlineStr">
        <is>
          <t>141</t>
        </is>
      </c>
      <c r="B5170" s="4" t="n">
        <v>1</v>
      </c>
      <c r="C5170" s="4" t="inlineStr">
        <is>
          <t>mule deer</t>
        </is>
      </c>
      <c r="D5170" s="4" t="n">
        <v>2019</v>
      </c>
      <c r="E5170" s="13" t="inlineStr">
        <is>
          <t>General</t>
        </is>
      </c>
      <c r="F5170" s="5" t="n">
        <v>73</v>
      </c>
      <c r="G5170" s="5" t="n">
        <v>632</v>
      </c>
      <c r="H5170" s="5" t="n">
        <v>3</v>
      </c>
      <c r="I5170" s="5" t="n">
        <v>3</v>
      </c>
      <c r="J5170" s="5" t="n">
        <v>0</v>
      </c>
      <c r="K5170" s="10">
        <f>IF(F5170&gt;0,H5170/F5170,"")</f>
        <v/>
      </c>
      <c r="L5170" s="16">
        <f>IF(AND(G5170&gt;0,H5170&gt;0),G5170/H5170,"")</f>
        <v/>
      </c>
    </row>
    <row r="5171">
      <c r="A5171" s="4" t="inlineStr">
        <is>
          <t>141</t>
        </is>
      </c>
      <c r="B5171" s="4" t="n">
        <v>1</v>
      </c>
      <c r="C5171" s="4" t="inlineStr">
        <is>
          <t>mule deer</t>
        </is>
      </c>
      <c r="D5171" s="4" t="n">
        <v>2021</v>
      </c>
      <c r="E5171" s="13" t="inlineStr">
        <is>
          <t>General</t>
        </is>
      </c>
      <c r="F5171" s="5" t="n">
        <v>81</v>
      </c>
      <c r="G5171" s="5" t="n">
        <v>694</v>
      </c>
      <c r="H5171" s="5" t="n">
        <v>11</v>
      </c>
      <c r="I5171" s="5" t="n">
        <v>11</v>
      </c>
      <c r="J5171" s="5" t="n">
        <v>0</v>
      </c>
      <c r="K5171" s="10">
        <f>IF(F5171&gt;0,H5171/F5171,"")</f>
        <v/>
      </c>
      <c r="L5171" s="16">
        <f>IF(AND(G5171&gt;0,H5171&gt;0),G5171/H5171,"")</f>
        <v/>
      </c>
    </row>
    <row r="5172">
      <c r="A5172" s="4" t="inlineStr">
        <is>
          <t>141</t>
        </is>
      </c>
      <c r="B5172" s="4" t="n">
        <v>1</v>
      </c>
      <c r="C5172" s="4" t="inlineStr">
        <is>
          <t>mule deer</t>
        </is>
      </c>
      <c r="D5172" s="4" t="n">
        <v>2022</v>
      </c>
      <c r="E5172" s="13" t="inlineStr">
        <is>
          <t>General</t>
        </is>
      </c>
      <c r="F5172" s="5" t="n"/>
      <c r="G5172" s="5" t="n"/>
      <c r="H5172" s="5" t="n">
        <v>7</v>
      </c>
      <c r="I5172" s="5" t="n">
        <v>7</v>
      </c>
      <c r="J5172" s="5" t="n">
        <v>0</v>
      </c>
      <c r="K5172" s="10">
        <f>IF(F5172&gt;0,H5172/F5172,"")</f>
        <v/>
      </c>
      <c r="L5172" s="16">
        <f>IF(AND(G5172&gt;0,H5172&gt;0),G5172/H5172,"")</f>
        <v/>
      </c>
    </row>
    <row r="5173">
      <c r="A5173" s="4" t="inlineStr">
        <is>
          <t>141</t>
        </is>
      </c>
      <c r="B5173" s="4" t="n">
        <v>1</v>
      </c>
      <c r="C5173" s="4" t="inlineStr">
        <is>
          <t>mule deer</t>
        </is>
      </c>
      <c r="D5173" s="4" t="n">
        <v>2023</v>
      </c>
      <c r="E5173" s="13" t="inlineStr">
        <is>
          <t>General</t>
        </is>
      </c>
      <c r="F5173" s="5" t="n">
        <v>74</v>
      </c>
      <c r="G5173" s="5" t="n">
        <v>390</v>
      </c>
      <c r="H5173" s="5" t="n">
        <v>10</v>
      </c>
      <c r="I5173" s="5" t="n">
        <v>7</v>
      </c>
      <c r="J5173" s="5" t="n">
        <v>3</v>
      </c>
      <c r="K5173" s="10">
        <f>IF(F5173&gt;0,H5173/F5173,"")</f>
        <v/>
      </c>
      <c r="L5173" s="16">
        <f>IF(AND(G5173&gt;0,H5173&gt;0),G5173/H5173,"")</f>
        <v/>
      </c>
    </row>
    <row r="5174">
      <c r="A5174" s="4" t="inlineStr">
        <is>
          <t>141</t>
        </is>
      </c>
      <c r="B5174" s="4" t="n">
        <v>1</v>
      </c>
      <c r="C5174" s="4" t="inlineStr">
        <is>
          <t>mule deer</t>
        </is>
      </c>
      <c r="D5174" s="4" t="n">
        <v>2024</v>
      </c>
      <c r="E5174" s="13" t="inlineStr">
        <is>
          <t>General</t>
        </is>
      </c>
      <c r="F5174" s="5" t="n"/>
      <c r="G5174" s="5" t="n"/>
      <c r="H5174" s="5" t="n">
        <v>3</v>
      </c>
      <c r="I5174" s="5" t="n">
        <v>3</v>
      </c>
      <c r="J5174" s="5" t="n">
        <v>0</v>
      </c>
      <c r="K5174" s="10">
        <f>IF(F5174&gt;0,H5174/F5174,"")</f>
        <v/>
      </c>
      <c r="L5174" s="16">
        <f>IF(AND(G5174&gt;0,H5174&gt;0),G5174/H5174,"")</f>
        <v/>
      </c>
    </row>
    <row r="5175">
      <c r="A5175" s="4" t="inlineStr">
        <is>
          <t>141</t>
        </is>
      </c>
      <c r="B5175" s="4" t="n">
        <v>1</v>
      </c>
      <c r="C5175" s="4" t="inlineStr">
        <is>
          <t>mule deer</t>
        </is>
      </c>
      <c r="D5175" s="4" t="n">
        <v>2025</v>
      </c>
      <c r="E5175" s="13" t="inlineStr">
        <is>
          <t>General</t>
        </is>
      </c>
      <c r="F5175" s="5" t="n">
        <v>139</v>
      </c>
      <c r="G5175" s="5" t="n">
        <v>1103</v>
      </c>
      <c r="H5175" s="5" t="n">
        <v>7</v>
      </c>
      <c r="I5175" s="5" t="n">
        <v>7</v>
      </c>
      <c r="J5175" s="5" t="n">
        <v>0</v>
      </c>
      <c r="K5175" s="10">
        <f>IF(F5175&gt;0,H5175/F5175,"")</f>
        <v/>
      </c>
      <c r="L5175" s="16">
        <f>IF(AND(G5175&gt;0,H5175&gt;0),G5175/H5175,"")</f>
        <v/>
      </c>
    </row>
    <row r="5176">
      <c r="A5176" s="4" t="inlineStr">
        <is>
          <t>150</t>
        </is>
      </c>
      <c r="B5176" s="4" t="n">
        <v>1</v>
      </c>
      <c r="C5176" s="4" t="inlineStr">
        <is>
          <t>mule deer</t>
        </is>
      </c>
      <c r="D5176" s="4" t="n">
        <v>2004</v>
      </c>
      <c r="E5176" s="13" t="inlineStr">
        <is>
          <t>General</t>
        </is>
      </c>
      <c r="F5176" s="5" t="n">
        <v>270</v>
      </c>
      <c r="G5176" s="5" t="n">
        <v>1860</v>
      </c>
      <c r="H5176" s="5" t="n">
        <v>50</v>
      </c>
      <c r="I5176" s="5" t="n">
        <v>50</v>
      </c>
      <c r="J5176" s="5" t="n">
        <v>0</v>
      </c>
      <c r="K5176" s="10">
        <f>IF(F5176&gt;0,H5176/F5176,"")</f>
        <v/>
      </c>
      <c r="L5176" s="16">
        <f>IF(AND(G5176&gt;0,H5176&gt;0),G5176/H5176,"")</f>
        <v/>
      </c>
    </row>
    <row r="5177">
      <c r="A5177" s="4" t="inlineStr">
        <is>
          <t>150</t>
        </is>
      </c>
      <c r="B5177" s="4" t="n">
        <v>1</v>
      </c>
      <c r="C5177" s="4" t="inlineStr">
        <is>
          <t>mule deer</t>
        </is>
      </c>
      <c r="D5177" s="4" t="n">
        <v>2005</v>
      </c>
      <c r="E5177" s="13" t="inlineStr">
        <is>
          <t>General</t>
        </is>
      </c>
      <c r="F5177" s="5" t="n">
        <v>506</v>
      </c>
      <c r="G5177" s="5" t="n">
        <v>3582</v>
      </c>
      <c r="H5177" s="5" t="n">
        <v>97</v>
      </c>
      <c r="I5177" s="5" t="n">
        <v>97</v>
      </c>
      <c r="J5177" s="5" t="n">
        <v>0</v>
      </c>
      <c r="K5177" s="10">
        <f>IF(F5177&gt;0,H5177/F5177,"")</f>
        <v/>
      </c>
      <c r="L5177" s="16">
        <f>IF(AND(G5177&gt;0,H5177&gt;0),G5177/H5177,"")</f>
        <v/>
      </c>
    </row>
    <row r="5178">
      <c r="A5178" s="4" t="inlineStr">
        <is>
          <t>150</t>
        </is>
      </c>
      <c r="B5178" s="4" t="n">
        <v>1</v>
      </c>
      <c r="C5178" s="4" t="inlineStr">
        <is>
          <t>mule deer</t>
        </is>
      </c>
      <c r="D5178" s="4" t="n">
        <v>2006</v>
      </c>
      <c r="E5178" s="13" t="inlineStr">
        <is>
          <t>General</t>
        </is>
      </c>
      <c r="F5178" s="5" t="n">
        <v>622</v>
      </c>
      <c r="G5178" s="5" t="n">
        <v>4381</v>
      </c>
      <c r="H5178" s="5" t="n">
        <v>108</v>
      </c>
      <c r="I5178" s="5" t="n">
        <v>108</v>
      </c>
      <c r="J5178" s="5" t="n">
        <v>0</v>
      </c>
      <c r="K5178" s="10">
        <f>IF(F5178&gt;0,H5178/F5178,"")</f>
        <v/>
      </c>
      <c r="L5178" s="16">
        <f>IF(AND(G5178&gt;0,H5178&gt;0),G5178/H5178,"")</f>
        <v/>
      </c>
    </row>
    <row r="5179">
      <c r="A5179" s="4" t="inlineStr">
        <is>
          <t>150</t>
        </is>
      </c>
      <c r="B5179" s="4" t="n">
        <v>1</v>
      </c>
      <c r="C5179" s="4" t="inlineStr">
        <is>
          <t>mule deer</t>
        </is>
      </c>
      <c r="D5179" s="4" t="n">
        <v>2007</v>
      </c>
      <c r="E5179" s="13" t="inlineStr">
        <is>
          <t>General</t>
        </is>
      </c>
      <c r="F5179" s="5" t="n">
        <v>387</v>
      </c>
      <c r="G5179" s="5" t="n">
        <v>2513</v>
      </c>
      <c r="H5179" s="5" t="n">
        <v>58</v>
      </c>
      <c r="I5179" s="5" t="n">
        <v>58</v>
      </c>
      <c r="J5179" s="5" t="n">
        <v>0</v>
      </c>
      <c r="K5179" s="10">
        <f>IF(F5179&gt;0,H5179/F5179,"")</f>
        <v/>
      </c>
      <c r="L5179" s="16">
        <f>IF(AND(G5179&gt;0,H5179&gt;0),G5179/H5179,"")</f>
        <v/>
      </c>
    </row>
    <row r="5180">
      <c r="A5180" s="4" t="inlineStr">
        <is>
          <t>150</t>
        </is>
      </c>
      <c r="B5180" s="4" t="n">
        <v>1</v>
      </c>
      <c r="C5180" s="4" t="inlineStr">
        <is>
          <t>mule deer</t>
        </is>
      </c>
      <c r="D5180" s="4" t="n">
        <v>2008</v>
      </c>
      <c r="E5180" s="13" t="inlineStr">
        <is>
          <t>General</t>
        </is>
      </c>
      <c r="F5180" s="5" t="n">
        <v>361</v>
      </c>
      <c r="G5180" s="5" t="n">
        <v>2517</v>
      </c>
      <c r="H5180" s="5" t="n">
        <v>40</v>
      </c>
      <c r="I5180" s="5" t="n">
        <v>40</v>
      </c>
      <c r="J5180" s="5" t="n">
        <v>0</v>
      </c>
      <c r="K5180" s="10">
        <f>IF(F5180&gt;0,H5180/F5180,"")</f>
        <v/>
      </c>
      <c r="L5180" s="16">
        <f>IF(AND(G5180&gt;0,H5180&gt;0),G5180/H5180,"")</f>
        <v/>
      </c>
    </row>
    <row r="5181">
      <c r="A5181" s="4" t="inlineStr">
        <is>
          <t>150</t>
        </is>
      </c>
      <c r="B5181" s="4" t="n">
        <v>1</v>
      </c>
      <c r="C5181" s="4" t="inlineStr">
        <is>
          <t>mule deer</t>
        </is>
      </c>
      <c r="D5181" s="4" t="n">
        <v>2009</v>
      </c>
      <c r="E5181" s="13" t="inlineStr">
        <is>
          <t>General</t>
        </is>
      </c>
      <c r="F5181" s="5" t="n">
        <v>274</v>
      </c>
      <c r="G5181" s="5" t="n">
        <v>1761</v>
      </c>
      <c r="H5181" s="5" t="n">
        <v>24</v>
      </c>
      <c r="I5181" s="5" t="n">
        <v>24</v>
      </c>
      <c r="J5181" s="5" t="n">
        <v>0</v>
      </c>
      <c r="K5181" s="10">
        <f>IF(F5181&gt;0,H5181/F5181,"")</f>
        <v/>
      </c>
      <c r="L5181" s="16">
        <f>IF(AND(G5181&gt;0,H5181&gt;0),G5181/H5181,"")</f>
        <v/>
      </c>
    </row>
    <row r="5182">
      <c r="A5182" s="4" t="inlineStr">
        <is>
          <t>150</t>
        </is>
      </c>
      <c r="B5182" s="4" t="n">
        <v>1</v>
      </c>
      <c r="C5182" s="4" t="inlineStr">
        <is>
          <t>mule deer</t>
        </is>
      </c>
      <c r="D5182" s="4" t="n">
        <v>2010</v>
      </c>
      <c r="E5182" s="13" t="inlineStr">
        <is>
          <t>General</t>
        </is>
      </c>
      <c r="F5182" s="5" t="n">
        <v>295</v>
      </c>
      <c r="G5182" s="5" t="n">
        <v>2292</v>
      </c>
      <c r="H5182" s="5" t="n">
        <v>30</v>
      </c>
      <c r="I5182" s="5" t="n">
        <v>30</v>
      </c>
      <c r="J5182" s="5" t="n">
        <v>0</v>
      </c>
      <c r="K5182" s="10">
        <f>IF(F5182&gt;0,H5182/F5182,"")</f>
        <v/>
      </c>
      <c r="L5182" s="16">
        <f>IF(AND(G5182&gt;0,H5182&gt;0),G5182/H5182,"")</f>
        <v/>
      </c>
    </row>
    <row r="5183">
      <c r="A5183" s="4" t="inlineStr">
        <is>
          <t>150</t>
        </is>
      </c>
      <c r="B5183" s="4" t="n">
        <v>1</v>
      </c>
      <c r="C5183" s="4" t="inlineStr">
        <is>
          <t>mule deer</t>
        </is>
      </c>
      <c r="D5183" s="4" t="n">
        <v>2011</v>
      </c>
      <c r="E5183" s="13" t="inlineStr">
        <is>
          <t>General</t>
        </is>
      </c>
      <c r="F5183" s="5" t="n">
        <v>271</v>
      </c>
      <c r="G5183" s="5" t="n">
        <v>1768</v>
      </c>
      <c r="H5183" s="5" t="n">
        <v>17</v>
      </c>
      <c r="I5183" s="5" t="n">
        <v>17</v>
      </c>
      <c r="J5183" s="5" t="n">
        <v>0</v>
      </c>
      <c r="K5183" s="10">
        <f>IF(F5183&gt;0,H5183/F5183,"")</f>
        <v/>
      </c>
      <c r="L5183" s="16">
        <f>IF(AND(G5183&gt;0,H5183&gt;0),G5183/H5183,"")</f>
        <v/>
      </c>
    </row>
    <row r="5184">
      <c r="A5184" s="4" t="inlineStr">
        <is>
          <t>150</t>
        </is>
      </c>
      <c r="B5184" s="4" t="n">
        <v>1</v>
      </c>
      <c r="C5184" s="4" t="inlineStr">
        <is>
          <t>mule deer</t>
        </is>
      </c>
      <c r="D5184" s="4" t="n">
        <v>2012</v>
      </c>
      <c r="E5184" s="13" t="inlineStr">
        <is>
          <t>General</t>
        </is>
      </c>
      <c r="F5184" s="5" t="n"/>
      <c r="G5184" s="5" t="n"/>
      <c r="H5184" s="5" t="n">
        <v>31</v>
      </c>
      <c r="I5184" s="5" t="n">
        <v>31</v>
      </c>
      <c r="J5184" s="5" t="n">
        <v>0</v>
      </c>
      <c r="K5184" s="10">
        <f>IF(F5184&gt;0,H5184/F5184,"")</f>
        <v/>
      </c>
      <c r="L5184" s="16">
        <f>IF(AND(G5184&gt;0,H5184&gt;0),G5184/H5184,"")</f>
        <v/>
      </c>
    </row>
    <row r="5185">
      <c r="A5185" s="4" t="inlineStr">
        <is>
          <t>150</t>
        </is>
      </c>
      <c r="B5185" s="4" t="n">
        <v>1</v>
      </c>
      <c r="C5185" s="4" t="inlineStr">
        <is>
          <t>mule deer</t>
        </is>
      </c>
      <c r="D5185" s="4" t="n">
        <v>2013</v>
      </c>
      <c r="E5185" s="13" t="inlineStr">
        <is>
          <t>General</t>
        </is>
      </c>
      <c r="F5185" s="5" t="n">
        <v>440</v>
      </c>
      <c r="G5185" s="5" t="n">
        <v>3083</v>
      </c>
      <c r="H5185" s="5" t="n">
        <v>58</v>
      </c>
      <c r="I5185" s="5" t="n">
        <v>58</v>
      </c>
      <c r="J5185" s="5" t="n">
        <v>0</v>
      </c>
      <c r="K5185" s="10">
        <f>IF(F5185&gt;0,H5185/F5185,"")</f>
        <v/>
      </c>
      <c r="L5185" s="16">
        <f>IF(AND(G5185&gt;0,H5185&gt;0),G5185/H5185,"")</f>
        <v/>
      </c>
    </row>
    <row r="5186">
      <c r="A5186" s="4" t="inlineStr">
        <is>
          <t>150</t>
        </is>
      </c>
      <c r="B5186" s="4" t="n">
        <v>1</v>
      </c>
      <c r="C5186" s="4" t="inlineStr">
        <is>
          <t>mule deer</t>
        </is>
      </c>
      <c r="D5186" s="4" t="n">
        <v>2014</v>
      </c>
      <c r="E5186" s="13" t="inlineStr">
        <is>
          <t>General</t>
        </is>
      </c>
      <c r="F5186" s="5" t="n"/>
      <c r="G5186" s="5" t="n"/>
      <c r="H5186" s="5" t="n">
        <v>23</v>
      </c>
      <c r="I5186" s="5" t="n">
        <v>23</v>
      </c>
      <c r="J5186" s="5" t="n">
        <v>0</v>
      </c>
      <c r="K5186" s="10">
        <f>IF(F5186&gt;0,H5186/F5186,"")</f>
        <v/>
      </c>
      <c r="L5186" s="16">
        <f>IF(AND(G5186&gt;0,H5186&gt;0),G5186/H5186,"")</f>
        <v/>
      </c>
    </row>
    <row r="5187">
      <c r="A5187" s="4" t="inlineStr">
        <is>
          <t>150</t>
        </is>
      </c>
      <c r="B5187" s="4" t="n">
        <v>1</v>
      </c>
      <c r="C5187" s="4" t="inlineStr">
        <is>
          <t>mule deer</t>
        </is>
      </c>
      <c r="D5187" s="4" t="n">
        <v>2015</v>
      </c>
      <c r="E5187" s="13" t="inlineStr">
        <is>
          <t>General</t>
        </is>
      </c>
      <c r="F5187" s="5" t="n"/>
      <c r="G5187" s="5" t="n"/>
      <c r="H5187" s="5" t="n">
        <v>20</v>
      </c>
      <c r="I5187" s="5" t="n">
        <v>20</v>
      </c>
      <c r="J5187" s="5" t="n">
        <v>0</v>
      </c>
      <c r="K5187" s="10">
        <f>IF(F5187&gt;0,H5187/F5187,"")</f>
        <v/>
      </c>
      <c r="L5187" s="16">
        <f>IF(AND(G5187&gt;0,H5187&gt;0),G5187/H5187,"")</f>
        <v/>
      </c>
    </row>
    <row r="5188">
      <c r="A5188" s="4" t="inlineStr">
        <is>
          <t>150</t>
        </is>
      </c>
      <c r="B5188" s="4" t="n">
        <v>1</v>
      </c>
      <c r="C5188" s="4" t="inlineStr">
        <is>
          <t>mule deer</t>
        </is>
      </c>
      <c r="D5188" s="4" t="n">
        <v>2016</v>
      </c>
      <c r="E5188" s="13" t="inlineStr">
        <is>
          <t>General</t>
        </is>
      </c>
      <c r="F5188" s="5" t="n"/>
      <c r="G5188" s="5" t="n"/>
      <c r="H5188" s="5" t="n">
        <v>15</v>
      </c>
      <c r="I5188" s="5" t="n">
        <v>15</v>
      </c>
      <c r="J5188" s="5" t="n">
        <v>0</v>
      </c>
      <c r="K5188" s="10">
        <f>IF(F5188&gt;0,H5188/F5188,"")</f>
        <v/>
      </c>
      <c r="L5188" s="16">
        <f>IF(AND(G5188&gt;0,H5188&gt;0),G5188/H5188,"")</f>
        <v/>
      </c>
    </row>
    <row r="5189">
      <c r="A5189" s="4" t="inlineStr">
        <is>
          <t>150</t>
        </is>
      </c>
      <c r="B5189" s="4" t="n">
        <v>1</v>
      </c>
      <c r="C5189" s="4" t="inlineStr">
        <is>
          <t>mule deer</t>
        </is>
      </c>
      <c r="D5189" s="4" t="n">
        <v>2017</v>
      </c>
      <c r="E5189" s="13" t="inlineStr">
        <is>
          <t>General</t>
        </is>
      </c>
      <c r="F5189" s="5" t="n">
        <v>174</v>
      </c>
      <c r="G5189" s="5" t="n">
        <v>1013</v>
      </c>
      <c r="H5189" s="5" t="n">
        <v>23</v>
      </c>
      <c r="I5189" s="5" t="n">
        <v>23</v>
      </c>
      <c r="J5189" s="5" t="n">
        <v>0</v>
      </c>
      <c r="K5189" s="10">
        <f>IF(F5189&gt;0,H5189/F5189,"")</f>
        <v/>
      </c>
      <c r="L5189" s="16">
        <f>IF(AND(G5189&gt;0,H5189&gt;0),G5189/H5189,"")</f>
        <v/>
      </c>
    </row>
    <row r="5190">
      <c r="A5190" s="4" t="inlineStr">
        <is>
          <t>150</t>
        </is>
      </c>
      <c r="B5190" s="4" t="n">
        <v>1</v>
      </c>
      <c r="C5190" s="4" t="inlineStr">
        <is>
          <t>mule deer</t>
        </is>
      </c>
      <c r="D5190" s="4" t="n">
        <v>2020</v>
      </c>
      <c r="E5190" s="13" t="inlineStr">
        <is>
          <t>General</t>
        </is>
      </c>
      <c r="F5190" s="5" t="n"/>
      <c r="G5190" s="5" t="n"/>
      <c r="H5190" s="5" t="n">
        <v>7</v>
      </c>
      <c r="I5190" s="5" t="n">
        <v>7</v>
      </c>
      <c r="J5190" s="5" t="n">
        <v>0</v>
      </c>
      <c r="K5190" s="10">
        <f>IF(F5190&gt;0,H5190/F5190,"")</f>
        <v/>
      </c>
      <c r="L5190" s="16">
        <f>IF(AND(G5190&gt;0,H5190&gt;0),G5190/H5190,"")</f>
        <v/>
      </c>
    </row>
    <row r="5191">
      <c r="A5191" s="4" t="inlineStr">
        <is>
          <t>150</t>
        </is>
      </c>
      <c r="B5191" s="4" t="n">
        <v>1</v>
      </c>
      <c r="C5191" s="4" t="inlineStr">
        <is>
          <t>mule deer</t>
        </is>
      </c>
      <c r="D5191" s="4" t="n">
        <v>2021</v>
      </c>
      <c r="E5191" s="13" t="inlineStr">
        <is>
          <t>General</t>
        </is>
      </c>
      <c r="F5191" s="5" t="n">
        <v>138</v>
      </c>
      <c r="G5191" s="5" t="n">
        <v>1096</v>
      </c>
      <c r="H5191" s="5" t="n">
        <v>8</v>
      </c>
      <c r="I5191" s="5" t="n">
        <v>8</v>
      </c>
      <c r="J5191" s="5" t="n">
        <v>0</v>
      </c>
      <c r="K5191" s="10">
        <f>IF(F5191&gt;0,H5191/F5191,"")</f>
        <v/>
      </c>
      <c r="L5191" s="16">
        <f>IF(AND(G5191&gt;0,H5191&gt;0),G5191/H5191,"")</f>
        <v/>
      </c>
    </row>
    <row r="5192">
      <c r="A5192" s="4" t="inlineStr">
        <is>
          <t>150</t>
        </is>
      </c>
      <c r="B5192" s="4" t="n">
        <v>1</v>
      </c>
      <c r="C5192" s="4" t="inlineStr">
        <is>
          <t>mule deer</t>
        </is>
      </c>
      <c r="D5192" s="4" t="n">
        <v>2022</v>
      </c>
      <c r="E5192" s="13" t="inlineStr">
        <is>
          <t>General</t>
        </is>
      </c>
      <c r="F5192" s="5" t="n"/>
      <c r="G5192" s="5" t="n"/>
      <c r="H5192" s="5" t="n">
        <v>10</v>
      </c>
      <c r="I5192" s="5" t="n">
        <v>7</v>
      </c>
      <c r="J5192" s="5" t="n">
        <v>3</v>
      </c>
      <c r="K5192" s="10">
        <f>IF(F5192&gt;0,H5192/F5192,"")</f>
        <v/>
      </c>
      <c r="L5192" s="16">
        <f>IF(AND(G5192&gt;0,H5192&gt;0),G5192/H5192,"")</f>
        <v/>
      </c>
    </row>
    <row r="5193">
      <c r="A5193" s="4" t="inlineStr">
        <is>
          <t>150</t>
        </is>
      </c>
      <c r="B5193" s="4" t="n">
        <v>1</v>
      </c>
      <c r="C5193" s="4" t="inlineStr">
        <is>
          <t>mule deer</t>
        </is>
      </c>
      <c r="D5193" s="4" t="n">
        <v>2023</v>
      </c>
      <c r="E5193" s="13" t="inlineStr">
        <is>
          <t>General</t>
        </is>
      </c>
      <c r="F5193" s="5" t="n">
        <v>205</v>
      </c>
      <c r="G5193" s="5" t="n">
        <v>1388</v>
      </c>
      <c r="H5193" s="5" t="n">
        <v>9</v>
      </c>
      <c r="I5193" s="5" t="n">
        <v>9</v>
      </c>
      <c r="J5193" s="5" t="n">
        <v>0</v>
      </c>
      <c r="K5193" s="10">
        <f>IF(F5193&gt;0,H5193/F5193,"")</f>
        <v/>
      </c>
      <c r="L5193" s="16">
        <f>IF(AND(G5193&gt;0,H5193&gt;0),G5193/H5193,"")</f>
        <v/>
      </c>
    </row>
    <row r="5194">
      <c r="A5194" s="4" t="inlineStr">
        <is>
          <t>150</t>
        </is>
      </c>
      <c r="B5194" s="4" t="n">
        <v>1</v>
      </c>
      <c r="C5194" s="4" t="inlineStr">
        <is>
          <t>mule deer</t>
        </is>
      </c>
      <c r="D5194" s="4" t="n">
        <v>2024</v>
      </c>
      <c r="E5194" s="13" t="inlineStr">
        <is>
          <t>General</t>
        </is>
      </c>
      <c r="F5194" s="5" t="n"/>
      <c r="G5194" s="5" t="n"/>
      <c r="H5194" s="5" t="n">
        <v>12</v>
      </c>
      <c r="I5194" s="5" t="n">
        <v>12</v>
      </c>
      <c r="J5194" s="5" t="n">
        <v>0</v>
      </c>
      <c r="K5194" s="10">
        <f>IF(F5194&gt;0,H5194/F5194,"")</f>
        <v/>
      </c>
      <c r="L5194" s="16">
        <f>IF(AND(G5194&gt;0,H5194&gt;0),G5194/H5194,"")</f>
        <v/>
      </c>
    </row>
    <row r="5195">
      <c r="A5195" s="4" t="inlineStr">
        <is>
          <t>150</t>
        </is>
      </c>
      <c r="B5195" s="4" t="n">
        <v>1</v>
      </c>
      <c r="C5195" s="4" t="inlineStr">
        <is>
          <t>mule deer</t>
        </is>
      </c>
      <c r="D5195" s="4" t="n">
        <v>2025</v>
      </c>
      <c r="E5195" s="13" t="inlineStr">
        <is>
          <t>General</t>
        </is>
      </c>
      <c r="F5195" s="5" t="n">
        <v>275</v>
      </c>
      <c r="G5195" s="5" t="n">
        <v>1747</v>
      </c>
      <c r="H5195" s="5" t="n">
        <v>10</v>
      </c>
      <c r="I5195" s="5" t="n">
        <v>10</v>
      </c>
      <c r="J5195" s="5" t="n">
        <v>0</v>
      </c>
      <c r="K5195" s="10">
        <f>IF(F5195&gt;0,H5195/F5195,"")</f>
        <v/>
      </c>
      <c r="L5195" s="16">
        <f>IF(AND(G5195&gt;0,H5195&gt;0),G5195/H5195,"")</f>
        <v/>
      </c>
    </row>
    <row r="5196">
      <c r="A5196" s="4" t="inlineStr">
        <is>
          <t>151</t>
        </is>
      </c>
      <c r="B5196" s="4" t="n">
        <v>1</v>
      </c>
      <c r="C5196" s="4" t="inlineStr">
        <is>
          <t>mule deer</t>
        </is>
      </c>
      <c r="D5196" s="4" t="n">
        <v>2004</v>
      </c>
      <c r="E5196" s="4" t="inlineStr"/>
      <c r="F5196" s="5" t="n">
        <v>91</v>
      </c>
      <c r="G5196" s="5" t="n">
        <v>579</v>
      </c>
      <c r="H5196" s="5" t="n">
        <v>11</v>
      </c>
      <c r="I5196" s="5" t="n">
        <v>11</v>
      </c>
      <c r="J5196" s="5" t="n">
        <v>0</v>
      </c>
      <c r="K5196" s="10">
        <f>IF(F5196&gt;0,H5196/F5196,"")</f>
        <v/>
      </c>
      <c r="L5196" s="16">
        <f>IF(AND(G5196&gt;0,H5196&gt;0),G5196/H5196,"")</f>
        <v/>
      </c>
    </row>
    <row r="5197">
      <c r="A5197" s="4" t="inlineStr">
        <is>
          <t>151</t>
        </is>
      </c>
      <c r="B5197" s="4" t="n">
        <v>1</v>
      </c>
      <c r="C5197" s="4" t="inlineStr">
        <is>
          <t>mule deer</t>
        </is>
      </c>
      <c r="D5197" s="4" t="n">
        <v>2005</v>
      </c>
      <c r="E5197" s="4" t="inlineStr"/>
      <c r="F5197" s="5" t="n">
        <v>42</v>
      </c>
      <c r="G5197" s="5" t="n">
        <v>282</v>
      </c>
      <c r="H5197" s="5" t="n">
        <v>13</v>
      </c>
      <c r="I5197" s="5" t="n">
        <v>13</v>
      </c>
      <c r="J5197" s="5" t="n">
        <v>0</v>
      </c>
      <c r="K5197" s="10">
        <f>IF(F5197&gt;0,H5197/F5197,"")</f>
        <v/>
      </c>
      <c r="L5197" s="16">
        <f>IF(AND(G5197&gt;0,H5197&gt;0),G5197/H5197,"")</f>
        <v/>
      </c>
    </row>
    <row r="5198">
      <c r="A5198" s="4" t="inlineStr">
        <is>
          <t>151</t>
        </is>
      </c>
      <c r="B5198" s="4" t="n">
        <v>1</v>
      </c>
      <c r="C5198" s="4" t="inlineStr">
        <is>
          <t>mule deer</t>
        </is>
      </c>
      <c r="D5198" s="4" t="n">
        <v>2006</v>
      </c>
      <c r="E5198" s="4" t="inlineStr"/>
      <c r="F5198" s="5" t="n">
        <v>88</v>
      </c>
      <c r="G5198" s="5" t="n">
        <v>479</v>
      </c>
      <c r="H5198" s="5" t="n">
        <v>19</v>
      </c>
      <c r="I5198" s="5" t="n">
        <v>19</v>
      </c>
      <c r="J5198" s="5" t="n">
        <v>0</v>
      </c>
      <c r="K5198" s="10">
        <f>IF(F5198&gt;0,H5198/F5198,"")</f>
        <v/>
      </c>
      <c r="L5198" s="16">
        <f>IF(AND(G5198&gt;0,H5198&gt;0),G5198/H5198,"")</f>
        <v/>
      </c>
    </row>
    <row r="5199">
      <c r="A5199" s="4" t="inlineStr">
        <is>
          <t>151</t>
        </is>
      </c>
      <c r="B5199" s="4" t="n">
        <v>1</v>
      </c>
      <c r="C5199" s="4" t="inlineStr">
        <is>
          <t>mule deer</t>
        </is>
      </c>
      <c r="D5199" s="4" t="n">
        <v>2007</v>
      </c>
      <c r="E5199" s="4" t="inlineStr"/>
      <c r="F5199" s="5" t="n">
        <v>35</v>
      </c>
      <c r="G5199" s="5" t="n">
        <v>219</v>
      </c>
      <c r="H5199" s="5" t="n">
        <v>6</v>
      </c>
      <c r="I5199" s="5" t="n">
        <v>6</v>
      </c>
      <c r="J5199" s="5" t="n">
        <v>0</v>
      </c>
      <c r="K5199" s="10">
        <f>IF(F5199&gt;0,H5199/F5199,"")</f>
        <v/>
      </c>
      <c r="L5199" s="16">
        <f>IF(AND(G5199&gt;0,H5199&gt;0),G5199/H5199,"")</f>
        <v/>
      </c>
    </row>
    <row r="5200">
      <c r="A5200" s="4" t="inlineStr">
        <is>
          <t>151</t>
        </is>
      </c>
      <c r="B5200" s="4" t="n">
        <v>1</v>
      </c>
      <c r="C5200" s="4" t="inlineStr">
        <is>
          <t>mule deer</t>
        </is>
      </c>
      <c r="D5200" s="4" t="n">
        <v>2008</v>
      </c>
      <c r="E5200" s="4" t="inlineStr"/>
      <c r="F5200" s="5" t="n">
        <v>95</v>
      </c>
      <c r="G5200" s="5" t="n">
        <v>738</v>
      </c>
      <c r="H5200" s="5" t="n">
        <v>15</v>
      </c>
      <c r="I5200" s="5" t="n">
        <v>15</v>
      </c>
      <c r="J5200" s="5" t="n">
        <v>0</v>
      </c>
      <c r="K5200" s="10">
        <f>IF(F5200&gt;0,H5200/F5200,"")</f>
        <v/>
      </c>
      <c r="L5200" s="16">
        <f>IF(AND(G5200&gt;0,H5200&gt;0),G5200/H5200,"")</f>
        <v/>
      </c>
    </row>
    <row r="5201">
      <c r="A5201" s="4" t="inlineStr">
        <is>
          <t>151</t>
        </is>
      </c>
      <c r="B5201" s="4" t="n">
        <v>1</v>
      </c>
      <c r="C5201" s="4" t="inlineStr">
        <is>
          <t>mule deer</t>
        </is>
      </c>
      <c r="D5201" s="4" t="n">
        <v>2009</v>
      </c>
      <c r="E5201" s="4" t="inlineStr"/>
      <c r="F5201" s="5" t="n">
        <v>93</v>
      </c>
      <c r="G5201" s="5" t="n">
        <v>605</v>
      </c>
      <c r="H5201" s="5" t="n">
        <v>20</v>
      </c>
      <c r="I5201" s="5" t="n">
        <v>20</v>
      </c>
      <c r="J5201" s="5" t="n">
        <v>0</v>
      </c>
      <c r="K5201" s="10">
        <f>IF(F5201&gt;0,H5201/F5201,"")</f>
        <v/>
      </c>
      <c r="L5201" s="16">
        <f>IF(AND(G5201&gt;0,H5201&gt;0),G5201/H5201,"")</f>
        <v/>
      </c>
    </row>
    <row r="5202">
      <c r="A5202" s="4" t="inlineStr">
        <is>
          <t>151</t>
        </is>
      </c>
      <c r="B5202" s="4" t="n">
        <v>1</v>
      </c>
      <c r="C5202" s="4" t="inlineStr">
        <is>
          <t>mule deer</t>
        </is>
      </c>
      <c r="D5202" s="4" t="n">
        <v>2010</v>
      </c>
      <c r="E5202" s="4" t="inlineStr"/>
      <c r="F5202" s="5" t="n">
        <v>88</v>
      </c>
      <c r="G5202" s="5" t="n">
        <v>676</v>
      </c>
      <c r="H5202" s="5" t="n">
        <v>8</v>
      </c>
      <c r="I5202" s="5" t="n">
        <v>8</v>
      </c>
      <c r="J5202" s="5" t="n">
        <v>0</v>
      </c>
      <c r="K5202" s="10">
        <f>IF(F5202&gt;0,H5202/F5202,"")</f>
        <v/>
      </c>
      <c r="L5202" s="16">
        <f>IF(AND(G5202&gt;0,H5202&gt;0),G5202/H5202,"")</f>
        <v/>
      </c>
    </row>
    <row r="5203">
      <c r="A5203" s="4" t="inlineStr">
        <is>
          <t>151</t>
        </is>
      </c>
      <c r="B5203" s="4" t="n">
        <v>1</v>
      </c>
      <c r="C5203" s="4" t="inlineStr">
        <is>
          <t>mule deer</t>
        </is>
      </c>
      <c r="D5203" s="4" t="n">
        <v>2012</v>
      </c>
      <c r="E5203" s="4" t="inlineStr"/>
      <c r="F5203" s="5" t="n"/>
      <c r="G5203" s="5" t="n"/>
      <c r="H5203" s="5" t="n">
        <v>3</v>
      </c>
      <c r="I5203" s="5" t="n">
        <v>3</v>
      </c>
      <c r="J5203" s="5" t="n">
        <v>0</v>
      </c>
      <c r="K5203" s="10">
        <f>IF(F5203&gt;0,H5203/F5203,"")</f>
        <v/>
      </c>
      <c r="L5203" s="16">
        <f>IF(AND(G5203&gt;0,H5203&gt;0),G5203/H5203,"")</f>
        <v/>
      </c>
    </row>
    <row r="5204">
      <c r="A5204" s="4" t="inlineStr">
        <is>
          <t>151</t>
        </is>
      </c>
      <c r="B5204" s="4" t="n">
        <v>1</v>
      </c>
      <c r="C5204" s="4" t="inlineStr">
        <is>
          <t>mule deer</t>
        </is>
      </c>
      <c r="D5204" s="4" t="n">
        <v>2013</v>
      </c>
      <c r="E5204" s="4" t="inlineStr"/>
      <c r="F5204" s="5" t="n">
        <v>55</v>
      </c>
      <c r="G5204" s="5" t="n">
        <v>346</v>
      </c>
      <c r="H5204" s="5" t="n">
        <v>3</v>
      </c>
      <c r="I5204" s="5" t="n">
        <v>3</v>
      </c>
      <c r="J5204" s="5" t="n">
        <v>0</v>
      </c>
      <c r="K5204" s="10">
        <f>IF(F5204&gt;0,H5204/F5204,"")</f>
        <v/>
      </c>
      <c r="L5204" s="16">
        <f>IF(AND(G5204&gt;0,H5204&gt;0),G5204/H5204,"")</f>
        <v/>
      </c>
    </row>
    <row r="5205">
      <c r="A5205" s="4" t="inlineStr">
        <is>
          <t>151</t>
        </is>
      </c>
      <c r="B5205" s="4" t="n">
        <v>1</v>
      </c>
      <c r="C5205" s="4" t="inlineStr">
        <is>
          <t>mule deer</t>
        </is>
      </c>
      <c r="D5205" s="4" t="n">
        <v>2015</v>
      </c>
      <c r="E5205" s="4" t="inlineStr"/>
      <c r="F5205" s="5" t="n"/>
      <c r="G5205" s="5" t="n"/>
      <c r="H5205" s="5" t="n">
        <v>3</v>
      </c>
      <c r="I5205" s="5" t="n">
        <v>3</v>
      </c>
      <c r="J5205" s="5" t="n">
        <v>0</v>
      </c>
      <c r="K5205" s="10">
        <f>IF(F5205&gt;0,H5205/F5205,"")</f>
        <v/>
      </c>
      <c r="L5205" s="16">
        <f>IF(AND(G5205&gt;0,H5205&gt;0),G5205/H5205,"")</f>
        <v/>
      </c>
    </row>
    <row r="5206">
      <c r="A5206" s="4" t="inlineStr">
        <is>
          <t>151</t>
        </is>
      </c>
      <c r="B5206" s="4" t="n">
        <v>1</v>
      </c>
      <c r="C5206" s="4" t="inlineStr">
        <is>
          <t>mule deer</t>
        </is>
      </c>
      <c r="D5206" s="4" t="n">
        <v>2017</v>
      </c>
      <c r="E5206" s="4" t="inlineStr"/>
      <c r="F5206" s="5" t="n">
        <v>60</v>
      </c>
      <c r="G5206" s="5" t="n">
        <v>444</v>
      </c>
      <c r="H5206" s="5" t="n">
        <v>6</v>
      </c>
      <c r="I5206" s="5" t="n">
        <v>6</v>
      </c>
      <c r="J5206" s="5" t="n">
        <v>0</v>
      </c>
      <c r="K5206" s="10">
        <f>IF(F5206&gt;0,H5206/F5206,"")</f>
        <v/>
      </c>
      <c r="L5206" s="16">
        <f>IF(AND(G5206&gt;0,H5206&gt;0),G5206/H5206,"")</f>
        <v/>
      </c>
    </row>
    <row r="5207">
      <c r="A5207" s="4" t="inlineStr">
        <is>
          <t>151</t>
        </is>
      </c>
      <c r="B5207" s="4" t="n">
        <v>1</v>
      </c>
      <c r="C5207" s="4" t="inlineStr">
        <is>
          <t>mule deer</t>
        </is>
      </c>
      <c r="D5207" s="4" t="n">
        <v>2018</v>
      </c>
      <c r="E5207" s="4" t="inlineStr"/>
      <c r="F5207" s="5" t="n"/>
      <c r="G5207" s="5" t="n"/>
      <c r="H5207" s="5" t="n">
        <v>3</v>
      </c>
      <c r="I5207" s="5" t="n">
        <v>3</v>
      </c>
      <c r="J5207" s="5" t="n">
        <v>0</v>
      </c>
      <c r="K5207" s="10">
        <f>IF(F5207&gt;0,H5207/F5207,"")</f>
        <v/>
      </c>
      <c r="L5207" s="16">
        <f>IF(AND(G5207&gt;0,H5207&gt;0),G5207/H5207,"")</f>
        <v/>
      </c>
    </row>
    <row r="5208">
      <c r="A5208" s="4" t="inlineStr">
        <is>
          <t>151</t>
        </is>
      </c>
      <c r="B5208" s="4" t="n">
        <v>1</v>
      </c>
      <c r="C5208" s="4" t="inlineStr">
        <is>
          <t>mule deer</t>
        </is>
      </c>
      <c r="D5208" s="4" t="n">
        <v>2019</v>
      </c>
      <c r="E5208" s="4" t="inlineStr"/>
      <c r="F5208" s="5" t="n">
        <v>29</v>
      </c>
      <c r="G5208" s="5" t="n">
        <v>250</v>
      </c>
      <c r="H5208" s="5" t="n">
        <v>6</v>
      </c>
      <c r="I5208" s="5" t="n">
        <v>6</v>
      </c>
      <c r="J5208" s="5" t="n">
        <v>0</v>
      </c>
      <c r="K5208" s="10">
        <f>IF(F5208&gt;0,H5208/F5208,"")</f>
        <v/>
      </c>
      <c r="L5208" s="16">
        <f>IF(AND(G5208&gt;0,H5208&gt;0),G5208/H5208,"")</f>
        <v/>
      </c>
    </row>
    <row r="5209">
      <c r="A5209" s="4" t="inlineStr">
        <is>
          <t>170</t>
        </is>
      </c>
      <c r="B5209" s="4" t="n">
        <v>1</v>
      </c>
      <c r="C5209" s="4" t="inlineStr">
        <is>
          <t>mule deer</t>
        </is>
      </c>
      <c r="D5209" s="4" t="n">
        <v>2004</v>
      </c>
      <c r="E5209" s="13" t="inlineStr">
        <is>
          <t>General</t>
        </is>
      </c>
      <c r="F5209" s="5" t="n">
        <v>866</v>
      </c>
      <c r="G5209" s="5" t="n">
        <v>4603</v>
      </c>
      <c r="H5209" s="5" t="n">
        <v>17</v>
      </c>
      <c r="I5209" s="5" t="n">
        <v>14</v>
      </c>
      <c r="J5209" s="5" t="n">
        <v>3</v>
      </c>
      <c r="K5209" s="10">
        <f>IF(F5209&gt;0,H5209/F5209,"")</f>
        <v/>
      </c>
      <c r="L5209" s="16">
        <f>IF(AND(G5209&gt;0,H5209&gt;0),G5209/H5209,"")</f>
        <v/>
      </c>
    </row>
    <row r="5210">
      <c r="A5210" s="4" t="inlineStr">
        <is>
          <t>170</t>
        </is>
      </c>
      <c r="B5210" s="4" t="n">
        <v>1</v>
      </c>
      <c r="C5210" s="4" t="inlineStr">
        <is>
          <t>mule deer</t>
        </is>
      </c>
      <c r="D5210" s="4" t="n">
        <v>2005</v>
      </c>
      <c r="E5210" s="13" t="inlineStr">
        <is>
          <t>General</t>
        </is>
      </c>
      <c r="F5210" s="5" t="n">
        <v>974</v>
      </c>
      <c r="G5210" s="5" t="n">
        <v>5619</v>
      </c>
      <c r="H5210" s="5" t="n">
        <v>23</v>
      </c>
      <c r="I5210" s="5" t="n">
        <v>20</v>
      </c>
      <c r="J5210" s="5" t="n">
        <v>2</v>
      </c>
      <c r="K5210" s="10">
        <f>IF(F5210&gt;0,H5210/F5210,"")</f>
        <v/>
      </c>
      <c r="L5210" s="16">
        <f>IF(AND(G5210&gt;0,H5210&gt;0),G5210/H5210,"")</f>
        <v/>
      </c>
    </row>
    <row r="5211">
      <c r="A5211" s="4" t="inlineStr">
        <is>
          <t>170</t>
        </is>
      </c>
      <c r="B5211" s="4" t="n">
        <v>1</v>
      </c>
      <c r="C5211" s="4" t="inlineStr">
        <is>
          <t>mule deer</t>
        </is>
      </c>
      <c r="D5211" s="4" t="n">
        <v>2006</v>
      </c>
      <c r="E5211" s="13" t="inlineStr">
        <is>
          <t>General</t>
        </is>
      </c>
      <c r="F5211" s="5" t="n">
        <v>1054</v>
      </c>
      <c r="G5211" s="5" t="n">
        <v>6186</v>
      </c>
      <c r="H5211" s="5" t="n">
        <v>42</v>
      </c>
      <c r="I5211" s="5" t="n">
        <v>30</v>
      </c>
      <c r="J5211" s="5" t="n">
        <v>12</v>
      </c>
      <c r="K5211" s="10">
        <f>IF(F5211&gt;0,H5211/F5211,"")</f>
        <v/>
      </c>
      <c r="L5211" s="16">
        <f>IF(AND(G5211&gt;0,H5211&gt;0),G5211/H5211,"")</f>
        <v/>
      </c>
    </row>
    <row r="5212">
      <c r="A5212" s="4" t="inlineStr">
        <is>
          <t>170</t>
        </is>
      </c>
      <c r="B5212" s="4" t="n">
        <v>1</v>
      </c>
      <c r="C5212" s="4" t="inlineStr">
        <is>
          <t>mule deer</t>
        </is>
      </c>
      <c r="D5212" s="4" t="n">
        <v>2007</v>
      </c>
      <c r="E5212" s="13" t="inlineStr">
        <is>
          <t>General</t>
        </is>
      </c>
      <c r="F5212" s="5" t="n">
        <v>1125</v>
      </c>
      <c r="G5212" s="5" t="n">
        <v>6330</v>
      </c>
      <c r="H5212" s="5" t="n">
        <v>20</v>
      </c>
      <c r="I5212" s="5" t="n">
        <v>15</v>
      </c>
      <c r="J5212" s="5" t="n">
        <v>5</v>
      </c>
      <c r="K5212" s="10">
        <f>IF(F5212&gt;0,H5212/F5212,"")</f>
        <v/>
      </c>
      <c r="L5212" s="16">
        <f>IF(AND(G5212&gt;0,H5212&gt;0),G5212/H5212,"")</f>
        <v/>
      </c>
    </row>
    <row r="5213">
      <c r="A5213" s="4" t="inlineStr">
        <is>
          <t>170</t>
        </is>
      </c>
      <c r="B5213" s="4" t="n">
        <v>1</v>
      </c>
      <c r="C5213" s="4" t="inlineStr">
        <is>
          <t>mule deer</t>
        </is>
      </c>
      <c r="D5213" s="4" t="n">
        <v>2008</v>
      </c>
      <c r="E5213" s="13" t="inlineStr">
        <is>
          <t>General</t>
        </is>
      </c>
      <c r="F5213" s="5" t="n">
        <v>2023</v>
      </c>
      <c r="G5213" s="5" t="n">
        <v>13946</v>
      </c>
      <c r="H5213" s="5" t="n">
        <v>41</v>
      </c>
      <c r="I5213" s="5" t="n">
        <v>18</v>
      </c>
      <c r="J5213" s="5" t="n">
        <v>23</v>
      </c>
      <c r="K5213" s="10">
        <f>IF(F5213&gt;0,H5213/F5213,"")</f>
        <v/>
      </c>
      <c r="L5213" s="16">
        <f>IF(AND(G5213&gt;0,H5213&gt;0),G5213/H5213,"")</f>
        <v/>
      </c>
    </row>
    <row r="5214">
      <c r="A5214" s="4" t="inlineStr">
        <is>
          <t>170</t>
        </is>
      </c>
      <c r="B5214" s="4" t="n">
        <v>1</v>
      </c>
      <c r="C5214" s="4" t="inlineStr">
        <is>
          <t>mule deer</t>
        </is>
      </c>
      <c r="D5214" s="4" t="n">
        <v>2009</v>
      </c>
      <c r="E5214" s="13" t="inlineStr">
        <is>
          <t>General</t>
        </is>
      </c>
      <c r="F5214" s="5" t="n">
        <v>2265</v>
      </c>
      <c r="G5214" s="5" t="n">
        <v>14207</v>
      </c>
      <c r="H5214" s="5" t="n">
        <v>41</v>
      </c>
      <c r="I5214" s="5" t="n">
        <v>21</v>
      </c>
      <c r="J5214" s="5" t="n">
        <v>20</v>
      </c>
      <c r="K5214" s="10">
        <f>IF(F5214&gt;0,H5214/F5214,"")</f>
        <v/>
      </c>
      <c r="L5214" s="16">
        <f>IF(AND(G5214&gt;0,H5214&gt;0),G5214/H5214,"")</f>
        <v/>
      </c>
    </row>
    <row r="5215">
      <c r="A5215" s="4" t="inlineStr">
        <is>
          <t>170</t>
        </is>
      </c>
      <c r="B5215" s="4" t="n">
        <v>1</v>
      </c>
      <c r="C5215" s="4" t="inlineStr">
        <is>
          <t>mule deer</t>
        </is>
      </c>
      <c r="D5215" s="4" t="n">
        <v>2010</v>
      </c>
      <c r="E5215" s="13" t="inlineStr">
        <is>
          <t>General</t>
        </is>
      </c>
      <c r="F5215" s="5" t="n">
        <v>2039</v>
      </c>
      <c r="G5215" s="5" t="n">
        <v>14841</v>
      </c>
      <c r="H5215" s="5" t="n">
        <v>21</v>
      </c>
      <c r="I5215" s="5" t="n">
        <v>12</v>
      </c>
      <c r="J5215" s="5" t="n">
        <v>9</v>
      </c>
      <c r="K5215" s="10">
        <f>IF(F5215&gt;0,H5215/F5215,"")</f>
        <v/>
      </c>
      <c r="L5215" s="16">
        <f>IF(AND(G5215&gt;0,H5215&gt;0),G5215/H5215,"")</f>
        <v/>
      </c>
    </row>
    <row r="5216">
      <c r="A5216" s="4" t="inlineStr">
        <is>
          <t>170</t>
        </is>
      </c>
      <c r="B5216" s="4" t="n">
        <v>1</v>
      </c>
      <c r="C5216" s="4" t="inlineStr">
        <is>
          <t>mule deer</t>
        </is>
      </c>
      <c r="D5216" s="4" t="n">
        <v>2011</v>
      </c>
      <c r="E5216" s="13" t="inlineStr">
        <is>
          <t>General</t>
        </is>
      </c>
      <c r="F5216" s="5" t="n">
        <v>1927</v>
      </c>
      <c r="G5216" s="5" t="n">
        <v>12507</v>
      </c>
      <c r="H5216" s="5" t="n">
        <v>31</v>
      </c>
      <c r="I5216" s="5" t="n">
        <v>17</v>
      </c>
      <c r="J5216" s="5" t="n">
        <v>14</v>
      </c>
      <c r="K5216" s="10">
        <f>IF(F5216&gt;0,H5216/F5216,"")</f>
        <v/>
      </c>
      <c r="L5216" s="16">
        <f>IF(AND(G5216&gt;0,H5216&gt;0),G5216/H5216,"")</f>
        <v/>
      </c>
    </row>
    <row r="5217">
      <c r="A5217" s="4" t="inlineStr">
        <is>
          <t>170</t>
        </is>
      </c>
      <c r="B5217" s="4" t="n">
        <v>1</v>
      </c>
      <c r="C5217" s="4" t="inlineStr">
        <is>
          <t>mule deer</t>
        </is>
      </c>
      <c r="D5217" s="4" t="n">
        <v>2012</v>
      </c>
      <c r="E5217" s="13" t="inlineStr">
        <is>
          <t>General</t>
        </is>
      </c>
      <c r="F5217" s="5" t="n"/>
      <c r="G5217" s="5" t="n"/>
      <c r="H5217" s="5" t="n">
        <v>18</v>
      </c>
      <c r="I5217" s="5" t="n">
        <v>6</v>
      </c>
      <c r="J5217" s="5" t="n">
        <v>12</v>
      </c>
      <c r="K5217" s="10">
        <f>IF(F5217&gt;0,H5217/F5217,"")</f>
        <v/>
      </c>
      <c r="L5217" s="16">
        <f>IF(AND(G5217&gt;0,H5217&gt;0),G5217/H5217,"")</f>
        <v/>
      </c>
    </row>
    <row r="5218">
      <c r="A5218" s="4" t="inlineStr">
        <is>
          <t>170</t>
        </is>
      </c>
      <c r="B5218" s="4" t="n">
        <v>1</v>
      </c>
      <c r="C5218" s="4" t="inlineStr">
        <is>
          <t>mule deer</t>
        </is>
      </c>
      <c r="D5218" s="4" t="n">
        <v>2013</v>
      </c>
      <c r="E5218" s="13" t="inlineStr">
        <is>
          <t>General</t>
        </is>
      </c>
      <c r="F5218" s="5" t="n">
        <v>2288</v>
      </c>
      <c r="G5218" s="5" t="n">
        <v>15433</v>
      </c>
      <c r="H5218" s="5" t="n">
        <v>3</v>
      </c>
      <c r="I5218" s="5" t="n">
        <v>3</v>
      </c>
      <c r="J5218" s="5" t="n">
        <v>0</v>
      </c>
      <c r="K5218" s="10">
        <f>IF(F5218&gt;0,H5218/F5218,"")</f>
        <v/>
      </c>
      <c r="L5218" s="16">
        <f>IF(AND(G5218&gt;0,H5218&gt;0),G5218/H5218,"")</f>
        <v/>
      </c>
    </row>
    <row r="5219">
      <c r="A5219" s="4" t="inlineStr">
        <is>
          <t>170</t>
        </is>
      </c>
      <c r="B5219" s="4" t="n">
        <v>1</v>
      </c>
      <c r="C5219" s="4" t="inlineStr">
        <is>
          <t>mule deer</t>
        </is>
      </c>
      <c r="D5219" s="4" t="n">
        <v>2014</v>
      </c>
      <c r="E5219" s="13" t="inlineStr">
        <is>
          <t>General</t>
        </is>
      </c>
      <c r="F5219" s="5" t="n"/>
      <c r="G5219" s="5" t="n"/>
      <c r="H5219" s="5" t="n">
        <v>28</v>
      </c>
      <c r="I5219" s="5" t="n">
        <v>14</v>
      </c>
      <c r="J5219" s="5" t="n">
        <v>14</v>
      </c>
      <c r="K5219" s="10">
        <f>IF(F5219&gt;0,H5219/F5219,"")</f>
        <v/>
      </c>
      <c r="L5219" s="16">
        <f>IF(AND(G5219&gt;0,H5219&gt;0),G5219/H5219,"")</f>
        <v/>
      </c>
    </row>
    <row r="5220">
      <c r="A5220" s="4" t="inlineStr">
        <is>
          <t>170</t>
        </is>
      </c>
      <c r="B5220" s="4" t="n">
        <v>1</v>
      </c>
      <c r="C5220" s="4" t="inlineStr">
        <is>
          <t>mule deer</t>
        </is>
      </c>
      <c r="D5220" s="4" t="n">
        <v>2015</v>
      </c>
      <c r="E5220" s="13" t="inlineStr">
        <is>
          <t>General</t>
        </is>
      </c>
      <c r="F5220" s="5" t="n"/>
      <c r="G5220" s="5" t="n"/>
      <c r="H5220" s="5" t="n">
        <v>26</v>
      </c>
      <c r="I5220" s="5" t="n">
        <v>12</v>
      </c>
      <c r="J5220" s="5" t="n">
        <v>12</v>
      </c>
      <c r="K5220" s="10">
        <f>IF(F5220&gt;0,H5220/F5220,"")</f>
        <v/>
      </c>
      <c r="L5220" s="16">
        <f>IF(AND(G5220&gt;0,H5220&gt;0),G5220/H5220,"")</f>
        <v/>
      </c>
    </row>
    <row r="5221">
      <c r="A5221" s="4" t="inlineStr">
        <is>
          <t>170</t>
        </is>
      </c>
      <c r="B5221" s="4" t="n">
        <v>1</v>
      </c>
      <c r="C5221" s="4" t="inlineStr">
        <is>
          <t>mule deer</t>
        </is>
      </c>
      <c r="D5221" s="4" t="n">
        <v>2016</v>
      </c>
      <c r="E5221" s="13" t="inlineStr">
        <is>
          <t>General</t>
        </is>
      </c>
      <c r="F5221" s="5" t="n"/>
      <c r="G5221" s="5" t="n"/>
      <c r="H5221" s="5" t="n">
        <v>27</v>
      </c>
      <c r="I5221" s="5" t="n">
        <v>21</v>
      </c>
      <c r="J5221" s="5" t="n">
        <v>5</v>
      </c>
      <c r="K5221" s="10">
        <f>IF(F5221&gt;0,H5221/F5221,"")</f>
        <v/>
      </c>
      <c r="L5221" s="16">
        <f>IF(AND(G5221&gt;0,H5221&gt;0),G5221/H5221,"")</f>
        <v/>
      </c>
    </row>
    <row r="5222">
      <c r="A5222" s="4" t="inlineStr">
        <is>
          <t>170</t>
        </is>
      </c>
      <c r="B5222" s="4" t="n">
        <v>1</v>
      </c>
      <c r="C5222" s="4" t="inlineStr">
        <is>
          <t>mule deer</t>
        </is>
      </c>
      <c r="D5222" s="4" t="n">
        <v>2017</v>
      </c>
      <c r="E5222" s="13" t="inlineStr">
        <is>
          <t>General</t>
        </is>
      </c>
      <c r="F5222" s="5" t="n">
        <v>2327</v>
      </c>
      <c r="G5222" s="5" t="n">
        <v>14523</v>
      </c>
      <c r="H5222" s="5" t="n">
        <v>27</v>
      </c>
      <c r="I5222" s="5" t="n">
        <v>21</v>
      </c>
      <c r="J5222" s="5" t="n">
        <v>6</v>
      </c>
      <c r="K5222" s="10">
        <f>IF(F5222&gt;0,H5222/F5222,"")</f>
        <v/>
      </c>
      <c r="L5222" s="16">
        <f>IF(AND(G5222&gt;0,H5222&gt;0),G5222/H5222,"")</f>
        <v/>
      </c>
    </row>
    <row r="5223">
      <c r="A5223" s="4" t="inlineStr">
        <is>
          <t>170</t>
        </is>
      </c>
      <c r="B5223" s="4" t="n">
        <v>1</v>
      </c>
      <c r="C5223" s="4" t="inlineStr">
        <is>
          <t>mule deer</t>
        </is>
      </c>
      <c r="D5223" s="4" t="n">
        <v>2018</v>
      </c>
      <c r="E5223" s="13" t="inlineStr">
        <is>
          <t>General</t>
        </is>
      </c>
      <c r="F5223" s="5" t="n"/>
      <c r="G5223" s="5" t="n"/>
      <c r="H5223" s="5" t="n">
        <v>23</v>
      </c>
      <c r="I5223" s="5" t="n">
        <v>17</v>
      </c>
      <c r="J5223" s="5" t="n">
        <v>6</v>
      </c>
      <c r="K5223" s="10">
        <f>IF(F5223&gt;0,H5223/F5223,"")</f>
        <v/>
      </c>
      <c r="L5223" s="16">
        <f>IF(AND(G5223&gt;0,H5223&gt;0),G5223/H5223,"")</f>
        <v/>
      </c>
    </row>
    <row r="5224">
      <c r="A5224" s="4" t="inlineStr">
        <is>
          <t>170</t>
        </is>
      </c>
      <c r="B5224" s="4" t="n">
        <v>1</v>
      </c>
      <c r="C5224" s="4" t="inlineStr">
        <is>
          <t>mule deer</t>
        </is>
      </c>
      <c r="D5224" s="4" t="n">
        <v>2019</v>
      </c>
      <c r="E5224" s="13" t="inlineStr">
        <is>
          <t>General</t>
        </is>
      </c>
      <c r="F5224" s="5" t="n">
        <v>2004</v>
      </c>
      <c r="G5224" s="5" t="n">
        <v>12923</v>
      </c>
      <c r="H5224" s="5" t="n">
        <v>39</v>
      </c>
      <c r="I5224" s="5" t="n">
        <v>23</v>
      </c>
      <c r="J5224" s="5" t="n">
        <v>16</v>
      </c>
      <c r="K5224" s="10">
        <f>IF(F5224&gt;0,H5224/F5224,"")</f>
        <v/>
      </c>
      <c r="L5224" s="16">
        <f>IF(AND(G5224&gt;0,H5224&gt;0),G5224/H5224,"")</f>
        <v/>
      </c>
    </row>
    <row r="5225">
      <c r="A5225" s="4" t="inlineStr">
        <is>
          <t>170</t>
        </is>
      </c>
      <c r="B5225" s="4" t="n">
        <v>1</v>
      </c>
      <c r="C5225" s="4" t="inlineStr">
        <is>
          <t>mule deer</t>
        </is>
      </c>
      <c r="D5225" s="4" t="n">
        <v>2020</v>
      </c>
      <c r="E5225" s="13" t="inlineStr">
        <is>
          <t>General</t>
        </is>
      </c>
      <c r="F5225" s="5" t="n"/>
      <c r="G5225" s="5" t="n"/>
      <c r="H5225" s="5" t="n">
        <v>14</v>
      </c>
      <c r="I5225" s="5" t="n">
        <v>14</v>
      </c>
      <c r="J5225" s="5" t="n">
        <v>0</v>
      </c>
      <c r="K5225" s="10">
        <f>IF(F5225&gt;0,H5225/F5225,"")</f>
        <v/>
      </c>
      <c r="L5225" s="16">
        <f>IF(AND(G5225&gt;0,H5225&gt;0),G5225/H5225,"")</f>
        <v/>
      </c>
    </row>
    <row r="5226">
      <c r="A5226" s="4" t="inlineStr">
        <is>
          <t>170</t>
        </is>
      </c>
      <c r="B5226" s="4" t="n">
        <v>1</v>
      </c>
      <c r="C5226" s="4" t="inlineStr">
        <is>
          <t>mule deer</t>
        </is>
      </c>
      <c r="D5226" s="4" t="n">
        <v>2021</v>
      </c>
      <c r="E5226" s="13" t="inlineStr">
        <is>
          <t>General</t>
        </is>
      </c>
      <c r="F5226" s="5" t="n">
        <v>2244</v>
      </c>
      <c r="G5226" s="5" t="n">
        <v>14012</v>
      </c>
      <c r="H5226" s="5" t="n">
        <v>48</v>
      </c>
      <c r="I5226" s="5" t="n">
        <v>27</v>
      </c>
      <c r="J5226" s="5" t="n">
        <v>20</v>
      </c>
      <c r="K5226" s="10">
        <f>IF(F5226&gt;0,H5226/F5226,"")</f>
        <v/>
      </c>
      <c r="L5226" s="16">
        <f>IF(AND(G5226&gt;0,H5226&gt;0),G5226/H5226,"")</f>
        <v/>
      </c>
    </row>
    <row r="5227">
      <c r="A5227" s="4" t="inlineStr">
        <is>
          <t>170</t>
        </is>
      </c>
      <c r="B5227" s="4" t="n">
        <v>1</v>
      </c>
      <c r="C5227" s="4" t="inlineStr">
        <is>
          <t>mule deer</t>
        </is>
      </c>
      <c r="D5227" s="4" t="n">
        <v>2022</v>
      </c>
      <c r="E5227" s="13" t="inlineStr">
        <is>
          <t>General</t>
        </is>
      </c>
      <c r="F5227" s="5" t="n"/>
      <c r="G5227" s="5" t="n"/>
      <c r="H5227" s="5" t="n">
        <v>40</v>
      </c>
      <c r="I5227" s="5" t="n">
        <v>23</v>
      </c>
      <c r="J5227" s="5" t="n">
        <v>17</v>
      </c>
      <c r="K5227" s="10">
        <f>IF(F5227&gt;0,H5227/F5227,"")</f>
        <v/>
      </c>
      <c r="L5227" s="16">
        <f>IF(AND(G5227&gt;0,H5227&gt;0),G5227/H5227,"")</f>
        <v/>
      </c>
    </row>
    <row r="5228">
      <c r="A5228" s="4" t="inlineStr">
        <is>
          <t>170</t>
        </is>
      </c>
      <c r="B5228" s="4" t="n">
        <v>1</v>
      </c>
      <c r="C5228" s="4" t="inlineStr">
        <is>
          <t>mule deer</t>
        </is>
      </c>
      <c r="D5228" s="4" t="n">
        <v>2023</v>
      </c>
      <c r="E5228" s="13" t="inlineStr">
        <is>
          <t>General</t>
        </is>
      </c>
      <c r="F5228" s="5" t="n">
        <v>2431</v>
      </c>
      <c r="G5228" s="5" t="n">
        <v>15560</v>
      </c>
      <c r="H5228" s="5" t="n">
        <v>44</v>
      </c>
      <c r="I5228" s="5" t="n">
        <v>34</v>
      </c>
      <c r="J5228" s="5" t="n">
        <v>10</v>
      </c>
      <c r="K5228" s="10">
        <f>IF(F5228&gt;0,H5228/F5228,"")</f>
        <v/>
      </c>
      <c r="L5228" s="16">
        <f>IF(AND(G5228&gt;0,H5228&gt;0),G5228/H5228,"")</f>
        <v/>
      </c>
    </row>
    <row r="5229">
      <c r="A5229" s="4" t="inlineStr">
        <is>
          <t>170</t>
        </is>
      </c>
      <c r="B5229" s="4" t="n">
        <v>1</v>
      </c>
      <c r="C5229" s="4" t="inlineStr">
        <is>
          <t>mule deer</t>
        </is>
      </c>
      <c r="D5229" s="4" t="n">
        <v>2024</v>
      </c>
      <c r="E5229" s="13" t="inlineStr">
        <is>
          <t>General</t>
        </is>
      </c>
      <c r="F5229" s="5" t="n"/>
      <c r="G5229" s="5" t="n"/>
      <c r="H5229" s="5" t="n">
        <v>36</v>
      </c>
      <c r="I5229" s="5" t="n">
        <v>30</v>
      </c>
      <c r="J5229" s="5" t="n">
        <v>2</v>
      </c>
      <c r="K5229" s="10">
        <f>IF(F5229&gt;0,H5229/F5229,"")</f>
        <v/>
      </c>
      <c r="L5229" s="16">
        <f>IF(AND(G5229&gt;0,H5229&gt;0),G5229/H5229,"")</f>
        <v/>
      </c>
    </row>
    <row r="5230">
      <c r="A5230" s="4" t="inlineStr">
        <is>
          <t>170</t>
        </is>
      </c>
      <c r="B5230" s="4" t="n">
        <v>1</v>
      </c>
      <c r="C5230" s="4" t="inlineStr">
        <is>
          <t>mule deer</t>
        </is>
      </c>
      <c r="D5230" s="4" t="n">
        <v>2025</v>
      </c>
      <c r="E5230" s="13" t="inlineStr">
        <is>
          <t>General</t>
        </is>
      </c>
      <c r="F5230" s="5" t="n">
        <v>2713</v>
      </c>
      <c r="G5230" s="5" t="n">
        <v>19536</v>
      </c>
      <c r="H5230" s="5" t="n">
        <v>22</v>
      </c>
      <c r="I5230" s="5" t="n">
        <v>4</v>
      </c>
      <c r="J5230" s="5" t="n">
        <v>18</v>
      </c>
      <c r="K5230" s="10">
        <f>IF(F5230&gt;0,H5230/F5230,"")</f>
        <v/>
      </c>
      <c r="L5230" s="16">
        <f>IF(AND(G5230&gt;0,H5230&gt;0),G5230/H5230,"")</f>
        <v/>
      </c>
    </row>
    <row r="5231">
      <c r="A5231" s="4" t="inlineStr">
        <is>
          <t>200</t>
        </is>
      </c>
      <c r="B5231" s="4" t="n">
        <v>2</v>
      </c>
      <c r="C5231" s="4" t="inlineStr">
        <is>
          <t>mule deer</t>
        </is>
      </c>
      <c r="D5231" s="4" t="n">
        <v>2004</v>
      </c>
      <c r="E5231" s="13" t="inlineStr">
        <is>
          <t>General</t>
        </is>
      </c>
      <c r="F5231" s="5" t="n">
        <v>855</v>
      </c>
      <c r="G5231" s="5" t="n">
        <v>5613</v>
      </c>
      <c r="H5231" s="5" t="n">
        <v>43</v>
      </c>
      <c r="I5231" s="5" t="n">
        <v>41</v>
      </c>
      <c r="J5231" s="5" t="n">
        <v>1</v>
      </c>
      <c r="K5231" s="10">
        <f>IF(F5231&gt;0,H5231/F5231,"")</f>
        <v/>
      </c>
      <c r="L5231" s="16">
        <f>IF(AND(G5231&gt;0,H5231&gt;0),G5231/H5231,"")</f>
        <v/>
      </c>
    </row>
    <row r="5232">
      <c r="A5232" s="4" t="inlineStr">
        <is>
          <t>200</t>
        </is>
      </c>
      <c r="B5232" s="4" t="n">
        <v>2</v>
      </c>
      <c r="C5232" s="4" t="inlineStr">
        <is>
          <t>mule deer</t>
        </is>
      </c>
      <c r="D5232" s="4" t="n">
        <v>2005</v>
      </c>
      <c r="E5232" s="13" t="inlineStr">
        <is>
          <t>General</t>
        </is>
      </c>
      <c r="F5232" s="5" t="n">
        <v>849</v>
      </c>
      <c r="G5232" s="5" t="n">
        <v>5914</v>
      </c>
      <c r="H5232" s="5" t="n">
        <v>58</v>
      </c>
      <c r="I5232" s="5" t="n">
        <v>58</v>
      </c>
      <c r="J5232" s="5" t="n">
        <v>0</v>
      </c>
      <c r="K5232" s="10">
        <f>IF(F5232&gt;0,H5232/F5232,"")</f>
        <v/>
      </c>
      <c r="L5232" s="16">
        <f>IF(AND(G5232&gt;0,H5232&gt;0),G5232/H5232,"")</f>
        <v/>
      </c>
    </row>
    <row r="5233">
      <c r="A5233" s="4" t="inlineStr">
        <is>
          <t>200</t>
        </is>
      </c>
      <c r="B5233" s="4" t="n">
        <v>2</v>
      </c>
      <c r="C5233" s="4" t="inlineStr">
        <is>
          <t>mule deer</t>
        </is>
      </c>
      <c r="D5233" s="4" t="n">
        <v>2006</v>
      </c>
      <c r="E5233" s="13" t="inlineStr">
        <is>
          <t>General</t>
        </is>
      </c>
      <c r="F5233" s="5" t="n">
        <v>860</v>
      </c>
      <c r="G5233" s="5" t="n">
        <v>6051</v>
      </c>
      <c r="H5233" s="5" t="n">
        <v>54</v>
      </c>
      <c r="I5233" s="5" t="n">
        <v>47</v>
      </c>
      <c r="J5233" s="5" t="n">
        <v>7</v>
      </c>
      <c r="K5233" s="10">
        <f>IF(F5233&gt;0,H5233/F5233,"")</f>
        <v/>
      </c>
      <c r="L5233" s="16">
        <f>IF(AND(G5233&gt;0,H5233&gt;0),G5233/H5233,"")</f>
        <v/>
      </c>
    </row>
    <row r="5234">
      <c r="A5234" s="4" t="inlineStr">
        <is>
          <t>200</t>
        </is>
      </c>
      <c r="B5234" s="4" t="n">
        <v>2</v>
      </c>
      <c r="C5234" s="4" t="inlineStr">
        <is>
          <t>mule deer</t>
        </is>
      </c>
      <c r="D5234" s="4" t="n">
        <v>2007</v>
      </c>
      <c r="E5234" s="13" t="inlineStr">
        <is>
          <t>General</t>
        </is>
      </c>
      <c r="F5234" s="5" t="n">
        <v>881</v>
      </c>
      <c r="G5234" s="5" t="n">
        <v>6430</v>
      </c>
      <c r="H5234" s="5" t="n">
        <v>43</v>
      </c>
      <c r="I5234" s="5" t="n">
        <v>39</v>
      </c>
      <c r="J5234" s="5" t="n">
        <v>4</v>
      </c>
      <c r="K5234" s="10">
        <f>IF(F5234&gt;0,H5234/F5234,"")</f>
        <v/>
      </c>
      <c r="L5234" s="16">
        <f>IF(AND(G5234&gt;0,H5234&gt;0),G5234/H5234,"")</f>
        <v/>
      </c>
    </row>
    <row r="5235">
      <c r="A5235" s="4" t="inlineStr">
        <is>
          <t>200</t>
        </is>
      </c>
      <c r="B5235" s="4" t="n">
        <v>2</v>
      </c>
      <c r="C5235" s="4" t="inlineStr">
        <is>
          <t>mule deer</t>
        </is>
      </c>
      <c r="D5235" s="4" t="n">
        <v>2008</v>
      </c>
      <c r="E5235" s="13" t="inlineStr">
        <is>
          <t>General</t>
        </is>
      </c>
      <c r="F5235" s="5" t="n">
        <v>968</v>
      </c>
      <c r="G5235" s="5" t="n">
        <v>7487</v>
      </c>
      <c r="H5235" s="5" t="n">
        <v>61</v>
      </c>
      <c r="I5235" s="5" t="n">
        <v>52</v>
      </c>
      <c r="J5235" s="5" t="n">
        <v>6</v>
      </c>
      <c r="K5235" s="10">
        <f>IF(F5235&gt;0,H5235/F5235,"")</f>
        <v/>
      </c>
      <c r="L5235" s="16">
        <f>IF(AND(G5235&gt;0,H5235&gt;0),G5235/H5235,"")</f>
        <v/>
      </c>
    </row>
    <row r="5236">
      <c r="A5236" s="4" t="inlineStr">
        <is>
          <t>200</t>
        </is>
      </c>
      <c r="B5236" s="4" t="n">
        <v>2</v>
      </c>
      <c r="C5236" s="4" t="inlineStr">
        <is>
          <t>mule deer</t>
        </is>
      </c>
      <c r="D5236" s="4" t="n">
        <v>2009</v>
      </c>
      <c r="E5236" s="13" t="inlineStr">
        <is>
          <t>General</t>
        </is>
      </c>
      <c r="F5236" s="5" t="n">
        <v>866</v>
      </c>
      <c r="G5236" s="5" t="n">
        <v>6570</v>
      </c>
      <c r="H5236" s="5" t="n">
        <v>17</v>
      </c>
      <c r="I5236" s="5" t="n">
        <v>15</v>
      </c>
      <c r="J5236" s="5" t="n">
        <v>2</v>
      </c>
      <c r="K5236" s="10">
        <f>IF(F5236&gt;0,H5236/F5236,"")</f>
        <v/>
      </c>
      <c r="L5236" s="16">
        <f>IF(AND(G5236&gt;0,H5236&gt;0),G5236/H5236,"")</f>
        <v/>
      </c>
    </row>
    <row r="5237">
      <c r="A5237" s="4" t="inlineStr">
        <is>
          <t>200</t>
        </is>
      </c>
      <c r="B5237" s="4" t="n">
        <v>2</v>
      </c>
      <c r="C5237" s="4" t="inlineStr">
        <is>
          <t>mule deer</t>
        </is>
      </c>
      <c r="D5237" s="4" t="n">
        <v>2010</v>
      </c>
      <c r="E5237" s="13" t="inlineStr">
        <is>
          <t>General</t>
        </is>
      </c>
      <c r="F5237" s="5" t="n">
        <v>641</v>
      </c>
      <c r="G5237" s="5" t="n">
        <v>5379</v>
      </c>
      <c r="H5237" s="5" t="n">
        <v>42</v>
      </c>
      <c r="I5237" s="5" t="n">
        <v>42</v>
      </c>
      <c r="J5237" s="5" t="n">
        <v>0</v>
      </c>
      <c r="K5237" s="10">
        <f>IF(F5237&gt;0,H5237/F5237,"")</f>
        <v/>
      </c>
      <c r="L5237" s="16">
        <f>IF(AND(G5237&gt;0,H5237&gt;0),G5237/H5237,"")</f>
        <v/>
      </c>
    </row>
    <row r="5238">
      <c r="A5238" s="4" t="inlineStr">
        <is>
          <t>200</t>
        </is>
      </c>
      <c r="B5238" s="4" t="n">
        <v>2</v>
      </c>
      <c r="C5238" s="4" t="inlineStr">
        <is>
          <t>mule deer</t>
        </is>
      </c>
      <c r="D5238" s="4" t="n">
        <v>2011</v>
      </c>
      <c r="E5238" s="13" t="inlineStr">
        <is>
          <t>General</t>
        </is>
      </c>
      <c r="F5238" s="5" t="n">
        <v>777</v>
      </c>
      <c r="G5238" s="5" t="n">
        <v>6192</v>
      </c>
      <c r="H5238" s="5" t="n">
        <v>20</v>
      </c>
      <c r="I5238" s="5" t="n">
        <v>20</v>
      </c>
      <c r="J5238" s="5" t="n">
        <v>0</v>
      </c>
      <c r="K5238" s="10">
        <f>IF(F5238&gt;0,H5238/F5238,"")</f>
        <v/>
      </c>
      <c r="L5238" s="16">
        <f>IF(AND(G5238&gt;0,H5238&gt;0),G5238/H5238,"")</f>
        <v/>
      </c>
    </row>
    <row r="5239">
      <c r="A5239" s="4" t="inlineStr">
        <is>
          <t>200</t>
        </is>
      </c>
      <c r="B5239" s="4" t="n">
        <v>2</v>
      </c>
      <c r="C5239" s="4" t="inlineStr">
        <is>
          <t>mule deer</t>
        </is>
      </c>
      <c r="D5239" s="4" t="n">
        <v>2012</v>
      </c>
      <c r="E5239" s="13" t="inlineStr">
        <is>
          <t>General</t>
        </is>
      </c>
      <c r="F5239" s="5" t="n"/>
      <c r="G5239" s="5" t="n"/>
      <c r="H5239" s="5" t="n">
        <v>22</v>
      </c>
      <c r="I5239" s="5" t="n">
        <v>22</v>
      </c>
      <c r="J5239" s="5" t="n">
        <v>0</v>
      </c>
      <c r="K5239" s="10">
        <f>IF(F5239&gt;0,H5239/F5239,"")</f>
        <v/>
      </c>
      <c r="L5239" s="16">
        <f>IF(AND(G5239&gt;0,H5239&gt;0),G5239/H5239,"")</f>
        <v/>
      </c>
    </row>
    <row r="5240">
      <c r="A5240" s="4" t="inlineStr">
        <is>
          <t>200</t>
        </is>
      </c>
      <c r="B5240" s="4" t="n">
        <v>2</v>
      </c>
      <c r="C5240" s="4" t="inlineStr">
        <is>
          <t>mule deer</t>
        </is>
      </c>
      <c r="D5240" s="4" t="n">
        <v>2013</v>
      </c>
      <c r="E5240" s="13" t="inlineStr">
        <is>
          <t>General</t>
        </is>
      </c>
      <c r="F5240" s="5" t="n">
        <v>571</v>
      </c>
      <c r="G5240" s="5" t="n">
        <v>5287</v>
      </c>
      <c r="H5240" s="5" t="n">
        <v>17</v>
      </c>
      <c r="I5240" s="5" t="n">
        <v>17</v>
      </c>
      <c r="J5240" s="5" t="n">
        <v>0</v>
      </c>
      <c r="K5240" s="10">
        <f>IF(F5240&gt;0,H5240/F5240,"")</f>
        <v/>
      </c>
      <c r="L5240" s="16">
        <f>IF(AND(G5240&gt;0,H5240&gt;0),G5240/H5240,"")</f>
        <v/>
      </c>
    </row>
    <row r="5241">
      <c r="A5241" s="4" t="inlineStr">
        <is>
          <t>200</t>
        </is>
      </c>
      <c r="B5241" s="4" t="n">
        <v>2</v>
      </c>
      <c r="C5241" s="4" t="inlineStr">
        <is>
          <t>mule deer</t>
        </is>
      </c>
      <c r="D5241" s="4" t="n">
        <v>2014</v>
      </c>
      <c r="E5241" s="13" t="inlineStr">
        <is>
          <t>General</t>
        </is>
      </c>
      <c r="F5241" s="5" t="n"/>
      <c r="G5241" s="5" t="n"/>
      <c r="H5241" s="5" t="n">
        <v>26</v>
      </c>
      <c r="I5241" s="5" t="n">
        <v>26</v>
      </c>
      <c r="J5241" s="5" t="n">
        <v>0</v>
      </c>
      <c r="K5241" s="10">
        <f>IF(F5241&gt;0,H5241/F5241,"")</f>
        <v/>
      </c>
      <c r="L5241" s="16">
        <f>IF(AND(G5241&gt;0,H5241&gt;0),G5241/H5241,"")</f>
        <v/>
      </c>
    </row>
    <row r="5242">
      <c r="A5242" s="4" t="inlineStr">
        <is>
          <t>200</t>
        </is>
      </c>
      <c r="B5242" s="4" t="n">
        <v>2</v>
      </c>
      <c r="C5242" s="4" t="inlineStr">
        <is>
          <t>mule deer</t>
        </is>
      </c>
      <c r="D5242" s="4" t="n">
        <v>2015</v>
      </c>
      <c r="E5242" s="13" t="inlineStr">
        <is>
          <t>General</t>
        </is>
      </c>
      <c r="F5242" s="5" t="n"/>
      <c r="G5242" s="5" t="n"/>
      <c r="H5242" s="5" t="n">
        <v>12</v>
      </c>
      <c r="I5242" s="5" t="n">
        <v>12</v>
      </c>
      <c r="J5242" s="5" t="n">
        <v>0</v>
      </c>
      <c r="K5242" s="10">
        <f>IF(F5242&gt;0,H5242/F5242,"")</f>
        <v/>
      </c>
      <c r="L5242" s="16">
        <f>IF(AND(G5242&gt;0,H5242&gt;0),G5242/H5242,"")</f>
        <v/>
      </c>
    </row>
    <row r="5243">
      <c r="A5243" s="4" t="inlineStr">
        <is>
          <t>200</t>
        </is>
      </c>
      <c r="B5243" s="4" t="n">
        <v>2</v>
      </c>
      <c r="C5243" s="4" t="inlineStr">
        <is>
          <t>mule deer</t>
        </is>
      </c>
      <c r="D5243" s="4" t="n">
        <v>2016</v>
      </c>
      <c r="E5243" s="13" t="inlineStr">
        <is>
          <t>General</t>
        </is>
      </c>
      <c r="F5243" s="5" t="n"/>
      <c r="G5243" s="5" t="n"/>
      <c r="H5243" s="5" t="n">
        <v>45</v>
      </c>
      <c r="I5243" s="5" t="n">
        <v>42</v>
      </c>
      <c r="J5243" s="5" t="n">
        <v>3</v>
      </c>
      <c r="K5243" s="10">
        <f>IF(F5243&gt;0,H5243/F5243,"")</f>
        <v/>
      </c>
      <c r="L5243" s="16">
        <f>IF(AND(G5243&gt;0,H5243&gt;0),G5243/H5243,"")</f>
        <v/>
      </c>
    </row>
    <row r="5244">
      <c r="A5244" s="4" t="inlineStr">
        <is>
          <t>200</t>
        </is>
      </c>
      <c r="B5244" s="4" t="n">
        <v>2</v>
      </c>
      <c r="C5244" s="4" t="inlineStr">
        <is>
          <t>mule deer</t>
        </is>
      </c>
      <c r="D5244" s="4" t="n">
        <v>2017</v>
      </c>
      <c r="E5244" s="13" t="inlineStr">
        <is>
          <t>General</t>
        </is>
      </c>
      <c r="F5244" s="5" t="n">
        <v>651</v>
      </c>
      <c r="G5244" s="5" t="n">
        <v>4758</v>
      </c>
      <c r="H5244" s="5" t="n">
        <v>30</v>
      </c>
      <c r="I5244" s="5" t="n">
        <v>30</v>
      </c>
      <c r="J5244" s="5" t="n">
        <v>0</v>
      </c>
      <c r="K5244" s="10">
        <f>IF(F5244&gt;0,H5244/F5244,"")</f>
        <v/>
      </c>
      <c r="L5244" s="16">
        <f>IF(AND(G5244&gt;0,H5244&gt;0),G5244/H5244,"")</f>
        <v/>
      </c>
    </row>
    <row r="5245">
      <c r="A5245" s="4" t="inlineStr">
        <is>
          <t>200</t>
        </is>
      </c>
      <c r="B5245" s="4" t="n">
        <v>2</v>
      </c>
      <c r="C5245" s="4" t="inlineStr">
        <is>
          <t>mule deer</t>
        </is>
      </c>
      <c r="D5245" s="4" t="n">
        <v>2018</v>
      </c>
      <c r="E5245" s="13" t="inlineStr">
        <is>
          <t>General</t>
        </is>
      </c>
      <c r="F5245" s="5" t="n"/>
      <c r="G5245" s="5" t="n"/>
      <c r="H5245" s="5" t="n">
        <v>43</v>
      </c>
      <c r="I5245" s="5" t="n">
        <v>40</v>
      </c>
      <c r="J5245" s="5" t="n">
        <v>3</v>
      </c>
      <c r="K5245" s="10">
        <f>IF(F5245&gt;0,H5245/F5245,"")</f>
        <v/>
      </c>
      <c r="L5245" s="16">
        <f>IF(AND(G5245&gt;0,H5245&gt;0),G5245/H5245,"")</f>
        <v/>
      </c>
    </row>
    <row r="5246">
      <c r="A5246" s="4" t="inlineStr">
        <is>
          <t>200</t>
        </is>
      </c>
      <c r="B5246" s="4" t="n">
        <v>2</v>
      </c>
      <c r="C5246" s="4" t="inlineStr">
        <is>
          <t>mule deer</t>
        </is>
      </c>
      <c r="D5246" s="4" t="n">
        <v>2019</v>
      </c>
      <c r="E5246" s="13" t="inlineStr">
        <is>
          <t>General</t>
        </is>
      </c>
      <c r="F5246" s="5" t="n">
        <v>746</v>
      </c>
      <c r="G5246" s="5" t="n">
        <v>5023</v>
      </c>
      <c r="H5246" s="5" t="n">
        <v>47</v>
      </c>
      <c r="I5246" s="5" t="n">
        <v>44</v>
      </c>
      <c r="J5246" s="5" t="n">
        <v>3</v>
      </c>
      <c r="K5246" s="10">
        <f>IF(F5246&gt;0,H5246/F5246,"")</f>
        <v/>
      </c>
      <c r="L5246" s="16">
        <f>IF(AND(G5246&gt;0,H5246&gt;0),G5246/H5246,"")</f>
        <v/>
      </c>
    </row>
    <row r="5247">
      <c r="A5247" s="4" t="inlineStr">
        <is>
          <t>200</t>
        </is>
      </c>
      <c r="B5247" s="4" t="n">
        <v>2</v>
      </c>
      <c r="C5247" s="4" t="inlineStr">
        <is>
          <t>mule deer</t>
        </is>
      </c>
      <c r="D5247" s="4" t="n">
        <v>2020</v>
      </c>
      <c r="E5247" s="13" t="inlineStr">
        <is>
          <t>General</t>
        </is>
      </c>
      <c r="F5247" s="5" t="n"/>
      <c r="G5247" s="5" t="n"/>
      <c r="H5247" s="5" t="n">
        <v>39</v>
      </c>
      <c r="I5247" s="5" t="n">
        <v>39</v>
      </c>
      <c r="J5247" s="5" t="n">
        <v>0</v>
      </c>
      <c r="K5247" s="10">
        <f>IF(F5247&gt;0,H5247/F5247,"")</f>
        <v/>
      </c>
      <c r="L5247" s="16">
        <f>IF(AND(G5247&gt;0,H5247&gt;0),G5247/H5247,"")</f>
        <v/>
      </c>
    </row>
    <row r="5248">
      <c r="A5248" s="4" t="inlineStr">
        <is>
          <t>200</t>
        </is>
      </c>
      <c r="B5248" s="4" t="n">
        <v>2</v>
      </c>
      <c r="C5248" s="4" t="inlineStr">
        <is>
          <t>mule deer</t>
        </is>
      </c>
      <c r="D5248" s="4" t="n">
        <v>2021</v>
      </c>
      <c r="E5248" s="13" t="inlineStr">
        <is>
          <t>General</t>
        </is>
      </c>
      <c r="F5248" s="5" t="n">
        <v>673</v>
      </c>
      <c r="G5248" s="5" t="n">
        <v>5623</v>
      </c>
      <c r="H5248" s="5" t="n">
        <v>23</v>
      </c>
      <c r="I5248" s="5" t="n">
        <v>23</v>
      </c>
      <c r="J5248" s="5" t="n">
        <v>0</v>
      </c>
      <c r="K5248" s="10">
        <f>IF(F5248&gt;0,H5248/F5248,"")</f>
        <v/>
      </c>
      <c r="L5248" s="16">
        <f>IF(AND(G5248&gt;0,H5248&gt;0),G5248/H5248,"")</f>
        <v/>
      </c>
    </row>
    <row r="5249">
      <c r="A5249" s="4" t="inlineStr">
        <is>
          <t>200</t>
        </is>
      </c>
      <c r="B5249" s="4" t="n">
        <v>2</v>
      </c>
      <c r="C5249" s="4" t="inlineStr">
        <is>
          <t>mule deer</t>
        </is>
      </c>
      <c r="D5249" s="4" t="n">
        <v>2022</v>
      </c>
      <c r="E5249" s="13" t="inlineStr">
        <is>
          <t>General</t>
        </is>
      </c>
      <c r="F5249" s="5" t="n"/>
      <c r="G5249" s="5" t="n"/>
      <c r="H5249" s="5" t="n">
        <v>10</v>
      </c>
      <c r="I5249" s="5" t="n">
        <v>10</v>
      </c>
      <c r="J5249" s="5" t="n">
        <v>0</v>
      </c>
      <c r="K5249" s="10">
        <f>IF(F5249&gt;0,H5249/F5249,"")</f>
        <v/>
      </c>
      <c r="L5249" s="16">
        <f>IF(AND(G5249&gt;0,H5249&gt;0),G5249/H5249,"")</f>
        <v/>
      </c>
    </row>
    <row r="5250">
      <c r="A5250" s="4" t="inlineStr">
        <is>
          <t>200</t>
        </is>
      </c>
      <c r="B5250" s="4" t="n">
        <v>2</v>
      </c>
      <c r="C5250" s="4" t="inlineStr">
        <is>
          <t>mule deer</t>
        </is>
      </c>
      <c r="D5250" s="4" t="n">
        <v>2023</v>
      </c>
      <c r="E5250" s="13" t="inlineStr">
        <is>
          <t>General</t>
        </is>
      </c>
      <c r="F5250" s="5" t="n">
        <v>750</v>
      </c>
      <c r="G5250" s="5" t="n">
        <v>5843</v>
      </c>
      <c r="H5250" s="5" t="n">
        <v>45</v>
      </c>
      <c r="I5250" s="5" t="n">
        <v>35</v>
      </c>
      <c r="J5250" s="5" t="n">
        <v>11</v>
      </c>
      <c r="K5250" s="10">
        <f>IF(F5250&gt;0,H5250/F5250,"")</f>
        <v/>
      </c>
      <c r="L5250" s="16">
        <f>IF(AND(G5250&gt;0,H5250&gt;0),G5250/H5250,"")</f>
        <v/>
      </c>
    </row>
    <row r="5251">
      <c r="A5251" s="4" t="inlineStr">
        <is>
          <t>200</t>
        </is>
      </c>
      <c r="B5251" s="4" t="n">
        <v>2</v>
      </c>
      <c r="C5251" s="4" t="inlineStr">
        <is>
          <t>mule deer</t>
        </is>
      </c>
      <c r="D5251" s="4" t="n">
        <v>2024</v>
      </c>
      <c r="E5251" s="13" t="inlineStr">
        <is>
          <t>General</t>
        </is>
      </c>
      <c r="F5251" s="5" t="n"/>
      <c r="G5251" s="5" t="n"/>
      <c r="H5251" s="5" t="n">
        <v>34</v>
      </c>
      <c r="I5251" s="5" t="n">
        <v>30</v>
      </c>
      <c r="J5251" s="5" t="n">
        <v>3</v>
      </c>
      <c r="K5251" s="10">
        <f>IF(F5251&gt;0,H5251/F5251,"")</f>
        <v/>
      </c>
      <c r="L5251" s="16">
        <f>IF(AND(G5251&gt;0,H5251&gt;0),G5251/H5251,"")</f>
        <v/>
      </c>
    </row>
    <row r="5252">
      <c r="A5252" s="4" t="inlineStr">
        <is>
          <t>200</t>
        </is>
      </c>
      <c r="B5252" s="4" t="n">
        <v>2</v>
      </c>
      <c r="C5252" s="4" t="inlineStr">
        <is>
          <t>mule deer</t>
        </is>
      </c>
      <c r="D5252" s="4" t="n">
        <v>2025</v>
      </c>
      <c r="E5252" s="13" t="inlineStr">
        <is>
          <t>General</t>
        </is>
      </c>
      <c r="F5252" s="5" t="n">
        <v>618</v>
      </c>
      <c r="G5252" s="5" t="n">
        <v>4231</v>
      </c>
      <c r="H5252" s="5" t="n">
        <v>28</v>
      </c>
      <c r="I5252" s="5" t="n">
        <v>28</v>
      </c>
      <c r="J5252" s="5" t="n">
        <v>0</v>
      </c>
      <c r="K5252" s="10">
        <f>IF(F5252&gt;0,H5252/F5252,"")</f>
        <v/>
      </c>
      <c r="L5252" s="16">
        <f>IF(AND(G5252&gt;0,H5252&gt;0),G5252/H5252,"")</f>
        <v/>
      </c>
    </row>
    <row r="5253">
      <c r="A5253" s="4" t="inlineStr">
        <is>
          <t>201</t>
        </is>
      </c>
      <c r="B5253" s="4" t="n">
        <v>2</v>
      </c>
      <c r="C5253" s="4" t="inlineStr">
        <is>
          <t>mule deer</t>
        </is>
      </c>
      <c r="D5253" s="4" t="n">
        <v>2004</v>
      </c>
      <c r="E5253" s="13" t="inlineStr">
        <is>
          <t>General</t>
        </is>
      </c>
      <c r="F5253" s="5" t="n">
        <v>2116</v>
      </c>
      <c r="G5253" s="5" t="n">
        <v>12385</v>
      </c>
      <c r="H5253" s="5" t="n">
        <v>131</v>
      </c>
      <c r="I5253" s="5" t="n">
        <v>128</v>
      </c>
      <c r="J5253" s="5" t="n">
        <v>3</v>
      </c>
      <c r="K5253" s="10">
        <f>IF(F5253&gt;0,H5253/F5253,"")</f>
        <v/>
      </c>
      <c r="L5253" s="16">
        <f>IF(AND(G5253&gt;0,H5253&gt;0),G5253/H5253,"")</f>
        <v/>
      </c>
    </row>
    <row r="5254">
      <c r="A5254" s="4" t="inlineStr">
        <is>
          <t>201</t>
        </is>
      </c>
      <c r="B5254" s="4" t="n">
        <v>2</v>
      </c>
      <c r="C5254" s="4" t="inlineStr">
        <is>
          <t>mule deer</t>
        </is>
      </c>
      <c r="D5254" s="4" t="n">
        <v>2005</v>
      </c>
      <c r="E5254" s="13" t="inlineStr">
        <is>
          <t>General</t>
        </is>
      </c>
      <c r="F5254" s="5" t="n">
        <v>2248</v>
      </c>
      <c r="G5254" s="5" t="n">
        <v>13951</v>
      </c>
      <c r="H5254" s="5" t="n">
        <v>104</v>
      </c>
      <c r="I5254" s="5" t="n">
        <v>103</v>
      </c>
      <c r="J5254" s="5" t="n">
        <v>1</v>
      </c>
      <c r="K5254" s="10">
        <f>IF(F5254&gt;0,H5254/F5254,"")</f>
        <v/>
      </c>
      <c r="L5254" s="16">
        <f>IF(AND(G5254&gt;0,H5254&gt;0),G5254/H5254,"")</f>
        <v/>
      </c>
    </row>
    <row r="5255">
      <c r="A5255" s="4" t="inlineStr">
        <is>
          <t>201</t>
        </is>
      </c>
      <c r="B5255" s="4" t="n">
        <v>2</v>
      </c>
      <c r="C5255" s="4" t="inlineStr">
        <is>
          <t>mule deer</t>
        </is>
      </c>
      <c r="D5255" s="4" t="n">
        <v>2006</v>
      </c>
      <c r="E5255" s="13" t="inlineStr">
        <is>
          <t>General</t>
        </is>
      </c>
      <c r="F5255" s="5" t="n">
        <v>2123</v>
      </c>
      <c r="G5255" s="5" t="n">
        <v>14813</v>
      </c>
      <c r="H5255" s="5" t="n">
        <v>185</v>
      </c>
      <c r="I5255" s="5" t="n">
        <v>170</v>
      </c>
      <c r="J5255" s="5" t="n">
        <v>14</v>
      </c>
      <c r="K5255" s="10">
        <f>IF(F5255&gt;0,H5255/F5255,"")</f>
        <v/>
      </c>
      <c r="L5255" s="16">
        <f>IF(AND(G5255&gt;0,H5255&gt;0),G5255/H5255,"")</f>
        <v/>
      </c>
    </row>
    <row r="5256">
      <c r="A5256" s="4" t="inlineStr">
        <is>
          <t>201</t>
        </is>
      </c>
      <c r="B5256" s="4" t="n">
        <v>2</v>
      </c>
      <c r="C5256" s="4" t="inlineStr">
        <is>
          <t>mule deer</t>
        </is>
      </c>
      <c r="D5256" s="4" t="n">
        <v>2007</v>
      </c>
      <c r="E5256" s="13" t="inlineStr">
        <is>
          <t>General</t>
        </is>
      </c>
      <c r="F5256" s="5" t="n">
        <v>2121</v>
      </c>
      <c r="G5256" s="5" t="n">
        <v>14452</v>
      </c>
      <c r="H5256" s="5" t="n">
        <v>87</v>
      </c>
      <c r="I5256" s="5" t="n">
        <v>81</v>
      </c>
      <c r="J5256" s="5" t="n">
        <v>6</v>
      </c>
      <c r="K5256" s="10">
        <f>IF(F5256&gt;0,H5256/F5256,"")</f>
        <v/>
      </c>
      <c r="L5256" s="16">
        <f>IF(AND(G5256&gt;0,H5256&gt;0),G5256/H5256,"")</f>
        <v/>
      </c>
    </row>
    <row r="5257">
      <c r="A5257" s="4" t="inlineStr">
        <is>
          <t>201</t>
        </is>
      </c>
      <c r="B5257" s="4" t="n">
        <v>2</v>
      </c>
      <c r="C5257" s="4" t="inlineStr">
        <is>
          <t>mule deer</t>
        </is>
      </c>
      <c r="D5257" s="4" t="n">
        <v>2008</v>
      </c>
      <c r="E5257" s="13" t="inlineStr">
        <is>
          <t>General</t>
        </is>
      </c>
      <c r="F5257" s="5" t="n">
        <v>2313</v>
      </c>
      <c r="G5257" s="5" t="n">
        <v>16959</v>
      </c>
      <c r="H5257" s="5" t="n">
        <v>114</v>
      </c>
      <c r="I5257" s="5" t="n">
        <v>102</v>
      </c>
      <c r="J5257" s="5" t="n">
        <v>11</v>
      </c>
      <c r="K5257" s="10">
        <f>IF(F5257&gt;0,H5257/F5257,"")</f>
        <v/>
      </c>
      <c r="L5257" s="16">
        <f>IF(AND(G5257&gt;0,H5257&gt;0),G5257/H5257,"")</f>
        <v/>
      </c>
    </row>
    <row r="5258">
      <c r="A5258" s="4" t="inlineStr">
        <is>
          <t>201</t>
        </is>
      </c>
      <c r="B5258" s="4" t="n">
        <v>2</v>
      </c>
      <c r="C5258" s="4" t="inlineStr">
        <is>
          <t>mule deer</t>
        </is>
      </c>
      <c r="D5258" s="4" t="n">
        <v>2009</v>
      </c>
      <c r="E5258" s="13" t="inlineStr">
        <is>
          <t>General</t>
        </is>
      </c>
      <c r="F5258" s="5" t="n">
        <v>2209</v>
      </c>
      <c r="G5258" s="5" t="n">
        <v>15179</v>
      </c>
      <c r="H5258" s="5" t="n">
        <v>77</v>
      </c>
      <c r="I5258" s="5" t="n">
        <v>69</v>
      </c>
      <c r="J5258" s="5" t="n">
        <v>8</v>
      </c>
      <c r="K5258" s="10">
        <f>IF(F5258&gt;0,H5258/F5258,"")</f>
        <v/>
      </c>
      <c r="L5258" s="16">
        <f>IF(AND(G5258&gt;0,H5258&gt;0),G5258/H5258,"")</f>
        <v/>
      </c>
    </row>
    <row r="5259">
      <c r="A5259" s="4" t="inlineStr">
        <is>
          <t>201</t>
        </is>
      </c>
      <c r="B5259" s="4" t="n">
        <v>2</v>
      </c>
      <c r="C5259" s="4" t="inlineStr">
        <is>
          <t>mule deer</t>
        </is>
      </c>
      <c r="D5259" s="4" t="n">
        <v>2010</v>
      </c>
      <c r="E5259" s="13" t="inlineStr">
        <is>
          <t>General</t>
        </is>
      </c>
      <c r="F5259" s="5" t="n">
        <v>1833</v>
      </c>
      <c r="G5259" s="5" t="n">
        <v>12346</v>
      </c>
      <c r="H5259" s="5" t="n">
        <v>79</v>
      </c>
      <c r="I5259" s="5" t="n">
        <v>79</v>
      </c>
      <c r="J5259" s="5" t="n">
        <v>0</v>
      </c>
      <c r="K5259" s="10">
        <f>IF(F5259&gt;0,H5259/F5259,"")</f>
        <v/>
      </c>
      <c r="L5259" s="16">
        <f>IF(AND(G5259&gt;0,H5259&gt;0),G5259/H5259,"")</f>
        <v/>
      </c>
    </row>
    <row r="5260">
      <c r="A5260" s="4" t="inlineStr">
        <is>
          <t>201</t>
        </is>
      </c>
      <c r="B5260" s="4" t="n">
        <v>2</v>
      </c>
      <c r="C5260" s="4" t="inlineStr">
        <is>
          <t>mule deer</t>
        </is>
      </c>
      <c r="D5260" s="4" t="n">
        <v>2011</v>
      </c>
      <c r="E5260" s="13" t="inlineStr">
        <is>
          <t>General</t>
        </is>
      </c>
      <c r="F5260" s="5" t="n">
        <v>2003</v>
      </c>
      <c r="G5260" s="5" t="n">
        <v>12872</v>
      </c>
      <c r="H5260" s="5" t="n">
        <v>67</v>
      </c>
      <c r="I5260" s="5" t="n">
        <v>67</v>
      </c>
      <c r="J5260" s="5" t="n">
        <v>0</v>
      </c>
      <c r="K5260" s="10">
        <f>IF(F5260&gt;0,H5260/F5260,"")</f>
        <v/>
      </c>
      <c r="L5260" s="16">
        <f>IF(AND(G5260&gt;0,H5260&gt;0),G5260/H5260,"")</f>
        <v/>
      </c>
    </row>
    <row r="5261">
      <c r="A5261" s="4" t="inlineStr">
        <is>
          <t>201</t>
        </is>
      </c>
      <c r="B5261" s="4" t="n">
        <v>2</v>
      </c>
      <c r="C5261" s="4" t="inlineStr">
        <is>
          <t>mule deer</t>
        </is>
      </c>
      <c r="D5261" s="4" t="n">
        <v>2012</v>
      </c>
      <c r="E5261" s="13" t="inlineStr">
        <is>
          <t>General</t>
        </is>
      </c>
      <c r="F5261" s="5" t="n"/>
      <c r="G5261" s="5" t="n"/>
      <c r="H5261" s="5" t="n">
        <v>64</v>
      </c>
      <c r="I5261" s="5" t="n">
        <v>64</v>
      </c>
      <c r="J5261" s="5" t="n">
        <v>0</v>
      </c>
      <c r="K5261" s="10">
        <f>IF(F5261&gt;0,H5261/F5261,"")</f>
        <v/>
      </c>
      <c r="L5261" s="16">
        <f>IF(AND(G5261&gt;0,H5261&gt;0),G5261/H5261,"")</f>
        <v/>
      </c>
    </row>
    <row r="5262">
      <c r="A5262" s="4" t="inlineStr">
        <is>
          <t>201</t>
        </is>
      </c>
      <c r="B5262" s="4" t="n">
        <v>2</v>
      </c>
      <c r="C5262" s="4" t="inlineStr">
        <is>
          <t>mule deer</t>
        </is>
      </c>
      <c r="D5262" s="4" t="n">
        <v>2013</v>
      </c>
      <c r="E5262" s="13" t="inlineStr">
        <is>
          <t>General</t>
        </is>
      </c>
      <c r="F5262" s="5" t="n">
        <v>2086</v>
      </c>
      <c r="G5262" s="5" t="n">
        <v>15010</v>
      </c>
      <c r="H5262" s="5" t="n">
        <v>76</v>
      </c>
      <c r="I5262" s="5" t="n">
        <v>76</v>
      </c>
      <c r="J5262" s="5" t="n">
        <v>0</v>
      </c>
      <c r="K5262" s="10">
        <f>IF(F5262&gt;0,H5262/F5262,"")</f>
        <v/>
      </c>
      <c r="L5262" s="16">
        <f>IF(AND(G5262&gt;0,H5262&gt;0),G5262/H5262,"")</f>
        <v/>
      </c>
    </row>
    <row r="5263">
      <c r="A5263" s="4" t="inlineStr">
        <is>
          <t>201</t>
        </is>
      </c>
      <c r="B5263" s="4" t="n">
        <v>2</v>
      </c>
      <c r="C5263" s="4" t="inlineStr">
        <is>
          <t>mule deer</t>
        </is>
      </c>
      <c r="D5263" s="4" t="n">
        <v>2014</v>
      </c>
      <c r="E5263" s="13" t="inlineStr">
        <is>
          <t>General</t>
        </is>
      </c>
      <c r="F5263" s="5" t="n"/>
      <c r="G5263" s="5" t="n"/>
      <c r="H5263" s="5" t="n">
        <v>59</v>
      </c>
      <c r="I5263" s="5" t="n">
        <v>59</v>
      </c>
      <c r="J5263" s="5" t="n">
        <v>0</v>
      </c>
      <c r="K5263" s="10">
        <f>IF(F5263&gt;0,H5263/F5263,"")</f>
        <v/>
      </c>
      <c r="L5263" s="16">
        <f>IF(AND(G5263&gt;0,H5263&gt;0),G5263/H5263,"")</f>
        <v/>
      </c>
    </row>
    <row r="5264">
      <c r="A5264" s="4" t="inlineStr">
        <is>
          <t>201</t>
        </is>
      </c>
      <c r="B5264" s="4" t="n">
        <v>2</v>
      </c>
      <c r="C5264" s="4" t="inlineStr">
        <is>
          <t>mule deer</t>
        </is>
      </c>
      <c r="D5264" s="4" t="n">
        <v>2015</v>
      </c>
      <c r="E5264" s="13" t="inlineStr">
        <is>
          <t>General</t>
        </is>
      </c>
      <c r="F5264" s="5" t="n"/>
      <c r="G5264" s="5" t="n"/>
      <c r="H5264" s="5" t="n">
        <v>79</v>
      </c>
      <c r="I5264" s="5" t="n">
        <v>79</v>
      </c>
      <c r="J5264" s="5" t="n">
        <v>0</v>
      </c>
      <c r="K5264" s="10">
        <f>IF(F5264&gt;0,H5264/F5264,"")</f>
        <v/>
      </c>
      <c r="L5264" s="16">
        <f>IF(AND(G5264&gt;0,H5264&gt;0),G5264/H5264,"")</f>
        <v/>
      </c>
    </row>
    <row r="5265">
      <c r="A5265" s="4" t="inlineStr">
        <is>
          <t>201</t>
        </is>
      </c>
      <c r="B5265" s="4" t="n">
        <v>2</v>
      </c>
      <c r="C5265" s="4" t="inlineStr">
        <is>
          <t>mule deer</t>
        </is>
      </c>
      <c r="D5265" s="4" t="n">
        <v>2016</v>
      </c>
      <c r="E5265" s="13" t="inlineStr">
        <is>
          <t>General</t>
        </is>
      </c>
      <c r="F5265" s="5" t="n"/>
      <c r="G5265" s="5" t="n"/>
      <c r="H5265" s="5" t="n">
        <v>121</v>
      </c>
      <c r="I5265" s="5" t="n">
        <v>114</v>
      </c>
      <c r="J5265" s="5" t="n">
        <v>7</v>
      </c>
      <c r="K5265" s="10">
        <f>IF(F5265&gt;0,H5265/F5265,"")</f>
        <v/>
      </c>
      <c r="L5265" s="16">
        <f>IF(AND(G5265&gt;0,H5265&gt;0),G5265/H5265,"")</f>
        <v/>
      </c>
    </row>
    <row r="5266">
      <c r="A5266" s="4" t="inlineStr">
        <is>
          <t>201</t>
        </is>
      </c>
      <c r="B5266" s="4" t="n">
        <v>2</v>
      </c>
      <c r="C5266" s="4" t="inlineStr">
        <is>
          <t>mule deer</t>
        </is>
      </c>
      <c r="D5266" s="4" t="n">
        <v>2017</v>
      </c>
      <c r="E5266" s="13" t="inlineStr">
        <is>
          <t>General</t>
        </is>
      </c>
      <c r="F5266" s="5" t="n">
        <v>1747</v>
      </c>
      <c r="G5266" s="5" t="n">
        <v>11124</v>
      </c>
      <c r="H5266" s="5" t="n">
        <v>34</v>
      </c>
      <c r="I5266" s="5" t="n">
        <v>34</v>
      </c>
      <c r="J5266" s="5" t="n">
        <v>0</v>
      </c>
      <c r="K5266" s="10">
        <f>IF(F5266&gt;0,H5266/F5266,"")</f>
        <v/>
      </c>
      <c r="L5266" s="16">
        <f>IF(AND(G5266&gt;0,H5266&gt;0),G5266/H5266,"")</f>
        <v/>
      </c>
    </row>
    <row r="5267">
      <c r="A5267" s="4" t="inlineStr">
        <is>
          <t>201</t>
        </is>
      </c>
      <c r="B5267" s="4" t="n">
        <v>2</v>
      </c>
      <c r="C5267" s="4" t="inlineStr">
        <is>
          <t>mule deer</t>
        </is>
      </c>
      <c r="D5267" s="4" t="n">
        <v>2018</v>
      </c>
      <c r="E5267" s="13" t="inlineStr">
        <is>
          <t>General</t>
        </is>
      </c>
      <c r="F5267" s="5" t="n"/>
      <c r="G5267" s="5" t="n"/>
      <c r="H5267" s="5" t="n">
        <v>68</v>
      </c>
      <c r="I5267" s="5" t="n">
        <v>63</v>
      </c>
      <c r="J5267" s="5" t="n">
        <v>5</v>
      </c>
      <c r="K5267" s="10">
        <f>IF(F5267&gt;0,H5267/F5267,"")</f>
        <v/>
      </c>
      <c r="L5267" s="16">
        <f>IF(AND(G5267&gt;0,H5267&gt;0),G5267/H5267,"")</f>
        <v/>
      </c>
    </row>
    <row r="5268">
      <c r="A5268" s="4" t="inlineStr">
        <is>
          <t>201</t>
        </is>
      </c>
      <c r="B5268" s="4" t="n">
        <v>2</v>
      </c>
      <c r="C5268" s="4" t="inlineStr">
        <is>
          <t>mule deer</t>
        </is>
      </c>
      <c r="D5268" s="4" t="n">
        <v>2019</v>
      </c>
      <c r="E5268" s="13" t="inlineStr">
        <is>
          <t>General</t>
        </is>
      </c>
      <c r="F5268" s="5" t="n">
        <v>1937</v>
      </c>
      <c r="G5268" s="5" t="n">
        <v>13136</v>
      </c>
      <c r="H5268" s="5" t="n">
        <v>96</v>
      </c>
      <c r="I5268" s="5" t="n">
        <v>87</v>
      </c>
      <c r="J5268" s="5" t="n">
        <v>9</v>
      </c>
      <c r="K5268" s="10">
        <f>IF(F5268&gt;0,H5268/F5268,"")</f>
        <v/>
      </c>
      <c r="L5268" s="16">
        <f>IF(AND(G5268&gt;0,H5268&gt;0),G5268/H5268,"")</f>
        <v/>
      </c>
    </row>
    <row r="5269">
      <c r="A5269" s="4" t="inlineStr">
        <is>
          <t>201</t>
        </is>
      </c>
      <c r="B5269" s="4" t="n">
        <v>2</v>
      </c>
      <c r="C5269" s="4" t="inlineStr">
        <is>
          <t>mule deer</t>
        </is>
      </c>
      <c r="D5269" s="4" t="n">
        <v>2020</v>
      </c>
      <c r="E5269" s="13" t="inlineStr">
        <is>
          <t>General</t>
        </is>
      </c>
      <c r="F5269" s="5" t="n"/>
      <c r="G5269" s="5" t="n"/>
      <c r="H5269" s="5" t="n">
        <v>60</v>
      </c>
      <c r="I5269" s="5" t="n">
        <v>60</v>
      </c>
      <c r="J5269" s="5" t="n">
        <v>0</v>
      </c>
      <c r="K5269" s="10">
        <f>IF(F5269&gt;0,H5269/F5269,"")</f>
        <v/>
      </c>
      <c r="L5269" s="16">
        <f>IF(AND(G5269&gt;0,H5269&gt;0),G5269/H5269,"")</f>
        <v/>
      </c>
    </row>
    <row r="5270">
      <c r="A5270" s="4" t="inlineStr">
        <is>
          <t>201</t>
        </is>
      </c>
      <c r="B5270" s="4" t="n">
        <v>2</v>
      </c>
      <c r="C5270" s="4" t="inlineStr">
        <is>
          <t>mule deer</t>
        </is>
      </c>
      <c r="D5270" s="4" t="n">
        <v>2021</v>
      </c>
      <c r="E5270" s="13" t="inlineStr">
        <is>
          <t>General</t>
        </is>
      </c>
      <c r="F5270" s="5" t="n">
        <v>2164</v>
      </c>
      <c r="G5270" s="5" t="n">
        <v>15777</v>
      </c>
      <c r="H5270" s="5" t="n">
        <v>87</v>
      </c>
      <c r="I5270" s="5" t="n">
        <v>87</v>
      </c>
      <c r="J5270" s="5" t="n">
        <v>0</v>
      </c>
      <c r="K5270" s="10">
        <f>IF(F5270&gt;0,H5270/F5270,"")</f>
        <v/>
      </c>
      <c r="L5270" s="16">
        <f>IF(AND(G5270&gt;0,H5270&gt;0),G5270/H5270,"")</f>
        <v/>
      </c>
    </row>
    <row r="5271">
      <c r="A5271" s="4" t="inlineStr">
        <is>
          <t>201</t>
        </is>
      </c>
      <c r="B5271" s="4" t="n">
        <v>2</v>
      </c>
      <c r="C5271" s="4" t="inlineStr">
        <is>
          <t>mule deer</t>
        </is>
      </c>
      <c r="D5271" s="4" t="n">
        <v>2022</v>
      </c>
      <c r="E5271" s="13" t="inlineStr">
        <is>
          <t>General</t>
        </is>
      </c>
      <c r="F5271" s="5" t="n"/>
      <c r="G5271" s="5" t="n"/>
      <c r="H5271" s="5" t="n">
        <v>166</v>
      </c>
      <c r="I5271" s="5" t="n">
        <v>145</v>
      </c>
      <c r="J5271" s="5" t="n">
        <v>17</v>
      </c>
      <c r="K5271" s="10">
        <f>IF(F5271&gt;0,H5271/F5271,"")</f>
        <v/>
      </c>
      <c r="L5271" s="16">
        <f>IF(AND(G5271&gt;0,H5271&gt;0),G5271/H5271,"")</f>
        <v/>
      </c>
    </row>
    <row r="5272">
      <c r="A5272" s="4" t="inlineStr">
        <is>
          <t>201</t>
        </is>
      </c>
      <c r="B5272" s="4" t="n">
        <v>2</v>
      </c>
      <c r="C5272" s="4" t="inlineStr">
        <is>
          <t>mule deer</t>
        </is>
      </c>
      <c r="D5272" s="4" t="n">
        <v>2023</v>
      </c>
      <c r="E5272" s="13" t="inlineStr">
        <is>
          <t>General</t>
        </is>
      </c>
      <c r="F5272" s="5" t="n">
        <v>3619</v>
      </c>
      <c r="G5272" s="5" t="n">
        <v>25408</v>
      </c>
      <c r="H5272" s="5" t="n">
        <v>211</v>
      </c>
      <c r="I5272" s="5" t="n">
        <v>205</v>
      </c>
      <c r="J5272" s="5" t="n">
        <v>6</v>
      </c>
      <c r="K5272" s="10">
        <f>IF(F5272&gt;0,H5272/F5272,"")</f>
        <v/>
      </c>
      <c r="L5272" s="16">
        <f>IF(AND(G5272&gt;0,H5272&gt;0),G5272/H5272,"")</f>
        <v/>
      </c>
    </row>
    <row r="5273">
      <c r="A5273" s="4" t="inlineStr">
        <is>
          <t>201</t>
        </is>
      </c>
      <c r="B5273" s="4" t="n">
        <v>2</v>
      </c>
      <c r="C5273" s="4" t="inlineStr">
        <is>
          <t>mule deer</t>
        </is>
      </c>
      <c r="D5273" s="4" t="n">
        <v>2024</v>
      </c>
      <c r="E5273" s="13" t="inlineStr">
        <is>
          <t>General</t>
        </is>
      </c>
      <c r="F5273" s="5" t="n"/>
      <c r="G5273" s="5" t="n"/>
      <c r="H5273" s="5" t="n">
        <v>205</v>
      </c>
      <c r="I5273" s="5" t="n">
        <v>203</v>
      </c>
      <c r="J5273" s="5" t="n">
        <v>2</v>
      </c>
      <c r="K5273" s="10">
        <f>IF(F5273&gt;0,H5273/F5273,"")</f>
        <v/>
      </c>
      <c r="L5273" s="16">
        <f>IF(AND(G5273&gt;0,H5273&gt;0),G5273/H5273,"")</f>
        <v/>
      </c>
    </row>
    <row r="5274">
      <c r="A5274" s="4" t="inlineStr">
        <is>
          <t>201</t>
        </is>
      </c>
      <c r="B5274" s="4" t="n">
        <v>2</v>
      </c>
      <c r="C5274" s="4" t="inlineStr">
        <is>
          <t>mule deer</t>
        </is>
      </c>
      <c r="D5274" s="4" t="n">
        <v>2025</v>
      </c>
      <c r="E5274" s="13" t="inlineStr">
        <is>
          <t>General</t>
        </is>
      </c>
      <c r="F5274" s="5" t="n">
        <v>3441</v>
      </c>
      <c r="G5274" s="5" t="n">
        <v>23120</v>
      </c>
      <c r="H5274" s="5" t="n">
        <v>185</v>
      </c>
      <c r="I5274" s="5" t="n">
        <v>181</v>
      </c>
      <c r="J5274" s="5" t="n">
        <v>4</v>
      </c>
      <c r="K5274" s="10">
        <f>IF(F5274&gt;0,H5274/F5274,"")</f>
        <v/>
      </c>
      <c r="L5274" s="16">
        <f>IF(AND(G5274&gt;0,H5274&gt;0),G5274/H5274,"")</f>
        <v/>
      </c>
    </row>
    <row r="5275">
      <c r="A5275" s="4" t="inlineStr">
        <is>
          <t>202</t>
        </is>
      </c>
      <c r="B5275" s="4" t="n">
        <v>2</v>
      </c>
      <c r="C5275" s="4" t="inlineStr">
        <is>
          <t>mule deer</t>
        </is>
      </c>
      <c r="D5275" s="4" t="n">
        <v>2004</v>
      </c>
      <c r="E5275" s="15" t="inlineStr">
        <is>
          <t>Draw</t>
        </is>
      </c>
      <c r="F5275" s="5" t="n">
        <v>1837</v>
      </c>
      <c r="G5275" s="5" t="n">
        <v>11222</v>
      </c>
      <c r="H5275" s="5" t="n">
        <v>117</v>
      </c>
      <c r="I5275" s="5" t="n">
        <v>109</v>
      </c>
      <c r="J5275" s="5" t="n">
        <v>8</v>
      </c>
      <c r="K5275" s="10">
        <f>IF(F5275&gt;0,H5275/F5275,"")</f>
        <v/>
      </c>
      <c r="L5275" s="16">
        <f>IF(AND(G5275&gt;0,H5275&gt;0),G5275/H5275,"")</f>
        <v/>
      </c>
    </row>
    <row r="5276">
      <c r="A5276" s="4" t="inlineStr">
        <is>
          <t>202</t>
        </is>
      </c>
      <c r="B5276" s="4" t="n">
        <v>2</v>
      </c>
      <c r="C5276" s="4" t="inlineStr">
        <is>
          <t>mule deer</t>
        </is>
      </c>
      <c r="D5276" s="4" t="n">
        <v>2005</v>
      </c>
      <c r="E5276" s="15" t="inlineStr">
        <is>
          <t>Draw</t>
        </is>
      </c>
      <c r="F5276" s="5" t="n">
        <v>1855</v>
      </c>
      <c r="G5276" s="5" t="n">
        <v>11778</v>
      </c>
      <c r="H5276" s="5" t="n">
        <v>98</v>
      </c>
      <c r="I5276" s="5" t="n">
        <v>92</v>
      </c>
      <c r="J5276" s="5" t="n">
        <v>6</v>
      </c>
      <c r="K5276" s="10">
        <f>IF(F5276&gt;0,H5276/F5276,"")</f>
        <v/>
      </c>
      <c r="L5276" s="16">
        <f>IF(AND(G5276&gt;0,H5276&gt;0),G5276/H5276,"")</f>
        <v/>
      </c>
    </row>
    <row r="5277">
      <c r="A5277" s="4" t="inlineStr">
        <is>
          <t>202</t>
        </is>
      </c>
      <c r="B5277" s="4" t="n">
        <v>2</v>
      </c>
      <c r="C5277" s="4" t="inlineStr">
        <is>
          <t>mule deer</t>
        </is>
      </c>
      <c r="D5277" s="4" t="n">
        <v>2006</v>
      </c>
      <c r="E5277" s="15" t="inlineStr">
        <is>
          <t>Draw</t>
        </is>
      </c>
      <c r="F5277" s="5" t="n">
        <v>1636</v>
      </c>
      <c r="G5277" s="5" t="n">
        <v>11595</v>
      </c>
      <c r="H5277" s="5" t="n">
        <v>98</v>
      </c>
      <c r="I5277" s="5" t="n">
        <v>96</v>
      </c>
      <c r="J5277" s="5" t="n">
        <v>2</v>
      </c>
      <c r="K5277" s="10">
        <f>IF(F5277&gt;0,H5277/F5277,"")</f>
        <v/>
      </c>
      <c r="L5277" s="16">
        <f>IF(AND(G5277&gt;0,H5277&gt;0),G5277/H5277,"")</f>
        <v/>
      </c>
    </row>
    <row r="5278">
      <c r="A5278" s="4" t="inlineStr">
        <is>
          <t>202</t>
        </is>
      </c>
      <c r="B5278" s="4" t="n">
        <v>2</v>
      </c>
      <c r="C5278" s="4" t="inlineStr">
        <is>
          <t>mule deer</t>
        </is>
      </c>
      <c r="D5278" s="4" t="n">
        <v>2007</v>
      </c>
      <c r="E5278" s="15" t="inlineStr">
        <is>
          <t>Draw</t>
        </is>
      </c>
      <c r="F5278" s="5" t="n">
        <v>1322</v>
      </c>
      <c r="G5278" s="5" t="n">
        <v>10834</v>
      </c>
      <c r="H5278" s="5" t="n">
        <v>91</v>
      </c>
      <c r="I5278" s="5" t="n">
        <v>89</v>
      </c>
      <c r="J5278" s="5" t="n">
        <v>2</v>
      </c>
      <c r="K5278" s="10">
        <f>IF(F5278&gt;0,H5278/F5278,"")</f>
        <v/>
      </c>
      <c r="L5278" s="16">
        <f>IF(AND(G5278&gt;0,H5278&gt;0),G5278/H5278,"")</f>
        <v/>
      </c>
    </row>
    <row r="5279">
      <c r="A5279" s="4" t="inlineStr">
        <is>
          <t>202</t>
        </is>
      </c>
      <c r="B5279" s="4" t="n">
        <v>2</v>
      </c>
      <c r="C5279" s="4" t="inlineStr">
        <is>
          <t>mule deer</t>
        </is>
      </c>
      <c r="D5279" s="4" t="n">
        <v>2008</v>
      </c>
      <c r="E5279" s="15" t="inlineStr">
        <is>
          <t>Draw</t>
        </is>
      </c>
      <c r="F5279" s="5" t="n">
        <v>1510</v>
      </c>
      <c r="G5279" s="5" t="n">
        <v>10956</v>
      </c>
      <c r="H5279" s="5" t="n">
        <v>77</v>
      </c>
      <c r="I5279" s="5" t="n">
        <v>73</v>
      </c>
      <c r="J5279" s="5" t="n">
        <v>4</v>
      </c>
      <c r="K5279" s="10">
        <f>IF(F5279&gt;0,H5279/F5279,"")</f>
        <v/>
      </c>
      <c r="L5279" s="16">
        <f>IF(AND(G5279&gt;0,H5279&gt;0),G5279/H5279,"")</f>
        <v/>
      </c>
    </row>
    <row r="5280">
      <c r="A5280" s="4" t="inlineStr">
        <is>
          <t>202</t>
        </is>
      </c>
      <c r="B5280" s="4" t="n">
        <v>2</v>
      </c>
      <c r="C5280" s="4" t="inlineStr">
        <is>
          <t>mule deer</t>
        </is>
      </c>
      <c r="D5280" s="4" t="n">
        <v>2009</v>
      </c>
      <c r="E5280" s="15" t="inlineStr">
        <is>
          <t>Draw</t>
        </is>
      </c>
      <c r="F5280" s="5" t="n">
        <v>1538</v>
      </c>
      <c r="G5280" s="5" t="n">
        <v>11286</v>
      </c>
      <c r="H5280" s="5" t="n">
        <v>61</v>
      </c>
      <c r="I5280" s="5" t="n">
        <v>61</v>
      </c>
      <c r="J5280" s="5" t="n">
        <v>0</v>
      </c>
      <c r="K5280" s="10">
        <f>IF(F5280&gt;0,H5280/F5280,"")</f>
        <v/>
      </c>
      <c r="L5280" s="16">
        <f>IF(AND(G5280&gt;0,H5280&gt;0),G5280/H5280,"")</f>
        <v/>
      </c>
    </row>
    <row r="5281">
      <c r="A5281" s="4" t="inlineStr">
        <is>
          <t>202</t>
        </is>
      </c>
      <c r="B5281" s="4" t="n">
        <v>2</v>
      </c>
      <c r="C5281" s="4" t="inlineStr">
        <is>
          <t>mule deer</t>
        </is>
      </c>
      <c r="D5281" s="4" t="n">
        <v>2010</v>
      </c>
      <c r="E5281" s="15" t="inlineStr">
        <is>
          <t>Draw</t>
        </is>
      </c>
      <c r="F5281" s="5" t="n">
        <v>1002</v>
      </c>
      <c r="G5281" s="5" t="n">
        <v>7505</v>
      </c>
      <c r="H5281" s="5" t="n">
        <v>100</v>
      </c>
      <c r="I5281" s="5" t="n">
        <v>100</v>
      </c>
      <c r="J5281" s="5" t="n">
        <v>0</v>
      </c>
      <c r="K5281" s="10">
        <f>IF(F5281&gt;0,H5281/F5281,"")</f>
        <v/>
      </c>
      <c r="L5281" s="16">
        <f>IF(AND(G5281&gt;0,H5281&gt;0),G5281/H5281,"")</f>
        <v/>
      </c>
    </row>
    <row r="5282">
      <c r="A5282" s="4" t="inlineStr">
        <is>
          <t>202</t>
        </is>
      </c>
      <c r="B5282" s="4" t="n">
        <v>2</v>
      </c>
      <c r="C5282" s="4" t="inlineStr">
        <is>
          <t>mule deer</t>
        </is>
      </c>
      <c r="D5282" s="4" t="n">
        <v>2011</v>
      </c>
      <c r="E5282" s="15" t="inlineStr">
        <is>
          <t>Draw</t>
        </is>
      </c>
      <c r="F5282" s="5" t="n">
        <v>1176</v>
      </c>
      <c r="G5282" s="5" t="n">
        <v>8244</v>
      </c>
      <c r="H5282" s="5" t="n">
        <v>48</v>
      </c>
      <c r="I5282" s="5" t="n">
        <v>42</v>
      </c>
      <c r="J5282" s="5" t="n">
        <v>6</v>
      </c>
      <c r="K5282" s="10">
        <f>IF(F5282&gt;0,H5282/F5282,"")</f>
        <v/>
      </c>
      <c r="L5282" s="16">
        <f>IF(AND(G5282&gt;0,H5282&gt;0),G5282/H5282,"")</f>
        <v/>
      </c>
    </row>
    <row r="5283">
      <c r="A5283" s="4" t="inlineStr">
        <is>
          <t>202</t>
        </is>
      </c>
      <c r="B5283" s="4" t="n">
        <v>2</v>
      </c>
      <c r="C5283" s="4" t="inlineStr">
        <is>
          <t>mule deer</t>
        </is>
      </c>
      <c r="D5283" s="4" t="n">
        <v>2012</v>
      </c>
      <c r="E5283" s="15" t="inlineStr">
        <is>
          <t>Draw</t>
        </is>
      </c>
      <c r="F5283" s="5" t="n"/>
      <c r="G5283" s="5" t="n"/>
      <c r="H5283" s="5" t="n">
        <v>83</v>
      </c>
      <c r="I5283" s="5" t="n">
        <v>83</v>
      </c>
      <c r="J5283" s="5" t="n">
        <v>0</v>
      </c>
      <c r="K5283" s="10">
        <f>IF(F5283&gt;0,H5283/F5283,"")</f>
        <v/>
      </c>
      <c r="L5283" s="16">
        <f>IF(AND(G5283&gt;0,H5283&gt;0),G5283/H5283,"")</f>
        <v/>
      </c>
    </row>
    <row r="5284">
      <c r="A5284" s="4" t="inlineStr">
        <is>
          <t>202</t>
        </is>
      </c>
      <c r="B5284" s="4" t="n">
        <v>2</v>
      </c>
      <c r="C5284" s="4" t="inlineStr">
        <is>
          <t>mule deer</t>
        </is>
      </c>
      <c r="D5284" s="4" t="n">
        <v>2013</v>
      </c>
      <c r="E5284" s="15" t="inlineStr">
        <is>
          <t>Draw</t>
        </is>
      </c>
      <c r="F5284" s="5" t="n">
        <v>1210</v>
      </c>
      <c r="G5284" s="5" t="n">
        <v>8701</v>
      </c>
      <c r="H5284" s="5" t="n">
        <v>74</v>
      </c>
      <c r="I5284" s="5" t="n">
        <v>74</v>
      </c>
      <c r="J5284" s="5" t="n">
        <v>0</v>
      </c>
      <c r="K5284" s="10">
        <f>IF(F5284&gt;0,H5284/F5284,"")</f>
        <v/>
      </c>
      <c r="L5284" s="16">
        <f>IF(AND(G5284&gt;0,H5284&gt;0),G5284/H5284,"")</f>
        <v/>
      </c>
    </row>
    <row r="5285">
      <c r="A5285" s="4" t="inlineStr">
        <is>
          <t>202</t>
        </is>
      </c>
      <c r="B5285" s="4" t="n">
        <v>2</v>
      </c>
      <c r="C5285" s="4" t="inlineStr">
        <is>
          <t>mule deer</t>
        </is>
      </c>
      <c r="D5285" s="4" t="n">
        <v>2014</v>
      </c>
      <c r="E5285" s="15" t="inlineStr">
        <is>
          <t>Draw</t>
        </is>
      </c>
      <c r="F5285" s="5" t="n"/>
      <c r="G5285" s="5" t="n"/>
      <c r="H5285" s="5" t="n">
        <v>79</v>
      </c>
      <c r="I5285" s="5" t="n">
        <v>79</v>
      </c>
      <c r="J5285" s="5" t="n">
        <v>0</v>
      </c>
      <c r="K5285" s="10">
        <f>IF(F5285&gt;0,H5285/F5285,"")</f>
        <v/>
      </c>
      <c r="L5285" s="16">
        <f>IF(AND(G5285&gt;0,H5285&gt;0),G5285/H5285,"")</f>
        <v/>
      </c>
    </row>
    <row r="5286">
      <c r="A5286" s="4" t="inlineStr">
        <is>
          <t>202</t>
        </is>
      </c>
      <c r="B5286" s="4" t="n">
        <v>2</v>
      </c>
      <c r="C5286" s="4" t="inlineStr">
        <is>
          <t>mule deer</t>
        </is>
      </c>
      <c r="D5286" s="4" t="n">
        <v>2015</v>
      </c>
      <c r="E5286" s="15" t="inlineStr">
        <is>
          <t>Draw</t>
        </is>
      </c>
      <c r="F5286" s="5" t="n"/>
      <c r="G5286" s="5" t="n"/>
      <c r="H5286" s="5" t="n">
        <v>81</v>
      </c>
      <c r="I5286" s="5" t="n">
        <v>81</v>
      </c>
      <c r="J5286" s="5" t="n">
        <v>0</v>
      </c>
      <c r="K5286" s="10">
        <f>IF(F5286&gt;0,H5286/F5286,"")</f>
        <v/>
      </c>
      <c r="L5286" s="16">
        <f>IF(AND(G5286&gt;0,H5286&gt;0),G5286/H5286,"")</f>
        <v/>
      </c>
    </row>
    <row r="5287">
      <c r="A5287" s="4" t="inlineStr">
        <is>
          <t>202</t>
        </is>
      </c>
      <c r="B5287" s="4" t="n">
        <v>2</v>
      </c>
      <c r="C5287" s="4" t="inlineStr">
        <is>
          <t>mule deer</t>
        </is>
      </c>
      <c r="D5287" s="4" t="n">
        <v>2016</v>
      </c>
      <c r="E5287" s="15" t="inlineStr">
        <is>
          <t>Draw</t>
        </is>
      </c>
      <c r="F5287" s="5" t="n"/>
      <c r="G5287" s="5" t="n"/>
      <c r="H5287" s="5" t="n">
        <v>121</v>
      </c>
      <c r="I5287" s="5" t="n">
        <v>121</v>
      </c>
      <c r="J5287" s="5" t="n">
        <v>0</v>
      </c>
      <c r="K5287" s="10">
        <f>IF(F5287&gt;0,H5287/F5287,"")</f>
        <v/>
      </c>
      <c r="L5287" s="16">
        <f>IF(AND(G5287&gt;0,H5287&gt;0),G5287/H5287,"")</f>
        <v/>
      </c>
    </row>
    <row r="5288">
      <c r="A5288" s="4" t="inlineStr">
        <is>
          <t>202</t>
        </is>
      </c>
      <c r="B5288" s="4" t="n">
        <v>2</v>
      </c>
      <c r="C5288" s="4" t="inlineStr">
        <is>
          <t>mule deer</t>
        </is>
      </c>
      <c r="D5288" s="4" t="n">
        <v>2017</v>
      </c>
      <c r="E5288" s="15" t="inlineStr">
        <is>
          <t>Draw</t>
        </is>
      </c>
      <c r="F5288" s="5" t="n">
        <v>1209</v>
      </c>
      <c r="G5288" s="5" t="n">
        <v>7655</v>
      </c>
      <c r="H5288" s="5" t="n">
        <v>81</v>
      </c>
      <c r="I5288" s="5" t="n">
        <v>78</v>
      </c>
      <c r="J5288" s="5" t="n">
        <v>3</v>
      </c>
      <c r="K5288" s="10">
        <f>IF(F5288&gt;0,H5288/F5288,"")</f>
        <v/>
      </c>
      <c r="L5288" s="16">
        <f>IF(AND(G5288&gt;0,H5288&gt;0),G5288/H5288,"")</f>
        <v/>
      </c>
    </row>
    <row r="5289">
      <c r="A5289" s="4" t="inlineStr">
        <is>
          <t>202</t>
        </is>
      </c>
      <c r="B5289" s="4" t="n">
        <v>2</v>
      </c>
      <c r="C5289" s="4" t="inlineStr">
        <is>
          <t>mule deer</t>
        </is>
      </c>
      <c r="D5289" s="4" t="n">
        <v>2018</v>
      </c>
      <c r="E5289" s="15" t="inlineStr">
        <is>
          <t>Draw</t>
        </is>
      </c>
      <c r="F5289" s="5" t="n"/>
      <c r="G5289" s="5" t="n"/>
      <c r="H5289" s="5" t="n">
        <v>88</v>
      </c>
      <c r="I5289" s="5" t="n">
        <v>85</v>
      </c>
      <c r="J5289" s="5" t="n">
        <v>3</v>
      </c>
      <c r="K5289" s="10">
        <f>IF(F5289&gt;0,H5289/F5289,"")</f>
        <v/>
      </c>
      <c r="L5289" s="16">
        <f>IF(AND(G5289&gt;0,H5289&gt;0),G5289/H5289,"")</f>
        <v/>
      </c>
    </row>
    <row r="5290">
      <c r="A5290" s="4" t="inlineStr">
        <is>
          <t>202</t>
        </is>
      </c>
      <c r="B5290" s="4" t="n">
        <v>2</v>
      </c>
      <c r="C5290" s="4" t="inlineStr">
        <is>
          <t>mule deer</t>
        </is>
      </c>
      <c r="D5290" s="4" t="n">
        <v>2019</v>
      </c>
      <c r="E5290" s="15" t="inlineStr">
        <is>
          <t>Draw</t>
        </is>
      </c>
      <c r="F5290" s="5" t="n">
        <v>1263</v>
      </c>
      <c r="G5290" s="5" t="n">
        <v>8340</v>
      </c>
      <c r="H5290" s="5" t="n">
        <v>108</v>
      </c>
      <c r="I5290" s="5" t="n">
        <v>108</v>
      </c>
      <c r="J5290" s="5" t="n">
        <v>0</v>
      </c>
      <c r="K5290" s="10">
        <f>IF(F5290&gt;0,H5290/F5290,"")</f>
        <v/>
      </c>
      <c r="L5290" s="16">
        <f>IF(AND(G5290&gt;0,H5290&gt;0),G5290/H5290,"")</f>
        <v/>
      </c>
    </row>
    <row r="5291">
      <c r="A5291" s="4" t="inlineStr">
        <is>
          <t>202</t>
        </is>
      </c>
      <c r="B5291" s="4" t="n">
        <v>2</v>
      </c>
      <c r="C5291" s="4" t="inlineStr">
        <is>
          <t>mule deer</t>
        </is>
      </c>
      <c r="D5291" s="4" t="n">
        <v>2020</v>
      </c>
      <c r="E5291" s="15" t="inlineStr">
        <is>
          <t>Draw</t>
        </is>
      </c>
      <c r="F5291" s="5" t="n"/>
      <c r="G5291" s="5" t="n"/>
      <c r="H5291" s="5" t="n">
        <v>104</v>
      </c>
      <c r="I5291" s="5" t="n">
        <v>104</v>
      </c>
      <c r="J5291" s="5" t="n">
        <v>0</v>
      </c>
      <c r="K5291" s="10">
        <f>IF(F5291&gt;0,H5291/F5291,"")</f>
        <v/>
      </c>
      <c r="L5291" s="16">
        <f>IF(AND(G5291&gt;0,H5291&gt;0),G5291/H5291,"")</f>
        <v/>
      </c>
    </row>
    <row r="5292">
      <c r="A5292" s="4" t="inlineStr">
        <is>
          <t>202</t>
        </is>
      </c>
      <c r="B5292" s="4" t="n">
        <v>2</v>
      </c>
      <c r="C5292" s="4" t="inlineStr">
        <is>
          <t>mule deer</t>
        </is>
      </c>
      <c r="D5292" s="4" t="n">
        <v>2021</v>
      </c>
      <c r="E5292" s="15" t="inlineStr">
        <is>
          <t>Draw</t>
        </is>
      </c>
      <c r="F5292" s="5" t="n">
        <v>1402</v>
      </c>
      <c r="G5292" s="5" t="n">
        <v>9944</v>
      </c>
      <c r="H5292" s="5" t="n">
        <v>95</v>
      </c>
      <c r="I5292" s="5" t="n">
        <v>95</v>
      </c>
      <c r="J5292" s="5" t="n">
        <v>0</v>
      </c>
      <c r="K5292" s="10">
        <f>IF(F5292&gt;0,H5292/F5292,"")</f>
        <v/>
      </c>
      <c r="L5292" s="16">
        <f>IF(AND(G5292&gt;0,H5292&gt;0),G5292/H5292,"")</f>
        <v/>
      </c>
    </row>
    <row r="5293">
      <c r="A5293" s="4" t="inlineStr">
        <is>
          <t>202</t>
        </is>
      </c>
      <c r="B5293" s="4" t="n">
        <v>2</v>
      </c>
      <c r="C5293" s="4" t="inlineStr">
        <is>
          <t>mule deer</t>
        </is>
      </c>
      <c r="D5293" s="4" t="n">
        <v>2022</v>
      </c>
      <c r="E5293" s="15" t="inlineStr">
        <is>
          <t>Draw</t>
        </is>
      </c>
      <c r="F5293" s="5" t="n"/>
      <c r="G5293" s="5" t="n"/>
      <c r="H5293" s="5" t="n">
        <v>67</v>
      </c>
      <c r="I5293" s="5" t="n">
        <v>67</v>
      </c>
      <c r="J5293" s="5" t="n">
        <v>0</v>
      </c>
      <c r="K5293" s="10">
        <f>IF(F5293&gt;0,H5293/F5293,"")</f>
        <v/>
      </c>
      <c r="L5293" s="16">
        <f>IF(AND(G5293&gt;0,H5293&gt;0),G5293/H5293,"")</f>
        <v/>
      </c>
    </row>
    <row r="5294">
      <c r="A5294" s="4" t="inlineStr">
        <is>
          <t>202</t>
        </is>
      </c>
      <c r="B5294" s="4" t="n">
        <v>2</v>
      </c>
      <c r="C5294" s="4" t="inlineStr">
        <is>
          <t>mule deer</t>
        </is>
      </c>
      <c r="D5294" s="4" t="n">
        <v>2023</v>
      </c>
      <c r="E5294" s="15" t="inlineStr">
        <is>
          <t>Draw</t>
        </is>
      </c>
      <c r="F5294" s="5" t="n">
        <v>1796</v>
      </c>
      <c r="G5294" s="5" t="n">
        <v>12826</v>
      </c>
      <c r="H5294" s="5" t="n">
        <v>83</v>
      </c>
      <c r="I5294" s="5" t="n">
        <v>83</v>
      </c>
      <c r="J5294" s="5" t="n">
        <v>0</v>
      </c>
      <c r="K5294" s="10">
        <f>IF(F5294&gt;0,H5294/F5294,"")</f>
        <v/>
      </c>
      <c r="L5294" s="16">
        <f>IF(AND(G5294&gt;0,H5294&gt;0),G5294/H5294,"")</f>
        <v/>
      </c>
    </row>
    <row r="5295">
      <c r="A5295" s="4" t="inlineStr">
        <is>
          <t>202</t>
        </is>
      </c>
      <c r="B5295" s="4" t="n">
        <v>2</v>
      </c>
      <c r="C5295" s="4" t="inlineStr">
        <is>
          <t>mule deer</t>
        </is>
      </c>
      <c r="D5295" s="4" t="n">
        <v>2024</v>
      </c>
      <c r="E5295" s="15" t="inlineStr">
        <is>
          <t>Draw</t>
        </is>
      </c>
      <c r="F5295" s="5" t="n"/>
      <c r="G5295" s="5" t="n"/>
      <c r="H5295" s="5" t="n">
        <v>99</v>
      </c>
      <c r="I5295" s="5" t="n">
        <v>96</v>
      </c>
      <c r="J5295" s="5" t="n">
        <v>3</v>
      </c>
      <c r="K5295" s="10">
        <f>IF(F5295&gt;0,H5295/F5295,"")</f>
        <v/>
      </c>
      <c r="L5295" s="16">
        <f>IF(AND(G5295&gt;0,H5295&gt;0),G5295/H5295,"")</f>
        <v/>
      </c>
    </row>
    <row r="5296">
      <c r="A5296" s="4" t="inlineStr">
        <is>
          <t>202</t>
        </is>
      </c>
      <c r="B5296" s="4" t="n">
        <v>2</v>
      </c>
      <c r="C5296" s="4" t="inlineStr">
        <is>
          <t>mule deer</t>
        </is>
      </c>
      <c r="D5296" s="4" t="n">
        <v>2025</v>
      </c>
      <c r="E5296" s="15" t="inlineStr">
        <is>
          <t>Draw</t>
        </is>
      </c>
      <c r="F5296" s="5" t="n">
        <v>1814</v>
      </c>
      <c r="G5296" s="5" t="n">
        <v>11696</v>
      </c>
      <c r="H5296" s="5" t="n">
        <v>104</v>
      </c>
      <c r="I5296" s="5" t="n">
        <v>104</v>
      </c>
      <c r="J5296" s="5" t="n">
        <v>0</v>
      </c>
      <c r="K5296" s="10">
        <f>IF(F5296&gt;0,H5296/F5296,"")</f>
        <v/>
      </c>
      <c r="L5296" s="16">
        <f>IF(AND(G5296&gt;0,H5296&gt;0),G5296/H5296,"")</f>
        <v/>
      </c>
    </row>
    <row r="5297">
      <c r="A5297" s="4" t="inlineStr">
        <is>
          <t>203</t>
        </is>
      </c>
      <c r="B5297" s="4" t="n">
        <v>2</v>
      </c>
      <c r="C5297" s="4" t="inlineStr">
        <is>
          <t>mule deer</t>
        </is>
      </c>
      <c r="D5297" s="4" t="n">
        <v>2004</v>
      </c>
      <c r="E5297" s="4" t="inlineStr"/>
      <c r="F5297" s="5" t="n">
        <v>1481</v>
      </c>
      <c r="G5297" s="5" t="n">
        <v>7564</v>
      </c>
      <c r="H5297" s="5" t="n">
        <v>122</v>
      </c>
      <c r="I5297" s="5" t="n">
        <v>118</v>
      </c>
      <c r="J5297" s="5" t="n">
        <v>0</v>
      </c>
      <c r="K5297" s="10">
        <f>IF(F5297&gt;0,H5297/F5297,"")</f>
        <v/>
      </c>
      <c r="L5297" s="16">
        <f>IF(AND(G5297&gt;0,H5297&gt;0),G5297/H5297,"")</f>
        <v/>
      </c>
    </row>
    <row r="5298">
      <c r="A5298" s="4" t="inlineStr">
        <is>
          <t>203</t>
        </is>
      </c>
      <c r="B5298" s="4" t="n">
        <v>2</v>
      </c>
      <c r="C5298" s="4" t="inlineStr">
        <is>
          <t>mule deer</t>
        </is>
      </c>
      <c r="D5298" s="4" t="n">
        <v>2005</v>
      </c>
      <c r="E5298" s="4" t="inlineStr"/>
      <c r="F5298" s="5" t="n">
        <v>1478</v>
      </c>
      <c r="G5298" s="5" t="n">
        <v>7729</v>
      </c>
      <c r="H5298" s="5" t="n">
        <v>128</v>
      </c>
      <c r="I5298" s="5" t="n">
        <v>128</v>
      </c>
      <c r="J5298" s="5" t="n">
        <v>0</v>
      </c>
      <c r="K5298" s="10">
        <f>IF(F5298&gt;0,H5298/F5298,"")</f>
        <v/>
      </c>
      <c r="L5298" s="16">
        <f>IF(AND(G5298&gt;0,H5298&gt;0),G5298/H5298,"")</f>
        <v/>
      </c>
    </row>
    <row r="5299">
      <c r="A5299" s="4" t="inlineStr">
        <is>
          <t>203</t>
        </is>
      </c>
      <c r="B5299" s="4" t="n">
        <v>2</v>
      </c>
      <c r="C5299" s="4" t="inlineStr">
        <is>
          <t>mule deer</t>
        </is>
      </c>
      <c r="D5299" s="4" t="n">
        <v>2006</v>
      </c>
      <c r="E5299" s="4" t="inlineStr"/>
      <c r="F5299" s="5" t="n">
        <v>1801</v>
      </c>
      <c r="G5299" s="5" t="n">
        <v>10123</v>
      </c>
      <c r="H5299" s="5" t="n">
        <v>145</v>
      </c>
      <c r="I5299" s="5" t="n">
        <v>145</v>
      </c>
      <c r="J5299" s="5" t="n">
        <v>0</v>
      </c>
      <c r="K5299" s="10">
        <f>IF(F5299&gt;0,H5299/F5299,"")</f>
        <v/>
      </c>
      <c r="L5299" s="16">
        <f>IF(AND(G5299&gt;0,H5299&gt;0),G5299/H5299,"")</f>
        <v/>
      </c>
    </row>
    <row r="5300">
      <c r="A5300" s="4" t="inlineStr">
        <is>
          <t>203</t>
        </is>
      </c>
      <c r="B5300" s="4" t="n">
        <v>2</v>
      </c>
      <c r="C5300" s="4" t="inlineStr">
        <is>
          <t>mule deer</t>
        </is>
      </c>
      <c r="D5300" s="4" t="n">
        <v>2007</v>
      </c>
      <c r="E5300" s="4" t="inlineStr"/>
      <c r="F5300" s="5" t="n">
        <v>1913</v>
      </c>
      <c r="G5300" s="5" t="n">
        <v>12863</v>
      </c>
      <c r="H5300" s="5" t="n">
        <v>139</v>
      </c>
      <c r="I5300" s="5" t="n">
        <v>135</v>
      </c>
      <c r="J5300" s="5" t="n">
        <v>4</v>
      </c>
      <c r="K5300" s="10">
        <f>IF(F5300&gt;0,H5300/F5300,"")</f>
        <v/>
      </c>
      <c r="L5300" s="16">
        <f>IF(AND(G5300&gt;0,H5300&gt;0),G5300/H5300,"")</f>
        <v/>
      </c>
    </row>
    <row r="5301">
      <c r="A5301" s="4" t="inlineStr">
        <is>
          <t>203</t>
        </is>
      </c>
      <c r="B5301" s="4" t="n">
        <v>2</v>
      </c>
      <c r="C5301" s="4" t="inlineStr">
        <is>
          <t>mule deer</t>
        </is>
      </c>
      <c r="D5301" s="4" t="n">
        <v>2008</v>
      </c>
      <c r="E5301" s="4" t="inlineStr"/>
      <c r="F5301" s="5" t="n">
        <v>1629</v>
      </c>
      <c r="G5301" s="5" t="n">
        <v>9712</v>
      </c>
      <c r="H5301" s="5" t="n">
        <v>57</v>
      </c>
      <c r="I5301" s="5" t="n">
        <v>57</v>
      </c>
      <c r="J5301" s="5" t="n">
        <v>0</v>
      </c>
      <c r="K5301" s="10">
        <f>IF(F5301&gt;0,H5301/F5301,"")</f>
        <v/>
      </c>
      <c r="L5301" s="16">
        <f>IF(AND(G5301&gt;0,H5301&gt;0),G5301/H5301,"")</f>
        <v/>
      </c>
    </row>
    <row r="5302">
      <c r="A5302" s="4" t="inlineStr">
        <is>
          <t>203</t>
        </is>
      </c>
      <c r="B5302" s="4" t="n">
        <v>2</v>
      </c>
      <c r="C5302" s="4" t="inlineStr">
        <is>
          <t>mule deer</t>
        </is>
      </c>
      <c r="D5302" s="4" t="n">
        <v>2009</v>
      </c>
      <c r="E5302" s="4" t="inlineStr"/>
      <c r="F5302" s="5" t="n">
        <v>1693</v>
      </c>
      <c r="G5302" s="5" t="n">
        <v>9725</v>
      </c>
      <c r="H5302" s="5" t="n">
        <v>68</v>
      </c>
      <c r="I5302" s="5" t="n">
        <v>66</v>
      </c>
      <c r="J5302" s="5" t="n">
        <v>2</v>
      </c>
      <c r="K5302" s="10">
        <f>IF(F5302&gt;0,H5302/F5302,"")</f>
        <v/>
      </c>
      <c r="L5302" s="16">
        <f>IF(AND(G5302&gt;0,H5302&gt;0),G5302/H5302,"")</f>
        <v/>
      </c>
    </row>
    <row r="5303">
      <c r="A5303" s="4" t="inlineStr">
        <is>
          <t>203</t>
        </is>
      </c>
      <c r="B5303" s="4" t="n">
        <v>2</v>
      </c>
      <c r="C5303" s="4" t="inlineStr">
        <is>
          <t>mule deer</t>
        </is>
      </c>
      <c r="D5303" s="4" t="n">
        <v>2010</v>
      </c>
      <c r="E5303" s="4" t="inlineStr"/>
      <c r="F5303" s="5" t="n">
        <v>1401</v>
      </c>
      <c r="G5303" s="5" t="n">
        <v>7795</v>
      </c>
      <c r="H5303" s="5" t="n">
        <v>87</v>
      </c>
      <c r="I5303" s="5" t="n">
        <v>87</v>
      </c>
      <c r="J5303" s="5" t="n">
        <v>0</v>
      </c>
      <c r="K5303" s="10">
        <f>IF(F5303&gt;0,H5303/F5303,"")</f>
        <v/>
      </c>
      <c r="L5303" s="16">
        <f>IF(AND(G5303&gt;0,H5303&gt;0),G5303/H5303,"")</f>
        <v/>
      </c>
    </row>
    <row r="5304">
      <c r="A5304" s="4" t="inlineStr">
        <is>
          <t>203</t>
        </is>
      </c>
      <c r="B5304" s="4" t="n">
        <v>2</v>
      </c>
      <c r="C5304" s="4" t="inlineStr">
        <is>
          <t>mule deer</t>
        </is>
      </c>
      <c r="D5304" s="4" t="n">
        <v>2011</v>
      </c>
      <c r="E5304" s="4" t="inlineStr"/>
      <c r="F5304" s="5" t="n">
        <v>1813</v>
      </c>
      <c r="G5304" s="5" t="n">
        <v>10274</v>
      </c>
      <c r="H5304" s="5" t="n">
        <v>115</v>
      </c>
      <c r="I5304" s="5" t="n">
        <v>109</v>
      </c>
      <c r="J5304" s="5" t="n">
        <v>6</v>
      </c>
      <c r="K5304" s="10">
        <f>IF(F5304&gt;0,H5304/F5304,"")</f>
        <v/>
      </c>
      <c r="L5304" s="16">
        <f>IF(AND(G5304&gt;0,H5304&gt;0),G5304/H5304,"")</f>
        <v/>
      </c>
    </row>
    <row r="5305">
      <c r="A5305" s="4" t="inlineStr">
        <is>
          <t>203</t>
        </is>
      </c>
      <c r="B5305" s="4" t="n">
        <v>2</v>
      </c>
      <c r="C5305" s="4" t="inlineStr">
        <is>
          <t>mule deer</t>
        </is>
      </c>
      <c r="D5305" s="4" t="n">
        <v>2012</v>
      </c>
      <c r="E5305" s="4" t="inlineStr"/>
      <c r="F5305" s="5" t="n"/>
      <c r="G5305" s="5" t="n"/>
      <c r="H5305" s="5" t="n">
        <v>84</v>
      </c>
      <c r="I5305" s="5" t="n">
        <v>84</v>
      </c>
      <c r="J5305" s="5" t="n">
        <v>0</v>
      </c>
      <c r="K5305" s="10">
        <f>IF(F5305&gt;0,H5305/F5305,"")</f>
        <v/>
      </c>
      <c r="L5305" s="16">
        <f>IF(AND(G5305&gt;0,H5305&gt;0),G5305/H5305,"")</f>
        <v/>
      </c>
    </row>
    <row r="5306">
      <c r="A5306" s="4" t="inlineStr">
        <is>
          <t>203</t>
        </is>
      </c>
      <c r="B5306" s="4" t="n">
        <v>2</v>
      </c>
      <c r="C5306" s="4" t="inlineStr">
        <is>
          <t>mule deer</t>
        </is>
      </c>
      <c r="D5306" s="4" t="n">
        <v>2013</v>
      </c>
      <c r="E5306" s="4" t="inlineStr"/>
      <c r="F5306" s="5" t="n">
        <v>1594</v>
      </c>
      <c r="G5306" s="5" t="n">
        <v>8275</v>
      </c>
      <c r="H5306" s="5" t="n">
        <v>73</v>
      </c>
      <c r="I5306" s="5" t="n">
        <v>73</v>
      </c>
      <c r="J5306" s="5" t="n">
        <v>0</v>
      </c>
      <c r="K5306" s="10">
        <f>IF(F5306&gt;0,H5306/F5306,"")</f>
        <v/>
      </c>
      <c r="L5306" s="16">
        <f>IF(AND(G5306&gt;0,H5306&gt;0),G5306/H5306,"")</f>
        <v/>
      </c>
    </row>
    <row r="5307">
      <c r="A5307" s="4" t="inlineStr">
        <is>
          <t>203</t>
        </is>
      </c>
      <c r="B5307" s="4" t="n">
        <v>2</v>
      </c>
      <c r="C5307" s="4" t="inlineStr">
        <is>
          <t>mule deer</t>
        </is>
      </c>
      <c r="D5307" s="4" t="n">
        <v>2014</v>
      </c>
      <c r="E5307" s="4" t="inlineStr"/>
      <c r="F5307" s="5" t="n"/>
      <c r="G5307" s="5" t="n"/>
      <c r="H5307" s="5" t="n">
        <v>136</v>
      </c>
      <c r="I5307" s="5" t="n">
        <v>136</v>
      </c>
      <c r="J5307" s="5" t="n">
        <v>0</v>
      </c>
      <c r="K5307" s="10">
        <f>IF(F5307&gt;0,H5307/F5307,"")</f>
        <v/>
      </c>
      <c r="L5307" s="16">
        <f>IF(AND(G5307&gt;0,H5307&gt;0),G5307/H5307,"")</f>
        <v/>
      </c>
    </row>
    <row r="5308">
      <c r="A5308" s="4" t="inlineStr">
        <is>
          <t>203</t>
        </is>
      </c>
      <c r="B5308" s="4" t="n">
        <v>2</v>
      </c>
      <c r="C5308" s="4" t="inlineStr">
        <is>
          <t>mule deer</t>
        </is>
      </c>
      <c r="D5308" s="4" t="n">
        <v>2015</v>
      </c>
      <c r="E5308" s="4" t="inlineStr"/>
      <c r="F5308" s="5" t="n"/>
      <c r="G5308" s="5" t="n"/>
      <c r="H5308" s="5" t="n">
        <v>121</v>
      </c>
      <c r="I5308" s="5" t="n">
        <v>121</v>
      </c>
      <c r="J5308" s="5" t="n">
        <v>0</v>
      </c>
      <c r="K5308" s="10">
        <f>IF(F5308&gt;0,H5308/F5308,"")</f>
        <v/>
      </c>
      <c r="L5308" s="16">
        <f>IF(AND(G5308&gt;0,H5308&gt;0),G5308/H5308,"")</f>
        <v/>
      </c>
    </row>
    <row r="5309">
      <c r="A5309" s="4" t="inlineStr">
        <is>
          <t>203</t>
        </is>
      </c>
      <c r="B5309" s="4" t="n">
        <v>2</v>
      </c>
      <c r="C5309" s="4" t="inlineStr">
        <is>
          <t>mule deer</t>
        </is>
      </c>
      <c r="D5309" s="4" t="n">
        <v>2016</v>
      </c>
      <c r="E5309" s="4" t="inlineStr"/>
      <c r="F5309" s="5" t="n"/>
      <c r="G5309" s="5" t="n"/>
      <c r="H5309" s="5" t="n">
        <v>160</v>
      </c>
      <c r="I5309" s="5" t="n">
        <v>160</v>
      </c>
      <c r="J5309" s="5" t="n">
        <v>0</v>
      </c>
      <c r="K5309" s="10">
        <f>IF(F5309&gt;0,H5309/F5309,"")</f>
        <v/>
      </c>
      <c r="L5309" s="16">
        <f>IF(AND(G5309&gt;0,H5309&gt;0),G5309/H5309,"")</f>
        <v/>
      </c>
    </row>
    <row r="5310">
      <c r="A5310" s="4" t="inlineStr">
        <is>
          <t>203</t>
        </is>
      </c>
      <c r="B5310" s="4" t="n">
        <v>2</v>
      </c>
      <c r="C5310" s="4" t="inlineStr">
        <is>
          <t>mule deer</t>
        </is>
      </c>
      <c r="D5310" s="4" t="n">
        <v>2017</v>
      </c>
      <c r="E5310" s="4" t="inlineStr"/>
      <c r="F5310" s="5" t="n">
        <v>1416</v>
      </c>
      <c r="G5310" s="5" t="n">
        <v>8328</v>
      </c>
      <c r="H5310" s="5" t="n">
        <v>118</v>
      </c>
      <c r="I5310" s="5" t="n">
        <v>116</v>
      </c>
      <c r="J5310" s="5" t="n">
        <v>3</v>
      </c>
      <c r="K5310" s="10">
        <f>IF(F5310&gt;0,H5310/F5310,"")</f>
        <v/>
      </c>
      <c r="L5310" s="16">
        <f>IF(AND(G5310&gt;0,H5310&gt;0),G5310/H5310,"")</f>
        <v/>
      </c>
    </row>
    <row r="5311">
      <c r="A5311" s="4" t="inlineStr">
        <is>
          <t>203</t>
        </is>
      </c>
      <c r="B5311" s="4" t="n">
        <v>2</v>
      </c>
      <c r="C5311" s="4" t="inlineStr">
        <is>
          <t>mule deer</t>
        </is>
      </c>
      <c r="D5311" s="4" t="n">
        <v>2018</v>
      </c>
      <c r="E5311" s="4" t="inlineStr"/>
      <c r="F5311" s="5" t="n"/>
      <c r="G5311" s="5" t="n"/>
      <c r="H5311" s="5" t="n">
        <v>128</v>
      </c>
      <c r="I5311" s="5" t="n">
        <v>125</v>
      </c>
      <c r="J5311" s="5" t="n">
        <v>3</v>
      </c>
      <c r="K5311" s="10">
        <f>IF(F5311&gt;0,H5311/F5311,"")</f>
        <v/>
      </c>
      <c r="L5311" s="16">
        <f>IF(AND(G5311&gt;0,H5311&gt;0),G5311/H5311,"")</f>
        <v/>
      </c>
    </row>
    <row r="5312">
      <c r="A5312" s="4" t="inlineStr">
        <is>
          <t>203</t>
        </is>
      </c>
      <c r="B5312" s="4" t="n">
        <v>2</v>
      </c>
      <c r="C5312" s="4" t="inlineStr">
        <is>
          <t>mule deer</t>
        </is>
      </c>
      <c r="D5312" s="4" t="n">
        <v>2019</v>
      </c>
      <c r="E5312" s="4" t="inlineStr"/>
      <c r="F5312" s="5" t="n">
        <v>1480</v>
      </c>
      <c r="G5312" s="5" t="n">
        <v>8523</v>
      </c>
      <c r="H5312" s="5" t="n">
        <v>119</v>
      </c>
      <c r="I5312" s="5" t="n">
        <v>116</v>
      </c>
      <c r="J5312" s="5" t="n">
        <v>3</v>
      </c>
      <c r="K5312" s="10">
        <f>IF(F5312&gt;0,H5312/F5312,"")</f>
        <v/>
      </c>
      <c r="L5312" s="16">
        <f>IF(AND(G5312&gt;0,H5312&gt;0),G5312/H5312,"")</f>
        <v/>
      </c>
    </row>
    <row r="5313">
      <c r="A5313" s="4" t="inlineStr">
        <is>
          <t>203</t>
        </is>
      </c>
      <c r="B5313" s="4" t="n">
        <v>2</v>
      </c>
      <c r="C5313" s="4" t="inlineStr">
        <is>
          <t>mule deer</t>
        </is>
      </c>
      <c r="D5313" s="4" t="n">
        <v>2020</v>
      </c>
      <c r="E5313" s="4" t="inlineStr"/>
      <c r="F5313" s="5" t="n"/>
      <c r="G5313" s="5" t="n"/>
      <c r="H5313" s="5" t="n">
        <v>134</v>
      </c>
      <c r="I5313" s="5" t="n">
        <v>126</v>
      </c>
      <c r="J5313" s="5" t="n">
        <v>9</v>
      </c>
      <c r="K5313" s="10">
        <f>IF(F5313&gt;0,H5313/F5313,"")</f>
        <v/>
      </c>
      <c r="L5313" s="16">
        <f>IF(AND(G5313&gt;0,H5313&gt;0),G5313/H5313,"")</f>
        <v/>
      </c>
    </row>
    <row r="5314">
      <c r="A5314" s="4" t="inlineStr">
        <is>
          <t>203</t>
        </is>
      </c>
      <c r="B5314" s="4" t="n">
        <v>2</v>
      </c>
      <c r="C5314" s="4" t="inlineStr">
        <is>
          <t>mule deer</t>
        </is>
      </c>
      <c r="D5314" s="4" t="n">
        <v>2021</v>
      </c>
      <c r="E5314" s="4" t="inlineStr"/>
      <c r="F5314" s="5" t="n">
        <v>1498</v>
      </c>
      <c r="G5314" s="5" t="n">
        <v>8671</v>
      </c>
      <c r="H5314" s="5" t="n">
        <v>96</v>
      </c>
      <c r="I5314" s="5" t="n">
        <v>96</v>
      </c>
      <c r="J5314" s="5" t="n">
        <v>0</v>
      </c>
      <c r="K5314" s="10">
        <f>IF(F5314&gt;0,H5314/F5314,"")</f>
        <v/>
      </c>
      <c r="L5314" s="16">
        <f>IF(AND(G5314&gt;0,H5314&gt;0),G5314/H5314,"")</f>
        <v/>
      </c>
    </row>
    <row r="5315">
      <c r="A5315" s="4" t="inlineStr">
        <is>
          <t>204</t>
        </is>
      </c>
      <c r="B5315" s="4" t="n">
        <v>2</v>
      </c>
      <c r="C5315" s="4" t="inlineStr">
        <is>
          <t>mule deer</t>
        </is>
      </c>
      <c r="D5315" s="4" t="n">
        <v>2004</v>
      </c>
      <c r="E5315" s="13" t="inlineStr">
        <is>
          <t>General</t>
        </is>
      </c>
      <c r="F5315" s="5" t="n">
        <v>1745</v>
      </c>
      <c r="G5315" s="5" t="n">
        <v>10705</v>
      </c>
      <c r="H5315" s="5" t="n">
        <v>146</v>
      </c>
      <c r="I5315" s="5" t="n">
        <v>143</v>
      </c>
      <c r="J5315" s="5" t="n">
        <v>4</v>
      </c>
      <c r="K5315" s="10">
        <f>IF(F5315&gt;0,H5315/F5315,"")</f>
        <v/>
      </c>
      <c r="L5315" s="16">
        <f>IF(AND(G5315&gt;0,H5315&gt;0),G5315/H5315,"")</f>
        <v/>
      </c>
    </row>
    <row r="5316">
      <c r="A5316" s="4" t="inlineStr">
        <is>
          <t>204</t>
        </is>
      </c>
      <c r="B5316" s="4" t="n">
        <v>2</v>
      </c>
      <c r="C5316" s="4" t="inlineStr">
        <is>
          <t>mule deer</t>
        </is>
      </c>
      <c r="D5316" s="4" t="n">
        <v>2005</v>
      </c>
      <c r="E5316" s="13" t="inlineStr">
        <is>
          <t>General</t>
        </is>
      </c>
      <c r="F5316" s="5" t="n">
        <v>1999</v>
      </c>
      <c r="G5316" s="5" t="n">
        <v>10731</v>
      </c>
      <c r="H5316" s="5" t="n">
        <v>137</v>
      </c>
      <c r="I5316" s="5" t="n">
        <v>129</v>
      </c>
      <c r="J5316" s="5" t="n">
        <v>8</v>
      </c>
      <c r="K5316" s="10">
        <f>IF(F5316&gt;0,H5316/F5316,"")</f>
        <v/>
      </c>
      <c r="L5316" s="16">
        <f>IF(AND(G5316&gt;0,H5316&gt;0),G5316/H5316,"")</f>
        <v/>
      </c>
    </row>
    <row r="5317">
      <c r="A5317" s="4" t="inlineStr">
        <is>
          <t>204</t>
        </is>
      </c>
      <c r="B5317" s="4" t="n">
        <v>2</v>
      </c>
      <c r="C5317" s="4" t="inlineStr">
        <is>
          <t>mule deer</t>
        </is>
      </c>
      <c r="D5317" s="4" t="n">
        <v>2006</v>
      </c>
      <c r="E5317" s="13" t="inlineStr">
        <is>
          <t>General</t>
        </is>
      </c>
      <c r="F5317" s="5" t="n">
        <v>2044</v>
      </c>
      <c r="G5317" s="5" t="n">
        <v>12608</v>
      </c>
      <c r="H5317" s="5" t="n">
        <v>259</v>
      </c>
      <c r="I5317" s="5" t="n">
        <v>224</v>
      </c>
      <c r="J5317" s="5" t="n">
        <v>35</v>
      </c>
      <c r="K5317" s="10">
        <f>IF(F5317&gt;0,H5317/F5317,"")</f>
        <v/>
      </c>
      <c r="L5317" s="16">
        <f>IF(AND(G5317&gt;0,H5317&gt;0),G5317/H5317,"")</f>
        <v/>
      </c>
    </row>
    <row r="5318">
      <c r="A5318" s="4" t="inlineStr">
        <is>
          <t>204</t>
        </is>
      </c>
      <c r="B5318" s="4" t="n">
        <v>2</v>
      </c>
      <c r="C5318" s="4" t="inlineStr">
        <is>
          <t>mule deer</t>
        </is>
      </c>
      <c r="D5318" s="4" t="n">
        <v>2007</v>
      </c>
      <c r="E5318" s="13" t="inlineStr">
        <is>
          <t>General</t>
        </is>
      </c>
      <c r="F5318" s="5" t="n">
        <v>1589</v>
      </c>
      <c r="G5318" s="5" t="n">
        <v>10373</v>
      </c>
      <c r="H5318" s="5" t="n">
        <v>106</v>
      </c>
      <c r="I5318" s="5" t="n">
        <v>106</v>
      </c>
      <c r="J5318" s="5" t="n">
        <v>0</v>
      </c>
      <c r="K5318" s="10">
        <f>IF(F5318&gt;0,H5318/F5318,"")</f>
        <v/>
      </c>
      <c r="L5318" s="16">
        <f>IF(AND(G5318&gt;0,H5318&gt;0),G5318/H5318,"")</f>
        <v/>
      </c>
    </row>
    <row r="5319">
      <c r="A5319" s="4" t="inlineStr">
        <is>
          <t>204</t>
        </is>
      </c>
      <c r="B5319" s="4" t="n">
        <v>2</v>
      </c>
      <c r="C5319" s="4" t="inlineStr">
        <is>
          <t>mule deer</t>
        </is>
      </c>
      <c r="D5319" s="4" t="n">
        <v>2008</v>
      </c>
      <c r="E5319" s="13" t="inlineStr">
        <is>
          <t>General</t>
        </is>
      </c>
      <c r="F5319" s="5" t="n">
        <v>1754</v>
      </c>
      <c r="G5319" s="5" t="n">
        <v>11686</v>
      </c>
      <c r="H5319" s="5" t="n">
        <v>142</v>
      </c>
      <c r="I5319" s="5" t="n">
        <v>125</v>
      </c>
      <c r="J5319" s="5" t="n">
        <v>16</v>
      </c>
      <c r="K5319" s="10">
        <f>IF(F5319&gt;0,H5319/F5319,"")</f>
        <v/>
      </c>
      <c r="L5319" s="16">
        <f>IF(AND(G5319&gt;0,H5319&gt;0),G5319/H5319,"")</f>
        <v/>
      </c>
    </row>
    <row r="5320">
      <c r="A5320" s="4" t="inlineStr">
        <is>
          <t>204</t>
        </is>
      </c>
      <c r="B5320" s="4" t="n">
        <v>2</v>
      </c>
      <c r="C5320" s="4" t="inlineStr">
        <is>
          <t>mule deer</t>
        </is>
      </c>
      <c r="D5320" s="4" t="n">
        <v>2009</v>
      </c>
      <c r="E5320" s="13" t="inlineStr">
        <is>
          <t>General</t>
        </is>
      </c>
      <c r="F5320" s="5" t="n">
        <v>1631</v>
      </c>
      <c r="G5320" s="5" t="n">
        <v>9745</v>
      </c>
      <c r="H5320" s="5" t="n">
        <v>89</v>
      </c>
      <c r="I5320" s="5" t="n">
        <v>76</v>
      </c>
      <c r="J5320" s="5" t="n">
        <v>12</v>
      </c>
      <c r="K5320" s="10">
        <f>IF(F5320&gt;0,H5320/F5320,"")</f>
        <v/>
      </c>
      <c r="L5320" s="16">
        <f>IF(AND(G5320&gt;0,H5320&gt;0),G5320/H5320,"")</f>
        <v/>
      </c>
    </row>
    <row r="5321">
      <c r="A5321" s="4" t="inlineStr">
        <is>
          <t>204</t>
        </is>
      </c>
      <c r="B5321" s="4" t="n">
        <v>2</v>
      </c>
      <c r="C5321" s="4" t="inlineStr">
        <is>
          <t>mule deer</t>
        </is>
      </c>
      <c r="D5321" s="4" t="n">
        <v>2010</v>
      </c>
      <c r="E5321" s="13" t="inlineStr">
        <is>
          <t>General</t>
        </is>
      </c>
      <c r="F5321" s="5" t="n">
        <v>1475</v>
      </c>
      <c r="G5321" s="5" t="n">
        <v>9324</v>
      </c>
      <c r="H5321" s="5" t="n">
        <v>123</v>
      </c>
      <c r="I5321" s="5" t="n">
        <v>112</v>
      </c>
      <c r="J5321" s="5" t="n">
        <v>12</v>
      </c>
      <c r="K5321" s="10">
        <f>IF(F5321&gt;0,H5321/F5321,"")</f>
        <v/>
      </c>
      <c r="L5321" s="16">
        <f>IF(AND(G5321&gt;0,H5321&gt;0),G5321/H5321,"")</f>
        <v/>
      </c>
    </row>
    <row r="5322">
      <c r="A5322" s="4" t="inlineStr">
        <is>
          <t>204</t>
        </is>
      </c>
      <c r="B5322" s="4" t="n">
        <v>2</v>
      </c>
      <c r="C5322" s="4" t="inlineStr">
        <is>
          <t>mule deer</t>
        </is>
      </c>
      <c r="D5322" s="4" t="n">
        <v>2011</v>
      </c>
      <c r="E5322" s="13" t="inlineStr">
        <is>
          <t>General</t>
        </is>
      </c>
      <c r="F5322" s="5" t="n">
        <v>1614</v>
      </c>
      <c r="G5322" s="5" t="n">
        <v>10069</v>
      </c>
      <c r="H5322" s="5" t="n">
        <v>129</v>
      </c>
      <c r="I5322" s="5" t="n">
        <v>94</v>
      </c>
      <c r="J5322" s="5" t="n">
        <v>34</v>
      </c>
      <c r="K5322" s="10">
        <f>IF(F5322&gt;0,H5322/F5322,"")</f>
        <v/>
      </c>
      <c r="L5322" s="16">
        <f>IF(AND(G5322&gt;0,H5322&gt;0),G5322/H5322,"")</f>
        <v/>
      </c>
    </row>
    <row r="5323">
      <c r="A5323" s="4" t="inlineStr">
        <is>
          <t>204</t>
        </is>
      </c>
      <c r="B5323" s="4" t="n">
        <v>2</v>
      </c>
      <c r="C5323" s="4" t="inlineStr">
        <is>
          <t>mule deer</t>
        </is>
      </c>
      <c r="D5323" s="4" t="n">
        <v>2012</v>
      </c>
      <c r="E5323" s="13" t="inlineStr">
        <is>
          <t>General</t>
        </is>
      </c>
      <c r="F5323" s="5" t="n"/>
      <c r="G5323" s="5" t="n"/>
      <c r="H5323" s="5" t="n">
        <v>176</v>
      </c>
      <c r="I5323" s="5" t="n">
        <v>115</v>
      </c>
      <c r="J5323" s="5" t="n">
        <v>58</v>
      </c>
      <c r="K5323" s="10">
        <f>IF(F5323&gt;0,H5323/F5323,"")</f>
        <v/>
      </c>
      <c r="L5323" s="16">
        <f>IF(AND(G5323&gt;0,H5323&gt;0),G5323/H5323,"")</f>
        <v/>
      </c>
    </row>
    <row r="5324">
      <c r="A5324" s="4" t="inlineStr">
        <is>
          <t>204</t>
        </is>
      </c>
      <c r="B5324" s="4" t="n">
        <v>2</v>
      </c>
      <c r="C5324" s="4" t="inlineStr">
        <is>
          <t>mule deer</t>
        </is>
      </c>
      <c r="D5324" s="4" t="n">
        <v>2013</v>
      </c>
      <c r="E5324" s="13" t="inlineStr">
        <is>
          <t>General</t>
        </is>
      </c>
      <c r="F5324" s="5" t="n">
        <v>1565</v>
      </c>
      <c r="G5324" s="5" t="n">
        <v>9768</v>
      </c>
      <c r="H5324" s="5" t="n">
        <v>146</v>
      </c>
      <c r="I5324" s="5" t="n">
        <v>120</v>
      </c>
      <c r="J5324" s="5" t="n">
        <v>27</v>
      </c>
      <c r="K5324" s="10">
        <f>IF(F5324&gt;0,H5324/F5324,"")</f>
        <v/>
      </c>
      <c r="L5324" s="16">
        <f>IF(AND(G5324&gt;0,H5324&gt;0),G5324/H5324,"")</f>
        <v/>
      </c>
    </row>
    <row r="5325">
      <c r="A5325" s="4" t="inlineStr">
        <is>
          <t>204</t>
        </is>
      </c>
      <c r="B5325" s="4" t="n">
        <v>2</v>
      </c>
      <c r="C5325" s="4" t="inlineStr">
        <is>
          <t>mule deer</t>
        </is>
      </c>
      <c r="D5325" s="4" t="n">
        <v>2014</v>
      </c>
      <c r="E5325" s="13" t="inlineStr">
        <is>
          <t>General</t>
        </is>
      </c>
      <c r="F5325" s="5" t="n"/>
      <c r="G5325" s="5" t="n"/>
      <c r="H5325" s="5" t="n">
        <v>197</v>
      </c>
      <c r="I5325" s="5" t="n">
        <v>164</v>
      </c>
      <c r="J5325" s="5" t="n">
        <v>32</v>
      </c>
      <c r="K5325" s="10">
        <f>IF(F5325&gt;0,H5325/F5325,"")</f>
        <v/>
      </c>
      <c r="L5325" s="16">
        <f>IF(AND(G5325&gt;0,H5325&gt;0),G5325/H5325,"")</f>
        <v/>
      </c>
    </row>
    <row r="5326">
      <c r="A5326" s="4" t="inlineStr">
        <is>
          <t>204</t>
        </is>
      </c>
      <c r="B5326" s="4" t="n">
        <v>2</v>
      </c>
      <c r="C5326" s="4" t="inlineStr">
        <is>
          <t>mule deer</t>
        </is>
      </c>
      <c r="D5326" s="4" t="n">
        <v>2015</v>
      </c>
      <c r="E5326" s="13" t="inlineStr">
        <is>
          <t>General</t>
        </is>
      </c>
      <c r="F5326" s="5" t="n"/>
      <c r="G5326" s="5" t="n"/>
      <c r="H5326" s="5" t="n">
        <v>166</v>
      </c>
      <c r="I5326" s="5" t="n">
        <v>138</v>
      </c>
      <c r="J5326" s="5" t="n">
        <v>28</v>
      </c>
      <c r="K5326" s="10">
        <f>IF(F5326&gt;0,H5326/F5326,"")</f>
        <v/>
      </c>
      <c r="L5326" s="16">
        <f>IF(AND(G5326&gt;0,H5326&gt;0),G5326/H5326,"")</f>
        <v/>
      </c>
    </row>
    <row r="5327">
      <c r="A5327" s="4" t="inlineStr">
        <is>
          <t>204</t>
        </is>
      </c>
      <c r="B5327" s="4" t="n">
        <v>2</v>
      </c>
      <c r="C5327" s="4" t="inlineStr">
        <is>
          <t>mule deer</t>
        </is>
      </c>
      <c r="D5327" s="4" t="n">
        <v>2016</v>
      </c>
      <c r="E5327" s="13" t="inlineStr">
        <is>
          <t>General</t>
        </is>
      </c>
      <c r="F5327" s="5" t="n"/>
      <c r="G5327" s="5" t="n"/>
      <c r="H5327" s="5" t="n">
        <v>155</v>
      </c>
      <c r="I5327" s="5" t="n">
        <v>132</v>
      </c>
      <c r="J5327" s="5" t="n">
        <v>24</v>
      </c>
      <c r="K5327" s="10">
        <f>IF(F5327&gt;0,H5327/F5327,"")</f>
        <v/>
      </c>
      <c r="L5327" s="16">
        <f>IF(AND(G5327&gt;0,H5327&gt;0),G5327/H5327,"")</f>
        <v/>
      </c>
    </row>
    <row r="5328">
      <c r="A5328" s="4" t="inlineStr">
        <is>
          <t>204</t>
        </is>
      </c>
      <c r="B5328" s="4" t="n">
        <v>2</v>
      </c>
      <c r="C5328" s="4" t="inlineStr">
        <is>
          <t>mule deer</t>
        </is>
      </c>
      <c r="D5328" s="4" t="n">
        <v>2017</v>
      </c>
      <c r="E5328" s="13" t="inlineStr">
        <is>
          <t>General</t>
        </is>
      </c>
      <c r="F5328" s="5" t="n">
        <v>1158</v>
      </c>
      <c r="G5328" s="5" t="n">
        <v>7248</v>
      </c>
      <c r="H5328" s="5" t="n">
        <v>147</v>
      </c>
      <c r="I5328" s="5" t="n">
        <v>115</v>
      </c>
      <c r="J5328" s="5" t="n">
        <v>33</v>
      </c>
      <c r="K5328" s="10">
        <f>IF(F5328&gt;0,H5328/F5328,"")</f>
        <v/>
      </c>
      <c r="L5328" s="16">
        <f>IF(AND(G5328&gt;0,H5328&gt;0),G5328/H5328,"")</f>
        <v/>
      </c>
    </row>
    <row r="5329">
      <c r="A5329" s="4" t="inlineStr">
        <is>
          <t>204</t>
        </is>
      </c>
      <c r="B5329" s="4" t="n">
        <v>2</v>
      </c>
      <c r="C5329" s="4" t="inlineStr">
        <is>
          <t>mule deer</t>
        </is>
      </c>
      <c r="D5329" s="4" t="n">
        <v>2018</v>
      </c>
      <c r="E5329" s="13" t="inlineStr">
        <is>
          <t>General</t>
        </is>
      </c>
      <c r="F5329" s="5" t="n"/>
      <c r="G5329" s="5" t="n"/>
      <c r="H5329" s="5" t="n">
        <v>109</v>
      </c>
      <c r="I5329" s="5" t="n">
        <v>94</v>
      </c>
      <c r="J5329" s="5" t="n">
        <v>15</v>
      </c>
      <c r="K5329" s="10">
        <f>IF(F5329&gt;0,H5329/F5329,"")</f>
        <v/>
      </c>
      <c r="L5329" s="16">
        <f>IF(AND(G5329&gt;0,H5329&gt;0),G5329/H5329,"")</f>
        <v/>
      </c>
    </row>
    <row r="5330">
      <c r="A5330" s="4" t="inlineStr">
        <is>
          <t>204</t>
        </is>
      </c>
      <c r="B5330" s="4" t="n">
        <v>2</v>
      </c>
      <c r="C5330" s="4" t="inlineStr">
        <is>
          <t>mule deer</t>
        </is>
      </c>
      <c r="D5330" s="4" t="n">
        <v>2019</v>
      </c>
      <c r="E5330" s="13" t="inlineStr">
        <is>
          <t>General</t>
        </is>
      </c>
      <c r="F5330" s="5" t="n">
        <v>873</v>
      </c>
      <c r="G5330" s="5" t="n">
        <v>5594</v>
      </c>
      <c r="H5330" s="5" t="n">
        <v>92</v>
      </c>
      <c r="I5330" s="5" t="n">
        <v>85</v>
      </c>
      <c r="J5330" s="5" t="n">
        <v>7</v>
      </c>
      <c r="K5330" s="10">
        <f>IF(F5330&gt;0,H5330/F5330,"")</f>
        <v/>
      </c>
      <c r="L5330" s="16">
        <f>IF(AND(G5330&gt;0,H5330&gt;0),G5330/H5330,"")</f>
        <v/>
      </c>
    </row>
    <row r="5331">
      <c r="A5331" s="4" t="inlineStr">
        <is>
          <t>204</t>
        </is>
      </c>
      <c r="B5331" s="4" t="n">
        <v>2</v>
      </c>
      <c r="C5331" s="4" t="inlineStr">
        <is>
          <t>mule deer</t>
        </is>
      </c>
      <c r="D5331" s="4" t="n">
        <v>2020</v>
      </c>
      <c r="E5331" s="13" t="inlineStr">
        <is>
          <t>General</t>
        </is>
      </c>
      <c r="F5331" s="5" t="n"/>
      <c r="G5331" s="5" t="n"/>
      <c r="H5331" s="5" t="n">
        <v>70</v>
      </c>
      <c r="I5331" s="5" t="n">
        <v>57</v>
      </c>
      <c r="J5331" s="5" t="n">
        <v>14</v>
      </c>
      <c r="K5331" s="10">
        <f>IF(F5331&gt;0,H5331/F5331,"")</f>
        <v/>
      </c>
      <c r="L5331" s="16">
        <f>IF(AND(G5331&gt;0,H5331&gt;0),G5331/H5331,"")</f>
        <v/>
      </c>
    </row>
    <row r="5332">
      <c r="A5332" s="4" t="inlineStr">
        <is>
          <t>204</t>
        </is>
      </c>
      <c r="B5332" s="4" t="n">
        <v>2</v>
      </c>
      <c r="C5332" s="4" t="inlineStr">
        <is>
          <t>mule deer</t>
        </is>
      </c>
      <c r="D5332" s="4" t="n">
        <v>2021</v>
      </c>
      <c r="E5332" s="13" t="inlineStr">
        <is>
          <t>General</t>
        </is>
      </c>
      <c r="F5332" s="5" t="n">
        <v>1092</v>
      </c>
      <c r="G5332" s="5" t="n">
        <v>6666</v>
      </c>
      <c r="H5332" s="5" t="n">
        <v>72</v>
      </c>
      <c r="I5332" s="5" t="n">
        <v>63</v>
      </c>
      <c r="J5332" s="5" t="n">
        <v>9</v>
      </c>
      <c r="K5332" s="10">
        <f>IF(F5332&gt;0,H5332/F5332,"")</f>
        <v/>
      </c>
      <c r="L5332" s="16">
        <f>IF(AND(G5332&gt;0,H5332&gt;0),G5332/H5332,"")</f>
        <v/>
      </c>
    </row>
    <row r="5333">
      <c r="A5333" s="4" t="inlineStr">
        <is>
          <t>204</t>
        </is>
      </c>
      <c r="B5333" s="4" t="n">
        <v>2</v>
      </c>
      <c r="C5333" s="4" t="inlineStr">
        <is>
          <t>mule deer</t>
        </is>
      </c>
      <c r="D5333" s="4" t="n">
        <v>2022</v>
      </c>
      <c r="E5333" s="13" t="inlineStr">
        <is>
          <t>General</t>
        </is>
      </c>
      <c r="F5333" s="5" t="n"/>
      <c r="G5333" s="5" t="n"/>
      <c r="H5333" s="5" t="n">
        <v>95</v>
      </c>
      <c r="I5333" s="5" t="n">
        <v>82</v>
      </c>
      <c r="J5333" s="5" t="n">
        <v>13</v>
      </c>
      <c r="K5333" s="10">
        <f>IF(F5333&gt;0,H5333/F5333,"")</f>
        <v/>
      </c>
      <c r="L5333" s="16">
        <f>IF(AND(G5333&gt;0,H5333&gt;0),G5333/H5333,"")</f>
        <v/>
      </c>
    </row>
    <row r="5334">
      <c r="A5334" s="4" t="inlineStr">
        <is>
          <t>204</t>
        </is>
      </c>
      <c r="B5334" s="4" t="n">
        <v>2</v>
      </c>
      <c r="C5334" s="4" t="inlineStr">
        <is>
          <t>mule deer</t>
        </is>
      </c>
      <c r="D5334" s="4" t="n">
        <v>2023</v>
      </c>
      <c r="E5334" s="13" t="inlineStr">
        <is>
          <t>General</t>
        </is>
      </c>
      <c r="F5334" s="5" t="n">
        <v>1491</v>
      </c>
      <c r="G5334" s="5" t="n">
        <v>9948</v>
      </c>
      <c r="H5334" s="5" t="n">
        <v>138</v>
      </c>
      <c r="I5334" s="5" t="n">
        <v>138</v>
      </c>
      <c r="J5334" s="5" t="n">
        <v>0</v>
      </c>
      <c r="K5334" s="10">
        <f>IF(F5334&gt;0,H5334/F5334,"")</f>
        <v/>
      </c>
      <c r="L5334" s="16">
        <f>IF(AND(G5334&gt;0,H5334&gt;0),G5334/H5334,"")</f>
        <v/>
      </c>
    </row>
    <row r="5335">
      <c r="A5335" s="4" t="inlineStr">
        <is>
          <t>204</t>
        </is>
      </c>
      <c r="B5335" s="4" t="n">
        <v>2</v>
      </c>
      <c r="C5335" s="4" t="inlineStr">
        <is>
          <t>mule deer</t>
        </is>
      </c>
      <c r="D5335" s="4" t="n">
        <v>2024</v>
      </c>
      <c r="E5335" s="13" t="inlineStr">
        <is>
          <t>General</t>
        </is>
      </c>
      <c r="F5335" s="5" t="n"/>
      <c r="G5335" s="5" t="n"/>
      <c r="H5335" s="5" t="n">
        <v>67</v>
      </c>
      <c r="I5335" s="5" t="n">
        <v>67</v>
      </c>
      <c r="J5335" s="5" t="n">
        <v>0</v>
      </c>
      <c r="K5335" s="10">
        <f>IF(F5335&gt;0,H5335/F5335,"")</f>
        <v/>
      </c>
      <c r="L5335" s="16">
        <f>IF(AND(G5335&gt;0,H5335&gt;0),G5335/H5335,"")</f>
        <v/>
      </c>
    </row>
    <row r="5336">
      <c r="A5336" s="4" t="inlineStr">
        <is>
          <t>204</t>
        </is>
      </c>
      <c r="B5336" s="4" t="n">
        <v>2</v>
      </c>
      <c r="C5336" s="4" t="inlineStr">
        <is>
          <t>mule deer</t>
        </is>
      </c>
      <c r="D5336" s="4" t="n">
        <v>2025</v>
      </c>
      <c r="E5336" s="13" t="inlineStr">
        <is>
          <t>General</t>
        </is>
      </c>
      <c r="F5336" s="5" t="n">
        <v>1386</v>
      </c>
      <c r="G5336" s="5" t="n">
        <v>8644</v>
      </c>
      <c r="H5336" s="5" t="n">
        <v>92</v>
      </c>
      <c r="I5336" s="5" t="n">
        <v>86</v>
      </c>
      <c r="J5336" s="5" t="n">
        <v>6</v>
      </c>
      <c r="K5336" s="10">
        <f>IF(F5336&gt;0,H5336/F5336,"")</f>
        <v/>
      </c>
      <c r="L5336" s="16">
        <f>IF(AND(G5336&gt;0,H5336&gt;0),G5336/H5336,"")</f>
        <v/>
      </c>
    </row>
    <row r="5337">
      <c r="A5337" s="4" t="inlineStr">
        <is>
          <t>210</t>
        </is>
      </c>
      <c r="B5337" s="4" t="n">
        <v>2</v>
      </c>
      <c r="C5337" s="4" t="inlineStr">
        <is>
          <t>mule deer</t>
        </is>
      </c>
      <c r="D5337" s="4" t="n">
        <v>2004</v>
      </c>
      <c r="E5337" s="15" t="inlineStr">
        <is>
          <t>Draw</t>
        </is>
      </c>
      <c r="F5337" s="5" t="n">
        <v>904</v>
      </c>
      <c r="G5337" s="5" t="n">
        <v>5388</v>
      </c>
      <c r="H5337" s="5" t="n">
        <v>68</v>
      </c>
      <c r="I5337" s="5" t="n">
        <v>67</v>
      </c>
      <c r="J5337" s="5" t="n">
        <v>1</v>
      </c>
      <c r="K5337" s="10">
        <f>IF(F5337&gt;0,H5337/F5337,"")</f>
        <v/>
      </c>
      <c r="L5337" s="16">
        <f>IF(AND(G5337&gt;0,H5337&gt;0),G5337/H5337,"")</f>
        <v/>
      </c>
    </row>
    <row r="5338">
      <c r="A5338" s="4" t="inlineStr">
        <is>
          <t>210</t>
        </is>
      </c>
      <c r="B5338" s="4" t="n">
        <v>2</v>
      </c>
      <c r="C5338" s="4" t="inlineStr">
        <is>
          <t>mule deer</t>
        </is>
      </c>
      <c r="D5338" s="4" t="n">
        <v>2005</v>
      </c>
      <c r="E5338" s="15" t="inlineStr">
        <is>
          <t>Draw</t>
        </is>
      </c>
      <c r="F5338" s="5" t="n">
        <v>908</v>
      </c>
      <c r="G5338" s="5" t="n">
        <v>5177</v>
      </c>
      <c r="H5338" s="5" t="n">
        <v>112</v>
      </c>
      <c r="I5338" s="5" t="n">
        <v>109</v>
      </c>
      <c r="J5338" s="5" t="n">
        <v>3</v>
      </c>
      <c r="K5338" s="10">
        <f>IF(F5338&gt;0,H5338/F5338,"")</f>
        <v/>
      </c>
      <c r="L5338" s="16">
        <f>IF(AND(G5338&gt;0,H5338&gt;0),G5338/H5338,"")</f>
        <v/>
      </c>
    </row>
    <row r="5339">
      <c r="A5339" s="4" t="inlineStr">
        <is>
          <t>210</t>
        </is>
      </c>
      <c r="B5339" s="4" t="n">
        <v>2</v>
      </c>
      <c r="C5339" s="4" t="inlineStr">
        <is>
          <t>mule deer</t>
        </is>
      </c>
      <c r="D5339" s="4" t="n">
        <v>2006</v>
      </c>
      <c r="E5339" s="15" t="inlineStr">
        <is>
          <t>Draw</t>
        </is>
      </c>
      <c r="F5339" s="5" t="n">
        <v>984</v>
      </c>
      <c r="G5339" s="5" t="n">
        <v>5355</v>
      </c>
      <c r="H5339" s="5" t="n">
        <v>86</v>
      </c>
      <c r="I5339" s="5" t="n">
        <v>86</v>
      </c>
      <c r="J5339" s="5" t="n">
        <v>0</v>
      </c>
      <c r="K5339" s="10">
        <f>IF(F5339&gt;0,H5339/F5339,"")</f>
        <v/>
      </c>
      <c r="L5339" s="16">
        <f>IF(AND(G5339&gt;0,H5339&gt;0),G5339/H5339,"")</f>
        <v/>
      </c>
    </row>
    <row r="5340">
      <c r="A5340" s="4" t="inlineStr">
        <is>
          <t>210</t>
        </is>
      </c>
      <c r="B5340" s="4" t="n">
        <v>2</v>
      </c>
      <c r="C5340" s="4" t="inlineStr">
        <is>
          <t>mule deer</t>
        </is>
      </c>
      <c r="D5340" s="4" t="n">
        <v>2007</v>
      </c>
      <c r="E5340" s="15" t="inlineStr">
        <is>
          <t>Draw</t>
        </is>
      </c>
      <c r="F5340" s="5" t="n">
        <v>922</v>
      </c>
      <c r="G5340" s="5" t="n">
        <v>5519</v>
      </c>
      <c r="H5340" s="5" t="n">
        <v>115</v>
      </c>
      <c r="I5340" s="5" t="n">
        <v>110</v>
      </c>
      <c r="J5340" s="5" t="n">
        <v>5</v>
      </c>
      <c r="K5340" s="10">
        <f>IF(F5340&gt;0,H5340/F5340,"")</f>
        <v/>
      </c>
      <c r="L5340" s="16">
        <f>IF(AND(G5340&gt;0,H5340&gt;0),G5340/H5340,"")</f>
        <v/>
      </c>
    </row>
    <row r="5341">
      <c r="A5341" s="4" t="inlineStr">
        <is>
          <t>210</t>
        </is>
      </c>
      <c r="B5341" s="4" t="n">
        <v>2</v>
      </c>
      <c r="C5341" s="4" t="inlineStr">
        <is>
          <t>mule deer</t>
        </is>
      </c>
      <c r="D5341" s="4" t="n">
        <v>2008</v>
      </c>
      <c r="E5341" s="15" t="inlineStr">
        <is>
          <t>Draw</t>
        </is>
      </c>
      <c r="F5341" s="5" t="n">
        <v>860</v>
      </c>
      <c r="G5341" s="5" t="n">
        <v>5599</v>
      </c>
      <c r="H5341" s="5" t="n">
        <v>58</v>
      </c>
      <c r="I5341" s="5" t="n">
        <v>38</v>
      </c>
      <c r="J5341" s="5" t="n">
        <v>20</v>
      </c>
      <c r="K5341" s="10">
        <f>IF(F5341&gt;0,H5341/F5341,"")</f>
        <v/>
      </c>
      <c r="L5341" s="16">
        <f>IF(AND(G5341&gt;0,H5341&gt;0),G5341/H5341,"")</f>
        <v/>
      </c>
    </row>
    <row r="5342">
      <c r="A5342" s="4" t="inlineStr">
        <is>
          <t>210</t>
        </is>
      </c>
      <c r="B5342" s="4" t="n">
        <v>2</v>
      </c>
      <c r="C5342" s="4" t="inlineStr">
        <is>
          <t>mule deer</t>
        </is>
      </c>
      <c r="D5342" s="4" t="n">
        <v>2009</v>
      </c>
      <c r="E5342" s="15" t="inlineStr">
        <is>
          <t>Draw</t>
        </is>
      </c>
      <c r="F5342" s="5" t="n">
        <v>815</v>
      </c>
      <c r="G5342" s="5" t="n">
        <v>4347</v>
      </c>
      <c r="H5342" s="5" t="n">
        <v>77</v>
      </c>
      <c r="I5342" s="5" t="n">
        <v>54</v>
      </c>
      <c r="J5342" s="5" t="n">
        <v>23</v>
      </c>
      <c r="K5342" s="10">
        <f>IF(F5342&gt;0,H5342/F5342,"")</f>
        <v/>
      </c>
      <c r="L5342" s="16">
        <f>IF(AND(G5342&gt;0,H5342&gt;0),G5342/H5342,"")</f>
        <v/>
      </c>
    </row>
    <row r="5343">
      <c r="A5343" s="4" t="inlineStr">
        <is>
          <t>210</t>
        </is>
      </c>
      <c r="B5343" s="4" t="n">
        <v>2</v>
      </c>
      <c r="C5343" s="4" t="inlineStr">
        <is>
          <t>mule deer</t>
        </is>
      </c>
      <c r="D5343" s="4" t="n">
        <v>2010</v>
      </c>
      <c r="E5343" s="15" t="inlineStr">
        <is>
          <t>Draw</t>
        </is>
      </c>
      <c r="F5343" s="5" t="n">
        <v>730</v>
      </c>
      <c r="G5343" s="5" t="n">
        <v>4517</v>
      </c>
      <c r="H5343" s="5" t="n">
        <v>77</v>
      </c>
      <c r="I5343" s="5" t="n">
        <v>64</v>
      </c>
      <c r="J5343" s="5" t="n">
        <v>14</v>
      </c>
      <c r="K5343" s="10">
        <f>IF(F5343&gt;0,H5343/F5343,"")</f>
        <v/>
      </c>
      <c r="L5343" s="16">
        <f>IF(AND(G5343&gt;0,H5343&gt;0),G5343/H5343,"")</f>
        <v/>
      </c>
    </row>
    <row r="5344">
      <c r="A5344" s="4" t="inlineStr">
        <is>
          <t>210</t>
        </is>
      </c>
      <c r="B5344" s="4" t="n">
        <v>2</v>
      </c>
      <c r="C5344" s="4" t="inlineStr">
        <is>
          <t>mule deer</t>
        </is>
      </c>
      <c r="D5344" s="4" t="n">
        <v>2011</v>
      </c>
      <c r="E5344" s="15" t="inlineStr">
        <is>
          <t>Draw</t>
        </is>
      </c>
      <c r="F5344" s="5" t="n">
        <v>932</v>
      </c>
      <c r="G5344" s="5" t="n">
        <v>5255</v>
      </c>
      <c r="H5344" s="5" t="n">
        <v>64</v>
      </c>
      <c r="I5344" s="5" t="n">
        <v>47</v>
      </c>
      <c r="J5344" s="5" t="n">
        <v>17</v>
      </c>
      <c r="K5344" s="10">
        <f>IF(F5344&gt;0,H5344/F5344,"")</f>
        <v/>
      </c>
      <c r="L5344" s="16">
        <f>IF(AND(G5344&gt;0,H5344&gt;0),G5344/H5344,"")</f>
        <v/>
      </c>
    </row>
    <row r="5345">
      <c r="A5345" s="4" t="inlineStr">
        <is>
          <t>210</t>
        </is>
      </c>
      <c r="B5345" s="4" t="n">
        <v>2</v>
      </c>
      <c r="C5345" s="4" t="inlineStr">
        <is>
          <t>mule deer</t>
        </is>
      </c>
      <c r="D5345" s="4" t="n">
        <v>2012</v>
      </c>
      <c r="E5345" s="15" t="inlineStr">
        <is>
          <t>Draw</t>
        </is>
      </c>
      <c r="F5345" s="5" t="n"/>
      <c r="G5345" s="5" t="n"/>
      <c r="H5345" s="5" t="n">
        <v>57</v>
      </c>
      <c r="I5345" s="5" t="n">
        <v>48</v>
      </c>
      <c r="J5345" s="5" t="n">
        <v>9</v>
      </c>
      <c r="K5345" s="10">
        <f>IF(F5345&gt;0,H5345/F5345,"")</f>
        <v/>
      </c>
      <c r="L5345" s="16">
        <f>IF(AND(G5345&gt;0,H5345&gt;0),G5345/H5345,"")</f>
        <v/>
      </c>
    </row>
    <row r="5346">
      <c r="A5346" s="4" t="inlineStr">
        <is>
          <t>210</t>
        </is>
      </c>
      <c r="B5346" s="4" t="n">
        <v>2</v>
      </c>
      <c r="C5346" s="4" t="inlineStr">
        <is>
          <t>mule deer</t>
        </is>
      </c>
      <c r="D5346" s="4" t="n">
        <v>2013</v>
      </c>
      <c r="E5346" s="15" t="inlineStr">
        <is>
          <t>Draw</t>
        </is>
      </c>
      <c r="F5346" s="5" t="n">
        <v>878</v>
      </c>
      <c r="G5346" s="5" t="n">
        <v>5354</v>
      </c>
      <c r="H5346" s="5" t="n">
        <v>54</v>
      </c>
      <c r="I5346" s="5" t="n">
        <v>42</v>
      </c>
      <c r="J5346" s="5" t="n">
        <v>12</v>
      </c>
      <c r="K5346" s="10">
        <f>IF(F5346&gt;0,H5346/F5346,"")</f>
        <v/>
      </c>
      <c r="L5346" s="16">
        <f>IF(AND(G5346&gt;0,H5346&gt;0),G5346/H5346,"")</f>
        <v/>
      </c>
    </row>
    <row r="5347">
      <c r="A5347" s="4" t="inlineStr">
        <is>
          <t>210</t>
        </is>
      </c>
      <c r="B5347" s="4" t="n">
        <v>2</v>
      </c>
      <c r="C5347" s="4" t="inlineStr">
        <is>
          <t>mule deer</t>
        </is>
      </c>
      <c r="D5347" s="4" t="n">
        <v>2014</v>
      </c>
      <c r="E5347" s="15" t="inlineStr">
        <is>
          <t>Draw</t>
        </is>
      </c>
      <c r="F5347" s="5" t="n"/>
      <c r="G5347" s="5" t="n"/>
      <c r="H5347" s="5" t="n">
        <v>47</v>
      </c>
      <c r="I5347" s="5" t="n">
        <v>47</v>
      </c>
      <c r="J5347" s="5" t="n">
        <v>0</v>
      </c>
      <c r="K5347" s="10">
        <f>IF(F5347&gt;0,H5347/F5347,"")</f>
        <v/>
      </c>
      <c r="L5347" s="16">
        <f>IF(AND(G5347&gt;0,H5347&gt;0),G5347/H5347,"")</f>
        <v/>
      </c>
    </row>
    <row r="5348">
      <c r="A5348" s="4" t="inlineStr">
        <is>
          <t>210</t>
        </is>
      </c>
      <c r="B5348" s="4" t="n">
        <v>2</v>
      </c>
      <c r="C5348" s="4" t="inlineStr">
        <is>
          <t>mule deer</t>
        </is>
      </c>
      <c r="D5348" s="4" t="n">
        <v>2015</v>
      </c>
      <c r="E5348" s="15" t="inlineStr">
        <is>
          <t>Draw</t>
        </is>
      </c>
      <c r="F5348" s="5" t="n"/>
      <c r="G5348" s="5" t="n"/>
      <c r="H5348" s="5" t="n">
        <v>44</v>
      </c>
      <c r="I5348" s="5" t="n">
        <v>44</v>
      </c>
      <c r="J5348" s="5" t="n">
        <v>0</v>
      </c>
      <c r="K5348" s="10">
        <f>IF(F5348&gt;0,H5348/F5348,"")</f>
        <v/>
      </c>
      <c r="L5348" s="16">
        <f>IF(AND(G5348&gt;0,H5348&gt;0),G5348/H5348,"")</f>
        <v/>
      </c>
    </row>
    <row r="5349">
      <c r="A5349" s="4" t="inlineStr">
        <is>
          <t>210</t>
        </is>
      </c>
      <c r="B5349" s="4" t="n">
        <v>2</v>
      </c>
      <c r="C5349" s="4" t="inlineStr">
        <is>
          <t>mule deer</t>
        </is>
      </c>
      <c r="D5349" s="4" t="n">
        <v>2016</v>
      </c>
      <c r="E5349" s="15" t="inlineStr">
        <is>
          <t>Draw</t>
        </is>
      </c>
      <c r="F5349" s="5" t="n"/>
      <c r="G5349" s="5" t="n"/>
      <c r="H5349" s="5" t="n">
        <v>48</v>
      </c>
      <c r="I5349" s="5" t="n">
        <v>48</v>
      </c>
      <c r="J5349" s="5" t="n">
        <v>0</v>
      </c>
      <c r="K5349" s="10">
        <f>IF(F5349&gt;0,H5349/F5349,"")</f>
        <v/>
      </c>
      <c r="L5349" s="16">
        <f>IF(AND(G5349&gt;0,H5349&gt;0),G5349/H5349,"")</f>
        <v/>
      </c>
    </row>
    <row r="5350">
      <c r="A5350" s="4" t="inlineStr">
        <is>
          <t>210</t>
        </is>
      </c>
      <c r="B5350" s="4" t="n">
        <v>2</v>
      </c>
      <c r="C5350" s="4" t="inlineStr">
        <is>
          <t>mule deer</t>
        </is>
      </c>
      <c r="D5350" s="4" t="n">
        <v>2017</v>
      </c>
      <c r="E5350" s="15" t="inlineStr">
        <is>
          <t>Draw</t>
        </is>
      </c>
      <c r="F5350" s="5" t="n">
        <v>821</v>
      </c>
      <c r="G5350" s="5" t="n">
        <v>5162</v>
      </c>
      <c r="H5350" s="5" t="n">
        <v>50</v>
      </c>
      <c r="I5350" s="5" t="n">
        <v>48</v>
      </c>
      <c r="J5350" s="5" t="n">
        <v>2</v>
      </c>
      <c r="K5350" s="10">
        <f>IF(F5350&gt;0,H5350/F5350,"")</f>
        <v/>
      </c>
      <c r="L5350" s="16">
        <f>IF(AND(G5350&gt;0,H5350&gt;0),G5350/H5350,"")</f>
        <v/>
      </c>
    </row>
    <row r="5351">
      <c r="A5351" s="4" t="inlineStr">
        <is>
          <t>210</t>
        </is>
      </c>
      <c r="B5351" s="4" t="n">
        <v>2</v>
      </c>
      <c r="C5351" s="4" t="inlineStr">
        <is>
          <t>mule deer</t>
        </is>
      </c>
      <c r="D5351" s="4" t="n">
        <v>2018</v>
      </c>
      <c r="E5351" s="15" t="inlineStr">
        <is>
          <t>Draw</t>
        </is>
      </c>
      <c r="F5351" s="5" t="n"/>
      <c r="G5351" s="5" t="n"/>
      <c r="H5351" s="5" t="n">
        <v>63</v>
      </c>
      <c r="I5351" s="5" t="n">
        <v>53</v>
      </c>
      <c r="J5351" s="5" t="n">
        <v>10</v>
      </c>
      <c r="K5351" s="10">
        <f>IF(F5351&gt;0,H5351/F5351,"")</f>
        <v/>
      </c>
      <c r="L5351" s="16">
        <f>IF(AND(G5351&gt;0,H5351&gt;0),G5351/H5351,"")</f>
        <v/>
      </c>
    </row>
    <row r="5352">
      <c r="A5352" s="4" t="inlineStr">
        <is>
          <t>210</t>
        </is>
      </c>
      <c r="B5352" s="4" t="n">
        <v>2</v>
      </c>
      <c r="C5352" s="4" t="inlineStr">
        <is>
          <t>mule deer</t>
        </is>
      </c>
      <c r="D5352" s="4" t="n">
        <v>2019</v>
      </c>
      <c r="E5352" s="15" t="inlineStr">
        <is>
          <t>Draw</t>
        </is>
      </c>
      <c r="F5352" s="5" t="n">
        <v>983</v>
      </c>
      <c r="G5352" s="5" t="n">
        <v>5799</v>
      </c>
      <c r="H5352" s="5" t="n">
        <v>46</v>
      </c>
      <c r="I5352" s="5" t="n">
        <v>24</v>
      </c>
      <c r="J5352" s="5" t="n">
        <v>22</v>
      </c>
      <c r="K5352" s="10">
        <f>IF(F5352&gt;0,H5352/F5352,"")</f>
        <v/>
      </c>
      <c r="L5352" s="16">
        <f>IF(AND(G5352&gt;0,H5352&gt;0),G5352/H5352,"")</f>
        <v/>
      </c>
    </row>
    <row r="5353">
      <c r="A5353" s="4" t="inlineStr">
        <is>
          <t>210</t>
        </is>
      </c>
      <c r="B5353" s="4" t="n">
        <v>2</v>
      </c>
      <c r="C5353" s="4" t="inlineStr">
        <is>
          <t>mule deer</t>
        </is>
      </c>
      <c r="D5353" s="4" t="n">
        <v>2020</v>
      </c>
      <c r="E5353" s="15" t="inlineStr">
        <is>
          <t>Draw</t>
        </is>
      </c>
      <c r="F5353" s="5" t="n"/>
      <c r="G5353" s="5" t="n"/>
      <c r="H5353" s="5" t="n">
        <v>70</v>
      </c>
      <c r="I5353" s="5" t="n">
        <v>38</v>
      </c>
      <c r="J5353" s="5" t="n">
        <v>32</v>
      </c>
      <c r="K5353" s="10">
        <f>IF(F5353&gt;0,H5353/F5353,"")</f>
        <v/>
      </c>
      <c r="L5353" s="16">
        <f>IF(AND(G5353&gt;0,H5353&gt;0),G5353/H5353,"")</f>
        <v/>
      </c>
    </row>
    <row r="5354">
      <c r="A5354" s="4" t="inlineStr">
        <is>
          <t>210</t>
        </is>
      </c>
      <c r="B5354" s="4" t="n">
        <v>2</v>
      </c>
      <c r="C5354" s="4" t="inlineStr">
        <is>
          <t>mule deer</t>
        </is>
      </c>
      <c r="D5354" s="4" t="n">
        <v>2021</v>
      </c>
      <c r="E5354" s="15" t="inlineStr">
        <is>
          <t>Draw</t>
        </is>
      </c>
      <c r="F5354" s="5" t="n">
        <v>870</v>
      </c>
      <c r="G5354" s="5" t="n">
        <v>6185</v>
      </c>
      <c r="H5354" s="5" t="n">
        <v>49</v>
      </c>
      <c r="I5354" s="5" t="n">
        <v>39</v>
      </c>
      <c r="J5354" s="5" t="n">
        <v>10</v>
      </c>
      <c r="K5354" s="10">
        <f>IF(F5354&gt;0,H5354/F5354,"")</f>
        <v/>
      </c>
      <c r="L5354" s="16">
        <f>IF(AND(G5354&gt;0,H5354&gt;0),G5354/H5354,"")</f>
        <v/>
      </c>
    </row>
    <row r="5355">
      <c r="A5355" s="4" t="inlineStr">
        <is>
          <t>210</t>
        </is>
      </c>
      <c r="B5355" s="4" t="n">
        <v>2</v>
      </c>
      <c r="C5355" s="4" t="inlineStr">
        <is>
          <t>mule deer</t>
        </is>
      </c>
      <c r="D5355" s="4" t="n">
        <v>2022</v>
      </c>
      <c r="E5355" s="15" t="inlineStr">
        <is>
          <t>Draw</t>
        </is>
      </c>
      <c r="F5355" s="5" t="n"/>
      <c r="G5355" s="5" t="n"/>
      <c r="H5355" s="5" t="n">
        <v>57</v>
      </c>
      <c r="I5355" s="5" t="n">
        <v>33</v>
      </c>
      <c r="J5355" s="5" t="n">
        <v>23</v>
      </c>
      <c r="K5355" s="10">
        <f>IF(F5355&gt;0,H5355/F5355,"")</f>
        <v/>
      </c>
      <c r="L5355" s="16">
        <f>IF(AND(G5355&gt;0,H5355&gt;0),G5355/H5355,"")</f>
        <v/>
      </c>
    </row>
    <row r="5356">
      <c r="A5356" s="4" t="inlineStr">
        <is>
          <t>210</t>
        </is>
      </c>
      <c r="B5356" s="4" t="n">
        <v>2</v>
      </c>
      <c r="C5356" s="4" t="inlineStr">
        <is>
          <t>mule deer</t>
        </is>
      </c>
      <c r="D5356" s="4" t="n">
        <v>2023</v>
      </c>
      <c r="E5356" s="15" t="inlineStr">
        <is>
          <t>Draw</t>
        </is>
      </c>
      <c r="F5356" s="5" t="n">
        <v>863</v>
      </c>
      <c r="G5356" s="5" t="n">
        <v>4965</v>
      </c>
      <c r="H5356" s="5" t="n">
        <v>67</v>
      </c>
      <c r="I5356" s="5" t="n">
        <v>54</v>
      </c>
      <c r="J5356" s="5" t="n">
        <v>14</v>
      </c>
      <c r="K5356" s="10">
        <f>IF(F5356&gt;0,H5356/F5356,"")</f>
        <v/>
      </c>
      <c r="L5356" s="16">
        <f>IF(AND(G5356&gt;0,H5356&gt;0),G5356/H5356,"")</f>
        <v/>
      </c>
    </row>
    <row r="5357">
      <c r="A5357" s="4" t="inlineStr">
        <is>
          <t>210</t>
        </is>
      </c>
      <c r="B5357" s="4" t="n">
        <v>2</v>
      </c>
      <c r="C5357" s="4" t="inlineStr">
        <is>
          <t>mule deer</t>
        </is>
      </c>
      <c r="D5357" s="4" t="n">
        <v>2024</v>
      </c>
      <c r="E5357" s="15" t="inlineStr">
        <is>
          <t>Draw</t>
        </is>
      </c>
      <c r="F5357" s="5" t="n"/>
      <c r="G5357" s="5" t="n"/>
      <c r="H5357" s="5" t="n">
        <v>74</v>
      </c>
      <c r="I5357" s="5" t="n">
        <v>52</v>
      </c>
      <c r="J5357" s="5" t="n">
        <v>22</v>
      </c>
      <c r="K5357" s="10">
        <f>IF(F5357&gt;0,H5357/F5357,"")</f>
        <v/>
      </c>
      <c r="L5357" s="16">
        <f>IF(AND(G5357&gt;0,H5357&gt;0),G5357/H5357,"")</f>
        <v/>
      </c>
    </row>
    <row r="5358">
      <c r="A5358" s="4" t="inlineStr">
        <is>
          <t>210</t>
        </is>
      </c>
      <c r="B5358" s="4" t="n">
        <v>2</v>
      </c>
      <c r="C5358" s="4" t="inlineStr">
        <is>
          <t>mule deer</t>
        </is>
      </c>
      <c r="D5358" s="4" t="n">
        <v>2025</v>
      </c>
      <c r="E5358" s="15" t="inlineStr">
        <is>
          <t>Draw</t>
        </is>
      </c>
      <c r="F5358" s="5" t="n">
        <v>875</v>
      </c>
      <c r="G5358" s="5" t="n">
        <v>5787</v>
      </c>
      <c r="H5358" s="5" t="n">
        <v>62</v>
      </c>
      <c r="I5358" s="5" t="n">
        <v>40</v>
      </c>
      <c r="J5358" s="5" t="n">
        <v>22</v>
      </c>
      <c r="K5358" s="10">
        <f>IF(F5358&gt;0,H5358/F5358,"")</f>
        <v/>
      </c>
      <c r="L5358" s="16">
        <f>IF(AND(G5358&gt;0,H5358&gt;0),G5358/H5358,"")</f>
        <v/>
      </c>
    </row>
    <row r="5359">
      <c r="A5359" s="4" t="inlineStr">
        <is>
          <t>211</t>
        </is>
      </c>
      <c r="B5359" s="4" t="n">
        <v>2</v>
      </c>
      <c r="C5359" s="4" t="inlineStr">
        <is>
          <t>mule deer</t>
        </is>
      </c>
      <c r="D5359" s="4" t="n">
        <v>2004</v>
      </c>
      <c r="E5359" s="13" t="inlineStr">
        <is>
          <t>General</t>
        </is>
      </c>
      <c r="F5359" s="5" t="n">
        <v>284</v>
      </c>
      <c r="G5359" s="5" t="n">
        <v>1925</v>
      </c>
      <c r="H5359" s="5" t="n">
        <v>44</v>
      </c>
      <c r="I5359" s="5" t="n">
        <v>44</v>
      </c>
      <c r="J5359" s="5" t="n">
        <v>0</v>
      </c>
      <c r="K5359" s="10">
        <f>IF(F5359&gt;0,H5359/F5359,"")</f>
        <v/>
      </c>
      <c r="L5359" s="16">
        <f>IF(AND(G5359&gt;0,H5359&gt;0),G5359/H5359,"")</f>
        <v/>
      </c>
    </row>
    <row r="5360">
      <c r="A5360" s="4" t="inlineStr">
        <is>
          <t>211</t>
        </is>
      </c>
      <c r="B5360" s="4" t="n">
        <v>2</v>
      </c>
      <c r="C5360" s="4" t="inlineStr">
        <is>
          <t>mule deer</t>
        </is>
      </c>
      <c r="D5360" s="4" t="n">
        <v>2005</v>
      </c>
      <c r="E5360" s="13" t="inlineStr">
        <is>
          <t>General</t>
        </is>
      </c>
      <c r="F5360" s="5" t="n">
        <v>236</v>
      </c>
      <c r="G5360" s="5" t="n">
        <v>1905</v>
      </c>
      <c r="H5360" s="5" t="n">
        <v>37</v>
      </c>
      <c r="I5360" s="5" t="n">
        <v>37</v>
      </c>
      <c r="J5360" s="5" t="n">
        <v>0</v>
      </c>
      <c r="K5360" s="10">
        <f>IF(F5360&gt;0,H5360/F5360,"")</f>
        <v/>
      </c>
      <c r="L5360" s="16">
        <f>IF(AND(G5360&gt;0,H5360&gt;0),G5360/H5360,"")</f>
        <v/>
      </c>
    </row>
    <row r="5361">
      <c r="A5361" s="4" t="inlineStr">
        <is>
          <t>211</t>
        </is>
      </c>
      <c r="B5361" s="4" t="n">
        <v>2</v>
      </c>
      <c r="C5361" s="4" t="inlineStr">
        <is>
          <t>mule deer</t>
        </is>
      </c>
      <c r="D5361" s="4" t="n">
        <v>2006</v>
      </c>
      <c r="E5361" s="13" t="inlineStr">
        <is>
          <t>General</t>
        </is>
      </c>
      <c r="F5361" s="5" t="n">
        <v>220</v>
      </c>
      <c r="G5361" s="5" t="n">
        <v>1504</v>
      </c>
      <c r="H5361" s="5" t="n">
        <v>37</v>
      </c>
      <c r="I5361" s="5" t="n">
        <v>37</v>
      </c>
      <c r="J5361" s="5" t="n">
        <v>0</v>
      </c>
      <c r="K5361" s="10">
        <f>IF(F5361&gt;0,H5361/F5361,"")</f>
        <v/>
      </c>
      <c r="L5361" s="16">
        <f>IF(AND(G5361&gt;0,H5361&gt;0),G5361/H5361,"")</f>
        <v/>
      </c>
    </row>
    <row r="5362">
      <c r="A5362" s="4" t="inlineStr">
        <is>
          <t>211</t>
        </is>
      </c>
      <c r="B5362" s="4" t="n">
        <v>2</v>
      </c>
      <c r="C5362" s="4" t="inlineStr">
        <is>
          <t>mule deer</t>
        </is>
      </c>
      <c r="D5362" s="4" t="n">
        <v>2007</v>
      </c>
      <c r="E5362" s="13" t="inlineStr">
        <is>
          <t>General</t>
        </is>
      </c>
      <c r="F5362" s="5" t="n">
        <v>209</v>
      </c>
      <c r="G5362" s="5" t="n">
        <v>1515</v>
      </c>
      <c r="H5362" s="5" t="n">
        <v>33</v>
      </c>
      <c r="I5362" s="5" t="n">
        <v>33</v>
      </c>
      <c r="J5362" s="5" t="n">
        <v>0</v>
      </c>
      <c r="K5362" s="10">
        <f>IF(F5362&gt;0,H5362/F5362,"")</f>
        <v/>
      </c>
      <c r="L5362" s="16">
        <f>IF(AND(G5362&gt;0,H5362&gt;0),G5362/H5362,"")</f>
        <v/>
      </c>
    </row>
    <row r="5363">
      <c r="A5363" s="4" t="inlineStr">
        <is>
          <t>211</t>
        </is>
      </c>
      <c r="B5363" s="4" t="n">
        <v>2</v>
      </c>
      <c r="C5363" s="4" t="inlineStr">
        <is>
          <t>mule deer</t>
        </is>
      </c>
      <c r="D5363" s="4" t="n">
        <v>2008</v>
      </c>
      <c r="E5363" s="13" t="inlineStr">
        <is>
          <t>General</t>
        </is>
      </c>
      <c r="F5363" s="5" t="n">
        <v>240</v>
      </c>
      <c r="G5363" s="5" t="n">
        <v>1725</v>
      </c>
      <c r="H5363" s="5" t="n">
        <v>21</v>
      </c>
      <c r="I5363" s="5" t="n">
        <v>21</v>
      </c>
      <c r="J5363" s="5" t="n">
        <v>0</v>
      </c>
      <c r="K5363" s="10">
        <f>IF(F5363&gt;0,H5363/F5363,"")</f>
        <v/>
      </c>
      <c r="L5363" s="16">
        <f>IF(AND(G5363&gt;0,H5363&gt;0),G5363/H5363,"")</f>
        <v/>
      </c>
    </row>
    <row r="5364">
      <c r="A5364" s="4" t="inlineStr">
        <is>
          <t>211</t>
        </is>
      </c>
      <c r="B5364" s="4" t="n">
        <v>2</v>
      </c>
      <c r="C5364" s="4" t="inlineStr">
        <is>
          <t>mule deer</t>
        </is>
      </c>
      <c r="D5364" s="4" t="n">
        <v>2009</v>
      </c>
      <c r="E5364" s="13" t="inlineStr">
        <is>
          <t>General</t>
        </is>
      </c>
      <c r="F5364" s="5" t="n">
        <v>189</v>
      </c>
      <c r="G5364" s="5" t="n">
        <v>1523</v>
      </c>
      <c r="H5364" s="5" t="n">
        <v>17</v>
      </c>
      <c r="I5364" s="5" t="n">
        <v>15</v>
      </c>
      <c r="J5364" s="5" t="n">
        <v>2</v>
      </c>
      <c r="K5364" s="10">
        <f>IF(F5364&gt;0,H5364/F5364,"")</f>
        <v/>
      </c>
      <c r="L5364" s="16">
        <f>IF(AND(G5364&gt;0,H5364&gt;0),G5364/H5364,"")</f>
        <v/>
      </c>
    </row>
    <row r="5365">
      <c r="A5365" s="4" t="inlineStr">
        <is>
          <t>211</t>
        </is>
      </c>
      <c r="B5365" s="4" t="n">
        <v>2</v>
      </c>
      <c r="C5365" s="4" t="inlineStr">
        <is>
          <t>mule deer</t>
        </is>
      </c>
      <c r="D5365" s="4" t="n">
        <v>2010</v>
      </c>
      <c r="E5365" s="13" t="inlineStr">
        <is>
          <t>General</t>
        </is>
      </c>
      <c r="F5365" s="5" t="n">
        <v>184</v>
      </c>
      <c r="G5365" s="5" t="n">
        <v>1280</v>
      </c>
      <c r="H5365" s="5" t="n">
        <v>3</v>
      </c>
      <c r="I5365" s="5" t="n">
        <v>3</v>
      </c>
      <c r="J5365" s="5" t="n">
        <v>0</v>
      </c>
      <c r="K5365" s="10">
        <f>IF(F5365&gt;0,H5365/F5365,"")</f>
        <v/>
      </c>
      <c r="L5365" s="16">
        <f>IF(AND(G5365&gt;0,H5365&gt;0),G5365/H5365,"")</f>
        <v/>
      </c>
    </row>
    <row r="5366">
      <c r="A5366" s="4" t="inlineStr">
        <is>
          <t>211</t>
        </is>
      </c>
      <c r="B5366" s="4" t="n">
        <v>2</v>
      </c>
      <c r="C5366" s="4" t="inlineStr">
        <is>
          <t>mule deer</t>
        </is>
      </c>
      <c r="D5366" s="4" t="n">
        <v>2011</v>
      </c>
      <c r="E5366" s="13" t="inlineStr">
        <is>
          <t>General</t>
        </is>
      </c>
      <c r="F5366" s="5" t="n">
        <v>271</v>
      </c>
      <c r="G5366" s="5" t="n">
        <v>1968</v>
      </c>
      <c r="H5366" s="5" t="n">
        <v>14</v>
      </c>
      <c r="I5366" s="5" t="n">
        <v>14</v>
      </c>
      <c r="J5366" s="5" t="n">
        <v>0</v>
      </c>
      <c r="K5366" s="10">
        <f>IF(F5366&gt;0,H5366/F5366,"")</f>
        <v/>
      </c>
      <c r="L5366" s="16">
        <f>IF(AND(G5366&gt;0,H5366&gt;0),G5366/H5366,"")</f>
        <v/>
      </c>
    </row>
    <row r="5367">
      <c r="A5367" s="4" t="inlineStr">
        <is>
          <t>211</t>
        </is>
      </c>
      <c r="B5367" s="4" t="n">
        <v>2</v>
      </c>
      <c r="C5367" s="4" t="inlineStr">
        <is>
          <t>mule deer</t>
        </is>
      </c>
      <c r="D5367" s="4" t="n">
        <v>2012</v>
      </c>
      <c r="E5367" s="13" t="inlineStr">
        <is>
          <t>General</t>
        </is>
      </c>
      <c r="F5367" s="5" t="n"/>
      <c r="G5367" s="5" t="n"/>
      <c r="H5367" s="5" t="n">
        <v>22</v>
      </c>
      <c r="I5367" s="5" t="n">
        <v>22</v>
      </c>
      <c r="J5367" s="5" t="n">
        <v>0</v>
      </c>
      <c r="K5367" s="10">
        <f>IF(F5367&gt;0,H5367/F5367,"")</f>
        <v/>
      </c>
      <c r="L5367" s="16">
        <f>IF(AND(G5367&gt;0,H5367&gt;0),G5367/H5367,"")</f>
        <v/>
      </c>
    </row>
    <row r="5368">
      <c r="A5368" s="4" t="inlineStr">
        <is>
          <t>211</t>
        </is>
      </c>
      <c r="B5368" s="4" t="n">
        <v>2</v>
      </c>
      <c r="C5368" s="4" t="inlineStr">
        <is>
          <t>mule deer</t>
        </is>
      </c>
      <c r="D5368" s="4" t="n">
        <v>2013</v>
      </c>
      <c r="E5368" s="13" t="inlineStr">
        <is>
          <t>General</t>
        </is>
      </c>
      <c r="F5368" s="5" t="n">
        <v>258</v>
      </c>
      <c r="G5368" s="5" t="n">
        <v>1994</v>
      </c>
      <c r="H5368" s="5" t="n">
        <v>17</v>
      </c>
      <c r="I5368" s="5" t="n">
        <v>17</v>
      </c>
      <c r="J5368" s="5" t="n">
        <v>0</v>
      </c>
      <c r="K5368" s="10">
        <f>IF(F5368&gt;0,H5368/F5368,"")</f>
        <v/>
      </c>
      <c r="L5368" s="16">
        <f>IF(AND(G5368&gt;0,H5368&gt;0),G5368/H5368,"")</f>
        <v/>
      </c>
    </row>
    <row r="5369">
      <c r="A5369" s="4" t="inlineStr">
        <is>
          <t>211</t>
        </is>
      </c>
      <c r="B5369" s="4" t="n">
        <v>2</v>
      </c>
      <c r="C5369" s="4" t="inlineStr">
        <is>
          <t>mule deer</t>
        </is>
      </c>
      <c r="D5369" s="4" t="n">
        <v>2014</v>
      </c>
      <c r="E5369" s="13" t="inlineStr">
        <is>
          <t>General</t>
        </is>
      </c>
      <c r="F5369" s="5" t="n"/>
      <c r="G5369" s="5" t="n"/>
      <c r="H5369" s="5" t="n">
        <v>34</v>
      </c>
      <c r="I5369" s="5" t="n">
        <v>34</v>
      </c>
      <c r="J5369" s="5" t="n">
        <v>0</v>
      </c>
      <c r="K5369" s="10">
        <f>IF(F5369&gt;0,H5369/F5369,"")</f>
        <v/>
      </c>
      <c r="L5369" s="16">
        <f>IF(AND(G5369&gt;0,H5369&gt;0),G5369/H5369,"")</f>
        <v/>
      </c>
    </row>
    <row r="5370">
      <c r="A5370" s="4" t="inlineStr">
        <is>
          <t>211</t>
        </is>
      </c>
      <c r="B5370" s="4" t="n">
        <v>2</v>
      </c>
      <c r="C5370" s="4" t="inlineStr">
        <is>
          <t>mule deer</t>
        </is>
      </c>
      <c r="D5370" s="4" t="n">
        <v>2015</v>
      </c>
      <c r="E5370" s="13" t="inlineStr">
        <is>
          <t>General</t>
        </is>
      </c>
      <c r="F5370" s="5" t="n"/>
      <c r="G5370" s="5" t="n"/>
      <c r="H5370" s="5" t="n">
        <v>19</v>
      </c>
      <c r="I5370" s="5" t="n">
        <v>19</v>
      </c>
      <c r="J5370" s="5" t="n">
        <v>0</v>
      </c>
      <c r="K5370" s="10">
        <f>IF(F5370&gt;0,H5370/F5370,"")</f>
        <v/>
      </c>
      <c r="L5370" s="16">
        <f>IF(AND(G5370&gt;0,H5370&gt;0),G5370/H5370,"")</f>
        <v/>
      </c>
    </row>
    <row r="5371">
      <c r="A5371" s="4" t="inlineStr">
        <is>
          <t>211</t>
        </is>
      </c>
      <c r="B5371" s="4" t="n">
        <v>2</v>
      </c>
      <c r="C5371" s="4" t="inlineStr">
        <is>
          <t>mule deer</t>
        </is>
      </c>
      <c r="D5371" s="4" t="n">
        <v>2016</v>
      </c>
      <c r="E5371" s="13" t="inlineStr">
        <is>
          <t>General</t>
        </is>
      </c>
      <c r="F5371" s="5" t="n"/>
      <c r="G5371" s="5" t="n"/>
      <c r="H5371" s="5" t="n">
        <v>36</v>
      </c>
      <c r="I5371" s="5" t="n">
        <v>33</v>
      </c>
      <c r="J5371" s="5" t="n">
        <v>3</v>
      </c>
      <c r="K5371" s="10">
        <f>IF(F5371&gt;0,H5371/F5371,"")</f>
        <v/>
      </c>
      <c r="L5371" s="16">
        <f>IF(AND(G5371&gt;0,H5371&gt;0),G5371/H5371,"")</f>
        <v/>
      </c>
    </row>
    <row r="5372">
      <c r="A5372" s="4" t="inlineStr">
        <is>
          <t>211</t>
        </is>
      </c>
      <c r="B5372" s="4" t="n">
        <v>2</v>
      </c>
      <c r="C5372" s="4" t="inlineStr">
        <is>
          <t>mule deer</t>
        </is>
      </c>
      <c r="D5372" s="4" t="n">
        <v>2017</v>
      </c>
      <c r="E5372" s="13" t="inlineStr">
        <is>
          <t>General</t>
        </is>
      </c>
      <c r="F5372" s="5" t="n">
        <v>256</v>
      </c>
      <c r="G5372" s="5" t="n">
        <v>1875</v>
      </c>
      <c r="H5372" s="5" t="n">
        <v>27</v>
      </c>
      <c r="I5372" s="5" t="n">
        <v>27</v>
      </c>
      <c r="J5372" s="5" t="n">
        <v>0</v>
      </c>
      <c r="K5372" s="10">
        <f>IF(F5372&gt;0,H5372/F5372,"")</f>
        <v/>
      </c>
      <c r="L5372" s="16">
        <f>IF(AND(G5372&gt;0,H5372&gt;0),G5372/H5372,"")</f>
        <v/>
      </c>
    </row>
    <row r="5373">
      <c r="A5373" s="4" t="inlineStr">
        <is>
          <t>211</t>
        </is>
      </c>
      <c r="B5373" s="4" t="n">
        <v>2</v>
      </c>
      <c r="C5373" s="4" t="inlineStr">
        <is>
          <t>mule deer</t>
        </is>
      </c>
      <c r="D5373" s="4" t="n">
        <v>2018</v>
      </c>
      <c r="E5373" s="13" t="inlineStr">
        <is>
          <t>General</t>
        </is>
      </c>
      <c r="F5373" s="5" t="n"/>
      <c r="G5373" s="5" t="n"/>
      <c r="H5373" s="5" t="n">
        <v>25</v>
      </c>
      <c r="I5373" s="5" t="n">
        <v>25</v>
      </c>
      <c r="J5373" s="5" t="n">
        <v>0</v>
      </c>
      <c r="K5373" s="10">
        <f>IF(F5373&gt;0,H5373/F5373,"")</f>
        <v/>
      </c>
      <c r="L5373" s="16">
        <f>IF(AND(G5373&gt;0,H5373&gt;0),G5373/H5373,"")</f>
        <v/>
      </c>
    </row>
    <row r="5374">
      <c r="A5374" s="4" t="inlineStr">
        <is>
          <t>211</t>
        </is>
      </c>
      <c r="B5374" s="4" t="n">
        <v>2</v>
      </c>
      <c r="C5374" s="4" t="inlineStr">
        <is>
          <t>mule deer</t>
        </is>
      </c>
      <c r="D5374" s="4" t="n">
        <v>2019</v>
      </c>
      <c r="E5374" s="13" t="inlineStr">
        <is>
          <t>General</t>
        </is>
      </c>
      <c r="F5374" s="5" t="n">
        <v>275</v>
      </c>
      <c r="G5374" s="5" t="n">
        <v>2101</v>
      </c>
      <c r="H5374" s="5" t="n">
        <v>20</v>
      </c>
      <c r="I5374" s="5" t="n">
        <v>20</v>
      </c>
      <c r="J5374" s="5" t="n">
        <v>0</v>
      </c>
      <c r="K5374" s="10">
        <f>IF(F5374&gt;0,H5374/F5374,"")</f>
        <v/>
      </c>
      <c r="L5374" s="16">
        <f>IF(AND(G5374&gt;0,H5374&gt;0),G5374/H5374,"")</f>
        <v/>
      </c>
    </row>
    <row r="5375">
      <c r="A5375" s="4" t="inlineStr">
        <is>
          <t>211</t>
        </is>
      </c>
      <c r="B5375" s="4" t="n">
        <v>2</v>
      </c>
      <c r="C5375" s="4" t="inlineStr">
        <is>
          <t>mule deer</t>
        </is>
      </c>
      <c r="D5375" s="4" t="n">
        <v>2020</v>
      </c>
      <c r="E5375" s="13" t="inlineStr">
        <is>
          <t>General</t>
        </is>
      </c>
      <c r="F5375" s="5" t="n"/>
      <c r="G5375" s="5" t="n"/>
      <c r="H5375" s="5" t="n">
        <v>24</v>
      </c>
      <c r="I5375" s="5" t="n">
        <v>24</v>
      </c>
      <c r="J5375" s="5" t="n">
        <v>0</v>
      </c>
      <c r="K5375" s="10">
        <f>IF(F5375&gt;0,H5375/F5375,"")</f>
        <v/>
      </c>
      <c r="L5375" s="16">
        <f>IF(AND(G5375&gt;0,H5375&gt;0),G5375/H5375,"")</f>
        <v/>
      </c>
    </row>
    <row r="5376">
      <c r="A5376" s="4" t="inlineStr">
        <is>
          <t>211</t>
        </is>
      </c>
      <c r="B5376" s="4" t="n">
        <v>2</v>
      </c>
      <c r="C5376" s="4" t="inlineStr">
        <is>
          <t>mule deer</t>
        </is>
      </c>
      <c r="D5376" s="4" t="n">
        <v>2021</v>
      </c>
      <c r="E5376" s="13" t="inlineStr">
        <is>
          <t>General</t>
        </is>
      </c>
      <c r="F5376" s="5" t="n">
        <v>433</v>
      </c>
      <c r="G5376" s="5" t="n">
        <v>3571</v>
      </c>
      <c r="H5376" s="5" t="n">
        <v>35</v>
      </c>
      <c r="I5376" s="5" t="n">
        <v>35</v>
      </c>
      <c r="J5376" s="5" t="n">
        <v>0</v>
      </c>
      <c r="K5376" s="10">
        <f>IF(F5376&gt;0,H5376/F5376,"")</f>
        <v/>
      </c>
      <c r="L5376" s="16">
        <f>IF(AND(G5376&gt;0,H5376&gt;0),G5376/H5376,"")</f>
        <v/>
      </c>
    </row>
    <row r="5377">
      <c r="A5377" s="4" t="inlineStr">
        <is>
          <t>211</t>
        </is>
      </c>
      <c r="B5377" s="4" t="n">
        <v>2</v>
      </c>
      <c r="C5377" s="4" t="inlineStr">
        <is>
          <t>mule deer</t>
        </is>
      </c>
      <c r="D5377" s="4" t="n">
        <v>2022</v>
      </c>
      <c r="E5377" s="13" t="inlineStr">
        <is>
          <t>General</t>
        </is>
      </c>
      <c r="F5377" s="5" t="n"/>
      <c r="G5377" s="5" t="n"/>
      <c r="H5377" s="5" t="n">
        <v>31</v>
      </c>
      <c r="I5377" s="5" t="n">
        <v>27</v>
      </c>
      <c r="J5377" s="5" t="n">
        <v>3</v>
      </c>
      <c r="K5377" s="10">
        <f>IF(F5377&gt;0,H5377/F5377,"")</f>
        <v/>
      </c>
      <c r="L5377" s="16">
        <f>IF(AND(G5377&gt;0,H5377&gt;0),G5377/H5377,"")</f>
        <v/>
      </c>
    </row>
    <row r="5378">
      <c r="A5378" s="4" t="inlineStr">
        <is>
          <t>211</t>
        </is>
      </c>
      <c r="B5378" s="4" t="n">
        <v>2</v>
      </c>
      <c r="C5378" s="4" t="inlineStr">
        <is>
          <t>mule deer</t>
        </is>
      </c>
      <c r="D5378" s="4" t="n">
        <v>2023</v>
      </c>
      <c r="E5378" s="13" t="inlineStr">
        <is>
          <t>General</t>
        </is>
      </c>
      <c r="F5378" s="5" t="n">
        <v>492</v>
      </c>
      <c r="G5378" s="5" t="n">
        <v>3440</v>
      </c>
      <c r="H5378" s="5" t="n">
        <v>40</v>
      </c>
      <c r="I5378" s="5" t="n">
        <v>40</v>
      </c>
      <c r="J5378" s="5" t="n">
        <v>0</v>
      </c>
      <c r="K5378" s="10">
        <f>IF(F5378&gt;0,H5378/F5378,"")</f>
        <v/>
      </c>
      <c r="L5378" s="16">
        <f>IF(AND(G5378&gt;0,H5378&gt;0),G5378/H5378,"")</f>
        <v/>
      </c>
    </row>
    <row r="5379">
      <c r="A5379" s="4" t="inlineStr">
        <is>
          <t>211</t>
        </is>
      </c>
      <c r="B5379" s="4" t="n">
        <v>2</v>
      </c>
      <c r="C5379" s="4" t="inlineStr">
        <is>
          <t>mule deer</t>
        </is>
      </c>
      <c r="D5379" s="4" t="n">
        <v>2024</v>
      </c>
      <c r="E5379" s="13" t="inlineStr">
        <is>
          <t>General</t>
        </is>
      </c>
      <c r="F5379" s="5" t="n"/>
      <c r="G5379" s="5" t="n"/>
      <c r="H5379" s="5" t="n">
        <v>53</v>
      </c>
      <c r="I5379" s="5" t="n">
        <v>53</v>
      </c>
      <c r="J5379" s="5" t="n">
        <v>0</v>
      </c>
      <c r="K5379" s="10">
        <f>IF(F5379&gt;0,H5379/F5379,"")</f>
        <v/>
      </c>
      <c r="L5379" s="16">
        <f>IF(AND(G5379&gt;0,H5379&gt;0),G5379/H5379,"")</f>
        <v/>
      </c>
    </row>
    <row r="5380">
      <c r="A5380" s="4" t="inlineStr">
        <is>
          <t>211</t>
        </is>
      </c>
      <c r="B5380" s="4" t="n">
        <v>2</v>
      </c>
      <c r="C5380" s="4" t="inlineStr">
        <is>
          <t>mule deer</t>
        </is>
      </c>
      <c r="D5380" s="4" t="n">
        <v>2025</v>
      </c>
      <c r="E5380" s="13" t="inlineStr">
        <is>
          <t>General</t>
        </is>
      </c>
      <c r="F5380" s="5" t="n">
        <v>566</v>
      </c>
      <c r="G5380" s="5" t="n">
        <v>4532</v>
      </c>
      <c r="H5380" s="5" t="n">
        <v>37</v>
      </c>
      <c r="I5380" s="5" t="n">
        <v>33</v>
      </c>
      <c r="J5380" s="5" t="n">
        <v>4</v>
      </c>
      <c r="K5380" s="10">
        <f>IF(F5380&gt;0,H5380/F5380,"")</f>
        <v/>
      </c>
      <c r="L5380" s="16">
        <f>IF(AND(G5380&gt;0,H5380&gt;0),G5380/H5380,"")</f>
        <v/>
      </c>
    </row>
    <row r="5381">
      <c r="A5381" s="4" t="inlineStr">
        <is>
          <t>212</t>
        </is>
      </c>
      <c r="B5381" s="4" t="n">
        <v>2</v>
      </c>
      <c r="C5381" s="4" t="inlineStr">
        <is>
          <t>mule deer</t>
        </is>
      </c>
      <c r="D5381" s="4" t="n">
        <v>2004</v>
      </c>
      <c r="E5381" s="13" t="inlineStr">
        <is>
          <t>General</t>
        </is>
      </c>
      <c r="F5381" s="5" t="n">
        <v>1312</v>
      </c>
      <c r="G5381" s="5" t="n">
        <v>8764</v>
      </c>
      <c r="H5381" s="5" t="n">
        <v>263</v>
      </c>
      <c r="I5381" s="5" t="n">
        <v>230</v>
      </c>
      <c r="J5381" s="5" t="n">
        <v>33</v>
      </c>
      <c r="K5381" s="10">
        <f>IF(F5381&gt;0,H5381/F5381,"")</f>
        <v/>
      </c>
      <c r="L5381" s="16">
        <f>IF(AND(G5381&gt;0,H5381&gt;0),G5381/H5381,"")</f>
        <v/>
      </c>
    </row>
    <row r="5382">
      <c r="A5382" s="4" t="inlineStr">
        <is>
          <t>212</t>
        </is>
      </c>
      <c r="B5382" s="4" t="n">
        <v>2</v>
      </c>
      <c r="C5382" s="4" t="inlineStr">
        <is>
          <t>mule deer</t>
        </is>
      </c>
      <c r="D5382" s="4" t="n">
        <v>2005</v>
      </c>
      <c r="E5382" s="13" t="inlineStr">
        <is>
          <t>General</t>
        </is>
      </c>
      <c r="F5382" s="5" t="n">
        <v>1300</v>
      </c>
      <c r="G5382" s="5" t="n">
        <v>8775</v>
      </c>
      <c r="H5382" s="5" t="n">
        <v>332</v>
      </c>
      <c r="I5382" s="5" t="n">
        <v>288</v>
      </c>
      <c r="J5382" s="5" t="n">
        <v>43</v>
      </c>
      <c r="K5382" s="10">
        <f>IF(F5382&gt;0,H5382/F5382,"")</f>
        <v/>
      </c>
      <c r="L5382" s="16">
        <f>IF(AND(G5382&gt;0,H5382&gt;0),G5382/H5382,"")</f>
        <v/>
      </c>
    </row>
    <row r="5383">
      <c r="A5383" s="4" t="inlineStr">
        <is>
          <t>212</t>
        </is>
      </c>
      <c r="B5383" s="4" t="n">
        <v>2</v>
      </c>
      <c r="C5383" s="4" t="inlineStr">
        <is>
          <t>mule deer</t>
        </is>
      </c>
      <c r="D5383" s="4" t="n">
        <v>2006</v>
      </c>
      <c r="E5383" s="13" t="inlineStr">
        <is>
          <t>General</t>
        </is>
      </c>
      <c r="F5383" s="5" t="n">
        <v>1550</v>
      </c>
      <c r="G5383" s="5" t="n">
        <v>11081</v>
      </c>
      <c r="H5383" s="5" t="n">
        <v>343</v>
      </c>
      <c r="I5383" s="5" t="n">
        <v>302</v>
      </c>
      <c r="J5383" s="5" t="n">
        <v>41</v>
      </c>
      <c r="K5383" s="10">
        <f>IF(F5383&gt;0,H5383/F5383,"")</f>
        <v/>
      </c>
      <c r="L5383" s="16">
        <f>IF(AND(G5383&gt;0,H5383&gt;0),G5383/H5383,"")</f>
        <v/>
      </c>
    </row>
    <row r="5384">
      <c r="A5384" s="4" t="inlineStr">
        <is>
          <t>212</t>
        </is>
      </c>
      <c r="B5384" s="4" t="n">
        <v>2</v>
      </c>
      <c r="C5384" s="4" t="inlineStr">
        <is>
          <t>mule deer</t>
        </is>
      </c>
      <c r="D5384" s="4" t="n">
        <v>2007</v>
      </c>
      <c r="E5384" s="13" t="inlineStr">
        <is>
          <t>General</t>
        </is>
      </c>
      <c r="F5384" s="5" t="n">
        <v>1337</v>
      </c>
      <c r="G5384" s="5" t="n">
        <v>9683</v>
      </c>
      <c r="H5384" s="5" t="n">
        <v>180</v>
      </c>
      <c r="I5384" s="5" t="n">
        <v>152</v>
      </c>
      <c r="J5384" s="5" t="n">
        <v>28</v>
      </c>
      <c r="K5384" s="10">
        <f>IF(F5384&gt;0,H5384/F5384,"")</f>
        <v/>
      </c>
      <c r="L5384" s="16">
        <f>IF(AND(G5384&gt;0,H5384&gt;0),G5384/H5384,"")</f>
        <v/>
      </c>
    </row>
    <row r="5385">
      <c r="A5385" s="4" t="inlineStr">
        <is>
          <t>212</t>
        </is>
      </c>
      <c r="B5385" s="4" t="n">
        <v>2</v>
      </c>
      <c r="C5385" s="4" t="inlineStr">
        <is>
          <t>mule deer</t>
        </is>
      </c>
      <c r="D5385" s="4" t="n">
        <v>2008</v>
      </c>
      <c r="E5385" s="13" t="inlineStr">
        <is>
          <t>General</t>
        </is>
      </c>
      <c r="F5385" s="5" t="n">
        <v>1194</v>
      </c>
      <c r="G5385" s="5" t="n">
        <v>8648</v>
      </c>
      <c r="H5385" s="5" t="n">
        <v>90</v>
      </c>
      <c r="I5385" s="5" t="n">
        <v>52</v>
      </c>
      <c r="J5385" s="5" t="n">
        <v>39</v>
      </c>
      <c r="K5385" s="10">
        <f>IF(F5385&gt;0,H5385/F5385,"")</f>
        <v/>
      </c>
      <c r="L5385" s="16">
        <f>IF(AND(G5385&gt;0,H5385&gt;0),G5385/H5385,"")</f>
        <v/>
      </c>
    </row>
    <row r="5386">
      <c r="A5386" s="4" t="inlineStr">
        <is>
          <t>212</t>
        </is>
      </c>
      <c r="B5386" s="4" t="n">
        <v>2</v>
      </c>
      <c r="C5386" s="4" t="inlineStr">
        <is>
          <t>mule deer</t>
        </is>
      </c>
      <c r="D5386" s="4" t="n">
        <v>2009</v>
      </c>
      <c r="E5386" s="13" t="inlineStr">
        <is>
          <t>General</t>
        </is>
      </c>
      <c r="F5386" s="5" t="n">
        <v>1095</v>
      </c>
      <c r="G5386" s="5" t="n">
        <v>6938</v>
      </c>
      <c r="H5386" s="5" t="n">
        <v>155</v>
      </c>
      <c r="I5386" s="5" t="n">
        <v>108</v>
      </c>
      <c r="J5386" s="5" t="n">
        <v>45</v>
      </c>
      <c r="K5386" s="10">
        <f>IF(F5386&gt;0,H5386/F5386,"")</f>
        <v/>
      </c>
      <c r="L5386" s="16">
        <f>IF(AND(G5386&gt;0,H5386&gt;0),G5386/H5386,"")</f>
        <v/>
      </c>
    </row>
    <row r="5387">
      <c r="A5387" s="4" t="inlineStr">
        <is>
          <t>212</t>
        </is>
      </c>
      <c r="B5387" s="4" t="n">
        <v>2</v>
      </c>
      <c r="C5387" s="4" t="inlineStr">
        <is>
          <t>mule deer</t>
        </is>
      </c>
      <c r="D5387" s="4" t="n">
        <v>2010</v>
      </c>
      <c r="E5387" s="13" t="inlineStr">
        <is>
          <t>General</t>
        </is>
      </c>
      <c r="F5387" s="5" t="n">
        <v>936</v>
      </c>
      <c r="G5387" s="5" t="n">
        <v>6330</v>
      </c>
      <c r="H5387" s="5" t="n">
        <v>178</v>
      </c>
      <c r="I5387" s="5" t="n">
        <v>146</v>
      </c>
      <c r="J5387" s="5" t="n">
        <v>32</v>
      </c>
      <c r="K5387" s="10">
        <f>IF(F5387&gt;0,H5387/F5387,"")</f>
        <v/>
      </c>
      <c r="L5387" s="16">
        <f>IF(AND(G5387&gt;0,H5387&gt;0),G5387/H5387,"")</f>
        <v/>
      </c>
    </row>
    <row r="5388">
      <c r="A5388" s="4" t="inlineStr">
        <is>
          <t>212</t>
        </is>
      </c>
      <c r="B5388" s="4" t="n">
        <v>2</v>
      </c>
      <c r="C5388" s="4" t="inlineStr">
        <is>
          <t>mule deer</t>
        </is>
      </c>
      <c r="D5388" s="4" t="n">
        <v>2011</v>
      </c>
      <c r="E5388" s="13" t="inlineStr">
        <is>
          <t>General</t>
        </is>
      </c>
      <c r="F5388" s="5" t="n">
        <v>1023</v>
      </c>
      <c r="G5388" s="5" t="n">
        <v>6374</v>
      </c>
      <c r="H5388" s="5" t="n">
        <v>170</v>
      </c>
      <c r="I5388" s="5" t="n">
        <v>154</v>
      </c>
      <c r="J5388" s="5" t="n">
        <v>16</v>
      </c>
      <c r="K5388" s="10">
        <f>IF(F5388&gt;0,H5388/F5388,"")</f>
        <v/>
      </c>
      <c r="L5388" s="16">
        <f>IF(AND(G5388&gt;0,H5388&gt;0),G5388/H5388,"")</f>
        <v/>
      </c>
    </row>
    <row r="5389">
      <c r="A5389" s="4" t="inlineStr">
        <is>
          <t>212</t>
        </is>
      </c>
      <c r="B5389" s="4" t="n">
        <v>2</v>
      </c>
      <c r="C5389" s="4" t="inlineStr">
        <is>
          <t>mule deer</t>
        </is>
      </c>
      <c r="D5389" s="4" t="n">
        <v>2012</v>
      </c>
      <c r="E5389" s="13" t="inlineStr">
        <is>
          <t>General</t>
        </is>
      </c>
      <c r="F5389" s="5" t="n"/>
      <c r="G5389" s="5" t="n"/>
      <c r="H5389" s="5" t="n">
        <v>212</v>
      </c>
      <c r="I5389" s="5" t="n">
        <v>149</v>
      </c>
      <c r="J5389" s="5" t="n">
        <v>63</v>
      </c>
      <c r="K5389" s="10">
        <f>IF(F5389&gt;0,H5389/F5389,"")</f>
        <v/>
      </c>
      <c r="L5389" s="16">
        <f>IF(AND(G5389&gt;0,H5389&gt;0),G5389/H5389,"")</f>
        <v/>
      </c>
    </row>
    <row r="5390">
      <c r="A5390" s="4" t="inlineStr">
        <is>
          <t>212</t>
        </is>
      </c>
      <c r="B5390" s="4" t="n">
        <v>2</v>
      </c>
      <c r="C5390" s="4" t="inlineStr">
        <is>
          <t>mule deer</t>
        </is>
      </c>
      <c r="D5390" s="4" t="n">
        <v>2013</v>
      </c>
      <c r="E5390" s="13" t="inlineStr">
        <is>
          <t>General</t>
        </is>
      </c>
      <c r="F5390" s="5" t="n">
        <v>1257</v>
      </c>
      <c r="G5390" s="5" t="n">
        <v>8807</v>
      </c>
      <c r="H5390" s="5" t="n">
        <v>240</v>
      </c>
      <c r="I5390" s="5" t="n">
        <v>168</v>
      </c>
      <c r="J5390" s="5" t="n">
        <v>70</v>
      </c>
      <c r="K5390" s="10">
        <f>IF(F5390&gt;0,H5390/F5390,"")</f>
        <v/>
      </c>
      <c r="L5390" s="16">
        <f>IF(AND(G5390&gt;0,H5390&gt;0),G5390/H5390,"")</f>
        <v/>
      </c>
    </row>
    <row r="5391">
      <c r="A5391" s="4" t="inlineStr">
        <is>
          <t>212</t>
        </is>
      </c>
      <c r="B5391" s="4" t="n">
        <v>2</v>
      </c>
      <c r="C5391" s="4" t="inlineStr">
        <is>
          <t>mule deer</t>
        </is>
      </c>
      <c r="D5391" s="4" t="n">
        <v>2014</v>
      </c>
      <c r="E5391" s="13" t="inlineStr">
        <is>
          <t>General</t>
        </is>
      </c>
      <c r="F5391" s="5" t="n"/>
      <c r="G5391" s="5" t="n"/>
      <c r="H5391" s="5" t="n">
        <v>179</v>
      </c>
      <c r="I5391" s="5" t="n">
        <v>160</v>
      </c>
      <c r="J5391" s="5" t="n">
        <v>17</v>
      </c>
      <c r="K5391" s="10">
        <f>IF(F5391&gt;0,H5391/F5391,"")</f>
        <v/>
      </c>
      <c r="L5391" s="16">
        <f>IF(AND(G5391&gt;0,H5391&gt;0),G5391/H5391,"")</f>
        <v/>
      </c>
    </row>
    <row r="5392">
      <c r="A5392" s="4" t="inlineStr">
        <is>
          <t>212</t>
        </is>
      </c>
      <c r="B5392" s="4" t="n">
        <v>2</v>
      </c>
      <c r="C5392" s="4" t="inlineStr">
        <is>
          <t>mule deer</t>
        </is>
      </c>
      <c r="D5392" s="4" t="n">
        <v>2015</v>
      </c>
      <c r="E5392" s="13" t="inlineStr">
        <is>
          <t>General</t>
        </is>
      </c>
      <c r="F5392" s="5" t="n"/>
      <c r="G5392" s="5" t="n"/>
      <c r="H5392" s="5" t="n">
        <v>265</v>
      </c>
      <c r="I5392" s="5" t="n">
        <v>211</v>
      </c>
      <c r="J5392" s="5" t="n">
        <v>49</v>
      </c>
      <c r="K5392" s="10">
        <f>IF(F5392&gt;0,H5392/F5392,"")</f>
        <v/>
      </c>
      <c r="L5392" s="16">
        <f>IF(AND(G5392&gt;0,H5392&gt;0),G5392/H5392,"")</f>
        <v/>
      </c>
    </row>
    <row r="5393">
      <c r="A5393" s="4" t="inlineStr">
        <is>
          <t>212</t>
        </is>
      </c>
      <c r="B5393" s="4" t="n">
        <v>2</v>
      </c>
      <c r="C5393" s="4" t="inlineStr">
        <is>
          <t>mule deer</t>
        </is>
      </c>
      <c r="D5393" s="4" t="n">
        <v>2016</v>
      </c>
      <c r="E5393" s="13" t="inlineStr">
        <is>
          <t>General</t>
        </is>
      </c>
      <c r="F5393" s="5" t="n"/>
      <c r="G5393" s="5" t="n"/>
      <c r="H5393" s="5" t="n">
        <v>173</v>
      </c>
      <c r="I5393" s="5" t="n">
        <v>148</v>
      </c>
      <c r="J5393" s="5" t="n">
        <v>25</v>
      </c>
      <c r="K5393" s="10">
        <f>IF(F5393&gt;0,H5393/F5393,"")</f>
        <v/>
      </c>
      <c r="L5393" s="16">
        <f>IF(AND(G5393&gt;0,H5393&gt;0),G5393/H5393,"")</f>
        <v/>
      </c>
    </row>
    <row r="5394">
      <c r="A5394" s="4" t="inlineStr">
        <is>
          <t>212</t>
        </is>
      </c>
      <c r="B5394" s="4" t="n">
        <v>2</v>
      </c>
      <c r="C5394" s="4" t="inlineStr">
        <is>
          <t>mule deer</t>
        </is>
      </c>
      <c r="D5394" s="4" t="n">
        <v>2017</v>
      </c>
      <c r="E5394" s="13" t="inlineStr">
        <is>
          <t>General</t>
        </is>
      </c>
      <c r="F5394" s="5" t="n">
        <v>931</v>
      </c>
      <c r="G5394" s="5" t="n">
        <v>5741</v>
      </c>
      <c r="H5394" s="5" t="n">
        <v>148</v>
      </c>
      <c r="I5394" s="5" t="n">
        <v>125</v>
      </c>
      <c r="J5394" s="5" t="n">
        <v>24</v>
      </c>
      <c r="K5394" s="10">
        <f>IF(F5394&gt;0,H5394/F5394,"")</f>
        <v/>
      </c>
      <c r="L5394" s="16">
        <f>IF(AND(G5394&gt;0,H5394&gt;0),G5394/H5394,"")</f>
        <v/>
      </c>
    </row>
    <row r="5395">
      <c r="A5395" s="4" t="inlineStr">
        <is>
          <t>212</t>
        </is>
      </c>
      <c r="B5395" s="4" t="n">
        <v>2</v>
      </c>
      <c r="C5395" s="4" t="inlineStr">
        <is>
          <t>mule deer</t>
        </is>
      </c>
      <c r="D5395" s="4" t="n">
        <v>2018</v>
      </c>
      <c r="E5395" s="13" t="inlineStr">
        <is>
          <t>General</t>
        </is>
      </c>
      <c r="F5395" s="5" t="n"/>
      <c r="G5395" s="5" t="n"/>
      <c r="H5395" s="5" t="n">
        <v>88</v>
      </c>
      <c r="I5395" s="5" t="n">
        <v>69</v>
      </c>
      <c r="J5395" s="5" t="n">
        <v>20</v>
      </c>
      <c r="K5395" s="10">
        <f>IF(F5395&gt;0,H5395/F5395,"")</f>
        <v/>
      </c>
      <c r="L5395" s="16">
        <f>IF(AND(G5395&gt;0,H5395&gt;0),G5395/H5395,"")</f>
        <v/>
      </c>
    </row>
    <row r="5396">
      <c r="A5396" s="4" t="inlineStr">
        <is>
          <t>212</t>
        </is>
      </c>
      <c r="B5396" s="4" t="n">
        <v>2</v>
      </c>
      <c r="C5396" s="4" t="inlineStr">
        <is>
          <t>mule deer</t>
        </is>
      </c>
      <c r="D5396" s="4" t="n">
        <v>2019</v>
      </c>
      <c r="E5396" s="13" t="inlineStr">
        <is>
          <t>General</t>
        </is>
      </c>
      <c r="F5396" s="5" t="n">
        <v>898</v>
      </c>
      <c r="G5396" s="5" t="n">
        <v>6139</v>
      </c>
      <c r="H5396" s="5" t="n">
        <v>86</v>
      </c>
      <c r="I5396" s="5" t="n">
        <v>51</v>
      </c>
      <c r="J5396" s="5" t="n">
        <v>35</v>
      </c>
      <c r="K5396" s="10">
        <f>IF(F5396&gt;0,H5396/F5396,"")</f>
        <v/>
      </c>
      <c r="L5396" s="16">
        <f>IF(AND(G5396&gt;0,H5396&gt;0),G5396/H5396,"")</f>
        <v/>
      </c>
    </row>
    <row r="5397">
      <c r="A5397" s="4" t="inlineStr">
        <is>
          <t>212</t>
        </is>
      </c>
      <c r="B5397" s="4" t="n">
        <v>2</v>
      </c>
      <c r="C5397" s="4" t="inlineStr">
        <is>
          <t>mule deer</t>
        </is>
      </c>
      <c r="D5397" s="4" t="n">
        <v>2020</v>
      </c>
      <c r="E5397" s="13" t="inlineStr">
        <is>
          <t>General</t>
        </is>
      </c>
      <c r="F5397" s="5" t="n"/>
      <c r="G5397" s="5" t="n"/>
      <c r="H5397" s="5" t="n">
        <v>55</v>
      </c>
      <c r="I5397" s="5" t="n">
        <v>36</v>
      </c>
      <c r="J5397" s="5" t="n">
        <v>18</v>
      </c>
      <c r="K5397" s="10">
        <f>IF(F5397&gt;0,H5397/F5397,"")</f>
        <v/>
      </c>
      <c r="L5397" s="16">
        <f>IF(AND(G5397&gt;0,H5397&gt;0),G5397/H5397,"")</f>
        <v/>
      </c>
    </row>
    <row r="5398">
      <c r="A5398" s="4" t="inlineStr">
        <is>
          <t>212</t>
        </is>
      </c>
      <c r="B5398" s="4" t="n">
        <v>2</v>
      </c>
      <c r="C5398" s="4" t="inlineStr">
        <is>
          <t>mule deer</t>
        </is>
      </c>
      <c r="D5398" s="4" t="n">
        <v>2021</v>
      </c>
      <c r="E5398" s="13" t="inlineStr">
        <is>
          <t>General</t>
        </is>
      </c>
      <c r="F5398" s="5" t="n">
        <v>341</v>
      </c>
      <c r="G5398" s="5" t="n">
        <v>2413</v>
      </c>
      <c r="H5398" s="5" t="n">
        <v>38</v>
      </c>
      <c r="I5398" s="5" t="n">
        <v>30</v>
      </c>
      <c r="J5398" s="5" t="n">
        <v>8</v>
      </c>
      <c r="K5398" s="10">
        <f>IF(F5398&gt;0,H5398/F5398,"")</f>
        <v/>
      </c>
      <c r="L5398" s="16">
        <f>IF(AND(G5398&gt;0,H5398&gt;0),G5398/H5398,"")</f>
        <v/>
      </c>
    </row>
    <row r="5399">
      <c r="A5399" s="4" t="inlineStr">
        <is>
          <t>212</t>
        </is>
      </c>
      <c r="B5399" s="4" t="n">
        <v>2</v>
      </c>
      <c r="C5399" s="4" t="inlineStr">
        <is>
          <t>mule deer</t>
        </is>
      </c>
      <c r="D5399" s="4" t="n">
        <v>2022</v>
      </c>
      <c r="E5399" s="13" t="inlineStr">
        <is>
          <t>General</t>
        </is>
      </c>
      <c r="F5399" s="5" t="n"/>
      <c r="G5399" s="5" t="n"/>
      <c r="H5399" s="5" t="n">
        <v>49</v>
      </c>
      <c r="I5399" s="5" t="n">
        <v>39</v>
      </c>
      <c r="J5399" s="5" t="n">
        <v>10</v>
      </c>
      <c r="K5399" s="10">
        <f>IF(F5399&gt;0,H5399/F5399,"")</f>
        <v/>
      </c>
      <c r="L5399" s="16">
        <f>IF(AND(G5399&gt;0,H5399&gt;0),G5399/H5399,"")</f>
        <v/>
      </c>
    </row>
    <row r="5400">
      <c r="A5400" s="4" t="inlineStr">
        <is>
          <t>212</t>
        </is>
      </c>
      <c r="B5400" s="4" t="n">
        <v>2</v>
      </c>
      <c r="C5400" s="4" t="inlineStr">
        <is>
          <t>mule deer</t>
        </is>
      </c>
      <c r="D5400" s="4" t="n">
        <v>2023</v>
      </c>
      <c r="E5400" s="13" t="inlineStr">
        <is>
          <t>General</t>
        </is>
      </c>
      <c r="F5400" s="5" t="n">
        <v>311</v>
      </c>
      <c r="G5400" s="5" t="n">
        <v>1821</v>
      </c>
      <c r="H5400" s="5" t="n">
        <v>43</v>
      </c>
      <c r="I5400" s="5" t="n">
        <v>29</v>
      </c>
      <c r="J5400" s="5" t="n">
        <v>13</v>
      </c>
      <c r="K5400" s="10">
        <f>IF(F5400&gt;0,H5400/F5400,"")</f>
        <v/>
      </c>
      <c r="L5400" s="16">
        <f>IF(AND(G5400&gt;0,H5400&gt;0),G5400/H5400,"")</f>
        <v/>
      </c>
    </row>
    <row r="5401">
      <c r="A5401" s="4" t="inlineStr">
        <is>
          <t>212</t>
        </is>
      </c>
      <c r="B5401" s="4" t="n">
        <v>2</v>
      </c>
      <c r="C5401" s="4" t="inlineStr">
        <is>
          <t>mule deer</t>
        </is>
      </c>
      <c r="D5401" s="4" t="n">
        <v>2024</v>
      </c>
      <c r="E5401" s="13" t="inlineStr">
        <is>
          <t>General</t>
        </is>
      </c>
      <c r="F5401" s="5" t="n"/>
      <c r="G5401" s="5" t="n"/>
      <c r="H5401" s="5" t="n">
        <v>62</v>
      </c>
      <c r="I5401" s="5" t="n">
        <v>57</v>
      </c>
      <c r="J5401" s="5" t="n">
        <v>5</v>
      </c>
      <c r="K5401" s="10">
        <f>IF(F5401&gt;0,H5401/F5401,"")</f>
        <v/>
      </c>
      <c r="L5401" s="16">
        <f>IF(AND(G5401&gt;0,H5401&gt;0),G5401/H5401,"")</f>
        <v/>
      </c>
    </row>
    <row r="5402">
      <c r="A5402" s="4" t="inlineStr">
        <is>
          <t>212</t>
        </is>
      </c>
      <c r="B5402" s="4" t="n">
        <v>2</v>
      </c>
      <c r="C5402" s="4" t="inlineStr">
        <is>
          <t>mule deer</t>
        </is>
      </c>
      <c r="D5402" s="4" t="n">
        <v>2025</v>
      </c>
      <c r="E5402" s="13" t="inlineStr">
        <is>
          <t>General</t>
        </is>
      </c>
      <c r="F5402" s="5" t="n">
        <v>481</v>
      </c>
      <c r="G5402" s="5" t="n">
        <v>3559</v>
      </c>
      <c r="H5402" s="5" t="n">
        <v>79</v>
      </c>
      <c r="I5402" s="5" t="n">
        <v>71</v>
      </c>
      <c r="J5402" s="5" t="n">
        <v>8</v>
      </c>
      <c r="K5402" s="10">
        <f>IF(F5402&gt;0,H5402/F5402,"")</f>
        <v/>
      </c>
      <c r="L5402" s="16">
        <f>IF(AND(G5402&gt;0,H5402&gt;0),G5402/H5402,"")</f>
        <v/>
      </c>
    </row>
    <row r="5403">
      <c r="A5403" s="4" t="inlineStr">
        <is>
          <t>213</t>
        </is>
      </c>
      <c r="B5403" s="4" t="n">
        <v>2</v>
      </c>
      <c r="C5403" s="4" t="inlineStr">
        <is>
          <t>mule deer</t>
        </is>
      </c>
      <c r="D5403" s="4" t="n">
        <v>2004</v>
      </c>
      <c r="E5403" s="13" t="inlineStr">
        <is>
          <t>General</t>
        </is>
      </c>
      <c r="F5403" s="5" t="n">
        <v>414</v>
      </c>
      <c r="G5403" s="5" t="n">
        <v>2725</v>
      </c>
      <c r="H5403" s="5" t="n">
        <v>51</v>
      </c>
      <c r="I5403" s="5" t="n">
        <v>51</v>
      </c>
      <c r="J5403" s="5" t="n">
        <v>0</v>
      </c>
      <c r="K5403" s="10">
        <f>IF(F5403&gt;0,H5403/F5403,"")</f>
        <v/>
      </c>
      <c r="L5403" s="16">
        <f>IF(AND(G5403&gt;0,H5403&gt;0),G5403/H5403,"")</f>
        <v/>
      </c>
    </row>
    <row r="5404">
      <c r="A5404" s="4" t="inlineStr">
        <is>
          <t>213</t>
        </is>
      </c>
      <c r="B5404" s="4" t="n">
        <v>2</v>
      </c>
      <c r="C5404" s="4" t="inlineStr">
        <is>
          <t>mule deer</t>
        </is>
      </c>
      <c r="D5404" s="4" t="n">
        <v>2005</v>
      </c>
      <c r="E5404" s="13" t="inlineStr">
        <is>
          <t>General</t>
        </is>
      </c>
      <c r="F5404" s="5" t="n">
        <v>347</v>
      </c>
      <c r="G5404" s="5" t="n">
        <v>2693</v>
      </c>
      <c r="H5404" s="5" t="n">
        <v>95</v>
      </c>
      <c r="I5404" s="5" t="n">
        <v>92</v>
      </c>
      <c r="J5404" s="5" t="n">
        <v>4</v>
      </c>
      <c r="K5404" s="10">
        <f>IF(F5404&gt;0,H5404/F5404,"")</f>
        <v/>
      </c>
      <c r="L5404" s="16">
        <f>IF(AND(G5404&gt;0,H5404&gt;0),G5404/H5404,"")</f>
        <v/>
      </c>
    </row>
    <row r="5405">
      <c r="A5405" s="4" t="inlineStr">
        <is>
          <t>213</t>
        </is>
      </c>
      <c r="B5405" s="4" t="n">
        <v>2</v>
      </c>
      <c r="C5405" s="4" t="inlineStr">
        <is>
          <t>mule deer</t>
        </is>
      </c>
      <c r="D5405" s="4" t="n">
        <v>2006</v>
      </c>
      <c r="E5405" s="13" t="inlineStr">
        <is>
          <t>General</t>
        </is>
      </c>
      <c r="F5405" s="5" t="n">
        <v>500</v>
      </c>
      <c r="G5405" s="5" t="n">
        <v>3420</v>
      </c>
      <c r="H5405" s="5" t="n">
        <v>98</v>
      </c>
      <c r="I5405" s="5" t="n">
        <v>88</v>
      </c>
      <c r="J5405" s="5" t="n">
        <v>10</v>
      </c>
      <c r="K5405" s="10">
        <f>IF(F5405&gt;0,H5405/F5405,"")</f>
        <v/>
      </c>
      <c r="L5405" s="16">
        <f>IF(AND(G5405&gt;0,H5405&gt;0),G5405/H5405,"")</f>
        <v/>
      </c>
    </row>
    <row r="5406">
      <c r="A5406" s="4" t="inlineStr">
        <is>
          <t>213</t>
        </is>
      </c>
      <c r="B5406" s="4" t="n">
        <v>2</v>
      </c>
      <c r="C5406" s="4" t="inlineStr">
        <is>
          <t>mule deer</t>
        </is>
      </c>
      <c r="D5406" s="4" t="n">
        <v>2007</v>
      </c>
      <c r="E5406" s="13" t="inlineStr">
        <is>
          <t>General</t>
        </is>
      </c>
      <c r="F5406" s="5" t="n">
        <v>416</v>
      </c>
      <c r="G5406" s="5" t="n">
        <v>3126</v>
      </c>
      <c r="H5406" s="5" t="n">
        <v>56</v>
      </c>
      <c r="I5406" s="5" t="n">
        <v>52</v>
      </c>
      <c r="J5406" s="5" t="n">
        <v>3</v>
      </c>
      <c r="K5406" s="10">
        <f>IF(F5406&gt;0,H5406/F5406,"")</f>
        <v/>
      </c>
      <c r="L5406" s="16">
        <f>IF(AND(G5406&gt;0,H5406&gt;0),G5406/H5406,"")</f>
        <v/>
      </c>
    </row>
    <row r="5407">
      <c r="A5407" s="4" t="inlineStr">
        <is>
          <t>213</t>
        </is>
      </c>
      <c r="B5407" s="4" t="n">
        <v>2</v>
      </c>
      <c r="C5407" s="4" t="inlineStr">
        <is>
          <t>mule deer</t>
        </is>
      </c>
      <c r="D5407" s="4" t="n">
        <v>2008</v>
      </c>
      <c r="E5407" s="13" t="inlineStr">
        <is>
          <t>General</t>
        </is>
      </c>
      <c r="F5407" s="5" t="n">
        <v>406</v>
      </c>
      <c r="G5407" s="5" t="n">
        <v>3096</v>
      </c>
      <c r="H5407" s="5" t="n">
        <v>51</v>
      </c>
      <c r="I5407" s="5" t="n">
        <v>36</v>
      </c>
      <c r="J5407" s="5" t="n">
        <v>15</v>
      </c>
      <c r="K5407" s="10">
        <f>IF(F5407&gt;0,H5407/F5407,"")</f>
        <v/>
      </c>
      <c r="L5407" s="16">
        <f>IF(AND(G5407&gt;0,H5407&gt;0),G5407/H5407,"")</f>
        <v/>
      </c>
    </row>
    <row r="5408">
      <c r="A5408" s="4" t="inlineStr">
        <is>
          <t>213</t>
        </is>
      </c>
      <c r="B5408" s="4" t="n">
        <v>2</v>
      </c>
      <c r="C5408" s="4" t="inlineStr">
        <is>
          <t>mule deer</t>
        </is>
      </c>
      <c r="D5408" s="4" t="n">
        <v>2009</v>
      </c>
      <c r="E5408" s="13" t="inlineStr">
        <is>
          <t>General</t>
        </is>
      </c>
      <c r="F5408" s="5" t="n">
        <v>273</v>
      </c>
      <c r="G5408" s="5" t="n">
        <v>1874</v>
      </c>
      <c r="H5408" s="5" t="n">
        <v>45</v>
      </c>
      <c r="I5408" s="5" t="n">
        <v>35</v>
      </c>
      <c r="J5408" s="5" t="n">
        <v>10</v>
      </c>
      <c r="K5408" s="10">
        <f>IF(F5408&gt;0,H5408/F5408,"")</f>
        <v/>
      </c>
      <c r="L5408" s="16">
        <f>IF(AND(G5408&gt;0,H5408&gt;0),G5408/H5408,"")</f>
        <v/>
      </c>
    </row>
    <row r="5409">
      <c r="A5409" s="4" t="inlineStr">
        <is>
          <t>213</t>
        </is>
      </c>
      <c r="B5409" s="4" t="n">
        <v>2</v>
      </c>
      <c r="C5409" s="4" t="inlineStr">
        <is>
          <t>mule deer</t>
        </is>
      </c>
      <c r="D5409" s="4" t="n">
        <v>2010</v>
      </c>
      <c r="E5409" s="13" t="inlineStr">
        <is>
          <t>General</t>
        </is>
      </c>
      <c r="F5409" s="5" t="n">
        <v>283</v>
      </c>
      <c r="G5409" s="5" t="n">
        <v>2737</v>
      </c>
      <c r="H5409" s="5" t="n">
        <v>67</v>
      </c>
      <c r="I5409" s="5" t="n">
        <v>65</v>
      </c>
      <c r="J5409" s="5" t="n">
        <v>3</v>
      </c>
      <c r="K5409" s="10">
        <f>IF(F5409&gt;0,H5409/F5409,"")</f>
        <v/>
      </c>
      <c r="L5409" s="16">
        <f>IF(AND(G5409&gt;0,H5409&gt;0),G5409/H5409,"")</f>
        <v/>
      </c>
    </row>
    <row r="5410">
      <c r="A5410" s="4" t="inlineStr">
        <is>
          <t>213</t>
        </is>
      </c>
      <c r="B5410" s="4" t="n">
        <v>2</v>
      </c>
      <c r="C5410" s="4" t="inlineStr">
        <is>
          <t>mule deer</t>
        </is>
      </c>
      <c r="D5410" s="4" t="n">
        <v>2011</v>
      </c>
      <c r="E5410" s="13" t="inlineStr">
        <is>
          <t>General</t>
        </is>
      </c>
      <c r="F5410" s="5" t="n">
        <v>344</v>
      </c>
      <c r="G5410" s="5" t="n">
        <v>2374</v>
      </c>
      <c r="H5410" s="5" t="n">
        <v>65</v>
      </c>
      <c r="I5410" s="5" t="n">
        <v>60</v>
      </c>
      <c r="J5410" s="5" t="n">
        <v>6</v>
      </c>
      <c r="K5410" s="10">
        <f>IF(F5410&gt;0,H5410/F5410,"")</f>
        <v/>
      </c>
      <c r="L5410" s="16">
        <f>IF(AND(G5410&gt;0,H5410&gt;0),G5410/H5410,"")</f>
        <v/>
      </c>
    </row>
    <row r="5411">
      <c r="A5411" s="4" t="inlineStr">
        <is>
          <t>213</t>
        </is>
      </c>
      <c r="B5411" s="4" t="n">
        <v>2</v>
      </c>
      <c r="C5411" s="4" t="inlineStr">
        <is>
          <t>mule deer</t>
        </is>
      </c>
      <c r="D5411" s="4" t="n">
        <v>2012</v>
      </c>
      <c r="E5411" s="13" t="inlineStr">
        <is>
          <t>General</t>
        </is>
      </c>
      <c r="F5411" s="5" t="n"/>
      <c r="G5411" s="5" t="n"/>
      <c r="H5411" s="5" t="n">
        <v>117</v>
      </c>
      <c r="I5411" s="5" t="n">
        <v>76</v>
      </c>
      <c r="J5411" s="5" t="n">
        <v>41</v>
      </c>
      <c r="K5411" s="10">
        <f>IF(F5411&gt;0,H5411/F5411,"")</f>
        <v/>
      </c>
      <c r="L5411" s="16">
        <f>IF(AND(G5411&gt;0,H5411&gt;0),G5411/H5411,"")</f>
        <v/>
      </c>
    </row>
    <row r="5412">
      <c r="A5412" s="4" t="inlineStr">
        <is>
          <t>213</t>
        </is>
      </c>
      <c r="B5412" s="4" t="n">
        <v>2</v>
      </c>
      <c r="C5412" s="4" t="inlineStr">
        <is>
          <t>mule deer</t>
        </is>
      </c>
      <c r="D5412" s="4" t="n">
        <v>2013</v>
      </c>
      <c r="E5412" s="13" t="inlineStr">
        <is>
          <t>General</t>
        </is>
      </c>
      <c r="F5412" s="5" t="n">
        <v>400</v>
      </c>
      <c r="G5412" s="5" t="n">
        <v>3350</v>
      </c>
      <c r="H5412" s="5" t="n">
        <v>124</v>
      </c>
      <c r="I5412" s="5" t="n">
        <v>74</v>
      </c>
      <c r="J5412" s="5" t="n">
        <v>50</v>
      </c>
      <c r="K5412" s="10">
        <f>IF(F5412&gt;0,H5412/F5412,"")</f>
        <v/>
      </c>
      <c r="L5412" s="16">
        <f>IF(AND(G5412&gt;0,H5412&gt;0),G5412/H5412,"")</f>
        <v/>
      </c>
    </row>
    <row r="5413">
      <c r="A5413" s="4" t="inlineStr">
        <is>
          <t>213</t>
        </is>
      </c>
      <c r="B5413" s="4" t="n">
        <v>2</v>
      </c>
      <c r="C5413" s="4" t="inlineStr">
        <is>
          <t>mule deer</t>
        </is>
      </c>
      <c r="D5413" s="4" t="n">
        <v>2014</v>
      </c>
      <c r="E5413" s="13" t="inlineStr">
        <is>
          <t>General</t>
        </is>
      </c>
      <c r="F5413" s="5" t="n"/>
      <c r="G5413" s="5" t="n"/>
      <c r="H5413" s="5" t="n">
        <v>80</v>
      </c>
      <c r="I5413" s="5" t="n">
        <v>57</v>
      </c>
      <c r="J5413" s="5" t="n">
        <v>22</v>
      </c>
      <c r="K5413" s="10">
        <f>IF(F5413&gt;0,H5413/F5413,"")</f>
        <v/>
      </c>
      <c r="L5413" s="16">
        <f>IF(AND(G5413&gt;0,H5413&gt;0),G5413/H5413,"")</f>
        <v/>
      </c>
    </row>
    <row r="5414">
      <c r="A5414" s="4" t="inlineStr">
        <is>
          <t>213</t>
        </is>
      </c>
      <c r="B5414" s="4" t="n">
        <v>2</v>
      </c>
      <c r="C5414" s="4" t="inlineStr">
        <is>
          <t>mule deer</t>
        </is>
      </c>
      <c r="D5414" s="4" t="n">
        <v>2015</v>
      </c>
      <c r="E5414" s="13" t="inlineStr">
        <is>
          <t>General</t>
        </is>
      </c>
      <c r="F5414" s="5" t="n"/>
      <c r="G5414" s="5" t="n"/>
      <c r="H5414" s="5" t="n">
        <v>121</v>
      </c>
      <c r="I5414" s="5" t="n">
        <v>98</v>
      </c>
      <c r="J5414" s="5" t="n">
        <v>22</v>
      </c>
      <c r="K5414" s="10">
        <f>IF(F5414&gt;0,H5414/F5414,"")</f>
        <v/>
      </c>
      <c r="L5414" s="16">
        <f>IF(AND(G5414&gt;0,H5414&gt;0),G5414/H5414,"")</f>
        <v/>
      </c>
    </row>
    <row r="5415">
      <c r="A5415" s="4" t="inlineStr">
        <is>
          <t>213</t>
        </is>
      </c>
      <c r="B5415" s="4" t="n">
        <v>2</v>
      </c>
      <c r="C5415" s="4" t="inlineStr">
        <is>
          <t>mule deer</t>
        </is>
      </c>
      <c r="D5415" s="4" t="n">
        <v>2016</v>
      </c>
      <c r="E5415" s="13" t="inlineStr">
        <is>
          <t>General</t>
        </is>
      </c>
      <c r="F5415" s="5" t="n"/>
      <c r="G5415" s="5" t="n"/>
      <c r="H5415" s="5" t="n">
        <v>102</v>
      </c>
      <c r="I5415" s="5" t="n">
        <v>87</v>
      </c>
      <c r="J5415" s="5" t="n">
        <v>15</v>
      </c>
      <c r="K5415" s="10">
        <f>IF(F5415&gt;0,H5415/F5415,"")</f>
        <v/>
      </c>
      <c r="L5415" s="16">
        <f>IF(AND(G5415&gt;0,H5415&gt;0),G5415/H5415,"")</f>
        <v/>
      </c>
    </row>
    <row r="5416">
      <c r="A5416" s="4" t="inlineStr">
        <is>
          <t>213</t>
        </is>
      </c>
      <c r="B5416" s="4" t="n">
        <v>2</v>
      </c>
      <c r="C5416" s="4" t="inlineStr">
        <is>
          <t>mule deer</t>
        </is>
      </c>
      <c r="D5416" s="4" t="n">
        <v>2017</v>
      </c>
      <c r="E5416" s="13" t="inlineStr">
        <is>
          <t>General</t>
        </is>
      </c>
      <c r="F5416" s="5" t="n">
        <v>462</v>
      </c>
      <c r="G5416" s="5" t="n">
        <v>3149</v>
      </c>
      <c r="H5416" s="5" t="n">
        <v>81</v>
      </c>
      <c r="I5416" s="5" t="n">
        <v>57</v>
      </c>
      <c r="J5416" s="5" t="n">
        <v>24</v>
      </c>
      <c r="K5416" s="10">
        <f>IF(F5416&gt;0,H5416/F5416,"")</f>
        <v/>
      </c>
      <c r="L5416" s="16">
        <f>IF(AND(G5416&gt;0,H5416&gt;0),G5416/H5416,"")</f>
        <v/>
      </c>
    </row>
    <row r="5417">
      <c r="A5417" s="4" t="inlineStr">
        <is>
          <t>213</t>
        </is>
      </c>
      <c r="B5417" s="4" t="n">
        <v>2</v>
      </c>
      <c r="C5417" s="4" t="inlineStr">
        <is>
          <t>mule deer</t>
        </is>
      </c>
      <c r="D5417" s="4" t="n">
        <v>2018</v>
      </c>
      <c r="E5417" s="13" t="inlineStr">
        <is>
          <t>General</t>
        </is>
      </c>
      <c r="F5417" s="5" t="n"/>
      <c r="G5417" s="5" t="n"/>
      <c r="H5417" s="5" t="n">
        <v>99</v>
      </c>
      <c r="I5417" s="5" t="n">
        <v>69</v>
      </c>
      <c r="J5417" s="5" t="n">
        <v>30</v>
      </c>
      <c r="K5417" s="10">
        <f>IF(F5417&gt;0,H5417/F5417,"")</f>
        <v/>
      </c>
      <c r="L5417" s="16">
        <f>IF(AND(G5417&gt;0,H5417&gt;0),G5417/H5417,"")</f>
        <v/>
      </c>
    </row>
    <row r="5418">
      <c r="A5418" s="4" t="inlineStr">
        <is>
          <t>213</t>
        </is>
      </c>
      <c r="B5418" s="4" t="n">
        <v>2</v>
      </c>
      <c r="C5418" s="4" t="inlineStr">
        <is>
          <t>mule deer</t>
        </is>
      </c>
      <c r="D5418" s="4" t="n">
        <v>2019</v>
      </c>
      <c r="E5418" s="13" t="inlineStr">
        <is>
          <t>General</t>
        </is>
      </c>
      <c r="F5418" s="5" t="n">
        <v>476</v>
      </c>
      <c r="G5418" s="5" t="n">
        <v>3093</v>
      </c>
      <c r="H5418" s="5" t="n">
        <v>63</v>
      </c>
      <c r="I5418" s="5" t="n">
        <v>48</v>
      </c>
      <c r="J5418" s="5" t="n">
        <v>15</v>
      </c>
      <c r="K5418" s="10">
        <f>IF(F5418&gt;0,H5418/F5418,"")</f>
        <v/>
      </c>
      <c r="L5418" s="16">
        <f>IF(AND(G5418&gt;0,H5418&gt;0),G5418/H5418,"")</f>
        <v/>
      </c>
    </row>
    <row r="5419">
      <c r="A5419" s="4" t="inlineStr">
        <is>
          <t>213</t>
        </is>
      </c>
      <c r="B5419" s="4" t="n">
        <v>2</v>
      </c>
      <c r="C5419" s="4" t="inlineStr">
        <is>
          <t>mule deer</t>
        </is>
      </c>
      <c r="D5419" s="4" t="n">
        <v>2020</v>
      </c>
      <c r="E5419" s="13" t="inlineStr">
        <is>
          <t>General</t>
        </is>
      </c>
      <c r="F5419" s="5" t="n"/>
      <c r="G5419" s="5" t="n"/>
      <c r="H5419" s="5" t="n">
        <v>141</v>
      </c>
      <c r="I5419" s="5" t="n">
        <v>91</v>
      </c>
      <c r="J5419" s="5" t="n">
        <v>50</v>
      </c>
      <c r="K5419" s="10">
        <f>IF(F5419&gt;0,H5419/F5419,"")</f>
        <v/>
      </c>
      <c r="L5419" s="16">
        <f>IF(AND(G5419&gt;0,H5419&gt;0),G5419/H5419,"")</f>
        <v/>
      </c>
    </row>
    <row r="5420">
      <c r="A5420" s="4" t="inlineStr">
        <is>
          <t>213</t>
        </is>
      </c>
      <c r="B5420" s="4" t="n">
        <v>2</v>
      </c>
      <c r="C5420" s="4" t="inlineStr">
        <is>
          <t>mule deer</t>
        </is>
      </c>
      <c r="D5420" s="4" t="n">
        <v>2021</v>
      </c>
      <c r="E5420" s="13" t="inlineStr">
        <is>
          <t>General</t>
        </is>
      </c>
      <c r="F5420" s="5" t="n">
        <v>872</v>
      </c>
      <c r="G5420" s="5" t="n">
        <v>7684</v>
      </c>
      <c r="H5420" s="5" t="n">
        <v>104</v>
      </c>
      <c r="I5420" s="5" t="n">
        <v>58</v>
      </c>
      <c r="J5420" s="5" t="n">
        <v>46</v>
      </c>
      <c r="K5420" s="10">
        <f>IF(F5420&gt;0,H5420/F5420,"")</f>
        <v/>
      </c>
      <c r="L5420" s="16">
        <f>IF(AND(G5420&gt;0,H5420&gt;0),G5420/H5420,"")</f>
        <v/>
      </c>
    </row>
    <row r="5421">
      <c r="A5421" s="4" t="inlineStr">
        <is>
          <t>213</t>
        </is>
      </c>
      <c r="B5421" s="4" t="n">
        <v>2</v>
      </c>
      <c r="C5421" s="4" t="inlineStr">
        <is>
          <t>mule deer</t>
        </is>
      </c>
      <c r="D5421" s="4" t="n">
        <v>2022</v>
      </c>
      <c r="E5421" s="13" t="inlineStr">
        <is>
          <t>General</t>
        </is>
      </c>
      <c r="F5421" s="5" t="n"/>
      <c r="G5421" s="5" t="n"/>
      <c r="H5421" s="5" t="n">
        <v>129</v>
      </c>
      <c r="I5421" s="5" t="n">
        <v>108</v>
      </c>
      <c r="J5421" s="5" t="n">
        <v>22</v>
      </c>
      <c r="K5421" s="10">
        <f>IF(F5421&gt;0,H5421/F5421,"")</f>
        <v/>
      </c>
      <c r="L5421" s="16">
        <f>IF(AND(G5421&gt;0,H5421&gt;0),G5421/H5421,"")</f>
        <v/>
      </c>
    </row>
    <row r="5422">
      <c r="A5422" s="4" t="inlineStr">
        <is>
          <t>213</t>
        </is>
      </c>
      <c r="B5422" s="4" t="n">
        <v>2</v>
      </c>
      <c r="C5422" s="4" t="inlineStr">
        <is>
          <t>mule deer</t>
        </is>
      </c>
      <c r="D5422" s="4" t="n">
        <v>2023</v>
      </c>
      <c r="E5422" s="13" t="inlineStr">
        <is>
          <t>General</t>
        </is>
      </c>
      <c r="F5422" s="5" t="n">
        <v>1105</v>
      </c>
      <c r="G5422" s="5" t="n">
        <v>9534</v>
      </c>
      <c r="H5422" s="5" t="n">
        <v>145</v>
      </c>
      <c r="I5422" s="5" t="n">
        <v>120</v>
      </c>
      <c r="J5422" s="5" t="n">
        <v>24</v>
      </c>
      <c r="K5422" s="10">
        <f>IF(F5422&gt;0,H5422/F5422,"")</f>
        <v/>
      </c>
      <c r="L5422" s="16">
        <f>IF(AND(G5422&gt;0,H5422&gt;0),G5422/H5422,"")</f>
        <v/>
      </c>
    </row>
    <row r="5423">
      <c r="A5423" s="4" t="inlineStr">
        <is>
          <t>213</t>
        </is>
      </c>
      <c r="B5423" s="4" t="n">
        <v>2</v>
      </c>
      <c r="C5423" s="4" t="inlineStr">
        <is>
          <t>mule deer</t>
        </is>
      </c>
      <c r="D5423" s="4" t="n">
        <v>2024</v>
      </c>
      <c r="E5423" s="13" t="inlineStr">
        <is>
          <t>General</t>
        </is>
      </c>
      <c r="F5423" s="5" t="n"/>
      <c r="G5423" s="5" t="n"/>
      <c r="H5423" s="5" t="n">
        <v>180</v>
      </c>
      <c r="I5423" s="5" t="n">
        <v>156</v>
      </c>
      <c r="J5423" s="5" t="n">
        <v>24</v>
      </c>
      <c r="K5423" s="10">
        <f>IF(F5423&gt;0,H5423/F5423,"")</f>
        <v/>
      </c>
      <c r="L5423" s="16">
        <f>IF(AND(G5423&gt;0,H5423&gt;0),G5423/H5423,"")</f>
        <v/>
      </c>
    </row>
    <row r="5424">
      <c r="A5424" s="4" t="inlineStr">
        <is>
          <t>213</t>
        </is>
      </c>
      <c r="B5424" s="4" t="n">
        <v>2</v>
      </c>
      <c r="C5424" s="4" t="inlineStr">
        <is>
          <t>mule deer</t>
        </is>
      </c>
      <c r="D5424" s="4" t="n">
        <v>2025</v>
      </c>
      <c r="E5424" s="13" t="inlineStr">
        <is>
          <t>General</t>
        </is>
      </c>
      <c r="F5424" s="5" t="n">
        <v>1178</v>
      </c>
      <c r="G5424" s="5" t="n">
        <v>9366</v>
      </c>
      <c r="H5424" s="5" t="n">
        <v>199</v>
      </c>
      <c r="I5424" s="5" t="n">
        <v>161</v>
      </c>
      <c r="J5424" s="5" t="n">
        <v>38</v>
      </c>
      <c r="K5424" s="10">
        <f>IF(F5424&gt;0,H5424/F5424,"")</f>
        <v/>
      </c>
      <c r="L5424" s="16">
        <f>IF(AND(G5424&gt;0,H5424&gt;0),G5424/H5424,"")</f>
        <v/>
      </c>
    </row>
    <row r="5425">
      <c r="A5425" s="4" t="inlineStr">
        <is>
          <t>214</t>
        </is>
      </c>
      <c r="B5425" s="4" t="n">
        <v>2</v>
      </c>
      <c r="C5425" s="4" t="inlineStr">
        <is>
          <t>mule deer</t>
        </is>
      </c>
      <c r="D5425" s="4" t="n">
        <v>2004</v>
      </c>
      <c r="E5425" s="13" t="inlineStr">
        <is>
          <t>General</t>
        </is>
      </c>
      <c r="F5425" s="5" t="n">
        <v>420</v>
      </c>
      <c r="G5425" s="5" t="n">
        <v>2530</v>
      </c>
      <c r="H5425" s="5" t="n">
        <v>62</v>
      </c>
      <c r="I5425" s="5" t="n">
        <v>62</v>
      </c>
      <c r="J5425" s="5" t="n">
        <v>0</v>
      </c>
      <c r="K5425" s="10">
        <f>IF(F5425&gt;0,H5425/F5425,"")</f>
        <v/>
      </c>
      <c r="L5425" s="16">
        <f>IF(AND(G5425&gt;0,H5425&gt;0),G5425/H5425,"")</f>
        <v/>
      </c>
    </row>
    <row r="5426">
      <c r="A5426" s="4" t="inlineStr">
        <is>
          <t>214</t>
        </is>
      </c>
      <c r="B5426" s="4" t="n">
        <v>2</v>
      </c>
      <c r="C5426" s="4" t="inlineStr">
        <is>
          <t>mule deer</t>
        </is>
      </c>
      <c r="D5426" s="4" t="n">
        <v>2005</v>
      </c>
      <c r="E5426" s="13" t="inlineStr">
        <is>
          <t>General</t>
        </is>
      </c>
      <c r="F5426" s="5" t="n">
        <v>417</v>
      </c>
      <c r="G5426" s="5" t="n">
        <v>3097</v>
      </c>
      <c r="H5426" s="5" t="n">
        <v>107</v>
      </c>
      <c r="I5426" s="5" t="n">
        <v>103</v>
      </c>
      <c r="J5426" s="5" t="n">
        <v>4</v>
      </c>
      <c r="K5426" s="10">
        <f>IF(F5426&gt;0,H5426/F5426,"")</f>
        <v/>
      </c>
      <c r="L5426" s="16">
        <f>IF(AND(G5426&gt;0,H5426&gt;0),G5426/H5426,"")</f>
        <v/>
      </c>
    </row>
    <row r="5427">
      <c r="A5427" s="4" t="inlineStr">
        <is>
          <t>214</t>
        </is>
      </c>
      <c r="B5427" s="4" t="n">
        <v>2</v>
      </c>
      <c r="C5427" s="4" t="inlineStr">
        <is>
          <t>mule deer</t>
        </is>
      </c>
      <c r="D5427" s="4" t="n">
        <v>2006</v>
      </c>
      <c r="E5427" s="13" t="inlineStr">
        <is>
          <t>General</t>
        </is>
      </c>
      <c r="F5427" s="5" t="n">
        <v>466</v>
      </c>
      <c r="G5427" s="5" t="n">
        <v>2833</v>
      </c>
      <c r="H5427" s="5" t="n">
        <v>93</v>
      </c>
      <c r="I5427" s="5" t="n">
        <v>93</v>
      </c>
      <c r="J5427" s="5" t="n">
        <v>0</v>
      </c>
      <c r="K5427" s="10">
        <f>IF(F5427&gt;0,H5427/F5427,"")</f>
        <v/>
      </c>
      <c r="L5427" s="16">
        <f>IF(AND(G5427&gt;0,H5427&gt;0),G5427/H5427,"")</f>
        <v/>
      </c>
    </row>
    <row r="5428">
      <c r="A5428" s="4" t="inlineStr">
        <is>
          <t>214</t>
        </is>
      </c>
      <c r="B5428" s="4" t="n">
        <v>2</v>
      </c>
      <c r="C5428" s="4" t="inlineStr">
        <is>
          <t>mule deer</t>
        </is>
      </c>
      <c r="D5428" s="4" t="n">
        <v>2007</v>
      </c>
      <c r="E5428" s="13" t="inlineStr">
        <is>
          <t>General</t>
        </is>
      </c>
      <c r="F5428" s="5" t="n">
        <v>419</v>
      </c>
      <c r="G5428" s="5" t="n">
        <v>2503</v>
      </c>
      <c r="H5428" s="5" t="n">
        <v>35</v>
      </c>
      <c r="I5428" s="5" t="n">
        <v>32</v>
      </c>
      <c r="J5428" s="5" t="n">
        <v>3</v>
      </c>
      <c r="K5428" s="10">
        <f>IF(F5428&gt;0,H5428/F5428,"")</f>
        <v/>
      </c>
      <c r="L5428" s="16">
        <f>IF(AND(G5428&gt;0,H5428&gt;0),G5428/H5428,"")</f>
        <v/>
      </c>
    </row>
    <row r="5429">
      <c r="A5429" s="4" t="inlineStr">
        <is>
          <t>214</t>
        </is>
      </c>
      <c r="B5429" s="4" t="n">
        <v>2</v>
      </c>
      <c r="C5429" s="4" t="inlineStr">
        <is>
          <t>mule deer</t>
        </is>
      </c>
      <c r="D5429" s="4" t="n">
        <v>2008</v>
      </c>
      <c r="E5429" s="13" t="inlineStr">
        <is>
          <t>General</t>
        </is>
      </c>
      <c r="F5429" s="5" t="n">
        <v>312</v>
      </c>
      <c r="G5429" s="5" t="n">
        <v>2272</v>
      </c>
      <c r="H5429" s="5" t="n">
        <v>29</v>
      </c>
      <c r="I5429" s="5" t="n">
        <v>20</v>
      </c>
      <c r="J5429" s="5" t="n">
        <v>9</v>
      </c>
      <c r="K5429" s="10">
        <f>IF(F5429&gt;0,H5429/F5429,"")</f>
        <v/>
      </c>
      <c r="L5429" s="16">
        <f>IF(AND(G5429&gt;0,H5429&gt;0),G5429/H5429,"")</f>
        <v/>
      </c>
    </row>
    <row r="5430">
      <c r="A5430" s="4" t="inlineStr">
        <is>
          <t>214</t>
        </is>
      </c>
      <c r="B5430" s="4" t="n">
        <v>2</v>
      </c>
      <c r="C5430" s="4" t="inlineStr">
        <is>
          <t>mule deer</t>
        </is>
      </c>
      <c r="D5430" s="4" t="n">
        <v>2009</v>
      </c>
      <c r="E5430" s="13" t="inlineStr">
        <is>
          <t>General</t>
        </is>
      </c>
      <c r="F5430" s="5" t="n">
        <v>268</v>
      </c>
      <c r="G5430" s="5" t="n">
        <v>1652</v>
      </c>
      <c r="H5430" s="5" t="n">
        <v>36</v>
      </c>
      <c r="I5430" s="5" t="n">
        <v>31</v>
      </c>
      <c r="J5430" s="5" t="n">
        <v>5</v>
      </c>
      <c r="K5430" s="10">
        <f>IF(F5430&gt;0,H5430/F5430,"")</f>
        <v/>
      </c>
      <c r="L5430" s="16">
        <f>IF(AND(G5430&gt;0,H5430&gt;0),G5430/H5430,"")</f>
        <v/>
      </c>
    </row>
    <row r="5431">
      <c r="A5431" s="4" t="inlineStr">
        <is>
          <t>214</t>
        </is>
      </c>
      <c r="B5431" s="4" t="n">
        <v>2</v>
      </c>
      <c r="C5431" s="4" t="inlineStr">
        <is>
          <t>mule deer</t>
        </is>
      </c>
      <c r="D5431" s="4" t="n">
        <v>2010</v>
      </c>
      <c r="E5431" s="13" t="inlineStr">
        <is>
          <t>General</t>
        </is>
      </c>
      <c r="F5431" s="5" t="n">
        <v>258</v>
      </c>
      <c r="G5431" s="5" t="n">
        <v>1780</v>
      </c>
      <c r="H5431" s="5" t="n">
        <v>24</v>
      </c>
      <c r="I5431" s="5" t="n">
        <v>23</v>
      </c>
      <c r="J5431" s="5" t="n">
        <v>1</v>
      </c>
      <c r="K5431" s="10">
        <f>IF(F5431&gt;0,H5431/F5431,"")</f>
        <v/>
      </c>
      <c r="L5431" s="16">
        <f>IF(AND(G5431&gt;0,H5431&gt;0),G5431/H5431,"")</f>
        <v/>
      </c>
    </row>
    <row r="5432">
      <c r="A5432" s="4" t="inlineStr">
        <is>
          <t>214</t>
        </is>
      </c>
      <c r="B5432" s="4" t="n">
        <v>2</v>
      </c>
      <c r="C5432" s="4" t="inlineStr">
        <is>
          <t>mule deer</t>
        </is>
      </c>
      <c r="D5432" s="4" t="n">
        <v>2011</v>
      </c>
      <c r="E5432" s="13" t="inlineStr">
        <is>
          <t>General</t>
        </is>
      </c>
      <c r="F5432" s="5" t="n">
        <v>297</v>
      </c>
      <c r="G5432" s="5" t="n">
        <v>1873</v>
      </c>
      <c r="H5432" s="5" t="n">
        <v>30</v>
      </c>
      <c r="I5432" s="5" t="n">
        <v>25</v>
      </c>
      <c r="J5432" s="5" t="n">
        <v>5</v>
      </c>
      <c r="K5432" s="10">
        <f>IF(F5432&gt;0,H5432/F5432,"")</f>
        <v/>
      </c>
      <c r="L5432" s="16">
        <f>IF(AND(G5432&gt;0,H5432&gt;0),G5432/H5432,"")</f>
        <v/>
      </c>
    </row>
    <row r="5433">
      <c r="A5433" s="4" t="inlineStr">
        <is>
          <t>214</t>
        </is>
      </c>
      <c r="B5433" s="4" t="n">
        <v>2</v>
      </c>
      <c r="C5433" s="4" t="inlineStr">
        <is>
          <t>mule deer</t>
        </is>
      </c>
      <c r="D5433" s="4" t="n">
        <v>2012</v>
      </c>
      <c r="E5433" s="13" t="inlineStr">
        <is>
          <t>General</t>
        </is>
      </c>
      <c r="F5433" s="5" t="n"/>
      <c r="G5433" s="5" t="n"/>
      <c r="H5433" s="5" t="n">
        <v>37</v>
      </c>
      <c r="I5433" s="5" t="n">
        <v>34</v>
      </c>
      <c r="J5433" s="5" t="n">
        <v>4</v>
      </c>
      <c r="K5433" s="10">
        <f>IF(F5433&gt;0,H5433/F5433,"")</f>
        <v/>
      </c>
      <c r="L5433" s="16">
        <f>IF(AND(G5433&gt;0,H5433&gt;0),G5433/H5433,"")</f>
        <v/>
      </c>
    </row>
    <row r="5434">
      <c r="A5434" s="4" t="inlineStr">
        <is>
          <t>214</t>
        </is>
      </c>
      <c r="B5434" s="4" t="n">
        <v>2</v>
      </c>
      <c r="C5434" s="4" t="inlineStr">
        <is>
          <t>mule deer</t>
        </is>
      </c>
      <c r="D5434" s="4" t="n">
        <v>2013</v>
      </c>
      <c r="E5434" s="13" t="inlineStr">
        <is>
          <t>General</t>
        </is>
      </c>
      <c r="F5434" s="5" t="n">
        <v>305</v>
      </c>
      <c r="G5434" s="5" t="n">
        <v>1754</v>
      </c>
      <c r="H5434" s="5" t="n">
        <v>15</v>
      </c>
      <c r="I5434" s="5" t="n">
        <v>14</v>
      </c>
      <c r="J5434" s="5" t="n">
        <v>1</v>
      </c>
      <c r="K5434" s="10">
        <f>IF(F5434&gt;0,H5434/F5434,"")</f>
        <v/>
      </c>
      <c r="L5434" s="16">
        <f>IF(AND(G5434&gt;0,H5434&gt;0),G5434/H5434,"")</f>
        <v/>
      </c>
    </row>
    <row r="5435">
      <c r="A5435" s="4" t="inlineStr">
        <is>
          <t>214</t>
        </is>
      </c>
      <c r="B5435" s="4" t="n">
        <v>2</v>
      </c>
      <c r="C5435" s="4" t="inlineStr">
        <is>
          <t>mule deer</t>
        </is>
      </c>
      <c r="D5435" s="4" t="n">
        <v>2014</v>
      </c>
      <c r="E5435" s="13" t="inlineStr">
        <is>
          <t>General</t>
        </is>
      </c>
      <c r="F5435" s="5" t="n"/>
      <c r="G5435" s="5" t="n"/>
      <c r="H5435" s="5" t="n">
        <v>26</v>
      </c>
      <c r="I5435" s="5" t="n">
        <v>26</v>
      </c>
      <c r="J5435" s="5" t="n">
        <v>0</v>
      </c>
      <c r="K5435" s="10">
        <f>IF(F5435&gt;0,H5435/F5435,"")</f>
        <v/>
      </c>
      <c r="L5435" s="16">
        <f>IF(AND(G5435&gt;0,H5435&gt;0),G5435/H5435,"")</f>
        <v/>
      </c>
    </row>
    <row r="5436">
      <c r="A5436" s="4" t="inlineStr">
        <is>
          <t>214</t>
        </is>
      </c>
      <c r="B5436" s="4" t="n">
        <v>2</v>
      </c>
      <c r="C5436" s="4" t="inlineStr">
        <is>
          <t>mule deer</t>
        </is>
      </c>
      <c r="D5436" s="4" t="n">
        <v>2015</v>
      </c>
      <c r="E5436" s="13" t="inlineStr">
        <is>
          <t>General</t>
        </is>
      </c>
      <c r="F5436" s="5" t="n"/>
      <c r="G5436" s="5" t="n"/>
      <c r="H5436" s="5" t="n">
        <v>54</v>
      </c>
      <c r="I5436" s="5" t="n">
        <v>54</v>
      </c>
      <c r="J5436" s="5" t="n">
        <v>0</v>
      </c>
      <c r="K5436" s="10">
        <f>IF(F5436&gt;0,H5436/F5436,"")</f>
        <v/>
      </c>
      <c r="L5436" s="16">
        <f>IF(AND(G5436&gt;0,H5436&gt;0),G5436/H5436,"")</f>
        <v/>
      </c>
    </row>
    <row r="5437">
      <c r="A5437" s="4" t="inlineStr">
        <is>
          <t>214</t>
        </is>
      </c>
      <c r="B5437" s="4" t="n">
        <v>2</v>
      </c>
      <c r="C5437" s="4" t="inlineStr">
        <is>
          <t>mule deer</t>
        </is>
      </c>
      <c r="D5437" s="4" t="n">
        <v>2016</v>
      </c>
      <c r="E5437" s="13" t="inlineStr">
        <is>
          <t>General</t>
        </is>
      </c>
      <c r="F5437" s="5" t="n"/>
      <c r="G5437" s="5" t="n"/>
      <c r="H5437" s="5" t="n">
        <v>43</v>
      </c>
      <c r="I5437" s="5" t="n">
        <v>43</v>
      </c>
      <c r="J5437" s="5" t="n">
        <v>0</v>
      </c>
      <c r="K5437" s="10">
        <f>IF(F5437&gt;0,H5437/F5437,"")</f>
        <v/>
      </c>
      <c r="L5437" s="16">
        <f>IF(AND(G5437&gt;0,H5437&gt;0),G5437/H5437,"")</f>
        <v/>
      </c>
    </row>
    <row r="5438">
      <c r="A5438" s="4" t="inlineStr">
        <is>
          <t>214</t>
        </is>
      </c>
      <c r="B5438" s="4" t="n">
        <v>2</v>
      </c>
      <c r="C5438" s="4" t="inlineStr">
        <is>
          <t>mule deer</t>
        </is>
      </c>
      <c r="D5438" s="4" t="n">
        <v>2017</v>
      </c>
      <c r="E5438" s="13" t="inlineStr">
        <is>
          <t>General</t>
        </is>
      </c>
      <c r="F5438" s="5" t="n">
        <v>292</v>
      </c>
      <c r="G5438" s="5" t="n">
        <v>2246</v>
      </c>
      <c r="H5438" s="5" t="n">
        <v>22</v>
      </c>
      <c r="I5438" s="5" t="n">
        <v>22</v>
      </c>
      <c r="J5438" s="5" t="n">
        <v>0</v>
      </c>
      <c r="K5438" s="10">
        <f>IF(F5438&gt;0,H5438/F5438,"")</f>
        <v/>
      </c>
      <c r="L5438" s="16">
        <f>IF(AND(G5438&gt;0,H5438&gt;0),G5438/H5438,"")</f>
        <v/>
      </c>
    </row>
    <row r="5439">
      <c r="A5439" s="4" t="inlineStr">
        <is>
          <t>214</t>
        </is>
      </c>
      <c r="B5439" s="4" t="n">
        <v>2</v>
      </c>
      <c r="C5439" s="4" t="inlineStr">
        <is>
          <t>mule deer</t>
        </is>
      </c>
      <c r="D5439" s="4" t="n">
        <v>2018</v>
      </c>
      <c r="E5439" s="13" t="inlineStr">
        <is>
          <t>General</t>
        </is>
      </c>
      <c r="F5439" s="5" t="n"/>
      <c r="G5439" s="5" t="n"/>
      <c r="H5439" s="5" t="n">
        <v>30</v>
      </c>
      <c r="I5439" s="5" t="n">
        <v>30</v>
      </c>
      <c r="J5439" s="5" t="n">
        <v>0</v>
      </c>
      <c r="K5439" s="10">
        <f>IF(F5439&gt;0,H5439/F5439,"")</f>
        <v/>
      </c>
      <c r="L5439" s="16">
        <f>IF(AND(G5439&gt;0,H5439&gt;0),G5439/H5439,"")</f>
        <v/>
      </c>
    </row>
    <row r="5440">
      <c r="A5440" s="4" t="inlineStr">
        <is>
          <t>214</t>
        </is>
      </c>
      <c r="B5440" s="4" t="n">
        <v>2</v>
      </c>
      <c r="C5440" s="4" t="inlineStr">
        <is>
          <t>mule deer</t>
        </is>
      </c>
      <c r="D5440" s="4" t="n">
        <v>2019</v>
      </c>
      <c r="E5440" s="13" t="inlineStr">
        <is>
          <t>General</t>
        </is>
      </c>
      <c r="F5440" s="5" t="n">
        <v>265</v>
      </c>
      <c r="G5440" s="5" t="n">
        <v>1827</v>
      </c>
      <c r="H5440" s="5" t="n">
        <v>32</v>
      </c>
      <c r="I5440" s="5" t="n">
        <v>32</v>
      </c>
      <c r="J5440" s="5" t="n">
        <v>0</v>
      </c>
      <c r="K5440" s="10">
        <f>IF(F5440&gt;0,H5440/F5440,"")</f>
        <v/>
      </c>
      <c r="L5440" s="16">
        <f>IF(AND(G5440&gt;0,H5440&gt;0),G5440/H5440,"")</f>
        <v/>
      </c>
    </row>
    <row r="5441">
      <c r="A5441" s="4" t="inlineStr">
        <is>
          <t>214</t>
        </is>
      </c>
      <c r="B5441" s="4" t="n">
        <v>2</v>
      </c>
      <c r="C5441" s="4" t="inlineStr">
        <is>
          <t>mule deer</t>
        </is>
      </c>
      <c r="D5441" s="4" t="n">
        <v>2020</v>
      </c>
      <c r="E5441" s="13" t="inlineStr">
        <is>
          <t>General</t>
        </is>
      </c>
      <c r="F5441" s="5" t="n"/>
      <c r="G5441" s="5" t="n"/>
      <c r="H5441" s="5" t="n">
        <v>23</v>
      </c>
      <c r="I5441" s="5" t="n">
        <v>23</v>
      </c>
      <c r="J5441" s="5" t="n">
        <v>0</v>
      </c>
      <c r="K5441" s="10">
        <f>IF(F5441&gt;0,H5441/F5441,"")</f>
        <v/>
      </c>
      <c r="L5441" s="16">
        <f>IF(AND(G5441&gt;0,H5441&gt;0),G5441/H5441,"")</f>
        <v/>
      </c>
    </row>
    <row r="5442">
      <c r="A5442" s="4" t="inlineStr">
        <is>
          <t>214</t>
        </is>
      </c>
      <c r="B5442" s="4" t="n">
        <v>2</v>
      </c>
      <c r="C5442" s="4" t="inlineStr">
        <is>
          <t>mule deer</t>
        </is>
      </c>
      <c r="D5442" s="4" t="n">
        <v>2021</v>
      </c>
      <c r="E5442" s="13" t="inlineStr">
        <is>
          <t>General</t>
        </is>
      </c>
      <c r="F5442" s="5" t="n">
        <v>149</v>
      </c>
      <c r="G5442" s="5" t="n">
        <v>1200</v>
      </c>
      <c r="H5442" s="5" t="n">
        <v>16</v>
      </c>
      <c r="I5442" s="5" t="n">
        <v>13</v>
      </c>
      <c r="J5442" s="5" t="n">
        <v>2</v>
      </c>
      <c r="K5442" s="10">
        <f>IF(F5442&gt;0,H5442/F5442,"")</f>
        <v/>
      </c>
      <c r="L5442" s="16">
        <f>IF(AND(G5442&gt;0,H5442&gt;0),G5442/H5442,"")</f>
        <v/>
      </c>
    </row>
    <row r="5443">
      <c r="A5443" s="4" t="inlineStr">
        <is>
          <t>214</t>
        </is>
      </c>
      <c r="B5443" s="4" t="n">
        <v>2</v>
      </c>
      <c r="C5443" s="4" t="inlineStr">
        <is>
          <t>mule deer</t>
        </is>
      </c>
      <c r="D5443" s="4" t="n">
        <v>2022</v>
      </c>
      <c r="E5443" s="13" t="inlineStr">
        <is>
          <t>General</t>
        </is>
      </c>
      <c r="F5443" s="5" t="n"/>
      <c r="G5443" s="5" t="n"/>
      <c r="H5443" s="5" t="n">
        <v>20</v>
      </c>
      <c r="I5443" s="5" t="n">
        <v>20</v>
      </c>
      <c r="J5443" s="5" t="n">
        <v>0</v>
      </c>
      <c r="K5443" s="10">
        <f>IF(F5443&gt;0,H5443/F5443,"")</f>
        <v/>
      </c>
      <c r="L5443" s="16">
        <f>IF(AND(G5443&gt;0,H5443&gt;0),G5443/H5443,"")</f>
        <v/>
      </c>
    </row>
    <row r="5444">
      <c r="A5444" s="4" t="inlineStr">
        <is>
          <t>214</t>
        </is>
      </c>
      <c r="B5444" s="4" t="n">
        <v>2</v>
      </c>
      <c r="C5444" s="4" t="inlineStr">
        <is>
          <t>mule deer</t>
        </is>
      </c>
      <c r="D5444" s="4" t="n">
        <v>2023</v>
      </c>
      <c r="E5444" s="13" t="inlineStr">
        <is>
          <t>General</t>
        </is>
      </c>
      <c r="F5444" s="5" t="n">
        <v>334</v>
      </c>
      <c r="G5444" s="5" t="n">
        <v>2362</v>
      </c>
      <c r="H5444" s="5" t="n">
        <v>27</v>
      </c>
      <c r="I5444" s="5" t="n">
        <v>24</v>
      </c>
      <c r="J5444" s="5" t="n">
        <v>3</v>
      </c>
      <c r="K5444" s="10">
        <f>IF(F5444&gt;0,H5444/F5444,"")</f>
        <v/>
      </c>
      <c r="L5444" s="16">
        <f>IF(AND(G5444&gt;0,H5444&gt;0),G5444/H5444,"")</f>
        <v/>
      </c>
    </row>
    <row r="5445">
      <c r="A5445" s="4" t="inlineStr">
        <is>
          <t>214</t>
        </is>
      </c>
      <c r="B5445" s="4" t="n">
        <v>2</v>
      </c>
      <c r="C5445" s="4" t="inlineStr">
        <is>
          <t>mule deer</t>
        </is>
      </c>
      <c r="D5445" s="4" t="n">
        <v>2024</v>
      </c>
      <c r="E5445" s="13" t="inlineStr">
        <is>
          <t>General</t>
        </is>
      </c>
      <c r="F5445" s="5" t="n"/>
      <c r="G5445" s="5" t="n"/>
      <c r="H5445" s="5" t="n">
        <v>45</v>
      </c>
      <c r="I5445" s="5" t="n">
        <v>41</v>
      </c>
      <c r="J5445" s="5" t="n">
        <v>3</v>
      </c>
      <c r="K5445" s="10">
        <f>IF(F5445&gt;0,H5445/F5445,"")</f>
        <v/>
      </c>
      <c r="L5445" s="16">
        <f>IF(AND(G5445&gt;0,H5445&gt;0),G5445/H5445,"")</f>
        <v/>
      </c>
    </row>
    <row r="5446">
      <c r="A5446" s="4" t="inlineStr">
        <is>
          <t>214</t>
        </is>
      </c>
      <c r="B5446" s="4" t="n">
        <v>2</v>
      </c>
      <c r="C5446" s="4" t="inlineStr">
        <is>
          <t>mule deer</t>
        </is>
      </c>
      <c r="D5446" s="4" t="n">
        <v>2025</v>
      </c>
      <c r="E5446" s="13" t="inlineStr">
        <is>
          <t>General</t>
        </is>
      </c>
      <c r="F5446" s="5" t="n">
        <v>360</v>
      </c>
      <c r="G5446" s="5" t="n">
        <v>2384</v>
      </c>
      <c r="H5446" s="5" t="n">
        <v>14</v>
      </c>
      <c r="I5446" s="5" t="n">
        <v>11</v>
      </c>
      <c r="J5446" s="5" t="n">
        <v>4</v>
      </c>
      <c r="K5446" s="10">
        <f>IF(F5446&gt;0,H5446/F5446,"")</f>
        <v/>
      </c>
      <c r="L5446" s="16">
        <f>IF(AND(G5446&gt;0,H5446&gt;0),G5446/H5446,"")</f>
        <v/>
      </c>
    </row>
    <row r="5447">
      <c r="A5447" s="4" t="inlineStr">
        <is>
          <t>215</t>
        </is>
      </c>
      <c r="B5447" s="4" t="n">
        <v>2</v>
      </c>
      <c r="C5447" s="4" t="inlineStr">
        <is>
          <t>mule deer</t>
        </is>
      </c>
      <c r="D5447" s="4" t="n">
        <v>2004</v>
      </c>
      <c r="E5447" s="13" t="inlineStr">
        <is>
          <t>General</t>
        </is>
      </c>
      <c r="F5447" s="5" t="n">
        <v>958</v>
      </c>
      <c r="G5447" s="5" t="n">
        <v>6552</v>
      </c>
      <c r="H5447" s="5" t="n">
        <v>209</v>
      </c>
      <c r="I5447" s="5" t="n">
        <v>201</v>
      </c>
      <c r="J5447" s="5" t="n">
        <v>5</v>
      </c>
      <c r="K5447" s="10">
        <f>IF(F5447&gt;0,H5447/F5447,"")</f>
        <v/>
      </c>
      <c r="L5447" s="16">
        <f>IF(AND(G5447&gt;0,H5447&gt;0),G5447/H5447,"")</f>
        <v/>
      </c>
    </row>
    <row r="5448">
      <c r="A5448" s="4" t="inlineStr">
        <is>
          <t>215</t>
        </is>
      </c>
      <c r="B5448" s="4" t="n">
        <v>2</v>
      </c>
      <c r="C5448" s="4" t="inlineStr">
        <is>
          <t>mule deer</t>
        </is>
      </c>
      <c r="D5448" s="4" t="n">
        <v>2005</v>
      </c>
      <c r="E5448" s="13" t="inlineStr">
        <is>
          <t>General</t>
        </is>
      </c>
      <c r="F5448" s="5" t="n">
        <v>1055</v>
      </c>
      <c r="G5448" s="5" t="n">
        <v>7944</v>
      </c>
      <c r="H5448" s="5" t="n">
        <v>221</v>
      </c>
      <c r="I5448" s="5" t="n">
        <v>215</v>
      </c>
      <c r="J5448" s="5" t="n">
        <v>6</v>
      </c>
      <c r="K5448" s="10">
        <f>IF(F5448&gt;0,H5448/F5448,"")</f>
        <v/>
      </c>
      <c r="L5448" s="16">
        <f>IF(AND(G5448&gt;0,H5448&gt;0),G5448/H5448,"")</f>
        <v/>
      </c>
    </row>
    <row r="5449">
      <c r="A5449" s="4" t="inlineStr">
        <is>
          <t>215</t>
        </is>
      </c>
      <c r="B5449" s="4" t="n">
        <v>2</v>
      </c>
      <c r="C5449" s="4" t="inlineStr">
        <is>
          <t>mule deer</t>
        </is>
      </c>
      <c r="D5449" s="4" t="n">
        <v>2006</v>
      </c>
      <c r="E5449" s="13" t="inlineStr">
        <is>
          <t>General</t>
        </is>
      </c>
      <c r="F5449" s="5" t="n">
        <v>1191</v>
      </c>
      <c r="G5449" s="5" t="n">
        <v>9160</v>
      </c>
      <c r="H5449" s="5" t="n">
        <v>242</v>
      </c>
      <c r="I5449" s="5" t="n">
        <v>223</v>
      </c>
      <c r="J5449" s="5" t="n">
        <v>19</v>
      </c>
      <c r="K5449" s="10">
        <f>IF(F5449&gt;0,H5449/F5449,"")</f>
        <v/>
      </c>
      <c r="L5449" s="16">
        <f>IF(AND(G5449&gt;0,H5449&gt;0),G5449/H5449,"")</f>
        <v/>
      </c>
    </row>
    <row r="5450">
      <c r="A5450" s="4" t="inlineStr">
        <is>
          <t>215</t>
        </is>
      </c>
      <c r="B5450" s="4" t="n">
        <v>2</v>
      </c>
      <c r="C5450" s="4" t="inlineStr">
        <is>
          <t>mule deer</t>
        </is>
      </c>
      <c r="D5450" s="4" t="n">
        <v>2007</v>
      </c>
      <c r="E5450" s="13" t="inlineStr">
        <is>
          <t>General</t>
        </is>
      </c>
      <c r="F5450" s="5" t="n">
        <v>1037</v>
      </c>
      <c r="G5450" s="5" t="n">
        <v>8182</v>
      </c>
      <c r="H5450" s="5" t="n">
        <v>138</v>
      </c>
      <c r="I5450" s="5" t="n">
        <v>138</v>
      </c>
      <c r="J5450" s="5" t="n">
        <v>0</v>
      </c>
      <c r="K5450" s="10">
        <f>IF(F5450&gt;0,H5450/F5450,"")</f>
        <v/>
      </c>
      <c r="L5450" s="16">
        <f>IF(AND(G5450&gt;0,H5450&gt;0),G5450/H5450,"")</f>
        <v/>
      </c>
    </row>
    <row r="5451">
      <c r="A5451" s="4" t="inlineStr">
        <is>
          <t>215</t>
        </is>
      </c>
      <c r="B5451" s="4" t="n">
        <v>2</v>
      </c>
      <c r="C5451" s="4" t="inlineStr">
        <is>
          <t>mule deer</t>
        </is>
      </c>
      <c r="D5451" s="4" t="n">
        <v>2008</v>
      </c>
      <c r="E5451" s="13" t="inlineStr">
        <is>
          <t>General</t>
        </is>
      </c>
      <c r="F5451" s="5" t="n">
        <v>1235</v>
      </c>
      <c r="G5451" s="5" t="n">
        <v>8827</v>
      </c>
      <c r="H5451" s="5" t="n">
        <v>155</v>
      </c>
      <c r="I5451" s="5" t="n">
        <v>141</v>
      </c>
      <c r="J5451" s="5" t="n">
        <v>15</v>
      </c>
      <c r="K5451" s="10">
        <f>IF(F5451&gt;0,H5451/F5451,"")</f>
        <v/>
      </c>
      <c r="L5451" s="16">
        <f>IF(AND(G5451&gt;0,H5451&gt;0),G5451/H5451,"")</f>
        <v/>
      </c>
    </row>
    <row r="5452">
      <c r="A5452" s="4" t="inlineStr">
        <is>
          <t>215</t>
        </is>
      </c>
      <c r="B5452" s="4" t="n">
        <v>2</v>
      </c>
      <c r="C5452" s="4" t="inlineStr">
        <is>
          <t>mule deer</t>
        </is>
      </c>
      <c r="D5452" s="4" t="n">
        <v>2009</v>
      </c>
      <c r="E5452" s="13" t="inlineStr">
        <is>
          <t>General</t>
        </is>
      </c>
      <c r="F5452" s="5" t="n">
        <v>1321</v>
      </c>
      <c r="G5452" s="5" t="n">
        <v>10252</v>
      </c>
      <c r="H5452" s="5" t="n">
        <v>168</v>
      </c>
      <c r="I5452" s="5" t="n">
        <v>150</v>
      </c>
      <c r="J5452" s="5" t="n">
        <v>18</v>
      </c>
      <c r="K5452" s="10">
        <f>IF(F5452&gt;0,H5452/F5452,"")</f>
        <v/>
      </c>
      <c r="L5452" s="16">
        <f>IF(AND(G5452&gt;0,H5452&gt;0),G5452/H5452,"")</f>
        <v/>
      </c>
    </row>
    <row r="5453">
      <c r="A5453" s="4" t="inlineStr">
        <is>
          <t>215</t>
        </is>
      </c>
      <c r="B5453" s="4" t="n">
        <v>2</v>
      </c>
      <c r="C5453" s="4" t="inlineStr">
        <is>
          <t>mule deer</t>
        </is>
      </c>
      <c r="D5453" s="4" t="n">
        <v>2010</v>
      </c>
      <c r="E5453" s="13" t="inlineStr">
        <is>
          <t>General</t>
        </is>
      </c>
      <c r="F5453" s="5" t="n">
        <v>1439</v>
      </c>
      <c r="G5453" s="5" t="n">
        <v>12014</v>
      </c>
      <c r="H5453" s="5" t="n">
        <v>253</v>
      </c>
      <c r="I5453" s="5" t="n">
        <v>223</v>
      </c>
      <c r="J5453" s="5" t="n">
        <v>30</v>
      </c>
      <c r="K5453" s="10">
        <f>IF(F5453&gt;0,H5453/F5453,"")</f>
        <v/>
      </c>
      <c r="L5453" s="16">
        <f>IF(AND(G5453&gt;0,H5453&gt;0),G5453/H5453,"")</f>
        <v/>
      </c>
    </row>
    <row r="5454">
      <c r="A5454" s="4" t="inlineStr">
        <is>
          <t>215</t>
        </is>
      </c>
      <c r="B5454" s="4" t="n">
        <v>2</v>
      </c>
      <c r="C5454" s="4" t="inlineStr">
        <is>
          <t>mule deer</t>
        </is>
      </c>
      <c r="D5454" s="4" t="n">
        <v>2011</v>
      </c>
      <c r="E5454" s="13" t="inlineStr">
        <is>
          <t>General</t>
        </is>
      </c>
      <c r="F5454" s="5" t="n">
        <v>1801</v>
      </c>
      <c r="G5454" s="5" t="n">
        <v>13437</v>
      </c>
      <c r="H5454" s="5" t="n">
        <v>190</v>
      </c>
      <c r="I5454" s="5" t="n">
        <v>154</v>
      </c>
      <c r="J5454" s="5" t="n">
        <v>34</v>
      </c>
      <c r="K5454" s="10">
        <f>IF(F5454&gt;0,H5454/F5454,"")</f>
        <v/>
      </c>
      <c r="L5454" s="16">
        <f>IF(AND(G5454&gt;0,H5454&gt;0),G5454/H5454,"")</f>
        <v/>
      </c>
    </row>
    <row r="5455">
      <c r="A5455" s="4" t="inlineStr">
        <is>
          <t>215</t>
        </is>
      </c>
      <c r="B5455" s="4" t="n">
        <v>2</v>
      </c>
      <c r="C5455" s="4" t="inlineStr">
        <is>
          <t>mule deer</t>
        </is>
      </c>
      <c r="D5455" s="4" t="n">
        <v>2012</v>
      </c>
      <c r="E5455" s="13" t="inlineStr">
        <is>
          <t>General</t>
        </is>
      </c>
      <c r="F5455" s="5" t="n"/>
      <c r="G5455" s="5" t="n"/>
      <c r="H5455" s="5" t="n">
        <v>107</v>
      </c>
      <c r="I5455" s="5" t="n">
        <v>92</v>
      </c>
      <c r="J5455" s="5" t="n">
        <v>15</v>
      </c>
      <c r="K5455" s="10">
        <f>IF(F5455&gt;0,H5455/F5455,"")</f>
        <v/>
      </c>
      <c r="L5455" s="16">
        <f>IF(AND(G5455&gt;0,H5455&gt;0),G5455/H5455,"")</f>
        <v/>
      </c>
    </row>
    <row r="5456">
      <c r="A5456" s="4" t="inlineStr">
        <is>
          <t>215</t>
        </is>
      </c>
      <c r="B5456" s="4" t="n">
        <v>2</v>
      </c>
      <c r="C5456" s="4" t="inlineStr">
        <is>
          <t>mule deer</t>
        </is>
      </c>
      <c r="D5456" s="4" t="n">
        <v>2013</v>
      </c>
      <c r="E5456" s="13" t="inlineStr">
        <is>
          <t>General</t>
        </is>
      </c>
      <c r="F5456" s="5" t="n">
        <v>1008</v>
      </c>
      <c r="G5456" s="5" t="n">
        <v>7905</v>
      </c>
      <c r="H5456" s="5" t="n">
        <v>135</v>
      </c>
      <c r="I5456" s="5" t="n">
        <v>121</v>
      </c>
      <c r="J5456" s="5" t="n">
        <v>14</v>
      </c>
      <c r="K5456" s="10">
        <f>IF(F5456&gt;0,H5456/F5456,"")</f>
        <v/>
      </c>
      <c r="L5456" s="16">
        <f>IF(AND(G5456&gt;0,H5456&gt;0),G5456/H5456,"")</f>
        <v/>
      </c>
    </row>
    <row r="5457">
      <c r="A5457" s="4" t="inlineStr">
        <is>
          <t>215</t>
        </is>
      </c>
      <c r="B5457" s="4" t="n">
        <v>2</v>
      </c>
      <c r="C5457" s="4" t="inlineStr">
        <is>
          <t>mule deer</t>
        </is>
      </c>
      <c r="D5457" s="4" t="n">
        <v>2014</v>
      </c>
      <c r="E5457" s="13" t="inlineStr">
        <is>
          <t>General</t>
        </is>
      </c>
      <c r="F5457" s="5" t="n"/>
      <c r="G5457" s="5" t="n"/>
      <c r="H5457" s="5" t="n">
        <v>113</v>
      </c>
      <c r="I5457" s="5" t="n">
        <v>95</v>
      </c>
      <c r="J5457" s="5" t="n">
        <v>18</v>
      </c>
      <c r="K5457" s="10">
        <f>IF(F5457&gt;0,H5457/F5457,"")</f>
        <v/>
      </c>
      <c r="L5457" s="16">
        <f>IF(AND(G5457&gt;0,H5457&gt;0),G5457/H5457,"")</f>
        <v/>
      </c>
    </row>
    <row r="5458">
      <c r="A5458" s="4" t="inlineStr">
        <is>
          <t>215</t>
        </is>
      </c>
      <c r="B5458" s="4" t="n">
        <v>2</v>
      </c>
      <c r="C5458" s="4" t="inlineStr">
        <is>
          <t>mule deer</t>
        </is>
      </c>
      <c r="D5458" s="4" t="n">
        <v>2015</v>
      </c>
      <c r="E5458" s="13" t="inlineStr">
        <is>
          <t>General</t>
        </is>
      </c>
      <c r="F5458" s="5" t="n"/>
      <c r="G5458" s="5" t="n"/>
      <c r="H5458" s="5" t="n">
        <v>164</v>
      </c>
      <c r="I5458" s="5" t="n">
        <v>138</v>
      </c>
      <c r="J5458" s="5" t="n">
        <v>27</v>
      </c>
      <c r="K5458" s="10">
        <f>IF(F5458&gt;0,H5458/F5458,"")</f>
        <v/>
      </c>
      <c r="L5458" s="16">
        <f>IF(AND(G5458&gt;0,H5458&gt;0),G5458/H5458,"")</f>
        <v/>
      </c>
    </row>
    <row r="5459">
      <c r="A5459" s="4" t="inlineStr">
        <is>
          <t>215</t>
        </is>
      </c>
      <c r="B5459" s="4" t="n">
        <v>2</v>
      </c>
      <c r="C5459" s="4" t="inlineStr">
        <is>
          <t>mule deer</t>
        </is>
      </c>
      <c r="D5459" s="4" t="n">
        <v>2016</v>
      </c>
      <c r="E5459" s="13" t="inlineStr">
        <is>
          <t>General</t>
        </is>
      </c>
      <c r="F5459" s="5" t="n"/>
      <c r="G5459" s="5" t="n"/>
      <c r="H5459" s="5" t="n">
        <v>187</v>
      </c>
      <c r="I5459" s="5" t="n">
        <v>146</v>
      </c>
      <c r="J5459" s="5" t="n">
        <v>42</v>
      </c>
      <c r="K5459" s="10">
        <f>IF(F5459&gt;0,H5459/F5459,"")</f>
        <v/>
      </c>
      <c r="L5459" s="16">
        <f>IF(AND(G5459&gt;0,H5459&gt;0),G5459/H5459,"")</f>
        <v/>
      </c>
    </row>
    <row r="5460">
      <c r="A5460" s="4" t="inlineStr">
        <is>
          <t>215</t>
        </is>
      </c>
      <c r="B5460" s="4" t="n">
        <v>2</v>
      </c>
      <c r="C5460" s="4" t="inlineStr">
        <is>
          <t>mule deer</t>
        </is>
      </c>
      <c r="D5460" s="4" t="n">
        <v>2017</v>
      </c>
      <c r="E5460" s="13" t="inlineStr">
        <is>
          <t>General</t>
        </is>
      </c>
      <c r="F5460" s="5" t="n">
        <v>1097</v>
      </c>
      <c r="G5460" s="5" t="n">
        <v>7864</v>
      </c>
      <c r="H5460" s="5" t="n">
        <v>182</v>
      </c>
      <c r="I5460" s="5" t="n">
        <v>149</v>
      </c>
      <c r="J5460" s="5" t="n">
        <v>30</v>
      </c>
      <c r="K5460" s="10">
        <f>IF(F5460&gt;0,H5460/F5460,"")</f>
        <v/>
      </c>
      <c r="L5460" s="16">
        <f>IF(AND(G5460&gt;0,H5460&gt;0),G5460/H5460,"")</f>
        <v/>
      </c>
    </row>
    <row r="5461">
      <c r="A5461" s="4" t="inlineStr">
        <is>
          <t>215</t>
        </is>
      </c>
      <c r="B5461" s="4" t="n">
        <v>2</v>
      </c>
      <c r="C5461" s="4" t="inlineStr">
        <is>
          <t>mule deer</t>
        </is>
      </c>
      <c r="D5461" s="4" t="n">
        <v>2018</v>
      </c>
      <c r="E5461" s="13" t="inlineStr">
        <is>
          <t>General</t>
        </is>
      </c>
      <c r="F5461" s="5" t="n"/>
      <c r="G5461" s="5" t="n"/>
      <c r="H5461" s="5" t="n">
        <v>136</v>
      </c>
      <c r="I5461" s="5" t="n">
        <v>100</v>
      </c>
      <c r="J5461" s="5" t="n">
        <v>32</v>
      </c>
      <c r="K5461" s="10">
        <f>IF(F5461&gt;0,H5461/F5461,"")</f>
        <v/>
      </c>
      <c r="L5461" s="16">
        <f>IF(AND(G5461&gt;0,H5461&gt;0),G5461/H5461,"")</f>
        <v/>
      </c>
    </row>
    <row r="5462">
      <c r="A5462" s="4" t="inlineStr">
        <is>
          <t>215</t>
        </is>
      </c>
      <c r="B5462" s="4" t="n">
        <v>2</v>
      </c>
      <c r="C5462" s="4" t="inlineStr">
        <is>
          <t>mule deer</t>
        </is>
      </c>
      <c r="D5462" s="4" t="n">
        <v>2019</v>
      </c>
      <c r="E5462" s="13" t="inlineStr">
        <is>
          <t>General</t>
        </is>
      </c>
      <c r="F5462" s="5" t="n">
        <v>1239</v>
      </c>
      <c r="G5462" s="5" t="n">
        <v>8124</v>
      </c>
      <c r="H5462" s="5" t="n">
        <v>86</v>
      </c>
      <c r="I5462" s="5" t="n">
        <v>46</v>
      </c>
      <c r="J5462" s="5" t="n">
        <v>40</v>
      </c>
      <c r="K5462" s="10">
        <f>IF(F5462&gt;0,H5462/F5462,"")</f>
        <v/>
      </c>
      <c r="L5462" s="16">
        <f>IF(AND(G5462&gt;0,H5462&gt;0),G5462/H5462,"")</f>
        <v/>
      </c>
    </row>
    <row r="5463">
      <c r="A5463" s="4" t="inlineStr">
        <is>
          <t>215</t>
        </is>
      </c>
      <c r="B5463" s="4" t="n">
        <v>2</v>
      </c>
      <c r="C5463" s="4" t="inlineStr">
        <is>
          <t>mule deer</t>
        </is>
      </c>
      <c r="D5463" s="4" t="n">
        <v>2020</v>
      </c>
      <c r="E5463" s="13" t="inlineStr">
        <is>
          <t>General</t>
        </is>
      </c>
      <c r="F5463" s="5" t="n"/>
      <c r="G5463" s="5" t="n"/>
      <c r="H5463" s="5" t="n">
        <v>100</v>
      </c>
      <c r="I5463" s="5" t="n">
        <v>59</v>
      </c>
      <c r="J5463" s="5" t="n">
        <v>41</v>
      </c>
      <c r="K5463" s="10">
        <f>IF(F5463&gt;0,H5463/F5463,"")</f>
        <v/>
      </c>
      <c r="L5463" s="16">
        <f>IF(AND(G5463&gt;0,H5463&gt;0),G5463/H5463,"")</f>
        <v/>
      </c>
    </row>
    <row r="5464">
      <c r="A5464" s="4" t="inlineStr">
        <is>
          <t>215</t>
        </is>
      </c>
      <c r="B5464" s="4" t="n">
        <v>2</v>
      </c>
      <c r="C5464" s="4" t="inlineStr">
        <is>
          <t>mule deer</t>
        </is>
      </c>
      <c r="D5464" s="4" t="n">
        <v>2021</v>
      </c>
      <c r="E5464" s="13" t="inlineStr">
        <is>
          <t>General</t>
        </is>
      </c>
      <c r="F5464" s="5" t="n">
        <v>1080</v>
      </c>
      <c r="G5464" s="5" t="n">
        <v>8083</v>
      </c>
      <c r="H5464" s="5" t="n">
        <v>86</v>
      </c>
      <c r="I5464" s="5" t="n">
        <v>55</v>
      </c>
      <c r="J5464" s="5" t="n">
        <v>31</v>
      </c>
      <c r="K5464" s="10">
        <f>IF(F5464&gt;0,H5464/F5464,"")</f>
        <v/>
      </c>
      <c r="L5464" s="16">
        <f>IF(AND(G5464&gt;0,H5464&gt;0),G5464/H5464,"")</f>
        <v/>
      </c>
    </row>
    <row r="5465">
      <c r="A5465" s="4" t="inlineStr">
        <is>
          <t>215</t>
        </is>
      </c>
      <c r="B5465" s="4" t="n">
        <v>2</v>
      </c>
      <c r="C5465" s="4" t="inlineStr">
        <is>
          <t>mule deer</t>
        </is>
      </c>
      <c r="D5465" s="4" t="n">
        <v>2022</v>
      </c>
      <c r="E5465" s="13" t="inlineStr">
        <is>
          <t>General</t>
        </is>
      </c>
      <c r="F5465" s="5" t="n"/>
      <c r="G5465" s="5" t="n"/>
      <c r="H5465" s="5" t="n">
        <v>150</v>
      </c>
      <c r="I5465" s="5" t="n">
        <v>120</v>
      </c>
      <c r="J5465" s="5" t="n">
        <v>30</v>
      </c>
      <c r="K5465" s="10">
        <f>IF(F5465&gt;0,H5465/F5465,"")</f>
        <v/>
      </c>
      <c r="L5465" s="16">
        <f>IF(AND(G5465&gt;0,H5465&gt;0),G5465/H5465,"")</f>
        <v/>
      </c>
    </row>
    <row r="5466">
      <c r="A5466" s="4" t="inlineStr">
        <is>
          <t>215</t>
        </is>
      </c>
      <c r="B5466" s="4" t="n">
        <v>2</v>
      </c>
      <c r="C5466" s="4" t="inlineStr">
        <is>
          <t>mule deer</t>
        </is>
      </c>
      <c r="D5466" s="4" t="n">
        <v>2023</v>
      </c>
      <c r="E5466" s="13" t="inlineStr">
        <is>
          <t>General</t>
        </is>
      </c>
      <c r="F5466" s="5" t="n">
        <v>1324</v>
      </c>
      <c r="G5466" s="5" t="n">
        <v>10409</v>
      </c>
      <c r="H5466" s="5" t="n">
        <v>140</v>
      </c>
      <c r="I5466" s="5" t="n">
        <v>124</v>
      </c>
      <c r="J5466" s="5" t="n">
        <v>17</v>
      </c>
      <c r="K5466" s="10">
        <f>IF(F5466&gt;0,H5466/F5466,"")</f>
        <v/>
      </c>
      <c r="L5466" s="16">
        <f>IF(AND(G5466&gt;0,H5466&gt;0),G5466/H5466,"")</f>
        <v/>
      </c>
    </row>
    <row r="5467">
      <c r="A5467" s="4" t="inlineStr">
        <is>
          <t>215</t>
        </is>
      </c>
      <c r="B5467" s="4" t="n">
        <v>2</v>
      </c>
      <c r="C5467" s="4" t="inlineStr">
        <is>
          <t>mule deer</t>
        </is>
      </c>
      <c r="D5467" s="4" t="n">
        <v>2024</v>
      </c>
      <c r="E5467" s="13" t="inlineStr">
        <is>
          <t>General</t>
        </is>
      </c>
      <c r="F5467" s="5" t="n"/>
      <c r="G5467" s="5" t="n"/>
      <c r="H5467" s="5" t="n">
        <v>188</v>
      </c>
      <c r="I5467" s="5" t="n">
        <v>165</v>
      </c>
      <c r="J5467" s="5" t="n">
        <v>23</v>
      </c>
      <c r="K5467" s="10">
        <f>IF(F5467&gt;0,H5467/F5467,"")</f>
        <v/>
      </c>
      <c r="L5467" s="16">
        <f>IF(AND(G5467&gt;0,H5467&gt;0),G5467/H5467,"")</f>
        <v/>
      </c>
    </row>
    <row r="5468">
      <c r="A5468" s="4" t="inlineStr">
        <is>
          <t>215</t>
        </is>
      </c>
      <c r="B5468" s="4" t="n">
        <v>2</v>
      </c>
      <c r="C5468" s="4" t="inlineStr">
        <is>
          <t>mule deer</t>
        </is>
      </c>
      <c r="D5468" s="4" t="n">
        <v>2025</v>
      </c>
      <c r="E5468" s="13" t="inlineStr">
        <is>
          <t>General</t>
        </is>
      </c>
      <c r="F5468" s="5" t="n">
        <v>1406</v>
      </c>
      <c r="G5468" s="5" t="n">
        <v>10882</v>
      </c>
      <c r="H5468" s="5" t="n">
        <v>161</v>
      </c>
      <c r="I5468" s="5" t="n">
        <v>144</v>
      </c>
      <c r="J5468" s="5" t="n">
        <v>17</v>
      </c>
      <c r="K5468" s="10">
        <f>IF(F5468&gt;0,H5468/F5468,"")</f>
        <v/>
      </c>
      <c r="L5468" s="16">
        <f>IF(AND(G5468&gt;0,H5468&gt;0),G5468/H5468,"")</f>
        <v/>
      </c>
    </row>
    <row r="5469">
      <c r="A5469" s="4" t="inlineStr">
        <is>
          <t>216</t>
        </is>
      </c>
      <c r="B5469" s="4" t="n">
        <v>2</v>
      </c>
      <c r="C5469" s="4" t="inlineStr">
        <is>
          <t>mule deer</t>
        </is>
      </c>
      <c r="D5469" s="4" t="n">
        <v>2004</v>
      </c>
      <c r="E5469" s="13" t="inlineStr">
        <is>
          <t>General</t>
        </is>
      </c>
      <c r="F5469" s="5" t="n">
        <v>435</v>
      </c>
      <c r="G5469" s="5" t="n">
        <v>2444</v>
      </c>
      <c r="H5469" s="5" t="n">
        <v>59</v>
      </c>
      <c r="I5469" s="5" t="n">
        <v>59</v>
      </c>
      <c r="J5469" s="5" t="n">
        <v>0</v>
      </c>
      <c r="K5469" s="10">
        <f>IF(F5469&gt;0,H5469/F5469,"")</f>
        <v/>
      </c>
      <c r="L5469" s="16">
        <f>IF(AND(G5469&gt;0,H5469&gt;0),G5469/H5469,"")</f>
        <v/>
      </c>
    </row>
    <row r="5470">
      <c r="A5470" s="4" t="inlineStr">
        <is>
          <t>216</t>
        </is>
      </c>
      <c r="B5470" s="4" t="n">
        <v>2</v>
      </c>
      <c r="C5470" s="4" t="inlineStr">
        <is>
          <t>mule deer</t>
        </is>
      </c>
      <c r="D5470" s="4" t="n">
        <v>2005</v>
      </c>
      <c r="E5470" s="13" t="inlineStr">
        <is>
          <t>General</t>
        </is>
      </c>
      <c r="F5470" s="5" t="n">
        <v>386</v>
      </c>
      <c r="G5470" s="5" t="n">
        <v>2017</v>
      </c>
      <c r="H5470" s="5" t="n">
        <v>92</v>
      </c>
      <c r="I5470" s="5" t="n">
        <v>88</v>
      </c>
      <c r="J5470" s="5" t="n">
        <v>4</v>
      </c>
      <c r="K5470" s="10">
        <f>IF(F5470&gt;0,H5470/F5470,"")</f>
        <v/>
      </c>
      <c r="L5470" s="16">
        <f>IF(AND(G5470&gt;0,H5470&gt;0),G5470/H5470,"")</f>
        <v/>
      </c>
    </row>
    <row r="5471">
      <c r="A5471" s="4" t="inlineStr">
        <is>
          <t>216</t>
        </is>
      </c>
      <c r="B5471" s="4" t="n">
        <v>2</v>
      </c>
      <c r="C5471" s="4" t="inlineStr">
        <is>
          <t>mule deer</t>
        </is>
      </c>
      <c r="D5471" s="4" t="n">
        <v>2006</v>
      </c>
      <c r="E5471" s="13" t="inlineStr">
        <is>
          <t>General</t>
        </is>
      </c>
      <c r="F5471" s="5" t="n">
        <v>390</v>
      </c>
      <c r="G5471" s="5" t="n">
        <v>2045</v>
      </c>
      <c r="H5471" s="5" t="n">
        <v>82</v>
      </c>
      <c r="I5471" s="5" t="n">
        <v>78</v>
      </c>
      <c r="J5471" s="5" t="n">
        <v>4</v>
      </c>
      <c r="K5471" s="10">
        <f>IF(F5471&gt;0,H5471/F5471,"")</f>
        <v/>
      </c>
      <c r="L5471" s="16">
        <f>IF(AND(G5471&gt;0,H5471&gt;0),G5471/H5471,"")</f>
        <v/>
      </c>
    </row>
    <row r="5472">
      <c r="A5472" s="4" t="inlineStr">
        <is>
          <t>216</t>
        </is>
      </c>
      <c r="B5472" s="4" t="n">
        <v>2</v>
      </c>
      <c r="C5472" s="4" t="inlineStr">
        <is>
          <t>mule deer</t>
        </is>
      </c>
      <c r="D5472" s="4" t="n">
        <v>2007</v>
      </c>
      <c r="E5472" s="13" t="inlineStr">
        <is>
          <t>General</t>
        </is>
      </c>
      <c r="F5472" s="5" t="n">
        <v>288</v>
      </c>
      <c r="G5472" s="5" t="n">
        <v>1837</v>
      </c>
      <c r="H5472" s="5" t="n">
        <v>47</v>
      </c>
      <c r="I5472" s="5" t="n">
        <v>43</v>
      </c>
      <c r="J5472" s="5" t="n">
        <v>5</v>
      </c>
      <c r="K5472" s="10">
        <f>IF(F5472&gt;0,H5472/F5472,"")</f>
        <v/>
      </c>
      <c r="L5472" s="16">
        <f>IF(AND(G5472&gt;0,H5472&gt;0),G5472/H5472,"")</f>
        <v/>
      </c>
    </row>
    <row r="5473">
      <c r="A5473" s="4" t="inlineStr">
        <is>
          <t>216</t>
        </is>
      </c>
      <c r="B5473" s="4" t="n">
        <v>2</v>
      </c>
      <c r="C5473" s="4" t="inlineStr">
        <is>
          <t>mule deer</t>
        </is>
      </c>
      <c r="D5473" s="4" t="n">
        <v>2008</v>
      </c>
      <c r="E5473" s="13" t="inlineStr">
        <is>
          <t>General</t>
        </is>
      </c>
      <c r="F5473" s="5" t="n">
        <v>337</v>
      </c>
      <c r="G5473" s="5" t="n">
        <v>2238</v>
      </c>
      <c r="H5473" s="5" t="n">
        <v>42</v>
      </c>
      <c r="I5473" s="5" t="n">
        <v>39</v>
      </c>
      <c r="J5473" s="5" t="n">
        <v>3</v>
      </c>
      <c r="K5473" s="10">
        <f>IF(F5473&gt;0,H5473/F5473,"")</f>
        <v/>
      </c>
      <c r="L5473" s="16">
        <f>IF(AND(G5473&gt;0,H5473&gt;0),G5473/H5473,"")</f>
        <v/>
      </c>
    </row>
    <row r="5474">
      <c r="A5474" s="4" t="inlineStr">
        <is>
          <t>216</t>
        </is>
      </c>
      <c r="B5474" s="4" t="n">
        <v>2</v>
      </c>
      <c r="C5474" s="4" t="inlineStr">
        <is>
          <t>mule deer</t>
        </is>
      </c>
      <c r="D5474" s="4" t="n">
        <v>2009</v>
      </c>
      <c r="E5474" s="13" t="inlineStr">
        <is>
          <t>General</t>
        </is>
      </c>
      <c r="F5474" s="5" t="n">
        <v>295</v>
      </c>
      <c r="G5474" s="5" t="n">
        <v>1810</v>
      </c>
      <c r="H5474" s="5" t="n">
        <v>15</v>
      </c>
      <c r="I5474" s="5" t="n">
        <v>15</v>
      </c>
      <c r="J5474" s="5" t="n">
        <v>0</v>
      </c>
      <c r="K5474" s="10">
        <f>IF(F5474&gt;0,H5474/F5474,"")</f>
        <v/>
      </c>
      <c r="L5474" s="16">
        <f>IF(AND(G5474&gt;0,H5474&gt;0),G5474/H5474,"")</f>
        <v/>
      </c>
    </row>
    <row r="5475">
      <c r="A5475" s="4" t="inlineStr">
        <is>
          <t>216</t>
        </is>
      </c>
      <c r="B5475" s="4" t="n">
        <v>2</v>
      </c>
      <c r="C5475" s="4" t="inlineStr">
        <is>
          <t>mule deer</t>
        </is>
      </c>
      <c r="D5475" s="4" t="n">
        <v>2010</v>
      </c>
      <c r="E5475" s="13" t="inlineStr">
        <is>
          <t>General</t>
        </is>
      </c>
      <c r="F5475" s="5" t="n">
        <v>296</v>
      </c>
      <c r="G5475" s="5" t="n">
        <v>1758</v>
      </c>
      <c r="H5475" s="5" t="n">
        <v>43</v>
      </c>
      <c r="I5475" s="5" t="n">
        <v>43</v>
      </c>
      <c r="J5475" s="5" t="n">
        <v>0</v>
      </c>
      <c r="K5475" s="10">
        <f>IF(F5475&gt;0,H5475/F5475,"")</f>
        <v/>
      </c>
      <c r="L5475" s="16">
        <f>IF(AND(G5475&gt;0,H5475&gt;0),G5475/H5475,"")</f>
        <v/>
      </c>
    </row>
    <row r="5476">
      <c r="A5476" s="4" t="inlineStr">
        <is>
          <t>216</t>
        </is>
      </c>
      <c r="B5476" s="4" t="n">
        <v>2</v>
      </c>
      <c r="C5476" s="4" t="inlineStr">
        <is>
          <t>mule deer</t>
        </is>
      </c>
      <c r="D5476" s="4" t="n">
        <v>2011</v>
      </c>
      <c r="E5476" s="13" t="inlineStr">
        <is>
          <t>General</t>
        </is>
      </c>
      <c r="F5476" s="5" t="n">
        <v>394</v>
      </c>
      <c r="G5476" s="5" t="n">
        <v>2647</v>
      </c>
      <c r="H5476" s="5" t="n">
        <v>25</v>
      </c>
      <c r="I5476" s="5" t="n">
        <v>25</v>
      </c>
      <c r="J5476" s="5" t="n">
        <v>0</v>
      </c>
      <c r="K5476" s="10">
        <f>IF(F5476&gt;0,H5476/F5476,"")</f>
        <v/>
      </c>
      <c r="L5476" s="16">
        <f>IF(AND(G5476&gt;0,H5476&gt;0),G5476/H5476,"")</f>
        <v/>
      </c>
    </row>
    <row r="5477">
      <c r="A5477" s="4" t="inlineStr">
        <is>
          <t>216</t>
        </is>
      </c>
      <c r="B5477" s="4" t="n">
        <v>2</v>
      </c>
      <c r="C5477" s="4" t="inlineStr">
        <is>
          <t>mule deer</t>
        </is>
      </c>
      <c r="D5477" s="4" t="n">
        <v>2012</v>
      </c>
      <c r="E5477" s="13" t="inlineStr">
        <is>
          <t>General</t>
        </is>
      </c>
      <c r="F5477" s="5" t="n"/>
      <c r="G5477" s="5" t="n"/>
      <c r="H5477" s="5" t="n">
        <v>67</v>
      </c>
      <c r="I5477" s="5" t="n">
        <v>67</v>
      </c>
      <c r="J5477" s="5" t="n">
        <v>0</v>
      </c>
      <c r="K5477" s="10">
        <f>IF(F5477&gt;0,H5477/F5477,"")</f>
        <v/>
      </c>
      <c r="L5477" s="16">
        <f>IF(AND(G5477&gt;0,H5477&gt;0),G5477/H5477,"")</f>
        <v/>
      </c>
    </row>
    <row r="5478">
      <c r="A5478" s="4" t="inlineStr">
        <is>
          <t>216</t>
        </is>
      </c>
      <c r="B5478" s="4" t="n">
        <v>2</v>
      </c>
      <c r="C5478" s="4" t="inlineStr">
        <is>
          <t>mule deer</t>
        </is>
      </c>
      <c r="D5478" s="4" t="n">
        <v>2013</v>
      </c>
      <c r="E5478" s="13" t="inlineStr">
        <is>
          <t>General</t>
        </is>
      </c>
      <c r="F5478" s="5" t="n">
        <v>380</v>
      </c>
      <c r="G5478" s="5" t="n">
        <v>2708</v>
      </c>
      <c r="H5478" s="5" t="n">
        <v>56</v>
      </c>
      <c r="I5478" s="5" t="n">
        <v>56</v>
      </c>
      <c r="J5478" s="5" t="n">
        <v>0</v>
      </c>
      <c r="K5478" s="10">
        <f>IF(F5478&gt;0,H5478/F5478,"")</f>
        <v/>
      </c>
      <c r="L5478" s="16">
        <f>IF(AND(G5478&gt;0,H5478&gt;0),G5478/H5478,"")</f>
        <v/>
      </c>
    </row>
    <row r="5479">
      <c r="A5479" s="4" t="inlineStr">
        <is>
          <t>216</t>
        </is>
      </c>
      <c r="B5479" s="4" t="n">
        <v>2</v>
      </c>
      <c r="C5479" s="4" t="inlineStr">
        <is>
          <t>mule deer</t>
        </is>
      </c>
      <c r="D5479" s="4" t="n">
        <v>2014</v>
      </c>
      <c r="E5479" s="13" t="inlineStr">
        <is>
          <t>General</t>
        </is>
      </c>
      <c r="F5479" s="5" t="n"/>
      <c r="G5479" s="5" t="n"/>
      <c r="H5479" s="5" t="n">
        <v>65</v>
      </c>
      <c r="I5479" s="5" t="n">
        <v>65</v>
      </c>
      <c r="J5479" s="5" t="n">
        <v>0</v>
      </c>
      <c r="K5479" s="10">
        <f>IF(F5479&gt;0,H5479/F5479,"")</f>
        <v/>
      </c>
      <c r="L5479" s="16">
        <f>IF(AND(G5479&gt;0,H5479&gt;0),G5479/H5479,"")</f>
        <v/>
      </c>
    </row>
    <row r="5480">
      <c r="A5480" s="4" t="inlineStr">
        <is>
          <t>216</t>
        </is>
      </c>
      <c r="B5480" s="4" t="n">
        <v>2</v>
      </c>
      <c r="C5480" s="4" t="inlineStr">
        <is>
          <t>mule deer</t>
        </is>
      </c>
      <c r="D5480" s="4" t="n">
        <v>2015</v>
      </c>
      <c r="E5480" s="13" t="inlineStr">
        <is>
          <t>General</t>
        </is>
      </c>
      <c r="F5480" s="5" t="n"/>
      <c r="G5480" s="5" t="n"/>
      <c r="H5480" s="5" t="n">
        <v>89</v>
      </c>
      <c r="I5480" s="5" t="n">
        <v>86</v>
      </c>
      <c r="J5480" s="5" t="n">
        <v>0</v>
      </c>
      <c r="K5480" s="10">
        <f>IF(F5480&gt;0,H5480/F5480,"")</f>
        <v/>
      </c>
      <c r="L5480" s="16">
        <f>IF(AND(G5480&gt;0,H5480&gt;0),G5480/H5480,"")</f>
        <v/>
      </c>
    </row>
    <row r="5481">
      <c r="A5481" s="4" t="inlineStr">
        <is>
          <t>216</t>
        </is>
      </c>
      <c r="B5481" s="4" t="n">
        <v>2</v>
      </c>
      <c r="C5481" s="4" t="inlineStr">
        <is>
          <t>mule deer</t>
        </is>
      </c>
      <c r="D5481" s="4" t="n">
        <v>2016</v>
      </c>
      <c r="E5481" s="13" t="inlineStr">
        <is>
          <t>General</t>
        </is>
      </c>
      <c r="F5481" s="5" t="n"/>
      <c r="G5481" s="5" t="n"/>
      <c r="H5481" s="5" t="n">
        <v>63</v>
      </c>
      <c r="I5481" s="5" t="n">
        <v>63</v>
      </c>
      <c r="J5481" s="5" t="n">
        <v>0</v>
      </c>
      <c r="K5481" s="10">
        <f>IF(F5481&gt;0,H5481/F5481,"")</f>
        <v/>
      </c>
      <c r="L5481" s="16">
        <f>IF(AND(G5481&gt;0,H5481&gt;0),G5481/H5481,"")</f>
        <v/>
      </c>
    </row>
    <row r="5482">
      <c r="A5482" s="4" t="inlineStr">
        <is>
          <t>216</t>
        </is>
      </c>
      <c r="B5482" s="4" t="n">
        <v>2</v>
      </c>
      <c r="C5482" s="4" t="inlineStr">
        <is>
          <t>mule deer</t>
        </is>
      </c>
      <c r="D5482" s="4" t="n">
        <v>2017</v>
      </c>
      <c r="E5482" s="13" t="inlineStr">
        <is>
          <t>General</t>
        </is>
      </c>
      <c r="F5482" s="5" t="n">
        <v>433</v>
      </c>
      <c r="G5482" s="5" t="n">
        <v>2939</v>
      </c>
      <c r="H5482" s="5" t="n">
        <v>80</v>
      </c>
      <c r="I5482" s="5" t="n">
        <v>80</v>
      </c>
      <c r="J5482" s="5" t="n">
        <v>0</v>
      </c>
      <c r="K5482" s="10">
        <f>IF(F5482&gt;0,H5482/F5482,"")</f>
        <v/>
      </c>
      <c r="L5482" s="16">
        <f>IF(AND(G5482&gt;0,H5482&gt;0),G5482/H5482,"")</f>
        <v/>
      </c>
    </row>
    <row r="5483">
      <c r="A5483" s="4" t="inlineStr">
        <is>
          <t>216</t>
        </is>
      </c>
      <c r="B5483" s="4" t="n">
        <v>2</v>
      </c>
      <c r="C5483" s="4" t="inlineStr">
        <is>
          <t>mule deer</t>
        </is>
      </c>
      <c r="D5483" s="4" t="n">
        <v>2018</v>
      </c>
      <c r="E5483" s="13" t="inlineStr">
        <is>
          <t>General</t>
        </is>
      </c>
      <c r="F5483" s="5" t="n"/>
      <c r="G5483" s="5" t="n"/>
      <c r="H5483" s="5" t="n">
        <v>98</v>
      </c>
      <c r="I5483" s="5" t="n">
        <v>98</v>
      </c>
      <c r="J5483" s="5" t="n">
        <v>0</v>
      </c>
      <c r="K5483" s="10">
        <f>IF(F5483&gt;0,H5483/F5483,"")</f>
        <v/>
      </c>
      <c r="L5483" s="16">
        <f>IF(AND(G5483&gt;0,H5483&gt;0),G5483/H5483,"")</f>
        <v/>
      </c>
    </row>
    <row r="5484">
      <c r="A5484" s="4" t="inlineStr">
        <is>
          <t>216</t>
        </is>
      </c>
      <c r="B5484" s="4" t="n">
        <v>2</v>
      </c>
      <c r="C5484" s="4" t="inlineStr">
        <is>
          <t>mule deer</t>
        </is>
      </c>
      <c r="D5484" s="4" t="n">
        <v>2019</v>
      </c>
      <c r="E5484" s="13" t="inlineStr">
        <is>
          <t>General</t>
        </is>
      </c>
      <c r="F5484" s="5" t="n">
        <v>529</v>
      </c>
      <c r="G5484" s="5" t="n">
        <v>3628</v>
      </c>
      <c r="H5484" s="5" t="n">
        <v>73</v>
      </c>
      <c r="I5484" s="5" t="n">
        <v>70</v>
      </c>
      <c r="J5484" s="5" t="n">
        <v>3</v>
      </c>
      <c r="K5484" s="10">
        <f>IF(F5484&gt;0,H5484/F5484,"")</f>
        <v/>
      </c>
      <c r="L5484" s="16">
        <f>IF(AND(G5484&gt;0,H5484&gt;0),G5484/H5484,"")</f>
        <v/>
      </c>
    </row>
    <row r="5485">
      <c r="A5485" s="4" t="inlineStr">
        <is>
          <t>216</t>
        </is>
      </c>
      <c r="B5485" s="4" t="n">
        <v>2</v>
      </c>
      <c r="C5485" s="4" t="inlineStr">
        <is>
          <t>mule deer</t>
        </is>
      </c>
      <c r="D5485" s="4" t="n">
        <v>2020</v>
      </c>
      <c r="E5485" s="13" t="inlineStr">
        <is>
          <t>General</t>
        </is>
      </c>
      <c r="F5485" s="5" t="n"/>
      <c r="G5485" s="5" t="n"/>
      <c r="H5485" s="5" t="n">
        <v>73</v>
      </c>
      <c r="I5485" s="5" t="n">
        <v>73</v>
      </c>
      <c r="J5485" s="5" t="n">
        <v>0</v>
      </c>
      <c r="K5485" s="10">
        <f>IF(F5485&gt;0,H5485/F5485,"")</f>
        <v/>
      </c>
      <c r="L5485" s="16">
        <f>IF(AND(G5485&gt;0,H5485&gt;0),G5485/H5485,"")</f>
        <v/>
      </c>
    </row>
    <row r="5486">
      <c r="A5486" s="4" t="inlineStr">
        <is>
          <t>216</t>
        </is>
      </c>
      <c r="B5486" s="4" t="n">
        <v>2</v>
      </c>
      <c r="C5486" s="4" t="inlineStr">
        <is>
          <t>mule deer</t>
        </is>
      </c>
      <c r="D5486" s="4" t="n">
        <v>2021</v>
      </c>
      <c r="E5486" s="13" t="inlineStr">
        <is>
          <t>General</t>
        </is>
      </c>
      <c r="F5486" s="5" t="n">
        <v>415</v>
      </c>
      <c r="G5486" s="5" t="n">
        <v>2786</v>
      </c>
      <c r="H5486" s="5" t="n">
        <v>55</v>
      </c>
      <c r="I5486" s="5" t="n">
        <v>55</v>
      </c>
      <c r="J5486" s="5" t="n">
        <v>0</v>
      </c>
      <c r="K5486" s="10">
        <f>IF(F5486&gt;0,H5486/F5486,"")</f>
        <v/>
      </c>
      <c r="L5486" s="16">
        <f>IF(AND(G5486&gt;0,H5486&gt;0),G5486/H5486,"")</f>
        <v/>
      </c>
    </row>
    <row r="5487">
      <c r="A5487" s="4" t="inlineStr">
        <is>
          <t>216</t>
        </is>
      </c>
      <c r="B5487" s="4" t="n">
        <v>2</v>
      </c>
      <c r="C5487" s="4" t="inlineStr">
        <is>
          <t>mule deer</t>
        </is>
      </c>
      <c r="D5487" s="4" t="n">
        <v>2022</v>
      </c>
      <c r="E5487" s="13" t="inlineStr">
        <is>
          <t>General</t>
        </is>
      </c>
      <c r="F5487" s="5" t="n"/>
      <c r="G5487" s="5" t="n"/>
      <c r="H5487" s="5" t="n">
        <v>74</v>
      </c>
      <c r="I5487" s="5" t="n">
        <v>72</v>
      </c>
      <c r="J5487" s="5" t="n">
        <v>2</v>
      </c>
      <c r="K5487" s="10">
        <f>IF(F5487&gt;0,H5487/F5487,"")</f>
        <v/>
      </c>
      <c r="L5487" s="16">
        <f>IF(AND(G5487&gt;0,H5487&gt;0),G5487/H5487,"")</f>
        <v/>
      </c>
    </row>
    <row r="5488">
      <c r="A5488" s="4" t="inlineStr">
        <is>
          <t>216</t>
        </is>
      </c>
      <c r="B5488" s="4" t="n">
        <v>2</v>
      </c>
      <c r="C5488" s="4" t="inlineStr">
        <is>
          <t>mule deer</t>
        </is>
      </c>
      <c r="D5488" s="4" t="n">
        <v>2023</v>
      </c>
      <c r="E5488" s="13" t="inlineStr">
        <is>
          <t>General</t>
        </is>
      </c>
      <c r="F5488" s="5" t="n">
        <v>476</v>
      </c>
      <c r="G5488" s="5" t="n">
        <v>2669</v>
      </c>
      <c r="H5488" s="5" t="n">
        <v>72</v>
      </c>
      <c r="I5488" s="5" t="n">
        <v>66</v>
      </c>
      <c r="J5488" s="5" t="n">
        <v>6</v>
      </c>
      <c r="K5488" s="10">
        <f>IF(F5488&gt;0,H5488/F5488,"")</f>
        <v/>
      </c>
      <c r="L5488" s="16">
        <f>IF(AND(G5488&gt;0,H5488&gt;0),G5488/H5488,"")</f>
        <v/>
      </c>
    </row>
    <row r="5489">
      <c r="A5489" s="4" t="inlineStr">
        <is>
          <t>216</t>
        </is>
      </c>
      <c r="B5489" s="4" t="n">
        <v>2</v>
      </c>
      <c r="C5489" s="4" t="inlineStr">
        <is>
          <t>mule deer</t>
        </is>
      </c>
      <c r="D5489" s="4" t="n">
        <v>2024</v>
      </c>
      <c r="E5489" s="13" t="inlineStr">
        <is>
          <t>General</t>
        </is>
      </c>
      <c r="F5489" s="5" t="n"/>
      <c r="G5489" s="5" t="n"/>
      <c r="H5489" s="5" t="n">
        <v>75</v>
      </c>
      <c r="I5489" s="5" t="n">
        <v>75</v>
      </c>
      <c r="J5489" s="5" t="n">
        <v>0</v>
      </c>
      <c r="K5489" s="10">
        <f>IF(F5489&gt;0,H5489/F5489,"")</f>
        <v/>
      </c>
      <c r="L5489" s="16">
        <f>IF(AND(G5489&gt;0,H5489&gt;0),G5489/H5489,"")</f>
        <v/>
      </c>
    </row>
    <row r="5490">
      <c r="A5490" s="4" t="inlineStr">
        <is>
          <t>216</t>
        </is>
      </c>
      <c r="B5490" s="4" t="n">
        <v>2</v>
      </c>
      <c r="C5490" s="4" t="inlineStr">
        <is>
          <t>mule deer</t>
        </is>
      </c>
      <c r="D5490" s="4" t="n">
        <v>2025</v>
      </c>
      <c r="E5490" s="13" t="inlineStr">
        <is>
          <t>General</t>
        </is>
      </c>
      <c r="F5490" s="5" t="n">
        <v>500</v>
      </c>
      <c r="G5490" s="5" t="n">
        <v>3705</v>
      </c>
      <c r="H5490" s="5" t="n">
        <v>90</v>
      </c>
      <c r="I5490" s="5" t="n">
        <v>90</v>
      </c>
      <c r="J5490" s="5" t="n">
        <v>0</v>
      </c>
      <c r="K5490" s="10">
        <f>IF(F5490&gt;0,H5490/F5490,"")</f>
        <v/>
      </c>
      <c r="L5490" s="16">
        <f>IF(AND(G5490&gt;0,H5490&gt;0),G5490/H5490,"")</f>
        <v/>
      </c>
    </row>
    <row r="5491">
      <c r="A5491" s="4" t="inlineStr">
        <is>
          <t>217</t>
        </is>
      </c>
      <c r="B5491" s="4" t="n">
        <v>2</v>
      </c>
      <c r="C5491" s="4" t="inlineStr">
        <is>
          <t>mule deer</t>
        </is>
      </c>
      <c r="D5491" s="4" t="n">
        <v>2016</v>
      </c>
      <c r="E5491" s="13" t="inlineStr">
        <is>
          <t>General</t>
        </is>
      </c>
      <c r="F5491" s="5" t="n"/>
      <c r="G5491" s="5" t="n"/>
      <c r="H5491" s="5" t="n">
        <v>31</v>
      </c>
      <c r="I5491" s="5" t="n">
        <v>26</v>
      </c>
      <c r="J5491" s="5" t="n">
        <v>5</v>
      </c>
      <c r="K5491" s="10">
        <f>IF(F5491&gt;0,H5491/F5491,"")</f>
        <v/>
      </c>
      <c r="L5491" s="16">
        <f>IF(AND(G5491&gt;0,H5491&gt;0),G5491/H5491,"")</f>
        <v/>
      </c>
    </row>
    <row r="5492">
      <c r="A5492" s="4" t="inlineStr">
        <is>
          <t>217</t>
        </is>
      </c>
      <c r="B5492" s="4" t="n">
        <v>2</v>
      </c>
      <c r="C5492" s="4" t="inlineStr">
        <is>
          <t>mule deer</t>
        </is>
      </c>
      <c r="D5492" s="4" t="n">
        <v>2017</v>
      </c>
      <c r="E5492" s="13" t="inlineStr">
        <is>
          <t>General</t>
        </is>
      </c>
      <c r="F5492" s="5" t="n">
        <v>355</v>
      </c>
      <c r="G5492" s="5" t="n">
        <v>1761</v>
      </c>
      <c r="H5492" s="5" t="n">
        <v>59</v>
      </c>
      <c r="I5492" s="5" t="n">
        <v>59</v>
      </c>
      <c r="J5492" s="5" t="n">
        <v>0</v>
      </c>
      <c r="K5492" s="10">
        <f>IF(F5492&gt;0,H5492/F5492,"")</f>
        <v/>
      </c>
      <c r="L5492" s="16">
        <f>IF(AND(G5492&gt;0,H5492&gt;0),G5492/H5492,"")</f>
        <v/>
      </c>
    </row>
    <row r="5493">
      <c r="A5493" s="4" t="inlineStr">
        <is>
          <t>217</t>
        </is>
      </c>
      <c r="B5493" s="4" t="n">
        <v>2</v>
      </c>
      <c r="C5493" s="4" t="inlineStr">
        <is>
          <t>mule deer</t>
        </is>
      </c>
      <c r="D5493" s="4" t="n">
        <v>2018</v>
      </c>
      <c r="E5493" s="13" t="inlineStr">
        <is>
          <t>General</t>
        </is>
      </c>
      <c r="F5493" s="5" t="n"/>
      <c r="G5493" s="5" t="n"/>
      <c r="H5493" s="5" t="n">
        <v>57</v>
      </c>
      <c r="I5493" s="5" t="n">
        <v>35</v>
      </c>
      <c r="J5493" s="5" t="n">
        <v>23</v>
      </c>
      <c r="K5493" s="10">
        <f>IF(F5493&gt;0,H5493/F5493,"")</f>
        <v/>
      </c>
      <c r="L5493" s="16">
        <f>IF(AND(G5493&gt;0,H5493&gt;0),G5493/H5493,"")</f>
        <v/>
      </c>
    </row>
    <row r="5494">
      <c r="A5494" s="4" t="inlineStr">
        <is>
          <t>217</t>
        </is>
      </c>
      <c r="B5494" s="4" t="n">
        <v>2</v>
      </c>
      <c r="C5494" s="4" t="inlineStr">
        <is>
          <t>mule deer</t>
        </is>
      </c>
      <c r="D5494" s="4" t="n">
        <v>2019</v>
      </c>
      <c r="E5494" s="13" t="inlineStr">
        <is>
          <t>General</t>
        </is>
      </c>
      <c r="F5494" s="5" t="n">
        <v>383</v>
      </c>
      <c r="G5494" s="5" t="n">
        <v>2640</v>
      </c>
      <c r="H5494" s="5" t="n">
        <v>39</v>
      </c>
      <c r="I5494" s="5" t="n">
        <v>23</v>
      </c>
      <c r="J5494" s="5" t="n">
        <v>16</v>
      </c>
      <c r="K5494" s="10">
        <f>IF(F5494&gt;0,H5494/F5494,"")</f>
        <v/>
      </c>
      <c r="L5494" s="16">
        <f>IF(AND(G5494&gt;0,H5494&gt;0),G5494/H5494,"")</f>
        <v/>
      </c>
    </row>
    <row r="5495">
      <c r="A5495" s="4" t="inlineStr">
        <is>
          <t>217</t>
        </is>
      </c>
      <c r="B5495" s="4" t="n">
        <v>2</v>
      </c>
      <c r="C5495" s="4" t="inlineStr">
        <is>
          <t>mule deer</t>
        </is>
      </c>
      <c r="D5495" s="4" t="n">
        <v>2020</v>
      </c>
      <c r="E5495" s="13" t="inlineStr">
        <is>
          <t>General</t>
        </is>
      </c>
      <c r="F5495" s="5" t="n"/>
      <c r="G5495" s="5" t="n"/>
      <c r="H5495" s="5" t="n">
        <v>13</v>
      </c>
      <c r="I5495" s="5" t="n">
        <v>4</v>
      </c>
      <c r="J5495" s="5" t="n">
        <v>8</v>
      </c>
      <c r="K5495" s="10">
        <f>IF(F5495&gt;0,H5495/F5495,"")</f>
        <v/>
      </c>
      <c r="L5495" s="16">
        <f>IF(AND(G5495&gt;0,H5495&gt;0),G5495/H5495,"")</f>
        <v/>
      </c>
    </row>
    <row r="5496">
      <c r="A5496" s="4" t="inlineStr">
        <is>
          <t>217</t>
        </is>
      </c>
      <c r="B5496" s="4" t="n">
        <v>2</v>
      </c>
      <c r="C5496" s="4" t="inlineStr">
        <is>
          <t>mule deer</t>
        </is>
      </c>
      <c r="D5496" s="4" t="n">
        <v>2021</v>
      </c>
      <c r="E5496" s="13" t="inlineStr">
        <is>
          <t>General</t>
        </is>
      </c>
      <c r="F5496" s="5" t="n">
        <v>401</v>
      </c>
      <c r="G5496" s="5" t="n">
        <v>2834</v>
      </c>
      <c r="H5496" s="5" t="n">
        <v>44</v>
      </c>
      <c r="I5496" s="5" t="n">
        <v>18</v>
      </c>
      <c r="J5496" s="5" t="n">
        <v>27</v>
      </c>
      <c r="K5496" s="10">
        <f>IF(F5496&gt;0,H5496/F5496,"")</f>
        <v/>
      </c>
      <c r="L5496" s="16">
        <f>IF(AND(G5496&gt;0,H5496&gt;0),G5496/H5496,"")</f>
        <v/>
      </c>
    </row>
    <row r="5497">
      <c r="A5497" s="4" t="inlineStr">
        <is>
          <t>217</t>
        </is>
      </c>
      <c r="B5497" s="4" t="n">
        <v>2</v>
      </c>
      <c r="C5497" s="4" t="inlineStr">
        <is>
          <t>mule deer</t>
        </is>
      </c>
      <c r="D5497" s="4" t="n">
        <v>2022</v>
      </c>
      <c r="E5497" s="13" t="inlineStr">
        <is>
          <t>General</t>
        </is>
      </c>
      <c r="F5497" s="5" t="n"/>
      <c r="G5497" s="5" t="n"/>
      <c r="H5497" s="5" t="n">
        <v>40</v>
      </c>
      <c r="I5497" s="5" t="n">
        <v>29</v>
      </c>
      <c r="J5497" s="5" t="n">
        <v>12</v>
      </c>
      <c r="K5497" s="10">
        <f>IF(F5497&gt;0,H5497/F5497,"")</f>
        <v/>
      </c>
      <c r="L5497" s="16">
        <f>IF(AND(G5497&gt;0,H5497&gt;0),G5497/H5497,"")</f>
        <v/>
      </c>
    </row>
    <row r="5498">
      <c r="A5498" s="4" t="inlineStr">
        <is>
          <t>217</t>
        </is>
      </c>
      <c r="B5498" s="4" t="n">
        <v>2</v>
      </c>
      <c r="C5498" s="4" t="inlineStr">
        <is>
          <t>mule deer</t>
        </is>
      </c>
      <c r="D5498" s="4" t="n">
        <v>2023</v>
      </c>
      <c r="E5498" s="13" t="inlineStr">
        <is>
          <t>General</t>
        </is>
      </c>
      <c r="F5498" s="5" t="n">
        <v>508</v>
      </c>
      <c r="G5498" s="5" t="n">
        <v>3229</v>
      </c>
      <c r="H5498" s="5" t="n">
        <v>32</v>
      </c>
      <c r="I5498" s="5" t="n">
        <v>27</v>
      </c>
      <c r="J5498" s="5" t="n">
        <v>5</v>
      </c>
      <c r="K5498" s="10">
        <f>IF(F5498&gt;0,H5498/F5498,"")</f>
        <v/>
      </c>
      <c r="L5498" s="16">
        <f>IF(AND(G5498&gt;0,H5498&gt;0),G5498/H5498,"")</f>
        <v/>
      </c>
    </row>
    <row r="5499">
      <c r="A5499" s="4" t="inlineStr">
        <is>
          <t>217</t>
        </is>
      </c>
      <c r="B5499" s="4" t="n">
        <v>2</v>
      </c>
      <c r="C5499" s="4" t="inlineStr">
        <is>
          <t>mule deer</t>
        </is>
      </c>
      <c r="D5499" s="4" t="n">
        <v>2024</v>
      </c>
      <c r="E5499" s="13" t="inlineStr">
        <is>
          <t>General</t>
        </is>
      </c>
      <c r="F5499" s="5" t="n"/>
      <c r="G5499" s="5" t="n"/>
      <c r="H5499" s="5" t="n">
        <v>44</v>
      </c>
      <c r="I5499" s="5" t="n">
        <v>36</v>
      </c>
      <c r="J5499" s="5" t="n">
        <v>8</v>
      </c>
      <c r="K5499" s="10">
        <f>IF(F5499&gt;0,H5499/F5499,"")</f>
        <v/>
      </c>
      <c r="L5499" s="16">
        <f>IF(AND(G5499&gt;0,H5499&gt;0),G5499/H5499,"")</f>
        <v/>
      </c>
    </row>
    <row r="5500">
      <c r="A5500" s="4" t="inlineStr">
        <is>
          <t>217</t>
        </is>
      </c>
      <c r="B5500" s="4" t="n">
        <v>2</v>
      </c>
      <c r="C5500" s="4" t="inlineStr">
        <is>
          <t>mule deer</t>
        </is>
      </c>
      <c r="D5500" s="4" t="n">
        <v>2025</v>
      </c>
      <c r="E5500" s="13" t="inlineStr">
        <is>
          <t>General</t>
        </is>
      </c>
      <c r="F5500" s="5" t="n">
        <v>486</v>
      </c>
      <c r="G5500" s="5" t="n">
        <v>3268</v>
      </c>
      <c r="H5500" s="5" t="n">
        <v>52</v>
      </c>
      <c r="I5500" s="5" t="n">
        <v>49</v>
      </c>
      <c r="J5500" s="5" t="n">
        <v>4</v>
      </c>
      <c r="K5500" s="10">
        <f>IF(F5500&gt;0,H5500/F5500,"")</f>
        <v/>
      </c>
      <c r="L5500" s="16">
        <f>IF(AND(G5500&gt;0,H5500&gt;0),G5500/H5500,"")</f>
        <v/>
      </c>
    </row>
    <row r="5501">
      <c r="A5501" s="4" t="inlineStr">
        <is>
          <t>240</t>
        </is>
      </c>
      <c r="B5501" s="4" t="n">
        <v>2</v>
      </c>
      <c r="C5501" s="4" t="inlineStr">
        <is>
          <t>mule deer</t>
        </is>
      </c>
      <c r="D5501" s="4" t="n">
        <v>2004</v>
      </c>
      <c r="E5501" s="13" t="inlineStr">
        <is>
          <t>General</t>
        </is>
      </c>
      <c r="F5501" s="5" t="n">
        <v>2179</v>
      </c>
      <c r="G5501" s="5" t="n">
        <v>12786</v>
      </c>
      <c r="H5501" s="5" t="n">
        <v>138</v>
      </c>
      <c r="I5501" s="5" t="n">
        <v>137</v>
      </c>
      <c r="J5501" s="5" t="n">
        <v>2</v>
      </c>
      <c r="K5501" s="10">
        <f>IF(F5501&gt;0,H5501/F5501,"")</f>
        <v/>
      </c>
      <c r="L5501" s="16">
        <f>IF(AND(G5501&gt;0,H5501&gt;0),G5501/H5501,"")</f>
        <v/>
      </c>
    </row>
    <row r="5502">
      <c r="A5502" s="4" t="inlineStr">
        <is>
          <t>240</t>
        </is>
      </c>
      <c r="B5502" s="4" t="n">
        <v>2</v>
      </c>
      <c r="C5502" s="4" t="inlineStr">
        <is>
          <t>mule deer</t>
        </is>
      </c>
      <c r="D5502" s="4" t="n">
        <v>2005</v>
      </c>
      <c r="E5502" s="13" t="inlineStr">
        <is>
          <t>General</t>
        </is>
      </c>
      <c r="F5502" s="5" t="n">
        <v>2443</v>
      </c>
      <c r="G5502" s="5" t="n">
        <v>13841</v>
      </c>
      <c r="H5502" s="5" t="n">
        <v>155</v>
      </c>
      <c r="I5502" s="5" t="n">
        <v>153</v>
      </c>
      <c r="J5502" s="5" t="n">
        <v>2</v>
      </c>
      <c r="K5502" s="10">
        <f>IF(F5502&gt;0,H5502/F5502,"")</f>
        <v/>
      </c>
      <c r="L5502" s="16">
        <f>IF(AND(G5502&gt;0,H5502&gt;0),G5502/H5502,"")</f>
        <v/>
      </c>
    </row>
    <row r="5503">
      <c r="A5503" s="4" t="inlineStr">
        <is>
          <t>240</t>
        </is>
      </c>
      <c r="B5503" s="4" t="n">
        <v>2</v>
      </c>
      <c r="C5503" s="4" t="inlineStr">
        <is>
          <t>mule deer</t>
        </is>
      </c>
      <c r="D5503" s="4" t="n">
        <v>2006</v>
      </c>
      <c r="E5503" s="13" t="inlineStr">
        <is>
          <t>General</t>
        </is>
      </c>
      <c r="F5503" s="5" t="n">
        <v>2633</v>
      </c>
      <c r="G5503" s="5" t="n">
        <v>16635</v>
      </c>
      <c r="H5503" s="5" t="n">
        <v>249</v>
      </c>
      <c r="I5503" s="5" t="n">
        <v>235</v>
      </c>
      <c r="J5503" s="5" t="n">
        <v>15</v>
      </c>
      <c r="K5503" s="10">
        <f>IF(F5503&gt;0,H5503/F5503,"")</f>
        <v/>
      </c>
      <c r="L5503" s="16">
        <f>IF(AND(G5503&gt;0,H5503&gt;0),G5503/H5503,"")</f>
        <v/>
      </c>
    </row>
    <row r="5504">
      <c r="A5504" s="4" t="inlineStr">
        <is>
          <t>240</t>
        </is>
      </c>
      <c r="B5504" s="4" t="n">
        <v>2</v>
      </c>
      <c r="C5504" s="4" t="inlineStr">
        <is>
          <t>mule deer</t>
        </is>
      </c>
      <c r="D5504" s="4" t="n">
        <v>2007</v>
      </c>
      <c r="E5504" s="13" t="inlineStr">
        <is>
          <t>General</t>
        </is>
      </c>
      <c r="F5504" s="5" t="n">
        <v>2456</v>
      </c>
      <c r="G5504" s="5" t="n">
        <v>15158</v>
      </c>
      <c r="H5504" s="5" t="n">
        <v>164</v>
      </c>
      <c r="I5504" s="5" t="n">
        <v>142</v>
      </c>
      <c r="J5504" s="5" t="n">
        <v>22</v>
      </c>
      <c r="K5504" s="10">
        <f>IF(F5504&gt;0,H5504/F5504,"")</f>
        <v/>
      </c>
      <c r="L5504" s="16">
        <f>IF(AND(G5504&gt;0,H5504&gt;0),G5504/H5504,"")</f>
        <v/>
      </c>
    </row>
    <row r="5505">
      <c r="A5505" s="4" t="inlineStr">
        <is>
          <t>240</t>
        </is>
      </c>
      <c r="B5505" s="4" t="n">
        <v>2</v>
      </c>
      <c r="C5505" s="4" t="inlineStr">
        <is>
          <t>mule deer</t>
        </is>
      </c>
      <c r="D5505" s="4" t="n">
        <v>2008</v>
      </c>
      <c r="E5505" s="13" t="inlineStr">
        <is>
          <t>General</t>
        </is>
      </c>
      <c r="F5505" s="5" t="n">
        <v>2400</v>
      </c>
      <c r="G5505" s="5" t="n">
        <v>18046</v>
      </c>
      <c r="H5505" s="5" t="n">
        <v>75</v>
      </c>
      <c r="I5505" s="5" t="n">
        <v>72</v>
      </c>
      <c r="J5505" s="5" t="n">
        <v>3</v>
      </c>
      <c r="K5505" s="10">
        <f>IF(F5505&gt;0,H5505/F5505,"")</f>
        <v/>
      </c>
      <c r="L5505" s="16">
        <f>IF(AND(G5505&gt;0,H5505&gt;0),G5505/H5505,"")</f>
        <v/>
      </c>
    </row>
    <row r="5506">
      <c r="A5506" s="4" t="inlineStr">
        <is>
          <t>240</t>
        </is>
      </c>
      <c r="B5506" s="4" t="n">
        <v>2</v>
      </c>
      <c r="C5506" s="4" t="inlineStr">
        <is>
          <t>mule deer</t>
        </is>
      </c>
      <c r="D5506" s="4" t="n">
        <v>2009</v>
      </c>
      <c r="E5506" s="13" t="inlineStr">
        <is>
          <t>General</t>
        </is>
      </c>
      <c r="F5506" s="5" t="n">
        <v>2144</v>
      </c>
      <c r="G5506" s="5" t="n">
        <v>13710</v>
      </c>
      <c r="H5506" s="5" t="n">
        <v>81</v>
      </c>
      <c r="I5506" s="5" t="n">
        <v>65</v>
      </c>
      <c r="J5506" s="5" t="n">
        <v>15</v>
      </c>
      <c r="K5506" s="10">
        <f>IF(F5506&gt;0,H5506/F5506,"")</f>
        <v/>
      </c>
      <c r="L5506" s="16">
        <f>IF(AND(G5506&gt;0,H5506&gt;0),G5506/H5506,"")</f>
        <v/>
      </c>
    </row>
    <row r="5507">
      <c r="A5507" s="4" t="inlineStr">
        <is>
          <t>240</t>
        </is>
      </c>
      <c r="B5507" s="4" t="n">
        <v>2</v>
      </c>
      <c r="C5507" s="4" t="inlineStr">
        <is>
          <t>mule deer</t>
        </is>
      </c>
      <c r="D5507" s="4" t="n">
        <v>2010</v>
      </c>
      <c r="E5507" s="13" t="inlineStr">
        <is>
          <t>General</t>
        </is>
      </c>
      <c r="F5507" s="5" t="n">
        <v>2007</v>
      </c>
      <c r="G5507" s="5" t="n">
        <v>13027</v>
      </c>
      <c r="H5507" s="5" t="n">
        <v>90</v>
      </c>
      <c r="I5507" s="5" t="n">
        <v>84</v>
      </c>
      <c r="J5507" s="5" t="n">
        <v>6</v>
      </c>
      <c r="K5507" s="10">
        <f>IF(F5507&gt;0,H5507/F5507,"")</f>
        <v/>
      </c>
      <c r="L5507" s="16">
        <f>IF(AND(G5507&gt;0,H5507&gt;0),G5507/H5507,"")</f>
        <v/>
      </c>
    </row>
    <row r="5508">
      <c r="A5508" s="4" t="inlineStr">
        <is>
          <t>240</t>
        </is>
      </c>
      <c r="B5508" s="4" t="n">
        <v>2</v>
      </c>
      <c r="C5508" s="4" t="inlineStr">
        <is>
          <t>mule deer</t>
        </is>
      </c>
      <c r="D5508" s="4" t="n">
        <v>2011</v>
      </c>
      <c r="E5508" s="13" t="inlineStr">
        <is>
          <t>General</t>
        </is>
      </c>
      <c r="F5508" s="5" t="n">
        <v>2107</v>
      </c>
      <c r="G5508" s="5" t="n">
        <v>14230</v>
      </c>
      <c r="H5508" s="5" t="n">
        <v>79</v>
      </c>
      <c r="I5508" s="5" t="n">
        <v>79</v>
      </c>
      <c r="J5508" s="5" t="n">
        <v>0</v>
      </c>
      <c r="K5508" s="10">
        <f>IF(F5508&gt;0,H5508/F5508,"")</f>
        <v/>
      </c>
      <c r="L5508" s="16">
        <f>IF(AND(G5508&gt;0,H5508&gt;0),G5508/H5508,"")</f>
        <v/>
      </c>
    </row>
    <row r="5509">
      <c r="A5509" s="4" t="inlineStr">
        <is>
          <t>240</t>
        </is>
      </c>
      <c r="B5509" s="4" t="n">
        <v>2</v>
      </c>
      <c r="C5509" s="4" t="inlineStr">
        <is>
          <t>mule deer</t>
        </is>
      </c>
      <c r="D5509" s="4" t="n">
        <v>2012</v>
      </c>
      <c r="E5509" s="13" t="inlineStr">
        <is>
          <t>General</t>
        </is>
      </c>
      <c r="F5509" s="5" t="n"/>
      <c r="G5509" s="5" t="n"/>
      <c r="H5509" s="5" t="n">
        <v>81</v>
      </c>
      <c r="I5509" s="5" t="n">
        <v>79</v>
      </c>
      <c r="J5509" s="5" t="n">
        <v>2</v>
      </c>
      <c r="K5509" s="10">
        <f>IF(F5509&gt;0,H5509/F5509,"")</f>
        <v/>
      </c>
      <c r="L5509" s="16">
        <f>IF(AND(G5509&gt;0,H5509&gt;0),G5509/H5509,"")</f>
        <v/>
      </c>
    </row>
    <row r="5510">
      <c r="A5510" s="4" t="inlineStr">
        <is>
          <t>240</t>
        </is>
      </c>
      <c r="B5510" s="4" t="n">
        <v>2</v>
      </c>
      <c r="C5510" s="4" t="inlineStr">
        <is>
          <t>mule deer</t>
        </is>
      </c>
      <c r="D5510" s="4" t="n">
        <v>2013</v>
      </c>
      <c r="E5510" s="13" t="inlineStr">
        <is>
          <t>General</t>
        </is>
      </c>
      <c r="F5510" s="5" t="n">
        <v>2153</v>
      </c>
      <c r="G5510" s="5" t="n">
        <v>13159</v>
      </c>
      <c r="H5510" s="5" t="n">
        <v>115</v>
      </c>
      <c r="I5510" s="5" t="n">
        <v>105</v>
      </c>
      <c r="J5510" s="5" t="n">
        <v>10</v>
      </c>
      <c r="K5510" s="10">
        <f>IF(F5510&gt;0,H5510/F5510,"")</f>
        <v/>
      </c>
      <c r="L5510" s="16">
        <f>IF(AND(G5510&gt;0,H5510&gt;0),G5510/H5510,"")</f>
        <v/>
      </c>
    </row>
    <row r="5511">
      <c r="A5511" s="4" t="inlineStr">
        <is>
          <t>240</t>
        </is>
      </c>
      <c r="B5511" s="4" t="n">
        <v>2</v>
      </c>
      <c r="C5511" s="4" t="inlineStr">
        <is>
          <t>mule deer</t>
        </is>
      </c>
      <c r="D5511" s="4" t="n">
        <v>2014</v>
      </c>
      <c r="E5511" s="13" t="inlineStr">
        <is>
          <t>General</t>
        </is>
      </c>
      <c r="F5511" s="5" t="n"/>
      <c r="G5511" s="5" t="n"/>
      <c r="H5511" s="5" t="n">
        <v>118</v>
      </c>
      <c r="I5511" s="5" t="n">
        <v>108</v>
      </c>
      <c r="J5511" s="5" t="n">
        <v>10</v>
      </c>
      <c r="K5511" s="10">
        <f>IF(F5511&gt;0,H5511/F5511,"")</f>
        <v/>
      </c>
      <c r="L5511" s="16">
        <f>IF(AND(G5511&gt;0,H5511&gt;0),G5511/H5511,"")</f>
        <v/>
      </c>
    </row>
    <row r="5512">
      <c r="A5512" s="4" t="inlineStr">
        <is>
          <t>240</t>
        </is>
      </c>
      <c r="B5512" s="4" t="n">
        <v>2</v>
      </c>
      <c r="C5512" s="4" t="inlineStr">
        <is>
          <t>mule deer</t>
        </is>
      </c>
      <c r="D5512" s="4" t="n">
        <v>2015</v>
      </c>
      <c r="E5512" s="13" t="inlineStr">
        <is>
          <t>General</t>
        </is>
      </c>
      <c r="F5512" s="5" t="n"/>
      <c r="G5512" s="5" t="n"/>
      <c r="H5512" s="5" t="n">
        <v>106</v>
      </c>
      <c r="I5512" s="5" t="n">
        <v>106</v>
      </c>
      <c r="J5512" s="5" t="n">
        <v>0</v>
      </c>
      <c r="K5512" s="10">
        <f>IF(F5512&gt;0,H5512/F5512,"")</f>
        <v/>
      </c>
      <c r="L5512" s="16">
        <f>IF(AND(G5512&gt;0,H5512&gt;0),G5512/H5512,"")</f>
        <v/>
      </c>
    </row>
    <row r="5513">
      <c r="A5513" s="4" t="inlineStr">
        <is>
          <t>240</t>
        </is>
      </c>
      <c r="B5513" s="4" t="n">
        <v>2</v>
      </c>
      <c r="C5513" s="4" t="inlineStr">
        <is>
          <t>mule deer</t>
        </is>
      </c>
      <c r="D5513" s="4" t="n">
        <v>2016</v>
      </c>
      <c r="E5513" s="13" t="inlineStr">
        <is>
          <t>General</t>
        </is>
      </c>
      <c r="F5513" s="5" t="n"/>
      <c r="G5513" s="5" t="n"/>
      <c r="H5513" s="5" t="n">
        <v>136</v>
      </c>
      <c r="I5513" s="5" t="n">
        <v>121</v>
      </c>
      <c r="J5513" s="5" t="n">
        <v>16</v>
      </c>
      <c r="K5513" s="10">
        <f>IF(F5513&gt;0,H5513/F5513,"")</f>
        <v/>
      </c>
      <c r="L5513" s="16">
        <f>IF(AND(G5513&gt;0,H5513&gt;0),G5513/H5513,"")</f>
        <v/>
      </c>
    </row>
    <row r="5514">
      <c r="A5514" s="4" t="inlineStr">
        <is>
          <t>240</t>
        </is>
      </c>
      <c r="B5514" s="4" t="n">
        <v>2</v>
      </c>
      <c r="C5514" s="4" t="inlineStr">
        <is>
          <t>mule deer</t>
        </is>
      </c>
      <c r="D5514" s="4" t="n">
        <v>2017</v>
      </c>
      <c r="E5514" s="13" t="inlineStr">
        <is>
          <t>General</t>
        </is>
      </c>
      <c r="F5514" s="5" t="n">
        <v>2111</v>
      </c>
      <c r="G5514" s="5" t="n">
        <v>13906</v>
      </c>
      <c r="H5514" s="5" t="n">
        <v>106</v>
      </c>
      <c r="I5514" s="5" t="n">
        <v>100</v>
      </c>
      <c r="J5514" s="5" t="n">
        <v>6</v>
      </c>
      <c r="K5514" s="10">
        <f>IF(F5514&gt;0,H5514/F5514,"")</f>
        <v/>
      </c>
      <c r="L5514" s="16">
        <f>IF(AND(G5514&gt;0,H5514&gt;0),G5514/H5514,"")</f>
        <v/>
      </c>
    </row>
    <row r="5515">
      <c r="A5515" s="4" t="inlineStr">
        <is>
          <t>240</t>
        </is>
      </c>
      <c r="B5515" s="4" t="n">
        <v>2</v>
      </c>
      <c r="C5515" s="4" t="inlineStr">
        <is>
          <t>mule deer</t>
        </is>
      </c>
      <c r="D5515" s="4" t="n">
        <v>2018</v>
      </c>
      <c r="E5515" s="13" t="inlineStr">
        <is>
          <t>General</t>
        </is>
      </c>
      <c r="F5515" s="5" t="n"/>
      <c r="G5515" s="5" t="n"/>
      <c r="H5515" s="5" t="n">
        <v>100</v>
      </c>
      <c r="I5515" s="5" t="n">
        <v>87</v>
      </c>
      <c r="J5515" s="5" t="n">
        <v>13</v>
      </c>
      <c r="K5515" s="10">
        <f>IF(F5515&gt;0,H5515/F5515,"")</f>
        <v/>
      </c>
      <c r="L5515" s="16">
        <f>IF(AND(G5515&gt;0,H5515&gt;0),G5515/H5515,"")</f>
        <v/>
      </c>
    </row>
    <row r="5516">
      <c r="A5516" s="4" t="inlineStr">
        <is>
          <t>240</t>
        </is>
      </c>
      <c r="B5516" s="4" t="n">
        <v>2</v>
      </c>
      <c r="C5516" s="4" t="inlineStr">
        <is>
          <t>mule deer</t>
        </is>
      </c>
      <c r="D5516" s="4" t="n">
        <v>2019</v>
      </c>
      <c r="E5516" s="13" t="inlineStr">
        <is>
          <t>General</t>
        </is>
      </c>
      <c r="F5516" s="5" t="n">
        <v>2006</v>
      </c>
      <c r="G5516" s="5" t="n">
        <v>14554</v>
      </c>
      <c r="H5516" s="5" t="n">
        <v>112</v>
      </c>
      <c r="I5516" s="5" t="n">
        <v>102</v>
      </c>
      <c r="J5516" s="5" t="n">
        <v>10</v>
      </c>
      <c r="K5516" s="10">
        <f>IF(F5516&gt;0,H5516/F5516,"")</f>
        <v/>
      </c>
      <c r="L5516" s="16">
        <f>IF(AND(G5516&gt;0,H5516&gt;0),G5516/H5516,"")</f>
        <v/>
      </c>
    </row>
    <row r="5517">
      <c r="A5517" s="4" t="inlineStr">
        <is>
          <t>240</t>
        </is>
      </c>
      <c r="B5517" s="4" t="n">
        <v>2</v>
      </c>
      <c r="C5517" s="4" t="inlineStr">
        <is>
          <t>mule deer</t>
        </is>
      </c>
      <c r="D5517" s="4" t="n">
        <v>2020</v>
      </c>
      <c r="E5517" s="13" t="inlineStr">
        <is>
          <t>General</t>
        </is>
      </c>
      <c r="F5517" s="5" t="n"/>
      <c r="G5517" s="5" t="n"/>
      <c r="H5517" s="5" t="n">
        <v>120</v>
      </c>
      <c r="I5517" s="5" t="n">
        <v>113</v>
      </c>
      <c r="J5517" s="5" t="n">
        <v>7</v>
      </c>
      <c r="K5517" s="10">
        <f>IF(F5517&gt;0,H5517/F5517,"")</f>
        <v/>
      </c>
      <c r="L5517" s="16">
        <f>IF(AND(G5517&gt;0,H5517&gt;0),G5517/H5517,"")</f>
        <v/>
      </c>
    </row>
    <row r="5518">
      <c r="A5518" s="4" t="inlineStr">
        <is>
          <t>240</t>
        </is>
      </c>
      <c r="B5518" s="4" t="n">
        <v>2</v>
      </c>
      <c r="C5518" s="4" t="inlineStr">
        <is>
          <t>mule deer</t>
        </is>
      </c>
      <c r="D5518" s="4" t="n">
        <v>2021</v>
      </c>
      <c r="E5518" s="13" t="inlineStr">
        <is>
          <t>General</t>
        </is>
      </c>
      <c r="F5518" s="5" t="n">
        <v>1993</v>
      </c>
      <c r="G5518" s="5" t="n">
        <v>12889</v>
      </c>
      <c r="H5518" s="5" t="n">
        <v>114</v>
      </c>
      <c r="I5518" s="5" t="n">
        <v>103</v>
      </c>
      <c r="J5518" s="5" t="n">
        <v>11</v>
      </c>
      <c r="K5518" s="10">
        <f>IF(F5518&gt;0,H5518/F5518,"")</f>
        <v/>
      </c>
      <c r="L5518" s="16">
        <f>IF(AND(G5518&gt;0,H5518&gt;0),G5518/H5518,"")</f>
        <v/>
      </c>
    </row>
    <row r="5519">
      <c r="A5519" s="4" t="inlineStr">
        <is>
          <t>240</t>
        </is>
      </c>
      <c r="B5519" s="4" t="n">
        <v>2</v>
      </c>
      <c r="C5519" s="4" t="inlineStr">
        <is>
          <t>mule deer</t>
        </is>
      </c>
      <c r="D5519" s="4" t="n">
        <v>2022</v>
      </c>
      <c r="E5519" s="13" t="inlineStr">
        <is>
          <t>General</t>
        </is>
      </c>
      <c r="F5519" s="5" t="n"/>
      <c r="G5519" s="5" t="n"/>
      <c r="H5519" s="5" t="n">
        <v>108</v>
      </c>
      <c r="I5519" s="5" t="n">
        <v>94</v>
      </c>
      <c r="J5519" s="5" t="n">
        <v>14</v>
      </c>
      <c r="K5519" s="10">
        <f>IF(F5519&gt;0,H5519/F5519,"")</f>
        <v/>
      </c>
      <c r="L5519" s="16">
        <f>IF(AND(G5519&gt;0,H5519&gt;0),G5519/H5519,"")</f>
        <v/>
      </c>
    </row>
    <row r="5520">
      <c r="A5520" s="4" t="inlineStr">
        <is>
          <t>240</t>
        </is>
      </c>
      <c r="B5520" s="4" t="n">
        <v>2</v>
      </c>
      <c r="C5520" s="4" t="inlineStr">
        <is>
          <t>mule deer</t>
        </is>
      </c>
      <c r="D5520" s="4" t="n">
        <v>2023</v>
      </c>
      <c r="E5520" s="13" t="inlineStr">
        <is>
          <t>General</t>
        </is>
      </c>
      <c r="F5520" s="5" t="n">
        <v>2226</v>
      </c>
      <c r="G5520" s="5" t="n">
        <v>15797</v>
      </c>
      <c r="H5520" s="5" t="n">
        <v>114</v>
      </c>
      <c r="I5520" s="5" t="n">
        <v>114</v>
      </c>
      <c r="J5520" s="5" t="n">
        <v>0</v>
      </c>
      <c r="K5520" s="10">
        <f>IF(F5520&gt;0,H5520/F5520,"")</f>
        <v/>
      </c>
      <c r="L5520" s="16">
        <f>IF(AND(G5520&gt;0,H5520&gt;0),G5520/H5520,"")</f>
        <v/>
      </c>
    </row>
    <row r="5521">
      <c r="A5521" s="4" t="inlineStr">
        <is>
          <t>240</t>
        </is>
      </c>
      <c r="B5521" s="4" t="n">
        <v>2</v>
      </c>
      <c r="C5521" s="4" t="inlineStr">
        <is>
          <t>mule deer</t>
        </is>
      </c>
      <c r="D5521" s="4" t="n">
        <v>2024</v>
      </c>
      <c r="E5521" s="13" t="inlineStr">
        <is>
          <t>General</t>
        </is>
      </c>
      <c r="F5521" s="5" t="n"/>
      <c r="G5521" s="5" t="n"/>
      <c r="H5521" s="5" t="n">
        <v>132</v>
      </c>
      <c r="I5521" s="5" t="n">
        <v>132</v>
      </c>
      <c r="J5521" s="5" t="n">
        <v>0</v>
      </c>
      <c r="K5521" s="10">
        <f>IF(F5521&gt;0,H5521/F5521,"")</f>
        <v/>
      </c>
      <c r="L5521" s="16">
        <f>IF(AND(G5521&gt;0,H5521&gt;0),G5521/H5521,"")</f>
        <v/>
      </c>
    </row>
    <row r="5522">
      <c r="A5522" s="4" t="inlineStr">
        <is>
          <t>240</t>
        </is>
      </c>
      <c r="B5522" s="4" t="n">
        <v>2</v>
      </c>
      <c r="C5522" s="4" t="inlineStr">
        <is>
          <t>mule deer</t>
        </is>
      </c>
      <c r="D5522" s="4" t="n">
        <v>2025</v>
      </c>
      <c r="E5522" s="13" t="inlineStr">
        <is>
          <t>General</t>
        </is>
      </c>
      <c r="F5522" s="5" t="n">
        <v>2009</v>
      </c>
      <c r="G5522" s="5" t="n">
        <v>13438</v>
      </c>
      <c r="H5522" s="5" t="n">
        <v>135</v>
      </c>
      <c r="I5522" s="5" t="n">
        <v>131</v>
      </c>
      <c r="J5522" s="5" t="n">
        <v>4</v>
      </c>
      <c r="K5522" s="10">
        <f>IF(F5522&gt;0,H5522/F5522,"")</f>
        <v/>
      </c>
      <c r="L5522" s="16">
        <f>IF(AND(G5522&gt;0,H5522&gt;0),G5522/H5522,"")</f>
        <v/>
      </c>
    </row>
    <row r="5523">
      <c r="A5523" s="4" t="inlineStr">
        <is>
          <t>250</t>
        </is>
      </c>
      <c r="B5523" s="4" t="n">
        <v>2</v>
      </c>
      <c r="C5523" s="4" t="inlineStr">
        <is>
          <t>mule deer</t>
        </is>
      </c>
      <c r="D5523" s="4" t="n">
        <v>2004</v>
      </c>
      <c r="E5523" s="15" t="inlineStr">
        <is>
          <t>Draw</t>
        </is>
      </c>
      <c r="F5523" s="5" t="n">
        <v>1387</v>
      </c>
      <c r="G5523" s="5" t="n">
        <v>9646</v>
      </c>
      <c r="H5523" s="5" t="n">
        <v>272</v>
      </c>
      <c r="I5523" s="5" t="n">
        <v>265</v>
      </c>
      <c r="J5523" s="5" t="n">
        <v>7</v>
      </c>
      <c r="K5523" s="10">
        <f>IF(F5523&gt;0,H5523/F5523,"")</f>
        <v/>
      </c>
      <c r="L5523" s="16">
        <f>IF(AND(G5523&gt;0,H5523&gt;0),G5523/H5523,"")</f>
        <v/>
      </c>
    </row>
    <row r="5524">
      <c r="A5524" s="4" t="inlineStr">
        <is>
          <t>250</t>
        </is>
      </c>
      <c r="B5524" s="4" t="n">
        <v>2</v>
      </c>
      <c r="C5524" s="4" t="inlineStr">
        <is>
          <t>mule deer</t>
        </is>
      </c>
      <c r="D5524" s="4" t="n">
        <v>2005</v>
      </c>
      <c r="E5524" s="15" t="inlineStr">
        <is>
          <t>Draw</t>
        </is>
      </c>
      <c r="F5524" s="5" t="n">
        <v>1478</v>
      </c>
      <c r="G5524" s="5" t="n">
        <v>9708</v>
      </c>
      <c r="H5524" s="5" t="n">
        <v>264</v>
      </c>
      <c r="I5524" s="5" t="n">
        <v>262</v>
      </c>
      <c r="J5524" s="5" t="n">
        <v>2</v>
      </c>
      <c r="K5524" s="10">
        <f>IF(F5524&gt;0,H5524/F5524,"")</f>
        <v/>
      </c>
      <c r="L5524" s="16">
        <f>IF(AND(G5524&gt;0,H5524&gt;0),G5524/H5524,"")</f>
        <v/>
      </c>
    </row>
    <row r="5525">
      <c r="A5525" s="4" t="inlineStr">
        <is>
          <t>250</t>
        </is>
      </c>
      <c r="B5525" s="4" t="n">
        <v>2</v>
      </c>
      <c r="C5525" s="4" t="inlineStr">
        <is>
          <t>mule deer</t>
        </is>
      </c>
      <c r="D5525" s="4" t="n">
        <v>2006</v>
      </c>
      <c r="E5525" s="15" t="inlineStr">
        <is>
          <t>Draw</t>
        </is>
      </c>
      <c r="F5525" s="5" t="n">
        <v>1557</v>
      </c>
      <c r="G5525" s="5" t="n">
        <v>11647</v>
      </c>
      <c r="H5525" s="5" t="n">
        <v>274</v>
      </c>
      <c r="I5525" s="5" t="n">
        <v>267</v>
      </c>
      <c r="J5525" s="5" t="n">
        <v>7</v>
      </c>
      <c r="K5525" s="10">
        <f>IF(F5525&gt;0,H5525/F5525,"")</f>
        <v/>
      </c>
      <c r="L5525" s="16">
        <f>IF(AND(G5525&gt;0,H5525&gt;0),G5525/H5525,"")</f>
        <v/>
      </c>
    </row>
    <row r="5526">
      <c r="A5526" s="4" t="inlineStr">
        <is>
          <t>250</t>
        </is>
      </c>
      <c r="B5526" s="4" t="n">
        <v>2</v>
      </c>
      <c r="C5526" s="4" t="inlineStr">
        <is>
          <t>mule deer</t>
        </is>
      </c>
      <c r="D5526" s="4" t="n">
        <v>2007</v>
      </c>
      <c r="E5526" s="15" t="inlineStr">
        <is>
          <t>Draw</t>
        </is>
      </c>
      <c r="F5526" s="5" t="n">
        <v>1492</v>
      </c>
      <c r="G5526" s="5" t="n">
        <v>11150</v>
      </c>
      <c r="H5526" s="5" t="n">
        <v>176</v>
      </c>
      <c r="I5526" s="5" t="n">
        <v>176</v>
      </c>
      <c r="J5526" s="5" t="n">
        <v>0</v>
      </c>
      <c r="K5526" s="10">
        <f>IF(F5526&gt;0,H5526/F5526,"")</f>
        <v/>
      </c>
      <c r="L5526" s="16">
        <f>IF(AND(G5526&gt;0,H5526&gt;0),G5526/H5526,"")</f>
        <v/>
      </c>
    </row>
    <row r="5527">
      <c r="A5527" s="4" t="inlineStr">
        <is>
          <t>250</t>
        </is>
      </c>
      <c r="B5527" s="4" t="n">
        <v>2</v>
      </c>
      <c r="C5527" s="4" t="inlineStr">
        <is>
          <t>mule deer</t>
        </is>
      </c>
      <c r="D5527" s="4" t="n">
        <v>2008</v>
      </c>
      <c r="E5527" s="15" t="inlineStr">
        <is>
          <t>Draw</t>
        </is>
      </c>
      <c r="F5527" s="5" t="n">
        <v>1338</v>
      </c>
      <c r="G5527" s="5" t="n">
        <v>9749</v>
      </c>
      <c r="H5527" s="5" t="n">
        <v>134</v>
      </c>
      <c r="I5527" s="5" t="n">
        <v>126</v>
      </c>
      <c r="J5527" s="5" t="n">
        <v>9</v>
      </c>
      <c r="K5527" s="10">
        <f>IF(F5527&gt;0,H5527/F5527,"")</f>
        <v/>
      </c>
      <c r="L5527" s="16">
        <f>IF(AND(G5527&gt;0,H5527&gt;0),G5527/H5527,"")</f>
        <v/>
      </c>
    </row>
    <row r="5528">
      <c r="A5528" s="4" t="inlineStr">
        <is>
          <t>250</t>
        </is>
      </c>
      <c r="B5528" s="4" t="n">
        <v>2</v>
      </c>
      <c r="C5528" s="4" t="inlineStr">
        <is>
          <t>mule deer</t>
        </is>
      </c>
      <c r="D5528" s="4" t="n">
        <v>2009</v>
      </c>
      <c r="E5528" s="15" t="inlineStr">
        <is>
          <t>Draw</t>
        </is>
      </c>
      <c r="F5528" s="5" t="n">
        <v>881</v>
      </c>
      <c r="G5528" s="5" t="n">
        <v>7005</v>
      </c>
      <c r="H5528" s="5" t="n">
        <v>88</v>
      </c>
      <c r="I5528" s="5" t="n">
        <v>85</v>
      </c>
      <c r="J5528" s="5" t="n">
        <v>3</v>
      </c>
      <c r="K5528" s="10">
        <f>IF(F5528&gt;0,H5528/F5528,"")</f>
        <v/>
      </c>
      <c r="L5528" s="16">
        <f>IF(AND(G5528&gt;0,H5528&gt;0),G5528/H5528,"")</f>
        <v/>
      </c>
    </row>
    <row r="5529">
      <c r="A5529" s="4" t="inlineStr">
        <is>
          <t>250</t>
        </is>
      </c>
      <c r="B5529" s="4" t="n">
        <v>2</v>
      </c>
      <c r="C5529" s="4" t="inlineStr">
        <is>
          <t>mule deer</t>
        </is>
      </c>
      <c r="D5529" s="4" t="n">
        <v>2010</v>
      </c>
      <c r="E5529" s="15" t="inlineStr">
        <is>
          <t>Draw</t>
        </is>
      </c>
      <c r="F5529" s="5" t="n">
        <v>692</v>
      </c>
      <c r="G5529" s="5" t="n">
        <v>4507</v>
      </c>
      <c r="H5529" s="5" t="n">
        <v>45</v>
      </c>
      <c r="I5529" s="5" t="n">
        <v>43</v>
      </c>
      <c r="J5529" s="5" t="n">
        <v>3</v>
      </c>
      <c r="K5529" s="10">
        <f>IF(F5529&gt;0,H5529/F5529,"")</f>
        <v/>
      </c>
      <c r="L5529" s="16">
        <f>IF(AND(G5529&gt;0,H5529&gt;0),G5529/H5529,"")</f>
        <v/>
      </c>
    </row>
    <row r="5530">
      <c r="A5530" s="4" t="inlineStr">
        <is>
          <t>250</t>
        </is>
      </c>
      <c r="B5530" s="4" t="n">
        <v>2</v>
      </c>
      <c r="C5530" s="4" t="inlineStr">
        <is>
          <t>mule deer</t>
        </is>
      </c>
      <c r="D5530" s="4" t="n">
        <v>2011</v>
      </c>
      <c r="E5530" s="15" t="inlineStr">
        <is>
          <t>Draw</t>
        </is>
      </c>
      <c r="F5530" s="5" t="n">
        <v>590</v>
      </c>
      <c r="G5530" s="5" t="n">
        <v>4024</v>
      </c>
      <c r="H5530" s="5" t="n">
        <v>29</v>
      </c>
      <c r="I5530" s="5" t="n">
        <v>29</v>
      </c>
      <c r="J5530" s="5" t="n">
        <v>0</v>
      </c>
      <c r="K5530" s="10">
        <f>IF(F5530&gt;0,H5530/F5530,"")</f>
        <v/>
      </c>
      <c r="L5530" s="16">
        <f>IF(AND(G5530&gt;0,H5530&gt;0),G5530/H5530,"")</f>
        <v/>
      </c>
    </row>
    <row r="5531">
      <c r="A5531" s="4" t="inlineStr">
        <is>
          <t>250</t>
        </is>
      </c>
      <c r="B5531" s="4" t="n">
        <v>2</v>
      </c>
      <c r="C5531" s="4" t="inlineStr">
        <is>
          <t>mule deer</t>
        </is>
      </c>
      <c r="D5531" s="4" t="n">
        <v>2012</v>
      </c>
      <c r="E5531" s="15" t="inlineStr">
        <is>
          <t>Draw</t>
        </is>
      </c>
      <c r="F5531" s="5" t="n"/>
      <c r="G5531" s="5" t="n"/>
      <c r="H5531" s="5" t="n">
        <v>40</v>
      </c>
      <c r="I5531" s="5" t="n">
        <v>40</v>
      </c>
      <c r="J5531" s="5" t="n">
        <v>0</v>
      </c>
      <c r="K5531" s="10">
        <f>IF(F5531&gt;0,H5531/F5531,"")</f>
        <v/>
      </c>
      <c r="L5531" s="16">
        <f>IF(AND(G5531&gt;0,H5531&gt;0),G5531/H5531,"")</f>
        <v/>
      </c>
    </row>
    <row r="5532">
      <c r="A5532" s="4" t="inlineStr">
        <is>
          <t>250</t>
        </is>
      </c>
      <c r="B5532" s="4" t="n">
        <v>2</v>
      </c>
      <c r="C5532" s="4" t="inlineStr">
        <is>
          <t>mule deer</t>
        </is>
      </c>
      <c r="D5532" s="4" t="n">
        <v>2013</v>
      </c>
      <c r="E5532" s="15" t="inlineStr">
        <is>
          <t>Draw</t>
        </is>
      </c>
      <c r="F5532" s="5" t="n">
        <v>519</v>
      </c>
      <c r="G5532" s="5" t="n">
        <v>3702</v>
      </c>
      <c r="H5532" s="5" t="n">
        <v>61</v>
      </c>
      <c r="I5532" s="5" t="n">
        <v>58</v>
      </c>
      <c r="J5532" s="5" t="n">
        <v>3</v>
      </c>
      <c r="K5532" s="10">
        <f>IF(F5532&gt;0,H5532/F5532,"")</f>
        <v/>
      </c>
      <c r="L5532" s="16">
        <f>IF(AND(G5532&gt;0,H5532&gt;0),G5532/H5532,"")</f>
        <v/>
      </c>
    </row>
    <row r="5533">
      <c r="A5533" s="4" t="inlineStr">
        <is>
          <t>250</t>
        </is>
      </c>
      <c r="B5533" s="4" t="n">
        <v>2</v>
      </c>
      <c r="C5533" s="4" t="inlineStr">
        <is>
          <t>mule deer</t>
        </is>
      </c>
      <c r="D5533" s="4" t="n">
        <v>2014</v>
      </c>
      <c r="E5533" s="15" t="inlineStr">
        <is>
          <t>Draw</t>
        </is>
      </c>
      <c r="F5533" s="5" t="n"/>
      <c r="G5533" s="5" t="n"/>
      <c r="H5533" s="5" t="n">
        <v>13</v>
      </c>
      <c r="I5533" s="5" t="n">
        <v>13</v>
      </c>
      <c r="J5533" s="5" t="n">
        <v>0</v>
      </c>
      <c r="K5533" s="10">
        <f>IF(F5533&gt;0,H5533/F5533,"")</f>
        <v/>
      </c>
      <c r="L5533" s="16">
        <f>IF(AND(G5533&gt;0,H5533&gt;0),G5533/H5533,"")</f>
        <v/>
      </c>
    </row>
    <row r="5534">
      <c r="A5534" s="4" t="inlineStr">
        <is>
          <t>250</t>
        </is>
      </c>
      <c r="B5534" s="4" t="n">
        <v>2</v>
      </c>
      <c r="C5534" s="4" t="inlineStr">
        <is>
          <t>mule deer</t>
        </is>
      </c>
      <c r="D5534" s="4" t="n">
        <v>2015</v>
      </c>
      <c r="E5534" s="15" t="inlineStr">
        <is>
          <t>Draw</t>
        </is>
      </c>
      <c r="F5534" s="5" t="n"/>
      <c r="G5534" s="5" t="n"/>
      <c r="H5534" s="5" t="n">
        <v>21</v>
      </c>
      <c r="I5534" s="5" t="n">
        <v>21</v>
      </c>
      <c r="J5534" s="5" t="n">
        <v>0</v>
      </c>
      <c r="K5534" s="10">
        <f>IF(F5534&gt;0,H5534/F5534,"")</f>
        <v/>
      </c>
      <c r="L5534" s="16">
        <f>IF(AND(G5534&gt;0,H5534&gt;0),G5534/H5534,"")</f>
        <v/>
      </c>
    </row>
    <row r="5535">
      <c r="A5535" s="4" t="inlineStr">
        <is>
          <t>250</t>
        </is>
      </c>
      <c r="B5535" s="4" t="n">
        <v>2</v>
      </c>
      <c r="C5535" s="4" t="inlineStr">
        <is>
          <t>mule deer</t>
        </is>
      </c>
      <c r="D5535" s="4" t="n">
        <v>2016</v>
      </c>
      <c r="E5535" s="15" t="inlineStr">
        <is>
          <t>Draw</t>
        </is>
      </c>
      <c r="F5535" s="5" t="n"/>
      <c r="G5535" s="5" t="n"/>
      <c r="H5535" s="5" t="n">
        <v>12</v>
      </c>
      <c r="I5535" s="5" t="n">
        <v>12</v>
      </c>
      <c r="J5535" s="5" t="n">
        <v>0</v>
      </c>
      <c r="K5535" s="10">
        <f>IF(F5535&gt;0,H5535/F5535,"")</f>
        <v/>
      </c>
      <c r="L5535" s="16">
        <f>IF(AND(G5535&gt;0,H5535&gt;0),G5535/H5535,"")</f>
        <v/>
      </c>
    </row>
    <row r="5536">
      <c r="A5536" s="4" t="inlineStr">
        <is>
          <t>250</t>
        </is>
      </c>
      <c r="B5536" s="4" t="n">
        <v>2</v>
      </c>
      <c r="C5536" s="4" t="inlineStr">
        <is>
          <t>mule deer</t>
        </is>
      </c>
      <c r="D5536" s="4" t="n">
        <v>2017</v>
      </c>
      <c r="E5536" s="15" t="inlineStr">
        <is>
          <t>Draw</t>
        </is>
      </c>
      <c r="F5536" s="5" t="n">
        <v>252</v>
      </c>
      <c r="G5536" s="5" t="n">
        <v>1500</v>
      </c>
      <c r="H5536" s="5" t="n">
        <v>21</v>
      </c>
      <c r="I5536" s="5" t="n">
        <v>18</v>
      </c>
      <c r="J5536" s="5" t="n">
        <v>3</v>
      </c>
      <c r="K5536" s="10">
        <f>IF(F5536&gt;0,H5536/F5536,"")</f>
        <v/>
      </c>
      <c r="L5536" s="16">
        <f>IF(AND(G5536&gt;0,H5536&gt;0),G5536/H5536,"")</f>
        <v/>
      </c>
    </row>
    <row r="5537">
      <c r="A5537" s="4" t="inlineStr">
        <is>
          <t>250</t>
        </is>
      </c>
      <c r="B5537" s="4" t="n">
        <v>2</v>
      </c>
      <c r="C5537" s="4" t="inlineStr">
        <is>
          <t>mule deer</t>
        </is>
      </c>
      <c r="D5537" s="4" t="n">
        <v>2018</v>
      </c>
      <c r="E5537" s="15" t="inlineStr">
        <is>
          <t>Draw</t>
        </is>
      </c>
      <c r="F5537" s="5" t="n"/>
      <c r="G5537" s="5" t="n"/>
      <c r="H5537" s="5" t="n">
        <v>10</v>
      </c>
      <c r="I5537" s="5" t="n">
        <v>10</v>
      </c>
      <c r="J5537" s="5" t="n">
        <v>0</v>
      </c>
      <c r="K5537" s="10">
        <f>IF(F5537&gt;0,H5537/F5537,"")</f>
        <v/>
      </c>
      <c r="L5537" s="16">
        <f>IF(AND(G5537&gt;0,H5537&gt;0),G5537/H5537,"")</f>
        <v/>
      </c>
    </row>
    <row r="5538">
      <c r="A5538" s="4" t="inlineStr">
        <is>
          <t>250</t>
        </is>
      </c>
      <c r="B5538" s="4" t="n">
        <v>2</v>
      </c>
      <c r="C5538" s="4" t="inlineStr">
        <is>
          <t>mule deer</t>
        </is>
      </c>
      <c r="D5538" s="4" t="n">
        <v>2019</v>
      </c>
      <c r="E5538" s="15" t="inlineStr">
        <is>
          <t>Draw</t>
        </is>
      </c>
      <c r="F5538" s="5" t="n">
        <v>235</v>
      </c>
      <c r="G5538" s="5" t="n">
        <v>1645</v>
      </c>
      <c r="H5538" s="5" t="n">
        <v>16</v>
      </c>
      <c r="I5538" s="5" t="n">
        <v>16</v>
      </c>
      <c r="J5538" s="5" t="n">
        <v>0</v>
      </c>
      <c r="K5538" s="10">
        <f>IF(F5538&gt;0,H5538/F5538,"")</f>
        <v/>
      </c>
      <c r="L5538" s="16">
        <f>IF(AND(G5538&gt;0,H5538&gt;0),G5538/H5538,"")</f>
        <v/>
      </c>
    </row>
    <row r="5539">
      <c r="A5539" s="4" t="inlineStr">
        <is>
          <t>250</t>
        </is>
      </c>
      <c r="B5539" s="4" t="n">
        <v>2</v>
      </c>
      <c r="C5539" s="4" t="inlineStr">
        <is>
          <t>mule deer</t>
        </is>
      </c>
      <c r="D5539" s="4" t="n">
        <v>2020</v>
      </c>
      <c r="E5539" s="15" t="inlineStr">
        <is>
          <t>Draw</t>
        </is>
      </c>
      <c r="F5539" s="5" t="n"/>
      <c r="G5539" s="5" t="n"/>
      <c r="H5539" s="5" t="n">
        <v>14</v>
      </c>
      <c r="I5539" s="5" t="n">
        <v>14</v>
      </c>
      <c r="J5539" s="5" t="n">
        <v>0</v>
      </c>
      <c r="K5539" s="10">
        <f>IF(F5539&gt;0,H5539/F5539,"")</f>
        <v/>
      </c>
      <c r="L5539" s="16">
        <f>IF(AND(G5539&gt;0,H5539&gt;0),G5539/H5539,"")</f>
        <v/>
      </c>
    </row>
    <row r="5540">
      <c r="A5540" s="4" t="inlineStr">
        <is>
          <t>250</t>
        </is>
      </c>
      <c r="B5540" s="4" t="n">
        <v>2</v>
      </c>
      <c r="C5540" s="4" t="inlineStr">
        <is>
          <t>mule deer</t>
        </is>
      </c>
      <c r="D5540" s="4" t="n">
        <v>2021</v>
      </c>
      <c r="E5540" s="15" t="inlineStr">
        <is>
          <t>Draw</t>
        </is>
      </c>
      <c r="F5540" s="5" t="n">
        <v>328</v>
      </c>
      <c r="G5540" s="5" t="n">
        <v>2089</v>
      </c>
      <c r="H5540" s="5" t="n">
        <v>17</v>
      </c>
      <c r="I5540" s="5" t="n">
        <v>17</v>
      </c>
      <c r="J5540" s="5" t="n">
        <v>0</v>
      </c>
      <c r="K5540" s="10">
        <f>IF(F5540&gt;0,H5540/F5540,"")</f>
        <v/>
      </c>
      <c r="L5540" s="16">
        <f>IF(AND(G5540&gt;0,H5540&gt;0),G5540/H5540,"")</f>
        <v/>
      </c>
    </row>
    <row r="5541">
      <c r="A5541" s="4" t="inlineStr">
        <is>
          <t>250</t>
        </is>
      </c>
      <c r="B5541" s="4" t="n">
        <v>2</v>
      </c>
      <c r="C5541" s="4" t="inlineStr">
        <is>
          <t>mule deer</t>
        </is>
      </c>
      <c r="D5541" s="4" t="n">
        <v>2022</v>
      </c>
      <c r="E5541" s="15" t="inlineStr">
        <is>
          <t>Draw</t>
        </is>
      </c>
      <c r="F5541" s="5" t="n"/>
      <c r="G5541" s="5" t="n"/>
      <c r="H5541" s="5" t="n">
        <v>22</v>
      </c>
      <c r="I5541" s="5" t="n">
        <v>22</v>
      </c>
      <c r="J5541" s="5" t="n">
        <v>0</v>
      </c>
      <c r="K5541" s="10">
        <f>IF(F5541&gt;0,H5541/F5541,"")</f>
        <v/>
      </c>
      <c r="L5541" s="16">
        <f>IF(AND(G5541&gt;0,H5541&gt;0),G5541/H5541,"")</f>
        <v/>
      </c>
    </row>
    <row r="5542">
      <c r="A5542" s="4" t="inlineStr">
        <is>
          <t>250</t>
        </is>
      </c>
      <c r="B5542" s="4" t="n">
        <v>2</v>
      </c>
      <c r="C5542" s="4" t="inlineStr">
        <is>
          <t>mule deer</t>
        </is>
      </c>
      <c r="D5542" s="4" t="n">
        <v>2023</v>
      </c>
      <c r="E5542" s="15" t="inlineStr">
        <is>
          <t>Draw</t>
        </is>
      </c>
      <c r="F5542" s="5" t="n">
        <v>421</v>
      </c>
      <c r="G5542" s="5" t="n">
        <v>2640</v>
      </c>
      <c r="H5542" s="5" t="n">
        <v>23</v>
      </c>
      <c r="I5542" s="5" t="n">
        <v>21</v>
      </c>
      <c r="J5542" s="5" t="n">
        <v>2</v>
      </c>
      <c r="K5542" s="10">
        <f>IF(F5542&gt;0,H5542/F5542,"")</f>
        <v/>
      </c>
      <c r="L5542" s="16">
        <f>IF(AND(G5542&gt;0,H5542&gt;0),G5542/H5542,"")</f>
        <v/>
      </c>
    </row>
    <row r="5543">
      <c r="A5543" s="4" t="inlineStr">
        <is>
          <t>250</t>
        </is>
      </c>
      <c r="B5543" s="4" t="n">
        <v>2</v>
      </c>
      <c r="C5543" s="4" t="inlineStr">
        <is>
          <t>mule deer</t>
        </is>
      </c>
      <c r="D5543" s="4" t="n">
        <v>2024</v>
      </c>
      <c r="E5543" s="15" t="inlineStr">
        <is>
          <t>Draw</t>
        </is>
      </c>
      <c r="F5543" s="5" t="n"/>
      <c r="G5543" s="5" t="n"/>
      <c r="H5543" s="5" t="n">
        <v>17</v>
      </c>
      <c r="I5543" s="5" t="n">
        <v>17</v>
      </c>
      <c r="J5543" s="5" t="n">
        <v>0</v>
      </c>
      <c r="K5543" s="10">
        <f>IF(F5543&gt;0,H5543/F5543,"")</f>
        <v/>
      </c>
      <c r="L5543" s="16">
        <f>IF(AND(G5543&gt;0,H5543&gt;0),G5543/H5543,"")</f>
        <v/>
      </c>
    </row>
    <row r="5544">
      <c r="A5544" s="4" t="inlineStr">
        <is>
          <t>250</t>
        </is>
      </c>
      <c r="B5544" s="4" t="n">
        <v>2</v>
      </c>
      <c r="C5544" s="4" t="inlineStr">
        <is>
          <t>mule deer</t>
        </is>
      </c>
      <c r="D5544" s="4" t="n">
        <v>2025</v>
      </c>
      <c r="E5544" s="15" t="inlineStr">
        <is>
          <t>Draw</t>
        </is>
      </c>
      <c r="F5544" s="5" t="n">
        <v>449</v>
      </c>
      <c r="G5544" s="5" t="n">
        <v>3207</v>
      </c>
      <c r="H5544" s="5" t="n">
        <v>18</v>
      </c>
      <c r="I5544" s="5" t="n">
        <v>18</v>
      </c>
      <c r="J5544" s="5" t="n">
        <v>0</v>
      </c>
      <c r="K5544" s="10">
        <f>IF(F5544&gt;0,H5544/F5544,"")</f>
        <v/>
      </c>
      <c r="L5544" s="16">
        <f>IF(AND(G5544&gt;0,H5544&gt;0),G5544/H5544,"")</f>
        <v/>
      </c>
    </row>
    <row r="5545">
      <c r="A5545" s="4" t="inlineStr">
        <is>
          <t>260</t>
        </is>
      </c>
      <c r="B5545" s="4" t="n">
        <v>2</v>
      </c>
      <c r="C5545" s="4" t="inlineStr">
        <is>
          <t>mule deer</t>
        </is>
      </c>
      <c r="D5545" s="4" t="n">
        <v>2004</v>
      </c>
      <c r="E5545" s="13" t="inlineStr">
        <is>
          <t>General</t>
        </is>
      </c>
      <c r="F5545" s="5" t="n">
        <v>1103</v>
      </c>
      <c r="G5545" s="5" t="n">
        <v>10091</v>
      </c>
      <c r="H5545" s="5" t="n">
        <v>2</v>
      </c>
      <c r="I5545" s="5" t="n">
        <v>2</v>
      </c>
      <c r="J5545" s="5" t="n">
        <v>0</v>
      </c>
      <c r="K5545" s="10">
        <f>IF(F5545&gt;0,H5545/F5545,"")</f>
        <v/>
      </c>
      <c r="L5545" s="16">
        <f>IF(AND(G5545&gt;0,H5545&gt;0),G5545/H5545,"")</f>
        <v/>
      </c>
    </row>
    <row r="5546">
      <c r="A5546" s="4" t="inlineStr">
        <is>
          <t>260</t>
        </is>
      </c>
      <c r="B5546" s="4" t="n">
        <v>2</v>
      </c>
      <c r="C5546" s="4" t="inlineStr">
        <is>
          <t>mule deer</t>
        </is>
      </c>
      <c r="D5546" s="4" t="n">
        <v>2005</v>
      </c>
      <c r="E5546" s="13" t="inlineStr">
        <is>
          <t>General</t>
        </is>
      </c>
      <c r="F5546" s="5" t="n">
        <v>1078</v>
      </c>
      <c r="G5546" s="5" t="n">
        <v>11249</v>
      </c>
      <c r="H5546" s="5" t="n">
        <v>7</v>
      </c>
      <c r="I5546" s="5" t="n">
        <v>5</v>
      </c>
      <c r="J5546" s="5" t="n">
        <v>2</v>
      </c>
      <c r="K5546" s="10">
        <f>IF(F5546&gt;0,H5546/F5546,"")</f>
        <v/>
      </c>
      <c r="L5546" s="16">
        <f>IF(AND(G5546&gt;0,H5546&gt;0),G5546/H5546,"")</f>
        <v/>
      </c>
    </row>
    <row r="5547">
      <c r="A5547" s="4" t="inlineStr">
        <is>
          <t>260</t>
        </is>
      </c>
      <c r="B5547" s="4" t="n">
        <v>2</v>
      </c>
      <c r="C5547" s="4" t="inlineStr">
        <is>
          <t>mule deer</t>
        </is>
      </c>
      <c r="D5547" s="4" t="n">
        <v>2006</v>
      </c>
      <c r="E5547" s="13" t="inlineStr">
        <is>
          <t>General</t>
        </is>
      </c>
      <c r="F5547" s="5" t="n">
        <v>1041</v>
      </c>
      <c r="G5547" s="5" t="n">
        <v>9758</v>
      </c>
      <c r="H5547" s="5" t="n">
        <v>32</v>
      </c>
      <c r="I5547" s="5" t="n">
        <v>18</v>
      </c>
      <c r="J5547" s="5" t="n">
        <v>15</v>
      </c>
      <c r="K5547" s="10">
        <f>IF(F5547&gt;0,H5547/F5547,"")</f>
        <v/>
      </c>
      <c r="L5547" s="16">
        <f>IF(AND(G5547&gt;0,H5547&gt;0),G5547/H5547,"")</f>
        <v/>
      </c>
    </row>
    <row r="5548">
      <c r="A5548" s="4" t="inlineStr">
        <is>
          <t>260</t>
        </is>
      </c>
      <c r="B5548" s="4" t="n">
        <v>2</v>
      </c>
      <c r="C5548" s="4" t="inlineStr">
        <is>
          <t>mule deer</t>
        </is>
      </c>
      <c r="D5548" s="4" t="n">
        <v>2007</v>
      </c>
      <c r="E5548" s="13" t="inlineStr">
        <is>
          <t>General</t>
        </is>
      </c>
      <c r="F5548" s="5" t="n">
        <v>1060</v>
      </c>
      <c r="G5548" s="5" t="n">
        <v>9745</v>
      </c>
      <c r="H5548" s="5" t="n">
        <v>55</v>
      </c>
      <c r="I5548" s="5" t="n">
        <v>10</v>
      </c>
      <c r="J5548" s="5" t="n">
        <v>45</v>
      </c>
      <c r="K5548" s="10">
        <f>IF(F5548&gt;0,H5548/F5548,"")</f>
        <v/>
      </c>
      <c r="L5548" s="16">
        <f>IF(AND(G5548&gt;0,H5548&gt;0),G5548/H5548,"")</f>
        <v/>
      </c>
    </row>
    <row r="5549">
      <c r="A5549" s="4" t="inlineStr">
        <is>
          <t>260</t>
        </is>
      </c>
      <c r="B5549" s="4" t="n">
        <v>2</v>
      </c>
      <c r="C5549" s="4" t="inlineStr">
        <is>
          <t>mule deer</t>
        </is>
      </c>
      <c r="D5549" s="4" t="n">
        <v>2008</v>
      </c>
      <c r="E5549" s="13" t="inlineStr">
        <is>
          <t>General</t>
        </is>
      </c>
      <c r="F5549" s="5" t="n">
        <v>1223</v>
      </c>
      <c r="G5549" s="5" t="n">
        <v>11740</v>
      </c>
      <c r="H5549" s="5" t="n">
        <v>21</v>
      </c>
      <c r="I5549" s="5" t="n">
        <v>9</v>
      </c>
      <c r="J5549" s="5" t="n">
        <v>9</v>
      </c>
      <c r="K5549" s="10">
        <f>IF(F5549&gt;0,H5549/F5549,"")</f>
        <v/>
      </c>
      <c r="L5549" s="16">
        <f>IF(AND(G5549&gt;0,H5549&gt;0),G5549/H5549,"")</f>
        <v/>
      </c>
    </row>
    <row r="5550">
      <c r="A5550" s="4" t="inlineStr">
        <is>
          <t>260</t>
        </is>
      </c>
      <c r="B5550" s="4" t="n">
        <v>2</v>
      </c>
      <c r="C5550" s="4" t="inlineStr">
        <is>
          <t>mule deer</t>
        </is>
      </c>
      <c r="D5550" s="4" t="n">
        <v>2009</v>
      </c>
      <c r="E5550" s="13" t="inlineStr">
        <is>
          <t>General</t>
        </is>
      </c>
      <c r="F5550" s="5" t="n">
        <v>1267</v>
      </c>
      <c r="G5550" s="5" t="n">
        <v>12351</v>
      </c>
      <c r="H5550" s="5" t="n">
        <v>27</v>
      </c>
      <c r="I5550" s="5" t="n">
        <v>9</v>
      </c>
      <c r="J5550" s="5" t="n">
        <v>18</v>
      </c>
      <c r="K5550" s="10">
        <f>IF(F5550&gt;0,H5550/F5550,"")</f>
        <v/>
      </c>
      <c r="L5550" s="16">
        <f>IF(AND(G5550&gt;0,H5550&gt;0),G5550/H5550,"")</f>
        <v/>
      </c>
    </row>
    <row r="5551">
      <c r="A5551" s="4" t="inlineStr">
        <is>
          <t>260</t>
        </is>
      </c>
      <c r="B5551" s="4" t="n">
        <v>2</v>
      </c>
      <c r="C5551" s="4" t="inlineStr">
        <is>
          <t>mule deer</t>
        </is>
      </c>
      <c r="D5551" s="4" t="n">
        <v>2010</v>
      </c>
      <c r="E5551" s="13" t="inlineStr">
        <is>
          <t>General</t>
        </is>
      </c>
      <c r="F5551" s="5" t="n">
        <v>1609</v>
      </c>
      <c r="G5551" s="5" t="n">
        <v>16231</v>
      </c>
      <c r="H5551" s="5" t="n">
        <v>13</v>
      </c>
      <c r="I5551" s="5" t="n">
        <v>5</v>
      </c>
      <c r="J5551" s="5" t="n">
        <v>8</v>
      </c>
      <c r="K5551" s="10">
        <f>IF(F5551&gt;0,H5551/F5551,"")</f>
        <v/>
      </c>
      <c r="L5551" s="16">
        <f>IF(AND(G5551&gt;0,H5551&gt;0),G5551/H5551,"")</f>
        <v/>
      </c>
    </row>
    <row r="5552">
      <c r="A5552" s="4" t="inlineStr">
        <is>
          <t>260</t>
        </is>
      </c>
      <c r="B5552" s="4" t="n">
        <v>2</v>
      </c>
      <c r="C5552" s="4" t="inlineStr">
        <is>
          <t>mule deer</t>
        </is>
      </c>
      <c r="D5552" s="4" t="n">
        <v>2011</v>
      </c>
      <c r="E5552" s="13" t="inlineStr">
        <is>
          <t>General</t>
        </is>
      </c>
      <c r="F5552" s="5" t="n">
        <v>1255</v>
      </c>
      <c r="G5552" s="5" t="n">
        <v>12162</v>
      </c>
      <c r="H5552" s="5" t="n">
        <v>6</v>
      </c>
      <c r="I5552" s="5" t="n">
        <v>6</v>
      </c>
      <c r="J5552" s="5" t="n">
        <v>0</v>
      </c>
      <c r="K5552" s="10">
        <f>IF(F5552&gt;0,H5552/F5552,"")</f>
        <v/>
      </c>
      <c r="L5552" s="16">
        <f>IF(AND(G5552&gt;0,H5552&gt;0),G5552/H5552,"")</f>
        <v/>
      </c>
    </row>
    <row r="5553">
      <c r="A5553" s="4" t="inlineStr">
        <is>
          <t>260</t>
        </is>
      </c>
      <c r="B5553" s="4" t="n">
        <v>2</v>
      </c>
      <c r="C5553" s="4" t="inlineStr">
        <is>
          <t>mule deer</t>
        </is>
      </c>
      <c r="D5553" s="4" t="n">
        <v>2012</v>
      </c>
      <c r="E5553" s="13" t="inlineStr">
        <is>
          <t>General</t>
        </is>
      </c>
      <c r="F5553" s="5" t="n"/>
      <c r="G5553" s="5" t="n"/>
      <c r="H5553" s="5" t="n">
        <v>13</v>
      </c>
      <c r="I5553" s="5" t="n">
        <v>6</v>
      </c>
      <c r="J5553" s="5" t="n">
        <v>7</v>
      </c>
      <c r="K5553" s="10">
        <f>IF(F5553&gt;0,H5553/F5553,"")</f>
        <v/>
      </c>
      <c r="L5553" s="16">
        <f>IF(AND(G5553&gt;0,H5553&gt;0),G5553/H5553,"")</f>
        <v/>
      </c>
    </row>
    <row r="5554">
      <c r="A5554" s="4" t="inlineStr">
        <is>
          <t>260</t>
        </is>
      </c>
      <c r="B5554" s="4" t="n">
        <v>2</v>
      </c>
      <c r="C5554" s="4" t="inlineStr">
        <is>
          <t>mule deer</t>
        </is>
      </c>
      <c r="D5554" s="4" t="n">
        <v>2013</v>
      </c>
      <c r="E5554" s="13" t="inlineStr">
        <is>
          <t>General</t>
        </is>
      </c>
      <c r="F5554" s="5" t="n">
        <v>1247</v>
      </c>
      <c r="G5554" s="5" t="n">
        <v>11269</v>
      </c>
      <c r="H5554" s="5" t="n">
        <v>10</v>
      </c>
      <c r="I5554" s="5" t="n">
        <v>5</v>
      </c>
      <c r="J5554" s="5" t="n">
        <v>5</v>
      </c>
      <c r="K5554" s="10">
        <f>IF(F5554&gt;0,H5554/F5554,"")</f>
        <v/>
      </c>
      <c r="L5554" s="16">
        <f>IF(AND(G5554&gt;0,H5554&gt;0),G5554/H5554,"")</f>
        <v/>
      </c>
    </row>
    <row r="5555">
      <c r="A5555" s="4" t="inlineStr">
        <is>
          <t>260</t>
        </is>
      </c>
      <c r="B5555" s="4" t="n">
        <v>2</v>
      </c>
      <c r="C5555" s="4" t="inlineStr">
        <is>
          <t>mule deer</t>
        </is>
      </c>
      <c r="D5555" s="4" t="n">
        <v>2014</v>
      </c>
      <c r="E5555" s="13" t="inlineStr">
        <is>
          <t>General</t>
        </is>
      </c>
      <c r="F5555" s="5" t="n"/>
      <c r="G5555" s="5" t="n"/>
      <c r="H5555" s="5" t="n">
        <v>17</v>
      </c>
      <c r="I5555" s="5" t="n">
        <v>14</v>
      </c>
      <c r="J5555" s="5" t="n">
        <v>3</v>
      </c>
      <c r="K5555" s="10">
        <f>IF(F5555&gt;0,H5555/F5555,"")</f>
        <v/>
      </c>
      <c r="L5555" s="16">
        <f>IF(AND(G5555&gt;0,H5555&gt;0),G5555/H5555,"")</f>
        <v/>
      </c>
    </row>
    <row r="5556">
      <c r="A5556" s="4" t="inlineStr">
        <is>
          <t>260</t>
        </is>
      </c>
      <c r="B5556" s="4" t="n">
        <v>2</v>
      </c>
      <c r="C5556" s="4" t="inlineStr">
        <is>
          <t>mule deer</t>
        </is>
      </c>
      <c r="D5556" s="4" t="n">
        <v>2015</v>
      </c>
      <c r="E5556" s="13" t="inlineStr">
        <is>
          <t>General</t>
        </is>
      </c>
      <c r="F5556" s="5" t="n"/>
      <c r="G5556" s="5" t="n"/>
      <c r="H5556" s="5" t="n">
        <v>12</v>
      </c>
      <c r="I5556" s="5" t="n">
        <v>8</v>
      </c>
      <c r="J5556" s="5" t="n">
        <v>4</v>
      </c>
      <c r="K5556" s="10">
        <f>IF(F5556&gt;0,H5556/F5556,"")</f>
        <v/>
      </c>
      <c r="L5556" s="16">
        <f>IF(AND(G5556&gt;0,H5556&gt;0),G5556/H5556,"")</f>
        <v/>
      </c>
    </row>
    <row r="5557">
      <c r="A5557" s="4" t="inlineStr">
        <is>
          <t>260</t>
        </is>
      </c>
      <c r="B5557" s="4" t="n">
        <v>2</v>
      </c>
      <c r="C5557" s="4" t="inlineStr">
        <is>
          <t>mule deer</t>
        </is>
      </c>
      <c r="D5557" s="4" t="n">
        <v>2016</v>
      </c>
      <c r="E5557" s="13" t="inlineStr">
        <is>
          <t>General</t>
        </is>
      </c>
      <c r="F5557" s="5" t="n"/>
      <c r="G5557" s="5" t="n"/>
      <c r="H5557" s="5" t="n">
        <v>24</v>
      </c>
      <c r="I5557" s="5" t="n">
        <v>6</v>
      </c>
      <c r="J5557" s="5" t="n">
        <v>18</v>
      </c>
      <c r="K5557" s="10">
        <f>IF(F5557&gt;0,H5557/F5557,"")</f>
        <v/>
      </c>
      <c r="L5557" s="16">
        <f>IF(AND(G5557&gt;0,H5557&gt;0),G5557/H5557,"")</f>
        <v/>
      </c>
    </row>
    <row r="5558">
      <c r="A5558" s="4" t="inlineStr">
        <is>
          <t>260</t>
        </is>
      </c>
      <c r="B5558" s="4" t="n">
        <v>2</v>
      </c>
      <c r="C5558" s="4" t="inlineStr">
        <is>
          <t>mule deer</t>
        </is>
      </c>
      <c r="D5558" s="4" t="n">
        <v>2017</v>
      </c>
      <c r="E5558" s="13" t="inlineStr">
        <is>
          <t>General</t>
        </is>
      </c>
      <c r="F5558" s="5" t="n">
        <v>1186</v>
      </c>
      <c r="G5558" s="5" t="n">
        <v>9563</v>
      </c>
      <c r="H5558" s="5" t="n">
        <v>21</v>
      </c>
      <c r="I5558" s="5" t="n">
        <v>11</v>
      </c>
      <c r="J5558" s="5" t="n">
        <v>10</v>
      </c>
      <c r="K5558" s="10">
        <f>IF(F5558&gt;0,H5558/F5558,"")</f>
        <v/>
      </c>
      <c r="L5558" s="16">
        <f>IF(AND(G5558&gt;0,H5558&gt;0),G5558/H5558,"")</f>
        <v/>
      </c>
    </row>
    <row r="5559">
      <c r="A5559" s="4" t="inlineStr">
        <is>
          <t>260</t>
        </is>
      </c>
      <c r="B5559" s="4" t="n">
        <v>2</v>
      </c>
      <c r="C5559" s="4" t="inlineStr">
        <is>
          <t>mule deer</t>
        </is>
      </c>
      <c r="D5559" s="4" t="n">
        <v>2018</v>
      </c>
      <c r="E5559" s="13" t="inlineStr">
        <is>
          <t>General</t>
        </is>
      </c>
      <c r="F5559" s="5" t="n"/>
      <c r="G5559" s="5" t="n"/>
      <c r="H5559" s="5" t="n">
        <v>20</v>
      </c>
      <c r="I5559" s="5" t="n">
        <v>13</v>
      </c>
      <c r="J5559" s="5" t="n">
        <v>7</v>
      </c>
      <c r="K5559" s="10">
        <f>IF(F5559&gt;0,H5559/F5559,"")</f>
        <v/>
      </c>
      <c r="L5559" s="16">
        <f>IF(AND(G5559&gt;0,H5559&gt;0),G5559/H5559,"")</f>
        <v/>
      </c>
    </row>
    <row r="5560">
      <c r="A5560" s="4" t="inlineStr">
        <is>
          <t>260</t>
        </is>
      </c>
      <c r="B5560" s="4" t="n">
        <v>2</v>
      </c>
      <c r="C5560" s="4" t="inlineStr">
        <is>
          <t>mule deer</t>
        </is>
      </c>
      <c r="D5560" s="4" t="n">
        <v>2019</v>
      </c>
      <c r="E5560" s="13" t="inlineStr">
        <is>
          <t>General</t>
        </is>
      </c>
      <c r="F5560" s="5" t="n">
        <v>1064</v>
      </c>
      <c r="G5560" s="5" t="n">
        <v>8349</v>
      </c>
      <c r="H5560" s="5" t="n">
        <v>24</v>
      </c>
      <c r="I5560" s="5" t="n">
        <v>16</v>
      </c>
      <c r="J5560" s="5" t="n">
        <v>8</v>
      </c>
      <c r="K5560" s="10">
        <f>IF(F5560&gt;0,H5560/F5560,"")</f>
        <v/>
      </c>
      <c r="L5560" s="16">
        <f>IF(AND(G5560&gt;0,H5560&gt;0),G5560/H5560,"")</f>
        <v/>
      </c>
    </row>
    <row r="5561">
      <c r="A5561" s="4" t="inlineStr">
        <is>
          <t>260</t>
        </is>
      </c>
      <c r="B5561" s="4" t="n">
        <v>2</v>
      </c>
      <c r="C5561" s="4" t="inlineStr">
        <is>
          <t>mule deer</t>
        </is>
      </c>
      <c r="D5561" s="4" t="n">
        <v>2020</v>
      </c>
      <c r="E5561" s="13" t="inlineStr">
        <is>
          <t>General</t>
        </is>
      </c>
      <c r="F5561" s="5" t="n"/>
      <c r="G5561" s="5" t="n"/>
      <c r="H5561" s="5" t="n">
        <v>16</v>
      </c>
      <c r="I5561" s="5" t="n">
        <v>7</v>
      </c>
      <c r="J5561" s="5" t="n">
        <v>9</v>
      </c>
      <c r="K5561" s="10">
        <f>IF(F5561&gt;0,H5561/F5561,"")</f>
        <v/>
      </c>
      <c r="L5561" s="16">
        <f>IF(AND(G5561&gt;0,H5561&gt;0),G5561/H5561,"")</f>
        <v/>
      </c>
    </row>
    <row r="5562">
      <c r="A5562" s="4" t="inlineStr">
        <is>
          <t>260</t>
        </is>
      </c>
      <c r="B5562" s="4" t="n">
        <v>2</v>
      </c>
      <c r="C5562" s="4" t="inlineStr">
        <is>
          <t>mule deer</t>
        </is>
      </c>
      <c r="D5562" s="4" t="n">
        <v>2021</v>
      </c>
      <c r="E5562" s="13" t="inlineStr">
        <is>
          <t>General</t>
        </is>
      </c>
      <c r="F5562" s="5" t="n">
        <v>1014</v>
      </c>
      <c r="G5562" s="5" t="n">
        <v>8062</v>
      </c>
      <c r="H5562" s="5" t="n">
        <v>33</v>
      </c>
      <c r="I5562" s="5" t="n">
        <v>24</v>
      </c>
      <c r="J5562" s="5" t="n">
        <v>9</v>
      </c>
      <c r="K5562" s="10">
        <f>IF(F5562&gt;0,H5562/F5562,"")</f>
        <v/>
      </c>
      <c r="L5562" s="16">
        <f>IF(AND(G5562&gt;0,H5562&gt;0),G5562/H5562,"")</f>
        <v/>
      </c>
    </row>
    <row r="5563">
      <c r="A5563" s="4" t="inlineStr">
        <is>
          <t>260</t>
        </is>
      </c>
      <c r="B5563" s="4" t="n">
        <v>2</v>
      </c>
      <c r="C5563" s="4" t="inlineStr">
        <is>
          <t>mule deer</t>
        </is>
      </c>
      <c r="D5563" s="4" t="n">
        <v>2022</v>
      </c>
      <c r="E5563" s="13" t="inlineStr">
        <is>
          <t>General</t>
        </is>
      </c>
      <c r="F5563" s="5" t="n"/>
      <c r="G5563" s="5" t="n"/>
      <c r="H5563" s="5" t="n">
        <v>42</v>
      </c>
      <c r="I5563" s="5" t="n">
        <v>27</v>
      </c>
      <c r="J5563" s="5" t="n">
        <v>15</v>
      </c>
      <c r="K5563" s="10">
        <f>IF(F5563&gt;0,H5563/F5563,"")</f>
        <v/>
      </c>
      <c r="L5563" s="16">
        <f>IF(AND(G5563&gt;0,H5563&gt;0),G5563/H5563,"")</f>
        <v/>
      </c>
    </row>
    <row r="5564">
      <c r="A5564" s="4" t="inlineStr">
        <is>
          <t>260</t>
        </is>
      </c>
      <c r="B5564" s="4" t="n">
        <v>2</v>
      </c>
      <c r="C5564" s="4" t="inlineStr">
        <is>
          <t>mule deer</t>
        </is>
      </c>
      <c r="D5564" s="4" t="n">
        <v>2023</v>
      </c>
      <c r="E5564" s="13" t="inlineStr">
        <is>
          <t>General</t>
        </is>
      </c>
      <c r="F5564" s="5" t="n">
        <v>1092</v>
      </c>
      <c r="G5564" s="5" t="n">
        <v>10053</v>
      </c>
      <c r="H5564" s="5" t="n">
        <v>45</v>
      </c>
      <c r="I5564" s="5" t="n">
        <v>37</v>
      </c>
      <c r="J5564" s="5" t="n">
        <v>8</v>
      </c>
      <c r="K5564" s="10">
        <f>IF(F5564&gt;0,H5564/F5564,"")</f>
        <v/>
      </c>
      <c r="L5564" s="16">
        <f>IF(AND(G5564&gt;0,H5564&gt;0),G5564/H5564,"")</f>
        <v/>
      </c>
    </row>
    <row r="5565">
      <c r="A5565" s="4" t="inlineStr">
        <is>
          <t>260</t>
        </is>
      </c>
      <c r="B5565" s="4" t="n">
        <v>2</v>
      </c>
      <c r="C5565" s="4" t="inlineStr">
        <is>
          <t>mule deer</t>
        </is>
      </c>
      <c r="D5565" s="4" t="n">
        <v>2024</v>
      </c>
      <c r="E5565" s="13" t="inlineStr">
        <is>
          <t>General</t>
        </is>
      </c>
      <c r="F5565" s="5" t="n"/>
      <c r="G5565" s="5" t="n"/>
      <c r="H5565" s="5" t="n">
        <v>6</v>
      </c>
      <c r="I5565" s="5" t="n">
        <v>6</v>
      </c>
      <c r="J5565" s="5" t="n">
        <v>0</v>
      </c>
      <c r="K5565" s="10">
        <f>IF(F5565&gt;0,H5565/F5565,"")</f>
        <v/>
      </c>
      <c r="L5565" s="16">
        <f>IF(AND(G5565&gt;0,H5565&gt;0),G5565/H5565,"")</f>
        <v/>
      </c>
    </row>
    <row r="5566">
      <c r="A5566" s="4" t="inlineStr">
        <is>
          <t>260</t>
        </is>
      </c>
      <c r="B5566" s="4" t="n">
        <v>2</v>
      </c>
      <c r="C5566" s="4" t="inlineStr">
        <is>
          <t>mule deer</t>
        </is>
      </c>
      <c r="D5566" s="4" t="n">
        <v>2025</v>
      </c>
      <c r="E5566" s="13" t="inlineStr">
        <is>
          <t>General</t>
        </is>
      </c>
      <c r="F5566" s="5" t="n">
        <v>1130</v>
      </c>
      <c r="G5566" s="5" t="n">
        <v>9167</v>
      </c>
      <c r="H5566" s="5" t="n">
        <v>35</v>
      </c>
      <c r="I5566" s="5" t="n">
        <v>24</v>
      </c>
      <c r="J5566" s="5" t="n">
        <v>11</v>
      </c>
      <c r="K5566" s="10">
        <f>IF(F5566&gt;0,H5566/F5566,"")</f>
        <v/>
      </c>
      <c r="L5566" s="16">
        <f>IF(AND(G5566&gt;0,H5566&gt;0),G5566/H5566,"")</f>
        <v/>
      </c>
    </row>
    <row r="5567">
      <c r="A5567" s="4" t="inlineStr">
        <is>
          <t>261</t>
        </is>
      </c>
      <c r="B5567" s="4" t="n">
        <v>2</v>
      </c>
      <c r="C5567" s="4" t="inlineStr">
        <is>
          <t>mule deer</t>
        </is>
      </c>
      <c r="D5567" s="4" t="n">
        <v>2004</v>
      </c>
      <c r="E5567" s="15" t="inlineStr">
        <is>
          <t>Draw</t>
        </is>
      </c>
      <c r="F5567" s="5" t="n">
        <v>772</v>
      </c>
      <c r="G5567" s="5" t="n">
        <v>4216</v>
      </c>
      <c r="H5567" s="5" t="n">
        <v>73</v>
      </c>
      <c r="I5567" s="5" t="n">
        <v>27</v>
      </c>
      <c r="J5567" s="5" t="n">
        <v>46</v>
      </c>
      <c r="K5567" s="10">
        <f>IF(F5567&gt;0,H5567/F5567,"")</f>
        <v/>
      </c>
      <c r="L5567" s="16">
        <f>IF(AND(G5567&gt;0,H5567&gt;0),G5567/H5567,"")</f>
        <v/>
      </c>
    </row>
    <row r="5568">
      <c r="A5568" s="4" t="inlineStr">
        <is>
          <t>261</t>
        </is>
      </c>
      <c r="B5568" s="4" t="n">
        <v>2</v>
      </c>
      <c r="C5568" s="4" t="inlineStr">
        <is>
          <t>mule deer</t>
        </is>
      </c>
      <c r="D5568" s="4" t="n">
        <v>2005</v>
      </c>
      <c r="E5568" s="15" t="inlineStr">
        <is>
          <t>Draw</t>
        </is>
      </c>
      <c r="F5568" s="5" t="n">
        <v>834</v>
      </c>
      <c r="G5568" s="5" t="n">
        <v>4262</v>
      </c>
      <c r="H5568" s="5" t="n">
        <v>93</v>
      </c>
      <c r="I5568" s="5" t="n">
        <v>44</v>
      </c>
      <c r="J5568" s="5" t="n">
        <v>49</v>
      </c>
      <c r="K5568" s="10">
        <f>IF(F5568&gt;0,H5568/F5568,"")</f>
        <v/>
      </c>
      <c r="L5568" s="16">
        <f>IF(AND(G5568&gt;0,H5568&gt;0),G5568/H5568,"")</f>
        <v/>
      </c>
    </row>
    <row r="5569">
      <c r="A5569" s="4" t="inlineStr">
        <is>
          <t>261</t>
        </is>
      </c>
      <c r="B5569" s="4" t="n">
        <v>2</v>
      </c>
      <c r="C5569" s="4" t="inlineStr">
        <is>
          <t>mule deer</t>
        </is>
      </c>
      <c r="D5569" s="4" t="n">
        <v>2006</v>
      </c>
      <c r="E5569" s="15" t="inlineStr">
        <is>
          <t>Draw</t>
        </is>
      </c>
      <c r="F5569" s="5" t="n">
        <v>709</v>
      </c>
      <c r="G5569" s="5" t="n">
        <v>4132</v>
      </c>
      <c r="H5569" s="5" t="n">
        <v>49</v>
      </c>
      <c r="I5569" s="5" t="n">
        <v>22</v>
      </c>
      <c r="J5569" s="5" t="n">
        <v>27</v>
      </c>
      <c r="K5569" s="10">
        <f>IF(F5569&gt;0,H5569/F5569,"")</f>
        <v/>
      </c>
      <c r="L5569" s="16">
        <f>IF(AND(G5569&gt;0,H5569&gt;0),G5569/H5569,"")</f>
        <v/>
      </c>
    </row>
    <row r="5570">
      <c r="A5570" s="4" t="inlineStr">
        <is>
          <t>261</t>
        </is>
      </c>
      <c r="B5570" s="4" t="n">
        <v>2</v>
      </c>
      <c r="C5570" s="4" t="inlineStr">
        <is>
          <t>mule deer</t>
        </is>
      </c>
      <c r="D5570" s="4" t="n">
        <v>2007</v>
      </c>
      <c r="E5570" s="15" t="inlineStr">
        <is>
          <t>Draw</t>
        </is>
      </c>
      <c r="F5570" s="5" t="n">
        <v>707</v>
      </c>
      <c r="G5570" s="5" t="n">
        <v>4308</v>
      </c>
      <c r="H5570" s="5" t="n">
        <v>53</v>
      </c>
      <c r="I5570" s="5" t="n">
        <v>19</v>
      </c>
      <c r="J5570" s="5" t="n">
        <v>35</v>
      </c>
      <c r="K5570" s="10">
        <f>IF(F5570&gt;0,H5570/F5570,"")</f>
        <v/>
      </c>
      <c r="L5570" s="16">
        <f>IF(AND(G5570&gt;0,H5570&gt;0),G5570/H5570,"")</f>
        <v/>
      </c>
    </row>
    <row r="5571">
      <c r="A5571" s="4" t="inlineStr">
        <is>
          <t>261</t>
        </is>
      </c>
      <c r="B5571" s="4" t="n">
        <v>2</v>
      </c>
      <c r="C5571" s="4" t="inlineStr">
        <is>
          <t>mule deer</t>
        </is>
      </c>
      <c r="D5571" s="4" t="n">
        <v>2008</v>
      </c>
      <c r="E5571" s="15" t="inlineStr">
        <is>
          <t>Draw</t>
        </is>
      </c>
      <c r="F5571" s="5" t="n">
        <v>823</v>
      </c>
      <c r="G5571" s="5" t="n">
        <v>5853</v>
      </c>
      <c r="H5571" s="5" t="n">
        <v>67</v>
      </c>
      <c r="I5571" s="5" t="n">
        <v>21</v>
      </c>
      <c r="J5571" s="5" t="n">
        <v>45</v>
      </c>
      <c r="K5571" s="10">
        <f>IF(F5571&gt;0,H5571/F5571,"")</f>
        <v/>
      </c>
      <c r="L5571" s="16">
        <f>IF(AND(G5571&gt;0,H5571&gt;0),G5571/H5571,"")</f>
        <v/>
      </c>
    </row>
    <row r="5572">
      <c r="A5572" s="4" t="inlineStr">
        <is>
          <t>261</t>
        </is>
      </c>
      <c r="B5572" s="4" t="n">
        <v>2</v>
      </c>
      <c r="C5572" s="4" t="inlineStr">
        <is>
          <t>mule deer</t>
        </is>
      </c>
      <c r="D5572" s="4" t="n">
        <v>2009</v>
      </c>
      <c r="E5572" s="15" t="inlineStr">
        <is>
          <t>Draw</t>
        </is>
      </c>
      <c r="F5572" s="5" t="n">
        <v>706</v>
      </c>
      <c r="G5572" s="5" t="n">
        <v>4352</v>
      </c>
      <c r="H5572" s="5" t="n">
        <v>51</v>
      </c>
      <c r="I5572" s="5" t="n">
        <v>20</v>
      </c>
      <c r="J5572" s="5" t="n">
        <v>31</v>
      </c>
      <c r="K5572" s="10">
        <f>IF(F5572&gt;0,H5572/F5572,"")</f>
        <v/>
      </c>
      <c r="L5572" s="16">
        <f>IF(AND(G5572&gt;0,H5572&gt;0),G5572/H5572,"")</f>
        <v/>
      </c>
    </row>
    <row r="5573">
      <c r="A5573" s="4" t="inlineStr">
        <is>
          <t>261</t>
        </is>
      </c>
      <c r="B5573" s="4" t="n">
        <v>2</v>
      </c>
      <c r="C5573" s="4" t="inlineStr">
        <is>
          <t>mule deer</t>
        </is>
      </c>
      <c r="D5573" s="4" t="n">
        <v>2010</v>
      </c>
      <c r="E5573" s="15" t="inlineStr">
        <is>
          <t>Draw</t>
        </is>
      </c>
      <c r="F5573" s="5" t="n">
        <v>695</v>
      </c>
      <c r="G5573" s="5" t="n">
        <v>4086</v>
      </c>
      <c r="H5573" s="5" t="n">
        <v>47</v>
      </c>
      <c r="I5573" s="5" t="n">
        <v>30</v>
      </c>
      <c r="J5573" s="5" t="n">
        <v>16</v>
      </c>
      <c r="K5573" s="10">
        <f>IF(F5573&gt;0,H5573/F5573,"")</f>
        <v/>
      </c>
      <c r="L5573" s="16">
        <f>IF(AND(G5573&gt;0,H5573&gt;0),G5573/H5573,"")</f>
        <v/>
      </c>
    </row>
    <row r="5574">
      <c r="A5574" s="4" t="inlineStr">
        <is>
          <t>261</t>
        </is>
      </c>
      <c r="B5574" s="4" t="n">
        <v>2</v>
      </c>
      <c r="C5574" s="4" t="inlineStr">
        <is>
          <t>mule deer</t>
        </is>
      </c>
      <c r="D5574" s="4" t="n">
        <v>2011</v>
      </c>
      <c r="E5574" s="15" t="inlineStr">
        <is>
          <t>Draw</t>
        </is>
      </c>
      <c r="F5574" s="5" t="n">
        <v>851</v>
      </c>
      <c r="G5574" s="5" t="n">
        <v>5548</v>
      </c>
      <c r="H5574" s="5" t="n">
        <v>81</v>
      </c>
      <c r="I5574" s="5" t="n">
        <v>25</v>
      </c>
      <c r="J5574" s="5" t="n">
        <v>54</v>
      </c>
      <c r="K5574" s="10">
        <f>IF(F5574&gt;0,H5574/F5574,"")</f>
        <v/>
      </c>
      <c r="L5574" s="16">
        <f>IF(AND(G5574&gt;0,H5574&gt;0),G5574/H5574,"")</f>
        <v/>
      </c>
    </row>
    <row r="5575">
      <c r="A5575" s="4" t="inlineStr">
        <is>
          <t>261</t>
        </is>
      </c>
      <c r="B5575" s="4" t="n">
        <v>2</v>
      </c>
      <c r="C5575" s="4" t="inlineStr">
        <is>
          <t>mule deer</t>
        </is>
      </c>
      <c r="D5575" s="4" t="n">
        <v>2012</v>
      </c>
      <c r="E5575" s="15" t="inlineStr">
        <is>
          <t>Draw</t>
        </is>
      </c>
      <c r="F5575" s="5" t="n"/>
      <c r="G5575" s="5" t="n"/>
      <c r="H5575" s="5" t="n">
        <v>80</v>
      </c>
      <c r="I5575" s="5" t="n">
        <v>29</v>
      </c>
      <c r="J5575" s="5" t="n">
        <v>51</v>
      </c>
      <c r="K5575" s="10">
        <f>IF(F5575&gt;0,H5575/F5575,"")</f>
        <v/>
      </c>
      <c r="L5575" s="16">
        <f>IF(AND(G5575&gt;0,H5575&gt;0),G5575/H5575,"")</f>
        <v/>
      </c>
    </row>
    <row r="5576">
      <c r="A5576" s="4" t="inlineStr">
        <is>
          <t>261</t>
        </is>
      </c>
      <c r="B5576" s="4" t="n">
        <v>2</v>
      </c>
      <c r="C5576" s="4" t="inlineStr">
        <is>
          <t>mule deer</t>
        </is>
      </c>
      <c r="D5576" s="4" t="n">
        <v>2013</v>
      </c>
      <c r="E5576" s="15" t="inlineStr">
        <is>
          <t>Draw</t>
        </is>
      </c>
      <c r="F5576" s="5" t="n">
        <v>1003</v>
      </c>
      <c r="G5576" s="5" t="n">
        <v>6745</v>
      </c>
      <c r="H5576" s="5" t="n">
        <v>57</v>
      </c>
      <c r="I5576" s="5" t="n">
        <v>15</v>
      </c>
      <c r="J5576" s="5" t="n">
        <v>42</v>
      </c>
      <c r="K5576" s="10">
        <f>IF(F5576&gt;0,H5576/F5576,"")</f>
        <v/>
      </c>
      <c r="L5576" s="16">
        <f>IF(AND(G5576&gt;0,H5576&gt;0),G5576/H5576,"")</f>
        <v/>
      </c>
    </row>
    <row r="5577">
      <c r="A5577" s="4" t="inlineStr">
        <is>
          <t>261</t>
        </is>
      </c>
      <c r="B5577" s="4" t="n">
        <v>2</v>
      </c>
      <c r="C5577" s="4" t="inlineStr">
        <is>
          <t>mule deer</t>
        </is>
      </c>
      <c r="D5577" s="4" t="n">
        <v>2014</v>
      </c>
      <c r="E5577" s="15" t="inlineStr">
        <is>
          <t>Draw</t>
        </is>
      </c>
      <c r="F5577" s="5" t="n"/>
      <c r="G5577" s="5" t="n"/>
      <c r="H5577" s="5" t="n">
        <v>33</v>
      </c>
      <c r="I5577" s="5" t="n">
        <v>23</v>
      </c>
      <c r="J5577" s="5" t="n">
        <v>10</v>
      </c>
      <c r="K5577" s="10">
        <f>IF(F5577&gt;0,H5577/F5577,"")</f>
        <v/>
      </c>
      <c r="L5577" s="16">
        <f>IF(AND(G5577&gt;0,H5577&gt;0),G5577/H5577,"")</f>
        <v/>
      </c>
    </row>
    <row r="5578">
      <c r="A5578" s="4" t="inlineStr">
        <is>
          <t>261</t>
        </is>
      </c>
      <c r="B5578" s="4" t="n">
        <v>2</v>
      </c>
      <c r="C5578" s="4" t="inlineStr">
        <is>
          <t>mule deer</t>
        </is>
      </c>
      <c r="D5578" s="4" t="n">
        <v>2015</v>
      </c>
      <c r="E5578" s="15" t="inlineStr">
        <is>
          <t>Draw</t>
        </is>
      </c>
      <c r="F5578" s="5" t="n"/>
      <c r="G5578" s="5" t="n"/>
      <c r="H5578" s="5" t="n">
        <v>13</v>
      </c>
      <c r="I5578" s="5" t="n">
        <v>12</v>
      </c>
      <c r="J5578" s="5" t="n">
        <v>1</v>
      </c>
      <c r="K5578" s="10">
        <f>IF(F5578&gt;0,H5578/F5578,"")</f>
        <v/>
      </c>
      <c r="L5578" s="16">
        <f>IF(AND(G5578&gt;0,H5578&gt;0),G5578/H5578,"")</f>
        <v/>
      </c>
    </row>
    <row r="5579">
      <c r="A5579" s="4" t="inlineStr">
        <is>
          <t>261</t>
        </is>
      </c>
      <c r="B5579" s="4" t="n">
        <v>2</v>
      </c>
      <c r="C5579" s="4" t="inlineStr">
        <is>
          <t>mule deer</t>
        </is>
      </c>
      <c r="D5579" s="4" t="n">
        <v>2016</v>
      </c>
      <c r="E5579" s="15" t="inlineStr">
        <is>
          <t>Draw</t>
        </is>
      </c>
      <c r="F5579" s="5" t="n"/>
      <c r="G5579" s="5" t="n"/>
      <c r="H5579" s="5" t="n">
        <v>38</v>
      </c>
      <c r="I5579" s="5" t="n">
        <v>28</v>
      </c>
      <c r="J5579" s="5" t="n">
        <v>11</v>
      </c>
      <c r="K5579" s="10">
        <f>IF(F5579&gt;0,H5579/F5579,"")</f>
        <v/>
      </c>
      <c r="L5579" s="16">
        <f>IF(AND(G5579&gt;0,H5579&gt;0),G5579/H5579,"")</f>
        <v/>
      </c>
    </row>
    <row r="5580">
      <c r="A5580" s="4" t="inlineStr">
        <is>
          <t>261</t>
        </is>
      </c>
      <c r="B5580" s="4" t="n">
        <v>2</v>
      </c>
      <c r="C5580" s="4" t="inlineStr">
        <is>
          <t>mule deer</t>
        </is>
      </c>
      <c r="D5580" s="4" t="n">
        <v>2017</v>
      </c>
      <c r="E5580" s="15" t="inlineStr">
        <is>
          <t>Draw</t>
        </is>
      </c>
      <c r="F5580" s="5" t="n">
        <v>649</v>
      </c>
      <c r="G5580" s="5" t="n">
        <v>4598</v>
      </c>
      <c r="H5580" s="5" t="n">
        <v>42</v>
      </c>
      <c r="I5580" s="5" t="n">
        <v>26</v>
      </c>
      <c r="J5580" s="5" t="n">
        <v>17</v>
      </c>
      <c r="K5580" s="10">
        <f>IF(F5580&gt;0,H5580/F5580,"")</f>
        <v/>
      </c>
      <c r="L5580" s="16">
        <f>IF(AND(G5580&gt;0,H5580&gt;0),G5580/H5580,"")</f>
        <v/>
      </c>
    </row>
    <row r="5581">
      <c r="A5581" s="4" t="inlineStr">
        <is>
          <t>261</t>
        </is>
      </c>
      <c r="B5581" s="4" t="n">
        <v>2</v>
      </c>
      <c r="C5581" s="4" t="inlineStr">
        <is>
          <t>mule deer</t>
        </is>
      </c>
      <c r="D5581" s="4" t="n">
        <v>2018</v>
      </c>
      <c r="E5581" s="15" t="inlineStr">
        <is>
          <t>Draw</t>
        </is>
      </c>
      <c r="F5581" s="5" t="n"/>
      <c r="G5581" s="5" t="n"/>
      <c r="H5581" s="5" t="n">
        <v>24</v>
      </c>
      <c r="I5581" s="5" t="n">
        <v>12</v>
      </c>
      <c r="J5581" s="5" t="n">
        <v>12</v>
      </c>
      <c r="K5581" s="10">
        <f>IF(F5581&gt;0,H5581/F5581,"")</f>
        <v/>
      </c>
      <c r="L5581" s="16">
        <f>IF(AND(G5581&gt;0,H5581&gt;0),G5581/H5581,"")</f>
        <v/>
      </c>
    </row>
    <row r="5582">
      <c r="A5582" s="4" t="inlineStr">
        <is>
          <t>261</t>
        </is>
      </c>
      <c r="B5582" s="4" t="n">
        <v>2</v>
      </c>
      <c r="C5582" s="4" t="inlineStr">
        <is>
          <t>mule deer</t>
        </is>
      </c>
      <c r="D5582" s="4" t="n">
        <v>2019</v>
      </c>
      <c r="E5582" s="15" t="inlineStr">
        <is>
          <t>Draw</t>
        </is>
      </c>
      <c r="F5582" s="5" t="n">
        <v>562</v>
      </c>
      <c r="G5582" s="5" t="n">
        <v>4044</v>
      </c>
      <c r="H5582" s="5" t="n">
        <v>19</v>
      </c>
      <c r="I5582" s="5" t="n">
        <v>10</v>
      </c>
      <c r="J5582" s="5" t="n">
        <v>9</v>
      </c>
      <c r="K5582" s="10">
        <f>IF(F5582&gt;0,H5582/F5582,"")</f>
        <v/>
      </c>
      <c r="L5582" s="16">
        <f>IF(AND(G5582&gt;0,H5582&gt;0),G5582/H5582,"")</f>
        <v/>
      </c>
    </row>
    <row r="5583">
      <c r="A5583" s="4" t="inlineStr">
        <is>
          <t>261</t>
        </is>
      </c>
      <c r="B5583" s="4" t="n">
        <v>2</v>
      </c>
      <c r="C5583" s="4" t="inlineStr">
        <is>
          <t>mule deer</t>
        </is>
      </c>
      <c r="D5583" s="4" t="n">
        <v>2020</v>
      </c>
      <c r="E5583" s="15" t="inlineStr">
        <is>
          <t>Draw</t>
        </is>
      </c>
      <c r="F5583" s="5" t="n"/>
      <c r="G5583" s="5" t="n"/>
      <c r="H5583" s="5" t="n">
        <v>18</v>
      </c>
      <c r="I5583" s="5" t="n">
        <v>16</v>
      </c>
      <c r="J5583" s="5" t="n">
        <v>2</v>
      </c>
      <c r="K5583" s="10">
        <f>IF(F5583&gt;0,H5583/F5583,"")</f>
        <v/>
      </c>
      <c r="L5583" s="16">
        <f>IF(AND(G5583&gt;0,H5583&gt;0),G5583/H5583,"")</f>
        <v/>
      </c>
    </row>
    <row r="5584">
      <c r="A5584" s="4" t="inlineStr">
        <is>
          <t>261</t>
        </is>
      </c>
      <c r="B5584" s="4" t="n">
        <v>2</v>
      </c>
      <c r="C5584" s="4" t="inlineStr">
        <is>
          <t>mule deer</t>
        </is>
      </c>
      <c r="D5584" s="4" t="n">
        <v>2021</v>
      </c>
      <c r="E5584" s="15" t="inlineStr">
        <is>
          <t>Draw</t>
        </is>
      </c>
      <c r="F5584" s="5" t="n">
        <v>379</v>
      </c>
      <c r="G5584" s="5" t="n">
        <v>2616</v>
      </c>
      <c r="H5584" s="5" t="n">
        <v>12</v>
      </c>
      <c r="I5584" s="5" t="n">
        <v>8</v>
      </c>
      <c r="J5584" s="5" t="n">
        <v>4</v>
      </c>
      <c r="K5584" s="10">
        <f>IF(F5584&gt;0,H5584/F5584,"")</f>
        <v/>
      </c>
      <c r="L5584" s="16">
        <f>IF(AND(G5584&gt;0,H5584&gt;0),G5584/H5584,"")</f>
        <v/>
      </c>
    </row>
    <row r="5585">
      <c r="A5585" s="4" t="inlineStr">
        <is>
          <t>261</t>
        </is>
      </c>
      <c r="B5585" s="4" t="n">
        <v>2</v>
      </c>
      <c r="C5585" s="4" t="inlineStr">
        <is>
          <t>mule deer</t>
        </is>
      </c>
      <c r="D5585" s="4" t="n">
        <v>2022</v>
      </c>
      <c r="E5585" s="15" t="inlineStr">
        <is>
          <t>Draw</t>
        </is>
      </c>
      <c r="F5585" s="5" t="n"/>
      <c r="G5585" s="5" t="n"/>
      <c r="H5585" s="5" t="n">
        <v>14</v>
      </c>
      <c r="I5585" s="5" t="n">
        <v>9</v>
      </c>
      <c r="J5585" s="5" t="n">
        <v>5</v>
      </c>
      <c r="K5585" s="10">
        <f>IF(F5585&gt;0,H5585/F5585,"")</f>
        <v/>
      </c>
      <c r="L5585" s="16">
        <f>IF(AND(G5585&gt;0,H5585&gt;0),G5585/H5585,"")</f>
        <v/>
      </c>
    </row>
    <row r="5586">
      <c r="A5586" s="4" t="inlineStr">
        <is>
          <t>261</t>
        </is>
      </c>
      <c r="B5586" s="4" t="n">
        <v>2</v>
      </c>
      <c r="C5586" s="4" t="inlineStr">
        <is>
          <t>mule deer</t>
        </is>
      </c>
      <c r="D5586" s="4" t="n">
        <v>2023</v>
      </c>
      <c r="E5586" s="15" t="inlineStr">
        <is>
          <t>Draw</t>
        </is>
      </c>
      <c r="F5586" s="5" t="n">
        <v>500</v>
      </c>
      <c r="G5586" s="5" t="n">
        <v>3392</v>
      </c>
      <c r="H5586" s="5" t="n">
        <v>8</v>
      </c>
      <c r="I5586" s="5" t="n">
        <v>8</v>
      </c>
      <c r="J5586" s="5" t="n">
        <v>0</v>
      </c>
      <c r="K5586" s="10">
        <f>IF(F5586&gt;0,H5586/F5586,"")</f>
        <v/>
      </c>
      <c r="L5586" s="16">
        <f>IF(AND(G5586&gt;0,H5586&gt;0),G5586/H5586,"")</f>
        <v/>
      </c>
    </row>
    <row r="5587">
      <c r="A5587" s="4" t="inlineStr">
        <is>
          <t>261</t>
        </is>
      </c>
      <c r="B5587" s="4" t="n">
        <v>2</v>
      </c>
      <c r="C5587" s="4" t="inlineStr">
        <is>
          <t>mule deer</t>
        </is>
      </c>
      <c r="D5587" s="4" t="n">
        <v>2024</v>
      </c>
      <c r="E5587" s="15" t="inlineStr">
        <is>
          <t>Draw</t>
        </is>
      </c>
      <c r="F5587" s="5" t="n"/>
      <c r="G5587" s="5" t="n"/>
      <c r="H5587" s="5" t="n">
        <v>15</v>
      </c>
      <c r="I5587" s="5" t="n">
        <v>12</v>
      </c>
      <c r="J5587" s="5" t="n">
        <v>3</v>
      </c>
      <c r="K5587" s="10">
        <f>IF(F5587&gt;0,H5587/F5587,"")</f>
        <v/>
      </c>
      <c r="L5587" s="16">
        <f>IF(AND(G5587&gt;0,H5587&gt;0),G5587/H5587,"")</f>
        <v/>
      </c>
    </row>
    <row r="5588">
      <c r="A5588" s="4" t="inlineStr">
        <is>
          <t>261</t>
        </is>
      </c>
      <c r="B5588" s="4" t="n">
        <v>2</v>
      </c>
      <c r="C5588" s="4" t="inlineStr">
        <is>
          <t>mule deer</t>
        </is>
      </c>
      <c r="D5588" s="4" t="n">
        <v>2025</v>
      </c>
      <c r="E5588" s="15" t="inlineStr">
        <is>
          <t>Draw</t>
        </is>
      </c>
      <c r="F5588" s="5" t="n">
        <v>486</v>
      </c>
      <c r="G5588" s="5" t="n">
        <v>2952</v>
      </c>
      <c r="H5588" s="5" t="n">
        <v>9</v>
      </c>
      <c r="I5588" s="5" t="n">
        <v>9</v>
      </c>
      <c r="J5588" s="5" t="n">
        <v>0</v>
      </c>
      <c r="K5588" s="10">
        <f>IF(F5588&gt;0,H5588/F5588,"")</f>
        <v/>
      </c>
      <c r="L5588" s="16">
        <f>IF(AND(G5588&gt;0,H5588&gt;0),G5588/H5588,"")</f>
        <v/>
      </c>
    </row>
    <row r="5589">
      <c r="A5589" s="4" t="inlineStr">
        <is>
          <t>262</t>
        </is>
      </c>
      <c r="B5589" s="4" t="n">
        <v>2</v>
      </c>
      <c r="C5589" s="4" t="inlineStr">
        <is>
          <t>mule deer</t>
        </is>
      </c>
      <c r="D5589" s="4" t="n">
        <v>2015</v>
      </c>
      <c r="E5589" s="15" t="inlineStr">
        <is>
          <t>Draw</t>
        </is>
      </c>
      <c r="F5589" s="5" t="n"/>
      <c r="G5589" s="5" t="n"/>
      <c r="H5589" s="5" t="n">
        <v>62</v>
      </c>
      <c r="I5589" s="5" t="n">
        <v>6</v>
      </c>
      <c r="J5589" s="5" t="n">
        <v>56</v>
      </c>
      <c r="K5589" s="10">
        <f>IF(F5589&gt;0,H5589/F5589,"")</f>
        <v/>
      </c>
      <c r="L5589" s="16">
        <f>IF(AND(G5589&gt;0,H5589&gt;0),G5589/H5589,"")</f>
        <v/>
      </c>
    </row>
    <row r="5590">
      <c r="A5590" s="4" t="inlineStr">
        <is>
          <t>262</t>
        </is>
      </c>
      <c r="B5590" s="4" t="n">
        <v>2</v>
      </c>
      <c r="C5590" s="4" t="inlineStr">
        <is>
          <t>mule deer</t>
        </is>
      </c>
      <c r="D5590" s="4" t="n">
        <v>2016</v>
      </c>
      <c r="E5590" s="15" t="inlineStr">
        <is>
          <t>Draw</t>
        </is>
      </c>
      <c r="F5590" s="5" t="n"/>
      <c r="G5590" s="5" t="n"/>
      <c r="H5590" s="5" t="n">
        <v>59</v>
      </c>
      <c r="I5590" s="5" t="n">
        <v>0</v>
      </c>
      <c r="J5590" s="5" t="n">
        <v>59</v>
      </c>
      <c r="K5590" s="10">
        <f>IF(F5590&gt;0,H5590/F5590,"")</f>
        <v/>
      </c>
      <c r="L5590" s="16">
        <f>IF(AND(G5590&gt;0,H5590&gt;0),G5590/H5590,"")</f>
        <v/>
      </c>
    </row>
    <row r="5591">
      <c r="A5591" s="4" t="inlineStr">
        <is>
          <t>262</t>
        </is>
      </c>
      <c r="B5591" s="4" t="n">
        <v>2</v>
      </c>
      <c r="C5591" s="4" t="inlineStr">
        <is>
          <t>mule deer</t>
        </is>
      </c>
      <c r="D5591" s="4" t="n">
        <v>2017</v>
      </c>
      <c r="E5591" s="15" t="inlineStr">
        <is>
          <t>Draw</t>
        </is>
      </c>
      <c r="F5591" s="5" t="n">
        <v>750</v>
      </c>
      <c r="G5591" s="5" t="n">
        <v>5152</v>
      </c>
      <c r="H5591" s="5" t="n">
        <v>61</v>
      </c>
      <c r="I5591" s="5" t="n">
        <v>3</v>
      </c>
      <c r="J5591" s="5" t="n">
        <v>58</v>
      </c>
      <c r="K5591" s="10">
        <f>IF(F5591&gt;0,H5591/F5591,"")</f>
        <v/>
      </c>
      <c r="L5591" s="16">
        <f>IF(AND(G5591&gt;0,H5591&gt;0),G5591/H5591,"")</f>
        <v/>
      </c>
    </row>
    <row r="5592">
      <c r="A5592" s="4" t="inlineStr">
        <is>
          <t>262</t>
        </is>
      </c>
      <c r="B5592" s="4" t="n">
        <v>2</v>
      </c>
      <c r="C5592" s="4" t="inlineStr">
        <is>
          <t>mule deer</t>
        </is>
      </c>
      <c r="D5592" s="4" t="n">
        <v>2018</v>
      </c>
      <c r="E5592" s="15" t="inlineStr">
        <is>
          <t>Draw</t>
        </is>
      </c>
      <c r="F5592" s="5" t="n"/>
      <c r="G5592" s="5" t="n"/>
      <c r="H5592" s="5" t="n">
        <v>116</v>
      </c>
      <c r="I5592" s="5" t="n">
        <v>24</v>
      </c>
      <c r="J5592" s="5" t="n">
        <v>93</v>
      </c>
      <c r="K5592" s="10">
        <f>IF(F5592&gt;0,H5592/F5592,"")</f>
        <v/>
      </c>
      <c r="L5592" s="16">
        <f>IF(AND(G5592&gt;0,H5592&gt;0),G5592/H5592,"")</f>
        <v/>
      </c>
    </row>
    <row r="5593">
      <c r="A5593" s="4" t="inlineStr">
        <is>
          <t>262</t>
        </is>
      </c>
      <c r="B5593" s="4" t="n">
        <v>2</v>
      </c>
      <c r="C5593" s="4" t="inlineStr">
        <is>
          <t>mule deer</t>
        </is>
      </c>
      <c r="D5593" s="4" t="n">
        <v>2019</v>
      </c>
      <c r="E5593" s="15" t="inlineStr">
        <is>
          <t>Draw</t>
        </is>
      </c>
      <c r="F5593" s="5" t="n">
        <v>659</v>
      </c>
      <c r="G5593" s="5" t="n">
        <v>4762</v>
      </c>
      <c r="H5593" s="5" t="n">
        <v>69</v>
      </c>
      <c r="I5593" s="5" t="n">
        <v>24</v>
      </c>
      <c r="J5593" s="5" t="n">
        <v>45</v>
      </c>
      <c r="K5593" s="10">
        <f>IF(F5593&gt;0,H5593/F5593,"")</f>
        <v/>
      </c>
      <c r="L5593" s="16">
        <f>IF(AND(G5593&gt;0,H5593&gt;0),G5593/H5593,"")</f>
        <v/>
      </c>
    </row>
    <row r="5594">
      <c r="A5594" s="4" t="inlineStr">
        <is>
          <t>262</t>
        </is>
      </c>
      <c r="B5594" s="4" t="n">
        <v>2</v>
      </c>
      <c r="C5594" s="4" t="inlineStr">
        <is>
          <t>mule deer</t>
        </is>
      </c>
      <c r="D5594" s="4" t="n">
        <v>2020</v>
      </c>
      <c r="E5594" s="15" t="inlineStr">
        <is>
          <t>Draw</t>
        </is>
      </c>
      <c r="F5594" s="5" t="n"/>
      <c r="G5594" s="5" t="n"/>
      <c r="H5594" s="5" t="n">
        <v>78</v>
      </c>
      <c r="I5594" s="5" t="n">
        <v>23</v>
      </c>
      <c r="J5594" s="5" t="n">
        <v>56</v>
      </c>
      <c r="K5594" s="10">
        <f>IF(F5594&gt;0,H5594/F5594,"")</f>
        <v/>
      </c>
      <c r="L5594" s="16">
        <f>IF(AND(G5594&gt;0,H5594&gt;0),G5594/H5594,"")</f>
        <v/>
      </c>
    </row>
    <row r="5595">
      <c r="A5595" s="4" t="inlineStr">
        <is>
          <t>262</t>
        </is>
      </c>
      <c r="B5595" s="4" t="n">
        <v>2</v>
      </c>
      <c r="C5595" s="4" t="inlineStr">
        <is>
          <t>mule deer</t>
        </is>
      </c>
      <c r="D5595" s="4" t="n">
        <v>2021</v>
      </c>
      <c r="E5595" s="15" t="inlineStr">
        <is>
          <t>Draw</t>
        </is>
      </c>
      <c r="F5595" s="5" t="n">
        <v>706</v>
      </c>
      <c r="G5595" s="5" t="n">
        <v>5017</v>
      </c>
      <c r="H5595" s="5" t="n">
        <v>71</v>
      </c>
      <c r="I5595" s="5" t="n">
        <v>11</v>
      </c>
      <c r="J5595" s="5" t="n">
        <v>60</v>
      </c>
      <c r="K5595" s="10">
        <f>IF(F5595&gt;0,H5595/F5595,"")</f>
        <v/>
      </c>
      <c r="L5595" s="16">
        <f>IF(AND(G5595&gt;0,H5595&gt;0),G5595/H5595,"")</f>
        <v/>
      </c>
    </row>
    <row r="5596">
      <c r="A5596" s="4" t="inlineStr">
        <is>
          <t>262</t>
        </is>
      </c>
      <c r="B5596" s="4" t="n">
        <v>2</v>
      </c>
      <c r="C5596" s="4" t="inlineStr">
        <is>
          <t>mule deer</t>
        </is>
      </c>
      <c r="D5596" s="4" t="n">
        <v>2022</v>
      </c>
      <c r="E5596" s="15" t="inlineStr">
        <is>
          <t>Draw</t>
        </is>
      </c>
      <c r="F5596" s="5" t="n"/>
      <c r="G5596" s="5" t="n"/>
      <c r="H5596" s="5" t="n">
        <v>50</v>
      </c>
      <c r="I5596" s="5" t="n">
        <v>20</v>
      </c>
      <c r="J5596" s="5" t="n">
        <v>31</v>
      </c>
      <c r="K5596" s="10">
        <f>IF(F5596&gt;0,H5596/F5596,"")</f>
        <v/>
      </c>
      <c r="L5596" s="16">
        <f>IF(AND(G5596&gt;0,H5596&gt;0),G5596/H5596,"")</f>
        <v/>
      </c>
    </row>
    <row r="5597">
      <c r="A5597" s="4" t="inlineStr">
        <is>
          <t>262</t>
        </is>
      </c>
      <c r="B5597" s="4" t="n">
        <v>2</v>
      </c>
      <c r="C5597" s="4" t="inlineStr">
        <is>
          <t>mule deer</t>
        </is>
      </c>
      <c r="D5597" s="4" t="n">
        <v>2023</v>
      </c>
      <c r="E5597" s="15" t="inlineStr">
        <is>
          <t>Draw</t>
        </is>
      </c>
      <c r="F5597" s="5" t="n">
        <v>748</v>
      </c>
      <c r="G5597" s="5" t="n">
        <v>5534</v>
      </c>
      <c r="H5597" s="5" t="n">
        <v>34</v>
      </c>
      <c r="I5597" s="5" t="n">
        <v>20</v>
      </c>
      <c r="J5597" s="5" t="n">
        <v>14</v>
      </c>
      <c r="K5597" s="10">
        <f>IF(F5597&gt;0,H5597/F5597,"")</f>
        <v/>
      </c>
      <c r="L5597" s="16">
        <f>IF(AND(G5597&gt;0,H5597&gt;0),G5597/H5597,"")</f>
        <v/>
      </c>
    </row>
    <row r="5598">
      <c r="A5598" s="4" t="inlineStr">
        <is>
          <t>262</t>
        </is>
      </c>
      <c r="B5598" s="4" t="n">
        <v>2</v>
      </c>
      <c r="C5598" s="4" t="inlineStr">
        <is>
          <t>mule deer</t>
        </is>
      </c>
      <c r="D5598" s="4" t="n">
        <v>2024</v>
      </c>
      <c r="E5598" s="15" t="inlineStr">
        <is>
          <t>Draw</t>
        </is>
      </c>
      <c r="F5598" s="5" t="n"/>
      <c r="G5598" s="5" t="n"/>
      <c r="H5598" s="5" t="n">
        <v>47</v>
      </c>
      <c r="I5598" s="5" t="n">
        <v>15</v>
      </c>
      <c r="J5598" s="5" t="n">
        <v>32</v>
      </c>
      <c r="K5598" s="10">
        <f>IF(F5598&gt;0,H5598/F5598,"")</f>
        <v/>
      </c>
      <c r="L5598" s="16">
        <f>IF(AND(G5598&gt;0,H5598&gt;0),G5598/H5598,"")</f>
        <v/>
      </c>
    </row>
    <row r="5599">
      <c r="A5599" s="4" t="inlineStr">
        <is>
          <t>262</t>
        </is>
      </c>
      <c r="B5599" s="4" t="n">
        <v>2</v>
      </c>
      <c r="C5599" s="4" t="inlineStr">
        <is>
          <t>mule deer</t>
        </is>
      </c>
      <c r="D5599" s="4" t="n">
        <v>2025</v>
      </c>
      <c r="E5599" s="15" t="inlineStr">
        <is>
          <t>Draw</t>
        </is>
      </c>
      <c r="F5599" s="5" t="n">
        <v>804</v>
      </c>
      <c r="G5599" s="5" t="n">
        <v>5230</v>
      </c>
      <c r="H5599" s="5" t="n">
        <v>41</v>
      </c>
      <c r="I5599" s="5" t="n">
        <v>14</v>
      </c>
      <c r="J5599" s="5" t="n">
        <v>27</v>
      </c>
      <c r="K5599" s="10">
        <f>IF(F5599&gt;0,H5599/F5599,"")</f>
        <v/>
      </c>
      <c r="L5599" s="16">
        <f>IF(AND(G5599&gt;0,H5599&gt;0),G5599/H5599,"")</f>
        <v/>
      </c>
    </row>
    <row r="5600">
      <c r="A5600" s="4" t="inlineStr">
        <is>
          <t>270</t>
        </is>
      </c>
      <c r="B5600" s="4" t="n">
        <v>2</v>
      </c>
      <c r="C5600" s="4" t="inlineStr">
        <is>
          <t>mule deer</t>
        </is>
      </c>
      <c r="D5600" s="4" t="n">
        <v>2004</v>
      </c>
      <c r="E5600" s="15" t="inlineStr">
        <is>
          <t>Draw</t>
        </is>
      </c>
      <c r="F5600" s="5" t="n">
        <v>2054</v>
      </c>
      <c r="G5600" s="5" t="n">
        <v>11902</v>
      </c>
      <c r="H5600" s="5" t="n">
        <v>365</v>
      </c>
      <c r="I5600" s="5" t="n">
        <v>81</v>
      </c>
      <c r="J5600" s="5" t="n">
        <v>275</v>
      </c>
      <c r="K5600" s="10">
        <f>IF(F5600&gt;0,H5600/F5600,"")</f>
        <v/>
      </c>
      <c r="L5600" s="16">
        <f>IF(AND(G5600&gt;0,H5600&gt;0),G5600/H5600,"")</f>
        <v/>
      </c>
    </row>
    <row r="5601">
      <c r="A5601" s="4" t="inlineStr">
        <is>
          <t>270</t>
        </is>
      </c>
      <c r="B5601" s="4" t="n">
        <v>2</v>
      </c>
      <c r="C5601" s="4" t="inlineStr">
        <is>
          <t>mule deer</t>
        </is>
      </c>
      <c r="D5601" s="4" t="n">
        <v>2005</v>
      </c>
      <c r="E5601" s="15" t="inlineStr">
        <is>
          <t>Draw</t>
        </is>
      </c>
      <c r="F5601" s="5" t="n">
        <v>2240</v>
      </c>
      <c r="G5601" s="5" t="n">
        <v>13158</v>
      </c>
      <c r="H5601" s="5" t="n">
        <v>437</v>
      </c>
      <c r="I5601" s="5" t="n">
        <v>146</v>
      </c>
      <c r="J5601" s="5" t="n">
        <v>288</v>
      </c>
      <c r="K5601" s="10">
        <f>IF(F5601&gt;0,H5601/F5601,"")</f>
        <v/>
      </c>
      <c r="L5601" s="16">
        <f>IF(AND(G5601&gt;0,H5601&gt;0),G5601/H5601,"")</f>
        <v/>
      </c>
    </row>
    <row r="5602">
      <c r="A5602" s="4" t="inlineStr">
        <is>
          <t>270</t>
        </is>
      </c>
      <c r="B5602" s="4" t="n">
        <v>2</v>
      </c>
      <c r="C5602" s="4" t="inlineStr">
        <is>
          <t>mule deer</t>
        </is>
      </c>
      <c r="D5602" s="4" t="n">
        <v>2006</v>
      </c>
      <c r="E5602" s="15" t="inlineStr">
        <is>
          <t>Draw</t>
        </is>
      </c>
      <c r="F5602" s="5" t="n">
        <v>2254</v>
      </c>
      <c r="G5602" s="5" t="n">
        <v>14670</v>
      </c>
      <c r="H5602" s="5" t="n">
        <v>323</v>
      </c>
      <c r="I5602" s="5" t="n">
        <v>134</v>
      </c>
      <c r="J5602" s="5" t="n">
        <v>187</v>
      </c>
      <c r="K5602" s="10">
        <f>IF(F5602&gt;0,H5602/F5602,"")</f>
        <v/>
      </c>
      <c r="L5602" s="16">
        <f>IF(AND(G5602&gt;0,H5602&gt;0),G5602/H5602,"")</f>
        <v/>
      </c>
    </row>
    <row r="5603">
      <c r="A5603" s="4" t="inlineStr">
        <is>
          <t>270</t>
        </is>
      </c>
      <c r="B5603" s="4" t="n">
        <v>2</v>
      </c>
      <c r="C5603" s="4" t="inlineStr">
        <is>
          <t>mule deer</t>
        </is>
      </c>
      <c r="D5603" s="4" t="n">
        <v>2007</v>
      </c>
      <c r="E5603" s="15" t="inlineStr">
        <is>
          <t>Draw</t>
        </is>
      </c>
      <c r="F5603" s="5" t="n">
        <v>2007</v>
      </c>
      <c r="G5603" s="5" t="n">
        <v>16072</v>
      </c>
      <c r="H5603" s="5" t="n">
        <v>252</v>
      </c>
      <c r="I5603" s="5" t="n">
        <v>109</v>
      </c>
      <c r="J5603" s="5" t="n">
        <v>143</v>
      </c>
      <c r="K5603" s="10">
        <f>IF(F5603&gt;0,H5603/F5603,"")</f>
        <v/>
      </c>
      <c r="L5603" s="16">
        <f>IF(AND(G5603&gt;0,H5603&gt;0),G5603/H5603,"")</f>
        <v/>
      </c>
    </row>
    <row r="5604">
      <c r="A5604" s="4" t="inlineStr">
        <is>
          <t>270</t>
        </is>
      </c>
      <c r="B5604" s="4" t="n">
        <v>2</v>
      </c>
      <c r="C5604" s="4" t="inlineStr">
        <is>
          <t>mule deer</t>
        </is>
      </c>
      <c r="D5604" s="4" t="n">
        <v>2008</v>
      </c>
      <c r="E5604" s="15" t="inlineStr">
        <is>
          <t>Draw</t>
        </is>
      </c>
      <c r="F5604" s="5" t="n">
        <v>2072</v>
      </c>
      <c r="G5604" s="5" t="n">
        <v>14471</v>
      </c>
      <c r="H5604" s="5" t="n">
        <v>184</v>
      </c>
      <c r="I5604" s="5" t="n">
        <v>68</v>
      </c>
      <c r="J5604" s="5" t="n">
        <v>117</v>
      </c>
      <c r="K5604" s="10">
        <f>IF(F5604&gt;0,H5604/F5604,"")</f>
        <v/>
      </c>
      <c r="L5604" s="16">
        <f>IF(AND(G5604&gt;0,H5604&gt;0),G5604/H5604,"")</f>
        <v/>
      </c>
    </row>
    <row r="5605">
      <c r="A5605" s="4" t="inlineStr">
        <is>
          <t>270</t>
        </is>
      </c>
      <c r="B5605" s="4" t="n">
        <v>2</v>
      </c>
      <c r="C5605" s="4" t="inlineStr">
        <is>
          <t>mule deer</t>
        </is>
      </c>
      <c r="D5605" s="4" t="n">
        <v>2009</v>
      </c>
      <c r="E5605" s="15" t="inlineStr">
        <is>
          <t>Draw</t>
        </is>
      </c>
      <c r="F5605" s="5" t="n">
        <v>1697</v>
      </c>
      <c r="G5605" s="5" t="n">
        <v>11139</v>
      </c>
      <c r="H5605" s="5" t="n">
        <v>118</v>
      </c>
      <c r="I5605" s="5" t="n">
        <v>43</v>
      </c>
      <c r="J5605" s="5" t="n">
        <v>73</v>
      </c>
      <c r="K5605" s="10">
        <f>IF(F5605&gt;0,H5605/F5605,"")</f>
        <v/>
      </c>
      <c r="L5605" s="16">
        <f>IF(AND(G5605&gt;0,H5605&gt;0),G5605/H5605,"")</f>
        <v/>
      </c>
    </row>
    <row r="5606">
      <c r="A5606" s="4" t="inlineStr">
        <is>
          <t>270</t>
        </is>
      </c>
      <c r="B5606" s="4" t="n">
        <v>2</v>
      </c>
      <c r="C5606" s="4" t="inlineStr">
        <is>
          <t>mule deer</t>
        </is>
      </c>
      <c r="D5606" s="4" t="n">
        <v>2010</v>
      </c>
      <c r="E5606" s="15" t="inlineStr">
        <is>
          <t>Draw</t>
        </is>
      </c>
      <c r="F5606" s="5" t="n">
        <v>1498</v>
      </c>
      <c r="G5606" s="5" t="n">
        <v>10948</v>
      </c>
      <c r="H5606" s="5" t="n">
        <v>131</v>
      </c>
      <c r="I5606" s="5" t="n">
        <v>44</v>
      </c>
      <c r="J5606" s="5" t="n">
        <v>86</v>
      </c>
      <c r="K5606" s="10">
        <f>IF(F5606&gt;0,H5606/F5606,"")</f>
        <v/>
      </c>
      <c r="L5606" s="16">
        <f>IF(AND(G5606&gt;0,H5606&gt;0),G5606/H5606,"")</f>
        <v/>
      </c>
    </row>
    <row r="5607">
      <c r="A5607" s="4" t="inlineStr">
        <is>
          <t>270</t>
        </is>
      </c>
      <c r="B5607" s="4" t="n">
        <v>2</v>
      </c>
      <c r="C5607" s="4" t="inlineStr">
        <is>
          <t>mule deer</t>
        </is>
      </c>
      <c r="D5607" s="4" t="n">
        <v>2011</v>
      </c>
      <c r="E5607" s="15" t="inlineStr">
        <is>
          <t>Draw</t>
        </is>
      </c>
      <c r="F5607" s="5" t="n">
        <v>1480</v>
      </c>
      <c r="G5607" s="5" t="n">
        <v>11318</v>
      </c>
      <c r="H5607" s="5" t="n">
        <v>72</v>
      </c>
      <c r="I5607" s="5" t="n">
        <v>34</v>
      </c>
      <c r="J5607" s="5" t="n">
        <v>35</v>
      </c>
      <c r="K5607" s="10">
        <f>IF(F5607&gt;0,H5607/F5607,"")</f>
        <v/>
      </c>
      <c r="L5607" s="16">
        <f>IF(AND(G5607&gt;0,H5607&gt;0),G5607/H5607,"")</f>
        <v/>
      </c>
    </row>
    <row r="5608">
      <c r="A5608" s="4" t="inlineStr">
        <is>
          <t>270</t>
        </is>
      </c>
      <c r="B5608" s="4" t="n">
        <v>2</v>
      </c>
      <c r="C5608" s="4" t="inlineStr">
        <is>
          <t>mule deer</t>
        </is>
      </c>
      <c r="D5608" s="4" t="n">
        <v>2012</v>
      </c>
      <c r="E5608" s="15" t="inlineStr">
        <is>
          <t>Draw</t>
        </is>
      </c>
      <c r="F5608" s="5" t="n"/>
      <c r="G5608" s="5" t="n"/>
      <c r="H5608" s="5" t="n">
        <v>94</v>
      </c>
      <c r="I5608" s="5" t="n">
        <v>48</v>
      </c>
      <c r="J5608" s="5" t="n">
        <v>45</v>
      </c>
      <c r="K5608" s="10">
        <f>IF(F5608&gt;0,H5608/F5608,"")</f>
        <v/>
      </c>
      <c r="L5608" s="16">
        <f>IF(AND(G5608&gt;0,H5608&gt;0),G5608/H5608,"")</f>
        <v/>
      </c>
    </row>
    <row r="5609">
      <c r="A5609" s="4" t="inlineStr">
        <is>
          <t>270</t>
        </is>
      </c>
      <c r="B5609" s="4" t="n">
        <v>2</v>
      </c>
      <c r="C5609" s="4" t="inlineStr">
        <is>
          <t>mule deer</t>
        </is>
      </c>
      <c r="D5609" s="4" t="n">
        <v>2013</v>
      </c>
      <c r="E5609" s="15" t="inlineStr">
        <is>
          <t>Draw</t>
        </is>
      </c>
      <c r="F5609" s="5" t="n">
        <v>1302</v>
      </c>
      <c r="G5609" s="5" t="n">
        <v>8727</v>
      </c>
      <c r="H5609" s="5" t="n">
        <v>59</v>
      </c>
      <c r="I5609" s="5" t="n">
        <v>33</v>
      </c>
      <c r="J5609" s="5" t="n">
        <v>26</v>
      </c>
      <c r="K5609" s="10">
        <f>IF(F5609&gt;0,H5609/F5609,"")</f>
        <v/>
      </c>
      <c r="L5609" s="16">
        <f>IF(AND(G5609&gt;0,H5609&gt;0),G5609/H5609,"")</f>
        <v/>
      </c>
    </row>
    <row r="5610">
      <c r="A5610" s="4" t="inlineStr">
        <is>
          <t>270</t>
        </is>
      </c>
      <c r="B5610" s="4" t="n">
        <v>2</v>
      </c>
      <c r="C5610" s="4" t="inlineStr">
        <is>
          <t>mule deer</t>
        </is>
      </c>
      <c r="D5610" s="4" t="n">
        <v>2014</v>
      </c>
      <c r="E5610" s="15" t="inlineStr">
        <is>
          <t>Draw</t>
        </is>
      </c>
      <c r="F5610" s="5" t="n"/>
      <c r="G5610" s="5" t="n"/>
      <c r="H5610" s="5" t="n">
        <v>52</v>
      </c>
      <c r="I5610" s="5" t="n">
        <v>46</v>
      </c>
      <c r="J5610" s="5" t="n">
        <v>3</v>
      </c>
      <c r="K5610" s="10">
        <f>IF(F5610&gt;0,H5610/F5610,"")</f>
        <v/>
      </c>
      <c r="L5610" s="16">
        <f>IF(AND(G5610&gt;0,H5610&gt;0),G5610/H5610,"")</f>
        <v/>
      </c>
    </row>
    <row r="5611">
      <c r="A5611" s="4" t="inlineStr">
        <is>
          <t>270</t>
        </is>
      </c>
      <c r="B5611" s="4" t="n">
        <v>2</v>
      </c>
      <c r="C5611" s="4" t="inlineStr">
        <is>
          <t>mule deer</t>
        </is>
      </c>
      <c r="D5611" s="4" t="n">
        <v>2015</v>
      </c>
      <c r="E5611" s="15" t="inlineStr">
        <is>
          <t>Draw</t>
        </is>
      </c>
      <c r="F5611" s="5" t="n"/>
      <c r="G5611" s="5" t="n"/>
      <c r="H5611" s="5" t="n">
        <v>56</v>
      </c>
      <c r="I5611" s="5" t="n">
        <v>56</v>
      </c>
      <c r="J5611" s="5" t="n">
        <v>0</v>
      </c>
      <c r="K5611" s="10">
        <f>IF(F5611&gt;0,H5611/F5611,"")</f>
        <v/>
      </c>
      <c r="L5611" s="16">
        <f>IF(AND(G5611&gt;0,H5611&gt;0),G5611/H5611,"")</f>
        <v/>
      </c>
    </row>
    <row r="5612">
      <c r="A5612" s="4" t="inlineStr">
        <is>
          <t>270</t>
        </is>
      </c>
      <c r="B5612" s="4" t="n">
        <v>2</v>
      </c>
      <c r="C5612" s="4" t="inlineStr">
        <is>
          <t>mule deer</t>
        </is>
      </c>
      <c r="D5612" s="4" t="n">
        <v>2016</v>
      </c>
      <c r="E5612" s="15" t="inlineStr">
        <is>
          <t>Draw</t>
        </is>
      </c>
      <c r="F5612" s="5" t="n"/>
      <c r="G5612" s="5" t="n"/>
      <c r="H5612" s="5" t="n">
        <v>42</v>
      </c>
      <c r="I5612" s="5" t="n">
        <v>42</v>
      </c>
      <c r="J5612" s="5" t="n">
        <v>0</v>
      </c>
      <c r="K5612" s="10">
        <f>IF(F5612&gt;0,H5612/F5612,"")</f>
        <v/>
      </c>
      <c r="L5612" s="16">
        <f>IF(AND(G5612&gt;0,H5612&gt;0),G5612/H5612,"")</f>
        <v/>
      </c>
    </row>
    <row r="5613">
      <c r="A5613" s="4" t="inlineStr">
        <is>
          <t>270</t>
        </is>
      </c>
      <c r="B5613" s="4" t="n">
        <v>2</v>
      </c>
      <c r="C5613" s="4" t="inlineStr">
        <is>
          <t>mule deer</t>
        </is>
      </c>
      <c r="D5613" s="4" t="n">
        <v>2017</v>
      </c>
      <c r="E5613" s="15" t="inlineStr">
        <is>
          <t>Draw</t>
        </is>
      </c>
      <c r="F5613" s="5" t="n">
        <v>1248</v>
      </c>
      <c r="G5613" s="5" t="n">
        <v>9645</v>
      </c>
      <c r="H5613" s="5" t="n">
        <v>49</v>
      </c>
      <c r="I5613" s="5" t="n">
        <v>49</v>
      </c>
      <c r="J5613" s="5" t="n">
        <v>0</v>
      </c>
      <c r="K5613" s="10">
        <f>IF(F5613&gt;0,H5613/F5613,"")</f>
        <v/>
      </c>
      <c r="L5613" s="16">
        <f>IF(AND(G5613&gt;0,H5613&gt;0),G5613/H5613,"")</f>
        <v/>
      </c>
    </row>
    <row r="5614">
      <c r="A5614" s="4" t="inlineStr">
        <is>
          <t>270</t>
        </is>
      </c>
      <c r="B5614" s="4" t="n">
        <v>2</v>
      </c>
      <c r="C5614" s="4" t="inlineStr">
        <is>
          <t>mule deer</t>
        </is>
      </c>
      <c r="D5614" s="4" t="n">
        <v>2018</v>
      </c>
      <c r="E5614" s="15" t="inlineStr">
        <is>
          <t>Draw</t>
        </is>
      </c>
      <c r="F5614" s="5" t="n"/>
      <c r="G5614" s="5" t="n"/>
      <c r="H5614" s="5" t="n">
        <v>76</v>
      </c>
      <c r="I5614" s="5" t="n">
        <v>49</v>
      </c>
      <c r="J5614" s="5" t="n">
        <v>27</v>
      </c>
      <c r="K5614" s="10">
        <f>IF(F5614&gt;0,H5614/F5614,"")</f>
        <v/>
      </c>
      <c r="L5614" s="16">
        <f>IF(AND(G5614&gt;0,H5614&gt;0),G5614/H5614,"")</f>
        <v/>
      </c>
    </row>
    <row r="5615">
      <c r="A5615" s="4" t="inlineStr">
        <is>
          <t>270</t>
        </is>
      </c>
      <c r="B5615" s="4" t="n">
        <v>2</v>
      </c>
      <c r="C5615" s="4" t="inlineStr">
        <is>
          <t>mule deer</t>
        </is>
      </c>
      <c r="D5615" s="4" t="n">
        <v>2019</v>
      </c>
      <c r="E5615" s="15" t="inlineStr">
        <is>
          <t>Draw</t>
        </is>
      </c>
      <c r="F5615" s="5" t="n">
        <v>1335</v>
      </c>
      <c r="G5615" s="5" t="n">
        <v>11145</v>
      </c>
      <c r="H5615" s="5" t="n">
        <v>77</v>
      </c>
      <c r="I5615" s="5" t="n">
        <v>41</v>
      </c>
      <c r="J5615" s="5" t="n">
        <v>36</v>
      </c>
      <c r="K5615" s="10">
        <f>IF(F5615&gt;0,H5615/F5615,"")</f>
        <v/>
      </c>
      <c r="L5615" s="16">
        <f>IF(AND(G5615&gt;0,H5615&gt;0),G5615/H5615,"")</f>
        <v/>
      </c>
    </row>
    <row r="5616">
      <c r="A5616" s="4" t="inlineStr">
        <is>
          <t>270</t>
        </is>
      </c>
      <c r="B5616" s="4" t="n">
        <v>2</v>
      </c>
      <c r="C5616" s="4" t="inlineStr">
        <is>
          <t>mule deer</t>
        </is>
      </c>
      <c r="D5616" s="4" t="n">
        <v>2020</v>
      </c>
      <c r="E5616" s="15" t="inlineStr">
        <is>
          <t>Draw</t>
        </is>
      </c>
      <c r="F5616" s="5" t="n"/>
      <c r="G5616" s="5" t="n"/>
      <c r="H5616" s="5" t="n">
        <v>86</v>
      </c>
      <c r="I5616" s="5" t="n">
        <v>60</v>
      </c>
      <c r="J5616" s="5" t="n">
        <v>27</v>
      </c>
      <c r="K5616" s="10">
        <f>IF(F5616&gt;0,H5616/F5616,"")</f>
        <v/>
      </c>
      <c r="L5616" s="16">
        <f>IF(AND(G5616&gt;0,H5616&gt;0),G5616/H5616,"")</f>
        <v/>
      </c>
    </row>
    <row r="5617">
      <c r="A5617" s="4" t="inlineStr">
        <is>
          <t>270</t>
        </is>
      </c>
      <c r="B5617" s="4" t="n">
        <v>2</v>
      </c>
      <c r="C5617" s="4" t="inlineStr">
        <is>
          <t>mule deer</t>
        </is>
      </c>
      <c r="D5617" s="4" t="n">
        <v>2021</v>
      </c>
      <c r="E5617" s="15" t="inlineStr">
        <is>
          <t>Draw</t>
        </is>
      </c>
      <c r="F5617" s="5" t="n">
        <v>1501</v>
      </c>
      <c r="G5617" s="5" t="n">
        <v>12220</v>
      </c>
      <c r="H5617" s="5" t="n">
        <v>92</v>
      </c>
      <c r="I5617" s="5" t="n">
        <v>70</v>
      </c>
      <c r="J5617" s="5" t="n">
        <v>22</v>
      </c>
      <c r="K5617" s="10">
        <f>IF(F5617&gt;0,H5617/F5617,"")</f>
        <v/>
      </c>
      <c r="L5617" s="16">
        <f>IF(AND(G5617&gt;0,H5617&gt;0),G5617/H5617,"")</f>
        <v/>
      </c>
    </row>
    <row r="5618">
      <c r="A5618" s="4" t="inlineStr">
        <is>
          <t>270</t>
        </is>
      </c>
      <c r="B5618" s="4" t="n">
        <v>2</v>
      </c>
      <c r="C5618" s="4" t="inlineStr">
        <is>
          <t>mule deer</t>
        </is>
      </c>
      <c r="D5618" s="4" t="n">
        <v>2022</v>
      </c>
      <c r="E5618" s="15" t="inlineStr">
        <is>
          <t>Draw</t>
        </is>
      </c>
      <c r="F5618" s="5" t="n"/>
      <c r="G5618" s="5" t="n"/>
      <c r="H5618" s="5" t="n">
        <v>67</v>
      </c>
      <c r="I5618" s="5" t="n">
        <v>54</v>
      </c>
      <c r="J5618" s="5" t="n">
        <v>13</v>
      </c>
      <c r="K5618" s="10">
        <f>IF(F5618&gt;0,H5618/F5618,"")</f>
        <v/>
      </c>
      <c r="L5618" s="16">
        <f>IF(AND(G5618&gt;0,H5618&gt;0),G5618/H5618,"")</f>
        <v/>
      </c>
    </row>
    <row r="5619">
      <c r="A5619" s="4" t="inlineStr">
        <is>
          <t>270</t>
        </is>
      </c>
      <c r="B5619" s="4" t="n">
        <v>2</v>
      </c>
      <c r="C5619" s="4" t="inlineStr">
        <is>
          <t>mule deer</t>
        </is>
      </c>
      <c r="D5619" s="4" t="n">
        <v>2023</v>
      </c>
      <c r="E5619" s="15" t="inlineStr">
        <is>
          <t>Draw</t>
        </is>
      </c>
      <c r="F5619" s="5" t="n">
        <v>1887</v>
      </c>
      <c r="G5619" s="5" t="n">
        <v>14284</v>
      </c>
      <c r="H5619" s="5" t="n">
        <v>87</v>
      </c>
      <c r="I5619" s="5" t="n">
        <v>72</v>
      </c>
      <c r="J5619" s="5" t="n">
        <v>16</v>
      </c>
      <c r="K5619" s="10">
        <f>IF(F5619&gt;0,H5619/F5619,"")</f>
        <v/>
      </c>
      <c r="L5619" s="16">
        <f>IF(AND(G5619&gt;0,H5619&gt;0),G5619/H5619,"")</f>
        <v/>
      </c>
    </row>
    <row r="5620">
      <c r="A5620" s="4" t="inlineStr">
        <is>
          <t>270</t>
        </is>
      </c>
      <c r="B5620" s="4" t="n">
        <v>2</v>
      </c>
      <c r="C5620" s="4" t="inlineStr">
        <is>
          <t>mule deer</t>
        </is>
      </c>
      <c r="D5620" s="4" t="n">
        <v>2024</v>
      </c>
      <c r="E5620" s="15" t="inlineStr">
        <is>
          <t>Draw</t>
        </is>
      </c>
      <c r="F5620" s="5" t="n"/>
      <c r="G5620" s="5" t="n"/>
      <c r="H5620" s="5" t="n">
        <v>80</v>
      </c>
      <c r="I5620" s="5" t="n">
        <v>67</v>
      </c>
      <c r="J5620" s="5" t="n">
        <v>13</v>
      </c>
      <c r="K5620" s="10">
        <f>IF(F5620&gt;0,H5620/F5620,"")</f>
        <v/>
      </c>
      <c r="L5620" s="16">
        <f>IF(AND(G5620&gt;0,H5620&gt;0),G5620/H5620,"")</f>
        <v/>
      </c>
    </row>
    <row r="5621">
      <c r="A5621" s="4" t="inlineStr">
        <is>
          <t>270</t>
        </is>
      </c>
      <c r="B5621" s="4" t="n">
        <v>2</v>
      </c>
      <c r="C5621" s="4" t="inlineStr">
        <is>
          <t>mule deer</t>
        </is>
      </c>
      <c r="D5621" s="4" t="n">
        <v>2025</v>
      </c>
      <c r="E5621" s="15" t="inlineStr">
        <is>
          <t>Draw</t>
        </is>
      </c>
      <c r="F5621" s="5" t="n">
        <v>1968</v>
      </c>
      <c r="G5621" s="5" t="n">
        <v>16116</v>
      </c>
      <c r="H5621" s="5" t="n">
        <v>77</v>
      </c>
      <c r="I5621" s="5" t="n">
        <v>62</v>
      </c>
      <c r="J5621" s="5" t="n">
        <v>15</v>
      </c>
      <c r="K5621" s="10">
        <f>IF(F5621&gt;0,H5621/F5621,"")</f>
        <v/>
      </c>
      <c r="L5621" s="16">
        <f>IF(AND(G5621&gt;0,H5621&gt;0),G5621/H5621,"")</f>
        <v/>
      </c>
    </row>
    <row r="5622">
      <c r="A5622" s="4" t="inlineStr">
        <is>
          <t>280</t>
        </is>
      </c>
      <c r="B5622" s="4" t="n">
        <v>2</v>
      </c>
      <c r="C5622" s="4" t="inlineStr">
        <is>
          <t>mule deer</t>
        </is>
      </c>
      <c r="D5622" s="4" t="n">
        <v>2004</v>
      </c>
      <c r="E5622" s="13" t="inlineStr">
        <is>
          <t>General</t>
        </is>
      </c>
      <c r="F5622" s="5" t="n">
        <v>245</v>
      </c>
      <c r="G5622" s="5" t="n">
        <v>1285</v>
      </c>
      <c r="H5622" s="5" t="n">
        <v>43</v>
      </c>
      <c r="I5622" s="5" t="n">
        <v>43</v>
      </c>
      <c r="J5622" s="5" t="n">
        <v>0</v>
      </c>
      <c r="K5622" s="10">
        <f>IF(F5622&gt;0,H5622/F5622,"")</f>
        <v/>
      </c>
      <c r="L5622" s="16">
        <f>IF(AND(G5622&gt;0,H5622&gt;0),G5622/H5622,"")</f>
        <v/>
      </c>
    </row>
    <row r="5623">
      <c r="A5623" s="4" t="inlineStr">
        <is>
          <t>280</t>
        </is>
      </c>
      <c r="B5623" s="4" t="n">
        <v>2</v>
      </c>
      <c r="C5623" s="4" t="inlineStr">
        <is>
          <t>mule deer</t>
        </is>
      </c>
      <c r="D5623" s="4" t="n">
        <v>2005</v>
      </c>
      <c r="E5623" s="13" t="inlineStr">
        <is>
          <t>General</t>
        </is>
      </c>
      <c r="F5623" s="5" t="n">
        <v>296</v>
      </c>
      <c r="G5623" s="5" t="n">
        <v>1481</v>
      </c>
      <c r="H5623" s="5" t="n">
        <v>64</v>
      </c>
      <c r="I5623" s="5" t="n">
        <v>64</v>
      </c>
      <c r="J5623" s="5" t="n">
        <v>0</v>
      </c>
      <c r="K5623" s="10">
        <f>IF(F5623&gt;0,H5623/F5623,"")</f>
        <v/>
      </c>
      <c r="L5623" s="16">
        <f>IF(AND(G5623&gt;0,H5623&gt;0),G5623/H5623,"")</f>
        <v/>
      </c>
    </row>
    <row r="5624">
      <c r="A5624" s="4" t="inlineStr">
        <is>
          <t>280</t>
        </is>
      </c>
      <c r="B5624" s="4" t="n">
        <v>2</v>
      </c>
      <c r="C5624" s="4" t="inlineStr">
        <is>
          <t>mule deer</t>
        </is>
      </c>
      <c r="D5624" s="4" t="n">
        <v>2006</v>
      </c>
      <c r="E5624" s="13" t="inlineStr">
        <is>
          <t>General</t>
        </is>
      </c>
      <c r="F5624" s="5" t="n">
        <v>460</v>
      </c>
      <c r="G5624" s="5" t="n">
        <v>2736</v>
      </c>
      <c r="H5624" s="5" t="n">
        <v>118</v>
      </c>
      <c r="I5624" s="5" t="n">
        <v>118</v>
      </c>
      <c r="J5624" s="5" t="n">
        <v>0</v>
      </c>
      <c r="K5624" s="10">
        <f>IF(F5624&gt;0,H5624/F5624,"")</f>
        <v/>
      </c>
      <c r="L5624" s="16">
        <f>IF(AND(G5624&gt;0,H5624&gt;0),G5624/H5624,"")</f>
        <v/>
      </c>
    </row>
    <row r="5625">
      <c r="A5625" s="4" t="inlineStr">
        <is>
          <t>280</t>
        </is>
      </c>
      <c r="B5625" s="4" t="n">
        <v>2</v>
      </c>
      <c r="C5625" s="4" t="inlineStr">
        <is>
          <t>mule deer</t>
        </is>
      </c>
      <c r="D5625" s="4" t="n">
        <v>2007</v>
      </c>
      <c r="E5625" s="13" t="inlineStr">
        <is>
          <t>General</t>
        </is>
      </c>
      <c r="F5625" s="5" t="n">
        <v>173</v>
      </c>
      <c r="G5625" s="5" t="n">
        <v>1024</v>
      </c>
      <c r="H5625" s="5" t="n">
        <v>25</v>
      </c>
      <c r="I5625" s="5" t="n">
        <v>25</v>
      </c>
      <c r="J5625" s="5" t="n">
        <v>0</v>
      </c>
      <c r="K5625" s="10">
        <f>IF(F5625&gt;0,H5625/F5625,"")</f>
        <v/>
      </c>
      <c r="L5625" s="16">
        <f>IF(AND(G5625&gt;0,H5625&gt;0),G5625/H5625,"")</f>
        <v/>
      </c>
    </row>
    <row r="5626">
      <c r="A5626" s="4" t="inlineStr">
        <is>
          <t>280</t>
        </is>
      </c>
      <c r="B5626" s="4" t="n">
        <v>2</v>
      </c>
      <c r="C5626" s="4" t="inlineStr">
        <is>
          <t>mule deer</t>
        </is>
      </c>
      <c r="D5626" s="4" t="n">
        <v>2008</v>
      </c>
      <c r="E5626" s="13" t="inlineStr">
        <is>
          <t>General</t>
        </is>
      </c>
      <c r="F5626" s="5" t="n">
        <v>290</v>
      </c>
      <c r="G5626" s="5" t="n">
        <v>1918</v>
      </c>
      <c r="H5626" s="5" t="n">
        <v>37</v>
      </c>
      <c r="I5626" s="5" t="n">
        <v>37</v>
      </c>
      <c r="J5626" s="5" t="n">
        <v>0</v>
      </c>
      <c r="K5626" s="10">
        <f>IF(F5626&gt;0,H5626/F5626,"")</f>
        <v/>
      </c>
      <c r="L5626" s="16">
        <f>IF(AND(G5626&gt;0,H5626&gt;0),G5626/H5626,"")</f>
        <v/>
      </c>
    </row>
    <row r="5627">
      <c r="A5627" s="4" t="inlineStr">
        <is>
          <t>280</t>
        </is>
      </c>
      <c r="B5627" s="4" t="n">
        <v>2</v>
      </c>
      <c r="C5627" s="4" t="inlineStr">
        <is>
          <t>mule deer</t>
        </is>
      </c>
      <c r="D5627" s="4" t="n">
        <v>2009</v>
      </c>
      <c r="E5627" s="13" t="inlineStr">
        <is>
          <t>General</t>
        </is>
      </c>
      <c r="F5627" s="5" t="n">
        <v>264</v>
      </c>
      <c r="G5627" s="5" t="n">
        <v>1599</v>
      </c>
      <c r="H5627" s="5" t="n">
        <v>34</v>
      </c>
      <c r="I5627" s="5" t="n">
        <v>34</v>
      </c>
      <c r="J5627" s="5" t="n">
        <v>0</v>
      </c>
      <c r="K5627" s="10">
        <f>IF(F5627&gt;0,H5627/F5627,"")</f>
        <v/>
      </c>
      <c r="L5627" s="16">
        <f>IF(AND(G5627&gt;0,H5627&gt;0),G5627/H5627,"")</f>
        <v/>
      </c>
    </row>
    <row r="5628">
      <c r="A5628" s="4" t="inlineStr">
        <is>
          <t>280</t>
        </is>
      </c>
      <c r="B5628" s="4" t="n">
        <v>2</v>
      </c>
      <c r="C5628" s="4" t="inlineStr">
        <is>
          <t>mule deer</t>
        </is>
      </c>
      <c r="D5628" s="4" t="n">
        <v>2010</v>
      </c>
      <c r="E5628" s="13" t="inlineStr">
        <is>
          <t>General</t>
        </is>
      </c>
      <c r="F5628" s="5" t="n">
        <v>208</v>
      </c>
      <c r="G5628" s="5" t="n">
        <v>1232</v>
      </c>
      <c r="H5628" s="5" t="n">
        <v>22</v>
      </c>
      <c r="I5628" s="5" t="n">
        <v>22</v>
      </c>
      <c r="J5628" s="5" t="n">
        <v>0</v>
      </c>
      <c r="K5628" s="10">
        <f>IF(F5628&gt;0,H5628/F5628,"")</f>
        <v/>
      </c>
      <c r="L5628" s="16">
        <f>IF(AND(G5628&gt;0,H5628&gt;0),G5628/H5628,"")</f>
        <v/>
      </c>
    </row>
    <row r="5629">
      <c r="A5629" s="4" t="inlineStr">
        <is>
          <t>280</t>
        </is>
      </c>
      <c r="B5629" s="4" t="n">
        <v>2</v>
      </c>
      <c r="C5629" s="4" t="inlineStr">
        <is>
          <t>mule deer</t>
        </is>
      </c>
      <c r="D5629" s="4" t="n">
        <v>2011</v>
      </c>
      <c r="E5629" s="13" t="inlineStr">
        <is>
          <t>General</t>
        </is>
      </c>
      <c r="F5629" s="5" t="n">
        <v>295</v>
      </c>
      <c r="G5629" s="5" t="n">
        <v>2283</v>
      </c>
      <c r="H5629" s="5" t="n">
        <v>30</v>
      </c>
      <c r="I5629" s="5" t="n">
        <v>30</v>
      </c>
      <c r="J5629" s="5" t="n">
        <v>0</v>
      </c>
      <c r="K5629" s="10">
        <f>IF(F5629&gt;0,H5629/F5629,"")</f>
        <v/>
      </c>
      <c r="L5629" s="16">
        <f>IF(AND(G5629&gt;0,H5629&gt;0),G5629/H5629,"")</f>
        <v/>
      </c>
    </row>
    <row r="5630">
      <c r="A5630" s="4" t="inlineStr">
        <is>
          <t>280</t>
        </is>
      </c>
      <c r="B5630" s="4" t="n">
        <v>2</v>
      </c>
      <c r="C5630" s="4" t="inlineStr">
        <is>
          <t>mule deer</t>
        </is>
      </c>
      <c r="D5630" s="4" t="n">
        <v>2012</v>
      </c>
      <c r="E5630" s="13" t="inlineStr">
        <is>
          <t>General</t>
        </is>
      </c>
      <c r="F5630" s="5" t="n"/>
      <c r="G5630" s="5" t="n"/>
      <c r="H5630" s="5" t="n">
        <v>21</v>
      </c>
      <c r="I5630" s="5" t="n">
        <v>21</v>
      </c>
      <c r="J5630" s="5" t="n">
        <v>0</v>
      </c>
      <c r="K5630" s="10">
        <f>IF(F5630&gt;0,H5630/F5630,"")</f>
        <v/>
      </c>
      <c r="L5630" s="16">
        <f>IF(AND(G5630&gt;0,H5630&gt;0),G5630/H5630,"")</f>
        <v/>
      </c>
    </row>
    <row r="5631">
      <c r="A5631" s="4" t="inlineStr">
        <is>
          <t>280</t>
        </is>
      </c>
      <c r="B5631" s="4" t="n">
        <v>2</v>
      </c>
      <c r="C5631" s="4" t="inlineStr">
        <is>
          <t>mule deer</t>
        </is>
      </c>
      <c r="D5631" s="4" t="n">
        <v>2013</v>
      </c>
      <c r="E5631" s="13" t="inlineStr">
        <is>
          <t>General</t>
        </is>
      </c>
      <c r="F5631" s="5" t="n">
        <v>206</v>
      </c>
      <c r="G5631" s="5" t="n">
        <v>1328</v>
      </c>
      <c r="H5631" s="5" t="n">
        <v>11</v>
      </c>
      <c r="I5631" s="5" t="n">
        <v>11</v>
      </c>
      <c r="J5631" s="5" t="n">
        <v>0</v>
      </c>
      <c r="K5631" s="10">
        <f>IF(F5631&gt;0,H5631/F5631,"")</f>
        <v/>
      </c>
      <c r="L5631" s="16">
        <f>IF(AND(G5631&gt;0,H5631&gt;0),G5631/H5631,"")</f>
        <v/>
      </c>
    </row>
    <row r="5632">
      <c r="A5632" s="4" t="inlineStr">
        <is>
          <t>280</t>
        </is>
      </c>
      <c r="B5632" s="4" t="n">
        <v>2</v>
      </c>
      <c r="C5632" s="4" t="inlineStr">
        <is>
          <t>mule deer</t>
        </is>
      </c>
      <c r="D5632" s="4" t="n">
        <v>2014</v>
      </c>
      <c r="E5632" s="13" t="inlineStr">
        <is>
          <t>General</t>
        </is>
      </c>
      <c r="F5632" s="5" t="n"/>
      <c r="G5632" s="5" t="n"/>
      <c r="H5632" s="5" t="n">
        <v>9</v>
      </c>
      <c r="I5632" s="5" t="n">
        <v>9</v>
      </c>
      <c r="J5632" s="5" t="n">
        <v>0</v>
      </c>
      <c r="K5632" s="10">
        <f>IF(F5632&gt;0,H5632/F5632,"")</f>
        <v/>
      </c>
      <c r="L5632" s="16">
        <f>IF(AND(G5632&gt;0,H5632&gt;0),G5632/H5632,"")</f>
        <v/>
      </c>
    </row>
    <row r="5633">
      <c r="A5633" s="4" t="inlineStr">
        <is>
          <t>280</t>
        </is>
      </c>
      <c r="B5633" s="4" t="n">
        <v>2</v>
      </c>
      <c r="C5633" s="4" t="inlineStr">
        <is>
          <t>mule deer</t>
        </is>
      </c>
      <c r="D5633" s="4" t="n">
        <v>2015</v>
      </c>
      <c r="E5633" s="13" t="inlineStr">
        <is>
          <t>General</t>
        </is>
      </c>
      <c r="F5633" s="5" t="n"/>
      <c r="G5633" s="5" t="n"/>
      <c r="H5633" s="5" t="n">
        <v>11</v>
      </c>
      <c r="I5633" s="5" t="n">
        <v>11</v>
      </c>
      <c r="J5633" s="5" t="n">
        <v>0</v>
      </c>
      <c r="K5633" s="10">
        <f>IF(F5633&gt;0,H5633/F5633,"")</f>
        <v/>
      </c>
      <c r="L5633" s="16">
        <f>IF(AND(G5633&gt;0,H5633&gt;0),G5633/H5633,"")</f>
        <v/>
      </c>
    </row>
    <row r="5634">
      <c r="A5634" s="4" t="inlineStr">
        <is>
          <t>280</t>
        </is>
      </c>
      <c r="B5634" s="4" t="n">
        <v>2</v>
      </c>
      <c r="C5634" s="4" t="inlineStr">
        <is>
          <t>mule deer</t>
        </is>
      </c>
      <c r="D5634" s="4" t="n">
        <v>2016</v>
      </c>
      <c r="E5634" s="13" t="inlineStr">
        <is>
          <t>General</t>
        </is>
      </c>
      <c r="F5634" s="5" t="n"/>
      <c r="G5634" s="5" t="n"/>
      <c r="H5634" s="5" t="n">
        <v>15</v>
      </c>
      <c r="I5634" s="5" t="n">
        <v>15</v>
      </c>
      <c r="J5634" s="5" t="n">
        <v>0</v>
      </c>
      <c r="K5634" s="10">
        <f>IF(F5634&gt;0,H5634/F5634,"")</f>
        <v/>
      </c>
      <c r="L5634" s="16">
        <f>IF(AND(G5634&gt;0,H5634&gt;0),G5634/H5634,"")</f>
        <v/>
      </c>
    </row>
    <row r="5635">
      <c r="A5635" s="4" t="inlineStr">
        <is>
          <t>280</t>
        </is>
      </c>
      <c r="B5635" s="4" t="n">
        <v>2</v>
      </c>
      <c r="C5635" s="4" t="inlineStr">
        <is>
          <t>mule deer</t>
        </is>
      </c>
      <c r="D5635" s="4" t="n">
        <v>2017</v>
      </c>
      <c r="E5635" s="13" t="inlineStr">
        <is>
          <t>General</t>
        </is>
      </c>
      <c r="F5635" s="5" t="n">
        <v>142</v>
      </c>
      <c r="G5635" s="5" t="n">
        <v>996</v>
      </c>
      <c r="H5635" s="5" t="n">
        <v>6</v>
      </c>
      <c r="I5635" s="5" t="n">
        <v>6</v>
      </c>
      <c r="J5635" s="5" t="n">
        <v>0</v>
      </c>
      <c r="K5635" s="10">
        <f>IF(F5635&gt;0,H5635/F5635,"")</f>
        <v/>
      </c>
      <c r="L5635" s="16">
        <f>IF(AND(G5635&gt;0,H5635&gt;0),G5635/H5635,"")</f>
        <v/>
      </c>
    </row>
    <row r="5636">
      <c r="A5636" s="4" t="inlineStr">
        <is>
          <t>280</t>
        </is>
      </c>
      <c r="B5636" s="4" t="n">
        <v>2</v>
      </c>
      <c r="C5636" s="4" t="inlineStr">
        <is>
          <t>mule deer</t>
        </is>
      </c>
      <c r="D5636" s="4" t="n">
        <v>2018</v>
      </c>
      <c r="E5636" s="13" t="inlineStr">
        <is>
          <t>General</t>
        </is>
      </c>
      <c r="F5636" s="5" t="n"/>
      <c r="G5636" s="5" t="n"/>
      <c r="H5636" s="5" t="n">
        <v>9</v>
      </c>
      <c r="I5636" s="5" t="n">
        <v>9</v>
      </c>
      <c r="J5636" s="5" t="n">
        <v>0</v>
      </c>
      <c r="K5636" s="10">
        <f>IF(F5636&gt;0,H5636/F5636,"")</f>
        <v/>
      </c>
      <c r="L5636" s="16">
        <f>IF(AND(G5636&gt;0,H5636&gt;0),G5636/H5636,"")</f>
        <v/>
      </c>
    </row>
    <row r="5637">
      <c r="A5637" s="4" t="inlineStr">
        <is>
          <t>280</t>
        </is>
      </c>
      <c r="B5637" s="4" t="n">
        <v>2</v>
      </c>
      <c r="C5637" s="4" t="inlineStr">
        <is>
          <t>mule deer</t>
        </is>
      </c>
      <c r="D5637" s="4" t="n">
        <v>2019</v>
      </c>
      <c r="E5637" s="13" t="inlineStr">
        <is>
          <t>General</t>
        </is>
      </c>
      <c r="F5637" s="5" t="n">
        <v>112</v>
      </c>
      <c r="G5637" s="5" t="n">
        <v>872</v>
      </c>
      <c r="H5637" s="5" t="n">
        <v>6</v>
      </c>
      <c r="I5637" s="5" t="n">
        <v>6</v>
      </c>
      <c r="J5637" s="5" t="n">
        <v>0</v>
      </c>
      <c r="K5637" s="10">
        <f>IF(F5637&gt;0,H5637/F5637,"")</f>
        <v/>
      </c>
      <c r="L5637" s="16">
        <f>IF(AND(G5637&gt;0,H5637&gt;0),G5637/H5637,"")</f>
        <v/>
      </c>
    </row>
    <row r="5638">
      <c r="A5638" s="4" t="inlineStr">
        <is>
          <t>280</t>
        </is>
      </c>
      <c r="B5638" s="4" t="n">
        <v>2</v>
      </c>
      <c r="C5638" s="4" t="inlineStr">
        <is>
          <t>mule deer</t>
        </is>
      </c>
      <c r="D5638" s="4" t="n">
        <v>2020</v>
      </c>
      <c r="E5638" s="13" t="inlineStr">
        <is>
          <t>General</t>
        </is>
      </c>
      <c r="F5638" s="5" t="n"/>
      <c r="G5638" s="5" t="n"/>
      <c r="H5638" s="5" t="n">
        <v>5</v>
      </c>
      <c r="I5638" s="5" t="n">
        <v>5</v>
      </c>
      <c r="J5638" s="5" t="n">
        <v>0</v>
      </c>
      <c r="K5638" s="10">
        <f>IF(F5638&gt;0,H5638/F5638,"")</f>
        <v/>
      </c>
      <c r="L5638" s="16">
        <f>IF(AND(G5638&gt;0,H5638&gt;0),G5638/H5638,"")</f>
        <v/>
      </c>
    </row>
    <row r="5639">
      <c r="A5639" s="4" t="inlineStr">
        <is>
          <t>280</t>
        </is>
      </c>
      <c r="B5639" s="4" t="n">
        <v>2</v>
      </c>
      <c r="C5639" s="4" t="inlineStr">
        <is>
          <t>mule deer</t>
        </is>
      </c>
      <c r="D5639" s="4" t="n">
        <v>2021</v>
      </c>
      <c r="E5639" s="13" t="inlineStr">
        <is>
          <t>General</t>
        </is>
      </c>
      <c r="F5639" s="5" t="n">
        <v>99</v>
      </c>
      <c r="G5639" s="5" t="n">
        <v>522</v>
      </c>
      <c r="H5639" s="5" t="n">
        <v>3</v>
      </c>
      <c r="I5639" s="5" t="n">
        <v>3</v>
      </c>
      <c r="J5639" s="5" t="n">
        <v>0</v>
      </c>
      <c r="K5639" s="10">
        <f>IF(F5639&gt;0,H5639/F5639,"")</f>
        <v/>
      </c>
      <c r="L5639" s="16">
        <f>IF(AND(G5639&gt;0,H5639&gt;0),G5639/H5639,"")</f>
        <v/>
      </c>
    </row>
    <row r="5640">
      <c r="A5640" s="4" t="inlineStr">
        <is>
          <t>280</t>
        </is>
      </c>
      <c r="B5640" s="4" t="n">
        <v>2</v>
      </c>
      <c r="C5640" s="4" t="inlineStr">
        <is>
          <t>mule deer</t>
        </is>
      </c>
      <c r="D5640" s="4" t="n">
        <v>2022</v>
      </c>
      <c r="E5640" s="13" t="inlineStr">
        <is>
          <t>General</t>
        </is>
      </c>
      <c r="F5640" s="5" t="n"/>
      <c r="G5640" s="5" t="n"/>
      <c r="H5640" s="5" t="n">
        <v>7</v>
      </c>
      <c r="I5640" s="5" t="n">
        <v>7</v>
      </c>
      <c r="J5640" s="5" t="n">
        <v>0</v>
      </c>
      <c r="K5640" s="10">
        <f>IF(F5640&gt;0,H5640/F5640,"")</f>
        <v/>
      </c>
      <c r="L5640" s="16">
        <f>IF(AND(G5640&gt;0,H5640&gt;0),G5640/H5640,"")</f>
        <v/>
      </c>
    </row>
    <row r="5641">
      <c r="A5641" s="4" t="inlineStr">
        <is>
          <t>280</t>
        </is>
      </c>
      <c r="B5641" s="4" t="n">
        <v>2</v>
      </c>
      <c r="C5641" s="4" t="inlineStr">
        <is>
          <t>mule deer</t>
        </is>
      </c>
      <c r="D5641" s="4" t="n">
        <v>2023</v>
      </c>
      <c r="E5641" s="13" t="inlineStr">
        <is>
          <t>General</t>
        </is>
      </c>
      <c r="F5641" s="5" t="n">
        <v>149</v>
      </c>
      <c r="G5641" s="5" t="n">
        <v>968</v>
      </c>
      <c r="H5641" s="5" t="n">
        <v>3</v>
      </c>
      <c r="I5641" s="5" t="n">
        <v>3</v>
      </c>
      <c r="J5641" s="5" t="n">
        <v>0</v>
      </c>
      <c r="K5641" s="10">
        <f>IF(F5641&gt;0,H5641/F5641,"")</f>
        <v/>
      </c>
      <c r="L5641" s="16">
        <f>IF(AND(G5641&gt;0,H5641&gt;0),G5641/H5641,"")</f>
        <v/>
      </c>
    </row>
    <row r="5642">
      <c r="A5642" s="4" t="inlineStr">
        <is>
          <t>280</t>
        </is>
      </c>
      <c r="B5642" s="4" t="n">
        <v>2</v>
      </c>
      <c r="C5642" s="4" t="inlineStr">
        <is>
          <t>mule deer</t>
        </is>
      </c>
      <c r="D5642" s="4" t="n">
        <v>2024</v>
      </c>
      <c r="E5642" s="13" t="inlineStr">
        <is>
          <t>General</t>
        </is>
      </c>
      <c r="F5642" s="5" t="n"/>
      <c r="G5642" s="5" t="n"/>
      <c r="H5642" s="5" t="n">
        <v>12</v>
      </c>
      <c r="I5642" s="5" t="n">
        <v>12</v>
      </c>
      <c r="J5642" s="5" t="n">
        <v>0</v>
      </c>
      <c r="K5642" s="10">
        <f>IF(F5642&gt;0,H5642/F5642,"")</f>
        <v/>
      </c>
      <c r="L5642" s="16">
        <f>IF(AND(G5642&gt;0,H5642&gt;0),G5642/H5642,"")</f>
        <v/>
      </c>
    </row>
    <row r="5643">
      <c r="A5643" s="4" t="inlineStr">
        <is>
          <t>280</t>
        </is>
      </c>
      <c r="B5643" s="4" t="n">
        <v>2</v>
      </c>
      <c r="C5643" s="4" t="inlineStr">
        <is>
          <t>mule deer</t>
        </is>
      </c>
      <c r="D5643" s="4" t="n">
        <v>2025</v>
      </c>
      <c r="E5643" s="13" t="inlineStr">
        <is>
          <t>General</t>
        </is>
      </c>
      <c r="F5643" s="5" t="n">
        <v>191</v>
      </c>
      <c r="G5643" s="5" t="n">
        <v>1204</v>
      </c>
      <c r="H5643" s="5" t="n">
        <v>7</v>
      </c>
      <c r="I5643" s="5" t="n">
        <v>7</v>
      </c>
      <c r="J5643" s="5" t="n">
        <v>0</v>
      </c>
      <c r="K5643" s="10">
        <f>IF(F5643&gt;0,H5643/F5643,"")</f>
        <v/>
      </c>
      <c r="L5643" s="16">
        <f>IF(AND(G5643&gt;0,H5643&gt;0),G5643/H5643,"")</f>
        <v/>
      </c>
    </row>
    <row r="5644">
      <c r="A5644" s="4" t="inlineStr">
        <is>
          <t>281</t>
        </is>
      </c>
      <c r="B5644" s="4" t="n">
        <v>2</v>
      </c>
      <c r="C5644" s="4" t="inlineStr">
        <is>
          <t>mule deer</t>
        </is>
      </c>
      <c r="D5644" s="4" t="n">
        <v>2004</v>
      </c>
      <c r="E5644" s="13" t="inlineStr">
        <is>
          <t>General</t>
        </is>
      </c>
      <c r="F5644" s="5" t="n">
        <v>1270</v>
      </c>
      <c r="G5644" s="5" t="n">
        <v>7554</v>
      </c>
      <c r="H5644" s="5" t="n">
        <v>127</v>
      </c>
      <c r="I5644" s="5" t="n">
        <v>119</v>
      </c>
      <c r="J5644" s="5" t="n">
        <v>4</v>
      </c>
      <c r="K5644" s="10">
        <f>IF(F5644&gt;0,H5644/F5644,"")</f>
        <v/>
      </c>
      <c r="L5644" s="16">
        <f>IF(AND(G5644&gt;0,H5644&gt;0),G5644/H5644,"")</f>
        <v/>
      </c>
    </row>
    <row r="5645">
      <c r="A5645" s="4" t="inlineStr">
        <is>
          <t>281</t>
        </is>
      </c>
      <c r="B5645" s="4" t="n">
        <v>2</v>
      </c>
      <c r="C5645" s="4" t="inlineStr">
        <is>
          <t>mule deer</t>
        </is>
      </c>
      <c r="D5645" s="4" t="n">
        <v>2005</v>
      </c>
      <c r="E5645" s="13" t="inlineStr">
        <is>
          <t>General</t>
        </is>
      </c>
      <c r="F5645" s="5" t="n">
        <v>1668</v>
      </c>
      <c r="G5645" s="5" t="n">
        <v>9877</v>
      </c>
      <c r="H5645" s="5" t="n">
        <v>169</v>
      </c>
      <c r="I5645" s="5" t="n">
        <v>157</v>
      </c>
      <c r="J5645" s="5" t="n">
        <v>12</v>
      </c>
      <c r="K5645" s="10">
        <f>IF(F5645&gt;0,H5645/F5645,"")</f>
        <v/>
      </c>
      <c r="L5645" s="16">
        <f>IF(AND(G5645&gt;0,H5645&gt;0),G5645/H5645,"")</f>
        <v/>
      </c>
    </row>
    <row r="5646">
      <c r="A5646" s="4" t="inlineStr">
        <is>
          <t>281</t>
        </is>
      </c>
      <c r="B5646" s="4" t="n">
        <v>2</v>
      </c>
      <c r="C5646" s="4" t="inlineStr">
        <is>
          <t>mule deer</t>
        </is>
      </c>
      <c r="D5646" s="4" t="n">
        <v>2006</v>
      </c>
      <c r="E5646" s="13" t="inlineStr">
        <is>
          <t>General</t>
        </is>
      </c>
      <c r="F5646" s="5" t="n">
        <v>1328</v>
      </c>
      <c r="G5646" s="5" t="n">
        <v>8960</v>
      </c>
      <c r="H5646" s="5" t="n">
        <v>193</v>
      </c>
      <c r="I5646" s="5" t="n">
        <v>146</v>
      </c>
      <c r="J5646" s="5" t="n">
        <v>47</v>
      </c>
      <c r="K5646" s="10">
        <f>IF(F5646&gt;0,H5646/F5646,"")</f>
        <v/>
      </c>
      <c r="L5646" s="16">
        <f>IF(AND(G5646&gt;0,H5646&gt;0),G5646/H5646,"")</f>
        <v/>
      </c>
    </row>
    <row r="5647">
      <c r="A5647" s="4" t="inlineStr">
        <is>
          <t>281</t>
        </is>
      </c>
      <c r="B5647" s="4" t="n">
        <v>2</v>
      </c>
      <c r="C5647" s="4" t="inlineStr">
        <is>
          <t>mule deer</t>
        </is>
      </c>
      <c r="D5647" s="4" t="n">
        <v>2007</v>
      </c>
      <c r="E5647" s="13" t="inlineStr">
        <is>
          <t>General</t>
        </is>
      </c>
      <c r="F5647" s="5" t="n">
        <v>1374</v>
      </c>
      <c r="G5647" s="5" t="n">
        <v>9310</v>
      </c>
      <c r="H5647" s="5" t="n">
        <v>142</v>
      </c>
      <c r="I5647" s="5" t="n">
        <v>112</v>
      </c>
      <c r="J5647" s="5" t="n">
        <v>30</v>
      </c>
      <c r="K5647" s="10">
        <f>IF(F5647&gt;0,H5647/F5647,"")</f>
        <v/>
      </c>
      <c r="L5647" s="16">
        <f>IF(AND(G5647&gt;0,H5647&gt;0),G5647/H5647,"")</f>
        <v/>
      </c>
    </row>
    <row r="5648">
      <c r="A5648" s="4" t="inlineStr">
        <is>
          <t>281</t>
        </is>
      </c>
      <c r="B5648" s="4" t="n">
        <v>2</v>
      </c>
      <c r="C5648" s="4" t="inlineStr">
        <is>
          <t>mule deer</t>
        </is>
      </c>
      <c r="D5648" s="4" t="n">
        <v>2008</v>
      </c>
      <c r="E5648" s="13" t="inlineStr">
        <is>
          <t>General</t>
        </is>
      </c>
      <c r="F5648" s="5" t="n">
        <v>1630</v>
      </c>
      <c r="G5648" s="5" t="n">
        <v>11004</v>
      </c>
      <c r="H5648" s="5" t="n">
        <v>121</v>
      </c>
      <c r="I5648" s="5" t="n">
        <v>102</v>
      </c>
      <c r="J5648" s="5" t="n">
        <v>20</v>
      </c>
      <c r="K5648" s="10">
        <f>IF(F5648&gt;0,H5648/F5648,"")</f>
        <v/>
      </c>
      <c r="L5648" s="16">
        <f>IF(AND(G5648&gt;0,H5648&gt;0),G5648/H5648,"")</f>
        <v/>
      </c>
    </row>
    <row r="5649">
      <c r="A5649" s="4" t="inlineStr">
        <is>
          <t>281</t>
        </is>
      </c>
      <c r="B5649" s="4" t="n">
        <v>2</v>
      </c>
      <c r="C5649" s="4" t="inlineStr">
        <is>
          <t>mule deer</t>
        </is>
      </c>
      <c r="D5649" s="4" t="n">
        <v>2009</v>
      </c>
      <c r="E5649" s="13" t="inlineStr">
        <is>
          <t>General</t>
        </is>
      </c>
      <c r="F5649" s="5" t="n">
        <v>1346</v>
      </c>
      <c r="G5649" s="5" t="n">
        <v>8997</v>
      </c>
      <c r="H5649" s="5" t="n">
        <v>84</v>
      </c>
      <c r="I5649" s="5" t="n">
        <v>67</v>
      </c>
      <c r="J5649" s="5" t="n">
        <v>17</v>
      </c>
      <c r="K5649" s="10">
        <f>IF(F5649&gt;0,H5649/F5649,"")</f>
        <v/>
      </c>
      <c r="L5649" s="16">
        <f>IF(AND(G5649&gt;0,H5649&gt;0),G5649/H5649,"")</f>
        <v/>
      </c>
    </row>
    <row r="5650">
      <c r="A5650" s="4" t="inlineStr">
        <is>
          <t>281</t>
        </is>
      </c>
      <c r="B5650" s="4" t="n">
        <v>2</v>
      </c>
      <c r="C5650" s="4" t="inlineStr">
        <is>
          <t>mule deer</t>
        </is>
      </c>
      <c r="D5650" s="4" t="n">
        <v>2010</v>
      </c>
      <c r="E5650" s="13" t="inlineStr">
        <is>
          <t>General</t>
        </is>
      </c>
      <c r="F5650" s="5" t="n">
        <v>951</v>
      </c>
      <c r="G5650" s="5" t="n">
        <v>6223</v>
      </c>
      <c r="H5650" s="5" t="n">
        <v>93</v>
      </c>
      <c r="I5650" s="5" t="n">
        <v>87</v>
      </c>
      <c r="J5650" s="5" t="n">
        <v>6</v>
      </c>
      <c r="K5650" s="10">
        <f>IF(F5650&gt;0,H5650/F5650,"")</f>
        <v/>
      </c>
      <c r="L5650" s="16">
        <f>IF(AND(G5650&gt;0,H5650&gt;0),G5650/H5650,"")</f>
        <v/>
      </c>
    </row>
    <row r="5651">
      <c r="A5651" s="4" t="inlineStr">
        <is>
          <t>281</t>
        </is>
      </c>
      <c r="B5651" s="4" t="n">
        <v>2</v>
      </c>
      <c r="C5651" s="4" t="inlineStr">
        <is>
          <t>mule deer</t>
        </is>
      </c>
      <c r="D5651" s="4" t="n">
        <v>2011</v>
      </c>
      <c r="E5651" s="13" t="inlineStr">
        <is>
          <t>General</t>
        </is>
      </c>
      <c r="F5651" s="5" t="n">
        <v>1047</v>
      </c>
      <c r="G5651" s="5" t="n">
        <v>6499</v>
      </c>
      <c r="H5651" s="5" t="n">
        <v>78</v>
      </c>
      <c r="I5651" s="5" t="n">
        <v>71</v>
      </c>
      <c r="J5651" s="5" t="n">
        <v>8</v>
      </c>
      <c r="K5651" s="10">
        <f>IF(F5651&gt;0,H5651/F5651,"")</f>
        <v/>
      </c>
      <c r="L5651" s="16">
        <f>IF(AND(G5651&gt;0,H5651&gt;0),G5651/H5651,"")</f>
        <v/>
      </c>
    </row>
    <row r="5652">
      <c r="A5652" s="4" t="inlineStr">
        <is>
          <t>281</t>
        </is>
      </c>
      <c r="B5652" s="4" t="n">
        <v>2</v>
      </c>
      <c r="C5652" s="4" t="inlineStr">
        <is>
          <t>mule deer</t>
        </is>
      </c>
      <c r="D5652" s="4" t="n">
        <v>2012</v>
      </c>
      <c r="E5652" s="13" t="inlineStr">
        <is>
          <t>General</t>
        </is>
      </c>
      <c r="F5652" s="5" t="n"/>
      <c r="G5652" s="5" t="n"/>
      <c r="H5652" s="5" t="n">
        <v>60</v>
      </c>
      <c r="I5652" s="5" t="n">
        <v>60</v>
      </c>
      <c r="J5652" s="5" t="n">
        <v>0</v>
      </c>
      <c r="K5652" s="10">
        <f>IF(F5652&gt;0,H5652/F5652,"")</f>
        <v/>
      </c>
      <c r="L5652" s="16">
        <f>IF(AND(G5652&gt;0,H5652&gt;0),G5652/H5652,"")</f>
        <v/>
      </c>
    </row>
    <row r="5653">
      <c r="A5653" s="4" t="inlineStr">
        <is>
          <t>281</t>
        </is>
      </c>
      <c r="B5653" s="4" t="n">
        <v>2</v>
      </c>
      <c r="C5653" s="4" t="inlineStr">
        <is>
          <t>mule deer</t>
        </is>
      </c>
      <c r="D5653" s="4" t="n">
        <v>2013</v>
      </c>
      <c r="E5653" s="13" t="inlineStr">
        <is>
          <t>General</t>
        </is>
      </c>
      <c r="F5653" s="5" t="n">
        <v>1213</v>
      </c>
      <c r="G5653" s="5" t="n">
        <v>7831</v>
      </c>
      <c r="H5653" s="5" t="n">
        <v>46</v>
      </c>
      <c r="I5653" s="5" t="n">
        <v>44</v>
      </c>
      <c r="J5653" s="5" t="n">
        <v>2</v>
      </c>
      <c r="K5653" s="10">
        <f>IF(F5653&gt;0,H5653/F5653,"")</f>
        <v/>
      </c>
      <c r="L5653" s="16">
        <f>IF(AND(G5653&gt;0,H5653&gt;0),G5653/H5653,"")</f>
        <v/>
      </c>
    </row>
    <row r="5654">
      <c r="A5654" s="4" t="inlineStr">
        <is>
          <t>281</t>
        </is>
      </c>
      <c r="B5654" s="4" t="n">
        <v>2</v>
      </c>
      <c r="C5654" s="4" t="inlineStr">
        <is>
          <t>mule deer</t>
        </is>
      </c>
      <c r="D5654" s="4" t="n">
        <v>2014</v>
      </c>
      <c r="E5654" s="13" t="inlineStr">
        <is>
          <t>General</t>
        </is>
      </c>
      <c r="F5654" s="5" t="n"/>
      <c r="G5654" s="5" t="n"/>
      <c r="H5654" s="5" t="n">
        <v>49</v>
      </c>
      <c r="I5654" s="5" t="n">
        <v>49</v>
      </c>
      <c r="J5654" s="5" t="n">
        <v>0</v>
      </c>
      <c r="K5654" s="10">
        <f>IF(F5654&gt;0,H5654/F5654,"")</f>
        <v/>
      </c>
      <c r="L5654" s="16">
        <f>IF(AND(G5654&gt;0,H5654&gt;0),G5654/H5654,"")</f>
        <v/>
      </c>
    </row>
    <row r="5655">
      <c r="A5655" s="4" t="inlineStr">
        <is>
          <t>281</t>
        </is>
      </c>
      <c r="B5655" s="4" t="n">
        <v>2</v>
      </c>
      <c r="C5655" s="4" t="inlineStr">
        <is>
          <t>mule deer</t>
        </is>
      </c>
      <c r="D5655" s="4" t="n">
        <v>2015</v>
      </c>
      <c r="E5655" s="13" t="inlineStr">
        <is>
          <t>General</t>
        </is>
      </c>
      <c r="F5655" s="5" t="n"/>
      <c r="G5655" s="5" t="n"/>
      <c r="H5655" s="5" t="n">
        <v>56</v>
      </c>
      <c r="I5655" s="5" t="n">
        <v>56</v>
      </c>
      <c r="J5655" s="5" t="n">
        <v>0</v>
      </c>
      <c r="K5655" s="10">
        <f>IF(F5655&gt;0,H5655/F5655,"")</f>
        <v/>
      </c>
      <c r="L5655" s="16">
        <f>IF(AND(G5655&gt;0,H5655&gt;0),G5655/H5655,"")</f>
        <v/>
      </c>
    </row>
    <row r="5656">
      <c r="A5656" s="4" t="inlineStr">
        <is>
          <t>281</t>
        </is>
      </c>
      <c r="B5656" s="4" t="n">
        <v>2</v>
      </c>
      <c r="C5656" s="4" t="inlineStr">
        <is>
          <t>mule deer</t>
        </is>
      </c>
      <c r="D5656" s="4" t="n">
        <v>2016</v>
      </c>
      <c r="E5656" s="13" t="inlineStr">
        <is>
          <t>General</t>
        </is>
      </c>
      <c r="F5656" s="5" t="n"/>
      <c r="G5656" s="5" t="n"/>
      <c r="H5656" s="5" t="n">
        <v>57</v>
      </c>
      <c r="I5656" s="5" t="n">
        <v>54</v>
      </c>
      <c r="J5656" s="5" t="n">
        <v>3</v>
      </c>
      <c r="K5656" s="10">
        <f>IF(F5656&gt;0,H5656/F5656,"")</f>
        <v/>
      </c>
      <c r="L5656" s="16">
        <f>IF(AND(G5656&gt;0,H5656&gt;0),G5656/H5656,"")</f>
        <v/>
      </c>
    </row>
    <row r="5657">
      <c r="A5657" s="4" t="inlineStr">
        <is>
          <t>281</t>
        </is>
      </c>
      <c r="B5657" s="4" t="n">
        <v>2</v>
      </c>
      <c r="C5657" s="4" t="inlineStr">
        <is>
          <t>mule deer</t>
        </is>
      </c>
      <c r="D5657" s="4" t="n">
        <v>2017</v>
      </c>
      <c r="E5657" s="13" t="inlineStr">
        <is>
          <t>General</t>
        </is>
      </c>
      <c r="F5657" s="5" t="n">
        <v>951</v>
      </c>
      <c r="G5657" s="5" t="n">
        <v>5814</v>
      </c>
      <c r="H5657" s="5" t="n">
        <v>44</v>
      </c>
      <c r="I5657" s="5" t="n">
        <v>44</v>
      </c>
      <c r="J5657" s="5" t="n">
        <v>0</v>
      </c>
      <c r="K5657" s="10">
        <f>IF(F5657&gt;0,H5657/F5657,"")</f>
        <v/>
      </c>
      <c r="L5657" s="16">
        <f>IF(AND(G5657&gt;0,H5657&gt;0),G5657/H5657,"")</f>
        <v/>
      </c>
    </row>
    <row r="5658">
      <c r="A5658" s="4" t="inlineStr">
        <is>
          <t>281</t>
        </is>
      </c>
      <c r="B5658" s="4" t="n">
        <v>2</v>
      </c>
      <c r="C5658" s="4" t="inlineStr">
        <is>
          <t>mule deer</t>
        </is>
      </c>
      <c r="D5658" s="4" t="n">
        <v>2018</v>
      </c>
      <c r="E5658" s="13" t="inlineStr">
        <is>
          <t>General</t>
        </is>
      </c>
      <c r="F5658" s="5" t="n"/>
      <c r="G5658" s="5" t="n"/>
      <c r="H5658" s="5" t="n">
        <v>60</v>
      </c>
      <c r="I5658" s="5" t="n">
        <v>60</v>
      </c>
      <c r="J5658" s="5" t="n">
        <v>0</v>
      </c>
      <c r="K5658" s="10">
        <f>IF(F5658&gt;0,H5658/F5658,"")</f>
        <v/>
      </c>
      <c r="L5658" s="16">
        <f>IF(AND(G5658&gt;0,H5658&gt;0),G5658/H5658,"")</f>
        <v/>
      </c>
    </row>
    <row r="5659">
      <c r="A5659" s="4" t="inlineStr">
        <is>
          <t>281</t>
        </is>
      </c>
      <c r="B5659" s="4" t="n">
        <v>2</v>
      </c>
      <c r="C5659" s="4" t="inlineStr">
        <is>
          <t>mule deer</t>
        </is>
      </c>
      <c r="D5659" s="4" t="n">
        <v>2019</v>
      </c>
      <c r="E5659" s="13" t="inlineStr">
        <is>
          <t>General</t>
        </is>
      </c>
      <c r="F5659" s="5" t="n">
        <v>929</v>
      </c>
      <c r="G5659" s="5" t="n">
        <v>6219</v>
      </c>
      <c r="H5659" s="5" t="n">
        <v>40</v>
      </c>
      <c r="I5659" s="5" t="n">
        <v>34</v>
      </c>
      <c r="J5659" s="5" t="n">
        <v>6</v>
      </c>
      <c r="K5659" s="10">
        <f>IF(F5659&gt;0,H5659/F5659,"")</f>
        <v/>
      </c>
      <c r="L5659" s="16">
        <f>IF(AND(G5659&gt;0,H5659&gt;0),G5659/H5659,"")</f>
        <v/>
      </c>
    </row>
    <row r="5660">
      <c r="A5660" s="4" t="inlineStr">
        <is>
          <t>281</t>
        </is>
      </c>
      <c r="B5660" s="4" t="n">
        <v>2</v>
      </c>
      <c r="C5660" s="4" t="inlineStr">
        <is>
          <t>mule deer</t>
        </is>
      </c>
      <c r="D5660" s="4" t="n">
        <v>2020</v>
      </c>
      <c r="E5660" s="13" t="inlineStr">
        <is>
          <t>General</t>
        </is>
      </c>
      <c r="F5660" s="5" t="n"/>
      <c r="G5660" s="5" t="n"/>
      <c r="H5660" s="5" t="n">
        <v>28</v>
      </c>
      <c r="I5660" s="5" t="n">
        <v>28</v>
      </c>
      <c r="J5660" s="5" t="n">
        <v>0</v>
      </c>
      <c r="K5660" s="10">
        <f>IF(F5660&gt;0,H5660/F5660,"")</f>
        <v/>
      </c>
      <c r="L5660" s="16">
        <f>IF(AND(G5660&gt;0,H5660&gt;0),G5660/H5660,"")</f>
        <v/>
      </c>
    </row>
    <row r="5661">
      <c r="A5661" s="4" t="inlineStr">
        <is>
          <t>281</t>
        </is>
      </c>
      <c r="B5661" s="4" t="n">
        <v>2</v>
      </c>
      <c r="C5661" s="4" t="inlineStr">
        <is>
          <t>mule deer</t>
        </is>
      </c>
      <c r="D5661" s="4" t="n">
        <v>2021</v>
      </c>
      <c r="E5661" s="13" t="inlineStr">
        <is>
          <t>General</t>
        </is>
      </c>
      <c r="F5661" s="5" t="n">
        <v>956</v>
      </c>
      <c r="G5661" s="5" t="n">
        <v>6190</v>
      </c>
      <c r="H5661" s="5" t="n">
        <v>51</v>
      </c>
      <c r="I5661" s="5" t="n">
        <v>51</v>
      </c>
      <c r="J5661" s="5" t="n">
        <v>0</v>
      </c>
      <c r="K5661" s="10">
        <f>IF(F5661&gt;0,H5661/F5661,"")</f>
        <v/>
      </c>
      <c r="L5661" s="16">
        <f>IF(AND(G5661&gt;0,H5661&gt;0),G5661/H5661,"")</f>
        <v/>
      </c>
    </row>
    <row r="5662">
      <c r="A5662" s="4" t="inlineStr">
        <is>
          <t>281</t>
        </is>
      </c>
      <c r="B5662" s="4" t="n">
        <v>2</v>
      </c>
      <c r="C5662" s="4" t="inlineStr">
        <is>
          <t>mule deer</t>
        </is>
      </c>
      <c r="D5662" s="4" t="n">
        <v>2022</v>
      </c>
      <c r="E5662" s="13" t="inlineStr">
        <is>
          <t>General</t>
        </is>
      </c>
      <c r="F5662" s="5" t="n"/>
      <c r="G5662" s="5" t="n"/>
      <c r="H5662" s="5" t="n">
        <v>71</v>
      </c>
      <c r="I5662" s="5" t="n">
        <v>68</v>
      </c>
      <c r="J5662" s="5" t="n">
        <v>3</v>
      </c>
      <c r="K5662" s="10">
        <f>IF(F5662&gt;0,H5662/F5662,"")</f>
        <v/>
      </c>
      <c r="L5662" s="16">
        <f>IF(AND(G5662&gt;0,H5662&gt;0),G5662/H5662,"")</f>
        <v/>
      </c>
    </row>
    <row r="5663">
      <c r="A5663" s="4" t="inlineStr">
        <is>
          <t>281</t>
        </is>
      </c>
      <c r="B5663" s="4" t="n">
        <v>2</v>
      </c>
      <c r="C5663" s="4" t="inlineStr">
        <is>
          <t>mule deer</t>
        </is>
      </c>
      <c r="D5663" s="4" t="n">
        <v>2023</v>
      </c>
      <c r="E5663" s="13" t="inlineStr">
        <is>
          <t>General</t>
        </is>
      </c>
      <c r="F5663" s="5" t="n">
        <v>1153</v>
      </c>
      <c r="G5663" s="5" t="n">
        <v>8211</v>
      </c>
      <c r="H5663" s="5" t="n">
        <v>69</v>
      </c>
      <c r="I5663" s="5" t="n">
        <v>69</v>
      </c>
      <c r="J5663" s="5" t="n">
        <v>0</v>
      </c>
      <c r="K5663" s="10">
        <f>IF(F5663&gt;0,H5663/F5663,"")</f>
        <v/>
      </c>
      <c r="L5663" s="16">
        <f>IF(AND(G5663&gt;0,H5663&gt;0),G5663/H5663,"")</f>
        <v/>
      </c>
    </row>
    <row r="5664">
      <c r="A5664" s="4" t="inlineStr">
        <is>
          <t>281</t>
        </is>
      </c>
      <c r="B5664" s="4" t="n">
        <v>2</v>
      </c>
      <c r="C5664" s="4" t="inlineStr">
        <is>
          <t>mule deer</t>
        </is>
      </c>
      <c r="D5664" s="4" t="n">
        <v>2024</v>
      </c>
      <c r="E5664" s="13" t="inlineStr">
        <is>
          <t>General</t>
        </is>
      </c>
      <c r="F5664" s="5" t="n"/>
      <c r="G5664" s="5" t="n"/>
      <c r="H5664" s="5" t="n">
        <v>75</v>
      </c>
      <c r="I5664" s="5" t="n">
        <v>72</v>
      </c>
      <c r="J5664" s="5" t="n">
        <v>3</v>
      </c>
      <c r="K5664" s="10">
        <f>IF(F5664&gt;0,H5664/F5664,"")</f>
        <v/>
      </c>
      <c r="L5664" s="16">
        <f>IF(AND(G5664&gt;0,H5664&gt;0),G5664/H5664,"")</f>
        <v/>
      </c>
    </row>
    <row r="5665">
      <c r="A5665" s="4" t="inlineStr">
        <is>
          <t>281</t>
        </is>
      </c>
      <c r="B5665" s="4" t="n">
        <v>2</v>
      </c>
      <c r="C5665" s="4" t="inlineStr">
        <is>
          <t>mule deer</t>
        </is>
      </c>
      <c r="D5665" s="4" t="n">
        <v>2025</v>
      </c>
      <c r="E5665" s="13" t="inlineStr">
        <is>
          <t>General</t>
        </is>
      </c>
      <c r="F5665" s="5" t="n">
        <v>1229</v>
      </c>
      <c r="G5665" s="5" t="n">
        <v>7880</v>
      </c>
      <c r="H5665" s="5" t="n">
        <v>88</v>
      </c>
      <c r="I5665" s="5" t="n">
        <v>88</v>
      </c>
      <c r="J5665" s="5" t="n">
        <v>0</v>
      </c>
      <c r="K5665" s="10">
        <f>IF(F5665&gt;0,H5665/F5665,"")</f>
        <v/>
      </c>
      <c r="L5665" s="16">
        <f>IF(AND(G5665&gt;0,H5665&gt;0),G5665/H5665,"")</f>
        <v/>
      </c>
    </row>
    <row r="5666">
      <c r="A5666" s="4" t="inlineStr">
        <is>
          <t>282</t>
        </is>
      </c>
      <c r="B5666" s="4" t="n">
        <v>2</v>
      </c>
      <c r="C5666" s="4" t="inlineStr">
        <is>
          <t>mule deer</t>
        </is>
      </c>
      <c r="D5666" s="4" t="n">
        <v>2004</v>
      </c>
      <c r="E5666" s="13" t="inlineStr">
        <is>
          <t>General</t>
        </is>
      </c>
      <c r="F5666" s="5" t="n">
        <v>277</v>
      </c>
      <c r="G5666" s="5" t="n">
        <v>1736</v>
      </c>
      <c r="H5666" s="5" t="n">
        <v>43</v>
      </c>
      <c r="I5666" s="5" t="n">
        <v>38</v>
      </c>
      <c r="J5666" s="5" t="n">
        <v>5</v>
      </c>
      <c r="K5666" s="10">
        <f>IF(F5666&gt;0,H5666/F5666,"")</f>
        <v/>
      </c>
      <c r="L5666" s="16">
        <f>IF(AND(G5666&gt;0,H5666&gt;0),G5666/H5666,"")</f>
        <v/>
      </c>
    </row>
    <row r="5667">
      <c r="A5667" s="4" t="inlineStr">
        <is>
          <t>282</t>
        </is>
      </c>
      <c r="B5667" s="4" t="n">
        <v>2</v>
      </c>
      <c r="C5667" s="4" t="inlineStr">
        <is>
          <t>mule deer</t>
        </is>
      </c>
      <c r="D5667" s="4" t="n">
        <v>2005</v>
      </c>
      <c r="E5667" s="13" t="inlineStr">
        <is>
          <t>General</t>
        </is>
      </c>
      <c r="F5667" s="5" t="n">
        <v>211</v>
      </c>
      <c r="G5667" s="5" t="n">
        <v>1245</v>
      </c>
      <c r="H5667" s="5" t="n">
        <v>15</v>
      </c>
      <c r="I5667" s="5" t="n">
        <v>9</v>
      </c>
      <c r="J5667" s="5" t="n">
        <v>6</v>
      </c>
      <c r="K5667" s="10">
        <f>IF(F5667&gt;0,H5667/F5667,"")</f>
        <v/>
      </c>
      <c r="L5667" s="16">
        <f>IF(AND(G5667&gt;0,H5667&gt;0),G5667/H5667,"")</f>
        <v/>
      </c>
    </row>
    <row r="5668">
      <c r="A5668" s="4" t="inlineStr">
        <is>
          <t>282</t>
        </is>
      </c>
      <c r="B5668" s="4" t="n">
        <v>2</v>
      </c>
      <c r="C5668" s="4" t="inlineStr">
        <is>
          <t>mule deer</t>
        </is>
      </c>
      <c r="D5668" s="4" t="n">
        <v>2006</v>
      </c>
      <c r="E5668" s="13" t="inlineStr">
        <is>
          <t>General</t>
        </is>
      </c>
      <c r="F5668" s="5" t="n">
        <v>346</v>
      </c>
      <c r="G5668" s="5" t="n">
        <v>1976</v>
      </c>
      <c r="H5668" s="5" t="n">
        <v>35</v>
      </c>
      <c r="I5668" s="5" t="n">
        <v>30</v>
      </c>
      <c r="J5668" s="5" t="n">
        <v>6</v>
      </c>
      <c r="K5668" s="10">
        <f>IF(F5668&gt;0,H5668/F5668,"")</f>
        <v/>
      </c>
      <c r="L5668" s="16">
        <f>IF(AND(G5668&gt;0,H5668&gt;0),G5668/H5668,"")</f>
        <v/>
      </c>
    </row>
    <row r="5669">
      <c r="A5669" s="4" t="inlineStr">
        <is>
          <t>282</t>
        </is>
      </c>
      <c r="B5669" s="4" t="n">
        <v>2</v>
      </c>
      <c r="C5669" s="4" t="inlineStr">
        <is>
          <t>mule deer</t>
        </is>
      </c>
      <c r="D5669" s="4" t="n">
        <v>2007</v>
      </c>
      <c r="E5669" s="13" t="inlineStr">
        <is>
          <t>General</t>
        </is>
      </c>
      <c r="F5669" s="5" t="n">
        <v>198</v>
      </c>
      <c r="G5669" s="5" t="n">
        <v>1029</v>
      </c>
      <c r="H5669" s="5" t="n">
        <v>8</v>
      </c>
      <c r="I5669" s="5" t="n">
        <v>8</v>
      </c>
      <c r="J5669" s="5" t="n">
        <v>0</v>
      </c>
      <c r="K5669" s="10">
        <f>IF(F5669&gt;0,H5669/F5669,"")</f>
        <v/>
      </c>
      <c r="L5669" s="16">
        <f>IF(AND(G5669&gt;0,H5669&gt;0),G5669/H5669,"")</f>
        <v/>
      </c>
    </row>
    <row r="5670">
      <c r="A5670" s="4" t="inlineStr">
        <is>
          <t>282</t>
        </is>
      </c>
      <c r="B5670" s="4" t="n">
        <v>2</v>
      </c>
      <c r="C5670" s="4" t="inlineStr">
        <is>
          <t>mule deer</t>
        </is>
      </c>
      <c r="D5670" s="4" t="n">
        <v>2008</v>
      </c>
      <c r="E5670" s="13" t="inlineStr">
        <is>
          <t>General</t>
        </is>
      </c>
      <c r="F5670" s="5" t="n">
        <v>209</v>
      </c>
      <c r="G5670" s="5" t="n">
        <v>1194</v>
      </c>
      <c r="H5670" s="5" t="n">
        <v>3</v>
      </c>
      <c r="I5670" s="5" t="n">
        <v>3</v>
      </c>
      <c r="J5670" s="5" t="n">
        <v>0</v>
      </c>
      <c r="K5670" s="10">
        <f>IF(F5670&gt;0,H5670/F5670,"")</f>
        <v/>
      </c>
      <c r="L5670" s="16">
        <f>IF(AND(G5670&gt;0,H5670&gt;0),G5670/H5670,"")</f>
        <v/>
      </c>
    </row>
    <row r="5671">
      <c r="A5671" s="4" t="inlineStr">
        <is>
          <t>282</t>
        </is>
      </c>
      <c r="B5671" s="4" t="n">
        <v>2</v>
      </c>
      <c r="C5671" s="4" t="inlineStr">
        <is>
          <t>mule deer</t>
        </is>
      </c>
      <c r="D5671" s="4" t="n">
        <v>2009</v>
      </c>
      <c r="E5671" s="13" t="inlineStr">
        <is>
          <t>General</t>
        </is>
      </c>
      <c r="F5671" s="5" t="n">
        <v>236</v>
      </c>
      <c r="G5671" s="5" t="n">
        <v>1291</v>
      </c>
      <c r="H5671" s="5" t="n">
        <v>5</v>
      </c>
      <c r="I5671" s="5" t="n">
        <v>3</v>
      </c>
      <c r="J5671" s="5" t="n">
        <v>2</v>
      </c>
      <c r="K5671" s="10">
        <f>IF(F5671&gt;0,H5671/F5671,"")</f>
        <v/>
      </c>
      <c r="L5671" s="16">
        <f>IF(AND(G5671&gt;0,H5671&gt;0),G5671/H5671,"")</f>
        <v/>
      </c>
    </row>
    <row r="5672">
      <c r="A5672" s="4" t="inlineStr">
        <is>
          <t>282</t>
        </is>
      </c>
      <c r="B5672" s="4" t="n">
        <v>2</v>
      </c>
      <c r="C5672" s="4" t="inlineStr">
        <is>
          <t>mule deer</t>
        </is>
      </c>
      <c r="D5672" s="4" t="n">
        <v>2010</v>
      </c>
      <c r="E5672" s="13" t="inlineStr">
        <is>
          <t>General</t>
        </is>
      </c>
      <c r="F5672" s="5" t="n">
        <v>247</v>
      </c>
      <c r="G5672" s="5" t="n">
        <v>1557</v>
      </c>
      <c r="H5672" s="5" t="n">
        <v>5</v>
      </c>
      <c r="I5672" s="5" t="n">
        <v>5</v>
      </c>
      <c r="J5672" s="5" t="n">
        <v>0</v>
      </c>
      <c r="K5672" s="10">
        <f>IF(F5672&gt;0,H5672/F5672,"")</f>
        <v/>
      </c>
      <c r="L5672" s="16">
        <f>IF(AND(G5672&gt;0,H5672&gt;0),G5672/H5672,"")</f>
        <v/>
      </c>
    </row>
    <row r="5673">
      <c r="A5673" s="4" t="inlineStr">
        <is>
          <t>282</t>
        </is>
      </c>
      <c r="B5673" s="4" t="n">
        <v>2</v>
      </c>
      <c r="C5673" s="4" t="inlineStr">
        <is>
          <t>mule deer</t>
        </is>
      </c>
      <c r="D5673" s="4" t="n">
        <v>2012</v>
      </c>
      <c r="E5673" s="13" t="inlineStr">
        <is>
          <t>General</t>
        </is>
      </c>
      <c r="F5673" s="5" t="n"/>
      <c r="G5673" s="5" t="n"/>
      <c r="H5673" s="5" t="n">
        <v>3</v>
      </c>
      <c r="I5673" s="5" t="n">
        <v>3</v>
      </c>
      <c r="J5673" s="5" t="n">
        <v>0</v>
      </c>
      <c r="K5673" s="10">
        <f>IF(F5673&gt;0,H5673/F5673,"")</f>
        <v/>
      </c>
      <c r="L5673" s="16">
        <f>IF(AND(G5673&gt;0,H5673&gt;0),G5673/H5673,"")</f>
        <v/>
      </c>
    </row>
    <row r="5674">
      <c r="A5674" s="4" t="inlineStr">
        <is>
          <t>282</t>
        </is>
      </c>
      <c r="B5674" s="4" t="n">
        <v>2</v>
      </c>
      <c r="C5674" s="4" t="inlineStr">
        <is>
          <t>mule deer</t>
        </is>
      </c>
      <c r="D5674" s="4" t="n">
        <v>2013</v>
      </c>
      <c r="E5674" s="13" t="inlineStr">
        <is>
          <t>General</t>
        </is>
      </c>
      <c r="F5674" s="5" t="n">
        <v>146</v>
      </c>
      <c r="G5674" s="5" t="n">
        <v>1007</v>
      </c>
      <c r="H5674" s="5" t="n">
        <v>3</v>
      </c>
      <c r="I5674" s="5" t="n">
        <v>3</v>
      </c>
      <c r="J5674" s="5" t="n">
        <v>0</v>
      </c>
      <c r="K5674" s="10">
        <f>IF(F5674&gt;0,H5674/F5674,"")</f>
        <v/>
      </c>
      <c r="L5674" s="16">
        <f>IF(AND(G5674&gt;0,H5674&gt;0),G5674/H5674,"")</f>
        <v/>
      </c>
    </row>
    <row r="5675">
      <c r="A5675" s="4" t="inlineStr">
        <is>
          <t>282</t>
        </is>
      </c>
      <c r="B5675" s="4" t="n">
        <v>2</v>
      </c>
      <c r="C5675" s="4" t="inlineStr">
        <is>
          <t>mule deer</t>
        </is>
      </c>
      <c r="D5675" s="4" t="n">
        <v>2016</v>
      </c>
      <c r="E5675" s="13" t="inlineStr">
        <is>
          <t>General</t>
        </is>
      </c>
      <c r="F5675" s="5" t="n"/>
      <c r="G5675" s="5" t="n"/>
      <c r="H5675" s="5" t="n">
        <v>3</v>
      </c>
      <c r="I5675" s="5" t="n">
        <v>3</v>
      </c>
      <c r="J5675" s="5" t="n">
        <v>0</v>
      </c>
      <c r="K5675" s="10">
        <f>IF(F5675&gt;0,H5675/F5675,"")</f>
        <v/>
      </c>
      <c r="L5675" s="16">
        <f>IF(AND(G5675&gt;0,H5675&gt;0),G5675/H5675,"")</f>
        <v/>
      </c>
    </row>
    <row r="5676">
      <c r="A5676" s="4" t="inlineStr">
        <is>
          <t>282</t>
        </is>
      </c>
      <c r="B5676" s="4" t="n">
        <v>2</v>
      </c>
      <c r="C5676" s="4" t="inlineStr">
        <is>
          <t>mule deer</t>
        </is>
      </c>
      <c r="D5676" s="4" t="n">
        <v>2017</v>
      </c>
      <c r="E5676" s="13" t="inlineStr">
        <is>
          <t>General</t>
        </is>
      </c>
      <c r="F5676" s="5" t="n">
        <v>218</v>
      </c>
      <c r="G5676" s="5" t="n">
        <v>1294</v>
      </c>
      <c r="H5676" s="5" t="n">
        <v>3</v>
      </c>
      <c r="I5676" s="5" t="n">
        <v>3</v>
      </c>
      <c r="J5676" s="5" t="n">
        <v>0</v>
      </c>
      <c r="K5676" s="10">
        <f>IF(F5676&gt;0,H5676/F5676,"")</f>
        <v/>
      </c>
      <c r="L5676" s="16">
        <f>IF(AND(G5676&gt;0,H5676&gt;0),G5676/H5676,"")</f>
        <v/>
      </c>
    </row>
    <row r="5677">
      <c r="A5677" s="4" t="inlineStr">
        <is>
          <t>282</t>
        </is>
      </c>
      <c r="B5677" s="4" t="n">
        <v>2</v>
      </c>
      <c r="C5677" s="4" t="inlineStr">
        <is>
          <t>mule deer</t>
        </is>
      </c>
      <c r="D5677" s="4" t="n">
        <v>2018</v>
      </c>
      <c r="E5677" s="13" t="inlineStr">
        <is>
          <t>General</t>
        </is>
      </c>
      <c r="F5677" s="5" t="n"/>
      <c r="G5677" s="5" t="n"/>
      <c r="H5677" s="5" t="n">
        <v>6</v>
      </c>
      <c r="I5677" s="5" t="n">
        <v>6</v>
      </c>
      <c r="J5677" s="5" t="n">
        <v>0</v>
      </c>
      <c r="K5677" s="10">
        <f>IF(F5677&gt;0,H5677/F5677,"")</f>
        <v/>
      </c>
      <c r="L5677" s="16">
        <f>IF(AND(G5677&gt;0,H5677&gt;0),G5677/H5677,"")</f>
        <v/>
      </c>
    </row>
    <row r="5678">
      <c r="A5678" s="4" t="inlineStr">
        <is>
          <t>282</t>
        </is>
      </c>
      <c r="B5678" s="4" t="n">
        <v>2</v>
      </c>
      <c r="C5678" s="4" t="inlineStr">
        <is>
          <t>mule deer</t>
        </is>
      </c>
      <c r="D5678" s="4" t="n">
        <v>2020</v>
      </c>
      <c r="E5678" s="13" t="inlineStr">
        <is>
          <t>General</t>
        </is>
      </c>
      <c r="F5678" s="5" t="n"/>
      <c r="G5678" s="5" t="n"/>
      <c r="H5678" s="5" t="n">
        <v>7</v>
      </c>
      <c r="I5678" s="5" t="n">
        <v>7</v>
      </c>
      <c r="J5678" s="5" t="n">
        <v>0</v>
      </c>
      <c r="K5678" s="10">
        <f>IF(F5678&gt;0,H5678/F5678,"")</f>
        <v/>
      </c>
      <c r="L5678" s="16">
        <f>IF(AND(G5678&gt;0,H5678&gt;0),G5678/H5678,"")</f>
        <v/>
      </c>
    </row>
    <row r="5679">
      <c r="A5679" s="4" t="inlineStr">
        <is>
          <t>282</t>
        </is>
      </c>
      <c r="B5679" s="4" t="n">
        <v>2</v>
      </c>
      <c r="C5679" s="4" t="inlineStr">
        <is>
          <t>mule deer</t>
        </is>
      </c>
      <c r="D5679" s="4" t="n">
        <v>2021</v>
      </c>
      <c r="E5679" s="13" t="inlineStr">
        <is>
          <t>General</t>
        </is>
      </c>
      <c r="F5679" s="5" t="n">
        <v>198</v>
      </c>
      <c r="G5679" s="5" t="n">
        <v>1195</v>
      </c>
      <c r="H5679" s="5" t="n">
        <v>8</v>
      </c>
      <c r="I5679" s="5" t="n">
        <v>8</v>
      </c>
      <c r="J5679" s="5" t="n">
        <v>0</v>
      </c>
      <c r="K5679" s="10">
        <f>IF(F5679&gt;0,H5679/F5679,"")</f>
        <v/>
      </c>
      <c r="L5679" s="16">
        <f>IF(AND(G5679&gt;0,H5679&gt;0),G5679/H5679,"")</f>
        <v/>
      </c>
    </row>
    <row r="5680">
      <c r="A5680" s="4" t="inlineStr">
        <is>
          <t>282</t>
        </is>
      </c>
      <c r="B5680" s="4" t="n">
        <v>2</v>
      </c>
      <c r="C5680" s="4" t="inlineStr">
        <is>
          <t>mule deer</t>
        </is>
      </c>
      <c r="D5680" s="4" t="n">
        <v>2022</v>
      </c>
      <c r="E5680" s="13" t="inlineStr">
        <is>
          <t>General</t>
        </is>
      </c>
      <c r="F5680" s="5" t="n"/>
      <c r="G5680" s="5" t="n"/>
      <c r="H5680" s="5" t="n">
        <v>17</v>
      </c>
      <c r="I5680" s="5" t="n">
        <v>15</v>
      </c>
      <c r="J5680" s="5" t="n">
        <v>2</v>
      </c>
      <c r="K5680" s="10">
        <f>IF(F5680&gt;0,H5680/F5680,"")</f>
        <v/>
      </c>
      <c r="L5680" s="16">
        <f>IF(AND(G5680&gt;0,H5680&gt;0),G5680/H5680,"")</f>
        <v/>
      </c>
    </row>
    <row r="5681">
      <c r="A5681" s="4" t="inlineStr">
        <is>
          <t>282</t>
        </is>
      </c>
      <c r="B5681" s="4" t="n">
        <v>2</v>
      </c>
      <c r="C5681" s="4" t="inlineStr">
        <is>
          <t>mule deer</t>
        </is>
      </c>
      <c r="D5681" s="4" t="n">
        <v>2023</v>
      </c>
      <c r="E5681" s="13" t="inlineStr">
        <is>
          <t>General</t>
        </is>
      </c>
      <c r="F5681" s="5" t="n">
        <v>257</v>
      </c>
      <c r="G5681" s="5" t="n">
        <v>1611</v>
      </c>
      <c r="H5681" s="5" t="n">
        <v>5</v>
      </c>
      <c r="I5681" s="5" t="n">
        <v>5</v>
      </c>
      <c r="J5681" s="5" t="n">
        <v>0</v>
      </c>
      <c r="K5681" s="10">
        <f>IF(F5681&gt;0,H5681/F5681,"")</f>
        <v/>
      </c>
      <c r="L5681" s="16">
        <f>IF(AND(G5681&gt;0,H5681&gt;0),G5681/H5681,"")</f>
        <v/>
      </c>
    </row>
    <row r="5682">
      <c r="A5682" s="4" t="inlineStr">
        <is>
          <t>282</t>
        </is>
      </c>
      <c r="B5682" s="4" t="n">
        <v>2</v>
      </c>
      <c r="C5682" s="4" t="inlineStr">
        <is>
          <t>mule deer</t>
        </is>
      </c>
      <c r="D5682" s="4" t="n">
        <v>2024</v>
      </c>
      <c r="E5682" s="13" t="inlineStr">
        <is>
          <t>General</t>
        </is>
      </c>
      <c r="F5682" s="5" t="n"/>
      <c r="G5682" s="5" t="n"/>
      <c r="H5682" s="5" t="n">
        <v>11</v>
      </c>
      <c r="I5682" s="5" t="n">
        <v>11</v>
      </c>
      <c r="J5682" s="5" t="n">
        <v>0</v>
      </c>
      <c r="K5682" s="10">
        <f>IF(F5682&gt;0,H5682/F5682,"")</f>
        <v/>
      </c>
      <c r="L5682" s="16">
        <f>IF(AND(G5682&gt;0,H5682&gt;0),G5682/H5682,"")</f>
        <v/>
      </c>
    </row>
    <row r="5683">
      <c r="A5683" s="4" t="inlineStr">
        <is>
          <t>282</t>
        </is>
      </c>
      <c r="B5683" s="4" t="n">
        <v>2</v>
      </c>
      <c r="C5683" s="4" t="inlineStr">
        <is>
          <t>mule deer</t>
        </is>
      </c>
      <c r="D5683" s="4" t="n">
        <v>2025</v>
      </c>
      <c r="E5683" s="13" t="inlineStr">
        <is>
          <t>General</t>
        </is>
      </c>
      <c r="F5683" s="5" t="n">
        <v>367</v>
      </c>
      <c r="G5683" s="5" t="n">
        <v>2250</v>
      </c>
      <c r="H5683" s="5" t="n">
        <v>11</v>
      </c>
      <c r="I5683" s="5" t="n">
        <v>11</v>
      </c>
      <c r="J5683" s="5" t="n">
        <v>0</v>
      </c>
      <c r="K5683" s="10">
        <f>IF(F5683&gt;0,H5683/F5683,"")</f>
        <v/>
      </c>
      <c r="L5683" s="16">
        <f>IF(AND(G5683&gt;0,H5683&gt;0),G5683/H5683,"")</f>
        <v/>
      </c>
    </row>
    <row r="5684">
      <c r="A5684" s="4" t="inlineStr">
        <is>
          <t>283</t>
        </is>
      </c>
      <c r="B5684" s="4" t="n">
        <v>2</v>
      </c>
      <c r="C5684" s="4" t="inlineStr">
        <is>
          <t>mule deer</t>
        </is>
      </c>
      <c r="D5684" s="4" t="n">
        <v>2004</v>
      </c>
      <c r="E5684" s="4" t="inlineStr"/>
      <c r="F5684" s="5" t="n">
        <v>1720</v>
      </c>
      <c r="G5684" s="5" t="n">
        <v>9885</v>
      </c>
      <c r="H5684" s="5" t="n">
        <v>132</v>
      </c>
      <c r="I5684" s="5" t="n">
        <v>131</v>
      </c>
      <c r="J5684" s="5" t="n">
        <v>2</v>
      </c>
      <c r="K5684" s="10">
        <f>IF(F5684&gt;0,H5684/F5684,"")</f>
        <v/>
      </c>
      <c r="L5684" s="16">
        <f>IF(AND(G5684&gt;0,H5684&gt;0),G5684/H5684,"")</f>
        <v/>
      </c>
    </row>
    <row r="5685">
      <c r="A5685" s="4" t="inlineStr">
        <is>
          <t>283</t>
        </is>
      </c>
      <c r="B5685" s="4" t="n">
        <v>2</v>
      </c>
      <c r="C5685" s="4" t="inlineStr">
        <is>
          <t>mule deer</t>
        </is>
      </c>
      <c r="D5685" s="4" t="n">
        <v>2005</v>
      </c>
      <c r="E5685" s="4" t="inlineStr"/>
      <c r="F5685" s="5" t="n">
        <v>1572</v>
      </c>
      <c r="G5685" s="5" t="n">
        <v>7955</v>
      </c>
      <c r="H5685" s="5" t="n">
        <v>145</v>
      </c>
      <c r="I5685" s="5" t="n">
        <v>141</v>
      </c>
      <c r="J5685" s="5" t="n">
        <v>4</v>
      </c>
      <c r="K5685" s="10">
        <f>IF(F5685&gt;0,H5685/F5685,"")</f>
        <v/>
      </c>
      <c r="L5685" s="16">
        <f>IF(AND(G5685&gt;0,H5685&gt;0),G5685/H5685,"")</f>
        <v/>
      </c>
    </row>
    <row r="5686">
      <c r="A5686" s="4" t="inlineStr">
        <is>
          <t>283</t>
        </is>
      </c>
      <c r="B5686" s="4" t="n">
        <v>2</v>
      </c>
      <c r="C5686" s="4" t="inlineStr">
        <is>
          <t>mule deer</t>
        </is>
      </c>
      <c r="D5686" s="4" t="n">
        <v>2006</v>
      </c>
      <c r="E5686" s="4" t="inlineStr"/>
      <c r="F5686" s="5" t="n">
        <v>1854</v>
      </c>
      <c r="G5686" s="5" t="n">
        <v>10681</v>
      </c>
      <c r="H5686" s="5" t="n">
        <v>159</v>
      </c>
      <c r="I5686" s="5" t="n">
        <v>127</v>
      </c>
      <c r="J5686" s="5" t="n">
        <v>32</v>
      </c>
      <c r="K5686" s="10">
        <f>IF(F5686&gt;0,H5686/F5686,"")</f>
        <v/>
      </c>
      <c r="L5686" s="16">
        <f>IF(AND(G5686&gt;0,H5686&gt;0),G5686/H5686,"")</f>
        <v/>
      </c>
    </row>
    <row r="5687">
      <c r="A5687" s="4" t="inlineStr">
        <is>
          <t>283</t>
        </is>
      </c>
      <c r="B5687" s="4" t="n">
        <v>2</v>
      </c>
      <c r="C5687" s="4" t="inlineStr">
        <is>
          <t>mule deer</t>
        </is>
      </c>
      <c r="D5687" s="4" t="n">
        <v>2007</v>
      </c>
      <c r="E5687" s="4" t="inlineStr"/>
      <c r="F5687" s="5" t="n">
        <v>1648</v>
      </c>
      <c r="G5687" s="5" t="n">
        <v>10975</v>
      </c>
      <c r="H5687" s="5" t="n">
        <v>106</v>
      </c>
      <c r="I5687" s="5" t="n">
        <v>83</v>
      </c>
      <c r="J5687" s="5" t="n">
        <v>23</v>
      </c>
      <c r="K5687" s="10">
        <f>IF(F5687&gt;0,H5687/F5687,"")</f>
        <v/>
      </c>
      <c r="L5687" s="16">
        <f>IF(AND(G5687&gt;0,H5687&gt;0),G5687/H5687,"")</f>
        <v/>
      </c>
    </row>
    <row r="5688">
      <c r="A5688" s="4" t="inlineStr">
        <is>
          <t>283</t>
        </is>
      </c>
      <c r="B5688" s="4" t="n">
        <v>2</v>
      </c>
      <c r="C5688" s="4" t="inlineStr">
        <is>
          <t>mule deer</t>
        </is>
      </c>
      <c r="D5688" s="4" t="n">
        <v>2008</v>
      </c>
      <c r="E5688" s="4" t="inlineStr"/>
      <c r="F5688" s="5" t="n">
        <v>1986</v>
      </c>
      <c r="G5688" s="5" t="n">
        <v>12272</v>
      </c>
      <c r="H5688" s="5" t="n">
        <v>97</v>
      </c>
      <c r="I5688" s="5" t="n">
        <v>74</v>
      </c>
      <c r="J5688" s="5" t="n">
        <v>23</v>
      </c>
      <c r="K5688" s="10">
        <f>IF(F5688&gt;0,H5688/F5688,"")</f>
        <v/>
      </c>
      <c r="L5688" s="16">
        <f>IF(AND(G5688&gt;0,H5688&gt;0),G5688/H5688,"")</f>
        <v/>
      </c>
    </row>
    <row r="5689">
      <c r="A5689" s="4" t="inlineStr">
        <is>
          <t>283</t>
        </is>
      </c>
      <c r="B5689" s="4" t="n">
        <v>2</v>
      </c>
      <c r="C5689" s="4" t="inlineStr">
        <is>
          <t>mule deer</t>
        </is>
      </c>
      <c r="D5689" s="4" t="n">
        <v>2009</v>
      </c>
      <c r="E5689" s="4" t="inlineStr"/>
      <c r="F5689" s="5" t="n">
        <v>1980</v>
      </c>
      <c r="G5689" s="5" t="n">
        <v>11589</v>
      </c>
      <c r="H5689" s="5" t="n">
        <v>77</v>
      </c>
      <c r="I5689" s="5" t="n">
        <v>50</v>
      </c>
      <c r="J5689" s="5" t="n">
        <v>22</v>
      </c>
      <c r="K5689" s="10">
        <f>IF(F5689&gt;0,H5689/F5689,"")</f>
        <v/>
      </c>
      <c r="L5689" s="16">
        <f>IF(AND(G5689&gt;0,H5689&gt;0),G5689/H5689,"")</f>
        <v/>
      </c>
    </row>
    <row r="5690">
      <c r="A5690" s="4" t="inlineStr">
        <is>
          <t>283</t>
        </is>
      </c>
      <c r="B5690" s="4" t="n">
        <v>2</v>
      </c>
      <c r="C5690" s="4" t="inlineStr">
        <is>
          <t>mule deer</t>
        </is>
      </c>
      <c r="D5690" s="4" t="n">
        <v>2010</v>
      </c>
      <c r="E5690" s="4" t="inlineStr"/>
      <c r="F5690" s="5" t="n">
        <v>1665</v>
      </c>
      <c r="G5690" s="5" t="n">
        <v>9661</v>
      </c>
      <c r="H5690" s="5" t="n">
        <v>104</v>
      </c>
      <c r="I5690" s="5" t="n">
        <v>90</v>
      </c>
      <c r="J5690" s="5" t="n">
        <v>14</v>
      </c>
      <c r="K5690" s="10">
        <f>IF(F5690&gt;0,H5690/F5690,"")</f>
        <v/>
      </c>
      <c r="L5690" s="16">
        <f>IF(AND(G5690&gt;0,H5690&gt;0),G5690/H5690,"")</f>
        <v/>
      </c>
    </row>
    <row r="5691">
      <c r="A5691" s="4" t="inlineStr">
        <is>
          <t>283</t>
        </is>
      </c>
      <c r="B5691" s="4" t="n">
        <v>2</v>
      </c>
      <c r="C5691" s="4" t="inlineStr">
        <is>
          <t>mule deer</t>
        </is>
      </c>
      <c r="D5691" s="4" t="n">
        <v>2011</v>
      </c>
      <c r="E5691" s="4" t="inlineStr"/>
      <c r="F5691" s="5" t="n">
        <v>1837</v>
      </c>
      <c r="G5691" s="5" t="n">
        <v>10334</v>
      </c>
      <c r="H5691" s="5" t="n">
        <v>56</v>
      </c>
      <c r="I5691" s="5" t="n">
        <v>45</v>
      </c>
      <c r="J5691" s="5" t="n">
        <v>11</v>
      </c>
      <c r="K5691" s="10">
        <f>IF(F5691&gt;0,H5691/F5691,"")</f>
        <v/>
      </c>
      <c r="L5691" s="16">
        <f>IF(AND(G5691&gt;0,H5691&gt;0),G5691/H5691,"")</f>
        <v/>
      </c>
    </row>
    <row r="5692">
      <c r="A5692" s="4" t="inlineStr">
        <is>
          <t>283</t>
        </is>
      </c>
      <c r="B5692" s="4" t="n">
        <v>2</v>
      </c>
      <c r="C5692" s="4" t="inlineStr">
        <is>
          <t>mule deer</t>
        </is>
      </c>
      <c r="D5692" s="4" t="n">
        <v>2012</v>
      </c>
      <c r="E5692" s="4" t="inlineStr"/>
      <c r="F5692" s="5" t="n"/>
      <c r="G5692" s="5" t="n"/>
      <c r="H5692" s="5" t="n">
        <v>70</v>
      </c>
      <c r="I5692" s="5" t="n">
        <v>70</v>
      </c>
      <c r="J5692" s="5" t="n">
        <v>0</v>
      </c>
      <c r="K5692" s="10">
        <f>IF(F5692&gt;0,H5692/F5692,"")</f>
        <v/>
      </c>
      <c r="L5692" s="16">
        <f>IF(AND(G5692&gt;0,H5692&gt;0),G5692/H5692,"")</f>
        <v/>
      </c>
    </row>
    <row r="5693">
      <c r="A5693" s="4" t="inlineStr">
        <is>
          <t>283</t>
        </is>
      </c>
      <c r="B5693" s="4" t="n">
        <v>2</v>
      </c>
      <c r="C5693" s="4" t="inlineStr">
        <is>
          <t>mule deer</t>
        </is>
      </c>
      <c r="D5693" s="4" t="n">
        <v>2013</v>
      </c>
      <c r="E5693" s="4" t="inlineStr"/>
      <c r="F5693" s="5" t="n">
        <v>1591</v>
      </c>
      <c r="G5693" s="5" t="n">
        <v>9757</v>
      </c>
      <c r="H5693" s="5" t="n">
        <v>54</v>
      </c>
      <c r="I5693" s="5" t="n">
        <v>54</v>
      </c>
      <c r="J5693" s="5" t="n">
        <v>0</v>
      </c>
      <c r="K5693" s="10">
        <f>IF(F5693&gt;0,H5693/F5693,"")</f>
        <v/>
      </c>
      <c r="L5693" s="16">
        <f>IF(AND(G5693&gt;0,H5693&gt;0),G5693/H5693,"")</f>
        <v/>
      </c>
    </row>
    <row r="5694">
      <c r="A5694" s="4" t="inlineStr">
        <is>
          <t>283</t>
        </is>
      </c>
      <c r="B5694" s="4" t="n">
        <v>2</v>
      </c>
      <c r="C5694" s="4" t="inlineStr">
        <is>
          <t>mule deer</t>
        </is>
      </c>
      <c r="D5694" s="4" t="n">
        <v>2014</v>
      </c>
      <c r="E5694" s="4" t="inlineStr"/>
      <c r="F5694" s="5" t="n"/>
      <c r="G5694" s="5" t="n"/>
      <c r="H5694" s="5" t="n">
        <v>55</v>
      </c>
      <c r="I5694" s="5" t="n">
        <v>53</v>
      </c>
      <c r="J5694" s="5" t="n">
        <v>2</v>
      </c>
      <c r="K5694" s="10">
        <f>IF(F5694&gt;0,H5694/F5694,"")</f>
        <v/>
      </c>
      <c r="L5694" s="16">
        <f>IF(AND(G5694&gt;0,H5694&gt;0),G5694/H5694,"")</f>
        <v/>
      </c>
    </row>
    <row r="5695">
      <c r="A5695" s="4" t="inlineStr">
        <is>
          <t>283</t>
        </is>
      </c>
      <c r="B5695" s="4" t="n">
        <v>2</v>
      </c>
      <c r="C5695" s="4" t="inlineStr">
        <is>
          <t>mule deer</t>
        </is>
      </c>
      <c r="D5695" s="4" t="n">
        <v>2015</v>
      </c>
      <c r="E5695" s="4" t="inlineStr"/>
      <c r="F5695" s="5" t="n"/>
      <c r="G5695" s="5" t="n"/>
      <c r="H5695" s="5" t="n">
        <v>44</v>
      </c>
      <c r="I5695" s="5" t="n">
        <v>44</v>
      </c>
      <c r="J5695" s="5" t="n">
        <v>0</v>
      </c>
      <c r="K5695" s="10">
        <f>IF(F5695&gt;0,H5695/F5695,"")</f>
        <v/>
      </c>
      <c r="L5695" s="16">
        <f>IF(AND(G5695&gt;0,H5695&gt;0),G5695/H5695,"")</f>
        <v/>
      </c>
    </row>
    <row r="5696">
      <c r="A5696" s="4" t="inlineStr">
        <is>
          <t>283</t>
        </is>
      </c>
      <c r="B5696" s="4" t="n">
        <v>2</v>
      </c>
      <c r="C5696" s="4" t="inlineStr">
        <is>
          <t>mule deer</t>
        </is>
      </c>
      <c r="D5696" s="4" t="n">
        <v>2016</v>
      </c>
      <c r="E5696" s="4" t="inlineStr"/>
      <c r="F5696" s="5" t="n"/>
      <c r="G5696" s="5" t="n"/>
      <c r="H5696" s="5" t="n">
        <v>83</v>
      </c>
      <c r="I5696" s="5" t="n">
        <v>83</v>
      </c>
      <c r="J5696" s="5" t="n">
        <v>0</v>
      </c>
      <c r="K5696" s="10">
        <f>IF(F5696&gt;0,H5696/F5696,"")</f>
        <v/>
      </c>
      <c r="L5696" s="16">
        <f>IF(AND(G5696&gt;0,H5696&gt;0),G5696/H5696,"")</f>
        <v/>
      </c>
    </row>
    <row r="5697">
      <c r="A5697" s="4" t="inlineStr">
        <is>
          <t>283</t>
        </is>
      </c>
      <c r="B5697" s="4" t="n">
        <v>2</v>
      </c>
      <c r="C5697" s="4" t="inlineStr">
        <is>
          <t>mule deer</t>
        </is>
      </c>
      <c r="D5697" s="4" t="n">
        <v>2017</v>
      </c>
      <c r="E5697" s="4" t="inlineStr"/>
      <c r="F5697" s="5" t="n">
        <v>1492</v>
      </c>
      <c r="G5697" s="5" t="n">
        <v>8384</v>
      </c>
      <c r="H5697" s="5" t="n">
        <v>45</v>
      </c>
      <c r="I5697" s="5" t="n">
        <v>41</v>
      </c>
      <c r="J5697" s="5" t="n">
        <v>4</v>
      </c>
      <c r="K5697" s="10">
        <f>IF(F5697&gt;0,H5697/F5697,"")</f>
        <v/>
      </c>
      <c r="L5697" s="16">
        <f>IF(AND(G5697&gt;0,H5697&gt;0),G5697/H5697,"")</f>
        <v/>
      </c>
    </row>
    <row r="5698">
      <c r="A5698" s="4" t="inlineStr">
        <is>
          <t>283</t>
        </is>
      </c>
      <c r="B5698" s="4" t="n">
        <v>2</v>
      </c>
      <c r="C5698" s="4" t="inlineStr">
        <is>
          <t>mule deer</t>
        </is>
      </c>
      <c r="D5698" s="4" t="n">
        <v>2018</v>
      </c>
      <c r="E5698" s="4" t="inlineStr"/>
      <c r="F5698" s="5" t="n"/>
      <c r="G5698" s="5" t="n"/>
      <c r="H5698" s="5" t="n">
        <v>57</v>
      </c>
      <c r="I5698" s="5" t="n">
        <v>54</v>
      </c>
      <c r="J5698" s="5" t="n">
        <v>3</v>
      </c>
      <c r="K5698" s="10">
        <f>IF(F5698&gt;0,H5698/F5698,"")</f>
        <v/>
      </c>
      <c r="L5698" s="16">
        <f>IF(AND(G5698&gt;0,H5698&gt;0),G5698/H5698,"")</f>
        <v/>
      </c>
    </row>
    <row r="5699">
      <c r="A5699" s="4" t="inlineStr">
        <is>
          <t>283</t>
        </is>
      </c>
      <c r="B5699" s="4" t="n">
        <v>2</v>
      </c>
      <c r="C5699" s="4" t="inlineStr">
        <is>
          <t>mule deer</t>
        </is>
      </c>
      <c r="D5699" s="4" t="n">
        <v>2019</v>
      </c>
      <c r="E5699" s="4" t="inlineStr"/>
      <c r="F5699" s="5" t="n">
        <v>1236</v>
      </c>
      <c r="G5699" s="5" t="n">
        <v>7006</v>
      </c>
      <c r="H5699" s="5" t="n">
        <v>59</v>
      </c>
      <c r="I5699" s="5" t="n">
        <v>59</v>
      </c>
      <c r="J5699" s="5" t="n">
        <v>0</v>
      </c>
      <c r="K5699" s="10">
        <f>IF(F5699&gt;0,H5699/F5699,"")</f>
        <v/>
      </c>
      <c r="L5699" s="16">
        <f>IF(AND(G5699&gt;0,H5699&gt;0),G5699/H5699,"")</f>
        <v/>
      </c>
    </row>
    <row r="5700">
      <c r="A5700" s="4" t="inlineStr">
        <is>
          <t>283</t>
        </is>
      </c>
      <c r="B5700" s="4" t="n">
        <v>2</v>
      </c>
      <c r="C5700" s="4" t="inlineStr">
        <is>
          <t>mule deer</t>
        </is>
      </c>
      <c r="D5700" s="4" t="n">
        <v>2020</v>
      </c>
      <c r="E5700" s="4" t="inlineStr"/>
      <c r="F5700" s="5" t="n"/>
      <c r="G5700" s="5" t="n"/>
      <c r="H5700" s="5" t="n">
        <v>31</v>
      </c>
      <c r="I5700" s="5" t="n">
        <v>31</v>
      </c>
      <c r="J5700" s="5" t="n">
        <v>0</v>
      </c>
      <c r="K5700" s="10">
        <f>IF(F5700&gt;0,H5700/F5700,"")</f>
        <v/>
      </c>
      <c r="L5700" s="16">
        <f>IF(AND(G5700&gt;0,H5700&gt;0),G5700/H5700,"")</f>
        <v/>
      </c>
    </row>
    <row r="5701">
      <c r="A5701" s="4" t="inlineStr">
        <is>
          <t>283</t>
        </is>
      </c>
      <c r="B5701" s="4" t="n">
        <v>2</v>
      </c>
      <c r="C5701" s="4" t="inlineStr">
        <is>
          <t>mule deer</t>
        </is>
      </c>
      <c r="D5701" s="4" t="n">
        <v>2021</v>
      </c>
      <c r="E5701" s="4" t="inlineStr"/>
      <c r="F5701" s="5" t="n">
        <v>1161</v>
      </c>
      <c r="G5701" s="5" t="n">
        <v>7532</v>
      </c>
      <c r="H5701" s="5" t="n">
        <v>35</v>
      </c>
      <c r="I5701" s="5" t="n">
        <v>35</v>
      </c>
      <c r="J5701" s="5" t="n">
        <v>0</v>
      </c>
      <c r="K5701" s="10">
        <f>IF(F5701&gt;0,H5701/F5701,"")</f>
        <v/>
      </c>
      <c r="L5701" s="16">
        <f>IF(AND(G5701&gt;0,H5701&gt;0),G5701/H5701,"")</f>
        <v/>
      </c>
    </row>
    <row r="5702">
      <c r="A5702" s="4" t="inlineStr">
        <is>
          <t>284</t>
        </is>
      </c>
      <c r="B5702" s="4" t="n">
        <v>2</v>
      </c>
      <c r="C5702" s="4" t="inlineStr">
        <is>
          <t>mule deer</t>
        </is>
      </c>
      <c r="D5702" s="4" t="n">
        <v>2004</v>
      </c>
      <c r="E5702" s="13" t="inlineStr">
        <is>
          <t>General</t>
        </is>
      </c>
      <c r="F5702" s="5" t="n">
        <v>186</v>
      </c>
      <c r="G5702" s="5" t="n">
        <v>1516</v>
      </c>
      <c r="H5702" s="5" t="n">
        <v>23</v>
      </c>
      <c r="I5702" s="5" t="n">
        <v>23</v>
      </c>
      <c r="J5702" s="5" t="n">
        <v>0</v>
      </c>
      <c r="K5702" s="10">
        <f>IF(F5702&gt;0,H5702/F5702,"")</f>
        <v/>
      </c>
      <c r="L5702" s="16">
        <f>IF(AND(G5702&gt;0,H5702&gt;0),G5702/H5702,"")</f>
        <v/>
      </c>
    </row>
    <row r="5703">
      <c r="A5703" s="4" t="inlineStr">
        <is>
          <t>284</t>
        </is>
      </c>
      <c r="B5703" s="4" t="n">
        <v>2</v>
      </c>
      <c r="C5703" s="4" t="inlineStr">
        <is>
          <t>mule deer</t>
        </is>
      </c>
      <c r="D5703" s="4" t="n">
        <v>2005</v>
      </c>
      <c r="E5703" s="13" t="inlineStr">
        <is>
          <t>General</t>
        </is>
      </c>
      <c r="F5703" s="5" t="n">
        <v>169</v>
      </c>
      <c r="G5703" s="5" t="n">
        <v>1266</v>
      </c>
      <c r="H5703" s="5" t="n">
        <v>11</v>
      </c>
      <c r="I5703" s="5" t="n">
        <v>11</v>
      </c>
      <c r="J5703" s="5" t="n">
        <v>0</v>
      </c>
      <c r="K5703" s="10">
        <f>IF(F5703&gt;0,H5703/F5703,"")</f>
        <v/>
      </c>
      <c r="L5703" s="16">
        <f>IF(AND(G5703&gt;0,H5703&gt;0),G5703/H5703,"")</f>
        <v/>
      </c>
    </row>
    <row r="5704">
      <c r="A5704" s="4" t="inlineStr">
        <is>
          <t>284</t>
        </is>
      </c>
      <c r="B5704" s="4" t="n">
        <v>2</v>
      </c>
      <c r="C5704" s="4" t="inlineStr">
        <is>
          <t>mule deer</t>
        </is>
      </c>
      <c r="D5704" s="4" t="n">
        <v>2006</v>
      </c>
      <c r="E5704" s="13" t="inlineStr">
        <is>
          <t>General</t>
        </is>
      </c>
      <c r="F5704" s="5" t="n">
        <v>132</v>
      </c>
      <c r="G5704" s="5" t="n">
        <v>750</v>
      </c>
      <c r="H5704" s="5" t="n">
        <v>6</v>
      </c>
      <c r="I5704" s="5" t="n">
        <v>4</v>
      </c>
      <c r="J5704" s="5" t="n">
        <v>2</v>
      </c>
      <c r="K5704" s="10">
        <f>IF(F5704&gt;0,H5704/F5704,"")</f>
        <v/>
      </c>
      <c r="L5704" s="16">
        <f>IF(AND(G5704&gt;0,H5704&gt;0),G5704/H5704,"")</f>
        <v/>
      </c>
    </row>
    <row r="5705">
      <c r="A5705" s="4" t="inlineStr">
        <is>
          <t>284</t>
        </is>
      </c>
      <c r="B5705" s="4" t="n">
        <v>2</v>
      </c>
      <c r="C5705" s="4" t="inlineStr">
        <is>
          <t>mule deer</t>
        </is>
      </c>
      <c r="D5705" s="4" t="n">
        <v>2007</v>
      </c>
      <c r="E5705" s="13" t="inlineStr">
        <is>
          <t>General</t>
        </is>
      </c>
      <c r="F5705" s="5" t="n">
        <v>110</v>
      </c>
      <c r="G5705" s="5" t="n">
        <v>651</v>
      </c>
      <c r="H5705" s="5" t="n">
        <v>3</v>
      </c>
      <c r="I5705" s="5" t="n">
        <v>3</v>
      </c>
      <c r="J5705" s="5" t="n">
        <v>0</v>
      </c>
      <c r="K5705" s="10">
        <f>IF(F5705&gt;0,H5705/F5705,"")</f>
        <v/>
      </c>
      <c r="L5705" s="16">
        <f>IF(AND(G5705&gt;0,H5705&gt;0),G5705/H5705,"")</f>
        <v/>
      </c>
    </row>
    <row r="5706">
      <c r="A5706" s="4" t="inlineStr">
        <is>
          <t>284</t>
        </is>
      </c>
      <c r="B5706" s="4" t="n">
        <v>2</v>
      </c>
      <c r="C5706" s="4" t="inlineStr">
        <is>
          <t>mule deer</t>
        </is>
      </c>
      <c r="D5706" s="4" t="n">
        <v>2008</v>
      </c>
      <c r="E5706" s="13" t="inlineStr">
        <is>
          <t>General</t>
        </is>
      </c>
      <c r="F5706" s="5" t="n">
        <v>92</v>
      </c>
      <c r="G5706" s="5" t="n">
        <v>688</v>
      </c>
      <c r="H5706" s="5" t="n">
        <v>6</v>
      </c>
      <c r="I5706" s="5" t="n">
        <v>6</v>
      </c>
      <c r="J5706" s="5" t="n">
        <v>0</v>
      </c>
      <c r="K5706" s="10">
        <f>IF(F5706&gt;0,H5706/F5706,"")</f>
        <v/>
      </c>
      <c r="L5706" s="16">
        <f>IF(AND(G5706&gt;0,H5706&gt;0),G5706/H5706,"")</f>
        <v/>
      </c>
    </row>
    <row r="5707">
      <c r="A5707" s="4" t="inlineStr">
        <is>
          <t>284</t>
        </is>
      </c>
      <c r="B5707" s="4" t="n">
        <v>2</v>
      </c>
      <c r="C5707" s="4" t="inlineStr">
        <is>
          <t>mule deer</t>
        </is>
      </c>
      <c r="D5707" s="4" t="n">
        <v>2009</v>
      </c>
      <c r="E5707" s="13" t="inlineStr">
        <is>
          <t>General</t>
        </is>
      </c>
      <c r="F5707" s="5" t="n">
        <v>70</v>
      </c>
      <c r="G5707" s="5" t="n">
        <v>601</v>
      </c>
      <c r="H5707" s="5" t="n">
        <v>3</v>
      </c>
      <c r="I5707" s="5" t="n">
        <v>0</v>
      </c>
      <c r="J5707" s="5" t="n">
        <v>3</v>
      </c>
      <c r="K5707" s="10">
        <f>IF(F5707&gt;0,H5707/F5707,"")</f>
        <v/>
      </c>
      <c r="L5707" s="16">
        <f>IF(AND(G5707&gt;0,H5707&gt;0),G5707/H5707,"")</f>
        <v/>
      </c>
    </row>
    <row r="5708">
      <c r="A5708" s="4" t="inlineStr">
        <is>
          <t>284</t>
        </is>
      </c>
      <c r="B5708" s="4" t="n">
        <v>2</v>
      </c>
      <c r="C5708" s="4" t="inlineStr">
        <is>
          <t>mule deer</t>
        </is>
      </c>
      <c r="D5708" s="4" t="n">
        <v>2011</v>
      </c>
      <c r="E5708" s="13" t="inlineStr">
        <is>
          <t>General</t>
        </is>
      </c>
      <c r="F5708" s="5" t="n">
        <v>121</v>
      </c>
      <c r="G5708" s="5" t="n">
        <v>730</v>
      </c>
      <c r="H5708" s="5" t="n">
        <v>6</v>
      </c>
      <c r="I5708" s="5" t="n">
        <v>3</v>
      </c>
      <c r="J5708" s="5" t="n">
        <v>3</v>
      </c>
      <c r="K5708" s="10">
        <f>IF(F5708&gt;0,H5708/F5708,"")</f>
        <v/>
      </c>
      <c r="L5708" s="16">
        <f>IF(AND(G5708&gt;0,H5708&gt;0),G5708/H5708,"")</f>
        <v/>
      </c>
    </row>
    <row r="5709">
      <c r="A5709" s="4" t="inlineStr">
        <is>
          <t>284</t>
        </is>
      </c>
      <c r="B5709" s="4" t="n">
        <v>2</v>
      </c>
      <c r="C5709" s="4" t="inlineStr">
        <is>
          <t>mule deer</t>
        </is>
      </c>
      <c r="D5709" s="4" t="n">
        <v>2012</v>
      </c>
      <c r="E5709" s="13" t="inlineStr">
        <is>
          <t>General</t>
        </is>
      </c>
      <c r="F5709" s="5" t="n"/>
      <c r="G5709" s="5" t="n"/>
      <c r="H5709" s="5" t="n">
        <v>8</v>
      </c>
      <c r="I5709" s="5" t="n">
        <v>3</v>
      </c>
      <c r="J5709" s="5" t="n">
        <v>6</v>
      </c>
      <c r="K5709" s="10">
        <f>IF(F5709&gt;0,H5709/F5709,"")</f>
        <v/>
      </c>
      <c r="L5709" s="16">
        <f>IF(AND(G5709&gt;0,H5709&gt;0),G5709/H5709,"")</f>
        <v/>
      </c>
    </row>
    <row r="5710">
      <c r="A5710" s="4" t="inlineStr">
        <is>
          <t>284</t>
        </is>
      </c>
      <c r="B5710" s="4" t="n">
        <v>2</v>
      </c>
      <c r="C5710" s="4" t="inlineStr">
        <is>
          <t>mule deer</t>
        </is>
      </c>
      <c r="D5710" s="4" t="n">
        <v>2013</v>
      </c>
      <c r="E5710" s="13" t="inlineStr">
        <is>
          <t>General</t>
        </is>
      </c>
      <c r="F5710" s="5" t="n">
        <v>156</v>
      </c>
      <c r="G5710" s="5" t="n">
        <v>1438</v>
      </c>
      <c r="H5710" s="5" t="n">
        <v>3</v>
      </c>
      <c r="I5710" s="5" t="n">
        <v>3</v>
      </c>
      <c r="J5710" s="5" t="n">
        <v>0</v>
      </c>
      <c r="K5710" s="10">
        <f>IF(F5710&gt;0,H5710/F5710,"")</f>
        <v/>
      </c>
      <c r="L5710" s="16">
        <f>IF(AND(G5710&gt;0,H5710&gt;0),G5710/H5710,"")</f>
        <v/>
      </c>
    </row>
    <row r="5711">
      <c r="A5711" s="4" t="inlineStr">
        <is>
          <t>284</t>
        </is>
      </c>
      <c r="B5711" s="4" t="n">
        <v>2</v>
      </c>
      <c r="C5711" s="4" t="inlineStr">
        <is>
          <t>mule deer</t>
        </is>
      </c>
      <c r="D5711" s="4" t="n">
        <v>2014</v>
      </c>
      <c r="E5711" s="13" t="inlineStr">
        <is>
          <t>General</t>
        </is>
      </c>
      <c r="F5711" s="5" t="n"/>
      <c r="G5711" s="5" t="n"/>
      <c r="H5711" s="5" t="n">
        <v>6</v>
      </c>
      <c r="I5711" s="5" t="n">
        <v>6</v>
      </c>
      <c r="J5711" s="5" t="n">
        <v>0</v>
      </c>
      <c r="K5711" s="10">
        <f>IF(F5711&gt;0,H5711/F5711,"")</f>
        <v/>
      </c>
      <c r="L5711" s="16">
        <f>IF(AND(G5711&gt;0,H5711&gt;0),G5711/H5711,"")</f>
        <v/>
      </c>
    </row>
    <row r="5712">
      <c r="A5712" s="4" t="inlineStr">
        <is>
          <t>284</t>
        </is>
      </c>
      <c r="B5712" s="4" t="n">
        <v>2</v>
      </c>
      <c r="C5712" s="4" t="inlineStr">
        <is>
          <t>mule deer</t>
        </is>
      </c>
      <c r="D5712" s="4" t="n">
        <v>2015</v>
      </c>
      <c r="E5712" s="13" t="inlineStr">
        <is>
          <t>General</t>
        </is>
      </c>
      <c r="F5712" s="5" t="n"/>
      <c r="G5712" s="5" t="n"/>
      <c r="H5712" s="5" t="n">
        <v>14</v>
      </c>
      <c r="I5712" s="5" t="n">
        <v>14</v>
      </c>
      <c r="J5712" s="5" t="n">
        <v>0</v>
      </c>
      <c r="K5712" s="10">
        <f>IF(F5712&gt;0,H5712/F5712,"")</f>
        <v/>
      </c>
      <c r="L5712" s="16">
        <f>IF(AND(G5712&gt;0,H5712&gt;0),G5712/H5712,"")</f>
        <v/>
      </c>
    </row>
    <row r="5713">
      <c r="A5713" s="4" t="inlineStr">
        <is>
          <t>284</t>
        </is>
      </c>
      <c r="B5713" s="4" t="n">
        <v>2</v>
      </c>
      <c r="C5713" s="4" t="inlineStr">
        <is>
          <t>mule deer</t>
        </is>
      </c>
      <c r="D5713" s="4" t="n">
        <v>2016</v>
      </c>
      <c r="E5713" s="13" t="inlineStr">
        <is>
          <t>General</t>
        </is>
      </c>
      <c r="F5713" s="5" t="n"/>
      <c r="G5713" s="5" t="n"/>
      <c r="H5713" s="5" t="n">
        <v>27</v>
      </c>
      <c r="I5713" s="5" t="n">
        <v>24</v>
      </c>
      <c r="J5713" s="5" t="n">
        <v>3</v>
      </c>
      <c r="K5713" s="10">
        <f>IF(F5713&gt;0,H5713/F5713,"")</f>
        <v/>
      </c>
      <c r="L5713" s="16">
        <f>IF(AND(G5713&gt;0,H5713&gt;0),G5713/H5713,"")</f>
        <v/>
      </c>
    </row>
    <row r="5714">
      <c r="A5714" s="4" t="inlineStr">
        <is>
          <t>284</t>
        </is>
      </c>
      <c r="B5714" s="4" t="n">
        <v>2</v>
      </c>
      <c r="C5714" s="4" t="inlineStr">
        <is>
          <t>mule deer</t>
        </is>
      </c>
      <c r="D5714" s="4" t="n">
        <v>2017</v>
      </c>
      <c r="E5714" s="13" t="inlineStr">
        <is>
          <t>General</t>
        </is>
      </c>
      <c r="F5714" s="5" t="n">
        <v>247</v>
      </c>
      <c r="G5714" s="5" t="n">
        <v>1548</v>
      </c>
      <c r="H5714" s="5" t="n">
        <v>3</v>
      </c>
      <c r="I5714" s="5" t="n">
        <v>3</v>
      </c>
      <c r="J5714" s="5" t="n">
        <v>0</v>
      </c>
      <c r="K5714" s="10">
        <f>IF(F5714&gt;0,H5714/F5714,"")</f>
        <v/>
      </c>
      <c r="L5714" s="16">
        <f>IF(AND(G5714&gt;0,H5714&gt;0),G5714/H5714,"")</f>
        <v/>
      </c>
    </row>
    <row r="5715">
      <c r="A5715" s="4" t="inlineStr">
        <is>
          <t>284</t>
        </is>
      </c>
      <c r="B5715" s="4" t="n">
        <v>2</v>
      </c>
      <c r="C5715" s="4" t="inlineStr">
        <is>
          <t>mule deer</t>
        </is>
      </c>
      <c r="D5715" s="4" t="n">
        <v>2018</v>
      </c>
      <c r="E5715" s="13" t="inlineStr">
        <is>
          <t>General</t>
        </is>
      </c>
      <c r="F5715" s="5" t="n"/>
      <c r="G5715" s="5" t="n"/>
      <c r="H5715" s="5" t="n">
        <v>10</v>
      </c>
      <c r="I5715" s="5" t="n">
        <v>10</v>
      </c>
      <c r="J5715" s="5" t="n">
        <v>0</v>
      </c>
      <c r="K5715" s="10">
        <f>IF(F5715&gt;0,H5715/F5715,"")</f>
        <v/>
      </c>
      <c r="L5715" s="16">
        <f>IF(AND(G5715&gt;0,H5715&gt;0),G5715/H5715,"")</f>
        <v/>
      </c>
    </row>
    <row r="5716">
      <c r="A5716" s="4" t="inlineStr">
        <is>
          <t>284</t>
        </is>
      </c>
      <c r="B5716" s="4" t="n">
        <v>2</v>
      </c>
      <c r="C5716" s="4" t="inlineStr">
        <is>
          <t>mule deer</t>
        </is>
      </c>
      <c r="D5716" s="4" t="n">
        <v>2019</v>
      </c>
      <c r="E5716" s="13" t="inlineStr">
        <is>
          <t>General</t>
        </is>
      </c>
      <c r="F5716" s="5" t="n">
        <v>234</v>
      </c>
      <c r="G5716" s="5" t="n">
        <v>1788</v>
      </c>
      <c r="H5716" s="5" t="n">
        <v>20</v>
      </c>
      <c r="I5716" s="5" t="n">
        <v>20</v>
      </c>
      <c r="J5716" s="5" t="n">
        <v>0</v>
      </c>
      <c r="K5716" s="10">
        <f>IF(F5716&gt;0,H5716/F5716,"")</f>
        <v/>
      </c>
      <c r="L5716" s="16">
        <f>IF(AND(G5716&gt;0,H5716&gt;0),G5716/H5716,"")</f>
        <v/>
      </c>
    </row>
    <row r="5717">
      <c r="A5717" s="4" t="inlineStr">
        <is>
          <t>284</t>
        </is>
      </c>
      <c r="B5717" s="4" t="n">
        <v>2</v>
      </c>
      <c r="C5717" s="4" t="inlineStr">
        <is>
          <t>mule deer</t>
        </is>
      </c>
      <c r="D5717" s="4" t="n">
        <v>2020</v>
      </c>
      <c r="E5717" s="13" t="inlineStr">
        <is>
          <t>General</t>
        </is>
      </c>
      <c r="F5717" s="5" t="n"/>
      <c r="G5717" s="5" t="n"/>
      <c r="H5717" s="5" t="n">
        <v>5</v>
      </c>
      <c r="I5717" s="5" t="n">
        <v>5</v>
      </c>
      <c r="J5717" s="5" t="n">
        <v>0</v>
      </c>
      <c r="K5717" s="10">
        <f>IF(F5717&gt;0,H5717/F5717,"")</f>
        <v/>
      </c>
      <c r="L5717" s="16">
        <f>IF(AND(G5717&gt;0,H5717&gt;0),G5717/H5717,"")</f>
        <v/>
      </c>
    </row>
    <row r="5718">
      <c r="A5718" s="4" t="inlineStr">
        <is>
          <t>284</t>
        </is>
      </c>
      <c r="B5718" s="4" t="n">
        <v>2</v>
      </c>
      <c r="C5718" s="4" t="inlineStr">
        <is>
          <t>mule deer</t>
        </is>
      </c>
      <c r="D5718" s="4" t="n">
        <v>2021</v>
      </c>
      <c r="E5718" s="13" t="inlineStr">
        <is>
          <t>General</t>
        </is>
      </c>
      <c r="F5718" s="5" t="n">
        <v>200</v>
      </c>
      <c r="G5718" s="5" t="n">
        <v>1392</v>
      </c>
      <c r="H5718" s="5" t="n">
        <v>3</v>
      </c>
      <c r="I5718" s="5" t="n">
        <v>3</v>
      </c>
      <c r="J5718" s="5" t="n">
        <v>0</v>
      </c>
      <c r="K5718" s="10">
        <f>IF(F5718&gt;0,H5718/F5718,"")</f>
        <v/>
      </c>
      <c r="L5718" s="16">
        <f>IF(AND(G5718&gt;0,H5718&gt;0),G5718/H5718,"")</f>
        <v/>
      </c>
    </row>
    <row r="5719">
      <c r="A5719" s="4" t="inlineStr">
        <is>
          <t>284</t>
        </is>
      </c>
      <c r="B5719" s="4" t="n">
        <v>2</v>
      </c>
      <c r="C5719" s="4" t="inlineStr">
        <is>
          <t>mule deer</t>
        </is>
      </c>
      <c r="D5719" s="4" t="n">
        <v>2022</v>
      </c>
      <c r="E5719" s="13" t="inlineStr">
        <is>
          <t>General</t>
        </is>
      </c>
      <c r="F5719" s="5" t="n"/>
      <c r="G5719" s="5" t="n"/>
      <c r="H5719" s="5" t="n">
        <v>10</v>
      </c>
      <c r="I5719" s="5" t="n">
        <v>10</v>
      </c>
      <c r="J5719" s="5" t="n">
        <v>0</v>
      </c>
      <c r="K5719" s="10">
        <f>IF(F5719&gt;0,H5719/F5719,"")</f>
        <v/>
      </c>
      <c r="L5719" s="16">
        <f>IF(AND(G5719&gt;0,H5719&gt;0),G5719/H5719,"")</f>
        <v/>
      </c>
    </row>
    <row r="5720">
      <c r="A5720" s="4" t="inlineStr">
        <is>
          <t>284</t>
        </is>
      </c>
      <c r="B5720" s="4" t="n">
        <v>2</v>
      </c>
      <c r="C5720" s="4" t="inlineStr">
        <is>
          <t>mule deer</t>
        </is>
      </c>
      <c r="D5720" s="4" t="n">
        <v>2023</v>
      </c>
      <c r="E5720" s="13" t="inlineStr">
        <is>
          <t>General</t>
        </is>
      </c>
      <c r="F5720" s="5" t="n">
        <v>120</v>
      </c>
      <c r="G5720" s="5" t="n">
        <v>1198</v>
      </c>
      <c r="H5720" s="5" t="n">
        <v>7</v>
      </c>
      <c r="I5720" s="5" t="n">
        <v>7</v>
      </c>
      <c r="J5720" s="5" t="n">
        <v>0</v>
      </c>
      <c r="K5720" s="10">
        <f>IF(F5720&gt;0,H5720/F5720,"")</f>
        <v/>
      </c>
      <c r="L5720" s="16">
        <f>IF(AND(G5720&gt;0,H5720&gt;0),G5720/H5720,"")</f>
        <v/>
      </c>
    </row>
    <row r="5721">
      <c r="A5721" s="4" t="inlineStr">
        <is>
          <t>284</t>
        </is>
      </c>
      <c r="B5721" s="4" t="n">
        <v>2</v>
      </c>
      <c r="C5721" s="4" t="inlineStr">
        <is>
          <t>mule deer</t>
        </is>
      </c>
      <c r="D5721" s="4" t="n">
        <v>2024</v>
      </c>
      <c r="E5721" s="13" t="inlineStr">
        <is>
          <t>General</t>
        </is>
      </c>
      <c r="F5721" s="5" t="n"/>
      <c r="G5721" s="5" t="n"/>
      <c r="H5721" s="5" t="n">
        <v>3</v>
      </c>
      <c r="I5721" s="5" t="n">
        <v>3</v>
      </c>
      <c r="J5721" s="5" t="n">
        <v>0</v>
      </c>
      <c r="K5721" s="10">
        <f>IF(F5721&gt;0,H5721/F5721,"")</f>
        <v/>
      </c>
      <c r="L5721" s="16">
        <f>IF(AND(G5721&gt;0,H5721&gt;0),G5721/H5721,"")</f>
        <v/>
      </c>
    </row>
    <row r="5722">
      <c r="A5722" s="4" t="inlineStr">
        <is>
          <t>284</t>
        </is>
      </c>
      <c r="B5722" s="4" t="n">
        <v>2</v>
      </c>
      <c r="C5722" s="4" t="inlineStr">
        <is>
          <t>mule deer</t>
        </is>
      </c>
      <c r="D5722" s="4" t="n">
        <v>2025</v>
      </c>
      <c r="E5722" s="13" t="inlineStr">
        <is>
          <t>General</t>
        </is>
      </c>
      <c r="F5722" s="5" t="n">
        <v>174</v>
      </c>
      <c r="G5722" s="5" t="n">
        <v>1185</v>
      </c>
      <c r="H5722" s="5" t="n">
        <v>13</v>
      </c>
      <c r="I5722" s="5" t="n">
        <v>13</v>
      </c>
      <c r="J5722" s="5" t="n">
        <v>0</v>
      </c>
      <c r="K5722" s="10">
        <f>IF(F5722&gt;0,H5722/F5722,"")</f>
        <v/>
      </c>
      <c r="L5722" s="16">
        <f>IF(AND(G5722&gt;0,H5722&gt;0),G5722/H5722,"")</f>
        <v/>
      </c>
    </row>
    <row r="5723">
      <c r="A5723" s="4" t="inlineStr">
        <is>
          <t>285</t>
        </is>
      </c>
      <c r="B5723" s="4" t="n">
        <v>2</v>
      </c>
      <c r="C5723" s="4" t="inlineStr">
        <is>
          <t>mule deer</t>
        </is>
      </c>
      <c r="D5723" s="4" t="n">
        <v>2004</v>
      </c>
      <c r="E5723" s="13" t="inlineStr">
        <is>
          <t>General</t>
        </is>
      </c>
      <c r="F5723" s="5" t="n">
        <v>2927</v>
      </c>
      <c r="G5723" s="5" t="n">
        <v>16299</v>
      </c>
      <c r="H5723" s="5" t="n">
        <v>154</v>
      </c>
      <c r="I5723" s="5" t="n">
        <v>139</v>
      </c>
      <c r="J5723" s="5" t="n">
        <v>15</v>
      </c>
      <c r="K5723" s="10">
        <f>IF(F5723&gt;0,H5723/F5723,"")</f>
        <v/>
      </c>
      <c r="L5723" s="16">
        <f>IF(AND(G5723&gt;0,H5723&gt;0),G5723/H5723,"")</f>
        <v/>
      </c>
    </row>
    <row r="5724">
      <c r="A5724" s="4" t="inlineStr">
        <is>
          <t>285</t>
        </is>
      </c>
      <c r="B5724" s="4" t="n">
        <v>2</v>
      </c>
      <c r="C5724" s="4" t="inlineStr">
        <is>
          <t>mule deer</t>
        </is>
      </c>
      <c r="D5724" s="4" t="n">
        <v>2005</v>
      </c>
      <c r="E5724" s="13" t="inlineStr">
        <is>
          <t>General</t>
        </is>
      </c>
      <c r="F5724" s="5" t="n">
        <v>2686</v>
      </c>
      <c r="G5724" s="5" t="n">
        <v>16210</v>
      </c>
      <c r="H5724" s="5" t="n">
        <v>142</v>
      </c>
      <c r="I5724" s="5" t="n">
        <v>140</v>
      </c>
      <c r="J5724" s="5" t="n">
        <v>2</v>
      </c>
      <c r="K5724" s="10">
        <f>IF(F5724&gt;0,H5724/F5724,"")</f>
        <v/>
      </c>
      <c r="L5724" s="16">
        <f>IF(AND(G5724&gt;0,H5724&gt;0),G5724/H5724,"")</f>
        <v/>
      </c>
    </row>
    <row r="5725">
      <c r="A5725" s="4" t="inlineStr">
        <is>
          <t>285</t>
        </is>
      </c>
      <c r="B5725" s="4" t="n">
        <v>2</v>
      </c>
      <c r="C5725" s="4" t="inlineStr">
        <is>
          <t>mule deer</t>
        </is>
      </c>
      <c r="D5725" s="4" t="n">
        <v>2006</v>
      </c>
      <c r="E5725" s="13" t="inlineStr">
        <is>
          <t>General</t>
        </is>
      </c>
      <c r="F5725" s="5" t="n">
        <v>3106</v>
      </c>
      <c r="G5725" s="5" t="n">
        <v>19334</v>
      </c>
      <c r="H5725" s="5" t="n">
        <v>188</v>
      </c>
      <c r="I5725" s="5" t="n">
        <v>164</v>
      </c>
      <c r="J5725" s="5" t="n">
        <v>24</v>
      </c>
      <c r="K5725" s="10">
        <f>IF(F5725&gt;0,H5725/F5725,"")</f>
        <v/>
      </c>
      <c r="L5725" s="16">
        <f>IF(AND(G5725&gt;0,H5725&gt;0),G5725/H5725,"")</f>
        <v/>
      </c>
    </row>
    <row r="5726">
      <c r="A5726" s="4" t="inlineStr">
        <is>
          <t>285</t>
        </is>
      </c>
      <c r="B5726" s="4" t="n">
        <v>2</v>
      </c>
      <c r="C5726" s="4" t="inlineStr">
        <is>
          <t>mule deer</t>
        </is>
      </c>
      <c r="D5726" s="4" t="n">
        <v>2007</v>
      </c>
      <c r="E5726" s="13" t="inlineStr">
        <is>
          <t>General</t>
        </is>
      </c>
      <c r="F5726" s="5" t="n">
        <v>2476</v>
      </c>
      <c r="G5726" s="5" t="n">
        <v>15958</v>
      </c>
      <c r="H5726" s="5" t="n">
        <v>133</v>
      </c>
      <c r="I5726" s="5" t="n">
        <v>102</v>
      </c>
      <c r="J5726" s="5" t="n">
        <v>26</v>
      </c>
      <c r="K5726" s="10">
        <f>IF(F5726&gt;0,H5726/F5726,"")</f>
        <v/>
      </c>
      <c r="L5726" s="16">
        <f>IF(AND(G5726&gt;0,H5726&gt;0),G5726/H5726,"")</f>
        <v/>
      </c>
    </row>
    <row r="5727">
      <c r="A5727" s="4" t="inlineStr">
        <is>
          <t>285</t>
        </is>
      </c>
      <c r="B5727" s="4" t="n">
        <v>2</v>
      </c>
      <c r="C5727" s="4" t="inlineStr">
        <is>
          <t>mule deer</t>
        </is>
      </c>
      <c r="D5727" s="4" t="n">
        <v>2008</v>
      </c>
      <c r="E5727" s="13" t="inlineStr">
        <is>
          <t>General</t>
        </is>
      </c>
      <c r="F5727" s="5" t="n">
        <v>3176</v>
      </c>
      <c r="G5727" s="5" t="n">
        <v>20337</v>
      </c>
      <c r="H5727" s="5" t="n">
        <v>95</v>
      </c>
      <c r="I5727" s="5" t="n">
        <v>80</v>
      </c>
      <c r="J5727" s="5" t="n">
        <v>12</v>
      </c>
      <c r="K5727" s="10">
        <f>IF(F5727&gt;0,H5727/F5727,"")</f>
        <v/>
      </c>
      <c r="L5727" s="16">
        <f>IF(AND(G5727&gt;0,H5727&gt;0),G5727/H5727,"")</f>
        <v/>
      </c>
    </row>
    <row r="5728">
      <c r="A5728" s="4" t="inlineStr">
        <is>
          <t>285</t>
        </is>
      </c>
      <c r="B5728" s="4" t="n">
        <v>2</v>
      </c>
      <c r="C5728" s="4" t="inlineStr">
        <is>
          <t>mule deer</t>
        </is>
      </c>
      <c r="D5728" s="4" t="n">
        <v>2009</v>
      </c>
      <c r="E5728" s="13" t="inlineStr">
        <is>
          <t>General</t>
        </is>
      </c>
      <c r="F5728" s="5" t="n">
        <v>2688</v>
      </c>
      <c r="G5728" s="5" t="n">
        <v>17316</v>
      </c>
      <c r="H5728" s="5" t="n">
        <v>100</v>
      </c>
      <c r="I5728" s="5" t="n">
        <v>78</v>
      </c>
      <c r="J5728" s="5" t="n">
        <v>22</v>
      </c>
      <c r="K5728" s="10">
        <f>IF(F5728&gt;0,H5728/F5728,"")</f>
        <v/>
      </c>
      <c r="L5728" s="16">
        <f>IF(AND(G5728&gt;0,H5728&gt;0),G5728/H5728,"")</f>
        <v/>
      </c>
    </row>
    <row r="5729">
      <c r="A5729" s="4" t="inlineStr">
        <is>
          <t>285</t>
        </is>
      </c>
      <c r="B5729" s="4" t="n">
        <v>2</v>
      </c>
      <c r="C5729" s="4" t="inlineStr">
        <is>
          <t>mule deer</t>
        </is>
      </c>
      <c r="D5729" s="4" t="n">
        <v>2010</v>
      </c>
      <c r="E5729" s="13" t="inlineStr">
        <is>
          <t>General</t>
        </is>
      </c>
      <c r="F5729" s="5" t="n">
        <v>2226</v>
      </c>
      <c r="G5729" s="5" t="n">
        <v>15558</v>
      </c>
      <c r="H5729" s="5" t="n">
        <v>72</v>
      </c>
      <c r="I5729" s="5" t="n">
        <v>66</v>
      </c>
      <c r="J5729" s="5" t="n">
        <v>6</v>
      </c>
      <c r="K5729" s="10">
        <f>IF(F5729&gt;0,H5729/F5729,"")</f>
        <v/>
      </c>
      <c r="L5729" s="16">
        <f>IF(AND(G5729&gt;0,H5729&gt;0),G5729/H5729,"")</f>
        <v/>
      </c>
    </row>
    <row r="5730">
      <c r="A5730" s="4" t="inlineStr">
        <is>
          <t>285</t>
        </is>
      </c>
      <c r="B5730" s="4" t="n">
        <v>2</v>
      </c>
      <c r="C5730" s="4" t="inlineStr">
        <is>
          <t>mule deer</t>
        </is>
      </c>
      <c r="D5730" s="4" t="n">
        <v>2011</v>
      </c>
      <c r="E5730" s="13" t="inlineStr">
        <is>
          <t>General</t>
        </is>
      </c>
      <c r="F5730" s="5" t="n">
        <v>2492</v>
      </c>
      <c r="G5730" s="5" t="n">
        <v>15892</v>
      </c>
      <c r="H5730" s="5" t="n">
        <v>40</v>
      </c>
      <c r="I5730" s="5" t="n">
        <v>28</v>
      </c>
      <c r="J5730" s="5" t="n">
        <v>12</v>
      </c>
      <c r="K5730" s="10">
        <f>IF(F5730&gt;0,H5730/F5730,"")</f>
        <v/>
      </c>
      <c r="L5730" s="16">
        <f>IF(AND(G5730&gt;0,H5730&gt;0),G5730/H5730,"")</f>
        <v/>
      </c>
    </row>
    <row r="5731">
      <c r="A5731" s="4" t="inlineStr">
        <is>
          <t>285</t>
        </is>
      </c>
      <c r="B5731" s="4" t="n">
        <v>2</v>
      </c>
      <c r="C5731" s="4" t="inlineStr">
        <is>
          <t>mule deer</t>
        </is>
      </c>
      <c r="D5731" s="4" t="n">
        <v>2012</v>
      </c>
      <c r="E5731" s="13" t="inlineStr">
        <is>
          <t>General</t>
        </is>
      </c>
      <c r="F5731" s="5" t="n"/>
      <c r="G5731" s="5" t="n"/>
      <c r="H5731" s="5" t="n">
        <v>42</v>
      </c>
      <c r="I5731" s="5" t="n">
        <v>36</v>
      </c>
      <c r="J5731" s="5" t="n">
        <v>6</v>
      </c>
      <c r="K5731" s="10">
        <f>IF(F5731&gt;0,H5731/F5731,"")</f>
        <v/>
      </c>
      <c r="L5731" s="16">
        <f>IF(AND(G5731&gt;0,H5731&gt;0),G5731/H5731,"")</f>
        <v/>
      </c>
    </row>
    <row r="5732">
      <c r="A5732" s="4" t="inlineStr">
        <is>
          <t>285</t>
        </is>
      </c>
      <c r="B5732" s="4" t="n">
        <v>2</v>
      </c>
      <c r="C5732" s="4" t="inlineStr">
        <is>
          <t>mule deer</t>
        </is>
      </c>
      <c r="D5732" s="4" t="n">
        <v>2013</v>
      </c>
      <c r="E5732" s="13" t="inlineStr">
        <is>
          <t>General</t>
        </is>
      </c>
      <c r="F5732" s="5" t="n">
        <v>2497</v>
      </c>
      <c r="G5732" s="5" t="n">
        <v>17022</v>
      </c>
      <c r="H5732" s="5" t="n">
        <v>34</v>
      </c>
      <c r="I5732" s="5" t="n">
        <v>31</v>
      </c>
      <c r="J5732" s="5" t="n">
        <v>3</v>
      </c>
      <c r="K5732" s="10">
        <f>IF(F5732&gt;0,H5732/F5732,"")</f>
        <v/>
      </c>
      <c r="L5732" s="16">
        <f>IF(AND(G5732&gt;0,H5732&gt;0),G5732/H5732,"")</f>
        <v/>
      </c>
    </row>
    <row r="5733">
      <c r="A5733" s="4" t="inlineStr">
        <is>
          <t>285</t>
        </is>
      </c>
      <c r="B5733" s="4" t="n">
        <v>2</v>
      </c>
      <c r="C5733" s="4" t="inlineStr">
        <is>
          <t>mule deer</t>
        </is>
      </c>
      <c r="D5733" s="4" t="n">
        <v>2014</v>
      </c>
      <c r="E5733" s="13" t="inlineStr">
        <is>
          <t>General</t>
        </is>
      </c>
      <c r="F5733" s="5" t="n"/>
      <c r="G5733" s="5" t="n"/>
      <c r="H5733" s="5" t="n">
        <v>51</v>
      </c>
      <c r="I5733" s="5" t="n">
        <v>45</v>
      </c>
      <c r="J5733" s="5" t="n">
        <v>6</v>
      </c>
      <c r="K5733" s="10">
        <f>IF(F5733&gt;0,H5733/F5733,"")</f>
        <v/>
      </c>
      <c r="L5733" s="16">
        <f>IF(AND(G5733&gt;0,H5733&gt;0),G5733/H5733,"")</f>
        <v/>
      </c>
    </row>
    <row r="5734">
      <c r="A5734" s="4" t="inlineStr">
        <is>
          <t>285</t>
        </is>
      </c>
      <c r="B5734" s="4" t="n">
        <v>2</v>
      </c>
      <c r="C5734" s="4" t="inlineStr">
        <is>
          <t>mule deer</t>
        </is>
      </c>
      <c r="D5734" s="4" t="n">
        <v>2015</v>
      </c>
      <c r="E5734" s="13" t="inlineStr">
        <is>
          <t>General</t>
        </is>
      </c>
      <c r="F5734" s="5" t="n"/>
      <c r="G5734" s="5" t="n"/>
      <c r="H5734" s="5" t="n">
        <v>60</v>
      </c>
      <c r="I5734" s="5" t="n">
        <v>60</v>
      </c>
      <c r="J5734" s="5" t="n">
        <v>0</v>
      </c>
      <c r="K5734" s="10">
        <f>IF(F5734&gt;0,H5734/F5734,"")</f>
        <v/>
      </c>
      <c r="L5734" s="16">
        <f>IF(AND(G5734&gt;0,H5734&gt;0),G5734/H5734,"")</f>
        <v/>
      </c>
    </row>
    <row r="5735">
      <c r="A5735" s="4" t="inlineStr">
        <is>
          <t>285</t>
        </is>
      </c>
      <c r="B5735" s="4" t="n">
        <v>2</v>
      </c>
      <c r="C5735" s="4" t="inlineStr">
        <is>
          <t>mule deer</t>
        </is>
      </c>
      <c r="D5735" s="4" t="n">
        <v>2016</v>
      </c>
      <c r="E5735" s="13" t="inlineStr">
        <is>
          <t>General</t>
        </is>
      </c>
      <c r="F5735" s="5" t="n"/>
      <c r="G5735" s="5" t="n"/>
      <c r="H5735" s="5" t="n">
        <v>49</v>
      </c>
      <c r="I5735" s="5" t="n">
        <v>49</v>
      </c>
      <c r="J5735" s="5" t="n">
        <v>0</v>
      </c>
      <c r="K5735" s="10">
        <f>IF(F5735&gt;0,H5735/F5735,"")</f>
        <v/>
      </c>
      <c r="L5735" s="16">
        <f>IF(AND(G5735&gt;0,H5735&gt;0),G5735/H5735,"")</f>
        <v/>
      </c>
    </row>
    <row r="5736">
      <c r="A5736" s="4" t="inlineStr">
        <is>
          <t>285</t>
        </is>
      </c>
      <c r="B5736" s="4" t="n">
        <v>2</v>
      </c>
      <c r="C5736" s="4" t="inlineStr">
        <is>
          <t>mule deer</t>
        </is>
      </c>
      <c r="D5736" s="4" t="n">
        <v>2017</v>
      </c>
      <c r="E5736" s="13" t="inlineStr">
        <is>
          <t>General</t>
        </is>
      </c>
      <c r="F5736" s="5" t="n">
        <v>2076</v>
      </c>
      <c r="G5736" s="5" t="n">
        <v>13486</v>
      </c>
      <c r="H5736" s="5" t="n">
        <v>56</v>
      </c>
      <c r="I5736" s="5" t="n">
        <v>47</v>
      </c>
      <c r="J5736" s="5" t="n">
        <v>9</v>
      </c>
      <c r="K5736" s="10">
        <f>IF(F5736&gt;0,H5736/F5736,"")</f>
        <v/>
      </c>
      <c r="L5736" s="16">
        <f>IF(AND(G5736&gt;0,H5736&gt;0),G5736/H5736,"")</f>
        <v/>
      </c>
    </row>
    <row r="5737">
      <c r="A5737" s="4" t="inlineStr">
        <is>
          <t>285</t>
        </is>
      </c>
      <c r="B5737" s="4" t="n">
        <v>2</v>
      </c>
      <c r="C5737" s="4" t="inlineStr">
        <is>
          <t>mule deer</t>
        </is>
      </c>
      <c r="D5737" s="4" t="n">
        <v>2018</v>
      </c>
      <c r="E5737" s="13" t="inlineStr">
        <is>
          <t>General</t>
        </is>
      </c>
      <c r="F5737" s="5" t="n"/>
      <c r="G5737" s="5" t="n"/>
      <c r="H5737" s="5" t="n">
        <v>41</v>
      </c>
      <c r="I5737" s="5" t="n">
        <v>41</v>
      </c>
      <c r="J5737" s="5" t="n">
        <v>0</v>
      </c>
      <c r="K5737" s="10">
        <f>IF(F5737&gt;0,H5737/F5737,"")</f>
        <v/>
      </c>
      <c r="L5737" s="16">
        <f>IF(AND(G5737&gt;0,H5737&gt;0),G5737/H5737,"")</f>
        <v/>
      </c>
    </row>
    <row r="5738">
      <c r="A5738" s="4" t="inlineStr">
        <is>
          <t>285</t>
        </is>
      </c>
      <c r="B5738" s="4" t="n">
        <v>2</v>
      </c>
      <c r="C5738" s="4" t="inlineStr">
        <is>
          <t>mule deer</t>
        </is>
      </c>
      <c r="D5738" s="4" t="n">
        <v>2019</v>
      </c>
      <c r="E5738" s="13" t="inlineStr">
        <is>
          <t>General</t>
        </is>
      </c>
      <c r="F5738" s="5" t="n">
        <v>2092</v>
      </c>
      <c r="G5738" s="5" t="n">
        <v>14419</v>
      </c>
      <c r="H5738" s="5" t="n">
        <v>51</v>
      </c>
      <c r="I5738" s="5" t="n">
        <v>51</v>
      </c>
      <c r="J5738" s="5" t="n">
        <v>0</v>
      </c>
      <c r="K5738" s="10">
        <f>IF(F5738&gt;0,H5738/F5738,"")</f>
        <v/>
      </c>
      <c r="L5738" s="16">
        <f>IF(AND(G5738&gt;0,H5738&gt;0),G5738/H5738,"")</f>
        <v/>
      </c>
    </row>
    <row r="5739">
      <c r="A5739" s="4" t="inlineStr">
        <is>
          <t>285</t>
        </is>
      </c>
      <c r="B5739" s="4" t="n">
        <v>2</v>
      </c>
      <c r="C5739" s="4" t="inlineStr">
        <is>
          <t>mule deer</t>
        </is>
      </c>
      <c r="D5739" s="4" t="n">
        <v>2020</v>
      </c>
      <c r="E5739" s="13" t="inlineStr">
        <is>
          <t>General</t>
        </is>
      </c>
      <c r="F5739" s="5" t="n"/>
      <c r="G5739" s="5" t="n"/>
      <c r="H5739" s="5" t="n">
        <v>40</v>
      </c>
      <c r="I5739" s="5" t="n">
        <v>40</v>
      </c>
      <c r="J5739" s="5" t="n">
        <v>0</v>
      </c>
      <c r="K5739" s="10">
        <f>IF(F5739&gt;0,H5739/F5739,"")</f>
        <v/>
      </c>
      <c r="L5739" s="16">
        <f>IF(AND(G5739&gt;0,H5739&gt;0),G5739/H5739,"")</f>
        <v/>
      </c>
    </row>
    <row r="5740">
      <c r="A5740" s="4" t="inlineStr">
        <is>
          <t>285</t>
        </is>
      </c>
      <c r="B5740" s="4" t="n">
        <v>2</v>
      </c>
      <c r="C5740" s="4" t="inlineStr">
        <is>
          <t>mule deer</t>
        </is>
      </c>
      <c r="D5740" s="4" t="n">
        <v>2021</v>
      </c>
      <c r="E5740" s="13" t="inlineStr">
        <is>
          <t>General</t>
        </is>
      </c>
      <c r="F5740" s="5" t="n">
        <v>2106</v>
      </c>
      <c r="G5740" s="5" t="n">
        <v>14948</v>
      </c>
      <c r="H5740" s="5" t="n">
        <v>44</v>
      </c>
      <c r="I5740" s="5" t="n">
        <v>44</v>
      </c>
      <c r="J5740" s="5" t="n">
        <v>0</v>
      </c>
      <c r="K5740" s="10">
        <f>IF(F5740&gt;0,H5740/F5740,"")</f>
        <v/>
      </c>
      <c r="L5740" s="16">
        <f>IF(AND(G5740&gt;0,H5740&gt;0),G5740/H5740,"")</f>
        <v/>
      </c>
    </row>
    <row r="5741">
      <c r="A5741" s="4" t="inlineStr">
        <is>
          <t>285</t>
        </is>
      </c>
      <c r="B5741" s="4" t="n">
        <v>2</v>
      </c>
      <c r="C5741" s="4" t="inlineStr">
        <is>
          <t>mule deer</t>
        </is>
      </c>
      <c r="D5741" s="4" t="n">
        <v>2022</v>
      </c>
      <c r="E5741" s="13" t="inlineStr">
        <is>
          <t>General</t>
        </is>
      </c>
      <c r="F5741" s="5" t="n"/>
      <c r="G5741" s="5" t="n"/>
      <c r="H5741" s="5" t="n">
        <v>85</v>
      </c>
      <c r="I5741" s="5" t="n">
        <v>82</v>
      </c>
      <c r="J5741" s="5" t="n">
        <v>3</v>
      </c>
      <c r="K5741" s="10">
        <f>IF(F5741&gt;0,H5741/F5741,"")</f>
        <v/>
      </c>
      <c r="L5741" s="16">
        <f>IF(AND(G5741&gt;0,H5741&gt;0),G5741/H5741,"")</f>
        <v/>
      </c>
    </row>
    <row r="5742">
      <c r="A5742" s="4" t="inlineStr">
        <is>
          <t>285</t>
        </is>
      </c>
      <c r="B5742" s="4" t="n">
        <v>2</v>
      </c>
      <c r="C5742" s="4" t="inlineStr">
        <is>
          <t>mule deer</t>
        </is>
      </c>
      <c r="D5742" s="4" t="n">
        <v>2023</v>
      </c>
      <c r="E5742" s="13" t="inlineStr">
        <is>
          <t>General</t>
        </is>
      </c>
      <c r="F5742" s="5" t="n">
        <v>2665</v>
      </c>
      <c r="G5742" s="5" t="n">
        <v>18860</v>
      </c>
      <c r="H5742" s="5" t="n">
        <v>100</v>
      </c>
      <c r="I5742" s="5" t="n">
        <v>97</v>
      </c>
      <c r="J5742" s="5" t="n">
        <v>3</v>
      </c>
      <c r="K5742" s="10">
        <f>IF(F5742&gt;0,H5742/F5742,"")</f>
        <v/>
      </c>
      <c r="L5742" s="16">
        <f>IF(AND(G5742&gt;0,H5742&gt;0),G5742/H5742,"")</f>
        <v/>
      </c>
    </row>
    <row r="5743">
      <c r="A5743" s="4" t="inlineStr">
        <is>
          <t>285</t>
        </is>
      </c>
      <c r="B5743" s="4" t="n">
        <v>2</v>
      </c>
      <c r="C5743" s="4" t="inlineStr">
        <is>
          <t>mule deer</t>
        </is>
      </c>
      <c r="D5743" s="4" t="n">
        <v>2024</v>
      </c>
      <c r="E5743" s="13" t="inlineStr">
        <is>
          <t>General</t>
        </is>
      </c>
      <c r="F5743" s="5" t="n"/>
      <c r="G5743" s="5" t="n"/>
      <c r="H5743" s="5" t="n">
        <v>109</v>
      </c>
      <c r="I5743" s="5" t="n">
        <v>104</v>
      </c>
      <c r="J5743" s="5" t="n">
        <v>5</v>
      </c>
      <c r="K5743" s="10">
        <f>IF(F5743&gt;0,H5743/F5743,"")</f>
        <v/>
      </c>
      <c r="L5743" s="16">
        <f>IF(AND(G5743&gt;0,H5743&gt;0),G5743/H5743,"")</f>
        <v/>
      </c>
    </row>
    <row r="5744">
      <c r="A5744" s="4" t="inlineStr">
        <is>
          <t>285</t>
        </is>
      </c>
      <c r="B5744" s="4" t="n">
        <v>2</v>
      </c>
      <c r="C5744" s="4" t="inlineStr">
        <is>
          <t>mule deer</t>
        </is>
      </c>
      <c r="D5744" s="4" t="n">
        <v>2025</v>
      </c>
      <c r="E5744" s="13" t="inlineStr">
        <is>
          <t>General</t>
        </is>
      </c>
      <c r="F5744" s="5" t="n">
        <v>3133</v>
      </c>
      <c r="G5744" s="5" t="n">
        <v>20680</v>
      </c>
      <c r="H5744" s="5" t="n">
        <v>144</v>
      </c>
      <c r="I5744" s="5" t="n">
        <v>142</v>
      </c>
      <c r="J5744" s="5" t="n">
        <v>3</v>
      </c>
      <c r="K5744" s="10">
        <f>IF(F5744&gt;0,H5744/F5744,"")</f>
        <v/>
      </c>
      <c r="L5744" s="16">
        <f>IF(AND(G5744&gt;0,H5744&gt;0),G5744/H5744,"")</f>
        <v/>
      </c>
    </row>
    <row r="5745">
      <c r="A5745" s="4" t="inlineStr">
        <is>
          <t>290</t>
        </is>
      </c>
      <c r="B5745" s="4" t="n">
        <v>2</v>
      </c>
      <c r="C5745" s="4" t="inlineStr">
        <is>
          <t>mule deer</t>
        </is>
      </c>
      <c r="D5745" s="4" t="n">
        <v>2004</v>
      </c>
      <c r="E5745" s="13" t="inlineStr">
        <is>
          <t>General</t>
        </is>
      </c>
      <c r="F5745" s="5" t="n">
        <v>221</v>
      </c>
      <c r="G5745" s="5" t="n">
        <v>1582</v>
      </c>
      <c r="H5745" s="5" t="n">
        <v>8</v>
      </c>
      <c r="I5745" s="5" t="n">
        <v>8</v>
      </c>
      <c r="J5745" s="5" t="n">
        <v>0</v>
      </c>
      <c r="K5745" s="10">
        <f>IF(F5745&gt;0,H5745/F5745,"")</f>
        <v/>
      </c>
      <c r="L5745" s="16">
        <f>IF(AND(G5745&gt;0,H5745&gt;0),G5745/H5745,"")</f>
        <v/>
      </c>
    </row>
    <row r="5746">
      <c r="A5746" s="4" t="inlineStr">
        <is>
          <t>290</t>
        </is>
      </c>
      <c r="B5746" s="4" t="n">
        <v>2</v>
      </c>
      <c r="C5746" s="4" t="inlineStr">
        <is>
          <t>mule deer</t>
        </is>
      </c>
      <c r="D5746" s="4" t="n">
        <v>2005</v>
      </c>
      <c r="E5746" s="13" t="inlineStr">
        <is>
          <t>General</t>
        </is>
      </c>
      <c r="F5746" s="5" t="n">
        <v>226</v>
      </c>
      <c r="G5746" s="5" t="n">
        <v>1557</v>
      </c>
      <c r="H5746" s="5" t="n">
        <v>6</v>
      </c>
      <c r="I5746" s="5" t="n">
        <v>6</v>
      </c>
      <c r="J5746" s="5" t="n">
        <v>0</v>
      </c>
      <c r="K5746" s="10">
        <f>IF(F5746&gt;0,H5746/F5746,"")</f>
        <v/>
      </c>
      <c r="L5746" s="16">
        <f>IF(AND(G5746&gt;0,H5746&gt;0),G5746/H5746,"")</f>
        <v/>
      </c>
    </row>
    <row r="5747">
      <c r="A5747" s="4" t="inlineStr">
        <is>
          <t>290</t>
        </is>
      </c>
      <c r="B5747" s="4" t="n">
        <v>2</v>
      </c>
      <c r="C5747" s="4" t="inlineStr">
        <is>
          <t>mule deer</t>
        </is>
      </c>
      <c r="D5747" s="4" t="n">
        <v>2006</v>
      </c>
      <c r="E5747" s="13" t="inlineStr">
        <is>
          <t>General</t>
        </is>
      </c>
      <c r="F5747" s="5" t="n">
        <v>173</v>
      </c>
      <c r="G5747" s="5" t="n">
        <v>1291</v>
      </c>
      <c r="H5747" s="5" t="n">
        <v>10</v>
      </c>
      <c r="I5747" s="5" t="n">
        <v>10</v>
      </c>
      <c r="J5747" s="5" t="n">
        <v>0</v>
      </c>
      <c r="K5747" s="10">
        <f>IF(F5747&gt;0,H5747/F5747,"")</f>
        <v/>
      </c>
      <c r="L5747" s="16">
        <f>IF(AND(G5747&gt;0,H5747&gt;0),G5747/H5747,"")</f>
        <v/>
      </c>
    </row>
    <row r="5748">
      <c r="A5748" s="4" t="inlineStr">
        <is>
          <t>290</t>
        </is>
      </c>
      <c r="B5748" s="4" t="n">
        <v>2</v>
      </c>
      <c r="C5748" s="4" t="inlineStr">
        <is>
          <t>mule deer</t>
        </is>
      </c>
      <c r="D5748" s="4" t="n">
        <v>2007</v>
      </c>
      <c r="E5748" s="13" t="inlineStr">
        <is>
          <t>General</t>
        </is>
      </c>
      <c r="F5748" s="5" t="n">
        <v>217</v>
      </c>
      <c r="G5748" s="5" t="n">
        <v>1760</v>
      </c>
      <c r="H5748" s="5" t="n">
        <v>26</v>
      </c>
      <c r="I5748" s="5" t="n">
        <v>11</v>
      </c>
      <c r="J5748" s="5" t="n">
        <v>15</v>
      </c>
      <c r="K5748" s="10">
        <f>IF(F5748&gt;0,H5748/F5748,"")</f>
        <v/>
      </c>
      <c r="L5748" s="16">
        <f>IF(AND(G5748&gt;0,H5748&gt;0),G5748/H5748,"")</f>
        <v/>
      </c>
    </row>
    <row r="5749">
      <c r="A5749" s="4" t="inlineStr">
        <is>
          <t>290</t>
        </is>
      </c>
      <c r="B5749" s="4" t="n">
        <v>2</v>
      </c>
      <c r="C5749" s="4" t="inlineStr">
        <is>
          <t>mule deer</t>
        </is>
      </c>
      <c r="D5749" s="4" t="n">
        <v>2008</v>
      </c>
      <c r="E5749" s="13" t="inlineStr">
        <is>
          <t>General</t>
        </is>
      </c>
      <c r="F5749" s="5" t="n">
        <v>222</v>
      </c>
      <c r="G5749" s="5" t="n">
        <v>1746</v>
      </c>
      <c r="H5749" s="5" t="n">
        <v>8</v>
      </c>
      <c r="I5749" s="5" t="n">
        <v>6</v>
      </c>
      <c r="J5749" s="5" t="n">
        <v>2</v>
      </c>
      <c r="K5749" s="10">
        <f>IF(F5749&gt;0,H5749/F5749,"")</f>
        <v/>
      </c>
      <c r="L5749" s="16">
        <f>IF(AND(G5749&gt;0,H5749&gt;0),G5749/H5749,"")</f>
        <v/>
      </c>
    </row>
    <row r="5750">
      <c r="A5750" s="4" t="inlineStr">
        <is>
          <t>290</t>
        </is>
      </c>
      <c r="B5750" s="4" t="n">
        <v>2</v>
      </c>
      <c r="C5750" s="4" t="inlineStr">
        <is>
          <t>mule deer</t>
        </is>
      </c>
      <c r="D5750" s="4" t="n">
        <v>2009</v>
      </c>
      <c r="E5750" s="13" t="inlineStr">
        <is>
          <t>General</t>
        </is>
      </c>
      <c r="F5750" s="5" t="n">
        <v>200</v>
      </c>
      <c r="G5750" s="5" t="n">
        <v>1540</v>
      </c>
      <c r="H5750" s="5" t="n">
        <v>4</v>
      </c>
      <c r="I5750" s="5" t="n">
        <v>4</v>
      </c>
      <c r="J5750" s="5" t="n">
        <v>0</v>
      </c>
      <c r="K5750" s="10">
        <f>IF(F5750&gt;0,H5750/F5750,"")</f>
        <v/>
      </c>
      <c r="L5750" s="16">
        <f>IF(AND(G5750&gt;0,H5750&gt;0),G5750/H5750,"")</f>
        <v/>
      </c>
    </row>
    <row r="5751">
      <c r="A5751" s="4" t="inlineStr">
        <is>
          <t>290</t>
        </is>
      </c>
      <c r="B5751" s="4" t="n">
        <v>2</v>
      </c>
      <c r="C5751" s="4" t="inlineStr">
        <is>
          <t>mule deer</t>
        </is>
      </c>
      <c r="D5751" s="4" t="n">
        <v>2010</v>
      </c>
      <c r="E5751" s="13" t="inlineStr">
        <is>
          <t>General</t>
        </is>
      </c>
      <c r="F5751" s="5" t="n">
        <v>165</v>
      </c>
      <c r="G5751" s="5" t="n">
        <v>1318</v>
      </c>
      <c r="H5751" s="5" t="n">
        <v>5</v>
      </c>
      <c r="I5751" s="5" t="n">
        <v>5</v>
      </c>
      <c r="J5751" s="5" t="n">
        <v>0</v>
      </c>
      <c r="K5751" s="10">
        <f>IF(F5751&gt;0,H5751/F5751,"")</f>
        <v/>
      </c>
      <c r="L5751" s="16">
        <f>IF(AND(G5751&gt;0,H5751&gt;0),G5751/H5751,"")</f>
        <v/>
      </c>
    </row>
    <row r="5752">
      <c r="A5752" s="4" t="inlineStr">
        <is>
          <t>290</t>
        </is>
      </c>
      <c r="B5752" s="4" t="n">
        <v>2</v>
      </c>
      <c r="C5752" s="4" t="inlineStr">
        <is>
          <t>mule deer</t>
        </is>
      </c>
      <c r="D5752" s="4" t="n">
        <v>2011</v>
      </c>
      <c r="E5752" s="13" t="inlineStr">
        <is>
          <t>General</t>
        </is>
      </c>
      <c r="F5752" s="5" t="n">
        <v>168</v>
      </c>
      <c r="G5752" s="5" t="n">
        <v>1063</v>
      </c>
      <c r="H5752" s="5" t="n">
        <v>3</v>
      </c>
      <c r="I5752" s="5" t="n">
        <v>3</v>
      </c>
      <c r="J5752" s="5" t="n">
        <v>0</v>
      </c>
      <c r="K5752" s="10">
        <f>IF(F5752&gt;0,H5752/F5752,"")</f>
        <v/>
      </c>
      <c r="L5752" s="16">
        <f>IF(AND(G5752&gt;0,H5752&gt;0),G5752/H5752,"")</f>
        <v/>
      </c>
    </row>
    <row r="5753">
      <c r="A5753" s="4" t="inlineStr">
        <is>
          <t>290</t>
        </is>
      </c>
      <c r="B5753" s="4" t="n">
        <v>2</v>
      </c>
      <c r="C5753" s="4" t="inlineStr">
        <is>
          <t>mule deer</t>
        </is>
      </c>
      <c r="D5753" s="4" t="n">
        <v>2012</v>
      </c>
      <c r="E5753" s="13" t="inlineStr">
        <is>
          <t>General</t>
        </is>
      </c>
      <c r="F5753" s="5" t="n"/>
      <c r="G5753" s="5" t="n"/>
      <c r="H5753" s="5" t="n">
        <v>5</v>
      </c>
      <c r="I5753" s="5" t="n">
        <v>3</v>
      </c>
      <c r="J5753" s="5" t="n">
        <v>2</v>
      </c>
      <c r="K5753" s="10">
        <f>IF(F5753&gt;0,H5753/F5753,"")</f>
        <v/>
      </c>
      <c r="L5753" s="16">
        <f>IF(AND(G5753&gt;0,H5753&gt;0),G5753/H5753,"")</f>
        <v/>
      </c>
    </row>
    <row r="5754">
      <c r="A5754" s="4" t="inlineStr">
        <is>
          <t>290</t>
        </is>
      </c>
      <c r="B5754" s="4" t="n">
        <v>2</v>
      </c>
      <c r="C5754" s="4" t="inlineStr">
        <is>
          <t>mule deer</t>
        </is>
      </c>
      <c r="D5754" s="4" t="n">
        <v>2013</v>
      </c>
      <c r="E5754" s="13" t="inlineStr">
        <is>
          <t>General</t>
        </is>
      </c>
      <c r="F5754" s="5" t="n">
        <v>212</v>
      </c>
      <c r="G5754" s="5" t="n">
        <v>1330</v>
      </c>
      <c r="H5754" s="5" t="n">
        <v>9</v>
      </c>
      <c r="I5754" s="5" t="n">
        <v>9</v>
      </c>
      <c r="J5754" s="5" t="n">
        <v>0</v>
      </c>
      <c r="K5754" s="10">
        <f>IF(F5754&gt;0,H5754/F5754,"")</f>
        <v/>
      </c>
      <c r="L5754" s="16">
        <f>IF(AND(G5754&gt;0,H5754&gt;0),G5754/H5754,"")</f>
        <v/>
      </c>
    </row>
    <row r="5755">
      <c r="A5755" s="4" t="inlineStr">
        <is>
          <t>290</t>
        </is>
      </c>
      <c r="B5755" s="4" t="n">
        <v>2</v>
      </c>
      <c r="C5755" s="4" t="inlineStr">
        <is>
          <t>mule deer</t>
        </is>
      </c>
      <c r="D5755" s="4" t="n">
        <v>2014</v>
      </c>
      <c r="E5755" s="13" t="inlineStr">
        <is>
          <t>General</t>
        </is>
      </c>
      <c r="F5755" s="5" t="n"/>
      <c r="G5755" s="5" t="n"/>
      <c r="H5755" s="5" t="n">
        <v>3</v>
      </c>
      <c r="I5755" s="5" t="n">
        <v>3</v>
      </c>
      <c r="J5755" s="5" t="n">
        <v>0</v>
      </c>
      <c r="K5755" s="10">
        <f>IF(F5755&gt;0,H5755/F5755,"")</f>
        <v/>
      </c>
      <c r="L5755" s="16">
        <f>IF(AND(G5755&gt;0,H5755&gt;0),G5755/H5755,"")</f>
        <v/>
      </c>
    </row>
    <row r="5756">
      <c r="A5756" s="4" t="inlineStr">
        <is>
          <t>290</t>
        </is>
      </c>
      <c r="B5756" s="4" t="n">
        <v>2</v>
      </c>
      <c r="C5756" s="4" t="inlineStr">
        <is>
          <t>mule deer</t>
        </is>
      </c>
      <c r="D5756" s="4" t="n">
        <v>2015</v>
      </c>
      <c r="E5756" s="13" t="inlineStr">
        <is>
          <t>General</t>
        </is>
      </c>
      <c r="F5756" s="5" t="n"/>
      <c r="G5756" s="5" t="n"/>
      <c r="H5756" s="5" t="n">
        <v>8</v>
      </c>
      <c r="I5756" s="5" t="n">
        <v>6</v>
      </c>
      <c r="J5756" s="5" t="n">
        <v>2</v>
      </c>
      <c r="K5756" s="10">
        <f>IF(F5756&gt;0,H5756/F5756,"")</f>
        <v/>
      </c>
      <c r="L5756" s="16">
        <f>IF(AND(G5756&gt;0,H5756&gt;0),G5756/H5756,"")</f>
        <v/>
      </c>
    </row>
    <row r="5757">
      <c r="A5757" s="4" t="inlineStr">
        <is>
          <t>290</t>
        </is>
      </c>
      <c r="B5757" s="4" t="n">
        <v>2</v>
      </c>
      <c r="C5757" s="4" t="inlineStr">
        <is>
          <t>mule deer</t>
        </is>
      </c>
      <c r="D5757" s="4" t="n">
        <v>2016</v>
      </c>
      <c r="E5757" s="13" t="inlineStr">
        <is>
          <t>General</t>
        </is>
      </c>
      <c r="F5757" s="5" t="n"/>
      <c r="G5757" s="5" t="n"/>
      <c r="H5757" s="5" t="n">
        <v>18</v>
      </c>
      <c r="I5757" s="5" t="n">
        <v>18</v>
      </c>
      <c r="J5757" s="5" t="n">
        <v>0</v>
      </c>
      <c r="K5757" s="10">
        <f>IF(F5757&gt;0,H5757/F5757,"")</f>
        <v/>
      </c>
      <c r="L5757" s="16">
        <f>IF(AND(G5757&gt;0,H5757&gt;0),G5757/H5757,"")</f>
        <v/>
      </c>
    </row>
    <row r="5758">
      <c r="A5758" s="4" t="inlineStr">
        <is>
          <t>290</t>
        </is>
      </c>
      <c r="B5758" s="4" t="n">
        <v>2</v>
      </c>
      <c r="C5758" s="4" t="inlineStr">
        <is>
          <t>mule deer</t>
        </is>
      </c>
      <c r="D5758" s="4" t="n">
        <v>2017</v>
      </c>
      <c r="E5758" s="13" t="inlineStr">
        <is>
          <t>General</t>
        </is>
      </c>
      <c r="F5758" s="5" t="n">
        <v>301</v>
      </c>
      <c r="G5758" s="5" t="n">
        <v>1999</v>
      </c>
      <c r="H5758" s="5" t="n">
        <v>15</v>
      </c>
      <c r="I5758" s="5" t="n">
        <v>15</v>
      </c>
      <c r="J5758" s="5" t="n">
        <v>0</v>
      </c>
      <c r="K5758" s="10">
        <f>IF(F5758&gt;0,H5758/F5758,"")</f>
        <v/>
      </c>
      <c r="L5758" s="16">
        <f>IF(AND(G5758&gt;0,H5758&gt;0),G5758/H5758,"")</f>
        <v/>
      </c>
    </row>
    <row r="5759">
      <c r="A5759" s="4" t="inlineStr">
        <is>
          <t>290</t>
        </is>
      </c>
      <c r="B5759" s="4" t="n">
        <v>2</v>
      </c>
      <c r="C5759" s="4" t="inlineStr">
        <is>
          <t>mule deer</t>
        </is>
      </c>
      <c r="D5759" s="4" t="n">
        <v>2018</v>
      </c>
      <c r="E5759" s="13" t="inlineStr">
        <is>
          <t>General</t>
        </is>
      </c>
      <c r="F5759" s="5" t="n"/>
      <c r="G5759" s="5" t="n"/>
      <c r="H5759" s="5" t="n">
        <v>13</v>
      </c>
      <c r="I5759" s="5" t="n">
        <v>13</v>
      </c>
      <c r="J5759" s="5" t="n">
        <v>0</v>
      </c>
      <c r="K5759" s="10">
        <f>IF(F5759&gt;0,H5759/F5759,"")</f>
        <v/>
      </c>
      <c r="L5759" s="16">
        <f>IF(AND(G5759&gt;0,H5759&gt;0),G5759/H5759,"")</f>
        <v/>
      </c>
    </row>
    <row r="5760">
      <c r="A5760" s="4" t="inlineStr">
        <is>
          <t>290</t>
        </is>
      </c>
      <c r="B5760" s="4" t="n">
        <v>2</v>
      </c>
      <c r="C5760" s="4" t="inlineStr">
        <is>
          <t>mule deer</t>
        </is>
      </c>
      <c r="D5760" s="4" t="n">
        <v>2019</v>
      </c>
      <c r="E5760" s="13" t="inlineStr">
        <is>
          <t>General</t>
        </is>
      </c>
      <c r="F5760" s="5" t="n">
        <v>281</v>
      </c>
      <c r="G5760" s="5" t="n">
        <v>1716</v>
      </c>
      <c r="H5760" s="5" t="n">
        <v>26</v>
      </c>
      <c r="I5760" s="5" t="n">
        <v>24</v>
      </c>
      <c r="J5760" s="5" t="n">
        <v>2</v>
      </c>
      <c r="K5760" s="10">
        <f>IF(F5760&gt;0,H5760/F5760,"")</f>
        <v/>
      </c>
      <c r="L5760" s="16">
        <f>IF(AND(G5760&gt;0,H5760&gt;0),G5760/H5760,"")</f>
        <v/>
      </c>
    </row>
    <row r="5761">
      <c r="A5761" s="4" t="inlineStr">
        <is>
          <t>290</t>
        </is>
      </c>
      <c r="B5761" s="4" t="n">
        <v>2</v>
      </c>
      <c r="C5761" s="4" t="inlineStr">
        <is>
          <t>mule deer</t>
        </is>
      </c>
      <c r="D5761" s="4" t="n">
        <v>2020</v>
      </c>
      <c r="E5761" s="13" t="inlineStr">
        <is>
          <t>General</t>
        </is>
      </c>
      <c r="F5761" s="5" t="n"/>
      <c r="G5761" s="5" t="n"/>
      <c r="H5761" s="5" t="n">
        <v>17</v>
      </c>
      <c r="I5761" s="5" t="n">
        <v>17</v>
      </c>
      <c r="J5761" s="5" t="n">
        <v>0</v>
      </c>
      <c r="K5761" s="10">
        <f>IF(F5761&gt;0,H5761/F5761,"")</f>
        <v/>
      </c>
      <c r="L5761" s="16">
        <f>IF(AND(G5761&gt;0,H5761&gt;0),G5761/H5761,"")</f>
        <v/>
      </c>
    </row>
    <row r="5762">
      <c r="A5762" s="4" t="inlineStr">
        <is>
          <t>290</t>
        </is>
      </c>
      <c r="B5762" s="4" t="n">
        <v>2</v>
      </c>
      <c r="C5762" s="4" t="inlineStr">
        <is>
          <t>mule deer</t>
        </is>
      </c>
      <c r="D5762" s="4" t="n">
        <v>2021</v>
      </c>
      <c r="E5762" s="13" t="inlineStr">
        <is>
          <t>General</t>
        </is>
      </c>
      <c r="F5762" s="5" t="n">
        <v>230</v>
      </c>
      <c r="G5762" s="5" t="n">
        <v>1882</v>
      </c>
      <c r="H5762" s="5" t="n">
        <v>19</v>
      </c>
      <c r="I5762" s="5" t="n">
        <v>19</v>
      </c>
      <c r="J5762" s="5" t="n">
        <v>0</v>
      </c>
      <c r="K5762" s="10">
        <f>IF(F5762&gt;0,H5762/F5762,"")</f>
        <v/>
      </c>
      <c r="L5762" s="16">
        <f>IF(AND(G5762&gt;0,H5762&gt;0),G5762/H5762,"")</f>
        <v/>
      </c>
    </row>
    <row r="5763">
      <c r="A5763" s="4" t="inlineStr">
        <is>
          <t>290</t>
        </is>
      </c>
      <c r="B5763" s="4" t="n">
        <v>2</v>
      </c>
      <c r="C5763" s="4" t="inlineStr">
        <is>
          <t>mule deer</t>
        </is>
      </c>
      <c r="D5763" s="4" t="n">
        <v>2022</v>
      </c>
      <c r="E5763" s="13" t="inlineStr">
        <is>
          <t>General</t>
        </is>
      </c>
      <c r="F5763" s="5" t="n"/>
      <c r="G5763" s="5" t="n"/>
      <c r="H5763" s="5" t="n">
        <v>26</v>
      </c>
      <c r="I5763" s="5" t="n">
        <v>24</v>
      </c>
      <c r="J5763" s="5" t="n">
        <v>2</v>
      </c>
      <c r="K5763" s="10">
        <f>IF(F5763&gt;0,H5763/F5763,"")</f>
        <v/>
      </c>
      <c r="L5763" s="16">
        <f>IF(AND(G5763&gt;0,H5763&gt;0),G5763/H5763,"")</f>
        <v/>
      </c>
    </row>
    <row r="5764">
      <c r="A5764" s="4" t="inlineStr">
        <is>
          <t>290</t>
        </is>
      </c>
      <c r="B5764" s="4" t="n">
        <v>2</v>
      </c>
      <c r="C5764" s="4" t="inlineStr">
        <is>
          <t>mule deer</t>
        </is>
      </c>
      <c r="D5764" s="4" t="n">
        <v>2023</v>
      </c>
      <c r="E5764" s="13" t="inlineStr">
        <is>
          <t>General</t>
        </is>
      </c>
      <c r="F5764" s="5" t="n">
        <v>190</v>
      </c>
      <c r="G5764" s="5" t="n">
        <v>1373</v>
      </c>
      <c r="H5764" s="5" t="n">
        <v>20</v>
      </c>
      <c r="I5764" s="5" t="n">
        <v>20</v>
      </c>
      <c r="J5764" s="5" t="n">
        <v>0</v>
      </c>
      <c r="K5764" s="10">
        <f>IF(F5764&gt;0,H5764/F5764,"")</f>
        <v/>
      </c>
      <c r="L5764" s="16">
        <f>IF(AND(G5764&gt;0,H5764&gt;0),G5764/H5764,"")</f>
        <v/>
      </c>
    </row>
    <row r="5765">
      <c r="A5765" s="4" t="inlineStr">
        <is>
          <t>290</t>
        </is>
      </c>
      <c r="B5765" s="4" t="n">
        <v>2</v>
      </c>
      <c r="C5765" s="4" t="inlineStr">
        <is>
          <t>mule deer</t>
        </is>
      </c>
      <c r="D5765" s="4" t="n">
        <v>2024</v>
      </c>
      <c r="E5765" s="13" t="inlineStr">
        <is>
          <t>General</t>
        </is>
      </c>
      <c r="F5765" s="5" t="n"/>
      <c r="G5765" s="5" t="n"/>
      <c r="H5765" s="5" t="n">
        <v>9</v>
      </c>
      <c r="I5765" s="5" t="n">
        <v>9</v>
      </c>
      <c r="J5765" s="5" t="n">
        <v>0</v>
      </c>
      <c r="K5765" s="10">
        <f>IF(F5765&gt;0,H5765/F5765,"")</f>
        <v/>
      </c>
      <c r="L5765" s="16">
        <f>IF(AND(G5765&gt;0,H5765&gt;0),G5765/H5765,"")</f>
        <v/>
      </c>
    </row>
    <row r="5766">
      <c r="A5766" s="4" t="inlineStr">
        <is>
          <t>290</t>
        </is>
      </c>
      <c r="B5766" s="4" t="n">
        <v>2</v>
      </c>
      <c r="C5766" s="4" t="inlineStr">
        <is>
          <t>mule deer</t>
        </is>
      </c>
      <c r="D5766" s="4" t="n">
        <v>2025</v>
      </c>
      <c r="E5766" s="13" t="inlineStr">
        <is>
          <t>General</t>
        </is>
      </c>
      <c r="F5766" s="5" t="n">
        <v>317</v>
      </c>
      <c r="G5766" s="5" t="n">
        <v>2325</v>
      </c>
      <c r="H5766" s="5" t="n">
        <v>17</v>
      </c>
      <c r="I5766" s="5" t="n">
        <v>17</v>
      </c>
      <c r="J5766" s="5" t="n">
        <v>0</v>
      </c>
      <c r="K5766" s="10">
        <f>IF(F5766&gt;0,H5766/F5766,"")</f>
        <v/>
      </c>
      <c r="L5766" s="16">
        <f>IF(AND(G5766&gt;0,H5766&gt;0),G5766/H5766,"")</f>
        <v/>
      </c>
    </row>
    <row r="5767">
      <c r="A5767" s="4" t="inlineStr">
        <is>
          <t>291</t>
        </is>
      </c>
      <c r="B5767" s="4" t="n">
        <v>2</v>
      </c>
      <c r="C5767" s="4" t="inlineStr">
        <is>
          <t>mule deer</t>
        </is>
      </c>
      <c r="D5767" s="4" t="n">
        <v>2004</v>
      </c>
      <c r="E5767" s="15" t="inlineStr">
        <is>
          <t>Draw</t>
        </is>
      </c>
      <c r="F5767" s="5" t="n">
        <v>509</v>
      </c>
      <c r="G5767" s="5" t="n">
        <v>3194</v>
      </c>
      <c r="H5767" s="5" t="n">
        <v>170</v>
      </c>
      <c r="I5767" s="5" t="n">
        <v>137</v>
      </c>
      <c r="J5767" s="5" t="n">
        <v>34</v>
      </c>
      <c r="K5767" s="10">
        <f>IF(F5767&gt;0,H5767/F5767,"")</f>
        <v/>
      </c>
      <c r="L5767" s="16">
        <f>IF(AND(G5767&gt;0,H5767&gt;0),G5767/H5767,"")</f>
        <v/>
      </c>
    </row>
    <row r="5768">
      <c r="A5768" s="4" t="inlineStr">
        <is>
          <t>291</t>
        </is>
      </c>
      <c r="B5768" s="4" t="n">
        <v>2</v>
      </c>
      <c r="C5768" s="4" t="inlineStr">
        <is>
          <t>mule deer</t>
        </is>
      </c>
      <c r="D5768" s="4" t="n">
        <v>2005</v>
      </c>
      <c r="E5768" s="15" t="inlineStr">
        <is>
          <t>Draw</t>
        </is>
      </c>
      <c r="F5768" s="5" t="n">
        <v>443</v>
      </c>
      <c r="G5768" s="5" t="n">
        <v>2768</v>
      </c>
      <c r="H5768" s="5" t="n">
        <v>118</v>
      </c>
      <c r="I5768" s="5" t="n">
        <v>93</v>
      </c>
      <c r="J5768" s="5" t="n">
        <v>26</v>
      </c>
      <c r="K5768" s="10">
        <f>IF(F5768&gt;0,H5768/F5768,"")</f>
        <v/>
      </c>
      <c r="L5768" s="16">
        <f>IF(AND(G5768&gt;0,H5768&gt;0),G5768/H5768,"")</f>
        <v/>
      </c>
    </row>
    <row r="5769">
      <c r="A5769" s="4" t="inlineStr">
        <is>
          <t>291</t>
        </is>
      </c>
      <c r="B5769" s="4" t="n">
        <v>2</v>
      </c>
      <c r="C5769" s="4" t="inlineStr">
        <is>
          <t>mule deer</t>
        </is>
      </c>
      <c r="D5769" s="4" t="n">
        <v>2006</v>
      </c>
      <c r="E5769" s="15" t="inlineStr">
        <is>
          <t>Draw</t>
        </is>
      </c>
      <c r="F5769" s="5" t="n">
        <v>414</v>
      </c>
      <c r="G5769" s="5" t="n">
        <v>2656</v>
      </c>
      <c r="H5769" s="5" t="n">
        <v>174</v>
      </c>
      <c r="I5769" s="5" t="n">
        <v>109</v>
      </c>
      <c r="J5769" s="5" t="n">
        <v>65</v>
      </c>
      <c r="K5769" s="10">
        <f>IF(F5769&gt;0,H5769/F5769,"")</f>
        <v/>
      </c>
      <c r="L5769" s="16">
        <f>IF(AND(G5769&gt;0,H5769&gt;0),G5769/H5769,"")</f>
        <v/>
      </c>
    </row>
    <row r="5770">
      <c r="A5770" s="4" t="inlineStr">
        <is>
          <t>291</t>
        </is>
      </c>
      <c r="B5770" s="4" t="n">
        <v>2</v>
      </c>
      <c r="C5770" s="4" t="inlineStr">
        <is>
          <t>mule deer</t>
        </is>
      </c>
      <c r="D5770" s="4" t="n">
        <v>2007</v>
      </c>
      <c r="E5770" s="15" t="inlineStr">
        <is>
          <t>Draw</t>
        </is>
      </c>
      <c r="F5770" s="5" t="n">
        <v>390</v>
      </c>
      <c r="G5770" s="5" t="n">
        <v>2671</v>
      </c>
      <c r="H5770" s="5" t="n">
        <v>113</v>
      </c>
      <c r="I5770" s="5" t="n">
        <v>67</v>
      </c>
      <c r="J5770" s="5" t="n">
        <v>46</v>
      </c>
      <c r="K5770" s="10">
        <f>IF(F5770&gt;0,H5770/F5770,"")</f>
        <v/>
      </c>
      <c r="L5770" s="16">
        <f>IF(AND(G5770&gt;0,H5770&gt;0),G5770/H5770,"")</f>
        <v/>
      </c>
    </row>
    <row r="5771">
      <c r="A5771" s="4" t="inlineStr">
        <is>
          <t>291</t>
        </is>
      </c>
      <c r="B5771" s="4" t="n">
        <v>2</v>
      </c>
      <c r="C5771" s="4" t="inlineStr">
        <is>
          <t>mule deer</t>
        </is>
      </c>
      <c r="D5771" s="4" t="n">
        <v>2008</v>
      </c>
      <c r="E5771" s="15" t="inlineStr">
        <is>
          <t>Draw</t>
        </is>
      </c>
      <c r="F5771" s="5" t="n">
        <v>474</v>
      </c>
      <c r="G5771" s="5" t="n">
        <v>3012</v>
      </c>
      <c r="H5771" s="5" t="n">
        <v>167</v>
      </c>
      <c r="I5771" s="5" t="n">
        <v>79</v>
      </c>
      <c r="J5771" s="5" t="n">
        <v>89</v>
      </c>
      <c r="K5771" s="10">
        <f>IF(F5771&gt;0,H5771/F5771,"")</f>
        <v/>
      </c>
      <c r="L5771" s="16">
        <f>IF(AND(G5771&gt;0,H5771&gt;0),G5771/H5771,"")</f>
        <v/>
      </c>
    </row>
    <row r="5772">
      <c r="A5772" s="4" t="inlineStr">
        <is>
          <t>291</t>
        </is>
      </c>
      <c r="B5772" s="4" t="n">
        <v>2</v>
      </c>
      <c r="C5772" s="4" t="inlineStr">
        <is>
          <t>mule deer</t>
        </is>
      </c>
      <c r="D5772" s="4" t="n">
        <v>2009</v>
      </c>
      <c r="E5772" s="15" t="inlineStr">
        <is>
          <t>Draw</t>
        </is>
      </c>
      <c r="F5772" s="5" t="n">
        <v>541</v>
      </c>
      <c r="G5772" s="5" t="n">
        <v>2936</v>
      </c>
      <c r="H5772" s="5" t="n">
        <v>187</v>
      </c>
      <c r="I5772" s="5" t="n">
        <v>77</v>
      </c>
      <c r="J5772" s="5" t="n">
        <v>110</v>
      </c>
      <c r="K5772" s="10">
        <f>IF(F5772&gt;0,H5772/F5772,"")</f>
        <v/>
      </c>
      <c r="L5772" s="16">
        <f>IF(AND(G5772&gt;0,H5772&gt;0),G5772/H5772,"")</f>
        <v/>
      </c>
    </row>
    <row r="5773">
      <c r="A5773" s="4" t="inlineStr">
        <is>
          <t>291</t>
        </is>
      </c>
      <c r="B5773" s="4" t="n">
        <v>2</v>
      </c>
      <c r="C5773" s="4" t="inlineStr">
        <is>
          <t>mule deer</t>
        </is>
      </c>
      <c r="D5773" s="4" t="n">
        <v>2010</v>
      </c>
      <c r="E5773" s="15" t="inlineStr">
        <is>
          <t>Draw</t>
        </is>
      </c>
      <c r="F5773" s="5" t="n">
        <v>463</v>
      </c>
      <c r="G5773" s="5" t="n">
        <v>2446</v>
      </c>
      <c r="H5773" s="5" t="n">
        <v>135</v>
      </c>
      <c r="I5773" s="5" t="n">
        <v>84</v>
      </c>
      <c r="J5773" s="5" t="n">
        <v>52</v>
      </c>
      <c r="K5773" s="10">
        <f>IF(F5773&gt;0,H5773/F5773,"")</f>
        <v/>
      </c>
      <c r="L5773" s="16">
        <f>IF(AND(G5773&gt;0,H5773&gt;0),G5773/H5773,"")</f>
        <v/>
      </c>
    </row>
    <row r="5774">
      <c r="A5774" s="4" t="inlineStr">
        <is>
          <t>291</t>
        </is>
      </c>
      <c r="B5774" s="4" t="n">
        <v>2</v>
      </c>
      <c r="C5774" s="4" t="inlineStr">
        <is>
          <t>mule deer</t>
        </is>
      </c>
      <c r="D5774" s="4" t="n">
        <v>2011</v>
      </c>
      <c r="E5774" s="15" t="inlineStr">
        <is>
          <t>Draw</t>
        </is>
      </c>
      <c r="F5774" s="5" t="n">
        <v>509</v>
      </c>
      <c r="G5774" s="5" t="n">
        <v>2770</v>
      </c>
      <c r="H5774" s="5" t="n">
        <v>152</v>
      </c>
      <c r="I5774" s="5" t="n">
        <v>100</v>
      </c>
      <c r="J5774" s="5" t="n">
        <v>52</v>
      </c>
      <c r="K5774" s="10">
        <f>IF(F5774&gt;0,H5774/F5774,"")</f>
        <v/>
      </c>
      <c r="L5774" s="16">
        <f>IF(AND(G5774&gt;0,H5774&gt;0),G5774/H5774,"")</f>
        <v/>
      </c>
    </row>
    <row r="5775">
      <c r="A5775" s="4" t="inlineStr">
        <is>
          <t>291</t>
        </is>
      </c>
      <c r="B5775" s="4" t="n">
        <v>2</v>
      </c>
      <c r="C5775" s="4" t="inlineStr">
        <is>
          <t>mule deer</t>
        </is>
      </c>
      <c r="D5775" s="4" t="n">
        <v>2012</v>
      </c>
      <c r="E5775" s="15" t="inlineStr">
        <is>
          <t>Draw</t>
        </is>
      </c>
      <c r="F5775" s="5" t="n"/>
      <c r="G5775" s="5" t="n"/>
      <c r="H5775" s="5" t="n">
        <v>122</v>
      </c>
      <c r="I5775" s="5" t="n">
        <v>82</v>
      </c>
      <c r="J5775" s="5" t="n">
        <v>40</v>
      </c>
      <c r="K5775" s="10">
        <f>IF(F5775&gt;0,H5775/F5775,"")</f>
        <v/>
      </c>
      <c r="L5775" s="16">
        <f>IF(AND(G5775&gt;0,H5775&gt;0),G5775/H5775,"")</f>
        <v/>
      </c>
    </row>
    <row r="5776">
      <c r="A5776" s="4" t="inlineStr">
        <is>
          <t>291</t>
        </is>
      </c>
      <c r="B5776" s="4" t="n">
        <v>2</v>
      </c>
      <c r="C5776" s="4" t="inlineStr">
        <is>
          <t>mule deer</t>
        </is>
      </c>
      <c r="D5776" s="4" t="n">
        <v>2013</v>
      </c>
      <c r="E5776" s="15" t="inlineStr">
        <is>
          <t>Draw</t>
        </is>
      </c>
      <c r="F5776" s="5" t="n">
        <v>397</v>
      </c>
      <c r="G5776" s="5" t="n">
        <v>2167</v>
      </c>
      <c r="H5776" s="5" t="n">
        <v>91</v>
      </c>
      <c r="I5776" s="5" t="n">
        <v>79</v>
      </c>
      <c r="J5776" s="5" t="n">
        <v>12</v>
      </c>
      <c r="K5776" s="10">
        <f>IF(F5776&gt;0,H5776/F5776,"")</f>
        <v/>
      </c>
      <c r="L5776" s="16">
        <f>IF(AND(G5776&gt;0,H5776&gt;0),G5776/H5776,"")</f>
        <v/>
      </c>
    </row>
    <row r="5777">
      <c r="A5777" s="4" t="inlineStr">
        <is>
          <t>291</t>
        </is>
      </c>
      <c r="B5777" s="4" t="n">
        <v>2</v>
      </c>
      <c r="C5777" s="4" t="inlineStr">
        <is>
          <t>mule deer</t>
        </is>
      </c>
      <c r="D5777" s="4" t="n">
        <v>2014</v>
      </c>
      <c r="E5777" s="15" t="inlineStr">
        <is>
          <t>Draw</t>
        </is>
      </c>
      <c r="F5777" s="5" t="n"/>
      <c r="G5777" s="5" t="n"/>
      <c r="H5777" s="5" t="n">
        <v>47</v>
      </c>
      <c r="I5777" s="5" t="n">
        <v>47</v>
      </c>
      <c r="J5777" s="5" t="n">
        <v>0</v>
      </c>
      <c r="K5777" s="10">
        <f>IF(F5777&gt;0,H5777/F5777,"")</f>
        <v/>
      </c>
      <c r="L5777" s="16">
        <f>IF(AND(G5777&gt;0,H5777&gt;0),G5777/H5777,"")</f>
        <v/>
      </c>
    </row>
    <row r="5778">
      <c r="A5778" s="4" t="inlineStr">
        <is>
          <t>291</t>
        </is>
      </c>
      <c r="B5778" s="4" t="n">
        <v>2</v>
      </c>
      <c r="C5778" s="4" t="inlineStr">
        <is>
          <t>mule deer</t>
        </is>
      </c>
      <c r="D5778" s="4" t="n">
        <v>2015</v>
      </c>
      <c r="E5778" s="15" t="inlineStr">
        <is>
          <t>Draw</t>
        </is>
      </c>
      <c r="F5778" s="5" t="n"/>
      <c r="G5778" s="5" t="n"/>
      <c r="H5778" s="5" t="n">
        <v>57</v>
      </c>
      <c r="I5778" s="5" t="n">
        <v>57</v>
      </c>
      <c r="J5778" s="5" t="n">
        <v>0</v>
      </c>
      <c r="K5778" s="10">
        <f>IF(F5778&gt;0,H5778/F5778,"")</f>
        <v/>
      </c>
      <c r="L5778" s="16">
        <f>IF(AND(G5778&gt;0,H5778&gt;0),G5778/H5778,"")</f>
        <v/>
      </c>
    </row>
    <row r="5779">
      <c r="A5779" s="4" t="inlineStr">
        <is>
          <t>291</t>
        </is>
      </c>
      <c r="B5779" s="4" t="n">
        <v>2</v>
      </c>
      <c r="C5779" s="4" t="inlineStr">
        <is>
          <t>mule deer</t>
        </is>
      </c>
      <c r="D5779" s="4" t="n">
        <v>2016</v>
      </c>
      <c r="E5779" s="15" t="inlineStr">
        <is>
          <t>Draw</t>
        </is>
      </c>
      <c r="F5779" s="5" t="n"/>
      <c r="G5779" s="5" t="n"/>
      <c r="H5779" s="5" t="n">
        <v>54</v>
      </c>
      <c r="I5779" s="5" t="n">
        <v>54</v>
      </c>
      <c r="J5779" s="5" t="n">
        <v>0</v>
      </c>
      <c r="K5779" s="10">
        <f>IF(F5779&gt;0,H5779/F5779,"")</f>
        <v/>
      </c>
      <c r="L5779" s="16">
        <f>IF(AND(G5779&gt;0,H5779&gt;0),G5779/H5779,"")</f>
        <v/>
      </c>
    </row>
    <row r="5780">
      <c r="A5780" s="4" t="inlineStr">
        <is>
          <t>291</t>
        </is>
      </c>
      <c r="B5780" s="4" t="n">
        <v>2</v>
      </c>
      <c r="C5780" s="4" t="inlineStr">
        <is>
          <t>mule deer</t>
        </is>
      </c>
      <c r="D5780" s="4" t="n">
        <v>2017</v>
      </c>
      <c r="E5780" s="15" t="inlineStr">
        <is>
          <t>Draw</t>
        </is>
      </c>
      <c r="F5780" s="5" t="n">
        <v>336</v>
      </c>
      <c r="G5780" s="5" t="n">
        <v>1908</v>
      </c>
      <c r="H5780" s="5" t="n">
        <v>62</v>
      </c>
      <c r="I5780" s="5" t="n">
        <v>62</v>
      </c>
      <c r="J5780" s="5" t="n">
        <v>0</v>
      </c>
      <c r="K5780" s="10">
        <f>IF(F5780&gt;0,H5780/F5780,"")</f>
        <v/>
      </c>
      <c r="L5780" s="16">
        <f>IF(AND(G5780&gt;0,H5780&gt;0),G5780/H5780,"")</f>
        <v/>
      </c>
    </row>
    <row r="5781">
      <c r="A5781" s="4" t="inlineStr">
        <is>
          <t>291</t>
        </is>
      </c>
      <c r="B5781" s="4" t="n">
        <v>2</v>
      </c>
      <c r="C5781" s="4" t="inlineStr">
        <is>
          <t>mule deer</t>
        </is>
      </c>
      <c r="D5781" s="4" t="n">
        <v>2018</v>
      </c>
      <c r="E5781" s="15" t="inlineStr">
        <is>
          <t>Draw</t>
        </is>
      </c>
      <c r="F5781" s="5" t="n"/>
      <c r="G5781" s="5" t="n"/>
      <c r="H5781" s="5" t="n">
        <v>53</v>
      </c>
      <c r="I5781" s="5" t="n">
        <v>33</v>
      </c>
      <c r="J5781" s="5" t="n">
        <v>20</v>
      </c>
      <c r="K5781" s="10">
        <f>IF(F5781&gt;0,H5781/F5781,"")</f>
        <v/>
      </c>
      <c r="L5781" s="16">
        <f>IF(AND(G5781&gt;0,H5781&gt;0),G5781/H5781,"")</f>
        <v/>
      </c>
    </row>
    <row r="5782">
      <c r="A5782" s="4" t="inlineStr">
        <is>
          <t>291</t>
        </is>
      </c>
      <c r="B5782" s="4" t="n">
        <v>2</v>
      </c>
      <c r="C5782" s="4" t="inlineStr">
        <is>
          <t>mule deer</t>
        </is>
      </c>
      <c r="D5782" s="4" t="n">
        <v>2019</v>
      </c>
      <c r="E5782" s="15" t="inlineStr">
        <is>
          <t>Draw</t>
        </is>
      </c>
      <c r="F5782" s="5" t="n">
        <v>367</v>
      </c>
      <c r="G5782" s="5" t="n">
        <v>1497</v>
      </c>
      <c r="H5782" s="5" t="n">
        <v>38</v>
      </c>
      <c r="I5782" s="5" t="n">
        <v>38</v>
      </c>
      <c r="J5782" s="5" t="n">
        <v>0</v>
      </c>
      <c r="K5782" s="10">
        <f>IF(F5782&gt;0,H5782/F5782,"")</f>
        <v/>
      </c>
      <c r="L5782" s="16">
        <f>IF(AND(G5782&gt;0,H5782&gt;0),G5782/H5782,"")</f>
        <v/>
      </c>
    </row>
    <row r="5783">
      <c r="A5783" s="4" t="inlineStr">
        <is>
          <t>291</t>
        </is>
      </c>
      <c r="B5783" s="4" t="n">
        <v>2</v>
      </c>
      <c r="C5783" s="4" t="inlineStr">
        <is>
          <t>mule deer</t>
        </is>
      </c>
      <c r="D5783" s="4" t="n">
        <v>2020</v>
      </c>
      <c r="E5783" s="15" t="inlineStr">
        <is>
          <t>Draw</t>
        </is>
      </c>
      <c r="F5783" s="5" t="n"/>
      <c r="G5783" s="5" t="n"/>
      <c r="H5783" s="5" t="n">
        <v>50</v>
      </c>
      <c r="I5783" s="5" t="n">
        <v>34</v>
      </c>
      <c r="J5783" s="5" t="n">
        <v>17</v>
      </c>
      <c r="K5783" s="10">
        <f>IF(F5783&gt;0,H5783/F5783,"")</f>
        <v/>
      </c>
      <c r="L5783" s="16">
        <f>IF(AND(G5783&gt;0,H5783&gt;0),G5783/H5783,"")</f>
        <v/>
      </c>
    </row>
    <row r="5784">
      <c r="A5784" s="4" t="inlineStr">
        <is>
          <t>291</t>
        </is>
      </c>
      <c r="B5784" s="4" t="n">
        <v>2</v>
      </c>
      <c r="C5784" s="4" t="inlineStr">
        <is>
          <t>mule deer</t>
        </is>
      </c>
      <c r="D5784" s="4" t="n">
        <v>2021</v>
      </c>
      <c r="E5784" s="15" t="inlineStr">
        <is>
          <t>Draw</t>
        </is>
      </c>
      <c r="F5784" s="5" t="n">
        <v>362</v>
      </c>
      <c r="G5784" s="5" t="n">
        <v>2121</v>
      </c>
      <c r="H5784" s="5" t="n">
        <v>65</v>
      </c>
      <c r="I5784" s="5" t="n">
        <v>54</v>
      </c>
      <c r="J5784" s="5" t="n">
        <v>12</v>
      </c>
      <c r="K5784" s="10">
        <f>IF(F5784&gt;0,H5784/F5784,"")</f>
        <v/>
      </c>
      <c r="L5784" s="16">
        <f>IF(AND(G5784&gt;0,H5784&gt;0),G5784/H5784,"")</f>
        <v/>
      </c>
    </row>
    <row r="5785">
      <c r="A5785" s="4" t="inlineStr">
        <is>
          <t>291</t>
        </is>
      </c>
      <c r="B5785" s="4" t="n">
        <v>2</v>
      </c>
      <c r="C5785" s="4" t="inlineStr">
        <is>
          <t>mule deer</t>
        </is>
      </c>
      <c r="D5785" s="4" t="n">
        <v>2022</v>
      </c>
      <c r="E5785" s="15" t="inlineStr">
        <is>
          <t>Draw</t>
        </is>
      </c>
      <c r="F5785" s="5" t="n"/>
      <c r="G5785" s="5" t="n"/>
      <c r="H5785" s="5" t="n">
        <v>39</v>
      </c>
      <c r="I5785" s="5" t="n">
        <v>39</v>
      </c>
      <c r="J5785" s="5" t="n">
        <v>0</v>
      </c>
      <c r="K5785" s="10">
        <f>IF(F5785&gt;0,H5785/F5785,"")</f>
        <v/>
      </c>
      <c r="L5785" s="16">
        <f>IF(AND(G5785&gt;0,H5785&gt;0),G5785/H5785,"")</f>
        <v/>
      </c>
    </row>
    <row r="5786">
      <c r="A5786" s="4" t="inlineStr">
        <is>
          <t>291</t>
        </is>
      </c>
      <c r="B5786" s="4" t="n">
        <v>2</v>
      </c>
      <c r="C5786" s="4" t="inlineStr">
        <is>
          <t>mule deer</t>
        </is>
      </c>
      <c r="D5786" s="4" t="n">
        <v>2023</v>
      </c>
      <c r="E5786" s="15" t="inlineStr">
        <is>
          <t>Draw</t>
        </is>
      </c>
      <c r="F5786" s="5" t="n">
        <v>250</v>
      </c>
      <c r="G5786" s="5" t="n">
        <v>1687</v>
      </c>
      <c r="H5786" s="5" t="n">
        <v>44</v>
      </c>
      <c r="I5786" s="5" t="n">
        <v>41</v>
      </c>
      <c r="J5786" s="5" t="n">
        <v>2</v>
      </c>
      <c r="K5786" s="10">
        <f>IF(F5786&gt;0,H5786/F5786,"")</f>
        <v/>
      </c>
      <c r="L5786" s="16">
        <f>IF(AND(G5786&gt;0,H5786&gt;0),G5786/H5786,"")</f>
        <v/>
      </c>
    </row>
    <row r="5787">
      <c r="A5787" s="4" t="inlineStr">
        <is>
          <t>291</t>
        </is>
      </c>
      <c r="B5787" s="4" t="n">
        <v>2</v>
      </c>
      <c r="C5787" s="4" t="inlineStr">
        <is>
          <t>mule deer</t>
        </is>
      </c>
      <c r="D5787" s="4" t="n">
        <v>2024</v>
      </c>
      <c r="E5787" s="15" t="inlineStr">
        <is>
          <t>Draw</t>
        </is>
      </c>
      <c r="F5787" s="5" t="n"/>
      <c r="G5787" s="5" t="n"/>
      <c r="H5787" s="5" t="n">
        <v>60</v>
      </c>
      <c r="I5787" s="5" t="n">
        <v>54</v>
      </c>
      <c r="J5787" s="5" t="n">
        <v>6</v>
      </c>
      <c r="K5787" s="10">
        <f>IF(F5787&gt;0,H5787/F5787,"")</f>
        <v/>
      </c>
      <c r="L5787" s="16">
        <f>IF(AND(G5787&gt;0,H5787&gt;0),G5787/H5787,"")</f>
        <v/>
      </c>
    </row>
    <row r="5788">
      <c r="A5788" s="4" t="inlineStr">
        <is>
          <t>291</t>
        </is>
      </c>
      <c r="B5788" s="4" t="n">
        <v>2</v>
      </c>
      <c r="C5788" s="4" t="inlineStr">
        <is>
          <t>mule deer</t>
        </is>
      </c>
      <c r="D5788" s="4" t="n">
        <v>2025</v>
      </c>
      <c r="E5788" s="15" t="inlineStr">
        <is>
          <t>Draw</t>
        </is>
      </c>
      <c r="F5788" s="5" t="n">
        <v>377</v>
      </c>
      <c r="G5788" s="5" t="n">
        <v>2128</v>
      </c>
      <c r="H5788" s="5" t="n">
        <v>65</v>
      </c>
      <c r="I5788" s="5" t="n">
        <v>54</v>
      </c>
      <c r="J5788" s="5" t="n">
        <v>11</v>
      </c>
      <c r="K5788" s="10">
        <f>IF(F5788&gt;0,H5788/F5788,"")</f>
        <v/>
      </c>
      <c r="L5788" s="16">
        <f>IF(AND(G5788&gt;0,H5788&gt;0),G5788/H5788,"")</f>
        <v/>
      </c>
    </row>
    <row r="5789">
      <c r="A5789" s="4" t="inlineStr">
        <is>
          <t>292</t>
        </is>
      </c>
      <c r="B5789" s="4" t="n">
        <v>2</v>
      </c>
      <c r="C5789" s="4" t="inlineStr">
        <is>
          <t>mule deer</t>
        </is>
      </c>
      <c r="D5789" s="4" t="n">
        <v>2004</v>
      </c>
      <c r="E5789" s="13" t="inlineStr">
        <is>
          <t>General</t>
        </is>
      </c>
      <c r="F5789" s="5" t="n">
        <v>1911</v>
      </c>
      <c r="G5789" s="5" t="n">
        <v>12320</v>
      </c>
      <c r="H5789" s="5" t="n">
        <v>320</v>
      </c>
      <c r="I5789" s="5" t="n">
        <v>318</v>
      </c>
      <c r="J5789" s="5" t="n">
        <v>2</v>
      </c>
      <c r="K5789" s="10">
        <f>IF(F5789&gt;0,H5789/F5789,"")</f>
        <v/>
      </c>
      <c r="L5789" s="16">
        <f>IF(AND(G5789&gt;0,H5789&gt;0),G5789/H5789,"")</f>
        <v/>
      </c>
    </row>
    <row r="5790">
      <c r="A5790" s="4" t="inlineStr">
        <is>
          <t>292</t>
        </is>
      </c>
      <c r="B5790" s="4" t="n">
        <v>2</v>
      </c>
      <c r="C5790" s="4" t="inlineStr">
        <is>
          <t>mule deer</t>
        </is>
      </c>
      <c r="D5790" s="4" t="n">
        <v>2005</v>
      </c>
      <c r="E5790" s="13" t="inlineStr">
        <is>
          <t>General</t>
        </is>
      </c>
      <c r="F5790" s="5" t="n">
        <v>1893</v>
      </c>
      <c r="G5790" s="5" t="n">
        <v>11264</v>
      </c>
      <c r="H5790" s="5" t="n">
        <v>382</v>
      </c>
      <c r="I5790" s="5" t="n">
        <v>380</v>
      </c>
      <c r="J5790" s="5" t="n">
        <v>2</v>
      </c>
      <c r="K5790" s="10">
        <f>IF(F5790&gt;0,H5790/F5790,"")</f>
        <v/>
      </c>
      <c r="L5790" s="16">
        <f>IF(AND(G5790&gt;0,H5790&gt;0),G5790/H5790,"")</f>
        <v/>
      </c>
    </row>
    <row r="5791">
      <c r="A5791" s="4" t="inlineStr">
        <is>
          <t>292</t>
        </is>
      </c>
      <c r="B5791" s="4" t="n">
        <v>2</v>
      </c>
      <c r="C5791" s="4" t="inlineStr">
        <is>
          <t>mule deer</t>
        </is>
      </c>
      <c r="D5791" s="4" t="n">
        <v>2006</v>
      </c>
      <c r="E5791" s="13" t="inlineStr">
        <is>
          <t>General</t>
        </is>
      </c>
      <c r="F5791" s="5" t="n">
        <v>1888</v>
      </c>
      <c r="G5791" s="5" t="n">
        <v>12156</v>
      </c>
      <c r="H5791" s="5" t="n">
        <v>411</v>
      </c>
      <c r="I5791" s="5" t="n">
        <v>396</v>
      </c>
      <c r="J5791" s="5" t="n">
        <v>15</v>
      </c>
      <c r="K5791" s="10">
        <f>IF(F5791&gt;0,H5791/F5791,"")</f>
        <v/>
      </c>
      <c r="L5791" s="16">
        <f>IF(AND(G5791&gt;0,H5791&gt;0),G5791/H5791,"")</f>
        <v/>
      </c>
    </row>
    <row r="5792">
      <c r="A5792" s="4" t="inlineStr">
        <is>
          <t>292</t>
        </is>
      </c>
      <c r="B5792" s="4" t="n">
        <v>2</v>
      </c>
      <c r="C5792" s="4" t="inlineStr">
        <is>
          <t>mule deer</t>
        </is>
      </c>
      <c r="D5792" s="4" t="n">
        <v>2007</v>
      </c>
      <c r="E5792" s="13" t="inlineStr">
        <is>
          <t>General</t>
        </is>
      </c>
      <c r="F5792" s="5" t="n">
        <v>1998</v>
      </c>
      <c r="G5792" s="5" t="n">
        <v>13662</v>
      </c>
      <c r="H5792" s="5" t="n">
        <v>373</v>
      </c>
      <c r="I5792" s="5" t="n">
        <v>368</v>
      </c>
      <c r="J5792" s="5" t="n">
        <v>5</v>
      </c>
      <c r="K5792" s="10">
        <f>IF(F5792&gt;0,H5792/F5792,"")</f>
        <v/>
      </c>
      <c r="L5792" s="16">
        <f>IF(AND(G5792&gt;0,H5792&gt;0),G5792/H5792,"")</f>
        <v/>
      </c>
    </row>
    <row r="5793">
      <c r="A5793" s="4" t="inlineStr">
        <is>
          <t>292</t>
        </is>
      </c>
      <c r="B5793" s="4" t="n">
        <v>2</v>
      </c>
      <c r="C5793" s="4" t="inlineStr">
        <is>
          <t>mule deer</t>
        </is>
      </c>
      <c r="D5793" s="4" t="n">
        <v>2008</v>
      </c>
      <c r="E5793" s="13" t="inlineStr">
        <is>
          <t>General</t>
        </is>
      </c>
      <c r="F5793" s="5" t="n">
        <v>2061</v>
      </c>
      <c r="G5793" s="5" t="n">
        <v>14852</v>
      </c>
      <c r="H5793" s="5" t="n">
        <v>268</v>
      </c>
      <c r="I5793" s="5" t="n">
        <v>268</v>
      </c>
      <c r="J5793" s="5" t="n">
        <v>0</v>
      </c>
      <c r="K5793" s="10">
        <f>IF(F5793&gt;0,H5793/F5793,"")</f>
        <v/>
      </c>
      <c r="L5793" s="16">
        <f>IF(AND(G5793&gt;0,H5793&gt;0),G5793/H5793,"")</f>
        <v/>
      </c>
    </row>
    <row r="5794">
      <c r="A5794" s="4" t="inlineStr">
        <is>
          <t>292</t>
        </is>
      </c>
      <c r="B5794" s="4" t="n">
        <v>2</v>
      </c>
      <c r="C5794" s="4" t="inlineStr">
        <is>
          <t>mule deer</t>
        </is>
      </c>
      <c r="D5794" s="4" t="n">
        <v>2009</v>
      </c>
      <c r="E5794" s="13" t="inlineStr">
        <is>
          <t>General</t>
        </is>
      </c>
      <c r="F5794" s="5" t="n">
        <v>1491</v>
      </c>
      <c r="G5794" s="5" t="n">
        <v>10293</v>
      </c>
      <c r="H5794" s="5" t="n">
        <v>268</v>
      </c>
      <c r="I5794" s="5" t="n">
        <v>262</v>
      </c>
      <c r="J5794" s="5" t="n">
        <v>6</v>
      </c>
      <c r="K5794" s="10">
        <f>IF(F5794&gt;0,H5794/F5794,"")</f>
        <v/>
      </c>
      <c r="L5794" s="16">
        <f>IF(AND(G5794&gt;0,H5794&gt;0),G5794/H5794,"")</f>
        <v/>
      </c>
    </row>
    <row r="5795">
      <c r="A5795" s="4" t="inlineStr">
        <is>
          <t>292</t>
        </is>
      </c>
      <c r="B5795" s="4" t="n">
        <v>2</v>
      </c>
      <c r="C5795" s="4" t="inlineStr">
        <is>
          <t>mule deer</t>
        </is>
      </c>
      <c r="D5795" s="4" t="n">
        <v>2010</v>
      </c>
      <c r="E5795" s="13" t="inlineStr">
        <is>
          <t>General</t>
        </is>
      </c>
      <c r="F5795" s="5" t="n">
        <v>1320</v>
      </c>
      <c r="G5795" s="5" t="n">
        <v>9005</v>
      </c>
      <c r="H5795" s="5" t="n">
        <v>335</v>
      </c>
      <c r="I5795" s="5" t="n">
        <v>335</v>
      </c>
      <c r="J5795" s="5" t="n">
        <v>0</v>
      </c>
      <c r="K5795" s="10">
        <f>IF(F5795&gt;0,H5795/F5795,"")</f>
        <v/>
      </c>
      <c r="L5795" s="16">
        <f>IF(AND(G5795&gt;0,H5795&gt;0),G5795/H5795,"")</f>
        <v/>
      </c>
    </row>
    <row r="5796">
      <c r="A5796" s="4" t="inlineStr">
        <is>
          <t>292</t>
        </is>
      </c>
      <c r="B5796" s="4" t="n">
        <v>2</v>
      </c>
      <c r="C5796" s="4" t="inlineStr">
        <is>
          <t>mule deer</t>
        </is>
      </c>
      <c r="D5796" s="4" t="n">
        <v>2011</v>
      </c>
      <c r="E5796" s="13" t="inlineStr">
        <is>
          <t>General</t>
        </is>
      </c>
      <c r="F5796" s="5" t="n">
        <v>1489</v>
      </c>
      <c r="G5796" s="5" t="n">
        <v>10101</v>
      </c>
      <c r="H5796" s="5" t="n">
        <v>205</v>
      </c>
      <c r="I5796" s="5" t="n">
        <v>205</v>
      </c>
      <c r="J5796" s="5" t="n">
        <v>0</v>
      </c>
      <c r="K5796" s="10">
        <f>IF(F5796&gt;0,H5796/F5796,"")</f>
        <v/>
      </c>
      <c r="L5796" s="16">
        <f>IF(AND(G5796&gt;0,H5796&gt;0),G5796/H5796,"")</f>
        <v/>
      </c>
    </row>
    <row r="5797">
      <c r="A5797" s="4" t="inlineStr">
        <is>
          <t>292</t>
        </is>
      </c>
      <c r="B5797" s="4" t="n">
        <v>2</v>
      </c>
      <c r="C5797" s="4" t="inlineStr">
        <is>
          <t>mule deer</t>
        </is>
      </c>
      <c r="D5797" s="4" t="n">
        <v>2012</v>
      </c>
      <c r="E5797" s="13" t="inlineStr">
        <is>
          <t>General</t>
        </is>
      </c>
      <c r="F5797" s="5" t="n"/>
      <c r="G5797" s="5" t="n"/>
      <c r="H5797" s="5" t="n">
        <v>255</v>
      </c>
      <c r="I5797" s="5" t="n">
        <v>255</v>
      </c>
      <c r="J5797" s="5" t="n">
        <v>0</v>
      </c>
      <c r="K5797" s="10">
        <f>IF(F5797&gt;0,H5797/F5797,"")</f>
        <v/>
      </c>
      <c r="L5797" s="16">
        <f>IF(AND(G5797&gt;0,H5797&gt;0),G5797/H5797,"")</f>
        <v/>
      </c>
    </row>
    <row r="5798">
      <c r="A5798" s="4" t="inlineStr">
        <is>
          <t>292</t>
        </is>
      </c>
      <c r="B5798" s="4" t="n">
        <v>2</v>
      </c>
      <c r="C5798" s="4" t="inlineStr">
        <is>
          <t>mule deer</t>
        </is>
      </c>
      <c r="D5798" s="4" t="n">
        <v>2013</v>
      </c>
      <c r="E5798" s="13" t="inlineStr">
        <is>
          <t>General</t>
        </is>
      </c>
      <c r="F5798" s="5" t="n">
        <v>1359</v>
      </c>
      <c r="G5798" s="5" t="n">
        <v>9271</v>
      </c>
      <c r="H5798" s="5" t="n">
        <v>198</v>
      </c>
      <c r="I5798" s="5" t="n">
        <v>198</v>
      </c>
      <c r="J5798" s="5" t="n">
        <v>0</v>
      </c>
      <c r="K5798" s="10">
        <f>IF(F5798&gt;0,H5798/F5798,"")</f>
        <v/>
      </c>
      <c r="L5798" s="16">
        <f>IF(AND(G5798&gt;0,H5798&gt;0),G5798/H5798,"")</f>
        <v/>
      </c>
    </row>
    <row r="5799">
      <c r="A5799" s="4" t="inlineStr">
        <is>
          <t>292</t>
        </is>
      </c>
      <c r="B5799" s="4" t="n">
        <v>2</v>
      </c>
      <c r="C5799" s="4" t="inlineStr">
        <is>
          <t>mule deer</t>
        </is>
      </c>
      <c r="D5799" s="4" t="n">
        <v>2014</v>
      </c>
      <c r="E5799" s="13" t="inlineStr">
        <is>
          <t>General</t>
        </is>
      </c>
      <c r="F5799" s="5" t="n"/>
      <c r="G5799" s="5" t="n"/>
      <c r="H5799" s="5" t="n">
        <v>217</v>
      </c>
      <c r="I5799" s="5" t="n">
        <v>216</v>
      </c>
      <c r="J5799" s="5" t="n">
        <v>1</v>
      </c>
      <c r="K5799" s="10">
        <f>IF(F5799&gt;0,H5799/F5799,"")</f>
        <v/>
      </c>
      <c r="L5799" s="16">
        <f>IF(AND(G5799&gt;0,H5799&gt;0),G5799/H5799,"")</f>
        <v/>
      </c>
    </row>
    <row r="5800">
      <c r="A5800" s="4" t="inlineStr">
        <is>
          <t>292</t>
        </is>
      </c>
      <c r="B5800" s="4" t="n">
        <v>2</v>
      </c>
      <c r="C5800" s="4" t="inlineStr">
        <is>
          <t>mule deer</t>
        </is>
      </c>
      <c r="D5800" s="4" t="n">
        <v>2015</v>
      </c>
      <c r="E5800" s="13" t="inlineStr">
        <is>
          <t>General</t>
        </is>
      </c>
      <c r="F5800" s="5" t="n"/>
      <c r="G5800" s="5" t="n"/>
      <c r="H5800" s="5" t="n">
        <v>250</v>
      </c>
      <c r="I5800" s="5" t="n">
        <v>247</v>
      </c>
      <c r="J5800" s="5" t="n">
        <v>3</v>
      </c>
      <c r="K5800" s="10">
        <f>IF(F5800&gt;0,H5800/F5800,"")</f>
        <v/>
      </c>
      <c r="L5800" s="16">
        <f>IF(AND(G5800&gt;0,H5800&gt;0),G5800/H5800,"")</f>
        <v/>
      </c>
    </row>
    <row r="5801">
      <c r="A5801" s="4" t="inlineStr">
        <is>
          <t>292</t>
        </is>
      </c>
      <c r="B5801" s="4" t="n">
        <v>2</v>
      </c>
      <c r="C5801" s="4" t="inlineStr">
        <is>
          <t>mule deer</t>
        </is>
      </c>
      <c r="D5801" s="4" t="n">
        <v>2016</v>
      </c>
      <c r="E5801" s="13" t="inlineStr">
        <is>
          <t>General</t>
        </is>
      </c>
      <c r="F5801" s="5" t="n"/>
      <c r="G5801" s="5" t="n"/>
      <c r="H5801" s="5" t="n">
        <v>219</v>
      </c>
      <c r="I5801" s="5" t="n">
        <v>216</v>
      </c>
      <c r="J5801" s="5" t="n">
        <v>0</v>
      </c>
      <c r="K5801" s="10">
        <f>IF(F5801&gt;0,H5801/F5801,"")</f>
        <v/>
      </c>
      <c r="L5801" s="16">
        <f>IF(AND(G5801&gt;0,H5801&gt;0),G5801/H5801,"")</f>
        <v/>
      </c>
    </row>
    <row r="5802">
      <c r="A5802" s="4" t="inlineStr">
        <is>
          <t>292</t>
        </is>
      </c>
      <c r="B5802" s="4" t="n">
        <v>2</v>
      </c>
      <c r="C5802" s="4" t="inlineStr">
        <is>
          <t>mule deer</t>
        </is>
      </c>
      <c r="D5802" s="4" t="n">
        <v>2017</v>
      </c>
      <c r="E5802" s="13" t="inlineStr">
        <is>
          <t>General</t>
        </is>
      </c>
      <c r="F5802" s="5" t="n">
        <v>1227</v>
      </c>
      <c r="G5802" s="5" t="n">
        <v>7718</v>
      </c>
      <c r="H5802" s="5" t="n">
        <v>211</v>
      </c>
      <c r="I5802" s="5" t="n">
        <v>209</v>
      </c>
      <c r="J5802" s="5" t="n">
        <v>3</v>
      </c>
      <c r="K5802" s="10">
        <f>IF(F5802&gt;0,H5802/F5802,"")</f>
        <v/>
      </c>
      <c r="L5802" s="16">
        <f>IF(AND(G5802&gt;0,H5802&gt;0),G5802/H5802,"")</f>
        <v/>
      </c>
    </row>
    <row r="5803">
      <c r="A5803" s="4" t="inlineStr">
        <is>
          <t>292</t>
        </is>
      </c>
      <c r="B5803" s="4" t="n">
        <v>2</v>
      </c>
      <c r="C5803" s="4" t="inlineStr">
        <is>
          <t>mule deer</t>
        </is>
      </c>
      <c r="D5803" s="4" t="n">
        <v>2018</v>
      </c>
      <c r="E5803" s="13" t="inlineStr">
        <is>
          <t>General</t>
        </is>
      </c>
      <c r="F5803" s="5" t="n"/>
      <c r="G5803" s="5" t="n"/>
      <c r="H5803" s="5" t="n">
        <v>125</v>
      </c>
      <c r="I5803" s="5" t="n">
        <v>125</v>
      </c>
      <c r="J5803" s="5" t="n">
        <v>0</v>
      </c>
      <c r="K5803" s="10">
        <f>IF(F5803&gt;0,H5803/F5803,"")</f>
        <v/>
      </c>
      <c r="L5803" s="16">
        <f>IF(AND(G5803&gt;0,H5803&gt;0),G5803/H5803,"")</f>
        <v/>
      </c>
    </row>
    <row r="5804">
      <c r="A5804" s="4" t="inlineStr">
        <is>
          <t>292</t>
        </is>
      </c>
      <c r="B5804" s="4" t="n">
        <v>2</v>
      </c>
      <c r="C5804" s="4" t="inlineStr">
        <is>
          <t>mule deer</t>
        </is>
      </c>
      <c r="D5804" s="4" t="n">
        <v>2019</v>
      </c>
      <c r="E5804" s="13" t="inlineStr">
        <is>
          <t>General</t>
        </is>
      </c>
      <c r="F5804" s="5" t="n">
        <v>1155</v>
      </c>
      <c r="G5804" s="5" t="n">
        <v>7213</v>
      </c>
      <c r="H5804" s="5" t="n">
        <v>119</v>
      </c>
      <c r="I5804" s="5" t="n">
        <v>116</v>
      </c>
      <c r="J5804" s="5" t="n">
        <v>3</v>
      </c>
      <c r="K5804" s="10">
        <f>IF(F5804&gt;0,H5804/F5804,"")</f>
        <v/>
      </c>
      <c r="L5804" s="16">
        <f>IF(AND(G5804&gt;0,H5804&gt;0),G5804/H5804,"")</f>
        <v/>
      </c>
    </row>
    <row r="5805">
      <c r="A5805" s="4" t="inlineStr">
        <is>
          <t>292</t>
        </is>
      </c>
      <c r="B5805" s="4" t="n">
        <v>2</v>
      </c>
      <c r="C5805" s="4" t="inlineStr">
        <is>
          <t>mule deer</t>
        </is>
      </c>
      <c r="D5805" s="4" t="n">
        <v>2020</v>
      </c>
      <c r="E5805" s="13" t="inlineStr">
        <is>
          <t>General</t>
        </is>
      </c>
      <c r="F5805" s="5" t="n"/>
      <c r="G5805" s="5" t="n"/>
      <c r="H5805" s="5" t="n">
        <v>123</v>
      </c>
      <c r="I5805" s="5" t="n">
        <v>123</v>
      </c>
      <c r="J5805" s="5" t="n">
        <v>0</v>
      </c>
      <c r="K5805" s="10">
        <f>IF(F5805&gt;0,H5805/F5805,"")</f>
        <v/>
      </c>
      <c r="L5805" s="16">
        <f>IF(AND(G5805&gt;0,H5805&gt;0),G5805/H5805,"")</f>
        <v/>
      </c>
    </row>
    <row r="5806">
      <c r="A5806" s="4" t="inlineStr">
        <is>
          <t>292</t>
        </is>
      </c>
      <c r="B5806" s="4" t="n">
        <v>2</v>
      </c>
      <c r="C5806" s="4" t="inlineStr">
        <is>
          <t>mule deer</t>
        </is>
      </c>
      <c r="D5806" s="4" t="n">
        <v>2021</v>
      </c>
      <c r="E5806" s="13" t="inlineStr">
        <is>
          <t>General</t>
        </is>
      </c>
      <c r="F5806" s="5" t="n">
        <v>1128</v>
      </c>
      <c r="G5806" s="5" t="n">
        <v>6775</v>
      </c>
      <c r="H5806" s="5" t="n">
        <v>149</v>
      </c>
      <c r="I5806" s="5" t="n">
        <v>135</v>
      </c>
      <c r="J5806" s="5" t="n">
        <v>14</v>
      </c>
      <c r="K5806" s="10">
        <f>IF(F5806&gt;0,H5806/F5806,"")</f>
        <v/>
      </c>
      <c r="L5806" s="16">
        <f>IF(AND(G5806&gt;0,H5806&gt;0),G5806/H5806,"")</f>
        <v/>
      </c>
    </row>
    <row r="5807">
      <c r="A5807" s="4" t="inlineStr">
        <is>
          <t>292</t>
        </is>
      </c>
      <c r="B5807" s="4" t="n">
        <v>2</v>
      </c>
      <c r="C5807" s="4" t="inlineStr">
        <is>
          <t>mule deer</t>
        </is>
      </c>
      <c r="D5807" s="4" t="n">
        <v>2022</v>
      </c>
      <c r="E5807" s="13" t="inlineStr">
        <is>
          <t>General</t>
        </is>
      </c>
      <c r="F5807" s="5" t="n"/>
      <c r="G5807" s="5" t="n"/>
      <c r="H5807" s="5" t="n">
        <v>112</v>
      </c>
      <c r="I5807" s="5" t="n">
        <v>110</v>
      </c>
      <c r="J5807" s="5" t="n">
        <v>2</v>
      </c>
      <c r="K5807" s="10">
        <f>IF(F5807&gt;0,H5807/F5807,"")</f>
        <v/>
      </c>
      <c r="L5807" s="16">
        <f>IF(AND(G5807&gt;0,H5807&gt;0),G5807/H5807,"")</f>
        <v/>
      </c>
    </row>
    <row r="5808">
      <c r="A5808" s="4" t="inlineStr">
        <is>
          <t>292</t>
        </is>
      </c>
      <c r="B5808" s="4" t="n">
        <v>2</v>
      </c>
      <c r="C5808" s="4" t="inlineStr">
        <is>
          <t>mule deer</t>
        </is>
      </c>
      <c r="D5808" s="4" t="n">
        <v>2023</v>
      </c>
      <c r="E5808" s="13" t="inlineStr">
        <is>
          <t>General</t>
        </is>
      </c>
      <c r="F5808" s="5" t="n">
        <v>1477</v>
      </c>
      <c r="G5808" s="5" t="n">
        <v>8958</v>
      </c>
      <c r="H5808" s="5" t="n">
        <v>158</v>
      </c>
      <c r="I5808" s="5" t="n">
        <v>158</v>
      </c>
      <c r="J5808" s="5" t="n">
        <v>0</v>
      </c>
      <c r="K5808" s="10">
        <f>IF(F5808&gt;0,H5808/F5808,"")</f>
        <v/>
      </c>
      <c r="L5808" s="16">
        <f>IF(AND(G5808&gt;0,H5808&gt;0),G5808/H5808,"")</f>
        <v/>
      </c>
    </row>
    <row r="5809">
      <c r="A5809" s="4" t="inlineStr">
        <is>
          <t>292</t>
        </is>
      </c>
      <c r="B5809" s="4" t="n">
        <v>2</v>
      </c>
      <c r="C5809" s="4" t="inlineStr">
        <is>
          <t>mule deer</t>
        </is>
      </c>
      <c r="D5809" s="4" t="n">
        <v>2024</v>
      </c>
      <c r="E5809" s="13" t="inlineStr">
        <is>
          <t>General</t>
        </is>
      </c>
      <c r="F5809" s="5" t="n"/>
      <c r="G5809" s="5" t="n"/>
      <c r="H5809" s="5" t="n">
        <v>235</v>
      </c>
      <c r="I5809" s="5" t="n">
        <v>235</v>
      </c>
      <c r="J5809" s="5" t="n">
        <v>0</v>
      </c>
      <c r="K5809" s="10">
        <f>IF(F5809&gt;0,H5809/F5809,"")</f>
        <v/>
      </c>
      <c r="L5809" s="16">
        <f>IF(AND(G5809&gt;0,H5809&gt;0),G5809/H5809,"")</f>
        <v/>
      </c>
    </row>
    <row r="5810">
      <c r="A5810" s="4" t="inlineStr">
        <is>
          <t>292</t>
        </is>
      </c>
      <c r="B5810" s="4" t="n">
        <v>2</v>
      </c>
      <c r="C5810" s="4" t="inlineStr">
        <is>
          <t>mule deer</t>
        </is>
      </c>
      <c r="D5810" s="4" t="n">
        <v>2025</v>
      </c>
      <c r="E5810" s="13" t="inlineStr">
        <is>
          <t>General</t>
        </is>
      </c>
      <c r="F5810" s="5" t="n">
        <v>1492</v>
      </c>
      <c r="G5810" s="5" t="n">
        <v>9373</v>
      </c>
      <c r="H5810" s="5" t="n">
        <v>242</v>
      </c>
      <c r="I5810" s="5" t="n">
        <v>242</v>
      </c>
      <c r="J5810" s="5" t="n">
        <v>0</v>
      </c>
      <c r="K5810" s="10">
        <f>IF(F5810&gt;0,H5810/F5810,"")</f>
        <v/>
      </c>
      <c r="L5810" s="16">
        <f>IF(AND(G5810&gt;0,H5810&gt;0),G5810/H5810,"")</f>
        <v/>
      </c>
    </row>
    <row r="5811">
      <c r="A5811" s="4" t="inlineStr">
        <is>
          <t>293</t>
        </is>
      </c>
      <c r="B5811" s="4" t="n">
        <v>2</v>
      </c>
      <c r="C5811" s="4" t="inlineStr">
        <is>
          <t>mule deer</t>
        </is>
      </c>
      <c r="D5811" s="4" t="n">
        <v>2004</v>
      </c>
      <c r="E5811" s="13" t="inlineStr">
        <is>
          <t>General</t>
        </is>
      </c>
      <c r="F5811" s="5" t="n">
        <v>1028</v>
      </c>
      <c r="G5811" s="5" t="n">
        <v>6188</v>
      </c>
      <c r="H5811" s="5" t="n">
        <v>182</v>
      </c>
      <c r="I5811" s="5" t="n">
        <v>182</v>
      </c>
      <c r="J5811" s="5" t="n">
        <v>0</v>
      </c>
      <c r="K5811" s="10">
        <f>IF(F5811&gt;0,H5811/F5811,"")</f>
        <v/>
      </c>
      <c r="L5811" s="16">
        <f>IF(AND(G5811&gt;0,H5811&gt;0),G5811/H5811,"")</f>
        <v/>
      </c>
    </row>
    <row r="5812">
      <c r="A5812" s="4" t="inlineStr">
        <is>
          <t>293</t>
        </is>
      </c>
      <c r="B5812" s="4" t="n">
        <v>2</v>
      </c>
      <c r="C5812" s="4" t="inlineStr">
        <is>
          <t>mule deer</t>
        </is>
      </c>
      <c r="D5812" s="4" t="n">
        <v>2005</v>
      </c>
      <c r="E5812" s="13" t="inlineStr">
        <is>
          <t>General</t>
        </is>
      </c>
      <c r="F5812" s="5" t="n">
        <v>1121</v>
      </c>
      <c r="G5812" s="5" t="n">
        <v>7052</v>
      </c>
      <c r="H5812" s="5" t="n">
        <v>200</v>
      </c>
      <c r="I5812" s="5" t="n">
        <v>195</v>
      </c>
      <c r="J5812" s="5" t="n">
        <v>4</v>
      </c>
      <c r="K5812" s="10">
        <f>IF(F5812&gt;0,H5812/F5812,"")</f>
        <v/>
      </c>
      <c r="L5812" s="16">
        <f>IF(AND(G5812&gt;0,H5812&gt;0),G5812/H5812,"")</f>
        <v/>
      </c>
    </row>
    <row r="5813">
      <c r="A5813" s="4" t="inlineStr">
        <is>
          <t>293</t>
        </is>
      </c>
      <c r="B5813" s="4" t="n">
        <v>2</v>
      </c>
      <c r="C5813" s="4" t="inlineStr">
        <is>
          <t>mule deer</t>
        </is>
      </c>
      <c r="D5813" s="4" t="n">
        <v>2006</v>
      </c>
      <c r="E5813" s="13" t="inlineStr">
        <is>
          <t>General</t>
        </is>
      </c>
      <c r="F5813" s="5" t="n">
        <v>1283</v>
      </c>
      <c r="G5813" s="5" t="n">
        <v>8366</v>
      </c>
      <c r="H5813" s="5" t="n">
        <v>249</v>
      </c>
      <c r="I5813" s="5" t="n">
        <v>238</v>
      </c>
      <c r="J5813" s="5" t="n">
        <v>7</v>
      </c>
      <c r="K5813" s="10">
        <f>IF(F5813&gt;0,H5813/F5813,"")</f>
        <v/>
      </c>
      <c r="L5813" s="16">
        <f>IF(AND(G5813&gt;0,H5813&gt;0),G5813/H5813,"")</f>
        <v/>
      </c>
    </row>
    <row r="5814">
      <c r="A5814" s="4" t="inlineStr">
        <is>
          <t>293</t>
        </is>
      </c>
      <c r="B5814" s="4" t="n">
        <v>2</v>
      </c>
      <c r="C5814" s="4" t="inlineStr">
        <is>
          <t>mule deer</t>
        </is>
      </c>
      <c r="D5814" s="4" t="n">
        <v>2007</v>
      </c>
      <c r="E5814" s="13" t="inlineStr">
        <is>
          <t>General</t>
        </is>
      </c>
      <c r="F5814" s="5" t="n">
        <v>1108</v>
      </c>
      <c r="G5814" s="5" t="n">
        <v>7691</v>
      </c>
      <c r="H5814" s="5" t="n">
        <v>146</v>
      </c>
      <c r="I5814" s="5" t="n">
        <v>142</v>
      </c>
      <c r="J5814" s="5" t="n">
        <v>5</v>
      </c>
      <c r="K5814" s="10">
        <f>IF(F5814&gt;0,H5814/F5814,"")</f>
        <v/>
      </c>
      <c r="L5814" s="16">
        <f>IF(AND(G5814&gt;0,H5814&gt;0),G5814/H5814,"")</f>
        <v/>
      </c>
    </row>
    <row r="5815">
      <c r="A5815" s="4" t="inlineStr">
        <is>
          <t>293</t>
        </is>
      </c>
      <c r="B5815" s="4" t="n">
        <v>2</v>
      </c>
      <c r="C5815" s="4" t="inlineStr">
        <is>
          <t>mule deer</t>
        </is>
      </c>
      <c r="D5815" s="4" t="n">
        <v>2008</v>
      </c>
      <c r="E5815" s="13" t="inlineStr">
        <is>
          <t>General</t>
        </is>
      </c>
      <c r="F5815" s="5" t="n">
        <v>1291</v>
      </c>
      <c r="G5815" s="5" t="n">
        <v>9074</v>
      </c>
      <c r="H5815" s="5" t="n">
        <v>152</v>
      </c>
      <c r="I5815" s="5" t="n">
        <v>147</v>
      </c>
      <c r="J5815" s="5" t="n">
        <v>5</v>
      </c>
      <c r="K5815" s="10">
        <f>IF(F5815&gt;0,H5815/F5815,"")</f>
        <v/>
      </c>
      <c r="L5815" s="16">
        <f>IF(AND(G5815&gt;0,H5815&gt;0),G5815/H5815,"")</f>
        <v/>
      </c>
    </row>
    <row r="5816">
      <c r="A5816" s="4" t="inlineStr">
        <is>
          <t>293</t>
        </is>
      </c>
      <c r="B5816" s="4" t="n">
        <v>2</v>
      </c>
      <c r="C5816" s="4" t="inlineStr">
        <is>
          <t>mule deer</t>
        </is>
      </c>
      <c r="D5816" s="4" t="n">
        <v>2009</v>
      </c>
      <c r="E5816" s="13" t="inlineStr">
        <is>
          <t>General</t>
        </is>
      </c>
      <c r="F5816" s="5" t="n">
        <v>1210</v>
      </c>
      <c r="G5816" s="5" t="n">
        <v>8800</v>
      </c>
      <c r="H5816" s="5" t="n">
        <v>119</v>
      </c>
      <c r="I5816" s="5" t="n">
        <v>116</v>
      </c>
      <c r="J5816" s="5" t="n">
        <v>3</v>
      </c>
      <c r="K5816" s="10">
        <f>IF(F5816&gt;0,H5816/F5816,"")</f>
        <v/>
      </c>
      <c r="L5816" s="16">
        <f>IF(AND(G5816&gt;0,H5816&gt;0),G5816/H5816,"")</f>
        <v/>
      </c>
    </row>
    <row r="5817">
      <c r="A5817" s="4" t="inlineStr">
        <is>
          <t>293</t>
        </is>
      </c>
      <c r="B5817" s="4" t="n">
        <v>2</v>
      </c>
      <c r="C5817" s="4" t="inlineStr">
        <is>
          <t>mule deer</t>
        </is>
      </c>
      <c r="D5817" s="4" t="n">
        <v>2010</v>
      </c>
      <c r="E5817" s="13" t="inlineStr">
        <is>
          <t>General</t>
        </is>
      </c>
      <c r="F5817" s="5" t="n">
        <v>1088</v>
      </c>
      <c r="G5817" s="5" t="n">
        <v>7861</v>
      </c>
      <c r="H5817" s="5" t="n">
        <v>155</v>
      </c>
      <c r="I5817" s="5" t="n">
        <v>153</v>
      </c>
      <c r="J5817" s="5" t="n">
        <v>2</v>
      </c>
      <c r="K5817" s="10">
        <f>IF(F5817&gt;0,H5817/F5817,"")</f>
        <v/>
      </c>
      <c r="L5817" s="16">
        <f>IF(AND(G5817&gt;0,H5817&gt;0),G5817/H5817,"")</f>
        <v/>
      </c>
    </row>
    <row r="5818">
      <c r="A5818" s="4" t="inlineStr">
        <is>
          <t>293</t>
        </is>
      </c>
      <c r="B5818" s="4" t="n">
        <v>2</v>
      </c>
      <c r="C5818" s="4" t="inlineStr">
        <is>
          <t>mule deer</t>
        </is>
      </c>
      <c r="D5818" s="4" t="n">
        <v>2011</v>
      </c>
      <c r="E5818" s="13" t="inlineStr">
        <is>
          <t>General</t>
        </is>
      </c>
      <c r="F5818" s="5" t="n">
        <v>1213</v>
      </c>
      <c r="G5818" s="5" t="n">
        <v>7771</v>
      </c>
      <c r="H5818" s="5" t="n">
        <v>121</v>
      </c>
      <c r="I5818" s="5" t="n">
        <v>115</v>
      </c>
      <c r="J5818" s="5" t="n">
        <v>6</v>
      </c>
      <c r="K5818" s="10">
        <f>IF(F5818&gt;0,H5818/F5818,"")</f>
        <v/>
      </c>
      <c r="L5818" s="16">
        <f>IF(AND(G5818&gt;0,H5818&gt;0),G5818/H5818,"")</f>
        <v/>
      </c>
    </row>
    <row r="5819">
      <c r="A5819" s="4" t="inlineStr">
        <is>
          <t>293</t>
        </is>
      </c>
      <c r="B5819" s="4" t="n">
        <v>2</v>
      </c>
      <c r="C5819" s="4" t="inlineStr">
        <is>
          <t>mule deer</t>
        </is>
      </c>
      <c r="D5819" s="4" t="n">
        <v>2012</v>
      </c>
      <c r="E5819" s="13" t="inlineStr">
        <is>
          <t>General</t>
        </is>
      </c>
      <c r="F5819" s="5" t="n"/>
      <c r="G5819" s="5" t="n"/>
      <c r="H5819" s="5" t="n">
        <v>98</v>
      </c>
      <c r="I5819" s="5" t="n">
        <v>95</v>
      </c>
      <c r="J5819" s="5" t="n">
        <v>4</v>
      </c>
      <c r="K5819" s="10">
        <f>IF(F5819&gt;0,H5819/F5819,"")</f>
        <v/>
      </c>
      <c r="L5819" s="16">
        <f>IF(AND(G5819&gt;0,H5819&gt;0),G5819/H5819,"")</f>
        <v/>
      </c>
    </row>
    <row r="5820">
      <c r="A5820" s="4" t="inlineStr">
        <is>
          <t>293</t>
        </is>
      </c>
      <c r="B5820" s="4" t="n">
        <v>2</v>
      </c>
      <c r="C5820" s="4" t="inlineStr">
        <is>
          <t>mule deer</t>
        </is>
      </c>
      <c r="D5820" s="4" t="n">
        <v>2013</v>
      </c>
      <c r="E5820" s="13" t="inlineStr">
        <is>
          <t>General</t>
        </is>
      </c>
      <c r="F5820" s="5" t="n">
        <v>1235</v>
      </c>
      <c r="G5820" s="5" t="n">
        <v>8714</v>
      </c>
      <c r="H5820" s="5" t="n">
        <v>105</v>
      </c>
      <c r="I5820" s="5" t="n">
        <v>99</v>
      </c>
      <c r="J5820" s="5" t="n">
        <v>6</v>
      </c>
      <c r="K5820" s="10">
        <f>IF(F5820&gt;0,H5820/F5820,"")</f>
        <v/>
      </c>
      <c r="L5820" s="16">
        <f>IF(AND(G5820&gt;0,H5820&gt;0),G5820/H5820,"")</f>
        <v/>
      </c>
    </row>
    <row r="5821">
      <c r="A5821" s="4" t="inlineStr">
        <is>
          <t>293</t>
        </is>
      </c>
      <c r="B5821" s="4" t="n">
        <v>2</v>
      </c>
      <c r="C5821" s="4" t="inlineStr">
        <is>
          <t>mule deer</t>
        </is>
      </c>
      <c r="D5821" s="4" t="n">
        <v>2014</v>
      </c>
      <c r="E5821" s="13" t="inlineStr">
        <is>
          <t>General</t>
        </is>
      </c>
      <c r="F5821" s="5" t="n"/>
      <c r="G5821" s="5" t="n"/>
      <c r="H5821" s="5" t="n">
        <v>130</v>
      </c>
      <c r="I5821" s="5" t="n">
        <v>130</v>
      </c>
      <c r="J5821" s="5" t="n">
        <v>0</v>
      </c>
      <c r="K5821" s="10">
        <f>IF(F5821&gt;0,H5821/F5821,"")</f>
        <v/>
      </c>
      <c r="L5821" s="16">
        <f>IF(AND(G5821&gt;0,H5821&gt;0),G5821/H5821,"")</f>
        <v/>
      </c>
    </row>
    <row r="5822">
      <c r="A5822" s="4" t="inlineStr">
        <is>
          <t>293</t>
        </is>
      </c>
      <c r="B5822" s="4" t="n">
        <v>2</v>
      </c>
      <c r="C5822" s="4" t="inlineStr">
        <is>
          <t>mule deer</t>
        </is>
      </c>
      <c r="D5822" s="4" t="n">
        <v>2015</v>
      </c>
      <c r="E5822" s="13" t="inlineStr">
        <is>
          <t>General</t>
        </is>
      </c>
      <c r="F5822" s="5" t="n"/>
      <c r="G5822" s="5" t="n"/>
      <c r="H5822" s="5" t="n">
        <v>192</v>
      </c>
      <c r="I5822" s="5" t="n">
        <v>189</v>
      </c>
      <c r="J5822" s="5" t="n">
        <v>3</v>
      </c>
      <c r="K5822" s="10">
        <f>IF(F5822&gt;0,H5822/F5822,"")</f>
        <v/>
      </c>
      <c r="L5822" s="16">
        <f>IF(AND(G5822&gt;0,H5822&gt;0),G5822/H5822,"")</f>
        <v/>
      </c>
    </row>
    <row r="5823">
      <c r="A5823" s="4" t="inlineStr">
        <is>
          <t>293</t>
        </is>
      </c>
      <c r="B5823" s="4" t="n">
        <v>2</v>
      </c>
      <c r="C5823" s="4" t="inlineStr">
        <is>
          <t>mule deer</t>
        </is>
      </c>
      <c r="D5823" s="4" t="n">
        <v>2016</v>
      </c>
      <c r="E5823" s="13" t="inlineStr">
        <is>
          <t>General</t>
        </is>
      </c>
      <c r="F5823" s="5" t="n"/>
      <c r="G5823" s="5" t="n"/>
      <c r="H5823" s="5" t="n">
        <v>189</v>
      </c>
      <c r="I5823" s="5" t="n">
        <v>182</v>
      </c>
      <c r="J5823" s="5" t="n">
        <v>6</v>
      </c>
      <c r="K5823" s="10">
        <f>IF(F5823&gt;0,H5823/F5823,"")</f>
        <v/>
      </c>
      <c r="L5823" s="16">
        <f>IF(AND(G5823&gt;0,H5823&gt;0),G5823/H5823,"")</f>
        <v/>
      </c>
    </row>
    <row r="5824">
      <c r="A5824" s="4" t="inlineStr">
        <is>
          <t>293</t>
        </is>
      </c>
      <c r="B5824" s="4" t="n">
        <v>2</v>
      </c>
      <c r="C5824" s="4" t="inlineStr">
        <is>
          <t>mule deer</t>
        </is>
      </c>
      <c r="D5824" s="4" t="n">
        <v>2017</v>
      </c>
      <c r="E5824" s="13" t="inlineStr">
        <is>
          <t>General</t>
        </is>
      </c>
      <c r="F5824" s="5" t="n">
        <v>1001</v>
      </c>
      <c r="G5824" s="5" t="n">
        <v>6257</v>
      </c>
      <c r="H5824" s="5" t="n">
        <v>89</v>
      </c>
      <c r="I5824" s="5" t="n">
        <v>86</v>
      </c>
      <c r="J5824" s="5" t="n">
        <v>3</v>
      </c>
      <c r="K5824" s="10">
        <f>IF(F5824&gt;0,H5824/F5824,"")</f>
        <v/>
      </c>
      <c r="L5824" s="16">
        <f>IF(AND(G5824&gt;0,H5824&gt;0),G5824/H5824,"")</f>
        <v/>
      </c>
    </row>
    <row r="5825">
      <c r="A5825" s="4" t="inlineStr">
        <is>
          <t>293</t>
        </is>
      </c>
      <c r="B5825" s="4" t="n">
        <v>2</v>
      </c>
      <c r="C5825" s="4" t="inlineStr">
        <is>
          <t>mule deer</t>
        </is>
      </c>
      <c r="D5825" s="4" t="n">
        <v>2018</v>
      </c>
      <c r="E5825" s="13" t="inlineStr">
        <is>
          <t>General</t>
        </is>
      </c>
      <c r="F5825" s="5" t="n"/>
      <c r="G5825" s="5" t="n"/>
      <c r="H5825" s="5" t="n">
        <v>52</v>
      </c>
      <c r="I5825" s="5" t="n">
        <v>48</v>
      </c>
      <c r="J5825" s="5" t="n">
        <v>5</v>
      </c>
      <c r="K5825" s="10">
        <f>IF(F5825&gt;0,H5825/F5825,"")</f>
        <v/>
      </c>
      <c r="L5825" s="16">
        <f>IF(AND(G5825&gt;0,H5825&gt;0),G5825/H5825,"")</f>
        <v/>
      </c>
    </row>
    <row r="5826">
      <c r="A5826" s="4" t="inlineStr">
        <is>
          <t>293</t>
        </is>
      </c>
      <c r="B5826" s="4" t="n">
        <v>2</v>
      </c>
      <c r="C5826" s="4" t="inlineStr">
        <is>
          <t>mule deer</t>
        </is>
      </c>
      <c r="D5826" s="4" t="n">
        <v>2019</v>
      </c>
      <c r="E5826" s="13" t="inlineStr">
        <is>
          <t>General</t>
        </is>
      </c>
      <c r="F5826" s="5" t="n">
        <v>886</v>
      </c>
      <c r="G5826" s="5" t="n">
        <v>5809</v>
      </c>
      <c r="H5826" s="5" t="n">
        <v>50</v>
      </c>
      <c r="I5826" s="5" t="n">
        <v>50</v>
      </c>
      <c r="J5826" s="5" t="n">
        <v>0</v>
      </c>
      <c r="K5826" s="10">
        <f>IF(F5826&gt;0,H5826/F5826,"")</f>
        <v/>
      </c>
      <c r="L5826" s="16">
        <f>IF(AND(G5826&gt;0,H5826&gt;0),G5826/H5826,"")</f>
        <v/>
      </c>
    </row>
    <row r="5827">
      <c r="A5827" s="4" t="inlineStr">
        <is>
          <t>293</t>
        </is>
      </c>
      <c r="B5827" s="4" t="n">
        <v>2</v>
      </c>
      <c r="C5827" s="4" t="inlineStr">
        <is>
          <t>mule deer</t>
        </is>
      </c>
      <c r="D5827" s="4" t="n">
        <v>2020</v>
      </c>
      <c r="E5827" s="13" t="inlineStr">
        <is>
          <t>General</t>
        </is>
      </c>
      <c r="F5827" s="5" t="n"/>
      <c r="G5827" s="5" t="n"/>
      <c r="H5827" s="5" t="n">
        <v>54</v>
      </c>
      <c r="I5827" s="5" t="n">
        <v>54</v>
      </c>
      <c r="J5827" s="5" t="n">
        <v>0</v>
      </c>
      <c r="K5827" s="10">
        <f>IF(F5827&gt;0,H5827/F5827,"")</f>
        <v/>
      </c>
      <c r="L5827" s="16">
        <f>IF(AND(G5827&gt;0,H5827&gt;0),G5827/H5827,"")</f>
        <v/>
      </c>
    </row>
    <row r="5828">
      <c r="A5828" s="4" t="inlineStr">
        <is>
          <t>293</t>
        </is>
      </c>
      <c r="B5828" s="4" t="n">
        <v>2</v>
      </c>
      <c r="C5828" s="4" t="inlineStr">
        <is>
          <t>mule deer</t>
        </is>
      </c>
      <c r="D5828" s="4" t="n">
        <v>2021</v>
      </c>
      <c r="E5828" s="13" t="inlineStr">
        <is>
          <t>General</t>
        </is>
      </c>
      <c r="F5828" s="5" t="n">
        <v>977</v>
      </c>
      <c r="G5828" s="5" t="n">
        <v>6663</v>
      </c>
      <c r="H5828" s="5" t="n">
        <v>50</v>
      </c>
      <c r="I5828" s="5" t="n">
        <v>50</v>
      </c>
      <c r="J5828" s="5" t="n">
        <v>0</v>
      </c>
      <c r="K5828" s="10">
        <f>IF(F5828&gt;0,H5828/F5828,"")</f>
        <v/>
      </c>
      <c r="L5828" s="16">
        <f>IF(AND(G5828&gt;0,H5828&gt;0),G5828/H5828,"")</f>
        <v/>
      </c>
    </row>
    <row r="5829">
      <c r="A5829" s="4" t="inlineStr">
        <is>
          <t>293</t>
        </is>
      </c>
      <c r="B5829" s="4" t="n">
        <v>2</v>
      </c>
      <c r="C5829" s="4" t="inlineStr">
        <is>
          <t>mule deer</t>
        </is>
      </c>
      <c r="D5829" s="4" t="n">
        <v>2022</v>
      </c>
      <c r="E5829" s="13" t="inlineStr">
        <is>
          <t>General</t>
        </is>
      </c>
      <c r="F5829" s="5" t="n"/>
      <c r="G5829" s="5" t="n"/>
      <c r="H5829" s="5" t="n">
        <v>81</v>
      </c>
      <c r="I5829" s="5" t="n">
        <v>81</v>
      </c>
      <c r="J5829" s="5" t="n">
        <v>0</v>
      </c>
      <c r="K5829" s="10">
        <f>IF(F5829&gt;0,H5829/F5829,"")</f>
        <v/>
      </c>
      <c r="L5829" s="16">
        <f>IF(AND(G5829&gt;0,H5829&gt;0),G5829/H5829,"")</f>
        <v/>
      </c>
    </row>
    <row r="5830">
      <c r="A5830" s="4" t="inlineStr">
        <is>
          <t>293</t>
        </is>
      </c>
      <c r="B5830" s="4" t="n">
        <v>2</v>
      </c>
      <c r="C5830" s="4" t="inlineStr">
        <is>
          <t>mule deer</t>
        </is>
      </c>
      <c r="D5830" s="4" t="n">
        <v>2023</v>
      </c>
      <c r="E5830" s="13" t="inlineStr">
        <is>
          <t>General</t>
        </is>
      </c>
      <c r="F5830" s="5" t="n">
        <v>1061</v>
      </c>
      <c r="G5830" s="5" t="n">
        <v>7106</v>
      </c>
      <c r="H5830" s="5" t="n">
        <v>83</v>
      </c>
      <c r="I5830" s="5" t="n">
        <v>80</v>
      </c>
      <c r="J5830" s="5" t="n">
        <v>3</v>
      </c>
      <c r="K5830" s="10">
        <f>IF(F5830&gt;0,H5830/F5830,"")</f>
        <v/>
      </c>
      <c r="L5830" s="16">
        <f>IF(AND(G5830&gt;0,H5830&gt;0),G5830/H5830,"")</f>
        <v/>
      </c>
    </row>
    <row r="5831">
      <c r="A5831" s="4" t="inlineStr">
        <is>
          <t>293</t>
        </is>
      </c>
      <c r="B5831" s="4" t="n">
        <v>2</v>
      </c>
      <c r="C5831" s="4" t="inlineStr">
        <is>
          <t>mule deer</t>
        </is>
      </c>
      <c r="D5831" s="4" t="n">
        <v>2024</v>
      </c>
      <c r="E5831" s="13" t="inlineStr">
        <is>
          <t>General</t>
        </is>
      </c>
      <c r="F5831" s="5" t="n"/>
      <c r="G5831" s="5" t="n"/>
      <c r="H5831" s="5" t="n">
        <v>60</v>
      </c>
      <c r="I5831" s="5" t="n">
        <v>60</v>
      </c>
      <c r="J5831" s="5" t="n">
        <v>0</v>
      </c>
      <c r="K5831" s="10">
        <f>IF(F5831&gt;0,H5831/F5831,"")</f>
        <v/>
      </c>
      <c r="L5831" s="16">
        <f>IF(AND(G5831&gt;0,H5831&gt;0),G5831/H5831,"")</f>
        <v/>
      </c>
    </row>
    <row r="5832">
      <c r="A5832" s="4" t="inlineStr">
        <is>
          <t>293</t>
        </is>
      </c>
      <c r="B5832" s="4" t="n">
        <v>2</v>
      </c>
      <c r="C5832" s="4" t="inlineStr">
        <is>
          <t>mule deer</t>
        </is>
      </c>
      <c r="D5832" s="4" t="n">
        <v>2025</v>
      </c>
      <c r="E5832" s="13" t="inlineStr">
        <is>
          <t>General</t>
        </is>
      </c>
      <c r="F5832" s="5" t="n">
        <v>1065</v>
      </c>
      <c r="G5832" s="5" t="n">
        <v>7835</v>
      </c>
      <c r="H5832" s="5" t="n">
        <v>66</v>
      </c>
      <c r="I5832" s="5" t="n">
        <v>66</v>
      </c>
      <c r="J5832" s="5" t="n">
        <v>0</v>
      </c>
      <c r="K5832" s="10">
        <f>IF(F5832&gt;0,H5832/F5832,"")</f>
        <v/>
      </c>
      <c r="L5832" s="16">
        <f>IF(AND(G5832&gt;0,H5832&gt;0),G5832/H5832,"")</f>
        <v/>
      </c>
    </row>
    <row r="5833">
      <c r="A5833" s="4" t="inlineStr">
        <is>
          <t>298</t>
        </is>
      </c>
      <c r="B5833" s="4" t="n">
        <v>2</v>
      </c>
      <c r="C5833" s="4" t="inlineStr">
        <is>
          <t>mule deer</t>
        </is>
      </c>
      <c r="D5833" s="4" t="n">
        <v>2008</v>
      </c>
      <c r="E5833" s="13" t="inlineStr">
        <is>
          <t>General</t>
        </is>
      </c>
      <c r="F5833" s="5" t="n">
        <v>421</v>
      </c>
      <c r="G5833" s="5" t="n">
        <v>2552</v>
      </c>
      <c r="H5833" s="5" t="n">
        <v>62</v>
      </c>
      <c r="I5833" s="5" t="n">
        <v>58</v>
      </c>
      <c r="J5833" s="5" t="n">
        <v>3</v>
      </c>
      <c r="K5833" s="10">
        <f>IF(F5833&gt;0,H5833/F5833,"")</f>
        <v/>
      </c>
      <c r="L5833" s="16">
        <f>IF(AND(G5833&gt;0,H5833&gt;0),G5833/H5833,"")</f>
        <v/>
      </c>
    </row>
    <row r="5834">
      <c r="A5834" s="4" t="inlineStr">
        <is>
          <t>298</t>
        </is>
      </c>
      <c r="B5834" s="4" t="n">
        <v>2</v>
      </c>
      <c r="C5834" s="4" t="inlineStr">
        <is>
          <t>mule deer</t>
        </is>
      </c>
      <c r="D5834" s="4" t="n">
        <v>2009</v>
      </c>
      <c r="E5834" s="13" t="inlineStr">
        <is>
          <t>General</t>
        </is>
      </c>
      <c r="F5834" s="5" t="n">
        <v>342</v>
      </c>
      <c r="G5834" s="5" t="n">
        <v>2434</v>
      </c>
      <c r="H5834" s="5" t="n">
        <v>115</v>
      </c>
      <c r="I5834" s="5" t="n">
        <v>113</v>
      </c>
      <c r="J5834" s="5" t="n">
        <v>2</v>
      </c>
      <c r="K5834" s="10">
        <f>IF(F5834&gt;0,H5834/F5834,"")</f>
        <v/>
      </c>
      <c r="L5834" s="16">
        <f>IF(AND(G5834&gt;0,H5834&gt;0),G5834/H5834,"")</f>
        <v/>
      </c>
    </row>
    <row r="5835">
      <c r="A5835" s="4" t="inlineStr">
        <is>
          <t>298</t>
        </is>
      </c>
      <c r="B5835" s="4" t="n">
        <v>2</v>
      </c>
      <c r="C5835" s="4" t="inlineStr">
        <is>
          <t>mule deer</t>
        </is>
      </c>
      <c r="D5835" s="4" t="n">
        <v>2010</v>
      </c>
      <c r="E5835" s="13" t="inlineStr">
        <is>
          <t>General</t>
        </is>
      </c>
      <c r="F5835" s="5" t="n">
        <v>329</v>
      </c>
      <c r="G5835" s="5" t="n">
        <v>2010</v>
      </c>
      <c r="H5835" s="5" t="n">
        <v>19</v>
      </c>
      <c r="I5835" s="5" t="n">
        <v>19</v>
      </c>
      <c r="J5835" s="5" t="n">
        <v>0</v>
      </c>
      <c r="K5835" s="10">
        <f>IF(F5835&gt;0,H5835/F5835,"")</f>
        <v/>
      </c>
      <c r="L5835" s="16">
        <f>IF(AND(G5835&gt;0,H5835&gt;0),G5835/H5835,"")</f>
        <v/>
      </c>
    </row>
    <row r="5836">
      <c r="A5836" s="4" t="inlineStr">
        <is>
          <t>298</t>
        </is>
      </c>
      <c r="B5836" s="4" t="n">
        <v>2</v>
      </c>
      <c r="C5836" s="4" t="inlineStr">
        <is>
          <t>mule deer</t>
        </is>
      </c>
      <c r="D5836" s="4" t="n">
        <v>2011</v>
      </c>
      <c r="E5836" s="13" t="inlineStr">
        <is>
          <t>General</t>
        </is>
      </c>
      <c r="F5836" s="5" t="n">
        <v>389</v>
      </c>
      <c r="G5836" s="5" t="n">
        <v>2057</v>
      </c>
      <c r="H5836" s="5" t="n">
        <v>56</v>
      </c>
      <c r="I5836" s="5" t="n">
        <v>56</v>
      </c>
      <c r="J5836" s="5" t="n">
        <v>0</v>
      </c>
      <c r="K5836" s="10">
        <f>IF(F5836&gt;0,H5836/F5836,"")</f>
        <v/>
      </c>
      <c r="L5836" s="16">
        <f>IF(AND(G5836&gt;0,H5836&gt;0),G5836/H5836,"")</f>
        <v/>
      </c>
    </row>
    <row r="5837">
      <c r="A5837" s="4" t="inlineStr">
        <is>
          <t>298</t>
        </is>
      </c>
      <c r="B5837" s="4" t="n">
        <v>2</v>
      </c>
      <c r="C5837" s="4" t="inlineStr">
        <is>
          <t>mule deer</t>
        </is>
      </c>
      <c r="D5837" s="4" t="n">
        <v>2012</v>
      </c>
      <c r="E5837" s="13" t="inlineStr">
        <is>
          <t>General</t>
        </is>
      </c>
      <c r="F5837" s="5" t="n"/>
      <c r="G5837" s="5" t="n"/>
      <c r="H5837" s="5" t="n">
        <v>36</v>
      </c>
      <c r="I5837" s="5" t="n">
        <v>36</v>
      </c>
      <c r="J5837" s="5" t="n">
        <v>0</v>
      </c>
      <c r="K5837" s="10">
        <f>IF(F5837&gt;0,H5837/F5837,"")</f>
        <v/>
      </c>
      <c r="L5837" s="16">
        <f>IF(AND(G5837&gt;0,H5837&gt;0),G5837/H5837,"")</f>
        <v/>
      </c>
    </row>
    <row r="5838">
      <c r="A5838" s="4" t="inlineStr">
        <is>
          <t>298</t>
        </is>
      </c>
      <c r="B5838" s="4" t="n">
        <v>2</v>
      </c>
      <c r="C5838" s="4" t="inlineStr">
        <is>
          <t>mule deer</t>
        </is>
      </c>
      <c r="D5838" s="4" t="n">
        <v>2013</v>
      </c>
      <c r="E5838" s="13" t="inlineStr">
        <is>
          <t>General</t>
        </is>
      </c>
      <c r="F5838" s="5" t="n">
        <v>472</v>
      </c>
      <c r="G5838" s="5" t="n">
        <v>2646</v>
      </c>
      <c r="H5838" s="5" t="n">
        <v>39</v>
      </c>
      <c r="I5838" s="5" t="n">
        <v>39</v>
      </c>
      <c r="J5838" s="5" t="n">
        <v>0</v>
      </c>
      <c r="K5838" s="10">
        <f>IF(F5838&gt;0,H5838/F5838,"")</f>
        <v/>
      </c>
      <c r="L5838" s="16">
        <f>IF(AND(G5838&gt;0,H5838&gt;0),G5838/H5838,"")</f>
        <v/>
      </c>
    </row>
    <row r="5839">
      <c r="A5839" s="4" t="inlineStr">
        <is>
          <t>298</t>
        </is>
      </c>
      <c r="B5839" s="4" t="n">
        <v>2</v>
      </c>
      <c r="C5839" s="4" t="inlineStr">
        <is>
          <t>mule deer</t>
        </is>
      </c>
      <c r="D5839" s="4" t="n">
        <v>2014</v>
      </c>
      <c r="E5839" s="13" t="inlineStr">
        <is>
          <t>General</t>
        </is>
      </c>
      <c r="F5839" s="5" t="n"/>
      <c r="G5839" s="5" t="n"/>
      <c r="H5839" s="5" t="n">
        <v>6</v>
      </c>
      <c r="I5839" s="5" t="n">
        <v>6</v>
      </c>
      <c r="J5839" s="5" t="n">
        <v>0</v>
      </c>
      <c r="K5839" s="10">
        <f>IF(F5839&gt;0,H5839/F5839,"")</f>
        <v/>
      </c>
      <c r="L5839" s="16">
        <f>IF(AND(G5839&gt;0,H5839&gt;0),G5839/H5839,"")</f>
        <v/>
      </c>
    </row>
    <row r="5840">
      <c r="A5840" s="4" t="inlineStr">
        <is>
          <t>298</t>
        </is>
      </c>
      <c r="B5840" s="4" t="n">
        <v>2</v>
      </c>
      <c r="C5840" s="4" t="inlineStr">
        <is>
          <t>mule deer</t>
        </is>
      </c>
      <c r="D5840" s="4" t="n">
        <v>2015</v>
      </c>
      <c r="E5840" s="13" t="inlineStr">
        <is>
          <t>General</t>
        </is>
      </c>
      <c r="F5840" s="5" t="n"/>
      <c r="G5840" s="5" t="n"/>
      <c r="H5840" s="5" t="n">
        <v>20</v>
      </c>
      <c r="I5840" s="5" t="n">
        <v>20</v>
      </c>
      <c r="J5840" s="5" t="n">
        <v>0</v>
      </c>
      <c r="K5840" s="10">
        <f>IF(F5840&gt;0,H5840/F5840,"")</f>
        <v/>
      </c>
      <c r="L5840" s="16">
        <f>IF(AND(G5840&gt;0,H5840&gt;0),G5840/H5840,"")</f>
        <v/>
      </c>
    </row>
    <row r="5841">
      <c r="A5841" s="4" t="inlineStr">
        <is>
          <t>298</t>
        </is>
      </c>
      <c r="B5841" s="4" t="n">
        <v>2</v>
      </c>
      <c r="C5841" s="4" t="inlineStr">
        <is>
          <t>mule deer</t>
        </is>
      </c>
      <c r="D5841" s="4" t="n">
        <v>2016</v>
      </c>
      <c r="E5841" s="13" t="inlineStr">
        <is>
          <t>General</t>
        </is>
      </c>
      <c r="F5841" s="5" t="n"/>
      <c r="G5841" s="5" t="n"/>
      <c r="H5841" s="5" t="n">
        <v>27</v>
      </c>
      <c r="I5841" s="5" t="n">
        <v>27</v>
      </c>
      <c r="J5841" s="5" t="n">
        <v>0</v>
      </c>
      <c r="K5841" s="10">
        <f>IF(F5841&gt;0,H5841/F5841,"")</f>
        <v/>
      </c>
      <c r="L5841" s="16">
        <f>IF(AND(G5841&gt;0,H5841&gt;0),G5841/H5841,"")</f>
        <v/>
      </c>
    </row>
    <row r="5842">
      <c r="A5842" s="4" t="inlineStr">
        <is>
          <t>298</t>
        </is>
      </c>
      <c r="B5842" s="4" t="n">
        <v>2</v>
      </c>
      <c r="C5842" s="4" t="inlineStr">
        <is>
          <t>mule deer</t>
        </is>
      </c>
      <c r="D5842" s="4" t="n">
        <v>2017</v>
      </c>
      <c r="E5842" s="13" t="inlineStr">
        <is>
          <t>General</t>
        </is>
      </c>
      <c r="F5842" s="5" t="n">
        <v>255</v>
      </c>
      <c r="G5842" s="5" t="n">
        <v>1407</v>
      </c>
      <c r="H5842" s="5" t="n">
        <v>12</v>
      </c>
      <c r="I5842" s="5" t="n">
        <v>12</v>
      </c>
      <c r="J5842" s="5" t="n">
        <v>0</v>
      </c>
      <c r="K5842" s="10">
        <f>IF(F5842&gt;0,H5842/F5842,"")</f>
        <v/>
      </c>
      <c r="L5842" s="16">
        <f>IF(AND(G5842&gt;0,H5842&gt;0),G5842/H5842,"")</f>
        <v/>
      </c>
    </row>
    <row r="5843">
      <c r="A5843" s="4" t="inlineStr">
        <is>
          <t>298</t>
        </is>
      </c>
      <c r="B5843" s="4" t="n">
        <v>2</v>
      </c>
      <c r="C5843" s="4" t="inlineStr">
        <is>
          <t>mule deer</t>
        </is>
      </c>
      <c r="D5843" s="4" t="n">
        <v>2018</v>
      </c>
      <c r="E5843" s="13" t="inlineStr">
        <is>
          <t>General</t>
        </is>
      </c>
      <c r="F5843" s="5" t="n"/>
      <c r="G5843" s="5" t="n"/>
      <c r="H5843" s="5" t="n">
        <v>14</v>
      </c>
      <c r="I5843" s="5" t="n">
        <v>14</v>
      </c>
      <c r="J5843" s="5" t="n">
        <v>0</v>
      </c>
      <c r="K5843" s="10">
        <f>IF(F5843&gt;0,H5843/F5843,"")</f>
        <v/>
      </c>
      <c r="L5843" s="16">
        <f>IF(AND(G5843&gt;0,H5843&gt;0),G5843/H5843,"")</f>
        <v/>
      </c>
    </row>
    <row r="5844">
      <c r="A5844" s="4" t="inlineStr">
        <is>
          <t>298</t>
        </is>
      </c>
      <c r="B5844" s="4" t="n">
        <v>2</v>
      </c>
      <c r="C5844" s="4" t="inlineStr">
        <is>
          <t>mule deer</t>
        </is>
      </c>
      <c r="D5844" s="4" t="n">
        <v>2019</v>
      </c>
      <c r="E5844" s="13" t="inlineStr">
        <is>
          <t>General</t>
        </is>
      </c>
      <c r="F5844" s="5" t="n">
        <v>198</v>
      </c>
      <c r="G5844" s="5" t="n">
        <v>1086</v>
      </c>
      <c r="H5844" s="5" t="n">
        <v>9</v>
      </c>
      <c r="I5844" s="5" t="n">
        <v>7</v>
      </c>
      <c r="J5844" s="5" t="n">
        <v>2</v>
      </c>
      <c r="K5844" s="10">
        <f>IF(F5844&gt;0,H5844/F5844,"")</f>
        <v/>
      </c>
      <c r="L5844" s="16">
        <f>IF(AND(G5844&gt;0,H5844&gt;0),G5844/H5844,"")</f>
        <v/>
      </c>
    </row>
    <row r="5845">
      <c r="A5845" s="4" t="inlineStr">
        <is>
          <t>298</t>
        </is>
      </c>
      <c r="B5845" s="4" t="n">
        <v>2</v>
      </c>
      <c r="C5845" s="4" t="inlineStr">
        <is>
          <t>mule deer</t>
        </is>
      </c>
      <c r="D5845" s="4" t="n">
        <v>2020</v>
      </c>
      <c r="E5845" s="13" t="inlineStr">
        <is>
          <t>General</t>
        </is>
      </c>
      <c r="F5845" s="5" t="n"/>
      <c r="G5845" s="5" t="n"/>
      <c r="H5845" s="5" t="n">
        <v>4</v>
      </c>
      <c r="I5845" s="5" t="n">
        <v>4</v>
      </c>
      <c r="J5845" s="5" t="n">
        <v>0</v>
      </c>
      <c r="K5845" s="10">
        <f>IF(F5845&gt;0,H5845/F5845,"")</f>
        <v/>
      </c>
      <c r="L5845" s="16">
        <f>IF(AND(G5845&gt;0,H5845&gt;0),G5845/H5845,"")</f>
        <v/>
      </c>
    </row>
    <row r="5846">
      <c r="A5846" s="4" t="inlineStr">
        <is>
          <t>298</t>
        </is>
      </c>
      <c r="B5846" s="4" t="n">
        <v>2</v>
      </c>
      <c r="C5846" s="4" t="inlineStr">
        <is>
          <t>mule deer</t>
        </is>
      </c>
      <c r="D5846" s="4" t="n">
        <v>2021</v>
      </c>
      <c r="E5846" s="13" t="inlineStr">
        <is>
          <t>General</t>
        </is>
      </c>
      <c r="F5846" s="5" t="n">
        <v>177</v>
      </c>
      <c r="G5846" s="5" t="n">
        <v>1077</v>
      </c>
      <c r="H5846" s="5" t="n">
        <v>12</v>
      </c>
      <c r="I5846" s="5" t="n">
        <v>12</v>
      </c>
      <c r="J5846" s="5" t="n">
        <v>0</v>
      </c>
      <c r="K5846" s="10">
        <f>IF(F5846&gt;0,H5846/F5846,"")</f>
        <v/>
      </c>
      <c r="L5846" s="16">
        <f>IF(AND(G5846&gt;0,H5846&gt;0),G5846/H5846,"")</f>
        <v/>
      </c>
    </row>
    <row r="5847">
      <c r="A5847" s="4" t="inlineStr">
        <is>
          <t>298</t>
        </is>
      </c>
      <c r="B5847" s="4" t="n">
        <v>2</v>
      </c>
      <c r="C5847" s="4" t="inlineStr">
        <is>
          <t>mule deer</t>
        </is>
      </c>
      <c r="D5847" s="4" t="n">
        <v>2022</v>
      </c>
      <c r="E5847" s="13" t="inlineStr">
        <is>
          <t>General</t>
        </is>
      </c>
      <c r="F5847" s="5" t="n"/>
      <c r="G5847" s="5" t="n"/>
      <c r="H5847" s="5" t="n">
        <v>17</v>
      </c>
      <c r="I5847" s="5" t="n">
        <v>17</v>
      </c>
      <c r="J5847" s="5" t="n">
        <v>0</v>
      </c>
      <c r="K5847" s="10">
        <f>IF(F5847&gt;0,H5847/F5847,"")</f>
        <v/>
      </c>
      <c r="L5847" s="16">
        <f>IF(AND(G5847&gt;0,H5847&gt;0),G5847/H5847,"")</f>
        <v/>
      </c>
    </row>
    <row r="5848">
      <c r="A5848" s="4" t="inlineStr">
        <is>
          <t>298</t>
        </is>
      </c>
      <c r="B5848" s="4" t="n">
        <v>2</v>
      </c>
      <c r="C5848" s="4" t="inlineStr">
        <is>
          <t>mule deer</t>
        </is>
      </c>
      <c r="D5848" s="4" t="n">
        <v>2023</v>
      </c>
      <c r="E5848" s="13" t="inlineStr">
        <is>
          <t>General</t>
        </is>
      </c>
      <c r="F5848" s="5" t="n">
        <v>217</v>
      </c>
      <c r="G5848" s="5" t="n">
        <v>1243</v>
      </c>
      <c r="H5848" s="5" t="n">
        <v>20</v>
      </c>
      <c r="I5848" s="5" t="n">
        <v>17</v>
      </c>
      <c r="J5848" s="5" t="n">
        <v>0</v>
      </c>
      <c r="K5848" s="10">
        <f>IF(F5848&gt;0,H5848/F5848,"")</f>
        <v/>
      </c>
      <c r="L5848" s="16">
        <f>IF(AND(G5848&gt;0,H5848&gt;0),G5848/H5848,"")</f>
        <v/>
      </c>
    </row>
    <row r="5849">
      <c r="A5849" s="4" t="inlineStr">
        <is>
          <t>298</t>
        </is>
      </c>
      <c r="B5849" s="4" t="n">
        <v>2</v>
      </c>
      <c r="C5849" s="4" t="inlineStr">
        <is>
          <t>mule deer</t>
        </is>
      </c>
      <c r="D5849" s="4" t="n">
        <v>2024</v>
      </c>
      <c r="E5849" s="13" t="inlineStr">
        <is>
          <t>General</t>
        </is>
      </c>
      <c r="F5849" s="5" t="n"/>
      <c r="G5849" s="5" t="n"/>
      <c r="H5849" s="5" t="n">
        <v>28</v>
      </c>
      <c r="I5849" s="5" t="n">
        <v>28</v>
      </c>
      <c r="J5849" s="5" t="n">
        <v>0</v>
      </c>
      <c r="K5849" s="10">
        <f>IF(F5849&gt;0,H5849/F5849,"")</f>
        <v/>
      </c>
      <c r="L5849" s="16">
        <f>IF(AND(G5849&gt;0,H5849&gt;0),G5849/H5849,"")</f>
        <v/>
      </c>
    </row>
    <row r="5850">
      <c r="A5850" s="4" t="inlineStr">
        <is>
          <t>298</t>
        </is>
      </c>
      <c r="B5850" s="4" t="n">
        <v>2</v>
      </c>
      <c r="C5850" s="4" t="inlineStr">
        <is>
          <t>mule deer</t>
        </is>
      </c>
      <c r="D5850" s="4" t="n">
        <v>2025</v>
      </c>
      <c r="E5850" s="13" t="inlineStr">
        <is>
          <t>General</t>
        </is>
      </c>
      <c r="F5850" s="5" t="n">
        <v>286</v>
      </c>
      <c r="G5850" s="5" t="n">
        <v>1663</v>
      </c>
      <c r="H5850" s="5" t="n">
        <v>42</v>
      </c>
      <c r="I5850" s="5" t="n">
        <v>42</v>
      </c>
      <c r="J5850" s="5" t="n">
        <v>0</v>
      </c>
      <c r="K5850" s="10">
        <f>IF(F5850&gt;0,H5850/F5850,"")</f>
        <v/>
      </c>
      <c r="L5850" s="16">
        <f>IF(AND(G5850&gt;0,H5850&gt;0),G5850/H5850,"")</f>
        <v/>
      </c>
    </row>
    <row r="5851">
      <c r="A5851" s="4" t="inlineStr">
        <is>
          <t>300</t>
        </is>
      </c>
      <c r="B5851" s="4" t="n">
        <v>3</v>
      </c>
      <c r="C5851" s="4" t="inlineStr">
        <is>
          <t>mule deer</t>
        </is>
      </c>
      <c r="D5851" s="4" t="n">
        <v>2004</v>
      </c>
      <c r="E5851" s="4" t="inlineStr"/>
      <c r="F5851" s="5" t="n">
        <v>299</v>
      </c>
      <c r="G5851" s="5" t="n">
        <v>1423</v>
      </c>
      <c r="H5851" s="5" t="n">
        <v>70</v>
      </c>
      <c r="I5851" s="5" t="n">
        <v>39</v>
      </c>
      <c r="J5851" s="5" t="n">
        <v>29</v>
      </c>
      <c r="K5851" s="10">
        <f>IF(F5851&gt;0,H5851/F5851,"")</f>
        <v/>
      </c>
      <c r="L5851" s="16">
        <f>IF(AND(G5851&gt;0,H5851&gt;0),G5851/H5851,"")</f>
        <v/>
      </c>
    </row>
    <row r="5852">
      <c r="A5852" s="4" t="inlineStr">
        <is>
          <t>300</t>
        </is>
      </c>
      <c r="B5852" s="4" t="n">
        <v>3</v>
      </c>
      <c r="C5852" s="4" t="inlineStr">
        <is>
          <t>mule deer</t>
        </is>
      </c>
      <c r="D5852" s="4" t="n">
        <v>2005</v>
      </c>
      <c r="E5852" s="4" t="inlineStr"/>
      <c r="F5852" s="5" t="n">
        <v>358</v>
      </c>
      <c r="G5852" s="5" t="n">
        <v>2235</v>
      </c>
      <c r="H5852" s="5" t="n">
        <v>103</v>
      </c>
      <c r="I5852" s="5" t="n">
        <v>46</v>
      </c>
      <c r="J5852" s="5" t="n">
        <v>57</v>
      </c>
      <c r="K5852" s="10">
        <f>IF(F5852&gt;0,H5852/F5852,"")</f>
        <v/>
      </c>
      <c r="L5852" s="16">
        <f>IF(AND(G5852&gt;0,H5852&gt;0),G5852/H5852,"")</f>
        <v/>
      </c>
    </row>
    <row r="5853">
      <c r="A5853" s="4" t="inlineStr">
        <is>
          <t>300</t>
        </is>
      </c>
      <c r="B5853" s="4" t="n">
        <v>3</v>
      </c>
      <c r="C5853" s="4" t="inlineStr">
        <is>
          <t>mule deer</t>
        </is>
      </c>
      <c r="D5853" s="4" t="n">
        <v>2006</v>
      </c>
      <c r="E5853" s="4" t="inlineStr"/>
      <c r="F5853" s="5" t="n">
        <v>318</v>
      </c>
      <c r="G5853" s="5" t="n">
        <v>1831</v>
      </c>
      <c r="H5853" s="5" t="n">
        <v>113</v>
      </c>
      <c r="I5853" s="5" t="n">
        <v>67</v>
      </c>
      <c r="J5853" s="5" t="n">
        <v>45</v>
      </c>
      <c r="K5853" s="10">
        <f>IF(F5853&gt;0,H5853/F5853,"")</f>
        <v/>
      </c>
      <c r="L5853" s="16">
        <f>IF(AND(G5853&gt;0,H5853&gt;0),G5853/H5853,"")</f>
        <v/>
      </c>
    </row>
    <row r="5854">
      <c r="A5854" s="4" t="inlineStr">
        <is>
          <t>300</t>
        </is>
      </c>
      <c r="B5854" s="4" t="n">
        <v>3</v>
      </c>
      <c r="C5854" s="4" t="inlineStr">
        <is>
          <t>mule deer</t>
        </is>
      </c>
      <c r="D5854" s="4" t="n">
        <v>2007</v>
      </c>
      <c r="E5854" s="4" t="inlineStr"/>
      <c r="F5854" s="5" t="n">
        <v>418</v>
      </c>
      <c r="G5854" s="5" t="n">
        <v>2243</v>
      </c>
      <c r="H5854" s="5" t="n">
        <v>87</v>
      </c>
      <c r="I5854" s="5" t="n">
        <v>51</v>
      </c>
      <c r="J5854" s="5" t="n">
        <v>37</v>
      </c>
      <c r="K5854" s="10">
        <f>IF(F5854&gt;0,H5854/F5854,"")</f>
        <v/>
      </c>
      <c r="L5854" s="16">
        <f>IF(AND(G5854&gt;0,H5854&gt;0),G5854/H5854,"")</f>
        <v/>
      </c>
    </row>
    <row r="5855">
      <c r="A5855" s="4" t="inlineStr">
        <is>
          <t>300</t>
        </is>
      </c>
      <c r="B5855" s="4" t="n">
        <v>3</v>
      </c>
      <c r="C5855" s="4" t="inlineStr">
        <is>
          <t>mule deer</t>
        </is>
      </c>
      <c r="D5855" s="4" t="n">
        <v>2008</v>
      </c>
      <c r="E5855" s="4" t="inlineStr"/>
      <c r="F5855" s="5" t="n">
        <v>565</v>
      </c>
      <c r="G5855" s="5" t="n">
        <v>3358</v>
      </c>
      <c r="H5855" s="5" t="n">
        <v>100</v>
      </c>
      <c r="I5855" s="5" t="n">
        <v>68</v>
      </c>
      <c r="J5855" s="5" t="n">
        <v>32</v>
      </c>
      <c r="K5855" s="10">
        <f>IF(F5855&gt;0,H5855/F5855,"")</f>
        <v/>
      </c>
      <c r="L5855" s="16">
        <f>IF(AND(G5855&gt;0,H5855&gt;0),G5855/H5855,"")</f>
        <v/>
      </c>
    </row>
    <row r="5856">
      <c r="A5856" s="4" t="inlineStr">
        <is>
          <t>300</t>
        </is>
      </c>
      <c r="B5856" s="4" t="n">
        <v>3</v>
      </c>
      <c r="C5856" s="4" t="inlineStr">
        <is>
          <t>mule deer</t>
        </is>
      </c>
      <c r="D5856" s="4" t="n">
        <v>2009</v>
      </c>
      <c r="E5856" s="4" t="inlineStr"/>
      <c r="F5856" s="5" t="n">
        <v>467</v>
      </c>
      <c r="G5856" s="5" t="n">
        <v>3147</v>
      </c>
      <c r="H5856" s="5" t="n">
        <v>85</v>
      </c>
      <c r="I5856" s="5" t="n">
        <v>56</v>
      </c>
      <c r="J5856" s="5" t="n">
        <v>29</v>
      </c>
      <c r="K5856" s="10">
        <f>IF(F5856&gt;0,H5856/F5856,"")</f>
        <v/>
      </c>
      <c r="L5856" s="16">
        <f>IF(AND(G5856&gt;0,H5856&gt;0),G5856/H5856,"")</f>
        <v/>
      </c>
    </row>
    <row r="5857">
      <c r="A5857" s="4" t="inlineStr">
        <is>
          <t>300</t>
        </is>
      </c>
      <c r="B5857" s="4" t="n">
        <v>3</v>
      </c>
      <c r="C5857" s="4" t="inlineStr">
        <is>
          <t>mule deer</t>
        </is>
      </c>
      <c r="D5857" s="4" t="n">
        <v>2010</v>
      </c>
      <c r="E5857" s="4" t="inlineStr"/>
      <c r="F5857" s="5" t="n">
        <v>417</v>
      </c>
      <c r="G5857" s="5" t="n">
        <v>2532</v>
      </c>
      <c r="H5857" s="5" t="n">
        <v>67</v>
      </c>
      <c r="I5857" s="5" t="n">
        <v>45</v>
      </c>
      <c r="J5857" s="5" t="n">
        <v>22</v>
      </c>
      <c r="K5857" s="10">
        <f>IF(F5857&gt;0,H5857/F5857,"")</f>
        <v/>
      </c>
      <c r="L5857" s="16">
        <f>IF(AND(G5857&gt;0,H5857&gt;0),G5857/H5857,"")</f>
        <v/>
      </c>
    </row>
    <row r="5858">
      <c r="A5858" s="4" t="inlineStr">
        <is>
          <t>300</t>
        </is>
      </c>
      <c r="B5858" s="4" t="n">
        <v>3</v>
      </c>
      <c r="C5858" s="4" t="inlineStr">
        <is>
          <t>mule deer</t>
        </is>
      </c>
      <c r="D5858" s="4" t="n">
        <v>2011</v>
      </c>
      <c r="E5858" s="4" t="inlineStr"/>
      <c r="F5858" s="5" t="n">
        <v>407</v>
      </c>
      <c r="G5858" s="5" t="n">
        <v>2446</v>
      </c>
      <c r="H5858" s="5" t="n">
        <v>52</v>
      </c>
      <c r="I5858" s="5" t="n">
        <v>32</v>
      </c>
      <c r="J5858" s="5" t="n">
        <v>20</v>
      </c>
      <c r="K5858" s="10">
        <f>IF(F5858&gt;0,H5858/F5858,"")</f>
        <v/>
      </c>
      <c r="L5858" s="16">
        <f>IF(AND(G5858&gt;0,H5858&gt;0),G5858/H5858,"")</f>
        <v/>
      </c>
    </row>
    <row r="5859">
      <c r="A5859" s="4" t="inlineStr">
        <is>
          <t>300</t>
        </is>
      </c>
      <c r="B5859" s="4" t="n">
        <v>3</v>
      </c>
      <c r="C5859" s="4" t="inlineStr">
        <is>
          <t>mule deer</t>
        </is>
      </c>
      <c r="D5859" s="4" t="n">
        <v>2012</v>
      </c>
      <c r="E5859" s="4" t="inlineStr"/>
      <c r="F5859" s="5" t="n"/>
      <c r="G5859" s="5" t="n"/>
      <c r="H5859" s="5" t="n">
        <v>65</v>
      </c>
      <c r="I5859" s="5" t="n">
        <v>36</v>
      </c>
      <c r="J5859" s="5" t="n">
        <v>28</v>
      </c>
      <c r="K5859" s="10">
        <f>IF(F5859&gt;0,H5859/F5859,"")</f>
        <v/>
      </c>
      <c r="L5859" s="16">
        <f>IF(AND(G5859&gt;0,H5859&gt;0),G5859/H5859,"")</f>
        <v/>
      </c>
    </row>
    <row r="5860">
      <c r="A5860" s="4" t="inlineStr">
        <is>
          <t>300</t>
        </is>
      </c>
      <c r="B5860" s="4" t="n">
        <v>3</v>
      </c>
      <c r="C5860" s="4" t="inlineStr">
        <is>
          <t>mule deer</t>
        </is>
      </c>
      <c r="D5860" s="4" t="n">
        <v>2013</v>
      </c>
      <c r="E5860" s="4" t="inlineStr"/>
      <c r="F5860" s="5" t="n">
        <v>336</v>
      </c>
      <c r="G5860" s="5" t="n">
        <v>1897</v>
      </c>
      <c r="H5860" s="5" t="n">
        <v>54</v>
      </c>
      <c r="I5860" s="5" t="n">
        <v>27</v>
      </c>
      <c r="J5860" s="5" t="n">
        <v>27</v>
      </c>
      <c r="K5860" s="10">
        <f>IF(F5860&gt;0,H5860/F5860,"")</f>
        <v/>
      </c>
      <c r="L5860" s="16">
        <f>IF(AND(G5860&gt;0,H5860&gt;0),G5860/H5860,"")</f>
        <v/>
      </c>
    </row>
    <row r="5861">
      <c r="A5861" s="4" t="inlineStr">
        <is>
          <t>300</t>
        </is>
      </c>
      <c r="B5861" s="4" t="n">
        <v>3</v>
      </c>
      <c r="C5861" s="4" t="inlineStr">
        <is>
          <t>mule deer</t>
        </is>
      </c>
      <c r="D5861" s="4" t="n">
        <v>2014</v>
      </c>
      <c r="E5861" s="4" t="inlineStr"/>
      <c r="F5861" s="5" t="n"/>
      <c r="G5861" s="5" t="n"/>
      <c r="H5861" s="5" t="n">
        <v>41</v>
      </c>
      <c r="I5861" s="5" t="n">
        <v>41</v>
      </c>
      <c r="J5861" s="5" t="n">
        <v>0</v>
      </c>
      <c r="K5861" s="10">
        <f>IF(F5861&gt;0,H5861/F5861,"")</f>
        <v/>
      </c>
      <c r="L5861" s="16">
        <f>IF(AND(G5861&gt;0,H5861&gt;0),G5861/H5861,"")</f>
        <v/>
      </c>
    </row>
    <row r="5862">
      <c r="A5862" s="4" t="inlineStr">
        <is>
          <t>300</t>
        </is>
      </c>
      <c r="B5862" s="4" t="n">
        <v>3</v>
      </c>
      <c r="C5862" s="4" t="inlineStr">
        <is>
          <t>mule deer</t>
        </is>
      </c>
      <c r="D5862" s="4" t="n">
        <v>2015</v>
      </c>
      <c r="E5862" s="4" t="inlineStr"/>
      <c r="F5862" s="5" t="n"/>
      <c r="G5862" s="5" t="n"/>
      <c r="H5862" s="5" t="n">
        <v>85</v>
      </c>
      <c r="I5862" s="5" t="n">
        <v>66</v>
      </c>
      <c r="J5862" s="5" t="n">
        <v>16</v>
      </c>
      <c r="K5862" s="10">
        <f>IF(F5862&gt;0,H5862/F5862,"")</f>
        <v/>
      </c>
      <c r="L5862" s="16">
        <f>IF(AND(G5862&gt;0,H5862&gt;0),G5862/H5862,"")</f>
        <v/>
      </c>
    </row>
    <row r="5863">
      <c r="A5863" s="4" t="inlineStr">
        <is>
          <t>300</t>
        </is>
      </c>
      <c r="B5863" s="4" t="n">
        <v>3</v>
      </c>
      <c r="C5863" s="4" t="inlineStr">
        <is>
          <t>mule deer</t>
        </is>
      </c>
      <c r="D5863" s="4" t="n">
        <v>2016</v>
      </c>
      <c r="E5863" s="4" t="inlineStr"/>
      <c r="F5863" s="5" t="n"/>
      <c r="G5863" s="5" t="n"/>
      <c r="H5863" s="5" t="n">
        <v>92</v>
      </c>
      <c r="I5863" s="5" t="n">
        <v>72</v>
      </c>
      <c r="J5863" s="5" t="n">
        <v>17</v>
      </c>
      <c r="K5863" s="10">
        <f>IF(F5863&gt;0,H5863/F5863,"")</f>
        <v/>
      </c>
      <c r="L5863" s="16">
        <f>IF(AND(G5863&gt;0,H5863&gt;0),G5863/H5863,"")</f>
        <v/>
      </c>
    </row>
    <row r="5864">
      <c r="A5864" s="4" t="inlineStr">
        <is>
          <t>300</t>
        </is>
      </c>
      <c r="B5864" s="4" t="n">
        <v>3</v>
      </c>
      <c r="C5864" s="4" t="inlineStr">
        <is>
          <t>mule deer</t>
        </is>
      </c>
      <c r="D5864" s="4" t="n">
        <v>2017</v>
      </c>
      <c r="E5864" s="4" t="inlineStr"/>
      <c r="F5864" s="5" t="n">
        <v>507</v>
      </c>
      <c r="G5864" s="5" t="n">
        <v>3166</v>
      </c>
      <c r="H5864" s="5" t="n">
        <v>104</v>
      </c>
      <c r="I5864" s="5" t="n">
        <v>83</v>
      </c>
      <c r="J5864" s="5" t="n">
        <v>21</v>
      </c>
      <c r="K5864" s="10">
        <f>IF(F5864&gt;0,H5864/F5864,"")</f>
        <v/>
      </c>
      <c r="L5864" s="16">
        <f>IF(AND(G5864&gt;0,H5864&gt;0),G5864/H5864,"")</f>
        <v/>
      </c>
    </row>
    <row r="5865">
      <c r="A5865" s="4" t="inlineStr">
        <is>
          <t>300</t>
        </is>
      </c>
      <c r="B5865" s="4" t="n">
        <v>3</v>
      </c>
      <c r="C5865" s="4" t="inlineStr">
        <is>
          <t>mule deer</t>
        </is>
      </c>
      <c r="D5865" s="4" t="n">
        <v>2018</v>
      </c>
      <c r="E5865" s="4" t="inlineStr"/>
      <c r="F5865" s="5" t="n"/>
      <c r="G5865" s="5" t="n"/>
      <c r="H5865" s="5" t="n">
        <v>95</v>
      </c>
      <c r="I5865" s="5" t="n">
        <v>61</v>
      </c>
      <c r="J5865" s="5" t="n">
        <v>34</v>
      </c>
      <c r="K5865" s="10">
        <f>IF(F5865&gt;0,H5865/F5865,"")</f>
        <v/>
      </c>
      <c r="L5865" s="16">
        <f>IF(AND(G5865&gt;0,H5865&gt;0),G5865/H5865,"")</f>
        <v/>
      </c>
    </row>
    <row r="5866">
      <c r="A5866" s="4" t="inlineStr">
        <is>
          <t>300</t>
        </is>
      </c>
      <c r="B5866" s="4" t="n">
        <v>3</v>
      </c>
      <c r="C5866" s="4" t="inlineStr">
        <is>
          <t>mule deer</t>
        </is>
      </c>
      <c r="D5866" s="4" t="n">
        <v>2019</v>
      </c>
      <c r="E5866" s="4" t="inlineStr"/>
      <c r="F5866" s="5" t="n">
        <v>484</v>
      </c>
      <c r="G5866" s="5" t="n">
        <v>2927</v>
      </c>
      <c r="H5866" s="5" t="n">
        <v>87</v>
      </c>
      <c r="I5866" s="5" t="n">
        <v>58</v>
      </c>
      <c r="J5866" s="5" t="n">
        <v>26</v>
      </c>
      <c r="K5866" s="10">
        <f>IF(F5866&gt;0,H5866/F5866,"")</f>
        <v/>
      </c>
      <c r="L5866" s="16">
        <f>IF(AND(G5866&gt;0,H5866&gt;0),G5866/H5866,"")</f>
        <v/>
      </c>
    </row>
    <row r="5867">
      <c r="A5867" s="4" t="inlineStr">
        <is>
          <t>300</t>
        </is>
      </c>
      <c r="B5867" s="4" t="n">
        <v>3</v>
      </c>
      <c r="C5867" s="4" t="inlineStr">
        <is>
          <t>mule deer</t>
        </is>
      </c>
      <c r="D5867" s="4" t="n">
        <v>2020</v>
      </c>
      <c r="E5867" s="4" t="inlineStr"/>
      <c r="F5867" s="5" t="n"/>
      <c r="G5867" s="5" t="n"/>
      <c r="H5867" s="5" t="n">
        <v>122</v>
      </c>
      <c r="I5867" s="5" t="n">
        <v>78</v>
      </c>
      <c r="J5867" s="5" t="n">
        <v>44</v>
      </c>
      <c r="K5867" s="10">
        <f>IF(F5867&gt;0,H5867/F5867,"")</f>
        <v/>
      </c>
      <c r="L5867" s="16">
        <f>IF(AND(G5867&gt;0,H5867&gt;0),G5867/H5867,"")</f>
        <v/>
      </c>
    </row>
    <row r="5868">
      <c r="A5868" s="4" t="inlineStr">
        <is>
          <t>300</t>
        </is>
      </c>
      <c r="B5868" s="4" t="n">
        <v>3</v>
      </c>
      <c r="C5868" s="4" t="inlineStr">
        <is>
          <t>mule deer</t>
        </is>
      </c>
      <c r="D5868" s="4" t="n">
        <v>2021</v>
      </c>
      <c r="E5868" s="4" t="inlineStr"/>
      <c r="F5868" s="5" t="n">
        <v>653</v>
      </c>
      <c r="G5868" s="5" t="n">
        <v>4641</v>
      </c>
      <c r="H5868" s="5" t="n">
        <v>129</v>
      </c>
      <c r="I5868" s="5" t="n">
        <v>76</v>
      </c>
      <c r="J5868" s="5" t="n">
        <v>53</v>
      </c>
      <c r="K5868" s="10">
        <f>IF(F5868&gt;0,H5868/F5868,"")</f>
        <v/>
      </c>
      <c r="L5868" s="16">
        <f>IF(AND(G5868&gt;0,H5868&gt;0),G5868/H5868,"")</f>
        <v/>
      </c>
    </row>
    <row r="5869">
      <c r="A5869" s="4" t="inlineStr">
        <is>
          <t>301</t>
        </is>
      </c>
      <c r="B5869" s="4" t="n">
        <v>3</v>
      </c>
      <c r="C5869" s="4" t="inlineStr">
        <is>
          <t>mule deer</t>
        </is>
      </c>
      <c r="D5869" s="4" t="n">
        <v>2004</v>
      </c>
      <c r="E5869" s="13" t="inlineStr">
        <is>
          <t>General</t>
        </is>
      </c>
      <c r="F5869" s="5" t="n">
        <v>1052</v>
      </c>
      <c r="G5869" s="5" t="n">
        <v>5383</v>
      </c>
      <c r="H5869" s="5" t="n">
        <v>135</v>
      </c>
      <c r="I5869" s="5" t="n">
        <v>112</v>
      </c>
      <c r="J5869" s="5" t="n">
        <v>23</v>
      </c>
      <c r="K5869" s="10">
        <f>IF(F5869&gt;0,H5869/F5869,"")</f>
        <v/>
      </c>
      <c r="L5869" s="16">
        <f>IF(AND(G5869&gt;0,H5869&gt;0),G5869/H5869,"")</f>
        <v/>
      </c>
    </row>
    <row r="5870">
      <c r="A5870" s="4" t="inlineStr">
        <is>
          <t>301</t>
        </is>
      </c>
      <c r="B5870" s="4" t="n">
        <v>3</v>
      </c>
      <c r="C5870" s="4" t="inlineStr">
        <is>
          <t>mule deer</t>
        </is>
      </c>
      <c r="D5870" s="4" t="n">
        <v>2005</v>
      </c>
      <c r="E5870" s="13" t="inlineStr">
        <is>
          <t>General</t>
        </is>
      </c>
      <c r="F5870" s="5" t="n">
        <v>765</v>
      </c>
      <c r="G5870" s="5" t="n">
        <v>4143</v>
      </c>
      <c r="H5870" s="5" t="n">
        <v>114</v>
      </c>
      <c r="I5870" s="5" t="n">
        <v>96</v>
      </c>
      <c r="J5870" s="5" t="n">
        <v>17</v>
      </c>
      <c r="K5870" s="10">
        <f>IF(F5870&gt;0,H5870/F5870,"")</f>
        <v/>
      </c>
      <c r="L5870" s="16">
        <f>IF(AND(G5870&gt;0,H5870&gt;0),G5870/H5870,"")</f>
        <v/>
      </c>
    </row>
    <row r="5871">
      <c r="A5871" s="4" t="inlineStr">
        <is>
          <t>301</t>
        </is>
      </c>
      <c r="B5871" s="4" t="n">
        <v>3</v>
      </c>
      <c r="C5871" s="4" t="inlineStr">
        <is>
          <t>mule deer</t>
        </is>
      </c>
      <c r="D5871" s="4" t="n">
        <v>2006</v>
      </c>
      <c r="E5871" s="13" t="inlineStr">
        <is>
          <t>General</t>
        </is>
      </c>
      <c r="F5871" s="5" t="n">
        <v>668</v>
      </c>
      <c r="G5871" s="5" t="n">
        <v>3946</v>
      </c>
      <c r="H5871" s="5" t="n">
        <v>121</v>
      </c>
      <c r="I5871" s="5" t="n">
        <v>108</v>
      </c>
      <c r="J5871" s="5" t="n">
        <v>13</v>
      </c>
      <c r="K5871" s="10">
        <f>IF(F5871&gt;0,H5871/F5871,"")</f>
        <v/>
      </c>
      <c r="L5871" s="16">
        <f>IF(AND(G5871&gt;0,H5871&gt;0),G5871/H5871,"")</f>
        <v/>
      </c>
    </row>
    <row r="5872">
      <c r="A5872" s="4" t="inlineStr">
        <is>
          <t>301</t>
        </is>
      </c>
      <c r="B5872" s="4" t="n">
        <v>3</v>
      </c>
      <c r="C5872" s="4" t="inlineStr">
        <is>
          <t>mule deer</t>
        </is>
      </c>
      <c r="D5872" s="4" t="n">
        <v>2007</v>
      </c>
      <c r="E5872" s="13" t="inlineStr">
        <is>
          <t>General</t>
        </is>
      </c>
      <c r="F5872" s="5" t="n">
        <v>781</v>
      </c>
      <c r="G5872" s="5" t="n">
        <v>4874</v>
      </c>
      <c r="H5872" s="5" t="n">
        <v>103</v>
      </c>
      <c r="I5872" s="5" t="n">
        <v>90</v>
      </c>
      <c r="J5872" s="5" t="n">
        <v>13</v>
      </c>
      <c r="K5872" s="10">
        <f>IF(F5872&gt;0,H5872/F5872,"")</f>
        <v/>
      </c>
      <c r="L5872" s="16">
        <f>IF(AND(G5872&gt;0,H5872&gt;0),G5872/H5872,"")</f>
        <v/>
      </c>
    </row>
    <row r="5873">
      <c r="A5873" s="4" t="inlineStr">
        <is>
          <t>301</t>
        </is>
      </c>
      <c r="B5873" s="4" t="n">
        <v>3</v>
      </c>
      <c r="C5873" s="4" t="inlineStr">
        <is>
          <t>mule deer</t>
        </is>
      </c>
      <c r="D5873" s="4" t="n">
        <v>2008</v>
      </c>
      <c r="E5873" s="13" t="inlineStr">
        <is>
          <t>General</t>
        </is>
      </c>
      <c r="F5873" s="5" t="n">
        <v>758</v>
      </c>
      <c r="G5873" s="5" t="n">
        <v>4571</v>
      </c>
      <c r="H5873" s="5" t="n">
        <v>100</v>
      </c>
      <c r="I5873" s="5" t="n">
        <v>74</v>
      </c>
      <c r="J5873" s="5" t="n">
        <v>26</v>
      </c>
      <c r="K5873" s="10">
        <f>IF(F5873&gt;0,H5873/F5873,"")</f>
        <v/>
      </c>
      <c r="L5873" s="16">
        <f>IF(AND(G5873&gt;0,H5873&gt;0),G5873/H5873,"")</f>
        <v/>
      </c>
    </row>
    <row r="5874">
      <c r="A5874" s="4" t="inlineStr">
        <is>
          <t>301</t>
        </is>
      </c>
      <c r="B5874" s="4" t="n">
        <v>3</v>
      </c>
      <c r="C5874" s="4" t="inlineStr">
        <is>
          <t>mule deer</t>
        </is>
      </c>
      <c r="D5874" s="4" t="n">
        <v>2009</v>
      </c>
      <c r="E5874" s="13" t="inlineStr">
        <is>
          <t>General</t>
        </is>
      </c>
      <c r="F5874" s="5" t="n">
        <v>751</v>
      </c>
      <c r="G5874" s="5" t="n">
        <v>4542</v>
      </c>
      <c r="H5874" s="5" t="n">
        <v>82</v>
      </c>
      <c r="I5874" s="5" t="n">
        <v>71</v>
      </c>
      <c r="J5874" s="5" t="n">
        <v>11</v>
      </c>
      <c r="K5874" s="10">
        <f>IF(F5874&gt;0,H5874/F5874,"")</f>
        <v/>
      </c>
      <c r="L5874" s="16">
        <f>IF(AND(G5874&gt;0,H5874&gt;0),G5874/H5874,"")</f>
        <v/>
      </c>
    </row>
    <row r="5875">
      <c r="A5875" s="4" t="inlineStr">
        <is>
          <t>301</t>
        </is>
      </c>
      <c r="B5875" s="4" t="n">
        <v>3</v>
      </c>
      <c r="C5875" s="4" t="inlineStr">
        <is>
          <t>mule deer</t>
        </is>
      </c>
      <c r="D5875" s="4" t="n">
        <v>2010</v>
      </c>
      <c r="E5875" s="13" t="inlineStr">
        <is>
          <t>General</t>
        </is>
      </c>
      <c r="F5875" s="5" t="n">
        <v>875</v>
      </c>
      <c r="G5875" s="5" t="n">
        <v>5564</v>
      </c>
      <c r="H5875" s="5" t="n">
        <v>62</v>
      </c>
      <c r="I5875" s="5" t="n">
        <v>56</v>
      </c>
      <c r="J5875" s="5" t="n">
        <v>3</v>
      </c>
      <c r="K5875" s="10">
        <f>IF(F5875&gt;0,H5875/F5875,"")</f>
        <v/>
      </c>
      <c r="L5875" s="16">
        <f>IF(AND(G5875&gt;0,H5875&gt;0),G5875/H5875,"")</f>
        <v/>
      </c>
    </row>
    <row r="5876">
      <c r="A5876" s="4" t="inlineStr">
        <is>
          <t>301</t>
        </is>
      </c>
      <c r="B5876" s="4" t="n">
        <v>3</v>
      </c>
      <c r="C5876" s="4" t="inlineStr">
        <is>
          <t>mule deer</t>
        </is>
      </c>
      <c r="D5876" s="4" t="n">
        <v>2011</v>
      </c>
      <c r="E5876" s="13" t="inlineStr">
        <is>
          <t>General</t>
        </is>
      </c>
      <c r="F5876" s="5" t="n">
        <v>831</v>
      </c>
      <c r="G5876" s="5" t="n">
        <v>4731</v>
      </c>
      <c r="H5876" s="5" t="n">
        <v>50</v>
      </c>
      <c r="I5876" s="5" t="n">
        <v>50</v>
      </c>
      <c r="J5876" s="5" t="n">
        <v>0</v>
      </c>
      <c r="K5876" s="10">
        <f>IF(F5876&gt;0,H5876/F5876,"")</f>
        <v/>
      </c>
      <c r="L5876" s="16">
        <f>IF(AND(G5876&gt;0,H5876&gt;0),G5876/H5876,"")</f>
        <v/>
      </c>
    </row>
    <row r="5877">
      <c r="A5877" s="4" t="inlineStr">
        <is>
          <t>301</t>
        </is>
      </c>
      <c r="B5877" s="4" t="n">
        <v>3</v>
      </c>
      <c r="C5877" s="4" t="inlineStr">
        <is>
          <t>mule deer</t>
        </is>
      </c>
      <c r="D5877" s="4" t="n">
        <v>2012</v>
      </c>
      <c r="E5877" s="13" t="inlineStr">
        <is>
          <t>General</t>
        </is>
      </c>
      <c r="F5877" s="5" t="n"/>
      <c r="G5877" s="5" t="n"/>
      <c r="H5877" s="5" t="n">
        <v>67</v>
      </c>
      <c r="I5877" s="5" t="n">
        <v>61</v>
      </c>
      <c r="J5877" s="5" t="n">
        <v>3</v>
      </c>
      <c r="K5877" s="10">
        <f>IF(F5877&gt;0,H5877/F5877,"")</f>
        <v/>
      </c>
      <c r="L5877" s="16">
        <f>IF(AND(G5877&gt;0,H5877&gt;0),G5877/H5877,"")</f>
        <v/>
      </c>
    </row>
    <row r="5878">
      <c r="A5878" s="4" t="inlineStr">
        <is>
          <t>301</t>
        </is>
      </c>
      <c r="B5878" s="4" t="n">
        <v>3</v>
      </c>
      <c r="C5878" s="4" t="inlineStr">
        <is>
          <t>mule deer</t>
        </is>
      </c>
      <c r="D5878" s="4" t="n">
        <v>2013</v>
      </c>
      <c r="E5878" s="13" t="inlineStr">
        <is>
          <t>General</t>
        </is>
      </c>
      <c r="F5878" s="5" t="n">
        <v>1046</v>
      </c>
      <c r="G5878" s="5" t="n">
        <v>6367</v>
      </c>
      <c r="H5878" s="5" t="n">
        <v>69</v>
      </c>
      <c r="I5878" s="5" t="n">
        <v>55</v>
      </c>
      <c r="J5878" s="5" t="n">
        <v>14</v>
      </c>
      <c r="K5878" s="10">
        <f>IF(F5878&gt;0,H5878/F5878,"")</f>
        <v/>
      </c>
      <c r="L5878" s="16">
        <f>IF(AND(G5878&gt;0,H5878&gt;0),G5878/H5878,"")</f>
        <v/>
      </c>
    </row>
    <row r="5879">
      <c r="A5879" s="4" t="inlineStr">
        <is>
          <t>301</t>
        </is>
      </c>
      <c r="B5879" s="4" t="n">
        <v>3</v>
      </c>
      <c r="C5879" s="4" t="inlineStr">
        <is>
          <t>mule deer</t>
        </is>
      </c>
      <c r="D5879" s="4" t="n">
        <v>2014</v>
      </c>
      <c r="E5879" s="13" t="inlineStr">
        <is>
          <t>General</t>
        </is>
      </c>
      <c r="F5879" s="5" t="n"/>
      <c r="G5879" s="5" t="n"/>
      <c r="H5879" s="5" t="n">
        <v>79</v>
      </c>
      <c r="I5879" s="5" t="n">
        <v>71</v>
      </c>
      <c r="J5879" s="5" t="n">
        <v>9</v>
      </c>
      <c r="K5879" s="10">
        <f>IF(F5879&gt;0,H5879/F5879,"")</f>
        <v/>
      </c>
      <c r="L5879" s="16">
        <f>IF(AND(G5879&gt;0,H5879&gt;0),G5879/H5879,"")</f>
        <v/>
      </c>
    </row>
    <row r="5880">
      <c r="A5880" s="4" t="inlineStr">
        <is>
          <t>301</t>
        </is>
      </c>
      <c r="B5880" s="4" t="n">
        <v>3</v>
      </c>
      <c r="C5880" s="4" t="inlineStr">
        <is>
          <t>mule deer</t>
        </is>
      </c>
      <c r="D5880" s="4" t="n">
        <v>2015</v>
      </c>
      <c r="E5880" s="13" t="inlineStr">
        <is>
          <t>General</t>
        </is>
      </c>
      <c r="F5880" s="5" t="n"/>
      <c r="G5880" s="5" t="n"/>
      <c r="H5880" s="5" t="n">
        <v>66</v>
      </c>
      <c r="I5880" s="5" t="n">
        <v>66</v>
      </c>
      <c r="J5880" s="5" t="n">
        <v>0</v>
      </c>
      <c r="K5880" s="10">
        <f>IF(F5880&gt;0,H5880/F5880,"")</f>
        <v/>
      </c>
      <c r="L5880" s="16">
        <f>IF(AND(G5880&gt;0,H5880&gt;0),G5880/H5880,"")</f>
        <v/>
      </c>
    </row>
    <row r="5881">
      <c r="A5881" s="4" t="inlineStr">
        <is>
          <t>301</t>
        </is>
      </c>
      <c r="B5881" s="4" t="n">
        <v>3</v>
      </c>
      <c r="C5881" s="4" t="inlineStr">
        <is>
          <t>mule deer</t>
        </is>
      </c>
      <c r="D5881" s="4" t="n">
        <v>2016</v>
      </c>
      <c r="E5881" s="13" t="inlineStr">
        <is>
          <t>General</t>
        </is>
      </c>
      <c r="F5881" s="5" t="n"/>
      <c r="G5881" s="5" t="n"/>
      <c r="H5881" s="5" t="n">
        <v>116</v>
      </c>
      <c r="I5881" s="5" t="n">
        <v>107</v>
      </c>
      <c r="J5881" s="5" t="n">
        <v>9</v>
      </c>
      <c r="K5881" s="10">
        <f>IF(F5881&gt;0,H5881/F5881,"")</f>
        <v/>
      </c>
      <c r="L5881" s="16">
        <f>IF(AND(G5881&gt;0,H5881&gt;0),G5881/H5881,"")</f>
        <v/>
      </c>
    </row>
    <row r="5882">
      <c r="A5882" s="4" t="inlineStr">
        <is>
          <t>301</t>
        </is>
      </c>
      <c r="B5882" s="4" t="n">
        <v>3</v>
      </c>
      <c r="C5882" s="4" t="inlineStr">
        <is>
          <t>mule deer</t>
        </is>
      </c>
      <c r="D5882" s="4" t="n">
        <v>2017</v>
      </c>
      <c r="E5882" s="13" t="inlineStr">
        <is>
          <t>General</t>
        </is>
      </c>
      <c r="F5882" s="5" t="n">
        <v>773</v>
      </c>
      <c r="G5882" s="5" t="n">
        <v>5186</v>
      </c>
      <c r="H5882" s="5" t="n">
        <v>97</v>
      </c>
      <c r="I5882" s="5" t="n">
        <v>80</v>
      </c>
      <c r="J5882" s="5" t="n">
        <v>18</v>
      </c>
      <c r="K5882" s="10">
        <f>IF(F5882&gt;0,H5882/F5882,"")</f>
        <v/>
      </c>
      <c r="L5882" s="16">
        <f>IF(AND(G5882&gt;0,H5882&gt;0),G5882/H5882,"")</f>
        <v/>
      </c>
    </row>
    <row r="5883">
      <c r="A5883" s="4" t="inlineStr">
        <is>
          <t>301</t>
        </is>
      </c>
      <c r="B5883" s="4" t="n">
        <v>3</v>
      </c>
      <c r="C5883" s="4" t="inlineStr">
        <is>
          <t>mule deer</t>
        </is>
      </c>
      <c r="D5883" s="4" t="n">
        <v>2018</v>
      </c>
      <c r="E5883" s="13" t="inlineStr">
        <is>
          <t>General</t>
        </is>
      </c>
      <c r="F5883" s="5" t="n"/>
      <c r="G5883" s="5" t="n"/>
      <c r="H5883" s="5" t="n">
        <v>120</v>
      </c>
      <c r="I5883" s="5" t="n">
        <v>103</v>
      </c>
      <c r="J5883" s="5" t="n">
        <v>17</v>
      </c>
      <c r="K5883" s="10">
        <f>IF(F5883&gt;0,H5883/F5883,"")</f>
        <v/>
      </c>
      <c r="L5883" s="16">
        <f>IF(AND(G5883&gt;0,H5883&gt;0),G5883/H5883,"")</f>
        <v/>
      </c>
    </row>
    <row r="5884">
      <c r="A5884" s="4" t="inlineStr">
        <is>
          <t>301</t>
        </is>
      </c>
      <c r="B5884" s="4" t="n">
        <v>3</v>
      </c>
      <c r="C5884" s="4" t="inlineStr">
        <is>
          <t>mule deer</t>
        </is>
      </c>
      <c r="D5884" s="4" t="n">
        <v>2019</v>
      </c>
      <c r="E5884" s="13" t="inlineStr">
        <is>
          <t>General</t>
        </is>
      </c>
      <c r="F5884" s="5" t="n">
        <v>805</v>
      </c>
      <c r="G5884" s="5" t="n">
        <v>4696</v>
      </c>
      <c r="H5884" s="5" t="n">
        <v>74</v>
      </c>
      <c r="I5884" s="5" t="n">
        <v>71</v>
      </c>
      <c r="J5884" s="5" t="n">
        <v>3</v>
      </c>
      <c r="K5884" s="10">
        <f>IF(F5884&gt;0,H5884/F5884,"")</f>
        <v/>
      </c>
      <c r="L5884" s="16">
        <f>IF(AND(G5884&gt;0,H5884&gt;0),G5884/H5884,"")</f>
        <v/>
      </c>
    </row>
    <row r="5885">
      <c r="A5885" s="4" t="inlineStr">
        <is>
          <t>301</t>
        </is>
      </c>
      <c r="B5885" s="4" t="n">
        <v>3</v>
      </c>
      <c r="C5885" s="4" t="inlineStr">
        <is>
          <t>mule deer</t>
        </is>
      </c>
      <c r="D5885" s="4" t="n">
        <v>2020</v>
      </c>
      <c r="E5885" s="13" t="inlineStr">
        <is>
          <t>General</t>
        </is>
      </c>
      <c r="F5885" s="5" t="n"/>
      <c r="G5885" s="5" t="n"/>
      <c r="H5885" s="5" t="n">
        <v>74</v>
      </c>
      <c r="I5885" s="5" t="n">
        <v>67</v>
      </c>
      <c r="J5885" s="5" t="n">
        <v>7</v>
      </c>
      <c r="K5885" s="10">
        <f>IF(F5885&gt;0,H5885/F5885,"")</f>
        <v/>
      </c>
      <c r="L5885" s="16">
        <f>IF(AND(G5885&gt;0,H5885&gt;0),G5885/H5885,"")</f>
        <v/>
      </c>
    </row>
    <row r="5886">
      <c r="A5886" s="4" t="inlineStr">
        <is>
          <t>301</t>
        </is>
      </c>
      <c r="B5886" s="4" t="n">
        <v>3</v>
      </c>
      <c r="C5886" s="4" t="inlineStr">
        <is>
          <t>mule deer</t>
        </is>
      </c>
      <c r="D5886" s="4" t="n">
        <v>2021</v>
      </c>
      <c r="E5886" s="13" t="inlineStr">
        <is>
          <t>General</t>
        </is>
      </c>
      <c r="F5886" s="5" t="n">
        <v>704</v>
      </c>
      <c r="G5886" s="5" t="n">
        <v>4334</v>
      </c>
      <c r="H5886" s="5" t="n">
        <v>76</v>
      </c>
      <c r="I5886" s="5" t="n">
        <v>76</v>
      </c>
      <c r="J5886" s="5" t="n">
        <v>0</v>
      </c>
      <c r="K5886" s="10">
        <f>IF(F5886&gt;0,H5886/F5886,"")</f>
        <v/>
      </c>
      <c r="L5886" s="16">
        <f>IF(AND(G5886&gt;0,H5886&gt;0),G5886/H5886,"")</f>
        <v/>
      </c>
    </row>
    <row r="5887">
      <c r="A5887" s="4" t="inlineStr">
        <is>
          <t>301</t>
        </is>
      </c>
      <c r="B5887" s="4" t="n">
        <v>3</v>
      </c>
      <c r="C5887" s="4" t="inlineStr">
        <is>
          <t>mule deer</t>
        </is>
      </c>
      <c r="D5887" s="4" t="n">
        <v>2022</v>
      </c>
      <c r="E5887" s="13" t="inlineStr">
        <is>
          <t>General</t>
        </is>
      </c>
      <c r="F5887" s="5" t="n"/>
      <c r="G5887" s="5" t="n"/>
      <c r="H5887" s="5" t="n">
        <v>105</v>
      </c>
      <c r="I5887" s="5" t="n">
        <v>82</v>
      </c>
      <c r="J5887" s="5" t="n">
        <v>23</v>
      </c>
      <c r="K5887" s="10">
        <f>IF(F5887&gt;0,H5887/F5887,"")</f>
        <v/>
      </c>
      <c r="L5887" s="16">
        <f>IF(AND(G5887&gt;0,H5887&gt;0),G5887/H5887,"")</f>
        <v/>
      </c>
    </row>
    <row r="5888">
      <c r="A5888" s="4" t="inlineStr">
        <is>
          <t>301</t>
        </is>
      </c>
      <c r="B5888" s="4" t="n">
        <v>3</v>
      </c>
      <c r="C5888" s="4" t="inlineStr">
        <is>
          <t>mule deer</t>
        </is>
      </c>
      <c r="D5888" s="4" t="n">
        <v>2023</v>
      </c>
      <c r="E5888" s="13" t="inlineStr">
        <is>
          <t>General</t>
        </is>
      </c>
      <c r="F5888" s="5" t="n">
        <v>952</v>
      </c>
      <c r="G5888" s="5" t="n">
        <v>6492</v>
      </c>
      <c r="H5888" s="5" t="n">
        <v>102</v>
      </c>
      <c r="I5888" s="5" t="n">
        <v>94</v>
      </c>
      <c r="J5888" s="5" t="n">
        <v>8</v>
      </c>
      <c r="K5888" s="10">
        <f>IF(F5888&gt;0,H5888/F5888,"")</f>
        <v/>
      </c>
      <c r="L5888" s="16">
        <f>IF(AND(G5888&gt;0,H5888&gt;0),G5888/H5888,"")</f>
        <v/>
      </c>
    </row>
    <row r="5889">
      <c r="A5889" s="4" t="inlineStr">
        <is>
          <t>301</t>
        </is>
      </c>
      <c r="B5889" s="4" t="n">
        <v>3</v>
      </c>
      <c r="C5889" s="4" t="inlineStr">
        <is>
          <t>mule deer</t>
        </is>
      </c>
      <c r="D5889" s="4" t="n">
        <v>2024</v>
      </c>
      <c r="E5889" s="13" t="inlineStr">
        <is>
          <t>General</t>
        </is>
      </c>
      <c r="F5889" s="5" t="n"/>
      <c r="G5889" s="5" t="n"/>
      <c r="H5889" s="5" t="n">
        <v>99</v>
      </c>
      <c r="I5889" s="5" t="n">
        <v>94</v>
      </c>
      <c r="J5889" s="5" t="n">
        <v>6</v>
      </c>
      <c r="K5889" s="10">
        <f>IF(F5889&gt;0,H5889/F5889,"")</f>
        <v/>
      </c>
      <c r="L5889" s="16">
        <f>IF(AND(G5889&gt;0,H5889&gt;0),G5889/H5889,"")</f>
        <v/>
      </c>
    </row>
    <row r="5890">
      <c r="A5890" s="4" t="inlineStr">
        <is>
          <t>301</t>
        </is>
      </c>
      <c r="B5890" s="4" t="n">
        <v>3</v>
      </c>
      <c r="C5890" s="4" t="inlineStr">
        <is>
          <t>mule deer</t>
        </is>
      </c>
      <c r="D5890" s="4" t="n">
        <v>2025</v>
      </c>
      <c r="E5890" s="13" t="inlineStr">
        <is>
          <t>General</t>
        </is>
      </c>
      <c r="F5890" s="5" t="n">
        <v>1106</v>
      </c>
      <c r="G5890" s="5" t="n">
        <v>6509</v>
      </c>
      <c r="H5890" s="5" t="n">
        <v>146</v>
      </c>
      <c r="I5890" s="5" t="n">
        <v>137</v>
      </c>
      <c r="J5890" s="5" t="n">
        <v>9</v>
      </c>
      <c r="K5890" s="10">
        <f>IF(F5890&gt;0,H5890/F5890,"")</f>
        <v/>
      </c>
      <c r="L5890" s="16">
        <f>IF(AND(G5890&gt;0,H5890&gt;0),G5890/H5890,"")</f>
        <v/>
      </c>
    </row>
    <row r="5891">
      <c r="A5891" s="4" t="inlineStr">
        <is>
          <t>302</t>
        </is>
      </c>
      <c r="B5891" s="4" t="n">
        <v>3</v>
      </c>
      <c r="C5891" s="4" t="inlineStr">
        <is>
          <t>mule deer</t>
        </is>
      </c>
      <c r="D5891" s="4" t="n">
        <v>2004</v>
      </c>
      <c r="E5891" s="13" t="inlineStr">
        <is>
          <t>General</t>
        </is>
      </c>
      <c r="F5891" s="5" t="n">
        <v>510</v>
      </c>
      <c r="G5891" s="5" t="n">
        <v>2280</v>
      </c>
      <c r="H5891" s="5" t="n">
        <v>158</v>
      </c>
      <c r="I5891" s="5" t="n">
        <v>96</v>
      </c>
      <c r="J5891" s="5" t="n">
        <v>62</v>
      </c>
      <c r="K5891" s="10">
        <f>IF(F5891&gt;0,H5891/F5891,"")</f>
        <v/>
      </c>
      <c r="L5891" s="16">
        <f>IF(AND(G5891&gt;0,H5891&gt;0),G5891/H5891,"")</f>
        <v/>
      </c>
    </row>
    <row r="5892">
      <c r="A5892" s="4" t="inlineStr">
        <is>
          <t>302</t>
        </is>
      </c>
      <c r="B5892" s="4" t="n">
        <v>3</v>
      </c>
      <c r="C5892" s="4" t="inlineStr">
        <is>
          <t>mule deer</t>
        </is>
      </c>
      <c r="D5892" s="4" t="n">
        <v>2005</v>
      </c>
      <c r="E5892" s="13" t="inlineStr">
        <is>
          <t>General</t>
        </is>
      </c>
      <c r="F5892" s="5" t="n">
        <v>385</v>
      </c>
      <c r="G5892" s="5" t="n">
        <v>2200</v>
      </c>
      <c r="H5892" s="5" t="n">
        <v>148</v>
      </c>
      <c r="I5892" s="5" t="n">
        <v>95</v>
      </c>
      <c r="J5892" s="5" t="n">
        <v>51</v>
      </c>
      <c r="K5892" s="10">
        <f>IF(F5892&gt;0,H5892/F5892,"")</f>
        <v/>
      </c>
      <c r="L5892" s="16">
        <f>IF(AND(G5892&gt;0,H5892&gt;0),G5892/H5892,"")</f>
        <v/>
      </c>
    </row>
    <row r="5893">
      <c r="A5893" s="4" t="inlineStr">
        <is>
          <t>302</t>
        </is>
      </c>
      <c r="B5893" s="4" t="n">
        <v>3</v>
      </c>
      <c r="C5893" s="4" t="inlineStr">
        <is>
          <t>mule deer</t>
        </is>
      </c>
      <c r="D5893" s="4" t="n">
        <v>2006</v>
      </c>
      <c r="E5893" s="13" t="inlineStr">
        <is>
          <t>General</t>
        </is>
      </c>
      <c r="F5893" s="5" t="n">
        <v>393</v>
      </c>
      <c r="G5893" s="5" t="n">
        <v>2636</v>
      </c>
      <c r="H5893" s="5" t="n">
        <v>202</v>
      </c>
      <c r="I5893" s="5" t="n">
        <v>142</v>
      </c>
      <c r="J5893" s="5" t="n">
        <v>58</v>
      </c>
      <c r="K5893" s="10">
        <f>IF(F5893&gt;0,H5893/F5893,"")</f>
        <v/>
      </c>
      <c r="L5893" s="16">
        <f>IF(AND(G5893&gt;0,H5893&gt;0),G5893/H5893,"")</f>
        <v/>
      </c>
    </row>
    <row r="5894">
      <c r="A5894" s="4" t="inlineStr">
        <is>
          <t>302</t>
        </is>
      </c>
      <c r="B5894" s="4" t="n">
        <v>3</v>
      </c>
      <c r="C5894" s="4" t="inlineStr">
        <is>
          <t>mule deer</t>
        </is>
      </c>
      <c r="D5894" s="4" t="n">
        <v>2007</v>
      </c>
      <c r="E5894" s="13" t="inlineStr">
        <is>
          <t>General</t>
        </is>
      </c>
      <c r="F5894" s="5" t="n">
        <v>480</v>
      </c>
      <c r="G5894" s="5" t="n">
        <v>2630</v>
      </c>
      <c r="H5894" s="5" t="n">
        <v>165</v>
      </c>
      <c r="I5894" s="5" t="n">
        <v>118</v>
      </c>
      <c r="J5894" s="5" t="n">
        <v>47</v>
      </c>
      <c r="K5894" s="10">
        <f>IF(F5894&gt;0,H5894/F5894,"")</f>
        <v/>
      </c>
      <c r="L5894" s="16">
        <f>IF(AND(G5894&gt;0,H5894&gt;0),G5894/H5894,"")</f>
        <v/>
      </c>
    </row>
    <row r="5895">
      <c r="A5895" s="4" t="inlineStr">
        <is>
          <t>302</t>
        </is>
      </c>
      <c r="B5895" s="4" t="n">
        <v>3</v>
      </c>
      <c r="C5895" s="4" t="inlineStr">
        <is>
          <t>mule deer</t>
        </is>
      </c>
      <c r="D5895" s="4" t="n">
        <v>2008</v>
      </c>
      <c r="E5895" s="13" t="inlineStr">
        <is>
          <t>General</t>
        </is>
      </c>
      <c r="F5895" s="5" t="n">
        <v>480</v>
      </c>
      <c r="G5895" s="5" t="n">
        <v>2645</v>
      </c>
      <c r="H5895" s="5" t="n">
        <v>81</v>
      </c>
      <c r="I5895" s="5" t="n">
        <v>55</v>
      </c>
      <c r="J5895" s="5" t="n">
        <v>25</v>
      </c>
      <c r="K5895" s="10">
        <f>IF(F5895&gt;0,H5895/F5895,"")</f>
        <v/>
      </c>
      <c r="L5895" s="16">
        <f>IF(AND(G5895&gt;0,H5895&gt;0),G5895/H5895,"")</f>
        <v/>
      </c>
    </row>
    <row r="5896">
      <c r="A5896" s="4" t="inlineStr">
        <is>
          <t>302</t>
        </is>
      </c>
      <c r="B5896" s="4" t="n">
        <v>3</v>
      </c>
      <c r="C5896" s="4" t="inlineStr">
        <is>
          <t>mule deer</t>
        </is>
      </c>
      <c r="D5896" s="4" t="n">
        <v>2009</v>
      </c>
      <c r="E5896" s="13" t="inlineStr">
        <is>
          <t>General</t>
        </is>
      </c>
      <c r="F5896" s="5" t="n">
        <v>500</v>
      </c>
      <c r="G5896" s="5" t="n">
        <v>2798</v>
      </c>
      <c r="H5896" s="5" t="n">
        <v>85</v>
      </c>
      <c r="I5896" s="5" t="n">
        <v>64</v>
      </c>
      <c r="J5896" s="5" t="n">
        <v>19</v>
      </c>
      <c r="K5896" s="10">
        <f>IF(F5896&gt;0,H5896/F5896,"")</f>
        <v/>
      </c>
      <c r="L5896" s="16">
        <f>IF(AND(G5896&gt;0,H5896&gt;0),G5896/H5896,"")</f>
        <v/>
      </c>
    </row>
    <row r="5897">
      <c r="A5897" s="4" t="inlineStr">
        <is>
          <t>302</t>
        </is>
      </c>
      <c r="B5897" s="4" t="n">
        <v>3</v>
      </c>
      <c r="C5897" s="4" t="inlineStr">
        <is>
          <t>mule deer</t>
        </is>
      </c>
      <c r="D5897" s="4" t="n">
        <v>2010</v>
      </c>
      <c r="E5897" s="13" t="inlineStr">
        <is>
          <t>General</t>
        </is>
      </c>
      <c r="F5897" s="5" t="n">
        <v>268</v>
      </c>
      <c r="G5897" s="5" t="n">
        <v>1560</v>
      </c>
      <c r="H5897" s="5" t="n">
        <v>49</v>
      </c>
      <c r="I5897" s="5" t="n">
        <v>47</v>
      </c>
      <c r="J5897" s="5" t="n">
        <v>2</v>
      </c>
      <c r="K5897" s="10">
        <f>IF(F5897&gt;0,H5897/F5897,"")</f>
        <v/>
      </c>
      <c r="L5897" s="16">
        <f>IF(AND(G5897&gt;0,H5897&gt;0),G5897/H5897,"")</f>
        <v/>
      </c>
    </row>
    <row r="5898">
      <c r="A5898" s="4" t="inlineStr">
        <is>
          <t>302</t>
        </is>
      </c>
      <c r="B5898" s="4" t="n">
        <v>3</v>
      </c>
      <c r="C5898" s="4" t="inlineStr">
        <is>
          <t>mule deer</t>
        </is>
      </c>
      <c r="D5898" s="4" t="n">
        <v>2011</v>
      </c>
      <c r="E5898" s="13" t="inlineStr">
        <is>
          <t>General</t>
        </is>
      </c>
      <c r="F5898" s="5" t="n">
        <v>288</v>
      </c>
      <c r="G5898" s="5" t="n">
        <v>1728</v>
      </c>
      <c r="H5898" s="5" t="n">
        <v>43</v>
      </c>
      <c r="I5898" s="5" t="n">
        <v>41</v>
      </c>
      <c r="J5898" s="5" t="n">
        <v>3</v>
      </c>
      <c r="K5898" s="10">
        <f>IF(F5898&gt;0,H5898/F5898,"")</f>
        <v/>
      </c>
      <c r="L5898" s="16">
        <f>IF(AND(G5898&gt;0,H5898&gt;0),G5898/H5898,"")</f>
        <v/>
      </c>
    </row>
    <row r="5899">
      <c r="A5899" s="4" t="inlineStr">
        <is>
          <t>302</t>
        </is>
      </c>
      <c r="B5899" s="4" t="n">
        <v>3</v>
      </c>
      <c r="C5899" s="4" t="inlineStr">
        <is>
          <t>mule deer</t>
        </is>
      </c>
      <c r="D5899" s="4" t="n">
        <v>2012</v>
      </c>
      <c r="E5899" s="13" t="inlineStr">
        <is>
          <t>General</t>
        </is>
      </c>
      <c r="F5899" s="5" t="n"/>
      <c r="G5899" s="5" t="n"/>
      <c r="H5899" s="5" t="n">
        <v>118</v>
      </c>
      <c r="I5899" s="5" t="n">
        <v>106</v>
      </c>
      <c r="J5899" s="5" t="n">
        <v>12</v>
      </c>
      <c r="K5899" s="10">
        <f>IF(F5899&gt;0,H5899/F5899,"")</f>
        <v/>
      </c>
      <c r="L5899" s="16">
        <f>IF(AND(G5899&gt;0,H5899&gt;0),G5899/H5899,"")</f>
        <v/>
      </c>
    </row>
    <row r="5900">
      <c r="A5900" s="4" t="inlineStr">
        <is>
          <t>302</t>
        </is>
      </c>
      <c r="B5900" s="4" t="n">
        <v>3</v>
      </c>
      <c r="C5900" s="4" t="inlineStr">
        <is>
          <t>mule deer</t>
        </is>
      </c>
      <c r="D5900" s="4" t="n">
        <v>2013</v>
      </c>
      <c r="E5900" s="13" t="inlineStr">
        <is>
          <t>General</t>
        </is>
      </c>
      <c r="F5900" s="5" t="n">
        <v>248</v>
      </c>
      <c r="G5900" s="5" t="n">
        <v>1842</v>
      </c>
      <c r="H5900" s="5" t="n">
        <v>130</v>
      </c>
      <c r="I5900" s="5" t="n">
        <v>124</v>
      </c>
      <c r="J5900" s="5" t="n">
        <v>6</v>
      </c>
      <c r="K5900" s="10">
        <f>IF(F5900&gt;0,H5900/F5900,"")</f>
        <v/>
      </c>
      <c r="L5900" s="16">
        <f>IF(AND(G5900&gt;0,H5900&gt;0),G5900/H5900,"")</f>
        <v/>
      </c>
    </row>
    <row r="5901">
      <c r="A5901" s="4" t="inlineStr">
        <is>
          <t>302</t>
        </is>
      </c>
      <c r="B5901" s="4" t="n">
        <v>3</v>
      </c>
      <c r="C5901" s="4" t="inlineStr">
        <is>
          <t>mule deer</t>
        </is>
      </c>
      <c r="D5901" s="4" t="n">
        <v>2014</v>
      </c>
      <c r="E5901" s="13" t="inlineStr">
        <is>
          <t>General</t>
        </is>
      </c>
      <c r="F5901" s="5" t="n"/>
      <c r="G5901" s="5" t="n"/>
      <c r="H5901" s="5" t="n">
        <v>113</v>
      </c>
      <c r="I5901" s="5" t="n">
        <v>110</v>
      </c>
      <c r="J5901" s="5" t="n">
        <v>3</v>
      </c>
      <c r="K5901" s="10">
        <f>IF(F5901&gt;0,H5901/F5901,"")</f>
        <v/>
      </c>
      <c r="L5901" s="16">
        <f>IF(AND(G5901&gt;0,H5901&gt;0),G5901/H5901,"")</f>
        <v/>
      </c>
    </row>
    <row r="5902">
      <c r="A5902" s="4" t="inlineStr">
        <is>
          <t>302</t>
        </is>
      </c>
      <c r="B5902" s="4" t="n">
        <v>3</v>
      </c>
      <c r="C5902" s="4" t="inlineStr">
        <is>
          <t>mule deer</t>
        </is>
      </c>
      <c r="D5902" s="4" t="n">
        <v>2015</v>
      </c>
      <c r="E5902" s="13" t="inlineStr">
        <is>
          <t>General</t>
        </is>
      </c>
      <c r="F5902" s="5" t="n"/>
      <c r="G5902" s="5" t="n"/>
      <c r="H5902" s="5" t="n">
        <v>176</v>
      </c>
      <c r="I5902" s="5" t="n">
        <v>176</v>
      </c>
      <c r="J5902" s="5" t="n">
        <v>0</v>
      </c>
      <c r="K5902" s="10">
        <f>IF(F5902&gt;0,H5902/F5902,"")</f>
        <v/>
      </c>
      <c r="L5902" s="16">
        <f>IF(AND(G5902&gt;0,H5902&gt;0),G5902/H5902,"")</f>
        <v/>
      </c>
    </row>
    <row r="5903">
      <c r="A5903" s="4" t="inlineStr">
        <is>
          <t>302</t>
        </is>
      </c>
      <c r="B5903" s="4" t="n">
        <v>3</v>
      </c>
      <c r="C5903" s="4" t="inlineStr">
        <is>
          <t>mule deer</t>
        </is>
      </c>
      <c r="D5903" s="4" t="n">
        <v>2016</v>
      </c>
      <c r="E5903" s="13" t="inlineStr">
        <is>
          <t>General</t>
        </is>
      </c>
      <c r="F5903" s="5" t="n"/>
      <c r="G5903" s="5" t="n"/>
      <c r="H5903" s="5" t="n">
        <v>257</v>
      </c>
      <c r="I5903" s="5" t="n">
        <v>197</v>
      </c>
      <c r="J5903" s="5" t="n">
        <v>60</v>
      </c>
      <c r="K5903" s="10">
        <f>IF(F5903&gt;0,H5903/F5903,"")</f>
        <v/>
      </c>
      <c r="L5903" s="16">
        <f>IF(AND(G5903&gt;0,H5903&gt;0),G5903/H5903,"")</f>
        <v/>
      </c>
    </row>
    <row r="5904">
      <c r="A5904" s="4" t="inlineStr">
        <is>
          <t>302</t>
        </is>
      </c>
      <c r="B5904" s="4" t="n">
        <v>3</v>
      </c>
      <c r="C5904" s="4" t="inlineStr">
        <is>
          <t>mule deer</t>
        </is>
      </c>
      <c r="D5904" s="4" t="n">
        <v>2017</v>
      </c>
      <c r="E5904" s="13" t="inlineStr">
        <is>
          <t>General</t>
        </is>
      </c>
      <c r="F5904" s="5" t="n">
        <v>749</v>
      </c>
      <c r="G5904" s="5" t="n">
        <v>4677</v>
      </c>
      <c r="H5904" s="5" t="n">
        <v>202</v>
      </c>
      <c r="I5904" s="5" t="n">
        <v>167</v>
      </c>
      <c r="J5904" s="5" t="n">
        <v>35</v>
      </c>
      <c r="K5904" s="10">
        <f>IF(F5904&gt;0,H5904/F5904,"")</f>
        <v/>
      </c>
      <c r="L5904" s="16">
        <f>IF(AND(G5904&gt;0,H5904&gt;0),G5904/H5904,"")</f>
        <v/>
      </c>
    </row>
    <row r="5905">
      <c r="A5905" s="4" t="inlineStr">
        <is>
          <t>302</t>
        </is>
      </c>
      <c r="B5905" s="4" t="n">
        <v>3</v>
      </c>
      <c r="C5905" s="4" t="inlineStr">
        <is>
          <t>mule deer</t>
        </is>
      </c>
      <c r="D5905" s="4" t="n">
        <v>2018</v>
      </c>
      <c r="E5905" s="13" t="inlineStr">
        <is>
          <t>General</t>
        </is>
      </c>
      <c r="F5905" s="5" t="n"/>
      <c r="G5905" s="5" t="n"/>
      <c r="H5905" s="5" t="n">
        <v>193</v>
      </c>
      <c r="I5905" s="5" t="n">
        <v>156</v>
      </c>
      <c r="J5905" s="5" t="n">
        <v>37</v>
      </c>
      <c r="K5905" s="10">
        <f>IF(F5905&gt;0,H5905/F5905,"")</f>
        <v/>
      </c>
      <c r="L5905" s="16">
        <f>IF(AND(G5905&gt;0,H5905&gt;0),G5905/H5905,"")</f>
        <v/>
      </c>
    </row>
    <row r="5906">
      <c r="A5906" s="4" t="inlineStr">
        <is>
          <t>302</t>
        </is>
      </c>
      <c r="B5906" s="4" t="n">
        <v>3</v>
      </c>
      <c r="C5906" s="4" t="inlineStr">
        <is>
          <t>mule deer</t>
        </is>
      </c>
      <c r="D5906" s="4" t="n">
        <v>2019</v>
      </c>
      <c r="E5906" s="13" t="inlineStr">
        <is>
          <t>General</t>
        </is>
      </c>
      <c r="F5906" s="5" t="n">
        <v>630</v>
      </c>
      <c r="G5906" s="5" t="n">
        <v>3679</v>
      </c>
      <c r="H5906" s="5" t="n">
        <v>160</v>
      </c>
      <c r="I5906" s="5" t="n">
        <v>127</v>
      </c>
      <c r="J5906" s="5" t="n">
        <v>33</v>
      </c>
      <c r="K5906" s="10">
        <f>IF(F5906&gt;0,H5906/F5906,"")</f>
        <v/>
      </c>
      <c r="L5906" s="16">
        <f>IF(AND(G5906&gt;0,H5906&gt;0),G5906/H5906,"")</f>
        <v/>
      </c>
    </row>
    <row r="5907">
      <c r="A5907" s="4" t="inlineStr">
        <is>
          <t>302</t>
        </is>
      </c>
      <c r="B5907" s="4" t="n">
        <v>3</v>
      </c>
      <c r="C5907" s="4" t="inlineStr">
        <is>
          <t>mule deer</t>
        </is>
      </c>
      <c r="D5907" s="4" t="n">
        <v>2020</v>
      </c>
      <c r="E5907" s="13" t="inlineStr">
        <is>
          <t>General</t>
        </is>
      </c>
      <c r="F5907" s="5" t="n"/>
      <c r="G5907" s="5" t="n"/>
      <c r="H5907" s="5" t="n">
        <v>167</v>
      </c>
      <c r="I5907" s="5" t="n">
        <v>126</v>
      </c>
      <c r="J5907" s="5" t="n">
        <v>38</v>
      </c>
      <c r="K5907" s="10">
        <f>IF(F5907&gt;0,H5907/F5907,"")</f>
        <v/>
      </c>
      <c r="L5907" s="16">
        <f>IF(AND(G5907&gt;0,H5907&gt;0),G5907/H5907,"")</f>
        <v/>
      </c>
    </row>
    <row r="5908">
      <c r="A5908" s="4" t="inlineStr">
        <is>
          <t>302</t>
        </is>
      </c>
      <c r="B5908" s="4" t="n">
        <v>3</v>
      </c>
      <c r="C5908" s="4" t="inlineStr">
        <is>
          <t>mule deer</t>
        </is>
      </c>
      <c r="D5908" s="4" t="n">
        <v>2021</v>
      </c>
      <c r="E5908" s="13" t="inlineStr">
        <is>
          <t>General</t>
        </is>
      </c>
      <c r="F5908" s="5" t="n">
        <v>726</v>
      </c>
      <c r="G5908" s="5" t="n">
        <v>4422</v>
      </c>
      <c r="H5908" s="5" t="n">
        <v>183</v>
      </c>
      <c r="I5908" s="5" t="n">
        <v>130</v>
      </c>
      <c r="J5908" s="5" t="n">
        <v>53</v>
      </c>
      <c r="K5908" s="10">
        <f>IF(F5908&gt;0,H5908/F5908,"")</f>
        <v/>
      </c>
      <c r="L5908" s="16">
        <f>IF(AND(G5908&gt;0,H5908&gt;0),G5908/H5908,"")</f>
        <v/>
      </c>
    </row>
    <row r="5909">
      <c r="A5909" s="4" t="inlineStr">
        <is>
          <t>302</t>
        </is>
      </c>
      <c r="B5909" s="4" t="n">
        <v>3</v>
      </c>
      <c r="C5909" s="4" t="inlineStr">
        <is>
          <t>mule deer</t>
        </is>
      </c>
      <c r="D5909" s="4" t="n">
        <v>2022</v>
      </c>
      <c r="E5909" s="13" t="inlineStr">
        <is>
          <t>General</t>
        </is>
      </c>
      <c r="F5909" s="5" t="n"/>
      <c r="G5909" s="5" t="n"/>
      <c r="H5909" s="5" t="n">
        <v>130</v>
      </c>
      <c r="I5909" s="5" t="n">
        <v>87</v>
      </c>
      <c r="J5909" s="5" t="n">
        <v>43</v>
      </c>
      <c r="K5909" s="10">
        <f>IF(F5909&gt;0,H5909/F5909,"")</f>
        <v/>
      </c>
      <c r="L5909" s="16">
        <f>IF(AND(G5909&gt;0,H5909&gt;0),G5909/H5909,"")</f>
        <v/>
      </c>
    </row>
    <row r="5910">
      <c r="A5910" s="4" t="inlineStr">
        <is>
          <t>302</t>
        </is>
      </c>
      <c r="B5910" s="4" t="n">
        <v>3</v>
      </c>
      <c r="C5910" s="4" t="inlineStr">
        <is>
          <t>mule deer</t>
        </is>
      </c>
      <c r="D5910" s="4" t="n">
        <v>2023</v>
      </c>
      <c r="E5910" s="13" t="inlineStr">
        <is>
          <t>General</t>
        </is>
      </c>
      <c r="F5910" s="5" t="n">
        <v>764</v>
      </c>
      <c r="G5910" s="5" t="n">
        <v>4757</v>
      </c>
      <c r="H5910" s="5" t="n">
        <v>140</v>
      </c>
      <c r="I5910" s="5" t="n">
        <v>108</v>
      </c>
      <c r="J5910" s="5" t="n">
        <v>28</v>
      </c>
      <c r="K5910" s="10">
        <f>IF(F5910&gt;0,H5910/F5910,"")</f>
        <v/>
      </c>
      <c r="L5910" s="16">
        <f>IF(AND(G5910&gt;0,H5910&gt;0),G5910/H5910,"")</f>
        <v/>
      </c>
    </row>
    <row r="5911">
      <c r="A5911" s="4" t="inlineStr">
        <is>
          <t>302</t>
        </is>
      </c>
      <c r="B5911" s="4" t="n">
        <v>3</v>
      </c>
      <c r="C5911" s="4" t="inlineStr">
        <is>
          <t>mule deer</t>
        </is>
      </c>
      <c r="D5911" s="4" t="n">
        <v>2024</v>
      </c>
      <c r="E5911" s="13" t="inlineStr">
        <is>
          <t>General</t>
        </is>
      </c>
      <c r="F5911" s="5" t="n"/>
      <c r="G5911" s="5" t="n"/>
      <c r="H5911" s="5" t="n">
        <v>194</v>
      </c>
      <c r="I5911" s="5" t="n">
        <v>128</v>
      </c>
      <c r="J5911" s="5" t="n">
        <v>66</v>
      </c>
      <c r="K5911" s="10">
        <f>IF(F5911&gt;0,H5911/F5911,"")</f>
        <v/>
      </c>
      <c r="L5911" s="16">
        <f>IF(AND(G5911&gt;0,H5911&gt;0),G5911/H5911,"")</f>
        <v/>
      </c>
    </row>
    <row r="5912">
      <c r="A5912" s="4" t="inlineStr">
        <is>
          <t>302</t>
        </is>
      </c>
      <c r="B5912" s="4" t="n">
        <v>3</v>
      </c>
      <c r="C5912" s="4" t="inlineStr">
        <is>
          <t>mule deer</t>
        </is>
      </c>
      <c r="D5912" s="4" t="n">
        <v>2025</v>
      </c>
      <c r="E5912" s="13" t="inlineStr">
        <is>
          <t>General</t>
        </is>
      </c>
      <c r="F5912" s="5" t="n">
        <v>960</v>
      </c>
      <c r="G5912" s="5" t="n">
        <v>7112</v>
      </c>
      <c r="H5912" s="5" t="n">
        <v>232</v>
      </c>
      <c r="I5912" s="5" t="n">
        <v>172</v>
      </c>
      <c r="J5912" s="5" t="n">
        <v>56</v>
      </c>
      <c r="K5912" s="10">
        <f>IF(F5912&gt;0,H5912/F5912,"")</f>
        <v/>
      </c>
      <c r="L5912" s="16">
        <f>IF(AND(G5912&gt;0,H5912&gt;0),G5912/H5912,"")</f>
        <v/>
      </c>
    </row>
    <row r="5913">
      <c r="A5913" s="4" t="inlineStr">
        <is>
          <t>303</t>
        </is>
      </c>
      <c r="B5913" s="4" t="n">
        <v>3</v>
      </c>
      <c r="C5913" s="4" t="inlineStr">
        <is>
          <t>mule deer</t>
        </is>
      </c>
      <c r="D5913" s="4" t="n">
        <v>2022</v>
      </c>
      <c r="E5913" s="15" t="inlineStr">
        <is>
          <t>Draw</t>
        </is>
      </c>
      <c r="F5913" s="5" t="n"/>
      <c r="G5913" s="5" t="n"/>
      <c r="H5913" s="5" t="n">
        <v>68</v>
      </c>
      <c r="I5913" s="5" t="n">
        <v>34</v>
      </c>
      <c r="J5913" s="5" t="n">
        <v>34</v>
      </c>
      <c r="K5913" s="10">
        <f>IF(F5913&gt;0,H5913/F5913,"")</f>
        <v/>
      </c>
      <c r="L5913" s="16">
        <f>IF(AND(G5913&gt;0,H5913&gt;0),G5913/H5913,"")</f>
        <v/>
      </c>
    </row>
    <row r="5914">
      <c r="A5914" s="4" t="inlineStr">
        <is>
          <t>303</t>
        </is>
      </c>
      <c r="B5914" s="4" t="n">
        <v>3</v>
      </c>
      <c r="C5914" s="4" t="inlineStr">
        <is>
          <t>mule deer</t>
        </is>
      </c>
      <c r="D5914" s="4" t="n">
        <v>2023</v>
      </c>
      <c r="E5914" s="15" t="inlineStr">
        <is>
          <t>Draw</t>
        </is>
      </c>
      <c r="F5914" s="5" t="n">
        <v>327</v>
      </c>
      <c r="G5914" s="5" t="n">
        <v>2125</v>
      </c>
      <c r="H5914" s="5" t="n">
        <v>78</v>
      </c>
      <c r="I5914" s="5" t="n">
        <v>52</v>
      </c>
      <c r="J5914" s="5" t="n">
        <v>25</v>
      </c>
      <c r="K5914" s="10">
        <f>IF(F5914&gt;0,H5914/F5914,"")</f>
        <v/>
      </c>
      <c r="L5914" s="16">
        <f>IF(AND(G5914&gt;0,H5914&gt;0),G5914/H5914,"")</f>
        <v/>
      </c>
    </row>
    <row r="5915">
      <c r="A5915" s="4" t="inlineStr">
        <is>
          <t>303</t>
        </is>
      </c>
      <c r="B5915" s="4" t="n">
        <v>3</v>
      </c>
      <c r="C5915" s="4" t="inlineStr">
        <is>
          <t>mule deer</t>
        </is>
      </c>
      <c r="D5915" s="4" t="n">
        <v>2024</v>
      </c>
      <c r="E5915" s="15" t="inlineStr">
        <is>
          <t>Draw</t>
        </is>
      </c>
      <c r="F5915" s="5" t="n"/>
      <c r="G5915" s="5" t="n"/>
      <c r="H5915" s="5" t="n">
        <v>50</v>
      </c>
      <c r="I5915" s="5" t="n">
        <v>26</v>
      </c>
      <c r="J5915" s="5" t="n">
        <v>24</v>
      </c>
      <c r="K5915" s="10">
        <f>IF(F5915&gt;0,H5915/F5915,"")</f>
        <v/>
      </c>
      <c r="L5915" s="16">
        <f>IF(AND(G5915&gt;0,H5915&gt;0),G5915/H5915,"")</f>
        <v/>
      </c>
    </row>
    <row r="5916">
      <c r="A5916" s="4" t="inlineStr">
        <is>
          <t>303</t>
        </is>
      </c>
      <c r="B5916" s="4" t="n">
        <v>3</v>
      </c>
      <c r="C5916" s="4" t="inlineStr">
        <is>
          <t>mule deer</t>
        </is>
      </c>
      <c r="D5916" s="4" t="n">
        <v>2025</v>
      </c>
      <c r="E5916" s="15" t="inlineStr">
        <is>
          <t>Draw</t>
        </is>
      </c>
      <c r="F5916" s="5" t="n">
        <v>348</v>
      </c>
      <c r="G5916" s="5" t="n">
        <v>2477</v>
      </c>
      <c r="H5916" s="5" t="n">
        <v>47</v>
      </c>
      <c r="I5916" s="5" t="n">
        <v>31</v>
      </c>
      <c r="J5916" s="5" t="n">
        <v>16</v>
      </c>
      <c r="K5916" s="10">
        <f>IF(F5916&gt;0,H5916/F5916,"")</f>
        <v/>
      </c>
      <c r="L5916" s="16">
        <f>IF(AND(G5916&gt;0,H5916&gt;0),G5916/H5916,"")</f>
        <v/>
      </c>
    </row>
    <row r="5917">
      <c r="A5917" s="4" t="inlineStr">
        <is>
          <t>304</t>
        </is>
      </c>
      <c r="B5917" s="4" t="n">
        <v>3</v>
      </c>
      <c r="C5917" s="4" t="inlineStr">
        <is>
          <t>mule deer</t>
        </is>
      </c>
      <c r="D5917" s="4" t="n">
        <v>2022</v>
      </c>
      <c r="E5917" s="13" t="inlineStr">
        <is>
          <t>General</t>
        </is>
      </c>
      <c r="F5917" s="5" t="n"/>
      <c r="G5917" s="5" t="n"/>
      <c r="H5917" s="5" t="n">
        <v>108</v>
      </c>
      <c r="I5917" s="5" t="n">
        <v>103</v>
      </c>
      <c r="J5917" s="5" t="n">
        <v>6</v>
      </c>
      <c r="K5917" s="10">
        <f>IF(F5917&gt;0,H5917/F5917,"")</f>
        <v/>
      </c>
      <c r="L5917" s="16">
        <f>IF(AND(G5917&gt;0,H5917&gt;0),G5917/H5917,"")</f>
        <v/>
      </c>
    </row>
    <row r="5918">
      <c r="A5918" s="4" t="inlineStr">
        <is>
          <t>304</t>
        </is>
      </c>
      <c r="B5918" s="4" t="n">
        <v>3</v>
      </c>
      <c r="C5918" s="4" t="inlineStr">
        <is>
          <t>mule deer</t>
        </is>
      </c>
      <c r="D5918" s="4" t="n">
        <v>2023</v>
      </c>
      <c r="E5918" s="13" t="inlineStr">
        <is>
          <t>General</t>
        </is>
      </c>
      <c r="F5918" s="5" t="n">
        <v>490</v>
      </c>
      <c r="G5918" s="5" t="n">
        <v>2685</v>
      </c>
      <c r="H5918" s="5" t="n">
        <v>63</v>
      </c>
      <c r="I5918" s="5" t="n">
        <v>57</v>
      </c>
      <c r="J5918" s="5" t="n">
        <v>6</v>
      </c>
      <c r="K5918" s="10">
        <f>IF(F5918&gt;0,H5918/F5918,"")</f>
        <v/>
      </c>
      <c r="L5918" s="16">
        <f>IF(AND(G5918&gt;0,H5918&gt;0),G5918/H5918,"")</f>
        <v/>
      </c>
    </row>
    <row r="5919">
      <c r="A5919" s="4" t="inlineStr">
        <is>
          <t>304</t>
        </is>
      </c>
      <c r="B5919" s="4" t="n">
        <v>3</v>
      </c>
      <c r="C5919" s="4" t="inlineStr">
        <is>
          <t>mule deer</t>
        </is>
      </c>
      <c r="D5919" s="4" t="n">
        <v>2024</v>
      </c>
      <c r="E5919" s="13" t="inlineStr">
        <is>
          <t>General</t>
        </is>
      </c>
      <c r="F5919" s="5" t="n"/>
      <c r="G5919" s="5" t="n"/>
      <c r="H5919" s="5" t="n">
        <v>103</v>
      </c>
      <c r="I5919" s="5" t="n">
        <v>94</v>
      </c>
      <c r="J5919" s="5" t="n">
        <v>9</v>
      </c>
      <c r="K5919" s="10">
        <f>IF(F5919&gt;0,H5919/F5919,"")</f>
        <v/>
      </c>
      <c r="L5919" s="16">
        <f>IF(AND(G5919&gt;0,H5919&gt;0),G5919/H5919,"")</f>
        <v/>
      </c>
    </row>
    <row r="5920">
      <c r="A5920" s="4" t="inlineStr">
        <is>
          <t>304</t>
        </is>
      </c>
      <c r="B5920" s="4" t="n">
        <v>3</v>
      </c>
      <c r="C5920" s="4" t="inlineStr">
        <is>
          <t>mule deer</t>
        </is>
      </c>
      <c r="D5920" s="4" t="n">
        <v>2025</v>
      </c>
      <c r="E5920" s="13" t="inlineStr">
        <is>
          <t>General</t>
        </is>
      </c>
      <c r="F5920" s="5" t="n">
        <v>462</v>
      </c>
      <c r="G5920" s="5" t="n">
        <v>2772</v>
      </c>
      <c r="H5920" s="5" t="n">
        <v>74</v>
      </c>
      <c r="I5920" s="5" t="n">
        <v>65</v>
      </c>
      <c r="J5920" s="5" t="n">
        <v>10</v>
      </c>
      <c r="K5920" s="10">
        <f>IF(F5920&gt;0,H5920/F5920,"")</f>
        <v/>
      </c>
      <c r="L5920" s="16">
        <f>IF(AND(G5920&gt;0,H5920&gt;0),G5920/H5920,"")</f>
        <v/>
      </c>
    </row>
    <row r="5921">
      <c r="A5921" s="4" t="inlineStr">
        <is>
          <t>309</t>
        </is>
      </c>
      <c r="B5921" s="4" t="n">
        <v>3</v>
      </c>
      <c r="C5921" s="4" t="inlineStr">
        <is>
          <t>mule deer</t>
        </is>
      </c>
      <c r="D5921" s="4" t="n">
        <v>2005</v>
      </c>
      <c r="E5921" s="13" t="inlineStr">
        <is>
          <t>General</t>
        </is>
      </c>
      <c r="F5921" s="5" t="n">
        <v>579</v>
      </c>
      <c r="G5921" s="5" t="n">
        <v>3559</v>
      </c>
      <c r="H5921" s="5" t="n">
        <v>25</v>
      </c>
      <c r="I5921" s="5" t="n">
        <v>20</v>
      </c>
      <c r="J5921" s="5" t="n">
        <v>5</v>
      </c>
      <c r="K5921" s="10">
        <f>IF(F5921&gt;0,H5921/F5921,"")</f>
        <v/>
      </c>
      <c r="L5921" s="16">
        <f>IF(AND(G5921&gt;0,H5921&gt;0),G5921/H5921,"")</f>
        <v/>
      </c>
    </row>
    <row r="5922">
      <c r="A5922" s="4" t="inlineStr">
        <is>
          <t>309</t>
        </is>
      </c>
      <c r="B5922" s="4" t="n">
        <v>3</v>
      </c>
      <c r="C5922" s="4" t="inlineStr">
        <is>
          <t>mule deer</t>
        </is>
      </c>
      <c r="D5922" s="4" t="n">
        <v>2006</v>
      </c>
      <c r="E5922" s="13" t="inlineStr">
        <is>
          <t>General</t>
        </is>
      </c>
      <c r="F5922" s="5" t="n">
        <v>546</v>
      </c>
      <c r="G5922" s="5" t="n">
        <v>3157</v>
      </c>
      <c r="H5922" s="5" t="n">
        <v>59</v>
      </c>
      <c r="I5922" s="5" t="n">
        <v>52</v>
      </c>
      <c r="J5922" s="5" t="n">
        <v>7</v>
      </c>
      <c r="K5922" s="10">
        <f>IF(F5922&gt;0,H5922/F5922,"")</f>
        <v/>
      </c>
      <c r="L5922" s="16">
        <f>IF(AND(G5922&gt;0,H5922&gt;0),G5922/H5922,"")</f>
        <v/>
      </c>
    </row>
    <row r="5923">
      <c r="A5923" s="4" t="inlineStr">
        <is>
          <t>309</t>
        </is>
      </c>
      <c r="B5923" s="4" t="n">
        <v>3</v>
      </c>
      <c r="C5923" s="4" t="inlineStr">
        <is>
          <t>mule deer</t>
        </is>
      </c>
      <c r="D5923" s="4" t="n">
        <v>2007</v>
      </c>
      <c r="E5923" s="13" t="inlineStr">
        <is>
          <t>General</t>
        </is>
      </c>
      <c r="F5923" s="5" t="n">
        <v>689</v>
      </c>
      <c r="G5923" s="5" t="n">
        <v>4193</v>
      </c>
      <c r="H5923" s="5" t="n">
        <v>47</v>
      </c>
      <c r="I5923" s="5" t="n">
        <v>32</v>
      </c>
      <c r="J5923" s="5" t="n">
        <v>16</v>
      </c>
      <c r="K5923" s="10">
        <f>IF(F5923&gt;0,H5923/F5923,"")</f>
        <v/>
      </c>
      <c r="L5923" s="16">
        <f>IF(AND(G5923&gt;0,H5923&gt;0),G5923/H5923,"")</f>
        <v/>
      </c>
    </row>
    <row r="5924">
      <c r="A5924" s="4" t="inlineStr">
        <is>
          <t>309</t>
        </is>
      </c>
      <c r="B5924" s="4" t="n">
        <v>3</v>
      </c>
      <c r="C5924" s="4" t="inlineStr">
        <is>
          <t>mule deer</t>
        </is>
      </c>
      <c r="D5924" s="4" t="n">
        <v>2008</v>
      </c>
      <c r="E5924" s="13" t="inlineStr">
        <is>
          <t>General</t>
        </is>
      </c>
      <c r="F5924" s="5" t="n">
        <v>863</v>
      </c>
      <c r="G5924" s="5" t="n">
        <v>5944</v>
      </c>
      <c r="H5924" s="5" t="n">
        <v>42</v>
      </c>
      <c r="I5924" s="5" t="n">
        <v>30</v>
      </c>
      <c r="J5924" s="5" t="n">
        <v>12</v>
      </c>
      <c r="K5924" s="10">
        <f>IF(F5924&gt;0,H5924/F5924,"")</f>
        <v/>
      </c>
      <c r="L5924" s="16">
        <f>IF(AND(G5924&gt;0,H5924&gt;0),G5924/H5924,"")</f>
        <v/>
      </c>
    </row>
    <row r="5925">
      <c r="A5925" s="4" t="inlineStr">
        <is>
          <t>309</t>
        </is>
      </c>
      <c r="B5925" s="4" t="n">
        <v>3</v>
      </c>
      <c r="C5925" s="4" t="inlineStr">
        <is>
          <t>mule deer</t>
        </is>
      </c>
      <c r="D5925" s="4" t="n">
        <v>2009</v>
      </c>
      <c r="E5925" s="13" t="inlineStr">
        <is>
          <t>General</t>
        </is>
      </c>
      <c r="F5925" s="5" t="n">
        <v>1036</v>
      </c>
      <c r="G5925" s="5" t="n">
        <v>7689</v>
      </c>
      <c r="H5925" s="5" t="n">
        <v>32</v>
      </c>
      <c r="I5925" s="5" t="n">
        <v>18</v>
      </c>
      <c r="J5925" s="5" t="n">
        <v>14</v>
      </c>
      <c r="K5925" s="10">
        <f>IF(F5925&gt;0,H5925/F5925,"")</f>
        <v/>
      </c>
      <c r="L5925" s="16">
        <f>IF(AND(G5925&gt;0,H5925&gt;0),G5925/H5925,"")</f>
        <v/>
      </c>
    </row>
    <row r="5926">
      <c r="A5926" s="4" t="inlineStr">
        <is>
          <t>309</t>
        </is>
      </c>
      <c r="B5926" s="4" t="n">
        <v>3</v>
      </c>
      <c r="C5926" s="4" t="inlineStr">
        <is>
          <t>mule deer</t>
        </is>
      </c>
      <c r="D5926" s="4" t="n">
        <v>2010</v>
      </c>
      <c r="E5926" s="13" t="inlineStr">
        <is>
          <t>General</t>
        </is>
      </c>
      <c r="F5926" s="5" t="n">
        <v>1079</v>
      </c>
      <c r="G5926" s="5" t="n">
        <v>7185</v>
      </c>
      <c r="H5926" s="5" t="n">
        <v>20</v>
      </c>
      <c r="I5926" s="5" t="n">
        <v>11</v>
      </c>
      <c r="J5926" s="5" t="n">
        <v>9</v>
      </c>
      <c r="K5926" s="10">
        <f>IF(F5926&gt;0,H5926/F5926,"")</f>
        <v/>
      </c>
      <c r="L5926" s="16">
        <f>IF(AND(G5926&gt;0,H5926&gt;0),G5926/H5926,"")</f>
        <v/>
      </c>
    </row>
    <row r="5927">
      <c r="A5927" s="4" t="inlineStr">
        <is>
          <t>309</t>
        </is>
      </c>
      <c r="B5927" s="4" t="n">
        <v>3</v>
      </c>
      <c r="C5927" s="4" t="inlineStr">
        <is>
          <t>mule deer</t>
        </is>
      </c>
      <c r="D5927" s="4" t="n">
        <v>2011</v>
      </c>
      <c r="E5927" s="13" t="inlineStr">
        <is>
          <t>General</t>
        </is>
      </c>
      <c r="F5927" s="5" t="n">
        <v>952</v>
      </c>
      <c r="G5927" s="5" t="n">
        <v>5845</v>
      </c>
      <c r="H5927" s="5" t="n">
        <v>37</v>
      </c>
      <c r="I5927" s="5" t="n">
        <v>21</v>
      </c>
      <c r="J5927" s="5" t="n">
        <v>16</v>
      </c>
      <c r="K5927" s="10">
        <f>IF(F5927&gt;0,H5927/F5927,"")</f>
        <v/>
      </c>
      <c r="L5927" s="16">
        <f>IF(AND(G5927&gt;0,H5927&gt;0),G5927/H5927,"")</f>
        <v/>
      </c>
    </row>
    <row r="5928">
      <c r="A5928" s="4" t="inlineStr">
        <is>
          <t>309</t>
        </is>
      </c>
      <c r="B5928" s="4" t="n">
        <v>3</v>
      </c>
      <c r="C5928" s="4" t="inlineStr">
        <is>
          <t>mule deer</t>
        </is>
      </c>
      <c r="D5928" s="4" t="n">
        <v>2012</v>
      </c>
      <c r="E5928" s="13" t="inlineStr">
        <is>
          <t>General</t>
        </is>
      </c>
      <c r="F5928" s="5" t="n"/>
      <c r="G5928" s="5" t="n"/>
      <c r="H5928" s="5" t="n">
        <v>34</v>
      </c>
      <c r="I5928" s="5" t="n">
        <v>28</v>
      </c>
      <c r="J5928" s="5" t="n">
        <v>6</v>
      </c>
      <c r="K5928" s="10">
        <f>IF(F5928&gt;0,H5928/F5928,"")</f>
        <v/>
      </c>
      <c r="L5928" s="16">
        <f>IF(AND(G5928&gt;0,H5928&gt;0),G5928/H5928,"")</f>
        <v/>
      </c>
    </row>
    <row r="5929">
      <c r="A5929" s="4" t="inlineStr">
        <is>
          <t>309</t>
        </is>
      </c>
      <c r="B5929" s="4" t="n">
        <v>3</v>
      </c>
      <c r="C5929" s="4" t="inlineStr">
        <is>
          <t>mule deer</t>
        </is>
      </c>
      <c r="D5929" s="4" t="n">
        <v>2013</v>
      </c>
      <c r="E5929" s="13" t="inlineStr">
        <is>
          <t>General</t>
        </is>
      </c>
      <c r="F5929" s="5" t="n">
        <v>1039</v>
      </c>
      <c r="G5929" s="5" t="n">
        <v>7428</v>
      </c>
      <c r="H5929" s="5" t="n">
        <v>38</v>
      </c>
      <c r="I5929" s="5" t="n">
        <v>36</v>
      </c>
      <c r="J5929" s="5" t="n">
        <v>1</v>
      </c>
      <c r="K5929" s="10">
        <f>IF(F5929&gt;0,H5929/F5929,"")</f>
        <v/>
      </c>
      <c r="L5929" s="16">
        <f>IF(AND(G5929&gt;0,H5929&gt;0),G5929/H5929,"")</f>
        <v/>
      </c>
    </row>
    <row r="5930">
      <c r="A5930" s="4" t="inlineStr">
        <is>
          <t>309</t>
        </is>
      </c>
      <c r="B5930" s="4" t="n">
        <v>3</v>
      </c>
      <c r="C5930" s="4" t="inlineStr">
        <is>
          <t>mule deer</t>
        </is>
      </c>
      <c r="D5930" s="4" t="n">
        <v>2014</v>
      </c>
      <c r="E5930" s="13" t="inlineStr">
        <is>
          <t>General</t>
        </is>
      </c>
      <c r="F5930" s="5" t="n"/>
      <c r="G5930" s="5" t="n"/>
      <c r="H5930" s="5" t="n">
        <v>26</v>
      </c>
      <c r="I5930" s="5" t="n">
        <v>20</v>
      </c>
      <c r="J5930" s="5" t="n">
        <v>7</v>
      </c>
      <c r="K5930" s="10">
        <f>IF(F5930&gt;0,H5930/F5930,"")</f>
        <v/>
      </c>
      <c r="L5930" s="16">
        <f>IF(AND(G5930&gt;0,H5930&gt;0),G5930/H5930,"")</f>
        <v/>
      </c>
    </row>
    <row r="5931">
      <c r="A5931" s="4" t="inlineStr">
        <is>
          <t>309</t>
        </is>
      </c>
      <c r="B5931" s="4" t="n">
        <v>3</v>
      </c>
      <c r="C5931" s="4" t="inlineStr">
        <is>
          <t>mule deer</t>
        </is>
      </c>
      <c r="D5931" s="4" t="n">
        <v>2015</v>
      </c>
      <c r="E5931" s="13" t="inlineStr">
        <is>
          <t>General</t>
        </is>
      </c>
      <c r="F5931" s="5" t="n"/>
      <c r="G5931" s="5" t="n"/>
      <c r="H5931" s="5" t="n">
        <v>17</v>
      </c>
      <c r="I5931" s="5" t="n">
        <v>17</v>
      </c>
      <c r="J5931" s="5" t="n">
        <v>0</v>
      </c>
      <c r="K5931" s="10">
        <f>IF(F5931&gt;0,H5931/F5931,"")</f>
        <v/>
      </c>
      <c r="L5931" s="16">
        <f>IF(AND(G5931&gt;0,H5931&gt;0),G5931/H5931,"")</f>
        <v/>
      </c>
    </row>
    <row r="5932">
      <c r="A5932" s="4" t="inlineStr">
        <is>
          <t>309</t>
        </is>
      </c>
      <c r="B5932" s="4" t="n">
        <v>3</v>
      </c>
      <c r="C5932" s="4" t="inlineStr">
        <is>
          <t>mule deer</t>
        </is>
      </c>
      <c r="D5932" s="4" t="n">
        <v>2016</v>
      </c>
      <c r="E5932" s="13" t="inlineStr">
        <is>
          <t>General</t>
        </is>
      </c>
      <c r="F5932" s="5" t="n"/>
      <c r="G5932" s="5" t="n"/>
      <c r="H5932" s="5" t="n">
        <v>41</v>
      </c>
      <c r="I5932" s="5" t="n">
        <v>36</v>
      </c>
      <c r="J5932" s="5" t="n">
        <v>5</v>
      </c>
      <c r="K5932" s="10">
        <f>IF(F5932&gt;0,H5932/F5932,"")</f>
        <v/>
      </c>
      <c r="L5932" s="16">
        <f>IF(AND(G5932&gt;0,H5932&gt;0),G5932/H5932,"")</f>
        <v/>
      </c>
    </row>
    <row r="5933">
      <c r="A5933" s="4" t="inlineStr">
        <is>
          <t>309</t>
        </is>
      </c>
      <c r="B5933" s="4" t="n">
        <v>3</v>
      </c>
      <c r="C5933" s="4" t="inlineStr">
        <is>
          <t>mule deer</t>
        </is>
      </c>
      <c r="D5933" s="4" t="n">
        <v>2017</v>
      </c>
      <c r="E5933" s="13" t="inlineStr">
        <is>
          <t>General</t>
        </is>
      </c>
      <c r="F5933" s="5" t="n">
        <v>874</v>
      </c>
      <c r="G5933" s="5" t="n">
        <v>5342</v>
      </c>
      <c r="H5933" s="5" t="n">
        <v>34</v>
      </c>
      <c r="I5933" s="5" t="n">
        <v>28</v>
      </c>
      <c r="J5933" s="5" t="n">
        <v>6</v>
      </c>
      <c r="K5933" s="10">
        <f>IF(F5933&gt;0,H5933/F5933,"")</f>
        <v/>
      </c>
      <c r="L5933" s="16">
        <f>IF(AND(G5933&gt;0,H5933&gt;0),G5933/H5933,"")</f>
        <v/>
      </c>
    </row>
    <row r="5934">
      <c r="A5934" s="4" t="inlineStr">
        <is>
          <t>309</t>
        </is>
      </c>
      <c r="B5934" s="4" t="n">
        <v>3</v>
      </c>
      <c r="C5934" s="4" t="inlineStr">
        <is>
          <t>mule deer</t>
        </is>
      </c>
      <c r="D5934" s="4" t="n">
        <v>2018</v>
      </c>
      <c r="E5934" s="13" t="inlineStr">
        <is>
          <t>General</t>
        </is>
      </c>
      <c r="F5934" s="5" t="n"/>
      <c r="G5934" s="5" t="n"/>
      <c r="H5934" s="5" t="n">
        <v>86</v>
      </c>
      <c r="I5934" s="5" t="n">
        <v>67</v>
      </c>
      <c r="J5934" s="5" t="n">
        <v>19</v>
      </c>
      <c r="K5934" s="10">
        <f>IF(F5934&gt;0,H5934/F5934,"")</f>
        <v/>
      </c>
      <c r="L5934" s="16">
        <f>IF(AND(G5934&gt;0,H5934&gt;0),G5934/H5934,"")</f>
        <v/>
      </c>
    </row>
    <row r="5935">
      <c r="A5935" s="4" t="inlineStr">
        <is>
          <t>309</t>
        </is>
      </c>
      <c r="B5935" s="4" t="n">
        <v>3</v>
      </c>
      <c r="C5935" s="4" t="inlineStr">
        <is>
          <t>mule deer</t>
        </is>
      </c>
      <c r="D5935" s="4" t="n">
        <v>2019</v>
      </c>
      <c r="E5935" s="13" t="inlineStr">
        <is>
          <t>General</t>
        </is>
      </c>
      <c r="F5935" s="5" t="n">
        <v>873</v>
      </c>
      <c r="G5935" s="5" t="n">
        <v>5638</v>
      </c>
      <c r="H5935" s="5" t="n">
        <v>36</v>
      </c>
      <c r="I5935" s="5" t="n">
        <v>20</v>
      </c>
      <c r="J5935" s="5" t="n">
        <v>16</v>
      </c>
      <c r="K5935" s="10">
        <f>IF(F5935&gt;0,H5935/F5935,"")</f>
        <v/>
      </c>
      <c r="L5935" s="16">
        <f>IF(AND(G5935&gt;0,H5935&gt;0),G5935/H5935,"")</f>
        <v/>
      </c>
    </row>
    <row r="5936">
      <c r="A5936" s="4" t="inlineStr">
        <is>
          <t>309</t>
        </is>
      </c>
      <c r="B5936" s="4" t="n">
        <v>3</v>
      </c>
      <c r="C5936" s="4" t="inlineStr">
        <is>
          <t>mule deer</t>
        </is>
      </c>
      <c r="D5936" s="4" t="n">
        <v>2020</v>
      </c>
      <c r="E5936" s="13" t="inlineStr">
        <is>
          <t>General</t>
        </is>
      </c>
      <c r="F5936" s="5" t="n"/>
      <c r="G5936" s="5" t="n"/>
      <c r="H5936" s="5" t="n">
        <v>48</v>
      </c>
      <c r="I5936" s="5" t="n">
        <v>37</v>
      </c>
      <c r="J5936" s="5" t="n">
        <v>11</v>
      </c>
      <c r="K5936" s="10">
        <f>IF(F5936&gt;0,H5936/F5936,"")</f>
        <v/>
      </c>
      <c r="L5936" s="16">
        <f>IF(AND(G5936&gt;0,H5936&gt;0),G5936/H5936,"")</f>
        <v/>
      </c>
    </row>
    <row r="5937">
      <c r="A5937" s="4" t="inlineStr">
        <is>
          <t>309</t>
        </is>
      </c>
      <c r="B5937" s="4" t="n">
        <v>3</v>
      </c>
      <c r="C5937" s="4" t="inlineStr">
        <is>
          <t>mule deer</t>
        </is>
      </c>
      <c r="D5937" s="4" t="n">
        <v>2021</v>
      </c>
      <c r="E5937" s="13" t="inlineStr">
        <is>
          <t>General</t>
        </is>
      </c>
      <c r="F5937" s="5" t="n">
        <v>764</v>
      </c>
      <c r="G5937" s="5" t="n">
        <v>4932</v>
      </c>
      <c r="H5937" s="5" t="n">
        <v>21</v>
      </c>
      <c r="I5937" s="5" t="n">
        <v>12</v>
      </c>
      <c r="J5937" s="5" t="n">
        <v>9</v>
      </c>
      <c r="K5937" s="10">
        <f>IF(F5937&gt;0,H5937/F5937,"")</f>
        <v/>
      </c>
      <c r="L5937" s="16">
        <f>IF(AND(G5937&gt;0,H5937&gt;0),G5937/H5937,"")</f>
        <v/>
      </c>
    </row>
    <row r="5938">
      <c r="A5938" s="4" t="inlineStr">
        <is>
          <t>309</t>
        </is>
      </c>
      <c r="B5938" s="4" t="n">
        <v>3</v>
      </c>
      <c r="C5938" s="4" t="inlineStr">
        <is>
          <t>mule deer</t>
        </is>
      </c>
      <c r="D5938" s="4" t="n">
        <v>2022</v>
      </c>
      <c r="E5938" s="13" t="inlineStr">
        <is>
          <t>General</t>
        </is>
      </c>
      <c r="F5938" s="5" t="n"/>
      <c r="G5938" s="5" t="n"/>
      <c r="H5938" s="5" t="n">
        <v>33</v>
      </c>
      <c r="I5938" s="5" t="n">
        <v>27</v>
      </c>
      <c r="J5938" s="5" t="n">
        <v>7</v>
      </c>
      <c r="K5938" s="10">
        <f>IF(F5938&gt;0,H5938/F5938,"")</f>
        <v/>
      </c>
      <c r="L5938" s="16">
        <f>IF(AND(G5938&gt;0,H5938&gt;0),G5938/H5938,"")</f>
        <v/>
      </c>
    </row>
    <row r="5939">
      <c r="A5939" s="4" t="inlineStr">
        <is>
          <t>309</t>
        </is>
      </c>
      <c r="B5939" s="4" t="n">
        <v>3</v>
      </c>
      <c r="C5939" s="4" t="inlineStr">
        <is>
          <t>mule deer</t>
        </is>
      </c>
      <c r="D5939" s="4" t="n">
        <v>2023</v>
      </c>
      <c r="E5939" s="13" t="inlineStr">
        <is>
          <t>General</t>
        </is>
      </c>
      <c r="F5939" s="5" t="n">
        <v>627</v>
      </c>
      <c r="G5939" s="5" t="n">
        <v>4167</v>
      </c>
      <c r="H5939" s="5" t="n">
        <v>23</v>
      </c>
      <c r="I5939" s="5" t="n">
        <v>23</v>
      </c>
      <c r="J5939" s="5" t="n">
        <v>0</v>
      </c>
      <c r="K5939" s="10">
        <f>IF(F5939&gt;0,H5939/F5939,"")</f>
        <v/>
      </c>
      <c r="L5939" s="16">
        <f>IF(AND(G5939&gt;0,H5939&gt;0),G5939/H5939,"")</f>
        <v/>
      </c>
    </row>
    <row r="5940">
      <c r="A5940" s="4" t="inlineStr">
        <is>
          <t>309</t>
        </is>
      </c>
      <c r="B5940" s="4" t="n">
        <v>3</v>
      </c>
      <c r="C5940" s="4" t="inlineStr">
        <is>
          <t>mule deer</t>
        </is>
      </c>
      <c r="D5940" s="4" t="n">
        <v>2024</v>
      </c>
      <c r="E5940" s="13" t="inlineStr">
        <is>
          <t>General</t>
        </is>
      </c>
      <c r="F5940" s="5" t="n"/>
      <c r="G5940" s="5" t="n"/>
      <c r="H5940" s="5" t="n">
        <v>40</v>
      </c>
      <c r="I5940" s="5" t="n">
        <v>40</v>
      </c>
      <c r="J5940" s="5" t="n">
        <v>0</v>
      </c>
      <c r="K5940" s="10">
        <f>IF(F5940&gt;0,H5940/F5940,"")</f>
        <v/>
      </c>
      <c r="L5940" s="16">
        <f>IF(AND(G5940&gt;0,H5940&gt;0),G5940/H5940,"")</f>
        <v/>
      </c>
    </row>
    <row r="5941">
      <c r="A5941" s="4" t="inlineStr">
        <is>
          <t>309</t>
        </is>
      </c>
      <c r="B5941" s="4" t="n">
        <v>3</v>
      </c>
      <c r="C5941" s="4" t="inlineStr">
        <is>
          <t>mule deer</t>
        </is>
      </c>
      <c r="D5941" s="4" t="n">
        <v>2025</v>
      </c>
      <c r="E5941" s="13" t="inlineStr">
        <is>
          <t>General</t>
        </is>
      </c>
      <c r="F5941" s="5" t="n">
        <v>802</v>
      </c>
      <c r="G5941" s="5" t="n">
        <v>5389</v>
      </c>
      <c r="H5941" s="5" t="n">
        <v>68</v>
      </c>
      <c r="I5941" s="5" t="n">
        <v>68</v>
      </c>
      <c r="J5941" s="5" t="n">
        <v>0</v>
      </c>
      <c r="K5941" s="10">
        <f>IF(F5941&gt;0,H5941/F5941,"")</f>
        <v/>
      </c>
      <c r="L5941" s="16">
        <f>IF(AND(G5941&gt;0,H5941&gt;0),G5941/H5941,"")</f>
        <v/>
      </c>
    </row>
    <row r="5942">
      <c r="A5942" s="4" t="inlineStr">
        <is>
          <t>310</t>
        </is>
      </c>
      <c r="B5942" s="4" t="n">
        <v>3</v>
      </c>
      <c r="C5942" s="4" t="inlineStr">
        <is>
          <t>mule deer</t>
        </is>
      </c>
      <c r="D5942" s="4" t="n">
        <v>2004</v>
      </c>
      <c r="E5942" s="13" t="inlineStr">
        <is>
          <t>General</t>
        </is>
      </c>
      <c r="F5942" s="5" t="n">
        <v>284</v>
      </c>
      <c r="G5942" s="5" t="n">
        <v>1438</v>
      </c>
      <c r="H5942" s="5" t="n">
        <v>44</v>
      </c>
      <c r="I5942" s="5" t="n">
        <v>34</v>
      </c>
      <c r="J5942" s="5" t="n">
        <v>10</v>
      </c>
      <c r="K5942" s="10">
        <f>IF(F5942&gt;0,H5942/F5942,"")</f>
        <v/>
      </c>
      <c r="L5942" s="16">
        <f>IF(AND(G5942&gt;0,H5942&gt;0),G5942/H5942,"")</f>
        <v/>
      </c>
    </row>
    <row r="5943">
      <c r="A5943" s="4" t="inlineStr">
        <is>
          <t>310</t>
        </is>
      </c>
      <c r="B5943" s="4" t="n">
        <v>3</v>
      </c>
      <c r="C5943" s="4" t="inlineStr">
        <is>
          <t>mule deer</t>
        </is>
      </c>
      <c r="D5943" s="4" t="n">
        <v>2005</v>
      </c>
      <c r="E5943" s="13" t="inlineStr">
        <is>
          <t>General</t>
        </is>
      </c>
      <c r="F5943" s="5" t="n">
        <v>256</v>
      </c>
      <c r="G5943" s="5" t="n">
        <v>1336</v>
      </c>
      <c r="H5943" s="5" t="n">
        <v>47</v>
      </c>
      <c r="I5943" s="5" t="n">
        <v>34</v>
      </c>
      <c r="J5943" s="5" t="n">
        <v>13</v>
      </c>
      <c r="K5943" s="10">
        <f>IF(F5943&gt;0,H5943/F5943,"")</f>
        <v/>
      </c>
      <c r="L5943" s="16">
        <f>IF(AND(G5943&gt;0,H5943&gt;0),G5943/H5943,"")</f>
        <v/>
      </c>
    </row>
    <row r="5944">
      <c r="A5944" s="4" t="inlineStr">
        <is>
          <t>310</t>
        </is>
      </c>
      <c r="B5944" s="4" t="n">
        <v>3</v>
      </c>
      <c r="C5944" s="4" t="inlineStr">
        <is>
          <t>mule deer</t>
        </is>
      </c>
      <c r="D5944" s="4" t="n">
        <v>2006</v>
      </c>
      <c r="E5944" s="13" t="inlineStr">
        <is>
          <t>General</t>
        </is>
      </c>
      <c r="F5944" s="5" t="n">
        <v>221</v>
      </c>
      <c r="G5944" s="5" t="n">
        <v>1582</v>
      </c>
      <c r="H5944" s="5" t="n">
        <v>38</v>
      </c>
      <c r="I5944" s="5" t="n">
        <v>32</v>
      </c>
      <c r="J5944" s="5" t="n">
        <v>7</v>
      </c>
      <c r="K5944" s="10">
        <f>IF(F5944&gt;0,H5944/F5944,"")</f>
        <v/>
      </c>
      <c r="L5944" s="16">
        <f>IF(AND(G5944&gt;0,H5944&gt;0),G5944/H5944,"")</f>
        <v/>
      </c>
    </row>
    <row r="5945">
      <c r="A5945" s="4" t="inlineStr">
        <is>
          <t>310</t>
        </is>
      </c>
      <c r="B5945" s="4" t="n">
        <v>3</v>
      </c>
      <c r="C5945" s="4" t="inlineStr">
        <is>
          <t>mule deer</t>
        </is>
      </c>
      <c r="D5945" s="4" t="n">
        <v>2007</v>
      </c>
      <c r="E5945" s="13" t="inlineStr">
        <is>
          <t>General</t>
        </is>
      </c>
      <c r="F5945" s="5" t="n">
        <v>263</v>
      </c>
      <c r="G5945" s="5" t="n">
        <v>2114</v>
      </c>
      <c r="H5945" s="5" t="n">
        <v>33</v>
      </c>
      <c r="I5945" s="5" t="n">
        <v>24</v>
      </c>
      <c r="J5945" s="5" t="n">
        <v>9</v>
      </c>
      <c r="K5945" s="10">
        <f>IF(F5945&gt;0,H5945/F5945,"")</f>
        <v/>
      </c>
      <c r="L5945" s="16">
        <f>IF(AND(G5945&gt;0,H5945&gt;0),G5945/H5945,"")</f>
        <v/>
      </c>
    </row>
    <row r="5946">
      <c r="A5946" s="4" t="inlineStr">
        <is>
          <t>310</t>
        </is>
      </c>
      <c r="B5946" s="4" t="n">
        <v>3</v>
      </c>
      <c r="C5946" s="4" t="inlineStr">
        <is>
          <t>mule deer</t>
        </is>
      </c>
      <c r="D5946" s="4" t="n">
        <v>2008</v>
      </c>
      <c r="E5946" s="13" t="inlineStr">
        <is>
          <t>General</t>
        </is>
      </c>
      <c r="F5946" s="5" t="n">
        <v>252</v>
      </c>
      <c r="G5946" s="5" t="n">
        <v>1573</v>
      </c>
      <c r="H5946" s="5" t="n">
        <v>16</v>
      </c>
      <c r="I5946" s="5" t="n">
        <v>12</v>
      </c>
      <c r="J5946" s="5" t="n">
        <v>5</v>
      </c>
      <c r="K5946" s="10">
        <f>IF(F5946&gt;0,H5946/F5946,"")</f>
        <v/>
      </c>
      <c r="L5946" s="16">
        <f>IF(AND(G5946&gt;0,H5946&gt;0),G5946/H5946,"")</f>
        <v/>
      </c>
    </row>
    <row r="5947">
      <c r="A5947" s="4" t="inlineStr">
        <is>
          <t>310</t>
        </is>
      </c>
      <c r="B5947" s="4" t="n">
        <v>3</v>
      </c>
      <c r="C5947" s="4" t="inlineStr">
        <is>
          <t>mule deer</t>
        </is>
      </c>
      <c r="D5947" s="4" t="n">
        <v>2009</v>
      </c>
      <c r="E5947" s="13" t="inlineStr">
        <is>
          <t>General</t>
        </is>
      </c>
      <c r="F5947" s="5" t="n">
        <v>280</v>
      </c>
      <c r="G5947" s="5" t="n">
        <v>1640</v>
      </c>
      <c r="H5947" s="5" t="n">
        <v>18</v>
      </c>
      <c r="I5947" s="5" t="n">
        <v>12</v>
      </c>
      <c r="J5947" s="5" t="n">
        <v>6</v>
      </c>
      <c r="K5947" s="10">
        <f>IF(F5947&gt;0,H5947/F5947,"")</f>
        <v/>
      </c>
      <c r="L5947" s="16">
        <f>IF(AND(G5947&gt;0,H5947&gt;0),G5947/H5947,"")</f>
        <v/>
      </c>
    </row>
    <row r="5948">
      <c r="A5948" s="4" t="inlineStr">
        <is>
          <t>310</t>
        </is>
      </c>
      <c r="B5948" s="4" t="n">
        <v>3</v>
      </c>
      <c r="C5948" s="4" t="inlineStr">
        <is>
          <t>mule deer</t>
        </is>
      </c>
      <c r="D5948" s="4" t="n">
        <v>2010</v>
      </c>
      <c r="E5948" s="13" t="inlineStr">
        <is>
          <t>General</t>
        </is>
      </c>
      <c r="F5948" s="5" t="n">
        <v>195</v>
      </c>
      <c r="G5948" s="5" t="n">
        <v>1144</v>
      </c>
      <c r="H5948" s="5" t="n">
        <v>9</v>
      </c>
      <c r="I5948" s="5" t="n">
        <v>9</v>
      </c>
      <c r="J5948" s="5" t="n">
        <v>0</v>
      </c>
      <c r="K5948" s="10">
        <f>IF(F5948&gt;0,H5948/F5948,"")</f>
        <v/>
      </c>
      <c r="L5948" s="16">
        <f>IF(AND(G5948&gt;0,H5948&gt;0),G5948/H5948,"")</f>
        <v/>
      </c>
    </row>
    <row r="5949">
      <c r="A5949" s="4" t="inlineStr">
        <is>
          <t>310</t>
        </is>
      </c>
      <c r="B5949" s="4" t="n">
        <v>3</v>
      </c>
      <c r="C5949" s="4" t="inlineStr">
        <is>
          <t>mule deer</t>
        </is>
      </c>
      <c r="D5949" s="4" t="n">
        <v>2011</v>
      </c>
      <c r="E5949" s="13" t="inlineStr">
        <is>
          <t>General</t>
        </is>
      </c>
      <c r="F5949" s="5" t="n">
        <v>322</v>
      </c>
      <c r="G5949" s="5" t="n">
        <v>2020</v>
      </c>
      <c r="H5949" s="5" t="n">
        <v>26</v>
      </c>
      <c r="I5949" s="5" t="n">
        <v>20</v>
      </c>
      <c r="J5949" s="5" t="n">
        <v>7</v>
      </c>
      <c r="K5949" s="10">
        <f>IF(F5949&gt;0,H5949/F5949,"")</f>
        <v/>
      </c>
      <c r="L5949" s="16">
        <f>IF(AND(G5949&gt;0,H5949&gt;0),G5949/H5949,"")</f>
        <v/>
      </c>
    </row>
    <row r="5950">
      <c r="A5950" s="4" t="inlineStr">
        <is>
          <t>310</t>
        </is>
      </c>
      <c r="B5950" s="4" t="n">
        <v>3</v>
      </c>
      <c r="C5950" s="4" t="inlineStr">
        <is>
          <t>mule deer</t>
        </is>
      </c>
      <c r="D5950" s="4" t="n">
        <v>2012</v>
      </c>
      <c r="E5950" s="13" t="inlineStr">
        <is>
          <t>General</t>
        </is>
      </c>
      <c r="F5950" s="5" t="n"/>
      <c r="G5950" s="5" t="n"/>
      <c r="H5950" s="5" t="n">
        <v>39</v>
      </c>
      <c r="I5950" s="5" t="n">
        <v>39</v>
      </c>
      <c r="J5950" s="5" t="n">
        <v>0</v>
      </c>
      <c r="K5950" s="10">
        <f>IF(F5950&gt;0,H5950/F5950,"")</f>
        <v/>
      </c>
      <c r="L5950" s="16">
        <f>IF(AND(G5950&gt;0,H5950&gt;0),G5950/H5950,"")</f>
        <v/>
      </c>
    </row>
    <row r="5951">
      <c r="A5951" s="4" t="inlineStr">
        <is>
          <t>310</t>
        </is>
      </c>
      <c r="B5951" s="4" t="n">
        <v>3</v>
      </c>
      <c r="C5951" s="4" t="inlineStr">
        <is>
          <t>mule deer</t>
        </is>
      </c>
      <c r="D5951" s="4" t="n">
        <v>2013</v>
      </c>
      <c r="E5951" s="13" t="inlineStr">
        <is>
          <t>General</t>
        </is>
      </c>
      <c r="F5951" s="5" t="n">
        <v>288</v>
      </c>
      <c r="G5951" s="5" t="n">
        <v>1987</v>
      </c>
      <c r="H5951" s="5" t="n">
        <v>6</v>
      </c>
      <c r="I5951" s="5" t="n">
        <v>6</v>
      </c>
      <c r="J5951" s="5" t="n">
        <v>0</v>
      </c>
      <c r="K5951" s="10">
        <f>IF(F5951&gt;0,H5951/F5951,"")</f>
        <v/>
      </c>
      <c r="L5951" s="16">
        <f>IF(AND(G5951&gt;0,H5951&gt;0),G5951/H5951,"")</f>
        <v/>
      </c>
    </row>
    <row r="5952">
      <c r="A5952" s="4" t="inlineStr">
        <is>
          <t>310</t>
        </is>
      </c>
      <c r="B5952" s="4" t="n">
        <v>3</v>
      </c>
      <c r="C5952" s="4" t="inlineStr">
        <is>
          <t>mule deer</t>
        </is>
      </c>
      <c r="D5952" s="4" t="n">
        <v>2014</v>
      </c>
      <c r="E5952" s="13" t="inlineStr">
        <is>
          <t>General</t>
        </is>
      </c>
      <c r="F5952" s="5" t="n"/>
      <c r="G5952" s="5" t="n"/>
      <c r="H5952" s="5" t="n">
        <v>11</v>
      </c>
      <c r="I5952" s="5" t="n">
        <v>9</v>
      </c>
      <c r="J5952" s="5" t="n">
        <v>3</v>
      </c>
      <c r="K5952" s="10">
        <f>IF(F5952&gt;0,H5952/F5952,"")</f>
        <v/>
      </c>
      <c r="L5952" s="16">
        <f>IF(AND(G5952&gt;0,H5952&gt;0),G5952/H5952,"")</f>
        <v/>
      </c>
    </row>
    <row r="5953">
      <c r="A5953" s="4" t="inlineStr">
        <is>
          <t>310</t>
        </is>
      </c>
      <c r="B5953" s="4" t="n">
        <v>3</v>
      </c>
      <c r="C5953" s="4" t="inlineStr">
        <is>
          <t>mule deer</t>
        </is>
      </c>
      <c r="D5953" s="4" t="n">
        <v>2015</v>
      </c>
      <c r="E5953" s="13" t="inlineStr">
        <is>
          <t>General</t>
        </is>
      </c>
      <c r="F5953" s="5" t="n"/>
      <c r="G5953" s="5" t="n"/>
      <c r="H5953" s="5" t="n">
        <v>20</v>
      </c>
      <c r="I5953" s="5" t="n">
        <v>17</v>
      </c>
      <c r="J5953" s="5" t="n">
        <v>3</v>
      </c>
      <c r="K5953" s="10">
        <f>IF(F5953&gt;0,H5953/F5953,"")</f>
        <v/>
      </c>
      <c r="L5953" s="16">
        <f>IF(AND(G5953&gt;0,H5953&gt;0),G5953/H5953,"")</f>
        <v/>
      </c>
    </row>
    <row r="5954">
      <c r="A5954" s="4" t="inlineStr">
        <is>
          <t>310</t>
        </is>
      </c>
      <c r="B5954" s="4" t="n">
        <v>3</v>
      </c>
      <c r="C5954" s="4" t="inlineStr">
        <is>
          <t>mule deer</t>
        </is>
      </c>
      <c r="D5954" s="4" t="n">
        <v>2016</v>
      </c>
      <c r="E5954" s="13" t="inlineStr">
        <is>
          <t>General</t>
        </is>
      </c>
      <c r="F5954" s="5" t="n"/>
      <c r="G5954" s="5" t="n"/>
      <c r="H5954" s="5" t="n">
        <v>18</v>
      </c>
      <c r="I5954" s="5" t="n">
        <v>15</v>
      </c>
      <c r="J5954" s="5" t="n">
        <v>3</v>
      </c>
      <c r="K5954" s="10">
        <f>IF(F5954&gt;0,H5954/F5954,"")</f>
        <v/>
      </c>
      <c r="L5954" s="16">
        <f>IF(AND(G5954&gt;0,H5954&gt;0),G5954/H5954,"")</f>
        <v/>
      </c>
    </row>
    <row r="5955">
      <c r="A5955" s="4" t="inlineStr">
        <is>
          <t>310</t>
        </is>
      </c>
      <c r="B5955" s="4" t="n">
        <v>3</v>
      </c>
      <c r="C5955" s="4" t="inlineStr">
        <is>
          <t>mule deer</t>
        </is>
      </c>
      <c r="D5955" s="4" t="n">
        <v>2017</v>
      </c>
      <c r="E5955" s="13" t="inlineStr">
        <is>
          <t>General</t>
        </is>
      </c>
      <c r="F5955" s="5" t="n">
        <v>332</v>
      </c>
      <c r="G5955" s="5" t="n">
        <v>2145</v>
      </c>
      <c r="H5955" s="5" t="n">
        <v>35</v>
      </c>
      <c r="I5955" s="5" t="n">
        <v>32</v>
      </c>
      <c r="J5955" s="5" t="n">
        <v>3</v>
      </c>
      <c r="K5955" s="10">
        <f>IF(F5955&gt;0,H5955/F5955,"")</f>
        <v/>
      </c>
      <c r="L5955" s="16">
        <f>IF(AND(G5955&gt;0,H5955&gt;0),G5955/H5955,"")</f>
        <v/>
      </c>
    </row>
    <row r="5956">
      <c r="A5956" s="4" t="inlineStr">
        <is>
          <t>310</t>
        </is>
      </c>
      <c r="B5956" s="4" t="n">
        <v>3</v>
      </c>
      <c r="C5956" s="4" t="inlineStr">
        <is>
          <t>mule deer</t>
        </is>
      </c>
      <c r="D5956" s="4" t="n">
        <v>2018</v>
      </c>
      <c r="E5956" s="13" t="inlineStr">
        <is>
          <t>General</t>
        </is>
      </c>
      <c r="F5956" s="5" t="n"/>
      <c r="G5956" s="5" t="n"/>
      <c r="H5956" s="5" t="n">
        <v>28</v>
      </c>
      <c r="I5956" s="5" t="n">
        <v>25</v>
      </c>
      <c r="J5956" s="5" t="n">
        <v>3</v>
      </c>
      <c r="K5956" s="10">
        <f>IF(F5956&gt;0,H5956/F5956,"")</f>
        <v/>
      </c>
      <c r="L5956" s="16">
        <f>IF(AND(G5956&gt;0,H5956&gt;0),G5956/H5956,"")</f>
        <v/>
      </c>
    </row>
    <row r="5957">
      <c r="A5957" s="4" t="inlineStr">
        <is>
          <t>310</t>
        </is>
      </c>
      <c r="B5957" s="4" t="n">
        <v>3</v>
      </c>
      <c r="C5957" s="4" t="inlineStr">
        <is>
          <t>mule deer</t>
        </is>
      </c>
      <c r="D5957" s="4" t="n">
        <v>2019</v>
      </c>
      <c r="E5957" s="13" t="inlineStr">
        <is>
          <t>General</t>
        </is>
      </c>
      <c r="F5957" s="5" t="n">
        <v>343</v>
      </c>
      <c r="G5957" s="5" t="n">
        <v>2285</v>
      </c>
      <c r="H5957" s="5" t="n">
        <v>52</v>
      </c>
      <c r="I5957" s="5" t="n">
        <v>42</v>
      </c>
      <c r="J5957" s="5" t="n">
        <v>10</v>
      </c>
      <c r="K5957" s="10">
        <f>IF(F5957&gt;0,H5957/F5957,"")</f>
        <v/>
      </c>
      <c r="L5957" s="16">
        <f>IF(AND(G5957&gt;0,H5957&gt;0),G5957/H5957,"")</f>
        <v/>
      </c>
    </row>
    <row r="5958">
      <c r="A5958" s="4" t="inlineStr">
        <is>
          <t>310</t>
        </is>
      </c>
      <c r="B5958" s="4" t="n">
        <v>3</v>
      </c>
      <c r="C5958" s="4" t="inlineStr">
        <is>
          <t>mule deer</t>
        </is>
      </c>
      <c r="D5958" s="4" t="n">
        <v>2020</v>
      </c>
      <c r="E5958" s="13" t="inlineStr">
        <is>
          <t>General</t>
        </is>
      </c>
      <c r="F5958" s="5" t="n"/>
      <c r="G5958" s="5" t="n"/>
      <c r="H5958" s="5" t="n">
        <v>17</v>
      </c>
      <c r="I5958" s="5" t="n">
        <v>17</v>
      </c>
      <c r="J5958" s="5" t="n">
        <v>0</v>
      </c>
      <c r="K5958" s="10">
        <f>IF(F5958&gt;0,H5958/F5958,"")</f>
        <v/>
      </c>
      <c r="L5958" s="16">
        <f>IF(AND(G5958&gt;0,H5958&gt;0),G5958/H5958,"")</f>
        <v/>
      </c>
    </row>
    <row r="5959">
      <c r="A5959" s="4" t="inlineStr">
        <is>
          <t>310</t>
        </is>
      </c>
      <c r="B5959" s="4" t="n">
        <v>3</v>
      </c>
      <c r="C5959" s="4" t="inlineStr">
        <is>
          <t>mule deer</t>
        </is>
      </c>
      <c r="D5959" s="4" t="n">
        <v>2021</v>
      </c>
      <c r="E5959" s="13" t="inlineStr">
        <is>
          <t>General</t>
        </is>
      </c>
      <c r="F5959" s="5" t="n">
        <v>295</v>
      </c>
      <c r="G5959" s="5" t="n">
        <v>1884</v>
      </c>
      <c r="H5959" s="5" t="n">
        <v>31</v>
      </c>
      <c r="I5959" s="5" t="n">
        <v>19</v>
      </c>
      <c r="J5959" s="5" t="n">
        <v>13</v>
      </c>
      <c r="K5959" s="10">
        <f>IF(F5959&gt;0,H5959/F5959,"")</f>
        <v/>
      </c>
      <c r="L5959" s="16">
        <f>IF(AND(G5959&gt;0,H5959&gt;0),G5959/H5959,"")</f>
        <v/>
      </c>
    </row>
    <row r="5960">
      <c r="A5960" s="4" t="inlineStr">
        <is>
          <t>310</t>
        </is>
      </c>
      <c r="B5960" s="4" t="n">
        <v>3</v>
      </c>
      <c r="C5960" s="4" t="inlineStr">
        <is>
          <t>mule deer</t>
        </is>
      </c>
      <c r="D5960" s="4" t="n">
        <v>2022</v>
      </c>
      <c r="E5960" s="13" t="inlineStr">
        <is>
          <t>General</t>
        </is>
      </c>
      <c r="F5960" s="5" t="n"/>
      <c r="G5960" s="5" t="n"/>
      <c r="H5960" s="5" t="n">
        <v>32</v>
      </c>
      <c r="I5960" s="5" t="n">
        <v>32</v>
      </c>
      <c r="J5960" s="5" t="n">
        <v>0</v>
      </c>
      <c r="K5960" s="10">
        <f>IF(F5960&gt;0,H5960/F5960,"")</f>
        <v/>
      </c>
      <c r="L5960" s="16">
        <f>IF(AND(G5960&gt;0,H5960&gt;0),G5960/H5960,"")</f>
        <v/>
      </c>
    </row>
    <row r="5961">
      <c r="A5961" s="4" t="inlineStr">
        <is>
          <t>310</t>
        </is>
      </c>
      <c r="B5961" s="4" t="n">
        <v>3</v>
      </c>
      <c r="C5961" s="4" t="inlineStr">
        <is>
          <t>mule deer</t>
        </is>
      </c>
      <c r="D5961" s="4" t="n">
        <v>2023</v>
      </c>
      <c r="E5961" s="13" t="inlineStr">
        <is>
          <t>General</t>
        </is>
      </c>
      <c r="F5961" s="5" t="n">
        <v>504</v>
      </c>
      <c r="G5961" s="5" t="n">
        <v>3778</v>
      </c>
      <c r="H5961" s="5" t="n">
        <v>55</v>
      </c>
      <c r="I5961" s="5" t="n">
        <v>52</v>
      </c>
      <c r="J5961" s="5" t="n">
        <v>3</v>
      </c>
      <c r="K5961" s="10">
        <f>IF(F5961&gt;0,H5961/F5961,"")</f>
        <v/>
      </c>
      <c r="L5961" s="16">
        <f>IF(AND(G5961&gt;0,H5961&gt;0),G5961/H5961,"")</f>
        <v/>
      </c>
    </row>
    <row r="5962">
      <c r="A5962" s="4" t="inlineStr">
        <is>
          <t>310</t>
        </is>
      </c>
      <c r="B5962" s="4" t="n">
        <v>3</v>
      </c>
      <c r="C5962" s="4" t="inlineStr">
        <is>
          <t>mule deer</t>
        </is>
      </c>
      <c r="D5962" s="4" t="n">
        <v>2024</v>
      </c>
      <c r="E5962" s="13" t="inlineStr">
        <is>
          <t>General</t>
        </is>
      </c>
      <c r="F5962" s="5" t="n"/>
      <c r="G5962" s="5" t="n"/>
      <c r="H5962" s="5" t="n">
        <v>39</v>
      </c>
      <c r="I5962" s="5" t="n">
        <v>30</v>
      </c>
      <c r="J5962" s="5" t="n">
        <v>6</v>
      </c>
      <c r="K5962" s="10">
        <f>IF(F5962&gt;0,H5962/F5962,"")</f>
        <v/>
      </c>
      <c r="L5962" s="16">
        <f>IF(AND(G5962&gt;0,H5962&gt;0),G5962/H5962,"")</f>
        <v/>
      </c>
    </row>
    <row r="5963">
      <c r="A5963" s="4" t="inlineStr">
        <is>
          <t>310</t>
        </is>
      </c>
      <c r="B5963" s="4" t="n">
        <v>3</v>
      </c>
      <c r="C5963" s="4" t="inlineStr">
        <is>
          <t>mule deer</t>
        </is>
      </c>
      <c r="D5963" s="4" t="n">
        <v>2025</v>
      </c>
      <c r="E5963" s="13" t="inlineStr">
        <is>
          <t>General</t>
        </is>
      </c>
      <c r="F5963" s="5" t="n">
        <v>527</v>
      </c>
      <c r="G5963" s="5" t="n">
        <v>3514</v>
      </c>
      <c r="H5963" s="5" t="n">
        <v>37</v>
      </c>
      <c r="I5963" s="5" t="n">
        <v>37</v>
      </c>
      <c r="J5963" s="5" t="n">
        <v>0</v>
      </c>
      <c r="K5963" s="10">
        <f>IF(F5963&gt;0,H5963/F5963,"")</f>
        <v/>
      </c>
      <c r="L5963" s="16">
        <f>IF(AND(G5963&gt;0,H5963&gt;0),G5963/H5963,"")</f>
        <v/>
      </c>
    </row>
    <row r="5964">
      <c r="A5964" s="4" t="inlineStr">
        <is>
          <t>311</t>
        </is>
      </c>
      <c r="B5964" s="4" t="n">
        <v>3</v>
      </c>
      <c r="C5964" s="4" t="inlineStr">
        <is>
          <t>mule deer</t>
        </is>
      </c>
      <c r="D5964" s="4" t="n">
        <v>2004</v>
      </c>
      <c r="E5964" s="13" t="inlineStr">
        <is>
          <t>General</t>
        </is>
      </c>
      <c r="F5964" s="5" t="n">
        <v>1902</v>
      </c>
      <c r="G5964" s="5" t="n">
        <v>9574</v>
      </c>
      <c r="H5964" s="5" t="n">
        <v>494</v>
      </c>
      <c r="I5964" s="5" t="n">
        <v>322</v>
      </c>
      <c r="J5964" s="5" t="n">
        <v>166</v>
      </c>
      <c r="K5964" s="10">
        <f>IF(F5964&gt;0,H5964/F5964,"")</f>
        <v/>
      </c>
      <c r="L5964" s="16">
        <f>IF(AND(G5964&gt;0,H5964&gt;0),G5964/H5964,"")</f>
        <v/>
      </c>
    </row>
    <row r="5965">
      <c r="A5965" s="4" t="inlineStr">
        <is>
          <t>311</t>
        </is>
      </c>
      <c r="B5965" s="4" t="n">
        <v>3</v>
      </c>
      <c r="C5965" s="4" t="inlineStr">
        <is>
          <t>mule deer</t>
        </is>
      </c>
      <c r="D5965" s="4" t="n">
        <v>2005</v>
      </c>
      <c r="E5965" s="13" t="inlineStr">
        <is>
          <t>General</t>
        </is>
      </c>
      <c r="F5965" s="5" t="n">
        <v>1629</v>
      </c>
      <c r="G5965" s="5" t="n">
        <v>7446</v>
      </c>
      <c r="H5965" s="5" t="n">
        <v>437</v>
      </c>
      <c r="I5965" s="5" t="n">
        <v>253</v>
      </c>
      <c r="J5965" s="5" t="n">
        <v>178</v>
      </c>
      <c r="K5965" s="10">
        <f>IF(F5965&gt;0,H5965/F5965,"")</f>
        <v/>
      </c>
      <c r="L5965" s="16">
        <f>IF(AND(G5965&gt;0,H5965&gt;0),G5965/H5965,"")</f>
        <v/>
      </c>
    </row>
    <row r="5966">
      <c r="A5966" s="4" t="inlineStr">
        <is>
          <t>311</t>
        </is>
      </c>
      <c r="B5966" s="4" t="n">
        <v>3</v>
      </c>
      <c r="C5966" s="4" t="inlineStr">
        <is>
          <t>mule deer</t>
        </is>
      </c>
      <c r="D5966" s="4" t="n">
        <v>2006</v>
      </c>
      <c r="E5966" s="13" t="inlineStr">
        <is>
          <t>General</t>
        </is>
      </c>
      <c r="F5966" s="5" t="n">
        <v>1726</v>
      </c>
      <c r="G5966" s="5" t="n">
        <v>8395</v>
      </c>
      <c r="H5966" s="5" t="n">
        <v>497</v>
      </c>
      <c r="I5966" s="5" t="n">
        <v>319</v>
      </c>
      <c r="J5966" s="5" t="n">
        <v>174</v>
      </c>
      <c r="K5966" s="10">
        <f>IF(F5966&gt;0,H5966/F5966,"")</f>
        <v/>
      </c>
      <c r="L5966" s="16">
        <f>IF(AND(G5966&gt;0,H5966&gt;0),G5966/H5966,"")</f>
        <v/>
      </c>
    </row>
    <row r="5967">
      <c r="A5967" s="4" t="inlineStr">
        <is>
          <t>311</t>
        </is>
      </c>
      <c r="B5967" s="4" t="n">
        <v>3</v>
      </c>
      <c r="C5967" s="4" t="inlineStr">
        <is>
          <t>mule deer</t>
        </is>
      </c>
      <c r="D5967" s="4" t="n">
        <v>2007</v>
      </c>
      <c r="E5967" s="13" t="inlineStr">
        <is>
          <t>General</t>
        </is>
      </c>
      <c r="F5967" s="5" t="n">
        <v>1779</v>
      </c>
      <c r="G5967" s="5" t="n">
        <v>8514</v>
      </c>
      <c r="H5967" s="5" t="n">
        <v>395</v>
      </c>
      <c r="I5967" s="5" t="n">
        <v>266</v>
      </c>
      <c r="J5967" s="5" t="n">
        <v>126</v>
      </c>
      <c r="K5967" s="10">
        <f>IF(F5967&gt;0,H5967/F5967,"")</f>
        <v/>
      </c>
      <c r="L5967" s="16">
        <f>IF(AND(G5967&gt;0,H5967&gt;0),G5967/H5967,"")</f>
        <v/>
      </c>
    </row>
    <row r="5968">
      <c r="A5968" s="4" t="inlineStr">
        <is>
          <t>311</t>
        </is>
      </c>
      <c r="B5968" s="4" t="n">
        <v>3</v>
      </c>
      <c r="C5968" s="4" t="inlineStr">
        <is>
          <t>mule deer</t>
        </is>
      </c>
      <c r="D5968" s="4" t="n">
        <v>2008</v>
      </c>
      <c r="E5968" s="13" t="inlineStr">
        <is>
          <t>General</t>
        </is>
      </c>
      <c r="F5968" s="5" t="n">
        <v>1717</v>
      </c>
      <c r="G5968" s="5" t="n">
        <v>8336</v>
      </c>
      <c r="H5968" s="5" t="n">
        <v>343</v>
      </c>
      <c r="I5968" s="5" t="n">
        <v>169</v>
      </c>
      <c r="J5968" s="5" t="n">
        <v>166</v>
      </c>
      <c r="K5968" s="10">
        <f>IF(F5968&gt;0,H5968/F5968,"")</f>
        <v/>
      </c>
      <c r="L5968" s="16">
        <f>IF(AND(G5968&gt;0,H5968&gt;0),G5968/H5968,"")</f>
        <v/>
      </c>
    </row>
    <row r="5969">
      <c r="A5969" s="4" t="inlineStr">
        <is>
          <t>311</t>
        </is>
      </c>
      <c r="B5969" s="4" t="n">
        <v>3</v>
      </c>
      <c r="C5969" s="4" t="inlineStr">
        <is>
          <t>mule deer</t>
        </is>
      </c>
      <c r="D5969" s="4" t="n">
        <v>2009</v>
      </c>
      <c r="E5969" s="13" t="inlineStr">
        <is>
          <t>General</t>
        </is>
      </c>
      <c r="F5969" s="5" t="n">
        <v>1698</v>
      </c>
      <c r="G5969" s="5" t="n">
        <v>8964</v>
      </c>
      <c r="H5969" s="5" t="n">
        <v>231</v>
      </c>
      <c r="I5969" s="5" t="n">
        <v>136</v>
      </c>
      <c r="J5969" s="5" t="n">
        <v>95</v>
      </c>
      <c r="K5969" s="10">
        <f>IF(F5969&gt;0,H5969/F5969,"")</f>
        <v/>
      </c>
      <c r="L5969" s="16">
        <f>IF(AND(G5969&gt;0,H5969&gt;0),G5969/H5969,"")</f>
        <v/>
      </c>
    </row>
    <row r="5970">
      <c r="A5970" s="4" t="inlineStr">
        <is>
          <t>311</t>
        </is>
      </c>
      <c r="B5970" s="4" t="n">
        <v>3</v>
      </c>
      <c r="C5970" s="4" t="inlineStr">
        <is>
          <t>mule deer</t>
        </is>
      </c>
      <c r="D5970" s="4" t="n">
        <v>2010</v>
      </c>
      <c r="E5970" s="13" t="inlineStr">
        <is>
          <t>General</t>
        </is>
      </c>
      <c r="F5970" s="5" t="n">
        <v>1641</v>
      </c>
      <c r="G5970" s="5" t="n">
        <v>8961</v>
      </c>
      <c r="H5970" s="5" t="n">
        <v>266</v>
      </c>
      <c r="I5970" s="5" t="n">
        <v>167</v>
      </c>
      <c r="J5970" s="5" t="n">
        <v>96</v>
      </c>
      <c r="K5970" s="10">
        <f>IF(F5970&gt;0,H5970/F5970,"")</f>
        <v/>
      </c>
      <c r="L5970" s="16">
        <f>IF(AND(G5970&gt;0,H5970&gt;0),G5970/H5970,"")</f>
        <v/>
      </c>
    </row>
    <row r="5971">
      <c r="A5971" s="4" t="inlineStr">
        <is>
          <t>311</t>
        </is>
      </c>
      <c r="B5971" s="4" t="n">
        <v>3</v>
      </c>
      <c r="C5971" s="4" t="inlineStr">
        <is>
          <t>mule deer</t>
        </is>
      </c>
      <c r="D5971" s="4" t="n">
        <v>2011</v>
      </c>
      <c r="E5971" s="13" t="inlineStr">
        <is>
          <t>General</t>
        </is>
      </c>
      <c r="F5971" s="5" t="n">
        <v>1793</v>
      </c>
      <c r="G5971" s="5" t="n">
        <v>10394</v>
      </c>
      <c r="H5971" s="5" t="n">
        <v>293</v>
      </c>
      <c r="I5971" s="5" t="n">
        <v>184</v>
      </c>
      <c r="J5971" s="5" t="n">
        <v>105</v>
      </c>
      <c r="K5971" s="10">
        <f>IF(F5971&gt;0,H5971/F5971,"")</f>
        <v/>
      </c>
      <c r="L5971" s="16">
        <f>IF(AND(G5971&gt;0,H5971&gt;0),G5971/H5971,"")</f>
        <v/>
      </c>
    </row>
    <row r="5972">
      <c r="A5972" s="4" t="inlineStr">
        <is>
          <t>311</t>
        </is>
      </c>
      <c r="B5972" s="4" t="n">
        <v>3</v>
      </c>
      <c r="C5972" s="4" t="inlineStr">
        <is>
          <t>mule deer</t>
        </is>
      </c>
      <c r="D5972" s="4" t="n">
        <v>2012</v>
      </c>
      <c r="E5972" s="13" t="inlineStr">
        <is>
          <t>General</t>
        </is>
      </c>
      <c r="F5972" s="5" t="n"/>
      <c r="G5972" s="5" t="n"/>
      <c r="H5972" s="5" t="n">
        <v>266</v>
      </c>
      <c r="I5972" s="5" t="n">
        <v>212</v>
      </c>
      <c r="J5972" s="5" t="n">
        <v>54</v>
      </c>
      <c r="K5972" s="10">
        <f>IF(F5972&gt;0,H5972/F5972,"")</f>
        <v/>
      </c>
      <c r="L5972" s="16">
        <f>IF(AND(G5972&gt;0,H5972&gt;0),G5972/H5972,"")</f>
        <v/>
      </c>
    </row>
    <row r="5973">
      <c r="A5973" s="4" t="inlineStr">
        <is>
          <t>311</t>
        </is>
      </c>
      <c r="B5973" s="4" t="n">
        <v>3</v>
      </c>
      <c r="C5973" s="4" t="inlineStr">
        <is>
          <t>mule deer</t>
        </is>
      </c>
      <c r="D5973" s="4" t="n">
        <v>2013</v>
      </c>
      <c r="E5973" s="13" t="inlineStr">
        <is>
          <t>General</t>
        </is>
      </c>
      <c r="F5973" s="5" t="n">
        <v>1950</v>
      </c>
      <c r="G5973" s="5" t="n">
        <v>9840</v>
      </c>
      <c r="H5973" s="5" t="n">
        <v>311</v>
      </c>
      <c r="I5973" s="5" t="n">
        <v>228</v>
      </c>
      <c r="J5973" s="5" t="n">
        <v>83</v>
      </c>
      <c r="K5973" s="10">
        <f>IF(F5973&gt;0,H5973/F5973,"")</f>
        <v/>
      </c>
      <c r="L5973" s="16">
        <f>IF(AND(G5973&gt;0,H5973&gt;0),G5973/H5973,"")</f>
        <v/>
      </c>
    </row>
    <row r="5974">
      <c r="A5974" s="4" t="inlineStr">
        <is>
          <t>311</t>
        </is>
      </c>
      <c r="B5974" s="4" t="n">
        <v>3</v>
      </c>
      <c r="C5974" s="4" t="inlineStr">
        <is>
          <t>mule deer</t>
        </is>
      </c>
      <c r="D5974" s="4" t="n">
        <v>2014</v>
      </c>
      <c r="E5974" s="13" t="inlineStr">
        <is>
          <t>General</t>
        </is>
      </c>
      <c r="F5974" s="5" t="n"/>
      <c r="G5974" s="5" t="n"/>
      <c r="H5974" s="5" t="n">
        <v>190</v>
      </c>
      <c r="I5974" s="5" t="n">
        <v>190</v>
      </c>
      <c r="J5974" s="5" t="n">
        <v>0</v>
      </c>
      <c r="K5974" s="10">
        <f>IF(F5974&gt;0,H5974/F5974,"")</f>
        <v/>
      </c>
      <c r="L5974" s="16">
        <f>IF(AND(G5974&gt;0,H5974&gt;0),G5974/H5974,"")</f>
        <v/>
      </c>
    </row>
    <row r="5975">
      <c r="A5975" s="4" t="inlineStr">
        <is>
          <t>311</t>
        </is>
      </c>
      <c r="B5975" s="4" t="n">
        <v>3</v>
      </c>
      <c r="C5975" s="4" t="inlineStr">
        <is>
          <t>mule deer</t>
        </is>
      </c>
      <c r="D5975" s="4" t="n">
        <v>2015</v>
      </c>
      <c r="E5975" s="13" t="inlineStr">
        <is>
          <t>General</t>
        </is>
      </c>
      <c r="F5975" s="5" t="n"/>
      <c r="G5975" s="5" t="n"/>
      <c r="H5975" s="5" t="n">
        <v>268</v>
      </c>
      <c r="I5975" s="5" t="n">
        <v>227</v>
      </c>
      <c r="J5975" s="5" t="n">
        <v>42</v>
      </c>
      <c r="K5975" s="10">
        <f>IF(F5975&gt;0,H5975/F5975,"")</f>
        <v/>
      </c>
      <c r="L5975" s="16">
        <f>IF(AND(G5975&gt;0,H5975&gt;0),G5975/H5975,"")</f>
        <v/>
      </c>
    </row>
    <row r="5976">
      <c r="A5976" s="4" t="inlineStr">
        <is>
          <t>311</t>
        </is>
      </c>
      <c r="B5976" s="4" t="n">
        <v>3</v>
      </c>
      <c r="C5976" s="4" t="inlineStr">
        <is>
          <t>mule deer</t>
        </is>
      </c>
      <c r="D5976" s="4" t="n">
        <v>2016</v>
      </c>
      <c r="E5976" s="13" t="inlineStr">
        <is>
          <t>General</t>
        </is>
      </c>
      <c r="F5976" s="5" t="n"/>
      <c r="G5976" s="5" t="n"/>
      <c r="H5976" s="5" t="n">
        <v>333</v>
      </c>
      <c r="I5976" s="5" t="n">
        <v>296</v>
      </c>
      <c r="J5976" s="5" t="n">
        <v>37</v>
      </c>
      <c r="K5976" s="10">
        <f>IF(F5976&gt;0,H5976/F5976,"")</f>
        <v/>
      </c>
      <c r="L5976" s="16">
        <f>IF(AND(G5976&gt;0,H5976&gt;0),G5976/H5976,"")</f>
        <v/>
      </c>
    </row>
    <row r="5977">
      <c r="A5977" s="4" t="inlineStr">
        <is>
          <t>311</t>
        </is>
      </c>
      <c r="B5977" s="4" t="n">
        <v>3</v>
      </c>
      <c r="C5977" s="4" t="inlineStr">
        <is>
          <t>mule deer</t>
        </is>
      </c>
      <c r="D5977" s="4" t="n">
        <v>2017</v>
      </c>
      <c r="E5977" s="13" t="inlineStr">
        <is>
          <t>General</t>
        </is>
      </c>
      <c r="F5977" s="5" t="n">
        <v>2288</v>
      </c>
      <c r="G5977" s="5" t="n">
        <v>12162</v>
      </c>
      <c r="H5977" s="5" t="n">
        <v>437</v>
      </c>
      <c r="I5977" s="5" t="n">
        <v>344</v>
      </c>
      <c r="J5977" s="5" t="n">
        <v>90</v>
      </c>
      <c r="K5977" s="10">
        <f>IF(F5977&gt;0,H5977/F5977,"")</f>
        <v/>
      </c>
      <c r="L5977" s="16">
        <f>IF(AND(G5977&gt;0,H5977&gt;0),G5977/H5977,"")</f>
        <v/>
      </c>
    </row>
    <row r="5978">
      <c r="A5978" s="4" t="inlineStr">
        <is>
          <t>311</t>
        </is>
      </c>
      <c r="B5978" s="4" t="n">
        <v>3</v>
      </c>
      <c r="C5978" s="4" t="inlineStr">
        <is>
          <t>mule deer</t>
        </is>
      </c>
      <c r="D5978" s="4" t="n">
        <v>2018</v>
      </c>
      <c r="E5978" s="13" t="inlineStr">
        <is>
          <t>General</t>
        </is>
      </c>
      <c r="F5978" s="5" t="n"/>
      <c r="G5978" s="5" t="n"/>
      <c r="H5978" s="5" t="n">
        <v>364</v>
      </c>
      <c r="I5978" s="5" t="n">
        <v>268</v>
      </c>
      <c r="J5978" s="5" t="n">
        <v>96</v>
      </c>
      <c r="K5978" s="10">
        <f>IF(F5978&gt;0,H5978/F5978,"")</f>
        <v/>
      </c>
      <c r="L5978" s="16">
        <f>IF(AND(G5978&gt;0,H5978&gt;0),G5978/H5978,"")</f>
        <v/>
      </c>
    </row>
    <row r="5979">
      <c r="A5979" s="4" t="inlineStr">
        <is>
          <t>311</t>
        </is>
      </c>
      <c r="B5979" s="4" t="n">
        <v>3</v>
      </c>
      <c r="C5979" s="4" t="inlineStr">
        <is>
          <t>mule deer</t>
        </is>
      </c>
      <c r="D5979" s="4" t="n">
        <v>2019</v>
      </c>
      <c r="E5979" s="13" t="inlineStr">
        <is>
          <t>General</t>
        </is>
      </c>
      <c r="F5979" s="5" t="n">
        <v>2519</v>
      </c>
      <c r="G5979" s="5" t="n">
        <v>14179</v>
      </c>
      <c r="H5979" s="5" t="n">
        <v>342</v>
      </c>
      <c r="I5979" s="5" t="n">
        <v>263</v>
      </c>
      <c r="J5979" s="5" t="n">
        <v>76</v>
      </c>
      <c r="K5979" s="10">
        <f>IF(F5979&gt;0,H5979/F5979,"")</f>
        <v/>
      </c>
      <c r="L5979" s="16">
        <f>IF(AND(G5979&gt;0,H5979&gt;0),G5979/H5979,"")</f>
        <v/>
      </c>
    </row>
    <row r="5980">
      <c r="A5980" s="4" t="inlineStr">
        <is>
          <t>311</t>
        </is>
      </c>
      <c r="B5980" s="4" t="n">
        <v>3</v>
      </c>
      <c r="C5980" s="4" t="inlineStr">
        <is>
          <t>mule deer</t>
        </is>
      </c>
      <c r="D5980" s="4" t="n">
        <v>2020</v>
      </c>
      <c r="E5980" s="13" t="inlineStr">
        <is>
          <t>General</t>
        </is>
      </c>
      <c r="F5980" s="5" t="n"/>
      <c r="G5980" s="5" t="n"/>
      <c r="H5980" s="5" t="n">
        <v>336</v>
      </c>
      <c r="I5980" s="5" t="n">
        <v>254</v>
      </c>
      <c r="J5980" s="5" t="n">
        <v>82</v>
      </c>
      <c r="K5980" s="10">
        <f>IF(F5980&gt;0,H5980/F5980,"")</f>
        <v/>
      </c>
      <c r="L5980" s="16">
        <f>IF(AND(G5980&gt;0,H5980&gt;0),G5980/H5980,"")</f>
        <v/>
      </c>
    </row>
    <row r="5981">
      <c r="A5981" s="4" t="inlineStr">
        <is>
          <t>311</t>
        </is>
      </c>
      <c r="B5981" s="4" t="n">
        <v>3</v>
      </c>
      <c r="C5981" s="4" t="inlineStr">
        <is>
          <t>mule deer</t>
        </is>
      </c>
      <c r="D5981" s="4" t="n">
        <v>2021</v>
      </c>
      <c r="E5981" s="13" t="inlineStr">
        <is>
          <t>General</t>
        </is>
      </c>
      <c r="F5981" s="5" t="n">
        <v>1928</v>
      </c>
      <c r="G5981" s="5" t="n">
        <v>12380</v>
      </c>
      <c r="H5981" s="5" t="n">
        <v>413</v>
      </c>
      <c r="I5981" s="5" t="n">
        <v>303</v>
      </c>
      <c r="J5981" s="5" t="n">
        <v>105</v>
      </c>
      <c r="K5981" s="10">
        <f>IF(F5981&gt;0,H5981/F5981,"")</f>
        <v/>
      </c>
      <c r="L5981" s="16">
        <f>IF(AND(G5981&gt;0,H5981&gt;0),G5981/H5981,"")</f>
        <v/>
      </c>
    </row>
    <row r="5982">
      <c r="A5982" s="4" t="inlineStr">
        <is>
          <t>311</t>
        </is>
      </c>
      <c r="B5982" s="4" t="n">
        <v>3</v>
      </c>
      <c r="C5982" s="4" t="inlineStr">
        <is>
          <t>mule deer</t>
        </is>
      </c>
      <c r="D5982" s="4" t="n">
        <v>2022</v>
      </c>
      <c r="E5982" s="13" t="inlineStr">
        <is>
          <t>General</t>
        </is>
      </c>
      <c r="F5982" s="5" t="n"/>
      <c r="G5982" s="5" t="n"/>
      <c r="H5982" s="5" t="n">
        <v>306</v>
      </c>
      <c r="I5982" s="5" t="n">
        <v>240</v>
      </c>
      <c r="J5982" s="5" t="n">
        <v>64</v>
      </c>
      <c r="K5982" s="10">
        <f>IF(F5982&gt;0,H5982/F5982,"")</f>
        <v/>
      </c>
      <c r="L5982" s="16">
        <f>IF(AND(G5982&gt;0,H5982&gt;0),G5982/H5982,"")</f>
        <v/>
      </c>
    </row>
    <row r="5983">
      <c r="A5983" s="4" t="inlineStr">
        <is>
          <t>311</t>
        </is>
      </c>
      <c r="B5983" s="4" t="n">
        <v>3</v>
      </c>
      <c r="C5983" s="4" t="inlineStr">
        <is>
          <t>mule deer</t>
        </is>
      </c>
      <c r="D5983" s="4" t="n">
        <v>2023</v>
      </c>
      <c r="E5983" s="13" t="inlineStr">
        <is>
          <t>General</t>
        </is>
      </c>
      <c r="F5983" s="5" t="n">
        <v>1596</v>
      </c>
      <c r="G5983" s="5" t="n">
        <v>9556</v>
      </c>
      <c r="H5983" s="5" t="n">
        <v>320</v>
      </c>
      <c r="I5983" s="5" t="n">
        <v>266</v>
      </c>
      <c r="J5983" s="5" t="n">
        <v>52</v>
      </c>
      <c r="K5983" s="10">
        <f>IF(F5983&gt;0,H5983/F5983,"")</f>
        <v/>
      </c>
      <c r="L5983" s="16">
        <f>IF(AND(G5983&gt;0,H5983&gt;0),G5983/H5983,"")</f>
        <v/>
      </c>
    </row>
    <row r="5984">
      <c r="A5984" s="4" t="inlineStr">
        <is>
          <t>311</t>
        </is>
      </c>
      <c r="B5984" s="4" t="n">
        <v>3</v>
      </c>
      <c r="C5984" s="4" t="inlineStr">
        <is>
          <t>mule deer</t>
        </is>
      </c>
      <c r="D5984" s="4" t="n">
        <v>2024</v>
      </c>
      <c r="E5984" s="13" t="inlineStr">
        <is>
          <t>General</t>
        </is>
      </c>
      <c r="F5984" s="5" t="n"/>
      <c r="G5984" s="5" t="n"/>
      <c r="H5984" s="5" t="n">
        <v>395</v>
      </c>
      <c r="I5984" s="5" t="n">
        <v>328</v>
      </c>
      <c r="J5984" s="5" t="n">
        <v>66</v>
      </c>
      <c r="K5984" s="10">
        <f>IF(F5984&gt;0,H5984/F5984,"")</f>
        <v/>
      </c>
      <c r="L5984" s="16">
        <f>IF(AND(G5984&gt;0,H5984&gt;0),G5984/H5984,"")</f>
        <v/>
      </c>
    </row>
    <row r="5985">
      <c r="A5985" s="4" t="inlineStr">
        <is>
          <t>311</t>
        </is>
      </c>
      <c r="B5985" s="4" t="n">
        <v>3</v>
      </c>
      <c r="C5985" s="4" t="inlineStr">
        <is>
          <t>mule deer</t>
        </is>
      </c>
      <c r="D5985" s="4" t="n">
        <v>2025</v>
      </c>
      <c r="E5985" s="13" t="inlineStr">
        <is>
          <t>General</t>
        </is>
      </c>
      <c r="F5985" s="5" t="n">
        <v>1633</v>
      </c>
      <c r="G5985" s="5" t="n">
        <v>9458</v>
      </c>
      <c r="H5985" s="5" t="n">
        <v>295</v>
      </c>
      <c r="I5985" s="5" t="n">
        <v>236</v>
      </c>
      <c r="J5985" s="5" t="n">
        <v>59</v>
      </c>
      <c r="K5985" s="10">
        <f>IF(F5985&gt;0,H5985/F5985,"")</f>
        <v/>
      </c>
      <c r="L5985" s="16">
        <f>IF(AND(G5985&gt;0,H5985&gt;0),G5985/H5985,"")</f>
        <v/>
      </c>
    </row>
    <row r="5986">
      <c r="A5986" s="4" t="inlineStr">
        <is>
          <t>312</t>
        </is>
      </c>
      <c r="B5986" s="4" t="n">
        <v>3</v>
      </c>
      <c r="C5986" s="4" t="inlineStr">
        <is>
          <t>mule deer</t>
        </is>
      </c>
      <c r="D5986" s="4" t="n">
        <v>2004</v>
      </c>
      <c r="E5986" s="13" t="inlineStr">
        <is>
          <t>General</t>
        </is>
      </c>
      <c r="F5986" s="5" t="n">
        <v>1591</v>
      </c>
      <c r="G5986" s="5" t="n">
        <v>8742</v>
      </c>
      <c r="H5986" s="5" t="n">
        <v>296</v>
      </c>
      <c r="I5986" s="5" t="n">
        <v>192</v>
      </c>
      <c r="J5986" s="5" t="n">
        <v>100</v>
      </c>
      <c r="K5986" s="10">
        <f>IF(F5986&gt;0,H5986/F5986,"")</f>
        <v/>
      </c>
      <c r="L5986" s="16">
        <f>IF(AND(G5986&gt;0,H5986&gt;0),G5986/H5986,"")</f>
        <v/>
      </c>
    </row>
    <row r="5987">
      <c r="A5987" s="4" t="inlineStr">
        <is>
          <t>312</t>
        </is>
      </c>
      <c r="B5987" s="4" t="n">
        <v>3</v>
      </c>
      <c r="C5987" s="4" t="inlineStr">
        <is>
          <t>mule deer</t>
        </is>
      </c>
      <c r="D5987" s="4" t="n">
        <v>2005</v>
      </c>
      <c r="E5987" s="13" t="inlineStr">
        <is>
          <t>General</t>
        </is>
      </c>
      <c r="F5987" s="5" t="n">
        <v>1666</v>
      </c>
      <c r="G5987" s="5" t="n">
        <v>8712</v>
      </c>
      <c r="H5987" s="5" t="n">
        <v>363</v>
      </c>
      <c r="I5987" s="5" t="n">
        <v>261</v>
      </c>
      <c r="J5987" s="5" t="n">
        <v>100</v>
      </c>
      <c r="K5987" s="10">
        <f>IF(F5987&gt;0,H5987/F5987,"")</f>
        <v/>
      </c>
      <c r="L5987" s="16">
        <f>IF(AND(G5987&gt;0,H5987&gt;0),G5987/H5987,"")</f>
        <v/>
      </c>
    </row>
    <row r="5988">
      <c r="A5988" s="4" t="inlineStr">
        <is>
          <t>312</t>
        </is>
      </c>
      <c r="B5988" s="4" t="n">
        <v>3</v>
      </c>
      <c r="C5988" s="4" t="inlineStr">
        <is>
          <t>mule deer</t>
        </is>
      </c>
      <c r="D5988" s="4" t="n">
        <v>2006</v>
      </c>
      <c r="E5988" s="13" t="inlineStr">
        <is>
          <t>General</t>
        </is>
      </c>
      <c r="F5988" s="5" t="n">
        <v>1824</v>
      </c>
      <c r="G5988" s="5" t="n">
        <v>11425</v>
      </c>
      <c r="H5988" s="5" t="n">
        <v>428</v>
      </c>
      <c r="I5988" s="5" t="n">
        <v>324</v>
      </c>
      <c r="J5988" s="5" t="n">
        <v>105</v>
      </c>
      <c r="K5988" s="10">
        <f>IF(F5988&gt;0,H5988/F5988,"")</f>
        <v/>
      </c>
      <c r="L5988" s="16">
        <f>IF(AND(G5988&gt;0,H5988&gt;0),G5988/H5988,"")</f>
        <v/>
      </c>
    </row>
    <row r="5989">
      <c r="A5989" s="4" t="inlineStr">
        <is>
          <t>312</t>
        </is>
      </c>
      <c r="B5989" s="4" t="n">
        <v>3</v>
      </c>
      <c r="C5989" s="4" t="inlineStr">
        <is>
          <t>mule deer</t>
        </is>
      </c>
      <c r="D5989" s="4" t="n">
        <v>2007</v>
      </c>
      <c r="E5989" s="13" t="inlineStr">
        <is>
          <t>General</t>
        </is>
      </c>
      <c r="F5989" s="5" t="n">
        <v>2056</v>
      </c>
      <c r="G5989" s="5" t="n">
        <v>11980</v>
      </c>
      <c r="H5989" s="5" t="n">
        <v>309</v>
      </c>
      <c r="I5989" s="5" t="n">
        <v>207</v>
      </c>
      <c r="J5989" s="5" t="n">
        <v>102</v>
      </c>
      <c r="K5989" s="10">
        <f>IF(F5989&gt;0,H5989/F5989,"")</f>
        <v/>
      </c>
      <c r="L5989" s="16">
        <f>IF(AND(G5989&gt;0,H5989&gt;0),G5989/H5989,"")</f>
        <v/>
      </c>
    </row>
    <row r="5990">
      <c r="A5990" s="4" t="inlineStr">
        <is>
          <t>312</t>
        </is>
      </c>
      <c r="B5990" s="4" t="n">
        <v>3</v>
      </c>
      <c r="C5990" s="4" t="inlineStr">
        <is>
          <t>mule deer</t>
        </is>
      </c>
      <c r="D5990" s="4" t="n">
        <v>2008</v>
      </c>
      <c r="E5990" s="13" t="inlineStr">
        <is>
          <t>General</t>
        </is>
      </c>
      <c r="F5990" s="5" t="n">
        <v>1912</v>
      </c>
      <c r="G5990" s="5" t="n">
        <v>10309</v>
      </c>
      <c r="H5990" s="5" t="n">
        <v>290</v>
      </c>
      <c r="I5990" s="5" t="n">
        <v>198</v>
      </c>
      <c r="J5990" s="5" t="n">
        <v>89</v>
      </c>
      <c r="K5990" s="10">
        <f>IF(F5990&gt;0,H5990/F5990,"")</f>
        <v/>
      </c>
      <c r="L5990" s="16">
        <f>IF(AND(G5990&gt;0,H5990&gt;0),G5990/H5990,"")</f>
        <v/>
      </c>
    </row>
    <row r="5991">
      <c r="A5991" s="4" t="inlineStr">
        <is>
          <t>312</t>
        </is>
      </c>
      <c r="B5991" s="4" t="n">
        <v>3</v>
      </c>
      <c r="C5991" s="4" t="inlineStr">
        <is>
          <t>mule deer</t>
        </is>
      </c>
      <c r="D5991" s="4" t="n">
        <v>2009</v>
      </c>
      <c r="E5991" s="13" t="inlineStr">
        <is>
          <t>General</t>
        </is>
      </c>
      <c r="F5991" s="5" t="n">
        <v>2006</v>
      </c>
      <c r="G5991" s="5" t="n">
        <v>11204</v>
      </c>
      <c r="H5991" s="5" t="n">
        <v>207</v>
      </c>
      <c r="I5991" s="5" t="n">
        <v>144</v>
      </c>
      <c r="J5991" s="5" t="n">
        <v>63</v>
      </c>
      <c r="K5991" s="10">
        <f>IF(F5991&gt;0,H5991/F5991,"")</f>
        <v/>
      </c>
      <c r="L5991" s="16">
        <f>IF(AND(G5991&gt;0,H5991&gt;0),G5991/H5991,"")</f>
        <v/>
      </c>
    </row>
    <row r="5992">
      <c r="A5992" s="4" t="inlineStr">
        <is>
          <t>312</t>
        </is>
      </c>
      <c r="B5992" s="4" t="n">
        <v>3</v>
      </c>
      <c r="C5992" s="4" t="inlineStr">
        <is>
          <t>mule deer</t>
        </is>
      </c>
      <c r="D5992" s="4" t="n">
        <v>2010</v>
      </c>
      <c r="E5992" s="13" t="inlineStr">
        <is>
          <t>General</t>
        </is>
      </c>
      <c r="F5992" s="5" t="n">
        <v>1898</v>
      </c>
      <c r="G5992" s="5" t="n">
        <v>9789</v>
      </c>
      <c r="H5992" s="5" t="n">
        <v>175</v>
      </c>
      <c r="I5992" s="5" t="n">
        <v>138</v>
      </c>
      <c r="J5992" s="5" t="n">
        <v>37</v>
      </c>
      <c r="K5992" s="10">
        <f>IF(F5992&gt;0,H5992/F5992,"")</f>
        <v/>
      </c>
      <c r="L5992" s="16">
        <f>IF(AND(G5992&gt;0,H5992&gt;0),G5992/H5992,"")</f>
        <v/>
      </c>
    </row>
    <row r="5993">
      <c r="A5993" s="4" t="inlineStr">
        <is>
          <t>312</t>
        </is>
      </c>
      <c r="B5993" s="4" t="n">
        <v>3</v>
      </c>
      <c r="C5993" s="4" t="inlineStr">
        <is>
          <t>mule deer</t>
        </is>
      </c>
      <c r="D5993" s="4" t="n">
        <v>2011</v>
      </c>
      <c r="E5993" s="13" t="inlineStr">
        <is>
          <t>General</t>
        </is>
      </c>
      <c r="F5993" s="5" t="n">
        <v>1854</v>
      </c>
      <c r="G5993" s="5" t="n">
        <v>10167</v>
      </c>
      <c r="H5993" s="5" t="n">
        <v>172</v>
      </c>
      <c r="I5993" s="5" t="n">
        <v>125</v>
      </c>
      <c r="J5993" s="5" t="n">
        <v>48</v>
      </c>
      <c r="K5993" s="10">
        <f>IF(F5993&gt;0,H5993/F5993,"")</f>
        <v/>
      </c>
      <c r="L5993" s="16">
        <f>IF(AND(G5993&gt;0,H5993&gt;0),G5993/H5993,"")</f>
        <v/>
      </c>
    </row>
    <row r="5994">
      <c r="A5994" s="4" t="inlineStr">
        <is>
          <t>312</t>
        </is>
      </c>
      <c r="B5994" s="4" t="n">
        <v>3</v>
      </c>
      <c r="C5994" s="4" t="inlineStr">
        <is>
          <t>mule deer</t>
        </is>
      </c>
      <c r="D5994" s="4" t="n">
        <v>2012</v>
      </c>
      <c r="E5994" s="13" t="inlineStr">
        <is>
          <t>General</t>
        </is>
      </c>
      <c r="F5994" s="5" t="n"/>
      <c r="G5994" s="5" t="n"/>
      <c r="H5994" s="5" t="n">
        <v>155</v>
      </c>
      <c r="I5994" s="5" t="n">
        <v>129</v>
      </c>
      <c r="J5994" s="5" t="n">
        <v>25</v>
      </c>
      <c r="K5994" s="10">
        <f>IF(F5994&gt;0,H5994/F5994,"")</f>
        <v/>
      </c>
      <c r="L5994" s="16">
        <f>IF(AND(G5994&gt;0,H5994&gt;0),G5994/H5994,"")</f>
        <v/>
      </c>
    </row>
    <row r="5995">
      <c r="A5995" s="4" t="inlineStr">
        <is>
          <t>312</t>
        </is>
      </c>
      <c r="B5995" s="4" t="n">
        <v>3</v>
      </c>
      <c r="C5995" s="4" t="inlineStr">
        <is>
          <t>mule deer</t>
        </is>
      </c>
      <c r="D5995" s="4" t="n">
        <v>2013</v>
      </c>
      <c r="E5995" s="13" t="inlineStr">
        <is>
          <t>General</t>
        </is>
      </c>
      <c r="F5995" s="5" t="n">
        <v>2137</v>
      </c>
      <c r="G5995" s="5" t="n">
        <v>12336</v>
      </c>
      <c r="H5995" s="5" t="n">
        <v>211</v>
      </c>
      <c r="I5995" s="5" t="n">
        <v>154</v>
      </c>
      <c r="J5995" s="5" t="n">
        <v>57</v>
      </c>
      <c r="K5995" s="10">
        <f>IF(F5995&gt;0,H5995/F5995,"")</f>
        <v/>
      </c>
      <c r="L5995" s="16">
        <f>IF(AND(G5995&gt;0,H5995&gt;0),G5995/H5995,"")</f>
        <v/>
      </c>
    </row>
    <row r="5996">
      <c r="A5996" s="4" t="inlineStr">
        <is>
          <t>312</t>
        </is>
      </c>
      <c r="B5996" s="4" t="n">
        <v>3</v>
      </c>
      <c r="C5996" s="4" t="inlineStr">
        <is>
          <t>mule deer</t>
        </is>
      </c>
      <c r="D5996" s="4" t="n">
        <v>2014</v>
      </c>
      <c r="E5996" s="13" t="inlineStr">
        <is>
          <t>General</t>
        </is>
      </c>
      <c r="F5996" s="5" t="n"/>
      <c r="G5996" s="5" t="n"/>
      <c r="H5996" s="5" t="n">
        <v>169</v>
      </c>
      <c r="I5996" s="5" t="n">
        <v>161</v>
      </c>
      <c r="J5996" s="5" t="n">
        <v>8</v>
      </c>
      <c r="K5996" s="10">
        <f>IF(F5996&gt;0,H5996/F5996,"")</f>
        <v/>
      </c>
      <c r="L5996" s="16">
        <f>IF(AND(G5996&gt;0,H5996&gt;0),G5996/H5996,"")</f>
        <v/>
      </c>
    </row>
    <row r="5997">
      <c r="A5997" s="4" t="inlineStr">
        <is>
          <t>312</t>
        </is>
      </c>
      <c r="B5997" s="4" t="n">
        <v>3</v>
      </c>
      <c r="C5997" s="4" t="inlineStr">
        <is>
          <t>mule deer</t>
        </is>
      </c>
      <c r="D5997" s="4" t="n">
        <v>2015</v>
      </c>
      <c r="E5997" s="13" t="inlineStr">
        <is>
          <t>General</t>
        </is>
      </c>
      <c r="F5997" s="5" t="n"/>
      <c r="G5997" s="5" t="n"/>
      <c r="H5997" s="5" t="n">
        <v>152</v>
      </c>
      <c r="I5997" s="5" t="n">
        <v>144</v>
      </c>
      <c r="J5997" s="5" t="n">
        <v>7</v>
      </c>
      <c r="K5997" s="10">
        <f>IF(F5997&gt;0,H5997/F5997,"")</f>
        <v/>
      </c>
      <c r="L5997" s="16">
        <f>IF(AND(G5997&gt;0,H5997&gt;0),G5997/H5997,"")</f>
        <v/>
      </c>
    </row>
    <row r="5998">
      <c r="A5998" s="4" t="inlineStr">
        <is>
          <t>312</t>
        </is>
      </c>
      <c r="B5998" s="4" t="n">
        <v>3</v>
      </c>
      <c r="C5998" s="4" t="inlineStr">
        <is>
          <t>mule deer</t>
        </is>
      </c>
      <c r="D5998" s="4" t="n">
        <v>2016</v>
      </c>
      <c r="E5998" s="13" t="inlineStr">
        <is>
          <t>General</t>
        </is>
      </c>
      <c r="F5998" s="5" t="n"/>
      <c r="G5998" s="5" t="n"/>
      <c r="H5998" s="5" t="n">
        <v>299</v>
      </c>
      <c r="I5998" s="5" t="n">
        <v>231</v>
      </c>
      <c r="J5998" s="5" t="n">
        <v>67</v>
      </c>
      <c r="K5998" s="10">
        <f>IF(F5998&gt;0,H5998/F5998,"")</f>
        <v/>
      </c>
      <c r="L5998" s="16">
        <f>IF(AND(G5998&gt;0,H5998&gt;0),G5998/H5998,"")</f>
        <v/>
      </c>
    </row>
    <row r="5999">
      <c r="A5999" s="4" t="inlineStr">
        <is>
          <t>312</t>
        </is>
      </c>
      <c r="B5999" s="4" t="n">
        <v>3</v>
      </c>
      <c r="C5999" s="4" t="inlineStr">
        <is>
          <t>mule deer</t>
        </is>
      </c>
      <c r="D5999" s="4" t="n">
        <v>2017</v>
      </c>
      <c r="E5999" s="13" t="inlineStr">
        <is>
          <t>General</t>
        </is>
      </c>
      <c r="F5999" s="5" t="n">
        <v>1708</v>
      </c>
      <c r="G5999" s="5" t="n">
        <v>8790</v>
      </c>
      <c r="H5999" s="5" t="n">
        <v>169</v>
      </c>
      <c r="I5999" s="5" t="n">
        <v>132</v>
      </c>
      <c r="J5999" s="5" t="n">
        <v>36</v>
      </c>
      <c r="K5999" s="10">
        <f>IF(F5999&gt;0,H5999/F5999,"")</f>
        <v/>
      </c>
      <c r="L5999" s="16">
        <f>IF(AND(G5999&gt;0,H5999&gt;0),G5999/H5999,"")</f>
        <v/>
      </c>
    </row>
    <row r="6000">
      <c r="A6000" s="4" t="inlineStr">
        <is>
          <t>312</t>
        </is>
      </c>
      <c r="B6000" s="4" t="n">
        <v>3</v>
      </c>
      <c r="C6000" s="4" t="inlineStr">
        <is>
          <t>mule deer</t>
        </is>
      </c>
      <c r="D6000" s="4" t="n">
        <v>2018</v>
      </c>
      <c r="E6000" s="13" t="inlineStr">
        <is>
          <t>General</t>
        </is>
      </c>
      <c r="F6000" s="5" t="n"/>
      <c r="G6000" s="5" t="n"/>
      <c r="H6000" s="5" t="n">
        <v>186</v>
      </c>
      <c r="I6000" s="5" t="n">
        <v>158</v>
      </c>
      <c r="J6000" s="5" t="n">
        <v>28</v>
      </c>
      <c r="K6000" s="10">
        <f>IF(F6000&gt;0,H6000/F6000,"")</f>
        <v/>
      </c>
      <c r="L6000" s="16">
        <f>IF(AND(G6000&gt;0,H6000&gt;0),G6000/H6000,"")</f>
        <v/>
      </c>
    </row>
    <row r="6001">
      <c r="A6001" s="4" t="inlineStr">
        <is>
          <t>312</t>
        </is>
      </c>
      <c r="B6001" s="4" t="n">
        <v>3</v>
      </c>
      <c r="C6001" s="4" t="inlineStr">
        <is>
          <t>mule deer</t>
        </is>
      </c>
      <c r="D6001" s="4" t="n">
        <v>2019</v>
      </c>
      <c r="E6001" s="13" t="inlineStr">
        <is>
          <t>General</t>
        </is>
      </c>
      <c r="F6001" s="5" t="n">
        <v>1723</v>
      </c>
      <c r="G6001" s="5" t="n">
        <v>10521</v>
      </c>
      <c r="H6001" s="5" t="n">
        <v>195</v>
      </c>
      <c r="I6001" s="5" t="n">
        <v>172</v>
      </c>
      <c r="J6001" s="5" t="n">
        <v>24</v>
      </c>
      <c r="K6001" s="10">
        <f>IF(F6001&gt;0,H6001/F6001,"")</f>
        <v/>
      </c>
      <c r="L6001" s="16">
        <f>IF(AND(G6001&gt;0,H6001&gt;0),G6001/H6001,"")</f>
        <v/>
      </c>
    </row>
    <row r="6002">
      <c r="A6002" s="4" t="inlineStr">
        <is>
          <t>312</t>
        </is>
      </c>
      <c r="B6002" s="4" t="n">
        <v>3</v>
      </c>
      <c r="C6002" s="4" t="inlineStr">
        <is>
          <t>mule deer</t>
        </is>
      </c>
      <c r="D6002" s="4" t="n">
        <v>2020</v>
      </c>
      <c r="E6002" s="13" t="inlineStr">
        <is>
          <t>General</t>
        </is>
      </c>
      <c r="F6002" s="5" t="n"/>
      <c r="G6002" s="5" t="n"/>
      <c r="H6002" s="5" t="n">
        <v>216</v>
      </c>
      <c r="I6002" s="5" t="n">
        <v>190</v>
      </c>
      <c r="J6002" s="5" t="n">
        <v>26</v>
      </c>
      <c r="K6002" s="10">
        <f>IF(F6002&gt;0,H6002/F6002,"")</f>
        <v/>
      </c>
      <c r="L6002" s="16">
        <f>IF(AND(G6002&gt;0,H6002&gt;0),G6002/H6002,"")</f>
        <v/>
      </c>
    </row>
    <row r="6003">
      <c r="A6003" s="4" t="inlineStr">
        <is>
          <t>312</t>
        </is>
      </c>
      <c r="B6003" s="4" t="n">
        <v>3</v>
      </c>
      <c r="C6003" s="4" t="inlineStr">
        <is>
          <t>mule deer</t>
        </is>
      </c>
      <c r="D6003" s="4" t="n">
        <v>2021</v>
      </c>
      <c r="E6003" s="13" t="inlineStr">
        <is>
          <t>General</t>
        </is>
      </c>
      <c r="F6003" s="5" t="n">
        <v>1341</v>
      </c>
      <c r="G6003" s="5" t="n">
        <v>7253</v>
      </c>
      <c r="H6003" s="5" t="n">
        <v>194</v>
      </c>
      <c r="I6003" s="5" t="n">
        <v>160</v>
      </c>
      <c r="J6003" s="5" t="n">
        <v>34</v>
      </c>
      <c r="K6003" s="10">
        <f>IF(F6003&gt;0,H6003/F6003,"")</f>
        <v/>
      </c>
      <c r="L6003" s="16">
        <f>IF(AND(G6003&gt;0,H6003&gt;0),G6003/H6003,"")</f>
        <v/>
      </c>
    </row>
    <row r="6004">
      <c r="A6004" s="4" t="inlineStr">
        <is>
          <t>312</t>
        </is>
      </c>
      <c r="B6004" s="4" t="n">
        <v>3</v>
      </c>
      <c r="C6004" s="4" t="inlineStr">
        <is>
          <t>mule deer</t>
        </is>
      </c>
      <c r="D6004" s="4" t="n">
        <v>2022</v>
      </c>
      <c r="E6004" s="13" t="inlineStr">
        <is>
          <t>General</t>
        </is>
      </c>
      <c r="F6004" s="5" t="n"/>
      <c r="G6004" s="5" t="n"/>
      <c r="H6004" s="5" t="n">
        <v>191</v>
      </c>
      <c r="I6004" s="5" t="n">
        <v>163</v>
      </c>
      <c r="J6004" s="5" t="n">
        <v>28</v>
      </c>
      <c r="K6004" s="10">
        <f>IF(F6004&gt;0,H6004/F6004,"")</f>
        <v/>
      </c>
      <c r="L6004" s="16">
        <f>IF(AND(G6004&gt;0,H6004&gt;0),G6004/H6004,"")</f>
        <v/>
      </c>
    </row>
    <row r="6005">
      <c r="A6005" s="4" t="inlineStr">
        <is>
          <t>312</t>
        </is>
      </c>
      <c r="B6005" s="4" t="n">
        <v>3</v>
      </c>
      <c r="C6005" s="4" t="inlineStr">
        <is>
          <t>mule deer</t>
        </is>
      </c>
      <c r="D6005" s="4" t="n">
        <v>2023</v>
      </c>
      <c r="E6005" s="13" t="inlineStr">
        <is>
          <t>General</t>
        </is>
      </c>
      <c r="F6005" s="5" t="n">
        <v>1471</v>
      </c>
      <c r="G6005" s="5" t="n">
        <v>8723</v>
      </c>
      <c r="H6005" s="5" t="n">
        <v>189</v>
      </c>
      <c r="I6005" s="5" t="n">
        <v>168</v>
      </c>
      <c r="J6005" s="5" t="n">
        <v>17</v>
      </c>
      <c r="K6005" s="10">
        <f>IF(F6005&gt;0,H6005/F6005,"")</f>
        <v/>
      </c>
      <c r="L6005" s="16">
        <f>IF(AND(G6005&gt;0,H6005&gt;0),G6005/H6005,"")</f>
        <v/>
      </c>
    </row>
    <row r="6006">
      <c r="A6006" s="4" t="inlineStr">
        <is>
          <t>312</t>
        </is>
      </c>
      <c r="B6006" s="4" t="n">
        <v>3</v>
      </c>
      <c r="C6006" s="4" t="inlineStr">
        <is>
          <t>mule deer</t>
        </is>
      </c>
      <c r="D6006" s="4" t="n">
        <v>2024</v>
      </c>
      <c r="E6006" s="13" t="inlineStr">
        <is>
          <t>General</t>
        </is>
      </c>
      <c r="F6006" s="5" t="n"/>
      <c r="G6006" s="5" t="n"/>
      <c r="H6006" s="5" t="n">
        <v>171</v>
      </c>
      <c r="I6006" s="5" t="n">
        <v>152</v>
      </c>
      <c r="J6006" s="5" t="n">
        <v>19</v>
      </c>
      <c r="K6006" s="10">
        <f>IF(F6006&gt;0,H6006/F6006,"")</f>
        <v/>
      </c>
      <c r="L6006" s="16">
        <f>IF(AND(G6006&gt;0,H6006&gt;0),G6006/H6006,"")</f>
        <v/>
      </c>
    </row>
    <row r="6007">
      <c r="A6007" s="4" t="inlineStr">
        <is>
          <t>312</t>
        </is>
      </c>
      <c r="B6007" s="4" t="n">
        <v>3</v>
      </c>
      <c r="C6007" s="4" t="inlineStr">
        <is>
          <t>mule deer</t>
        </is>
      </c>
      <c r="D6007" s="4" t="n">
        <v>2025</v>
      </c>
      <c r="E6007" s="13" t="inlineStr">
        <is>
          <t>General</t>
        </is>
      </c>
      <c r="F6007" s="5" t="n">
        <v>1459</v>
      </c>
      <c r="G6007" s="5" t="n">
        <v>8909</v>
      </c>
      <c r="H6007" s="5" t="n">
        <v>178</v>
      </c>
      <c r="I6007" s="5" t="n">
        <v>161</v>
      </c>
      <c r="J6007" s="5" t="n">
        <v>17</v>
      </c>
      <c r="K6007" s="10">
        <f>IF(F6007&gt;0,H6007/F6007,"")</f>
        <v/>
      </c>
      <c r="L6007" s="16">
        <f>IF(AND(G6007&gt;0,H6007&gt;0),G6007/H6007,"")</f>
        <v/>
      </c>
    </row>
    <row r="6008">
      <c r="A6008" s="4" t="inlineStr">
        <is>
          <t>313</t>
        </is>
      </c>
      <c r="B6008" s="4" t="n">
        <v>3</v>
      </c>
      <c r="C6008" s="4" t="inlineStr">
        <is>
          <t>mule deer</t>
        </is>
      </c>
      <c r="D6008" s="4" t="n">
        <v>2004</v>
      </c>
      <c r="E6008" s="13" t="inlineStr">
        <is>
          <t>General</t>
        </is>
      </c>
      <c r="F6008" s="5" t="n">
        <v>553</v>
      </c>
      <c r="G6008" s="5" t="n">
        <v>2919</v>
      </c>
      <c r="H6008" s="5" t="n">
        <v>270</v>
      </c>
      <c r="I6008" s="5" t="n">
        <v>211</v>
      </c>
      <c r="J6008" s="5" t="n">
        <v>58</v>
      </c>
      <c r="K6008" s="10">
        <f>IF(F6008&gt;0,H6008/F6008,"")</f>
        <v/>
      </c>
      <c r="L6008" s="16">
        <f>IF(AND(G6008&gt;0,H6008&gt;0),G6008/H6008,"")</f>
        <v/>
      </c>
    </row>
    <row r="6009">
      <c r="A6009" s="4" t="inlineStr">
        <is>
          <t>313</t>
        </is>
      </c>
      <c r="B6009" s="4" t="n">
        <v>3</v>
      </c>
      <c r="C6009" s="4" t="inlineStr">
        <is>
          <t>mule deer</t>
        </is>
      </c>
      <c r="D6009" s="4" t="n">
        <v>2005</v>
      </c>
      <c r="E6009" s="13" t="inlineStr">
        <is>
          <t>General</t>
        </is>
      </c>
      <c r="F6009" s="5" t="n">
        <v>685</v>
      </c>
      <c r="G6009" s="5" t="n">
        <v>3683</v>
      </c>
      <c r="H6009" s="5" t="n">
        <v>336</v>
      </c>
      <c r="I6009" s="5" t="n">
        <v>248</v>
      </c>
      <c r="J6009" s="5" t="n">
        <v>83</v>
      </c>
      <c r="K6009" s="10">
        <f>IF(F6009&gt;0,H6009/F6009,"")</f>
        <v/>
      </c>
      <c r="L6009" s="16">
        <f>IF(AND(G6009&gt;0,H6009&gt;0),G6009/H6009,"")</f>
        <v/>
      </c>
    </row>
    <row r="6010">
      <c r="A6010" s="4" t="inlineStr">
        <is>
          <t>313</t>
        </is>
      </c>
      <c r="B6010" s="4" t="n">
        <v>3</v>
      </c>
      <c r="C6010" s="4" t="inlineStr">
        <is>
          <t>mule deer</t>
        </is>
      </c>
      <c r="D6010" s="4" t="n">
        <v>2006</v>
      </c>
      <c r="E6010" s="13" t="inlineStr">
        <is>
          <t>General</t>
        </is>
      </c>
      <c r="F6010" s="5" t="n">
        <v>1139</v>
      </c>
      <c r="G6010" s="5" t="n">
        <v>6415</v>
      </c>
      <c r="H6010" s="5" t="n">
        <v>482</v>
      </c>
      <c r="I6010" s="5" t="n">
        <v>406</v>
      </c>
      <c r="J6010" s="5" t="n">
        <v>76</v>
      </c>
      <c r="K6010" s="10">
        <f>IF(F6010&gt;0,H6010/F6010,"")</f>
        <v/>
      </c>
      <c r="L6010" s="16">
        <f>IF(AND(G6010&gt;0,H6010&gt;0),G6010/H6010,"")</f>
        <v/>
      </c>
    </row>
    <row r="6011">
      <c r="A6011" s="4" t="inlineStr">
        <is>
          <t>313</t>
        </is>
      </c>
      <c r="B6011" s="4" t="n">
        <v>3</v>
      </c>
      <c r="C6011" s="4" t="inlineStr">
        <is>
          <t>mule deer</t>
        </is>
      </c>
      <c r="D6011" s="4" t="n">
        <v>2007</v>
      </c>
      <c r="E6011" s="13" t="inlineStr">
        <is>
          <t>General</t>
        </is>
      </c>
      <c r="F6011" s="5" t="n">
        <v>662</v>
      </c>
      <c r="G6011" s="5" t="n">
        <v>4057</v>
      </c>
      <c r="H6011" s="5" t="n">
        <v>299</v>
      </c>
      <c r="I6011" s="5" t="n">
        <v>209</v>
      </c>
      <c r="J6011" s="5" t="n">
        <v>86</v>
      </c>
      <c r="K6011" s="10">
        <f>IF(F6011&gt;0,H6011/F6011,"")</f>
        <v/>
      </c>
      <c r="L6011" s="16">
        <f>IF(AND(G6011&gt;0,H6011&gt;0),G6011/H6011,"")</f>
        <v/>
      </c>
    </row>
    <row r="6012">
      <c r="A6012" s="4" t="inlineStr">
        <is>
          <t>313</t>
        </is>
      </c>
      <c r="B6012" s="4" t="n">
        <v>3</v>
      </c>
      <c r="C6012" s="4" t="inlineStr">
        <is>
          <t>mule deer</t>
        </is>
      </c>
      <c r="D6012" s="4" t="n">
        <v>2008</v>
      </c>
      <c r="E6012" s="13" t="inlineStr">
        <is>
          <t>General</t>
        </is>
      </c>
      <c r="F6012" s="5" t="n">
        <v>660</v>
      </c>
      <c r="G6012" s="5" t="n">
        <v>4138</v>
      </c>
      <c r="H6012" s="5" t="n">
        <v>250</v>
      </c>
      <c r="I6012" s="5" t="n">
        <v>144</v>
      </c>
      <c r="J6012" s="5" t="n">
        <v>104</v>
      </c>
      <c r="K6012" s="10">
        <f>IF(F6012&gt;0,H6012/F6012,"")</f>
        <v/>
      </c>
      <c r="L6012" s="16">
        <f>IF(AND(G6012&gt;0,H6012&gt;0),G6012/H6012,"")</f>
        <v/>
      </c>
    </row>
    <row r="6013">
      <c r="A6013" s="4" t="inlineStr">
        <is>
          <t>313</t>
        </is>
      </c>
      <c r="B6013" s="4" t="n">
        <v>3</v>
      </c>
      <c r="C6013" s="4" t="inlineStr">
        <is>
          <t>mule deer</t>
        </is>
      </c>
      <c r="D6013" s="4" t="n">
        <v>2009</v>
      </c>
      <c r="E6013" s="13" t="inlineStr">
        <is>
          <t>General</t>
        </is>
      </c>
      <c r="F6013" s="5" t="n">
        <v>752</v>
      </c>
      <c r="G6013" s="5" t="n">
        <v>4353</v>
      </c>
      <c r="H6013" s="5" t="n">
        <v>287</v>
      </c>
      <c r="I6013" s="5" t="n">
        <v>202</v>
      </c>
      <c r="J6013" s="5" t="n">
        <v>85</v>
      </c>
      <c r="K6013" s="10">
        <f>IF(F6013&gt;0,H6013/F6013,"")</f>
        <v/>
      </c>
      <c r="L6013" s="16">
        <f>IF(AND(G6013&gt;0,H6013&gt;0),G6013/H6013,"")</f>
        <v/>
      </c>
    </row>
    <row r="6014">
      <c r="A6014" s="4" t="inlineStr">
        <is>
          <t>313</t>
        </is>
      </c>
      <c r="B6014" s="4" t="n">
        <v>3</v>
      </c>
      <c r="C6014" s="4" t="inlineStr">
        <is>
          <t>mule deer</t>
        </is>
      </c>
      <c r="D6014" s="4" t="n">
        <v>2010</v>
      </c>
      <c r="E6014" s="13" t="inlineStr">
        <is>
          <t>General</t>
        </is>
      </c>
      <c r="F6014" s="5" t="n">
        <v>664</v>
      </c>
      <c r="G6014" s="5" t="n">
        <v>4019</v>
      </c>
      <c r="H6014" s="5" t="n">
        <v>221</v>
      </c>
      <c r="I6014" s="5" t="n">
        <v>124</v>
      </c>
      <c r="J6014" s="5" t="n">
        <v>95</v>
      </c>
      <c r="K6014" s="10">
        <f>IF(F6014&gt;0,H6014/F6014,"")</f>
        <v/>
      </c>
      <c r="L6014" s="16">
        <f>IF(AND(G6014&gt;0,H6014&gt;0),G6014/H6014,"")</f>
        <v/>
      </c>
    </row>
    <row r="6015">
      <c r="A6015" s="4" t="inlineStr">
        <is>
          <t>313</t>
        </is>
      </c>
      <c r="B6015" s="4" t="n">
        <v>3</v>
      </c>
      <c r="C6015" s="4" t="inlineStr">
        <is>
          <t>mule deer</t>
        </is>
      </c>
      <c r="D6015" s="4" t="n">
        <v>2011</v>
      </c>
      <c r="E6015" s="13" t="inlineStr">
        <is>
          <t>General</t>
        </is>
      </c>
      <c r="F6015" s="5" t="n">
        <v>711</v>
      </c>
      <c r="G6015" s="5" t="n">
        <v>4221</v>
      </c>
      <c r="H6015" s="5" t="n">
        <v>230</v>
      </c>
      <c r="I6015" s="5" t="n">
        <v>124</v>
      </c>
      <c r="J6015" s="5" t="n">
        <v>102</v>
      </c>
      <c r="K6015" s="10">
        <f>IF(F6015&gt;0,H6015/F6015,"")</f>
        <v/>
      </c>
      <c r="L6015" s="16">
        <f>IF(AND(G6015&gt;0,H6015&gt;0),G6015/H6015,"")</f>
        <v/>
      </c>
    </row>
    <row r="6016">
      <c r="A6016" s="4" t="inlineStr">
        <is>
          <t>313</t>
        </is>
      </c>
      <c r="B6016" s="4" t="n">
        <v>3</v>
      </c>
      <c r="C6016" s="4" t="inlineStr">
        <is>
          <t>mule deer</t>
        </is>
      </c>
      <c r="D6016" s="4" t="n">
        <v>2012</v>
      </c>
      <c r="E6016" s="13" t="inlineStr">
        <is>
          <t>General</t>
        </is>
      </c>
      <c r="F6016" s="5" t="n"/>
      <c r="G6016" s="5" t="n"/>
      <c r="H6016" s="5" t="n">
        <v>160</v>
      </c>
      <c r="I6016" s="5" t="n">
        <v>119</v>
      </c>
      <c r="J6016" s="5" t="n">
        <v>41</v>
      </c>
      <c r="K6016" s="10">
        <f>IF(F6016&gt;0,H6016/F6016,"")</f>
        <v/>
      </c>
      <c r="L6016" s="16">
        <f>IF(AND(G6016&gt;0,H6016&gt;0),G6016/H6016,"")</f>
        <v/>
      </c>
    </row>
    <row r="6017">
      <c r="A6017" s="4" t="inlineStr">
        <is>
          <t>313</t>
        </is>
      </c>
      <c r="B6017" s="4" t="n">
        <v>3</v>
      </c>
      <c r="C6017" s="4" t="inlineStr">
        <is>
          <t>mule deer</t>
        </is>
      </c>
      <c r="D6017" s="4" t="n">
        <v>2013</v>
      </c>
      <c r="E6017" s="13" t="inlineStr">
        <is>
          <t>General</t>
        </is>
      </c>
      <c r="F6017" s="5" t="n">
        <v>764</v>
      </c>
      <c r="G6017" s="5" t="n">
        <v>4678</v>
      </c>
      <c r="H6017" s="5" t="n">
        <v>246</v>
      </c>
      <c r="I6017" s="5" t="n">
        <v>198</v>
      </c>
      <c r="J6017" s="5" t="n">
        <v>45</v>
      </c>
      <c r="K6017" s="10">
        <f>IF(F6017&gt;0,H6017/F6017,"")</f>
        <v/>
      </c>
      <c r="L6017" s="16">
        <f>IF(AND(G6017&gt;0,H6017&gt;0),G6017/H6017,"")</f>
        <v/>
      </c>
    </row>
    <row r="6018">
      <c r="A6018" s="4" t="inlineStr">
        <is>
          <t>313</t>
        </is>
      </c>
      <c r="B6018" s="4" t="n">
        <v>3</v>
      </c>
      <c r="C6018" s="4" t="inlineStr">
        <is>
          <t>mule deer</t>
        </is>
      </c>
      <c r="D6018" s="4" t="n">
        <v>2014</v>
      </c>
      <c r="E6018" s="13" t="inlineStr">
        <is>
          <t>General</t>
        </is>
      </c>
      <c r="F6018" s="5" t="n"/>
      <c r="G6018" s="5" t="n"/>
      <c r="H6018" s="5" t="n">
        <v>202</v>
      </c>
      <c r="I6018" s="5" t="n">
        <v>202</v>
      </c>
      <c r="J6018" s="5" t="n">
        <v>0</v>
      </c>
      <c r="K6018" s="10">
        <f>IF(F6018&gt;0,H6018/F6018,"")</f>
        <v/>
      </c>
      <c r="L6018" s="16">
        <f>IF(AND(G6018&gt;0,H6018&gt;0),G6018/H6018,"")</f>
        <v/>
      </c>
    </row>
    <row r="6019">
      <c r="A6019" s="4" t="inlineStr">
        <is>
          <t>313</t>
        </is>
      </c>
      <c r="B6019" s="4" t="n">
        <v>3</v>
      </c>
      <c r="C6019" s="4" t="inlineStr">
        <is>
          <t>mule deer</t>
        </is>
      </c>
      <c r="D6019" s="4" t="n">
        <v>2015</v>
      </c>
      <c r="E6019" s="13" t="inlineStr">
        <is>
          <t>General</t>
        </is>
      </c>
      <c r="F6019" s="5" t="n"/>
      <c r="G6019" s="5" t="n"/>
      <c r="H6019" s="5" t="n">
        <v>206</v>
      </c>
      <c r="I6019" s="5" t="n">
        <v>206</v>
      </c>
      <c r="J6019" s="5" t="n">
        <v>0</v>
      </c>
      <c r="K6019" s="10">
        <f>IF(F6019&gt;0,H6019/F6019,"")</f>
        <v/>
      </c>
      <c r="L6019" s="16">
        <f>IF(AND(G6019&gt;0,H6019&gt;0),G6019/H6019,"")</f>
        <v/>
      </c>
    </row>
    <row r="6020">
      <c r="A6020" s="4" t="inlineStr">
        <is>
          <t>313</t>
        </is>
      </c>
      <c r="B6020" s="4" t="n">
        <v>3</v>
      </c>
      <c r="C6020" s="4" t="inlineStr">
        <is>
          <t>mule deer</t>
        </is>
      </c>
      <c r="D6020" s="4" t="n">
        <v>2016</v>
      </c>
      <c r="E6020" s="13" t="inlineStr">
        <is>
          <t>General</t>
        </is>
      </c>
      <c r="F6020" s="5" t="n"/>
      <c r="G6020" s="5" t="n"/>
      <c r="H6020" s="5" t="n">
        <v>264</v>
      </c>
      <c r="I6020" s="5" t="n">
        <v>243</v>
      </c>
      <c r="J6020" s="5" t="n">
        <v>19</v>
      </c>
      <c r="K6020" s="10">
        <f>IF(F6020&gt;0,H6020/F6020,"")</f>
        <v/>
      </c>
      <c r="L6020" s="16">
        <f>IF(AND(G6020&gt;0,H6020&gt;0),G6020/H6020,"")</f>
        <v/>
      </c>
    </row>
    <row r="6021">
      <c r="A6021" s="4" t="inlineStr">
        <is>
          <t>313</t>
        </is>
      </c>
      <c r="B6021" s="4" t="n">
        <v>3</v>
      </c>
      <c r="C6021" s="4" t="inlineStr">
        <is>
          <t>mule deer</t>
        </is>
      </c>
      <c r="D6021" s="4" t="n">
        <v>2017</v>
      </c>
      <c r="E6021" s="13" t="inlineStr">
        <is>
          <t>General</t>
        </is>
      </c>
      <c r="F6021" s="5" t="n">
        <v>820</v>
      </c>
      <c r="G6021" s="5" t="n">
        <v>4925</v>
      </c>
      <c r="H6021" s="5" t="n">
        <v>303</v>
      </c>
      <c r="I6021" s="5" t="n">
        <v>278</v>
      </c>
      <c r="J6021" s="5" t="n">
        <v>25</v>
      </c>
      <c r="K6021" s="10">
        <f>IF(F6021&gt;0,H6021/F6021,"")</f>
        <v/>
      </c>
      <c r="L6021" s="16">
        <f>IF(AND(G6021&gt;0,H6021&gt;0),G6021/H6021,"")</f>
        <v/>
      </c>
    </row>
    <row r="6022">
      <c r="A6022" s="4" t="inlineStr">
        <is>
          <t>313</t>
        </is>
      </c>
      <c r="B6022" s="4" t="n">
        <v>3</v>
      </c>
      <c r="C6022" s="4" t="inlineStr">
        <is>
          <t>mule deer</t>
        </is>
      </c>
      <c r="D6022" s="4" t="n">
        <v>2018</v>
      </c>
      <c r="E6022" s="13" t="inlineStr">
        <is>
          <t>General</t>
        </is>
      </c>
      <c r="F6022" s="5" t="n"/>
      <c r="G6022" s="5" t="n"/>
      <c r="H6022" s="5" t="n">
        <v>258</v>
      </c>
      <c r="I6022" s="5" t="n">
        <v>220</v>
      </c>
      <c r="J6022" s="5" t="n">
        <v>38</v>
      </c>
      <c r="K6022" s="10">
        <f>IF(F6022&gt;0,H6022/F6022,"")</f>
        <v/>
      </c>
      <c r="L6022" s="16">
        <f>IF(AND(G6022&gt;0,H6022&gt;0),G6022/H6022,"")</f>
        <v/>
      </c>
    </row>
    <row r="6023">
      <c r="A6023" s="4" t="inlineStr">
        <is>
          <t>313</t>
        </is>
      </c>
      <c r="B6023" s="4" t="n">
        <v>3</v>
      </c>
      <c r="C6023" s="4" t="inlineStr">
        <is>
          <t>mule deer</t>
        </is>
      </c>
      <c r="D6023" s="4" t="n">
        <v>2019</v>
      </c>
      <c r="E6023" s="13" t="inlineStr">
        <is>
          <t>General</t>
        </is>
      </c>
      <c r="F6023" s="5" t="n">
        <v>839</v>
      </c>
      <c r="G6023" s="5" t="n">
        <v>5423</v>
      </c>
      <c r="H6023" s="5" t="n">
        <v>234</v>
      </c>
      <c r="I6023" s="5" t="n">
        <v>193</v>
      </c>
      <c r="J6023" s="5" t="n">
        <v>41</v>
      </c>
      <c r="K6023" s="10">
        <f>IF(F6023&gt;0,H6023/F6023,"")</f>
        <v/>
      </c>
      <c r="L6023" s="16">
        <f>IF(AND(G6023&gt;0,H6023&gt;0),G6023/H6023,"")</f>
        <v/>
      </c>
    </row>
    <row r="6024">
      <c r="A6024" s="4" t="inlineStr">
        <is>
          <t>313</t>
        </is>
      </c>
      <c r="B6024" s="4" t="n">
        <v>3</v>
      </c>
      <c r="C6024" s="4" t="inlineStr">
        <is>
          <t>mule deer</t>
        </is>
      </c>
      <c r="D6024" s="4" t="n">
        <v>2020</v>
      </c>
      <c r="E6024" s="13" t="inlineStr">
        <is>
          <t>General</t>
        </is>
      </c>
      <c r="F6024" s="5" t="n"/>
      <c r="G6024" s="5" t="n"/>
      <c r="H6024" s="5" t="n">
        <v>174</v>
      </c>
      <c r="I6024" s="5" t="n">
        <v>135</v>
      </c>
      <c r="J6024" s="5" t="n">
        <v>38</v>
      </c>
      <c r="K6024" s="10">
        <f>IF(F6024&gt;0,H6024/F6024,"")</f>
        <v/>
      </c>
      <c r="L6024" s="16">
        <f>IF(AND(G6024&gt;0,H6024&gt;0),G6024/H6024,"")</f>
        <v/>
      </c>
    </row>
    <row r="6025">
      <c r="A6025" s="4" t="inlineStr">
        <is>
          <t>313</t>
        </is>
      </c>
      <c r="B6025" s="4" t="n">
        <v>3</v>
      </c>
      <c r="C6025" s="4" t="inlineStr">
        <is>
          <t>mule deer</t>
        </is>
      </c>
      <c r="D6025" s="4" t="n">
        <v>2021</v>
      </c>
      <c r="E6025" s="13" t="inlineStr">
        <is>
          <t>General</t>
        </is>
      </c>
      <c r="F6025" s="5" t="n">
        <v>733</v>
      </c>
      <c r="G6025" s="5" t="n">
        <v>4594</v>
      </c>
      <c r="H6025" s="5" t="n">
        <v>164</v>
      </c>
      <c r="I6025" s="5" t="n">
        <v>140</v>
      </c>
      <c r="J6025" s="5" t="n">
        <v>25</v>
      </c>
      <c r="K6025" s="10">
        <f>IF(F6025&gt;0,H6025/F6025,"")</f>
        <v/>
      </c>
      <c r="L6025" s="16">
        <f>IF(AND(G6025&gt;0,H6025&gt;0),G6025/H6025,"")</f>
        <v/>
      </c>
    </row>
    <row r="6026">
      <c r="A6026" s="4" t="inlineStr">
        <is>
          <t>313</t>
        </is>
      </c>
      <c r="B6026" s="4" t="n">
        <v>3</v>
      </c>
      <c r="C6026" s="4" t="inlineStr">
        <is>
          <t>mule deer</t>
        </is>
      </c>
      <c r="D6026" s="4" t="n">
        <v>2022</v>
      </c>
      <c r="E6026" s="13" t="inlineStr">
        <is>
          <t>General</t>
        </is>
      </c>
      <c r="F6026" s="5" t="n"/>
      <c r="G6026" s="5" t="n"/>
      <c r="H6026" s="5" t="n">
        <v>189</v>
      </c>
      <c r="I6026" s="5" t="n">
        <v>151</v>
      </c>
      <c r="J6026" s="5" t="n">
        <v>38</v>
      </c>
      <c r="K6026" s="10">
        <f>IF(F6026&gt;0,H6026/F6026,"")</f>
        <v/>
      </c>
      <c r="L6026" s="16">
        <f>IF(AND(G6026&gt;0,H6026&gt;0),G6026/H6026,"")</f>
        <v/>
      </c>
    </row>
    <row r="6027">
      <c r="A6027" s="4" t="inlineStr">
        <is>
          <t>313</t>
        </is>
      </c>
      <c r="B6027" s="4" t="n">
        <v>3</v>
      </c>
      <c r="C6027" s="4" t="inlineStr">
        <is>
          <t>mule deer</t>
        </is>
      </c>
      <c r="D6027" s="4" t="n">
        <v>2023</v>
      </c>
      <c r="E6027" s="13" t="inlineStr">
        <is>
          <t>General</t>
        </is>
      </c>
      <c r="F6027" s="5" t="n">
        <v>633</v>
      </c>
      <c r="G6027" s="5" t="n">
        <v>4776</v>
      </c>
      <c r="H6027" s="5" t="n">
        <v>156</v>
      </c>
      <c r="I6027" s="5" t="n">
        <v>147</v>
      </c>
      <c r="J6027" s="5" t="n">
        <v>9</v>
      </c>
      <c r="K6027" s="10">
        <f>IF(F6027&gt;0,H6027/F6027,"")</f>
        <v/>
      </c>
      <c r="L6027" s="16">
        <f>IF(AND(G6027&gt;0,H6027&gt;0),G6027/H6027,"")</f>
        <v/>
      </c>
    </row>
    <row r="6028">
      <c r="A6028" s="4" t="inlineStr">
        <is>
          <t>313</t>
        </is>
      </c>
      <c r="B6028" s="4" t="n">
        <v>3</v>
      </c>
      <c r="C6028" s="4" t="inlineStr">
        <is>
          <t>mule deer</t>
        </is>
      </c>
      <c r="D6028" s="4" t="n">
        <v>2024</v>
      </c>
      <c r="E6028" s="13" t="inlineStr">
        <is>
          <t>General</t>
        </is>
      </c>
      <c r="F6028" s="5" t="n"/>
      <c r="G6028" s="5" t="n"/>
      <c r="H6028" s="5" t="n">
        <v>233</v>
      </c>
      <c r="I6028" s="5" t="n">
        <v>225</v>
      </c>
      <c r="J6028" s="5" t="n">
        <v>9</v>
      </c>
      <c r="K6028" s="10">
        <f>IF(F6028&gt;0,H6028/F6028,"")</f>
        <v/>
      </c>
      <c r="L6028" s="16">
        <f>IF(AND(G6028&gt;0,H6028&gt;0),G6028/H6028,"")</f>
        <v/>
      </c>
    </row>
    <row r="6029">
      <c r="A6029" s="4" t="inlineStr">
        <is>
          <t>313</t>
        </is>
      </c>
      <c r="B6029" s="4" t="n">
        <v>3</v>
      </c>
      <c r="C6029" s="4" t="inlineStr">
        <is>
          <t>mule deer</t>
        </is>
      </c>
      <c r="D6029" s="4" t="n">
        <v>2025</v>
      </c>
      <c r="E6029" s="13" t="inlineStr">
        <is>
          <t>General</t>
        </is>
      </c>
      <c r="F6029" s="5" t="n">
        <v>810</v>
      </c>
      <c r="G6029" s="5" t="n">
        <v>5205</v>
      </c>
      <c r="H6029" s="5" t="n">
        <v>198</v>
      </c>
      <c r="I6029" s="5" t="n">
        <v>187</v>
      </c>
      <c r="J6029" s="5" t="n">
        <v>11</v>
      </c>
      <c r="K6029" s="10">
        <f>IF(F6029&gt;0,H6029/F6029,"")</f>
        <v/>
      </c>
      <c r="L6029" s="16">
        <f>IF(AND(G6029&gt;0,H6029&gt;0),G6029/H6029,"")</f>
        <v/>
      </c>
    </row>
    <row r="6030">
      <c r="A6030" s="4" t="inlineStr">
        <is>
          <t>314</t>
        </is>
      </c>
      <c r="B6030" s="4" t="n">
        <v>3</v>
      </c>
      <c r="C6030" s="4" t="inlineStr">
        <is>
          <t>mule deer</t>
        </is>
      </c>
      <c r="D6030" s="4" t="n">
        <v>2004</v>
      </c>
      <c r="E6030" s="13" t="inlineStr">
        <is>
          <t>General</t>
        </is>
      </c>
      <c r="F6030" s="5" t="n">
        <v>1450</v>
      </c>
      <c r="G6030" s="5" t="n">
        <v>7784</v>
      </c>
      <c r="H6030" s="5" t="n">
        <v>529</v>
      </c>
      <c r="I6030" s="5" t="n">
        <v>424</v>
      </c>
      <c r="J6030" s="5" t="n">
        <v>103</v>
      </c>
      <c r="K6030" s="10">
        <f>IF(F6030&gt;0,H6030/F6030,"")</f>
        <v/>
      </c>
      <c r="L6030" s="16">
        <f>IF(AND(G6030&gt;0,H6030&gt;0),G6030/H6030,"")</f>
        <v/>
      </c>
    </row>
    <row r="6031">
      <c r="A6031" s="4" t="inlineStr">
        <is>
          <t>314</t>
        </is>
      </c>
      <c r="B6031" s="4" t="n">
        <v>3</v>
      </c>
      <c r="C6031" s="4" t="inlineStr">
        <is>
          <t>mule deer</t>
        </is>
      </c>
      <c r="D6031" s="4" t="n">
        <v>2005</v>
      </c>
      <c r="E6031" s="13" t="inlineStr">
        <is>
          <t>General</t>
        </is>
      </c>
      <c r="F6031" s="5" t="n">
        <v>1138</v>
      </c>
      <c r="G6031" s="5" t="n">
        <v>6145</v>
      </c>
      <c r="H6031" s="5" t="n">
        <v>380</v>
      </c>
      <c r="I6031" s="5" t="n">
        <v>290</v>
      </c>
      <c r="J6031" s="5" t="n">
        <v>91</v>
      </c>
      <c r="K6031" s="10">
        <f>IF(F6031&gt;0,H6031/F6031,"")</f>
        <v/>
      </c>
      <c r="L6031" s="16">
        <f>IF(AND(G6031&gt;0,H6031&gt;0),G6031/H6031,"")</f>
        <v/>
      </c>
    </row>
    <row r="6032">
      <c r="A6032" s="4" t="inlineStr">
        <is>
          <t>314</t>
        </is>
      </c>
      <c r="B6032" s="4" t="n">
        <v>3</v>
      </c>
      <c r="C6032" s="4" t="inlineStr">
        <is>
          <t>mule deer</t>
        </is>
      </c>
      <c r="D6032" s="4" t="n">
        <v>2006</v>
      </c>
      <c r="E6032" s="13" t="inlineStr">
        <is>
          <t>General</t>
        </is>
      </c>
      <c r="F6032" s="5" t="n">
        <v>1387</v>
      </c>
      <c r="G6032" s="5" t="n">
        <v>7578</v>
      </c>
      <c r="H6032" s="5" t="n">
        <v>448</v>
      </c>
      <c r="I6032" s="5" t="n">
        <v>365</v>
      </c>
      <c r="J6032" s="5" t="n">
        <v>81</v>
      </c>
      <c r="K6032" s="10">
        <f>IF(F6032&gt;0,H6032/F6032,"")</f>
        <v/>
      </c>
      <c r="L6032" s="16">
        <f>IF(AND(G6032&gt;0,H6032&gt;0),G6032/H6032,"")</f>
        <v/>
      </c>
    </row>
    <row r="6033">
      <c r="A6033" s="4" t="inlineStr">
        <is>
          <t>314</t>
        </is>
      </c>
      <c r="B6033" s="4" t="n">
        <v>3</v>
      </c>
      <c r="C6033" s="4" t="inlineStr">
        <is>
          <t>mule deer</t>
        </is>
      </c>
      <c r="D6033" s="4" t="n">
        <v>2007</v>
      </c>
      <c r="E6033" s="13" t="inlineStr">
        <is>
          <t>General</t>
        </is>
      </c>
      <c r="F6033" s="5" t="n">
        <v>1175</v>
      </c>
      <c r="G6033" s="5" t="n">
        <v>6695</v>
      </c>
      <c r="H6033" s="5" t="n">
        <v>370</v>
      </c>
      <c r="I6033" s="5" t="n">
        <v>256</v>
      </c>
      <c r="J6033" s="5" t="n">
        <v>110</v>
      </c>
      <c r="K6033" s="10">
        <f>IF(F6033&gt;0,H6033/F6033,"")</f>
        <v/>
      </c>
      <c r="L6033" s="16">
        <f>IF(AND(G6033&gt;0,H6033&gt;0),G6033/H6033,"")</f>
        <v/>
      </c>
    </row>
    <row r="6034">
      <c r="A6034" s="4" t="inlineStr">
        <is>
          <t>314</t>
        </is>
      </c>
      <c r="B6034" s="4" t="n">
        <v>3</v>
      </c>
      <c r="C6034" s="4" t="inlineStr">
        <is>
          <t>mule deer</t>
        </is>
      </c>
      <c r="D6034" s="4" t="n">
        <v>2008</v>
      </c>
      <c r="E6034" s="13" t="inlineStr">
        <is>
          <t>General</t>
        </is>
      </c>
      <c r="F6034" s="5" t="n">
        <v>1363</v>
      </c>
      <c r="G6034" s="5" t="n">
        <v>8359</v>
      </c>
      <c r="H6034" s="5" t="n">
        <v>337</v>
      </c>
      <c r="I6034" s="5" t="n">
        <v>235</v>
      </c>
      <c r="J6034" s="5" t="n">
        <v>99</v>
      </c>
      <c r="K6034" s="10">
        <f>IF(F6034&gt;0,H6034/F6034,"")</f>
        <v/>
      </c>
      <c r="L6034" s="16">
        <f>IF(AND(G6034&gt;0,H6034&gt;0),G6034/H6034,"")</f>
        <v/>
      </c>
    </row>
    <row r="6035">
      <c r="A6035" s="4" t="inlineStr">
        <is>
          <t>314</t>
        </is>
      </c>
      <c r="B6035" s="4" t="n">
        <v>3</v>
      </c>
      <c r="C6035" s="4" t="inlineStr">
        <is>
          <t>mule deer</t>
        </is>
      </c>
      <c r="D6035" s="4" t="n">
        <v>2009</v>
      </c>
      <c r="E6035" s="13" t="inlineStr">
        <is>
          <t>General</t>
        </is>
      </c>
      <c r="F6035" s="5" t="n">
        <v>1263</v>
      </c>
      <c r="G6035" s="5" t="n">
        <v>7627</v>
      </c>
      <c r="H6035" s="5" t="n">
        <v>303</v>
      </c>
      <c r="I6035" s="5" t="n">
        <v>178</v>
      </c>
      <c r="J6035" s="5" t="n">
        <v>123</v>
      </c>
      <c r="K6035" s="10">
        <f>IF(F6035&gt;0,H6035/F6035,"")</f>
        <v/>
      </c>
      <c r="L6035" s="16">
        <f>IF(AND(G6035&gt;0,H6035&gt;0),G6035/H6035,"")</f>
        <v/>
      </c>
    </row>
    <row r="6036">
      <c r="A6036" s="4" t="inlineStr">
        <is>
          <t>314</t>
        </is>
      </c>
      <c r="B6036" s="4" t="n">
        <v>3</v>
      </c>
      <c r="C6036" s="4" t="inlineStr">
        <is>
          <t>mule deer</t>
        </is>
      </c>
      <c r="D6036" s="4" t="n">
        <v>2010</v>
      </c>
      <c r="E6036" s="13" t="inlineStr">
        <is>
          <t>General</t>
        </is>
      </c>
      <c r="F6036" s="5" t="n">
        <v>1284</v>
      </c>
      <c r="G6036" s="5" t="n">
        <v>7591</v>
      </c>
      <c r="H6036" s="5" t="n">
        <v>288</v>
      </c>
      <c r="I6036" s="5" t="n">
        <v>170</v>
      </c>
      <c r="J6036" s="5" t="n">
        <v>118</v>
      </c>
      <c r="K6036" s="10">
        <f>IF(F6036&gt;0,H6036/F6036,"")</f>
        <v/>
      </c>
      <c r="L6036" s="16">
        <f>IF(AND(G6036&gt;0,H6036&gt;0),G6036/H6036,"")</f>
        <v/>
      </c>
    </row>
    <row r="6037">
      <c r="A6037" s="4" t="inlineStr">
        <is>
          <t>314</t>
        </is>
      </c>
      <c r="B6037" s="4" t="n">
        <v>3</v>
      </c>
      <c r="C6037" s="4" t="inlineStr">
        <is>
          <t>mule deer</t>
        </is>
      </c>
      <c r="D6037" s="4" t="n">
        <v>2011</v>
      </c>
      <c r="E6037" s="13" t="inlineStr">
        <is>
          <t>General</t>
        </is>
      </c>
      <c r="F6037" s="5" t="n">
        <v>1242</v>
      </c>
      <c r="G6037" s="5" t="n">
        <v>7213</v>
      </c>
      <c r="H6037" s="5" t="n">
        <v>312</v>
      </c>
      <c r="I6037" s="5" t="n">
        <v>198</v>
      </c>
      <c r="J6037" s="5" t="n">
        <v>112</v>
      </c>
      <c r="K6037" s="10">
        <f>IF(F6037&gt;0,H6037/F6037,"")</f>
        <v/>
      </c>
      <c r="L6037" s="16">
        <f>IF(AND(G6037&gt;0,H6037&gt;0),G6037/H6037,"")</f>
        <v/>
      </c>
    </row>
    <row r="6038">
      <c r="A6038" s="4" t="inlineStr">
        <is>
          <t>314</t>
        </is>
      </c>
      <c r="B6038" s="4" t="n">
        <v>3</v>
      </c>
      <c r="C6038" s="4" t="inlineStr">
        <is>
          <t>mule deer</t>
        </is>
      </c>
      <c r="D6038" s="4" t="n">
        <v>2012</v>
      </c>
      <c r="E6038" s="13" t="inlineStr">
        <is>
          <t>General</t>
        </is>
      </c>
      <c r="F6038" s="5" t="n"/>
      <c r="G6038" s="5" t="n"/>
      <c r="H6038" s="5" t="n">
        <v>248</v>
      </c>
      <c r="I6038" s="5" t="n">
        <v>220</v>
      </c>
      <c r="J6038" s="5" t="n">
        <v>27</v>
      </c>
      <c r="K6038" s="10">
        <f>IF(F6038&gt;0,H6038/F6038,"")</f>
        <v/>
      </c>
      <c r="L6038" s="16">
        <f>IF(AND(G6038&gt;0,H6038&gt;0),G6038/H6038,"")</f>
        <v/>
      </c>
    </row>
    <row r="6039">
      <c r="A6039" s="4" t="inlineStr">
        <is>
          <t>314</t>
        </is>
      </c>
      <c r="B6039" s="4" t="n">
        <v>3</v>
      </c>
      <c r="C6039" s="4" t="inlineStr">
        <is>
          <t>mule deer</t>
        </is>
      </c>
      <c r="D6039" s="4" t="n">
        <v>2013</v>
      </c>
      <c r="E6039" s="13" t="inlineStr">
        <is>
          <t>General</t>
        </is>
      </c>
      <c r="F6039" s="5" t="n">
        <v>1277</v>
      </c>
      <c r="G6039" s="5" t="n">
        <v>7982</v>
      </c>
      <c r="H6039" s="5" t="n">
        <v>231</v>
      </c>
      <c r="I6039" s="5" t="n">
        <v>185</v>
      </c>
      <c r="J6039" s="5" t="n">
        <v>45</v>
      </c>
      <c r="K6039" s="10">
        <f>IF(F6039&gt;0,H6039/F6039,"")</f>
        <v/>
      </c>
      <c r="L6039" s="16">
        <f>IF(AND(G6039&gt;0,H6039&gt;0),G6039/H6039,"")</f>
        <v/>
      </c>
    </row>
    <row r="6040">
      <c r="A6040" s="4" t="inlineStr">
        <is>
          <t>314</t>
        </is>
      </c>
      <c r="B6040" s="4" t="n">
        <v>3</v>
      </c>
      <c r="C6040" s="4" t="inlineStr">
        <is>
          <t>mule deer</t>
        </is>
      </c>
      <c r="D6040" s="4" t="n">
        <v>2014</v>
      </c>
      <c r="E6040" s="13" t="inlineStr">
        <is>
          <t>General</t>
        </is>
      </c>
      <c r="F6040" s="5" t="n"/>
      <c r="G6040" s="5" t="n"/>
      <c r="H6040" s="5" t="n">
        <v>253</v>
      </c>
      <c r="I6040" s="5" t="n">
        <v>253</v>
      </c>
      <c r="J6040" s="5" t="n">
        <v>0</v>
      </c>
      <c r="K6040" s="10">
        <f>IF(F6040&gt;0,H6040/F6040,"")</f>
        <v/>
      </c>
      <c r="L6040" s="16">
        <f>IF(AND(G6040&gt;0,H6040&gt;0),G6040/H6040,"")</f>
        <v/>
      </c>
    </row>
    <row r="6041">
      <c r="A6041" s="4" t="inlineStr">
        <is>
          <t>314</t>
        </is>
      </c>
      <c r="B6041" s="4" t="n">
        <v>3</v>
      </c>
      <c r="C6041" s="4" t="inlineStr">
        <is>
          <t>mule deer</t>
        </is>
      </c>
      <c r="D6041" s="4" t="n">
        <v>2015</v>
      </c>
      <c r="E6041" s="13" t="inlineStr">
        <is>
          <t>General</t>
        </is>
      </c>
      <c r="F6041" s="5" t="n"/>
      <c r="G6041" s="5" t="n"/>
      <c r="H6041" s="5" t="n">
        <v>186</v>
      </c>
      <c r="I6041" s="5" t="n">
        <v>186</v>
      </c>
      <c r="J6041" s="5" t="n">
        <v>0</v>
      </c>
      <c r="K6041" s="10">
        <f>IF(F6041&gt;0,H6041/F6041,"")</f>
        <v/>
      </c>
      <c r="L6041" s="16">
        <f>IF(AND(G6041&gt;0,H6041&gt;0),G6041/H6041,"")</f>
        <v/>
      </c>
    </row>
    <row r="6042">
      <c r="A6042" s="4" t="inlineStr">
        <is>
          <t>314</t>
        </is>
      </c>
      <c r="B6042" s="4" t="n">
        <v>3</v>
      </c>
      <c r="C6042" s="4" t="inlineStr">
        <is>
          <t>mule deer</t>
        </is>
      </c>
      <c r="D6042" s="4" t="n">
        <v>2016</v>
      </c>
      <c r="E6042" s="13" t="inlineStr">
        <is>
          <t>General</t>
        </is>
      </c>
      <c r="F6042" s="5" t="n"/>
      <c r="G6042" s="5" t="n"/>
      <c r="H6042" s="5" t="n">
        <v>291</v>
      </c>
      <c r="I6042" s="5" t="n">
        <v>288</v>
      </c>
      <c r="J6042" s="5" t="n">
        <v>3</v>
      </c>
      <c r="K6042" s="10">
        <f>IF(F6042&gt;0,H6042/F6042,"")</f>
        <v/>
      </c>
      <c r="L6042" s="16">
        <f>IF(AND(G6042&gt;0,H6042&gt;0),G6042/H6042,"")</f>
        <v/>
      </c>
    </row>
    <row r="6043">
      <c r="A6043" s="4" t="inlineStr">
        <is>
          <t>314</t>
        </is>
      </c>
      <c r="B6043" s="4" t="n">
        <v>3</v>
      </c>
      <c r="C6043" s="4" t="inlineStr">
        <is>
          <t>mule deer</t>
        </is>
      </c>
      <c r="D6043" s="4" t="n">
        <v>2017</v>
      </c>
      <c r="E6043" s="13" t="inlineStr">
        <is>
          <t>General</t>
        </is>
      </c>
      <c r="F6043" s="5" t="n">
        <v>1189</v>
      </c>
      <c r="G6043" s="5" t="n">
        <v>7060</v>
      </c>
      <c r="H6043" s="5" t="n">
        <v>218</v>
      </c>
      <c r="I6043" s="5" t="n">
        <v>215</v>
      </c>
      <c r="J6043" s="5" t="n">
        <v>3</v>
      </c>
      <c r="K6043" s="10">
        <f>IF(F6043&gt;0,H6043/F6043,"")</f>
        <v/>
      </c>
      <c r="L6043" s="16">
        <f>IF(AND(G6043&gt;0,H6043&gt;0),G6043/H6043,"")</f>
        <v/>
      </c>
    </row>
    <row r="6044">
      <c r="A6044" s="4" t="inlineStr">
        <is>
          <t>314</t>
        </is>
      </c>
      <c r="B6044" s="4" t="n">
        <v>3</v>
      </c>
      <c r="C6044" s="4" t="inlineStr">
        <is>
          <t>mule deer</t>
        </is>
      </c>
      <c r="D6044" s="4" t="n">
        <v>2018</v>
      </c>
      <c r="E6044" s="13" t="inlineStr">
        <is>
          <t>General</t>
        </is>
      </c>
      <c r="F6044" s="5" t="n"/>
      <c r="G6044" s="5" t="n"/>
      <c r="H6044" s="5" t="n">
        <v>244</v>
      </c>
      <c r="I6044" s="5" t="n">
        <v>210</v>
      </c>
      <c r="J6044" s="5" t="n">
        <v>34</v>
      </c>
      <c r="K6044" s="10">
        <f>IF(F6044&gt;0,H6044/F6044,"")</f>
        <v/>
      </c>
      <c r="L6044" s="16">
        <f>IF(AND(G6044&gt;0,H6044&gt;0),G6044/H6044,"")</f>
        <v/>
      </c>
    </row>
    <row r="6045">
      <c r="A6045" s="4" t="inlineStr">
        <is>
          <t>314</t>
        </is>
      </c>
      <c r="B6045" s="4" t="n">
        <v>3</v>
      </c>
      <c r="C6045" s="4" t="inlineStr">
        <is>
          <t>mule deer</t>
        </is>
      </c>
      <c r="D6045" s="4" t="n">
        <v>2019</v>
      </c>
      <c r="E6045" s="13" t="inlineStr">
        <is>
          <t>General</t>
        </is>
      </c>
      <c r="F6045" s="5" t="n">
        <v>1188</v>
      </c>
      <c r="G6045" s="5" t="n">
        <v>6838</v>
      </c>
      <c r="H6045" s="5" t="n">
        <v>231</v>
      </c>
      <c r="I6045" s="5" t="n">
        <v>195</v>
      </c>
      <c r="J6045" s="5" t="n">
        <v>36</v>
      </c>
      <c r="K6045" s="10">
        <f>IF(F6045&gt;0,H6045/F6045,"")</f>
        <v/>
      </c>
      <c r="L6045" s="16">
        <f>IF(AND(G6045&gt;0,H6045&gt;0),G6045/H6045,"")</f>
        <v/>
      </c>
    </row>
    <row r="6046">
      <c r="A6046" s="4" t="inlineStr">
        <is>
          <t>314</t>
        </is>
      </c>
      <c r="B6046" s="4" t="n">
        <v>3</v>
      </c>
      <c r="C6046" s="4" t="inlineStr">
        <is>
          <t>mule deer</t>
        </is>
      </c>
      <c r="D6046" s="4" t="n">
        <v>2020</v>
      </c>
      <c r="E6046" s="13" t="inlineStr">
        <is>
          <t>General</t>
        </is>
      </c>
      <c r="F6046" s="5" t="n"/>
      <c r="G6046" s="5" t="n"/>
      <c r="H6046" s="5" t="n">
        <v>192</v>
      </c>
      <c r="I6046" s="5" t="n">
        <v>165</v>
      </c>
      <c r="J6046" s="5" t="n">
        <v>26</v>
      </c>
      <c r="K6046" s="10">
        <f>IF(F6046&gt;0,H6046/F6046,"")</f>
        <v/>
      </c>
      <c r="L6046" s="16">
        <f>IF(AND(G6046&gt;0,H6046&gt;0),G6046/H6046,"")</f>
        <v/>
      </c>
    </row>
    <row r="6047">
      <c r="A6047" s="4" t="inlineStr">
        <is>
          <t>314</t>
        </is>
      </c>
      <c r="B6047" s="4" t="n">
        <v>3</v>
      </c>
      <c r="C6047" s="4" t="inlineStr">
        <is>
          <t>mule deer</t>
        </is>
      </c>
      <c r="D6047" s="4" t="n">
        <v>2021</v>
      </c>
      <c r="E6047" s="13" t="inlineStr">
        <is>
          <t>General</t>
        </is>
      </c>
      <c r="F6047" s="5" t="n">
        <v>1456</v>
      </c>
      <c r="G6047" s="5" t="n">
        <v>9056</v>
      </c>
      <c r="H6047" s="5" t="n">
        <v>233</v>
      </c>
      <c r="I6047" s="5" t="n">
        <v>208</v>
      </c>
      <c r="J6047" s="5" t="n">
        <v>24</v>
      </c>
      <c r="K6047" s="10">
        <f>IF(F6047&gt;0,H6047/F6047,"")</f>
        <v/>
      </c>
      <c r="L6047" s="16">
        <f>IF(AND(G6047&gt;0,H6047&gt;0),G6047/H6047,"")</f>
        <v/>
      </c>
    </row>
    <row r="6048">
      <c r="A6048" s="4" t="inlineStr">
        <is>
          <t>314</t>
        </is>
      </c>
      <c r="B6048" s="4" t="n">
        <v>3</v>
      </c>
      <c r="C6048" s="4" t="inlineStr">
        <is>
          <t>mule deer</t>
        </is>
      </c>
      <c r="D6048" s="4" t="n">
        <v>2022</v>
      </c>
      <c r="E6048" s="13" t="inlineStr">
        <is>
          <t>General</t>
        </is>
      </c>
      <c r="F6048" s="5" t="n"/>
      <c r="G6048" s="5" t="n"/>
      <c r="H6048" s="5" t="n">
        <v>236</v>
      </c>
      <c r="I6048" s="5" t="n">
        <v>223</v>
      </c>
      <c r="J6048" s="5" t="n">
        <v>13</v>
      </c>
      <c r="K6048" s="10">
        <f>IF(F6048&gt;0,H6048/F6048,"")</f>
        <v/>
      </c>
      <c r="L6048" s="16">
        <f>IF(AND(G6048&gt;0,H6048&gt;0),G6048/H6048,"")</f>
        <v/>
      </c>
    </row>
    <row r="6049">
      <c r="A6049" s="4" t="inlineStr">
        <is>
          <t>314</t>
        </is>
      </c>
      <c r="B6049" s="4" t="n">
        <v>3</v>
      </c>
      <c r="C6049" s="4" t="inlineStr">
        <is>
          <t>mule deer</t>
        </is>
      </c>
      <c r="D6049" s="4" t="n">
        <v>2023</v>
      </c>
      <c r="E6049" s="13" t="inlineStr">
        <is>
          <t>General</t>
        </is>
      </c>
      <c r="F6049" s="5" t="n">
        <v>1382</v>
      </c>
      <c r="G6049" s="5" t="n">
        <v>8934</v>
      </c>
      <c r="H6049" s="5" t="n">
        <v>235</v>
      </c>
      <c r="I6049" s="5" t="n">
        <v>212</v>
      </c>
      <c r="J6049" s="5" t="n">
        <v>23</v>
      </c>
      <c r="K6049" s="10">
        <f>IF(F6049&gt;0,H6049/F6049,"")</f>
        <v/>
      </c>
      <c r="L6049" s="16">
        <f>IF(AND(G6049&gt;0,H6049&gt;0),G6049/H6049,"")</f>
        <v/>
      </c>
    </row>
    <row r="6050">
      <c r="A6050" s="4" t="inlineStr">
        <is>
          <t>314</t>
        </is>
      </c>
      <c r="B6050" s="4" t="n">
        <v>3</v>
      </c>
      <c r="C6050" s="4" t="inlineStr">
        <is>
          <t>mule deer</t>
        </is>
      </c>
      <c r="D6050" s="4" t="n">
        <v>2024</v>
      </c>
      <c r="E6050" s="13" t="inlineStr">
        <is>
          <t>General</t>
        </is>
      </c>
      <c r="F6050" s="5" t="n"/>
      <c r="G6050" s="5" t="n"/>
      <c r="H6050" s="5" t="n">
        <v>335</v>
      </c>
      <c r="I6050" s="5" t="n">
        <v>308</v>
      </c>
      <c r="J6050" s="5" t="n">
        <v>27</v>
      </c>
      <c r="K6050" s="10">
        <f>IF(F6050&gt;0,H6050/F6050,"")</f>
        <v/>
      </c>
      <c r="L6050" s="16">
        <f>IF(AND(G6050&gt;0,H6050&gt;0),G6050/H6050,"")</f>
        <v/>
      </c>
    </row>
    <row r="6051">
      <c r="A6051" s="4" t="inlineStr">
        <is>
          <t>314</t>
        </is>
      </c>
      <c r="B6051" s="4" t="n">
        <v>3</v>
      </c>
      <c r="C6051" s="4" t="inlineStr">
        <is>
          <t>mule deer</t>
        </is>
      </c>
      <c r="D6051" s="4" t="n">
        <v>2025</v>
      </c>
      <c r="E6051" s="13" t="inlineStr">
        <is>
          <t>General</t>
        </is>
      </c>
      <c r="F6051" s="5" t="n">
        <v>1401</v>
      </c>
      <c r="G6051" s="5" t="n">
        <v>8661</v>
      </c>
      <c r="H6051" s="5" t="n">
        <v>307</v>
      </c>
      <c r="I6051" s="5" t="n">
        <v>280</v>
      </c>
      <c r="J6051" s="5" t="n">
        <v>27</v>
      </c>
      <c r="K6051" s="10">
        <f>IF(F6051&gt;0,H6051/F6051,"")</f>
        <v/>
      </c>
      <c r="L6051" s="16">
        <f>IF(AND(G6051&gt;0,H6051&gt;0),G6051/H6051,"")</f>
        <v/>
      </c>
    </row>
    <row r="6052">
      <c r="A6052" s="4" t="inlineStr">
        <is>
          <t>315</t>
        </is>
      </c>
      <c r="B6052" s="4" t="n">
        <v>3</v>
      </c>
      <c r="C6052" s="4" t="inlineStr">
        <is>
          <t>mule deer</t>
        </is>
      </c>
      <c r="D6052" s="4" t="n">
        <v>2004</v>
      </c>
      <c r="E6052" s="13" t="inlineStr">
        <is>
          <t>General</t>
        </is>
      </c>
      <c r="F6052" s="5" t="n">
        <v>2117</v>
      </c>
      <c r="G6052" s="5" t="n">
        <v>9475</v>
      </c>
      <c r="H6052" s="5" t="n">
        <v>804</v>
      </c>
      <c r="I6052" s="5" t="n">
        <v>497</v>
      </c>
      <c r="J6052" s="5" t="n">
        <v>302</v>
      </c>
      <c r="K6052" s="10">
        <f>IF(F6052&gt;0,H6052/F6052,"")</f>
        <v/>
      </c>
      <c r="L6052" s="16">
        <f>IF(AND(G6052&gt;0,H6052&gt;0),G6052/H6052,"")</f>
        <v/>
      </c>
    </row>
    <row r="6053">
      <c r="A6053" s="4" t="inlineStr">
        <is>
          <t>315</t>
        </is>
      </c>
      <c r="B6053" s="4" t="n">
        <v>3</v>
      </c>
      <c r="C6053" s="4" t="inlineStr">
        <is>
          <t>mule deer</t>
        </is>
      </c>
      <c r="D6053" s="4" t="n">
        <v>2005</v>
      </c>
      <c r="E6053" s="13" t="inlineStr">
        <is>
          <t>General</t>
        </is>
      </c>
      <c r="F6053" s="5" t="n">
        <v>1760</v>
      </c>
      <c r="G6053" s="5" t="n">
        <v>7775</v>
      </c>
      <c r="H6053" s="5" t="n">
        <v>612</v>
      </c>
      <c r="I6053" s="5" t="n">
        <v>320</v>
      </c>
      <c r="J6053" s="5" t="n">
        <v>286</v>
      </c>
      <c r="K6053" s="10">
        <f>IF(F6053&gt;0,H6053/F6053,"")</f>
        <v/>
      </c>
      <c r="L6053" s="16">
        <f>IF(AND(G6053&gt;0,H6053&gt;0),G6053/H6053,"")</f>
        <v/>
      </c>
    </row>
    <row r="6054">
      <c r="A6054" s="4" t="inlineStr">
        <is>
          <t>315</t>
        </is>
      </c>
      <c r="B6054" s="4" t="n">
        <v>3</v>
      </c>
      <c r="C6054" s="4" t="inlineStr">
        <is>
          <t>mule deer</t>
        </is>
      </c>
      <c r="D6054" s="4" t="n">
        <v>2006</v>
      </c>
      <c r="E6054" s="13" t="inlineStr">
        <is>
          <t>General</t>
        </is>
      </c>
      <c r="F6054" s="5" t="n">
        <v>1728</v>
      </c>
      <c r="G6054" s="5" t="n">
        <v>8096</v>
      </c>
      <c r="H6054" s="5" t="n">
        <v>580</v>
      </c>
      <c r="I6054" s="5" t="n">
        <v>411</v>
      </c>
      <c r="J6054" s="5" t="n">
        <v>159</v>
      </c>
      <c r="K6054" s="10">
        <f>IF(F6054&gt;0,H6054/F6054,"")</f>
        <v/>
      </c>
      <c r="L6054" s="16">
        <f>IF(AND(G6054&gt;0,H6054&gt;0),G6054/H6054,"")</f>
        <v/>
      </c>
    </row>
    <row r="6055">
      <c r="A6055" s="4" t="inlineStr">
        <is>
          <t>315</t>
        </is>
      </c>
      <c r="B6055" s="4" t="n">
        <v>3</v>
      </c>
      <c r="C6055" s="4" t="inlineStr">
        <is>
          <t>mule deer</t>
        </is>
      </c>
      <c r="D6055" s="4" t="n">
        <v>2007</v>
      </c>
      <c r="E6055" s="13" t="inlineStr">
        <is>
          <t>General</t>
        </is>
      </c>
      <c r="F6055" s="5" t="n">
        <v>1836</v>
      </c>
      <c r="G6055" s="5" t="n">
        <v>9392</v>
      </c>
      <c r="H6055" s="5" t="n">
        <v>577</v>
      </c>
      <c r="I6055" s="5" t="n">
        <v>387</v>
      </c>
      <c r="J6055" s="5" t="n">
        <v>185</v>
      </c>
      <c r="K6055" s="10">
        <f>IF(F6055&gt;0,H6055/F6055,"")</f>
        <v/>
      </c>
      <c r="L6055" s="16">
        <f>IF(AND(G6055&gt;0,H6055&gt;0),G6055/H6055,"")</f>
        <v/>
      </c>
    </row>
    <row r="6056">
      <c r="A6056" s="4" t="inlineStr">
        <is>
          <t>315</t>
        </is>
      </c>
      <c r="B6056" s="4" t="n">
        <v>3</v>
      </c>
      <c r="C6056" s="4" t="inlineStr">
        <is>
          <t>mule deer</t>
        </is>
      </c>
      <c r="D6056" s="4" t="n">
        <v>2008</v>
      </c>
      <c r="E6056" s="13" t="inlineStr">
        <is>
          <t>General</t>
        </is>
      </c>
      <c r="F6056" s="5" t="n">
        <v>1903</v>
      </c>
      <c r="G6056" s="5" t="n">
        <v>9527</v>
      </c>
      <c r="H6056" s="5" t="n">
        <v>467</v>
      </c>
      <c r="I6056" s="5" t="n">
        <v>284</v>
      </c>
      <c r="J6056" s="5" t="n">
        <v>181</v>
      </c>
      <c r="K6056" s="10">
        <f>IF(F6056&gt;0,H6056/F6056,"")</f>
        <v/>
      </c>
      <c r="L6056" s="16">
        <f>IF(AND(G6056&gt;0,H6056&gt;0),G6056/H6056,"")</f>
        <v/>
      </c>
    </row>
    <row r="6057">
      <c r="A6057" s="4" t="inlineStr">
        <is>
          <t>315</t>
        </is>
      </c>
      <c r="B6057" s="4" t="n">
        <v>3</v>
      </c>
      <c r="C6057" s="4" t="inlineStr">
        <is>
          <t>mule deer</t>
        </is>
      </c>
      <c r="D6057" s="4" t="n">
        <v>2009</v>
      </c>
      <c r="E6057" s="13" t="inlineStr">
        <is>
          <t>General</t>
        </is>
      </c>
      <c r="F6057" s="5" t="n">
        <v>2066</v>
      </c>
      <c r="G6057" s="5" t="n">
        <v>9793</v>
      </c>
      <c r="H6057" s="5" t="n">
        <v>468</v>
      </c>
      <c r="I6057" s="5" t="n">
        <v>261</v>
      </c>
      <c r="J6057" s="5" t="n">
        <v>206</v>
      </c>
      <c r="K6057" s="10">
        <f>IF(F6057&gt;0,H6057/F6057,"")</f>
        <v/>
      </c>
      <c r="L6057" s="16">
        <f>IF(AND(G6057&gt;0,H6057&gt;0),G6057/H6057,"")</f>
        <v/>
      </c>
    </row>
    <row r="6058">
      <c r="A6058" s="4" t="inlineStr">
        <is>
          <t>315</t>
        </is>
      </c>
      <c r="B6058" s="4" t="n">
        <v>3</v>
      </c>
      <c r="C6058" s="4" t="inlineStr">
        <is>
          <t>mule deer</t>
        </is>
      </c>
      <c r="D6058" s="4" t="n">
        <v>2010</v>
      </c>
      <c r="E6058" s="13" t="inlineStr">
        <is>
          <t>General</t>
        </is>
      </c>
      <c r="F6058" s="5" t="n">
        <v>2303</v>
      </c>
      <c r="G6058" s="5" t="n">
        <v>11241</v>
      </c>
      <c r="H6058" s="5" t="n">
        <v>433</v>
      </c>
      <c r="I6058" s="5" t="n">
        <v>274</v>
      </c>
      <c r="J6058" s="5" t="n">
        <v>157</v>
      </c>
      <c r="K6058" s="10">
        <f>IF(F6058&gt;0,H6058/F6058,"")</f>
        <v/>
      </c>
      <c r="L6058" s="16">
        <f>IF(AND(G6058&gt;0,H6058&gt;0),G6058/H6058,"")</f>
        <v/>
      </c>
    </row>
    <row r="6059">
      <c r="A6059" s="4" t="inlineStr">
        <is>
          <t>315</t>
        </is>
      </c>
      <c r="B6059" s="4" t="n">
        <v>3</v>
      </c>
      <c r="C6059" s="4" t="inlineStr">
        <is>
          <t>mule deer</t>
        </is>
      </c>
      <c r="D6059" s="4" t="n">
        <v>2011</v>
      </c>
      <c r="E6059" s="13" t="inlineStr">
        <is>
          <t>General</t>
        </is>
      </c>
      <c r="F6059" s="5" t="n">
        <v>2135</v>
      </c>
      <c r="G6059" s="5" t="n">
        <v>10581</v>
      </c>
      <c r="H6059" s="5" t="n">
        <v>400</v>
      </c>
      <c r="I6059" s="5" t="n">
        <v>210</v>
      </c>
      <c r="J6059" s="5" t="n">
        <v>189</v>
      </c>
      <c r="K6059" s="10">
        <f>IF(F6059&gt;0,H6059/F6059,"")</f>
        <v/>
      </c>
      <c r="L6059" s="16">
        <f>IF(AND(G6059&gt;0,H6059&gt;0),G6059/H6059,"")</f>
        <v/>
      </c>
    </row>
    <row r="6060">
      <c r="A6060" s="4" t="inlineStr">
        <is>
          <t>315</t>
        </is>
      </c>
      <c r="B6060" s="4" t="n">
        <v>3</v>
      </c>
      <c r="C6060" s="4" t="inlineStr">
        <is>
          <t>mule deer</t>
        </is>
      </c>
      <c r="D6060" s="4" t="n">
        <v>2012</v>
      </c>
      <c r="E6060" s="13" t="inlineStr">
        <is>
          <t>General</t>
        </is>
      </c>
      <c r="F6060" s="5" t="n"/>
      <c r="G6060" s="5" t="n"/>
      <c r="H6060" s="5" t="n">
        <v>316</v>
      </c>
      <c r="I6060" s="5" t="n">
        <v>189</v>
      </c>
      <c r="J6060" s="5" t="n">
        <v>126</v>
      </c>
      <c r="K6060" s="10">
        <f>IF(F6060&gt;0,H6060/F6060,"")</f>
        <v/>
      </c>
      <c r="L6060" s="16">
        <f>IF(AND(G6060&gt;0,H6060&gt;0),G6060/H6060,"")</f>
        <v/>
      </c>
    </row>
    <row r="6061">
      <c r="A6061" s="4" t="inlineStr">
        <is>
          <t>315</t>
        </is>
      </c>
      <c r="B6061" s="4" t="n">
        <v>3</v>
      </c>
      <c r="C6061" s="4" t="inlineStr">
        <is>
          <t>mule deer</t>
        </is>
      </c>
      <c r="D6061" s="4" t="n">
        <v>2013</v>
      </c>
      <c r="E6061" s="13" t="inlineStr">
        <is>
          <t>General</t>
        </is>
      </c>
      <c r="F6061" s="5" t="n">
        <v>2308</v>
      </c>
      <c r="G6061" s="5" t="n">
        <v>12139</v>
      </c>
      <c r="H6061" s="5" t="n">
        <v>256</v>
      </c>
      <c r="I6061" s="5" t="n">
        <v>177</v>
      </c>
      <c r="J6061" s="5" t="n">
        <v>74</v>
      </c>
      <c r="K6061" s="10">
        <f>IF(F6061&gt;0,H6061/F6061,"")</f>
        <v/>
      </c>
      <c r="L6061" s="16">
        <f>IF(AND(G6061&gt;0,H6061&gt;0),G6061/H6061,"")</f>
        <v/>
      </c>
    </row>
    <row r="6062">
      <c r="A6062" s="4" t="inlineStr">
        <is>
          <t>315</t>
        </is>
      </c>
      <c r="B6062" s="4" t="n">
        <v>3</v>
      </c>
      <c r="C6062" s="4" t="inlineStr">
        <is>
          <t>mule deer</t>
        </is>
      </c>
      <c r="D6062" s="4" t="n">
        <v>2014</v>
      </c>
      <c r="E6062" s="13" t="inlineStr">
        <is>
          <t>General</t>
        </is>
      </c>
      <c r="F6062" s="5" t="n"/>
      <c r="G6062" s="5" t="n"/>
      <c r="H6062" s="5" t="n">
        <v>229</v>
      </c>
      <c r="I6062" s="5" t="n">
        <v>223</v>
      </c>
      <c r="J6062" s="5" t="n">
        <v>6</v>
      </c>
      <c r="K6062" s="10">
        <f>IF(F6062&gt;0,H6062/F6062,"")</f>
        <v/>
      </c>
      <c r="L6062" s="16">
        <f>IF(AND(G6062&gt;0,H6062&gt;0),G6062/H6062,"")</f>
        <v/>
      </c>
    </row>
    <row r="6063">
      <c r="A6063" s="4" t="inlineStr">
        <is>
          <t>315</t>
        </is>
      </c>
      <c r="B6063" s="4" t="n">
        <v>3</v>
      </c>
      <c r="C6063" s="4" t="inlineStr">
        <is>
          <t>mule deer</t>
        </is>
      </c>
      <c r="D6063" s="4" t="n">
        <v>2015</v>
      </c>
      <c r="E6063" s="13" t="inlineStr">
        <is>
          <t>General</t>
        </is>
      </c>
      <c r="F6063" s="5" t="n"/>
      <c r="G6063" s="5" t="n"/>
      <c r="H6063" s="5" t="n">
        <v>246</v>
      </c>
      <c r="I6063" s="5" t="n">
        <v>243</v>
      </c>
      <c r="J6063" s="5" t="n">
        <v>3</v>
      </c>
      <c r="K6063" s="10">
        <f>IF(F6063&gt;0,H6063/F6063,"")</f>
        <v/>
      </c>
      <c r="L6063" s="16">
        <f>IF(AND(G6063&gt;0,H6063&gt;0),G6063/H6063,"")</f>
        <v/>
      </c>
    </row>
    <row r="6064">
      <c r="A6064" s="4" t="inlineStr">
        <is>
          <t>315</t>
        </is>
      </c>
      <c r="B6064" s="4" t="n">
        <v>3</v>
      </c>
      <c r="C6064" s="4" t="inlineStr">
        <is>
          <t>mule deer</t>
        </is>
      </c>
      <c r="D6064" s="4" t="n">
        <v>2016</v>
      </c>
      <c r="E6064" s="13" t="inlineStr">
        <is>
          <t>General</t>
        </is>
      </c>
      <c r="F6064" s="5" t="n"/>
      <c r="G6064" s="5" t="n"/>
      <c r="H6064" s="5" t="n">
        <v>289</v>
      </c>
      <c r="I6064" s="5" t="n">
        <v>278</v>
      </c>
      <c r="J6064" s="5" t="n">
        <v>10</v>
      </c>
      <c r="K6064" s="10">
        <f>IF(F6064&gt;0,H6064/F6064,"")</f>
        <v/>
      </c>
      <c r="L6064" s="16">
        <f>IF(AND(G6064&gt;0,H6064&gt;0),G6064/H6064,"")</f>
        <v/>
      </c>
    </row>
    <row r="6065">
      <c r="A6065" s="4" t="inlineStr">
        <is>
          <t>315</t>
        </is>
      </c>
      <c r="B6065" s="4" t="n">
        <v>3</v>
      </c>
      <c r="C6065" s="4" t="inlineStr">
        <is>
          <t>mule deer</t>
        </is>
      </c>
      <c r="D6065" s="4" t="n">
        <v>2017</v>
      </c>
      <c r="E6065" s="13" t="inlineStr">
        <is>
          <t>General</t>
        </is>
      </c>
      <c r="F6065" s="5" t="n">
        <v>1674</v>
      </c>
      <c r="G6065" s="5" t="n">
        <v>8056</v>
      </c>
      <c r="H6065" s="5" t="n">
        <v>265</v>
      </c>
      <c r="I6065" s="5" t="n">
        <v>260</v>
      </c>
      <c r="J6065" s="5" t="n">
        <v>5</v>
      </c>
      <c r="K6065" s="10">
        <f>IF(F6065&gt;0,H6065/F6065,"")</f>
        <v/>
      </c>
      <c r="L6065" s="16">
        <f>IF(AND(G6065&gt;0,H6065&gt;0),G6065/H6065,"")</f>
        <v/>
      </c>
    </row>
    <row r="6066">
      <c r="A6066" s="4" t="inlineStr">
        <is>
          <t>315</t>
        </is>
      </c>
      <c r="B6066" s="4" t="n">
        <v>3</v>
      </c>
      <c r="C6066" s="4" t="inlineStr">
        <is>
          <t>mule deer</t>
        </is>
      </c>
      <c r="D6066" s="4" t="n">
        <v>2018</v>
      </c>
      <c r="E6066" s="13" t="inlineStr">
        <is>
          <t>General</t>
        </is>
      </c>
      <c r="F6066" s="5" t="n"/>
      <c r="G6066" s="5" t="n"/>
      <c r="H6066" s="5" t="n">
        <v>204</v>
      </c>
      <c r="I6066" s="5" t="n">
        <v>180</v>
      </c>
      <c r="J6066" s="5" t="n">
        <v>24</v>
      </c>
      <c r="K6066" s="10">
        <f>IF(F6066&gt;0,H6066/F6066,"")</f>
        <v/>
      </c>
      <c r="L6066" s="16">
        <f>IF(AND(G6066&gt;0,H6066&gt;0),G6066/H6066,"")</f>
        <v/>
      </c>
    </row>
    <row r="6067">
      <c r="A6067" s="4" t="inlineStr">
        <is>
          <t>315</t>
        </is>
      </c>
      <c r="B6067" s="4" t="n">
        <v>3</v>
      </c>
      <c r="C6067" s="4" t="inlineStr">
        <is>
          <t>mule deer</t>
        </is>
      </c>
      <c r="D6067" s="4" t="n">
        <v>2019</v>
      </c>
      <c r="E6067" s="13" t="inlineStr">
        <is>
          <t>General</t>
        </is>
      </c>
      <c r="F6067" s="5" t="n">
        <v>1515</v>
      </c>
      <c r="G6067" s="5" t="n">
        <v>8194</v>
      </c>
      <c r="H6067" s="5" t="n">
        <v>150</v>
      </c>
      <c r="I6067" s="5" t="n">
        <v>105</v>
      </c>
      <c r="J6067" s="5" t="n">
        <v>45</v>
      </c>
      <c r="K6067" s="10">
        <f>IF(F6067&gt;0,H6067/F6067,"")</f>
        <v/>
      </c>
      <c r="L6067" s="16">
        <f>IF(AND(G6067&gt;0,H6067&gt;0),G6067/H6067,"")</f>
        <v/>
      </c>
    </row>
    <row r="6068">
      <c r="A6068" s="4" t="inlineStr">
        <is>
          <t>315</t>
        </is>
      </c>
      <c r="B6068" s="4" t="n">
        <v>3</v>
      </c>
      <c r="C6068" s="4" t="inlineStr">
        <is>
          <t>mule deer</t>
        </is>
      </c>
      <c r="D6068" s="4" t="n">
        <v>2020</v>
      </c>
      <c r="E6068" s="13" t="inlineStr">
        <is>
          <t>General</t>
        </is>
      </c>
      <c r="F6068" s="5" t="n"/>
      <c r="G6068" s="5" t="n"/>
      <c r="H6068" s="5" t="n">
        <v>247</v>
      </c>
      <c r="I6068" s="5" t="n">
        <v>221</v>
      </c>
      <c r="J6068" s="5" t="n">
        <v>26</v>
      </c>
      <c r="K6068" s="10">
        <f>IF(F6068&gt;0,H6068/F6068,"")</f>
        <v/>
      </c>
      <c r="L6068" s="16">
        <f>IF(AND(G6068&gt;0,H6068&gt;0),G6068/H6068,"")</f>
        <v/>
      </c>
    </row>
    <row r="6069">
      <c r="A6069" s="4" t="inlineStr">
        <is>
          <t>315</t>
        </is>
      </c>
      <c r="B6069" s="4" t="n">
        <v>3</v>
      </c>
      <c r="C6069" s="4" t="inlineStr">
        <is>
          <t>mule deer</t>
        </is>
      </c>
      <c r="D6069" s="4" t="n">
        <v>2021</v>
      </c>
      <c r="E6069" s="13" t="inlineStr">
        <is>
          <t>General</t>
        </is>
      </c>
      <c r="F6069" s="5" t="n">
        <v>1338</v>
      </c>
      <c r="G6069" s="5" t="n">
        <v>8170</v>
      </c>
      <c r="H6069" s="5" t="n">
        <v>197</v>
      </c>
      <c r="I6069" s="5" t="n">
        <v>177</v>
      </c>
      <c r="J6069" s="5" t="n">
        <v>20</v>
      </c>
      <c r="K6069" s="10">
        <f>IF(F6069&gt;0,H6069/F6069,"")</f>
        <v/>
      </c>
      <c r="L6069" s="16">
        <f>IF(AND(G6069&gt;0,H6069&gt;0),G6069/H6069,"")</f>
        <v/>
      </c>
    </row>
    <row r="6070">
      <c r="A6070" s="4" t="inlineStr">
        <is>
          <t>315</t>
        </is>
      </c>
      <c r="B6070" s="4" t="n">
        <v>3</v>
      </c>
      <c r="C6070" s="4" t="inlineStr">
        <is>
          <t>mule deer</t>
        </is>
      </c>
      <c r="D6070" s="4" t="n">
        <v>2022</v>
      </c>
      <c r="E6070" s="13" t="inlineStr">
        <is>
          <t>General</t>
        </is>
      </c>
      <c r="F6070" s="5" t="n"/>
      <c r="G6070" s="5" t="n"/>
      <c r="H6070" s="5" t="n">
        <v>293</v>
      </c>
      <c r="I6070" s="5" t="n">
        <v>260</v>
      </c>
      <c r="J6070" s="5" t="n">
        <v>31</v>
      </c>
      <c r="K6070" s="10">
        <f>IF(F6070&gt;0,H6070/F6070,"")</f>
        <v/>
      </c>
      <c r="L6070" s="16">
        <f>IF(AND(G6070&gt;0,H6070&gt;0),G6070/H6070,"")</f>
        <v/>
      </c>
    </row>
    <row r="6071">
      <c r="A6071" s="4" t="inlineStr">
        <is>
          <t>315</t>
        </is>
      </c>
      <c r="B6071" s="4" t="n">
        <v>3</v>
      </c>
      <c r="C6071" s="4" t="inlineStr">
        <is>
          <t>mule deer</t>
        </is>
      </c>
      <c r="D6071" s="4" t="n">
        <v>2023</v>
      </c>
      <c r="E6071" s="13" t="inlineStr">
        <is>
          <t>General</t>
        </is>
      </c>
      <c r="F6071" s="5" t="n">
        <v>1482</v>
      </c>
      <c r="G6071" s="5" t="n">
        <v>8395</v>
      </c>
      <c r="H6071" s="5" t="n">
        <v>253</v>
      </c>
      <c r="I6071" s="5" t="n">
        <v>208</v>
      </c>
      <c r="J6071" s="5" t="n">
        <v>45</v>
      </c>
      <c r="K6071" s="10">
        <f>IF(F6071&gt;0,H6071/F6071,"")</f>
        <v/>
      </c>
      <c r="L6071" s="16">
        <f>IF(AND(G6071&gt;0,H6071&gt;0),G6071/H6071,"")</f>
        <v/>
      </c>
    </row>
    <row r="6072">
      <c r="A6072" s="4" t="inlineStr">
        <is>
          <t>315</t>
        </is>
      </c>
      <c r="B6072" s="4" t="n">
        <v>3</v>
      </c>
      <c r="C6072" s="4" t="inlineStr">
        <is>
          <t>mule deer</t>
        </is>
      </c>
      <c r="D6072" s="4" t="n">
        <v>2024</v>
      </c>
      <c r="E6072" s="13" t="inlineStr">
        <is>
          <t>General</t>
        </is>
      </c>
      <c r="F6072" s="5" t="n"/>
      <c r="G6072" s="5" t="n"/>
      <c r="H6072" s="5" t="n">
        <v>321</v>
      </c>
      <c r="I6072" s="5" t="n">
        <v>272</v>
      </c>
      <c r="J6072" s="5" t="n">
        <v>49</v>
      </c>
      <c r="K6072" s="10">
        <f>IF(F6072&gt;0,H6072/F6072,"")</f>
        <v/>
      </c>
      <c r="L6072" s="16">
        <f>IF(AND(G6072&gt;0,H6072&gt;0),G6072/H6072,"")</f>
        <v/>
      </c>
    </row>
    <row r="6073">
      <c r="A6073" s="4" t="inlineStr">
        <is>
          <t>315</t>
        </is>
      </c>
      <c r="B6073" s="4" t="n">
        <v>3</v>
      </c>
      <c r="C6073" s="4" t="inlineStr">
        <is>
          <t>mule deer</t>
        </is>
      </c>
      <c r="D6073" s="4" t="n">
        <v>2025</v>
      </c>
      <c r="E6073" s="13" t="inlineStr">
        <is>
          <t>General</t>
        </is>
      </c>
      <c r="F6073" s="5" t="n">
        <v>1587</v>
      </c>
      <c r="G6073" s="5" t="n">
        <v>10277</v>
      </c>
      <c r="H6073" s="5" t="n">
        <v>316</v>
      </c>
      <c r="I6073" s="5" t="n">
        <v>275</v>
      </c>
      <c r="J6073" s="5" t="n">
        <v>41</v>
      </c>
      <c r="K6073" s="10">
        <f>IF(F6073&gt;0,H6073/F6073,"")</f>
        <v/>
      </c>
      <c r="L6073" s="16">
        <f>IF(AND(G6073&gt;0,H6073&gt;0),G6073/H6073,"")</f>
        <v/>
      </c>
    </row>
    <row r="6074">
      <c r="A6074" s="4" t="inlineStr">
        <is>
          <t>316</t>
        </is>
      </c>
      <c r="B6074" s="4" t="n">
        <v>3</v>
      </c>
      <c r="C6074" s="4" t="inlineStr">
        <is>
          <t>mule deer</t>
        </is>
      </c>
      <c r="D6074" s="4" t="n">
        <v>2004</v>
      </c>
      <c r="E6074" s="13" t="inlineStr">
        <is>
          <t>General</t>
        </is>
      </c>
      <c r="F6074" s="5" t="n">
        <v>152</v>
      </c>
      <c r="G6074" s="5" t="n">
        <v>956</v>
      </c>
      <c r="H6074" s="5" t="n">
        <v>27</v>
      </c>
      <c r="I6074" s="5" t="n">
        <v>27</v>
      </c>
      <c r="J6074" s="5" t="n">
        <v>0</v>
      </c>
      <c r="K6074" s="10">
        <f>IF(F6074&gt;0,H6074/F6074,"")</f>
        <v/>
      </c>
      <c r="L6074" s="16">
        <f>IF(AND(G6074&gt;0,H6074&gt;0),G6074/H6074,"")</f>
        <v/>
      </c>
    </row>
    <row r="6075">
      <c r="A6075" s="4" t="inlineStr">
        <is>
          <t>316</t>
        </is>
      </c>
      <c r="B6075" s="4" t="n">
        <v>3</v>
      </c>
      <c r="C6075" s="4" t="inlineStr">
        <is>
          <t>mule deer</t>
        </is>
      </c>
      <c r="D6075" s="4" t="n">
        <v>2005</v>
      </c>
      <c r="E6075" s="13" t="inlineStr">
        <is>
          <t>General</t>
        </is>
      </c>
      <c r="F6075" s="5" t="n">
        <v>76</v>
      </c>
      <c r="G6075" s="5" t="n">
        <v>419</v>
      </c>
      <c r="H6075" s="5" t="n">
        <v>35</v>
      </c>
      <c r="I6075" s="5" t="n">
        <v>35</v>
      </c>
      <c r="J6075" s="5" t="n">
        <v>0</v>
      </c>
      <c r="K6075" s="10">
        <f>IF(F6075&gt;0,H6075/F6075,"")</f>
        <v/>
      </c>
      <c r="L6075" s="16">
        <f>IF(AND(G6075&gt;0,H6075&gt;0),G6075/H6075,"")</f>
        <v/>
      </c>
    </row>
    <row r="6076">
      <c r="A6076" s="4" t="inlineStr">
        <is>
          <t>316</t>
        </is>
      </c>
      <c r="B6076" s="4" t="n">
        <v>3</v>
      </c>
      <c r="C6076" s="4" t="inlineStr">
        <is>
          <t>mule deer</t>
        </is>
      </c>
      <c r="D6076" s="4" t="n">
        <v>2006</v>
      </c>
      <c r="E6076" s="13" t="inlineStr">
        <is>
          <t>General</t>
        </is>
      </c>
      <c r="F6076" s="5" t="n">
        <v>103</v>
      </c>
      <c r="G6076" s="5" t="n">
        <v>734</v>
      </c>
      <c r="H6076" s="5" t="n">
        <v>22</v>
      </c>
      <c r="I6076" s="5" t="n">
        <v>22</v>
      </c>
      <c r="J6076" s="5" t="n">
        <v>0</v>
      </c>
      <c r="K6076" s="10">
        <f>IF(F6076&gt;0,H6076/F6076,"")</f>
        <v/>
      </c>
      <c r="L6076" s="16">
        <f>IF(AND(G6076&gt;0,H6076&gt;0),G6076/H6076,"")</f>
        <v/>
      </c>
    </row>
    <row r="6077">
      <c r="A6077" s="4" t="inlineStr">
        <is>
          <t>316</t>
        </is>
      </c>
      <c r="B6077" s="4" t="n">
        <v>3</v>
      </c>
      <c r="C6077" s="4" t="inlineStr">
        <is>
          <t>mule deer</t>
        </is>
      </c>
      <c r="D6077" s="4" t="n">
        <v>2007</v>
      </c>
      <c r="E6077" s="13" t="inlineStr">
        <is>
          <t>General</t>
        </is>
      </c>
      <c r="F6077" s="5" t="n">
        <v>115</v>
      </c>
      <c r="G6077" s="5" t="n">
        <v>562</v>
      </c>
      <c r="H6077" s="5" t="n">
        <v>30</v>
      </c>
      <c r="I6077" s="5" t="n">
        <v>30</v>
      </c>
      <c r="J6077" s="5" t="n">
        <v>0</v>
      </c>
      <c r="K6077" s="10">
        <f>IF(F6077&gt;0,H6077/F6077,"")</f>
        <v/>
      </c>
      <c r="L6077" s="16">
        <f>IF(AND(G6077&gt;0,H6077&gt;0),G6077/H6077,"")</f>
        <v/>
      </c>
    </row>
    <row r="6078">
      <c r="A6078" s="4" t="inlineStr">
        <is>
          <t>316</t>
        </is>
      </c>
      <c r="B6078" s="4" t="n">
        <v>3</v>
      </c>
      <c r="C6078" s="4" t="inlineStr">
        <is>
          <t>mule deer</t>
        </is>
      </c>
      <c r="D6078" s="4" t="n">
        <v>2008</v>
      </c>
      <c r="E6078" s="13" t="inlineStr">
        <is>
          <t>General</t>
        </is>
      </c>
      <c r="F6078" s="5" t="n">
        <v>84</v>
      </c>
      <c r="G6078" s="5" t="n">
        <v>385</v>
      </c>
      <c r="H6078" s="5" t="n">
        <v>24</v>
      </c>
      <c r="I6078" s="5" t="n">
        <v>24</v>
      </c>
      <c r="J6078" s="5" t="n">
        <v>0</v>
      </c>
      <c r="K6078" s="10">
        <f>IF(F6078&gt;0,H6078/F6078,"")</f>
        <v/>
      </c>
      <c r="L6078" s="16">
        <f>IF(AND(G6078&gt;0,H6078&gt;0),G6078/H6078,"")</f>
        <v/>
      </c>
    </row>
    <row r="6079">
      <c r="A6079" s="4" t="inlineStr">
        <is>
          <t>316</t>
        </is>
      </c>
      <c r="B6079" s="4" t="n">
        <v>3</v>
      </c>
      <c r="C6079" s="4" t="inlineStr">
        <is>
          <t>mule deer</t>
        </is>
      </c>
      <c r="D6079" s="4" t="n">
        <v>2009</v>
      </c>
      <c r="E6079" s="13" t="inlineStr">
        <is>
          <t>General</t>
        </is>
      </c>
      <c r="F6079" s="5" t="n">
        <v>107</v>
      </c>
      <c r="G6079" s="5" t="n">
        <v>824</v>
      </c>
      <c r="H6079" s="5" t="n">
        <v>23</v>
      </c>
      <c r="I6079" s="5" t="n">
        <v>23</v>
      </c>
      <c r="J6079" s="5" t="n">
        <v>0</v>
      </c>
      <c r="K6079" s="10">
        <f>IF(F6079&gt;0,H6079/F6079,"")</f>
        <v/>
      </c>
      <c r="L6079" s="16">
        <f>IF(AND(G6079&gt;0,H6079&gt;0),G6079/H6079,"")</f>
        <v/>
      </c>
    </row>
    <row r="6080">
      <c r="A6080" s="4" t="inlineStr">
        <is>
          <t>316</t>
        </is>
      </c>
      <c r="B6080" s="4" t="n">
        <v>3</v>
      </c>
      <c r="C6080" s="4" t="inlineStr">
        <is>
          <t>mule deer</t>
        </is>
      </c>
      <c r="D6080" s="4" t="n">
        <v>2010</v>
      </c>
      <c r="E6080" s="13" t="inlineStr">
        <is>
          <t>General</t>
        </is>
      </c>
      <c r="F6080" s="5" t="n">
        <v>59</v>
      </c>
      <c r="G6080" s="5" t="n">
        <v>254</v>
      </c>
      <c r="H6080" s="5" t="n">
        <v>11</v>
      </c>
      <c r="I6080" s="5" t="n">
        <v>11</v>
      </c>
      <c r="J6080" s="5" t="n">
        <v>0</v>
      </c>
      <c r="K6080" s="10">
        <f>IF(F6080&gt;0,H6080/F6080,"")</f>
        <v/>
      </c>
      <c r="L6080" s="16">
        <f>IF(AND(G6080&gt;0,H6080&gt;0),G6080/H6080,"")</f>
        <v/>
      </c>
    </row>
    <row r="6081">
      <c r="A6081" s="4" t="inlineStr">
        <is>
          <t>316</t>
        </is>
      </c>
      <c r="B6081" s="4" t="n">
        <v>3</v>
      </c>
      <c r="C6081" s="4" t="inlineStr">
        <is>
          <t>mule deer</t>
        </is>
      </c>
      <c r="D6081" s="4" t="n">
        <v>2011</v>
      </c>
      <c r="E6081" s="13" t="inlineStr">
        <is>
          <t>General</t>
        </is>
      </c>
      <c r="F6081" s="5" t="n">
        <v>57</v>
      </c>
      <c r="G6081" s="5" t="n">
        <v>303</v>
      </c>
      <c r="H6081" s="5" t="n">
        <v>6</v>
      </c>
      <c r="I6081" s="5" t="n">
        <v>6</v>
      </c>
      <c r="J6081" s="5" t="n">
        <v>0</v>
      </c>
      <c r="K6081" s="10">
        <f>IF(F6081&gt;0,H6081/F6081,"")</f>
        <v/>
      </c>
      <c r="L6081" s="16">
        <f>IF(AND(G6081&gt;0,H6081&gt;0),G6081/H6081,"")</f>
        <v/>
      </c>
    </row>
    <row r="6082">
      <c r="A6082" s="4" t="inlineStr">
        <is>
          <t>316</t>
        </is>
      </c>
      <c r="B6082" s="4" t="n">
        <v>3</v>
      </c>
      <c r="C6082" s="4" t="inlineStr">
        <is>
          <t>mule deer</t>
        </is>
      </c>
      <c r="D6082" s="4" t="n">
        <v>2012</v>
      </c>
      <c r="E6082" s="13" t="inlineStr">
        <is>
          <t>General</t>
        </is>
      </c>
      <c r="F6082" s="5" t="n"/>
      <c r="G6082" s="5" t="n"/>
      <c r="H6082" s="5" t="n">
        <v>17</v>
      </c>
      <c r="I6082" s="5" t="n">
        <v>17</v>
      </c>
      <c r="J6082" s="5" t="n">
        <v>0</v>
      </c>
      <c r="K6082" s="10">
        <f>IF(F6082&gt;0,H6082/F6082,"")</f>
        <v/>
      </c>
      <c r="L6082" s="16">
        <f>IF(AND(G6082&gt;0,H6082&gt;0),G6082/H6082,"")</f>
        <v/>
      </c>
    </row>
    <row r="6083">
      <c r="A6083" s="4" t="inlineStr">
        <is>
          <t>316</t>
        </is>
      </c>
      <c r="B6083" s="4" t="n">
        <v>3</v>
      </c>
      <c r="C6083" s="4" t="inlineStr">
        <is>
          <t>mule deer</t>
        </is>
      </c>
      <c r="D6083" s="4" t="n">
        <v>2013</v>
      </c>
      <c r="E6083" s="13" t="inlineStr">
        <is>
          <t>General</t>
        </is>
      </c>
      <c r="F6083" s="5" t="n">
        <v>63</v>
      </c>
      <c r="G6083" s="5" t="n">
        <v>390</v>
      </c>
      <c r="H6083" s="5" t="n">
        <v>14</v>
      </c>
      <c r="I6083" s="5" t="n">
        <v>14</v>
      </c>
      <c r="J6083" s="5" t="n">
        <v>0</v>
      </c>
      <c r="K6083" s="10">
        <f>IF(F6083&gt;0,H6083/F6083,"")</f>
        <v/>
      </c>
      <c r="L6083" s="16">
        <f>IF(AND(G6083&gt;0,H6083&gt;0),G6083/H6083,"")</f>
        <v/>
      </c>
    </row>
    <row r="6084">
      <c r="A6084" s="4" t="inlineStr">
        <is>
          <t>316</t>
        </is>
      </c>
      <c r="B6084" s="4" t="n">
        <v>3</v>
      </c>
      <c r="C6084" s="4" t="inlineStr">
        <is>
          <t>mule deer</t>
        </is>
      </c>
      <c r="D6084" s="4" t="n">
        <v>2014</v>
      </c>
      <c r="E6084" s="13" t="inlineStr">
        <is>
          <t>General</t>
        </is>
      </c>
      <c r="F6084" s="5" t="n"/>
      <c r="G6084" s="5" t="n"/>
      <c r="H6084" s="5" t="n">
        <v>17</v>
      </c>
      <c r="I6084" s="5" t="n">
        <v>17</v>
      </c>
      <c r="J6084" s="5" t="n">
        <v>0</v>
      </c>
      <c r="K6084" s="10">
        <f>IF(F6084&gt;0,H6084/F6084,"")</f>
        <v/>
      </c>
      <c r="L6084" s="16">
        <f>IF(AND(G6084&gt;0,H6084&gt;0),G6084/H6084,"")</f>
        <v/>
      </c>
    </row>
    <row r="6085">
      <c r="A6085" s="4" t="inlineStr">
        <is>
          <t>316</t>
        </is>
      </c>
      <c r="B6085" s="4" t="n">
        <v>3</v>
      </c>
      <c r="C6085" s="4" t="inlineStr">
        <is>
          <t>mule deer</t>
        </is>
      </c>
      <c r="D6085" s="4" t="n">
        <v>2015</v>
      </c>
      <c r="E6085" s="13" t="inlineStr">
        <is>
          <t>General</t>
        </is>
      </c>
      <c r="F6085" s="5" t="n"/>
      <c r="G6085" s="5" t="n"/>
      <c r="H6085" s="5" t="n">
        <v>22</v>
      </c>
      <c r="I6085" s="5" t="n">
        <v>22</v>
      </c>
      <c r="J6085" s="5" t="n">
        <v>0</v>
      </c>
      <c r="K6085" s="10">
        <f>IF(F6085&gt;0,H6085/F6085,"")</f>
        <v/>
      </c>
      <c r="L6085" s="16">
        <f>IF(AND(G6085&gt;0,H6085&gt;0),G6085/H6085,"")</f>
        <v/>
      </c>
    </row>
    <row r="6086">
      <c r="A6086" s="4" t="inlineStr">
        <is>
          <t>316</t>
        </is>
      </c>
      <c r="B6086" s="4" t="n">
        <v>3</v>
      </c>
      <c r="C6086" s="4" t="inlineStr">
        <is>
          <t>mule deer</t>
        </is>
      </c>
      <c r="D6086" s="4" t="n">
        <v>2016</v>
      </c>
      <c r="E6086" s="13" t="inlineStr">
        <is>
          <t>General</t>
        </is>
      </c>
      <c r="F6086" s="5" t="n"/>
      <c r="G6086" s="5" t="n"/>
      <c r="H6086" s="5" t="n">
        <v>23</v>
      </c>
      <c r="I6086" s="5" t="n">
        <v>23</v>
      </c>
      <c r="J6086" s="5" t="n">
        <v>0</v>
      </c>
      <c r="K6086" s="10">
        <f>IF(F6086&gt;0,H6086/F6086,"")</f>
        <v/>
      </c>
      <c r="L6086" s="16">
        <f>IF(AND(G6086&gt;0,H6086&gt;0),G6086/H6086,"")</f>
        <v/>
      </c>
    </row>
    <row r="6087">
      <c r="A6087" s="4" t="inlineStr">
        <is>
          <t>316</t>
        </is>
      </c>
      <c r="B6087" s="4" t="n">
        <v>3</v>
      </c>
      <c r="C6087" s="4" t="inlineStr">
        <is>
          <t>mule deer</t>
        </is>
      </c>
      <c r="D6087" s="4" t="n">
        <v>2017</v>
      </c>
      <c r="E6087" s="13" t="inlineStr">
        <is>
          <t>General</t>
        </is>
      </c>
      <c r="F6087" s="5" t="n">
        <v>111</v>
      </c>
      <c r="G6087" s="5" t="n">
        <v>643</v>
      </c>
      <c r="H6087" s="5" t="n">
        <v>30</v>
      </c>
      <c r="I6087" s="5" t="n">
        <v>24</v>
      </c>
      <c r="J6087" s="5" t="n">
        <v>6</v>
      </c>
      <c r="K6087" s="10">
        <f>IF(F6087&gt;0,H6087/F6087,"")</f>
        <v/>
      </c>
      <c r="L6087" s="16">
        <f>IF(AND(G6087&gt;0,H6087&gt;0),G6087/H6087,"")</f>
        <v/>
      </c>
    </row>
    <row r="6088">
      <c r="A6088" s="4" t="inlineStr">
        <is>
          <t>316</t>
        </is>
      </c>
      <c r="B6088" s="4" t="n">
        <v>3</v>
      </c>
      <c r="C6088" s="4" t="inlineStr">
        <is>
          <t>mule deer</t>
        </is>
      </c>
      <c r="D6088" s="4" t="n">
        <v>2018</v>
      </c>
      <c r="E6088" s="13" t="inlineStr">
        <is>
          <t>General</t>
        </is>
      </c>
      <c r="F6088" s="5" t="n"/>
      <c r="G6088" s="5" t="n"/>
      <c r="H6088" s="5" t="n">
        <v>27</v>
      </c>
      <c r="I6088" s="5" t="n">
        <v>27</v>
      </c>
      <c r="J6088" s="5" t="n">
        <v>0</v>
      </c>
      <c r="K6088" s="10">
        <f>IF(F6088&gt;0,H6088/F6088,"")</f>
        <v/>
      </c>
      <c r="L6088" s="16">
        <f>IF(AND(G6088&gt;0,H6088&gt;0),G6088/H6088,"")</f>
        <v/>
      </c>
    </row>
    <row r="6089">
      <c r="A6089" s="4" t="inlineStr">
        <is>
          <t>316</t>
        </is>
      </c>
      <c r="B6089" s="4" t="n">
        <v>3</v>
      </c>
      <c r="C6089" s="4" t="inlineStr">
        <is>
          <t>mule deer</t>
        </is>
      </c>
      <c r="D6089" s="4" t="n">
        <v>2019</v>
      </c>
      <c r="E6089" s="13" t="inlineStr">
        <is>
          <t>General</t>
        </is>
      </c>
      <c r="F6089" s="5" t="n">
        <v>66</v>
      </c>
      <c r="G6089" s="5" t="n">
        <v>479</v>
      </c>
      <c r="H6089" s="5" t="n">
        <v>24</v>
      </c>
      <c r="I6089" s="5" t="n">
        <v>24</v>
      </c>
      <c r="J6089" s="5" t="n">
        <v>0</v>
      </c>
      <c r="K6089" s="10">
        <f>IF(F6089&gt;0,H6089/F6089,"")</f>
        <v/>
      </c>
      <c r="L6089" s="16">
        <f>IF(AND(G6089&gt;0,H6089&gt;0),G6089/H6089,"")</f>
        <v/>
      </c>
    </row>
    <row r="6090">
      <c r="A6090" s="4" t="inlineStr">
        <is>
          <t>316</t>
        </is>
      </c>
      <c r="B6090" s="4" t="n">
        <v>3</v>
      </c>
      <c r="C6090" s="4" t="inlineStr">
        <is>
          <t>mule deer</t>
        </is>
      </c>
      <c r="D6090" s="4" t="n">
        <v>2021</v>
      </c>
      <c r="E6090" s="13" t="inlineStr">
        <is>
          <t>General</t>
        </is>
      </c>
      <c r="F6090" s="5" t="n">
        <v>79</v>
      </c>
      <c r="G6090" s="5" t="n">
        <v>640</v>
      </c>
      <c r="H6090" s="5" t="n">
        <v>11</v>
      </c>
      <c r="I6090" s="5" t="n">
        <v>11</v>
      </c>
      <c r="J6090" s="5" t="n">
        <v>0</v>
      </c>
      <c r="K6090" s="10">
        <f>IF(F6090&gt;0,H6090/F6090,"")</f>
        <v/>
      </c>
      <c r="L6090" s="16">
        <f>IF(AND(G6090&gt;0,H6090&gt;0),G6090/H6090,"")</f>
        <v/>
      </c>
    </row>
    <row r="6091">
      <c r="A6091" s="4" t="inlineStr">
        <is>
          <t>316</t>
        </is>
      </c>
      <c r="B6091" s="4" t="n">
        <v>3</v>
      </c>
      <c r="C6091" s="4" t="inlineStr">
        <is>
          <t>mule deer</t>
        </is>
      </c>
      <c r="D6091" s="4" t="n">
        <v>2022</v>
      </c>
      <c r="E6091" s="13" t="inlineStr">
        <is>
          <t>General</t>
        </is>
      </c>
      <c r="F6091" s="5" t="n"/>
      <c r="G6091" s="5" t="n"/>
      <c r="H6091" s="5" t="n">
        <v>17</v>
      </c>
      <c r="I6091" s="5" t="n">
        <v>17</v>
      </c>
      <c r="J6091" s="5" t="n">
        <v>0</v>
      </c>
      <c r="K6091" s="10">
        <f>IF(F6091&gt;0,H6091/F6091,"")</f>
        <v/>
      </c>
      <c r="L6091" s="16">
        <f>IF(AND(G6091&gt;0,H6091&gt;0),G6091/H6091,"")</f>
        <v/>
      </c>
    </row>
    <row r="6092">
      <c r="A6092" s="4" t="inlineStr">
        <is>
          <t>316</t>
        </is>
      </c>
      <c r="B6092" s="4" t="n">
        <v>3</v>
      </c>
      <c r="C6092" s="4" t="inlineStr">
        <is>
          <t>mule deer</t>
        </is>
      </c>
      <c r="D6092" s="4" t="n">
        <v>2023</v>
      </c>
      <c r="E6092" s="13" t="inlineStr">
        <is>
          <t>General</t>
        </is>
      </c>
      <c r="F6092" s="5" t="n">
        <v>143</v>
      </c>
      <c r="G6092" s="5" t="n">
        <v>857</v>
      </c>
      <c r="H6092" s="5" t="n">
        <v>23</v>
      </c>
      <c r="I6092" s="5" t="n">
        <v>23</v>
      </c>
      <c r="J6092" s="5" t="n">
        <v>0</v>
      </c>
      <c r="K6092" s="10">
        <f>IF(F6092&gt;0,H6092/F6092,"")</f>
        <v/>
      </c>
      <c r="L6092" s="16">
        <f>IF(AND(G6092&gt;0,H6092&gt;0),G6092/H6092,"")</f>
        <v/>
      </c>
    </row>
    <row r="6093">
      <c r="A6093" s="4" t="inlineStr">
        <is>
          <t>316</t>
        </is>
      </c>
      <c r="B6093" s="4" t="n">
        <v>3</v>
      </c>
      <c r="C6093" s="4" t="inlineStr">
        <is>
          <t>mule deer</t>
        </is>
      </c>
      <c r="D6093" s="4" t="n">
        <v>2024</v>
      </c>
      <c r="E6093" s="13" t="inlineStr">
        <is>
          <t>General</t>
        </is>
      </c>
      <c r="F6093" s="5" t="n"/>
      <c r="G6093" s="5" t="n"/>
      <c r="H6093" s="5" t="n">
        <v>42</v>
      </c>
      <c r="I6093" s="5" t="n">
        <v>39</v>
      </c>
      <c r="J6093" s="5" t="n">
        <v>3</v>
      </c>
      <c r="K6093" s="10">
        <f>IF(F6093&gt;0,H6093/F6093,"")</f>
        <v/>
      </c>
      <c r="L6093" s="16">
        <f>IF(AND(G6093&gt;0,H6093&gt;0),G6093/H6093,"")</f>
        <v/>
      </c>
    </row>
    <row r="6094">
      <c r="A6094" s="4" t="inlineStr">
        <is>
          <t>316</t>
        </is>
      </c>
      <c r="B6094" s="4" t="n">
        <v>3</v>
      </c>
      <c r="C6094" s="4" t="inlineStr">
        <is>
          <t>mule deer</t>
        </is>
      </c>
      <c r="D6094" s="4" t="n">
        <v>2025</v>
      </c>
      <c r="E6094" s="13" t="inlineStr">
        <is>
          <t>General</t>
        </is>
      </c>
      <c r="F6094" s="5" t="n">
        <v>185</v>
      </c>
      <c r="G6094" s="5" t="n">
        <v>1102</v>
      </c>
      <c r="H6094" s="5" t="n">
        <v>72</v>
      </c>
      <c r="I6094" s="5" t="n">
        <v>69</v>
      </c>
      <c r="J6094" s="5" t="n">
        <v>4</v>
      </c>
      <c r="K6094" s="10">
        <f>IF(F6094&gt;0,H6094/F6094,"")</f>
        <v/>
      </c>
      <c r="L6094" s="16">
        <f>IF(AND(G6094&gt;0,H6094&gt;0),G6094/H6094,"")</f>
        <v/>
      </c>
    </row>
    <row r="6095">
      <c r="A6095" s="4" t="inlineStr">
        <is>
          <t>317</t>
        </is>
      </c>
      <c r="B6095" s="4" t="n">
        <v>3</v>
      </c>
      <c r="C6095" s="4" t="inlineStr">
        <is>
          <t>mule deer</t>
        </is>
      </c>
      <c r="D6095" s="4" t="n">
        <v>2004</v>
      </c>
      <c r="E6095" s="13" t="inlineStr">
        <is>
          <t>General</t>
        </is>
      </c>
      <c r="F6095" s="5" t="n">
        <v>855</v>
      </c>
      <c r="G6095" s="5" t="n">
        <v>4048</v>
      </c>
      <c r="H6095" s="5" t="n">
        <v>227</v>
      </c>
      <c r="I6095" s="5" t="n">
        <v>206</v>
      </c>
      <c r="J6095" s="5" t="n">
        <v>21</v>
      </c>
      <c r="K6095" s="10">
        <f>IF(F6095&gt;0,H6095/F6095,"")</f>
        <v/>
      </c>
      <c r="L6095" s="16">
        <f>IF(AND(G6095&gt;0,H6095&gt;0),G6095/H6095,"")</f>
        <v/>
      </c>
    </row>
    <row r="6096">
      <c r="A6096" s="4" t="inlineStr">
        <is>
          <t>317</t>
        </is>
      </c>
      <c r="B6096" s="4" t="n">
        <v>3</v>
      </c>
      <c r="C6096" s="4" t="inlineStr">
        <is>
          <t>mule deer</t>
        </is>
      </c>
      <c r="D6096" s="4" t="n">
        <v>2005</v>
      </c>
      <c r="E6096" s="13" t="inlineStr">
        <is>
          <t>General</t>
        </is>
      </c>
      <c r="F6096" s="5" t="n">
        <v>754</v>
      </c>
      <c r="G6096" s="5" t="n">
        <v>3431</v>
      </c>
      <c r="H6096" s="5" t="n">
        <v>212</v>
      </c>
      <c r="I6096" s="5" t="n">
        <v>165</v>
      </c>
      <c r="J6096" s="5" t="n">
        <v>47</v>
      </c>
      <c r="K6096" s="10">
        <f>IF(F6096&gt;0,H6096/F6096,"")</f>
        <v/>
      </c>
      <c r="L6096" s="16">
        <f>IF(AND(G6096&gt;0,H6096&gt;0),G6096/H6096,"")</f>
        <v/>
      </c>
    </row>
    <row r="6097">
      <c r="A6097" s="4" t="inlineStr">
        <is>
          <t>317</t>
        </is>
      </c>
      <c r="B6097" s="4" t="n">
        <v>3</v>
      </c>
      <c r="C6097" s="4" t="inlineStr">
        <is>
          <t>mule deer</t>
        </is>
      </c>
      <c r="D6097" s="4" t="n">
        <v>2006</v>
      </c>
      <c r="E6097" s="13" t="inlineStr">
        <is>
          <t>General</t>
        </is>
      </c>
      <c r="F6097" s="5" t="n">
        <v>833</v>
      </c>
      <c r="G6097" s="5" t="n">
        <v>4789</v>
      </c>
      <c r="H6097" s="5" t="n">
        <v>251</v>
      </c>
      <c r="I6097" s="5" t="n">
        <v>214</v>
      </c>
      <c r="J6097" s="5" t="n">
        <v>37</v>
      </c>
      <c r="K6097" s="10">
        <f>IF(F6097&gt;0,H6097/F6097,"")</f>
        <v/>
      </c>
      <c r="L6097" s="16">
        <f>IF(AND(G6097&gt;0,H6097&gt;0),G6097/H6097,"")</f>
        <v/>
      </c>
    </row>
    <row r="6098">
      <c r="A6098" s="4" t="inlineStr">
        <is>
          <t>317</t>
        </is>
      </c>
      <c r="B6098" s="4" t="n">
        <v>3</v>
      </c>
      <c r="C6098" s="4" t="inlineStr">
        <is>
          <t>mule deer</t>
        </is>
      </c>
      <c r="D6098" s="4" t="n">
        <v>2007</v>
      </c>
      <c r="E6098" s="13" t="inlineStr">
        <is>
          <t>General</t>
        </is>
      </c>
      <c r="F6098" s="5" t="n">
        <v>906</v>
      </c>
      <c r="G6098" s="5" t="n">
        <v>4774</v>
      </c>
      <c r="H6098" s="5" t="n">
        <v>203</v>
      </c>
      <c r="I6098" s="5" t="n">
        <v>164</v>
      </c>
      <c r="J6098" s="5" t="n">
        <v>39</v>
      </c>
      <c r="K6098" s="10">
        <f>IF(F6098&gt;0,H6098/F6098,"")</f>
        <v/>
      </c>
      <c r="L6098" s="16">
        <f>IF(AND(G6098&gt;0,H6098&gt;0),G6098/H6098,"")</f>
        <v/>
      </c>
    </row>
    <row r="6099">
      <c r="A6099" s="4" t="inlineStr">
        <is>
          <t>317</t>
        </is>
      </c>
      <c r="B6099" s="4" t="n">
        <v>3</v>
      </c>
      <c r="C6099" s="4" t="inlineStr">
        <is>
          <t>mule deer</t>
        </is>
      </c>
      <c r="D6099" s="4" t="n">
        <v>2008</v>
      </c>
      <c r="E6099" s="13" t="inlineStr">
        <is>
          <t>General</t>
        </is>
      </c>
      <c r="F6099" s="5" t="n">
        <v>864</v>
      </c>
      <c r="G6099" s="5" t="n">
        <v>5153</v>
      </c>
      <c r="H6099" s="5" t="n">
        <v>179</v>
      </c>
      <c r="I6099" s="5" t="n">
        <v>111</v>
      </c>
      <c r="J6099" s="5" t="n">
        <v>68</v>
      </c>
      <c r="K6099" s="10">
        <f>IF(F6099&gt;0,H6099/F6099,"")</f>
        <v/>
      </c>
      <c r="L6099" s="16">
        <f>IF(AND(G6099&gt;0,H6099&gt;0),G6099/H6099,"")</f>
        <v/>
      </c>
    </row>
    <row r="6100">
      <c r="A6100" s="4" t="inlineStr">
        <is>
          <t>317</t>
        </is>
      </c>
      <c r="B6100" s="4" t="n">
        <v>3</v>
      </c>
      <c r="C6100" s="4" t="inlineStr">
        <is>
          <t>mule deer</t>
        </is>
      </c>
      <c r="D6100" s="4" t="n">
        <v>2009</v>
      </c>
      <c r="E6100" s="13" t="inlineStr">
        <is>
          <t>General</t>
        </is>
      </c>
      <c r="F6100" s="5" t="n">
        <v>802</v>
      </c>
      <c r="G6100" s="5" t="n">
        <v>4354</v>
      </c>
      <c r="H6100" s="5" t="n">
        <v>134</v>
      </c>
      <c r="I6100" s="5" t="n">
        <v>93</v>
      </c>
      <c r="J6100" s="5" t="n">
        <v>41</v>
      </c>
      <c r="K6100" s="10">
        <f>IF(F6100&gt;0,H6100/F6100,"")</f>
        <v/>
      </c>
      <c r="L6100" s="16">
        <f>IF(AND(G6100&gt;0,H6100&gt;0),G6100/H6100,"")</f>
        <v/>
      </c>
    </row>
    <row r="6101">
      <c r="A6101" s="4" t="inlineStr">
        <is>
          <t>317</t>
        </is>
      </c>
      <c r="B6101" s="4" t="n">
        <v>3</v>
      </c>
      <c r="C6101" s="4" t="inlineStr">
        <is>
          <t>mule deer</t>
        </is>
      </c>
      <c r="D6101" s="4" t="n">
        <v>2010</v>
      </c>
      <c r="E6101" s="13" t="inlineStr">
        <is>
          <t>General</t>
        </is>
      </c>
      <c r="F6101" s="5" t="n">
        <v>888</v>
      </c>
      <c r="G6101" s="5" t="n">
        <v>4839</v>
      </c>
      <c r="H6101" s="5" t="n">
        <v>158</v>
      </c>
      <c r="I6101" s="5" t="n">
        <v>101</v>
      </c>
      <c r="J6101" s="5" t="n">
        <v>57</v>
      </c>
      <c r="K6101" s="10">
        <f>IF(F6101&gt;0,H6101/F6101,"")</f>
        <v/>
      </c>
      <c r="L6101" s="16">
        <f>IF(AND(G6101&gt;0,H6101&gt;0),G6101/H6101,"")</f>
        <v/>
      </c>
    </row>
    <row r="6102">
      <c r="A6102" s="4" t="inlineStr">
        <is>
          <t>317</t>
        </is>
      </c>
      <c r="B6102" s="4" t="n">
        <v>3</v>
      </c>
      <c r="C6102" s="4" t="inlineStr">
        <is>
          <t>mule deer</t>
        </is>
      </c>
      <c r="D6102" s="4" t="n">
        <v>2011</v>
      </c>
      <c r="E6102" s="13" t="inlineStr">
        <is>
          <t>General</t>
        </is>
      </c>
      <c r="F6102" s="5" t="n">
        <v>972</v>
      </c>
      <c r="G6102" s="5" t="n">
        <v>5354</v>
      </c>
      <c r="H6102" s="5" t="n">
        <v>178</v>
      </c>
      <c r="I6102" s="5" t="n">
        <v>136</v>
      </c>
      <c r="J6102" s="5" t="n">
        <v>42</v>
      </c>
      <c r="K6102" s="10">
        <f>IF(F6102&gt;0,H6102/F6102,"")</f>
        <v/>
      </c>
      <c r="L6102" s="16">
        <f>IF(AND(G6102&gt;0,H6102&gt;0),G6102/H6102,"")</f>
        <v/>
      </c>
    </row>
    <row r="6103">
      <c r="A6103" s="4" t="inlineStr">
        <is>
          <t>317</t>
        </is>
      </c>
      <c r="B6103" s="4" t="n">
        <v>3</v>
      </c>
      <c r="C6103" s="4" t="inlineStr">
        <is>
          <t>mule deer</t>
        </is>
      </c>
      <c r="D6103" s="4" t="n">
        <v>2012</v>
      </c>
      <c r="E6103" s="13" t="inlineStr">
        <is>
          <t>General</t>
        </is>
      </c>
      <c r="F6103" s="5" t="n"/>
      <c r="G6103" s="5" t="n"/>
      <c r="H6103" s="5" t="n">
        <v>181</v>
      </c>
      <c r="I6103" s="5" t="n">
        <v>158</v>
      </c>
      <c r="J6103" s="5" t="n">
        <v>23</v>
      </c>
      <c r="K6103" s="10">
        <f>IF(F6103&gt;0,H6103/F6103,"")</f>
        <v/>
      </c>
      <c r="L6103" s="16">
        <f>IF(AND(G6103&gt;0,H6103&gt;0),G6103/H6103,"")</f>
        <v/>
      </c>
    </row>
    <row r="6104">
      <c r="A6104" s="4" t="inlineStr">
        <is>
          <t>317</t>
        </is>
      </c>
      <c r="B6104" s="4" t="n">
        <v>3</v>
      </c>
      <c r="C6104" s="4" t="inlineStr">
        <is>
          <t>mule deer</t>
        </is>
      </c>
      <c r="D6104" s="4" t="n">
        <v>2013</v>
      </c>
      <c r="E6104" s="13" t="inlineStr">
        <is>
          <t>General</t>
        </is>
      </c>
      <c r="F6104" s="5" t="n">
        <v>1177</v>
      </c>
      <c r="G6104" s="5" t="n">
        <v>6711</v>
      </c>
      <c r="H6104" s="5" t="n">
        <v>178</v>
      </c>
      <c r="I6104" s="5" t="n">
        <v>160</v>
      </c>
      <c r="J6104" s="5" t="n">
        <v>18</v>
      </c>
      <c r="K6104" s="10">
        <f>IF(F6104&gt;0,H6104/F6104,"")</f>
        <v/>
      </c>
      <c r="L6104" s="16">
        <f>IF(AND(G6104&gt;0,H6104&gt;0),G6104/H6104,"")</f>
        <v/>
      </c>
    </row>
    <row r="6105">
      <c r="A6105" s="4" t="inlineStr">
        <is>
          <t>317</t>
        </is>
      </c>
      <c r="B6105" s="4" t="n">
        <v>3</v>
      </c>
      <c r="C6105" s="4" t="inlineStr">
        <is>
          <t>mule deer</t>
        </is>
      </c>
      <c r="D6105" s="4" t="n">
        <v>2014</v>
      </c>
      <c r="E6105" s="13" t="inlineStr">
        <is>
          <t>General</t>
        </is>
      </c>
      <c r="F6105" s="5" t="n"/>
      <c r="G6105" s="5" t="n"/>
      <c r="H6105" s="5" t="n">
        <v>190</v>
      </c>
      <c r="I6105" s="5" t="n">
        <v>190</v>
      </c>
      <c r="J6105" s="5" t="n">
        <v>0</v>
      </c>
      <c r="K6105" s="10">
        <f>IF(F6105&gt;0,H6105/F6105,"")</f>
        <v/>
      </c>
      <c r="L6105" s="16">
        <f>IF(AND(G6105&gt;0,H6105&gt;0),G6105/H6105,"")</f>
        <v/>
      </c>
    </row>
    <row r="6106">
      <c r="A6106" s="4" t="inlineStr">
        <is>
          <t>317</t>
        </is>
      </c>
      <c r="B6106" s="4" t="n">
        <v>3</v>
      </c>
      <c r="C6106" s="4" t="inlineStr">
        <is>
          <t>mule deer</t>
        </is>
      </c>
      <c r="D6106" s="4" t="n">
        <v>2015</v>
      </c>
      <c r="E6106" s="13" t="inlineStr">
        <is>
          <t>General</t>
        </is>
      </c>
      <c r="F6106" s="5" t="n"/>
      <c r="G6106" s="5" t="n"/>
      <c r="H6106" s="5" t="n">
        <v>163</v>
      </c>
      <c r="I6106" s="5" t="n">
        <v>160</v>
      </c>
      <c r="J6106" s="5" t="n">
        <v>3</v>
      </c>
      <c r="K6106" s="10">
        <f>IF(F6106&gt;0,H6106/F6106,"")</f>
        <v/>
      </c>
      <c r="L6106" s="16">
        <f>IF(AND(G6106&gt;0,H6106&gt;0),G6106/H6106,"")</f>
        <v/>
      </c>
    </row>
    <row r="6107">
      <c r="A6107" s="4" t="inlineStr">
        <is>
          <t>317</t>
        </is>
      </c>
      <c r="B6107" s="4" t="n">
        <v>3</v>
      </c>
      <c r="C6107" s="4" t="inlineStr">
        <is>
          <t>mule deer</t>
        </is>
      </c>
      <c r="D6107" s="4" t="n">
        <v>2016</v>
      </c>
      <c r="E6107" s="13" t="inlineStr">
        <is>
          <t>General</t>
        </is>
      </c>
      <c r="F6107" s="5" t="n"/>
      <c r="G6107" s="5" t="n"/>
      <c r="H6107" s="5" t="n">
        <v>243</v>
      </c>
      <c r="I6107" s="5" t="n">
        <v>238</v>
      </c>
      <c r="J6107" s="5" t="n">
        <v>5</v>
      </c>
      <c r="K6107" s="10">
        <f>IF(F6107&gt;0,H6107/F6107,"")</f>
        <v/>
      </c>
      <c r="L6107" s="16">
        <f>IF(AND(G6107&gt;0,H6107&gt;0),G6107/H6107,"")</f>
        <v/>
      </c>
    </row>
    <row r="6108">
      <c r="A6108" s="4" t="inlineStr">
        <is>
          <t>317</t>
        </is>
      </c>
      <c r="B6108" s="4" t="n">
        <v>3</v>
      </c>
      <c r="C6108" s="4" t="inlineStr">
        <is>
          <t>mule deer</t>
        </is>
      </c>
      <c r="D6108" s="4" t="n">
        <v>2017</v>
      </c>
      <c r="E6108" s="13" t="inlineStr">
        <is>
          <t>General</t>
        </is>
      </c>
      <c r="F6108" s="5" t="n">
        <v>1183</v>
      </c>
      <c r="G6108" s="5" t="n">
        <v>7523</v>
      </c>
      <c r="H6108" s="5" t="n">
        <v>247</v>
      </c>
      <c r="I6108" s="5" t="n">
        <v>244</v>
      </c>
      <c r="J6108" s="5" t="n">
        <v>3</v>
      </c>
      <c r="K6108" s="10">
        <f>IF(F6108&gt;0,H6108/F6108,"")</f>
        <v/>
      </c>
      <c r="L6108" s="16">
        <f>IF(AND(G6108&gt;0,H6108&gt;0),G6108/H6108,"")</f>
        <v/>
      </c>
    </row>
    <row r="6109">
      <c r="A6109" s="4" t="inlineStr">
        <is>
          <t>317</t>
        </is>
      </c>
      <c r="B6109" s="4" t="n">
        <v>3</v>
      </c>
      <c r="C6109" s="4" t="inlineStr">
        <is>
          <t>mule deer</t>
        </is>
      </c>
      <c r="D6109" s="4" t="n">
        <v>2018</v>
      </c>
      <c r="E6109" s="13" t="inlineStr">
        <is>
          <t>General</t>
        </is>
      </c>
      <c r="F6109" s="5" t="n"/>
      <c r="G6109" s="5" t="n"/>
      <c r="H6109" s="5" t="n">
        <v>306</v>
      </c>
      <c r="I6109" s="5" t="n">
        <v>269</v>
      </c>
      <c r="J6109" s="5" t="n">
        <v>38</v>
      </c>
      <c r="K6109" s="10">
        <f>IF(F6109&gt;0,H6109/F6109,"")</f>
        <v/>
      </c>
      <c r="L6109" s="16">
        <f>IF(AND(G6109&gt;0,H6109&gt;0),G6109/H6109,"")</f>
        <v/>
      </c>
    </row>
    <row r="6110">
      <c r="A6110" s="4" t="inlineStr">
        <is>
          <t>317</t>
        </is>
      </c>
      <c r="B6110" s="4" t="n">
        <v>3</v>
      </c>
      <c r="C6110" s="4" t="inlineStr">
        <is>
          <t>mule deer</t>
        </is>
      </c>
      <c r="D6110" s="4" t="n">
        <v>2019</v>
      </c>
      <c r="E6110" s="13" t="inlineStr">
        <is>
          <t>General</t>
        </is>
      </c>
      <c r="F6110" s="5" t="n">
        <v>1281</v>
      </c>
      <c r="G6110" s="5" t="n">
        <v>7107</v>
      </c>
      <c r="H6110" s="5" t="n">
        <v>207</v>
      </c>
      <c r="I6110" s="5" t="n">
        <v>192</v>
      </c>
      <c r="J6110" s="5" t="n">
        <v>14</v>
      </c>
      <c r="K6110" s="10">
        <f>IF(F6110&gt;0,H6110/F6110,"")</f>
        <v/>
      </c>
      <c r="L6110" s="16">
        <f>IF(AND(G6110&gt;0,H6110&gt;0),G6110/H6110,"")</f>
        <v/>
      </c>
    </row>
    <row r="6111">
      <c r="A6111" s="4" t="inlineStr">
        <is>
          <t>317</t>
        </is>
      </c>
      <c r="B6111" s="4" t="n">
        <v>3</v>
      </c>
      <c r="C6111" s="4" t="inlineStr">
        <is>
          <t>mule deer</t>
        </is>
      </c>
      <c r="D6111" s="4" t="n">
        <v>2020</v>
      </c>
      <c r="E6111" s="13" t="inlineStr">
        <is>
          <t>General</t>
        </is>
      </c>
      <c r="F6111" s="5" t="n"/>
      <c r="G6111" s="5" t="n"/>
      <c r="H6111" s="5" t="n">
        <v>195</v>
      </c>
      <c r="I6111" s="5" t="n">
        <v>163</v>
      </c>
      <c r="J6111" s="5" t="n">
        <v>32</v>
      </c>
      <c r="K6111" s="10">
        <f>IF(F6111&gt;0,H6111/F6111,"")</f>
        <v/>
      </c>
      <c r="L6111" s="16">
        <f>IF(AND(G6111&gt;0,H6111&gt;0),G6111/H6111,"")</f>
        <v/>
      </c>
    </row>
    <row r="6112">
      <c r="A6112" s="4" t="inlineStr">
        <is>
          <t>317</t>
        </is>
      </c>
      <c r="B6112" s="4" t="n">
        <v>3</v>
      </c>
      <c r="C6112" s="4" t="inlineStr">
        <is>
          <t>mule deer</t>
        </is>
      </c>
      <c r="D6112" s="4" t="n">
        <v>2021</v>
      </c>
      <c r="E6112" s="13" t="inlineStr">
        <is>
          <t>General</t>
        </is>
      </c>
      <c r="F6112" s="5" t="n">
        <v>1278</v>
      </c>
      <c r="G6112" s="5" t="n">
        <v>7779</v>
      </c>
      <c r="H6112" s="5" t="n">
        <v>217</v>
      </c>
      <c r="I6112" s="5" t="n">
        <v>185</v>
      </c>
      <c r="J6112" s="5" t="n">
        <v>32</v>
      </c>
      <c r="K6112" s="10">
        <f>IF(F6112&gt;0,H6112/F6112,"")</f>
        <v/>
      </c>
      <c r="L6112" s="16">
        <f>IF(AND(G6112&gt;0,H6112&gt;0),G6112/H6112,"")</f>
        <v/>
      </c>
    </row>
    <row r="6113">
      <c r="A6113" s="4" t="inlineStr">
        <is>
          <t>317</t>
        </is>
      </c>
      <c r="B6113" s="4" t="n">
        <v>3</v>
      </c>
      <c r="C6113" s="4" t="inlineStr">
        <is>
          <t>mule deer</t>
        </is>
      </c>
      <c r="D6113" s="4" t="n">
        <v>2022</v>
      </c>
      <c r="E6113" s="13" t="inlineStr">
        <is>
          <t>General</t>
        </is>
      </c>
      <c r="F6113" s="5" t="n"/>
      <c r="G6113" s="5" t="n"/>
      <c r="H6113" s="5" t="n">
        <v>298</v>
      </c>
      <c r="I6113" s="5" t="n">
        <v>255</v>
      </c>
      <c r="J6113" s="5" t="n">
        <v>42</v>
      </c>
      <c r="K6113" s="10">
        <f>IF(F6113&gt;0,H6113/F6113,"")</f>
        <v/>
      </c>
      <c r="L6113" s="16">
        <f>IF(AND(G6113&gt;0,H6113&gt;0),G6113/H6113,"")</f>
        <v/>
      </c>
    </row>
    <row r="6114">
      <c r="A6114" s="4" t="inlineStr">
        <is>
          <t>317</t>
        </is>
      </c>
      <c r="B6114" s="4" t="n">
        <v>3</v>
      </c>
      <c r="C6114" s="4" t="inlineStr">
        <is>
          <t>mule deer</t>
        </is>
      </c>
      <c r="D6114" s="4" t="n">
        <v>2023</v>
      </c>
      <c r="E6114" s="13" t="inlineStr">
        <is>
          <t>General</t>
        </is>
      </c>
      <c r="F6114" s="5" t="n">
        <v>1271</v>
      </c>
      <c r="G6114" s="5" t="n">
        <v>7606</v>
      </c>
      <c r="H6114" s="5" t="n">
        <v>241</v>
      </c>
      <c r="I6114" s="5" t="n">
        <v>218</v>
      </c>
      <c r="J6114" s="5" t="n">
        <v>22</v>
      </c>
      <c r="K6114" s="10">
        <f>IF(F6114&gt;0,H6114/F6114,"")</f>
        <v/>
      </c>
      <c r="L6114" s="16">
        <f>IF(AND(G6114&gt;0,H6114&gt;0),G6114/H6114,"")</f>
        <v/>
      </c>
    </row>
    <row r="6115">
      <c r="A6115" s="4" t="inlineStr">
        <is>
          <t>317</t>
        </is>
      </c>
      <c r="B6115" s="4" t="n">
        <v>3</v>
      </c>
      <c r="C6115" s="4" t="inlineStr">
        <is>
          <t>mule deer</t>
        </is>
      </c>
      <c r="D6115" s="4" t="n">
        <v>2024</v>
      </c>
      <c r="E6115" s="13" t="inlineStr">
        <is>
          <t>General</t>
        </is>
      </c>
      <c r="F6115" s="5" t="n"/>
      <c r="G6115" s="5" t="n"/>
      <c r="H6115" s="5" t="n">
        <v>184</v>
      </c>
      <c r="I6115" s="5" t="n">
        <v>155</v>
      </c>
      <c r="J6115" s="5" t="n">
        <v>29</v>
      </c>
      <c r="K6115" s="10">
        <f>IF(F6115&gt;0,H6115/F6115,"")</f>
        <v/>
      </c>
      <c r="L6115" s="16">
        <f>IF(AND(G6115&gt;0,H6115&gt;0),G6115/H6115,"")</f>
        <v/>
      </c>
    </row>
    <row r="6116">
      <c r="A6116" s="4" t="inlineStr">
        <is>
          <t>317</t>
        </is>
      </c>
      <c r="B6116" s="4" t="n">
        <v>3</v>
      </c>
      <c r="C6116" s="4" t="inlineStr">
        <is>
          <t>mule deer</t>
        </is>
      </c>
      <c r="D6116" s="4" t="n">
        <v>2025</v>
      </c>
      <c r="E6116" s="13" t="inlineStr">
        <is>
          <t>General</t>
        </is>
      </c>
      <c r="F6116" s="5" t="n">
        <v>1116</v>
      </c>
      <c r="G6116" s="5" t="n">
        <v>7569</v>
      </c>
      <c r="H6116" s="5" t="n">
        <v>205</v>
      </c>
      <c r="I6116" s="5" t="n">
        <v>179</v>
      </c>
      <c r="J6116" s="5" t="n">
        <v>25</v>
      </c>
      <c r="K6116" s="10">
        <f>IF(F6116&gt;0,H6116/F6116,"")</f>
        <v/>
      </c>
      <c r="L6116" s="16">
        <f>IF(AND(G6116&gt;0,H6116&gt;0),G6116/H6116,"")</f>
        <v/>
      </c>
    </row>
    <row r="6117">
      <c r="A6117" s="4" t="inlineStr">
        <is>
          <t>318</t>
        </is>
      </c>
      <c r="B6117" s="4" t="n">
        <v>3</v>
      </c>
      <c r="C6117" s="4" t="inlineStr">
        <is>
          <t>mule deer</t>
        </is>
      </c>
      <c r="D6117" s="4" t="n">
        <v>2004</v>
      </c>
      <c r="E6117" s="13" t="inlineStr">
        <is>
          <t>General</t>
        </is>
      </c>
      <c r="F6117" s="5" t="n">
        <v>464</v>
      </c>
      <c r="G6117" s="5" t="n">
        <v>3481</v>
      </c>
      <c r="H6117" s="5" t="n">
        <v>167</v>
      </c>
      <c r="I6117" s="5" t="n">
        <v>142</v>
      </c>
      <c r="J6117" s="5" t="n">
        <v>25</v>
      </c>
      <c r="K6117" s="10">
        <f>IF(F6117&gt;0,H6117/F6117,"")</f>
        <v/>
      </c>
      <c r="L6117" s="16">
        <f>IF(AND(G6117&gt;0,H6117&gt;0),G6117/H6117,"")</f>
        <v/>
      </c>
    </row>
    <row r="6118">
      <c r="A6118" s="4" t="inlineStr">
        <is>
          <t>318</t>
        </is>
      </c>
      <c r="B6118" s="4" t="n">
        <v>3</v>
      </c>
      <c r="C6118" s="4" t="inlineStr">
        <is>
          <t>mule deer</t>
        </is>
      </c>
      <c r="D6118" s="4" t="n">
        <v>2005</v>
      </c>
      <c r="E6118" s="13" t="inlineStr">
        <is>
          <t>General</t>
        </is>
      </c>
      <c r="F6118" s="5" t="n">
        <v>354</v>
      </c>
      <c r="G6118" s="5" t="n">
        <v>3036</v>
      </c>
      <c r="H6118" s="5" t="n">
        <v>122</v>
      </c>
      <c r="I6118" s="5" t="n">
        <v>91</v>
      </c>
      <c r="J6118" s="5" t="n">
        <v>30</v>
      </c>
      <c r="K6118" s="10">
        <f>IF(F6118&gt;0,H6118/F6118,"")</f>
        <v/>
      </c>
      <c r="L6118" s="16">
        <f>IF(AND(G6118&gt;0,H6118&gt;0),G6118/H6118,"")</f>
        <v/>
      </c>
    </row>
    <row r="6119">
      <c r="A6119" s="4" t="inlineStr">
        <is>
          <t>318</t>
        </is>
      </c>
      <c r="B6119" s="4" t="n">
        <v>3</v>
      </c>
      <c r="C6119" s="4" t="inlineStr">
        <is>
          <t>mule deer</t>
        </is>
      </c>
      <c r="D6119" s="4" t="n">
        <v>2006</v>
      </c>
      <c r="E6119" s="13" t="inlineStr">
        <is>
          <t>General</t>
        </is>
      </c>
      <c r="F6119" s="5" t="n">
        <v>374</v>
      </c>
      <c r="G6119" s="5" t="n">
        <v>2751</v>
      </c>
      <c r="H6119" s="5" t="n">
        <v>139</v>
      </c>
      <c r="I6119" s="5" t="n">
        <v>106</v>
      </c>
      <c r="J6119" s="5" t="n">
        <v>33</v>
      </c>
      <c r="K6119" s="10">
        <f>IF(F6119&gt;0,H6119/F6119,"")</f>
        <v/>
      </c>
      <c r="L6119" s="16">
        <f>IF(AND(G6119&gt;0,H6119&gt;0),G6119/H6119,"")</f>
        <v/>
      </c>
    </row>
    <row r="6120">
      <c r="A6120" s="4" t="inlineStr">
        <is>
          <t>318</t>
        </is>
      </c>
      <c r="B6120" s="4" t="n">
        <v>3</v>
      </c>
      <c r="C6120" s="4" t="inlineStr">
        <is>
          <t>mule deer</t>
        </is>
      </c>
      <c r="D6120" s="4" t="n">
        <v>2007</v>
      </c>
      <c r="E6120" s="13" t="inlineStr">
        <is>
          <t>General</t>
        </is>
      </c>
      <c r="F6120" s="5" t="n">
        <v>444</v>
      </c>
      <c r="G6120" s="5" t="n">
        <v>3410</v>
      </c>
      <c r="H6120" s="5" t="n">
        <v>109</v>
      </c>
      <c r="I6120" s="5" t="n">
        <v>97</v>
      </c>
      <c r="J6120" s="5" t="n">
        <v>12</v>
      </c>
      <c r="K6120" s="10">
        <f>IF(F6120&gt;0,H6120/F6120,"")</f>
        <v/>
      </c>
      <c r="L6120" s="16">
        <f>IF(AND(G6120&gt;0,H6120&gt;0),G6120/H6120,"")</f>
        <v/>
      </c>
    </row>
    <row r="6121">
      <c r="A6121" s="4" t="inlineStr">
        <is>
          <t>318</t>
        </is>
      </c>
      <c r="B6121" s="4" t="n">
        <v>3</v>
      </c>
      <c r="C6121" s="4" t="inlineStr">
        <is>
          <t>mule deer</t>
        </is>
      </c>
      <c r="D6121" s="4" t="n">
        <v>2008</v>
      </c>
      <c r="E6121" s="13" t="inlineStr">
        <is>
          <t>General</t>
        </is>
      </c>
      <c r="F6121" s="5" t="n">
        <v>362</v>
      </c>
      <c r="G6121" s="5" t="n">
        <v>3026</v>
      </c>
      <c r="H6121" s="5" t="n">
        <v>69</v>
      </c>
      <c r="I6121" s="5" t="n">
        <v>56</v>
      </c>
      <c r="J6121" s="5" t="n">
        <v>13</v>
      </c>
      <c r="K6121" s="10">
        <f>IF(F6121&gt;0,H6121/F6121,"")</f>
        <v/>
      </c>
      <c r="L6121" s="16">
        <f>IF(AND(G6121&gt;0,H6121&gt;0),G6121/H6121,"")</f>
        <v/>
      </c>
    </row>
    <row r="6122">
      <c r="A6122" s="4" t="inlineStr">
        <is>
          <t>318</t>
        </is>
      </c>
      <c r="B6122" s="4" t="n">
        <v>3</v>
      </c>
      <c r="C6122" s="4" t="inlineStr">
        <is>
          <t>mule deer</t>
        </is>
      </c>
      <c r="D6122" s="4" t="n">
        <v>2009</v>
      </c>
      <c r="E6122" s="13" t="inlineStr">
        <is>
          <t>General</t>
        </is>
      </c>
      <c r="F6122" s="5" t="n">
        <v>298</v>
      </c>
      <c r="G6122" s="5" t="n">
        <v>2148</v>
      </c>
      <c r="H6122" s="5" t="n">
        <v>81</v>
      </c>
      <c r="I6122" s="5" t="n">
        <v>67</v>
      </c>
      <c r="J6122" s="5" t="n">
        <v>14</v>
      </c>
      <c r="K6122" s="10">
        <f>IF(F6122&gt;0,H6122/F6122,"")</f>
        <v/>
      </c>
      <c r="L6122" s="16">
        <f>IF(AND(G6122&gt;0,H6122&gt;0),G6122/H6122,"")</f>
        <v/>
      </c>
    </row>
    <row r="6123">
      <c r="A6123" s="4" t="inlineStr">
        <is>
          <t>318</t>
        </is>
      </c>
      <c r="B6123" s="4" t="n">
        <v>3</v>
      </c>
      <c r="C6123" s="4" t="inlineStr">
        <is>
          <t>mule deer</t>
        </is>
      </c>
      <c r="D6123" s="4" t="n">
        <v>2010</v>
      </c>
      <c r="E6123" s="13" t="inlineStr">
        <is>
          <t>General</t>
        </is>
      </c>
      <c r="F6123" s="5" t="n">
        <v>372</v>
      </c>
      <c r="G6123" s="5" t="n">
        <v>2709</v>
      </c>
      <c r="H6123" s="5" t="n">
        <v>88</v>
      </c>
      <c r="I6123" s="5" t="n">
        <v>81</v>
      </c>
      <c r="J6123" s="5" t="n">
        <v>6</v>
      </c>
      <c r="K6123" s="10">
        <f>IF(F6123&gt;0,H6123/F6123,"")</f>
        <v/>
      </c>
      <c r="L6123" s="16">
        <f>IF(AND(G6123&gt;0,H6123&gt;0),G6123/H6123,"")</f>
        <v/>
      </c>
    </row>
    <row r="6124">
      <c r="A6124" s="4" t="inlineStr">
        <is>
          <t>318</t>
        </is>
      </c>
      <c r="B6124" s="4" t="n">
        <v>3</v>
      </c>
      <c r="C6124" s="4" t="inlineStr">
        <is>
          <t>mule deer</t>
        </is>
      </c>
      <c r="D6124" s="4" t="n">
        <v>2011</v>
      </c>
      <c r="E6124" s="13" t="inlineStr">
        <is>
          <t>General</t>
        </is>
      </c>
      <c r="F6124" s="5" t="n">
        <v>370</v>
      </c>
      <c r="G6124" s="5" t="n">
        <v>3160</v>
      </c>
      <c r="H6124" s="5" t="n">
        <v>95</v>
      </c>
      <c r="I6124" s="5" t="n">
        <v>94</v>
      </c>
      <c r="J6124" s="5" t="n">
        <v>2</v>
      </c>
      <c r="K6124" s="10">
        <f>IF(F6124&gt;0,H6124/F6124,"")</f>
        <v/>
      </c>
      <c r="L6124" s="16">
        <f>IF(AND(G6124&gt;0,H6124&gt;0),G6124/H6124,"")</f>
        <v/>
      </c>
    </row>
    <row r="6125">
      <c r="A6125" s="4" t="inlineStr">
        <is>
          <t>318</t>
        </is>
      </c>
      <c r="B6125" s="4" t="n">
        <v>3</v>
      </c>
      <c r="C6125" s="4" t="inlineStr">
        <is>
          <t>mule deer</t>
        </is>
      </c>
      <c r="D6125" s="4" t="n">
        <v>2012</v>
      </c>
      <c r="E6125" s="13" t="inlineStr">
        <is>
          <t>General</t>
        </is>
      </c>
      <c r="F6125" s="5" t="n"/>
      <c r="G6125" s="5" t="n"/>
      <c r="H6125" s="5" t="n">
        <v>75</v>
      </c>
      <c r="I6125" s="5" t="n">
        <v>72</v>
      </c>
      <c r="J6125" s="5" t="n">
        <v>3</v>
      </c>
      <c r="K6125" s="10">
        <f>IF(F6125&gt;0,H6125/F6125,"")</f>
        <v/>
      </c>
      <c r="L6125" s="16">
        <f>IF(AND(G6125&gt;0,H6125&gt;0),G6125/H6125,"")</f>
        <v/>
      </c>
    </row>
    <row r="6126">
      <c r="A6126" s="4" t="inlineStr">
        <is>
          <t>318</t>
        </is>
      </c>
      <c r="B6126" s="4" t="n">
        <v>3</v>
      </c>
      <c r="C6126" s="4" t="inlineStr">
        <is>
          <t>mule deer</t>
        </is>
      </c>
      <c r="D6126" s="4" t="n">
        <v>2013</v>
      </c>
      <c r="E6126" s="13" t="inlineStr">
        <is>
          <t>General</t>
        </is>
      </c>
      <c r="F6126" s="5" t="n">
        <v>389</v>
      </c>
      <c r="G6126" s="5" t="n">
        <v>3122</v>
      </c>
      <c r="H6126" s="5" t="n">
        <v>107</v>
      </c>
      <c r="I6126" s="5" t="n">
        <v>95</v>
      </c>
      <c r="J6126" s="5" t="n">
        <v>12</v>
      </c>
      <c r="K6126" s="10">
        <f>IF(F6126&gt;0,H6126/F6126,"")</f>
        <v/>
      </c>
      <c r="L6126" s="16">
        <f>IF(AND(G6126&gt;0,H6126&gt;0),G6126/H6126,"")</f>
        <v/>
      </c>
    </row>
    <row r="6127">
      <c r="A6127" s="4" t="inlineStr">
        <is>
          <t>318</t>
        </is>
      </c>
      <c r="B6127" s="4" t="n">
        <v>3</v>
      </c>
      <c r="C6127" s="4" t="inlineStr">
        <is>
          <t>mule deer</t>
        </is>
      </c>
      <c r="D6127" s="4" t="n">
        <v>2014</v>
      </c>
      <c r="E6127" s="13" t="inlineStr">
        <is>
          <t>General</t>
        </is>
      </c>
      <c r="F6127" s="5" t="n"/>
      <c r="G6127" s="5" t="n"/>
      <c r="H6127" s="5" t="n">
        <v>60</v>
      </c>
      <c r="I6127" s="5" t="n">
        <v>59</v>
      </c>
      <c r="J6127" s="5" t="n">
        <v>1</v>
      </c>
      <c r="K6127" s="10">
        <f>IF(F6127&gt;0,H6127/F6127,"")</f>
        <v/>
      </c>
      <c r="L6127" s="16">
        <f>IF(AND(G6127&gt;0,H6127&gt;0),G6127/H6127,"")</f>
        <v/>
      </c>
    </row>
    <row r="6128">
      <c r="A6128" s="4" t="inlineStr">
        <is>
          <t>318</t>
        </is>
      </c>
      <c r="B6128" s="4" t="n">
        <v>3</v>
      </c>
      <c r="C6128" s="4" t="inlineStr">
        <is>
          <t>mule deer</t>
        </is>
      </c>
      <c r="D6128" s="4" t="n">
        <v>2015</v>
      </c>
      <c r="E6128" s="13" t="inlineStr">
        <is>
          <t>General</t>
        </is>
      </c>
      <c r="F6128" s="5" t="n"/>
      <c r="G6128" s="5" t="n"/>
      <c r="H6128" s="5" t="n">
        <v>110</v>
      </c>
      <c r="I6128" s="5" t="n">
        <v>104</v>
      </c>
      <c r="J6128" s="5" t="n">
        <v>5</v>
      </c>
      <c r="K6128" s="10">
        <f>IF(F6128&gt;0,H6128/F6128,"")</f>
        <v/>
      </c>
      <c r="L6128" s="16">
        <f>IF(AND(G6128&gt;0,H6128&gt;0),G6128/H6128,"")</f>
        <v/>
      </c>
    </row>
    <row r="6129">
      <c r="A6129" s="4" t="inlineStr">
        <is>
          <t>318</t>
        </is>
      </c>
      <c r="B6129" s="4" t="n">
        <v>3</v>
      </c>
      <c r="C6129" s="4" t="inlineStr">
        <is>
          <t>mule deer</t>
        </is>
      </c>
      <c r="D6129" s="4" t="n">
        <v>2016</v>
      </c>
      <c r="E6129" s="13" t="inlineStr">
        <is>
          <t>General</t>
        </is>
      </c>
      <c r="F6129" s="5" t="n"/>
      <c r="G6129" s="5" t="n"/>
      <c r="H6129" s="5" t="n">
        <v>86</v>
      </c>
      <c r="I6129" s="5" t="n">
        <v>64</v>
      </c>
      <c r="J6129" s="5" t="n">
        <v>22</v>
      </c>
      <c r="K6129" s="10">
        <f>IF(F6129&gt;0,H6129/F6129,"")</f>
        <v/>
      </c>
      <c r="L6129" s="16">
        <f>IF(AND(G6129&gt;0,H6129&gt;0),G6129/H6129,"")</f>
        <v/>
      </c>
    </row>
    <row r="6130">
      <c r="A6130" s="4" t="inlineStr">
        <is>
          <t>318</t>
        </is>
      </c>
      <c r="B6130" s="4" t="n">
        <v>3</v>
      </c>
      <c r="C6130" s="4" t="inlineStr">
        <is>
          <t>mule deer</t>
        </is>
      </c>
      <c r="D6130" s="4" t="n">
        <v>2017</v>
      </c>
      <c r="E6130" s="13" t="inlineStr">
        <is>
          <t>General</t>
        </is>
      </c>
      <c r="F6130" s="5" t="n">
        <v>354</v>
      </c>
      <c r="G6130" s="5" t="n">
        <v>2113</v>
      </c>
      <c r="H6130" s="5" t="n">
        <v>98</v>
      </c>
      <c r="I6130" s="5" t="n">
        <v>75</v>
      </c>
      <c r="J6130" s="5" t="n">
        <v>22</v>
      </c>
      <c r="K6130" s="10">
        <f>IF(F6130&gt;0,H6130/F6130,"")</f>
        <v/>
      </c>
      <c r="L6130" s="16">
        <f>IF(AND(G6130&gt;0,H6130&gt;0),G6130/H6130,"")</f>
        <v/>
      </c>
    </row>
    <row r="6131">
      <c r="A6131" s="4" t="inlineStr">
        <is>
          <t>318</t>
        </is>
      </c>
      <c r="B6131" s="4" t="n">
        <v>3</v>
      </c>
      <c r="C6131" s="4" t="inlineStr">
        <is>
          <t>mule deer</t>
        </is>
      </c>
      <c r="D6131" s="4" t="n">
        <v>2018</v>
      </c>
      <c r="E6131" s="13" t="inlineStr">
        <is>
          <t>General</t>
        </is>
      </c>
      <c r="F6131" s="5" t="n"/>
      <c r="G6131" s="5" t="n"/>
      <c r="H6131" s="5" t="n">
        <v>68</v>
      </c>
      <c r="I6131" s="5" t="n">
        <v>57</v>
      </c>
      <c r="J6131" s="5" t="n">
        <v>11</v>
      </c>
      <c r="K6131" s="10">
        <f>IF(F6131&gt;0,H6131/F6131,"")</f>
        <v/>
      </c>
      <c r="L6131" s="16">
        <f>IF(AND(G6131&gt;0,H6131&gt;0),G6131/H6131,"")</f>
        <v/>
      </c>
    </row>
    <row r="6132">
      <c r="A6132" s="4" t="inlineStr">
        <is>
          <t>318</t>
        </is>
      </c>
      <c r="B6132" s="4" t="n">
        <v>3</v>
      </c>
      <c r="C6132" s="4" t="inlineStr">
        <is>
          <t>mule deer</t>
        </is>
      </c>
      <c r="D6132" s="4" t="n">
        <v>2019</v>
      </c>
      <c r="E6132" s="13" t="inlineStr">
        <is>
          <t>General</t>
        </is>
      </c>
      <c r="F6132" s="5" t="n">
        <v>481</v>
      </c>
      <c r="G6132" s="5" t="n">
        <v>4188</v>
      </c>
      <c r="H6132" s="5" t="n">
        <v>37</v>
      </c>
      <c r="I6132" s="5" t="n">
        <v>29</v>
      </c>
      <c r="J6132" s="5" t="n">
        <v>8</v>
      </c>
      <c r="K6132" s="10">
        <f>IF(F6132&gt;0,H6132/F6132,"")</f>
        <v/>
      </c>
      <c r="L6132" s="16">
        <f>IF(AND(G6132&gt;0,H6132&gt;0),G6132/H6132,"")</f>
        <v/>
      </c>
    </row>
    <row r="6133">
      <c r="A6133" s="4" t="inlineStr">
        <is>
          <t>318</t>
        </is>
      </c>
      <c r="B6133" s="4" t="n">
        <v>3</v>
      </c>
      <c r="C6133" s="4" t="inlineStr">
        <is>
          <t>mule deer</t>
        </is>
      </c>
      <c r="D6133" s="4" t="n">
        <v>2020</v>
      </c>
      <c r="E6133" s="13" t="inlineStr">
        <is>
          <t>General</t>
        </is>
      </c>
      <c r="F6133" s="5" t="n"/>
      <c r="G6133" s="5" t="n"/>
      <c r="H6133" s="5" t="n">
        <v>90</v>
      </c>
      <c r="I6133" s="5" t="n">
        <v>67</v>
      </c>
      <c r="J6133" s="5" t="n">
        <v>23</v>
      </c>
      <c r="K6133" s="10">
        <f>IF(F6133&gt;0,H6133/F6133,"")</f>
        <v/>
      </c>
      <c r="L6133" s="16">
        <f>IF(AND(G6133&gt;0,H6133&gt;0),G6133/H6133,"")</f>
        <v/>
      </c>
    </row>
    <row r="6134">
      <c r="A6134" s="4" t="inlineStr">
        <is>
          <t>318</t>
        </is>
      </c>
      <c r="B6134" s="4" t="n">
        <v>3</v>
      </c>
      <c r="C6134" s="4" t="inlineStr">
        <is>
          <t>mule deer</t>
        </is>
      </c>
      <c r="D6134" s="4" t="n">
        <v>2021</v>
      </c>
      <c r="E6134" s="13" t="inlineStr">
        <is>
          <t>General</t>
        </is>
      </c>
      <c r="F6134" s="5" t="n">
        <v>597</v>
      </c>
      <c r="G6134" s="5" t="n">
        <v>5217</v>
      </c>
      <c r="H6134" s="5" t="n">
        <v>91</v>
      </c>
      <c r="I6134" s="5" t="n">
        <v>80</v>
      </c>
      <c r="J6134" s="5" t="n">
        <v>11</v>
      </c>
      <c r="K6134" s="10">
        <f>IF(F6134&gt;0,H6134/F6134,"")</f>
        <v/>
      </c>
      <c r="L6134" s="16">
        <f>IF(AND(G6134&gt;0,H6134&gt;0),G6134/H6134,"")</f>
        <v/>
      </c>
    </row>
    <row r="6135">
      <c r="A6135" s="4" t="inlineStr">
        <is>
          <t>318</t>
        </is>
      </c>
      <c r="B6135" s="4" t="n">
        <v>3</v>
      </c>
      <c r="C6135" s="4" t="inlineStr">
        <is>
          <t>mule deer</t>
        </is>
      </c>
      <c r="D6135" s="4" t="n">
        <v>2022</v>
      </c>
      <c r="E6135" s="13" t="inlineStr">
        <is>
          <t>General</t>
        </is>
      </c>
      <c r="F6135" s="5" t="n"/>
      <c r="G6135" s="5" t="n"/>
      <c r="H6135" s="5" t="n">
        <v>93</v>
      </c>
      <c r="I6135" s="5" t="n">
        <v>86</v>
      </c>
      <c r="J6135" s="5" t="n">
        <v>7</v>
      </c>
      <c r="K6135" s="10">
        <f>IF(F6135&gt;0,H6135/F6135,"")</f>
        <v/>
      </c>
      <c r="L6135" s="16">
        <f>IF(AND(G6135&gt;0,H6135&gt;0),G6135/H6135,"")</f>
        <v/>
      </c>
    </row>
    <row r="6136">
      <c r="A6136" s="4" t="inlineStr">
        <is>
          <t>318</t>
        </is>
      </c>
      <c r="B6136" s="4" t="n">
        <v>3</v>
      </c>
      <c r="C6136" s="4" t="inlineStr">
        <is>
          <t>mule deer</t>
        </is>
      </c>
      <c r="D6136" s="4" t="n">
        <v>2023</v>
      </c>
      <c r="E6136" s="13" t="inlineStr">
        <is>
          <t>General</t>
        </is>
      </c>
      <c r="F6136" s="5" t="n">
        <v>654</v>
      </c>
      <c r="G6136" s="5" t="n">
        <v>4896</v>
      </c>
      <c r="H6136" s="5" t="n">
        <v>101</v>
      </c>
      <c r="I6136" s="5" t="n">
        <v>94</v>
      </c>
      <c r="J6136" s="5" t="n">
        <v>3</v>
      </c>
      <c r="K6136" s="10">
        <f>IF(F6136&gt;0,H6136/F6136,"")</f>
        <v/>
      </c>
      <c r="L6136" s="16">
        <f>IF(AND(G6136&gt;0,H6136&gt;0),G6136/H6136,"")</f>
        <v/>
      </c>
    </row>
    <row r="6137">
      <c r="A6137" s="4" t="inlineStr">
        <is>
          <t>318</t>
        </is>
      </c>
      <c r="B6137" s="4" t="n">
        <v>3</v>
      </c>
      <c r="C6137" s="4" t="inlineStr">
        <is>
          <t>mule deer</t>
        </is>
      </c>
      <c r="D6137" s="4" t="n">
        <v>2024</v>
      </c>
      <c r="E6137" s="13" t="inlineStr">
        <is>
          <t>General</t>
        </is>
      </c>
      <c r="F6137" s="5" t="n"/>
      <c r="G6137" s="5" t="n"/>
      <c r="H6137" s="5" t="n">
        <v>151</v>
      </c>
      <c r="I6137" s="5" t="n">
        <v>134</v>
      </c>
      <c r="J6137" s="5" t="n">
        <v>17</v>
      </c>
      <c r="K6137" s="10">
        <f>IF(F6137&gt;0,H6137/F6137,"")</f>
        <v/>
      </c>
      <c r="L6137" s="16">
        <f>IF(AND(G6137&gt;0,H6137&gt;0),G6137/H6137,"")</f>
        <v/>
      </c>
    </row>
    <row r="6138">
      <c r="A6138" s="4" t="inlineStr">
        <is>
          <t>318</t>
        </is>
      </c>
      <c r="B6138" s="4" t="n">
        <v>3</v>
      </c>
      <c r="C6138" s="4" t="inlineStr">
        <is>
          <t>mule deer</t>
        </is>
      </c>
      <c r="D6138" s="4" t="n">
        <v>2025</v>
      </c>
      <c r="E6138" s="13" t="inlineStr">
        <is>
          <t>General</t>
        </is>
      </c>
      <c r="F6138" s="5" t="n">
        <v>696</v>
      </c>
      <c r="G6138" s="5" t="n">
        <v>7052</v>
      </c>
      <c r="H6138" s="5" t="n">
        <v>78</v>
      </c>
      <c r="I6138" s="5" t="n">
        <v>69</v>
      </c>
      <c r="J6138" s="5" t="n">
        <v>10</v>
      </c>
      <c r="K6138" s="10">
        <f>IF(F6138&gt;0,H6138/F6138,"")</f>
        <v/>
      </c>
      <c r="L6138" s="16">
        <f>IF(AND(G6138&gt;0,H6138&gt;0),G6138/H6138,"")</f>
        <v/>
      </c>
    </row>
    <row r="6139">
      <c r="A6139" s="4" t="inlineStr">
        <is>
          <t>319</t>
        </is>
      </c>
      <c r="B6139" s="4" t="n">
        <v>3</v>
      </c>
      <c r="C6139" s="4" t="inlineStr">
        <is>
          <t>mule deer</t>
        </is>
      </c>
      <c r="D6139" s="4" t="n">
        <v>2004</v>
      </c>
      <c r="E6139" s="15" t="inlineStr">
        <is>
          <t>Draw</t>
        </is>
      </c>
      <c r="F6139" s="5" t="n">
        <v>738</v>
      </c>
      <c r="G6139" s="5" t="n">
        <v>5379</v>
      </c>
      <c r="H6139" s="5" t="n">
        <v>175</v>
      </c>
      <c r="I6139" s="5" t="n">
        <v>96</v>
      </c>
      <c r="J6139" s="5" t="n">
        <v>78</v>
      </c>
      <c r="K6139" s="10">
        <f>IF(F6139&gt;0,H6139/F6139,"")</f>
        <v/>
      </c>
      <c r="L6139" s="16">
        <f>IF(AND(G6139&gt;0,H6139&gt;0),G6139/H6139,"")</f>
        <v/>
      </c>
    </row>
    <row r="6140">
      <c r="A6140" s="4" t="inlineStr">
        <is>
          <t>319</t>
        </is>
      </c>
      <c r="B6140" s="4" t="n">
        <v>3</v>
      </c>
      <c r="C6140" s="4" t="inlineStr">
        <is>
          <t>mule deer</t>
        </is>
      </c>
      <c r="D6140" s="4" t="n">
        <v>2005</v>
      </c>
      <c r="E6140" s="15" t="inlineStr">
        <is>
          <t>Draw</t>
        </is>
      </c>
      <c r="F6140" s="5" t="n">
        <v>826</v>
      </c>
      <c r="G6140" s="5" t="n">
        <v>5593</v>
      </c>
      <c r="H6140" s="5" t="n">
        <v>225</v>
      </c>
      <c r="I6140" s="5" t="n">
        <v>141</v>
      </c>
      <c r="J6140" s="5" t="n">
        <v>83</v>
      </c>
      <c r="K6140" s="10">
        <f>IF(F6140&gt;0,H6140/F6140,"")</f>
        <v/>
      </c>
      <c r="L6140" s="16">
        <f>IF(AND(G6140&gt;0,H6140&gt;0),G6140/H6140,"")</f>
        <v/>
      </c>
    </row>
    <row r="6141">
      <c r="A6141" s="4" t="inlineStr">
        <is>
          <t>319</t>
        </is>
      </c>
      <c r="B6141" s="4" t="n">
        <v>3</v>
      </c>
      <c r="C6141" s="4" t="inlineStr">
        <is>
          <t>mule deer</t>
        </is>
      </c>
      <c r="D6141" s="4" t="n">
        <v>2006</v>
      </c>
      <c r="E6141" s="15" t="inlineStr">
        <is>
          <t>Draw</t>
        </is>
      </c>
      <c r="F6141" s="5" t="n">
        <v>544</v>
      </c>
      <c r="G6141" s="5" t="n">
        <v>3156</v>
      </c>
      <c r="H6141" s="5" t="n">
        <v>168</v>
      </c>
      <c r="I6141" s="5" t="n">
        <v>111</v>
      </c>
      <c r="J6141" s="5" t="n">
        <v>57</v>
      </c>
      <c r="K6141" s="10">
        <f>IF(F6141&gt;0,H6141/F6141,"")</f>
        <v/>
      </c>
      <c r="L6141" s="16">
        <f>IF(AND(G6141&gt;0,H6141&gt;0),G6141/H6141,"")</f>
        <v/>
      </c>
    </row>
    <row r="6142">
      <c r="A6142" s="4" t="inlineStr">
        <is>
          <t>319</t>
        </is>
      </c>
      <c r="B6142" s="4" t="n">
        <v>3</v>
      </c>
      <c r="C6142" s="4" t="inlineStr">
        <is>
          <t>mule deer</t>
        </is>
      </c>
      <c r="D6142" s="4" t="n">
        <v>2007</v>
      </c>
      <c r="E6142" s="15" t="inlineStr">
        <is>
          <t>Draw</t>
        </is>
      </c>
      <c r="F6142" s="5" t="n">
        <v>616</v>
      </c>
      <c r="G6142" s="5" t="n">
        <v>4039</v>
      </c>
      <c r="H6142" s="5" t="n">
        <v>143</v>
      </c>
      <c r="I6142" s="5" t="n">
        <v>84</v>
      </c>
      <c r="J6142" s="5" t="n">
        <v>58</v>
      </c>
      <c r="K6142" s="10">
        <f>IF(F6142&gt;0,H6142/F6142,"")</f>
        <v/>
      </c>
      <c r="L6142" s="16">
        <f>IF(AND(G6142&gt;0,H6142&gt;0),G6142/H6142,"")</f>
        <v/>
      </c>
    </row>
    <row r="6143">
      <c r="A6143" s="4" t="inlineStr">
        <is>
          <t>319</t>
        </is>
      </c>
      <c r="B6143" s="4" t="n">
        <v>3</v>
      </c>
      <c r="C6143" s="4" t="inlineStr">
        <is>
          <t>mule deer</t>
        </is>
      </c>
      <c r="D6143" s="4" t="n">
        <v>2008</v>
      </c>
      <c r="E6143" s="15" t="inlineStr">
        <is>
          <t>Draw</t>
        </is>
      </c>
      <c r="F6143" s="5" t="n">
        <v>633</v>
      </c>
      <c r="G6143" s="5" t="n">
        <v>4580</v>
      </c>
      <c r="H6143" s="5" t="n">
        <v>125</v>
      </c>
      <c r="I6143" s="5" t="n">
        <v>83</v>
      </c>
      <c r="J6143" s="5" t="n">
        <v>42</v>
      </c>
      <c r="K6143" s="10">
        <f>IF(F6143&gt;0,H6143/F6143,"")</f>
        <v/>
      </c>
      <c r="L6143" s="16">
        <f>IF(AND(G6143&gt;0,H6143&gt;0),G6143/H6143,"")</f>
        <v/>
      </c>
    </row>
    <row r="6144">
      <c r="A6144" s="4" t="inlineStr">
        <is>
          <t>319</t>
        </is>
      </c>
      <c r="B6144" s="4" t="n">
        <v>3</v>
      </c>
      <c r="C6144" s="4" t="inlineStr">
        <is>
          <t>mule deer</t>
        </is>
      </c>
      <c r="D6144" s="4" t="n">
        <v>2009</v>
      </c>
      <c r="E6144" s="15" t="inlineStr">
        <is>
          <t>Draw</t>
        </is>
      </c>
      <c r="F6144" s="5" t="n">
        <v>501</v>
      </c>
      <c r="G6144" s="5" t="n">
        <v>3237</v>
      </c>
      <c r="H6144" s="5" t="n">
        <v>78</v>
      </c>
      <c r="I6144" s="5" t="n">
        <v>56</v>
      </c>
      <c r="J6144" s="5" t="n">
        <v>22</v>
      </c>
      <c r="K6144" s="10">
        <f>IF(F6144&gt;0,H6144/F6144,"")</f>
        <v/>
      </c>
      <c r="L6144" s="16">
        <f>IF(AND(G6144&gt;0,H6144&gt;0),G6144/H6144,"")</f>
        <v/>
      </c>
    </row>
    <row r="6145">
      <c r="A6145" s="4" t="inlineStr">
        <is>
          <t>319</t>
        </is>
      </c>
      <c r="B6145" s="4" t="n">
        <v>3</v>
      </c>
      <c r="C6145" s="4" t="inlineStr">
        <is>
          <t>mule deer</t>
        </is>
      </c>
      <c r="D6145" s="4" t="n">
        <v>2010</v>
      </c>
      <c r="E6145" s="15" t="inlineStr">
        <is>
          <t>Draw</t>
        </is>
      </c>
      <c r="F6145" s="5" t="n">
        <v>353</v>
      </c>
      <c r="G6145" s="5" t="n">
        <v>2473</v>
      </c>
      <c r="H6145" s="5" t="n">
        <v>78</v>
      </c>
      <c r="I6145" s="5" t="n">
        <v>68</v>
      </c>
      <c r="J6145" s="5" t="n">
        <v>10</v>
      </c>
      <c r="K6145" s="10">
        <f>IF(F6145&gt;0,H6145/F6145,"")</f>
        <v/>
      </c>
      <c r="L6145" s="16">
        <f>IF(AND(G6145&gt;0,H6145&gt;0),G6145/H6145,"")</f>
        <v/>
      </c>
    </row>
    <row r="6146">
      <c r="A6146" s="4" t="inlineStr">
        <is>
          <t>319</t>
        </is>
      </c>
      <c r="B6146" s="4" t="n">
        <v>3</v>
      </c>
      <c r="C6146" s="4" t="inlineStr">
        <is>
          <t>mule deer</t>
        </is>
      </c>
      <c r="D6146" s="4" t="n">
        <v>2011</v>
      </c>
      <c r="E6146" s="15" t="inlineStr">
        <is>
          <t>Draw</t>
        </is>
      </c>
      <c r="F6146" s="5" t="n">
        <v>418</v>
      </c>
      <c r="G6146" s="5" t="n">
        <v>2999</v>
      </c>
      <c r="H6146" s="5" t="n">
        <v>76</v>
      </c>
      <c r="I6146" s="5" t="n">
        <v>54</v>
      </c>
      <c r="J6146" s="5" t="n">
        <v>23</v>
      </c>
      <c r="K6146" s="10">
        <f>IF(F6146&gt;0,H6146/F6146,"")</f>
        <v/>
      </c>
      <c r="L6146" s="16">
        <f>IF(AND(G6146&gt;0,H6146&gt;0),G6146/H6146,"")</f>
        <v/>
      </c>
    </row>
    <row r="6147">
      <c r="A6147" s="4" t="inlineStr">
        <is>
          <t>319</t>
        </is>
      </c>
      <c r="B6147" s="4" t="n">
        <v>3</v>
      </c>
      <c r="C6147" s="4" t="inlineStr">
        <is>
          <t>mule deer</t>
        </is>
      </c>
      <c r="D6147" s="4" t="n">
        <v>2012</v>
      </c>
      <c r="E6147" s="15" t="inlineStr">
        <is>
          <t>Draw</t>
        </is>
      </c>
      <c r="F6147" s="5" t="n"/>
      <c r="G6147" s="5" t="n"/>
      <c r="H6147" s="5" t="n">
        <v>77</v>
      </c>
      <c r="I6147" s="5" t="n">
        <v>62</v>
      </c>
      <c r="J6147" s="5" t="n">
        <v>14</v>
      </c>
      <c r="K6147" s="10">
        <f>IF(F6147&gt;0,H6147/F6147,"")</f>
        <v/>
      </c>
      <c r="L6147" s="16">
        <f>IF(AND(G6147&gt;0,H6147&gt;0),G6147/H6147,"")</f>
        <v/>
      </c>
    </row>
    <row r="6148">
      <c r="A6148" s="4" t="inlineStr">
        <is>
          <t>319</t>
        </is>
      </c>
      <c r="B6148" s="4" t="n">
        <v>3</v>
      </c>
      <c r="C6148" s="4" t="inlineStr">
        <is>
          <t>mule deer</t>
        </is>
      </c>
      <c r="D6148" s="4" t="n">
        <v>2013</v>
      </c>
      <c r="E6148" s="15" t="inlineStr">
        <is>
          <t>Draw</t>
        </is>
      </c>
      <c r="F6148" s="5" t="n">
        <v>435</v>
      </c>
      <c r="G6148" s="5" t="n">
        <v>2964</v>
      </c>
      <c r="H6148" s="5" t="n">
        <v>84</v>
      </c>
      <c r="I6148" s="5" t="n">
        <v>49</v>
      </c>
      <c r="J6148" s="5" t="n">
        <v>31</v>
      </c>
      <c r="K6148" s="10">
        <f>IF(F6148&gt;0,H6148/F6148,"")</f>
        <v/>
      </c>
      <c r="L6148" s="16">
        <f>IF(AND(G6148&gt;0,H6148&gt;0),G6148/H6148,"")</f>
        <v/>
      </c>
    </row>
    <row r="6149">
      <c r="A6149" s="4" t="inlineStr">
        <is>
          <t>319</t>
        </is>
      </c>
      <c r="B6149" s="4" t="n">
        <v>3</v>
      </c>
      <c r="C6149" s="4" t="inlineStr">
        <is>
          <t>mule deer</t>
        </is>
      </c>
      <c r="D6149" s="4" t="n">
        <v>2014</v>
      </c>
      <c r="E6149" s="15" t="inlineStr">
        <is>
          <t>Draw</t>
        </is>
      </c>
      <c r="F6149" s="5" t="n"/>
      <c r="G6149" s="5" t="n"/>
      <c r="H6149" s="5" t="n">
        <v>87</v>
      </c>
      <c r="I6149" s="5" t="n">
        <v>76</v>
      </c>
      <c r="J6149" s="5" t="n">
        <v>11</v>
      </c>
      <c r="K6149" s="10">
        <f>IF(F6149&gt;0,H6149/F6149,"")</f>
        <v/>
      </c>
      <c r="L6149" s="16">
        <f>IF(AND(G6149&gt;0,H6149&gt;0),G6149/H6149,"")</f>
        <v/>
      </c>
    </row>
    <row r="6150">
      <c r="A6150" s="4" t="inlineStr">
        <is>
          <t>319</t>
        </is>
      </c>
      <c r="B6150" s="4" t="n">
        <v>3</v>
      </c>
      <c r="C6150" s="4" t="inlineStr">
        <is>
          <t>mule deer</t>
        </is>
      </c>
      <c r="D6150" s="4" t="n">
        <v>2015</v>
      </c>
      <c r="E6150" s="15" t="inlineStr">
        <is>
          <t>Draw</t>
        </is>
      </c>
      <c r="F6150" s="5" t="n"/>
      <c r="G6150" s="5" t="n"/>
      <c r="H6150" s="5" t="n">
        <v>103</v>
      </c>
      <c r="I6150" s="5" t="n">
        <v>77</v>
      </c>
      <c r="J6150" s="5" t="n">
        <v>24</v>
      </c>
      <c r="K6150" s="10">
        <f>IF(F6150&gt;0,H6150/F6150,"")</f>
        <v/>
      </c>
      <c r="L6150" s="16">
        <f>IF(AND(G6150&gt;0,H6150&gt;0),G6150/H6150,"")</f>
        <v/>
      </c>
    </row>
    <row r="6151">
      <c r="A6151" s="4" t="inlineStr">
        <is>
          <t>319</t>
        </is>
      </c>
      <c r="B6151" s="4" t="n">
        <v>3</v>
      </c>
      <c r="C6151" s="4" t="inlineStr">
        <is>
          <t>mule deer</t>
        </is>
      </c>
      <c r="D6151" s="4" t="n">
        <v>2016</v>
      </c>
      <c r="E6151" s="15" t="inlineStr">
        <is>
          <t>Draw</t>
        </is>
      </c>
      <c r="F6151" s="5" t="n"/>
      <c r="G6151" s="5" t="n"/>
      <c r="H6151" s="5" t="n">
        <v>122</v>
      </c>
      <c r="I6151" s="5" t="n">
        <v>80</v>
      </c>
      <c r="J6151" s="5" t="n">
        <v>42</v>
      </c>
      <c r="K6151" s="10">
        <f>IF(F6151&gt;0,H6151/F6151,"")</f>
        <v/>
      </c>
      <c r="L6151" s="16">
        <f>IF(AND(G6151&gt;0,H6151&gt;0),G6151/H6151,"")</f>
        <v/>
      </c>
    </row>
    <row r="6152">
      <c r="A6152" s="4" t="inlineStr">
        <is>
          <t>319</t>
        </is>
      </c>
      <c r="B6152" s="4" t="n">
        <v>3</v>
      </c>
      <c r="C6152" s="4" t="inlineStr">
        <is>
          <t>mule deer</t>
        </is>
      </c>
      <c r="D6152" s="4" t="n">
        <v>2017</v>
      </c>
      <c r="E6152" s="15" t="inlineStr">
        <is>
          <t>Draw</t>
        </is>
      </c>
      <c r="F6152" s="5" t="n">
        <v>477</v>
      </c>
      <c r="G6152" s="5" t="n">
        <v>3389</v>
      </c>
      <c r="H6152" s="5" t="n">
        <v>88</v>
      </c>
      <c r="I6152" s="5" t="n">
        <v>60</v>
      </c>
      <c r="J6152" s="5" t="n">
        <v>28</v>
      </c>
      <c r="K6152" s="10">
        <f>IF(F6152&gt;0,H6152/F6152,"")</f>
        <v/>
      </c>
      <c r="L6152" s="16">
        <f>IF(AND(G6152&gt;0,H6152&gt;0),G6152/H6152,"")</f>
        <v/>
      </c>
    </row>
    <row r="6153">
      <c r="A6153" s="4" t="inlineStr">
        <is>
          <t>319</t>
        </is>
      </c>
      <c r="B6153" s="4" t="n">
        <v>3</v>
      </c>
      <c r="C6153" s="4" t="inlineStr">
        <is>
          <t>mule deer</t>
        </is>
      </c>
      <c r="D6153" s="4" t="n">
        <v>2018</v>
      </c>
      <c r="E6153" s="15" t="inlineStr">
        <is>
          <t>Draw</t>
        </is>
      </c>
      <c r="F6153" s="5" t="n"/>
      <c r="G6153" s="5" t="n"/>
      <c r="H6153" s="5" t="n">
        <v>69</v>
      </c>
      <c r="I6153" s="5" t="n">
        <v>47</v>
      </c>
      <c r="J6153" s="5" t="n">
        <v>23</v>
      </c>
      <c r="K6153" s="10">
        <f>IF(F6153&gt;0,H6153/F6153,"")</f>
        <v/>
      </c>
      <c r="L6153" s="16">
        <f>IF(AND(G6153&gt;0,H6153&gt;0),G6153/H6153,"")</f>
        <v/>
      </c>
    </row>
    <row r="6154">
      <c r="A6154" s="4" t="inlineStr">
        <is>
          <t>319</t>
        </is>
      </c>
      <c r="B6154" s="4" t="n">
        <v>3</v>
      </c>
      <c r="C6154" s="4" t="inlineStr">
        <is>
          <t>mule deer</t>
        </is>
      </c>
      <c r="D6154" s="4" t="n">
        <v>2019</v>
      </c>
      <c r="E6154" s="15" t="inlineStr">
        <is>
          <t>Draw</t>
        </is>
      </c>
      <c r="F6154" s="5" t="n">
        <v>393</v>
      </c>
      <c r="G6154" s="5" t="n">
        <v>2872</v>
      </c>
      <c r="H6154" s="5" t="n">
        <v>81</v>
      </c>
      <c r="I6154" s="5" t="n">
        <v>61</v>
      </c>
      <c r="J6154" s="5" t="n">
        <v>20</v>
      </c>
      <c r="K6154" s="10">
        <f>IF(F6154&gt;0,H6154/F6154,"")</f>
        <v/>
      </c>
      <c r="L6154" s="16">
        <f>IF(AND(G6154&gt;0,H6154&gt;0),G6154/H6154,"")</f>
        <v/>
      </c>
    </row>
    <row r="6155">
      <c r="A6155" s="4" t="inlineStr">
        <is>
          <t>319</t>
        </is>
      </c>
      <c r="B6155" s="4" t="n">
        <v>3</v>
      </c>
      <c r="C6155" s="4" t="inlineStr">
        <is>
          <t>mule deer</t>
        </is>
      </c>
      <c r="D6155" s="4" t="n">
        <v>2020</v>
      </c>
      <c r="E6155" s="15" t="inlineStr">
        <is>
          <t>Draw</t>
        </is>
      </c>
      <c r="F6155" s="5" t="n"/>
      <c r="G6155" s="5" t="n"/>
      <c r="H6155" s="5" t="n">
        <v>66</v>
      </c>
      <c r="I6155" s="5" t="n">
        <v>51</v>
      </c>
      <c r="J6155" s="5" t="n">
        <v>15</v>
      </c>
      <c r="K6155" s="10">
        <f>IF(F6155&gt;0,H6155/F6155,"")</f>
        <v/>
      </c>
      <c r="L6155" s="16">
        <f>IF(AND(G6155&gt;0,H6155&gt;0),G6155/H6155,"")</f>
        <v/>
      </c>
    </row>
    <row r="6156">
      <c r="A6156" s="4" t="inlineStr">
        <is>
          <t>319</t>
        </is>
      </c>
      <c r="B6156" s="4" t="n">
        <v>3</v>
      </c>
      <c r="C6156" s="4" t="inlineStr">
        <is>
          <t>mule deer</t>
        </is>
      </c>
      <c r="D6156" s="4" t="n">
        <v>2021</v>
      </c>
      <c r="E6156" s="15" t="inlineStr">
        <is>
          <t>Draw</t>
        </is>
      </c>
      <c r="F6156" s="5" t="n">
        <v>379</v>
      </c>
      <c r="G6156" s="5" t="n">
        <v>2971</v>
      </c>
      <c r="H6156" s="5" t="n">
        <v>57</v>
      </c>
      <c r="I6156" s="5" t="n">
        <v>41</v>
      </c>
      <c r="J6156" s="5" t="n">
        <v>16</v>
      </c>
      <c r="K6156" s="10">
        <f>IF(F6156&gt;0,H6156/F6156,"")</f>
        <v/>
      </c>
      <c r="L6156" s="16">
        <f>IF(AND(G6156&gt;0,H6156&gt;0),G6156/H6156,"")</f>
        <v/>
      </c>
    </row>
    <row r="6157">
      <c r="A6157" s="4" t="inlineStr">
        <is>
          <t>319</t>
        </is>
      </c>
      <c r="B6157" s="4" t="n">
        <v>3</v>
      </c>
      <c r="C6157" s="4" t="inlineStr">
        <is>
          <t>mule deer</t>
        </is>
      </c>
      <c r="D6157" s="4" t="n">
        <v>2022</v>
      </c>
      <c r="E6157" s="15" t="inlineStr">
        <is>
          <t>Draw</t>
        </is>
      </c>
      <c r="F6157" s="5" t="n"/>
      <c r="G6157" s="5" t="n"/>
      <c r="H6157" s="5" t="n">
        <v>106</v>
      </c>
      <c r="I6157" s="5" t="n">
        <v>79</v>
      </c>
      <c r="J6157" s="5" t="n">
        <v>27</v>
      </c>
      <c r="K6157" s="10">
        <f>IF(F6157&gt;0,H6157/F6157,"")</f>
        <v/>
      </c>
      <c r="L6157" s="16">
        <f>IF(AND(G6157&gt;0,H6157&gt;0),G6157/H6157,"")</f>
        <v/>
      </c>
    </row>
    <row r="6158">
      <c r="A6158" s="4" t="inlineStr">
        <is>
          <t>319</t>
        </is>
      </c>
      <c r="B6158" s="4" t="n">
        <v>3</v>
      </c>
      <c r="C6158" s="4" t="inlineStr">
        <is>
          <t>mule deer</t>
        </is>
      </c>
      <c r="D6158" s="4" t="n">
        <v>2023</v>
      </c>
      <c r="E6158" s="15" t="inlineStr">
        <is>
          <t>Draw</t>
        </is>
      </c>
      <c r="F6158" s="5" t="n">
        <v>694</v>
      </c>
      <c r="G6158" s="5" t="n">
        <v>5272</v>
      </c>
      <c r="H6158" s="5" t="n">
        <v>67</v>
      </c>
      <c r="I6158" s="5" t="n">
        <v>40</v>
      </c>
      <c r="J6158" s="5" t="n">
        <v>27</v>
      </c>
      <c r="K6158" s="10">
        <f>IF(F6158&gt;0,H6158/F6158,"")</f>
        <v/>
      </c>
      <c r="L6158" s="16">
        <f>IF(AND(G6158&gt;0,H6158&gt;0),G6158/H6158,"")</f>
        <v/>
      </c>
    </row>
    <row r="6159">
      <c r="A6159" s="4" t="inlineStr">
        <is>
          <t>319</t>
        </is>
      </c>
      <c r="B6159" s="4" t="n">
        <v>3</v>
      </c>
      <c r="C6159" s="4" t="inlineStr">
        <is>
          <t>mule deer</t>
        </is>
      </c>
      <c r="D6159" s="4" t="n">
        <v>2024</v>
      </c>
      <c r="E6159" s="15" t="inlineStr">
        <is>
          <t>Draw</t>
        </is>
      </c>
      <c r="F6159" s="5" t="n"/>
      <c r="G6159" s="5" t="n"/>
      <c r="H6159" s="5" t="n">
        <v>94</v>
      </c>
      <c r="I6159" s="5" t="n">
        <v>82</v>
      </c>
      <c r="J6159" s="5" t="n">
        <v>12</v>
      </c>
      <c r="K6159" s="10">
        <f>IF(F6159&gt;0,H6159/F6159,"")</f>
        <v/>
      </c>
      <c r="L6159" s="16">
        <f>IF(AND(G6159&gt;0,H6159&gt;0),G6159/H6159,"")</f>
        <v/>
      </c>
    </row>
    <row r="6160">
      <c r="A6160" s="4" t="inlineStr">
        <is>
          <t>319</t>
        </is>
      </c>
      <c r="B6160" s="4" t="n">
        <v>3</v>
      </c>
      <c r="C6160" s="4" t="inlineStr">
        <is>
          <t>mule deer</t>
        </is>
      </c>
      <c r="D6160" s="4" t="n">
        <v>2025</v>
      </c>
      <c r="E6160" s="15" t="inlineStr">
        <is>
          <t>Draw</t>
        </is>
      </c>
      <c r="F6160" s="5" t="n">
        <v>772</v>
      </c>
      <c r="G6160" s="5" t="n">
        <v>5960</v>
      </c>
      <c r="H6160" s="5" t="n">
        <v>89</v>
      </c>
      <c r="I6160" s="5" t="n">
        <v>56</v>
      </c>
      <c r="J6160" s="5" t="n">
        <v>34</v>
      </c>
      <c r="K6160" s="10">
        <f>IF(F6160&gt;0,H6160/F6160,"")</f>
        <v/>
      </c>
      <c r="L6160" s="16">
        <f>IF(AND(G6160&gt;0,H6160&gt;0),G6160/H6160,"")</f>
        <v/>
      </c>
    </row>
    <row r="6161">
      <c r="A6161" s="4" t="inlineStr">
        <is>
          <t>320</t>
        </is>
      </c>
      <c r="B6161" s="4" t="n">
        <v>3</v>
      </c>
      <c r="C6161" s="4" t="inlineStr">
        <is>
          <t>mule deer</t>
        </is>
      </c>
      <c r="D6161" s="4" t="n">
        <v>2004</v>
      </c>
      <c r="E6161" s="13" t="inlineStr">
        <is>
          <t>General</t>
        </is>
      </c>
      <c r="F6161" s="5" t="n">
        <v>1438</v>
      </c>
      <c r="G6161" s="5" t="n">
        <v>7458</v>
      </c>
      <c r="H6161" s="5" t="n">
        <v>257</v>
      </c>
      <c r="I6161" s="5" t="n">
        <v>147</v>
      </c>
      <c r="J6161" s="5" t="n">
        <v>111</v>
      </c>
      <c r="K6161" s="10">
        <f>IF(F6161&gt;0,H6161/F6161,"")</f>
        <v/>
      </c>
      <c r="L6161" s="16">
        <f>IF(AND(G6161&gt;0,H6161&gt;0),G6161/H6161,"")</f>
        <v/>
      </c>
    </row>
    <row r="6162">
      <c r="A6162" s="4" t="inlineStr">
        <is>
          <t>320</t>
        </is>
      </c>
      <c r="B6162" s="4" t="n">
        <v>3</v>
      </c>
      <c r="C6162" s="4" t="inlineStr">
        <is>
          <t>mule deer</t>
        </is>
      </c>
      <c r="D6162" s="4" t="n">
        <v>2005</v>
      </c>
      <c r="E6162" s="13" t="inlineStr">
        <is>
          <t>General</t>
        </is>
      </c>
      <c r="F6162" s="5" t="n">
        <v>1330</v>
      </c>
      <c r="G6162" s="5" t="n">
        <v>7409</v>
      </c>
      <c r="H6162" s="5" t="n">
        <v>306</v>
      </c>
      <c r="I6162" s="5" t="n">
        <v>184</v>
      </c>
      <c r="J6162" s="5" t="n">
        <v>122</v>
      </c>
      <c r="K6162" s="10">
        <f>IF(F6162&gt;0,H6162/F6162,"")</f>
        <v/>
      </c>
      <c r="L6162" s="16">
        <f>IF(AND(G6162&gt;0,H6162&gt;0),G6162/H6162,"")</f>
        <v/>
      </c>
    </row>
    <row r="6163">
      <c r="A6163" s="4" t="inlineStr">
        <is>
          <t>320</t>
        </is>
      </c>
      <c r="B6163" s="4" t="n">
        <v>3</v>
      </c>
      <c r="C6163" s="4" t="inlineStr">
        <is>
          <t>mule deer</t>
        </is>
      </c>
      <c r="D6163" s="4" t="n">
        <v>2006</v>
      </c>
      <c r="E6163" s="13" t="inlineStr">
        <is>
          <t>General</t>
        </is>
      </c>
      <c r="F6163" s="5" t="n">
        <v>1205</v>
      </c>
      <c r="G6163" s="5" t="n">
        <v>7186</v>
      </c>
      <c r="H6163" s="5" t="n">
        <v>309</v>
      </c>
      <c r="I6163" s="5" t="n">
        <v>159</v>
      </c>
      <c r="J6163" s="5" t="n">
        <v>151</v>
      </c>
      <c r="K6163" s="10">
        <f>IF(F6163&gt;0,H6163/F6163,"")</f>
        <v/>
      </c>
      <c r="L6163" s="16">
        <f>IF(AND(G6163&gt;0,H6163&gt;0),G6163/H6163,"")</f>
        <v/>
      </c>
    </row>
    <row r="6164">
      <c r="A6164" s="4" t="inlineStr">
        <is>
          <t>320</t>
        </is>
      </c>
      <c r="B6164" s="4" t="n">
        <v>3</v>
      </c>
      <c r="C6164" s="4" t="inlineStr">
        <is>
          <t>mule deer</t>
        </is>
      </c>
      <c r="D6164" s="4" t="n">
        <v>2007</v>
      </c>
      <c r="E6164" s="13" t="inlineStr">
        <is>
          <t>General</t>
        </is>
      </c>
      <c r="F6164" s="5" t="n">
        <v>1471</v>
      </c>
      <c r="G6164" s="5" t="n">
        <v>8316</v>
      </c>
      <c r="H6164" s="5" t="n">
        <v>257</v>
      </c>
      <c r="I6164" s="5" t="n">
        <v>127</v>
      </c>
      <c r="J6164" s="5" t="n">
        <v>130</v>
      </c>
      <c r="K6164" s="10">
        <f>IF(F6164&gt;0,H6164/F6164,"")</f>
        <v/>
      </c>
      <c r="L6164" s="16">
        <f>IF(AND(G6164&gt;0,H6164&gt;0),G6164/H6164,"")</f>
        <v/>
      </c>
    </row>
    <row r="6165">
      <c r="A6165" s="4" t="inlineStr">
        <is>
          <t>320</t>
        </is>
      </c>
      <c r="B6165" s="4" t="n">
        <v>3</v>
      </c>
      <c r="C6165" s="4" t="inlineStr">
        <is>
          <t>mule deer</t>
        </is>
      </c>
      <c r="D6165" s="4" t="n">
        <v>2008</v>
      </c>
      <c r="E6165" s="13" t="inlineStr">
        <is>
          <t>General</t>
        </is>
      </c>
      <c r="F6165" s="5" t="n">
        <v>1563</v>
      </c>
      <c r="G6165" s="5" t="n">
        <v>9310</v>
      </c>
      <c r="H6165" s="5" t="n">
        <v>196</v>
      </c>
      <c r="I6165" s="5" t="n">
        <v>97</v>
      </c>
      <c r="J6165" s="5" t="n">
        <v>99</v>
      </c>
      <c r="K6165" s="10">
        <f>IF(F6165&gt;0,H6165/F6165,"")</f>
        <v/>
      </c>
      <c r="L6165" s="16">
        <f>IF(AND(G6165&gt;0,H6165&gt;0),G6165/H6165,"")</f>
        <v/>
      </c>
    </row>
    <row r="6166">
      <c r="A6166" s="4" t="inlineStr">
        <is>
          <t>320</t>
        </is>
      </c>
      <c r="B6166" s="4" t="n">
        <v>3</v>
      </c>
      <c r="C6166" s="4" t="inlineStr">
        <is>
          <t>mule deer</t>
        </is>
      </c>
      <c r="D6166" s="4" t="n">
        <v>2009</v>
      </c>
      <c r="E6166" s="13" t="inlineStr">
        <is>
          <t>General</t>
        </is>
      </c>
      <c r="F6166" s="5" t="n">
        <v>1575</v>
      </c>
      <c r="G6166" s="5" t="n">
        <v>9418</v>
      </c>
      <c r="H6166" s="5" t="n">
        <v>126</v>
      </c>
      <c r="I6166" s="5" t="n">
        <v>85</v>
      </c>
      <c r="J6166" s="5" t="n">
        <v>38</v>
      </c>
      <c r="K6166" s="10">
        <f>IF(F6166&gt;0,H6166/F6166,"")</f>
        <v/>
      </c>
      <c r="L6166" s="16">
        <f>IF(AND(G6166&gt;0,H6166&gt;0),G6166/H6166,"")</f>
        <v/>
      </c>
    </row>
    <row r="6167">
      <c r="A6167" s="4" t="inlineStr">
        <is>
          <t>320</t>
        </is>
      </c>
      <c r="B6167" s="4" t="n">
        <v>3</v>
      </c>
      <c r="C6167" s="4" t="inlineStr">
        <is>
          <t>mule deer</t>
        </is>
      </c>
      <c r="D6167" s="4" t="n">
        <v>2010</v>
      </c>
      <c r="E6167" s="13" t="inlineStr">
        <is>
          <t>General</t>
        </is>
      </c>
      <c r="F6167" s="5" t="n">
        <v>1650</v>
      </c>
      <c r="G6167" s="5" t="n">
        <v>10451</v>
      </c>
      <c r="H6167" s="5" t="n">
        <v>141</v>
      </c>
      <c r="I6167" s="5" t="n">
        <v>105</v>
      </c>
      <c r="J6167" s="5" t="n">
        <v>35</v>
      </c>
      <c r="K6167" s="10">
        <f>IF(F6167&gt;0,H6167/F6167,"")</f>
        <v/>
      </c>
      <c r="L6167" s="16">
        <f>IF(AND(G6167&gt;0,H6167&gt;0),G6167/H6167,"")</f>
        <v/>
      </c>
    </row>
    <row r="6168">
      <c r="A6168" s="4" t="inlineStr">
        <is>
          <t>320</t>
        </is>
      </c>
      <c r="B6168" s="4" t="n">
        <v>3</v>
      </c>
      <c r="C6168" s="4" t="inlineStr">
        <is>
          <t>mule deer</t>
        </is>
      </c>
      <c r="D6168" s="4" t="n">
        <v>2011</v>
      </c>
      <c r="E6168" s="13" t="inlineStr">
        <is>
          <t>General</t>
        </is>
      </c>
      <c r="F6168" s="5" t="n">
        <v>1503</v>
      </c>
      <c r="G6168" s="5" t="n">
        <v>9374</v>
      </c>
      <c r="H6168" s="5" t="n">
        <v>101</v>
      </c>
      <c r="I6168" s="5" t="n">
        <v>93</v>
      </c>
      <c r="J6168" s="5" t="n">
        <v>8</v>
      </c>
      <c r="K6168" s="10">
        <f>IF(F6168&gt;0,H6168/F6168,"")</f>
        <v/>
      </c>
      <c r="L6168" s="16">
        <f>IF(AND(G6168&gt;0,H6168&gt;0),G6168/H6168,"")</f>
        <v/>
      </c>
    </row>
    <row r="6169">
      <c r="A6169" s="4" t="inlineStr">
        <is>
          <t>320</t>
        </is>
      </c>
      <c r="B6169" s="4" t="n">
        <v>3</v>
      </c>
      <c r="C6169" s="4" t="inlineStr">
        <is>
          <t>mule deer</t>
        </is>
      </c>
      <c r="D6169" s="4" t="n">
        <v>2012</v>
      </c>
      <c r="E6169" s="13" t="inlineStr">
        <is>
          <t>General</t>
        </is>
      </c>
      <c r="F6169" s="5" t="n"/>
      <c r="G6169" s="5" t="n"/>
      <c r="H6169" s="5" t="n">
        <v>117</v>
      </c>
      <c r="I6169" s="5" t="n">
        <v>106</v>
      </c>
      <c r="J6169" s="5" t="n">
        <v>12</v>
      </c>
      <c r="K6169" s="10">
        <f>IF(F6169&gt;0,H6169/F6169,"")</f>
        <v/>
      </c>
      <c r="L6169" s="16">
        <f>IF(AND(G6169&gt;0,H6169&gt;0),G6169/H6169,"")</f>
        <v/>
      </c>
    </row>
    <row r="6170">
      <c r="A6170" s="4" t="inlineStr">
        <is>
          <t>320</t>
        </is>
      </c>
      <c r="B6170" s="4" t="n">
        <v>3</v>
      </c>
      <c r="C6170" s="4" t="inlineStr">
        <is>
          <t>mule deer</t>
        </is>
      </c>
      <c r="D6170" s="4" t="n">
        <v>2013</v>
      </c>
      <c r="E6170" s="13" t="inlineStr">
        <is>
          <t>General</t>
        </is>
      </c>
      <c r="F6170" s="5" t="n">
        <v>1356</v>
      </c>
      <c r="G6170" s="5" t="n">
        <v>8219</v>
      </c>
      <c r="H6170" s="5" t="n">
        <v>136</v>
      </c>
      <c r="I6170" s="5" t="n">
        <v>118</v>
      </c>
      <c r="J6170" s="5" t="n">
        <v>18</v>
      </c>
      <c r="K6170" s="10">
        <f>IF(F6170&gt;0,H6170/F6170,"")</f>
        <v/>
      </c>
      <c r="L6170" s="16">
        <f>IF(AND(G6170&gt;0,H6170&gt;0),G6170/H6170,"")</f>
        <v/>
      </c>
    </row>
    <row r="6171">
      <c r="A6171" s="4" t="inlineStr">
        <is>
          <t>320</t>
        </is>
      </c>
      <c r="B6171" s="4" t="n">
        <v>3</v>
      </c>
      <c r="C6171" s="4" t="inlineStr">
        <is>
          <t>mule deer</t>
        </is>
      </c>
      <c r="D6171" s="4" t="n">
        <v>2014</v>
      </c>
      <c r="E6171" s="13" t="inlineStr">
        <is>
          <t>General</t>
        </is>
      </c>
      <c r="F6171" s="5" t="n"/>
      <c r="G6171" s="5" t="n"/>
      <c r="H6171" s="5" t="n">
        <v>122</v>
      </c>
      <c r="I6171" s="5" t="n">
        <v>122</v>
      </c>
      <c r="J6171" s="5" t="n">
        <v>0</v>
      </c>
      <c r="K6171" s="10">
        <f>IF(F6171&gt;0,H6171/F6171,"")</f>
        <v/>
      </c>
      <c r="L6171" s="16">
        <f>IF(AND(G6171&gt;0,H6171&gt;0),G6171/H6171,"")</f>
        <v/>
      </c>
    </row>
    <row r="6172">
      <c r="A6172" s="4" t="inlineStr">
        <is>
          <t>320</t>
        </is>
      </c>
      <c r="B6172" s="4" t="n">
        <v>3</v>
      </c>
      <c r="C6172" s="4" t="inlineStr">
        <is>
          <t>mule deer</t>
        </is>
      </c>
      <c r="D6172" s="4" t="n">
        <v>2015</v>
      </c>
      <c r="E6172" s="13" t="inlineStr">
        <is>
          <t>General</t>
        </is>
      </c>
      <c r="F6172" s="5" t="n"/>
      <c r="G6172" s="5" t="n"/>
      <c r="H6172" s="5" t="n">
        <v>135</v>
      </c>
      <c r="I6172" s="5" t="n">
        <v>129</v>
      </c>
      <c r="J6172" s="5" t="n">
        <v>6</v>
      </c>
      <c r="K6172" s="10">
        <f>IF(F6172&gt;0,H6172/F6172,"")</f>
        <v/>
      </c>
      <c r="L6172" s="16">
        <f>IF(AND(G6172&gt;0,H6172&gt;0),G6172/H6172,"")</f>
        <v/>
      </c>
    </row>
    <row r="6173">
      <c r="A6173" s="4" t="inlineStr">
        <is>
          <t>320</t>
        </is>
      </c>
      <c r="B6173" s="4" t="n">
        <v>3</v>
      </c>
      <c r="C6173" s="4" t="inlineStr">
        <is>
          <t>mule deer</t>
        </is>
      </c>
      <c r="D6173" s="4" t="n">
        <v>2016</v>
      </c>
      <c r="E6173" s="13" t="inlineStr">
        <is>
          <t>General</t>
        </is>
      </c>
      <c r="F6173" s="5" t="n"/>
      <c r="G6173" s="5" t="n"/>
      <c r="H6173" s="5" t="n">
        <v>283</v>
      </c>
      <c r="I6173" s="5" t="n">
        <v>209</v>
      </c>
      <c r="J6173" s="5" t="n">
        <v>73</v>
      </c>
      <c r="K6173" s="10">
        <f>IF(F6173&gt;0,H6173/F6173,"")</f>
        <v/>
      </c>
      <c r="L6173" s="16">
        <f>IF(AND(G6173&gt;0,H6173&gt;0),G6173/H6173,"")</f>
        <v/>
      </c>
    </row>
    <row r="6174">
      <c r="A6174" s="4" t="inlineStr">
        <is>
          <t>320</t>
        </is>
      </c>
      <c r="B6174" s="4" t="n">
        <v>3</v>
      </c>
      <c r="C6174" s="4" t="inlineStr">
        <is>
          <t>mule deer</t>
        </is>
      </c>
      <c r="D6174" s="4" t="n">
        <v>2017</v>
      </c>
      <c r="E6174" s="13" t="inlineStr">
        <is>
          <t>General</t>
        </is>
      </c>
      <c r="F6174" s="5" t="n">
        <v>1490</v>
      </c>
      <c r="G6174" s="5" t="n">
        <v>8156</v>
      </c>
      <c r="H6174" s="5" t="n">
        <v>269</v>
      </c>
      <c r="I6174" s="5" t="n">
        <v>214</v>
      </c>
      <c r="J6174" s="5" t="n">
        <v>56</v>
      </c>
      <c r="K6174" s="10">
        <f>IF(F6174&gt;0,H6174/F6174,"")</f>
        <v/>
      </c>
      <c r="L6174" s="16">
        <f>IF(AND(G6174&gt;0,H6174&gt;0),G6174/H6174,"")</f>
        <v/>
      </c>
    </row>
    <row r="6175">
      <c r="A6175" s="4" t="inlineStr">
        <is>
          <t>320</t>
        </is>
      </c>
      <c r="B6175" s="4" t="n">
        <v>3</v>
      </c>
      <c r="C6175" s="4" t="inlineStr">
        <is>
          <t>mule deer</t>
        </is>
      </c>
      <c r="D6175" s="4" t="n">
        <v>2018</v>
      </c>
      <c r="E6175" s="13" t="inlineStr">
        <is>
          <t>General</t>
        </is>
      </c>
      <c r="F6175" s="5" t="n"/>
      <c r="G6175" s="5" t="n"/>
      <c r="H6175" s="5" t="n">
        <v>217</v>
      </c>
      <c r="I6175" s="5" t="n">
        <v>158</v>
      </c>
      <c r="J6175" s="5" t="n">
        <v>59</v>
      </c>
      <c r="K6175" s="10">
        <f>IF(F6175&gt;0,H6175/F6175,"")</f>
        <v/>
      </c>
      <c r="L6175" s="16">
        <f>IF(AND(G6175&gt;0,H6175&gt;0),G6175/H6175,"")</f>
        <v/>
      </c>
    </row>
    <row r="6176">
      <c r="A6176" s="4" t="inlineStr">
        <is>
          <t>320</t>
        </is>
      </c>
      <c r="B6176" s="4" t="n">
        <v>3</v>
      </c>
      <c r="C6176" s="4" t="inlineStr">
        <is>
          <t>mule deer</t>
        </is>
      </c>
      <c r="D6176" s="4" t="n">
        <v>2019</v>
      </c>
      <c r="E6176" s="13" t="inlineStr">
        <is>
          <t>General</t>
        </is>
      </c>
      <c r="F6176" s="5" t="n">
        <v>1360</v>
      </c>
      <c r="G6176" s="5" t="n">
        <v>8169</v>
      </c>
      <c r="H6176" s="5" t="n">
        <v>182</v>
      </c>
      <c r="I6176" s="5" t="n">
        <v>139</v>
      </c>
      <c r="J6176" s="5" t="n">
        <v>43</v>
      </c>
      <c r="K6176" s="10">
        <f>IF(F6176&gt;0,H6176/F6176,"")</f>
        <v/>
      </c>
      <c r="L6176" s="16">
        <f>IF(AND(G6176&gt;0,H6176&gt;0),G6176/H6176,"")</f>
        <v/>
      </c>
    </row>
    <row r="6177">
      <c r="A6177" s="4" t="inlineStr">
        <is>
          <t>320</t>
        </is>
      </c>
      <c r="B6177" s="4" t="n">
        <v>3</v>
      </c>
      <c r="C6177" s="4" t="inlineStr">
        <is>
          <t>mule deer</t>
        </is>
      </c>
      <c r="D6177" s="4" t="n">
        <v>2020</v>
      </c>
      <c r="E6177" s="13" t="inlineStr">
        <is>
          <t>General</t>
        </is>
      </c>
      <c r="F6177" s="5" t="n"/>
      <c r="G6177" s="5" t="n"/>
      <c r="H6177" s="5" t="n">
        <v>208</v>
      </c>
      <c r="I6177" s="5" t="n">
        <v>179</v>
      </c>
      <c r="J6177" s="5" t="n">
        <v>30</v>
      </c>
      <c r="K6177" s="10">
        <f>IF(F6177&gt;0,H6177/F6177,"")</f>
        <v/>
      </c>
      <c r="L6177" s="16">
        <f>IF(AND(G6177&gt;0,H6177&gt;0),G6177/H6177,"")</f>
        <v/>
      </c>
    </row>
    <row r="6178">
      <c r="A6178" s="4" t="inlineStr">
        <is>
          <t>320</t>
        </is>
      </c>
      <c r="B6178" s="4" t="n">
        <v>3</v>
      </c>
      <c r="C6178" s="4" t="inlineStr">
        <is>
          <t>mule deer</t>
        </is>
      </c>
      <c r="D6178" s="4" t="n">
        <v>2021</v>
      </c>
      <c r="E6178" s="13" t="inlineStr">
        <is>
          <t>General</t>
        </is>
      </c>
      <c r="F6178" s="5" t="n">
        <v>1490</v>
      </c>
      <c r="G6178" s="5" t="n">
        <v>8870</v>
      </c>
      <c r="H6178" s="5" t="n">
        <v>263</v>
      </c>
      <c r="I6178" s="5" t="n">
        <v>183</v>
      </c>
      <c r="J6178" s="5" t="n">
        <v>80</v>
      </c>
      <c r="K6178" s="10">
        <f>IF(F6178&gt;0,H6178/F6178,"")</f>
        <v/>
      </c>
      <c r="L6178" s="16">
        <f>IF(AND(G6178&gt;0,H6178&gt;0),G6178/H6178,"")</f>
        <v/>
      </c>
    </row>
    <row r="6179">
      <c r="A6179" s="4" t="inlineStr">
        <is>
          <t>320</t>
        </is>
      </c>
      <c r="B6179" s="4" t="n">
        <v>3</v>
      </c>
      <c r="C6179" s="4" t="inlineStr">
        <is>
          <t>mule deer</t>
        </is>
      </c>
      <c r="D6179" s="4" t="n">
        <v>2022</v>
      </c>
      <c r="E6179" s="13" t="inlineStr">
        <is>
          <t>General</t>
        </is>
      </c>
      <c r="F6179" s="5" t="n"/>
      <c r="G6179" s="5" t="n"/>
      <c r="H6179" s="5" t="n">
        <v>434</v>
      </c>
      <c r="I6179" s="5" t="n">
        <v>325</v>
      </c>
      <c r="J6179" s="5" t="n">
        <v>106</v>
      </c>
      <c r="K6179" s="10">
        <f>IF(F6179&gt;0,H6179/F6179,"")</f>
        <v/>
      </c>
      <c r="L6179" s="16">
        <f>IF(AND(G6179&gt;0,H6179&gt;0),G6179/H6179,"")</f>
        <v/>
      </c>
    </row>
    <row r="6180">
      <c r="A6180" s="4" t="inlineStr">
        <is>
          <t>320</t>
        </is>
      </c>
      <c r="B6180" s="4" t="n">
        <v>3</v>
      </c>
      <c r="C6180" s="4" t="inlineStr">
        <is>
          <t>mule deer</t>
        </is>
      </c>
      <c r="D6180" s="4" t="n">
        <v>2023</v>
      </c>
      <c r="E6180" s="13" t="inlineStr">
        <is>
          <t>General</t>
        </is>
      </c>
      <c r="F6180" s="5" t="n">
        <v>2647</v>
      </c>
      <c r="G6180" s="5" t="n">
        <v>17361</v>
      </c>
      <c r="H6180" s="5" t="n">
        <v>393</v>
      </c>
      <c r="I6180" s="5" t="n">
        <v>264</v>
      </c>
      <c r="J6180" s="5" t="n">
        <v>123</v>
      </c>
      <c r="K6180" s="10">
        <f>IF(F6180&gt;0,H6180/F6180,"")</f>
        <v/>
      </c>
      <c r="L6180" s="16">
        <f>IF(AND(G6180&gt;0,H6180&gt;0),G6180/H6180,"")</f>
        <v/>
      </c>
    </row>
    <row r="6181">
      <c r="A6181" s="4" t="inlineStr">
        <is>
          <t>320</t>
        </is>
      </c>
      <c r="B6181" s="4" t="n">
        <v>3</v>
      </c>
      <c r="C6181" s="4" t="inlineStr">
        <is>
          <t>mule deer</t>
        </is>
      </c>
      <c r="D6181" s="4" t="n">
        <v>2024</v>
      </c>
      <c r="E6181" s="13" t="inlineStr">
        <is>
          <t>General</t>
        </is>
      </c>
      <c r="F6181" s="5" t="n"/>
      <c r="G6181" s="5" t="n"/>
      <c r="H6181" s="5" t="n">
        <v>381</v>
      </c>
      <c r="I6181" s="5" t="n">
        <v>303</v>
      </c>
      <c r="J6181" s="5" t="n">
        <v>78</v>
      </c>
      <c r="K6181" s="10">
        <f>IF(F6181&gt;0,H6181/F6181,"")</f>
        <v/>
      </c>
      <c r="L6181" s="16">
        <f>IF(AND(G6181&gt;0,H6181&gt;0),G6181/H6181,"")</f>
        <v/>
      </c>
    </row>
    <row r="6182">
      <c r="A6182" s="4" t="inlineStr">
        <is>
          <t>320</t>
        </is>
      </c>
      <c r="B6182" s="4" t="n">
        <v>3</v>
      </c>
      <c r="C6182" s="4" t="inlineStr">
        <is>
          <t>mule deer</t>
        </is>
      </c>
      <c r="D6182" s="4" t="n">
        <v>2025</v>
      </c>
      <c r="E6182" s="13" t="inlineStr">
        <is>
          <t>General</t>
        </is>
      </c>
      <c r="F6182" s="5" t="n">
        <v>2611</v>
      </c>
      <c r="G6182" s="5" t="n">
        <v>16728</v>
      </c>
      <c r="H6182" s="5" t="n">
        <v>396</v>
      </c>
      <c r="I6182" s="5" t="n">
        <v>308</v>
      </c>
      <c r="J6182" s="5" t="n">
        <v>88</v>
      </c>
      <c r="K6182" s="10">
        <f>IF(F6182&gt;0,H6182/F6182,"")</f>
        <v/>
      </c>
      <c r="L6182" s="16">
        <f>IF(AND(G6182&gt;0,H6182&gt;0),G6182/H6182,"")</f>
        <v/>
      </c>
    </row>
    <row r="6183">
      <c r="A6183" s="4" t="inlineStr">
        <is>
          <t>321</t>
        </is>
      </c>
      <c r="B6183" s="4" t="n">
        <v>3</v>
      </c>
      <c r="C6183" s="4" t="inlineStr">
        <is>
          <t>mule deer</t>
        </is>
      </c>
      <c r="D6183" s="4" t="n">
        <v>2004</v>
      </c>
      <c r="E6183" s="13" t="inlineStr">
        <is>
          <t>General</t>
        </is>
      </c>
      <c r="F6183" s="5" t="n">
        <v>638</v>
      </c>
      <c r="G6183" s="5" t="n">
        <v>3781</v>
      </c>
      <c r="H6183" s="5" t="n">
        <v>67</v>
      </c>
      <c r="I6183" s="5" t="n">
        <v>50</v>
      </c>
      <c r="J6183" s="5" t="n">
        <v>15</v>
      </c>
      <c r="K6183" s="10">
        <f>IF(F6183&gt;0,H6183/F6183,"")</f>
        <v/>
      </c>
      <c r="L6183" s="16">
        <f>IF(AND(G6183&gt;0,H6183&gt;0),G6183/H6183,"")</f>
        <v/>
      </c>
    </row>
    <row r="6184">
      <c r="A6184" s="4" t="inlineStr">
        <is>
          <t>321</t>
        </is>
      </c>
      <c r="B6184" s="4" t="n">
        <v>3</v>
      </c>
      <c r="C6184" s="4" t="inlineStr">
        <is>
          <t>mule deer</t>
        </is>
      </c>
      <c r="D6184" s="4" t="n">
        <v>2005</v>
      </c>
      <c r="E6184" s="13" t="inlineStr">
        <is>
          <t>General</t>
        </is>
      </c>
      <c r="F6184" s="5" t="n">
        <v>537</v>
      </c>
      <c r="G6184" s="5" t="n">
        <v>3746</v>
      </c>
      <c r="H6184" s="5" t="n">
        <v>58</v>
      </c>
      <c r="I6184" s="5" t="n">
        <v>45</v>
      </c>
      <c r="J6184" s="5" t="n">
        <v>13</v>
      </c>
      <c r="K6184" s="10">
        <f>IF(F6184&gt;0,H6184/F6184,"")</f>
        <v/>
      </c>
      <c r="L6184" s="16">
        <f>IF(AND(G6184&gt;0,H6184&gt;0),G6184/H6184,"")</f>
        <v/>
      </c>
    </row>
    <row r="6185">
      <c r="A6185" s="4" t="inlineStr">
        <is>
          <t>321</t>
        </is>
      </c>
      <c r="B6185" s="4" t="n">
        <v>3</v>
      </c>
      <c r="C6185" s="4" t="inlineStr">
        <is>
          <t>mule deer</t>
        </is>
      </c>
      <c r="D6185" s="4" t="n">
        <v>2006</v>
      </c>
      <c r="E6185" s="13" t="inlineStr">
        <is>
          <t>General</t>
        </is>
      </c>
      <c r="F6185" s="5" t="n">
        <v>508</v>
      </c>
      <c r="G6185" s="5" t="n">
        <v>3302</v>
      </c>
      <c r="H6185" s="5" t="n">
        <v>86</v>
      </c>
      <c r="I6185" s="5" t="n">
        <v>71</v>
      </c>
      <c r="J6185" s="5" t="n">
        <v>15</v>
      </c>
      <c r="K6185" s="10">
        <f>IF(F6185&gt;0,H6185/F6185,"")</f>
        <v/>
      </c>
      <c r="L6185" s="16">
        <f>IF(AND(G6185&gt;0,H6185&gt;0),G6185/H6185,"")</f>
        <v/>
      </c>
    </row>
    <row r="6186">
      <c r="A6186" s="4" t="inlineStr">
        <is>
          <t>321</t>
        </is>
      </c>
      <c r="B6186" s="4" t="n">
        <v>3</v>
      </c>
      <c r="C6186" s="4" t="inlineStr">
        <is>
          <t>mule deer</t>
        </is>
      </c>
      <c r="D6186" s="4" t="n">
        <v>2007</v>
      </c>
      <c r="E6186" s="13" t="inlineStr">
        <is>
          <t>General</t>
        </is>
      </c>
      <c r="F6186" s="5" t="n">
        <v>570</v>
      </c>
      <c r="G6186" s="5" t="n">
        <v>3618</v>
      </c>
      <c r="H6186" s="5" t="n">
        <v>45</v>
      </c>
      <c r="I6186" s="5" t="n">
        <v>38</v>
      </c>
      <c r="J6186" s="5" t="n">
        <v>7</v>
      </c>
      <c r="K6186" s="10">
        <f>IF(F6186&gt;0,H6186/F6186,"")</f>
        <v/>
      </c>
      <c r="L6186" s="16">
        <f>IF(AND(G6186&gt;0,H6186&gt;0),G6186/H6186,"")</f>
        <v/>
      </c>
    </row>
    <row r="6187">
      <c r="A6187" s="4" t="inlineStr">
        <is>
          <t>321</t>
        </is>
      </c>
      <c r="B6187" s="4" t="n">
        <v>3</v>
      </c>
      <c r="C6187" s="4" t="inlineStr">
        <is>
          <t>mule deer</t>
        </is>
      </c>
      <c r="D6187" s="4" t="n">
        <v>2008</v>
      </c>
      <c r="E6187" s="13" t="inlineStr">
        <is>
          <t>General</t>
        </is>
      </c>
      <c r="F6187" s="5" t="n">
        <v>602</v>
      </c>
      <c r="G6187" s="5" t="n">
        <v>3438</v>
      </c>
      <c r="H6187" s="5" t="n">
        <v>32</v>
      </c>
      <c r="I6187" s="5" t="n">
        <v>24</v>
      </c>
      <c r="J6187" s="5" t="n">
        <v>8</v>
      </c>
      <c r="K6187" s="10">
        <f>IF(F6187&gt;0,H6187/F6187,"")</f>
        <v/>
      </c>
      <c r="L6187" s="16">
        <f>IF(AND(G6187&gt;0,H6187&gt;0),G6187/H6187,"")</f>
        <v/>
      </c>
    </row>
    <row r="6188">
      <c r="A6188" s="4" t="inlineStr">
        <is>
          <t>321</t>
        </is>
      </c>
      <c r="B6188" s="4" t="n">
        <v>3</v>
      </c>
      <c r="C6188" s="4" t="inlineStr">
        <is>
          <t>mule deer</t>
        </is>
      </c>
      <c r="D6188" s="4" t="n">
        <v>2009</v>
      </c>
      <c r="E6188" s="13" t="inlineStr">
        <is>
          <t>General</t>
        </is>
      </c>
      <c r="F6188" s="5" t="n">
        <v>698</v>
      </c>
      <c r="G6188" s="5" t="n">
        <v>4522</v>
      </c>
      <c r="H6188" s="5" t="n">
        <v>37</v>
      </c>
      <c r="I6188" s="5" t="n">
        <v>32</v>
      </c>
      <c r="J6188" s="5" t="n">
        <v>5</v>
      </c>
      <c r="K6188" s="10">
        <f>IF(F6188&gt;0,H6188/F6188,"")</f>
        <v/>
      </c>
      <c r="L6188" s="16">
        <f>IF(AND(G6188&gt;0,H6188&gt;0),G6188/H6188,"")</f>
        <v/>
      </c>
    </row>
    <row r="6189">
      <c r="A6189" s="4" t="inlineStr">
        <is>
          <t>321</t>
        </is>
      </c>
      <c r="B6189" s="4" t="n">
        <v>3</v>
      </c>
      <c r="C6189" s="4" t="inlineStr">
        <is>
          <t>mule deer</t>
        </is>
      </c>
      <c r="D6189" s="4" t="n">
        <v>2010</v>
      </c>
      <c r="E6189" s="13" t="inlineStr">
        <is>
          <t>General</t>
        </is>
      </c>
      <c r="F6189" s="5" t="n">
        <v>518</v>
      </c>
      <c r="G6189" s="5" t="n">
        <v>3205</v>
      </c>
      <c r="H6189" s="5" t="n">
        <v>28</v>
      </c>
      <c r="I6189" s="5" t="n">
        <v>20</v>
      </c>
      <c r="J6189" s="5" t="n">
        <v>8</v>
      </c>
      <c r="K6189" s="10">
        <f>IF(F6189&gt;0,H6189/F6189,"")</f>
        <v/>
      </c>
      <c r="L6189" s="16">
        <f>IF(AND(G6189&gt;0,H6189&gt;0),G6189/H6189,"")</f>
        <v/>
      </c>
    </row>
    <row r="6190">
      <c r="A6190" s="4" t="inlineStr">
        <is>
          <t>321</t>
        </is>
      </c>
      <c r="B6190" s="4" t="n">
        <v>3</v>
      </c>
      <c r="C6190" s="4" t="inlineStr">
        <is>
          <t>mule deer</t>
        </is>
      </c>
      <c r="D6190" s="4" t="n">
        <v>2011</v>
      </c>
      <c r="E6190" s="13" t="inlineStr">
        <is>
          <t>General</t>
        </is>
      </c>
      <c r="F6190" s="5" t="n">
        <v>609</v>
      </c>
      <c r="G6190" s="5" t="n">
        <v>3715</v>
      </c>
      <c r="H6190" s="5" t="n">
        <v>22</v>
      </c>
      <c r="I6190" s="5" t="n">
        <v>14</v>
      </c>
      <c r="J6190" s="5" t="n">
        <v>8</v>
      </c>
      <c r="K6190" s="10">
        <f>IF(F6190&gt;0,H6190/F6190,"")</f>
        <v/>
      </c>
      <c r="L6190" s="16">
        <f>IF(AND(G6190&gt;0,H6190&gt;0),G6190/H6190,"")</f>
        <v/>
      </c>
    </row>
    <row r="6191">
      <c r="A6191" s="4" t="inlineStr">
        <is>
          <t>321</t>
        </is>
      </c>
      <c r="B6191" s="4" t="n">
        <v>3</v>
      </c>
      <c r="C6191" s="4" t="inlineStr">
        <is>
          <t>mule deer</t>
        </is>
      </c>
      <c r="D6191" s="4" t="n">
        <v>2012</v>
      </c>
      <c r="E6191" s="13" t="inlineStr">
        <is>
          <t>General</t>
        </is>
      </c>
      <c r="F6191" s="5" t="n"/>
      <c r="G6191" s="5" t="n"/>
      <c r="H6191" s="5" t="n">
        <v>28</v>
      </c>
      <c r="I6191" s="5" t="n">
        <v>25</v>
      </c>
      <c r="J6191" s="5" t="n">
        <v>3</v>
      </c>
      <c r="K6191" s="10">
        <f>IF(F6191&gt;0,H6191/F6191,"")</f>
        <v/>
      </c>
      <c r="L6191" s="16">
        <f>IF(AND(G6191&gt;0,H6191&gt;0),G6191/H6191,"")</f>
        <v/>
      </c>
    </row>
    <row r="6192">
      <c r="A6192" s="4" t="inlineStr">
        <is>
          <t>321</t>
        </is>
      </c>
      <c r="B6192" s="4" t="n">
        <v>3</v>
      </c>
      <c r="C6192" s="4" t="inlineStr">
        <is>
          <t>mule deer</t>
        </is>
      </c>
      <c r="D6192" s="4" t="n">
        <v>2013</v>
      </c>
      <c r="E6192" s="13" t="inlineStr">
        <is>
          <t>General</t>
        </is>
      </c>
      <c r="F6192" s="5" t="n">
        <v>491</v>
      </c>
      <c r="G6192" s="5" t="n">
        <v>2828</v>
      </c>
      <c r="H6192" s="5" t="n">
        <v>17</v>
      </c>
      <c r="I6192" s="5" t="n">
        <v>11</v>
      </c>
      <c r="J6192" s="5" t="n">
        <v>6</v>
      </c>
      <c r="K6192" s="10">
        <f>IF(F6192&gt;0,H6192/F6192,"")</f>
        <v/>
      </c>
      <c r="L6192" s="16">
        <f>IF(AND(G6192&gt;0,H6192&gt;0),G6192/H6192,"")</f>
        <v/>
      </c>
    </row>
    <row r="6193">
      <c r="A6193" s="4" t="inlineStr">
        <is>
          <t>321</t>
        </is>
      </c>
      <c r="B6193" s="4" t="n">
        <v>3</v>
      </c>
      <c r="C6193" s="4" t="inlineStr">
        <is>
          <t>mule deer</t>
        </is>
      </c>
      <c r="D6193" s="4" t="n">
        <v>2014</v>
      </c>
      <c r="E6193" s="13" t="inlineStr">
        <is>
          <t>General</t>
        </is>
      </c>
      <c r="F6193" s="5" t="n"/>
      <c r="G6193" s="5" t="n"/>
      <c r="H6193" s="5" t="n">
        <v>23</v>
      </c>
      <c r="I6193" s="5" t="n">
        <v>20</v>
      </c>
      <c r="J6193" s="5" t="n">
        <v>3</v>
      </c>
      <c r="K6193" s="10">
        <f>IF(F6193&gt;0,H6193/F6193,"")</f>
        <v/>
      </c>
      <c r="L6193" s="16">
        <f>IF(AND(G6193&gt;0,H6193&gt;0),G6193/H6193,"")</f>
        <v/>
      </c>
    </row>
    <row r="6194">
      <c r="A6194" s="4" t="inlineStr">
        <is>
          <t>321</t>
        </is>
      </c>
      <c r="B6194" s="4" t="n">
        <v>3</v>
      </c>
      <c r="C6194" s="4" t="inlineStr">
        <is>
          <t>mule deer</t>
        </is>
      </c>
      <c r="D6194" s="4" t="n">
        <v>2015</v>
      </c>
      <c r="E6194" s="13" t="inlineStr">
        <is>
          <t>General</t>
        </is>
      </c>
      <c r="F6194" s="5" t="n"/>
      <c r="G6194" s="5" t="n"/>
      <c r="H6194" s="5" t="n">
        <v>9</v>
      </c>
      <c r="I6194" s="5" t="n">
        <v>6</v>
      </c>
      <c r="J6194" s="5" t="n">
        <v>3</v>
      </c>
      <c r="K6194" s="10">
        <f>IF(F6194&gt;0,H6194/F6194,"")</f>
        <v/>
      </c>
      <c r="L6194" s="16">
        <f>IF(AND(G6194&gt;0,H6194&gt;0),G6194/H6194,"")</f>
        <v/>
      </c>
    </row>
    <row r="6195">
      <c r="A6195" s="4" t="inlineStr">
        <is>
          <t>321</t>
        </is>
      </c>
      <c r="B6195" s="4" t="n">
        <v>3</v>
      </c>
      <c r="C6195" s="4" t="inlineStr">
        <is>
          <t>mule deer</t>
        </is>
      </c>
      <c r="D6195" s="4" t="n">
        <v>2016</v>
      </c>
      <c r="E6195" s="13" t="inlineStr">
        <is>
          <t>General</t>
        </is>
      </c>
      <c r="F6195" s="5" t="n"/>
      <c r="G6195" s="5" t="n"/>
      <c r="H6195" s="5" t="n">
        <v>51</v>
      </c>
      <c r="I6195" s="5" t="n">
        <v>38</v>
      </c>
      <c r="J6195" s="5" t="n">
        <v>9</v>
      </c>
      <c r="K6195" s="10">
        <f>IF(F6195&gt;0,H6195/F6195,"")</f>
        <v/>
      </c>
      <c r="L6195" s="16">
        <f>IF(AND(G6195&gt;0,H6195&gt;0),G6195/H6195,"")</f>
        <v/>
      </c>
    </row>
    <row r="6196">
      <c r="A6196" s="4" t="inlineStr">
        <is>
          <t>321</t>
        </is>
      </c>
      <c r="B6196" s="4" t="n">
        <v>3</v>
      </c>
      <c r="C6196" s="4" t="inlineStr">
        <is>
          <t>mule deer</t>
        </is>
      </c>
      <c r="D6196" s="4" t="n">
        <v>2017</v>
      </c>
      <c r="E6196" s="13" t="inlineStr">
        <is>
          <t>General</t>
        </is>
      </c>
      <c r="F6196" s="5" t="n">
        <v>451</v>
      </c>
      <c r="G6196" s="5" t="n">
        <v>2818</v>
      </c>
      <c r="H6196" s="5" t="n">
        <v>32</v>
      </c>
      <c r="I6196" s="5" t="n">
        <v>15</v>
      </c>
      <c r="J6196" s="5" t="n">
        <v>18</v>
      </c>
      <c r="K6196" s="10">
        <f>IF(F6196&gt;0,H6196/F6196,"")</f>
        <v/>
      </c>
      <c r="L6196" s="16">
        <f>IF(AND(G6196&gt;0,H6196&gt;0),G6196/H6196,"")</f>
        <v/>
      </c>
    </row>
    <row r="6197">
      <c r="A6197" s="4" t="inlineStr">
        <is>
          <t>321</t>
        </is>
      </c>
      <c r="B6197" s="4" t="n">
        <v>3</v>
      </c>
      <c r="C6197" s="4" t="inlineStr">
        <is>
          <t>mule deer</t>
        </is>
      </c>
      <c r="D6197" s="4" t="n">
        <v>2018</v>
      </c>
      <c r="E6197" s="13" t="inlineStr">
        <is>
          <t>General</t>
        </is>
      </c>
      <c r="F6197" s="5" t="n"/>
      <c r="G6197" s="5" t="n"/>
      <c r="H6197" s="5" t="n">
        <v>28</v>
      </c>
      <c r="I6197" s="5" t="n">
        <v>16</v>
      </c>
      <c r="J6197" s="5" t="n">
        <v>13</v>
      </c>
      <c r="K6197" s="10">
        <f>IF(F6197&gt;0,H6197/F6197,"")</f>
        <v/>
      </c>
      <c r="L6197" s="16">
        <f>IF(AND(G6197&gt;0,H6197&gt;0),G6197/H6197,"")</f>
        <v/>
      </c>
    </row>
    <row r="6198">
      <c r="A6198" s="4" t="inlineStr">
        <is>
          <t>321</t>
        </is>
      </c>
      <c r="B6198" s="4" t="n">
        <v>3</v>
      </c>
      <c r="C6198" s="4" t="inlineStr">
        <is>
          <t>mule deer</t>
        </is>
      </c>
      <c r="D6198" s="4" t="n">
        <v>2019</v>
      </c>
      <c r="E6198" s="13" t="inlineStr">
        <is>
          <t>General</t>
        </is>
      </c>
      <c r="F6198" s="5" t="n">
        <v>391</v>
      </c>
      <c r="G6198" s="5" t="n">
        <v>2434</v>
      </c>
      <c r="H6198" s="5" t="n">
        <v>17</v>
      </c>
      <c r="I6198" s="5" t="n">
        <v>10</v>
      </c>
      <c r="J6198" s="5" t="n">
        <v>7</v>
      </c>
      <c r="K6198" s="10">
        <f>IF(F6198&gt;0,H6198/F6198,"")</f>
        <v/>
      </c>
      <c r="L6198" s="16">
        <f>IF(AND(G6198&gt;0,H6198&gt;0),G6198/H6198,"")</f>
        <v/>
      </c>
    </row>
    <row r="6199">
      <c r="A6199" s="4" t="inlineStr">
        <is>
          <t>321</t>
        </is>
      </c>
      <c r="B6199" s="4" t="n">
        <v>3</v>
      </c>
      <c r="C6199" s="4" t="inlineStr">
        <is>
          <t>mule deer</t>
        </is>
      </c>
      <c r="D6199" s="4" t="n">
        <v>2020</v>
      </c>
      <c r="E6199" s="13" t="inlineStr">
        <is>
          <t>General</t>
        </is>
      </c>
      <c r="F6199" s="5" t="n"/>
      <c r="G6199" s="5" t="n"/>
      <c r="H6199" s="5" t="n">
        <v>29</v>
      </c>
      <c r="I6199" s="5" t="n">
        <v>22</v>
      </c>
      <c r="J6199" s="5" t="n">
        <v>7</v>
      </c>
      <c r="K6199" s="10">
        <f>IF(F6199&gt;0,H6199/F6199,"")</f>
        <v/>
      </c>
      <c r="L6199" s="16">
        <f>IF(AND(G6199&gt;0,H6199&gt;0),G6199/H6199,"")</f>
        <v/>
      </c>
    </row>
    <row r="6200">
      <c r="A6200" s="4" t="inlineStr">
        <is>
          <t>321</t>
        </is>
      </c>
      <c r="B6200" s="4" t="n">
        <v>3</v>
      </c>
      <c r="C6200" s="4" t="inlineStr">
        <is>
          <t>mule deer</t>
        </is>
      </c>
      <c r="D6200" s="4" t="n">
        <v>2021</v>
      </c>
      <c r="E6200" s="13" t="inlineStr">
        <is>
          <t>General</t>
        </is>
      </c>
      <c r="F6200" s="5" t="n">
        <v>502</v>
      </c>
      <c r="G6200" s="5" t="n">
        <v>3264</v>
      </c>
      <c r="H6200" s="5" t="n">
        <v>30</v>
      </c>
      <c r="I6200" s="5" t="n">
        <v>19</v>
      </c>
      <c r="J6200" s="5" t="n">
        <v>11</v>
      </c>
      <c r="K6200" s="10">
        <f>IF(F6200&gt;0,H6200/F6200,"")</f>
        <v/>
      </c>
      <c r="L6200" s="16">
        <f>IF(AND(G6200&gt;0,H6200&gt;0),G6200/H6200,"")</f>
        <v/>
      </c>
    </row>
    <row r="6201">
      <c r="A6201" s="4" t="inlineStr">
        <is>
          <t>321</t>
        </is>
      </c>
      <c r="B6201" s="4" t="n">
        <v>3</v>
      </c>
      <c r="C6201" s="4" t="inlineStr">
        <is>
          <t>mule deer</t>
        </is>
      </c>
      <c r="D6201" s="4" t="n">
        <v>2022</v>
      </c>
      <c r="E6201" s="13" t="inlineStr">
        <is>
          <t>General</t>
        </is>
      </c>
      <c r="F6201" s="5" t="n"/>
      <c r="G6201" s="5" t="n"/>
      <c r="H6201" s="5" t="n">
        <v>54</v>
      </c>
      <c r="I6201" s="5" t="n">
        <v>36</v>
      </c>
      <c r="J6201" s="5" t="n">
        <v>19</v>
      </c>
      <c r="K6201" s="10">
        <f>IF(F6201&gt;0,H6201/F6201,"")</f>
        <v/>
      </c>
      <c r="L6201" s="16">
        <f>IF(AND(G6201&gt;0,H6201&gt;0),G6201/H6201,"")</f>
        <v/>
      </c>
    </row>
    <row r="6202">
      <c r="A6202" s="4" t="inlineStr">
        <is>
          <t>321</t>
        </is>
      </c>
      <c r="B6202" s="4" t="n">
        <v>3</v>
      </c>
      <c r="C6202" s="4" t="inlineStr">
        <is>
          <t>mule deer</t>
        </is>
      </c>
      <c r="D6202" s="4" t="n">
        <v>2023</v>
      </c>
      <c r="E6202" s="13" t="inlineStr">
        <is>
          <t>General</t>
        </is>
      </c>
      <c r="F6202" s="5" t="n">
        <v>1005</v>
      </c>
      <c r="G6202" s="5" t="n">
        <v>7465</v>
      </c>
      <c r="H6202" s="5" t="n">
        <v>93</v>
      </c>
      <c r="I6202" s="5" t="n">
        <v>67</v>
      </c>
      <c r="J6202" s="5" t="n">
        <v>27</v>
      </c>
      <c r="K6202" s="10">
        <f>IF(F6202&gt;0,H6202/F6202,"")</f>
        <v/>
      </c>
      <c r="L6202" s="16">
        <f>IF(AND(G6202&gt;0,H6202&gt;0),G6202/H6202,"")</f>
        <v/>
      </c>
    </row>
    <row r="6203">
      <c r="A6203" s="4" t="inlineStr">
        <is>
          <t>321</t>
        </is>
      </c>
      <c r="B6203" s="4" t="n">
        <v>3</v>
      </c>
      <c r="C6203" s="4" t="inlineStr">
        <is>
          <t>mule deer</t>
        </is>
      </c>
      <c r="D6203" s="4" t="n">
        <v>2024</v>
      </c>
      <c r="E6203" s="13" t="inlineStr">
        <is>
          <t>General</t>
        </is>
      </c>
      <c r="F6203" s="5" t="n"/>
      <c r="G6203" s="5" t="n"/>
      <c r="H6203" s="5" t="n">
        <v>65</v>
      </c>
      <c r="I6203" s="5" t="n">
        <v>47</v>
      </c>
      <c r="J6203" s="5" t="n">
        <v>19</v>
      </c>
      <c r="K6203" s="10">
        <f>IF(F6203&gt;0,H6203/F6203,"")</f>
        <v/>
      </c>
      <c r="L6203" s="16">
        <f>IF(AND(G6203&gt;0,H6203&gt;0),G6203/H6203,"")</f>
        <v/>
      </c>
    </row>
    <row r="6204">
      <c r="A6204" s="4" t="inlineStr">
        <is>
          <t>321</t>
        </is>
      </c>
      <c r="B6204" s="4" t="n">
        <v>3</v>
      </c>
      <c r="C6204" s="4" t="inlineStr">
        <is>
          <t>mule deer</t>
        </is>
      </c>
      <c r="D6204" s="4" t="n">
        <v>2025</v>
      </c>
      <c r="E6204" s="13" t="inlineStr">
        <is>
          <t>General</t>
        </is>
      </c>
      <c r="F6204" s="5" t="n">
        <v>1088</v>
      </c>
      <c r="G6204" s="5" t="n">
        <v>7254</v>
      </c>
      <c r="H6204" s="5" t="n">
        <v>85</v>
      </c>
      <c r="I6204" s="5" t="n">
        <v>85</v>
      </c>
      <c r="J6204" s="5" t="n">
        <v>0</v>
      </c>
      <c r="K6204" s="10">
        <f>IF(F6204&gt;0,H6204/F6204,"")</f>
        <v/>
      </c>
      <c r="L6204" s="16">
        <f>IF(AND(G6204&gt;0,H6204&gt;0),G6204/H6204,"")</f>
        <v/>
      </c>
    </row>
    <row r="6205">
      <c r="A6205" s="4" t="inlineStr">
        <is>
          <t>322</t>
        </is>
      </c>
      <c r="B6205" s="4" t="n">
        <v>3</v>
      </c>
      <c r="C6205" s="4" t="inlineStr">
        <is>
          <t>mule deer</t>
        </is>
      </c>
      <c r="D6205" s="4" t="n">
        <v>2004</v>
      </c>
      <c r="E6205" s="13" t="inlineStr">
        <is>
          <t>General</t>
        </is>
      </c>
      <c r="F6205" s="5" t="n">
        <v>1257</v>
      </c>
      <c r="G6205" s="5" t="n">
        <v>5394</v>
      </c>
      <c r="H6205" s="5" t="n">
        <v>144</v>
      </c>
      <c r="I6205" s="5" t="n">
        <v>76</v>
      </c>
      <c r="J6205" s="5" t="n">
        <v>64</v>
      </c>
      <c r="K6205" s="10">
        <f>IF(F6205&gt;0,H6205/F6205,"")</f>
        <v/>
      </c>
      <c r="L6205" s="16">
        <f>IF(AND(G6205&gt;0,H6205&gt;0),G6205/H6205,"")</f>
        <v/>
      </c>
    </row>
    <row r="6206">
      <c r="A6206" s="4" t="inlineStr">
        <is>
          <t>322</t>
        </is>
      </c>
      <c r="B6206" s="4" t="n">
        <v>3</v>
      </c>
      <c r="C6206" s="4" t="inlineStr">
        <is>
          <t>mule deer</t>
        </is>
      </c>
      <c r="D6206" s="4" t="n">
        <v>2005</v>
      </c>
      <c r="E6206" s="13" t="inlineStr">
        <is>
          <t>General</t>
        </is>
      </c>
      <c r="F6206" s="5" t="n">
        <v>1458</v>
      </c>
      <c r="G6206" s="5" t="n">
        <v>6964</v>
      </c>
      <c r="H6206" s="5" t="n">
        <v>351</v>
      </c>
      <c r="I6206" s="5" t="n">
        <v>216</v>
      </c>
      <c r="J6206" s="5" t="n">
        <v>134</v>
      </c>
      <c r="K6206" s="10">
        <f>IF(F6206&gt;0,H6206/F6206,"")</f>
        <v/>
      </c>
      <c r="L6206" s="16">
        <f>IF(AND(G6206&gt;0,H6206&gt;0),G6206/H6206,"")</f>
        <v/>
      </c>
    </row>
    <row r="6207">
      <c r="A6207" s="4" t="inlineStr">
        <is>
          <t>322</t>
        </is>
      </c>
      <c r="B6207" s="4" t="n">
        <v>3</v>
      </c>
      <c r="C6207" s="4" t="inlineStr">
        <is>
          <t>mule deer</t>
        </is>
      </c>
      <c r="D6207" s="4" t="n">
        <v>2006</v>
      </c>
      <c r="E6207" s="13" t="inlineStr">
        <is>
          <t>General</t>
        </is>
      </c>
      <c r="F6207" s="5" t="n">
        <v>1274</v>
      </c>
      <c r="G6207" s="5" t="n">
        <v>6454</v>
      </c>
      <c r="H6207" s="5" t="n">
        <v>336</v>
      </c>
      <c r="I6207" s="5" t="n">
        <v>187</v>
      </c>
      <c r="J6207" s="5" t="n">
        <v>144</v>
      </c>
      <c r="K6207" s="10">
        <f>IF(F6207&gt;0,H6207/F6207,"")</f>
        <v/>
      </c>
      <c r="L6207" s="16">
        <f>IF(AND(G6207&gt;0,H6207&gt;0),G6207/H6207,"")</f>
        <v/>
      </c>
    </row>
    <row r="6208">
      <c r="A6208" s="4" t="inlineStr">
        <is>
          <t>322</t>
        </is>
      </c>
      <c r="B6208" s="4" t="n">
        <v>3</v>
      </c>
      <c r="C6208" s="4" t="inlineStr">
        <is>
          <t>mule deer</t>
        </is>
      </c>
      <c r="D6208" s="4" t="n">
        <v>2007</v>
      </c>
      <c r="E6208" s="13" t="inlineStr">
        <is>
          <t>General</t>
        </is>
      </c>
      <c r="F6208" s="5" t="n">
        <v>1398</v>
      </c>
      <c r="G6208" s="5" t="n">
        <v>7382</v>
      </c>
      <c r="H6208" s="5" t="n">
        <v>332</v>
      </c>
      <c r="I6208" s="5" t="n">
        <v>171</v>
      </c>
      <c r="J6208" s="5" t="n">
        <v>161</v>
      </c>
      <c r="K6208" s="10">
        <f>IF(F6208&gt;0,H6208/F6208,"")</f>
        <v/>
      </c>
      <c r="L6208" s="16">
        <f>IF(AND(G6208&gt;0,H6208&gt;0),G6208/H6208,"")</f>
        <v/>
      </c>
    </row>
    <row r="6209">
      <c r="A6209" s="4" t="inlineStr">
        <is>
          <t>322</t>
        </is>
      </c>
      <c r="B6209" s="4" t="n">
        <v>3</v>
      </c>
      <c r="C6209" s="4" t="inlineStr">
        <is>
          <t>mule deer</t>
        </is>
      </c>
      <c r="D6209" s="4" t="n">
        <v>2008</v>
      </c>
      <c r="E6209" s="13" t="inlineStr">
        <is>
          <t>General</t>
        </is>
      </c>
      <c r="F6209" s="5" t="n">
        <v>1459</v>
      </c>
      <c r="G6209" s="5" t="n">
        <v>7833</v>
      </c>
      <c r="H6209" s="5" t="n">
        <v>206</v>
      </c>
      <c r="I6209" s="5" t="n">
        <v>116</v>
      </c>
      <c r="J6209" s="5" t="n">
        <v>90</v>
      </c>
      <c r="K6209" s="10">
        <f>IF(F6209&gt;0,H6209/F6209,"")</f>
        <v/>
      </c>
      <c r="L6209" s="16">
        <f>IF(AND(G6209&gt;0,H6209&gt;0),G6209/H6209,"")</f>
        <v/>
      </c>
    </row>
    <row r="6210">
      <c r="A6210" s="4" t="inlineStr">
        <is>
          <t>322</t>
        </is>
      </c>
      <c r="B6210" s="4" t="n">
        <v>3</v>
      </c>
      <c r="C6210" s="4" t="inlineStr">
        <is>
          <t>mule deer</t>
        </is>
      </c>
      <c r="D6210" s="4" t="n">
        <v>2009</v>
      </c>
      <c r="E6210" s="13" t="inlineStr">
        <is>
          <t>General</t>
        </is>
      </c>
      <c r="F6210" s="5" t="n">
        <v>1526</v>
      </c>
      <c r="G6210" s="5" t="n">
        <v>7840</v>
      </c>
      <c r="H6210" s="5" t="n">
        <v>223</v>
      </c>
      <c r="I6210" s="5" t="n">
        <v>115</v>
      </c>
      <c r="J6210" s="5" t="n">
        <v>99</v>
      </c>
      <c r="K6210" s="10">
        <f>IF(F6210&gt;0,H6210/F6210,"")</f>
        <v/>
      </c>
      <c r="L6210" s="16">
        <f>IF(AND(G6210&gt;0,H6210&gt;0),G6210/H6210,"")</f>
        <v/>
      </c>
    </row>
    <row r="6211">
      <c r="A6211" s="4" t="inlineStr">
        <is>
          <t>322</t>
        </is>
      </c>
      <c r="B6211" s="4" t="n">
        <v>3</v>
      </c>
      <c r="C6211" s="4" t="inlineStr">
        <is>
          <t>mule deer</t>
        </is>
      </c>
      <c r="D6211" s="4" t="n">
        <v>2010</v>
      </c>
      <c r="E6211" s="13" t="inlineStr">
        <is>
          <t>General</t>
        </is>
      </c>
      <c r="F6211" s="5" t="n">
        <v>1495</v>
      </c>
      <c r="G6211" s="5" t="n">
        <v>7852</v>
      </c>
      <c r="H6211" s="5" t="n">
        <v>110</v>
      </c>
      <c r="I6211" s="5" t="n">
        <v>87</v>
      </c>
      <c r="J6211" s="5" t="n">
        <v>24</v>
      </c>
      <c r="K6211" s="10">
        <f>IF(F6211&gt;0,H6211/F6211,"")</f>
        <v/>
      </c>
      <c r="L6211" s="16">
        <f>IF(AND(G6211&gt;0,H6211&gt;0),G6211/H6211,"")</f>
        <v/>
      </c>
    </row>
    <row r="6212">
      <c r="A6212" s="4" t="inlineStr">
        <is>
          <t>322</t>
        </is>
      </c>
      <c r="B6212" s="4" t="n">
        <v>3</v>
      </c>
      <c r="C6212" s="4" t="inlineStr">
        <is>
          <t>mule deer</t>
        </is>
      </c>
      <c r="D6212" s="4" t="n">
        <v>2011</v>
      </c>
      <c r="E6212" s="13" t="inlineStr">
        <is>
          <t>General</t>
        </is>
      </c>
      <c r="F6212" s="5" t="n">
        <v>1489</v>
      </c>
      <c r="G6212" s="5" t="n">
        <v>6822</v>
      </c>
      <c r="H6212" s="5" t="n">
        <v>131</v>
      </c>
      <c r="I6212" s="5" t="n">
        <v>91</v>
      </c>
      <c r="J6212" s="5" t="n">
        <v>40</v>
      </c>
      <c r="K6212" s="10">
        <f>IF(F6212&gt;0,H6212/F6212,"")</f>
        <v/>
      </c>
      <c r="L6212" s="16">
        <f>IF(AND(G6212&gt;0,H6212&gt;0),G6212/H6212,"")</f>
        <v/>
      </c>
    </row>
    <row r="6213">
      <c r="A6213" s="4" t="inlineStr">
        <is>
          <t>322</t>
        </is>
      </c>
      <c r="B6213" s="4" t="n">
        <v>3</v>
      </c>
      <c r="C6213" s="4" t="inlineStr">
        <is>
          <t>mule deer</t>
        </is>
      </c>
      <c r="D6213" s="4" t="n">
        <v>2012</v>
      </c>
      <c r="E6213" s="13" t="inlineStr">
        <is>
          <t>General</t>
        </is>
      </c>
      <c r="F6213" s="5" t="n"/>
      <c r="G6213" s="5" t="n"/>
      <c r="H6213" s="5" t="n">
        <v>148</v>
      </c>
      <c r="I6213" s="5" t="n">
        <v>136</v>
      </c>
      <c r="J6213" s="5" t="n">
        <v>13</v>
      </c>
      <c r="K6213" s="10">
        <f>IF(F6213&gt;0,H6213/F6213,"")</f>
        <v/>
      </c>
      <c r="L6213" s="16">
        <f>IF(AND(G6213&gt;0,H6213&gt;0),G6213/H6213,"")</f>
        <v/>
      </c>
    </row>
    <row r="6214">
      <c r="A6214" s="4" t="inlineStr">
        <is>
          <t>322</t>
        </is>
      </c>
      <c r="B6214" s="4" t="n">
        <v>3</v>
      </c>
      <c r="C6214" s="4" t="inlineStr">
        <is>
          <t>mule deer</t>
        </is>
      </c>
      <c r="D6214" s="4" t="n">
        <v>2013</v>
      </c>
      <c r="E6214" s="13" t="inlineStr">
        <is>
          <t>General</t>
        </is>
      </c>
      <c r="F6214" s="5" t="n">
        <v>1458</v>
      </c>
      <c r="G6214" s="5" t="n">
        <v>7462</v>
      </c>
      <c r="H6214" s="5" t="n">
        <v>184</v>
      </c>
      <c r="I6214" s="5" t="n">
        <v>165</v>
      </c>
      <c r="J6214" s="5" t="n">
        <v>19</v>
      </c>
      <c r="K6214" s="10">
        <f>IF(F6214&gt;0,H6214/F6214,"")</f>
        <v/>
      </c>
      <c r="L6214" s="16">
        <f>IF(AND(G6214&gt;0,H6214&gt;0),G6214/H6214,"")</f>
        <v/>
      </c>
    </row>
    <row r="6215">
      <c r="A6215" s="4" t="inlineStr">
        <is>
          <t>322</t>
        </is>
      </c>
      <c r="B6215" s="4" t="n">
        <v>3</v>
      </c>
      <c r="C6215" s="4" t="inlineStr">
        <is>
          <t>mule deer</t>
        </is>
      </c>
      <c r="D6215" s="4" t="n">
        <v>2014</v>
      </c>
      <c r="E6215" s="13" t="inlineStr">
        <is>
          <t>General</t>
        </is>
      </c>
      <c r="F6215" s="5" t="n"/>
      <c r="G6215" s="5" t="n"/>
      <c r="H6215" s="5" t="n">
        <v>169</v>
      </c>
      <c r="I6215" s="5" t="n">
        <v>154</v>
      </c>
      <c r="J6215" s="5" t="n">
        <v>15</v>
      </c>
      <c r="K6215" s="10">
        <f>IF(F6215&gt;0,H6215/F6215,"")</f>
        <v/>
      </c>
      <c r="L6215" s="16">
        <f>IF(AND(G6215&gt;0,H6215&gt;0),G6215/H6215,"")</f>
        <v/>
      </c>
    </row>
    <row r="6216">
      <c r="A6216" s="4" t="inlineStr">
        <is>
          <t>322</t>
        </is>
      </c>
      <c r="B6216" s="4" t="n">
        <v>3</v>
      </c>
      <c r="C6216" s="4" t="inlineStr">
        <is>
          <t>mule deer</t>
        </is>
      </c>
      <c r="D6216" s="4" t="n">
        <v>2015</v>
      </c>
      <c r="E6216" s="13" t="inlineStr">
        <is>
          <t>General</t>
        </is>
      </c>
      <c r="F6216" s="5" t="n"/>
      <c r="G6216" s="5" t="n"/>
      <c r="H6216" s="5" t="n">
        <v>163</v>
      </c>
      <c r="I6216" s="5" t="n">
        <v>155</v>
      </c>
      <c r="J6216" s="5" t="n">
        <v>8</v>
      </c>
      <c r="K6216" s="10">
        <f>IF(F6216&gt;0,H6216/F6216,"")</f>
        <v/>
      </c>
      <c r="L6216" s="16">
        <f>IF(AND(G6216&gt;0,H6216&gt;0),G6216/H6216,"")</f>
        <v/>
      </c>
    </row>
    <row r="6217">
      <c r="A6217" s="4" t="inlineStr">
        <is>
          <t>322</t>
        </is>
      </c>
      <c r="B6217" s="4" t="n">
        <v>3</v>
      </c>
      <c r="C6217" s="4" t="inlineStr">
        <is>
          <t>mule deer</t>
        </is>
      </c>
      <c r="D6217" s="4" t="n">
        <v>2016</v>
      </c>
      <c r="E6217" s="13" t="inlineStr">
        <is>
          <t>General</t>
        </is>
      </c>
      <c r="F6217" s="5" t="n"/>
      <c r="G6217" s="5" t="n"/>
      <c r="H6217" s="5" t="n">
        <v>268</v>
      </c>
      <c r="I6217" s="5" t="n">
        <v>184</v>
      </c>
      <c r="J6217" s="5" t="n">
        <v>84</v>
      </c>
      <c r="K6217" s="10">
        <f>IF(F6217&gt;0,H6217/F6217,"")</f>
        <v/>
      </c>
      <c r="L6217" s="16">
        <f>IF(AND(G6217&gt;0,H6217&gt;0),G6217/H6217,"")</f>
        <v/>
      </c>
    </row>
    <row r="6218">
      <c r="A6218" s="4" t="inlineStr">
        <is>
          <t>322</t>
        </is>
      </c>
      <c r="B6218" s="4" t="n">
        <v>3</v>
      </c>
      <c r="C6218" s="4" t="inlineStr">
        <is>
          <t>mule deer</t>
        </is>
      </c>
      <c r="D6218" s="4" t="n">
        <v>2017</v>
      </c>
      <c r="E6218" s="13" t="inlineStr">
        <is>
          <t>General</t>
        </is>
      </c>
      <c r="F6218" s="5" t="n">
        <v>1303</v>
      </c>
      <c r="G6218" s="5" t="n">
        <v>6749</v>
      </c>
      <c r="H6218" s="5" t="n">
        <v>230</v>
      </c>
      <c r="I6218" s="5" t="n">
        <v>172</v>
      </c>
      <c r="J6218" s="5" t="n">
        <v>58</v>
      </c>
      <c r="K6218" s="10">
        <f>IF(F6218&gt;0,H6218/F6218,"")</f>
        <v/>
      </c>
      <c r="L6218" s="16">
        <f>IF(AND(G6218&gt;0,H6218&gt;0),G6218/H6218,"")</f>
        <v/>
      </c>
    </row>
    <row r="6219">
      <c r="A6219" s="4" t="inlineStr">
        <is>
          <t>322</t>
        </is>
      </c>
      <c r="B6219" s="4" t="n">
        <v>3</v>
      </c>
      <c r="C6219" s="4" t="inlineStr">
        <is>
          <t>mule deer</t>
        </is>
      </c>
      <c r="D6219" s="4" t="n">
        <v>2018</v>
      </c>
      <c r="E6219" s="13" t="inlineStr">
        <is>
          <t>General</t>
        </is>
      </c>
      <c r="F6219" s="5" t="n"/>
      <c r="G6219" s="5" t="n"/>
      <c r="H6219" s="5" t="n">
        <v>323</v>
      </c>
      <c r="I6219" s="5" t="n">
        <v>216</v>
      </c>
      <c r="J6219" s="5" t="n">
        <v>102</v>
      </c>
      <c r="K6219" s="10">
        <f>IF(F6219&gt;0,H6219/F6219,"")</f>
        <v/>
      </c>
      <c r="L6219" s="16">
        <f>IF(AND(G6219&gt;0,H6219&gt;0),G6219/H6219,"")</f>
        <v/>
      </c>
    </row>
    <row r="6220">
      <c r="A6220" s="4" t="inlineStr">
        <is>
          <t>322</t>
        </is>
      </c>
      <c r="B6220" s="4" t="n">
        <v>3</v>
      </c>
      <c r="C6220" s="4" t="inlineStr">
        <is>
          <t>mule deer</t>
        </is>
      </c>
      <c r="D6220" s="4" t="n">
        <v>2019</v>
      </c>
      <c r="E6220" s="13" t="inlineStr">
        <is>
          <t>General</t>
        </is>
      </c>
      <c r="F6220" s="5" t="n">
        <v>1322</v>
      </c>
      <c r="G6220" s="5" t="n">
        <v>5831</v>
      </c>
      <c r="H6220" s="5" t="n">
        <v>221</v>
      </c>
      <c r="I6220" s="5" t="n">
        <v>152</v>
      </c>
      <c r="J6220" s="5" t="n">
        <v>65</v>
      </c>
      <c r="K6220" s="10">
        <f>IF(F6220&gt;0,H6220/F6220,"")</f>
        <v/>
      </c>
      <c r="L6220" s="16">
        <f>IF(AND(G6220&gt;0,H6220&gt;0),G6220/H6220,"")</f>
        <v/>
      </c>
    </row>
    <row r="6221">
      <c r="A6221" s="4" t="inlineStr">
        <is>
          <t>322</t>
        </is>
      </c>
      <c r="B6221" s="4" t="n">
        <v>3</v>
      </c>
      <c r="C6221" s="4" t="inlineStr">
        <is>
          <t>mule deer</t>
        </is>
      </c>
      <c r="D6221" s="4" t="n">
        <v>2020</v>
      </c>
      <c r="E6221" s="13" t="inlineStr">
        <is>
          <t>General</t>
        </is>
      </c>
      <c r="F6221" s="5" t="n"/>
      <c r="G6221" s="5" t="n"/>
      <c r="H6221" s="5" t="n">
        <v>220</v>
      </c>
      <c r="I6221" s="5" t="n">
        <v>151</v>
      </c>
      <c r="J6221" s="5" t="n">
        <v>69</v>
      </c>
      <c r="K6221" s="10">
        <f>IF(F6221&gt;0,H6221/F6221,"")</f>
        <v/>
      </c>
      <c r="L6221" s="16">
        <f>IF(AND(G6221&gt;0,H6221&gt;0),G6221/H6221,"")</f>
        <v/>
      </c>
    </row>
    <row r="6222">
      <c r="A6222" s="4" t="inlineStr">
        <is>
          <t>322</t>
        </is>
      </c>
      <c r="B6222" s="4" t="n">
        <v>3</v>
      </c>
      <c r="C6222" s="4" t="inlineStr">
        <is>
          <t>mule deer</t>
        </is>
      </c>
      <c r="D6222" s="4" t="n">
        <v>2021</v>
      </c>
      <c r="E6222" s="13" t="inlineStr">
        <is>
          <t>General</t>
        </is>
      </c>
      <c r="F6222" s="5" t="n">
        <v>1354</v>
      </c>
      <c r="G6222" s="5" t="n">
        <v>6729</v>
      </c>
      <c r="H6222" s="5" t="n">
        <v>239</v>
      </c>
      <c r="I6222" s="5" t="n">
        <v>184</v>
      </c>
      <c r="J6222" s="5" t="n">
        <v>56</v>
      </c>
      <c r="K6222" s="10">
        <f>IF(F6222&gt;0,H6222/F6222,"")</f>
        <v/>
      </c>
      <c r="L6222" s="16">
        <f>IF(AND(G6222&gt;0,H6222&gt;0),G6222/H6222,"")</f>
        <v/>
      </c>
    </row>
    <row r="6223">
      <c r="A6223" s="4" t="inlineStr">
        <is>
          <t>322</t>
        </is>
      </c>
      <c r="B6223" s="4" t="n">
        <v>3</v>
      </c>
      <c r="C6223" s="4" t="inlineStr">
        <is>
          <t>mule deer</t>
        </is>
      </c>
      <c r="D6223" s="4" t="n">
        <v>2022</v>
      </c>
      <c r="E6223" s="13" t="inlineStr">
        <is>
          <t>General</t>
        </is>
      </c>
      <c r="F6223" s="5" t="n"/>
      <c r="G6223" s="5" t="n"/>
      <c r="H6223" s="5" t="n">
        <v>1304</v>
      </c>
      <c r="I6223" s="5" t="n">
        <v>996</v>
      </c>
      <c r="J6223" s="5" t="n">
        <v>299</v>
      </c>
      <c r="K6223" s="10">
        <f>IF(F6223&gt;0,H6223/F6223,"")</f>
        <v/>
      </c>
      <c r="L6223" s="16">
        <f>IF(AND(G6223&gt;0,H6223&gt;0),G6223/H6223,"")</f>
        <v/>
      </c>
    </row>
    <row r="6224">
      <c r="A6224" s="4" t="inlineStr">
        <is>
          <t>322</t>
        </is>
      </c>
      <c r="B6224" s="4" t="n">
        <v>3</v>
      </c>
      <c r="C6224" s="4" t="inlineStr">
        <is>
          <t>mule deer</t>
        </is>
      </c>
      <c r="D6224" s="4" t="n">
        <v>2023</v>
      </c>
      <c r="E6224" s="13" t="inlineStr">
        <is>
          <t>General</t>
        </is>
      </c>
      <c r="F6224" s="5" t="n">
        <v>6176</v>
      </c>
      <c r="G6224" s="5" t="n">
        <v>42243</v>
      </c>
      <c r="H6224" s="5" t="n">
        <v>1248</v>
      </c>
      <c r="I6224" s="5" t="n">
        <v>854</v>
      </c>
      <c r="J6224" s="5" t="n">
        <v>380</v>
      </c>
      <c r="K6224" s="10">
        <f>IF(F6224&gt;0,H6224/F6224,"")</f>
        <v/>
      </c>
      <c r="L6224" s="16">
        <f>IF(AND(G6224&gt;0,H6224&gt;0),G6224/H6224,"")</f>
        <v/>
      </c>
    </row>
    <row r="6225">
      <c r="A6225" s="4" t="inlineStr">
        <is>
          <t>322</t>
        </is>
      </c>
      <c r="B6225" s="4" t="n">
        <v>3</v>
      </c>
      <c r="C6225" s="4" t="inlineStr">
        <is>
          <t>mule deer</t>
        </is>
      </c>
      <c r="D6225" s="4" t="n">
        <v>2024</v>
      </c>
      <c r="E6225" s="13" t="inlineStr">
        <is>
          <t>General</t>
        </is>
      </c>
      <c r="F6225" s="5" t="n"/>
      <c r="G6225" s="5" t="n"/>
      <c r="H6225" s="5" t="n">
        <v>338</v>
      </c>
      <c r="I6225" s="5" t="n">
        <v>223</v>
      </c>
      <c r="J6225" s="5" t="n">
        <v>112</v>
      </c>
      <c r="K6225" s="10">
        <f>IF(F6225&gt;0,H6225/F6225,"")</f>
        <v/>
      </c>
      <c r="L6225" s="16">
        <f>IF(AND(G6225&gt;0,H6225&gt;0),G6225/H6225,"")</f>
        <v/>
      </c>
    </row>
    <row r="6226">
      <c r="A6226" s="4" t="inlineStr">
        <is>
          <t>322</t>
        </is>
      </c>
      <c r="B6226" s="4" t="n">
        <v>3</v>
      </c>
      <c r="C6226" s="4" t="inlineStr">
        <is>
          <t>mule deer</t>
        </is>
      </c>
      <c r="D6226" s="4" t="n">
        <v>2025</v>
      </c>
      <c r="E6226" s="13" t="inlineStr">
        <is>
          <t>General</t>
        </is>
      </c>
      <c r="F6226" s="5" t="n">
        <v>1599</v>
      </c>
      <c r="G6226" s="5" t="n">
        <v>10598</v>
      </c>
      <c r="H6226" s="5" t="n">
        <v>261</v>
      </c>
      <c r="I6226" s="5" t="n">
        <v>190</v>
      </c>
      <c r="J6226" s="5" t="n">
        <v>71</v>
      </c>
      <c r="K6226" s="10">
        <f>IF(F6226&gt;0,H6226/F6226,"")</f>
        <v/>
      </c>
      <c r="L6226" s="16">
        <f>IF(AND(G6226&gt;0,H6226&gt;0),G6226/H6226,"")</f>
        <v/>
      </c>
    </row>
    <row r="6227">
      <c r="A6227" s="4" t="inlineStr">
        <is>
          <t>323</t>
        </is>
      </c>
      <c r="B6227" s="4" t="n">
        <v>3</v>
      </c>
      <c r="C6227" s="4" t="inlineStr">
        <is>
          <t>mule deer</t>
        </is>
      </c>
      <c r="D6227" s="4" t="n">
        <v>2004</v>
      </c>
      <c r="E6227" s="13" t="inlineStr">
        <is>
          <t>General</t>
        </is>
      </c>
      <c r="F6227" s="5" t="n">
        <v>431</v>
      </c>
      <c r="G6227" s="5" t="n">
        <v>2243</v>
      </c>
      <c r="H6227" s="5" t="n">
        <v>73</v>
      </c>
      <c r="I6227" s="5" t="n">
        <v>40</v>
      </c>
      <c r="J6227" s="5" t="n">
        <v>34</v>
      </c>
      <c r="K6227" s="10">
        <f>IF(F6227&gt;0,H6227/F6227,"")</f>
        <v/>
      </c>
      <c r="L6227" s="16">
        <f>IF(AND(G6227&gt;0,H6227&gt;0),G6227/H6227,"")</f>
        <v/>
      </c>
    </row>
    <row r="6228">
      <c r="A6228" s="4" t="inlineStr">
        <is>
          <t>323</t>
        </is>
      </c>
      <c r="B6228" s="4" t="n">
        <v>3</v>
      </c>
      <c r="C6228" s="4" t="inlineStr">
        <is>
          <t>mule deer</t>
        </is>
      </c>
      <c r="D6228" s="4" t="n">
        <v>2005</v>
      </c>
      <c r="E6228" s="13" t="inlineStr">
        <is>
          <t>General</t>
        </is>
      </c>
      <c r="F6228" s="5" t="n">
        <v>326</v>
      </c>
      <c r="G6228" s="5" t="n">
        <v>1848</v>
      </c>
      <c r="H6228" s="5" t="n">
        <v>60</v>
      </c>
      <c r="I6228" s="5" t="n">
        <v>42</v>
      </c>
      <c r="J6228" s="5" t="n">
        <v>18</v>
      </c>
      <c r="K6228" s="10">
        <f>IF(F6228&gt;0,H6228/F6228,"")</f>
        <v/>
      </c>
      <c r="L6228" s="16">
        <f>IF(AND(G6228&gt;0,H6228&gt;0),G6228/H6228,"")</f>
        <v/>
      </c>
    </row>
    <row r="6229">
      <c r="A6229" s="4" t="inlineStr">
        <is>
          <t>323</t>
        </is>
      </c>
      <c r="B6229" s="4" t="n">
        <v>3</v>
      </c>
      <c r="C6229" s="4" t="inlineStr">
        <is>
          <t>mule deer</t>
        </is>
      </c>
      <c r="D6229" s="4" t="n">
        <v>2006</v>
      </c>
      <c r="E6229" s="13" t="inlineStr">
        <is>
          <t>General</t>
        </is>
      </c>
      <c r="F6229" s="5" t="n">
        <v>354</v>
      </c>
      <c r="G6229" s="5" t="n">
        <v>2022</v>
      </c>
      <c r="H6229" s="5" t="n">
        <v>57</v>
      </c>
      <c r="I6229" s="5" t="n">
        <v>39</v>
      </c>
      <c r="J6229" s="5" t="n">
        <v>18</v>
      </c>
      <c r="K6229" s="10">
        <f>IF(F6229&gt;0,H6229/F6229,"")</f>
        <v/>
      </c>
      <c r="L6229" s="16">
        <f>IF(AND(G6229&gt;0,H6229&gt;0),G6229/H6229,"")</f>
        <v/>
      </c>
    </row>
    <row r="6230">
      <c r="A6230" s="4" t="inlineStr">
        <is>
          <t>323</t>
        </is>
      </c>
      <c r="B6230" s="4" t="n">
        <v>3</v>
      </c>
      <c r="C6230" s="4" t="inlineStr">
        <is>
          <t>mule deer</t>
        </is>
      </c>
      <c r="D6230" s="4" t="n">
        <v>2007</v>
      </c>
      <c r="E6230" s="13" t="inlineStr">
        <is>
          <t>General</t>
        </is>
      </c>
      <c r="F6230" s="5" t="n">
        <v>342</v>
      </c>
      <c r="G6230" s="5" t="n">
        <v>1980</v>
      </c>
      <c r="H6230" s="5" t="n">
        <v>46</v>
      </c>
      <c r="I6230" s="5" t="n">
        <v>31</v>
      </c>
      <c r="J6230" s="5" t="n">
        <v>15</v>
      </c>
      <c r="K6230" s="10">
        <f>IF(F6230&gt;0,H6230/F6230,"")</f>
        <v/>
      </c>
      <c r="L6230" s="16">
        <f>IF(AND(G6230&gt;0,H6230&gt;0),G6230/H6230,"")</f>
        <v/>
      </c>
    </row>
    <row r="6231">
      <c r="A6231" s="4" t="inlineStr">
        <is>
          <t>323</t>
        </is>
      </c>
      <c r="B6231" s="4" t="n">
        <v>3</v>
      </c>
      <c r="C6231" s="4" t="inlineStr">
        <is>
          <t>mule deer</t>
        </is>
      </c>
      <c r="D6231" s="4" t="n">
        <v>2008</v>
      </c>
      <c r="E6231" s="13" t="inlineStr">
        <is>
          <t>General</t>
        </is>
      </c>
      <c r="F6231" s="5" t="n">
        <v>433</v>
      </c>
      <c r="G6231" s="5" t="n">
        <v>2685</v>
      </c>
      <c r="H6231" s="5" t="n">
        <v>31</v>
      </c>
      <c r="I6231" s="5" t="n">
        <v>20</v>
      </c>
      <c r="J6231" s="5" t="n">
        <v>11</v>
      </c>
      <c r="K6231" s="10">
        <f>IF(F6231&gt;0,H6231/F6231,"")</f>
        <v/>
      </c>
      <c r="L6231" s="16">
        <f>IF(AND(G6231&gt;0,H6231&gt;0),G6231/H6231,"")</f>
        <v/>
      </c>
    </row>
    <row r="6232">
      <c r="A6232" s="4" t="inlineStr">
        <is>
          <t>323</t>
        </is>
      </c>
      <c r="B6232" s="4" t="n">
        <v>3</v>
      </c>
      <c r="C6232" s="4" t="inlineStr">
        <is>
          <t>mule deer</t>
        </is>
      </c>
      <c r="D6232" s="4" t="n">
        <v>2009</v>
      </c>
      <c r="E6232" s="13" t="inlineStr">
        <is>
          <t>General</t>
        </is>
      </c>
      <c r="F6232" s="5" t="n">
        <v>445</v>
      </c>
      <c r="G6232" s="5" t="n">
        <v>2921</v>
      </c>
      <c r="H6232" s="5" t="n">
        <v>37</v>
      </c>
      <c r="I6232" s="5" t="n">
        <v>23</v>
      </c>
      <c r="J6232" s="5" t="n">
        <v>14</v>
      </c>
      <c r="K6232" s="10">
        <f>IF(F6232&gt;0,H6232/F6232,"")</f>
        <v/>
      </c>
      <c r="L6232" s="16">
        <f>IF(AND(G6232&gt;0,H6232&gt;0),G6232/H6232,"")</f>
        <v/>
      </c>
    </row>
    <row r="6233">
      <c r="A6233" s="4" t="inlineStr">
        <is>
          <t>323</t>
        </is>
      </c>
      <c r="B6233" s="4" t="n">
        <v>3</v>
      </c>
      <c r="C6233" s="4" t="inlineStr">
        <is>
          <t>mule deer</t>
        </is>
      </c>
      <c r="D6233" s="4" t="n">
        <v>2010</v>
      </c>
      <c r="E6233" s="13" t="inlineStr">
        <is>
          <t>General</t>
        </is>
      </c>
      <c r="F6233" s="5" t="n">
        <v>337</v>
      </c>
      <c r="G6233" s="5" t="n">
        <v>1857</v>
      </c>
      <c r="H6233" s="5" t="n">
        <v>19</v>
      </c>
      <c r="I6233" s="5" t="n">
        <v>19</v>
      </c>
      <c r="J6233" s="5" t="n">
        <v>0</v>
      </c>
      <c r="K6233" s="10">
        <f>IF(F6233&gt;0,H6233/F6233,"")</f>
        <v/>
      </c>
      <c r="L6233" s="16">
        <f>IF(AND(G6233&gt;0,H6233&gt;0),G6233/H6233,"")</f>
        <v/>
      </c>
    </row>
    <row r="6234">
      <c r="A6234" s="4" t="inlineStr">
        <is>
          <t>323</t>
        </is>
      </c>
      <c r="B6234" s="4" t="n">
        <v>3</v>
      </c>
      <c r="C6234" s="4" t="inlineStr">
        <is>
          <t>mule deer</t>
        </is>
      </c>
      <c r="D6234" s="4" t="n">
        <v>2011</v>
      </c>
      <c r="E6234" s="13" t="inlineStr">
        <is>
          <t>General</t>
        </is>
      </c>
      <c r="F6234" s="5" t="n">
        <v>424</v>
      </c>
      <c r="G6234" s="5" t="n">
        <v>2365</v>
      </c>
      <c r="H6234" s="5" t="n">
        <v>20</v>
      </c>
      <c r="I6234" s="5" t="n">
        <v>14</v>
      </c>
      <c r="J6234" s="5" t="n">
        <v>6</v>
      </c>
      <c r="K6234" s="10">
        <f>IF(F6234&gt;0,H6234/F6234,"")</f>
        <v/>
      </c>
      <c r="L6234" s="16">
        <f>IF(AND(G6234&gt;0,H6234&gt;0),G6234/H6234,"")</f>
        <v/>
      </c>
    </row>
    <row r="6235">
      <c r="A6235" s="4" t="inlineStr">
        <is>
          <t>323</t>
        </is>
      </c>
      <c r="B6235" s="4" t="n">
        <v>3</v>
      </c>
      <c r="C6235" s="4" t="inlineStr">
        <is>
          <t>mule deer</t>
        </is>
      </c>
      <c r="D6235" s="4" t="n">
        <v>2012</v>
      </c>
      <c r="E6235" s="13" t="inlineStr">
        <is>
          <t>General</t>
        </is>
      </c>
      <c r="F6235" s="5" t="n"/>
      <c r="G6235" s="5" t="n"/>
      <c r="H6235" s="5" t="n">
        <v>47</v>
      </c>
      <c r="I6235" s="5" t="n">
        <v>47</v>
      </c>
      <c r="J6235" s="5" t="n">
        <v>0</v>
      </c>
      <c r="K6235" s="10">
        <f>IF(F6235&gt;0,H6235/F6235,"")</f>
        <v/>
      </c>
      <c r="L6235" s="16">
        <f>IF(AND(G6235&gt;0,H6235&gt;0),G6235/H6235,"")</f>
        <v/>
      </c>
    </row>
    <row r="6236">
      <c r="A6236" s="4" t="inlineStr">
        <is>
          <t>323</t>
        </is>
      </c>
      <c r="B6236" s="4" t="n">
        <v>3</v>
      </c>
      <c r="C6236" s="4" t="inlineStr">
        <is>
          <t>mule deer</t>
        </is>
      </c>
      <c r="D6236" s="4" t="n">
        <v>2013</v>
      </c>
      <c r="E6236" s="13" t="inlineStr">
        <is>
          <t>General</t>
        </is>
      </c>
      <c r="F6236" s="5" t="n">
        <v>502</v>
      </c>
      <c r="G6236" s="5" t="n">
        <v>2951</v>
      </c>
      <c r="H6236" s="5" t="n">
        <v>45</v>
      </c>
      <c r="I6236" s="5" t="n">
        <v>42</v>
      </c>
      <c r="J6236" s="5" t="n">
        <v>3</v>
      </c>
      <c r="K6236" s="10">
        <f>IF(F6236&gt;0,H6236/F6236,"")</f>
        <v/>
      </c>
      <c r="L6236" s="16">
        <f>IF(AND(G6236&gt;0,H6236&gt;0),G6236/H6236,"")</f>
        <v/>
      </c>
    </row>
    <row r="6237">
      <c r="A6237" s="4" t="inlineStr">
        <is>
          <t>323</t>
        </is>
      </c>
      <c r="B6237" s="4" t="n">
        <v>3</v>
      </c>
      <c r="C6237" s="4" t="inlineStr">
        <is>
          <t>mule deer</t>
        </is>
      </c>
      <c r="D6237" s="4" t="n">
        <v>2014</v>
      </c>
      <c r="E6237" s="13" t="inlineStr">
        <is>
          <t>General</t>
        </is>
      </c>
      <c r="F6237" s="5" t="n"/>
      <c r="G6237" s="5" t="n"/>
      <c r="H6237" s="5" t="n">
        <v>65</v>
      </c>
      <c r="I6237" s="5" t="n">
        <v>65</v>
      </c>
      <c r="J6237" s="5" t="n">
        <v>0</v>
      </c>
      <c r="K6237" s="10">
        <f>IF(F6237&gt;0,H6237/F6237,"")</f>
        <v/>
      </c>
      <c r="L6237" s="16">
        <f>IF(AND(G6237&gt;0,H6237&gt;0),G6237/H6237,"")</f>
        <v/>
      </c>
    </row>
    <row r="6238">
      <c r="A6238" s="4" t="inlineStr">
        <is>
          <t>323</t>
        </is>
      </c>
      <c r="B6238" s="4" t="n">
        <v>3</v>
      </c>
      <c r="C6238" s="4" t="inlineStr">
        <is>
          <t>mule deer</t>
        </is>
      </c>
      <c r="D6238" s="4" t="n">
        <v>2015</v>
      </c>
      <c r="E6238" s="13" t="inlineStr">
        <is>
          <t>General</t>
        </is>
      </c>
      <c r="F6238" s="5" t="n"/>
      <c r="G6238" s="5" t="n"/>
      <c r="H6238" s="5" t="n">
        <v>49</v>
      </c>
      <c r="I6238" s="5" t="n">
        <v>43</v>
      </c>
      <c r="J6238" s="5" t="n">
        <v>6</v>
      </c>
      <c r="K6238" s="10">
        <f>IF(F6238&gt;0,H6238/F6238,"")</f>
        <v/>
      </c>
      <c r="L6238" s="16">
        <f>IF(AND(G6238&gt;0,H6238&gt;0),G6238/H6238,"")</f>
        <v/>
      </c>
    </row>
    <row r="6239">
      <c r="A6239" s="4" t="inlineStr">
        <is>
          <t>323</t>
        </is>
      </c>
      <c r="B6239" s="4" t="n">
        <v>3</v>
      </c>
      <c r="C6239" s="4" t="inlineStr">
        <is>
          <t>mule deer</t>
        </is>
      </c>
      <c r="D6239" s="4" t="n">
        <v>2016</v>
      </c>
      <c r="E6239" s="13" t="inlineStr">
        <is>
          <t>General</t>
        </is>
      </c>
      <c r="F6239" s="5" t="n"/>
      <c r="G6239" s="5" t="n"/>
      <c r="H6239" s="5" t="n">
        <v>80</v>
      </c>
      <c r="I6239" s="5" t="n">
        <v>75</v>
      </c>
      <c r="J6239" s="5" t="n">
        <v>6</v>
      </c>
      <c r="K6239" s="10">
        <f>IF(F6239&gt;0,H6239/F6239,"")</f>
        <v/>
      </c>
      <c r="L6239" s="16">
        <f>IF(AND(G6239&gt;0,H6239&gt;0),G6239/H6239,"")</f>
        <v/>
      </c>
    </row>
    <row r="6240">
      <c r="A6240" s="4" t="inlineStr">
        <is>
          <t>323</t>
        </is>
      </c>
      <c r="B6240" s="4" t="n">
        <v>3</v>
      </c>
      <c r="C6240" s="4" t="inlineStr">
        <is>
          <t>mule deer</t>
        </is>
      </c>
      <c r="D6240" s="4" t="n">
        <v>2017</v>
      </c>
      <c r="E6240" s="13" t="inlineStr">
        <is>
          <t>General</t>
        </is>
      </c>
      <c r="F6240" s="5" t="n">
        <v>495</v>
      </c>
      <c r="G6240" s="5" t="n">
        <v>3272</v>
      </c>
      <c r="H6240" s="5" t="n">
        <v>53</v>
      </c>
      <c r="I6240" s="5" t="n">
        <v>47</v>
      </c>
      <c r="J6240" s="5" t="n">
        <v>6</v>
      </c>
      <c r="K6240" s="10">
        <f>IF(F6240&gt;0,H6240/F6240,"")</f>
        <v/>
      </c>
      <c r="L6240" s="16">
        <f>IF(AND(G6240&gt;0,H6240&gt;0),G6240/H6240,"")</f>
        <v/>
      </c>
    </row>
    <row r="6241">
      <c r="A6241" s="4" t="inlineStr">
        <is>
          <t>323</t>
        </is>
      </c>
      <c r="B6241" s="4" t="n">
        <v>3</v>
      </c>
      <c r="C6241" s="4" t="inlineStr">
        <is>
          <t>mule deer</t>
        </is>
      </c>
      <c r="D6241" s="4" t="n">
        <v>2018</v>
      </c>
      <c r="E6241" s="13" t="inlineStr">
        <is>
          <t>General</t>
        </is>
      </c>
      <c r="F6241" s="5" t="n"/>
      <c r="G6241" s="5" t="n"/>
      <c r="H6241" s="5" t="n">
        <v>77</v>
      </c>
      <c r="I6241" s="5" t="n">
        <v>62</v>
      </c>
      <c r="J6241" s="5" t="n">
        <v>15</v>
      </c>
      <c r="K6241" s="10">
        <f>IF(F6241&gt;0,H6241/F6241,"")</f>
        <v/>
      </c>
      <c r="L6241" s="16">
        <f>IF(AND(G6241&gt;0,H6241&gt;0),G6241/H6241,"")</f>
        <v/>
      </c>
    </row>
    <row r="6242">
      <c r="A6242" s="4" t="inlineStr">
        <is>
          <t>323</t>
        </is>
      </c>
      <c r="B6242" s="4" t="n">
        <v>3</v>
      </c>
      <c r="C6242" s="4" t="inlineStr">
        <is>
          <t>mule deer</t>
        </is>
      </c>
      <c r="D6242" s="4" t="n">
        <v>2019</v>
      </c>
      <c r="E6242" s="13" t="inlineStr">
        <is>
          <t>General</t>
        </is>
      </c>
      <c r="F6242" s="5" t="n">
        <v>546</v>
      </c>
      <c r="G6242" s="5" t="n">
        <v>3407</v>
      </c>
      <c r="H6242" s="5" t="n">
        <v>75</v>
      </c>
      <c r="I6242" s="5" t="n">
        <v>60</v>
      </c>
      <c r="J6242" s="5" t="n">
        <v>15</v>
      </c>
      <c r="K6242" s="10">
        <f>IF(F6242&gt;0,H6242/F6242,"")</f>
        <v/>
      </c>
      <c r="L6242" s="16">
        <f>IF(AND(G6242&gt;0,H6242&gt;0),G6242/H6242,"")</f>
        <v/>
      </c>
    </row>
    <row r="6243">
      <c r="A6243" s="4" t="inlineStr">
        <is>
          <t>323</t>
        </is>
      </c>
      <c r="B6243" s="4" t="n">
        <v>3</v>
      </c>
      <c r="C6243" s="4" t="inlineStr">
        <is>
          <t>mule deer</t>
        </is>
      </c>
      <c r="D6243" s="4" t="n">
        <v>2020</v>
      </c>
      <c r="E6243" s="13" t="inlineStr">
        <is>
          <t>General</t>
        </is>
      </c>
      <c r="F6243" s="5" t="n"/>
      <c r="G6243" s="5" t="n"/>
      <c r="H6243" s="5" t="n">
        <v>55</v>
      </c>
      <c r="I6243" s="5" t="n">
        <v>45</v>
      </c>
      <c r="J6243" s="5" t="n">
        <v>10</v>
      </c>
      <c r="K6243" s="10">
        <f>IF(F6243&gt;0,H6243/F6243,"")</f>
        <v/>
      </c>
      <c r="L6243" s="16">
        <f>IF(AND(G6243&gt;0,H6243&gt;0),G6243/H6243,"")</f>
        <v/>
      </c>
    </row>
    <row r="6244">
      <c r="A6244" s="4" t="inlineStr">
        <is>
          <t>323</t>
        </is>
      </c>
      <c r="B6244" s="4" t="n">
        <v>3</v>
      </c>
      <c r="C6244" s="4" t="inlineStr">
        <is>
          <t>mule deer</t>
        </is>
      </c>
      <c r="D6244" s="4" t="n">
        <v>2021</v>
      </c>
      <c r="E6244" s="13" t="inlineStr">
        <is>
          <t>General</t>
        </is>
      </c>
      <c r="F6244" s="5" t="n">
        <v>461</v>
      </c>
      <c r="G6244" s="5" t="n">
        <v>3090</v>
      </c>
      <c r="H6244" s="5" t="n">
        <v>56</v>
      </c>
      <c r="I6244" s="5" t="n">
        <v>52</v>
      </c>
      <c r="J6244" s="5" t="n">
        <v>4</v>
      </c>
      <c r="K6244" s="10">
        <f>IF(F6244&gt;0,H6244/F6244,"")</f>
        <v/>
      </c>
      <c r="L6244" s="16">
        <f>IF(AND(G6244&gt;0,H6244&gt;0),G6244/H6244,"")</f>
        <v/>
      </c>
    </row>
    <row r="6245">
      <c r="A6245" s="4" t="inlineStr">
        <is>
          <t>323</t>
        </is>
      </c>
      <c r="B6245" s="4" t="n">
        <v>3</v>
      </c>
      <c r="C6245" s="4" t="inlineStr">
        <is>
          <t>mule deer</t>
        </is>
      </c>
      <c r="D6245" s="4" t="n">
        <v>2024</v>
      </c>
      <c r="E6245" s="13" t="inlineStr">
        <is>
          <t>General</t>
        </is>
      </c>
      <c r="F6245" s="5" t="n"/>
      <c r="G6245" s="5" t="n"/>
      <c r="H6245" s="5" t="n">
        <v>474</v>
      </c>
      <c r="I6245" s="5" t="n">
        <v>333</v>
      </c>
      <c r="J6245" s="5" t="n">
        <v>141</v>
      </c>
      <c r="K6245" s="10">
        <f>IF(F6245&gt;0,H6245/F6245,"")</f>
        <v/>
      </c>
      <c r="L6245" s="16">
        <f>IF(AND(G6245&gt;0,H6245&gt;0),G6245/H6245,"")</f>
        <v/>
      </c>
    </row>
    <row r="6246">
      <c r="A6246" s="4" t="inlineStr">
        <is>
          <t>323</t>
        </is>
      </c>
      <c r="B6246" s="4" t="n">
        <v>3</v>
      </c>
      <c r="C6246" s="4" t="inlineStr">
        <is>
          <t>mule deer</t>
        </is>
      </c>
      <c r="D6246" s="4" t="n">
        <v>2025</v>
      </c>
      <c r="E6246" s="13" t="inlineStr">
        <is>
          <t>General</t>
        </is>
      </c>
      <c r="F6246" s="5" t="n">
        <v>2639</v>
      </c>
      <c r="G6246" s="5" t="n">
        <v>17036</v>
      </c>
      <c r="H6246" s="5" t="n">
        <v>400</v>
      </c>
      <c r="I6246" s="5" t="n">
        <v>306</v>
      </c>
      <c r="J6246" s="5" t="n">
        <v>94</v>
      </c>
      <c r="K6246" s="10">
        <f>IF(F6246&gt;0,H6246/F6246,"")</f>
        <v/>
      </c>
      <c r="L6246" s="16">
        <f>IF(AND(G6246&gt;0,H6246&gt;0),G6246/H6246,"")</f>
        <v/>
      </c>
    </row>
    <row r="6247">
      <c r="A6247" s="4" t="inlineStr">
        <is>
          <t>324</t>
        </is>
      </c>
      <c r="B6247" s="4" t="n">
        <v>3</v>
      </c>
      <c r="C6247" s="4" t="inlineStr">
        <is>
          <t>mule deer</t>
        </is>
      </c>
      <c r="D6247" s="4" t="n">
        <v>2004</v>
      </c>
      <c r="E6247" s="13" t="inlineStr">
        <is>
          <t>General</t>
        </is>
      </c>
      <c r="F6247" s="5" t="n">
        <v>636</v>
      </c>
      <c r="G6247" s="5" t="n">
        <v>3666</v>
      </c>
      <c r="H6247" s="5" t="n">
        <v>71</v>
      </c>
      <c r="I6247" s="5" t="n">
        <v>49</v>
      </c>
      <c r="J6247" s="5" t="n">
        <v>23</v>
      </c>
      <c r="K6247" s="10">
        <f>IF(F6247&gt;0,H6247/F6247,"")</f>
        <v/>
      </c>
      <c r="L6247" s="16">
        <f>IF(AND(G6247&gt;0,H6247&gt;0),G6247/H6247,"")</f>
        <v/>
      </c>
    </row>
    <row r="6248">
      <c r="A6248" s="4" t="inlineStr">
        <is>
          <t>324</t>
        </is>
      </c>
      <c r="B6248" s="4" t="n">
        <v>3</v>
      </c>
      <c r="C6248" s="4" t="inlineStr">
        <is>
          <t>mule deer</t>
        </is>
      </c>
      <c r="D6248" s="4" t="n">
        <v>2005</v>
      </c>
      <c r="E6248" s="13" t="inlineStr">
        <is>
          <t>General</t>
        </is>
      </c>
      <c r="F6248" s="5" t="n">
        <v>514</v>
      </c>
      <c r="G6248" s="5" t="n">
        <v>2909</v>
      </c>
      <c r="H6248" s="5" t="n">
        <v>68</v>
      </c>
      <c r="I6248" s="5" t="n">
        <v>35</v>
      </c>
      <c r="J6248" s="5" t="n">
        <v>33</v>
      </c>
      <c r="K6248" s="10">
        <f>IF(F6248&gt;0,H6248/F6248,"")</f>
        <v/>
      </c>
      <c r="L6248" s="16">
        <f>IF(AND(G6248&gt;0,H6248&gt;0),G6248/H6248,"")</f>
        <v/>
      </c>
    </row>
    <row r="6249">
      <c r="A6249" s="4" t="inlineStr">
        <is>
          <t>324</t>
        </is>
      </c>
      <c r="B6249" s="4" t="n">
        <v>3</v>
      </c>
      <c r="C6249" s="4" t="inlineStr">
        <is>
          <t>mule deer</t>
        </is>
      </c>
      <c r="D6249" s="4" t="n">
        <v>2006</v>
      </c>
      <c r="E6249" s="13" t="inlineStr">
        <is>
          <t>General</t>
        </is>
      </c>
      <c r="F6249" s="5" t="n">
        <v>440</v>
      </c>
      <c r="G6249" s="5" t="n">
        <v>2641</v>
      </c>
      <c r="H6249" s="5" t="n">
        <v>89</v>
      </c>
      <c r="I6249" s="5" t="n">
        <v>69</v>
      </c>
      <c r="J6249" s="5" t="n">
        <v>12</v>
      </c>
      <c r="K6249" s="10">
        <f>IF(F6249&gt;0,H6249/F6249,"")</f>
        <v/>
      </c>
      <c r="L6249" s="16">
        <f>IF(AND(G6249&gt;0,H6249&gt;0),G6249/H6249,"")</f>
        <v/>
      </c>
    </row>
    <row r="6250">
      <c r="A6250" s="4" t="inlineStr">
        <is>
          <t>324</t>
        </is>
      </c>
      <c r="B6250" s="4" t="n">
        <v>3</v>
      </c>
      <c r="C6250" s="4" t="inlineStr">
        <is>
          <t>mule deer</t>
        </is>
      </c>
      <c r="D6250" s="4" t="n">
        <v>2007</v>
      </c>
      <c r="E6250" s="13" t="inlineStr">
        <is>
          <t>General</t>
        </is>
      </c>
      <c r="F6250" s="5" t="n">
        <v>488</v>
      </c>
      <c r="G6250" s="5" t="n">
        <v>2898</v>
      </c>
      <c r="H6250" s="5" t="n">
        <v>54</v>
      </c>
      <c r="I6250" s="5" t="n">
        <v>43</v>
      </c>
      <c r="J6250" s="5" t="n">
        <v>10</v>
      </c>
      <c r="K6250" s="10">
        <f>IF(F6250&gt;0,H6250/F6250,"")</f>
        <v/>
      </c>
      <c r="L6250" s="16">
        <f>IF(AND(G6250&gt;0,H6250&gt;0),G6250/H6250,"")</f>
        <v/>
      </c>
    </row>
    <row r="6251">
      <c r="A6251" s="4" t="inlineStr">
        <is>
          <t>324</t>
        </is>
      </c>
      <c r="B6251" s="4" t="n">
        <v>3</v>
      </c>
      <c r="C6251" s="4" t="inlineStr">
        <is>
          <t>mule deer</t>
        </is>
      </c>
      <c r="D6251" s="4" t="n">
        <v>2008</v>
      </c>
      <c r="E6251" s="13" t="inlineStr">
        <is>
          <t>General</t>
        </is>
      </c>
      <c r="F6251" s="5" t="n">
        <v>508</v>
      </c>
      <c r="G6251" s="5" t="n">
        <v>3373</v>
      </c>
      <c r="H6251" s="5" t="n">
        <v>42</v>
      </c>
      <c r="I6251" s="5" t="n">
        <v>22</v>
      </c>
      <c r="J6251" s="5" t="n">
        <v>17</v>
      </c>
      <c r="K6251" s="10">
        <f>IF(F6251&gt;0,H6251/F6251,"")</f>
        <v/>
      </c>
      <c r="L6251" s="16">
        <f>IF(AND(G6251&gt;0,H6251&gt;0),G6251/H6251,"")</f>
        <v/>
      </c>
    </row>
    <row r="6252">
      <c r="A6252" s="4" t="inlineStr">
        <is>
          <t>324</t>
        </is>
      </c>
      <c r="B6252" s="4" t="n">
        <v>3</v>
      </c>
      <c r="C6252" s="4" t="inlineStr">
        <is>
          <t>mule deer</t>
        </is>
      </c>
      <c r="D6252" s="4" t="n">
        <v>2009</v>
      </c>
      <c r="E6252" s="13" t="inlineStr">
        <is>
          <t>General</t>
        </is>
      </c>
      <c r="F6252" s="5" t="n">
        <v>425</v>
      </c>
      <c r="G6252" s="5" t="n">
        <v>2944</v>
      </c>
      <c r="H6252" s="5" t="n">
        <v>44</v>
      </c>
      <c r="I6252" s="5" t="n">
        <v>33</v>
      </c>
      <c r="J6252" s="5" t="n">
        <v>11</v>
      </c>
      <c r="K6252" s="10">
        <f>IF(F6252&gt;0,H6252/F6252,"")</f>
        <v/>
      </c>
      <c r="L6252" s="16">
        <f>IF(AND(G6252&gt;0,H6252&gt;0),G6252/H6252,"")</f>
        <v/>
      </c>
    </row>
    <row r="6253">
      <c r="A6253" s="4" t="inlineStr">
        <is>
          <t>324</t>
        </is>
      </c>
      <c r="B6253" s="4" t="n">
        <v>3</v>
      </c>
      <c r="C6253" s="4" t="inlineStr">
        <is>
          <t>mule deer</t>
        </is>
      </c>
      <c r="D6253" s="4" t="n">
        <v>2010</v>
      </c>
      <c r="E6253" s="13" t="inlineStr">
        <is>
          <t>General</t>
        </is>
      </c>
      <c r="F6253" s="5" t="n">
        <v>392</v>
      </c>
      <c r="G6253" s="5" t="n">
        <v>2345</v>
      </c>
      <c r="H6253" s="5" t="n">
        <v>26</v>
      </c>
      <c r="I6253" s="5" t="n">
        <v>23</v>
      </c>
      <c r="J6253" s="5" t="n">
        <v>3</v>
      </c>
      <c r="K6253" s="10">
        <f>IF(F6253&gt;0,H6253/F6253,"")</f>
        <v/>
      </c>
      <c r="L6253" s="16">
        <f>IF(AND(G6253&gt;0,H6253&gt;0),G6253/H6253,"")</f>
        <v/>
      </c>
    </row>
    <row r="6254">
      <c r="A6254" s="4" t="inlineStr">
        <is>
          <t>324</t>
        </is>
      </c>
      <c r="B6254" s="4" t="n">
        <v>3</v>
      </c>
      <c r="C6254" s="4" t="inlineStr">
        <is>
          <t>mule deer</t>
        </is>
      </c>
      <c r="D6254" s="4" t="n">
        <v>2011</v>
      </c>
      <c r="E6254" s="13" t="inlineStr">
        <is>
          <t>General</t>
        </is>
      </c>
      <c r="F6254" s="5" t="n">
        <v>337</v>
      </c>
      <c r="G6254" s="5" t="n">
        <v>1957</v>
      </c>
      <c r="H6254" s="5" t="n">
        <v>22</v>
      </c>
      <c r="I6254" s="5" t="n">
        <v>22</v>
      </c>
      <c r="J6254" s="5" t="n">
        <v>0</v>
      </c>
      <c r="K6254" s="10">
        <f>IF(F6254&gt;0,H6254/F6254,"")</f>
        <v/>
      </c>
      <c r="L6254" s="16">
        <f>IF(AND(G6254&gt;0,H6254&gt;0),G6254/H6254,"")</f>
        <v/>
      </c>
    </row>
    <row r="6255">
      <c r="A6255" s="4" t="inlineStr">
        <is>
          <t>324</t>
        </is>
      </c>
      <c r="B6255" s="4" t="n">
        <v>3</v>
      </c>
      <c r="C6255" s="4" t="inlineStr">
        <is>
          <t>mule deer</t>
        </is>
      </c>
      <c r="D6255" s="4" t="n">
        <v>2012</v>
      </c>
      <c r="E6255" s="13" t="inlineStr">
        <is>
          <t>General</t>
        </is>
      </c>
      <c r="F6255" s="5" t="n"/>
      <c r="G6255" s="5" t="n"/>
      <c r="H6255" s="5" t="n">
        <v>42</v>
      </c>
      <c r="I6255" s="5" t="n">
        <v>32</v>
      </c>
      <c r="J6255" s="5" t="n">
        <v>10</v>
      </c>
      <c r="K6255" s="10">
        <f>IF(F6255&gt;0,H6255/F6255,"")</f>
        <v/>
      </c>
      <c r="L6255" s="16">
        <f>IF(AND(G6255&gt;0,H6255&gt;0),G6255/H6255,"")</f>
        <v/>
      </c>
    </row>
    <row r="6256">
      <c r="A6256" s="4" t="inlineStr">
        <is>
          <t>324</t>
        </is>
      </c>
      <c r="B6256" s="4" t="n">
        <v>3</v>
      </c>
      <c r="C6256" s="4" t="inlineStr">
        <is>
          <t>mule deer</t>
        </is>
      </c>
      <c r="D6256" s="4" t="n">
        <v>2013</v>
      </c>
      <c r="E6256" s="13" t="inlineStr">
        <is>
          <t>General</t>
        </is>
      </c>
      <c r="F6256" s="5" t="n">
        <v>289</v>
      </c>
      <c r="G6256" s="5" t="n">
        <v>1922</v>
      </c>
      <c r="H6256" s="5" t="n">
        <v>25</v>
      </c>
      <c r="I6256" s="5" t="n">
        <v>17</v>
      </c>
      <c r="J6256" s="5" t="n">
        <v>8</v>
      </c>
      <c r="K6256" s="10">
        <f>IF(F6256&gt;0,H6256/F6256,"")</f>
        <v/>
      </c>
      <c r="L6256" s="16">
        <f>IF(AND(G6256&gt;0,H6256&gt;0),G6256/H6256,"")</f>
        <v/>
      </c>
    </row>
    <row r="6257">
      <c r="A6257" s="4" t="inlineStr">
        <is>
          <t>324</t>
        </is>
      </c>
      <c r="B6257" s="4" t="n">
        <v>3</v>
      </c>
      <c r="C6257" s="4" t="inlineStr">
        <is>
          <t>mule deer</t>
        </is>
      </c>
      <c r="D6257" s="4" t="n">
        <v>2014</v>
      </c>
      <c r="E6257" s="13" t="inlineStr">
        <is>
          <t>General</t>
        </is>
      </c>
      <c r="F6257" s="5" t="n"/>
      <c r="G6257" s="5" t="n"/>
      <c r="H6257" s="5" t="n">
        <v>35</v>
      </c>
      <c r="I6257" s="5" t="n">
        <v>30</v>
      </c>
      <c r="J6257" s="5" t="n">
        <v>6</v>
      </c>
      <c r="K6257" s="10">
        <f>IF(F6257&gt;0,H6257/F6257,"")</f>
        <v/>
      </c>
      <c r="L6257" s="16">
        <f>IF(AND(G6257&gt;0,H6257&gt;0),G6257/H6257,"")</f>
        <v/>
      </c>
    </row>
    <row r="6258">
      <c r="A6258" s="4" t="inlineStr">
        <is>
          <t>324</t>
        </is>
      </c>
      <c r="B6258" s="4" t="n">
        <v>3</v>
      </c>
      <c r="C6258" s="4" t="inlineStr">
        <is>
          <t>mule deer</t>
        </is>
      </c>
      <c r="D6258" s="4" t="n">
        <v>2015</v>
      </c>
      <c r="E6258" s="13" t="inlineStr">
        <is>
          <t>General</t>
        </is>
      </c>
      <c r="F6258" s="5" t="n"/>
      <c r="G6258" s="5" t="n"/>
      <c r="H6258" s="5" t="n">
        <v>50</v>
      </c>
      <c r="I6258" s="5" t="n">
        <v>50</v>
      </c>
      <c r="J6258" s="5" t="n">
        <v>0</v>
      </c>
      <c r="K6258" s="10">
        <f>IF(F6258&gt;0,H6258/F6258,"")</f>
        <v/>
      </c>
      <c r="L6258" s="16">
        <f>IF(AND(G6258&gt;0,H6258&gt;0),G6258/H6258,"")</f>
        <v/>
      </c>
    </row>
    <row r="6259">
      <c r="A6259" s="4" t="inlineStr">
        <is>
          <t>324</t>
        </is>
      </c>
      <c r="B6259" s="4" t="n">
        <v>3</v>
      </c>
      <c r="C6259" s="4" t="inlineStr">
        <is>
          <t>mule deer</t>
        </is>
      </c>
      <c r="D6259" s="4" t="n">
        <v>2016</v>
      </c>
      <c r="E6259" s="13" t="inlineStr">
        <is>
          <t>General</t>
        </is>
      </c>
      <c r="F6259" s="5" t="n"/>
      <c r="G6259" s="5" t="n"/>
      <c r="H6259" s="5" t="n">
        <v>41</v>
      </c>
      <c r="I6259" s="5" t="n">
        <v>32</v>
      </c>
      <c r="J6259" s="5" t="n">
        <v>6</v>
      </c>
      <c r="K6259" s="10">
        <f>IF(F6259&gt;0,H6259/F6259,"")</f>
        <v/>
      </c>
      <c r="L6259" s="16">
        <f>IF(AND(G6259&gt;0,H6259&gt;0),G6259/H6259,"")</f>
        <v/>
      </c>
    </row>
    <row r="6260">
      <c r="A6260" s="4" t="inlineStr">
        <is>
          <t>324</t>
        </is>
      </c>
      <c r="B6260" s="4" t="n">
        <v>3</v>
      </c>
      <c r="C6260" s="4" t="inlineStr">
        <is>
          <t>mule deer</t>
        </is>
      </c>
      <c r="D6260" s="4" t="n">
        <v>2017</v>
      </c>
      <c r="E6260" s="13" t="inlineStr">
        <is>
          <t>General</t>
        </is>
      </c>
      <c r="F6260" s="5" t="n">
        <v>416</v>
      </c>
      <c r="G6260" s="5" t="n">
        <v>2639</v>
      </c>
      <c r="H6260" s="5" t="n">
        <v>44</v>
      </c>
      <c r="I6260" s="5" t="n">
        <v>39</v>
      </c>
      <c r="J6260" s="5" t="n">
        <v>6</v>
      </c>
      <c r="K6260" s="10">
        <f>IF(F6260&gt;0,H6260/F6260,"")</f>
        <v/>
      </c>
      <c r="L6260" s="16">
        <f>IF(AND(G6260&gt;0,H6260&gt;0),G6260/H6260,"")</f>
        <v/>
      </c>
    </row>
    <row r="6261">
      <c r="A6261" s="4" t="inlineStr">
        <is>
          <t>324</t>
        </is>
      </c>
      <c r="B6261" s="4" t="n">
        <v>3</v>
      </c>
      <c r="C6261" s="4" t="inlineStr">
        <is>
          <t>mule deer</t>
        </is>
      </c>
      <c r="D6261" s="4" t="n">
        <v>2018</v>
      </c>
      <c r="E6261" s="13" t="inlineStr">
        <is>
          <t>General</t>
        </is>
      </c>
      <c r="F6261" s="5" t="n"/>
      <c r="G6261" s="5" t="n"/>
      <c r="H6261" s="5" t="n">
        <v>31</v>
      </c>
      <c r="I6261" s="5" t="n">
        <v>28</v>
      </c>
      <c r="J6261" s="5" t="n">
        <v>3</v>
      </c>
      <c r="K6261" s="10">
        <f>IF(F6261&gt;0,H6261/F6261,"")</f>
        <v/>
      </c>
      <c r="L6261" s="16">
        <f>IF(AND(G6261&gt;0,H6261&gt;0),G6261/H6261,"")</f>
        <v/>
      </c>
    </row>
    <row r="6262">
      <c r="A6262" s="4" t="inlineStr">
        <is>
          <t>324</t>
        </is>
      </c>
      <c r="B6262" s="4" t="n">
        <v>3</v>
      </c>
      <c r="C6262" s="4" t="inlineStr">
        <is>
          <t>mule deer</t>
        </is>
      </c>
      <c r="D6262" s="4" t="n">
        <v>2019</v>
      </c>
      <c r="E6262" s="13" t="inlineStr">
        <is>
          <t>General</t>
        </is>
      </c>
      <c r="F6262" s="5" t="n">
        <v>476</v>
      </c>
      <c r="G6262" s="5" t="n">
        <v>2679</v>
      </c>
      <c r="H6262" s="5" t="n">
        <v>53</v>
      </c>
      <c r="I6262" s="5" t="n">
        <v>46</v>
      </c>
      <c r="J6262" s="5" t="n">
        <v>7</v>
      </c>
      <c r="K6262" s="10">
        <f>IF(F6262&gt;0,H6262/F6262,"")</f>
        <v/>
      </c>
      <c r="L6262" s="16">
        <f>IF(AND(G6262&gt;0,H6262&gt;0),G6262/H6262,"")</f>
        <v/>
      </c>
    </row>
    <row r="6263">
      <c r="A6263" s="4" t="inlineStr">
        <is>
          <t>324</t>
        </is>
      </c>
      <c r="B6263" s="4" t="n">
        <v>3</v>
      </c>
      <c r="C6263" s="4" t="inlineStr">
        <is>
          <t>mule deer</t>
        </is>
      </c>
      <c r="D6263" s="4" t="n">
        <v>2020</v>
      </c>
      <c r="E6263" s="13" t="inlineStr">
        <is>
          <t>General</t>
        </is>
      </c>
      <c r="F6263" s="5" t="n"/>
      <c r="G6263" s="5" t="n"/>
      <c r="H6263" s="5" t="n">
        <v>43</v>
      </c>
      <c r="I6263" s="5" t="n">
        <v>23</v>
      </c>
      <c r="J6263" s="5" t="n">
        <v>20</v>
      </c>
      <c r="K6263" s="10">
        <f>IF(F6263&gt;0,H6263/F6263,"")</f>
        <v/>
      </c>
      <c r="L6263" s="16">
        <f>IF(AND(G6263&gt;0,H6263&gt;0),G6263/H6263,"")</f>
        <v/>
      </c>
    </row>
    <row r="6264">
      <c r="A6264" s="4" t="inlineStr">
        <is>
          <t>324</t>
        </is>
      </c>
      <c r="B6264" s="4" t="n">
        <v>3</v>
      </c>
      <c r="C6264" s="4" t="inlineStr">
        <is>
          <t>mule deer</t>
        </is>
      </c>
      <c r="D6264" s="4" t="n">
        <v>2021</v>
      </c>
      <c r="E6264" s="13" t="inlineStr">
        <is>
          <t>General</t>
        </is>
      </c>
      <c r="F6264" s="5" t="n">
        <v>532</v>
      </c>
      <c r="G6264" s="5" t="n">
        <v>3545</v>
      </c>
      <c r="H6264" s="5" t="n">
        <v>60</v>
      </c>
      <c r="I6264" s="5" t="n">
        <v>39</v>
      </c>
      <c r="J6264" s="5" t="n">
        <v>21</v>
      </c>
      <c r="K6264" s="10">
        <f>IF(F6264&gt;0,H6264/F6264,"")</f>
        <v/>
      </c>
      <c r="L6264" s="16">
        <f>IF(AND(G6264&gt;0,H6264&gt;0),G6264/H6264,"")</f>
        <v/>
      </c>
    </row>
    <row r="6265">
      <c r="A6265" s="4" t="inlineStr">
        <is>
          <t>324</t>
        </is>
      </c>
      <c r="B6265" s="4" t="n">
        <v>3</v>
      </c>
      <c r="C6265" s="4" t="inlineStr">
        <is>
          <t>mule deer</t>
        </is>
      </c>
      <c r="D6265" s="4" t="n">
        <v>2024</v>
      </c>
      <c r="E6265" s="13" t="inlineStr">
        <is>
          <t>General</t>
        </is>
      </c>
      <c r="F6265" s="5" t="n"/>
      <c r="G6265" s="5" t="n"/>
      <c r="H6265" s="5" t="n">
        <v>295</v>
      </c>
      <c r="I6265" s="5" t="n">
        <v>204</v>
      </c>
      <c r="J6265" s="5" t="n">
        <v>91</v>
      </c>
      <c r="K6265" s="10">
        <f>IF(F6265&gt;0,H6265/F6265,"")</f>
        <v/>
      </c>
      <c r="L6265" s="16">
        <f>IF(AND(G6265&gt;0,H6265&gt;0),G6265/H6265,"")</f>
        <v/>
      </c>
    </row>
    <row r="6266">
      <c r="A6266" s="4" t="inlineStr">
        <is>
          <t>324</t>
        </is>
      </c>
      <c r="B6266" s="4" t="n">
        <v>3</v>
      </c>
      <c r="C6266" s="4" t="inlineStr">
        <is>
          <t>mule deer</t>
        </is>
      </c>
      <c r="D6266" s="4" t="n">
        <v>2025</v>
      </c>
      <c r="E6266" s="13" t="inlineStr">
        <is>
          <t>General</t>
        </is>
      </c>
      <c r="F6266" s="5" t="n">
        <v>1535</v>
      </c>
      <c r="G6266" s="5" t="n">
        <v>9522</v>
      </c>
      <c r="H6266" s="5" t="n">
        <v>274</v>
      </c>
      <c r="I6266" s="5" t="n">
        <v>189</v>
      </c>
      <c r="J6266" s="5" t="n">
        <v>86</v>
      </c>
      <c r="K6266" s="10">
        <f>IF(F6266&gt;0,H6266/F6266,"")</f>
        <v/>
      </c>
      <c r="L6266" s="16">
        <f>IF(AND(G6266&gt;0,H6266&gt;0),G6266/H6266,"")</f>
        <v/>
      </c>
    </row>
    <row r="6267">
      <c r="A6267" s="4" t="inlineStr">
        <is>
          <t>325</t>
        </is>
      </c>
      <c r="B6267" s="4" t="n">
        <v>3</v>
      </c>
      <c r="C6267" s="4" t="inlineStr">
        <is>
          <t>mule deer</t>
        </is>
      </c>
      <c r="D6267" s="4" t="n">
        <v>2004</v>
      </c>
      <c r="E6267" s="4" t="inlineStr"/>
      <c r="F6267" s="5" t="n">
        <v>1259</v>
      </c>
      <c r="G6267" s="5" t="n">
        <v>6281</v>
      </c>
      <c r="H6267" s="5" t="n">
        <v>594</v>
      </c>
      <c r="I6267" s="5" t="n">
        <v>340</v>
      </c>
      <c r="J6267" s="5" t="n">
        <v>251</v>
      </c>
      <c r="K6267" s="10">
        <f>IF(F6267&gt;0,H6267/F6267,"")</f>
        <v/>
      </c>
      <c r="L6267" s="16">
        <f>IF(AND(G6267&gt;0,H6267&gt;0),G6267/H6267,"")</f>
        <v/>
      </c>
    </row>
    <row r="6268">
      <c r="A6268" s="4" t="inlineStr">
        <is>
          <t>325</t>
        </is>
      </c>
      <c r="B6268" s="4" t="n">
        <v>3</v>
      </c>
      <c r="C6268" s="4" t="inlineStr">
        <is>
          <t>mule deer</t>
        </is>
      </c>
      <c r="D6268" s="4" t="n">
        <v>2005</v>
      </c>
      <c r="E6268" s="4" t="inlineStr"/>
      <c r="F6268" s="5" t="n">
        <v>978</v>
      </c>
      <c r="G6268" s="5" t="n">
        <v>5155</v>
      </c>
      <c r="H6268" s="5" t="n">
        <v>458</v>
      </c>
      <c r="I6268" s="5" t="n">
        <v>222</v>
      </c>
      <c r="J6268" s="5" t="n">
        <v>233</v>
      </c>
      <c r="K6268" s="10">
        <f>IF(F6268&gt;0,H6268/F6268,"")</f>
        <v/>
      </c>
      <c r="L6268" s="16">
        <f>IF(AND(G6268&gt;0,H6268&gt;0),G6268/H6268,"")</f>
        <v/>
      </c>
    </row>
    <row r="6269">
      <c r="A6269" s="4" t="inlineStr">
        <is>
          <t>325</t>
        </is>
      </c>
      <c r="B6269" s="4" t="n">
        <v>3</v>
      </c>
      <c r="C6269" s="4" t="inlineStr">
        <is>
          <t>mule deer</t>
        </is>
      </c>
      <c r="D6269" s="4" t="n">
        <v>2006</v>
      </c>
      <c r="E6269" s="4" t="inlineStr"/>
      <c r="F6269" s="5" t="n">
        <v>1171</v>
      </c>
      <c r="G6269" s="5" t="n">
        <v>5455</v>
      </c>
      <c r="H6269" s="5" t="n">
        <v>566</v>
      </c>
      <c r="I6269" s="5" t="n">
        <v>285</v>
      </c>
      <c r="J6269" s="5" t="n">
        <v>278</v>
      </c>
      <c r="K6269" s="10">
        <f>IF(F6269&gt;0,H6269/F6269,"")</f>
        <v/>
      </c>
      <c r="L6269" s="16">
        <f>IF(AND(G6269&gt;0,H6269&gt;0),G6269/H6269,"")</f>
        <v/>
      </c>
    </row>
    <row r="6270">
      <c r="A6270" s="4" t="inlineStr">
        <is>
          <t>325</t>
        </is>
      </c>
      <c r="B6270" s="4" t="n">
        <v>3</v>
      </c>
      <c r="C6270" s="4" t="inlineStr">
        <is>
          <t>mule deer</t>
        </is>
      </c>
      <c r="D6270" s="4" t="n">
        <v>2007</v>
      </c>
      <c r="E6270" s="4" t="inlineStr"/>
      <c r="F6270" s="5" t="n">
        <v>1231</v>
      </c>
      <c r="G6270" s="5" t="n">
        <v>6036</v>
      </c>
      <c r="H6270" s="5" t="n">
        <v>408</v>
      </c>
      <c r="I6270" s="5" t="n">
        <v>233</v>
      </c>
      <c r="J6270" s="5" t="n">
        <v>175</v>
      </c>
      <c r="K6270" s="10">
        <f>IF(F6270&gt;0,H6270/F6270,"")</f>
        <v/>
      </c>
      <c r="L6270" s="16">
        <f>IF(AND(G6270&gt;0,H6270&gt;0),G6270/H6270,"")</f>
        <v/>
      </c>
    </row>
    <row r="6271">
      <c r="A6271" s="4" t="inlineStr">
        <is>
          <t>325</t>
        </is>
      </c>
      <c r="B6271" s="4" t="n">
        <v>3</v>
      </c>
      <c r="C6271" s="4" t="inlineStr">
        <is>
          <t>mule deer</t>
        </is>
      </c>
      <c r="D6271" s="4" t="n">
        <v>2008</v>
      </c>
      <c r="E6271" s="4" t="inlineStr"/>
      <c r="F6271" s="5" t="n">
        <v>1270</v>
      </c>
      <c r="G6271" s="5" t="n">
        <v>6496</v>
      </c>
      <c r="H6271" s="5" t="n">
        <v>376</v>
      </c>
      <c r="I6271" s="5" t="n">
        <v>172</v>
      </c>
      <c r="J6271" s="5" t="n">
        <v>204</v>
      </c>
      <c r="K6271" s="10">
        <f>IF(F6271&gt;0,H6271/F6271,"")</f>
        <v/>
      </c>
      <c r="L6271" s="16">
        <f>IF(AND(G6271&gt;0,H6271&gt;0),G6271/H6271,"")</f>
        <v/>
      </c>
    </row>
    <row r="6272">
      <c r="A6272" s="4" t="inlineStr">
        <is>
          <t>325</t>
        </is>
      </c>
      <c r="B6272" s="4" t="n">
        <v>3</v>
      </c>
      <c r="C6272" s="4" t="inlineStr">
        <is>
          <t>mule deer</t>
        </is>
      </c>
      <c r="D6272" s="4" t="n">
        <v>2009</v>
      </c>
      <c r="E6272" s="4" t="inlineStr"/>
      <c r="F6272" s="5" t="n">
        <v>1341</v>
      </c>
      <c r="G6272" s="5" t="n">
        <v>6820</v>
      </c>
      <c r="H6272" s="5" t="n">
        <v>366</v>
      </c>
      <c r="I6272" s="5" t="n">
        <v>190</v>
      </c>
      <c r="J6272" s="5" t="n">
        <v>177</v>
      </c>
      <c r="K6272" s="10">
        <f>IF(F6272&gt;0,H6272/F6272,"")</f>
        <v/>
      </c>
      <c r="L6272" s="16">
        <f>IF(AND(G6272&gt;0,H6272&gt;0),G6272/H6272,"")</f>
        <v/>
      </c>
    </row>
    <row r="6273">
      <c r="A6273" s="4" t="inlineStr">
        <is>
          <t>325</t>
        </is>
      </c>
      <c r="B6273" s="4" t="n">
        <v>3</v>
      </c>
      <c r="C6273" s="4" t="inlineStr">
        <is>
          <t>mule deer</t>
        </is>
      </c>
      <c r="D6273" s="4" t="n">
        <v>2010</v>
      </c>
      <c r="E6273" s="4" t="inlineStr"/>
      <c r="F6273" s="5" t="n">
        <v>1265</v>
      </c>
      <c r="G6273" s="5" t="n">
        <v>6459</v>
      </c>
      <c r="H6273" s="5" t="n">
        <v>164</v>
      </c>
      <c r="I6273" s="5" t="n">
        <v>118</v>
      </c>
      <c r="J6273" s="5" t="n">
        <v>44</v>
      </c>
      <c r="K6273" s="10">
        <f>IF(F6273&gt;0,H6273/F6273,"")</f>
        <v/>
      </c>
      <c r="L6273" s="16">
        <f>IF(AND(G6273&gt;0,H6273&gt;0),G6273/H6273,"")</f>
        <v/>
      </c>
    </row>
    <row r="6274">
      <c r="A6274" s="4" t="inlineStr">
        <is>
          <t>325</t>
        </is>
      </c>
      <c r="B6274" s="4" t="n">
        <v>3</v>
      </c>
      <c r="C6274" s="4" t="inlineStr">
        <is>
          <t>mule deer</t>
        </is>
      </c>
      <c r="D6274" s="4" t="n">
        <v>2011</v>
      </c>
      <c r="E6274" s="4" t="inlineStr"/>
      <c r="F6274" s="5" t="n">
        <v>1098</v>
      </c>
      <c r="G6274" s="5" t="n">
        <v>5261</v>
      </c>
      <c r="H6274" s="5" t="n">
        <v>177</v>
      </c>
      <c r="I6274" s="5" t="n">
        <v>146</v>
      </c>
      <c r="J6274" s="5" t="n">
        <v>30</v>
      </c>
      <c r="K6274" s="10">
        <f>IF(F6274&gt;0,H6274/F6274,"")</f>
        <v/>
      </c>
      <c r="L6274" s="16">
        <f>IF(AND(G6274&gt;0,H6274&gt;0),G6274/H6274,"")</f>
        <v/>
      </c>
    </row>
    <row r="6275">
      <c r="A6275" s="4" t="inlineStr">
        <is>
          <t>325</t>
        </is>
      </c>
      <c r="B6275" s="4" t="n">
        <v>3</v>
      </c>
      <c r="C6275" s="4" t="inlineStr">
        <is>
          <t>mule deer</t>
        </is>
      </c>
      <c r="D6275" s="4" t="n">
        <v>2012</v>
      </c>
      <c r="E6275" s="4" t="inlineStr"/>
      <c r="F6275" s="5" t="n"/>
      <c r="G6275" s="5" t="n"/>
      <c r="H6275" s="5" t="n">
        <v>218</v>
      </c>
      <c r="I6275" s="5" t="n">
        <v>203</v>
      </c>
      <c r="J6275" s="5" t="n">
        <v>13</v>
      </c>
      <c r="K6275" s="10">
        <f>IF(F6275&gt;0,H6275/F6275,"")</f>
        <v/>
      </c>
      <c r="L6275" s="16">
        <f>IF(AND(G6275&gt;0,H6275&gt;0),G6275/H6275,"")</f>
        <v/>
      </c>
    </row>
    <row r="6276">
      <c r="A6276" s="4" t="inlineStr">
        <is>
          <t>325</t>
        </is>
      </c>
      <c r="B6276" s="4" t="n">
        <v>3</v>
      </c>
      <c r="C6276" s="4" t="inlineStr">
        <is>
          <t>mule deer</t>
        </is>
      </c>
      <c r="D6276" s="4" t="n">
        <v>2013</v>
      </c>
      <c r="E6276" s="4" t="inlineStr"/>
      <c r="F6276" s="5" t="n">
        <v>1288</v>
      </c>
      <c r="G6276" s="5" t="n">
        <v>7055</v>
      </c>
      <c r="H6276" s="5" t="n">
        <v>209</v>
      </c>
      <c r="I6276" s="5" t="n">
        <v>192</v>
      </c>
      <c r="J6276" s="5" t="n">
        <v>18</v>
      </c>
      <c r="K6276" s="10">
        <f>IF(F6276&gt;0,H6276/F6276,"")</f>
        <v/>
      </c>
      <c r="L6276" s="16">
        <f>IF(AND(G6276&gt;0,H6276&gt;0),G6276/H6276,"")</f>
        <v/>
      </c>
    </row>
    <row r="6277">
      <c r="A6277" s="4" t="inlineStr">
        <is>
          <t>325</t>
        </is>
      </c>
      <c r="B6277" s="4" t="n">
        <v>3</v>
      </c>
      <c r="C6277" s="4" t="inlineStr">
        <is>
          <t>mule deer</t>
        </is>
      </c>
      <c r="D6277" s="4" t="n">
        <v>2014</v>
      </c>
      <c r="E6277" s="4" t="inlineStr"/>
      <c r="F6277" s="5" t="n"/>
      <c r="G6277" s="5" t="n"/>
      <c r="H6277" s="5" t="n">
        <v>263</v>
      </c>
      <c r="I6277" s="5" t="n">
        <v>263</v>
      </c>
      <c r="J6277" s="5" t="n">
        <v>0</v>
      </c>
      <c r="K6277" s="10">
        <f>IF(F6277&gt;0,H6277/F6277,"")</f>
        <v/>
      </c>
      <c r="L6277" s="16">
        <f>IF(AND(G6277&gt;0,H6277&gt;0),G6277/H6277,"")</f>
        <v/>
      </c>
    </row>
    <row r="6278">
      <c r="A6278" s="4" t="inlineStr">
        <is>
          <t>325</t>
        </is>
      </c>
      <c r="B6278" s="4" t="n">
        <v>3</v>
      </c>
      <c r="C6278" s="4" t="inlineStr">
        <is>
          <t>mule deer</t>
        </is>
      </c>
      <c r="D6278" s="4" t="n">
        <v>2015</v>
      </c>
      <c r="E6278" s="4" t="inlineStr"/>
      <c r="F6278" s="5" t="n"/>
      <c r="G6278" s="5" t="n"/>
      <c r="H6278" s="5" t="n">
        <v>263</v>
      </c>
      <c r="I6278" s="5" t="n">
        <v>260</v>
      </c>
      <c r="J6278" s="5" t="n">
        <v>3</v>
      </c>
      <c r="K6278" s="10">
        <f>IF(F6278&gt;0,H6278/F6278,"")</f>
        <v/>
      </c>
      <c r="L6278" s="16">
        <f>IF(AND(G6278&gt;0,H6278&gt;0),G6278/H6278,"")</f>
        <v/>
      </c>
    </row>
    <row r="6279">
      <c r="A6279" s="4" t="inlineStr">
        <is>
          <t>325</t>
        </is>
      </c>
      <c r="B6279" s="4" t="n">
        <v>3</v>
      </c>
      <c r="C6279" s="4" t="inlineStr">
        <is>
          <t>mule deer</t>
        </is>
      </c>
      <c r="D6279" s="4" t="n">
        <v>2016</v>
      </c>
      <c r="E6279" s="4" t="inlineStr"/>
      <c r="F6279" s="5" t="n"/>
      <c r="G6279" s="5" t="n"/>
      <c r="H6279" s="5" t="n">
        <v>434</v>
      </c>
      <c r="I6279" s="5" t="n">
        <v>302</v>
      </c>
      <c r="J6279" s="5" t="n">
        <v>126</v>
      </c>
      <c r="K6279" s="10">
        <f>IF(F6279&gt;0,H6279/F6279,"")</f>
        <v/>
      </c>
      <c r="L6279" s="16">
        <f>IF(AND(G6279&gt;0,H6279&gt;0),G6279/H6279,"")</f>
        <v/>
      </c>
    </row>
    <row r="6280">
      <c r="A6280" s="4" t="inlineStr">
        <is>
          <t>325</t>
        </is>
      </c>
      <c r="B6280" s="4" t="n">
        <v>3</v>
      </c>
      <c r="C6280" s="4" t="inlineStr">
        <is>
          <t>mule deer</t>
        </is>
      </c>
      <c r="D6280" s="4" t="n">
        <v>2017</v>
      </c>
      <c r="E6280" s="4" t="inlineStr"/>
      <c r="F6280" s="5" t="n">
        <v>1483</v>
      </c>
      <c r="G6280" s="5" t="n">
        <v>7459</v>
      </c>
      <c r="H6280" s="5" t="n">
        <v>309</v>
      </c>
      <c r="I6280" s="5" t="n">
        <v>227</v>
      </c>
      <c r="J6280" s="5" t="n">
        <v>82</v>
      </c>
      <c r="K6280" s="10">
        <f>IF(F6280&gt;0,H6280/F6280,"")</f>
        <v/>
      </c>
      <c r="L6280" s="16">
        <f>IF(AND(G6280&gt;0,H6280&gt;0),G6280/H6280,"")</f>
        <v/>
      </c>
    </row>
    <row r="6281">
      <c r="A6281" s="4" t="inlineStr">
        <is>
          <t>325</t>
        </is>
      </c>
      <c r="B6281" s="4" t="n">
        <v>3</v>
      </c>
      <c r="C6281" s="4" t="inlineStr">
        <is>
          <t>mule deer</t>
        </is>
      </c>
      <c r="D6281" s="4" t="n">
        <v>2018</v>
      </c>
      <c r="E6281" s="4" t="inlineStr"/>
      <c r="F6281" s="5" t="n"/>
      <c r="G6281" s="5" t="n"/>
      <c r="H6281" s="5" t="n">
        <v>334</v>
      </c>
      <c r="I6281" s="5" t="n">
        <v>216</v>
      </c>
      <c r="J6281" s="5" t="n">
        <v>100</v>
      </c>
      <c r="K6281" s="10">
        <f>IF(F6281&gt;0,H6281/F6281,"")</f>
        <v/>
      </c>
      <c r="L6281" s="16">
        <f>IF(AND(G6281&gt;0,H6281&gt;0),G6281/H6281,"")</f>
        <v/>
      </c>
    </row>
    <row r="6282">
      <c r="A6282" s="4" t="inlineStr">
        <is>
          <t>325</t>
        </is>
      </c>
      <c r="B6282" s="4" t="n">
        <v>3</v>
      </c>
      <c r="C6282" s="4" t="inlineStr">
        <is>
          <t>mule deer</t>
        </is>
      </c>
      <c r="D6282" s="4" t="n">
        <v>2019</v>
      </c>
      <c r="E6282" s="4" t="inlineStr"/>
      <c r="F6282" s="5" t="n">
        <v>1532</v>
      </c>
      <c r="G6282" s="5" t="n">
        <v>8433</v>
      </c>
      <c r="H6282" s="5" t="n">
        <v>381</v>
      </c>
      <c r="I6282" s="5" t="n">
        <v>309</v>
      </c>
      <c r="J6282" s="5" t="n">
        <v>69</v>
      </c>
      <c r="K6282" s="10">
        <f>IF(F6282&gt;0,H6282/F6282,"")</f>
        <v/>
      </c>
      <c r="L6282" s="16">
        <f>IF(AND(G6282&gt;0,H6282&gt;0),G6282/H6282,"")</f>
        <v/>
      </c>
    </row>
    <row r="6283">
      <c r="A6283" s="4" t="inlineStr">
        <is>
          <t>325</t>
        </is>
      </c>
      <c r="B6283" s="4" t="n">
        <v>3</v>
      </c>
      <c r="C6283" s="4" t="inlineStr">
        <is>
          <t>mule deer</t>
        </is>
      </c>
      <c r="D6283" s="4" t="n">
        <v>2020</v>
      </c>
      <c r="E6283" s="4" t="inlineStr"/>
      <c r="F6283" s="5" t="n"/>
      <c r="G6283" s="5" t="n"/>
      <c r="H6283" s="5" t="n">
        <v>371</v>
      </c>
      <c r="I6283" s="5" t="n">
        <v>286</v>
      </c>
      <c r="J6283" s="5" t="n">
        <v>84</v>
      </c>
      <c r="K6283" s="10">
        <f>IF(F6283&gt;0,H6283/F6283,"")</f>
        <v/>
      </c>
      <c r="L6283" s="16">
        <f>IF(AND(G6283&gt;0,H6283&gt;0),G6283/H6283,"")</f>
        <v/>
      </c>
    </row>
    <row r="6284">
      <c r="A6284" s="4" t="inlineStr">
        <is>
          <t>325</t>
        </is>
      </c>
      <c r="B6284" s="4" t="n">
        <v>3</v>
      </c>
      <c r="C6284" s="4" t="inlineStr">
        <is>
          <t>mule deer</t>
        </is>
      </c>
      <c r="D6284" s="4" t="n">
        <v>2021</v>
      </c>
      <c r="E6284" s="4" t="inlineStr"/>
      <c r="F6284" s="5" t="n">
        <v>1647</v>
      </c>
      <c r="G6284" s="5" t="n">
        <v>9594</v>
      </c>
      <c r="H6284" s="5" t="n">
        <v>463</v>
      </c>
      <c r="I6284" s="5" t="n">
        <v>307</v>
      </c>
      <c r="J6284" s="5" t="n">
        <v>152</v>
      </c>
      <c r="K6284" s="10">
        <f>IF(F6284&gt;0,H6284/F6284,"")</f>
        <v/>
      </c>
      <c r="L6284" s="16">
        <f>IF(AND(G6284&gt;0,H6284&gt;0),G6284/H6284,"")</f>
        <v/>
      </c>
    </row>
    <row r="6285">
      <c r="A6285" s="4" t="inlineStr">
        <is>
          <t>326</t>
        </is>
      </c>
      <c r="B6285" s="4" t="n">
        <v>3</v>
      </c>
      <c r="C6285" s="4" t="inlineStr">
        <is>
          <t>mule deer</t>
        </is>
      </c>
      <c r="D6285" s="4" t="n">
        <v>2004</v>
      </c>
      <c r="E6285" s="4" t="inlineStr"/>
      <c r="F6285" s="5" t="n">
        <v>1045</v>
      </c>
      <c r="G6285" s="5" t="n">
        <v>4230</v>
      </c>
      <c r="H6285" s="5" t="n">
        <v>487</v>
      </c>
      <c r="I6285" s="5" t="n">
        <v>248</v>
      </c>
      <c r="J6285" s="5" t="n">
        <v>234</v>
      </c>
      <c r="K6285" s="10">
        <f>IF(F6285&gt;0,H6285/F6285,"")</f>
        <v/>
      </c>
      <c r="L6285" s="16">
        <f>IF(AND(G6285&gt;0,H6285&gt;0),G6285/H6285,"")</f>
        <v/>
      </c>
    </row>
    <row r="6286">
      <c r="A6286" s="4" t="inlineStr">
        <is>
          <t>326</t>
        </is>
      </c>
      <c r="B6286" s="4" t="n">
        <v>3</v>
      </c>
      <c r="C6286" s="4" t="inlineStr">
        <is>
          <t>mule deer</t>
        </is>
      </c>
      <c r="D6286" s="4" t="n">
        <v>2005</v>
      </c>
      <c r="E6286" s="4" t="inlineStr"/>
      <c r="F6286" s="5" t="n">
        <v>775</v>
      </c>
      <c r="G6286" s="5" t="n">
        <v>4073</v>
      </c>
      <c r="H6286" s="5" t="n">
        <v>403</v>
      </c>
      <c r="I6286" s="5" t="n">
        <v>194</v>
      </c>
      <c r="J6286" s="5" t="n">
        <v>209</v>
      </c>
      <c r="K6286" s="10">
        <f>IF(F6286&gt;0,H6286/F6286,"")</f>
        <v/>
      </c>
      <c r="L6286" s="16">
        <f>IF(AND(G6286&gt;0,H6286&gt;0),G6286/H6286,"")</f>
        <v/>
      </c>
    </row>
    <row r="6287">
      <c r="A6287" s="4" t="inlineStr">
        <is>
          <t>326</t>
        </is>
      </c>
      <c r="B6287" s="4" t="n">
        <v>3</v>
      </c>
      <c r="C6287" s="4" t="inlineStr">
        <is>
          <t>mule deer</t>
        </is>
      </c>
      <c r="D6287" s="4" t="n">
        <v>2006</v>
      </c>
      <c r="E6287" s="4" t="inlineStr"/>
      <c r="F6287" s="5" t="n">
        <v>532</v>
      </c>
      <c r="G6287" s="5" t="n">
        <v>2394</v>
      </c>
      <c r="H6287" s="5" t="n">
        <v>337</v>
      </c>
      <c r="I6287" s="5" t="n">
        <v>115</v>
      </c>
      <c r="J6287" s="5" t="n">
        <v>206</v>
      </c>
      <c r="K6287" s="10">
        <f>IF(F6287&gt;0,H6287/F6287,"")</f>
        <v/>
      </c>
      <c r="L6287" s="16">
        <f>IF(AND(G6287&gt;0,H6287&gt;0),G6287/H6287,"")</f>
        <v/>
      </c>
    </row>
    <row r="6288">
      <c r="A6288" s="4" t="inlineStr">
        <is>
          <t>326</t>
        </is>
      </c>
      <c r="B6288" s="4" t="n">
        <v>3</v>
      </c>
      <c r="C6288" s="4" t="inlineStr">
        <is>
          <t>mule deer</t>
        </is>
      </c>
      <c r="D6288" s="4" t="n">
        <v>2007</v>
      </c>
      <c r="E6288" s="4" t="inlineStr"/>
      <c r="F6288" s="5" t="n">
        <v>661</v>
      </c>
      <c r="G6288" s="5" t="n">
        <v>3218</v>
      </c>
      <c r="H6288" s="5" t="n">
        <v>380</v>
      </c>
      <c r="I6288" s="5" t="n">
        <v>163</v>
      </c>
      <c r="J6288" s="5" t="n">
        <v>202</v>
      </c>
      <c r="K6288" s="10">
        <f>IF(F6288&gt;0,H6288/F6288,"")</f>
        <v/>
      </c>
      <c r="L6288" s="16">
        <f>IF(AND(G6288&gt;0,H6288&gt;0),G6288/H6288,"")</f>
        <v/>
      </c>
    </row>
    <row r="6289">
      <c r="A6289" s="4" t="inlineStr">
        <is>
          <t>326</t>
        </is>
      </c>
      <c r="B6289" s="4" t="n">
        <v>3</v>
      </c>
      <c r="C6289" s="4" t="inlineStr">
        <is>
          <t>mule deer</t>
        </is>
      </c>
      <c r="D6289" s="4" t="n">
        <v>2008</v>
      </c>
      <c r="E6289" s="4" t="inlineStr"/>
      <c r="F6289" s="5" t="n">
        <v>678</v>
      </c>
      <c r="G6289" s="5" t="n">
        <v>3152</v>
      </c>
      <c r="H6289" s="5" t="n">
        <v>208</v>
      </c>
      <c r="I6289" s="5" t="n">
        <v>106</v>
      </c>
      <c r="J6289" s="5" t="n">
        <v>102</v>
      </c>
      <c r="K6289" s="10">
        <f>IF(F6289&gt;0,H6289/F6289,"")</f>
        <v/>
      </c>
      <c r="L6289" s="16">
        <f>IF(AND(G6289&gt;0,H6289&gt;0),G6289/H6289,"")</f>
        <v/>
      </c>
    </row>
    <row r="6290">
      <c r="A6290" s="4" t="inlineStr">
        <is>
          <t>326</t>
        </is>
      </c>
      <c r="B6290" s="4" t="n">
        <v>3</v>
      </c>
      <c r="C6290" s="4" t="inlineStr">
        <is>
          <t>mule deer</t>
        </is>
      </c>
      <c r="D6290" s="4" t="n">
        <v>2009</v>
      </c>
      <c r="E6290" s="4" t="inlineStr"/>
      <c r="F6290" s="5" t="n">
        <v>681</v>
      </c>
      <c r="G6290" s="5" t="n">
        <v>3452</v>
      </c>
      <c r="H6290" s="5" t="n">
        <v>224</v>
      </c>
      <c r="I6290" s="5" t="n">
        <v>73</v>
      </c>
      <c r="J6290" s="5" t="n">
        <v>140</v>
      </c>
      <c r="K6290" s="10">
        <f>IF(F6290&gt;0,H6290/F6290,"")</f>
        <v/>
      </c>
      <c r="L6290" s="16">
        <f>IF(AND(G6290&gt;0,H6290&gt;0),G6290/H6290,"")</f>
        <v/>
      </c>
    </row>
    <row r="6291">
      <c r="A6291" s="4" t="inlineStr">
        <is>
          <t>326</t>
        </is>
      </c>
      <c r="B6291" s="4" t="n">
        <v>3</v>
      </c>
      <c r="C6291" s="4" t="inlineStr">
        <is>
          <t>mule deer</t>
        </is>
      </c>
      <c r="D6291" s="4" t="n">
        <v>2010</v>
      </c>
      <c r="E6291" s="4" t="inlineStr"/>
      <c r="F6291" s="5" t="n">
        <v>608</v>
      </c>
      <c r="G6291" s="5" t="n">
        <v>2751</v>
      </c>
      <c r="H6291" s="5" t="n">
        <v>86</v>
      </c>
      <c r="I6291" s="5" t="n">
        <v>55</v>
      </c>
      <c r="J6291" s="5" t="n">
        <v>32</v>
      </c>
      <c r="K6291" s="10">
        <f>IF(F6291&gt;0,H6291/F6291,"")</f>
        <v/>
      </c>
      <c r="L6291" s="16">
        <f>IF(AND(G6291&gt;0,H6291&gt;0),G6291/H6291,"")</f>
        <v/>
      </c>
    </row>
    <row r="6292">
      <c r="A6292" s="4" t="inlineStr">
        <is>
          <t>326</t>
        </is>
      </c>
      <c r="B6292" s="4" t="n">
        <v>3</v>
      </c>
      <c r="C6292" s="4" t="inlineStr">
        <is>
          <t>mule deer</t>
        </is>
      </c>
      <c r="D6292" s="4" t="n">
        <v>2011</v>
      </c>
      <c r="E6292" s="4" t="inlineStr"/>
      <c r="F6292" s="5" t="n">
        <v>515</v>
      </c>
      <c r="G6292" s="5" t="n">
        <v>2575</v>
      </c>
      <c r="H6292" s="5" t="n">
        <v>119</v>
      </c>
      <c r="I6292" s="5" t="n">
        <v>64</v>
      </c>
      <c r="J6292" s="5" t="n">
        <v>54</v>
      </c>
      <c r="K6292" s="10">
        <f>IF(F6292&gt;0,H6292/F6292,"")</f>
        <v/>
      </c>
      <c r="L6292" s="16">
        <f>IF(AND(G6292&gt;0,H6292&gt;0),G6292/H6292,"")</f>
        <v/>
      </c>
    </row>
    <row r="6293">
      <c r="A6293" s="4" t="inlineStr">
        <is>
          <t>326</t>
        </is>
      </c>
      <c r="B6293" s="4" t="n">
        <v>3</v>
      </c>
      <c r="C6293" s="4" t="inlineStr">
        <is>
          <t>mule deer</t>
        </is>
      </c>
      <c r="D6293" s="4" t="n">
        <v>2012</v>
      </c>
      <c r="E6293" s="4" t="inlineStr"/>
      <c r="F6293" s="5" t="n"/>
      <c r="G6293" s="5" t="n"/>
      <c r="H6293" s="5" t="n">
        <v>92</v>
      </c>
      <c r="I6293" s="5" t="n">
        <v>78</v>
      </c>
      <c r="J6293" s="5" t="n">
        <v>14</v>
      </c>
      <c r="K6293" s="10">
        <f>IF(F6293&gt;0,H6293/F6293,"")</f>
        <v/>
      </c>
      <c r="L6293" s="16">
        <f>IF(AND(G6293&gt;0,H6293&gt;0),G6293/H6293,"")</f>
        <v/>
      </c>
    </row>
    <row r="6294">
      <c r="A6294" s="4" t="inlineStr">
        <is>
          <t>326</t>
        </is>
      </c>
      <c r="B6294" s="4" t="n">
        <v>3</v>
      </c>
      <c r="C6294" s="4" t="inlineStr">
        <is>
          <t>mule deer</t>
        </is>
      </c>
      <c r="D6294" s="4" t="n">
        <v>2013</v>
      </c>
      <c r="E6294" s="4" t="inlineStr"/>
      <c r="F6294" s="5" t="n">
        <v>484</v>
      </c>
      <c r="G6294" s="5" t="n">
        <v>2188</v>
      </c>
      <c r="H6294" s="5" t="n">
        <v>70</v>
      </c>
      <c r="I6294" s="5" t="n">
        <v>62</v>
      </c>
      <c r="J6294" s="5" t="n">
        <v>8</v>
      </c>
      <c r="K6294" s="10">
        <f>IF(F6294&gt;0,H6294/F6294,"")</f>
        <v/>
      </c>
      <c r="L6294" s="16">
        <f>IF(AND(G6294&gt;0,H6294&gt;0),G6294/H6294,"")</f>
        <v/>
      </c>
    </row>
    <row r="6295">
      <c r="A6295" s="4" t="inlineStr">
        <is>
          <t>326</t>
        </is>
      </c>
      <c r="B6295" s="4" t="n">
        <v>3</v>
      </c>
      <c r="C6295" s="4" t="inlineStr">
        <is>
          <t>mule deer</t>
        </is>
      </c>
      <c r="D6295" s="4" t="n">
        <v>2014</v>
      </c>
      <c r="E6295" s="4" t="inlineStr"/>
      <c r="F6295" s="5" t="n"/>
      <c r="G6295" s="5" t="n"/>
      <c r="H6295" s="5" t="n">
        <v>99</v>
      </c>
      <c r="I6295" s="5" t="n">
        <v>90</v>
      </c>
      <c r="J6295" s="5" t="n">
        <v>9</v>
      </c>
      <c r="K6295" s="10">
        <f>IF(F6295&gt;0,H6295/F6295,"")</f>
        <v/>
      </c>
      <c r="L6295" s="16">
        <f>IF(AND(G6295&gt;0,H6295&gt;0),G6295/H6295,"")</f>
        <v/>
      </c>
    </row>
    <row r="6296">
      <c r="A6296" s="4" t="inlineStr">
        <is>
          <t>326</t>
        </is>
      </c>
      <c r="B6296" s="4" t="n">
        <v>3</v>
      </c>
      <c r="C6296" s="4" t="inlineStr">
        <is>
          <t>mule deer</t>
        </is>
      </c>
      <c r="D6296" s="4" t="n">
        <v>2015</v>
      </c>
      <c r="E6296" s="4" t="inlineStr"/>
      <c r="F6296" s="5" t="n"/>
      <c r="G6296" s="5" t="n"/>
      <c r="H6296" s="5" t="n">
        <v>97</v>
      </c>
      <c r="I6296" s="5" t="n">
        <v>95</v>
      </c>
      <c r="J6296" s="5" t="n">
        <v>3</v>
      </c>
      <c r="K6296" s="10">
        <f>IF(F6296&gt;0,H6296/F6296,"")</f>
        <v/>
      </c>
      <c r="L6296" s="16">
        <f>IF(AND(G6296&gt;0,H6296&gt;0),G6296/H6296,"")</f>
        <v/>
      </c>
    </row>
    <row r="6297">
      <c r="A6297" s="4" t="inlineStr">
        <is>
          <t>326</t>
        </is>
      </c>
      <c r="B6297" s="4" t="n">
        <v>3</v>
      </c>
      <c r="C6297" s="4" t="inlineStr">
        <is>
          <t>mule deer</t>
        </is>
      </c>
      <c r="D6297" s="4" t="n">
        <v>2016</v>
      </c>
      <c r="E6297" s="4" t="inlineStr"/>
      <c r="F6297" s="5" t="n"/>
      <c r="G6297" s="5" t="n"/>
      <c r="H6297" s="5" t="n">
        <v>128</v>
      </c>
      <c r="I6297" s="5" t="n">
        <v>107</v>
      </c>
      <c r="J6297" s="5" t="n">
        <v>21</v>
      </c>
      <c r="K6297" s="10">
        <f>IF(F6297&gt;0,H6297/F6297,"")</f>
        <v/>
      </c>
      <c r="L6297" s="16">
        <f>IF(AND(G6297&gt;0,H6297&gt;0),G6297/H6297,"")</f>
        <v/>
      </c>
    </row>
    <row r="6298">
      <c r="A6298" s="4" t="inlineStr">
        <is>
          <t>326</t>
        </is>
      </c>
      <c r="B6298" s="4" t="n">
        <v>3</v>
      </c>
      <c r="C6298" s="4" t="inlineStr">
        <is>
          <t>mule deer</t>
        </is>
      </c>
      <c r="D6298" s="4" t="n">
        <v>2017</v>
      </c>
      <c r="E6298" s="4" t="inlineStr"/>
      <c r="F6298" s="5" t="n">
        <v>525</v>
      </c>
      <c r="G6298" s="5" t="n">
        <v>3084</v>
      </c>
      <c r="H6298" s="5" t="n">
        <v>156</v>
      </c>
      <c r="I6298" s="5" t="n">
        <v>112</v>
      </c>
      <c r="J6298" s="5" t="n">
        <v>44</v>
      </c>
      <c r="K6298" s="10">
        <f>IF(F6298&gt;0,H6298/F6298,"")</f>
        <v/>
      </c>
      <c r="L6298" s="16">
        <f>IF(AND(G6298&gt;0,H6298&gt;0),G6298/H6298,"")</f>
        <v/>
      </c>
    </row>
    <row r="6299">
      <c r="A6299" s="4" t="inlineStr">
        <is>
          <t>326</t>
        </is>
      </c>
      <c r="B6299" s="4" t="n">
        <v>3</v>
      </c>
      <c r="C6299" s="4" t="inlineStr">
        <is>
          <t>mule deer</t>
        </is>
      </c>
      <c r="D6299" s="4" t="n">
        <v>2018</v>
      </c>
      <c r="E6299" s="4" t="inlineStr"/>
      <c r="F6299" s="5" t="n"/>
      <c r="G6299" s="5" t="n"/>
      <c r="H6299" s="5" t="n">
        <v>93</v>
      </c>
      <c r="I6299" s="5" t="n">
        <v>77</v>
      </c>
      <c r="J6299" s="5" t="n">
        <v>16</v>
      </c>
      <c r="K6299" s="10">
        <f>IF(F6299&gt;0,H6299/F6299,"")</f>
        <v/>
      </c>
      <c r="L6299" s="16">
        <f>IF(AND(G6299&gt;0,H6299&gt;0),G6299/H6299,"")</f>
        <v/>
      </c>
    </row>
    <row r="6300">
      <c r="A6300" s="4" t="inlineStr">
        <is>
          <t>326</t>
        </is>
      </c>
      <c r="B6300" s="4" t="n">
        <v>3</v>
      </c>
      <c r="C6300" s="4" t="inlineStr">
        <is>
          <t>mule deer</t>
        </is>
      </c>
      <c r="D6300" s="4" t="n">
        <v>2019</v>
      </c>
      <c r="E6300" s="4" t="inlineStr"/>
      <c r="F6300" s="5" t="n">
        <v>633</v>
      </c>
      <c r="G6300" s="5" t="n">
        <v>3356</v>
      </c>
      <c r="H6300" s="5" t="n">
        <v>176</v>
      </c>
      <c r="I6300" s="5" t="n">
        <v>122</v>
      </c>
      <c r="J6300" s="5" t="n">
        <v>54</v>
      </c>
      <c r="K6300" s="10">
        <f>IF(F6300&gt;0,H6300/F6300,"")</f>
        <v/>
      </c>
      <c r="L6300" s="16">
        <f>IF(AND(G6300&gt;0,H6300&gt;0),G6300/H6300,"")</f>
        <v/>
      </c>
    </row>
    <row r="6301">
      <c r="A6301" s="4" t="inlineStr">
        <is>
          <t>326</t>
        </is>
      </c>
      <c r="B6301" s="4" t="n">
        <v>3</v>
      </c>
      <c r="C6301" s="4" t="inlineStr">
        <is>
          <t>mule deer</t>
        </is>
      </c>
      <c r="D6301" s="4" t="n">
        <v>2020</v>
      </c>
      <c r="E6301" s="4" t="inlineStr"/>
      <c r="F6301" s="5" t="n"/>
      <c r="G6301" s="5" t="n"/>
      <c r="H6301" s="5" t="n">
        <v>147</v>
      </c>
      <c r="I6301" s="5" t="n">
        <v>112</v>
      </c>
      <c r="J6301" s="5" t="n">
        <v>36</v>
      </c>
      <c r="K6301" s="10">
        <f>IF(F6301&gt;0,H6301/F6301,"")</f>
        <v/>
      </c>
      <c r="L6301" s="16">
        <f>IF(AND(G6301&gt;0,H6301&gt;0),G6301/H6301,"")</f>
        <v/>
      </c>
    </row>
    <row r="6302">
      <c r="A6302" s="4" t="inlineStr">
        <is>
          <t>326</t>
        </is>
      </c>
      <c r="B6302" s="4" t="n">
        <v>3</v>
      </c>
      <c r="C6302" s="4" t="inlineStr">
        <is>
          <t>mule deer</t>
        </is>
      </c>
      <c r="D6302" s="4" t="n">
        <v>2021</v>
      </c>
      <c r="E6302" s="4" t="inlineStr"/>
      <c r="F6302" s="5" t="n">
        <v>597</v>
      </c>
      <c r="G6302" s="5" t="n">
        <v>3199</v>
      </c>
      <c r="H6302" s="5" t="n">
        <v>150</v>
      </c>
      <c r="I6302" s="5" t="n">
        <v>99</v>
      </c>
      <c r="J6302" s="5" t="n">
        <v>51</v>
      </c>
      <c r="K6302" s="10">
        <f>IF(F6302&gt;0,H6302/F6302,"")</f>
        <v/>
      </c>
      <c r="L6302" s="16">
        <f>IF(AND(G6302&gt;0,H6302&gt;0),G6302/H6302,"")</f>
        <v/>
      </c>
    </row>
    <row r="6303">
      <c r="A6303" s="4" t="inlineStr">
        <is>
          <t>327</t>
        </is>
      </c>
      <c r="B6303" s="4" t="n">
        <v>3</v>
      </c>
      <c r="C6303" s="4" t="inlineStr">
        <is>
          <t>mule deer</t>
        </is>
      </c>
      <c r="D6303" s="4" t="n">
        <v>2004</v>
      </c>
      <c r="E6303" s="4" t="inlineStr"/>
      <c r="F6303" s="5" t="n">
        <v>474</v>
      </c>
      <c r="G6303" s="5" t="n">
        <v>2790</v>
      </c>
      <c r="H6303" s="5" t="n">
        <v>42</v>
      </c>
      <c r="I6303" s="5" t="n">
        <v>42</v>
      </c>
      <c r="J6303" s="5" t="n">
        <v>0</v>
      </c>
      <c r="K6303" s="10">
        <f>IF(F6303&gt;0,H6303/F6303,"")</f>
        <v/>
      </c>
      <c r="L6303" s="16">
        <f>IF(AND(G6303&gt;0,H6303&gt;0),G6303/H6303,"")</f>
        <v/>
      </c>
    </row>
    <row r="6304">
      <c r="A6304" s="4" t="inlineStr">
        <is>
          <t>327</t>
        </is>
      </c>
      <c r="B6304" s="4" t="n">
        <v>3</v>
      </c>
      <c r="C6304" s="4" t="inlineStr">
        <is>
          <t>mule deer</t>
        </is>
      </c>
      <c r="D6304" s="4" t="n">
        <v>2005</v>
      </c>
      <c r="E6304" s="4" t="inlineStr"/>
      <c r="F6304" s="5" t="n">
        <v>298</v>
      </c>
      <c r="G6304" s="5" t="n">
        <v>2178</v>
      </c>
      <c r="H6304" s="5" t="n">
        <v>32</v>
      </c>
      <c r="I6304" s="5" t="n">
        <v>28</v>
      </c>
      <c r="J6304" s="5" t="n">
        <v>4</v>
      </c>
      <c r="K6304" s="10">
        <f>IF(F6304&gt;0,H6304/F6304,"")</f>
        <v/>
      </c>
      <c r="L6304" s="16">
        <f>IF(AND(G6304&gt;0,H6304&gt;0),G6304/H6304,"")</f>
        <v/>
      </c>
    </row>
    <row r="6305">
      <c r="A6305" s="4" t="inlineStr">
        <is>
          <t>327</t>
        </is>
      </c>
      <c r="B6305" s="4" t="n">
        <v>3</v>
      </c>
      <c r="C6305" s="4" t="inlineStr">
        <is>
          <t>mule deer</t>
        </is>
      </c>
      <c r="D6305" s="4" t="n">
        <v>2006</v>
      </c>
      <c r="E6305" s="4" t="inlineStr"/>
      <c r="F6305" s="5" t="n">
        <v>285</v>
      </c>
      <c r="G6305" s="5" t="n">
        <v>1766</v>
      </c>
      <c r="H6305" s="5" t="n">
        <v>26</v>
      </c>
      <c r="I6305" s="5" t="n">
        <v>26</v>
      </c>
      <c r="J6305" s="5" t="n">
        <v>0</v>
      </c>
      <c r="K6305" s="10">
        <f>IF(F6305&gt;0,H6305/F6305,"")</f>
        <v/>
      </c>
      <c r="L6305" s="16">
        <f>IF(AND(G6305&gt;0,H6305&gt;0),G6305/H6305,"")</f>
        <v/>
      </c>
    </row>
    <row r="6306">
      <c r="A6306" s="4" t="inlineStr">
        <is>
          <t>327</t>
        </is>
      </c>
      <c r="B6306" s="4" t="n">
        <v>3</v>
      </c>
      <c r="C6306" s="4" t="inlineStr">
        <is>
          <t>mule deer</t>
        </is>
      </c>
      <c r="D6306" s="4" t="n">
        <v>2007</v>
      </c>
      <c r="E6306" s="4" t="inlineStr"/>
      <c r="F6306" s="5" t="n">
        <v>336</v>
      </c>
      <c r="G6306" s="5" t="n">
        <v>2476</v>
      </c>
      <c r="H6306" s="5" t="n">
        <v>50</v>
      </c>
      <c r="I6306" s="5" t="n">
        <v>45</v>
      </c>
      <c r="J6306" s="5" t="n">
        <v>5</v>
      </c>
      <c r="K6306" s="10">
        <f>IF(F6306&gt;0,H6306/F6306,"")</f>
        <v/>
      </c>
      <c r="L6306" s="16">
        <f>IF(AND(G6306&gt;0,H6306&gt;0),G6306/H6306,"")</f>
        <v/>
      </c>
    </row>
    <row r="6307">
      <c r="A6307" s="4" t="inlineStr">
        <is>
          <t>327</t>
        </is>
      </c>
      <c r="B6307" s="4" t="n">
        <v>3</v>
      </c>
      <c r="C6307" s="4" t="inlineStr">
        <is>
          <t>mule deer</t>
        </is>
      </c>
      <c r="D6307" s="4" t="n">
        <v>2008</v>
      </c>
      <c r="E6307" s="4" t="inlineStr"/>
      <c r="F6307" s="5" t="n">
        <v>373</v>
      </c>
      <c r="G6307" s="5" t="n">
        <v>2180</v>
      </c>
      <c r="H6307" s="5" t="n">
        <v>39</v>
      </c>
      <c r="I6307" s="5" t="n">
        <v>39</v>
      </c>
      <c r="J6307" s="5" t="n">
        <v>0</v>
      </c>
      <c r="K6307" s="10">
        <f>IF(F6307&gt;0,H6307/F6307,"")</f>
        <v/>
      </c>
      <c r="L6307" s="16">
        <f>IF(AND(G6307&gt;0,H6307&gt;0),G6307/H6307,"")</f>
        <v/>
      </c>
    </row>
    <row r="6308">
      <c r="A6308" s="4" t="inlineStr">
        <is>
          <t>327</t>
        </is>
      </c>
      <c r="B6308" s="4" t="n">
        <v>3</v>
      </c>
      <c r="C6308" s="4" t="inlineStr">
        <is>
          <t>mule deer</t>
        </is>
      </c>
      <c r="D6308" s="4" t="n">
        <v>2009</v>
      </c>
      <c r="E6308" s="4" t="inlineStr"/>
      <c r="F6308" s="5" t="n">
        <v>414</v>
      </c>
      <c r="G6308" s="5" t="n">
        <v>2365</v>
      </c>
      <c r="H6308" s="5" t="n">
        <v>34</v>
      </c>
      <c r="I6308" s="5" t="n">
        <v>28</v>
      </c>
      <c r="J6308" s="5" t="n">
        <v>6</v>
      </c>
      <c r="K6308" s="10">
        <f>IF(F6308&gt;0,H6308/F6308,"")</f>
        <v/>
      </c>
      <c r="L6308" s="16">
        <f>IF(AND(G6308&gt;0,H6308&gt;0),G6308/H6308,"")</f>
        <v/>
      </c>
    </row>
    <row r="6309">
      <c r="A6309" s="4" t="inlineStr">
        <is>
          <t>327</t>
        </is>
      </c>
      <c r="B6309" s="4" t="n">
        <v>3</v>
      </c>
      <c r="C6309" s="4" t="inlineStr">
        <is>
          <t>mule deer</t>
        </is>
      </c>
      <c r="D6309" s="4" t="n">
        <v>2010</v>
      </c>
      <c r="E6309" s="4" t="inlineStr"/>
      <c r="F6309" s="5" t="n">
        <v>311</v>
      </c>
      <c r="G6309" s="5" t="n">
        <v>1794</v>
      </c>
      <c r="H6309" s="5" t="n">
        <v>39</v>
      </c>
      <c r="I6309" s="5" t="n">
        <v>34</v>
      </c>
      <c r="J6309" s="5" t="n">
        <v>6</v>
      </c>
      <c r="K6309" s="10">
        <f>IF(F6309&gt;0,H6309/F6309,"")</f>
        <v/>
      </c>
      <c r="L6309" s="16">
        <f>IF(AND(G6309&gt;0,H6309&gt;0),G6309/H6309,"")</f>
        <v/>
      </c>
    </row>
    <row r="6310">
      <c r="A6310" s="4" t="inlineStr">
        <is>
          <t>327</t>
        </is>
      </c>
      <c r="B6310" s="4" t="n">
        <v>3</v>
      </c>
      <c r="C6310" s="4" t="inlineStr">
        <is>
          <t>mule deer</t>
        </is>
      </c>
      <c r="D6310" s="4" t="n">
        <v>2011</v>
      </c>
      <c r="E6310" s="4" t="inlineStr"/>
      <c r="F6310" s="5" t="n">
        <v>338</v>
      </c>
      <c r="G6310" s="5" t="n">
        <v>1838</v>
      </c>
      <c r="H6310" s="5" t="n">
        <v>28</v>
      </c>
      <c r="I6310" s="5" t="n">
        <v>28</v>
      </c>
      <c r="J6310" s="5" t="n">
        <v>0</v>
      </c>
      <c r="K6310" s="10">
        <f>IF(F6310&gt;0,H6310/F6310,"")</f>
        <v/>
      </c>
      <c r="L6310" s="16">
        <f>IF(AND(G6310&gt;0,H6310&gt;0),G6310/H6310,"")</f>
        <v/>
      </c>
    </row>
    <row r="6311">
      <c r="A6311" s="4" t="inlineStr">
        <is>
          <t>327</t>
        </is>
      </c>
      <c r="B6311" s="4" t="n">
        <v>3</v>
      </c>
      <c r="C6311" s="4" t="inlineStr">
        <is>
          <t>mule deer</t>
        </is>
      </c>
      <c r="D6311" s="4" t="n">
        <v>2012</v>
      </c>
      <c r="E6311" s="4" t="inlineStr"/>
      <c r="F6311" s="5" t="n"/>
      <c r="G6311" s="5" t="n"/>
      <c r="H6311" s="5" t="n">
        <v>42</v>
      </c>
      <c r="I6311" s="5" t="n">
        <v>39</v>
      </c>
      <c r="J6311" s="5" t="n">
        <v>3</v>
      </c>
      <c r="K6311" s="10">
        <f>IF(F6311&gt;0,H6311/F6311,"")</f>
        <v/>
      </c>
      <c r="L6311" s="16">
        <f>IF(AND(G6311&gt;0,H6311&gt;0),G6311/H6311,"")</f>
        <v/>
      </c>
    </row>
    <row r="6312">
      <c r="A6312" s="4" t="inlineStr">
        <is>
          <t>327</t>
        </is>
      </c>
      <c r="B6312" s="4" t="n">
        <v>3</v>
      </c>
      <c r="C6312" s="4" t="inlineStr">
        <is>
          <t>mule deer</t>
        </is>
      </c>
      <c r="D6312" s="4" t="n">
        <v>2013</v>
      </c>
      <c r="E6312" s="4" t="inlineStr"/>
      <c r="F6312" s="5" t="n">
        <v>459</v>
      </c>
      <c r="G6312" s="5" t="n">
        <v>2863</v>
      </c>
      <c r="H6312" s="5" t="n">
        <v>33</v>
      </c>
      <c r="I6312" s="5" t="n">
        <v>33</v>
      </c>
      <c r="J6312" s="5" t="n">
        <v>0</v>
      </c>
      <c r="K6312" s="10">
        <f>IF(F6312&gt;0,H6312/F6312,"")</f>
        <v/>
      </c>
      <c r="L6312" s="16">
        <f>IF(AND(G6312&gt;0,H6312&gt;0),G6312/H6312,"")</f>
        <v/>
      </c>
    </row>
    <row r="6313">
      <c r="A6313" s="4" t="inlineStr">
        <is>
          <t>327</t>
        </is>
      </c>
      <c r="B6313" s="4" t="n">
        <v>3</v>
      </c>
      <c r="C6313" s="4" t="inlineStr">
        <is>
          <t>mule deer</t>
        </is>
      </c>
      <c r="D6313" s="4" t="n">
        <v>2014</v>
      </c>
      <c r="E6313" s="4" t="inlineStr"/>
      <c r="F6313" s="5" t="n"/>
      <c r="G6313" s="5" t="n"/>
      <c r="H6313" s="5" t="n">
        <v>59</v>
      </c>
      <c r="I6313" s="5" t="n">
        <v>59</v>
      </c>
      <c r="J6313" s="5" t="n">
        <v>0</v>
      </c>
      <c r="K6313" s="10">
        <f>IF(F6313&gt;0,H6313/F6313,"")</f>
        <v/>
      </c>
      <c r="L6313" s="16">
        <f>IF(AND(G6313&gt;0,H6313&gt;0),G6313/H6313,"")</f>
        <v/>
      </c>
    </row>
    <row r="6314">
      <c r="A6314" s="4" t="inlineStr">
        <is>
          <t>327</t>
        </is>
      </c>
      <c r="B6314" s="4" t="n">
        <v>3</v>
      </c>
      <c r="C6314" s="4" t="inlineStr">
        <is>
          <t>mule deer</t>
        </is>
      </c>
      <c r="D6314" s="4" t="n">
        <v>2015</v>
      </c>
      <c r="E6314" s="4" t="inlineStr"/>
      <c r="F6314" s="5" t="n"/>
      <c r="G6314" s="5" t="n"/>
      <c r="H6314" s="5" t="n">
        <v>83</v>
      </c>
      <c r="I6314" s="5" t="n">
        <v>77</v>
      </c>
      <c r="J6314" s="5" t="n">
        <v>6</v>
      </c>
      <c r="K6314" s="10">
        <f>IF(F6314&gt;0,H6314/F6314,"")</f>
        <v/>
      </c>
      <c r="L6314" s="16">
        <f>IF(AND(G6314&gt;0,H6314&gt;0),G6314/H6314,"")</f>
        <v/>
      </c>
    </row>
    <row r="6315">
      <c r="A6315" s="4" t="inlineStr">
        <is>
          <t>327</t>
        </is>
      </c>
      <c r="B6315" s="4" t="n">
        <v>3</v>
      </c>
      <c r="C6315" s="4" t="inlineStr">
        <is>
          <t>mule deer</t>
        </is>
      </c>
      <c r="D6315" s="4" t="n">
        <v>2016</v>
      </c>
      <c r="E6315" s="4" t="inlineStr"/>
      <c r="F6315" s="5" t="n"/>
      <c r="G6315" s="5" t="n"/>
      <c r="H6315" s="5" t="n">
        <v>65</v>
      </c>
      <c r="I6315" s="5" t="n">
        <v>53</v>
      </c>
      <c r="J6315" s="5" t="n">
        <v>13</v>
      </c>
      <c r="K6315" s="10">
        <f>IF(F6315&gt;0,H6315/F6315,"")</f>
        <v/>
      </c>
      <c r="L6315" s="16">
        <f>IF(AND(G6315&gt;0,H6315&gt;0),G6315/H6315,"")</f>
        <v/>
      </c>
    </row>
    <row r="6316">
      <c r="A6316" s="4" t="inlineStr">
        <is>
          <t>327</t>
        </is>
      </c>
      <c r="B6316" s="4" t="n">
        <v>3</v>
      </c>
      <c r="C6316" s="4" t="inlineStr">
        <is>
          <t>mule deer</t>
        </is>
      </c>
      <c r="D6316" s="4" t="n">
        <v>2017</v>
      </c>
      <c r="E6316" s="4" t="inlineStr"/>
      <c r="F6316" s="5" t="n">
        <v>425</v>
      </c>
      <c r="G6316" s="5" t="n">
        <v>2829</v>
      </c>
      <c r="H6316" s="5" t="n">
        <v>29</v>
      </c>
      <c r="I6316" s="5" t="n">
        <v>21</v>
      </c>
      <c r="J6316" s="5" t="n">
        <v>9</v>
      </c>
      <c r="K6316" s="10">
        <f>IF(F6316&gt;0,H6316/F6316,"")</f>
        <v/>
      </c>
      <c r="L6316" s="16">
        <f>IF(AND(G6316&gt;0,H6316&gt;0),G6316/H6316,"")</f>
        <v/>
      </c>
    </row>
    <row r="6317">
      <c r="A6317" s="4" t="inlineStr">
        <is>
          <t>327</t>
        </is>
      </c>
      <c r="B6317" s="4" t="n">
        <v>3</v>
      </c>
      <c r="C6317" s="4" t="inlineStr">
        <is>
          <t>mule deer</t>
        </is>
      </c>
      <c r="D6317" s="4" t="n">
        <v>2018</v>
      </c>
      <c r="E6317" s="4" t="inlineStr"/>
      <c r="F6317" s="5" t="n"/>
      <c r="G6317" s="5" t="n"/>
      <c r="H6317" s="5" t="n">
        <v>69</v>
      </c>
      <c r="I6317" s="5" t="n">
        <v>57</v>
      </c>
      <c r="J6317" s="5" t="n">
        <v>12</v>
      </c>
      <c r="K6317" s="10">
        <f>IF(F6317&gt;0,H6317/F6317,"")</f>
        <v/>
      </c>
      <c r="L6317" s="16">
        <f>IF(AND(G6317&gt;0,H6317&gt;0),G6317/H6317,"")</f>
        <v/>
      </c>
    </row>
    <row r="6318">
      <c r="A6318" s="4" t="inlineStr">
        <is>
          <t>327</t>
        </is>
      </c>
      <c r="B6318" s="4" t="n">
        <v>3</v>
      </c>
      <c r="C6318" s="4" t="inlineStr">
        <is>
          <t>mule deer</t>
        </is>
      </c>
      <c r="D6318" s="4" t="n">
        <v>2019</v>
      </c>
      <c r="E6318" s="4" t="inlineStr"/>
      <c r="F6318" s="5" t="n">
        <v>505</v>
      </c>
      <c r="G6318" s="5" t="n">
        <v>3201</v>
      </c>
      <c r="H6318" s="5" t="n">
        <v>54</v>
      </c>
      <c r="I6318" s="5" t="n">
        <v>37</v>
      </c>
      <c r="J6318" s="5" t="n">
        <v>16</v>
      </c>
      <c r="K6318" s="10">
        <f>IF(F6318&gt;0,H6318/F6318,"")</f>
        <v/>
      </c>
      <c r="L6318" s="16">
        <f>IF(AND(G6318&gt;0,H6318&gt;0),G6318/H6318,"")</f>
        <v/>
      </c>
    </row>
    <row r="6319">
      <c r="A6319" s="4" t="inlineStr">
        <is>
          <t>327</t>
        </is>
      </c>
      <c r="B6319" s="4" t="n">
        <v>3</v>
      </c>
      <c r="C6319" s="4" t="inlineStr">
        <is>
          <t>mule deer</t>
        </is>
      </c>
      <c r="D6319" s="4" t="n">
        <v>2020</v>
      </c>
      <c r="E6319" s="4" t="inlineStr"/>
      <c r="F6319" s="5" t="n"/>
      <c r="G6319" s="5" t="n"/>
      <c r="H6319" s="5" t="n">
        <v>60</v>
      </c>
      <c r="I6319" s="5" t="n">
        <v>50</v>
      </c>
      <c r="J6319" s="5" t="n">
        <v>10</v>
      </c>
      <c r="K6319" s="10">
        <f>IF(F6319&gt;0,H6319/F6319,"")</f>
        <v/>
      </c>
      <c r="L6319" s="16">
        <f>IF(AND(G6319&gt;0,H6319&gt;0),G6319/H6319,"")</f>
        <v/>
      </c>
    </row>
    <row r="6320">
      <c r="A6320" s="4" t="inlineStr">
        <is>
          <t>327</t>
        </is>
      </c>
      <c r="B6320" s="4" t="n">
        <v>3</v>
      </c>
      <c r="C6320" s="4" t="inlineStr">
        <is>
          <t>mule deer</t>
        </is>
      </c>
      <c r="D6320" s="4" t="n">
        <v>2021</v>
      </c>
      <c r="E6320" s="4" t="inlineStr"/>
      <c r="F6320" s="5" t="n">
        <v>546</v>
      </c>
      <c r="G6320" s="5" t="n">
        <v>3451</v>
      </c>
      <c r="H6320" s="5" t="n">
        <v>70</v>
      </c>
      <c r="I6320" s="5" t="n">
        <v>52</v>
      </c>
      <c r="J6320" s="5" t="n">
        <v>18</v>
      </c>
      <c r="K6320" s="10">
        <f>IF(F6320&gt;0,H6320/F6320,"")</f>
        <v/>
      </c>
      <c r="L6320" s="16">
        <f>IF(AND(G6320&gt;0,H6320&gt;0),G6320/H6320,"")</f>
        <v/>
      </c>
    </row>
    <row r="6321">
      <c r="A6321" s="4" t="inlineStr">
        <is>
          <t>328</t>
        </is>
      </c>
      <c r="B6321" s="4" t="n">
        <v>3</v>
      </c>
      <c r="C6321" s="4" t="inlineStr">
        <is>
          <t>mule deer</t>
        </is>
      </c>
      <c r="D6321" s="4" t="n">
        <v>2004</v>
      </c>
      <c r="E6321" s="4" t="inlineStr"/>
      <c r="F6321" s="5" t="n">
        <v>398</v>
      </c>
      <c r="G6321" s="5" t="n">
        <v>1916</v>
      </c>
      <c r="H6321" s="5" t="n">
        <v>45</v>
      </c>
      <c r="I6321" s="5" t="n">
        <v>35</v>
      </c>
      <c r="J6321" s="5" t="n">
        <v>10</v>
      </c>
      <c r="K6321" s="10">
        <f>IF(F6321&gt;0,H6321/F6321,"")</f>
        <v/>
      </c>
      <c r="L6321" s="16">
        <f>IF(AND(G6321&gt;0,H6321&gt;0),G6321/H6321,"")</f>
        <v/>
      </c>
    </row>
    <row r="6322">
      <c r="A6322" s="4" t="inlineStr">
        <is>
          <t>328</t>
        </is>
      </c>
      <c r="B6322" s="4" t="n">
        <v>3</v>
      </c>
      <c r="C6322" s="4" t="inlineStr">
        <is>
          <t>mule deer</t>
        </is>
      </c>
      <c r="D6322" s="4" t="n">
        <v>2005</v>
      </c>
      <c r="E6322" s="4" t="inlineStr"/>
      <c r="F6322" s="5" t="n">
        <v>245</v>
      </c>
      <c r="G6322" s="5" t="n">
        <v>1566</v>
      </c>
      <c r="H6322" s="5" t="n">
        <v>48</v>
      </c>
      <c r="I6322" s="5" t="n">
        <v>38</v>
      </c>
      <c r="J6322" s="5" t="n">
        <v>10</v>
      </c>
      <c r="K6322" s="10">
        <f>IF(F6322&gt;0,H6322/F6322,"")</f>
        <v/>
      </c>
      <c r="L6322" s="16">
        <f>IF(AND(G6322&gt;0,H6322&gt;0),G6322/H6322,"")</f>
        <v/>
      </c>
    </row>
    <row r="6323">
      <c r="A6323" s="4" t="inlineStr">
        <is>
          <t>328</t>
        </is>
      </c>
      <c r="B6323" s="4" t="n">
        <v>3</v>
      </c>
      <c r="C6323" s="4" t="inlineStr">
        <is>
          <t>mule deer</t>
        </is>
      </c>
      <c r="D6323" s="4" t="n">
        <v>2006</v>
      </c>
      <c r="E6323" s="4" t="inlineStr"/>
      <c r="F6323" s="5" t="n">
        <v>270</v>
      </c>
      <c r="G6323" s="5" t="n">
        <v>1168</v>
      </c>
      <c r="H6323" s="5" t="n">
        <v>32</v>
      </c>
      <c r="I6323" s="5" t="n">
        <v>22</v>
      </c>
      <c r="J6323" s="5" t="n">
        <v>9</v>
      </c>
      <c r="K6323" s="10">
        <f>IF(F6323&gt;0,H6323/F6323,"")</f>
        <v/>
      </c>
      <c r="L6323" s="16">
        <f>IF(AND(G6323&gt;0,H6323&gt;0),G6323/H6323,"")</f>
        <v/>
      </c>
    </row>
    <row r="6324">
      <c r="A6324" s="4" t="inlineStr">
        <is>
          <t>328</t>
        </is>
      </c>
      <c r="B6324" s="4" t="n">
        <v>3</v>
      </c>
      <c r="C6324" s="4" t="inlineStr">
        <is>
          <t>mule deer</t>
        </is>
      </c>
      <c r="D6324" s="4" t="n">
        <v>2007</v>
      </c>
      <c r="E6324" s="4" t="inlineStr"/>
      <c r="F6324" s="5" t="n">
        <v>322</v>
      </c>
      <c r="G6324" s="5" t="n">
        <v>2020</v>
      </c>
      <c r="H6324" s="5" t="n">
        <v>44</v>
      </c>
      <c r="I6324" s="5" t="n">
        <v>36</v>
      </c>
      <c r="J6324" s="5" t="n">
        <v>8</v>
      </c>
      <c r="K6324" s="10">
        <f>IF(F6324&gt;0,H6324/F6324,"")</f>
        <v/>
      </c>
      <c r="L6324" s="16">
        <f>IF(AND(G6324&gt;0,H6324&gt;0),G6324/H6324,"")</f>
        <v/>
      </c>
    </row>
    <row r="6325">
      <c r="A6325" s="4" t="inlineStr">
        <is>
          <t>328</t>
        </is>
      </c>
      <c r="B6325" s="4" t="n">
        <v>3</v>
      </c>
      <c r="C6325" s="4" t="inlineStr">
        <is>
          <t>mule deer</t>
        </is>
      </c>
      <c r="D6325" s="4" t="n">
        <v>2008</v>
      </c>
      <c r="E6325" s="4" t="inlineStr"/>
      <c r="F6325" s="5" t="n">
        <v>284</v>
      </c>
      <c r="G6325" s="5" t="n">
        <v>1513</v>
      </c>
      <c r="H6325" s="5" t="n">
        <v>35</v>
      </c>
      <c r="I6325" s="5" t="n">
        <v>29</v>
      </c>
      <c r="J6325" s="5" t="n">
        <v>6</v>
      </c>
      <c r="K6325" s="10">
        <f>IF(F6325&gt;0,H6325/F6325,"")</f>
        <v/>
      </c>
      <c r="L6325" s="16">
        <f>IF(AND(G6325&gt;0,H6325&gt;0),G6325/H6325,"")</f>
        <v/>
      </c>
    </row>
    <row r="6326">
      <c r="A6326" s="4" t="inlineStr">
        <is>
          <t>328</t>
        </is>
      </c>
      <c r="B6326" s="4" t="n">
        <v>3</v>
      </c>
      <c r="C6326" s="4" t="inlineStr">
        <is>
          <t>mule deer</t>
        </is>
      </c>
      <c r="D6326" s="4" t="n">
        <v>2009</v>
      </c>
      <c r="E6326" s="4" t="inlineStr"/>
      <c r="F6326" s="5" t="n">
        <v>333</v>
      </c>
      <c r="G6326" s="5" t="n">
        <v>2001</v>
      </c>
      <c r="H6326" s="5" t="n">
        <v>19</v>
      </c>
      <c r="I6326" s="5" t="n">
        <v>12</v>
      </c>
      <c r="J6326" s="5" t="n">
        <v>7</v>
      </c>
      <c r="K6326" s="10">
        <f>IF(F6326&gt;0,H6326/F6326,"")</f>
        <v/>
      </c>
      <c r="L6326" s="16">
        <f>IF(AND(G6326&gt;0,H6326&gt;0),G6326/H6326,"")</f>
        <v/>
      </c>
    </row>
    <row r="6327">
      <c r="A6327" s="4" t="inlineStr">
        <is>
          <t>328</t>
        </is>
      </c>
      <c r="B6327" s="4" t="n">
        <v>3</v>
      </c>
      <c r="C6327" s="4" t="inlineStr">
        <is>
          <t>mule deer</t>
        </is>
      </c>
      <c r="D6327" s="4" t="n">
        <v>2010</v>
      </c>
      <c r="E6327" s="4" t="inlineStr"/>
      <c r="F6327" s="5" t="n">
        <v>213</v>
      </c>
      <c r="G6327" s="5" t="n">
        <v>1434</v>
      </c>
      <c r="H6327" s="5" t="n">
        <v>20</v>
      </c>
      <c r="I6327" s="5" t="n">
        <v>11</v>
      </c>
      <c r="J6327" s="5" t="n">
        <v>8</v>
      </c>
      <c r="K6327" s="10">
        <f>IF(F6327&gt;0,H6327/F6327,"")</f>
        <v/>
      </c>
      <c r="L6327" s="16">
        <f>IF(AND(G6327&gt;0,H6327&gt;0),G6327/H6327,"")</f>
        <v/>
      </c>
    </row>
    <row r="6328">
      <c r="A6328" s="4" t="inlineStr">
        <is>
          <t>328</t>
        </is>
      </c>
      <c r="B6328" s="4" t="n">
        <v>3</v>
      </c>
      <c r="C6328" s="4" t="inlineStr">
        <is>
          <t>mule deer</t>
        </is>
      </c>
      <c r="D6328" s="4" t="n">
        <v>2011</v>
      </c>
      <c r="E6328" s="4" t="inlineStr"/>
      <c r="F6328" s="5" t="n">
        <v>252</v>
      </c>
      <c r="G6328" s="5" t="n">
        <v>1492</v>
      </c>
      <c r="H6328" s="5" t="n">
        <v>39</v>
      </c>
      <c r="I6328" s="5" t="n">
        <v>39</v>
      </c>
      <c r="J6328" s="5" t="n">
        <v>0</v>
      </c>
      <c r="K6328" s="10">
        <f>IF(F6328&gt;0,H6328/F6328,"")</f>
        <v/>
      </c>
      <c r="L6328" s="16">
        <f>IF(AND(G6328&gt;0,H6328&gt;0),G6328/H6328,"")</f>
        <v/>
      </c>
    </row>
    <row r="6329">
      <c r="A6329" s="4" t="inlineStr">
        <is>
          <t>328</t>
        </is>
      </c>
      <c r="B6329" s="4" t="n">
        <v>3</v>
      </c>
      <c r="C6329" s="4" t="inlineStr">
        <is>
          <t>mule deer</t>
        </is>
      </c>
      <c r="D6329" s="4" t="n">
        <v>2012</v>
      </c>
      <c r="E6329" s="4" t="inlineStr"/>
      <c r="F6329" s="5" t="n"/>
      <c r="G6329" s="5" t="n"/>
      <c r="H6329" s="5" t="n">
        <v>27</v>
      </c>
      <c r="I6329" s="5" t="n">
        <v>24</v>
      </c>
      <c r="J6329" s="5" t="n">
        <v>4</v>
      </c>
      <c r="K6329" s="10">
        <f>IF(F6329&gt;0,H6329/F6329,"")</f>
        <v/>
      </c>
      <c r="L6329" s="16">
        <f>IF(AND(G6329&gt;0,H6329&gt;0),G6329/H6329,"")</f>
        <v/>
      </c>
    </row>
    <row r="6330">
      <c r="A6330" s="4" t="inlineStr">
        <is>
          <t>328</t>
        </is>
      </c>
      <c r="B6330" s="4" t="n">
        <v>3</v>
      </c>
      <c r="C6330" s="4" t="inlineStr">
        <is>
          <t>mule deer</t>
        </is>
      </c>
      <c r="D6330" s="4" t="n">
        <v>2013</v>
      </c>
      <c r="E6330" s="4" t="inlineStr"/>
      <c r="F6330" s="5" t="n">
        <v>250</v>
      </c>
      <c r="G6330" s="5" t="n">
        <v>1647</v>
      </c>
      <c r="H6330" s="5" t="n">
        <v>38</v>
      </c>
      <c r="I6330" s="5" t="n">
        <v>36</v>
      </c>
      <c r="J6330" s="5" t="n">
        <v>1</v>
      </c>
      <c r="K6330" s="10">
        <f>IF(F6330&gt;0,H6330/F6330,"")</f>
        <v/>
      </c>
      <c r="L6330" s="16">
        <f>IF(AND(G6330&gt;0,H6330&gt;0),G6330/H6330,"")</f>
        <v/>
      </c>
    </row>
    <row r="6331">
      <c r="A6331" s="4" t="inlineStr">
        <is>
          <t>328</t>
        </is>
      </c>
      <c r="B6331" s="4" t="n">
        <v>3</v>
      </c>
      <c r="C6331" s="4" t="inlineStr">
        <is>
          <t>mule deer</t>
        </is>
      </c>
      <c r="D6331" s="4" t="n">
        <v>2014</v>
      </c>
      <c r="E6331" s="4" t="inlineStr"/>
      <c r="F6331" s="5" t="n"/>
      <c r="G6331" s="5" t="n"/>
      <c r="H6331" s="5" t="n">
        <v>38</v>
      </c>
      <c r="I6331" s="5" t="n">
        <v>38</v>
      </c>
      <c r="J6331" s="5" t="n">
        <v>0</v>
      </c>
      <c r="K6331" s="10">
        <f>IF(F6331&gt;0,H6331/F6331,"")</f>
        <v/>
      </c>
      <c r="L6331" s="16">
        <f>IF(AND(G6331&gt;0,H6331&gt;0),G6331/H6331,"")</f>
        <v/>
      </c>
    </row>
    <row r="6332">
      <c r="A6332" s="4" t="inlineStr">
        <is>
          <t>328</t>
        </is>
      </c>
      <c r="B6332" s="4" t="n">
        <v>3</v>
      </c>
      <c r="C6332" s="4" t="inlineStr">
        <is>
          <t>mule deer</t>
        </is>
      </c>
      <c r="D6332" s="4" t="n">
        <v>2015</v>
      </c>
      <c r="E6332" s="4" t="inlineStr"/>
      <c r="F6332" s="5" t="n"/>
      <c r="G6332" s="5" t="n"/>
      <c r="H6332" s="5" t="n">
        <v>31</v>
      </c>
      <c r="I6332" s="5" t="n">
        <v>29</v>
      </c>
      <c r="J6332" s="5" t="n">
        <v>3</v>
      </c>
      <c r="K6332" s="10">
        <f>IF(F6332&gt;0,H6332/F6332,"")</f>
        <v/>
      </c>
      <c r="L6332" s="16">
        <f>IF(AND(G6332&gt;0,H6332&gt;0),G6332/H6332,"")</f>
        <v/>
      </c>
    </row>
    <row r="6333">
      <c r="A6333" s="4" t="inlineStr">
        <is>
          <t>328</t>
        </is>
      </c>
      <c r="B6333" s="4" t="n">
        <v>3</v>
      </c>
      <c r="C6333" s="4" t="inlineStr">
        <is>
          <t>mule deer</t>
        </is>
      </c>
      <c r="D6333" s="4" t="n">
        <v>2016</v>
      </c>
      <c r="E6333" s="4" t="inlineStr"/>
      <c r="F6333" s="5" t="n"/>
      <c r="G6333" s="5" t="n"/>
      <c r="H6333" s="5" t="n">
        <v>59</v>
      </c>
      <c r="I6333" s="5" t="n">
        <v>53</v>
      </c>
      <c r="J6333" s="5" t="n">
        <v>6</v>
      </c>
      <c r="K6333" s="10">
        <f>IF(F6333&gt;0,H6333/F6333,"")</f>
        <v/>
      </c>
      <c r="L6333" s="16">
        <f>IF(AND(G6333&gt;0,H6333&gt;0),G6333/H6333,"")</f>
        <v/>
      </c>
    </row>
    <row r="6334">
      <c r="A6334" s="4" t="inlineStr">
        <is>
          <t>328</t>
        </is>
      </c>
      <c r="B6334" s="4" t="n">
        <v>3</v>
      </c>
      <c r="C6334" s="4" t="inlineStr">
        <is>
          <t>mule deer</t>
        </is>
      </c>
      <c r="D6334" s="4" t="n">
        <v>2017</v>
      </c>
      <c r="E6334" s="4" t="inlineStr"/>
      <c r="F6334" s="5" t="n">
        <v>257</v>
      </c>
      <c r="G6334" s="5" t="n">
        <v>1436</v>
      </c>
      <c r="H6334" s="5" t="n">
        <v>19</v>
      </c>
      <c r="I6334" s="5" t="n">
        <v>16</v>
      </c>
      <c r="J6334" s="5" t="n">
        <v>3</v>
      </c>
      <c r="K6334" s="10">
        <f>IF(F6334&gt;0,H6334/F6334,"")</f>
        <v/>
      </c>
      <c r="L6334" s="16">
        <f>IF(AND(G6334&gt;0,H6334&gt;0),G6334/H6334,"")</f>
        <v/>
      </c>
    </row>
    <row r="6335">
      <c r="A6335" s="4" t="inlineStr">
        <is>
          <t>328</t>
        </is>
      </c>
      <c r="B6335" s="4" t="n">
        <v>3</v>
      </c>
      <c r="C6335" s="4" t="inlineStr">
        <is>
          <t>mule deer</t>
        </is>
      </c>
      <c r="D6335" s="4" t="n">
        <v>2018</v>
      </c>
      <c r="E6335" s="4" t="inlineStr"/>
      <c r="F6335" s="5" t="n"/>
      <c r="G6335" s="5" t="n"/>
      <c r="H6335" s="5" t="n">
        <v>28</v>
      </c>
      <c r="I6335" s="5" t="n">
        <v>15</v>
      </c>
      <c r="J6335" s="5" t="n">
        <v>12</v>
      </c>
      <c r="K6335" s="10">
        <f>IF(F6335&gt;0,H6335/F6335,"")</f>
        <v/>
      </c>
      <c r="L6335" s="16">
        <f>IF(AND(G6335&gt;0,H6335&gt;0),G6335/H6335,"")</f>
        <v/>
      </c>
    </row>
    <row r="6336">
      <c r="A6336" s="4" t="inlineStr">
        <is>
          <t>328</t>
        </is>
      </c>
      <c r="B6336" s="4" t="n">
        <v>3</v>
      </c>
      <c r="C6336" s="4" t="inlineStr">
        <is>
          <t>mule deer</t>
        </is>
      </c>
      <c r="D6336" s="4" t="n">
        <v>2019</v>
      </c>
      <c r="E6336" s="4" t="inlineStr"/>
      <c r="F6336" s="5" t="n">
        <v>258</v>
      </c>
      <c r="G6336" s="5" t="n">
        <v>1446</v>
      </c>
      <c r="H6336" s="5" t="n">
        <v>42</v>
      </c>
      <c r="I6336" s="5" t="n">
        <v>39</v>
      </c>
      <c r="J6336" s="5" t="n">
        <v>3</v>
      </c>
      <c r="K6336" s="10">
        <f>IF(F6336&gt;0,H6336/F6336,"")</f>
        <v/>
      </c>
      <c r="L6336" s="16">
        <f>IF(AND(G6336&gt;0,H6336&gt;0),G6336/H6336,"")</f>
        <v/>
      </c>
    </row>
    <row r="6337">
      <c r="A6337" s="4" t="inlineStr">
        <is>
          <t>328</t>
        </is>
      </c>
      <c r="B6337" s="4" t="n">
        <v>3</v>
      </c>
      <c r="C6337" s="4" t="inlineStr">
        <is>
          <t>mule deer</t>
        </is>
      </c>
      <c r="D6337" s="4" t="n">
        <v>2020</v>
      </c>
      <c r="E6337" s="4" t="inlineStr"/>
      <c r="F6337" s="5" t="n"/>
      <c r="G6337" s="5" t="n"/>
      <c r="H6337" s="5" t="n">
        <v>37</v>
      </c>
      <c r="I6337" s="5" t="n">
        <v>35</v>
      </c>
      <c r="J6337" s="5" t="n">
        <v>3</v>
      </c>
      <c r="K6337" s="10">
        <f>IF(F6337&gt;0,H6337/F6337,"")</f>
        <v/>
      </c>
      <c r="L6337" s="16">
        <f>IF(AND(G6337&gt;0,H6337&gt;0),G6337/H6337,"")</f>
        <v/>
      </c>
    </row>
    <row r="6338">
      <c r="A6338" s="4" t="inlineStr">
        <is>
          <t>328</t>
        </is>
      </c>
      <c r="B6338" s="4" t="n">
        <v>3</v>
      </c>
      <c r="C6338" s="4" t="inlineStr">
        <is>
          <t>mule deer</t>
        </is>
      </c>
      <c r="D6338" s="4" t="n">
        <v>2021</v>
      </c>
      <c r="E6338" s="4" t="inlineStr"/>
      <c r="F6338" s="5" t="n">
        <v>320</v>
      </c>
      <c r="G6338" s="5" t="n">
        <v>1581</v>
      </c>
      <c r="H6338" s="5" t="n">
        <v>57</v>
      </c>
      <c r="I6338" s="5" t="n">
        <v>42</v>
      </c>
      <c r="J6338" s="5" t="n">
        <v>15</v>
      </c>
      <c r="K6338" s="10">
        <f>IF(F6338&gt;0,H6338/F6338,"")</f>
        <v/>
      </c>
      <c r="L6338" s="16">
        <f>IF(AND(G6338&gt;0,H6338&gt;0),G6338/H6338,"")</f>
        <v/>
      </c>
    </row>
    <row r="6339">
      <c r="A6339" s="4" t="inlineStr">
        <is>
          <t>329</t>
        </is>
      </c>
      <c r="B6339" s="4" t="n">
        <v>3</v>
      </c>
      <c r="C6339" s="4" t="inlineStr">
        <is>
          <t>mule deer</t>
        </is>
      </c>
      <c r="D6339" s="4" t="n">
        <v>2004</v>
      </c>
      <c r="E6339" s="13" t="inlineStr">
        <is>
          <t>General</t>
        </is>
      </c>
      <c r="F6339" s="5" t="n">
        <v>967</v>
      </c>
      <c r="G6339" s="5" t="n">
        <v>5045</v>
      </c>
      <c r="H6339" s="5" t="n">
        <v>124</v>
      </c>
      <c r="I6339" s="5" t="n">
        <v>94</v>
      </c>
      <c r="J6339" s="5" t="n">
        <v>30</v>
      </c>
      <c r="K6339" s="10">
        <f>IF(F6339&gt;0,H6339/F6339,"")</f>
        <v/>
      </c>
      <c r="L6339" s="16">
        <f>IF(AND(G6339&gt;0,H6339&gt;0),G6339/H6339,"")</f>
        <v/>
      </c>
    </row>
    <row r="6340">
      <c r="A6340" s="4" t="inlineStr">
        <is>
          <t>329</t>
        </is>
      </c>
      <c r="B6340" s="4" t="n">
        <v>3</v>
      </c>
      <c r="C6340" s="4" t="inlineStr">
        <is>
          <t>mule deer</t>
        </is>
      </c>
      <c r="D6340" s="4" t="n">
        <v>2005</v>
      </c>
      <c r="E6340" s="13" t="inlineStr">
        <is>
          <t>General</t>
        </is>
      </c>
      <c r="F6340" s="5" t="n">
        <v>724</v>
      </c>
      <c r="G6340" s="5" t="n">
        <v>4098</v>
      </c>
      <c r="H6340" s="5" t="n">
        <v>138</v>
      </c>
      <c r="I6340" s="5" t="n">
        <v>92</v>
      </c>
      <c r="J6340" s="5" t="n">
        <v>47</v>
      </c>
      <c r="K6340" s="10">
        <f>IF(F6340&gt;0,H6340/F6340,"")</f>
        <v/>
      </c>
      <c r="L6340" s="16">
        <f>IF(AND(G6340&gt;0,H6340&gt;0),G6340/H6340,"")</f>
        <v/>
      </c>
    </row>
    <row r="6341">
      <c r="A6341" s="4" t="inlineStr">
        <is>
          <t>329</t>
        </is>
      </c>
      <c r="B6341" s="4" t="n">
        <v>3</v>
      </c>
      <c r="C6341" s="4" t="inlineStr">
        <is>
          <t>mule deer</t>
        </is>
      </c>
      <c r="D6341" s="4" t="n">
        <v>2006</v>
      </c>
      <c r="E6341" s="13" t="inlineStr">
        <is>
          <t>General</t>
        </is>
      </c>
      <c r="F6341" s="5" t="n">
        <v>628</v>
      </c>
      <c r="G6341" s="5" t="n">
        <v>3642</v>
      </c>
      <c r="H6341" s="5" t="n">
        <v>154</v>
      </c>
      <c r="I6341" s="5" t="n">
        <v>110</v>
      </c>
      <c r="J6341" s="5" t="n">
        <v>44</v>
      </c>
      <c r="K6341" s="10">
        <f>IF(F6341&gt;0,H6341/F6341,"")</f>
        <v/>
      </c>
      <c r="L6341" s="16">
        <f>IF(AND(G6341&gt;0,H6341&gt;0),G6341/H6341,"")</f>
        <v/>
      </c>
    </row>
    <row r="6342">
      <c r="A6342" s="4" t="inlineStr">
        <is>
          <t>329</t>
        </is>
      </c>
      <c r="B6342" s="4" t="n">
        <v>3</v>
      </c>
      <c r="C6342" s="4" t="inlineStr">
        <is>
          <t>mule deer</t>
        </is>
      </c>
      <c r="D6342" s="4" t="n">
        <v>2007</v>
      </c>
      <c r="E6342" s="13" t="inlineStr">
        <is>
          <t>General</t>
        </is>
      </c>
      <c r="F6342" s="5" t="n">
        <v>642</v>
      </c>
      <c r="G6342" s="5" t="n">
        <v>3769</v>
      </c>
      <c r="H6342" s="5" t="n">
        <v>108</v>
      </c>
      <c r="I6342" s="5" t="n">
        <v>79</v>
      </c>
      <c r="J6342" s="5" t="n">
        <v>29</v>
      </c>
      <c r="K6342" s="10">
        <f>IF(F6342&gt;0,H6342/F6342,"")</f>
        <v/>
      </c>
      <c r="L6342" s="16">
        <f>IF(AND(G6342&gt;0,H6342&gt;0),G6342/H6342,"")</f>
        <v/>
      </c>
    </row>
    <row r="6343">
      <c r="A6343" s="4" t="inlineStr">
        <is>
          <t>329</t>
        </is>
      </c>
      <c r="B6343" s="4" t="n">
        <v>3</v>
      </c>
      <c r="C6343" s="4" t="inlineStr">
        <is>
          <t>mule deer</t>
        </is>
      </c>
      <c r="D6343" s="4" t="n">
        <v>2008</v>
      </c>
      <c r="E6343" s="13" t="inlineStr">
        <is>
          <t>General</t>
        </is>
      </c>
      <c r="F6343" s="5" t="n">
        <v>573</v>
      </c>
      <c r="G6343" s="5" t="n">
        <v>2924</v>
      </c>
      <c r="H6343" s="5" t="n">
        <v>112</v>
      </c>
      <c r="I6343" s="5" t="n">
        <v>72</v>
      </c>
      <c r="J6343" s="5" t="n">
        <v>38</v>
      </c>
      <c r="K6343" s="10">
        <f>IF(F6343&gt;0,H6343/F6343,"")</f>
        <v/>
      </c>
      <c r="L6343" s="16">
        <f>IF(AND(G6343&gt;0,H6343&gt;0),G6343/H6343,"")</f>
        <v/>
      </c>
    </row>
    <row r="6344">
      <c r="A6344" s="4" t="inlineStr">
        <is>
          <t>329</t>
        </is>
      </c>
      <c r="B6344" s="4" t="n">
        <v>3</v>
      </c>
      <c r="C6344" s="4" t="inlineStr">
        <is>
          <t>mule deer</t>
        </is>
      </c>
      <c r="D6344" s="4" t="n">
        <v>2009</v>
      </c>
      <c r="E6344" s="13" t="inlineStr">
        <is>
          <t>General</t>
        </is>
      </c>
      <c r="F6344" s="5" t="n">
        <v>746</v>
      </c>
      <c r="G6344" s="5" t="n">
        <v>4055</v>
      </c>
      <c r="H6344" s="5" t="n">
        <v>70</v>
      </c>
      <c r="I6344" s="5" t="n">
        <v>47</v>
      </c>
      <c r="J6344" s="5" t="n">
        <v>23</v>
      </c>
      <c r="K6344" s="10">
        <f>IF(F6344&gt;0,H6344/F6344,"")</f>
        <v/>
      </c>
      <c r="L6344" s="16">
        <f>IF(AND(G6344&gt;0,H6344&gt;0),G6344/H6344,"")</f>
        <v/>
      </c>
    </row>
    <row r="6345">
      <c r="A6345" s="4" t="inlineStr">
        <is>
          <t>329</t>
        </is>
      </c>
      <c r="B6345" s="4" t="n">
        <v>3</v>
      </c>
      <c r="C6345" s="4" t="inlineStr">
        <is>
          <t>mule deer</t>
        </is>
      </c>
      <c r="D6345" s="4" t="n">
        <v>2010</v>
      </c>
      <c r="E6345" s="13" t="inlineStr">
        <is>
          <t>General</t>
        </is>
      </c>
      <c r="F6345" s="5" t="n">
        <v>410</v>
      </c>
      <c r="G6345" s="5" t="n">
        <v>2136</v>
      </c>
      <c r="H6345" s="5" t="n">
        <v>44</v>
      </c>
      <c r="I6345" s="5" t="n">
        <v>40</v>
      </c>
      <c r="J6345" s="5" t="n">
        <v>5</v>
      </c>
      <c r="K6345" s="10">
        <f>IF(F6345&gt;0,H6345/F6345,"")</f>
        <v/>
      </c>
      <c r="L6345" s="16">
        <f>IF(AND(G6345&gt;0,H6345&gt;0),G6345/H6345,"")</f>
        <v/>
      </c>
    </row>
    <row r="6346">
      <c r="A6346" s="4" t="inlineStr">
        <is>
          <t>329</t>
        </is>
      </c>
      <c r="B6346" s="4" t="n">
        <v>3</v>
      </c>
      <c r="C6346" s="4" t="inlineStr">
        <is>
          <t>mule deer</t>
        </is>
      </c>
      <c r="D6346" s="4" t="n">
        <v>2011</v>
      </c>
      <c r="E6346" s="13" t="inlineStr">
        <is>
          <t>General</t>
        </is>
      </c>
      <c r="F6346" s="5" t="n">
        <v>517</v>
      </c>
      <c r="G6346" s="5" t="n">
        <v>3450</v>
      </c>
      <c r="H6346" s="5" t="n">
        <v>60</v>
      </c>
      <c r="I6346" s="5" t="n">
        <v>41</v>
      </c>
      <c r="J6346" s="5" t="n">
        <v>13</v>
      </c>
      <c r="K6346" s="10">
        <f>IF(F6346&gt;0,H6346/F6346,"")</f>
        <v/>
      </c>
      <c r="L6346" s="16">
        <f>IF(AND(G6346&gt;0,H6346&gt;0),G6346/H6346,"")</f>
        <v/>
      </c>
    </row>
    <row r="6347">
      <c r="A6347" s="4" t="inlineStr">
        <is>
          <t>329</t>
        </is>
      </c>
      <c r="B6347" s="4" t="n">
        <v>3</v>
      </c>
      <c r="C6347" s="4" t="inlineStr">
        <is>
          <t>mule deer</t>
        </is>
      </c>
      <c r="D6347" s="4" t="n">
        <v>2012</v>
      </c>
      <c r="E6347" s="13" t="inlineStr">
        <is>
          <t>General</t>
        </is>
      </c>
      <c r="F6347" s="5" t="n"/>
      <c r="G6347" s="5" t="n"/>
      <c r="H6347" s="5" t="n">
        <v>47</v>
      </c>
      <c r="I6347" s="5" t="n">
        <v>36</v>
      </c>
      <c r="J6347" s="5" t="n">
        <v>12</v>
      </c>
      <c r="K6347" s="10">
        <f>IF(F6347&gt;0,H6347/F6347,"")</f>
        <v/>
      </c>
      <c r="L6347" s="16">
        <f>IF(AND(G6347&gt;0,H6347&gt;0),G6347/H6347,"")</f>
        <v/>
      </c>
    </row>
    <row r="6348">
      <c r="A6348" s="4" t="inlineStr">
        <is>
          <t>329</t>
        </is>
      </c>
      <c r="B6348" s="4" t="n">
        <v>3</v>
      </c>
      <c r="C6348" s="4" t="inlineStr">
        <is>
          <t>mule deer</t>
        </is>
      </c>
      <c r="D6348" s="4" t="n">
        <v>2013</v>
      </c>
      <c r="E6348" s="13" t="inlineStr">
        <is>
          <t>General</t>
        </is>
      </c>
      <c r="F6348" s="5" t="n">
        <v>475</v>
      </c>
      <c r="G6348" s="5" t="n">
        <v>2650</v>
      </c>
      <c r="H6348" s="5" t="n">
        <v>61</v>
      </c>
      <c r="I6348" s="5" t="n">
        <v>46</v>
      </c>
      <c r="J6348" s="5" t="n">
        <v>15</v>
      </c>
      <c r="K6348" s="10">
        <f>IF(F6348&gt;0,H6348/F6348,"")</f>
        <v/>
      </c>
      <c r="L6348" s="16">
        <f>IF(AND(G6348&gt;0,H6348&gt;0),G6348/H6348,"")</f>
        <v/>
      </c>
    </row>
    <row r="6349">
      <c r="A6349" s="4" t="inlineStr">
        <is>
          <t>329</t>
        </is>
      </c>
      <c r="B6349" s="4" t="n">
        <v>3</v>
      </c>
      <c r="C6349" s="4" t="inlineStr">
        <is>
          <t>mule deer</t>
        </is>
      </c>
      <c r="D6349" s="4" t="n">
        <v>2014</v>
      </c>
      <c r="E6349" s="13" t="inlineStr">
        <is>
          <t>General</t>
        </is>
      </c>
      <c r="F6349" s="5" t="n"/>
      <c r="G6349" s="5" t="n"/>
      <c r="H6349" s="5" t="n">
        <v>78</v>
      </c>
      <c r="I6349" s="5" t="n">
        <v>67</v>
      </c>
      <c r="J6349" s="5" t="n">
        <v>11</v>
      </c>
      <c r="K6349" s="10">
        <f>IF(F6349&gt;0,H6349/F6349,"")</f>
        <v/>
      </c>
      <c r="L6349" s="16">
        <f>IF(AND(G6349&gt;0,H6349&gt;0),G6349/H6349,"")</f>
        <v/>
      </c>
    </row>
    <row r="6350">
      <c r="A6350" s="4" t="inlineStr">
        <is>
          <t>329</t>
        </is>
      </c>
      <c r="B6350" s="4" t="n">
        <v>3</v>
      </c>
      <c r="C6350" s="4" t="inlineStr">
        <is>
          <t>mule deer</t>
        </is>
      </c>
      <c r="D6350" s="4" t="n">
        <v>2015</v>
      </c>
      <c r="E6350" s="13" t="inlineStr">
        <is>
          <t>General</t>
        </is>
      </c>
      <c r="F6350" s="5" t="n"/>
      <c r="G6350" s="5" t="n"/>
      <c r="H6350" s="5" t="n">
        <v>74</v>
      </c>
      <c r="I6350" s="5" t="n">
        <v>70</v>
      </c>
      <c r="J6350" s="5" t="n">
        <v>3</v>
      </c>
      <c r="K6350" s="10">
        <f>IF(F6350&gt;0,H6350/F6350,"")</f>
        <v/>
      </c>
      <c r="L6350" s="16">
        <f>IF(AND(G6350&gt;0,H6350&gt;0),G6350/H6350,"")</f>
        <v/>
      </c>
    </row>
    <row r="6351">
      <c r="A6351" s="4" t="inlineStr">
        <is>
          <t>329</t>
        </is>
      </c>
      <c r="B6351" s="4" t="n">
        <v>3</v>
      </c>
      <c r="C6351" s="4" t="inlineStr">
        <is>
          <t>mule deer</t>
        </is>
      </c>
      <c r="D6351" s="4" t="n">
        <v>2016</v>
      </c>
      <c r="E6351" s="13" t="inlineStr">
        <is>
          <t>General</t>
        </is>
      </c>
      <c r="F6351" s="5" t="n"/>
      <c r="G6351" s="5" t="n"/>
      <c r="H6351" s="5" t="n">
        <v>209</v>
      </c>
      <c r="I6351" s="5" t="n">
        <v>101</v>
      </c>
      <c r="J6351" s="5" t="n">
        <v>105</v>
      </c>
      <c r="K6351" s="10">
        <f>IF(F6351&gt;0,H6351/F6351,"")</f>
        <v/>
      </c>
      <c r="L6351" s="16">
        <f>IF(AND(G6351&gt;0,H6351&gt;0),G6351/H6351,"")</f>
        <v/>
      </c>
    </row>
    <row r="6352">
      <c r="A6352" s="4" t="inlineStr">
        <is>
          <t>329</t>
        </is>
      </c>
      <c r="B6352" s="4" t="n">
        <v>3</v>
      </c>
      <c r="C6352" s="4" t="inlineStr">
        <is>
          <t>mule deer</t>
        </is>
      </c>
      <c r="D6352" s="4" t="n">
        <v>2017</v>
      </c>
      <c r="E6352" s="13" t="inlineStr">
        <is>
          <t>General</t>
        </is>
      </c>
      <c r="F6352" s="5" t="n">
        <v>860</v>
      </c>
      <c r="G6352" s="5" t="n">
        <v>4884</v>
      </c>
      <c r="H6352" s="5" t="n">
        <v>162</v>
      </c>
      <c r="I6352" s="5" t="n">
        <v>91</v>
      </c>
      <c r="J6352" s="5" t="n">
        <v>68</v>
      </c>
      <c r="K6352" s="10">
        <f>IF(F6352&gt;0,H6352/F6352,"")</f>
        <v/>
      </c>
      <c r="L6352" s="16">
        <f>IF(AND(G6352&gt;0,H6352&gt;0),G6352/H6352,"")</f>
        <v/>
      </c>
    </row>
    <row r="6353">
      <c r="A6353" s="4" t="inlineStr">
        <is>
          <t>329</t>
        </is>
      </c>
      <c r="B6353" s="4" t="n">
        <v>3</v>
      </c>
      <c r="C6353" s="4" t="inlineStr">
        <is>
          <t>mule deer</t>
        </is>
      </c>
      <c r="D6353" s="4" t="n">
        <v>2018</v>
      </c>
      <c r="E6353" s="13" t="inlineStr">
        <is>
          <t>General</t>
        </is>
      </c>
      <c r="F6353" s="5" t="n"/>
      <c r="G6353" s="5" t="n"/>
      <c r="H6353" s="5" t="n">
        <v>152</v>
      </c>
      <c r="I6353" s="5" t="n">
        <v>102</v>
      </c>
      <c r="J6353" s="5" t="n">
        <v>50</v>
      </c>
      <c r="K6353" s="10">
        <f>IF(F6353&gt;0,H6353/F6353,"")</f>
        <v/>
      </c>
      <c r="L6353" s="16">
        <f>IF(AND(G6353&gt;0,H6353&gt;0),G6353/H6353,"")</f>
        <v/>
      </c>
    </row>
    <row r="6354">
      <c r="A6354" s="4" t="inlineStr">
        <is>
          <t>329</t>
        </is>
      </c>
      <c r="B6354" s="4" t="n">
        <v>3</v>
      </c>
      <c r="C6354" s="4" t="inlineStr">
        <is>
          <t>mule deer</t>
        </is>
      </c>
      <c r="D6354" s="4" t="n">
        <v>2019</v>
      </c>
      <c r="E6354" s="13" t="inlineStr">
        <is>
          <t>General</t>
        </is>
      </c>
      <c r="F6354" s="5" t="n">
        <v>906</v>
      </c>
      <c r="G6354" s="5" t="n">
        <v>5052</v>
      </c>
      <c r="H6354" s="5" t="n">
        <v>134</v>
      </c>
      <c r="I6354" s="5" t="n">
        <v>83</v>
      </c>
      <c r="J6354" s="5" t="n">
        <v>51</v>
      </c>
      <c r="K6354" s="10">
        <f>IF(F6354&gt;0,H6354/F6354,"")</f>
        <v/>
      </c>
      <c r="L6354" s="16">
        <f>IF(AND(G6354&gt;0,H6354&gt;0),G6354/H6354,"")</f>
        <v/>
      </c>
    </row>
    <row r="6355">
      <c r="A6355" s="4" t="inlineStr">
        <is>
          <t>329</t>
        </is>
      </c>
      <c r="B6355" s="4" t="n">
        <v>3</v>
      </c>
      <c r="C6355" s="4" t="inlineStr">
        <is>
          <t>mule deer</t>
        </is>
      </c>
      <c r="D6355" s="4" t="n">
        <v>2020</v>
      </c>
      <c r="E6355" s="13" t="inlineStr">
        <is>
          <t>General</t>
        </is>
      </c>
      <c r="F6355" s="5" t="n"/>
      <c r="G6355" s="5" t="n"/>
      <c r="H6355" s="5" t="n">
        <v>156</v>
      </c>
      <c r="I6355" s="5" t="n">
        <v>101</v>
      </c>
      <c r="J6355" s="5" t="n">
        <v>52</v>
      </c>
      <c r="K6355" s="10">
        <f>IF(F6355&gt;0,H6355/F6355,"")</f>
        <v/>
      </c>
      <c r="L6355" s="16">
        <f>IF(AND(G6355&gt;0,H6355&gt;0),G6355/H6355,"")</f>
        <v/>
      </c>
    </row>
    <row r="6356">
      <c r="A6356" s="4" t="inlineStr">
        <is>
          <t>329</t>
        </is>
      </c>
      <c r="B6356" s="4" t="n">
        <v>3</v>
      </c>
      <c r="C6356" s="4" t="inlineStr">
        <is>
          <t>mule deer</t>
        </is>
      </c>
      <c r="D6356" s="4" t="n">
        <v>2021</v>
      </c>
      <c r="E6356" s="13" t="inlineStr">
        <is>
          <t>General</t>
        </is>
      </c>
      <c r="F6356" s="5" t="n">
        <v>839</v>
      </c>
      <c r="G6356" s="5" t="n">
        <v>5236</v>
      </c>
      <c r="H6356" s="5" t="n">
        <v>123</v>
      </c>
      <c r="I6356" s="5" t="n">
        <v>72</v>
      </c>
      <c r="J6356" s="5" t="n">
        <v>51</v>
      </c>
      <c r="K6356" s="10">
        <f>IF(F6356&gt;0,H6356/F6356,"")</f>
        <v/>
      </c>
      <c r="L6356" s="16">
        <f>IF(AND(G6356&gt;0,H6356&gt;0),G6356/H6356,"")</f>
        <v/>
      </c>
    </row>
    <row r="6357">
      <c r="A6357" s="4" t="inlineStr">
        <is>
          <t>329</t>
        </is>
      </c>
      <c r="B6357" s="4" t="n">
        <v>3</v>
      </c>
      <c r="C6357" s="4" t="inlineStr">
        <is>
          <t>mule deer</t>
        </is>
      </c>
      <c r="D6357" s="4" t="n">
        <v>2022</v>
      </c>
      <c r="E6357" s="13" t="inlineStr">
        <is>
          <t>General</t>
        </is>
      </c>
      <c r="F6357" s="5" t="n"/>
      <c r="G6357" s="5" t="n"/>
      <c r="H6357" s="5" t="n">
        <v>116</v>
      </c>
      <c r="I6357" s="5" t="n">
        <v>76</v>
      </c>
      <c r="J6357" s="5" t="n">
        <v>41</v>
      </c>
      <c r="K6357" s="10">
        <f>IF(F6357&gt;0,H6357/F6357,"")</f>
        <v/>
      </c>
      <c r="L6357" s="16">
        <f>IF(AND(G6357&gt;0,H6357&gt;0),G6357/H6357,"")</f>
        <v/>
      </c>
    </row>
    <row r="6358">
      <c r="A6358" s="4" t="inlineStr">
        <is>
          <t>329</t>
        </is>
      </c>
      <c r="B6358" s="4" t="n">
        <v>3</v>
      </c>
      <c r="C6358" s="4" t="inlineStr">
        <is>
          <t>mule deer</t>
        </is>
      </c>
      <c r="D6358" s="4" t="n">
        <v>2023</v>
      </c>
      <c r="E6358" s="13" t="inlineStr">
        <is>
          <t>General</t>
        </is>
      </c>
      <c r="F6358" s="5" t="n">
        <v>1025</v>
      </c>
      <c r="G6358" s="5" t="n">
        <v>6414</v>
      </c>
      <c r="H6358" s="5" t="n">
        <v>136</v>
      </c>
      <c r="I6358" s="5" t="n">
        <v>77</v>
      </c>
      <c r="J6358" s="5" t="n">
        <v>60</v>
      </c>
      <c r="K6358" s="10">
        <f>IF(F6358&gt;0,H6358/F6358,"")</f>
        <v/>
      </c>
      <c r="L6358" s="16">
        <f>IF(AND(G6358&gt;0,H6358&gt;0),G6358/H6358,"")</f>
        <v/>
      </c>
    </row>
    <row r="6359">
      <c r="A6359" s="4" t="inlineStr">
        <is>
          <t>329</t>
        </is>
      </c>
      <c r="B6359" s="4" t="n">
        <v>3</v>
      </c>
      <c r="C6359" s="4" t="inlineStr">
        <is>
          <t>mule deer</t>
        </is>
      </c>
      <c r="D6359" s="4" t="n">
        <v>2024</v>
      </c>
      <c r="E6359" s="13" t="inlineStr">
        <is>
          <t>General</t>
        </is>
      </c>
      <c r="F6359" s="5" t="n"/>
      <c r="G6359" s="5" t="n"/>
      <c r="H6359" s="5" t="n">
        <v>160</v>
      </c>
      <c r="I6359" s="5" t="n">
        <v>124</v>
      </c>
      <c r="J6359" s="5" t="n">
        <v>37</v>
      </c>
      <c r="K6359" s="10">
        <f>IF(F6359&gt;0,H6359/F6359,"")</f>
        <v/>
      </c>
      <c r="L6359" s="16">
        <f>IF(AND(G6359&gt;0,H6359&gt;0),G6359/H6359,"")</f>
        <v/>
      </c>
    </row>
    <row r="6360">
      <c r="A6360" s="4" t="inlineStr">
        <is>
          <t>329</t>
        </is>
      </c>
      <c r="B6360" s="4" t="n">
        <v>3</v>
      </c>
      <c r="C6360" s="4" t="inlineStr">
        <is>
          <t>mule deer</t>
        </is>
      </c>
      <c r="D6360" s="4" t="n">
        <v>2025</v>
      </c>
      <c r="E6360" s="13" t="inlineStr">
        <is>
          <t>General</t>
        </is>
      </c>
      <c r="F6360" s="5" t="n">
        <v>1184</v>
      </c>
      <c r="G6360" s="5" t="n">
        <v>7279</v>
      </c>
      <c r="H6360" s="5" t="n">
        <v>192</v>
      </c>
      <c r="I6360" s="5" t="n">
        <v>147</v>
      </c>
      <c r="J6360" s="5" t="n">
        <v>39</v>
      </c>
      <c r="K6360" s="10">
        <f>IF(F6360&gt;0,H6360/F6360,"")</f>
        <v/>
      </c>
      <c r="L6360" s="16">
        <f>IF(AND(G6360&gt;0,H6360&gt;0),G6360/H6360,"")</f>
        <v/>
      </c>
    </row>
    <row r="6361">
      <c r="A6361" s="4" t="inlineStr">
        <is>
          <t>330</t>
        </is>
      </c>
      <c r="B6361" s="4" t="n">
        <v>3</v>
      </c>
      <c r="C6361" s="4" t="inlineStr">
        <is>
          <t>mule deer</t>
        </is>
      </c>
      <c r="D6361" s="4" t="n">
        <v>2004</v>
      </c>
      <c r="E6361" s="4" t="inlineStr"/>
      <c r="F6361" s="5" t="n">
        <v>1035</v>
      </c>
      <c r="G6361" s="5" t="n">
        <v>4966</v>
      </c>
      <c r="H6361" s="5" t="n">
        <v>246</v>
      </c>
      <c r="I6361" s="5" t="n">
        <v>154</v>
      </c>
      <c r="J6361" s="5" t="n">
        <v>86</v>
      </c>
      <c r="K6361" s="10">
        <f>IF(F6361&gt;0,H6361/F6361,"")</f>
        <v/>
      </c>
      <c r="L6361" s="16">
        <f>IF(AND(G6361&gt;0,H6361&gt;0),G6361/H6361,"")</f>
        <v/>
      </c>
    </row>
    <row r="6362">
      <c r="A6362" s="4" t="inlineStr">
        <is>
          <t>330</t>
        </is>
      </c>
      <c r="B6362" s="4" t="n">
        <v>3</v>
      </c>
      <c r="C6362" s="4" t="inlineStr">
        <is>
          <t>mule deer</t>
        </is>
      </c>
      <c r="D6362" s="4" t="n">
        <v>2005</v>
      </c>
      <c r="E6362" s="4" t="inlineStr"/>
      <c r="F6362" s="5" t="n">
        <v>918</v>
      </c>
      <c r="G6362" s="5" t="n">
        <v>5388</v>
      </c>
      <c r="H6362" s="5" t="n">
        <v>260</v>
      </c>
      <c r="I6362" s="5" t="n">
        <v>167</v>
      </c>
      <c r="J6362" s="5" t="n">
        <v>91</v>
      </c>
      <c r="K6362" s="10">
        <f>IF(F6362&gt;0,H6362/F6362,"")</f>
        <v/>
      </c>
      <c r="L6362" s="16">
        <f>IF(AND(G6362&gt;0,H6362&gt;0),G6362/H6362,"")</f>
        <v/>
      </c>
    </row>
    <row r="6363">
      <c r="A6363" s="4" t="inlineStr">
        <is>
          <t>330</t>
        </is>
      </c>
      <c r="B6363" s="4" t="n">
        <v>3</v>
      </c>
      <c r="C6363" s="4" t="inlineStr">
        <is>
          <t>mule deer</t>
        </is>
      </c>
      <c r="D6363" s="4" t="n">
        <v>2006</v>
      </c>
      <c r="E6363" s="4" t="inlineStr"/>
      <c r="F6363" s="5" t="n">
        <v>808</v>
      </c>
      <c r="G6363" s="5" t="n">
        <v>4500</v>
      </c>
      <c r="H6363" s="5" t="n">
        <v>303</v>
      </c>
      <c r="I6363" s="5" t="n">
        <v>180</v>
      </c>
      <c r="J6363" s="5" t="n">
        <v>120</v>
      </c>
      <c r="K6363" s="10">
        <f>IF(F6363&gt;0,H6363/F6363,"")</f>
        <v/>
      </c>
      <c r="L6363" s="16">
        <f>IF(AND(G6363&gt;0,H6363&gt;0),G6363/H6363,"")</f>
        <v/>
      </c>
    </row>
    <row r="6364">
      <c r="A6364" s="4" t="inlineStr">
        <is>
          <t>330</t>
        </is>
      </c>
      <c r="B6364" s="4" t="n">
        <v>3</v>
      </c>
      <c r="C6364" s="4" t="inlineStr">
        <is>
          <t>mule deer</t>
        </is>
      </c>
      <c r="D6364" s="4" t="n">
        <v>2007</v>
      </c>
      <c r="E6364" s="4" t="inlineStr"/>
      <c r="F6364" s="5" t="n">
        <v>825</v>
      </c>
      <c r="G6364" s="5" t="n">
        <v>4573</v>
      </c>
      <c r="H6364" s="5" t="n">
        <v>199</v>
      </c>
      <c r="I6364" s="5" t="n">
        <v>88</v>
      </c>
      <c r="J6364" s="5" t="n">
        <v>108</v>
      </c>
      <c r="K6364" s="10">
        <f>IF(F6364&gt;0,H6364/F6364,"")</f>
        <v/>
      </c>
      <c r="L6364" s="16">
        <f>IF(AND(G6364&gt;0,H6364&gt;0),G6364/H6364,"")</f>
        <v/>
      </c>
    </row>
    <row r="6365">
      <c r="A6365" s="4" t="inlineStr">
        <is>
          <t>330</t>
        </is>
      </c>
      <c r="B6365" s="4" t="n">
        <v>3</v>
      </c>
      <c r="C6365" s="4" t="inlineStr">
        <is>
          <t>mule deer</t>
        </is>
      </c>
      <c r="D6365" s="4" t="n">
        <v>2008</v>
      </c>
      <c r="E6365" s="4" t="inlineStr"/>
      <c r="F6365" s="5" t="n">
        <v>921</v>
      </c>
      <c r="G6365" s="5" t="n">
        <v>5468</v>
      </c>
      <c r="H6365" s="5" t="n">
        <v>150</v>
      </c>
      <c r="I6365" s="5" t="n">
        <v>81</v>
      </c>
      <c r="J6365" s="5" t="n">
        <v>68</v>
      </c>
      <c r="K6365" s="10">
        <f>IF(F6365&gt;0,H6365/F6365,"")</f>
        <v/>
      </c>
      <c r="L6365" s="16">
        <f>IF(AND(G6365&gt;0,H6365&gt;0),G6365/H6365,"")</f>
        <v/>
      </c>
    </row>
    <row r="6366">
      <c r="A6366" s="4" t="inlineStr">
        <is>
          <t>330</t>
        </is>
      </c>
      <c r="B6366" s="4" t="n">
        <v>3</v>
      </c>
      <c r="C6366" s="4" t="inlineStr">
        <is>
          <t>mule deer</t>
        </is>
      </c>
      <c r="D6366" s="4" t="n">
        <v>2009</v>
      </c>
      <c r="E6366" s="4" t="inlineStr"/>
      <c r="F6366" s="5" t="n">
        <v>828</v>
      </c>
      <c r="G6366" s="5" t="n">
        <v>4883</v>
      </c>
      <c r="H6366" s="5" t="n">
        <v>150</v>
      </c>
      <c r="I6366" s="5" t="n">
        <v>67</v>
      </c>
      <c r="J6366" s="5" t="n">
        <v>83</v>
      </c>
      <c r="K6366" s="10">
        <f>IF(F6366&gt;0,H6366/F6366,"")</f>
        <v/>
      </c>
      <c r="L6366" s="16">
        <f>IF(AND(G6366&gt;0,H6366&gt;0),G6366/H6366,"")</f>
        <v/>
      </c>
    </row>
    <row r="6367">
      <c r="A6367" s="4" t="inlineStr">
        <is>
          <t>330</t>
        </is>
      </c>
      <c r="B6367" s="4" t="n">
        <v>3</v>
      </c>
      <c r="C6367" s="4" t="inlineStr">
        <is>
          <t>mule deer</t>
        </is>
      </c>
      <c r="D6367" s="4" t="n">
        <v>2010</v>
      </c>
      <c r="E6367" s="4" t="inlineStr"/>
      <c r="F6367" s="5" t="n">
        <v>760</v>
      </c>
      <c r="G6367" s="5" t="n">
        <v>4573</v>
      </c>
      <c r="H6367" s="5" t="n">
        <v>112</v>
      </c>
      <c r="I6367" s="5" t="n">
        <v>86</v>
      </c>
      <c r="J6367" s="5" t="n">
        <v>26</v>
      </c>
      <c r="K6367" s="10">
        <f>IF(F6367&gt;0,H6367/F6367,"")</f>
        <v/>
      </c>
      <c r="L6367" s="16">
        <f>IF(AND(G6367&gt;0,H6367&gt;0),G6367/H6367,"")</f>
        <v/>
      </c>
    </row>
    <row r="6368">
      <c r="A6368" s="4" t="inlineStr">
        <is>
          <t>330</t>
        </is>
      </c>
      <c r="B6368" s="4" t="n">
        <v>3</v>
      </c>
      <c r="C6368" s="4" t="inlineStr">
        <is>
          <t>mule deer</t>
        </is>
      </c>
      <c r="D6368" s="4" t="n">
        <v>2011</v>
      </c>
      <c r="E6368" s="4" t="inlineStr"/>
      <c r="F6368" s="5" t="n">
        <v>802</v>
      </c>
      <c r="G6368" s="5" t="n">
        <v>4353</v>
      </c>
      <c r="H6368" s="5" t="n">
        <v>115</v>
      </c>
      <c r="I6368" s="5" t="n">
        <v>80</v>
      </c>
      <c r="J6368" s="5" t="n">
        <v>35</v>
      </c>
      <c r="K6368" s="10">
        <f>IF(F6368&gt;0,H6368/F6368,"")</f>
        <v/>
      </c>
      <c r="L6368" s="16">
        <f>IF(AND(G6368&gt;0,H6368&gt;0),G6368/H6368,"")</f>
        <v/>
      </c>
    </row>
    <row r="6369">
      <c r="A6369" s="4" t="inlineStr">
        <is>
          <t>330</t>
        </is>
      </c>
      <c r="B6369" s="4" t="n">
        <v>3</v>
      </c>
      <c r="C6369" s="4" t="inlineStr">
        <is>
          <t>mule deer</t>
        </is>
      </c>
      <c r="D6369" s="4" t="n">
        <v>2012</v>
      </c>
      <c r="E6369" s="4" t="inlineStr"/>
      <c r="F6369" s="5" t="n"/>
      <c r="G6369" s="5" t="n"/>
      <c r="H6369" s="5" t="n">
        <v>101</v>
      </c>
      <c r="I6369" s="5" t="n">
        <v>93</v>
      </c>
      <c r="J6369" s="5" t="n">
        <v>7</v>
      </c>
      <c r="K6369" s="10">
        <f>IF(F6369&gt;0,H6369/F6369,"")</f>
        <v/>
      </c>
      <c r="L6369" s="16">
        <f>IF(AND(G6369&gt;0,H6369&gt;0),G6369/H6369,"")</f>
        <v/>
      </c>
    </row>
    <row r="6370">
      <c r="A6370" s="4" t="inlineStr">
        <is>
          <t>330</t>
        </is>
      </c>
      <c r="B6370" s="4" t="n">
        <v>3</v>
      </c>
      <c r="C6370" s="4" t="inlineStr">
        <is>
          <t>mule deer</t>
        </is>
      </c>
      <c r="D6370" s="4" t="n">
        <v>2013</v>
      </c>
      <c r="E6370" s="4" t="inlineStr"/>
      <c r="F6370" s="5" t="n">
        <v>783</v>
      </c>
      <c r="G6370" s="5" t="n">
        <v>4471</v>
      </c>
      <c r="H6370" s="5" t="n">
        <v>125</v>
      </c>
      <c r="I6370" s="5" t="n">
        <v>108</v>
      </c>
      <c r="J6370" s="5" t="n">
        <v>17</v>
      </c>
      <c r="K6370" s="10">
        <f>IF(F6370&gt;0,H6370/F6370,"")</f>
        <v/>
      </c>
      <c r="L6370" s="16">
        <f>IF(AND(G6370&gt;0,H6370&gt;0),G6370/H6370,"")</f>
        <v/>
      </c>
    </row>
    <row r="6371">
      <c r="A6371" s="4" t="inlineStr">
        <is>
          <t>330</t>
        </is>
      </c>
      <c r="B6371" s="4" t="n">
        <v>3</v>
      </c>
      <c r="C6371" s="4" t="inlineStr">
        <is>
          <t>mule deer</t>
        </is>
      </c>
      <c r="D6371" s="4" t="n">
        <v>2014</v>
      </c>
      <c r="E6371" s="4" t="inlineStr"/>
      <c r="F6371" s="5" t="n"/>
      <c r="G6371" s="5" t="n"/>
      <c r="H6371" s="5" t="n">
        <v>126</v>
      </c>
      <c r="I6371" s="5" t="n">
        <v>119</v>
      </c>
      <c r="J6371" s="5" t="n">
        <v>8</v>
      </c>
      <c r="K6371" s="10">
        <f>IF(F6371&gt;0,H6371/F6371,"")</f>
        <v/>
      </c>
      <c r="L6371" s="16">
        <f>IF(AND(G6371&gt;0,H6371&gt;0),G6371/H6371,"")</f>
        <v/>
      </c>
    </row>
    <row r="6372">
      <c r="A6372" s="4" t="inlineStr">
        <is>
          <t>330</t>
        </is>
      </c>
      <c r="B6372" s="4" t="n">
        <v>3</v>
      </c>
      <c r="C6372" s="4" t="inlineStr">
        <is>
          <t>mule deer</t>
        </is>
      </c>
      <c r="D6372" s="4" t="n">
        <v>2015</v>
      </c>
      <c r="E6372" s="4" t="inlineStr"/>
      <c r="F6372" s="5" t="n"/>
      <c r="G6372" s="5" t="n"/>
      <c r="H6372" s="5" t="n">
        <v>154</v>
      </c>
      <c r="I6372" s="5" t="n">
        <v>148</v>
      </c>
      <c r="J6372" s="5" t="n">
        <v>6</v>
      </c>
      <c r="K6372" s="10">
        <f>IF(F6372&gt;0,H6372/F6372,"")</f>
        <v/>
      </c>
      <c r="L6372" s="16">
        <f>IF(AND(G6372&gt;0,H6372&gt;0),G6372/H6372,"")</f>
        <v/>
      </c>
    </row>
    <row r="6373">
      <c r="A6373" s="4" t="inlineStr">
        <is>
          <t>330</t>
        </is>
      </c>
      <c r="B6373" s="4" t="n">
        <v>3</v>
      </c>
      <c r="C6373" s="4" t="inlineStr">
        <is>
          <t>mule deer</t>
        </is>
      </c>
      <c r="D6373" s="4" t="n">
        <v>2016</v>
      </c>
      <c r="E6373" s="4" t="inlineStr"/>
      <c r="F6373" s="5" t="n"/>
      <c r="G6373" s="5" t="n"/>
      <c r="H6373" s="5" t="n">
        <v>209</v>
      </c>
      <c r="I6373" s="5" t="n">
        <v>168</v>
      </c>
      <c r="J6373" s="5" t="n">
        <v>38</v>
      </c>
      <c r="K6373" s="10">
        <f>IF(F6373&gt;0,H6373/F6373,"")</f>
        <v/>
      </c>
      <c r="L6373" s="16">
        <f>IF(AND(G6373&gt;0,H6373&gt;0),G6373/H6373,"")</f>
        <v/>
      </c>
    </row>
    <row r="6374">
      <c r="A6374" s="4" t="inlineStr">
        <is>
          <t>330</t>
        </is>
      </c>
      <c r="B6374" s="4" t="n">
        <v>3</v>
      </c>
      <c r="C6374" s="4" t="inlineStr">
        <is>
          <t>mule deer</t>
        </is>
      </c>
      <c r="D6374" s="4" t="n">
        <v>2017</v>
      </c>
      <c r="E6374" s="4" t="inlineStr"/>
      <c r="F6374" s="5" t="n">
        <v>863</v>
      </c>
      <c r="G6374" s="5" t="n">
        <v>4568</v>
      </c>
      <c r="H6374" s="5" t="n">
        <v>152</v>
      </c>
      <c r="I6374" s="5" t="n">
        <v>126</v>
      </c>
      <c r="J6374" s="5" t="n">
        <v>26</v>
      </c>
      <c r="K6374" s="10">
        <f>IF(F6374&gt;0,H6374/F6374,"")</f>
        <v/>
      </c>
      <c r="L6374" s="16">
        <f>IF(AND(G6374&gt;0,H6374&gt;0),G6374/H6374,"")</f>
        <v/>
      </c>
    </row>
    <row r="6375">
      <c r="A6375" s="4" t="inlineStr">
        <is>
          <t>330</t>
        </is>
      </c>
      <c r="B6375" s="4" t="n">
        <v>3</v>
      </c>
      <c r="C6375" s="4" t="inlineStr">
        <is>
          <t>mule deer</t>
        </is>
      </c>
      <c r="D6375" s="4" t="n">
        <v>2018</v>
      </c>
      <c r="E6375" s="4" t="inlineStr"/>
      <c r="F6375" s="5" t="n"/>
      <c r="G6375" s="5" t="n"/>
      <c r="H6375" s="5" t="n">
        <v>154</v>
      </c>
      <c r="I6375" s="5" t="n">
        <v>104</v>
      </c>
      <c r="J6375" s="5" t="n">
        <v>51</v>
      </c>
      <c r="K6375" s="10">
        <f>IF(F6375&gt;0,H6375/F6375,"")</f>
        <v/>
      </c>
      <c r="L6375" s="16">
        <f>IF(AND(G6375&gt;0,H6375&gt;0),G6375/H6375,"")</f>
        <v/>
      </c>
    </row>
    <row r="6376">
      <c r="A6376" s="4" t="inlineStr">
        <is>
          <t>330</t>
        </is>
      </c>
      <c r="B6376" s="4" t="n">
        <v>3</v>
      </c>
      <c r="C6376" s="4" t="inlineStr">
        <is>
          <t>mule deer</t>
        </is>
      </c>
      <c r="D6376" s="4" t="n">
        <v>2019</v>
      </c>
      <c r="E6376" s="4" t="inlineStr"/>
      <c r="F6376" s="5" t="n">
        <v>880</v>
      </c>
      <c r="G6376" s="5" t="n">
        <v>5050</v>
      </c>
      <c r="H6376" s="5" t="n">
        <v>139</v>
      </c>
      <c r="I6376" s="5" t="n">
        <v>106</v>
      </c>
      <c r="J6376" s="5" t="n">
        <v>32</v>
      </c>
      <c r="K6376" s="10">
        <f>IF(F6376&gt;0,H6376/F6376,"")</f>
        <v/>
      </c>
      <c r="L6376" s="16">
        <f>IF(AND(G6376&gt;0,H6376&gt;0),G6376/H6376,"")</f>
        <v/>
      </c>
    </row>
    <row r="6377">
      <c r="A6377" s="4" t="inlineStr">
        <is>
          <t>330</t>
        </is>
      </c>
      <c r="B6377" s="4" t="n">
        <v>3</v>
      </c>
      <c r="C6377" s="4" t="inlineStr">
        <is>
          <t>mule deer</t>
        </is>
      </c>
      <c r="D6377" s="4" t="n">
        <v>2020</v>
      </c>
      <c r="E6377" s="4" t="inlineStr"/>
      <c r="F6377" s="5" t="n"/>
      <c r="G6377" s="5" t="n"/>
      <c r="H6377" s="5" t="n">
        <v>189</v>
      </c>
      <c r="I6377" s="5" t="n">
        <v>174</v>
      </c>
      <c r="J6377" s="5" t="n">
        <v>16</v>
      </c>
      <c r="K6377" s="10">
        <f>IF(F6377&gt;0,H6377/F6377,"")</f>
        <v/>
      </c>
      <c r="L6377" s="16">
        <f>IF(AND(G6377&gt;0,H6377&gt;0),G6377/H6377,"")</f>
        <v/>
      </c>
    </row>
    <row r="6378">
      <c r="A6378" s="4" t="inlineStr">
        <is>
          <t>330</t>
        </is>
      </c>
      <c r="B6378" s="4" t="n">
        <v>3</v>
      </c>
      <c r="C6378" s="4" t="inlineStr">
        <is>
          <t>mule deer</t>
        </is>
      </c>
      <c r="D6378" s="4" t="n">
        <v>2021</v>
      </c>
      <c r="E6378" s="4" t="inlineStr"/>
      <c r="F6378" s="5" t="n">
        <v>1008</v>
      </c>
      <c r="G6378" s="5" t="n">
        <v>6837</v>
      </c>
      <c r="H6378" s="5" t="n">
        <v>200</v>
      </c>
      <c r="I6378" s="5" t="n">
        <v>150</v>
      </c>
      <c r="J6378" s="5" t="n">
        <v>50</v>
      </c>
      <c r="K6378" s="10">
        <f>IF(F6378&gt;0,H6378/F6378,"")</f>
        <v/>
      </c>
      <c r="L6378" s="16">
        <f>IF(AND(G6378&gt;0,H6378&gt;0),G6378/H6378,"")</f>
        <v/>
      </c>
    </row>
    <row r="6379">
      <c r="A6379" s="4" t="inlineStr">
        <is>
          <t>331</t>
        </is>
      </c>
      <c r="B6379" s="4" t="n">
        <v>3</v>
      </c>
      <c r="C6379" s="4" t="inlineStr">
        <is>
          <t>mule deer</t>
        </is>
      </c>
      <c r="D6379" s="4" t="n">
        <v>2004</v>
      </c>
      <c r="E6379" s="13" t="inlineStr">
        <is>
          <t>General</t>
        </is>
      </c>
      <c r="F6379" s="5" t="n">
        <v>1658</v>
      </c>
      <c r="G6379" s="5" t="n">
        <v>10060</v>
      </c>
      <c r="H6379" s="5" t="n">
        <v>384</v>
      </c>
      <c r="I6379" s="5" t="n">
        <v>290</v>
      </c>
      <c r="J6379" s="5" t="n">
        <v>89</v>
      </c>
      <c r="K6379" s="10">
        <f>IF(F6379&gt;0,H6379/F6379,"")</f>
        <v/>
      </c>
      <c r="L6379" s="16">
        <f>IF(AND(G6379&gt;0,H6379&gt;0),G6379/H6379,"")</f>
        <v/>
      </c>
    </row>
    <row r="6380">
      <c r="A6380" s="4" t="inlineStr">
        <is>
          <t>331</t>
        </is>
      </c>
      <c r="B6380" s="4" t="n">
        <v>3</v>
      </c>
      <c r="C6380" s="4" t="inlineStr">
        <is>
          <t>mule deer</t>
        </is>
      </c>
      <c r="D6380" s="4" t="n">
        <v>2005</v>
      </c>
      <c r="E6380" s="13" t="inlineStr">
        <is>
          <t>General</t>
        </is>
      </c>
      <c r="F6380" s="5" t="n">
        <v>1415</v>
      </c>
      <c r="G6380" s="5" t="n">
        <v>9124</v>
      </c>
      <c r="H6380" s="5" t="n">
        <v>392</v>
      </c>
      <c r="I6380" s="5" t="n">
        <v>295</v>
      </c>
      <c r="J6380" s="5" t="n">
        <v>94</v>
      </c>
      <c r="K6380" s="10">
        <f>IF(F6380&gt;0,H6380/F6380,"")</f>
        <v/>
      </c>
      <c r="L6380" s="16">
        <f>IF(AND(G6380&gt;0,H6380&gt;0),G6380/H6380,"")</f>
        <v/>
      </c>
    </row>
    <row r="6381">
      <c r="A6381" s="4" t="inlineStr">
        <is>
          <t>331</t>
        </is>
      </c>
      <c r="B6381" s="4" t="n">
        <v>3</v>
      </c>
      <c r="C6381" s="4" t="inlineStr">
        <is>
          <t>mule deer</t>
        </is>
      </c>
      <c r="D6381" s="4" t="n">
        <v>2006</v>
      </c>
      <c r="E6381" s="13" t="inlineStr">
        <is>
          <t>General</t>
        </is>
      </c>
      <c r="F6381" s="5" t="n">
        <v>1496</v>
      </c>
      <c r="G6381" s="5" t="n">
        <v>9182</v>
      </c>
      <c r="H6381" s="5" t="n">
        <v>434</v>
      </c>
      <c r="I6381" s="5" t="n">
        <v>350</v>
      </c>
      <c r="J6381" s="5" t="n">
        <v>84</v>
      </c>
      <c r="K6381" s="10">
        <f>IF(F6381&gt;0,H6381/F6381,"")</f>
        <v/>
      </c>
      <c r="L6381" s="16">
        <f>IF(AND(G6381&gt;0,H6381&gt;0),G6381/H6381,"")</f>
        <v/>
      </c>
    </row>
    <row r="6382">
      <c r="A6382" s="4" t="inlineStr">
        <is>
          <t>331</t>
        </is>
      </c>
      <c r="B6382" s="4" t="n">
        <v>3</v>
      </c>
      <c r="C6382" s="4" t="inlineStr">
        <is>
          <t>mule deer</t>
        </is>
      </c>
      <c r="D6382" s="4" t="n">
        <v>2007</v>
      </c>
      <c r="E6382" s="13" t="inlineStr">
        <is>
          <t>General</t>
        </is>
      </c>
      <c r="F6382" s="5" t="n">
        <v>1337</v>
      </c>
      <c r="G6382" s="5" t="n">
        <v>8076</v>
      </c>
      <c r="H6382" s="5" t="n">
        <v>332</v>
      </c>
      <c r="I6382" s="5" t="n">
        <v>208</v>
      </c>
      <c r="J6382" s="5" t="n">
        <v>121</v>
      </c>
      <c r="K6382" s="10">
        <f>IF(F6382&gt;0,H6382/F6382,"")</f>
        <v/>
      </c>
      <c r="L6382" s="16">
        <f>IF(AND(G6382&gt;0,H6382&gt;0),G6382/H6382,"")</f>
        <v/>
      </c>
    </row>
    <row r="6383">
      <c r="A6383" s="4" t="inlineStr">
        <is>
          <t>331</t>
        </is>
      </c>
      <c r="B6383" s="4" t="n">
        <v>3</v>
      </c>
      <c r="C6383" s="4" t="inlineStr">
        <is>
          <t>mule deer</t>
        </is>
      </c>
      <c r="D6383" s="4" t="n">
        <v>2008</v>
      </c>
      <c r="E6383" s="13" t="inlineStr">
        <is>
          <t>General</t>
        </is>
      </c>
      <c r="F6383" s="5" t="n">
        <v>1263</v>
      </c>
      <c r="G6383" s="5" t="n">
        <v>7719</v>
      </c>
      <c r="H6383" s="5" t="n">
        <v>319</v>
      </c>
      <c r="I6383" s="5" t="n">
        <v>198</v>
      </c>
      <c r="J6383" s="5" t="n">
        <v>121</v>
      </c>
      <c r="K6383" s="10">
        <f>IF(F6383&gt;0,H6383/F6383,"")</f>
        <v/>
      </c>
      <c r="L6383" s="16">
        <f>IF(AND(G6383&gt;0,H6383&gt;0),G6383/H6383,"")</f>
        <v/>
      </c>
    </row>
    <row r="6384">
      <c r="A6384" s="4" t="inlineStr">
        <is>
          <t>331</t>
        </is>
      </c>
      <c r="B6384" s="4" t="n">
        <v>3</v>
      </c>
      <c r="C6384" s="4" t="inlineStr">
        <is>
          <t>mule deer</t>
        </is>
      </c>
      <c r="D6384" s="4" t="n">
        <v>2009</v>
      </c>
      <c r="E6384" s="13" t="inlineStr">
        <is>
          <t>General</t>
        </is>
      </c>
      <c r="F6384" s="5" t="n">
        <v>1287</v>
      </c>
      <c r="G6384" s="5" t="n">
        <v>7994</v>
      </c>
      <c r="H6384" s="5" t="n">
        <v>241</v>
      </c>
      <c r="I6384" s="5" t="n">
        <v>130</v>
      </c>
      <c r="J6384" s="5" t="n">
        <v>112</v>
      </c>
      <c r="K6384" s="10">
        <f>IF(F6384&gt;0,H6384/F6384,"")</f>
        <v/>
      </c>
      <c r="L6384" s="16">
        <f>IF(AND(G6384&gt;0,H6384&gt;0),G6384/H6384,"")</f>
        <v/>
      </c>
    </row>
    <row r="6385">
      <c r="A6385" s="4" t="inlineStr">
        <is>
          <t>331</t>
        </is>
      </c>
      <c r="B6385" s="4" t="n">
        <v>3</v>
      </c>
      <c r="C6385" s="4" t="inlineStr">
        <is>
          <t>mule deer</t>
        </is>
      </c>
      <c r="D6385" s="4" t="n">
        <v>2010</v>
      </c>
      <c r="E6385" s="13" t="inlineStr">
        <is>
          <t>General</t>
        </is>
      </c>
      <c r="F6385" s="5" t="n">
        <v>1349</v>
      </c>
      <c r="G6385" s="5" t="n">
        <v>8379</v>
      </c>
      <c r="H6385" s="5" t="n">
        <v>321</v>
      </c>
      <c r="I6385" s="5" t="n">
        <v>194</v>
      </c>
      <c r="J6385" s="5" t="n">
        <v>117</v>
      </c>
      <c r="K6385" s="10">
        <f>IF(F6385&gt;0,H6385/F6385,"")</f>
        <v/>
      </c>
      <c r="L6385" s="16">
        <f>IF(AND(G6385&gt;0,H6385&gt;0),G6385/H6385,"")</f>
        <v/>
      </c>
    </row>
    <row r="6386">
      <c r="A6386" s="4" t="inlineStr">
        <is>
          <t>331</t>
        </is>
      </c>
      <c r="B6386" s="4" t="n">
        <v>3</v>
      </c>
      <c r="C6386" s="4" t="inlineStr">
        <is>
          <t>mule deer</t>
        </is>
      </c>
      <c r="D6386" s="4" t="n">
        <v>2011</v>
      </c>
      <c r="E6386" s="13" t="inlineStr">
        <is>
          <t>General</t>
        </is>
      </c>
      <c r="F6386" s="5" t="n">
        <v>1401</v>
      </c>
      <c r="G6386" s="5" t="n">
        <v>9078</v>
      </c>
      <c r="H6386" s="5" t="n">
        <v>334</v>
      </c>
      <c r="I6386" s="5" t="n">
        <v>206</v>
      </c>
      <c r="J6386" s="5" t="n">
        <v>128</v>
      </c>
      <c r="K6386" s="10">
        <f>IF(F6386&gt;0,H6386/F6386,"")</f>
        <v/>
      </c>
      <c r="L6386" s="16">
        <f>IF(AND(G6386&gt;0,H6386&gt;0),G6386/H6386,"")</f>
        <v/>
      </c>
    </row>
    <row r="6387">
      <c r="A6387" s="4" t="inlineStr">
        <is>
          <t>331</t>
        </is>
      </c>
      <c r="B6387" s="4" t="n">
        <v>3</v>
      </c>
      <c r="C6387" s="4" t="inlineStr">
        <is>
          <t>mule deer</t>
        </is>
      </c>
      <c r="D6387" s="4" t="n">
        <v>2012</v>
      </c>
      <c r="E6387" s="13" t="inlineStr">
        <is>
          <t>General</t>
        </is>
      </c>
      <c r="F6387" s="5" t="n"/>
      <c r="G6387" s="5" t="n"/>
      <c r="H6387" s="5" t="n">
        <v>363</v>
      </c>
      <c r="I6387" s="5" t="n">
        <v>248</v>
      </c>
      <c r="J6387" s="5" t="n">
        <v>111</v>
      </c>
      <c r="K6387" s="10">
        <f>IF(F6387&gt;0,H6387/F6387,"")</f>
        <v/>
      </c>
      <c r="L6387" s="16">
        <f>IF(AND(G6387&gt;0,H6387&gt;0),G6387/H6387,"")</f>
        <v/>
      </c>
    </row>
    <row r="6388">
      <c r="A6388" s="4" t="inlineStr">
        <is>
          <t>331</t>
        </is>
      </c>
      <c r="B6388" s="4" t="n">
        <v>3</v>
      </c>
      <c r="C6388" s="4" t="inlineStr">
        <is>
          <t>mule deer</t>
        </is>
      </c>
      <c r="D6388" s="4" t="n">
        <v>2013</v>
      </c>
      <c r="E6388" s="13" t="inlineStr">
        <is>
          <t>General</t>
        </is>
      </c>
      <c r="F6388" s="5" t="n">
        <v>1513</v>
      </c>
      <c r="G6388" s="5" t="n">
        <v>10277</v>
      </c>
      <c r="H6388" s="5" t="n">
        <v>347</v>
      </c>
      <c r="I6388" s="5" t="n">
        <v>243</v>
      </c>
      <c r="J6388" s="5" t="n">
        <v>103</v>
      </c>
      <c r="K6388" s="10">
        <f>IF(F6388&gt;0,H6388/F6388,"")</f>
        <v/>
      </c>
      <c r="L6388" s="16">
        <f>IF(AND(G6388&gt;0,H6388&gt;0),G6388/H6388,"")</f>
        <v/>
      </c>
    </row>
    <row r="6389">
      <c r="A6389" s="4" t="inlineStr">
        <is>
          <t>331</t>
        </is>
      </c>
      <c r="B6389" s="4" t="n">
        <v>3</v>
      </c>
      <c r="C6389" s="4" t="inlineStr">
        <is>
          <t>mule deer</t>
        </is>
      </c>
      <c r="D6389" s="4" t="n">
        <v>2014</v>
      </c>
      <c r="E6389" s="13" t="inlineStr">
        <is>
          <t>General</t>
        </is>
      </c>
      <c r="F6389" s="5" t="n"/>
      <c r="G6389" s="5" t="n"/>
      <c r="H6389" s="5" t="n">
        <v>248</v>
      </c>
      <c r="I6389" s="5" t="n">
        <v>245</v>
      </c>
      <c r="J6389" s="5" t="n">
        <v>3</v>
      </c>
      <c r="K6389" s="10">
        <f>IF(F6389&gt;0,H6389/F6389,"")</f>
        <v/>
      </c>
      <c r="L6389" s="16">
        <f>IF(AND(G6389&gt;0,H6389&gt;0),G6389/H6389,"")</f>
        <v/>
      </c>
    </row>
    <row r="6390">
      <c r="A6390" s="4" t="inlineStr">
        <is>
          <t>331</t>
        </is>
      </c>
      <c r="B6390" s="4" t="n">
        <v>3</v>
      </c>
      <c r="C6390" s="4" t="inlineStr">
        <is>
          <t>mule deer</t>
        </is>
      </c>
      <c r="D6390" s="4" t="n">
        <v>2015</v>
      </c>
      <c r="E6390" s="13" t="inlineStr">
        <is>
          <t>General</t>
        </is>
      </c>
      <c r="F6390" s="5" t="n"/>
      <c r="G6390" s="5" t="n"/>
      <c r="H6390" s="5" t="n">
        <v>334</v>
      </c>
      <c r="I6390" s="5" t="n">
        <v>275</v>
      </c>
      <c r="J6390" s="5" t="n">
        <v>58</v>
      </c>
      <c r="K6390" s="10">
        <f>IF(F6390&gt;0,H6390/F6390,"")</f>
        <v/>
      </c>
      <c r="L6390" s="16">
        <f>IF(AND(G6390&gt;0,H6390&gt;0),G6390/H6390,"")</f>
        <v/>
      </c>
    </row>
    <row r="6391">
      <c r="A6391" s="4" t="inlineStr">
        <is>
          <t>331</t>
        </is>
      </c>
      <c r="B6391" s="4" t="n">
        <v>3</v>
      </c>
      <c r="C6391" s="4" t="inlineStr">
        <is>
          <t>mule deer</t>
        </is>
      </c>
      <c r="D6391" s="4" t="n">
        <v>2016</v>
      </c>
      <c r="E6391" s="13" t="inlineStr">
        <is>
          <t>General</t>
        </is>
      </c>
      <c r="F6391" s="5" t="n"/>
      <c r="G6391" s="5" t="n"/>
      <c r="H6391" s="5" t="n">
        <v>424</v>
      </c>
      <c r="I6391" s="5" t="n">
        <v>277</v>
      </c>
      <c r="J6391" s="5" t="n">
        <v>142</v>
      </c>
      <c r="K6391" s="10">
        <f>IF(F6391&gt;0,H6391/F6391,"")</f>
        <v/>
      </c>
      <c r="L6391" s="16">
        <f>IF(AND(G6391&gt;0,H6391&gt;0),G6391/H6391,"")</f>
        <v/>
      </c>
    </row>
    <row r="6392">
      <c r="A6392" s="4" t="inlineStr">
        <is>
          <t>331</t>
        </is>
      </c>
      <c r="B6392" s="4" t="n">
        <v>3</v>
      </c>
      <c r="C6392" s="4" t="inlineStr">
        <is>
          <t>mule deer</t>
        </is>
      </c>
      <c r="D6392" s="4" t="n">
        <v>2017</v>
      </c>
      <c r="E6392" s="13" t="inlineStr">
        <is>
          <t>General</t>
        </is>
      </c>
      <c r="F6392" s="5" t="n">
        <v>1511</v>
      </c>
      <c r="G6392" s="5" t="n">
        <v>8307</v>
      </c>
      <c r="H6392" s="5" t="n">
        <v>351</v>
      </c>
      <c r="I6392" s="5" t="n">
        <v>224</v>
      </c>
      <c r="J6392" s="5" t="n">
        <v>118</v>
      </c>
      <c r="K6392" s="10">
        <f>IF(F6392&gt;0,H6392/F6392,"")</f>
        <v/>
      </c>
      <c r="L6392" s="16">
        <f>IF(AND(G6392&gt;0,H6392&gt;0),G6392/H6392,"")</f>
        <v/>
      </c>
    </row>
    <row r="6393">
      <c r="A6393" s="4" t="inlineStr">
        <is>
          <t>331</t>
        </is>
      </c>
      <c r="B6393" s="4" t="n">
        <v>3</v>
      </c>
      <c r="C6393" s="4" t="inlineStr">
        <is>
          <t>mule deer</t>
        </is>
      </c>
      <c r="D6393" s="4" t="n">
        <v>2018</v>
      </c>
      <c r="E6393" s="13" t="inlineStr">
        <is>
          <t>General</t>
        </is>
      </c>
      <c r="F6393" s="5" t="n"/>
      <c r="G6393" s="5" t="n"/>
      <c r="H6393" s="5" t="n">
        <v>348</v>
      </c>
      <c r="I6393" s="5" t="n">
        <v>232</v>
      </c>
      <c r="J6393" s="5" t="n">
        <v>113</v>
      </c>
      <c r="K6393" s="10">
        <f>IF(F6393&gt;0,H6393/F6393,"")</f>
        <v/>
      </c>
      <c r="L6393" s="16">
        <f>IF(AND(G6393&gt;0,H6393&gt;0),G6393/H6393,"")</f>
        <v/>
      </c>
    </row>
    <row r="6394">
      <c r="A6394" s="4" t="inlineStr">
        <is>
          <t>331</t>
        </is>
      </c>
      <c r="B6394" s="4" t="n">
        <v>3</v>
      </c>
      <c r="C6394" s="4" t="inlineStr">
        <is>
          <t>mule deer</t>
        </is>
      </c>
      <c r="D6394" s="4" t="n">
        <v>2019</v>
      </c>
      <c r="E6394" s="13" t="inlineStr">
        <is>
          <t>General</t>
        </is>
      </c>
      <c r="F6394" s="5" t="n">
        <v>1548</v>
      </c>
      <c r="G6394" s="5" t="n">
        <v>10165</v>
      </c>
      <c r="H6394" s="5" t="n">
        <v>382</v>
      </c>
      <c r="I6394" s="5" t="n">
        <v>258</v>
      </c>
      <c r="J6394" s="5" t="n">
        <v>120</v>
      </c>
      <c r="K6394" s="10">
        <f>IF(F6394&gt;0,H6394/F6394,"")</f>
        <v/>
      </c>
      <c r="L6394" s="16">
        <f>IF(AND(G6394&gt;0,H6394&gt;0),G6394/H6394,"")</f>
        <v/>
      </c>
    </row>
    <row r="6395">
      <c r="A6395" s="4" t="inlineStr">
        <is>
          <t>331</t>
        </is>
      </c>
      <c r="B6395" s="4" t="n">
        <v>3</v>
      </c>
      <c r="C6395" s="4" t="inlineStr">
        <is>
          <t>mule deer</t>
        </is>
      </c>
      <c r="D6395" s="4" t="n">
        <v>2020</v>
      </c>
      <c r="E6395" s="13" t="inlineStr">
        <is>
          <t>General</t>
        </is>
      </c>
      <c r="F6395" s="5" t="n"/>
      <c r="G6395" s="5" t="n"/>
      <c r="H6395" s="5" t="n">
        <v>380</v>
      </c>
      <c r="I6395" s="5" t="n">
        <v>286</v>
      </c>
      <c r="J6395" s="5" t="n">
        <v>94</v>
      </c>
      <c r="K6395" s="10">
        <f>IF(F6395&gt;0,H6395/F6395,"")</f>
        <v/>
      </c>
      <c r="L6395" s="16">
        <f>IF(AND(G6395&gt;0,H6395&gt;0),G6395/H6395,"")</f>
        <v/>
      </c>
    </row>
    <row r="6396">
      <c r="A6396" s="4" t="inlineStr">
        <is>
          <t>331</t>
        </is>
      </c>
      <c r="B6396" s="4" t="n">
        <v>3</v>
      </c>
      <c r="C6396" s="4" t="inlineStr">
        <is>
          <t>mule deer</t>
        </is>
      </c>
      <c r="D6396" s="4" t="n">
        <v>2021</v>
      </c>
      <c r="E6396" s="13" t="inlineStr">
        <is>
          <t>General</t>
        </is>
      </c>
      <c r="F6396" s="5" t="n">
        <v>1485</v>
      </c>
      <c r="G6396" s="5" t="n">
        <v>10368</v>
      </c>
      <c r="H6396" s="5" t="n">
        <v>297</v>
      </c>
      <c r="I6396" s="5" t="n">
        <v>210</v>
      </c>
      <c r="J6396" s="5" t="n">
        <v>87</v>
      </c>
      <c r="K6396" s="10">
        <f>IF(F6396&gt;0,H6396/F6396,"")</f>
        <v/>
      </c>
      <c r="L6396" s="16">
        <f>IF(AND(G6396&gt;0,H6396&gt;0),G6396/H6396,"")</f>
        <v/>
      </c>
    </row>
    <row r="6397">
      <c r="A6397" s="4" t="inlineStr">
        <is>
          <t>331</t>
        </is>
      </c>
      <c r="B6397" s="4" t="n">
        <v>3</v>
      </c>
      <c r="C6397" s="4" t="inlineStr">
        <is>
          <t>mule deer</t>
        </is>
      </c>
      <c r="D6397" s="4" t="n">
        <v>2022</v>
      </c>
      <c r="E6397" s="13" t="inlineStr">
        <is>
          <t>General</t>
        </is>
      </c>
      <c r="F6397" s="5" t="n"/>
      <c r="G6397" s="5" t="n"/>
      <c r="H6397" s="5" t="n">
        <v>345</v>
      </c>
      <c r="I6397" s="5" t="n">
        <v>224</v>
      </c>
      <c r="J6397" s="5" t="n">
        <v>118</v>
      </c>
      <c r="K6397" s="10">
        <f>IF(F6397&gt;0,H6397/F6397,"")</f>
        <v/>
      </c>
      <c r="L6397" s="16">
        <f>IF(AND(G6397&gt;0,H6397&gt;0),G6397/H6397,"")</f>
        <v/>
      </c>
    </row>
    <row r="6398">
      <c r="A6398" s="4" t="inlineStr">
        <is>
          <t>331</t>
        </is>
      </c>
      <c r="B6398" s="4" t="n">
        <v>3</v>
      </c>
      <c r="C6398" s="4" t="inlineStr">
        <is>
          <t>mule deer</t>
        </is>
      </c>
      <c r="D6398" s="4" t="n">
        <v>2023</v>
      </c>
      <c r="E6398" s="13" t="inlineStr">
        <is>
          <t>General</t>
        </is>
      </c>
      <c r="F6398" s="5" t="n">
        <v>2009</v>
      </c>
      <c r="G6398" s="5" t="n">
        <v>14147</v>
      </c>
      <c r="H6398" s="5" t="n">
        <v>310</v>
      </c>
      <c r="I6398" s="5" t="n">
        <v>243</v>
      </c>
      <c r="J6398" s="5" t="n">
        <v>66</v>
      </c>
      <c r="K6398" s="10">
        <f>IF(F6398&gt;0,H6398/F6398,"")</f>
        <v/>
      </c>
      <c r="L6398" s="16">
        <f>IF(AND(G6398&gt;0,H6398&gt;0),G6398/H6398,"")</f>
        <v/>
      </c>
    </row>
    <row r="6399">
      <c r="A6399" s="4" t="inlineStr">
        <is>
          <t>331</t>
        </is>
      </c>
      <c r="B6399" s="4" t="n">
        <v>3</v>
      </c>
      <c r="C6399" s="4" t="inlineStr">
        <is>
          <t>mule deer</t>
        </is>
      </c>
      <c r="D6399" s="4" t="n">
        <v>2024</v>
      </c>
      <c r="E6399" s="13" t="inlineStr">
        <is>
          <t>General</t>
        </is>
      </c>
      <c r="F6399" s="5" t="n"/>
      <c r="G6399" s="5" t="n"/>
      <c r="H6399" s="5" t="n">
        <v>481</v>
      </c>
      <c r="I6399" s="5" t="n">
        <v>359</v>
      </c>
      <c r="J6399" s="5" t="n">
        <v>109</v>
      </c>
      <c r="K6399" s="10">
        <f>IF(F6399&gt;0,H6399/F6399,"")</f>
        <v/>
      </c>
      <c r="L6399" s="16">
        <f>IF(AND(G6399&gt;0,H6399&gt;0),G6399/H6399,"")</f>
        <v/>
      </c>
    </row>
    <row r="6400">
      <c r="A6400" s="4" t="inlineStr">
        <is>
          <t>331</t>
        </is>
      </c>
      <c r="B6400" s="4" t="n">
        <v>3</v>
      </c>
      <c r="C6400" s="4" t="inlineStr">
        <is>
          <t>mule deer</t>
        </is>
      </c>
      <c r="D6400" s="4" t="n">
        <v>2025</v>
      </c>
      <c r="E6400" s="13" t="inlineStr">
        <is>
          <t>General</t>
        </is>
      </c>
      <c r="F6400" s="5" t="n">
        <v>2606</v>
      </c>
      <c r="G6400" s="5" t="n">
        <v>20916</v>
      </c>
      <c r="H6400" s="5" t="n">
        <v>415</v>
      </c>
      <c r="I6400" s="5" t="n">
        <v>290</v>
      </c>
      <c r="J6400" s="5" t="n">
        <v>115</v>
      </c>
      <c r="K6400" s="10">
        <f>IF(F6400&gt;0,H6400/F6400,"")</f>
        <v/>
      </c>
      <c r="L6400" s="16">
        <f>IF(AND(G6400&gt;0,H6400&gt;0),G6400/H6400,"")</f>
        <v/>
      </c>
    </row>
    <row r="6401">
      <c r="A6401" s="4" t="inlineStr">
        <is>
          <t>332</t>
        </is>
      </c>
      <c r="B6401" s="4" t="n">
        <v>3</v>
      </c>
      <c r="C6401" s="4" t="inlineStr">
        <is>
          <t>mule deer</t>
        </is>
      </c>
      <c r="D6401" s="4" t="n">
        <v>2004</v>
      </c>
      <c r="E6401" s="4" t="inlineStr"/>
      <c r="F6401" s="5" t="n">
        <v>613</v>
      </c>
      <c r="G6401" s="5" t="n">
        <v>3307</v>
      </c>
      <c r="H6401" s="5" t="n">
        <v>72</v>
      </c>
      <c r="I6401" s="5" t="n">
        <v>60</v>
      </c>
      <c r="J6401" s="5" t="n">
        <v>12</v>
      </c>
      <c r="K6401" s="10">
        <f>IF(F6401&gt;0,H6401/F6401,"")</f>
        <v/>
      </c>
      <c r="L6401" s="16">
        <f>IF(AND(G6401&gt;0,H6401&gt;0),G6401/H6401,"")</f>
        <v/>
      </c>
    </row>
    <row r="6402">
      <c r="A6402" s="4" t="inlineStr">
        <is>
          <t>332</t>
        </is>
      </c>
      <c r="B6402" s="4" t="n">
        <v>3</v>
      </c>
      <c r="C6402" s="4" t="inlineStr">
        <is>
          <t>mule deer</t>
        </is>
      </c>
      <c r="D6402" s="4" t="n">
        <v>2005</v>
      </c>
      <c r="E6402" s="4" t="inlineStr"/>
      <c r="F6402" s="5" t="n">
        <v>620</v>
      </c>
      <c r="G6402" s="5" t="n">
        <v>3585</v>
      </c>
      <c r="H6402" s="5" t="n">
        <v>153</v>
      </c>
      <c r="I6402" s="5" t="n">
        <v>120</v>
      </c>
      <c r="J6402" s="5" t="n">
        <v>29</v>
      </c>
      <c r="K6402" s="10">
        <f>IF(F6402&gt;0,H6402/F6402,"")</f>
        <v/>
      </c>
      <c r="L6402" s="16">
        <f>IF(AND(G6402&gt;0,H6402&gt;0),G6402/H6402,"")</f>
        <v/>
      </c>
    </row>
    <row r="6403">
      <c r="A6403" s="4" t="inlineStr">
        <is>
          <t>332</t>
        </is>
      </c>
      <c r="B6403" s="4" t="n">
        <v>3</v>
      </c>
      <c r="C6403" s="4" t="inlineStr">
        <is>
          <t>mule deer</t>
        </is>
      </c>
      <c r="D6403" s="4" t="n">
        <v>2006</v>
      </c>
      <c r="E6403" s="4" t="inlineStr"/>
      <c r="F6403" s="5" t="n">
        <v>497</v>
      </c>
      <c r="G6403" s="5" t="n">
        <v>2933</v>
      </c>
      <c r="H6403" s="5" t="n">
        <v>105</v>
      </c>
      <c r="I6403" s="5" t="n">
        <v>78</v>
      </c>
      <c r="J6403" s="5" t="n">
        <v>27</v>
      </c>
      <c r="K6403" s="10">
        <f>IF(F6403&gt;0,H6403/F6403,"")</f>
        <v/>
      </c>
      <c r="L6403" s="16">
        <f>IF(AND(G6403&gt;0,H6403&gt;0),G6403/H6403,"")</f>
        <v/>
      </c>
    </row>
    <row r="6404">
      <c r="A6404" s="4" t="inlineStr">
        <is>
          <t>332</t>
        </is>
      </c>
      <c r="B6404" s="4" t="n">
        <v>3</v>
      </c>
      <c r="C6404" s="4" t="inlineStr">
        <is>
          <t>mule deer</t>
        </is>
      </c>
      <c r="D6404" s="4" t="n">
        <v>2007</v>
      </c>
      <c r="E6404" s="4" t="inlineStr"/>
      <c r="F6404" s="5" t="n">
        <v>371</v>
      </c>
      <c r="G6404" s="5" t="n">
        <v>1953</v>
      </c>
      <c r="H6404" s="5" t="n">
        <v>39</v>
      </c>
      <c r="I6404" s="5" t="n">
        <v>17</v>
      </c>
      <c r="J6404" s="5" t="n">
        <v>22</v>
      </c>
      <c r="K6404" s="10">
        <f>IF(F6404&gt;0,H6404/F6404,"")</f>
        <v/>
      </c>
      <c r="L6404" s="16">
        <f>IF(AND(G6404&gt;0,H6404&gt;0),G6404/H6404,"")</f>
        <v/>
      </c>
    </row>
    <row r="6405">
      <c r="A6405" s="4" t="inlineStr">
        <is>
          <t>332</t>
        </is>
      </c>
      <c r="B6405" s="4" t="n">
        <v>3</v>
      </c>
      <c r="C6405" s="4" t="inlineStr">
        <is>
          <t>mule deer</t>
        </is>
      </c>
      <c r="D6405" s="4" t="n">
        <v>2008</v>
      </c>
      <c r="E6405" s="4" t="inlineStr"/>
      <c r="F6405" s="5" t="n">
        <v>400</v>
      </c>
      <c r="G6405" s="5" t="n">
        <v>2871</v>
      </c>
      <c r="H6405" s="5" t="n">
        <v>65</v>
      </c>
      <c r="I6405" s="5" t="n">
        <v>50</v>
      </c>
      <c r="J6405" s="5" t="n">
        <v>15</v>
      </c>
      <c r="K6405" s="10">
        <f>IF(F6405&gt;0,H6405/F6405,"")</f>
        <v/>
      </c>
      <c r="L6405" s="16">
        <f>IF(AND(G6405&gt;0,H6405&gt;0),G6405/H6405,"")</f>
        <v/>
      </c>
    </row>
    <row r="6406">
      <c r="A6406" s="4" t="inlineStr">
        <is>
          <t>332</t>
        </is>
      </c>
      <c r="B6406" s="4" t="n">
        <v>3</v>
      </c>
      <c r="C6406" s="4" t="inlineStr">
        <is>
          <t>mule deer</t>
        </is>
      </c>
      <c r="D6406" s="4" t="n">
        <v>2009</v>
      </c>
      <c r="E6406" s="4" t="inlineStr"/>
      <c r="F6406" s="5" t="n">
        <v>421</v>
      </c>
      <c r="G6406" s="5" t="n">
        <v>2846</v>
      </c>
      <c r="H6406" s="5" t="n">
        <v>23</v>
      </c>
      <c r="I6406" s="5" t="n">
        <v>20</v>
      </c>
      <c r="J6406" s="5" t="n">
        <v>3</v>
      </c>
      <c r="K6406" s="10">
        <f>IF(F6406&gt;0,H6406/F6406,"")</f>
        <v/>
      </c>
      <c r="L6406" s="16">
        <f>IF(AND(G6406&gt;0,H6406&gt;0),G6406/H6406,"")</f>
        <v/>
      </c>
    </row>
    <row r="6407">
      <c r="A6407" s="4" t="inlineStr">
        <is>
          <t>332</t>
        </is>
      </c>
      <c r="B6407" s="4" t="n">
        <v>3</v>
      </c>
      <c r="C6407" s="4" t="inlineStr">
        <is>
          <t>mule deer</t>
        </is>
      </c>
      <c r="D6407" s="4" t="n">
        <v>2010</v>
      </c>
      <c r="E6407" s="4" t="inlineStr"/>
      <c r="F6407" s="5" t="n">
        <v>439</v>
      </c>
      <c r="G6407" s="5" t="n">
        <v>2500</v>
      </c>
      <c r="H6407" s="5" t="n">
        <v>69</v>
      </c>
      <c r="I6407" s="5" t="n">
        <v>62</v>
      </c>
      <c r="J6407" s="5" t="n">
        <v>7</v>
      </c>
      <c r="K6407" s="10">
        <f>IF(F6407&gt;0,H6407/F6407,"")</f>
        <v/>
      </c>
      <c r="L6407" s="16">
        <f>IF(AND(G6407&gt;0,H6407&gt;0),G6407/H6407,"")</f>
        <v/>
      </c>
    </row>
    <row r="6408">
      <c r="A6408" s="4" t="inlineStr">
        <is>
          <t>332</t>
        </is>
      </c>
      <c r="B6408" s="4" t="n">
        <v>3</v>
      </c>
      <c r="C6408" s="4" t="inlineStr">
        <is>
          <t>mule deer</t>
        </is>
      </c>
      <c r="D6408" s="4" t="n">
        <v>2011</v>
      </c>
      <c r="E6408" s="4" t="inlineStr"/>
      <c r="F6408" s="5" t="n">
        <v>513</v>
      </c>
      <c r="G6408" s="5" t="n">
        <v>3254</v>
      </c>
      <c r="H6408" s="5" t="n">
        <v>35</v>
      </c>
      <c r="I6408" s="5" t="n">
        <v>33</v>
      </c>
      <c r="J6408" s="5" t="n">
        <v>1</v>
      </c>
      <c r="K6408" s="10">
        <f>IF(F6408&gt;0,H6408/F6408,"")</f>
        <v/>
      </c>
      <c r="L6408" s="16">
        <f>IF(AND(G6408&gt;0,H6408&gt;0),G6408/H6408,"")</f>
        <v/>
      </c>
    </row>
    <row r="6409">
      <c r="A6409" s="4" t="inlineStr">
        <is>
          <t>332</t>
        </is>
      </c>
      <c r="B6409" s="4" t="n">
        <v>3</v>
      </c>
      <c r="C6409" s="4" t="inlineStr">
        <is>
          <t>mule deer</t>
        </is>
      </c>
      <c r="D6409" s="4" t="n">
        <v>2012</v>
      </c>
      <c r="E6409" s="4" t="inlineStr"/>
      <c r="F6409" s="5" t="n"/>
      <c r="G6409" s="5" t="n"/>
      <c r="H6409" s="5" t="n">
        <v>65</v>
      </c>
      <c r="I6409" s="5" t="n">
        <v>56</v>
      </c>
      <c r="J6409" s="5" t="n">
        <v>9</v>
      </c>
      <c r="K6409" s="10">
        <f>IF(F6409&gt;0,H6409/F6409,"")</f>
        <v/>
      </c>
      <c r="L6409" s="16">
        <f>IF(AND(G6409&gt;0,H6409&gt;0),G6409/H6409,"")</f>
        <v/>
      </c>
    </row>
    <row r="6410">
      <c r="A6410" s="4" t="inlineStr">
        <is>
          <t>332</t>
        </is>
      </c>
      <c r="B6410" s="4" t="n">
        <v>3</v>
      </c>
      <c r="C6410" s="4" t="inlineStr">
        <is>
          <t>mule deer</t>
        </is>
      </c>
      <c r="D6410" s="4" t="n">
        <v>2013</v>
      </c>
      <c r="E6410" s="4" t="inlineStr"/>
      <c r="F6410" s="5" t="n">
        <v>440</v>
      </c>
      <c r="G6410" s="5" t="n">
        <v>2845</v>
      </c>
      <c r="H6410" s="5" t="n">
        <v>45</v>
      </c>
      <c r="I6410" s="5" t="n">
        <v>42</v>
      </c>
      <c r="J6410" s="5" t="n">
        <v>3</v>
      </c>
      <c r="K6410" s="10">
        <f>IF(F6410&gt;0,H6410/F6410,"")</f>
        <v/>
      </c>
      <c r="L6410" s="16">
        <f>IF(AND(G6410&gt;0,H6410&gt;0),G6410/H6410,"")</f>
        <v/>
      </c>
    </row>
    <row r="6411">
      <c r="A6411" s="4" t="inlineStr">
        <is>
          <t>332</t>
        </is>
      </c>
      <c r="B6411" s="4" t="n">
        <v>3</v>
      </c>
      <c r="C6411" s="4" t="inlineStr">
        <is>
          <t>mule deer</t>
        </is>
      </c>
      <c r="D6411" s="4" t="n">
        <v>2014</v>
      </c>
      <c r="E6411" s="4" t="inlineStr"/>
      <c r="F6411" s="5" t="n"/>
      <c r="G6411" s="5" t="n"/>
      <c r="H6411" s="5" t="n">
        <v>54</v>
      </c>
      <c r="I6411" s="5" t="n">
        <v>51</v>
      </c>
      <c r="J6411" s="5" t="n">
        <v>3</v>
      </c>
      <c r="K6411" s="10">
        <f>IF(F6411&gt;0,H6411/F6411,"")</f>
        <v/>
      </c>
      <c r="L6411" s="16">
        <f>IF(AND(G6411&gt;0,H6411&gt;0),G6411/H6411,"")</f>
        <v/>
      </c>
    </row>
    <row r="6412">
      <c r="A6412" s="4" t="inlineStr">
        <is>
          <t>332</t>
        </is>
      </c>
      <c r="B6412" s="4" t="n">
        <v>3</v>
      </c>
      <c r="C6412" s="4" t="inlineStr">
        <is>
          <t>mule deer</t>
        </is>
      </c>
      <c r="D6412" s="4" t="n">
        <v>2015</v>
      </c>
      <c r="E6412" s="4" t="inlineStr"/>
      <c r="F6412" s="5" t="n"/>
      <c r="G6412" s="5" t="n"/>
      <c r="H6412" s="5" t="n">
        <v>57</v>
      </c>
      <c r="I6412" s="5" t="n">
        <v>43</v>
      </c>
      <c r="J6412" s="5" t="n">
        <v>14</v>
      </c>
      <c r="K6412" s="10">
        <f>IF(F6412&gt;0,H6412/F6412,"")</f>
        <v/>
      </c>
      <c r="L6412" s="16">
        <f>IF(AND(G6412&gt;0,H6412&gt;0),G6412/H6412,"")</f>
        <v/>
      </c>
    </row>
    <row r="6413">
      <c r="A6413" s="4" t="inlineStr">
        <is>
          <t>332</t>
        </is>
      </c>
      <c r="B6413" s="4" t="n">
        <v>3</v>
      </c>
      <c r="C6413" s="4" t="inlineStr">
        <is>
          <t>mule deer</t>
        </is>
      </c>
      <c r="D6413" s="4" t="n">
        <v>2016</v>
      </c>
      <c r="E6413" s="4" t="inlineStr"/>
      <c r="F6413" s="5" t="n"/>
      <c r="G6413" s="5" t="n"/>
      <c r="H6413" s="5" t="n">
        <v>62</v>
      </c>
      <c r="I6413" s="5" t="n">
        <v>53</v>
      </c>
      <c r="J6413" s="5" t="n">
        <v>9</v>
      </c>
      <c r="K6413" s="10">
        <f>IF(F6413&gt;0,H6413/F6413,"")</f>
        <v/>
      </c>
      <c r="L6413" s="16">
        <f>IF(AND(G6413&gt;0,H6413&gt;0),G6413/H6413,"")</f>
        <v/>
      </c>
    </row>
    <row r="6414">
      <c r="A6414" s="4" t="inlineStr">
        <is>
          <t>332</t>
        </is>
      </c>
      <c r="B6414" s="4" t="n">
        <v>3</v>
      </c>
      <c r="C6414" s="4" t="inlineStr">
        <is>
          <t>mule deer</t>
        </is>
      </c>
      <c r="D6414" s="4" t="n">
        <v>2017</v>
      </c>
      <c r="E6414" s="4" t="inlineStr"/>
      <c r="F6414" s="5" t="n">
        <v>458</v>
      </c>
      <c r="G6414" s="5" t="n">
        <v>3021</v>
      </c>
      <c r="H6414" s="5" t="n">
        <v>62</v>
      </c>
      <c r="I6414" s="5" t="n">
        <v>44</v>
      </c>
      <c r="J6414" s="5" t="n">
        <v>18</v>
      </c>
      <c r="K6414" s="10">
        <f>IF(F6414&gt;0,H6414/F6414,"")</f>
        <v/>
      </c>
      <c r="L6414" s="16">
        <f>IF(AND(G6414&gt;0,H6414&gt;0),G6414/H6414,"")</f>
        <v/>
      </c>
    </row>
    <row r="6415">
      <c r="A6415" s="4" t="inlineStr">
        <is>
          <t>332</t>
        </is>
      </c>
      <c r="B6415" s="4" t="n">
        <v>3</v>
      </c>
      <c r="C6415" s="4" t="inlineStr">
        <is>
          <t>mule deer</t>
        </is>
      </c>
      <c r="D6415" s="4" t="n">
        <v>2018</v>
      </c>
      <c r="E6415" s="4" t="inlineStr"/>
      <c r="F6415" s="5" t="n"/>
      <c r="G6415" s="5" t="n"/>
      <c r="H6415" s="5" t="n">
        <v>34</v>
      </c>
      <c r="I6415" s="5" t="n">
        <v>18</v>
      </c>
      <c r="J6415" s="5" t="n">
        <v>15</v>
      </c>
      <c r="K6415" s="10">
        <f>IF(F6415&gt;0,H6415/F6415,"")</f>
        <v/>
      </c>
      <c r="L6415" s="16">
        <f>IF(AND(G6415&gt;0,H6415&gt;0),G6415/H6415,"")</f>
        <v/>
      </c>
    </row>
    <row r="6416">
      <c r="A6416" s="4" t="inlineStr">
        <is>
          <t>332</t>
        </is>
      </c>
      <c r="B6416" s="4" t="n">
        <v>3</v>
      </c>
      <c r="C6416" s="4" t="inlineStr">
        <is>
          <t>mule deer</t>
        </is>
      </c>
      <c r="D6416" s="4" t="n">
        <v>2019</v>
      </c>
      <c r="E6416" s="4" t="inlineStr"/>
      <c r="F6416" s="5" t="n">
        <v>552</v>
      </c>
      <c r="G6416" s="5" t="n">
        <v>3342</v>
      </c>
      <c r="H6416" s="5" t="n">
        <v>40</v>
      </c>
      <c r="I6416" s="5" t="n">
        <v>24</v>
      </c>
      <c r="J6416" s="5" t="n">
        <v>17</v>
      </c>
      <c r="K6416" s="10">
        <f>IF(F6416&gt;0,H6416/F6416,"")</f>
        <v/>
      </c>
      <c r="L6416" s="16">
        <f>IF(AND(G6416&gt;0,H6416&gt;0),G6416/H6416,"")</f>
        <v/>
      </c>
    </row>
    <row r="6417">
      <c r="A6417" s="4" t="inlineStr">
        <is>
          <t>332</t>
        </is>
      </c>
      <c r="B6417" s="4" t="n">
        <v>3</v>
      </c>
      <c r="C6417" s="4" t="inlineStr">
        <is>
          <t>mule deer</t>
        </is>
      </c>
      <c r="D6417" s="4" t="n">
        <v>2020</v>
      </c>
      <c r="E6417" s="4" t="inlineStr"/>
      <c r="F6417" s="5" t="n"/>
      <c r="G6417" s="5" t="n"/>
      <c r="H6417" s="5" t="n">
        <v>53</v>
      </c>
      <c r="I6417" s="5" t="n">
        <v>43</v>
      </c>
      <c r="J6417" s="5" t="n">
        <v>10</v>
      </c>
      <c r="K6417" s="10">
        <f>IF(F6417&gt;0,H6417/F6417,"")</f>
        <v/>
      </c>
      <c r="L6417" s="16">
        <f>IF(AND(G6417&gt;0,H6417&gt;0),G6417/H6417,"")</f>
        <v/>
      </c>
    </row>
    <row r="6418">
      <c r="A6418" s="4" t="inlineStr">
        <is>
          <t>332</t>
        </is>
      </c>
      <c r="B6418" s="4" t="n">
        <v>3</v>
      </c>
      <c r="C6418" s="4" t="inlineStr">
        <is>
          <t>mule deer</t>
        </is>
      </c>
      <c r="D6418" s="4" t="n">
        <v>2021</v>
      </c>
      <c r="E6418" s="4" t="inlineStr"/>
      <c r="F6418" s="5" t="n">
        <v>478</v>
      </c>
      <c r="G6418" s="5" t="n">
        <v>3115</v>
      </c>
      <c r="H6418" s="5" t="n">
        <v>49</v>
      </c>
      <c r="I6418" s="5" t="n">
        <v>34</v>
      </c>
      <c r="J6418" s="5" t="n">
        <v>15</v>
      </c>
      <c r="K6418" s="10">
        <f>IF(F6418&gt;0,H6418/F6418,"")</f>
        <v/>
      </c>
      <c r="L6418" s="16">
        <f>IF(AND(G6418&gt;0,H6418&gt;0),G6418/H6418,"")</f>
        <v/>
      </c>
    </row>
    <row r="6419">
      <c r="A6419" s="4" t="inlineStr">
        <is>
          <t>333</t>
        </is>
      </c>
      <c r="B6419" s="4" t="n">
        <v>3</v>
      </c>
      <c r="C6419" s="4" t="inlineStr">
        <is>
          <t>mule deer</t>
        </is>
      </c>
      <c r="D6419" s="4" t="n">
        <v>2004</v>
      </c>
      <c r="E6419" s="4" t="inlineStr"/>
      <c r="F6419" s="5" t="n">
        <v>1788</v>
      </c>
      <c r="G6419" s="5" t="n">
        <v>9334</v>
      </c>
      <c r="H6419" s="5" t="n">
        <v>496</v>
      </c>
      <c r="I6419" s="5" t="n">
        <v>200</v>
      </c>
      <c r="J6419" s="5" t="n">
        <v>288</v>
      </c>
      <c r="K6419" s="10">
        <f>IF(F6419&gt;0,H6419/F6419,"")</f>
        <v/>
      </c>
      <c r="L6419" s="16">
        <f>IF(AND(G6419&gt;0,H6419&gt;0),G6419/H6419,"")</f>
        <v/>
      </c>
    </row>
    <row r="6420">
      <c r="A6420" s="4" t="inlineStr">
        <is>
          <t>333</t>
        </is>
      </c>
      <c r="B6420" s="4" t="n">
        <v>3</v>
      </c>
      <c r="C6420" s="4" t="inlineStr">
        <is>
          <t>mule deer</t>
        </is>
      </c>
      <c r="D6420" s="4" t="n">
        <v>2005</v>
      </c>
      <c r="E6420" s="4" t="inlineStr"/>
      <c r="F6420" s="5" t="n">
        <v>1921</v>
      </c>
      <c r="G6420" s="5" t="n">
        <v>10339</v>
      </c>
      <c r="H6420" s="5" t="n">
        <v>463</v>
      </c>
      <c r="I6420" s="5" t="n">
        <v>220</v>
      </c>
      <c r="J6420" s="5" t="n">
        <v>241</v>
      </c>
      <c r="K6420" s="10">
        <f>IF(F6420&gt;0,H6420/F6420,"")</f>
        <v/>
      </c>
      <c r="L6420" s="16">
        <f>IF(AND(G6420&gt;0,H6420&gt;0),G6420/H6420,"")</f>
        <v/>
      </c>
    </row>
    <row r="6421">
      <c r="A6421" s="4" t="inlineStr">
        <is>
          <t>333</t>
        </is>
      </c>
      <c r="B6421" s="4" t="n">
        <v>3</v>
      </c>
      <c r="C6421" s="4" t="inlineStr">
        <is>
          <t>mule deer</t>
        </is>
      </c>
      <c r="D6421" s="4" t="n">
        <v>2006</v>
      </c>
      <c r="E6421" s="4" t="inlineStr"/>
      <c r="F6421" s="5" t="n">
        <v>1591</v>
      </c>
      <c r="G6421" s="5" t="n">
        <v>8718</v>
      </c>
      <c r="H6421" s="5" t="n">
        <v>492</v>
      </c>
      <c r="I6421" s="5" t="n">
        <v>235</v>
      </c>
      <c r="J6421" s="5" t="n">
        <v>255</v>
      </c>
      <c r="K6421" s="10">
        <f>IF(F6421&gt;0,H6421/F6421,"")</f>
        <v/>
      </c>
      <c r="L6421" s="16">
        <f>IF(AND(G6421&gt;0,H6421&gt;0),G6421/H6421,"")</f>
        <v/>
      </c>
    </row>
    <row r="6422">
      <c r="A6422" s="4" t="inlineStr">
        <is>
          <t>333</t>
        </is>
      </c>
      <c r="B6422" s="4" t="n">
        <v>3</v>
      </c>
      <c r="C6422" s="4" t="inlineStr">
        <is>
          <t>mule deer</t>
        </is>
      </c>
      <c r="D6422" s="4" t="n">
        <v>2007</v>
      </c>
      <c r="E6422" s="4" t="inlineStr"/>
      <c r="F6422" s="5" t="n">
        <v>1723</v>
      </c>
      <c r="G6422" s="5" t="n">
        <v>9678</v>
      </c>
      <c r="H6422" s="5" t="n">
        <v>393</v>
      </c>
      <c r="I6422" s="5" t="n">
        <v>190</v>
      </c>
      <c r="J6422" s="5" t="n">
        <v>203</v>
      </c>
      <c r="K6422" s="10">
        <f>IF(F6422&gt;0,H6422/F6422,"")</f>
        <v/>
      </c>
      <c r="L6422" s="16">
        <f>IF(AND(G6422&gt;0,H6422&gt;0),G6422/H6422,"")</f>
        <v/>
      </c>
    </row>
    <row r="6423">
      <c r="A6423" s="4" t="inlineStr">
        <is>
          <t>333</t>
        </is>
      </c>
      <c r="B6423" s="4" t="n">
        <v>3</v>
      </c>
      <c r="C6423" s="4" t="inlineStr">
        <is>
          <t>mule deer</t>
        </is>
      </c>
      <c r="D6423" s="4" t="n">
        <v>2008</v>
      </c>
      <c r="E6423" s="4" t="inlineStr"/>
      <c r="F6423" s="5" t="n">
        <v>1782</v>
      </c>
      <c r="G6423" s="5" t="n">
        <v>9686</v>
      </c>
      <c r="H6423" s="5" t="n">
        <v>319</v>
      </c>
      <c r="I6423" s="5" t="n">
        <v>140</v>
      </c>
      <c r="J6423" s="5" t="n">
        <v>176</v>
      </c>
      <c r="K6423" s="10">
        <f>IF(F6423&gt;0,H6423/F6423,"")</f>
        <v/>
      </c>
      <c r="L6423" s="16">
        <f>IF(AND(G6423&gt;0,H6423&gt;0),G6423/H6423,"")</f>
        <v/>
      </c>
    </row>
    <row r="6424">
      <c r="A6424" s="4" t="inlineStr">
        <is>
          <t>333</t>
        </is>
      </c>
      <c r="B6424" s="4" t="n">
        <v>3</v>
      </c>
      <c r="C6424" s="4" t="inlineStr">
        <is>
          <t>mule deer</t>
        </is>
      </c>
      <c r="D6424" s="4" t="n">
        <v>2009</v>
      </c>
      <c r="E6424" s="4" t="inlineStr"/>
      <c r="F6424" s="5" t="n">
        <v>1747</v>
      </c>
      <c r="G6424" s="5" t="n">
        <v>9145</v>
      </c>
      <c r="H6424" s="5" t="n">
        <v>270</v>
      </c>
      <c r="I6424" s="5" t="n">
        <v>139</v>
      </c>
      <c r="J6424" s="5" t="n">
        <v>131</v>
      </c>
      <c r="K6424" s="10">
        <f>IF(F6424&gt;0,H6424/F6424,"")</f>
        <v/>
      </c>
      <c r="L6424" s="16">
        <f>IF(AND(G6424&gt;0,H6424&gt;0),G6424/H6424,"")</f>
        <v/>
      </c>
    </row>
    <row r="6425">
      <c r="A6425" s="4" t="inlineStr">
        <is>
          <t>333</t>
        </is>
      </c>
      <c r="B6425" s="4" t="n">
        <v>3</v>
      </c>
      <c r="C6425" s="4" t="inlineStr">
        <is>
          <t>mule deer</t>
        </is>
      </c>
      <c r="D6425" s="4" t="n">
        <v>2010</v>
      </c>
      <c r="E6425" s="4" t="inlineStr"/>
      <c r="F6425" s="5" t="n">
        <v>1580</v>
      </c>
      <c r="G6425" s="5" t="n">
        <v>14060</v>
      </c>
      <c r="H6425" s="5" t="n">
        <v>169</v>
      </c>
      <c r="I6425" s="5" t="n">
        <v>116</v>
      </c>
      <c r="J6425" s="5" t="n">
        <v>54</v>
      </c>
      <c r="K6425" s="10">
        <f>IF(F6425&gt;0,H6425/F6425,"")</f>
        <v/>
      </c>
      <c r="L6425" s="16">
        <f>IF(AND(G6425&gt;0,H6425&gt;0),G6425/H6425,"")</f>
        <v/>
      </c>
    </row>
    <row r="6426">
      <c r="A6426" s="4" t="inlineStr">
        <is>
          <t>333</t>
        </is>
      </c>
      <c r="B6426" s="4" t="n">
        <v>3</v>
      </c>
      <c r="C6426" s="4" t="inlineStr">
        <is>
          <t>mule deer</t>
        </is>
      </c>
      <c r="D6426" s="4" t="n">
        <v>2011</v>
      </c>
      <c r="E6426" s="4" t="inlineStr"/>
      <c r="F6426" s="5" t="n">
        <v>1359</v>
      </c>
      <c r="G6426" s="5" t="n">
        <v>7650</v>
      </c>
      <c r="H6426" s="5" t="n">
        <v>145</v>
      </c>
      <c r="I6426" s="5" t="n">
        <v>97</v>
      </c>
      <c r="J6426" s="5" t="n">
        <v>45</v>
      </c>
      <c r="K6426" s="10">
        <f>IF(F6426&gt;0,H6426/F6426,"")</f>
        <v/>
      </c>
      <c r="L6426" s="16">
        <f>IF(AND(G6426&gt;0,H6426&gt;0),G6426/H6426,"")</f>
        <v/>
      </c>
    </row>
    <row r="6427">
      <c r="A6427" s="4" t="inlineStr">
        <is>
          <t>333</t>
        </is>
      </c>
      <c r="B6427" s="4" t="n">
        <v>3</v>
      </c>
      <c r="C6427" s="4" t="inlineStr">
        <is>
          <t>mule deer</t>
        </is>
      </c>
      <c r="D6427" s="4" t="n">
        <v>2012</v>
      </c>
      <c r="E6427" s="4" t="inlineStr"/>
      <c r="F6427" s="5" t="n"/>
      <c r="G6427" s="5" t="n"/>
      <c r="H6427" s="5" t="n">
        <v>121</v>
      </c>
      <c r="I6427" s="5" t="n">
        <v>116</v>
      </c>
      <c r="J6427" s="5" t="n">
        <v>5</v>
      </c>
      <c r="K6427" s="10">
        <f>IF(F6427&gt;0,H6427/F6427,"")</f>
        <v/>
      </c>
      <c r="L6427" s="16">
        <f>IF(AND(G6427&gt;0,H6427&gt;0),G6427/H6427,"")</f>
        <v/>
      </c>
    </row>
    <row r="6428">
      <c r="A6428" s="4" t="inlineStr">
        <is>
          <t>333</t>
        </is>
      </c>
      <c r="B6428" s="4" t="n">
        <v>3</v>
      </c>
      <c r="C6428" s="4" t="inlineStr">
        <is>
          <t>mule deer</t>
        </is>
      </c>
      <c r="D6428" s="4" t="n">
        <v>2013</v>
      </c>
      <c r="E6428" s="4" t="inlineStr"/>
      <c r="F6428" s="5" t="n">
        <v>1497</v>
      </c>
      <c r="G6428" s="5" t="n">
        <v>8448</v>
      </c>
      <c r="H6428" s="5" t="n">
        <v>148</v>
      </c>
      <c r="I6428" s="5" t="n">
        <v>135</v>
      </c>
      <c r="J6428" s="5" t="n">
        <v>13</v>
      </c>
      <c r="K6428" s="10">
        <f>IF(F6428&gt;0,H6428/F6428,"")</f>
        <v/>
      </c>
      <c r="L6428" s="16">
        <f>IF(AND(G6428&gt;0,H6428&gt;0),G6428/H6428,"")</f>
        <v/>
      </c>
    </row>
    <row r="6429">
      <c r="A6429" s="4" t="inlineStr">
        <is>
          <t>333</t>
        </is>
      </c>
      <c r="B6429" s="4" t="n">
        <v>3</v>
      </c>
      <c r="C6429" s="4" t="inlineStr">
        <is>
          <t>mule deer</t>
        </is>
      </c>
      <c r="D6429" s="4" t="n">
        <v>2014</v>
      </c>
      <c r="E6429" s="4" t="inlineStr"/>
      <c r="F6429" s="5" t="n"/>
      <c r="G6429" s="5" t="n"/>
      <c r="H6429" s="5" t="n">
        <v>147</v>
      </c>
      <c r="I6429" s="5" t="n">
        <v>147</v>
      </c>
      <c r="J6429" s="5" t="n">
        <v>0</v>
      </c>
      <c r="K6429" s="10">
        <f>IF(F6429&gt;0,H6429/F6429,"")</f>
        <v/>
      </c>
      <c r="L6429" s="16">
        <f>IF(AND(G6429&gt;0,H6429&gt;0),G6429/H6429,"")</f>
        <v/>
      </c>
    </row>
    <row r="6430">
      <c r="A6430" s="4" t="inlineStr">
        <is>
          <t>333</t>
        </is>
      </c>
      <c r="B6430" s="4" t="n">
        <v>3</v>
      </c>
      <c r="C6430" s="4" t="inlineStr">
        <is>
          <t>mule deer</t>
        </is>
      </c>
      <c r="D6430" s="4" t="n">
        <v>2015</v>
      </c>
      <c r="E6430" s="4" t="inlineStr"/>
      <c r="F6430" s="5" t="n"/>
      <c r="G6430" s="5" t="n"/>
      <c r="H6430" s="5" t="n">
        <v>122</v>
      </c>
      <c r="I6430" s="5" t="n">
        <v>121</v>
      </c>
      <c r="J6430" s="5" t="n">
        <v>2</v>
      </c>
      <c r="K6430" s="10">
        <f>IF(F6430&gt;0,H6430/F6430,"")</f>
        <v/>
      </c>
      <c r="L6430" s="16">
        <f>IF(AND(G6430&gt;0,H6430&gt;0),G6430/H6430,"")</f>
        <v/>
      </c>
    </row>
    <row r="6431">
      <c r="A6431" s="4" t="inlineStr">
        <is>
          <t>333</t>
        </is>
      </c>
      <c r="B6431" s="4" t="n">
        <v>3</v>
      </c>
      <c r="C6431" s="4" t="inlineStr">
        <is>
          <t>mule deer</t>
        </is>
      </c>
      <c r="D6431" s="4" t="n">
        <v>2016</v>
      </c>
      <c r="E6431" s="4" t="inlineStr"/>
      <c r="F6431" s="5" t="n"/>
      <c r="G6431" s="5" t="n"/>
      <c r="H6431" s="5" t="n">
        <v>275</v>
      </c>
      <c r="I6431" s="5" t="n">
        <v>190</v>
      </c>
      <c r="J6431" s="5" t="n">
        <v>85</v>
      </c>
      <c r="K6431" s="10">
        <f>IF(F6431&gt;0,H6431/F6431,"")</f>
        <v/>
      </c>
      <c r="L6431" s="16">
        <f>IF(AND(G6431&gt;0,H6431&gt;0),G6431/H6431,"")</f>
        <v/>
      </c>
    </row>
    <row r="6432">
      <c r="A6432" s="4" t="inlineStr">
        <is>
          <t>333</t>
        </is>
      </c>
      <c r="B6432" s="4" t="n">
        <v>3</v>
      </c>
      <c r="C6432" s="4" t="inlineStr">
        <is>
          <t>mule deer</t>
        </is>
      </c>
      <c r="D6432" s="4" t="n">
        <v>2017</v>
      </c>
      <c r="E6432" s="4" t="inlineStr"/>
      <c r="F6432" s="5" t="n">
        <v>1326</v>
      </c>
      <c r="G6432" s="5" t="n">
        <v>7840</v>
      </c>
      <c r="H6432" s="5" t="n">
        <v>190</v>
      </c>
      <c r="I6432" s="5" t="n">
        <v>145</v>
      </c>
      <c r="J6432" s="5" t="n">
        <v>45</v>
      </c>
      <c r="K6432" s="10">
        <f>IF(F6432&gt;0,H6432/F6432,"")</f>
        <v/>
      </c>
      <c r="L6432" s="16">
        <f>IF(AND(G6432&gt;0,H6432&gt;0),G6432/H6432,"")</f>
        <v/>
      </c>
    </row>
    <row r="6433">
      <c r="A6433" s="4" t="inlineStr">
        <is>
          <t>333</t>
        </is>
      </c>
      <c r="B6433" s="4" t="n">
        <v>3</v>
      </c>
      <c r="C6433" s="4" t="inlineStr">
        <is>
          <t>mule deer</t>
        </is>
      </c>
      <c r="D6433" s="4" t="n">
        <v>2018</v>
      </c>
      <c r="E6433" s="4" t="inlineStr"/>
      <c r="F6433" s="5" t="n"/>
      <c r="G6433" s="5" t="n"/>
      <c r="H6433" s="5" t="n">
        <v>226</v>
      </c>
      <c r="I6433" s="5" t="n">
        <v>176</v>
      </c>
      <c r="J6433" s="5" t="n">
        <v>50</v>
      </c>
      <c r="K6433" s="10">
        <f>IF(F6433&gt;0,H6433/F6433,"")</f>
        <v/>
      </c>
      <c r="L6433" s="16">
        <f>IF(AND(G6433&gt;0,H6433&gt;0),G6433/H6433,"")</f>
        <v/>
      </c>
    </row>
    <row r="6434">
      <c r="A6434" s="4" t="inlineStr">
        <is>
          <t>333</t>
        </is>
      </c>
      <c r="B6434" s="4" t="n">
        <v>3</v>
      </c>
      <c r="C6434" s="4" t="inlineStr">
        <is>
          <t>mule deer</t>
        </is>
      </c>
      <c r="D6434" s="4" t="n">
        <v>2019</v>
      </c>
      <c r="E6434" s="4" t="inlineStr"/>
      <c r="F6434" s="5" t="n">
        <v>1500</v>
      </c>
      <c r="G6434" s="5" t="n">
        <v>8069</v>
      </c>
      <c r="H6434" s="5" t="n">
        <v>231</v>
      </c>
      <c r="I6434" s="5" t="n">
        <v>187</v>
      </c>
      <c r="J6434" s="5" t="n">
        <v>44</v>
      </c>
      <c r="K6434" s="10">
        <f>IF(F6434&gt;0,H6434/F6434,"")</f>
        <v/>
      </c>
      <c r="L6434" s="16">
        <f>IF(AND(G6434&gt;0,H6434&gt;0),G6434/H6434,"")</f>
        <v/>
      </c>
    </row>
    <row r="6435">
      <c r="A6435" s="4" t="inlineStr">
        <is>
          <t>333</t>
        </is>
      </c>
      <c r="B6435" s="4" t="n">
        <v>3</v>
      </c>
      <c r="C6435" s="4" t="inlineStr">
        <is>
          <t>mule deer</t>
        </is>
      </c>
      <c r="D6435" s="4" t="n">
        <v>2020</v>
      </c>
      <c r="E6435" s="4" t="inlineStr"/>
      <c r="F6435" s="5" t="n"/>
      <c r="G6435" s="5" t="n"/>
      <c r="H6435" s="5" t="n">
        <v>236</v>
      </c>
      <c r="I6435" s="5" t="n">
        <v>168</v>
      </c>
      <c r="J6435" s="5" t="n">
        <v>68</v>
      </c>
      <c r="K6435" s="10">
        <f>IF(F6435&gt;0,H6435/F6435,"")</f>
        <v/>
      </c>
      <c r="L6435" s="16">
        <f>IF(AND(G6435&gt;0,H6435&gt;0),G6435/H6435,"")</f>
        <v/>
      </c>
    </row>
    <row r="6436">
      <c r="A6436" s="4" t="inlineStr">
        <is>
          <t>333</t>
        </is>
      </c>
      <c r="B6436" s="4" t="n">
        <v>3</v>
      </c>
      <c r="C6436" s="4" t="inlineStr">
        <is>
          <t>mule deer</t>
        </is>
      </c>
      <c r="D6436" s="4" t="n">
        <v>2021</v>
      </c>
      <c r="E6436" s="4" t="inlineStr"/>
      <c r="F6436" s="5" t="n">
        <v>1452</v>
      </c>
      <c r="G6436" s="5" t="n">
        <v>9148</v>
      </c>
      <c r="H6436" s="5" t="n">
        <v>259</v>
      </c>
      <c r="I6436" s="5" t="n">
        <v>219</v>
      </c>
      <c r="J6436" s="5" t="n">
        <v>40</v>
      </c>
      <c r="K6436" s="10">
        <f>IF(F6436&gt;0,H6436/F6436,"")</f>
        <v/>
      </c>
      <c r="L6436" s="16">
        <f>IF(AND(G6436&gt;0,H6436&gt;0),G6436/H6436,"")</f>
        <v/>
      </c>
    </row>
    <row r="6437">
      <c r="A6437" s="4" t="inlineStr">
        <is>
          <t>334</t>
        </is>
      </c>
      <c r="B6437" s="4" t="n">
        <v>3</v>
      </c>
      <c r="C6437" s="4" t="inlineStr">
        <is>
          <t>mule deer</t>
        </is>
      </c>
      <c r="D6437" s="4" t="n">
        <v>2010</v>
      </c>
      <c r="E6437" s="4" t="inlineStr"/>
      <c r="F6437" s="5" t="n">
        <v>186</v>
      </c>
      <c r="G6437" s="5" t="n">
        <v>1045</v>
      </c>
      <c r="H6437" s="5" t="n">
        <v>14</v>
      </c>
      <c r="I6437" s="5" t="n">
        <v>11</v>
      </c>
      <c r="J6437" s="5" t="n">
        <v>3</v>
      </c>
      <c r="K6437" s="10">
        <f>IF(F6437&gt;0,H6437/F6437,"")</f>
        <v/>
      </c>
      <c r="L6437" s="16">
        <f>IF(AND(G6437&gt;0,H6437&gt;0),G6437/H6437,"")</f>
        <v/>
      </c>
    </row>
    <row r="6438">
      <c r="A6438" s="4" t="inlineStr">
        <is>
          <t>334</t>
        </is>
      </c>
      <c r="B6438" s="4" t="n">
        <v>3</v>
      </c>
      <c r="C6438" s="4" t="inlineStr">
        <is>
          <t>mule deer</t>
        </is>
      </c>
      <c r="D6438" s="4" t="n">
        <v>2011</v>
      </c>
      <c r="E6438" s="4" t="inlineStr"/>
      <c r="F6438" s="5" t="n">
        <v>212</v>
      </c>
      <c r="G6438" s="5" t="n">
        <v>1257</v>
      </c>
      <c r="H6438" s="5" t="n">
        <v>11</v>
      </c>
      <c r="I6438" s="5" t="n">
        <v>8</v>
      </c>
      <c r="J6438" s="5" t="n">
        <v>3</v>
      </c>
      <c r="K6438" s="10">
        <f>IF(F6438&gt;0,H6438/F6438,"")</f>
        <v/>
      </c>
      <c r="L6438" s="16">
        <f>IF(AND(G6438&gt;0,H6438&gt;0),G6438/H6438,"")</f>
        <v/>
      </c>
    </row>
    <row r="6439">
      <c r="A6439" s="4" t="inlineStr">
        <is>
          <t>334</t>
        </is>
      </c>
      <c r="B6439" s="4" t="n">
        <v>3</v>
      </c>
      <c r="C6439" s="4" t="inlineStr">
        <is>
          <t>mule deer</t>
        </is>
      </c>
      <c r="D6439" s="4" t="n">
        <v>2012</v>
      </c>
      <c r="E6439" s="4" t="inlineStr"/>
      <c r="F6439" s="5" t="n"/>
      <c r="G6439" s="5" t="n"/>
      <c r="H6439" s="5" t="n">
        <v>14</v>
      </c>
      <c r="I6439" s="5" t="n">
        <v>14</v>
      </c>
      <c r="J6439" s="5" t="n">
        <v>0</v>
      </c>
      <c r="K6439" s="10">
        <f>IF(F6439&gt;0,H6439/F6439,"")</f>
        <v/>
      </c>
      <c r="L6439" s="16">
        <f>IF(AND(G6439&gt;0,H6439&gt;0),G6439/H6439,"")</f>
        <v/>
      </c>
    </row>
    <row r="6440">
      <c r="A6440" s="4" t="inlineStr">
        <is>
          <t>334</t>
        </is>
      </c>
      <c r="B6440" s="4" t="n">
        <v>3</v>
      </c>
      <c r="C6440" s="4" t="inlineStr">
        <is>
          <t>mule deer</t>
        </is>
      </c>
      <c r="D6440" s="4" t="n">
        <v>2013</v>
      </c>
      <c r="E6440" s="4" t="inlineStr"/>
      <c r="F6440" s="5" t="n">
        <v>165</v>
      </c>
      <c r="G6440" s="5" t="n">
        <v>997</v>
      </c>
      <c r="H6440" s="5" t="n">
        <v>16</v>
      </c>
      <c r="I6440" s="5" t="n">
        <v>11</v>
      </c>
      <c r="J6440" s="5" t="n">
        <v>5</v>
      </c>
      <c r="K6440" s="10">
        <f>IF(F6440&gt;0,H6440/F6440,"")</f>
        <v/>
      </c>
      <c r="L6440" s="16">
        <f>IF(AND(G6440&gt;0,H6440&gt;0),G6440/H6440,"")</f>
        <v/>
      </c>
    </row>
    <row r="6441">
      <c r="A6441" s="4" t="inlineStr">
        <is>
          <t>334</t>
        </is>
      </c>
      <c r="B6441" s="4" t="n">
        <v>3</v>
      </c>
      <c r="C6441" s="4" t="inlineStr">
        <is>
          <t>mule deer</t>
        </is>
      </c>
      <c r="D6441" s="4" t="n">
        <v>2014</v>
      </c>
      <c r="E6441" s="4" t="inlineStr"/>
      <c r="F6441" s="5" t="n"/>
      <c r="G6441" s="5" t="n"/>
      <c r="H6441" s="5" t="n">
        <v>23</v>
      </c>
      <c r="I6441" s="5" t="n">
        <v>23</v>
      </c>
      <c r="J6441" s="5" t="n">
        <v>0</v>
      </c>
      <c r="K6441" s="10">
        <f>IF(F6441&gt;0,H6441/F6441,"")</f>
        <v/>
      </c>
      <c r="L6441" s="16">
        <f>IF(AND(G6441&gt;0,H6441&gt;0),G6441/H6441,"")</f>
        <v/>
      </c>
    </row>
    <row r="6442">
      <c r="A6442" s="4" t="inlineStr">
        <is>
          <t>334</t>
        </is>
      </c>
      <c r="B6442" s="4" t="n">
        <v>3</v>
      </c>
      <c r="C6442" s="4" t="inlineStr">
        <is>
          <t>mule deer</t>
        </is>
      </c>
      <c r="D6442" s="4" t="n">
        <v>2015</v>
      </c>
      <c r="E6442" s="4" t="inlineStr"/>
      <c r="F6442" s="5" t="n"/>
      <c r="G6442" s="5" t="n"/>
      <c r="H6442" s="5" t="n">
        <v>26</v>
      </c>
      <c r="I6442" s="5" t="n">
        <v>23</v>
      </c>
      <c r="J6442" s="5" t="n">
        <v>3</v>
      </c>
      <c r="K6442" s="10">
        <f>IF(F6442&gt;0,H6442/F6442,"")</f>
        <v/>
      </c>
      <c r="L6442" s="16">
        <f>IF(AND(G6442&gt;0,H6442&gt;0),G6442/H6442,"")</f>
        <v/>
      </c>
    </row>
    <row r="6443">
      <c r="A6443" s="4" t="inlineStr">
        <is>
          <t>334</t>
        </is>
      </c>
      <c r="B6443" s="4" t="n">
        <v>3</v>
      </c>
      <c r="C6443" s="4" t="inlineStr">
        <is>
          <t>mule deer</t>
        </is>
      </c>
      <c r="D6443" s="4" t="n">
        <v>2016</v>
      </c>
      <c r="E6443" s="4" t="inlineStr"/>
      <c r="F6443" s="5" t="n"/>
      <c r="G6443" s="5" t="n"/>
      <c r="H6443" s="5" t="n">
        <v>47</v>
      </c>
      <c r="I6443" s="5" t="n">
        <v>41</v>
      </c>
      <c r="J6443" s="5" t="n">
        <v>6</v>
      </c>
      <c r="K6443" s="10">
        <f>IF(F6443&gt;0,H6443/F6443,"")</f>
        <v/>
      </c>
      <c r="L6443" s="16">
        <f>IF(AND(G6443&gt;0,H6443&gt;0),G6443/H6443,"")</f>
        <v/>
      </c>
    </row>
    <row r="6444">
      <c r="A6444" s="4" t="inlineStr">
        <is>
          <t>334</t>
        </is>
      </c>
      <c r="B6444" s="4" t="n">
        <v>3</v>
      </c>
      <c r="C6444" s="4" t="inlineStr">
        <is>
          <t>mule deer</t>
        </is>
      </c>
      <c r="D6444" s="4" t="n">
        <v>2017</v>
      </c>
      <c r="E6444" s="4" t="inlineStr"/>
      <c r="F6444" s="5" t="n">
        <v>198</v>
      </c>
      <c r="G6444" s="5" t="n">
        <v>1088</v>
      </c>
      <c r="H6444" s="5" t="n">
        <v>17</v>
      </c>
      <c r="I6444" s="5" t="n">
        <v>12</v>
      </c>
      <c r="J6444" s="5" t="n">
        <v>5</v>
      </c>
      <c r="K6444" s="10">
        <f>IF(F6444&gt;0,H6444/F6444,"")</f>
        <v/>
      </c>
      <c r="L6444" s="16">
        <f>IF(AND(G6444&gt;0,H6444&gt;0),G6444/H6444,"")</f>
        <v/>
      </c>
    </row>
    <row r="6445">
      <c r="A6445" s="4" t="inlineStr">
        <is>
          <t>334</t>
        </is>
      </c>
      <c r="B6445" s="4" t="n">
        <v>3</v>
      </c>
      <c r="C6445" s="4" t="inlineStr">
        <is>
          <t>mule deer</t>
        </is>
      </c>
      <c r="D6445" s="4" t="n">
        <v>2018</v>
      </c>
      <c r="E6445" s="4" t="inlineStr"/>
      <c r="F6445" s="5" t="n"/>
      <c r="G6445" s="5" t="n"/>
      <c r="H6445" s="5" t="n">
        <v>25</v>
      </c>
      <c r="I6445" s="5" t="n">
        <v>22</v>
      </c>
      <c r="J6445" s="5" t="n">
        <v>3</v>
      </c>
      <c r="K6445" s="10">
        <f>IF(F6445&gt;0,H6445/F6445,"")</f>
        <v/>
      </c>
      <c r="L6445" s="16">
        <f>IF(AND(G6445&gt;0,H6445&gt;0),G6445/H6445,"")</f>
        <v/>
      </c>
    </row>
    <row r="6446">
      <c r="A6446" s="4" t="inlineStr">
        <is>
          <t>334</t>
        </is>
      </c>
      <c r="B6446" s="4" t="n">
        <v>3</v>
      </c>
      <c r="C6446" s="4" t="inlineStr">
        <is>
          <t>mule deer</t>
        </is>
      </c>
      <c r="D6446" s="4" t="n">
        <v>2019</v>
      </c>
      <c r="E6446" s="4" t="inlineStr"/>
      <c r="F6446" s="5" t="n">
        <v>264</v>
      </c>
      <c r="G6446" s="5" t="n">
        <v>1819</v>
      </c>
      <c r="H6446" s="5" t="n">
        <v>23</v>
      </c>
      <c r="I6446" s="5" t="n">
        <v>17</v>
      </c>
      <c r="J6446" s="5" t="n">
        <v>6</v>
      </c>
      <c r="K6446" s="10">
        <f>IF(F6446&gt;0,H6446/F6446,"")</f>
        <v/>
      </c>
      <c r="L6446" s="16">
        <f>IF(AND(G6446&gt;0,H6446&gt;0),G6446/H6446,"")</f>
        <v/>
      </c>
    </row>
    <row r="6447">
      <c r="A6447" s="4" t="inlineStr">
        <is>
          <t>334</t>
        </is>
      </c>
      <c r="B6447" s="4" t="n">
        <v>3</v>
      </c>
      <c r="C6447" s="4" t="inlineStr">
        <is>
          <t>mule deer</t>
        </is>
      </c>
      <c r="D6447" s="4" t="n">
        <v>2020</v>
      </c>
      <c r="E6447" s="4" t="inlineStr"/>
      <c r="F6447" s="5" t="n"/>
      <c r="G6447" s="5" t="n"/>
      <c r="H6447" s="5" t="n">
        <v>33</v>
      </c>
      <c r="I6447" s="5" t="n">
        <v>23</v>
      </c>
      <c r="J6447" s="5" t="n">
        <v>10</v>
      </c>
      <c r="K6447" s="10">
        <f>IF(F6447&gt;0,H6447/F6447,"")</f>
        <v/>
      </c>
      <c r="L6447" s="16">
        <f>IF(AND(G6447&gt;0,H6447&gt;0),G6447/H6447,"")</f>
        <v/>
      </c>
    </row>
    <row r="6448">
      <c r="A6448" s="4" t="inlineStr">
        <is>
          <t>334</t>
        </is>
      </c>
      <c r="B6448" s="4" t="n">
        <v>3</v>
      </c>
      <c r="C6448" s="4" t="inlineStr">
        <is>
          <t>mule deer</t>
        </is>
      </c>
      <c r="D6448" s="4" t="n">
        <v>2021</v>
      </c>
      <c r="E6448" s="4" t="inlineStr"/>
      <c r="F6448" s="5" t="n">
        <v>238</v>
      </c>
      <c r="G6448" s="5" t="n">
        <v>1505</v>
      </c>
      <c r="H6448" s="5" t="n">
        <v>20</v>
      </c>
      <c r="I6448" s="5" t="n">
        <v>15</v>
      </c>
      <c r="J6448" s="5" t="n">
        <v>5</v>
      </c>
      <c r="K6448" s="10">
        <f>IF(F6448&gt;0,H6448/F6448,"")</f>
        <v/>
      </c>
      <c r="L6448" s="16">
        <f>IF(AND(G6448&gt;0,H6448&gt;0),G6448/H6448,"")</f>
        <v/>
      </c>
    </row>
    <row r="6449">
      <c r="A6449" s="4" t="inlineStr">
        <is>
          <t>335</t>
        </is>
      </c>
      <c r="B6449" s="4" t="n">
        <v>3</v>
      </c>
      <c r="C6449" s="4" t="inlineStr">
        <is>
          <t>mule deer</t>
        </is>
      </c>
      <c r="D6449" s="4" t="n">
        <v>2004</v>
      </c>
      <c r="E6449" s="13" t="inlineStr">
        <is>
          <t>General</t>
        </is>
      </c>
      <c r="F6449" s="5" t="n">
        <v>561</v>
      </c>
      <c r="G6449" s="5" t="n">
        <v>4011</v>
      </c>
      <c r="H6449" s="5" t="n">
        <v>264</v>
      </c>
      <c r="I6449" s="5" t="n">
        <v>188</v>
      </c>
      <c r="J6449" s="5" t="n">
        <v>76</v>
      </c>
      <c r="K6449" s="10">
        <f>IF(F6449&gt;0,H6449/F6449,"")</f>
        <v/>
      </c>
      <c r="L6449" s="16">
        <f>IF(AND(G6449&gt;0,H6449&gt;0),G6449/H6449,"")</f>
        <v/>
      </c>
    </row>
    <row r="6450">
      <c r="A6450" s="4" t="inlineStr">
        <is>
          <t>335</t>
        </is>
      </c>
      <c r="B6450" s="4" t="n">
        <v>3</v>
      </c>
      <c r="C6450" s="4" t="inlineStr">
        <is>
          <t>mule deer</t>
        </is>
      </c>
      <c r="D6450" s="4" t="n">
        <v>2005</v>
      </c>
      <c r="E6450" s="13" t="inlineStr">
        <is>
          <t>General</t>
        </is>
      </c>
      <c r="F6450" s="5" t="n">
        <v>506</v>
      </c>
      <c r="G6450" s="5" t="n">
        <v>3499</v>
      </c>
      <c r="H6450" s="5" t="n">
        <v>254</v>
      </c>
      <c r="I6450" s="5" t="n">
        <v>173</v>
      </c>
      <c r="J6450" s="5" t="n">
        <v>81</v>
      </c>
      <c r="K6450" s="10">
        <f>IF(F6450&gt;0,H6450/F6450,"")</f>
        <v/>
      </c>
      <c r="L6450" s="16">
        <f>IF(AND(G6450&gt;0,H6450&gt;0),G6450/H6450,"")</f>
        <v/>
      </c>
    </row>
    <row r="6451">
      <c r="A6451" s="4" t="inlineStr">
        <is>
          <t>335</t>
        </is>
      </c>
      <c r="B6451" s="4" t="n">
        <v>3</v>
      </c>
      <c r="C6451" s="4" t="inlineStr">
        <is>
          <t>mule deer</t>
        </is>
      </c>
      <c r="D6451" s="4" t="n">
        <v>2006</v>
      </c>
      <c r="E6451" s="13" t="inlineStr">
        <is>
          <t>General</t>
        </is>
      </c>
      <c r="F6451" s="5" t="n">
        <v>554</v>
      </c>
      <c r="G6451" s="5" t="n">
        <v>3935</v>
      </c>
      <c r="H6451" s="5" t="n">
        <v>277</v>
      </c>
      <c r="I6451" s="5" t="n">
        <v>194</v>
      </c>
      <c r="J6451" s="5" t="n">
        <v>84</v>
      </c>
      <c r="K6451" s="10">
        <f>IF(F6451&gt;0,H6451/F6451,"")</f>
        <v/>
      </c>
      <c r="L6451" s="16">
        <f>IF(AND(G6451&gt;0,H6451&gt;0),G6451/H6451,"")</f>
        <v/>
      </c>
    </row>
    <row r="6452">
      <c r="A6452" s="4" t="inlineStr">
        <is>
          <t>335</t>
        </is>
      </c>
      <c r="B6452" s="4" t="n">
        <v>3</v>
      </c>
      <c r="C6452" s="4" t="inlineStr">
        <is>
          <t>mule deer</t>
        </is>
      </c>
      <c r="D6452" s="4" t="n">
        <v>2007</v>
      </c>
      <c r="E6452" s="13" t="inlineStr">
        <is>
          <t>General</t>
        </is>
      </c>
      <c r="F6452" s="5" t="n">
        <v>505</v>
      </c>
      <c r="G6452" s="5" t="n">
        <v>3369</v>
      </c>
      <c r="H6452" s="5" t="n">
        <v>225</v>
      </c>
      <c r="I6452" s="5" t="n">
        <v>141</v>
      </c>
      <c r="J6452" s="5" t="n">
        <v>84</v>
      </c>
      <c r="K6452" s="10">
        <f>IF(F6452&gt;0,H6452/F6452,"")</f>
        <v/>
      </c>
      <c r="L6452" s="16">
        <f>IF(AND(G6452&gt;0,H6452&gt;0),G6452/H6452,"")</f>
        <v/>
      </c>
    </row>
    <row r="6453">
      <c r="A6453" s="4" t="inlineStr">
        <is>
          <t>335</t>
        </is>
      </c>
      <c r="B6453" s="4" t="n">
        <v>3</v>
      </c>
      <c r="C6453" s="4" t="inlineStr">
        <is>
          <t>mule deer</t>
        </is>
      </c>
      <c r="D6453" s="4" t="n">
        <v>2008</v>
      </c>
      <c r="E6453" s="13" t="inlineStr">
        <is>
          <t>General</t>
        </is>
      </c>
      <c r="F6453" s="5" t="n">
        <v>603</v>
      </c>
      <c r="G6453" s="5" t="n">
        <v>4552</v>
      </c>
      <c r="H6453" s="5" t="n">
        <v>221</v>
      </c>
      <c r="I6453" s="5" t="n">
        <v>154</v>
      </c>
      <c r="J6453" s="5" t="n">
        <v>65</v>
      </c>
      <c r="K6453" s="10">
        <f>IF(F6453&gt;0,H6453/F6453,"")</f>
        <v/>
      </c>
      <c r="L6453" s="16">
        <f>IF(AND(G6453&gt;0,H6453&gt;0),G6453/H6453,"")</f>
        <v/>
      </c>
    </row>
    <row r="6454">
      <c r="A6454" s="4" t="inlineStr">
        <is>
          <t>335</t>
        </is>
      </c>
      <c r="B6454" s="4" t="n">
        <v>3</v>
      </c>
      <c r="C6454" s="4" t="inlineStr">
        <is>
          <t>mule deer</t>
        </is>
      </c>
      <c r="D6454" s="4" t="n">
        <v>2009</v>
      </c>
      <c r="E6454" s="13" t="inlineStr">
        <is>
          <t>General</t>
        </is>
      </c>
      <c r="F6454" s="5" t="n">
        <v>489</v>
      </c>
      <c r="G6454" s="5" t="n">
        <v>3266</v>
      </c>
      <c r="H6454" s="5" t="n">
        <v>201</v>
      </c>
      <c r="I6454" s="5" t="n">
        <v>122</v>
      </c>
      <c r="J6454" s="5" t="n">
        <v>79</v>
      </c>
      <c r="K6454" s="10">
        <f>IF(F6454&gt;0,H6454/F6454,"")</f>
        <v/>
      </c>
      <c r="L6454" s="16">
        <f>IF(AND(G6454&gt;0,H6454&gt;0),G6454/H6454,"")</f>
        <v/>
      </c>
    </row>
    <row r="6455">
      <c r="A6455" s="4" t="inlineStr">
        <is>
          <t>335</t>
        </is>
      </c>
      <c r="B6455" s="4" t="n">
        <v>3</v>
      </c>
      <c r="C6455" s="4" t="inlineStr">
        <is>
          <t>mule deer</t>
        </is>
      </c>
      <c r="D6455" s="4" t="n">
        <v>2010</v>
      </c>
      <c r="E6455" s="13" t="inlineStr">
        <is>
          <t>General</t>
        </is>
      </c>
      <c r="F6455" s="5" t="n">
        <v>514</v>
      </c>
      <c r="G6455" s="5" t="n">
        <v>3195</v>
      </c>
      <c r="H6455" s="5" t="n">
        <v>169</v>
      </c>
      <c r="I6455" s="5" t="n">
        <v>125</v>
      </c>
      <c r="J6455" s="5" t="n">
        <v>44</v>
      </c>
      <c r="K6455" s="10">
        <f>IF(F6455&gt;0,H6455/F6455,"")</f>
        <v/>
      </c>
      <c r="L6455" s="16">
        <f>IF(AND(G6455&gt;0,H6455&gt;0),G6455/H6455,"")</f>
        <v/>
      </c>
    </row>
    <row r="6456">
      <c r="A6456" s="4" t="inlineStr">
        <is>
          <t>335</t>
        </is>
      </c>
      <c r="B6456" s="4" t="n">
        <v>3</v>
      </c>
      <c r="C6456" s="4" t="inlineStr">
        <is>
          <t>mule deer</t>
        </is>
      </c>
      <c r="D6456" s="4" t="n">
        <v>2011</v>
      </c>
      <c r="E6456" s="13" t="inlineStr">
        <is>
          <t>General</t>
        </is>
      </c>
      <c r="F6456" s="5" t="n">
        <v>556</v>
      </c>
      <c r="G6456" s="5" t="n">
        <v>3559</v>
      </c>
      <c r="H6456" s="5" t="n">
        <v>225</v>
      </c>
      <c r="I6456" s="5" t="n">
        <v>173</v>
      </c>
      <c r="J6456" s="5" t="n">
        <v>52</v>
      </c>
      <c r="K6456" s="10">
        <f>IF(F6456&gt;0,H6456/F6456,"")</f>
        <v/>
      </c>
      <c r="L6456" s="16">
        <f>IF(AND(G6456&gt;0,H6456&gt;0),G6456/H6456,"")</f>
        <v/>
      </c>
    </row>
    <row r="6457">
      <c r="A6457" s="4" t="inlineStr">
        <is>
          <t>335</t>
        </is>
      </c>
      <c r="B6457" s="4" t="n">
        <v>3</v>
      </c>
      <c r="C6457" s="4" t="inlineStr">
        <is>
          <t>mule deer</t>
        </is>
      </c>
      <c r="D6457" s="4" t="n">
        <v>2012</v>
      </c>
      <c r="E6457" s="13" t="inlineStr">
        <is>
          <t>General</t>
        </is>
      </c>
      <c r="F6457" s="5" t="n"/>
      <c r="G6457" s="5" t="n"/>
      <c r="H6457" s="5" t="n">
        <v>204</v>
      </c>
      <c r="I6457" s="5" t="n">
        <v>155</v>
      </c>
      <c r="J6457" s="5" t="n">
        <v>49</v>
      </c>
      <c r="K6457" s="10">
        <f>IF(F6457&gt;0,H6457/F6457,"")</f>
        <v/>
      </c>
      <c r="L6457" s="16">
        <f>IF(AND(G6457&gt;0,H6457&gt;0),G6457/H6457,"")</f>
        <v/>
      </c>
    </row>
    <row r="6458">
      <c r="A6458" s="4" t="inlineStr">
        <is>
          <t>335</t>
        </is>
      </c>
      <c r="B6458" s="4" t="n">
        <v>3</v>
      </c>
      <c r="C6458" s="4" t="inlineStr">
        <is>
          <t>mule deer</t>
        </is>
      </c>
      <c r="D6458" s="4" t="n">
        <v>2013</v>
      </c>
      <c r="E6458" s="13" t="inlineStr">
        <is>
          <t>General</t>
        </is>
      </c>
      <c r="F6458" s="5" t="n">
        <v>563</v>
      </c>
      <c r="G6458" s="5" t="n">
        <v>4517</v>
      </c>
      <c r="H6458" s="5" t="n">
        <v>174</v>
      </c>
      <c r="I6458" s="5" t="n">
        <v>137</v>
      </c>
      <c r="J6458" s="5" t="n">
        <v>37</v>
      </c>
      <c r="K6458" s="10">
        <f>IF(F6458&gt;0,H6458/F6458,"")</f>
        <v/>
      </c>
      <c r="L6458" s="16">
        <f>IF(AND(G6458&gt;0,H6458&gt;0),G6458/H6458,"")</f>
        <v/>
      </c>
    </row>
    <row r="6459">
      <c r="A6459" s="4" t="inlineStr">
        <is>
          <t>335</t>
        </is>
      </c>
      <c r="B6459" s="4" t="n">
        <v>3</v>
      </c>
      <c r="C6459" s="4" t="inlineStr">
        <is>
          <t>mule deer</t>
        </is>
      </c>
      <c r="D6459" s="4" t="n">
        <v>2014</v>
      </c>
      <c r="E6459" s="13" t="inlineStr">
        <is>
          <t>General</t>
        </is>
      </c>
      <c r="F6459" s="5" t="n"/>
      <c r="G6459" s="5" t="n"/>
      <c r="H6459" s="5" t="n">
        <v>147</v>
      </c>
      <c r="I6459" s="5" t="n">
        <v>145</v>
      </c>
      <c r="J6459" s="5" t="n">
        <v>3</v>
      </c>
      <c r="K6459" s="10">
        <f>IF(F6459&gt;0,H6459/F6459,"")</f>
        <v/>
      </c>
      <c r="L6459" s="16">
        <f>IF(AND(G6459&gt;0,H6459&gt;0),G6459/H6459,"")</f>
        <v/>
      </c>
    </row>
    <row r="6460">
      <c r="A6460" s="4" t="inlineStr">
        <is>
          <t>335</t>
        </is>
      </c>
      <c r="B6460" s="4" t="n">
        <v>3</v>
      </c>
      <c r="C6460" s="4" t="inlineStr">
        <is>
          <t>mule deer</t>
        </is>
      </c>
      <c r="D6460" s="4" t="n">
        <v>2015</v>
      </c>
      <c r="E6460" s="13" t="inlineStr">
        <is>
          <t>General</t>
        </is>
      </c>
      <c r="F6460" s="5" t="n"/>
      <c r="G6460" s="5" t="n"/>
      <c r="H6460" s="5" t="n">
        <v>207</v>
      </c>
      <c r="I6460" s="5" t="n">
        <v>195</v>
      </c>
      <c r="J6460" s="5" t="n">
        <v>11</v>
      </c>
      <c r="K6460" s="10">
        <f>IF(F6460&gt;0,H6460/F6460,"")</f>
        <v/>
      </c>
      <c r="L6460" s="16">
        <f>IF(AND(G6460&gt;0,H6460&gt;0),G6460/H6460,"")</f>
        <v/>
      </c>
    </row>
    <row r="6461">
      <c r="A6461" s="4" t="inlineStr">
        <is>
          <t>335</t>
        </is>
      </c>
      <c r="B6461" s="4" t="n">
        <v>3</v>
      </c>
      <c r="C6461" s="4" t="inlineStr">
        <is>
          <t>mule deer</t>
        </is>
      </c>
      <c r="D6461" s="4" t="n">
        <v>2016</v>
      </c>
      <c r="E6461" s="13" t="inlineStr">
        <is>
          <t>General</t>
        </is>
      </c>
      <c r="F6461" s="5" t="n"/>
      <c r="G6461" s="5" t="n"/>
      <c r="H6461" s="5" t="n">
        <v>207</v>
      </c>
      <c r="I6461" s="5" t="n">
        <v>155</v>
      </c>
      <c r="J6461" s="5" t="n">
        <v>50</v>
      </c>
      <c r="K6461" s="10">
        <f>IF(F6461&gt;0,H6461/F6461,"")</f>
        <v/>
      </c>
      <c r="L6461" s="16">
        <f>IF(AND(G6461&gt;0,H6461&gt;0),G6461/H6461,"")</f>
        <v/>
      </c>
    </row>
    <row r="6462">
      <c r="A6462" s="4" t="inlineStr">
        <is>
          <t>335</t>
        </is>
      </c>
      <c r="B6462" s="4" t="n">
        <v>3</v>
      </c>
      <c r="C6462" s="4" t="inlineStr">
        <is>
          <t>mule deer</t>
        </is>
      </c>
      <c r="D6462" s="4" t="n">
        <v>2017</v>
      </c>
      <c r="E6462" s="13" t="inlineStr">
        <is>
          <t>General</t>
        </is>
      </c>
      <c r="F6462" s="5" t="n">
        <v>492</v>
      </c>
      <c r="G6462" s="5" t="n">
        <v>3595</v>
      </c>
      <c r="H6462" s="5" t="n">
        <v>202</v>
      </c>
      <c r="I6462" s="5" t="n">
        <v>147</v>
      </c>
      <c r="J6462" s="5" t="n">
        <v>55</v>
      </c>
      <c r="K6462" s="10">
        <f>IF(F6462&gt;0,H6462/F6462,"")</f>
        <v/>
      </c>
      <c r="L6462" s="16">
        <f>IF(AND(G6462&gt;0,H6462&gt;0),G6462/H6462,"")</f>
        <v/>
      </c>
    </row>
    <row r="6463">
      <c r="A6463" s="4" t="inlineStr">
        <is>
          <t>335</t>
        </is>
      </c>
      <c r="B6463" s="4" t="n">
        <v>3</v>
      </c>
      <c r="C6463" s="4" t="inlineStr">
        <is>
          <t>mule deer</t>
        </is>
      </c>
      <c r="D6463" s="4" t="n">
        <v>2018</v>
      </c>
      <c r="E6463" s="13" t="inlineStr">
        <is>
          <t>General</t>
        </is>
      </c>
      <c r="F6463" s="5" t="n"/>
      <c r="G6463" s="5" t="n"/>
      <c r="H6463" s="5" t="n">
        <v>214</v>
      </c>
      <c r="I6463" s="5" t="n">
        <v>183</v>
      </c>
      <c r="J6463" s="5" t="n">
        <v>29</v>
      </c>
      <c r="K6463" s="10">
        <f>IF(F6463&gt;0,H6463/F6463,"")</f>
        <v/>
      </c>
      <c r="L6463" s="16">
        <f>IF(AND(G6463&gt;0,H6463&gt;0),G6463/H6463,"")</f>
        <v/>
      </c>
    </row>
    <row r="6464">
      <c r="A6464" s="4" t="inlineStr">
        <is>
          <t>335</t>
        </is>
      </c>
      <c r="B6464" s="4" t="n">
        <v>3</v>
      </c>
      <c r="C6464" s="4" t="inlineStr">
        <is>
          <t>mule deer</t>
        </is>
      </c>
      <c r="D6464" s="4" t="n">
        <v>2019</v>
      </c>
      <c r="E6464" s="13" t="inlineStr">
        <is>
          <t>General</t>
        </is>
      </c>
      <c r="F6464" s="5" t="n">
        <v>765</v>
      </c>
      <c r="G6464" s="5" t="n">
        <v>5951</v>
      </c>
      <c r="H6464" s="5" t="n">
        <v>159</v>
      </c>
      <c r="I6464" s="5" t="n">
        <v>147</v>
      </c>
      <c r="J6464" s="5" t="n">
        <v>12</v>
      </c>
      <c r="K6464" s="10">
        <f>IF(F6464&gt;0,H6464/F6464,"")</f>
        <v/>
      </c>
      <c r="L6464" s="16">
        <f>IF(AND(G6464&gt;0,H6464&gt;0),G6464/H6464,"")</f>
        <v/>
      </c>
    </row>
    <row r="6465">
      <c r="A6465" s="4" t="inlineStr">
        <is>
          <t>335</t>
        </is>
      </c>
      <c r="B6465" s="4" t="n">
        <v>3</v>
      </c>
      <c r="C6465" s="4" t="inlineStr">
        <is>
          <t>mule deer</t>
        </is>
      </c>
      <c r="D6465" s="4" t="n">
        <v>2020</v>
      </c>
      <c r="E6465" s="13" t="inlineStr">
        <is>
          <t>General</t>
        </is>
      </c>
      <c r="F6465" s="5" t="n"/>
      <c r="G6465" s="5" t="n"/>
      <c r="H6465" s="5" t="n">
        <v>162</v>
      </c>
      <c r="I6465" s="5" t="n">
        <v>143</v>
      </c>
      <c r="J6465" s="5" t="n">
        <v>19</v>
      </c>
      <c r="K6465" s="10">
        <f>IF(F6465&gt;0,H6465/F6465,"")</f>
        <v/>
      </c>
      <c r="L6465" s="16">
        <f>IF(AND(G6465&gt;0,H6465&gt;0),G6465/H6465,"")</f>
        <v/>
      </c>
    </row>
    <row r="6466">
      <c r="A6466" s="4" t="inlineStr">
        <is>
          <t>335</t>
        </is>
      </c>
      <c r="B6466" s="4" t="n">
        <v>3</v>
      </c>
      <c r="C6466" s="4" t="inlineStr">
        <is>
          <t>mule deer</t>
        </is>
      </c>
      <c r="D6466" s="4" t="n">
        <v>2021</v>
      </c>
      <c r="E6466" s="13" t="inlineStr">
        <is>
          <t>General</t>
        </is>
      </c>
      <c r="F6466" s="5" t="n">
        <v>875</v>
      </c>
      <c r="G6466" s="5" t="n">
        <v>6923</v>
      </c>
      <c r="H6466" s="5" t="n">
        <v>206</v>
      </c>
      <c r="I6466" s="5" t="n">
        <v>183</v>
      </c>
      <c r="J6466" s="5" t="n">
        <v>19</v>
      </c>
      <c r="K6466" s="10">
        <f>IF(F6466&gt;0,H6466/F6466,"")</f>
        <v/>
      </c>
      <c r="L6466" s="16">
        <f>IF(AND(G6466&gt;0,H6466&gt;0),G6466/H6466,"")</f>
        <v/>
      </c>
    </row>
    <row r="6467">
      <c r="A6467" s="4" t="inlineStr">
        <is>
          <t>335</t>
        </is>
      </c>
      <c r="B6467" s="4" t="n">
        <v>3</v>
      </c>
      <c r="C6467" s="4" t="inlineStr">
        <is>
          <t>mule deer</t>
        </is>
      </c>
      <c r="D6467" s="4" t="n">
        <v>2022</v>
      </c>
      <c r="E6467" s="13" t="inlineStr">
        <is>
          <t>General</t>
        </is>
      </c>
      <c r="F6467" s="5" t="n"/>
      <c r="G6467" s="5" t="n"/>
      <c r="H6467" s="5" t="n">
        <v>249</v>
      </c>
      <c r="I6467" s="5" t="n">
        <v>229</v>
      </c>
      <c r="J6467" s="5" t="n">
        <v>20</v>
      </c>
      <c r="K6467" s="10">
        <f>IF(F6467&gt;0,H6467/F6467,"")</f>
        <v/>
      </c>
      <c r="L6467" s="16">
        <f>IF(AND(G6467&gt;0,H6467&gt;0),G6467/H6467,"")</f>
        <v/>
      </c>
    </row>
    <row r="6468">
      <c r="A6468" s="4" t="inlineStr">
        <is>
          <t>335</t>
        </is>
      </c>
      <c r="B6468" s="4" t="n">
        <v>3</v>
      </c>
      <c r="C6468" s="4" t="inlineStr">
        <is>
          <t>mule deer</t>
        </is>
      </c>
      <c r="D6468" s="4" t="n">
        <v>2023</v>
      </c>
      <c r="E6468" s="13" t="inlineStr">
        <is>
          <t>General</t>
        </is>
      </c>
      <c r="F6468" s="5" t="n">
        <v>1100</v>
      </c>
      <c r="G6468" s="5" t="n">
        <v>9091</v>
      </c>
      <c r="H6468" s="5" t="n">
        <v>245</v>
      </c>
      <c r="I6468" s="5" t="n">
        <v>228</v>
      </c>
      <c r="J6468" s="5" t="n">
        <v>17</v>
      </c>
      <c r="K6468" s="10">
        <f>IF(F6468&gt;0,H6468/F6468,"")</f>
        <v/>
      </c>
      <c r="L6468" s="16">
        <f>IF(AND(G6468&gt;0,H6468&gt;0),G6468/H6468,"")</f>
        <v/>
      </c>
    </row>
    <row r="6469">
      <c r="A6469" s="4" t="inlineStr">
        <is>
          <t>335</t>
        </is>
      </c>
      <c r="B6469" s="4" t="n">
        <v>3</v>
      </c>
      <c r="C6469" s="4" t="inlineStr">
        <is>
          <t>mule deer</t>
        </is>
      </c>
      <c r="D6469" s="4" t="n">
        <v>2024</v>
      </c>
      <c r="E6469" s="13" t="inlineStr">
        <is>
          <t>General</t>
        </is>
      </c>
      <c r="F6469" s="5" t="n"/>
      <c r="G6469" s="5" t="n"/>
      <c r="H6469" s="5" t="n">
        <v>244</v>
      </c>
      <c r="I6469" s="5" t="n">
        <v>226</v>
      </c>
      <c r="J6469" s="5" t="n">
        <v>18</v>
      </c>
      <c r="K6469" s="10">
        <f>IF(F6469&gt;0,H6469/F6469,"")</f>
        <v/>
      </c>
      <c r="L6469" s="16">
        <f>IF(AND(G6469&gt;0,H6469&gt;0),G6469/H6469,"")</f>
        <v/>
      </c>
    </row>
    <row r="6470">
      <c r="A6470" s="4" t="inlineStr">
        <is>
          <t>335</t>
        </is>
      </c>
      <c r="B6470" s="4" t="n">
        <v>3</v>
      </c>
      <c r="C6470" s="4" t="inlineStr">
        <is>
          <t>mule deer</t>
        </is>
      </c>
      <c r="D6470" s="4" t="n">
        <v>2025</v>
      </c>
      <c r="E6470" s="13" t="inlineStr">
        <is>
          <t>General</t>
        </is>
      </c>
      <c r="F6470" s="5" t="n">
        <v>1194</v>
      </c>
      <c r="G6470" s="5" t="n">
        <v>8438</v>
      </c>
      <c r="H6470" s="5" t="n">
        <v>256</v>
      </c>
      <c r="I6470" s="5" t="n">
        <v>204</v>
      </c>
      <c r="J6470" s="5" t="n">
        <v>46</v>
      </c>
      <c r="K6470" s="10">
        <f>IF(F6470&gt;0,H6470/F6470,"")</f>
        <v/>
      </c>
      <c r="L6470" s="16">
        <f>IF(AND(G6470&gt;0,H6470&gt;0),G6470/H6470,"")</f>
        <v/>
      </c>
    </row>
    <row r="6471">
      <c r="A6471" s="4" t="inlineStr">
        <is>
          <t>339</t>
        </is>
      </c>
      <c r="B6471" s="4" t="n">
        <v>3</v>
      </c>
      <c r="C6471" s="4" t="inlineStr">
        <is>
          <t>mule deer</t>
        </is>
      </c>
      <c r="D6471" s="4" t="n">
        <v>2004</v>
      </c>
      <c r="E6471" s="13" t="inlineStr">
        <is>
          <t>General</t>
        </is>
      </c>
      <c r="F6471" s="5" t="n">
        <v>551</v>
      </c>
      <c r="G6471" s="5" t="n">
        <v>3803</v>
      </c>
      <c r="H6471" s="5" t="n">
        <v>231</v>
      </c>
      <c r="I6471" s="5" t="n">
        <v>164</v>
      </c>
      <c r="J6471" s="5" t="n">
        <v>67</v>
      </c>
      <c r="K6471" s="10">
        <f>IF(F6471&gt;0,H6471/F6471,"")</f>
        <v/>
      </c>
      <c r="L6471" s="16">
        <f>IF(AND(G6471&gt;0,H6471&gt;0),G6471/H6471,"")</f>
        <v/>
      </c>
    </row>
    <row r="6472">
      <c r="A6472" s="4" t="inlineStr">
        <is>
          <t>339</t>
        </is>
      </c>
      <c r="B6472" s="4" t="n">
        <v>3</v>
      </c>
      <c r="C6472" s="4" t="inlineStr">
        <is>
          <t>mule deer</t>
        </is>
      </c>
      <c r="D6472" s="4" t="n">
        <v>2005</v>
      </c>
      <c r="E6472" s="13" t="inlineStr">
        <is>
          <t>General</t>
        </is>
      </c>
      <c r="F6472" s="5" t="n">
        <v>649</v>
      </c>
      <c r="G6472" s="5" t="n">
        <v>3866</v>
      </c>
      <c r="H6472" s="5" t="n">
        <v>294</v>
      </c>
      <c r="I6472" s="5" t="n">
        <v>178</v>
      </c>
      <c r="J6472" s="5" t="n">
        <v>115</v>
      </c>
      <c r="K6472" s="10">
        <f>IF(F6472&gt;0,H6472/F6472,"")</f>
        <v/>
      </c>
      <c r="L6472" s="16">
        <f>IF(AND(G6472&gt;0,H6472&gt;0),G6472/H6472,"")</f>
        <v/>
      </c>
    </row>
    <row r="6473">
      <c r="A6473" s="4" t="inlineStr">
        <is>
          <t>339</t>
        </is>
      </c>
      <c r="B6473" s="4" t="n">
        <v>3</v>
      </c>
      <c r="C6473" s="4" t="inlineStr">
        <is>
          <t>mule deer</t>
        </is>
      </c>
      <c r="D6473" s="4" t="n">
        <v>2006</v>
      </c>
      <c r="E6473" s="13" t="inlineStr">
        <is>
          <t>General</t>
        </is>
      </c>
      <c r="F6473" s="5" t="n">
        <v>618</v>
      </c>
      <c r="G6473" s="5" t="n">
        <v>3872</v>
      </c>
      <c r="H6473" s="5" t="n">
        <v>361</v>
      </c>
      <c r="I6473" s="5" t="n">
        <v>204</v>
      </c>
      <c r="J6473" s="5" t="n">
        <v>157</v>
      </c>
      <c r="K6473" s="10">
        <f>IF(F6473&gt;0,H6473/F6473,"")</f>
        <v/>
      </c>
      <c r="L6473" s="16">
        <f>IF(AND(G6473&gt;0,H6473&gt;0),G6473/H6473,"")</f>
        <v/>
      </c>
    </row>
    <row r="6474">
      <c r="A6474" s="4" t="inlineStr">
        <is>
          <t>339</t>
        </is>
      </c>
      <c r="B6474" s="4" t="n">
        <v>3</v>
      </c>
      <c r="C6474" s="4" t="inlineStr">
        <is>
          <t>mule deer</t>
        </is>
      </c>
      <c r="D6474" s="4" t="n">
        <v>2007</v>
      </c>
      <c r="E6474" s="13" t="inlineStr">
        <is>
          <t>General</t>
        </is>
      </c>
      <c r="F6474" s="5" t="n">
        <v>680</v>
      </c>
      <c r="G6474" s="5" t="n">
        <v>4195</v>
      </c>
      <c r="H6474" s="5" t="n">
        <v>244</v>
      </c>
      <c r="I6474" s="5" t="n">
        <v>131</v>
      </c>
      <c r="J6474" s="5" t="n">
        <v>109</v>
      </c>
      <c r="K6474" s="10">
        <f>IF(F6474&gt;0,H6474/F6474,"")</f>
        <v/>
      </c>
      <c r="L6474" s="16">
        <f>IF(AND(G6474&gt;0,H6474&gt;0),G6474/H6474,"")</f>
        <v/>
      </c>
    </row>
    <row r="6475">
      <c r="A6475" s="4" t="inlineStr">
        <is>
          <t>339</t>
        </is>
      </c>
      <c r="B6475" s="4" t="n">
        <v>3</v>
      </c>
      <c r="C6475" s="4" t="inlineStr">
        <is>
          <t>mule deer</t>
        </is>
      </c>
      <c r="D6475" s="4" t="n">
        <v>2008</v>
      </c>
      <c r="E6475" s="13" t="inlineStr">
        <is>
          <t>General</t>
        </is>
      </c>
      <c r="F6475" s="5" t="n">
        <v>699</v>
      </c>
      <c r="G6475" s="5" t="n">
        <v>4637</v>
      </c>
      <c r="H6475" s="5" t="n">
        <v>255</v>
      </c>
      <c r="I6475" s="5" t="n">
        <v>132</v>
      </c>
      <c r="J6475" s="5" t="n">
        <v>123</v>
      </c>
      <c r="K6475" s="10">
        <f>IF(F6475&gt;0,H6475/F6475,"")</f>
        <v/>
      </c>
      <c r="L6475" s="16">
        <f>IF(AND(G6475&gt;0,H6475&gt;0),G6475/H6475,"")</f>
        <v/>
      </c>
    </row>
    <row r="6476">
      <c r="A6476" s="4" t="inlineStr">
        <is>
          <t>339</t>
        </is>
      </c>
      <c r="B6476" s="4" t="n">
        <v>3</v>
      </c>
      <c r="C6476" s="4" t="inlineStr">
        <is>
          <t>mule deer</t>
        </is>
      </c>
      <c r="D6476" s="4" t="n">
        <v>2009</v>
      </c>
      <c r="E6476" s="13" t="inlineStr">
        <is>
          <t>General</t>
        </is>
      </c>
      <c r="F6476" s="5" t="n">
        <v>695</v>
      </c>
      <c r="G6476" s="5" t="n">
        <v>4431</v>
      </c>
      <c r="H6476" s="5" t="n">
        <v>180</v>
      </c>
      <c r="I6476" s="5" t="n">
        <v>103</v>
      </c>
      <c r="J6476" s="5" t="n">
        <v>75</v>
      </c>
      <c r="K6476" s="10">
        <f>IF(F6476&gt;0,H6476/F6476,"")</f>
        <v/>
      </c>
      <c r="L6476" s="16">
        <f>IF(AND(G6476&gt;0,H6476&gt;0),G6476/H6476,"")</f>
        <v/>
      </c>
    </row>
    <row r="6477">
      <c r="A6477" s="4" t="inlineStr">
        <is>
          <t>339</t>
        </is>
      </c>
      <c r="B6477" s="4" t="n">
        <v>3</v>
      </c>
      <c r="C6477" s="4" t="inlineStr">
        <is>
          <t>mule deer</t>
        </is>
      </c>
      <c r="D6477" s="4" t="n">
        <v>2010</v>
      </c>
      <c r="E6477" s="13" t="inlineStr">
        <is>
          <t>General</t>
        </is>
      </c>
      <c r="F6477" s="5" t="n">
        <v>640</v>
      </c>
      <c r="G6477" s="5" t="n">
        <v>4334</v>
      </c>
      <c r="H6477" s="5" t="n">
        <v>170</v>
      </c>
      <c r="I6477" s="5" t="n">
        <v>122</v>
      </c>
      <c r="J6477" s="5" t="n">
        <v>49</v>
      </c>
      <c r="K6477" s="10">
        <f>IF(F6477&gt;0,H6477/F6477,"")</f>
        <v/>
      </c>
      <c r="L6477" s="16">
        <f>IF(AND(G6477&gt;0,H6477&gt;0),G6477/H6477,"")</f>
        <v/>
      </c>
    </row>
    <row r="6478">
      <c r="A6478" s="4" t="inlineStr">
        <is>
          <t>339</t>
        </is>
      </c>
      <c r="B6478" s="4" t="n">
        <v>3</v>
      </c>
      <c r="C6478" s="4" t="inlineStr">
        <is>
          <t>mule deer</t>
        </is>
      </c>
      <c r="D6478" s="4" t="n">
        <v>2011</v>
      </c>
      <c r="E6478" s="13" t="inlineStr">
        <is>
          <t>General</t>
        </is>
      </c>
      <c r="F6478" s="5" t="n">
        <v>723</v>
      </c>
      <c r="G6478" s="5" t="n">
        <v>4111</v>
      </c>
      <c r="H6478" s="5" t="n">
        <v>172</v>
      </c>
      <c r="I6478" s="5" t="n">
        <v>116</v>
      </c>
      <c r="J6478" s="5" t="n">
        <v>56</v>
      </c>
      <c r="K6478" s="10">
        <f>IF(F6478&gt;0,H6478/F6478,"")</f>
        <v/>
      </c>
      <c r="L6478" s="16">
        <f>IF(AND(G6478&gt;0,H6478&gt;0),G6478/H6478,"")</f>
        <v/>
      </c>
    </row>
    <row r="6479">
      <c r="A6479" s="4" t="inlineStr">
        <is>
          <t>339</t>
        </is>
      </c>
      <c r="B6479" s="4" t="n">
        <v>3</v>
      </c>
      <c r="C6479" s="4" t="inlineStr">
        <is>
          <t>mule deer</t>
        </is>
      </c>
      <c r="D6479" s="4" t="n">
        <v>2012</v>
      </c>
      <c r="E6479" s="13" t="inlineStr">
        <is>
          <t>General</t>
        </is>
      </c>
      <c r="F6479" s="5" t="n"/>
      <c r="G6479" s="5" t="n"/>
      <c r="H6479" s="5" t="n">
        <v>133</v>
      </c>
      <c r="I6479" s="5" t="n">
        <v>73</v>
      </c>
      <c r="J6479" s="5" t="n">
        <v>56</v>
      </c>
      <c r="K6479" s="10">
        <f>IF(F6479&gt;0,H6479/F6479,"")</f>
        <v/>
      </c>
      <c r="L6479" s="16">
        <f>IF(AND(G6479&gt;0,H6479&gt;0),G6479/H6479,"")</f>
        <v/>
      </c>
    </row>
    <row r="6480">
      <c r="A6480" s="4" t="inlineStr">
        <is>
          <t>339</t>
        </is>
      </c>
      <c r="B6480" s="4" t="n">
        <v>3</v>
      </c>
      <c r="C6480" s="4" t="inlineStr">
        <is>
          <t>mule deer</t>
        </is>
      </c>
      <c r="D6480" s="4" t="n">
        <v>2013</v>
      </c>
      <c r="E6480" s="13" t="inlineStr">
        <is>
          <t>General</t>
        </is>
      </c>
      <c r="F6480" s="5" t="n">
        <v>701</v>
      </c>
      <c r="G6480" s="5" t="n">
        <v>4341</v>
      </c>
      <c r="H6480" s="5" t="n">
        <v>142</v>
      </c>
      <c r="I6480" s="5" t="n">
        <v>101</v>
      </c>
      <c r="J6480" s="5" t="n">
        <v>41</v>
      </c>
      <c r="K6480" s="10">
        <f>IF(F6480&gt;0,H6480/F6480,"")</f>
        <v/>
      </c>
      <c r="L6480" s="16">
        <f>IF(AND(G6480&gt;0,H6480&gt;0),G6480/H6480,"")</f>
        <v/>
      </c>
    </row>
    <row r="6481">
      <c r="A6481" s="4" t="inlineStr">
        <is>
          <t>339</t>
        </is>
      </c>
      <c r="B6481" s="4" t="n">
        <v>3</v>
      </c>
      <c r="C6481" s="4" t="inlineStr">
        <is>
          <t>mule deer</t>
        </is>
      </c>
      <c r="D6481" s="4" t="n">
        <v>2014</v>
      </c>
      <c r="E6481" s="13" t="inlineStr">
        <is>
          <t>General</t>
        </is>
      </c>
      <c r="F6481" s="5" t="n"/>
      <c r="G6481" s="5" t="n"/>
      <c r="H6481" s="5" t="n">
        <v>116</v>
      </c>
      <c r="I6481" s="5" t="n">
        <v>116</v>
      </c>
      <c r="J6481" s="5" t="n">
        <v>0</v>
      </c>
      <c r="K6481" s="10">
        <f>IF(F6481&gt;0,H6481/F6481,"")</f>
        <v/>
      </c>
      <c r="L6481" s="16">
        <f>IF(AND(G6481&gt;0,H6481&gt;0),G6481/H6481,"")</f>
        <v/>
      </c>
    </row>
    <row r="6482">
      <c r="A6482" s="4" t="inlineStr">
        <is>
          <t>339</t>
        </is>
      </c>
      <c r="B6482" s="4" t="n">
        <v>3</v>
      </c>
      <c r="C6482" s="4" t="inlineStr">
        <is>
          <t>mule deer</t>
        </is>
      </c>
      <c r="D6482" s="4" t="n">
        <v>2015</v>
      </c>
      <c r="E6482" s="13" t="inlineStr">
        <is>
          <t>General</t>
        </is>
      </c>
      <c r="F6482" s="5" t="n"/>
      <c r="G6482" s="5" t="n"/>
      <c r="H6482" s="5" t="n">
        <v>117</v>
      </c>
      <c r="I6482" s="5" t="n">
        <v>117</v>
      </c>
      <c r="J6482" s="5" t="n">
        <v>0</v>
      </c>
      <c r="K6482" s="10">
        <f>IF(F6482&gt;0,H6482/F6482,"")</f>
        <v/>
      </c>
      <c r="L6482" s="16">
        <f>IF(AND(G6482&gt;0,H6482&gt;0),G6482/H6482,"")</f>
        <v/>
      </c>
    </row>
    <row r="6483">
      <c r="A6483" s="4" t="inlineStr">
        <is>
          <t>339</t>
        </is>
      </c>
      <c r="B6483" s="4" t="n">
        <v>3</v>
      </c>
      <c r="C6483" s="4" t="inlineStr">
        <is>
          <t>mule deer</t>
        </is>
      </c>
      <c r="D6483" s="4" t="n">
        <v>2016</v>
      </c>
      <c r="E6483" s="13" t="inlineStr">
        <is>
          <t>General</t>
        </is>
      </c>
      <c r="F6483" s="5" t="n"/>
      <c r="G6483" s="5" t="n"/>
      <c r="H6483" s="5" t="n">
        <v>136</v>
      </c>
      <c r="I6483" s="5" t="n">
        <v>97</v>
      </c>
      <c r="J6483" s="5" t="n">
        <v>39</v>
      </c>
      <c r="K6483" s="10">
        <f>IF(F6483&gt;0,H6483/F6483,"")</f>
        <v/>
      </c>
      <c r="L6483" s="16">
        <f>IF(AND(G6483&gt;0,H6483&gt;0),G6483/H6483,"")</f>
        <v/>
      </c>
    </row>
    <row r="6484">
      <c r="A6484" s="4" t="inlineStr">
        <is>
          <t>339</t>
        </is>
      </c>
      <c r="B6484" s="4" t="n">
        <v>3</v>
      </c>
      <c r="C6484" s="4" t="inlineStr">
        <is>
          <t>mule deer</t>
        </is>
      </c>
      <c r="D6484" s="4" t="n">
        <v>2017</v>
      </c>
      <c r="E6484" s="13" t="inlineStr">
        <is>
          <t>General</t>
        </is>
      </c>
      <c r="F6484" s="5" t="n">
        <v>428</v>
      </c>
      <c r="G6484" s="5" t="n">
        <v>2452</v>
      </c>
      <c r="H6484" s="5" t="n">
        <v>100</v>
      </c>
      <c r="I6484" s="5" t="n">
        <v>74</v>
      </c>
      <c r="J6484" s="5" t="n">
        <v>25</v>
      </c>
      <c r="K6484" s="10">
        <f>IF(F6484&gt;0,H6484/F6484,"")</f>
        <v/>
      </c>
      <c r="L6484" s="16">
        <f>IF(AND(G6484&gt;0,H6484&gt;0),G6484/H6484,"")</f>
        <v/>
      </c>
    </row>
    <row r="6485">
      <c r="A6485" s="4" t="inlineStr">
        <is>
          <t>339</t>
        </is>
      </c>
      <c r="B6485" s="4" t="n">
        <v>3</v>
      </c>
      <c r="C6485" s="4" t="inlineStr">
        <is>
          <t>mule deer</t>
        </is>
      </c>
      <c r="D6485" s="4" t="n">
        <v>2018</v>
      </c>
      <c r="E6485" s="13" t="inlineStr">
        <is>
          <t>General</t>
        </is>
      </c>
      <c r="F6485" s="5" t="n"/>
      <c r="G6485" s="5" t="n"/>
      <c r="H6485" s="5" t="n">
        <v>126</v>
      </c>
      <c r="I6485" s="5" t="n">
        <v>102</v>
      </c>
      <c r="J6485" s="5" t="n">
        <v>24</v>
      </c>
      <c r="K6485" s="10">
        <f>IF(F6485&gt;0,H6485/F6485,"")</f>
        <v/>
      </c>
      <c r="L6485" s="16">
        <f>IF(AND(G6485&gt;0,H6485&gt;0),G6485/H6485,"")</f>
        <v/>
      </c>
    </row>
    <row r="6486">
      <c r="A6486" s="4" t="inlineStr">
        <is>
          <t>339</t>
        </is>
      </c>
      <c r="B6486" s="4" t="n">
        <v>3</v>
      </c>
      <c r="C6486" s="4" t="inlineStr">
        <is>
          <t>mule deer</t>
        </is>
      </c>
      <c r="D6486" s="4" t="n">
        <v>2019</v>
      </c>
      <c r="E6486" s="13" t="inlineStr">
        <is>
          <t>General</t>
        </is>
      </c>
      <c r="F6486" s="5" t="n">
        <v>597</v>
      </c>
      <c r="G6486" s="5" t="n">
        <v>4224</v>
      </c>
      <c r="H6486" s="5" t="n">
        <v>124</v>
      </c>
      <c r="I6486" s="5" t="n">
        <v>110</v>
      </c>
      <c r="J6486" s="5" t="n">
        <v>15</v>
      </c>
      <c r="K6486" s="10">
        <f>IF(F6486&gt;0,H6486/F6486,"")</f>
        <v/>
      </c>
      <c r="L6486" s="16">
        <f>IF(AND(G6486&gt;0,H6486&gt;0),G6486/H6486,"")</f>
        <v/>
      </c>
    </row>
    <row r="6487">
      <c r="A6487" s="4" t="inlineStr">
        <is>
          <t>339</t>
        </is>
      </c>
      <c r="B6487" s="4" t="n">
        <v>3</v>
      </c>
      <c r="C6487" s="4" t="inlineStr">
        <is>
          <t>mule deer</t>
        </is>
      </c>
      <c r="D6487" s="4" t="n">
        <v>2020</v>
      </c>
      <c r="E6487" s="13" t="inlineStr">
        <is>
          <t>General</t>
        </is>
      </c>
      <c r="F6487" s="5" t="n"/>
      <c r="G6487" s="5" t="n"/>
      <c r="H6487" s="5" t="n">
        <v>118</v>
      </c>
      <c r="I6487" s="5" t="n">
        <v>105</v>
      </c>
      <c r="J6487" s="5" t="n">
        <v>13</v>
      </c>
      <c r="K6487" s="10">
        <f>IF(F6487&gt;0,H6487/F6487,"")</f>
        <v/>
      </c>
      <c r="L6487" s="16">
        <f>IF(AND(G6487&gt;0,H6487&gt;0),G6487/H6487,"")</f>
        <v/>
      </c>
    </row>
    <row r="6488">
      <c r="A6488" s="4" t="inlineStr">
        <is>
          <t>339</t>
        </is>
      </c>
      <c r="B6488" s="4" t="n">
        <v>3</v>
      </c>
      <c r="C6488" s="4" t="inlineStr">
        <is>
          <t>mule deer</t>
        </is>
      </c>
      <c r="D6488" s="4" t="n">
        <v>2021</v>
      </c>
      <c r="E6488" s="13" t="inlineStr">
        <is>
          <t>General</t>
        </is>
      </c>
      <c r="F6488" s="5" t="n">
        <v>633</v>
      </c>
      <c r="G6488" s="5" t="n">
        <v>4031</v>
      </c>
      <c r="H6488" s="5" t="n">
        <v>105</v>
      </c>
      <c r="I6488" s="5" t="n">
        <v>99</v>
      </c>
      <c r="J6488" s="5" t="n">
        <v>6</v>
      </c>
      <c r="K6488" s="10">
        <f>IF(F6488&gt;0,H6488/F6488,"")</f>
        <v/>
      </c>
      <c r="L6488" s="16">
        <f>IF(AND(G6488&gt;0,H6488&gt;0),G6488/H6488,"")</f>
        <v/>
      </c>
    </row>
    <row r="6489">
      <c r="A6489" s="4" t="inlineStr">
        <is>
          <t>339</t>
        </is>
      </c>
      <c r="B6489" s="4" t="n">
        <v>3</v>
      </c>
      <c r="C6489" s="4" t="inlineStr">
        <is>
          <t>mule deer</t>
        </is>
      </c>
      <c r="D6489" s="4" t="n">
        <v>2022</v>
      </c>
      <c r="E6489" s="13" t="inlineStr">
        <is>
          <t>General</t>
        </is>
      </c>
      <c r="F6489" s="5" t="n"/>
      <c r="G6489" s="5" t="n"/>
      <c r="H6489" s="5" t="n">
        <v>110</v>
      </c>
      <c r="I6489" s="5" t="n">
        <v>102</v>
      </c>
      <c r="J6489" s="5" t="n">
        <v>9</v>
      </c>
      <c r="K6489" s="10">
        <f>IF(F6489&gt;0,H6489/F6489,"")</f>
        <v/>
      </c>
      <c r="L6489" s="16">
        <f>IF(AND(G6489&gt;0,H6489&gt;0),G6489/H6489,"")</f>
        <v/>
      </c>
    </row>
    <row r="6490">
      <c r="A6490" s="4" t="inlineStr">
        <is>
          <t>339</t>
        </is>
      </c>
      <c r="B6490" s="4" t="n">
        <v>3</v>
      </c>
      <c r="C6490" s="4" t="inlineStr">
        <is>
          <t>mule deer</t>
        </is>
      </c>
      <c r="D6490" s="4" t="n">
        <v>2023</v>
      </c>
      <c r="E6490" s="13" t="inlineStr">
        <is>
          <t>General</t>
        </is>
      </c>
      <c r="F6490" s="5" t="n">
        <v>653</v>
      </c>
      <c r="G6490" s="5" t="n">
        <v>4192</v>
      </c>
      <c r="H6490" s="5" t="n">
        <v>111</v>
      </c>
      <c r="I6490" s="5" t="n">
        <v>100</v>
      </c>
      <c r="J6490" s="5" t="n">
        <v>9</v>
      </c>
      <c r="K6490" s="10">
        <f>IF(F6490&gt;0,H6490/F6490,"")</f>
        <v/>
      </c>
      <c r="L6490" s="16">
        <f>IF(AND(G6490&gt;0,H6490&gt;0),G6490/H6490,"")</f>
        <v/>
      </c>
    </row>
    <row r="6491">
      <c r="A6491" s="4" t="inlineStr">
        <is>
          <t>339</t>
        </is>
      </c>
      <c r="B6491" s="4" t="n">
        <v>3</v>
      </c>
      <c r="C6491" s="4" t="inlineStr">
        <is>
          <t>mule deer</t>
        </is>
      </c>
      <c r="D6491" s="4" t="n">
        <v>2024</v>
      </c>
      <c r="E6491" s="13" t="inlineStr">
        <is>
          <t>General</t>
        </is>
      </c>
      <c r="F6491" s="5" t="n"/>
      <c r="G6491" s="5" t="n"/>
      <c r="H6491" s="5" t="n">
        <v>121</v>
      </c>
      <c r="I6491" s="5" t="n">
        <v>108</v>
      </c>
      <c r="J6491" s="5" t="n">
        <v>13</v>
      </c>
      <c r="K6491" s="10">
        <f>IF(F6491&gt;0,H6491/F6491,"")</f>
        <v/>
      </c>
      <c r="L6491" s="16">
        <f>IF(AND(G6491&gt;0,H6491&gt;0),G6491/H6491,"")</f>
        <v/>
      </c>
    </row>
    <row r="6492">
      <c r="A6492" s="4" t="inlineStr">
        <is>
          <t>339</t>
        </is>
      </c>
      <c r="B6492" s="4" t="n">
        <v>3</v>
      </c>
      <c r="C6492" s="4" t="inlineStr">
        <is>
          <t>mule deer</t>
        </is>
      </c>
      <c r="D6492" s="4" t="n">
        <v>2025</v>
      </c>
      <c r="E6492" s="13" t="inlineStr">
        <is>
          <t>General</t>
        </is>
      </c>
      <c r="F6492" s="5" t="n">
        <v>870</v>
      </c>
      <c r="G6492" s="5" t="n">
        <v>5989</v>
      </c>
      <c r="H6492" s="5" t="n">
        <v>132</v>
      </c>
      <c r="I6492" s="5" t="n">
        <v>126</v>
      </c>
      <c r="J6492" s="5" t="n">
        <v>6</v>
      </c>
      <c r="K6492" s="10">
        <f>IF(F6492&gt;0,H6492/F6492,"")</f>
        <v/>
      </c>
      <c r="L6492" s="16">
        <f>IF(AND(G6492&gt;0,H6492&gt;0),G6492/H6492,"")</f>
        <v/>
      </c>
    </row>
    <row r="6493">
      <c r="A6493" s="4" t="inlineStr">
        <is>
          <t>340</t>
        </is>
      </c>
      <c r="B6493" s="4" t="n">
        <v>3</v>
      </c>
      <c r="C6493" s="4" t="inlineStr">
        <is>
          <t>mule deer</t>
        </is>
      </c>
      <c r="D6493" s="4" t="n">
        <v>2004</v>
      </c>
      <c r="E6493" s="13" t="inlineStr">
        <is>
          <t>General</t>
        </is>
      </c>
      <c r="F6493" s="5" t="n">
        <v>1578</v>
      </c>
      <c r="G6493" s="5" t="n">
        <v>8692</v>
      </c>
      <c r="H6493" s="5" t="n">
        <v>300</v>
      </c>
      <c r="I6493" s="5" t="n">
        <v>202</v>
      </c>
      <c r="J6493" s="5" t="n">
        <v>95</v>
      </c>
      <c r="K6493" s="10">
        <f>IF(F6493&gt;0,H6493/F6493,"")</f>
        <v/>
      </c>
      <c r="L6493" s="16">
        <f>IF(AND(G6493&gt;0,H6493&gt;0),G6493/H6493,"")</f>
        <v/>
      </c>
    </row>
    <row r="6494">
      <c r="A6494" s="4" t="inlineStr">
        <is>
          <t>340</t>
        </is>
      </c>
      <c r="B6494" s="4" t="n">
        <v>3</v>
      </c>
      <c r="C6494" s="4" t="inlineStr">
        <is>
          <t>mule deer</t>
        </is>
      </c>
      <c r="D6494" s="4" t="n">
        <v>2005</v>
      </c>
      <c r="E6494" s="13" t="inlineStr">
        <is>
          <t>General</t>
        </is>
      </c>
      <c r="F6494" s="5" t="n">
        <v>1644</v>
      </c>
      <c r="G6494" s="5" t="n">
        <v>9740</v>
      </c>
      <c r="H6494" s="5" t="n">
        <v>347</v>
      </c>
      <c r="I6494" s="5" t="n">
        <v>256</v>
      </c>
      <c r="J6494" s="5" t="n">
        <v>91</v>
      </c>
      <c r="K6494" s="10">
        <f>IF(F6494&gt;0,H6494/F6494,"")</f>
        <v/>
      </c>
      <c r="L6494" s="16">
        <f>IF(AND(G6494&gt;0,H6494&gt;0),G6494/H6494,"")</f>
        <v/>
      </c>
    </row>
    <row r="6495">
      <c r="A6495" s="4" t="inlineStr">
        <is>
          <t>340</t>
        </is>
      </c>
      <c r="B6495" s="4" t="n">
        <v>3</v>
      </c>
      <c r="C6495" s="4" t="inlineStr">
        <is>
          <t>mule deer</t>
        </is>
      </c>
      <c r="D6495" s="4" t="n">
        <v>2006</v>
      </c>
      <c r="E6495" s="13" t="inlineStr">
        <is>
          <t>General</t>
        </is>
      </c>
      <c r="F6495" s="5" t="n">
        <v>1957</v>
      </c>
      <c r="G6495" s="5" t="n">
        <v>11566</v>
      </c>
      <c r="H6495" s="5" t="n">
        <v>450</v>
      </c>
      <c r="I6495" s="5" t="n">
        <v>360</v>
      </c>
      <c r="J6495" s="5" t="n">
        <v>90</v>
      </c>
      <c r="K6495" s="10">
        <f>IF(F6495&gt;0,H6495/F6495,"")</f>
        <v/>
      </c>
      <c r="L6495" s="16">
        <f>IF(AND(G6495&gt;0,H6495&gt;0),G6495/H6495,"")</f>
        <v/>
      </c>
    </row>
    <row r="6496">
      <c r="A6496" s="4" t="inlineStr">
        <is>
          <t>340</t>
        </is>
      </c>
      <c r="B6496" s="4" t="n">
        <v>3</v>
      </c>
      <c r="C6496" s="4" t="inlineStr">
        <is>
          <t>mule deer</t>
        </is>
      </c>
      <c r="D6496" s="4" t="n">
        <v>2007</v>
      </c>
      <c r="E6496" s="13" t="inlineStr">
        <is>
          <t>General</t>
        </is>
      </c>
      <c r="F6496" s="5" t="n">
        <v>1757</v>
      </c>
      <c r="G6496" s="5" t="n">
        <v>8915</v>
      </c>
      <c r="H6496" s="5" t="n">
        <v>334</v>
      </c>
      <c r="I6496" s="5" t="n">
        <v>210</v>
      </c>
      <c r="J6496" s="5" t="n">
        <v>124</v>
      </c>
      <c r="K6496" s="10">
        <f>IF(F6496&gt;0,H6496/F6496,"")</f>
        <v/>
      </c>
      <c r="L6496" s="16">
        <f>IF(AND(G6496&gt;0,H6496&gt;0),G6496/H6496,"")</f>
        <v/>
      </c>
    </row>
    <row r="6497">
      <c r="A6497" s="4" t="inlineStr">
        <is>
          <t>340</t>
        </is>
      </c>
      <c r="B6497" s="4" t="n">
        <v>3</v>
      </c>
      <c r="C6497" s="4" t="inlineStr">
        <is>
          <t>mule deer</t>
        </is>
      </c>
      <c r="D6497" s="4" t="n">
        <v>2008</v>
      </c>
      <c r="E6497" s="13" t="inlineStr">
        <is>
          <t>General</t>
        </is>
      </c>
      <c r="F6497" s="5" t="n">
        <v>1749</v>
      </c>
      <c r="G6497" s="5" t="n">
        <v>10158</v>
      </c>
      <c r="H6497" s="5" t="n">
        <v>358</v>
      </c>
      <c r="I6497" s="5" t="n">
        <v>272</v>
      </c>
      <c r="J6497" s="5" t="n">
        <v>83</v>
      </c>
      <c r="K6497" s="10">
        <f>IF(F6497&gt;0,H6497/F6497,"")</f>
        <v/>
      </c>
      <c r="L6497" s="16">
        <f>IF(AND(G6497&gt;0,H6497&gt;0),G6497/H6497,"")</f>
        <v/>
      </c>
    </row>
    <row r="6498">
      <c r="A6498" s="4" t="inlineStr">
        <is>
          <t>340</t>
        </is>
      </c>
      <c r="B6498" s="4" t="n">
        <v>3</v>
      </c>
      <c r="C6498" s="4" t="inlineStr">
        <is>
          <t>mule deer</t>
        </is>
      </c>
      <c r="D6498" s="4" t="n">
        <v>2009</v>
      </c>
      <c r="E6498" s="13" t="inlineStr">
        <is>
          <t>General</t>
        </is>
      </c>
      <c r="F6498" s="5" t="n">
        <v>1920</v>
      </c>
      <c r="G6498" s="5" t="n">
        <v>11124</v>
      </c>
      <c r="H6498" s="5" t="n">
        <v>280</v>
      </c>
      <c r="I6498" s="5" t="n">
        <v>205</v>
      </c>
      <c r="J6498" s="5" t="n">
        <v>75</v>
      </c>
      <c r="K6498" s="10">
        <f>IF(F6498&gt;0,H6498/F6498,"")</f>
        <v/>
      </c>
      <c r="L6498" s="16">
        <f>IF(AND(G6498&gt;0,H6498&gt;0),G6498/H6498,"")</f>
        <v/>
      </c>
    </row>
    <row r="6499">
      <c r="A6499" s="4" t="inlineStr">
        <is>
          <t>340</t>
        </is>
      </c>
      <c r="B6499" s="4" t="n">
        <v>3</v>
      </c>
      <c r="C6499" s="4" t="inlineStr">
        <is>
          <t>mule deer</t>
        </is>
      </c>
      <c r="D6499" s="4" t="n">
        <v>2010</v>
      </c>
      <c r="E6499" s="13" t="inlineStr">
        <is>
          <t>General</t>
        </is>
      </c>
      <c r="F6499" s="5" t="n">
        <v>2163</v>
      </c>
      <c r="G6499" s="5" t="n">
        <v>14329</v>
      </c>
      <c r="H6499" s="5" t="n">
        <v>223</v>
      </c>
      <c r="I6499" s="5" t="n">
        <v>191</v>
      </c>
      <c r="J6499" s="5" t="n">
        <v>32</v>
      </c>
      <c r="K6499" s="10">
        <f>IF(F6499&gt;0,H6499/F6499,"")</f>
        <v/>
      </c>
      <c r="L6499" s="16">
        <f>IF(AND(G6499&gt;0,H6499&gt;0),G6499/H6499,"")</f>
        <v/>
      </c>
    </row>
    <row r="6500">
      <c r="A6500" s="4" t="inlineStr">
        <is>
          <t>340</t>
        </is>
      </c>
      <c r="B6500" s="4" t="n">
        <v>3</v>
      </c>
      <c r="C6500" s="4" t="inlineStr">
        <is>
          <t>mule deer</t>
        </is>
      </c>
      <c r="D6500" s="4" t="n">
        <v>2011</v>
      </c>
      <c r="E6500" s="13" t="inlineStr">
        <is>
          <t>General</t>
        </is>
      </c>
      <c r="F6500" s="5" t="n">
        <v>2167</v>
      </c>
      <c r="G6500" s="5" t="n">
        <v>14000</v>
      </c>
      <c r="H6500" s="5" t="n">
        <v>308</v>
      </c>
      <c r="I6500" s="5" t="n">
        <v>239</v>
      </c>
      <c r="J6500" s="5" t="n">
        <v>69</v>
      </c>
      <c r="K6500" s="10">
        <f>IF(F6500&gt;0,H6500/F6500,"")</f>
        <v/>
      </c>
      <c r="L6500" s="16">
        <f>IF(AND(G6500&gt;0,H6500&gt;0),G6500/H6500,"")</f>
        <v/>
      </c>
    </row>
    <row r="6501">
      <c r="A6501" s="4" t="inlineStr">
        <is>
          <t>340</t>
        </is>
      </c>
      <c r="B6501" s="4" t="n">
        <v>3</v>
      </c>
      <c r="C6501" s="4" t="inlineStr">
        <is>
          <t>mule deer</t>
        </is>
      </c>
      <c r="D6501" s="4" t="n">
        <v>2012</v>
      </c>
      <c r="E6501" s="13" t="inlineStr">
        <is>
          <t>General</t>
        </is>
      </c>
      <c r="F6501" s="5" t="n"/>
      <c r="G6501" s="5" t="n"/>
      <c r="H6501" s="5" t="n">
        <v>274</v>
      </c>
      <c r="I6501" s="5" t="n">
        <v>230</v>
      </c>
      <c r="J6501" s="5" t="n">
        <v>43</v>
      </c>
      <c r="K6501" s="10">
        <f>IF(F6501&gt;0,H6501/F6501,"")</f>
        <v/>
      </c>
      <c r="L6501" s="16">
        <f>IF(AND(G6501&gt;0,H6501&gt;0),G6501/H6501,"")</f>
        <v/>
      </c>
    </row>
    <row r="6502">
      <c r="A6502" s="4" t="inlineStr">
        <is>
          <t>340</t>
        </is>
      </c>
      <c r="B6502" s="4" t="n">
        <v>3</v>
      </c>
      <c r="C6502" s="4" t="inlineStr">
        <is>
          <t>mule deer</t>
        </is>
      </c>
      <c r="D6502" s="4" t="n">
        <v>2013</v>
      </c>
      <c r="E6502" s="13" t="inlineStr">
        <is>
          <t>General</t>
        </is>
      </c>
      <c r="F6502" s="5" t="n">
        <v>2269</v>
      </c>
      <c r="G6502" s="5" t="n">
        <v>14653</v>
      </c>
      <c r="H6502" s="5" t="n">
        <v>267</v>
      </c>
      <c r="I6502" s="5" t="n">
        <v>220</v>
      </c>
      <c r="J6502" s="5" t="n">
        <v>48</v>
      </c>
      <c r="K6502" s="10">
        <f>IF(F6502&gt;0,H6502/F6502,"")</f>
        <v/>
      </c>
      <c r="L6502" s="16">
        <f>IF(AND(G6502&gt;0,H6502&gt;0),G6502/H6502,"")</f>
        <v/>
      </c>
    </row>
    <row r="6503">
      <c r="A6503" s="4" t="inlineStr">
        <is>
          <t>340</t>
        </is>
      </c>
      <c r="B6503" s="4" t="n">
        <v>3</v>
      </c>
      <c r="C6503" s="4" t="inlineStr">
        <is>
          <t>mule deer</t>
        </is>
      </c>
      <c r="D6503" s="4" t="n">
        <v>2014</v>
      </c>
      <c r="E6503" s="13" t="inlineStr">
        <is>
          <t>General</t>
        </is>
      </c>
      <c r="F6503" s="5" t="n"/>
      <c r="G6503" s="5" t="n"/>
      <c r="H6503" s="5" t="n">
        <v>237</v>
      </c>
      <c r="I6503" s="5" t="n">
        <v>229</v>
      </c>
      <c r="J6503" s="5" t="n">
        <v>8</v>
      </c>
      <c r="K6503" s="10">
        <f>IF(F6503&gt;0,H6503/F6503,"")</f>
        <v/>
      </c>
      <c r="L6503" s="16">
        <f>IF(AND(G6503&gt;0,H6503&gt;0),G6503/H6503,"")</f>
        <v/>
      </c>
    </row>
    <row r="6504">
      <c r="A6504" s="4" t="inlineStr">
        <is>
          <t>340</t>
        </is>
      </c>
      <c r="B6504" s="4" t="n">
        <v>3</v>
      </c>
      <c r="C6504" s="4" t="inlineStr">
        <is>
          <t>mule deer</t>
        </is>
      </c>
      <c r="D6504" s="4" t="n">
        <v>2015</v>
      </c>
      <c r="E6504" s="13" t="inlineStr">
        <is>
          <t>General</t>
        </is>
      </c>
      <c r="F6504" s="5" t="n"/>
      <c r="G6504" s="5" t="n"/>
      <c r="H6504" s="5" t="n">
        <v>278</v>
      </c>
      <c r="I6504" s="5" t="n">
        <v>273</v>
      </c>
      <c r="J6504" s="5" t="n">
        <v>2</v>
      </c>
      <c r="K6504" s="10">
        <f>IF(F6504&gt;0,H6504/F6504,"")</f>
        <v/>
      </c>
      <c r="L6504" s="16">
        <f>IF(AND(G6504&gt;0,H6504&gt;0),G6504/H6504,"")</f>
        <v/>
      </c>
    </row>
    <row r="6505">
      <c r="A6505" s="4" t="inlineStr">
        <is>
          <t>340</t>
        </is>
      </c>
      <c r="B6505" s="4" t="n">
        <v>3</v>
      </c>
      <c r="C6505" s="4" t="inlineStr">
        <is>
          <t>mule deer</t>
        </is>
      </c>
      <c r="D6505" s="4" t="n">
        <v>2016</v>
      </c>
      <c r="E6505" s="13" t="inlineStr">
        <is>
          <t>General</t>
        </is>
      </c>
      <c r="F6505" s="5" t="n"/>
      <c r="G6505" s="5" t="n"/>
      <c r="H6505" s="5" t="n">
        <v>403</v>
      </c>
      <c r="I6505" s="5" t="n">
        <v>321</v>
      </c>
      <c r="J6505" s="5" t="n">
        <v>81</v>
      </c>
      <c r="K6505" s="10">
        <f>IF(F6505&gt;0,H6505/F6505,"")</f>
        <v/>
      </c>
      <c r="L6505" s="16">
        <f>IF(AND(G6505&gt;0,H6505&gt;0),G6505/H6505,"")</f>
        <v/>
      </c>
    </row>
    <row r="6506">
      <c r="A6506" s="4" t="inlineStr">
        <is>
          <t>340</t>
        </is>
      </c>
      <c r="B6506" s="4" t="n">
        <v>3</v>
      </c>
      <c r="C6506" s="4" t="inlineStr">
        <is>
          <t>mule deer</t>
        </is>
      </c>
      <c r="D6506" s="4" t="n">
        <v>2017</v>
      </c>
      <c r="E6506" s="13" t="inlineStr">
        <is>
          <t>General</t>
        </is>
      </c>
      <c r="F6506" s="5" t="n">
        <v>2161</v>
      </c>
      <c r="G6506" s="5" t="n">
        <v>12819</v>
      </c>
      <c r="H6506" s="5" t="n">
        <v>321</v>
      </c>
      <c r="I6506" s="5" t="n">
        <v>271</v>
      </c>
      <c r="J6506" s="5" t="n">
        <v>50</v>
      </c>
      <c r="K6506" s="10">
        <f>IF(F6506&gt;0,H6506/F6506,"")</f>
        <v/>
      </c>
      <c r="L6506" s="16">
        <f>IF(AND(G6506&gt;0,H6506&gt;0),G6506/H6506,"")</f>
        <v/>
      </c>
    </row>
    <row r="6507">
      <c r="A6507" s="4" t="inlineStr">
        <is>
          <t>340</t>
        </is>
      </c>
      <c r="B6507" s="4" t="n">
        <v>3</v>
      </c>
      <c r="C6507" s="4" t="inlineStr">
        <is>
          <t>mule deer</t>
        </is>
      </c>
      <c r="D6507" s="4" t="n">
        <v>2018</v>
      </c>
      <c r="E6507" s="13" t="inlineStr">
        <is>
          <t>General</t>
        </is>
      </c>
      <c r="F6507" s="5" t="n"/>
      <c r="G6507" s="5" t="n"/>
      <c r="H6507" s="5" t="n">
        <v>547</v>
      </c>
      <c r="I6507" s="5" t="n">
        <v>304</v>
      </c>
      <c r="J6507" s="5" t="n">
        <v>243</v>
      </c>
      <c r="K6507" s="10">
        <f>IF(F6507&gt;0,H6507/F6507,"")</f>
        <v/>
      </c>
      <c r="L6507" s="16">
        <f>IF(AND(G6507&gt;0,H6507&gt;0),G6507/H6507,"")</f>
        <v/>
      </c>
    </row>
    <row r="6508">
      <c r="A6508" s="4" t="inlineStr">
        <is>
          <t>340</t>
        </is>
      </c>
      <c r="B6508" s="4" t="n">
        <v>3</v>
      </c>
      <c r="C6508" s="4" t="inlineStr">
        <is>
          <t>mule deer</t>
        </is>
      </c>
      <c r="D6508" s="4" t="n">
        <v>2019</v>
      </c>
      <c r="E6508" s="13" t="inlineStr">
        <is>
          <t>General</t>
        </is>
      </c>
      <c r="F6508" s="5" t="n">
        <v>2111</v>
      </c>
      <c r="G6508" s="5" t="n">
        <v>11830</v>
      </c>
      <c r="H6508" s="5" t="n">
        <v>435</v>
      </c>
      <c r="I6508" s="5" t="n">
        <v>296</v>
      </c>
      <c r="J6508" s="5" t="n">
        <v>136</v>
      </c>
      <c r="K6508" s="10">
        <f>IF(F6508&gt;0,H6508/F6508,"")</f>
        <v/>
      </c>
      <c r="L6508" s="16">
        <f>IF(AND(G6508&gt;0,H6508&gt;0),G6508/H6508,"")</f>
        <v/>
      </c>
    </row>
    <row r="6509">
      <c r="A6509" s="4" t="inlineStr">
        <is>
          <t>340</t>
        </is>
      </c>
      <c r="B6509" s="4" t="n">
        <v>3</v>
      </c>
      <c r="C6509" s="4" t="inlineStr">
        <is>
          <t>mule deer</t>
        </is>
      </c>
      <c r="D6509" s="4" t="n">
        <v>2020</v>
      </c>
      <c r="E6509" s="13" t="inlineStr">
        <is>
          <t>General</t>
        </is>
      </c>
      <c r="F6509" s="5" t="n"/>
      <c r="G6509" s="5" t="n"/>
      <c r="H6509" s="5" t="n">
        <v>403</v>
      </c>
      <c r="I6509" s="5" t="n">
        <v>245</v>
      </c>
      <c r="J6509" s="5" t="n">
        <v>155</v>
      </c>
      <c r="K6509" s="10">
        <f>IF(F6509&gt;0,H6509/F6509,"")</f>
        <v/>
      </c>
      <c r="L6509" s="16">
        <f>IF(AND(G6509&gt;0,H6509&gt;0),G6509/H6509,"")</f>
        <v/>
      </c>
    </row>
    <row r="6510">
      <c r="A6510" s="4" t="inlineStr">
        <is>
          <t>340</t>
        </is>
      </c>
      <c r="B6510" s="4" t="n">
        <v>3</v>
      </c>
      <c r="C6510" s="4" t="inlineStr">
        <is>
          <t>mule deer</t>
        </is>
      </c>
      <c r="D6510" s="4" t="n">
        <v>2021</v>
      </c>
      <c r="E6510" s="13" t="inlineStr">
        <is>
          <t>General</t>
        </is>
      </c>
      <c r="F6510" s="5" t="n">
        <v>2067</v>
      </c>
      <c r="G6510" s="5" t="n">
        <v>13242</v>
      </c>
      <c r="H6510" s="5" t="n">
        <v>355</v>
      </c>
      <c r="I6510" s="5" t="n">
        <v>261</v>
      </c>
      <c r="J6510" s="5" t="n">
        <v>94</v>
      </c>
      <c r="K6510" s="10">
        <f>IF(F6510&gt;0,H6510/F6510,"")</f>
        <v/>
      </c>
      <c r="L6510" s="16">
        <f>IF(AND(G6510&gt;0,H6510&gt;0),G6510/H6510,"")</f>
        <v/>
      </c>
    </row>
    <row r="6511">
      <c r="A6511" s="4" t="inlineStr">
        <is>
          <t>340</t>
        </is>
      </c>
      <c r="B6511" s="4" t="n">
        <v>3</v>
      </c>
      <c r="C6511" s="4" t="inlineStr">
        <is>
          <t>mule deer</t>
        </is>
      </c>
      <c r="D6511" s="4" t="n">
        <v>2022</v>
      </c>
      <c r="E6511" s="13" t="inlineStr">
        <is>
          <t>General</t>
        </is>
      </c>
      <c r="F6511" s="5" t="n"/>
      <c r="G6511" s="5" t="n"/>
      <c r="H6511" s="5" t="n">
        <v>187</v>
      </c>
      <c r="I6511" s="5" t="n">
        <v>149</v>
      </c>
      <c r="J6511" s="5" t="n">
        <v>38</v>
      </c>
      <c r="K6511" s="10">
        <f>IF(F6511&gt;0,H6511/F6511,"")</f>
        <v/>
      </c>
      <c r="L6511" s="16">
        <f>IF(AND(G6511&gt;0,H6511&gt;0),G6511/H6511,"")</f>
        <v/>
      </c>
    </row>
    <row r="6512">
      <c r="A6512" s="4" t="inlineStr">
        <is>
          <t>340</t>
        </is>
      </c>
      <c r="B6512" s="4" t="n">
        <v>3</v>
      </c>
      <c r="C6512" s="4" t="inlineStr">
        <is>
          <t>mule deer</t>
        </is>
      </c>
      <c r="D6512" s="4" t="n">
        <v>2023</v>
      </c>
      <c r="E6512" s="13" t="inlineStr">
        <is>
          <t>General</t>
        </is>
      </c>
      <c r="F6512" s="5" t="n">
        <v>1963</v>
      </c>
      <c r="G6512" s="5" t="n">
        <v>12717</v>
      </c>
      <c r="H6512" s="5" t="n">
        <v>221</v>
      </c>
      <c r="I6512" s="5" t="n">
        <v>185</v>
      </c>
      <c r="J6512" s="5" t="n">
        <v>35</v>
      </c>
      <c r="K6512" s="10">
        <f>IF(F6512&gt;0,H6512/F6512,"")</f>
        <v/>
      </c>
      <c r="L6512" s="16">
        <f>IF(AND(G6512&gt;0,H6512&gt;0),G6512/H6512,"")</f>
        <v/>
      </c>
    </row>
    <row r="6513">
      <c r="A6513" s="4" t="inlineStr">
        <is>
          <t>340</t>
        </is>
      </c>
      <c r="B6513" s="4" t="n">
        <v>3</v>
      </c>
      <c r="C6513" s="4" t="inlineStr">
        <is>
          <t>mule deer</t>
        </is>
      </c>
      <c r="D6513" s="4" t="n">
        <v>2024</v>
      </c>
      <c r="E6513" s="13" t="inlineStr">
        <is>
          <t>General</t>
        </is>
      </c>
      <c r="F6513" s="5" t="n"/>
      <c r="G6513" s="5" t="n"/>
      <c r="H6513" s="5" t="n">
        <v>307</v>
      </c>
      <c r="I6513" s="5" t="n">
        <v>243</v>
      </c>
      <c r="J6513" s="5" t="n">
        <v>64</v>
      </c>
      <c r="K6513" s="10">
        <f>IF(F6513&gt;0,H6513/F6513,"")</f>
        <v/>
      </c>
      <c r="L6513" s="16">
        <f>IF(AND(G6513&gt;0,H6513&gt;0),G6513/H6513,"")</f>
        <v/>
      </c>
    </row>
    <row r="6514">
      <c r="A6514" s="4" t="inlineStr">
        <is>
          <t>340</t>
        </is>
      </c>
      <c r="B6514" s="4" t="n">
        <v>3</v>
      </c>
      <c r="C6514" s="4" t="inlineStr">
        <is>
          <t>mule deer</t>
        </is>
      </c>
      <c r="D6514" s="4" t="n">
        <v>2025</v>
      </c>
      <c r="E6514" s="13" t="inlineStr">
        <is>
          <t>General</t>
        </is>
      </c>
      <c r="F6514" s="5" t="n">
        <v>1922</v>
      </c>
      <c r="G6514" s="5" t="n">
        <v>12825</v>
      </c>
      <c r="H6514" s="5" t="n">
        <v>273</v>
      </c>
      <c r="I6514" s="5" t="n">
        <v>206</v>
      </c>
      <c r="J6514" s="5" t="n">
        <v>67</v>
      </c>
      <c r="K6514" s="10">
        <f>IF(F6514&gt;0,H6514/F6514,"")</f>
        <v/>
      </c>
      <c r="L6514" s="16">
        <f>IF(AND(G6514&gt;0,H6514&gt;0),G6514/H6514,"")</f>
        <v/>
      </c>
    </row>
    <row r="6515">
      <c r="A6515" s="4" t="inlineStr">
        <is>
          <t>341</t>
        </is>
      </c>
      <c r="B6515" s="4" t="n">
        <v>3</v>
      </c>
      <c r="C6515" s="4" t="inlineStr">
        <is>
          <t>mule deer</t>
        </is>
      </c>
      <c r="D6515" s="4" t="n">
        <v>2004</v>
      </c>
      <c r="E6515" s="4" t="inlineStr"/>
      <c r="F6515" s="5" t="n">
        <v>534</v>
      </c>
      <c r="G6515" s="5" t="n">
        <v>3487</v>
      </c>
      <c r="H6515" s="5" t="n">
        <v>100</v>
      </c>
      <c r="I6515" s="5" t="n">
        <v>67</v>
      </c>
      <c r="J6515" s="5" t="n">
        <v>33</v>
      </c>
      <c r="K6515" s="10">
        <f>IF(F6515&gt;0,H6515/F6515,"")</f>
        <v/>
      </c>
      <c r="L6515" s="16">
        <f>IF(AND(G6515&gt;0,H6515&gt;0),G6515/H6515,"")</f>
        <v/>
      </c>
    </row>
    <row r="6516">
      <c r="A6516" s="4" t="inlineStr">
        <is>
          <t>341</t>
        </is>
      </c>
      <c r="B6516" s="4" t="n">
        <v>3</v>
      </c>
      <c r="C6516" s="4" t="inlineStr">
        <is>
          <t>mule deer</t>
        </is>
      </c>
      <c r="D6516" s="4" t="n">
        <v>2005</v>
      </c>
      <c r="E6516" s="4" t="inlineStr"/>
      <c r="F6516" s="5" t="n">
        <v>467</v>
      </c>
      <c r="G6516" s="5" t="n">
        <v>3297</v>
      </c>
      <c r="H6516" s="5" t="n">
        <v>138</v>
      </c>
      <c r="I6516" s="5" t="n">
        <v>105</v>
      </c>
      <c r="J6516" s="5" t="n">
        <v>33</v>
      </c>
      <c r="K6516" s="10">
        <f>IF(F6516&gt;0,H6516/F6516,"")</f>
        <v/>
      </c>
      <c r="L6516" s="16">
        <f>IF(AND(G6516&gt;0,H6516&gt;0),G6516/H6516,"")</f>
        <v/>
      </c>
    </row>
    <row r="6517">
      <c r="A6517" s="4" t="inlineStr">
        <is>
          <t>341</t>
        </is>
      </c>
      <c r="B6517" s="4" t="n">
        <v>3</v>
      </c>
      <c r="C6517" s="4" t="inlineStr">
        <is>
          <t>mule deer</t>
        </is>
      </c>
      <c r="D6517" s="4" t="n">
        <v>2006</v>
      </c>
      <c r="E6517" s="4" t="inlineStr"/>
      <c r="F6517" s="5" t="n">
        <v>510</v>
      </c>
      <c r="G6517" s="5" t="n">
        <v>3520</v>
      </c>
      <c r="H6517" s="5" t="n">
        <v>163</v>
      </c>
      <c r="I6517" s="5" t="n">
        <v>130</v>
      </c>
      <c r="J6517" s="5" t="n">
        <v>33</v>
      </c>
      <c r="K6517" s="10">
        <f>IF(F6517&gt;0,H6517/F6517,"")</f>
        <v/>
      </c>
      <c r="L6517" s="16">
        <f>IF(AND(G6517&gt;0,H6517&gt;0),G6517/H6517,"")</f>
        <v/>
      </c>
    </row>
    <row r="6518">
      <c r="A6518" s="4" t="inlineStr">
        <is>
          <t>341</t>
        </is>
      </c>
      <c r="B6518" s="4" t="n">
        <v>3</v>
      </c>
      <c r="C6518" s="4" t="inlineStr">
        <is>
          <t>mule deer</t>
        </is>
      </c>
      <c r="D6518" s="4" t="n">
        <v>2007</v>
      </c>
      <c r="E6518" s="4" t="inlineStr"/>
      <c r="F6518" s="5" t="n">
        <v>394</v>
      </c>
      <c r="G6518" s="5" t="n">
        <v>2352</v>
      </c>
      <c r="H6518" s="5" t="n">
        <v>94</v>
      </c>
      <c r="I6518" s="5" t="n">
        <v>71</v>
      </c>
      <c r="J6518" s="5" t="n">
        <v>23</v>
      </c>
      <c r="K6518" s="10">
        <f>IF(F6518&gt;0,H6518/F6518,"")</f>
        <v/>
      </c>
      <c r="L6518" s="16">
        <f>IF(AND(G6518&gt;0,H6518&gt;0),G6518/H6518,"")</f>
        <v/>
      </c>
    </row>
    <row r="6519">
      <c r="A6519" s="4" t="inlineStr">
        <is>
          <t>341</t>
        </is>
      </c>
      <c r="B6519" s="4" t="n">
        <v>3</v>
      </c>
      <c r="C6519" s="4" t="inlineStr">
        <is>
          <t>mule deer</t>
        </is>
      </c>
      <c r="D6519" s="4" t="n">
        <v>2008</v>
      </c>
      <c r="E6519" s="4" t="inlineStr"/>
      <c r="F6519" s="5" t="n">
        <v>392</v>
      </c>
      <c r="G6519" s="5" t="n">
        <v>2802</v>
      </c>
      <c r="H6519" s="5" t="n">
        <v>86</v>
      </c>
      <c r="I6519" s="5" t="n">
        <v>57</v>
      </c>
      <c r="J6519" s="5" t="n">
        <v>28</v>
      </c>
      <c r="K6519" s="10">
        <f>IF(F6519&gt;0,H6519/F6519,"")</f>
        <v/>
      </c>
      <c r="L6519" s="16">
        <f>IF(AND(G6519&gt;0,H6519&gt;0),G6519/H6519,"")</f>
        <v/>
      </c>
    </row>
    <row r="6520">
      <c r="A6520" s="4" t="inlineStr">
        <is>
          <t>341</t>
        </is>
      </c>
      <c r="B6520" s="4" t="n">
        <v>3</v>
      </c>
      <c r="C6520" s="4" t="inlineStr">
        <is>
          <t>mule deer</t>
        </is>
      </c>
      <c r="D6520" s="4" t="n">
        <v>2009</v>
      </c>
      <c r="E6520" s="4" t="inlineStr"/>
      <c r="F6520" s="5" t="n">
        <v>377</v>
      </c>
      <c r="G6520" s="5" t="n">
        <v>2803</v>
      </c>
      <c r="H6520" s="5" t="n">
        <v>44</v>
      </c>
      <c r="I6520" s="5" t="n">
        <v>30</v>
      </c>
      <c r="J6520" s="5" t="n">
        <v>15</v>
      </c>
      <c r="K6520" s="10">
        <f>IF(F6520&gt;0,H6520/F6520,"")</f>
        <v/>
      </c>
      <c r="L6520" s="16">
        <f>IF(AND(G6520&gt;0,H6520&gt;0),G6520/H6520,"")</f>
        <v/>
      </c>
    </row>
    <row r="6521">
      <c r="A6521" s="4" t="inlineStr">
        <is>
          <t>341</t>
        </is>
      </c>
      <c r="B6521" s="4" t="n">
        <v>3</v>
      </c>
      <c r="C6521" s="4" t="inlineStr">
        <is>
          <t>mule deer</t>
        </is>
      </c>
      <c r="D6521" s="4" t="n">
        <v>2010</v>
      </c>
      <c r="E6521" s="4" t="inlineStr"/>
      <c r="F6521" s="5" t="n">
        <v>367</v>
      </c>
      <c r="G6521" s="5" t="n">
        <v>2565</v>
      </c>
      <c r="H6521" s="5" t="n">
        <v>53</v>
      </c>
      <c r="I6521" s="5" t="n">
        <v>41</v>
      </c>
      <c r="J6521" s="5" t="n">
        <v>12</v>
      </c>
      <c r="K6521" s="10">
        <f>IF(F6521&gt;0,H6521/F6521,"")</f>
        <v/>
      </c>
      <c r="L6521" s="16">
        <f>IF(AND(G6521&gt;0,H6521&gt;0),G6521/H6521,"")</f>
        <v/>
      </c>
    </row>
    <row r="6522">
      <c r="A6522" s="4" t="inlineStr">
        <is>
          <t>341</t>
        </is>
      </c>
      <c r="B6522" s="4" t="n">
        <v>3</v>
      </c>
      <c r="C6522" s="4" t="inlineStr">
        <is>
          <t>mule deer</t>
        </is>
      </c>
      <c r="D6522" s="4" t="n">
        <v>2011</v>
      </c>
      <c r="E6522" s="4" t="inlineStr"/>
      <c r="F6522" s="5" t="n">
        <v>410</v>
      </c>
      <c r="G6522" s="5" t="n">
        <v>2948</v>
      </c>
      <c r="H6522" s="5" t="n">
        <v>31</v>
      </c>
      <c r="I6522" s="5" t="n">
        <v>28</v>
      </c>
      <c r="J6522" s="5" t="n">
        <v>3</v>
      </c>
      <c r="K6522" s="10">
        <f>IF(F6522&gt;0,H6522/F6522,"")</f>
        <v/>
      </c>
      <c r="L6522" s="16">
        <f>IF(AND(G6522&gt;0,H6522&gt;0),G6522/H6522,"")</f>
        <v/>
      </c>
    </row>
    <row r="6523">
      <c r="A6523" s="4" t="inlineStr">
        <is>
          <t>341</t>
        </is>
      </c>
      <c r="B6523" s="4" t="n">
        <v>3</v>
      </c>
      <c r="C6523" s="4" t="inlineStr">
        <is>
          <t>mule deer</t>
        </is>
      </c>
      <c r="D6523" s="4" t="n">
        <v>2012</v>
      </c>
      <c r="E6523" s="4" t="inlineStr"/>
      <c r="F6523" s="5" t="n"/>
      <c r="G6523" s="5" t="n"/>
      <c r="H6523" s="5" t="n">
        <v>65</v>
      </c>
      <c r="I6523" s="5" t="n">
        <v>63</v>
      </c>
      <c r="J6523" s="5" t="n">
        <v>3</v>
      </c>
      <c r="K6523" s="10">
        <f>IF(F6523&gt;0,H6523/F6523,"")</f>
        <v/>
      </c>
      <c r="L6523" s="16">
        <f>IF(AND(G6523&gt;0,H6523&gt;0),G6523/H6523,"")</f>
        <v/>
      </c>
    </row>
    <row r="6524">
      <c r="A6524" s="4" t="inlineStr">
        <is>
          <t>341</t>
        </is>
      </c>
      <c r="B6524" s="4" t="n">
        <v>3</v>
      </c>
      <c r="C6524" s="4" t="inlineStr">
        <is>
          <t>mule deer</t>
        </is>
      </c>
      <c r="D6524" s="4" t="n">
        <v>2013</v>
      </c>
      <c r="E6524" s="4" t="inlineStr"/>
      <c r="F6524" s="5" t="n">
        <v>393</v>
      </c>
      <c r="G6524" s="5" t="n">
        <v>2802</v>
      </c>
      <c r="H6524" s="5" t="n">
        <v>37</v>
      </c>
      <c r="I6524" s="5" t="n">
        <v>37</v>
      </c>
      <c r="J6524" s="5" t="n">
        <v>0</v>
      </c>
      <c r="K6524" s="10">
        <f>IF(F6524&gt;0,H6524/F6524,"")</f>
        <v/>
      </c>
      <c r="L6524" s="16">
        <f>IF(AND(G6524&gt;0,H6524&gt;0),G6524/H6524,"")</f>
        <v/>
      </c>
    </row>
    <row r="6525">
      <c r="A6525" s="4" t="inlineStr">
        <is>
          <t>341</t>
        </is>
      </c>
      <c r="B6525" s="4" t="n">
        <v>3</v>
      </c>
      <c r="C6525" s="4" t="inlineStr">
        <is>
          <t>mule deer</t>
        </is>
      </c>
      <c r="D6525" s="4" t="n">
        <v>2014</v>
      </c>
      <c r="E6525" s="4" t="inlineStr"/>
      <c r="F6525" s="5" t="n"/>
      <c r="G6525" s="5" t="n"/>
      <c r="H6525" s="5" t="n">
        <v>82</v>
      </c>
      <c r="I6525" s="5" t="n">
        <v>82</v>
      </c>
      <c r="J6525" s="5" t="n">
        <v>0</v>
      </c>
      <c r="K6525" s="10">
        <f>IF(F6525&gt;0,H6525/F6525,"")</f>
        <v/>
      </c>
      <c r="L6525" s="16">
        <f>IF(AND(G6525&gt;0,H6525&gt;0),G6525/H6525,"")</f>
        <v/>
      </c>
    </row>
    <row r="6526">
      <c r="A6526" s="4" t="inlineStr">
        <is>
          <t>341</t>
        </is>
      </c>
      <c r="B6526" s="4" t="n">
        <v>3</v>
      </c>
      <c r="C6526" s="4" t="inlineStr">
        <is>
          <t>mule deer</t>
        </is>
      </c>
      <c r="D6526" s="4" t="n">
        <v>2015</v>
      </c>
      <c r="E6526" s="4" t="inlineStr"/>
      <c r="F6526" s="5" t="n"/>
      <c r="G6526" s="5" t="n"/>
      <c r="H6526" s="5" t="n">
        <v>118</v>
      </c>
      <c r="I6526" s="5" t="n">
        <v>118</v>
      </c>
      <c r="J6526" s="5" t="n">
        <v>0</v>
      </c>
      <c r="K6526" s="10">
        <f>IF(F6526&gt;0,H6526/F6526,"")</f>
        <v/>
      </c>
      <c r="L6526" s="16">
        <f>IF(AND(G6526&gt;0,H6526&gt;0),G6526/H6526,"")</f>
        <v/>
      </c>
    </row>
    <row r="6527">
      <c r="A6527" s="4" t="inlineStr">
        <is>
          <t>341</t>
        </is>
      </c>
      <c r="B6527" s="4" t="n">
        <v>3</v>
      </c>
      <c r="C6527" s="4" t="inlineStr">
        <is>
          <t>mule deer</t>
        </is>
      </c>
      <c r="D6527" s="4" t="n">
        <v>2016</v>
      </c>
      <c r="E6527" s="4" t="inlineStr"/>
      <c r="F6527" s="5" t="n"/>
      <c r="G6527" s="5" t="n"/>
      <c r="H6527" s="5" t="n">
        <v>114</v>
      </c>
      <c r="I6527" s="5" t="n">
        <v>91</v>
      </c>
      <c r="J6527" s="5" t="n">
        <v>21</v>
      </c>
      <c r="K6527" s="10">
        <f>IF(F6527&gt;0,H6527/F6527,"")</f>
        <v/>
      </c>
      <c r="L6527" s="16">
        <f>IF(AND(G6527&gt;0,H6527&gt;0),G6527/H6527,"")</f>
        <v/>
      </c>
    </row>
    <row r="6528">
      <c r="A6528" s="4" t="inlineStr">
        <is>
          <t>341</t>
        </is>
      </c>
      <c r="B6528" s="4" t="n">
        <v>3</v>
      </c>
      <c r="C6528" s="4" t="inlineStr">
        <is>
          <t>mule deer</t>
        </is>
      </c>
      <c r="D6528" s="4" t="n">
        <v>2017</v>
      </c>
      <c r="E6528" s="4" t="inlineStr"/>
      <c r="F6528" s="5" t="n">
        <v>498</v>
      </c>
      <c r="G6528" s="5" t="n">
        <v>3715</v>
      </c>
      <c r="H6528" s="5" t="n">
        <v>110</v>
      </c>
      <c r="I6528" s="5" t="n">
        <v>89</v>
      </c>
      <c r="J6528" s="5" t="n">
        <v>21</v>
      </c>
      <c r="K6528" s="10">
        <f>IF(F6528&gt;0,H6528/F6528,"")</f>
        <v/>
      </c>
      <c r="L6528" s="16">
        <f>IF(AND(G6528&gt;0,H6528&gt;0),G6528/H6528,"")</f>
        <v/>
      </c>
    </row>
    <row r="6529">
      <c r="A6529" s="4" t="inlineStr">
        <is>
          <t>341</t>
        </is>
      </c>
      <c r="B6529" s="4" t="n">
        <v>3</v>
      </c>
      <c r="C6529" s="4" t="inlineStr">
        <is>
          <t>mule deer</t>
        </is>
      </c>
      <c r="D6529" s="4" t="n">
        <v>2018</v>
      </c>
      <c r="E6529" s="4" t="inlineStr"/>
      <c r="F6529" s="5" t="n"/>
      <c r="G6529" s="5" t="n"/>
      <c r="H6529" s="5" t="n">
        <v>88</v>
      </c>
      <c r="I6529" s="5" t="n">
        <v>56</v>
      </c>
      <c r="J6529" s="5" t="n">
        <v>31</v>
      </c>
      <c r="K6529" s="10">
        <f>IF(F6529&gt;0,H6529/F6529,"")</f>
        <v/>
      </c>
      <c r="L6529" s="16">
        <f>IF(AND(G6529&gt;0,H6529&gt;0),G6529/H6529,"")</f>
        <v/>
      </c>
    </row>
    <row r="6530">
      <c r="A6530" s="4" t="inlineStr">
        <is>
          <t>341</t>
        </is>
      </c>
      <c r="B6530" s="4" t="n">
        <v>3</v>
      </c>
      <c r="C6530" s="4" t="inlineStr">
        <is>
          <t>mule deer</t>
        </is>
      </c>
      <c r="D6530" s="4" t="n">
        <v>2019</v>
      </c>
      <c r="E6530" s="4" t="inlineStr"/>
      <c r="F6530" s="5" t="n">
        <v>479</v>
      </c>
      <c r="G6530" s="5" t="n">
        <v>3780</v>
      </c>
      <c r="H6530" s="5" t="n">
        <v>131</v>
      </c>
      <c r="I6530" s="5" t="n">
        <v>95</v>
      </c>
      <c r="J6530" s="5" t="n">
        <v>34</v>
      </c>
      <c r="K6530" s="10">
        <f>IF(F6530&gt;0,H6530/F6530,"")</f>
        <v/>
      </c>
      <c r="L6530" s="16">
        <f>IF(AND(G6530&gt;0,H6530&gt;0),G6530/H6530,"")</f>
        <v/>
      </c>
    </row>
    <row r="6531">
      <c r="A6531" s="4" t="inlineStr">
        <is>
          <t>341</t>
        </is>
      </c>
      <c r="B6531" s="4" t="n">
        <v>3</v>
      </c>
      <c r="C6531" s="4" t="inlineStr">
        <is>
          <t>mule deer</t>
        </is>
      </c>
      <c r="D6531" s="4" t="n">
        <v>2020</v>
      </c>
      <c r="E6531" s="4" t="inlineStr"/>
      <c r="F6531" s="5" t="n"/>
      <c r="G6531" s="5" t="n"/>
      <c r="H6531" s="5" t="n">
        <v>114</v>
      </c>
      <c r="I6531" s="5" t="n">
        <v>83</v>
      </c>
      <c r="J6531" s="5" t="n">
        <v>31</v>
      </c>
      <c r="K6531" s="10">
        <f>IF(F6531&gt;0,H6531/F6531,"")</f>
        <v/>
      </c>
      <c r="L6531" s="16">
        <f>IF(AND(G6531&gt;0,H6531&gt;0),G6531/H6531,"")</f>
        <v/>
      </c>
    </row>
    <row r="6532">
      <c r="A6532" s="4" t="inlineStr">
        <is>
          <t>341</t>
        </is>
      </c>
      <c r="B6532" s="4" t="n">
        <v>3</v>
      </c>
      <c r="C6532" s="4" t="inlineStr">
        <is>
          <t>mule deer</t>
        </is>
      </c>
      <c r="D6532" s="4" t="n">
        <v>2021</v>
      </c>
      <c r="E6532" s="4" t="inlineStr"/>
      <c r="F6532" s="5" t="n">
        <v>525</v>
      </c>
      <c r="G6532" s="5" t="n">
        <v>3674</v>
      </c>
      <c r="H6532" s="5" t="n">
        <v>113</v>
      </c>
      <c r="I6532" s="5" t="n">
        <v>88</v>
      </c>
      <c r="J6532" s="5" t="n">
        <v>25</v>
      </c>
      <c r="K6532" s="10">
        <f>IF(F6532&gt;0,H6532/F6532,"")</f>
        <v/>
      </c>
      <c r="L6532" s="16">
        <f>IF(AND(G6532&gt;0,H6532&gt;0),G6532/H6532,"")</f>
        <v/>
      </c>
    </row>
    <row r="6533">
      <c r="A6533" s="4" t="inlineStr">
        <is>
          <t>343</t>
        </is>
      </c>
      <c r="B6533" s="4" t="n">
        <v>3</v>
      </c>
      <c r="C6533" s="4" t="inlineStr">
        <is>
          <t>mule deer</t>
        </is>
      </c>
      <c r="D6533" s="4" t="n">
        <v>2004</v>
      </c>
      <c r="E6533" s="13" t="inlineStr">
        <is>
          <t>General</t>
        </is>
      </c>
      <c r="F6533" s="5" t="n">
        <v>827</v>
      </c>
      <c r="G6533" s="5" t="n">
        <v>5365</v>
      </c>
      <c r="H6533" s="5" t="n">
        <v>283</v>
      </c>
      <c r="I6533" s="5" t="n">
        <v>220</v>
      </c>
      <c r="J6533" s="5" t="n">
        <v>63</v>
      </c>
      <c r="K6533" s="10">
        <f>IF(F6533&gt;0,H6533/F6533,"")</f>
        <v/>
      </c>
      <c r="L6533" s="16">
        <f>IF(AND(G6533&gt;0,H6533&gt;0),G6533/H6533,"")</f>
        <v/>
      </c>
    </row>
    <row r="6534">
      <c r="A6534" s="4" t="inlineStr">
        <is>
          <t>343</t>
        </is>
      </c>
      <c r="B6534" s="4" t="n">
        <v>3</v>
      </c>
      <c r="C6534" s="4" t="inlineStr">
        <is>
          <t>mule deer</t>
        </is>
      </c>
      <c r="D6534" s="4" t="n">
        <v>2005</v>
      </c>
      <c r="E6534" s="13" t="inlineStr">
        <is>
          <t>General</t>
        </is>
      </c>
      <c r="F6534" s="5" t="n">
        <v>784</v>
      </c>
      <c r="G6534" s="5" t="n">
        <v>4941</v>
      </c>
      <c r="H6534" s="5" t="n">
        <v>267</v>
      </c>
      <c r="I6534" s="5" t="n">
        <v>186</v>
      </c>
      <c r="J6534" s="5" t="n">
        <v>79</v>
      </c>
      <c r="K6534" s="10">
        <f>IF(F6534&gt;0,H6534/F6534,"")</f>
        <v/>
      </c>
      <c r="L6534" s="16">
        <f>IF(AND(G6534&gt;0,H6534&gt;0),G6534/H6534,"")</f>
        <v/>
      </c>
    </row>
    <row r="6535">
      <c r="A6535" s="4" t="inlineStr">
        <is>
          <t>343</t>
        </is>
      </c>
      <c r="B6535" s="4" t="n">
        <v>3</v>
      </c>
      <c r="C6535" s="4" t="inlineStr">
        <is>
          <t>mule deer</t>
        </is>
      </c>
      <c r="D6535" s="4" t="n">
        <v>2006</v>
      </c>
      <c r="E6535" s="13" t="inlineStr">
        <is>
          <t>General</t>
        </is>
      </c>
      <c r="F6535" s="5" t="n">
        <v>761</v>
      </c>
      <c r="G6535" s="5" t="n">
        <v>4896</v>
      </c>
      <c r="H6535" s="5" t="n">
        <v>395</v>
      </c>
      <c r="I6535" s="5" t="n">
        <v>250</v>
      </c>
      <c r="J6535" s="5" t="n">
        <v>135</v>
      </c>
      <c r="K6535" s="10">
        <f>IF(F6535&gt;0,H6535/F6535,"")</f>
        <v/>
      </c>
      <c r="L6535" s="16">
        <f>IF(AND(G6535&gt;0,H6535&gt;0),G6535/H6535,"")</f>
        <v/>
      </c>
    </row>
    <row r="6536">
      <c r="A6536" s="4" t="inlineStr">
        <is>
          <t>343</t>
        </is>
      </c>
      <c r="B6536" s="4" t="n">
        <v>3</v>
      </c>
      <c r="C6536" s="4" t="inlineStr">
        <is>
          <t>mule deer</t>
        </is>
      </c>
      <c r="D6536" s="4" t="n">
        <v>2007</v>
      </c>
      <c r="E6536" s="13" t="inlineStr">
        <is>
          <t>General</t>
        </is>
      </c>
      <c r="F6536" s="5" t="n">
        <v>744</v>
      </c>
      <c r="G6536" s="5" t="n">
        <v>4978</v>
      </c>
      <c r="H6536" s="5" t="n">
        <v>258</v>
      </c>
      <c r="I6536" s="5" t="n">
        <v>158</v>
      </c>
      <c r="J6536" s="5" t="n">
        <v>100</v>
      </c>
      <c r="K6536" s="10">
        <f>IF(F6536&gt;0,H6536/F6536,"")</f>
        <v/>
      </c>
      <c r="L6536" s="16">
        <f>IF(AND(G6536&gt;0,H6536&gt;0),G6536/H6536,"")</f>
        <v/>
      </c>
    </row>
    <row r="6537">
      <c r="A6537" s="4" t="inlineStr">
        <is>
          <t>343</t>
        </is>
      </c>
      <c r="B6537" s="4" t="n">
        <v>3</v>
      </c>
      <c r="C6537" s="4" t="inlineStr">
        <is>
          <t>mule deer</t>
        </is>
      </c>
      <c r="D6537" s="4" t="n">
        <v>2008</v>
      </c>
      <c r="E6537" s="13" t="inlineStr">
        <is>
          <t>General</t>
        </is>
      </c>
      <c r="F6537" s="5" t="n">
        <v>878</v>
      </c>
      <c r="G6537" s="5" t="n">
        <v>6165</v>
      </c>
      <c r="H6537" s="5" t="n">
        <v>260</v>
      </c>
      <c r="I6537" s="5" t="n">
        <v>163</v>
      </c>
      <c r="J6537" s="5" t="n">
        <v>96</v>
      </c>
      <c r="K6537" s="10">
        <f>IF(F6537&gt;0,H6537/F6537,"")</f>
        <v/>
      </c>
      <c r="L6537" s="16">
        <f>IF(AND(G6537&gt;0,H6537&gt;0),G6537/H6537,"")</f>
        <v/>
      </c>
    </row>
    <row r="6538">
      <c r="A6538" s="4" t="inlineStr">
        <is>
          <t>343</t>
        </is>
      </c>
      <c r="B6538" s="4" t="n">
        <v>3</v>
      </c>
      <c r="C6538" s="4" t="inlineStr">
        <is>
          <t>mule deer</t>
        </is>
      </c>
      <c r="D6538" s="4" t="n">
        <v>2009</v>
      </c>
      <c r="E6538" s="13" t="inlineStr">
        <is>
          <t>General</t>
        </is>
      </c>
      <c r="F6538" s="5" t="n">
        <v>790</v>
      </c>
      <c r="G6538" s="5" t="n">
        <v>5152</v>
      </c>
      <c r="H6538" s="5" t="n">
        <v>273</v>
      </c>
      <c r="I6538" s="5" t="n">
        <v>178</v>
      </c>
      <c r="J6538" s="5" t="n">
        <v>96</v>
      </c>
      <c r="K6538" s="10">
        <f>IF(F6538&gt;0,H6538/F6538,"")</f>
        <v/>
      </c>
      <c r="L6538" s="16">
        <f>IF(AND(G6538&gt;0,H6538&gt;0),G6538/H6538,"")</f>
        <v/>
      </c>
    </row>
    <row r="6539">
      <c r="A6539" s="4" t="inlineStr">
        <is>
          <t>343</t>
        </is>
      </c>
      <c r="B6539" s="4" t="n">
        <v>3</v>
      </c>
      <c r="C6539" s="4" t="inlineStr">
        <is>
          <t>mule deer</t>
        </is>
      </c>
      <c r="D6539" s="4" t="n">
        <v>2010</v>
      </c>
      <c r="E6539" s="13" t="inlineStr">
        <is>
          <t>General</t>
        </is>
      </c>
      <c r="F6539" s="5" t="n">
        <v>823</v>
      </c>
      <c r="G6539" s="5" t="n">
        <v>5497</v>
      </c>
      <c r="H6539" s="5" t="n">
        <v>251</v>
      </c>
      <c r="I6539" s="5" t="n">
        <v>180</v>
      </c>
      <c r="J6539" s="5" t="n">
        <v>68</v>
      </c>
      <c r="K6539" s="10">
        <f>IF(F6539&gt;0,H6539/F6539,"")</f>
        <v/>
      </c>
      <c r="L6539" s="16">
        <f>IF(AND(G6539&gt;0,H6539&gt;0),G6539/H6539,"")</f>
        <v/>
      </c>
    </row>
    <row r="6540">
      <c r="A6540" s="4" t="inlineStr">
        <is>
          <t>343</t>
        </is>
      </c>
      <c r="B6540" s="4" t="n">
        <v>3</v>
      </c>
      <c r="C6540" s="4" t="inlineStr">
        <is>
          <t>mule deer</t>
        </is>
      </c>
      <c r="D6540" s="4" t="n">
        <v>2011</v>
      </c>
      <c r="E6540" s="13" t="inlineStr">
        <is>
          <t>General</t>
        </is>
      </c>
      <c r="F6540" s="5" t="n">
        <v>946</v>
      </c>
      <c r="G6540" s="5" t="n">
        <v>6691</v>
      </c>
      <c r="H6540" s="5" t="n">
        <v>235</v>
      </c>
      <c r="I6540" s="5" t="n">
        <v>154</v>
      </c>
      <c r="J6540" s="5" t="n">
        <v>77</v>
      </c>
      <c r="K6540" s="10">
        <f>IF(F6540&gt;0,H6540/F6540,"")</f>
        <v/>
      </c>
      <c r="L6540" s="16">
        <f>IF(AND(G6540&gt;0,H6540&gt;0),G6540/H6540,"")</f>
        <v/>
      </c>
    </row>
    <row r="6541">
      <c r="A6541" s="4" t="inlineStr">
        <is>
          <t>343</t>
        </is>
      </c>
      <c r="B6541" s="4" t="n">
        <v>3</v>
      </c>
      <c r="C6541" s="4" t="inlineStr">
        <is>
          <t>mule deer</t>
        </is>
      </c>
      <c r="D6541" s="4" t="n">
        <v>2012</v>
      </c>
      <c r="E6541" s="13" t="inlineStr">
        <is>
          <t>General</t>
        </is>
      </c>
      <c r="F6541" s="5" t="n"/>
      <c r="G6541" s="5" t="n"/>
      <c r="H6541" s="5" t="n">
        <v>194</v>
      </c>
      <c r="I6541" s="5" t="n">
        <v>115</v>
      </c>
      <c r="J6541" s="5" t="n">
        <v>79</v>
      </c>
      <c r="K6541" s="10">
        <f>IF(F6541&gt;0,H6541/F6541,"")</f>
        <v/>
      </c>
      <c r="L6541" s="16">
        <f>IF(AND(G6541&gt;0,H6541&gt;0),G6541/H6541,"")</f>
        <v/>
      </c>
    </row>
    <row r="6542">
      <c r="A6542" s="4" t="inlineStr">
        <is>
          <t>343</t>
        </is>
      </c>
      <c r="B6542" s="4" t="n">
        <v>3</v>
      </c>
      <c r="C6542" s="4" t="inlineStr">
        <is>
          <t>mule deer</t>
        </is>
      </c>
      <c r="D6542" s="4" t="n">
        <v>2013</v>
      </c>
      <c r="E6542" s="13" t="inlineStr">
        <is>
          <t>General</t>
        </is>
      </c>
      <c r="F6542" s="5" t="n">
        <v>739</v>
      </c>
      <c r="G6542" s="5" t="n">
        <v>6240</v>
      </c>
      <c r="H6542" s="5" t="n">
        <v>153</v>
      </c>
      <c r="I6542" s="5" t="n">
        <v>115</v>
      </c>
      <c r="J6542" s="5" t="n">
        <v>39</v>
      </c>
      <c r="K6542" s="10">
        <f>IF(F6542&gt;0,H6542/F6542,"")</f>
        <v/>
      </c>
      <c r="L6542" s="16">
        <f>IF(AND(G6542&gt;0,H6542&gt;0),G6542/H6542,"")</f>
        <v/>
      </c>
    </row>
    <row r="6543">
      <c r="A6543" s="4" t="inlineStr">
        <is>
          <t>343</t>
        </is>
      </c>
      <c r="B6543" s="4" t="n">
        <v>3</v>
      </c>
      <c r="C6543" s="4" t="inlineStr">
        <is>
          <t>mule deer</t>
        </is>
      </c>
      <c r="D6543" s="4" t="n">
        <v>2014</v>
      </c>
      <c r="E6543" s="13" t="inlineStr">
        <is>
          <t>General</t>
        </is>
      </c>
      <c r="F6543" s="5" t="n"/>
      <c r="G6543" s="5" t="n"/>
      <c r="H6543" s="5" t="n">
        <v>100</v>
      </c>
      <c r="I6543" s="5" t="n">
        <v>97</v>
      </c>
      <c r="J6543" s="5" t="n">
        <v>3</v>
      </c>
      <c r="K6543" s="10">
        <f>IF(F6543&gt;0,H6543/F6543,"")</f>
        <v/>
      </c>
      <c r="L6543" s="16">
        <f>IF(AND(G6543&gt;0,H6543&gt;0),G6543/H6543,"")</f>
        <v/>
      </c>
    </row>
    <row r="6544">
      <c r="A6544" s="4" t="inlineStr">
        <is>
          <t>343</t>
        </is>
      </c>
      <c r="B6544" s="4" t="n">
        <v>3</v>
      </c>
      <c r="C6544" s="4" t="inlineStr">
        <is>
          <t>mule deer</t>
        </is>
      </c>
      <c r="D6544" s="4" t="n">
        <v>2015</v>
      </c>
      <c r="E6544" s="13" t="inlineStr">
        <is>
          <t>General</t>
        </is>
      </c>
      <c r="F6544" s="5" t="n"/>
      <c r="G6544" s="5" t="n"/>
      <c r="H6544" s="5" t="n">
        <v>166</v>
      </c>
      <c r="I6544" s="5" t="n">
        <v>160</v>
      </c>
      <c r="J6544" s="5" t="n">
        <v>6</v>
      </c>
      <c r="K6544" s="10">
        <f>IF(F6544&gt;0,H6544/F6544,"")</f>
        <v/>
      </c>
      <c r="L6544" s="16">
        <f>IF(AND(G6544&gt;0,H6544&gt;0),G6544/H6544,"")</f>
        <v/>
      </c>
    </row>
    <row r="6545">
      <c r="A6545" s="4" t="inlineStr">
        <is>
          <t>343</t>
        </is>
      </c>
      <c r="B6545" s="4" t="n">
        <v>3</v>
      </c>
      <c r="C6545" s="4" t="inlineStr">
        <is>
          <t>mule deer</t>
        </is>
      </c>
      <c r="D6545" s="4" t="n">
        <v>2016</v>
      </c>
      <c r="E6545" s="13" t="inlineStr">
        <is>
          <t>General</t>
        </is>
      </c>
      <c r="F6545" s="5" t="n"/>
      <c r="G6545" s="5" t="n"/>
      <c r="H6545" s="5" t="n">
        <v>194</v>
      </c>
      <c r="I6545" s="5" t="n">
        <v>151</v>
      </c>
      <c r="J6545" s="5" t="n">
        <v>43</v>
      </c>
      <c r="K6545" s="10">
        <f>IF(F6545&gt;0,H6545/F6545,"")</f>
        <v/>
      </c>
      <c r="L6545" s="16">
        <f>IF(AND(G6545&gt;0,H6545&gt;0),G6545/H6545,"")</f>
        <v/>
      </c>
    </row>
    <row r="6546">
      <c r="A6546" s="4" t="inlineStr">
        <is>
          <t>343</t>
        </is>
      </c>
      <c r="B6546" s="4" t="n">
        <v>3</v>
      </c>
      <c r="C6546" s="4" t="inlineStr">
        <is>
          <t>mule deer</t>
        </is>
      </c>
      <c r="D6546" s="4" t="n">
        <v>2017</v>
      </c>
      <c r="E6546" s="13" t="inlineStr">
        <is>
          <t>General</t>
        </is>
      </c>
      <c r="F6546" s="5" t="n">
        <v>571</v>
      </c>
      <c r="G6546" s="5" t="n">
        <v>4352</v>
      </c>
      <c r="H6546" s="5" t="n">
        <v>157</v>
      </c>
      <c r="I6546" s="5" t="n">
        <v>124</v>
      </c>
      <c r="J6546" s="5" t="n">
        <v>34</v>
      </c>
      <c r="K6546" s="10">
        <f>IF(F6546&gt;0,H6546/F6546,"")</f>
        <v/>
      </c>
      <c r="L6546" s="16">
        <f>IF(AND(G6546&gt;0,H6546&gt;0),G6546/H6546,"")</f>
        <v/>
      </c>
    </row>
    <row r="6547">
      <c r="A6547" s="4" t="inlineStr">
        <is>
          <t>343</t>
        </is>
      </c>
      <c r="B6547" s="4" t="n">
        <v>3</v>
      </c>
      <c r="C6547" s="4" t="inlineStr">
        <is>
          <t>mule deer</t>
        </is>
      </c>
      <c r="D6547" s="4" t="n">
        <v>2018</v>
      </c>
      <c r="E6547" s="13" t="inlineStr">
        <is>
          <t>General</t>
        </is>
      </c>
      <c r="F6547" s="5" t="n"/>
      <c r="G6547" s="5" t="n"/>
      <c r="H6547" s="5" t="n">
        <v>178</v>
      </c>
      <c r="I6547" s="5" t="n">
        <v>152</v>
      </c>
      <c r="J6547" s="5" t="n">
        <v>27</v>
      </c>
      <c r="K6547" s="10">
        <f>IF(F6547&gt;0,H6547/F6547,"")</f>
        <v/>
      </c>
      <c r="L6547" s="16">
        <f>IF(AND(G6547&gt;0,H6547&gt;0),G6547/H6547,"")</f>
        <v/>
      </c>
    </row>
    <row r="6548">
      <c r="A6548" s="4" t="inlineStr">
        <is>
          <t>343</t>
        </is>
      </c>
      <c r="B6548" s="4" t="n">
        <v>3</v>
      </c>
      <c r="C6548" s="4" t="inlineStr">
        <is>
          <t>mule deer</t>
        </is>
      </c>
      <c r="D6548" s="4" t="n">
        <v>2019</v>
      </c>
      <c r="E6548" s="13" t="inlineStr">
        <is>
          <t>General</t>
        </is>
      </c>
      <c r="F6548" s="5" t="n">
        <v>831</v>
      </c>
      <c r="G6548" s="5" t="n">
        <v>6473</v>
      </c>
      <c r="H6548" s="5" t="n">
        <v>97</v>
      </c>
      <c r="I6548" s="5" t="n">
        <v>83</v>
      </c>
      <c r="J6548" s="5" t="n">
        <v>13</v>
      </c>
      <c r="K6548" s="10">
        <f>IF(F6548&gt;0,H6548/F6548,"")</f>
        <v/>
      </c>
      <c r="L6548" s="16">
        <f>IF(AND(G6548&gt;0,H6548&gt;0),G6548/H6548,"")</f>
        <v/>
      </c>
    </row>
    <row r="6549">
      <c r="A6549" s="4" t="inlineStr">
        <is>
          <t>343</t>
        </is>
      </c>
      <c r="B6549" s="4" t="n">
        <v>3</v>
      </c>
      <c r="C6549" s="4" t="inlineStr">
        <is>
          <t>mule deer</t>
        </is>
      </c>
      <c r="D6549" s="4" t="n">
        <v>2020</v>
      </c>
      <c r="E6549" s="13" t="inlineStr">
        <is>
          <t>General</t>
        </is>
      </c>
      <c r="F6549" s="5" t="n"/>
      <c r="G6549" s="5" t="n"/>
      <c r="H6549" s="5" t="n">
        <v>128</v>
      </c>
      <c r="I6549" s="5" t="n">
        <v>125</v>
      </c>
      <c r="J6549" s="5" t="n">
        <v>0</v>
      </c>
      <c r="K6549" s="10">
        <f>IF(F6549&gt;0,H6549/F6549,"")</f>
        <v/>
      </c>
      <c r="L6549" s="16">
        <f>IF(AND(G6549&gt;0,H6549&gt;0),G6549/H6549,"")</f>
        <v/>
      </c>
    </row>
    <row r="6550">
      <c r="A6550" s="4" t="inlineStr">
        <is>
          <t>343</t>
        </is>
      </c>
      <c r="B6550" s="4" t="n">
        <v>3</v>
      </c>
      <c r="C6550" s="4" t="inlineStr">
        <is>
          <t>mule deer</t>
        </is>
      </c>
      <c r="D6550" s="4" t="n">
        <v>2021</v>
      </c>
      <c r="E6550" s="13" t="inlineStr">
        <is>
          <t>General</t>
        </is>
      </c>
      <c r="F6550" s="5" t="n">
        <v>826</v>
      </c>
      <c r="G6550" s="5" t="n">
        <v>5774</v>
      </c>
      <c r="H6550" s="5" t="n">
        <v>107</v>
      </c>
      <c r="I6550" s="5" t="n">
        <v>102</v>
      </c>
      <c r="J6550" s="5" t="n">
        <v>5</v>
      </c>
      <c r="K6550" s="10">
        <f>IF(F6550&gt;0,H6550/F6550,"")</f>
        <v/>
      </c>
      <c r="L6550" s="16">
        <f>IF(AND(G6550&gt;0,H6550&gt;0),G6550/H6550,"")</f>
        <v/>
      </c>
    </row>
    <row r="6551">
      <c r="A6551" s="4" t="inlineStr">
        <is>
          <t>343</t>
        </is>
      </c>
      <c r="B6551" s="4" t="n">
        <v>3</v>
      </c>
      <c r="C6551" s="4" t="inlineStr">
        <is>
          <t>mule deer</t>
        </is>
      </c>
      <c r="D6551" s="4" t="n">
        <v>2022</v>
      </c>
      <c r="E6551" s="13" t="inlineStr">
        <is>
          <t>General</t>
        </is>
      </c>
      <c r="F6551" s="5" t="n"/>
      <c r="G6551" s="5" t="n"/>
      <c r="H6551" s="5" t="n">
        <v>104</v>
      </c>
      <c r="I6551" s="5" t="n">
        <v>101</v>
      </c>
      <c r="J6551" s="5" t="n">
        <v>4</v>
      </c>
      <c r="K6551" s="10">
        <f>IF(F6551&gt;0,H6551/F6551,"")</f>
        <v/>
      </c>
      <c r="L6551" s="16">
        <f>IF(AND(G6551&gt;0,H6551&gt;0),G6551/H6551,"")</f>
        <v/>
      </c>
    </row>
    <row r="6552">
      <c r="A6552" s="4" t="inlineStr">
        <is>
          <t>343</t>
        </is>
      </c>
      <c r="B6552" s="4" t="n">
        <v>3</v>
      </c>
      <c r="C6552" s="4" t="inlineStr">
        <is>
          <t>mule deer</t>
        </is>
      </c>
      <c r="D6552" s="4" t="n">
        <v>2023</v>
      </c>
      <c r="E6552" s="13" t="inlineStr">
        <is>
          <t>General</t>
        </is>
      </c>
      <c r="F6552" s="5" t="n">
        <v>949</v>
      </c>
      <c r="G6552" s="5" t="n">
        <v>6944</v>
      </c>
      <c r="H6552" s="5" t="n">
        <v>172</v>
      </c>
      <c r="I6552" s="5" t="n">
        <v>170</v>
      </c>
      <c r="J6552" s="5" t="n">
        <v>2</v>
      </c>
      <c r="K6552" s="10">
        <f>IF(F6552&gt;0,H6552/F6552,"")</f>
        <v/>
      </c>
      <c r="L6552" s="16">
        <f>IF(AND(G6552&gt;0,H6552&gt;0),G6552/H6552,"")</f>
        <v/>
      </c>
    </row>
    <row r="6553">
      <c r="A6553" s="4" t="inlineStr">
        <is>
          <t>343</t>
        </is>
      </c>
      <c r="B6553" s="4" t="n">
        <v>3</v>
      </c>
      <c r="C6553" s="4" t="inlineStr">
        <is>
          <t>mule deer</t>
        </is>
      </c>
      <c r="D6553" s="4" t="n">
        <v>2024</v>
      </c>
      <c r="E6553" s="13" t="inlineStr">
        <is>
          <t>General</t>
        </is>
      </c>
      <c r="F6553" s="5" t="n"/>
      <c r="G6553" s="5" t="n"/>
      <c r="H6553" s="5" t="n">
        <v>201</v>
      </c>
      <c r="I6553" s="5" t="n">
        <v>196</v>
      </c>
      <c r="J6553" s="5" t="n">
        <v>6</v>
      </c>
      <c r="K6553" s="10">
        <f>IF(F6553&gt;0,H6553/F6553,"")</f>
        <v/>
      </c>
      <c r="L6553" s="16">
        <f>IF(AND(G6553&gt;0,H6553&gt;0),G6553/H6553,"")</f>
        <v/>
      </c>
    </row>
    <row r="6554">
      <c r="A6554" s="4" t="inlineStr">
        <is>
          <t>343</t>
        </is>
      </c>
      <c r="B6554" s="4" t="n">
        <v>3</v>
      </c>
      <c r="C6554" s="4" t="inlineStr">
        <is>
          <t>mule deer</t>
        </is>
      </c>
      <c r="D6554" s="4" t="n">
        <v>2025</v>
      </c>
      <c r="E6554" s="13" t="inlineStr">
        <is>
          <t>General</t>
        </is>
      </c>
      <c r="F6554" s="5" t="n">
        <v>1112</v>
      </c>
      <c r="G6554" s="5" t="n">
        <v>7733</v>
      </c>
      <c r="H6554" s="5" t="n">
        <v>190</v>
      </c>
      <c r="I6554" s="5" t="n">
        <v>176</v>
      </c>
      <c r="J6554" s="5" t="n">
        <v>14</v>
      </c>
      <c r="K6554" s="10">
        <f>IF(F6554&gt;0,H6554/F6554,"")</f>
        <v/>
      </c>
      <c r="L6554" s="16">
        <f>IF(AND(G6554&gt;0,H6554&gt;0),G6554/H6554,"")</f>
        <v/>
      </c>
    </row>
    <row r="6555">
      <c r="A6555" s="4" t="inlineStr">
        <is>
          <t>350</t>
        </is>
      </c>
      <c r="B6555" s="4" t="n">
        <v>3</v>
      </c>
      <c r="C6555" s="4" t="inlineStr">
        <is>
          <t>mule deer</t>
        </is>
      </c>
      <c r="D6555" s="4" t="n">
        <v>2004</v>
      </c>
      <c r="E6555" s="13" t="inlineStr">
        <is>
          <t>General</t>
        </is>
      </c>
      <c r="F6555" s="5" t="n">
        <v>531</v>
      </c>
      <c r="G6555" s="5" t="n">
        <v>3879</v>
      </c>
      <c r="H6555" s="5" t="n">
        <v>119</v>
      </c>
      <c r="I6555" s="5" t="n">
        <v>79</v>
      </c>
      <c r="J6555" s="5" t="n">
        <v>39</v>
      </c>
      <c r="K6555" s="10">
        <f>IF(F6555&gt;0,H6555/F6555,"")</f>
        <v/>
      </c>
      <c r="L6555" s="16">
        <f>IF(AND(G6555&gt;0,H6555&gt;0),G6555/H6555,"")</f>
        <v/>
      </c>
    </row>
    <row r="6556">
      <c r="A6556" s="4" t="inlineStr">
        <is>
          <t>350</t>
        </is>
      </c>
      <c r="B6556" s="4" t="n">
        <v>3</v>
      </c>
      <c r="C6556" s="4" t="inlineStr">
        <is>
          <t>mule deer</t>
        </is>
      </c>
      <c r="D6556" s="4" t="n">
        <v>2005</v>
      </c>
      <c r="E6556" s="13" t="inlineStr">
        <is>
          <t>General</t>
        </is>
      </c>
      <c r="F6556" s="5" t="n">
        <v>572</v>
      </c>
      <c r="G6556" s="5" t="n">
        <v>4254</v>
      </c>
      <c r="H6556" s="5" t="n">
        <v>197</v>
      </c>
      <c r="I6556" s="5" t="n">
        <v>158</v>
      </c>
      <c r="J6556" s="5" t="n">
        <v>39</v>
      </c>
      <c r="K6556" s="10">
        <f>IF(F6556&gt;0,H6556/F6556,"")</f>
        <v/>
      </c>
      <c r="L6556" s="16">
        <f>IF(AND(G6556&gt;0,H6556&gt;0),G6556/H6556,"")</f>
        <v/>
      </c>
    </row>
    <row r="6557">
      <c r="A6557" s="4" t="inlineStr">
        <is>
          <t>350</t>
        </is>
      </c>
      <c r="B6557" s="4" t="n">
        <v>3</v>
      </c>
      <c r="C6557" s="4" t="inlineStr">
        <is>
          <t>mule deer</t>
        </is>
      </c>
      <c r="D6557" s="4" t="n">
        <v>2006</v>
      </c>
      <c r="E6557" s="13" t="inlineStr">
        <is>
          <t>General</t>
        </is>
      </c>
      <c r="F6557" s="5" t="n">
        <v>586</v>
      </c>
      <c r="G6557" s="5" t="n">
        <v>3874</v>
      </c>
      <c r="H6557" s="5" t="n">
        <v>124</v>
      </c>
      <c r="I6557" s="5" t="n">
        <v>106</v>
      </c>
      <c r="J6557" s="5" t="n">
        <v>18</v>
      </c>
      <c r="K6557" s="10">
        <f>IF(F6557&gt;0,H6557/F6557,"")</f>
        <v/>
      </c>
      <c r="L6557" s="16">
        <f>IF(AND(G6557&gt;0,H6557&gt;0),G6557/H6557,"")</f>
        <v/>
      </c>
    </row>
    <row r="6558">
      <c r="A6558" s="4" t="inlineStr">
        <is>
          <t>350</t>
        </is>
      </c>
      <c r="B6558" s="4" t="n">
        <v>3</v>
      </c>
      <c r="C6558" s="4" t="inlineStr">
        <is>
          <t>mule deer</t>
        </is>
      </c>
      <c r="D6558" s="4" t="n">
        <v>2007</v>
      </c>
      <c r="E6558" s="13" t="inlineStr">
        <is>
          <t>General</t>
        </is>
      </c>
      <c r="F6558" s="5" t="n">
        <v>677</v>
      </c>
      <c r="G6558" s="5" t="n">
        <v>4857</v>
      </c>
      <c r="H6558" s="5" t="n">
        <v>143</v>
      </c>
      <c r="I6558" s="5" t="n">
        <v>106</v>
      </c>
      <c r="J6558" s="5" t="n">
        <v>37</v>
      </c>
      <c r="K6558" s="10">
        <f>IF(F6558&gt;0,H6558/F6558,"")</f>
        <v/>
      </c>
      <c r="L6558" s="16">
        <f>IF(AND(G6558&gt;0,H6558&gt;0),G6558/H6558,"")</f>
        <v/>
      </c>
    </row>
    <row r="6559">
      <c r="A6559" s="4" t="inlineStr">
        <is>
          <t>350</t>
        </is>
      </c>
      <c r="B6559" s="4" t="n">
        <v>3</v>
      </c>
      <c r="C6559" s="4" t="inlineStr">
        <is>
          <t>mule deer</t>
        </is>
      </c>
      <c r="D6559" s="4" t="n">
        <v>2008</v>
      </c>
      <c r="E6559" s="13" t="inlineStr">
        <is>
          <t>General</t>
        </is>
      </c>
      <c r="F6559" s="5" t="n">
        <v>670</v>
      </c>
      <c r="G6559" s="5" t="n">
        <v>4972</v>
      </c>
      <c r="H6559" s="5" t="n">
        <v>74</v>
      </c>
      <c r="I6559" s="5" t="n">
        <v>50</v>
      </c>
      <c r="J6559" s="5" t="n">
        <v>24</v>
      </c>
      <c r="K6559" s="10">
        <f>IF(F6559&gt;0,H6559/F6559,"")</f>
        <v/>
      </c>
      <c r="L6559" s="16">
        <f>IF(AND(G6559&gt;0,H6559&gt;0),G6559/H6559,"")</f>
        <v/>
      </c>
    </row>
    <row r="6560">
      <c r="A6560" s="4" t="inlineStr">
        <is>
          <t>350</t>
        </is>
      </c>
      <c r="B6560" s="4" t="n">
        <v>3</v>
      </c>
      <c r="C6560" s="4" t="inlineStr">
        <is>
          <t>mule deer</t>
        </is>
      </c>
      <c r="D6560" s="4" t="n">
        <v>2009</v>
      </c>
      <c r="E6560" s="13" t="inlineStr">
        <is>
          <t>General</t>
        </is>
      </c>
      <c r="F6560" s="5" t="n">
        <v>667</v>
      </c>
      <c r="G6560" s="5" t="n">
        <v>4314</v>
      </c>
      <c r="H6560" s="5" t="n">
        <v>99</v>
      </c>
      <c r="I6560" s="5" t="n">
        <v>61</v>
      </c>
      <c r="J6560" s="5" t="n">
        <v>34</v>
      </c>
      <c r="K6560" s="10">
        <f>IF(F6560&gt;0,H6560/F6560,"")</f>
        <v/>
      </c>
      <c r="L6560" s="16">
        <f>IF(AND(G6560&gt;0,H6560&gt;0),G6560/H6560,"")</f>
        <v/>
      </c>
    </row>
    <row r="6561">
      <c r="A6561" s="4" t="inlineStr">
        <is>
          <t>350</t>
        </is>
      </c>
      <c r="B6561" s="4" t="n">
        <v>3</v>
      </c>
      <c r="C6561" s="4" t="inlineStr">
        <is>
          <t>mule deer</t>
        </is>
      </c>
      <c r="D6561" s="4" t="n">
        <v>2010</v>
      </c>
      <c r="E6561" s="13" t="inlineStr">
        <is>
          <t>General</t>
        </is>
      </c>
      <c r="F6561" s="5" t="n">
        <v>818</v>
      </c>
      <c r="G6561" s="5" t="n">
        <v>5709</v>
      </c>
      <c r="H6561" s="5" t="n">
        <v>97</v>
      </c>
      <c r="I6561" s="5" t="n">
        <v>97</v>
      </c>
      <c r="J6561" s="5" t="n">
        <v>0</v>
      </c>
      <c r="K6561" s="10">
        <f>IF(F6561&gt;0,H6561/F6561,"")</f>
        <v/>
      </c>
      <c r="L6561" s="16">
        <f>IF(AND(G6561&gt;0,H6561&gt;0),G6561/H6561,"")</f>
        <v/>
      </c>
    </row>
    <row r="6562">
      <c r="A6562" s="4" t="inlineStr">
        <is>
          <t>350</t>
        </is>
      </c>
      <c r="B6562" s="4" t="n">
        <v>3</v>
      </c>
      <c r="C6562" s="4" t="inlineStr">
        <is>
          <t>mule deer</t>
        </is>
      </c>
      <c r="D6562" s="4" t="n">
        <v>2011</v>
      </c>
      <c r="E6562" s="13" t="inlineStr">
        <is>
          <t>General</t>
        </is>
      </c>
      <c r="F6562" s="5" t="n">
        <v>823</v>
      </c>
      <c r="G6562" s="5" t="n">
        <v>5346</v>
      </c>
      <c r="H6562" s="5" t="n">
        <v>84</v>
      </c>
      <c r="I6562" s="5" t="n">
        <v>84</v>
      </c>
      <c r="J6562" s="5" t="n">
        <v>0</v>
      </c>
      <c r="K6562" s="10">
        <f>IF(F6562&gt;0,H6562/F6562,"")</f>
        <v/>
      </c>
      <c r="L6562" s="16">
        <f>IF(AND(G6562&gt;0,H6562&gt;0),G6562/H6562,"")</f>
        <v/>
      </c>
    </row>
    <row r="6563">
      <c r="A6563" s="4" t="inlineStr">
        <is>
          <t>350</t>
        </is>
      </c>
      <c r="B6563" s="4" t="n">
        <v>3</v>
      </c>
      <c r="C6563" s="4" t="inlineStr">
        <is>
          <t>mule deer</t>
        </is>
      </c>
      <c r="D6563" s="4" t="n">
        <v>2012</v>
      </c>
      <c r="E6563" s="13" t="inlineStr">
        <is>
          <t>General</t>
        </is>
      </c>
      <c r="F6563" s="5" t="n"/>
      <c r="G6563" s="5" t="n"/>
      <c r="H6563" s="5" t="n">
        <v>89</v>
      </c>
      <c r="I6563" s="5" t="n">
        <v>82</v>
      </c>
      <c r="J6563" s="5" t="n">
        <v>7</v>
      </c>
      <c r="K6563" s="10">
        <f>IF(F6563&gt;0,H6563/F6563,"")</f>
        <v/>
      </c>
      <c r="L6563" s="16">
        <f>IF(AND(G6563&gt;0,H6563&gt;0),G6563/H6563,"")</f>
        <v/>
      </c>
    </row>
    <row r="6564">
      <c r="A6564" s="4" t="inlineStr">
        <is>
          <t>350</t>
        </is>
      </c>
      <c r="B6564" s="4" t="n">
        <v>3</v>
      </c>
      <c r="C6564" s="4" t="inlineStr">
        <is>
          <t>mule deer</t>
        </is>
      </c>
      <c r="D6564" s="4" t="n">
        <v>2013</v>
      </c>
      <c r="E6564" s="13" t="inlineStr">
        <is>
          <t>General</t>
        </is>
      </c>
      <c r="F6564" s="5" t="n">
        <v>919</v>
      </c>
      <c r="G6564" s="5" t="n">
        <v>6900</v>
      </c>
      <c r="H6564" s="5" t="n">
        <v>101</v>
      </c>
      <c r="I6564" s="5" t="n">
        <v>101</v>
      </c>
      <c r="J6564" s="5" t="n">
        <v>0</v>
      </c>
      <c r="K6564" s="10">
        <f>IF(F6564&gt;0,H6564/F6564,"")</f>
        <v/>
      </c>
      <c r="L6564" s="16">
        <f>IF(AND(G6564&gt;0,H6564&gt;0),G6564/H6564,"")</f>
        <v/>
      </c>
    </row>
    <row r="6565">
      <c r="A6565" s="4" t="inlineStr">
        <is>
          <t>350</t>
        </is>
      </c>
      <c r="B6565" s="4" t="n">
        <v>3</v>
      </c>
      <c r="C6565" s="4" t="inlineStr">
        <is>
          <t>mule deer</t>
        </is>
      </c>
      <c r="D6565" s="4" t="n">
        <v>2014</v>
      </c>
      <c r="E6565" s="13" t="inlineStr">
        <is>
          <t>General</t>
        </is>
      </c>
      <c r="F6565" s="5" t="n"/>
      <c r="G6565" s="5" t="n"/>
      <c r="H6565" s="5" t="n">
        <v>125</v>
      </c>
      <c r="I6565" s="5" t="n">
        <v>122</v>
      </c>
      <c r="J6565" s="5" t="n">
        <v>3</v>
      </c>
      <c r="K6565" s="10">
        <f>IF(F6565&gt;0,H6565/F6565,"")</f>
        <v/>
      </c>
      <c r="L6565" s="16">
        <f>IF(AND(G6565&gt;0,H6565&gt;0),G6565/H6565,"")</f>
        <v/>
      </c>
    </row>
    <row r="6566">
      <c r="A6566" s="4" t="inlineStr">
        <is>
          <t>350</t>
        </is>
      </c>
      <c r="B6566" s="4" t="n">
        <v>3</v>
      </c>
      <c r="C6566" s="4" t="inlineStr">
        <is>
          <t>mule deer</t>
        </is>
      </c>
      <c r="D6566" s="4" t="n">
        <v>2015</v>
      </c>
      <c r="E6566" s="13" t="inlineStr">
        <is>
          <t>General</t>
        </is>
      </c>
      <c r="F6566" s="5" t="n"/>
      <c r="G6566" s="5" t="n"/>
      <c r="H6566" s="5" t="n">
        <v>86</v>
      </c>
      <c r="I6566" s="5" t="n">
        <v>86</v>
      </c>
      <c r="J6566" s="5" t="n">
        <v>0</v>
      </c>
      <c r="K6566" s="10">
        <f>IF(F6566&gt;0,H6566/F6566,"")</f>
        <v/>
      </c>
      <c r="L6566" s="16">
        <f>IF(AND(G6566&gt;0,H6566&gt;0),G6566/H6566,"")</f>
        <v/>
      </c>
    </row>
    <row r="6567">
      <c r="A6567" s="4" t="inlineStr">
        <is>
          <t>350</t>
        </is>
      </c>
      <c r="B6567" s="4" t="n">
        <v>3</v>
      </c>
      <c r="C6567" s="4" t="inlineStr">
        <is>
          <t>mule deer</t>
        </is>
      </c>
      <c r="D6567" s="4" t="n">
        <v>2016</v>
      </c>
      <c r="E6567" s="13" t="inlineStr">
        <is>
          <t>General</t>
        </is>
      </c>
      <c r="F6567" s="5" t="n"/>
      <c r="G6567" s="5" t="n"/>
      <c r="H6567" s="5" t="n">
        <v>140</v>
      </c>
      <c r="I6567" s="5" t="n">
        <v>124</v>
      </c>
      <c r="J6567" s="5" t="n">
        <v>15</v>
      </c>
      <c r="K6567" s="10">
        <f>IF(F6567&gt;0,H6567/F6567,"")</f>
        <v/>
      </c>
      <c r="L6567" s="16">
        <f>IF(AND(G6567&gt;0,H6567&gt;0),G6567/H6567,"")</f>
        <v/>
      </c>
    </row>
    <row r="6568">
      <c r="A6568" s="4" t="inlineStr">
        <is>
          <t>350</t>
        </is>
      </c>
      <c r="B6568" s="4" t="n">
        <v>3</v>
      </c>
      <c r="C6568" s="4" t="inlineStr">
        <is>
          <t>mule deer</t>
        </is>
      </c>
      <c r="D6568" s="4" t="n">
        <v>2017</v>
      </c>
      <c r="E6568" s="13" t="inlineStr">
        <is>
          <t>General</t>
        </is>
      </c>
      <c r="F6568" s="5" t="n">
        <v>932</v>
      </c>
      <c r="G6568" s="5" t="n">
        <v>5956</v>
      </c>
      <c r="H6568" s="5" t="n">
        <v>107</v>
      </c>
      <c r="I6568" s="5" t="n">
        <v>88</v>
      </c>
      <c r="J6568" s="5" t="n">
        <v>16</v>
      </c>
      <c r="K6568" s="10">
        <f>IF(F6568&gt;0,H6568/F6568,"")</f>
        <v/>
      </c>
      <c r="L6568" s="16">
        <f>IF(AND(G6568&gt;0,H6568&gt;0),G6568/H6568,"")</f>
        <v/>
      </c>
    </row>
    <row r="6569">
      <c r="A6569" s="4" t="inlineStr">
        <is>
          <t>350</t>
        </is>
      </c>
      <c r="B6569" s="4" t="n">
        <v>3</v>
      </c>
      <c r="C6569" s="4" t="inlineStr">
        <is>
          <t>mule deer</t>
        </is>
      </c>
      <c r="D6569" s="4" t="n">
        <v>2018</v>
      </c>
      <c r="E6569" s="13" t="inlineStr">
        <is>
          <t>General</t>
        </is>
      </c>
      <c r="F6569" s="5" t="n"/>
      <c r="G6569" s="5" t="n"/>
      <c r="H6569" s="5" t="n">
        <v>65</v>
      </c>
      <c r="I6569" s="5" t="n">
        <v>63</v>
      </c>
      <c r="J6569" s="5" t="n">
        <v>2</v>
      </c>
      <c r="K6569" s="10">
        <f>IF(F6569&gt;0,H6569/F6569,"")</f>
        <v/>
      </c>
      <c r="L6569" s="16">
        <f>IF(AND(G6569&gt;0,H6569&gt;0),G6569/H6569,"")</f>
        <v/>
      </c>
    </row>
    <row r="6570">
      <c r="A6570" s="4" t="inlineStr">
        <is>
          <t>350</t>
        </is>
      </c>
      <c r="B6570" s="4" t="n">
        <v>3</v>
      </c>
      <c r="C6570" s="4" t="inlineStr">
        <is>
          <t>mule deer</t>
        </is>
      </c>
      <c r="D6570" s="4" t="n">
        <v>2019</v>
      </c>
      <c r="E6570" s="13" t="inlineStr">
        <is>
          <t>General</t>
        </is>
      </c>
      <c r="F6570" s="5" t="n">
        <v>764</v>
      </c>
      <c r="G6570" s="5" t="n">
        <v>4762</v>
      </c>
      <c r="H6570" s="5" t="n">
        <v>68</v>
      </c>
      <c r="I6570" s="5" t="n">
        <v>52</v>
      </c>
      <c r="J6570" s="5" t="n">
        <v>16</v>
      </c>
      <c r="K6570" s="10">
        <f>IF(F6570&gt;0,H6570/F6570,"")</f>
        <v/>
      </c>
      <c r="L6570" s="16">
        <f>IF(AND(G6570&gt;0,H6570&gt;0),G6570/H6570,"")</f>
        <v/>
      </c>
    </row>
    <row r="6571">
      <c r="A6571" s="4" t="inlineStr">
        <is>
          <t>350</t>
        </is>
      </c>
      <c r="B6571" s="4" t="n">
        <v>3</v>
      </c>
      <c r="C6571" s="4" t="inlineStr">
        <is>
          <t>mule deer</t>
        </is>
      </c>
      <c r="D6571" s="4" t="n">
        <v>2020</v>
      </c>
      <c r="E6571" s="13" t="inlineStr">
        <is>
          <t>General</t>
        </is>
      </c>
      <c r="F6571" s="5" t="n"/>
      <c r="G6571" s="5" t="n"/>
      <c r="H6571" s="5" t="n">
        <v>75</v>
      </c>
      <c r="I6571" s="5" t="n">
        <v>66</v>
      </c>
      <c r="J6571" s="5" t="n">
        <v>9</v>
      </c>
      <c r="K6571" s="10">
        <f>IF(F6571&gt;0,H6571/F6571,"")</f>
        <v/>
      </c>
      <c r="L6571" s="16">
        <f>IF(AND(G6571&gt;0,H6571&gt;0),G6571/H6571,"")</f>
        <v/>
      </c>
    </row>
    <row r="6572">
      <c r="A6572" s="4" t="inlineStr">
        <is>
          <t>350</t>
        </is>
      </c>
      <c r="B6572" s="4" t="n">
        <v>3</v>
      </c>
      <c r="C6572" s="4" t="inlineStr">
        <is>
          <t>mule deer</t>
        </is>
      </c>
      <c r="D6572" s="4" t="n">
        <v>2021</v>
      </c>
      <c r="E6572" s="13" t="inlineStr">
        <is>
          <t>General</t>
        </is>
      </c>
      <c r="F6572" s="5" t="n">
        <v>586</v>
      </c>
      <c r="G6572" s="5" t="n">
        <v>4076</v>
      </c>
      <c r="H6572" s="5" t="n">
        <v>56</v>
      </c>
      <c r="I6572" s="5" t="n">
        <v>43</v>
      </c>
      <c r="J6572" s="5" t="n">
        <v>13</v>
      </c>
      <c r="K6572" s="10">
        <f>IF(F6572&gt;0,H6572/F6572,"")</f>
        <v/>
      </c>
      <c r="L6572" s="16">
        <f>IF(AND(G6572&gt;0,H6572&gt;0),G6572/H6572,"")</f>
        <v/>
      </c>
    </row>
    <row r="6573">
      <c r="A6573" s="4" t="inlineStr">
        <is>
          <t>350</t>
        </is>
      </c>
      <c r="B6573" s="4" t="n">
        <v>3</v>
      </c>
      <c r="C6573" s="4" t="inlineStr">
        <is>
          <t>mule deer</t>
        </is>
      </c>
      <c r="D6573" s="4" t="n">
        <v>2022</v>
      </c>
      <c r="E6573" s="13" t="inlineStr">
        <is>
          <t>General</t>
        </is>
      </c>
      <c r="F6573" s="5" t="n"/>
      <c r="G6573" s="5" t="n"/>
      <c r="H6573" s="5" t="n">
        <v>122</v>
      </c>
      <c r="I6573" s="5" t="n">
        <v>105</v>
      </c>
      <c r="J6573" s="5" t="n">
        <v>17</v>
      </c>
      <c r="K6573" s="10">
        <f>IF(F6573&gt;0,H6573/F6573,"")</f>
        <v/>
      </c>
      <c r="L6573" s="16">
        <f>IF(AND(G6573&gt;0,H6573&gt;0),G6573/H6573,"")</f>
        <v/>
      </c>
    </row>
    <row r="6574">
      <c r="A6574" s="4" t="inlineStr">
        <is>
          <t>350</t>
        </is>
      </c>
      <c r="B6574" s="4" t="n">
        <v>3</v>
      </c>
      <c r="C6574" s="4" t="inlineStr">
        <is>
          <t>mule deer</t>
        </is>
      </c>
      <c r="D6574" s="4" t="n">
        <v>2023</v>
      </c>
      <c r="E6574" s="13" t="inlineStr">
        <is>
          <t>General</t>
        </is>
      </c>
      <c r="F6574" s="5" t="n">
        <v>717</v>
      </c>
      <c r="G6574" s="5" t="n">
        <v>5179</v>
      </c>
      <c r="H6574" s="5" t="n">
        <v>111</v>
      </c>
      <c r="I6574" s="5" t="n">
        <v>101</v>
      </c>
      <c r="J6574" s="5" t="n">
        <v>10</v>
      </c>
      <c r="K6574" s="10">
        <f>IF(F6574&gt;0,H6574/F6574,"")</f>
        <v/>
      </c>
      <c r="L6574" s="16">
        <f>IF(AND(G6574&gt;0,H6574&gt;0),G6574/H6574,"")</f>
        <v/>
      </c>
    </row>
    <row r="6575">
      <c r="A6575" s="4" t="inlineStr">
        <is>
          <t>350</t>
        </is>
      </c>
      <c r="B6575" s="4" t="n">
        <v>3</v>
      </c>
      <c r="C6575" s="4" t="inlineStr">
        <is>
          <t>mule deer</t>
        </is>
      </c>
      <c r="D6575" s="4" t="n">
        <v>2024</v>
      </c>
      <c r="E6575" s="13" t="inlineStr">
        <is>
          <t>General</t>
        </is>
      </c>
      <c r="F6575" s="5" t="n"/>
      <c r="G6575" s="5" t="n"/>
      <c r="H6575" s="5" t="n">
        <v>125</v>
      </c>
      <c r="I6575" s="5" t="n">
        <v>109</v>
      </c>
      <c r="J6575" s="5" t="n">
        <v>16</v>
      </c>
      <c r="K6575" s="10">
        <f>IF(F6575&gt;0,H6575/F6575,"")</f>
        <v/>
      </c>
      <c r="L6575" s="16">
        <f>IF(AND(G6575&gt;0,H6575&gt;0),G6575/H6575,"")</f>
        <v/>
      </c>
    </row>
    <row r="6576">
      <c r="A6576" s="4" t="inlineStr">
        <is>
          <t>350</t>
        </is>
      </c>
      <c r="B6576" s="4" t="n">
        <v>3</v>
      </c>
      <c r="C6576" s="4" t="inlineStr">
        <is>
          <t>mule deer</t>
        </is>
      </c>
      <c r="D6576" s="4" t="n">
        <v>2025</v>
      </c>
      <c r="E6576" s="13" t="inlineStr">
        <is>
          <t>General</t>
        </is>
      </c>
      <c r="F6576" s="5" t="n">
        <v>768</v>
      </c>
      <c r="G6576" s="5" t="n">
        <v>5373</v>
      </c>
      <c r="H6576" s="5" t="n">
        <v>134</v>
      </c>
      <c r="I6576" s="5" t="n">
        <v>101</v>
      </c>
      <c r="J6576" s="5" t="n">
        <v>33</v>
      </c>
      <c r="K6576" s="10">
        <f>IF(F6576&gt;0,H6576/F6576,"")</f>
        <v/>
      </c>
      <c r="L6576" s="16">
        <f>IF(AND(G6576&gt;0,H6576&gt;0),G6576/H6576,"")</f>
        <v/>
      </c>
    </row>
    <row r="6577">
      <c r="A6577" s="4" t="inlineStr">
        <is>
          <t>360</t>
        </is>
      </c>
      <c r="B6577" s="4" t="n">
        <v>3</v>
      </c>
      <c r="C6577" s="4" t="inlineStr">
        <is>
          <t>mule deer</t>
        </is>
      </c>
      <c r="D6577" s="4" t="n">
        <v>2004</v>
      </c>
      <c r="E6577" s="13" t="inlineStr">
        <is>
          <t>General</t>
        </is>
      </c>
      <c r="F6577" s="5" t="n">
        <v>951</v>
      </c>
      <c r="G6577" s="5" t="n">
        <v>4776</v>
      </c>
      <c r="H6577" s="5" t="n">
        <v>218</v>
      </c>
      <c r="I6577" s="5" t="n">
        <v>190</v>
      </c>
      <c r="J6577" s="5" t="n">
        <v>22</v>
      </c>
      <c r="K6577" s="10">
        <f>IF(F6577&gt;0,H6577/F6577,"")</f>
        <v/>
      </c>
      <c r="L6577" s="16">
        <f>IF(AND(G6577&gt;0,H6577&gt;0),G6577/H6577,"")</f>
        <v/>
      </c>
    </row>
    <row r="6578">
      <c r="A6578" s="4" t="inlineStr">
        <is>
          <t>360</t>
        </is>
      </c>
      <c r="B6578" s="4" t="n">
        <v>3</v>
      </c>
      <c r="C6578" s="4" t="inlineStr">
        <is>
          <t>mule deer</t>
        </is>
      </c>
      <c r="D6578" s="4" t="n">
        <v>2005</v>
      </c>
      <c r="E6578" s="13" t="inlineStr">
        <is>
          <t>General</t>
        </is>
      </c>
      <c r="F6578" s="5" t="n">
        <v>1043</v>
      </c>
      <c r="G6578" s="5" t="n">
        <v>5510</v>
      </c>
      <c r="H6578" s="5" t="n">
        <v>174</v>
      </c>
      <c r="I6578" s="5" t="n">
        <v>143</v>
      </c>
      <c r="J6578" s="5" t="n">
        <v>31</v>
      </c>
      <c r="K6578" s="10">
        <f>IF(F6578&gt;0,H6578/F6578,"")</f>
        <v/>
      </c>
      <c r="L6578" s="16">
        <f>IF(AND(G6578&gt;0,H6578&gt;0),G6578/H6578,"")</f>
        <v/>
      </c>
    </row>
    <row r="6579">
      <c r="A6579" s="4" t="inlineStr">
        <is>
          <t>360</t>
        </is>
      </c>
      <c r="B6579" s="4" t="n">
        <v>3</v>
      </c>
      <c r="C6579" s="4" t="inlineStr">
        <is>
          <t>mule deer</t>
        </is>
      </c>
      <c r="D6579" s="4" t="n">
        <v>2006</v>
      </c>
      <c r="E6579" s="13" t="inlineStr">
        <is>
          <t>General</t>
        </is>
      </c>
      <c r="F6579" s="5" t="n">
        <v>1124</v>
      </c>
      <c r="G6579" s="5" t="n">
        <v>6069</v>
      </c>
      <c r="H6579" s="5" t="n">
        <v>225</v>
      </c>
      <c r="I6579" s="5" t="n">
        <v>199</v>
      </c>
      <c r="J6579" s="5" t="n">
        <v>27</v>
      </c>
      <c r="K6579" s="10">
        <f>IF(F6579&gt;0,H6579/F6579,"")</f>
        <v/>
      </c>
      <c r="L6579" s="16">
        <f>IF(AND(G6579&gt;0,H6579&gt;0),G6579/H6579,"")</f>
        <v/>
      </c>
    </row>
    <row r="6580">
      <c r="A6580" s="4" t="inlineStr">
        <is>
          <t>360</t>
        </is>
      </c>
      <c r="B6580" s="4" t="n">
        <v>3</v>
      </c>
      <c r="C6580" s="4" t="inlineStr">
        <is>
          <t>mule deer</t>
        </is>
      </c>
      <c r="D6580" s="4" t="n">
        <v>2007</v>
      </c>
      <c r="E6580" s="13" t="inlineStr">
        <is>
          <t>General</t>
        </is>
      </c>
      <c r="F6580" s="5" t="n">
        <v>1190</v>
      </c>
      <c r="G6580" s="5" t="n">
        <v>6368</v>
      </c>
      <c r="H6580" s="5" t="n">
        <v>181</v>
      </c>
      <c r="I6580" s="5" t="n">
        <v>148</v>
      </c>
      <c r="J6580" s="5" t="n">
        <v>34</v>
      </c>
      <c r="K6580" s="10">
        <f>IF(F6580&gt;0,H6580/F6580,"")</f>
        <v/>
      </c>
      <c r="L6580" s="16">
        <f>IF(AND(G6580&gt;0,H6580&gt;0),G6580/H6580,"")</f>
        <v/>
      </c>
    </row>
    <row r="6581">
      <c r="A6581" s="4" t="inlineStr">
        <is>
          <t>360</t>
        </is>
      </c>
      <c r="B6581" s="4" t="n">
        <v>3</v>
      </c>
      <c r="C6581" s="4" t="inlineStr">
        <is>
          <t>mule deer</t>
        </is>
      </c>
      <c r="D6581" s="4" t="n">
        <v>2008</v>
      </c>
      <c r="E6581" s="13" t="inlineStr">
        <is>
          <t>General</t>
        </is>
      </c>
      <c r="F6581" s="5" t="n">
        <v>1104</v>
      </c>
      <c r="G6581" s="5" t="n">
        <v>6689</v>
      </c>
      <c r="H6581" s="5" t="n">
        <v>172</v>
      </c>
      <c r="I6581" s="5" t="n">
        <v>135</v>
      </c>
      <c r="J6581" s="5" t="n">
        <v>35</v>
      </c>
      <c r="K6581" s="10">
        <f>IF(F6581&gt;0,H6581/F6581,"")</f>
        <v/>
      </c>
      <c r="L6581" s="16">
        <f>IF(AND(G6581&gt;0,H6581&gt;0),G6581/H6581,"")</f>
        <v/>
      </c>
    </row>
    <row r="6582">
      <c r="A6582" s="4" t="inlineStr">
        <is>
          <t>360</t>
        </is>
      </c>
      <c r="B6582" s="4" t="n">
        <v>3</v>
      </c>
      <c r="C6582" s="4" t="inlineStr">
        <is>
          <t>mule deer</t>
        </is>
      </c>
      <c r="D6582" s="4" t="n">
        <v>2009</v>
      </c>
      <c r="E6582" s="13" t="inlineStr">
        <is>
          <t>General</t>
        </is>
      </c>
      <c r="F6582" s="5" t="n">
        <v>1287</v>
      </c>
      <c r="G6582" s="5" t="n">
        <v>7129</v>
      </c>
      <c r="H6582" s="5" t="n">
        <v>142</v>
      </c>
      <c r="I6582" s="5" t="n">
        <v>119</v>
      </c>
      <c r="J6582" s="5" t="n">
        <v>22</v>
      </c>
      <c r="K6582" s="10">
        <f>IF(F6582&gt;0,H6582/F6582,"")</f>
        <v/>
      </c>
      <c r="L6582" s="16">
        <f>IF(AND(G6582&gt;0,H6582&gt;0),G6582/H6582,"")</f>
        <v/>
      </c>
    </row>
    <row r="6583">
      <c r="A6583" s="4" t="inlineStr">
        <is>
          <t>360</t>
        </is>
      </c>
      <c r="B6583" s="4" t="n">
        <v>3</v>
      </c>
      <c r="C6583" s="4" t="inlineStr">
        <is>
          <t>mule deer</t>
        </is>
      </c>
      <c r="D6583" s="4" t="n">
        <v>2010</v>
      </c>
      <c r="E6583" s="13" t="inlineStr">
        <is>
          <t>General</t>
        </is>
      </c>
      <c r="F6583" s="5" t="n">
        <v>1362</v>
      </c>
      <c r="G6583" s="5" t="n">
        <v>8094</v>
      </c>
      <c r="H6583" s="5" t="n">
        <v>157</v>
      </c>
      <c r="I6583" s="5" t="n">
        <v>143</v>
      </c>
      <c r="J6583" s="5" t="n">
        <v>14</v>
      </c>
      <c r="K6583" s="10">
        <f>IF(F6583&gt;0,H6583/F6583,"")</f>
        <v/>
      </c>
      <c r="L6583" s="16">
        <f>IF(AND(G6583&gt;0,H6583&gt;0),G6583/H6583,"")</f>
        <v/>
      </c>
    </row>
    <row r="6584">
      <c r="A6584" s="4" t="inlineStr">
        <is>
          <t>360</t>
        </is>
      </c>
      <c r="B6584" s="4" t="n">
        <v>3</v>
      </c>
      <c r="C6584" s="4" t="inlineStr">
        <is>
          <t>mule deer</t>
        </is>
      </c>
      <c r="D6584" s="4" t="n">
        <v>2011</v>
      </c>
      <c r="E6584" s="13" t="inlineStr">
        <is>
          <t>General</t>
        </is>
      </c>
      <c r="F6584" s="5" t="n">
        <v>1142</v>
      </c>
      <c r="G6584" s="5" t="n">
        <v>6722</v>
      </c>
      <c r="H6584" s="5" t="n">
        <v>78</v>
      </c>
      <c r="I6584" s="5" t="n">
        <v>78</v>
      </c>
      <c r="J6584" s="5" t="n">
        <v>0</v>
      </c>
      <c r="K6584" s="10">
        <f>IF(F6584&gt;0,H6584/F6584,"")</f>
        <v/>
      </c>
      <c r="L6584" s="16">
        <f>IF(AND(G6584&gt;0,H6584&gt;0),G6584/H6584,"")</f>
        <v/>
      </c>
    </row>
    <row r="6585">
      <c r="A6585" s="4" t="inlineStr">
        <is>
          <t>360</t>
        </is>
      </c>
      <c r="B6585" s="4" t="n">
        <v>3</v>
      </c>
      <c r="C6585" s="4" t="inlineStr">
        <is>
          <t>mule deer</t>
        </is>
      </c>
      <c r="D6585" s="4" t="n">
        <v>2012</v>
      </c>
      <c r="E6585" s="13" t="inlineStr">
        <is>
          <t>General</t>
        </is>
      </c>
      <c r="F6585" s="5" t="n"/>
      <c r="G6585" s="5" t="n"/>
      <c r="H6585" s="5" t="n">
        <v>60</v>
      </c>
      <c r="I6585" s="5" t="n">
        <v>58</v>
      </c>
      <c r="J6585" s="5" t="n">
        <v>2</v>
      </c>
      <c r="K6585" s="10">
        <f>IF(F6585&gt;0,H6585/F6585,"")</f>
        <v/>
      </c>
      <c r="L6585" s="16">
        <f>IF(AND(G6585&gt;0,H6585&gt;0),G6585/H6585,"")</f>
        <v/>
      </c>
    </row>
    <row r="6586">
      <c r="A6586" s="4" t="inlineStr">
        <is>
          <t>360</t>
        </is>
      </c>
      <c r="B6586" s="4" t="n">
        <v>3</v>
      </c>
      <c r="C6586" s="4" t="inlineStr">
        <is>
          <t>mule deer</t>
        </is>
      </c>
      <c r="D6586" s="4" t="n">
        <v>2013</v>
      </c>
      <c r="E6586" s="13" t="inlineStr">
        <is>
          <t>General</t>
        </is>
      </c>
      <c r="F6586" s="5" t="n">
        <v>1220</v>
      </c>
      <c r="G6586" s="5" t="n">
        <v>6419</v>
      </c>
      <c r="H6586" s="5" t="n">
        <v>95</v>
      </c>
      <c r="I6586" s="5" t="n">
        <v>92</v>
      </c>
      <c r="J6586" s="5" t="n">
        <v>3</v>
      </c>
      <c r="K6586" s="10">
        <f>IF(F6586&gt;0,H6586/F6586,"")</f>
        <v/>
      </c>
      <c r="L6586" s="16">
        <f>IF(AND(G6586&gt;0,H6586&gt;0),G6586/H6586,"")</f>
        <v/>
      </c>
    </row>
    <row r="6587">
      <c r="A6587" s="4" t="inlineStr">
        <is>
          <t>360</t>
        </is>
      </c>
      <c r="B6587" s="4" t="n">
        <v>3</v>
      </c>
      <c r="C6587" s="4" t="inlineStr">
        <is>
          <t>mule deer</t>
        </is>
      </c>
      <c r="D6587" s="4" t="n">
        <v>2014</v>
      </c>
      <c r="E6587" s="13" t="inlineStr">
        <is>
          <t>General</t>
        </is>
      </c>
      <c r="F6587" s="5" t="n"/>
      <c r="G6587" s="5" t="n"/>
      <c r="H6587" s="5" t="n">
        <v>150</v>
      </c>
      <c r="I6587" s="5" t="n">
        <v>137</v>
      </c>
      <c r="J6587" s="5" t="n">
        <v>13</v>
      </c>
      <c r="K6587" s="10">
        <f>IF(F6587&gt;0,H6587/F6587,"")</f>
        <v/>
      </c>
      <c r="L6587" s="16">
        <f>IF(AND(G6587&gt;0,H6587&gt;0),G6587/H6587,"")</f>
        <v/>
      </c>
    </row>
    <row r="6588">
      <c r="A6588" s="4" t="inlineStr">
        <is>
          <t>360</t>
        </is>
      </c>
      <c r="B6588" s="4" t="n">
        <v>3</v>
      </c>
      <c r="C6588" s="4" t="inlineStr">
        <is>
          <t>mule deer</t>
        </is>
      </c>
      <c r="D6588" s="4" t="n">
        <v>2015</v>
      </c>
      <c r="E6588" s="13" t="inlineStr">
        <is>
          <t>General</t>
        </is>
      </c>
      <c r="F6588" s="5" t="n"/>
      <c r="G6588" s="5" t="n"/>
      <c r="H6588" s="5" t="n">
        <v>196</v>
      </c>
      <c r="I6588" s="5" t="n">
        <v>187</v>
      </c>
      <c r="J6588" s="5" t="n">
        <v>6</v>
      </c>
      <c r="K6588" s="10">
        <f>IF(F6588&gt;0,H6588/F6588,"")</f>
        <v/>
      </c>
      <c r="L6588" s="16">
        <f>IF(AND(G6588&gt;0,H6588&gt;0),G6588/H6588,"")</f>
        <v/>
      </c>
    </row>
    <row r="6589">
      <c r="A6589" s="4" t="inlineStr">
        <is>
          <t>360</t>
        </is>
      </c>
      <c r="B6589" s="4" t="n">
        <v>3</v>
      </c>
      <c r="C6589" s="4" t="inlineStr">
        <is>
          <t>mule deer</t>
        </is>
      </c>
      <c r="D6589" s="4" t="n">
        <v>2016</v>
      </c>
      <c r="E6589" s="13" t="inlineStr">
        <is>
          <t>General</t>
        </is>
      </c>
      <c r="F6589" s="5" t="n"/>
      <c r="G6589" s="5" t="n"/>
      <c r="H6589" s="5" t="n">
        <v>171</v>
      </c>
      <c r="I6589" s="5" t="n">
        <v>158</v>
      </c>
      <c r="J6589" s="5" t="n">
        <v>12</v>
      </c>
      <c r="K6589" s="10">
        <f>IF(F6589&gt;0,H6589/F6589,"")</f>
        <v/>
      </c>
      <c r="L6589" s="16">
        <f>IF(AND(G6589&gt;0,H6589&gt;0),G6589/H6589,"")</f>
        <v/>
      </c>
    </row>
    <row r="6590">
      <c r="A6590" s="4" t="inlineStr">
        <is>
          <t>360</t>
        </is>
      </c>
      <c r="B6590" s="4" t="n">
        <v>3</v>
      </c>
      <c r="C6590" s="4" t="inlineStr">
        <is>
          <t>mule deer</t>
        </is>
      </c>
      <c r="D6590" s="4" t="n">
        <v>2017</v>
      </c>
      <c r="E6590" s="13" t="inlineStr">
        <is>
          <t>General</t>
        </is>
      </c>
      <c r="F6590" s="5" t="n">
        <v>1356</v>
      </c>
      <c r="G6590" s="5" t="n">
        <v>8452</v>
      </c>
      <c r="H6590" s="5" t="n">
        <v>214</v>
      </c>
      <c r="I6590" s="5" t="n">
        <v>202</v>
      </c>
      <c r="J6590" s="5" t="n">
        <v>12</v>
      </c>
      <c r="K6590" s="10">
        <f>IF(F6590&gt;0,H6590/F6590,"")</f>
        <v/>
      </c>
      <c r="L6590" s="16">
        <f>IF(AND(G6590&gt;0,H6590&gt;0),G6590/H6590,"")</f>
        <v/>
      </c>
    </row>
    <row r="6591">
      <c r="A6591" s="4" t="inlineStr">
        <is>
          <t>360</t>
        </is>
      </c>
      <c r="B6591" s="4" t="n">
        <v>3</v>
      </c>
      <c r="C6591" s="4" t="inlineStr">
        <is>
          <t>mule deer</t>
        </is>
      </c>
      <c r="D6591" s="4" t="n">
        <v>2018</v>
      </c>
      <c r="E6591" s="13" t="inlineStr">
        <is>
          <t>General</t>
        </is>
      </c>
      <c r="F6591" s="5" t="n"/>
      <c r="G6591" s="5" t="n"/>
      <c r="H6591" s="5" t="n">
        <v>202</v>
      </c>
      <c r="I6591" s="5" t="n">
        <v>181</v>
      </c>
      <c r="J6591" s="5" t="n">
        <v>22</v>
      </c>
      <c r="K6591" s="10">
        <f>IF(F6591&gt;0,H6591/F6591,"")</f>
        <v/>
      </c>
      <c r="L6591" s="16">
        <f>IF(AND(G6591&gt;0,H6591&gt;0),G6591/H6591,"")</f>
        <v/>
      </c>
    </row>
    <row r="6592">
      <c r="A6592" s="4" t="inlineStr">
        <is>
          <t>360</t>
        </is>
      </c>
      <c r="B6592" s="4" t="n">
        <v>3</v>
      </c>
      <c r="C6592" s="4" t="inlineStr">
        <is>
          <t>mule deer</t>
        </is>
      </c>
      <c r="D6592" s="4" t="n">
        <v>2019</v>
      </c>
      <c r="E6592" s="13" t="inlineStr">
        <is>
          <t>General</t>
        </is>
      </c>
      <c r="F6592" s="5" t="n">
        <v>1294</v>
      </c>
      <c r="G6592" s="5" t="n">
        <v>8778</v>
      </c>
      <c r="H6592" s="5" t="n">
        <v>182</v>
      </c>
      <c r="I6592" s="5" t="n">
        <v>156</v>
      </c>
      <c r="J6592" s="5" t="n">
        <v>26</v>
      </c>
      <c r="K6592" s="10">
        <f>IF(F6592&gt;0,H6592/F6592,"")</f>
        <v/>
      </c>
      <c r="L6592" s="16">
        <f>IF(AND(G6592&gt;0,H6592&gt;0),G6592/H6592,"")</f>
        <v/>
      </c>
    </row>
    <row r="6593">
      <c r="A6593" s="4" t="inlineStr">
        <is>
          <t>360</t>
        </is>
      </c>
      <c r="B6593" s="4" t="n">
        <v>3</v>
      </c>
      <c r="C6593" s="4" t="inlineStr">
        <is>
          <t>mule deer</t>
        </is>
      </c>
      <c r="D6593" s="4" t="n">
        <v>2020</v>
      </c>
      <c r="E6593" s="13" t="inlineStr">
        <is>
          <t>General</t>
        </is>
      </c>
      <c r="F6593" s="5" t="n"/>
      <c r="G6593" s="5" t="n"/>
      <c r="H6593" s="5" t="n">
        <v>146</v>
      </c>
      <c r="I6593" s="5" t="n">
        <v>139</v>
      </c>
      <c r="J6593" s="5" t="n">
        <v>7</v>
      </c>
      <c r="K6593" s="10">
        <f>IF(F6593&gt;0,H6593/F6593,"")</f>
        <v/>
      </c>
      <c r="L6593" s="16">
        <f>IF(AND(G6593&gt;0,H6593&gt;0),G6593/H6593,"")</f>
        <v/>
      </c>
    </row>
    <row r="6594">
      <c r="A6594" s="4" t="inlineStr">
        <is>
          <t>360</t>
        </is>
      </c>
      <c r="B6594" s="4" t="n">
        <v>3</v>
      </c>
      <c r="C6594" s="4" t="inlineStr">
        <is>
          <t>mule deer</t>
        </is>
      </c>
      <c r="D6594" s="4" t="n">
        <v>2021</v>
      </c>
      <c r="E6594" s="13" t="inlineStr">
        <is>
          <t>General</t>
        </is>
      </c>
      <c r="F6594" s="5" t="n">
        <v>1139</v>
      </c>
      <c r="G6594" s="5" t="n">
        <v>7573</v>
      </c>
      <c r="H6594" s="5" t="n">
        <v>141</v>
      </c>
      <c r="I6594" s="5" t="n">
        <v>134</v>
      </c>
      <c r="J6594" s="5" t="n">
        <v>7</v>
      </c>
      <c r="K6594" s="10">
        <f>IF(F6594&gt;0,H6594/F6594,"")</f>
        <v/>
      </c>
      <c r="L6594" s="16">
        <f>IF(AND(G6594&gt;0,H6594&gt;0),G6594/H6594,"")</f>
        <v/>
      </c>
    </row>
    <row r="6595">
      <c r="A6595" s="4" t="inlineStr">
        <is>
          <t>360</t>
        </is>
      </c>
      <c r="B6595" s="4" t="n">
        <v>3</v>
      </c>
      <c r="C6595" s="4" t="inlineStr">
        <is>
          <t>mule deer</t>
        </is>
      </c>
      <c r="D6595" s="4" t="n">
        <v>2022</v>
      </c>
      <c r="E6595" s="13" t="inlineStr">
        <is>
          <t>General</t>
        </is>
      </c>
      <c r="F6595" s="5" t="n"/>
      <c r="G6595" s="5" t="n"/>
      <c r="H6595" s="5" t="n">
        <v>198</v>
      </c>
      <c r="I6595" s="5" t="n">
        <v>184</v>
      </c>
      <c r="J6595" s="5" t="n">
        <v>14</v>
      </c>
      <c r="K6595" s="10">
        <f>IF(F6595&gt;0,H6595/F6595,"")</f>
        <v/>
      </c>
      <c r="L6595" s="16">
        <f>IF(AND(G6595&gt;0,H6595&gt;0),G6595/H6595,"")</f>
        <v/>
      </c>
    </row>
    <row r="6596">
      <c r="A6596" s="4" t="inlineStr">
        <is>
          <t>360</t>
        </is>
      </c>
      <c r="B6596" s="4" t="n">
        <v>3</v>
      </c>
      <c r="C6596" s="4" t="inlineStr">
        <is>
          <t>mule deer</t>
        </is>
      </c>
      <c r="D6596" s="4" t="n">
        <v>2023</v>
      </c>
      <c r="E6596" s="13" t="inlineStr">
        <is>
          <t>General</t>
        </is>
      </c>
      <c r="F6596" s="5" t="n">
        <v>1484</v>
      </c>
      <c r="G6596" s="5" t="n">
        <v>10206</v>
      </c>
      <c r="H6596" s="5" t="n">
        <v>182</v>
      </c>
      <c r="I6596" s="5" t="n">
        <v>163</v>
      </c>
      <c r="J6596" s="5" t="n">
        <v>16</v>
      </c>
      <c r="K6596" s="10">
        <f>IF(F6596&gt;0,H6596/F6596,"")</f>
        <v/>
      </c>
      <c r="L6596" s="16">
        <f>IF(AND(G6596&gt;0,H6596&gt;0),G6596/H6596,"")</f>
        <v/>
      </c>
    </row>
    <row r="6597">
      <c r="A6597" s="4" t="inlineStr">
        <is>
          <t>360</t>
        </is>
      </c>
      <c r="B6597" s="4" t="n">
        <v>3</v>
      </c>
      <c r="C6597" s="4" t="inlineStr">
        <is>
          <t>mule deer</t>
        </is>
      </c>
      <c r="D6597" s="4" t="n">
        <v>2024</v>
      </c>
      <c r="E6597" s="13" t="inlineStr">
        <is>
          <t>General</t>
        </is>
      </c>
      <c r="F6597" s="5" t="n"/>
      <c r="G6597" s="5" t="n"/>
      <c r="H6597" s="5" t="n">
        <v>221</v>
      </c>
      <c r="I6597" s="5" t="n">
        <v>208</v>
      </c>
      <c r="J6597" s="5" t="n">
        <v>9</v>
      </c>
      <c r="K6597" s="10">
        <f>IF(F6597&gt;0,H6597/F6597,"")</f>
        <v/>
      </c>
      <c r="L6597" s="16">
        <f>IF(AND(G6597&gt;0,H6597&gt;0),G6597/H6597,"")</f>
        <v/>
      </c>
    </row>
    <row r="6598">
      <c r="A6598" s="4" t="inlineStr">
        <is>
          <t>360</t>
        </is>
      </c>
      <c r="B6598" s="4" t="n">
        <v>3</v>
      </c>
      <c r="C6598" s="4" t="inlineStr">
        <is>
          <t>mule deer</t>
        </is>
      </c>
      <c r="D6598" s="4" t="n">
        <v>2025</v>
      </c>
      <c r="E6598" s="13" t="inlineStr">
        <is>
          <t>General</t>
        </is>
      </c>
      <c r="F6598" s="5" t="n">
        <v>1637</v>
      </c>
      <c r="G6598" s="5" t="n">
        <v>10661</v>
      </c>
      <c r="H6598" s="5" t="n">
        <v>221</v>
      </c>
      <c r="I6598" s="5" t="n">
        <v>202</v>
      </c>
      <c r="J6598" s="5" t="n">
        <v>20</v>
      </c>
      <c r="K6598" s="10">
        <f>IF(F6598&gt;0,H6598/F6598,"")</f>
        <v/>
      </c>
      <c r="L6598" s="16">
        <f>IF(AND(G6598&gt;0,H6598&gt;0),G6598/H6598,"")</f>
        <v/>
      </c>
    </row>
    <row r="6599">
      <c r="A6599" s="4" t="inlineStr">
        <is>
          <t>361</t>
        </is>
      </c>
      <c r="B6599" s="4" t="n">
        <v>3</v>
      </c>
      <c r="C6599" s="4" t="inlineStr">
        <is>
          <t>mule deer</t>
        </is>
      </c>
      <c r="D6599" s="4" t="n">
        <v>2004</v>
      </c>
      <c r="E6599" s="13" t="inlineStr">
        <is>
          <t>General</t>
        </is>
      </c>
      <c r="F6599" s="5" t="n">
        <v>139</v>
      </c>
      <c r="G6599" s="5" t="n">
        <v>779</v>
      </c>
      <c r="H6599" s="5" t="n">
        <v>23</v>
      </c>
      <c r="I6599" s="5" t="n">
        <v>21</v>
      </c>
      <c r="J6599" s="5" t="n">
        <v>2</v>
      </c>
      <c r="K6599" s="10">
        <f>IF(F6599&gt;0,H6599/F6599,"")</f>
        <v/>
      </c>
      <c r="L6599" s="16">
        <f>IF(AND(G6599&gt;0,H6599&gt;0),G6599/H6599,"")</f>
        <v/>
      </c>
    </row>
    <row r="6600">
      <c r="A6600" s="4" t="inlineStr">
        <is>
          <t>361</t>
        </is>
      </c>
      <c r="B6600" s="4" t="n">
        <v>3</v>
      </c>
      <c r="C6600" s="4" t="inlineStr">
        <is>
          <t>mule deer</t>
        </is>
      </c>
      <c r="D6600" s="4" t="n">
        <v>2005</v>
      </c>
      <c r="E6600" s="13" t="inlineStr">
        <is>
          <t>General</t>
        </is>
      </c>
      <c r="F6600" s="5" t="n">
        <v>158</v>
      </c>
      <c r="G6600" s="5" t="n">
        <v>1039</v>
      </c>
      <c r="H6600" s="5" t="n">
        <v>12</v>
      </c>
      <c r="I6600" s="5" t="n">
        <v>11</v>
      </c>
      <c r="J6600" s="5" t="n">
        <v>2</v>
      </c>
      <c r="K6600" s="10">
        <f>IF(F6600&gt;0,H6600/F6600,"")</f>
        <v/>
      </c>
      <c r="L6600" s="16">
        <f>IF(AND(G6600&gt;0,H6600&gt;0),G6600/H6600,"")</f>
        <v/>
      </c>
    </row>
    <row r="6601">
      <c r="A6601" s="4" t="inlineStr">
        <is>
          <t>361</t>
        </is>
      </c>
      <c r="B6601" s="4" t="n">
        <v>3</v>
      </c>
      <c r="C6601" s="4" t="inlineStr">
        <is>
          <t>mule deer</t>
        </is>
      </c>
      <c r="D6601" s="4" t="n">
        <v>2006</v>
      </c>
      <c r="E6601" s="13" t="inlineStr">
        <is>
          <t>General</t>
        </is>
      </c>
      <c r="F6601" s="5" t="n">
        <v>192</v>
      </c>
      <c r="G6601" s="5" t="n">
        <v>1099</v>
      </c>
      <c r="H6601" s="5" t="n">
        <v>19</v>
      </c>
      <c r="I6601" s="5" t="n">
        <v>19</v>
      </c>
      <c r="J6601" s="5" t="n">
        <v>0</v>
      </c>
      <c r="K6601" s="10">
        <f>IF(F6601&gt;0,H6601/F6601,"")</f>
        <v/>
      </c>
      <c r="L6601" s="16">
        <f>IF(AND(G6601&gt;0,H6601&gt;0),G6601/H6601,"")</f>
        <v/>
      </c>
    </row>
    <row r="6602">
      <c r="A6602" s="4" t="inlineStr">
        <is>
          <t>361</t>
        </is>
      </c>
      <c r="B6602" s="4" t="n">
        <v>3</v>
      </c>
      <c r="C6602" s="4" t="inlineStr">
        <is>
          <t>mule deer</t>
        </is>
      </c>
      <c r="D6602" s="4" t="n">
        <v>2007</v>
      </c>
      <c r="E6602" s="13" t="inlineStr">
        <is>
          <t>General</t>
        </is>
      </c>
      <c r="F6602" s="5" t="n">
        <v>192</v>
      </c>
      <c r="G6602" s="5" t="n">
        <v>1426</v>
      </c>
      <c r="H6602" s="5" t="n">
        <v>6</v>
      </c>
      <c r="I6602" s="5" t="n">
        <v>0</v>
      </c>
      <c r="J6602" s="5" t="n">
        <v>6</v>
      </c>
      <c r="K6602" s="10">
        <f>IF(F6602&gt;0,H6602/F6602,"")</f>
        <v/>
      </c>
      <c r="L6602" s="16">
        <f>IF(AND(G6602&gt;0,H6602&gt;0),G6602/H6602,"")</f>
        <v/>
      </c>
    </row>
    <row r="6603">
      <c r="A6603" s="4" t="inlineStr">
        <is>
          <t>361</t>
        </is>
      </c>
      <c r="B6603" s="4" t="n">
        <v>3</v>
      </c>
      <c r="C6603" s="4" t="inlineStr">
        <is>
          <t>mule deer</t>
        </is>
      </c>
      <c r="D6603" s="4" t="n">
        <v>2008</v>
      </c>
      <c r="E6603" s="13" t="inlineStr">
        <is>
          <t>General</t>
        </is>
      </c>
      <c r="F6603" s="5" t="n">
        <v>162</v>
      </c>
      <c r="G6603" s="5" t="n">
        <v>1223</v>
      </c>
      <c r="H6603" s="5" t="n">
        <v>16</v>
      </c>
      <c r="I6603" s="5" t="n">
        <v>15</v>
      </c>
      <c r="J6603" s="5" t="n">
        <v>2</v>
      </c>
      <c r="K6603" s="10">
        <f>IF(F6603&gt;0,H6603/F6603,"")</f>
        <v/>
      </c>
      <c r="L6603" s="16">
        <f>IF(AND(G6603&gt;0,H6603&gt;0),G6603/H6603,"")</f>
        <v/>
      </c>
    </row>
    <row r="6604">
      <c r="A6604" s="4" t="inlineStr">
        <is>
          <t>361</t>
        </is>
      </c>
      <c r="B6604" s="4" t="n">
        <v>3</v>
      </c>
      <c r="C6604" s="4" t="inlineStr">
        <is>
          <t>mule deer</t>
        </is>
      </c>
      <c r="D6604" s="4" t="n">
        <v>2009</v>
      </c>
      <c r="E6604" s="13" t="inlineStr">
        <is>
          <t>General</t>
        </is>
      </c>
      <c r="F6604" s="5" t="n">
        <v>183</v>
      </c>
      <c r="G6604" s="5" t="n">
        <v>1509</v>
      </c>
      <c r="H6604" s="5" t="n">
        <v>22</v>
      </c>
      <c r="I6604" s="5" t="n">
        <v>9</v>
      </c>
      <c r="J6604" s="5" t="n">
        <v>13</v>
      </c>
      <c r="K6604" s="10">
        <f>IF(F6604&gt;0,H6604/F6604,"")</f>
        <v/>
      </c>
      <c r="L6604" s="16">
        <f>IF(AND(G6604&gt;0,H6604&gt;0),G6604/H6604,"")</f>
        <v/>
      </c>
    </row>
    <row r="6605">
      <c r="A6605" s="4" t="inlineStr">
        <is>
          <t>361</t>
        </is>
      </c>
      <c r="B6605" s="4" t="n">
        <v>3</v>
      </c>
      <c r="C6605" s="4" t="inlineStr">
        <is>
          <t>mule deer</t>
        </is>
      </c>
      <c r="D6605" s="4" t="n">
        <v>2010</v>
      </c>
      <c r="E6605" s="13" t="inlineStr">
        <is>
          <t>General</t>
        </is>
      </c>
      <c r="F6605" s="5" t="n">
        <v>172</v>
      </c>
      <c r="G6605" s="5" t="n">
        <v>1310</v>
      </c>
      <c r="H6605" s="5" t="n">
        <v>6</v>
      </c>
      <c r="I6605" s="5" t="n">
        <v>3</v>
      </c>
      <c r="J6605" s="5" t="n">
        <v>3</v>
      </c>
      <c r="K6605" s="10">
        <f>IF(F6605&gt;0,H6605/F6605,"")</f>
        <v/>
      </c>
      <c r="L6605" s="16">
        <f>IF(AND(G6605&gt;0,H6605&gt;0),G6605/H6605,"")</f>
        <v/>
      </c>
    </row>
    <row r="6606">
      <c r="A6606" s="4" t="inlineStr">
        <is>
          <t>361</t>
        </is>
      </c>
      <c r="B6606" s="4" t="n">
        <v>3</v>
      </c>
      <c r="C6606" s="4" t="inlineStr">
        <is>
          <t>mule deer</t>
        </is>
      </c>
      <c r="D6606" s="4" t="n">
        <v>2011</v>
      </c>
      <c r="E6606" s="13" t="inlineStr">
        <is>
          <t>General</t>
        </is>
      </c>
      <c r="F6606" s="5" t="n">
        <v>187</v>
      </c>
      <c r="G6606" s="5" t="n">
        <v>1734</v>
      </c>
      <c r="H6606" s="5" t="n">
        <v>17</v>
      </c>
      <c r="I6606" s="5" t="n">
        <v>14</v>
      </c>
      <c r="J6606" s="5" t="n">
        <v>3</v>
      </c>
      <c r="K6606" s="10">
        <f>IF(F6606&gt;0,H6606/F6606,"")</f>
        <v/>
      </c>
      <c r="L6606" s="16">
        <f>IF(AND(G6606&gt;0,H6606&gt;0),G6606/H6606,"")</f>
        <v/>
      </c>
    </row>
    <row r="6607">
      <c r="A6607" s="4" t="inlineStr">
        <is>
          <t>361</t>
        </is>
      </c>
      <c r="B6607" s="4" t="n">
        <v>3</v>
      </c>
      <c r="C6607" s="4" t="inlineStr">
        <is>
          <t>mule deer</t>
        </is>
      </c>
      <c r="D6607" s="4" t="n">
        <v>2012</v>
      </c>
      <c r="E6607" s="13" t="inlineStr">
        <is>
          <t>General</t>
        </is>
      </c>
      <c r="F6607" s="5" t="n"/>
      <c r="G6607" s="5" t="n"/>
      <c r="H6607" s="5" t="n">
        <v>19</v>
      </c>
      <c r="I6607" s="5" t="n">
        <v>19</v>
      </c>
      <c r="J6607" s="5" t="n">
        <v>0</v>
      </c>
      <c r="K6607" s="10">
        <f>IF(F6607&gt;0,H6607/F6607,"")</f>
        <v/>
      </c>
      <c r="L6607" s="16">
        <f>IF(AND(G6607&gt;0,H6607&gt;0),G6607/H6607,"")</f>
        <v/>
      </c>
    </row>
    <row r="6608">
      <c r="A6608" s="4" t="inlineStr">
        <is>
          <t>361</t>
        </is>
      </c>
      <c r="B6608" s="4" t="n">
        <v>3</v>
      </c>
      <c r="C6608" s="4" t="inlineStr">
        <is>
          <t>mule deer</t>
        </is>
      </c>
      <c r="D6608" s="4" t="n">
        <v>2013</v>
      </c>
      <c r="E6608" s="13" t="inlineStr">
        <is>
          <t>General</t>
        </is>
      </c>
      <c r="F6608" s="5" t="n">
        <v>202</v>
      </c>
      <c r="G6608" s="5" t="n">
        <v>1542</v>
      </c>
      <c r="H6608" s="5" t="n">
        <v>9</v>
      </c>
      <c r="I6608" s="5" t="n">
        <v>9</v>
      </c>
      <c r="J6608" s="5" t="n">
        <v>0</v>
      </c>
      <c r="K6608" s="10">
        <f>IF(F6608&gt;0,H6608/F6608,"")</f>
        <v/>
      </c>
      <c r="L6608" s="16">
        <f>IF(AND(G6608&gt;0,H6608&gt;0),G6608/H6608,"")</f>
        <v/>
      </c>
    </row>
    <row r="6609">
      <c r="A6609" s="4" t="inlineStr">
        <is>
          <t>361</t>
        </is>
      </c>
      <c r="B6609" s="4" t="n">
        <v>3</v>
      </c>
      <c r="C6609" s="4" t="inlineStr">
        <is>
          <t>mule deer</t>
        </is>
      </c>
      <c r="D6609" s="4" t="n">
        <v>2014</v>
      </c>
      <c r="E6609" s="13" t="inlineStr">
        <is>
          <t>General</t>
        </is>
      </c>
      <c r="F6609" s="5" t="n"/>
      <c r="G6609" s="5" t="n"/>
      <c r="H6609" s="5" t="n">
        <v>14</v>
      </c>
      <c r="I6609" s="5" t="n">
        <v>14</v>
      </c>
      <c r="J6609" s="5" t="n">
        <v>0</v>
      </c>
      <c r="K6609" s="10">
        <f>IF(F6609&gt;0,H6609/F6609,"")</f>
        <v/>
      </c>
      <c r="L6609" s="16">
        <f>IF(AND(G6609&gt;0,H6609&gt;0),G6609/H6609,"")</f>
        <v/>
      </c>
    </row>
    <row r="6610">
      <c r="A6610" s="4" t="inlineStr">
        <is>
          <t>361</t>
        </is>
      </c>
      <c r="B6610" s="4" t="n">
        <v>3</v>
      </c>
      <c r="C6610" s="4" t="inlineStr">
        <is>
          <t>mule deer</t>
        </is>
      </c>
      <c r="D6610" s="4" t="n">
        <v>2015</v>
      </c>
      <c r="E6610" s="13" t="inlineStr">
        <is>
          <t>General</t>
        </is>
      </c>
      <c r="F6610" s="5" t="n"/>
      <c r="G6610" s="5" t="n"/>
      <c r="H6610" s="5" t="n">
        <v>29</v>
      </c>
      <c r="I6610" s="5" t="n">
        <v>23</v>
      </c>
      <c r="J6610" s="5" t="n">
        <v>6</v>
      </c>
      <c r="K6610" s="10">
        <f>IF(F6610&gt;0,H6610/F6610,"")</f>
        <v/>
      </c>
      <c r="L6610" s="16">
        <f>IF(AND(G6610&gt;0,H6610&gt;0),G6610/H6610,"")</f>
        <v/>
      </c>
    </row>
    <row r="6611">
      <c r="A6611" s="4" t="inlineStr">
        <is>
          <t>361</t>
        </is>
      </c>
      <c r="B6611" s="4" t="n">
        <v>3</v>
      </c>
      <c r="C6611" s="4" t="inlineStr">
        <is>
          <t>mule deer</t>
        </is>
      </c>
      <c r="D6611" s="4" t="n">
        <v>2016</v>
      </c>
      <c r="E6611" s="13" t="inlineStr">
        <is>
          <t>General</t>
        </is>
      </c>
      <c r="F6611" s="5" t="n"/>
      <c r="G6611" s="5" t="n"/>
      <c r="H6611" s="5" t="n">
        <v>29</v>
      </c>
      <c r="I6611" s="5" t="n">
        <v>17</v>
      </c>
      <c r="J6611" s="5" t="n">
        <v>12</v>
      </c>
      <c r="K6611" s="10">
        <f>IF(F6611&gt;0,H6611/F6611,"")</f>
        <v/>
      </c>
      <c r="L6611" s="16">
        <f>IF(AND(G6611&gt;0,H6611&gt;0),G6611/H6611,"")</f>
        <v/>
      </c>
    </row>
    <row r="6612">
      <c r="A6612" s="4" t="inlineStr">
        <is>
          <t>361</t>
        </is>
      </c>
      <c r="B6612" s="4" t="n">
        <v>3</v>
      </c>
      <c r="C6612" s="4" t="inlineStr">
        <is>
          <t>mule deer</t>
        </is>
      </c>
      <c r="D6612" s="4" t="n">
        <v>2017</v>
      </c>
      <c r="E6612" s="13" t="inlineStr">
        <is>
          <t>General</t>
        </is>
      </c>
      <c r="F6612" s="5" t="n">
        <v>194</v>
      </c>
      <c r="G6612" s="5" t="n">
        <v>1520</v>
      </c>
      <c r="H6612" s="5" t="n">
        <v>12</v>
      </c>
      <c r="I6612" s="5" t="n">
        <v>9</v>
      </c>
      <c r="J6612" s="5" t="n">
        <v>3</v>
      </c>
      <c r="K6612" s="10">
        <f>IF(F6612&gt;0,H6612/F6612,"")</f>
        <v/>
      </c>
      <c r="L6612" s="16">
        <f>IF(AND(G6612&gt;0,H6612&gt;0),G6612/H6612,"")</f>
        <v/>
      </c>
    </row>
    <row r="6613">
      <c r="A6613" s="4" t="inlineStr">
        <is>
          <t>361</t>
        </is>
      </c>
      <c r="B6613" s="4" t="n">
        <v>3</v>
      </c>
      <c r="C6613" s="4" t="inlineStr">
        <is>
          <t>mule deer</t>
        </is>
      </c>
      <c r="D6613" s="4" t="n">
        <v>2018</v>
      </c>
      <c r="E6613" s="13" t="inlineStr">
        <is>
          <t>General</t>
        </is>
      </c>
      <c r="F6613" s="5" t="n"/>
      <c r="G6613" s="5" t="n"/>
      <c r="H6613" s="5" t="n">
        <v>23</v>
      </c>
      <c r="I6613" s="5" t="n">
        <v>20</v>
      </c>
      <c r="J6613" s="5" t="n">
        <v>3</v>
      </c>
      <c r="K6613" s="10">
        <f>IF(F6613&gt;0,H6613/F6613,"")</f>
        <v/>
      </c>
      <c r="L6613" s="16">
        <f>IF(AND(G6613&gt;0,H6613&gt;0),G6613/H6613,"")</f>
        <v/>
      </c>
    </row>
    <row r="6614">
      <c r="A6614" s="4" t="inlineStr">
        <is>
          <t>361</t>
        </is>
      </c>
      <c r="B6614" s="4" t="n">
        <v>3</v>
      </c>
      <c r="C6614" s="4" t="inlineStr">
        <is>
          <t>mule deer</t>
        </is>
      </c>
      <c r="D6614" s="4" t="n">
        <v>2019</v>
      </c>
      <c r="E6614" s="13" t="inlineStr">
        <is>
          <t>General</t>
        </is>
      </c>
      <c r="F6614" s="5" t="n">
        <v>209</v>
      </c>
      <c r="G6614" s="5" t="n">
        <v>1625</v>
      </c>
      <c r="H6614" s="5" t="n">
        <v>27</v>
      </c>
      <c r="I6614" s="5" t="n">
        <v>20</v>
      </c>
      <c r="J6614" s="5" t="n">
        <v>7</v>
      </c>
      <c r="K6614" s="10">
        <f>IF(F6614&gt;0,H6614/F6614,"")</f>
        <v/>
      </c>
      <c r="L6614" s="16">
        <f>IF(AND(G6614&gt;0,H6614&gt;0),G6614/H6614,"")</f>
        <v/>
      </c>
    </row>
    <row r="6615">
      <c r="A6615" s="4" t="inlineStr">
        <is>
          <t>361</t>
        </is>
      </c>
      <c r="B6615" s="4" t="n">
        <v>3</v>
      </c>
      <c r="C6615" s="4" t="inlineStr">
        <is>
          <t>mule deer</t>
        </is>
      </c>
      <c r="D6615" s="4" t="n">
        <v>2020</v>
      </c>
      <c r="E6615" s="13" t="inlineStr">
        <is>
          <t>General</t>
        </is>
      </c>
      <c r="F6615" s="5" t="n"/>
      <c r="G6615" s="5" t="n"/>
      <c r="H6615" s="5" t="n">
        <v>15</v>
      </c>
      <c r="I6615" s="5" t="n">
        <v>9</v>
      </c>
      <c r="J6615" s="5" t="n">
        <v>6</v>
      </c>
      <c r="K6615" s="10">
        <f>IF(F6615&gt;0,H6615/F6615,"")</f>
        <v/>
      </c>
      <c r="L6615" s="16">
        <f>IF(AND(G6615&gt;0,H6615&gt;0),G6615/H6615,"")</f>
        <v/>
      </c>
    </row>
    <row r="6616">
      <c r="A6616" s="4" t="inlineStr">
        <is>
          <t>361</t>
        </is>
      </c>
      <c r="B6616" s="4" t="n">
        <v>3</v>
      </c>
      <c r="C6616" s="4" t="inlineStr">
        <is>
          <t>mule deer</t>
        </is>
      </c>
      <c r="D6616" s="4" t="n">
        <v>2021</v>
      </c>
      <c r="E6616" s="13" t="inlineStr">
        <is>
          <t>General</t>
        </is>
      </c>
      <c r="F6616" s="5" t="n">
        <v>231</v>
      </c>
      <c r="G6616" s="5" t="n">
        <v>1740</v>
      </c>
      <c r="H6616" s="5" t="n">
        <v>38</v>
      </c>
      <c r="I6616" s="5" t="n">
        <v>29</v>
      </c>
      <c r="J6616" s="5" t="n">
        <v>9</v>
      </c>
      <c r="K6616" s="10">
        <f>IF(F6616&gt;0,H6616/F6616,"")</f>
        <v/>
      </c>
      <c r="L6616" s="16">
        <f>IF(AND(G6616&gt;0,H6616&gt;0),G6616/H6616,"")</f>
        <v/>
      </c>
    </row>
    <row r="6617">
      <c r="A6617" s="4" t="inlineStr">
        <is>
          <t>361</t>
        </is>
      </c>
      <c r="B6617" s="4" t="n">
        <v>3</v>
      </c>
      <c r="C6617" s="4" t="inlineStr">
        <is>
          <t>mule deer</t>
        </is>
      </c>
      <c r="D6617" s="4" t="n">
        <v>2022</v>
      </c>
      <c r="E6617" s="13" t="inlineStr">
        <is>
          <t>General</t>
        </is>
      </c>
      <c r="F6617" s="5" t="n"/>
      <c r="G6617" s="5" t="n"/>
      <c r="H6617" s="5" t="n">
        <v>28</v>
      </c>
      <c r="I6617" s="5" t="n">
        <v>22</v>
      </c>
      <c r="J6617" s="5" t="n">
        <v>6</v>
      </c>
      <c r="K6617" s="10">
        <f>IF(F6617&gt;0,H6617/F6617,"")</f>
        <v/>
      </c>
      <c r="L6617" s="16">
        <f>IF(AND(G6617&gt;0,H6617&gt;0),G6617/H6617,"")</f>
        <v/>
      </c>
    </row>
    <row r="6618">
      <c r="A6618" s="4" t="inlineStr">
        <is>
          <t>361</t>
        </is>
      </c>
      <c r="B6618" s="4" t="n">
        <v>3</v>
      </c>
      <c r="C6618" s="4" t="inlineStr">
        <is>
          <t>mule deer</t>
        </is>
      </c>
      <c r="D6618" s="4" t="n">
        <v>2023</v>
      </c>
      <c r="E6618" s="13" t="inlineStr">
        <is>
          <t>General</t>
        </is>
      </c>
      <c r="F6618" s="5" t="n">
        <v>229</v>
      </c>
      <c r="G6618" s="5" t="n">
        <v>1672</v>
      </c>
      <c r="H6618" s="5" t="n">
        <v>17</v>
      </c>
      <c r="I6618" s="5" t="n">
        <v>17</v>
      </c>
      <c r="J6618" s="5" t="n">
        <v>0</v>
      </c>
      <c r="K6618" s="10">
        <f>IF(F6618&gt;0,H6618/F6618,"")</f>
        <v/>
      </c>
      <c r="L6618" s="16">
        <f>IF(AND(G6618&gt;0,H6618&gt;0),G6618/H6618,"")</f>
        <v/>
      </c>
    </row>
    <row r="6619">
      <c r="A6619" s="4" t="inlineStr">
        <is>
          <t>361</t>
        </is>
      </c>
      <c r="B6619" s="4" t="n">
        <v>3</v>
      </c>
      <c r="C6619" s="4" t="inlineStr">
        <is>
          <t>mule deer</t>
        </is>
      </c>
      <c r="D6619" s="4" t="n">
        <v>2024</v>
      </c>
      <c r="E6619" s="13" t="inlineStr">
        <is>
          <t>General</t>
        </is>
      </c>
      <c r="F6619" s="5" t="n"/>
      <c r="G6619" s="5" t="n"/>
      <c r="H6619" s="5" t="n">
        <v>29</v>
      </c>
      <c r="I6619" s="5" t="n">
        <v>29</v>
      </c>
      <c r="J6619" s="5" t="n">
        <v>0</v>
      </c>
      <c r="K6619" s="10">
        <f>IF(F6619&gt;0,H6619/F6619,"")</f>
        <v/>
      </c>
      <c r="L6619" s="16">
        <f>IF(AND(G6619&gt;0,H6619&gt;0),G6619/H6619,"")</f>
        <v/>
      </c>
    </row>
    <row r="6620">
      <c r="A6620" s="4" t="inlineStr">
        <is>
          <t>361</t>
        </is>
      </c>
      <c r="B6620" s="4" t="n">
        <v>3</v>
      </c>
      <c r="C6620" s="4" t="inlineStr">
        <is>
          <t>mule deer</t>
        </is>
      </c>
      <c r="D6620" s="4" t="n">
        <v>2025</v>
      </c>
      <c r="E6620" s="13" t="inlineStr">
        <is>
          <t>General</t>
        </is>
      </c>
      <c r="F6620" s="5" t="n">
        <v>308</v>
      </c>
      <c r="G6620" s="5" t="n">
        <v>2375</v>
      </c>
      <c r="H6620" s="5" t="n">
        <v>37</v>
      </c>
      <c r="I6620" s="5" t="n">
        <v>34</v>
      </c>
      <c r="J6620" s="5" t="n">
        <v>3</v>
      </c>
      <c r="K6620" s="10">
        <f>IF(F6620&gt;0,H6620/F6620,"")</f>
        <v/>
      </c>
      <c r="L6620" s="16">
        <f>IF(AND(G6620&gt;0,H6620&gt;0),G6620/H6620,"")</f>
        <v/>
      </c>
    </row>
    <row r="6621">
      <c r="A6621" s="4" t="inlineStr">
        <is>
          <t>362</t>
        </is>
      </c>
      <c r="B6621" s="4" t="n">
        <v>3</v>
      </c>
      <c r="C6621" s="4" t="inlineStr">
        <is>
          <t>mule deer</t>
        </is>
      </c>
      <c r="D6621" s="4" t="n">
        <v>2004</v>
      </c>
      <c r="E6621" s="4" t="inlineStr"/>
      <c r="F6621" s="5" t="n">
        <v>287</v>
      </c>
      <c r="G6621" s="5" t="n">
        <v>1595</v>
      </c>
      <c r="H6621" s="5" t="n">
        <v>46</v>
      </c>
      <c r="I6621" s="5" t="n">
        <v>29</v>
      </c>
      <c r="J6621" s="5" t="n">
        <v>17</v>
      </c>
      <c r="K6621" s="10">
        <f>IF(F6621&gt;0,H6621/F6621,"")</f>
        <v/>
      </c>
      <c r="L6621" s="16">
        <f>IF(AND(G6621&gt;0,H6621&gt;0),G6621/H6621,"")</f>
        <v/>
      </c>
    </row>
    <row r="6622">
      <c r="A6622" s="4" t="inlineStr">
        <is>
          <t>362</t>
        </is>
      </c>
      <c r="B6622" s="4" t="n">
        <v>3</v>
      </c>
      <c r="C6622" s="4" t="inlineStr">
        <is>
          <t>mule deer</t>
        </is>
      </c>
      <c r="D6622" s="4" t="n">
        <v>2005</v>
      </c>
      <c r="E6622" s="4" t="inlineStr"/>
      <c r="F6622" s="5" t="n">
        <v>279</v>
      </c>
      <c r="G6622" s="5" t="n">
        <v>2135</v>
      </c>
      <c r="H6622" s="5" t="n">
        <v>48</v>
      </c>
      <c r="I6622" s="5" t="n">
        <v>44</v>
      </c>
      <c r="J6622" s="5" t="n">
        <v>4</v>
      </c>
      <c r="K6622" s="10">
        <f>IF(F6622&gt;0,H6622/F6622,"")</f>
        <v/>
      </c>
      <c r="L6622" s="16">
        <f>IF(AND(G6622&gt;0,H6622&gt;0),G6622/H6622,"")</f>
        <v/>
      </c>
    </row>
    <row r="6623">
      <c r="A6623" s="4" t="inlineStr">
        <is>
          <t>362</t>
        </is>
      </c>
      <c r="B6623" s="4" t="n">
        <v>3</v>
      </c>
      <c r="C6623" s="4" t="inlineStr">
        <is>
          <t>mule deer</t>
        </is>
      </c>
      <c r="D6623" s="4" t="n">
        <v>2006</v>
      </c>
      <c r="E6623" s="4" t="inlineStr"/>
      <c r="F6623" s="5" t="n">
        <v>153</v>
      </c>
      <c r="G6623" s="5" t="n">
        <v>646</v>
      </c>
      <c r="H6623" s="5" t="n">
        <v>19</v>
      </c>
      <c r="I6623" s="5" t="n">
        <v>11</v>
      </c>
      <c r="J6623" s="5" t="n">
        <v>8</v>
      </c>
      <c r="K6623" s="10">
        <f>IF(F6623&gt;0,H6623/F6623,"")</f>
        <v/>
      </c>
      <c r="L6623" s="16">
        <f>IF(AND(G6623&gt;0,H6623&gt;0),G6623/H6623,"")</f>
        <v/>
      </c>
    </row>
    <row r="6624">
      <c r="A6624" s="4" t="inlineStr">
        <is>
          <t>362</t>
        </is>
      </c>
      <c r="B6624" s="4" t="n">
        <v>3</v>
      </c>
      <c r="C6624" s="4" t="inlineStr">
        <is>
          <t>mule deer</t>
        </is>
      </c>
      <c r="D6624" s="4" t="n">
        <v>2007</v>
      </c>
      <c r="E6624" s="4" t="inlineStr"/>
      <c r="F6624" s="5" t="n">
        <v>235</v>
      </c>
      <c r="G6624" s="5" t="n">
        <v>1507</v>
      </c>
      <c r="H6624" s="5" t="n">
        <v>43</v>
      </c>
      <c r="I6624" s="5" t="n">
        <v>29</v>
      </c>
      <c r="J6624" s="5" t="n">
        <v>14</v>
      </c>
      <c r="K6624" s="10">
        <f>IF(F6624&gt;0,H6624/F6624,"")</f>
        <v/>
      </c>
      <c r="L6624" s="16">
        <f>IF(AND(G6624&gt;0,H6624&gt;0),G6624/H6624,"")</f>
        <v/>
      </c>
    </row>
    <row r="6625">
      <c r="A6625" s="4" t="inlineStr">
        <is>
          <t>362</t>
        </is>
      </c>
      <c r="B6625" s="4" t="n">
        <v>3</v>
      </c>
      <c r="C6625" s="4" t="inlineStr">
        <is>
          <t>mule deer</t>
        </is>
      </c>
      <c r="D6625" s="4" t="n">
        <v>2008</v>
      </c>
      <c r="E6625" s="4" t="inlineStr"/>
      <c r="F6625" s="5" t="n">
        <v>271</v>
      </c>
      <c r="G6625" s="5" t="n">
        <v>1754</v>
      </c>
      <c r="H6625" s="5" t="n">
        <v>29</v>
      </c>
      <c r="I6625" s="5" t="n">
        <v>23</v>
      </c>
      <c r="J6625" s="5" t="n">
        <v>6</v>
      </c>
      <c r="K6625" s="10">
        <f>IF(F6625&gt;0,H6625/F6625,"")</f>
        <v/>
      </c>
      <c r="L6625" s="16">
        <f>IF(AND(G6625&gt;0,H6625&gt;0),G6625/H6625,"")</f>
        <v/>
      </c>
    </row>
    <row r="6626">
      <c r="A6626" s="4" t="inlineStr">
        <is>
          <t>362</t>
        </is>
      </c>
      <c r="B6626" s="4" t="n">
        <v>3</v>
      </c>
      <c r="C6626" s="4" t="inlineStr">
        <is>
          <t>mule deer</t>
        </is>
      </c>
      <c r="D6626" s="4" t="n">
        <v>2009</v>
      </c>
      <c r="E6626" s="4" t="inlineStr"/>
      <c r="F6626" s="5" t="n">
        <v>316</v>
      </c>
      <c r="G6626" s="5" t="n">
        <v>2041</v>
      </c>
      <c r="H6626" s="5" t="n">
        <v>21</v>
      </c>
      <c r="I6626" s="5" t="n">
        <v>15</v>
      </c>
      <c r="J6626" s="5" t="n">
        <v>6</v>
      </c>
      <c r="K6626" s="10">
        <f>IF(F6626&gt;0,H6626/F6626,"")</f>
        <v/>
      </c>
      <c r="L6626" s="16">
        <f>IF(AND(G6626&gt;0,H6626&gt;0),G6626/H6626,"")</f>
        <v/>
      </c>
    </row>
    <row r="6627">
      <c r="A6627" s="4" t="inlineStr">
        <is>
          <t>362</t>
        </is>
      </c>
      <c r="B6627" s="4" t="n">
        <v>3</v>
      </c>
      <c r="C6627" s="4" t="inlineStr">
        <is>
          <t>mule deer</t>
        </is>
      </c>
      <c r="D6627" s="4" t="n">
        <v>2010</v>
      </c>
      <c r="E6627" s="4" t="inlineStr"/>
      <c r="F6627" s="5" t="n">
        <v>306</v>
      </c>
      <c r="G6627" s="5" t="n">
        <v>2664</v>
      </c>
      <c r="H6627" s="5" t="n">
        <v>36</v>
      </c>
      <c r="I6627" s="5" t="n">
        <v>33</v>
      </c>
      <c r="J6627" s="5" t="n">
        <v>3</v>
      </c>
      <c r="K6627" s="10">
        <f>IF(F6627&gt;0,H6627/F6627,"")</f>
        <v/>
      </c>
      <c r="L6627" s="16">
        <f>IF(AND(G6627&gt;0,H6627&gt;0),G6627/H6627,"")</f>
        <v/>
      </c>
    </row>
    <row r="6628">
      <c r="A6628" s="4" t="inlineStr">
        <is>
          <t>362</t>
        </is>
      </c>
      <c r="B6628" s="4" t="n">
        <v>3</v>
      </c>
      <c r="C6628" s="4" t="inlineStr">
        <is>
          <t>mule deer</t>
        </is>
      </c>
      <c r="D6628" s="4" t="n">
        <v>2011</v>
      </c>
      <c r="E6628" s="4" t="inlineStr"/>
      <c r="F6628" s="5" t="n">
        <v>298</v>
      </c>
      <c r="G6628" s="5" t="n">
        <v>2075</v>
      </c>
      <c r="H6628" s="5" t="n">
        <v>17</v>
      </c>
      <c r="I6628" s="5" t="n">
        <v>17</v>
      </c>
      <c r="J6628" s="5" t="n">
        <v>0</v>
      </c>
      <c r="K6628" s="10">
        <f>IF(F6628&gt;0,H6628/F6628,"")</f>
        <v/>
      </c>
      <c r="L6628" s="16">
        <f>IF(AND(G6628&gt;0,H6628&gt;0),G6628/H6628,"")</f>
        <v/>
      </c>
    </row>
    <row r="6629">
      <c r="A6629" s="4" t="inlineStr">
        <is>
          <t>362</t>
        </is>
      </c>
      <c r="B6629" s="4" t="n">
        <v>3</v>
      </c>
      <c r="C6629" s="4" t="inlineStr">
        <is>
          <t>mule deer</t>
        </is>
      </c>
      <c r="D6629" s="4" t="n">
        <v>2012</v>
      </c>
      <c r="E6629" s="4" t="inlineStr"/>
      <c r="F6629" s="5" t="n"/>
      <c r="G6629" s="5" t="n"/>
      <c r="H6629" s="5" t="n">
        <v>25</v>
      </c>
      <c r="I6629" s="5" t="n">
        <v>22</v>
      </c>
      <c r="J6629" s="5" t="n">
        <v>3</v>
      </c>
      <c r="K6629" s="10">
        <f>IF(F6629&gt;0,H6629/F6629,"")</f>
        <v/>
      </c>
      <c r="L6629" s="16">
        <f>IF(AND(G6629&gt;0,H6629&gt;0),G6629/H6629,"")</f>
        <v/>
      </c>
    </row>
    <row r="6630">
      <c r="A6630" s="4" t="inlineStr">
        <is>
          <t>362</t>
        </is>
      </c>
      <c r="B6630" s="4" t="n">
        <v>3</v>
      </c>
      <c r="C6630" s="4" t="inlineStr">
        <is>
          <t>mule deer</t>
        </is>
      </c>
      <c r="D6630" s="4" t="n">
        <v>2013</v>
      </c>
      <c r="E6630" s="4" t="inlineStr"/>
      <c r="F6630" s="5" t="n">
        <v>287</v>
      </c>
      <c r="G6630" s="5" t="n">
        <v>1565</v>
      </c>
      <c r="H6630" s="5" t="n">
        <v>28</v>
      </c>
      <c r="I6630" s="5" t="n">
        <v>28</v>
      </c>
      <c r="J6630" s="5" t="n">
        <v>0</v>
      </c>
      <c r="K6630" s="10">
        <f>IF(F6630&gt;0,H6630/F6630,"")</f>
        <v/>
      </c>
      <c r="L6630" s="16">
        <f>IF(AND(G6630&gt;0,H6630&gt;0),G6630/H6630,"")</f>
        <v/>
      </c>
    </row>
    <row r="6631">
      <c r="A6631" s="4" t="inlineStr">
        <is>
          <t>362</t>
        </is>
      </c>
      <c r="B6631" s="4" t="n">
        <v>3</v>
      </c>
      <c r="C6631" s="4" t="inlineStr">
        <is>
          <t>mule deer</t>
        </is>
      </c>
      <c r="D6631" s="4" t="n">
        <v>2014</v>
      </c>
      <c r="E6631" s="4" t="inlineStr"/>
      <c r="F6631" s="5" t="n"/>
      <c r="G6631" s="5" t="n"/>
      <c r="H6631" s="5" t="n">
        <v>48</v>
      </c>
      <c r="I6631" s="5" t="n">
        <v>48</v>
      </c>
      <c r="J6631" s="5" t="n">
        <v>0</v>
      </c>
      <c r="K6631" s="10">
        <f>IF(F6631&gt;0,H6631/F6631,"")</f>
        <v/>
      </c>
      <c r="L6631" s="16">
        <f>IF(AND(G6631&gt;0,H6631&gt;0),G6631/H6631,"")</f>
        <v/>
      </c>
    </row>
    <row r="6632">
      <c r="A6632" s="4" t="inlineStr">
        <is>
          <t>362</t>
        </is>
      </c>
      <c r="B6632" s="4" t="n">
        <v>3</v>
      </c>
      <c r="C6632" s="4" t="inlineStr">
        <is>
          <t>mule deer</t>
        </is>
      </c>
      <c r="D6632" s="4" t="n">
        <v>2015</v>
      </c>
      <c r="E6632" s="4" t="inlineStr"/>
      <c r="F6632" s="5" t="n"/>
      <c r="G6632" s="5" t="n"/>
      <c r="H6632" s="5" t="n">
        <v>51</v>
      </c>
      <c r="I6632" s="5" t="n">
        <v>49</v>
      </c>
      <c r="J6632" s="5" t="n">
        <v>3</v>
      </c>
      <c r="K6632" s="10">
        <f>IF(F6632&gt;0,H6632/F6632,"")</f>
        <v/>
      </c>
      <c r="L6632" s="16">
        <f>IF(AND(G6632&gt;0,H6632&gt;0),G6632/H6632,"")</f>
        <v/>
      </c>
    </row>
    <row r="6633">
      <c r="A6633" s="4" t="inlineStr">
        <is>
          <t>362</t>
        </is>
      </c>
      <c r="B6633" s="4" t="n">
        <v>3</v>
      </c>
      <c r="C6633" s="4" t="inlineStr">
        <is>
          <t>mule deer</t>
        </is>
      </c>
      <c r="D6633" s="4" t="n">
        <v>2016</v>
      </c>
      <c r="E6633" s="4" t="inlineStr"/>
      <c r="F6633" s="5" t="n"/>
      <c r="G6633" s="5" t="n"/>
      <c r="H6633" s="5" t="n">
        <v>38</v>
      </c>
      <c r="I6633" s="5" t="n">
        <v>38</v>
      </c>
      <c r="J6633" s="5" t="n">
        <v>0</v>
      </c>
      <c r="K6633" s="10">
        <f>IF(F6633&gt;0,H6633/F6633,"")</f>
        <v/>
      </c>
      <c r="L6633" s="16">
        <f>IF(AND(G6633&gt;0,H6633&gt;0),G6633/H6633,"")</f>
        <v/>
      </c>
    </row>
    <row r="6634">
      <c r="A6634" s="4" t="inlineStr">
        <is>
          <t>362</t>
        </is>
      </c>
      <c r="B6634" s="4" t="n">
        <v>3</v>
      </c>
      <c r="C6634" s="4" t="inlineStr">
        <is>
          <t>mule deer</t>
        </is>
      </c>
      <c r="D6634" s="4" t="n">
        <v>2017</v>
      </c>
      <c r="E6634" s="4" t="inlineStr"/>
      <c r="F6634" s="5" t="n">
        <v>372</v>
      </c>
      <c r="G6634" s="5" t="n">
        <v>2471</v>
      </c>
      <c r="H6634" s="5" t="n">
        <v>18</v>
      </c>
      <c r="I6634" s="5" t="n">
        <v>15</v>
      </c>
      <c r="J6634" s="5" t="n">
        <v>3</v>
      </c>
      <c r="K6634" s="10">
        <f>IF(F6634&gt;0,H6634/F6634,"")</f>
        <v/>
      </c>
      <c r="L6634" s="16">
        <f>IF(AND(G6634&gt;0,H6634&gt;0),G6634/H6634,"")</f>
        <v/>
      </c>
    </row>
    <row r="6635">
      <c r="A6635" s="4" t="inlineStr">
        <is>
          <t>362</t>
        </is>
      </c>
      <c r="B6635" s="4" t="n">
        <v>3</v>
      </c>
      <c r="C6635" s="4" t="inlineStr">
        <is>
          <t>mule deer</t>
        </is>
      </c>
      <c r="D6635" s="4" t="n">
        <v>2018</v>
      </c>
      <c r="E6635" s="4" t="inlineStr"/>
      <c r="F6635" s="5" t="n"/>
      <c r="G6635" s="5" t="n"/>
      <c r="H6635" s="5" t="n">
        <v>36</v>
      </c>
      <c r="I6635" s="5" t="n">
        <v>30</v>
      </c>
      <c r="J6635" s="5" t="n">
        <v>6</v>
      </c>
      <c r="K6635" s="10">
        <f>IF(F6635&gt;0,H6635/F6635,"")</f>
        <v/>
      </c>
      <c r="L6635" s="16">
        <f>IF(AND(G6635&gt;0,H6635&gt;0),G6635/H6635,"")</f>
        <v/>
      </c>
    </row>
    <row r="6636">
      <c r="A6636" s="4" t="inlineStr">
        <is>
          <t>362</t>
        </is>
      </c>
      <c r="B6636" s="4" t="n">
        <v>3</v>
      </c>
      <c r="C6636" s="4" t="inlineStr">
        <is>
          <t>mule deer</t>
        </is>
      </c>
      <c r="D6636" s="4" t="n">
        <v>2019</v>
      </c>
      <c r="E6636" s="4" t="inlineStr"/>
      <c r="F6636" s="5" t="n">
        <v>348</v>
      </c>
      <c r="G6636" s="5" t="n">
        <v>1924</v>
      </c>
      <c r="H6636" s="5" t="n">
        <v>29</v>
      </c>
      <c r="I6636" s="5" t="n">
        <v>26</v>
      </c>
      <c r="J6636" s="5" t="n">
        <v>3</v>
      </c>
      <c r="K6636" s="10">
        <f>IF(F6636&gt;0,H6636/F6636,"")</f>
        <v/>
      </c>
      <c r="L6636" s="16">
        <f>IF(AND(G6636&gt;0,H6636&gt;0),G6636/H6636,"")</f>
        <v/>
      </c>
    </row>
    <row r="6637">
      <c r="A6637" s="4" t="inlineStr">
        <is>
          <t>362</t>
        </is>
      </c>
      <c r="B6637" s="4" t="n">
        <v>3</v>
      </c>
      <c r="C6637" s="4" t="inlineStr">
        <is>
          <t>mule deer</t>
        </is>
      </c>
      <c r="D6637" s="4" t="n">
        <v>2020</v>
      </c>
      <c r="E6637" s="4" t="inlineStr"/>
      <c r="F6637" s="5" t="n"/>
      <c r="G6637" s="5" t="n"/>
      <c r="H6637" s="5" t="n">
        <v>29</v>
      </c>
      <c r="I6637" s="5" t="n">
        <v>25</v>
      </c>
      <c r="J6637" s="5" t="n">
        <v>3</v>
      </c>
      <c r="K6637" s="10">
        <f>IF(F6637&gt;0,H6637/F6637,"")</f>
        <v/>
      </c>
      <c r="L6637" s="16">
        <f>IF(AND(G6637&gt;0,H6637&gt;0),G6637/H6637,"")</f>
        <v/>
      </c>
    </row>
    <row r="6638">
      <c r="A6638" s="4" t="inlineStr">
        <is>
          <t>362</t>
        </is>
      </c>
      <c r="B6638" s="4" t="n">
        <v>3</v>
      </c>
      <c r="C6638" s="4" t="inlineStr">
        <is>
          <t>mule deer</t>
        </is>
      </c>
      <c r="D6638" s="4" t="n">
        <v>2021</v>
      </c>
      <c r="E6638" s="4" t="inlineStr"/>
      <c r="F6638" s="5" t="n">
        <v>305</v>
      </c>
      <c r="G6638" s="5" t="n">
        <v>2102</v>
      </c>
      <c r="H6638" s="5" t="n">
        <v>37</v>
      </c>
      <c r="I6638" s="5" t="n">
        <v>33</v>
      </c>
      <c r="J6638" s="5" t="n">
        <v>4</v>
      </c>
      <c r="K6638" s="10">
        <f>IF(F6638&gt;0,H6638/F6638,"")</f>
        <v/>
      </c>
      <c r="L6638" s="16">
        <f>IF(AND(G6638&gt;0,H6638&gt;0),G6638/H6638,"")</f>
        <v/>
      </c>
    </row>
    <row r="6639">
      <c r="A6639" s="4" t="inlineStr">
        <is>
          <t>370</t>
        </is>
      </c>
      <c r="B6639" s="4" t="n">
        <v>3</v>
      </c>
      <c r="C6639" s="4" t="inlineStr">
        <is>
          <t>mule deer</t>
        </is>
      </c>
      <c r="D6639" s="4" t="n">
        <v>2004</v>
      </c>
      <c r="E6639" s="13" t="inlineStr">
        <is>
          <t>General</t>
        </is>
      </c>
      <c r="F6639" s="5" t="n">
        <v>327</v>
      </c>
      <c r="G6639" s="5" t="n">
        <v>1673</v>
      </c>
      <c r="H6639" s="5" t="n">
        <v>50</v>
      </c>
      <c r="I6639" s="5" t="n">
        <v>36</v>
      </c>
      <c r="J6639" s="5" t="n">
        <v>14</v>
      </c>
      <c r="K6639" s="10">
        <f>IF(F6639&gt;0,H6639/F6639,"")</f>
        <v/>
      </c>
      <c r="L6639" s="16">
        <f>IF(AND(G6639&gt;0,H6639&gt;0),G6639/H6639,"")</f>
        <v/>
      </c>
    </row>
    <row r="6640">
      <c r="A6640" s="4" t="inlineStr">
        <is>
          <t>370</t>
        </is>
      </c>
      <c r="B6640" s="4" t="n">
        <v>3</v>
      </c>
      <c r="C6640" s="4" t="inlineStr">
        <is>
          <t>mule deer</t>
        </is>
      </c>
      <c r="D6640" s="4" t="n">
        <v>2005</v>
      </c>
      <c r="E6640" s="13" t="inlineStr">
        <is>
          <t>General</t>
        </is>
      </c>
      <c r="F6640" s="5" t="n">
        <v>326</v>
      </c>
      <c r="G6640" s="5" t="n">
        <v>1913</v>
      </c>
      <c r="H6640" s="5" t="n">
        <v>72</v>
      </c>
      <c r="I6640" s="5" t="n">
        <v>60</v>
      </c>
      <c r="J6640" s="5" t="n">
        <v>13</v>
      </c>
      <c r="K6640" s="10">
        <f>IF(F6640&gt;0,H6640/F6640,"")</f>
        <v/>
      </c>
      <c r="L6640" s="16">
        <f>IF(AND(G6640&gt;0,H6640&gt;0),G6640/H6640,"")</f>
        <v/>
      </c>
    </row>
    <row r="6641">
      <c r="A6641" s="4" t="inlineStr">
        <is>
          <t>370</t>
        </is>
      </c>
      <c r="B6641" s="4" t="n">
        <v>3</v>
      </c>
      <c r="C6641" s="4" t="inlineStr">
        <is>
          <t>mule deer</t>
        </is>
      </c>
      <c r="D6641" s="4" t="n">
        <v>2006</v>
      </c>
      <c r="E6641" s="13" t="inlineStr">
        <is>
          <t>General</t>
        </is>
      </c>
      <c r="F6641" s="5" t="n">
        <v>448</v>
      </c>
      <c r="G6641" s="5" t="n">
        <v>2735</v>
      </c>
      <c r="H6641" s="5" t="n">
        <v>89</v>
      </c>
      <c r="I6641" s="5" t="n">
        <v>67</v>
      </c>
      <c r="J6641" s="5" t="n">
        <v>20</v>
      </c>
      <c r="K6641" s="10">
        <f>IF(F6641&gt;0,H6641/F6641,"")</f>
        <v/>
      </c>
      <c r="L6641" s="16">
        <f>IF(AND(G6641&gt;0,H6641&gt;0),G6641/H6641,"")</f>
        <v/>
      </c>
    </row>
    <row r="6642">
      <c r="A6642" s="4" t="inlineStr">
        <is>
          <t>370</t>
        </is>
      </c>
      <c r="B6642" s="4" t="n">
        <v>3</v>
      </c>
      <c r="C6642" s="4" t="inlineStr">
        <is>
          <t>mule deer</t>
        </is>
      </c>
      <c r="D6642" s="4" t="n">
        <v>2007</v>
      </c>
      <c r="E6642" s="13" t="inlineStr">
        <is>
          <t>General</t>
        </is>
      </c>
      <c r="F6642" s="5" t="n">
        <v>437</v>
      </c>
      <c r="G6642" s="5" t="n">
        <v>2672</v>
      </c>
      <c r="H6642" s="5" t="n">
        <v>86</v>
      </c>
      <c r="I6642" s="5" t="n">
        <v>52</v>
      </c>
      <c r="J6642" s="5" t="n">
        <v>34</v>
      </c>
      <c r="K6642" s="10">
        <f>IF(F6642&gt;0,H6642/F6642,"")</f>
        <v/>
      </c>
      <c r="L6642" s="16">
        <f>IF(AND(G6642&gt;0,H6642&gt;0),G6642/H6642,"")</f>
        <v/>
      </c>
    </row>
    <row r="6643">
      <c r="A6643" s="4" t="inlineStr">
        <is>
          <t>370</t>
        </is>
      </c>
      <c r="B6643" s="4" t="n">
        <v>3</v>
      </c>
      <c r="C6643" s="4" t="inlineStr">
        <is>
          <t>mule deer</t>
        </is>
      </c>
      <c r="D6643" s="4" t="n">
        <v>2008</v>
      </c>
      <c r="E6643" s="13" t="inlineStr">
        <is>
          <t>General</t>
        </is>
      </c>
      <c r="F6643" s="5" t="n">
        <v>455</v>
      </c>
      <c r="G6643" s="5" t="n">
        <v>2541</v>
      </c>
      <c r="H6643" s="5" t="n">
        <v>56</v>
      </c>
      <c r="I6643" s="5" t="n">
        <v>44</v>
      </c>
      <c r="J6643" s="5" t="n">
        <v>12</v>
      </c>
      <c r="K6643" s="10">
        <f>IF(F6643&gt;0,H6643/F6643,"")</f>
        <v/>
      </c>
      <c r="L6643" s="16">
        <f>IF(AND(G6643&gt;0,H6643&gt;0),G6643/H6643,"")</f>
        <v/>
      </c>
    </row>
    <row r="6644">
      <c r="A6644" s="4" t="inlineStr">
        <is>
          <t>370</t>
        </is>
      </c>
      <c r="B6644" s="4" t="n">
        <v>3</v>
      </c>
      <c r="C6644" s="4" t="inlineStr">
        <is>
          <t>mule deer</t>
        </is>
      </c>
      <c r="D6644" s="4" t="n">
        <v>2009</v>
      </c>
      <c r="E6644" s="13" t="inlineStr">
        <is>
          <t>General</t>
        </is>
      </c>
      <c r="F6644" s="5" t="n">
        <v>481</v>
      </c>
      <c r="G6644" s="5" t="n">
        <v>2936</v>
      </c>
      <c r="H6644" s="5" t="n">
        <v>84</v>
      </c>
      <c r="I6644" s="5" t="n">
        <v>61</v>
      </c>
      <c r="J6644" s="5" t="n">
        <v>23</v>
      </c>
      <c r="K6644" s="10">
        <f>IF(F6644&gt;0,H6644/F6644,"")</f>
        <v/>
      </c>
      <c r="L6644" s="16">
        <f>IF(AND(G6644&gt;0,H6644&gt;0),G6644/H6644,"")</f>
        <v/>
      </c>
    </row>
    <row r="6645">
      <c r="A6645" s="4" t="inlineStr">
        <is>
          <t>370</t>
        </is>
      </c>
      <c r="B6645" s="4" t="n">
        <v>3</v>
      </c>
      <c r="C6645" s="4" t="inlineStr">
        <is>
          <t>mule deer</t>
        </is>
      </c>
      <c r="D6645" s="4" t="n">
        <v>2010</v>
      </c>
      <c r="E6645" s="13" t="inlineStr">
        <is>
          <t>General</t>
        </is>
      </c>
      <c r="F6645" s="5" t="n">
        <v>470</v>
      </c>
      <c r="G6645" s="5" t="n">
        <v>2822</v>
      </c>
      <c r="H6645" s="5" t="n">
        <v>34</v>
      </c>
      <c r="I6645" s="5" t="n">
        <v>34</v>
      </c>
      <c r="J6645" s="5" t="n">
        <v>0</v>
      </c>
      <c r="K6645" s="10">
        <f>IF(F6645&gt;0,H6645/F6645,"")</f>
        <v/>
      </c>
      <c r="L6645" s="16">
        <f>IF(AND(G6645&gt;0,H6645&gt;0),G6645/H6645,"")</f>
        <v/>
      </c>
    </row>
    <row r="6646">
      <c r="A6646" s="4" t="inlineStr">
        <is>
          <t>370</t>
        </is>
      </c>
      <c r="B6646" s="4" t="n">
        <v>3</v>
      </c>
      <c r="C6646" s="4" t="inlineStr">
        <is>
          <t>mule deer</t>
        </is>
      </c>
      <c r="D6646" s="4" t="n">
        <v>2011</v>
      </c>
      <c r="E6646" s="13" t="inlineStr">
        <is>
          <t>General</t>
        </is>
      </c>
      <c r="F6646" s="5" t="n">
        <v>475</v>
      </c>
      <c r="G6646" s="5" t="n">
        <v>2788</v>
      </c>
      <c r="H6646" s="5" t="n">
        <v>56</v>
      </c>
      <c r="I6646" s="5" t="n">
        <v>56</v>
      </c>
      <c r="J6646" s="5" t="n">
        <v>0</v>
      </c>
      <c r="K6646" s="10">
        <f>IF(F6646&gt;0,H6646/F6646,"")</f>
        <v/>
      </c>
      <c r="L6646" s="16">
        <f>IF(AND(G6646&gt;0,H6646&gt;0),G6646/H6646,"")</f>
        <v/>
      </c>
    </row>
    <row r="6647">
      <c r="A6647" s="4" t="inlineStr">
        <is>
          <t>370</t>
        </is>
      </c>
      <c r="B6647" s="4" t="n">
        <v>3</v>
      </c>
      <c r="C6647" s="4" t="inlineStr">
        <is>
          <t>mule deer</t>
        </is>
      </c>
      <c r="D6647" s="4" t="n">
        <v>2012</v>
      </c>
      <c r="E6647" s="13" t="inlineStr">
        <is>
          <t>General</t>
        </is>
      </c>
      <c r="F6647" s="5" t="n"/>
      <c r="G6647" s="5" t="n"/>
      <c r="H6647" s="5" t="n">
        <v>47</v>
      </c>
      <c r="I6647" s="5" t="n">
        <v>47</v>
      </c>
      <c r="J6647" s="5" t="n">
        <v>0</v>
      </c>
      <c r="K6647" s="10">
        <f>IF(F6647&gt;0,H6647/F6647,"")</f>
        <v/>
      </c>
      <c r="L6647" s="16">
        <f>IF(AND(G6647&gt;0,H6647&gt;0),G6647/H6647,"")</f>
        <v/>
      </c>
    </row>
    <row r="6648">
      <c r="A6648" s="4" t="inlineStr">
        <is>
          <t>370</t>
        </is>
      </c>
      <c r="B6648" s="4" t="n">
        <v>3</v>
      </c>
      <c r="C6648" s="4" t="inlineStr">
        <is>
          <t>mule deer</t>
        </is>
      </c>
      <c r="D6648" s="4" t="n">
        <v>2013</v>
      </c>
      <c r="E6648" s="13" t="inlineStr">
        <is>
          <t>General</t>
        </is>
      </c>
      <c r="F6648" s="5" t="n">
        <v>501</v>
      </c>
      <c r="G6648" s="5" t="n">
        <v>3565</v>
      </c>
      <c r="H6648" s="5" t="n">
        <v>31</v>
      </c>
      <c r="I6648" s="5" t="n">
        <v>31</v>
      </c>
      <c r="J6648" s="5" t="n">
        <v>0</v>
      </c>
      <c r="K6648" s="10">
        <f>IF(F6648&gt;0,H6648/F6648,"")</f>
        <v/>
      </c>
      <c r="L6648" s="16">
        <f>IF(AND(G6648&gt;0,H6648&gt;0),G6648/H6648,"")</f>
        <v/>
      </c>
    </row>
    <row r="6649">
      <c r="A6649" s="4" t="inlineStr">
        <is>
          <t>370</t>
        </is>
      </c>
      <c r="B6649" s="4" t="n">
        <v>3</v>
      </c>
      <c r="C6649" s="4" t="inlineStr">
        <is>
          <t>mule deer</t>
        </is>
      </c>
      <c r="D6649" s="4" t="n">
        <v>2014</v>
      </c>
      <c r="E6649" s="13" t="inlineStr">
        <is>
          <t>General</t>
        </is>
      </c>
      <c r="F6649" s="5" t="n"/>
      <c r="G6649" s="5" t="n"/>
      <c r="H6649" s="5" t="n">
        <v>43</v>
      </c>
      <c r="I6649" s="5" t="n">
        <v>43</v>
      </c>
      <c r="J6649" s="5" t="n">
        <v>0</v>
      </c>
      <c r="K6649" s="10">
        <f>IF(F6649&gt;0,H6649/F6649,"")</f>
        <v/>
      </c>
      <c r="L6649" s="16">
        <f>IF(AND(G6649&gt;0,H6649&gt;0),G6649/H6649,"")</f>
        <v/>
      </c>
    </row>
    <row r="6650">
      <c r="A6650" s="4" t="inlineStr">
        <is>
          <t>370</t>
        </is>
      </c>
      <c r="B6650" s="4" t="n">
        <v>3</v>
      </c>
      <c r="C6650" s="4" t="inlineStr">
        <is>
          <t>mule deer</t>
        </is>
      </c>
      <c r="D6650" s="4" t="n">
        <v>2015</v>
      </c>
      <c r="E6650" s="13" t="inlineStr">
        <is>
          <t>General</t>
        </is>
      </c>
      <c r="F6650" s="5" t="n"/>
      <c r="G6650" s="5" t="n"/>
      <c r="H6650" s="5" t="n">
        <v>46</v>
      </c>
      <c r="I6650" s="5" t="n">
        <v>46</v>
      </c>
      <c r="J6650" s="5" t="n">
        <v>0</v>
      </c>
      <c r="K6650" s="10">
        <f>IF(F6650&gt;0,H6650/F6650,"")</f>
        <v/>
      </c>
      <c r="L6650" s="16">
        <f>IF(AND(G6650&gt;0,H6650&gt;0),G6650/H6650,"")</f>
        <v/>
      </c>
    </row>
    <row r="6651">
      <c r="A6651" s="4" t="inlineStr">
        <is>
          <t>370</t>
        </is>
      </c>
      <c r="B6651" s="4" t="n">
        <v>3</v>
      </c>
      <c r="C6651" s="4" t="inlineStr">
        <is>
          <t>mule deer</t>
        </is>
      </c>
      <c r="D6651" s="4" t="n">
        <v>2016</v>
      </c>
      <c r="E6651" s="13" t="inlineStr">
        <is>
          <t>General</t>
        </is>
      </c>
      <c r="F6651" s="5" t="n"/>
      <c r="G6651" s="5" t="n"/>
      <c r="H6651" s="5" t="n">
        <v>65</v>
      </c>
      <c r="I6651" s="5" t="n">
        <v>62</v>
      </c>
      <c r="J6651" s="5" t="n">
        <v>3</v>
      </c>
      <c r="K6651" s="10">
        <f>IF(F6651&gt;0,H6651/F6651,"")</f>
        <v/>
      </c>
      <c r="L6651" s="16">
        <f>IF(AND(G6651&gt;0,H6651&gt;0),G6651/H6651,"")</f>
        <v/>
      </c>
    </row>
    <row r="6652">
      <c r="A6652" s="4" t="inlineStr">
        <is>
          <t>370</t>
        </is>
      </c>
      <c r="B6652" s="4" t="n">
        <v>3</v>
      </c>
      <c r="C6652" s="4" t="inlineStr">
        <is>
          <t>mule deer</t>
        </is>
      </c>
      <c r="D6652" s="4" t="n">
        <v>2017</v>
      </c>
      <c r="E6652" s="13" t="inlineStr">
        <is>
          <t>General</t>
        </is>
      </c>
      <c r="F6652" s="5" t="n">
        <v>490</v>
      </c>
      <c r="G6652" s="5" t="n">
        <v>2725</v>
      </c>
      <c r="H6652" s="5" t="n">
        <v>53</v>
      </c>
      <c r="I6652" s="5" t="n">
        <v>44</v>
      </c>
      <c r="J6652" s="5" t="n">
        <v>6</v>
      </c>
      <c r="K6652" s="10">
        <f>IF(F6652&gt;0,H6652/F6652,"")</f>
        <v/>
      </c>
      <c r="L6652" s="16">
        <f>IF(AND(G6652&gt;0,H6652&gt;0),G6652/H6652,"")</f>
        <v/>
      </c>
    </row>
    <row r="6653">
      <c r="A6653" s="4" t="inlineStr">
        <is>
          <t>370</t>
        </is>
      </c>
      <c r="B6653" s="4" t="n">
        <v>3</v>
      </c>
      <c r="C6653" s="4" t="inlineStr">
        <is>
          <t>mule deer</t>
        </is>
      </c>
      <c r="D6653" s="4" t="n">
        <v>2018</v>
      </c>
      <c r="E6653" s="13" t="inlineStr">
        <is>
          <t>General</t>
        </is>
      </c>
      <c r="F6653" s="5" t="n"/>
      <c r="G6653" s="5" t="n"/>
      <c r="H6653" s="5" t="n">
        <v>49</v>
      </c>
      <c r="I6653" s="5" t="n">
        <v>44</v>
      </c>
      <c r="J6653" s="5" t="n">
        <v>6</v>
      </c>
      <c r="K6653" s="10">
        <f>IF(F6653&gt;0,H6653/F6653,"")</f>
        <v/>
      </c>
      <c r="L6653" s="16">
        <f>IF(AND(G6653&gt;0,H6653&gt;0),G6653/H6653,"")</f>
        <v/>
      </c>
    </row>
    <row r="6654">
      <c r="A6654" s="4" t="inlineStr">
        <is>
          <t>370</t>
        </is>
      </c>
      <c r="B6654" s="4" t="n">
        <v>3</v>
      </c>
      <c r="C6654" s="4" t="inlineStr">
        <is>
          <t>mule deer</t>
        </is>
      </c>
      <c r="D6654" s="4" t="n">
        <v>2019</v>
      </c>
      <c r="E6654" s="13" t="inlineStr">
        <is>
          <t>General</t>
        </is>
      </c>
      <c r="F6654" s="5" t="n">
        <v>408</v>
      </c>
      <c r="G6654" s="5" t="n">
        <v>2415</v>
      </c>
      <c r="H6654" s="5" t="n">
        <v>40</v>
      </c>
      <c r="I6654" s="5" t="n">
        <v>40</v>
      </c>
      <c r="J6654" s="5" t="n">
        <v>0</v>
      </c>
      <c r="K6654" s="10">
        <f>IF(F6654&gt;0,H6654/F6654,"")</f>
        <v/>
      </c>
      <c r="L6654" s="16">
        <f>IF(AND(G6654&gt;0,H6654&gt;0),G6654/H6654,"")</f>
        <v/>
      </c>
    </row>
    <row r="6655">
      <c r="A6655" s="4" t="inlineStr">
        <is>
          <t>370</t>
        </is>
      </c>
      <c r="B6655" s="4" t="n">
        <v>3</v>
      </c>
      <c r="C6655" s="4" t="inlineStr">
        <is>
          <t>mule deer</t>
        </is>
      </c>
      <c r="D6655" s="4" t="n">
        <v>2020</v>
      </c>
      <c r="E6655" s="13" t="inlineStr">
        <is>
          <t>General</t>
        </is>
      </c>
      <c r="F6655" s="5" t="n"/>
      <c r="G6655" s="5" t="n"/>
      <c r="H6655" s="5" t="n">
        <v>27</v>
      </c>
      <c r="I6655" s="5" t="n">
        <v>20</v>
      </c>
      <c r="J6655" s="5" t="n">
        <v>7</v>
      </c>
      <c r="K6655" s="10">
        <f>IF(F6655&gt;0,H6655/F6655,"")</f>
        <v/>
      </c>
      <c r="L6655" s="16">
        <f>IF(AND(G6655&gt;0,H6655&gt;0),G6655/H6655,"")</f>
        <v/>
      </c>
    </row>
    <row r="6656">
      <c r="A6656" s="4" t="inlineStr">
        <is>
          <t>370</t>
        </is>
      </c>
      <c r="B6656" s="4" t="n">
        <v>3</v>
      </c>
      <c r="C6656" s="4" t="inlineStr">
        <is>
          <t>mule deer</t>
        </is>
      </c>
      <c r="D6656" s="4" t="n">
        <v>2021</v>
      </c>
      <c r="E6656" s="13" t="inlineStr">
        <is>
          <t>General</t>
        </is>
      </c>
      <c r="F6656" s="5" t="n">
        <v>490</v>
      </c>
      <c r="G6656" s="5" t="n">
        <v>2880</v>
      </c>
      <c r="H6656" s="5" t="n">
        <v>38</v>
      </c>
      <c r="I6656" s="5" t="n">
        <v>35</v>
      </c>
      <c r="J6656" s="5" t="n">
        <v>2</v>
      </c>
      <c r="K6656" s="10">
        <f>IF(F6656&gt;0,H6656/F6656,"")</f>
        <v/>
      </c>
      <c r="L6656" s="16">
        <f>IF(AND(G6656&gt;0,H6656&gt;0),G6656/H6656,"")</f>
        <v/>
      </c>
    </row>
    <row r="6657">
      <c r="A6657" s="4" t="inlineStr">
        <is>
          <t>370</t>
        </is>
      </c>
      <c r="B6657" s="4" t="n">
        <v>3</v>
      </c>
      <c r="C6657" s="4" t="inlineStr">
        <is>
          <t>mule deer</t>
        </is>
      </c>
      <c r="D6657" s="4" t="n">
        <v>2022</v>
      </c>
      <c r="E6657" s="13" t="inlineStr">
        <is>
          <t>General</t>
        </is>
      </c>
      <c r="F6657" s="5" t="n"/>
      <c r="G6657" s="5" t="n"/>
      <c r="H6657" s="5" t="n">
        <v>49</v>
      </c>
      <c r="I6657" s="5" t="n">
        <v>45</v>
      </c>
      <c r="J6657" s="5" t="n">
        <v>4</v>
      </c>
      <c r="K6657" s="10">
        <f>IF(F6657&gt;0,H6657/F6657,"")</f>
        <v/>
      </c>
      <c r="L6657" s="16">
        <f>IF(AND(G6657&gt;0,H6657&gt;0),G6657/H6657,"")</f>
        <v/>
      </c>
    </row>
    <row r="6658">
      <c r="A6658" s="4" t="inlineStr">
        <is>
          <t>370</t>
        </is>
      </c>
      <c r="B6658" s="4" t="n">
        <v>3</v>
      </c>
      <c r="C6658" s="4" t="inlineStr">
        <is>
          <t>mule deer</t>
        </is>
      </c>
      <c r="D6658" s="4" t="n">
        <v>2023</v>
      </c>
      <c r="E6658" s="13" t="inlineStr">
        <is>
          <t>General</t>
        </is>
      </c>
      <c r="F6658" s="5" t="n">
        <v>572</v>
      </c>
      <c r="G6658" s="5" t="n">
        <v>3536</v>
      </c>
      <c r="H6658" s="5" t="n">
        <v>78</v>
      </c>
      <c r="I6658" s="5" t="n">
        <v>67</v>
      </c>
      <c r="J6658" s="5" t="n">
        <v>11</v>
      </c>
      <c r="K6658" s="10">
        <f>IF(F6658&gt;0,H6658/F6658,"")</f>
        <v/>
      </c>
      <c r="L6658" s="16">
        <f>IF(AND(G6658&gt;0,H6658&gt;0),G6658/H6658,"")</f>
        <v/>
      </c>
    </row>
    <row r="6659">
      <c r="A6659" s="4" t="inlineStr">
        <is>
          <t>370</t>
        </is>
      </c>
      <c r="B6659" s="4" t="n">
        <v>3</v>
      </c>
      <c r="C6659" s="4" t="inlineStr">
        <is>
          <t>mule deer</t>
        </is>
      </c>
      <c r="D6659" s="4" t="n">
        <v>2024</v>
      </c>
      <c r="E6659" s="13" t="inlineStr">
        <is>
          <t>General</t>
        </is>
      </c>
      <c r="F6659" s="5" t="n"/>
      <c r="G6659" s="5" t="n"/>
      <c r="H6659" s="5" t="n">
        <v>81</v>
      </c>
      <c r="I6659" s="5" t="n">
        <v>66</v>
      </c>
      <c r="J6659" s="5" t="n">
        <v>15</v>
      </c>
      <c r="K6659" s="10">
        <f>IF(F6659&gt;0,H6659/F6659,"")</f>
        <v/>
      </c>
      <c r="L6659" s="16">
        <f>IF(AND(G6659&gt;0,H6659&gt;0),G6659/H6659,"")</f>
        <v/>
      </c>
    </row>
    <row r="6660">
      <c r="A6660" s="4" t="inlineStr">
        <is>
          <t>370</t>
        </is>
      </c>
      <c r="B6660" s="4" t="n">
        <v>3</v>
      </c>
      <c r="C6660" s="4" t="inlineStr">
        <is>
          <t>mule deer</t>
        </is>
      </c>
      <c r="D6660" s="4" t="n">
        <v>2025</v>
      </c>
      <c r="E6660" s="13" t="inlineStr">
        <is>
          <t>General</t>
        </is>
      </c>
      <c r="F6660" s="5" t="n">
        <v>515</v>
      </c>
      <c r="G6660" s="5" t="n">
        <v>3111</v>
      </c>
      <c r="H6660" s="5" t="n">
        <v>58</v>
      </c>
      <c r="I6660" s="5" t="n">
        <v>49</v>
      </c>
      <c r="J6660" s="5" t="n">
        <v>9</v>
      </c>
      <c r="K6660" s="10">
        <f>IF(F6660&gt;0,H6660/F6660,"")</f>
        <v/>
      </c>
      <c r="L6660" s="16">
        <f>IF(AND(G6660&gt;0,H6660&gt;0),G6660/H6660,"")</f>
        <v/>
      </c>
    </row>
    <row r="6661">
      <c r="A6661" s="4" t="inlineStr">
        <is>
          <t>380</t>
        </is>
      </c>
      <c r="B6661" s="4" t="n">
        <v>3</v>
      </c>
      <c r="C6661" s="4" t="inlineStr">
        <is>
          <t>mule deer</t>
        </is>
      </c>
      <c r="D6661" s="4" t="n">
        <v>2004</v>
      </c>
      <c r="E6661" s="15" t="inlineStr">
        <is>
          <t>Draw</t>
        </is>
      </c>
      <c r="F6661" s="5" t="n">
        <v>1929</v>
      </c>
      <c r="G6661" s="5" t="n">
        <v>11170</v>
      </c>
      <c r="H6661" s="5" t="n">
        <v>674</v>
      </c>
      <c r="I6661" s="5" t="n">
        <v>499</v>
      </c>
      <c r="J6661" s="5" t="n">
        <v>174</v>
      </c>
      <c r="K6661" s="10">
        <f>IF(F6661&gt;0,H6661/F6661,"")</f>
        <v/>
      </c>
      <c r="L6661" s="16">
        <f>IF(AND(G6661&gt;0,H6661&gt;0),G6661/H6661,"")</f>
        <v/>
      </c>
    </row>
    <row r="6662">
      <c r="A6662" s="4" t="inlineStr">
        <is>
          <t>380</t>
        </is>
      </c>
      <c r="B6662" s="4" t="n">
        <v>3</v>
      </c>
      <c r="C6662" s="4" t="inlineStr">
        <is>
          <t>mule deer</t>
        </is>
      </c>
      <c r="D6662" s="4" t="n">
        <v>2005</v>
      </c>
      <c r="E6662" s="15" t="inlineStr">
        <is>
          <t>Draw</t>
        </is>
      </c>
      <c r="F6662" s="5" t="n">
        <v>1804</v>
      </c>
      <c r="G6662" s="5" t="n">
        <v>10616</v>
      </c>
      <c r="H6662" s="5" t="n">
        <v>751</v>
      </c>
      <c r="I6662" s="5" t="n">
        <v>575</v>
      </c>
      <c r="J6662" s="5" t="n">
        <v>174</v>
      </c>
      <c r="K6662" s="10">
        <f>IF(F6662&gt;0,H6662/F6662,"")</f>
        <v/>
      </c>
      <c r="L6662" s="16">
        <f>IF(AND(G6662&gt;0,H6662&gt;0),G6662/H6662,"")</f>
        <v/>
      </c>
    </row>
    <row r="6663">
      <c r="A6663" s="4" t="inlineStr">
        <is>
          <t>380</t>
        </is>
      </c>
      <c r="B6663" s="4" t="n">
        <v>3</v>
      </c>
      <c r="C6663" s="4" t="inlineStr">
        <is>
          <t>mule deer</t>
        </is>
      </c>
      <c r="D6663" s="4" t="n">
        <v>2006</v>
      </c>
      <c r="E6663" s="15" t="inlineStr">
        <is>
          <t>Draw</t>
        </is>
      </c>
      <c r="F6663" s="5" t="n">
        <v>2093</v>
      </c>
      <c r="G6663" s="5" t="n">
        <v>13856</v>
      </c>
      <c r="H6663" s="5" t="n">
        <v>811</v>
      </c>
      <c r="I6663" s="5" t="n">
        <v>642</v>
      </c>
      <c r="J6663" s="5" t="n">
        <v>167</v>
      </c>
      <c r="K6663" s="10">
        <f>IF(F6663&gt;0,H6663/F6663,"")</f>
        <v/>
      </c>
      <c r="L6663" s="16">
        <f>IF(AND(G6663&gt;0,H6663&gt;0),G6663/H6663,"")</f>
        <v/>
      </c>
    </row>
    <row r="6664">
      <c r="A6664" s="4" t="inlineStr">
        <is>
          <t>380</t>
        </is>
      </c>
      <c r="B6664" s="4" t="n">
        <v>3</v>
      </c>
      <c r="C6664" s="4" t="inlineStr">
        <is>
          <t>mule deer</t>
        </is>
      </c>
      <c r="D6664" s="4" t="n">
        <v>2007</v>
      </c>
      <c r="E6664" s="15" t="inlineStr">
        <is>
          <t>Draw</t>
        </is>
      </c>
      <c r="F6664" s="5" t="n">
        <v>2216</v>
      </c>
      <c r="G6664" s="5" t="n">
        <v>14069</v>
      </c>
      <c r="H6664" s="5" t="n">
        <v>644</v>
      </c>
      <c r="I6664" s="5" t="n">
        <v>541</v>
      </c>
      <c r="J6664" s="5" t="n">
        <v>95</v>
      </c>
      <c r="K6664" s="10">
        <f>IF(F6664&gt;0,H6664/F6664,"")</f>
        <v/>
      </c>
      <c r="L6664" s="16">
        <f>IF(AND(G6664&gt;0,H6664&gt;0),G6664/H6664,"")</f>
        <v/>
      </c>
    </row>
    <row r="6665">
      <c r="A6665" s="4" t="inlineStr">
        <is>
          <t>380</t>
        </is>
      </c>
      <c r="B6665" s="4" t="n">
        <v>3</v>
      </c>
      <c r="C6665" s="4" t="inlineStr">
        <is>
          <t>mule deer</t>
        </is>
      </c>
      <c r="D6665" s="4" t="n">
        <v>2008</v>
      </c>
      <c r="E6665" s="15" t="inlineStr">
        <is>
          <t>Draw</t>
        </is>
      </c>
      <c r="F6665" s="5" t="n">
        <v>2352</v>
      </c>
      <c r="G6665" s="5" t="n">
        <v>16933</v>
      </c>
      <c r="H6665" s="5" t="n">
        <v>614</v>
      </c>
      <c r="I6665" s="5" t="n">
        <v>506</v>
      </c>
      <c r="J6665" s="5" t="n">
        <v>107</v>
      </c>
      <c r="K6665" s="10">
        <f>IF(F6665&gt;0,H6665/F6665,"")</f>
        <v/>
      </c>
      <c r="L6665" s="16">
        <f>IF(AND(G6665&gt;0,H6665&gt;0),G6665/H6665,"")</f>
        <v/>
      </c>
    </row>
    <row r="6666">
      <c r="A6666" s="4" t="inlineStr">
        <is>
          <t>380</t>
        </is>
      </c>
      <c r="B6666" s="4" t="n">
        <v>3</v>
      </c>
      <c r="C6666" s="4" t="inlineStr">
        <is>
          <t>mule deer</t>
        </is>
      </c>
      <c r="D6666" s="4" t="n">
        <v>2009</v>
      </c>
      <c r="E6666" s="15" t="inlineStr">
        <is>
          <t>Draw</t>
        </is>
      </c>
      <c r="F6666" s="5" t="n">
        <v>2084</v>
      </c>
      <c r="G6666" s="5" t="n">
        <v>14162</v>
      </c>
      <c r="H6666" s="5" t="n">
        <v>539</v>
      </c>
      <c r="I6666" s="5" t="n">
        <v>400</v>
      </c>
      <c r="J6666" s="5" t="n">
        <v>135</v>
      </c>
      <c r="K6666" s="10">
        <f>IF(F6666&gt;0,H6666/F6666,"")</f>
        <v/>
      </c>
      <c r="L6666" s="16">
        <f>IF(AND(G6666&gt;0,H6666&gt;0),G6666/H6666,"")</f>
        <v/>
      </c>
    </row>
    <row r="6667">
      <c r="A6667" s="4" t="inlineStr">
        <is>
          <t>380</t>
        </is>
      </c>
      <c r="B6667" s="4" t="n">
        <v>3</v>
      </c>
      <c r="C6667" s="4" t="inlineStr">
        <is>
          <t>mule deer</t>
        </is>
      </c>
      <c r="D6667" s="4" t="n">
        <v>2010</v>
      </c>
      <c r="E6667" s="15" t="inlineStr">
        <is>
          <t>Draw</t>
        </is>
      </c>
      <c r="F6667" s="5" t="n">
        <v>1913</v>
      </c>
      <c r="G6667" s="5" t="n">
        <v>12700</v>
      </c>
      <c r="H6667" s="5" t="n">
        <v>465</v>
      </c>
      <c r="I6667" s="5" t="n">
        <v>400</v>
      </c>
      <c r="J6667" s="5" t="n">
        <v>66</v>
      </c>
      <c r="K6667" s="10">
        <f>IF(F6667&gt;0,H6667/F6667,"")</f>
        <v/>
      </c>
      <c r="L6667" s="16">
        <f>IF(AND(G6667&gt;0,H6667&gt;0),G6667/H6667,"")</f>
        <v/>
      </c>
    </row>
    <row r="6668">
      <c r="A6668" s="4" t="inlineStr">
        <is>
          <t>380</t>
        </is>
      </c>
      <c r="B6668" s="4" t="n">
        <v>3</v>
      </c>
      <c r="C6668" s="4" t="inlineStr">
        <is>
          <t>mule deer</t>
        </is>
      </c>
      <c r="D6668" s="4" t="n">
        <v>2011</v>
      </c>
      <c r="E6668" s="15" t="inlineStr">
        <is>
          <t>Draw</t>
        </is>
      </c>
      <c r="F6668" s="5" t="n">
        <v>1818</v>
      </c>
      <c r="G6668" s="5" t="n">
        <v>12231</v>
      </c>
      <c r="H6668" s="5" t="n">
        <v>441</v>
      </c>
      <c r="I6668" s="5" t="n">
        <v>384</v>
      </c>
      <c r="J6668" s="5" t="n">
        <v>57</v>
      </c>
      <c r="K6668" s="10">
        <f>IF(F6668&gt;0,H6668/F6668,"")</f>
        <v/>
      </c>
      <c r="L6668" s="16">
        <f>IF(AND(G6668&gt;0,H6668&gt;0),G6668/H6668,"")</f>
        <v/>
      </c>
    </row>
    <row r="6669">
      <c r="A6669" s="4" t="inlineStr">
        <is>
          <t>380</t>
        </is>
      </c>
      <c r="B6669" s="4" t="n">
        <v>3</v>
      </c>
      <c r="C6669" s="4" t="inlineStr">
        <is>
          <t>mule deer</t>
        </is>
      </c>
      <c r="D6669" s="4" t="n">
        <v>2012</v>
      </c>
      <c r="E6669" s="15" t="inlineStr">
        <is>
          <t>Draw</t>
        </is>
      </c>
      <c r="F6669" s="5" t="n"/>
      <c r="G6669" s="5" t="n"/>
      <c r="H6669" s="5" t="n">
        <v>391</v>
      </c>
      <c r="I6669" s="5" t="n">
        <v>308</v>
      </c>
      <c r="J6669" s="5" t="n">
        <v>83</v>
      </c>
      <c r="K6669" s="10">
        <f>IF(F6669&gt;0,H6669/F6669,"")</f>
        <v/>
      </c>
      <c r="L6669" s="16">
        <f>IF(AND(G6669&gt;0,H6669&gt;0),G6669/H6669,"")</f>
        <v/>
      </c>
    </row>
    <row r="6670">
      <c r="A6670" s="4" t="inlineStr">
        <is>
          <t>380</t>
        </is>
      </c>
      <c r="B6670" s="4" t="n">
        <v>3</v>
      </c>
      <c r="C6670" s="4" t="inlineStr">
        <is>
          <t>mule deer</t>
        </is>
      </c>
      <c r="D6670" s="4" t="n">
        <v>2013</v>
      </c>
      <c r="E6670" s="15" t="inlineStr">
        <is>
          <t>Draw</t>
        </is>
      </c>
      <c r="F6670" s="5" t="n">
        <v>2048</v>
      </c>
      <c r="G6670" s="5" t="n">
        <v>13756</v>
      </c>
      <c r="H6670" s="5" t="n">
        <v>322</v>
      </c>
      <c r="I6670" s="5" t="n">
        <v>280</v>
      </c>
      <c r="J6670" s="5" t="n">
        <v>42</v>
      </c>
      <c r="K6670" s="10">
        <f>IF(F6670&gt;0,H6670/F6670,"")</f>
        <v/>
      </c>
      <c r="L6670" s="16">
        <f>IF(AND(G6670&gt;0,H6670&gt;0),G6670/H6670,"")</f>
        <v/>
      </c>
    </row>
    <row r="6671">
      <c r="A6671" s="4" t="inlineStr">
        <is>
          <t>380</t>
        </is>
      </c>
      <c r="B6671" s="4" t="n">
        <v>3</v>
      </c>
      <c r="C6671" s="4" t="inlineStr">
        <is>
          <t>mule deer</t>
        </is>
      </c>
      <c r="D6671" s="4" t="n">
        <v>2014</v>
      </c>
      <c r="E6671" s="15" t="inlineStr">
        <is>
          <t>Draw</t>
        </is>
      </c>
      <c r="F6671" s="5" t="n"/>
      <c r="G6671" s="5" t="n"/>
      <c r="H6671" s="5" t="n">
        <v>310</v>
      </c>
      <c r="I6671" s="5" t="n">
        <v>296</v>
      </c>
      <c r="J6671" s="5" t="n">
        <v>14</v>
      </c>
      <c r="K6671" s="10">
        <f>IF(F6671&gt;0,H6671/F6671,"")</f>
        <v/>
      </c>
      <c r="L6671" s="16">
        <f>IF(AND(G6671&gt;0,H6671&gt;0),G6671/H6671,"")</f>
        <v/>
      </c>
    </row>
    <row r="6672">
      <c r="A6672" s="4" t="inlineStr">
        <is>
          <t>380</t>
        </is>
      </c>
      <c r="B6672" s="4" t="n">
        <v>3</v>
      </c>
      <c r="C6672" s="4" t="inlineStr">
        <is>
          <t>mule deer</t>
        </is>
      </c>
      <c r="D6672" s="4" t="n">
        <v>2015</v>
      </c>
      <c r="E6672" s="15" t="inlineStr">
        <is>
          <t>Draw</t>
        </is>
      </c>
      <c r="F6672" s="5" t="n"/>
      <c r="G6672" s="5" t="n"/>
      <c r="H6672" s="5" t="n">
        <v>422</v>
      </c>
      <c r="I6672" s="5" t="n">
        <v>389</v>
      </c>
      <c r="J6672" s="5" t="n">
        <v>29</v>
      </c>
      <c r="K6672" s="10">
        <f>IF(F6672&gt;0,H6672/F6672,"")</f>
        <v/>
      </c>
      <c r="L6672" s="16">
        <f>IF(AND(G6672&gt;0,H6672&gt;0),G6672/H6672,"")</f>
        <v/>
      </c>
    </row>
    <row r="6673">
      <c r="A6673" s="4" t="inlineStr">
        <is>
          <t>380</t>
        </is>
      </c>
      <c r="B6673" s="4" t="n">
        <v>3</v>
      </c>
      <c r="C6673" s="4" t="inlineStr">
        <is>
          <t>mule deer</t>
        </is>
      </c>
      <c r="D6673" s="4" t="n">
        <v>2016</v>
      </c>
      <c r="E6673" s="15" t="inlineStr">
        <is>
          <t>Draw</t>
        </is>
      </c>
      <c r="F6673" s="5" t="n"/>
      <c r="G6673" s="5" t="n"/>
      <c r="H6673" s="5" t="n">
        <v>445</v>
      </c>
      <c r="I6673" s="5" t="n">
        <v>382</v>
      </c>
      <c r="J6673" s="5" t="n">
        <v>63</v>
      </c>
      <c r="K6673" s="10">
        <f>IF(F6673&gt;0,H6673/F6673,"")</f>
        <v/>
      </c>
      <c r="L6673" s="16">
        <f>IF(AND(G6673&gt;0,H6673&gt;0),G6673/H6673,"")</f>
        <v/>
      </c>
    </row>
    <row r="6674">
      <c r="A6674" s="4" t="inlineStr">
        <is>
          <t>380</t>
        </is>
      </c>
      <c r="B6674" s="4" t="n">
        <v>3</v>
      </c>
      <c r="C6674" s="4" t="inlineStr">
        <is>
          <t>mule deer</t>
        </is>
      </c>
      <c r="D6674" s="4" t="n">
        <v>2017</v>
      </c>
      <c r="E6674" s="15" t="inlineStr">
        <is>
          <t>Draw</t>
        </is>
      </c>
      <c r="F6674" s="5" t="n">
        <v>1862</v>
      </c>
      <c r="G6674" s="5" t="n">
        <v>12933</v>
      </c>
      <c r="H6674" s="5" t="n">
        <v>402</v>
      </c>
      <c r="I6674" s="5" t="n">
        <v>295</v>
      </c>
      <c r="J6674" s="5" t="n">
        <v>105</v>
      </c>
      <c r="K6674" s="10">
        <f>IF(F6674&gt;0,H6674/F6674,"")</f>
        <v/>
      </c>
      <c r="L6674" s="16">
        <f>IF(AND(G6674&gt;0,H6674&gt;0),G6674/H6674,"")</f>
        <v/>
      </c>
    </row>
    <row r="6675">
      <c r="A6675" s="4" t="inlineStr">
        <is>
          <t>380</t>
        </is>
      </c>
      <c r="B6675" s="4" t="n">
        <v>3</v>
      </c>
      <c r="C6675" s="4" t="inlineStr">
        <is>
          <t>mule deer</t>
        </is>
      </c>
      <c r="D6675" s="4" t="n">
        <v>2018</v>
      </c>
      <c r="E6675" s="15" t="inlineStr">
        <is>
          <t>Draw</t>
        </is>
      </c>
      <c r="F6675" s="5" t="n"/>
      <c r="G6675" s="5" t="n"/>
      <c r="H6675" s="5" t="n">
        <v>431</v>
      </c>
      <c r="I6675" s="5" t="n">
        <v>332</v>
      </c>
      <c r="J6675" s="5" t="n">
        <v>98</v>
      </c>
      <c r="K6675" s="10">
        <f>IF(F6675&gt;0,H6675/F6675,"")</f>
        <v/>
      </c>
      <c r="L6675" s="16">
        <f>IF(AND(G6675&gt;0,H6675&gt;0),G6675/H6675,"")</f>
        <v/>
      </c>
    </row>
    <row r="6676">
      <c r="A6676" s="4" t="inlineStr">
        <is>
          <t>380</t>
        </is>
      </c>
      <c r="B6676" s="4" t="n">
        <v>3</v>
      </c>
      <c r="C6676" s="4" t="inlineStr">
        <is>
          <t>mule deer</t>
        </is>
      </c>
      <c r="D6676" s="4" t="n">
        <v>2019</v>
      </c>
      <c r="E6676" s="15" t="inlineStr">
        <is>
          <t>Draw</t>
        </is>
      </c>
      <c r="F6676" s="5" t="n">
        <v>1723</v>
      </c>
      <c r="G6676" s="5" t="n">
        <v>10536</v>
      </c>
      <c r="H6676" s="5" t="n">
        <v>352</v>
      </c>
      <c r="I6676" s="5" t="n">
        <v>260</v>
      </c>
      <c r="J6676" s="5" t="n">
        <v>91</v>
      </c>
      <c r="K6676" s="10">
        <f>IF(F6676&gt;0,H6676/F6676,"")</f>
        <v/>
      </c>
      <c r="L6676" s="16">
        <f>IF(AND(G6676&gt;0,H6676&gt;0),G6676/H6676,"")</f>
        <v/>
      </c>
    </row>
    <row r="6677">
      <c r="A6677" s="4" t="inlineStr">
        <is>
          <t>380</t>
        </is>
      </c>
      <c r="B6677" s="4" t="n">
        <v>3</v>
      </c>
      <c r="C6677" s="4" t="inlineStr">
        <is>
          <t>mule deer</t>
        </is>
      </c>
      <c r="D6677" s="4" t="n">
        <v>2020</v>
      </c>
      <c r="E6677" s="15" t="inlineStr">
        <is>
          <t>Draw</t>
        </is>
      </c>
      <c r="F6677" s="5" t="n"/>
      <c r="G6677" s="5" t="n"/>
      <c r="H6677" s="5" t="n">
        <v>402</v>
      </c>
      <c r="I6677" s="5" t="n">
        <v>301</v>
      </c>
      <c r="J6677" s="5" t="n">
        <v>96</v>
      </c>
      <c r="K6677" s="10">
        <f>IF(F6677&gt;0,H6677/F6677,"")</f>
        <v/>
      </c>
      <c r="L6677" s="16">
        <f>IF(AND(G6677&gt;0,H6677&gt;0),G6677/H6677,"")</f>
        <v/>
      </c>
    </row>
    <row r="6678">
      <c r="A6678" s="4" t="inlineStr">
        <is>
          <t>380</t>
        </is>
      </c>
      <c r="B6678" s="4" t="n">
        <v>3</v>
      </c>
      <c r="C6678" s="4" t="inlineStr">
        <is>
          <t>mule deer</t>
        </is>
      </c>
      <c r="D6678" s="4" t="n">
        <v>2021</v>
      </c>
      <c r="E6678" s="15" t="inlineStr">
        <is>
          <t>Draw</t>
        </is>
      </c>
      <c r="F6678" s="5" t="n">
        <v>1817</v>
      </c>
      <c r="G6678" s="5" t="n">
        <v>12115</v>
      </c>
      <c r="H6678" s="5" t="n">
        <v>383</v>
      </c>
      <c r="I6678" s="5" t="n">
        <v>280</v>
      </c>
      <c r="J6678" s="5" t="n">
        <v>103</v>
      </c>
      <c r="K6678" s="10">
        <f>IF(F6678&gt;0,H6678/F6678,"")</f>
        <v/>
      </c>
      <c r="L6678" s="16">
        <f>IF(AND(G6678&gt;0,H6678&gt;0),G6678/H6678,"")</f>
        <v/>
      </c>
    </row>
    <row r="6679">
      <c r="A6679" s="4" t="inlineStr">
        <is>
          <t>380</t>
        </is>
      </c>
      <c r="B6679" s="4" t="n">
        <v>3</v>
      </c>
      <c r="C6679" s="4" t="inlineStr">
        <is>
          <t>mule deer</t>
        </is>
      </c>
      <c r="D6679" s="4" t="n">
        <v>2022</v>
      </c>
      <c r="E6679" s="15" t="inlineStr">
        <is>
          <t>Draw</t>
        </is>
      </c>
      <c r="F6679" s="5" t="n"/>
      <c r="G6679" s="5" t="n"/>
      <c r="H6679" s="5" t="n">
        <v>325</v>
      </c>
      <c r="I6679" s="5" t="n">
        <v>268</v>
      </c>
      <c r="J6679" s="5" t="n">
        <v>58</v>
      </c>
      <c r="K6679" s="10">
        <f>IF(F6679&gt;0,H6679/F6679,"")</f>
        <v/>
      </c>
      <c r="L6679" s="16">
        <f>IF(AND(G6679&gt;0,H6679&gt;0),G6679/H6679,"")</f>
        <v/>
      </c>
    </row>
    <row r="6680">
      <c r="A6680" s="4" t="inlineStr">
        <is>
          <t>380</t>
        </is>
      </c>
      <c r="B6680" s="4" t="n">
        <v>3</v>
      </c>
      <c r="C6680" s="4" t="inlineStr">
        <is>
          <t>mule deer</t>
        </is>
      </c>
      <c r="D6680" s="4" t="n">
        <v>2023</v>
      </c>
      <c r="E6680" s="15" t="inlineStr">
        <is>
          <t>Draw</t>
        </is>
      </c>
      <c r="F6680" s="5" t="n">
        <v>1770</v>
      </c>
      <c r="G6680" s="5" t="n">
        <v>12249</v>
      </c>
      <c r="H6680" s="5" t="n">
        <v>337</v>
      </c>
      <c r="I6680" s="5" t="n">
        <v>293</v>
      </c>
      <c r="J6680" s="5" t="n">
        <v>44</v>
      </c>
      <c r="K6680" s="10">
        <f>IF(F6680&gt;0,H6680/F6680,"")</f>
        <v/>
      </c>
      <c r="L6680" s="16">
        <f>IF(AND(G6680&gt;0,H6680&gt;0),G6680/H6680,"")</f>
        <v/>
      </c>
    </row>
    <row r="6681">
      <c r="A6681" s="4" t="inlineStr">
        <is>
          <t>380</t>
        </is>
      </c>
      <c r="B6681" s="4" t="n">
        <v>3</v>
      </c>
      <c r="C6681" s="4" t="inlineStr">
        <is>
          <t>mule deer</t>
        </is>
      </c>
      <c r="D6681" s="4" t="n">
        <v>2024</v>
      </c>
      <c r="E6681" s="15" t="inlineStr">
        <is>
          <t>Draw</t>
        </is>
      </c>
      <c r="F6681" s="5" t="n"/>
      <c r="G6681" s="5" t="n"/>
      <c r="H6681" s="5" t="n">
        <v>371</v>
      </c>
      <c r="I6681" s="5" t="n">
        <v>336</v>
      </c>
      <c r="J6681" s="5" t="n">
        <v>35</v>
      </c>
      <c r="K6681" s="10">
        <f>IF(F6681&gt;0,H6681/F6681,"")</f>
        <v/>
      </c>
      <c r="L6681" s="16">
        <f>IF(AND(G6681&gt;0,H6681&gt;0),G6681/H6681,"")</f>
        <v/>
      </c>
    </row>
    <row r="6682">
      <c r="A6682" s="4" t="inlineStr">
        <is>
          <t>380</t>
        </is>
      </c>
      <c r="B6682" s="4" t="n">
        <v>3</v>
      </c>
      <c r="C6682" s="4" t="inlineStr">
        <is>
          <t>mule deer</t>
        </is>
      </c>
      <c r="D6682" s="4" t="n">
        <v>2025</v>
      </c>
      <c r="E6682" s="15" t="inlineStr">
        <is>
          <t>Draw</t>
        </is>
      </c>
      <c r="F6682" s="5" t="n">
        <v>1915</v>
      </c>
      <c r="G6682" s="5" t="n">
        <v>12062</v>
      </c>
      <c r="H6682" s="5" t="n">
        <v>357</v>
      </c>
      <c r="I6682" s="5" t="n">
        <v>318</v>
      </c>
      <c r="J6682" s="5" t="n">
        <v>39</v>
      </c>
      <c r="K6682" s="10">
        <f>IF(F6682&gt;0,H6682/F6682,"")</f>
        <v/>
      </c>
      <c r="L6682" s="16">
        <f>IF(AND(G6682&gt;0,H6682&gt;0),G6682/H6682,"")</f>
        <v/>
      </c>
    </row>
    <row r="6683">
      <c r="A6683" s="4" t="inlineStr">
        <is>
          <t>388</t>
        </is>
      </c>
      <c r="B6683" s="4" t="n">
        <v>3</v>
      </c>
      <c r="C6683" s="4" t="inlineStr">
        <is>
          <t>mule deer</t>
        </is>
      </c>
      <c r="D6683" s="4" t="n">
        <v>2006</v>
      </c>
      <c r="E6683" s="13" t="inlineStr">
        <is>
          <t>General</t>
        </is>
      </c>
      <c r="F6683" s="5" t="n">
        <v>475</v>
      </c>
      <c r="G6683" s="5" t="n">
        <v>2859</v>
      </c>
      <c r="H6683" s="5" t="n">
        <v>306</v>
      </c>
      <c r="I6683" s="5" t="n">
        <v>136</v>
      </c>
      <c r="J6683" s="5" t="n">
        <v>163</v>
      </c>
      <c r="K6683" s="10">
        <f>IF(F6683&gt;0,H6683/F6683,"")</f>
        <v/>
      </c>
      <c r="L6683" s="16">
        <f>IF(AND(G6683&gt;0,H6683&gt;0),G6683/H6683,"")</f>
        <v/>
      </c>
    </row>
    <row r="6684">
      <c r="A6684" s="4" t="inlineStr">
        <is>
          <t>388</t>
        </is>
      </c>
      <c r="B6684" s="4" t="n">
        <v>3</v>
      </c>
      <c r="C6684" s="4" t="inlineStr">
        <is>
          <t>mule deer</t>
        </is>
      </c>
      <c r="D6684" s="4" t="n">
        <v>2007</v>
      </c>
      <c r="E6684" s="13" t="inlineStr">
        <is>
          <t>General</t>
        </is>
      </c>
      <c r="F6684" s="5" t="n">
        <v>525</v>
      </c>
      <c r="G6684" s="5" t="n">
        <v>3138</v>
      </c>
      <c r="H6684" s="5" t="n">
        <v>256</v>
      </c>
      <c r="I6684" s="5" t="n">
        <v>99</v>
      </c>
      <c r="J6684" s="5" t="n">
        <v>152</v>
      </c>
      <c r="K6684" s="10">
        <f>IF(F6684&gt;0,H6684/F6684,"")</f>
        <v/>
      </c>
      <c r="L6684" s="16">
        <f>IF(AND(G6684&gt;0,H6684&gt;0),G6684/H6684,"")</f>
        <v/>
      </c>
    </row>
    <row r="6685">
      <c r="A6685" s="4" t="inlineStr">
        <is>
          <t>388</t>
        </is>
      </c>
      <c r="B6685" s="4" t="n">
        <v>3</v>
      </c>
      <c r="C6685" s="4" t="inlineStr">
        <is>
          <t>mule deer</t>
        </is>
      </c>
      <c r="D6685" s="4" t="n">
        <v>2008</v>
      </c>
      <c r="E6685" s="13" t="inlineStr">
        <is>
          <t>General</t>
        </is>
      </c>
      <c r="F6685" s="5" t="n">
        <v>630</v>
      </c>
      <c r="G6685" s="5" t="n">
        <v>4879</v>
      </c>
      <c r="H6685" s="5" t="n">
        <v>291</v>
      </c>
      <c r="I6685" s="5" t="n">
        <v>92</v>
      </c>
      <c r="J6685" s="5" t="n">
        <v>189</v>
      </c>
      <c r="K6685" s="10">
        <f>IF(F6685&gt;0,H6685/F6685,"")</f>
        <v/>
      </c>
      <c r="L6685" s="16">
        <f>IF(AND(G6685&gt;0,H6685&gt;0),G6685/H6685,"")</f>
        <v/>
      </c>
    </row>
    <row r="6686">
      <c r="A6686" s="4" t="inlineStr">
        <is>
          <t>388</t>
        </is>
      </c>
      <c r="B6686" s="4" t="n">
        <v>3</v>
      </c>
      <c r="C6686" s="4" t="inlineStr">
        <is>
          <t>mule deer</t>
        </is>
      </c>
      <c r="D6686" s="4" t="n">
        <v>2009</v>
      </c>
      <c r="E6686" s="13" t="inlineStr">
        <is>
          <t>General</t>
        </is>
      </c>
      <c r="F6686" s="5" t="n">
        <v>552</v>
      </c>
      <c r="G6686" s="5" t="n">
        <v>3881</v>
      </c>
      <c r="H6686" s="5" t="n">
        <v>157</v>
      </c>
      <c r="I6686" s="5" t="n">
        <v>22</v>
      </c>
      <c r="J6686" s="5" t="n">
        <v>133</v>
      </c>
      <c r="K6686" s="10">
        <f>IF(F6686&gt;0,H6686/F6686,"")</f>
        <v/>
      </c>
      <c r="L6686" s="16">
        <f>IF(AND(G6686&gt;0,H6686&gt;0),G6686/H6686,"")</f>
        <v/>
      </c>
    </row>
    <row r="6687">
      <c r="A6687" s="4" t="inlineStr">
        <is>
          <t>388</t>
        </is>
      </c>
      <c r="B6687" s="4" t="n">
        <v>3</v>
      </c>
      <c r="C6687" s="4" t="inlineStr">
        <is>
          <t>mule deer</t>
        </is>
      </c>
      <c r="D6687" s="4" t="n">
        <v>2010</v>
      </c>
      <c r="E6687" s="13" t="inlineStr">
        <is>
          <t>General</t>
        </is>
      </c>
      <c r="F6687" s="5" t="n">
        <v>621</v>
      </c>
      <c r="G6687" s="5" t="n">
        <v>3829</v>
      </c>
      <c r="H6687" s="5" t="n">
        <v>98</v>
      </c>
      <c r="I6687" s="5" t="n">
        <v>25</v>
      </c>
      <c r="J6687" s="5" t="n">
        <v>70</v>
      </c>
      <c r="K6687" s="10">
        <f>IF(F6687&gt;0,H6687/F6687,"")</f>
        <v/>
      </c>
      <c r="L6687" s="16">
        <f>IF(AND(G6687&gt;0,H6687&gt;0),G6687/H6687,"")</f>
        <v/>
      </c>
    </row>
    <row r="6688">
      <c r="A6688" s="4" t="inlineStr">
        <is>
          <t>388</t>
        </is>
      </c>
      <c r="B6688" s="4" t="n">
        <v>3</v>
      </c>
      <c r="C6688" s="4" t="inlineStr">
        <is>
          <t>mule deer</t>
        </is>
      </c>
      <c r="D6688" s="4" t="n">
        <v>2011</v>
      </c>
      <c r="E6688" s="13" t="inlineStr">
        <is>
          <t>General</t>
        </is>
      </c>
      <c r="F6688" s="5" t="n">
        <v>494</v>
      </c>
      <c r="G6688" s="5" t="n">
        <v>3471</v>
      </c>
      <c r="H6688" s="5" t="n">
        <v>95</v>
      </c>
      <c r="I6688" s="5" t="n">
        <v>37</v>
      </c>
      <c r="J6688" s="5" t="n">
        <v>58</v>
      </c>
      <c r="K6688" s="10">
        <f>IF(F6688&gt;0,H6688/F6688,"")</f>
        <v/>
      </c>
      <c r="L6688" s="16">
        <f>IF(AND(G6688&gt;0,H6688&gt;0),G6688/H6688,"")</f>
        <v/>
      </c>
    </row>
    <row r="6689">
      <c r="A6689" s="4" t="inlineStr">
        <is>
          <t>388</t>
        </is>
      </c>
      <c r="B6689" s="4" t="n">
        <v>3</v>
      </c>
      <c r="C6689" s="4" t="inlineStr">
        <is>
          <t>mule deer</t>
        </is>
      </c>
      <c r="D6689" s="4" t="n">
        <v>2012</v>
      </c>
      <c r="E6689" s="13" t="inlineStr">
        <is>
          <t>General</t>
        </is>
      </c>
      <c r="F6689" s="5" t="n"/>
      <c r="G6689" s="5" t="n"/>
      <c r="H6689" s="5" t="n">
        <v>121</v>
      </c>
      <c r="I6689" s="5" t="n">
        <v>39</v>
      </c>
      <c r="J6689" s="5" t="n">
        <v>82</v>
      </c>
      <c r="K6689" s="10">
        <f>IF(F6689&gt;0,H6689/F6689,"")</f>
        <v/>
      </c>
      <c r="L6689" s="16">
        <f>IF(AND(G6689&gt;0,H6689&gt;0),G6689/H6689,"")</f>
        <v/>
      </c>
    </row>
    <row r="6690">
      <c r="A6690" s="4" t="inlineStr">
        <is>
          <t>388</t>
        </is>
      </c>
      <c r="B6690" s="4" t="n">
        <v>3</v>
      </c>
      <c r="C6690" s="4" t="inlineStr">
        <is>
          <t>mule deer</t>
        </is>
      </c>
      <c r="D6690" s="4" t="n">
        <v>2013</v>
      </c>
      <c r="E6690" s="13" t="inlineStr">
        <is>
          <t>General</t>
        </is>
      </c>
      <c r="F6690" s="5" t="n">
        <v>597</v>
      </c>
      <c r="G6690" s="5" t="n">
        <v>3539</v>
      </c>
      <c r="H6690" s="5" t="n">
        <v>106</v>
      </c>
      <c r="I6690" s="5" t="n">
        <v>42</v>
      </c>
      <c r="J6690" s="5" t="n">
        <v>59</v>
      </c>
      <c r="K6690" s="10">
        <f>IF(F6690&gt;0,H6690/F6690,"")</f>
        <v/>
      </c>
      <c r="L6690" s="16">
        <f>IF(AND(G6690&gt;0,H6690&gt;0),G6690/H6690,"")</f>
        <v/>
      </c>
    </row>
    <row r="6691">
      <c r="A6691" s="4" t="inlineStr">
        <is>
          <t>388</t>
        </is>
      </c>
      <c r="B6691" s="4" t="n">
        <v>3</v>
      </c>
      <c r="C6691" s="4" t="inlineStr">
        <is>
          <t>mule deer</t>
        </is>
      </c>
      <c r="D6691" s="4" t="n">
        <v>2014</v>
      </c>
      <c r="E6691" s="13" t="inlineStr">
        <is>
          <t>General</t>
        </is>
      </c>
      <c r="F6691" s="5" t="n"/>
      <c r="G6691" s="5" t="n"/>
      <c r="H6691" s="5" t="n">
        <v>93</v>
      </c>
      <c r="I6691" s="5" t="n">
        <v>45</v>
      </c>
      <c r="J6691" s="5" t="n">
        <v>48</v>
      </c>
      <c r="K6691" s="10">
        <f>IF(F6691&gt;0,H6691/F6691,"")</f>
        <v/>
      </c>
      <c r="L6691" s="16">
        <f>IF(AND(G6691&gt;0,H6691&gt;0),G6691/H6691,"")</f>
        <v/>
      </c>
    </row>
    <row r="6692">
      <c r="A6692" s="4" t="inlineStr">
        <is>
          <t>388</t>
        </is>
      </c>
      <c r="B6692" s="4" t="n">
        <v>3</v>
      </c>
      <c r="C6692" s="4" t="inlineStr">
        <is>
          <t>mule deer</t>
        </is>
      </c>
      <c r="D6692" s="4" t="n">
        <v>2015</v>
      </c>
      <c r="E6692" s="13" t="inlineStr">
        <is>
          <t>General</t>
        </is>
      </c>
      <c r="F6692" s="5" t="n"/>
      <c r="G6692" s="5" t="n"/>
      <c r="H6692" s="5" t="n">
        <v>80</v>
      </c>
      <c r="I6692" s="5" t="n">
        <v>30</v>
      </c>
      <c r="J6692" s="5" t="n">
        <v>50</v>
      </c>
      <c r="K6692" s="10">
        <f>IF(F6692&gt;0,H6692/F6692,"")</f>
        <v/>
      </c>
      <c r="L6692" s="16">
        <f>IF(AND(G6692&gt;0,H6692&gt;0),G6692/H6692,"")</f>
        <v/>
      </c>
    </row>
    <row r="6693">
      <c r="A6693" s="4" t="inlineStr">
        <is>
          <t>388</t>
        </is>
      </c>
      <c r="B6693" s="4" t="n">
        <v>3</v>
      </c>
      <c r="C6693" s="4" t="inlineStr">
        <is>
          <t>mule deer</t>
        </is>
      </c>
      <c r="D6693" s="4" t="n">
        <v>2016</v>
      </c>
      <c r="E6693" s="13" t="inlineStr">
        <is>
          <t>General</t>
        </is>
      </c>
      <c r="F6693" s="5" t="n"/>
      <c r="G6693" s="5" t="n"/>
      <c r="H6693" s="5" t="n">
        <v>112</v>
      </c>
      <c r="I6693" s="5" t="n">
        <v>63</v>
      </c>
      <c r="J6693" s="5" t="n">
        <v>48</v>
      </c>
      <c r="K6693" s="10">
        <f>IF(F6693&gt;0,H6693/F6693,"")</f>
        <v/>
      </c>
      <c r="L6693" s="16">
        <f>IF(AND(G6693&gt;0,H6693&gt;0),G6693/H6693,"")</f>
        <v/>
      </c>
    </row>
    <row r="6694">
      <c r="A6694" s="4" t="inlineStr">
        <is>
          <t>388</t>
        </is>
      </c>
      <c r="B6694" s="4" t="n">
        <v>3</v>
      </c>
      <c r="C6694" s="4" t="inlineStr">
        <is>
          <t>mule deer</t>
        </is>
      </c>
      <c r="D6694" s="4" t="n">
        <v>2017</v>
      </c>
      <c r="E6694" s="13" t="inlineStr">
        <is>
          <t>General</t>
        </is>
      </c>
      <c r="F6694" s="5" t="n">
        <v>444</v>
      </c>
      <c r="G6694" s="5" t="n">
        <v>2549</v>
      </c>
      <c r="H6694" s="5" t="n">
        <v>113</v>
      </c>
      <c r="I6694" s="5" t="n">
        <v>61</v>
      </c>
      <c r="J6694" s="5" t="n">
        <v>51</v>
      </c>
      <c r="K6694" s="10">
        <f>IF(F6694&gt;0,H6694/F6694,"")</f>
        <v/>
      </c>
      <c r="L6694" s="16">
        <f>IF(AND(G6694&gt;0,H6694&gt;0),G6694/H6694,"")</f>
        <v/>
      </c>
    </row>
    <row r="6695">
      <c r="A6695" s="4" t="inlineStr">
        <is>
          <t>388</t>
        </is>
      </c>
      <c r="B6695" s="4" t="n">
        <v>3</v>
      </c>
      <c r="C6695" s="4" t="inlineStr">
        <is>
          <t>mule deer</t>
        </is>
      </c>
      <c r="D6695" s="4" t="n">
        <v>2018</v>
      </c>
      <c r="E6695" s="13" t="inlineStr">
        <is>
          <t>General</t>
        </is>
      </c>
      <c r="F6695" s="5" t="n"/>
      <c r="G6695" s="5" t="n"/>
      <c r="H6695" s="5" t="n">
        <v>109</v>
      </c>
      <c r="I6695" s="5" t="n">
        <v>62</v>
      </c>
      <c r="J6695" s="5" t="n">
        <v>47</v>
      </c>
      <c r="K6695" s="10">
        <f>IF(F6695&gt;0,H6695/F6695,"")</f>
        <v/>
      </c>
      <c r="L6695" s="16">
        <f>IF(AND(G6695&gt;0,H6695&gt;0),G6695/H6695,"")</f>
        <v/>
      </c>
    </row>
    <row r="6696">
      <c r="A6696" s="4" t="inlineStr">
        <is>
          <t>388</t>
        </is>
      </c>
      <c r="B6696" s="4" t="n">
        <v>3</v>
      </c>
      <c r="C6696" s="4" t="inlineStr">
        <is>
          <t>mule deer</t>
        </is>
      </c>
      <c r="D6696" s="4" t="n">
        <v>2019</v>
      </c>
      <c r="E6696" s="13" t="inlineStr">
        <is>
          <t>General</t>
        </is>
      </c>
      <c r="F6696" s="5" t="n">
        <v>446</v>
      </c>
      <c r="G6696" s="5" t="n">
        <v>2614</v>
      </c>
      <c r="H6696" s="5" t="n">
        <v>96</v>
      </c>
      <c r="I6696" s="5" t="n">
        <v>54</v>
      </c>
      <c r="J6696" s="5" t="n">
        <v>42</v>
      </c>
      <c r="K6696" s="10">
        <f>IF(F6696&gt;0,H6696/F6696,"")</f>
        <v/>
      </c>
      <c r="L6696" s="16">
        <f>IF(AND(G6696&gt;0,H6696&gt;0),G6696/H6696,"")</f>
        <v/>
      </c>
    </row>
    <row r="6697">
      <c r="A6697" s="4" t="inlineStr">
        <is>
          <t>388</t>
        </is>
      </c>
      <c r="B6697" s="4" t="n">
        <v>3</v>
      </c>
      <c r="C6697" s="4" t="inlineStr">
        <is>
          <t>mule deer</t>
        </is>
      </c>
      <c r="D6697" s="4" t="n">
        <v>2020</v>
      </c>
      <c r="E6697" s="13" t="inlineStr">
        <is>
          <t>General</t>
        </is>
      </c>
      <c r="F6697" s="5" t="n"/>
      <c r="G6697" s="5" t="n"/>
      <c r="H6697" s="5" t="n">
        <v>113</v>
      </c>
      <c r="I6697" s="5" t="n">
        <v>78</v>
      </c>
      <c r="J6697" s="5" t="n">
        <v>35</v>
      </c>
      <c r="K6697" s="10">
        <f>IF(F6697&gt;0,H6697/F6697,"")</f>
        <v/>
      </c>
      <c r="L6697" s="16">
        <f>IF(AND(G6697&gt;0,H6697&gt;0),G6697/H6697,"")</f>
        <v/>
      </c>
    </row>
    <row r="6698">
      <c r="A6698" s="4" t="inlineStr">
        <is>
          <t>388</t>
        </is>
      </c>
      <c r="B6698" s="4" t="n">
        <v>3</v>
      </c>
      <c r="C6698" s="4" t="inlineStr">
        <is>
          <t>mule deer</t>
        </is>
      </c>
      <c r="D6698" s="4" t="n">
        <v>2021</v>
      </c>
      <c r="E6698" s="13" t="inlineStr">
        <is>
          <t>General</t>
        </is>
      </c>
      <c r="F6698" s="5" t="n">
        <v>431</v>
      </c>
      <c r="G6698" s="5" t="n">
        <v>2635</v>
      </c>
      <c r="H6698" s="5" t="n">
        <v>79</v>
      </c>
      <c r="I6698" s="5" t="n">
        <v>56</v>
      </c>
      <c r="J6698" s="5" t="n">
        <v>23</v>
      </c>
      <c r="K6698" s="10">
        <f>IF(F6698&gt;0,H6698/F6698,"")</f>
        <v/>
      </c>
      <c r="L6698" s="16">
        <f>IF(AND(G6698&gt;0,H6698&gt;0),G6698/H6698,"")</f>
        <v/>
      </c>
    </row>
    <row r="6699">
      <c r="A6699" s="4" t="inlineStr">
        <is>
          <t>388</t>
        </is>
      </c>
      <c r="B6699" s="4" t="n">
        <v>3</v>
      </c>
      <c r="C6699" s="4" t="inlineStr">
        <is>
          <t>mule deer</t>
        </is>
      </c>
      <c r="D6699" s="4" t="n">
        <v>2022</v>
      </c>
      <c r="E6699" s="13" t="inlineStr">
        <is>
          <t>General</t>
        </is>
      </c>
      <c r="F6699" s="5" t="n"/>
      <c r="G6699" s="5" t="n"/>
      <c r="H6699" s="5" t="n">
        <v>97</v>
      </c>
      <c r="I6699" s="5" t="n">
        <v>61</v>
      </c>
      <c r="J6699" s="5" t="n">
        <v>36</v>
      </c>
      <c r="K6699" s="10">
        <f>IF(F6699&gt;0,H6699/F6699,"")</f>
        <v/>
      </c>
      <c r="L6699" s="16">
        <f>IF(AND(G6699&gt;0,H6699&gt;0),G6699/H6699,"")</f>
        <v/>
      </c>
    </row>
    <row r="6700">
      <c r="A6700" s="4" t="inlineStr">
        <is>
          <t>388</t>
        </is>
      </c>
      <c r="B6700" s="4" t="n">
        <v>3</v>
      </c>
      <c r="C6700" s="4" t="inlineStr">
        <is>
          <t>mule deer</t>
        </is>
      </c>
      <c r="D6700" s="4" t="n">
        <v>2023</v>
      </c>
      <c r="E6700" s="13" t="inlineStr">
        <is>
          <t>General</t>
        </is>
      </c>
      <c r="F6700" s="5" t="n">
        <v>562</v>
      </c>
      <c r="G6700" s="5" t="n">
        <v>3479</v>
      </c>
      <c r="H6700" s="5" t="n">
        <v>117</v>
      </c>
      <c r="I6700" s="5" t="n">
        <v>86</v>
      </c>
      <c r="J6700" s="5" t="n">
        <v>31</v>
      </c>
      <c r="K6700" s="10">
        <f>IF(F6700&gt;0,H6700/F6700,"")</f>
        <v/>
      </c>
      <c r="L6700" s="16">
        <f>IF(AND(G6700&gt;0,H6700&gt;0),G6700/H6700,"")</f>
        <v/>
      </c>
    </row>
    <row r="6701">
      <c r="A6701" s="4" t="inlineStr">
        <is>
          <t>388</t>
        </is>
      </c>
      <c r="B6701" s="4" t="n">
        <v>3</v>
      </c>
      <c r="C6701" s="4" t="inlineStr">
        <is>
          <t>mule deer</t>
        </is>
      </c>
      <c r="D6701" s="4" t="n">
        <v>2024</v>
      </c>
      <c r="E6701" s="13" t="inlineStr">
        <is>
          <t>General</t>
        </is>
      </c>
      <c r="F6701" s="5" t="n"/>
      <c r="G6701" s="5" t="n"/>
      <c r="H6701" s="5" t="n">
        <v>161</v>
      </c>
      <c r="I6701" s="5" t="n">
        <v>104</v>
      </c>
      <c r="J6701" s="5" t="n">
        <v>54</v>
      </c>
      <c r="K6701" s="10">
        <f>IF(F6701&gt;0,H6701/F6701,"")</f>
        <v/>
      </c>
      <c r="L6701" s="16">
        <f>IF(AND(G6701&gt;0,H6701&gt;0),G6701/H6701,"")</f>
        <v/>
      </c>
    </row>
    <row r="6702">
      <c r="A6702" s="4" t="inlineStr">
        <is>
          <t>388</t>
        </is>
      </c>
      <c r="B6702" s="4" t="n">
        <v>3</v>
      </c>
      <c r="C6702" s="4" t="inlineStr">
        <is>
          <t>mule deer</t>
        </is>
      </c>
      <c r="D6702" s="4" t="n">
        <v>2025</v>
      </c>
      <c r="E6702" s="13" t="inlineStr">
        <is>
          <t>General</t>
        </is>
      </c>
      <c r="F6702" s="5" t="n">
        <v>518</v>
      </c>
      <c r="G6702" s="5" t="n">
        <v>3176</v>
      </c>
      <c r="H6702" s="5" t="n">
        <v>88</v>
      </c>
      <c r="I6702" s="5" t="n">
        <v>47</v>
      </c>
      <c r="J6702" s="5" t="n">
        <v>40</v>
      </c>
      <c r="K6702" s="10">
        <f>IF(F6702&gt;0,H6702/F6702,"")</f>
        <v/>
      </c>
      <c r="L6702" s="16">
        <f>IF(AND(G6702&gt;0,H6702&gt;0),G6702/H6702,"")</f>
        <v/>
      </c>
    </row>
    <row r="6703">
      <c r="A6703" s="4" t="inlineStr">
        <is>
          <t>390</t>
        </is>
      </c>
      <c r="B6703" s="4" t="n">
        <v>3</v>
      </c>
      <c r="C6703" s="4" t="inlineStr">
        <is>
          <t>mule deer</t>
        </is>
      </c>
      <c r="D6703" s="4" t="n">
        <v>2004</v>
      </c>
      <c r="E6703" s="13" t="inlineStr">
        <is>
          <t>General</t>
        </is>
      </c>
      <c r="F6703" s="5" t="n">
        <v>274</v>
      </c>
      <c r="G6703" s="5" t="n">
        <v>1307</v>
      </c>
      <c r="H6703" s="5" t="n">
        <v>74</v>
      </c>
      <c r="I6703" s="5" t="n">
        <v>61</v>
      </c>
      <c r="J6703" s="5" t="n">
        <v>13</v>
      </c>
      <c r="K6703" s="10">
        <f>IF(F6703&gt;0,H6703/F6703,"")</f>
        <v/>
      </c>
      <c r="L6703" s="16">
        <f>IF(AND(G6703&gt;0,H6703&gt;0),G6703/H6703,"")</f>
        <v/>
      </c>
    </row>
    <row r="6704">
      <c r="A6704" s="4" t="inlineStr">
        <is>
          <t>390</t>
        </is>
      </c>
      <c r="B6704" s="4" t="n">
        <v>3</v>
      </c>
      <c r="C6704" s="4" t="inlineStr">
        <is>
          <t>mule deer</t>
        </is>
      </c>
      <c r="D6704" s="4" t="n">
        <v>2005</v>
      </c>
      <c r="E6704" s="13" t="inlineStr">
        <is>
          <t>General</t>
        </is>
      </c>
      <c r="F6704" s="5" t="n">
        <v>263</v>
      </c>
      <c r="G6704" s="5" t="n">
        <v>1151</v>
      </c>
      <c r="H6704" s="5" t="n">
        <v>91</v>
      </c>
      <c r="I6704" s="5" t="n">
        <v>79</v>
      </c>
      <c r="J6704" s="5" t="n">
        <v>13</v>
      </c>
      <c r="K6704" s="10">
        <f>IF(F6704&gt;0,H6704/F6704,"")</f>
        <v/>
      </c>
      <c r="L6704" s="16">
        <f>IF(AND(G6704&gt;0,H6704&gt;0),G6704/H6704,"")</f>
        <v/>
      </c>
    </row>
    <row r="6705">
      <c r="A6705" s="4" t="inlineStr">
        <is>
          <t>390</t>
        </is>
      </c>
      <c r="B6705" s="4" t="n">
        <v>3</v>
      </c>
      <c r="C6705" s="4" t="inlineStr">
        <is>
          <t>mule deer</t>
        </is>
      </c>
      <c r="D6705" s="4" t="n">
        <v>2006</v>
      </c>
      <c r="E6705" s="13" t="inlineStr">
        <is>
          <t>General</t>
        </is>
      </c>
      <c r="F6705" s="5" t="n">
        <v>366</v>
      </c>
      <c r="G6705" s="5" t="n">
        <v>2132</v>
      </c>
      <c r="H6705" s="5" t="n">
        <v>111</v>
      </c>
      <c r="I6705" s="5" t="n">
        <v>82</v>
      </c>
      <c r="J6705" s="5" t="n">
        <v>29</v>
      </c>
      <c r="K6705" s="10">
        <f>IF(F6705&gt;0,H6705/F6705,"")</f>
        <v/>
      </c>
      <c r="L6705" s="16">
        <f>IF(AND(G6705&gt;0,H6705&gt;0),G6705/H6705,"")</f>
        <v/>
      </c>
    </row>
    <row r="6706">
      <c r="A6706" s="4" t="inlineStr">
        <is>
          <t>390</t>
        </is>
      </c>
      <c r="B6706" s="4" t="n">
        <v>3</v>
      </c>
      <c r="C6706" s="4" t="inlineStr">
        <is>
          <t>mule deer</t>
        </is>
      </c>
      <c r="D6706" s="4" t="n">
        <v>2007</v>
      </c>
      <c r="E6706" s="13" t="inlineStr">
        <is>
          <t>General</t>
        </is>
      </c>
      <c r="F6706" s="5" t="n">
        <v>366</v>
      </c>
      <c r="G6706" s="5" t="n">
        <v>2288</v>
      </c>
      <c r="H6706" s="5" t="n">
        <v>97</v>
      </c>
      <c r="I6706" s="5" t="n">
        <v>64</v>
      </c>
      <c r="J6706" s="5" t="n">
        <v>33</v>
      </c>
      <c r="K6706" s="10">
        <f>IF(F6706&gt;0,H6706/F6706,"")</f>
        <v/>
      </c>
      <c r="L6706" s="16">
        <f>IF(AND(G6706&gt;0,H6706&gt;0),G6706/H6706,"")</f>
        <v/>
      </c>
    </row>
    <row r="6707">
      <c r="A6707" s="4" t="inlineStr">
        <is>
          <t>390</t>
        </is>
      </c>
      <c r="B6707" s="4" t="n">
        <v>3</v>
      </c>
      <c r="C6707" s="4" t="inlineStr">
        <is>
          <t>mule deer</t>
        </is>
      </c>
      <c r="D6707" s="4" t="n">
        <v>2008</v>
      </c>
      <c r="E6707" s="13" t="inlineStr">
        <is>
          <t>General</t>
        </is>
      </c>
      <c r="F6707" s="5" t="n">
        <v>499</v>
      </c>
      <c r="G6707" s="5" t="n">
        <v>3171</v>
      </c>
      <c r="H6707" s="5" t="n">
        <v>115</v>
      </c>
      <c r="I6707" s="5" t="n">
        <v>101</v>
      </c>
      <c r="J6707" s="5" t="n">
        <v>14</v>
      </c>
      <c r="K6707" s="10">
        <f>IF(F6707&gt;0,H6707/F6707,"")</f>
        <v/>
      </c>
      <c r="L6707" s="16">
        <f>IF(AND(G6707&gt;0,H6707&gt;0),G6707/H6707,"")</f>
        <v/>
      </c>
    </row>
    <row r="6708">
      <c r="A6708" s="4" t="inlineStr">
        <is>
          <t>390</t>
        </is>
      </c>
      <c r="B6708" s="4" t="n">
        <v>3</v>
      </c>
      <c r="C6708" s="4" t="inlineStr">
        <is>
          <t>mule deer</t>
        </is>
      </c>
      <c r="D6708" s="4" t="n">
        <v>2009</v>
      </c>
      <c r="E6708" s="13" t="inlineStr">
        <is>
          <t>General</t>
        </is>
      </c>
      <c r="F6708" s="5" t="n">
        <v>419</v>
      </c>
      <c r="G6708" s="5" t="n">
        <v>2010</v>
      </c>
      <c r="H6708" s="5" t="n">
        <v>100</v>
      </c>
      <c r="I6708" s="5" t="n">
        <v>77</v>
      </c>
      <c r="J6708" s="5" t="n">
        <v>23</v>
      </c>
      <c r="K6708" s="10">
        <f>IF(F6708&gt;0,H6708/F6708,"")</f>
        <v/>
      </c>
      <c r="L6708" s="16">
        <f>IF(AND(G6708&gt;0,H6708&gt;0),G6708/H6708,"")</f>
        <v/>
      </c>
    </row>
    <row r="6709">
      <c r="A6709" s="4" t="inlineStr">
        <is>
          <t>390</t>
        </is>
      </c>
      <c r="B6709" s="4" t="n">
        <v>3</v>
      </c>
      <c r="C6709" s="4" t="inlineStr">
        <is>
          <t>mule deer</t>
        </is>
      </c>
      <c r="D6709" s="4" t="n">
        <v>2010</v>
      </c>
      <c r="E6709" s="13" t="inlineStr">
        <is>
          <t>General</t>
        </is>
      </c>
      <c r="F6709" s="5" t="n">
        <v>311</v>
      </c>
      <c r="G6709" s="5" t="n">
        <v>1835</v>
      </c>
      <c r="H6709" s="5" t="n">
        <v>53</v>
      </c>
      <c r="I6709" s="5" t="n">
        <v>51</v>
      </c>
      <c r="J6709" s="5" t="n">
        <v>2</v>
      </c>
      <c r="K6709" s="10">
        <f>IF(F6709&gt;0,H6709/F6709,"")</f>
        <v/>
      </c>
      <c r="L6709" s="16">
        <f>IF(AND(G6709&gt;0,H6709&gt;0),G6709/H6709,"")</f>
        <v/>
      </c>
    </row>
    <row r="6710">
      <c r="A6710" s="4" t="inlineStr">
        <is>
          <t>390</t>
        </is>
      </c>
      <c r="B6710" s="4" t="n">
        <v>3</v>
      </c>
      <c r="C6710" s="4" t="inlineStr">
        <is>
          <t>mule deer</t>
        </is>
      </c>
      <c r="D6710" s="4" t="n">
        <v>2011</v>
      </c>
      <c r="E6710" s="13" t="inlineStr">
        <is>
          <t>General</t>
        </is>
      </c>
      <c r="F6710" s="5" t="n">
        <v>396</v>
      </c>
      <c r="G6710" s="5" t="n">
        <v>2272</v>
      </c>
      <c r="H6710" s="5" t="n">
        <v>79</v>
      </c>
      <c r="I6710" s="5" t="n">
        <v>79</v>
      </c>
      <c r="J6710" s="5" t="n">
        <v>0</v>
      </c>
      <c r="K6710" s="10">
        <f>IF(F6710&gt;0,H6710/F6710,"")</f>
        <v/>
      </c>
      <c r="L6710" s="16">
        <f>IF(AND(G6710&gt;0,H6710&gt;0),G6710/H6710,"")</f>
        <v/>
      </c>
    </row>
    <row r="6711">
      <c r="A6711" s="4" t="inlineStr">
        <is>
          <t>390</t>
        </is>
      </c>
      <c r="B6711" s="4" t="n">
        <v>3</v>
      </c>
      <c r="C6711" s="4" t="inlineStr">
        <is>
          <t>mule deer</t>
        </is>
      </c>
      <c r="D6711" s="4" t="n">
        <v>2012</v>
      </c>
      <c r="E6711" s="13" t="inlineStr">
        <is>
          <t>General</t>
        </is>
      </c>
      <c r="F6711" s="5" t="n"/>
      <c r="G6711" s="5" t="n"/>
      <c r="H6711" s="5" t="n">
        <v>72</v>
      </c>
      <c r="I6711" s="5" t="n">
        <v>72</v>
      </c>
      <c r="J6711" s="5" t="n">
        <v>0</v>
      </c>
      <c r="K6711" s="10">
        <f>IF(F6711&gt;0,H6711/F6711,"")</f>
        <v/>
      </c>
      <c r="L6711" s="16">
        <f>IF(AND(G6711&gt;0,H6711&gt;0),G6711/H6711,"")</f>
        <v/>
      </c>
    </row>
    <row r="6712">
      <c r="A6712" s="4" t="inlineStr">
        <is>
          <t>390</t>
        </is>
      </c>
      <c r="B6712" s="4" t="n">
        <v>3</v>
      </c>
      <c r="C6712" s="4" t="inlineStr">
        <is>
          <t>mule deer</t>
        </is>
      </c>
      <c r="D6712" s="4" t="n">
        <v>2013</v>
      </c>
      <c r="E6712" s="13" t="inlineStr">
        <is>
          <t>General</t>
        </is>
      </c>
      <c r="F6712" s="5" t="n">
        <v>363</v>
      </c>
      <c r="G6712" s="5" t="n">
        <v>2619</v>
      </c>
      <c r="H6712" s="5" t="n">
        <v>62</v>
      </c>
      <c r="I6712" s="5" t="n">
        <v>58</v>
      </c>
      <c r="J6712" s="5" t="n">
        <v>4</v>
      </c>
      <c r="K6712" s="10">
        <f>IF(F6712&gt;0,H6712/F6712,"")</f>
        <v/>
      </c>
      <c r="L6712" s="16">
        <f>IF(AND(G6712&gt;0,H6712&gt;0),G6712/H6712,"")</f>
        <v/>
      </c>
    </row>
    <row r="6713">
      <c r="A6713" s="4" t="inlineStr">
        <is>
          <t>390</t>
        </is>
      </c>
      <c r="B6713" s="4" t="n">
        <v>3</v>
      </c>
      <c r="C6713" s="4" t="inlineStr">
        <is>
          <t>mule deer</t>
        </is>
      </c>
      <c r="D6713" s="4" t="n">
        <v>2014</v>
      </c>
      <c r="E6713" s="13" t="inlineStr">
        <is>
          <t>General</t>
        </is>
      </c>
      <c r="F6713" s="5" t="n"/>
      <c r="G6713" s="5" t="n"/>
      <c r="H6713" s="5" t="n">
        <v>85</v>
      </c>
      <c r="I6713" s="5" t="n">
        <v>85</v>
      </c>
      <c r="J6713" s="5" t="n">
        <v>0</v>
      </c>
      <c r="K6713" s="10">
        <f>IF(F6713&gt;0,H6713/F6713,"")</f>
        <v/>
      </c>
      <c r="L6713" s="16">
        <f>IF(AND(G6713&gt;0,H6713&gt;0),G6713/H6713,"")</f>
        <v/>
      </c>
    </row>
    <row r="6714">
      <c r="A6714" s="4" t="inlineStr">
        <is>
          <t>390</t>
        </is>
      </c>
      <c r="B6714" s="4" t="n">
        <v>3</v>
      </c>
      <c r="C6714" s="4" t="inlineStr">
        <is>
          <t>mule deer</t>
        </is>
      </c>
      <c r="D6714" s="4" t="n">
        <v>2015</v>
      </c>
      <c r="E6714" s="13" t="inlineStr">
        <is>
          <t>General</t>
        </is>
      </c>
      <c r="F6714" s="5" t="n"/>
      <c r="G6714" s="5" t="n"/>
      <c r="H6714" s="5" t="n">
        <v>92</v>
      </c>
      <c r="I6714" s="5" t="n">
        <v>89</v>
      </c>
      <c r="J6714" s="5" t="n">
        <v>3</v>
      </c>
      <c r="K6714" s="10">
        <f>IF(F6714&gt;0,H6714/F6714,"")</f>
        <v/>
      </c>
      <c r="L6714" s="16">
        <f>IF(AND(G6714&gt;0,H6714&gt;0),G6714/H6714,"")</f>
        <v/>
      </c>
    </row>
    <row r="6715">
      <c r="A6715" s="4" t="inlineStr">
        <is>
          <t>390</t>
        </is>
      </c>
      <c r="B6715" s="4" t="n">
        <v>3</v>
      </c>
      <c r="C6715" s="4" t="inlineStr">
        <is>
          <t>mule deer</t>
        </is>
      </c>
      <c r="D6715" s="4" t="n">
        <v>2016</v>
      </c>
      <c r="E6715" s="13" t="inlineStr">
        <is>
          <t>General</t>
        </is>
      </c>
      <c r="F6715" s="5" t="n"/>
      <c r="G6715" s="5" t="n"/>
      <c r="H6715" s="5" t="n">
        <v>96</v>
      </c>
      <c r="I6715" s="5" t="n">
        <v>73</v>
      </c>
      <c r="J6715" s="5" t="n">
        <v>23</v>
      </c>
      <c r="K6715" s="10">
        <f>IF(F6715&gt;0,H6715/F6715,"")</f>
        <v/>
      </c>
      <c r="L6715" s="16">
        <f>IF(AND(G6715&gt;0,H6715&gt;0),G6715/H6715,"")</f>
        <v/>
      </c>
    </row>
    <row r="6716">
      <c r="A6716" s="4" t="inlineStr">
        <is>
          <t>390</t>
        </is>
      </c>
      <c r="B6716" s="4" t="n">
        <v>3</v>
      </c>
      <c r="C6716" s="4" t="inlineStr">
        <is>
          <t>mule deer</t>
        </is>
      </c>
      <c r="D6716" s="4" t="n">
        <v>2017</v>
      </c>
      <c r="E6716" s="13" t="inlineStr">
        <is>
          <t>General</t>
        </is>
      </c>
      <c r="F6716" s="5" t="n">
        <v>489</v>
      </c>
      <c r="G6716" s="5" t="n">
        <v>2936</v>
      </c>
      <c r="H6716" s="5" t="n">
        <v>125</v>
      </c>
      <c r="I6716" s="5" t="n">
        <v>74</v>
      </c>
      <c r="J6716" s="5" t="n">
        <v>51</v>
      </c>
      <c r="K6716" s="10">
        <f>IF(F6716&gt;0,H6716/F6716,"")</f>
        <v/>
      </c>
      <c r="L6716" s="16">
        <f>IF(AND(G6716&gt;0,H6716&gt;0),G6716/H6716,"")</f>
        <v/>
      </c>
    </row>
    <row r="6717">
      <c r="A6717" s="4" t="inlineStr">
        <is>
          <t>390</t>
        </is>
      </c>
      <c r="B6717" s="4" t="n">
        <v>3</v>
      </c>
      <c r="C6717" s="4" t="inlineStr">
        <is>
          <t>mule deer</t>
        </is>
      </c>
      <c r="D6717" s="4" t="n">
        <v>2018</v>
      </c>
      <c r="E6717" s="13" t="inlineStr">
        <is>
          <t>General</t>
        </is>
      </c>
      <c r="F6717" s="5" t="n"/>
      <c r="G6717" s="5" t="n"/>
      <c r="H6717" s="5" t="n">
        <v>158</v>
      </c>
      <c r="I6717" s="5" t="n">
        <v>80</v>
      </c>
      <c r="J6717" s="5" t="n">
        <v>78</v>
      </c>
      <c r="K6717" s="10">
        <f>IF(F6717&gt;0,H6717/F6717,"")</f>
        <v/>
      </c>
      <c r="L6717" s="16">
        <f>IF(AND(G6717&gt;0,H6717&gt;0),G6717/H6717,"")</f>
        <v/>
      </c>
    </row>
    <row r="6718">
      <c r="A6718" s="4" t="inlineStr">
        <is>
          <t>390</t>
        </is>
      </c>
      <c r="B6718" s="4" t="n">
        <v>3</v>
      </c>
      <c r="C6718" s="4" t="inlineStr">
        <is>
          <t>mule deer</t>
        </is>
      </c>
      <c r="D6718" s="4" t="n">
        <v>2019</v>
      </c>
      <c r="E6718" s="13" t="inlineStr">
        <is>
          <t>General</t>
        </is>
      </c>
      <c r="F6718" s="5" t="n">
        <v>580</v>
      </c>
      <c r="G6718" s="5" t="n">
        <v>3967</v>
      </c>
      <c r="H6718" s="5" t="n">
        <v>150</v>
      </c>
      <c r="I6718" s="5" t="n">
        <v>86</v>
      </c>
      <c r="J6718" s="5" t="n">
        <v>64</v>
      </c>
      <c r="K6718" s="10">
        <f>IF(F6718&gt;0,H6718/F6718,"")</f>
        <v/>
      </c>
      <c r="L6718" s="16">
        <f>IF(AND(G6718&gt;0,H6718&gt;0),G6718/H6718,"")</f>
        <v/>
      </c>
    </row>
    <row r="6719">
      <c r="A6719" s="4" t="inlineStr">
        <is>
          <t>390</t>
        </is>
      </c>
      <c r="B6719" s="4" t="n">
        <v>3</v>
      </c>
      <c r="C6719" s="4" t="inlineStr">
        <is>
          <t>mule deer</t>
        </is>
      </c>
      <c r="D6719" s="4" t="n">
        <v>2020</v>
      </c>
      <c r="E6719" s="13" t="inlineStr">
        <is>
          <t>General</t>
        </is>
      </c>
      <c r="F6719" s="5" t="n"/>
      <c r="G6719" s="5" t="n"/>
      <c r="H6719" s="5" t="n">
        <v>160</v>
      </c>
      <c r="I6719" s="5" t="n">
        <v>135</v>
      </c>
      <c r="J6719" s="5" t="n">
        <v>25</v>
      </c>
      <c r="K6719" s="10">
        <f>IF(F6719&gt;0,H6719/F6719,"")</f>
        <v/>
      </c>
      <c r="L6719" s="16">
        <f>IF(AND(G6719&gt;0,H6719&gt;0),G6719/H6719,"")</f>
        <v/>
      </c>
    </row>
    <row r="6720">
      <c r="A6720" s="4" t="inlineStr">
        <is>
          <t>390</t>
        </is>
      </c>
      <c r="B6720" s="4" t="n">
        <v>3</v>
      </c>
      <c r="C6720" s="4" t="inlineStr">
        <is>
          <t>mule deer</t>
        </is>
      </c>
      <c r="D6720" s="4" t="n">
        <v>2021</v>
      </c>
      <c r="E6720" s="13" t="inlineStr">
        <is>
          <t>General</t>
        </is>
      </c>
      <c r="F6720" s="5" t="n">
        <v>584</v>
      </c>
      <c r="G6720" s="5" t="n">
        <v>3853</v>
      </c>
      <c r="H6720" s="5" t="n">
        <v>150</v>
      </c>
      <c r="I6720" s="5" t="n">
        <v>111</v>
      </c>
      <c r="J6720" s="5" t="n">
        <v>39</v>
      </c>
      <c r="K6720" s="10">
        <f>IF(F6720&gt;0,H6720/F6720,"")</f>
        <v/>
      </c>
      <c r="L6720" s="16">
        <f>IF(AND(G6720&gt;0,H6720&gt;0),G6720/H6720,"")</f>
        <v/>
      </c>
    </row>
    <row r="6721">
      <c r="A6721" s="4" t="inlineStr">
        <is>
          <t>390</t>
        </is>
      </c>
      <c r="B6721" s="4" t="n">
        <v>3</v>
      </c>
      <c r="C6721" s="4" t="inlineStr">
        <is>
          <t>mule deer</t>
        </is>
      </c>
      <c r="D6721" s="4" t="n">
        <v>2022</v>
      </c>
      <c r="E6721" s="13" t="inlineStr">
        <is>
          <t>General</t>
        </is>
      </c>
      <c r="F6721" s="5" t="n"/>
      <c r="G6721" s="5" t="n"/>
      <c r="H6721" s="5" t="n">
        <v>150</v>
      </c>
      <c r="I6721" s="5" t="n">
        <v>125</v>
      </c>
      <c r="J6721" s="5" t="n">
        <v>24</v>
      </c>
      <c r="K6721" s="10">
        <f>IF(F6721&gt;0,H6721/F6721,"")</f>
        <v/>
      </c>
      <c r="L6721" s="16">
        <f>IF(AND(G6721&gt;0,H6721&gt;0),G6721/H6721,"")</f>
        <v/>
      </c>
    </row>
    <row r="6722">
      <c r="A6722" s="4" t="inlineStr">
        <is>
          <t>390</t>
        </is>
      </c>
      <c r="B6722" s="4" t="n">
        <v>3</v>
      </c>
      <c r="C6722" s="4" t="inlineStr">
        <is>
          <t>mule deer</t>
        </is>
      </c>
      <c r="D6722" s="4" t="n">
        <v>2023</v>
      </c>
      <c r="E6722" s="13" t="inlineStr">
        <is>
          <t>General</t>
        </is>
      </c>
      <c r="F6722" s="5" t="n">
        <v>666</v>
      </c>
      <c r="G6722" s="5" t="n">
        <v>4513</v>
      </c>
      <c r="H6722" s="5" t="n">
        <v>150</v>
      </c>
      <c r="I6722" s="5" t="n">
        <v>141</v>
      </c>
      <c r="J6722" s="5" t="n">
        <v>9</v>
      </c>
      <c r="K6722" s="10">
        <f>IF(F6722&gt;0,H6722/F6722,"")</f>
        <v/>
      </c>
      <c r="L6722" s="16">
        <f>IF(AND(G6722&gt;0,H6722&gt;0),G6722/H6722,"")</f>
        <v/>
      </c>
    </row>
    <row r="6723">
      <c r="A6723" s="4" t="inlineStr">
        <is>
          <t>390</t>
        </is>
      </c>
      <c r="B6723" s="4" t="n">
        <v>3</v>
      </c>
      <c r="C6723" s="4" t="inlineStr">
        <is>
          <t>mule deer</t>
        </is>
      </c>
      <c r="D6723" s="4" t="n">
        <v>2024</v>
      </c>
      <c r="E6723" s="13" t="inlineStr">
        <is>
          <t>General</t>
        </is>
      </c>
      <c r="F6723" s="5" t="n"/>
      <c r="G6723" s="5" t="n"/>
      <c r="H6723" s="5" t="n">
        <v>147</v>
      </c>
      <c r="I6723" s="5" t="n">
        <v>128</v>
      </c>
      <c r="J6723" s="5" t="n">
        <v>19</v>
      </c>
      <c r="K6723" s="10">
        <f>IF(F6723&gt;0,H6723/F6723,"")</f>
        <v/>
      </c>
      <c r="L6723" s="16">
        <f>IF(AND(G6723&gt;0,H6723&gt;0),G6723/H6723,"")</f>
        <v/>
      </c>
    </row>
    <row r="6724">
      <c r="A6724" s="4" t="inlineStr">
        <is>
          <t>390</t>
        </is>
      </c>
      <c r="B6724" s="4" t="n">
        <v>3</v>
      </c>
      <c r="C6724" s="4" t="inlineStr">
        <is>
          <t>mule deer</t>
        </is>
      </c>
      <c r="D6724" s="4" t="n">
        <v>2025</v>
      </c>
      <c r="E6724" s="13" t="inlineStr">
        <is>
          <t>General</t>
        </is>
      </c>
      <c r="F6724" s="5" t="n">
        <v>715</v>
      </c>
      <c r="G6724" s="5" t="n">
        <v>4935</v>
      </c>
      <c r="H6724" s="5" t="n">
        <v>162</v>
      </c>
      <c r="I6724" s="5" t="n">
        <v>131</v>
      </c>
      <c r="J6724" s="5" t="n">
        <v>32</v>
      </c>
      <c r="K6724" s="10">
        <f>IF(F6724&gt;0,H6724/F6724,"")</f>
        <v/>
      </c>
      <c r="L6724" s="16">
        <f>IF(AND(G6724&gt;0,H6724&gt;0),G6724/H6724,"")</f>
        <v/>
      </c>
    </row>
    <row r="6725">
      <c r="A6725" s="4" t="inlineStr">
        <is>
          <t>391</t>
        </is>
      </c>
      <c r="B6725" s="4" t="n">
        <v>3</v>
      </c>
      <c r="C6725" s="4" t="inlineStr">
        <is>
          <t>mule deer</t>
        </is>
      </c>
      <c r="D6725" s="4" t="n">
        <v>2004</v>
      </c>
      <c r="E6725" s="13" t="inlineStr">
        <is>
          <t>General</t>
        </is>
      </c>
      <c r="F6725" s="5" t="n">
        <v>744</v>
      </c>
      <c r="G6725" s="5" t="n">
        <v>4088</v>
      </c>
      <c r="H6725" s="5" t="n">
        <v>231</v>
      </c>
      <c r="I6725" s="5" t="n">
        <v>194</v>
      </c>
      <c r="J6725" s="5" t="n">
        <v>36</v>
      </c>
      <c r="K6725" s="10">
        <f>IF(F6725&gt;0,H6725/F6725,"")</f>
        <v/>
      </c>
      <c r="L6725" s="16">
        <f>IF(AND(G6725&gt;0,H6725&gt;0),G6725/H6725,"")</f>
        <v/>
      </c>
    </row>
    <row r="6726">
      <c r="A6726" s="4" t="inlineStr">
        <is>
          <t>391</t>
        </is>
      </c>
      <c r="B6726" s="4" t="n">
        <v>3</v>
      </c>
      <c r="C6726" s="4" t="inlineStr">
        <is>
          <t>mule deer</t>
        </is>
      </c>
      <c r="D6726" s="4" t="n">
        <v>2005</v>
      </c>
      <c r="E6726" s="13" t="inlineStr">
        <is>
          <t>General</t>
        </is>
      </c>
      <c r="F6726" s="5" t="n">
        <v>742</v>
      </c>
      <c r="G6726" s="5" t="n">
        <v>4505</v>
      </c>
      <c r="H6726" s="5" t="n">
        <v>282</v>
      </c>
      <c r="I6726" s="5" t="n">
        <v>244</v>
      </c>
      <c r="J6726" s="5" t="n">
        <v>37</v>
      </c>
      <c r="K6726" s="10">
        <f>IF(F6726&gt;0,H6726/F6726,"")</f>
        <v/>
      </c>
      <c r="L6726" s="16">
        <f>IF(AND(G6726&gt;0,H6726&gt;0),G6726/H6726,"")</f>
        <v/>
      </c>
    </row>
    <row r="6727">
      <c r="A6727" s="4" t="inlineStr">
        <is>
          <t>391</t>
        </is>
      </c>
      <c r="B6727" s="4" t="n">
        <v>3</v>
      </c>
      <c r="C6727" s="4" t="inlineStr">
        <is>
          <t>mule deer</t>
        </is>
      </c>
      <c r="D6727" s="4" t="n">
        <v>2006</v>
      </c>
      <c r="E6727" s="13" t="inlineStr">
        <is>
          <t>General</t>
        </is>
      </c>
      <c r="F6727" s="5" t="n">
        <v>792</v>
      </c>
      <c r="G6727" s="5" t="n">
        <v>4565</v>
      </c>
      <c r="H6727" s="5" t="n">
        <v>352</v>
      </c>
      <c r="I6727" s="5" t="n">
        <v>313</v>
      </c>
      <c r="J6727" s="5" t="n">
        <v>39</v>
      </c>
      <c r="K6727" s="10">
        <f>IF(F6727&gt;0,H6727/F6727,"")</f>
        <v/>
      </c>
      <c r="L6727" s="16">
        <f>IF(AND(G6727&gt;0,H6727&gt;0),G6727/H6727,"")</f>
        <v/>
      </c>
    </row>
    <row r="6728">
      <c r="A6728" s="4" t="inlineStr">
        <is>
          <t>391</t>
        </is>
      </c>
      <c r="B6728" s="4" t="n">
        <v>3</v>
      </c>
      <c r="C6728" s="4" t="inlineStr">
        <is>
          <t>mule deer</t>
        </is>
      </c>
      <c r="D6728" s="4" t="n">
        <v>2007</v>
      </c>
      <c r="E6728" s="13" t="inlineStr">
        <is>
          <t>General</t>
        </is>
      </c>
      <c r="F6728" s="5" t="n">
        <v>837</v>
      </c>
      <c r="G6728" s="5" t="n">
        <v>5324</v>
      </c>
      <c r="H6728" s="5" t="n">
        <v>274</v>
      </c>
      <c r="I6728" s="5" t="n">
        <v>217</v>
      </c>
      <c r="J6728" s="5" t="n">
        <v>57</v>
      </c>
      <c r="K6728" s="10">
        <f>IF(F6728&gt;0,H6728/F6728,"")</f>
        <v/>
      </c>
      <c r="L6728" s="16">
        <f>IF(AND(G6728&gt;0,H6728&gt;0),G6728/H6728,"")</f>
        <v/>
      </c>
    </row>
    <row r="6729">
      <c r="A6729" s="4" t="inlineStr">
        <is>
          <t>391</t>
        </is>
      </c>
      <c r="B6729" s="4" t="n">
        <v>3</v>
      </c>
      <c r="C6729" s="4" t="inlineStr">
        <is>
          <t>mule deer</t>
        </is>
      </c>
      <c r="D6729" s="4" t="n">
        <v>2008</v>
      </c>
      <c r="E6729" s="13" t="inlineStr">
        <is>
          <t>General</t>
        </is>
      </c>
      <c r="F6729" s="5" t="n">
        <v>917</v>
      </c>
      <c r="G6729" s="5" t="n">
        <v>6162</v>
      </c>
      <c r="H6729" s="5" t="n">
        <v>321</v>
      </c>
      <c r="I6729" s="5" t="n">
        <v>254</v>
      </c>
      <c r="J6729" s="5" t="n">
        <v>65</v>
      </c>
      <c r="K6729" s="10">
        <f>IF(F6729&gt;0,H6729/F6729,"")</f>
        <v/>
      </c>
      <c r="L6729" s="16">
        <f>IF(AND(G6729&gt;0,H6729&gt;0),G6729/H6729,"")</f>
        <v/>
      </c>
    </row>
    <row r="6730">
      <c r="A6730" s="4" t="inlineStr">
        <is>
          <t>391</t>
        </is>
      </c>
      <c r="B6730" s="4" t="n">
        <v>3</v>
      </c>
      <c r="C6730" s="4" t="inlineStr">
        <is>
          <t>mule deer</t>
        </is>
      </c>
      <c r="D6730" s="4" t="n">
        <v>2009</v>
      </c>
      <c r="E6730" s="13" t="inlineStr">
        <is>
          <t>General</t>
        </is>
      </c>
      <c r="F6730" s="5" t="n">
        <v>750</v>
      </c>
      <c r="G6730" s="5" t="n">
        <v>4969</v>
      </c>
      <c r="H6730" s="5" t="n">
        <v>239</v>
      </c>
      <c r="I6730" s="5" t="n">
        <v>187</v>
      </c>
      <c r="J6730" s="5" t="n">
        <v>52</v>
      </c>
      <c r="K6730" s="10">
        <f>IF(F6730&gt;0,H6730/F6730,"")</f>
        <v/>
      </c>
      <c r="L6730" s="16">
        <f>IF(AND(G6730&gt;0,H6730&gt;0),G6730/H6730,"")</f>
        <v/>
      </c>
    </row>
    <row r="6731">
      <c r="A6731" s="4" t="inlineStr">
        <is>
          <t>391</t>
        </is>
      </c>
      <c r="B6731" s="4" t="n">
        <v>3</v>
      </c>
      <c r="C6731" s="4" t="inlineStr">
        <is>
          <t>mule deer</t>
        </is>
      </c>
      <c r="D6731" s="4" t="n">
        <v>2010</v>
      </c>
      <c r="E6731" s="13" t="inlineStr">
        <is>
          <t>General</t>
        </is>
      </c>
      <c r="F6731" s="5" t="n">
        <v>659</v>
      </c>
      <c r="G6731" s="5" t="n">
        <v>4226</v>
      </c>
      <c r="H6731" s="5" t="n">
        <v>233</v>
      </c>
      <c r="I6731" s="5" t="n">
        <v>214</v>
      </c>
      <c r="J6731" s="5" t="n">
        <v>19</v>
      </c>
      <c r="K6731" s="10">
        <f>IF(F6731&gt;0,H6731/F6731,"")</f>
        <v/>
      </c>
      <c r="L6731" s="16">
        <f>IF(AND(G6731&gt;0,H6731&gt;0),G6731/H6731,"")</f>
        <v/>
      </c>
    </row>
    <row r="6732">
      <c r="A6732" s="4" t="inlineStr">
        <is>
          <t>391</t>
        </is>
      </c>
      <c r="B6732" s="4" t="n">
        <v>3</v>
      </c>
      <c r="C6732" s="4" t="inlineStr">
        <is>
          <t>mule deer</t>
        </is>
      </c>
      <c r="D6732" s="4" t="n">
        <v>2011</v>
      </c>
      <c r="E6732" s="13" t="inlineStr">
        <is>
          <t>General</t>
        </is>
      </c>
      <c r="F6732" s="5" t="n">
        <v>671</v>
      </c>
      <c r="G6732" s="5" t="n">
        <v>4161</v>
      </c>
      <c r="H6732" s="5" t="n">
        <v>223</v>
      </c>
      <c r="I6732" s="5" t="n">
        <v>192</v>
      </c>
      <c r="J6732" s="5" t="n">
        <v>30</v>
      </c>
      <c r="K6732" s="10">
        <f>IF(F6732&gt;0,H6732/F6732,"")</f>
        <v/>
      </c>
      <c r="L6732" s="16">
        <f>IF(AND(G6732&gt;0,H6732&gt;0),G6732/H6732,"")</f>
        <v/>
      </c>
    </row>
    <row r="6733">
      <c r="A6733" s="4" t="inlineStr">
        <is>
          <t>391</t>
        </is>
      </c>
      <c r="B6733" s="4" t="n">
        <v>3</v>
      </c>
      <c r="C6733" s="4" t="inlineStr">
        <is>
          <t>mule deer</t>
        </is>
      </c>
      <c r="D6733" s="4" t="n">
        <v>2012</v>
      </c>
      <c r="E6733" s="13" t="inlineStr">
        <is>
          <t>General</t>
        </is>
      </c>
      <c r="F6733" s="5" t="n"/>
      <c r="G6733" s="5" t="n"/>
      <c r="H6733" s="5" t="n">
        <v>192</v>
      </c>
      <c r="I6733" s="5" t="n">
        <v>164</v>
      </c>
      <c r="J6733" s="5" t="n">
        <v>28</v>
      </c>
      <c r="K6733" s="10">
        <f>IF(F6733&gt;0,H6733/F6733,"")</f>
        <v/>
      </c>
      <c r="L6733" s="16">
        <f>IF(AND(G6733&gt;0,H6733&gt;0),G6733/H6733,"")</f>
        <v/>
      </c>
    </row>
    <row r="6734">
      <c r="A6734" s="4" t="inlineStr">
        <is>
          <t>391</t>
        </is>
      </c>
      <c r="B6734" s="4" t="n">
        <v>3</v>
      </c>
      <c r="C6734" s="4" t="inlineStr">
        <is>
          <t>mule deer</t>
        </is>
      </c>
      <c r="D6734" s="4" t="n">
        <v>2013</v>
      </c>
      <c r="E6734" s="13" t="inlineStr">
        <is>
          <t>General</t>
        </is>
      </c>
      <c r="F6734" s="5" t="n">
        <v>853</v>
      </c>
      <c r="G6734" s="5" t="n">
        <v>5825</v>
      </c>
      <c r="H6734" s="5" t="n">
        <v>223</v>
      </c>
      <c r="I6734" s="5" t="n">
        <v>182</v>
      </c>
      <c r="J6734" s="5" t="n">
        <v>41</v>
      </c>
      <c r="K6734" s="10">
        <f>IF(F6734&gt;0,H6734/F6734,"")</f>
        <v/>
      </c>
      <c r="L6734" s="16">
        <f>IF(AND(G6734&gt;0,H6734&gt;0),G6734/H6734,"")</f>
        <v/>
      </c>
    </row>
    <row r="6735">
      <c r="A6735" s="4" t="inlineStr">
        <is>
          <t>391</t>
        </is>
      </c>
      <c r="B6735" s="4" t="n">
        <v>3</v>
      </c>
      <c r="C6735" s="4" t="inlineStr">
        <is>
          <t>mule deer</t>
        </is>
      </c>
      <c r="D6735" s="4" t="n">
        <v>2014</v>
      </c>
      <c r="E6735" s="13" t="inlineStr">
        <is>
          <t>General</t>
        </is>
      </c>
      <c r="F6735" s="5" t="n"/>
      <c r="G6735" s="5" t="n"/>
      <c r="H6735" s="5" t="n">
        <v>149</v>
      </c>
      <c r="I6735" s="5" t="n">
        <v>146</v>
      </c>
      <c r="J6735" s="5" t="n">
        <v>3</v>
      </c>
      <c r="K6735" s="10">
        <f>IF(F6735&gt;0,H6735/F6735,"")</f>
        <v/>
      </c>
      <c r="L6735" s="16">
        <f>IF(AND(G6735&gt;0,H6735&gt;0),G6735/H6735,"")</f>
        <v/>
      </c>
    </row>
    <row r="6736">
      <c r="A6736" s="4" t="inlineStr">
        <is>
          <t>391</t>
        </is>
      </c>
      <c r="B6736" s="4" t="n">
        <v>3</v>
      </c>
      <c r="C6736" s="4" t="inlineStr">
        <is>
          <t>mule deer</t>
        </is>
      </c>
      <c r="D6736" s="4" t="n">
        <v>2015</v>
      </c>
      <c r="E6736" s="13" t="inlineStr">
        <is>
          <t>General</t>
        </is>
      </c>
      <c r="F6736" s="5" t="n"/>
      <c r="G6736" s="5" t="n"/>
      <c r="H6736" s="5" t="n">
        <v>215</v>
      </c>
      <c r="I6736" s="5" t="n">
        <v>205</v>
      </c>
      <c r="J6736" s="5" t="n">
        <v>8</v>
      </c>
      <c r="K6736" s="10">
        <f>IF(F6736&gt;0,H6736/F6736,"")</f>
        <v/>
      </c>
      <c r="L6736" s="16">
        <f>IF(AND(G6736&gt;0,H6736&gt;0),G6736/H6736,"")</f>
        <v/>
      </c>
    </row>
    <row r="6737">
      <c r="A6737" s="4" t="inlineStr">
        <is>
          <t>391</t>
        </is>
      </c>
      <c r="B6737" s="4" t="n">
        <v>3</v>
      </c>
      <c r="C6737" s="4" t="inlineStr">
        <is>
          <t>mule deer</t>
        </is>
      </c>
      <c r="D6737" s="4" t="n">
        <v>2016</v>
      </c>
      <c r="E6737" s="13" t="inlineStr">
        <is>
          <t>General</t>
        </is>
      </c>
      <c r="F6737" s="5" t="n"/>
      <c r="G6737" s="5" t="n"/>
      <c r="H6737" s="5" t="n">
        <v>392</v>
      </c>
      <c r="I6737" s="5" t="n">
        <v>321</v>
      </c>
      <c r="J6737" s="5" t="n">
        <v>71</v>
      </c>
      <c r="K6737" s="10">
        <f>IF(F6737&gt;0,H6737/F6737,"")</f>
        <v/>
      </c>
      <c r="L6737" s="16">
        <f>IF(AND(G6737&gt;0,H6737&gt;0),G6737/H6737,"")</f>
        <v/>
      </c>
    </row>
    <row r="6738">
      <c r="A6738" s="4" t="inlineStr">
        <is>
          <t>391</t>
        </is>
      </c>
      <c r="B6738" s="4" t="n">
        <v>3</v>
      </c>
      <c r="C6738" s="4" t="inlineStr">
        <is>
          <t>mule deer</t>
        </is>
      </c>
      <c r="D6738" s="4" t="n">
        <v>2017</v>
      </c>
      <c r="E6738" s="13" t="inlineStr">
        <is>
          <t>General</t>
        </is>
      </c>
      <c r="F6738" s="5" t="n">
        <v>1188</v>
      </c>
      <c r="G6738" s="5" t="n">
        <v>7914</v>
      </c>
      <c r="H6738" s="5" t="n">
        <v>363</v>
      </c>
      <c r="I6738" s="5" t="n">
        <v>263</v>
      </c>
      <c r="J6738" s="5" t="n">
        <v>100</v>
      </c>
      <c r="K6738" s="10">
        <f>IF(F6738&gt;0,H6738/F6738,"")</f>
        <v/>
      </c>
      <c r="L6738" s="16">
        <f>IF(AND(G6738&gt;0,H6738&gt;0),G6738/H6738,"")</f>
        <v/>
      </c>
    </row>
    <row r="6739">
      <c r="A6739" s="4" t="inlineStr">
        <is>
          <t>391</t>
        </is>
      </c>
      <c r="B6739" s="4" t="n">
        <v>3</v>
      </c>
      <c r="C6739" s="4" t="inlineStr">
        <is>
          <t>mule deer</t>
        </is>
      </c>
      <c r="D6739" s="4" t="n">
        <v>2018</v>
      </c>
      <c r="E6739" s="13" t="inlineStr">
        <is>
          <t>General</t>
        </is>
      </c>
      <c r="F6739" s="5" t="n"/>
      <c r="G6739" s="5" t="n"/>
      <c r="H6739" s="5" t="n">
        <v>401</v>
      </c>
      <c r="I6739" s="5" t="n">
        <v>265</v>
      </c>
      <c r="J6739" s="5" t="n">
        <v>136</v>
      </c>
      <c r="K6739" s="10">
        <f>IF(F6739&gt;0,H6739/F6739,"")</f>
        <v/>
      </c>
      <c r="L6739" s="16">
        <f>IF(AND(G6739&gt;0,H6739&gt;0),G6739/H6739,"")</f>
        <v/>
      </c>
    </row>
    <row r="6740">
      <c r="A6740" s="4" t="inlineStr">
        <is>
          <t>391</t>
        </is>
      </c>
      <c r="B6740" s="4" t="n">
        <v>3</v>
      </c>
      <c r="C6740" s="4" t="inlineStr">
        <is>
          <t>mule deer</t>
        </is>
      </c>
      <c r="D6740" s="4" t="n">
        <v>2019</v>
      </c>
      <c r="E6740" s="13" t="inlineStr">
        <is>
          <t>General</t>
        </is>
      </c>
      <c r="F6740" s="5" t="n">
        <v>1303</v>
      </c>
      <c r="G6740" s="5" t="n">
        <v>8413</v>
      </c>
      <c r="H6740" s="5" t="n">
        <v>362</v>
      </c>
      <c r="I6740" s="5" t="n">
        <v>201</v>
      </c>
      <c r="J6740" s="5" t="n">
        <v>162</v>
      </c>
      <c r="K6740" s="10">
        <f>IF(F6740&gt;0,H6740/F6740,"")</f>
        <v/>
      </c>
      <c r="L6740" s="16">
        <f>IF(AND(G6740&gt;0,H6740&gt;0),G6740/H6740,"")</f>
        <v/>
      </c>
    </row>
    <row r="6741">
      <c r="A6741" s="4" t="inlineStr">
        <is>
          <t>391</t>
        </is>
      </c>
      <c r="B6741" s="4" t="n">
        <v>3</v>
      </c>
      <c r="C6741" s="4" t="inlineStr">
        <is>
          <t>mule deer</t>
        </is>
      </c>
      <c r="D6741" s="4" t="n">
        <v>2020</v>
      </c>
      <c r="E6741" s="13" t="inlineStr">
        <is>
          <t>General</t>
        </is>
      </c>
      <c r="F6741" s="5" t="n"/>
      <c r="G6741" s="5" t="n"/>
      <c r="H6741" s="5" t="n">
        <v>515</v>
      </c>
      <c r="I6741" s="5" t="n">
        <v>420</v>
      </c>
      <c r="J6741" s="5" t="n">
        <v>92</v>
      </c>
      <c r="K6741" s="10">
        <f>IF(F6741&gt;0,H6741/F6741,"")</f>
        <v/>
      </c>
      <c r="L6741" s="16">
        <f>IF(AND(G6741&gt;0,H6741&gt;0),G6741/H6741,"")</f>
        <v/>
      </c>
    </row>
    <row r="6742">
      <c r="A6742" s="4" t="inlineStr">
        <is>
          <t>391</t>
        </is>
      </c>
      <c r="B6742" s="4" t="n">
        <v>3</v>
      </c>
      <c r="C6742" s="4" t="inlineStr">
        <is>
          <t>mule deer</t>
        </is>
      </c>
      <c r="D6742" s="4" t="n">
        <v>2021</v>
      </c>
      <c r="E6742" s="13" t="inlineStr">
        <is>
          <t>General</t>
        </is>
      </c>
      <c r="F6742" s="5" t="n">
        <v>1595</v>
      </c>
      <c r="G6742" s="5" t="n">
        <v>11068</v>
      </c>
      <c r="H6742" s="5" t="n">
        <v>399</v>
      </c>
      <c r="I6742" s="5" t="n">
        <v>328</v>
      </c>
      <c r="J6742" s="5" t="n">
        <v>71</v>
      </c>
      <c r="K6742" s="10">
        <f>IF(F6742&gt;0,H6742/F6742,"")</f>
        <v/>
      </c>
      <c r="L6742" s="16">
        <f>IF(AND(G6742&gt;0,H6742&gt;0),G6742/H6742,"")</f>
        <v/>
      </c>
    </row>
    <row r="6743">
      <c r="A6743" s="4" t="inlineStr">
        <is>
          <t>391</t>
        </is>
      </c>
      <c r="B6743" s="4" t="n">
        <v>3</v>
      </c>
      <c r="C6743" s="4" t="inlineStr">
        <is>
          <t>mule deer</t>
        </is>
      </c>
      <c r="D6743" s="4" t="n">
        <v>2022</v>
      </c>
      <c r="E6743" s="13" t="inlineStr">
        <is>
          <t>General</t>
        </is>
      </c>
      <c r="F6743" s="5" t="n"/>
      <c r="G6743" s="5" t="n"/>
      <c r="H6743" s="5" t="n">
        <v>365</v>
      </c>
      <c r="I6743" s="5" t="n">
        <v>290</v>
      </c>
      <c r="J6743" s="5" t="n">
        <v>75</v>
      </c>
      <c r="K6743" s="10">
        <f>IF(F6743&gt;0,H6743/F6743,"")</f>
        <v/>
      </c>
      <c r="L6743" s="16">
        <f>IF(AND(G6743&gt;0,H6743&gt;0),G6743/H6743,"")</f>
        <v/>
      </c>
    </row>
    <row r="6744">
      <c r="A6744" s="4" t="inlineStr">
        <is>
          <t>391</t>
        </is>
      </c>
      <c r="B6744" s="4" t="n">
        <v>3</v>
      </c>
      <c r="C6744" s="4" t="inlineStr">
        <is>
          <t>mule deer</t>
        </is>
      </c>
      <c r="D6744" s="4" t="n">
        <v>2023</v>
      </c>
      <c r="E6744" s="13" t="inlineStr">
        <is>
          <t>General</t>
        </is>
      </c>
      <c r="F6744" s="5" t="n">
        <v>1809</v>
      </c>
      <c r="G6744" s="5" t="n">
        <v>12961</v>
      </c>
      <c r="H6744" s="5" t="n">
        <v>384</v>
      </c>
      <c r="I6744" s="5" t="n">
        <v>334</v>
      </c>
      <c r="J6744" s="5" t="n">
        <v>46</v>
      </c>
      <c r="K6744" s="10">
        <f>IF(F6744&gt;0,H6744/F6744,"")</f>
        <v/>
      </c>
      <c r="L6744" s="16">
        <f>IF(AND(G6744&gt;0,H6744&gt;0),G6744/H6744,"")</f>
        <v/>
      </c>
    </row>
    <row r="6745">
      <c r="A6745" s="4" t="inlineStr">
        <is>
          <t>391</t>
        </is>
      </c>
      <c r="B6745" s="4" t="n">
        <v>3</v>
      </c>
      <c r="C6745" s="4" t="inlineStr">
        <is>
          <t>mule deer</t>
        </is>
      </c>
      <c r="D6745" s="4" t="n">
        <v>2024</v>
      </c>
      <c r="E6745" s="13" t="inlineStr">
        <is>
          <t>General</t>
        </is>
      </c>
      <c r="F6745" s="5" t="n"/>
      <c r="G6745" s="5" t="n"/>
      <c r="H6745" s="5" t="n">
        <v>432</v>
      </c>
      <c r="I6745" s="5" t="n">
        <v>385</v>
      </c>
      <c r="J6745" s="5" t="n">
        <v>45</v>
      </c>
      <c r="K6745" s="10">
        <f>IF(F6745&gt;0,H6745/F6745,"")</f>
        <v/>
      </c>
      <c r="L6745" s="16">
        <f>IF(AND(G6745&gt;0,H6745&gt;0),G6745/H6745,"")</f>
        <v/>
      </c>
    </row>
    <row r="6746">
      <c r="A6746" s="4" t="inlineStr">
        <is>
          <t>391</t>
        </is>
      </c>
      <c r="B6746" s="4" t="n">
        <v>3</v>
      </c>
      <c r="C6746" s="4" t="inlineStr">
        <is>
          <t>mule deer</t>
        </is>
      </c>
      <c r="D6746" s="4" t="n">
        <v>2025</v>
      </c>
      <c r="E6746" s="13" t="inlineStr">
        <is>
          <t>General</t>
        </is>
      </c>
      <c r="F6746" s="5" t="n">
        <v>1880</v>
      </c>
      <c r="G6746" s="5" t="n">
        <v>13605</v>
      </c>
      <c r="H6746" s="5" t="n">
        <v>447</v>
      </c>
      <c r="I6746" s="5" t="n">
        <v>367</v>
      </c>
      <c r="J6746" s="5" t="n">
        <v>80</v>
      </c>
      <c r="K6746" s="10">
        <f>IF(F6746&gt;0,H6746/F6746,"")</f>
        <v/>
      </c>
      <c r="L6746" s="16">
        <f>IF(AND(G6746&gt;0,H6746&gt;0),G6746/H6746,"")</f>
        <v/>
      </c>
    </row>
    <row r="6747">
      <c r="A6747" s="4" t="inlineStr">
        <is>
          <t>392</t>
        </is>
      </c>
      <c r="B6747" s="4" t="n">
        <v>3</v>
      </c>
      <c r="C6747" s="4" t="inlineStr">
        <is>
          <t>mule deer</t>
        </is>
      </c>
      <c r="D6747" s="4" t="n">
        <v>2004</v>
      </c>
      <c r="E6747" s="15" t="inlineStr">
        <is>
          <t>Draw</t>
        </is>
      </c>
      <c r="F6747" s="5" t="n">
        <v>1062</v>
      </c>
      <c r="G6747" s="5" t="n">
        <v>7684</v>
      </c>
      <c r="H6747" s="5" t="n">
        <v>396</v>
      </c>
      <c r="I6747" s="5" t="n">
        <v>341</v>
      </c>
      <c r="J6747" s="5" t="n">
        <v>53</v>
      </c>
      <c r="K6747" s="10">
        <f>IF(F6747&gt;0,H6747/F6747,"")</f>
        <v/>
      </c>
      <c r="L6747" s="16">
        <f>IF(AND(G6747&gt;0,H6747&gt;0),G6747/H6747,"")</f>
        <v/>
      </c>
    </row>
    <row r="6748">
      <c r="A6748" s="4" t="inlineStr">
        <is>
          <t>392</t>
        </is>
      </c>
      <c r="B6748" s="4" t="n">
        <v>3</v>
      </c>
      <c r="C6748" s="4" t="inlineStr">
        <is>
          <t>mule deer</t>
        </is>
      </c>
      <c r="D6748" s="4" t="n">
        <v>2005</v>
      </c>
      <c r="E6748" s="15" t="inlineStr">
        <is>
          <t>Draw</t>
        </is>
      </c>
      <c r="F6748" s="5" t="n">
        <v>950</v>
      </c>
      <c r="G6748" s="5" t="n">
        <v>6576</v>
      </c>
      <c r="H6748" s="5" t="n">
        <v>371</v>
      </c>
      <c r="I6748" s="5" t="n">
        <v>336</v>
      </c>
      <c r="J6748" s="5" t="n">
        <v>35</v>
      </c>
      <c r="K6748" s="10">
        <f>IF(F6748&gt;0,H6748/F6748,"")</f>
        <v/>
      </c>
      <c r="L6748" s="16">
        <f>IF(AND(G6748&gt;0,H6748&gt;0),G6748/H6748,"")</f>
        <v/>
      </c>
    </row>
    <row r="6749">
      <c r="A6749" s="4" t="inlineStr">
        <is>
          <t>392</t>
        </is>
      </c>
      <c r="B6749" s="4" t="n">
        <v>3</v>
      </c>
      <c r="C6749" s="4" t="inlineStr">
        <is>
          <t>mule deer</t>
        </is>
      </c>
      <c r="D6749" s="4" t="n">
        <v>2006</v>
      </c>
      <c r="E6749" s="15" t="inlineStr">
        <is>
          <t>Draw</t>
        </is>
      </c>
      <c r="F6749" s="5" t="n">
        <v>1137</v>
      </c>
      <c r="G6749" s="5" t="n">
        <v>7672</v>
      </c>
      <c r="H6749" s="5" t="n">
        <v>492</v>
      </c>
      <c r="I6749" s="5" t="n">
        <v>428</v>
      </c>
      <c r="J6749" s="5" t="n">
        <v>61</v>
      </c>
      <c r="K6749" s="10">
        <f>IF(F6749&gt;0,H6749/F6749,"")</f>
        <v/>
      </c>
      <c r="L6749" s="16">
        <f>IF(AND(G6749&gt;0,H6749&gt;0),G6749/H6749,"")</f>
        <v/>
      </c>
    </row>
    <row r="6750">
      <c r="A6750" s="4" t="inlineStr">
        <is>
          <t>392</t>
        </is>
      </c>
      <c r="B6750" s="4" t="n">
        <v>3</v>
      </c>
      <c r="C6750" s="4" t="inlineStr">
        <is>
          <t>mule deer</t>
        </is>
      </c>
      <c r="D6750" s="4" t="n">
        <v>2007</v>
      </c>
      <c r="E6750" s="15" t="inlineStr">
        <is>
          <t>Draw</t>
        </is>
      </c>
      <c r="F6750" s="5" t="n">
        <v>1147</v>
      </c>
      <c r="G6750" s="5" t="n">
        <v>8712</v>
      </c>
      <c r="H6750" s="5" t="n">
        <v>417</v>
      </c>
      <c r="I6750" s="5" t="n">
        <v>339</v>
      </c>
      <c r="J6750" s="5" t="n">
        <v>78</v>
      </c>
      <c r="K6750" s="10">
        <f>IF(F6750&gt;0,H6750/F6750,"")</f>
        <v/>
      </c>
      <c r="L6750" s="16">
        <f>IF(AND(G6750&gt;0,H6750&gt;0),G6750/H6750,"")</f>
        <v/>
      </c>
    </row>
    <row r="6751">
      <c r="A6751" s="4" t="inlineStr">
        <is>
          <t>392</t>
        </is>
      </c>
      <c r="B6751" s="4" t="n">
        <v>3</v>
      </c>
      <c r="C6751" s="4" t="inlineStr">
        <is>
          <t>mule deer</t>
        </is>
      </c>
      <c r="D6751" s="4" t="n">
        <v>2008</v>
      </c>
      <c r="E6751" s="15" t="inlineStr">
        <is>
          <t>Draw</t>
        </is>
      </c>
      <c r="F6751" s="5" t="n">
        <v>1296</v>
      </c>
      <c r="G6751" s="5" t="n">
        <v>9727</v>
      </c>
      <c r="H6751" s="5" t="n">
        <v>430</v>
      </c>
      <c r="I6751" s="5" t="n">
        <v>350</v>
      </c>
      <c r="J6751" s="5" t="n">
        <v>80</v>
      </c>
      <c r="K6751" s="10">
        <f>IF(F6751&gt;0,H6751/F6751,"")</f>
        <v/>
      </c>
      <c r="L6751" s="16">
        <f>IF(AND(G6751&gt;0,H6751&gt;0),G6751/H6751,"")</f>
        <v/>
      </c>
    </row>
    <row r="6752">
      <c r="A6752" s="4" t="inlineStr">
        <is>
          <t>392</t>
        </is>
      </c>
      <c r="B6752" s="4" t="n">
        <v>3</v>
      </c>
      <c r="C6752" s="4" t="inlineStr">
        <is>
          <t>mule deer</t>
        </is>
      </c>
      <c r="D6752" s="4" t="n">
        <v>2009</v>
      </c>
      <c r="E6752" s="15" t="inlineStr">
        <is>
          <t>Draw</t>
        </is>
      </c>
      <c r="F6752" s="5" t="n">
        <v>917</v>
      </c>
      <c r="G6752" s="5" t="n">
        <v>8146</v>
      </c>
      <c r="H6752" s="5" t="n">
        <v>305</v>
      </c>
      <c r="I6752" s="5" t="n">
        <v>249</v>
      </c>
      <c r="J6752" s="5" t="n">
        <v>56</v>
      </c>
      <c r="K6752" s="10">
        <f>IF(F6752&gt;0,H6752/F6752,"")</f>
        <v/>
      </c>
      <c r="L6752" s="16">
        <f>IF(AND(G6752&gt;0,H6752&gt;0),G6752/H6752,"")</f>
        <v/>
      </c>
    </row>
    <row r="6753">
      <c r="A6753" s="4" t="inlineStr">
        <is>
          <t>392</t>
        </is>
      </c>
      <c r="B6753" s="4" t="n">
        <v>3</v>
      </c>
      <c r="C6753" s="4" t="inlineStr">
        <is>
          <t>mule deer</t>
        </is>
      </c>
      <c r="D6753" s="4" t="n">
        <v>2010</v>
      </c>
      <c r="E6753" s="15" t="inlineStr">
        <is>
          <t>Draw</t>
        </is>
      </c>
      <c r="F6753" s="5" t="n">
        <v>742</v>
      </c>
      <c r="G6753" s="5" t="n">
        <v>5447</v>
      </c>
      <c r="H6753" s="5" t="n">
        <v>263</v>
      </c>
      <c r="I6753" s="5" t="n">
        <v>221</v>
      </c>
      <c r="J6753" s="5" t="n">
        <v>41</v>
      </c>
      <c r="K6753" s="10">
        <f>IF(F6753&gt;0,H6753/F6753,"")</f>
        <v/>
      </c>
      <c r="L6753" s="16">
        <f>IF(AND(G6753&gt;0,H6753&gt;0),G6753/H6753,"")</f>
        <v/>
      </c>
    </row>
    <row r="6754">
      <c r="A6754" s="4" t="inlineStr">
        <is>
          <t>392</t>
        </is>
      </c>
      <c r="B6754" s="4" t="n">
        <v>3</v>
      </c>
      <c r="C6754" s="4" t="inlineStr">
        <is>
          <t>mule deer</t>
        </is>
      </c>
      <c r="D6754" s="4" t="n">
        <v>2011</v>
      </c>
      <c r="E6754" s="15" t="inlineStr">
        <is>
          <t>Draw</t>
        </is>
      </c>
      <c r="F6754" s="5" t="n">
        <v>776</v>
      </c>
      <c r="G6754" s="5" t="n">
        <v>5351</v>
      </c>
      <c r="H6754" s="5" t="n">
        <v>291</v>
      </c>
      <c r="I6754" s="5" t="n">
        <v>252</v>
      </c>
      <c r="J6754" s="5" t="n">
        <v>39</v>
      </c>
      <c r="K6754" s="10">
        <f>IF(F6754&gt;0,H6754/F6754,"")</f>
        <v/>
      </c>
      <c r="L6754" s="16">
        <f>IF(AND(G6754&gt;0,H6754&gt;0),G6754/H6754,"")</f>
        <v/>
      </c>
    </row>
    <row r="6755">
      <c r="A6755" s="4" t="inlineStr">
        <is>
          <t>392</t>
        </is>
      </c>
      <c r="B6755" s="4" t="n">
        <v>3</v>
      </c>
      <c r="C6755" s="4" t="inlineStr">
        <is>
          <t>mule deer</t>
        </is>
      </c>
      <c r="D6755" s="4" t="n">
        <v>2012</v>
      </c>
      <c r="E6755" s="15" t="inlineStr">
        <is>
          <t>Draw</t>
        </is>
      </c>
      <c r="F6755" s="5" t="n"/>
      <c r="G6755" s="5" t="n"/>
      <c r="H6755" s="5" t="n">
        <v>233</v>
      </c>
      <c r="I6755" s="5" t="n">
        <v>216</v>
      </c>
      <c r="J6755" s="5" t="n">
        <v>18</v>
      </c>
      <c r="K6755" s="10">
        <f>IF(F6755&gt;0,H6755/F6755,"")</f>
        <v/>
      </c>
      <c r="L6755" s="16">
        <f>IF(AND(G6755&gt;0,H6755&gt;0),G6755/H6755,"")</f>
        <v/>
      </c>
    </row>
    <row r="6756">
      <c r="A6756" s="4" t="inlineStr">
        <is>
          <t>392</t>
        </is>
      </c>
      <c r="B6756" s="4" t="n">
        <v>3</v>
      </c>
      <c r="C6756" s="4" t="inlineStr">
        <is>
          <t>mule deer</t>
        </is>
      </c>
      <c r="D6756" s="4" t="n">
        <v>2013</v>
      </c>
      <c r="E6756" s="15" t="inlineStr">
        <is>
          <t>Draw</t>
        </is>
      </c>
      <c r="F6756" s="5" t="n">
        <v>881</v>
      </c>
      <c r="G6756" s="5" t="n">
        <v>6820</v>
      </c>
      <c r="H6756" s="5" t="n">
        <v>254</v>
      </c>
      <c r="I6756" s="5" t="n">
        <v>220</v>
      </c>
      <c r="J6756" s="5" t="n">
        <v>34</v>
      </c>
      <c r="K6756" s="10">
        <f>IF(F6756&gt;0,H6756/F6756,"")</f>
        <v/>
      </c>
      <c r="L6756" s="16">
        <f>IF(AND(G6756&gt;0,H6756&gt;0),G6756/H6756,"")</f>
        <v/>
      </c>
    </row>
    <row r="6757">
      <c r="A6757" s="4" t="inlineStr">
        <is>
          <t>392</t>
        </is>
      </c>
      <c r="B6757" s="4" t="n">
        <v>3</v>
      </c>
      <c r="C6757" s="4" t="inlineStr">
        <is>
          <t>mule deer</t>
        </is>
      </c>
      <c r="D6757" s="4" t="n">
        <v>2014</v>
      </c>
      <c r="E6757" s="15" t="inlineStr">
        <is>
          <t>Draw</t>
        </is>
      </c>
      <c r="F6757" s="5" t="n"/>
      <c r="G6757" s="5" t="n"/>
      <c r="H6757" s="5" t="n">
        <v>264</v>
      </c>
      <c r="I6757" s="5" t="n">
        <v>264</v>
      </c>
      <c r="J6757" s="5" t="n">
        <v>0</v>
      </c>
      <c r="K6757" s="10">
        <f>IF(F6757&gt;0,H6757/F6757,"")</f>
        <v/>
      </c>
      <c r="L6757" s="16">
        <f>IF(AND(G6757&gt;0,H6757&gt;0),G6757/H6757,"")</f>
        <v/>
      </c>
    </row>
    <row r="6758">
      <c r="A6758" s="4" t="inlineStr">
        <is>
          <t>392</t>
        </is>
      </c>
      <c r="B6758" s="4" t="n">
        <v>3</v>
      </c>
      <c r="C6758" s="4" t="inlineStr">
        <is>
          <t>mule deer</t>
        </is>
      </c>
      <c r="D6758" s="4" t="n">
        <v>2015</v>
      </c>
      <c r="E6758" s="15" t="inlineStr">
        <is>
          <t>Draw</t>
        </is>
      </c>
      <c r="F6758" s="5" t="n"/>
      <c r="G6758" s="5" t="n"/>
      <c r="H6758" s="5" t="n">
        <v>333</v>
      </c>
      <c r="I6758" s="5" t="n">
        <v>330</v>
      </c>
      <c r="J6758" s="5" t="n">
        <v>3</v>
      </c>
      <c r="K6758" s="10">
        <f>IF(F6758&gt;0,H6758/F6758,"")</f>
        <v/>
      </c>
      <c r="L6758" s="16">
        <f>IF(AND(G6758&gt;0,H6758&gt;0),G6758/H6758,"")</f>
        <v/>
      </c>
    </row>
    <row r="6759">
      <c r="A6759" s="4" t="inlineStr">
        <is>
          <t>392</t>
        </is>
      </c>
      <c r="B6759" s="4" t="n">
        <v>3</v>
      </c>
      <c r="C6759" s="4" t="inlineStr">
        <is>
          <t>mule deer</t>
        </is>
      </c>
      <c r="D6759" s="4" t="n">
        <v>2016</v>
      </c>
      <c r="E6759" s="15" t="inlineStr">
        <is>
          <t>Draw</t>
        </is>
      </c>
      <c r="F6759" s="5" t="n"/>
      <c r="G6759" s="5" t="n"/>
      <c r="H6759" s="5" t="n">
        <v>249</v>
      </c>
      <c r="I6759" s="5" t="n">
        <v>243</v>
      </c>
      <c r="J6759" s="5" t="n">
        <v>6</v>
      </c>
      <c r="K6759" s="10">
        <f>IF(F6759&gt;0,H6759/F6759,"")</f>
        <v/>
      </c>
      <c r="L6759" s="16">
        <f>IF(AND(G6759&gt;0,H6759&gt;0),G6759/H6759,"")</f>
        <v/>
      </c>
    </row>
    <row r="6760">
      <c r="A6760" s="4" t="inlineStr">
        <is>
          <t>392</t>
        </is>
      </c>
      <c r="B6760" s="4" t="n">
        <v>3</v>
      </c>
      <c r="C6760" s="4" t="inlineStr">
        <is>
          <t>mule deer</t>
        </is>
      </c>
      <c r="D6760" s="4" t="n">
        <v>2017</v>
      </c>
      <c r="E6760" s="15" t="inlineStr">
        <is>
          <t>Draw</t>
        </is>
      </c>
      <c r="F6760" s="5" t="n">
        <v>507</v>
      </c>
      <c r="G6760" s="5" t="n">
        <v>3308</v>
      </c>
      <c r="H6760" s="5" t="n">
        <v>195</v>
      </c>
      <c r="I6760" s="5" t="n">
        <v>177</v>
      </c>
      <c r="J6760" s="5" t="n">
        <v>18</v>
      </c>
      <c r="K6760" s="10">
        <f>IF(F6760&gt;0,H6760/F6760,"")</f>
        <v/>
      </c>
      <c r="L6760" s="16">
        <f>IF(AND(G6760&gt;0,H6760&gt;0),G6760/H6760,"")</f>
        <v/>
      </c>
    </row>
    <row r="6761">
      <c r="A6761" s="4" t="inlineStr">
        <is>
          <t>392</t>
        </is>
      </c>
      <c r="B6761" s="4" t="n">
        <v>3</v>
      </c>
      <c r="C6761" s="4" t="inlineStr">
        <is>
          <t>mule deer</t>
        </is>
      </c>
      <c r="D6761" s="4" t="n">
        <v>2018</v>
      </c>
      <c r="E6761" s="15" t="inlineStr">
        <is>
          <t>Draw</t>
        </is>
      </c>
      <c r="F6761" s="5" t="n"/>
      <c r="G6761" s="5" t="n"/>
      <c r="H6761" s="5" t="n">
        <v>216</v>
      </c>
      <c r="I6761" s="5" t="n">
        <v>178</v>
      </c>
      <c r="J6761" s="5" t="n">
        <v>38</v>
      </c>
      <c r="K6761" s="10">
        <f>IF(F6761&gt;0,H6761/F6761,"")</f>
        <v/>
      </c>
      <c r="L6761" s="16">
        <f>IF(AND(G6761&gt;0,H6761&gt;0),G6761/H6761,"")</f>
        <v/>
      </c>
    </row>
    <row r="6762">
      <c r="A6762" s="4" t="inlineStr">
        <is>
          <t>392</t>
        </is>
      </c>
      <c r="B6762" s="4" t="n">
        <v>3</v>
      </c>
      <c r="C6762" s="4" t="inlineStr">
        <is>
          <t>mule deer</t>
        </is>
      </c>
      <c r="D6762" s="4" t="n">
        <v>2019</v>
      </c>
      <c r="E6762" s="15" t="inlineStr">
        <is>
          <t>Draw</t>
        </is>
      </c>
      <c r="F6762" s="5" t="n">
        <v>547</v>
      </c>
      <c r="G6762" s="5" t="n">
        <v>3479</v>
      </c>
      <c r="H6762" s="5" t="n">
        <v>199</v>
      </c>
      <c r="I6762" s="5" t="n">
        <v>139</v>
      </c>
      <c r="J6762" s="5" t="n">
        <v>60</v>
      </c>
      <c r="K6762" s="10">
        <f>IF(F6762&gt;0,H6762/F6762,"")</f>
        <v/>
      </c>
      <c r="L6762" s="16">
        <f>IF(AND(G6762&gt;0,H6762&gt;0),G6762/H6762,"")</f>
        <v/>
      </c>
    </row>
    <row r="6763">
      <c r="A6763" s="4" t="inlineStr">
        <is>
          <t>392</t>
        </is>
      </c>
      <c r="B6763" s="4" t="n">
        <v>3</v>
      </c>
      <c r="C6763" s="4" t="inlineStr">
        <is>
          <t>mule deer</t>
        </is>
      </c>
      <c r="D6763" s="4" t="n">
        <v>2020</v>
      </c>
      <c r="E6763" s="15" t="inlineStr">
        <is>
          <t>Draw</t>
        </is>
      </c>
      <c r="F6763" s="5" t="n"/>
      <c r="G6763" s="5" t="n"/>
      <c r="H6763" s="5" t="n">
        <v>196</v>
      </c>
      <c r="I6763" s="5" t="n">
        <v>155</v>
      </c>
      <c r="J6763" s="5" t="n">
        <v>41</v>
      </c>
      <c r="K6763" s="10">
        <f>IF(F6763&gt;0,H6763/F6763,"")</f>
        <v/>
      </c>
      <c r="L6763" s="16">
        <f>IF(AND(G6763&gt;0,H6763&gt;0),G6763/H6763,"")</f>
        <v/>
      </c>
    </row>
    <row r="6764">
      <c r="A6764" s="4" t="inlineStr">
        <is>
          <t>392</t>
        </is>
      </c>
      <c r="B6764" s="4" t="n">
        <v>3</v>
      </c>
      <c r="C6764" s="4" t="inlineStr">
        <is>
          <t>mule deer</t>
        </is>
      </c>
      <c r="D6764" s="4" t="n">
        <v>2021</v>
      </c>
      <c r="E6764" s="15" t="inlineStr">
        <is>
          <t>Draw</t>
        </is>
      </c>
      <c r="F6764" s="5" t="n">
        <v>518</v>
      </c>
      <c r="G6764" s="5" t="n">
        <v>3500</v>
      </c>
      <c r="H6764" s="5" t="n">
        <v>207</v>
      </c>
      <c r="I6764" s="5" t="n">
        <v>179</v>
      </c>
      <c r="J6764" s="5" t="n">
        <v>29</v>
      </c>
      <c r="K6764" s="10">
        <f>IF(F6764&gt;0,H6764/F6764,"")</f>
        <v/>
      </c>
      <c r="L6764" s="16">
        <f>IF(AND(G6764&gt;0,H6764&gt;0),G6764/H6764,"")</f>
        <v/>
      </c>
    </row>
    <row r="6765">
      <c r="A6765" s="4" t="inlineStr">
        <is>
          <t>392</t>
        </is>
      </c>
      <c r="B6765" s="4" t="n">
        <v>3</v>
      </c>
      <c r="C6765" s="4" t="inlineStr">
        <is>
          <t>mule deer</t>
        </is>
      </c>
      <c r="D6765" s="4" t="n">
        <v>2022</v>
      </c>
      <c r="E6765" s="15" t="inlineStr">
        <is>
          <t>Draw</t>
        </is>
      </c>
      <c r="F6765" s="5" t="n"/>
      <c r="G6765" s="5" t="n"/>
      <c r="H6765" s="5" t="n">
        <v>235</v>
      </c>
      <c r="I6765" s="5" t="n">
        <v>178</v>
      </c>
      <c r="J6765" s="5" t="n">
        <v>57</v>
      </c>
      <c r="K6765" s="10">
        <f>IF(F6765&gt;0,H6765/F6765,"")</f>
        <v/>
      </c>
      <c r="L6765" s="16">
        <f>IF(AND(G6765&gt;0,H6765&gt;0),G6765/H6765,"")</f>
        <v/>
      </c>
    </row>
    <row r="6766">
      <c r="A6766" s="4" t="inlineStr">
        <is>
          <t>392</t>
        </is>
      </c>
      <c r="B6766" s="4" t="n">
        <v>3</v>
      </c>
      <c r="C6766" s="4" t="inlineStr">
        <is>
          <t>mule deer</t>
        </is>
      </c>
      <c r="D6766" s="4" t="n">
        <v>2023</v>
      </c>
      <c r="E6766" s="15" t="inlineStr">
        <is>
          <t>Draw</t>
        </is>
      </c>
      <c r="F6766" s="5" t="n">
        <v>649</v>
      </c>
      <c r="G6766" s="5" t="n">
        <v>4216</v>
      </c>
      <c r="H6766" s="5" t="n">
        <v>233</v>
      </c>
      <c r="I6766" s="5" t="n">
        <v>199</v>
      </c>
      <c r="J6766" s="5" t="n">
        <v>34</v>
      </c>
      <c r="K6766" s="10">
        <f>IF(F6766&gt;0,H6766/F6766,"")</f>
        <v/>
      </c>
      <c r="L6766" s="16">
        <f>IF(AND(G6766&gt;0,H6766&gt;0),G6766/H6766,"")</f>
        <v/>
      </c>
    </row>
    <row r="6767">
      <c r="A6767" s="4" t="inlineStr">
        <is>
          <t>392</t>
        </is>
      </c>
      <c r="B6767" s="4" t="n">
        <v>3</v>
      </c>
      <c r="C6767" s="4" t="inlineStr">
        <is>
          <t>mule deer</t>
        </is>
      </c>
      <c r="D6767" s="4" t="n">
        <v>2024</v>
      </c>
      <c r="E6767" s="15" t="inlineStr">
        <is>
          <t>Draw</t>
        </is>
      </c>
      <c r="F6767" s="5" t="n"/>
      <c r="G6767" s="5" t="n"/>
      <c r="H6767" s="5" t="n">
        <v>211</v>
      </c>
      <c r="I6767" s="5" t="n">
        <v>189</v>
      </c>
      <c r="J6767" s="5" t="n">
        <v>23</v>
      </c>
      <c r="K6767" s="10">
        <f>IF(F6767&gt;0,H6767/F6767,"")</f>
        <v/>
      </c>
      <c r="L6767" s="16">
        <f>IF(AND(G6767&gt;0,H6767&gt;0),G6767/H6767,"")</f>
        <v/>
      </c>
    </row>
    <row r="6768">
      <c r="A6768" s="4" t="inlineStr">
        <is>
          <t>392</t>
        </is>
      </c>
      <c r="B6768" s="4" t="n">
        <v>3</v>
      </c>
      <c r="C6768" s="4" t="inlineStr">
        <is>
          <t>mule deer</t>
        </is>
      </c>
      <c r="D6768" s="4" t="n">
        <v>2025</v>
      </c>
      <c r="E6768" s="15" t="inlineStr">
        <is>
          <t>Draw</t>
        </is>
      </c>
      <c r="F6768" s="5" t="n">
        <v>691</v>
      </c>
      <c r="G6768" s="5" t="n">
        <v>5085</v>
      </c>
      <c r="H6768" s="5" t="n">
        <v>327</v>
      </c>
      <c r="I6768" s="5" t="n">
        <v>290</v>
      </c>
      <c r="J6768" s="5" t="n">
        <v>37</v>
      </c>
      <c r="K6768" s="10">
        <f>IF(F6768&gt;0,H6768/F6768,"")</f>
        <v/>
      </c>
      <c r="L6768" s="16">
        <f>IF(AND(G6768&gt;0,H6768&gt;0),G6768/H6768,"")</f>
        <v/>
      </c>
    </row>
    <row r="6769">
      <c r="A6769" s="4" t="inlineStr">
        <is>
          <t>393</t>
        </is>
      </c>
      <c r="B6769" s="4" t="n">
        <v>3</v>
      </c>
      <c r="C6769" s="4" t="inlineStr">
        <is>
          <t>mule deer</t>
        </is>
      </c>
      <c r="D6769" s="4" t="n">
        <v>2004</v>
      </c>
      <c r="E6769" s="13" t="inlineStr">
        <is>
          <t>General</t>
        </is>
      </c>
      <c r="F6769" s="5" t="n">
        <v>1544</v>
      </c>
      <c r="G6769" s="5" t="n">
        <v>7453</v>
      </c>
      <c r="H6769" s="5" t="n">
        <v>551</v>
      </c>
      <c r="I6769" s="5" t="n">
        <v>441</v>
      </c>
      <c r="J6769" s="5" t="n">
        <v>102</v>
      </c>
      <c r="K6769" s="10">
        <f>IF(F6769&gt;0,H6769/F6769,"")</f>
        <v/>
      </c>
      <c r="L6769" s="16">
        <f>IF(AND(G6769&gt;0,H6769&gt;0),G6769/H6769,"")</f>
        <v/>
      </c>
    </row>
    <row r="6770">
      <c r="A6770" s="4" t="inlineStr">
        <is>
          <t>393</t>
        </is>
      </c>
      <c r="B6770" s="4" t="n">
        <v>3</v>
      </c>
      <c r="C6770" s="4" t="inlineStr">
        <is>
          <t>mule deer</t>
        </is>
      </c>
      <c r="D6770" s="4" t="n">
        <v>2005</v>
      </c>
      <c r="E6770" s="13" t="inlineStr">
        <is>
          <t>General</t>
        </is>
      </c>
      <c r="F6770" s="5" t="n">
        <v>1525</v>
      </c>
      <c r="G6770" s="5" t="n">
        <v>6926</v>
      </c>
      <c r="H6770" s="5" t="n">
        <v>546</v>
      </c>
      <c r="I6770" s="5" t="n">
        <v>424</v>
      </c>
      <c r="J6770" s="5" t="n">
        <v>120</v>
      </c>
      <c r="K6770" s="10">
        <f>IF(F6770&gt;0,H6770/F6770,"")</f>
        <v/>
      </c>
      <c r="L6770" s="16">
        <f>IF(AND(G6770&gt;0,H6770&gt;0),G6770/H6770,"")</f>
        <v/>
      </c>
    </row>
    <row r="6771">
      <c r="A6771" s="4" t="inlineStr">
        <is>
          <t>393</t>
        </is>
      </c>
      <c r="B6771" s="4" t="n">
        <v>3</v>
      </c>
      <c r="C6771" s="4" t="inlineStr">
        <is>
          <t>mule deer</t>
        </is>
      </c>
      <c r="D6771" s="4" t="n">
        <v>2006</v>
      </c>
      <c r="E6771" s="13" t="inlineStr">
        <is>
          <t>General</t>
        </is>
      </c>
      <c r="F6771" s="5" t="n">
        <v>1479</v>
      </c>
      <c r="G6771" s="5" t="n">
        <v>7606</v>
      </c>
      <c r="H6771" s="5" t="n">
        <v>609</v>
      </c>
      <c r="I6771" s="5" t="n">
        <v>495</v>
      </c>
      <c r="J6771" s="5" t="n">
        <v>111</v>
      </c>
      <c r="K6771" s="10">
        <f>IF(F6771&gt;0,H6771/F6771,"")</f>
        <v/>
      </c>
      <c r="L6771" s="16">
        <f>IF(AND(G6771&gt;0,H6771&gt;0),G6771/H6771,"")</f>
        <v/>
      </c>
    </row>
    <row r="6772">
      <c r="A6772" s="4" t="inlineStr">
        <is>
          <t>393</t>
        </is>
      </c>
      <c r="B6772" s="4" t="n">
        <v>3</v>
      </c>
      <c r="C6772" s="4" t="inlineStr">
        <is>
          <t>mule deer</t>
        </is>
      </c>
      <c r="D6772" s="4" t="n">
        <v>2007</v>
      </c>
      <c r="E6772" s="13" t="inlineStr">
        <is>
          <t>General</t>
        </is>
      </c>
      <c r="F6772" s="5" t="n">
        <v>1347</v>
      </c>
      <c r="G6772" s="5" t="n">
        <v>7331</v>
      </c>
      <c r="H6772" s="5" t="n">
        <v>438</v>
      </c>
      <c r="I6772" s="5" t="n">
        <v>313</v>
      </c>
      <c r="J6772" s="5" t="n">
        <v>122</v>
      </c>
      <c r="K6772" s="10">
        <f>IF(F6772&gt;0,H6772/F6772,"")</f>
        <v/>
      </c>
      <c r="L6772" s="16">
        <f>IF(AND(G6772&gt;0,H6772&gt;0),G6772/H6772,"")</f>
        <v/>
      </c>
    </row>
    <row r="6773">
      <c r="A6773" s="4" t="inlineStr">
        <is>
          <t>393</t>
        </is>
      </c>
      <c r="B6773" s="4" t="n">
        <v>3</v>
      </c>
      <c r="C6773" s="4" t="inlineStr">
        <is>
          <t>mule deer</t>
        </is>
      </c>
      <c r="D6773" s="4" t="n">
        <v>2008</v>
      </c>
      <c r="E6773" s="13" t="inlineStr">
        <is>
          <t>General</t>
        </is>
      </c>
      <c r="F6773" s="5" t="n">
        <v>1782</v>
      </c>
      <c r="G6773" s="5" t="n">
        <v>9127</v>
      </c>
      <c r="H6773" s="5" t="n">
        <v>381</v>
      </c>
      <c r="I6773" s="5" t="n">
        <v>266</v>
      </c>
      <c r="J6773" s="5" t="n">
        <v>115</v>
      </c>
      <c r="K6773" s="10">
        <f>IF(F6773&gt;0,H6773/F6773,"")</f>
        <v/>
      </c>
      <c r="L6773" s="16">
        <f>IF(AND(G6773&gt;0,H6773&gt;0),G6773/H6773,"")</f>
        <v/>
      </c>
    </row>
    <row r="6774">
      <c r="A6774" s="4" t="inlineStr">
        <is>
          <t>393</t>
        </is>
      </c>
      <c r="B6774" s="4" t="n">
        <v>3</v>
      </c>
      <c r="C6774" s="4" t="inlineStr">
        <is>
          <t>mule deer</t>
        </is>
      </c>
      <c r="D6774" s="4" t="n">
        <v>2009</v>
      </c>
      <c r="E6774" s="13" t="inlineStr">
        <is>
          <t>General</t>
        </is>
      </c>
      <c r="F6774" s="5" t="n">
        <v>1622</v>
      </c>
      <c r="G6774" s="5" t="n">
        <v>8321</v>
      </c>
      <c r="H6774" s="5" t="n">
        <v>340</v>
      </c>
      <c r="I6774" s="5" t="n">
        <v>211</v>
      </c>
      <c r="J6774" s="5" t="n">
        <v>124</v>
      </c>
      <c r="K6774" s="10">
        <f>IF(F6774&gt;0,H6774/F6774,"")</f>
        <v/>
      </c>
      <c r="L6774" s="16">
        <f>IF(AND(G6774&gt;0,H6774&gt;0),G6774/H6774,"")</f>
        <v/>
      </c>
    </row>
    <row r="6775">
      <c r="A6775" s="4" t="inlineStr">
        <is>
          <t>393</t>
        </is>
      </c>
      <c r="B6775" s="4" t="n">
        <v>3</v>
      </c>
      <c r="C6775" s="4" t="inlineStr">
        <is>
          <t>mule deer</t>
        </is>
      </c>
      <c r="D6775" s="4" t="n">
        <v>2010</v>
      </c>
      <c r="E6775" s="13" t="inlineStr">
        <is>
          <t>General</t>
        </is>
      </c>
      <c r="F6775" s="5" t="n">
        <v>1653</v>
      </c>
      <c r="G6775" s="5" t="n">
        <v>8549</v>
      </c>
      <c r="H6775" s="5" t="n">
        <v>286</v>
      </c>
      <c r="I6775" s="5" t="n">
        <v>210</v>
      </c>
      <c r="J6775" s="5" t="n">
        <v>73</v>
      </c>
      <c r="K6775" s="10">
        <f>IF(F6775&gt;0,H6775/F6775,"")</f>
        <v/>
      </c>
      <c r="L6775" s="16">
        <f>IF(AND(G6775&gt;0,H6775&gt;0),G6775/H6775,"")</f>
        <v/>
      </c>
    </row>
    <row r="6776">
      <c r="A6776" s="4" t="inlineStr">
        <is>
          <t>393</t>
        </is>
      </c>
      <c r="B6776" s="4" t="n">
        <v>3</v>
      </c>
      <c r="C6776" s="4" t="inlineStr">
        <is>
          <t>mule deer</t>
        </is>
      </c>
      <c r="D6776" s="4" t="n">
        <v>2011</v>
      </c>
      <c r="E6776" s="13" t="inlineStr">
        <is>
          <t>General</t>
        </is>
      </c>
      <c r="F6776" s="5" t="n">
        <v>1635</v>
      </c>
      <c r="G6776" s="5" t="n">
        <v>8979</v>
      </c>
      <c r="H6776" s="5" t="n">
        <v>288</v>
      </c>
      <c r="I6776" s="5" t="n">
        <v>193</v>
      </c>
      <c r="J6776" s="5" t="n">
        <v>96</v>
      </c>
      <c r="K6776" s="10">
        <f>IF(F6776&gt;0,H6776/F6776,"")</f>
        <v/>
      </c>
      <c r="L6776" s="16">
        <f>IF(AND(G6776&gt;0,H6776&gt;0),G6776/H6776,"")</f>
        <v/>
      </c>
    </row>
    <row r="6777">
      <c r="A6777" s="4" t="inlineStr">
        <is>
          <t>393</t>
        </is>
      </c>
      <c r="B6777" s="4" t="n">
        <v>3</v>
      </c>
      <c r="C6777" s="4" t="inlineStr">
        <is>
          <t>mule deer</t>
        </is>
      </c>
      <c r="D6777" s="4" t="n">
        <v>2012</v>
      </c>
      <c r="E6777" s="13" t="inlineStr">
        <is>
          <t>General</t>
        </is>
      </c>
      <c r="F6777" s="5" t="n"/>
      <c r="G6777" s="5" t="n"/>
      <c r="H6777" s="5" t="n">
        <v>243</v>
      </c>
      <c r="I6777" s="5" t="n">
        <v>207</v>
      </c>
      <c r="J6777" s="5" t="n">
        <v>36</v>
      </c>
      <c r="K6777" s="10">
        <f>IF(F6777&gt;0,H6777/F6777,"")</f>
        <v/>
      </c>
      <c r="L6777" s="16">
        <f>IF(AND(G6777&gt;0,H6777&gt;0),G6777/H6777,"")</f>
        <v/>
      </c>
    </row>
    <row r="6778">
      <c r="A6778" s="4" t="inlineStr">
        <is>
          <t>393</t>
        </is>
      </c>
      <c r="B6778" s="4" t="n">
        <v>3</v>
      </c>
      <c r="C6778" s="4" t="inlineStr">
        <is>
          <t>mule deer</t>
        </is>
      </c>
      <c r="D6778" s="4" t="n">
        <v>2013</v>
      </c>
      <c r="E6778" s="13" t="inlineStr">
        <is>
          <t>General</t>
        </is>
      </c>
      <c r="F6778" s="5" t="n">
        <v>1874</v>
      </c>
      <c r="G6778" s="5" t="n">
        <v>10524</v>
      </c>
      <c r="H6778" s="5" t="n">
        <v>257</v>
      </c>
      <c r="I6778" s="5" t="n">
        <v>239</v>
      </c>
      <c r="J6778" s="5" t="n">
        <v>17</v>
      </c>
      <c r="K6778" s="10">
        <f>IF(F6778&gt;0,H6778/F6778,"")</f>
        <v/>
      </c>
      <c r="L6778" s="16">
        <f>IF(AND(G6778&gt;0,H6778&gt;0),G6778/H6778,"")</f>
        <v/>
      </c>
    </row>
    <row r="6779">
      <c r="A6779" s="4" t="inlineStr">
        <is>
          <t>393</t>
        </is>
      </c>
      <c r="B6779" s="4" t="n">
        <v>3</v>
      </c>
      <c r="C6779" s="4" t="inlineStr">
        <is>
          <t>mule deer</t>
        </is>
      </c>
      <c r="D6779" s="4" t="n">
        <v>2014</v>
      </c>
      <c r="E6779" s="13" t="inlineStr">
        <is>
          <t>General</t>
        </is>
      </c>
      <c r="F6779" s="5" t="n"/>
      <c r="G6779" s="5" t="n"/>
      <c r="H6779" s="5" t="n">
        <v>230</v>
      </c>
      <c r="I6779" s="5" t="n">
        <v>207</v>
      </c>
      <c r="J6779" s="5" t="n">
        <v>23</v>
      </c>
      <c r="K6779" s="10">
        <f>IF(F6779&gt;0,H6779/F6779,"")</f>
        <v/>
      </c>
      <c r="L6779" s="16">
        <f>IF(AND(G6779&gt;0,H6779&gt;0),G6779/H6779,"")</f>
        <v/>
      </c>
    </row>
    <row r="6780">
      <c r="A6780" s="4" t="inlineStr">
        <is>
          <t>393</t>
        </is>
      </c>
      <c r="B6780" s="4" t="n">
        <v>3</v>
      </c>
      <c r="C6780" s="4" t="inlineStr">
        <is>
          <t>mule deer</t>
        </is>
      </c>
      <c r="D6780" s="4" t="n">
        <v>2015</v>
      </c>
      <c r="E6780" s="13" t="inlineStr">
        <is>
          <t>General</t>
        </is>
      </c>
      <c r="F6780" s="5" t="n"/>
      <c r="G6780" s="5" t="n"/>
      <c r="H6780" s="5" t="n">
        <v>194</v>
      </c>
      <c r="I6780" s="5" t="n">
        <v>183</v>
      </c>
      <c r="J6780" s="5" t="n">
        <v>11</v>
      </c>
      <c r="K6780" s="10">
        <f>IF(F6780&gt;0,H6780/F6780,"")</f>
        <v/>
      </c>
      <c r="L6780" s="16">
        <f>IF(AND(G6780&gt;0,H6780&gt;0),G6780/H6780,"")</f>
        <v/>
      </c>
    </row>
    <row r="6781">
      <c r="A6781" s="4" t="inlineStr">
        <is>
          <t>393</t>
        </is>
      </c>
      <c r="B6781" s="4" t="n">
        <v>3</v>
      </c>
      <c r="C6781" s="4" t="inlineStr">
        <is>
          <t>mule deer</t>
        </is>
      </c>
      <c r="D6781" s="4" t="n">
        <v>2016</v>
      </c>
      <c r="E6781" s="13" t="inlineStr">
        <is>
          <t>General</t>
        </is>
      </c>
      <c r="F6781" s="5" t="n"/>
      <c r="G6781" s="5" t="n"/>
      <c r="H6781" s="5" t="n">
        <v>330</v>
      </c>
      <c r="I6781" s="5" t="n">
        <v>321</v>
      </c>
      <c r="J6781" s="5" t="n">
        <v>9</v>
      </c>
      <c r="K6781" s="10">
        <f>IF(F6781&gt;0,H6781/F6781,"")</f>
        <v/>
      </c>
      <c r="L6781" s="16">
        <f>IF(AND(G6781&gt;0,H6781&gt;0),G6781/H6781,"")</f>
        <v/>
      </c>
    </row>
    <row r="6782">
      <c r="A6782" s="4" t="inlineStr">
        <is>
          <t>393</t>
        </is>
      </c>
      <c r="B6782" s="4" t="n">
        <v>3</v>
      </c>
      <c r="C6782" s="4" t="inlineStr">
        <is>
          <t>mule deer</t>
        </is>
      </c>
      <c r="D6782" s="4" t="n">
        <v>2017</v>
      </c>
      <c r="E6782" s="13" t="inlineStr">
        <is>
          <t>General</t>
        </is>
      </c>
      <c r="F6782" s="5" t="n">
        <v>1531</v>
      </c>
      <c r="G6782" s="5" t="n">
        <v>8661</v>
      </c>
      <c r="H6782" s="5" t="n">
        <v>295</v>
      </c>
      <c r="I6782" s="5" t="n">
        <v>264</v>
      </c>
      <c r="J6782" s="5" t="n">
        <v>31</v>
      </c>
      <c r="K6782" s="10">
        <f>IF(F6782&gt;0,H6782/F6782,"")</f>
        <v/>
      </c>
      <c r="L6782" s="16">
        <f>IF(AND(G6782&gt;0,H6782&gt;0),G6782/H6782,"")</f>
        <v/>
      </c>
    </row>
    <row r="6783">
      <c r="A6783" s="4" t="inlineStr">
        <is>
          <t>393</t>
        </is>
      </c>
      <c r="B6783" s="4" t="n">
        <v>3</v>
      </c>
      <c r="C6783" s="4" t="inlineStr">
        <is>
          <t>mule deer</t>
        </is>
      </c>
      <c r="D6783" s="4" t="n">
        <v>2018</v>
      </c>
      <c r="E6783" s="13" t="inlineStr">
        <is>
          <t>General</t>
        </is>
      </c>
      <c r="F6783" s="5" t="n"/>
      <c r="G6783" s="5" t="n"/>
      <c r="H6783" s="5" t="n">
        <v>282</v>
      </c>
      <c r="I6783" s="5" t="n">
        <v>240</v>
      </c>
      <c r="J6783" s="5" t="n">
        <v>42</v>
      </c>
      <c r="K6783" s="10">
        <f>IF(F6783&gt;0,H6783/F6783,"")</f>
        <v/>
      </c>
      <c r="L6783" s="16">
        <f>IF(AND(G6783&gt;0,H6783&gt;0),G6783/H6783,"")</f>
        <v/>
      </c>
    </row>
    <row r="6784">
      <c r="A6784" s="4" t="inlineStr">
        <is>
          <t>393</t>
        </is>
      </c>
      <c r="B6784" s="4" t="n">
        <v>3</v>
      </c>
      <c r="C6784" s="4" t="inlineStr">
        <is>
          <t>mule deer</t>
        </is>
      </c>
      <c r="D6784" s="4" t="n">
        <v>2019</v>
      </c>
      <c r="E6784" s="13" t="inlineStr">
        <is>
          <t>General</t>
        </is>
      </c>
      <c r="F6784" s="5" t="n">
        <v>1515</v>
      </c>
      <c r="G6784" s="5" t="n">
        <v>9024</v>
      </c>
      <c r="H6784" s="5" t="n">
        <v>262</v>
      </c>
      <c r="I6784" s="5" t="n">
        <v>219</v>
      </c>
      <c r="J6784" s="5" t="n">
        <v>43</v>
      </c>
      <c r="K6784" s="10">
        <f>IF(F6784&gt;0,H6784/F6784,"")</f>
        <v/>
      </c>
      <c r="L6784" s="16">
        <f>IF(AND(G6784&gt;0,H6784&gt;0),G6784/H6784,"")</f>
        <v/>
      </c>
    </row>
    <row r="6785">
      <c r="A6785" s="4" t="inlineStr">
        <is>
          <t>393</t>
        </is>
      </c>
      <c r="B6785" s="4" t="n">
        <v>3</v>
      </c>
      <c r="C6785" s="4" t="inlineStr">
        <is>
          <t>mule deer</t>
        </is>
      </c>
      <c r="D6785" s="4" t="n">
        <v>2020</v>
      </c>
      <c r="E6785" s="13" t="inlineStr">
        <is>
          <t>General</t>
        </is>
      </c>
      <c r="F6785" s="5" t="n"/>
      <c r="G6785" s="5" t="n"/>
      <c r="H6785" s="5" t="n">
        <v>354</v>
      </c>
      <c r="I6785" s="5" t="n">
        <v>290</v>
      </c>
      <c r="J6785" s="5" t="n">
        <v>63</v>
      </c>
      <c r="K6785" s="10">
        <f>IF(F6785&gt;0,H6785/F6785,"")</f>
        <v/>
      </c>
      <c r="L6785" s="16">
        <f>IF(AND(G6785&gt;0,H6785&gt;0),G6785/H6785,"")</f>
        <v/>
      </c>
    </row>
    <row r="6786">
      <c r="A6786" s="4" t="inlineStr">
        <is>
          <t>393</t>
        </is>
      </c>
      <c r="B6786" s="4" t="n">
        <v>3</v>
      </c>
      <c r="C6786" s="4" t="inlineStr">
        <is>
          <t>mule deer</t>
        </is>
      </c>
      <c r="D6786" s="4" t="n">
        <v>2021</v>
      </c>
      <c r="E6786" s="13" t="inlineStr">
        <is>
          <t>General</t>
        </is>
      </c>
      <c r="F6786" s="5" t="n">
        <v>1405</v>
      </c>
      <c r="G6786" s="5" t="n">
        <v>9290</v>
      </c>
      <c r="H6786" s="5" t="n">
        <v>354</v>
      </c>
      <c r="I6786" s="5" t="n">
        <v>313</v>
      </c>
      <c r="J6786" s="5" t="n">
        <v>41</v>
      </c>
      <c r="K6786" s="10">
        <f>IF(F6786&gt;0,H6786/F6786,"")</f>
        <v/>
      </c>
      <c r="L6786" s="16">
        <f>IF(AND(G6786&gt;0,H6786&gt;0),G6786/H6786,"")</f>
        <v/>
      </c>
    </row>
    <row r="6787">
      <c r="A6787" s="4" t="inlineStr">
        <is>
          <t>393</t>
        </is>
      </c>
      <c r="B6787" s="4" t="n">
        <v>3</v>
      </c>
      <c r="C6787" s="4" t="inlineStr">
        <is>
          <t>mule deer</t>
        </is>
      </c>
      <c r="D6787" s="4" t="n">
        <v>2022</v>
      </c>
      <c r="E6787" s="13" t="inlineStr">
        <is>
          <t>General</t>
        </is>
      </c>
      <c r="F6787" s="5" t="n"/>
      <c r="G6787" s="5" t="n"/>
      <c r="H6787" s="5" t="n">
        <v>332</v>
      </c>
      <c r="I6787" s="5" t="n">
        <v>281</v>
      </c>
      <c r="J6787" s="5" t="n">
        <v>51</v>
      </c>
      <c r="K6787" s="10">
        <f>IF(F6787&gt;0,H6787/F6787,"")</f>
        <v/>
      </c>
      <c r="L6787" s="16">
        <f>IF(AND(G6787&gt;0,H6787&gt;0),G6787/H6787,"")</f>
        <v/>
      </c>
    </row>
    <row r="6788">
      <c r="A6788" s="4" t="inlineStr">
        <is>
          <t>393</t>
        </is>
      </c>
      <c r="B6788" s="4" t="n">
        <v>3</v>
      </c>
      <c r="C6788" s="4" t="inlineStr">
        <is>
          <t>mule deer</t>
        </is>
      </c>
      <c r="D6788" s="4" t="n">
        <v>2023</v>
      </c>
      <c r="E6788" s="13" t="inlineStr">
        <is>
          <t>General</t>
        </is>
      </c>
      <c r="F6788" s="5" t="n">
        <v>1548</v>
      </c>
      <c r="G6788" s="5" t="n">
        <v>9702</v>
      </c>
      <c r="H6788" s="5" t="n">
        <v>375</v>
      </c>
      <c r="I6788" s="5" t="n">
        <v>338</v>
      </c>
      <c r="J6788" s="5" t="n">
        <v>35</v>
      </c>
      <c r="K6788" s="10">
        <f>IF(F6788&gt;0,H6788/F6788,"")</f>
        <v/>
      </c>
      <c r="L6788" s="16">
        <f>IF(AND(G6788&gt;0,H6788&gt;0),G6788/H6788,"")</f>
        <v/>
      </c>
    </row>
    <row r="6789">
      <c r="A6789" s="4" t="inlineStr">
        <is>
          <t>393</t>
        </is>
      </c>
      <c r="B6789" s="4" t="n">
        <v>3</v>
      </c>
      <c r="C6789" s="4" t="inlineStr">
        <is>
          <t>mule deer</t>
        </is>
      </c>
      <c r="D6789" s="4" t="n">
        <v>2024</v>
      </c>
      <c r="E6789" s="13" t="inlineStr">
        <is>
          <t>General</t>
        </is>
      </c>
      <c r="F6789" s="5" t="n"/>
      <c r="G6789" s="5" t="n"/>
      <c r="H6789" s="5" t="n">
        <v>345</v>
      </c>
      <c r="I6789" s="5" t="n">
        <v>308</v>
      </c>
      <c r="J6789" s="5" t="n">
        <v>37</v>
      </c>
      <c r="K6789" s="10">
        <f>IF(F6789&gt;0,H6789/F6789,"")</f>
        <v/>
      </c>
      <c r="L6789" s="16">
        <f>IF(AND(G6789&gt;0,H6789&gt;0),G6789/H6789,"")</f>
        <v/>
      </c>
    </row>
    <row r="6790">
      <c r="A6790" s="4" t="inlineStr">
        <is>
          <t>393</t>
        </is>
      </c>
      <c r="B6790" s="4" t="n">
        <v>3</v>
      </c>
      <c r="C6790" s="4" t="inlineStr">
        <is>
          <t>mule deer</t>
        </is>
      </c>
      <c r="D6790" s="4" t="n">
        <v>2025</v>
      </c>
      <c r="E6790" s="13" t="inlineStr">
        <is>
          <t>General</t>
        </is>
      </c>
      <c r="F6790" s="5" t="n">
        <v>1671</v>
      </c>
      <c r="G6790" s="5" t="n">
        <v>9555</v>
      </c>
      <c r="H6790" s="5" t="n">
        <v>353</v>
      </c>
      <c r="I6790" s="5" t="n">
        <v>325</v>
      </c>
      <c r="J6790" s="5" t="n">
        <v>28</v>
      </c>
      <c r="K6790" s="10">
        <f>IF(F6790&gt;0,H6790/F6790,"")</f>
        <v/>
      </c>
      <c r="L6790" s="16">
        <f>IF(AND(G6790&gt;0,H6790&gt;0),G6790/H6790,"")</f>
        <v/>
      </c>
    </row>
    <row r="6791">
      <c r="A6791" s="4" t="inlineStr">
        <is>
          <t>400</t>
        </is>
      </c>
      <c r="B6791" s="4" t="n">
        <v>4</v>
      </c>
      <c r="C6791" s="4" t="inlineStr">
        <is>
          <t>mule deer</t>
        </is>
      </c>
      <c r="D6791" s="4" t="n">
        <v>2004</v>
      </c>
      <c r="E6791" s="13" t="inlineStr">
        <is>
          <t>General</t>
        </is>
      </c>
      <c r="F6791" s="5" t="n">
        <v>1472</v>
      </c>
      <c r="G6791" s="5" t="n">
        <v>5763</v>
      </c>
      <c r="H6791" s="5" t="n">
        <v>1034</v>
      </c>
      <c r="I6791" s="5" t="n">
        <v>591</v>
      </c>
      <c r="J6791" s="5" t="n">
        <v>432</v>
      </c>
      <c r="K6791" s="10">
        <f>IF(F6791&gt;0,H6791/F6791,"")</f>
        <v/>
      </c>
      <c r="L6791" s="16">
        <f>IF(AND(G6791&gt;0,H6791&gt;0),G6791/H6791,"")</f>
        <v/>
      </c>
    </row>
    <row r="6792">
      <c r="A6792" s="4" t="inlineStr">
        <is>
          <t>400</t>
        </is>
      </c>
      <c r="B6792" s="4" t="n">
        <v>4</v>
      </c>
      <c r="C6792" s="4" t="inlineStr">
        <is>
          <t>mule deer</t>
        </is>
      </c>
      <c r="D6792" s="4" t="n">
        <v>2005</v>
      </c>
      <c r="E6792" s="13" t="inlineStr">
        <is>
          <t>General</t>
        </is>
      </c>
      <c r="F6792" s="5" t="n">
        <v>1527</v>
      </c>
      <c r="G6792" s="5" t="n">
        <v>5592</v>
      </c>
      <c r="H6792" s="5" t="n">
        <v>980</v>
      </c>
      <c r="I6792" s="5" t="n">
        <v>520</v>
      </c>
      <c r="J6792" s="5" t="n">
        <v>454</v>
      </c>
      <c r="K6792" s="10">
        <f>IF(F6792&gt;0,H6792/F6792,"")</f>
        <v/>
      </c>
      <c r="L6792" s="16">
        <f>IF(AND(G6792&gt;0,H6792&gt;0),G6792/H6792,"")</f>
        <v/>
      </c>
    </row>
    <row r="6793">
      <c r="A6793" s="4" t="inlineStr">
        <is>
          <t>400</t>
        </is>
      </c>
      <c r="B6793" s="4" t="n">
        <v>4</v>
      </c>
      <c r="C6793" s="4" t="inlineStr">
        <is>
          <t>mule deer</t>
        </is>
      </c>
      <c r="D6793" s="4" t="n">
        <v>2006</v>
      </c>
      <c r="E6793" s="13" t="inlineStr">
        <is>
          <t>General</t>
        </is>
      </c>
      <c r="F6793" s="5" t="n">
        <v>1414</v>
      </c>
      <c r="G6793" s="5" t="n">
        <v>5654</v>
      </c>
      <c r="H6793" s="5" t="n">
        <v>982</v>
      </c>
      <c r="I6793" s="5" t="n">
        <v>493</v>
      </c>
      <c r="J6793" s="5" t="n">
        <v>477</v>
      </c>
      <c r="K6793" s="10">
        <f>IF(F6793&gt;0,H6793/F6793,"")</f>
        <v/>
      </c>
      <c r="L6793" s="16">
        <f>IF(AND(G6793&gt;0,H6793&gt;0),G6793/H6793,"")</f>
        <v/>
      </c>
    </row>
    <row r="6794">
      <c r="A6794" s="4" t="inlineStr">
        <is>
          <t>400</t>
        </is>
      </c>
      <c r="B6794" s="4" t="n">
        <v>4</v>
      </c>
      <c r="C6794" s="4" t="inlineStr">
        <is>
          <t>mule deer</t>
        </is>
      </c>
      <c r="D6794" s="4" t="n">
        <v>2007</v>
      </c>
      <c r="E6794" s="13" t="inlineStr">
        <is>
          <t>General</t>
        </is>
      </c>
      <c r="F6794" s="5" t="n">
        <v>1712</v>
      </c>
      <c r="G6794" s="5" t="n">
        <v>7229</v>
      </c>
      <c r="H6794" s="5" t="n">
        <v>1120</v>
      </c>
      <c r="I6794" s="5" t="n">
        <v>558</v>
      </c>
      <c r="J6794" s="5" t="n">
        <v>537</v>
      </c>
      <c r="K6794" s="10">
        <f>IF(F6794&gt;0,H6794/F6794,"")</f>
        <v/>
      </c>
      <c r="L6794" s="16">
        <f>IF(AND(G6794&gt;0,H6794&gt;0),G6794/H6794,"")</f>
        <v/>
      </c>
    </row>
    <row r="6795">
      <c r="A6795" s="4" t="inlineStr">
        <is>
          <t>400</t>
        </is>
      </c>
      <c r="B6795" s="4" t="n">
        <v>4</v>
      </c>
      <c r="C6795" s="4" t="inlineStr">
        <is>
          <t>mule deer</t>
        </is>
      </c>
      <c r="D6795" s="4" t="n">
        <v>2008</v>
      </c>
      <c r="E6795" s="13" t="inlineStr">
        <is>
          <t>General</t>
        </is>
      </c>
      <c r="F6795" s="5" t="n">
        <v>1768</v>
      </c>
      <c r="G6795" s="5" t="n">
        <v>7996</v>
      </c>
      <c r="H6795" s="5" t="n">
        <v>799</v>
      </c>
      <c r="I6795" s="5" t="n">
        <v>435</v>
      </c>
      <c r="J6795" s="5" t="n">
        <v>361</v>
      </c>
      <c r="K6795" s="10">
        <f>IF(F6795&gt;0,H6795/F6795,"")</f>
        <v/>
      </c>
      <c r="L6795" s="16">
        <f>IF(AND(G6795&gt;0,H6795&gt;0),G6795/H6795,"")</f>
        <v/>
      </c>
    </row>
    <row r="6796">
      <c r="A6796" s="4" t="inlineStr">
        <is>
          <t>400</t>
        </is>
      </c>
      <c r="B6796" s="4" t="n">
        <v>4</v>
      </c>
      <c r="C6796" s="4" t="inlineStr">
        <is>
          <t>mule deer</t>
        </is>
      </c>
      <c r="D6796" s="4" t="n">
        <v>2009</v>
      </c>
      <c r="E6796" s="13" t="inlineStr">
        <is>
          <t>General</t>
        </is>
      </c>
      <c r="F6796" s="5" t="n">
        <v>2076</v>
      </c>
      <c r="G6796" s="5" t="n">
        <v>8865</v>
      </c>
      <c r="H6796" s="5" t="n">
        <v>868</v>
      </c>
      <c r="I6796" s="5" t="n">
        <v>499</v>
      </c>
      <c r="J6796" s="5" t="n">
        <v>363</v>
      </c>
      <c r="K6796" s="10">
        <f>IF(F6796&gt;0,H6796/F6796,"")</f>
        <v/>
      </c>
      <c r="L6796" s="16">
        <f>IF(AND(G6796&gt;0,H6796&gt;0),G6796/H6796,"")</f>
        <v/>
      </c>
    </row>
    <row r="6797">
      <c r="A6797" s="4" t="inlineStr">
        <is>
          <t>400</t>
        </is>
      </c>
      <c r="B6797" s="4" t="n">
        <v>4</v>
      </c>
      <c r="C6797" s="4" t="inlineStr">
        <is>
          <t>mule deer</t>
        </is>
      </c>
      <c r="D6797" s="4" t="n">
        <v>2010</v>
      </c>
      <c r="E6797" s="13" t="inlineStr">
        <is>
          <t>General</t>
        </is>
      </c>
      <c r="F6797" s="5" t="n">
        <v>2124</v>
      </c>
      <c r="G6797" s="5" t="n">
        <v>9868</v>
      </c>
      <c r="H6797" s="5" t="n">
        <v>728</v>
      </c>
      <c r="I6797" s="5" t="n">
        <v>459</v>
      </c>
      <c r="J6797" s="5" t="n">
        <v>262</v>
      </c>
      <c r="K6797" s="10">
        <f>IF(F6797&gt;0,H6797/F6797,"")</f>
        <v/>
      </c>
      <c r="L6797" s="16">
        <f>IF(AND(G6797&gt;0,H6797&gt;0),G6797/H6797,"")</f>
        <v/>
      </c>
    </row>
    <row r="6798">
      <c r="A6798" s="4" t="inlineStr">
        <is>
          <t>400</t>
        </is>
      </c>
      <c r="B6798" s="4" t="n">
        <v>4</v>
      </c>
      <c r="C6798" s="4" t="inlineStr">
        <is>
          <t>mule deer</t>
        </is>
      </c>
      <c r="D6798" s="4" t="n">
        <v>2011</v>
      </c>
      <c r="E6798" s="13" t="inlineStr">
        <is>
          <t>General</t>
        </is>
      </c>
      <c r="F6798" s="5" t="n">
        <v>2027</v>
      </c>
      <c r="G6798" s="5" t="n">
        <v>9080</v>
      </c>
      <c r="H6798" s="5" t="n">
        <v>685</v>
      </c>
      <c r="I6798" s="5" t="n">
        <v>415</v>
      </c>
      <c r="J6798" s="5" t="n">
        <v>259</v>
      </c>
      <c r="K6798" s="10">
        <f>IF(F6798&gt;0,H6798/F6798,"")</f>
        <v/>
      </c>
      <c r="L6798" s="16">
        <f>IF(AND(G6798&gt;0,H6798&gt;0),G6798/H6798,"")</f>
        <v/>
      </c>
    </row>
    <row r="6799">
      <c r="A6799" s="4" t="inlineStr">
        <is>
          <t>400</t>
        </is>
      </c>
      <c r="B6799" s="4" t="n">
        <v>4</v>
      </c>
      <c r="C6799" s="4" t="inlineStr">
        <is>
          <t>mule deer</t>
        </is>
      </c>
      <c r="D6799" s="4" t="n">
        <v>2012</v>
      </c>
      <c r="E6799" s="13" t="inlineStr">
        <is>
          <t>General</t>
        </is>
      </c>
      <c r="F6799" s="5" t="n"/>
      <c r="G6799" s="5" t="n"/>
      <c r="H6799" s="5" t="n">
        <v>451</v>
      </c>
      <c r="I6799" s="5" t="n">
        <v>302</v>
      </c>
      <c r="J6799" s="5" t="n">
        <v>141</v>
      </c>
      <c r="K6799" s="10">
        <f>IF(F6799&gt;0,H6799/F6799,"")</f>
        <v/>
      </c>
      <c r="L6799" s="16">
        <f>IF(AND(G6799&gt;0,H6799&gt;0),G6799/H6799,"")</f>
        <v/>
      </c>
    </row>
    <row r="6800">
      <c r="A6800" s="4" t="inlineStr">
        <is>
          <t>400</t>
        </is>
      </c>
      <c r="B6800" s="4" t="n">
        <v>4</v>
      </c>
      <c r="C6800" s="4" t="inlineStr">
        <is>
          <t>mule deer</t>
        </is>
      </c>
      <c r="D6800" s="4" t="n">
        <v>2013</v>
      </c>
      <c r="E6800" s="13" t="inlineStr">
        <is>
          <t>General</t>
        </is>
      </c>
      <c r="F6800" s="5" t="n">
        <v>1355</v>
      </c>
      <c r="G6800" s="5" t="n">
        <v>6412</v>
      </c>
      <c r="H6800" s="5" t="n">
        <v>408</v>
      </c>
      <c r="I6800" s="5" t="n">
        <v>380</v>
      </c>
      <c r="J6800" s="5" t="n">
        <v>25</v>
      </c>
      <c r="K6800" s="10">
        <f>IF(F6800&gt;0,H6800/F6800,"")</f>
        <v/>
      </c>
      <c r="L6800" s="16">
        <f>IF(AND(G6800&gt;0,H6800&gt;0),G6800/H6800,"")</f>
        <v/>
      </c>
    </row>
    <row r="6801">
      <c r="A6801" s="4" t="inlineStr">
        <is>
          <t>400</t>
        </is>
      </c>
      <c r="B6801" s="4" t="n">
        <v>4</v>
      </c>
      <c r="C6801" s="4" t="inlineStr">
        <is>
          <t>mule deer</t>
        </is>
      </c>
      <c r="D6801" s="4" t="n">
        <v>2014</v>
      </c>
      <c r="E6801" s="13" t="inlineStr">
        <is>
          <t>General</t>
        </is>
      </c>
      <c r="F6801" s="5" t="n"/>
      <c r="G6801" s="5" t="n"/>
      <c r="H6801" s="5" t="n">
        <v>399</v>
      </c>
      <c r="I6801" s="5" t="n">
        <v>396</v>
      </c>
      <c r="J6801" s="5" t="n">
        <v>0</v>
      </c>
      <c r="K6801" s="10">
        <f>IF(F6801&gt;0,H6801/F6801,"")</f>
        <v/>
      </c>
      <c r="L6801" s="16">
        <f>IF(AND(G6801&gt;0,H6801&gt;0),G6801/H6801,"")</f>
        <v/>
      </c>
    </row>
    <row r="6802">
      <c r="A6802" s="4" t="inlineStr">
        <is>
          <t>400</t>
        </is>
      </c>
      <c r="B6802" s="4" t="n">
        <v>4</v>
      </c>
      <c r="C6802" s="4" t="inlineStr">
        <is>
          <t>mule deer</t>
        </is>
      </c>
      <c r="D6802" s="4" t="n">
        <v>2015</v>
      </c>
      <c r="E6802" s="13" t="inlineStr">
        <is>
          <t>General</t>
        </is>
      </c>
      <c r="F6802" s="5" t="n"/>
      <c r="G6802" s="5" t="n"/>
      <c r="H6802" s="5" t="n">
        <v>451</v>
      </c>
      <c r="I6802" s="5" t="n">
        <v>445</v>
      </c>
      <c r="J6802" s="5" t="n">
        <v>6</v>
      </c>
      <c r="K6802" s="10">
        <f>IF(F6802&gt;0,H6802/F6802,"")</f>
        <v/>
      </c>
      <c r="L6802" s="16">
        <f>IF(AND(G6802&gt;0,H6802&gt;0),G6802/H6802,"")</f>
        <v/>
      </c>
    </row>
    <row r="6803">
      <c r="A6803" s="4" t="inlineStr">
        <is>
          <t>400</t>
        </is>
      </c>
      <c r="B6803" s="4" t="n">
        <v>4</v>
      </c>
      <c r="C6803" s="4" t="inlineStr">
        <is>
          <t>mule deer</t>
        </is>
      </c>
      <c r="D6803" s="4" t="n">
        <v>2016</v>
      </c>
      <c r="E6803" s="13" t="inlineStr">
        <is>
          <t>General</t>
        </is>
      </c>
      <c r="F6803" s="5" t="n"/>
      <c r="G6803" s="5" t="n"/>
      <c r="H6803" s="5" t="n">
        <v>647</v>
      </c>
      <c r="I6803" s="5" t="n">
        <v>568</v>
      </c>
      <c r="J6803" s="5" t="n">
        <v>61</v>
      </c>
      <c r="K6803" s="10">
        <f>IF(F6803&gt;0,H6803/F6803,"")</f>
        <v/>
      </c>
      <c r="L6803" s="16">
        <f>IF(AND(G6803&gt;0,H6803&gt;0),G6803/H6803,"")</f>
        <v/>
      </c>
    </row>
    <row r="6804">
      <c r="A6804" s="4" t="inlineStr">
        <is>
          <t>400</t>
        </is>
      </c>
      <c r="B6804" s="4" t="n">
        <v>4</v>
      </c>
      <c r="C6804" s="4" t="inlineStr">
        <is>
          <t>mule deer</t>
        </is>
      </c>
      <c r="D6804" s="4" t="n">
        <v>2017</v>
      </c>
      <c r="E6804" s="13" t="inlineStr">
        <is>
          <t>General</t>
        </is>
      </c>
      <c r="F6804" s="5" t="n">
        <v>1370</v>
      </c>
      <c r="G6804" s="5" t="n">
        <v>6080</v>
      </c>
      <c r="H6804" s="5" t="n">
        <v>646</v>
      </c>
      <c r="I6804" s="5" t="n">
        <v>528</v>
      </c>
      <c r="J6804" s="5" t="n">
        <v>118</v>
      </c>
      <c r="K6804" s="10">
        <f>IF(F6804&gt;0,H6804/F6804,"")</f>
        <v/>
      </c>
      <c r="L6804" s="16">
        <f>IF(AND(G6804&gt;0,H6804&gt;0),G6804/H6804,"")</f>
        <v/>
      </c>
    </row>
    <row r="6805">
      <c r="A6805" s="4" t="inlineStr">
        <is>
          <t>400</t>
        </is>
      </c>
      <c r="B6805" s="4" t="n">
        <v>4</v>
      </c>
      <c r="C6805" s="4" t="inlineStr">
        <is>
          <t>mule deer</t>
        </is>
      </c>
      <c r="D6805" s="4" t="n">
        <v>2018</v>
      </c>
      <c r="E6805" s="13" t="inlineStr">
        <is>
          <t>General</t>
        </is>
      </c>
      <c r="F6805" s="5" t="n"/>
      <c r="G6805" s="5" t="n"/>
      <c r="H6805" s="5" t="n">
        <v>582</v>
      </c>
      <c r="I6805" s="5" t="n">
        <v>471</v>
      </c>
      <c r="J6805" s="5" t="n">
        <v>111</v>
      </c>
      <c r="K6805" s="10">
        <f>IF(F6805&gt;0,H6805/F6805,"")</f>
        <v/>
      </c>
      <c r="L6805" s="16">
        <f>IF(AND(G6805&gt;0,H6805&gt;0),G6805/H6805,"")</f>
        <v/>
      </c>
    </row>
    <row r="6806">
      <c r="A6806" s="4" t="inlineStr">
        <is>
          <t>400</t>
        </is>
      </c>
      <c r="B6806" s="4" t="n">
        <v>4</v>
      </c>
      <c r="C6806" s="4" t="inlineStr">
        <is>
          <t>mule deer</t>
        </is>
      </c>
      <c r="D6806" s="4" t="n">
        <v>2019</v>
      </c>
      <c r="E6806" s="13" t="inlineStr">
        <is>
          <t>General</t>
        </is>
      </c>
      <c r="F6806" s="5" t="n">
        <v>1435</v>
      </c>
      <c r="G6806" s="5" t="n">
        <v>6630</v>
      </c>
      <c r="H6806" s="5" t="n">
        <v>560</v>
      </c>
      <c r="I6806" s="5" t="n">
        <v>431</v>
      </c>
      <c r="J6806" s="5" t="n">
        <v>124</v>
      </c>
      <c r="K6806" s="10">
        <f>IF(F6806&gt;0,H6806/F6806,"")</f>
        <v/>
      </c>
      <c r="L6806" s="16">
        <f>IF(AND(G6806&gt;0,H6806&gt;0),G6806/H6806,"")</f>
        <v/>
      </c>
    </row>
    <row r="6807">
      <c r="A6807" s="4" t="inlineStr">
        <is>
          <t>400</t>
        </is>
      </c>
      <c r="B6807" s="4" t="n">
        <v>4</v>
      </c>
      <c r="C6807" s="4" t="inlineStr">
        <is>
          <t>mule deer</t>
        </is>
      </c>
      <c r="D6807" s="4" t="n">
        <v>2020</v>
      </c>
      <c r="E6807" s="13" t="inlineStr">
        <is>
          <t>General</t>
        </is>
      </c>
      <c r="F6807" s="5" t="n"/>
      <c r="G6807" s="5" t="n"/>
      <c r="H6807" s="5" t="n">
        <v>742</v>
      </c>
      <c r="I6807" s="5" t="n">
        <v>580</v>
      </c>
      <c r="J6807" s="5" t="n">
        <v>153</v>
      </c>
      <c r="K6807" s="10">
        <f>IF(F6807&gt;0,H6807/F6807,"")</f>
        <v/>
      </c>
      <c r="L6807" s="16">
        <f>IF(AND(G6807&gt;0,H6807&gt;0),G6807/H6807,"")</f>
        <v/>
      </c>
    </row>
    <row r="6808">
      <c r="A6808" s="4" t="inlineStr">
        <is>
          <t>400</t>
        </is>
      </c>
      <c r="B6808" s="4" t="n">
        <v>4</v>
      </c>
      <c r="C6808" s="4" t="inlineStr">
        <is>
          <t>mule deer</t>
        </is>
      </c>
      <c r="D6808" s="4" t="n">
        <v>2021</v>
      </c>
      <c r="E6808" s="13" t="inlineStr">
        <is>
          <t>General</t>
        </is>
      </c>
      <c r="F6808" s="5" t="n">
        <v>1769</v>
      </c>
      <c r="G6808" s="5" t="n">
        <v>8700</v>
      </c>
      <c r="H6808" s="5" t="n">
        <v>788</v>
      </c>
      <c r="I6808" s="5" t="n">
        <v>631</v>
      </c>
      <c r="J6808" s="5" t="n">
        <v>154</v>
      </c>
      <c r="K6808" s="10">
        <f>IF(F6808&gt;0,H6808/F6808,"")</f>
        <v/>
      </c>
      <c r="L6808" s="16">
        <f>IF(AND(G6808&gt;0,H6808&gt;0),G6808/H6808,"")</f>
        <v/>
      </c>
    </row>
    <row r="6809">
      <c r="A6809" s="4" t="inlineStr">
        <is>
          <t>400</t>
        </is>
      </c>
      <c r="B6809" s="4" t="n">
        <v>4</v>
      </c>
      <c r="C6809" s="4" t="inlineStr">
        <is>
          <t>mule deer</t>
        </is>
      </c>
      <c r="D6809" s="4" t="n">
        <v>2022</v>
      </c>
      <c r="E6809" s="13" t="inlineStr">
        <is>
          <t>General</t>
        </is>
      </c>
      <c r="F6809" s="5" t="n"/>
      <c r="G6809" s="5" t="n"/>
      <c r="H6809" s="5" t="n">
        <v>642</v>
      </c>
      <c r="I6809" s="5" t="n">
        <v>474</v>
      </c>
      <c r="J6809" s="5" t="n">
        <v>166</v>
      </c>
      <c r="K6809" s="10">
        <f>IF(F6809&gt;0,H6809/F6809,"")</f>
        <v/>
      </c>
      <c r="L6809" s="16">
        <f>IF(AND(G6809&gt;0,H6809&gt;0),G6809/H6809,"")</f>
        <v/>
      </c>
    </row>
    <row r="6810">
      <c r="A6810" s="4" t="inlineStr">
        <is>
          <t>400</t>
        </is>
      </c>
      <c r="B6810" s="4" t="n">
        <v>4</v>
      </c>
      <c r="C6810" s="4" t="inlineStr">
        <is>
          <t>mule deer</t>
        </is>
      </c>
      <c r="D6810" s="4" t="n">
        <v>2023</v>
      </c>
      <c r="E6810" s="13" t="inlineStr">
        <is>
          <t>General</t>
        </is>
      </c>
      <c r="F6810" s="5" t="n">
        <v>1918</v>
      </c>
      <c r="G6810" s="5" t="n">
        <v>10431</v>
      </c>
      <c r="H6810" s="5" t="n">
        <v>849</v>
      </c>
      <c r="I6810" s="5" t="n">
        <v>640</v>
      </c>
      <c r="J6810" s="5" t="n">
        <v>209</v>
      </c>
      <c r="K6810" s="10">
        <f>IF(F6810&gt;0,H6810/F6810,"")</f>
        <v/>
      </c>
      <c r="L6810" s="16">
        <f>IF(AND(G6810&gt;0,H6810&gt;0),G6810/H6810,"")</f>
        <v/>
      </c>
    </row>
    <row r="6811">
      <c r="A6811" s="4" t="inlineStr">
        <is>
          <t>400</t>
        </is>
      </c>
      <c r="B6811" s="4" t="n">
        <v>4</v>
      </c>
      <c r="C6811" s="4" t="inlineStr">
        <is>
          <t>mule deer</t>
        </is>
      </c>
      <c r="D6811" s="4" t="n">
        <v>2024</v>
      </c>
      <c r="E6811" s="13" t="inlineStr">
        <is>
          <t>General</t>
        </is>
      </c>
      <c r="F6811" s="5" t="n"/>
      <c r="G6811" s="5" t="n"/>
      <c r="H6811" s="5" t="n">
        <v>759</v>
      </c>
      <c r="I6811" s="5" t="n">
        <v>547</v>
      </c>
      <c r="J6811" s="5" t="n">
        <v>212</v>
      </c>
      <c r="K6811" s="10">
        <f>IF(F6811&gt;0,H6811/F6811,"")</f>
        <v/>
      </c>
      <c r="L6811" s="16">
        <f>IF(AND(G6811&gt;0,H6811&gt;0),G6811/H6811,"")</f>
        <v/>
      </c>
    </row>
    <row r="6812">
      <c r="A6812" s="4" t="inlineStr">
        <is>
          <t>400</t>
        </is>
      </c>
      <c r="B6812" s="4" t="n">
        <v>4</v>
      </c>
      <c r="C6812" s="4" t="inlineStr">
        <is>
          <t>mule deer</t>
        </is>
      </c>
      <c r="D6812" s="4" t="n">
        <v>2025</v>
      </c>
      <c r="E6812" s="13" t="inlineStr">
        <is>
          <t>General</t>
        </is>
      </c>
      <c r="F6812" s="5" t="n">
        <v>2000</v>
      </c>
      <c r="G6812" s="5" t="n">
        <v>12562</v>
      </c>
      <c r="H6812" s="5" t="n">
        <v>725</v>
      </c>
      <c r="I6812" s="5" t="n">
        <v>573</v>
      </c>
      <c r="J6812" s="5" t="n">
        <v>149</v>
      </c>
      <c r="K6812" s="10">
        <f>IF(F6812&gt;0,H6812/F6812,"")</f>
        <v/>
      </c>
      <c r="L6812" s="16">
        <f>IF(AND(G6812&gt;0,H6812&gt;0),G6812/H6812,"")</f>
        <v/>
      </c>
    </row>
    <row r="6813">
      <c r="A6813" s="4" t="inlineStr">
        <is>
          <t>401</t>
        </is>
      </c>
      <c r="B6813" s="4" t="n">
        <v>4</v>
      </c>
      <c r="C6813" s="4" t="inlineStr">
        <is>
          <t>mule deer</t>
        </is>
      </c>
      <c r="D6813" s="4" t="n">
        <v>2004</v>
      </c>
      <c r="E6813" s="13" t="inlineStr">
        <is>
          <t>General</t>
        </is>
      </c>
      <c r="F6813" s="5" t="n">
        <v>1450</v>
      </c>
      <c r="G6813" s="5" t="n">
        <v>6121</v>
      </c>
      <c r="H6813" s="5" t="n">
        <v>797</v>
      </c>
      <c r="I6813" s="5" t="n">
        <v>520</v>
      </c>
      <c r="J6813" s="5" t="n">
        <v>276</v>
      </c>
      <c r="K6813" s="10">
        <f>IF(F6813&gt;0,H6813/F6813,"")</f>
        <v/>
      </c>
      <c r="L6813" s="16">
        <f>IF(AND(G6813&gt;0,H6813&gt;0),G6813/H6813,"")</f>
        <v/>
      </c>
    </row>
    <row r="6814">
      <c r="A6814" s="4" t="inlineStr">
        <is>
          <t>401</t>
        </is>
      </c>
      <c r="B6814" s="4" t="n">
        <v>4</v>
      </c>
      <c r="C6814" s="4" t="inlineStr">
        <is>
          <t>mule deer</t>
        </is>
      </c>
      <c r="D6814" s="4" t="n">
        <v>2005</v>
      </c>
      <c r="E6814" s="13" t="inlineStr">
        <is>
          <t>General</t>
        </is>
      </c>
      <c r="F6814" s="5" t="n">
        <v>1322</v>
      </c>
      <c r="G6814" s="5" t="n">
        <v>5142</v>
      </c>
      <c r="H6814" s="5" t="n">
        <v>608</v>
      </c>
      <c r="I6814" s="5" t="n">
        <v>377</v>
      </c>
      <c r="J6814" s="5" t="n">
        <v>224</v>
      </c>
      <c r="K6814" s="10">
        <f>IF(F6814&gt;0,H6814/F6814,"")</f>
        <v/>
      </c>
      <c r="L6814" s="16">
        <f>IF(AND(G6814&gt;0,H6814&gt;0),G6814/H6814,"")</f>
        <v/>
      </c>
    </row>
    <row r="6815">
      <c r="A6815" s="4" t="inlineStr">
        <is>
          <t>401</t>
        </is>
      </c>
      <c r="B6815" s="4" t="n">
        <v>4</v>
      </c>
      <c r="C6815" s="4" t="inlineStr">
        <is>
          <t>mule deer</t>
        </is>
      </c>
      <c r="D6815" s="4" t="n">
        <v>2006</v>
      </c>
      <c r="E6815" s="13" t="inlineStr">
        <is>
          <t>General</t>
        </is>
      </c>
      <c r="F6815" s="5" t="n">
        <v>1374</v>
      </c>
      <c r="G6815" s="5" t="n">
        <v>5777</v>
      </c>
      <c r="H6815" s="5" t="n">
        <v>739</v>
      </c>
      <c r="I6815" s="5" t="n">
        <v>486</v>
      </c>
      <c r="J6815" s="5" t="n">
        <v>245</v>
      </c>
      <c r="K6815" s="10">
        <f>IF(F6815&gt;0,H6815/F6815,"")</f>
        <v/>
      </c>
      <c r="L6815" s="16">
        <f>IF(AND(G6815&gt;0,H6815&gt;0),G6815/H6815,"")</f>
        <v/>
      </c>
    </row>
    <row r="6816">
      <c r="A6816" s="4" t="inlineStr">
        <is>
          <t>401</t>
        </is>
      </c>
      <c r="B6816" s="4" t="n">
        <v>4</v>
      </c>
      <c r="C6816" s="4" t="inlineStr">
        <is>
          <t>mule deer</t>
        </is>
      </c>
      <c r="D6816" s="4" t="n">
        <v>2007</v>
      </c>
      <c r="E6816" s="13" t="inlineStr">
        <is>
          <t>General</t>
        </is>
      </c>
      <c r="F6816" s="5" t="n">
        <v>1531</v>
      </c>
      <c r="G6816" s="5" t="n">
        <v>6646</v>
      </c>
      <c r="H6816" s="5" t="n">
        <v>795</v>
      </c>
      <c r="I6816" s="5" t="n">
        <v>436</v>
      </c>
      <c r="J6816" s="5" t="n">
        <v>355</v>
      </c>
      <c r="K6816" s="10">
        <f>IF(F6816&gt;0,H6816/F6816,"")</f>
        <v/>
      </c>
      <c r="L6816" s="16">
        <f>IF(AND(G6816&gt;0,H6816&gt;0),G6816/H6816,"")</f>
        <v/>
      </c>
    </row>
    <row r="6817">
      <c r="A6817" s="4" t="inlineStr">
        <is>
          <t>401</t>
        </is>
      </c>
      <c r="B6817" s="4" t="n">
        <v>4</v>
      </c>
      <c r="C6817" s="4" t="inlineStr">
        <is>
          <t>mule deer</t>
        </is>
      </c>
      <c r="D6817" s="4" t="n">
        <v>2008</v>
      </c>
      <c r="E6817" s="13" t="inlineStr">
        <is>
          <t>General</t>
        </is>
      </c>
      <c r="F6817" s="5" t="n">
        <v>1592</v>
      </c>
      <c r="G6817" s="5" t="n">
        <v>7329</v>
      </c>
      <c r="H6817" s="5" t="n">
        <v>716</v>
      </c>
      <c r="I6817" s="5" t="n">
        <v>427</v>
      </c>
      <c r="J6817" s="5" t="n">
        <v>277</v>
      </c>
      <c r="K6817" s="10">
        <f>IF(F6817&gt;0,H6817/F6817,"")</f>
        <v/>
      </c>
      <c r="L6817" s="16">
        <f>IF(AND(G6817&gt;0,H6817&gt;0),G6817/H6817,"")</f>
        <v/>
      </c>
    </row>
    <row r="6818">
      <c r="A6818" s="4" t="inlineStr">
        <is>
          <t>401</t>
        </is>
      </c>
      <c r="B6818" s="4" t="n">
        <v>4</v>
      </c>
      <c r="C6818" s="4" t="inlineStr">
        <is>
          <t>mule deer</t>
        </is>
      </c>
      <c r="D6818" s="4" t="n">
        <v>2009</v>
      </c>
      <c r="E6818" s="13" t="inlineStr">
        <is>
          <t>General</t>
        </is>
      </c>
      <c r="F6818" s="5" t="n">
        <v>1838</v>
      </c>
      <c r="G6818" s="5" t="n">
        <v>8423</v>
      </c>
      <c r="H6818" s="5" t="n">
        <v>778</v>
      </c>
      <c r="I6818" s="5" t="n">
        <v>432</v>
      </c>
      <c r="J6818" s="5" t="n">
        <v>335</v>
      </c>
      <c r="K6818" s="10">
        <f>IF(F6818&gt;0,H6818/F6818,"")</f>
        <v/>
      </c>
      <c r="L6818" s="16">
        <f>IF(AND(G6818&gt;0,H6818&gt;0),G6818/H6818,"")</f>
        <v/>
      </c>
    </row>
    <row r="6819">
      <c r="A6819" s="4" t="inlineStr">
        <is>
          <t>401</t>
        </is>
      </c>
      <c r="B6819" s="4" t="n">
        <v>4</v>
      </c>
      <c r="C6819" s="4" t="inlineStr">
        <is>
          <t>mule deer</t>
        </is>
      </c>
      <c r="D6819" s="4" t="n">
        <v>2010</v>
      </c>
      <c r="E6819" s="13" t="inlineStr">
        <is>
          <t>General</t>
        </is>
      </c>
      <c r="F6819" s="5" t="n">
        <v>1872</v>
      </c>
      <c r="G6819" s="5" t="n">
        <v>8446</v>
      </c>
      <c r="H6819" s="5" t="n">
        <v>573</v>
      </c>
      <c r="I6819" s="5" t="n">
        <v>362</v>
      </c>
      <c r="J6819" s="5" t="n">
        <v>206</v>
      </c>
      <c r="K6819" s="10">
        <f>IF(F6819&gt;0,H6819/F6819,"")</f>
        <v/>
      </c>
      <c r="L6819" s="16">
        <f>IF(AND(G6819&gt;0,H6819&gt;0),G6819/H6819,"")</f>
        <v/>
      </c>
    </row>
    <row r="6820">
      <c r="A6820" s="4" t="inlineStr">
        <is>
          <t>401</t>
        </is>
      </c>
      <c r="B6820" s="4" t="n">
        <v>4</v>
      </c>
      <c r="C6820" s="4" t="inlineStr">
        <is>
          <t>mule deer</t>
        </is>
      </c>
      <c r="D6820" s="4" t="n">
        <v>2011</v>
      </c>
      <c r="E6820" s="13" t="inlineStr">
        <is>
          <t>General</t>
        </is>
      </c>
      <c r="F6820" s="5" t="n">
        <v>1665</v>
      </c>
      <c r="G6820" s="5" t="n">
        <v>7264</v>
      </c>
      <c r="H6820" s="5" t="n">
        <v>538</v>
      </c>
      <c r="I6820" s="5" t="n">
        <v>315</v>
      </c>
      <c r="J6820" s="5" t="n">
        <v>215</v>
      </c>
      <c r="K6820" s="10">
        <f>IF(F6820&gt;0,H6820/F6820,"")</f>
        <v/>
      </c>
      <c r="L6820" s="16">
        <f>IF(AND(G6820&gt;0,H6820&gt;0),G6820/H6820,"")</f>
        <v/>
      </c>
    </row>
    <row r="6821">
      <c r="A6821" s="4" t="inlineStr">
        <is>
          <t>401</t>
        </is>
      </c>
      <c r="B6821" s="4" t="n">
        <v>4</v>
      </c>
      <c r="C6821" s="4" t="inlineStr">
        <is>
          <t>mule deer</t>
        </is>
      </c>
      <c r="D6821" s="4" t="n">
        <v>2012</v>
      </c>
      <c r="E6821" s="13" t="inlineStr">
        <is>
          <t>General</t>
        </is>
      </c>
      <c r="F6821" s="5" t="n"/>
      <c r="G6821" s="5" t="n"/>
      <c r="H6821" s="5" t="n">
        <v>467</v>
      </c>
      <c r="I6821" s="5" t="n">
        <v>359</v>
      </c>
      <c r="J6821" s="5" t="n">
        <v>103</v>
      </c>
      <c r="K6821" s="10">
        <f>IF(F6821&gt;0,H6821/F6821,"")</f>
        <v/>
      </c>
      <c r="L6821" s="16">
        <f>IF(AND(G6821&gt;0,H6821&gt;0),G6821/H6821,"")</f>
        <v/>
      </c>
    </row>
    <row r="6822">
      <c r="A6822" s="4" t="inlineStr">
        <is>
          <t>401</t>
        </is>
      </c>
      <c r="B6822" s="4" t="n">
        <v>4</v>
      </c>
      <c r="C6822" s="4" t="inlineStr">
        <is>
          <t>mule deer</t>
        </is>
      </c>
      <c r="D6822" s="4" t="n">
        <v>2013</v>
      </c>
      <c r="E6822" s="13" t="inlineStr">
        <is>
          <t>General</t>
        </is>
      </c>
      <c r="F6822" s="5" t="n">
        <v>1467</v>
      </c>
      <c r="G6822" s="5" t="n">
        <v>6605</v>
      </c>
      <c r="H6822" s="5" t="n">
        <v>431</v>
      </c>
      <c r="I6822" s="5" t="n">
        <v>353</v>
      </c>
      <c r="J6822" s="5" t="n">
        <v>77</v>
      </c>
      <c r="K6822" s="10">
        <f>IF(F6822&gt;0,H6822/F6822,"")</f>
        <v/>
      </c>
      <c r="L6822" s="16">
        <f>IF(AND(G6822&gt;0,H6822&gt;0),G6822/H6822,"")</f>
        <v/>
      </c>
    </row>
    <row r="6823">
      <c r="A6823" s="4" t="inlineStr">
        <is>
          <t>401</t>
        </is>
      </c>
      <c r="B6823" s="4" t="n">
        <v>4</v>
      </c>
      <c r="C6823" s="4" t="inlineStr">
        <is>
          <t>mule deer</t>
        </is>
      </c>
      <c r="D6823" s="4" t="n">
        <v>2014</v>
      </c>
      <c r="E6823" s="13" t="inlineStr">
        <is>
          <t>General</t>
        </is>
      </c>
      <c r="F6823" s="5" t="n"/>
      <c r="G6823" s="5" t="n"/>
      <c r="H6823" s="5" t="n">
        <v>471</v>
      </c>
      <c r="I6823" s="5" t="n">
        <v>403</v>
      </c>
      <c r="J6823" s="5" t="n">
        <v>63</v>
      </c>
      <c r="K6823" s="10">
        <f>IF(F6823&gt;0,H6823/F6823,"")</f>
        <v/>
      </c>
      <c r="L6823" s="16">
        <f>IF(AND(G6823&gt;0,H6823&gt;0),G6823/H6823,"")</f>
        <v/>
      </c>
    </row>
    <row r="6824">
      <c r="A6824" s="4" t="inlineStr">
        <is>
          <t>401</t>
        </is>
      </c>
      <c r="B6824" s="4" t="n">
        <v>4</v>
      </c>
      <c r="C6824" s="4" t="inlineStr">
        <is>
          <t>mule deer</t>
        </is>
      </c>
      <c r="D6824" s="4" t="n">
        <v>2015</v>
      </c>
      <c r="E6824" s="13" t="inlineStr">
        <is>
          <t>General</t>
        </is>
      </c>
      <c r="F6824" s="5" t="n"/>
      <c r="G6824" s="5" t="n"/>
      <c r="H6824" s="5" t="n">
        <v>614</v>
      </c>
      <c r="I6824" s="5" t="n">
        <v>516</v>
      </c>
      <c r="J6824" s="5" t="n">
        <v>98</v>
      </c>
      <c r="K6824" s="10">
        <f>IF(F6824&gt;0,H6824/F6824,"")</f>
        <v/>
      </c>
      <c r="L6824" s="16">
        <f>IF(AND(G6824&gt;0,H6824&gt;0),G6824/H6824,"")</f>
        <v/>
      </c>
    </row>
    <row r="6825">
      <c r="A6825" s="4" t="inlineStr">
        <is>
          <t>401</t>
        </is>
      </c>
      <c r="B6825" s="4" t="n">
        <v>4</v>
      </c>
      <c r="C6825" s="4" t="inlineStr">
        <is>
          <t>mule deer</t>
        </is>
      </c>
      <c r="D6825" s="4" t="n">
        <v>2016</v>
      </c>
      <c r="E6825" s="13" t="inlineStr">
        <is>
          <t>General</t>
        </is>
      </c>
      <c r="F6825" s="5" t="n"/>
      <c r="G6825" s="5" t="n"/>
      <c r="H6825" s="5" t="n">
        <v>564</v>
      </c>
      <c r="I6825" s="5" t="n">
        <v>462</v>
      </c>
      <c r="J6825" s="5" t="n">
        <v>99</v>
      </c>
      <c r="K6825" s="10">
        <f>IF(F6825&gt;0,H6825/F6825,"")</f>
        <v/>
      </c>
      <c r="L6825" s="16">
        <f>IF(AND(G6825&gt;0,H6825&gt;0),G6825/H6825,"")</f>
        <v/>
      </c>
    </row>
    <row r="6826">
      <c r="A6826" s="4" t="inlineStr">
        <is>
          <t>401</t>
        </is>
      </c>
      <c r="B6826" s="4" t="n">
        <v>4</v>
      </c>
      <c r="C6826" s="4" t="inlineStr">
        <is>
          <t>mule deer</t>
        </is>
      </c>
      <c r="D6826" s="4" t="n">
        <v>2017</v>
      </c>
      <c r="E6826" s="13" t="inlineStr">
        <is>
          <t>General</t>
        </is>
      </c>
      <c r="F6826" s="5" t="n">
        <v>1597</v>
      </c>
      <c r="G6826" s="5" t="n">
        <v>7044</v>
      </c>
      <c r="H6826" s="5" t="n">
        <v>602</v>
      </c>
      <c r="I6826" s="5" t="n">
        <v>482</v>
      </c>
      <c r="J6826" s="5" t="n">
        <v>118</v>
      </c>
      <c r="K6826" s="10">
        <f>IF(F6826&gt;0,H6826/F6826,"")</f>
        <v/>
      </c>
      <c r="L6826" s="16">
        <f>IF(AND(G6826&gt;0,H6826&gt;0),G6826/H6826,"")</f>
        <v/>
      </c>
    </row>
    <row r="6827">
      <c r="A6827" s="4" t="inlineStr">
        <is>
          <t>401</t>
        </is>
      </c>
      <c r="B6827" s="4" t="n">
        <v>4</v>
      </c>
      <c r="C6827" s="4" t="inlineStr">
        <is>
          <t>mule deer</t>
        </is>
      </c>
      <c r="D6827" s="4" t="n">
        <v>2018</v>
      </c>
      <c r="E6827" s="13" t="inlineStr">
        <is>
          <t>General</t>
        </is>
      </c>
      <c r="F6827" s="5" t="n"/>
      <c r="G6827" s="5" t="n"/>
      <c r="H6827" s="5" t="n">
        <v>493</v>
      </c>
      <c r="I6827" s="5" t="n">
        <v>386</v>
      </c>
      <c r="J6827" s="5" t="n">
        <v>104</v>
      </c>
      <c r="K6827" s="10">
        <f>IF(F6827&gt;0,H6827/F6827,"")</f>
        <v/>
      </c>
      <c r="L6827" s="16">
        <f>IF(AND(G6827&gt;0,H6827&gt;0),G6827/H6827,"")</f>
        <v/>
      </c>
    </row>
    <row r="6828">
      <c r="A6828" s="4" t="inlineStr">
        <is>
          <t>401</t>
        </is>
      </c>
      <c r="B6828" s="4" t="n">
        <v>4</v>
      </c>
      <c r="C6828" s="4" t="inlineStr">
        <is>
          <t>mule deer</t>
        </is>
      </c>
      <c r="D6828" s="4" t="n">
        <v>2019</v>
      </c>
      <c r="E6828" s="13" t="inlineStr">
        <is>
          <t>General</t>
        </is>
      </c>
      <c r="F6828" s="5" t="n">
        <v>1326</v>
      </c>
      <c r="G6828" s="5" t="n">
        <v>5530</v>
      </c>
      <c r="H6828" s="5" t="n">
        <v>408</v>
      </c>
      <c r="I6828" s="5" t="n">
        <v>315</v>
      </c>
      <c r="J6828" s="5" t="n">
        <v>93</v>
      </c>
      <c r="K6828" s="10">
        <f>IF(F6828&gt;0,H6828/F6828,"")</f>
        <v/>
      </c>
      <c r="L6828" s="16">
        <f>IF(AND(G6828&gt;0,H6828&gt;0),G6828/H6828,"")</f>
        <v/>
      </c>
    </row>
    <row r="6829">
      <c r="A6829" s="4" t="inlineStr">
        <is>
          <t>401</t>
        </is>
      </c>
      <c r="B6829" s="4" t="n">
        <v>4</v>
      </c>
      <c r="C6829" s="4" t="inlineStr">
        <is>
          <t>mule deer</t>
        </is>
      </c>
      <c r="D6829" s="4" t="n">
        <v>2020</v>
      </c>
      <c r="E6829" s="13" t="inlineStr">
        <is>
          <t>General</t>
        </is>
      </c>
      <c r="F6829" s="5" t="n"/>
      <c r="G6829" s="5" t="n"/>
      <c r="H6829" s="5" t="n">
        <v>432</v>
      </c>
      <c r="I6829" s="5" t="n">
        <v>329</v>
      </c>
      <c r="J6829" s="5" t="n">
        <v>103</v>
      </c>
      <c r="K6829" s="10">
        <f>IF(F6829&gt;0,H6829/F6829,"")</f>
        <v/>
      </c>
      <c r="L6829" s="16">
        <f>IF(AND(G6829&gt;0,H6829&gt;0),G6829/H6829,"")</f>
        <v/>
      </c>
    </row>
    <row r="6830">
      <c r="A6830" s="4" t="inlineStr">
        <is>
          <t>401</t>
        </is>
      </c>
      <c r="B6830" s="4" t="n">
        <v>4</v>
      </c>
      <c r="C6830" s="4" t="inlineStr">
        <is>
          <t>mule deer</t>
        </is>
      </c>
      <c r="D6830" s="4" t="n">
        <v>2021</v>
      </c>
      <c r="E6830" s="13" t="inlineStr">
        <is>
          <t>General</t>
        </is>
      </c>
      <c r="F6830" s="5" t="n">
        <v>1330</v>
      </c>
      <c r="G6830" s="5" t="n">
        <v>6942</v>
      </c>
      <c r="H6830" s="5" t="n">
        <v>517</v>
      </c>
      <c r="I6830" s="5" t="n">
        <v>434</v>
      </c>
      <c r="J6830" s="5" t="n">
        <v>83</v>
      </c>
      <c r="K6830" s="10">
        <f>IF(F6830&gt;0,H6830/F6830,"")</f>
        <v/>
      </c>
      <c r="L6830" s="16">
        <f>IF(AND(G6830&gt;0,H6830&gt;0),G6830/H6830,"")</f>
        <v/>
      </c>
    </row>
    <row r="6831">
      <c r="A6831" s="4" t="inlineStr">
        <is>
          <t>401</t>
        </is>
      </c>
      <c r="B6831" s="4" t="n">
        <v>4</v>
      </c>
      <c r="C6831" s="4" t="inlineStr">
        <is>
          <t>mule deer</t>
        </is>
      </c>
      <c r="D6831" s="4" t="n">
        <v>2022</v>
      </c>
      <c r="E6831" s="13" t="inlineStr">
        <is>
          <t>General</t>
        </is>
      </c>
      <c r="F6831" s="5" t="n"/>
      <c r="G6831" s="5" t="n"/>
      <c r="H6831" s="5" t="n">
        <v>511</v>
      </c>
      <c r="I6831" s="5" t="n">
        <v>365</v>
      </c>
      <c r="J6831" s="5" t="n">
        <v>143</v>
      </c>
      <c r="K6831" s="10">
        <f>IF(F6831&gt;0,H6831/F6831,"")</f>
        <v/>
      </c>
      <c r="L6831" s="16">
        <f>IF(AND(G6831&gt;0,H6831&gt;0),G6831/H6831,"")</f>
        <v/>
      </c>
    </row>
    <row r="6832">
      <c r="A6832" s="4" t="inlineStr">
        <is>
          <t>401</t>
        </is>
      </c>
      <c r="B6832" s="4" t="n">
        <v>4</v>
      </c>
      <c r="C6832" s="4" t="inlineStr">
        <is>
          <t>mule deer</t>
        </is>
      </c>
      <c r="D6832" s="4" t="n">
        <v>2023</v>
      </c>
      <c r="E6832" s="13" t="inlineStr">
        <is>
          <t>General</t>
        </is>
      </c>
      <c r="F6832" s="5" t="n">
        <v>1392</v>
      </c>
      <c r="G6832" s="5" t="n">
        <v>7224</v>
      </c>
      <c r="H6832" s="5" t="n">
        <v>480</v>
      </c>
      <c r="I6832" s="5" t="n">
        <v>374</v>
      </c>
      <c r="J6832" s="5" t="n">
        <v>106</v>
      </c>
      <c r="K6832" s="10">
        <f>IF(F6832&gt;0,H6832/F6832,"")</f>
        <v/>
      </c>
      <c r="L6832" s="16">
        <f>IF(AND(G6832&gt;0,H6832&gt;0),G6832/H6832,"")</f>
        <v/>
      </c>
    </row>
    <row r="6833">
      <c r="A6833" s="4" t="inlineStr">
        <is>
          <t>401</t>
        </is>
      </c>
      <c r="B6833" s="4" t="n">
        <v>4</v>
      </c>
      <c r="C6833" s="4" t="inlineStr">
        <is>
          <t>mule deer</t>
        </is>
      </c>
      <c r="D6833" s="4" t="n">
        <v>2024</v>
      </c>
      <c r="E6833" s="13" t="inlineStr">
        <is>
          <t>General</t>
        </is>
      </c>
      <c r="F6833" s="5" t="n"/>
      <c r="G6833" s="5" t="n"/>
      <c r="H6833" s="5" t="n">
        <v>443</v>
      </c>
      <c r="I6833" s="5" t="n">
        <v>358</v>
      </c>
      <c r="J6833" s="5" t="n">
        <v>86</v>
      </c>
      <c r="K6833" s="10">
        <f>IF(F6833&gt;0,H6833/F6833,"")</f>
        <v/>
      </c>
      <c r="L6833" s="16">
        <f>IF(AND(G6833&gt;0,H6833&gt;0),G6833/H6833,"")</f>
        <v/>
      </c>
    </row>
    <row r="6834">
      <c r="A6834" s="4" t="inlineStr">
        <is>
          <t>401</t>
        </is>
      </c>
      <c r="B6834" s="4" t="n">
        <v>4</v>
      </c>
      <c r="C6834" s="4" t="inlineStr">
        <is>
          <t>mule deer</t>
        </is>
      </c>
      <c r="D6834" s="4" t="n">
        <v>2025</v>
      </c>
      <c r="E6834" s="13" t="inlineStr">
        <is>
          <t>General</t>
        </is>
      </c>
      <c r="F6834" s="5" t="n">
        <v>1204</v>
      </c>
      <c r="G6834" s="5" t="n">
        <v>6225</v>
      </c>
      <c r="H6834" s="5" t="n">
        <v>467</v>
      </c>
      <c r="I6834" s="5" t="n">
        <v>332</v>
      </c>
      <c r="J6834" s="5" t="n">
        <v>135</v>
      </c>
      <c r="K6834" s="10">
        <f>IF(F6834&gt;0,H6834/F6834,"")</f>
        <v/>
      </c>
      <c r="L6834" s="16">
        <f>IF(AND(G6834&gt;0,H6834&gt;0),G6834/H6834,"")</f>
        <v/>
      </c>
    </row>
    <row r="6835">
      <c r="A6835" s="4" t="inlineStr">
        <is>
          <t>403</t>
        </is>
      </c>
      <c r="B6835" s="4" t="n">
        <v>4</v>
      </c>
      <c r="C6835" s="4" t="inlineStr">
        <is>
          <t>mule deer</t>
        </is>
      </c>
      <c r="D6835" s="4" t="n">
        <v>2004</v>
      </c>
      <c r="E6835" s="13" t="inlineStr">
        <is>
          <t>General</t>
        </is>
      </c>
      <c r="F6835" s="5" t="n">
        <v>172</v>
      </c>
      <c r="G6835" s="5" t="n">
        <v>609</v>
      </c>
      <c r="H6835" s="5" t="n">
        <v>83</v>
      </c>
      <c r="I6835" s="5" t="n">
        <v>60</v>
      </c>
      <c r="J6835" s="5" t="n">
        <v>20</v>
      </c>
      <c r="K6835" s="10">
        <f>IF(F6835&gt;0,H6835/F6835,"")</f>
        <v/>
      </c>
      <c r="L6835" s="16">
        <f>IF(AND(G6835&gt;0,H6835&gt;0),G6835/H6835,"")</f>
        <v/>
      </c>
    </row>
    <row r="6836">
      <c r="A6836" s="4" t="inlineStr">
        <is>
          <t>403</t>
        </is>
      </c>
      <c r="B6836" s="4" t="n">
        <v>4</v>
      </c>
      <c r="C6836" s="4" t="inlineStr">
        <is>
          <t>mule deer</t>
        </is>
      </c>
      <c r="D6836" s="4" t="n">
        <v>2005</v>
      </c>
      <c r="E6836" s="13" t="inlineStr">
        <is>
          <t>General</t>
        </is>
      </c>
      <c r="F6836" s="5" t="n">
        <v>155</v>
      </c>
      <c r="G6836" s="5" t="n">
        <v>659</v>
      </c>
      <c r="H6836" s="5" t="n">
        <v>60</v>
      </c>
      <c r="I6836" s="5" t="n">
        <v>45</v>
      </c>
      <c r="J6836" s="5" t="n">
        <v>15</v>
      </c>
      <c r="K6836" s="10">
        <f>IF(F6836&gt;0,H6836/F6836,"")</f>
        <v/>
      </c>
      <c r="L6836" s="16">
        <f>IF(AND(G6836&gt;0,H6836&gt;0),G6836/H6836,"")</f>
        <v/>
      </c>
    </row>
    <row r="6837">
      <c r="A6837" s="4" t="inlineStr">
        <is>
          <t>403</t>
        </is>
      </c>
      <c r="B6837" s="4" t="n">
        <v>4</v>
      </c>
      <c r="C6837" s="4" t="inlineStr">
        <is>
          <t>mule deer</t>
        </is>
      </c>
      <c r="D6837" s="4" t="n">
        <v>2006</v>
      </c>
      <c r="E6837" s="13" t="inlineStr">
        <is>
          <t>General</t>
        </is>
      </c>
      <c r="F6837" s="5" t="n">
        <v>235</v>
      </c>
      <c r="G6837" s="5" t="n">
        <v>961</v>
      </c>
      <c r="H6837" s="5" t="n">
        <v>89</v>
      </c>
      <c r="I6837" s="5" t="n">
        <v>63</v>
      </c>
      <c r="J6837" s="5" t="n">
        <v>22</v>
      </c>
      <c r="K6837" s="10">
        <f>IF(F6837&gt;0,H6837/F6837,"")</f>
        <v/>
      </c>
      <c r="L6837" s="16">
        <f>IF(AND(G6837&gt;0,H6837&gt;0),G6837/H6837,"")</f>
        <v/>
      </c>
    </row>
    <row r="6838">
      <c r="A6838" s="4" t="inlineStr">
        <is>
          <t>403</t>
        </is>
      </c>
      <c r="B6838" s="4" t="n">
        <v>4</v>
      </c>
      <c r="C6838" s="4" t="inlineStr">
        <is>
          <t>mule deer</t>
        </is>
      </c>
      <c r="D6838" s="4" t="n">
        <v>2007</v>
      </c>
      <c r="E6838" s="13" t="inlineStr">
        <is>
          <t>General</t>
        </is>
      </c>
      <c r="F6838" s="5" t="n">
        <v>231</v>
      </c>
      <c r="G6838" s="5" t="n">
        <v>680</v>
      </c>
      <c r="H6838" s="5" t="n">
        <v>89</v>
      </c>
      <c r="I6838" s="5" t="n">
        <v>79</v>
      </c>
      <c r="J6838" s="5" t="n">
        <v>10</v>
      </c>
      <c r="K6838" s="10">
        <f>IF(F6838&gt;0,H6838/F6838,"")</f>
        <v/>
      </c>
      <c r="L6838" s="16">
        <f>IF(AND(G6838&gt;0,H6838&gt;0),G6838/H6838,"")</f>
        <v/>
      </c>
    </row>
    <row r="6839">
      <c r="A6839" s="4" t="inlineStr">
        <is>
          <t>403</t>
        </is>
      </c>
      <c r="B6839" s="4" t="n">
        <v>4</v>
      </c>
      <c r="C6839" s="4" t="inlineStr">
        <is>
          <t>mule deer</t>
        </is>
      </c>
      <c r="D6839" s="4" t="n">
        <v>2008</v>
      </c>
      <c r="E6839" s="13" t="inlineStr">
        <is>
          <t>General</t>
        </is>
      </c>
      <c r="F6839" s="5" t="n">
        <v>286</v>
      </c>
      <c r="G6839" s="5" t="n">
        <v>1266</v>
      </c>
      <c r="H6839" s="5" t="n">
        <v>102</v>
      </c>
      <c r="I6839" s="5" t="n">
        <v>81</v>
      </c>
      <c r="J6839" s="5" t="n">
        <v>21</v>
      </c>
      <c r="K6839" s="10">
        <f>IF(F6839&gt;0,H6839/F6839,"")</f>
        <v/>
      </c>
      <c r="L6839" s="16">
        <f>IF(AND(G6839&gt;0,H6839&gt;0),G6839/H6839,"")</f>
        <v/>
      </c>
    </row>
    <row r="6840">
      <c r="A6840" s="4" t="inlineStr">
        <is>
          <t>403</t>
        </is>
      </c>
      <c r="B6840" s="4" t="n">
        <v>4</v>
      </c>
      <c r="C6840" s="4" t="inlineStr">
        <is>
          <t>mule deer</t>
        </is>
      </c>
      <c r="D6840" s="4" t="n">
        <v>2009</v>
      </c>
      <c r="E6840" s="13" t="inlineStr">
        <is>
          <t>General</t>
        </is>
      </c>
      <c r="F6840" s="5" t="n">
        <v>297</v>
      </c>
      <c r="G6840" s="5" t="n">
        <v>1165</v>
      </c>
      <c r="H6840" s="5" t="n">
        <v>92</v>
      </c>
      <c r="I6840" s="5" t="n">
        <v>68</v>
      </c>
      <c r="J6840" s="5" t="n">
        <v>24</v>
      </c>
      <c r="K6840" s="10">
        <f>IF(F6840&gt;0,H6840/F6840,"")</f>
        <v/>
      </c>
      <c r="L6840" s="16">
        <f>IF(AND(G6840&gt;0,H6840&gt;0),G6840/H6840,"")</f>
        <v/>
      </c>
    </row>
    <row r="6841">
      <c r="A6841" s="4" t="inlineStr">
        <is>
          <t>403</t>
        </is>
      </c>
      <c r="B6841" s="4" t="n">
        <v>4</v>
      </c>
      <c r="C6841" s="4" t="inlineStr">
        <is>
          <t>mule deer</t>
        </is>
      </c>
      <c r="D6841" s="4" t="n">
        <v>2010</v>
      </c>
      <c r="E6841" s="13" t="inlineStr">
        <is>
          <t>General</t>
        </is>
      </c>
      <c r="F6841" s="5" t="n">
        <v>297</v>
      </c>
      <c r="G6841" s="5" t="n">
        <v>1158</v>
      </c>
      <c r="H6841" s="5" t="n">
        <v>76</v>
      </c>
      <c r="I6841" s="5" t="n">
        <v>62</v>
      </c>
      <c r="J6841" s="5" t="n">
        <v>14</v>
      </c>
      <c r="K6841" s="10">
        <f>IF(F6841&gt;0,H6841/F6841,"")</f>
        <v/>
      </c>
      <c r="L6841" s="16">
        <f>IF(AND(G6841&gt;0,H6841&gt;0),G6841/H6841,"")</f>
        <v/>
      </c>
    </row>
    <row r="6842">
      <c r="A6842" s="4" t="inlineStr">
        <is>
          <t>403</t>
        </is>
      </c>
      <c r="B6842" s="4" t="n">
        <v>4</v>
      </c>
      <c r="C6842" s="4" t="inlineStr">
        <is>
          <t>mule deer</t>
        </is>
      </c>
      <c r="D6842" s="4" t="n">
        <v>2011</v>
      </c>
      <c r="E6842" s="13" t="inlineStr">
        <is>
          <t>General</t>
        </is>
      </c>
      <c r="F6842" s="5" t="n">
        <v>377</v>
      </c>
      <c r="G6842" s="5" t="n">
        <v>1527</v>
      </c>
      <c r="H6842" s="5" t="n">
        <v>112</v>
      </c>
      <c r="I6842" s="5" t="n">
        <v>90</v>
      </c>
      <c r="J6842" s="5" t="n">
        <v>23</v>
      </c>
      <c r="K6842" s="10">
        <f>IF(F6842&gt;0,H6842/F6842,"")</f>
        <v/>
      </c>
      <c r="L6842" s="16">
        <f>IF(AND(G6842&gt;0,H6842&gt;0),G6842/H6842,"")</f>
        <v/>
      </c>
    </row>
    <row r="6843">
      <c r="A6843" s="4" t="inlineStr">
        <is>
          <t>403</t>
        </is>
      </c>
      <c r="B6843" s="4" t="n">
        <v>4</v>
      </c>
      <c r="C6843" s="4" t="inlineStr">
        <is>
          <t>mule deer</t>
        </is>
      </c>
      <c r="D6843" s="4" t="n">
        <v>2012</v>
      </c>
      <c r="E6843" s="13" t="inlineStr">
        <is>
          <t>General</t>
        </is>
      </c>
      <c r="F6843" s="5" t="n"/>
      <c r="G6843" s="5" t="n"/>
      <c r="H6843" s="5" t="n">
        <v>140</v>
      </c>
      <c r="I6843" s="5" t="n">
        <v>117</v>
      </c>
      <c r="J6843" s="5" t="n">
        <v>20</v>
      </c>
      <c r="K6843" s="10">
        <f>IF(F6843&gt;0,H6843/F6843,"")</f>
        <v/>
      </c>
      <c r="L6843" s="16">
        <f>IF(AND(G6843&gt;0,H6843&gt;0),G6843/H6843,"")</f>
        <v/>
      </c>
    </row>
    <row r="6844">
      <c r="A6844" s="4" t="inlineStr">
        <is>
          <t>403</t>
        </is>
      </c>
      <c r="B6844" s="4" t="n">
        <v>4</v>
      </c>
      <c r="C6844" s="4" t="inlineStr">
        <is>
          <t>mule deer</t>
        </is>
      </c>
      <c r="D6844" s="4" t="n">
        <v>2013</v>
      </c>
      <c r="E6844" s="13" t="inlineStr">
        <is>
          <t>General</t>
        </is>
      </c>
      <c r="F6844" s="5" t="n">
        <v>364</v>
      </c>
      <c r="G6844" s="5" t="n">
        <v>1734</v>
      </c>
      <c r="H6844" s="5" t="n">
        <v>118</v>
      </c>
      <c r="I6844" s="5" t="n">
        <v>113</v>
      </c>
      <c r="J6844" s="5" t="n">
        <v>5</v>
      </c>
      <c r="K6844" s="10">
        <f>IF(F6844&gt;0,H6844/F6844,"")</f>
        <v/>
      </c>
      <c r="L6844" s="16">
        <f>IF(AND(G6844&gt;0,H6844&gt;0),G6844/H6844,"")</f>
        <v/>
      </c>
    </row>
    <row r="6845">
      <c r="A6845" s="4" t="inlineStr">
        <is>
          <t>403</t>
        </is>
      </c>
      <c r="B6845" s="4" t="n">
        <v>4</v>
      </c>
      <c r="C6845" s="4" t="inlineStr">
        <is>
          <t>mule deer</t>
        </is>
      </c>
      <c r="D6845" s="4" t="n">
        <v>2014</v>
      </c>
      <c r="E6845" s="13" t="inlineStr">
        <is>
          <t>General</t>
        </is>
      </c>
      <c r="F6845" s="5" t="n"/>
      <c r="G6845" s="5" t="n"/>
      <c r="H6845" s="5" t="n">
        <v>209</v>
      </c>
      <c r="I6845" s="5" t="n">
        <v>160</v>
      </c>
      <c r="J6845" s="5" t="n">
        <v>50</v>
      </c>
      <c r="K6845" s="10">
        <f>IF(F6845&gt;0,H6845/F6845,"")</f>
        <v/>
      </c>
      <c r="L6845" s="16">
        <f>IF(AND(G6845&gt;0,H6845&gt;0),G6845/H6845,"")</f>
        <v/>
      </c>
    </row>
    <row r="6846">
      <c r="A6846" s="4" t="inlineStr">
        <is>
          <t>403</t>
        </is>
      </c>
      <c r="B6846" s="4" t="n">
        <v>4</v>
      </c>
      <c r="C6846" s="4" t="inlineStr">
        <is>
          <t>mule deer</t>
        </is>
      </c>
      <c r="D6846" s="4" t="n">
        <v>2015</v>
      </c>
      <c r="E6846" s="13" t="inlineStr">
        <is>
          <t>General</t>
        </is>
      </c>
      <c r="F6846" s="5" t="n"/>
      <c r="G6846" s="5" t="n"/>
      <c r="H6846" s="5" t="n">
        <v>183</v>
      </c>
      <c r="I6846" s="5" t="n">
        <v>117</v>
      </c>
      <c r="J6846" s="5" t="n">
        <v>64</v>
      </c>
      <c r="K6846" s="10">
        <f>IF(F6846&gt;0,H6846/F6846,"")</f>
        <v/>
      </c>
      <c r="L6846" s="16">
        <f>IF(AND(G6846&gt;0,H6846&gt;0),G6846/H6846,"")</f>
        <v/>
      </c>
    </row>
    <row r="6847">
      <c r="A6847" s="4" t="inlineStr">
        <is>
          <t>403</t>
        </is>
      </c>
      <c r="B6847" s="4" t="n">
        <v>4</v>
      </c>
      <c r="C6847" s="4" t="inlineStr">
        <is>
          <t>mule deer</t>
        </is>
      </c>
      <c r="D6847" s="4" t="n">
        <v>2016</v>
      </c>
      <c r="E6847" s="13" t="inlineStr">
        <is>
          <t>General</t>
        </is>
      </c>
      <c r="F6847" s="5" t="n"/>
      <c r="G6847" s="5" t="n"/>
      <c r="H6847" s="5" t="n">
        <v>231</v>
      </c>
      <c r="I6847" s="5" t="n">
        <v>152</v>
      </c>
      <c r="J6847" s="5" t="n">
        <v>76</v>
      </c>
      <c r="K6847" s="10">
        <f>IF(F6847&gt;0,H6847/F6847,"")</f>
        <v/>
      </c>
      <c r="L6847" s="16">
        <f>IF(AND(G6847&gt;0,H6847&gt;0),G6847/H6847,"")</f>
        <v/>
      </c>
    </row>
    <row r="6848">
      <c r="A6848" s="4" t="inlineStr">
        <is>
          <t>403</t>
        </is>
      </c>
      <c r="B6848" s="4" t="n">
        <v>4</v>
      </c>
      <c r="C6848" s="4" t="inlineStr">
        <is>
          <t>mule deer</t>
        </is>
      </c>
      <c r="D6848" s="4" t="n">
        <v>2017</v>
      </c>
      <c r="E6848" s="13" t="inlineStr">
        <is>
          <t>General</t>
        </is>
      </c>
      <c r="F6848" s="5" t="n">
        <v>466</v>
      </c>
      <c r="G6848" s="5" t="n">
        <v>1894</v>
      </c>
      <c r="H6848" s="5" t="n">
        <v>200</v>
      </c>
      <c r="I6848" s="5" t="n">
        <v>131</v>
      </c>
      <c r="J6848" s="5" t="n">
        <v>64</v>
      </c>
      <c r="K6848" s="10">
        <f>IF(F6848&gt;0,H6848/F6848,"")</f>
        <v/>
      </c>
      <c r="L6848" s="16">
        <f>IF(AND(G6848&gt;0,H6848&gt;0),G6848/H6848,"")</f>
        <v/>
      </c>
    </row>
    <row r="6849">
      <c r="A6849" s="4" t="inlineStr">
        <is>
          <t>403</t>
        </is>
      </c>
      <c r="B6849" s="4" t="n">
        <v>4</v>
      </c>
      <c r="C6849" s="4" t="inlineStr">
        <is>
          <t>mule deer</t>
        </is>
      </c>
      <c r="D6849" s="4" t="n">
        <v>2018</v>
      </c>
      <c r="E6849" s="13" t="inlineStr">
        <is>
          <t>General</t>
        </is>
      </c>
      <c r="F6849" s="5" t="n"/>
      <c r="G6849" s="5" t="n"/>
      <c r="H6849" s="5" t="n">
        <v>236</v>
      </c>
      <c r="I6849" s="5" t="n">
        <v>145</v>
      </c>
      <c r="J6849" s="5" t="n">
        <v>91</v>
      </c>
      <c r="K6849" s="10">
        <f>IF(F6849&gt;0,H6849/F6849,"")</f>
        <v/>
      </c>
      <c r="L6849" s="16">
        <f>IF(AND(G6849&gt;0,H6849&gt;0),G6849/H6849,"")</f>
        <v/>
      </c>
    </row>
    <row r="6850">
      <c r="A6850" s="4" t="inlineStr">
        <is>
          <t>403</t>
        </is>
      </c>
      <c r="B6850" s="4" t="n">
        <v>4</v>
      </c>
      <c r="C6850" s="4" t="inlineStr">
        <is>
          <t>mule deer</t>
        </is>
      </c>
      <c r="D6850" s="4" t="n">
        <v>2019</v>
      </c>
      <c r="E6850" s="13" t="inlineStr">
        <is>
          <t>General</t>
        </is>
      </c>
      <c r="F6850" s="5" t="n">
        <v>416</v>
      </c>
      <c r="G6850" s="5" t="n">
        <v>1646</v>
      </c>
      <c r="H6850" s="5" t="n">
        <v>200</v>
      </c>
      <c r="I6850" s="5" t="n">
        <v>137</v>
      </c>
      <c r="J6850" s="5" t="n">
        <v>59</v>
      </c>
      <c r="K6850" s="10">
        <f>IF(F6850&gt;0,H6850/F6850,"")</f>
        <v/>
      </c>
      <c r="L6850" s="16">
        <f>IF(AND(G6850&gt;0,H6850&gt;0),G6850/H6850,"")</f>
        <v/>
      </c>
    </row>
    <row r="6851">
      <c r="A6851" s="4" t="inlineStr">
        <is>
          <t>403</t>
        </is>
      </c>
      <c r="B6851" s="4" t="n">
        <v>4</v>
      </c>
      <c r="C6851" s="4" t="inlineStr">
        <is>
          <t>mule deer</t>
        </is>
      </c>
      <c r="D6851" s="4" t="n">
        <v>2020</v>
      </c>
      <c r="E6851" s="13" t="inlineStr">
        <is>
          <t>General</t>
        </is>
      </c>
      <c r="F6851" s="5" t="n"/>
      <c r="G6851" s="5" t="n"/>
      <c r="H6851" s="5" t="n">
        <v>172</v>
      </c>
      <c r="I6851" s="5" t="n">
        <v>127</v>
      </c>
      <c r="J6851" s="5" t="n">
        <v>45</v>
      </c>
      <c r="K6851" s="10">
        <f>IF(F6851&gt;0,H6851/F6851,"")</f>
        <v/>
      </c>
      <c r="L6851" s="16">
        <f>IF(AND(G6851&gt;0,H6851&gt;0),G6851/H6851,"")</f>
        <v/>
      </c>
    </row>
    <row r="6852">
      <c r="A6852" s="4" t="inlineStr">
        <is>
          <t>403</t>
        </is>
      </c>
      <c r="B6852" s="4" t="n">
        <v>4</v>
      </c>
      <c r="C6852" s="4" t="inlineStr">
        <is>
          <t>mule deer</t>
        </is>
      </c>
      <c r="D6852" s="4" t="n">
        <v>2021</v>
      </c>
      <c r="E6852" s="13" t="inlineStr">
        <is>
          <t>General</t>
        </is>
      </c>
      <c r="F6852" s="5" t="n">
        <v>416</v>
      </c>
      <c r="G6852" s="5" t="n">
        <v>2110</v>
      </c>
      <c r="H6852" s="5" t="n">
        <v>167</v>
      </c>
      <c r="I6852" s="5" t="n">
        <v>114</v>
      </c>
      <c r="J6852" s="5" t="n">
        <v>53</v>
      </c>
      <c r="K6852" s="10">
        <f>IF(F6852&gt;0,H6852/F6852,"")</f>
        <v/>
      </c>
      <c r="L6852" s="16">
        <f>IF(AND(G6852&gt;0,H6852&gt;0),G6852/H6852,"")</f>
        <v/>
      </c>
    </row>
    <row r="6853">
      <c r="A6853" s="4" t="inlineStr">
        <is>
          <t>403</t>
        </is>
      </c>
      <c r="B6853" s="4" t="n">
        <v>4</v>
      </c>
      <c r="C6853" s="4" t="inlineStr">
        <is>
          <t>mule deer</t>
        </is>
      </c>
      <c r="D6853" s="4" t="n">
        <v>2022</v>
      </c>
      <c r="E6853" s="13" t="inlineStr">
        <is>
          <t>General</t>
        </is>
      </c>
      <c r="F6853" s="5" t="n"/>
      <c r="G6853" s="5" t="n"/>
      <c r="H6853" s="5" t="n">
        <v>198</v>
      </c>
      <c r="I6853" s="5" t="n">
        <v>114</v>
      </c>
      <c r="J6853" s="5" t="n">
        <v>83</v>
      </c>
      <c r="K6853" s="10">
        <f>IF(F6853&gt;0,H6853/F6853,"")</f>
        <v/>
      </c>
      <c r="L6853" s="16">
        <f>IF(AND(G6853&gt;0,H6853&gt;0),G6853/H6853,"")</f>
        <v/>
      </c>
    </row>
    <row r="6854">
      <c r="A6854" s="4" t="inlineStr">
        <is>
          <t>403</t>
        </is>
      </c>
      <c r="B6854" s="4" t="n">
        <v>4</v>
      </c>
      <c r="C6854" s="4" t="inlineStr">
        <is>
          <t>mule deer</t>
        </is>
      </c>
      <c r="D6854" s="4" t="n">
        <v>2023</v>
      </c>
      <c r="E6854" s="13" t="inlineStr">
        <is>
          <t>General</t>
        </is>
      </c>
      <c r="F6854" s="5" t="n">
        <v>461</v>
      </c>
      <c r="G6854" s="5" t="n">
        <v>2284</v>
      </c>
      <c r="H6854" s="5" t="n">
        <v>206</v>
      </c>
      <c r="I6854" s="5" t="n">
        <v>131</v>
      </c>
      <c r="J6854" s="5" t="n">
        <v>72</v>
      </c>
      <c r="K6854" s="10">
        <f>IF(F6854&gt;0,H6854/F6854,"")</f>
        <v/>
      </c>
      <c r="L6854" s="16">
        <f>IF(AND(G6854&gt;0,H6854&gt;0),G6854/H6854,"")</f>
        <v/>
      </c>
    </row>
    <row r="6855">
      <c r="A6855" s="4" t="inlineStr">
        <is>
          <t>403</t>
        </is>
      </c>
      <c r="B6855" s="4" t="n">
        <v>4</v>
      </c>
      <c r="C6855" s="4" t="inlineStr">
        <is>
          <t>mule deer</t>
        </is>
      </c>
      <c r="D6855" s="4" t="n">
        <v>2024</v>
      </c>
      <c r="E6855" s="13" t="inlineStr">
        <is>
          <t>General</t>
        </is>
      </c>
      <c r="F6855" s="5" t="n"/>
      <c r="G6855" s="5" t="n"/>
      <c r="H6855" s="5" t="n">
        <v>243</v>
      </c>
      <c r="I6855" s="5" t="n">
        <v>144</v>
      </c>
      <c r="J6855" s="5" t="n">
        <v>99</v>
      </c>
      <c r="K6855" s="10">
        <f>IF(F6855&gt;0,H6855/F6855,"")</f>
        <v/>
      </c>
      <c r="L6855" s="16">
        <f>IF(AND(G6855&gt;0,H6855&gt;0),G6855/H6855,"")</f>
        <v/>
      </c>
    </row>
    <row r="6856">
      <c r="A6856" s="4" t="inlineStr">
        <is>
          <t>403</t>
        </is>
      </c>
      <c r="B6856" s="4" t="n">
        <v>4</v>
      </c>
      <c r="C6856" s="4" t="inlineStr">
        <is>
          <t>mule deer</t>
        </is>
      </c>
      <c r="D6856" s="4" t="n">
        <v>2025</v>
      </c>
      <c r="E6856" s="13" t="inlineStr">
        <is>
          <t>General</t>
        </is>
      </c>
      <c r="F6856" s="5" t="n">
        <v>418</v>
      </c>
      <c r="G6856" s="5" t="n">
        <v>2149</v>
      </c>
      <c r="H6856" s="5" t="n">
        <v>183</v>
      </c>
      <c r="I6856" s="5" t="n">
        <v>137</v>
      </c>
      <c r="J6856" s="5" t="n">
        <v>46</v>
      </c>
      <c r="K6856" s="10">
        <f>IF(F6856&gt;0,H6856/F6856,"")</f>
        <v/>
      </c>
      <c r="L6856" s="16">
        <f>IF(AND(G6856&gt;0,H6856&gt;0),G6856/H6856,"")</f>
        <v/>
      </c>
    </row>
    <row r="6857">
      <c r="A6857" s="4" t="inlineStr">
        <is>
          <t>404</t>
        </is>
      </c>
      <c r="B6857" s="4" t="n">
        <v>4</v>
      </c>
      <c r="C6857" s="4" t="inlineStr">
        <is>
          <t>mule deer</t>
        </is>
      </c>
      <c r="D6857" s="4" t="n">
        <v>2004</v>
      </c>
      <c r="E6857" s="13" t="inlineStr">
        <is>
          <t>General</t>
        </is>
      </c>
      <c r="F6857" s="5" t="n">
        <v>2678</v>
      </c>
      <c r="G6857" s="5" t="n">
        <v>10546</v>
      </c>
      <c r="H6857" s="5" t="n">
        <v>1117</v>
      </c>
      <c r="I6857" s="5" t="n">
        <v>644</v>
      </c>
      <c r="J6857" s="5" t="n">
        <v>457</v>
      </c>
      <c r="K6857" s="10">
        <f>IF(F6857&gt;0,H6857/F6857,"")</f>
        <v/>
      </c>
      <c r="L6857" s="16">
        <f>IF(AND(G6857&gt;0,H6857&gt;0),G6857/H6857,"")</f>
        <v/>
      </c>
    </row>
    <row r="6858">
      <c r="A6858" s="4" t="inlineStr">
        <is>
          <t>404</t>
        </is>
      </c>
      <c r="B6858" s="4" t="n">
        <v>4</v>
      </c>
      <c r="C6858" s="4" t="inlineStr">
        <is>
          <t>mule deer</t>
        </is>
      </c>
      <c r="D6858" s="4" t="n">
        <v>2005</v>
      </c>
      <c r="E6858" s="13" t="inlineStr">
        <is>
          <t>General</t>
        </is>
      </c>
      <c r="F6858" s="5" t="n">
        <v>2927</v>
      </c>
      <c r="G6858" s="5" t="n">
        <v>12200</v>
      </c>
      <c r="H6858" s="5" t="n">
        <v>1347</v>
      </c>
      <c r="I6858" s="5" t="n">
        <v>828</v>
      </c>
      <c r="J6858" s="5" t="n">
        <v>505</v>
      </c>
      <c r="K6858" s="10">
        <f>IF(F6858&gt;0,H6858/F6858,"")</f>
        <v/>
      </c>
      <c r="L6858" s="16">
        <f>IF(AND(G6858&gt;0,H6858&gt;0),G6858/H6858,"")</f>
        <v/>
      </c>
    </row>
    <row r="6859">
      <c r="A6859" s="4" t="inlineStr">
        <is>
          <t>404</t>
        </is>
      </c>
      <c r="B6859" s="4" t="n">
        <v>4</v>
      </c>
      <c r="C6859" s="4" t="inlineStr">
        <is>
          <t>mule deer</t>
        </is>
      </c>
      <c r="D6859" s="4" t="n">
        <v>2006</v>
      </c>
      <c r="E6859" s="13" t="inlineStr">
        <is>
          <t>General</t>
        </is>
      </c>
      <c r="F6859" s="5" t="n">
        <v>2402</v>
      </c>
      <c r="G6859" s="5" t="n">
        <v>11058</v>
      </c>
      <c r="H6859" s="5" t="n">
        <v>1255</v>
      </c>
      <c r="I6859" s="5" t="n">
        <v>664</v>
      </c>
      <c r="J6859" s="5" t="n">
        <v>568</v>
      </c>
      <c r="K6859" s="10">
        <f>IF(F6859&gt;0,H6859/F6859,"")</f>
        <v/>
      </c>
      <c r="L6859" s="16">
        <f>IF(AND(G6859&gt;0,H6859&gt;0),G6859/H6859,"")</f>
        <v/>
      </c>
    </row>
    <row r="6860">
      <c r="A6860" s="4" t="inlineStr">
        <is>
          <t>404</t>
        </is>
      </c>
      <c r="B6860" s="4" t="n">
        <v>4</v>
      </c>
      <c r="C6860" s="4" t="inlineStr">
        <is>
          <t>mule deer</t>
        </is>
      </c>
      <c r="D6860" s="4" t="n">
        <v>2007</v>
      </c>
      <c r="E6860" s="13" t="inlineStr">
        <is>
          <t>General</t>
        </is>
      </c>
      <c r="F6860" s="5" t="n">
        <v>2521</v>
      </c>
      <c r="G6860" s="5" t="n">
        <v>10922</v>
      </c>
      <c r="H6860" s="5" t="n">
        <v>1220</v>
      </c>
      <c r="I6860" s="5" t="n">
        <v>559</v>
      </c>
      <c r="J6860" s="5" t="n">
        <v>662</v>
      </c>
      <c r="K6860" s="10">
        <f>IF(F6860&gt;0,H6860/F6860,"")</f>
        <v/>
      </c>
      <c r="L6860" s="16">
        <f>IF(AND(G6860&gt;0,H6860&gt;0),G6860/H6860,"")</f>
        <v/>
      </c>
    </row>
    <row r="6861">
      <c r="A6861" s="4" t="inlineStr">
        <is>
          <t>404</t>
        </is>
      </c>
      <c r="B6861" s="4" t="n">
        <v>4</v>
      </c>
      <c r="C6861" s="4" t="inlineStr">
        <is>
          <t>mule deer</t>
        </is>
      </c>
      <c r="D6861" s="4" t="n">
        <v>2008</v>
      </c>
      <c r="E6861" s="13" t="inlineStr">
        <is>
          <t>General</t>
        </is>
      </c>
      <c r="F6861" s="5" t="n">
        <v>2549</v>
      </c>
      <c r="G6861" s="5" t="n">
        <v>11872</v>
      </c>
      <c r="H6861" s="5" t="n">
        <v>1064</v>
      </c>
      <c r="I6861" s="5" t="n">
        <v>502</v>
      </c>
      <c r="J6861" s="5" t="n">
        <v>552</v>
      </c>
      <c r="K6861" s="10">
        <f>IF(F6861&gt;0,H6861/F6861,"")</f>
        <v/>
      </c>
      <c r="L6861" s="16">
        <f>IF(AND(G6861&gt;0,H6861&gt;0),G6861/H6861,"")</f>
        <v/>
      </c>
    </row>
    <row r="6862">
      <c r="A6862" s="4" t="inlineStr">
        <is>
          <t>404</t>
        </is>
      </c>
      <c r="B6862" s="4" t="n">
        <v>4</v>
      </c>
      <c r="C6862" s="4" t="inlineStr">
        <is>
          <t>mule deer</t>
        </is>
      </c>
      <c r="D6862" s="4" t="n">
        <v>2009</v>
      </c>
      <c r="E6862" s="13" t="inlineStr">
        <is>
          <t>General</t>
        </is>
      </c>
      <c r="F6862" s="5" t="n">
        <v>2848</v>
      </c>
      <c r="G6862" s="5" t="n">
        <v>14030</v>
      </c>
      <c r="H6862" s="5" t="n">
        <v>937</v>
      </c>
      <c r="I6862" s="5" t="n">
        <v>504</v>
      </c>
      <c r="J6862" s="5" t="n">
        <v>418</v>
      </c>
      <c r="K6862" s="10">
        <f>IF(F6862&gt;0,H6862/F6862,"")</f>
        <v/>
      </c>
      <c r="L6862" s="16">
        <f>IF(AND(G6862&gt;0,H6862&gt;0),G6862/H6862,"")</f>
        <v/>
      </c>
    </row>
    <row r="6863">
      <c r="A6863" s="4" t="inlineStr">
        <is>
          <t>404</t>
        </is>
      </c>
      <c r="B6863" s="4" t="n">
        <v>4</v>
      </c>
      <c r="C6863" s="4" t="inlineStr">
        <is>
          <t>mule deer</t>
        </is>
      </c>
      <c r="D6863" s="4" t="n">
        <v>2010</v>
      </c>
      <c r="E6863" s="13" t="inlineStr">
        <is>
          <t>General</t>
        </is>
      </c>
      <c r="F6863" s="5" t="n">
        <v>2939</v>
      </c>
      <c r="G6863" s="5" t="n">
        <v>13263</v>
      </c>
      <c r="H6863" s="5" t="n">
        <v>682</v>
      </c>
      <c r="I6863" s="5" t="n">
        <v>345</v>
      </c>
      <c r="J6863" s="5" t="n">
        <v>322</v>
      </c>
      <c r="K6863" s="10">
        <f>IF(F6863&gt;0,H6863/F6863,"")</f>
        <v/>
      </c>
      <c r="L6863" s="16">
        <f>IF(AND(G6863&gt;0,H6863&gt;0),G6863/H6863,"")</f>
        <v/>
      </c>
    </row>
    <row r="6864">
      <c r="A6864" s="4" t="inlineStr">
        <is>
          <t>404</t>
        </is>
      </c>
      <c r="B6864" s="4" t="n">
        <v>4</v>
      </c>
      <c r="C6864" s="4" t="inlineStr">
        <is>
          <t>mule deer</t>
        </is>
      </c>
      <c r="D6864" s="4" t="n">
        <v>2011</v>
      </c>
      <c r="E6864" s="13" t="inlineStr">
        <is>
          <t>General</t>
        </is>
      </c>
      <c r="F6864" s="5" t="n">
        <v>3030</v>
      </c>
      <c r="G6864" s="5" t="n">
        <v>13326</v>
      </c>
      <c r="H6864" s="5" t="n">
        <v>739</v>
      </c>
      <c r="I6864" s="5" t="n">
        <v>402</v>
      </c>
      <c r="J6864" s="5" t="n">
        <v>330</v>
      </c>
      <c r="K6864" s="10">
        <f>IF(F6864&gt;0,H6864/F6864,"")</f>
        <v/>
      </c>
      <c r="L6864" s="16">
        <f>IF(AND(G6864&gt;0,H6864&gt;0),G6864/H6864,"")</f>
        <v/>
      </c>
    </row>
    <row r="6865">
      <c r="A6865" s="4" t="inlineStr">
        <is>
          <t>404</t>
        </is>
      </c>
      <c r="B6865" s="4" t="n">
        <v>4</v>
      </c>
      <c r="C6865" s="4" t="inlineStr">
        <is>
          <t>mule deer</t>
        </is>
      </c>
      <c r="D6865" s="4" t="n">
        <v>2012</v>
      </c>
      <c r="E6865" s="13" t="inlineStr">
        <is>
          <t>General</t>
        </is>
      </c>
      <c r="F6865" s="5" t="n"/>
      <c r="G6865" s="5" t="n"/>
      <c r="H6865" s="5" t="n">
        <v>608</v>
      </c>
      <c r="I6865" s="5" t="n">
        <v>396</v>
      </c>
      <c r="J6865" s="5" t="n">
        <v>209</v>
      </c>
      <c r="K6865" s="10">
        <f>IF(F6865&gt;0,H6865/F6865,"")</f>
        <v/>
      </c>
      <c r="L6865" s="16">
        <f>IF(AND(G6865&gt;0,H6865&gt;0),G6865/H6865,"")</f>
        <v/>
      </c>
    </row>
    <row r="6866">
      <c r="A6866" s="4" t="inlineStr">
        <is>
          <t>404</t>
        </is>
      </c>
      <c r="B6866" s="4" t="n">
        <v>4</v>
      </c>
      <c r="C6866" s="4" t="inlineStr">
        <is>
          <t>mule deer</t>
        </is>
      </c>
      <c r="D6866" s="4" t="n">
        <v>2013</v>
      </c>
      <c r="E6866" s="13" t="inlineStr">
        <is>
          <t>General</t>
        </is>
      </c>
      <c r="F6866" s="5" t="n">
        <v>2129</v>
      </c>
      <c r="G6866" s="5" t="n">
        <v>10165</v>
      </c>
      <c r="H6866" s="5" t="n">
        <v>453</v>
      </c>
      <c r="I6866" s="5" t="n">
        <v>412</v>
      </c>
      <c r="J6866" s="5" t="n">
        <v>41</v>
      </c>
      <c r="K6866" s="10">
        <f>IF(F6866&gt;0,H6866/F6866,"")</f>
        <v/>
      </c>
      <c r="L6866" s="16">
        <f>IF(AND(G6866&gt;0,H6866&gt;0),G6866/H6866,"")</f>
        <v/>
      </c>
    </row>
    <row r="6867">
      <c r="A6867" s="4" t="inlineStr">
        <is>
          <t>404</t>
        </is>
      </c>
      <c r="B6867" s="4" t="n">
        <v>4</v>
      </c>
      <c r="C6867" s="4" t="inlineStr">
        <is>
          <t>mule deer</t>
        </is>
      </c>
      <c r="D6867" s="4" t="n">
        <v>2014</v>
      </c>
      <c r="E6867" s="13" t="inlineStr">
        <is>
          <t>General</t>
        </is>
      </c>
      <c r="F6867" s="5" t="n"/>
      <c r="G6867" s="5" t="n"/>
      <c r="H6867" s="5" t="n">
        <v>368</v>
      </c>
      <c r="I6867" s="5" t="n">
        <v>362</v>
      </c>
      <c r="J6867" s="5" t="n">
        <v>6</v>
      </c>
      <c r="K6867" s="10">
        <f>IF(F6867&gt;0,H6867/F6867,"")</f>
        <v/>
      </c>
      <c r="L6867" s="16">
        <f>IF(AND(G6867&gt;0,H6867&gt;0),G6867/H6867,"")</f>
        <v/>
      </c>
    </row>
    <row r="6868">
      <c r="A6868" s="4" t="inlineStr">
        <is>
          <t>404</t>
        </is>
      </c>
      <c r="B6868" s="4" t="n">
        <v>4</v>
      </c>
      <c r="C6868" s="4" t="inlineStr">
        <is>
          <t>mule deer</t>
        </is>
      </c>
      <c r="D6868" s="4" t="n">
        <v>2015</v>
      </c>
      <c r="E6868" s="13" t="inlineStr">
        <is>
          <t>General</t>
        </is>
      </c>
      <c r="F6868" s="5" t="n"/>
      <c r="G6868" s="5" t="n"/>
      <c r="H6868" s="5" t="n">
        <v>428</v>
      </c>
      <c r="I6868" s="5" t="n">
        <v>422</v>
      </c>
      <c r="J6868" s="5" t="n">
        <v>6</v>
      </c>
      <c r="K6868" s="10">
        <f>IF(F6868&gt;0,H6868/F6868,"")</f>
        <v/>
      </c>
      <c r="L6868" s="16">
        <f>IF(AND(G6868&gt;0,H6868&gt;0),G6868/H6868,"")</f>
        <v/>
      </c>
    </row>
    <row r="6869">
      <c r="A6869" s="4" t="inlineStr">
        <is>
          <t>404</t>
        </is>
      </c>
      <c r="B6869" s="4" t="n">
        <v>4</v>
      </c>
      <c r="C6869" s="4" t="inlineStr">
        <is>
          <t>mule deer</t>
        </is>
      </c>
      <c r="D6869" s="4" t="n">
        <v>2016</v>
      </c>
      <c r="E6869" s="13" t="inlineStr">
        <is>
          <t>General</t>
        </is>
      </c>
      <c r="F6869" s="5" t="n"/>
      <c r="G6869" s="5" t="n"/>
      <c r="H6869" s="5" t="n">
        <v>643</v>
      </c>
      <c r="I6869" s="5" t="n">
        <v>533</v>
      </c>
      <c r="J6869" s="5" t="n">
        <v>109</v>
      </c>
      <c r="K6869" s="10">
        <f>IF(F6869&gt;0,H6869/F6869,"")</f>
        <v/>
      </c>
      <c r="L6869" s="16">
        <f>IF(AND(G6869&gt;0,H6869&gt;0),G6869/H6869,"")</f>
        <v/>
      </c>
    </row>
    <row r="6870">
      <c r="A6870" s="4" t="inlineStr">
        <is>
          <t>404</t>
        </is>
      </c>
      <c r="B6870" s="4" t="n">
        <v>4</v>
      </c>
      <c r="C6870" s="4" t="inlineStr">
        <is>
          <t>mule deer</t>
        </is>
      </c>
      <c r="D6870" s="4" t="n">
        <v>2017</v>
      </c>
      <c r="E6870" s="13" t="inlineStr">
        <is>
          <t>General</t>
        </is>
      </c>
      <c r="F6870" s="5" t="n">
        <v>2071</v>
      </c>
      <c r="G6870" s="5" t="n">
        <v>8938</v>
      </c>
      <c r="H6870" s="5" t="n">
        <v>643</v>
      </c>
      <c r="I6870" s="5" t="n">
        <v>535</v>
      </c>
      <c r="J6870" s="5" t="n">
        <v>105</v>
      </c>
      <c r="K6870" s="10">
        <f>IF(F6870&gt;0,H6870/F6870,"")</f>
        <v/>
      </c>
      <c r="L6870" s="16">
        <f>IF(AND(G6870&gt;0,H6870&gt;0),G6870/H6870,"")</f>
        <v/>
      </c>
    </row>
    <row r="6871">
      <c r="A6871" s="4" t="inlineStr">
        <is>
          <t>404</t>
        </is>
      </c>
      <c r="B6871" s="4" t="n">
        <v>4</v>
      </c>
      <c r="C6871" s="4" t="inlineStr">
        <is>
          <t>mule deer</t>
        </is>
      </c>
      <c r="D6871" s="4" t="n">
        <v>2018</v>
      </c>
      <c r="E6871" s="13" t="inlineStr">
        <is>
          <t>General</t>
        </is>
      </c>
      <c r="F6871" s="5" t="n"/>
      <c r="G6871" s="5" t="n"/>
      <c r="H6871" s="5" t="n">
        <v>622</v>
      </c>
      <c r="I6871" s="5" t="n">
        <v>489</v>
      </c>
      <c r="J6871" s="5" t="n">
        <v>133</v>
      </c>
      <c r="K6871" s="10">
        <f>IF(F6871&gt;0,H6871/F6871,"")</f>
        <v/>
      </c>
      <c r="L6871" s="16">
        <f>IF(AND(G6871&gt;0,H6871&gt;0),G6871/H6871,"")</f>
        <v/>
      </c>
    </row>
    <row r="6872">
      <c r="A6872" s="4" t="inlineStr">
        <is>
          <t>404</t>
        </is>
      </c>
      <c r="B6872" s="4" t="n">
        <v>4</v>
      </c>
      <c r="C6872" s="4" t="inlineStr">
        <is>
          <t>mule deer</t>
        </is>
      </c>
      <c r="D6872" s="4" t="n">
        <v>2019</v>
      </c>
      <c r="E6872" s="13" t="inlineStr">
        <is>
          <t>General</t>
        </is>
      </c>
      <c r="F6872" s="5" t="n">
        <v>2296</v>
      </c>
      <c r="G6872" s="5" t="n">
        <v>10760</v>
      </c>
      <c r="H6872" s="5" t="n">
        <v>606</v>
      </c>
      <c r="I6872" s="5" t="n">
        <v>469</v>
      </c>
      <c r="J6872" s="5" t="n">
        <v>134</v>
      </c>
      <c r="K6872" s="10">
        <f>IF(F6872&gt;0,H6872/F6872,"")</f>
        <v/>
      </c>
      <c r="L6872" s="16">
        <f>IF(AND(G6872&gt;0,H6872&gt;0),G6872/H6872,"")</f>
        <v/>
      </c>
    </row>
    <row r="6873">
      <c r="A6873" s="4" t="inlineStr">
        <is>
          <t>404</t>
        </is>
      </c>
      <c r="B6873" s="4" t="n">
        <v>4</v>
      </c>
      <c r="C6873" s="4" t="inlineStr">
        <is>
          <t>mule deer</t>
        </is>
      </c>
      <c r="D6873" s="4" t="n">
        <v>2020</v>
      </c>
      <c r="E6873" s="13" t="inlineStr">
        <is>
          <t>General</t>
        </is>
      </c>
      <c r="F6873" s="5" t="n"/>
      <c r="G6873" s="5" t="n"/>
      <c r="H6873" s="5" t="n">
        <v>625</v>
      </c>
      <c r="I6873" s="5" t="n">
        <v>532</v>
      </c>
      <c r="J6873" s="5" t="n">
        <v>92</v>
      </c>
      <c r="K6873" s="10">
        <f>IF(F6873&gt;0,H6873/F6873,"")</f>
        <v/>
      </c>
      <c r="L6873" s="16">
        <f>IF(AND(G6873&gt;0,H6873&gt;0),G6873/H6873,"")</f>
        <v/>
      </c>
    </row>
    <row r="6874">
      <c r="A6874" s="4" t="inlineStr">
        <is>
          <t>404</t>
        </is>
      </c>
      <c r="B6874" s="4" t="n">
        <v>4</v>
      </c>
      <c r="C6874" s="4" t="inlineStr">
        <is>
          <t>mule deer</t>
        </is>
      </c>
      <c r="D6874" s="4" t="n">
        <v>2021</v>
      </c>
      <c r="E6874" s="13" t="inlineStr">
        <is>
          <t>General</t>
        </is>
      </c>
      <c r="F6874" s="5" t="n">
        <v>1844</v>
      </c>
      <c r="G6874" s="5" t="n">
        <v>8999</v>
      </c>
      <c r="H6874" s="5" t="n">
        <v>651</v>
      </c>
      <c r="I6874" s="5" t="n">
        <v>505</v>
      </c>
      <c r="J6874" s="5" t="n">
        <v>138</v>
      </c>
      <c r="K6874" s="10">
        <f>IF(F6874&gt;0,H6874/F6874,"")</f>
        <v/>
      </c>
      <c r="L6874" s="16">
        <f>IF(AND(G6874&gt;0,H6874&gt;0),G6874/H6874,"")</f>
        <v/>
      </c>
    </row>
    <row r="6875">
      <c r="A6875" s="4" t="inlineStr">
        <is>
          <t>404</t>
        </is>
      </c>
      <c r="B6875" s="4" t="n">
        <v>4</v>
      </c>
      <c r="C6875" s="4" t="inlineStr">
        <is>
          <t>mule deer</t>
        </is>
      </c>
      <c r="D6875" s="4" t="n">
        <v>2022</v>
      </c>
      <c r="E6875" s="13" t="inlineStr">
        <is>
          <t>General</t>
        </is>
      </c>
      <c r="F6875" s="5" t="n"/>
      <c r="G6875" s="5" t="n"/>
      <c r="H6875" s="5" t="n">
        <v>496</v>
      </c>
      <c r="I6875" s="5" t="n">
        <v>348</v>
      </c>
      <c r="J6875" s="5" t="n">
        <v>148</v>
      </c>
      <c r="K6875" s="10">
        <f>IF(F6875&gt;0,H6875/F6875,"")</f>
        <v/>
      </c>
      <c r="L6875" s="16">
        <f>IF(AND(G6875&gt;0,H6875&gt;0),G6875/H6875,"")</f>
        <v/>
      </c>
    </row>
    <row r="6876">
      <c r="A6876" s="4" t="inlineStr">
        <is>
          <t>404</t>
        </is>
      </c>
      <c r="B6876" s="4" t="n">
        <v>4</v>
      </c>
      <c r="C6876" s="4" t="inlineStr">
        <is>
          <t>mule deer</t>
        </is>
      </c>
      <c r="D6876" s="4" t="n">
        <v>2023</v>
      </c>
      <c r="E6876" s="13" t="inlineStr">
        <is>
          <t>General</t>
        </is>
      </c>
      <c r="F6876" s="5" t="n">
        <v>1812</v>
      </c>
      <c r="G6876" s="5" t="n">
        <v>9049</v>
      </c>
      <c r="H6876" s="5" t="n">
        <v>636</v>
      </c>
      <c r="I6876" s="5" t="n">
        <v>471</v>
      </c>
      <c r="J6876" s="5" t="n">
        <v>162</v>
      </c>
      <c r="K6876" s="10">
        <f>IF(F6876&gt;0,H6876/F6876,"")</f>
        <v/>
      </c>
      <c r="L6876" s="16">
        <f>IF(AND(G6876&gt;0,H6876&gt;0),G6876/H6876,"")</f>
        <v/>
      </c>
    </row>
    <row r="6877">
      <c r="A6877" s="4" t="inlineStr">
        <is>
          <t>404</t>
        </is>
      </c>
      <c r="B6877" s="4" t="n">
        <v>4</v>
      </c>
      <c r="C6877" s="4" t="inlineStr">
        <is>
          <t>mule deer</t>
        </is>
      </c>
      <c r="D6877" s="4" t="n">
        <v>2024</v>
      </c>
      <c r="E6877" s="13" t="inlineStr">
        <is>
          <t>General</t>
        </is>
      </c>
      <c r="F6877" s="5" t="n"/>
      <c r="G6877" s="5" t="n"/>
      <c r="H6877" s="5" t="n">
        <v>653</v>
      </c>
      <c r="I6877" s="5" t="n">
        <v>446</v>
      </c>
      <c r="J6877" s="5" t="n">
        <v>207</v>
      </c>
      <c r="K6877" s="10">
        <f>IF(F6877&gt;0,H6877/F6877,"")</f>
        <v/>
      </c>
      <c r="L6877" s="16">
        <f>IF(AND(G6877&gt;0,H6877&gt;0),G6877/H6877,"")</f>
        <v/>
      </c>
    </row>
    <row r="6878">
      <c r="A6878" s="4" t="inlineStr">
        <is>
          <t>404</t>
        </is>
      </c>
      <c r="B6878" s="4" t="n">
        <v>4</v>
      </c>
      <c r="C6878" s="4" t="inlineStr">
        <is>
          <t>mule deer</t>
        </is>
      </c>
      <c r="D6878" s="4" t="n">
        <v>2025</v>
      </c>
      <c r="E6878" s="13" t="inlineStr">
        <is>
          <t>General</t>
        </is>
      </c>
      <c r="F6878" s="5" t="n">
        <v>1850</v>
      </c>
      <c r="G6878" s="5" t="n">
        <v>9575</v>
      </c>
      <c r="H6878" s="5" t="n">
        <v>491</v>
      </c>
      <c r="I6878" s="5" t="n">
        <v>381</v>
      </c>
      <c r="J6878" s="5" t="n">
        <v>110</v>
      </c>
      <c r="K6878" s="10">
        <f>IF(F6878&gt;0,H6878/F6878,"")</f>
        <v/>
      </c>
      <c r="L6878" s="16">
        <f>IF(AND(G6878&gt;0,H6878&gt;0),G6878/H6878,"")</f>
        <v/>
      </c>
    </row>
    <row r="6879">
      <c r="A6879" s="4" t="inlineStr">
        <is>
          <t>405</t>
        </is>
      </c>
      <c r="B6879" s="4" t="n">
        <v>4</v>
      </c>
      <c r="C6879" s="4" t="inlineStr">
        <is>
          <t>mule deer</t>
        </is>
      </c>
      <c r="D6879" s="4" t="n">
        <v>2004</v>
      </c>
      <c r="E6879" s="13" t="inlineStr">
        <is>
          <t>General</t>
        </is>
      </c>
      <c r="F6879" s="5" t="n">
        <v>971</v>
      </c>
      <c r="G6879" s="5" t="n">
        <v>3157</v>
      </c>
      <c r="H6879" s="5" t="n">
        <v>665</v>
      </c>
      <c r="I6879" s="5" t="n">
        <v>363</v>
      </c>
      <c r="J6879" s="5" t="n">
        <v>295</v>
      </c>
      <c r="K6879" s="10">
        <f>IF(F6879&gt;0,H6879/F6879,"")</f>
        <v/>
      </c>
      <c r="L6879" s="16">
        <f>IF(AND(G6879&gt;0,H6879&gt;0),G6879/H6879,"")</f>
        <v/>
      </c>
    </row>
    <row r="6880">
      <c r="A6880" s="4" t="inlineStr">
        <is>
          <t>405</t>
        </is>
      </c>
      <c r="B6880" s="4" t="n">
        <v>4</v>
      </c>
      <c r="C6880" s="4" t="inlineStr">
        <is>
          <t>mule deer</t>
        </is>
      </c>
      <c r="D6880" s="4" t="n">
        <v>2005</v>
      </c>
      <c r="E6880" s="13" t="inlineStr">
        <is>
          <t>General</t>
        </is>
      </c>
      <c r="F6880" s="5" t="n">
        <v>748</v>
      </c>
      <c r="G6880" s="5" t="n">
        <v>2352</v>
      </c>
      <c r="H6880" s="5" t="n">
        <v>486</v>
      </c>
      <c r="I6880" s="5" t="n">
        <v>264</v>
      </c>
      <c r="J6880" s="5" t="n">
        <v>222</v>
      </c>
      <c r="K6880" s="10">
        <f>IF(F6880&gt;0,H6880/F6880,"")</f>
        <v/>
      </c>
      <c r="L6880" s="16">
        <f>IF(AND(G6880&gt;0,H6880&gt;0),G6880/H6880,"")</f>
        <v/>
      </c>
    </row>
    <row r="6881">
      <c r="A6881" s="4" t="inlineStr">
        <is>
          <t>405</t>
        </is>
      </c>
      <c r="B6881" s="4" t="n">
        <v>4</v>
      </c>
      <c r="C6881" s="4" t="inlineStr">
        <is>
          <t>mule deer</t>
        </is>
      </c>
      <c r="D6881" s="4" t="n">
        <v>2006</v>
      </c>
      <c r="E6881" s="13" t="inlineStr">
        <is>
          <t>General</t>
        </is>
      </c>
      <c r="F6881" s="5" t="n">
        <v>875</v>
      </c>
      <c r="G6881" s="5" t="n">
        <v>3212</v>
      </c>
      <c r="H6881" s="5" t="n">
        <v>713</v>
      </c>
      <c r="I6881" s="5" t="n">
        <v>346</v>
      </c>
      <c r="J6881" s="5" t="n">
        <v>348</v>
      </c>
      <c r="K6881" s="10">
        <f>IF(F6881&gt;0,H6881/F6881,"")</f>
        <v/>
      </c>
      <c r="L6881" s="16">
        <f>IF(AND(G6881&gt;0,H6881&gt;0),G6881/H6881,"")</f>
        <v/>
      </c>
    </row>
    <row r="6882">
      <c r="A6882" s="4" t="inlineStr">
        <is>
          <t>405</t>
        </is>
      </c>
      <c r="B6882" s="4" t="n">
        <v>4</v>
      </c>
      <c r="C6882" s="4" t="inlineStr">
        <is>
          <t>mule deer</t>
        </is>
      </c>
      <c r="D6882" s="4" t="n">
        <v>2007</v>
      </c>
      <c r="E6882" s="13" t="inlineStr">
        <is>
          <t>General</t>
        </is>
      </c>
      <c r="F6882" s="5" t="n">
        <v>1093</v>
      </c>
      <c r="G6882" s="5" t="n">
        <v>4479</v>
      </c>
      <c r="H6882" s="5" t="n">
        <v>856</v>
      </c>
      <c r="I6882" s="5" t="n">
        <v>409</v>
      </c>
      <c r="J6882" s="5" t="n">
        <v>443</v>
      </c>
      <c r="K6882" s="10">
        <f>IF(F6882&gt;0,H6882/F6882,"")</f>
        <v/>
      </c>
      <c r="L6882" s="16">
        <f>IF(AND(G6882&gt;0,H6882&gt;0),G6882/H6882,"")</f>
        <v/>
      </c>
    </row>
    <row r="6883">
      <c r="A6883" s="4" t="inlineStr">
        <is>
          <t>405</t>
        </is>
      </c>
      <c r="B6883" s="4" t="n">
        <v>4</v>
      </c>
      <c r="C6883" s="4" t="inlineStr">
        <is>
          <t>mule deer</t>
        </is>
      </c>
      <c r="D6883" s="4" t="n">
        <v>2008</v>
      </c>
      <c r="E6883" s="13" t="inlineStr">
        <is>
          <t>General</t>
        </is>
      </c>
      <c r="F6883" s="5" t="n">
        <v>990</v>
      </c>
      <c r="G6883" s="5" t="n">
        <v>3830</v>
      </c>
      <c r="H6883" s="5" t="n">
        <v>557</v>
      </c>
      <c r="I6883" s="5" t="n">
        <v>299</v>
      </c>
      <c r="J6883" s="5" t="n">
        <v>246</v>
      </c>
      <c r="K6883" s="10">
        <f>IF(F6883&gt;0,H6883/F6883,"")</f>
        <v/>
      </c>
      <c r="L6883" s="16">
        <f>IF(AND(G6883&gt;0,H6883&gt;0),G6883/H6883,"")</f>
        <v/>
      </c>
    </row>
    <row r="6884">
      <c r="A6884" s="4" t="inlineStr">
        <is>
          <t>405</t>
        </is>
      </c>
      <c r="B6884" s="4" t="n">
        <v>4</v>
      </c>
      <c r="C6884" s="4" t="inlineStr">
        <is>
          <t>mule deer</t>
        </is>
      </c>
      <c r="D6884" s="4" t="n">
        <v>2009</v>
      </c>
      <c r="E6884" s="13" t="inlineStr">
        <is>
          <t>General</t>
        </is>
      </c>
      <c r="F6884" s="5" t="n">
        <v>877</v>
      </c>
      <c r="G6884" s="5" t="n">
        <v>3618</v>
      </c>
      <c r="H6884" s="5" t="n">
        <v>425</v>
      </c>
      <c r="I6884" s="5" t="n">
        <v>257</v>
      </c>
      <c r="J6884" s="5" t="n">
        <v>159</v>
      </c>
      <c r="K6884" s="10">
        <f>IF(F6884&gt;0,H6884/F6884,"")</f>
        <v/>
      </c>
      <c r="L6884" s="16">
        <f>IF(AND(G6884&gt;0,H6884&gt;0),G6884/H6884,"")</f>
        <v/>
      </c>
    </row>
    <row r="6885">
      <c r="A6885" s="4" t="inlineStr">
        <is>
          <t>405</t>
        </is>
      </c>
      <c r="B6885" s="4" t="n">
        <v>4</v>
      </c>
      <c r="C6885" s="4" t="inlineStr">
        <is>
          <t>mule deer</t>
        </is>
      </c>
      <c r="D6885" s="4" t="n">
        <v>2010</v>
      </c>
      <c r="E6885" s="13" t="inlineStr">
        <is>
          <t>General</t>
        </is>
      </c>
      <c r="F6885" s="5" t="n">
        <v>992</v>
      </c>
      <c r="G6885" s="5" t="n">
        <v>4007</v>
      </c>
      <c r="H6885" s="5" t="n">
        <v>433</v>
      </c>
      <c r="I6885" s="5" t="n">
        <v>256</v>
      </c>
      <c r="J6885" s="5" t="n">
        <v>157</v>
      </c>
      <c r="K6885" s="10">
        <f>IF(F6885&gt;0,H6885/F6885,"")</f>
        <v/>
      </c>
      <c r="L6885" s="16">
        <f>IF(AND(G6885&gt;0,H6885&gt;0),G6885/H6885,"")</f>
        <v/>
      </c>
    </row>
    <row r="6886">
      <c r="A6886" s="4" t="inlineStr">
        <is>
          <t>405</t>
        </is>
      </c>
      <c r="B6886" s="4" t="n">
        <v>4</v>
      </c>
      <c r="C6886" s="4" t="inlineStr">
        <is>
          <t>mule deer</t>
        </is>
      </c>
      <c r="D6886" s="4" t="n">
        <v>2011</v>
      </c>
      <c r="E6886" s="13" t="inlineStr">
        <is>
          <t>General</t>
        </is>
      </c>
      <c r="F6886" s="5" t="n">
        <v>921</v>
      </c>
      <c r="G6886" s="5" t="n">
        <v>3369</v>
      </c>
      <c r="H6886" s="5" t="n">
        <v>356</v>
      </c>
      <c r="I6886" s="5" t="n">
        <v>249</v>
      </c>
      <c r="J6886" s="5" t="n">
        <v>106</v>
      </c>
      <c r="K6886" s="10">
        <f>IF(F6886&gt;0,H6886/F6886,"")</f>
        <v/>
      </c>
      <c r="L6886" s="16">
        <f>IF(AND(G6886&gt;0,H6886&gt;0),G6886/H6886,"")</f>
        <v/>
      </c>
    </row>
    <row r="6887">
      <c r="A6887" s="4" t="inlineStr">
        <is>
          <t>405</t>
        </is>
      </c>
      <c r="B6887" s="4" t="n">
        <v>4</v>
      </c>
      <c r="C6887" s="4" t="inlineStr">
        <is>
          <t>mule deer</t>
        </is>
      </c>
      <c r="D6887" s="4" t="n">
        <v>2012</v>
      </c>
      <c r="E6887" s="13" t="inlineStr">
        <is>
          <t>General</t>
        </is>
      </c>
      <c r="F6887" s="5" t="n"/>
      <c r="G6887" s="5" t="n"/>
      <c r="H6887" s="5" t="n">
        <v>467</v>
      </c>
      <c r="I6887" s="5" t="n">
        <v>239</v>
      </c>
      <c r="J6887" s="5" t="n">
        <v>223</v>
      </c>
      <c r="K6887" s="10">
        <f>IF(F6887&gt;0,H6887/F6887,"")</f>
        <v/>
      </c>
      <c r="L6887" s="16">
        <f>IF(AND(G6887&gt;0,H6887&gt;0),G6887/H6887,"")</f>
        <v/>
      </c>
    </row>
    <row r="6888">
      <c r="A6888" s="4" t="inlineStr">
        <is>
          <t>405</t>
        </is>
      </c>
      <c r="B6888" s="4" t="n">
        <v>4</v>
      </c>
      <c r="C6888" s="4" t="inlineStr">
        <is>
          <t>mule deer</t>
        </is>
      </c>
      <c r="D6888" s="4" t="n">
        <v>2013</v>
      </c>
      <c r="E6888" s="13" t="inlineStr">
        <is>
          <t>General</t>
        </is>
      </c>
      <c r="F6888" s="5" t="n">
        <v>936</v>
      </c>
      <c r="G6888" s="5" t="n">
        <v>3875</v>
      </c>
      <c r="H6888" s="5" t="n">
        <v>549</v>
      </c>
      <c r="I6888" s="5" t="n">
        <v>372</v>
      </c>
      <c r="J6888" s="5" t="n">
        <v>173</v>
      </c>
      <c r="K6888" s="10">
        <f>IF(F6888&gt;0,H6888/F6888,"")</f>
        <v/>
      </c>
      <c r="L6888" s="16">
        <f>IF(AND(G6888&gt;0,H6888&gt;0),G6888/H6888,"")</f>
        <v/>
      </c>
    </row>
    <row r="6889">
      <c r="A6889" s="4" t="inlineStr">
        <is>
          <t>405</t>
        </is>
      </c>
      <c r="B6889" s="4" t="n">
        <v>4</v>
      </c>
      <c r="C6889" s="4" t="inlineStr">
        <is>
          <t>mule deer</t>
        </is>
      </c>
      <c r="D6889" s="4" t="n">
        <v>2014</v>
      </c>
      <c r="E6889" s="13" t="inlineStr">
        <is>
          <t>General</t>
        </is>
      </c>
      <c r="F6889" s="5" t="n"/>
      <c r="G6889" s="5" t="n"/>
      <c r="H6889" s="5" t="n">
        <v>426</v>
      </c>
      <c r="I6889" s="5" t="n">
        <v>337</v>
      </c>
      <c r="J6889" s="5" t="n">
        <v>88</v>
      </c>
      <c r="K6889" s="10">
        <f>IF(F6889&gt;0,H6889/F6889,"")</f>
        <v/>
      </c>
      <c r="L6889" s="16">
        <f>IF(AND(G6889&gt;0,H6889&gt;0),G6889/H6889,"")</f>
        <v/>
      </c>
    </row>
    <row r="6890">
      <c r="A6890" s="4" t="inlineStr">
        <is>
          <t>405</t>
        </is>
      </c>
      <c r="B6890" s="4" t="n">
        <v>4</v>
      </c>
      <c r="C6890" s="4" t="inlineStr">
        <is>
          <t>mule deer</t>
        </is>
      </c>
      <c r="D6890" s="4" t="n">
        <v>2015</v>
      </c>
      <c r="E6890" s="13" t="inlineStr">
        <is>
          <t>General</t>
        </is>
      </c>
      <c r="F6890" s="5" t="n"/>
      <c r="G6890" s="5" t="n"/>
      <c r="H6890" s="5" t="n">
        <v>507</v>
      </c>
      <c r="I6890" s="5" t="n">
        <v>396</v>
      </c>
      <c r="J6890" s="5" t="n">
        <v>111</v>
      </c>
      <c r="K6890" s="10">
        <f>IF(F6890&gt;0,H6890/F6890,"")</f>
        <v/>
      </c>
      <c r="L6890" s="16">
        <f>IF(AND(G6890&gt;0,H6890&gt;0),G6890/H6890,"")</f>
        <v/>
      </c>
    </row>
    <row r="6891">
      <c r="A6891" s="4" t="inlineStr">
        <is>
          <t>405</t>
        </is>
      </c>
      <c r="B6891" s="4" t="n">
        <v>4</v>
      </c>
      <c r="C6891" s="4" t="inlineStr">
        <is>
          <t>mule deer</t>
        </is>
      </c>
      <c r="D6891" s="4" t="n">
        <v>2016</v>
      </c>
      <c r="E6891" s="13" t="inlineStr">
        <is>
          <t>General</t>
        </is>
      </c>
      <c r="F6891" s="5" t="n"/>
      <c r="G6891" s="5" t="n"/>
      <c r="H6891" s="5" t="n">
        <v>617</v>
      </c>
      <c r="I6891" s="5" t="n">
        <v>490</v>
      </c>
      <c r="J6891" s="5" t="n">
        <v>123</v>
      </c>
      <c r="K6891" s="10">
        <f>IF(F6891&gt;0,H6891/F6891,"")</f>
        <v/>
      </c>
      <c r="L6891" s="16">
        <f>IF(AND(G6891&gt;0,H6891&gt;0),G6891/H6891,"")</f>
        <v/>
      </c>
    </row>
    <row r="6892">
      <c r="A6892" s="4" t="inlineStr">
        <is>
          <t>405</t>
        </is>
      </c>
      <c r="B6892" s="4" t="n">
        <v>4</v>
      </c>
      <c r="C6892" s="4" t="inlineStr">
        <is>
          <t>mule deer</t>
        </is>
      </c>
      <c r="D6892" s="4" t="n">
        <v>2017</v>
      </c>
      <c r="E6892" s="13" t="inlineStr">
        <is>
          <t>General</t>
        </is>
      </c>
      <c r="F6892" s="5" t="n">
        <v>1031</v>
      </c>
      <c r="G6892" s="5" t="n">
        <v>4474</v>
      </c>
      <c r="H6892" s="5" t="n">
        <v>721</v>
      </c>
      <c r="I6892" s="5" t="n">
        <v>421</v>
      </c>
      <c r="J6892" s="5" t="n">
        <v>295</v>
      </c>
      <c r="K6892" s="10">
        <f>IF(F6892&gt;0,H6892/F6892,"")</f>
        <v/>
      </c>
      <c r="L6892" s="16">
        <f>IF(AND(G6892&gt;0,H6892&gt;0),G6892/H6892,"")</f>
        <v/>
      </c>
    </row>
    <row r="6893">
      <c r="A6893" s="4" t="inlineStr">
        <is>
          <t>405</t>
        </is>
      </c>
      <c r="B6893" s="4" t="n">
        <v>4</v>
      </c>
      <c r="C6893" s="4" t="inlineStr">
        <is>
          <t>mule deer</t>
        </is>
      </c>
      <c r="D6893" s="4" t="n">
        <v>2018</v>
      </c>
      <c r="E6893" s="13" t="inlineStr">
        <is>
          <t>General</t>
        </is>
      </c>
      <c r="F6893" s="5" t="n"/>
      <c r="G6893" s="5" t="n"/>
      <c r="H6893" s="5" t="n">
        <v>688</v>
      </c>
      <c r="I6893" s="5" t="n">
        <v>434</v>
      </c>
      <c r="J6893" s="5" t="n">
        <v>248</v>
      </c>
      <c r="K6893" s="10">
        <f>IF(F6893&gt;0,H6893/F6893,"")</f>
        <v/>
      </c>
      <c r="L6893" s="16">
        <f>IF(AND(G6893&gt;0,H6893&gt;0),G6893/H6893,"")</f>
        <v/>
      </c>
    </row>
    <row r="6894">
      <c r="A6894" s="4" t="inlineStr">
        <is>
          <t>405</t>
        </is>
      </c>
      <c r="B6894" s="4" t="n">
        <v>4</v>
      </c>
      <c r="C6894" s="4" t="inlineStr">
        <is>
          <t>mule deer</t>
        </is>
      </c>
      <c r="D6894" s="4" t="n">
        <v>2019</v>
      </c>
      <c r="E6894" s="13" t="inlineStr">
        <is>
          <t>General</t>
        </is>
      </c>
      <c r="F6894" s="5" t="n">
        <v>977</v>
      </c>
      <c r="G6894" s="5" t="n">
        <v>4226</v>
      </c>
      <c r="H6894" s="5" t="n">
        <v>562</v>
      </c>
      <c r="I6894" s="5" t="n">
        <v>346</v>
      </c>
      <c r="J6894" s="5" t="n">
        <v>213</v>
      </c>
      <c r="K6894" s="10">
        <f>IF(F6894&gt;0,H6894/F6894,"")</f>
        <v/>
      </c>
      <c r="L6894" s="16">
        <f>IF(AND(G6894&gt;0,H6894&gt;0),G6894/H6894,"")</f>
        <v/>
      </c>
    </row>
    <row r="6895">
      <c r="A6895" s="4" t="inlineStr">
        <is>
          <t>405</t>
        </is>
      </c>
      <c r="B6895" s="4" t="n">
        <v>4</v>
      </c>
      <c r="C6895" s="4" t="inlineStr">
        <is>
          <t>mule deer</t>
        </is>
      </c>
      <c r="D6895" s="4" t="n">
        <v>2020</v>
      </c>
      <c r="E6895" s="13" t="inlineStr">
        <is>
          <t>General</t>
        </is>
      </c>
      <c r="F6895" s="5" t="n"/>
      <c r="G6895" s="5" t="n"/>
      <c r="H6895" s="5" t="n">
        <v>660</v>
      </c>
      <c r="I6895" s="5" t="n">
        <v>420</v>
      </c>
      <c r="J6895" s="5" t="n">
        <v>237</v>
      </c>
      <c r="K6895" s="10">
        <f>IF(F6895&gt;0,H6895/F6895,"")</f>
        <v/>
      </c>
      <c r="L6895" s="16">
        <f>IF(AND(G6895&gt;0,H6895&gt;0),G6895/H6895,"")</f>
        <v/>
      </c>
    </row>
    <row r="6896">
      <c r="A6896" s="4" t="inlineStr">
        <is>
          <t>405</t>
        </is>
      </c>
      <c r="B6896" s="4" t="n">
        <v>4</v>
      </c>
      <c r="C6896" s="4" t="inlineStr">
        <is>
          <t>mule deer</t>
        </is>
      </c>
      <c r="D6896" s="4" t="n">
        <v>2021</v>
      </c>
      <c r="E6896" s="13" t="inlineStr">
        <is>
          <t>General</t>
        </is>
      </c>
      <c r="F6896" s="5" t="n">
        <v>968</v>
      </c>
      <c r="G6896" s="5" t="n">
        <v>4767</v>
      </c>
      <c r="H6896" s="5" t="n">
        <v>574</v>
      </c>
      <c r="I6896" s="5" t="n">
        <v>362</v>
      </c>
      <c r="J6896" s="5" t="n">
        <v>212</v>
      </c>
      <c r="K6896" s="10">
        <f>IF(F6896&gt;0,H6896/F6896,"")</f>
        <v/>
      </c>
      <c r="L6896" s="16">
        <f>IF(AND(G6896&gt;0,H6896&gt;0),G6896/H6896,"")</f>
        <v/>
      </c>
    </row>
    <row r="6897">
      <c r="A6897" s="4" t="inlineStr">
        <is>
          <t>405</t>
        </is>
      </c>
      <c r="B6897" s="4" t="n">
        <v>4</v>
      </c>
      <c r="C6897" s="4" t="inlineStr">
        <is>
          <t>mule deer</t>
        </is>
      </c>
      <c r="D6897" s="4" t="n">
        <v>2022</v>
      </c>
      <c r="E6897" s="13" t="inlineStr">
        <is>
          <t>General</t>
        </is>
      </c>
      <c r="F6897" s="5" t="n"/>
      <c r="G6897" s="5" t="n"/>
      <c r="H6897" s="5" t="n">
        <v>682</v>
      </c>
      <c r="I6897" s="5" t="n">
        <v>448</v>
      </c>
      <c r="J6897" s="5" t="n">
        <v>228</v>
      </c>
      <c r="K6897" s="10">
        <f>IF(F6897&gt;0,H6897/F6897,"")</f>
        <v/>
      </c>
      <c r="L6897" s="16">
        <f>IF(AND(G6897&gt;0,H6897&gt;0),G6897/H6897,"")</f>
        <v/>
      </c>
    </row>
    <row r="6898">
      <c r="A6898" s="4" t="inlineStr">
        <is>
          <t>405</t>
        </is>
      </c>
      <c r="B6898" s="4" t="n">
        <v>4</v>
      </c>
      <c r="C6898" s="4" t="inlineStr">
        <is>
          <t>mule deer</t>
        </is>
      </c>
      <c r="D6898" s="4" t="n">
        <v>2023</v>
      </c>
      <c r="E6898" s="13" t="inlineStr">
        <is>
          <t>General</t>
        </is>
      </c>
      <c r="F6898" s="5" t="n">
        <v>1131</v>
      </c>
      <c r="G6898" s="5" t="n">
        <v>5253</v>
      </c>
      <c r="H6898" s="5" t="n">
        <v>583</v>
      </c>
      <c r="I6898" s="5" t="n">
        <v>396</v>
      </c>
      <c r="J6898" s="5" t="n">
        <v>187</v>
      </c>
      <c r="K6898" s="10">
        <f>IF(F6898&gt;0,H6898/F6898,"")</f>
        <v/>
      </c>
      <c r="L6898" s="16">
        <f>IF(AND(G6898&gt;0,H6898&gt;0),G6898/H6898,"")</f>
        <v/>
      </c>
    </row>
    <row r="6899">
      <c r="A6899" s="4" t="inlineStr">
        <is>
          <t>405</t>
        </is>
      </c>
      <c r="B6899" s="4" t="n">
        <v>4</v>
      </c>
      <c r="C6899" s="4" t="inlineStr">
        <is>
          <t>mule deer</t>
        </is>
      </c>
      <c r="D6899" s="4" t="n">
        <v>2024</v>
      </c>
      <c r="E6899" s="13" t="inlineStr">
        <is>
          <t>General</t>
        </is>
      </c>
      <c r="F6899" s="5" t="n"/>
      <c r="G6899" s="5" t="n"/>
      <c r="H6899" s="5" t="n">
        <v>698</v>
      </c>
      <c r="I6899" s="5" t="n">
        <v>380</v>
      </c>
      <c r="J6899" s="5" t="n">
        <v>307</v>
      </c>
      <c r="K6899" s="10">
        <f>IF(F6899&gt;0,H6899/F6899,"")</f>
        <v/>
      </c>
      <c r="L6899" s="16">
        <f>IF(AND(G6899&gt;0,H6899&gt;0),G6899/H6899,"")</f>
        <v/>
      </c>
    </row>
    <row r="6900">
      <c r="A6900" s="4" t="inlineStr">
        <is>
          <t>405</t>
        </is>
      </c>
      <c r="B6900" s="4" t="n">
        <v>4</v>
      </c>
      <c r="C6900" s="4" t="inlineStr">
        <is>
          <t>mule deer</t>
        </is>
      </c>
      <c r="D6900" s="4" t="n">
        <v>2025</v>
      </c>
      <c r="E6900" s="13" t="inlineStr">
        <is>
          <t>General</t>
        </is>
      </c>
      <c r="F6900" s="5" t="n">
        <v>1279</v>
      </c>
      <c r="G6900" s="5" t="n">
        <v>6315</v>
      </c>
      <c r="H6900" s="5" t="n">
        <v>588</v>
      </c>
      <c r="I6900" s="5" t="n">
        <v>380</v>
      </c>
      <c r="J6900" s="5" t="n">
        <v>202</v>
      </c>
      <c r="K6900" s="10">
        <f>IF(F6900&gt;0,H6900/F6900,"")</f>
        <v/>
      </c>
      <c r="L6900" s="16">
        <f>IF(AND(G6900&gt;0,H6900&gt;0),G6900/H6900,"")</f>
        <v/>
      </c>
    </row>
    <row r="6901">
      <c r="A6901" s="4" t="inlineStr">
        <is>
          <t>406</t>
        </is>
      </c>
      <c r="B6901" s="4" t="n">
        <v>4</v>
      </c>
      <c r="C6901" s="4" t="inlineStr">
        <is>
          <t>mule deer</t>
        </is>
      </c>
      <c r="D6901" s="4" t="n">
        <v>2004</v>
      </c>
      <c r="E6901" s="13" t="inlineStr">
        <is>
          <t>General</t>
        </is>
      </c>
      <c r="F6901" s="5" t="n">
        <v>745</v>
      </c>
      <c r="G6901" s="5" t="n">
        <v>3282</v>
      </c>
      <c r="H6901" s="5" t="n">
        <v>414</v>
      </c>
      <c r="I6901" s="5" t="n">
        <v>214</v>
      </c>
      <c r="J6901" s="5" t="n">
        <v>194</v>
      </c>
      <c r="K6901" s="10">
        <f>IF(F6901&gt;0,H6901/F6901,"")</f>
        <v/>
      </c>
      <c r="L6901" s="16">
        <f>IF(AND(G6901&gt;0,H6901&gt;0),G6901/H6901,"")</f>
        <v/>
      </c>
    </row>
    <row r="6902">
      <c r="A6902" s="4" t="inlineStr">
        <is>
          <t>406</t>
        </is>
      </c>
      <c r="B6902" s="4" t="n">
        <v>4</v>
      </c>
      <c r="C6902" s="4" t="inlineStr">
        <is>
          <t>mule deer</t>
        </is>
      </c>
      <c r="D6902" s="4" t="n">
        <v>2005</v>
      </c>
      <c r="E6902" s="13" t="inlineStr">
        <is>
          <t>General</t>
        </is>
      </c>
      <c r="F6902" s="5" t="n">
        <v>771</v>
      </c>
      <c r="G6902" s="5" t="n">
        <v>3406</v>
      </c>
      <c r="H6902" s="5" t="n">
        <v>387</v>
      </c>
      <c r="I6902" s="5" t="n">
        <v>191</v>
      </c>
      <c r="J6902" s="5" t="n">
        <v>196</v>
      </c>
      <c r="K6902" s="10">
        <f>IF(F6902&gt;0,H6902/F6902,"")</f>
        <v/>
      </c>
      <c r="L6902" s="16">
        <f>IF(AND(G6902&gt;0,H6902&gt;0),G6902/H6902,"")</f>
        <v/>
      </c>
    </row>
    <row r="6903">
      <c r="A6903" s="4" t="inlineStr">
        <is>
          <t>406</t>
        </is>
      </c>
      <c r="B6903" s="4" t="n">
        <v>4</v>
      </c>
      <c r="C6903" s="4" t="inlineStr">
        <is>
          <t>mule deer</t>
        </is>
      </c>
      <c r="D6903" s="4" t="n">
        <v>2006</v>
      </c>
      <c r="E6903" s="13" t="inlineStr">
        <is>
          <t>General</t>
        </is>
      </c>
      <c r="F6903" s="5" t="n">
        <v>864</v>
      </c>
      <c r="G6903" s="5" t="n">
        <v>3905</v>
      </c>
      <c r="H6903" s="5" t="n">
        <v>473</v>
      </c>
      <c r="I6903" s="5" t="n">
        <v>260</v>
      </c>
      <c r="J6903" s="5" t="n">
        <v>209</v>
      </c>
      <c r="K6903" s="10">
        <f>IF(F6903&gt;0,H6903/F6903,"")</f>
        <v/>
      </c>
      <c r="L6903" s="16">
        <f>IF(AND(G6903&gt;0,H6903&gt;0),G6903/H6903,"")</f>
        <v/>
      </c>
    </row>
    <row r="6904">
      <c r="A6904" s="4" t="inlineStr">
        <is>
          <t>406</t>
        </is>
      </c>
      <c r="B6904" s="4" t="n">
        <v>4</v>
      </c>
      <c r="C6904" s="4" t="inlineStr">
        <is>
          <t>mule deer</t>
        </is>
      </c>
      <c r="D6904" s="4" t="n">
        <v>2007</v>
      </c>
      <c r="E6904" s="13" t="inlineStr">
        <is>
          <t>General</t>
        </is>
      </c>
      <c r="F6904" s="5" t="n">
        <v>763</v>
      </c>
      <c r="G6904" s="5" t="n">
        <v>3743</v>
      </c>
      <c r="H6904" s="5" t="n">
        <v>431</v>
      </c>
      <c r="I6904" s="5" t="n">
        <v>181</v>
      </c>
      <c r="J6904" s="5" t="n">
        <v>250</v>
      </c>
      <c r="K6904" s="10">
        <f>IF(F6904&gt;0,H6904/F6904,"")</f>
        <v/>
      </c>
      <c r="L6904" s="16">
        <f>IF(AND(G6904&gt;0,H6904&gt;0),G6904/H6904,"")</f>
        <v/>
      </c>
    </row>
    <row r="6905">
      <c r="A6905" s="4" t="inlineStr">
        <is>
          <t>406</t>
        </is>
      </c>
      <c r="B6905" s="4" t="n">
        <v>4</v>
      </c>
      <c r="C6905" s="4" t="inlineStr">
        <is>
          <t>mule deer</t>
        </is>
      </c>
      <c r="D6905" s="4" t="n">
        <v>2008</v>
      </c>
      <c r="E6905" s="13" t="inlineStr">
        <is>
          <t>General</t>
        </is>
      </c>
      <c r="F6905" s="5" t="n">
        <v>896</v>
      </c>
      <c r="G6905" s="5" t="n">
        <v>4375</v>
      </c>
      <c r="H6905" s="5" t="n">
        <v>441</v>
      </c>
      <c r="I6905" s="5" t="n">
        <v>204</v>
      </c>
      <c r="J6905" s="5" t="n">
        <v>232</v>
      </c>
      <c r="K6905" s="10">
        <f>IF(F6905&gt;0,H6905/F6905,"")</f>
        <v/>
      </c>
      <c r="L6905" s="16">
        <f>IF(AND(G6905&gt;0,H6905&gt;0),G6905/H6905,"")</f>
        <v/>
      </c>
    </row>
    <row r="6906">
      <c r="A6906" s="4" t="inlineStr">
        <is>
          <t>406</t>
        </is>
      </c>
      <c r="B6906" s="4" t="n">
        <v>4</v>
      </c>
      <c r="C6906" s="4" t="inlineStr">
        <is>
          <t>mule deer</t>
        </is>
      </c>
      <c r="D6906" s="4" t="n">
        <v>2009</v>
      </c>
      <c r="E6906" s="13" t="inlineStr">
        <is>
          <t>General</t>
        </is>
      </c>
      <c r="F6906" s="5" t="n">
        <v>928</v>
      </c>
      <c r="G6906" s="5" t="n">
        <v>4031</v>
      </c>
      <c r="H6906" s="5" t="n">
        <v>314</v>
      </c>
      <c r="I6906" s="5" t="n">
        <v>154</v>
      </c>
      <c r="J6906" s="5" t="n">
        <v>159</v>
      </c>
      <c r="K6906" s="10">
        <f>IF(F6906&gt;0,H6906/F6906,"")</f>
        <v/>
      </c>
      <c r="L6906" s="16">
        <f>IF(AND(G6906&gt;0,H6906&gt;0),G6906/H6906,"")</f>
        <v/>
      </c>
    </row>
    <row r="6907">
      <c r="A6907" s="4" t="inlineStr">
        <is>
          <t>406</t>
        </is>
      </c>
      <c r="B6907" s="4" t="n">
        <v>4</v>
      </c>
      <c r="C6907" s="4" t="inlineStr">
        <is>
          <t>mule deer</t>
        </is>
      </c>
      <c r="D6907" s="4" t="n">
        <v>2010</v>
      </c>
      <c r="E6907" s="13" t="inlineStr">
        <is>
          <t>General</t>
        </is>
      </c>
      <c r="F6907" s="5" t="n">
        <v>981</v>
      </c>
      <c r="G6907" s="5" t="n">
        <v>4690</v>
      </c>
      <c r="H6907" s="5" t="n">
        <v>317</v>
      </c>
      <c r="I6907" s="5" t="n">
        <v>163</v>
      </c>
      <c r="J6907" s="5" t="n">
        <v>149</v>
      </c>
      <c r="K6907" s="10">
        <f>IF(F6907&gt;0,H6907/F6907,"")</f>
        <v/>
      </c>
      <c r="L6907" s="16">
        <f>IF(AND(G6907&gt;0,H6907&gt;0),G6907/H6907,"")</f>
        <v/>
      </c>
    </row>
    <row r="6908">
      <c r="A6908" s="4" t="inlineStr">
        <is>
          <t>406</t>
        </is>
      </c>
      <c r="B6908" s="4" t="n">
        <v>4</v>
      </c>
      <c r="C6908" s="4" t="inlineStr">
        <is>
          <t>mule deer</t>
        </is>
      </c>
      <c r="D6908" s="4" t="n">
        <v>2011</v>
      </c>
      <c r="E6908" s="13" t="inlineStr">
        <is>
          <t>General</t>
        </is>
      </c>
      <c r="F6908" s="5" t="n">
        <v>901</v>
      </c>
      <c r="G6908" s="5" t="n">
        <v>4648</v>
      </c>
      <c r="H6908" s="5" t="n">
        <v>247</v>
      </c>
      <c r="I6908" s="5" t="n">
        <v>130</v>
      </c>
      <c r="J6908" s="5" t="n">
        <v>115</v>
      </c>
      <c r="K6908" s="10">
        <f>IF(F6908&gt;0,H6908/F6908,"")</f>
        <v/>
      </c>
      <c r="L6908" s="16">
        <f>IF(AND(G6908&gt;0,H6908&gt;0),G6908/H6908,"")</f>
        <v/>
      </c>
    </row>
    <row r="6909">
      <c r="A6909" s="4" t="inlineStr">
        <is>
          <t>406</t>
        </is>
      </c>
      <c r="B6909" s="4" t="n">
        <v>4</v>
      </c>
      <c r="C6909" s="4" t="inlineStr">
        <is>
          <t>mule deer</t>
        </is>
      </c>
      <c r="D6909" s="4" t="n">
        <v>2012</v>
      </c>
      <c r="E6909" s="13" t="inlineStr">
        <is>
          <t>General</t>
        </is>
      </c>
      <c r="F6909" s="5" t="n"/>
      <c r="G6909" s="5" t="n"/>
      <c r="H6909" s="5" t="n">
        <v>163</v>
      </c>
      <c r="I6909" s="5" t="n">
        <v>112</v>
      </c>
      <c r="J6909" s="5" t="n">
        <v>51</v>
      </c>
      <c r="K6909" s="10">
        <f>IF(F6909&gt;0,H6909/F6909,"")</f>
        <v/>
      </c>
      <c r="L6909" s="16">
        <f>IF(AND(G6909&gt;0,H6909&gt;0),G6909/H6909,"")</f>
        <v/>
      </c>
    </row>
    <row r="6910">
      <c r="A6910" s="4" t="inlineStr">
        <is>
          <t>406</t>
        </is>
      </c>
      <c r="B6910" s="4" t="n">
        <v>4</v>
      </c>
      <c r="C6910" s="4" t="inlineStr">
        <is>
          <t>mule deer</t>
        </is>
      </c>
      <c r="D6910" s="4" t="n">
        <v>2013</v>
      </c>
      <c r="E6910" s="13" t="inlineStr">
        <is>
          <t>General</t>
        </is>
      </c>
      <c r="F6910" s="5" t="n">
        <v>730</v>
      </c>
      <c r="G6910" s="5" t="n">
        <v>3292</v>
      </c>
      <c r="H6910" s="5" t="n">
        <v>190</v>
      </c>
      <c r="I6910" s="5" t="n">
        <v>155</v>
      </c>
      <c r="J6910" s="5" t="n">
        <v>35</v>
      </c>
      <c r="K6910" s="10">
        <f>IF(F6910&gt;0,H6910/F6910,"")</f>
        <v/>
      </c>
      <c r="L6910" s="16">
        <f>IF(AND(G6910&gt;0,H6910&gt;0),G6910/H6910,"")</f>
        <v/>
      </c>
    </row>
    <row r="6911">
      <c r="A6911" s="4" t="inlineStr">
        <is>
          <t>406</t>
        </is>
      </c>
      <c r="B6911" s="4" t="n">
        <v>4</v>
      </c>
      <c r="C6911" s="4" t="inlineStr">
        <is>
          <t>mule deer</t>
        </is>
      </c>
      <c r="D6911" s="4" t="n">
        <v>2014</v>
      </c>
      <c r="E6911" s="13" t="inlineStr">
        <is>
          <t>General</t>
        </is>
      </c>
      <c r="F6911" s="5" t="n"/>
      <c r="G6911" s="5" t="n"/>
      <c r="H6911" s="5" t="n">
        <v>182</v>
      </c>
      <c r="I6911" s="5" t="n">
        <v>150</v>
      </c>
      <c r="J6911" s="5" t="n">
        <v>30</v>
      </c>
      <c r="K6911" s="10">
        <f>IF(F6911&gt;0,H6911/F6911,"")</f>
        <v/>
      </c>
      <c r="L6911" s="16">
        <f>IF(AND(G6911&gt;0,H6911&gt;0),G6911/H6911,"")</f>
        <v/>
      </c>
    </row>
    <row r="6912">
      <c r="A6912" s="4" t="inlineStr">
        <is>
          <t>406</t>
        </is>
      </c>
      <c r="B6912" s="4" t="n">
        <v>4</v>
      </c>
      <c r="C6912" s="4" t="inlineStr">
        <is>
          <t>mule deer</t>
        </is>
      </c>
      <c r="D6912" s="4" t="n">
        <v>2015</v>
      </c>
      <c r="E6912" s="13" t="inlineStr">
        <is>
          <t>General</t>
        </is>
      </c>
      <c r="F6912" s="5" t="n"/>
      <c r="G6912" s="5" t="n"/>
      <c r="H6912" s="5" t="n">
        <v>279</v>
      </c>
      <c r="I6912" s="5" t="n">
        <v>216</v>
      </c>
      <c r="J6912" s="5" t="n">
        <v>63</v>
      </c>
      <c r="K6912" s="10">
        <f>IF(F6912&gt;0,H6912/F6912,"")</f>
        <v/>
      </c>
      <c r="L6912" s="16">
        <f>IF(AND(G6912&gt;0,H6912&gt;0),G6912/H6912,"")</f>
        <v/>
      </c>
    </row>
    <row r="6913">
      <c r="A6913" s="4" t="inlineStr">
        <is>
          <t>406</t>
        </is>
      </c>
      <c r="B6913" s="4" t="n">
        <v>4</v>
      </c>
      <c r="C6913" s="4" t="inlineStr">
        <is>
          <t>mule deer</t>
        </is>
      </c>
      <c r="D6913" s="4" t="n">
        <v>2016</v>
      </c>
      <c r="E6913" s="13" t="inlineStr">
        <is>
          <t>General</t>
        </is>
      </c>
      <c r="F6913" s="5" t="n"/>
      <c r="G6913" s="5" t="n"/>
      <c r="H6913" s="5" t="n">
        <v>259</v>
      </c>
      <c r="I6913" s="5" t="n">
        <v>187</v>
      </c>
      <c r="J6913" s="5" t="n">
        <v>71</v>
      </c>
      <c r="K6913" s="10">
        <f>IF(F6913&gt;0,H6913/F6913,"")</f>
        <v/>
      </c>
      <c r="L6913" s="16">
        <f>IF(AND(G6913&gt;0,H6913&gt;0),G6913/H6913,"")</f>
        <v/>
      </c>
    </row>
    <row r="6914">
      <c r="A6914" s="4" t="inlineStr">
        <is>
          <t>406</t>
        </is>
      </c>
      <c r="B6914" s="4" t="n">
        <v>4</v>
      </c>
      <c r="C6914" s="4" t="inlineStr">
        <is>
          <t>mule deer</t>
        </is>
      </c>
      <c r="D6914" s="4" t="n">
        <v>2017</v>
      </c>
      <c r="E6914" s="13" t="inlineStr">
        <is>
          <t>General</t>
        </is>
      </c>
      <c r="F6914" s="5" t="n">
        <v>757</v>
      </c>
      <c r="G6914" s="5" t="n">
        <v>3690</v>
      </c>
      <c r="H6914" s="5" t="n">
        <v>254</v>
      </c>
      <c r="I6914" s="5" t="n">
        <v>177</v>
      </c>
      <c r="J6914" s="5" t="n">
        <v>74</v>
      </c>
      <c r="K6914" s="10">
        <f>IF(F6914&gt;0,H6914/F6914,"")</f>
        <v/>
      </c>
      <c r="L6914" s="16">
        <f>IF(AND(G6914&gt;0,H6914&gt;0),G6914/H6914,"")</f>
        <v/>
      </c>
    </row>
    <row r="6915">
      <c r="A6915" s="4" t="inlineStr">
        <is>
          <t>406</t>
        </is>
      </c>
      <c r="B6915" s="4" t="n">
        <v>4</v>
      </c>
      <c r="C6915" s="4" t="inlineStr">
        <is>
          <t>mule deer</t>
        </is>
      </c>
      <c r="D6915" s="4" t="n">
        <v>2018</v>
      </c>
      <c r="E6915" s="13" t="inlineStr">
        <is>
          <t>General</t>
        </is>
      </c>
      <c r="F6915" s="5" t="n"/>
      <c r="G6915" s="5" t="n"/>
      <c r="H6915" s="5" t="n">
        <v>241</v>
      </c>
      <c r="I6915" s="5" t="n">
        <v>186</v>
      </c>
      <c r="J6915" s="5" t="n">
        <v>54</v>
      </c>
      <c r="K6915" s="10">
        <f>IF(F6915&gt;0,H6915/F6915,"")</f>
        <v/>
      </c>
      <c r="L6915" s="16">
        <f>IF(AND(G6915&gt;0,H6915&gt;0),G6915/H6915,"")</f>
        <v/>
      </c>
    </row>
    <row r="6916">
      <c r="A6916" s="4" t="inlineStr">
        <is>
          <t>406</t>
        </is>
      </c>
      <c r="B6916" s="4" t="n">
        <v>4</v>
      </c>
      <c r="C6916" s="4" t="inlineStr">
        <is>
          <t>mule deer</t>
        </is>
      </c>
      <c r="D6916" s="4" t="n">
        <v>2019</v>
      </c>
      <c r="E6916" s="13" t="inlineStr">
        <is>
          <t>General</t>
        </is>
      </c>
      <c r="F6916" s="5" t="n">
        <v>778</v>
      </c>
      <c r="G6916" s="5" t="n">
        <v>3272</v>
      </c>
      <c r="H6916" s="5" t="n">
        <v>285</v>
      </c>
      <c r="I6916" s="5" t="n">
        <v>211</v>
      </c>
      <c r="J6916" s="5" t="n">
        <v>65</v>
      </c>
      <c r="K6916" s="10">
        <f>IF(F6916&gt;0,H6916/F6916,"")</f>
        <v/>
      </c>
      <c r="L6916" s="16">
        <f>IF(AND(G6916&gt;0,H6916&gt;0),G6916/H6916,"")</f>
        <v/>
      </c>
    </row>
    <row r="6917">
      <c r="A6917" s="4" t="inlineStr">
        <is>
          <t>406</t>
        </is>
      </c>
      <c r="B6917" s="4" t="n">
        <v>4</v>
      </c>
      <c r="C6917" s="4" t="inlineStr">
        <is>
          <t>mule deer</t>
        </is>
      </c>
      <c r="D6917" s="4" t="n">
        <v>2020</v>
      </c>
      <c r="E6917" s="13" t="inlineStr">
        <is>
          <t>General</t>
        </is>
      </c>
      <c r="F6917" s="5" t="n"/>
      <c r="G6917" s="5" t="n"/>
      <c r="H6917" s="5" t="n">
        <v>258</v>
      </c>
      <c r="I6917" s="5" t="n">
        <v>165</v>
      </c>
      <c r="J6917" s="5" t="n">
        <v>86</v>
      </c>
      <c r="K6917" s="10">
        <f>IF(F6917&gt;0,H6917/F6917,"")</f>
        <v/>
      </c>
      <c r="L6917" s="16">
        <f>IF(AND(G6917&gt;0,H6917&gt;0),G6917/H6917,"")</f>
        <v/>
      </c>
    </row>
    <row r="6918">
      <c r="A6918" s="4" t="inlineStr">
        <is>
          <t>406</t>
        </is>
      </c>
      <c r="B6918" s="4" t="n">
        <v>4</v>
      </c>
      <c r="C6918" s="4" t="inlineStr">
        <is>
          <t>mule deer</t>
        </is>
      </c>
      <c r="D6918" s="4" t="n">
        <v>2021</v>
      </c>
      <c r="E6918" s="13" t="inlineStr">
        <is>
          <t>General</t>
        </is>
      </c>
      <c r="F6918" s="5" t="n">
        <v>620</v>
      </c>
      <c r="G6918" s="5" t="n">
        <v>3176</v>
      </c>
      <c r="H6918" s="5" t="n">
        <v>210</v>
      </c>
      <c r="I6918" s="5" t="n">
        <v>106</v>
      </c>
      <c r="J6918" s="5" t="n">
        <v>101</v>
      </c>
      <c r="K6918" s="10">
        <f>IF(F6918&gt;0,H6918/F6918,"")</f>
        <v/>
      </c>
      <c r="L6918" s="16">
        <f>IF(AND(G6918&gt;0,H6918&gt;0),G6918/H6918,"")</f>
        <v/>
      </c>
    </row>
    <row r="6919">
      <c r="A6919" s="4" t="inlineStr">
        <is>
          <t>406</t>
        </is>
      </c>
      <c r="B6919" s="4" t="n">
        <v>4</v>
      </c>
      <c r="C6919" s="4" t="inlineStr">
        <is>
          <t>mule deer</t>
        </is>
      </c>
      <c r="D6919" s="4" t="n">
        <v>2022</v>
      </c>
      <c r="E6919" s="13" t="inlineStr">
        <is>
          <t>General</t>
        </is>
      </c>
      <c r="F6919" s="5" t="n"/>
      <c r="G6919" s="5" t="n"/>
      <c r="H6919" s="5" t="n">
        <v>262</v>
      </c>
      <c r="I6919" s="5" t="n">
        <v>181</v>
      </c>
      <c r="J6919" s="5" t="n">
        <v>81</v>
      </c>
      <c r="K6919" s="10">
        <f>IF(F6919&gt;0,H6919/F6919,"")</f>
        <v/>
      </c>
      <c r="L6919" s="16">
        <f>IF(AND(G6919&gt;0,H6919&gt;0),G6919/H6919,"")</f>
        <v/>
      </c>
    </row>
    <row r="6920">
      <c r="A6920" s="4" t="inlineStr">
        <is>
          <t>406</t>
        </is>
      </c>
      <c r="B6920" s="4" t="n">
        <v>4</v>
      </c>
      <c r="C6920" s="4" t="inlineStr">
        <is>
          <t>mule deer</t>
        </is>
      </c>
      <c r="D6920" s="4" t="n">
        <v>2023</v>
      </c>
      <c r="E6920" s="13" t="inlineStr">
        <is>
          <t>General</t>
        </is>
      </c>
      <c r="F6920" s="5" t="n">
        <v>715</v>
      </c>
      <c r="G6920" s="5" t="n">
        <v>3328</v>
      </c>
      <c r="H6920" s="5" t="n">
        <v>275</v>
      </c>
      <c r="I6920" s="5" t="n">
        <v>182</v>
      </c>
      <c r="J6920" s="5" t="n">
        <v>93</v>
      </c>
      <c r="K6920" s="10">
        <f>IF(F6920&gt;0,H6920/F6920,"")</f>
        <v/>
      </c>
      <c r="L6920" s="16">
        <f>IF(AND(G6920&gt;0,H6920&gt;0),G6920/H6920,"")</f>
        <v/>
      </c>
    </row>
    <row r="6921">
      <c r="A6921" s="4" t="inlineStr">
        <is>
          <t>406</t>
        </is>
      </c>
      <c r="B6921" s="4" t="n">
        <v>4</v>
      </c>
      <c r="C6921" s="4" t="inlineStr">
        <is>
          <t>mule deer</t>
        </is>
      </c>
      <c r="D6921" s="4" t="n">
        <v>2024</v>
      </c>
      <c r="E6921" s="13" t="inlineStr">
        <is>
          <t>General</t>
        </is>
      </c>
      <c r="F6921" s="5" t="n"/>
      <c r="G6921" s="5" t="n"/>
      <c r="H6921" s="5" t="n">
        <v>297</v>
      </c>
      <c r="I6921" s="5" t="n">
        <v>196</v>
      </c>
      <c r="J6921" s="5" t="n">
        <v>101</v>
      </c>
      <c r="K6921" s="10">
        <f>IF(F6921&gt;0,H6921/F6921,"")</f>
        <v/>
      </c>
      <c r="L6921" s="16">
        <f>IF(AND(G6921&gt;0,H6921&gt;0),G6921/H6921,"")</f>
        <v/>
      </c>
    </row>
    <row r="6922">
      <c r="A6922" s="4" t="inlineStr">
        <is>
          <t>406</t>
        </is>
      </c>
      <c r="B6922" s="4" t="n">
        <v>4</v>
      </c>
      <c r="C6922" s="4" t="inlineStr">
        <is>
          <t>mule deer</t>
        </is>
      </c>
      <c r="D6922" s="4" t="n">
        <v>2025</v>
      </c>
      <c r="E6922" s="13" t="inlineStr">
        <is>
          <t>General</t>
        </is>
      </c>
      <c r="F6922" s="5" t="n">
        <v>731</v>
      </c>
      <c r="G6922" s="5" t="n">
        <v>3305</v>
      </c>
      <c r="H6922" s="5" t="n">
        <v>239</v>
      </c>
      <c r="I6922" s="5" t="n">
        <v>158</v>
      </c>
      <c r="J6922" s="5" t="n">
        <v>81</v>
      </c>
      <c r="K6922" s="10">
        <f>IF(F6922&gt;0,H6922/F6922,"")</f>
        <v/>
      </c>
      <c r="L6922" s="16">
        <f>IF(AND(G6922&gt;0,H6922&gt;0),G6922/H6922,"")</f>
        <v/>
      </c>
    </row>
    <row r="6923">
      <c r="A6923" s="4" t="inlineStr">
        <is>
          <t>410</t>
        </is>
      </c>
      <c r="B6923" s="4" t="n">
        <v>4</v>
      </c>
      <c r="C6923" s="4" t="inlineStr">
        <is>
          <t>mule deer</t>
        </is>
      </c>
      <c r="D6923" s="4" t="n">
        <v>2004</v>
      </c>
      <c r="E6923" s="15" t="inlineStr">
        <is>
          <t>Draw</t>
        </is>
      </c>
      <c r="F6923" s="5" t="n">
        <v>1731</v>
      </c>
      <c r="G6923" s="5" t="n">
        <v>8051</v>
      </c>
      <c r="H6923" s="5" t="n">
        <v>641</v>
      </c>
      <c r="I6923" s="5" t="n">
        <v>594</v>
      </c>
      <c r="J6923" s="5" t="n">
        <v>46</v>
      </c>
      <c r="K6923" s="10">
        <f>IF(F6923&gt;0,H6923/F6923,"")</f>
        <v/>
      </c>
      <c r="L6923" s="16">
        <f>IF(AND(G6923&gt;0,H6923&gt;0),G6923/H6923,"")</f>
        <v/>
      </c>
    </row>
    <row r="6924">
      <c r="A6924" s="4" t="inlineStr">
        <is>
          <t>410</t>
        </is>
      </c>
      <c r="B6924" s="4" t="n">
        <v>4</v>
      </c>
      <c r="C6924" s="4" t="inlineStr">
        <is>
          <t>mule deer</t>
        </is>
      </c>
      <c r="D6924" s="4" t="n">
        <v>2005</v>
      </c>
      <c r="E6924" s="15" t="inlineStr">
        <is>
          <t>Draw</t>
        </is>
      </c>
      <c r="F6924" s="5" t="n">
        <v>2103</v>
      </c>
      <c r="G6924" s="5" t="n">
        <v>11410</v>
      </c>
      <c r="H6924" s="5" t="n">
        <v>683</v>
      </c>
      <c r="I6924" s="5" t="n">
        <v>670</v>
      </c>
      <c r="J6924" s="5" t="n">
        <v>14</v>
      </c>
      <c r="K6924" s="10">
        <f>IF(F6924&gt;0,H6924/F6924,"")</f>
        <v/>
      </c>
      <c r="L6924" s="16">
        <f>IF(AND(G6924&gt;0,H6924&gt;0),G6924/H6924,"")</f>
        <v/>
      </c>
    </row>
    <row r="6925">
      <c r="A6925" s="4" t="inlineStr">
        <is>
          <t>410</t>
        </is>
      </c>
      <c r="B6925" s="4" t="n">
        <v>4</v>
      </c>
      <c r="C6925" s="4" t="inlineStr">
        <is>
          <t>mule deer</t>
        </is>
      </c>
      <c r="D6925" s="4" t="n">
        <v>2006</v>
      </c>
      <c r="E6925" s="15" t="inlineStr">
        <is>
          <t>Draw</t>
        </is>
      </c>
      <c r="F6925" s="5" t="n">
        <v>2225</v>
      </c>
      <c r="G6925" s="5" t="n">
        <v>11737</v>
      </c>
      <c r="H6925" s="5" t="n">
        <v>945</v>
      </c>
      <c r="I6925" s="5" t="n">
        <v>752</v>
      </c>
      <c r="J6925" s="5" t="n">
        <v>187</v>
      </c>
      <c r="K6925" s="10">
        <f>IF(F6925&gt;0,H6925/F6925,"")</f>
        <v/>
      </c>
      <c r="L6925" s="16">
        <f>IF(AND(G6925&gt;0,H6925&gt;0),G6925/H6925,"")</f>
        <v/>
      </c>
    </row>
    <row r="6926">
      <c r="A6926" s="4" t="inlineStr">
        <is>
          <t>410</t>
        </is>
      </c>
      <c r="B6926" s="4" t="n">
        <v>4</v>
      </c>
      <c r="C6926" s="4" t="inlineStr">
        <is>
          <t>mule deer</t>
        </is>
      </c>
      <c r="D6926" s="4" t="n">
        <v>2007</v>
      </c>
      <c r="E6926" s="15" t="inlineStr">
        <is>
          <t>Draw</t>
        </is>
      </c>
      <c r="F6926" s="5" t="n">
        <v>2240</v>
      </c>
      <c r="G6926" s="5" t="n">
        <v>11944</v>
      </c>
      <c r="H6926" s="5" t="n">
        <v>963</v>
      </c>
      <c r="I6926" s="5" t="n">
        <v>606</v>
      </c>
      <c r="J6926" s="5" t="n">
        <v>343</v>
      </c>
      <c r="K6926" s="10">
        <f>IF(F6926&gt;0,H6926/F6926,"")</f>
        <v/>
      </c>
      <c r="L6926" s="16">
        <f>IF(AND(G6926&gt;0,H6926&gt;0),G6926/H6926,"")</f>
        <v/>
      </c>
    </row>
    <row r="6927">
      <c r="A6927" s="4" t="inlineStr">
        <is>
          <t>410</t>
        </is>
      </c>
      <c r="B6927" s="4" t="n">
        <v>4</v>
      </c>
      <c r="C6927" s="4" t="inlineStr">
        <is>
          <t>mule deer</t>
        </is>
      </c>
      <c r="D6927" s="4" t="n">
        <v>2008</v>
      </c>
      <c r="E6927" s="15" t="inlineStr">
        <is>
          <t>Draw</t>
        </is>
      </c>
      <c r="F6927" s="5" t="n">
        <v>2103</v>
      </c>
      <c r="G6927" s="5" t="n">
        <v>10440</v>
      </c>
      <c r="H6927" s="5" t="n">
        <v>937</v>
      </c>
      <c r="I6927" s="5" t="n">
        <v>631</v>
      </c>
      <c r="J6927" s="5" t="n">
        <v>304</v>
      </c>
      <c r="K6927" s="10">
        <f>IF(F6927&gt;0,H6927/F6927,"")</f>
        <v/>
      </c>
      <c r="L6927" s="16">
        <f>IF(AND(G6927&gt;0,H6927&gt;0),G6927/H6927,"")</f>
        <v/>
      </c>
    </row>
    <row r="6928">
      <c r="A6928" s="4" t="inlineStr">
        <is>
          <t>410</t>
        </is>
      </c>
      <c r="B6928" s="4" t="n">
        <v>4</v>
      </c>
      <c r="C6928" s="4" t="inlineStr">
        <is>
          <t>mule deer</t>
        </is>
      </c>
      <c r="D6928" s="4" t="n">
        <v>2009</v>
      </c>
      <c r="E6928" s="15" t="inlineStr">
        <is>
          <t>Draw</t>
        </is>
      </c>
      <c r="F6928" s="5" t="n">
        <v>1993</v>
      </c>
      <c r="G6928" s="5" t="n">
        <v>9847</v>
      </c>
      <c r="H6928" s="5" t="n">
        <v>606</v>
      </c>
      <c r="I6928" s="5" t="n">
        <v>526</v>
      </c>
      <c r="J6928" s="5" t="n">
        <v>80</v>
      </c>
      <c r="K6928" s="10">
        <f>IF(F6928&gt;0,H6928/F6928,"")</f>
        <v/>
      </c>
      <c r="L6928" s="16">
        <f>IF(AND(G6928&gt;0,H6928&gt;0),G6928/H6928,"")</f>
        <v/>
      </c>
    </row>
    <row r="6929">
      <c r="A6929" s="4" t="inlineStr">
        <is>
          <t>410</t>
        </is>
      </c>
      <c r="B6929" s="4" t="n">
        <v>4</v>
      </c>
      <c r="C6929" s="4" t="inlineStr">
        <is>
          <t>mule deer</t>
        </is>
      </c>
      <c r="D6929" s="4" t="n">
        <v>2010</v>
      </c>
      <c r="E6929" s="15" t="inlineStr">
        <is>
          <t>Draw</t>
        </is>
      </c>
      <c r="F6929" s="5" t="n">
        <v>1653</v>
      </c>
      <c r="G6929" s="5" t="n">
        <v>8281</v>
      </c>
      <c r="H6929" s="5" t="n">
        <v>449</v>
      </c>
      <c r="I6929" s="5" t="n">
        <v>431</v>
      </c>
      <c r="J6929" s="5" t="n">
        <v>19</v>
      </c>
      <c r="K6929" s="10">
        <f>IF(F6929&gt;0,H6929/F6929,"")</f>
        <v/>
      </c>
      <c r="L6929" s="16">
        <f>IF(AND(G6929&gt;0,H6929&gt;0),G6929/H6929,"")</f>
        <v/>
      </c>
    </row>
    <row r="6930">
      <c r="A6930" s="4" t="inlineStr">
        <is>
          <t>410</t>
        </is>
      </c>
      <c r="B6930" s="4" t="n">
        <v>4</v>
      </c>
      <c r="C6930" s="4" t="inlineStr">
        <is>
          <t>mule deer</t>
        </is>
      </c>
      <c r="D6930" s="4" t="n">
        <v>2011</v>
      </c>
      <c r="E6930" s="15" t="inlineStr">
        <is>
          <t>Draw</t>
        </is>
      </c>
      <c r="F6930" s="5" t="n">
        <v>1608</v>
      </c>
      <c r="G6930" s="5" t="n">
        <v>8218</v>
      </c>
      <c r="H6930" s="5" t="n">
        <v>362</v>
      </c>
      <c r="I6930" s="5" t="n">
        <v>341</v>
      </c>
      <c r="J6930" s="5" t="n">
        <v>20</v>
      </c>
      <c r="K6930" s="10">
        <f>IF(F6930&gt;0,H6930/F6930,"")</f>
        <v/>
      </c>
      <c r="L6930" s="16">
        <f>IF(AND(G6930&gt;0,H6930&gt;0),G6930/H6930,"")</f>
        <v/>
      </c>
    </row>
    <row r="6931">
      <c r="A6931" s="4" t="inlineStr">
        <is>
          <t>410</t>
        </is>
      </c>
      <c r="B6931" s="4" t="n">
        <v>4</v>
      </c>
      <c r="C6931" s="4" t="inlineStr">
        <is>
          <t>mule deer</t>
        </is>
      </c>
      <c r="D6931" s="4" t="n">
        <v>2012</v>
      </c>
      <c r="E6931" s="15" t="inlineStr">
        <is>
          <t>Draw</t>
        </is>
      </c>
      <c r="F6931" s="5" t="n"/>
      <c r="G6931" s="5" t="n"/>
      <c r="H6931" s="5" t="n">
        <v>349</v>
      </c>
      <c r="I6931" s="5" t="n">
        <v>334</v>
      </c>
      <c r="J6931" s="5" t="n">
        <v>16</v>
      </c>
      <c r="K6931" s="10">
        <f>IF(F6931&gt;0,H6931/F6931,"")</f>
        <v/>
      </c>
      <c r="L6931" s="16">
        <f>IF(AND(G6931&gt;0,H6931&gt;0),G6931/H6931,"")</f>
        <v/>
      </c>
    </row>
    <row r="6932">
      <c r="A6932" s="4" t="inlineStr">
        <is>
          <t>410</t>
        </is>
      </c>
      <c r="B6932" s="4" t="n">
        <v>4</v>
      </c>
      <c r="C6932" s="4" t="inlineStr">
        <is>
          <t>mule deer</t>
        </is>
      </c>
      <c r="D6932" s="4" t="n">
        <v>2013</v>
      </c>
      <c r="E6932" s="15" t="inlineStr">
        <is>
          <t>Draw</t>
        </is>
      </c>
      <c r="F6932" s="5" t="n">
        <v>1469</v>
      </c>
      <c r="G6932" s="5" t="n">
        <v>8333</v>
      </c>
      <c r="H6932" s="5" t="n">
        <v>292</v>
      </c>
      <c r="I6932" s="5" t="n">
        <v>290</v>
      </c>
      <c r="J6932" s="5" t="n">
        <v>3</v>
      </c>
      <c r="K6932" s="10">
        <f>IF(F6932&gt;0,H6932/F6932,"")</f>
        <v/>
      </c>
      <c r="L6932" s="16">
        <f>IF(AND(G6932&gt;0,H6932&gt;0),G6932/H6932,"")</f>
        <v/>
      </c>
    </row>
    <row r="6933">
      <c r="A6933" s="4" t="inlineStr">
        <is>
          <t>410</t>
        </is>
      </c>
      <c r="B6933" s="4" t="n">
        <v>4</v>
      </c>
      <c r="C6933" s="4" t="inlineStr">
        <is>
          <t>mule deer</t>
        </is>
      </c>
      <c r="D6933" s="4" t="n">
        <v>2014</v>
      </c>
      <c r="E6933" s="15" t="inlineStr">
        <is>
          <t>Draw</t>
        </is>
      </c>
      <c r="F6933" s="5" t="n"/>
      <c r="G6933" s="5" t="n"/>
      <c r="H6933" s="5" t="n">
        <v>443</v>
      </c>
      <c r="I6933" s="5" t="n">
        <v>440</v>
      </c>
      <c r="J6933" s="5" t="n">
        <v>3</v>
      </c>
      <c r="K6933" s="10">
        <f>IF(F6933&gt;0,H6933/F6933,"")</f>
        <v/>
      </c>
      <c r="L6933" s="16">
        <f>IF(AND(G6933&gt;0,H6933&gt;0),G6933/H6933,"")</f>
        <v/>
      </c>
    </row>
    <row r="6934">
      <c r="A6934" s="4" t="inlineStr">
        <is>
          <t>410</t>
        </is>
      </c>
      <c r="B6934" s="4" t="n">
        <v>4</v>
      </c>
      <c r="C6934" s="4" t="inlineStr">
        <is>
          <t>mule deer</t>
        </is>
      </c>
      <c r="D6934" s="4" t="n">
        <v>2015</v>
      </c>
      <c r="E6934" s="15" t="inlineStr">
        <is>
          <t>Draw</t>
        </is>
      </c>
      <c r="F6934" s="5" t="n"/>
      <c r="G6934" s="5" t="n"/>
      <c r="H6934" s="5" t="n">
        <v>675</v>
      </c>
      <c r="I6934" s="5" t="n">
        <v>675</v>
      </c>
      <c r="J6934" s="5" t="n">
        <v>0</v>
      </c>
      <c r="K6934" s="10">
        <f>IF(F6934&gt;0,H6934/F6934,"")</f>
        <v/>
      </c>
      <c r="L6934" s="16">
        <f>IF(AND(G6934&gt;0,H6934&gt;0),G6934/H6934,"")</f>
        <v/>
      </c>
    </row>
    <row r="6935">
      <c r="A6935" s="4" t="inlineStr">
        <is>
          <t>410</t>
        </is>
      </c>
      <c r="B6935" s="4" t="n">
        <v>4</v>
      </c>
      <c r="C6935" s="4" t="inlineStr">
        <is>
          <t>mule deer</t>
        </is>
      </c>
      <c r="D6935" s="4" t="n">
        <v>2016</v>
      </c>
      <c r="E6935" s="15" t="inlineStr">
        <is>
          <t>Draw</t>
        </is>
      </c>
      <c r="F6935" s="5" t="n"/>
      <c r="G6935" s="5" t="n"/>
      <c r="H6935" s="5" t="n">
        <v>744</v>
      </c>
      <c r="I6935" s="5" t="n">
        <v>696</v>
      </c>
      <c r="J6935" s="5" t="n">
        <v>45</v>
      </c>
      <c r="K6935" s="10">
        <f>IF(F6935&gt;0,H6935/F6935,"")</f>
        <v/>
      </c>
      <c r="L6935" s="16">
        <f>IF(AND(G6935&gt;0,H6935&gt;0),G6935/H6935,"")</f>
        <v/>
      </c>
    </row>
    <row r="6936">
      <c r="A6936" s="4" t="inlineStr">
        <is>
          <t>410</t>
        </is>
      </c>
      <c r="B6936" s="4" t="n">
        <v>4</v>
      </c>
      <c r="C6936" s="4" t="inlineStr">
        <is>
          <t>mule deer</t>
        </is>
      </c>
      <c r="D6936" s="4" t="n">
        <v>2017</v>
      </c>
      <c r="E6936" s="15" t="inlineStr">
        <is>
          <t>Draw</t>
        </is>
      </c>
      <c r="F6936" s="5" t="n">
        <v>2128</v>
      </c>
      <c r="G6936" s="5" t="n">
        <v>12221</v>
      </c>
      <c r="H6936" s="5" t="n">
        <v>905</v>
      </c>
      <c r="I6936" s="5" t="n">
        <v>855</v>
      </c>
      <c r="J6936" s="5" t="n">
        <v>50</v>
      </c>
      <c r="K6936" s="10">
        <f>IF(F6936&gt;0,H6936/F6936,"")</f>
        <v/>
      </c>
      <c r="L6936" s="16">
        <f>IF(AND(G6936&gt;0,H6936&gt;0),G6936/H6936,"")</f>
        <v/>
      </c>
    </row>
    <row r="6937">
      <c r="A6937" s="4" t="inlineStr">
        <is>
          <t>410</t>
        </is>
      </c>
      <c r="B6937" s="4" t="n">
        <v>4</v>
      </c>
      <c r="C6937" s="4" t="inlineStr">
        <is>
          <t>mule deer</t>
        </is>
      </c>
      <c r="D6937" s="4" t="n">
        <v>2018</v>
      </c>
      <c r="E6937" s="15" t="inlineStr">
        <is>
          <t>Draw</t>
        </is>
      </c>
      <c r="F6937" s="5" t="n"/>
      <c r="G6937" s="5" t="n"/>
      <c r="H6937" s="5" t="n">
        <v>738</v>
      </c>
      <c r="I6937" s="5" t="n">
        <v>693</v>
      </c>
      <c r="J6937" s="5" t="n">
        <v>41</v>
      </c>
      <c r="K6937" s="10">
        <f>IF(F6937&gt;0,H6937/F6937,"")</f>
        <v/>
      </c>
      <c r="L6937" s="16">
        <f>IF(AND(G6937&gt;0,H6937&gt;0),G6937/H6937,"")</f>
        <v/>
      </c>
    </row>
    <row r="6938">
      <c r="A6938" s="4" t="inlineStr">
        <is>
          <t>410</t>
        </is>
      </c>
      <c r="B6938" s="4" t="n">
        <v>4</v>
      </c>
      <c r="C6938" s="4" t="inlineStr">
        <is>
          <t>mule deer</t>
        </is>
      </c>
      <c r="D6938" s="4" t="n">
        <v>2019</v>
      </c>
      <c r="E6938" s="15" t="inlineStr">
        <is>
          <t>Draw</t>
        </is>
      </c>
      <c r="F6938" s="5" t="n">
        <v>2161</v>
      </c>
      <c r="G6938" s="5" t="n">
        <v>12124</v>
      </c>
      <c r="H6938" s="5" t="n">
        <v>844</v>
      </c>
      <c r="I6938" s="5" t="n">
        <v>752</v>
      </c>
      <c r="J6938" s="5" t="n">
        <v>85</v>
      </c>
      <c r="K6938" s="10">
        <f>IF(F6938&gt;0,H6938/F6938,"")</f>
        <v/>
      </c>
      <c r="L6938" s="16">
        <f>IF(AND(G6938&gt;0,H6938&gt;0),G6938/H6938,"")</f>
        <v/>
      </c>
    </row>
    <row r="6939">
      <c r="A6939" s="4" t="inlineStr">
        <is>
          <t>410</t>
        </is>
      </c>
      <c r="B6939" s="4" t="n">
        <v>4</v>
      </c>
      <c r="C6939" s="4" t="inlineStr">
        <is>
          <t>mule deer</t>
        </is>
      </c>
      <c r="D6939" s="4" t="n">
        <v>2020</v>
      </c>
      <c r="E6939" s="15" t="inlineStr">
        <is>
          <t>Draw</t>
        </is>
      </c>
      <c r="F6939" s="5" t="n"/>
      <c r="G6939" s="5" t="n"/>
      <c r="H6939" s="5" t="n">
        <v>795</v>
      </c>
      <c r="I6939" s="5" t="n">
        <v>714</v>
      </c>
      <c r="J6939" s="5" t="n">
        <v>82</v>
      </c>
      <c r="K6939" s="10">
        <f>IF(F6939&gt;0,H6939/F6939,"")</f>
        <v/>
      </c>
      <c r="L6939" s="16">
        <f>IF(AND(G6939&gt;0,H6939&gt;0),G6939/H6939,"")</f>
        <v/>
      </c>
    </row>
    <row r="6940">
      <c r="A6940" s="4" t="inlineStr">
        <is>
          <t>410</t>
        </is>
      </c>
      <c r="B6940" s="4" t="n">
        <v>4</v>
      </c>
      <c r="C6940" s="4" t="inlineStr">
        <is>
          <t>mule deer</t>
        </is>
      </c>
      <c r="D6940" s="4" t="n">
        <v>2021</v>
      </c>
      <c r="E6940" s="15" t="inlineStr">
        <is>
          <t>Draw</t>
        </is>
      </c>
      <c r="F6940" s="5" t="n">
        <v>2294</v>
      </c>
      <c r="G6940" s="5" t="n">
        <v>14143</v>
      </c>
      <c r="H6940" s="5" t="n">
        <v>538</v>
      </c>
      <c r="I6940" s="5" t="n">
        <v>425</v>
      </c>
      <c r="J6940" s="5" t="n">
        <v>113</v>
      </c>
      <c r="K6940" s="10">
        <f>IF(F6940&gt;0,H6940/F6940,"")</f>
        <v/>
      </c>
      <c r="L6940" s="16">
        <f>IF(AND(G6940&gt;0,H6940&gt;0),G6940/H6940,"")</f>
        <v/>
      </c>
    </row>
    <row r="6941">
      <c r="A6941" s="4" t="inlineStr">
        <is>
          <t>410</t>
        </is>
      </c>
      <c r="B6941" s="4" t="n">
        <v>4</v>
      </c>
      <c r="C6941" s="4" t="inlineStr">
        <is>
          <t>mule deer</t>
        </is>
      </c>
      <c r="D6941" s="4" t="n">
        <v>2022</v>
      </c>
      <c r="E6941" s="15" t="inlineStr">
        <is>
          <t>Draw</t>
        </is>
      </c>
      <c r="F6941" s="5" t="n"/>
      <c r="G6941" s="5" t="n"/>
      <c r="H6941" s="5" t="n">
        <v>418</v>
      </c>
      <c r="I6941" s="5" t="n">
        <v>340</v>
      </c>
      <c r="J6941" s="5" t="n">
        <v>75</v>
      </c>
      <c r="K6941" s="10">
        <f>IF(F6941&gt;0,H6941/F6941,"")</f>
        <v/>
      </c>
      <c r="L6941" s="16">
        <f>IF(AND(G6941&gt;0,H6941&gt;0),G6941/H6941,"")</f>
        <v/>
      </c>
    </row>
    <row r="6942">
      <c r="A6942" s="4" t="inlineStr">
        <is>
          <t>410</t>
        </is>
      </c>
      <c r="B6942" s="4" t="n">
        <v>4</v>
      </c>
      <c r="C6942" s="4" t="inlineStr">
        <is>
          <t>mule deer</t>
        </is>
      </c>
      <c r="D6942" s="4" t="n">
        <v>2023</v>
      </c>
      <c r="E6942" s="15" t="inlineStr">
        <is>
          <t>Draw</t>
        </is>
      </c>
      <c r="F6942" s="5" t="n">
        <v>1475</v>
      </c>
      <c r="G6942" s="5" t="n">
        <v>8791</v>
      </c>
      <c r="H6942" s="5" t="n">
        <v>373</v>
      </c>
      <c r="I6942" s="5" t="n">
        <v>345</v>
      </c>
      <c r="J6942" s="5" t="n">
        <v>27</v>
      </c>
      <c r="K6942" s="10">
        <f>IF(F6942&gt;0,H6942/F6942,"")</f>
        <v/>
      </c>
      <c r="L6942" s="16">
        <f>IF(AND(G6942&gt;0,H6942&gt;0),G6942/H6942,"")</f>
        <v/>
      </c>
    </row>
    <row r="6943">
      <c r="A6943" s="4" t="inlineStr">
        <is>
          <t>410</t>
        </is>
      </c>
      <c r="B6943" s="4" t="n">
        <v>4</v>
      </c>
      <c r="C6943" s="4" t="inlineStr">
        <is>
          <t>mule deer</t>
        </is>
      </c>
      <c r="D6943" s="4" t="n">
        <v>2024</v>
      </c>
      <c r="E6943" s="15" t="inlineStr">
        <is>
          <t>Draw</t>
        </is>
      </c>
      <c r="F6943" s="5" t="n"/>
      <c r="G6943" s="5" t="n"/>
      <c r="H6943" s="5" t="n">
        <v>79</v>
      </c>
      <c r="I6943" s="5" t="n">
        <v>74</v>
      </c>
      <c r="J6943" s="5" t="n">
        <v>5</v>
      </c>
      <c r="K6943" s="10">
        <f>IF(F6943&gt;0,H6943/F6943,"")</f>
        <v/>
      </c>
      <c r="L6943" s="16">
        <f>IF(AND(G6943&gt;0,H6943&gt;0),G6943/H6943,"")</f>
        <v/>
      </c>
    </row>
    <row r="6944">
      <c r="A6944" s="4" t="inlineStr">
        <is>
          <t>410</t>
        </is>
      </c>
      <c r="B6944" s="4" t="n">
        <v>4</v>
      </c>
      <c r="C6944" s="4" t="inlineStr">
        <is>
          <t>mule deer</t>
        </is>
      </c>
      <c r="D6944" s="4" t="n">
        <v>2025</v>
      </c>
      <c r="E6944" s="15" t="inlineStr">
        <is>
          <t>Draw</t>
        </is>
      </c>
      <c r="F6944" s="5" t="n">
        <v>505</v>
      </c>
      <c r="G6944" s="5" t="n">
        <v>3423</v>
      </c>
      <c r="H6944" s="5" t="n">
        <v>92</v>
      </c>
      <c r="I6944" s="5" t="n">
        <v>88</v>
      </c>
      <c r="J6944" s="5" t="n">
        <v>4</v>
      </c>
      <c r="K6944" s="10">
        <f>IF(F6944&gt;0,H6944/F6944,"")</f>
        <v/>
      </c>
      <c r="L6944" s="16">
        <f>IF(AND(G6944&gt;0,H6944&gt;0),G6944/H6944,"")</f>
        <v/>
      </c>
    </row>
    <row r="6945">
      <c r="A6945" s="4" t="inlineStr">
        <is>
          <t>411</t>
        </is>
      </c>
      <c r="B6945" s="4" t="n">
        <v>4</v>
      </c>
      <c r="C6945" s="4" t="inlineStr">
        <is>
          <t>mule deer</t>
        </is>
      </c>
      <c r="D6945" s="4" t="n">
        <v>2004</v>
      </c>
      <c r="E6945" s="13" t="inlineStr">
        <is>
          <t>General</t>
        </is>
      </c>
      <c r="F6945" s="5" t="n">
        <v>3016</v>
      </c>
      <c r="G6945" s="5" t="n">
        <v>13733</v>
      </c>
      <c r="H6945" s="5" t="n">
        <v>1274</v>
      </c>
      <c r="I6945" s="5" t="n">
        <v>810</v>
      </c>
      <c r="J6945" s="5" t="n">
        <v>454</v>
      </c>
      <c r="K6945" s="10">
        <f>IF(F6945&gt;0,H6945/F6945,"")</f>
        <v/>
      </c>
      <c r="L6945" s="16">
        <f>IF(AND(G6945&gt;0,H6945&gt;0),G6945/H6945,"")</f>
        <v/>
      </c>
    </row>
    <row r="6946">
      <c r="A6946" s="4" t="inlineStr">
        <is>
          <t>411</t>
        </is>
      </c>
      <c r="B6946" s="4" t="n">
        <v>4</v>
      </c>
      <c r="C6946" s="4" t="inlineStr">
        <is>
          <t>mule deer</t>
        </is>
      </c>
      <c r="D6946" s="4" t="n">
        <v>2005</v>
      </c>
      <c r="E6946" s="13" t="inlineStr">
        <is>
          <t>General</t>
        </is>
      </c>
      <c r="F6946" s="5" t="n">
        <v>2976</v>
      </c>
      <c r="G6946" s="5" t="n">
        <v>14572</v>
      </c>
      <c r="H6946" s="5" t="n">
        <v>1263</v>
      </c>
      <c r="I6946" s="5" t="n">
        <v>819</v>
      </c>
      <c r="J6946" s="5" t="n">
        <v>436</v>
      </c>
      <c r="K6946" s="10">
        <f>IF(F6946&gt;0,H6946/F6946,"")</f>
        <v/>
      </c>
      <c r="L6946" s="16">
        <f>IF(AND(G6946&gt;0,H6946&gt;0),G6946/H6946,"")</f>
        <v/>
      </c>
    </row>
    <row r="6947">
      <c r="A6947" s="4" t="inlineStr">
        <is>
          <t>411</t>
        </is>
      </c>
      <c r="B6947" s="4" t="n">
        <v>4</v>
      </c>
      <c r="C6947" s="4" t="inlineStr">
        <is>
          <t>mule deer</t>
        </is>
      </c>
      <c r="D6947" s="4" t="n">
        <v>2006</v>
      </c>
      <c r="E6947" s="13" t="inlineStr">
        <is>
          <t>General</t>
        </is>
      </c>
      <c r="F6947" s="5" t="n">
        <v>2660</v>
      </c>
      <c r="G6947" s="5" t="n">
        <v>12941</v>
      </c>
      <c r="H6947" s="5" t="n">
        <v>1266</v>
      </c>
      <c r="I6947" s="5" t="n">
        <v>805</v>
      </c>
      <c r="J6947" s="5" t="n">
        <v>453</v>
      </c>
      <c r="K6947" s="10">
        <f>IF(F6947&gt;0,H6947/F6947,"")</f>
        <v/>
      </c>
      <c r="L6947" s="16">
        <f>IF(AND(G6947&gt;0,H6947&gt;0),G6947/H6947,"")</f>
        <v/>
      </c>
    </row>
    <row r="6948">
      <c r="A6948" s="4" t="inlineStr">
        <is>
          <t>411</t>
        </is>
      </c>
      <c r="B6948" s="4" t="n">
        <v>4</v>
      </c>
      <c r="C6948" s="4" t="inlineStr">
        <is>
          <t>mule deer</t>
        </is>
      </c>
      <c r="D6948" s="4" t="n">
        <v>2007</v>
      </c>
      <c r="E6948" s="13" t="inlineStr">
        <is>
          <t>General</t>
        </is>
      </c>
      <c r="F6948" s="5" t="n">
        <v>2615</v>
      </c>
      <c r="G6948" s="5" t="n">
        <v>12635</v>
      </c>
      <c r="H6948" s="5" t="n">
        <v>1108</v>
      </c>
      <c r="I6948" s="5" t="n">
        <v>572</v>
      </c>
      <c r="J6948" s="5" t="n">
        <v>535</v>
      </c>
      <c r="K6948" s="10">
        <f>IF(F6948&gt;0,H6948/F6948,"")</f>
        <v/>
      </c>
      <c r="L6948" s="16">
        <f>IF(AND(G6948&gt;0,H6948&gt;0),G6948/H6948,"")</f>
        <v/>
      </c>
    </row>
    <row r="6949">
      <c r="A6949" s="4" t="inlineStr">
        <is>
          <t>411</t>
        </is>
      </c>
      <c r="B6949" s="4" t="n">
        <v>4</v>
      </c>
      <c r="C6949" s="4" t="inlineStr">
        <is>
          <t>mule deer</t>
        </is>
      </c>
      <c r="D6949" s="4" t="n">
        <v>2008</v>
      </c>
      <c r="E6949" s="13" t="inlineStr">
        <is>
          <t>General</t>
        </is>
      </c>
      <c r="F6949" s="5" t="n">
        <v>3031</v>
      </c>
      <c r="G6949" s="5" t="n">
        <v>14917</v>
      </c>
      <c r="H6949" s="5" t="n">
        <v>1139</v>
      </c>
      <c r="I6949" s="5" t="n">
        <v>661</v>
      </c>
      <c r="J6949" s="5" t="n">
        <v>465</v>
      </c>
      <c r="K6949" s="10">
        <f>IF(F6949&gt;0,H6949/F6949,"")</f>
        <v/>
      </c>
      <c r="L6949" s="16">
        <f>IF(AND(G6949&gt;0,H6949&gt;0),G6949/H6949,"")</f>
        <v/>
      </c>
    </row>
    <row r="6950">
      <c r="A6950" s="4" t="inlineStr">
        <is>
          <t>411</t>
        </is>
      </c>
      <c r="B6950" s="4" t="n">
        <v>4</v>
      </c>
      <c r="C6950" s="4" t="inlineStr">
        <is>
          <t>mule deer</t>
        </is>
      </c>
      <c r="D6950" s="4" t="n">
        <v>2009</v>
      </c>
      <c r="E6950" s="13" t="inlineStr">
        <is>
          <t>General</t>
        </is>
      </c>
      <c r="F6950" s="5" t="n">
        <v>3047</v>
      </c>
      <c r="G6950" s="5" t="n">
        <v>15894</v>
      </c>
      <c r="H6950" s="5" t="n">
        <v>809</v>
      </c>
      <c r="I6950" s="5" t="n">
        <v>509</v>
      </c>
      <c r="J6950" s="5" t="n">
        <v>295</v>
      </c>
      <c r="K6950" s="10">
        <f>IF(F6950&gt;0,H6950/F6950,"")</f>
        <v/>
      </c>
      <c r="L6950" s="16">
        <f>IF(AND(G6950&gt;0,H6950&gt;0),G6950/H6950,"")</f>
        <v/>
      </c>
    </row>
    <row r="6951">
      <c r="A6951" s="4" t="inlineStr">
        <is>
          <t>411</t>
        </is>
      </c>
      <c r="B6951" s="4" t="n">
        <v>4</v>
      </c>
      <c r="C6951" s="4" t="inlineStr">
        <is>
          <t>mule deer</t>
        </is>
      </c>
      <c r="D6951" s="4" t="n">
        <v>2010</v>
      </c>
      <c r="E6951" s="13" t="inlineStr">
        <is>
          <t>General</t>
        </is>
      </c>
      <c r="F6951" s="5" t="n">
        <v>2908</v>
      </c>
      <c r="G6951" s="5" t="n">
        <v>14155</v>
      </c>
      <c r="H6951" s="5" t="n">
        <v>564</v>
      </c>
      <c r="I6951" s="5" t="n">
        <v>364</v>
      </c>
      <c r="J6951" s="5" t="n">
        <v>199</v>
      </c>
      <c r="K6951" s="10">
        <f>IF(F6951&gt;0,H6951/F6951,"")</f>
        <v/>
      </c>
      <c r="L6951" s="16">
        <f>IF(AND(G6951&gt;0,H6951&gt;0),G6951/H6951,"")</f>
        <v/>
      </c>
    </row>
    <row r="6952">
      <c r="A6952" s="4" t="inlineStr">
        <is>
          <t>411</t>
        </is>
      </c>
      <c r="B6952" s="4" t="n">
        <v>4</v>
      </c>
      <c r="C6952" s="4" t="inlineStr">
        <is>
          <t>mule deer</t>
        </is>
      </c>
      <c r="D6952" s="4" t="n">
        <v>2011</v>
      </c>
      <c r="E6952" s="13" t="inlineStr">
        <is>
          <t>General</t>
        </is>
      </c>
      <c r="F6952" s="5" t="n">
        <v>2551</v>
      </c>
      <c r="G6952" s="5" t="n">
        <v>14275</v>
      </c>
      <c r="H6952" s="5" t="n">
        <v>481</v>
      </c>
      <c r="I6952" s="5" t="n">
        <v>415</v>
      </c>
      <c r="J6952" s="5" t="n">
        <v>63</v>
      </c>
      <c r="K6952" s="10">
        <f>IF(F6952&gt;0,H6952/F6952,"")</f>
        <v/>
      </c>
      <c r="L6952" s="16">
        <f>IF(AND(G6952&gt;0,H6952&gt;0),G6952/H6952,"")</f>
        <v/>
      </c>
    </row>
    <row r="6953">
      <c r="A6953" s="4" t="inlineStr">
        <is>
          <t>411</t>
        </is>
      </c>
      <c r="B6953" s="4" t="n">
        <v>4</v>
      </c>
      <c r="C6953" s="4" t="inlineStr">
        <is>
          <t>mule deer</t>
        </is>
      </c>
      <c r="D6953" s="4" t="n">
        <v>2012</v>
      </c>
      <c r="E6953" s="13" t="inlineStr">
        <is>
          <t>General</t>
        </is>
      </c>
      <c r="F6953" s="5" t="n"/>
      <c r="G6953" s="5" t="n"/>
      <c r="H6953" s="5" t="n">
        <v>567</v>
      </c>
      <c r="I6953" s="5" t="n">
        <v>499</v>
      </c>
      <c r="J6953" s="5" t="n">
        <v>68</v>
      </c>
      <c r="K6953" s="10">
        <f>IF(F6953&gt;0,H6953/F6953,"")</f>
        <v/>
      </c>
      <c r="L6953" s="16">
        <f>IF(AND(G6953&gt;0,H6953&gt;0),G6953/H6953,"")</f>
        <v/>
      </c>
    </row>
    <row r="6954">
      <c r="A6954" s="4" t="inlineStr">
        <is>
          <t>411</t>
        </is>
      </c>
      <c r="B6954" s="4" t="n">
        <v>4</v>
      </c>
      <c r="C6954" s="4" t="inlineStr">
        <is>
          <t>mule deer</t>
        </is>
      </c>
      <c r="D6954" s="4" t="n">
        <v>2013</v>
      </c>
      <c r="E6954" s="13" t="inlineStr">
        <is>
          <t>General</t>
        </is>
      </c>
      <c r="F6954" s="5" t="n">
        <v>2660</v>
      </c>
      <c r="G6954" s="5" t="n">
        <v>14354</v>
      </c>
      <c r="H6954" s="5" t="n">
        <v>543</v>
      </c>
      <c r="I6954" s="5" t="n">
        <v>490</v>
      </c>
      <c r="J6954" s="5" t="n">
        <v>53</v>
      </c>
      <c r="K6954" s="10">
        <f>IF(F6954&gt;0,H6954/F6954,"")</f>
        <v/>
      </c>
      <c r="L6954" s="16">
        <f>IF(AND(G6954&gt;0,H6954&gt;0),G6954/H6954,"")</f>
        <v/>
      </c>
    </row>
    <row r="6955">
      <c r="A6955" s="4" t="inlineStr">
        <is>
          <t>411</t>
        </is>
      </c>
      <c r="B6955" s="4" t="n">
        <v>4</v>
      </c>
      <c r="C6955" s="4" t="inlineStr">
        <is>
          <t>mule deer</t>
        </is>
      </c>
      <c r="D6955" s="4" t="n">
        <v>2014</v>
      </c>
      <c r="E6955" s="13" t="inlineStr">
        <is>
          <t>General</t>
        </is>
      </c>
      <c r="F6955" s="5" t="n"/>
      <c r="G6955" s="5" t="n"/>
      <c r="H6955" s="5" t="n">
        <v>505</v>
      </c>
      <c r="I6955" s="5" t="n">
        <v>505</v>
      </c>
      <c r="J6955" s="5" t="n">
        <v>0</v>
      </c>
      <c r="K6955" s="10">
        <f>IF(F6955&gt;0,H6955/F6955,"")</f>
        <v/>
      </c>
      <c r="L6955" s="16">
        <f>IF(AND(G6955&gt;0,H6955&gt;0),G6955/H6955,"")</f>
        <v/>
      </c>
    </row>
    <row r="6956">
      <c r="A6956" s="4" t="inlineStr">
        <is>
          <t>411</t>
        </is>
      </c>
      <c r="B6956" s="4" t="n">
        <v>4</v>
      </c>
      <c r="C6956" s="4" t="inlineStr">
        <is>
          <t>mule deer</t>
        </is>
      </c>
      <c r="D6956" s="4" t="n">
        <v>2015</v>
      </c>
      <c r="E6956" s="13" t="inlineStr">
        <is>
          <t>General</t>
        </is>
      </c>
      <c r="F6956" s="5" t="n"/>
      <c r="G6956" s="5" t="n"/>
      <c r="H6956" s="5" t="n">
        <v>592</v>
      </c>
      <c r="I6956" s="5" t="n">
        <v>588</v>
      </c>
      <c r="J6956" s="5" t="n">
        <v>1</v>
      </c>
      <c r="K6956" s="10">
        <f>IF(F6956&gt;0,H6956/F6956,"")</f>
        <v/>
      </c>
      <c r="L6956" s="16">
        <f>IF(AND(G6956&gt;0,H6956&gt;0),G6956/H6956,"")</f>
        <v/>
      </c>
    </row>
    <row r="6957">
      <c r="A6957" s="4" t="inlineStr">
        <is>
          <t>411</t>
        </is>
      </c>
      <c r="B6957" s="4" t="n">
        <v>4</v>
      </c>
      <c r="C6957" s="4" t="inlineStr">
        <is>
          <t>mule deer</t>
        </is>
      </c>
      <c r="D6957" s="4" t="n">
        <v>2016</v>
      </c>
      <c r="E6957" s="13" t="inlineStr">
        <is>
          <t>General</t>
        </is>
      </c>
      <c r="F6957" s="5" t="n"/>
      <c r="G6957" s="5" t="n"/>
      <c r="H6957" s="5" t="n">
        <v>735</v>
      </c>
      <c r="I6957" s="5" t="n">
        <v>655</v>
      </c>
      <c r="J6957" s="5" t="n">
        <v>80</v>
      </c>
      <c r="K6957" s="10">
        <f>IF(F6957&gt;0,H6957/F6957,"")</f>
        <v/>
      </c>
      <c r="L6957" s="16">
        <f>IF(AND(G6957&gt;0,H6957&gt;0),G6957/H6957,"")</f>
        <v/>
      </c>
    </row>
    <row r="6958">
      <c r="A6958" s="4" t="inlineStr">
        <is>
          <t>411</t>
        </is>
      </c>
      <c r="B6958" s="4" t="n">
        <v>4</v>
      </c>
      <c r="C6958" s="4" t="inlineStr">
        <is>
          <t>mule deer</t>
        </is>
      </c>
      <c r="D6958" s="4" t="n">
        <v>2017</v>
      </c>
      <c r="E6958" s="13" t="inlineStr">
        <is>
          <t>General</t>
        </is>
      </c>
      <c r="F6958" s="5" t="n">
        <v>2427</v>
      </c>
      <c r="G6958" s="5" t="n">
        <v>12233</v>
      </c>
      <c r="H6958" s="5" t="n">
        <v>707</v>
      </c>
      <c r="I6958" s="5" t="n">
        <v>662</v>
      </c>
      <c r="J6958" s="5" t="n">
        <v>46</v>
      </c>
      <c r="K6958" s="10">
        <f>IF(F6958&gt;0,H6958/F6958,"")</f>
        <v/>
      </c>
      <c r="L6958" s="16">
        <f>IF(AND(G6958&gt;0,H6958&gt;0),G6958/H6958,"")</f>
        <v/>
      </c>
    </row>
    <row r="6959">
      <c r="A6959" s="4" t="inlineStr">
        <is>
          <t>411</t>
        </is>
      </c>
      <c r="B6959" s="4" t="n">
        <v>4</v>
      </c>
      <c r="C6959" s="4" t="inlineStr">
        <is>
          <t>mule deer</t>
        </is>
      </c>
      <c r="D6959" s="4" t="n">
        <v>2018</v>
      </c>
      <c r="E6959" s="13" t="inlineStr">
        <is>
          <t>General</t>
        </is>
      </c>
      <c r="F6959" s="5" t="n"/>
      <c r="G6959" s="5" t="n"/>
      <c r="H6959" s="5" t="n">
        <v>600</v>
      </c>
      <c r="I6959" s="5" t="n">
        <v>538</v>
      </c>
      <c r="J6959" s="5" t="n">
        <v>62</v>
      </c>
      <c r="K6959" s="10">
        <f>IF(F6959&gt;0,H6959/F6959,"")</f>
        <v/>
      </c>
      <c r="L6959" s="16">
        <f>IF(AND(G6959&gt;0,H6959&gt;0),G6959/H6959,"")</f>
        <v/>
      </c>
    </row>
    <row r="6960">
      <c r="A6960" s="4" t="inlineStr">
        <is>
          <t>411</t>
        </is>
      </c>
      <c r="B6960" s="4" t="n">
        <v>4</v>
      </c>
      <c r="C6960" s="4" t="inlineStr">
        <is>
          <t>mule deer</t>
        </is>
      </c>
      <c r="D6960" s="4" t="n">
        <v>2019</v>
      </c>
      <c r="E6960" s="13" t="inlineStr">
        <is>
          <t>General</t>
        </is>
      </c>
      <c r="F6960" s="5" t="n">
        <v>2594</v>
      </c>
      <c r="G6960" s="5" t="n">
        <v>13808</v>
      </c>
      <c r="H6960" s="5" t="n">
        <v>793</v>
      </c>
      <c r="I6960" s="5" t="n">
        <v>714</v>
      </c>
      <c r="J6960" s="5" t="n">
        <v>73</v>
      </c>
      <c r="K6960" s="10">
        <f>IF(F6960&gt;0,H6960/F6960,"")</f>
        <v/>
      </c>
      <c r="L6960" s="16">
        <f>IF(AND(G6960&gt;0,H6960&gt;0),G6960/H6960,"")</f>
        <v/>
      </c>
    </row>
    <row r="6961">
      <c r="A6961" s="4" t="inlineStr">
        <is>
          <t>411</t>
        </is>
      </c>
      <c r="B6961" s="4" t="n">
        <v>4</v>
      </c>
      <c r="C6961" s="4" t="inlineStr">
        <is>
          <t>mule deer</t>
        </is>
      </c>
      <c r="D6961" s="4" t="n">
        <v>2020</v>
      </c>
      <c r="E6961" s="13" t="inlineStr">
        <is>
          <t>General</t>
        </is>
      </c>
      <c r="F6961" s="5" t="n"/>
      <c r="G6961" s="5" t="n"/>
      <c r="H6961" s="5" t="n">
        <v>707</v>
      </c>
      <c r="I6961" s="5" t="n">
        <v>616</v>
      </c>
      <c r="J6961" s="5" t="n">
        <v>89</v>
      </c>
      <c r="K6961" s="10">
        <f>IF(F6961&gt;0,H6961/F6961,"")</f>
        <v/>
      </c>
      <c r="L6961" s="16">
        <f>IF(AND(G6961&gt;0,H6961&gt;0),G6961/H6961,"")</f>
        <v/>
      </c>
    </row>
    <row r="6962">
      <c r="A6962" s="4" t="inlineStr">
        <is>
          <t>411</t>
        </is>
      </c>
      <c r="B6962" s="4" t="n">
        <v>4</v>
      </c>
      <c r="C6962" s="4" t="inlineStr">
        <is>
          <t>mule deer</t>
        </is>
      </c>
      <c r="D6962" s="4" t="n">
        <v>2021</v>
      </c>
      <c r="E6962" s="13" t="inlineStr">
        <is>
          <t>General</t>
        </is>
      </c>
      <c r="F6962" s="5" t="n">
        <v>2654</v>
      </c>
      <c r="G6962" s="5" t="n">
        <v>15250</v>
      </c>
      <c r="H6962" s="5" t="n">
        <v>635</v>
      </c>
      <c r="I6962" s="5" t="n">
        <v>527</v>
      </c>
      <c r="J6962" s="5" t="n">
        <v>108</v>
      </c>
      <c r="K6962" s="10">
        <f>IF(F6962&gt;0,H6962/F6962,"")</f>
        <v/>
      </c>
      <c r="L6962" s="16">
        <f>IF(AND(G6962&gt;0,H6962&gt;0),G6962/H6962,"")</f>
        <v/>
      </c>
    </row>
    <row r="6963">
      <c r="A6963" s="4" t="inlineStr">
        <is>
          <t>411</t>
        </is>
      </c>
      <c r="B6963" s="4" t="n">
        <v>4</v>
      </c>
      <c r="C6963" s="4" t="inlineStr">
        <is>
          <t>mule deer</t>
        </is>
      </c>
      <c r="D6963" s="4" t="n">
        <v>2022</v>
      </c>
      <c r="E6963" s="13" t="inlineStr">
        <is>
          <t>General</t>
        </is>
      </c>
      <c r="F6963" s="5" t="n"/>
      <c r="G6963" s="5" t="n"/>
      <c r="H6963" s="5" t="n">
        <v>435</v>
      </c>
      <c r="I6963" s="5" t="n">
        <v>350</v>
      </c>
      <c r="J6963" s="5" t="n">
        <v>83</v>
      </c>
      <c r="K6963" s="10">
        <f>IF(F6963&gt;0,H6963/F6963,"")</f>
        <v/>
      </c>
      <c r="L6963" s="16">
        <f>IF(AND(G6963&gt;0,H6963&gt;0),G6963/H6963,"")</f>
        <v/>
      </c>
    </row>
    <row r="6964">
      <c r="A6964" s="4" t="inlineStr">
        <is>
          <t>411</t>
        </is>
      </c>
      <c r="B6964" s="4" t="n">
        <v>4</v>
      </c>
      <c r="C6964" s="4" t="inlineStr">
        <is>
          <t>mule deer</t>
        </is>
      </c>
      <c r="D6964" s="4" t="n">
        <v>2023</v>
      </c>
      <c r="E6964" s="13" t="inlineStr">
        <is>
          <t>General</t>
        </is>
      </c>
      <c r="F6964" s="5" t="n">
        <v>2390</v>
      </c>
      <c r="G6964" s="5" t="n">
        <v>13501</v>
      </c>
      <c r="H6964" s="5" t="n">
        <v>433</v>
      </c>
      <c r="I6964" s="5" t="n">
        <v>384</v>
      </c>
      <c r="J6964" s="5" t="n">
        <v>49</v>
      </c>
      <c r="K6964" s="10">
        <f>IF(F6964&gt;0,H6964/F6964,"")</f>
        <v/>
      </c>
      <c r="L6964" s="16">
        <f>IF(AND(G6964&gt;0,H6964&gt;0),G6964/H6964,"")</f>
        <v/>
      </c>
    </row>
    <row r="6965">
      <c r="A6965" s="4" t="inlineStr">
        <is>
          <t>411</t>
        </is>
      </c>
      <c r="B6965" s="4" t="n">
        <v>4</v>
      </c>
      <c r="C6965" s="4" t="inlineStr">
        <is>
          <t>mule deer</t>
        </is>
      </c>
      <c r="D6965" s="4" t="n">
        <v>2024</v>
      </c>
      <c r="E6965" s="13" t="inlineStr">
        <is>
          <t>General</t>
        </is>
      </c>
      <c r="F6965" s="5" t="n"/>
      <c r="G6965" s="5" t="n"/>
      <c r="H6965" s="5" t="n">
        <v>439</v>
      </c>
      <c r="I6965" s="5" t="n">
        <v>416</v>
      </c>
      <c r="J6965" s="5" t="n">
        <v>22</v>
      </c>
      <c r="K6965" s="10">
        <f>IF(F6965&gt;0,H6965/F6965,"")</f>
        <v/>
      </c>
      <c r="L6965" s="16">
        <f>IF(AND(G6965&gt;0,H6965&gt;0),G6965/H6965,"")</f>
        <v/>
      </c>
    </row>
    <row r="6966">
      <c r="A6966" s="4" t="inlineStr">
        <is>
          <t>411</t>
        </is>
      </c>
      <c r="B6966" s="4" t="n">
        <v>4</v>
      </c>
      <c r="C6966" s="4" t="inlineStr">
        <is>
          <t>mule deer</t>
        </is>
      </c>
      <c r="D6966" s="4" t="n">
        <v>2025</v>
      </c>
      <c r="E6966" s="13" t="inlineStr">
        <is>
          <t>General</t>
        </is>
      </c>
      <c r="F6966" s="5" t="n">
        <v>2383</v>
      </c>
      <c r="G6966" s="5" t="n">
        <v>14657</v>
      </c>
      <c r="H6966" s="5" t="n">
        <v>394</v>
      </c>
      <c r="I6966" s="5" t="n">
        <v>372</v>
      </c>
      <c r="J6966" s="5" t="n">
        <v>22</v>
      </c>
      <c r="K6966" s="10">
        <f>IF(F6966&gt;0,H6966/F6966,"")</f>
        <v/>
      </c>
      <c r="L6966" s="16">
        <f>IF(AND(G6966&gt;0,H6966&gt;0),G6966/H6966,"")</f>
        <v/>
      </c>
    </row>
    <row r="6967">
      <c r="A6967" s="4" t="inlineStr">
        <is>
          <t>412</t>
        </is>
      </c>
      <c r="B6967" s="4" t="n">
        <v>4</v>
      </c>
      <c r="C6967" s="4" t="inlineStr">
        <is>
          <t>mule deer</t>
        </is>
      </c>
      <c r="D6967" s="4" t="n">
        <v>2004</v>
      </c>
      <c r="E6967" s="13" t="inlineStr">
        <is>
          <t>General</t>
        </is>
      </c>
      <c r="F6967" s="5" t="n">
        <v>1958</v>
      </c>
      <c r="G6967" s="5" t="n">
        <v>8647</v>
      </c>
      <c r="H6967" s="5" t="n">
        <v>1164</v>
      </c>
      <c r="I6967" s="5" t="n">
        <v>722</v>
      </c>
      <c r="J6967" s="5" t="n">
        <v>433</v>
      </c>
      <c r="K6967" s="10">
        <f>IF(F6967&gt;0,H6967/F6967,"")</f>
        <v/>
      </c>
      <c r="L6967" s="16">
        <f>IF(AND(G6967&gt;0,H6967&gt;0),G6967/H6967,"")</f>
        <v/>
      </c>
    </row>
    <row r="6968">
      <c r="A6968" s="4" t="inlineStr">
        <is>
          <t>412</t>
        </is>
      </c>
      <c r="B6968" s="4" t="n">
        <v>4</v>
      </c>
      <c r="C6968" s="4" t="inlineStr">
        <is>
          <t>mule deer</t>
        </is>
      </c>
      <c r="D6968" s="4" t="n">
        <v>2005</v>
      </c>
      <c r="E6968" s="13" t="inlineStr">
        <is>
          <t>General</t>
        </is>
      </c>
      <c r="F6968" s="5" t="n">
        <v>1974</v>
      </c>
      <c r="G6968" s="5" t="n">
        <v>8864</v>
      </c>
      <c r="H6968" s="5" t="n">
        <v>1002</v>
      </c>
      <c r="I6968" s="5" t="n">
        <v>559</v>
      </c>
      <c r="J6968" s="5" t="n">
        <v>434</v>
      </c>
      <c r="K6968" s="10">
        <f>IF(F6968&gt;0,H6968/F6968,"")</f>
        <v/>
      </c>
      <c r="L6968" s="16">
        <f>IF(AND(G6968&gt;0,H6968&gt;0),G6968/H6968,"")</f>
        <v/>
      </c>
    </row>
    <row r="6969">
      <c r="A6969" s="4" t="inlineStr">
        <is>
          <t>412</t>
        </is>
      </c>
      <c r="B6969" s="4" t="n">
        <v>4</v>
      </c>
      <c r="C6969" s="4" t="inlineStr">
        <is>
          <t>mule deer</t>
        </is>
      </c>
      <c r="D6969" s="4" t="n">
        <v>2006</v>
      </c>
      <c r="E6969" s="13" t="inlineStr">
        <is>
          <t>General</t>
        </is>
      </c>
      <c r="F6969" s="5" t="n">
        <v>1409</v>
      </c>
      <c r="G6969" s="5" t="n">
        <v>7165</v>
      </c>
      <c r="H6969" s="5" t="n">
        <v>884</v>
      </c>
      <c r="I6969" s="5" t="n">
        <v>483</v>
      </c>
      <c r="J6969" s="5" t="n">
        <v>385</v>
      </c>
      <c r="K6969" s="10">
        <f>IF(F6969&gt;0,H6969/F6969,"")</f>
        <v/>
      </c>
      <c r="L6969" s="16">
        <f>IF(AND(G6969&gt;0,H6969&gt;0),G6969/H6969,"")</f>
        <v/>
      </c>
    </row>
    <row r="6970">
      <c r="A6970" s="4" t="inlineStr">
        <is>
          <t>412</t>
        </is>
      </c>
      <c r="B6970" s="4" t="n">
        <v>4</v>
      </c>
      <c r="C6970" s="4" t="inlineStr">
        <is>
          <t>mule deer</t>
        </is>
      </c>
      <c r="D6970" s="4" t="n">
        <v>2007</v>
      </c>
      <c r="E6970" s="13" t="inlineStr">
        <is>
          <t>General</t>
        </is>
      </c>
      <c r="F6970" s="5" t="n">
        <v>1755</v>
      </c>
      <c r="G6970" s="5" t="n">
        <v>8337</v>
      </c>
      <c r="H6970" s="5" t="n">
        <v>1154</v>
      </c>
      <c r="I6970" s="5" t="n">
        <v>640</v>
      </c>
      <c r="J6970" s="5" t="n">
        <v>515</v>
      </c>
      <c r="K6970" s="10">
        <f>IF(F6970&gt;0,H6970/F6970,"")</f>
        <v/>
      </c>
      <c r="L6970" s="16">
        <f>IF(AND(G6970&gt;0,H6970&gt;0),G6970/H6970,"")</f>
        <v/>
      </c>
    </row>
    <row r="6971">
      <c r="A6971" s="4" t="inlineStr">
        <is>
          <t>412</t>
        </is>
      </c>
      <c r="B6971" s="4" t="n">
        <v>4</v>
      </c>
      <c r="C6971" s="4" t="inlineStr">
        <is>
          <t>mule deer</t>
        </is>
      </c>
      <c r="D6971" s="4" t="n">
        <v>2008</v>
      </c>
      <c r="E6971" s="13" t="inlineStr">
        <is>
          <t>General</t>
        </is>
      </c>
      <c r="F6971" s="5" t="n">
        <v>1848</v>
      </c>
      <c r="G6971" s="5" t="n">
        <v>8864</v>
      </c>
      <c r="H6971" s="5" t="n">
        <v>834</v>
      </c>
      <c r="I6971" s="5" t="n">
        <v>457</v>
      </c>
      <c r="J6971" s="5" t="n">
        <v>368</v>
      </c>
      <c r="K6971" s="10">
        <f>IF(F6971&gt;0,H6971/F6971,"")</f>
        <v/>
      </c>
      <c r="L6971" s="16">
        <f>IF(AND(G6971&gt;0,H6971&gt;0),G6971/H6971,"")</f>
        <v/>
      </c>
    </row>
    <row r="6972">
      <c r="A6972" s="4" t="inlineStr">
        <is>
          <t>412</t>
        </is>
      </c>
      <c r="B6972" s="4" t="n">
        <v>4</v>
      </c>
      <c r="C6972" s="4" t="inlineStr">
        <is>
          <t>mule deer</t>
        </is>
      </c>
      <c r="D6972" s="4" t="n">
        <v>2009</v>
      </c>
      <c r="E6972" s="13" t="inlineStr">
        <is>
          <t>General</t>
        </is>
      </c>
      <c r="F6972" s="5" t="n">
        <v>1639</v>
      </c>
      <c r="G6972" s="5" t="n">
        <v>7895</v>
      </c>
      <c r="H6972" s="5" t="n">
        <v>676</v>
      </c>
      <c r="I6972" s="5" t="n">
        <v>442</v>
      </c>
      <c r="J6972" s="5" t="n">
        <v>231</v>
      </c>
      <c r="K6972" s="10">
        <f>IF(F6972&gt;0,H6972/F6972,"")</f>
        <v/>
      </c>
      <c r="L6972" s="16">
        <f>IF(AND(G6972&gt;0,H6972&gt;0),G6972/H6972,"")</f>
        <v/>
      </c>
    </row>
    <row r="6973">
      <c r="A6973" s="4" t="inlineStr">
        <is>
          <t>412</t>
        </is>
      </c>
      <c r="B6973" s="4" t="n">
        <v>4</v>
      </c>
      <c r="C6973" s="4" t="inlineStr">
        <is>
          <t>mule deer</t>
        </is>
      </c>
      <c r="D6973" s="4" t="n">
        <v>2010</v>
      </c>
      <c r="E6973" s="13" t="inlineStr">
        <is>
          <t>General</t>
        </is>
      </c>
      <c r="F6973" s="5" t="n">
        <v>1624</v>
      </c>
      <c r="G6973" s="5" t="n">
        <v>8098</v>
      </c>
      <c r="H6973" s="5" t="n">
        <v>489</v>
      </c>
      <c r="I6973" s="5" t="n">
        <v>333</v>
      </c>
      <c r="J6973" s="5" t="n">
        <v>154</v>
      </c>
      <c r="K6973" s="10">
        <f>IF(F6973&gt;0,H6973/F6973,"")</f>
        <v/>
      </c>
      <c r="L6973" s="16">
        <f>IF(AND(G6973&gt;0,H6973&gt;0),G6973/H6973,"")</f>
        <v/>
      </c>
    </row>
    <row r="6974">
      <c r="A6974" s="4" t="inlineStr">
        <is>
          <t>412</t>
        </is>
      </c>
      <c r="B6974" s="4" t="n">
        <v>4</v>
      </c>
      <c r="C6974" s="4" t="inlineStr">
        <is>
          <t>mule deer</t>
        </is>
      </c>
      <c r="D6974" s="4" t="n">
        <v>2011</v>
      </c>
      <c r="E6974" s="13" t="inlineStr">
        <is>
          <t>General</t>
        </is>
      </c>
      <c r="F6974" s="5" t="n">
        <v>1320</v>
      </c>
      <c r="G6974" s="5" t="n">
        <v>7059</v>
      </c>
      <c r="H6974" s="5" t="n">
        <v>354</v>
      </c>
      <c r="I6974" s="5" t="n">
        <v>304</v>
      </c>
      <c r="J6974" s="5" t="n">
        <v>50</v>
      </c>
      <c r="K6974" s="10">
        <f>IF(F6974&gt;0,H6974/F6974,"")</f>
        <v/>
      </c>
      <c r="L6974" s="16">
        <f>IF(AND(G6974&gt;0,H6974&gt;0),G6974/H6974,"")</f>
        <v/>
      </c>
    </row>
    <row r="6975">
      <c r="A6975" s="4" t="inlineStr">
        <is>
          <t>412</t>
        </is>
      </c>
      <c r="B6975" s="4" t="n">
        <v>4</v>
      </c>
      <c r="C6975" s="4" t="inlineStr">
        <is>
          <t>mule deer</t>
        </is>
      </c>
      <c r="D6975" s="4" t="n">
        <v>2012</v>
      </c>
      <c r="E6975" s="13" t="inlineStr">
        <is>
          <t>General</t>
        </is>
      </c>
      <c r="F6975" s="5" t="n"/>
      <c r="G6975" s="5" t="n"/>
      <c r="H6975" s="5" t="n">
        <v>362</v>
      </c>
      <c r="I6975" s="5" t="n">
        <v>323</v>
      </c>
      <c r="J6975" s="5" t="n">
        <v>39</v>
      </c>
      <c r="K6975" s="10">
        <f>IF(F6975&gt;0,H6975/F6975,"")</f>
        <v/>
      </c>
      <c r="L6975" s="16">
        <f>IF(AND(G6975&gt;0,H6975&gt;0),G6975/H6975,"")</f>
        <v/>
      </c>
    </row>
    <row r="6976">
      <c r="A6976" s="4" t="inlineStr">
        <is>
          <t>412</t>
        </is>
      </c>
      <c r="B6976" s="4" t="n">
        <v>4</v>
      </c>
      <c r="C6976" s="4" t="inlineStr">
        <is>
          <t>mule deer</t>
        </is>
      </c>
      <c r="D6976" s="4" t="n">
        <v>2013</v>
      </c>
      <c r="E6976" s="13" t="inlineStr">
        <is>
          <t>General</t>
        </is>
      </c>
      <c r="F6976" s="5" t="n">
        <v>1262</v>
      </c>
      <c r="G6976" s="5" t="n">
        <v>6040</v>
      </c>
      <c r="H6976" s="5" t="n">
        <v>476</v>
      </c>
      <c r="I6976" s="5" t="n">
        <v>425</v>
      </c>
      <c r="J6976" s="5" t="n">
        <v>52</v>
      </c>
      <c r="K6976" s="10">
        <f>IF(F6976&gt;0,H6976/F6976,"")</f>
        <v/>
      </c>
      <c r="L6976" s="16">
        <f>IF(AND(G6976&gt;0,H6976&gt;0),G6976/H6976,"")</f>
        <v/>
      </c>
    </row>
    <row r="6977">
      <c r="A6977" s="4" t="inlineStr">
        <is>
          <t>412</t>
        </is>
      </c>
      <c r="B6977" s="4" t="n">
        <v>4</v>
      </c>
      <c r="C6977" s="4" t="inlineStr">
        <is>
          <t>mule deer</t>
        </is>
      </c>
      <c r="D6977" s="4" t="n">
        <v>2014</v>
      </c>
      <c r="E6977" s="13" t="inlineStr">
        <is>
          <t>General</t>
        </is>
      </c>
      <c r="F6977" s="5" t="n"/>
      <c r="G6977" s="5" t="n"/>
      <c r="H6977" s="5" t="n">
        <v>390</v>
      </c>
      <c r="I6977" s="5" t="n">
        <v>390</v>
      </c>
      <c r="J6977" s="5" t="n">
        <v>0</v>
      </c>
      <c r="K6977" s="10">
        <f>IF(F6977&gt;0,H6977/F6977,"")</f>
        <v/>
      </c>
      <c r="L6977" s="16">
        <f>IF(AND(G6977&gt;0,H6977&gt;0),G6977/H6977,"")</f>
        <v/>
      </c>
    </row>
    <row r="6978">
      <c r="A6978" s="4" t="inlineStr">
        <is>
          <t>412</t>
        </is>
      </c>
      <c r="B6978" s="4" t="n">
        <v>4</v>
      </c>
      <c r="C6978" s="4" t="inlineStr">
        <is>
          <t>mule deer</t>
        </is>
      </c>
      <c r="D6978" s="4" t="n">
        <v>2015</v>
      </c>
      <c r="E6978" s="13" t="inlineStr">
        <is>
          <t>General</t>
        </is>
      </c>
      <c r="F6978" s="5" t="n"/>
      <c r="G6978" s="5" t="n"/>
      <c r="H6978" s="5" t="n">
        <v>461</v>
      </c>
      <c r="I6978" s="5" t="n">
        <v>461</v>
      </c>
      <c r="J6978" s="5" t="n">
        <v>0</v>
      </c>
      <c r="K6978" s="10">
        <f>IF(F6978&gt;0,H6978/F6978,"")</f>
        <v/>
      </c>
      <c r="L6978" s="16">
        <f>IF(AND(G6978&gt;0,H6978&gt;0),G6978/H6978,"")</f>
        <v/>
      </c>
    </row>
    <row r="6979">
      <c r="A6979" s="4" t="inlineStr">
        <is>
          <t>412</t>
        </is>
      </c>
      <c r="B6979" s="4" t="n">
        <v>4</v>
      </c>
      <c r="C6979" s="4" t="inlineStr">
        <is>
          <t>mule deer</t>
        </is>
      </c>
      <c r="D6979" s="4" t="n">
        <v>2016</v>
      </c>
      <c r="E6979" s="13" t="inlineStr">
        <is>
          <t>General</t>
        </is>
      </c>
      <c r="F6979" s="5" t="n"/>
      <c r="G6979" s="5" t="n"/>
      <c r="H6979" s="5" t="n">
        <v>500</v>
      </c>
      <c r="I6979" s="5" t="n">
        <v>465</v>
      </c>
      <c r="J6979" s="5" t="n">
        <v>32</v>
      </c>
      <c r="K6979" s="10">
        <f>IF(F6979&gt;0,H6979/F6979,"")</f>
        <v/>
      </c>
      <c r="L6979" s="16">
        <f>IF(AND(G6979&gt;0,H6979&gt;0),G6979/H6979,"")</f>
        <v/>
      </c>
    </row>
    <row r="6980">
      <c r="A6980" s="4" t="inlineStr">
        <is>
          <t>412</t>
        </is>
      </c>
      <c r="B6980" s="4" t="n">
        <v>4</v>
      </c>
      <c r="C6980" s="4" t="inlineStr">
        <is>
          <t>mule deer</t>
        </is>
      </c>
      <c r="D6980" s="4" t="n">
        <v>2017</v>
      </c>
      <c r="E6980" s="13" t="inlineStr">
        <is>
          <t>General</t>
        </is>
      </c>
      <c r="F6980" s="5" t="n">
        <v>1299</v>
      </c>
      <c r="G6980" s="5" t="n">
        <v>6201</v>
      </c>
      <c r="H6980" s="5" t="n">
        <v>525</v>
      </c>
      <c r="I6980" s="5" t="n">
        <v>493</v>
      </c>
      <c r="J6980" s="5" t="n">
        <v>32</v>
      </c>
      <c r="K6980" s="10">
        <f>IF(F6980&gt;0,H6980/F6980,"")</f>
        <v/>
      </c>
      <c r="L6980" s="16">
        <f>IF(AND(G6980&gt;0,H6980&gt;0),G6980/H6980,"")</f>
        <v/>
      </c>
    </row>
    <row r="6981">
      <c r="A6981" s="4" t="inlineStr">
        <is>
          <t>412</t>
        </is>
      </c>
      <c r="B6981" s="4" t="n">
        <v>4</v>
      </c>
      <c r="C6981" s="4" t="inlineStr">
        <is>
          <t>mule deer</t>
        </is>
      </c>
      <c r="D6981" s="4" t="n">
        <v>2018</v>
      </c>
      <c r="E6981" s="13" t="inlineStr">
        <is>
          <t>General</t>
        </is>
      </c>
      <c r="F6981" s="5" t="n"/>
      <c r="G6981" s="5" t="n"/>
      <c r="H6981" s="5" t="n">
        <v>556</v>
      </c>
      <c r="I6981" s="5" t="n">
        <v>482</v>
      </c>
      <c r="J6981" s="5" t="n">
        <v>71</v>
      </c>
      <c r="K6981" s="10">
        <f>IF(F6981&gt;0,H6981/F6981,"")</f>
        <v/>
      </c>
      <c r="L6981" s="16">
        <f>IF(AND(G6981&gt;0,H6981&gt;0),G6981/H6981,"")</f>
        <v/>
      </c>
    </row>
    <row r="6982">
      <c r="A6982" s="4" t="inlineStr">
        <is>
          <t>412</t>
        </is>
      </c>
      <c r="B6982" s="4" t="n">
        <v>4</v>
      </c>
      <c r="C6982" s="4" t="inlineStr">
        <is>
          <t>mule deer</t>
        </is>
      </c>
      <c r="D6982" s="4" t="n">
        <v>2019</v>
      </c>
      <c r="E6982" s="13" t="inlineStr">
        <is>
          <t>General</t>
        </is>
      </c>
      <c r="F6982" s="5" t="n">
        <v>1365</v>
      </c>
      <c r="G6982" s="5" t="n">
        <v>6751</v>
      </c>
      <c r="H6982" s="5" t="n">
        <v>488</v>
      </c>
      <c r="I6982" s="5" t="n">
        <v>441</v>
      </c>
      <c r="J6982" s="5" t="n">
        <v>47</v>
      </c>
      <c r="K6982" s="10">
        <f>IF(F6982&gt;0,H6982/F6982,"")</f>
        <v/>
      </c>
      <c r="L6982" s="16">
        <f>IF(AND(G6982&gt;0,H6982&gt;0),G6982/H6982,"")</f>
        <v/>
      </c>
    </row>
    <row r="6983">
      <c r="A6983" s="4" t="inlineStr">
        <is>
          <t>412</t>
        </is>
      </c>
      <c r="B6983" s="4" t="n">
        <v>4</v>
      </c>
      <c r="C6983" s="4" t="inlineStr">
        <is>
          <t>mule deer</t>
        </is>
      </c>
      <c r="D6983" s="4" t="n">
        <v>2020</v>
      </c>
      <c r="E6983" s="13" t="inlineStr">
        <is>
          <t>General</t>
        </is>
      </c>
      <c r="F6983" s="5" t="n"/>
      <c r="G6983" s="5" t="n"/>
      <c r="H6983" s="5" t="n">
        <v>520</v>
      </c>
      <c r="I6983" s="5" t="n">
        <v>450</v>
      </c>
      <c r="J6983" s="5" t="n">
        <v>70</v>
      </c>
      <c r="K6983" s="10">
        <f>IF(F6983&gt;0,H6983/F6983,"")</f>
        <v/>
      </c>
      <c r="L6983" s="16">
        <f>IF(AND(G6983&gt;0,H6983&gt;0),G6983/H6983,"")</f>
        <v/>
      </c>
    </row>
    <row r="6984">
      <c r="A6984" s="4" t="inlineStr">
        <is>
          <t>412</t>
        </is>
      </c>
      <c r="B6984" s="4" t="n">
        <v>4</v>
      </c>
      <c r="C6984" s="4" t="inlineStr">
        <is>
          <t>mule deer</t>
        </is>
      </c>
      <c r="D6984" s="4" t="n">
        <v>2021</v>
      </c>
      <c r="E6984" s="13" t="inlineStr">
        <is>
          <t>General</t>
        </is>
      </c>
      <c r="F6984" s="5" t="n">
        <v>1508</v>
      </c>
      <c r="G6984" s="5" t="n">
        <v>7674</v>
      </c>
      <c r="H6984" s="5" t="n">
        <v>524</v>
      </c>
      <c r="I6984" s="5" t="n">
        <v>434</v>
      </c>
      <c r="J6984" s="5" t="n">
        <v>90</v>
      </c>
      <c r="K6984" s="10">
        <f>IF(F6984&gt;0,H6984/F6984,"")</f>
        <v/>
      </c>
      <c r="L6984" s="16">
        <f>IF(AND(G6984&gt;0,H6984&gt;0),G6984/H6984,"")</f>
        <v/>
      </c>
    </row>
    <row r="6985">
      <c r="A6985" s="4" t="inlineStr">
        <is>
          <t>412</t>
        </is>
      </c>
      <c r="B6985" s="4" t="n">
        <v>4</v>
      </c>
      <c r="C6985" s="4" t="inlineStr">
        <is>
          <t>mule deer</t>
        </is>
      </c>
      <c r="D6985" s="4" t="n">
        <v>2022</v>
      </c>
      <c r="E6985" s="13" t="inlineStr">
        <is>
          <t>General</t>
        </is>
      </c>
      <c r="F6985" s="5" t="n"/>
      <c r="G6985" s="5" t="n"/>
      <c r="H6985" s="5" t="n">
        <v>467</v>
      </c>
      <c r="I6985" s="5" t="n">
        <v>373</v>
      </c>
      <c r="J6985" s="5" t="n">
        <v>94</v>
      </c>
      <c r="K6985" s="10">
        <f>IF(F6985&gt;0,H6985/F6985,"")</f>
        <v/>
      </c>
      <c r="L6985" s="16">
        <f>IF(AND(G6985&gt;0,H6985&gt;0),G6985/H6985,"")</f>
        <v/>
      </c>
    </row>
    <row r="6986">
      <c r="A6986" s="4" t="inlineStr">
        <is>
          <t>412</t>
        </is>
      </c>
      <c r="B6986" s="4" t="n">
        <v>4</v>
      </c>
      <c r="C6986" s="4" t="inlineStr">
        <is>
          <t>mule deer</t>
        </is>
      </c>
      <c r="D6986" s="4" t="n">
        <v>2023</v>
      </c>
      <c r="E6986" s="13" t="inlineStr">
        <is>
          <t>General</t>
        </is>
      </c>
      <c r="F6986" s="5" t="n">
        <v>1421</v>
      </c>
      <c r="G6986" s="5" t="n">
        <v>7474</v>
      </c>
      <c r="H6986" s="5" t="n">
        <v>393</v>
      </c>
      <c r="I6986" s="5" t="n">
        <v>356</v>
      </c>
      <c r="J6986" s="5" t="n">
        <v>38</v>
      </c>
      <c r="K6986" s="10">
        <f>IF(F6986&gt;0,H6986/F6986,"")</f>
        <v/>
      </c>
      <c r="L6986" s="16">
        <f>IF(AND(G6986&gt;0,H6986&gt;0),G6986/H6986,"")</f>
        <v/>
      </c>
    </row>
    <row r="6987">
      <c r="A6987" s="4" t="inlineStr">
        <is>
          <t>412</t>
        </is>
      </c>
      <c r="B6987" s="4" t="n">
        <v>4</v>
      </c>
      <c r="C6987" s="4" t="inlineStr">
        <is>
          <t>mule deer</t>
        </is>
      </c>
      <c r="D6987" s="4" t="n">
        <v>2024</v>
      </c>
      <c r="E6987" s="13" t="inlineStr">
        <is>
          <t>General</t>
        </is>
      </c>
      <c r="F6987" s="5" t="n"/>
      <c r="G6987" s="5" t="n"/>
      <c r="H6987" s="5" t="n">
        <v>361</v>
      </c>
      <c r="I6987" s="5" t="n">
        <v>336</v>
      </c>
      <c r="J6987" s="5" t="n">
        <v>25</v>
      </c>
      <c r="K6987" s="10">
        <f>IF(F6987&gt;0,H6987/F6987,"")</f>
        <v/>
      </c>
      <c r="L6987" s="16">
        <f>IF(AND(G6987&gt;0,H6987&gt;0),G6987/H6987,"")</f>
        <v/>
      </c>
    </row>
    <row r="6988">
      <c r="A6988" s="4" t="inlineStr">
        <is>
          <t>412</t>
        </is>
      </c>
      <c r="B6988" s="4" t="n">
        <v>4</v>
      </c>
      <c r="C6988" s="4" t="inlineStr">
        <is>
          <t>mule deer</t>
        </is>
      </c>
      <c r="D6988" s="4" t="n">
        <v>2025</v>
      </c>
      <c r="E6988" s="13" t="inlineStr">
        <is>
          <t>General</t>
        </is>
      </c>
      <c r="F6988" s="5" t="n">
        <v>1139</v>
      </c>
      <c r="G6988" s="5" t="n">
        <v>6654</v>
      </c>
      <c r="H6988" s="5" t="n">
        <v>353</v>
      </c>
      <c r="I6988" s="5" t="n">
        <v>314</v>
      </c>
      <c r="J6988" s="5" t="n">
        <v>40</v>
      </c>
      <c r="K6988" s="10">
        <f>IF(F6988&gt;0,H6988/F6988,"")</f>
        <v/>
      </c>
      <c r="L6988" s="16">
        <f>IF(AND(G6988&gt;0,H6988&gt;0),G6988/H6988,"")</f>
        <v/>
      </c>
    </row>
    <row r="6989">
      <c r="A6989" s="4" t="inlineStr">
        <is>
          <t>413</t>
        </is>
      </c>
      <c r="B6989" s="4" t="n">
        <v>4</v>
      </c>
      <c r="C6989" s="4" t="inlineStr">
        <is>
          <t>mule deer</t>
        </is>
      </c>
      <c r="D6989" s="4" t="n">
        <v>2004</v>
      </c>
      <c r="E6989" s="13" t="inlineStr">
        <is>
          <t>General</t>
        </is>
      </c>
      <c r="F6989" s="5" t="n">
        <v>2137</v>
      </c>
      <c r="G6989" s="5" t="n">
        <v>8647</v>
      </c>
      <c r="H6989" s="5" t="n">
        <v>1066</v>
      </c>
      <c r="I6989" s="5" t="n">
        <v>672</v>
      </c>
      <c r="J6989" s="5" t="n">
        <v>378</v>
      </c>
      <c r="K6989" s="10">
        <f>IF(F6989&gt;0,H6989/F6989,"")</f>
        <v/>
      </c>
      <c r="L6989" s="16">
        <f>IF(AND(G6989&gt;0,H6989&gt;0),G6989/H6989,"")</f>
        <v/>
      </c>
    </row>
    <row r="6990">
      <c r="A6990" s="4" t="inlineStr">
        <is>
          <t>413</t>
        </is>
      </c>
      <c r="B6990" s="4" t="n">
        <v>4</v>
      </c>
      <c r="C6990" s="4" t="inlineStr">
        <is>
          <t>mule deer</t>
        </is>
      </c>
      <c r="D6990" s="4" t="n">
        <v>2005</v>
      </c>
      <c r="E6990" s="13" t="inlineStr">
        <is>
          <t>General</t>
        </is>
      </c>
      <c r="F6990" s="5" t="n">
        <v>1929</v>
      </c>
      <c r="G6990" s="5" t="n">
        <v>9260</v>
      </c>
      <c r="H6990" s="5" t="n">
        <v>959</v>
      </c>
      <c r="I6990" s="5" t="n">
        <v>642</v>
      </c>
      <c r="J6990" s="5" t="n">
        <v>305</v>
      </c>
      <c r="K6990" s="10">
        <f>IF(F6990&gt;0,H6990/F6990,"")</f>
        <v/>
      </c>
      <c r="L6990" s="16">
        <f>IF(AND(G6990&gt;0,H6990&gt;0),G6990/H6990,"")</f>
        <v/>
      </c>
    </row>
    <row r="6991">
      <c r="A6991" s="4" t="inlineStr">
        <is>
          <t>413</t>
        </is>
      </c>
      <c r="B6991" s="4" t="n">
        <v>4</v>
      </c>
      <c r="C6991" s="4" t="inlineStr">
        <is>
          <t>mule deer</t>
        </is>
      </c>
      <c r="D6991" s="4" t="n">
        <v>2006</v>
      </c>
      <c r="E6991" s="13" t="inlineStr">
        <is>
          <t>General</t>
        </is>
      </c>
      <c r="F6991" s="5" t="n">
        <v>1972</v>
      </c>
      <c r="G6991" s="5" t="n">
        <v>10038</v>
      </c>
      <c r="H6991" s="5" t="n">
        <v>1120</v>
      </c>
      <c r="I6991" s="5" t="n">
        <v>708</v>
      </c>
      <c r="J6991" s="5" t="n">
        <v>407</v>
      </c>
      <c r="K6991" s="10">
        <f>IF(F6991&gt;0,H6991/F6991,"")</f>
        <v/>
      </c>
      <c r="L6991" s="16">
        <f>IF(AND(G6991&gt;0,H6991&gt;0),G6991/H6991,"")</f>
        <v/>
      </c>
    </row>
    <row r="6992">
      <c r="A6992" s="4" t="inlineStr">
        <is>
          <t>413</t>
        </is>
      </c>
      <c r="B6992" s="4" t="n">
        <v>4</v>
      </c>
      <c r="C6992" s="4" t="inlineStr">
        <is>
          <t>mule deer</t>
        </is>
      </c>
      <c r="D6992" s="4" t="n">
        <v>2007</v>
      </c>
      <c r="E6992" s="13" t="inlineStr">
        <is>
          <t>General</t>
        </is>
      </c>
      <c r="F6992" s="5" t="n">
        <v>2138</v>
      </c>
      <c r="G6992" s="5" t="n">
        <v>11493</v>
      </c>
      <c r="H6992" s="5" t="n">
        <v>1049</v>
      </c>
      <c r="I6992" s="5" t="n">
        <v>572</v>
      </c>
      <c r="J6992" s="5" t="n">
        <v>471</v>
      </c>
      <c r="K6992" s="10">
        <f>IF(F6992&gt;0,H6992/F6992,"")</f>
        <v/>
      </c>
      <c r="L6992" s="16">
        <f>IF(AND(G6992&gt;0,H6992&gt;0),G6992/H6992,"")</f>
        <v/>
      </c>
    </row>
    <row r="6993">
      <c r="A6993" s="4" t="inlineStr">
        <is>
          <t>413</t>
        </is>
      </c>
      <c r="B6993" s="4" t="n">
        <v>4</v>
      </c>
      <c r="C6993" s="4" t="inlineStr">
        <is>
          <t>mule deer</t>
        </is>
      </c>
      <c r="D6993" s="4" t="n">
        <v>2008</v>
      </c>
      <c r="E6993" s="13" t="inlineStr">
        <is>
          <t>General</t>
        </is>
      </c>
      <c r="F6993" s="5" t="n">
        <v>2216</v>
      </c>
      <c r="G6993" s="5" t="n">
        <v>10589</v>
      </c>
      <c r="H6993" s="5" t="n">
        <v>926</v>
      </c>
      <c r="I6993" s="5" t="n">
        <v>509</v>
      </c>
      <c r="J6993" s="5" t="n">
        <v>409</v>
      </c>
      <c r="K6993" s="10">
        <f>IF(F6993&gt;0,H6993/F6993,"")</f>
        <v/>
      </c>
      <c r="L6993" s="16">
        <f>IF(AND(G6993&gt;0,H6993&gt;0),G6993/H6993,"")</f>
        <v/>
      </c>
    </row>
    <row r="6994">
      <c r="A6994" s="4" t="inlineStr">
        <is>
          <t>413</t>
        </is>
      </c>
      <c r="B6994" s="4" t="n">
        <v>4</v>
      </c>
      <c r="C6994" s="4" t="inlineStr">
        <is>
          <t>mule deer</t>
        </is>
      </c>
      <c r="D6994" s="4" t="n">
        <v>2009</v>
      </c>
      <c r="E6994" s="13" t="inlineStr">
        <is>
          <t>General</t>
        </is>
      </c>
      <c r="F6994" s="5" t="n">
        <v>2034</v>
      </c>
      <c r="G6994" s="5" t="n">
        <v>10376</v>
      </c>
      <c r="H6994" s="5" t="n">
        <v>654</v>
      </c>
      <c r="I6994" s="5" t="n">
        <v>413</v>
      </c>
      <c r="J6994" s="5" t="n">
        <v>232</v>
      </c>
      <c r="K6994" s="10">
        <f>IF(F6994&gt;0,H6994/F6994,"")</f>
        <v/>
      </c>
      <c r="L6994" s="16">
        <f>IF(AND(G6994&gt;0,H6994&gt;0),G6994/H6994,"")</f>
        <v/>
      </c>
    </row>
    <row r="6995">
      <c r="A6995" s="4" t="inlineStr">
        <is>
          <t>413</t>
        </is>
      </c>
      <c r="B6995" s="4" t="n">
        <v>4</v>
      </c>
      <c r="C6995" s="4" t="inlineStr">
        <is>
          <t>mule deer</t>
        </is>
      </c>
      <c r="D6995" s="4" t="n">
        <v>2010</v>
      </c>
      <c r="E6995" s="13" t="inlineStr">
        <is>
          <t>General</t>
        </is>
      </c>
      <c r="F6995" s="5" t="n">
        <v>2144</v>
      </c>
      <c r="G6995" s="5" t="n">
        <v>10605</v>
      </c>
      <c r="H6995" s="5" t="n">
        <v>514</v>
      </c>
      <c r="I6995" s="5" t="n">
        <v>448</v>
      </c>
      <c r="J6995" s="5" t="n">
        <v>65</v>
      </c>
      <c r="K6995" s="10">
        <f>IF(F6995&gt;0,H6995/F6995,"")</f>
        <v/>
      </c>
      <c r="L6995" s="16">
        <f>IF(AND(G6995&gt;0,H6995&gt;0),G6995/H6995,"")</f>
        <v/>
      </c>
    </row>
    <row r="6996">
      <c r="A6996" s="4" t="inlineStr">
        <is>
          <t>413</t>
        </is>
      </c>
      <c r="B6996" s="4" t="n">
        <v>4</v>
      </c>
      <c r="C6996" s="4" t="inlineStr">
        <is>
          <t>mule deer</t>
        </is>
      </c>
      <c r="D6996" s="4" t="n">
        <v>2011</v>
      </c>
      <c r="E6996" s="13" t="inlineStr">
        <is>
          <t>General</t>
        </is>
      </c>
      <c r="F6996" s="5" t="n">
        <v>2286</v>
      </c>
      <c r="G6996" s="5" t="n">
        <v>10887</v>
      </c>
      <c r="H6996" s="5" t="n">
        <v>537</v>
      </c>
      <c r="I6996" s="5" t="n">
        <v>496</v>
      </c>
      <c r="J6996" s="5" t="n">
        <v>39</v>
      </c>
      <c r="K6996" s="10">
        <f>IF(F6996&gt;0,H6996/F6996,"")</f>
        <v/>
      </c>
      <c r="L6996" s="16">
        <f>IF(AND(G6996&gt;0,H6996&gt;0),G6996/H6996,"")</f>
        <v/>
      </c>
    </row>
    <row r="6997">
      <c r="A6997" s="4" t="inlineStr">
        <is>
          <t>413</t>
        </is>
      </c>
      <c r="B6997" s="4" t="n">
        <v>4</v>
      </c>
      <c r="C6997" s="4" t="inlineStr">
        <is>
          <t>mule deer</t>
        </is>
      </c>
      <c r="D6997" s="4" t="n">
        <v>2012</v>
      </c>
      <c r="E6997" s="13" t="inlineStr">
        <is>
          <t>General</t>
        </is>
      </c>
      <c r="F6997" s="5" t="n"/>
      <c r="G6997" s="5" t="n"/>
      <c r="H6997" s="5" t="n">
        <v>593</v>
      </c>
      <c r="I6997" s="5" t="n">
        <v>497</v>
      </c>
      <c r="J6997" s="5" t="n">
        <v>96</v>
      </c>
      <c r="K6997" s="10">
        <f>IF(F6997&gt;0,H6997/F6997,"")</f>
        <v/>
      </c>
      <c r="L6997" s="16">
        <f>IF(AND(G6997&gt;0,H6997&gt;0),G6997/H6997,"")</f>
        <v/>
      </c>
    </row>
    <row r="6998">
      <c r="A6998" s="4" t="inlineStr">
        <is>
          <t>413</t>
        </is>
      </c>
      <c r="B6998" s="4" t="n">
        <v>4</v>
      </c>
      <c r="C6998" s="4" t="inlineStr">
        <is>
          <t>mule deer</t>
        </is>
      </c>
      <c r="D6998" s="4" t="n">
        <v>2013</v>
      </c>
      <c r="E6998" s="13" t="inlineStr">
        <is>
          <t>General</t>
        </is>
      </c>
      <c r="F6998" s="5" t="n">
        <v>2403</v>
      </c>
      <c r="G6998" s="5" t="n">
        <v>12907</v>
      </c>
      <c r="H6998" s="5" t="n">
        <v>730</v>
      </c>
      <c r="I6998" s="5" t="n">
        <v>560</v>
      </c>
      <c r="J6998" s="5" t="n">
        <v>167</v>
      </c>
      <c r="K6998" s="10">
        <f>IF(F6998&gt;0,H6998/F6998,"")</f>
        <v/>
      </c>
      <c r="L6998" s="16">
        <f>IF(AND(G6998&gt;0,H6998&gt;0),G6998/H6998,"")</f>
        <v/>
      </c>
    </row>
    <row r="6999">
      <c r="A6999" s="4" t="inlineStr">
        <is>
          <t>413</t>
        </is>
      </c>
      <c r="B6999" s="4" t="n">
        <v>4</v>
      </c>
      <c r="C6999" s="4" t="inlineStr">
        <is>
          <t>mule deer</t>
        </is>
      </c>
      <c r="D6999" s="4" t="n">
        <v>2014</v>
      </c>
      <c r="E6999" s="13" t="inlineStr">
        <is>
          <t>General</t>
        </is>
      </c>
      <c r="F6999" s="5" t="n"/>
      <c r="G6999" s="5" t="n"/>
      <c r="H6999" s="5" t="n">
        <v>627</v>
      </c>
      <c r="I6999" s="5" t="n">
        <v>534</v>
      </c>
      <c r="J6999" s="5" t="n">
        <v>90</v>
      </c>
      <c r="K6999" s="10">
        <f>IF(F6999&gt;0,H6999/F6999,"")</f>
        <v/>
      </c>
      <c r="L6999" s="16">
        <f>IF(AND(G6999&gt;0,H6999&gt;0),G6999/H6999,"")</f>
        <v/>
      </c>
    </row>
    <row r="7000">
      <c r="A7000" s="4" t="inlineStr">
        <is>
          <t>413</t>
        </is>
      </c>
      <c r="B7000" s="4" t="n">
        <v>4</v>
      </c>
      <c r="C7000" s="4" t="inlineStr">
        <is>
          <t>mule deer</t>
        </is>
      </c>
      <c r="D7000" s="4" t="n">
        <v>2015</v>
      </c>
      <c r="E7000" s="13" t="inlineStr">
        <is>
          <t>General</t>
        </is>
      </c>
      <c r="F7000" s="5" t="n"/>
      <c r="G7000" s="5" t="n"/>
      <c r="H7000" s="5" t="n">
        <v>722</v>
      </c>
      <c r="I7000" s="5" t="n">
        <v>619</v>
      </c>
      <c r="J7000" s="5" t="n">
        <v>103</v>
      </c>
      <c r="K7000" s="10">
        <f>IF(F7000&gt;0,H7000/F7000,"")</f>
        <v/>
      </c>
      <c r="L7000" s="16">
        <f>IF(AND(G7000&gt;0,H7000&gt;0),G7000/H7000,"")</f>
        <v/>
      </c>
    </row>
    <row r="7001">
      <c r="A7001" s="4" t="inlineStr">
        <is>
          <t>413</t>
        </is>
      </c>
      <c r="B7001" s="4" t="n">
        <v>4</v>
      </c>
      <c r="C7001" s="4" t="inlineStr">
        <is>
          <t>mule deer</t>
        </is>
      </c>
      <c r="D7001" s="4" t="n">
        <v>2016</v>
      </c>
      <c r="E7001" s="13" t="inlineStr">
        <is>
          <t>General</t>
        </is>
      </c>
      <c r="F7001" s="5" t="n"/>
      <c r="G7001" s="5" t="n"/>
      <c r="H7001" s="5" t="n">
        <v>791</v>
      </c>
      <c r="I7001" s="5" t="n">
        <v>553</v>
      </c>
      <c r="J7001" s="5" t="n">
        <v>228</v>
      </c>
      <c r="K7001" s="10">
        <f>IF(F7001&gt;0,H7001/F7001,"")</f>
        <v/>
      </c>
      <c r="L7001" s="16">
        <f>IF(AND(G7001&gt;0,H7001&gt;0),G7001/H7001,"")</f>
        <v/>
      </c>
    </row>
    <row r="7002">
      <c r="A7002" s="4" t="inlineStr">
        <is>
          <t>413</t>
        </is>
      </c>
      <c r="B7002" s="4" t="n">
        <v>4</v>
      </c>
      <c r="C7002" s="4" t="inlineStr">
        <is>
          <t>mule deer</t>
        </is>
      </c>
      <c r="D7002" s="4" t="n">
        <v>2017</v>
      </c>
      <c r="E7002" s="13" t="inlineStr">
        <is>
          <t>General</t>
        </is>
      </c>
      <c r="F7002" s="5" t="n">
        <v>2034</v>
      </c>
      <c r="G7002" s="5" t="n">
        <v>9955</v>
      </c>
      <c r="H7002" s="5" t="n">
        <v>793</v>
      </c>
      <c r="I7002" s="5" t="n">
        <v>522</v>
      </c>
      <c r="J7002" s="5" t="n">
        <v>262</v>
      </c>
      <c r="K7002" s="10">
        <f>IF(F7002&gt;0,H7002/F7002,"")</f>
        <v/>
      </c>
      <c r="L7002" s="16">
        <f>IF(AND(G7002&gt;0,H7002&gt;0),G7002/H7002,"")</f>
        <v/>
      </c>
    </row>
    <row r="7003">
      <c r="A7003" s="4" t="inlineStr">
        <is>
          <t>413</t>
        </is>
      </c>
      <c r="B7003" s="4" t="n">
        <v>4</v>
      </c>
      <c r="C7003" s="4" t="inlineStr">
        <is>
          <t>mule deer</t>
        </is>
      </c>
      <c r="D7003" s="4" t="n">
        <v>2018</v>
      </c>
      <c r="E7003" s="13" t="inlineStr">
        <is>
          <t>General</t>
        </is>
      </c>
      <c r="F7003" s="5" t="n"/>
      <c r="G7003" s="5" t="n"/>
      <c r="H7003" s="5" t="n">
        <v>669</v>
      </c>
      <c r="I7003" s="5" t="n">
        <v>449</v>
      </c>
      <c r="J7003" s="5" t="n">
        <v>217</v>
      </c>
      <c r="K7003" s="10">
        <f>IF(F7003&gt;0,H7003/F7003,"")</f>
        <v/>
      </c>
      <c r="L7003" s="16">
        <f>IF(AND(G7003&gt;0,H7003&gt;0),G7003/H7003,"")</f>
        <v/>
      </c>
    </row>
    <row r="7004">
      <c r="A7004" s="4" t="inlineStr">
        <is>
          <t>413</t>
        </is>
      </c>
      <c r="B7004" s="4" t="n">
        <v>4</v>
      </c>
      <c r="C7004" s="4" t="inlineStr">
        <is>
          <t>mule deer</t>
        </is>
      </c>
      <c r="D7004" s="4" t="n">
        <v>2019</v>
      </c>
      <c r="E7004" s="13" t="inlineStr">
        <is>
          <t>General</t>
        </is>
      </c>
      <c r="F7004" s="5" t="n">
        <v>1884</v>
      </c>
      <c r="G7004" s="5" t="n">
        <v>8845</v>
      </c>
      <c r="H7004" s="5" t="n">
        <v>601</v>
      </c>
      <c r="I7004" s="5" t="n">
        <v>478</v>
      </c>
      <c r="J7004" s="5" t="n">
        <v>116</v>
      </c>
      <c r="K7004" s="10">
        <f>IF(F7004&gt;0,H7004/F7004,"")</f>
        <v/>
      </c>
      <c r="L7004" s="16">
        <f>IF(AND(G7004&gt;0,H7004&gt;0),G7004/H7004,"")</f>
        <v/>
      </c>
    </row>
    <row r="7005">
      <c r="A7005" s="4" t="inlineStr">
        <is>
          <t>413</t>
        </is>
      </c>
      <c r="B7005" s="4" t="n">
        <v>4</v>
      </c>
      <c r="C7005" s="4" t="inlineStr">
        <is>
          <t>mule deer</t>
        </is>
      </c>
      <c r="D7005" s="4" t="n">
        <v>2020</v>
      </c>
      <c r="E7005" s="13" t="inlineStr">
        <is>
          <t>General</t>
        </is>
      </c>
      <c r="F7005" s="5" t="n"/>
      <c r="G7005" s="5" t="n"/>
      <c r="H7005" s="5" t="n">
        <v>570</v>
      </c>
      <c r="I7005" s="5" t="n">
        <v>414</v>
      </c>
      <c r="J7005" s="5" t="n">
        <v>149</v>
      </c>
      <c r="K7005" s="10">
        <f>IF(F7005&gt;0,H7005/F7005,"")</f>
        <v/>
      </c>
      <c r="L7005" s="16">
        <f>IF(AND(G7005&gt;0,H7005&gt;0),G7005/H7005,"")</f>
        <v/>
      </c>
    </row>
    <row r="7006">
      <c r="A7006" s="4" t="inlineStr">
        <is>
          <t>413</t>
        </is>
      </c>
      <c r="B7006" s="4" t="n">
        <v>4</v>
      </c>
      <c r="C7006" s="4" t="inlineStr">
        <is>
          <t>mule deer</t>
        </is>
      </c>
      <c r="D7006" s="4" t="n">
        <v>2021</v>
      </c>
      <c r="E7006" s="13" t="inlineStr">
        <is>
          <t>General</t>
        </is>
      </c>
      <c r="F7006" s="5" t="n">
        <v>1901</v>
      </c>
      <c r="G7006" s="5" t="n">
        <v>9654</v>
      </c>
      <c r="H7006" s="5" t="n">
        <v>532</v>
      </c>
      <c r="I7006" s="5" t="n">
        <v>436</v>
      </c>
      <c r="J7006" s="5" t="n">
        <v>96</v>
      </c>
      <c r="K7006" s="10">
        <f>IF(F7006&gt;0,H7006/F7006,"")</f>
        <v/>
      </c>
      <c r="L7006" s="16">
        <f>IF(AND(G7006&gt;0,H7006&gt;0),G7006/H7006,"")</f>
        <v/>
      </c>
    </row>
    <row r="7007">
      <c r="A7007" s="4" t="inlineStr">
        <is>
          <t>413</t>
        </is>
      </c>
      <c r="B7007" s="4" t="n">
        <v>4</v>
      </c>
      <c r="C7007" s="4" t="inlineStr">
        <is>
          <t>mule deer</t>
        </is>
      </c>
      <c r="D7007" s="4" t="n">
        <v>2022</v>
      </c>
      <c r="E7007" s="13" t="inlineStr">
        <is>
          <t>General</t>
        </is>
      </c>
      <c r="F7007" s="5" t="n"/>
      <c r="G7007" s="5" t="n"/>
      <c r="H7007" s="5" t="n">
        <v>776</v>
      </c>
      <c r="I7007" s="5" t="n">
        <v>676</v>
      </c>
      <c r="J7007" s="5" t="n">
        <v>100</v>
      </c>
      <c r="K7007" s="10">
        <f>IF(F7007&gt;0,H7007/F7007,"")</f>
        <v/>
      </c>
      <c r="L7007" s="16">
        <f>IF(AND(G7007&gt;0,H7007&gt;0),G7007/H7007,"")</f>
        <v/>
      </c>
    </row>
    <row r="7008">
      <c r="A7008" s="4" t="inlineStr">
        <is>
          <t>413</t>
        </is>
      </c>
      <c r="B7008" s="4" t="n">
        <v>4</v>
      </c>
      <c r="C7008" s="4" t="inlineStr">
        <is>
          <t>mule deer</t>
        </is>
      </c>
      <c r="D7008" s="4" t="n">
        <v>2023</v>
      </c>
      <c r="E7008" s="13" t="inlineStr">
        <is>
          <t>General</t>
        </is>
      </c>
      <c r="F7008" s="5" t="n">
        <v>2783</v>
      </c>
      <c r="G7008" s="5" t="n">
        <v>15981</v>
      </c>
      <c r="H7008" s="5" t="n">
        <v>732</v>
      </c>
      <c r="I7008" s="5" t="n">
        <v>671</v>
      </c>
      <c r="J7008" s="5" t="n">
        <v>61</v>
      </c>
      <c r="K7008" s="10">
        <f>IF(F7008&gt;0,H7008/F7008,"")</f>
        <v/>
      </c>
      <c r="L7008" s="16">
        <f>IF(AND(G7008&gt;0,H7008&gt;0),G7008/H7008,"")</f>
        <v/>
      </c>
    </row>
    <row r="7009">
      <c r="A7009" s="4" t="inlineStr">
        <is>
          <t>413</t>
        </is>
      </c>
      <c r="B7009" s="4" t="n">
        <v>4</v>
      </c>
      <c r="C7009" s="4" t="inlineStr">
        <is>
          <t>mule deer</t>
        </is>
      </c>
      <c r="D7009" s="4" t="n">
        <v>2024</v>
      </c>
      <c r="E7009" s="13" t="inlineStr">
        <is>
          <t>General</t>
        </is>
      </c>
      <c r="F7009" s="5" t="n"/>
      <c r="G7009" s="5" t="n"/>
      <c r="H7009" s="5" t="n">
        <v>754</v>
      </c>
      <c r="I7009" s="5" t="n">
        <v>684</v>
      </c>
      <c r="J7009" s="5" t="n">
        <v>70</v>
      </c>
      <c r="K7009" s="10">
        <f>IF(F7009&gt;0,H7009/F7009,"")</f>
        <v/>
      </c>
      <c r="L7009" s="16">
        <f>IF(AND(G7009&gt;0,H7009&gt;0),G7009/H7009,"")</f>
        <v/>
      </c>
    </row>
    <row r="7010">
      <c r="A7010" s="4" t="inlineStr">
        <is>
          <t>413</t>
        </is>
      </c>
      <c r="B7010" s="4" t="n">
        <v>4</v>
      </c>
      <c r="C7010" s="4" t="inlineStr">
        <is>
          <t>mule deer</t>
        </is>
      </c>
      <c r="D7010" s="4" t="n">
        <v>2025</v>
      </c>
      <c r="E7010" s="13" t="inlineStr">
        <is>
          <t>General</t>
        </is>
      </c>
      <c r="F7010" s="5" t="n">
        <v>2609</v>
      </c>
      <c r="G7010" s="5" t="n">
        <v>17008</v>
      </c>
      <c r="H7010" s="5" t="n">
        <v>564</v>
      </c>
      <c r="I7010" s="5" t="n">
        <v>502</v>
      </c>
      <c r="J7010" s="5" t="n">
        <v>63</v>
      </c>
      <c r="K7010" s="10">
        <f>IF(F7010&gt;0,H7010/F7010,"")</f>
        <v/>
      </c>
      <c r="L7010" s="16">
        <f>IF(AND(G7010&gt;0,H7010&gt;0),G7010/H7010,"")</f>
        <v/>
      </c>
    </row>
    <row r="7011">
      <c r="A7011" s="4" t="inlineStr">
        <is>
          <t>415</t>
        </is>
      </c>
      <c r="B7011" s="4" t="n">
        <v>4</v>
      </c>
      <c r="C7011" s="4" t="inlineStr">
        <is>
          <t>mule deer</t>
        </is>
      </c>
      <c r="D7011" s="4" t="n">
        <v>2004</v>
      </c>
      <c r="E7011" s="13" t="inlineStr">
        <is>
          <t>General</t>
        </is>
      </c>
      <c r="F7011" s="5" t="n">
        <v>111</v>
      </c>
      <c r="G7011" s="5" t="n">
        <v>545</v>
      </c>
      <c r="H7011" s="5" t="n">
        <v>12</v>
      </c>
      <c r="I7011" s="5" t="n">
        <v>12</v>
      </c>
      <c r="J7011" s="5" t="n">
        <v>0</v>
      </c>
      <c r="K7011" s="10">
        <f>IF(F7011&gt;0,H7011/F7011,"")</f>
        <v/>
      </c>
      <c r="L7011" s="16">
        <f>IF(AND(G7011&gt;0,H7011&gt;0),G7011/H7011,"")</f>
        <v/>
      </c>
    </row>
    <row r="7012">
      <c r="A7012" s="4" t="inlineStr">
        <is>
          <t>415</t>
        </is>
      </c>
      <c r="B7012" s="4" t="n">
        <v>4</v>
      </c>
      <c r="C7012" s="4" t="inlineStr">
        <is>
          <t>mule deer</t>
        </is>
      </c>
      <c r="D7012" s="4" t="n">
        <v>2005</v>
      </c>
      <c r="E7012" s="13" t="inlineStr">
        <is>
          <t>General</t>
        </is>
      </c>
      <c r="F7012" s="5" t="n">
        <v>60</v>
      </c>
      <c r="G7012" s="5" t="n">
        <v>321</v>
      </c>
      <c r="H7012" s="5" t="n">
        <v>10</v>
      </c>
      <c r="I7012" s="5" t="n">
        <v>10</v>
      </c>
      <c r="J7012" s="5" t="n">
        <v>0</v>
      </c>
      <c r="K7012" s="10">
        <f>IF(F7012&gt;0,H7012/F7012,"")</f>
        <v/>
      </c>
      <c r="L7012" s="16">
        <f>IF(AND(G7012&gt;0,H7012&gt;0),G7012/H7012,"")</f>
        <v/>
      </c>
    </row>
    <row r="7013">
      <c r="A7013" s="4" t="inlineStr">
        <is>
          <t>415</t>
        </is>
      </c>
      <c r="B7013" s="4" t="n">
        <v>4</v>
      </c>
      <c r="C7013" s="4" t="inlineStr">
        <is>
          <t>mule deer</t>
        </is>
      </c>
      <c r="D7013" s="4" t="n">
        <v>2006</v>
      </c>
      <c r="E7013" s="13" t="inlineStr">
        <is>
          <t>General</t>
        </is>
      </c>
      <c r="F7013" s="5" t="n">
        <v>89</v>
      </c>
      <c r="G7013" s="5" t="n">
        <v>436</v>
      </c>
      <c r="H7013" s="5" t="n">
        <v>4</v>
      </c>
      <c r="I7013" s="5" t="n">
        <v>0</v>
      </c>
      <c r="J7013" s="5" t="n">
        <v>4</v>
      </c>
      <c r="K7013" s="10">
        <f>IF(F7013&gt;0,H7013/F7013,"")</f>
        <v/>
      </c>
      <c r="L7013" s="16">
        <f>IF(AND(G7013&gt;0,H7013&gt;0),G7013/H7013,"")</f>
        <v/>
      </c>
    </row>
    <row r="7014">
      <c r="A7014" s="4" t="inlineStr">
        <is>
          <t>415</t>
        </is>
      </c>
      <c r="B7014" s="4" t="n">
        <v>4</v>
      </c>
      <c r="C7014" s="4" t="inlineStr">
        <is>
          <t>mule deer</t>
        </is>
      </c>
      <c r="D7014" s="4" t="n">
        <v>2007</v>
      </c>
      <c r="E7014" s="13" t="inlineStr">
        <is>
          <t>General</t>
        </is>
      </c>
      <c r="F7014" s="5" t="n">
        <v>125</v>
      </c>
      <c r="G7014" s="5" t="n">
        <v>778</v>
      </c>
      <c r="H7014" s="5" t="n">
        <v>10</v>
      </c>
      <c r="I7014" s="5" t="n">
        <v>5</v>
      </c>
      <c r="J7014" s="5" t="n">
        <v>5</v>
      </c>
      <c r="K7014" s="10">
        <f>IF(F7014&gt;0,H7014/F7014,"")</f>
        <v/>
      </c>
      <c r="L7014" s="16">
        <f>IF(AND(G7014&gt;0,H7014&gt;0),G7014/H7014,"")</f>
        <v/>
      </c>
    </row>
    <row r="7015">
      <c r="A7015" s="4" t="inlineStr">
        <is>
          <t>415</t>
        </is>
      </c>
      <c r="B7015" s="4" t="n">
        <v>4</v>
      </c>
      <c r="C7015" s="4" t="inlineStr">
        <is>
          <t>mule deer</t>
        </is>
      </c>
      <c r="D7015" s="4" t="n">
        <v>2008</v>
      </c>
      <c r="E7015" s="13" t="inlineStr">
        <is>
          <t>General</t>
        </is>
      </c>
      <c r="F7015" s="5" t="n">
        <v>84</v>
      </c>
      <c r="G7015" s="5" t="n">
        <v>536</v>
      </c>
      <c r="H7015" s="5" t="n">
        <v>6</v>
      </c>
      <c r="I7015" s="5" t="n">
        <v>6</v>
      </c>
      <c r="J7015" s="5" t="n">
        <v>0</v>
      </c>
      <c r="K7015" s="10">
        <f>IF(F7015&gt;0,H7015/F7015,"")</f>
        <v/>
      </c>
      <c r="L7015" s="16">
        <f>IF(AND(G7015&gt;0,H7015&gt;0),G7015/H7015,"")</f>
        <v/>
      </c>
    </row>
    <row r="7016">
      <c r="A7016" s="4" t="inlineStr">
        <is>
          <t>415</t>
        </is>
      </c>
      <c r="B7016" s="4" t="n">
        <v>4</v>
      </c>
      <c r="C7016" s="4" t="inlineStr">
        <is>
          <t>mule deer</t>
        </is>
      </c>
      <c r="D7016" s="4" t="n">
        <v>2009</v>
      </c>
      <c r="E7016" s="13" t="inlineStr">
        <is>
          <t>General</t>
        </is>
      </c>
      <c r="F7016" s="5" t="n">
        <v>118</v>
      </c>
      <c r="G7016" s="5" t="n">
        <v>835</v>
      </c>
      <c r="H7016" s="5" t="n">
        <v>20</v>
      </c>
      <c r="I7016" s="5" t="n">
        <v>14</v>
      </c>
      <c r="J7016" s="5" t="n">
        <v>6</v>
      </c>
      <c r="K7016" s="10">
        <f>IF(F7016&gt;0,H7016/F7016,"")</f>
        <v/>
      </c>
      <c r="L7016" s="16">
        <f>IF(AND(G7016&gt;0,H7016&gt;0),G7016/H7016,"")</f>
        <v/>
      </c>
    </row>
    <row r="7017">
      <c r="A7017" s="4" t="inlineStr">
        <is>
          <t>415</t>
        </is>
      </c>
      <c r="B7017" s="4" t="n">
        <v>4</v>
      </c>
      <c r="C7017" s="4" t="inlineStr">
        <is>
          <t>mule deer</t>
        </is>
      </c>
      <c r="D7017" s="4" t="n">
        <v>2010</v>
      </c>
      <c r="E7017" s="13" t="inlineStr">
        <is>
          <t>General</t>
        </is>
      </c>
      <c r="F7017" s="5" t="n">
        <v>79</v>
      </c>
      <c r="G7017" s="5" t="n">
        <v>545</v>
      </c>
      <c r="H7017" s="5" t="n">
        <v>11</v>
      </c>
      <c r="I7017" s="5" t="n">
        <v>11</v>
      </c>
      <c r="J7017" s="5" t="n">
        <v>0</v>
      </c>
      <c r="K7017" s="10">
        <f>IF(F7017&gt;0,H7017/F7017,"")</f>
        <v/>
      </c>
      <c r="L7017" s="16">
        <f>IF(AND(G7017&gt;0,H7017&gt;0),G7017/H7017,"")</f>
        <v/>
      </c>
    </row>
    <row r="7018">
      <c r="A7018" s="4" t="inlineStr">
        <is>
          <t>415</t>
        </is>
      </c>
      <c r="B7018" s="4" t="n">
        <v>4</v>
      </c>
      <c r="C7018" s="4" t="inlineStr">
        <is>
          <t>mule deer</t>
        </is>
      </c>
      <c r="D7018" s="4" t="n">
        <v>2011</v>
      </c>
      <c r="E7018" s="13" t="inlineStr">
        <is>
          <t>General</t>
        </is>
      </c>
      <c r="F7018" s="5" t="n">
        <v>137</v>
      </c>
      <c r="G7018" s="5" t="n">
        <v>874</v>
      </c>
      <c r="H7018" s="5" t="n">
        <v>3</v>
      </c>
      <c r="I7018" s="5" t="n">
        <v>3</v>
      </c>
      <c r="J7018" s="5" t="n">
        <v>0</v>
      </c>
      <c r="K7018" s="10">
        <f>IF(F7018&gt;0,H7018/F7018,"")</f>
        <v/>
      </c>
      <c r="L7018" s="16">
        <f>IF(AND(G7018&gt;0,H7018&gt;0),G7018/H7018,"")</f>
        <v/>
      </c>
    </row>
    <row r="7019">
      <c r="A7019" s="4" t="inlineStr">
        <is>
          <t>415</t>
        </is>
      </c>
      <c r="B7019" s="4" t="n">
        <v>4</v>
      </c>
      <c r="C7019" s="4" t="inlineStr">
        <is>
          <t>mule deer</t>
        </is>
      </c>
      <c r="D7019" s="4" t="n">
        <v>2013</v>
      </c>
      <c r="E7019" s="13" t="inlineStr">
        <is>
          <t>General</t>
        </is>
      </c>
      <c r="F7019" s="5" t="n">
        <v>101</v>
      </c>
      <c r="G7019" s="5" t="n">
        <v>788</v>
      </c>
      <c r="H7019" s="5" t="n">
        <v>3</v>
      </c>
      <c r="I7019" s="5" t="n">
        <v>3</v>
      </c>
      <c r="J7019" s="5" t="n">
        <v>0</v>
      </c>
      <c r="K7019" s="10">
        <f>IF(F7019&gt;0,H7019/F7019,"")</f>
        <v/>
      </c>
      <c r="L7019" s="16">
        <f>IF(AND(G7019&gt;0,H7019&gt;0),G7019/H7019,"")</f>
        <v/>
      </c>
    </row>
    <row r="7020">
      <c r="A7020" s="4" t="inlineStr">
        <is>
          <t>415</t>
        </is>
      </c>
      <c r="B7020" s="4" t="n">
        <v>4</v>
      </c>
      <c r="C7020" s="4" t="inlineStr">
        <is>
          <t>mule deer</t>
        </is>
      </c>
      <c r="D7020" s="4" t="n">
        <v>2015</v>
      </c>
      <c r="E7020" s="13" t="inlineStr">
        <is>
          <t>General</t>
        </is>
      </c>
      <c r="F7020" s="5" t="n"/>
      <c r="G7020" s="5" t="n"/>
      <c r="H7020" s="5" t="n">
        <v>23</v>
      </c>
      <c r="I7020" s="5" t="n">
        <v>23</v>
      </c>
      <c r="J7020" s="5" t="n">
        <v>0</v>
      </c>
      <c r="K7020" s="10">
        <f>IF(F7020&gt;0,H7020/F7020,"")</f>
        <v/>
      </c>
      <c r="L7020" s="16">
        <f>IF(AND(G7020&gt;0,H7020&gt;0),G7020/H7020,"")</f>
        <v/>
      </c>
    </row>
    <row r="7021">
      <c r="A7021" s="4" t="inlineStr">
        <is>
          <t>415</t>
        </is>
      </c>
      <c r="B7021" s="4" t="n">
        <v>4</v>
      </c>
      <c r="C7021" s="4" t="inlineStr">
        <is>
          <t>mule deer</t>
        </is>
      </c>
      <c r="D7021" s="4" t="n">
        <v>2016</v>
      </c>
      <c r="E7021" s="13" t="inlineStr">
        <is>
          <t>General</t>
        </is>
      </c>
      <c r="F7021" s="5" t="n"/>
      <c r="G7021" s="5" t="n"/>
      <c r="H7021" s="5" t="n">
        <v>12</v>
      </c>
      <c r="I7021" s="5" t="n">
        <v>12</v>
      </c>
      <c r="J7021" s="5" t="n">
        <v>0</v>
      </c>
      <c r="K7021" s="10">
        <f>IF(F7021&gt;0,H7021/F7021,"")</f>
        <v/>
      </c>
      <c r="L7021" s="16">
        <f>IF(AND(G7021&gt;0,H7021&gt;0),G7021/H7021,"")</f>
        <v/>
      </c>
    </row>
    <row r="7022">
      <c r="A7022" s="4" t="inlineStr">
        <is>
          <t>415</t>
        </is>
      </c>
      <c r="B7022" s="4" t="n">
        <v>4</v>
      </c>
      <c r="C7022" s="4" t="inlineStr">
        <is>
          <t>mule deer</t>
        </is>
      </c>
      <c r="D7022" s="4" t="n">
        <v>2017</v>
      </c>
      <c r="E7022" s="13" t="inlineStr">
        <is>
          <t>General</t>
        </is>
      </c>
      <c r="F7022" s="5" t="n">
        <v>77</v>
      </c>
      <c r="G7022" s="5" t="n">
        <v>388</v>
      </c>
      <c r="H7022" s="5" t="n">
        <v>15</v>
      </c>
      <c r="I7022" s="5" t="n">
        <v>12</v>
      </c>
      <c r="J7022" s="5" t="n">
        <v>3</v>
      </c>
      <c r="K7022" s="10">
        <f>IF(F7022&gt;0,H7022/F7022,"")</f>
        <v/>
      </c>
      <c r="L7022" s="16">
        <f>IF(AND(G7022&gt;0,H7022&gt;0),G7022/H7022,"")</f>
        <v/>
      </c>
    </row>
    <row r="7023">
      <c r="A7023" s="4" t="inlineStr">
        <is>
          <t>415</t>
        </is>
      </c>
      <c r="B7023" s="4" t="n">
        <v>4</v>
      </c>
      <c r="C7023" s="4" t="inlineStr">
        <is>
          <t>mule deer</t>
        </is>
      </c>
      <c r="D7023" s="4" t="n">
        <v>2018</v>
      </c>
      <c r="E7023" s="13" t="inlineStr">
        <is>
          <t>General</t>
        </is>
      </c>
      <c r="F7023" s="5" t="n"/>
      <c r="G7023" s="5" t="n"/>
      <c r="H7023" s="5" t="n">
        <v>3</v>
      </c>
      <c r="I7023" s="5" t="n">
        <v>3</v>
      </c>
      <c r="J7023" s="5" t="n">
        <v>0</v>
      </c>
      <c r="K7023" s="10">
        <f>IF(F7023&gt;0,H7023/F7023,"")</f>
        <v/>
      </c>
      <c r="L7023" s="16">
        <f>IF(AND(G7023&gt;0,H7023&gt;0),G7023/H7023,"")</f>
        <v/>
      </c>
    </row>
    <row r="7024">
      <c r="A7024" s="4" t="inlineStr">
        <is>
          <t>415</t>
        </is>
      </c>
      <c r="B7024" s="4" t="n">
        <v>4</v>
      </c>
      <c r="C7024" s="4" t="inlineStr">
        <is>
          <t>mule deer</t>
        </is>
      </c>
      <c r="D7024" s="4" t="n">
        <v>2019</v>
      </c>
      <c r="E7024" s="13" t="inlineStr">
        <is>
          <t>General</t>
        </is>
      </c>
      <c r="F7024" s="5" t="n">
        <v>76</v>
      </c>
      <c r="G7024" s="5" t="n">
        <v>405</v>
      </c>
      <c r="H7024" s="5" t="n">
        <v>3</v>
      </c>
      <c r="I7024" s="5" t="n">
        <v>3</v>
      </c>
      <c r="J7024" s="5" t="n">
        <v>0</v>
      </c>
      <c r="K7024" s="10">
        <f>IF(F7024&gt;0,H7024/F7024,"")</f>
        <v/>
      </c>
      <c r="L7024" s="16">
        <f>IF(AND(G7024&gt;0,H7024&gt;0),G7024/H7024,"")</f>
        <v/>
      </c>
    </row>
    <row r="7025">
      <c r="A7025" s="4" t="inlineStr">
        <is>
          <t>415</t>
        </is>
      </c>
      <c r="B7025" s="4" t="n">
        <v>4</v>
      </c>
      <c r="C7025" s="4" t="inlineStr">
        <is>
          <t>mule deer</t>
        </is>
      </c>
      <c r="D7025" s="4" t="n">
        <v>2020</v>
      </c>
      <c r="E7025" s="13" t="inlineStr">
        <is>
          <t>General</t>
        </is>
      </c>
      <c r="F7025" s="5" t="n"/>
      <c r="G7025" s="5" t="n"/>
      <c r="H7025" s="5" t="n">
        <v>10</v>
      </c>
      <c r="I7025" s="5" t="n">
        <v>7</v>
      </c>
      <c r="J7025" s="5" t="n">
        <v>3</v>
      </c>
      <c r="K7025" s="10">
        <f>IF(F7025&gt;0,H7025/F7025,"")</f>
        <v/>
      </c>
      <c r="L7025" s="16">
        <f>IF(AND(G7025&gt;0,H7025&gt;0),G7025/H7025,"")</f>
        <v/>
      </c>
    </row>
    <row r="7026">
      <c r="A7026" s="4" t="inlineStr">
        <is>
          <t>415</t>
        </is>
      </c>
      <c r="B7026" s="4" t="n">
        <v>4</v>
      </c>
      <c r="C7026" s="4" t="inlineStr">
        <is>
          <t>mule deer</t>
        </is>
      </c>
      <c r="D7026" s="4" t="n">
        <v>2021</v>
      </c>
      <c r="E7026" s="13" t="inlineStr">
        <is>
          <t>General</t>
        </is>
      </c>
      <c r="F7026" s="5" t="n">
        <v>124</v>
      </c>
      <c r="G7026" s="5" t="n">
        <v>736</v>
      </c>
      <c r="H7026" s="5" t="n">
        <v>8</v>
      </c>
      <c r="I7026" s="5" t="n">
        <v>4</v>
      </c>
      <c r="J7026" s="5" t="n">
        <v>4</v>
      </c>
      <c r="K7026" s="10">
        <f>IF(F7026&gt;0,H7026/F7026,"")</f>
        <v/>
      </c>
      <c r="L7026" s="16">
        <f>IF(AND(G7026&gt;0,H7026&gt;0),G7026/H7026,"")</f>
        <v/>
      </c>
    </row>
    <row r="7027">
      <c r="A7027" s="4" t="inlineStr">
        <is>
          <t>415</t>
        </is>
      </c>
      <c r="B7027" s="4" t="n">
        <v>4</v>
      </c>
      <c r="C7027" s="4" t="inlineStr">
        <is>
          <t>mule deer</t>
        </is>
      </c>
      <c r="D7027" s="4" t="n">
        <v>2022</v>
      </c>
      <c r="E7027" s="13" t="inlineStr">
        <is>
          <t>General</t>
        </is>
      </c>
      <c r="F7027" s="5" t="n"/>
      <c r="G7027" s="5" t="n"/>
      <c r="H7027" s="5" t="n">
        <v>7</v>
      </c>
      <c r="I7027" s="5" t="n">
        <v>7</v>
      </c>
      <c r="J7027" s="5" t="n">
        <v>0</v>
      </c>
      <c r="K7027" s="10">
        <f>IF(F7027&gt;0,H7027/F7027,"")</f>
        <v/>
      </c>
      <c r="L7027" s="16">
        <f>IF(AND(G7027&gt;0,H7027&gt;0),G7027/H7027,"")</f>
        <v/>
      </c>
    </row>
    <row r="7028">
      <c r="A7028" s="4" t="inlineStr">
        <is>
          <t>415</t>
        </is>
      </c>
      <c r="B7028" s="4" t="n">
        <v>4</v>
      </c>
      <c r="C7028" s="4" t="inlineStr">
        <is>
          <t>mule deer</t>
        </is>
      </c>
      <c r="D7028" s="4" t="n">
        <v>2023</v>
      </c>
      <c r="E7028" s="13" t="inlineStr">
        <is>
          <t>General</t>
        </is>
      </c>
      <c r="F7028" s="5" t="n">
        <v>111</v>
      </c>
      <c r="G7028" s="5" t="n">
        <v>1201</v>
      </c>
      <c r="H7028" s="5" t="n">
        <v>24</v>
      </c>
      <c r="I7028" s="5" t="n">
        <v>24</v>
      </c>
      <c r="J7028" s="5" t="n">
        <v>0</v>
      </c>
      <c r="K7028" s="10">
        <f>IF(F7028&gt;0,H7028/F7028,"")</f>
        <v/>
      </c>
      <c r="L7028" s="16">
        <f>IF(AND(G7028&gt;0,H7028&gt;0),G7028/H7028,"")</f>
        <v/>
      </c>
    </row>
    <row r="7029">
      <c r="A7029" s="4" t="inlineStr">
        <is>
          <t>415</t>
        </is>
      </c>
      <c r="B7029" s="4" t="n">
        <v>4</v>
      </c>
      <c r="C7029" s="4" t="inlineStr">
        <is>
          <t>mule deer</t>
        </is>
      </c>
      <c r="D7029" s="4" t="n">
        <v>2024</v>
      </c>
      <c r="E7029" s="13" t="inlineStr">
        <is>
          <t>General</t>
        </is>
      </c>
      <c r="F7029" s="5" t="n"/>
      <c r="G7029" s="5" t="n"/>
      <c r="H7029" s="5" t="n">
        <v>18</v>
      </c>
      <c r="I7029" s="5" t="n">
        <v>15</v>
      </c>
      <c r="J7029" s="5" t="n">
        <v>3</v>
      </c>
      <c r="K7029" s="10">
        <f>IF(F7029&gt;0,H7029/F7029,"")</f>
        <v/>
      </c>
      <c r="L7029" s="16">
        <f>IF(AND(G7029&gt;0,H7029&gt;0),G7029/H7029,"")</f>
        <v/>
      </c>
    </row>
    <row r="7030">
      <c r="A7030" s="4" t="inlineStr">
        <is>
          <t>415</t>
        </is>
      </c>
      <c r="B7030" s="4" t="n">
        <v>4</v>
      </c>
      <c r="C7030" s="4" t="inlineStr">
        <is>
          <t>mule deer</t>
        </is>
      </c>
      <c r="D7030" s="4" t="n">
        <v>2025</v>
      </c>
      <c r="E7030" s="13" t="inlineStr">
        <is>
          <t>General</t>
        </is>
      </c>
      <c r="F7030" s="5" t="n">
        <v>102</v>
      </c>
      <c r="G7030" s="5" t="n">
        <v>539</v>
      </c>
      <c r="H7030" s="5" t="n">
        <v>11</v>
      </c>
      <c r="I7030" s="5" t="n">
        <v>11</v>
      </c>
      <c r="J7030" s="5" t="n">
        <v>0</v>
      </c>
      <c r="K7030" s="10">
        <f>IF(F7030&gt;0,H7030/F7030,"")</f>
        <v/>
      </c>
      <c r="L7030" s="16">
        <f>IF(AND(G7030&gt;0,H7030&gt;0),G7030/H7030,"")</f>
        <v/>
      </c>
    </row>
    <row r="7031">
      <c r="A7031" s="4" t="inlineStr">
        <is>
          <t>416</t>
        </is>
      </c>
      <c r="B7031" s="4" t="n">
        <v>4</v>
      </c>
      <c r="C7031" s="4" t="inlineStr">
        <is>
          <t>mule deer</t>
        </is>
      </c>
      <c r="D7031" s="4" t="n">
        <v>2004</v>
      </c>
      <c r="E7031" s="13" t="inlineStr">
        <is>
          <t>General</t>
        </is>
      </c>
      <c r="F7031" s="5" t="n">
        <v>992</v>
      </c>
      <c r="G7031" s="5" t="n">
        <v>4827</v>
      </c>
      <c r="H7031" s="5" t="n">
        <v>256</v>
      </c>
      <c r="I7031" s="5" t="n">
        <v>196</v>
      </c>
      <c r="J7031" s="5" t="n">
        <v>59</v>
      </c>
      <c r="K7031" s="10">
        <f>IF(F7031&gt;0,H7031/F7031,"")</f>
        <v/>
      </c>
      <c r="L7031" s="16">
        <f>IF(AND(G7031&gt;0,H7031&gt;0),G7031/H7031,"")</f>
        <v/>
      </c>
    </row>
    <row r="7032">
      <c r="A7032" s="4" t="inlineStr">
        <is>
          <t>416</t>
        </is>
      </c>
      <c r="B7032" s="4" t="n">
        <v>4</v>
      </c>
      <c r="C7032" s="4" t="inlineStr">
        <is>
          <t>mule deer</t>
        </is>
      </c>
      <c r="D7032" s="4" t="n">
        <v>2005</v>
      </c>
      <c r="E7032" s="13" t="inlineStr">
        <is>
          <t>General</t>
        </is>
      </c>
      <c r="F7032" s="5" t="n">
        <v>960</v>
      </c>
      <c r="G7032" s="5" t="n">
        <v>4783</v>
      </c>
      <c r="H7032" s="5" t="n">
        <v>268</v>
      </c>
      <c r="I7032" s="5" t="n">
        <v>205</v>
      </c>
      <c r="J7032" s="5" t="n">
        <v>63</v>
      </c>
      <c r="K7032" s="10">
        <f>IF(F7032&gt;0,H7032/F7032,"")</f>
        <v/>
      </c>
      <c r="L7032" s="16">
        <f>IF(AND(G7032&gt;0,H7032&gt;0),G7032/H7032,"")</f>
        <v/>
      </c>
    </row>
    <row r="7033">
      <c r="A7033" s="4" t="inlineStr">
        <is>
          <t>416</t>
        </is>
      </c>
      <c r="B7033" s="4" t="n">
        <v>4</v>
      </c>
      <c r="C7033" s="4" t="inlineStr">
        <is>
          <t>mule deer</t>
        </is>
      </c>
      <c r="D7033" s="4" t="n">
        <v>2006</v>
      </c>
      <c r="E7033" s="13" t="inlineStr">
        <is>
          <t>General</t>
        </is>
      </c>
      <c r="F7033" s="5" t="n">
        <v>977</v>
      </c>
      <c r="G7033" s="5" t="n">
        <v>5248</v>
      </c>
      <c r="H7033" s="5" t="n">
        <v>260</v>
      </c>
      <c r="I7033" s="5" t="n">
        <v>241</v>
      </c>
      <c r="J7033" s="5" t="n">
        <v>19</v>
      </c>
      <c r="K7033" s="10">
        <f>IF(F7033&gt;0,H7033/F7033,"")</f>
        <v/>
      </c>
      <c r="L7033" s="16">
        <f>IF(AND(G7033&gt;0,H7033&gt;0),G7033/H7033,"")</f>
        <v/>
      </c>
    </row>
    <row r="7034">
      <c r="A7034" s="4" t="inlineStr">
        <is>
          <t>416</t>
        </is>
      </c>
      <c r="B7034" s="4" t="n">
        <v>4</v>
      </c>
      <c r="C7034" s="4" t="inlineStr">
        <is>
          <t>mule deer</t>
        </is>
      </c>
      <c r="D7034" s="4" t="n">
        <v>2007</v>
      </c>
      <c r="E7034" s="13" t="inlineStr">
        <is>
          <t>General</t>
        </is>
      </c>
      <c r="F7034" s="5" t="n">
        <v>952</v>
      </c>
      <c r="G7034" s="5" t="n">
        <v>5506</v>
      </c>
      <c r="H7034" s="5" t="n">
        <v>219</v>
      </c>
      <c r="I7034" s="5" t="n">
        <v>178</v>
      </c>
      <c r="J7034" s="5" t="n">
        <v>41</v>
      </c>
      <c r="K7034" s="10">
        <f>IF(F7034&gt;0,H7034/F7034,"")</f>
        <v/>
      </c>
      <c r="L7034" s="16">
        <f>IF(AND(G7034&gt;0,H7034&gt;0),G7034/H7034,"")</f>
        <v/>
      </c>
    </row>
    <row r="7035">
      <c r="A7035" s="4" t="inlineStr">
        <is>
          <t>416</t>
        </is>
      </c>
      <c r="B7035" s="4" t="n">
        <v>4</v>
      </c>
      <c r="C7035" s="4" t="inlineStr">
        <is>
          <t>mule deer</t>
        </is>
      </c>
      <c r="D7035" s="4" t="n">
        <v>2008</v>
      </c>
      <c r="E7035" s="13" t="inlineStr">
        <is>
          <t>General</t>
        </is>
      </c>
      <c r="F7035" s="5" t="n">
        <v>1082</v>
      </c>
      <c r="G7035" s="5" t="n">
        <v>6144</v>
      </c>
      <c r="H7035" s="5" t="n">
        <v>183</v>
      </c>
      <c r="I7035" s="5" t="n">
        <v>144</v>
      </c>
      <c r="J7035" s="5" t="n">
        <v>39</v>
      </c>
      <c r="K7035" s="10">
        <f>IF(F7035&gt;0,H7035/F7035,"")</f>
        <v/>
      </c>
      <c r="L7035" s="16">
        <f>IF(AND(G7035&gt;0,H7035&gt;0),G7035/H7035,"")</f>
        <v/>
      </c>
    </row>
    <row r="7036">
      <c r="A7036" s="4" t="inlineStr">
        <is>
          <t>416</t>
        </is>
      </c>
      <c r="B7036" s="4" t="n">
        <v>4</v>
      </c>
      <c r="C7036" s="4" t="inlineStr">
        <is>
          <t>mule deer</t>
        </is>
      </c>
      <c r="D7036" s="4" t="n">
        <v>2009</v>
      </c>
      <c r="E7036" s="13" t="inlineStr">
        <is>
          <t>General</t>
        </is>
      </c>
      <c r="F7036" s="5" t="n">
        <v>1003</v>
      </c>
      <c r="G7036" s="5" t="n">
        <v>5481</v>
      </c>
      <c r="H7036" s="5" t="n">
        <v>177</v>
      </c>
      <c r="I7036" s="5" t="n">
        <v>139</v>
      </c>
      <c r="J7036" s="5" t="n">
        <v>35</v>
      </c>
      <c r="K7036" s="10">
        <f>IF(F7036&gt;0,H7036/F7036,"")</f>
        <v/>
      </c>
      <c r="L7036" s="16">
        <f>IF(AND(G7036&gt;0,H7036&gt;0),G7036/H7036,"")</f>
        <v/>
      </c>
    </row>
    <row r="7037">
      <c r="A7037" s="4" t="inlineStr">
        <is>
          <t>416</t>
        </is>
      </c>
      <c r="B7037" s="4" t="n">
        <v>4</v>
      </c>
      <c r="C7037" s="4" t="inlineStr">
        <is>
          <t>mule deer</t>
        </is>
      </c>
      <c r="D7037" s="4" t="n">
        <v>2010</v>
      </c>
      <c r="E7037" s="13" t="inlineStr">
        <is>
          <t>General</t>
        </is>
      </c>
      <c r="F7037" s="5" t="n">
        <v>1190</v>
      </c>
      <c r="G7037" s="5" t="n">
        <v>6942</v>
      </c>
      <c r="H7037" s="5" t="n">
        <v>195</v>
      </c>
      <c r="I7037" s="5" t="n">
        <v>171</v>
      </c>
      <c r="J7037" s="5" t="n">
        <v>21</v>
      </c>
      <c r="K7037" s="10">
        <f>IF(F7037&gt;0,H7037/F7037,"")</f>
        <v/>
      </c>
      <c r="L7037" s="16">
        <f>IF(AND(G7037&gt;0,H7037&gt;0),G7037/H7037,"")</f>
        <v/>
      </c>
    </row>
    <row r="7038">
      <c r="A7038" s="4" t="inlineStr">
        <is>
          <t>416</t>
        </is>
      </c>
      <c r="B7038" s="4" t="n">
        <v>4</v>
      </c>
      <c r="C7038" s="4" t="inlineStr">
        <is>
          <t>mule deer</t>
        </is>
      </c>
      <c r="D7038" s="4" t="n">
        <v>2011</v>
      </c>
      <c r="E7038" s="13" t="inlineStr">
        <is>
          <t>General</t>
        </is>
      </c>
      <c r="F7038" s="5" t="n">
        <v>1155</v>
      </c>
      <c r="G7038" s="5" t="n">
        <v>6022</v>
      </c>
      <c r="H7038" s="5" t="n">
        <v>167</v>
      </c>
      <c r="I7038" s="5" t="n">
        <v>151</v>
      </c>
      <c r="J7038" s="5" t="n">
        <v>15</v>
      </c>
      <c r="K7038" s="10">
        <f>IF(F7038&gt;0,H7038/F7038,"")</f>
        <v/>
      </c>
      <c r="L7038" s="16">
        <f>IF(AND(G7038&gt;0,H7038&gt;0),G7038/H7038,"")</f>
        <v/>
      </c>
    </row>
    <row r="7039">
      <c r="A7039" s="4" t="inlineStr">
        <is>
          <t>416</t>
        </is>
      </c>
      <c r="B7039" s="4" t="n">
        <v>4</v>
      </c>
      <c r="C7039" s="4" t="inlineStr">
        <is>
          <t>mule deer</t>
        </is>
      </c>
      <c r="D7039" s="4" t="n">
        <v>2012</v>
      </c>
      <c r="E7039" s="13" t="inlineStr">
        <is>
          <t>General</t>
        </is>
      </c>
      <c r="F7039" s="5" t="n"/>
      <c r="G7039" s="5" t="n"/>
      <c r="H7039" s="5" t="n">
        <v>205</v>
      </c>
      <c r="I7039" s="5" t="n">
        <v>187</v>
      </c>
      <c r="J7039" s="5" t="n">
        <v>18</v>
      </c>
      <c r="K7039" s="10">
        <f>IF(F7039&gt;0,H7039/F7039,"")</f>
        <v/>
      </c>
      <c r="L7039" s="16">
        <f>IF(AND(G7039&gt;0,H7039&gt;0),G7039/H7039,"")</f>
        <v/>
      </c>
    </row>
    <row r="7040">
      <c r="A7040" s="4" t="inlineStr">
        <is>
          <t>416</t>
        </is>
      </c>
      <c r="B7040" s="4" t="n">
        <v>4</v>
      </c>
      <c r="C7040" s="4" t="inlineStr">
        <is>
          <t>mule deer</t>
        </is>
      </c>
      <c r="D7040" s="4" t="n">
        <v>2013</v>
      </c>
      <c r="E7040" s="13" t="inlineStr">
        <is>
          <t>General</t>
        </is>
      </c>
      <c r="F7040" s="5" t="n">
        <v>1356</v>
      </c>
      <c r="G7040" s="5" t="n">
        <v>9037</v>
      </c>
      <c r="H7040" s="5" t="n">
        <v>205</v>
      </c>
      <c r="I7040" s="5" t="n">
        <v>187</v>
      </c>
      <c r="J7040" s="5" t="n">
        <v>18</v>
      </c>
      <c r="K7040" s="10">
        <f>IF(F7040&gt;0,H7040/F7040,"")</f>
        <v/>
      </c>
      <c r="L7040" s="16">
        <f>IF(AND(G7040&gt;0,H7040&gt;0),G7040/H7040,"")</f>
        <v/>
      </c>
    </row>
    <row r="7041">
      <c r="A7041" s="4" t="inlineStr">
        <is>
          <t>416</t>
        </is>
      </c>
      <c r="B7041" s="4" t="n">
        <v>4</v>
      </c>
      <c r="C7041" s="4" t="inlineStr">
        <is>
          <t>mule deer</t>
        </is>
      </c>
      <c r="D7041" s="4" t="n">
        <v>2014</v>
      </c>
      <c r="E7041" s="13" t="inlineStr">
        <is>
          <t>General</t>
        </is>
      </c>
      <c r="F7041" s="5" t="n"/>
      <c r="G7041" s="5" t="n"/>
      <c r="H7041" s="5" t="n">
        <v>165</v>
      </c>
      <c r="I7041" s="5" t="n">
        <v>160</v>
      </c>
      <c r="J7041" s="5" t="n">
        <v>5</v>
      </c>
      <c r="K7041" s="10">
        <f>IF(F7041&gt;0,H7041/F7041,"")</f>
        <v/>
      </c>
      <c r="L7041" s="16">
        <f>IF(AND(G7041&gt;0,H7041&gt;0),G7041/H7041,"")</f>
        <v/>
      </c>
    </row>
    <row r="7042">
      <c r="A7042" s="4" t="inlineStr">
        <is>
          <t>416</t>
        </is>
      </c>
      <c r="B7042" s="4" t="n">
        <v>4</v>
      </c>
      <c r="C7042" s="4" t="inlineStr">
        <is>
          <t>mule deer</t>
        </is>
      </c>
      <c r="D7042" s="4" t="n">
        <v>2015</v>
      </c>
      <c r="E7042" s="13" t="inlineStr">
        <is>
          <t>General</t>
        </is>
      </c>
      <c r="F7042" s="5" t="n"/>
      <c r="G7042" s="5" t="n"/>
      <c r="H7042" s="5" t="n">
        <v>179</v>
      </c>
      <c r="I7042" s="5" t="n">
        <v>173</v>
      </c>
      <c r="J7042" s="5" t="n">
        <v>6</v>
      </c>
      <c r="K7042" s="10">
        <f>IF(F7042&gt;0,H7042/F7042,"")</f>
        <v/>
      </c>
      <c r="L7042" s="16">
        <f>IF(AND(G7042&gt;0,H7042&gt;0),G7042/H7042,"")</f>
        <v/>
      </c>
    </row>
    <row r="7043">
      <c r="A7043" s="4" t="inlineStr">
        <is>
          <t>416</t>
        </is>
      </c>
      <c r="B7043" s="4" t="n">
        <v>4</v>
      </c>
      <c r="C7043" s="4" t="inlineStr">
        <is>
          <t>mule deer</t>
        </is>
      </c>
      <c r="D7043" s="4" t="n">
        <v>2016</v>
      </c>
      <c r="E7043" s="13" t="inlineStr">
        <is>
          <t>General</t>
        </is>
      </c>
      <c r="F7043" s="5" t="n"/>
      <c r="G7043" s="5" t="n"/>
      <c r="H7043" s="5" t="n">
        <v>225</v>
      </c>
      <c r="I7043" s="5" t="n">
        <v>216</v>
      </c>
      <c r="J7043" s="5" t="n">
        <v>9</v>
      </c>
      <c r="K7043" s="10">
        <f>IF(F7043&gt;0,H7043/F7043,"")</f>
        <v/>
      </c>
      <c r="L7043" s="16">
        <f>IF(AND(G7043&gt;0,H7043&gt;0),G7043/H7043,"")</f>
        <v/>
      </c>
    </row>
    <row r="7044">
      <c r="A7044" s="4" t="inlineStr">
        <is>
          <t>416</t>
        </is>
      </c>
      <c r="B7044" s="4" t="n">
        <v>4</v>
      </c>
      <c r="C7044" s="4" t="inlineStr">
        <is>
          <t>mule deer</t>
        </is>
      </c>
      <c r="D7044" s="4" t="n">
        <v>2017</v>
      </c>
      <c r="E7044" s="13" t="inlineStr">
        <is>
          <t>General</t>
        </is>
      </c>
      <c r="F7044" s="5" t="n">
        <v>1164</v>
      </c>
      <c r="G7044" s="5" t="n">
        <v>7221</v>
      </c>
      <c r="H7044" s="5" t="n">
        <v>210</v>
      </c>
      <c r="I7044" s="5" t="n">
        <v>190</v>
      </c>
      <c r="J7044" s="5" t="n">
        <v>20</v>
      </c>
      <c r="K7044" s="10">
        <f>IF(F7044&gt;0,H7044/F7044,"")</f>
        <v/>
      </c>
      <c r="L7044" s="16">
        <f>IF(AND(G7044&gt;0,H7044&gt;0),G7044/H7044,"")</f>
        <v/>
      </c>
    </row>
    <row r="7045">
      <c r="A7045" s="4" t="inlineStr">
        <is>
          <t>416</t>
        </is>
      </c>
      <c r="B7045" s="4" t="n">
        <v>4</v>
      </c>
      <c r="C7045" s="4" t="inlineStr">
        <is>
          <t>mule deer</t>
        </is>
      </c>
      <c r="D7045" s="4" t="n">
        <v>2018</v>
      </c>
      <c r="E7045" s="13" t="inlineStr">
        <is>
          <t>General</t>
        </is>
      </c>
      <c r="F7045" s="5" t="n"/>
      <c r="G7045" s="5" t="n"/>
      <c r="H7045" s="5" t="n">
        <v>206</v>
      </c>
      <c r="I7045" s="5" t="n">
        <v>197</v>
      </c>
      <c r="J7045" s="5" t="n">
        <v>9</v>
      </c>
      <c r="K7045" s="10">
        <f>IF(F7045&gt;0,H7045/F7045,"")</f>
        <v/>
      </c>
      <c r="L7045" s="16">
        <f>IF(AND(G7045&gt;0,H7045&gt;0),G7045/H7045,"")</f>
        <v/>
      </c>
    </row>
    <row r="7046">
      <c r="A7046" s="4" t="inlineStr">
        <is>
          <t>416</t>
        </is>
      </c>
      <c r="B7046" s="4" t="n">
        <v>4</v>
      </c>
      <c r="C7046" s="4" t="inlineStr">
        <is>
          <t>mule deer</t>
        </is>
      </c>
      <c r="D7046" s="4" t="n">
        <v>2019</v>
      </c>
      <c r="E7046" s="13" t="inlineStr">
        <is>
          <t>General</t>
        </is>
      </c>
      <c r="F7046" s="5" t="n">
        <v>925</v>
      </c>
      <c r="G7046" s="5" t="n">
        <v>5719</v>
      </c>
      <c r="H7046" s="5" t="n">
        <v>177</v>
      </c>
      <c r="I7046" s="5" t="n">
        <v>174</v>
      </c>
      <c r="J7046" s="5" t="n">
        <v>3</v>
      </c>
      <c r="K7046" s="10">
        <f>IF(F7046&gt;0,H7046/F7046,"")</f>
        <v/>
      </c>
      <c r="L7046" s="16">
        <f>IF(AND(G7046&gt;0,H7046&gt;0),G7046/H7046,"")</f>
        <v/>
      </c>
    </row>
    <row r="7047">
      <c r="A7047" s="4" t="inlineStr">
        <is>
          <t>416</t>
        </is>
      </c>
      <c r="B7047" s="4" t="n">
        <v>4</v>
      </c>
      <c r="C7047" s="4" t="inlineStr">
        <is>
          <t>mule deer</t>
        </is>
      </c>
      <c r="D7047" s="4" t="n">
        <v>2020</v>
      </c>
      <c r="E7047" s="13" t="inlineStr">
        <is>
          <t>General</t>
        </is>
      </c>
      <c r="F7047" s="5" t="n"/>
      <c r="G7047" s="5" t="n"/>
      <c r="H7047" s="5" t="n">
        <v>122</v>
      </c>
      <c r="I7047" s="5" t="n">
        <v>118</v>
      </c>
      <c r="J7047" s="5" t="n">
        <v>3</v>
      </c>
      <c r="K7047" s="10">
        <f>IF(F7047&gt;0,H7047/F7047,"")</f>
        <v/>
      </c>
      <c r="L7047" s="16">
        <f>IF(AND(G7047&gt;0,H7047&gt;0),G7047/H7047,"")</f>
        <v/>
      </c>
    </row>
    <row r="7048">
      <c r="A7048" s="4" t="inlineStr">
        <is>
          <t>416</t>
        </is>
      </c>
      <c r="B7048" s="4" t="n">
        <v>4</v>
      </c>
      <c r="C7048" s="4" t="inlineStr">
        <is>
          <t>mule deer</t>
        </is>
      </c>
      <c r="D7048" s="4" t="n">
        <v>2021</v>
      </c>
      <c r="E7048" s="13" t="inlineStr">
        <is>
          <t>General</t>
        </is>
      </c>
      <c r="F7048" s="5" t="n">
        <v>1253</v>
      </c>
      <c r="G7048" s="5" t="n">
        <v>7860</v>
      </c>
      <c r="H7048" s="5" t="n">
        <v>247</v>
      </c>
      <c r="I7048" s="5" t="n">
        <v>236</v>
      </c>
      <c r="J7048" s="5" t="n">
        <v>11</v>
      </c>
      <c r="K7048" s="10">
        <f>IF(F7048&gt;0,H7048/F7048,"")</f>
        <v/>
      </c>
      <c r="L7048" s="16">
        <f>IF(AND(G7048&gt;0,H7048&gt;0),G7048/H7048,"")</f>
        <v/>
      </c>
    </row>
    <row r="7049">
      <c r="A7049" s="4" t="inlineStr">
        <is>
          <t>416</t>
        </is>
      </c>
      <c r="B7049" s="4" t="n">
        <v>4</v>
      </c>
      <c r="C7049" s="4" t="inlineStr">
        <is>
          <t>mule deer</t>
        </is>
      </c>
      <c r="D7049" s="4" t="n">
        <v>2022</v>
      </c>
      <c r="E7049" s="13" t="inlineStr">
        <is>
          <t>General</t>
        </is>
      </c>
      <c r="F7049" s="5" t="n"/>
      <c r="G7049" s="5" t="n"/>
      <c r="H7049" s="5" t="n">
        <v>353</v>
      </c>
      <c r="I7049" s="5" t="n">
        <v>343</v>
      </c>
      <c r="J7049" s="5" t="n">
        <v>10</v>
      </c>
      <c r="K7049" s="10">
        <f>IF(F7049&gt;0,H7049/F7049,"")</f>
        <v/>
      </c>
      <c r="L7049" s="16">
        <f>IF(AND(G7049&gt;0,H7049&gt;0),G7049/H7049,"")</f>
        <v/>
      </c>
    </row>
    <row r="7050">
      <c r="A7050" s="4" t="inlineStr">
        <is>
          <t>416</t>
        </is>
      </c>
      <c r="B7050" s="4" t="n">
        <v>4</v>
      </c>
      <c r="C7050" s="4" t="inlineStr">
        <is>
          <t>mule deer</t>
        </is>
      </c>
      <c r="D7050" s="4" t="n">
        <v>2023</v>
      </c>
      <c r="E7050" s="13" t="inlineStr">
        <is>
          <t>General</t>
        </is>
      </c>
      <c r="F7050" s="5" t="n">
        <v>1983</v>
      </c>
      <c r="G7050" s="5" t="n">
        <v>13043</v>
      </c>
      <c r="H7050" s="5" t="n">
        <v>319</v>
      </c>
      <c r="I7050" s="5" t="n">
        <v>317</v>
      </c>
      <c r="J7050" s="5" t="n">
        <v>2</v>
      </c>
      <c r="K7050" s="10">
        <f>IF(F7050&gt;0,H7050/F7050,"")</f>
        <v/>
      </c>
      <c r="L7050" s="16">
        <f>IF(AND(G7050&gt;0,H7050&gt;0),G7050/H7050,"")</f>
        <v/>
      </c>
    </row>
    <row r="7051">
      <c r="A7051" s="4" t="inlineStr">
        <is>
          <t>416</t>
        </is>
      </c>
      <c r="B7051" s="4" t="n">
        <v>4</v>
      </c>
      <c r="C7051" s="4" t="inlineStr">
        <is>
          <t>mule deer</t>
        </is>
      </c>
      <c r="D7051" s="4" t="n">
        <v>2024</v>
      </c>
      <c r="E7051" s="13" t="inlineStr">
        <is>
          <t>General</t>
        </is>
      </c>
      <c r="F7051" s="5" t="n"/>
      <c r="G7051" s="5" t="n"/>
      <c r="H7051" s="5" t="n">
        <v>291</v>
      </c>
      <c r="I7051" s="5" t="n">
        <v>276</v>
      </c>
      <c r="J7051" s="5" t="n">
        <v>15</v>
      </c>
      <c r="K7051" s="10">
        <f>IF(F7051&gt;0,H7051/F7051,"")</f>
        <v/>
      </c>
      <c r="L7051" s="16">
        <f>IF(AND(G7051&gt;0,H7051&gt;0),G7051/H7051,"")</f>
        <v/>
      </c>
    </row>
    <row r="7052">
      <c r="A7052" s="4" t="inlineStr">
        <is>
          <t>416</t>
        </is>
      </c>
      <c r="B7052" s="4" t="n">
        <v>4</v>
      </c>
      <c r="C7052" s="4" t="inlineStr">
        <is>
          <t>mule deer</t>
        </is>
      </c>
      <c r="D7052" s="4" t="n">
        <v>2025</v>
      </c>
      <c r="E7052" s="13" t="inlineStr">
        <is>
          <t>General</t>
        </is>
      </c>
      <c r="F7052" s="5" t="n">
        <v>1750</v>
      </c>
      <c r="G7052" s="5" t="n">
        <v>13203</v>
      </c>
      <c r="H7052" s="5" t="n">
        <v>267</v>
      </c>
      <c r="I7052" s="5" t="n">
        <v>267</v>
      </c>
      <c r="J7052" s="5" t="n">
        <v>0</v>
      </c>
      <c r="K7052" s="10">
        <f>IF(F7052&gt;0,H7052/F7052,"")</f>
        <v/>
      </c>
      <c r="L7052" s="16">
        <f>IF(AND(G7052&gt;0,H7052&gt;0),G7052/H7052,"")</f>
        <v/>
      </c>
    </row>
    <row r="7053">
      <c r="A7053" s="4" t="inlineStr">
        <is>
          <t>417</t>
        </is>
      </c>
      <c r="B7053" s="4" t="n">
        <v>4</v>
      </c>
      <c r="C7053" s="4" t="inlineStr">
        <is>
          <t>mule deer</t>
        </is>
      </c>
      <c r="D7053" s="4" t="n">
        <v>2004</v>
      </c>
      <c r="E7053" s="15" t="inlineStr">
        <is>
          <t>Draw</t>
        </is>
      </c>
      <c r="F7053" s="5" t="n">
        <v>959</v>
      </c>
      <c r="G7053" s="5" t="n">
        <v>4349</v>
      </c>
      <c r="H7053" s="5" t="n">
        <v>550</v>
      </c>
      <c r="I7053" s="5" t="n">
        <v>411</v>
      </c>
      <c r="J7053" s="5" t="n">
        <v>134</v>
      </c>
      <c r="K7053" s="10">
        <f>IF(F7053&gt;0,H7053/F7053,"")</f>
        <v/>
      </c>
      <c r="L7053" s="16">
        <f>IF(AND(G7053&gt;0,H7053&gt;0),G7053/H7053,"")</f>
        <v/>
      </c>
    </row>
    <row r="7054">
      <c r="A7054" s="4" t="inlineStr">
        <is>
          <t>417</t>
        </is>
      </c>
      <c r="B7054" s="4" t="n">
        <v>4</v>
      </c>
      <c r="C7054" s="4" t="inlineStr">
        <is>
          <t>mule deer</t>
        </is>
      </c>
      <c r="D7054" s="4" t="n">
        <v>2005</v>
      </c>
      <c r="E7054" s="15" t="inlineStr">
        <is>
          <t>Draw</t>
        </is>
      </c>
      <c r="F7054" s="5" t="n">
        <v>988</v>
      </c>
      <c r="G7054" s="5" t="n">
        <v>5204</v>
      </c>
      <c r="H7054" s="5" t="n">
        <v>543</v>
      </c>
      <c r="I7054" s="5" t="n">
        <v>396</v>
      </c>
      <c r="J7054" s="5" t="n">
        <v>146</v>
      </c>
      <c r="K7054" s="10">
        <f>IF(F7054&gt;0,H7054/F7054,"")</f>
        <v/>
      </c>
      <c r="L7054" s="16">
        <f>IF(AND(G7054&gt;0,H7054&gt;0),G7054/H7054,"")</f>
        <v/>
      </c>
    </row>
    <row r="7055">
      <c r="A7055" s="4" t="inlineStr">
        <is>
          <t>417</t>
        </is>
      </c>
      <c r="B7055" s="4" t="n">
        <v>4</v>
      </c>
      <c r="C7055" s="4" t="inlineStr">
        <is>
          <t>mule deer</t>
        </is>
      </c>
      <c r="D7055" s="4" t="n">
        <v>2006</v>
      </c>
      <c r="E7055" s="15" t="inlineStr">
        <is>
          <t>Draw</t>
        </is>
      </c>
      <c r="F7055" s="5" t="n">
        <v>899</v>
      </c>
      <c r="G7055" s="5" t="n">
        <v>4542</v>
      </c>
      <c r="H7055" s="5" t="n">
        <v>591</v>
      </c>
      <c r="I7055" s="5" t="n">
        <v>391</v>
      </c>
      <c r="J7055" s="5" t="n">
        <v>198</v>
      </c>
      <c r="K7055" s="10">
        <f>IF(F7055&gt;0,H7055/F7055,"")</f>
        <v/>
      </c>
      <c r="L7055" s="16">
        <f>IF(AND(G7055&gt;0,H7055&gt;0),G7055/H7055,"")</f>
        <v/>
      </c>
    </row>
    <row r="7056">
      <c r="A7056" s="4" t="inlineStr">
        <is>
          <t>417</t>
        </is>
      </c>
      <c r="B7056" s="4" t="n">
        <v>4</v>
      </c>
      <c r="C7056" s="4" t="inlineStr">
        <is>
          <t>mule deer</t>
        </is>
      </c>
      <c r="D7056" s="4" t="n">
        <v>2007</v>
      </c>
      <c r="E7056" s="15" t="inlineStr">
        <is>
          <t>Draw</t>
        </is>
      </c>
      <c r="F7056" s="5" t="n">
        <v>1131</v>
      </c>
      <c r="G7056" s="5" t="n">
        <v>6479</v>
      </c>
      <c r="H7056" s="5" t="n">
        <v>687</v>
      </c>
      <c r="I7056" s="5" t="n">
        <v>459</v>
      </c>
      <c r="J7056" s="5" t="n">
        <v>224</v>
      </c>
      <c r="K7056" s="10">
        <f>IF(F7056&gt;0,H7056/F7056,"")</f>
        <v/>
      </c>
      <c r="L7056" s="16">
        <f>IF(AND(G7056&gt;0,H7056&gt;0),G7056/H7056,"")</f>
        <v/>
      </c>
    </row>
    <row r="7057">
      <c r="A7057" s="4" t="inlineStr">
        <is>
          <t>417</t>
        </is>
      </c>
      <c r="B7057" s="4" t="n">
        <v>4</v>
      </c>
      <c r="C7057" s="4" t="inlineStr">
        <is>
          <t>mule deer</t>
        </is>
      </c>
      <c r="D7057" s="4" t="n">
        <v>2008</v>
      </c>
      <c r="E7057" s="15" t="inlineStr">
        <is>
          <t>Draw</t>
        </is>
      </c>
      <c r="F7057" s="5" t="n">
        <v>1099</v>
      </c>
      <c r="G7057" s="5" t="n">
        <v>5194</v>
      </c>
      <c r="H7057" s="5" t="n">
        <v>568</v>
      </c>
      <c r="I7057" s="5" t="n">
        <v>401</v>
      </c>
      <c r="J7057" s="5" t="n">
        <v>164</v>
      </c>
      <c r="K7057" s="10">
        <f>IF(F7057&gt;0,H7057/F7057,"")</f>
        <v/>
      </c>
      <c r="L7057" s="16">
        <f>IF(AND(G7057&gt;0,H7057&gt;0),G7057/H7057,"")</f>
        <v/>
      </c>
    </row>
    <row r="7058">
      <c r="A7058" s="4" t="inlineStr">
        <is>
          <t>417</t>
        </is>
      </c>
      <c r="B7058" s="4" t="n">
        <v>4</v>
      </c>
      <c r="C7058" s="4" t="inlineStr">
        <is>
          <t>mule deer</t>
        </is>
      </c>
      <c r="D7058" s="4" t="n">
        <v>2009</v>
      </c>
      <c r="E7058" s="15" t="inlineStr">
        <is>
          <t>Draw</t>
        </is>
      </c>
      <c r="F7058" s="5" t="n">
        <v>966</v>
      </c>
      <c r="G7058" s="5" t="n">
        <v>5193</v>
      </c>
      <c r="H7058" s="5" t="n">
        <v>399</v>
      </c>
      <c r="I7058" s="5" t="n">
        <v>348</v>
      </c>
      <c r="J7058" s="5" t="n">
        <v>51</v>
      </c>
      <c r="K7058" s="10">
        <f>IF(F7058&gt;0,H7058/F7058,"")</f>
        <v/>
      </c>
      <c r="L7058" s="16">
        <f>IF(AND(G7058&gt;0,H7058&gt;0),G7058/H7058,"")</f>
        <v/>
      </c>
    </row>
    <row r="7059">
      <c r="A7059" s="4" t="inlineStr">
        <is>
          <t>417</t>
        </is>
      </c>
      <c r="B7059" s="4" t="n">
        <v>4</v>
      </c>
      <c r="C7059" s="4" t="inlineStr">
        <is>
          <t>mule deer</t>
        </is>
      </c>
      <c r="D7059" s="4" t="n">
        <v>2010</v>
      </c>
      <c r="E7059" s="15" t="inlineStr">
        <is>
          <t>Draw</t>
        </is>
      </c>
      <c r="F7059" s="5" t="n">
        <v>714</v>
      </c>
      <c r="G7059" s="5" t="n">
        <v>3651</v>
      </c>
      <c r="H7059" s="5" t="n">
        <v>234</v>
      </c>
      <c r="I7059" s="5" t="n">
        <v>223</v>
      </c>
      <c r="J7059" s="5" t="n">
        <v>11</v>
      </c>
      <c r="K7059" s="10">
        <f>IF(F7059&gt;0,H7059/F7059,"")</f>
        <v/>
      </c>
      <c r="L7059" s="16">
        <f>IF(AND(G7059&gt;0,H7059&gt;0),G7059/H7059,"")</f>
        <v/>
      </c>
    </row>
    <row r="7060">
      <c r="A7060" s="4" t="inlineStr">
        <is>
          <t>417</t>
        </is>
      </c>
      <c r="B7060" s="4" t="n">
        <v>4</v>
      </c>
      <c r="C7060" s="4" t="inlineStr">
        <is>
          <t>mule deer</t>
        </is>
      </c>
      <c r="D7060" s="4" t="n">
        <v>2011</v>
      </c>
      <c r="E7060" s="15" t="inlineStr">
        <is>
          <t>Draw</t>
        </is>
      </c>
      <c r="F7060" s="5" t="n">
        <v>805</v>
      </c>
      <c r="G7060" s="5" t="n">
        <v>4143</v>
      </c>
      <c r="H7060" s="5" t="n">
        <v>245</v>
      </c>
      <c r="I7060" s="5" t="n">
        <v>234</v>
      </c>
      <c r="J7060" s="5" t="n">
        <v>9</v>
      </c>
      <c r="K7060" s="10">
        <f>IF(F7060&gt;0,H7060/F7060,"")</f>
        <v/>
      </c>
      <c r="L7060" s="16">
        <f>IF(AND(G7060&gt;0,H7060&gt;0),G7060/H7060,"")</f>
        <v/>
      </c>
    </row>
    <row r="7061">
      <c r="A7061" s="4" t="inlineStr">
        <is>
          <t>417</t>
        </is>
      </c>
      <c r="B7061" s="4" t="n">
        <v>4</v>
      </c>
      <c r="C7061" s="4" t="inlineStr">
        <is>
          <t>mule deer</t>
        </is>
      </c>
      <c r="D7061" s="4" t="n">
        <v>2012</v>
      </c>
      <c r="E7061" s="15" t="inlineStr">
        <is>
          <t>Draw</t>
        </is>
      </c>
      <c r="F7061" s="5" t="n"/>
      <c r="G7061" s="5" t="n"/>
      <c r="H7061" s="5" t="n">
        <v>219</v>
      </c>
      <c r="I7061" s="5" t="n">
        <v>217</v>
      </c>
      <c r="J7061" s="5" t="n">
        <v>2</v>
      </c>
      <c r="K7061" s="10">
        <f>IF(F7061&gt;0,H7061/F7061,"")</f>
        <v/>
      </c>
      <c r="L7061" s="16">
        <f>IF(AND(G7061&gt;0,H7061&gt;0),G7061/H7061,"")</f>
        <v/>
      </c>
    </row>
    <row r="7062">
      <c r="A7062" s="4" t="inlineStr">
        <is>
          <t>417</t>
        </is>
      </c>
      <c r="B7062" s="4" t="n">
        <v>4</v>
      </c>
      <c r="C7062" s="4" t="inlineStr">
        <is>
          <t>mule deer</t>
        </is>
      </c>
      <c r="D7062" s="4" t="n">
        <v>2013</v>
      </c>
      <c r="E7062" s="15" t="inlineStr">
        <is>
          <t>Draw</t>
        </is>
      </c>
      <c r="F7062" s="5" t="n">
        <v>690</v>
      </c>
      <c r="G7062" s="5" t="n">
        <v>3681</v>
      </c>
      <c r="H7062" s="5" t="n">
        <v>266</v>
      </c>
      <c r="I7062" s="5" t="n">
        <v>265</v>
      </c>
      <c r="J7062" s="5" t="n">
        <v>2</v>
      </c>
      <c r="K7062" s="10">
        <f>IF(F7062&gt;0,H7062/F7062,"")</f>
        <v/>
      </c>
      <c r="L7062" s="16">
        <f>IF(AND(G7062&gt;0,H7062&gt;0),G7062/H7062,"")</f>
        <v/>
      </c>
    </row>
    <row r="7063">
      <c r="A7063" s="4" t="inlineStr">
        <is>
          <t>417</t>
        </is>
      </c>
      <c r="B7063" s="4" t="n">
        <v>4</v>
      </c>
      <c r="C7063" s="4" t="inlineStr">
        <is>
          <t>mule deer</t>
        </is>
      </c>
      <c r="D7063" s="4" t="n">
        <v>2014</v>
      </c>
      <c r="E7063" s="15" t="inlineStr">
        <is>
          <t>Draw</t>
        </is>
      </c>
      <c r="F7063" s="5" t="n"/>
      <c r="G7063" s="5" t="n"/>
      <c r="H7063" s="5" t="n">
        <v>318</v>
      </c>
      <c r="I7063" s="5" t="n">
        <v>318</v>
      </c>
      <c r="J7063" s="5" t="n">
        <v>0</v>
      </c>
      <c r="K7063" s="10">
        <f>IF(F7063&gt;0,H7063/F7063,"")</f>
        <v/>
      </c>
      <c r="L7063" s="16">
        <f>IF(AND(G7063&gt;0,H7063&gt;0),G7063/H7063,"")</f>
        <v/>
      </c>
    </row>
    <row r="7064">
      <c r="A7064" s="4" t="inlineStr">
        <is>
          <t>417</t>
        </is>
      </c>
      <c r="B7064" s="4" t="n">
        <v>4</v>
      </c>
      <c r="C7064" s="4" t="inlineStr">
        <is>
          <t>mule deer</t>
        </is>
      </c>
      <c r="D7064" s="4" t="n">
        <v>2015</v>
      </c>
      <c r="E7064" s="15" t="inlineStr">
        <is>
          <t>Draw</t>
        </is>
      </c>
      <c r="F7064" s="5" t="n"/>
      <c r="G7064" s="5" t="n"/>
      <c r="H7064" s="5" t="n">
        <v>407</v>
      </c>
      <c r="I7064" s="5" t="n">
        <v>401</v>
      </c>
      <c r="J7064" s="5" t="n">
        <v>3</v>
      </c>
      <c r="K7064" s="10">
        <f>IF(F7064&gt;0,H7064/F7064,"")</f>
        <v/>
      </c>
      <c r="L7064" s="16">
        <f>IF(AND(G7064&gt;0,H7064&gt;0),G7064/H7064,"")</f>
        <v/>
      </c>
    </row>
    <row r="7065">
      <c r="A7065" s="4" t="inlineStr">
        <is>
          <t>417</t>
        </is>
      </c>
      <c r="B7065" s="4" t="n">
        <v>4</v>
      </c>
      <c r="C7065" s="4" t="inlineStr">
        <is>
          <t>mule deer</t>
        </is>
      </c>
      <c r="D7065" s="4" t="n">
        <v>2016</v>
      </c>
      <c r="E7065" s="15" t="inlineStr">
        <is>
          <t>Draw</t>
        </is>
      </c>
      <c r="F7065" s="5" t="n"/>
      <c r="G7065" s="5" t="n"/>
      <c r="H7065" s="5" t="n">
        <v>500</v>
      </c>
      <c r="I7065" s="5" t="n">
        <v>487</v>
      </c>
      <c r="J7065" s="5" t="n">
        <v>12</v>
      </c>
      <c r="K7065" s="10">
        <f>IF(F7065&gt;0,H7065/F7065,"")</f>
        <v/>
      </c>
      <c r="L7065" s="16">
        <f>IF(AND(G7065&gt;0,H7065&gt;0),G7065/H7065,"")</f>
        <v/>
      </c>
    </row>
    <row r="7066">
      <c r="A7066" s="4" t="inlineStr">
        <is>
          <t>417</t>
        </is>
      </c>
      <c r="B7066" s="4" t="n">
        <v>4</v>
      </c>
      <c r="C7066" s="4" t="inlineStr">
        <is>
          <t>mule deer</t>
        </is>
      </c>
      <c r="D7066" s="4" t="n">
        <v>2017</v>
      </c>
      <c r="E7066" s="15" t="inlineStr">
        <is>
          <t>Draw</t>
        </is>
      </c>
      <c r="F7066" s="5" t="n">
        <v>948</v>
      </c>
      <c r="G7066" s="5" t="n">
        <v>5097</v>
      </c>
      <c r="H7066" s="5" t="n">
        <v>433</v>
      </c>
      <c r="I7066" s="5" t="n">
        <v>427</v>
      </c>
      <c r="J7066" s="5" t="n">
        <v>6</v>
      </c>
      <c r="K7066" s="10">
        <f>IF(F7066&gt;0,H7066/F7066,"")</f>
        <v/>
      </c>
      <c r="L7066" s="16">
        <f>IF(AND(G7066&gt;0,H7066&gt;0),G7066/H7066,"")</f>
        <v/>
      </c>
    </row>
    <row r="7067">
      <c r="A7067" s="4" t="inlineStr">
        <is>
          <t>417</t>
        </is>
      </c>
      <c r="B7067" s="4" t="n">
        <v>4</v>
      </c>
      <c r="C7067" s="4" t="inlineStr">
        <is>
          <t>mule deer</t>
        </is>
      </c>
      <c r="D7067" s="4" t="n">
        <v>2018</v>
      </c>
      <c r="E7067" s="15" t="inlineStr">
        <is>
          <t>Draw</t>
        </is>
      </c>
      <c r="F7067" s="5" t="n"/>
      <c r="G7067" s="5" t="n"/>
      <c r="H7067" s="5" t="n">
        <v>465</v>
      </c>
      <c r="I7067" s="5" t="n">
        <v>440</v>
      </c>
      <c r="J7067" s="5" t="n">
        <v>25</v>
      </c>
      <c r="K7067" s="10">
        <f>IF(F7067&gt;0,H7067/F7067,"")</f>
        <v/>
      </c>
      <c r="L7067" s="16">
        <f>IF(AND(G7067&gt;0,H7067&gt;0),G7067/H7067,"")</f>
        <v/>
      </c>
    </row>
    <row r="7068">
      <c r="A7068" s="4" t="inlineStr">
        <is>
          <t>417</t>
        </is>
      </c>
      <c r="B7068" s="4" t="n">
        <v>4</v>
      </c>
      <c r="C7068" s="4" t="inlineStr">
        <is>
          <t>mule deer</t>
        </is>
      </c>
      <c r="D7068" s="4" t="n">
        <v>2019</v>
      </c>
      <c r="E7068" s="15" t="inlineStr">
        <is>
          <t>Draw</t>
        </is>
      </c>
      <c r="F7068" s="5" t="n">
        <v>1097</v>
      </c>
      <c r="G7068" s="5" t="n">
        <v>5397</v>
      </c>
      <c r="H7068" s="5" t="n">
        <v>510</v>
      </c>
      <c r="I7068" s="5" t="n">
        <v>469</v>
      </c>
      <c r="J7068" s="5" t="n">
        <v>41</v>
      </c>
      <c r="K7068" s="10">
        <f>IF(F7068&gt;0,H7068/F7068,"")</f>
        <v/>
      </c>
      <c r="L7068" s="16">
        <f>IF(AND(G7068&gt;0,H7068&gt;0),G7068/H7068,"")</f>
        <v/>
      </c>
    </row>
    <row r="7069">
      <c r="A7069" s="4" t="inlineStr">
        <is>
          <t>417</t>
        </is>
      </c>
      <c r="B7069" s="4" t="n">
        <v>4</v>
      </c>
      <c r="C7069" s="4" t="inlineStr">
        <is>
          <t>mule deer</t>
        </is>
      </c>
      <c r="D7069" s="4" t="n">
        <v>2020</v>
      </c>
      <c r="E7069" s="15" t="inlineStr">
        <is>
          <t>Draw</t>
        </is>
      </c>
      <c r="F7069" s="5" t="n"/>
      <c r="G7069" s="5" t="n"/>
      <c r="H7069" s="5" t="n">
        <v>471</v>
      </c>
      <c r="I7069" s="5" t="n">
        <v>391</v>
      </c>
      <c r="J7069" s="5" t="n">
        <v>80</v>
      </c>
      <c r="K7069" s="10">
        <f>IF(F7069&gt;0,H7069/F7069,"")</f>
        <v/>
      </c>
      <c r="L7069" s="16">
        <f>IF(AND(G7069&gt;0,H7069&gt;0),G7069/H7069,"")</f>
        <v/>
      </c>
    </row>
    <row r="7070">
      <c r="A7070" s="4" t="inlineStr">
        <is>
          <t>417</t>
        </is>
      </c>
      <c r="B7070" s="4" t="n">
        <v>4</v>
      </c>
      <c r="C7070" s="4" t="inlineStr">
        <is>
          <t>mule deer</t>
        </is>
      </c>
      <c r="D7070" s="4" t="n">
        <v>2021</v>
      </c>
      <c r="E7070" s="15" t="inlineStr">
        <is>
          <t>Draw</t>
        </is>
      </c>
      <c r="F7070" s="5" t="n">
        <v>1161</v>
      </c>
      <c r="G7070" s="5" t="n">
        <v>6617</v>
      </c>
      <c r="H7070" s="5" t="n">
        <v>519</v>
      </c>
      <c r="I7070" s="5" t="n">
        <v>402</v>
      </c>
      <c r="J7070" s="5" t="n">
        <v>117</v>
      </c>
      <c r="K7070" s="10">
        <f>IF(F7070&gt;0,H7070/F7070,"")</f>
        <v/>
      </c>
      <c r="L7070" s="16">
        <f>IF(AND(G7070&gt;0,H7070&gt;0),G7070/H7070,"")</f>
        <v/>
      </c>
    </row>
    <row r="7071">
      <c r="A7071" s="4" t="inlineStr">
        <is>
          <t>417</t>
        </is>
      </c>
      <c r="B7071" s="4" t="n">
        <v>4</v>
      </c>
      <c r="C7071" s="4" t="inlineStr">
        <is>
          <t>mule deer</t>
        </is>
      </c>
      <c r="D7071" s="4" t="n">
        <v>2022</v>
      </c>
      <c r="E7071" s="15" t="inlineStr">
        <is>
          <t>Draw</t>
        </is>
      </c>
      <c r="F7071" s="5" t="n"/>
      <c r="G7071" s="5" t="n"/>
      <c r="H7071" s="5" t="n">
        <v>339</v>
      </c>
      <c r="I7071" s="5" t="n">
        <v>287</v>
      </c>
      <c r="J7071" s="5" t="n">
        <v>51</v>
      </c>
      <c r="K7071" s="10">
        <f>IF(F7071&gt;0,H7071/F7071,"")</f>
        <v/>
      </c>
      <c r="L7071" s="16">
        <f>IF(AND(G7071&gt;0,H7071&gt;0),G7071/H7071,"")</f>
        <v/>
      </c>
    </row>
    <row r="7072">
      <c r="A7072" s="4" t="inlineStr">
        <is>
          <t>417</t>
        </is>
      </c>
      <c r="B7072" s="4" t="n">
        <v>4</v>
      </c>
      <c r="C7072" s="4" t="inlineStr">
        <is>
          <t>mule deer</t>
        </is>
      </c>
      <c r="D7072" s="4" t="n">
        <v>2023</v>
      </c>
      <c r="E7072" s="15" t="inlineStr">
        <is>
          <t>Draw</t>
        </is>
      </c>
      <c r="F7072" s="5" t="n">
        <v>750</v>
      </c>
      <c r="G7072" s="5" t="n">
        <v>4498</v>
      </c>
      <c r="H7072" s="5" t="n">
        <v>262</v>
      </c>
      <c r="I7072" s="5" t="n">
        <v>238</v>
      </c>
      <c r="J7072" s="5" t="n">
        <v>24</v>
      </c>
      <c r="K7072" s="10">
        <f>IF(F7072&gt;0,H7072/F7072,"")</f>
        <v/>
      </c>
      <c r="L7072" s="16">
        <f>IF(AND(G7072&gt;0,H7072&gt;0),G7072/H7072,"")</f>
        <v/>
      </c>
    </row>
    <row r="7073">
      <c r="A7073" s="4" t="inlineStr">
        <is>
          <t>417</t>
        </is>
      </c>
      <c r="B7073" s="4" t="n">
        <v>4</v>
      </c>
      <c r="C7073" s="4" t="inlineStr">
        <is>
          <t>mule deer</t>
        </is>
      </c>
      <c r="D7073" s="4" t="n">
        <v>2024</v>
      </c>
      <c r="E7073" s="15" t="inlineStr">
        <is>
          <t>Draw</t>
        </is>
      </c>
      <c r="F7073" s="5" t="n"/>
      <c r="G7073" s="5" t="n"/>
      <c r="H7073" s="5" t="n">
        <v>74</v>
      </c>
      <c r="I7073" s="5" t="n">
        <v>70</v>
      </c>
      <c r="J7073" s="5" t="n">
        <v>3</v>
      </c>
      <c r="K7073" s="10">
        <f>IF(F7073&gt;0,H7073/F7073,"")</f>
        <v/>
      </c>
      <c r="L7073" s="16">
        <f>IF(AND(G7073&gt;0,H7073&gt;0),G7073/H7073,"")</f>
        <v/>
      </c>
    </row>
    <row r="7074">
      <c r="A7074" s="4" t="inlineStr">
        <is>
          <t>417</t>
        </is>
      </c>
      <c r="B7074" s="4" t="n">
        <v>4</v>
      </c>
      <c r="C7074" s="4" t="inlineStr">
        <is>
          <t>mule deer</t>
        </is>
      </c>
      <c r="D7074" s="4" t="n">
        <v>2025</v>
      </c>
      <c r="E7074" s="15" t="inlineStr">
        <is>
          <t>Draw</t>
        </is>
      </c>
      <c r="F7074" s="5" t="n">
        <v>253</v>
      </c>
      <c r="G7074" s="5" t="n">
        <v>1366</v>
      </c>
      <c r="H7074" s="5" t="n">
        <v>93</v>
      </c>
      <c r="I7074" s="5" t="n">
        <v>84</v>
      </c>
      <c r="J7074" s="5" t="n">
        <v>9</v>
      </c>
      <c r="K7074" s="10">
        <f>IF(F7074&gt;0,H7074/F7074,"")</f>
        <v/>
      </c>
      <c r="L7074" s="16">
        <f>IF(AND(G7074&gt;0,H7074&gt;0),G7074/H7074,"")</f>
        <v/>
      </c>
    </row>
    <row r="7075">
      <c r="A7075" s="4" t="inlineStr">
        <is>
          <t>418</t>
        </is>
      </c>
      <c r="B7075" s="4" t="n">
        <v>4</v>
      </c>
      <c r="C7075" s="4" t="inlineStr">
        <is>
          <t>mule deer</t>
        </is>
      </c>
      <c r="D7075" s="4" t="n">
        <v>2004</v>
      </c>
      <c r="E7075" s="13" t="inlineStr">
        <is>
          <t>General</t>
        </is>
      </c>
      <c r="F7075" s="5" t="n">
        <v>731</v>
      </c>
      <c r="G7075" s="5" t="n">
        <v>3374</v>
      </c>
      <c r="H7075" s="5" t="n">
        <v>285</v>
      </c>
      <c r="I7075" s="5" t="n">
        <v>172</v>
      </c>
      <c r="J7075" s="5" t="n">
        <v>107</v>
      </c>
      <c r="K7075" s="10">
        <f>IF(F7075&gt;0,H7075/F7075,"")</f>
        <v/>
      </c>
      <c r="L7075" s="16">
        <f>IF(AND(G7075&gt;0,H7075&gt;0),G7075/H7075,"")</f>
        <v/>
      </c>
    </row>
    <row r="7076">
      <c r="A7076" s="4" t="inlineStr">
        <is>
          <t>418</t>
        </is>
      </c>
      <c r="B7076" s="4" t="n">
        <v>4</v>
      </c>
      <c r="C7076" s="4" t="inlineStr">
        <is>
          <t>mule deer</t>
        </is>
      </c>
      <c r="D7076" s="4" t="n">
        <v>2005</v>
      </c>
      <c r="E7076" s="13" t="inlineStr">
        <is>
          <t>General</t>
        </is>
      </c>
      <c r="F7076" s="5" t="n">
        <v>591</v>
      </c>
      <c r="G7076" s="5" t="n">
        <v>2918</v>
      </c>
      <c r="H7076" s="5" t="n">
        <v>163</v>
      </c>
      <c r="I7076" s="5" t="n">
        <v>106</v>
      </c>
      <c r="J7076" s="5" t="n">
        <v>57</v>
      </c>
      <c r="K7076" s="10">
        <f>IF(F7076&gt;0,H7076/F7076,"")</f>
        <v/>
      </c>
      <c r="L7076" s="16">
        <f>IF(AND(G7076&gt;0,H7076&gt;0),G7076/H7076,"")</f>
        <v/>
      </c>
    </row>
    <row r="7077">
      <c r="A7077" s="4" t="inlineStr">
        <is>
          <t>418</t>
        </is>
      </c>
      <c r="B7077" s="4" t="n">
        <v>4</v>
      </c>
      <c r="C7077" s="4" t="inlineStr">
        <is>
          <t>mule deer</t>
        </is>
      </c>
      <c r="D7077" s="4" t="n">
        <v>2006</v>
      </c>
      <c r="E7077" s="13" t="inlineStr">
        <is>
          <t>General</t>
        </is>
      </c>
      <c r="F7077" s="5" t="n">
        <v>472</v>
      </c>
      <c r="G7077" s="5" t="n">
        <v>2522</v>
      </c>
      <c r="H7077" s="5" t="n">
        <v>187</v>
      </c>
      <c r="I7077" s="5" t="n">
        <v>125</v>
      </c>
      <c r="J7077" s="5" t="n">
        <v>62</v>
      </c>
      <c r="K7077" s="10">
        <f>IF(F7077&gt;0,H7077/F7077,"")</f>
        <v/>
      </c>
      <c r="L7077" s="16">
        <f>IF(AND(G7077&gt;0,H7077&gt;0),G7077/H7077,"")</f>
        <v/>
      </c>
    </row>
    <row r="7078">
      <c r="A7078" s="4" t="inlineStr">
        <is>
          <t>418</t>
        </is>
      </c>
      <c r="B7078" s="4" t="n">
        <v>4</v>
      </c>
      <c r="C7078" s="4" t="inlineStr">
        <is>
          <t>mule deer</t>
        </is>
      </c>
      <c r="D7078" s="4" t="n">
        <v>2007</v>
      </c>
      <c r="E7078" s="13" t="inlineStr">
        <is>
          <t>General</t>
        </is>
      </c>
      <c r="F7078" s="5" t="n">
        <v>538</v>
      </c>
      <c r="G7078" s="5" t="n">
        <v>2528</v>
      </c>
      <c r="H7078" s="5" t="n">
        <v>158</v>
      </c>
      <c r="I7078" s="5" t="n">
        <v>88</v>
      </c>
      <c r="J7078" s="5" t="n">
        <v>67</v>
      </c>
      <c r="K7078" s="10">
        <f>IF(F7078&gt;0,H7078/F7078,"")</f>
        <v/>
      </c>
      <c r="L7078" s="16">
        <f>IF(AND(G7078&gt;0,H7078&gt;0),G7078/H7078,"")</f>
        <v/>
      </c>
    </row>
    <row r="7079">
      <c r="A7079" s="4" t="inlineStr">
        <is>
          <t>418</t>
        </is>
      </c>
      <c r="B7079" s="4" t="n">
        <v>4</v>
      </c>
      <c r="C7079" s="4" t="inlineStr">
        <is>
          <t>mule deer</t>
        </is>
      </c>
      <c r="D7079" s="4" t="n">
        <v>2008</v>
      </c>
      <c r="E7079" s="13" t="inlineStr">
        <is>
          <t>General</t>
        </is>
      </c>
      <c r="F7079" s="5" t="n">
        <v>569</v>
      </c>
      <c r="G7079" s="5" t="n">
        <v>2908</v>
      </c>
      <c r="H7079" s="5" t="n">
        <v>147</v>
      </c>
      <c r="I7079" s="5" t="n">
        <v>99</v>
      </c>
      <c r="J7079" s="5" t="n">
        <v>48</v>
      </c>
      <c r="K7079" s="10">
        <f>IF(F7079&gt;0,H7079/F7079,"")</f>
        <v/>
      </c>
      <c r="L7079" s="16">
        <f>IF(AND(G7079&gt;0,H7079&gt;0),G7079/H7079,"")</f>
        <v/>
      </c>
    </row>
    <row r="7080">
      <c r="A7080" s="4" t="inlineStr">
        <is>
          <t>418</t>
        </is>
      </c>
      <c r="B7080" s="4" t="n">
        <v>4</v>
      </c>
      <c r="C7080" s="4" t="inlineStr">
        <is>
          <t>mule deer</t>
        </is>
      </c>
      <c r="D7080" s="4" t="n">
        <v>2009</v>
      </c>
      <c r="E7080" s="13" t="inlineStr">
        <is>
          <t>General</t>
        </is>
      </c>
      <c r="F7080" s="5" t="n">
        <v>519</v>
      </c>
      <c r="G7080" s="5" t="n">
        <v>2221</v>
      </c>
      <c r="H7080" s="5" t="n">
        <v>145</v>
      </c>
      <c r="I7080" s="5" t="n">
        <v>99</v>
      </c>
      <c r="J7080" s="5" t="n">
        <v>46</v>
      </c>
      <c r="K7080" s="10">
        <f>IF(F7080&gt;0,H7080/F7080,"")</f>
        <v/>
      </c>
      <c r="L7080" s="16">
        <f>IF(AND(G7080&gt;0,H7080&gt;0),G7080/H7080,"")</f>
        <v/>
      </c>
    </row>
    <row r="7081">
      <c r="A7081" s="4" t="inlineStr">
        <is>
          <t>418</t>
        </is>
      </c>
      <c r="B7081" s="4" t="n">
        <v>4</v>
      </c>
      <c r="C7081" s="4" t="inlineStr">
        <is>
          <t>mule deer</t>
        </is>
      </c>
      <c r="D7081" s="4" t="n">
        <v>2010</v>
      </c>
      <c r="E7081" s="13" t="inlineStr">
        <is>
          <t>General</t>
        </is>
      </c>
      <c r="F7081" s="5" t="n">
        <v>504</v>
      </c>
      <c r="G7081" s="5" t="n">
        <v>2320</v>
      </c>
      <c r="H7081" s="5" t="n">
        <v>82</v>
      </c>
      <c r="I7081" s="5" t="n">
        <v>67</v>
      </c>
      <c r="J7081" s="5" t="n">
        <v>14</v>
      </c>
      <c r="K7081" s="10">
        <f>IF(F7081&gt;0,H7081/F7081,"")</f>
        <v/>
      </c>
      <c r="L7081" s="16">
        <f>IF(AND(G7081&gt;0,H7081&gt;0),G7081/H7081,"")</f>
        <v/>
      </c>
    </row>
    <row r="7082">
      <c r="A7082" s="4" t="inlineStr">
        <is>
          <t>418</t>
        </is>
      </c>
      <c r="B7082" s="4" t="n">
        <v>4</v>
      </c>
      <c r="C7082" s="4" t="inlineStr">
        <is>
          <t>mule deer</t>
        </is>
      </c>
      <c r="D7082" s="4" t="n">
        <v>2011</v>
      </c>
      <c r="E7082" s="13" t="inlineStr">
        <is>
          <t>General</t>
        </is>
      </c>
      <c r="F7082" s="5" t="n">
        <v>553</v>
      </c>
      <c r="G7082" s="5" t="n">
        <v>2863</v>
      </c>
      <c r="H7082" s="5" t="n">
        <v>120</v>
      </c>
      <c r="I7082" s="5" t="n">
        <v>110</v>
      </c>
      <c r="J7082" s="5" t="n">
        <v>10</v>
      </c>
      <c r="K7082" s="10">
        <f>IF(F7082&gt;0,H7082/F7082,"")</f>
        <v/>
      </c>
      <c r="L7082" s="16">
        <f>IF(AND(G7082&gt;0,H7082&gt;0),G7082/H7082,"")</f>
        <v/>
      </c>
    </row>
    <row r="7083">
      <c r="A7083" s="4" t="inlineStr">
        <is>
          <t>418</t>
        </is>
      </c>
      <c r="B7083" s="4" t="n">
        <v>4</v>
      </c>
      <c r="C7083" s="4" t="inlineStr">
        <is>
          <t>mule deer</t>
        </is>
      </c>
      <c r="D7083" s="4" t="n">
        <v>2012</v>
      </c>
      <c r="E7083" s="13" t="inlineStr">
        <is>
          <t>General</t>
        </is>
      </c>
      <c r="F7083" s="5" t="n"/>
      <c r="G7083" s="5" t="n"/>
      <c r="H7083" s="5" t="n">
        <v>73</v>
      </c>
      <c r="I7083" s="5" t="n">
        <v>58</v>
      </c>
      <c r="J7083" s="5" t="n">
        <v>15</v>
      </c>
      <c r="K7083" s="10">
        <f>IF(F7083&gt;0,H7083/F7083,"")</f>
        <v/>
      </c>
      <c r="L7083" s="16">
        <f>IF(AND(G7083&gt;0,H7083&gt;0),G7083/H7083,"")</f>
        <v/>
      </c>
    </row>
    <row r="7084">
      <c r="A7084" s="4" t="inlineStr">
        <is>
          <t>418</t>
        </is>
      </c>
      <c r="B7084" s="4" t="n">
        <v>4</v>
      </c>
      <c r="C7084" s="4" t="inlineStr">
        <is>
          <t>mule deer</t>
        </is>
      </c>
      <c r="D7084" s="4" t="n">
        <v>2013</v>
      </c>
      <c r="E7084" s="13" t="inlineStr">
        <is>
          <t>General</t>
        </is>
      </c>
      <c r="F7084" s="5" t="n">
        <v>574</v>
      </c>
      <c r="G7084" s="5" t="n">
        <v>2766</v>
      </c>
      <c r="H7084" s="5" t="n">
        <v>137</v>
      </c>
      <c r="I7084" s="5" t="n">
        <v>126</v>
      </c>
      <c r="J7084" s="5" t="n">
        <v>12</v>
      </c>
      <c r="K7084" s="10">
        <f>IF(F7084&gt;0,H7084/F7084,"")</f>
        <v/>
      </c>
      <c r="L7084" s="16">
        <f>IF(AND(G7084&gt;0,H7084&gt;0),G7084/H7084,"")</f>
        <v/>
      </c>
    </row>
    <row r="7085">
      <c r="A7085" s="4" t="inlineStr">
        <is>
          <t>418</t>
        </is>
      </c>
      <c r="B7085" s="4" t="n">
        <v>4</v>
      </c>
      <c r="C7085" s="4" t="inlineStr">
        <is>
          <t>mule deer</t>
        </is>
      </c>
      <c r="D7085" s="4" t="n">
        <v>2014</v>
      </c>
      <c r="E7085" s="13" t="inlineStr">
        <is>
          <t>General</t>
        </is>
      </c>
      <c r="F7085" s="5" t="n"/>
      <c r="G7085" s="5" t="n"/>
      <c r="H7085" s="5" t="n">
        <v>96</v>
      </c>
      <c r="I7085" s="5" t="n">
        <v>93</v>
      </c>
      <c r="J7085" s="5" t="n">
        <v>3</v>
      </c>
      <c r="K7085" s="10">
        <f>IF(F7085&gt;0,H7085/F7085,"")</f>
        <v/>
      </c>
      <c r="L7085" s="16">
        <f>IF(AND(G7085&gt;0,H7085&gt;0),G7085/H7085,"")</f>
        <v/>
      </c>
    </row>
    <row r="7086">
      <c r="A7086" s="4" t="inlineStr">
        <is>
          <t>418</t>
        </is>
      </c>
      <c r="B7086" s="4" t="n">
        <v>4</v>
      </c>
      <c r="C7086" s="4" t="inlineStr">
        <is>
          <t>mule deer</t>
        </is>
      </c>
      <c r="D7086" s="4" t="n">
        <v>2015</v>
      </c>
      <c r="E7086" s="13" t="inlineStr">
        <is>
          <t>General</t>
        </is>
      </c>
      <c r="F7086" s="5" t="n"/>
      <c r="G7086" s="5" t="n"/>
      <c r="H7086" s="5" t="n">
        <v>175</v>
      </c>
      <c r="I7086" s="5" t="n">
        <v>172</v>
      </c>
      <c r="J7086" s="5" t="n">
        <v>3</v>
      </c>
      <c r="K7086" s="10">
        <f>IF(F7086&gt;0,H7086/F7086,"")</f>
        <v/>
      </c>
      <c r="L7086" s="16">
        <f>IF(AND(G7086&gt;0,H7086&gt;0),G7086/H7086,"")</f>
        <v/>
      </c>
    </row>
    <row r="7087">
      <c r="A7087" s="4" t="inlineStr">
        <is>
          <t>418</t>
        </is>
      </c>
      <c r="B7087" s="4" t="n">
        <v>4</v>
      </c>
      <c r="C7087" s="4" t="inlineStr">
        <is>
          <t>mule deer</t>
        </is>
      </c>
      <c r="D7087" s="4" t="n">
        <v>2016</v>
      </c>
      <c r="E7087" s="13" t="inlineStr">
        <is>
          <t>General</t>
        </is>
      </c>
      <c r="F7087" s="5" t="n"/>
      <c r="G7087" s="5" t="n"/>
      <c r="H7087" s="5" t="n">
        <v>144</v>
      </c>
      <c r="I7087" s="5" t="n">
        <v>135</v>
      </c>
      <c r="J7087" s="5" t="n">
        <v>9</v>
      </c>
      <c r="K7087" s="10">
        <f>IF(F7087&gt;0,H7087/F7087,"")</f>
        <v/>
      </c>
      <c r="L7087" s="16">
        <f>IF(AND(G7087&gt;0,H7087&gt;0),G7087/H7087,"")</f>
        <v/>
      </c>
    </row>
    <row r="7088">
      <c r="A7088" s="4" t="inlineStr">
        <is>
          <t>418</t>
        </is>
      </c>
      <c r="B7088" s="4" t="n">
        <v>4</v>
      </c>
      <c r="C7088" s="4" t="inlineStr">
        <is>
          <t>mule deer</t>
        </is>
      </c>
      <c r="D7088" s="4" t="n">
        <v>2017</v>
      </c>
      <c r="E7088" s="13" t="inlineStr">
        <is>
          <t>General</t>
        </is>
      </c>
      <c r="F7088" s="5" t="n">
        <v>481</v>
      </c>
      <c r="G7088" s="5" t="n">
        <v>2466</v>
      </c>
      <c r="H7088" s="5" t="n">
        <v>115</v>
      </c>
      <c r="I7088" s="5" t="n">
        <v>112</v>
      </c>
      <c r="J7088" s="5" t="n">
        <v>3</v>
      </c>
      <c r="K7088" s="10">
        <f>IF(F7088&gt;0,H7088/F7088,"")</f>
        <v/>
      </c>
      <c r="L7088" s="16">
        <f>IF(AND(G7088&gt;0,H7088&gt;0),G7088/H7088,"")</f>
        <v/>
      </c>
    </row>
    <row r="7089">
      <c r="A7089" s="4" t="inlineStr">
        <is>
          <t>418</t>
        </is>
      </c>
      <c r="B7089" s="4" t="n">
        <v>4</v>
      </c>
      <c r="C7089" s="4" t="inlineStr">
        <is>
          <t>mule deer</t>
        </is>
      </c>
      <c r="D7089" s="4" t="n">
        <v>2018</v>
      </c>
      <c r="E7089" s="13" t="inlineStr">
        <is>
          <t>General</t>
        </is>
      </c>
      <c r="F7089" s="5" t="n"/>
      <c r="G7089" s="5" t="n"/>
      <c r="H7089" s="5" t="n">
        <v>156</v>
      </c>
      <c r="I7089" s="5" t="n">
        <v>156</v>
      </c>
      <c r="J7089" s="5" t="n">
        <v>0</v>
      </c>
      <c r="K7089" s="10">
        <f>IF(F7089&gt;0,H7089/F7089,"")</f>
        <v/>
      </c>
      <c r="L7089" s="16">
        <f>IF(AND(G7089&gt;0,H7089&gt;0),G7089/H7089,"")</f>
        <v/>
      </c>
    </row>
    <row r="7090">
      <c r="A7090" s="4" t="inlineStr">
        <is>
          <t>418</t>
        </is>
      </c>
      <c r="B7090" s="4" t="n">
        <v>4</v>
      </c>
      <c r="C7090" s="4" t="inlineStr">
        <is>
          <t>mule deer</t>
        </is>
      </c>
      <c r="D7090" s="4" t="n">
        <v>2019</v>
      </c>
      <c r="E7090" s="13" t="inlineStr">
        <is>
          <t>General</t>
        </is>
      </c>
      <c r="F7090" s="5" t="n">
        <v>457</v>
      </c>
      <c r="G7090" s="5" t="n">
        <v>2217</v>
      </c>
      <c r="H7090" s="5" t="n">
        <v>130</v>
      </c>
      <c r="I7090" s="5" t="n">
        <v>126</v>
      </c>
      <c r="J7090" s="5" t="n">
        <v>3</v>
      </c>
      <c r="K7090" s="10">
        <f>IF(F7090&gt;0,H7090/F7090,"")</f>
        <v/>
      </c>
      <c r="L7090" s="16">
        <f>IF(AND(G7090&gt;0,H7090&gt;0),G7090/H7090,"")</f>
        <v/>
      </c>
    </row>
    <row r="7091">
      <c r="A7091" s="4" t="inlineStr">
        <is>
          <t>418</t>
        </is>
      </c>
      <c r="B7091" s="4" t="n">
        <v>4</v>
      </c>
      <c r="C7091" s="4" t="inlineStr">
        <is>
          <t>mule deer</t>
        </is>
      </c>
      <c r="D7091" s="4" t="n">
        <v>2020</v>
      </c>
      <c r="E7091" s="13" t="inlineStr">
        <is>
          <t>General</t>
        </is>
      </c>
      <c r="F7091" s="5" t="n"/>
      <c r="G7091" s="5" t="n"/>
      <c r="H7091" s="5" t="n">
        <v>118</v>
      </c>
      <c r="I7091" s="5" t="n">
        <v>118</v>
      </c>
      <c r="J7091" s="5" t="n">
        <v>0</v>
      </c>
      <c r="K7091" s="10">
        <f>IF(F7091&gt;0,H7091/F7091,"")</f>
        <v/>
      </c>
      <c r="L7091" s="16">
        <f>IF(AND(G7091&gt;0,H7091&gt;0),G7091/H7091,"")</f>
        <v/>
      </c>
    </row>
    <row r="7092">
      <c r="A7092" s="4" t="inlineStr">
        <is>
          <t>418</t>
        </is>
      </c>
      <c r="B7092" s="4" t="n">
        <v>4</v>
      </c>
      <c r="C7092" s="4" t="inlineStr">
        <is>
          <t>mule deer</t>
        </is>
      </c>
      <c r="D7092" s="4" t="n">
        <v>2021</v>
      </c>
      <c r="E7092" s="13" t="inlineStr">
        <is>
          <t>General</t>
        </is>
      </c>
      <c r="F7092" s="5" t="n">
        <v>541</v>
      </c>
      <c r="G7092" s="5" t="n">
        <v>3602</v>
      </c>
      <c r="H7092" s="5" t="n">
        <v>163</v>
      </c>
      <c r="I7092" s="5" t="n">
        <v>159</v>
      </c>
      <c r="J7092" s="5" t="n">
        <v>4</v>
      </c>
      <c r="K7092" s="10">
        <f>IF(F7092&gt;0,H7092/F7092,"")</f>
        <v/>
      </c>
      <c r="L7092" s="16">
        <f>IF(AND(G7092&gt;0,H7092&gt;0),G7092/H7092,"")</f>
        <v/>
      </c>
    </row>
    <row r="7093">
      <c r="A7093" s="4" t="inlineStr">
        <is>
          <t>418</t>
        </is>
      </c>
      <c r="B7093" s="4" t="n">
        <v>4</v>
      </c>
      <c r="C7093" s="4" t="inlineStr">
        <is>
          <t>mule deer</t>
        </is>
      </c>
      <c r="D7093" s="4" t="n">
        <v>2022</v>
      </c>
      <c r="E7093" s="13" t="inlineStr">
        <is>
          <t>General</t>
        </is>
      </c>
      <c r="F7093" s="5" t="n"/>
      <c r="G7093" s="5" t="n"/>
      <c r="H7093" s="5" t="n">
        <v>97</v>
      </c>
      <c r="I7093" s="5" t="n">
        <v>87</v>
      </c>
      <c r="J7093" s="5" t="n">
        <v>10</v>
      </c>
      <c r="K7093" s="10">
        <f>IF(F7093&gt;0,H7093/F7093,"")</f>
        <v/>
      </c>
      <c r="L7093" s="16">
        <f>IF(AND(G7093&gt;0,H7093&gt;0),G7093/H7093,"")</f>
        <v/>
      </c>
    </row>
    <row r="7094">
      <c r="A7094" s="4" t="inlineStr">
        <is>
          <t>418</t>
        </is>
      </c>
      <c r="B7094" s="4" t="n">
        <v>4</v>
      </c>
      <c r="C7094" s="4" t="inlineStr">
        <is>
          <t>mule deer</t>
        </is>
      </c>
      <c r="D7094" s="4" t="n">
        <v>2023</v>
      </c>
      <c r="E7094" s="13" t="inlineStr">
        <is>
          <t>General</t>
        </is>
      </c>
      <c r="F7094" s="5" t="n">
        <v>493</v>
      </c>
      <c r="G7094" s="5" t="n">
        <v>2643</v>
      </c>
      <c r="H7094" s="5" t="n">
        <v>105</v>
      </c>
      <c r="I7094" s="5" t="n">
        <v>100</v>
      </c>
      <c r="J7094" s="5" t="n">
        <v>6</v>
      </c>
      <c r="K7094" s="10">
        <f>IF(F7094&gt;0,H7094/F7094,"")</f>
        <v/>
      </c>
      <c r="L7094" s="16">
        <f>IF(AND(G7094&gt;0,H7094&gt;0),G7094/H7094,"")</f>
        <v/>
      </c>
    </row>
    <row r="7095">
      <c r="A7095" s="4" t="inlineStr">
        <is>
          <t>418</t>
        </is>
      </c>
      <c r="B7095" s="4" t="n">
        <v>4</v>
      </c>
      <c r="C7095" s="4" t="inlineStr">
        <is>
          <t>mule deer</t>
        </is>
      </c>
      <c r="D7095" s="4" t="n">
        <v>2024</v>
      </c>
      <c r="E7095" s="13" t="inlineStr">
        <is>
          <t>General</t>
        </is>
      </c>
      <c r="F7095" s="5" t="n"/>
      <c r="G7095" s="5" t="n"/>
      <c r="H7095" s="5" t="n">
        <v>150</v>
      </c>
      <c r="I7095" s="5" t="n">
        <v>150</v>
      </c>
      <c r="J7095" s="5" t="n">
        <v>0</v>
      </c>
      <c r="K7095" s="10">
        <f>IF(F7095&gt;0,H7095/F7095,"")</f>
        <v/>
      </c>
      <c r="L7095" s="16">
        <f>IF(AND(G7095&gt;0,H7095&gt;0),G7095/H7095,"")</f>
        <v/>
      </c>
    </row>
    <row r="7096">
      <c r="A7096" s="4" t="inlineStr">
        <is>
          <t>418</t>
        </is>
      </c>
      <c r="B7096" s="4" t="n">
        <v>4</v>
      </c>
      <c r="C7096" s="4" t="inlineStr">
        <is>
          <t>mule deer</t>
        </is>
      </c>
      <c r="D7096" s="4" t="n">
        <v>2025</v>
      </c>
      <c r="E7096" s="13" t="inlineStr">
        <is>
          <t>General</t>
        </is>
      </c>
      <c r="F7096" s="5" t="n">
        <v>495</v>
      </c>
      <c r="G7096" s="5" t="n">
        <v>4579</v>
      </c>
      <c r="H7096" s="5" t="n">
        <v>119</v>
      </c>
      <c r="I7096" s="5" t="n">
        <v>116</v>
      </c>
      <c r="J7096" s="5" t="n">
        <v>3</v>
      </c>
      <c r="K7096" s="10">
        <f>IF(F7096&gt;0,H7096/F7096,"")</f>
        <v/>
      </c>
      <c r="L7096" s="16">
        <f>IF(AND(G7096&gt;0,H7096&gt;0),G7096/H7096,"")</f>
        <v/>
      </c>
    </row>
    <row r="7097">
      <c r="A7097" s="4" t="inlineStr">
        <is>
          <t>419</t>
        </is>
      </c>
      <c r="B7097" s="4" t="n">
        <v>4</v>
      </c>
      <c r="C7097" s="4" t="inlineStr">
        <is>
          <t>mule deer</t>
        </is>
      </c>
      <c r="D7097" s="4" t="n">
        <v>2004</v>
      </c>
      <c r="E7097" s="13" t="inlineStr">
        <is>
          <t>General</t>
        </is>
      </c>
      <c r="F7097" s="5" t="n">
        <v>510</v>
      </c>
      <c r="G7097" s="5" t="n">
        <v>1783</v>
      </c>
      <c r="H7097" s="5" t="n">
        <v>286</v>
      </c>
      <c r="I7097" s="5" t="n">
        <v>182</v>
      </c>
      <c r="J7097" s="5" t="n">
        <v>102</v>
      </c>
      <c r="K7097" s="10">
        <f>IF(F7097&gt;0,H7097/F7097,"")</f>
        <v/>
      </c>
      <c r="L7097" s="16">
        <f>IF(AND(G7097&gt;0,H7097&gt;0),G7097/H7097,"")</f>
        <v/>
      </c>
    </row>
    <row r="7098">
      <c r="A7098" s="4" t="inlineStr">
        <is>
          <t>419</t>
        </is>
      </c>
      <c r="B7098" s="4" t="n">
        <v>4</v>
      </c>
      <c r="C7098" s="4" t="inlineStr">
        <is>
          <t>mule deer</t>
        </is>
      </c>
      <c r="D7098" s="4" t="n">
        <v>2005</v>
      </c>
      <c r="E7098" s="13" t="inlineStr">
        <is>
          <t>General</t>
        </is>
      </c>
      <c r="F7098" s="5" t="n">
        <v>545</v>
      </c>
      <c r="G7098" s="5" t="n">
        <v>2320</v>
      </c>
      <c r="H7098" s="5" t="n">
        <v>302</v>
      </c>
      <c r="I7098" s="5" t="n">
        <v>205</v>
      </c>
      <c r="J7098" s="5" t="n">
        <v>97</v>
      </c>
      <c r="K7098" s="10">
        <f>IF(F7098&gt;0,H7098/F7098,"")</f>
        <v/>
      </c>
      <c r="L7098" s="16">
        <f>IF(AND(G7098&gt;0,H7098&gt;0),G7098/H7098,"")</f>
        <v/>
      </c>
    </row>
    <row r="7099">
      <c r="A7099" s="4" t="inlineStr">
        <is>
          <t>419</t>
        </is>
      </c>
      <c r="B7099" s="4" t="n">
        <v>4</v>
      </c>
      <c r="C7099" s="4" t="inlineStr">
        <is>
          <t>mule deer</t>
        </is>
      </c>
      <c r="D7099" s="4" t="n">
        <v>2006</v>
      </c>
      <c r="E7099" s="13" t="inlineStr">
        <is>
          <t>General</t>
        </is>
      </c>
      <c r="F7099" s="5" t="n">
        <v>428</v>
      </c>
      <c r="G7099" s="5" t="n">
        <v>1638</v>
      </c>
      <c r="H7099" s="5" t="n">
        <v>299</v>
      </c>
      <c r="I7099" s="5" t="n">
        <v>179</v>
      </c>
      <c r="J7099" s="5" t="n">
        <v>118</v>
      </c>
      <c r="K7099" s="10">
        <f>IF(F7099&gt;0,H7099/F7099,"")</f>
        <v/>
      </c>
      <c r="L7099" s="16">
        <f>IF(AND(G7099&gt;0,H7099&gt;0),G7099/H7099,"")</f>
        <v/>
      </c>
    </row>
    <row r="7100">
      <c r="A7100" s="4" t="inlineStr">
        <is>
          <t>419</t>
        </is>
      </c>
      <c r="B7100" s="4" t="n">
        <v>4</v>
      </c>
      <c r="C7100" s="4" t="inlineStr">
        <is>
          <t>mule deer</t>
        </is>
      </c>
      <c r="D7100" s="4" t="n">
        <v>2007</v>
      </c>
      <c r="E7100" s="13" t="inlineStr">
        <is>
          <t>General</t>
        </is>
      </c>
      <c r="F7100" s="5" t="n">
        <v>612</v>
      </c>
      <c r="G7100" s="5" t="n">
        <v>2577</v>
      </c>
      <c r="H7100" s="5" t="n">
        <v>375</v>
      </c>
      <c r="I7100" s="5" t="n">
        <v>200</v>
      </c>
      <c r="J7100" s="5" t="n">
        <v>176</v>
      </c>
      <c r="K7100" s="10">
        <f>IF(F7100&gt;0,H7100/F7100,"")</f>
        <v/>
      </c>
      <c r="L7100" s="16">
        <f>IF(AND(G7100&gt;0,H7100&gt;0),G7100/H7100,"")</f>
        <v/>
      </c>
    </row>
    <row r="7101">
      <c r="A7101" s="4" t="inlineStr">
        <is>
          <t>419</t>
        </is>
      </c>
      <c r="B7101" s="4" t="n">
        <v>4</v>
      </c>
      <c r="C7101" s="4" t="inlineStr">
        <is>
          <t>mule deer</t>
        </is>
      </c>
      <c r="D7101" s="4" t="n">
        <v>2008</v>
      </c>
      <c r="E7101" s="13" t="inlineStr">
        <is>
          <t>General</t>
        </is>
      </c>
      <c r="F7101" s="5" t="n">
        <v>470</v>
      </c>
      <c r="G7101" s="5" t="n">
        <v>1989</v>
      </c>
      <c r="H7101" s="5" t="n">
        <v>282</v>
      </c>
      <c r="I7101" s="5" t="n">
        <v>145</v>
      </c>
      <c r="J7101" s="5" t="n">
        <v>137</v>
      </c>
      <c r="K7101" s="10">
        <f>IF(F7101&gt;0,H7101/F7101,"")</f>
        <v/>
      </c>
      <c r="L7101" s="16">
        <f>IF(AND(G7101&gt;0,H7101&gt;0),G7101/H7101,"")</f>
        <v/>
      </c>
    </row>
    <row r="7102">
      <c r="A7102" s="4" t="inlineStr">
        <is>
          <t>419</t>
        </is>
      </c>
      <c r="B7102" s="4" t="n">
        <v>4</v>
      </c>
      <c r="C7102" s="4" t="inlineStr">
        <is>
          <t>mule deer</t>
        </is>
      </c>
      <c r="D7102" s="4" t="n">
        <v>2009</v>
      </c>
      <c r="E7102" s="13" t="inlineStr">
        <is>
          <t>General</t>
        </is>
      </c>
      <c r="F7102" s="5" t="n">
        <v>480</v>
      </c>
      <c r="G7102" s="5" t="n">
        <v>2008</v>
      </c>
      <c r="H7102" s="5" t="n">
        <v>135</v>
      </c>
      <c r="I7102" s="5" t="n">
        <v>94</v>
      </c>
      <c r="J7102" s="5" t="n">
        <v>41</v>
      </c>
      <c r="K7102" s="10">
        <f>IF(F7102&gt;0,H7102/F7102,"")</f>
        <v/>
      </c>
      <c r="L7102" s="16">
        <f>IF(AND(G7102&gt;0,H7102&gt;0),G7102/H7102,"")</f>
        <v/>
      </c>
    </row>
    <row r="7103">
      <c r="A7103" s="4" t="inlineStr">
        <is>
          <t>419</t>
        </is>
      </c>
      <c r="B7103" s="4" t="n">
        <v>4</v>
      </c>
      <c r="C7103" s="4" t="inlineStr">
        <is>
          <t>mule deer</t>
        </is>
      </c>
      <c r="D7103" s="4" t="n">
        <v>2010</v>
      </c>
      <c r="E7103" s="13" t="inlineStr">
        <is>
          <t>General</t>
        </is>
      </c>
      <c r="F7103" s="5" t="n">
        <v>455</v>
      </c>
      <c r="G7103" s="5" t="n">
        <v>1480</v>
      </c>
      <c r="H7103" s="5" t="n">
        <v>129</v>
      </c>
      <c r="I7103" s="5" t="n">
        <v>107</v>
      </c>
      <c r="J7103" s="5" t="n">
        <v>21</v>
      </c>
      <c r="K7103" s="10">
        <f>IF(F7103&gt;0,H7103/F7103,"")</f>
        <v/>
      </c>
      <c r="L7103" s="16">
        <f>IF(AND(G7103&gt;0,H7103&gt;0),G7103/H7103,"")</f>
        <v/>
      </c>
    </row>
    <row r="7104">
      <c r="A7104" s="4" t="inlineStr">
        <is>
          <t>419</t>
        </is>
      </c>
      <c r="B7104" s="4" t="n">
        <v>4</v>
      </c>
      <c r="C7104" s="4" t="inlineStr">
        <is>
          <t>mule deer</t>
        </is>
      </c>
      <c r="D7104" s="4" t="n">
        <v>2011</v>
      </c>
      <c r="E7104" s="13" t="inlineStr">
        <is>
          <t>General</t>
        </is>
      </c>
      <c r="F7104" s="5" t="n">
        <v>335</v>
      </c>
      <c r="G7104" s="5" t="n">
        <v>1244</v>
      </c>
      <c r="H7104" s="5" t="n">
        <v>140</v>
      </c>
      <c r="I7104" s="5" t="n">
        <v>136</v>
      </c>
      <c r="J7104" s="5" t="n">
        <v>4</v>
      </c>
      <c r="K7104" s="10">
        <f>IF(F7104&gt;0,H7104/F7104,"")</f>
        <v/>
      </c>
      <c r="L7104" s="16">
        <f>IF(AND(G7104&gt;0,H7104&gt;0),G7104/H7104,"")</f>
        <v/>
      </c>
    </row>
    <row r="7105">
      <c r="A7105" s="4" t="inlineStr">
        <is>
          <t>419</t>
        </is>
      </c>
      <c r="B7105" s="4" t="n">
        <v>4</v>
      </c>
      <c r="C7105" s="4" t="inlineStr">
        <is>
          <t>mule deer</t>
        </is>
      </c>
      <c r="D7105" s="4" t="n">
        <v>2012</v>
      </c>
      <c r="E7105" s="13" t="inlineStr">
        <is>
          <t>General</t>
        </is>
      </c>
      <c r="F7105" s="5" t="n"/>
      <c r="G7105" s="5" t="n"/>
      <c r="H7105" s="5" t="n">
        <v>163</v>
      </c>
      <c r="I7105" s="5" t="n">
        <v>158</v>
      </c>
      <c r="J7105" s="5" t="n">
        <v>5</v>
      </c>
      <c r="K7105" s="10">
        <f>IF(F7105&gt;0,H7105/F7105,"")</f>
        <v/>
      </c>
      <c r="L7105" s="16">
        <f>IF(AND(G7105&gt;0,H7105&gt;0),G7105/H7105,"")</f>
        <v/>
      </c>
    </row>
    <row r="7106">
      <c r="A7106" s="4" t="inlineStr">
        <is>
          <t>419</t>
        </is>
      </c>
      <c r="B7106" s="4" t="n">
        <v>4</v>
      </c>
      <c r="C7106" s="4" t="inlineStr">
        <is>
          <t>mule deer</t>
        </is>
      </c>
      <c r="D7106" s="4" t="n">
        <v>2013</v>
      </c>
      <c r="E7106" s="13" t="inlineStr">
        <is>
          <t>General</t>
        </is>
      </c>
      <c r="F7106" s="5" t="n">
        <v>427</v>
      </c>
      <c r="G7106" s="5" t="n">
        <v>2034</v>
      </c>
      <c r="H7106" s="5" t="n">
        <v>174</v>
      </c>
      <c r="I7106" s="5" t="n">
        <v>169</v>
      </c>
      <c r="J7106" s="5" t="n">
        <v>6</v>
      </c>
      <c r="K7106" s="10">
        <f>IF(F7106&gt;0,H7106/F7106,"")</f>
        <v/>
      </c>
      <c r="L7106" s="16">
        <f>IF(AND(G7106&gt;0,H7106&gt;0),G7106/H7106,"")</f>
        <v/>
      </c>
    </row>
    <row r="7107">
      <c r="A7107" s="4" t="inlineStr">
        <is>
          <t>419</t>
        </is>
      </c>
      <c r="B7107" s="4" t="n">
        <v>4</v>
      </c>
      <c r="C7107" s="4" t="inlineStr">
        <is>
          <t>mule deer</t>
        </is>
      </c>
      <c r="D7107" s="4" t="n">
        <v>2014</v>
      </c>
      <c r="E7107" s="13" t="inlineStr">
        <is>
          <t>General</t>
        </is>
      </c>
      <c r="F7107" s="5" t="n"/>
      <c r="G7107" s="5" t="n"/>
      <c r="H7107" s="5" t="n">
        <v>200</v>
      </c>
      <c r="I7107" s="5" t="n">
        <v>200</v>
      </c>
      <c r="J7107" s="5" t="n">
        <v>0</v>
      </c>
      <c r="K7107" s="10">
        <f>IF(F7107&gt;0,H7107/F7107,"")</f>
        <v/>
      </c>
      <c r="L7107" s="16">
        <f>IF(AND(G7107&gt;0,H7107&gt;0),G7107/H7107,"")</f>
        <v/>
      </c>
    </row>
    <row r="7108">
      <c r="A7108" s="4" t="inlineStr">
        <is>
          <t>419</t>
        </is>
      </c>
      <c r="B7108" s="4" t="n">
        <v>4</v>
      </c>
      <c r="C7108" s="4" t="inlineStr">
        <is>
          <t>mule deer</t>
        </is>
      </c>
      <c r="D7108" s="4" t="n">
        <v>2015</v>
      </c>
      <c r="E7108" s="13" t="inlineStr">
        <is>
          <t>General</t>
        </is>
      </c>
      <c r="F7108" s="5" t="n"/>
      <c r="G7108" s="5" t="n"/>
      <c r="H7108" s="5" t="n">
        <v>227</v>
      </c>
      <c r="I7108" s="5" t="n">
        <v>221</v>
      </c>
      <c r="J7108" s="5" t="n">
        <v>6</v>
      </c>
      <c r="K7108" s="10">
        <f>IF(F7108&gt;0,H7108/F7108,"")</f>
        <v/>
      </c>
      <c r="L7108" s="16">
        <f>IF(AND(G7108&gt;0,H7108&gt;0),G7108/H7108,"")</f>
        <v/>
      </c>
    </row>
    <row r="7109">
      <c r="A7109" s="4" t="inlineStr">
        <is>
          <t>419</t>
        </is>
      </c>
      <c r="B7109" s="4" t="n">
        <v>4</v>
      </c>
      <c r="C7109" s="4" t="inlineStr">
        <is>
          <t>mule deer</t>
        </is>
      </c>
      <c r="D7109" s="4" t="n">
        <v>2016</v>
      </c>
      <c r="E7109" s="13" t="inlineStr">
        <is>
          <t>General</t>
        </is>
      </c>
      <c r="F7109" s="5" t="n"/>
      <c r="G7109" s="5" t="n"/>
      <c r="H7109" s="5" t="n">
        <v>259</v>
      </c>
      <c r="I7109" s="5" t="n">
        <v>234</v>
      </c>
      <c r="J7109" s="5" t="n">
        <v>24</v>
      </c>
      <c r="K7109" s="10">
        <f>IF(F7109&gt;0,H7109/F7109,"")</f>
        <v/>
      </c>
      <c r="L7109" s="16">
        <f>IF(AND(G7109&gt;0,H7109&gt;0),G7109/H7109,"")</f>
        <v/>
      </c>
    </row>
    <row r="7110">
      <c r="A7110" s="4" t="inlineStr">
        <is>
          <t>419</t>
        </is>
      </c>
      <c r="B7110" s="4" t="n">
        <v>4</v>
      </c>
      <c r="C7110" s="4" t="inlineStr">
        <is>
          <t>mule deer</t>
        </is>
      </c>
      <c r="D7110" s="4" t="n">
        <v>2017</v>
      </c>
      <c r="E7110" s="13" t="inlineStr">
        <is>
          <t>General</t>
        </is>
      </c>
      <c r="F7110" s="5" t="n">
        <v>578</v>
      </c>
      <c r="G7110" s="5" t="n">
        <v>2759</v>
      </c>
      <c r="H7110" s="5" t="n">
        <v>323</v>
      </c>
      <c r="I7110" s="5" t="n">
        <v>289</v>
      </c>
      <c r="J7110" s="5" t="n">
        <v>34</v>
      </c>
      <c r="K7110" s="10">
        <f>IF(F7110&gt;0,H7110/F7110,"")</f>
        <v/>
      </c>
      <c r="L7110" s="16">
        <f>IF(AND(G7110&gt;0,H7110&gt;0),G7110/H7110,"")</f>
        <v/>
      </c>
    </row>
    <row r="7111">
      <c r="A7111" s="4" t="inlineStr">
        <is>
          <t>419</t>
        </is>
      </c>
      <c r="B7111" s="4" t="n">
        <v>4</v>
      </c>
      <c r="C7111" s="4" t="inlineStr">
        <is>
          <t>mule deer</t>
        </is>
      </c>
      <c r="D7111" s="4" t="n">
        <v>2018</v>
      </c>
      <c r="E7111" s="13" t="inlineStr">
        <is>
          <t>General</t>
        </is>
      </c>
      <c r="F7111" s="5" t="n"/>
      <c r="G7111" s="5" t="n"/>
      <c r="H7111" s="5" t="n">
        <v>298</v>
      </c>
      <c r="I7111" s="5" t="n">
        <v>253</v>
      </c>
      <c r="J7111" s="5" t="n">
        <v>42</v>
      </c>
      <c r="K7111" s="10">
        <f>IF(F7111&gt;0,H7111/F7111,"")</f>
        <v/>
      </c>
      <c r="L7111" s="16">
        <f>IF(AND(G7111&gt;0,H7111&gt;0),G7111/H7111,"")</f>
        <v/>
      </c>
    </row>
    <row r="7112">
      <c r="A7112" s="4" t="inlineStr">
        <is>
          <t>419</t>
        </is>
      </c>
      <c r="B7112" s="4" t="n">
        <v>4</v>
      </c>
      <c r="C7112" s="4" t="inlineStr">
        <is>
          <t>mule deer</t>
        </is>
      </c>
      <c r="D7112" s="4" t="n">
        <v>2019</v>
      </c>
      <c r="E7112" s="13" t="inlineStr">
        <is>
          <t>General</t>
        </is>
      </c>
      <c r="F7112" s="5" t="n">
        <v>656</v>
      </c>
      <c r="G7112" s="5" t="n">
        <v>2853</v>
      </c>
      <c r="H7112" s="5" t="n">
        <v>306</v>
      </c>
      <c r="I7112" s="5" t="n">
        <v>234</v>
      </c>
      <c r="J7112" s="5" t="n">
        <v>69</v>
      </c>
      <c r="K7112" s="10">
        <f>IF(F7112&gt;0,H7112/F7112,"")</f>
        <v/>
      </c>
      <c r="L7112" s="16">
        <f>IF(AND(G7112&gt;0,H7112&gt;0),G7112/H7112,"")</f>
        <v/>
      </c>
    </row>
    <row r="7113">
      <c r="A7113" s="4" t="inlineStr">
        <is>
          <t>419</t>
        </is>
      </c>
      <c r="B7113" s="4" t="n">
        <v>4</v>
      </c>
      <c r="C7113" s="4" t="inlineStr">
        <is>
          <t>mule deer</t>
        </is>
      </c>
      <c r="D7113" s="4" t="n">
        <v>2020</v>
      </c>
      <c r="E7113" s="13" t="inlineStr">
        <is>
          <t>General</t>
        </is>
      </c>
      <c r="F7113" s="5" t="n"/>
      <c r="G7113" s="5" t="n"/>
      <c r="H7113" s="5" t="n">
        <v>322</v>
      </c>
      <c r="I7113" s="5" t="n">
        <v>256</v>
      </c>
      <c r="J7113" s="5" t="n">
        <v>65</v>
      </c>
      <c r="K7113" s="10">
        <f>IF(F7113&gt;0,H7113/F7113,"")</f>
        <v/>
      </c>
      <c r="L7113" s="16">
        <f>IF(AND(G7113&gt;0,H7113&gt;0),G7113/H7113,"")</f>
        <v/>
      </c>
    </row>
    <row r="7114">
      <c r="A7114" s="4" t="inlineStr">
        <is>
          <t>419</t>
        </is>
      </c>
      <c r="B7114" s="4" t="n">
        <v>4</v>
      </c>
      <c r="C7114" s="4" t="inlineStr">
        <is>
          <t>mule deer</t>
        </is>
      </c>
      <c r="D7114" s="4" t="n">
        <v>2021</v>
      </c>
      <c r="E7114" s="13" t="inlineStr">
        <is>
          <t>General</t>
        </is>
      </c>
      <c r="F7114" s="5" t="n">
        <v>561</v>
      </c>
      <c r="G7114" s="5" t="n">
        <v>2567</v>
      </c>
      <c r="H7114" s="5" t="n">
        <v>234</v>
      </c>
      <c r="I7114" s="5" t="n">
        <v>200</v>
      </c>
      <c r="J7114" s="5" t="n">
        <v>34</v>
      </c>
      <c r="K7114" s="10">
        <f>IF(F7114&gt;0,H7114/F7114,"")</f>
        <v/>
      </c>
      <c r="L7114" s="16">
        <f>IF(AND(G7114&gt;0,H7114&gt;0),G7114/H7114,"")</f>
        <v/>
      </c>
    </row>
    <row r="7115">
      <c r="A7115" s="4" t="inlineStr">
        <is>
          <t>419</t>
        </is>
      </c>
      <c r="B7115" s="4" t="n">
        <v>4</v>
      </c>
      <c r="C7115" s="4" t="inlineStr">
        <is>
          <t>mule deer</t>
        </is>
      </c>
      <c r="D7115" s="4" t="n">
        <v>2022</v>
      </c>
      <c r="E7115" s="13" t="inlineStr">
        <is>
          <t>General</t>
        </is>
      </c>
      <c r="F7115" s="5" t="n"/>
      <c r="G7115" s="5" t="n"/>
      <c r="H7115" s="5" t="n">
        <v>242</v>
      </c>
      <c r="I7115" s="5" t="n">
        <v>204</v>
      </c>
      <c r="J7115" s="5" t="n">
        <v>38</v>
      </c>
      <c r="K7115" s="10">
        <f>IF(F7115&gt;0,H7115/F7115,"")</f>
        <v/>
      </c>
      <c r="L7115" s="16">
        <f>IF(AND(G7115&gt;0,H7115&gt;0),G7115/H7115,"")</f>
        <v/>
      </c>
    </row>
    <row r="7116">
      <c r="A7116" s="4" t="inlineStr">
        <is>
          <t>419</t>
        </is>
      </c>
      <c r="B7116" s="4" t="n">
        <v>4</v>
      </c>
      <c r="C7116" s="4" t="inlineStr">
        <is>
          <t>mule deer</t>
        </is>
      </c>
      <c r="D7116" s="4" t="n">
        <v>2023</v>
      </c>
      <c r="E7116" s="13" t="inlineStr">
        <is>
          <t>General</t>
        </is>
      </c>
      <c r="F7116" s="5" t="n">
        <v>648</v>
      </c>
      <c r="G7116" s="5" t="n">
        <v>3354</v>
      </c>
      <c r="H7116" s="5" t="n">
        <v>255</v>
      </c>
      <c r="I7116" s="5" t="n">
        <v>229</v>
      </c>
      <c r="J7116" s="5" t="n">
        <v>26</v>
      </c>
      <c r="K7116" s="10">
        <f>IF(F7116&gt;0,H7116/F7116,"")</f>
        <v/>
      </c>
      <c r="L7116" s="16">
        <f>IF(AND(G7116&gt;0,H7116&gt;0),G7116/H7116,"")</f>
        <v/>
      </c>
    </row>
    <row r="7117">
      <c r="A7117" s="4" t="inlineStr">
        <is>
          <t>419</t>
        </is>
      </c>
      <c r="B7117" s="4" t="n">
        <v>4</v>
      </c>
      <c r="C7117" s="4" t="inlineStr">
        <is>
          <t>mule deer</t>
        </is>
      </c>
      <c r="D7117" s="4" t="n">
        <v>2024</v>
      </c>
      <c r="E7117" s="13" t="inlineStr">
        <is>
          <t>General</t>
        </is>
      </c>
      <c r="F7117" s="5" t="n"/>
      <c r="G7117" s="5" t="n"/>
      <c r="H7117" s="5" t="n">
        <v>316</v>
      </c>
      <c r="I7117" s="5" t="n">
        <v>290</v>
      </c>
      <c r="J7117" s="5" t="n">
        <v>26</v>
      </c>
      <c r="K7117" s="10">
        <f>IF(F7117&gt;0,H7117/F7117,"")</f>
        <v/>
      </c>
      <c r="L7117" s="16">
        <f>IF(AND(G7117&gt;0,H7117&gt;0),G7117/H7117,"")</f>
        <v/>
      </c>
    </row>
    <row r="7118">
      <c r="A7118" s="4" t="inlineStr">
        <is>
          <t>419</t>
        </is>
      </c>
      <c r="B7118" s="4" t="n">
        <v>4</v>
      </c>
      <c r="C7118" s="4" t="inlineStr">
        <is>
          <t>mule deer</t>
        </is>
      </c>
      <c r="D7118" s="4" t="n">
        <v>2025</v>
      </c>
      <c r="E7118" s="13" t="inlineStr">
        <is>
          <t>General</t>
        </is>
      </c>
      <c r="F7118" s="5" t="n">
        <v>861</v>
      </c>
      <c r="G7118" s="5" t="n">
        <v>4469</v>
      </c>
      <c r="H7118" s="5" t="n">
        <v>278</v>
      </c>
      <c r="I7118" s="5" t="n">
        <v>257</v>
      </c>
      <c r="J7118" s="5" t="n">
        <v>19</v>
      </c>
      <c r="K7118" s="10">
        <f>IF(F7118&gt;0,H7118/F7118,"")</f>
        <v/>
      </c>
      <c r="L7118" s="16">
        <f>IF(AND(G7118&gt;0,H7118&gt;0),G7118/H7118,"")</f>
        <v/>
      </c>
    </row>
    <row r="7119">
      <c r="A7119" s="4" t="inlineStr">
        <is>
          <t>420</t>
        </is>
      </c>
      <c r="B7119" s="4" t="n">
        <v>4</v>
      </c>
      <c r="C7119" s="4" t="inlineStr">
        <is>
          <t>mule deer</t>
        </is>
      </c>
      <c r="D7119" s="4" t="n">
        <v>2004</v>
      </c>
      <c r="E7119" s="13" t="inlineStr">
        <is>
          <t>General</t>
        </is>
      </c>
      <c r="F7119" s="5" t="n">
        <v>144</v>
      </c>
      <c r="G7119" s="5" t="n">
        <v>655</v>
      </c>
      <c r="H7119" s="5" t="n">
        <v>30</v>
      </c>
      <c r="I7119" s="5" t="n">
        <v>20</v>
      </c>
      <c r="J7119" s="5" t="n">
        <v>11</v>
      </c>
      <c r="K7119" s="10">
        <f>IF(F7119&gt;0,H7119/F7119,"")</f>
        <v/>
      </c>
      <c r="L7119" s="16">
        <f>IF(AND(G7119&gt;0,H7119&gt;0),G7119/H7119,"")</f>
        <v/>
      </c>
    </row>
    <row r="7120">
      <c r="A7120" s="4" t="inlineStr">
        <is>
          <t>420</t>
        </is>
      </c>
      <c r="B7120" s="4" t="n">
        <v>4</v>
      </c>
      <c r="C7120" s="4" t="inlineStr">
        <is>
          <t>mule deer</t>
        </is>
      </c>
      <c r="D7120" s="4" t="n">
        <v>2005</v>
      </c>
      <c r="E7120" s="13" t="inlineStr">
        <is>
          <t>General</t>
        </is>
      </c>
      <c r="F7120" s="5" t="n">
        <v>158</v>
      </c>
      <c r="G7120" s="5" t="n">
        <v>815</v>
      </c>
      <c r="H7120" s="5" t="n">
        <v>41</v>
      </c>
      <c r="I7120" s="5" t="n">
        <v>38</v>
      </c>
      <c r="J7120" s="5" t="n">
        <v>3</v>
      </c>
      <c r="K7120" s="10">
        <f>IF(F7120&gt;0,H7120/F7120,"")</f>
        <v/>
      </c>
      <c r="L7120" s="16">
        <f>IF(AND(G7120&gt;0,H7120&gt;0),G7120/H7120,"")</f>
        <v/>
      </c>
    </row>
    <row r="7121">
      <c r="A7121" s="4" t="inlineStr">
        <is>
          <t>420</t>
        </is>
      </c>
      <c r="B7121" s="4" t="n">
        <v>4</v>
      </c>
      <c r="C7121" s="4" t="inlineStr">
        <is>
          <t>mule deer</t>
        </is>
      </c>
      <c r="D7121" s="4" t="n">
        <v>2006</v>
      </c>
      <c r="E7121" s="13" t="inlineStr">
        <is>
          <t>General</t>
        </is>
      </c>
      <c r="F7121" s="5" t="n">
        <v>265</v>
      </c>
      <c r="G7121" s="5" t="n">
        <v>1316</v>
      </c>
      <c r="H7121" s="5" t="n">
        <v>68</v>
      </c>
      <c r="I7121" s="5" t="n">
        <v>54</v>
      </c>
      <c r="J7121" s="5" t="n">
        <v>14</v>
      </c>
      <c r="K7121" s="10">
        <f>IF(F7121&gt;0,H7121/F7121,"")</f>
        <v/>
      </c>
      <c r="L7121" s="16">
        <f>IF(AND(G7121&gt;0,H7121&gt;0),G7121/H7121,"")</f>
        <v/>
      </c>
    </row>
    <row r="7122">
      <c r="A7122" s="4" t="inlineStr">
        <is>
          <t>420</t>
        </is>
      </c>
      <c r="B7122" s="4" t="n">
        <v>4</v>
      </c>
      <c r="C7122" s="4" t="inlineStr">
        <is>
          <t>mule deer</t>
        </is>
      </c>
      <c r="D7122" s="4" t="n">
        <v>2007</v>
      </c>
      <c r="E7122" s="13" t="inlineStr">
        <is>
          <t>General</t>
        </is>
      </c>
      <c r="F7122" s="5" t="n">
        <v>181</v>
      </c>
      <c r="G7122" s="5" t="n">
        <v>911</v>
      </c>
      <c r="H7122" s="5" t="n">
        <v>25</v>
      </c>
      <c r="I7122" s="5" t="n">
        <v>25</v>
      </c>
      <c r="J7122" s="5" t="n">
        <v>0</v>
      </c>
      <c r="K7122" s="10">
        <f>IF(F7122&gt;0,H7122/F7122,"")</f>
        <v/>
      </c>
      <c r="L7122" s="16">
        <f>IF(AND(G7122&gt;0,H7122&gt;0),G7122/H7122,"")</f>
        <v/>
      </c>
    </row>
    <row r="7123">
      <c r="A7123" s="4" t="inlineStr">
        <is>
          <t>420</t>
        </is>
      </c>
      <c r="B7123" s="4" t="n">
        <v>4</v>
      </c>
      <c r="C7123" s="4" t="inlineStr">
        <is>
          <t>mule deer</t>
        </is>
      </c>
      <c r="D7123" s="4" t="n">
        <v>2008</v>
      </c>
      <c r="E7123" s="13" t="inlineStr">
        <is>
          <t>General</t>
        </is>
      </c>
      <c r="F7123" s="5" t="n">
        <v>264</v>
      </c>
      <c r="G7123" s="5" t="n">
        <v>1562</v>
      </c>
      <c r="H7123" s="5" t="n">
        <v>71</v>
      </c>
      <c r="I7123" s="5" t="n">
        <v>53</v>
      </c>
      <c r="J7123" s="5" t="n">
        <v>18</v>
      </c>
      <c r="K7123" s="10">
        <f>IF(F7123&gt;0,H7123/F7123,"")</f>
        <v/>
      </c>
      <c r="L7123" s="16">
        <f>IF(AND(G7123&gt;0,H7123&gt;0),G7123/H7123,"")</f>
        <v/>
      </c>
    </row>
    <row r="7124">
      <c r="A7124" s="4" t="inlineStr">
        <is>
          <t>420</t>
        </is>
      </c>
      <c r="B7124" s="4" t="n">
        <v>4</v>
      </c>
      <c r="C7124" s="4" t="inlineStr">
        <is>
          <t>mule deer</t>
        </is>
      </c>
      <c r="D7124" s="4" t="n">
        <v>2009</v>
      </c>
      <c r="E7124" s="13" t="inlineStr">
        <is>
          <t>General</t>
        </is>
      </c>
      <c r="F7124" s="5" t="n">
        <v>268</v>
      </c>
      <c r="G7124" s="5" t="n">
        <v>1608</v>
      </c>
      <c r="H7124" s="5" t="n">
        <v>33</v>
      </c>
      <c r="I7124" s="5" t="n">
        <v>24</v>
      </c>
      <c r="J7124" s="5" t="n">
        <v>9</v>
      </c>
      <c r="K7124" s="10">
        <f>IF(F7124&gt;0,H7124/F7124,"")</f>
        <v/>
      </c>
      <c r="L7124" s="16">
        <f>IF(AND(G7124&gt;0,H7124&gt;0),G7124/H7124,"")</f>
        <v/>
      </c>
    </row>
    <row r="7125">
      <c r="A7125" s="4" t="inlineStr">
        <is>
          <t>420</t>
        </is>
      </c>
      <c r="B7125" s="4" t="n">
        <v>4</v>
      </c>
      <c r="C7125" s="4" t="inlineStr">
        <is>
          <t>mule deer</t>
        </is>
      </c>
      <c r="D7125" s="4" t="n">
        <v>2010</v>
      </c>
      <c r="E7125" s="13" t="inlineStr">
        <is>
          <t>General</t>
        </is>
      </c>
      <c r="F7125" s="5" t="n">
        <v>188</v>
      </c>
      <c r="G7125" s="5" t="n">
        <v>1241</v>
      </c>
      <c r="H7125" s="5" t="n">
        <v>25</v>
      </c>
      <c r="I7125" s="5" t="n">
        <v>23</v>
      </c>
      <c r="J7125" s="5" t="n">
        <v>3</v>
      </c>
      <c r="K7125" s="10">
        <f>IF(F7125&gt;0,H7125/F7125,"")</f>
        <v/>
      </c>
      <c r="L7125" s="16">
        <f>IF(AND(G7125&gt;0,H7125&gt;0),G7125/H7125,"")</f>
        <v/>
      </c>
    </row>
    <row r="7126">
      <c r="A7126" s="4" t="inlineStr">
        <is>
          <t>420</t>
        </is>
      </c>
      <c r="B7126" s="4" t="n">
        <v>4</v>
      </c>
      <c r="C7126" s="4" t="inlineStr">
        <is>
          <t>mule deer</t>
        </is>
      </c>
      <c r="D7126" s="4" t="n">
        <v>2011</v>
      </c>
      <c r="E7126" s="13" t="inlineStr">
        <is>
          <t>General</t>
        </is>
      </c>
      <c r="F7126" s="5" t="n">
        <v>215</v>
      </c>
      <c r="G7126" s="5" t="n">
        <v>1389</v>
      </c>
      <c r="H7126" s="5" t="n">
        <v>28</v>
      </c>
      <c r="I7126" s="5" t="n">
        <v>25</v>
      </c>
      <c r="J7126" s="5" t="n">
        <v>3</v>
      </c>
      <c r="K7126" s="10">
        <f>IF(F7126&gt;0,H7126/F7126,"")</f>
        <v/>
      </c>
      <c r="L7126" s="16">
        <f>IF(AND(G7126&gt;0,H7126&gt;0),G7126/H7126,"")</f>
        <v/>
      </c>
    </row>
    <row r="7127">
      <c r="A7127" s="4" t="inlineStr">
        <is>
          <t>420</t>
        </is>
      </c>
      <c r="B7127" s="4" t="n">
        <v>4</v>
      </c>
      <c r="C7127" s="4" t="inlineStr">
        <is>
          <t>mule deer</t>
        </is>
      </c>
      <c r="D7127" s="4" t="n">
        <v>2012</v>
      </c>
      <c r="E7127" s="13" t="inlineStr">
        <is>
          <t>General</t>
        </is>
      </c>
      <c r="F7127" s="5" t="n"/>
      <c r="G7127" s="5" t="n"/>
      <c r="H7127" s="5" t="n">
        <v>42</v>
      </c>
      <c r="I7127" s="5" t="n">
        <v>39</v>
      </c>
      <c r="J7127" s="5" t="n">
        <v>3</v>
      </c>
      <c r="K7127" s="10">
        <f>IF(F7127&gt;0,H7127/F7127,"")</f>
        <v/>
      </c>
      <c r="L7127" s="16">
        <f>IF(AND(G7127&gt;0,H7127&gt;0),G7127/H7127,"")</f>
        <v/>
      </c>
    </row>
    <row r="7128">
      <c r="A7128" s="4" t="inlineStr">
        <is>
          <t>420</t>
        </is>
      </c>
      <c r="B7128" s="4" t="n">
        <v>4</v>
      </c>
      <c r="C7128" s="4" t="inlineStr">
        <is>
          <t>mule deer</t>
        </is>
      </c>
      <c r="D7128" s="4" t="n">
        <v>2013</v>
      </c>
      <c r="E7128" s="13" t="inlineStr">
        <is>
          <t>General</t>
        </is>
      </c>
      <c r="F7128" s="5" t="n">
        <v>265</v>
      </c>
      <c r="G7128" s="5" t="n">
        <v>1535</v>
      </c>
      <c r="H7128" s="5" t="n">
        <v>31</v>
      </c>
      <c r="I7128" s="5" t="n">
        <v>31</v>
      </c>
      <c r="J7128" s="5" t="n">
        <v>0</v>
      </c>
      <c r="K7128" s="10">
        <f>IF(F7128&gt;0,H7128/F7128,"")</f>
        <v/>
      </c>
      <c r="L7128" s="16">
        <f>IF(AND(G7128&gt;0,H7128&gt;0),G7128/H7128,"")</f>
        <v/>
      </c>
    </row>
    <row r="7129">
      <c r="A7129" s="4" t="inlineStr">
        <is>
          <t>420</t>
        </is>
      </c>
      <c r="B7129" s="4" t="n">
        <v>4</v>
      </c>
      <c r="C7129" s="4" t="inlineStr">
        <is>
          <t>mule deer</t>
        </is>
      </c>
      <c r="D7129" s="4" t="n">
        <v>2014</v>
      </c>
      <c r="E7129" s="13" t="inlineStr">
        <is>
          <t>General</t>
        </is>
      </c>
      <c r="F7129" s="5" t="n"/>
      <c r="G7129" s="5" t="n"/>
      <c r="H7129" s="5" t="n">
        <v>28</v>
      </c>
      <c r="I7129" s="5" t="n">
        <v>28</v>
      </c>
      <c r="J7129" s="5" t="n">
        <v>0</v>
      </c>
      <c r="K7129" s="10">
        <f>IF(F7129&gt;0,H7129/F7129,"")</f>
        <v/>
      </c>
      <c r="L7129" s="16">
        <f>IF(AND(G7129&gt;0,H7129&gt;0),G7129/H7129,"")</f>
        <v/>
      </c>
    </row>
    <row r="7130">
      <c r="A7130" s="4" t="inlineStr">
        <is>
          <t>420</t>
        </is>
      </c>
      <c r="B7130" s="4" t="n">
        <v>4</v>
      </c>
      <c r="C7130" s="4" t="inlineStr">
        <is>
          <t>mule deer</t>
        </is>
      </c>
      <c r="D7130" s="4" t="n">
        <v>2015</v>
      </c>
      <c r="E7130" s="13" t="inlineStr">
        <is>
          <t>General</t>
        </is>
      </c>
      <c r="F7130" s="5" t="n"/>
      <c r="G7130" s="5" t="n"/>
      <c r="H7130" s="5" t="n">
        <v>46</v>
      </c>
      <c r="I7130" s="5" t="n">
        <v>46</v>
      </c>
      <c r="J7130" s="5" t="n">
        <v>0</v>
      </c>
      <c r="K7130" s="10">
        <f>IF(F7130&gt;0,H7130/F7130,"")</f>
        <v/>
      </c>
      <c r="L7130" s="16">
        <f>IF(AND(G7130&gt;0,H7130&gt;0),G7130/H7130,"")</f>
        <v/>
      </c>
    </row>
    <row r="7131">
      <c r="A7131" s="4" t="inlineStr">
        <is>
          <t>420</t>
        </is>
      </c>
      <c r="B7131" s="4" t="n">
        <v>4</v>
      </c>
      <c r="C7131" s="4" t="inlineStr">
        <is>
          <t>mule deer</t>
        </is>
      </c>
      <c r="D7131" s="4" t="n">
        <v>2016</v>
      </c>
      <c r="E7131" s="13" t="inlineStr">
        <is>
          <t>General</t>
        </is>
      </c>
      <c r="F7131" s="5" t="n"/>
      <c r="G7131" s="5" t="n"/>
      <c r="H7131" s="5" t="n">
        <v>39</v>
      </c>
      <c r="I7131" s="5" t="n">
        <v>33</v>
      </c>
      <c r="J7131" s="5" t="n">
        <v>6</v>
      </c>
      <c r="K7131" s="10">
        <f>IF(F7131&gt;0,H7131/F7131,"")</f>
        <v/>
      </c>
      <c r="L7131" s="16">
        <f>IF(AND(G7131&gt;0,H7131&gt;0),G7131/H7131,"")</f>
        <v/>
      </c>
    </row>
    <row r="7132">
      <c r="A7132" s="4" t="inlineStr">
        <is>
          <t>420</t>
        </is>
      </c>
      <c r="B7132" s="4" t="n">
        <v>4</v>
      </c>
      <c r="C7132" s="4" t="inlineStr">
        <is>
          <t>mule deer</t>
        </is>
      </c>
      <c r="D7132" s="4" t="n">
        <v>2017</v>
      </c>
      <c r="E7132" s="13" t="inlineStr">
        <is>
          <t>General</t>
        </is>
      </c>
      <c r="F7132" s="5" t="n">
        <v>313</v>
      </c>
      <c r="G7132" s="5" t="n">
        <v>1793</v>
      </c>
      <c r="H7132" s="5" t="n">
        <v>71</v>
      </c>
      <c r="I7132" s="5" t="n">
        <v>65</v>
      </c>
      <c r="J7132" s="5" t="n">
        <v>3</v>
      </c>
      <c r="K7132" s="10">
        <f>IF(F7132&gt;0,H7132/F7132,"")</f>
        <v/>
      </c>
      <c r="L7132" s="16">
        <f>IF(AND(G7132&gt;0,H7132&gt;0),G7132/H7132,"")</f>
        <v/>
      </c>
    </row>
    <row r="7133">
      <c r="A7133" s="4" t="inlineStr">
        <is>
          <t>420</t>
        </is>
      </c>
      <c r="B7133" s="4" t="n">
        <v>4</v>
      </c>
      <c r="C7133" s="4" t="inlineStr">
        <is>
          <t>mule deer</t>
        </is>
      </c>
      <c r="D7133" s="4" t="n">
        <v>2018</v>
      </c>
      <c r="E7133" s="13" t="inlineStr">
        <is>
          <t>General</t>
        </is>
      </c>
      <c r="F7133" s="5" t="n"/>
      <c r="G7133" s="5" t="n"/>
      <c r="H7133" s="5" t="n">
        <v>31</v>
      </c>
      <c r="I7133" s="5" t="n">
        <v>31</v>
      </c>
      <c r="J7133" s="5" t="n">
        <v>0</v>
      </c>
      <c r="K7133" s="10">
        <f>IF(F7133&gt;0,H7133/F7133,"")</f>
        <v/>
      </c>
      <c r="L7133" s="16">
        <f>IF(AND(G7133&gt;0,H7133&gt;0),G7133/H7133,"")</f>
        <v/>
      </c>
    </row>
    <row r="7134">
      <c r="A7134" s="4" t="inlineStr">
        <is>
          <t>420</t>
        </is>
      </c>
      <c r="B7134" s="4" t="n">
        <v>4</v>
      </c>
      <c r="C7134" s="4" t="inlineStr">
        <is>
          <t>mule deer</t>
        </is>
      </c>
      <c r="D7134" s="4" t="n">
        <v>2019</v>
      </c>
      <c r="E7134" s="13" t="inlineStr">
        <is>
          <t>General</t>
        </is>
      </c>
      <c r="F7134" s="5" t="n">
        <v>328</v>
      </c>
      <c r="G7134" s="5" t="n">
        <v>2124</v>
      </c>
      <c r="H7134" s="5" t="n">
        <v>79</v>
      </c>
      <c r="I7134" s="5" t="n">
        <v>72</v>
      </c>
      <c r="J7134" s="5" t="n">
        <v>7</v>
      </c>
      <c r="K7134" s="10">
        <f>IF(F7134&gt;0,H7134/F7134,"")</f>
        <v/>
      </c>
      <c r="L7134" s="16">
        <f>IF(AND(G7134&gt;0,H7134&gt;0),G7134/H7134,"")</f>
        <v/>
      </c>
    </row>
    <row r="7135">
      <c r="A7135" s="4" t="inlineStr">
        <is>
          <t>420</t>
        </is>
      </c>
      <c r="B7135" s="4" t="n">
        <v>4</v>
      </c>
      <c r="C7135" s="4" t="inlineStr">
        <is>
          <t>mule deer</t>
        </is>
      </c>
      <c r="D7135" s="4" t="n">
        <v>2020</v>
      </c>
      <c r="E7135" s="13" t="inlineStr">
        <is>
          <t>General</t>
        </is>
      </c>
      <c r="F7135" s="5" t="n"/>
      <c r="G7135" s="5" t="n"/>
      <c r="H7135" s="5" t="n">
        <v>44</v>
      </c>
      <c r="I7135" s="5" t="n">
        <v>44</v>
      </c>
      <c r="J7135" s="5" t="n">
        <v>0</v>
      </c>
      <c r="K7135" s="10">
        <f>IF(F7135&gt;0,H7135/F7135,"")</f>
        <v/>
      </c>
      <c r="L7135" s="16">
        <f>IF(AND(G7135&gt;0,H7135&gt;0),G7135/H7135,"")</f>
        <v/>
      </c>
    </row>
    <row r="7136">
      <c r="A7136" s="4" t="inlineStr">
        <is>
          <t>420</t>
        </is>
      </c>
      <c r="B7136" s="4" t="n">
        <v>4</v>
      </c>
      <c r="C7136" s="4" t="inlineStr">
        <is>
          <t>mule deer</t>
        </is>
      </c>
      <c r="D7136" s="4" t="n">
        <v>2021</v>
      </c>
      <c r="E7136" s="13" t="inlineStr">
        <is>
          <t>General</t>
        </is>
      </c>
      <c r="F7136" s="5" t="n">
        <v>300</v>
      </c>
      <c r="G7136" s="5" t="n">
        <v>1981</v>
      </c>
      <c r="H7136" s="5" t="n">
        <v>81</v>
      </c>
      <c r="I7136" s="5" t="n">
        <v>81</v>
      </c>
      <c r="J7136" s="5" t="n">
        <v>0</v>
      </c>
      <c r="K7136" s="10">
        <f>IF(F7136&gt;0,H7136/F7136,"")</f>
        <v/>
      </c>
      <c r="L7136" s="16">
        <f>IF(AND(G7136&gt;0,H7136&gt;0),G7136/H7136,"")</f>
        <v/>
      </c>
    </row>
    <row r="7137">
      <c r="A7137" s="4" t="inlineStr">
        <is>
          <t>420</t>
        </is>
      </c>
      <c r="B7137" s="4" t="n">
        <v>4</v>
      </c>
      <c r="C7137" s="4" t="inlineStr">
        <is>
          <t>mule deer</t>
        </is>
      </c>
      <c r="D7137" s="4" t="n">
        <v>2022</v>
      </c>
      <c r="E7137" s="13" t="inlineStr">
        <is>
          <t>General</t>
        </is>
      </c>
      <c r="F7137" s="5" t="n"/>
      <c r="G7137" s="5" t="n"/>
      <c r="H7137" s="5" t="n">
        <v>40</v>
      </c>
      <c r="I7137" s="5" t="n">
        <v>36</v>
      </c>
      <c r="J7137" s="5" t="n">
        <v>3</v>
      </c>
      <c r="K7137" s="10">
        <f>IF(F7137&gt;0,H7137/F7137,"")</f>
        <v/>
      </c>
      <c r="L7137" s="16">
        <f>IF(AND(G7137&gt;0,H7137&gt;0),G7137/H7137,"")</f>
        <v/>
      </c>
    </row>
    <row r="7138">
      <c r="A7138" s="4" t="inlineStr">
        <is>
          <t>420</t>
        </is>
      </c>
      <c r="B7138" s="4" t="n">
        <v>4</v>
      </c>
      <c r="C7138" s="4" t="inlineStr">
        <is>
          <t>mule deer</t>
        </is>
      </c>
      <c r="D7138" s="4" t="n">
        <v>2023</v>
      </c>
      <c r="E7138" s="13" t="inlineStr">
        <is>
          <t>General</t>
        </is>
      </c>
      <c r="F7138" s="5" t="n">
        <v>332</v>
      </c>
      <c r="G7138" s="5" t="n">
        <v>1921</v>
      </c>
      <c r="H7138" s="5" t="n">
        <v>66</v>
      </c>
      <c r="I7138" s="5" t="n">
        <v>60</v>
      </c>
      <c r="J7138" s="5" t="n">
        <v>7</v>
      </c>
      <c r="K7138" s="10">
        <f>IF(F7138&gt;0,H7138/F7138,"")</f>
        <v/>
      </c>
      <c r="L7138" s="16">
        <f>IF(AND(G7138&gt;0,H7138&gt;0),G7138/H7138,"")</f>
        <v/>
      </c>
    </row>
    <row r="7139">
      <c r="A7139" s="4" t="inlineStr">
        <is>
          <t>420</t>
        </is>
      </c>
      <c r="B7139" s="4" t="n">
        <v>4</v>
      </c>
      <c r="C7139" s="4" t="inlineStr">
        <is>
          <t>mule deer</t>
        </is>
      </c>
      <c r="D7139" s="4" t="n">
        <v>2024</v>
      </c>
      <c r="E7139" s="13" t="inlineStr">
        <is>
          <t>General</t>
        </is>
      </c>
      <c r="F7139" s="5" t="n"/>
      <c r="G7139" s="5" t="n"/>
      <c r="H7139" s="5" t="n">
        <v>71</v>
      </c>
      <c r="I7139" s="5" t="n">
        <v>69</v>
      </c>
      <c r="J7139" s="5" t="n">
        <v>3</v>
      </c>
      <c r="K7139" s="10">
        <f>IF(F7139&gt;0,H7139/F7139,"")</f>
        <v/>
      </c>
      <c r="L7139" s="16">
        <f>IF(AND(G7139&gt;0,H7139&gt;0),G7139/H7139,"")</f>
        <v/>
      </c>
    </row>
    <row r="7140">
      <c r="A7140" s="4" t="inlineStr">
        <is>
          <t>420</t>
        </is>
      </c>
      <c r="B7140" s="4" t="n">
        <v>4</v>
      </c>
      <c r="C7140" s="4" t="inlineStr">
        <is>
          <t>mule deer</t>
        </is>
      </c>
      <c r="D7140" s="4" t="n">
        <v>2025</v>
      </c>
      <c r="E7140" s="13" t="inlineStr">
        <is>
          <t>General</t>
        </is>
      </c>
      <c r="F7140" s="5" t="n">
        <v>382</v>
      </c>
      <c r="G7140" s="5" t="n">
        <v>2558</v>
      </c>
      <c r="H7140" s="5" t="n">
        <v>78</v>
      </c>
      <c r="I7140" s="5" t="n">
        <v>72</v>
      </c>
      <c r="J7140" s="5" t="n">
        <v>6</v>
      </c>
      <c r="K7140" s="10">
        <f>IF(F7140&gt;0,H7140/F7140,"")</f>
        <v/>
      </c>
      <c r="L7140" s="16">
        <f>IF(AND(G7140&gt;0,H7140&gt;0),G7140/H7140,"")</f>
        <v/>
      </c>
    </row>
    <row r="7141">
      <c r="A7141" s="4" t="inlineStr">
        <is>
          <t>421</t>
        </is>
      </c>
      <c r="B7141" s="4" t="n">
        <v>4</v>
      </c>
      <c r="C7141" s="4" t="inlineStr">
        <is>
          <t>mule deer</t>
        </is>
      </c>
      <c r="D7141" s="4" t="n">
        <v>2004</v>
      </c>
      <c r="E7141" s="13" t="inlineStr">
        <is>
          <t>General</t>
        </is>
      </c>
      <c r="F7141" s="5" t="n">
        <v>605</v>
      </c>
      <c r="G7141" s="5" t="n">
        <v>2229</v>
      </c>
      <c r="H7141" s="5" t="n">
        <v>334</v>
      </c>
      <c r="I7141" s="5" t="n">
        <v>206</v>
      </c>
      <c r="J7141" s="5" t="n">
        <v>128</v>
      </c>
      <c r="K7141" s="10">
        <f>IF(F7141&gt;0,H7141/F7141,"")</f>
        <v/>
      </c>
      <c r="L7141" s="16">
        <f>IF(AND(G7141&gt;0,H7141&gt;0),G7141/H7141,"")</f>
        <v/>
      </c>
    </row>
    <row r="7142">
      <c r="A7142" s="4" t="inlineStr">
        <is>
          <t>421</t>
        </is>
      </c>
      <c r="B7142" s="4" t="n">
        <v>4</v>
      </c>
      <c r="C7142" s="4" t="inlineStr">
        <is>
          <t>mule deer</t>
        </is>
      </c>
      <c r="D7142" s="4" t="n">
        <v>2005</v>
      </c>
      <c r="E7142" s="13" t="inlineStr">
        <is>
          <t>General</t>
        </is>
      </c>
      <c r="F7142" s="5" t="n">
        <v>779</v>
      </c>
      <c r="G7142" s="5" t="n">
        <v>3186</v>
      </c>
      <c r="H7142" s="5" t="n">
        <v>454</v>
      </c>
      <c r="I7142" s="5" t="n">
        <v>277</v>
      </c>
      <c r="J7142" s="5" t="n">
        <v>173</v>
      </c>
      <c r="K7142" s="10">
        <f>IF(F7142&gt;0,H7142/F7142,"")</f>
        <v/>
      </c>
      <c r="L7142" s="16">
        <f>IF(AND(G7142&gt;0,H7142&gt;0),G7142/H7142,"")</f>
        <v/>
      </c>
    </row>
    <row r="7143">
      <c r="A7143" s="4" t="inlineStr">
        <is>
          <t>421</t>
        </is>
      </c>
      <c r="B7143" s="4" t="n">
        <v>4</v>
      </c>
      <c r="C7143" s="4" t="inlineStr">
        <is>
          <t>mule deer</t>
        </is>
      </c>
      <c r="D7143" s="4" t="n">
        <v>2006</v>
      </c>
      <c r="E7143" s="13" t="inlineStr">
        <is>
          <t>General</t>
        </is>
      </c>
      <c r="F7143" s="5" t="n">
        <v>520</v>
      </c>
      <c r="G7143" s="5" t="n">
        <v>2254</v>
      </c>
      <c r="H7143" s="5" t="n">
        <v>314</v>
      </c>
      <c r="I7143" s="5" t="n">
        <v>177</v>
      </c>
      <c r="J7143" s="5" t="n">
        <v>137</v>
      </c>
      <c r="K7143" s="10">
        <f>IF(F7143&gt;0,H7143/F7143,"")</f>
        <v/>
      </c>
      <c r="L7143" s="16">
        <f>IF(AND(G7143&gt;0,H7143&gt;0),G7143/H7143,"")</f>
        <v/>
      </c>
    </row>
    <row r="7144">
      <c r="A7144" s="4" t="inlineStr">
        <is>
          <t>421</t>
        </is>
      </c>
      <c r="B7144" s="4" t="n">
        <v>4</v>
      </c>
      <c r="C7144" s="4" t="inlineStr">
        <is>
          <t>mule deer</t>
        </is>
      </c>
      <c r="D7144" s="4" t="n">
        <v>2007</v>
      </c>
      <c r="E7144" s="13" t="inlineStr">
        <is>
          <t>General</t>
        </is>
      </c>
      <c r="F7144" s="5" t="n">
        <v>542</v>
      </c>
      <c r="G7144" s="5" t="n">
        <v>2186</v>
      </c>
      <c r="H7144" s="5" t="n">
        <v>344</v>
      </c>
      <c r="I7144" s="5" t="n">
        <v>201</v>
      </c>
      <c r="J7144" s="5" t="n">
        <v>143</v>
      </c>
      <c r="K7144" s="10">
        <f>IF(F7144&gt;0,H7144/F7144,"")</f>
        <v/>
      </c>
      <c r="L7144" s="16">
        <f>IF(AND(G7144&gt;0,H7144&gt;0),G7144/H7144,"")</f>
        <v/>
      </c>
    </row>
    <row r="7145">
      <c r="A7145" s="4" t="inlineStr">
        <is>
          <t>421</t>
        </is>
      </c>
      <c r="B7145" s="4" t="n">
        <v>4</v>
      </c>
      <c r="C7145" s="4" t="inlineStr">
        <is>
          <t>mule deer</t>
        </is>
      </c>
      <c r="D7145" s="4" t="n">
        <v>2008</v>
      </c>
      <c r="E7145" s="13" t="inlineStr">
        <is>
          <t>General</t>
        </is>
      </c>
      <c r="F7145" s="5" t="n">
        <v>539</v>
      </c>
      <c r="G7145" s="5" t="n">
        <v>2268</v>
      </c>
      <c r="H7145" s="5" t="n">
        <v>285</v>
      </c>
      <c r="I7145" s="5" t="n">
        <v>185</v>
      </c>
      <c r="J7145" s="5" t="n">
        <v>95</v>
      </c>
      <c r="K7145" s="10">
        <f>IF(F7145&gt;0,H7145/F7145,"")</f>
        <v/>
      </c>
      <c r="L7145" s="16">
        <f>IF(AND(G7145&gt;0,H7145&gt;0),G7145/H7145,"")</f>
        <v/>
      </c>
    </row>
    <row r="7146">
      <c r="A7146" s="4" t="inlineStr">
        <is>
          <t>421</t>
        </is>
      </c>
      <c r="B7146" s="4" t="n">
        <v>4</v>
      </c>
      <c r="C7146" s="4" t="inlineStr">
        <is>
          <t>mule deer</t>
        </is>
      </c>
      <c r="D7146" s="4" t="n">
        <v>2009</v>
      </c>
      <c r="E7146" s="13" t="inlineStr">
        <is>
          <t>General</t>
        </is>
      </c>
      <c r="F7146" s="5" t="n">
        <v>586</v>
      </c>
      <c r="G7146" s="5" t="n">
        <v>2408</v>
      </c>
      <c r="H7146" s="5" t="n">
        <v>278</v>
      </c>
      <c r="I7146" s="5" t="n">
        <v>139</v>
      </c>
      <c r="J7146" s="5" t="n">
        <v>134</v>
      </c>
      <c r="K7146" s="10">
        <f>IF(F7146&gt;0,H7146/F7146,"")</f>
        <v/>
      </c>
      <c r="L7146" s="16">
        <f>IF(AND(G7146&gt;0,H7146&gt;0),G7146/H7146,"")</f>
        <v/>
      </c>
    </row>
    <row r="7147">
      <c r="A7147" s="4" t="inlineStr">
        <is>
          <t>421</t>
        </is>
      </c>
      <c r="B7147" s="4" t="n">
        <v>4</v>
      </c>
      <c r="C7147" s="4" t="inlineStr">
        <is>
          <t>mule deer</t>
        </is>
      </c>
      <c r="D7147" s="4" t="n">
        <v>2010</v>
      </c>
      <c r="E7147" s="13" t="inlineStr">
        <is>
          <t>General</t>
        </is>
      </c>
      <c r="F7147" s="5" t="n">
        <v>603</v>
      </c>
      <c r="G7147" s="5" t="n">
        <v>2562</v>
      </c>
      <c r="H7147" s="5" t="n">
        <v>222</v>
      </c>
      <c r="I7147" s="5" t="n">
        <v>137</v>
      </c>
      <c r="J7147" s="5" t="n">
        <v>85</v>
      </c>
      <c r="K7147" s="10">
        <f>IF(F7147&gt;0,H7147/F7147,"")</f>
        <v/>
      </c>
      <c r="L7147" s="16">
        <f>IF(AND(G7147&gt;0,H7147&gt;0),G7147/H7147,"")</f>
        <v/>
      </c>
    </row>
    <row r="7148">
      <c r="A7148" s="4" t="inlineStr">
        <is>
          <t>421</t>
        </is>
      </c>
      <c r="B7148" s="4" t="n">
        <v>4</v>
      </c>
      <c r="C7148" s="4" t="inlineStr">
        <is>
          <t>mule deer</t>
        </is>
      </c>
      <c r="D7148" s="4" t="n">
        <v>2011</v>
      </c>
      <c r="E7148" s="13" t="inlineStr">
        <is>
          <t>General</t>
        </is>
      </c>
      <c r="F7148" s="5" t="n">
        <v>571</v>
      </c>
      <c r="G7148" s="5" t="n">
        <v>2576</v>
      </c>
      <c r="H7148" s="5" t="n">
        <v>169</v>
      </c>
      <c r="I7148" s="5" t="n">
        <v>139</v>
      </c>
      <c r="J7148" s="5" t="n">
        <v>29</v>
      </c>
      <c r="K7148" s="10">
        <f>IF(F7148&gt;0,H7148/F7148,"")</f>
        <v/>
      </c>
      <c r="L7148" s="16">
        <f>IF(AND(G7148&gt;0,H7148&gt;0),G7148/H7148,"")</f>
        <v/>
      </c>
    </row>
    <row r="7149">
      <c r="A7149" s="4" t="inlineStr">
        <is>
          <t>421</t>
        </is>
      </c>
      <c r="B7149" s="4" t="n">
        <v>4</v>
      </c>
      <c r="C7149" s="4" t="inlineStr">
        <is>
          <t>mule deer</t>
        </is>
      </c>
      <c r="D7149" s="4" t="n">
        <v>2012</v>
      </c>
      <c r="E7149" s="13" t="inlineStr">
        <is>
          <t>General</t>
        </is>
      </c>
      <c r="F7149" s="5" t="n"/>
      <c r="G7149" s="5" t="n"/>
      <c r="H7149" s="5" t="n">
        <v>164</v>
      </c>
      <c r="I7149" s="5" t="n">
        <v>136</v>
      </c>
      <c r="J7149" s="5" t="n">
        <v>29</v>
      </c>
      <c r="K7149" s="10">
        <f>IF(F7149&gt;0,H7149/F7149,"")</f>
        <v/>
      </c>
      <c r="L7149" s="16">
        <f>IF(AND(G7149&gt;0,H7149&gt;0),G7149/H7149,"")</f>
        <v/>
      </c>
    </row>
    <row r="7150">
      <c r="A7150" s="4" t="inlineStr">
        <is>
          <t>421</t>
        </is>
      </c>
      <c r="B7150" s="4" t="n">
        <v>4</v>
      </c>
      <c r="C7150" s="4" t="inlineStr">
        <is>
          <t>mule deer</t>
        </is>
      </c>
      <c r="D7150" s="4" t="n">
        <v>2013</v>
      </c>
      <c r="E7150" s="13" t="inlineStr">
        <is>
          <t>General</t>
        </is>
      </c>
      <c r="F7150" s="5" t="n">
        <v>478</v>
      </c>
      <c r="G7150" s="5" t="n">
        <v>2177</v>
      </c>
      <c r="H7150" s="5" t="n">
        <v>188</v>
      </c>
      <c r="I7150" s="5" t="n">
        <v>144</v>
      </c>
      <c r="J7150" s="5" t="n">
        <v>44</v>
      </c>
      <c r="K7150" s="10">
        <f>IF(F7150&gt;0,H7150/F7150,"")</f>
        <v/>
      </c>
      <c r="L7150" s="16">
        <f>IF(AND(G7150&gt;0,H7150&gt;0),G7150/H7150,"")</f>
        <v/>
      </c>
    </row>
    <row r="7151">
      <c r="A7151" s="4" t="inlineStr">
        <is>
          <t>421</t>
        </is>
      </c>
      <c r="B7151" s="4" t="n">
        <v>4</v>
      </c>
      <c r="C7151" s="4" t="inlineStr">
        <is>
          <t>mule deer</t>
        </is>
      </c>
      <c r="D7151" s="4" t="n">
        <v>2014</v>
      </c>
      <c r="E7151" s="13" t="inlineStr">
        <is>
          <t>General</t>
        </is>
      </c>
      <c r="F7151" s="5" t="n"/>
      <c r="G7151" s="5" t="n"/>
      <c r="H7151" s="5" t="n">
        <v>159</v>
      </c>
      <c r="I7151" s="5" t="n">
        <v>141</v>
      </c>
      <c r="J7151" s="5" t="n">
        <v>18</v>
      </c>
      <c r="K7151" s="10">
        <f>IF(F7151&gt;0,H7151/F7151,"")</f>
        <v/>
      </c>
      <c r="L7151" s="16">
        <f>IF(AND(G7151&gt;0,H7151&gt;0),G7151/H7151,"")</f>
        <v/>
      </c>
    </row>
    <row r="7152">
      <c r="A7152" s="4" t="inlineStr">
        <is>
          <t>421</t>
        </is>
      </c>
      <c r="B7152" s="4" t="n">
        <v>4</v>
      </c>
      <c r="C7152" s="4" t="inlineStr">
        <is>
          <t>mule deer</t>
        </is>
      </c>
      <c r="D7152" s="4" t="n">
        <v>2015</v>
      </c>
      <c r="E7152" s="13" t="inlineStr">
        <is>
          <t>General</t>
        </is>
      </c>
      <c r="F7152" s="5" t="n"/>
      <c r="G7152" s="5" t="n"/>
      <c r="H7152" s="5" t="n">
        <v>197</v>
      </c>
      <c r="I7152" s="5" t="n">
        <v>194</v>
      </c>
      <c r="J7152" s="5" t="n">
        <v>3</v>
      </c>
      <c r="K7152" s="10">
        <f>IF(F7152&gt;0,H7152/F7152,"")</f>
        <v/>
      </c>
      <c r="L7152" s="16">
        <f>IF(AND(G7152&gt;0,H7152&gt;0),G7152/H7152,"")</f>
        <v/>
      </c>
    </row>
    <row r="7153">
      <c r="A7153" s="4" t="inlineStr">
        <is>
          <t>421</t>
        </is>
      </c>
      <c r="B7153" s="4" t="n">
        <v>4</v>
      </c>
      <c r="C7153" s="4" t="inlineStr">
        <is>
          <t>mule deer</t>
        </is>
      </c>
      <c r="D7153" s="4" t="n">
        <v>2016</v>
      </c>
      <c r="E7153" s="13" t="inlineStr">
        <is>
          <t>General</t>
        </is>
      </c>
      <c r="F7153" s="5" t="n"/>
      <c r="G7153" s="5" t="n"/>
      <c r="H7153" s="5" t="n">
        <v>236</v>
      </c>
      <c r="I7153" s="5" t="n">
        <v>181</v>
      </c>
      <c r="J7153" s="5" t="n">
        <v>55</v>
      </c>
      <c r="K7153" s="10">
        <f>IF(F7153&gt;0,H7153/F7153,"")</f>
        <v/>
      </c>
      <c r="L7153" s="16">
        <f>IF(AND(G7153&gt;0,H7153&gt;0),G7153/H7153,"")</f>
        <v/>
      </c>
    </row>
    <row r="7154">
      <c r="A7154" s="4" t="inlineStr">
        <is>
          <t>421</t>
        </is>
      </c>
      <c r="B7154" s="4" t="n">
        <v>4</v>
      </c>
      <c r="C7154" s="4" t="inlineStr">
        <is>
          <t>mule deer</t>
        </is>
      </c>
      <c r="D7154" s="4" t="n">
        <v>2017</v>
      </c>
      <c r="E7154" s="13" t="inlineStr">
        <is>
          <t>General</t>
        </is>
      </c>
      <c r="F7154" s="5" t="n">
        <v>474</v>
      </c>
      <c r="G7154" s="5" t="n">
        <v>2440</v>
      </c>
      <c r="H7154" s="5" t="n">
        <v>168</v>
      </c>
      <c r="I7154" s="5" t="n">
        <v>147</v>
      </c>
      <c r="J7154" s="5" t="n">
        <v>21</v>
      </c>
      <c r="K7154" s="10">
        <f>IF(F7154&gt;0,H7154/F7154,"")</f>
        <v/>
      </c>
      <c r="L7154" s="16">
        <f>IF(AND(G7154&gt;0,H7154&gt;0),G7154/H7154,"")</f>
        <v/>
      </c>
    </row>
    <row r="7155">
      <c r="A7155" s="4" t="inlineStr">
        <is>
          <t>421</t>
        </is>
      </c>
      <c r="B7155" s="4" t="n">
        <v>4</v>
      </c>
      <c r="C7155" s="4" t="inlineStr">
        <is>
          <t>mule deer</t>
        </is>
      </c>
      <c r="D7155" s="4" t="n">
        <v>2018</v>
      </c>
      <c r="E7155" s="13" t="inlineStr">
        <is>
          <t>General</t>
        </is>
      </c>
      <c r="F7155" s="5" t="n"/>
      <c r="G7155" s="5" t="n"/>
      <c r="H7155" s="5" t="n">
        <v>165</v>
      </c>
      <c r="I7155" s="5" t="n">
        <v>149</v>
      </c>
      <c r="J7155" s="5" t="n">
        <v>16</v>
      </c>
      <c r="K7155" s="10">
        <f>IF(F7155&gt;0,H7155/F7155,"")</f>
        <v/>
      </c>
      <c r="L7155" s="16">
        <f>IF(AND(G7155&gt;0,H7155&gt;0),G7155/H7155,"")</f>
        <v/>
      </c>
    </row>
    <row r="7156">
      <c r="A7156" s="4" t="inlineStr">
        <is>
          <t>421</t>
        </is>
      </c>
      <c r="B7156" s="4" t="n">
        <v>4</v>
      </c>
      <c r="C7156" s="4" t="inlineStr">
        <is>
          <t>mule deer</t>
        </is>
      </c>
      <c r="D7156" s="4" t="n">
        <v>2019</v>
      </c>
      <c r="E7156" s="13" t="inlineStr">
        <is>
          <t>General</t>
        </is>
      </c>
      <c r="F7156" s="5" t="n">
        <v>422</v>
      </c>
      <c r="G7156" s="5" t="n">
        <v>1724</v>
      </c>
      <c r="H7156" s="5" t="n">
        <v>146</v>
      </c>
      <c r="I7156" s="5" t="n">
        <v>123</v>
      </c>
      <c r="J7156" s="5" t="n">
        <v>20</v>
      </c>
      <c r="K7156" s="10">
        <f>IF(F7156&gt;0,H7156/F7156,"")</f>
        <v/>
      </c>
      <c r="L7156" s="16">
        <f>IF(AND(G7156&gt;0,H7156&gt;0),G7156/H7156,"")</f>
        <v/>
      </c>
    </row>
    <row r="7157">
      <c r="A7157" s="4" t="inlineStr">
        <is>
          <t>421</t>
        </is>
      </c>
      <c r="B7157" s="4" t="n">
        <v>4</v>
      </c>
      <c r="C7157" s="4" t="inlineStr">
        <is>
          <t>mule deer</t>
        </is>
      </c>
      <c r="D7157" s="4" t="n">
        <v>2020</v>
      </c>
      <c r="E7157" s="13" t="inlineStr">
        <is>
          <t>General</t>
        </is>
      </c>
      <c r="F7157" s="5" t="n"/>
      <c r="G7157" s="5" t="n"/>
      <c r="H7157" s="5" t="n">
        <v>213</v>
      </c>
      <c r="I7157" s="5" t="n">
        <v>179</v>
      </c>
      <c r="J7157" s="5" t="n">
        <v>34</v>
      </c>
      <c r="K7157" s="10">
        <f>IF(F7157&gt;0,H7157/F7157,"")</f>
        <v/>
      </c>
      <c r="L7157" s="16">
        <f>IF(AND(G7157&gt;0,H7157&gt;0),G7157/H7157,"")</f>
        <v/>
      </c>
    </row>
    <row r="7158">
      <c r="A7158" s="4" t="inlineStr">
        <is>
          <t>421</t>
        </is>
      </c>
      <c r="B7158" s="4" t="n">
        <v>4</v>
      </c>
      <c r="C7158" s="4" t="inlineStr">
        <is>
          <t>mule deer</t>
        </is>
      </c>
      <c r="D7158" s="4" t="n">
        <v>2021</v>
      </c>
      <c r="E7158" s="13" t="inlineStr">
        <is>
          <t>General</t>
        </is>
      </c>
      <c r="F7158" s="5" t="n">
        <v>741</v>
      </c>
      <c r="G7158" s="5" t="n">
        <v>3178</v>
      </c>
      <c r="H7158" s="5" t="n">
        <v>185</v>
      </c>
      <c r="I7158" s="5" t="n">
        <v>157</v>
      </c>
      <c r="J7158" s="5" t="n">
        <v>28</v>
      </c>
      <c r="K7158" s="10">
        <f>IF(F7158&gt;0,H7158/F7158,"")</f>
        <v/>
      </c>
      <c r="L7158" s="16">
        <f>IF(AND(G7158&gt;0,H7158&gt;0),G7158/H7158,"")</f>
        <v/>
      </c>
    </row>
    <row r="7159">
      <c r="A7159" s="4" t="inlineStr">
        <is>
          <t>421</t>
        </is>
      </c>
      <c r="B7159" s="4" t="n">
        <v>4</v>
      </c>
      <c r="C7159" s="4" t="inlineStr">
        <is>
          <t>mule deer</t>
        </is>
      </c>
      <c r="D7159" s="4" t="n">
        <v>2022</v>
      </c>
      <c r="E7159" s="13" t="inlineStr">
        <is>
          <t>General</t>
        </is>
      </c>
      <c r="F7159" s="5" t="n"/>
      <c r="G7159" s="5" t="n"/>
      <c r="H7159" s="5" t="n">
        <v>296</v>
      </c>
      <c r="I7159" s="5" t="n">
        <v>273</v>
      </c>
      <c r="J7159" s="5" t="n">
        <v>23</v>
      </c>
      <c r="K7159" s="10">
        <f>IF(F7159&gt;0,H7159/F7159,"")</f>
        <v/>
      </c>
      <c r="L7159" s="16">
        <f>IF(AND(G7159&gt;0,H7159&gt;0),G7159/H7159,"")</f>
        <v/>
      </c>
    </row>
    <row r="7160">
      <c r="A7160" s="4" t="inlineStr">
        <is>
          <t>421</t>
        </is>
      </c>
      <c r="B7160" s="4" t="n">
        <v>4</v>
      </c>
      <c r="C7160" s="4" t="inlineStr">
        <is>
          <t>mule deer</t>
        </is>
      </c>
      <c r="D7160" s="4" t="n">
        <v>2023</v>
      </c>
      <c r="E7160" s="13" t="inlineStr">
        <is>
          <t>General</t>
        </is>
      </c>
      <c r="F7160" s="5" t="n">
        <v>1313</v>
      </c>
      <c r="G7160" s="5" t="n">
        <v>7340</v>
      </c>
      <c r="H7160" s="5" t="n">
        <v>370</v>
      </c>
      <c r="I7160" s="5" t="n">
        <v>300</v>
      </c>
      <c r="J7160" s="5" t="n">
        <v>70</v>
      </c>
      <c r="K7160" s="10">
        <f>IF(F7160&gt;0,H7160/F7160,"")</f>
        <v/>
      </c>
      <c r="L7160" s="16">
        <f>IF(AND(G7160&gt;0,H7160&gt;0),G7160/H7160,"")</f>
        <v/>
      </c>
    </row>
    <row r="7161">
      <c r="A7161" s="4" t="inlineStr">
        <is>
          <t>421</t>
        </is>
      </c>
      <c r="B7161" s="4" t="n">
        <v>4</v>
      </c>
      <c r="C7161" s="4" t="inlineStr">
        <is>
          <t>mule deer</t>
        </is>
      </c>
      <c r="D7161" s="4" t="n">
        <v>2024</v>
      </c>
      <c r="E7161" s="13" t="inlineStr">
        <is>
          <t>General</t>
        </is>
      </c>
      <c r="F7161" s="5" t="n"/>
      <c r="G7161" s="5" t="n"/>
      <c r="H7161" s="5" t="n">
        <v>413</v>
      </c>
      <c r="I7161" s="5" t="n">
        <v>352</v>
      </c>
      <c r="J7161" s="5" t="n">
        <v>61</v>
      </c>
      <c r="K7161" s="10">
        <f>IF(F7161&gt;0,H7161/F7161,"")</f>
        <v/>
      </c>
      <c r="L7161" s="16">
        <f>IF(AND(G7161&gt;0,H7161&gt;0),G7161/H7161,"")</f>
        <v/>
      </c>
    </row>
    <row r="7162">
      <c r="A7162" s="4" t="inlineStr">
        <is>
          <t>421</t>
        </is>
      </c>
      <c r="B7162" s="4" t="n">
        <v>4</v>
      </c>
      <c r="C7162" s="4" t="inlineStr">
        <is>
          <t>mule deer</t>
        </is>
      </c>
      <c r="D7162" s="4" t="n">
        <v>2025</v>
      </c>
      <c r="E7162" s="13" t="inlineStr">
        <is>
          <t>General</t>
        </is>
      </c>
      <c r="F7162" s="5" t="n">
        <v>1325</v>
      </c>
      <c r="G7162" s="5" t="n">
        <v>7802</v>
      </c>
      <c r="H7162" s="5" t="n">
        <v>403</v>
      </c>
      <c r="I7162" s="5" t="n">
        <v>365</v>
      </c>
      <c r="J7162" s="5" t="n">
        <v>38</v>
      </c>
      <c r="K7162" s="10">
        <f>IF(F7162&gt;0,H7162/F7162,"")</f>
        <v/>
      </c>
      <c r="L7162" s="16">
        <f>IF(AND(G7162&gt;0,H7162&gt;0),G7162/H7162,"")</f>
        <v/>
      </c>
    </row>
    <row r="7163">
      <c r="A7163" s="4" t="inlineStr">
        <is>
          <t>422</t>
        </is>
      </c>
      <c r="B7163" s="4" t="n">
        <v>4</v>
      </c>
      <c r="C7163" s="4" t="inlineStr">
        <is>
          <t>mule deer</t>
        </is>
      </c>
      <c r="D7163" s="4" t="n">
        <v>2004</v>
      </c>
      <c r="E7163" s="13" t="inlineStr">
        <is>
          <t>General</t>
        </is>
      </c>
      <c r="F7163" s="5" t="n">
        <v>569</v>
      </c>
      <c r="G7163" s="5" t="n">
        <v>2832</v>
      </c>
      <c r="H7163" s="5" t="n">
        <v>263</v>
      </c>
      <c r="I7163" s="5" t="n">
        <v>252</v>
      </c>
      <c r="J7163" s="5" t="n">
        <v>11</v>
      </c>
      <c r="K7163" s="10">
        <f>IF(F7163&gt;0,H7163/F7163,"")</f>
        <v/>
      </c>
      <c r="L7163" s="16">
        <f>IF(AND(G7163&gt;0,H7163&gt;0),G7163/H7163,"")</f>
        <v/>
      </c>
    </row>
    <row r="7164">
      <c r="A7164" s="4" t="inlineStr">
        <is>
          <t>422</t>
        </is>
      </c>
      <c r="B7164" s="4" t="n">
        <v>4</v>
      </c>
      <c r="C7164" s="4" t="inlineStr">
        <is>
          <t>mule deer</t>
        </is>
      </c>
      <c r="D7164" s="4" t="n">
        <v>2005</v>
      </c>
      <c r="E7164" s="13" t="inlineStr">
        <is>
          <t>General</t>
        </is>
      </c>
      <c r="F7164" s="5" t="n">
        <v>416</v>
      </c>
      <c r="G7164" s="5" t="n">
        <v>1877</v>
      </c>
      <c r="H7164" s="5" t="n">
        <v>164</v>
      </c>
      <c r="I7164" s="5" t="n">
        <v>147</v>
      </c>
      <c r="J7164" s="5" t="n">
        <v>17</v>
      </c>
      <c r="K7164" s="10">
        <f>IF(F7164&gt;0,H7164/F7164,"")</f>
        <v/>
      </c>
      <c r="L7164" s="16">
        <f>IF(AND(G7164&gt;0,H7164&gt;0),G7164/H7164,"")</f>
        <v/>
      </c>
    </row>
    <row r="7165">
      <c r="A7165" s="4" t="inlineStr">
        <is>
          <t>422</t>
        </is>
      </c>
      <c r="B7165" s="4" t="n">
        <v>4</v>
      </c>
      <c r="C7165" s="4" t="inlineStr">
        <is>
          <t>mule deer</t>
        </is>
      </c>
      <c r="D7165" s="4" t="n">
        <v>2006</v>
      </c>
      <c r="E7165" s="13" t="inlineStr">
        <is>
          <t>General</t>
        </is>
      </c>
      <c r="F7165" s="5" t="n">
        <v>377</v>
      </c>
      <c r="G7165" s="5" t="n">
        <v>1998</v>
      </c>
      <c r="H7165" s="5" t="n">
        <v>123</v>
      </c>
      <c r="I7165" s="5" t="n">
        <v>115</v>
      </c>
      <c r="J7165" s="5" t="n">
        <v>7</v>
      </c>
      <c r="K7165" s="10">
        <f>IF(F7165&gt;0,H7165/F7165,"")</f>
        <v/>
      </c>
      <c r="L7165" s="16">
        <f>IF(AND(G7165&gt;0,H7165&gt;0),G7165/H7165,"")</f>
        <v/>
      </c>
    </row>
    <row r="7166">
      <c r="A7166" s="4" t="inlineStr">
        <is>
          <t>422</t>
        </is>
      </c>
      <c r="B7166" s="4" t="n">
        <v>4</v>
      </c>
      <c r="C7166" s="4" t="inlineStr">
        <is>
          <t>mule deer</t>
        </is>
      </c>
      <c r="D7166" s="4" t="n">
        <v>2007</v>
      </c>
      <c r="E7166" s="13" t="inlineStr">
        <is>
          <t>General</t>
        </is>
      </c>
      <c r="F7166" s="5" t="n">
        <v>364</v>
      </c>
      <c r="G7166" s="5" t="n">
        <v>2033</v>
      </c>
      <c r="H7166" s="5" t="n">
        <v>141</v>
      </c>
      <c r="I7166" s="5" t="n">
        <v>137</v>
      </c>
      <c r="J7166" s="5" t="n">
        <v>5</v>
      </c>
      <c r="K7166" s="10">
        <f>IF(F7166&gt;0,H7166/F7166,"")</f>
        <v/>
      </c>
      <c r="L7166" s="16">
        <f>IF(AND(G7166&gt;0,H7166&gt;0),G7166/H7166,"")</f>
        <v/>
      </c>
    </row>
    <row r="7167">
      <c r="A7167" s="4" t="inlineStr">
        <is>
          <t>422</t>
        </is>
      </c>
      <c r="B7167" s="4" t="n">
        <v>4</v>
      </c>
      <c r="C7167" s="4" t="inlineStr">
        <is>
          <t>mule deer</t>
        </is>
      </c>
      <c r="D7167" s="4" t="n">
        <v>2008</v>
      </c>
      <c r="E7167" s="13" t="inlineStr">
        <is>
          <t>General</t>
        </is>
      </c>
      <c r="F7167" s="5" t="n">
        <v>409</v>
      </c>
      <c r="G7167" s="5" t="n">
        <v>2317</v>
      </c>
      <c r="H7167" s="5" t="n">
        <v>110</v>
      </c>
      <c r="I7167" s="5" t="n">
        <v>104</v>
      </c>
      <c r="J7167" s="5" t="n">
        <v>6</v>
      </c>
      <c r="K7167" s="10">
        <f>IF(F7167&gt;0,H7167/F7167,"")</f>
        <v/>
      </c>
      <c r="L7167" s="16">
        <f>IF(AND(G7167&gt;0,H7167&gt;0),G7167/H7167,"")</f>
        <v/>
      </c>
    </row>
    <row r="7168">
      <c r="A7168" s="4" t="inlineStr">
        <is>
          <t>422</t>
        </is>
      </c>
      <c r="B7168" s="4" t="n">
        <v>4</v>
      </c>
      <c r="C7168" s="4" t="inlineStr">
        <is>
          <t>mule deer</t>
        </is>
      </c>
      <c r="D7168" s="4" t="n">
        <v>2009</v>
      </c>
      <c r="E7168" s="13" t="inlineStr">
        <is>
          <t>General</t>
        </is>
      </c>
      <c r="F7168" s="5" t="n">
        <v>397</v>
      </c>
      <c r="G7168" s="5" t="n">
        <v>2113</v>
      </c>
      <c r="H7168" s="5" t="n">
        <v>79</v>
      </c>
      <c r="I7168" s="5" t="n">
        <v>70</v>
      </c>
      <c r="J7168" s="5" t="n">
        <v>9</v>
      </c>
      <c r="K7168" s="10">
        <f>IF(F7168&gt;0,H7168/F7168,"")</f>
        <v/>
      </c>
      <c r="L7168" s="16">
        <f>IF(AND(G7168&gt;0,H7168&gt;0),G7168/H7168,"")</f>
        <v/>
      </c>
    </row>
    <row r="7169">
      <c r="A7169" s="4" t="inlineStr">
        <is>
          <t>422</t>
        </is>
      </c>
      <c r="B7169" s="4" t="n">
        <v>4</v>
      </c>
      <c r="C7169" s="4" t="inlineStr">
        <is>
          <t>mule deer</t>
        </is>
      </c>
      <c r="D7169" s="4" t="n">
        <v>2010</v>
      </c>
      <c r="E7169" s="13" t="inlineStr">
        <is>
          <t>General</t>
        </is>
      </c>
      <c r="F7169" s="5" t="n">
        <v>395</v>
      </c>
      <c r="G7169" s="5" t="n">
        <v>2230</v>
      </c>
      <c r="H7169" s="5" t="n">
        <v>105</v>
      </c>
      <c r="I7169" s="5" t="n">
        <v>92</v>
      </c>
      <c r="J7169" s="5" t="n">
        <v>12</v>
      </c>
      <c r="K7169" s="10">
        <f>IF(F7169&gt;0,H7169/F7169,"")</f>
        <v/>
      </c>
      <c r="L7169" s="16">
        <f>IF(AND(G7169&gt;0,H7169&gt;0),G7169/H7169,"")</f>
        <v/>
      </c>
    </row>
    <row r="7170">
      <c r="A7170" s="4" t="inlineStr">
        <is>
          <t>422</t>
        </is>
      </c>
      <c r="B7170" s="4" t="n">
        <v>4</v>
      </c>
      <c r="C7170" s="4" t="inlineStr">
        <is>
          <t>mule deer</t>
        </is>
      </c>
      <c r="D7170" s="4" t="n">
        <v>2011</v>
      </c>
      <c r="E7170" s="13" t="inlineStr">
        <is>
          <t>General</t>
        </is>
      </c>
      <c r="F7170" s="5" t="n">
        <v>423</v>
      </c>
      <c r="G7170" s="5" t="n">
        <v>2009</v>
      </c>
      <c r="H7170" s="5" t="n">
        <v>64</v>
      </c>
      <c r="I7170" s="5" t="n">
        <v>47</v>
      </c>
      <c r="J7170" s="5" t="n">
        <v>17</v>
      </c>
      <c r="K7170" s="10">
        <f>IF(F7170&gt;0,H7170/F7170,"")</f>
        <v/>
      </c>
      <c r="L7170" s="16">
        <f>IF(AND(G7170&gt;0,H7170&gt;0),G7170/H7170,"")</f>
        <v/>
      </c>
    </row>
    <row r="7171">
      <c r="A7171" s="4" t="inlineStr">
        <is>
          <t>422</t>
        </is>
      </c>
      <c r="B7171" s="4" t="n">
        <v>4</v>
      </c>
      <c r="C7171" s="4" t="inlineStr">
        <is>
          <t>mule deer</t>
        </is>
      </c>
      <c r="D7171" s="4" t="n">
        <v>2012</v>
      </c>
      <c r="E7171" s="13" t="inlineStr">
        <is>
          <t>General</t>
        </is>
      </c>
      <c r="F7171" s="5" t="n"/>
      <c r="G7171" s="5" t="n"/>
      <c r="H7171" s="5" t="n">
        <v>86</v>
      </c>
      <c r="I7171" s="5" t="n">
        <v>77</v>
      </c>
      <c r="J7171" s="5" t="n">
        <v>9</v>
      </c>
      <c r="K7171" s="10">
        <f>IF(F7171&gt;0,H7171/F7171,"")</f>
        <v/>
      </c>
      <c r="L7171" s="16">
        <f>IF(AND(G7171&gt;0,H7171&gt;0),G7171/H7171,"")</f>
        <v/>
      </c>
    </row>
    <row r="7172">
      <c r="A7172" s="4" t="inlineStr">
        <is>
          <t>422</t>
        </is>
      </c>
      <c r="B7172" s="4" t="n">
        <v>4</v>
      </c>
      <c r="C7172" s="4" t="inlineStr">
        <is>
          <t>mule deer</t>
        </is>
      </c>
      <c r="D7172" s="4" t="n">
        <v>2013</v>
      </c>
      <c r="E7172" s="13" t="inlineStr">
        <is>
          <t>General</t>
        </is>
      </c>
      <c r="F7172" s="5" t="n">
        <v>542</v>
      </c>
      <c r="G7172" s="5" t="n">
        <v>3020</v>
      </c>
      <c r="H7172" s="5" t="n">
        <v>70</v>
      </c>
      <c r="I7172" s="5" t="n">
        <v>64</v>
      </c>
      <c r="J7172" s="5" t="n">
        <v>6</v>
      </c>
      <c r="K7172" s="10">
        <f>IF(F7172&gt;0,H7172/F7172,"")</f>
        <v/>
      </c>
      <c r="L7172" s="16">
        <f>IF(AND(G7172&gt;0,H7172&gt;0),G7172/H7172,"")</f>
        <v/>
      </c>
    </row>
    <row r="7173">
      <c r="A7173" s="4" t="inlineStr">
        <is>
          <t>422</t>
        </is>
      </c>
      <c r="B7173" s="4" t="n">
        <v>4</v>
      </c>
      <c r="C7173" s="4" t="inlineStr">
        <is>
          <t>mule deer</t>
        </is>
      </c>
      <c r="D7173" s="4" t="n">
        <v>2014</v>
      </c>
      <c r="E7173" s="13" t="inlineStr">
        <is>
          <t>General</t>
        </is>
      </c>
      <c r="F7173" s="5" t="n"/>
      <c r="G7173" s="5" t="n"/>
      <c r="H7173" s="5" t="n">
        <v>65</v>
      </c>
      <c r="I7173" s="5" t="n">
        <v>65</v>
      </c>
      <c r="J7173" s="5" t="n">
        <v>0</v>
      </c>
      <c r="K7173" s="10">
        <f>IF(F7173&gt;0,H7173/F7173,"")</f>
        <v/>
      </c>
      <c r="L7173" s="16">
        <f>IF(AND(G7173&gt;0,H7173&gt;0),G7173/H7173,"")</f>
        <v/>
      </c>
    </row>
    <row r="7174">
      <c r="A7174" s="4" t="inlineStr">
        <is>
          <t>422</t>
        </is>
      </c>
      <c r="B7174" s="4" t="n">
        <v>4</v>
      </c>
      <c r="C7174" s="4" t="inlineStr">
        <is>
          <t>mule deer</t>
        </is>
      </c>
      <c r="D7174" s="4" t="n">
        <v>2015</v>
      </c>
      <c r="E7174" s="13" t="inlineStr">
        <is>
          <t>General</t>
        </is>
      </c>
      <c r="F7174" s="5" t="n"/>
      <c r="G7174" s="5" t="n"/>
      <c r="H7174" s="5" t="n">
        <v>72</v>
      </c>
      <c r="I7174" s="5" t="n">
        <v>72</v>
      </c>
      <c r="J7174" s="5" t="n">
        <v>0</v>
      </c>
      <c r="K7174" s="10">
        <f>IF(F7174&gt;0,H7174/F7174,"")</f>
        <v/>
      </c>
      <c r="L7174" s="16">
        <f>IF(AND(G7174&gt;0,H7174&gt;0),G7174/H7174,"")</f>
        <v/>
      </c>
    </row>
    <row r="7175">
      <c r="A7175" s="4" t="inlineStr">
        <is>
          <t>422</t>
        </is>
      </c>
      <c r="B7175" s="4" t="n">
        <v>4</v>
      </c>
      <c r="C7175" s="4" t="inlineStr">
        <is>
          <t>mule deer</t>
        </is>
      </c>
      <c r="D7175" s="4" t="n">
        <v>2016</v>
      </c>
      <c r="E7175" s="13" t="inlineStr">
        <is>
          <t>General</t>
        </is>
      </c>
      <c r="F7175" s="5" t="n"/>
      <c r="G7175" s="5" t="n"/>
      <c r="H7175" s="5" t="n">
        <v>144</v>
      </c>
      <c r="I7175" s="5" t="n">
        <v>141</v>
      </c>
      <c r="J7175" s="5" t="n">
        <v>3</v>
      </c>
      <c r="K7175" s="10">
        <f>IF(F7175&gt;0,H7175/F7175,"")</f>
        <v/>
      </c>
      <c r="L7175" s="16">
        <f>IF(AND(G7175&gt;0,H7175&gt;0),G7175/H7175,"")</f>
        <v/>
      </c>
    </row>
    <row r="7176">
      <c r="A7176" s="4" t="inlineStr">
        <is>
          <t>422</t>
        </is>
      </c>
      <c r="B7176" s="4" t="n">
        <v>4</v>
      </c>
      <c r="C7176" s="4" t="inlineStr">
        <is>
          <t>mule deer</t>
        </is>
      </c>
      <c r="D7176" s="4" t="n">
        <v>2017</v>
      </c>
      <c r="E7176" s="13" t="inlineStr">
        <is>
          <t>General</t>
        </is>
      </c>
      <c r="F7176" s="5" t="n">
        <v>670</v>
      </c>
      <c r="G7176" s="5" t="n">
        <v>3737</v>
      </c>
      <c r="H7176" s="5" t="n">
        <v>140</v>
      </c>
      <c r="I7176" s="5" t="n">
        <v>129</v>
      </c>
      <c r="J7176" s="5" t="n">
        <v>11</v>
      </c>
      <c r="K7176" s="10">
        <f>IF(F7176&gt;0,H7176/F7176,"")</f>
        <v/>
      </c>
      <c r="L7176" s="16">
        <f>IF(AND(G7176&gt;0,H7176&gt;0),G7176/H7176,"")</f>
        <v/>
      </c>
    </row>
    <row r="7177">
      <c r="A7177" s="4" t="inlineStr">
        <is>
          <t>422</t>
        </is>
      </c>
      <c r="B7177" s="4" t="n">
        <v>4</v>
      </c>
      <c r="C7177" s="4" t="inlineStr">
        <is>
          <t>mule deer</t>
        </is>
      </c>
      <c r="D7177" s="4" t="n">
        <v>2018</v>
      </c>
      <c r="E7177" s="13" t="inlineStr">
        <is>
          <t>General</t>
        </is>
      </c>
      <c r="F7177" s="5" t="n"/>
      <c r="G7177" s="5" t="n"/>
      <c r="H7177" s="5" t="n">
        <v>87</v>
      </c>
      <c r="I7177" s="5" t="n">
        <v>74</v>
      </c>
      <c r="J7177" s="5" t="n">
        <v>12</v>
      </c>
      <c r="K7177" s="10">
        <f>IF(F7177&gt;0,H7177/F7177,"")</f>
        <v/>
      </c>
      <c r="L7177" s="16">
        <f>IF(AND(G7177&gt;0,H7177&gt;0),G7177/H7177,"")</f>
        <v/>
      </c>
    </row>
    <row r="7178">
      <c r="A7178" s="4" t="inlineStr">
        <is>
          <t>422</t>
        </is>
      </c>
      <c r="B7178" s="4" t="n">
        <v>4</v>
      </c>
      <c r="C7178" s="4" t="inlineStr">
        <is>
          <t>mule deer</t>
        </is>
      </c>
      <c r="D7178" s="4" t="n">
        <v>2019</v>
      </c>
      <c r="E7178" s="13" t="inlineStr">
        <is>
          <t>General</t>
        </is>
      </c>
      <c r="F7178" s="5" t="n">
        <v>450</v>
      </c>
      <c r="G7178" s="5" t="n">
        <v>2408</v>
      </c>
      <c r="H7178" s="5" t="n">
        <v>62</v>
      </c>
      <c r="I7178" s="5" t="n">
        <v>55</v>
      </c>
      <c r="J7178" s="5" t="n">
        <v>7</v>
      </c>
      <c r="K7178" s="10">
        <f>IF(F7178&gt;0,H7178/F7178,"")</f>
        <v/>
      </c>
      <c r="L7178" s="16">
        <f>IF(AND(G7178&gt;0,H7178&gt;0),G7178/H7178,"")</f>
        <v/>
      </c>
    </row>
    <row r="7179">
      <c r="A7179" s="4" t="inlineStr">
        <is>
          <t>422</t>
        </is>
      </c>
      <c r="B7179" s="4" t="n">
        <v>4</v>
      </c>
      <c r="C7179" s="4" t="inlineStr">
        <is>
          <t>mule deer</t>
        </is>
      </c>
      <c r="D7179" s="4" t="n">
        <v>2020</v>
      </c>
      <c r="E7179" s="13" t="inlineStr">
        <is>
          <t>General</t>
        </is>
      </c>
      <c r="F7179" s="5" t="n"/>
      <c r="G7179" s="5" t="n"/>
      <c r="H7179" s="5" t="n">
        <v>73</v>
      </c>
      <c r="I7179" s="5" t="n">
        <v>66</v>
      </c>
      <c r="J7179" s="5" t="n">
        <v>3</v>
      </c>
      <c r="K7179" s="10">
        <f>IF(F7179&gt;0,H7179/F7179,"")</f>
        <v/>
      </c>
      <c r="L7179" s="16">
        <f>IF(AND(G7179&gt;0,H7179&gt;0),G7179/H7179,"")</f>
        <v/>
      </c>
    </row>
    <row r="7180">
      <c r="A7180" s="4" t="inlineStr">
        <is>
          <t>422</t>
        </is>
      </c>
      <c r="B7180" s="4" t="n">
        <v>4</v>
      </c>
      <c r="C7180" s="4" t="inlineStr">
        <is>
          <t>mule deer</t>
        </is>
      </c>
      <c r="D7180" s="4" t="n">
        <v>2021</v>
      </c>
      <c r="E7180" s="13" t="inlineStr">
        <is>
          <t>General</t>
        </is>
      </c>
      <c r="F7180" s="5" t="n">
        <v>462</v>
      </c>
      <c r="G7180" s="5" t="n">
        <v>2469</v>
      </c>
      <c r="H7180" s="5" t="n">
        <v>91</v>
      </c>
      <c r="I7180" s="5" t="n">
        <v>60</v>
      </c>
      <c r="J7180" s="5" t="n">
        <v>31</v>
      </c>
      <c r="K7180" s="10">
        <f>IF(F7180&gt;0,H7180/F7180,"")</f>
        <v/>
      </c>
      <c r="L7180" s="16">
        <f>IF(AND(G7180&gt;0,H7180&gt;0),G7180/H7180,"")</f>
        <v/>
      </c>
    </row>
    <row r="7181">
      <c r="A7181" s="4" t="inlineStr">
        <is>
          <t>422</t>
        </is>
      </c>
      <c r="B7181" s="4" t="n">
        <v>4</v>
      </c>
      <c r="C7181" s="4" t="inlineStr">
        <is>
          <t>mule deer</t>
        </is>
      </c>
      <c r="D7181" s="4" t="n">
        <v>2022</v>
      </c>
      <c r="E7181" s="13" t="inlineStr">
        <is>
          <t>General</t>
        </is>
      </c>
      <c r="F7181" s="5" t="n"/>
      <c r="G7181" s="5" t="n"/>
      <c r="H7181" s="5" t="n">
        <v>80</v>
      </c>
      <c r="I7181" s="5" t="n">
        <v>77</v>
      </c>
      <c r="J7181" s="5" t="n">
        <v>3</v>
      </c>
      <c r="K7181" s="10">
        <f>IF(F7181&gt;0,H7181/F7181,"")</f>
        <v/>
      </c>
      <c r="L7181" s="16">
        <f>IF(AND(G7181&gt;0,H7181&gt;0),G7181/H7181,"")</f>
        <v/>
      </c>
    </row>
    <row r="7182">
      <c r="A7182" s="4" t="inlineStr">
        <is>
          <t>422</t>
        </is>
      </c>
      <c r="B7182" s="4" t="n">
        <v>4</v>
      </c>
      <c r="C7182" s="4" t="inlineStr">
        <is>
          <t>mule deer</t>
        </is>
      </c>
      <c r="D7182" s="4" t="n">
        <v>2023</v>
      </c>
      <c r="E7182" s="13" t="inlineStr">
        <is>
          <t>General</t>
        </is>
      </c>
      <c r="F7182" s="5" t="n">
        <v>597</v>
      </c>
      <c r="G7182" s="5" t="n">
        <v>3396</v>
      </c>
      <c r="H7182" s="5" t="n">
        <v>141</v>
      </c>
      <c r="I7182" s="5" t="n">
        <v>125</v>
      </c>
      <c r="J7182" s="5" t="n">
        <v>17</v>
      </c>
      <c r="K7182" s="10">
        <f>IF(F7182&gt;0,H7182/F7182,"")</f>
        <v/>
      </c>
      <c r="L7182" s="16">
        <f>IF(AND(G7182&gt;0,H7182&gt;0),G7182/H7182,"")</f>
        <v/>
      </c>
    </row>
    <row r="7183">
      <c r="A7183" s="4" t="inlineStr">
        <is>
          <t>422</t>
        </is>
      </c>
      <c r="B7183" s="4" t="n">
        <v>4</v>
      </c>
      <c r="C7183" s="4" t="inlineStr">
        <is>
          <t>mule deer</t>
        </is>
      </c>
      <c r="D7183" s="4" t="n">
        <v>2024</v>
      </c>
      <c r="E7183" s="13" t="inlineStr">
        <is>
          <t>General</t>
        </is>
      </c>
      <c r="F7183" s="5" t="n"/>
      <c r="G7183" s="5" t="n"/>
      <c r="H7183" s="5" t="n">
        <v>136</v>
      </c>
      <c r="I7183" s="5" t="n">
        <v>115</v>
      </c>
      <c r="J7183" s="5" t="n">
        <v>21</v>
      </c>
      <c r="K7183" s="10">
        <f>IF(F7183&gt;0,H7183/F7183,"")</f>
        <v/>
      </c>
      <c r="L7183" s="16">
        <f>IF(AND(G7183&gt;0,H7183&gt;0),G7183/H7183,"")</f>
        <v/>
      </c>
    </row>
    <row r="7184">
      <c r="A7184" s="4" t="inlineStr">
        <is>
          <t>422</t>
        </is>
      </c>
      <c r="B7184" s="4" t="n">
        <v>4</v>
      </c>
      <c r="C7184" s="4" t="inlineStr">
        <is>
          <t>mule deer</t>
        </is>
      </c>
      <c r="D7184" s="4" t="n">
        <v>2025</v>
      </c>
      <c r="E7184" s="13" t="inlineStr">
        <is>
          <t>General</t>
        </is>
      </c>
      <c r="F7184" s="5" t="n">
        <v>714</v>
      </c>
      <c r="G7184" s="5" t="n">
        <v>4040</v>
      </c>
      <c r="H7184" s="5" t="n">
        <v>119</v>
      </c>
      <c r="I7184" s="5" t="n">
        <v>105</v>
      </c>
      <c r="J7184" s="5" t="n">
        <v>14</v>
      </c>
      <c r="K7184" s="10">
        <f>IF(F7184&gt;0,H7184/F7184,"")</f>
        <v/>
      </c>
      <c r="L7184" s="16">
        <f>IF(AND(G7184&gt;0,H7184&gt;0),G7184/H7184,"")</f>
        <v/>
      </c>
    </row>
    <row r="7185">
      <c r="A7185" s="4" t="inlineStr">
        <is>
          <t>423</t>
        </is>
      </c>
      <c r="B7185" s="4" t="n">
        <v>4</v>
      </c>
      <c r="C7185" s="4" t="inlineStr">
        <is>
          <t>mule deer</t>
        </is>
      </c>
      <c r="D7185" s="4" t="n">
        <v>2004</v>
      </c>
      <c r="E7185" s="4" t="inlineStr"/>
      <c r="F7185" s="5" t="n">
        <v>389</v>
      </c>
      <c r="G7185" s="5" t="n">
        <v>1879</v>
      </c>
      <c r="H7185" s="5" t="n">
        <v>184</v>
      </c>
      <c r="I7185" s="5" t="n">
        <v>165</v>
      </c>
      <c r="J7185" s="5" t="n">
        <v>18</v>
      </c>
      <c r="K7185" s="10">
        <f>IF(F7185&gt;0,H7185/F7185,"")</f>
        <v/>
      </c>
      <c r="L7185" s="16">
        <f>IF(AND(G7185&gt;0,H7185&gt;0),G7185/H7185,"")</f>
        <v/>
      </c>
    </row>
    <row r="7186">
      <c r="A7186" s="4" t="inlineStr">
        <is>
          <t>423</t>
        </is>
      </c>
      <c r="B7186" s="4" t="n">
        <v>4</v>
      </c>
      <c r="C7186" s="4" t="inlineStr">
        <is>
          <t>mule deer</t>
        </is>
      </c>
      <c r="D7186" s="4" t="n">
        <v>2005</v>
      </c>
      <c r="E7186" s="4" t="inlineStr"/>
      <c r="F7186" s="5" t="n">
        <v>484</v>
      </c>
      <c r="G7186" s="5" t="n">
        <v>2471</v>
      </c>
      <c r="H7186" s="5" t="n">
        <v>231</v>
      </c>
      <c r="I7186" s="5" t="n">
        <v>186</v>
      </c>
      <c r="J7186" s="5" t="n">
        <v>44</v>
      </c>
      <c r="K7186" s="10">
        <f>IF(F7186&gt;0,H7186/F7186,"")</f>
        <v/>
      </c>
      <c r="L7186" s="16">
        <f>IF(AND(G7186&gt;0,H7186&gt;0),G7186/H7186,"")</f>
        <v/>
      </c>
    </row>
    <row r="7187">
      <c r="A7187" s="4" t="inlineStr">
        <is>
          <t>423</t>
        </is>
      </c>
      <c r="B7187" s="4" t="n">
        <v>4</v>
      </c>
      <c r="C7187" s="4" t="inlineStr">
        <is>
          <t>mule deer</t>
        </is>
      </c>
      <c r="D7187" s="4" t="n">
        <v>2006</v>
      </c>
      <c r="E7187" s="4" t="inlineStr"/>
      <c r="F7187" s="5" t="n">
        <v>554</v>
      </c>
      <c r="G7187" s="5" t="n">
        <v>2947</v>
      </c>
      <c r="H7187" s="5" t="n">
        <v>340</v>
      </c>
      <c r="I7187" s="5" t="n">
        <v>231</v>
      </c>
      <c r="J7187" s="5" t="n">
        <v>107</v>
      </c>
      <c r="K7187" s="10">
        <f>IF(F7187&gt;0,H7187/F7187,"")</f>
        <v/>
      </c>
      <c r="L7187" s="16">
        <f>IF(AND(G7187&gt;0,H7187&gt;0),G7187/H7187,"")</f>
        <v/>
      </c>
    </row>
    <row r="7188">
      <c r="A7188" s="4" t="inlineStr">
        <is>
          <t>423</t>
        </is>
      </c>
      <c r="B7188" s="4" t="n">
        <v>4</v>
      </c>
      <c r="C7188" s="4" t="inlineStr">
        <is>
          <t>mule deer</t>
        </is>
      </c>
      <c r="D7188" s="4" t="n">
        <v>2007</v>
      </c>
      <c r="E7188" s="4" t="inlineStr"/>
      <c r="F7188" s="5" t="n">
        <v>458</v>
      </c>
      <c r="G7188" s="5" t="n">
        <v>2951</v>
      </c>
      <c r="H7188" s="5" t="n">
        <v>278</v>
      </c>
      <c r="I7188" s="5" t="n">
        <v>140</v>
      </c>
      <c r="J7188" s="5" t="n">
        <v>134</v>
      </c>
      <c r="K7188" s="10">
        <f>IF(F7188&gt;0,H7188/F7188,"")</f>
        <v/>
      </c>
      <c r="L7188" s="16">
        <f>IF(AND(G7188&gt;0,H7188&gt;0),G7188/H7188,"")</f>
        <v/>
      </c>
    </row>
    <row r="7189">
      <c r="A7189" s="4" t="inlineStr">
        <is>
          <t>423</t>
        </is>
      </c>
      <c r="B7189" s="4" t="n">
        <v>4</v>
      </c>
      <c r="C7189" s="4" t="inlineStr">
        <is>
          <t>mule deer</t>
        </is>
      </c>
      <c r="D7189" s="4" t="n">
        <v>2008</v>
      </c>
      <c r="E7189" s="4" t="inlineStr"/>
      <c r="F7189" s="5" t="n">
        <v>485</v>
      </c>
      <c r="G7189" s="5" t="n">
        <v>2485</v>
      </c>
      <c r="H7189" s="5" t="n">
        <v>286</v>
      </c>
      <c r="I7189" s="5" t="n">
        <v>177</v>
      </c>
      <c r="J7189" s="5" t="n">
        <v>107</v>
      </c>
      <c r="K7189" s="10">
        <f>IF(F7189&gt;0,H7189/F7189,"")</f>
        <v/>
      </c>
      <c r="L7189" s="16">
        <f>IF(AND(G7189&gt;0,H7189&gt;0),G7189/H7189,"")</f>
        <v/>
      </c>
    </row>
    <row r="7190">
      <c r="A7190" s="4" t="inlineStr">
        <is>
          <t>423</t>
        </is>
      </c>
      <c r="B7190" s="4" t="n">
        <v>4</v>
      </c>
      <c r="C7190" s="4" t="inlineStr">
        <is>
          <t>mule deer</t>
        </is>
      </c>
      <c r="D7190" s="4" t="n">
        <v>2009</v>
      </c>
      <c r="E7190" s="4" t="inlineStr"/>
      <c r="F7190" s="5" t="n">
        <v>558</v>
      </c>
      <c r="G7190" s="5" t="n">
        <v>2889</v>
      </c>
      <c r="H7190" s="5" t="n">
        <v>298</v>
      </c>
      <c r="I7190" s="5" t="n">
        <v>203</v>
      </c>
      <c r="J7190" s="5" t="n">
        <v>95</v>
      </c>
      <c r="K7190" s="10">
        <f>IF(F7190&gt;0,H7190/F7190,"")</f>
        <v/>
      </c>
      <c r="L7190" s="16">
        <f>IF(AND(G7190&gt;0,H7190&gt;0),G7190/H7190,"")</f>
        <v/>
      </c>
    </row>
    <row r="7191">
      <c r="A7191" s="4" t="inlineStr">
        <is>
          <t>423</t>
        </is>
      </c>
      <c r="B7191" s="4" t="n">
        <v>4</v>
      </c>
      <c r="C7191" s="4" t="inlineStr">
        <is>
          <t>mule deer</t>
        </is>
      </c>
      <c r="D7191" s="4" t="n">
        <v>2010</v>
      </c>
      <c r="E7191" s="4" t="inlineStr"/>
      <c r="F7191" s="5" t="n">
        <v>573</v>
      </c>
      <c r="G7191" s="5" t="n">
        <v>3202</v>
      </c>
      <c r="H7191" s="5" t="n">
        <v>237</v>
      </c>
      <c r="I7191" s="5" t="n">
        <v>166</v>
      </c>
      <c r="J7191" s="5" t="n">
        <v>71</v>
      </c>
      <c r="K7191" s="10">
        <f>IF(F7191&gt;0,H7191/F7191,"")</f>
        <v/>
      </c>
      <c r="L7191" s="16">
        <f>IF(AND(G7191&gt;0,H7191&gt;0),G7191/H7191,"")</f>
        <v/>
      </c>
    </row>
    <row r="7192">
      <c r="A7192" s="4" t="inlineStr">
        <is>
          <t>423</t>
        </is>
      </c>
      <c r="B7192" s="4" t="n">
        <v>4</v>
      </c>
      <c r="C7192" s="4" t="inlineStr">
        <is>
          <t>mule deer</t>
        </is>
      </c>
      <c r="D7192" s="4" t="n">
        <v>2011</v>
      </c>
      <c r="E7192" s="4" t="inlineStr"/>
      <c r="F7192" s="5" t="n">
        <v>653</v>
      </c>
      <c r="G7192" s="5" t="n">
        <v>3522</v>
      </c>
      <c r="H7192" s="5" t="n">
        <v>167</v>
      </c>
      <c r="I7192" s="5" t="n">
        <v>143</v>
      </c>
      <c r="J7192" s="5" t="n">
        <v>24</v>
      </c>
      <c r="K7192" s="10">
        <f>IF(F7192&gt;0,H7192/F7192,"")</f>
        <v/>
      </c>
      <c r="L7192" s="16">
        <f>IF(AND(G7192&gt;0,H7192&gt;0),G7192/H7192,"")</f>
        <v/>
      </c>
    </row>
    <row r="7193">
      <c r="A7193" s="4" t="inlineStr">
        <is>
          <t>423</t>
        </is>
      </c>
      <c r="B7193" s="4" t="n">
        <v>4</v>
      </c>
      <c r="C7193" s="4" t="inlineStr">
        <is>
          <t>mule deer</t>
        </is>
      </c>
      <c r="D7193" s="4" t="n">
        <v>2012</v>
      </c>
      <c r="E7193" s="4" t="inlineStr"/>
      <c r="F7193" s="5" t="n"/>
      <c r="G7193" s="5" t="n"/>
      <c r="H7193" s="5" t="n">
        <v>169</v>
      </c>
      <c r="I7193" s="5" t="n">
        <v>156</v>
      </c>
      <c r="J7193" s="5" t="n">
        <v>13</v>
      </c>
      <c r="K7193" s="10">
        <f>IF(F7193&gt;0,H7193/F7193,"")</f>
        <v/>
      </c>
      <c r="L7193" s="16">
        <f>IF(AND(G7193&gt;0,H7193&gt;0),G7193/H7193,"")</f>
        <v/>
      </c>
    </row>
    <row r="7194">
      <c r="A7194" s="4" t="inlineStr">
        <is>
          <t>423</t>
        </is>
      </c>
      <c r="B7194" s="4" t="n">
        <v>4</v>
      </c>
      <c r="C7194" s="4" t="inlineStr">
        <is>
          <t>mule deer</t>
        </is>
      </c>
      <c r="D7194" s="4" t="n">
        <v>2013</v>
      </c>
      <c r="E7194" s="4" t="inlineStr"/>
      <c r="F7194" s="5" t="n">
        <v>620</v>
      </c>
      <c r="G7194" s="5" t="n">
        <v>3639</v>
      </c>
      <c r="H7194" s="5" t="n">
        <v>227</v>
      </c>
      <c r="I7194" s="5" t="n">
        <v>195</v>
      </c>
      <c r="J7194" s="5" t="n">
        <v>32</v>
      </c>
      <c r="K7194" s="10">
        <f>IF(F7194&gt;0,H7194/F7194,"")</f>
        <v/>
      </c>
      <c r="L7194" s="16">
        <f>IF(AND(G7194&gt;0,H7194&gt;0),G7194/H7194,"")</f>
        <v/>
      </c>
    </row>
    <row r="7195">
      <c r="A7195" s="4" t="inlineStr">
        <is>
          <t>423</t>
        </is>
      </c>
      <c r="B7195" s="4" t="n">
        <v>4</v>
      </c>
      <c r="C7195" s="4" t="inlineStr">
        <is>
          <t>mule deer</t>
        </is>
      </c>
      <c r="D7195" s="4" t="n">
        <v>2014</v>
      </c>
      <c r="E7195" s="4" t="inlineStr"/>
      <c r="F7195" s="5" t="n"/>
      <c r="G7195" s="5" t="n"/>
      <c r="H7195" s="5" t="n">
        <v>150</v>
      </c>
      <c r="I7195" s="5" t="n">
        <v>150</v>
      </c>
      <c r="J7195" s="5" t="n">
        <v>0</v>
      </c>
      <c r="K7195" s="10">
        <f>IF(F7195&gt;0,H7195/F7195,"")</f>
        <v/>
      </c>
      <c r="L7195" s="16">
        <f>IF(AND(G7195&gt;0,H7195&gt;0),G7195/H7195,"")</f>
        <v/>
      </c>
    </row>
    <row r="7196">
      <c r="A7196" s="4" t="inlineStr">
        <is>
          <t>423</t>
        </is>
      </c>
      <c r="B7196" s="4" t="n">
        <v>4</v>
      </c>
      <c r="C7196" s="4" t="inlineStr">
        <is>
          <t>mule deer</t>
        </is>
      </c>
      <c r="D7196" s="4" t="n">
        <v>2015</v>
      </c>
      <c r="E7196" s="4" t="inlineStr"/>
      <c r="F7196" s="5" t="n"/>
      <c r="G7196" s="5" t="n"/>
      <c r="H7196" s="5" t="n">
        <v>134</v>
      </c>
      <c r="I7196" s="5" t="n">
        <v>134</v>
      </c>
      <c r="J7196" s="5" t="n">
        <v>0</v>
      </c>
      <c r="K7196" s="10">
        <f>IF(F7196&gt;0,H7196/F7196,"")</f>
        <v/>
      </c>
      <c r="L7196" s="16">
        <f>IF(AND(G7196&gt;0,H7196&gt;0),G7196/H7196,"")</f>
        <v/>
      </c>
    </row>
    <row r="7197">
      <c r="A7197" s="4" t="inlineStr">
        <is>
          <t>423</t>
        </is>
      </c>
      <c r="B7197" s="4" t="n">
        <v>4</v>
      </c>
      <c r="C7197" s="4" t="inlineStr">
        <is>
          <t>mule deer</t>
        </is>
      </c>
      <c r="D7197" s="4" t="n">
        <v>2016</v>
      </c>
      <c r="E7197" s="4" t="inlineStr"/>
      <c r="F7197" s="5" t="n"/>
      <c r="G7197" s="5" t="n"/>
      <c r="H7197" s="5" t="n">
        <v>211</v>
      </c>
      <c r="I7197" s="5" t="n">
        <v>160</v>
      </c>
      <c r="J7197" s="5" t="n">
        <v>49</v>
      </c>
      <c r="K7197" s="10">
        <f>IF(F7197&gt;0,H7197/F7197,"")</f>
        <v/>
      </c>
      <c r="L7197" s="16">
        <f>IF(AND(G7197&gt;0,H7197&gt;0),G7197/H7197,"")</f>
        <v/>
      </c>
    </row>
    <row r="7198">
      <c r="A7198" s="4" t="inlineStr">
        <is>
          <t>423</t>
        </is>
      </c>
      <c r="B7198" s="4" t="n">
        <v>4</v>
      </c>
      <c r="C7198" s="4" t="inlineStr">
        <is>
          <t>mule deer</t>
        </is>
      </c>
      <c r="D7198" s="4" t="n">
        <v>2017</v>
      </c>
      <c r="E7198" s="4" t="inlineStr"/>
      <c r="F7198" s="5" t="n">
        <v>450</v>
      </c>
      <c r="G7198" s="5" t="n">
        <v>2336</v>
      </c>
      <c r="H7198" s="5" t="n">
        <v>157</v>
      </c>
      <c r="I7198" s="5" t="n">
        <v>130</v>
      </c>
      <c r="J7198" s="5" t="n">
        <v>28</v>
      </c>
      <c r="K7198" s="10">
        <f>IF(F7198&gt;0,H7198/F7198,"")</f>
        <v/>
      </c>
      <c r="L7198" s="16">
        <f>IF(AND(G7198&gt;0,H7198&gt;0),G7198/H7198,"")</f>
        <v/>
      </c>
    </row>
    <row r="7199">
      <c r="A7199" s="4" t="inlineStr">
        <is>
          <t>423</t>
        </is>
      </c>
      <c r="B7199" s="4" t="n">
        <v>4</v>
      </c>
      <c r="C7199" s="4" t="inlineStr">
        <is>
          <t>mule deer</t>
        </is>
      </c>
      <c r="D7199" s="4" t="n">
        <v>2018</v>
      </c>
      <c r="E7199" s="4" t="inlineStr"/>
      <c r="F7199" s="5" t="n"/>
      <c r="G7199" s="5" t="n"/>
      <c r="H7199" s="5" t="n">
        <v>135</v>
      </c>
      <c r="I7199" s="5" t="n">
        <v>110</v>
      </c>
      <c r="J7199" s="5" t="n">
        <v>25</v>
      </c>
      <c r="K7199" s="10">
        <f>IF(F7199&gt;0,H7199/F7199,"")</f>
        <v/>
      </c>
      <c r="L7199" s="16">
        <f>IF(AND(G7199&gt;0,H7199&gt;0),G7199/H7199,"")</f>
        <v/>
      </c>
    </row>
    <row r="7200">
      <c r="A7200" s="4" t="inlineStr">
        <is>
          <t>423</t>
        </is>
      </c>
      <c r="B7200" s="4" t="n">
        <v>4</v>
      </c>
      <c r="C7200" s="4" t="inlineStr">
        <is>
          <t>mule deer</t>
        </is>
      </c>
      <c r="D7200" s="4" t="n">
        <v>2019</v>
      </c>
      <c r="E7200" s="4" t="inlineStr"/>
      <c r="F7200" s="5" t="n">
        <v>466</v>
      </c>
      <c r="G7200" s="5" t="n">
        <v>2221</v>
      </c>
      <c r="H7200" s="5" t="n">
        <v>193</v>
      </c>
      <c r="I7200" s="5" t="n">
        <v>163</v>
      </c>
      <c r="J7200" s="5" t="n">
        <v>30</v>
      </c>
      <c r="K7200" s="10">
        <f>IF(F7200&gt;0,H7200/F7200,"")</f>
        <v/>
      </c>
      <c r="L7200" s="16">
        <f>IF(AND(G7200&gt;0,H7200&gt;0),G7200/H7200,"")</f>
        <v/>
      </c>
    </row>
    <row r="7201">
      <c r="A7201" s="4" t="inlineStr">
        <is>
          <t>423</t>
        </is>
      </c>
      <c r="B7201" s="4" t="n">
        <v>4</v>
      </c>
      <c r="C7201" s="4" t="inlineStr">
        <is>
          <t>mule deer</t>
        </is>
      </c>
      <c r="D7201" s="4" t="n">
        <v>2020</v>
      </c>
      <c r="E7201" s="4" t="inlineStr"/>
      <c r="F7201" s="5" t="n"/>
      <c r="G7201" s="5" t="n"/>
      <c r="H7201" s="5" t="n">
        <v>146</v>
      </c>
      <c r="I7201" s="5" t="n">
        <v>107</v>
      </c>
      <c r="J7201" s="5" t="n">
        <v>36</v>
      </c>
      <c r="K7201" s="10">
        <f>IF(F7201&gt;0,H7201/F7201,"")</f>
        <v/>
      </c>
      <c r="L7201" s="16">
        <f>IF(AND(G7201&gt;0,H7201&gt;0),G7201/H7201,"")</f>
        <v/>
      </c>
    </row>
    <row r="7202">
      <c r="A7202" s="4" t="inlineStr">
        <is>
          <t>423</t>
        </is>
      </c>
      <c r="B7202" s="4" t="n">
        <v>4</v>
      </c>
      <c r="C7202" s="4" t="inlineStr">
        <is>
          <t>mule deer</t>
        </is>
      </c>
      <c r="D7202" s="4" t="n">
        <v>2021</v>
      </c>
      <c r="E7202" s="4" t="inlineStr"/>
      <c r="F7202" s="5" t="n">
        <v>378</v>
      </c>
      <c r="G7202" s="5" t="n">
        <v>1731</v>
      </c>
      <c r="H7202" s="5" t="n">
        <v>121</v>
      </c>
      <c r="I7202" s="5" t="n">
        <v>93</v>
      </c>
      <c r="J7202" s="5" t="n">
        <v>28</v>
      </c>
      <c r="K7202" s="10">
        <f>IF(F7202&gt;0,H7202/F7202,"")</f>
        <v/>
      </c>
      <c r="L7202" s="16">
        <f>IF(AND(G7202&gt;0,H7202&gt;0),G7202/H7202,"")</f>
        <v/>
      </c>
    </row>
    <row r="7203">
      <c r="A7203" s="4" t="inlineStr">
        <is>
          <t>424</t>
        </is>
      </c>
      <c r="B7203" s="4" t="n">
        <v>4</v>
      </c>
      <c r="C7203" s="4" t="inlineStr">
        <is>
          <t>mule deer</t>
        </is>
      </c>
      <c r="D7203" s="4" t="n">
        <v>2004</v>
      </c>
      <c r="E7203" s="13" t="inlineStr">
        <is>
          <t>General</t>
        </is>
      </c>
      <c r="F7203" s="5" t="n">
        <v>357</v>
      </c>
      <c r="G7203" s="5" t="n">
        <v>1791</v>
      </c>
      <c r="H7203" s="5" t="n">
        <v>101</v>
      </c>
      <c r="I7203" s="5" t="n">
        <v>101</v>
      </c>
      <c r="J7203" s="5" t="n">
        <v>0</v>
      </c>
      <c r="K7203" s="10">
        <f>IF(F7203&gt;0,H7203/F7203,"")</f>
        <v/>
      </c>
      <c r="L7203" s="16">
        <f>IF(AND(G7203&gt;0,H7203&gt;0),G7203/H7203,"")</f>
        <v/>
      </c>
    </row>
    <row r="7204">
      <c r="A7204" s="4" t="inlineStr">
        <is>
          <t>424</t>
        </is>
      </c>
      <c r="B7204" s="4" t="n">
        <v>4</v>
      </c>
      <c r="C7204" s="4" t="inlineStr">
        <is>
          <t>mule deer</t>
        </is>
      </c>
      <c r="D7204" s="4" t="n">
        <v>2005</v>
      </c>
      <c r="E7204" s="13" t="inlineStr">
        <is>
          <t>General</t>
        </is>
      </c>
      <c r="F7204" s="5" t="n">
        <v>222</v>
      </c>
      <c r="G7204" s="5" t="n">
        <v>1261</v>
      </c>
      <c r="H7204" s="5" t="n">
        <v>52</v>
      </c>
      <c r="I7204" s="5" t="n">
        <v>48</v>
      </c>
      <c r="J7204" s="5" t="n">
        <v>4</v>
      </c>
      <c r="K7204" s="10">
        <f>IF(F7204&gt;0,H7204/F7204,"")</f>
        <v/>
      </c>
      <c r="L7204" s="16">
        <f>IF(AND(G7204&gt;0,H7204&gt;0),G7204/H7204,"")</f>
        <v/>
      </c>
    </row>
    <row r="7205">
      <c r="A7205" s="4" t="inlineStr">
        <is>
          <t>424</t>
        </is>
      </c>
      <c r="B7205" s="4" t="n">
        <v>4</v>
      </c>
      <c r="C7205" s="4" t="inlineStr">
        <is>
          <t>mule deer</t>
        </is>
      </c>
      <c r="D7205" s="4" t="n">
        <v>2006</v>
      </c>
      <c r="E7205" s="13" t="inlineStr">
        <is>
          <t>General</t>
        </is>
      </c>
      <c r="F7205" s="5" t="n">
        <v>248</v>
      </c>
      <c r="G7205" s="5" t="n">
        <v>1338</v>
      </c>
      <c r="H7205" s="5" t="n">
        <v>78</v>
      </c>
      <c r="I7205" s="5" t="n">
        <v>74</v>
      </c>
      <c r="J7205" s="5" t="n">
        <v>4</v>
      </c>
      <c r="K7205" s="10">
        <f>IF(F7205&gt;0,H7205/F7205,"")</f>
        <v/>
      </c>
      <c r="L7205" s="16">
        <f>IF(AND(G7205&gt;0,H7205&gt;0),G7205/H7205,"")</f>
        <v/>
      </c>
    </row>
    <row r="7206">
      <c r="A7206" s="4" t="inlineStr">
        <is>
          <t>424</t>
        </is>
      </c>
      <c r="B7206" s="4" t="n">
        <v>4</v>
      </c>
      <c r="C7206" s="4" t="inlineStr">
        <is>
          <t>mule deer</t>
        </is>
      </c>
      <c r="D7206" s="4" t="n">
        <v>2007</v>
      </c>
      <c r="E7206" s="13" t="inlineStr">
        <is>
          <t>General</t>
        </is>
      </c>
      <c r="F7206" s="5" t="n">
        <v>267</v>
      </c>
      <c r="G7206" s="5" t="n">
        <v>1477</v>
      </c>
      <c r="H7206" s="5" t="n">
        <v>51</v>
      </c>
      <c r="I7206" s="5" t="n">
        <v>51</v>
      </c>
      <c r="J7206" s="5" t="n">
        <v>0</v>
      </c>
      <c r="K7206" s="10">
        <f>IF(F7206&gt;0,H7206/F7206,"")</f>
        <v/>
      </c>
      <c r="L7206" s="16">
        <f>IF(AND(G7206&gt;0,H7206&gt;0),G7206/H7206,"")</f>
        <v/>
      </c>
    </row>
    <row r="7207">
      <c r="A7207" s="4" t="inlineStr">
        <is>
          <t>424</t>
        </is>
      </c>
      <c r="B7207" s="4" t="n">
        <v>4</v>
      </c>
      <c r="C7207" s="4" t="inlineStr">
        <is>
          <t>mule deer</t>
        </is>
      </c>
      <c r="D7207" s="4" t="n">
        <v>2008</v>
      </c>
      <c r="E7207" s="13" t="inlineStr">
        <is>
          <t>General</t>
        </is>
      </c>
      <c r="F7207" s="5" t="n">
        <v>288</v>
      </c>
      <c r="G7207" s="5" t="n">
        <v>1794</v>
      </c>
      <c r="H7207" s="5" t="n">
        <v>56</v>
      </c>
      <c r="I7207" s="5" t="n">
        <v>47</v>
      </c>
      <c r="J7207" s="5" t="n">
        <v>9</v>
      </c>
      <c r="K7207" s="10">
        <f>IF(F7207&gt;0,H7207/F7207,"")</f>
        <v/>
      </c>
      <c r="L7207" s="16">
        <f>IF(AND(G7207&gt;0,H7207&gt;0),G7207/H7207,"")</f>
        <v/>
      </c>
    </row>
    <row r="7208">
      <c r="A7208" s="4" t="inlineStr">
        <is>
          <t>424</t>
        </is>
      </c>
      <c r="B7208" s="4" t="n">
        <v>4</v>
      </c>
      <c r="C7208" s="4" t="inlineStr">
        <is>
          <t>mule deer</t>
        </is>
      </c>
      <c r="D7208" s="4" t="n">
        <v>2009</v>
      </c>
      <c r="E7208" s="13" t="inlineStr">
        <is>
          <t>General</t>
        </is>
      </c>
      <c r="F7208" s="5" t="n">
        <v>225</v>
      </c>
      <c r="G7208" s="5" t="n">
        <v>1230</v>
      </c>
      <c r="H7208" s="5" t="n">
        <v>38</v>
      </c>
      <c r="I7208" s="5" t="n">
        <v>29</v>
      </c>
      <c r="J7208" s="5" t="n">
        <v>9</v>
      </c>
      <c r="K7208" s="10">
        <f>IF(F7208&gt;0,H7208/F7208,"")</f>
        <v/>
      </c>
      <c r="L7208" s="16">
        <f>IF(AND(G7208&gt;0,H7208&gt;0),G7208/H7208,"")</f>
        <v/>
      </c>
    </row>
    <row r="7209">
      <c r="A7209" s="4" t="inlineStr">
        <is>
          <t>424</t>
        </is>
      </c>
      <c r="B7209" s="4" t="n">
        <v>4</v>
      </c>
      <c r="C7209" s="4" t="inlineStr">
        <is>
          <t>mule deer</t>
        </is>
      </c>
      <c r="D7209" s="4" t="n">
        <v>2010</v>
      </c>
      <c r="E7209" s="13" t="inlineStr">
        <is>
          <t>General</t>
        </is>
      </c>
      <c r="F7209" s="5" t="n">
        <v>273</v>
      </c>
      <c r="G7209" s="5" t="n">
        <v>1525</v>
      </c>
      <c r="H7209" s="5" t="n">
        <v>36</v>
      </c>
      <c r="I7209" s="5" t="n">
        <v>31</v>
      </c>
      <c r="J7209" s="5" t="n">
        <v>5</v>
      </c>
      <c r="K7209" s="10">
        <f>IF(F7209&gt;0,H7209/F7209,"")</f>
        <v/>
      </c>
      <c r="L7209" s="16">
        <f>IF(AND(G7209&gt;0,H7209&gt;0),G7209/H7209,"")</f>
        <v/>
      </c>
    </row>
    <row r="7210">
      <c r="A7210" s="4" t="inlineStr">
        <is>
          <t>424</t>
        </is>
      </c>
      <c r="B7210" s="4" t="n">
        <v>4</v>
      </c>
      <c r="C7210" s="4" t="inlineStr">
        <is>
          <t>mule deer</t>
        </is>
      </c>
      <c r="D7210" s="4" t="n">
        <v>2011</v>
      </c>
      <c r="E7210" s="13" t="inlineStr">
        <is>
          <t>General</t>
        </is>
      </c>
      <c r="F7210" s="5" t="n">
        <v>255</v>
      </c>
      <c r="G7210" s="5" t="n">
        <v>1497</v>
      </c>
      <c r="H7210" s="5" t="n">
        <v>8</v>
      </c>
      <c r="I7210" s="5" t="n">
        <v>6</v>
      </c>
      <c r="J7210" s="5" t="n">
        <v>2</v>
      </c>
      <c r="K7210" s="10">
        <f>IF(F7210&gt;0,H7210/F7210,"")</f>
        <v/>
      </c>
      <c r="L7210" s="16">
        <f>IF(AND(G7210&gt;0,H7210&gt;0),G7210/H7210,"")</f>
        <v/>
      </c>
    </row>
    <row r="7211">
      <c r="A7211" s="4" t="inlineStr">
        <is>
          <t>424</t>
        </is>
      </c>
      <c r="B7211" s="4" t="n">
        <v>4</v>
      </c>
      <c r="C7211" s="4" t="inlineStr">
        <is>
          <t>mule deer</t>
        </is>
      </c>
      <c r="D7211" s="4" t="n">
        <v>2012</v>
      </c>
      <c r="E7211" s="13" t="inlineStr">
        <is>
          <t>General</t>
        </is>
      </c>
      <c r="F7211" s="5" t="n"/>
      <c r="G7211" s="5" t="n"/>
      <c r="H7211" s="5" t="n">
        <v>31</v>
      </c>
      <c r="I7211" s="5" t="n">
        <v>31</v>
      </c>
      <c r="J7211" s="5" t="n">
        <v>0</v>
      </c>
      <c r="K7211" s="10">
        <f>IF(F7211&gt;0,H7211/F7211,"")</f>
        <v/>
      </c>
      <c r="L7211" s="16">
        <f>IF(AND(G7211&gt;0,H7211&gt;0),G7211/H7211,"")</f>
        <v/>
      </c>
    </row>
    <row r="7212">
      <c r="A7212" s="4" t="inlineStr">
        <is>
          <t>424</t>
        </is>
      </c>
      <c r="B7212" s="4" t="n">
        <v>4</v>
      </c>
      <c r="C7212" s="4" t="inlineStr">
        <is>
          <t>mule deer</t>
        </is>
      </c>
      <c r="D7212" s="4" t="n">
        <v>2013</v>
      </c>
      <c r="E7212" s="13" t="inlineStr">
        <is>
          <t>General</t>
        </is>
      </c>
      <c r="F7212" s="5" t="n">
        <v>240</v>
      </c>
      <c r="G7212" s="5" t="n">
        <v>1441</v>
      </c>
      <c r="H7212" s="5" t="n">
        <v>28</v>
      </c>
      <c r="I7212" s="5" t="n">
        <v>28</v>
      </c>
      <c r="J7212" s="5" t="n">
        <v>0</v>
      </c>
      <c r="K7212" s="10">
        <f>IF(F7212&gt;0,H7212/F7212,"")</f>
        <v/>
      </c>
      <c r="L7212" s="16">
        <f>IF(AND(G7212&gt;0,H7212&gt;0),G7212/H7212,"")</f>
        <v/>
      </c>
    </row>
    <row r="7213">
      <c r="A7213" s="4" t="inlineStr">
        <is>
          <t>424</t>
        </is>
      </c>
      <c r="B7213" s="4" t="n">
        <v>4</v>
      </c>
      <c r="C7213" s="4" t="inlineStr">
        <is>
          <t>mule deer</t>
        </is>
      </c>
      <c r="D7213" s="4" t="n">
        <v>2014</v>
      </c>
      <c r="E7213" s="13" t="inlineStr">
        <is>
          <t>General</t>
        </is>
      </c>
      <c r="F7213" s="5" t="n"/>
      <c r="G7213" s="5" t="n"/>
      <c r="H7213" s="5" t="n">
        <v>34</v>
      </c>
      <c r="I7213" s="5" t="n">
        <v>34</v>
      </c>
      <c r="J7213" s="5" t="n">
        <v>0</v>
      </c>
      <c r="K7213" s="10">
        <f>IF(F7213&gt;0,H7213/F7213,"")</f>
        <v/>
      </c>
      <c r="L7213" s="16">
        <f>IF(AND(G7213&gt;0,H7213&gt;0),G7213/H7213,"")</f>
        <v/>
      </c>
    </row>
    <row r="7214">
      <c r="A7214" s="4" t="inlineStr">
        <is>
          <t>424</t>
        </is>
      </c>
      <c r="B7214" s="4" t="n">
        <v>4</v>
      </c>
      <c r="C7214" s="4" t="inlineStr">
        <is>
          <t>mule deer</t>
        </is>
      </c>
      <c r="D7214" s="4" t="n">
        <v>2015</v>
      </c>
      <c r="E7214" s="13" t="inlineStr">
        <is>
          <t>General</t>
        </is>
      </c>
      <c r="F7214" s="5" t="n"/>
      <c r="G7214" s="5" t="n"/>
      <c r="H7214" s="5" t="n">
        <v>37</v>
      </c>
      <c r="I7214" s="5" t="n">
        <v>37</v>
      </c>
      <c r="J7214" s="5" t="n">
        <v>0</v>
      </c>
      <c r="K7214" s="10">
        <f>IF(F7214&gt;0,H7214/F7214,"")</f>
        <v/>
      </c>
      <c r="L7214" s="16">
        <f>IF(AND(G7214&gt;0,H7214&gt;0),G7214/H7214,"")</f>
        <v/>
      </c>
    </row>
    <row r="7215">
      <c r="A7215" s="4" t="inlineStr">
        <is>
          <t>424</t>
        </is>
      </c>
      <c r="B7215" s="4" t="n">
        <v>4</v>
      </c>
      <c r="C7215" s="4" t="inlineStr">
        <is>
          <t>mule deer</t>
        </is>
      </c>
      <c r="D7215" s="4" t="n">
        <v>2016</v>
      </c>
      <c r="E7215" s="13" t="inlineStr">
        <is>
          <t>General</t>
        </is>
      </c>
      <c r="F7215" s="5" t="n"/>
      <c r="G7215" s="5" t="n"/>
      <c r="H7215" s="5" t="n">
        <v>24</v>
      </c>
      <c r="I7215" s="5" t="n">
        <v>24</v>
      </c>
      <c r="J7215" s="5" t="n">
        <v>0</v>
      </c>
      <c r="K7215" s="10">
        <f>IF(F7215&gt;0,H7215/F7215,"")</f>
        <v/>
      </c>
      <c r="L7215" s="16">
        <f>IF(AND(G7215&gt;0,H7215&gt;0),G7215/H7215,"")</f>
        <v/>
      </c>
    </row>
    <row r="7216">
      <c r="A7216" s="4" t="inlineStr">
        <is>
          <t>424</t>
        </is>
      </c>
      <c r="B7216" s="4" t="n">
        <v>4</v>
      </c>
      <c r="C7216" s="4" t="inlineStr">
        <is>
          <t>mule deer</t>
        </is>
      </c>
      <c r="D7216" s="4" t="n">
        <v>2017</v>
      </c>
      <c r="E7216" s="13" t="inlineStr">
        <is>
          <t>General</t>
        </is>
      </c>
      <c r="F7216" s="5" t="n">
        <v>163</v>
      </c>
      <c r="G7216" s="5" t="n">
        <v>911</v>
      </c>
      <c r="H7216" s="5" t="n">
        <v>26</v>
      </c>
      <c r="I7216" s="5" t="n">
        <v>26</v>
      </c>
      <c r="J7216" s="5" t="n">
        <v>0</v>
      </c>
      <c r="K7216" s="10">
        <f>IF(F7216&gt;0,H7216/F7216,"")</f>
        <v/>
      </c>
      <c r="L7216" s="16">
        <f>IF(AND(G7216&gt;0,H7216&gt;0),G7216/H7216,"")</f>
        <v/>
      </c>
    </row>
    <row r="7217">
      <c r="A7217" s="4" t="inlineStr">
        <is>
          <t>424</t>
        </is>
      </c>
      <c r="B7217" s="4" t="n">
        <v>4</v>
      </c>
      <c r="C7217" s="4" t="inlineStr">
        <is>
          <t>mule deer</t>
        </is>
      </c>
      <c r="D7217" s="4" t="n">
        <v>2018</v>
      </c>
      <c r="E7217" s="13" t="inlineStr">
        <is>
          <t>General</t>
        </is>
      </c>
      <c r="F7217" s="5" t="n"/>
      <c r="G7217" s="5" t="n"/>
      <c r="H7217" s="5" t="n">
        <v>18</v>
      </c>
      <c r="I7217" s="5" t="n">
        <v>18</v>
      </c>
      <c r="J7217" s="5" t="n">
        <v>0</v>
      </c>
      <c r="K7217" s="10">
        <f>IF(F7217&gt;0,H7217/F7217,"")</f>
        <v/>
      </c>
      <c r="L7217" s="16">
        <f>IF(AND(G7217&gt;0,H7217&gt;0),G7217/H7217,"")</f>
        <v/>
      </c>
    </row>
    <row r="7218">
      <c r="A7218" s="4" t="inlineStr">
        <is>
          <t>424</t>
        </is>
      </c>
      <c r="B7218" s="4" t="n">
        <v>4</v>
      </c>
      <c r="C7218" s="4" t="inlineStr">
        <is>
          <t>mule deer</t>
        </is>
      </c>
      <c r="D7218" s="4" t="n">
        <v>2019</v>
      </c>
      <c r="E7218" s="13" t="inlineStr">
        <is>
          <t>General</t>
        </is>
      </c>
      <c r="F7218" s="5" t="n">
        <v>134</v>
      </c>
      <c r="G7218" s="5" t="n">
        <v>800</v>
      </c>
      <c r="H7218" s="5" t="n">
        <v>14</v>
      </c>
      <c r="I7218" s="5" t="n">
        <v>14</v>
      </c>
      <c r="J7218" s="5" t="n">
        <v>0</v>
      </c>
      <c r="K7218" s="10">
        <f>IF(F7218&gt;0,H7218/F7218,"")</f>
        <v/>
      </c>
      <c r="L7218" s="16">
        <f>IF(AND(G7218&gt;0,H7218&gt;0),G7218/H7218,"")</f>
        <v/>
      </c>
    </row>
    <row r="7219">
      <c r="A7219" s="4" t="inlineStr">
        <is>
          <t>424</t>
        </is>
      </c>
      <c r="B7219" s="4" t="n">
        <v>4</v>
      </c>
      <c r="C7219" s="4" t="inlineStr">
        <is>
          <t>mule deer</t>
        </is>
      </c>
      <c r="D7219" s="4" t="n">
        <v>2020</v>
      </c>
      <c r="E7219" s="13" t="inlineStr">
        <is>
          <t>General</t>
        </is>
      </c>
      <c r="F7219" s="5" t="n"/>
      <c r="G7219" s="5" t="n"/>
      <c r="H7219" s="5" t="n">
        <v>7</v>
      </c>
      <c r="I7219" s="5" t="n">
        <v>7</v>
      </c>
      <c r="J7219" s="5" t="n">
        <v>0</v>
      </c>
      <c r="K7219" s="10">
        <f>IF(F7219&gt;0,H7219/F7219,"")</f>
        <v/>
      </c>
      <c r="L7219" s="16">
        <f>IF(AND(G7219&gt;0,H7219&gt;0),G7219/H7219,"")</f>
        <v/>
      </c>
    </row>
    <row r="7220">
      <c r="A7220" s="4" t="inlineStr">
        <is>
          <t>424</t>
        </is>
      </c>
      <c r="B7220" s="4" t="n">
        <v>4</v>
      </c>
      <c r="C7220" s="4" t="inlineStr">
        <is>
          <t>mule deer</t>
        </is>
      </c>
      <c r="D7220" s="4" t="n">
        <v>2021</v>
      </c>
      <c r="E7220" s="13" t="inlineStr">
        <is>
          <t>General</t>
        </is>
      </c>
      <c r="F7220" s="5" t="n">
        <v>175</v>
      </c>
      <c r="G7220" s="5" t="n">
        <v>1273</v>
      </c>
      <c r="H7220" s="5" t="n">
        <v>11</v>
      </c>
      <c r="I7220" s="5" t="n">
        <v>11</v>
      </c>
      <c r="J7220" s="5" t="n">
        <v>0</v>
      </c>
      <c r="K7220" s="10">
        <f>IF(F7220&gt;0,H7220/F7220,"")</f>
        <v/>
      </c>
      <c r="L7220" s="16">
        <f>IF(AND(G7220&gt;0,H7220&gt;0),G7220/H7220,"")</f>
        <v/>
      </c>
    </row>
    <row r="7221">
      <c r="A7221" s="4" t="inlineStr">
        <is>
          <t>424</t>
        </is>
      </c>
      <c r="B7221" s="4" t="n">
        <v>4</v>
      </c>
      <c r="C7221" s="4" t="inlineStr">
        <is>
          <t>mule deer</t>
        </is>
      </c>
      <c r="D7221" s="4" t="n">
        <v>2022</v>
      </c>
      <c r="E7221" s="13" t="inlineStr">
        <is>
          <t>General</t>
        </is>
      </c>
      <c r="F7221" s="5" t="n"/>
      <c r="G7221" s="5" t="n"/>
      <c r="H7221" s="5" t="n">
        <v>29</v>
      </c>
      <c r="I7221" s="5" t="n">
        <v>20</v>
      </c>
      <c r="J7221" s="5" t="n">
        <v>10</v>
      </c>
      <c r="K7221" s="10">
        <f>IF(F7221&gt;0,H7221/F7221,"")</f>
        <v/>
      </c>
      <c r="L7221" s="16">
        <f>IF(AND(G7221&gt;0,H7221&gt;0),G7221/H7221,"")</f>
        <v/>
      </c>
    </row>
    <row r="7222">
      <c r="A7222" s="4" t="inlineStr">
        <is>
          <t>424</t>
        </is>
      </c>
      <c r="B7222" s="4" t="n">
        <v>4</v>
      </c>
      <c r="C7222" s="4" t="inlineStr">
        <is>
          <t>mule deer</t>
        </is>
      </c>
      <c r="D7222" s="4" t="n">
        <v>2023</v>
      </c>
      <c r="E7222" s="13" t="inlineStr">
        <is>
          <t>General</t>
        </is>
      </c>
      <c r="F7222" s="5" t="n">
        <v>168</v>
      </c>
      <c r="G7222" s="5" t="n">
        <v>861</v>
      </c>
      <c r="H7222" s="5" t="n">
        <v>32</v>
      </c>
      <c r="I7222" s="5" t="n">
        <v>32</v>
      </c>
      <c r="J7222" s="5" t="n">
        <v>0</v>
      </c>
      <c r="K7222" s="10">
        <f>IF(F7222&gt;0,H7222/F7222,"")</f>
        <v/>
      </c>
      <c r="L7222" s="16">
        <f>IF(AND(G7222&gt;0,H7222&gt;0),G7222/H7222,"")</f>
        <v/>
      </c>
    </row>
    <row r="7223">
      <c r="A7223" s="4" t="inlineStr">
        <is>
          <t>424</t>
        </is>
      </c>
      <c r="B7223" s="4" t="n">
        <v>4</v>
      </c>
      <c r="C7223" s="4" t="inlineStr">
        <is>
          <t>mule deer</t>
        </is>
      </c>
      <c r="D7223" s="4" t="n">
        <v>2024</v>
      </c>
      <c r="E7223" s="13" t="inlineStr">
        <is>
          <t>General</t>
        </is>
      </c>
      <c r="F7223" s="5" t="n"/>
      <c r="G7223" s="5" t="n"/>
      <c r="H7223" s="5" t="n">
        <v>36</v>
      </c>
      <c r="I7223" s="5" t="n">
        <v>36</v>
      </c>
      <c r="J7223" s="5" t="n">
        <v>0</v>
      </c>
      <c r="K7223" s="10">
        <f>IF(F7223&gt;0,H7223/F7223,"")</f>
        <v/>
      </c>
      <c r="L7223" s="16">
        <f>IF(AND(G7223&gt;0,H7223&gt;0),G7223/H7223,"")</f>
        <v/>
      </c>
    </row>
    <row r="7224">
      <c r="A7224" s="4" t="inlineStr">
        <is>
          <t>424</t>
        </is>
      </c>
      <c r="B7224" s="4" t="n">
        <v>4</v>
      </c>
      <c r="C7224" s="4" t="inlineStr">
        <is>
          <t>mule deer</t>
        </is>
      </c>
      <c r="D7224" s="4" t="n">
        <v>2025</v>
      </c>
      <c r="E7224" s="13" t="inlineStr">
        <is>
          <t>General</t>
        </is>
      </c>
      <c r="F7224" s="5" t="n">
        <v>217</v>
      </c>
      <c r="G7224" s="5" t="n">
        <v>1328</v>
      </c>
      <c r="H7224" s="5" t="n">
        <v>37</v>
      </c>
      <c r="I7224" s="5" t="n">
        <v>34</v>
      </c>
      <c r="J7224" s="5" t="n">
        <v>4</v>
      </c>
      <c r="K7224" s="10">
        <f>IF(F7224&gt;0,H7224/F7224,"")</f>
        <v/>
      </c>
      <c r="L7224" s="16">
        <f>IF(AND(G7224&gt;0,H7224&gt;0),G7224/H7224,"")</f>
        <v/>
      </c>
    </row>
    <row r="7225">
      <c r="A7225" s="4" t="inlineStr">
        <is>
          <t>425</t>
        </is>
      </c>
      <c r="B7225" s="4" t="n">
        <v>4</v>
      </c>
      <c r="C7225" s="4" t="inlineStr">
        <is>
          <t>mule deer</t>
        </is>
      </c>
      <c r="D7225" s="4" t="n">
        <v>2004</v>
      </c>
      <c r="E7225" s="13" t="inlineStr">
        <is>
          <t>General</t>
        </is>
      </c>
      <c r="F7225" s="5" t="n">
        <v>312</v>
      </c>
      <c r="G7225" s="5" t="n">
        <v>1411</v>
      </c>
      <c r="H7225" s="5" t="n">
        <v>114</v>
      </c>
      <c r="I7225" s="5" t="n">
        <v>103</v>
      </c>
      <c r="J7225" s="5" t="n">
        <v>11</v>
      </c>
      <c r="K7225" s="10">
        <f>IF(F7225&gt;0,H7225/F7225,"")</f>
        <v/>
      </c>
      <c r="L7225" s="16">
        <f>IF(AND(G7225&gt;0,H7225&gt;0),G7225/H7225,"")</f>
        <v/>
      </c>
    </row>
    <row r="7226">
      <c r="A7226" s="4" t="inlineStr">
        <is>
          <t>425</t>
        </is>
      </c>
      <c r="B7226" s="4" t="n">
        <v>4</v>
      </c>
      <c r="C7226" s="4" t="inlineStr">
        <is>
          <t>mule deer</t>
        </is>
      </c>
      <c r="D7226" s="4" t="n">
        <v>2005</v>
      </c>
      <c r="E7226" s="13" t="inlineStr">
        <is>
          <t>General</t>
        </is>
      </c>
      <c r="F7226" s="5" t="n">
        <v>339</v>
      </c>
      <c r="G7226" s="5" t="n">
        <v>1562</v>
      </c>
      <c r="H7226" s="5" t="n">
        <v>96</v>
      </c>
      <c r="I7226" s="5" t="n">
        <v>81</v>
      </c>
      <c r="J7226" s="5" t="n">
        <v>16</v>
      </c>
      <c r="K7226" s="10">
        <f>IF(F7226&gt;0,H7226/F7226,"")</f>
        <v/>
      </c>
      <c r="L7226" s="16">
        <f>IF(AND(G7226&gt;0,H7226&gt;0),G7226/H7226,"")</f>
        <v/>
      </c>
    </row>
    <row r="7227">
      <c r="A7227" s="4" t="inlineStr">
        <is>
          <t>425</t>
        </is>
      </c>
      <c r="B7227" s="4" t="n">
        <v>4</v>
      </c>
      <c r="C7227" s="4" t="inlineStr">
        <is>
          <t>mule deer</t>
        </is>
      </c>
      <c r="D7227" s="4" t="n">
        <v>2006</v>
      </c>
      <c r="E7227" s="13" t="inlineStr">
        <is>
          <t>General</t>
        </is>
      </c>
      <c r="F7227" s="5" t="n">
        <v>446</v>
      </c>
      <c r="G7227" s="5" t="n">
        <v>1973</v>
      </c>
      <c r="H7227" s="5" t="n">
        <v>128</v>
      </c>
      <c r="I7227" s="5" t="n">
        <v>123</v>
      </c>
      <c r="J7227" s="5" t="n">
        <v>5</v>
      </c>
      <c r="K7227" s="10">
        <f>IF(F7227&gt;0,H7227/F7227,"")</f>
        <v/>
      </c>
      <c r="L7227" s="16">
        <f>IF(AND(G7227&gt;0,H7227&gt;0),G7227/H7227,"")</f>
        <v/>
      </c>
    </row>
    <row r="7228">
      <c r="A7228" s="4" t="inlineStr">
        <is>
          <t>425</t>
        </is>
      </c>
      <c r="B7228" s="4" t="n">
        <v>4</v>
      </c>
      <c r="C7228" s="4" t="inlineStr">
        <is>
          <t>mule deer</t>
        </is>
      </c>
      <c r="D7228" s="4" t="n">
        <v>2007</v>
      </c>
      <c r="E7228" s="13" t="inlineStr">
        <is>
          <t>General</t>
        </is>
      </c>
      <c r="F7228" s="5" t="n">
        <v>501</v>
      </c>
      <c r="G7228" s="5" t="n">
        <v>2296</v>
      </c>
      <c r="H7228" s="5" t="n">
        <v>151</v>
      </c>
      <c r="I7228" s="5" t="n">
        <v>151</v>
      </c>
      <c r="J7228" s="5" t="n">
        <v>0</v>
      </c>
      <c r="K7228" s="10">
        <f>IF(F7228&gt;0,H7228/F7228,"")</f>
        <v/>
      </c>
      <c r="L7228" s="16">
        <f>IF(AND(G7228&gt;0,H7228&gt;0),G7228/H7228,"")</f>
        <v/>
      </c>
    </row>
    <row r="7229">
      <c r="A7229" s="4" t="inlineStr">
        <is>
          <t>425</t>
        </is>
      </c>
      <c r="B7229" s="4" t="n">
        <v>4</v>
      </c>
      <c r="C7229" s="4" t="inlineStr">
        <is>
          <t>mule deer</t>
        </is>
      </c>
      <c r="D7229" s="4" t="n">
        <v>2008</v>
      </c>
      <c r="E7229" s="13" t="inlineStr">
        <is>
          <t>General</t>
        </is>
      </c>
      <c r="F7229" s="5" t="n">
        <v>486</v>
      </c>
      <c r="G7229" s="5" t="n">
        <v>1971</v>
      </c>
      <c r="H7229" s="5" t="n">
        <v>123</v>
      </c>
      <c r="I7229" s="5" t="n">
        <v>108</v>
      </c>
      <c r="J7229" s="5" t="n">
        <v>15</v>
      </c>
      <c r="K7229" s="10">
        <f>IF(F7229&gt;0,H7229/F7229,"")</f>
        <v/>
      </c>
      <c r="L7229" s="16">
        <f>IF(AND(G7229&gt;0,H7229&gt;0),G7229/H7229,"")</f>
        <v/>
      </c>
    </row>
    <row r="7230">
      <c r="A7230" s="4" t="inlineStr">
        <is>
          <t>425</t>
        </is>
      </c>
      <c r="B7230" s="4" t="n">
        <v>4</v>
      </c>
      <c r="C7230" s="4" t="inlineStr">
        <is>
          <t>mule deer</t>
        </is>
      </c>
      <c r="D7230" s="4" t="n">
        <v>2009</v>
      </c>
      <c r="E7230" s="13" t="inlineStr">
        <is>
          <t>General</t>
        </is>
      </c>
      <c r="F7230" s="5" t="n">
        <v>378</v>
      </c>
      <c r="G7230" s="5" t="n">
        <v>2023</v>
      </c>
      <c r="H7230" s="5" t="n">
        <v>62</v>
      </c>
      <c r="I7230" s="5" t="n">
        <v>62</v>
      </c>
      <c r="J7230" s="5" t="n">
        <v>0</v>
      </c>
      <c r="K7230" s="10">
        <f>IF(F7230&gt;0,H7230/F7230,"")</f>
        <v/>
      </c>
      <c r="L7230" s="16">
        <f>IF(AND(G7230&gt;0,H7230&gt;0),G7230/H7230,"")</f>
        <v/>
      </c>
    </row>
    <row r="7231">
      <c r="A7231" s="4" t="inlineStr">
        <is>
          <t>425</t>
        </is>
      </c>
      <c r="B7231" s="4" t="n">
        <v>4</v>
      </c>
      <c r="C7231" s="4" t="inlineStr">
        <is>
          <t>mule deer</t>
        </is>
      </c>
      <c r="D7231" s="4" t="n">
        <v>2010</v>
      </c>
      <c r="E7231" s="13" t="inlineStr">
        <is>
          <t>General</t>
        </is>
      </c>
      <c r="F7231" s="5" t="n">
        <v>600</v>
      </c>
      <c r="G7231" s="5" t="n">
        <v>2527</v>
      </c>
      <c r="H7231" s="5" t="n">
        <v>119</v>
      </c>
      <c r="I7231" s="5" t="n">
        <v>109</v>
      </c>
      <c r="J7231" s="5" t="n">
        <v>10</v>
      </c>
      <c r="K7231" s="10">
        <f>IF(F7231&gt;0,H7231/F7231,"")</f>
        <v/>
      </c>
      <c r="L7231" s="16">
        <f>IF(AND(G7231&gt;0,H7231&gt;0),G7231/H7231,"")</f>
        <v/>
      </c>
    </row>
    <row r="7232">
      <c r="A7232" s="4" t="inlineStr">
        <is>
          <t>425</t>
        </is>
      </c>
      <c r="B7232" s="4" t="n">
        <v>4</v>
      </c>
      <c r="C7232" s="4" t="inlineStr">
        <is>
          <t>mule deer</t>
        </is>
      </c>
      <c r="D7232" s="4" t="n">
        <v>2011</v>
      </c>
      <c r="E7232" s="13" t="inlineStr">
        <is>
          <t>General</t>
        </is>
      </c>
      <c r="F7232" s="5" t="n">
        <v>666</v>
      </c>
      <c r="G7232" s="5" t="n">
        <v>3159</v>
      </c>
      <c r="H7232" s="5" t="n">
        <v>132</v>
      </c>
      <c r="I7232" s="5" t="n">
        <v>130</v>
      </c>
      <c r="J7232" s="5" t="n">
        <v>2</v>
      </c>
      <c r="K7232" s="10">
        <f>IF(F7232&gt;0,H7232/F7232,"")</f>
        <v/>
      </c>
      <c r="L7232" s="16">
        <f>IF(AND(G7232&gt;0,H7232&gt;0),G7232/H7232,"")</f>
        <v/>
      </c>
    </row>
    <row r="7233">
      <c r="A7233" s="4" t="inlineStr">
        <is>
          <t>425</t>
        </is>
      </c>
      <c r="B7233" s="4" t="n">
        <v>4</v>
      </c>
      <c r="C7233" s="4" t="inlineStr">
        <is>
          <t>mule deer</t>
        </is>
      </c>
      <c r="D7233" s="4" t="n">
        <v>2012</v>
      </c>
      <c r="E7233" s="13" t="inlineStr">
        <is>
          <t>General</t>
        </is>
      </c>
      <c r="F7233" s="5" t="n"/>
      <c r="G7233" s="5" t="n"/>
      <c r="H7233" s="5" t="n">
        <v>102</v>
      </c>
      <c r="I7233" s="5" t="n">
        <v>89</v>
      </c>
      <c r="J7233" s="5" t="n">
        <v>10</v>
      </c>
      <c r="K7233" s="10">
        <f>IF(F7233&gt;0,H7233/F7233,"")</f>
        <v/>
      </c>
      <c r="L7233" s="16">
        <f>IF(AND(G7233&gt;0,H7233&gt;0),G7233/H7233,"")</f>
        <v/>
      </c>
    </row>
    <row r="7234">
      <c r="A7234" s="4" t="inlineStr">
        <is>
          <t>425</t>
        </is>
      </c>
      <c r="B7234" s="4" t="n">
        <v>4</v>
      </c>
      <c r="C7234" s="4" t="inlineStr">
        <is>
          <t>mule deer</t>
        </is>
      </c>
      <c r="D7234" s="4" t="n">
        <v>2013</v>
      </c>
      <c r="E7234" s="13" t="inlineStr">
        <is>
          <t>General</t>
        </is>
      </c>
      <c r="F7234" s="5" t="n">
        <v>639</v>
      </c>
      <c r="G7234" s="5" t="n">
        <v>3039</v>
      </c>
      <c r="H7234" s="5" t="n">
        <v>98</v>
      </c>
      <c r="I7234" s="5" t="n">
        <v>92</v>
      </c>
      <c r="J7234" s="5" t="n">
        <v>5</v>
      </c>
      <c r="K7234" s="10">
        <f>IF(F7234&gt;0,H7234/F7234,"")</f>
        <v/>
      </c>
      <c r="L7234" s="16">
        <f>IF(AND(G7234&gt;0,H7234&gt;0),G7234/H7234,"")</f>
        <v/>
      </c>
    </row>
    <row r="7235">
      <c r="A7235" s="4" t="inlineStr">
        <is>
          <t>425</t>
        </is>
      </c>
      <c r="B7235" s="4" t="n">
        <v>4</v>
      </c>
      <c r="C7235" s="4" t="inlineStr">
        <is>
          <t>mule deer</t>
        </is>
      </c>
      <c r="D7235" s="4" t="n">
        <v>2014</v>
      </c>
      <c r="E7235" s="13" t="inlineStr">
        <is>
          <t>General</t>
        </is>
      </c>
      <c r="F7235" s="5" t="n"/>
      <c r="G7235" s="5" t="n"/>
      <c r="H7235" s="5" t="n">
        <v>68</v>
      </c>
      <c r="I7235" s="5" t="n">
        <v>65</v>
      </c>
      <c r="J7235" s="5" t="n">
        <v>0</v>
      </c>
      <c r="K7235" s="10">
        <f>IF(F7235&gt;0,H7235/F7235,"")</f>
        <v/>
      </c>
      <c r="L7235" s="16">
        <f>IF(AND(G7235&gt;0,H7235&gt;0),G7235/H7235,"")</f>
        <v/>
      </c>
    </row>
    <row r="7236">
      <c r="A7236" s="4" t="inlineStr">
        <is>
          <t>425</t>
        </is>
      </c>
      <c r="B7236" s="4" t="n">
        <v>4</v>
      </c>
      <c r="C7236" s="4" t="inlineStr">
        <is>
          <t>mule deer</t>
        </is>
      </c>
      <c r="D7236" s="4" t="n">
        <v>2015</v>
      </c>
      <c r="E7236" s="13" t="inlineStr">
        <is>
          <t>General</t>
        </is>
      </c>
      <c r="F7236" s="5" t="n"/>
      <c r="G7236" s="5" t="n"/>
      <c r="H7236" s="5" t="n">
        <v>63</v>
      </c>
      <c r="I7236" s="5" t="n">
        <v>63</v>
      </c>
      <c r="J7236" s="5" t="n">
        <v>0</v>
      </c>
      <c r="K7236" s="10">
        <f>IF(F7236&gt;0,H7236/F7236,"")</f>
        <v/>
      </c>
      <c r="L7236" s="16">
        <f>IF(AND(G7236&gt;0,H7236&gt;0),G7236/H7236,"")</f>
        <v/>
      </c>
    </row>
    <row r="7237">
      <c r="A7237" s="4" t="inlineStr">
        <is>
          <t>425</t>
        </is>
      </c>
      <c r="B7237" s="4" t="n">
        <v>4</v>
      </c>
      <c r="C7237" s="4" t="inlineStr">
        <is>
          <t>mule deer</t>
        </is>
      </c>
      <c r="D7237" s="4" t="n">
        <v>2016</v>
      </c>
      <c r="E7237" s="13" t="inlineStr">
        <is>
          <t>General</t>
        </is>
      </c>
      <c r="F7237" s="5" t="n"/>
      <c r="G7237" s="5" t="n"/>
      <c r="H7237" s="5" t="n">
        <v>83</v>
      </c>
      <c r="I7237" s="5" t="n">
        <v>74</v>
      </c>
      <c r="J7237" s="5" t="n">
        <v>9</v>
      </c>
      <c r="K7237" s="10">
        <f>IF(F7237&gt;0,H7237/F7237,"")</f>
        <v/>
      </c>
      <c r="L7237" s="16">
        <f>IF(AND(G7237&gt;0,H7237&gt;0),G7237/H7237,"")</f>
        <v/>
      </c>
    </row>
    <row r="7238">
      <c r="A7238" s="4" t="inlineStr">
        <is>
          <t>425</t>
        </is>
      </c>
      <c r="B7238" s="4" t="n">
        <v>4</v>
      </c>
      <c r="C7238" s="4" t="inlineStr">
        <is>
          <t>mule deer</t>
        </is>
      </c>
      <c r="D7238" s="4" t="n">
        <v>2017</v>
      </c>
      <c r="E7238" s="13" t="inlineStr">
        <is>
          <t>General</t>
        </is>
      </c>
      <c r="F7238" s="5" t="n">
        <v>645</v>
      </c>
      <c r="G7238" s="5" t="n">
        <v>2810</v>
      </c>
      <c r="H7238" s="5" t="n">
        <v>124</v>
      </c>
      <c r="I7238" s="5" t="n">
        <v>115</v>
      </c>
      <c r="J7238" s="5" t="n">
        <v>9</v>
      </c>
      <c r="K7238" s="10">
        <f>IF(F7238&gt;0,H7238/F7238,"")</f>
        <v/>
      </c>
      <c r="L7238" s="16">
        <f>IF(AND(G7238&gt;0,H7238&gt;0),G7238/H7238,"")</f>
        <v/>
      </c>
    </row>
    <row r="7239">
      <c r="A7239" s="4" t="inlineStr">
        <is>
          <t>425</t>
        </is>
      </c>
      <c r="B7239" s="4" t="n">
        <v>4</v>
      </c>
      <c r="C7239" s="4" t="inlineStr">
        <is>
          <t>mule deer</t>
        </is>
      </c>
      <c r="D7239" s="4" t="n">
        <v>2018</v>
      </c>
      <c r="E7239" s="13" t="inlineStr">
        <is>
          <t>General</t>
        </is>
      </c>
      <c r="F7239" s="5" t="n"/>
      <c r="G7239" s="5" t="n"/>
      <c r="H7239" s="5" t="n">
        <v>81</v>
      </c>
      <c r="I7239" s="5" t="n">
        <v>75</v>
      </c>
      <c r="J7239" s="5" t="n">
        <v>6</v>
      </c>
      <c r="K7239" s="10">
        <f>IF(F7239&gt;0,H7239/F7239,"")</f>
        <v/>
      </c>
      <c r="L7239" s="16">
        <f>IF(AND(G7239&gt;0,H7239&gt;0),G7239/H7239,"")</f>
        <v/>
      </c>
    </row>
    <row r="7240">
      <c r="A7240" s="4" t="inlineStr">
        <is>
          <t>425</t>
        </is>
      </c>
      <c r="B7240" s="4" t="n">
        <v>4</v>
      </c>
      <c r="C7240" s="4" t="inlineStr">
        <is>
          <t>mule deer</t>
        </is>
      </c>
      <c r="D7240" s="4" t="n">
        <v>2019</v>
      </c>
      <c r="E7240" s="13" t="inlineStr">
        <is>
          <t>General</t>
        </is>
      </c>
      <c r="F7240" s="5" t="n">
        <v>569</v>
      </c>
      <c r="G7240" s="5" t="n">
        <v>3047</v>
      </c>
      <c r="H7240" s="5" t="n">
        <v>150</v>
      </c>
      <c r="I7240" s="5" t="n">
        <v>136</v>
      </c>
      <c r="J7240" s="5" t="n">
        <v>14</v>
      </c>
      <c r="K7240" s="10">
        <f>IF(F7240&gt;0,H7240/F7240,"")</f>
        <v/>
      </c>
      <c r="L7240" s="16">
        <f>IF(AND(G7240&gt;0,H7240&gt;0),G7240/H7240,"")</f>
        <v/>
      </c>
    </row>
    <row r="7241">
      <c r="A7241" s="4" t="inlineStr">
        <is>
          <t>425</t>
        </is>
      </c>
      <c r="B7241" s="4" t="n">
        <v>4</v>
      </c>
      <c r="C7241" s="4" t="inlineStr">
        <is>
          <t>mule deer</t>
        </is>
      </c>
      <c r="D7241" s="4" t="n">
        <v>2020</v>
      </c>
      <c r="E7241" s="13" t="inlineStr">
        <is>
          <t>General</t>
        </is>
      </c>
      <c r="F7241" s="5" t="n"/>
      <c r="G7241" s="5" t="n"/>
      <c r="H7241" s="5" t="n">
        <v>105</v>
      </c>
      <c r="I7241" s="5" t="n">
        <v>98</v>
      </c>
      <c r="J7241" s="5" t="n">
        <v>6</v>
      </c>
      <c r="K7241" s="10">
        <f>IF(F7241&gt;0,H7241/F7241,"")</f>
        <v/>
      </c>
      <c r="L7241" s="16">
        <f>IF(AND(G7241&gt;0,H7241&gt;0),G7241/H7241,"")</f>
        <v/>
      </c>
    </row>
    <row r="7242">
      <c r="A7242" s="4" t="inlineStr">
        <is>
          <t>425</t>
        </is>
      </c>
      <c r="B7242" s="4" t="n">
        <v>4</v>
      </c>
      <c r="C7242" s="4" t="inlineStr">
        <is>
          <t>mule deer</t>
        </is>
      </c>
      <c r="D7242" s="4" t="n">
        <v>2021</v>
      </c>
      <c r="E7242" s="13" t="inlineStr">
        <is>
          <t>General</t>
        </is>
      </c>
      <c r="F7242" s="5" t="n">
        <v>487</v>
      </c>
      <c r="G7242" s="5" t="n">
        <v>3082</v>
      </c>
      <c r="H7242" s="5" t="n">
        <v>76</v>
      </c>
      <c r="I7242" s="5" t="n">
        <v>64</v>
      </c>
      <c r="J7242" s="5" t="n">
        <v>12</v>
      </c>
      <c r="K7242" s="10">
        <f>IF(F7242&gt;0,H7242/F7242,"")</f>
        <v/>
      </c>
      <c r="L7242" s="16">
        <f>IF(AND(G7242&gt;0,H7242&gt;0),G7242/H7242,"")</f>
        <v/>
      </c>
    </row>
    <row r="7243">
      <c r="A7243" s="4" t="inlineStr">
        <is>
          <t>425</t>
        </is>
      </c>
      <c r="B7243" s="4" t="n">
        <v>4</v>
      </c>
      <c r="C7243" s="4" t="inlineStr">
        <is>
          <t>mule deer</t>
        </is>
      </c>
      <c r="D7243" s="4" t="n">
        <v>2022</v>
      </c>
      <c r="E7243" s="13" t="inlineStr">
        <is>
          <t>General</t>
        </is>
      </c>
      <c r="F7243" s="5" t="n"/>
      <c r="G7243" s="5" t="n"/>
      <c r="H7243" s="5" t="n">
        <v>99</v>
      </c>
      <c r="I7243" s="5" t="n">
        <v>69</v>
      </c>
      <c r="J7243" s="5" t="n">
        <v>30</v>
      </c>
      <c r="K7243" s="10">
        <f>IF(F7243&gt;0,H7243/F7243,"")</f>
        <v/>
      </c>
      <c r="L7243" s="16">
        <f>IF(AND(G7243&gt;0,H7243&gt;0),G7243/H7243,"")</f>
        <v/>
      </c>
    </row>
    <row r="7244">
      <c r="A7244" s="4" t="inlineStr">
        <is>
          <t>425</t>
        </is>
      </c>
      <c r="B7244" s="4" t="n">
        <v>4</v>
      </c>
      <c r="C7244" s="4" t="inlineStr">
        <is>
          <t>mule deer</t>
        </is>
      </c>
      <c r="D7244" s="4" t="n">
        <v>2023</v>
      </c>
      <c r="E7244" s="13" t="inlineStr">
        <is>
          <t>General</t>
        </is>
      </c>
      <c r="F7244" s="5" t="n">
        <v>534</v>
      </c>
      <c r="G7244" s="5" t="n">
        <v>2688</v>
      </c>
      <c r="H7244" s="5" t="n">
        <v>148</v>
      </c>
      <c r="I7244" s="5" t="n">
        <v>115</v>
      </c>
      <c r="J7244" s="5" t="n">
        <v>34</v>
      </c>
      <c r="K7244" s="10">
        <f>IF(F7244&gt;0,H7244/F7244,"")</f>
        <v/>
      </c>
      <c r="L7244" s="16">
        <f>IF(AND(G7244&gt;0,H7244&gt;0),G7244/H7244,"")</f>
        <v/>
      </c>
    </row>
    <row r="7245">
      <c r="A7245" s="4" t="inlineStr">
        <is>
          <t>425</t>
        </is>
      </c>
      <c r="B7245" s="4" t="n">
        <v>4</v>
      </c>
      <c r="C7245" s="4" t="inlineStr">
        <is>
          <t>mule deer</t>
        </is>
      </c>
      <c r="D7245" s="4" t="n">
        <v>2024</v>
      </c>
      <c r="E7245" s="13" t="inlineStr">
        <is>
          <t>General</t>
        </is>
      </c>
      <c r="F7245" s="5" t="n"/>
      <c r="G7245" s="5" t="n"/>
      <c r="H7245" s="5" t="n">
        <v>130</v>
      </c>
      <c r="I7245" s="5" t="n">
        <v>100</v>
      </c>
      <c r="J7245" s="5" t="n">
        <v>30</v>
      </c>
      <c r="K7245" s="10">
        <f>IF(F7245&gt;0,H7245/F7245,"")</f>
        <v/>
      </c>
      <c r="L7245" s="16">
        <f>IF(AND(G7245&gt;0,H7245&gt;0),G7245/H7245,"")</f>
        <v/>
      </c>
    </row>
    <row r="7246">
      <c r="A7246" s="4" t="inlineStr">
        <is>
          <t>425</t>
        </is>
      </c>
      <c r="B7246" s="4" t="n">
        <v>4</v>
      </c>
      <c r="C7246" s="4" t="inlineStr">
        <is>
          <t>mule deer</t>
        </is>
      </c>
      <c r="D7246" s="4" t="n">
        <v>2025</v>
      </c>
      <c r="E7246" s="13" t="inlineStr">
        <is>
          <t>General</t>
        </is>
      </c>
      <c r="F7246" s="5" t="n">
        <v>531</v>
      </c>
      <c r="G7246" s="5" t="n">
        <v>3020</v>
      </c>
      <c r="H7246" s="5" t="n">
        <v>89</v>
      </c>
      <c r="I7246" s="5" t="n">
        <v>68</v>
      </c>
      <c r="J7246" s="5" t="n">
        <v>21</v>
      </c>
      <c r="K7246" s="10">
        <f>IF(F7246&gt;0,H7246/F7246,"")</f>
        <v/>
      </c>
      <c r="L7246" s="16">
        <f>IF(AND(G7246&gt;0,H7246&gt;0),G7246/H7246,"")</f>
        <v/>
      </c>
    </row>
    <row r="7247">
      <c r="A7247" s="4" t="inlineStr">
        <is>
          <t>426</t>
        </is>
      </c>
      <c r="B7247" s="4" t="n">
        <v>4</v>
      </c>
      <c r="C7247" s="4" t="inlineStr">
        <is>
          <t>mule deer</t>
        </is>
      </c>
      <c r="D7247" s="4" t="n">
        <v>2004</v>
      </c>
      <c r="E7247" s="13" t="inlineStr">
        <is>
          <t>General</t>
        </is>
      </c>
      <c r="F7247" s="5" t="n">
        <v>1169</v>
      </c>
      <c r="G7247" s="5" t="n">
        <v>4965</v>
      </c>
      <c r="H7247" s="5" t="n">
        <v>821</v>
      </c>
      <c r="I7247" s="5" t="n">
        <v>479</v>
      </c>
      <c r="J7247" s="5" t="n">
        <v>334</v>
      </c>
      <c r="K7247" s="10">
        <f>IF(F7247&gt;0,H7247/F7247,"")</f>
        <v/>
      </c>
      <c r="L7247" s="16">
        <f>IF(AND(G7247&gt;0,H7247&gt;0),G7247/H7247,"")</f>
        <v/>
      </c>
    </row>
    <row r="7248">
      <c r="A7248" s="4" t="inlineStr">
        <is>
          <t>426</t>
        </is>
      </c>
      <c r="B7248" s="4" t="n">
        <v>4</v>
      </c>
      <c r="C7248" s="4" t="inlineStr">
        <is>
          <t>mule deer</t>
        </is>
      </c>
      <c r="D7248" s="4" t="n">
        <v>2005</v>
      </c>
      <c r="E7248" s="13" t="inlineStr">
        <is>
          <t>General</t>
        </is>
      </c>
      <c r="F7248" s="5" t="n">
        <v>1055</v>
      </c>
      <c r="G7248" s="5" t="n">
        <v>4252</v>
      </c>
      <c r="H7248" s="5" t="n">
        <v>844</v>
      </c>
      <c r="I7248" s="5" t="n">
        <v>527</v>
      </c>
      <c r="J7248" s="5" t="n">
        <v>307</v>
      </c>
      <c r="K7248" s="10">
        <f>IF(F7248&gt;0,H7248/F7248,"")</f>
        <v/>
      </c>
      <c r="L7248" s="16">
        <f>IF(AND(G7248&gt;0,H7248&gt;0),G7248/H7248,"")</f>
        <v/>
      </c>
    </row>
    <row r="7249">
      <c r="A7249" s="4" t="inlineStr">
        <is>
          <t>426</t>
        </is>
      </c>
      <c r="B7249" s="4" t="n">
        <v>4</v>
      </c>
      <c r="C7249" s="4" t="inlineStr">
        <is>
          <t>mule deer</t>
        </is>
      </c>
      <c r="D7249" s="4" t="n">
        <v>2006</v>
      </c>
      <c r="E7249" s="13" t="inlineStr">
        <is>
          <t>General</t>
        </is>
      </c>
      <c r="F7249" s="5" t="n">
        <v>781</v>
      </c>
      <c r="G7249" s="5" t="n">
        <v>3200</v>
      </c>
      <c r="H7249" s="5" t="n">
        <v>644</v>
      </c>
      <c r="I7249" s="5" t="n">
        <v>332</v>
      </c>
      <c r="J7249" s="5" t="n">
        <v>304</v>
      </c>
      <c r="K7249" s="10">
        <f>IF(F7249&gt;0,H7249/F7249,"")</f>
        <v/>
      </c>
      <c r="L7249" s="16">
        <f>IF(AND(G7249&gt;0,H7249&gt;0),G7249/H7249,"")</f>
        <v/>
      </c>
    </row>
    <row r="7250">
      <c r="A7250" s="4" t="inlineStr">
        <is>
          <t>426</t>
        </is>
      </c>
      <c r="B7250" s="4" t="n">
        <v>4</v>
      </c>
      <c r="C7250" s="4" t="inlineStr">
        <is>
          <t>mule deer</t>
        </is>
      </c>
      <c r="D7250" s="4" t="n">
        <v>2007</v>
      </c>
      <c r="E7250" s="13" t="inlineStr">
        <is>
          <t>General</t>
        </is>
      </c>
      <c r="F7250" s="5" t="n">
        <v>937</v>
      </c>
      <c r="G7250" s="5" t="n">
        <v>4206</v>
      </c>
      <c r="H7250" s="5" t="n">
        <v>788</v>
      </c>
      <c r="I7250" s="5" t="n">
        <v>414</v>
      </c>
      <c r="J7250" s="5" t="n">
        <v>369</v>
      </c>
      <c r="K7250" s="10">
        <f>IF(F7250&gt;0,H7250/F7250,"")</f>
        <v/>
      </c>
      <c r="L7250" s="16">
        <f>IF(AND(G7250&gt;0,H7250&gt;0),G7250/H7250,"")</f>
        <v/>
      </c>
    </row>
    <row r="7251">
      <c r="A7251" s="4" t="inlineStr">
        <is>
          <t>426</t>
        </is>
      </c>
      <c r="B7251" s="4" t="n">
        <v>4</v>
      </c>
      <c r="C7251" s="4" t="inlineStr">
        <is>
          <t>mule deer</t>
        </is>
      </c>
      <c r="D7251" s="4" t="n">
        <v>2008</v>
      </c>
      <c r="E7251" s="13" t="inlineStr">
        <is>
          <t>General</t>
        </is>
      </c>
      <c r="F7251" s="5" t="n">
        <v>853</v>
      </c>
      <c r="G7251" s="5" t="n">
        <v>3520</v>
      </c>
      <c r="H7251" s="5" t="n">
        <v>673</v>
      </c>
      <c r="I7251" s="5" t="n">
        <v>329</v>
      </c>
      <c r="J7251" s="5" t="n">
        <v>341</v>
      </c>
      <c r="K7251" s="10">
        <f>IF(F7251&gt;0,H7251/F7251,"")</f>
        <v/>
      </c>
      <c r="L7251" s="16">
        <f>IF(AND(G7251&gt;0,H7251&gt;0),G7251/H7251,"")</f>
        <v/>
      </c>
    </row>
    <row r="7252">
      <c r="A7252" s="4" t="inlineStr">
        <is>
          <t>426</t>
        </is>
      </c>
      <c r="B7252" s="4" t="n">
        <v>4</v>
      </c>
      <c r="C7252" s="4" t="inlineStr">
        <is>
          <t>mule deer</t>
        </is>
      </c>
      <c r="D7252" s="4" t="n">
        <v>2009</v>
      </c>
      <c r="E7252" s="13" t="inlineStr">
        <is>
          <t>General</t>
        </is>
      </c>
      <c r="F7252" s="5" t="n">
        <v>839</v>
      </c>
      <c r="G7252" s="5" t="n">
        <v>3547</v>
      </c>
      <c r="H7252" s="5" t="n">
        <v>328</v>
      </c>
      <c r="I7252" s="5" t="n">
        <v>280</v>
      </c>
      <c r="J7252" s="5" t="n">
        <v>48</v>
      </c>
      <c r="K7252" s="10">
        <f>IF(F7252&gt;0,H7252/F7252,"")</f>
        <v/>
      </c>
      <c r="L7252" s="16">
        <f>IF(AND(G7252&gt;0,H7252&gt;0),G7252/H7252,"")</f>
        <v/>
      </c>
    </row>
    <row r="7253">
      <c r="A7253" s="4" t="inlineStr">
        <is>
          <t>426</t>
        </is>
      </c>
      <c r="B7253" s="4" t="n">
        <v>4</v>
      </c>
      <c r="C7253" s="4" t="inlineStr">
        <is>
          <t>mule deer</t>
        </is>
      </c>
      <c r="D7253" s="4" t="n">
        <v>2010</v>
      </c>
      <c r="E7253" s="13" t="inlineStr">
        <is>
          <t>General</t>
        </is>
      </c>
      <c r="F7253" s="5" t="n">
        <v>669</v>
      </c>
      <c r="G7253" s="5" t="n">
        <v>2798</v>
      </c>
      <c r="H7253" s="5" t="n">
        <v>225</v>
      </c>
      <c r="I7253" s="5" t="n">
        <v>212</v>
      </c>
      <c r="J7253" s="5" t="n">
        <v>11</v>
      </c>
      <c r="K7253" s="10">
        <f>IF(F7253&gt;0,H7253/F7253,"")</f>
        <v/>
      </c>
      <c r="L7253" s="16">
        <f>IF(AND(G7253&gt;0,H7253&gt;0),G7253/H7253,"")</f>
        <v/>
      </c>
    </row>
    <row r="7254">
      <c r="A7254" s="4" t="inlineStr">
        <is>
          <t>426</t>
        </is>
      </c>
      <c r="B7254" s="4" t="n">
        <v>4</v>
      </c>
      <c r="C7254" s="4" t="inlineStr">
        <is>
          <t>mule deer</t>
        </is>
      </c>
      <c r="D7254" s="4" t="n">
        <v>2011</v>
      </c>
      <c r="E7254" s="13" t="inlineStr">
        <is>
          <t>General</t>
        </is>
      </c>
      <c r="F7254" s="5" t="n">
        <v>754</v>
      </c>
      <c r="G7254" s="5" t="n">
        <v>3081</v>
      </c>
      <c r="H7254" s="5" t="n">
        <v>299</v>
      </c>
      <c r="I7254" s="5" t="n">
        <v>293</v>
      </c>
      <c r="J7254" s="5" t="n">
        <v>6</v>
      </c>
      <c r="K7254" s="10">
        <f>IF(F7254&gt;0,H7254/F7254,"")</f>
        <v/>
      </c>
      <c r="L7254" s="16">
        <f>IF(AND(G7254&gt;0,H7254&gt;0),G7254/H7254,"")</f>
        <v/>
      </c>
    </row>
    <row r="7255">
      <c r="A7255" s="4" t="inlineStr">
        <is>
          <t>426</t>
        </is>
      </c>
      <c r="B7255" s="4" t="n">
        <v>4</v>
      </c>
      <c r="C7255" s="4" t="inlineStr">
        <is>
          <t>mule deer</t>
        </is>
      </c>
      <c r="D7255" s="4" t="n">
        <v>2012</v>
      </c>
      <c r="E7255" s="13" t="inlineStr">
        <is>
          <t>General</t>
        </is>
      </c>
      <c r="F7255" s="5" t="n"/>
      <c r="G7255" s="5" t="n"/>
      <c r="H7255" s="5" t="n">
        <v>416</v>
      </c>
      <c r="I7255" s="5" t="n">
        <v>409</v>
      </c>
      <c r="J7255" s="5" t="n">
        <v>8</v>
      </c>
      <c r="K7255" s="10">
        <f>IF(F7255&gt;0,H7255/F7255,"")</f>
        <v/>
      </c>
      <c r="L7255" s="16">
        <f>IF(AND(G7255&gt;0,H7255&gt;0),G7255/H7255,"")</f>
        <v/>
      </c>
    </row>
    <row r="7256">
      <c r="A7256" s="4" t="inlineStr">
        <is>
          <t>426</t>
        </is>
      </c>
      <c r="B7256" s="4" t="n">
        <v>4</v>
      </c>
      <c r="C7256" s="4" t="inlineStr">
        <is>
          <t>mule deer</t>
        </is>
      </c>
      <c r="D7256" s="4" t="n">
        <v>2013</v>
      </c>
      <c r="E7256" s="13" t="inlineStr">
        <is>
          <t>General</t>
        </is>
      </c>
      <c r="F7256" s="5" t="n">
        <v>820</v>
      </c>
      <c r="G7256" s="5" t="n">
        <v>3462</v>
      </c>
      <c r="H7256" s="5" t="n">
        <v>396</v>
      </c>
      <c r="I7256" s="5" t="n">
        <v>389</v>
      </c>
      <c r="J7256" s="5" t="n">
        <v>8</v>
      </c>
      <c r="K7256" s="10">
        <f>IF(F7256&gt;0,H7256/F7256,"")</f>
        <v/>
      </c>
      <c r="L7256" s="16">
        <f>IF(AND(G7256&gt;0,H7256&gt;0),G7256/H7256,"")</f>
        <v/>
      </c>
    </row>
    <row r="7257">
      <c r="A7257" s="4" t="inlineStr">
        <is>
          <t>426</t>
        </is>
      </c>
      <c r="B7257" s="4" t="n">
        <v>4</v>
      </c>
      <c r="C7257" s="4" t="inlineStr">
        <is>
          <t>mule deer</t>
        </is>
      </c>
      <c r="D7257" s="4" t="n">
        <v>2014</v>
      </c>
      <c r="E7257" s="13" t="inlineStr">
        <is>
          <t>General</t>
        </is>
      </c>
      <c r="F7257" s="5" t="n"/>
      <c r="G7257" s="5" t="n"/>
      <c r="H7257" s="5" t="n">
        <v>465</v>
      </c>
      <c r="I7257" s="5" t="n">
        <v>465</v>
      </c>
      <c r="J7257" s="5" t="n">
        <v>0</v>
      </c>
      <c r="K7257" s="10">
        <f>IF(F7257&gt;0,H7257/F7257,"")</f>
        <v/>
      </c>
      <c r="L7257" s="16">
        <f>IF(AND(G7257&gt;0,H7257&gt;0),G7257/H7257,"")</f>
        <v/>
      </c>
    </row>
    <row r="7258">
      <c r="A7258" s="4" t="inlineStr">
        <is>
          <t>426</t>
        </is>
      </c>
      <c r="B7258" s="4" t="n">
        <v>4</v>
      </c>
      <c r="C7258" s="4" t="inlineStr">
        <is>
          <t>mule deer</t>
        </is>
      </c>
      <c r="D7258" s="4" t="n">
        <v>2015</v>
      </c>
      <c r="E7258" s="13" t="inlineStr">
        <is>
          <t>General</t>
        </is>
      </c>
      <c r="F7258" s="5" t="n"/>
      <c r="G7258" s="5" t="n"/>
      <c r="H7258" s="5" t="n">
        <v>544</v>
      </c>
      <c r="I7258" s="5" t="n">
        <v>544</v>
      </c>
      <c r="J7258" s="5" t="n">
        <v>0</v>
      </c>
      <c r="K7258" s="10">
        <f>IF(F7258&gt;0,H7258/F7258,"")</f>
        <v/>
      </c>
      <c r="L7258" s="16">
        <f>IF(AND(G7258&gt;0,H7258&gt;0),G7258/H7258,"")</f>
        <v/>
      </c>
    </row>
    <row r="7259">
      <c r="A7259" s="4" t="inlineStr">
        <is>
          <t>426</t>
        </is>
      </c>
      <c r="B7259" s="4" t="n">
        <v>4</v>
      </c>
      <c r="C7259" s="4" t="inlineStr">
        <is>
          <t>mule deer</t>
        </is>
      </c>
      <c r="D7259" s="4" t="n">
        <v>2016</v>
      </c>
      <c r="E7259" s="13" t="inlineStr">
        <is>
          <t>General</t>
        </is>
      </c>
      <c r="F7259" s="5" t="n"/>
      <c r="G7259" s="5" t="n"/>
      <c r="H7259" s="5" t="n">
        <v>662</v>
      </c>
      <c r="I7259" s="5" t="n">
        <v>612</v>
      </c>
      <c r="J7259" s="5" t="n">
        <v>50</v>
      </c>
      <c r="K7259" s="10">
        <f>IF(F7259&gt;0,H7259/F7259,"")</f>
        <v/>
      </c>
      <c r="L7259" s="16">
        <f>IF(AND(G7259&gt;0,H7259&gt;0),G7259/H7259,"")</f>
        <v/>
      </c>
    </row>
    <row r="7260">
      <c r="A7260" s="4" t="inlineStr">
        <is>
          <t>426</t>
        </is>
      </c>
      <c r="B7260" s="4" t="n">
        <v>4</v>
      </c>
      <c r="C7260" s="4" t="inlineStr">
        <is>
          <t>mule deer</t>
        </is>
      </c>
      <c r="D7260" s="4" t="n">
        <v>2017</v>
      </c>
      <c r="E7260" s="13" t="inlineStr">
        <is>
          <t>General</t>
        </is>
      </c>
      <c r="F7260" s="5" t="n">
        <v>1029</v>
      </c>
      <c r="G7260" s="5" t="n">
        <v>4809</v>
      </c>
      <c r="H7260" s="5" t="n">
        <v>664</v>
      </c>
      <c r="I7260" s="5" t="n">
        <v>619</v>
      </c>
      <c r="J7260" s="5" t="n">
        <v>42</v>
      </c>
      <c r="K7260" s="10">
        <f>IF(F7260&gt;0,H7260/F7260,"")</f>
        <v/>
      </c>
      <c r="L7260" s="16">
        <f>IF(AND(G7260&gt;0,H7260&gt;0),G7260/H7260,"")</f>
        <v/>
      </c>
    </row>
    <row r="7261">
      <c r="A7261" s="4" t="inlineStr">
        <is>
          <t>426</t>
        </is>
      </c>
      <c r="B7261" s="4" t="n">
        <v>4</v>
      </c>
      <c r="C7261" s="4" t="inlineStr">
        <is>
          <t>mule deer</t>
        </is>
      </c>
      <c r="D7261" s="4" t="n">
        <v>2018</v>
      </c>
      <c r="E7261" s="13" t="inlineStr">
        <is>
          <t>General</t>
        </is>
      </c>
      <c r="F7261" s="5" t="n"/>
      <c r="G7261" s="5" t="n"/>
      <c r="H7261" s="5" t="n">
        <v>636</v>
      </c>
      <c r="I7261" s="5" t="n">
        <v>570</v>
      </c>
      <c r="J7261" s="5" t="n">
        <v>63</v>
      </c>
      <c r="K7261" s="10">
        <f>IF(F7261&gt;0,H7261/F7261,"")</f>
        <v/>
      </c>
      <c r="L7261" s="16">
        <f>IF(AND(G7261&gt;0,H7261&gt;0),G7261/H7261,"")</f>
        <v/>
      </c>
    </row>
    <row r="7262">
      <c r="A7262" s="4" t="inlineStr">
        <is>
          <t>426</t>
        </is>
      </c>
      <c r="B7262" s="4" t="n">
        <v>4</v>
      </c>
      <c r="C7262" s="4" t="inlineStr">
        <is>
          <t>mule deer</t>
        </is>
      </c>
      <c r="D7262" s="4" t="n">
        <v>2019</v>
      </c>
      <c r="E7262" s="13" t="inlineStr">
        <is>
          <t>General</t>
        </is>
      </c>
      <c r="F7262" s="5" t="n">
        <v>1177</v>
      </c>
      <c r="G7262" s="5" t="n">
        <v>5752</v>
      </c>
      <c r="H7262" s="5" t="n">
        <v>692</v>
      </c>
      <c r="I7262" s="5" t="n">
        <v>631</v>
      </c>
      <c r="J7262" s="5" t="n">
        <v>61</v>
      </c>
      <c r="K7262" s="10">
        <f>IF(F7262&gt;0,H7262/F7262,"")</f>
        <v/>
      </c>
      <c r="L7262" s="16">
        <f>IF(AND(G7262&gt;0,H7262&gt;0),G7262/H7262,"")</f>
        <v/>
      </c>
    </row>
    <row r="7263">
      <c r="A7263" s="4" t="inlineStr">
        <is>
          <t>426</t>
        </is>
      </c>
      <c r="B7263" s="4" t="n">
        <v>4</v>
      </c>
      <c r="C7263" s="4" t="inlineStr">
        <is>
          <t>mule deer</t>
        </is>
      </c>
      <c r="D7263" s="4" t="n">
        <v>2020</v>
      </c>
      <c r="E7263" s="13" t="inlineStr">
        <is>
          <t>General</t>
        </is>
      </c>
      <c r="F7263" s="5" t="n"/>
      <c r="G7263" s="5" t="n"/>
      <c r="H7263" s="5" t="n">
        <v>720</v>
      </c>
      <c r="I7263" s="5" t="n">
        <v>643</v>
      </c>
      <c r="J7263" s="5" t="n">
        <v>77</v>
      </c>
      <c r="K7263" s="10">
        <f>IF(F7263&gt;0,H7263/F7263,"")</f>
        <v/>
      </c>
      <c r="L7263" s="16">
        <f>IF(AND(G7263&gt;0,H7263&gt;0),G7263/H7263,"")</f>
        <v/>
      </c>
    </row>
    <row r="7264">
      <c r="A7264" s="4" t="inlineStr">
        <is>
          <t>426</t>
        </is>
      </c>
      <c r="B7264" s="4" t="n">
        <v>4</v>
      </c>
      <c r="C7264" s="4" t="inlineStr">
        <is>
          <t>mule deer</t>
        </is>
      </c>
      <c r="D7264" s="4" t="n">
        <v>2021</v>
      </c>
      <c r="E7264" s="13" t="inlineStr">
        <is>
          <t>General</t>
        </is>
      </c>
      <c r="F7264" s="5" t="n">
        <v>1419</v>
      </c>
      <c r="G7264" s="5" t="n">
        <v>6958</v>
      </c>
      <c r="H7264" s="5" t="n">
        <v>725</v>
      </c>
      <c r="I7264" s="5" t="n">
        <v>635</v>
      </c>
      <c r="J7264" s="5" t="n">
        <v>90</v>
      </c>
      <c r="K7264" s="10">
        <f>IF(F7264&gt;0,H7264/F7264,"")</f>
        <v/>
      </c>
      <c r="L7264" s="16">
        <f>IF(AND(G7264&gt;0,H7264&gt;0),G7264/H7264,"")</f>
        <v/>
      </c>
    </row>
    <row r="7265">
      <c r="A7265" s="4" t="inlineStr">
        <is>
          <t>426</t>
        </is>
      </c>
      <c r="B7265" s="4" t="n">
        <v>4</v>
      </c>
      <c r="C7265" s="4" t="inlineStr">
        <is>
          <t>mule deer</t>
        </is>
      </c>
      <c r="D7265" s="4" t="n">
        <v>2022</v>
      </c>
      <c r="E7265" s="13" t="inlineStr">
        <is>
          <t>General</t>
        </is>
      </c>
      <c r="F7265" s="5" t="n"/>
      <c r="G7265" s="5" t="n"/>
      <c r="H7265" s="5" t="n">
        <v>556</v>
      </c>
      <c r="I7265" s="5" t="n">
        <v>475</v>
      </c>
      <c r="J7265" s="5" t="n">
        <v>81</v>
      </c>
      <c r="K7265" s="10">
        <f>IF(F7265&gt;0,H7265/F7265,"")</f>
        <v/>
      </c>
      <c r="L7265" s="16">
        <f>IF(AND(G7265&gt;0,H7265&gt;0),G7265/H7265,"")</f>
        <v/>
      </c>
    </row>
    <row r="7266">
      <c r="A7266" s="4" t="inlineStr">
        <is>
          <t>426</t>
        </is>
      </c>
      <c r="B7266" s="4" t="n">
        <v>4</v>
      </c>
      <c r="C7266" s="4" t="inlineStr">
        <is>
          <t>mule deer</t>
        </is>
      </c>
      <c r="D7266" s="4" t="n">
        <v>2023</v>
      </c>
      <c r="E7266" s="13" t="inlineStr">
        <is>
          <t>General</t>
        </is>
      </c>
      <c r="F7266" s="5" t="n">
        <v>1038</v>
      </c>
      <c r="G7266" s="5" t="n">
        <v>4844</v>
      </c>
      <c r="H7266" s="5" t="n">
        <v>519</v>
      </c>
      <c r="I7266" s="5" t="n">
        <v>486</v>
      </c>
      <c r="J7266" s="5" t="n">
        <v>32</v>
      </c>
      <c r="K7266" s="10">
        <f>IF(F7266&gt;0,H7266/F7266,"")</f>
        <v/>
      </c>
      <c r="L7266" s="16">
        <f>IF(AND(G7266&gt;0,H7266&gt;0),G7266/H7266,"")</f>
        <v/>
      </c>
    </row>
    <row r="7267">
      <c r="A7267" s="4" t="inlineStr">
        <is>
          <t>426</t>
        </is>
      </c>
      <c r="B7267" s="4" t="n">
        <v>4</v>
      </c>
      <c r="C7267" s="4" t="inlineStr">
        <is>
          <t>mule deer</t>
        </is>
      </c>
      <c r="D7267" s="4" t="n">
        <v>2024</v>
      </c>
      <c r="E7267" s="13" t="inlineStr">
        <is>
          <t>General</t>
        </is>
      </c>
      <c r="F7267" s="5" t="n"/>
      <c r="G7267" s="5" t="n"/>
      <c r="H7267" s="5" t="n">
        <v>498</v>
      </c>
      <c r="I7267" s="5" t="n">
        <v>477</v>
      </c>
      <c r="J7267" s="5" t="n">
        <v>21</v>
      </c>
      <c r="K7267" s="10">
        <f>IF(F7267&gt;0,H7267/F7267,"")</f>
        <v/>
      </c>
      <c r="L7267" s="16">
        <f>IF(AND(G7267&gt;0,H7267&gt;0),G7267/H7267,"")</f>
        <v/>
      </c>
    </row>
    <row r="7268">
      <c r="A7268" s="4" t="inlineStr">
        <is>
          <t>426</t>
        </is>
      </c>
      <c r="B7268" s="4" t="n">
        <v>4</v>
      </c>
      <c r="C7268" s="4" t="inlineStr">
        <is>
          <t>mule deer</t>
        </is>
      </c>
      <c r="D7268" s="4" t="n">
        <v>2025</v>
      </c>
      <c r="E7268" s="13" t="inlineStr">
        <is>
          <t>General</t>
        </is>
      </c>
      <c r="F7268" s="5" t="n">
        <v>835</v>
      </c>
      <c r="G7268" s="5" t="n">
        <v>4337</v>
      </c>
      <c r="H7268" s="5" t="n">
        <v>335</v>
      </c>
      <c r="I7268" s="5" t="n">
        <v>316</v>
      </c>
      <c r="J7268" s="5" t="n">
        <v>19</v>
      </c>
      <c r="K7268" s="10">
        <f>IF(F7268&gt;0,H7268/F7268,"")</f>
        <v/>
      </c>
      <c r="L7268" s="16">
        <f>IF(AND(G7268&gt;0,H7268&gt;0),G7268/H7268,"")</f>
        <v/>
      </c>
    </row>
    <row r="7269">
      <c r="A7269" s="4" t="inlineStr">
        <is>
          <t>432</t>
        </is>
      </c>
      <c r="B7269" s="4" t="n">
        <v>4</v>
      </c>
      <c r="C7269" s="4" t="inlineStr">
        <is>
          <t>mule deer</t>
        </is>
      </c>
      <c r="D7269" s="4" t="n">
        <v>2004</v>
      </c>
      <c r="E7269" s="13" t="inlineStr">
        <is>
          <t>General</t>
        </is>
      </c>
      <c r="F7269" s="5" t="n">
        <v>1033</v>
      </c>
      <c r="G7269" s="5" t="n">
        <v>4844</v>
      </c>
      <c r="H7269" s="5" t="n">
        <v>477</v>
      </c>
      <c r="I7269" s="5" t="n">
        <v>356</v>
      </c>
      <c r="J7269" s="5" t="n">
        <v>122</v>
      </c>
      <c r="K7269" s="10">
        <f>IF(F7269&gt;0,H7269/F7269,"")</f>
        <v/>
      </c>
      <c r="L7269" s="16">
        <f>IF(AND(G7269&gt;0,H7269&gt;0),G7269/H7269,"")</f>
        <v/>
      </c>
    </row>
    <row r="7270">
      <c r="A7270" s="4" t="inlineStr">
        <is>
          <t>432</t>
        </is>
      </c>
      <c r="B7270" s="4" t="n">
        <v>4</v>
      </c>
      <c r="C7270" s="4" t="inlineStr">
        <is>
          <t>mule deer</t>
        </is>
      </c>
      <c r="D7270" s="4" t="n">
        <v>2005</v>
      </c>
      <c r="E7270" s="13" t="inlineStr">
        <is>
          <t>General</t>
        </is>
      </c>
      <c r="F7270" s="5" t="n">
        <v>844</v>
      </c>
      <c r="G7270" s="5" t="n">
        <v>4017</v>
      </c>
      <c r="H7270" s="5" t="n">
        <v>355</v>
      </c>
      <c r="I7270" s="5" t="n">
        <v>259</v>
      </c>
      <c r="J7270" s="5" t="n">
        <v>96</v>
      </c>
      <c r="K7270" s="10">
        <f>IF(F7270&gt;0,H7270/F7270,"")</f>
        <v/>
      </c>
      <c r="L7270" s="16">
        <f>IF(AND(G7270&gt;0,H7270&gt;0),G7270/H7270,"")</f>
        <v/>
      </c>
    </row>
    <row r="7271">
      <c r="A7271" s="4" t="inlineStr">
        <is>
          <t>432</t>
        </is>
      </c>
      <c r="B7271" s="4" t="n">
        <v>4</v>
      </c>
      <c r="C7271" s="4" t="inlineStr">
        <is>
          <t>mule deer</t>
        </is>
      </c>
      <c r="D7271" s="4" t="n">
        <v>2006</v>
      </c>
      <c r="E7271" s="13" t="inlineStr">
        <is>
          <t>General</t>
        </is>
      </c>
      <c r="F7271" s="5" t="n">
        <v>928</v>
      </c>
      <c r="G7271" s="5" t="n">
        <v>5486</v>
      </c>
      <c r="H7271" s="5" t="n">
        <v>484</v>
      </c>
      <c r="I7271" s="5" t="n">
        <v>298</v>
      </c>
      <c r="J7271" s="5" t="n">
        <v>176</v>
      </c>
      <c r="K7271" s="10">
        <f>IF(F7271&gt;0,H7271/F7271,"")</f>
        <v/>
      </c>
      <c r="L7271" s="16">
        <f>IF(AND(G7271&gt;0,H7271&gt;0),G7271/H7271,"")</f>
        <v/>
      </c>
    </row>
    <row r="7272">
      <c r="A7272" s="4" t="inlineStr">
        <is>
          <t>432</t>
        </is>
      </c>
      <c r="B7272" s="4" t="n">
        <v>4</v>
      </c>
      <c r="C7272" s="4" t="inlineStr">
        <is>
          <t>mule deer</t>
        </is>
      </c>
      <c r="D7272" s="4" t="n">
        <v>2007</v>
      </c>
      <c r="E7272" s="13" t="inlineStr">
        <is>
          <t>General</t>
        </is>
      </c>
      <c r="F7272" s="5" t="n">
        <v>904</v>
      </c>
      <c r="G7272" s="5" t="n">
        <v>5143</v>
      </c>
      <c r="H7272" s="5" t="n">
        <v>405</v>
      </c>
      <c r="I7272" s="5" t="n">
        <v>178</v>
      </c>
      <c r="J7272" s="5" t="n">
        <v>223</v>
      </c>
      <c r="K7272" s="10">
        <f>IF(F7272&gt;0,H7272/F7272,"")</f>
        <v/>
      </c>
      <c r="L7272" s="16">
        <f>IF(AND(G7272&gt;0,H7272&gt;0),G7272/H7272,"")</f>
        <v/>
      </c>
    </row>
    <row r="7273">
      <c r="A7273" s="4" t="inlineStr">
        <is>
          <t>432</t>
        </is>
      </c>
      <c r="B7273" s="4" t="n">
        <v>4</v>
      </c>
      <c r="C7273" s="4" t="inlineStr">
        <is>
          <t>mule deer</t>
        </is>
      </c>
      <c r="D7273" s="4" t="n">
        <v>2008</v>
      </c>
      <c r="E7273" s="13" t="inlineStr">
        <is>
          <t>General</t>
        </is>
      </c>
      <c r="F7273" s="5" t="n">
        <v>919</v>
      </c>
      <c r="G7273" s="5" t="n">
        <v>4562</v>
      </c>
      <c r="H7273" s="5" t="n">
        <v>281</v>
      </c>
      <c r="I7273" s="5" t="n">
        <v>167</v>
      </c>
      <c r="J7273" s="5" t="n">
        <v>113</v>
      </c>
      <c r="K7273" s="10">
        <f>IF(F7273&gt;0,H7273/F7273,"")</f>
        <v/>
      </c>
      <c r="L7273" s="16">
        <f>IF(AND(G7273&gt;0,H7273&gt;0),G7273/H7273,"")</f>
        <v/>
      </c>
    </row>
    <row r="7274">
      <c r="A7274" s="4" t="inlineStr">
        <is>
          <t>432</t>
        </is>
      </c>
      <c r="B7274" s="4" t="n">
        <v>4</v>
      </c>
      <c r="C7274" s="4" t="inlineStr">
        <is>
          <t>mule deer</t>
        </is>
      </c>
      <c r="D7274" s="4" t="n">
        <v>2009</v>
      </c>
      <c r="E7274" s="13" t="inlineStr">
        <is>
          <t>General</t>
        </is>
      </c>
      <c r="F7274" s="5" t="n">
        <v>834</v>
      </c>
      <c r="G7274" s="5" t="n">
        <v>4016</v>
      </c>
      <c r="H7274" s="5" t="n">
        <v>218</v>
      </c>
      <c r="I7274" s="5" t="n">
        <v>162</v>
      </c>
      <c r="J7274" s="5" t="n">
        <v>53</v>
      </c>
      <c r="K7274" s="10">
        <f>IF(F7274&gt;0,H7274/F7274,"")</f>
        <v/>
      </c>
      <c r="L7274" s="16">
        <f>IF(AND(G7274&gt;0,H7274&gt;0),G7274/H7274,"")</f>
        <v/>
      </c>
    </row>
    <row r="7275">
      <c r="A7275" s="4" t="inlineStr">
        <is>
          <t>432</t>
        </is>
      </c>
      <c r="B7275" s="4" t="n">
        <v>4</v>
      </c>
      <c r="C7275" s="4" t="inlineStr">
        <is>
          <t>mule deer</t>
        </is>
      </c>
      <c r="D7275" s="4" t="n">
        <v>2010</v>
      </c>
      <c r="E7275" s="13" t="inlineStr">
        <is>
          <t>General</t>
        </is>
      </c>
      <c r="F7275" s="5" t="n">
        <v>816</v>
      </c>
      <c r="G7275" s="5" t="n">
        <v>3968</v>
      </c>
      <c r="H7275" s="5" t="n">
        <v>147</v>
      </c>
      <c r="I7275" s="5" t="n">
        <v>140</v>
      </c>
      <c r="J7275" s="5" t="n">
        <v>6</v>
      </c>
      <c r="K7275" s="10">
        <f>IF(F7275&gt;0,H7275/F7275,"")</f>
        <v/>
      </c>
      <c r="L7275" s="16">
        <f>IF(AND(G7275&gt;0,H7275&gt;0),G7275/H7275,"")</f>
        <v/>
      </c>
    </row>
    <row r="7276">
      <c r="A7276" s="4" t="inlineStr">
        <is>
          <t>432</t>
        </is>
      </c>
      <c r="B7276" s="4" t="n">
        <v>4</v>
      </c>
      <c r="C7276" s="4" t="inlineStr">
        <is>
          <t>mule deer</t>
        </is>
      </c>
      <c r="D7276" s="4" t="n">
        <v>2011</v>
      </c>
      <c r="E7276" s="13" t="inlineStr">
        <is>
          <t>General</t>
        </is>
      </c>
      <c r="F7276" s="5" t="n">
        <v>928</v>
      </c>
      <c r="G7276" s="5" t="n">
        <v>5362</v>
      </c>
      <c r="H7276" s="5" t="n">
        <v>185</v>
      </c>
      <c r="I7276" s="5" t="n">
        <v>175</v>
      </c>
      <c r="J7276" s="5" t="n">
        <v>10</v>
      </c>
      <c r="K7276" s="10">
        <f>IF(F7276&gt;0,H7276/F7276,"")</f>
        <v/>
      </c>
      <c r="L7276" s="16">
        <f>IF(AND(G7276&gt;0,H7276&gt;0),G7276/H7276,"")</f>
        <v/>
      </c>
    </row>
    <row r="7277">
      <c r="A7277" s="4" t="inlineStr">
        <is>
          <t>432</t>
        </is>
      </c>
      <c r="B7277" s="4" t="n">
        <v>4</v>
      </c>
      <c r="C7277" s="4" t="inlineStr">
        <is>
          <t>mule deer</t>
        </is>
      </c>
      <c r="D7277" s="4" t="n">
        <v>2012</v>
      </c>
      <c r="E7277" s="13" t="inlineStr">
        <is>
          <t>General</t>
        </is>
      </c>
      <c r="F7277" s="5" t="n"/>
      <c r="G7277" s="5" t="n"/>
      <c r="H7277" s="5" t="n">
        <v>178</v>
      </c>
      <c r="I7277" s="5" t="n">
        <v>173</v>
      </c>
      <c r="J7277" s="5" t="n">
        <v>5</v>
      </c>
      <c r="K7277" s="10">
        <f>IF(F7277&gt;0,H7277/F7277,"")</f>
        <v/>
      </c>
      <c r="L7277" s="16">
        <f>IF(AND(G7277&gt;0,H7277&gt;0),G7277/H7277,"")</f>
        <v/>
      </c>
    </row>
    <row r="7278">
      <c r="A7278" s="4" t="inlineStr">
        <is>
          <t>432</t>
        </is>
      </c>
      <c r="B7278" s="4" t="n">
        <v>4</v>
      </c>
      <c r="C7278" s="4" t="inlineStr">
        <is>
          <t>mule deer</t>
        </is>
      </c>
      <c r="D7278" s="4" t="n">
        <v>2013</v>
      </c>
      <c r="E7278" s="13" t="inlineStr">
        <is>
          <t>General</t>
        </is>
      </c>
      <c r="F7278" s="5" t="n">
        <v>999</v>
      </c>
      <c r="G7278" s="5" t="n">
        <v>5511</v>
      </c>
      <c r="H7278" s="5" t="n">
        <v>243</v>
      </c>
      <c r="I7278" s="5" t="n">
        <v>228</v>
      </c>
      <c r="J7278" s="5" t="n">
        <v>15</v>
      </c>
      <c r="K7278" s="10">
        <f>IF(F7278&gt;0,H7278/F7278,"")</f>
        <v/>
      </c>
      <c r="L7278" s="16">
        <f>IF(AND(G7278&gt;0,H7278&gt;0),G7278/H7278,"")</f>
        <v/>
      </c>
    </row>
    <row r="7279">
      <c r="A7279" s="4" t="inlineStr">
        <is>
          <t>432</t>
        </is>
      </c>
      <c r="B7279" s="4" t="n">
        <v>4</v>
      </c>
      <c r="C7279" s="4" t="inlineStr">
        <is>
          <t>mule deer</t>
        </is>
      </c>
      <c r="D7279" s="4" t="n">
        <v>2014</v>
      </c>
      <c r="E7279" s="13" t="inlineStr">
        <is>
          <t>General</t>
        </is>
      </c>
      <c r="F7279" s="5" t="n"/>
      <c r="G7279" s="5" t="n"/>
      <c r="H7279" s="5" t="n">
        <v>252</v>
      </c>
      <c r="I7279" s="5" t="n">
        <v>252</v>
      </c>
      <c r="J7279" s="5" t="n">
        <v>0</v>
      </c>
      <c r="K7279" s="10">
        <f>IF(F7279&gt;0,H7279/F7279,"")</f>
        <v/>
      </c>
      <c r="L7279" s="16">
        <f>IF(AND(G7279&gt;0,H7279&gt;0),G7279/H7279,"")</f>
        <v/>
      </c>
    </row>
    <row r="7280">
      <c r="A7280" s="4" t="inlineStr">
        <is>
          <t>432</t>
        </is>
      </c>
      <c r="B7280" s="4" t="n">
        <v>4</v>
      </c>
      <c r="C7280" s="4" t="inlineStr">
        <is>
          <t>mule deer</t>
        </is>
      </c>
      <c r="D7280" s="4" t="n">
        <v>2015</v>
      </c>
      <c r="E7280" s="13" t="inlineStr">
        <is>
          <t>General</t>
        </is>
      </c>
      <c r="F7280" s="5" t="n"/>
      <c r="G7280" s="5" t="n"/>
      <c r="H7280" s="5" t="n">
        <v>284</v>
      </c>
      <c r="I7280" s="5" t="n">
        <v>281</v>
      </c>
      <c r="J7280" s="5" t="n">
        <v>3</v>
      </c>
      <c r="K7280" s="10">
        <f>IF(F7280&gt;0,H7280/F7280,"")</f>
        <v/>
      </c>
      <c r="L7280" s="16">
        <f>IF(AND(G7280&gt;0,H7280&gt;0),G7280/H7280,"")</f>
        <v/>
      </c>
    </row>
    <row r="7281">
      <c r="A7281" s="4" t="inlineStr">
        <is>
          <t>432</t>
        </is>
      </c>
      <c r="B7281" s="4" t="n">
        <v>4</v>
      </c>
      <c r="C7281" s="4" t="inlineStr">
        <is>
          <t>mule deer</t>
        </is>
      </c>
      <c r="D7281" s="4" t="n">
        <v>2016</v>
      </c>
      <c r="E7281" s="13" t="inlineStr">
        <is>
          <t>General</t>
        </is>
      </c>
      <c r="F7281" s="5" t="n"/>
      <c r="G7281" s="5" t="n"/>
      <c r="H7281" s="5" t="n">
        <v>347</v>
      </c>
      <c r="I7281" s="5" t="n">
        <v>290</v>
      </c>
      <c r="J7281" s="5" t="n">
        <v>57</v>
      </c>
      <c r="K7281" s="10">
        <f>IF(F7281&gt;0,H7281/F7281,"")</f>
        <v/>
      </c>
      <c r="L7281" s="16">
        <f>IF(AND(G7281&gt;0,H7281&gt;0),G7281/H7281,"")</f>
        <v/>
      </c>
    </row>
    <row r="7282">
      <c r="A7282" s="4" t="inlineStr">
        <is>
          <t>432</t>
        </is>
      </c>
      <c r="B7282" s="4" t="n">
        <v>4</v>
      </c>
      <c r="C7282" s="4" t="inlineStr">
        <is>
          <t>mule deer</t>
        </is>
      </c>
      <c r="D7282" s="4" t="n">
        <v>2017</v>
      </c>
      <c r="E7282" s="13" t="inlineStr">
        <is>
          <t>General</t>
        </is>
      </c>
      <c r="F7282" s="5" t="n">
        <v>919</v>
      </c>
      <c r="G7282" s="5" t="n">
        <v>4590</v>
      </c>
      <c r="H7282" s="5" t="n">
        <v>363</v>
      </c>
      <c r="I7282" s="5" t="n">
        <v>319</v>
      </c>
      <c r="J7282" s="5" t="n">
        <v>44</v>
      </c>
      <c r="K7282" s="10">
        <f>IF(F7282&gt;0,H7282/F7282,"")</f>
        <v/>
      </c>
      <c r="L7282" s="16">
        <f>IF(AND(G7282&gt;0,H7282&gt;0),G7282/H7282,"")</f>
        <v/>
      </c>
    </row>
    <row r="7283">
      <c r="A7283" s="4" t="inlineStr">
        <is>
          <t>432</t>
        </is>
      </c>
      <c r="B7283" s="4" t="n">
        <v>4</v>
      </c>
      <c r="C7283" s="4" t="inlineStr">
        <is>
          <t>mule deer</t>
        </is>
      </c>
      <c r="D7283" s="4" t="n">
        <v>2018</v>
      </c>
      <c r="E7283" s="13" t="inlineStr">
        <is>
          <t>General</t>
        </is>
      </c>
      <c r="F7283" s="5" t="n"/>
      <c r="G7283" s="5" t="n"/>
      <c r="H7283" s="5" t="n">
        <v>277</v>
      </c>
      <c r="I7283" s="5" t="n">
        <v>252</v>
      </c>
      <c r="J7283" s="5" t="n">
        <v>25</v>
      </c>
      <c r="K7283" s="10">
        <f>IF(F7283&gt;0,H7283/F7283,"")</f>
        <v/>
      </c>
      <c r="L7283" s="16">
        <f>IF(AND(G7283&gt;0,H7283&gt;0),G7283/H7283,"")</f>
        <v/>
      </c>
    </row>
    <row r="7284">
      <c r="A7284" s="4" t="inlineStr">
        <is>
          <t>432</t>
        </is>
      </c>
      <c r="B7284" s="4" t="n">
        <v>4</v>
      </c>
      <c r="C7284" s="4" t="inlineStr">
        <is>
          <t>mule deer</t>
        </is>
      </c>
      <c r="D7284" s="4" t="n">
        <v>2019</v>
      </c>
      <c r="E7284" s="13" t="inlineStr">
        <is>
          <t>General</t>
        </is>
      </c>
      <c r="F7284" s="5" t="n">
        <v>721</v>
      </c>
      <c r="G7284" s="5" t="n">
        <v>4186</v>
      </c>
      <c r="H7284" s="5" t="n">
        <v>205</v>
      </c>
      <c r="I7284" s="5" t="n">
        <v>188</v>
      </c>
      <c r="J7284" s="5" t="n">
        <v>17</v>
      </c>
      <c r="K7284" s="10">
        <f>IF(F7284&gt;0,H7284/F7284,"")</f>
        <v/>
      </c>
      <c r="L7284" s="16">
        <f>IF(AND(G7284&gt;0,H7284&gt;0),G7284/H7284,"")</f>
        <v/>
      </c>
    </row>
    <row r="7285">
      <c r="A7285" s="4" t="inlineStr">
        <is>
          <t>432</t>
        </is>
      </c>
      <c r="B7285" s="4" t="n">
        <v>4</v>
      </c>
      <c r="C7285" s="4" t="inlineStr">
        <is>
          <t>mule deer</t>
        </is>
      </c>
      <c r="D7285" s="4" t="n">
        <v>2020</v>
      </c>
      <c r="E7285" s="13" t="inlineStr">
        <is>
          <t>General</t>
        </is>
      </c>
      <c r="F7285" s="5" t="n"/>
      <c r="G7285" s="5" t="n"/>
      <c r="H7285" s="5" t="n">
        <v>254</v>
      </c>
      <c r="I7285" s="5" t="n">
        <v>220</v>
      </c>
      <c r="J7285" s="5" t="n">
        <v>31</v>
      </c>
      <c r="K7285" s="10">
        <f>IF(F7285&gt;0,H7285/F7285,"")</f>
        <v/>
      </c>
      <c r="L7285" s="16">
        <f>IF(AND(G7285&gt;0,H7285&gt;0),G7285/H7285,"")</f>
        <v/>
      </c>
    </row>
    <row r="7286">
      <c r="A7286" s="4" t="inlineStr">
        <is>
          <t>432</t>
        </is>
      </c>
      <c r="B7286" s="4" t="n">
        <v>4</v>
      </c>
      <c r="C7286" s="4" t="inlineStr">
        <is>
          <t>mule deer</t>
        </is>
      </c>
      <c r="D7286" s="4" t="n">
        <v>2021</v>
      </c>
      <c r="E7286" s="13" t="inlineStr">
        <is>
          <t>General</t>
        </is>
      </c>
      <c r="F7286" s="5" t="n">
        <v>691</v>
      </c>
      <c r="G7286" s="5" t="n">
        <v>3436</v>
      </c>
      <c r="H7286" s="5" t="n">
        <v>208</v>
      </c>
      <c r="I7286" s="5" t="n">
        <v>176</v>
      </c>
      <c r="J7286" s="5" t="n">
        <v>32</v>
      </c>
      <c r="K7286" s="10">
        <f>IF(F7286&gt;0,H7286/F7286,"")</f>
        <v/>
      </c>
      <c r="L7286" s="16">
        <f>IF(AND(G7286&gt;0,H7286&gt;0),G7286/H7286,"")</f>
        <v/>
      </c>
    </row>
    <row r="7287">
      <c r="A7287" s="4" t="inlineStr">
        <is>
          <t>441</t>
        </is>
      </c>
      <c r="B7287" s="4" t="n">
        <v>4</v>
      </c>
      <c r="C7287" s="4" t="inlineStr">
        <is>
          <t>mule deer</t>
        </is>
      </c>
      <c r="D7287" s="4" t="n">
        <v>2004</v>
      </c>
      <c r="E7287" s="13" t="inlineStr">
        <is>
          <t>General</t>
        </is>
      </c>
      <c r="F7287" s="5" t="n">
        <v>638</v>
      </c>
      <c r="G7287" s="5" t="n">
        <v>3373</v>
      </c>
      <c r="H7287" s="5" t="n">
        <v>240</v>
      </c>
      <c r="I7287" s="5" t="n">
        <v>175</v>
      </c>
      <c r="J7287" s="5" t="n">
        <v>64</v>
      </c>
      <c r="K7287" s="10">
        <f>IF(F7287&gt;0,H7287/F7287,"")</f>
        <v/>
      </c>
      <c r="L7287" s="16">
        <f>IF(AND(G7287&gt;0,H7287&gt;0),G7287/H7287,"")</f>
        <v/>
      </c>
    </row>
    <row r="7288">
      <c r="A7288" s="4" t="inlineStr">
        <is>
          <t>441</t>
        </is>
      </c>
      <c r="B7288" s="4" t="n">
        <v>4</v>
      </c>
      <c r="C7288" s="4" t="inlineStr">
        <is>
          <t>mule deer</t>
        </is>
      </c>
      <c r="D7288" s="4" t="n">
        <v>2005</v>
      </c>
      <c r="E7288" s="13" t="inlineStr">
        <is>
          <t>General</t>
        </is>
      </c>
      <c r="F7288" s="5" t="n">
        <v>651</v>
      </c>
      <c r="G7288" s="5" t="n">
        <v>3094</v>
      </c>
      <c r="H7288" s="5" t="n">
        <v>192</v>
      </c>
      <c r="I7288" s="5" t="n">
        <v>137</v>
      </c>
      <c r="J7288" s="5" t="n">
        <v>55</v>
      </c>
      <c r="K7288" s="10">
        <f>IF(F7288&gt;0,H7288/F7288,"")</f>
        <v/>
      </c>
      <c r="L7288" s="16">
        <f>IF(AND(G7288&gt;0,H7288&gt;0),G7288/H7288,"")</f>
        <v/>
      </c>
    </row>
    <row r="7289">
      <c r="A7289" s="4" t="inlineStr">
        <is>
          <t>441</t>
        </is>
      </c>
      <c r="B7289" s="4" t="n">
        <v>4</v>
      </c>
      <c r="C7289" s="4" t="inlineStr">
        <is>
          <t>mule deer</t>
        </is>
      </c>
      <c r="D7289" s="4" t="n">
        <v>2006</v>
      </c>
      <c r="E7289" s="13" t="inlineStr">
        <is>
          <t>General</t>
        </is>
      </c>
      <c r="F7289" s="5" t="n">
        <v>684</v>
      </c>
      <c r="G7289" s="5" t="n">
        <v>3564</v>
      </c>
      <c r="H7289" s="5" t="n">
        <v>302</v>
      </c>
      <c r="I7289" s="5" t="n">
        <v>218</v>
      </c>
      <c r="J7289" s="5" t="n">
        <v>83</v>
      </c>
      <c r="K7289" s="10">
        <f>IF(F7289&gt;0,H7289/F7289,"")</f>
        <v/>
      </c>
      <c r="L7289" s="16">
        <f>IF(AND(G7289&gt;0,H7289&gt;0),G7289/H7289,"")</f>
        <v/>
      </c>
    </row>
    <row r="7290">
      <c r="A7290" s="4" t="inlineStr">
        <is>
          <t>441</t>
        </is>
      </c>
      <c r="B7290" s="4" t="n">
        <v>4</v>
      </c>
      <c r="C7290" s="4" t="inlineStr">
        <is>
          <t>mule deer</t>
        </is>
      </c>
      <c r="D7290" s="4" t="n">
        <v>2007</v>
      </c>
      <c r="E7290" s="13" t="inlineStr">
        <is>
          <t>General</t>
        </is>
      </c>
      <c r="F7290" s="5" t="n">
        <v>818</v>
      </c>
      <c r="G7290" s="5" t="n">
        <v>3921</v>
      </c>
      <c r="H7290" s="5" t="n">
        <v>365</v>
      </c>
      <c r="I7290" s="5" t="n">
        <v>176</v>
      </c>
      <c r="J7290" s="5" t="n">
        <v>185</v>
      </c>
      <c r="K7290" s="10">
        <f>IF(F7290&gt;0,H7290/F7290,"")</f>
        <v/>
      </c>
      <c r="L7290" s="16">
        <f>IF(AND(G7290&gt;0,H7290&gt;0),G7290/H7290,"")</f>
        <v/>
      </c>
    </row>
    <row r="7291">
      <c r="A7291" s="4" t="inlineStr">
        <is>
          <t>441</t>
        </is>
      </c>
      <c r="B7291" s="4" t="n">
        <v>4</v>
      </c>
      <c r="C7291" s="4" t="inlineStr">
        <is>
          <t>mule deer</t>
        </is>
      </c>
      <c r="D7291" s="4" t="n">
        <v>2008</v>
      </c>
      <c r="E7291" s="13" t="inlineStr">
        <is>
          <t>General</t>
        </is>
      </c>
      <c r="F7291" s="5" t="n">
        <v>860</v>
      </c>
      <c r="G7291" s="5" t="n">
        <v>4833</v>
      </c>
      <c r="H7291" s="5" t="n">
        <v>269</v>
      </c>
      <c r="I7291" s="5" t="n">
        <v>183</v>
      </c>
      <c r="J7291" s="5" t="n">
        <v>86</v>
      </c>
      <c r="K7291" s="10">
        <f>IF(F7291&gt;0,H7291/F7291,"")</f>
        <v/>
      </c>
      <c r="L7291" s="16">
        <f>IF(AND(G7291&gt;0,H7291&gt;0),G7291/H7291,"")</f>
        <v/>
      </c>
    </row>
    <row r="7292">
      <c r="A7292" s="4" t="inlineStr">
        <is>
          <t>441</t>
        </is>
      </c>
      <c r="B7292" s="4" t="n">
        <v>4</v>
      </c>
      <c r="C7292" s="4" t="inlineStr">
        <is>
          <t>mule deer</t>
        </is>
      </c>
      <c r="D7292" s="4" t="n">
        <v>2009</v>
      </c>
      <c r="E7292" s="13" t="inlineStr">
        <is>
          <t>General</t>
        </is>
      </c>
      <c r="F7292" s="5" t="n">
        <v>846</v>
      </c>
      <c r="G7292" s="5" t="n">
        <v>4442</v>
      </c>
      <c r="H7292" s="5" t="n">
        <v>179</v>
      </c>
      <c r="I7292" s="5" t="n">
        <v>111</v>
      </c>
      <c r="J7292" s="5" t="n">
        <v>69</v>
      </c>
      <c r="K7292" s="10">
        <f>IF(F7292&gt;0,H7292/F7292,"")</f>
        <v/>
      </c>
      <c r="L7292" s="16">
        <f>IF(AND(G7292&gt;0,H7292&gt;0),G7292/H7292,"")</f>
        <v/>
      </c>
    </row>
    <row r="7293">
      <c r="A7293" s="4" t="inlineStr">
        <is>
          <t>441</t>
        </is>
      </c>
      <c r="B7293" s="4" t="n">
        <v>4</v>
      </c>
      <c r="C7293" s="4" t="inlineStr">
        <is>
          <t>mule deer</t>
        </is>
      </c>
      <c r="D7293" s="4" t="n">
        <v>2010</v>
      </c>
      <c r="E7293" s="13" t="inlineStr">
        <is>
          <t>General</t>
        </is>
      </c>
      <c r="F7293" s="5" t="n">
        <v>823</v>
      </c>
      <c r="G7293" s="5" t="n">
        <v>4302</v>
      </c>
      <c r="H7293" s="5" t="n">
        <v>155</v>
      </c>
      <c r="I7293" s="5" t="n">
        <v>116</v>
      </c>
      <c r="J7293" s="5" t="n">
        <v>36</v>
      </c>
      <c r="K7293" s="10">
        <f>IF(F7293&gt;0,H7293/F7293,"")</f>
        <v/>
      </c>
      <c r="L7293" s="16">
        <f>IF(AND(G7293&gt;0,H7293&gt;0),G7293/H7293,"")</f>
        <v/>
      </c>
    </row>
    <row r="7294">
      <c r="A7294" s="4" t="inlineStr">
        <is>
          <t>441</t>
        </is>
      </c>
      <c r="B7294" s="4" t="n">
        <v>4</v>
      </c>
      <c r="C7294" s="4" t="inlineStr">
        <is>
          <t>mule deer</t>
        </is>
      </c>
      <c r="D7294" s="4" t="n">
        <v>2011</v>
      </c>
      <c r="E7294" s="13" t="inlineStr">
        <is>
          <t>General</t>
        </is>
      </c>
      <c r="F7294" s="5" t="n">
        <v>832</v>
      </c>
      <c r="G7294" s="5" t="n">
        <v>4402</v>
      </c>
      <c r="H7294" s="5" t="n">
        <v>167</v>
      </c>
      <c r="I7294" s="5" t="n">
        <v>118</v>
      </c>
      <c r="J7294" s="5" t="n">
        <v>48</v>
      </c>
      <c r="K7294" s="10">
        <f>IF(F7294&gt;0,H7294/F7294,"")</f>
        <v/>
      </c>
      <c r="L7294" s="16">
        <f>IF(AND(G7294&gt;0,H7294&gt;0),G7294/H7294,"")</f>
        <v/>
      </c>
    </row>
    <row r="7295">
      <c r="A7295" s="4" t="inlineStr">
        <is>
          <t>441</t>
        </is>
      </c>
      <c r="B7295" s="4" t="n">
        <v>4</v>
      </c>
      <c r="C7295" s="4" t="inlineStr">
        <is>
          <t>mule deer</t>
        </is>
      </c>
      <c r="D7295" s="4" t="n">
        <v>2012</v>
      </c>
      <c r="E7295" s="13" t="inlineStr">
        <is>
          <t>General</t>
        </is>
      </c>
      <c r="F7295" s="5" t="n"/>
      <c r="G7295" s="5" t="n"/>
      <c r="H7295" s="5" t="n">
        <v>184</v>
      </c>
      <c r="I7295" s="5" t="n">
        <v>141</v>
      </c>
      <c r="J7295" s="5" t="n">
        <v>43</v>
      </c>
      <c r="K7295" s="10">
        <f>IF(F7295&gt;0,H7295/F7295,"")</f>
        <v/>
      </c>
      <c r="L7295" s="16">
        <f>IF(AND(G7295&gt;0,H7295&gt;0),G7295/H7295,"")</f>
        <v/>
      </c>
    </row>
    <row r="7296">
      <c r="A7296" s="4" t="inlineStr">
        <is>
          <t>441</t>
        </is>
      </c>
      <c r="B7296" s="4" t="n">
        <v>4</v>
      </c>
      <c r="C7296" s="4" t="inlineStr">
        <is>
          <t>mule deer</t>
        </is>
      </c>
      <c r="D7296" s="4" t="n">
        <v>2013</v>
      </c>
      <c r="E7296" s="13" t="inlineStr">
        <is>
          <t>General</t>
        </is>
      </c>
      <c r="F7296" s="5" t="n">
        <v>860</v>
      </c>
      <c r="G7296" s="5" t="n">
        <v>4506</v>
      </c>
      <c r="H7296" s="5" t="n">
        <v>210</v>
      </c>
      <c r="I7296" s="5" t="n">
        <v>169</v>
      </c>
      <c r="J7296" s="5" t="n">
        <v>41</v>
      </c>
      <c r="K7296" s="10">
        <f>IF(F7296&gt;0,H7296/F7296,"")</f>
        <v/>
      </c>
      <c r="L7296" s="16">
        <f>IF(AND(G7296&gt;0,H7296&gt;0),G7296/H7296,"")</f>
        <v/>
      </c>
    </row>
    <row r="7297">
      <c r="A7297" s="4" t="inlineStr">
        <is>
          <t>441</t>
        </is>
      </c>
      <c r="B7297" s="4" t="n">
        <v>4</v>
      </c>
      <c r="C7297" s="4" t="inlineStr">
        <is>
          <t>mule deer</t>
        </is>
      </c>
      <c r="D7297" s="4" t="n">
        <v>2014</v>
      </c>
      <c r="E7297" s="13" t="inlineStr">
        <is>
          <t>General</t>
        </is>
      </c>
      <c r="F7297" s="5" t="n"/>
      <c r="G7297" s="5" t="n"/>
      <c r="H7297" s="5" t="n">
        <v>127</v>
      </c>
      <c r="I7297" s="5" t="n">
        <v>124</v>
      </c>
      <c r="J7297" s="5" t="n">
        <v>3</v>
      </c>
      <c r="K7297" s="10">
        <f>IF(F7297&gt;0,H7297/F7297,"")</f>
        <v/>
      </c>
      <c r="L7297" s="16">
        <f>IF(AND(G7297&gt;0,H7297&gt;0),G7297/H7297,"")</f>
        <v/>
      </c>
    </row>
    <row r="7298">
      <c r="A7298" s="4" t="inlineStr">
        <is>
          <t>441</t>
        </is>
      </c>
      <c r="B7298" s="4" t="n">
        <v>4</v>
      </c>
      <c r="C7298" s="4" t="inlineStr">
        <is>
          <t>mule deer</t>
        </is>
      </c>
      <c r="D7298" s="4" t="n">
        <v>2015</v>
      </c>
      <c r="E7298" s="13" t="inlineStr">
        <is>
          <t>General</t>
        </is>
      </c>
      <c r="F7298" s="5" t="n"/>
      <c r="G7298" s="5" t="n"/>
      <c r="H7298" s="5" t="n">
        <v>98</v>
      </c>
      <c r="I7298" s="5" t="n">
        <v>97</v>
      </c>
      <c r="J7298" s="5" t="n">
        <v>2</v>
      </c>
      <c r="K7298" s="10">
        <f>IF(F7298&gt;0,H7298/F7298,"")</f>
        <v/>
      </c>
      <c r="L7298" s="16">
        <f>IF(AND(G7298&gt;0,H7298&gt;0),G7298/H7298,"")</f>
        <v/>
      </c>
    </row>
    <row r="7299">
      <c r="A7299" s="4" t="inlineStr">
        <is>
          <t>441</t>
        </is>
      </c>
      <c r="B7299" s="4" t="n">
        <v>4</v>
      </c>
      <c r="C7299" s="4" t="inlineStr">
        <is>
          <t>mule deer</t>
        </is>
      </c>
      <c r="D7299" s="4" t="n">
        <v>2016</v>
      </c>
      <c r="E7299" s="13" t="inlineStr">
        <is>
          <t>General</t>
        </is>
      </c>
      <c r="F7299" s="5" t="n"/>
      <c r="G7299" s="5" t="n"/>
      <c r="H7299" s="5" t="n">
        <v>167</v>
      </c>
      <c r="I7299" s="5" t="n">
        <v>161</v>
      </c>
      <c r="J7299" s="5" t="n">
        <v>5</v>
      </c>
      <c r="K7299" s="10">
        <f>IF(F7299&gt;0,H7299/F7299,"")</f>
        <v/>
      </c>
      <c r="L7299" s="16">
        <f>IF(AND(G7299&gt;0,H7299&gt;0),G7299/H7299,"")</f>
        <v/>
      </c>
    </row>
    <row r="7300">
      <c r="A7300" s="4" t="inlineStr">
        <is>
          <t>441</t>
        </is>
      </c>
      <c r="B7300" s="4" t="n">
        <v>4</v>
      </c>
      <c r="C7300" s="4" t="inlineStr">
        <is>
          <t>mule deer</t>
        </is>
      </c>
      <c r="D7300" s="4" t="n">
        <v>2017</v>
      </c>
      <c r="E7300" s="13" t="inlineStr">
        <is>
          <t>General</t>
        </is>
      </c>
      <c r="F7300" s="5" t="n">
        <v>637</v>
      </c>
      <c r="G7300" s="5" t="n">
        <v>3313</v>
      </c>
      <c r="H7300" s="5" t="n">
        <v>122</v>
      </c>
      <c r="I7300" s="5" t="n">
        <v>113</v>
      </c>
      <c r="J7300" s="5" t="n">
        <v>9</v>
      </c>
      <c r="K7300" s="10">
        <f>IF(F7300&gt;0,H7300/F7300,"")</f>
        <v/>
      </c>
      <c r="L7300" s="16">
        <f>IF(AND(G7300&gt;0,H7300&gt;0),G7300/H7300,"")</f>
        <v/>
      </c>
    </row>
    <row r="7301">
      <c r="A7301" s="4" t="inlineStr">
        <is>
          <t>441</t>
        </is>
      </c>
      <c r="B7301" s="4" t="n">
        <v>4</v>
      </c>
      <c r="C7301" s="4" t="inlineStr">
        <is>
          <t>mule deer</t>
        </is>
      </c>
      <c r="D7301" s="4" t="n">
        <v>2018</v>
      </c>
      <c r="E7301" s="13" t="inlineStr">
        <is>
          <t>General</t>
        </is>
      </c>
      <c r="F7301" s="5" t="n"/>
      <c r="G7301" s="5" t="n"/>
      <c r="H7301" s="5" t="n">
        <v>81</v>
      </c>
      <c r="I7301" s="5" t="n">
        <v>64</v>
      </c>
      <c r="J7301" s="5" t="n">
        <v>17</v>
      </c>
      <c r="K7301" s="10">
        <f>IF(F7301&gt;0,H7301/F7301,"")</f>
        <v/>
      </c>
      <c r="L7301" s="16">
        <f>IF(AND(G7301&gt;0,H7301&gt;0),G7301/H7301,"")</f>
        <v/>
      </c>
    </row>
    <row r="7302">
      <c r="A7302" s="4" t="inlineStr">
        <is>
          <t>441</t>
        </is>
      </c>
      <c r="B7302" s="4" t="n">
        <v>4</v>
      </c>
      <c r="C7302" s="4" t="inlineStr">
        <is>
          <t>mule deer</t>
        </is>
      </c>
      <c r="D7302" s="4" t="n">
        <v>2019</v>
      </c>
      <c r="E7302" s="13" t="inlineStr">
        <is>
          <t>General</t>
        </is>
      </c>
      <c r="F7302" s="5" t="n">
        <v>602</v>
      </c>
      <c r="G7302" s="5" t="n">
        <v>3235</v>
      </c>
      <c r="H7302" s="5" t="n">
        <v>145</v>
      </c>
      <c r="I7302" s="5" t="n">
        <v>125</v>
      </c>
      <c r="J7302" s="5" t="n">
        <v>20</v>
      </c>
      <c r="K7302" s="10">
        <f>IF(F7302&gt;0,H7302/F7302,"")</f>
        <v/>
      </c>
      <c r="L7302" s="16">
        <f>IF(AND(G7302&gt;0,H7302&gt;0),G7302/H7302,"")</f>
        <v/>
      </c>
    </row>
    <row r="7303">
      <c r="A7303" s="4" t="inlineStr">
        <is>
          <t>441</t>
        </is>
      </c>
      <c r="B7303" s="4" t="n">
        <v>4</v>
      </c>
      <c r="C7303" s="4" t="inlineStr">
        <is>
          <t>mule deer</t>
        </is>
      </c>
      <c r="D7303" s="4" t="n">
        <v>2020</v>
      </c>
      <c r="E7303" s="13" t="inlineStr">
        <is>
          <t>General</t>
        </is>
      </c>
      <c r="F7303" s="5" t="n"/>
      <c r="G7303" s="5" t="n"/>
      <c r="H7303" s="5" t="n">
        <v>83</v>
      </c>
      <c r="I7303" s="5" t="n">
        <v>69</v>
      </c>
      <c r="J7303" s="5" t="n">
        <v>14</v>
      </c>
      <c r="K7303" s="10">
        <f>IF(F7303&gt;0,H7303/F7303,"")</f>
        <v/>
      </c>
      <c r="L7303" s="16">
        <f>IF(AND(G7303&gt;0,H7303&gt;0),G7303/H7303,"")</f>
        <v/>
      </c>
    </row>
    <row r="7304">
      <c r="A7304" s="4" t="inlineStr">
        <is>
          <t>441</t>
        </is>
      </c>
      <c r="B7304" s="4" t="n">
        <v>4</v>
      </c>
      <c r="C7304" s="4" t="inlineStr">
        <is>
          <t>mule deer</t>
        </is>
      </c>
      <c r="D7304" s="4" t="n">
        <v>2021</v>
      </c>
      <c r="E7304" s="13" t="inlineStr">
        <is>
          <t>General</t>
        </is>
      </c>
      <c r="F7304" s="5" t="n">
        <v>526</v>
      </c>
      <c r="G7304" s="5" t="n">
        <v>3273</v>
      </c>
      <c r="H7304" s="5" t="n">
        <v>77</v>
      </c>
      <c r="I7304" s="5" t="n">
        <v>67</v>
      </c>
      <c r="J7304" s="5" t="n">
        <v>10</v>
      </c>
      <c r="K7304" s="10">
        <f>IF(F7304&gt;0,H7304/F7304,"")</f>
        <v/>
      </c>
      <c r="L7304" s="16">
        <f>IF(AND(G7304&gt;0,H7304&gt;0),G7304/H7304,"")</f>
        <v/>
      </c>
    </row>
    <row r="7305">
      <c r="A7305" s="4" t="inlineStr">
        <is>
          <t>441</t>
        </is>
      </c>
      <c r="B7305" s="4" t="n">
        <v>4</v>
      </c>
      <c r="C7305" s="4" t="inlineStr">
        <is>
          <t>mule deer</t>
        </is>
      </c>
      <c r="D7305" s="4" t="n">
        <v>2022</v>
      </c>
      <c r="E7305" s="13" t="inlineStr">
        <is>
          <t>General</t>
        </is>
      </c>
      <c r="F7305" s="5" t="n"/>
      <c r="G7305" s="5" t="n"/>
      <c r="H7305" s="5" t="n">
        <v>71</v>
      </c>
      <c r="I7305" s="5" t="n">
        <v>64</v>
      </c>
      <c r="J7305" s="5" t="n">
        <v>7</v>
      </c>
      <c r="K7305" s="10">
        <f>IF(F7305&gt;0,H7305/F7305,"")</f>
        <v/>
      </c>
      <c r="L7305" s="16">
        <f>IF(AND(G7305&gt;0,H7305&gt;0),G7305/H7305,"")</f>
        <v/>
      </c>
    </row>
    <row r="7306">
      <c r="A7306" s="4" t="inlineStr">
        <is>
          <t>441</t>
        </is>
      </c>
      <c r="B7306" s="4" t="n">
        <v>4</v>
      </c>
      <c r="C7306" s="4" t="inlineStr">
        <is>
          <t>mule deer</t>
        </is>
      </c>
      <c r="D7306" s="4" t="n">
        <v>2023</v>
      </c>
      <c r="E7306" s="13" t="inlineStr">
        <is>
          <t>General</t>
        </is>
      </c>
      <c r="F7306" s="5" t="n">
        <v>631</v>
      </c>
      <c r="G7306" s="5" t="n">
        <v>3567</v>
      </c>
      <c r="H7306" s="5" t="n">
        <v>147</v>
      </c>
      <c r="I7306" s="5" t="n">
        <v>122</v>
      </c>
      <c r="J7306" s="5" t="n">
        <v>22</v>
      </c>
      <c r="K7306" s="10">
        <f>IF(F7306&gt;0,H7306/F7306,"")</f>
        <v/>
      </c>
      <c r="L7306" s="16">
        <f>IF(AND(G7306&gt;0,H7306&gt;0),G7306/H7306,"")</f>
        <v/>
      </c>
    </row>
    <row r="7307">
      <c r="A7307" s="4" t="inlineStr">
        <is>
          <t>441</t>
        </is>
      </c>
      <c r="B7307" s="4" t="n">
        <v>4</v>
      </c>
      <c r="C7307" s="4" t="inlineStr">
        <is>
          <t>mule deer</t>
        </is>
      </c>
      <c r="D7307" s="4" t="n">
        <v>2024</v>
      </c>
      <c r="E7307" s="13" t="inlineStr">
        <is>
          <t>General</t>
        </is>
      </c>
      <c r="F7307" s="5" t="n"/>
      <c r="G7307" s="5" t="n"/>
      <c r="H7307" s="5" t="n">
        <v>125</v>
      </c>
      <c r="I7307" s="5" t="n">
        <v>111</v>
      </c>
      <c r="J7307" s="5" t="n">
        <v>14</v>
      </c>
      <c r="K7307" s="10">
        <f>IF(F7307&gt;0,H7307/F7307,"")</f>
        <v/>
      </c>
      <c r="L7307" s="16">
        <f>IF(AND(G7307&gt;0,H7307&gt;0),G7307/H7307,"")</f>
        <v/>
      </c>
    </row>
    <row r="7308">
      <c r="A7308" s="4" t="inlineStr">
        <is>
          <t>441</t>
        </is>
      </c>
      <c r="B7308" s="4" t="n">
        <v>4</v>
      </c>
      <c r="C7308" s="4" t="inlineStr">
        <is>
          <t>mule deer</t>
        </is>
      </c>
      <c r="D7308" s="4" t="n">
        <v>2025</v>
      </c>
      <c r="E7308" s="13" t="inlineStr">
        <is>
          <t>General</t>
        </is>
      </c>
      <c r="F7308" s="5" t="n">
        <v>532</v>
      </c>
      <c r="G7308" s="5" t="n">
        <v>3236</v>
      </c>
      <c r="H7308" s="5" t="n">
        <v>99</v>
      </c>
      <c r="I7308" s="5" t="n">
        <v>93</v>
      </c>
      <c r="J7308" s="5" t="n">
        <v>6</v>
      </c>
      <c r="K7308" s="10">
        <f>IF(F7308&gt;0,H7308/F7308,"")</f>
        <v/>
      </c>
      <c r="L7308" s="16">
        <f>IF(AND(G7308&gt;0,H7308&gt;0),G7308/H7308,"")</f>
        <v/>
      </c>
    </row>
    <row r="7309">
      <c r="A7309" s="4" t="inlineStr">
        <is>
          <t>442</t>
        </is>
      </c>
      <c r="B7309" s="4" t="n">
        <v>4</v>
      </c>
      <c r="C7309" s="4" t="inlineStr">
        <is>
          <t>mule deer</t>
        </is>
      </c>
      <c r="D7309" s="4" t="n">
        <v>2004</v>
      </c>
      <c r="E7309" s="13" t="inlineStr">
        <is>
          <t>General</t>
        </is>
      </c>
      <c r="F7309" s="5" t="n">
        <v>710</v>
      </c>
      <c r="G7309" s="5" t="n">
        <v>3873</v>
      </c>
      <c r="H7309" s="5" t="n">
        <v>192</v>
      </c>
      <c r="I7309" s="5" t="n">
        <v>179</v>
      </c>
      <c r="J7309" s="5" t="n">
        <v>13</v>
      </c>
      <c r="K7309" s="10">
        <f>IF(F7309&gt;0,H7309/F7309,"")</f>
        <v/>
      </c>
      <c r="L7309" s="16">
        <f>IF(AND(G7309&gt;0,H7309&gt;0),G7309/H7309,"")</f>
        <v/>
      </c>
    </row>
    <row r="7310">
      <c r="A7310" s="4" t="inlineStr">
        <is>
          <t>442</t>
        </is>
      </c>
      <c r="B7310" s="4" t="n">
        <v>4</v>
      </c>
      <c r="C7310" s="4" t="inlineStr">
        <is>
          <t>mule deer</t>
        </is>
      </c>
      <c r="D7310" s="4" t="n">
        <v>2005</v>
      </c>
      <c r="E7310" s="13" t="inlineStr">
        <is>
          <t>General</t>
        </is>
      </c>
      <c r="F7310" s="5" t="n">
        <v>411</v>
      </c>
      <c r="G7310" s="5" t="n">
        <v>2129</v>
      </c>
      <c r="H7310" s="5" t="n">
        <v>89</v>
      </c>
      <c r="I7310" s="5" t="n">
        <v>82</v>
      </c>
      <c r="J7310" s="5" t="n">
        <v>8</v>
      </c>
      <c r="K7310" s="10">
        <f>IF(F7310&gt;0,H7310/F7310,"")</f>
        <v/>
      </c>
      <c r="L7310" s="16">
        <f>IF(AND(G7310&gt;0,H7310&gt;0),G7310/H7310,"")</f>
        <v/>
      </c>
    </row>
    <row r="7311">
      <c r="A7311" s="4" t="inlineStr">
        <is>
          <t>442</t>
        </is>
      </c>
      <c r="B7311" s="4" t="n">
        <v>4</v>
      </c>
      <c r="C7311" s="4" t="inlineStr">
        <is>
          <t>mule deer</t>
        </is>
      </c>
      <c r="D7311" s="4" t="n">
        <v>2006</v>
      </c>
      <c r="E7311" s="13" t="inlineStr">
        <is>
          <t>General</t>
        </is>
      </c>
      <c r="F7311" s="5" t="n">
        <v>554</v>
      </c>
      <c r="G7311" s="5" t="n">
        <v>2829</v>
      </c>
      <c r="H7311" s="5" t="n">
        <v>129</v>
      </c>
      <c r="I7311" s="5" t="n">
        <v>123</v>
      </c>
      <c r="J7311" s="5" t="n">
        <v>6</v>
      </c>
      <c r="K7311" s="10">
        <f>IF(F7311&gt;0,H7311/F7311,"")</f>
        <v/>
      </c>
      <c r="L7311" s="16">
        <f>IF(AND(G7311&gt;0,H7311&gt;0),G7311/H7311,"")</f>
        <v/>
      </c>
    </row>
    <row r="7312">
      <c r="A7312" s="4" t="inlineStr">
        <is>
          <t>442</t>
        </is>
      </c>
      <c r="B7312" s="4" t="n">
        <v>4</v>
      </c>
      <c r="C7312" s="4" t="inlineStr">
        <is>
          <t>mule deer</t>
        </is>
      </c>
      <c r="D7312" s="4" t="n">
        <v>2007</v>
      </c>
      <c r="E7312" s="13" t="inlineStr">
        <is>
          <t>General</t>
        </is>
      </c>
      <c r="F7312" s="5" t="n">
        <v>524</v>
      </c>
      <c r="G7312" s="5" t="n">
        <v>2920</v>
      </c>
      <c r="H7312" s="5" t="n">
        <v>104</v>
      </c>
      <c r="I7312" s="5" t="n">
        <v>104</v>
      </c>
      <c r="J7312" s="5" t="n">
        <v>0</v>
      </c>
      <c r="K7312" s="10">
        <f>IF(F7312&gt;0,H7312/F7312,"")</f>
        <v/>
      </c>
      <c r="L7312" s="16">
        <f>IF(AND(G7312&gt;0,H7312&gt;0),G7312/H7312,"")</f>
        <v/>
      </c>
    </row>
    <row r="7313">
      <c r="A7313" s="4" t="inlineStr">
        <is>
          <t>442</t>
        </is>
      </c>
      <c r="B7313" s="4" t="n">
        <v>4</v>
      </c>
      <c r="C7313" s="4" t="inlineStr">
        <is>
          <t>mule deer</t>
        </is>
      </c>
      <c r="D7313" s="4" t="n">
        <v>2008</v>
      </c>
      <c r="E7313" s="13" t="inlineStr">
        <is>
          <t>General</t>
        </is>
      </c>
      <c r="F7313" s="5" t="n">
        <v>700</v>
      </c>
      <c r="G7313" s="5" t="n">
        <v>4253</v>
      </c>
      <c r="H7313" s="5" t="n">
        <v>125</v>
      </c>
      <c r="I7313" s="5" t="n">
        <v>116</v>
      </c>
      <c r="J7313" s="5" t="n">
        <v>9</v>
      </c>
      <c r="K7313" s="10">
        <f>IF(F7313&gt;0,H7313/F7313,"")</f>
        <v/>
      </c>
      <c r="L7313" s="16">
        <f>IF(AND(G7313&gt;0,H7313&gt;0),G7313/H7313,"")</f>
        <v/>
      </c>
    </row>
    <row r="7314">
      <c r="A7314" s="4" t="inlineStr">
        <is>
          <t>442</t>
        </is>
      </c>
      <c r="B7314" s="4" t="n">
        <v>4</v>
      </c>
      <c r="C7314" s="4" t="inlineStr">
        <is>
          <t>mule deer</t>
        </is>
      </c>
      <c r="D7314" s="4" t="n">
        <v>2009</v>
      </c>
      <c r="E7314" s="13" t="inlineStr">
        <is>
          <t>General</t>
        </is>
      </c>
      <c r="F7314" s="5" t="n">
        <v>602</v>
      </c>
      <c r="G7314" s="5" t="n">
        <v>3644</v>
      </c>
      <c r="H7314" s="5" t="n">
        <v>80</v>
      </c>
      <c r="I7314" s="5" t="n">
        <v>80</v>
      </c>
      <c r="J7314" s="5" t="n">
        <v>0</v>
      </c>
      <c r="K7314" s="10">
        <f>IF(F7314&gt;0,H7314/F7314,"")</f>
        <v/>
      </c>
      <c r="L7314" s="16">
        <f>IF(AND(G7314&gt;0,H7314&gt;0),G7314/H7314,"")</f>
        <v/>
      </c>
    </row>
    <row r="7315">
      <c r="A7315" s="4" t="inlineStr">
        <is>
          <t>442</t>
        </is>
      </c>
      <c r="B7315" s="4" t="n">
        <v>4</v>
      </c>
      <c r="C7315" s="4" t="inlineStr">
        <is>
          <t>mule deer</t>
        </is>
      </c>
      <c r="D7315" s="4" t="n">
        <v>2010</v>
      </c>
      <c r="E7315" s="13" t="inlineStr">
        <is>
          <t>General</t>
        </is>
      </c>
      <c r="F7315" s="5" t="n">
        <v>626</v>
      </c>
      <c r="G7315" s="5" t="n">
        <v>3643</v>
      </c>
      <c r="H7315" s="5" t="n">
        <v>120</v>
      </c>
      <c r="I7315" s="5" t="n">
        <v>112</v>
      </c>
      <c r="J7315" s="5" t="n">
        <v>8</v>
      </c>
      <c r="K7315" s="10">
        <f>IF(F7315&gt;0,H7315/F7315,"")</f>
        <v/>
      </c>
      <c r="L7315" s="16">
        <f>IF(AND(G7315&gt;0,H7315&gt;0),G7315/H7315,"")</f>
        <v/>
      </c>
    </row>
    <row r="7316">
      <c r="A7316" s="4" t="inlineStr">
        <is>
          <t>442</t>
        </is>
      </c>
      <c r="B7316" s="4" t="n">
        <v>4</v>
      </c>
      <c r="C7316" s="4" t="inlineStr">
        <is>
          <t>mule deer</t>
        </is>
      </c>
      <c r="D7316" s="4" t="n">
        <v>2011</v>
      </c>
      <c r="E7316" s="13" t="inlineStr">
        <is>
          <t>General</t>
        </is>
      </c>
      <c r="F7316" s="5" t="n">
        <v>711</v>
      </c>
      <c r="G7316" s="5" t="n">
        <v>3963</v>
      </c>
      <c r="H7316" s="5" t="n">
        <v>85</v>
      </c>
      <c r="I7316" s="5" t="n">
        <v>78</v>
      </c>
      <c r="J7316" s="5" t="n">
        <v>7</v>
      </c>
      <c r="K7316" s="10">
        <f>IF(F7316&gt;0,H7316/F7316,"")</f>
        <v/>
      </c>
      <c r="L7316" s="16">
        <f>IF(AND(G7316&gt;0,H7316&gt;0),G7316/H7316,"")</f>
        <v/>
      </c>
    </row>
    <row r="7317">
      <c r="A7317" s="4" t="inlineStr">
        <is>
          <t>442</t>
        </is>
      </c>
      <c r="B7317" s="4" t="n">
        <v>4</v>
      </c>
      <c r="C7317" s="4" t="inlineStr">
        <is>
          <t>mule deer</t>
        </is>
      </c>
      <c r="D7317" s="4" t="n">
        <v>2012</v>
      </c>
      <c r="E7317" s="13" t="inlineStr">
        <is>
          <t>General</t>
        </is>
      </c>
      <c r="F7317" s="5" t="n"/>
      <c r="G7317" s="5" t="n"/>
      <c r="H7317" s="5" t="n">
        <v>100</v>
      </c>
      <c r="I7317" s="5" t="n">
        <v>98</v>
      </c>
      <c r="J7317" s="5" t="n">
        <v>3</v>
      </c>
      <c r="K7317" s="10">
        <f>IF(F7317&gt;0,H7317/F7317,"")</f>
        <v/>
      </c>
      <c r="L7317" s="16">
        <f>IF(AND(G7317&gt;0,H7317&gt;0),G7317/H7317,"")</f>
        <v/>
      </c>
    </row>
    <row r="7318">
      <c r="A7318" s="4" t="inlineStr">
        <is>
          <t>442</t>
        </is>
      </c>
      <c r="B7318" s="4" t="n">
        <v>4</v>
      </c>
      <c r="C7318" s="4" t="inlineStr">
        <is>
          <t>mule deer</t>
        </is>
      </c>
      <c r="D7318" s="4" t="n">
        <v>2013</v>
      </c>
      <c r="E7318" s="13" t="inlineStr">
        <is>
          <t>General</t>
        </is>
      </c>
      <c r="F7318" s="5" t="n">
        <v>700</v>
      </c>
      <c r="G7318" s="5" t="n">
        <v>4677</v>
      </c>
      <c r="H7318" s="5" t="n">
        <v>131</v>
      </c>
      <c r="I7318" s="5" t="n">
        <v>115</v>
      </c>
      <c r="J7318" s="5" t="n">
        <v>16</v>
      </c>
      <c r="K7318" s="10">
        <f>IF(F7318&gt;0,H7318/F7318,"")</f>
        <v/>
      </c>
      <c r="L7318" s="16">
        <f>IF(AND(G7318&gt;0,H7318&gt;0),G7318/H7318,"")</f>
        <v/>
      </c>
    </row>
    <row r="7319">
      <c r="A7319" s="4" t="inlineStr">
        <is>
          <t>442</t>
        </is>
      </c>
      <c r="B7319" s="4" t="n">
        <v>4</v>
      </c>
      <c r="C7319" s="4" t="inlineStr">
        <is>
          <t>mule deer</t>
        </is>
      </c>
      <c r="D7319" s="4" t="n">
        <v>2014</v>
      </c>
      <c r="E7319" s="13" t="inlineStr">
        <is>
          <t>General</t>
        </is>
      </c>
      <c r="F7319" s="5" t="n"/>
      <c r="G7319" s="5" t="n"/>
      <c r="H7319" s="5" t="n">
        <v>96</v>
      </c>
      <c r="I7319" s="5" t="n">
        <v>96</v>
      </c>
      <c r="J7319" s="5" t="n">
        <v>0</v>
      </c>
      <c r="K7319" s="10">
        <f>IF(F7319&gt;0,H7319/F7319,"")</f>
        <v/>
      </c>
      <c r="L7319" s="16">
        <f>IF(AND(G7319&gt;0,H7319&gt;0),G7319/H7319,"")</f>
        <v/>
      </c>
    </row>
    <row r="7320">
      <c r="A7320" s="4" t="inlineStr">
        <is>
          <t>442</t>
        </is>
      </c>
      <c r="B7320" s="4" t="n">
        <v>4</v>
      </c>
      <c r="C7320" s="4" t="inlineStr">
        <is>
          <t>mule deer</t>
        </is>
      </c>
      <c r="D7320" s="4" t="n">
        <v>2015</v>
      </c>
      <c r="E7320" s="13" t="inlineStr">
        <is>
          <t>General</t>
        </is>
      </c>
      <c r="F7320" s="5" t="n"/>
      <c r="G7320" s="5" t="n"/>
      <c r="H7320" s="5" t="n">
        <v>80</v>
      </c>
      <c r="I7320" s="5" t="n">
        <v>80</v>
      </c>
      <c r="J7320" s="5" t="n">
        <v>0</v>
      </c>
      <c r="K7320" s="10">
        <f>IF(F7320&gt;0,H7320/F7320,"")</f>
        <v/>
      </c>
      <c r="L7320" s="16">
        <f>IF(AND(G7320&gt;0,H7320&gt;0),G7320/H7320,"")</f>
        <v/>
      </c>
    </row>
    <row r="7321">
      <c r="A7321" s="4" t="inlineStr">
        <is>
          <t>442</t>
        </is>
      </c>
      <c r="B7321" s="4" t="n">
        <v>4</v>
      </c>
      <c r="C7321" s="4" t="inlineStr">
        <is>
          <t>mule deer</t>
        </is>
      </c>
      <c r="D7321" s="4" t="n">
        <v>2016</v>
      </c>
      <c r="E7321" s="13" t="inlineStr">
        <is>
          <t>General</t>
        </is>
      </c>
      <c r="F7321" s="5" t="n"/>
      <c r="G7321" s="5" t="n"/>
      <c r="H7321" s="5" t="n">
        <v>102</v>
      </c>
      <c r="I7321" s="5" t="n">
        <v>99</v>
      </c>
      <c r="J7321" s="5" t="n">
        <v>3</v>
      </c>
      <c r="K7321" s="10">
        <f>IF(F7321&gt;0,H7321/F7321,"")</f>
        <v/>
      </c>
      <c r="L7321" s="16">
        <f>IF(AND(G7321&gt;0,H7321&gt;0),G7321/H7321,"")</f>
        <v/>
      </c>
    </row>
    <row r="7322">
      <c r="A7322" s="4" t="inlineStr">
        <is>
          <t>442</t>
        </is>
      </c>
      <c r="B7322" s="4" t="n">
        <v>4</v>
      </c>
      <c r="C7322" s="4" t="inlineStr">
        <is>
          <t>mule deer</t>
        </is>
      </c>
      <c r="D7322" s="4" t="n">
        <v>2017</v>
      </c>
      <c r="E7322" s="13" t="inlineStr">
        <is>
          <t>General</t>
        </is>
      </c>
      <c r="F7322" s="5" t="n">
        <v>551</v>
      </c>
      <c r="G7322" s="5" t="n">
        <v>3595</v>
      </c>
      <c r="H7322" s="5" t="n">
        <v>100</v>
      </c>
      <c r="I7322" s="5" t="n">
        <v>92</v>
      </c>
      <c r="J7322" s="5" t="n">
        <v>9</v>
      </c>
      <c r="K7322" s="10">
        <f>IF(F7322&gt;0,H7322/F7322,"")</f>
        <v/>
      </c>
      <c r="L7322" s="16">
        <f>IF(AND(G7322&gt;0,H7322&gt;0),G7322/H7322,"")</f>
        <v/>
      </c>
    </row>
    <row r="7323">
      <c r="A7323" s="4" t="inlineStr">
        <is>
          <t>442</t>
        </is>
      </c>
      <c r="B7323" s="4" t="n">
        <v>4</v>
      </c>
      <c r="C7323" s="4" t="inlineStr">
        <is>
          <t>mule deer</t>
        </is>
      </c>
      <c r="D7323" s="4" t="n">
        <v>2018</v>
      </c>
      <c r="E7323" s="13" t="inlineStr">
        <is>
          <t>General</t>
        </is>
      </c>
      <c r="F7323" s="5" t="n"/>
      <c r="G7323" s="5" t="n"/>
      <c r="H7323" s="5" t="n">
        <v>44</v>
      </c>
      <c r="I7323" s="5" t="n">
        <v>38</v>
      </c>
      <c r="J7323" s="5" t="n">
        <v>6</v>
      </c>
      <c r="K7323" s="10">
        <f>IF(F7323&gt;0,H7323/F7323,"")</f>
        <v/>
      </c>
      <c r="L7323" s="16">
        <f>IF(AND(G7323&gt;0,H7323&gt;0),G7323/H7323,"")</f>
        <v/>
      </c>
    </row>
    <row r="7324">
      <c r="A7324" s="4" t="inlineStr">
        <is>
          <t>442</t>
        </is>
      </c>
      <c r="B7324" s="4" t="n">
        <v>4</v>
      </c>
      <c r="C7324" s="4" t="inlineStr">
        <is>
          <t>mule deer</t>
        </is>
      </c>
      <c r="D7324" s="4" t="n">
        <v>2019</v>
      </c>
      <c r="E7324" s="13" t="inlineStr">
        <is>
          <t>General</t>
        </is>
      </c>
      <c r="F7324" s="5" t="n">
        <v>513</v>
      </c>
      <c r="G7324" s="5" t="n">
        <v>2596</v>
      </c>
      <c r="H7324" s="5" t="n">
        <v>86</v>
      </c>
      <c r="I7324" s="5" t="n">
        <v>79</v>
      </c>
      <c r="J7324" s="5" t="n">
        <v>7</v>
      </c>
      <c r="K7324" s="10">
        <f>IF(F7324&gt;0,H7324/F7324,"")</f>
        <v/>
      </c>
      <c r="L7324" s="16">
        <f>IF(AND(G7324&gt;0,H7324&gt;0),G7324/H7324,"")</f>
        <v/>
      </c>
    </row>
    <row r="7325">
      <c r="A7325" s="4" t="inlineStr">
        <is>
          <t>442</t>
        </is>
      </c>
      <c r="B7325" s="4" t="n">
        <v>4</v>
      </c>
      <c r="C7325" s="4" t="inlineStr">
        <is>
          <t>mule deer</t>
        </is>
      </c>
      <c r="D7325" s="4" t="n">
        <v>2020</v>
      </c>
      <c r="E7325" s="13" t="inlineStr">
        <is>
          <t>General</t>
        </is>
      </c>
      <c r="F7325" s="5" t="n"/>
      <c r="G7325" s="5" t="n"/>
      <c r="H7325" s="5" t="n">
        <v>53</v>
      </c>
      <c r="I7325" s="5" t="n">
        <v>50</v>
      </c>
      <c r="J7325" s="5" t="n">
        <v>3</v>
      </c>
      <c r="K7325" s="10">
        <f>IF(F7325&gt;0,H7325/F7325,"")</f>
        <v/>
      </c>
      <c r="L7325" s="16">
        <f>IF(AND(G7325&gt;0,H7325&gt;0),G7325/H7325,"")</f>
        <v/>
      </c>
    </row>
    <row r="7326">
      <c r="A7326" s="4" t="inlineStr">
        <is>
          <t>442</t>
        </is>
      </c>
      <c r="B7326" s="4" t="n">
        <v>4</v>
      </c>
      <c r="C7326" s="4" t="inlineStr">
        <is>
          <t>mule deer</t>
        </is>
      </c>
      <c r="D7326" s="4" t="n">
        <v>2021</v>
      </c>
      <c r="E7326" s="13" t="inlineStr">
        <is>
          <t>General</t>
        </is>
      </c>
      <c r="F7326" s="5" t="n">
        <v>498</v>
      </c>
      <c r="G7326" s="5" t="n">
        <v>2747</v>
      </c>
      <c r="H7326" s="5" t="n">
        <v>51</v>
      </c>
      <c r="I7326" s="5" t="n">
        <v>51</v>
      </c>
      <c r="J7326" s="5" t="n">
        <v>0</v>
      </c>
      <c r="K7326" s="10">
        <f>IF(F7326&gt;0,H7326/F7326,"")</f>
        <v/>
      </c>
      <c r="L7326" s="16">
        <f>IF(AND(G7326&gt;0,H7326&gt;0),G7326/H7326,"")</f>
        <v/>
      </c>
    </row>
    <row r="7327">
      <c r="A7327" s="4" t="inlineStr">
        <is>
          <t>442</t>
        </is>
      </c>
      <c r="B7327" s="4" t="n">
        <v>4</v>
      </c>
      <c r="C7327" s="4" t="inlineStr">
        <is>
          <t>mule deer</t>
        </is>
      </c>
      <c r="D7327" s="4" t="n">
        <v>2022</v>
      </c>
      <c r="E7327" s="13" t="inlineStr">
        <is>
          <t>General</t>
        </is>
      </c>
      <c r="F7327" s="5" t="n"/>
      <c r="G7327" s="5" t="n"/>
      <c r="H7327" s="5" t="n">
        <v>22</v>
      </c>
      <c r="I7327" s="5" t="n">
        <v>16</v>
      </c>
      <c r="J7327" s="5" t="n">
        <v>6</v>
      </c>
      <c r="K7327" s="10">
        <f>IF(F7327&gt;0,H7327/F7327,"")</f>
        <v/>
      </c>
      <c r="L7327" s="16">
        <f>IF(AND(G7327&gt;0,H7327&gt;0),G7327/H7327,"")</f>
        <v/>
      </c>
    </row>
    <row r="7328">
      <c r="A7328" s="4" t="inlineStr">
        <is>
          <t>442</t>
        </is>
      </c>
      <c r="B7328" s="4" t="n">
        <v>4</v>
      </c>
      <c r="C7328" s="4" t="inlineStr">
        <is>
          <t>mule deer</t>
        </is>
      </c>
      <c r="D7328" s="4" t="n">
        <v>2023</v>
      </c>
      <c r="E7328" s="13" t="inlineStr">
        <is>
          <t>General</t>
        </is>
      </c>
      <c r="F7328" s="5" t="n">
        <v>449</v>
      </c>
      <c r="G7328" s="5" t="n">
        <v>2913</v>
      </c>
      <c r="H7328" s="5" t="n">
        <v>50</v>
      </c>
      <c r="I7328" s="5" t="n">
        <v>47</v>
      </c>
      <c r="J7328" s="5" t="n">
        <v>3</v>
      </c>
      <c r="K7328" s="10">
        <f>IF(F7328&gt;0,H7328/F7328,"")</f>
        <v/>
      </c>
      <c r="L7328" s="16">
        <f>IF(AND(G7328&gt;0,H7328&gt;0),G7328/H7328,"")</f>
        <v/>
      </c>
    </row>
    <row r="7329">
      <c r="A7329" s="4" t="inlineStr">
        <is>
          <t>442</t>
        </is>
      </c>
      <c r="B7329" s="4" t="n">
        <v>4</v>
      </c>
      <c r="C7329" s="4" t="inlineStr">
        <is>
          <t>mule deer</t>
        </is>
      </c>
      <c r="D7329" s="4" t="n">
        <v>2024</v>
      </c>
      <c r="E7329" s="13" t="inlineStr">
        <is>
          <t>General</t>
        </is>
      </c>
      <c r="F7329" s="5" t="n"/>
      <c r="G7329" s="5" t="n"/>
      <c r="H7329" s="5" t="n">
        <v>37</v>
      </c>
      <c r="I7329" s="5" t="n">
        <v>34</v>
      </c>
      <c r="J7329" s="5" t="n">
        <v>3</v>
      </c>
      <c r="K7329" s="10">
        <f>IF(F7329&gt;0,H7329/F7329,"")</f>
        <v/>
      </c>
      <c r="L7329" s="16">
        <f>IF(AND(G7329&gt;0,H7329&gt;0),G7329/H7329,"")</f>
        <v/>
      </c>
    </row>
    <row r="7330">
      <c r="A7330" s="4" t="inlineStr">
        <is>
          <t>442</t>
        </is>
      </c>
      <c r="B7330" s="4" t="n">
        <v>4</v>
      </c>
      <c r="C7330" s="4" t="inlineStr">
        <is>
          <t>mule deer</t>
        </is>
      </c>
      <c r="D7330" s="4" t="n">
        <v>2025</v>
      </c>
      <c r="E7330" s="13" t="inlineStr">
        <is>
          <t>General</t>
        </is>
      </c>
      <c r="F7330" s="5" t="n">
        <v>410</v>
      </c>
      <c r="G7330" s="5" t="n">
        <v>2463</v>
      </c>
      <c r="H7330" s="5" t="n">
        <v>27</v>
      </c>
      <c r="I7330" s="5" t="n">
        <v>27</v>
      </c>
      <c r="J7330" s="5" t="n">
        <v>0</v>
      </c>
      <c r="K7330" s="10">
        <f>IF(F7330&gt;0,H7330/F7330,"")</f>
        <v/>
      </c>
      <c r="L7330" s="16">
        <f>IF(AND(G7330&gt;0,H7330&gt;0),G7330/H7330,"")</f>
        <v/>
      </c>
    </row>
    <row r="7331">
      <c r="A7331" s="4" t="inlineStr">
        <is>
          <t>444</t>
        </is>
      </c>
      <c r="B7331" s="4" t="n">
        <v>4</v>
      </c>
      <c r="C7331" s="4" t="inlineStr">
        <is>
          <t>mule deer</t>
        </is>
      </c>
      <c r="D7331" s="4" t="n">
        <v>2004</v>
      </c>
      <c r="E7331" s="13" t="inlineStr">
        <is>
          <t>General</t>
        </is>
      </c>
      <c r="F7331" s="5" t="n">
        <v>619</v>
      </c>
      <c r="G7331" s="5" t="n">
        <v>2614</v>
      </c>
      <c r="H7331" s="5" t="n">
        <v>314</v>
      </c>
      <c r="I7331" s="5" t="n">
        <v>163</v>
      </c>
      <c r="J7331" s="5" t="n">
        <v>145</v>
      </c>
      <c r="K7331" s="10">
        <f>IF(F7331&gt;0,H7331/F7331,"")</f>
        <v/>
      </c>
      <c r="L7331" s="16">
        <f>IF(AND(G7331&gt;0,H7331&gt;0),G7331/H7331,"")</f>
        <v/>
      </c>
    </row>
    <row r="7332">
      <c r="A7332" s="4" t="inlineStr">
        <is>
          <t>444</t>
        </is>
      </c>
      <c r="B7332" s="4" t="n">
        <v>4</v>
      </c>
      <c r="C7332" s="4" t="inlineStr">
        <is>
          <t>mule deer</t>
        </is>
      </c>
      <c r="D7332" s="4" t="n">
        <v>2005</v>
      </c>
      <c r="E7332" s="13" t="inlineStr">
        <is>
          <t>General</t>
        </is>
      </c>
      <c r="F7332" s="5" t="n">
        <v>675</v>
      </c>
      <c r="G7332" s="5" t="n">
        <v>2594</v>
      </c>
      <c r="H7332" s="5" t="n">
        <v>314</v>
      </c>
      <c r="I7332" s="5" t="n">
        <v>165</v>
      </c>
      <c r="J7332" s="5" t="n">
        <v>147</v>
      </c>
      <c r="K7332" s="10">
        <f>IF(F7332&gt;0,H7332/F7332,"")</f>
        <v/>
      </c>
      <c r="L7332" s="16">
        <f>IF(AND(G7332&gt;0,H7332&gt;0),G7332/H7332,"")</f>
        <v/>
      </c>
    </row>
    <row r="7333">
      <c r="A7333" s="4" t="inlineStr">
        <is>
          <t>444</t>
        </is>
      </c>
      <c r="B7333" s="4" t="n">
        <v>4</v>
      </c>
      <c r="C7333" s="4" t="inlineStr">
        <is>
          <t>mule deer</t>
        </is>
      </c>
      <c r="D7333" s="4" t="n">
        <v>2006</v>
      </c>
      <c r="E7333" s="13" t="inlineStr">
        <is>
          <t>General</t>
        </is>
      </c>
      <c r="F7333" s="5" t="n">
        <v>675</v>
      </c>
      <c r="G7333" s="5" t="n">
        <v>3282</v>
      </c>
      <c r="H7333" s="5" t="n">
        <v>390</v>
      </c>
      <c r="I7333" s="5" t="n">
        <v>180</v>
      </c>
      <c r="J7333" s="5" t="n">
        <v>204</v>
      </c>
      <c r="K7333" s="10">
        <f>IF(F7333&gt;0,H7333/F7333,"")</f>
        <v/>
      </c>
      <c r="L7333" s="16">
        <f>IF(AND(G7333&gt;0,H7333&gt;0),G7333/H7333,"")</f>
        <v/>
      </c>
    </row>
    <row r="7334">
      <c r="A7334" s="4" t="inlineStr">
        <is>
          <t>444</t>
        </is>
      </c>
      <c r="B7334" s="4" t="n">
        <v>4</v>
      </c>
      <c r="C7334" s="4" t="inlineStr">
        <is>
          <t>mule deer</t>
        </is>
      </c>
      <c r="D7334" s="4" t="n">
        <v>2007</v>
      </c>
      <c r="E7334" s="13" t="inlineStr">
        <is>
          <t>General</t>
        </is>
      </c>
      <c r="F7334" s="5" t="n">
        <v>744</v>
      </c>
      <c r="G7334" s="5" t="n">
        <v>3226</v>
      </c>
      <c r="H7334" s="5" t="n">
        <v>405</v>
      </c>
      <c r="I7334" s="5" t="n">
        <v>144</v>
      </c>
      <c r="J7334" s="5" t="n">
        <v>261</v>
      </c>
      <c r="K7334" s="10">
        <f>IF(F7334&gt;0,H7334/F7334,"")</f>
        <v/>
      </c>
      <c r="L7334" s="16">
        <f>IF(AND(G7334&gt;0,H7334&gt;0),G7334/H7334,"")</f>
        <v/>
      </c>
    </row>
    <row r="7335">
      <c r="A7335" s="4" t="inlineStr">
        <is>
          <t>444</t>
        </is>
      </c>
      <c r="B7335" s="4" t="n">
        <v>4</v>
      </c>
      <c r="C7335" s="4" t="inlineStr">
        <is>
          <t>mule deer</t>
        </is>
      </c>
      <c r="D7335" s="4" t="n">
        <v>2008</v>
      </c>
      <c r="E7335" s="13" t="inlineStr">
        <is>
          <t>General</t>
        </is>
      </c>
      <c r="F7335" s="5" t="n">
        <v>740</v>
      </c>
      <c r="G7335" s="5" t="n">
        <v>3448</v>
      </c>
      <c r="H7335" s="5" t="n">
        <v>242</v>
      </c>
      <c r="I7335" s="5" t="n">
        <v>107</v>
      </c>
      <c r="J7335" s="5" t="n">
        <v>135</v>
      </c>
      <c r="K7335" s="10">
        <f>IF(F7335&gt;0,H7335/F7335,"")</f>
        <v/>
      </c>
      <c r="L7335" s="16">
        <f>IF(AND(G7335&gt;0,H7335&gt;0),G7335/H7335,"")</f>
        <v/>
      </c>
    </row>
    <row r="7336">
      <c r="A7336" s="4" t="inlineStr">
        <is>
          <t>444</t>
        </is>
      </c>
      <c r="B7336" s="4" t="n">
        <v>4</v>
      </c>
      <c r="C7336" s="4" t="inlineStr">
        <is>
          <t>mule deer</t>
        </is>
      </c>
      <c r="D7336" s="4" t="n">
        <v>2009</v>
      </c>
      <c r="E7336" s="13" t="inlineStr">
        <is>
          <t>General</t>
        </is>
      </c>
      <c r="F7336" s="5" t="n">
        <v>773</v>
      </c>
      <c r="G7336" s="5" t="n">
        <v>3577</v>
      </c>
      <c r="H7336" s="5" t="n">
        <v>212</v>
      </c>
      <c r="I7336" s="5" t="n">
        <v>97</v>
      </c>
      <c r="J7336" s="5" t="n">
        <v>115</v>
      </c>
      <c r="K7336" s="10">
        <f>IF(F7336&gt;0,H7336/F7336,"")</f>
        <v/>
      </c>
      <c r="L7336" s="16">
        <f>IF(AND(G7336&gt;0,H7336&gt;0),G7336/H7336,"")</f>
        <v/>
      </c>
    </row>
    <row r="7337">
      <c r="A7337" s="4" t="inlineStr">
        <is>
          <t>444</t>
        </is>
      </c>
      <c r="B7337" s="4" t="n">
        <v>4</v>
      </c>
      <c r="C7337" s="4" t="inlineStr">
        <is>
          <t>mule deer</t>
        </is>
      </c>
      <c r="D7337" s="4" t="n">
        <v>2010</v>
      </c>
      <c r="E7337" s="13" t="inlineStr">
        <is>
          <t>General</t>
        </is>
      </c>
      <c r="F7337" s="5" t="n">
        <v>827</v>
      </c>
      <c r="G7337" s="5" t="n">
        <v>3740</v>
      </c>
      <c r="H7337" s="5" t="n">
        <v>236</v>
      </c>
      <c r="I7337" s="5" t="n">
        <v>90</v>
      </c>
      <c r="J7337" s="5" t="n">
        <v>146</v>
      </c>
      <c r="K7337" s="10">
        <f>IF(F7337&gt;0,H7337/F7337,"")</f>
        <v/>
      </c>
      <c r="L7337" s="16">
        <f>IF(AND(G7337&gt;0,H7337&gt;0),G7337/H7337,"")</f>
        <v/>
      </c>
    </row>
    <row r="7338">
      <c r="A7338" s="4" t="inlineStr">
        <is>
          <t>444</t>
        </is>
      </c>
      <c r="B7338" s="4" t="n">
        <v>4</v>
      </c>
      <c r="C7338" s="4" t="inlineStr">
        <is>
          <t>mule deer</t>
        </is>
      </c>
      <c r="D7338" s="4" t="n">
        <v>2011</v>
      </c>
      <c r="E7338" s="13" t="inlineStr">
        <is>
          <t>General</t>
        </is>
      </c>
      <c r="F7338" s="5" t="n">
        <v>921</v>
      </c>
      <c r="G7338" s="5" t="n">
        <v>3909</v>
      </c>
      <c r="H7338" s="5" t="n">
        <v>181</v>
      </c>
      <c r="I7338" s="5" t="n">
        <v>106</v>
      </c>
      <c r="J7338" s="5" t="n">
        <v>73</v>
      </c>
      <c r="K7338" s="10">
        <f>IF(F7338&gt;0,H7338/F7338,"")</f>
        <v/>
      </c>
      <c r="L7338" s="16">
        <f>IF(AND(G7338&gt;0,H7338&gt;0),G7338/H7338,"")</f>
        <v/>
      </c>
    </row>
    <row r="7339">
      <c r="A7339" s="4" t="inlineStr">
        <is>
          <t>444</t>
        </is>
      </c>
      <c r="B7339" s="4" t="n">
        <v>4</v>
      </c>
      <c r="C7339" s="4" t="inlineStr">
        <is>
          <t>mule deer</t>
        </is>
      </c>
      <c r="D7339" s="4" t="n">
        <v>2012</v>
      </c>
      <c r="E7339" s="13" t="inlineStr">
        <is>
          <t>General</t>
        </is>
      </c>
      <c r="F7339" s="5" t="n"/>
      <c r="G7339" s="5" t="n"/>
      <c r="H7339" s="5" t="n">
        <v>151</v>
      </c>
      <c r="I7339" s="5" t="n">
        <v>109</v>
      </c>
      <c r="J7339" s="5" t="n">
        <v>42</v>
      </c>
      <c r="K7339" s="10">
        <f>IF(F7339&gt;0,H7339/F7339,"")</f>
        <v/>
      </c>
      <c r="L7339" s="16">
        <f>IF(AND(G7339&gt;0,H7339&gt;0),G7339/H7339,"")</f>
        <v/>
      </c>
    </row>
    <row r="7340">
      <c r="A7340" s="4" t="inlineStr">
        <is>
          <t>444</t>
        </is>
      </c>
      <c r="B7340" s="4" t="n">
        <v>4</v>
      </c>
      <c r="C7340" s="4" t="inlineStr">
        <is>
          <t>mule deer</t>
        </is>
      </c>
      <c r="D7340" s="4" t="n">
        <v>2013</v>
      </c>
      <c r="E7340" s="13" t="inlineStr">
        <is>
          <t>General</t>
        </is>
      </c>
      <c r="F7340" s="5" t="n">
        <v>775</v>
      </c>
      <c r="G7340" s="5" t="n">
        <v>3786</v>
      </c>
      <c r="H7340" s="5" t="n">
        <v>135</v>
      </c>
      <c r="I7340" s="5" t="n">
        <v>100</v>
      </c>
      <c r="J7340" s="5" t="n">
        <v>34</v>
      </c>
      <c r="K7340" s="10">
        <f>IF(F7340&gt;0,H7340/F7340,"")</f>
        <v/>
      </c>
      <c r="L7340" s="16">
        <f>IF(AND(G7340&gt;0,H7340&gt;0),G7340/H7340,"")</f>
        <v/>
      </c>
    </row>
    <row r="7341">
      <c r="A7341" s="4" t="inlineStr">
        <is>
          <t>444</t>
        </is>
      </c>
      <c r="B7341" s="4" t="n">
        <v>4</v>
      </c>
      <c r="C7341" s="4" t="inlineStr">
        <is>
          <t>mule deer</t>
        </is>
      </c>
      <c r="D7341" s="4" t="n">
        <v>2014</v>
      </c>
      <c r="E7341" s="13" t="inlineStr">
        <is>
          <t>General</t>
        </is>
      </c>
      <c r="F7341" s="5" t="n"/>
      <c r="G7341" s="5" t="n"/>
      <c r="H7341" s="5" t="n">
        <v>99</v>
      </c>
      <c r="I7341" s="5" t="n">
        <v>99</v>
      </c>
      <c r="J7341" s="5" t="n">
        <v>0</v>
      </c>
      <c r="K7341" s="10">
        <f>IF(F7341&gt;0,H7341/F7341,"")</f>
        <v/>
      </c>
      <c r="L7341" s="16">
        <f>IF(AND(G7341&gt;0,H7341&gt;0),G7341/H7341,"")</f>
        <v/>
      </c>
    </row>
    <row r="7342">
      <c r="A7342" s="4" t="inlineStr">
        <is>
          <t>444</t>
        </is>
      </c>
      <c r="B7342" s="4" t="n">
        <v>4</v>
      </c>
      <c r="C7342" s="4" t="inlineStr">
        <is>
          <t>mule deer</t>
        </is>
      </c>
      <c r="D7342" s="4" t="n">
        <v>2015</v>
      </c>
      <c r="E7342" s="13" t="inlineStr">
        <is>
          <t>General</t>
        </is>
      </c>
      <c r="F7342" s="5" t="n"/>
      <c r="G7342" s="5" t="n"/>
      <c r="H7342" s="5" t="n">
        <v>89</v>
      </c>
      <c r="I7342" s="5" t="n">
        <v>89</v>
      </c>
      <c r="J7342" s="5" t="n">
        <v>0</v>
      </c>
      <c r="K7342" s="10">
        <f>IF(F7342&gt;0,H7342/F7342,"")</f>
        <v/>
      </c>
      <c r="L7342" s="16">
        <f>IF(AND(G7342&gt;0,H7342&gt;0),G7342/H7342,"")</f>
        <v/>
      </c>
    </row>
    <row r="7343">
      <c r="A7343" s="4" t="inlineStr">
        <is>
          <t>444</t>
        </is>
      </c>
      <c r="B7343" s="4" t="n">
        <v>4</v>
      </c>
      <c r="C7343" s="4" t="inlineStr">
        <is>
          <t>mule deer</t>
        </is>
      </c>
      <c r="D7343" s="4" t="n">
        <v>2016</v>
      </c>
      <c r="E7343" s="13" t="inlineStr">
        <is>
          <t>General</t>
        </is>
      </c>
      <c r="F7343" s="5" t="n"/>
      <c r="G7343" s="5" t="n"/>
      <c r="H7343" s="5" t="n">
        <v>181</v>
      </c>
      <c r="I7343" s="5" t="n">
        <v>160</v>
      </c>
      <c r="J7343" s="5" t="n">
        <v>21</v>
      </c>
      <c r="K7343" s="10">
        <f>IF(F7343&gt;0,H7343/F7343,"")</f>
        <v/>
      </c>
      <c r="L7343" s="16">
        <f>IF(AND(G7343&gt;0,H7343&gt;0),G7343/H7343,"")</f>
        <v/>
      </c>
    </row>
    <row r="7344">
      <c r="A7344" s="4" t="inlineStr">
        <is>
          <t>444</t>
        </is>
      </c>
      <c r="B7344" s="4" t="n">
        <v>4</v>
      </c>
      <c r="C7344" s="4" t="inlineStr">
        <is>
          <t>mule deer</t>
        </is>
      </c>
      <c r="D7344" s="4" t="n">
        <v>2017</v>
      </c>
      <c r="E7344" s="13" t="inlineStr">
        <is>
          <t>General</t>
        </is>
      </c>
      <c r="F7344" s="5" t="n">
        <v>800</v>
      </c>
      <c r="G7344" s="5" t="n">
        <v>3350</v>
      </c>
      <c r="H7344" s="5" t="n">
        <v>159</v>
      </c>
      <c r="I7344" s="5" t="n">
        <v>141</v>
      </c>
      <c r="J7344" s="5" t="n">
        <v>18</v>
      </c>
      <c r="K7344" s="10">
        <f>IF(F7344&gt;0,H7344/F7344,"")</f>
        <v/>
      </c>
      <c r="L7344" s="16">
        <f>IF(AND(G7344&gt;0,H7344&gt;0),G7344/H7344,"")</f>
        <v/>
      </c>
    </row>
    <row r="7345">
      <c r="A7345" s="4" t="inlineStr">
        <is>
          <t>444</t>
        </is>
      </c>
      <c r="B7345" s="4" t="n">
        <v>4</v>
      </c>
      <c r="C7345" s="4" t="inlineStr">
        <is>
          <t>mule deer</t>
        </is>
      </c>
      <c r="D7345" s="4" t="n">
        <v>2018</v>
      </c>
      <c r="E7345" s="13" t="inlineStr">
        <is>
          <t>General</t>
        </is>
      </c>
      <c r="F7345" s="5" t="n"/>
      <c r="G7345" s="5" t="n"/>
      <c r="H7345" s="5" t="n">
        <v>162</v>
      </c>
      <c r="I7345" s="5" t="n">
        <v>133</v>
      </c>
      <c r="J7345" s="5" t="n">
        <v>29</v>
      </c>
      <c r="K7345" s="10">
        <f>IF(F7345&gt;0,H7345/F7345,"")</f>
        <v/>
      </c>
      <c r="L7345" s="16">
        <f>IF(AND(G7345&gt;0,H7345&gt;0),G7345/H7345,"")</f>
        <v/>
      </c>
    </row>
    <row r="7346">
      <c r="A7346" s="4" t="inlineStr">
        <is>
          <t>444</t>
        </is>
      </c>
      <c r="B7346" s="4" t="n">
        <v>4</v>
      </c>
      <c r="C7346" s="4" t="inlineStr">
        <is>
          <t>mule deer</t>
        </is>
      </c>
      <c r="D7346" s="4" t="n">
        <v>2019</v>
      </c>
      <c r="E7346" s="13" t="inlineStr">
        <is>
          <t>General</t>
        </is>
      </c>
      <c r="F7346" s="5" t="n">
        <v>645</v>
      </c>
      <c r="G7346" s="5" t="n">
        <v>2813</v>
      </c>
      <c r="H7346" s="5" t="n">
        <v>110</v>
      </c>
      <c r="I7346" s="5" t="n">
        <v>87</v>
      </c>
      <c r="J7346" s="5" t="n">
        <v>20</v>
      </c>
      <c r="K7346" s="10">
        <f>IF(F7346&gt;0,H7346/F7346,"")</f>
        <v/>
      </c>
      <c r="L7346" s="16">
        <f>IF(AND(G7346&gt;0,H7346&gt;0),G7346/H7346,"")</f>
        <v/>
      </c>
    </row>
    <row r="7347">
      <c r="A7347" s="4" t="inlineStr">
        <is>
          <t>444</t>
        </is>
      </c>
      <c r="B7347" s="4" t="n">
        <v>4</v>
      </c>
      <c r="C7347" s="4" t="inlineStr">
        <is>
          <t>mule deer</t>
        </is>
      </c>
      <c r="D7347" s="4" t="n">
        <v>2020</v>
      </c>
      <c r="E7347" s="13" t="inlineStr">
        <is>
          <t>General</t>
        </is>
      </c>
      <c r="F7347" s="5" t="n"/>
      <c r="G7347" s="5" t="n"/>
      <c r="H7347" s="5" t="n">
        <v>171</v>
      </c>
      <c r="I7347" s="5" t="n">
        <v>161</v>
      </c>
      <c r="J7347" s="5" t="n">
        <v>10</v>
      </c>
      <c r="K7347" s="10">
        <f>IF(F7347&gt;0,H7347/F7347,"")</f>
        <v/>
      </c>
      <c r="L7347" s="16">
        <f>IF(AND(G7347&gt;0,H7347&gt;0),G7347/H7347,"")</f>
        <v/>
      </c>
    </row>
    <row r="7348">
      <c r="A7348" s="4" t="inlineStr">
        <is>
          <t>444</t>
        </is>
      </c>
      <c r="B7348" s="4" t="n">
        <v>4</v>
      </c>
      <c r="C7348" s="4" t="inlineStr">
        <is>
          <t>mule deer</t>
        </is>
      </c>
      <c r="D7348" s="4" t="n">
        <v>2021</v>
      </c>
      <c r="E7348" s="13" t="inlineStr">
        <is>
          <t>General</t>
        </is>
      </c>
      <c r="F7348" s="5" t="n">
        <v>845</v>
      </c>
      <c r="G7348" s="5" t="n">
        <v>4457</v>
      </c>
      <c r="H7348" s="5" t="n">
        <v>121</v>
      </c>
      <c r="I7348" s="5" t="n">
        <v>89</v>
      </c>
      <c r="J7348" s="5" t="n">
        <v>28</v>
      </c>
      <c r="K7348" s="10">
        <f>IF(F7348&gt;0,H7348/F7348,"")</f>
        <v/>
      </c>
      <c r="L7348" s="16">
        <f>IF(AND(G7348&gt;0,H7348&gt;0),G7348/H7348,"")</f>
        <v/>
      </c>
    </row>
    <row r="7349">
      <c r="A7349" s="4" t="inlineStr">
        <is>
          <t>444</t>
        </is>
      </c>
      <c r="B7349" s="4" t="n">
        <v>4</v>
      </c>
      <c r="C7349" s="4" t="inlineStr">
        <is>
          <t>mule deer</t>
        </is>
      </c>
      <c r="D7349" s="4" t="n">
        <v>2022</v>
      </c>
      <c r="E7349" s="13" t="inlineStr">
        <is>
          <t>General</t>
        </is>
      </c>
      <c r="F7349" s="5" t="n"/>
      <c r="G7349" s="5" t="n"/>
      <c r="H7349" s="5" t="n">
        <v>147</v>
      </c>
      <c r="I7349" s="5" t="n">
        <v>97</v>
      </c>
      <c r="J7349" s="5" t="n">
        <v>50</v>
      </c>
      <c r="K7349" s="10">
        <f>IF(F7349&gt;0,H7349/F7349,"")</f>
        <v/>
      </c>
      <c r="L7349" s="16">
        <f>IF(AND(G7349&gt;0,H7349&gt;0),G7349/H7349,"")</f>
        <v/>
      </c>
    </row>
    <row r="7350">
      <c r="A7350" s="4" t="inlineStr">
        <is>
          <t>444</t>
        </is>
      </c>
      <c r="B7350" s="4" t="n">
        <v>4</v>
      </c>
      <c r="C7350" s="4" t="inlineStr">
        <is>
          <t>mule deer</t>
        </is>
      </c>
      <c r="D7350" s="4" t="n">
        <v>2023</v>
      </c>
      <c r="E7350" s="13" t="inlineStr">
        <is>
          <t>General</t>
        </is>
      </c>
      <c r="F7350" s="5" t="n">
        <v>750</v>
      </c>
      <c r="G7350" s="5" t="n">
        <v>4082</v>
      </c>
      <c r="H7350" s="5" t="n">
        <v>139</v>
      </c>
      <c r="I7350" s="5" t="n">
        <v>97</v>
      </c>
      <c r="J7350" s="5" t="n">
        <v>41</v>
      </c>
      <c r="K7350" s="10">
        <f>IF(F7350&gt;0,H7350/F7350,"")</f>
        <v/>
      </c>
      <c r="L7350" s="16">
        <f>IF(AND(G7350&gt;0,H7350&gt;0),G7350/H7350,"")</f>
        <v/>
      </c>
    </row>
    <row r="7351">
      <c r="A7351" s="4" t="inlineStr">
        <is>
          <t>444</t>
        </is>
      </c>
      <c r="B7351" s="4" t="n">
        <v>4</v>
      </c>
      <c r="C7351" s="4" t="inlineStr">
        <is>
          <t>mule deer</t>
        </is>
      </c>
      <c r="D7351" s="4" t="n">
        <v>2024</v>
      </c>
      <c r="E7351" s="13" t="inlineStr">
        <is>
          <t>General</t>
        </is>
      </c>
      <c r="F7351" s="5" t="n"/>
      <c r="G7351" s="5" t="n"/>
      <c r="H7351" s="5" t="n">
        <v>159</v>
      </c>
      <c r="I7351" s="5" t="n">
        <v>111</v>
      </c>
      <c r="J7351" s="5" t="n">
        <v>48</v>
      </c>
      <c r="K7351" s="10">
        <f>IF(F7351&gt;0,H7351/F7351,"")</f>
        <v/>
      </c>
      <c r="L7351" s="16">
        <f>IF(AND(G7351&gt;0,H7351&gt;0),G7351/H7351,"")</f>
        <v/>
      </c>
    </row>
    <row r="7352">
      <c r="A7352" s="4" t="inlineStr">
        <is>
          <t>444</t>
        </is>
      </c>
      <c r="B7352" s="4" t="n">
        <v>4</v>
      </c>
      <c r="C7352" s="4" t="inlineStr">
        <is>
          <t>mule deer</t>
        </is>
      </c>
      <c r="D7352" s="4" t="n">
        <v>2025</v>
      </c>
      <c r="E7352" s="13" t="inlineStr">
        <is>
          <t>General</t>
        </is>
      </c>
      <c r="F7352" s="5" t="n">
        <v>840</v>
      </c>
      <c r="G7352" s="5" t="n">
        <v>5719</v>
      </c>
      <c r="H7352" s="5" t="n">
        <v>101</v>
      </c>
      <c r="I7352" s="5" t="n">
        <v>78</v>
      </c>
      <c r="J7352" s="5" t="n">
        <v>23</v>
      </c>
      <c r="K7352" s="10">
        <f>IF(F7352&gt;0,H7352/F7352,"")</f>
        <v/>
      </c>
      <c r="L7352" s="16">
        <f>IF(AND(G7352&gt;0,H7352&gt;0),G7352/H7352,"")</f>
        <v/>
      </c>
    </row>
    <row r="7353">
      <c r="A7353" s="4" t="inlineStr">
        <is>
          <t>445</t>
        </is>
      </c>
      <c r="B7353" s="4" t="n">
        <v>4</v>
      </c>
      <c r="C7353" s="4" t="inlineStr">
        <is>
          <t>mule deer</t>
        </is>
      </c>
      <c r="D7353" s="4" t="n">
        <v>2004</v>
      </c>
      <c r="E7353" s="13" t="inlineStr">
        <is>
          <t>General</t>
        </is>
      </c>
      <c r="F7353" s="5" t="n">
        <v>1693</v>
      </c>
      <c r="G7353" s="5" t="n">
        <v>5785</v>
      </c>
      <c r="H7353" s="5" t="n">
        <v>816</v>
      </c>
      <c r="I7353" s="5" t="n">
        <v>478</v>
      </c>
      <c r="J7353" s="5" t="n">
        <v>334</v>
      </c>
      <c r="K7353" s="10">
        <f>IF(F7353&gt;0,H7353/F7353,"")</f>
        <v/>
      </c>
      <c r="L7353" s="16">
        <f>IF(AND(G7353&gt;0,H7353&gt;0),G7353/H7353,"")</f>
        <v/>
      </c>
    </row>
    <row r="7354">
      <c r="A7354" s="4" t="inlineStr">
        <is>
          <t>445</t>
        </is>
      </c>
      <c r="B7354" s="4" t="n">
        <v>4</v>
      </c>
      <c r="C7354" s="4" t="inlineStr">
        <is>
          <t>mule deer</t>
        </is>
      </c>
      <c r="D7354" s="4" t="n">
        <v>2005</v>
      </c>
      <c r="E7354" s="13" t="inlineStr">
        <is>
          <t>General</t>
        </is>
      </c>
      <c r="F7354" s="5" t="n">
        <v>1268</v>
      </c>
      <c r="G7354" s="5" t="n">
        <v>4651</v>
      </c>
      <c r="H7354" s="5" t="n">
        <v>676</v>
      </c>
      <c r="I7354" s="5" t="n">
        <v>379</v>
      </c>
      <c r="J7354" s="5" t="n">
        <v>294</v>
      </c>
      <c r="K7354" s="10">
        <f>IF(F7354&gt;0,H7354/F7354,"")</f>
        <v/>
      </c>
      <c r="L7354" s="16">
        <f>IF(AND(G7354&gt;0,H7354&gt;0),G7354/H7354,"")</f>
        <v/>
      </c>
    </row>
    <row r="7355">
      <c r="A7355" s="4" t="inlineStr">
        <is>
          <t>445</t>
        </is>
      </c>
      <c r="B7355" s="4" t="n">
        <v>4</v>
      </c>
      <c r="C7355" s="4" t="inlineStr">
        <is>
          <t>mule deer</t>
        </is>
      </c>
      <c r="D7355" s="4" t="n">
        <v>2006</v>
      </c>
      <c r="E7355" s="13" t="inlineStr">
        <is>
          <t>General</t>
        </is>
      </c>
      <c r="F7355" s="5" t="n">
        <v>1426</v>
      </c>
      <c r="G7355" s="5" t="n">
        <v>5929</v>
      </c>
      <c r="H7355" s="5" t="n">
        <v>765</v>
      </c>
      <c r="I7355" s="5" t="n">
        <v>408</v>
      </c>
      <c r="J7355" s="5" t="n">
        <v>357</v>
      </c>
      <c r="K7355" s="10">
        <f>IF(F7355&gt;0,H7355/F7355,"")</f>
        <v/>
      </c>
      <c r="L7355" s="16">
        <f>IF(AND(G7355&gt;0,H7355&gt;0),G7355/H7355,"")</f>
        <v/>
      </c>
    </row>
    <row r="7356">
      <c r="A7356" s="4" t="inlineStr">
        <is>
          <t>445</t>
        </is>
      </c>
      <c r="B7356" s="4" t="n">
        <v>4</v>
      </c>
      <c r="C7356" s="4" t="inlineStr">
        <is>
          <t>mule deer</t>
        </is>
      </c>
      <c r="D7356" s="4" t="n">
        <v>2007</v>
      </c>
      <c r="E7356" s="13" t="inlineStr">
        <is>
          <t>General</t>
        </is>
      </c>
      <c r="F7356" s="5" t="n">
        <v>1581</v>
      </c>
      <c r="G7356" s="5" t="n">
        <v>6613</v>
      </c>
      <c r="H7356" s="5" t="n">
        <v>925</v>
      </c>
      <c r="I7356" s="5" t="n">
        <v>476</v>
      </c>
      <c r="J7356" s="5" t="n">
        <v>440</v>
      </c>
      <c r="K7356" s="10">
        <f>IF(F7356&gt;0,H7356/F7356,"")</f>
        <v/>
      </c>
      <c r="L7356" s="16">
        <f>IF(AND(G7356&gt;0,H7356&gt;0),G7356/H7356,"")</f>
        <v/>
      </c>
    </row>
    <row r="7357">
      <c r="A7357" s="4" t="inlineStr">
        <is>
          <t>445</t>
        </is>
      </c>
      <c r="B7357" s="4" t="n">
        <v>4</v>
      </c>
      <c r="C7357" s="4" t="inlineStr">
        <is>
          <t>mule deer</t>
        </is>
      </c>
      <c r="D7357" s="4" t="n">
        <v>2008</v>
      </c>
      <c r="E7357" s="13" t="inlineStr">
        <is>
          <t>General</t>
        </is>
      </c>
      <c r="F7357" s="5" t="n">
        <v>1613</v>
      </c>
      <c r="G7357" s="5" t="n">
        <v>6668</v>
      </c>
      <c r="H7357" s="5" t="n">
        <v>752</v>
      </c>
      <c r="I7357" s="5" t="n">
        <v>343</v>
      </c>
      <c r="J7357" s="5" t="n">
        <v>404</v>
      </c>
      <c r="K7357" s="10">
        <f>IF(F7357&gt;0,H7357/F7357,"")</f>
        <v/>
      </c>
      <c r="L7357" s="16">
        <f>IF(AND(G7357&gt;0,H7357&gt;0),G7357/H7357,"")</f>
        <v/>
      </c>
    </row>
    <row r="7358">
      <c r="A7358" s="4" t="inlineStr">
        <is>
          <t>445</t>
        </is>
      </c>
      <c r="B7358" s="4" t="n">
        <v>4</v>
      </c>
      <c r="C7358" s="4" t="inlineStr">
        <is>
          <t>mule deer</t>
        </is>
      </c>
      <c r="D7358" s="4" t="n">
        <v>2009</v>
      </c>
      <c r="E7358" s="13" t="inlineStr">
        <is>
          <t>General</t>
        </is>
      </c>
      <c r="F7358" s="5" t="n">
        <v>1883</v>
      </c>
      <c r="G7358" s="5" t="n">
        <v>7989</v>
      </c>
      <c r="H7358" s="5" t="n">
        <v>519</v>
      </c>
      <c r="I7358" s="5" t="n">
        <v>328</v>
      </c>
      <c r="J7358" s="5" t="n">
        <v>183</v>
      </c>
      <c r="K7358" s="10">
        <f>IF(F7358&gt;0,H7358/F7358,"")</f>
        <v/>
      </c>
      <c r="L7358" s="16">
        <f>IF(AND(G7358&gt;0,H7358&gt;0),G7358/H7358,"")</f>
        <v/>
      </c>
    </row>
    <row r="7359">
      <c r="A7359" s="4" t="inlineStr">
        <is>
          <t>445</t>
        </is>
      </c>
      <c r="B7359" s="4" t="n">
        <v>4</v>
      </c>
      <c r="C7359" s="4" t="inlineStr">
        <is>
          <t>mule deer</t>
        </is>
      </c>
      <c r="D7359" s="4" t="n">
        <v>2010</v>
      </c>
      <c r="E7359" s="13" t="inlineStr">
        <is>
          <t>General</t>
        </is>
      </c>
      <c r="F7359" s="5" t="n">
        <v>1894</v>
      </c>
      <c r="G7359" s="5" t="n">
        <v>8242</v>
      </c>
      <c r="H7359" s="5" t="n">
        <v>483</v>
      </c>
      <c r="I7359" s="5" t="n">
        <v>348</v>
      </c>
      <c r="J7359" s="5" t="n">
        <v>131</v>
      </c>
      <c r="K7359" s="10">
        <f>IF(F7359&gt;0,H7359/F7359,"")</f>
        <v/>
      </c>
      <c r="L7359" s="16">
        <f>IF(AND(G7359&gt;0,H7359&gt;0),G7359/H7359,"")</f>
        <v/>
      </c>
    </row>
    <row r="7360">
      <c r="A7360" s="4" t="inlineStr">
        <is>
          <t>445</t>
        </is>
      </c>
      <c r="B7360" s="4" t="n">
        <v>4</v>
      </c>
      <c r="C7360" s="4" t="inlineStr">
        <is>
          <t>mule deer</t>
        </is>
      </c>
      <c r="D7360" s="4" t="n">
        <v>2011</v>
      </c>
      <c r="E7360" s="13" t="inlineStr">
        <is>
          <t>General</t>
        </is>
      </c>
      <c r="F7360" s="5" t="n">
        <v>2025</v>
      </c>
      <c r="G7360" s="5" t="n">
        <v>9117</v>
      </c>
      <c r="H7360" s="5" t="n">
        <v>410</v>
      </c>
      <c r="I7360" s="5" t="n">
        <v>344</v>
      </c>
      <c r="J7360" s="5" t="n">
        <v>62</v>
      </c>
      <c r="K7360" s="10">
        <f>IF(F7360&gt;0,H7360/F7360,"")</f>
        <v/>
      </c>
      <c r="L7360" s="16">
        <f>IF(AND(G7360&gt;0,H7360&gt;0),G7360/H7360,"")</f>
        <v/>
      </c>
    </row>
    <row r="7361">
      <c r="A7361" s="4" t="inlineStr">
        <is>
          <t>445</t>
        </is>
      </c>
      <c r="B7361" s="4" t="n">
        <v>4</v>
      </c>
      <c r="C7361" s="4" t="inlineStr">
        <is>
          <t>mule deer</t>
        </is>
      </c>
      <c r="D7361" s="4" t="n">
        <v>2012</v>
      </c>
      <c r="E7361" s="13" t="inlineStr">
        <is>
          <t>General</t>
        </is>
      </c>
      <c r="F7361" s="5" t="n"/>
      <c r="G7361" s="5" t="n"/>
      <c r="H7361" s="5" t="n">
        <v>376</v>
      </c>
      <c r="I7361" s="5" t="n">
        <v>296</v>
      </c>
      <c r="J7361" s="5" t="n">
        <v>79</v>
      </c>
      <c r="K7361" s="10">
        <f>IF(F7361&gt;0,H7361/F7361,"")</f>
        <v/>
      </c>
      <c r="L7361" s="16">
        <f>IF(AND(G7361&gt;0,H7361&gt;0),G7361/H7361,"")</f>
        <v/>
      </c>
    </row>
    <row r="7362">
      <c r="A7362" s="4" t="inlineStr">
        <is>
          <t>445</t>
        </is>
      </c>
      <c r="B7362" s="4" t="n">
        <v>4</v>
      </c>
      <c r="C7362" s="4" t="inlineStr">
        <is>
          <t>mule deer</t>
        </is>
      </c>
      <c r="D7362" s="4" t="n">
        <v>2013</v>
      </c>
      <c r="E7362" s="13" t="inlineStr">
        <is>
          <t>General</t>
        </is>
      </c>
      <c r="F7362" s="5" t="n">
        <v>1712</v>
      </c>
      <c r="G7362" s="5" t="n">
        <v>7841</v>
      </c>
      <c r="H7362" s="5" t="n">
        <v>504</v>
      </c>
      <c r="I7362" s="5" t="n">
        <v>408</v>
      </c>
      <c r="J7362" s="5" t="n">
        <v>91</v>
      </c>
      <c r="K7362" s="10">
        <f>IF(F7362&gt;0,H7362/F7362,"")</f>
        <v/>
      </c>
      <c r="L7362" s="16">
        <f>IF(AND(G7362&gt;0,H7362&gt;0),G7362/H7362,"")</f>
        <v/>
      </c>
    </row>
    <row r="7363">
      <c r="A7363" s="4" t="inlineStr">
        <is>
          <t>445</t>
        </is>
      </c>
      <c r="B7363" s="4" t="n">
        <v>4</v>
      </c>
      <c r="C7363" s="4" t="inlineStr">
        <is>
          <t>mule deer</t>
        </is>
      </c>
      <c r="D7363" s="4" t="n">
        <v>2014</v>
      </c>
      <c r="E7363" s="13" t="inlineStr">
        <is>
          <t>General</t>
        </is>
      </c>
      <c r="F7363" s="5" t="n"/>
      <c r="G7363" s="5" t="n"/>
      <c r="H7363" s="5" t="n">
        <v>256</v>
      </c>
      <c r="I7363" s="5" t="n">
        <v>256</v>
      </c>
      <c r="J7363" s="5" t="n">
        <v>0</v>
      </c>
      <c r="K7363" s="10">
        <f>IF(F7363&gt;0,H7363/F7363,"")</f>
        <v/>
      </c>
      <c r="L7363" s="16">
        <f>IF(AND(G7363&gt;0,H7363&gt;0),G7363/H7363,"")</f>
        <v/>
      </c>
    </row>
    <row r="7364">
      <c r="A7364" s="4" t="inlineStr">
        <is>
          <t>445</t>
        </is>
      </c>
      <c r="B7364" s="4" t="n">
        <v>4</v>
      </c>
      <c r="C7364" s="4" t="inlineStr">
        <is>
          <t>mule deer</t>
        </is>
      </c>
      <c r="D7364" s="4" t="n">
        <v>2015</v>
      </c>
      <c r="E7364" s="13" t="inlineStr">
        <is>
          <t>General</t>
        </is>
      </c>
      <c r="F7364" s="5" t="n"/>
      <c r="G7364" s="5" t="n"/>
      <c r="H7364" s="5" t="n">
        <v>309</v>
      </c>
      <c r="I7364" s="5" t="n">
        <v>309</v>
      </c>
      <c r="J7364" s="5" t="n">
        <v>0</v>
      </c>
      <c r="K7364" s="10">
        <f>IF(F7364&gt;0,H7364/F7364,"")</f>
        <v/>
      </c>
      <c r="L7364" s="16">
        <f>IF(AND(G7364&gt;0,H7364&gt;0),G7364/H7364,"")</f>
        <v/>
      </c>
    </row>
    <row r="7365">
      <c r="A7365" s="4" t="inlineStr">
        <is>
          <t>445</t>
        </is>
      </c>
      <c r="B7365" s="4" t="n">
        <v>4</v>
      </c>
      <c r="C7365" s="4" t="inlineStr">
        <is>
          <t>mule deer</t>
        </is>
      </c>
      <c r="D7365" s="4" t="n">
        <v>2016</v>
      </c>
      <c r="E7365" s="13" t="inlineStr">
        <is>
          <t>General</t>
        </is>
      </c>
      <c r="F7365" s="5" t="n"/>
      <c r="G7365" s="5" t="n"/>
      <c r="H7365" s="5" t="n">
        <v>431</v>
      </c>
      <c r="I7365" s="5" t="n">
        <v>324</v>
      </c>
      <c r="J7365" s="5" t="n">
        <v>104</v>
      </c>
      <c r="K7365" s="10">
        <f>IF(F7365&gt;0,H7365/F7365,"")</f>
        <v/>
      </c>
      <c r="L7365" s="16">
        <f>IF(AND(G7365&gt;0,H7365&gt;0),G7365/H7365,"")</f>
        <v/>
      </c>
    </row>
    <row r="7366">
      <c r="A7366" s="4" t="inlineStr">
        <is>
          <t>445</t>
        </is>
      </c>
      <c r="B7366" s="4" t="n">
        <v>4</v>
      </c>
      <c r="C7366" s="4" t="inlineStr">
        <is>
          <t>mule deer</t>
        </is>
      </c>
      <c r="D7366" s="4" t="n">
        <v>2017</v>
      </c>
      <c r="E7366" s="13" t="inlineStr">
        <is>
          <t>General</t>
        </is>
      </c>
      <c r="F7366" s="5" t="n">
        <v>1218</v>
      </c>
      <c r="G7366" s="5" t="n">
        <v>5142</v>
      </c>
      <c r="H7366" s="5" t="n">
        <v>330</v>
      </c>
      <c r="I7366" s="5" t="n">
        <v>260</v>
      </c>
      <c r="J7366" s="5" t="n">
        <v>69</v>
      </c>
      <c r="K7366" s="10">
        <f>IF(F7366&gt;0,H7366/F7366,"")</f>
        <v/>
      </c>
      <c r="L7366" s="16">
        <f>IF(AND(G7366&gt;0,H7366&gt;0),G7366/H7366,"")</f>
        <v/>
      </c>
    </row>
    <row r="7367">
      <c r="A7367" s="4" t="inlineStr">
        <is>
          <t>445</t>
        </is>
      </c>
      <c r="B7367" s="4" t="n">
        <v>4</v>
      </c>
      <c r="C7367" s="4" t="inlineStr">
        <is>
          <t>mule deer</t>
        </is>
      </c>
      <c r="D7367" s="4" t="n">
        <v>2018</v>
      </c>
      <c r="E7367" s="13" t="inlineStr">
        <is>
          <t>General</t>
        </is>
      </c>
      <c r="F7367" s="5" t="n"/>
      <c r="G7367" s="5" t="n"/>
      <c r="H7367" s="5" t="n">
        <v>403</v>
      </c>
      <c r="I7367" s="5" t="n">
        <v>293</v>
      </c>
      <c r="J7367" s="5" t="n">
        <v>110</v>
      </c>
      <c r="K7367" s="10">
        <f>IF(F7367&gt;0,H7367/F7367,"")</f>
        <v/>
      </c>
      <c r="L7367" s="16">
        <f>IF(AND(G7367&gt;0,H7367&gt;0),G7367/H7367,"")</f>
        <v/>
      </c>
    </row>
    <row r="7368">
      <c r="A7368" s="4" t="inlineStr">
        <is>
          <t>445</t>
        </is>
      </c>
      <c r="B7368" s="4" t="n">
        <v>4</v>
      </c>
      <c r="C7368" s="4" t="inlineStr">
        <is>
          <t>mule deer</t>
        </is>
      </c>
      <c r="D7368" s="4" t="n">
        <v>2019</v>
      </c>
      <c r="E7368" s="13" t="inlineStr">
        <is>
          <t>General</t>
        </is>
      </c>
      <c r="F7368" s="5" t="n">
        <v>1254</v>
      </c>
      <c r="G7368" s="5" t="n">
        <v>5609</v>
      </c>
      <c r="H7368" s="5" t="n">
        <v>290</v>
      </c>
      <c r="I7368" s="5" t="n">
        <v>234</v>
      </c>
      <c r="J7368" s="5" t="n">
        <v>56</v>
      </c>
      <c r="K7368" s="10">
        <f>IF(F7368&gt;0,H7368/F7368,"")</f>
        <v/>
      </c>
      <c r="L7368" s="16">
        <f>IF(AND(G7368&gt;0,H7368&gt;0),G7368/H7368,"")</f>
        <v/>
      </c>
    </row>
    <row r="7369">
      <c r="A7369" s="4" t="inlineStr">
        <is>
          <t>445</t>
        </is>
      </c>
      <c r="B7369" s="4" t="n">
        <v>4</v>
      </c>
      <c r="C7369" s="4" t="inlineStr">
        <is>
          <t>mule deer</t>
        </is>
      </c>
      <c r="D7369" s="4" t="n">
        <v>2020</v>
      </c>
      <c r="E7369" s="13" t="inlineStr">
        <is>
          <t>General</t>
        </is>
      </c>
      <c r="F7369" s="5" t="n"/>
      <c r="G7369" s="5" t="n"/>
      <c r="H7369" s="5" t="n">
        <v>236</v>
      </c>
      <c r="I7369" s="5" t="n">
        <v>167</v>
      </c>
      <c r="J7369" s="5" t="n">
        <v>65</v>
      </c>
      <c r="K7369" s="10">
        <f>IF(F7369&gt;0,H7369/F7369,"")</f>
        <v/>
      </c>
      <c r="L7369" s="16">
        <f>IF(AND(G7369&gt;0,H7369&gt;0),G7369/H7369,"")</f>
        <v/>
      </c>
    </row>
    <row r="7370">
      <c r="A7370" s="4" t="inlineStr">
        <is>
          <t>445</t>
        </is>
      </c>
      <c r="B7370" s="4" t="n">
        <v>4</v>
      </c>
      <c r="C7370" s="4" t="inlineStr">
        <is>
          <t>mule deer</t>
        </is>
      </c>
      <c r="D7370" s="4" t="n">
        <v>2021</v>
      </c>
      <c r="E7370" s="13" t="inlineStr">
        <is>
          <t>General</t>
        </is>
      </c>
      <c r="F7370" s="5" t="n">
        <v>1257</v>
      </c>
      <c r="G7370" s="5" t="n">
        <v>6120</v>
      </c>
      <c r="H7370" s="5" t="n">
        <v>283</v>
      </c>
      <c r="I7370" s="5" t="n">
        <v>209</v>
      </c>
      <c r="J7370" s="5" t="n">
        <v>70</v>
      </c>
      <c r="K7370" s="10">
        <f>IF(F7370&gt;0,H7370/F7370,"")</f>
        <v/>
      </c>
      <c r="L7370" s="16">
        <f>IF(AND(G7370&gt;0,H7370&gt;0),G7370/H7370,"")</f>
        <v/>
      </c>
    </row>
    <row r="7371">
      <c r="A7371" s="4" t="inlineStr">
        <is>
          <t>445</t>
        </is>
      </c>
      <c r="B7371" s="4" t="n">
        <v>4</v>
      </c>
      <c r="C7371" s="4" t="inlineStr">
        <is>
          <t>mule deer</t>
        </is>
      </c>
      <c r="D7371" s="4" t="n">
        <v>2022</v>
      </c>
      <c r="E7371" s="13" t="inlineStr">
        <is>
          <t>General</t>
        </is>
      </c>
      <c r="F7371" s="5" t="n"/>
      <c r="G7371" s="5" t="n"/>
      <c r="H7371" s="5" t="n">
        <v>249</v>
      </c>
      <c r="I7371" s="5" t="n">
        <v>223</v>
      </c>
      <c r="J7371" s="5" t="n">
        <v>26</v>
      </c>
      <c r="K7371" s="10">
        <f>IF(F7371&gt;0,H7371/F7371,"")</f>
        <v/>
      </c>
      <c r="L7371" s="16">
        <f>IF(AND(G7371&gt;0,H7371&gt;0),G7371/H7371,"")</f>
        <v/>
      </c>
    </row>
    <row r="7372">
      <c r="A7372" s="4" t="inlineStr">
        <is>
          <t>445</t>
        </is>
      </c>
      <c r="B7372" s="4" t="n">
        <v>4</v>
      </c>
      <c r="C7372" s="4" t="inlineStr">
        <is>
          <t>mule deer</t>
        </is>
      </c>
      <c r="D7372" s="4" t="n">
        <v>2023</v>
      </c>
      <c r="E7372" s="13" t="inlineStr">
        <is>
          <t>General</t>
        </is>
      </c>
      <c r="F7372" s="5" t="n">
        <v>1225</v>
      </c>
      <c r="G7372" s="5" t="n">
        <v>6216</v>
      </c>
      <c r="H7372" s="5" t="n">
        <v>242</v>
      </c>
      <c r="I7372" s="5" t="n">
        <v>229</v>
      </c>
      <c r="J7372" s="5" t="n">
        <v>13</v>
      </c>
      <c r="K7372" s="10">
        <f>IF(F7372&gt;0,H7372/F7372,"")</f>
        <v/>
      </c>
      <c r="L7372" s="16">
        <f>IF(AND(G7372&gt;0,H7372&gt;0),G7372/H7372,"")</f>
        <v/>
      </c>
    </row>
    <row r="7373">
      <c r="A7373" s="4" t="inlineStr">
        <is>
          <t>445</t>
        </is>
      </c>
      <c r="B7373" s="4" t="n">
        <v>4</v>
      </c>
      <c r="C7373" s="4" t="inlineStr">
        <is>
          <t>mule deer</t>
        </is>
      </c>
      <c r="D7373" s="4" t="n">
        <v>2024</v>
      </c>
      <c r="E7373" s="13" t="inlineStr">
        <is>
          <t>General</t>
        </is>
      </c>
      <c r="F7373" s="5" t="n"/>
      <c r="G7373" s="5" t="n"/>
      <c r="H7373" s="5" t="n">
        <v>319</v>
      </c>
      <c r="I7373" s="5" t="n">
        <v>300</v>
      </c>
      <c r="J7373" s="5" t="n">
        <v>18</v>
      </c>
      <c r="K7373" s="10">
        <f>IF(F7373&gt;0,H7373/F7373,"")</f>
        <v/>
      </c>
      <c r="L7373" s="16">
        <f>IF(AND(G7373&gt;0,H7373&gt;0),G7373/H7373,"")</f>
        <v/>
      </c>
    </row>
    <row r="7374">
      <c r="A7374" s="4" t="inlineStr">
        <is>
          <t>445</t>
        </is>
      </c>
      <c r="B7374" s="4" t="n">
        <v>4</v>
      </c>
      <c r="C7374" s="4" t="inlineStr">
        <is>
          <t>mule deer</t>
        </is>
      </c>
      <c r="D7374" s="4" t="n">
        <v>2025</v>
      </c>
      <c r="E7374" s="13" t="inlineStr">
        <is>
          <t>General</t>
        </is>
      </c>
      <c r="F7374" s="5" t="n">
        <v>1281</v>
      </c>
      <c r="G7374" s="5" t="n">
        <v>6561</v>
      </c>
      <c r="H7374" s="5" t="n">
        <v>221</v>
      </c>
      <c r="I7374" s="5" t="n">
        <v>190</v>
      </c>
      <c r="J7374" s="5" t="n">
        <v>31</v>
      </c>
      <c r="K7374" s="10">
        <f>IF(F7374&gt;0,H7374/F7374,"")</f>
        <v/>
      </c>
      <c r="L7374" s="16">
        <f>IF(AND(G7374&gt;0,H7374&gt;0),G7374/H7374,"")</f>
        <v/>
      </c>
    </row>
    <row r="7375">
      <c r="A7375" s="4" t="inlineStr">
        <is>
          <t>446</t>
        </is>
      </c>
      <c r="B7375" s="4" t="n">
        <v>4</v>
      </c>
      <c r="C7375" s="4" t="inlineStr">
        <is>
          <t>mule deer</t>
        </is>
      </c>
      <c r="D7375" s="4" t="n">
        <v>2004</v>
      </c>
      <c r="E7375" s="13" t="inlineStr">
        <is>
          <t>General</t>
        </is>
      </c>
      <c r="F7375" s="5" t="n">
        <v>699</v>
      </c>
      <c r="G7375" s="5" t="n">
        <v>3628</v>
      </c>
      <c r="H7375" s="5" t="n">
        <v>213</v>
      </c>
      <c r="I7375" s="5" t="n">
        <v>169</v>
      </c>
      <c r="J7375" s="5" t="n">
        <v>40</v>
      </c>
      <c r="K7375" s="10">
        <f>IF(F7375&gt;0,H7375/F7375,"")</f>
        <v/>
      </c>
      <c r="L7375" s="16">
        <f>IF(AND(G7375&gt;0,H7375&gt;0),G7375/H7375,"")</f>
        <v/>
      </c>
    </row>
    <row r="7376">
      <c r="A7376" s="4" t="inlineStr">
        <is>
          <t>446</t>
        </is>
      </c>
      <c r="B7376" s="4" t="n">
        <v>4</v>
      </c>
      <c r="C7376" s="4" t="inlineStr">
        <is>
          <t>mule deer</t>
        </is>
      </c>
      <c r="D7376" s="4" t="n">
        <v>2005</v>
      </c>
      <c r="E7376" s="13" t="inlineStr">
        <is>
          <t>General</t>
        </is>
      </c>
      <c r="F7376" s="5" t="n">
        <v>577</v>
      </c>
      <c r="G7376" s="5" t="n">
        <v>3191</v>
      </c>
      <c r="H7376" s="5" t="n">
        <v>171</v>
      </c>
      <c r="I7376" s="5" t="n">
        <v>147</v>
      </c>
      <c r="J7376" s="5" t="n">
        <v>24</v>
      </c>
      <c r="K7376" s="10">
        <f>IF(F7376&gt;0,H7376/F7376,"")</f>
        <v/>
      </c>
      <c r="L7376" s="16">
        <f>IF(AND(G7376&gt;0,H7376&gt;0),G7376/H7376,"")</f>
        <v/>
      </c>
    </row>
    <row r="7377">
      <c r="A7377" s="4" t="inlineStr">
        <is>
          <t>446</t>
        </is>
      </c>
      <c r="B7377" s="4" t="n">
        <v>4</v>
      </c>
      <c r="C7377" s="4" t="inlineStr">
        <is>
          <t>mule deer</t>
        </is>
      </c>
      <c r="D7377" s="4" t="n">
        <v>2006</v>
      </c>
      <c r="E7377" s="13" t="inlineStr">
        <is>
          <t>General</t>
        </is>
      </c>
      <c r="F7377" s="5" t="n">
        <v>854</v>
      </c>
      <c r="G7377" s="5" t="n">
        <v>4451</v>
      </c>
      <c r="H7377" s="5" t="n">
        <v>234</v>
      </c>
      <c r="I7377" s="5" t="n">
        <v>183</v>
      </c>
      <c r="J7377" s="5" t="n">
        <v>44</v>
      </c>
      <c r="K7377" s="10">
        <f>IF(F7377&gt;0,H7377/F7377,"")</f>
        <v/>
      </c>
      <c r="L7377" s="16">
        <f>IF(AND(G7377&gt;0,H7377&gt;0),G7377/H7377,"")</f>
        <v/>
      </c>
    </row>
    <row r="7378">
      <c r="A7378" s="4" t="inlineStr">
        <is>
          <t>446</t>
        </is>
      </c>
      <c r="B7378" s="4" t="n">
        <v>4</v>
      </c>
      <c r="C7378" s="4" t="inlineStr">
        <is>
          <t>mule deer</t>
        </is>
      </c>
      <c r="D7378" s="4" t="n">
        <v>2007</v>
      </c>
      <c r="E7378" s="13" t="inlineStr">
        <is>
          <t>General</t>
        </is>
      </c>
      <c r="F7378" s="5" t="n">
        <v>750</v>
      </c>
      <c r="G7378" s="5" t="n">
        <v>4711</v>
      </c>
      <c r="H7378" s="5" t="n">
        <v>138</v>
      </c>
      <c r="I7378" s="5" t="n">
        <v>103</v>
      </c>
      <c r="J7378" s="5" t="n">
        <v>30</v>
      </c>
      <c r="K7378" s="10">
        <f>IF(F7378&gt;0,H7378/F7378,"")</f>
        <v/>
      </c>
      <c r="L7378" s="16">
        <f>IF(AND(G7378&gt;0,H7378&gt;0),G7378/H7378,"")</f>
        <v/>
      </c>
    </row>
    <row r="7379">
      <c r="A7379" s="4" t="inlineStr">
        <is>
          <t>446</t>
        </is>
      </c>
      <c r="B7379" s="4" t="n">
        <v>4</v>
      </c>
      <c r="C7379" s="4" t="inlineStr">
        <is>
          <t>mule deer</t>
        </is>
      </c>
      <c r="D7379" s="4" t="n">
        <v>2008</v>
      </c>
      <c r="E7379" s="13" t="inlineStr">
        <is>
          <t>General</t>
        </is>
      </c>
      <c r="F7379" s="5" t="n">
        <v>752</v>
      </c>
      <c r="G7379" s="5" t="n">
        <v>4466</v>
      </c>
      <c r="H7379" s="5" t="n">
        <v>132</v>
      </c>
      <c r="I7379" s="5" t="n">
        <v>120</v>
      </c>
      <c r="J7379" s="5" t="n">
        <v>12</v>
      </c>
      <c r="K7379" s="10">
        <f>IF(F7379&gt;0,H7379/F7379,"")</f>
        <v/>
      </c>
      <c r="L7379" s="16">
        <f>IF(AND(G7379&gt;0,H7379&gt;0),G7379/H7379,"")</f>
        <v/>
      </c>
    </row>
    <row r="7380">
      <c r="A7380" s="4" t="inlineStr">
        <is>
          <t>446</t>
        </is>
      </c>
      <c r="B7380" s="4" t="n">
        <v>4</v>
      </c>
      <c r="C7380" s="4" t="inlineStr">
        <is>
          <t>mule deer</t>
        </is>
      </c>
      <c r="D7380" s="4" t="n">
        <v>2009</v>
      </c>
      <c r="E7380" s="13" t="inlineStr">
        <is>
          <t>General</t>
        </is>
      </c>
      <c r="F7380" s="5" t="n">
        <v>640</v>
      </c>
      <c r="G7380" s="5" t="n">
        <v>3314</v>
      </c>
      <c r="H7380" s="5" t="n">
        <v>100</v>
      </c>
      <c r="I7380" s="5" t="n">
        <v>94</v>
      </c>
      <c r="J7380" s="5" t="n">
        <v>6</v>
      </c>
      <c r="K7380" s="10">
        <f>IF(F7380&gt;0,H7380/F7380,"")</f>
        <v/>
      </c>
      <c r="L7380" s="16">
        <f>IF(AND(G7380&gt;0,H7380&gt;0),G7380/H7380,"")</f>
        <v/>
      </c>
    </row>
    <row r="7381">
      <c r="A7381" s="4" t="inlineStr">
        <is>
          <t>446</t>
        </is>
      </c>
      <c r="B7381" s="4" t="n">
        <v>4</v>
      </c>
      <c r="C7381" s="4" t="inlineStr">
        <is>
          <t>mule deer</t>
        </is>
      </c>
      <c r="D7381" s="4" t="n">
        <v>2010</v>
      </c>
      <c r="E7381" s="13" t="inlineStr">
        <is>
          <t>General</t>
        </is>
      </c>
      <c r="F7381" s="5" t="n">
        <v>706</v>
      </c>
      <c r="G7381" s="5" t="n">
        <v>4040</v>
      </c>
      <c r="H7381" s="5" t="n">
        <v>114</v>
      </c>
      <c r="I7381" s="5" t="n">
        <v>108</v>
      </c>
      <c r="J7381" s="5" t="n">
        <v>6</v>
      </c>
      <c r="K7381" s="10">
        <f>IF(F7381&gt;0,H7381/F7381,"")</f>
        <v/>
      </c>
      <c r="L7381" s="16">
        <f>IF(AND(G7381&gt;0,H7381&gt;0),G7381/H7381,"")</f>
        <v/>
      </c>
    </row>
    <row r="7382">
      <c r="A7382" s="4" t="inlineStr">
        <is>
          <t>446</t>
        </is>
      </c>
      <c r="B7382" s="4" t="n">
        <v>4</v>
      </c>
      <c r="C7382" s="4" t="inlineStr">
        <is>
          <t>mule deer</t>
        </is>
      </c>
      <c r="D7382" s="4" t="n">
        <v>2011</v>
      </c>
      <c r="E7382" s="13" t="inlineStr">
        <is>
          <t>General</t>
        </is>
      </c>
      <c r="F7382" s="5" t="n">
        <v>764</v>
      </c>
      <c r="G7382" s="5" t="n">
        <v>5369</v>
      </c>
      <c r="H7382" s="5" t="n">
        <v>122</v>
      </c>
      <c r="I7382" s="5" t="n">
        <v>119</v>
      </c>
      <c r="J7382" s="5" t="n">
        <v>3</v>
      </c>
      <c r="K7382" s="10">
        <f>IF(F7382&gt;0,H7382/F7382,"")</f>
        <v/>
      </c>
      <c r="L7382" s="16">
        <f>IF(AND(G7382&gt;0,H7382&gt;0),G7382/H7382,"")</f>
        <v/>
      </c>
    </row>
    <row r="7383">
      <c r="A7383" s="4" t="inlineStr">
        <is>
          <t>446</t>
        </is>
      </c>
      <c r="B7383" s="4" t="n">
        <v>4</v>
      </c>
      <c r="C7383" s="4" t="inlineStr">
        <is>
          <t>mule deer</t>
        </is>
      </c>
      <c r="D7383" s="4" t="n">
        <v>2012</v>
      </c>
      <c r="E7383" s="13" t="inlineStr">
        <is>
          <t>General</t>
        </is>
      </c>
      <c r="F7383" s="5" t="n"/>
      <c r="G7383" s="5" t="n"/>
      <c r="H7383" s="5" t="n">
        <v>122</v>
      </c>
      <c r="I7383" s="5" t="n">
        <v>116</v>
      </c>
      <c r="J7383" s="5" t="n">
        <v>6</v>
      </c>
      <c r="K7383" s="10">
        <f>IF(F7383&gt;0,H7383/F7383,"")</f>
        <v/>
      </c>
      <c r="L7383" s="16">
        <f>IF(AND(G7383&gt;0,H7383&gt;0),G7383/H7383,"")</f>
        <v/>
      </c>
    </row>
    <row r="7384">
      <c r="A7384" s="4" t="inlineStr">
        <is>
          <t>446</t>
        </is>
      </c>
      <c r="B7384" s="4" t="n">
        <v>4</v>
      </c>
      <c r="C7384" s="4" t="inlineStr">
        <is>
          <t>mule deer</t>
        </is>
      </c>
      <c r="D7384" s="4" t="n">
        <v>2013</v>
      </c>
      <c r="E7384" s="13" t="inlineStr">
        <is>
          <t>General</t>
        </is>
      </c>
      <c r="F7384" s="5" t="n">
        <v>885</v>
      </c>
      <c r="G7384" s="5" t="n">
        <v>4939</v>
      </c>
      <c r="H7384" s="5" t="n">
        <v>119</v>
      </c>
      <c r="I7384" s="5" t="n">
        <v>114</v>
      </c>
      <c r="J7384" s="5" t="n">
        <v>5</v>
      </c>
      <c r="K7384" s="10">
        <f>IF(F7384&gt;0,H7384/F7384,"")</f>
        <v/>
      </c>
      <c r="L7384" s="16">
        <f>IF(AND(G7384&gt;0,H7384&gt;0),G7384/H7384,"")</f>
        <v/>
      </c>
    </row>
    <row r="7385">
      <c r="A7385" s="4" t="inlineStr">
        <is>
          <t>446</t>
        </is>
      </c>
      <c r="B7385" s="4" t="n">
        <v>4</v>
      </c>
      <c r="C7385" s="4" t="inlineStr">
        <is>
          <t>mule deer</t>
        </is>
      </c>
      <c r="D7385" s="4" t="n">
        <v>2014</v>
      </c>
      <c r="E7385" s="13" t="inlineStr">
        <is>
          <t>General</t>
        </is>
      </c>
      <c r="F7385" s="5" t="n"/>
      <c r="G7385" s="5" t="n"/>
      <c r="H7385" s="5" t="n">
        <v>130</v>
      </c>
      <c r="I7385" s="5" t="n">
        <v>127</v>
      </c>
      <c r="J7385" s="5" t="n">
        <v>3</v>
      </c>
      <c r="K7385" s="10">
        <f>IF(F7385&gt;0,H7385/F7385,"")</f>
        <v/>
      </c>
      <c r="L7385" s="16">
        <f>IF(AND(G7385&gt;0,H7385&gt;0),G7385/H7385,"")</f>
        <v/>
      </c>
    </row>
    <row r="7386">
      <c r="A7386" s="4" t="inlineStr">
        <is>
          <t>446</t>
        </is>
      </c>
      <c r="B7386" s="4" t="n">
        <v>4</v>
      </c>
      <c r="C7386" s="4" t="inlineStr">
        <is>
          <t>mule deer</t>
        </is>
      </c>
      <c r="D7386" s="4" t="n">
        <v>2015</v>
      </c>
      <c r="E7386" s="13" t="inlineStr">
        <is>
          <t>General</t>
        </is>
      </c>
      <c r="F7386" s="5" t="n"/>
      <c r="G7386" s="5" t="n"/>
      <c r="H7386" s="5" t="n">
        <v>188</v>
      </c>
      <c r="I7386" s="5" t="n">
        <v>182</v>
      </c>
      <c r="J7386" s="5" t="n">
        <v>6</v>
      </c>
      <c r="K7386" s="10">
        <f>IF(F7386&gt;0,H7386/F7386,"")</f>
        <v/>
      </c>
      <c r="L7386" s="16">
        <f>IF(AND(G7386&gt;0,H7386&gt;0),G7386/H7386,"")</f>
        <v/>
      </c>
    </row>
    <row r="7387">
      <c r="A7387" s="4" t="inlineStr">
        <is>
          <t>446</t>
        </is>
      </c>
      <c r="B7387" s="4" t="n">
        <v>4</v>
      </c>
      <c r="C7387" s="4" t="inlineStr">
        <is>
          <t>mule deer</t>
        </is>
      </c>
      <c r="D7387" s="4" t="n">
        <v>2016</v>
      </c>
      <c r="E7387" s="13" t="inlineStr">
        <is>
          <t>General</t>
        </is>
      </c>
      <c r="F7387" s="5" t="n"/>
      <c r="G7387" s="5" t="n"/>
      <c r="H7387" s="5" t="n">
        <v>235</v>
      </c>
      <c r="I7387" s="5" t="n">
        <v>229</v>
      </c>
      <c r="J7387" s="5" t="n">
        <v>6</v>
      </c>
      <c r="K7387" s="10">
        <f>IF(F7387&gt;0,H7387/F7387,"")</f>
        <v/>
      </c>
      <c r="L7387" s="16">
        <f>IF(AND(G7387&gt;0,H7387&gt;0),G7387/H7387,"")</f>
        <v/>
      </c>
    </row>
    <row r="7388">
      <c r="A7388" s="4" t="inlineStr">
        <is>
          <t>446</t>
        </is>
      </c>
      <c r="B7388" s="4" t="n">
        <v>4</v>
      </c>
      <c r="C7388" s="4" t="inlineStr">
        <is>
          <t>mule deer</t>
        </is>
      </c>
      <c r="D7388" s="4" t="n">
        <v>2017</v>
      </c>
      <c r="E7388" s="13" t="inlineStr">
        <is>
          <t>General</t>
        </is>
      </c>
      <c r="F7388" s="5" t="n">
        <v>828</v>
      </c>
      <c r="G7388" s="5" t="n">
        <v>4662</v>
      </c>
      <c r="H7388" s="5" t="n">
        <v>146</v>
      </c>
      <c r="I7388" s="5" t="n">
        <v>145</v>
      </c>
      <c r="J7388" s="5" t="n">
        <v>2</v>
      </c>
      <c r="K7388" s="10">
        <f>IF(F7388&gt;0,H7388/F7388,"")</f>
        <v/>
      </c>
      <c r="L7388" s="16">
        <f>IF(AND(G7388&gt;0,H7388&gt;0),G7388/H7388,"")</f>
        <v/>
      </c>
    </row>
    <row r="7389">
      <c r="A7389" s="4" t="inlineStr">
        <is>
          <t>446</t>
        </is>
      </c>
      <c r="B7389" s="4" t="n">
        <v>4</v>
      </c>
      <c r="C7389" s="4" t="inlineStr">
        <is>
          <t>mule deer</t>
        </is>
      </c>
      <c r="D7389" s="4" t="n">
        <v>2018</v>
      </c>
      <c r="E7389" s="13" t="inlineStr">
        <is>
          <t>General</t>
        </is>
      </c>
      <c r="F7389" s="5" t="n"/>
      <c r="G7389" s="5" t="n"/>
      <c r="H7389" s="5" t="n">
        <v>128</v>
      </c>
      <c r="I7389" s="5" t="n">
        <v>116</v>
      </c>
      <c r="J7389" s="5" t="n">
        <v>12</v>
      </c>
      <c r="K7389" s="10">
        <f>IF(F7389&gt;0,H7389/F7389,"")</f>
        <v/>
      </c>
      <c r="L7389" s="16">
        <f>IF(AND(G7389&gt;0,H7389&gt;0),G7389/H7389,"")</f>
        <v/>
      </c>
    </row>
    <row r="7390">
      <c r="A7390" s="4" t="inlineStr">
        <is>
          <t>446</t>
        </is>
      </c>
      <c r="B7390" s="4" t="n">
        <v>4</v>
      </c>
      <c r="C7390" s="4" t="inlineStr">
        <is>
          <t>mule deer</t>
        </is>
      </c>
      <c r="D7390" s="4" t="n">
        <v>2019</v>
      </c>
      <c r="E7390" s="13" t="inlineStr">
        <is>
          <t>General</t>
        </is>
      </c>
      <c r="F7390" s="5" t="n">
        <v>883</v>
      </c>
      <c r="G7390" s="5" t="n">
        <v>5206</v>
      </c>
      <c r="H7390" s="5" t="n">
        <v>114</v>
      </c>
      <c r="I7390" s="5" t="n">
        <v>114</v>
      </c>
      <c r="J7390" s="5" t="n">
        <v>0</v>
      </c>
      <c r="K7390" s="10">
        <f>IF(F7390&gt;0,H7390/F7390,"")</f>
        <v/>
      </c>
      <c r="L7390" s="16">
        <f>IF(AND(G7390&gt;0,H7390&gt;0),G7390/H7390,"")</f>
        <v/>
      </c>
    </row>
    <row r="7391">
      <c r="A7391" s="4" t="inlineStr">
        <is>
          <t>446</t>
        </is>
      </c>
      <c r="B7391" s="4" t="n">
        <v>4</v>
      </c>
      <c r="C7391" s="4" t="inlineStr">
        <is>
          <t>mule deer</t>
        </is>
      </c>
      <c r="D7391" s="4" t="n">
        <v>2020</v>
      </c>
      <c r="E7391" s="13" t="inlineStr">
        <is>
          <t>General</t>
        </is>
      </c>
      <c r="F7391" s="5" t="n"/>
      <c r="G7391" s="5" t="n"/>
      <c r="H7391" s="5" t="n">
        <v>145</v>
      </c>
      <c r="I7391" s="5" t="n">
        <v>145</v>
      </c>
      <c r="J7391" s="5" t="n">
        <v>0</v>
      </c>
      <c r="K7391" s="10">
        <f>IF(F7391&gt;0,H7391/F7391,"")</f>
        <v/>
      </c>
      <c r="L7391" s="16">
        <f>IF(AND(G7391&gt;0,H7391&gt;0),G7391/H7391,"")</f>
        <v/>
      </c>
    </row>
    <row r="7392">
      <c r="A7392" s="4" t="inlineStr">
        <is>
          <t>446</t>
        </is>
      </c>
      <c r="B7392" s="4" t="n">
        <v>4</v>
      </c>
      <c r="C7392" s="4" t="inlineStr">
        <is>
          <t>mule deer</t>
        </is>
      </c>
      <c r="D7392" s="4" t="n">
        <v>2021</v>
      </c>
      <c r="E7392" s="13" t="inlineStr">
        <is>
          <t>General</t>
        </is>
      </c>
      <c r="F7392" s="5" t="n">
        <v>855</v>
      </c>
      <c r="G7392" s="5" t="n">
        <v>4891</v>
      </c>
      <c r="H7392" s="5" t="n">
        <v>140</v>
      </c>
      <c r="I7392" s="5" t="n">
        <v>137</v>
      </c>
      <c r="J7392" s="5" t="n">
        <v>3</v>
      </c>
      <c r="K7392" s="10">
        <f>IF(F7392&gt;0,H7392/F7392,"")</f>
        <v/>
      </c>
      <c r="L7392" s="16">
        <f>IF(AND(G7392&gt;0,H7392&gt;0),G7392/H7392,"")</f>
        <v/>
      </c>
    </row>
    <row r="7393">
      <c r="A7393" s="4" t="inlineStr">
        <is>
          <t>446</t>
        </is>
      </c>
      <c r="B7393" s="4" t="n">
        <v>4</v>
      </c>
      <c r="C7393" s="4" t="inlineStr">
        <is>
          <t>mule deer</t>
        </is>
      </c>
      <c r="D7393" s="4" t="n">
        <v>2022</v>
      </c>
      <c r="E7393" s="13" t="inlineStr">
        <is>
          <t>General</t>
        </is>
      </c>
      <c r="F7393" s="5" t="n"/>
      <c r="G7393" s="5" t="n"/>
      <c r="H7393" s="5" t="n">
        <v>81</v>
      </c>
      <c r="I7393" s="5" t="n">
        <v>78</v>
      </c>
      <c r="J7393" s="5" t="n">
        <v>3</v>
      </c>
      <c r="K7393" s="10">
        <f>IF(F7393&gt;0,H7393/F7393,"")</f>
        <v/>
      </c>
      <c r="L7393" s="16">
        <f>IF(AND(G7393&gt;0,H7393&gt;0),G7393/H7393,"")</f>
        <v/>
      </c>
    </row>
    <row r="7394">
      <c r="A7394" s="4" t="inlineStr">
        <is>
          <t>446</t>
        </is>
      </c>
      <c r="B7394" s="4" t="n">
        <v>4</v>
      </c>
      <c r="C7394" s="4" t="inlineStr">
        <is>
          <t>mule deer</t>
        </is>
      </c>
      <c r="D7394" s="4" t="n">
        <v>2023</v>
      </c>
      <c r="E7394" s="13" t="inlineStr">
        <is>
          <t>General</t>
        </is>
      </c>
      <c r="F7394" s="5" t="n">
        <v>829</v>
      </c>
      <c r="G7394" s="5" t="n">
        <v>4900</v>
      </c>
      <c r="H7394" s="5" t="n">
        <v>127</v>
      </c>
      <c r="I7394" s="5" t="n">
        <v>127</v>
      </c>
      <c r="J7394" s="5" t="n">
        <v>0</v>
      </c>
      <c r="K7394" s="10">
        <f>IF(F7394&gt;0,H7394/F7394,"")</f>
        <v/>
      </c>
      <c r="L7394" s="16">
        <f>IF(AND(G7394&gt;0,H7394&gt;0),G7394/H7394,"")</f>
        <v/>
      </c>
    </row>
    <row r="7395">
      <c r="A7395" s="4" t="inlineStr">
        <is>
          <t>446</t>
        </is>
      </c>
      <c r="B7395" s="4" t="n">
        <v>4</v>
      </c>
      <c r="C7395" s="4" t="inlineStr">
        <is>
          <t>mule deer</t>
        </is>
      </c>
      <c r="D7395" s="4" t="n">
        <v>2024</v>
      </c>
      <c r="E7395" s="13" t="inlineStr">
        <is>
          <t>General</t>
        </is>
      </c>
      <c r="F7395" s="5" t="n"/>
      <c r="G7395" s="5" t="n"/>
      <c r="H7395" s="5" t="n">
        <v>136</v>
      </c>
      <c r="I7395" s="5" t="n">
        <v>134</v>
      </c>
      <c r="J7395" s="5" t="n">
        <v>3</v>
      </c>
      <c r="K7395" s="10">
        <f>IF(F7395&gt;0,H7395/F7395,"")</f>
        <v/>
      </c>
      <c r="L7395" s="16">
        <f>IF(AND(G7395&gt;0,H7395&gt;0),G7395/H7395,"")</f>
        <v/>
      </c>
    </row>
    <row r="7396">
      <c r="A7396" s="4" t="inlineStr">
        <is>
          <t>446</t>
        </is>
      </c>
      <c r="B7396" s="4" t="n">
        <v>4</v>
      </c>
      <c r="C7396" s="4" t="inlineStr">
        <is>
          <t>mule deer</t>
        </is>
      </c>
      <c r="D7396" s="4" t="n">
        <v>2025</v>
      </c>
      <c r="E7396" s="13" t="inlineStr">
        <is>
          <t>General</t>
        </is>
      </c>
      <c r="F7396" s="5" t="n">
        <v>792</v>
      </c>
      <c r="G7396" s="5" t="n">
        <v>5089</v>
      </c>
      <c r="H7396" s="5" t="n">
        <v>108</v>
      </c>
      <c r="I7396" s="5" t="n">
        <v>108</v>
      </c>
      <c r="J7396" s="5" t="n">
        <v>0</v>
      </c>
      <c r="K7396" s="10">
        <f>IF(F7396&gt;0,H7396/F7396,"")</f>
        <v/>
      </c>
      <c r="L7396" s="16">
        <f>IF(AND(G7396&gt;0,H7396&gt;0),G7396/H7396,"")</f>
        <v/>
      </c>
    </row>
    <row r="7397">
      <c r="A7397" s="4" t="inlineStr">
        <is>
          <t>447</t>
        </is>
      </c>
      <c r="B7397" s="4" t="n">
        <v>4</v>
      </c>
      <c r="C7397" s="4" t="inlineStr">
        <is>
          <t>mule deer</t>
        </is>
      </c>
      <c r="D7397" s="4" t="n">
        <v>2004</v>
      </c>
      <c r="E7397" s="13" t="inlineStr">
        <is>
          <t>General</t>
        </is>
      </c>
      <c r="F7397" s="5" t="n">
        <v>2068</v>
      </c>
      <c r="G7397" s="5" t="n">
        <v>8713</v>
      </c>
      <c r="H7397" s="5" t="n">
        <v>1102</v>
      </c>
      <c r="I7397" s="5" t="n">
        <v>664</v>
      </c>
      <c r="J7397" s="5" t="n">
        <v>432</v>
      </c>
      <c r="K7397" s="10">
        <f>IF(F7397&gt;0,H7397/F7397,"")</f>
        <v/>
      </c>
      <c r="L7397" s="16">
        <f>IF(AND(G7397&gt;0,H7397&gt;0),G7397/H7397,"")</f>
        <v/>
      </c>
    </row>
    <row r="7398">
      <c r="A7398" s="4" t="inlineStr">
        <is>
          <t>447</t>
        </is>
      </c>
      <c r="B7398" s="4" t="n">
        <v>4</v>
      </c>
      <c r="C7398" s="4" t="inlineStr">
        <is>
          <t>mule deer</t>
        </is>
      </c>
      <c r="D7398" s="4" t="n">
        <v>2005</v>
      </c>
      <c r="E7398" s="13" t="inlineStr">
        <is>
          <t>General</t>
        </is>
      </c>
      <c r="F7398" s="5" t="n">
        <v>1768</v>
      </c>
      <c r="G7398" s="5" t="n">
        <v>7814</v>
      </c>
      <c r="H7398" s="5" t="n">
        <v>900</v>
      </c>
      <c r="I7398" s="5" t="n">
        <v>629</v>
      </c>
      <c r="J7398" s="5" t="n">
        <v>269</v>
      </c>
      <c r="K7398" s="10">
        <f>IF(F7398&gt;0,H7398/F7398,"")</f>
        <v/>
      </c>
      <c r="L7398" s="16">
        <f>IF(AND(G7398&gt;0,H7398&gt;0),G7398/H7398,"")</f>
        <v/>
      </c>
    </row>
    <row r="7399">
      <c r="A7399" s="4" t="inlineStr">
        <is>
          <t>447</t>
        </is>
      </c>
      <c r="B7399" s="4" t="n">
        <v>4</v>
      </c>
      <c r="C7399" s="4" t="inlineStr">
        <is>
          <t>mule deer</t>
        </is>
      </c>
      <c r="D7399" s="4" t="n">
        <v>2006</v>
      </c>
      <c r="E7399" s="13" t="inlineStr">
        <is>
          <t>General</t>
        </is>
      </c>
      <c r="F7399" s="5" t="n">
        <v>1681</v>
      </c>
      <c r="G7399" s="5" t="n">
        <v>8304</v>
      </c>
      <c r="H7399" s="5" t="n">
        <v>940</v>
      </c>
      <c r="I7399" s="5" t="n">
        <v>493</v>
      </c>
      <c r="J7399" s="5" t="n">
        <v>437</v>
      </c>
      <c r="K7399" s="10">
        <f>IF(F7399&gt;0,H7399/F7399,"")</f>
        <v/>
      </c>
      <c r="L7399" s="16">
        <f>IF(AND(G7399&gt;0,H7399&gt;0),G7399/H7399,"")</f>
        <v/>
      </c>
    </row>
    <row r="7400">
      <c r="A7400" s="4" t="inlineStr">
        <is>
          <t>447</t>
        </is>
      </c>
      <c r="B7400" s="4" t="n">
        <v>4</v>
      </c>
      <c r="C7400" s="4" t="inlineStr">
        <is>
          <t>mule deer</t>
        </is>
      </c>
      <c r="D7400" s="4" t="n">
        <v>2007</v>
      </c>
      <c r="E7400" s="13" t="inlineStr">
        <is>
          <t>General</t>
        </is>
      </c>
      <c r="F7400" s="5" t="n">
        <v>1845</v>
      </c>
      <c r="G7400" s="5" t="n">
        <v>8265</v>
      </c>
      <c r="H7400" s="5" t="n">
        <v>1009</v>
      </c>
      <c r="I7400" s="5" t="n">
        <v>551</v>
      </c>
      <c r="J7400" s="5" t="n">
        <v>451</v>
      </c>
      <c r="K7400" s="10">
        <f>IF(F7400&gt;0,H7400/F7400,"")</f>
        <v/>
      </c>
      <c r="L7400" s="16">
        <f>IF(AND(G7400&gt;0,H7400&gt;0),G7400/H7400,"")</f>
        <v/>
      </c>
    </row>
    <row r="7401">
      <c r="A7401" s="4" t="inlineStr">
        <is>
          <t>447</t>
        </is>
      </c>
      <c r="B7401" s="4" t="n">
        <v>4</v>
      </c>
      <c r="C7401" s="4" t="inlineStr">
        <is>
          <t>mule deer</t>
        </is>
      </c>
      <c r="D7401" s="4" t="n">
        <v>2008</v>
      </c>
      <c r="E7401" s="13" t="inlineStr">
        <is>
          <t>General</t>
        </is>
      </c>
      <c r="F7401" s="5" t="n">
        <v>1741</v>
      </c>
      <c r="G7401" s="5" t="n">
        <v>8950</v>
      </c>
      <c r="H7401" s="5" t="n">
        <v>801</v>
      </c>
      <c r="I7401" s="5" t="n">
        <v>490</v>
      </c>
      <c r="J7401" s="5" t="n">
        <v>309</v>
      </c>
      <c r="K7401" s="10">
        <f>IF(F7401&gt;0,H7401/F7401,"")</f>
        <v/>
      </c>
      <c r="L7401" s="16">
        <f>IF(AND(G7401&gt;0,H7401&gt;0),G7401/H7401,"")</f>
        <v/>
      </c>
    </row>
    <row r="7402">
      <c r="A7402" s="4" t="inlineStr">
        <is>
          <t>447</t>
        </is>
      </c>
      <c r="B7402" s="4" t="n">
        <v>4</v>
      </c>
      <c r="C7402" s="4" t="inlineStr">
        <is>
          <t>mule deer</t>
        </is>
      </c>
      <c r="D7402" s="4" t="n">
        <v>2009</v>
      </c>
      <c r="E7402" s="13" t="inlineStr">
        <is>
          <t>General</t>
        </is>
      </c>
      <c r="F7402" s="5" t="n">
        <v>1734</v>
      </c>
      <c r="G7402" s="5" t="n">
        <v>7734</v>
      </c>
      <c r="H7402" s="5" t="n">
        <v>601</v>
      </c>
      <c r="I7402" s="5" t="n">
        <v>413</v>
      </c>
      <c r="J7402" s="5" t="n">
        <v>188</v>
      </c>
      <c r="K7402" s="10">
        <f>IF(F7402&gt;0,H7402/F7402,"")</f>
        <v/>
      </c>
      <c r="L7402" s="16">
        <f>IF(AND(G7402&gt;0,H7402&gt;0),G7402/H7402,"")</f>
        <v/>
      </c>
    </row>
    <row r="7403">
      <c r="A7403" s="4" t="inlineStr">
        <is>
          <t>447</t>
        </is>
      </c>
      <c r="B7403" s="4" t="n">
        <v>4</v>
      </c>
      <c r="C7403" s="4" t="inlineStr">
        <is>
          <t>mule deer</t>
        </is>
      </c>
      <c r="D7403" s="4" t="n">
        <v>2010</v>
      </c>
      <c r="E7403" s="13" t="inlineStr">
        <is>
          <t>General</t>
        </is>
      </c>
      <c r="F7403" s="5" t="n">
        <v>1669</v>
      </c>
      <c r="G7403" s="5" t="n">
        <v>7993</v>
      </c>
      <c r="H7403" s="5" t="n">
        <v>470</v>
      </c>
      <c r="I7403" s="5" t="n">
        <v>414</v>
      </c>
      <c r="J7403" s="5" t="n">
        <v>56</v>
      </c>
      <c r="K7403" s="10">
        <f>IF(F7403&gt;0,H7403/F7403,"")</f>
        <v/>
      </c>
      <c r="L7403" s="16">
        <f>IF(AND(G7403&gt;0,H7403&gt;0),G7403/H7403,"")</f>
        <v/>
      </c>
    </row>
    <row r="7404">
      <c r="A7404" s="4" t="inlineStr">
        <is>
          <t>447</t>
        </is>
      </c>
      <c r="B7404" s="4" t="n">
        <v>4</v>
      </c>
      <c r="C7404" s="4" t="inlineStr">
        <is>
          <t>mule deer</t>
        </is>
      </c>
      <c r="D7404" s="4" t="n">
        <v>2011</v>
      </c>
      <c r="E7404" s="13" t="inlineStr">
        <is>
          <t>General</t>
        </is>
      </c>
      <c r="F7404" s="5" t="n">
        <v>1638</v>
      </c>
      <c r="G7404" s="5" t="n">
        <v>7886</v>
      </c>
      <c r="H7404" s="5" t="n">
        <v>387</v>
      </c>
      <c r="I7404" s="5" t="n">
        <v>357</v>
      </c>
      <c r="J7404" s="5" t="n">
        <v>30</v>
      </c>
      <c r="K7404" s="10">
        <f>IF(F7404&gt;0,H7404/F7404,"")</f>
        <v/>
      </c>
      <c r="L7404" s="16">
        <f>IF(AND(G7404&gt;0,H7404&gt;0),G7404/H7404,"")</f>
        <v/>
      </c>
    </row>
    <row r="7405">
      <c r="A7405" s="4" t="inlineStr">
        <is>
          <t>447</t>
        </is>
      </c>
      <c r="B7405" s="4" t="n">
        <v>4</v>
      </c>
      <c r="C7405" s="4" t="inlineStr">
        <is>
          <t>mule deer</t>
        </is>
      </c>
      <c r="D7405" s="4" t="n">
        <v>2012</v>
      </c>
      <c r="E7405" s="13" t="inlineStr">
        <is>
          <t>General</t>
        </is>
      </c>
      <c r="F7405" s="5" t="n"/>
      <c r="G7405" s="5" t="n"/>
      <c r="H7405" s="5" t="n">
        <v>444</v>
      </c>
      <c r="I7405" s="5" t="n">
        <v>427</v>
      </c>
      <c r="J7405" s="5" t="n">
        <v>18</v>
      </c>
      <c r="K7405" s="10">
        <f>IF(F7405&gt;0,H7405/F7405,"")</f>
        <v/>
      </c>
      <c r="L7405" s="16">
        <f>IF(AND(G7405&gt;0,H7405&gt;0),G7405/H7405,"")</f>
        <v/>
      </c>
    </row>
    <row r="7406">
      <c r="A7406" s="4" t="inlineStr">
        <is>
          <t>447</t>
        </is>
      </c>
      <c r="B7406" s="4" t="n">
        <v>4</v>
      </c>
      <c r="C7406" s="4" t="inlineStr">
        <is>
          <t>mule deer</t>
        </is>
      </c>
      <c r="D7406" s="4" t="n">
        <v>2013</v>
      </c>
      <c r="E7406" s="13" t="inlineStr">
        <is>
          <t>General</t>
        </is>
      </c>
      <c r="F7406" s="5" t="n">
        <v>1718</v>
      </c>
      <c r="G7406" s="5" t="n">
        <v>8307</v>
      </c>
      <c r="H7406" s="5" t="n">
        <v>588</v>
      </c>
      <c r="I7406" s="5" t="n">
        <v>559</v>
      </c>
      <c r="J7406" s="5" t="n">
        <v>29</v>
      </c>
      <c r="K7406" s="10">
        <f>IF(F7406&gt;0,H7406/F7406,"")</f>
        <v/>
      </c>
      <c r="L7406" s="16">
        <f>IF(AND(G7406&gt;0,H7406&gt;0),G7406/H7406,"")</f>
        <v/>
      </c>
    </row>
    <row r="7407">
      <c r="A7407" s="4" t="inlineStr">
        <is>
          <t>447</t>
        </is>
      </c>
      <c r="B7407" s="4" t="n">
        <v>4</v>
      </c>
      <c r="C7407" s="4" t="inlineStr">
        <is>
          <t>mule deer</t>
        </is>
      </c>
      <c r="D7407" s="4" t="n">
        <v>2014</v>
      </c>
      <c r="E7407" s="13" t="inlineStr">
        <is>
          <t>General</t>
        </is>
      </c>
      <c r="F7407" s="5" t="n"/>
      <c r="G7407" s="5" t="n"/>
      <c r="H7407" s="5" t="n">
        <v>650</v>
      </c>
      <c r="I7407" s="5" t="n">
        <v>642</v>
      </c>
      <c r="J7407" s="5" t="n">
        <v>8</v>
      </c>
      <c r="K7407" s="10">
        <f>IF(F7407&gt;0,H7407/F7407,"")</f>
        <v/>
      </c>
      <c r="L7407" s="16">
        <f>IF(AND(G7407&gt;0,H7407&gt;0),G7407/H7407,"")</f>
        <v/>
      </c>
    </row>
    <row r="7408">
      <c r="A7408" s="4" t="inlineStr">
        <is>
          <t>447</t>
        </is>
      </c>
      <c r="B7408" s="4" t="n">
        <v>4</v>
      </c>
      <c r="C7408" s="4" t="inlineStr">
        <is>
          <t>mule deer</t>
        </is>
      </c>
      <c r="D7408" s="4" t="n">
        <v>2015</v>
      </c>
      <c r="E7408" s="13" t="inlineStr">
        <is>
          <t>General</t>
        </is>
      </c>
      <c r="F7408" s="5" t="n"/>
      <c r="G7408" s="5" t="n"/>
      <c r="H7408" s="5" t="n">
        <v>741</v>
      </c>
      <c r="I7408" s="5" t="n">
        <v>735</v>
      </c>
      <c r="J7408" s="5" t="n">
        <v>6</v>
      </c>
      <c r="K7408" s="10">
        <f>IF(F7408&gt;0,H7408/F7408,"")</f>
        <v/>
      </c>
      <c r="L7408" s="16">
        <f>IF(AND(G7408&gt;0,H7408&gt;0),G7408/H7408,"")</f>
        <v/>
      </c>
    </row>
    <row r="7409">
      <c r="A7409" s="4" t="inlineStr">
        <is>
          <t>447</t>
        </is>
      </c>
      <c r="B7409" s="4" t="n">
        <v>4</v>
      </c>
      <c r="C7409" s="4" t="inlineStr">
        <is>
          <t>mule deer</t>
        </is>
      </c>
      <c r="D7409" s="4" t="n">
        <v>2016</v>
      </c>
      <c r="E7409" s="13" t="inlineStr">
        <is>
          <t>General</t>
        </is>
      </c>
      <c r="F7409" s="5" t="n"/>
      <c r="G7409" s="5" t="n"/>
      <c r="H7409" s="5" t="n">
        <v>866</v>
      </c>
      <c r="I7409" s="5" t="n">
        <v>768</v>
      </c>
      <c r="J7409" s="5" t="n">
        <v>88</v>
      </c>
      <c r="K7409" s="10">
        <f>IF(F7409&gt;0,H7409/F7409,"")</f>
        <v/>
      </c>
      <c r="L7409" s="16">
        <f>IF(AND(G7409&gt;0,H7409&gt;0),G7409/H7409,"")</f>
        <v/>
      </c>
    </row>
    <row r="7410">
      <c r="A7410" s="4" t="inlineStr">
        <is>
          <t>447</t>
        </is>
      </c>
      <c r="B7410" s="4" t="n">
        <v>4</v>
      </c>
      <c r="C7410" s="4" t="inlineStr">
        <is>
          <t>mule deer</t>
        </is>
      </c>
      <c r="D7410" s="4" t="n">
        <v>2017</v>
      </c>
      <c r="E7410" s="13" t="inlineStr">
        <is>
          <t>General</t>
        </is>
      </c>
      <c r="F7410" s="5" t="n">
        <v>1855</v>
      </c>
      <c r="G7410" s="5" t="n">
        <v>8224</v>
      </c>
      <c r="H7410" s="5" t="n">
        <v>805</v>
      </c>
      <c r="I7410" s="5" t="n">
        <v>696</v>
      </c>
      <c r="J7410" s="5" t="n">
        <v>106</v>
      </c>
      <c r="K7410" s="10">
        <f>IF(F7410&gt;0,H7410/F7410,"")</f>
        <v/>
      </c>
      <c r="L7410" s="16">
        <f>IF(AND(G7410&gt;0,H7410&gt;0),G7410/H7410,"")</f>
        <v/>
      </c>
    </row>
    <row r="7411">
      <c r="A7411" s="4" t="inlineStr">
        <is>
          <t>447</t>
        </is>
      </c>
      <c r="B7411" s="4" t="n">
        <v>4</v>
      </c>
      <c r="C7411" s="4" t="inlineStr">
        <is>
          <t>mule deer</t>
        </is>
      </c>
      <c r="D7411" s="4" t="n">
        <v>2018</v>
      </c>
      <c r="E7411" s="13" t="inlineStr">
        <is>
          <t>General</t>
        </is>
      </c>
      <c r="F7411" s="5" t="n"/>
      <c r="G7411" s="5" t="n"/>
      <c r="H7411" s="5" t="n">
        <v>710</v>
      </c>
      <c r="I7411" s="5" t="n">
        <v>624</v>
      </c>
      <c r="J7411" s="5" t="n">
        <v>83</v>
      </c>
      <c r="K7411" s="10">
        <f>IF(F7411&gt;0,H7411/F7411,"")</f>
        <v/>
      </c>
      <c r="L7411" s="16">
        <f>IF(AND(G7411&gt;0,H7411&gt;0),G7411/H7411,"")</f>
        <v/>
      </c>
    </row>
    <row r="7412">
      <c r="A7412" s="4" t="inlineStr">
        <is>
          <t>447</t>
        </is>
      </c>
      <c r="B7412" s="4" t="n">
        <v>4</v>
      </c>
      <c r="C7412" s="4" t="inlineStr">
        <is>
          <t>mule deer</t>
        </is>
      </c>
      <c r="D7412" s="4" t="n">
        <v>2019</v>
      </c>
      <c r="E7412" s="13" t="inlineStr">
        <is>
          <t>General</t>
        </is>
      </c>
      <c r="F7412" s="5" t="n">
        <v>1667</v>
      </c>
      <c r="G7412" s="5" t="n">
        <v>8032</v>
      </c>
      <c r="H7412" s="5" t="n">
        <v>719</v>
      </c>
      <c r="I7412" s="5" t="n">
        <v>623</v>
      </c>
      <c r="J7412" s="5" t="n">
        <v>89</v>
      </c>
      <c r="K7412" s="10">
        <f>IF(F7412&gt;0,H7412/F7412,"")</f>
        <v/>
      </c>
      <c r="L7412" s="16">
        <f>IF(AND(G7412&gt;0,H7412&gt;0),G7412/H7412,"")</f>
        <v/>
      </c>
    </row>
    <row r="7413">
      <c r="A7413" s="4" t="inlineStr">
        <is>
          <t>447</t>
        </is>
      </c>
      <c r="B7413" s="4" t="n">
        <v>4</v>
      </c>
      <c r="C7413" s="4" t="inlineStr">
        <is>
          <t>mule deer</t>
        </is>
      </c>
      <c r="D7413" s="4" t="n">
        <v>2020</v>
      </c>
      <c r="E7413" s="13" t="inlineStr">
        <is>
          <t>General</t>
        </is>
      </c>
      <c r="F7413" s="5" t="n"/>
      <c r="G7413" s="5" t="n"/>
      <c r="H7413" s="5" t="n">
        <v>670</v>
      </c>
      <c r="I7413" s="5" t="n">
        <v>574</v>
      </c>
      <c r="J7413" s="5" t="n">
        <v>90</v>
      </c>
      <c r="K7413" s="10">
        <f>IF(F7413&gt;0,H7413/F7413,"")</f>
        <v/>
      </c>
      <c r="L7413" s="16">
        <f>IF(AND(G7413&gt;0,H7413&gt;0),G7413/H7413,"")</f>
        <v/>
      </c>
    </row>
    <row r="7414">
      <c r="A7414" s="4" t="inlineStr">
        <is>
          <t>447</t>
        </is>
      </c>
      <c r="B7414" s="4" t="n">
        <v>4</v>
      </c>
      <c r="C7414" s="4" t="inlineStr">
        <is>
          <t>mule deer</t>
        </is>
      </c>
      <c r="D7414" s="4" t="n">
        <v>2021</v>
      </c>
      <c r="E7414" s="13" t="inlineStr">
        <is>
          <t>General</t>
        </is>
      </c>
      <c r="F7414" s="5" t="n">
        <v>1817</v>
      </c>
      <c r="G7414" s="5" t="n">
        <v>9402</v>
      </c>
      <c r="H7414" s="5" t="n">
        <v>681</v>
      </c>
      <c r="I7414" s="5" t="n">
        <v>597</v>
      </c>
      <c r="J7414" s="5" t="n">
        <v>84</v>
      </c>
      <c r="K7414" s="10">
        <f>IF(F7414&gt;0,H7414/F7414,"")</f>
        <v/>
      </c>
      <c r="L7414" s="16">
        <f>IF(AND(G7414&gt;0,H7414&gt;0),G7414/H7414,"")</f>
        <v/>
      </c>
    </row>
    <row r="7415">
      <c r="A7415" s="4" t="inlineStr">
        <is>
          <t>447</t>
        </is>
      </c>
      <c r="B7415" s="4" t="n">
        <v>4</v>
      </c>
      <c r="C7415" s="4" t="inlineStr">
        <is>
          <t>mule deer</t>
        </is>
      </c>
      <c r="D7415" s="4" t="n">
        <v>2022</v>
      </c>
      <c r="E7415" s="13" t="inlineStr">
        <is>
          <t>General</t>
        </is>
      </c>
      <c r="F7415" s="5" t="n"/>
      <c r="G7415" s="5" t="n"/>
      <c r="H7415" s="5" t="n">
        <v>630</v>
      </c>
      <c r="I7415" s="5" t="n">
        <v>554</v>
      </c>
      <c r="J7415" s="5" t="n">
        <v>76</v>
      </c>
      <c r="K7415" s="10">
        <f>IF(F7415&gt;0,H7415/F7415,"")</f>
        <v/>
      </c>
      <c r="L7415" s="16">
        <f>IF(AND(G7415&gt;0,H7415&gt;0),G7415/H7415,"")</f>
        <v/>
      </c>
    </row>
    <row r="7416">
      <c r="A7416" s="4" t="inlineStr">
        <is>
          <t>447</t>
        </is>
      </c>
      <c r="B7416" s="4" t="n">
        <v>4</v>
      </c>
      <c r="C7416" s="4" t="inlineStr">
        <is>
          <t>mule deer</t>
        </is>
      </c>
      <c r="D7416" s="4" t="n">
        <v>2023</v>
      </c>
      <c r="E7416" s="13" t="inlineStr">
        <is>
          <t>General</t>
        </is>
      </c>
      <c r="F7416" s="5" t="n">
        <v>1712</v>
      </c>
      <c r="G7416" s="5" t="n">
        <v>9530</v>
      </c>
      <c r="H7416" s="5" t="n">
        <v>602</v>
      </c>
      <c r="I7416" s="5" t="n">
        <v>573</v>
      </c>
      <c r="J7416" s="5" t="n">
        <v>29</v>
      </c>
      <c r="K7416" s="10">
        <f>IF(F7416&gt;0,H7416/F7416,"")</f>
        <v/>
      </c>
      <c r="L7416" s="16">
        <f>IF(AND(G7416&gt;0,H7416&gt;0),G7416/H7416,"")</f>
        <v/>
      </c>
    </row>
    <row r="7417">
      <c r="A7417" s="4" t="inlineStr">
        <is>
          <t>447</t>
        </is>
      </c>
      <c r="B7417" s="4" t="n">
        <v>4</v>
      </c>
      <c r="C7417" s="4" t="inlineStr">
        <is>
          <t>mule deer</t>
        </is>
      </c>
      <c r="D7417" s="4" t="n">
        <v>2024</v>
      </c>
      <c r="E7417" s="13" t="inlineStr">
        <is>
          <t>General</t>
        </is>
      </c>
      <c r="F7417" s="5" t="n"/>
      <c r="G7417" s="5" t="n"/>
      <c r="H7417" s="5" t="n">
        <v>581</v>
      </c>
      <c r="I7417" s="5" t="n">
        <v>548</v>
      </c>
      <c r="J7417" s="5" t="n">
        <v>33</v>
      </c>
      <c r="K7417" s="10">
        <f>IF(F7417&gt;0,H7417/F7417,"")</f>
        <v/>
      </c>
      <c r="L7417" s="16">
        <f>IF(AND(G7417&gt;0,H7417&gt;0),G7417/H7417,"")</f>
        <v/>
      </c>
    </row>
    <row r="7418">
      <c r="A7418" s="4" t="inlineStr">
        <is>
          <t>447</t>
        </is>
      </c>
      <c r="B7418" s="4" t="n">
        <v>4</v>
      </c>
      <c r="C7418" s="4" t="inlineStr">
        <is>
          <t>mule deer</t>
        </is>
      </c>
      <c r="D7418" s="4" t="n">
        <v>2025</v>
      </c>
      <c r="E7418" s="13" t="inlineStr">
        <is>
          <t>General</t>
        </is>
      </c>
      <c r="F7418" s="5" t="n">
        <v>1613</v>
      </c>
      <c r="G7418" s="5" t="n">
        <v>9805</v>
      </c>
      <c r="H7418" s="5" t="n">
        <v>431</v>
      </c>
      <c r="I7418" s="5" t="n">
        <v>410</v>
      </c>
      <c r="J7418" s="5" t="n">
        <v>21</v>
      </c>
      <c r="K7418" s="10">
        <f>IF(F7418&gt;0,H7418/F7418,"")</f>
        <v/>
      </c>
      <c r="L7418" s="16">
        <f>IF(AND(G7418&gt;0,H7418&gt;0),G7418/H7418,"")</f>
        <v/>
      </c>
    </row>
    <row r="7419">
      <c r="A7419" s="4" t="inlineStr">
        <is>
          <t>448</t>
        </is>
      </c>
      <c r="B7419" s="4" t="n">
        <v>4</v>
      </c>
      <c r="C7419" s="4" t="inlineStr">
        <is>
          <t>mule deer</t>
        </is>
      </c>
      <c r="D7419" s="4" t="n">
        <v>2004</v>
      </c>
      <c r="E7419" s="13" t="inlineStr">
        <is>
          <t>General</t>
        </is>
      </c>
      <c r="F7419" s="5" t="n">
        <v>616</v>
      </c>
      <c r="G7419" s="5" t="n">
        <v>3372</v>
      </c>
      <c r="H7419" s="5" t="n">
        <v>170</v>
      </c>
      <c r="I7419" s="5" t="n">
        <v>127</v>
      </c>
      <c r="J7419" s="5" t="n">
        <v>43</v>
      </c>
      <c r="K7419" s="10">
        <f>IF(F7419&gt;0,H7419/F7419,"")</f>
        <v/>
      </c>
      <c r="L7419" s="16">
        <f>IF(AND(G7419&gt;0,H7419&gt;0),G7419/H7419,"")</f>
        <v/>
      </c>
    </row>
    <row r="7420">
      <c r="A7420" s="4" t="inlineStr">
        <is>
          <t>448</t>
        </is>
      </c>
      <c r="B7420" s="4" t="n">
        <v>4</v>
      </c>
      <c r="C7420" s="4" t="inlineStr">
        <is>
          <t>mule deer</t>
        </is>
      </c>
      <c r="D7420" s="4" t="n">
        <v>2005</v>
      </c>
      <c r="E7420" s="13" t="inlineStr">
        <is>
          <t>General</t>
        </is>
      </c>
      <c r="F7420" s="5" t="n">
        <v>477</v>
      </c>
      <c r="G7420" s="5" t="n">
        <v>2403</v>
      </c>
      <c r="H7420" s="5" t="n">
        <v>122</v>
      </c>
      <c r="I7420" s="5" t="n">
        <v>86</v>
      </c>
      <c r="J7420" s="5" t="n">
        <v>35</v>
      </c>
      <c r="K7420" s="10">
        <f>IF(F7420&gt;0,H7420/F7420,"")</f>
        <v/>
      </c>
      <c r="L7420" s="16">
        <f>IF(AND(G7420&gt;0,H7420&gt;0),G7420/H7420,"")</f>
        <v/>
      </c>
    </row>
    <row r="7421">
      <c r="A7421" s="4" t="inlineStr">
        <is>
          <t>448</t>
        </is>
      </c>
      <c r="B7421" s="4" t="n">
        <v>4</v>
      </c>
      <c r="C7421" s="4" t="inlineStr">
        <is>
          <t>mule deer</t>
        </is>
      </c>
      <c r="D7421" s="4" t="n">
        <v>2006</v>
      </c>
      <c r="E7421" s="13" t="inlineStr">
        <is>
          <t>General</t>
        </is>
      </c>
      <c r="F7421" s="5" t="n">
        <v>517</v>
      </c>
      <c r="G7421" s="5" t="n">
        <v>2821</v>
      </c>
      <c r="H7421" s="5" t="n">
        <v>225</v>
      </c>
      <c r="I7421" s="5" t="n">
        <v>123</v>
      </c>
      <c r="J7421" s="5" t="n">
        <v>102</v>
      </c>
      <c r="K7421" s="10">
        <f>IF(F7421&gt;0,H7421/F7421,"")</f>
        <v/>
      </c>
      <c r="L7421" s="16">
        <f>IF(AND(G7421&gt;0,H7421&gt;0),G7421/H7421,"")</f>
        <v/>
      </c>
    </row>
    <row r="7422">
      <c r="A7422" s="4" t="inlineStr">
        <is>
          <t>448</t>
        </is>
      </c>
      <c r="B7422" s="4" t="n">
        <v>4</v>
      </c>
      <c r="C7422" s="4" t="inlineStr">
        <is>
          <t>mule deer</t>
        </is>
      </c>
      <c r="D7422" s="4" t="n">
        <v>2007</v>
      </c>
      <c r="E7422" s="13" t="inlineStr">
        <is>
          <t>General</t>
        </is>
      </c>
      <c r="F7422" s="5" t="n">
        <v>635</v>
      </c>
      <c r="G7422" s="5" t="n">
        <v>3432</v>
      </c>
      <c r="H7422" s="5" t="n">
        <v>205</v>
      </c>
      <c r="I7422" s="5" t="n">
        <v>140</v>
      </c>
      <c r="J7422" s="5" t="n">
        <v>62</v>
      </c>
      <c r="K7422" s="10">
        <f>IF(F7422&gt;0,H7422/F7422,"")</f>
        <v/>
      </c>
      <c r="L7422" s="16">
        <f>IF(AND(G7422&gt;0,H7422&gt;0),G7422/H7422,"")</f>
        <v/>
      </c>
    </row>
    <row r="7423">
      <c r="A7423" s="4" t="inlineStr">
        <is>
          <t>448</t>
        </is>
      </c>
      <c r="B7423" s="4" t="n">
        <v>4</v>
      </c>
      <c r="C7423" s="4" t="inlineStr">
        <is>
          <t>mule deer</t>
        </is>
      </c>
      <c r="D7423" s="4" t="n">
        <v>2008</v>
      </c>
      <c r="E7423" s="13" t="inlineStr">
        <is>
          <t>General</t>
        </is>
      </c>
      <c r="F7423" s="5" t="n">
        <v>611</v>
      </c>
      <c r="G7423" s="5" t="n">
        <v>3396</v>
      </c>
      <c r="H7423" s="5" t="n">
        <v>135</v>
      </c>
      <c r="I7423" s="5" t="n">
        <v>97</v>
      </c>
      <c r="J7423" s="5" t="n">
        <v>38</v>
      </c>
      <c r="K7423" s="10">
        <f>IF(F7423&gt;0,H7423/F7423,"")</f>
        <v/>
      </c>
      <c r="L7423" s="16">
        <f>IF(AND(G7423&gt;0,H7423&gt;0),G7423/H7423,"")</f>
        <v/>
      </c>
    </row>
    <row r="7424">
      <c r="A7424" s="4" t="inlineStr">
        <is>
          <t>448</t>
        </is>
      </c>
      <c r="B7424" s="4" t="n">
        <v>4</v>
      </c>
      <c r="C7424" s="4" t="inlineStr">
        <is>
          <t>mule deer</t>
        </is>
      </c>
      <c r="D7424" s="4" t="n">
        <v>2009</v>
      </c>
      <c r="E7424" s="13" t="inlineStr">
        <is>
          <t>General</t>
        </is>
      </c>
      <c r="F7424" s="5" t="n">
        <v>546</v>
      </c>
      <c r="G7424" s="5" t="n">
        <v>2564</v>
      </c>
      <c r="H7424" s="5" t="n">
        <v>132</v>
      </c>
      <c r="I7424" s="5" t="n">
        <v>66</v>
      </c>
      <c r="J7424" s="5" t="n">
        <v>66</v>
      </c>
      <c r="K7424" s="10">
        <f>IF(F7424&gt;0,H7424/F7424,"")</f>
        <v/>
      </c>
      <c r="L7424" s="16">
        <f>IF(AND(G7424&gt;0,H7424&gt;0),G7424/H7424,"")</f>
        <v/>
      </c>
    </row>
    <row r="7425">
      <c r="A7425" s="4" t="inlineStr">
        <is>
          <t>448</t>
        </is>
      </c>
      <c r="B7425" s="4" t="n">
        <v>4</v>
      </c>
      <c r="C7425" s="4" t="inlineStr">
        <is>
          <t>mule deer</t>
        </is>
      </c>
      <c r="D7425" s="4" t="n">
        <v>2010</v>
      </c>
      <c r="E7425" s="13" t="inlineStr">
        <is>
          <t>General</t>
        </is>
      </c>
      <c r="F7425" s="5" t="n">
        <v>604</v>
      </c>
      <c r="G7425" s="5" t="n">
        <v>3506</v>
      </c>
      <c r="H7425" s="5" t="n">
        <v>109</v>
      </c>
      <c r="I7425" s="5" t="n">
        <v>92</v>
      </c>
      <c r="J7425" s="5" t="n">
        <v>12</v>
      </c>
      <c r="K7425" s="10">
        <f>IF(F7425&gt;0,H7425/F7425,"")</f>
        <v/>
      </c>
      <c r="L7425" s="16">
        <f>IF(AND(G7425&gt;0,H7425&gt;0),G7425/H7425,"")</f>
        <v/>
      </c>
    </row>
    <row r="7426">
      <c r="A7426" s="4" t="inlineStr">
        <is>
          <t>448</t>
        </is>
      </c>
      <c r="B7426" s="4" t="n">
        <v>4</v>
      </c>
      <c r="C7426" s="4" t="inlineStr">
        <is>
          <t>mule deer</t>
        </is>
      </c>
      <c r="D7426" s="4" t="n">
        <v>2011</v>
      </c>
      <c r="E7426" s="13" t="inlineStr">
        <is>
          <t>General</t>
        </is>
      </c>
      <c r="F7426" s="5" t="n">
        <v>669</v>
      </c>
      <c r="G7426" s="5" t="n">
        <v>4572</v>
      </c>
      <c r="H7426" s="5" t="n">
        <v>87</v>
      </c>
      <c r="I7426" s="5" t="n">
        <v>81</v>
      </c>
      <c r="J7426" s="5" t="n">
        <v>6</v>
      </c>
      <c r="K7426" s="10">
        <f>IF(F7426&gt;0,H7426/F7426,"")</f>
        <v/>
      </c>
      <c r="L7426" s="16">
        <f>IF(AND(G7426&gt;0,H7426&gt;0),G7426/H7426,"")</f>
        <v/>
      </c>
    </row>
    <row r="7427">
      <c r="A7427" s="4" t="inlineStr">
        <is>
          <t>448</t>
        </is>
      </c>
      <c r="B7427" s="4" t="n">
        <v>4</v>
      </c>
      <c r="C7427" s="4" t="inlineStr">
        <is>
          <t>mule deer</t>
        </is>
      </c>
      <c r="D7427" s="4" t="n">
        <v>2012</v>
      </c>
      <c r="E7427" s="13" t="inlineStr">
        <is>
          <t>General</t>
        </is>
      </c>
      <c r="F7427" s="5" t="n"/>
      <c r="G7427" s="5" t="n"/>
      <c r="H7427" s="5" t="n">
        <v>137</v>
      </c>
      <c r="I7427" s="5" t="n">
        <v>133</v>
      </c>
      <c r="J7427" s="5" t="n">
        <v>4</v>
      </c>
      <c r="K7427" s="10">
        <f>IF(F7427&gt;0,H7427/F7427,"")</f>
        <v/>
      </c>
      <c r="L7427" s="16">
        <f>IF(AND(G7427&gt;0,H7427&gt;0),G7427/H7427,"")</f>
        <v/>
      </c>
    </row>
    <row r="7428">
      <c r="A7428" s="4" t="inlineStr">
        <is>
          <t>448</t>
        </is>
      </c>
      <c r="B7428" s="4" t="n">
        <v>4</v>
      </c>
      <c r="C7428" s="4" t="inlineStr">
        <is>
          <t>mule deer</t>
        </is>
      </c>
      <c r="D7428" s="4" t="n">
        <v>2013</v>
      </c>
      <c r="E7428" s="13" t="inlineStr">
        <is>
          <t>General</t>
        </is>
      </c>
      <c r="F7428" s="5" t="n">
        <v>702</v>
      </c>
      <c r="G7428" s="5" t="n">
        <v>4238</v>
      </c>
      <c r="H7428" s="5" t="n">
        <v>127</v>
      </c>
      <c r="I7428" s="5" t="n">
        <v>126</v>
      </c>
      <c r="J7428" s="5" t="n">
        <v>1</v>
      </c>
      <c r="K7428" s="10">
        <f>IF(F7428&gt;0,H7428/F7428,"")</f>
        <v/>
      </c>
      <c r="L7428" s="16">
        <f>IF(AND(G7428&gt;0,H7428&gt;0),G7428/H7428,"")</f>
        <v/>
      </c>
    </row>
    <row r="7429">
      <c r="A7429" s="4" t="inlineStr">
        <is>
          <t>448</t>
        </is>
      </c>
      <c r="B7429" s="4" t="n">
        <v>4</v>
      </c>
      <c r="C7429" s="4" t="inlineStr">
        <is>
          <t>mule deer</t>
        </is>
      </c>
      <c r="D7429" s="4" t="n">
        <v>2014</v>
      </c>
      <c r="E7429" s="13" t="inlineStr">
        <is>
          <t>General</t>
        </is>
      </c>
      <c r="F7429" s="5" t="n"/>
      <c r="G7429" s="5" t="n"/>
      <c r="H7429" s="5" t="n">
        <v>141</v>
      </c>
      <c r="I7429" s="5" t="n">
        <v>138</v>
      </c>
      <c r="J7429" s="5" t="n">
        <v>3</v>
      </c>
      <c r="K7429" s="10">
        <f>IF(F7429&gt;0,H7429/F7429,"")</f>
        <v/>
      </c>
      <c r="L7429" s="16">
        <f>IF(AND(G7429&gt;0,H7429&gt;0),G7429/H7429,"")</f>
        <v/>
      </c>
    </row>
    <row r="7430">
      <c r="A7430" s="4" t="inlineStr">
        <is>
          <t>448</t>
        </is>
      </c>
      <c r="B7430" s="4" t="n">
        <v>4</v>
      </c>
      <c r="C7430" s="4" t="inlineStr">
        <is>
          <t>mule deer</t>
        </is>
      </c>
      <c r="D7430" s="4" t="n">
        <v>2015</v>
      </c>
      <c r="E7430" s="13" t="inlineStr">
        <is>
          <t>General</t>
        </is>
      </c>
      <c r="F7430" s="5" t="n"/>
      <c r="G7430" s="5" t="n"/>
      <c r="H7430" s="5" t="n">
        <v>153</v>
      </c>
      <c r="I7430" s="5" t="n">
        <v>149</v>
      </c>
      <c r="J7430" s="5" t="n">
        <v>1</v>
      </c>
      <c r="K7430" s="10">
        <f>IF(F7430&gt;0,H7430/F7430,"")</f>
        <v/>
      </c>
      <c r="L7430" s="16">
        <f>IF(AND(G7430&gt;0,H7430&gt;0),G7430/H7430,"")</f>
        <v/>
      </c>
    </row>
    <row r="7431">
      <c r="A7431" s="4" t="inlineStr">
        <is>
          <t>448</t>
        </is>
      </c>
      <c r="B7431" s="4" t="n">
        <v>4</v>
      </c>
      <c r="C7431" s="4" t="inlineStr">
        <is>
          <t>mule deer</t>
        </is>
      </c>
      <c r="D7431" s="4" t="n">
        <v>2016</v>
      </c>
      <c r="E7431" s="13" t="inlineStr">
        <is>
          <t>General</t>
        </is>
      </c>
      <c r="F7431" s="5" t="n"/>
      <c r="G7431" s="5" t="n"/>
      <c r="H7431" s="5" t="n">
        <v>139</v>
      </c>
      <c r="I7431" s="5" t="n">
        <v>139</v>
      </c>
      <c r="J7431" s="5" t="n">
        <v>0</v>
      </c>
      <c r="K7431" s="10">
        <f>IF(F7431&gt;0,H7431/F7431,"")</f>
        <v/>
      </c>
      <c r="L7431" s="16">
        <f>IF(AND(G7431&gt;0,H7431&gt;0),G7431/H7431,"")</f>
        <v/>
      </c>
    </row>
    <row r="7432">
      <c r="A7432" s="4" t="inlineStr">
        <is>
          <t>448</t>
        </is>
      </c>
      <c r="B7432" s="4" t="n">
        <v>4</v>
      </c>
      <c r="C7432" s="4" t="inlineStr">
        <is>
          <t>mule deer</t>
        </is>
      </c>
      <c r="D7432" s="4" t="n">
        <v>2017</v>
      </c>
      <c r="E7432" s="13" t="inlineStr">
        <is>
          <t>General</t>
        </is>
      </c>
      <c r="F7432" s="5" t="n">
        <v>585</v>
      </c>
      <c r="G7432" s="5" t="n">
        <v>3644</v>
      </c>
      <c r="H7432" s="5" t="n">
        <v>144</v>
      </c>
      <c r="I7432" s="5" t="n">
        <v>133</v>
      </c>
      <c r="J7432" s="5" t="n">
        <v>12</v>
      </c>
      <c r="K7432" s="10">
        <f>IF(F7432&gt;0,H7432/F7432,"")</f>
        <v/>
      </c>
      <c r="L7432" s="16">
        <f>IF(AND(G7432&gt;0,H7432&gt;0),G7432/H7432,"")</f>
        <v/>
      </c>
    </row>
    <row r="7433">
      <c r="A7433" s="4" t="inlineStr">
        <is>
          <t>448</t>
        </is>
      </c>
      <c r="B7433" s="4" t="n">
        <v>4</v>
      </c>
      <c r="C7433" s="4" t="inlineStr">
        <is>
          <t>mule deer</t>
        </is>
      </c>
      <c r="D7433" s="4" t="n">
        <v>2018</v>
      </c>
      <c r="E7433" s="13" t="inlineStr">
        <is>
          <t>General</t>
        </is>
      </c>
      <c r="F7433" s="5" t="n"/>
      <c r="G7433" s="5" t="n"/>
      <c r="H7433" s="5" t="n">
        <v>131</v>
      </c>
      <c r="I7433" s="5" t="n">
        <v>131</v>
      </c>
      <c r="J7433" s="5" t="n">
        <v>0</v>
      </c>
      <c r="K7433" s="10">
        <f>IF(F7433&gt;0,H7433/F7433,"")</f>
        <v/>
      </c>
      <c r="L7433" s="16">
        <f>IF(AND(G7433&gt;0,H7433&gt;0),G7433/H7433,"")</f>
        <v/>
      </c>
    </row>
    <row r="7434">
      <c r="A7434" s="4" t="inlineStr">
        <is>
          <t>448</t>
        </is>
      </c>
      <c r="B7434" s="4" t="n">
        <v>4</v>
      </c>
      <c r="C7434" s="4" t="inlineStr">
        <is>
          <t>mule deer</t>
        </is>
      </c>
      <c r="D7434" s="4" t="n">
        <v>2019</v>
      </c>
      <c r="E7434" s="13" t="inlineStr">
        <is>
          <t>General</t>
        </is>
      </c>
      <c r="F7434" s="5" t="n">
        <v>444</v>
      </c>
      <c r="G7434" s="5" t="n">
        <v>3141</v>
      </c>
      <c r="H7434" s="5" t="n">
        <v>91</v>
      </c>
      <c r="I7434" s="5" t="n">
        <v>85</v>
      </c>
      <c r="J7434" s="5" t="n">
        <v>7</v>
      </c>
      <c r="K7434" s="10">
        <f>IF(F7434&gt;0,H7434/F7434,"")</f>
        <v/>
      </c>
      <c r="L7434" s="16">
        <f>IF(AND(G7434&gt;0,H7434&gt;0),G7434/H7434,"")</f>
        <v/>
      </c>
    </row>
    <row r="7435">
      <c r="A7435" s="4" t="inlineStr">
        <is>
          <t>448</t>
        </is>
      </c>
      <c r="B7435" s="4" t="n">
        <v>4</v>
      </c>
      <c r="C7435" s="4" t="inlineStr">
        <is>
          <t>mule deer</t>
        </is>
      </c>
      <c r="D7435" s="4" t="n">
        <v>2020</v>
      </c>
      <c r="E7435" s="13" t="inlineStr">
        <is>
          <t>General</t>
        </is>
      </c>
      <c r="F7435" s="5" t="n"/>
      <c r="G7435" s="5" t="n"/>
      <c r="H7435" s="5" t="n">
        <v>133</v>
      </c>
      <c r="I7435" s="5" t="n">
        <v>92</v>
      </c>
      <c r="J7435" s="5" t="n">
        <v>41</v>
      </c>
      <c r="K7435" s="10">
        <f>IF(F7435&gt;0,H7435/F7435,"")</f>
        <v/>
      </c>
      <c r="L7435" s="16">
        <f>IF(AND(G7435&gt;0,H7435&gt;0),G7435/H7435,"")</f>
        <v/>
      </c>
    </row>
    <row r="7436">
      <c r="A7436" s="4" t="inlineStr">
        <is>
          <t>448</t>
        </is>
      </c>
      <c r="B7436" s="4" t="n">
        <v>4</v>
      </c>
      <c r="C7436" s="4" t="inlineStr">
        <is>
          <t>mule deer</t>
        </is>
      </c>
      <c r="D7436" s="4" t="n">
        <v>2021</v>
      </c>
      <c r="E7436" s="13" t="inlineStr">
        <is>
          <t>General</t>
        </is>
      </c>
      <c r="F7436" s="5" t="n">
        <v>574</v>
      </c>
      <c r="G7436" s="5" t="n">
        <v>3981</v>
      </c>
      <c r="H7436" s="5" t="n">
        <v>126</v>
      </c>
      <c r="I7436" s="5" t="n">
        <v>122</v>
      </c>
      <c r="J7436" s="5" t="n">
        <v>4</v>
      </c>
      <c r="K7436" s="10">
        <f>IF(F7436&gt;0,H7436/F7436,"")</f>
        <v/>
      </c>
      <c r="L7436" s="16">
        <f>IF(AND(G7436&gt;0,H7436&gt;0),G7436/H7436,"")</f>
        <v/>
      </c>
    </row>
    <row r="7437">
      <c r="A7437" s="4" t="inlineStr">
        <is>
          <t>448</t>
        </is>
      </c>
      <c r="B7437" s="4" t="n">
        <v>4</v>
      </c>
      <c r="C7437" s="4" t="inlineStr">
        <is>
          <t>mule deer</t>
        </is>
      </c>
      <c r="D7437" s="4" t="n">
        <v>2022</v>
      </c>
      <c r="E7437" s="13" t="inlineStr">
        <is>
          <t>General</t>
        </is>
      </c>
      <c r="F7437" s="5" t="n"/>
      <c r="G7437" s="5" t="n"/>
      <c r="H7437" s="5" t="n">
        <v>144</v>
      </c>
      <c r="I7437" s="5" t="n">
        <v>138</v>
      </c>
      <c r="J7437" s="5" t="n">
        <v>6</v>
      </c>
      <c r="K7437" s="10">
        <f>IF(F7437&gt;0,H7437/F7437,"")</f>
        <v/>
      </c>
      <c r="L7437" s="16">
        <f>IF(AND(G7437&gt;0,H7437&gt;0),G7437/H7437,"")</f>
        <v/>
      </c>
    </row>
    <row r="7438">
      <c r="A7438" s="4" t="inlineStr">
        <is>
          <t>448</t>
        </is>
      </c>
      <c r="B7438" s="4" t="n">
        <v>4</v>
      </c>
      <c r="C7438" s="4" t="inlineStr">
        <is>
          <t>mule deer</t>
        </is>
      </c>
      <c r="D7438" s="4" t="n">
        <v>2023</v>
      </c>
      <c r="E7438" s="13" t="inlineStr">
        <is>
          <t>General</t>
        </is>
      </c>
      <c r="F7438" s="5" t="n">
        <v>677</v>
      </c>
      <c r="G7438" s="5" t="n">
        <v>3952</v>
      </c>
      <c r="H7438" s="5" t="n">
        <v>172</v>
      </c>
      <c r="I7438" s="5" t="n">
        <v>163</v>
      </c>
      <c r="J7438" s="5" t="n">
        <v>10</v>
      </c>
      <c r="K7438" s="10">
        <f>IF(F7438&gt;0,H7438/F7438,"")</f>
        <v/>
      </c>
      <c r="L7438" s="16">
        <f>IF(AND(G7438&gt;0,H7438&gt;0),G7438/H7438,"")</f>
        <v/>
      </c>
    </row>
    <row r="7439">
      <c r="A7439" s="4" t="inlineStr">
        <is>
          <t>448</t>
        </is>
      </c>
      <c r="B7439" s="4" t="n">
        <v>4</v>
      </c>
      <c r="C7439" s="4" t="inlineStr">
        <is>
          <t>mule deer</t>
        </is>
      </c>
      <c r="D7439" s="4" t="n">
        <v>2024</v>
      </c>
      <c r="E7439" s="13" t="inlineStr">
        <is>
          <t>General</t>
        </is>
      </c>
      <c r="F7439" s="5" t="n"/>
      <c r="G7439" s="5" t="n"/>
      <c r="H7439" s="5" t="n">
        <v>174</v>
      </c>
      <c r="I7439" s="5" t="n">
        <v>114</v>
      </c>
      <c r="J7439" s="5" t="n">
        <v>60</v>
      </c>
      <c r="K7439" s="10">
        <f>IF(F7439&gt;0,H7439/F7439,"")</f>
        <v/>
      </c>
      <c r="L7439" s="16">
        <f>IF(AND(G7439&gt;0,H7439&gt;0),G7439/H7439,"")</f>
        <v/>
      </c>
    </row>
    <row r="7440">
      <c r="A7440" s="4" t="inlineStr">
        <is>
          <t>448</t>
        </is>
      </c>
      <c r="B7440" s="4" t="n">
        <v>4</v>
      </c>
      <c r="C7440" s="4" t="inlineStr">
        <is>
          <t>mule deer</t>
        </is>
      </c>
      <c r="D7440" s="4" t="n">
        <v>2025</v>
      </c>
      <c r="E7440" s="13" t="inlineStr">
        <is>
          <t>General</t>
        </is>
      </c>
      <c r="F7440" s="5" t="n">
        <v>788</v>
      </c>
      <c r="G7440" s="5" t="n">
        <v>5434</v>
      </c>
      <c r="H7440" s="5" t="n">
        <v>213</v>
      </c>
      <c r="I7440" s="5" t="n">
        <v>178</v>
      </c>
      <c r="J7440" s="5" t="n">
        <v>35</v>
      </c>
      <c r="K7440" s="10">
        <f>IF(F7440&gt;0,H7440/F7440,"")</f>
        <v/>
      </c>
      <c r="L7440" s="16">
        <f>IF(AND(G7440&gt;0,H7440&gt;0),G7440/H7440,"")</f>
        <v/>
      </c>
    </row>
    <row r="7441">
      <c r="A7441" s="4" t="inlineStr">
        <is>
          <t>449</t>
        </is>
      </c>
      <c r="B7441" s="4" t="n">
        <v>4</v>
      </c>
      <c r="C7441" s="4" t="inlineStr">
        <is>
          <t>mule deer</t>
        </is>
      </c>
      <c r="D7441" s="4" t="n">
        <v>2004</v>
      </c>
      <c r="E7441" s="4" t="inlineStr"/>
      <c r="F7441" s="5" t="n">
        <v>631</v>
      </c>
      <c r="G7441" s="5" t="n">
        <v>2758</v>
      </c>
      <c r="H7441" s="5" t="n">
        <v>274</v>
      </c>
      <c r="I7441" s="5" t="n">
        <v>231</v>
      </c>
      <c r="J7441" s="5" t="n">
        <v>37</v>
      </c>
      <c r="K7441" s="10">
        <f>IF(F7441&gt;0,H7441/F7441,"")</f>
        <v/>
      </c>
      <c r="L7441" s="16">
        <f>IF(AND(G7441&gt;0,H7441&gt;0),G7441/H7441,"")</f>
        <v/>
      </c>
    </row>
    <row r="7442">
      <c r="A7442" s="4" t="inlineStr">
        <is>
          <t>449</t>
        </is>
      </c>
      <c r="B7442" s="4" t="n">
        <v>4</v>
      </c>
      <c r="C7442" s="4" t="inlineStr">
        <is>
          <t>mule deer</t>
        </is>
      </c>
      <c r="D7442" s="4" t="n">
        <v>2005</v>
      </c>
      <c r="E7442" s="4" t="inlineStr"/>
      <c r="F7442" s="5" t="n">
        <v>441</v>
      </c>
      <c r="G7442" s="5" t="n">
        <v>2265</v>
      </c>
      <c r="H7442" s="5" t="n">
        <v>141</v>
      </c>
      <c r="I7442" s="5" t="n">
        <v>114</v>
      </c>
      <c r="J7442" s="5" t="n">
        <v>27</v>
      </c>
      <c r="K7442" s="10">
        <f>IF(F7442&gt;0,H7442/F7442,"")</f>
        <v/>
      </c>
      <c r="L7442" s="16">
        <f>IF(AND(G7442&gt;0,H7442&gt;0),G7442/H7442,"")</f>
        <v/>
      </c>
    </row>
    <row r="7443">
      <c r="A7443" s="4" t="inlineStr">
        <is>
          <t>449</t>
        </is>
      </c>
      <c r="B7443" s="4" t="n">
        <v>4</v>
      </c>
      <c r="C7443" s="4" t="inlineStr">
        <is>
          <t>mule deer</t>
        </is>
      </c>
      <c r="D7443" s="4" t="n">
        <v>2006</v>
      </c>
      <c r="E7443" s="4" t="inlineStr"/>
      <c r="F7443" s="5" t="n">
        <v>401</v>
      </c>
      <c r="G7443" s="5" t="n">
        <v>1843</v>
      </c>
      <c r="H7443" s="5" t="n">
        <v>112</v>
      </c>
      <c r="I7443" s="5" t="n">
        <v>97</v>
      </c>
      <c r="J7443" s="5" t="n">
        <v>15</v>
      </c>
      <c r="K7443" s="10">
        <f>IF(F7443&gt;0,H7443/F7443,"")</f>
        <v/>
      </c>
      <c r="L7443" s="16">
        <f>IF(AND(G7443&gt;0,H7443&gt;0),G7443/H7443,"")</f>
        <v/>
      </c>
    </row>
    <row r="7444">
      <c r="A7444" s="4" t="inlineStr">
        <is>
          <t>449</t>
        </is>
      </c>
      <c r="B7444" s="4" t="n">
        <v>4</v>
      </c>
      <c r="C7444" s="4" t="inlineStr">
        <is>
          <t>mule deer</t>
        </is>
      </c>
      <c r="D7444" s="4" t="n">
        <v>2007</v>
      </c>
      <c r="E7444" s="4" t="inlineStr"/>
      <c r="F7444" s="5" t="n">
        <v>342</v>
      </c>
      <c r="G7444" s="5" t="n">
        <v>1961</v>
      </c>
      <c r="H7444" s="5" t="n">
        <v>121</v>
      </c>
      <c r="I7444" s="5" t="n">
        <v>102</v>
      </c>
      <c r="J7444" s="5" t="n">
        <v>19</v>
      </c>
      <c r="K7444" s="10">
        <f>IF(F7444&gt;0,H7444/F7444,"")</f>
        <v/>
      </c>
      <c r="L7444" s="16">
        <f>IF(AND(G7444&gt;0,H7444&gt;0),G7444/H7444,"")</f>
        <v/>
      </c>
    </row>
    <row r="7445">
      <c r="A7445" s="4" t="inlineStr">
        <is>
          <t>449</t>
        </is>
      </c>
      <c r="B7445" s="4" t="n">
        <v>4</v>
      </c>
      <c r="C7445" s="4" t="inlineStr">
        <is>
          <t>mule deer</t>
        </is>
      </c>
      <c r="D7445" s="4" t="n">
        <v>2008</v>
      </c>
      <c r="E7445" s="4" t="inlineStr"/>
      <c r="F7445" s="5" t="n">
        <v>396</v>
      </c>
      <c r="G7445" s="5" t="n">
        <v>1870</v>
      </c>
      <c r="H7445" s="5" t="n">
        <v>91</v>
      </c>
      <c r="I7445" s="5" t="n">
        <v>68</v>
      </c>
      <c r="J7445" s="5" t="n">
        <v>23</v>
      </c>
      <c r="K7445" s="10">
        <f>IF(F7445&gt;0,H7445/F7445,"")</f>
        <v/>
      </c>
      <c r="L7445" s="16">
        <f>IF(AND(G7445&gt;0,H7445&gt;0),G7445/H7445,"")</f>
        <v/>
      </c>
    </row>
    <row r="7446">
      <c r="A7446" s="4" t="inlineStr">
        <is>
          <t>449</t>
        </is>
      </c>
      <c r="B7446" s="4" t="n">
        <v>4</v>
      </c>
      <c r="C7446" s="4" t="inlineStr">
        <is>
          <t>mule deer</t>
        </is>
      </c>
      <c r="D7446" s="4" t="n">
        <v>2009</v>
      </c>
      <c r="E7446" s="4" t="inlineStr"/>
      <c r="F7446" s="5" t="n">
        <v>403</v>
      </c>
      <c r="G7446" s="5" t="n">
        <v>2015</v>
      </c>
      <c r="H7446" s="5" t="n">
        <v>106</v>
      </c>
      <c r="I7446" s="5" t="n">
        <v>95</v>
      </c>
      <c r="J7446" s="5" t="n">
        <v>12</v>
      </c>
      <c r="K7446" s="10">
        <f>IF(F7446&gt;0,H7446/F7446,"")</f>
        <v/>
      </c>
      <c r="L7446" s="16">
        <f>IF(AND(G7446&gt;0,H7446&gt;0),G7446/H7446,"")</f>
        <v/>
      </c>
    </row>
    <row r="7447">
      <c r="A7447" s="4" t="inlineStr">
        <is>
          <t>449</t>
        </is>
      </c>
      <c r="B7447" s="4" t="n">
        <v>4</v>
      </c>
      <c r="C7447" s="4" t="inlineStr">
        <is>
          <t>mule deer</t>
        </is>
      </c>
      <c r="D7447" s="4" t="n">
        <v>2010</v>
      </c>
      <c r="E7447" s="4" t="inlineStr"/>
      <c r="F7447" s="5" t="n">
        <v>449</v>
      </c>
      <c r="G7447" s="5" t="n">
        <v>2529</v>
      </c>
      <c r="H7447" s="5" t="n">
        <v>94</v>
      </c>
      <c r="I7447" s="5" t="n">
        <v>84</v>
      </c>
      <c r="J7447" s="5" t="n">
        <v>10</v>
      </c>
      <c r="K7447" s="10">
        <f>IF(F7447&gt;0,H7447/F7447,"")</f>
        <v/>
      </c>
      <c r="L7447" s="16">
        <f>IF(AND(G7447&gt;0,H7447&gt;0),G7447/H7447,"")</f>
        <v/>
      </c>
    </row>
    <row r="7448">
      <c r="A7448" s="4" t="inlineStr">
        <is>
          <t>449</t>
        </is>
      </c>
      <c r="B7448" s="4" t="n">
        <v>4</v>
      </c>
      <c r="C7448" s="4" t="inlineStr">
        <is>
          <t>mule deer</t>
        </is>
      </c>
      <c r="D7448" s="4" t="n">
        <v>2011</v>
      </c>
      <c r="E7448" s="4" t="inlineStr"/>
      <c r="F7448" s="5" t="n">
        <v>525</v>
      </c>
      <c r="G7448" s="5" t="n">
        <v>2512</v>
      </c>
      <c r="H7448" s="5" t="n">
        <v>87</v>
      </c>
      <c r="I7448" s="5" t="n">
        <v>81</v>
      </c>
      <c r="J7448" s="5" t="n">
        <v>6</v>
      </c>
      <c r="K7448" s="10">
        <f>IF(F7448&gt;0,H7448/F7448,"")</f>
        <v/>
      </c>
      <c r="L7448" s="16">
        <f>IF(AND(G7448&gt;0,H7448&gt;0),G7448/H7448,"")</f>
        <v/>
      </c>
    </row>
    <row r="7449">
      <c r="A7449" s="4" t="inlineStr">
        <is>
          <t>449</t>
        </is>
      </c>
      <c r="B7449" s="4" t="n">
        <v>4</v>
      </c>
      <c r="C7449" s="4" t="inlineStr">
        <is>
          <t>mule deer</t>
        </is>
      </c>
      <c r="D7449" s="4" t="n">
        <v>2012</v>
      </c>
      <c r="E7449" s="4" t="inlineStr"/>
      <c r="F7449" s="5" t="n"/>
      <c r="G7449" s="5" t="n"/>
      <c r="H7449" s="5" t="n">
        <v>131</v>
      </c>
      <c r="I7449" s="5" t="n">
        <v>128</v>
      </c>
      <c r="J7449" s="5" t="n">
        <v>3</v>
      </c>
      <c r="K7449" s="10">
        <f>IF(F7449&gt;0,H7449/F7449,"")</f>
        <v/>
      </c>
      <c r="L7449" s="16">
        <f>IF(AND(G7449&gt;0,H7449&gt;0),G7449/H7449,"")</f>
        <v/>
      </c>
    </row>
    <row r="7450">
      <c r="A7450" s="4" t="inlineStr">
        <is>
          <t>449</t>
        </is>
      </c>
      <c r="B7450" s="4" t="n">
        <v>4</v>
      </c>
      <c r="C7450" s="4" t="inlineStr">
        <is>
          <t>mule deer</t>
        </is>
      </c>
      <c r="D7450" s="4" t="n">
        <v>2013</v>
      </c>
      <c r="E7450" s="4" t="inlineStr"/>
      <c r="F7450" s="5" t="n">
        <v>537</v>
      </c>
      <c r="G7450" s="5" t="n">
        <v>2501</v>
      </c>
      <c r="H7450" s="5" t="n">
        <v>109</v>
      </c>
      <c r="I7450" s="5" t="n">
        <v>109</v>
      </c>
      <c r="J7450" s="5" t="n">
        <v>0</v>
      </c>
      <c r="K7450" s="10">
        <f>IF(F7450&gt;0,H7450/F7450,"")</f>
        <v/>
      </c>
      <c r="L7450" s="16">
        <f>IF(AND(G7450&gt;0,H7450&gt;0),G7450/H7450,"")</f>
        <v/>
      </c>
    </row>
    <row r="7451">
      <c r="A7451" s="4" t="inlineStr">
        <is>
          <t>449</t>
        </is>
      </c>
      <c r="B7451" s="4" t="n">
        <v>4</v>
      </c>
      <c r="C7451" s="4" t="inlineStr">
        <is>
          <t>mule deer</t>
        </is>
      </c>
      <c r="D7451" s="4" t="n">
        <v>2014</v>
      </c>
      <c r="E7451" s="4" t="inlineStr"/>
      <c r="F7451" s="5" t="n"/>
      <c r="G7451" s="5" t="n"/>
      <c r="H7451" s="5" t="n">
        <v>127</v>
      </c>
      <c r="I7451" s="5" t="n">
        <v>127</v>
      </c>
      <c r="J7451" s="5" t="n">
        <v>0</v>
      </c>
      <c r="K7451" s="10">
        <f>IF(F7451&gt;0,H7451/F7451,"")</f>
        <v/>
      </c>
      <c r="L7451" s="16">
        <f>IF(AND(G7451&gt;0,H7451&gt;0),G7451/H7451,"")</f>
        <v/>
      </c>
    </row>
    <row r="7452">
      <c r="A7452" s="4" t="inlineStr">
        <is>
          <t>449</t>
        </is>
      </c>
      <c r="B7452" s="4" t="n">
        <v>4</v>
      </c>
      <c r="C7452" s="4" t="inlineStr">
        <is>
          <t>mule deer</t>
        </is>
      </c>
      <c r="D7452" s="4" t="n">
        <v>2015</v>
      </c>
      <c r="E7452" s="4" t="inlineStr"/>
      <c r="F7452" s="5" t="n"/>
      <c r="G7452" s="5" t="n"/>
      <c r="H7452" s="5" t="n">
        <v>152</v>
      </c>
      <c r="I7452" s="5" t="n">
        <v>152</v>
      </c>
      <c r="J7452" s="5" t="n">
        <v>0</v>
      </c>
      <c r="K7452" s="10">
        <f>IF(F7452&gt;0,H7452/F7452,"")</f>
        <v/>
      </c>
      <c r="L7452" s="16">
        <f>IF(AND(G7452&gt;0,H7452&gt;0),G7452/H7452,"")</f>
        <v/>
      </c>
    </row>
    <row r="7453">
      <c r="A7453" s="4" t="inlineStr">
        <is>
          <t>449</t>
        </is>
      </c>
      <c r="B7453" s="4" t="n">
        <v>4</v>
      </c>
      <c r="C7453" s="4" t="inlineStr">
        <is>
          <t>mule deer</t>
        </is>
      </c>
      <c r="D7453" s="4" t="n">
        <v>2016</v>
      </c>
      <c r="E7453" s="4" t="inlineStr"/>
      <c r="F7453" s="5" t="n"/>
      <c r="G7453" s="5" t="n"/>
      <c r="H7453" s="5" t="n">
        <v>144</v>
      </c>
      <c r="I7453" s="5" t="n">
        <v>138</v>
      </c>
      <c r="J7453" s="5" t="n">
        <v>3</v>
      </c>
      <c r="K7453" s="10">
        <f>IF(F7453&gt;0,H7453/F7453,"")</f>
        <v/>
      </c>
      <c r="L7453" s="16">
        <f>IF(AND(G7453&gt;0,H7453&gt;0),G7453/H7453,"")</f>
        <v/>
      </c>
    </row>
    <row r="7454">
      <c r="A7454" s="4" t="inlineStr">
        <is>
          <t>449</t>
        </is>
      </c>
      <c r="B7454" s="4" t="n">
        <v>4</v>
      </c>
      <c r="C7454" s="4" t="inlineStr">
        <is>
          <t>mule deer</t>
        </is>
      </c>
      <c r="D7454" s="4" t="n">
        <v>2017</v>
      </c>
      <c r="E7454" s="4" t="inlineStr"/>
      <c r="F7454" s="5" t="n">
        <v>384</v>
      </c>
      <c r="G7454" s="5" t="n">
        <v>1617</v>
      </c>
      <c r="H7454" s="5" t="n">
        <v>61</v>
      </c>
      <c r="I7454" s="5" t="n">
        <v>59</v>
      </c>
      <c r="J7454" s="5" t="n">
        <v>3</v>
      </c>
      <c r="K7454" s="10">
        <f>IF(F7454&gt;0,H7454/F7454,"")</f>
        <v/>
      </c>
      <c r="L7454" s="16">
        <f>IF(AND(G7454&gt;0,H7454&gt;0),G7454/H7454,"")</f>
        <v/>
      </c>
    </row>
    <row r="7455">
      <c r="A7455" s="4" t="inlineStr">
        <is>
          <t>449</t>
        </is>
      </c>
      <c r="B7455" s="4" t="n">
        <v>4</v>
      </c>
      <c r="C7455" s="4" t="inlineStr">
        <is>
          <t>mule deer</t>
        </is>
      </c>
      <c r="D7455" s="4" t="n">
        <v>2018</v>
      </c>
      <c r="E7455" s="4" t="inlineStr"/>
      <c r="F7455" s="5" t="n"/>
      <c r="G7455" s="5" t="n"/>
      <c r="H7455" s="5" t="n">
        <v>77</v>
      </c>
      <c r="I7455" s="5" t="n">
        <v>77</v>
      </c>
      <c r="J7455" s="5" t="n">
        <v>0</v>
      </c>
      <c r="K7455" s="10">
        <f>IF(F7455&gt;0,H7455/F7455,"")</f>
        <v/>
      </c>
      <c r="L7455" s="16">
        <f>IF(AND(G7455&gt;0,H7455&gt;0),G7455/H7455,"")</f>
        <v/>
      </c>
    </row>
    <row r="7456">
      <c r="A7456" s="4" t="inlineStr">
        <is>
          <t>449</t>
        </is>
      </c>
      <c r="B7456" s="4" t="n">
        <v>4</v>
      </c>
      <c r="C7456" s="4" t="inlineStr">
        <is>
          <t>mule deer</t>
        </is>
      </c>
      <c r="D7456" s="4" t="n">
        <v>2019</v>
      </c>
      <c r="E7456" s="4" t="inlineStr"/>
      <c r="F7456" s="5" t="n">
        <v>393</v>
      </c>
      <c r="G7456" s="5" t="n">
        <v>1760</v>
      </c>
      <c r="H7456" s="5" t="n">
        <v>77</v>
      </c>
      <c r="I7456" s="5" t="n">
        <v>71</v>
      </c>
      <c r="J7456" s="5" t="n">
        <v>6</v>
      </c>
      <c r="K7456" s="10">
        <f>IF(F7456&gt;0,H7456/F7456,"")</f>
        <v/>
      </c>
      <c r="L7456" s="16">
        <f>IF(AND(G7456&gt;0,H7456&gt;0),G7456/H7456,"")</f>
        <v/>
      </c>
    </row>
    <row r="7457">
      <c r="A7457" s="4" t="inlineStr">
        <is>
          <t>450</t>
        </is>
      </c>
      <c r="B7457" s="4" t="n">
        <v>4</v>
      </c>
      <c r="C7457" s="4" t="inlineStr">
        <is>
          <t>mule deer</t>
        </is>
      </c>
      <c r="D7457" s="4" t="n">
        <v>2004</v>
      </c>
      <c r="E7457" s="13" t="inlineStr">
        <is>
          <t>General</t>
        </is>
      </c>
      <c r="F7457" s="5" t="n">
        <v>433</v>
      </c>
      <c r="G7457" s="5" t="n">
        <v>1810</v>
      </c>
      <c r="H7457" s="5" t="n">
        <v>177</v>
      </c>
      <c r="I7457" s="5" t="n">
        <v>83</v>
      </c>
      <c r="J7457" s="5" t="n">
        <v>94</v>
      </c>
      <c r="K7457" s="10">
        <f>IF(F7457&gt;0,H7457/F7457,"")</f>
        <v/>
      </c>
      <c r="L7457" s="16">
        <f>IF(AND(G7457&gt;0,H7457&gt;0),G7457/H7457,"")</f>
        <v/>
      </c>
    </row>
    <row r="7458">
      <c r="A7458" s="4" t="inlineStr">
        <is>
          <t>450</t>
        </is>
      </c>
      <c r="B7458" s="4" t="n">
        <v>4</v>
      </c>
      <c r="C7458" s="4" t="inlineStr">
        <is>
          <t>mule deer</t>
        </is>
      </c>
      <c r="D7458" s="4" t="n">
        <v>2005</v>
      </c>
      <c r="E7458" s="13" t="inlineStr">
        <is>
          <t>General</t>
        </is>
      </c>
      <c r="F7458" s="5" t="n">
        <v>459</v>
      </c>
      <c r="G7458" s="5" t="n">
        <v>1791</v>
      </c>
      <c r="H7458" s="5" t="n">
        <v>157</v>
      </c>
      <c r="I7458" s="5" t="n">
        <v>97</v>
      </c>
      <c r="J7458" s="5" t="n">
        <v>60</v>
      </c>
      <c r="K7458" s="10">
        <f>IF(F7458&gt;0,H7458/F7458,"")</f>
        <v/>
      </c>
      <c r="L7458" s="16">
        <f>IF(AND(G7458&gt;0,H7458&gt;0),G7458/H7458,"")</f>
        <v/>
      </c>
    </row>
    <row r="7459">
      <c r="A7459" s="4" t="inlineStr">
        <is>
          <t>450</t>
        </is>
      </c>
      <c r="B7459" s="4" t="n">
        <v>4</v>
      </c>
      <c r="C7459" s="4" t="inlineStr">
        <is>
          <t>mule deer</t>
        </is>
      </c>
      <c r="D7459" s="4" t="n">
        <v>2006</v>
      </c>
      <c r="E7459" s="13" t="inlineStr">
        <is>
          <t>General</t>
        </is>
      </c>
      <c r="F7459" s="5" t="n">
        <v>435</v>
      </c>
      <c r="G7459" s="5" t="n">
        <v>1931</v>
      </c>
      <c r="H7459" s="5" t="n">
        <v>197</v>
      </c>
      <c r="I7459" s="5" t="n">
        <v>104</v>
      </c>
      <c r="J7459" s="5" t="n">
        <v>91</v>
      </c>
      <c r="K7459" s="10">
        <f>IF(F7459&gt;0,H7459/F7459,"")</f>
        <v/>
      </c>
      <c r="L7459" s="16">
        <f>IF(AND(G7459&gt;0,H7459&gt;0),G7459/H7459,"")</f>
        <v/>
      </c>
    </row>
    <row r="7460">
      <c r="A7460" s="4" t="inlineStr">
        <is>
          <t>450</t>
        </is>
      </c>
      <c r="B7460" s="4" t="n">
        <v>4</v>
      </c>
      <c r="C7460" s="4" t="inlineStr">
        <is>
          <t>mule deer</t>
        </is>
      </c>
      <c r="D7460" s="4" t="n">
        <v>2007</v>
      </c>
      <c r="E7460" s="13" t="inlineStr">
        <is>
          <t>General</t>
        </is>
      </c>
      <c r="F7460" s="5" t="n">
        <v>439</v>
      </c>
      <c r="G7460" s="5" t="n">
        <v>1992</v>
      </c>
      <c r="H7460" s="5" t="n">
        <v>132</v>
      </c>
      <c r="I7460" s="5" t="n">
        <v>55</v>
      </c>
      <c r="J7460" s="5" t="n">
        <v>77</v>
      </c>
      <c r="K7460" s="10">
        <f>IF(F7460&gt;0,H7460/F7460,"")</f>
        <v/>
      </c>
      <c r="L7460" s="16">
        <f>IF(AND(G7460&gt;0,H7460&gt;0),G7460/H7460,"")</f>
        <v/>
      </c>
    </row>
    <row r="7461">
      <c r="A7461" s="4" t="inlineStr">
        <is>
          <t>450</t>
        </is>
      </c>
      <c r="B7461" s="4" t="n">
        <v>4</v>
      </c>
      <c r="C7461" s="4" t="inlineStr">
        <is>
          <t>mule deer</t>
        </is>
      </c>
      <c r="D7461" s="4" t="n">
        <v>2008</v>
      </c>
      <c r="E7461" s="13" t="inlineStr">
        <is>
          <t>General</t>
        </is>
      </c>
      <c r="F7461" s="5" t="n">
        <v>438</v>
      </c>
      <c r="G7461" s="5" t="n">
        <v>2201</v>
      </c>
      <c r="H7461" s="5" t="n">
        <v>162</v>
      </c>
      <c r="I7461" s="5" t="n">
        <v>96</v>
      </c>
      <c r="J7461" s="5" t="n">
        <v>66</v>
      </c>
      <c r="K7461" s="10">
        <f>IF(F7461&gt;0,H7461/F7461,"")</f>
        <v/>
      </c>
      <c r="L7461" s="16">
        <f>IF(AND(G7461&gt;0,H7461&gt;0),G7461/H7461,"")</f>
        <v/>
      </c>
    </row>
    <row r="7462">
      <c r="A7462" s="4" t="inlineStr">
        <is>
          <t>450</t>
        </is>
      </c>
      <c r="B7462" s="4" t="n">
        <v>4</v>
      </c>
      <c r="C7462" s="4" t="inlineStr">
        <is>
          <t>mule deer</t>
        </is>
      </c>
      <c r="D7462" s="4" t="n">
        <v>2009</v>
      </c>
      <c r="E7462" s="13" t="inlineStr">
        <is>
          <t>General</t>
        </is>
      </c>
      <c r="F7462" s="5" t="n">
        <v>473</v>
      </c>
      <c r="G7462" s="5" t="n">
        <v>2165</v>
      </c>
      <c r="H7462" s="5" t="n">
        <v>70</v>
      </c>
      <c r="I7462" s="5" t="n">
        <v>33</v>
      </c>
      <c r="J7462" s="5" t="n">
        <v>37</v>
      </c>
      <c r="K7462" s="10">
        <f>IF(F7462&gt;0,H7462/F7462,"")</f>
        <v/>
      </c>
      <c r="L7462" s="16">
        <f>IF(AND(G7462&gt;0,H7462&gt;0),G7462/H7462,"")</f>
        <v/>
      </c>
    </row>
    <row r="7463">
      <c r="A7463" s="4" t="inlineStr">
        <is>
          <t>450</t>
        </is>
      </c>
      <c r="B7463" s="4" t="n">
        <v>4</v>
      </c>
      <c r="C7463" s="4" t="inlineStr">
        <is>
          <t>mule deer</t>
        </is>
      </c>
      <c r="D7463" s="4" t="n">
        <v>2010</v>
      </c>
      <c r="E7463" s="13" t="inlineStr">
        <is>
          <t>General</t>
        </is>
      </c>
      <c r="F7463" s="5" t="n">
        <v>458</v>
      </c>
      <c r="G7463" s="5" t="n">
        <v>2335</v>
      </c>
      <c r="H7463" s="5" t="n">
        <v>92</v>
      </c>
      <c r="I7463" s="5" t="n">
        <v>50</v>
      </c>
      <c r="J7463" s="5" t="n">
        <v>41</v>
      </c>
      <c r="K7463" s="10">
        <f>IF(F7463&gt;0,H7463/F7463,"")</f>
        <v/>
      </c>
      <c r="L7463" s="16">
        <f>IF(AND(G7463&gt;0,H7463&gt;0),G7463/H7463,"")</f>
        <v/>
      </c>
    </row>
    <row r="7464">
      <c r="A7464" s="4" t="inlineStr">
        <is>
          <t>450</t>
        </is>
      </c>
      <c r="B7464" s="4" t="n">
        <v>4</v>
      </c>
      <c r="C7464" s="4" t="inlineStr">
        <is>
          <t>mule deer</t>
        </is>
      </c>
      <c r="D7464" s="4" t="n">
        <v>2011</v>
      </c>
      <c r="E7464" s="13" t="inlineStr">
        <is>
          <t>General</t>
        </is>
      </c>
      <c r="F7464" s="5" t="n">
        <v>485</v>
      </c>
      <c r="G7464" s="5" t="n">
        <v>2173</v>
      </c>
      <c r="H7464" s="5" t="n">
        <v>92</v>
      </c>
      <c r="I7464" s="5" t="n">
        <v>64</v>
      </c>
      <c r="J7464" s="5" t="n">
        <v>28</v>
      </c>
      <c r="K7464" s="10">
        <f>IF(F7464&gt;0,H7464/F7464,"")</f>
        <v/>
      </c>
      <c r="L7464" s="16">
        <f>IF(AND(G7464&gt;0,H7464&gt;0),G7464/H7464,"")</f>
        <v/>
      </c>
    </row>
    <row r="7465">
      <c r="A7465" s="4" t="inlineStr">
        <is>
          <t>450</t>
        </is>
      </c>
      <c r="B7465" s="4" t="n">
        <v>4</v>
      </c>
      <c r="C7465" s="4" t="inlineStr">
        <is>
          <t>mule deer</t>
        </is>
      </c>
      <c r="D7465" s="4" t="n">
        <v>2012</v>
      </c>
      <c r="E7465" s="13" t="inlineStr">
        <is>
          <t>General</t>
        </is>
      </c>
      <c r="F7465" s="5" t="n"/>
      <c r="G7465" s="5" t="n"/>
      <c r="H7465" s="5" t="n">
        <v>71</v>
      </c>
      <c r="I7465" s="5" t="n">
        <v>53</v>
      </c>
      <c r="J7465" s="5" t="n">
        <v>18</v>
      </c>
      <c r="K7465" s="10">
        <f>IF(F7465&gt;0,H7465/F7465,"")</f>
        <v/>
      </c>
      <c r="L7465" s="16">
        <f>IF(AND(G7465&gt;0,H7465&gt;0),G7465/H7465,"")</f>
        <v/>
      </c>
    </row>
    <row r="7466">
      <c r="A7466" s="4" t="inlineStr">
        <is>
          <t>450</t>
        </is>
      </c>
      <c r="B7466" s="4" t="n">
        <v>4</v>
      </c>
      <c r="C7466" s="4" t="inlineStr">
        <is>
          <t>mule deer</t>
        </is>
      </c>
      <c r="D7466" s="4" t="n">
        <v>2013</v>
      </c>
      <c r="E7466" s="13" t="inlineStr">
        <is>
          <t>General</t>
        </is>
      </c>
      <c r="F7466" s="5" t="n">
        <v>470</v>
      </c>
      <c r="G7466" s="5" t="n">
        <v>1910</v>
      </c>
      <c r="H7466" s="5" t="n">
        <v>80</v>
      </c>
      <c r="I7466" s="5" t="n">
        <v>48</v>
      </c>
      <c r="J7466" s="5" t="n">
        <v>33</v>
      </c>
      <c r="K7466" s="10">
        <f>IF(F7466&gt;0,H7466/F7466,"")</f>
        <v/>
      </c>
      <c r="L7466" s="16">
        <f>IF(AND(G7466&gt;0,H7466&gt;0),G7466/H7466,"")</f>
        <v/>
      </c>
    </row>
    <row r="7467">
      <c r="A7467" s="4" t="inlineStr">
        <is>
          <t>450</t>
        </is>
      </c>
      <c r="B7467" s="4" t="n">
        <v>4</v>
      </c>
      <c r="C7467" s="4" t="inlineStr">
        <is>
          <t>mule deer</t>
        </is>
      </c>
      <c r="D7467" s="4" t="n">
        <v>2014</v>
      </c>
      <c r="E7467" s="13" t="inlineStr">
        <is>
          <t>General</t>
        </is>
      </c>
      <c r="F7467" s="5" t="n"/>
      <c r="G7467" s="5" t="n"/>
      <c r="H7467" s="5" t="n">
        <v>51</v>
      </c>
      <c r="I7467" s="5" t="n">
        <v>51</v>
      </c>
      <c r="J7467" s="5" t="n">
        <v>0</v>
      </c>
      <c r="K7467" s="10">
        <f>IF(F7467&gt;0,H7467/F7467,"")</f>
        <v/>
      </c>
      <c r="L7467" s="16">
        <f>IF(AND(G7467&gt;0,H7467&gt;0),G7467/H7467,"")</f>
        <v/>
      </c>
    </row>
    <row r="7468">
      <c r="A7468" s="4" t="inlineStr">
        <is>
          <t>450</t>
        </is>
      </c>
      <c r="B7468" s="4" t="n">
        <v>4</v>
      </c>
      <c r="C7468" s="4" t="inlineStr">
        <is>
          <t>mule deer</t>
        </is>
      </c>
      <c r="D7468" s="4" t="n">
        <v>2015</v>
      </c>
      <c r="E7468" s="13" t="inlineStr">
        <is>
          <t>General</t>
        </is>
      </c>
      <c r="F7468" s="5" t="n"/>
      <c r="G7468" s="5" t="n"/>
      <c r="H7468" s="5" t="n">
        <v>72</v>
      </c>
      <c r="I7468" s="5" t="n">
        <v>72</v>
      </c>
      <c r="J7468" s="5" t="n">
        <v>0</v>
      </c>
      <c r="K7468" s="10">
        <f>IF(F7468&gt;0,H7468/F7468,"")</f>
        <v/>
      </c>
      <c r="L7468" s="16">
        <f>IF(AND(G7468&gt;0,H7468&gt;0),G7468/H7468,"")</f>
        <v/>
      </c>
    </row>
    <row r="7469">
      <c r="A7469" s="4" t="inlineStr">
        <is>
          <t>450</t>
        </is>
      </c>
      <c r="B7469" s="4" t="n">
        <v>4</v>
      </c>
      <c r="C7469" s="4" t="inlineStr">
        <is>
          <t>mule deer</t>
        </is>
      </c>
      <c r="D7469" s="4" t="n">
        <v>2016</v>
      </c>
      <c r="E7469" s="13" t="inlineStr">
        <is>
          <t>General</t>
        </is>
      </c>
      <c r="F7469" s="5" t="n"/>
      <c r="G7469" s="5" t="n"/>
      <c r="H7469" s="5" t="n">
        <v>94</v>
      </c>
      <c r="I7469" s="5" t="n">
        <v>78</v>
      </c>
      <c r="J7469" s="5" t="n">
        <v>12</v>
      </c>
      <c r="K7469" s="10">
        <f>IF(F7469&gt;0,H7469/F7469,"")</f>
        <v/>
      </c>
      <c r="L7469" s="16">
        <f>IF(AND(G7469&gt;0,H7469&gt;0),G7469/H7469,"")</f>
        <v/>
      </c>
    </row>
    <row r="7470">
      <c r="A7470" s="4" t="inlineStr">
        <is>
          <t>450</t>
        </is>
      </c>
      <c r="B7470" s="4" t="n">
        <v>4</v>
      </c>
      <c r="C7470" s="4" t="inlineStr">
        <is>
          <t>mule deer</t>
        </is>
      </c>
      <c r="D7470" s="4" t="n">
        <v>2017</v>
      </c>
      <c r="E7470" s="13" t="inlineStr">
        <is>
          <t>General</t>
        </is>
      </c>
      <c r="F7470" s="5" t="n">
        <v>462</v>
      </c>
      <c r="G7470" s="5" t="n">
        <v>2500</v>
      </c>
      <c r="H7470" s="5" t="n">
        <v>107</v>
      </c>
      <c r="I7470" s="5" t="n">
        <v>86</v>
      </c>
      <c r="J7470" s="5" t="n">
        <v>21</v>
      </c>
      <c r="K7470" s="10">
        <f>IF(F7470&gt;0,H7470/F7470,"")</f>
        <v/>
      </c>
      <c r="L7470" s="16">
        <f>IF(AND(G7470&gt;0,H7470&gt;0),G7470/H7470,"")</f>
        <v/>
      </c>
    </row>
    <row r="7471">
      <c r="A7471" s="4" t="inlineStr">
        <is>
          <t>450</t>
        </is>
      </c>
      <c r="B7471" s="4" t="n">
        <v>4</v>
      </c>
      <c r="C7471" s="4" t="inlineStr">
        <is>
          <t>mule deer</t>
        </is>
      </c>
      <c r="D7471" s="4" t="n">
        <v>2018</v>
      </c>
      <c r="E7471" s="13" t="inlineStr">
        <is>
          <t>General</t>
        </is>
      </c>
      <c r="F7471" s="5" t="n"/>
      <c r="G7471" s="5" t="n"/>
      <c r="H7471" s="5" t="n">
        <v>80</v>
      </c>
      <c r="I7471" s="5" t="n">
        <v>58</v>
      </c>
      <c r="J7471" s="5" t="n">
        <v>22</v>
      </c>
      <c r="K7471" s="10">
        <f>IF(F7471&gt;0,H7471/F7471,"")</f>
        <v/>
      </c>
      <c r="L7471" s="16">
        <f>IF(AND(G7471&gt;0,H7471&gt;0),G7471/H7471,"")</f>
        <v/>
      </c>
    </row>
    <row r="7472">
      <c r="A7472" s="4" t="inlineStr">
        <is>
          <t>450</t>
        </is>
      </c>
      <c r="B7472" s="4" t="n">
        <v>4</v>
      </c>
      <c r="C7472" s="4" t="inlineStr">
        <is>
          <t>mule deer</t>
        </is>
      </c>
      <c r="D7472" s="4" t="n">
        <v>2019</v>
      </c>
      <c r="E7472" s="13" t="inlineStr">
        <is>
          <t>General</t>
        </is>
      </c>
      <c r="F7472" s="5" t="n">
        <v>344</v>
      </c>
      <c r="G7472" s="5" t="n">
        <v>1684</v>
      </c>
      <c r="H7472" s="5" t="n">
        <v>80</v>
      </c>
      <c r="I7472" s="5" t="n">
        <v>76</v>
      </c>
      <c r="J7472" s="5" t="n">
        <v>3</v>
      </c>
      <c r="K7472" s="10">
        <f>IF(F7472&gt;0,H7472/F7472,"")</f>
        <v/>
      </c>
      <c r="L7472" s="16">
        <f>IF(AND(G7472&gt;0,H7472&gt;0),G7472/H7472,"")</f>
        <v/>
      </c>
    </row>
    <row r="7473">
      <c r="A7473" s="4" t="inlineStr">
        <is>
          <t>450</t>
        </is>
      </c>
      <c r="B7473" s="4" t="n">
        <v>4</v>
      </c>
      <c r="C7473" s="4" t="inlineStr">
        <is>
          <t>mule deer</t>
        </is>
      </c>
      <c r="D7473" s="4" t="n">
        <v>2020</v>
      </c>
      <c r="E7473" s="13" t="inlineStr">
        <is>
          <t>General</t>
        </is>
      </c>
      <c r="F7473" s="5" t="n"/>
      <c r="G7473" s="5" t="n"/>
      <c r="H7473" s="5" t="n">
        <v>90</v>
      </c>
      <c r="I7473" s="5" t="n">
        <v>66</v>
      </c>
      <c r="J7473" s="5" t="n">
        <v>24</v>
      </c>
      <c r="K7473" s="10">
        <f>IF(F7473&gt;0,H7473/F7473,"")</f>
        <v/>
      </c>
      <c r="L7473" s="16">
        <f>IF(AND(G7473&gt;0,H7473&gt;0),G7473/H7473,"")</f>
        <v/>
      </c>
    </row>
    <row r="7474">
      <c r="A7474" s="4" t="inlineStr">
        <is>
          <t>450</t>
        </is>
      </c>
      <c r="B7474" s="4" t="n">
        <v>4</v>
      </c>
      <c r="C7474" s="4" t="inlineStr">
        <is>
          <t>mule deer</t>
        </is>
      </c>
      <c r="D7474" s="4" t="n">
        <v>2021</v>
      </c>
      <c r="E7474" s="13" t="inlineStr">
        <is>
          <t>General</t>
        </is>
      </c>
      <c r="F7474" s="5" t="n">
        <v>348</v>
      </c>
      <c r="G7474" s="5" t="n">
        <v>1865</v>
      </c>
      <c r="H7474" s="5" t="n">
        <v>89</v>
      </c>
      <c r="I7474" s="5" t="n">
        <v>67</v>
      </c>
      <c r="J7474" s="5" t="n">
        <v>18</v>
      </c>
      <c r="K7474" s="10">
        <f>IF(F7474&gt;0,H7474/F7474,"")</f>
        <v/>
      </c>
      <c r="L7474" s="16">
        <f>IF(AND(G7474&gt;0,H7474&gt;0),G7474/H7474,"")</f>
        <v/>
      </c>
    </row>
    <row r="7475">
      <c r="A7475" s="4" t="inlineStr">
        <is>
          <t>450</t>
        </is>
      </c>
      <c r="B7475" s="4" t="n">
        <v>4</v>
      </c>
      <c r="C7475" s="4" t="inlineStr">
        <is>
          <t>mule deer</t>
        </is>
      </c>
      <c r="D7475" s="4" t="n">
        <v>2022</v>
      </c>
      <c r="E7475" s="13" t="inlineStr">
        <is>
          <t>General</t>
        </is>
      </c>
      <c r="F7475" s="5" t="n"/>
      <c r="G7475" s="5" t="n"/>
      <c r="H7475" s="5" t="n">
        <v>129</v>
      </c>
      <c r="I7475" s="5" t="n">
        <v>89</v>
      </c>
      <c r="J7475" s="5" t="n">
        <v>35</v>
      </c>
      <c r="K7475" s="10">
        <f>IF(F7475&gt;0,H7475/F7475,"")</f>
        <v/>
      </c>
      <c r="L7475" s="16">
        <f>IF(AND(G7475&gt;0,H7475&gt;0),G7475/H7475,"")</f>
        <v/>
      </c>
    </row>
    <row r="7476">
      <c r="A7476" s="4" t="inlineStr">
        <is>
          <t>450</t>
        </is>
      </c>
      <c r="B7476" s="4" t="n">
        <v>4</v>
      </c>
      <c r="C7476" s="4" t="inlineStr">
        <is>
          <t>mule deer</t>
        </is>
      </c>
      <c r="D7476" s="4" t="n">
        <v>2023</v>
      </c>
      <c r="E7476" s="13" t="inlineStr">
        <is>
          <t>General</t>
        </is>
      </c>
      <c r="F7476" s="5" t="n">
        <v>541</v>
      </c>
      <c r="G7476" s="5" t="n">
        <v>2843</v>
      </c>
      <c r="H7476" s="5" t="n">
        <v>125</v>
      </c>
      <c r="I7476" s="5" t="n">
        <v>100</v>
      </c>
      <c r="J7476" s="5" t="n">
        <v>26</v>
      </c>
      <c r="K7476" s="10">
        <f>IF(F7476&gt;0,H7476/F7476,"")</f>
        <v/>
      </c>
      <c r="L7476" s="16">
        <f>IF(AND(G7476&gt;0,H7476&gt;0),G7476/H7476,"")</f>
        <v/>
      </c>
    </row>
    <row r="7477">
      <c r="A7477" s="4" t="inlineStr">
        <is>
          <t>450</t>
        </is>
      </c>
      <c r="B7477" s="4" t="n">
        <v>4</v>
      </c>
      <c r="C7477" s="4" t="inlineStr">
        <is>
          <t>mule deer</t>
        </is>
      </c>
      <c r="D7477" s="4" t="n">
        <v>2024</v>
      </c>
      <c r="E7477" s="13" t="inlineStr">
        <is>
          <t>General</t>
        </is>
      </c>
      <c r="F7477" s="5" t="n"/>
      <c r="G7477" s="5" t="n"/>
      <c r="H7477" s="5" t="n">
        <v>114</v>
      </c>
      <c r="I7477" s="5" t="n">
        <v>88</v>
      </c>
      <c r="J7477" s="5" t="n">
        <v>26</v>
      </c>
      <c r="K7477" s="10">
        <f>IF(F7477&gt;0,H7477/F7477,"")</f>
        <v/>
      </c>
      <c r="L7477" s="16">
        <f>IF(AND(G7477&gt;0,H7477&gt;0),G7477/H7477,"")</f>
        <v/>
      </c>
    </row>
    <row r="7478">
      <c r="A7478" s="4" t="inlineStr">
        <is>
          <t>450</t>
        </is>
      </c>
      <c r="B7478" s="4" t="n">
        <v>4</v>
      </c>
      <c r="C7478" s="4" t="inlineStr">
        <is>
          <t>mule deer</t>
        </is>
      </c>
      <c r="D7478" s="4" t="n">
        <v>2025</v>
      </c>
      <c r="E7478" s="13" t="inlineStr">
        <is>
          <t>General</t>
        </is>
      </c>
      <c r="F7478" s="5" t="n">
        <v>584</v>
      </c>
      <c r="G7478" s="5" t="n">
        <v>3678</v>
      </c>
      <c r="H7478" s="5" t="n">
        <v>112</v>
      </c>
      <c r="I7478" s="5" t="n">
        <v>89</v>
      </c>
      <c r="J7478" s="5" t="n">
        <v>24</v>
      </c>
      <c r="K7478" s="10">
        <f>IF(F7478&gt;0,H7478/F7478,"")</f>
        <v/>
      </c>
      <c r="L7478" s="16">
        <f>IF(AND(G7478&gt;0,H7478&gt;0),G7478/H7478,"")</f>
        <v/>
      </c>
    </row>
    <row r="7479">
      <c r="A7479" s="4" t="inlineStr">
        <is>
          <t>451</t>
        </is>
      </c>
      <c r="B7479" s="4" t="n">
        <v>4</v>
      </c>
      <c r="C7479" s="4" t="inlineStr">
        <is>
          <t>mule deer</t>
        </is>
      </c>
      <c r="D7479" s="4" t="n">
        <v>2016</v>
      </c>
      <c r="E7479" s="13" t="inlineStr">
        <is>
          <t>General</t>
        </is>
      </c>
      <c r="F7479" s="5" t="n"/>
      <c r="G7479" s="5" t="n"/>
      <c r="H7479" s="5" t="n">
        <v>36</v>
      </c>
      <c r="I7479" s="5" t="n">
        <v>36</v>
      </c>
      <c r="J7479" s="5" t="n">
        <v>0</v>
      </c>
      <c r="K7479" s="10">
        <f>IF(F7479&gt;0,H7479/F7479,"")</f>
        <v/>
      </c>
      <c r="L7479" s="16">
        <f>IF(AND(G7479&gt;0,H7479&gt;0),G7479/H7479,"")</f>
        <v/>
      </c>
    </row>
    <row r="7480">
      <c r="A7480" s="4" t="inlineStr">
        <is>
          <t>451</t>
        </is>
      </c>
      <c r="B7480" s="4" t="n">
        <v>4</v>
      </c>
      <c r="C7480" s="4" t="inlineStr">
        <is>
          <t>mule deer</t>
        </is>
      </c>
      <c r="D7480" s="4" t="n">
        <v>2017</v>
      </c>
      <c r="E7480" s="13" t="inlineStr">
        <is>
          <t>General</t>
        </is>
      </c>
      <c r="F7480" s="5" t="n">
        <v>75</v>
      </c>
      <c r="G7480" s="5" t="n">
        <v>456</v>
      </c>
      <c r="H7480" s="5" t="n">
        <v>21</v>
      </c>
      <c r="I7480" s="5" t="n">
        <v>18</v>
      </c>
      <c r="J7480" s="5" t="n">
        <v>3</v>
      </c>
      <c r="K7480" s="10">
        <f>IF(F7480&gt;0,H7480/F7480,"")</f>
        <v/>
      </c>
      <c r="L7480" s="16">
        <f>IF(AND(G7480&gt;0,H7480&gt;0),G7480/H7480,"")</f>
        <v/>
      </c>
    </row>
    <row r="7481">
      <c r="A7481" s="4" t="inlineStr">
        <is>
          <t>451</t>
        </is>
      </c>
      <c r="B7481" s="4" t="n">
        <v>4</v>
      </c>
      <c r="C7481" s="4" t="inlineStr">
        <is>
          <t>mule deer</t>
        </is>
      </c>
      <c r="D7481" s="4" t="n">
        <v>2018</v>
      </c>
      <c r="E7481" s="13" t="inlineStr">
        <is>
          <t>General</t>
        </is>
      </c>
      <c r="F7481" s="5" t="n"/>
      <c r="G7481" s="5" t="n"/>
      <c r="H7481" s="5" t="n">
        <v>20</v>
      </c>
      <c r="I7481" s="5" t="n">
        <v>20</v>
      </c>
      <c r="J7481" s="5" t="n">
        <v>0</v>
      </c>
      <c r="K7481" s="10">
        <f>IF(F7481&gt;0,H7481/F7481,"")</f>
        <v/>
      </c>
      <c r="L7481" s="16">
        <f>IF(AND(G7481&gt;0,H7481&gt;0),G7481/H7481,"")</f>
        <v/>
      </c>
    </row>
    <row r="7482">
      <c r="A7482" s="4" t="inlineStr">
        <is>
          <t>451</t>
        </is>
      </c>
      <c r="B7482" s="4" t="n">
        <v>4</v>
      </c>
      <c r="C7482" s="4" t="inlineStr">
        <is>
          <t>mule deer</t>
        </is>
      </c>
      <c r="D7482" s="4" t="n">
        <v>2019</v>
      </c>
      <c r="E7482" s="13" t="inlineStr">
        <is>
          <t>General</t>
        </is>
      </c>
      <c r="F7482" s="5" t="n">
        <v>64</v>
      </c>
      <c r="G7482" s="5" t="n">
        <v>341</v>
      </c>
      <c r="H7482" s="5" t="n">
        <v>10</v>
      </c>
      <c r="I7482" s="5" t="n">
        <v>10</v>
      </c>
      <c r="J7482" s="5" t="n">
        <v>0</v>
      </c>
      <c r="K7482" s="10">
        <f>IF(F7482&gt;0,H7482/F7482,"")</f>
        <v/>
      </c>
      <c r="L7482" s="16">
        <f>IF(AND(G7482&gt;0,H7482&gt;0),G7482/H7482,"")</f>
        <v/>
      </c>
    </row>
    <row r="7483">
      <c r="A7483" s="4" t="inlineStr">
        <is>
          <t>451</t>
        </is>
      </c>
      <c r="B7483" s="4" t="n">
        <v>4</v>
      </c>
      <c r="C7483" s="4" t="inlineStr">
        <is>
          <t>mule deer</t>
        </is>
      </c>
      <c r="D7483" s="4" t="n">
        <v>2020</v>
      </c>
      <c r="E7483" s="13" t="inlineStr">
        <is>
          <t>General</t>
        </is>
      </c>
      <c r="F7483" s="5" t="n"/>
      <c r="G7483" s="5" t="n"/>
      <c r="H7483" s="5" t="n">
        <v>10</v>
      </c>
      <c r="I7483" s="5" t="n">
        <v>10</v>
      </c>
      <c r="J7483" s="5" t="n">
        <v>0</v>
      </c>
      <c r="K7483" s="10">
        <f>IF(F7483&gt;0,H7483/F7483,"")</f>
        <v/>
      </c>
      <c r="L7483" s="16">
        <f>IF(AND(G7483&gt;0,H7483&gt;0),G7483/H7483,"")</f>
        <v/>
      </c>
    </row>
    <row r="7484">
      <c r="A7484" s="4" t="inlineStr">
        <is>
          <t>451</t>
        </is>
      </c>
      <c r="B7484" s="4" t="n">
        <v>4</v>
      </c>
      <c r="C7484" s="4" t="inlineStr">
        <is>
          <t>mule deer</t>
        </is>
      </c>
      <c r="D7484" s="4" t="n">
        <v>2021</v>
      </c>
      <c r="E7484" s="13" t="inlineStr">
        <is>
          <t>General</t>
        </is>
      </c>
      <c r="F7484" s="5" t="n">
        <v>101</v>
      </c>
      <c r="G7484" s="5" t="n">
        <v>499</v>
      </c>
      <c r="H7484" s="5" t="n">
        <v>7</v>
      </c>
      <c r="I7484" s="5" t="n">
        <v>7</v>
      </c>
      <c r="J7484" s="5" t="n">
        <v>0</v>
      </c>
      <c r="K7484" s="10">
        <f>IF(F7484&gt;0,H7484/F7484,"")</f>
        <v/>
      </c>
      <c r="L7484" s="16">
        <f>IF(AND(G7484&gt;0,H7484&gt;0),G7484/H7484,"")</f>
        <v/>
      </c>
    </row>
    <row r="7485">
      <c r="A7485" s="4" t="inlineStr">
        <is>
          <t>451</t>
        </is>
      </c>
      <c r="B7485" s="4" t="n">
        <v>4</v>
      </c>
      <c r="C7485" s="4" t="inlineStr">
        <is>
          <t>mule deer</t>
        </is>
      </c>
      <c r="D7485" s="4" t="n">
        <v>2022</v>
      </c>
      <c r="E7485" s="13" t="inlineStr">
        <is>
          <t>General</t>
        </is>
      </c>
      <c r="F7485" s="5" t="n"/>
      <c r="G7485" s="5" t="n"/>
      <c r="H7485" s="5" t="n">
        <v>16</v>
      </c>
      <c r="I7485" s="5" t="n">
        <v>16</v>
      </c>
      <c r="J7485" s="5" t="n">
        <v>0</v>
      </c>
      <c r="K7485" s="10">
        <f>IF(F7485&gt;0,H7485/F7485,"")</f>
        <v/>
      </c>
      <c r="L7485" s="16">
        <f>IF(AND(G7485&gt;0,H7485&gt;0),G7485/H7485,"")</f>
        <v/>
      </c>
    </row>
    <row r="7486">
      <c r="A7486" s="4" t="inlineStr">
        <is>
          <t>451</t>
        </is>
      </c>
      <c r="B7486" s="4" t="n">
        <v>4</v>
      </c>
      <c r="C7486" s="4" t="inlineStr">
        <is>
          <t>mule deer</t>
        </is>
      </c>
      <c r="D7486" s="4" t="n">
        <v>2023</v>
      </c>
      <c r="E7486" s="13" t="inlineStr">
        <is>
          <t>General</t>
        </is>
      </c>
      <c r="F7486" s="5" t="n">
        <v>104</v>
      </c>
      <c r="G7486" s="5" t="n">
        <v>621</v>
      </c>
      <c r="H7486" s="5" t="n">
        <v>23</v>
      </c>
      <c r="I7486" s="5" t="n">
        <v>16</v>
      </c>
      <c r="J7486" s="5" t="n">
        <v>7</v>
      </c>
      <c r="K7486" s="10">
        <f>IF(F7486&gt;0,H7486/F7486,"")</f>
        <v/>
      </c>
      <c r="L7486" s="16">
        <f>IF(AND(G7486&gt;0,H7486&gt;0),G7486/H7486,"")</f>
        <v/>
      </c>
    </row>
    <row r="7487">
      <c r="A7487" s="4" t="inlineStr">
        <is>
          <t>451</t>
        </is>
      </c>
      <c r="B7487" s="4" t="n">
        <v>4</v>
      </c>
      <c r="C7487" s="4" t="inlineStr">
        <is>
          <t>mule deer</t>
        </is>
      </c>
      <c r="D7487" s="4" t="n">
        <v>2024</v>
      </c>
      <c r="E7487" s="13" t="inlineStr">
        <is>
          <t>General</t>
        </is>
      </c>
      <c r="F7487" s="5" t="n"/>
      <c r="G7487" s="5" t="n"/>
      <c r="H7487" s="5" t="n">
        <v>30</v>
      </c>
      <c r="I7487" s="5" t="n">
        <v>30</v>
      </c>
      <c r="J7487" s="5" t="n">
        <v>0</v>
      </c>
      <c r="K7487" s="10">
        <f>IF(F7487&gt;0,H7487/F7487,"")</f>
        <v/>
      </c>
      <c r="L7487" s="16">
        <f>IF(AND(G7487&gt;0,H7487&gt;0),G7487/H7487,"")</f>
        <v/>
      </c>
    </row>
    <row r="7488">
      <c r="A7488" s="4" t="inlineStr">
        <is>
          <t>451</t>
        </is>
      </c>
      <c r="B7488" s="4" t="n">
        <v>4</v>
      </c>
      <c r="C7488" s="4" t="inlineStr">
        <is>
          <t>mule deer</t>
        </is>
      </c>
      <c r="D7488" s="4" t="n">
        <v>2025</v>
      </c>
      <c r="E7488" s="13" t="inlineStr">
        <is>
          <t>General</t>
        </is>
      </c>
      <c r="F7488" s="5" t="n">
        <v>144</v>
      </c>
      <c r="G7488" s="5" t="n">
        <v>1358</v>
      </c>
      <c r="H7488" s="5" t="n">
        <v>42</v>
      </c>
      <c r="I7488" s="5" t="n">
        <v>42</v>
      </c>
      <c r="J7488" s="5" t="n">
        <v>0</v>
      </c>
      <c r="K7488" s="10">
        <f>IF(F7488&gt;0,H7488/F7488,"")</f>
        <v/>
      </c>
      <c r="L7488" s="16">
        <f>IF(AND(G7488&gt;0,H7488&gt;0),G7488/H7488,"")</f>
        <v/>
      </c>
    </row>
    <row r="7489">
      <c r="A7489" s="4" t="inlineStr">
        <is>
          <t>452</t>
        </is>
      </c>
      <c r="B7489" s="4" t="n">
        <v>4</v>
      </c>
      <c r="C7489" s="4" t="inlineStr">
        <is>
          <t>mule deer</t>
        </is>
      </c>
      <c r="D7489" s="4" t="n">
        <v>2004</v>
      </c>
      <c r="E7489" s="13" t="inlineStr">
        <is>
          <t>General</t>
        </is>
      </c>
      <c r="F7489" s="5" t="n">
        <v>265</v>
      </c>
      <c r="G7489" s="5" t="n">
        <v>1033</v>
      </c>
      <c r="H7489" s="5" t="n">
        <v>73</v>
      </c>
      <c r="I7489" s="5" t="n">
        <v>69</v>
      </c>
      <c r="J7489" s="5" t="n">
        <v>4</v>
      </c>
      <c r="K7489" s="10">
        <f>IF(F7489&gt;0,H7489/F7489,"")</f>
        <v/>
      </c>
      <c r="L7489" s="16">
        <f>IF(AND(G7489&gt;0,H7489&gt;0),G7489/H7489,"")</f>
        <v/>
      </c>
    </row>
    <row r="7490">
      <c r="A7490" s="4" t="inlineStr">
        <is>
          <t>452</t>
        </is>
      </c>
      <c r="B7490" s="4" t="n">
        <v>4</v>
      </c>
      <c r="C7490" s="4" t="inlineStr">
        <is>
          <t>mule deer</t>
        </is>
      </c>
      <c r="D7490" s="4" t="n">
        <v>2005</v>
      </c>
      <c r="E7490" s="13" t="inlineStr">
        <is>
          <t>General</t>
        </is>
      </c>
      <c r="F7490" s="5" t="n">
        <v>332</v>
      </c>
      <c r="G7490" s="5" t="n">
        <v>1417</v>
      </c>
      <c r="H7490" s="5" t="n">
        <v>68</v>
      </c>
      <c r="I7490" s="5" t="n">
        <v>58</v>
      </c>
      <c r="J7490" s="5" t="n">
        <v>10</v>
      </c>
      <c r="K7490" s="10">
        <f>IF(F7490&gt;0,H7490/F7490,"")</f>
        <v/>
      </c>
      <c r="L7490" s="16">
        <f>IF(AND(G7490&gt;0,H7490&gt;0),G7490/H7490,"")</f>
        <v/>
      </c>
    </row>
    <row r="7491">
      <c r="A7491" s="4" t="inlineStr">
        <is>
          <t>452</t>
        </is>
      </c>
      <c r="B7491" s="4" t="n">
        <v>4</v>
      </c>
      <c r="C7491" s="4" t="inlineStr">
        <is>
          <t>mule deer</t>
        </is>
      </c>
      <c r="D7491" s="4" t="n">
        <v>2006</v>
      </c>
      <c r="E7491" s="13" t="inlineStr">
        <is>
          <t>General</t>
        </is>
      </c>
      <c r="F7491" s="5" t="n">
        <v>388</v>
      </c>
      <c r="G7491" s="5" t="n">
        <v>1730</v>
      </c>
      <c r="H7491" s="5" t="n">
        <v>95</v>
      </c>
      <c r="I7491" s="5" t="n">
        <v>84</v>
      </c>
      <c r="J7491" s="5" t="n">
        <v>11</v>
      </c>
      <c r="K7491" s="10">
        <f>IF(F7491&gt;0,H7491/F7491,"")</f>
        <v/>
      </c>
      <c r="L7491" s="16">
        <f>IF(AND(G7491&gt;0,H7491&gt;0),G7491/H7491,"")</f>
        <v/>
      </c>
    </row>
    <row r="7492">
      <c r="A7492" s="4" t="inlineStr">
        <is>
          <t>452</t>
        </is>
      </c>
      <c r="B7492" s="4" t="n">
        <v>4</v>
      </c>
      <c r="C7492" s="4" t="inlineStr">
        <is>
          <t>mule deer</t>
        </is>
      </c>
      <c r="D7492" s="4" t="n">
        <v>2007</v>
      </c>
      <c r="E7492" s="13" t="inlineStr">
        <is>
          <t>General</t>
        </is>
      </c>
      <c r="F7492" s="5" t="n">
        <v>250</v>
      </c>
      <c r="G7492" s="5" t="n">
        <v>1282</v>
      </c>
      <c r="H7492" s="5" t="n">
        <v>30</v>
      </c>
      <c r="I7492" s="5" t="n">
        <v>27</v>
      </c>
      <c r="J7492" s="5" t="n">
        <v>3</v>
      </c>
      <c r="K7492" s="10">
        <f>IF(F7492&gt;0,H7492/F7492,"")</f>
        <v/>
      </c>
      <c r="L7492" s="16">
        <f>IF(AND(G7492&gt;0,H7492&gt;0),G7492/H7492,"")</f>
        <v/>
      </c>
    </row>
    <row r="7493">
      <c r="A7493" s="4" t="inlineStr">
        <is>
          <t>452</t>
        </is>
      </c>
      <c r="B7493" s="4" t="n">
        <v>4</v>
      </c>
      <c r="C7493" s="4" t="inlineStr">
        <is>
          <t>mule deer</t>
        </is>
      </c>
      <c r="D7493" s="4" t="n">
        <v>2008</v>
      </c>
      <c r="E7493" s="13" t="inlineStr">
        <is>
          <t>General</t>
        </is>
      </c>
      <c r="F7493" s="5" t="n">
        <v>294</v>
      </c>
      <c r="G7493" s="5" t="n">
        <v>1620</v>
      </c>
      <c r="H7493" s="5" t="n">
        <v>69</v>
      </c>
      <c r="I7493" s="5" t="n">
        <v>55</v>
      </c>
      <c r="J7493" s="5" t="n">
        <v>15</v>
      </c>
      <c r="K7493" s="10">
        <f>IF(F7493&gt;0,H7493/F7493,"")</f>
        <v/>
      </c>
      <c r="L7493" s="16">
        <f>IF(AND(G7493&gt;0,H7493&gt;0),G7493/H7493,"")</f>
        <v/>
      </c>
    </row>
    <row r="7494">
      <c r="A7494" s="4" t="inlineStr">
        <is>
          <t>452</t>
        </is>
      </c>
      <c r="B7494" s="4" t="n">
        <v>4</v>
      </c>
      <c r="C7494" s="4" t="inlineStr">
        <is>
          <t>mule deer</t>
        </is>
      </c>
      <c r="D7494" s="4" t="n">
        <v>2009</v>
      </c>
      <c r="E7494" s="13" t="inlineStr">
        <is>
          <t>General</t>
        </is>
      </c>
      <c r="F7494" s="5" t="n">
        <v>312</v>
      </c>
      <c r="G7494" s="5" t="n">
        <v>1434</v>
      </c>
      <c r="H7494" s="5" t="n">
        <v>35</v>
      </c>
      <c r="I7494" s="5" t="n">
        <v>23</v>
      </c>
      <c r="J7494" s="5" t="n">
        <v>12</v>
      </c>
      <c r="K7494" s="10">
        <f>IF(F7494&gt;0,H7494/F7494,"")</f>
        <v/>
      </c>
      <c r="L7494" s="16">
        <f>IF(AND(G7494&gt;0,H7494&gt;0),G7494/H7494,"")</f>
        <v/>
      </c>
    </row>
    <row r="7495">
      <c r="A7495" s="4" t="inlineStr">
        <is>
          <t>452</t>
        </is>
      </c>
      <c r="B7495" s="4" t="n">
        <v>4</v>
      </c>
      <c r="C7495" s="4" t="inlineStr">
        <is>
          <t>mule deer</t>
        </is>
      </c>
      <c r="D7495" s="4" t="n">
        <v>2010</v>
      </c>
      <c r="E7495" s="13" t="inlineStr">
        <is>
          <t>General</t>
        </is>
      </c>
      <c r="F7495" s="5" t="n">
        <v>367</v>
      </c>
      <c r="G7495" s="5" t="n">
        <v>1762</v>
      </c>
      <c r="H7495" s="5" t="n">
        <v>64</v>
      </c>
      <c r="I7495" s="5" t="n">
        <v>59</v>
      </c>
      <c r="J7495" s="5" t="n">
        <v>5</v>
      </c>
      <c r="K7495" s="10">
        <f>IF(F7495&gt;0,H7495/F7495,"")</f>
        <v/>
      </c>
      <c r="L7495" s="16">
        <f>IF(AND(G7495&gt;0,H7495&gt;0),G7495/H7495,"")</f>
        <v/>
      </c>
    </row>
    <row r="7496">
      <c r="A7496" s="4" t="inlineStr">
        <is>
          <t>452</t>
        </is>
      </c>
      <c r="B7496" s="4" t="n">
        <v>4</v>
      </c>
      <c r="C7496" s="4" t="inlineStr">
        <is>
          <t>mule deer</t>
        </is>
      </c>
      <c r="D7496" s="4" t="n">
        <v>2011</v>
      </c>
      <c r="E7496" s="13" t="inlineStr">
        <is>
          <t>General</t>
        </is>
      </c>
      <c r="F7496" s="5" t="n">
        <v>309</v>
      </c>
      <c r="G7496" s="5" t="n">
        <v>1692</v>
      </c>
      <c r="H7496" s="5" t="n">
        <v>41</v>
      </c>
      <c r="I7496" s="5" t="n">
        <v>39</v>
      </c>
      <c r="J7496" s="5" t="n">
        <v>3</v>
      </c>
      <c r="K7496" s="10">
        <f>IF(F7496&gt;0,H7496/F7496,"")</f>
        <v/>
      </c>
      <c r="L7496" s="16">
        <f>IF(AND(G7496&gt;0,H7496&gt;0),G7496/H7496,"")</f>
        <v/>
      </c>
    </row>
    <row r="7497">
      <c r="A7497" s="4" t="inlineStr">
        <is>
          <t>452</t>
        </is>
      </c>
      <c r="B7497" s="4" t="n">
        <v>4</v>
      </c>
      <c r="C7497" s="4" t="inlineStr">
        <is>
          <t>mule deer</t>
        </is>
      </c>
      <c r="D7497" s="4" t="n">
        <v>2012</v>
      </c>
      <c r="E7497" s="13" t="inlineStr">
        <is>
          <t>General</t>
        </is>
      </c>
      <c r="F7497" s="5" t="n"/>
      <c r="G7497" s="5" t="n"/>
      <c r="H7497" s="5" t="n">
        <v>47</v>
      </c>
      <c r="I7497" s="5" t="n">
        <v>42</v>
      </c>
      <c r="J7497" s="5" t="n">
        <v>6</v>
      </c>
      <c r="K7497" s="10">
        <f>IF(F7497&gt;0,H7497/F7497,"")</f>
        <v/>
      </c>
      <c r="L7497" s="16">
        <f>IF(AND(G7497&gt;0,H7497&gt;0),G7497/H7497,"")</f>
        <v/>
      </c>
    </row>
    <row r="7498">
      <c r="A7498" s="4" t="inlineStr">
        <is>
          <t>452</t>
        </is>
      </c>
      <c r="B7498" s="4" t="n">
        <v>4</v>
      </c>
      <c r="C7498" s="4" t="inlineStr">
        <is>
          <t>mule deer</t>
        </is>
      </c>
      <c r="D7498" s="4" t="n">
        <v>2013</v>
      </c>
      <c r="E7498" s="13" t="inlineStr">
        <is>
          <t>General</t>
        </is>
      </c>
      <c r="F7498" s="5" t="n">
        <v>349</v>
      </c>
      <c r="G7498" s="5" t="n">
        <v>1559</v>
      </c>
      <c r="H7498" s="5" t="n">
        <v>48</v>
      </c>
      <c r="I7498" s="5" t="n">
        <v>48</v>
      </c>
      <c r="J7498" s="5" t="n">
        <v>0</v>
      </c>
      <c r="K7498" s="10">
        <f>IF(F7498&gt;0,H7498/F7498,"")</f>
        <v/>
      </c>
      <c r="L7498" s="16">
        <f>IF(AND(G7498&gt;0,H7498&gt;0),G7498/H7498,"")</f>
        <v/>
      </c>
    </row>
    <row r="7499">
      <c r="A7499" s="4" t="inlineStr">
        <is>
          <t>452</t>
        </is>
      </c>
      <c r="B7499" s="4" t="n">
        <v>4</v>
      </c>
      <c r="C7499" s="4" t="inlineStr">
        <is>
          <t>mule deer</t>
        </is>
      </c>
      <c r="D7499" s="4" t="n">
        <v>2014</v>
      </c>
      <c r="E7499" s="13" t="inlineStr">
        <is>
          <t>General</t>
        </is>
      </c>
      <c r="F7499" s="5" t="n"/>
      <c r="G7499" s="5" t="n"/>
      <c r="H7499" s="5" t="n">
        <v>47</v>
      </c>
      <c r="I7499" s="5" t="n">
        <v>47</v>
      </c>
      <c r="J7499" s="5" t="n">
        <v>0</v>
      </c>
      <c r="K7499" s="10">
        <f>IF(F7499&gt;0,H7499/F7499,"")</f>
        <v/>
      </c>
      <c r="L7499" s="16">
        <f>IF(AND(G7499&gt;0,H7499&gt;0),G7499/H7499,"")</f>
        <v/>
      </c>
    </row>
    <row r="7500">
      <c r="A7500" s="4" t="inlineStr">
        <is>
          <t>452</t>
        </is>
      </c>
      <c r="B7500" s="4" t="n">
        <v>4</v>
      </c>
      <c r="C7500" s="4" t="inlineStr">
        <is>
          <t>mule deer</t>
        </is>
      </c>
      <c r="D7500" s="4" t="n">
        <v>2015</v>
      </c>
      <c r="E7500" s="13" t="inlineStr">
        <is>
          <t>General</t>
        </is>
      </c>
      <c r="F7500" s="5" t="n"/>
      <c r="G7500" s="5" t="n"/>
      <c r="H7500" s="5" t="n">
        <v>46</v>
      </c>
      <c r="I7500" s="5" t="n">
        <v>46</v>
      </c>
      <c r="J7500" s="5" t="n">
        <v>0</v>
      </c>
      <c r="K7500" s="10">
        <f>IF(F7500&gt;0,H7500/F7500,"")</f>
        <v/>
      </c>
      <c r="L7500" s="16">
        <f>IF(AND(G7500&gt;0,H7500&gt;0),G7500/H7500,"")</f>
        <v/>
      </c>
    </row>
    <row r="7501">
      <c r="A7501" s="4" t="inlineStr">
        <is>
          <t>452</t>
        </is>
      </c>
      <c r="B7501" s="4" t="n">
        <v>4</v>
      </c>
      <c r="C7501" s="4" t="inlineStr">
        <is>
          <t>mule deer</t>
        </is>
      </c>
      <c r="D7501" s="4" t="n">
        <v>2016</v>
      </c>
      <c r="E7501" s="13" t="inlineStr">
        <is>
          <t>General</t>
        </is>
      </c>
      <c r="F7501" s="5" t="n"/>
      <c r="G7501" s="5" t="n"/>
      <c r="H7501" s="5" t="n">
        <v>84</v>
      </c>
      <c r="I7501" s="5" t="n">
        <v>84</v>
      </c>
      <c r="J7501" s="5" t="n">
        <v>0</v>
      </c>
      <c r="K7501" s="10">
        <f>IF(F7501&gt;0,H7501/F7501,"")</f>
        <v/>
      </c>
      <c r="L7501" s="16">
        <f>IF(AND(G7501&gt;0,H7501&gt;0),G7501/H7501,"")</f>
        <v/>
      </c>
    </row>
    <row r="7502">
      <c r="A7502" s="4" t="inlineStr">
        <is>
          <t>452</t>
        </is>
      </c>
      <c r="B7502" s="4" t="n">
        <v>4</v>
      </c>
      <c r="C7502" s="4" t="inlineStr">
        <is>
          <t>mule deer</t>
        </is>
      </c>
      <c r="D7502" s="4" t="n">
        <v>2017</v>
      </c>
      <c r="E7502" s="13" t="inlineStr">
        <is>
          <t>General</t>
        </is>
      </c>
      <c r="F7502" s="5" t="n">
        <v>354</v>
      </c>
      <c r="G7502" s="5" t="n">
        <v>1692</v>
      </c>
      <c r="H7502" s="5" t="n">
        <v>76</v>
      </c>
      <c r="I7502" s="5" t="n">
        <v>38</v>
      </c>
      <c r="J7502" s="5" t="n">
        <v>38</v>
      </c>
      <c r="K7502" s="10">
        <f>IF(F7502&gt;0,H7502/F7502,"")</f>
        <v/>
      </c>
      <c r="L7502" s="16">
        <f>IF(AND(G7502&gt;0,H7502&gt;0),G7502/H7502,"")</f>
        <v/>
      </c>
    </row>
    <row r="7503">
      <c r="A7503" s="4" t="inlineStr">
        <is>
          <t>452</t>
        </is>
      </c>
      <c r="B7503" s="4" t="n">
        <v>4</v>
      </c>
      <c r="C7503" s="4" t="inlineStr">
        <is>
          <t>mule deer</t>
        </is>
      </c>
      <c r="D7503" s="4" t="n">
        <v>2018</v>
      </c>
      <c r="E7503" s="13" t="inlineStr">
        <is>
          <t>General</t>
        </is>
      </c>
      <c r="F7503" s="5" t="n"/>
      <c r="G7503" s="5" t="n"/>
      <c r="H7503" s="5" t="n">
        <v>64</v>
      </c>
      <c r="I7503" s="5" t="n">
        <v>64</v>
      </c>
      <c r="J7503" s="5" t="n">
        <v>0</v>
      </c>
      <c r="K7503" s="10">
        <f>IF(F7503&gt;0,H7503/F7503,"")</f>
        <v/>
      </c>
      <c r="L7503" s="16">
        <f>IF(AND(G7503&gt;0,H7503&gt;0),G7503/H7503,"")</f>
        <v/>
      </c>
    </row>
    <row r="7504">
      <c r="A7504" s="4" t="inlineStr">
        <is>
          <t>452</t>
        </is>
      </c>
      <c r="B7504" s="4" t="n">
        <v>4</v>
      </c>
      <c r="C7504" s="4" t="inlineStr">
        <is>
          <t>mule deer</t>
        </is>
      </c>
      <c r="D7504" s="4" t="n">
        <v>2019</v>
      </c>
      <c r="E7504" s="13" t="inlineStr">
        <is>
          <t>General</t>
        </is>
      </c>
      <c r="F7504" s="5" t="n">
        <v>372</v>
      </c>
      <c r="G7504" s="5" t="n">
        <v>1934</v>
      </c>
      <c r="H7504" s="5" t="n">
        <v>52</v>
      </c>
      <c r="I7504" s="5" t="n">
        <v>52</v>
      </c>
      <c r="J7504" s="5" t="n">
        <v>0</v>
      </c>
      <c r="K7504" s="10">
        <f>IF(F7504&gt;0,H7504/F7504,"")</f>
        <v/>
      </c>
      <c r="L7504" s="16">
        <f>IF(AND(G7504&gt;0,H7504&gt;0),G7504/H7504,"")</f>
        <v/>
      </c>
    </row>
    <row r="7505">
      <c r="A7505" s="4" t="inlineStr">
        <is>
          <t>452</t>
        </is>
      </c>
      <c r="B7505" s="4" t="n">
        <v>4</v>
      </c>
      <c r="C7505" s="4" t="inlineStr">
        <is>
          <t>mule deer</t>
        </is>
      </c>
      <c r="D7505" s="4" t="n">
        <v>2020</v>
      </c>
      <c r="E7505" s="13" t="inlineStr">
        <is>
          <t>General</t>
        </is>
      </c>
      <c r="F7505" s="5" t="n"/>
      <c r="G7505" s="5" t="n"/>
      <c r="H7505" s="5" t="n">
        <v>111</v>
      </c>
      <c r="I7505" s="5" t="n">
        <v>105</v>
      </c>
      <c r="J7505" s="5" t="n">
        <v>6</v>
      </c>
      <c r="K7505" s="10">
        <f>IF(F7505&gt;0,H7505/F7505,"")</f>
        <v/>
      </c>
      <c r="L7505" s="16">
        <f>IF(AND(G7505&gt;0,H7505&gt;0),G7505/H7505,"")</f>
        <v/>
      </c>
    </row>
    <row r="7506">
      <c r="A7506" s="4" t="inlineStr">
        <is>
          <t>452</t>
        </is>
      </c>
      <c r="B7506" s="4" t="n">
        <v>4</v>
      </c>
      <c r="C7506" s="4" t="inlineStr">
        <is>
          <t>mule deer</t>
        </is>
      </c>
      <c r="D7506" s="4" t="n">
        <v>2021</v>
      </c>
      <c r="E7506" s="13" t="inlineStr">
        <is>
          <t>General</t>
        </is>
      </c>
      <c r="F7506" s="5" t="n">
        <v>795</v>
      </c>
      <c r="G7506" s="5" t="n">
        <v>4337</v>
      </c>
      <c r="H7506" s="5" t="n">
        <v>190</v>
      </c>
      <c r="I7506" s="5" t="n">
        <v>187</v>
      </c>
      <c r="J7506" s="5" t="n">
        <v>3</v>
      </c>
      <c r="K7506" s="10">
        <f>IF(F7506&gt;0,H7506/F7506,"")</f>
        <v/>
      </c>
      <c r="L7506" s="16">
        <f>IF(AND(G7506&gt;0,H7506&gt;0),G7506/H7506,"")</f>
        <v/>
      </c>
    </row>
    <row r="7507">
      <c r="A7507" s="4" t="inlineStr">
        <is>
          <t>452</t>
        </is>
      </c>
      <c r="B7507" s="4" t="n">
        <v>4</v>
      </c>
      <c r="C7507" s="4" t="inlineStr">
        <is>
          <t>mule deer</t>
        </is>
      </c>
      <c r="D7507" s="4" t="n">
        <v>2022</v>
      </c>
      <c r="E7507" s="13" t="inlineStr">
        <is>
          <t>General</t>
        </is>
      </c>
      <c r="F7507" s="5" t="n"/>
      <c r="G7507" s="5" t="n"/>
      <c r="H7507" s="5" t="n">
        <v>148</v>
      </c>
      <c r="I7507" s="5" t="n">
        <v>142</v>
      </c>
      <c r="J7507" s="5" t="n">
        <v>7</v>
      </c>
      <c r="K7507" s="10">
        <f>IF(F7507&gt;0,H7507/F7507,"")</f>
        <v/>
      </c>
      <c r="L7507" s="16">
        <f>IF(AND(G7507&gt;0,H7507&gt;0),G7507/H7507,"")</f>
        <v/>
      </c>
    </row>
    <row r="7508">
      <c r="A7508" s="4" t="inlineStr">
        <is>
          <t>452</t>
        </is>
      </c>
      <c r="B7508" s="4" t="n">
        <v>4</v>
      </c>
      <c r="C7508" s="4" t="inlineStr">
        <is>
          <t>mule deer</t>
        </is>
      </c>
      <c r="D7508" s="4" t="n">
        <v>2023</v>
      </c>
      <c r="E7508" s="13" t="inlineStr">
        <is>
          <t>General</t>
        </is>
      </c>
      <c r="F7508" s="5" t="n">
        <v>830</v>
      </c>
      <c r="G7508" s="5" t="n">
        <v>5002</v>
      </c>
      <c r="H7508" s="5" t="n">
        <v>161</v>
      </c>
      <c r="I7508" s="5" t="n">
        <v>157</v>
      </c>
      <c r="J7508" s="5" t="n">
        <v>3</v>
      </c>
      <c r="K7508" s="10">
        <f>IF(F7508&gt;0,H7508/F7508,"")</f>
        <v/>
      </c>
      <c r="L7508" s="16">
        <f>IF(AND(G7508&gt;0,H7508&gt;0),G7508/H7508,"")</f>
        <v/>
      </c>
    </row>
    <row r="7509">
      <c r="A7509" s="4" t="inlineStr">
        <is>
          <t>452</t>
        </is>
      </c>
      <c r="B7509" s="4" t="n">
        <v>4</v>
      </c>
      <c r="C7509" s="4" t="inlineStr">
        <is>
          <t>mule deer</t>
        </is>
      </c>
      <c r="D7509" s="4" t="n">
        <v>2024</v>
      </c>
      <c r="E7509" s="13" t="inlineStr">
        <is>
          <t>General</t>
        </is>
      </c>
      <c r="F7509" s="5" t="n"/>
      <c r="G7509" s="5" t="n"/>
      <c r="H7509" s="5" t="n">
        <v>211</v>
      </c>
      <c r="I7509" s="5" t="n">
        <v>205</v>
      </c>
      <c r="J7509" s="5" t="n">
        <v>6</v>
      </c>
      <c r="K7509" s="10">
        <f>IF(F7509&gt;0,H7509/F7509,"")</f>
        <v/>
      </c>
      <c r="L7509" s="16">
        <f>IF(AND(G7509&gt;0,H7509&gt;0),G7509/H7509,"")</f>
        <v/>
      </c>
    </row>
    <row r="7510">
      <c r="A7510" s="4" t="inlineStr">
        <is>
          <t>452</t>
        </is>
      </c>
      <c r="B7510" s="4" t="n">
        <v>4</v>
      </c>
      <c r="C7510" s="4" t="inlineStr">
        <is>
          <t>mule deer</t>
        </is>
      </c>
      <c r="D7510" s="4" t="n">
        <v>2025</v>
      </c>
      <c r="E7510" s="13" t="inlineStr">
        <is>
          <t>General</t>
        </is>
      </c>
      <c r="F7510" s="5" t="n">
        <v>962</v>
      </c>
      <c r="G7510" s="5" t="n">
        <v>6026</v>
      </c>
      <c r="H7510" s="5" t="n">
        <v>232</v>
      </c>
      <c r="I7510" s="5" t="n">
        <v>229</v>
      </c>
      <c r="J7510" s="5" t="n">
        <v>3</v>
      </c>
      <c r="K7510" s="10">
        <f>IF(F7510&gt;0,H7510/F7510,"")</f>
        <v/>
      </c>
      <c r="L7510" s="16">
        <f>IF(AND(G7510&gt;0,H7510&gt;0),G7510/H7510,"")</f>
        <v/>
      </c>
    </row>
    <row r="7511">
      <c r="A7511" s="4" t="inlineStr">
        <is>
          <t>454</t>
        </is>
      </c>
      <c r="B7511" s="4" t="n">
        <v>4</v>
      </c>
      <c r="C7511" s="4" t="inlineStr">
        <is>
          <t>mule deer</t>
        </is>
      </c>
      <c r="D7511" s="4" t="n">
        <v>2004</v>
      </c>
      <c r="E7511" s="4" t="inlineStr"/>
      <c r="F7511" s="5" t="n">
        <v>556</v>
      </c>
      <c r="G7511" s="5" t="n">
        <v>3053</v>
      </c>
      <c r="H7511" s="5" t="n">
        <v>150</v>
      </c>
      <c r="I7511" s="5" t="n">
        <v>126</v>
      </c>
      <c r="J7511" s="5" t="n">
        <v>23</v>
      </c>
      <c r="K7511" s="10">
        <f>IF(F7511&gt;0,H7511/F7511,"")</f>
        <v/>
      </c>
      <c r="L7511" s="16">
        <f>IF(AND(G7511&gt;0,H7511&gt;0),G7511/H7511,"")</f>
        <v/>
      </c>
    </row>
    <row r="7512">
      <c r="A7512" s="4" t="inlineStr">
        <is>
          <t>454</t>
        </is>
      </c>
      <c r="B7512" s="4" t="n">
        <v>4</v>
      </c>
      <c r="C7512" s="4" t="inlineStr">
        <is>
          <t>mule deer</t>
        </is>
      </c>
      <c r="D7512" s="4" t="n">
        <v>2005</v>
      </c>
      <c r="E7512" s="4" t="inlineStr"/>
      <c r="F7512" s="5" t="n">
        <v>510</v>
      </c>
      <c r="G7512" s="5" t="n">
        <v>3205</v>
      </c>
      <c r="H7512" s="5" t="n">
        <v>150</v>
      </c>
      <c r="I7512" s="5" t="n">
        <v>138</v>
      </c>
      <c r="J7512" s="5" t="n">
        <v>10</v>
      </c>
      <c r="K7512" s="10">
        <f>IF(F7512&gt;0,H7512/F7512,"")</f>
        <v/>
      </c>
      <c r="L7512" s="16">
        <f>IF(AND(G7512&gt;0,H7512&gt;0),G7512/H7512,"")</f>
        <v/>
      </c>
    </row>
    <row r="7513">
      <c r="A7513" s="4" t="inlineStr">
        <is>
          <t>454</t>
        </is>
      </c>
      <c r="B7513" s="4" t="n">
        <v>4</v>
      </c>
      <c r="C7513" s="4" t="inlineStr">
        <is>
          <t>mule deer</t>
        </is>
      </c>
      <c r="D7513" s="4" t="n">
        <v>2006</v>
      </c>
      <c r="E7513" s="4" t="inlineStr"/>
      <c r="F7513" s="5" t="n">
        <v>548</v>
      </c>
      <c r="G7513" s="5" t="n">
        <v>3410</v>
      </c>
      <c r="H7513" s="5" t="n">
        <v>145</v>
      </c>
      <c r="I7513" s="5" t="n">
        <v>112</v>
      </c>
      <c r="J7513" s="5" t="n">
        <v>26</v>
      </c>
      <c r="K7513" s="10">
        <f>IF(F7513&gt;0,H7513/F7513,"")</f>
        <v/>
      </c>
      <c r="L7513" s="16">
        <f>IF(AND(G7513&gt;0,H7513&gt;0),G7513/H7513,"")</f>
        <v/>
      </c>
    </row>
    <row r="7514">
      <c r="A7514" s="4" t="inlineStr">
        <is>
          <t>454</t>
        </is>
      </c>
      <c r="B7514" s="4" t="n">
        <v>4</v>
      </c>
      <c r="C7514" s="4" t="inlineStr">
        <is>
          <t>mule deer</t>
        </is>
      </c>
      <c r="D7514" s="4" t="n">
        <v>2007</v>
      </c>
      <c r="E7514" s="4" t="inlineStr"/>
      <c r="F7514" s="5" t="n">
        <v>617</v>
      </c>
      <c r="G7514" s="5" t="n">
        <v>3316</v>
      </c>
      <c r="H7514" s="5" t="n">
        <v>135</v>
      </c>
      <c r="I7514" s="5" t="n">
        <v>124</v>
      </c>
      <c r="J7514" s="5" t="n">
        <v>11</v>
      </c>
      <c r="K7514" s="10">
        <f>IF(F7514&gt;0,H7514/F7514,"")</f>
        <v/>
      </c>
      <c r="L7514" s="16">
        <f>IF(AND(G7514&gt;0,H7514&gt;0),G7514/H7514,"")</f>
        <v/>
      </c>
    </row>
    <row r="7515">
      <c r="A7515" s="4" t="inlineStr">
        <is>
          <t>454</t>
        </is>
      </c>
      <c r="B7515" s="4" t="n">
        <v>4</v>
      </c>
      <c r="C7515" s="4" t="inlineStr">
        <is>
          <t>mule deer</t>
        </is>
      </c>
      <c r="D7515" s="4" t="n">
        <v>2008</v>
      </c>
      <c r="E7515" s="4" t="inlineStr"/>
      <c r="F7515" s="5" t="n">
        <v>582</v>
      </c>
      <c r="G7515" s="5" t="n">
        <v>3677</v>
      </c>
      <c r="H7515" s="5" t="n">
        <v>110</v>
      </c>
      <c r="I7515" s="5" t="n">
        <v>77</v>
      </c>
      <c r="J7515" s="5" t="n">
        <v>33</v>
      </c>
      <c r="K7515" s="10">
        <f>IF(F7515&gt;0,H7515/F7515,"")</f>
        <v/>
      </c>
      <c r="L7515" s="16">
        <f>IF(AND(G7515&gt;0,H7515&gt;0),G7515/H7515,"")</f>
        <v/>
      </c>
    </row>
    <row r="7516">
      <c r="A7516" s="4" t="inlineStr">
        <is>
          <t>454</t>
        </is>
      </c>
      <c r="B7516" s="4" t="n">
        <v>4</v>
      </c>
      <c r="C7516" s="4" t="inlineStr">
        <is>
          <t>mule deer</t>
        </is>
      </c>
      <c r="D7516" s="4" t="n">
        <v>2009</v>
      </c>
      <c r="E7516" s="4" t="inlineStr"/>
      <c r="F7516" s="5" t="n">
        <v>577</v>
      </c>
      <c r="G7516" s="5" t="n">
        <v>3566</v>
      </c>
      <c r="H7516" s="5" t="n">
        <v>100</v>
      </c>
      <c r="I7516" s="5" t="n">
        <v>65</v>
      </c>
      <c r="J7516" s="5" t="n">
        <v>36</v>
      </c>
      <c r="K7516" s="10">
        <f>IF(F7516&gt;0,H7516/F7516,"")</f>
        <v/>
      </c>
      <c r="L7516" s="16">
        <f>IF(AND(G7516&gt;0,H7516&gt;0),G7516/H7516,"")</f>
        <v/>
      </c>
    </row>
    <row r="7517">
      <c r="A7517" s="4" t="inlineStr">
        <is>
          <t>454</t>
        </is>
      </c>
      <c r="B7517" s="4" t="n">
        <v>4</v>
      </c>
      <c r="C7517" s="4" t="inlineStr">
        <is>
          <t>mule deer</t>
        </is>
      </c>
      <c r="D7517" s="4" t="n">
        <v>2010</v>
      </c>
      <c r="E7517" s="4" t="inlineStr"/>
      <c r="F7517" s="5" t="n">
        <v>440</v>
      </c>
      <c r="G7517" s="5" t="n">
        <v>2623</v>
      </c>
      <c r="H7517" s="5" t="n">
        <v>67</v>
      </c>
      <c r="I7517" s="5" t="n">
        <v>67</v>
      </c>
      <c r="J7517" s="5" t="n">
        <v>0</v>
      </c>
      <c r="K7517" s="10">
        <f>IF(F7517&gt;0,H7517/F7517,"")</f>
        <v/>
      </c>
      <c r="L7517" s="16">
        <f>IF(AND(G7517&gt;0,H7517&gt;0),G7517/H7517,"")</f>
        <v/>
      </c>
    </row>
    <row r="7518">
      <c r="A7518" s="4" t="inlineStr">
        <is>
          <t>454</t>
        </is>
      </c>
      <c r="B7518" s="4" t="n">
        <v>4</v>
      </c>
      <c r="C7518" s="4" t="inlineStr">
        <is>
          <t>mule deer</t>
        </is>
      </c>
      <c r="D7518" s="4" t="n">
        <v>2011</v>
      </c>
      <c r="E7518" s="4" t="inlineStr"/>
      <c r="F7518" s="5" t="n">
        <v>636</v>
      </c>
      <c r="G7518" s="5" t="n">
        <v>3751</v>
      </c>
      <c r="H7518" s="5" t="n">
        <v>84</v>
      </c>
      <c r="I7518" s="5" t="n">
        <v>84</v>
      </c>
      <c r="J7518" s="5" t="n">
        <v>0</v>
      </c>
      <c r="K7518" s="10">
        <f>IF(F7518&gt;0,H7518/F7518,"")</f>
        <v/>
      </c>
      <c r="L7518" s="16">
        <f>IF(AND(G7518&gt;0,H7518&gt;0),G7518/H7518,"")</f>
        <v/>
      </c>
    </row>
    <row r="7519">
      <c r="A7519" s="4" t="inlineStr">
        <is>
          <t>454</t>
        </is>
      </c>
      <c r="B7519" s="4" t="n">
        <v>4</v>
      </c>
      <c r="C7519" s="4" t="inlineStr">
        <is>
          <t>mule deer</t>
        </is>
      </c>
      <c r="D7519" s="4" t="n">
        <v>2012</v>
      </c>
      <c r="E7519" s="4" t="inlineStr"/>
      <c r="F7519" s="5" t="n"/>
      <c r="G7519" s="5" t="n"/>
      <c r="H7519" s="5" t="n">
        <v>100</v>
      </c>
      <c r="I7519" s="5" t="n">
        <v>100</v>
      </c>
      <c r="J7519" s="5" t="n">
        <v>0</v>
      </c>
      <c r="K7519" s="10">
        <f>IF(F7519&gt;0,H7519/F7519,"")</f>
        <v/>
      </c>
      <c r="L7519" s="16">
        <f>IF(AND(G7519&gt;0,H7519&gt;0),G7519/H7519,"")</f>
        <v/>
      </c>
    </row>
    <row r="7520">
      <c r="A7520" s="4" t="inlineStr">
        <is>
          <t>454</t>
        </is>
      </c>
      <c r="B7520" s="4" t="n">
        <v>4</v>
      </c>
      <c r="C7520" s="4" t="inlineStr">
        <is>
          <t>mule deer</t>
        </is>
      </c>
      <c r="D7520" s="4" t="n">
        <v>2013</v>
      </c>
      <c r="E7520" s="4" t="inlineStr"/>
      <c r="F7520" s="5" t="n">
        <v>669</v>
      </c>
      <c r="G7520" s="5" t="n">
        <v>4504</v>
      </c>
      <c r="H7520" s="5" t="n">
        <v>81</v>
      </c>
      <c r="I7520" s="5" t="n">
        <v>81</v>
      </c>
      <c r="J7520" s="5" t="n">
        <v>0</v>
      </c>
      <c r="K7520" s="10">
        <f>IF(F7520&gt;0,H7520/F7520,"")</f>
        <v/>
      </c>
      <c r="L7520" s="16">
        <f>IF(AND(G7520&gt;0,H7520&gt;0),G7520/H7520,"")</f>
        <v/>
      </c>
    </row>
    <row r="7521">
      <c r="A7521" s="4" t="inlineStr">
        <is>
          <t>454</t>
        </is>
      </c>
      <c r="B7521" s="4" t="n">
        <v>4</v>
      </c>
      <c r="C7521" s="4" t="inlineStr">
        <is>
          <t>mule deer</t>
        </is>
      </c>
      <c r="D7521" s="4" t="n">
        <v>2014</v>
      </c>
      <c r="E7521" s="4" t="inlineStr"/>
      <c r="F7521" s="5" t="n"/>
      <c r="G7521" s="5" t="n"/>
      <c r="H7521" s="5" t="n">
        <v>154</v>
      </c>
      <c r="I7521" s="5" t="n">
        <v>153</v>
      </c>
      <c r="J7521" s="5" t="n">
        <v>1</v>
      </c>
      <c r="K7521" s="10">
        <f>IF(F7521&gt;0,H7521/F7521,"")</f>
        <v/>
      </c>
      <c r="L7521" s="16">
        <f>IF(AND(G7521&gt;0,H7521&gt;0),G7521/H7521,"")</f>
        <v/>
      </c>
    </row>
    <row r="7522">
      <c r="A7522" s="4" t="inlineStr">
        <is>
          <t>454</t>
        </is>
      </c>
      <c r="B7522" s="4" t="n">
        <v>4</v>
      </c>
      <c r="C7522" s="4" t="inlineStr">
        <is>
          <t>mule deer</t>
        </is>
      </c>
      <c r="D7522" s="4" t="n">
        <v>2015</v>
      </c>
      <c r="E7522" s="4" t="inlineStr"/>
      <c r="F7522" s="5" t="n"/>
      <c r="G7522" s="5" t="n"/>
      <c r="H7522" s="5" t="n">
        <v>123</v>
      </c>
      <c r="I7522" s="5" t="n">
        <v>120</v>
      </c>
      <c r="J7522" s="5" t="n">
        <v>3</v>
      </c>
      <c r="K7522" s="10">
        <f>IF(F7522&gt;0,H7522/F7522,"")</f>
        <v/>
      </c>
      <c r="L7522" s="16">
        <f>IF(AND(G7522&gt;0,H7522&gt;0),G7522/H7522,"")</f>
        <v/>
      </c>
    </row>
    <row r="7523">
      <c r="A7523" s="4" t="inlineStr">
        <is>
          <t>454</t>
        </is>
      </c>
      <c r="B7523" s="4" t="n">
        <v>4</v>
      </c>
      <c r="C7523" s="4" t="inlineStr">
        <is>
          <t>mule deer</t>
        </is>
      </c>
      <c r="D7523" s="4" t="n">
        <v>2016</v>
      </c>
      <c r="E7523" s="4" t="inlineStr"/>
      <c r="F7523" s="5" t="n"/>
      <c r="G7523" s="5" t="n"/>
      <c r="H7523" s="5" t="n">
        <v>117</v>
      </c>
      <c r="I7523" s="5" t="n">
        <v>115</v>
      </c>
      <c r="J7523" s="5" t="n">
        <v>3</v>
      </c>
      <c r="K7523" s="10">
        <f>IF(F7523&gt;0,H7523/F7523,"")</f>
        <v/>
      </c>
      <c r="L7523" s="16">
        <f>IF(AND(G7523&gt;0,H7523&gt;0),G7523/H7523,"")</f>
        <v/>
      </c>
    </row>
    <row r="7524">
      <c r="A7524" s="4" t="inlineStr">
        <is>
          <t>454</t>
        </is>
      </c>
      <c r="B7524" s="4" t="n">
        <v>4</v>
      </c>
      <c r="C7524" s="4" t="inlineStr">
        <is>
          <t>mule deer</t>
        </is>
      </c>
      <c r="D7524" s="4" t="n">
        <v>2017</v>
      </c>
      <c r="E7524" s="4" t="inlineStr"/>
      <c r="F7524" s="5" t="n">
        <v>488</v>
      </c>
      <c r="G7524" s="5" t="n">
        <v>2760</v>
      </c>
      <c r="H7524" s="5" t="n">
        <v>76</v>
      </c>
      <c r="I7524" s="5" t="n">
        <v>70</v>
      </c>
      <c r="J7524" s="5" t="n">
        <v>6</v>
      </c>
      <c r="K7524" s="10">
        <f>IF(F7524&gt;0,H7524/F7524,"")</f>
        <v/>
      </c>
      <c r="L7524" s="16">
        <f>IF(AND(G7524&gt;0,H7524&gt;0),G7524/H7524,"")</f>
        <v/>
      </c>
    </row>
    <row r="7525">
      <c r="A7525" s="4" t="inlineStr">
        <is>
          <t>454</t>
        </is>
      </c>
      <c r="B7525" s="4" t="n">
        <v>4</v>
      </c>
      <c r="C7525" s="4" t="inlineStr">
        <is>
          <t>mule deer</t>
        </is>
      </c>
      <c r="D7525" s="4" t="n">
        <v>2018</v>
      </c>
      <c r="E7525" s="4" t="inlineStr"/>
      <c r="F7525" s="5" t="n"/>
      <c r="G7525" s="5" t="n"/>
      <c r="H7525" s="5" t="n">
        <v>61</v>
      </c>
      <c r="I7525" s="5" t="n">
        <v>58</v>
      </c>
      <c r="J7525" s="5" t="n">
        <v>3</v>
      </c>
      <c r="K7525" s="10">
        <f>IF(F7525&gt;0,H7525/F7525,"")</f>
        <v/>
      </c>
      <c r="L7525" s="16">
        <f>IF(AND(G7525&gt;0,H7525&gt;0),G7525/H7525,"")</f>
        <v/>
      </c>
    </row>
    <row r="7526">
      <c r="A7526" s="4" t="inlineStr">
        <is>
          <t>454</t>
        </is>
      </c>
      <c r="B7526" s="4" t="n">
        <v>4</v>
      </c>
      <c r="C7526" s="4" t="inlineStr">
        <is>
          <t>mule deer</t>
        </is>
      </c>
      <c r="D7526" s="4" t="n">
        <v>2019</v>
      </c>
      <c r="E7526" s="4" t="inlineStr"/>
      <c r="F7526" s="5" t="n">
        <v>511</v>
      </c>
      <c r="G7526" s="5" t="n">
        <v>3339</v>
      </c>
      <c r="H7526" s="5" t="n">
        <v>89</v>
      </c>
      <c r="I7526" s="5" t="n">
        <v>89</v>
      </c>
      <c r="J7526" s="5" t="n">
        <v>0</v>
      </c>
      <c r="K7526" s="10">
        <f>IF(F7526&gt;0,H7526/F7526,"")</f>
        <v/>
      </c>
      <c r="L7526" s="16">
        <f>IF(AND(G7526&gt;0,H7526&gt;0),G7526/H7526,"")</f>
        <v/>
      </c>
    </row>
    <row r="7527">
      <c r="A7527" s="4" t="inlineStr">
        <is>
          <t>454</t>
        </is>
      </c>
      <c r="B7527" s="4" t="n">
        <v>4</v>
      </c>
      <c r="C7527" s="4" t="inlineStr">
        <is>
          <t>mule deer</t>
        </is>
      </c>
      <c r="D7527" s="4" t="n">
        <v>2020</v>
      </c>
      <c r="E7527" s="4" t="inlineStr"/>
      <c r="F7527" s="5" t="n"/>
      <c r="G7527" s="5" t="n"/>
      <c r="H7527" s="5" t="n">
        <v>105</v>
      </c>
      <c r="I7527" s="5" t="n">
        <v>102</v>
      </c>
      <c r="J7527" s="5" t="n">
        <v>3</v>
      </c>
      <c r="K7527" s="10">
        <f>IF(F7527&gt;0,H7527/F7527,"")</f>
        <v/>
      </c>
      <c r="L7527" s="16">
        <f>IF(AND(G7527&gt;0,H7527&gt;0),G7527/H7527,"")</f>
        <v/>
      </c>
    </row>
    <row r="7528">
      <c r="A7528" s="4" t="inlineStr">
        <is>
          <t>454</t>
        </is>
      </c>
      <c r="B7528" s="4" t="n">
        <v>4</v>
      </c>
      <c r="C7528" s="4" t="inlineStr">
        <is>
          <t>mule deer</t>
        </is>
      </c>
      <c r="D7528" s="4" t="n">
        <v>2021</v>
      </c>
      <c r="E7528" s="4" t="inlineStr"/>
      <c r="F7528" s="5" t="n">
        <v>542</v>
      </c>
      <c r="G7528" s="5" t="n">
        <v>3238</v>
      </c>
      <c r="H7528" s="5" t="n">
        <v>88</v>
      </c>
      <c r="I7528" s="5" t="n">
        <v>88</v>
      </c>
      <c r="J7528" s="5" t="n">
        <v>0</v>
      </c>
      <c r="K7528" s="10">
        <f>IF(F7528&gt;0,H7528/F7528,"")</f>
        <v/>
      </c>
      <c r="L7528" s="16">
        <f>IF(AND(G7528&gt;0,H7528&gt;0),G7528/H7528,"")</f>
        <v/>
      </c>
    </row>
    <row r="7529">
      <c r="A7529" s="4" t="inlineStr">
        <is>
          <t>455</t>
        </is>
      </c>
      <c r="B7529" s="4" t="n">
        <v>4</v>
      </c>
      <c r="C7529" s="4" t="inlineStr">
        <is>
          <t>mule deer</t>
        </is>
      </c>
      <c r="D7529" s="4" t="n">
        <v>2004</v>
      </c>
      <c r="E7529" s="15" t="inlineStr">
        <is>
          <t>Draw</t>
        </is>
      </c>
      <c r="F7529" s="5" t="n">
        <v>81</v>
      </c>
      <c r="G7529" s="5" t="n">
        <v>302</v>
      </c>
      <c r="H7529" s="5" t="n">
        <v>42</v>
      </c>
      <c r="I7529" s="5" t="n">
        <v>38</v>
      </c>
      <c r="J7529" s="5" t="n">
        <v>4</v>
      </c>
      <c r="K7529" s="10">
        <f>IF(F7529&gt;0,H7529/F7529,"")</f>
        <v/>
      </c>
      <c r="L7529" s="16">
        <f>IF(AND(G7529&gt;0,H7529&gt;0),G7529/H7529,"")</f>
        <v/>
      </c>
    </row>
    <row r="7530">
      <c r="A7530" s="4" t="inlineStr">
        <is>
          <t>455</t>
        </is>
      </c>
      <c r="B7530" s="4" t="n">
        <v>4</v>
      </c>
      <c r="C7530" s="4" t="inlineStr">
        <is>
          <t>mule deer</t>
        </is>
      </c>
      <c r="D7530" s="4" t="n">
        <v>2005</v>
      </c>
      <c r="E7530" s="15" t="inlineStr">
        <is>
          <t>Draw</t>
        </is>
      </c>
      <c r="F7530" s="5" t="n">
        <v>99</v>
      </c>
      <c r="G7530" s="5" t="n">
        <v>418</v>
      </c>
      <c r="H7530" s="5" t="n">
        <v>43</v>
      </c>
      <c r="I7530" s="5" t="n">
        <v>35</v>
      </c>
      <c r="J7530" s="5" t="n">
        <v>8</v>
      </c>
      <c r="K7530" s="10">
        <f>IF(F7530&gt;0,H7530/F7530,"")</f>
        <v/>
      </c>
      <c r="L7530" s="16">
        <f>IF(AND(G7530&gt;0,H7530&gt;0),G7530/H7530,"")</f>
        <v/>
      </c>
    </row>
    <row r="7531">
      <c r="A7531" s="4" t="inlineStr">
        <is>
          <t>455</t>
        </is>
      </c>
      <c r="B7531" s="4" t="n">
        <v>4</v>
      </c>
      <c r="C7531" s="4" t="inlineStr">
        <is>
          <t>mule deer</t>
        </is>
      </c>
      <c r="D7531" s="4" t="n">
        <v>2006</v>
      </c>
      <c r="E7531" s="15" t="inlineStr">
        <is>
          <t>Draw</t>
        </is>
      </c>
      <c r="F7531" s="5" t="n">
        <v>149</v>
      </c>
      <c r="G7531" s="5" t="n">
        <v>673</v>
      </c>
      <c r="H7531" s="5" t="n">
        <v>65</v>
      </c>
      <c r="I7531" s="5" t="n">
        <v>48</v>
      </c>
      <c r="J7531" s="5" t="n">
        <v>17</v>
      </c>
      <c r="K7531" s="10">
        <f>IF(F7531&gt;0,H7531/F7531,"")</f>
        <v/>
      </c>
      <c r="L7531" s="16">
        <f>IF(AND(G7531&gt;0,H7531&gt;0),G7531/H7531,"")</f>
        <v/>
      </c>
    </row>
    <row r="7532">
      <c r="A7532" s="4" t="inlineStr">
        <is>
          <t>455</t>
        </is>
      </c>
      <c r="B7532" s="4" t="n">
        <v>4</v>
      </c>
      <c r="C7532" s="4" t="inlineStr">
        <is>
          <t>mule deer</t>
        </is>
      </c>
      <c r="D7532" s="4" t="n">
        <v>2007</v>
      </c>
      <c r="E7532" s="15" t="inlineStr">
        <is>
          <t>Draw</t>
        </is>
      </c>
      <c r="F7532" s="5" t="n">
        <v>137</v>
      </c>
      <c r="G7532" s="5" t="n">
        <v>524</v>
      </c>
      <c r="H7532" s="5" t="n">
        <v>66</v>
      </c>
      <c r="I7532" s="5" t="n">
        <v>39</v>
      </c>
      <c r="J7532" s="5" t="n">
        <v>27</v>
      </c>
      <c r="K7532" s="10">
        <f>IF(F7532&gt;0,H7532/F7532,"")</f>
        <v/>
      </c>
      <c r="L7532" s="16">
        <f>IF(AND(G7532&gt;0,H7532&gt;0),G7532/H7532,"")</f>
        <v/>
      </c>
    </row>
    <row r="7533">
      <c r="A7533" s="4" t="inlineStr">
        <is>
          <t>455</t>
        </is>
      </c>
      <c r="B7533" s="4" t="n">
        <v>4</v>
      </c>
      <c r="C7533" s="4" t="inlineStr">
        <is>
          <t>mule deer</t>
        </is>
      </c>
      <c r="D7533" s="4" t="n">
        <v>2008</v>
      </c>
      <c r="E7533" s="15" t="inlineStr">
        <is>
          <t>Draw</t>
        </is>
      </c>
      <c r="F7533" s="5" t="n">
        <v>134</v>
      </c>
      <c r="G7533" s="5" t="n">
        <v>552</v>
      </c>
      <c r="H7533" s="5" t="n">
        <v>70</v>
      </c>
      <c r="I7533" s="5" t="n">
        <v>46</v>
      </c>
      <c r="J7533" s="5" t="n">
        <v>24</v>
      </c>
      <c r="K7533" s="10">
        <f>IF(F7533&gt;0,H7533/F7533,"")</f>
        <v/>
      </c>
      <c r="L7533" s="16">
        <f>IF(AND(G7533&gt;0,H7533&gt;0),G7533/H7533,"")</f>
        <v/>
      </c>
    </row>
    <row r="7534">
      <c r="A7534" s="4" t="inlineStr">
        <is>
          <t>455</t>
        </is>
      </c>
      <c r="B7534" s="4" t="n">
        <v>4</v>
      </c>
      <c r="C7534" s="4" t="inlineStr">
        <is>
          <t>mule deer</t>
        </is>
      </c>
      <c r="D7534" s="4" t="n">
        <v>2009</v>
      </c>
      <c r="E7534" s="15" t="inlineStr">
        <is>
          <t>Draw</t>
        </is>
      </c>
      <c r="F7534" s="5" t="n">
        <v>73</v>
      </c>
      <c r="G7534" s="5" t="n">
        <v>420</v>
      </c>
      <c r="H7534" s="5" t="n">
        <v>34</v>
      </c>
      <c r="I7534" s="5" t="n">
        <v>32</v>
      </c>
      <c r="J7534" s="5" t="n">
        <v>2</v>
      </c>
      <c r="K7534" s="10">
        <f>IF(F7534&gt;0,H7534/F7534,"")</f>
        <v/>
      </c>
      <c r="L7534" s="16">
        <f>IF(AND(G7534&gt;0,H7534&gt;0),G7534/H7534,"")</f>
        <v/>
      </c>
    </row>
    <row r="7535">
      <c r="A7535" s="4" t="inlineStr">
        <is>
          <t>455</t>
        </is>
      </c>
      <c r="B7535" s="4" t="n">
        <v>4</v>
      </c>
      <c r="C7535" s="4" t="inlineStr">
        <is>
          <t>mule deer</t>
        </is>
      </c>
      <c r="D7535" s="4" t="n">
        <v>2010</v>
      </c>
      <c r="E7535" s="15" t="inlineStr">
        <is>
          <t>Draw</t>
        </is>
      </c>
      <c r="F7535" s="5" t="n">
        <v>60</v>
      </c>
      <c r="G7535" s="5" t="n">
        <v>248</v>
      </c>
      <c r="H7535" s="5" t="n">
        <v>21</v>
      </c>
      <c r="I7535" s="5" t="n">
        <v>21</v>
      </c>
      <c r="J7535" s="5" t="n">
        <v>0</v>
      </c>
      <c r="K7535" s="10">
        <f>IF(F7535&gt;0,H7535/F7535,"")</f>
        <v/>
      </c>
      <c r="L7535" s="16">
        <f>IF(AND(G7535&gt;0,H7535&gt;0),G7535/H7535,"")</f>
        <v/>
      </c>
    </row>
    <row r="7536">
      <c r="A7536" s="4" t="inlineStr">
        <is>
          <t>455</t>
        </is>
      </c>
      <c r="B7536" s="4" t="n">
        <v>4</v>
      </c>
      <c r="C7536" s="4" t="inlineStr">
        <is>
          <t>mule deer</t>
        </is>
      </c>
      <c r="D7536" s="4" t="n">
        <v>2011</v>
      </c>
      <c r="E7536" s="15" t="inlineStr">
        <is>
          <t>Draw</t>
        </is>
      </c>
      <c r="F7536" s="5" t="n">
        <v>55</v>
      </c>
      <c r="G7536" s="5" t="n">
        <v>278</v>
      </c>
      <c r="H7536" s="5" t="n">
        <v>25</v>
      </c>
      <c r="I7536" s="5" t="n">
        <v>25</v>
      </c>
      <c r="J7536" s="5" t="n">
        <v>0</v>
      </c>
      <c r="K7536" s="10">
        <f>IF(F7536&gt;0,H7536/F7536,"")</f>
        <v/>
      </c>
      <c r="L7536" s="16">
        <f>IF(AND(G7536&gt;0,H7536&gt;0),G7536/H7536,"")</f>
        <v/>
      </c>
    </row>
    <row r="7537">
      <c r="A7537" s="4" t="inlineStr">
        <is>
          <t>455</t>
        </is>
      </c>
      <c r="B7537" s="4" t="n">
        <v>4</v>
      </c>
      <c r="C7537" s="4" t="inlineStr">
        <is>
          <t>mule deer</t>
        </is>
      </c>
      <c r="D7537" s="4" t="n">
        <v>2012</v>
      </c>
      <c r="E7537" s="15" t="inlineStr">
        <is>
          <t>Draw</t>
        </is>
      </c>
      <c r="F7537" s="5" t="n"/>
      <c r="G7537" s="5" t="n"/>
      <c r="H7537" s="5" t="n">
        <v>18</v>
      </c>
      <c r="I7537" s="5" t="n">
        <v>16</v>
      </c>
      <c r="J7537" s="5" t="n">
        <v>2</v>
      </c>
      <c r="K7537" s="10">
        <f>IF(F7537&gt;0,H7537/F7537,"")</f>
        <v/>
      </c>
      <c r="L7537" s="16">
        <f>IF(AND(G7537&gt;0,H7537&gt;0),G7537/H7537,"")</f>
        <v/>
      </c>
    </row>
    <row r="7538">
      <c r="A7538" s="4" t="inlineStr">
        <is>
          <t>455</t>
        </is>
      </c>
      <c r="B7538" s="4" t="n">
        <v>4</v>
      </c>
      <c r="C7538" s="4" t="inlineStr">
        <is>
          <t>mule deer</t>
        </is>
      </c>
      <c r="D7538" s="4" t="n">
        <v>2013</v>
      </c>
      <c r="E7538" s="15" t="inlineStr">
        <is>
          <t>Draw</t>
        </is>
      </c>
      <c r="F7538" s="5" t="n">
        <v>65</v>
      </c>
      <c r="G7538" s="5" t="n">
        <v>289</v>
      </c>
      <c r="H7538" s="5" t="n">
        <v>25</v>
      </c>
      <c r="I7538" s="5" t="n">
        <v>25</v>
      </c>
      <c r="J7538" s="5" t="n">
        <v>0</v>
      </c>
      <c r="K7538" s="10">
        <f>IF(F7538&gt;0,H7538/F7538,"")</f>
        <v/>
      </c>
      <c r="L7538" s="16">
        <f>IF(AND(G7538&gt;0,H7538&gt;0),G7538/H7538,"")</f>
        <v/>
      </c>
    </row>
    <row r="7539">
      <c r="A7539" s="4" t="inlineStr">
        <is>
          <t>455</t>
        </is>
      </c>
      <c r="B7539" s="4" t="n">
        <v>4</v>
      </c>
      <c r="C7539" s="4" t="inlineStr">
        <is>
          <t>mule deer</t>
        </is>
      </c>
      <c r="D7539" s="4" t="n">
        <v>2014</v>
      </c>
      <c r="E7539" s="15" t="inlineStr">
        <is>
          <t>Draw</t>
        </is>
      </c>
      <c r="F7539" s="5" t="n"/>
      <c r="G7539" s="5" t="n"/>
      <c r="H7539" s="5" t="n">
        <v>18</v>
      </c>
      <c r="I7539" s="5" t="n">
        <v>18</v>
      </c>
      <c r="J7539" s="5" t="n">
        <v>0</v>
      </c>
      <c r="K7539" s="10">
        <f>IF(F7539&gt;0,H7539/F7539,"")</f>
        <v/>
      </c>
      <c r="L7539" s="16">
        <f>IF(AND(G7539&gt;0,H7539&gt;0),G7539/H7539,"")</f>
        <v/>
      </c>
    </row>
    <row r="7540">
      <c r="A7540" s="4" t="inlineStr">
        <is>
          <t>455</t>
        </is>
      </c>
      <c r="B7540" s="4" t="n">
        <v>4</v>
      </c>
      <c r="C7540" s="4" t="inlineStr">
        <is>
          <t>mule deer</t>
        </is>
      </c>
      <c r="D7540" s="4" t="n">
        <v>2015</v>
      </c>
      <c r="E7540" s="15" t="inlineStr">
        <is>
          <t>Draw</t>
        </is>
      </c>
      <c r="F7540" s="5" t="n"/>
      <c r="G7540" s="5" t="n"/>
      <c r="H7540" s="5" t="n">
        <v>12</v>
      </c>
      <c r="I7540" s="5" t="n">
        <v>12</v>
      </c>
      <c r="J7540" s="5" t="n">
        <v>0</v>
      </c>
      <c r="K7540" s="10">
        <f>IF(F7540&gt;0,H7540/F7540,"")</f>
        <v/>
      </c>
      <c r="L7540" s="16">
        <f>IF(AND(G7540&gt;0,H7540&gt;0),G7540/H7540,"")</f>
        <v/>
      </c>
    </row>
    <row r="7541">
      <c r="A7541" s="4" t="inlineStr">
        <is>
          <t>455</t>
        </is>
      </c>
      <c r="B7541" s="4" t="n">
        <v>4</v>
      </c>
      <c r="C7541" s="4" t="inlineStr">
        <is>
          <t>mule deer</t>
        </is>
      </c>
      <c r="D7541" s="4" t="n">
        <v>2016</v>
      </c>
      <c r="E7541" s="15" t="inlineStr">
        <is>
          <t>Draw</t>
        </is>
      </c>
      <c r="F7541" s="5" t="n"/>
      <c r="G7541" s="5" t="n"/>
      <c r="H7541" s="5" t="n">
        <v>16</v>
      </c>
      <c r="I7541" s="5" t="n">
        <v>16</v>
      </c>
      <c r="J7541" s="5" t="n">
        <v>0</v>
      </c>
      <c r="K7541" s="10">
        <f>IF(F7541&gt;0,H7541/F7541,"")</f>
        <v/>
      </c>
      <c r="L7541" s="16">
        <f>IF(AND(G7541&gt;0,H7541&gt;0),G7541/H7541,"")</f>
        <v/>
      </c>
    </row>
    <row r="7542">
      <c r="A7542" s="4" t="inlineStr">
        <is>
          <t>455</t>
        </is>
      </c>
      <c r="B7542" s="4" t="n">
        <v>4</v>
      </c>
      <c r="C7542" s="4" t="inlineStr">
        <is>
          <t>mule deer</t>
        </is>
      </c>
      <c r="D7542" s="4" t="n">
        <v>2017</v>
      </c>
      <c r="E7542" s="15" t="inlineStr">
        <is>
          <t>Draw</t>
        </is>
      </c>
      <c r="F7542" s="5" t="n">
        <v>56</v>
      </c>
      <c r="G7542" s="5" t="n">
        <v>286</v>
      </c>
      <c r="H7542" s="5" t="n">
        <v>23</v>
      </c>
      <c r="I7542" s="5" t="n">
        <v>23</v>
      </c>
      <c r="J7542" s="5" t="n">
        <v>0</v>
      </c>
      <c r="K7542" s="10">
        <f>IF(F7542&gt;0,H7542/F7542,"")</f>
        <v/>
      </c>
      <c r="L7542" s="16">
        <f>IF(AND(G7542&gt;0,H7542&gt;0),G7542/H7542,"")</f>
        <v/>
      </c>
    </row>
    <row r="7543">
      <c r="A7543" s="4" t="inlineStr">
        <is>
          <t>455</t>
        </is>
      </c>
      <c r="B7543" s="4" t="n">
        <v>4</v>
      </c>
      <c r="C7543" s="4" t="inlineStr">
        <is>
          <t>mule deer</t>
        </is>
      </c>
      <c r="D7543" s="4" t="n">
        <v>2018</v>
      </c>
      <c r="E7543" s="15" t="inlineStr">
        <is>
          <t>Draw</t>
        </is>
      </c>
      <c r="F7543" s="5" t="n"/>
      <c r="G7543" s="5" t="n"/>
      <c r="H7543" s="5" t="n">
        <v>10</v>
      </c>
      <c r="I7543" s="5" t="n">
        <v>10</v>
      </c>
      <c r="J7543" s="5" t="n">
        <v>0</v>
      </c>
      <c r="K7543" s="10">
        <f>IF(F7543&gt;0,H7543/F7543,"")</f>
        <v/>
      </c>
      <c r="L7543" s="16">
        <f>IF(AND(G7543&gt;0,H7543&gt;0),G7543/H7543,"")</f>
        <v/>
      </c>
    </row>
    <row r="7544">
      <c r="A7544" s="4" t="inlineStr">
        <is>
          <t>455</t>
        </is>
      </c>
      <c r="B7544" s="4" t="n">
        <v>4</v>
      </c>
      <c r="C7544" s="4" t="inlineStr">
        <is>
          <t>mule deer</t>
        </is>
      </c>
      <c r="D7544" s="4" t="n">
        <v>2019</v>
      </c>
      <c r="E7544" s="15" t="inlineStr">
        <is>
          <t>Draw</t>
        </is>
      </c>
      <c r="F7544" s="5" t="n">
        <v>69</v>
      </c>
      <c r="G7544" s="5" t="n">
        <v>310</v>
      </c>
      <c r="H7544" s="5" t="n">
        <v>12</v>
      </c>
      <c r="I7544" s="5" t="n">
        <v>12</v>
      </c>
      <c r="J7544" s="5" t="n">
        <v>0</v>
      </c>
      <c r="K7544" s="10">
        <f>IF(F7544&gt;0,H7544/F7544,"")</f>
        <v/>
      </c>
      <c r="L7544" s="16">
        <f>IF(AND(G7544&gt;0,H7544&gt;0),G7544/H7544,"")</f>
        <v/>
      </c>
    </row>
    <row r="7545">
      <c r="A7545" s="4" t="inlineStr">
        <is>
          <t>455</t>
        </is>
      </c>
      <c r="B7545" s="4" t="n">
        <v>4</v>
      </c>
      <c r="C7545" s="4" t="inlineStr">
        <is>
          <t>mule deer</t>
        </is>
      </c>
      <c r="D7545" s="4" t="n">
        <v>2020</v>
      </c>
      <c r="E7545" s="15" t="inlineStr">
        <is>
          <t>Draw</t>
        </is>
      </c>
      <c r="F7545" s="5" t="n"/>
      <c r="G7545" s="5" t="n"/>
      <c r="H7545" s="5" t="n">
        <v>10</v>
      </c>
      <c r="I7545" s="5" t="n">
        <v>10</v>
      </c>
      <c r="J7545" s="5" t="n">
        <v>0</v>
      </c>
      <c r="K7545" s="10">
        <f>IF(F7545&gt;0,H7545/F7545,"")</f>
        <v/>
      </c>
      <c r="L7545" s="16">
        <f>IF(AND(G7545&gt;0,H7545&gt;0),G7545/H7545,"")</f>
        <v/>
      </c>
    </row>
    <row r="7546">
      <c r="A7546" s="4" t="inlineStr">
        <is>
          <t>455</t>
        </is>
      </c>
      <c r="B7546" s="4" t="n">
        <v>4</v>
      </c>
      <c r="C7546" s="4" t="inlineStr">
        <is>
          <t>mule deer</t>
        </is>
      </c>
      <c r="D7546" s="4" t="n">
        <v>2021</v>
      </c>
      <c r="E7546" s="15" t="inlineStr">
        <is>
          <t>Draw</t>
        </is>
      </c>
      <c r="F7546" s="5" t="n">
        <v>73</v>
      </c>
      <c r="G7546" s="5" t="n">
        <v>426</v>
      </c>
      <c r="H7546" s="5" t="n">
        <v>15</v>
      </c>
      <c r="I7546" s="5" t="n">
        <v>11</v>
      </c>
      <c r="J7546" s="5" t="n">
        <v>4</v>
      </c>
      <c r="K7546" s="10">
        <f>IF(F7546&gt;0,H7546/F7546,"")</f>
        <v/>
      </c>
      <c r="L7546" s="16">
        <f>IF(AND(G7546&gt;0,H7546&gt;0),G7546/H7546,"")</f>
        <v/>
      </c>
    </row>
    <row r="7547">
      <c r="A7547" s="4" t="inlineStr">
        <is>
          <t>455</t>
        </is>
      </c>
      <c r="B7547" s="4" t="n">
        <v>4</v>
      </c>
      <c r="C7547" s="4" t="inlineStr">
        <is>
          <t>mule deer</t>
        </is>
      </c>
      <c r="D7547" s="4" t="n">
        <v>2022</v>
      </c>
      <c r="E7547" s="15" t="inlineStr">
        <is>
          <t>Draw</t>
        </is>
      </c>
      <c r="F7547" s="5" t="n"/>
      <c r="G7547" s="5" t="n"/>
      <c r="H7547" s="5" t="n">
        <v>12</v>
      </c>
      <c r="I7547" s="5" t="n">
        <v>12</v>
      </c>
      <c r="J7547" s="5" t="n">
        <v>0</v>
      </c>
      <c r="K7547" s="10">
        <f>IF(F7547&gt;0,H7547/F7547,"")</f>
        <v/>
      </c>
      <c r="L7547" s="16">
        <f>IF(AND(G7547&gt;0,H7547&gt;0),G7547/H7547,"")</f>
        <v/>
      </c>
    </row>
    <row r="7548">
      <c r="A7548" s="4" t="inlineStr">
        <is>
          <t>455</t>
        </is>
      </c>
      <c r="B7548" s="4" t="n">
        <v>4</v>
      </c>
      <c r="C7548" s="4" t="inlineStr">
        <is>
          <t>mule deer</t>
        </is>
      </c>
      <c r="D7548" s="4" t="n">
        <v>2023</v>
      </c>
      <c r="E7548" s="15" t="inlineStr">
        <is>
          <t>Draw</t>
        </is>
      </c>
      <c r="F7548" s="5" t="n">
        <v>73</v>
      </c>
      <c r="G7548" s="5" t="n">
        <v>401</v>
      </c>
      <c r="H7548" s="5" t="n">
        <v>7</v>
      </c>
      <c r="I7548" s="5" t="n">
        <v>7</v>
      </c>
      <c r="J7548" s="5" t="n">
        <v>0</v>
      </c>
      <c r="K7548" s="10">
        <f>IF(F7548&gt;0,H7548/F7548,"")</f>
        <v/>
      </c>
      <c r="L7548" s="16">
        <f>IF(AND(G7548&gt;0,H7548&gt;0),G7548/H7548,"")</f>
        <v/>
      </c>
    </row>
    <row r="7549">
      <c r="A7549" s="4" t="inlineStr">
        <is>
          <t>455</t>
        </is>
      </c>
      <c r="B7549" s="4" t="n">
        <v>4</v>
      </c>
      <c r="C7549" s="4" t="inlineStr">
        <is>
          <t>mule deer</t>
        </is>
      </c>
      <c r="D7549" s="4" t="n">
        <v>2024</v>
      </c>
      <c r="E7549" s="15" t="inlineStr">
        <is>
          <t>Draw</t>
        </is>
      </c>
      <c r="F7549" s="5" t="n"/>
      <c r="G7549" s="5" t="n"/>
      <c r="H7549" s="5" t="n">
        <v>6</v>
      </c>
      <c r="I7549" s="5" t="n">
        <v>6</v>
      </c>
      <c r="J7549" s="5" t="n">
        <v>0</v>
      </c>
      <c r="K7549" s="10">
        <f>IF(F7549&gt;0,H7549/F7549,"")</f>
        <v/>
      </c>
      <c r="L7549" s="16">
        <f>IF(AND(G7549&gt;0,H7549&gt;0),G7549/H7549,"")</f>
        <v/>
      </c>
    </row>
    <row r="7550">
      <c r="A7550" s="4" t="inlineStr">
        <is>
          <t>455</t>
        </is>
      </c>
      <c r="B7550" s="4" t="n">
        <v>4</v>
      </c>
      <c r="C7550" s="4" t="inlineStr">
        <is>
          <t>mule deer</t>
        </is>
      </c>
      <c r="D7550" s="4" t="n">
        <v>2025</v>
      </c>
      <c r="E7550" s="15" t="inlineStr">
        <is>
          <t>Draw</t>
        </is>
      </c>
      <c r="F7550" s="5" t="n">
        <v>107</v>
      </c>
      <c r="G7550" s="5" t="n">
        <v>713</v>
      </c>
      <c r="H7550" s="5" t="n">
        <v>19</v>
      </c>
      <c r="I7550" s="5" t="n">
        <v>16</v>
      </c>
      <c r="J7550" s="5" t="n">
        <v>4</v>
      </c>
      <c r="K7550" s="10">
        <f>IF(F7550&gt;0,H7550/F7550,"")</f>
        <v/>
      </c>
      <c r="L7550" s="16">
        <f>IF(AND(G7550&gt;0,H7550&gt;0),G7550/H7550,"")</f>
        <v/>
      </c>
    </row>
    <row r="7551">
      <c r="A7551" s="4" t="inlineStr">
        <is>
          <t>471</t>
        </is>
      </c>
      <c r="B7551" s="4" t="n">
        <v>4</v>
      </c>
      <c r="C7551" s="4" t="inlineStr">
        <is>
          <t>mule deer</t>
        </is>
      </c>
      <c r="D7551" s="4" t="n">
        <v>2004</v>
      </c>
      <c r="E7551" s="13" t="inlineStr">
        <is>
          <t>General</t>
        </is>
      </c>
      <c r="F7551" s="5" t="n">
        <v>728</v>
      </c>
      <c r="G7551" s="5" t="n">
        <v>2467</v>
      </c>
      <c r="H7551" s="5" t="n">
        <v>518</v>
      </c>
      <c r="I7551" s="5" t="n">
        <v>341</v>
      </c>
      <c r="J7551" s="5" t="n">
        <v>176</v>
      </c>
      <c r="K7551" s="10">
        <f>IF(F7551&gt;0,H7551/F7551,"")</f>
        <v/>
      </c>
      <c r="L7551" s="16">
        <f>IF(AND(G7551&gt;0,H7551&gt;0),G7551/H7551,"")</f>
        <v/>
      </c>
    </row>
    <row r="7552">
      <c r="A7552" s="4" t="inlineStr">
        <is>
          <t>471</t>
        </is>
      </c>
      <c r="B7552" s="4" t="n">
        <v>4</v>
      </c>
      <c r="C7552" s="4" t="inlineStr">
        <is>
          <t>mule deer</t>
        </is>
      </c>
      <c r="D7552" s="4" t="n">
        <v>2005</v>
      </c>
      <c r="E7552" s="13" t="inlineStr">
        <is>
          <t>General</t>
        </is>
      </c>
      <c r="F7552" s="5" t="n">
        <v>513</v>
      </c>
      <c r="G7552" s="5" t="n">
        <v>1722</v>
      </c>
      <c r="H7552" s="5" t="n">
        <v>334</v>
      </c>
      <c r="I7552" s="5" t="n">
        <v>229</v>
      </c>
      <c r="J7552" s="5" t="n">
        <v>106</v>
      </c>
      <c r="K7552" s="10">
        <f>IF(F7552&gt;0,H7552/F7552,"")</f>
        <v/>
      </c>
      <c r="L7552" s="16">
        <f>IF(AND(G7552&gt;0,H7552&gt;0),G7552/H7552,"")</f>
        <v/>
      </c>
    </row>
    <row r="7553">
      <c r="A7553" s="4" t="inlineStr">
        <is>
          <t>471</t>
        </is>
      </c>
      <c r="B7553" s="4" t="n">
        <v>4</v>
      </c>
      <c r="C7553" s="4" t="inlineStr">
        <is>
          <t>mule deer</t>
        </is>
      </c>
      <c r="D7553" s="4" t="n">
        <v>2006</v>
      </c>
      <c r="E7553" s="13" t="inlineStr">
        <is>
          <t>General</t>
        </is>
      </c>
      <c r="F7553" s="5" t="n">
        <v>563</v>
      </c>
      <c r="G7553" s="5" t="n">
        <v>2153</v>
      </c>
      <c r="H7553" s="5" t="n">
        <v>455</v>
      </c>
      <c r="I7553" s="5" t="n">
        <v>279</v>
      </c>
      <c r="J7553" s="5" t="n">
        <v>168</v>
      </c>
      <c r="K7553" s="10">
        <f>IF(F7553&gt;0,H7553/F7553,"")</f>
        <v/>
      </c>
      <c r="L7553" s="16">
        <f>IF(AND(G7553&gt;0,H7553&gt;0),G7553/H7553,"")</f>
        <v/>
      </c>
    </row>
    <row r="7554">
      <c r="A7554" s="4" t="inlineStr">
        <is>
          <t>471</t>
        </is>
      </c>
      <c r="B7554" s="4" t="n">
        <v>4</v>
      </c>
      <c r="C7554" s="4" t="inlineStr">
        <is>
          <t>mule deer</t>
        </is>
      </c>
      <c r="D7554" s="4" t="n">
        <v>2007</v>
      </c>
      <c r="E7554" s="13" t="inlineStr">
        <is>
          <t>General</t>
        </is>
      </c>
      <c r="F7554" s="5" t="n">
        <v>705</v>
      </c>
      <c r="G7554" s="5" t="n">
        <v>2355</v>
      </c>
      <c r="H7554" s="5" t="n">
        <v>442</v>
      </c>
      <c r="I7554" s="5" t="n">
        <v>242</v>
      </c>
      <c r="J7554" s="5" t="n">
        <v>190</v>
      </c>
      <c r="K7554" s="10">
        <f>IF(F7554&gt;0,H7554/F7554,"")</f>
        <v/>
      </c>
      <c r="L7554" s="16">
        <f>IF(AND(G7554&gt;0,H7554&gt;0),G7554/H7554,"")</f>
        <v/>
      </c>
    </row>
    <row r="7555">
      <c r="A7555" s="4" t="inlineStr">
        <is>
          <t>471</t>
        </is>
      </c>
      <c r="B7555" s="4" t="n">
        <v>4</v>
      </c>
      <c r="C7555" s="4" t="inlineStr">
        <is>
          <t>mule deer</t>
        </is>
      </c>
      <c r="D7555" s="4" t="n">
        <v>2008</v>
      </c>
      <c r="E7555" s="13" t="inlineStr">
        <is>
          <t>General</t>
        </is>
      </c>
      <c r="F7555" s="5" t="n">
        <v>737</v>
      </c>
      <c r="G7555" s="5" t="n">
        <v>3446</v>
      </c>
      <c r="H7555" s="5" t="n">
        <v>465</v>
      </c>
      <c r="I7555" s="5" t="n">
        <v>270</v>
      </c>
      <c r="J7555" s="5" t="n">
        <v>193</v>
      </c>
      <c r="K7555" s="10">
        <f>IF(F7555&gt;0,H7555/F7555,"")</f>
        <v/>
      </c>
      <c r="L7555" s="16">
        <f>IF(AND(G7555&gt;0,H7555&gt;0),G7555/H7555,"")</f>
        <v/>
      </c>
    </row>
    <row r="7556">
      <c r="A7556" s="4" t="inlineStr">
        <is>
          <t>471</t>
        </is>
      </c>
      <c r="B7556" s="4" t="n">
        <v>4</v>
      </c>
      <c r="C7556" s="4" t="inlineStr">
        <is>
          <t>mule deer</t>
        </is>
      </c>
      <c r="D7556" s="4" t="n">
        <v>2009</v>
      </c>
      <c r="E7556" s="13" t="inlineStr">
        <is>
          <t>General</t>
        </is>
      </c>
      <c r="F7556" s="5" t="n">
        <v>650</v>
      </c>
      <c r="G7556" s="5" t="n">
        <v>2219</v>
      </c>
      <c r="H7556" s="5" t="n">
        <v>369</v>
      </c>
      <c r="I7556" s="5" t="n">
        <v>221</v>
      </c>
      <c r="J7556" s="5" t="n">
        <v>145</v>
      </c>
      <c r="K7556" s="10">
        <f>IF(F7556&gt;0,H7556/F7556,"")</f>
        <v/>
      </c>
      <c r="L7556" s="16">
        <f>IF(AND(G7556&gt;0,H7556&gt;0),G7556/H7556,"")</f>
        <v/>
      </c>
    </row>
    <row r="7557">
      <c r="A7557" s="4" t="inlineStr">
        <is>
          <t>471</t>
        </is>
      </c>
      <c r="B7557" s="4" t="n">
        <v>4</v>
      </c>
      <c r="C7557" s="4" t="inlineStr">
        <is>
          <t>mule deer</t>
        </is>
      </c>
      <c r="D7557" s="4" t="n">
        <v>2010</v>
      </c>
      <c r="E7557" s="13" t="inlineStr">
        <is>
          <t>General</t>
        </is>
      </c>
      <c r="F7557" s="5" t="n">
        <v>541</v>
      </c>
      <c r="G7557" s="5" t="n">
        <v>2057</v>
      </c>
      <c r="H7557" s="5" t="n">
        <v>198</v>
      </c>
      <c r="I7557" s="5" t="n">
        <v>175</v>
      </c>
      <c r="J7557" s="5" t="n">
        <v>23</v>
      </c>
      <c r="K7557" s="10">
        <f>IF(F7557&gt;0,H7557/F7557,"")</f>
        <v/>
      </c>
      <c r="L7557" s="16">
        <f>IF(AND(G7557&gt;0,H7557&gt;0),G7557/H7557,"")</f>
        <v/>
      </c>
    </row>
    <row r="7558">
      <c r="A7558" s="4" t="inlineStr">
        <is>
          <t>471</t>
        </is>
      </c>
      <c r="B7558" s="4" t="n">
        <v>4</v>
      </c>
      <c r="C7558" s="4" t="inlineStr">
        <is>
          <t>mule deer</t>
        </is>
      </c>
      <c r="D7558" s="4" t="n">
        <v>2011</v>
      </c>
      <c r="E7558" s="13" t="inlineStr">
        <is>
          <t>General</t>
        </is>
      </c>
      <c r="F7558" s="5" t="n">
        <v>548</v>
      </c>
      <c r="G7558" s="5" t="n">
        <v>2106</v>
      </c>
      <c r="H7558" s="5" t="n">
        <v>203</v>
      </c>
      <c r="I7558" s="5" t="n">
        <v>182</v>
      </c>
      <c r="J7558" s="5" t="n">
        <v>21</v>
      </c>
      <c r="K7558" s="10">
        <f>IF(F7558&gt;0,H7558/F7558,"")</f>
        <v/>
      </c>
      <c r="L7558" s="16">
        <f>IF(AND(G7558&gt;0,H7558&gt;0),G7558/H7558,"")</f>
        <v/>
      </c>
    </row>
    <row r="7559">
      <c r="A7559" s="4" t="inlineStr">
        <is>
          <t>471</t>
        </is>
      </c>
      <c r="B7559" s="4" t="n">
        <v>4</v>
      </c>
      <c r="C7559" s="4" t="inlineStr">
        <is>
          <t>mule deer</t>
        </is>
      </c>
      <c r="D7559" s="4" t="n">
        <v>2012</v>
      </c>
      <c r="E7559" s="13" t="inlineStr">
        <is>
          <t>General</t>
        </is>
      </c>
      <c r="F7559" s="5" t="n"/>
      <c r="G7559" s="5" t="n"/>
      <c r="H7559" s="5" t="n">
        <v>186</v>
      </c>
      <c r="I7559" s="5" t="n">
        <v>170</v>
      </c>
      <c r="J7559" s="5" t="n">
        <v>16</v>
      </c>
      <c r="K7559" s="10">
        <f>IF(F7559&gt;0,H7559/F7559,"")</f>
        <v/>
      </c>
      <c r="L7559" s="16">
        <f>IF(AND(G7559&gt;0,H7559&gt;0),G7559/H7559,"")</f>
        <v/>
      </c>
    </row>
    <row r="7560">
      <c r="A7560" s="4" t="inlineStr">
        <is>
          <t>471</t>
        </is>
      </c>
      <c r="B7560" s="4" t="n">
        <v>4</v>
      </c>
      <c r="C7560" s="4" t="inlineStr">
        <is>
          <t>mule deer</t>
        </is>
      </c>
      <c r="D7560" s="4" t="n">
        <v>2013</v>
      </c>
      <c r="E7560" s="13" t="inlineStr">
        <is>
          <t>General</t>
        </is>
      </c>
      <c r="F7560" s="5" t="n">
        <v>549</v>
      </c>
      <c r="G7560" s="5" t="n">
        <v>2010</v>
      </c>
      <c r="H7560" s="5" t="n">
        <v>257</v>
      </c>
      <c r="I7560" s="5" t="n">
        <v>246</v>
      </c>
      <c r="J7560" s="5" t="n">
        <v>10</v>
      </c>
      <c r="K7560" s="10">
        <f>IF(F7560&gt;0,H7560/F7560,"")</f>
        <v/>
      </c>
      <c r="L7560" s="16">
        <f>IF(AND(G7560&gt;0,H7560&gt;0),G7560/H7560,"")</f>
        <v/>
      </c>
    </row>
    <row r="7561">
      <c r="A7561" s="4" t="inlineStr">
        <is>
          <t>471</t>
        </is>
      </c>
      <c r="B7561" s="4" t="n">
        <v>4</v>
      </c>
      <c r="C7561" s="4" t="inlineStr">
        <is>
          <t>mule deer</t>
        </is>
      </c>
      <c r="D7561" s="4" t="n">
        <v>2014</v>
      </c>
      <c r="E7561" s="13" t="inlineStr">
        <is>
          <t>General</t>
        </is>
      </c>
      <c r="F7561" s="5" t="n"/>
      <c r="G7561" s="5" t="n"/>
      <c r="H7561" s="5" t="n">
        <v>224</v>
      </c>
      <c r="I7561" s="5" t="n">
        <v>224</v>
      </c>
      <c r="J7561" s="5" t="n">
        <v>0</v>
      </c>
      <c r="K7561" s="10">
        <f>IF(F7561&gt;0,H7561/F7561,"")</f>
        <v/>
      </c>
      <c r="L7561" s="16">
        <f>IF(AND(G7561&gt;0,H7561&gt;0),G7561/H7561,"")</f>
        <v/>
      </c>
    </row>
    <row r="7562">
      <c r="A7562" s="4" t="inlineStr">
        <is>
          <t>471</t>
        </is>
      </c>
      <c r="B7562" s="4" t="n">
        <v>4</v>
      </c>
      <c r="C7562" s="4" t="inlineStr">
        <is>
          <t>mule deer</t>
        </is>
      </c>
      <c r="D7562" s="4" t="n">
        <v>2015</v>
      </c>
      <c r="E7562" s="13" t="inlineStr">
        <is>
          <t>General</t>
        </is>
      </c>
      <c r="F7562" s="5" t="n"/>
      <c r="G7562" s="5" t="n"/>
      <c r="H7562" s="5" t="n">
        <v>339</v>
      </c>
      <c r="I7562" s="5" t="n">
        <v>336</v>
      </c>
      <c r="J7562" s="5" t="n">
        <v>3</v>
      </c>
      <c r="K7562" s="10">
        <f>IF(F7562&gt;0,H7562/F7562,"")</f>
        <v/>
      </c>
      <c r="L7562" s="16">
        <f>IF(AND(G7562&gt;0,H7562&gt;0),G7562/H7562,"")</f>
        <v/>
      </c>
    </row>
    <row r="7563">
      <c r="A7563" s="4" t="inlineStr">
        <is>
          <t>471</t>
        </is>
      </c>
      <c r="B7563" s="4" t="n">
        <v>4</v>
      </c>
      <c r="C7563" s="4" t="inlineStr">
        <is>
          <t>mule deer</t>
        </is>
      </c>
      <c r="D7563" s="4" t="n">
        <v>2016</v>
      </c>
      <c r="E7563" s="13" t="inlineStr">
        <is>
          <t>General</t>
        </is>
      </c>
      <c r="F7563" s="5" t="n"/>
      <c r="G7563" s="5" t="n"/>
      <c r="H7563" s="5" t="n">
        <v>470</v>
      </c>
      <c r="I7563" s="5" t="n">
        <v>442</v>
      </c>
      <c r="J7563" s="5" t="n">
        <v>29</v>
      </c>
      <c r="K7563" s="10">
        <f>IF(F7563&gt;0,H7563/F7563,"")</f>
        <v/>
      </c>
      <c r="L7563" s="16">
        <f>IF(AND(G7563&gt;0,H7563&gt;0),G7563/H7563,"")</f>
        <v/>
      </c>
    </row>
    <row r="7564">
      <c r="A7564" s="4" t="inlineStr">
        <is>
          <t>471</t>
        </is>
      </c>
      <c r="B7564" s="4" t="n">
        <v>4</v>
      </c>
      <c r="C7564" s="4" t="inlineStr">
        <is>
          <t>mule deer</t>
        </is>
      </c>
      <c r="D7564" s="4" t="n">
        <v>2017</v>
      </c>
      <c r="E7564" s="13" t="inlineStr">
        <is>
          <t>General</t>
        </is>
      </c>
      <c r="F7564" s="5" t="n">
        <v>656</v>
      </c>
      <c r="G7564" s="5" t="n">
        <v>2410</v>
      </c>
      <c r="H7564" s="5" t="n">
        <v>387</v>
      </c>
      <c r="I7564" s="5" t="n">
        <v>363</v>
      </c>
      <c r="J7564" s="5" t="n">
        <v>24</v>
      </c>
      <c r="K7564" s="10">
        <f>IF(F7564&gt;0,H7564/F7564,"")</f>
        <v/>
      </c>
      <c r="L7564" s="16">
        <f>IF(AND(G7564&gt;0,H7564&gt;0),G7564/H7564,"")</f>
        <v/>
      </c>
    </row>
    <row r="7565">
      <c r="A7565" s="4" t="inlineStr">
        <is>
          <t>471</t>
        </is>
      </c>
      <c r="B7565" s="4" t="n">
        <v>4</v>
      </c>
      <c r="C7565" s="4" t="inlineStr">
        <is>
          <t>mule deer</t>
        </is>
      </c>
      <c r="D7565" s="4" t="n">
        <v>2018</v>
      </c>
      <c r="E7565" s="13" t="inlineStr">
        <is>
          <t>General</t>
        </is>
      </c>
      <c r="F7565" s="5" t="n"/>
      <c r="G7565" s="5" t="n"/>
      <c r="H7565" s="5" t="n">
        <v>398</v>
      </c>
      <c r="I7565" s="5" t="n">
        <v>362</v>
      </c>
      <c r="J7565" s="5" t="n">
        <v>37</v>
      </c>
      <c r="K7565" s="10">
        <f>IF(F7565&gt;0,H7565/F7565,"")</f>
        <v/>
      </c>
      <c r="L7565" s="16">
        <f>IF(AND(G7565&gt;0,H7565&gt;0),G7565/H7565,"")</f>
        <v/>
      </c>
    </row>
    <row r="7566">
      <c r="A7566" s="4" t="inlineStr">
        <is>
          <t>471</t>
        </is>
      </c>
      <c r="B7566" s="4" t="n">
        <v>4</v>
      </c>
      <c r="C7566" s="4" t="inlineStr">
        <is>
          <t>mule deer</t>
        </is>
      </c>
      <c r="D7566" s="4" t="n">
        <v>2019</v>
      </c>
      <c r="E7566" s="13" t="inlineStr">
        <is>
          <t>General</t>
        </is>
      </c>
      <c r="F7566" s="5" t="n">
        <v>765</v>
      </c>
      <c r="G7566" s="5" t="n">
        <v>3265</v>
      </c>
      <c r="H7566" s="5" t="n">
        <v>414</v>
      </c>
      <c r="I7566" s="5" t="n">
        <v>368</v>
      </c>
      <c r="J7566" s="5" t="n">
        <v>45</v>
      </c>
      <c r="K7566" s="10">
        <f>IF(F7566&gt;0,H7566/F7566,"")</f>
        <v/>
      </c>
      <c r="L7566" s="16">
        <f>IF(AND(G7566&gt;0,H7566&gt;0),G7566/H7566,"")</f>
        <v/>
      </c>
    </row>
    <row r="7567">
      <c r="A7567" s="4" t="inlineStr">
        <is>
          <t>471</t>
        </is>
      </c>
      <c r="B7567" s="4" t="n">
        <v>4</v>
      </c>
      <c r="C7567" s="4" t="inlineStr">
        <is>
          <t>mule deer</t>
        </is>
      </c>
      <c r="D7567" s="4" t="n">
        <v>2020</v>
      </c>
      <c r="E7567" s="13" t="inlineStr">
        <is>
          <t>General</t>
        </is>
      </c>
      <c r="F7567" s="5" t="n"/>
      <c r="G7567" s="5" t="n"/>
      <c r="H7567" s="5" t="n">
        <v>453</v>
      </c>
      <c r="I7567" s="5" t="n">
        <v>414</v>
      </c>
      <c r="J7567" s="5" t="n">
        <v>40</v>
      </c>
      <c r="K7567" s="10">
        <f>IF(F7567&gt;0,H7567/F7567,"")</f>
        <v/>
      </c>
      <c r="L7567" s="16">
        <f>IF(AND(G7567&gt;0,H7567&gt;0),G7567/H7567,"")</f>
        <v/>
      </c>
    </row>
    <row r="7568">
      <c r="A7568" s="4" t="inlineStr">
        <is>
          <t>471</t>
        </is>
      </c>
      <c r="B7568" s="4" t="n">
        <v>4</v>
      </c>
      <c r="C7568" s="4" t="inlineStr">
        <is>
          <t>mule deer</t>
        </is>
      </c>
      <c r="D7568" s="4" t="n">
        <v>2021</v>
      </c>
      <c r="E7568" s="13" t="inlineStr">
        <is>
          <t>General</t>
        </is>
      </c>
      <c r="F7568" s="5" t="n">
        <v>771</v>
      </c>
      <c r="G7568" s="5" t="n">
        <v>3574</v>
      </c>
      <c r="H7568" s="5" t="n">
        <v>423</v>
      </c>
      <c r="I7568" s="5" t="n">
        <v>366</v>
      </c>
      <c r="J7568" s="5" t="n">
        <v>57</v>
      </c>
      <c r="K7568" s="10">
        <f>IF(F7568&gt;0,H7568/F7568,"")</f>
        <v/>
      </c>
      <c r="L7568" s="16">
        <f>IF(AND(G7568&gt;0,H7568&gt;0),G7568/H7568,"")</f>
        <v/>
      </c>
    </row>
    <row r="7569">
      <c r="A7569" s="4" t="inlineStr">
        <is>
          <t>471</t>
        </is>
      </c>
      <c r="B7569" s="4" t="n">
        <v>4</v>
      </c>
      <c r="C7569" s="4" t="inlineStr">
        <is>
          <t>mule deer</t>
        </is>
      </c>
      <c r="D7569" s="4" t="n">
        <v>2022</v>
      </c>
      <c r="E7569" s="13" t="inlineStr">
        <is>
          <t>General</t>
        </is>
      </c>
      <c r="F7569" s="5" t="n"/>
      <c r="G7569" s="5" t="n"/>
      <c r="H7569" s="5" t="n">
        <v>408</v>
      </c>
      <c r="I7569" s="5" t="n">
        <v>338</v>
      </c>
      <c r="J7569" s="5" t="n">
        <v>70</v>
      </c>
      <c r="K7569" s="10">
        <f>IF(F7569&gt;0,H7569/F7569,"")</f>
        <v/>
      </c>
      <c r="L7569" s="16">
        <f>IF(AND(G7569&gt;0,H7569&gt;0),G7569/H7569,"")</f>
        <v/>
      </c>
    </row>
    <row r="7570">
      <c r="A7570" s="4" t="inlineStr">
        <is>
          <t>471</t>
        </is>
      </c>
      <c r="B7570" s="4" t="n">
        <v>4</v>
      </c>
      <c r="C7570" s="4" t="inlineStr">
        <is>
          <t>mule deer</t>
        </is>
      </c>
      <c r="D7570" s="4" t="n">
        <v>2023</v>
      </c>
      <c r="E7570" s="13" t="inlineStr">
        <is>
          <t>General</t>
        </is>
      </c>
      <c r="F7570" s="5" t="n">
        <v>813</v>
      </c>
      <c r="G7570" s="5" t="n">
        <v>3669</v>
      </c>
      <c r="H7570" s="5" t="n">
        <v>436</v>
      </c>
      <c r="I7570" s="5" t="n">
        <v>394</v>
      </c>
      <c r="J7570" s="5" t="n">
        <v>42</v>
      </c>
      <c r="K7570" s="10">
        <f>IF(F7570&gt;0,H7570/F7570,"")</f>
        <v/>
      </c>
      <c r="L7570" s="16">
        <f>IF(AND(G7570&gt;0,H7570&gt;0),G7570/H7570,"")</f>
        <v/>
      </c>
    </row>
    <row r="7571">
      <c r="A7571" s="4" t="inlineStr">
        <is>
          <t>471</t>
        </is>
      </c>
      <c r="B7571" s="4" t="n">
        <v>4</v>
      </c>
      <c r="C7571" s="4" t="inlineStr">
        <is>
          <t>mule deer</t>
        </is>
      </c>
      <c r="D7571" s="4" t="n">
        <v>2024</v>
      </c>
      <c r="E7571" s="13" t="inlineStr">
        <is>
          <t>General</t>
        </is>
      </c>
      <c r="F7571" s="5" t="n"/>
      <c r="G7571" s="5" t="n"/>
      <c r="H7571" s="5" t="n">
        <v>422</v>
      </c>
      <c r="I7571" s="5" t="n">
        <v>388</v>
      </c>
      <c r="J7571" s="5" t="n">
        <v>34</v>
      </c>
      <c r="K7571" s="10">
        <f>IF(F7571&gt;0,H7571/F7571,"")</f>
        <v/>
      </c>
      <c r="L7571" s="16">
        <f>IF(AND(G7571&gt;0,H7571&gt;0),G7571/H7571,"")</f>
        <v/>
      </c>
    </row>
    <row r="7572">
      <c r="A7572" s="4" t="inlineStr">
        <is>
          <t>471</t>
        </is>
      </c>
      <c r="B7572" s="4" t="n">
        <v>4</v>
      </c>
      <c r="C7572" s="4" t="inlineStr">
        <is>
          <t>mule deer</t>
        </is>
      </c>
      <c r="D7572" s="4" t="n">
        <v>2025</v>
      </c>
      <c r="E7572" s="13" t="inlineStr">
        <is>
          <t>General</t>
        </is>
      </c>
      <c r="F7572" s="5" t="n">
        <v>640</v>
      </c>
      <c r="G7572" s="5" t="n">
        <v>5298</v>
      </c>
      <c r="H7572" s="5" t="n">
        <v>284</v>
      </c>
      <c r="I7572" s="5" t="n">
        <v>266</v>
      </c>
      <c r="J7572" s="5" t="n">
        <v>18</v>
      </c>
      <c r="K7572" s="10">
        <f>IF(F7572&gt;0,H7572/F7572,"")</f>
        <v/>
      </c>
      <c r="L7572" s="16">
        <f>IF(AND(G7572&gt;0,H7572&gt;0),G7572/H7572,"")</f>
        <v/>
      </c>
    </row>
    <row r="7573">
      <c r="A7573" s="4" t="inlineStr">
        <is>
          <t>500</t>
        </is>
      </c>
      <c r="B7573" s="4" t="n">
        <v>5</v>
      </c>
      <c r="C7573" s="4" t="inlineStr">
        <is>
          <t>mule deer</t>
        </is>
      </c>
      <c r="D7573" s="4" t="n">
        <v>2004</v>
      </c>
      <c r="E7573" s="4" t="inlineStr"/>
      <c r="F7573" s="5" t="n">
        <v>1653</v>
      </c>
      <c r="G7573" s="5" t="n">
        <v>5889</v>
      </c>
      <c r="H7573" s="5" t="n">
        <v>775</v>
      </c>
      <c r="I7573" s="5" t="n">
        <v>485</v>
      </c>
      <c r="J7573" s="5" t="n">
        <v>278</v>
      </c>
      <c r="K7573" s="10">
        <f>IF(F7573&gt;0,H7573/F7573,"")</f>
        <v/>
      </c>
      <c r="L7573" s="16">
        <f>IF(AND(G7573&gt;0,H7573&gt;0),G7573/H7573,"")</f>
        <v/>
      </c>
    </row>
    <row r="7574">
      <c r="A7574" s="4" t="inlineStr">
        <is>
          <t>500</t>
        </is>
      </c>
      <c r="B7574" s="4" t="n">
        <v>5</v>
      </c>
      <c r="C7574" s="4" t="inlineStr">
        <is>
          <t>mule deer</t>
        </is>
      </c>
      <c r="D7574" s="4" t="n">
        <v>2005</v>
      </c>
      <c r="E7574" s="4" t="inlineStr"/>
      <c r="F7574" s="5" t="n">
        <v>1340</v>
      </c>
      <c r="G7574" s="5" t="n">
        <v>5472</v>
      </c>
      <c r="H7574" s="5" t="n">
        <v>468</v>
      </c>
      <c r="I7574" s="5" t="n">
        <v>401</v>
      </c>
      <c r="J7574" s="5" t="n">
        <v>62</v>
      </c>
      <c r="K7574" s="10">
        <f>IF(F7574&gt;0,H7574/F7574,"")</f>
        <v/>
      </c>
      <c r="L7574" s="16">
        <f>IF(AND(G7574&gt;0,H7574&gt;0),G7574/H7574,"")</f>
        <v/>
      </c>
    </row>
    <row r="7575">
      <c r="A7575" s="4" t="inlineStr">
        <is>
          <t>500</t>
        </is>
      </c>
      <c r="B7575" s="4" t="n">
        <v>5</v>
      </c>
      <c r="C7575" s="4" t="inlineStr">
        <is>
          <t>mule deer</t>
        </is>
      </c>
      <c r="D7575" s="4" t="n">
        <v>2006</v>
      </c>
      <c r="E7575" s="4" t="inlineStr"/>
      <c r="F7575" s="5" t="n">
        <v>1320</v>
      </c>
      <c r="G7575" s="5" t="n">
        <v>5986</v>
      </c>
      <c r="H7575" s="5" t="n">
        <v>545</v>
      </c>
      <c r="I7575" s="5" t="n">
        <v>470</v>
      </c>
      <c r="J7575" s="5" t="n">
        <v>69</v>
      </c>
      <c r="K7575" s="10">
        <f>IF(F7575&gt;0,H7575/F7575,"")</f>
        <v/>
      </c>
      <c r="L7575" s="16">
        <f>IF(AND(G7575&gt;0,H7575&gt;0),G7575/H7575,"")</f>
        <v/>
      </c>
    </row>
    <row r="7576">
      <c r="A7576" s="4" t="inlineStr">
        <is>
          <t>500</t>
        </is>
      </c>
      <c r="B7576" s="4" t="n">
        <v>5</v>
      </c>
      <c r="C7576" s="4" t="inlineStr">
        <is>
          <t>mule deer</t>
        </is>
      </c>
      <c r="D7576" s="4" t="n">
        <v>2007</v>
      </c>
      <c r="E7576" s="4" t="inlineStr"/>
      <c r="F7576" s="5" t="n">
        <v>1526</v>
      </c>
      <c r="G7576" s="5" t="n">
        <v>6433</v>
      </c>
      <c r="H7576" s="5" t="n">
        <v>695</v>
      </c>
      <c r="I7576" s="5" t="n">
        <v>604</v>
      </c>
      <c r="J7576" s="5" t="n">
        <v>92</v>
      </c>
      <c r="K7576" s="10">
        <f>IF(F7576&gt;0,H7576/F7576,"")</f>
        <v/>
      </c>
      <c r="L7576" s="16">
        <f>IF(AND(G7576&gt;0,H7576&gt;0),G7576/H7576,"")</f>
        <v/>
      </c>
    </row>
    <row r="7577">
      <c r="A7577" s="4" t="inlineStr">
        <is>
          <t>500</t>
        </is>
      </c>
      <c r="B7577" s="4" t="n">
        <v>5</v>
      </c>
      <c r="C7577" s="4" t="inlineStr">
        <is>
          <t>mule deer</t>
        </is>
      </c>
      <c r="D7577" s="4" t="n">
        <v>2008</v>
      </c>
      <c r="E7577" s="4" t="inlineStr"/>
      <c r="F7577" s="5" t="n">
        <v>1738</v>
      </c>
      <c r="G7577" s="5" t="n">
        <v>7324</v>
      </c>
      <c r="H7577" s="5" t="n">
        <v>738</v>
      </c>
      <c r="I7577" s="5" t="n">
        <v>523</v>
      </c>
      <c r="J7577" s="5" t="n">
        <v>214</v>
      </c>
      <c r="K7577" s="10">
        <f>IF(F7577&gt;0,H7577/F7577,"")</f>
        <v/>
      </c>
      <c r="L7577" s="16">
        <f>IF(AND(G7577&gt;0,H7577&gt;0),G7577/H7577,"")</f>
        <v/>
      </c>
    </row>
    <row r="7578">
      <c r="A7578" s="4" t="inlineStr">
        <is>
          <t>500</t>
        </is>
      </c>
      <c r="B7578" s="4" t="n">
        <v>5</v>
      </c>
      <c r="C7578" s="4" t="inlineStr">
        <is>
          <t>mule deer</t>
        </is>
      </c>
      <c r="D7578" s="4" t="n">
        <v>2009</v>
      </c>
      <c r="E7578" s="4" t="inlineStr"/>
      <c r="F7578" s="5" t="n">
        <v>1974</v>
      </c>
      <c r="G7578" s="5" t="n">
        <v>8482</v>
      </c>
      <c r="H7578" s="5" t="n">
        <v>835</v>
      </c>
      <c r="I7578" s="5" t="n">
        <v>596</v>
      </c>
      <c r="J7578" s="5" t="n">
        <v>230</v>
      </c>
      <c r="K7578" s="10">
        <f>IF(F7578&gt;0,H7578/F7578,"")</f>
        <v/>
      </c>
      <c r="L7578" s="16">
        <f>IF(AND(G7578&gt;0,H7578&gt;0),G7578/H7578,"")</f>
        <v/>
      </c>
    </row>
    <row r="7579">
      <c r="A7579" s="4" t="inlineStr">
        <is>
          <t>500</t>
        </is>
      </c>
      <c r="B7579" s="4" t="n">
        <v>5</v>
      </c>
      <c r="C7579" s="4" t="inlineStr">
        <is>
          <t>mule deer</t>
        </is>
      </c>
      <c r="D7579" s="4" t="n">
        <v>2010</v>
      </c>
      <c r="E7579" s="4" t="inlineStr"/>
      <c r="F7579" s="5" t="n">
        <v>1793</v>
      </c>
      <c r="G7579" s="5" t="n">
        <v>7966</v>
      </c>
      <c r="H7579" s="5" t="n">
        <v>652</v>
      </c>
      <c r="I7579" s="5" t="n">
        <v>430</v>
      </c>
      <c r="J7579" s="5" t="n">
        <v>211</v>
      </c>
      <c r="K7579" s="10">
        <f>IF(F7579&gt;0,H7579/F7579,"")</f>
        <v/>
      </c>
      <c r="L7579" s="16">
        <f>IF(AND(G7579&gt;0,H7579&gt;0),G7579/H7579,"")</f>
        <v/>
      </c>
    </row>
    <row r="7580">
      <c r="A7580" s="4" t="inlineStr">
        <is>
          <t>500</t>
        </is>
      </c>
      <c r="B7580" s="4" t="n">
        <v>5</v>
      </c>
      <c r="C7580" s="4" t="inlineStr">
        <is>
          <t>mule deer</t>
        </is>
      </c>
      <c r="D7580" s="4" t="n">
        <v>2011</v>
      </c>
      <c r="E7580" s="4" t="inlineStr"/>
      <c r="F7580" s="5" t="n">
        <v>2073</v>
      </c>
      <c r="G7580" s="5" t="n">
        <v>9102</v>
      </c>
      <c r="H7580" s="5" t="n">
        <v>820</v>
      </c>
      <c r="I7580" s="5" t="n">
        <v>492</v>
      </c>
      <c r="J7580" s="5" t="n">
        <v>315</v>
      </c>
      <c r="K7580" s="10">
        <f>IF(F7580&gt;0,H7580/F7580,"")</f>
        <v/>
      </c>
      <c r="L7580" s="16">
        <f>IF(AND(G7580&gt;0,H7580&gt;0),G7580/H7580,"")</f>
        <v/>
      </c>
    </row>
    <row r="7581">
      <c r="A7581" s="4" t="inlineStr">
        <is>
          <t>500</t>
        </is>
      </c>
      <c r="B7581" s="4" t="n">
        <v>5</v>
      </c>
      <c r="C7581" s="4" t="inlineStr">
        <is>
          <t>mule deer</t>
        </is>
      </c>
      <c r="D7581" s="4" t="n">
        <v>2012</v>
      </c>
      <c r="E7581" s="4" t="inlineStr"/>
      <c r="F7581" s="5" t="n"/>
      <c r="G7581" s="5" t="n"/>
      <c r="H7581" s="5" t="n">
        <v>811</v>
      </c>
      <c r="I7581" s="5" t="n">
        <v>636</v>
      </c>
      <c r="J7581" s="5" t="n">
        <v>169</v>
      </c>
      <c r="K7581" s="10">
        <f>IF(F7581&gt;0,H7581/F7581,"")</f>
        <v/>
      </c>
      <c r="L7581" s="16">
        <f>IF(AND(G7581&gt;0,H7581&gt;0),G7581/H7581,"")</f>
        <v/>
      </c>
    </row>
    <row r="7582">
      <c r="A7582" s="4" t="inlineStr">
        <is>
          <t>500</t>
        </is>
      </c>
      <c r="B7582" s="4" t="n">
        <v>5</v>
      </c>
      <c r="C7582" s="4" t="inlineStr">
        <is>
          <t>mule deer</t>
        </is>
      </c>
      <c r="D7582" s="4" t="n">
        <v>2013</v>
      </c>
      <c r="E7582" s="4" t="inlineStr"/>
      <c r="F7582" s="5" t="n">
        <v>2173</v>
      </c>
      <c r="G7582" s="5" t="n">
        <v>10602</v>
      </c>
      <c r="H7582" s="5" t="n">
        <v>657</v>
      </c>
      <c r="I7582" s="5" t="n">
        <v>515</v>
      </c>
      <c r="J7582" s="5" t="n">
        <v>135</v>
      </c>
      <c r="K7582" s="10">
        <f>IF(F7582&gt;0,H7582/F7582,"")</f>
        <v/>
      </c>
      <c r="L7582" s="16">
        <f>IF(AND(G7582&gt;0,H7582&gt;0),G7582/H7582,"")</f>
        <v/>
      </c>
    </row>
    <row r="7583">
      <c r="A7583" s="4" t="inlineStr">
        <is>
          <t>500</t>
        </is>
      </c>
      <c r="B7583" s="4" t="n">
        <v>5</v>
      </c>
      <c r="C7583" s="4" t="inlineStr">
        <is>
          <t>mule deer</t>
        </is>
      </c>
      <c r="D7583" s="4" t="n">
        <v>2014</v>
      </c>
      <c r="E7583" s="4" t="inlineStr"/>
      <c r="F7583" s="5" t="n"/>
      <c r="G7583" s="5" t="n"/>
      <c r="H7583" s="5" t="n">
        <v>487</v>
      </c>
      <c r="I7583" s="5" t="n">
        <v>487</v>
      </c>
      <c r="J7583" s="5" t="n">
        <v>0</v>
      </c>
      <c r="K7583" s="10">
        <f>IF(F7583&gt;0,H7583/F7583,"")</f>
        <v/>
      </c>
      <c r="L7583" s="16">
        <f>IF(AND(G7583&gt;0,H7583&gt;0),G7583/H7583,"")</f>
        <v/>
      </c>
    </row>
    <row r="7584">
      <c r="A7584" s="4" t="inlineStr">
        <is>
          <t>500</t>
        </is>
      </c>
      <c r="B7584" s="4" t="n">
        <v>5</v>
      </c>
      <c r="C7584" s="4" t="inlineStr">
        <is>
          <t>mule deer</t>
        </is>
      </c>
      <c r="D7584" s="4" t="n">
        <v>2015</v>
      </c>
      <c r="E7584" s="4" t="inlineStr"/>
      <c r="F7584" s="5" t="n"/>
      <c r="G7584" s="5" t="n"/>
      <c r="H7584" s="5" t="n">
        <v>708</v>
      </c>
      <c r="I7584" s="5" t="n">
        <v>697</v>
      </c>
      <c r="J7584" s="5" t="n">
        <v>12</v>
      </c>
      <c r="K7584" s="10">
        <f>IF(F7584&gt;0,H7584/F7584,"")</f>
        <v/>
      </c>
      <c r="L7584" s="16">
        <f>IF(AND(G7584&gt;0,H7584&gt;0),G7584/H7584,"")</f>
        <v/>
      </c>
    </row>
    <row r="7585">
      <c r="A7585" s="4" t="inlineStr">
        <is>
          <t>500</t>
        </is>
      </c>
      <c r="B7585" s="4" t="n">
        <v>5</v>
      </c>
      <c r="C7585" s="4" t="inlineStr">
        <is>
          <t>mule deer</t>
        </is>
      </c>
      <c r="D7585" s="4" t="n">
        <v>2016</v>
      </c>
      <c r="E7585" s="4" t="inlineStr"/>
      <c r="F7585" s="5" t="n"/>
      <c r="G7585" s="5" t="n"/>
      <c r="H7585" s="5" t="n">
        <v>939</v>
      </c>
      <c r="I7585" s="5" t="n">
        <v>704</v>
      </c>
      <c r="J7585" s="5" t="n">
        <v>229</v>
      </c>
      <c r="K7585" s="10">
        <f>IF(F7585&gt;0,H7585/F7585,"")</f>
        <v/>
      </c>
      <c r="L7585" s="16">
        <f>IF(AND(G7585&gt;0,H7585&gt;0),G7585/H7585,"")</f>
        <v/>
      </c>
    </row>
    <row r="7586">
      <c r="A7586" s="4" t="inlineStr">
        <is>
          <t>500</t>
        </is>
      </c>
      <c r="B7586" s="4" t="n">
        <v>5</v>
      </c>
      <c r="C7586" s="4" t="inlineStr">
        <is>
          <t>mule deer</t>
        </is>
      </c>
      <c r="D7586" s="4" t="n">
        <v>2017</v>
      </c>
      <c r="E7586" s="4" t="inlineStr"/>
      <c r="F7586" s="5" t="n">
        <v>2291</v>
      </c>
      <c r="G7586" s="5" t="n">
        <v>10642</v>
      </c>
      <c r="H7586" s="5" t="n">
        <v>1223</v>
      </c>
      <c r="I7586" s="5" t="n">
        <v>858</v>
      </c>
      <c r="J7586" s="5" t="n">
        <v>339</v>
      </c>
      <c r="K7586" s="10">
        <f>IF(F7586&gt;0,H7586/F7586,"")</f>
        <v/>
      </c>
      <c r="L7586" s="16">
        <f>IF(AND(G7586&gt;0,H7586&gt;0),G7586/H7586,"")</f>
        <v/>
      </c>
    </row>
    <row r="7587">
      <c r="A7587" s="4" t="inlineStr">
        <is>
          <t>500</t>
        </is>
      </c>
      <c r="B7587" s="4" t="n">
        <v>5</v>
      </c>
      <c r="C7587" s="4" t="inlineStr">
        <is>
          <t>mule deer</t>
        </is>
      </c>
      <c r="D7587" s="4" t="n">
        <v>2018</v>
      </c>
      <c r="E7587" s="4" t="inlineStr"/>
      <c r="F7587" s="5" t="n"/>
      <c r="G7587" s="5" t="n"/>
      <c r="H7587" s="5" t="n">
        <v>1003</v>
      </c>
      <c r="I7587" s="5" t="n">
        <v>671</v>
      </c>
      <c r="J7587" s="5" t="n">
        <v>321</v>
      </c>
      <c r="K7587" s="10">
        <f>IF(F7587&gt;0,H7587/F7587,"")</f>
        <v/>
      </c>
      <c r="L7587" s="16">
        <f>IF(AND(G7587&gt;0,H7587&gt;0),G7587/H7587,"")</f>
        <v/>
      </c>
    </row>
    <row r="7588">
      <c r="A7588" s="4" t="inlineStr">
        <is>
          <t>500</t>
        </is>
      </c>
      <c r="B7588" s="4" t="n">
        <v>5</v>
      </c>
      <c r="C7588" s="4" t="inlineStr">
        <is>
          <t>mule deer</t>
        </is>
      </c>
      <c r="D7588" s="4" t="n">
        <v>2019</v>
      </c>
      <c r="E7588" s="4" t="inlineStr"/>
      <c r="F7588" s="5" t="n">
        <v>2232</v>
      </c>
      <c r="G7588" s="5" t="n">
        <v>10813</v>
      </c>
      <c r="H7588" s="5" t="n">
        <v>1048</v>
      </c>
      <c r="I7588" s="5" t="n">
        <v>710</v>
      </c>
      <c r="J7588" s="5" t="n">
        <v>315</v>
      </c>
      <c r="K7588" s="10">
        <f>IF(F7588&gt;0,H7588/F7588,"")</f>
        <v/>
      </c>
      <c r="L7588" s="16">
        <f>IF(AND(G7588&gt;0,H7588&gt;0),G7588/H7588,"")</f>
        <v/>
      </c>
    </row>
    <row r="7589">
      <c r="A7589" s="4" t="inlineStr">
        <is>
          <t>500</t>
        </is>
      </c>
      <c r="B7589" s="4" t="n">
        <v>5</v>
      </c>
      <c r="C7589" s="4" t="inlineStr">
        <is>
          <t>mule deer</t>
        </is>
      </c>
      <c r="D7589" s="4" t="n">
        <v>2020</v>
      </c>
      <c r="E7589" s="4" t="inlineStr"/>
      <c r="F7589" s="5" t="n"/>
      <c r="G7589" s="5" t="n"/>
      <c r="H7589" s="5" t="n">
        <v>909</v>
      </c>
      <c r="I7589" s="5" t="n">
        <v>650</v>
      </c>
      <c r="J7589" s="5" t="n">
        <v>255</v>
      </c>
      <c r="K7589" s="10">
        <f>IF(F7589&gt;0,H7589/F7589,"")</f>
        <v/>
      </c>
      <c r="L7589" s="16">
        <f>IF(AND(G7589&gt;0,H7589&gt;0),G7589/H7589,"")</f>
        <v/>
      </c>
    </row>
    <row r="7590">
      <c r="A7590" s="4" t="inlineStr">
        <is>
          <t>500</t>
        </is>
      </c>
      <c r="B7590" s="4" t="n">
        <v>5</v>
      </c>
      <c r="C7590" s="4" t="inlineStr">
        <is>
          <t>mule deer</t>
        </is>
      </c>
      <c r="D7590" s="4" t="n">
        <v>2021</v>
      </c>
      <c r="E7590" s="4" t="inlineStr"/>
      <c r="F7590" s="5" t="n">
        <v>2071</v>
      </c>
      <c r="G7590" s="5" t="n">
        <v>10264</v>
      </c>
      <c r="H7590" s="5" t="n">
        <v>751</v>
      </c>
      <c r="I7590" s="5" t="n">
        <v>479</v>
      </c>
      <c r="J7590" s="5" t="n">
        <v>257</v>
      </c>
      <c r="K7590" s="10">
        <f>IF(F7590&gt;0,H7590/F7590,"")</f>
        <v/>
      </c>
      <c r="L7590" s="16">
        <f>IF(AND(G7590&gt;0,H7590&gt;0),G7590/H7590,"")</f>
        <v/>
      </c>
    </row>
    <row r="7591">
      <c r="A7591" s="4" t="inlineStr">
        <is>
          <t>502</t>
        </is>
      </c>
      <c r="B7591" s="4" t="n">
        <v>5</v>
      </c>
      <c r="C7591" s="4" t="inlineStr">
        <is>
          <t>mule deer</t>
        </is>
      </c>
      <c r="D7591" s="4" t="n">
        <v>2004</v>
      </c>
      <c r="E7591" s="13" t="inlineStr">
        <is>
          <t>General</t>
        </is>
      </c>
      <c r="F7591" s="5" t="n">
        <v>1986</v>
      </c>
      <c r="G7591" s="5" t="n">
        <v>8812</v>
      </c>
      <c r="H7591" s="5" t="n">
        <v>824</v>
      </c>
      <c r="I7591" s="5" t="n">
        <v>532</v>
      </c>
      <c r="J7591" s="5" t="n">
        <v>288</v>
      </c>
      <c r="K7591" s="10">
        <f>IF(F7591&gt;0,H7591/F7591,"")</f>
        <v/>
      </c>
      <c r="L7591" s="16">
        <f>IF(AND(G7591&gt;0,H7591&gt;0),G7591/H7591,"")</f>
        <v/>
      </c>
    </row>
    <row r="7592">
      <c r="A7592" s="4" t="inlineStr">
        <is>
          <t>502</t>
        </is>
      </c>
      <c r="B7592" s="4" t="n">
        <v>5</v>
      </c>
      <c r="C7592" s="4" t="inlineStr">
        <is>
          <t>mule deer</t>
        </is>
      </c>
      <c r="D7592" s="4" t="n">
        <v>2005</v>
      </c>
      <c r="E7592" s="13" t="inlineStr">
        <is>
          <t>General</t>
        </is>
      </c>
      <c r="F7592" s="5" t="n">
        <v>2161</v>
      </c>
      <c r="G7592" s="5" t="n">
        <v>9359</v>
      </c>
      <c r="H7592" s="5" t="n">
        <v>856</v>
      </c>
      <c r="I7592" s="5" t="n">
        <v>562</v>
      </c>
      <c r="J7592" s="5" t="n">
        <v>281</v>
      </c>
      <c r="K7592" s="10">
        <f>IF(F7592&gt;0,H7592/F7592,"")</f>
        <v/>
      </c>
      <c r="L7592" s="16">
        <f>IF(AND(G7592&gt;0,H7592&gt;0),G7592/H7592,"")</f>
        <v/>
      </c>
    </row>
    <row r="7593">
      <c r="A7593" s="4" t="inlineStr">
        <is>
          <t>502</t>
        </is>
      </c>
      <c r="B7593" s="4" t="n">
        <v>5</v>
      </c>
      <c r="C7593" s="4" t="inlineStr">
        <is>
          <t>mule deer</t>
        </is>
      </c>
      <c r="D7593" s="4" t="n">
        <v>2006</v>
      </c>
      <c r="E7593" s="13" t="inlineStr">
        <is>
          <t>General</t>
        </is>
      </c>
      <c r="F7593" s="5" t="n">
        <v>1862</v>
      </c>
      <c r="G7593" s="5" t="n">
        <v>7871</v>
      </c>
      <c r="H7593" s="5" t="n">
        <v>773</v>
      </c>
      <c r="I7593" s="5" t="n">
        <v>535</v>
      </c>
      <c r="J7593" s="5" t="n">
        <v>229</v>
      </c>
      <c r="K7593" s="10">
        <f>IF(F7593&gt;0,H7593/F7593,"")</f>
        <v/>
      </c>
      <c r="L7593" s="16">
        <f>IF(AND(G7593&gt;0,H7593&gt;0),G7593/H7593,"")</f>
        <v/>
      </c>
    </row>
    <row r="7594">
      <c r="A7594" s="4" t="inlineStr">
        <is>
          <t>502</t>
        </is>
      </c>
      <c r="B7594" s="4" t="n">
        <v>5</v>
      </c>
      <c r="C7594" s="4" t="inlineStr">
        <is>
          <t>mule deer</t>
        </is>
      </c>
      <c r="D7594" s="4" t="n">
        <v>2007</v>
      </c>
      <c r="E7594" s="13" t="inlineStr">
        <is>
          <t>General</t>
        </is>
      </c>
      <c r="F7594" s="5" t="n">
        <v>1808</v>
      </c>
      <c r="G7594" s="5" t="n">
        <v>7757</v>
      </c>
      <c r="H7594" s="5" t="n">
        <v>838</v>
      </c>
      <c r="I7594" s="5" t="n">
        <v>551</v>
      </c>
      <c r="J7594" s="5" t="n">
        <v>279</v>
      </c>
      <c r="K7594" s="10">
        <f>IF(F7594&gt;0,H7594/F7594,"")</f>
        <v/>
      </c>
      <c r="L7594" s="16">
        <f>IF(AND(G7594&gt;0,H7594&gt;0),G7594/H7594,"")</f>
        <v/>
      </c>
    </row>
    <row r="7595">
      <c r="A7595" s="4" t="inlineStr">
        <is>
          <t>502</t>
        </is>
      </c>
      <c r="B7595" s="4" t="n">
        <v>5</v>
      </c>
      <c r="C7595" s="4" t="inlineStr">
        <is>
          <t>mule deer</t>
        </is>
      </c>
      <c r="D7595" s="4" t="n">
        <v>2008</v>
      </c>
      <c r="E7595" s="13" t="inlineStr">
        <is>
          <t>General</t>
        </is>
      </c>
      <c r="F7595" s="5" t="n">
        <v>2097</v>
      </c>
      <c r="G7595" s="5" t="n">
        <v>8835</v>
      </c>
      <c r="H7595" s="5" t="n">
        <v>967</v>
      </c>
      <c r="I7595" s="5" t="n">
        <v>600</v>
      </c>
      <c r="J7595" s="5" t="n">
        <v>363</v>
      </c>
      <c r="K7595" s="10">
        <f>IF(F7595&gt;0,H7595/F7595,"")</f>
        <v/>
      </c>
      <c r="L7595" s="16">
        <f>IF(AND(G7595&gt;0,H7595&gt;0),G7595/H7595,"")</f>
        <v/>
      </c>
    </row>
    <row r="7596">
      <c r="A7596" s="4" t="inlineStr">
        <is>
          <t>502</t>
        </is>
      </c>
      <c r="B7596" s="4" t="n">
        <v>5</v>
      </c>
      <c r="C7596" s="4" t="inlineStr">
        <is>
          <t>mule deer</t>
        </is>
      </c>
      <c r="D7596" s="4" t="n">
        <v>2009</v>
      </c>
      <c r="E7596" s="13" t="inlineStr">
        <is>
          <t>General</t>
        </is>
      </c>
      <c r="F7596" s="5" t="n">
        <v>2099</v>
      </c>
      <c r="G7596" s="5" t="n">
        <v>8710</v>
      </c>
      <c r="H7596" s="5" t="n">
        <v>896</v>
      </c>
      <c r="I7596" s="5" t="n">
        <v>510</v>
      </c>
      <c r="J7596" s="5" t="n">
        <v>378</v>
      </c>
      <c r="K7596" s="10">
        <f>IF(F7596&gt;0,H7596/F7596,"")</f>
        <v/>
      </c>
      <c r="L7596" s="16">
        <f>IF(AND(G7596&gt;0,H7596&gt;0),G7596/H7596,"")</f>
        <v/>
      </c>
    </row>
    <row r="7597">
      <c r="A7597" s="4" t="inlineStr">
        <is>
          <t>502</t>
        </is>
      </c>
      <c r="B7597" s="4" t="n">
        <v>5</v>
      </c>
      <c r="C7597" s="4" t="inlineStr">
        <is>
          <t>mule deer</t>
        </is>
      </c>
      <c r="D7597" s="4" t="n">
        <v>2010</v>
      </c>
      <c r="E7597" s="13" t="inlineStr">
        <is>
          <t>General</t>
        </is>
      </c>
      <c r="F7597" s="5" t="n">
        <v>2030</v>
      </c>
      <c r="G7597" s="5" t="n">
        <v>8860</v>
      </c>
      <c r="H7597" s="5" t="n">
        <v>746</v>
      </c>
      <c r="I7597" s="5" t="n">
        <v>425</v>
      </c>
      <c r="J7597" s="5" t="n">
        <v>318</v>
      </c>
      <c r="K7597" s="10">
        <f>IF(F7597&gt;0,H7597/F7597,"")</f>
        <v/>
      </c>
      <c r="L7597" s="16">
        <f>IF(AND(G7597&gt;0,H7597&gt;0),G7597/H7597,"")</f>
        <v/>
      </c>
    </row>
    <row r="7598">
      <c r="A7598" s="4" t="inlineStr">
        <is>
          <t>502</t>
        </is>
      </c>
      <c r="B7598" s="4" t="n">
        <v>5</v>
      </c>
      <c r="C7598" s="4" t="inlineStr">
        <is>
          <t>mule deer</t>
        </is>
      </c>
      <c r="D7598" s="4" t="n">
        <v>2011</v>
      </c>
      <c r="E7598" s="13" t="inlineStr">
        <is>
          <t>General</t>
        </is>
      </c>
      <c r="F7598" s="5" t="n">
        <v>1909</v>
      </c>
      <c r="G7598" s="5" t="n">
        <v>8484</v>
      </c>
      <c r="H7598" s="5" t="n">
        <v>701</v>
      </c>
      <c r="I7598" s="5" t="n">
        <v>353</v>
      </c>
      <c r="J7598" s="5" t="n">
        <v>339</v>
      </c>
      <c r="K7598" s="10">
        <f>IF(F7598&gt;0,H7598/F7598,"")</f>
        <v/>
      </c>
      <c r="L7598" s="16">
        <f>IF(AND(G7598&gt;0,H7598&gt;0),G7598/H7598,"")</f>
        <v/>
      </c>
    </row>
    <row r="7599">
      <c r="A7599" s="4" t="inlineStr">
        <is>
          <t>502</t>
        </is>
      </c>
      <c r="B7599" s="4" t="n">
        <v>5</v>
      </c>
      <c r="C7599" s="4" t="inlineStr">
        <is>
          <t>mule deer</t>
        </is>
      </c>
      <c r="D7599" s="4" t="n">
        <v>2012</v>
      </c>
      <c r="E7599" s="13" t="inlineStr">
        <is>
          <t>General</t>
        </is>
      </c>
      <c r="F7599" s="5" t="n"/>
      <c r="G7599" s="5" t="n"/>
      <c r="H7599" s="5" t="n">
        <v>615</v>
      </c>
      <c r="I7599" s="5" t="n">
        <v>402</v>
      </c>
      <c r="J7599" s="5" t="n">
        <v>212</v>
      </c>
      <c r="K7599" s="10">
        <f>IF(F7599&gt;0,H7599/F7599,"")</f>
        <v/>
      </c>
      <c r="L7599" s="16">
        <f>IF(AND(G7599&gt;0,H7599&gt;0),G7599/H7599,"")</f>
        <v/>
      </c>
    </row>
    <row r="7600">
      <c r="A7600" s="4" t="inlineStr">
        <is>
          <t>502</t>
        </is>
      </c>
      <c r="B7600" s="4" t="n">
        <v>5</v>
      </c>
      <c r="C7600" s="4" t="inlineStr">
        <is>
          <t>mule deer</t>
        </is>
      </c>
      <c r="D7600" s="4" t="n">
        <v>2013</v>
      </c>
      <c r="E7600" s="13" t="inlineStr">
        <is>
          <t>General</t>
        </is>
      </c>
      <c r="F7600" s="5" t="n">
        <v>1794</v>
      </c>
      <c r="G7600" s="5" t="n">
        <v>7615</v>
      </c>
      <c r="H7600" s="5" t="n">
        <v>511</v>
      </c>
      <c r="I7600" s="5" t="n">
        <v>306</v>
      </c>
      <c r="J7600" s="5" t="n">
        <v>204</v>
      </c>
      <c r="K7600" s="10">
        <f>IF(F7600&gt;0,H7600/F7600,"")</f>
        <v/>
      </c>
      <c r="L7600" s="16">
        <f>IF(AND(G7600&gt;0,H7600&gt;0),G7600/H7600,"")</f>
        <v/>
      </c>
    </row>
    <row r="7601">
      <c r="A7601" s="4" t="inlineStr">
        <is>
          <t>502</t>
        </is>
      </c>
      <c r="B7601" s="4" t="n">
        <v>5</v>
      </c>
      <c r="C7601" s="4" t="inlineStr">
        <is>
          <t>mule deer</t>
        </is>
      </c>
      <c r="D7601" s="4" t="n">
        <v>2014</v>
      </c>
      <c r="E7601" s="13" t="inlineStr">
        <is>
          <t>General</t>
        </is>
      </c>
      <c r="F7601" s="5" t="n"/>
      <c r="G7601" s="5" t="n"/>
      <c r="H7601" s="5" t="n">
        <v>372</v>
      </c>
      <c r="I7601" s="5" t="n">
        <v>369</v>
      </c>
      <c r="J7601" s="5" t="n">
        <v>0</v>
      </c>
      <c r="K7601" s="10">
        <f>IF(F7601&gt;0,H7601/F7601,"")</f>
        <v/>
      </c>
      <c r="L7601" s="16">
        <f>IF(AND(G7601&gt;0,H7601&gt;0),G7601/H7601,"")</f>
        <v/>
      </c>
    </row>
    <row r="7602">
      <c r="A7602" s="4" t="inlineStr">
        <is>
          <t>502</t>
        </is>
      </c>
      <c r="B7602" s="4" t="n">
        <v>5</v>
      </c>
      <c r="C7602" s="4" t="inlineStr">
        <is>
          <t>mule deer</t>
        </is>
      </c>
      <c r="D7602" s="4" t="n">
        <v>2015</v>
      </c>
      <c r="E7602" s="13" t="inlineStr">
        <is>
          <t>General</t>
        </is>
      </c>
      <c r="F7602" s="5" t="n"/>
      <c r="G7602" s="5" t="n"/>
      <c r="H7602" s="5" t="n">
        <v>474</v>
      </c>
      <c r="I7602" s="5" t="n">
        <v>468</v>
      </c>
      <c r="J7602" s="5" t="n">
        <v>6</v>
      </c>
      <c r="K7602" s="10">
        <f>IF(F7602&gt;0,H7602/F7602,"")</f>
        <v/>
      </c>
      <c r="L7602" s="16">
        <f>IF(AND(G7602&gt;0,H7602&gt;0),G7602/H7602,"")</f>
        <v/>
      </c>
    </row>
    <row r="7603">
      <c r="A7603" s="4" t="inlineStr">
        <is>
          <t>502</t>
        </is>
      </c>
      <c r="B7603" s="4" t="n">
        <v>5</v>
      </c>
      <c r="C7603" s="4" t="inlineStr">
        <is>
          <t>mule deer</t>
        </is>
      </c>
      <c r="D7603" s="4" t="n">
        <v>2016</v>
      </c>
      <c r="E7603" s="13" t="inlineStr">
        <is>
          <t>General</t>
        </is>
      </c>
      <c r="F7603" s="5" t="n"/>
      <c r="G7603" s="5" t="n"/>
      <c r="H7603" s="5" t="n">
        <v>558</v>
      </c>
      <c r="I7603" s="5" t="n">
        <v>518</v>
      </c>
      <c r="J7603" s="5" t="n">
        <v>40</v>
      </c>
      <c r="K7603" s="10">
        <f>IF(F7603&gt;0,H7603/F7603,"")</f>
        <v/>
      </c>
      <c r="L7603" s="16">
        <f>IF(AND(G7603&gt;0,H7603&gt;0),G7603/H7603,"")</f>
        <v/>
      </c>
    </row>
    <row r="7604">
      <c r="A7604" s="4" t="inlineStr">
        <is>
          <t>502</t>
        </is>
      </c>
      <c r="B7604" s="4" t="n">
        <v>5</v>
      </c>
      <c r="C7604" s="4" t="inlineStr">
        <is>
          <t>mule deer</t>
        </is>
      </c>
      <c r="D7604" s="4" t="n">
        <v>2017</v>
      </c>
      <c r="E7604" s="13" t="inlineStr">
        <is>
          <t>General</t>
        </is>
      </c>
      <c r="F7604" s="5" t="n">
        <v>1479</v>
      </c>
      <c r="G7604" s="5" t="n">
        <v>6822</v>
      </c>
      <c r="H7604" s="5" t="n">
        <v>533</v>
      </c>
      <c r="I7604" s="5" t="n">
        <v>515</v>
      </c>
      <c r="J7604" s="5" t="n">
        <v>18</v>
      </c>
      <c r="K7604" s="10">
        <f>IF(F7604&gt;0,H7604/F7604,"")</f>
        <v/>
      </c>
      <c r="L7604" s="16">
        <f>IF(AND(G7604&gt;0,H7604&gt;0),G7604/H7604,"")</f>
        <v/>
      </c>
    </row>
    <row r="7605">
      <c r="A7605" s="4" t="inlineStr">
        <is>
          <t>502</t>
        </is>
      </c>
      <c r="B7605" s="4" t="n">
        <v>5</v>
      </c>
      <c r="C7605" s="4" t="inlineStr">
        <is>
          <t>mule deer</t>
        </is>
      </c>
      <c r="D7605" s="4" t="n">
        <v>2018</v>
      </c>
      <c r="E7605" s="13" t="inlineStr">
        <is>
          <t>General</t>
        </is>
      </c>
      <c r="F7605" s="5" t="n"/>
      <c r="G7605" s="5" t="n"/>
      <c r="H7605" s="5" t="n">
        <v>451</v>
      </c>
      <c r="I7605" s="5" t="n">
        <v>387</v>
      </c>
      <c r="J7605" s="5" t="n">
        <v>63</v>
      </c>
      <c r="K7605" s="10">
        <f>IF(F7605&gt;0,H7605/F7605,"")</f>
        <v/>
      </c>
      <c r="L7605" s="16">
        <f>IF(AND(G7605&gt;0,H7605&gt;0),G7605/H7605,"")</f>
        <v/>
      </c>
    </row>
    <row r="7606">
      <c r="A7606" s="4" t="inlineStr">
        <is>
          <t>502</t>
        </is>
      </c>
      <c r="B7606" s="4" t="n">
        <v>5</v>
      </c>
      <c r="C7606" s="4" t="inlineStr">
        <is>
          <t>mule deer</t>
        </is>
      </c>
      <c r="D7606" s="4" t="n">
        <v>2019</v>
      </c>
      <c r="E7606" s="13" t="inlineStr">
        <is>
          <t>General</t>
        </is>
      </c>
      <c r="F7606" s="5" t="n">
        <v>1470</v>
      </c>
      <c r="G7606" s="5" t="n">
        <v>7443</v>
      </c>
      <c r="H7606" s="5" t="n">
        <v>605</v>
      </c>
      <c r="I7606" s="5" t="n">
        <v>435</v>
      </c>
      <c r="J7606" s="5" t="n">
        <v>163</v>
      </c>
      <c r="K7606" s="10">
        <f>IF(F7606&gt;0,H7606/F7606,"")</f>
        <v/>
      </c>
      <c r="L7606" s="16">
        <f>IF(AND(G7606&gt;0,H7606&gt;0),G7606/H7606,"")</f>
        <v/>
      </c>
    </row>
    <row r="7607">
      <c r="A7607" s="4" t="inlineStr">
        <is>
          <t>502</t>
        </is>
      </c>
      <c r="B7607" s="4" t="n">
        <v>5</v>
      </c>
      <c r="C7607" s="4" t="inlineStr">
        <is>
          <t>mule deer</t>
        </is>
      </c>
      <c r="D7607" s="4" t="n">
        <v>2020</v>
      </c>
      <c r="E7607" s="13" t="inlineStr">
        <is>
          <t>General</t>
        </is>
      </c>
      <c r="F7607" s="5" t="n"/>
      <c r="G7607" s="5" t="n"/>
      <c r="H7607" s="5" t="n">
        <v>599</v>
      </c>
      <c r="I7607" s="5" t="n">
        <v>416</v>
      </c>
      <c r="J7607" s="5" t="n">
        <v>182</v>
      </c>
      <c r="K7607" s="10">
        <f>IF(F7607&gt;0,H7607/F7607,"")</f>
        <v/>
      </c>
      <c r="L7607" s="16">
        <f>IF(AND(G7607&gt;0,H7607&gt;0),G7607/H7607,"")</f>
        <v/>
      </c>
    </row>
    <row r="7608">
      <c r="A7608" s="4" t="inlineStr">
        <is>
          <t>502</t>
        </is>
      </c>
      <c r="B7608" s="4" t="n">
        <v>5</v>
      </c>
      <c r="C7608" s="4" t="inlineStr">
        <is>
          <t>mule deer</t>
        </is>
      </c>
      <c r="D7608" s="4" t="n">
        <v>2021</v>
      </c>
      <c r="E7608" s="13" t="inlineStr">
        <is>
          <t>General</t>
        </is>
      </c>
      <c r="F7608" s="5" t="n">
        <v>1357</v>
      </c>
      <c r="G7608" s="5" t="n">
        <v>6709</v>
      </c>
      <c r="H7608" s="5" t="n">
        <v>477</v>
      </c>
      <c r="I7608" s="5" t="n">
        <v>350</v>
      </c>
      <c r="J7608" s="5" t="n">
        <v>127</v>
      </c>
      <c r="K7608" s="10">
        <f>IF(F7608&gt;0,H7608/F7608,"")</f>
        <v/>
      </c>
      <c r="L7608" s="16">
        <f>IF(AND(G7608&gt;0,H7608&gt;0),G7608/H7608,"")</f>
        <v/>
      </c>
    </row>
    <row r="7609">
      <c r="A7609" s="4" t="inlineStr">
        <is>
          <t>502</t>
        </is>
      </c>
      <c r="B7609" s="4" t="n">
        <v>5</v>
      </c>
      <c r="C7609" s="4" t="inlineStr">
        <is>
          <t>mule deer</t>
        </is>
      </c>
      <c r="D7609" s="4" t="n">
        <v>2022</v>
      </c>
      <c r="E7609" s="13" t="inlineStr">
        <is>
          <t>General</t>
        </is>
      </c>
      <c r="F7609" s="5" t="n"/>
      <c r="G7609" s="5" t="n"/>
      <c r="H7609" s="5" t="n">
        <v>633</v>
      </c>
      <c r="I7609" s="5" t="n">
        <v>458</v>
      </c>
      <c r="J7609" s="5" t="n">
        <v>176</v>
      </c>
      <c r="K7609" s="10">
        <f>IF(F7609&gt;0,H7609/F7609,"")</f>
        <v/>
      </c>
      <c r="L7609" s="16">
        <f>IF(AND(G7609&gt;0,H7609&gt;0),G7609/H7609,"")</f>
        <v/>
      </c>
    </row>
    <row r="7610">
      <c r="A7610" s="4" t="inlineStr">
        <is>
          <t>502</t>
        </is>
      </c>
      <c r="B7610" s="4" t="n">
        <v>5</v>
      </c>
      <c r="C7610" s="4" t="inlineStr">
        <is>
          <t>mule deer</t>
        </is>
      </c>
      <c r="D7610" s="4" t="n">
        <v>2023</v>
      </c>
      <c r="E7610" s="13" t="inlineStr">
        <is>
          <t>General</t>
        </is>
      </c>
      <c r="F7610" s="5" t="n">
        <v>1568</v>
      </c>
      <c r="G7610" s="5" t="n">
        <v>7793</v>
      </c>
      <c r="H7610" s="5" t="n">
        <v>565</v>
      </c>
      <c r="I7610" s="5" t="n">
        <v>427</v>
      </c>
      <c r="J7610" s="5" t="n">
        <v>134</v>
      </c>
      <c r="K7610" s="10">
        <f>IF(F7610&gt;0,H7610/F7610,"")</f>
        <v/>
      </c>
      <c r="L7610" s="16">
        <f>IF(AND(G7610&gt;0,H7610&gt;0),G7610/H7610,"")</f>
        <v/>
      </c>
    </row>
    <row r="7611">
      <c r="A7611" s="4" t="inlineStr">
        <is>
          <t>502</t>
        </is>
      </c>
      <c r="B7611" s="4" t="n">
        <v>5</v>
      </c>
      <c r="C7611" s="4" t="inlineStr">
        <is>
          <t>mule deer</t>
        </is>
      </c>
      <c r="D7611" s="4" t="n">
        <v>2024</v>
      </c>
      <c r="E7611" s="13" t="inlineStr">
        <is>
          <t>General</t>
        </is>
      </c>
      <c r="F7611" s="5" t="n"/>
      <c r="G7611" s="5" t="n"/>
      <c r="H7611" s="5" t="n">
        <v>506</v>
      </c>
      <c r="I7611" s="5" t="n">
        <v>435</v>
      </c>
      <c r="J7611" s="5" t="n">
        <v>71</v>
      </c>
      <c r="K7611" s="10">
        <f>IF(F7611&gt;0,H7611/F7611,"")</f>
        <v/>
      </c>
      <c r="L7611" s="16">
        <f>IF(AND(G7611&gt;0,H7611&gt;0),G7611/H7611,"")</f>
        <v/>
      </c>
    </row>
    <row r="7612">
      <c r="A7612" s="4" t="inlineStr">
        <is>
          <t>502</t>
        </is>
      </c>
      <c r="B7612" s="4" t="n">
        <v>5</v>
      </c>
      <c r="C7612" s="4" t="inlineStr">
        <is>
          <t>mule deer</t>
        </is>
      </c>
      <c r="D7612" s="4" t="n">
        <v>2025</v>
      </c>
      <c r="E7612" s="13" t="inlineStr">
        <is>
          <t>General</t>
        </is>
      </c>
      <c r="F7612" s="5" t="n">
        <v>1625</v>
      </c>
      <c r="G7612" s="5" t="n">
        <v>8330</v>
      </c>
      <c r="H7612" s="5" t="n">
        <v>650</v>
      </c>
      <c r="I7612" s="5" t="n">
        <v>552</v>
      </c>
      <c r="J7612" s="5" t="n">
        <v>96</v>
      </c>
      <c r="K7612" s="10">
        <f>IF(F7612&gt;0,H7612/F7612,"")</f>
        <v/>
      </c>
      <c r="L7612" s="16">
        <f>IF(AND(G7612&gt;0,H7612&gt;0),G7612/H7612,"")</f>
        <v/>
      </c>
    </row>
    <row r="7613">
      <c r="A7613" s="4" t="inlineStr">
        <is>
          <t>510</t>
        </is>
      </c>
      <c r="B7613" s="4" t="n">
        <v>5</v>
      </c>
      <c r="C7613" s="4" t="inlineStr">
        <is>
          <t>mule deer</t>
        </is>
      </c>
      <c r="D7613" s="4" t="n">
        <v>2004</v>
      </c>
      <c r="E7613" s="4" t="inlineStr"/>
      <c r="F7613" s="5" t="n">
        <v>429</v>
      </c>
      <c r="G7613" s="5" t="n">
        <v>2104</v>
      </c>
      <c r="H7613" s="5" t="n">
        <v>231</v>
      </c>
      <c r="I7613" s="5" t="n">
        <v>156</v>
      </c>
      <c r="J7613" s="5" t="n">
        <v>73</v>
      </c>
      <c r="K7613" s="10">
        <f>IF(F7613&gt;0,H7613/F7613,"")</f>
        <v/>
      </c>
      <c r="L7613" s="16">
        <f>IF(AND(G7613&gt;0,H7613&gt;0),G7613/H7613,"")</f>
        <v/>
      </c>
    </row>
    <row r="7614">
      <c r="A7614" s="4" t="inlineStr">
        <is>
          <t>510</t>
        </is>
      </c>
      <c r="B7614" s="4" t="n">
        <v>5</v>
      </c>
      <c r="C7614" s="4" t="inlineStr">
        <is>
          <t>mule deer</t>
        </is>
      </c>
      <c r="D7614" s="4" t="n">
        <v>2005</v>
      </c>
      <c r="E7614" s="4" t="inlineStr"/>
      <c r="F7614" s="5" t="n">
        <v>500</v>
      </c>
      <c r="G7614" s="5" t="n">
        <v>2115</v>
      </c>
      <c r="H7614" s="5" t="n">
        <v>240</v>
      </c>
      <c r="I7614" s="5" t="n">
        <v>165</v>
      </c>
      <c r="J7614" s="5" t="n">
        <v>74</v>
      </c>
      <c r="K7614" s="10">
        <f>IF(F7614&gt;0,H7614/F7614,"")</f>
        <v/>
      </c>
      <c r="L7614" s="16">
        <f>IF(AND(G7614&gt;0,H7614&gt;0),G7614/H7614,"")</f>
        <v/>
      </c>
    </row>
    <row r="7615">
      <c r="A7615" s="4" t="inlineStr">
        <is>
          <t>510</t>
        </is>
      </c>
      <c r="B7615" s="4" t="n">
        <v>5</v>
      </c>
      <c r="C7615" s="4" t="inlineStr">
        <is>
          <t>mule deer</t>
        </is>
      </c>
      <c r="D7615" s="4" t="n">
        <v>2006</v>
      </c>
      <c r="E7615" s="4" t="inlineStr"/>
      <c r="F7615" s="5" t="n">
        <v>351</v>
      </c>
      <c r="G7615" s="5" t="n">
        <v>1402</v>
      </c>
      <c r="H7615" s="5" t="n">
        <v>223</v>
      </c>
      <c r="I7615" s="5" t="n">
        <v>141</v>
      </c>
      <c r="J7615" s="5" t="n">
        <v>82</v>
      </c>
      <c r="K7615" s="10">
        <f>IF(F7615&gt;0,H7615/F7615,"")</f>
        <v/>
      </c>
      <c r="L7615" s="16">
        <f>IF(AND(G7615&gt;0,H7615&gt;0),G7615/H7615,"")</f>
        <v/>
      </c>
    </row>
    <row r="7616">
      <c r="A7616" s="4" t="inlineStr">
        <is>
          <t>510</t>
        </is>
      </c>
      <c r="B7616" s="4" t="n">
        <v>5</v>
      </c>
      <c r="C7616" s="4" t="inlineStr">
        <is>
          <t>mule deer</t>
        </is>
      </c>
      <c r="D7616" s="4" t="n">
        <v>2007</v>
      </c>
      <c r="E7616" s="4" t="inlineStr"/>
      <c r="F7616" s="5" t="n">
        <v>493</v>
      </c>
      <c r="G7616" s="5" t="n">
        <v>2730</v>
      </c>
      <c r="H7616" s="5" t="n">
        <v>314</v>
      </c>
      <c r="I7616" s="5" t="n">
        <v>223</v>
      </c>
      <c r="J7616" s="5" t="n">
        <v>87</v>
      </c>
      <c r="K7616" s="10">
        <f>IF(F7616&gt;0,H7616/F7616,"")</f>
        <v/>
      </c>
      <c r="L7616" s="16">
        <f>IF(AND(G7616&gt;0,H7616&gt;0),G7616/H7616,"")</f>
        <v/>
      </c>
    </row>
    <row r="7617">
      <c r="A7617" s="4" t="inlineStr">
        <is>
          <t>510</t>
        </is>
      </c>
      <c r="B7617" s="4" t="n">
        <v>5</v>
      </c>
      <c r="C7617" s="4" t="inlineStr">
        <is>
          <t>mule deer</t>
        </is>
      </c>
      <c r="D7617" s="4" t="n">
        <v>2008</v>
      </c>
      <c r="E7617" s="4" t="inlineStr"/>
      <c r="F7617" s="5" t="n">
        <v>505</v>
      </c>
      <c r="G7617" s="5" t="n">
        <v>2606</v>
      </c>
      <c r="H7617" s="5" t="n">
        <v>237</v>
      </c>
      <c r="I7617" s="5" t="n">
        <v>166</v>
      </c>
      <c r="J7617" s="5" t="n">
        <v>71</v>
      </c>
      <c r="K7617" s="10">
        <f>IF(F7617&gt;0,H7617/F7617,"")</f>
        <v/>
      </c>
      <c r="L7617" s="16">
        <f>IF(AND(G7617&gt;0,H7617&gt;0),G7617/H7617,"")</f>
        <v/>
      </c>
    </row>
    <row r="7618">
      <c r="A7618" s="4" t="inlineStr">
        <is>
          <t>510</t>
        </is>
      </c>
      <c r="B7618" s="4" t="n">
        <v>5</v>
      </c>
      <c r="C7618" s="4" t="inlineStr">
        <is>
          <t>mule deer</t>
        </is>
      </c>
      <c r="D7618" s="4" t="n">
        <v>2009</v>
      </c>
      <c r="E7618" s="4" t="inlineStr"/>
      <c r="F7618" s="5" t="n">
        <v>402</v>
      </c>
      <c r="G7618" s="5" t="n">
        <v>1947</v>
      </c>
      <c r="H7618" s="5" t="n">
        <v>238</v>
      </c>
      <c r="I7618" s="5" t="n">
        <v>141</v>
      </c>
      <c r="J7618" s="5" t="n">
        <v>97</v>
      </c>
      <c r="K7618" s="10">
        <f>IF(F7618&gt;0,H7618/F7618,"")</f>
        <v/>
      </c>
      <c r="L7618" s="16">
        <f>IF(AND(G7618&gt;0,H7618&gt;0),G7618/H7618,"")</f>
        <v/>
      </c>
    </row>
    <row r="7619">
      <c r="A7619" s="4" t="inlineStr">
        <is>
          <t>510</t>
        </is>
      </c>
      <c r="B7619" s="4" t="n">
        <v>5</v>
      </c>
      <c r="C7619" s="4" t="inlineStr">
        <is>
          <t>mule deer</t>
        </is>
      </c>
      <c r="D7619" s="4" t="n">
        <v>2010</v>
      </c>
      <c r="E7619" s="4" t="inlineStr"/>
      <c r="F7619" s="5" t="n">
        <v>470</v>
      </c>
      <c r="G7619" s="5" t="n">
        <v>2094</v>
      </c>
      <c r="H7619" s="5" t="n">
        <v>188</v>
      </c>
      <c r="I7619" s="5" t="n">
        <v>135</v>
      </c>
      <c r="J7619" s="5" t="n">
        <v>53</v>
      </c>
      <c r="K7619" s="10">
        <f>IF(F7619&gt;0,H7619/F7619,"")</f>
        <v/>
      </c>
      <c r="L7619" s="16">
        <f>IF(AND(G7619&gt;0,H7619&gt;0),G7619/H7619,"")</f>
        <v/>
      </c>
    </row>
    <row r="7620">
      <c r="A7620" s="4" t="inlineStr">
        <is>
          <t>510</t>
        </is>
      </c>
      <c r="B7620" s="4" t="n">
        <v>5</v>
      </c>
      <c r="C7620" s="4" t="inlineStr">
        <is>
          <t>mule deer</t>
        </is>
      </c>
      <c r="D7620" s="4" t="n">
        <v>2011</v>
      </c>
      <c r="E7620" s="4" t="inlineStr"/>
      <c r="F7620" s="5" t="n">
        <v>385</v>
      </c>
      <c r="G7620" s="5" t="n">
        <v>1972</v>
      </c>
      <c r="H7620" s="5" t="n">
        <v>182</v>
      </c>
      <c r="I7620" s="5" t="n">
        <v>125</v>
      </c>
      <c r="J7620" s="5" t="n">
        <v>56</v>
      </c>
      <c r="K7620" s="10">
        <f>IF(F7620&gt;0,H7620/F7620,"")</f>
        <v/>
      </c>
      <c r="L7620" s="16">
        <f>IF(AND(G7620&gt;0,H7620&gt;0),G7620/H7620,"")</f>
        <v/>
      </c>
    </row>
    <row r="7621">
      <c r="A7621" s="4" t="inlineStr">
        <is>
          <t>510</t>
        </is>
      </c>
      <c r="B7621" s="4" t="n">
        <v>5</v>
      </c>
      <c r="C7621" s="4" t="inlineStr">
        <is>
          <t>mule deer</t>
        </is>
      </c>
      <c r="D7621" s="4" t="n">
        <v>2012</v>
      </c>
      <c r="E7621" s="4" t="inlineStr"/>
      <c r="F7621" s="5" t="n"/>
      <c r="G7621" s="5" t="n"/>
      <c r="H7621" s="5" t="n">
        <v>229</v>
      </c>
      <c r="I7621" s="5" t="n">
        <v>172</v>
      </c>
      <c r="J7621" s="5" t="n">
        <v>56</v>
      </c>
      <c r="K7621" s="10">
        <f>IF(F7621&gt;0,H7621/F7621,"")</f>
        <v/>
      </c>
      <c r="L7621" s="16">
        <f>IF(AND(G7621&gt;0,H7621&gt;0),G7621/H7621,"")</f>
        <v/>
      </c>
    </row>
    <row r="7622">
      <c r="A7622" s="4" t="inlineStr">
        <is>
          <t>510</t>
        </is>
      </c>
      <c r="B7622" s="4" t="n">
        <v>5</v>
      </c>
      <c r="C7622" s="4" t="inlineStr">
        <is>
          <t>mule deer</t>
        </is>
      </c>
      <c r="D7622" s="4" t="n">
        <v>2013</v>
      </c>
      <c r="E7622" s="4" t="inlineStr"/>
      <c r="F7622" s="5" t="n">
        <v>381</v>
      </c>
      <c r="G7622" s="5" t="n">
        <v>2041</v>
      </c>
      <c r="H7622" s="5" t="n">
        <v>211</v>
      </c>
      <c r="I7622" s="5" t="n">
        <v>147</v>
      </c>
      <c r="J7622" s="5" t="n">
        <v>65</v>
      </c>
      <c r="K7622" s="10">
        <f>IF(F7622&gt;0,H7622/F7622,"")</f>
        <v/>
      </c>
      <c r="L7622" s="16">
        <f>IF(AND(G7622&gt;0,H7622&gt;0),G7622/H7622,"")</f>
        <v/>
      </c>
    </row>
    <row r="7623">
      <c r="A7623" s="4" t="inlineStr">
        <is>
          <t>510</t>
        </is>
      </c>
      <c r="B7623" s="4" t="n">
        <v>5</v>
      </c>
      <c r="C7623" s="4" t="inlineStr">
        <is>
          <t>mule deer</t>
        </is>
      </c>
      <c r="D7623" s="4" t="n">
        <v>2014</v>
      </c>
      <c r="E7623" s="4" t="inlineStr"/>
      <c r="F7623" s="5" t="n"/>
      <c r="G7623" s="5" t="n"/>
      <c r="H7623" s="5" t="n">
        <v>173</v>
      </c>
      <c r="I7623" s="5" t="n">
        <v>170</v>
      </c>
      <c r="J7623" s="5" t="n">
        <v>3</v>
      </c>
      <c r="K7623" s="10">
        <f>IF(F7623&gt;0,H7623/F7623,"")</f>
        <v/>
      </c>
      <c r="L7623" s="16">
        <f>IF(AND(G7623&gt;0,H7623&gt;0),G7623/H7623,"")</f>
        <v/>
      </c>
    </row>
    <row r="7624">
      <c r="A7624" s="4" t="inlineStr">
        <is>
          <t>510</t>
        </is>
      </c>
      <c r="B7624" s="4" t="n">
        <v>5</v>
      </c>
      <c r="C7624" s="4" t="inlineStr">
        <is>
          <t>mule deer</t>
        </is>
      </c>
      <c r="D7624" s="4" t="n">
        <v>2015</v>
      </c>
      <c r="E7624" s="4" t="inlineStr"/>
      <c r="F7624" s="5" t="n"/>
      <c r="G7624" s="5" t="n"/>
      <c r="H7624" s="5" t="n">
        <v>214</v>
      </c>
      <c r="I7624" s="5" t="n">
        <v>212</v>
      </c>
      <c r="J7624" s="5" t="n">
        <v>2</v>
      </c>
      <c r="K7624" s="10">
        <f>IF(F7624&gt;0,H7624/F7624,"")</f>
        <v/>
      </c>
      <c r="L7624" s="16">
        <f>IF(AND(G7624&gt;0,H7624&gt;0),G7624/H7624,"")</f>
        <v/>
      </c>
    </row>
    <row r="7625">
      <c r="A7625" s="4" t="inlineStr">
        <is>
          <t>510</t>
        </is>
      </c>
      <c r="B7625" s="4" t="n">
        <v>5</v>
      </c>
      <c r="C7625" s="4" t="inlineStr">
        <is>
          <t>mule deer</t>
        </is>
      </c>
      <c r="D7625" s="4" t="n">
        <v>2016</v>
      </c>
      <c r="E7625" s="4" t="inlineStr"/>
      <c r="F7625" s="5" t="n"/>
      <c r="G7625" s="5" t="n"/>
      <c r="H7625" s="5" t="n">
        <v>199</v>
      </c>
      <c r="I7625" s="5" t="n">
        <v>169</v>
      </c>
      <c r="J7625" s="5" t="n">
        <v>31</v>
      </c>
      <c r="K7625" s="10">
        <f>IF(F7625&gt;0,H7625/F7625,"")</f>
        <v/>
      </c>
      <c r="L7625" s="16">
        <f>IF(AND(G7625&gt;0,H7625&gt;0),G7625/H7625,"")</f>
        <v/>
      </c>
    </row>
    <row r="7626">
      <c r="A7626" s="4" t="inlineStr">
        <is>
          <t>510</t>
        </is>
      </c>
      <c r="B7626" s="4" t="n">
        <v>5</v>
      </c>
      <c r="C7626" s="4" t="inlineStr">
        <is>
          <t>mule deer</t>
        </is>
      </c>
      <c r="D7626" s="4" t="n">
        <v>2017</v>
      </c>
      <c r="E7626" s="4" t="inlineStr"/>
      <c r="F7626" s="5" t="n">
        <v>334</v>
      </c>
      <c r="G7626" s="5" t="n">
        <v>1477</v>
      </c>
      <c r="H7626" s="5" t="n">
        <v>167</v>
      </c>
      <c r="I7626" s="5" t="n">
        <v>141</v>
      </c>
      <c r="J7626" s="5" t="n">
        <v>26</v>
      </c>
      <c r="K7626" s="10">
        <f>IF(F7626&gt;0,H7626/F7626,"")</f>
        <v/>
      </c>
      <c r="L7626" s="16">
        <f>IF(AND(G7626&gt;0,H7626&gt;0),G7626/H7626,"")</f>
        <v/>
      </c>
    </row>
    <row r="7627">
      <c r="A7627" s="4" t="inlineStr">
        <is>
          <t>510</t>
        </is>
      </c>
      <c r="B7627" s="4" t="n">
        <v>5</v>
      </c>
      <c r="C7627" s="4" t="inlineStr">
        <is>
          <t>mule deer</t>
        </is>
      </c>
      <c r="D7627" s="4" t="n">
        <v>2018</v>
      </c>
      <c r="E7627" s="4" t="inlineStr"/>
      <c r="F7627" s="5" t="n"/>
      <c r="G7627" s="5" t="n"/>
      <c r="H7627" s="5" t="n">
        <v>185</v>
      </c>
      <c r="I7627" s="5" t="n">
        <v>134</v>
      </c>
      <c r="J7627" s="5" t="n">
        <v>51</v>
      </c>
      <c r="K7627" s="10">
        <f>IF(F7627&gt;0,H7627/F7627,"")</f>
        <v/>
      </c>
      <c r="L7627" s="16">
        <f>IF(AND(G7627&gt;0,H7627&gt;0),G7627/H7627,"")</f>
        <v/>
      </c>
    </row>
    <row r="7628">
      <c r="A7628" s="4" t="inlineStr">
        <is>
          <t>510</t>
        </is>
      </c>
      <c r="B7628" s="4" t="n">
        <v>5</v>
      </c>
      <c r="C7628" s="4" t="inlineStr">
        <is>
          <t>mule deer</t>
        </is>
      </c>
      <c r="D7628" s="4" t="n">
        <v>2019</v>
      </c>
      <c r="E7628" s="4" t="inlineStr"/>
      <c r="F7628" s="5" t="n">
        <v>408</v>
      </c>
      <c r="G7628" s="5" t="n">
        <v>1799</v>
      </c>
      <c r="H7628" s="5" t="n">
        <v>134</v>
      </c>
      <c r="I7628" s="5" t="n">
        <v>100</v>
      </c>
      <c r="J7628" s="5" t="n">
        <v>30</v>
      </c>
      <c r="K7628" s="10">
        <f>IF(F7628&gt;0,H7628/F7628,"")</f>
        <v/>
      </c>
      <c r="L7628" s="16">
        <f>IF(AND(G7628&gt;0,H7628&gt;0),G7628/H7628,"")</f>
        <v/>
      </c>
    </row>
    <row r="7629">
      <c r="A7629" s="4" t="inlineStr">
        <is>
          <t>510</t>
        </is>
      </c>
      <c r="B7629" s="4" t="n">
        <v>5</v>
      </c>
      <c r="C7629" s="4" t="inlineStr">
        <is>
          <t>mule deer</t>
        </is>
      </c>
      <c r="D7629" s="4" t="n">
        <v>2020</v>
      </c>
      <c r="E7629" s="4" t="inlineStr"/>
      <c r="F7629" s="5" t="n"/>
      <c r="G7629" s="5" t="n"/>
      <c r="H7629" s="5" t="n">
        <v>154</v>
      </c>
      <c r="I7629" s="5" t="n">
        <v>107</v>
      </c>
      <c r="J7629" s="5" t="n">
        <v>41</v>
      </c>
      <c r="K7629" s="10">
        <f>IF(F7629&gt;0,H7629/F7629,"")</f>
        <v/>
      </c>
      <c r="L7629" s="16">
        <f>IF(AND(G7629&gt;0,H7629&gt;0),G7629/H7629,"")</f>
        <v/>
      </c>
    </row>
    <row r="7630">
      <c r="A7630" s="4" t="inlineStr">
        <is>
          <t>510</t>
        </is>
      </c>
      <c r="B7630" s="4" t="n">
        <v>5</v>
      </c>
      <c r="C7630" s="4" t="inlineStr">
        <is>
          <t>mule deer</t>
        </is>
      </c>
      <c r="D7630" s="4" t="n">
        <v>2021</v>
      </c>
      <c r="E7630" s="4" t="inlineStr"/>
      <c r="F7630" s="5" t="n">
        <v>383</v>
      </c>
      <c r="G7630" s="5" t="n">
        <v>1917</v>
      </c>
      <c r="H7630" s="5" t="n">
        <v>106</v>
      </c>
      <c r="I7630" s="5" t="n">
        <v>66</v>
      </c>
      <c r="J7630" s="5" t="n">
        <v>40</v>
      </c>
      <c r="K7630" s="10">
        <f>IF(F7630&gt;0,H7630/F7630,"")</f>
        <v/>
      </c>
      <c r="L7630" s="16">
        <f>IF(AND(G7630&gt;0,H7630&gt;0),G7630/H7630,"")</f>
        <v/>
      </c>
    </row>
    <row r="7631">
      <c r="A7631" s="4" t="inlineStr">
        <is>
          <t>511</t>
        </is>
      </c>
      <c r="B7631" s="4" t="n">
        <v>5</v>
      </c>
      <c r="C7631" s="4" t="inlineStr">
        <is>
          <t>mule deer</t>
        </is>
      </c>
      <c r="D7631" s="4" t="n">
        <v>2004</v>
      </c>
      <c r="E7631" s="4" t="inlineStr"/>
      <c r="F7631" s="5" t="n">
        <v>775</v>
      </c>
      <c r="G7631" s="5" t="n">
        <v>3143</v>
      </c>
      <c r="H7631" s="5" t="n">
        <v>370</v>
      </c>
      <c r="I7631" s="5" t="n">
        <v>218</v>
      </c>
      <c r="J7631" s="5" t="n">
        <v>143</v>
      </c>
      <c r="K7631" s="10">
        <f>IF(F7631&gt;0,H7631/F7631,"")</f>
        <v/>
      </c>
      <c r="L7631" s="16">
        <f>IF(AND(G7631&gt;0,H7631&gt;0),G7631/H7631,"")</f>
        <v/>
      </c>
    </row>
    <row r="7632">
      <c r="A7632" s="4" t="inlineStr">
        <is>
          <t>511</t>
        </is>
      </c>
      <c r="B7632" s="4" t="n">
        <v>5</v>
      </c>
      <c r="C7632" s="4" t="inlineStr">
        <is>
          <t>mule deer</t>
        </is>
      </c>
      <c r="D7632" s="4" t="n">
        <v>2005</v>
      </c>
      <c r="E7632" s="4" t="inlineStr"/>
      <c r="F7632" s="5" t="n">
        <v>698</v>
      </c>
      <c r="G7632" s="5" t="n">
        <v>2845</v>
      </c>
      <c r="H7632" s="5" t="n">
        <v>295</v>
      </c>
      <c r="I7632" s="5" t="n">
        <v>188</v>
      </c>
      <c r="J7632" s="5" t="n">
        <v>106</v>
      </c>
      <c r="K7632" s="10">
        <f>IF(F7632&gt;0,H7632/F7632,"")</f>
        <v/>
      </c>
      <c r="L7632" s="16">
        <f>IF(AND(G7632&gt;0,H7632&gt;0),G7632/H7632,"")</f>
        <v/>
      </c>
    </row>
    <row r="7633">
      <c r="A7633" s="4" t="inlineStr">
        <is>
          <t>511</t>
        </is>
      </c>
      <c r="B7633" s="4" t="n">
        <v>5</v>
      </c>
      <c r="C7633" s="4" t="inlineStr">
        <is>
          <t>mule deer</t>
        </is>
      </c>
      <c r="D7633" s="4" t="n">
        <v>2006</v>
      </c>
      <c r="E7633" s="4" t="inlineStr"/>
      <c r="F7633" s="5" t="n">
        <v>681</v>
      </c>
      <c r="G7633" s="5" t="n">
        <v>2810</v>
      </c>
      <c r="H7633" s="5" t="n">
        <v>278</v>
      </c>
      <c r="I7633" s="5" t="n">
        <v>164</v>
      </c>
      <c r="J7633" s="5" t="n">
        <v>114</v>
      </c>
      <c r="K7633" s="10">
        <f>IF(F7633&gt;0,H7633/F7633,"")</f>
        <v/>
      </c>
      <c r="L7633" s="16">
        <f>IF(AND(G7633&gt;0,H7633&gt;0),G7633/H7633,"")</f>
        <v/>
      </c>
    </row>
    <row r="7634">
      <c r="A7634" s="4" t="inlineStr">
        <is>
          <t>511</t>
        </is>
      </c>
      <c r="B7634" s="4" t="n">
        <v>5</v>
      </c>
      <c r="C7634" s="4" t="inlineStr">
        <is>
          <t>mule deer</t>
        </is>
      </c>
      <c r="D7634" s="4" t="n">
        <v>2007</v>
      </c>
      <c r="E7634" s="4" t="inlineStr"/>
      <c r="F7634" s="5" t="n">
        <v>813</v>
      </c>
      <c r="G7634" s="5" t="n">
        <v>3126</v>
      </c>
      <c r="H7634" s="5" t="n">
        <v>322</v>
      </c>
      <c r="I7634" s="5" t="n">
        <v>191</v>
      </c>
      <c r="J7634" s="5" t="n">
        <v>131</v>
      </c>
      <c r="K7634" s="10">
        <f>IF(F7634&gt;0,H7634/F7634,"")</f>
        <v/>
      </c>
      <c r="L7634" s="16">
        <f>IF(AND(G7634&gt;0,H7634&gt;0),G7634/H7634,"")</f>
        <v/>
      </c>
    </row>
    <row r="7635">
      <c r="A7635" s="4" t="inlineStr">
        <is>
          <t>511</t>
        </is>
      </c>
      <c r="B7635" s="4" t="n">
        <v>5</v>
      </c>
      <c r="C7635" s="4" t="inlineStr">
        <is>
          <t>mule deer</t>
        </is>
      </c>
      <c r="D7635" s="4" t="n">
        <v>2008</v>
      </c>
      <c r="E7635" s="4" t="inlineStr"/>
      <c r="F7635" s="5" t="n">
        <v>762</v>
      </c>
      <c r="G7635" s="5" t="n">
        <v>3044</v>
      </c>
      <c r="H7635" s="5" t="n">
        <v>307</v>
      </c>
      <c r="I7635" s="5" t="n">
        <v>197</v>
      </c>
      <c r="J7635" s="5" t="n">
        <v>106</v>
      </c>
      <c r="K7635" s="10">
        <f>IF(F7635&gt;0,H7635/F7635,"")</f>
        <v/>
      </c>
      <c r="L7635" s="16">
        <f>IF(AND(G7635&gt;0,H7635&gt;0),G7635/H7635,"")</f>
        <v/>
      </c>
    </row>
    <row r="7636">
      <c r="A7636" s="4" t="inlineStr">
        <is>
          <t>511</t>
        </is>
      </c>
      <c r="B7636" s="4" t="n">
        <v>5</v>
      </c>
      <c r="C7636" s="4" t="inlineStr">
        <is>
          <t>mule deer</t>
        </is>
      </c>
      <c r="D7636" s="4" t="n">
        <v>2009</v>
      </c>
      <c r="E7636" s="4" t="inlineStr"/>
      <c r="F7636" s="5" t="n">
        <v>854</v>
      </c>
      <c r="G7636" s="5" t="n">
        <v>3712</v>
      </c>
      <c r="H7636" s="5" t="n">
        <v>248</v>
      </c>
      <c r="I7636" s="5" t="n">
        <v>189</v>
      </c>
      <c r="J7636" s="5" t="n">
        <v>57</v>
      </c>
      <c r="K7636" s="10">
        <f>IF(F7636&gt;0,H7636/F7636,"")</f>
        <v/>
      </c>
      <c r="L7636" s="16">
        <f>IF(AND(G7636&gt;0,H7636&gt;0),G7636/H7636,"")</f>
        <v/>
      </c>
    </row>
    <row r="7637">
      <c r="A7637" s="4" t="inlineStr">
        <is>
          <t>511</t>
        </is>
      </c>
      <c r="B7637" s="4" t="n">
        <v>5</v>
      </c>
      <c r="C7637" s="4" t="inlineStr">
        <is>
          <t>mule deer</t>
        </is>
      </c>
      <c r="D7637" s="4" t="n">
        <v>2010</v>
      </c>
      <c r="E7637" s="4" t="inlineStr"/>
      <c r="F7637" s="5" t="n">
        <v>721</v>
      </c>
      <c r="G7637" s="5" t="n">
        <v>3196</v>
      </c>
      <c r="H7637" s="5" t="n">
        <v>147</v>
      </c>
      <c r="I7637" s="5" t="n">
        <v>115</v>
      </c>
      <c r="J7637" s="5" t="n">
        <v>32</v>
      </c>
      <c r="K7637" s="10">
        <f>IF(F7637&gt;0,H7637/F7637,"")</f>
        <v/>
      </c>
      <c r="L7637" s="16">
        <f>IF(AND(G7637&gt;0,H7637&gt;0),G7637/H7637,"")</f>
        <v/>
      </c>
    </row>
    <row r="7638">
      <c r="A7638" s="4" t="inlineStr">
        <is>
          <t>511</t>
        </is>
      </c>
      <c r="B7638" s="4" t="n">
        <v>5</v>
      </c>
      <c r="C7638" s="4" t="inlineStr">
        <is>
          <t>mule deer</t>
        </is>
      </c>
      <c r="D7638" s="4" t="n">
        <v>2011</v>
      </c>
      <c r="E7638" s="4" t="inlineStr"/>
      <c r="F7638" s="5" t="n">
        <v>635</v>
      </c>
      <c r="G7638" s="5" t="n">
        <v>3056</v>
      </c>
      <c r="H7638" s="5" t="n">
        <v>169</v>
      </c>
      <c r="I7638" s="5" t="n">
        <v>128</v>
      </c>
      <c r="J7638" s="5" t="n">
        <v>38</v>
      </c>
      <c r="K7638" s="10">
        <f>IF(F7638&gt;0,H7638/F7638,"")</f>
        <v/>
      </c>
      <c r="L7638" s="16">
        <f>IF(AND(G7638&gt;0,H7638&gt;0),G7638/H7638,"")</f>
        <v/>
      </c>
    </row>
    <row r="7639">
      <c r="A7639" s="4" t="inlineStr">
        <is>
          <t>511</t>
        </is>
      </c>
      <c r="B7639" s="4" t="n">
        <v>5</v>
      </c>
      <c r="C7639" s="4" t="inlineStr">
        <is>
          <t>mule deer</t>
        </is>
      </c>
      <c r="D7639" s="4" t="n">
        <v>2012</v>
      </c>
      <c r="E7639" s="4" t="inlineStr"/>
      <c r="F7639" s="5" t="n"/>
      <c r="G7639" s="5" t="n"/>
      <c r="H7639" s="5" t="n">
        <v>119</v>
      </c>
      <c r="I7639" s="5" t="n">
        <v>97</v>
      </c>
      <c r="J7639" s="5" t="n">
        <v>22</v>
      </c>
      <c r="K7639" s="10">
        <f>IF(F7639&gt;0,H7639/F7639,"")</f>
        <v/>
      </c>
      <c r="L7639" s="16">
        <f>IF(AND(G7639&gt;0,H7639&gt;0),G7639/H7639,"")</f>
        <v/>
      </c>
    </row>
    <row r="7640">
      <c r="A7640" s="4" t="inlineStr">
        <is>
          <t>511</t>
        </is>
      </c>
      <c r="B7640" s="4" t="n">
        <v>5</v>
      </c>
      <c r="C7640" s="4" t="inlineStr">
        <is>
          <t>mule deer</t>
        </is>
      </c>
      <c r="D7640" s="4" t="n">
        <v>2013</v>
      </c>
      <c r="E7640" s="4" t="inlineStr"/>
      <c r="F7640" s="5" t="n">
        <v>578</v>
      </c>
      <c r="G7640" s="5" t="n">
        <v>3084</v>
      </c>
      <c r="H7640" s="5" t="n">
        <v>105</v>
      </c>
      <c r="I7640" s="5" t="n">
        <v>104</v>
      </c>
      <c r="J7640" s="5" t="n">
        <v>2</v>
      </c>
      <c r="K7640" s="10">
        <f>IF(F7640&gt;0,H7640/F7640,"")</f>
        <v/>
      </c>
      <c r="L7640" s="16">
        <f>IF(AND(G7640&gt;0,H7640&gt;0),G7640/H7640,"")</f>
        <v/>
      </c>
    </row>
    <row r="7641">
      <c r="A7641" s="4" t="inlineStr">
        <is>
          <t>511</t>
        </is>
      </c>
      <c r="B7641" s="4" t="n">
        <v>5</v>
      </c>
      <c r="C7641" s="4" t="inlineStr">
        <is>
          <t>mule deer</t>
        </is>
      </c>
      <c r="D7641" s="4" t="n">
        <v>2014</v>
      </c>
      <c r="E7641" s="4" t="inlineStr"/>
      <c r="F7641" s="5" t="n"/>
      <c r="G7641" s="5" t="n"/>
      <c r="H7641" s="5" t="n">
        <v>110</v>
      </c>
      <c r="I7641" s="5" t="n">
        <v>110</v>
      </c>
      <c r="J7641" s="5" t="n">
        <v>0</v>
      </c>
      <c r="K7641" s="10">
        <f>IF(F7641&gt;0,H7641/F7641,"")</f>
        <v/>
      </c>
      <c r="L7641" s="16">
        <f>IF(AND(G7641&gt;0,H7641&gt;0),G7641/H7641,"")</f>
        <v/>
      </c>
    </row>
    <row r="7642">
      <c r="A7642" s="4" t="inlineStr">
        <is>
          <t>511</t>
        </is>
      </c>
      <c r="B7642" s="4" t="n">
        <v>5</v>
      </c>
      <c r="C7642" s="4" t="inlineStr">
        <is>
          <t>mule deer</t>
        </is>
      </c>
      <c r="D7642" s="4" t="n">
        <v>2015</v>
      </c>
      <c r="E7642" s="4" t="inlineStr"/>
      <c r="F7642" s="5" t="n"/>
      <c r="G7642" s="5" t="n"/>
      <c r="H7642" s="5" t="n">
        <v>181</v>
      </c>
      <c r="I7642" s="5" t="n">
        <v>181</v>
      </c>
      <c r="J7642" s="5" t="n">
        <v>0</v>
      </c>
      <c r="K7642" s="10">
        <f>IF(F7642&gt;0,H7642/F7642,"")</f>
        <v/>
      </c>
      <c r="L7642" s="16">
        <f>IF(AND(G7642&gt;0,H7642&gt;0),G7642/H7642,"")</f>
        <v/>
      </c>
    </row>
    <row r="7643">
      <c r="A7643" s="4" t="inlineStr">
        <is>
          <t>511</t>
        </is>
      </c>
      <c r="B7643" s="4" t="n">
        <v>5</v>
      </c>
      <c r="C7643" s="4" t="inlineStr">
        <is>
          <t>mule deer</t>
        </is>
      </c>
      <c r="D7643" s="4" t="n">
        <v>2016</v>
      </c>
      <c r="E7643" s="4" t="inlineStr"/>
      <c r="F7643" s="5" t="n"/>
      <c r="G7643" s="5" t="n"/>
      <c r="H7643" s="5" t="n">
        <v>168</v>
      </c>
      <c r="I7643" s="5" t="n">
        <v>156</v>
      </c>
      <c r="J7643" s="5" t="n">
        <v>12</v>
      </c>
      <c r="K7643" s="10">
        <f>IF(F7643&gt;0,H7643/F7643,"")</f>
        <v/>
      </c>
      <c r="L7643" s="16">
        <f>IF(AND(G7643&gt;0,H7643&gt;0),G7643/H7643,"")</f>
        <v/>
      </c>
    </row>
    <row r="7644">
      <c r="A7644" s="4" t="inlineStr">
        <is>
          <t>511</t>
        </is>
      </c>
      <c r="B7644" s="4" t="n">
        <v>5</v>
      </c>
      <c r="C7644" s="4" t="inlineStr">
        <is>
          <t>mule deer</t>
        </is>
      </c>
      <c r="D7644" s="4" t="n">
        <v>2017</v>
      </c>
      <c r="E7644" s="4" t="inlineStr"/>
      <c r="F7644" s="5" t="n">
        <v>483</v>
      </c>
      <c r="G7644" s="5" t="n">
        <v>1851</v>
      </c>
      <c r="H7644" s="5" t="n">
        <v>140</v>
      </c>
      <c r="I7644" s="5" t="n">
        <v>131</v>
      </c>
      <c r="J7644" s="5" t="n">
        <v>9</v>
      </c>
      <c r="K7644" s="10">
        <f>IF(F7644&gt;0,H7644/F7644,"")</f>
        <v/>
      </c>
      <c r="L7644" s="16">
        <f>IF(AND(G7644&gt;0,H7644&gt;0),G7644/H7644,"")</f>
        <v/>
      </c>
    </row>
    <row r="7645">
      <c r="A7645" s="4" t="inlineStr">
        <is>
          <t>511</t>
        </is>
      </c>
      <c r="B7645" s="4" t="n">
        <v>5</v>
      </c>
      <c r="C7645" s="4" t="inlineStr">
        <is>
          <t>mule deer</t>
        </is>
      </c>
      <c r="D7645" s="4" t="n">
        <v>2018</v>
      </c>
      <c r="E7645" s="4" t="inlineStr"/>
      <c r="F7645" s="5" t="n"/>
      <c r="G7645" s="5" t="n"/>
      <c r="H7645" s="5" t="n">
        <v>169</v>
      </c>
      <c r="I7645" s="5" t="n">
        <v>153</v>
      </c>
      <c r="J7645" s="5" t="n">
        <v>16</v>
      </c>
      <c r="K7645" s="10">
        <f>IF(F7645&gt;0,H7645/F7645,"")</f>
        <v/>
      </c>
      <c r="L7645" s="16">
        <f>IF(AND(G7645&gt;0,H7645&gt;0),G7645/H7645,"")</f>
        <v/>
      </c>
    </row>
    <row r="7646">
      <c r="A7646" s="4" t="inlineStr">
        <is>
          <t>511</t>
        </is>
      </c>
      <c r="B7646" s="4" t="n">
        <v>5</v>
      </c>
      <c r="C7646" s="4" t="inlineStr">
        <is>
          <t>mule deer</t>
        </is>
      </c>
      <c r="D7646" s="4" t="n">
        <v>2019</v>
      </c>
      <c r="E7646" s="4" t="inlineStr"/>
      <c r="F7646" s="5" t="n">
        <v>460</v>
      </c>
      <c r="G7646" s="5" t="n">
        <v>2056</v>
      </c>
      <c r="H7646" s="5" t="n">
        <v>149</v>
      </c>
      <c r="I7646" s="5" t="n">
        <v>137</v>
      </c>
      <c r="J7646" s="5" t="n">
        <v>12</v>
      </c>
      <c r="K7646" s="10">
        <f>IF(F7646&gt;0,H7646/F7646,"")</f>
        <v/>
      </c>
      <c r="L7646" s="16">
        <f>IF(AND(G7646&gt;0,H7646&gt;0),G7646/H7646,"")</f>
        <v/>
      </c>
    </row>
    <row r="7647">
      <c r="A7647" s="4" t="inlineStr">
        <is>
          <t>511</t>
        </is>
      </c>
      <c r="B7647" s="4" t="n">
        <v>5</v>
      </c>
      <c r="C7647" s="4" t="inlineStr">
        <is>
          <t>mule deer</t>
        </is>
      </c>
      <c r="D7647" s="4" t="n">
        <v>2020</v>
      </c>
      <c r="E7647" s="4" t="inlineStr"/>
      <c r="F7647" s="5" t="n"/>
      <c r="G7647" s="5" t="n"/>
      <c r="H7647" s="5" t="n">
        <v>176</v>
      </c>
      <c r="I7647" s="5" t="n">
        <v>166</v>
      </c>
      <c r="J7647" s="5" t="n">
        <v>10</v>
      </c>
      <c r="K7647" s="10">
        <f>IF(F7647&gt;0,H7647/F7647,"")</f>
        <v/>
      </c>
      <c r="L7647" s="16">
        <f>IF(AND(G7647&gt;0,H7647&gt;0),G7647/H7647,"")</f>
        <v/>
      </c>
    </row>
    <row r="7648">
      <c r="A7648" s="4" t="inlineStr">
        <is>
          <t>511</t>
        </is>
      </c>
      <c r="B7648" s="4" t="n">
        <v>5</v>
      </c>
      <c r="C7648" s="4" t="inlineStr">
        <is>
          <t>mule deer</t>
        </is>
      </c>
      <c r="D7648" s="4" t="n">
        <v>2021</v>
      </c>
      <c r="E7648" s="4" t="inlineStr"/>
      <c r="F7648" s="5" t="n">
        <v>602</v>
      </c>
      <c r="G7648" s="5" t="n">
        <v>3070</v>
      </c>
      <c r="H7648" s="5" t="n">
        <v>148</v>
      </c>
      <c r="I7648" s="5" t="n">
        <v>140</v>
      </c>
      <c r="J7648" s="5" t="n">
        <v>8</v>
      </c>
      <c r="K7648" s="10">
        <f>IF(F7648&gt;0,H7648/F7648,"")</f>
        <v/>
      </c>
      <c r="L7648" s="16">
        <f>IF(AND(G7648&gt;0,H7648&gt;0),G7648/H7648,"")</f>
        <v/>
      </c>
    </row>
    <row r="7649">
      <c r="A7649" s="4" t="inlineStr">
        <is>
          <t>515</t>
        </is>
      </c>
      <c r="B7649" s="4" t="n">
        <v>5</v>
      </c>
      <c r="C7649" s="4" t="inlineStr">
        <is>
          <t>mule deer</t>
        </is>
      </c>
      <c r="D7649" s="4" t="n">
        <v>2022</v>
      </c>
      <c r="E7649" s="13" t="inlineStr">
        <is>
          <t>General</t>
        </is>
      </c>
      <c r="F7649" s="5" t="n"/>
      <c r="G7649" s="5" t="n"/>
      <c r="H7649" s="5" t="n">
        <v>809</v>
      </c>
      <c r="I7649" s="5" t="n">
        <v>606</v>
      </c>
      <c r="J7649" s="5" t="n">
        <v>196</v>
      </c>
      <c r="K7649" s="10">
        <f>IF(F7649&gt;0,H7649/F7649,"")</f>
        <v/>
      </c>
      <c r="L7649" s="16">
        <f>IF(AND(G7649&gt;0,H7649&gt;0),G7649/H7649,"")</f>
        <v/>
      </c>
    </row>
    <row r="7650">
      <c r="A7650" s="4" t="inlineStr">
        <is>
          <t>515</t>
        </is>
      </c>
      <c r="B7650" s="4" t="n">
        <v>5</v>
      </c>
      <c r="C7650" s="4" t="inlineStr">
        <is>
          <t>mule deer</t>
        </is>
      </c>
      <c r="D7650" s="4" t="n">
        <v>2023</v>
      </c>
      <c r="E7650" s="13" t="inlineStr">
        <is>
          <t>General</t>
        </is>
      </c>
      <c r="F7650" s="5" t="n">
        <v>2337</v>
      </c>
      <c r="G7650" s="5" t="n">
        <v>13017</v>
      </c>
      <c r="H7650" s="5" t="n">
        <v>747</v>
      </c>
      <c r="I7650" s="5" t="n">
        <v>491</v>
      </c>
      <c r="J7650" s="5" t="n">
        <v>256</v>
      </c>
      <c r="K7650" s="10">
        <f>IF(F7650&gt;0,H7650/F7650,"")</f>
        <v/>
      </c>
      <c r="L7650" s="16">
        <f>IF(AND(G7650&gt;0,H7650&gt;0),G7650/H7650,"")</f>
        <v/>
      </c>
    </row>
    <row r="7651">
      <c r="A7651" s="4" t="inlineStr">
        <is>
          <t>515</t>
        </is>
      </c>
      <c r="B7651" s="4" t="n">
        <v>5</v>
      </c>
      <c r="C7651" s="4" t="inlineStr">
        <is>
          <t>mule deer</t>
        </is>
      </c>
      <c r="D7651" s="4" t="n">
        <v>2024</v>
      </c>
      <c r="E7651" s="13" t="inlineStr">
        <is>
          <t>General</t>
        </is>
      </c>
      <c r="F7651" s="5" t="n"/>
      <c r="G7651" s="5" t="n"/>
      <c r="H7651" s="5" t="n">
        <v>719</v>
      </c>
      <c r="I7651" s="5" t="n">
        <v>648</v>
      </c>
      <c r="J7651" s="5" t="n">
        <v>68</v>
      </c>
      <c r="K7651" s="10">
        <f>IF(F7651&gt;0,H7651/F7651,"")</f>
        <v/>
      </c>
      <c r="L7651" s="16">
        <f>IF(AND(G7651&gt;0,H7651&gt;0),G7651/H7651,"")</f>
        <v/>
      </c>
    </row>
    <row r="7652">
      <c r="A7652" s="4" t="inlineStr">
        <is>
          <t>515</t>
        </is>
      </c>
      <c r="B7652" s="4" t="n">
        <v>5</v>
      </c>
      <c r="C7652" s="4" t="inlineStr">
        <is>
          <t>mule deer</t>
        </is>
      </c>
      <c r="D7652" s="4" t="n">
        <v>2025</v>
      </c>
      <c r="E7652" s="13" t="inlineStr">
        <is>
          <t>General</t>
        </is>
      </c>
      <c r="F7652" s="5" t="n">
        <v>2329</v>
      </c>
      <c r="G7652" s="5" t="n">
        <v>12505</v>
      </c>
      <c r="H7652" s="5" t="n">
        <v>680</v>
      </c>
      <c r="I7652" s="5" t="n">
        <v>646</v>
      </c>
      <c r="J7652" s="5" t="n">
        <v>34</v>
      </c>
      <c r="K7652" s="10">
        <f>IF(F7652&gt;0,H7652/F7652,"")</f>
        <v/>
      </c>
      <c r="L7652" s="16">
        <f>IF(AND(G7652&gt;0,H7652&gt;0),G7652/H7652,"")</f>
        <v/>
      </c>
    </row>
    <row r="7653">
      <c r="A7653" s="4" t="inlineStr">
        <is>
          <t>520</t>
        </is>
      </c>
      <c r="B7653" s="4" t="n">
        <v>5</v>
      </c>
      <c r="C7653" s="4" t="inlineStr">
        <is>
          <t>mule deer</t>
        </is>
      </c>
      <c r="D7653" s="4" t="n">
        <v>2004</v>
      </c>
      <c r="E7653" s="4" t="inlineStr"/>
      <c r="F7653" s="5" t="n">
        <v>2420</v>
      </c>
      <c r="G7653" s="5" t="n">
        <v>10125</v>
      </c>
      <c r="H7653" s="5" t="n">
        <v>927</v>
      </c>
      <c r="I7653" s="5" t="n">
        <v>676</v>
      </c>
      <c r="J7653" s="5" t="n">
        <v>245</v>
      </c>
      <c r="K7653" s="10">
        <f>IF(F7653&gt;0,H7653/F7653,"")</f>
        <v/>
      </c>
      <c r="L7653" s="16">
        <f>IF(AND(G7653&gt;0,H7653&gt;0),G7653/H7653,"")</f>
        <v/>
      </c>
    </row>
    <row r="7654">
      <c r="A7654" s="4" t="inlineStr">
        <is>
          <t>520</t>
        </is>
      </c>
      <c r="B7654" s="4" t="n">
        <v>5</v>
      </c>
      <c r="C7654" s="4" t="inlineStr">
        <is>
          <t>mule deer</t>
        </is>
      </c>
      <c r="D7654" s="4" t="n">
        <v>2005</v>
      </c>
      <c r="E7654" s="4" t="inlineStr"/>
      <c r="F7654" s="5" t="n">
        <v>2014</v>
      </c>
      <c r="G7654" s="5" t="n">
        <v>9171</v>
      </c>
      <c r="H7654" s="5" t="n">
        <v>710</v>
      </c>
      <c r="I7654" s="5" t="n">
        <v>489</v>
      </c>
      <c r="J7654" s="5" t="n">
        <v>217</v>
      </c>
      <c r="K7654" s="10">
        <f>IF(F7654&gt;0,H7654/F7654,"")</f>
        <v/>
      </c>
      <c r="L7654" s="16">
        <f>IF(AND(G7654&gt;0,H7654&gt;0),G7654/H7654,"")</f>
        <v/>
      </c>
    </row>
    <row r="7655">
      <c r="A7655" s="4" t="inlineStr">
        <is>
          <t>520</t>
        </is>
      </c>
      <c r="B7655" s="4" t="n">
        <v>5</v>
      </c>
      <c r="C7655" s="4" t="inlineStr">
        <is>
          <t>mule deer</t>
        </is>
      </c>
      <c r="D7655" s="4" t="n">
        <v>2006</v>
      </c>
      <c r="E7655" s="4" t="inlineStr"/>
      <c r="F7655" s="5" t="n">
        <v>1811</v>
      </c>
      <c r="G7655" s="5" t="n">
        <v>7788</v>
      </c>
      <c r="H7655" s="5" t="n">
        <v>666</v>
      </c>
      <c r="I7655" s="5" t="n">
        <v>467</v>
      </c>
      <c r="J7655" s="5" t="n">
        <v>197</v>
      </c>
      <c r="K7655" s="10">
        <f>IF(F7655&gt;0,H7655/F7655,"")</f>
        <v/>
      </c>
      <c r="L7655" s="16">
        <f>IF(AND(G7655&gt;0,H7655&gt;0),G7655/H7655,"")</f>
        <v/>
      </c>
    </row>
    <row r="7656">
      <c r="A7656" s="4" t="inlineStr">
        <is>
          <t>520</t>
        </is>
      </c>
      <c r="B7656" s="4" t="n">
        <v>5</v>
      </c>
      <c r="C7656" s="4" t="inlineStr">
        <is>
          <t>mule deer</t>
        </is>
      </c>
      <c r="D7656" s="4" t="n">
        <v>2007</v>
      </c>
      <c r="E7656" s="4" t="inlineStr"/>
      <c r="F7656" s="5" t="n">
        <v>1698</v>
      </c>
      <c r="G7656" s="5" t="n">
        <v>7613</v>
      </c>
      <c r="H7656" s="5" t="n">
        <v>590</v>
      </c>
      <c r="I7656" s="5" t="n">
        <v>378</v>
      </c>
      <c r="J7656" s="5" t="n">
        <v>206</v>
      </c>
      <c r="K7656" s="10">
        <f>IF(F7656&gt;0,H7656/F7656,"")</f>
        <v/>
      </c>
      <c r="L7656" s="16">
        <f>IF(AND(G7656&gt;0,H7656&gt;0),G7656/H7656,"")</f>
        <v/>
      </c>
    </row>
    <row r="7657">
      <c r="A7657" s="4" t="inlineStr">
        <is>
          <t>520</t>
        </is>
      </c>
      <c r="B7657" s="4" t="n">
        <v>5</v>
      </c>
      <c r="C7657" s="4" t="inlineStr">
        <is>
          <t>mule deer</t>
        </is>
      </c>
      <c r="D7657" s="4" t="n">
        <v>2008</v>
      </c>
      <c r="E7657" s="4" t="inlineStr"/>
      <c r="F7657" s="5" t="n">
        <v>1643</v>
      </c>
      <c r="G7657" s="5" t="n">
        <v>7437</v>
      </c>
      <c r="H7657" s="5" t="n">
        <v>451</v>
      </c>
      <c r="I7657" s="5" t="n">
        <v>265</v>
      </c>
      <c r="J7657" s="5" t="n">
        <v>180</v>
      </c>
      <c r="K7657" s="10">
        <f>IF(F7657&gt;0,H7657/F7657,"")</f>
        <v/>
      </c>
      <c r="L7657" s="16">
        <f>IF(AND(G7657&gt;0,H7657&gt;0),G7657/H7657,"")</f>
        <v/>
      </c>
    </row>
    <row r="7658">
      <c r="A7658" s="4" t="inlineStr">
        <is>
          <t>520</t>
        </is>
      </c>
      <c r="B7658" s="4" t="n">
        <v>5</v>
      </c>
      <c r="C7658" s="4" t="inlineStr">
        <is>
          <t>mule deer</t>
        </is>
      </c>
      <c r="D7658" s="4" t="n">
        <v>2009</v>
      </c>
      <c r="E7658" s="4" t="inlineStr"/>
      <c r="F7658" s="5" t="n">
        <v>1794</v>
      </c>
      <c r="G7658" s="5" t="n">
        <v>8738</v>
      </c>
      <c r="H7658" s="5" t="n">
        <v>437</v>
      </c>
      <c r="I7658" s="5" t="n">
        <v>323</v>
      </c>
      <c r="J7658" s="5" t="n">
        <v>114</v>
      </c>
      <c r="K7658" s="10">
        <f>IF(F7658&gt;0,H7658/F7658,"")</f>
        <v/>
      </c>
      <c r="L7658" s="16">
        <f>IF(AND(G7658&gt;0,H7658&gt;0),G7658/H7658,"")</f>
        <v/>
      </c>
    </row>
    <row r="7659">
      <c r="A7659" s="4" t="inlineStr">
        <is>
          <t>520</t>
        </is>
      </c>
      <c r="B7659" s="4" t="n">
        <v>5</v>
      </c>
      <c r="C7659" s="4" t="inlineStr">
        <is>
          <t>mule deer</t>
        </is>
      </c>
      <c r="D7659" s="4" t="n">
        <v>2010</v>
      </c>
      <c r="E7659" s="4" t="inlineStr"/>
      <c r="F7659" s="5" t="n">
        <v>1804</v>
      </c>
      <c r="G7659" s="5" t="n">
        <v>9238</v>
      </c>
      <c r="H7659" s="5" t="n">
        <v>428</v>
      </c>
      <c r="I7659" s="5" t="n">
        <v>351</v>
      </c>
      <c r="J7659" s="5" t="n">
        <v>74</v>
      </c>
      <c r="K7659" s="10">
        <f>IF(F7659&gt;0,H7659/F7659,"")</f>
        <v/>
      </c>
      <c r="L7659" s="16">
        <f>IF(AND(G7659&gt;0,H7659&gt;0),G7659/H7659,"")</f>
        <v/>
      </c>
    </row>
    <row r="7660">
      <c r="A7660" s="4" t="inlineStr">
        <is>
          <t>520</t>
        </is>
      </c>
      <c r="B7660" s="4" t="n">
        <v>5</v>
      </c>
      <c r="C7660" s="4" t="inlineStr">
        <is>
          <t>mule deer</t>
        </is>
      </c>
      <c r="D7660" s="4" t="n">
        <v>2011</v>
      </c>
      <c r="E7660" s="4" t="inlineStr"/>
      <c r="F7660" s="5" t="n">
        <v>2082</v>
      </c>
      <c r="G7660" s="5" t="n">
        <v>10893</v>
      </c>
      <c r="H7660" s="5" t="n">
        <v>391</v>
      </c>
      <c r="I7660" s="5" t="n">
        <v>303</v>
      </c>
      <c r="J7660" s="5" t="n">
        <v>89</v>
      </c>
      <c r="K7660" s="10">
        <f>IF(F7660&gt;0,H7660/F7660,"")</f>
        <v/>
      </c>
      <c r="L7660" s="16">
        <f>IF(AND(G7660&gt;0,H7660&gt;0),G7660/H7660,"")</f>
        <v/>
      </c>
    </row>
    <row r="7661">
      <c r="A7661" s="4" t="inlineStr">
        <is>
          <t>520</t>
        </is>
      </c>
      <c r="B7661" s="4" t="n">
        <v>5</v>
      </c>
      <c r="C7661" s="4" t="inlineStr">
        <is>
          <t>mule deer</t>
        </is>
      </c>
      <c r="D7661" s="4" t="n">
        <v>2012</v>
      </c>
      <c r="E7661" s="4" t="inlineStr"/>
      <c r="F7661" s="5" t="n"/>
      <c r="G7661" s="5" t="n"/>
      <c r="H7661" s="5" t="n">
        <v>361</v>
      </c>
      <c r="I7661" s="5" t="n">
        <v>321</v>
      </c>
      <c r="J7661" s="5" t="n">
        <v>40</v>
      </c>
      <c r="K7661" s="10">
        <f>IF(F7661&gt;0,H7661/F7661,"")</f>
        <v/>
      </c>
      <c r="L7661" s="16">
        <f>IF(AND(G7661&gt;0,H7661&gt;0),G7661/H7661,"")</f>
        <v/>
      </c>
    </row>
    <row r="7662">
      <c r="A7662" s="4" t="inlineStr">
        <is>
          <t>520</t>
        </is>
      </c>
      <c r="B7662" s="4" t="n">
        <v>5</v>
      </c>
      <c r="C7662" s="4" t="inlineStr">
        <is>
          <t>mule deer</t>
        </is>
      </c>
      <c r="D7662" s="4" t="n">
        <v>2013</v>
      </c>
      <c r="E7662" s="4" t="inlineStr"/>
      <c r="F7662" s="5" t="n">
        <v>2143</v>
      </c>
      <c r="G7662" s="5" t="n">
        <v>11133</v>
      </c>
      <c r="H7662" s="5" t="n">
        <v>362</v>
      </c>
      <c r="I7662" s="5" t="n">
        <v>325</v>
      </c>
      <c r="J7662" s="5" t="n">
        <v>38</v>
      </c>
      <c r="K7662" s="10">
        <f>IF(F7662&gt;0,H7662/F7662,"")</f>
        <v/>
      </c>
      <c r="L7662" s="16">
        <f>IF(AND(G7662&gt;0,H7662&gt;0),G7662/H7662,"")</f>
        <v/>
      </c>
    </row>
    <row r="7663">
      <c r="A7663" s="4" t="inlineStr">
        <is>
          <t>520</t>
        </is>
      </c>
      <c r="B7663" s="4" t="n">
        <v>5</v>
      </c>
      <c r="C7663" s="4" t="inlineStr">
        <is>
          <t>mule deer</t>
        </is>
      </c>
      <c r="D7663" s="4" t="n">
        <v>2014</v>
      </c>
      <c r="E7663" s="4" t="inlineStr"/>
      <c r="F7663" s="5" t="n"/>
      <c r="G7663" s="5" t="n"/>
      <c r="H7663" s="5" t="n">
        <v>300</v>
      </c>
      <c r="I7663" s="5" t="n">
        <v>300</v>
      </c>
      <c r="J7663" s="5" t="n">
        <v>0</v>
      </c>
      <c r="K7663" s="10">
        <f>IF(F7663&gt;0,H7663/F7663,"")</f>
        <v/>
      </c>
      <c r="L7663" s="16">
        <f>IF(AND(G7663&gt;0,H7663&gt;0),G7663/H7663,"")</f>
        <v/>
      </c>
    </row>
    <row r="7664">
      <c r="A7664" s="4" t="inlineStr">
        <is>
          <t>520</t>
        </is>
      </c>
      <c r="B7664" s="4" t="n">
        <v>5</v>
      </c>
      <c r="C7664" s="4" t="inlineStr">
        <is>
          <t>mule deer</t>
        </is>
      </c>
      <c r="D7664" s="4" t="n">
        <v>2015</v>
      </c>
      <c r="E7664" s="4" t="inlineStr"/>
      <c r="F7664" s="5" t="n"/>
      <c r="G7664" s="5" t="n"/>
      <c r="H7664" s="5" t="n">
        <v>253</v>
      </c>
      <c r="I7664" s="5" t="n">
        <v>247</v>
      </c>
      <c r="J7664" s="5" t="n">
        <v>3</v>
      </c>
      <c r="K7664" s="10">
        <f>IF(F7664&gt;0,H7664/F7664,"")</f>
        <v/>
      </c>
      <c r="L7664" s="16">
        <f>IF(AND(G7664&gt;0,H7664&gt;0),G7664/H7664,"")</f>
        <v/>
      </c>
    </row>
    <row r="7665">
      <c r="A7665" s="4" t="inlineStr">
        <is>
          <t>520</t>
        </is>
      </c>
      <c r="B7665" s="4" t="n">
        <v>5</v>
      </c>
      <c r="C7665" s="4" t="inlineStr">
        <is>
          <t>mule deer</t>
        </is>
      </c>
      <c r="D7665" s="4" t="n">
        <v>2016</v>
      </c>
      <c r="E7665" s="4" t="inlineStr"/>
      <c r="F7665" s="5" t="n"/>
      <c r="G7665" s="5" t="n"/>
      <c r="H7665" s="5" t="n">
        <v>391</v>
      </c>
      <c r="I7665" s="5" t="n">
        <v>346</v>
      </c>
      <c r="J7665" s="5" t="n">
        <v>45</v>
      </c>
      <c r="K7665" s="10">
        <f>IF(F7665&gt;0,H7665/F7665,"")</f>
        <v/>
      </c>
      <c r="L7665" s="16">
        <f>IF(AND(G7665&gt;0,H7665&gt;0),G7665/H7665,"")</f>
        <v/>
      </c>
    </row>
    <row r="7666">
      <c r="A7666" s="4" t="inlineStr">
        <is>
          <t>520</t>
        </is>
      </c>
      <c r="B7666" s="4" t="n">
        <v>5</v>
      </c>
      <c r="C7666" s="4" t="inlineStr">
        <is>
          <t>mule deer</t>
        </is>
      </c>
      <c r="D7666" s="4" t="n">
        <v>2017</v>
      </c>
      <c r="E7666" s="4" t="inlineStr"/>
      <c r="F7666" s="5" t="n">
        <v>1685</v>
      </c>
      <c r="G7666" s="5" t="n">
        <v>8888</v>
      </c>
      <c r="H7666" s="5" t="n">
        <v>317</v>
      </c>
      <c r="I7666" s="5" t="n">
        <v>273</v>
      </c>
      <c r="J7666" s="5" t="n">
        <v>43</v>
      </c>
      <c r="K7666" s="10">
        <f>IF(F7666&gt;0,H7666/F7666,"")</f>
        <v/>
      </c>
      <c r="L7666" s="16">
        <f>IF(AND(G7666&gt;0,H7666&gt;0),G7666/H7666,"")</f>
        <v/>
      </c>
    </row>
    <row r="7667">
      <c r="A7667" s="4" t="inlineStr">
        <is>
          <t>520</t>
        </is>
      </c>
      <c r="B7667" s="4" t="n">
        <v>5</v>
      </c>
      <c r="C7667" s="4" t="inlineStr">
        <is>
          <t>mule deer</t>
        </is>
      </c>
      <c r="D7667" s="4" t="n">
        <v>2018</v>
      </c>
      <c r="E7667" s="4" t="inlineStr"/>
      <c r="F7667" s="5" t="n"/>
      <c r="G7667" s="5" t="n"/>
      <c r="H7667" s="5" t="n">
        <v>329</v>
      </c>
      <c r="I7667" s="5" t="n">
        <v>262</v>
      </c>
      <c r="J7667" s="5" t="n">
        <v>67</v>
      </c>
      <c r="K7667" s="10">
        <f>IF(F7667&gt;0,H7667/F7667,"")</f>
        <v/>
      </c>
      <c r="L7667" s="16">
        <f>IF(AND(G7667&gt;0,H7667&gt;0),G7667/H7667,"")</f>
        <v/>
      </c>
    </row>
    <row r="7668">
      <c r="A7668" s="4" t="inlineStr">
        <is>
          <t>520</t>
        </is>
      </c>
      <c r="B7668" s="4" t="n">
        <v>5</v>
      </c>
      <c r="C7668" s="4" t="inlineStr">
        <is>
          <t>mule deer</t>
        </is>
      </c>
      <c r="D7668" s="4" t="n">
        <v>2019</v>
      </c>
      <c r="E7668" s="4" t="inlineStr"/>
      <c r="F7668" s="5" t="n">
        <v>1469</v>
      </c>
      <c r="G7668" s="5" t="n">
        <v>8270</v>
      </c>
      <c r="H7668" s="5" t="n">
        <v>295</v>
      </c>
      <c r="I7668" s="5" t="n">
        <v>220</v>
      </c>
      <c r="J7668" s="5" t="n">
        <v>76</v>
      </c>
      <c r="K7668" s="10">
        <f>IF(F7668&gt;0,H7668/F7668,"")</f>
        <v/>
      </c>
      <c r="L7668" s="16">
        <f>IF(AND(G7668&gt;0,H7668&gt;0),G7668/H7668,"")</f>
        <v/>
      </c>
    </row>
    <row r="7669">
      <c r="A7669" s="4" t="inlineStr">
        <is>
          <t>520</t>
        </is>
      </c>
      <c r="B7669" s="4" t="n">
        <v>5</v>
      </c>
      <c r="C7669" s="4" t="inlineStr">
        <is>
          <t>mule deer</t>
        </is>
      </c>
      <c r="D7669" s="4" t="n">
        <v>2020</v>
      </c>
      <c r="E7669" s="4" t="inlineStr"/>
      <c r="F7669" s="5" t="n"/>
      <c r="G7669" s="5" t="n"/>
      <c r="H7669" s="5" t="n">
        <v>272</v>
      </c>
      <c r="I7669" s="5" t="n">
        <v>204</v>
      </c>
      <c r="J7669" s="5" t="n">
        <v>69</v>
      </c>
      <c r="K7669" s="10">
        <f>IF(F7669&gt;0,H7669/F7669,"")</f>
        <v/>
      </c>
      <c r="L7669" s="16">
        <f>IF(AND(G7669&gt;0,H7669&gt;0),G7669/H7669,"")</f>
        <v/>
      </c>
    </row>
    <row r="7670">
      <c r="A7670" s="4" t="inlineStr">
        <is>
          <t>520</t>
        </is>
      </c>
      <c r="B7670" s="4" t="n">
        <v>5</v>
      </c>
      <c r="C7670" s="4" t="inlineStr">
        <is>
          <t>mule deer</t>
        </is>
      </c>
      <c r="D7670" s="4" t="n">
        <v>2021</v>
      </c>
      <c r="E7670" s="4" t="inlineStr"/>
      <c r="F7670" s="5" t="n">
        <v>1362</v>
      </c>
      <c r="G7670" s="5" t="n">
        <v>7893</v>
      </c>
      <c r="H7670" s="5" t="n">
        <v>187</v>
      </c>
      <c r="I7670" s="5" t="n">
        <v>123</v>
      </c>
      <c r="J7670" s="5" t="n">
        <v>64</v>
      </c>
      <c r="K7670" s="10">
        <f>IF(F7670&gt;0,H7670/F7670,"")</f>
        <v/>
      </c>
      <c r="L7670" s="16">
        <f>IF(AND(G7670&gt;0,H7670&gt;0),G7670/H7670,"")</f>
        <v/>
      </c>
    </row>
    <row r="7671">
      <c r="A7671" s="4" t="inlineStr">
        <is>
          <t>525</t>
        </is>
      </c>
      <c r="B7671" s="4" t="n">
        <v>5</v>
      </c>
      <c r="C7671" s="4" t="inlineStr">
        <is>
          <t>mule deer</t>
        </is>
      </c>
      <c r="D7671" s="4" t="n">
        <v>2022</v>
      </c>
      <c r="E7671" s="13" t="inlineStr">
        <is>
          <t>General</t>
        </is>
      </c>
      <c r="F7671" s="5" t="n"/>
      <c r="G7671" s="5" t="n"/>
      <c r="H7671" s="5" t="n">
        <v>395</v>
      </c>
      <c r="I7671" s="5" t="n">
        <v>350</v>
      </c>
      <c r="J7671" s="5" t="n">
        <v>42</v>
      </c>
      <c r="K7671" s="10">
        <f>IF(F7671&gt;0,H7671/F7671,"")</f>
        <v/>
      </c>
      <c r="L7671" s="16">
        <f>IF(AND(G7671&gt;0,H7671&gt;0),G7671/H7671,"")</f>
        <v/>
      </c>
    </row>
    <row r="7672">
      <c r="A7672" s="4" t="inlineStr">
        <is>
          <t>525</t>
        </is>
      </c>
      <c r="B7672" s="4" t="n">
        <v>5</v>
      </c>
      <c r="C7672" s="4" t="inlineStr">
        <is>
          <t>mule deer</t>
        </is>
      </c>
      <c r="D7672" s="4" t="n">
        <v>2023</v>
      </c>
      <c r="E7672" s="13" t="inlineStr">
        <is>
          <t>General</t>
        </is>
      </c>
      <c r="F7672" s="5" t="n">
        <v>2110</v>
      </c>
      <c r="G7672" s="5" t="n">
        <v>12779</v>
      </c>
      <c r="H7672" s="5" t="n">
        <v>377</v>
      </c>
      <c r="I7672" s="5" t="n">
        <v>332</v>
      </c>
      <c r="J7672" s="5" t="n">
        <v>42</v>
      </c>
      <c r="K7672" s="10">
        <f>IF(F7672&gt;0,H7672/F7672,"")</f>
        <v/>
      </c>
      <c r="L7672" s="16">
        <f>IF(AND(G7672&gt;0,H7672&gt;0),G7672/H7672,"")</f>
        <v/>
      </c>
    </row>
    <row r="7673">
      <c r="A7673" s="4" t="inlineStr">
        <is>
          <t>525</t>
        </is>
      </c>
      <c r="B7673" s="4" t="n">
        <v>5</v>
      </c>
      <c r="C7673" s="4" t="inlineStr">
        <is>
          <t>mule deer</t>
        </is>
      </c>
      <c r="D7673" s="4" t="n">
        <v>2024</v>
      </c>
      <c r="E7673" s="13" t="inlineStr">
        <is>
          <t>General</t>
        </is>
      </c>
      <c r="F7673" s="5" t="n"/>
      <c r="G7673" s="5" t="n"/>
      <c r="H7673" s="5" t="n">
        <v>398</v>
      </c>
      <c r="I7673" s="5" t="n">
        <v>362</v>
      </c>
      <c r="J7673" s="5" t="n">
        <v>36</v>
      </c>
      <c r="K7673" s="10">
        <f>IF(F7673&gt;0,H7673/F7673,"")</f>
        <v/>
      </c>
      <c r="L7673" s="16">
        <f>IF(AND(G7673&gt;0,H7673&gt;0),G7673/H7673,"")</f>
        <v/>
      </c>
    </row>
    <row r="7674">
      <c r="A7674" s="4" t="inlineStr">
        <is>
          <t>525</t>
        </is>
      </c>
      <c r="B7674" s="4" t="n">
        <v>5</v>
      </c>
      <c r="C7674" s="4" t="inlineStr">
        <is>
          <t>mule deer</t>
        </is>
      </c>
      <c r="D7674" s="4" t="n">
        <v>2025</v>
      </c>
      <c r="E7674" s="13" t="inlineStr">
        <is>
          <t>General</t>
        </is>
      </c>
      <c r="F7674" s="5" t="n">
        <v>2334</v>
      </c>
      <c r="G7674" s="5" t="n">
        <v>13051</v>
      </c>
      <c r="H7674" s="5" t="n">
        <v>484</v>
      </c>
      <c r="I7674" s="5" t="n">
        <v>447</v>
      </c>
      <c r="J7674" s="5" t="n">
        <v>37</v>
      </c>
      <c r="K7674" s="10">
        <f>IF(F7674&gt;0,H7674/F7674,"")</f>
        <v/>
      </c>
      <c r="L7674" s="16">
        <f>IF(AND(G7674&gt;0,H7674&gt;0),G7674/H7674,"")</f>
        <v/>
      </c>
    </row>
    <row r="7675">
      <c r="A7675" s="4" t="inlineStr">
        <is>
          <t>530</t>
        </is>
      </c>
      <c r="B7675" s="4" t="n">
        <v>5</v>
      </c>
      <c r="C7675" s="4" t="inlineStr">
        <is>
          <t>mule deer</t>
        </is>
      </c>
      <c r="D7675" s="4" t="n">
        <v>2004</v>
      </c>
      <c r="E7675" s="4" t="inlineStr"/>
      <c r="F7675" s="5" t="n">
        <v>1279</v>
      </c>
      <c r="G7675" s="5" t="n">
        <v>4869</v>
      </c>
      <c r="H7675" s="5" t="n">
        <v>638</v>
      </c>
      <c r="I7675" s="5" t="n">
        <v>375</v>
      </c>
      <c r="J7675" s="5" t="n">
        <v>253</v>
      </c>
      <c r="K7675" s="10">
        <f>IF(F7675&gt;0,H7675/F7675,"")</f>
        <v/>
      </c>
      <c r="L7675" s="16">
        <f>IF(AND(G7675&gt;0,H7675&gt;0),G7675/H7675,"")</f>
        <v/>
      </c>
    </row>
    <row r="7676">
      <c r="A7676" s="4" t="inlineStr">
        <is>
          <t>530</t>
        </is>
      </c>
      <c r="B7676" s="4" t="n">
        <v>5</v>
      </c>
      <c r="C7676" s="4" t="inlineStr">
        <is>
          <t>mule deer</t>
        </is>
      </c>
      <c r="D7676" s="4" t="n">
        <v>2005</v>
      </c>
      <c r="E7676" s="4" t="inlineStr"/>
      <c r="F7676" s="5" t="n">
        <v>1212</v>
      </c>
      <c r="G7676" s="5" t="n">
        <v>5059</v>
      </c>
      <c r="H7676" s="5" t="n">
        <v>608</v>
      </c>
      <c r="I7676" s="5" t="n">
        <v>412</v>
      </c>
      <c r="J7676" s="5" t="n">
        <v>189</v>
      </c>
      <c r="K7676" s="10">
        <f>IF(F7676&gt;0,H7676/F7676,"")</f>
        <v/>
      </c>
      <c r="L7676" s="16">
        <f>IF(AND(G7676&gt;0,H7676&gt;0),G7676/H7676,"")</f>
        <v/>
      </c>
    </row>
    <row r="7677">
      <c r="A7677" s="4" t="inlineStr">
        <is>
          <t>530</t>
        </is>
      </c>
      <c r="B7677" s="4" t="n">
        <v>5</v>
      </c>
      <c r="C7677" s="4" t="inlineStr">
        <is>
          <t>mule deer</t>
        </is>
      </c>
      <c r="D7677" s="4" t="n">
        <v>2006</v>
      </c>
      <c r="E7677" s="4" t="inlineStr"/>
      <c r="F7677" s="5" t="n">
        <v>1250</v>
      </c>
      <c r="G7677" s="5" t="n">
        <v>5575</v>
      </c>
      <c r="H7677" s="5" t="n">
        <v>699</v>
      </c>
      <c r="I7677" s="5" t="n">
        <v>528</v>
      </c>
      <c r="J7677" s="5" t="n">
        <v>170</v>
      </c>
      <c r="K7677" s="10">
        <f>IF(F7677&gt;0,H7677/F7677,"")</f>
        <v/>
      </c>
      <c r="L7677" s="16">
        <f>IF(AND(G7677&gt;0,H7677&gt;0),G7677/H7677,"")</f>
        <v/>
      </c>
    </row>
    <row r="7678">
      <c r="A7678" s="4" t="inlineStr">
        <is>
          <t>530</t>
        </is>
      </c>
      <c r="B7678" s="4" t="n">
        <v>5</v>
      </c>
      <c r="C7678" s="4" t="inlineStr">
        <is>
          <t>mule deer</t>
        </is>
      </c>
      <c r="D7678" s="4" t="n">
        <v>2007</v>
      </c>
      <c r="E7678" s="4" t="inlineStr"/>
      <c r="F7678" s="5" t="n">
        <v>1651</v>
      </c>
      <c r="G7678" s="5" t="n">
        <v>7456</v>
      </c>
      <c r="H7678" s="5" t="n">
        <v>924</v>
      </c>
      <c r="I7678" s="5" t="n">
        <v>500</v>
      </c>
      <c r="J7678" s="5" t="n">
        <v>414</v>
      </c>
      <c r="K7678" s="10">
        <f>IF(F7678&gt;0,H7678/F7678,"")</f>
        <v/>
      </c>
      <c r="L7678" s="16">
        <f>IF(AND(G7678&gt;0,H7678&gt;0),G7678/H7678,"")</f>
        <v/>
      </c>
    </row>
    <row r="7679">
      <c r="A7679" s="4" t="inlineStr">
        <is>
          <t>530</t>
        </is>
      </c>
      <c r="B7679" s="4" t="n">
        <v>5</v>
      </c>
      <c r="C7679" s="4" t="inlineStr">
        <is>
          <t>mule deer</t>
        </is>
      </c>
      <c r="D7679" s="4" t="n">
        <v>2008</v>
      </c>
      <c r="E7679" s="4" t="inlineStr"/>
      <c r="F7679" s="5" t="n">
        <v>1570</v>
      </c>
      <c r="G7679" s="5" t="n">
        <v>6437</v>
      </c>
      <c r="H7679" s="5" t="n">
        <v>853</v>
      </c>
      <c r="I7679" s="5" t="n">
        <v>482</v>
      </c>
      <c r="J7679" s="5" t="n">
        <v>355</v>
      </c>
      <c r="K7679" s="10">
        <f>IF(F7679&gt;0,H7679/F7679,"")</f>
        <v/>
      </c>
      <c r="L7679" s="16">
        <f>IF(AND(G7679&gt;0,H7679&gt;0),G7679/H7679,"")</f>
        <v/>
      </c>
    </row>
    <row r="7680">
      <c r="A7680" s="4" t="inlineStr">
        <is>
          <t>530</t>
        </is>
      </c>
      <c r="B7680" s="4" t="n">
        <v>5</v>
      </c>
      <c r="C7680" s="4" t="inlineStr">
        <is>
          <t>mule deer</t>
        </is>
      </c>
      <c r="D7680" s="4" t="n">
        <v>2009</v>
      </c>
      <c r="E7680" s="4" t="inlineStr"/>
      <c r="F7680" s="5" t="n">
        <v>1327</v>
      </c>
      <c r="G7680" s="5" t="n">
        <v>5643</v>
      </c>
      <c r="H7680" s="5" t="n">
        <v>645</v>
      </c>
      <c r="I7680" s="5" t="n">
        <v>422</v>
      </c>
      <c r="J7680" s="5" t="n">
        <v>223</v>
      </c>
      <c r="K7680" s="10">
        <f>IF(F7680&gt;0,H7680/F7680,"")</f>
        <v/>
      </c>
      <c r="L7680" s="16">
        <f>IF(AND(G7680&gt;0,H7680&gt;0),G7680/H7680,"")</f>
        <v/>
      </c>
    </row>
    <row r="7681">
      <c r="A7681" s="4" t="inlineStr">
        <is>
          <t>530</t>
        </is>
      </c>
      <c r="B7681" s="4" t="n">
        <v>5</v>
      </c>
      <c r="C7681" s="4" t="inlineStr">
        <is>
          <t>mule deer</t>
        </is>
      </c>
      <c r="D7681" s="4" t="n">
        <v>2010</v>
      </c>
      <c r="E7681" s="4" t="inlineStr"/>
      <c r="F7681" s="5" t="n">
        <v>1295</v>
      </c>
      <c r="G7681" s="5" t="n">
        <v>7400</v>
      </c>
      <c r="H7681" s="5" t="n">
        <v>495</v>
      </c>
      <c r="I7681" s="5" t="n">
        <v>300</v>
      </c>
      <c r="J7681" s="5" t="n">
        <v>194</v>
      </c>
      <c r="K7681" s="10">
        <f>IF(F7681&gt;0,H7681/F7681,"")</f>
        <v/>
      </c>
      <c r="L7681" s="16">
        <f>IF(AND(G7681&gt;0,H7681&gt;0),G7681/H7681,"")</f>
        <v/>
      </c>
    </row>
    <row r="7682">
      <c r="A7682" s="4" t="inlineStr">
        <is>
          <t>530</t>
        </is>
      </c>
      <c r="B7682" s="4" t="n">
        <v>5</v>
      </c>
      <c r="C7682" s="4" t="inlineStr">
        <is>
          <t>mule deer</t>
        </is>
      </c>
      <c r="D7682" s="4" t="n">
        <v>2011</v>
      </c>
      <c r="E7682" s="4" t="inlineStr"/>
      <c r="F7682" s="5" t="n">
        <v>1134</v>
      </c>
      <c r="G7682" s="5" t="n">
        <v>4956</v>
      </c>
      <c r="H7682" s="5" t="n">
        <v>403</v>
      </c>
      <c r="I7682" s="5" t="n">
        <v>282</v>
      </c>
      <c r="J7682" s="5" t="n">
        <v>118</v>
      </c>
      <c r="K7682" s="10">
        <f>IF(F7682&gt;0,H7682/F7682,"")</f>
        <v/>
      </c>
      <c r="L7682" s="16">
        <f>IF(AND(G7682&gt;0,H7682&gt;0),G7682/H7682,"")</f>
        <v/>
      </c>
    </row>
    <row r="7683">
      <c r="A7683" s="4" t="inlineStr">
        <is>
          <t>530</t>
        </is>
      </c>
      <c r="B7683" s="4" t="n">
        <v>5</v>
      </c>
      <c r="C7683" s="4" t="inlineStr">
        <is>
          <t>mule deer</t>
        </is>
      </c>
      <c r="D7683" s="4" t="n">
        <v>2012</v>
      </c>
      <c r="E7683" s="4" t="inlineStr"/>
      <c r="F7683" s="5" t="n"/>
      <c r="G7683" s="5" t="n"/>
      <c r="H7683" s="5" t="n">
        <v>476</v>
      </c>
      <c r="I7683" s="5" t="n">
        <v>333</v>
      </c>
      <c r="J7683" s="5" t="n">
        <v>140</v>
      </c>
      <c r="K7683" s="10">
        <f>IF(F7683&gt;0,H7683/F7683,"")</f>
        <v/>
      </c>
      <c r="L7683" s="16">
        <f>IF(AND(G7683&gt;0,H7683&gt;0),G7683/H7683,"")</f>
        <v/>
      </c>
    </row>
    <row r="7684">
      <c r="A7684" s="4" t="inlineStr">
        <is>
          <t>530</t>
        </is>
      </c>
      <c r="B7684" s="4" t="n">
        <v>5</v>
      </c>
      <c r="C7684" s="4" t="inlineStr">
        <is>
          <t>mule deer</t>
        </is>
      </c>
      <c r="D7684" s="4" t="n">
        <v>2013</v>
      </c>
      <c r="E7684" s="4" t="inlineStr"/>
      <c r="F7684" s="5" t="n">
        <v>1148</v>
      </c>
      <c r="G7684" s="5" t="n">
        <v>6250</v>
      </c>
      <c r="H7684" s="5" t="n">
        <v>437</v>
      </c>
      <c r="I7684" s="5" t="n">
        <v>326</v>
      </c>
      <c r="J7684" s="5" t="n">
        <v>98</v>
      </c>
      <c r="K7684" s="10">
        <f>IF(F7684&gt;0,H7684/F7684,"")</f>
        <v/>
      </c>
      <c r="L7684" s="16">
        <f>IF(AND(G7684&gt;0,H7684&gt;0),G7684/H7684,"")</f>
        <v/>
      </c>
    </row>
    <row r="7685">
      <c r="A7685" s="4" t="inlineStr">
        <is>
          <t>530</t>
        </is>
      </c>
      <c r="B7685" s="4" t="n">
        <v>5</v>
      </c>
      <c r="C7685" s="4" t="inlineStr">
        <is>
          <t>mule deer</t>
        </is>
      </c>
      <c r="D7685" s="4" t="n">
        <v>2014</v>
      </c>
      <c r="E7685" s="4" t="inlineStr"/>
      <c r="F7685" s="5" t="n"/>
      <c r="G7685" s="5" t="n"/>
      <c r="H7685" s="5" t="n">
        <v>333</v>
      </c>
      <c r="I7685" s="5" t="n">
        <v>327</v>
      </c>
      <c r="J7685" s="5" t="n">
        <v>6</v>
      </c>
      <c r="K7685" s="10">
        <f>IF(F7685&gt;0,H7685/F7685,"")</f>
        <v/>
      </c>
      <c r="L7685" s="16">
        <f>IF(AND(G7685&gt;0,H7685&gt;0),G7685/H7685,"")</f>
        <v/>
      </c>
    </row>
    <row r="7686">
      <c r="A7686" s="4" t="inlineStr">
        <is>
          <t>530</t>
        </is>
      </c>
      <c r="B7686" s="4" t="n">
        <v>5</v>
      </c>
      <c r="C7686" s="4" t="inlineStr">
        <is>
          <t>mule deer</t>
        </is>
      </c>
      <c r="D7686" s="4" t="n">
        <v>2015</v>
      </c>
      <c r="E7686" s="4" t="inlineStr"/>
      <c r="F7686" s="5" t="n"/>
      <c r="G7686" s="5" t="n"/>
      <c r="H7686" s="5" t="n">
        <v>387</v>
      </c>
      <c r="I7686" s="5" t="n">
        <v>368</v>
      </c>
      <c r="J7686" s="5" t="n">
        <v>17</v>
      </c>
      <c r="K7686" s="10">
        <f>IF(F7686&gt;0,H7686/F7686,"")</f>
        <v/>
      </c>
      <c r="L7686" s="16">
        <f>IF(AND(G7686&gt;0,H7686&gt;0),G7686/H7686,"")</f>
        <v/>
      </c>
    </row>
    <row r="7687">
      <c r="A7687" s="4" t="inlineStr">
        <is>
          <t>530</t>
        </is>
      </c>
      <c r="B7687" s="4" t="n">
        <v>5</v>
      </c>
      <c r="C7687" s="4" t="inlineStr">
        <is>
          <t>mule deer</t>
        </is>
      </c>
      <c r="D7687" s="4" t="n">
        <v>2016</v>
      </c>
      <c r="E7687" s="4" t="inlineStr"/>
      <c r="F7687" s="5" t="n"/>
      <c r="G7687" s="5" t="n"/>
      <c r="H7687" s="5" t="n">
        <v>433</v>
      </c>
      <c r="I7687" s="5" t="n">
        <v>383</v>
      </c>
      <c r="J7687" s="5" t="n">
        <v>49</v>
      </c>
      <c r="K7687" s="10">
        <f>IF(F7687&gt;0,H7687/F7687,"")</f>
        <v/>
      </c>
      <c r="L7687" s="16">
        <f>IF(AND(G7687&gt;0,H7687&gt;0),G7687/H7687,"")</f>
        <v/>
      </c>
    </row>
    <row r="7688">
      <c r="A7688" s="4" t="inlineStr">
        <is>
          <t>530</t>
        </is>
      </c>
      <c r="B7688" s="4" t="n">
        <v>5</v>
      </c>
      <c r="C7688" s="4" t="inlineStr">
        <is>
          <t>mule deer</t>
        </is>
      </c>
      <c r="D7688" s="4" t="n">
        <v>2017</v>
      </c>
      <c r="E7688" s="4" t="inlineStr"/>
      <c r="F7688" s="5" t="n">
        <v>1068</v>
      </c>
      <c r="G7688" s="5" t="n">
        <v>4465</v>
      </c>
      <c r="H7688" s="5" t="n">
        <v>645</v>
      </c>
      <c r="I7688" s="5" t="n">
        <v>495</v>
      </c>
      <c r="J7688" s="5" t="n">
        <v>150</v>
      </c>
      <c r="K7688" s="10">
        <f>IF(F7688&gt;0,H7688/F7688,"")</f>
        <v/>
      </c>
      <c r="L7688" s="16">
        <f>IF(AND(G7688&gt;0,H7688&gt;0),G7688/H7688,"")</f>
        <v/>
      </c>
    </row>
    <row r="7689">
      <c r="A7689" s="4" t="inlineStr">
        <is>
          <t>530</t>
        </is>
      </c>
      <c r="B7689" s="4" t="n">
        <v>5</v>
      </c>
      <c r="C7689" s="4" t="inlineStr">
        <is>
          <t>mule deer</t>
        </is>
      </c>
      <c r="D7689" s="4" t="n">
        <v>2018</v>
      </c>
      <c r="E7689" s="4" t="inlineStr"/>
      <c r="F7689" s="5" t="n"/>
      <c r="G7689" s="5" t="n"/>
      <c r="H7689" s="5" t="n">
        <v>480</v>
      </c>
      <c r="I7689" s="5" t="n">
        <v>321</v>
      </c>
      <c r="J7689" s="5" t="n">
        <v>156</v>
      </c>
      <c r="K7689" s="10">
        <f>IF(F7689&gt;0,H7689/F7689,"")</f>
        <v/>
      </c>
      <c r="L7689" s="16">
        <f>IF(AND(G7689&gt;0,H7689&gt;0),G7689/H7689,"")</f>
        <v/>
      </c>
    </row>
    <row r="7690">
      <c r="A7690" s="4" t="inlineStr">
        <is>
          <t>530</t>
        </is>
      </c>
      <c r="B7690" s="4" t="n">
        <v>5</v>
      </c>
      <c r="C7690" s="4" t="inlineStr">
        <is>
          <t>mule deer</t>
        </is>
      </c>
      <c r="D7690" s="4" t="n">
        <v>2019</v>
      </c>
      <c r="E7690" s="4" t="inlineStr"/>
      <c r="F7690" s="5" t="n">
        <v>1261</v>
      </c>
      <c r="G7690" s="5" t="n">
        <v>5194</v>
      </c>
      <c r="H7690" s="5" t="n">
        <v>613</v>
      </c>
      <c r="I7690" s="5" t="n">
        <v>458</v>
      </c>
      <c r="J7690" s="5" t="n">
        <v>151</v>
      </c>
      <c r="K7690" s="10">
        <f>IF(F7690&gt;0,H7690/F7690,"")</f>
        <v/>
      </c>
      <c r="L7690" s="16">
        <f>IF(AND(G7690&gt;0,H7690&gt;0),G7690/H7690,"")</f>
        <v/>
      </c>
    </row>
    <row r="7691">
      <c r="A7691" s="4" t="inlineStr">
        <is>
          <t>530</t>
        </is>
      </c>
      <c r="B7691" s="4" t="n">
        <v>5</v>
      </c>
      <c r="C7691" s="4" t="inlineStr">
        <is>
          <t>mule deer</t>
        </is>
      </c>
      <c r="D7691" s="4" t="n">
        <v>2020</v>
      </c>
      <c r="E7691" s="4" t="inlineStr"/>
      <c r="F7691" s="5" t="n"/>
      <c r="G7691" s="5" t="n"/>
      <c r="H7691" s="5" t="n">
        <v>670</v>
      </c>
      <c r="I7691" s="5" t="n">
        <v>438</v>
      </c>
      <c r="J7691" s="5" t="n">
        <v>232</v>
      </c>
      <c r="K7691" s="10">
        <f>IF(F7691&gt;0,H7691/F7691,"")</f>
        <v/>
      </c>
      <c r="L7691" s="16">
        <f>IF(AND(G7691&gt;0,H7691&gt;0),G7691/H7691,"")</f>
        <v/>
      </c>
    </row>
    <row r="7692">
      <c r="A7692" s="4" t="inlineStr">
        <is>
          <t>530</t>
        </is>
      </c>
      <c r="B7692" s="4" t="n">
        <v>5</v>
      </c>
      <c r="C7692" s="4" t="inlineStr">
        <is>
          <t>mule deer</t>
        </is>
      </c>
      <c r="D7692" s="4" t="n">
        <v>2021</v>
      </c>
      <c r="E7692" s="4" t="inlineStr"/>
      <c r="F7692" s="5" t="n">
        <v>1361</v>
      </c>
      <c r="G7692" s="5" t="n">
        <v>6875</v>
      </c>
      <c r="H7692" s="5" t="n">
        <v>460</v>
      </c>
      <c r="I7692" s="5" t="n">
        <v>270</v>
      </c>
      <c r="J7692" s="5" t="n">
        <v>191</v>
      </c>
      <c r="K7692" s="10">
        <f>IF(F7692&gt;0,H7692/F7692,"")</f>
        <v/>
      </c>
      <c r="L7692" s="16">
        <f>IF(AND(G7692&gt;0,H7692&gt;0),G7692/H7692,"")</f>
        <v/>
      </c>
    </row>
    <row r="7693">
      <c r="A7693" s="4" t="inlineStr">
        <is>
          <t>535</t>
        </is>
      </c>
      <c r="B7693" s="4" t="n">
        <v>5</v>
      </c>
      <c r="C7693" s="4" t="inlineStr">
        <is>
          <t>mule deer</t>
        </is>
      </c>
      <c r="D7693" s="4" t="n">
        <v>2022</v>
      </c>
      <c r="E7693" s="15" t="inlineStr">
        <is>
          <t>Draw</t>
        </is>
      </c>
      <c r="F7693" s="5" t="n"/>
      <c r="G7693" s="5" t="n"/>
      <c r="H7693" s="5" t="n">
        <v>392</v>
      </c>
      <c r="I7693" s="5" t="n">
        <v>296</v>
      </c>
      <c r="J7693" s="5" t="n">
        <v>95</v>
      </c>
      <c r="K7693" s="10">
        <f>IF(F7693&gt;0,H7693/F7693,"")</f>
        <v/>
      </c>
      <c r="L7693" s="16">
        <f>IF(AND(G7693&gt;0,H7693&gt;0),G7693/H7693,"")</f>
        <v/>
      </c>
    </row>
    <row r="7694">
      <c r="A7694" s="4" t="inlineStr">
        <is>
          <t>535</t>
        </is>
      </c>
      <c r="B7694" s="4" t="n">
        <v>5</v>
      </c>
      <c r="C7694" s="4" t="inlineStr">
        <is>
          <t>mule deer</t>
        </is>
      </c>
      <c r="D7694" s="4" t="n">
        <v>2023</v>
      </c>
      <c r="E7694" s="15" t="inlineStr">
        <is>
          <t>Draw</t>
        </is>
      </c>
      <c r="F7694" s="5" t="n">
        <v>1421</v>
      </c>
      <c r="G7694" s="5" t="n">
        <v>7337</v>
      </c>
      <c r="H7694" s="5" t="n">
        <v>423</v>
      </c>
      <c r="I7694" s="5" t="n">
        <v>324</v>
      </c>
      <c r="J7694" s="5" t="n">
        <v>89</v>
      </c>
      <c r="K7694" s="10">
        <f>IF(F7694&gt;0,H7694/F7694,"")</f>
        <v/>
      </c>
      <c r="L7694" s="16">
        <f>IF(AND(G7694&gt;0,H7694&gt;0),G7694/H7694,"")</f>
        <v/>
      </c>
    </row>
    <row r="7695">
      <c r="A7695" s="4" t="inlineStr">
        <is>
          <t>535</t>
        </is>
      </c>
      <c r="B7695" s="4" t="n">
        <v>5</v>
      </c>
      <c r="C7695" s="4" t="inlineStr">
        <is>
          <t>mule deer</t>
        </is>
      </c>
      <c r="D7695" s="4" t="n">
        <v>2024</v>
      </c>
      <c r="E7695" s="15" t="inlineStr">
        <is>
          <t>Draw</t>
        </is>
      </c>
      <c r="F7695" s="5" t="n"/>
      <c r="G7695" s="5" t="n"/>
      <c r="H7695" s="5" t="n">
        <v>264</v>
      </c>
      <c r="I7695" s="5" t="n">
        <v>237</v>
      </c>
      <c r="J7695" s="5" t="n">
        <v>28</v>
      </c>
      <c r="K7695" s="10">
        <f>IF(F7695&gt;0,H7695/F7695,"")</f>
        <v/>
      </c>
      <c r="L7695" s="16">
        <f>IF(AND(G7695&gt;0,H7695&gt;0),G7695/H7695,"")</f>
        <v/>
      </c>
    </row>
    <row r="7696">
      <c r="A7696" s="4" t="inlineStr">
        <is>
          <t>535</t>
        </is>
      </c>
      <c r="B7696" s="4" t="n">
        <v>5</v>
      </c>
      <c r="C7696" s="4" t="inlineStr">
        <is>
          <t>mule deer</t>
        </is>
      </c>
      <c r="D7696" s="4" t="n">
        <v>2025</v>
      </c>
      <c r="E7696" s="15" t="inlineStr">
        <is>
          <t>Draw</t>
        </is>
      </c>
      <c r="F7696" s="5" t="n">
        <v>1219</v>
      </c>
      <c r="G7696" s="5" t="n">
        <v>7321</v>
      </c>
      <c r="H7696" s="5" t="n">
        <v>311</v>
      </c>
      <c r="I7696" s="5" t="n">
        <v>286</v>
      </c>
      <c r="J7696" s="5" t="n">
        <v>21</v>
      </c>
      <c r="K7696" s="10">
        <f>IF(F7696&gt;0,H7696/F7696,"")</f>
        <v/>
      </c>
      <c r="L7696" s="16">
        <f>IF(AND(G7696&gt;0,H7696&gt;0),G7696/H7696,"")</f>
        <v/>
      </c>
    </row>
    <row r="7697">
      <c r="A7697" s="4" t="inlineStr">
        <is>
          <t>540</t>
        </is>
      </c>
      <c r="B7697" s="4" t="n">
        <v>5</v>
      </c>
      <c r="C7697" s="4" t="inlineStr">
        <is>
          <t>mule deer</t>
        </is>
      </c>
      <c r="D7697" s="4" t="n">
        <v>2004</v>
      </c>
      <c r="E7697" s="13" t="inlineStr">
        <is>
          <t>General</t>
        </is>
      </c>
      <c r="F7697" s="5" t="n">
        <v>854</v>
      </c>
      <c r="G7697" s="5" t="n">
        <v>3685</v>
      </c>
      <c r="H7697" s="5" t="n">
        <v>356</v>
      </c>
      <c r="I7697" s="5" t="n">
        <v>270</v>
      </c>
      <c r="J7697" s="5" t="n">
        <v>86</v>
      </c>
      <c r="K7697" s="10">
        <f>IF(F7697&gt;0,H7697/F7697,"")</f>
        <v/>
      </c>
      <c r="L7697" s="16">
        <f>IF(AND(G7697&gt;0,H7697&gt;0),G7697/H7697,"")</f>
        <v/>
      </c>
    </row>
    <row r="7698">
      <c r="A7698" s="4" t="inlineStr">
        <is>
          <t>540</t>
        </is>
      </c>
      <c r="B7698" s="4" t="n">
        <v>5</v>
      </c>
      <c r="C7698" s="4" t="inlineStr">
        <is>
          <t>mule deer</t>
        </is>
      </c>
      <c r="D7698" s="4" t="n">
        <v>2005</v>
      </c>
      <c r="E7698" s="13" t="inlineStr">
        <is>
          <t>General</t>
        </is>
      </c>
      <c r="F7698" s="5" t="n">
        <v>770</v>
      </c>
      <c r="G7698" s="5" t="n">
        <v>3803</v>
      </c>
      <c r="H7698" s="5" t="n">
        <v>270</v>
      </c>
      <c r="I7698" s="5" t="n">
        <v>214</v>
      </c>
      <c r="J7698" s="5" t="n">
        <v>55</v>
      </c>
      <c r="K7698" s="10">
        <f>IF(F7698&gt;0,H7698/F7698,"")</f>
        <v/>
      </c>
      <c r="L7698" s="16">
        <f>IF(AND(G7698&gt;0,H7698&gt;0),G7698/H7698,"")</f>
        <v/>
      </c>
    </row>
    <row r="7699">
      <c r="A7699" s="4" t="inlineStr">
        <is>
          <t>540</t>
        </is>
      </c>
      <c r="B7699" s="4" t="n">
        <v>5</v>
      </c>
      <c r="C7699" s="4" t="inlineStr">
        <is>
          <t>mule deer</t>
        </is>
      </c>
      <c r="D7699" s="4" t="n">
        <v>2006</v>
      </c>
      <c r="E7699" s="13" t="inlineStr">
        <is>
          <t>General</t>
        </is>
      </c>
      <c r="F7699" s="5" t="n">
        <v>723</v>
      </c>
      <c r="G7699" s="5" t="n">
        <v>3540</v>
      </c>
      <c r="H7699" s="5" t="n">
        <v>261</v>
      </c>
      <c r="I7699" s="5" t="n">
        <v>226</v>
      </c>
      <c r="J7699" s="5" t="n">
        <v>32</v>
      </c>
      <c r="K7699" s="10">
        <f>IF(F7699&gt;0,H7699/F7699,"")</f>
        <v/>
      </c>
      <c r="L7699" s="16">
        <f>IF(AND(G7699&gt;0,H7699&gt;0),G7699/H7699,"")</f>
        <v/>
      </c>
    </row>
    <row r="7700">
      <c r="A7700" s="4" t="inlineStr">
        <is>
          <t>540</t>
        </is>
      </c>
      <c r="B7700" s="4" t="n">
        <v>5</v>
      </c>
      <c r="C7700" s="4" t="inlineStr">
        <is>
          <t>mule deer</t>
        </is>
      </c>
      <c r="D7700" s="4" t="n">
        <v>2007</v>
      </c>
      <c r="E7700" s="13" t="inlineStr">
        <is>
          <t>General</t>
        </is>
      </c>
      <c r="F7700" s="5" t="n">
        <v>671</v>
      </c>
      <c r="G7700" s="5" t="n">
        <v>3352</v>
      </c>
      <c r="H7700" s="5" t="n">
        <v>185</v>
      </c>
      <c r="I7700" s="5" t="n">
        <v>136</v>
      </c>
      <c r="J7700" s="5" t="n">
        <v>46</v>
      </c>
      <c r="K7700" s="10">
        <f>IF(F7700&gt;0,H7700/F7700,"")</f>
        <v/>
      </c>
      <c r="L7700" s="16">
        <f>IF(AND(G7700&gt;0,H7700&gt;0),G7700/H7700,"")</f>
        <v/>
      </c>
    </row>
    <row r="7701">
      <c r="A7701" s="4" t="inlineStr">
        <is>
          <t>540</t>
        </is>
      </c>
      <c r="B7701" s="4" t="n">
        <v>5</v>
      </c>
      <c r="C7701" s="4" t="inlineStr">
        <is>
          <t>mule deer</t>
        </is>
      </c>
      <c r="D7701" s="4" t="n">
        <v>2008</v>
      </c>
      <c r="E7701" s="13" t="inlineStr">
        <is>
          <t>General</t>
        </is>
      </c>
      <c r="F7701" s="5" t="n">
        <v>775</v>
      </c>
      <c r="G7701" s="5" t="n">
        <v>3684</v>
      </c>
      <c r="H7701" s="5" t="n">
        <v>215</v>
      </c>
      <c r="I7701" s="5" t="n">
        <v>167</v>
      </c>
      <c r="J7701" s="5" t="n">
        <v>46</v>
      </c>
      <c r="K7701" s="10">
        <f>IF(F7701&gt;0,H7701/F7701,"")</f>
        <v/>
      </c>
      <c r="L7701" s="16">
        <f>IF(AND(G7701&gt;0,H7701&gt;0),G7701/H7701,"")</f>
        <v/>
      </c>
    </row>
    <row r="7702">
      <c r="A7702" s="4" t="inlineStr">
        <is>
          <t>540</t>
        </is>
      </c>
      <c r="B7702" s="4" t="n">
        <v>5</v>
      </c>
      <c r="C7702" s="4" t="inlineStr">
        <is>
          <t>mule deer</t>
        </is>
      </c>
      <c r="D7702" s="4" t="n">
        <v>2009</v>
      </c>
      <c r="E7702" s="13" t="inlineStr">
        <is>
          <t>General</t>
        </is>
      </c>
      <c r="F7702" s="5" t="n">
        <v>567</v>
      </c>
      <c r="G7702" s="5" t="n">
        <v>2971</v>
      </c>
      <c r="H7702" s="5" t="n">
        <v>118</v>
      </c>
      <c r="I7702" s="5" t="n">
        <v>80</v>
      </c>
      <c r="J7702" s="5" t="n">
        <v>38</v>
      </c>
      <c r="K7702" s="10">
        <f>IF(F7702&gt;0,H7702/F7702,"")</f>
        <v/>
      </c>
      <c r="L7702" s="16">
        <f>IF(AND(G7702&gt;0,H7702&gt;0),G7702/H7702,"")</f>
        <v/>
      </c>
    </row>
    <row r="7703">
      <c r="A7703" s="4" t="inlineStr">
        <is>
          <t>540</t>
        </is>
      </c>
      <c r="B7703" s="4" t="n">
        <v>5</v>
      </c>
      <c r="C7703" s="4" t="inlineStr">
        <is>
          <t>mule deer</t>
        </is>
      </c>
      <c r="D7703" s="4" t="n">
        <v>2010</v>
      </c>
      <c r="E7703" s="13" t="inlineStr">
        <is>
          <t>General</t>
        </is>
      </c>
      <c r="F7703" s="5" t="n">
        <v>712</v>
      </c>
      <c r="G7703" s="5" t="n">
        <v>4038</v>
      </c>
      <c r="H7703" s="5" t="n">
        <v>109</v>
      </c>
      <c r="I7703" s="5" t="n">
        <v>101</v>
      </c>
      <c r="J7703" s="5" t="n">
        <v>8</v>
      </c>
      <c r="K7703" s="10">
        <f>IF(F7703&gt;0,H7703/F7703,"")</f>
        <v/>
      </c>
      <c r="L7703" s="16">
        <f>IF(AND(G7703&gt;0,H7703&gt;0),G7703/H7703,"")</f>
        <v/>
      </c>
    </row>
    <row r="7704">
      <c r="A7704" s="4" t="inlineStr">
        <is>
          <t>540</t>
        </is>
      </c>
      <c r="B7704" s="4" t="n">
        <v>5</v>
      </c>
      <c r="C7704" s="4" t="inlineStr">
        <is>
          <t>mule deer</t>
        </is>
      </c>
      <c r="D7704" s="4" t="n">
        <v>2011</v>
      </c>
      <c r="E7704" s="13" t="inlineStr">
        <is>
          <t>General</t>
        </is>
      </c>
      <c r="F7704" s="5" t="n">
        <v>856</v>
      </c>
      <c r="G7704" s="5" t="n">
        <v>4509</v>
      </c>
      <c r="H7704" s="5" t="n">
        <v>145</v>
      </c>
      <c r="I7704" s="5" t="n">
        <v>139</v>
      </c>
      <c r="J7704" s="5" t="n">
        <v>6</v>
      </c>
      <c r="K7704" s="10">
        <f>IF(F7704&gt;0,H7704/F7704,"")</f>
        <v/>
      </c>
      <c r="L7704" s="16">
        <f>IF(AND(G7704&gt;0,H7704&gt;0),G7704/H7704,"")</f>
        <v/>
      </c>
    </row>
    <row r="7705">
      <c r="A7705" s="4" t="inlineStr">
        <is>
          <t>540</t>
        </is>
      </c>
      <c r="B7705" s="4" t="n">
        <v>5</v>
      </c>
      <c r="C7705" s="4" t="inlineStr">
        <is>
          <t>mule deer</t>
        </is>
      </c>
      <c r="D7705" s="4" t="n">
        <v>2012</v>
      </c>
      <c r="E7705" s="13" t="inlineStr">
        <is>
          <t>General</t>
        </is>
      </c>
      <c r="F7705" s="5" t="n"/>
      <c r="G7705" s="5" t="n"/>
      <c r="H7705" s="5" t="n">
        <v>183</v>
      </c>
      <c r="I7705" s="5" t="n">
        <v>183</v>
      </c>
      <c r="J7705" s="5" t="n">
        <v>0</v>
      </c>
      <c r="K7705" s="10">
        <f>IF(F7705&gt;0,H7705/F7705,"")</f>
        <v/>
      </c>
      <c r="L7705" s="16">
        <f>IF(AND(G7705&gt;0,H7705&gt;0),G7705/H7705,"")</f>
        <v/>
      </c>
    </row>
    <row r="7706">
      <c r="A7706" s="4" t="inlineStr">
        <is>
          <t>540</t>
        </is>
      </c>
      <c r="B7706" s="4" t="n">
        <v>5</v>
      </c>
      <c r="C7706" s="4" t="inlineStr">
        <is>
          <t>mule deer</t>
        </is>
      </c>
      <c r="D7706" s="4" t="n">
        <v>2013</v>
      </c>
      <c r="E7706" s="13" t="inlineStr">
        <is>
          <t>General</t>
        </is>
      </c>
      <c r="F7706" s="5" t="n">
        <v>713</v>
      </c>
      <c r="G7706" s="5" t="n">
        <v>3550</v>
      </c>
      <c r="H7706" s="5" t="n">
        <v>126</v>
      </c>
      <c r="I7706" s="5" t="n">
        <v>126</v>
      </c>
      <c r="J7706" s="5" t="n">
        <v>0</v>
      </c>
      <c r="K7706" s="10">
        <f>IF(F7706&gt;0,H7706/F7706,"")</f>
        <v/>
      </c>
      <c r="L7706" s="16">
        <f>IF(AND(G7706&gt;0,H7706&gt;0),G7706/H7706,"")</f>
        <v/>
      </c>
    </row>
    <row r="7707">
      <c r="A7707" s="4" t="inlineStr">
        <is>
          <t>540</t>
        </is>
      </c>
      <c r="B7707" s="4" t="n">
        <v>5</v>
      </c>
      <c r="C7707" s="4" t="inlineStr">
        <is>
          <t>mule deer</t>
        </is>
      </c>
      <c r="D7707" s="4" t="n">
        <v>2014</v>
      </c>
      <c r="E7707" s="13" t="inlineStr">
        <is>
          <t>General</t>
        </is>
      </c>
      <c r="F7707" s="5" t="n"/>
      <c r="G7707" s="5" t="n"/>
      <c r="H7707" s="5" t="n">
        <v>153</v>
      </c>
      <c r="I7707" s="5" t="n">
        <v>153</v>
      </c>
      <c r="J7707" s="5" t="n">
        <v>0</v>
      </c>
      <c r="K7707" s="10">
        <f>IF(F7707&gt;0,H7707/F7707,"")</f>
        <v/>
      </c>
      <c r="L7707" s="16">
        <f>IF(AND(G7707&gt;0,H7707&gt;0),G7707/H7707,"")</f>
        <v/>
      </c>
    </row>
    <row r="7708">
      <c r="A7708" s="4" t="inlineStr">
        <is>
          <t>540</t>
        </is>
      </c>
      <c r="B7708" s="4" t="n">
        <v>5</v>
      </c>
      <c r="C7708" s="4" t="inlineStr">
        <is>
          <t>mule deer</t>
        </is>
      </c>
      <c r="D7708" s="4" t="n">
        <v>2015</v>
      </c>
      <c r="E7708" s="13" t="inlineStr">
        <is>
          <t>General</t>
        </is>
      </c>
      <c r="F7708" s="5" t="n"/>
      <c r="G7708" s="5" t="n"/>
      <c r="H7708" s="5" t="n">
        <v>146</v>
      </c>
      <c r="I7708" s="5" t="n">
        <v>146</v>
      </c>
      <c r="J7708" s="5" t="n">
        <v>0</v>
      </c>
      <c r="K7708" s="10">
        <f>IF(F7708&gt;0,H7708/F7708,"")</f>
        <v/>
      </c>
      <c r="L7708" s="16">
        <f>IF(AND(G7708&gt;0,H7708&gt;0),G7708/H7708,"")</f>
        <v/>
      </c>
    </row>
    <row r="7709">
      <c r="A7709" s="4" t="inlineStr">
        <is>
          <t>540</t>
        </is>
      </c>
      <c r="B7709" s="4" t="n">
        <v>5</v>
      </c>
      <c r="C7709" s="4" t="inlineStr">
        <is>
          <t>mule deer</t>
        </is>
      </c>
      <c r="D7709" s="4" t="n">
        <v>2016</v>
      </c>
      <c r="E7709" s="13" t="inlineStr">
        <is>
          <t>General</t>
        </is>
      </c>
      <c r="F7709" s="5" t="n"/>
      <c r="G7709" s="5" t="n"/>
      <c r="H7709" s="5" t="n">
        <v>181</v>
      </c>
      <c r="I7709" s="5" t="n">
        <v>175</v>
      </c>
      <c r="J7709" s="5" t="n">
        <v>6</v>
      </c>
      <c r="K7709" s="10">
        <f>IF(F7709&gt;0,H7709/F7709,"")</f>
        <v/>
      </c>
      <c r="L7709" s="16">
        <f>IF(AND(G7709&gt;0,H7709&gt;0),G7709/H7709,"")</f>
        <v/>
      </c>
    </row>
    <row r="7710">
      <c r="A7710" s="4" t="inlineStr">
        <is>
          <t>540</t>
        </is>
      </c>
      <c r="B7710" s="4" t="n">
        <v>5</v>
      </c>
      <c r="C7710" s="4" t="inlineStr">
        <is>
          <t>mule deer</t>
        </is>
      </c>
      <c r="D7710" s="4" t="n">
        <v>2017</v>
      </c>
      <c r="E7710" s="13" t="inlineStr">
        <is>
          <t>General</t>
        </is>
      </c>
      <c r="F7710" s="5" t="n">
        <v>817</v>
      </c>
      <c r="G7710" s="5" t="n">
        <v>3853</v>
      </c>
      <c r="H7710" s="5" t="n">
        <v>186</v>
      </c>
      <c r="I7710" s="5" t="n">
        <v>174</v>
      </c>
      <c r="J7710" s="5" t="n">
        <v>12</v>
      </c>
      <c r="K7710" s="10">
        <f>IF(F7710&gt;0,H7710/F7710,"")</f>
        <v/>
      </c>
      <c r="L7710" s="16">
        <f>IF(AND(G7710&gt;0,H7710&gt;0),G7710/H7710,"")</f>
        <v/>
      </c>
    </row>
    <row r="7711">
      <c r="A7711" s="4" t="inlineStr">
        <is>
          <t>540</t>
        </is>
      </c>
      <c r="B7711" s="4" t="n">
        <v>5</v>
      </c>
      <c r="C7711" s="4" t="inlineStr">
        <is>
          <t>mule deer</t>
        </is>
      </c>
      <c r="D7711" s="4" t="n">
        <v>2018</v>
      </c>
      <c r="E7711" s="13" t="inlineStr">
        <is>
          <t>General</t>
        </is>
      </c>
      <c r="F7711" s="5" t="n"/>
      <c r="G7711" s="5" t="n"/>
      <c r="H7711" s="5" t="n">
        <v>185</v>
      </c>
      <c r="I7711" s="5" t="n">
        <v>168</v>
      </c>
      <c r="J7711" s="5" t="n">
        <v>17</v>
      </c>
      <c r="K7711" s="10">
        <f>IF(F7711&gt;0,H7711/F7711,"")</f>
        <v/>
      </c>
      <c r="L7711" s="16">
        <f>IF(AND(G7711&gt;0,H7711&gt;0),G7711/H7711,"")</f>
        <v/>
      </c>
    </row>
    <row r="7712">
      <c r="A7712" s="4" t="inlineStr">
        <is>
          <t>540</t>
        </is>
      </c>
      <c r="B7712" s="4" t="n">
        <v>5</v>
      </c>
      <c r="C7712" s="4" t="inlineStr">
        <is>
          <t>mule deer</t>
        </is>
      </c>
      <c r="D7712" s="4" t="n">
        <v>2019</v>
      </c>
      <c r="E7712" s="13" t="inlineStr">
        <is>
          <t>General</t>
        </is>
      </c>
      <c r="F7712" s="5" t="n">
        <v>669</v>
      </c>
      <c r="G7712" s="5" t="n">
        <v>3488</v>
      </c>
      <c r="H7712" s="5" t="n">
        <v>130</v>
      </c>
      <c r="I7712" s="5" t="n">
        <v>121</v>
      </c>
      <c r="J7712" s="5" t="n">
        <v>9</v>
      </c>
      <c r="K7712" s="10">
        <f>IF(F7712&gt;0,H7712/F7712,"")</f>
        <v/>
      </c>
      <c r="L7712" s="16">
        <f>IF(AND(G7712&gt;0,H7712&gt;0),G7712/H7712,"")</f>
        <v/>
      </c>
    </row>
    <row r="7713">
      <c r="A7713" s="4" t="inlineStr">
        <is>
          <t>540</t>
        </is>
      </c>
      <c r="B7713" s="4" t="n">
        <v>5</v>
      </c>
      <c r="C7713" s="4" t="inlineStr">
        <is>
          <t>mule deer</t>
        </is>
      </c>
      <c r="D7713" s="4" t="n">
        <v>2020</v>
      </c>
      <c r="E7713" s="13" t="inlineStr">
        <is>
          <t>General</t>
        </is>
      </c>
      <c r="F7713" s="5" t="n"/>
      <c r="G7713" s="5" t="n"/>
      <c r="H7713" s="5" t="n">
        <v>170</v>
      </c>
      <c r="I7713" s="5" t="n">
        <v>141</v>
      </c>
      <c r="J7713" s="5" t="n">
        <v>29</v>
      </c>
      <c r="K7713" s="10">
        <f>IF(F7713&gt;0,H7713/F7713,"")</f>
        <v/>
      </c>
      <c r="L7713" s="16">
        <f>IF(AND(G7713&gt;0,H7713&gt;0),G7713/H7713,"")</f>
        <v/>
      </c>
    </row>
    <row r="7714">
      <c r="A7714" s="4" t="inlineStr">
        <is>
          <t>540</t>
        </is>
      </c>
      <c r="B7714" s="4" t="n">
        <v>5</v>
      </c>
      <c r="C7714" s="4" t="inlineStr">
        <is>
          <t>mule deer</t>
        </is>
      </c>
      <c r="D7714" s="4" t="n">
        <v>2021</v>
      </c>
      <c r="E7714" s="13" t="inlineStr">
        <is>
          <t>General</t>
        </is>
      </c>
      <c r="F7714" s="5" t="n">
        <v>826</v>
      </c>
      <c r="G7714" s="5" t="n">
        <v>4844</v>
      </c>
      <c r="H7714" s="5" t="n">
        <v>133</v>
      </c>
      <c r="I7714" s="5" t="n">
        <v>124</v>
      </c>
      <c r="J7714" s="5" t="n">
        <v>10</v>
      </c>
      <c r="K7714" s="10">
        <f>IF(F7714&gt;0,H7714/F7714,"")</f>
        <v/>
      </c>
      <c r="L7714" s="16">
        <f>IF(AND(G7714&gt;0,H7714&gt;0),G7714/H7714,"")</f>
        <v/>
      </c>
    </row>
    <row r="7715">
      <c r="A7715" s="4" t="inlineStr">
        <is>
          <t>540</t>
        </is>
      </c>
      <c r="B7715" s="4" t="n">
        <v>5</v>
      </c>
      <c r="C7715" s="4" t="inlineStr">
        <is>
          <t>mule deer</t>
        </is>
      </c>
      <c r="D7715" s="4" t="n">
        <v>2022</v>
      </c>
      <c r="E7715" s="13" t="inlineStr">
        <is>
          <t>General</t>
        </is>
      </c>
      <c r="F7715" s="5" t="n"/>
      <c r="G7715" s="5" t="n"/>
      <c r="H7715" s="5" t="n">
        <v>141</v>
      </c>
      <c r="I7715" s="5" t="n">
        <v>125</v>
      </c>
      <c r="J7715" s="5" t="n">
        <v>16</v>
      </c>
      <c r="K7715" s="10">
        <f>IF(F7715&gt;0,H7715/F7715,"")</f>
        <v/>
      </c>
      <c r="L7715" s="16">
        <f>IF(AND(G7715&gt;0,H7715&gt;0),G7715/H7715,"")</f>
        <v/>
      </c>
    </row>
    <row r="7716">
      <c r="A7716" s="4" t="inlineStr">
        <is>
          <t>540</t>
        </is>
      </c>
      <c r="B7716" s="4" t="n">
        <v>5</v>
      </c>
      <c r="C7716" s="4" t="inlineStr">
        <is>
          <t>mule deer</t>
        </is>
      </c>
      <c r="D7716" s="4" t="n">
        <v>2023</v>
      </c>
      <c r="E7716" s="13" t="inlineStr">
        <is>
          <t>General</t>
        </is>
      </c>
      <c r="F7716" s="5" t="n">
        <v>739</v>
      </c>
      <c r="G7716" s="5" t="n">
        <v>4201</v>
      </c>
      <c r="H7716" s="5" t="n">
        <v>82</v>
      </c>
      <c r="I7716" s="5" t="n">
        <v>78</v>
      </c>
      <c r="J7716" s="5" t="n">
        <v>3</v>
      </c>
      <c r="K7716" s="10">
        <f>IF(F7716&gt;0,H7716/F7716,"")</f>
        <v/>
      </c>
      <c r="L7716" s="16">
        <f>IF(AND(G7716&gt;0,H7716&gt;0),G7716/H7716,"")</f>
        <v/>
      </c>
    </row>
    <row r="7717">
      <c r="A7717" s="4" t="inlineStr">
        <is>
          <t>540</t>
        </is>
      </c>
      <c r="B7717" s="4" t="n">
        <v>5</v>
      </c>
      <c r="C7717" s="4" t="inlineStr">
        <is>
          <t>mule deer</t>
        </is>
      </c>
      <c r="D7717" s="4" t="n">
        <v>2024</v>
      </c>
      <c r="E7717" s="13" t="inlineStr">
        <is>
          <t>General</t>
        </is>
      </c>
      <c r="F7717" s="5" t="n"/>
      <c r="G7717" s="5" t="n"/>
      <c r="H7717" s="5" t="n">
        <v>102</v>
      </c>
      <c r="I7717" s="5" t="n">
        <v>99</v>
      </c>
      <c r="J7717" s="5" t="n">
        <v>3</v>
      </c>
      <c r="K7717" s="10">
        <f>IF(F7717&gt;0,H7717/F7717,"")</f>
        <v/>
      </c>
      <c r="L7717" s="16">
        <f>IF(AND(G7717&gt;0,H7717&gt;0),G7717/H7717,"")</f>
        <v/>
      </c>
    </row>
    <row r="7718">
      <c r="A7718" s="4" t="inlineStr">
        <is>
          <t>540</t>
        </is>
      </c>
      <c r="B7718" s="4" t="n">
        <v>5</v>
      </c>
      <c r="C7718" s="4" t="inlineStr">
        <is>
          <t>mule deer</t>
        </is>
      </c>
      <c r="D7718" s="4" t="n">
        <v>2025</v>
      </c>
      <c r="E7718" s="13" t="inlineStr">
        <is>
          <t>General</t>
        </is>
      </c>
      <c r="F7718" s="5" t="n">
        <v>859</v>
      </c>
      <c r="G7718" s="5" t="n">
        <v>5251</v>
      </c>
      <c r="H7718" s="5" t="n">
        <v>123</v>
      </c>
      <c r="I7718" s="5" t="n">
        <v>112</v>
      </c>
      <c r="J7718" s="5" t="n">
        <v>11</v>
      </c>
      <c r="K7718" s="10">
        <f>IF(F7718&gt;0,H7718/F7718,"")</f>
        <v/>
      </c>
      <c r="L7718" s="16">
        <f>IF(AND(G7718&gt;0,H7718&gt;0),G7718/H7718,"")</f>
        <v/>
      </c>
    </row>
    <row r="7719">
      <c r="A7719" s="4" t="inlineStr">
        <is>
          <t>555</t>
        </is>
      </c>
      <c r="B7719" s="4" t="n">
        <v>5</v>
      </c>
      <c r="C7719" s="4" t="inlineStr">
        <is>
          <t>mule deer</t>
        </is>
      </c>
      <c r="D7719" s="4" t="n">
        <v>2022</v>
      </c>
      <c r="E7719" s="13" t="inlineStr">
        <is>
          <t>General</t>
        </is>
      </c>
      <c r="F7719" s="5" t="n"/>
      <c r="G7719" s="5" t="n"/>
      <c r="H7719" s="5" t="n">
        <v>106</v>
      </c>
      <c r="I7719" s="5" t="n">
        <v>78</v>
      </c>
      <c r="J7719" s="5" t="n">
        <v>28</v>
      </c>
      <c r="K7719" s="10">
        <f>IF(F7719&gt;0,H7719/F7719,"")</f>
        <v/>
      </c>
      <c r="L7719" s="16">
        <f>IF(AND(G7719&gt;0,H7719&gt;0),G7719/H7719,"")</f>
        <v/>
      </c>
    </row>
    <row r="7720">
      <c r="A7720" s="4" t="inlineStr">
        <is>
          <t>555</t>
        </is>
      </c>
      <c r="B7720" s="4" t="n">
        <v>5</v>
      </c>
      <c r="C7720" s="4" t="inlineStr">
        <is>
          <t>mule deer</t>
        </is>
      </c>
      <c r="D7720" s="4" t="n">
        <v>2023</v>
      </c>
      <c r="E7720" s="13" t="inlineStr">
        <is>
          <t>General</t>
        </is>
      </c>
      <c r="F7720" s="5" t="n">
        <v>443</v>
      </c>
      <c r="G7720" s="5" t="n">
        <v>2480</v>
      </c>
      <c r="H7720" s="5" t="n">
        <v>172</v>
      </c>
      <c r="I7720" s="5" t="n">
        <v>106</v>
      </c>
      <c r="J7720" s="5" t="n">
        <v>66</v>
      </c>
      <c r="K7720" s="10">
        <f>IF(F7720&gt;0,H7720/F7720,"")</f>
        <v/>
      </c>
      <c r="L7720" s="16">
        <f>IF(AND(G7720&gt;0,H7720&gt;0),G7720/H7720,"")</f>
        <v/>
      </c>
    </row>
    <row r="7721">
      <c r="A7721" s="4" t="inlineStr">
        <is>
          <t>555</t>
        </is>
      </c>
      <c r="B7721" s="4" t="n">
        <v>5</v>
      </c>
      <c r="C7721" s="4" t="inlineStr">
        <is>
          <t>mule deer</t>
        </is>
      </c>
      <c r="D7721" s="4" t="n">
        <v>2024</v>
      </c>
      <c r="E7721" s="13" t="inlineStr">
        <is>
          <t>General</t>
        </is>
      </c>
      <c r="F7721" s="5" t="n"/>
      <c r="G7721" s="5" t="n"/>
      <c r="H7721" s="5" t="n">
        <v>159</v>
      </c>
      <c r="I7721" s="5" t="n">
        <v>124</v>
      </c>
      <c r="J7721" s="5" t="n">
        <v>36</v>
      </c>
      <c r="K7721" s="10">
        <f>IF(F7721&gt;0,H7721/F7721,"")</f>
        <v/>
      </c>
      <c r="L7721" s="16">
        <f>IF(AND(G7721&gt;0,H7721&gt;0),G7721/H7721,"")</f>
        <v/>
      </c>
    </row>
    <row r="7722">
      <c r="A7722" s="4" t="inlineStr">
        <is>
          <t>555</t>
        </is>
      </c>
      <c r="B7722" s="4" t="n">
        <v>5</v>
      </c>
      <c r="C7722" s="4" t="inlineStr">
        <is>
          <t>mule deer</t>
        </is>
      </c>
      <c r="D7722" s="4" t="n">
        <v>2025</v>
      </c>
      <c r="E7722" s="13" t="inlineStr">
        <is>
          <t>General</t>
        </is>
      </c>
      <c r="F7722" s="5" t="n">
        <v>578</v>
      </c>
      <c r="G7722" s="5" t="n">
        <v>3339</v>
      </c>
      <c r="H7722" s="5" t="n">
        <v>174</v>
      </c>
      <c r="I7722" s="5" t="n">
        <v>123</v>
      </c>
      <c r="J7722" s="5" t="n">
        <v>50</v>
      </c>
      <c r="K7722" s="10">
        <f>IF(F7722&gt;0,H7722/F7722,"")</f>
        <v/>
      </c>
      <c r="L7722" s="16">
        <f>IF(AND(G7722&gt;0,H7722&gt;0),G7722/H7722,"")</f>
        <v/>
      </c>
    </row>
    <row r="7723">
      <c r="A7723" s="4" t="inlineStr">
        <is>
          <t>560</t>
        </is>
      </c>
      <c r="B7723" s="4" t="n">
        <v>5</v>
      </c>
      <c r="C7723" s="4" t="inlineStr">
        <is>
          <t>mule deer</t>
        </is>
      </c>
      <c r="D7723" s="4" t="n">
        <v>2004</v>
      </c>
      <c r="E7723" s="4" t="inlineStr"/>
      <c r="F7723" s="5" t="n">
        <v>1278</v>
      </c>
      <c r="G7723" s="5" t="n">
        <v>5116</v>
      </c>
      <c r="H7723" s="5" t="n">
        <v>621</v>
      </c>
      <c r="I7723" s="5" t="n">
        <v>414</v>
      </c>
      <c r="J7723" s="5" t="n">
        <v>204</v>
      </c>
      <c r="K7723" s="10">
        <f>IF(F7723&gt;0,H7723/F7723,"")</f>
        <v/>
      </c>
      <c r="L7723" s="16">
        <f>IF(AND(G7723&gt;0,H7723&gt;0),G7723/H7723,"")</f>
        <v/>
      </c>
    </row>
    <row r="7724">
      <c r="A7724" s="4" t="inlineStr">
        <is>
          <t>560</t>
        </is>
      </c>
      <c r="B7724" s="4" t="n">
        <v>5</v>
      </c>
      <c r="C7724" s="4" t="inlineStr">
        <is>
          <t>mule deer</t>
        </is>
      </c>
      <c r="D7724" s="4" t="n">
        <v>2005</v>
      </c>
      <c r="E7724" s="4" t="inlineStr"/>
      <c r="F7724" s="5" t="n">
        <v>1143</v>
      </c>
      <c r="G7724" s="5" t="n">
        <v>4674</v>
      </c>
      <c r="H7724" s="5" t="n">
        <v>526</v>
      </c>
      <c r="I7724" s="5" t="n">
        <v>334</v>
      </c>
      <c r="J7724" s="5" t="n">
        <v>191</v>
      </c>
      <c r="K7724" s="10">
        <f>IF(F7724&gt;0,H7724/F7724,"")</f>
        <v/>
      </c>
      <c r="L7724" s="16">
        <f>IF(AND(G7724&gt;0,H7724&gt;0),G7724/H7724,"")</f>
        <v/>
      </c>
    </row>
    <row r="7725">
      <c r="A7725" s="4" t="inlineStr">
        <is>
          <t>560</t>
        </is>
      </c>
      <c r="B7725" s="4" t="n">
        <v>5</v>
      </c>
      <c r="C7725" s="4" t="inlineStr">
        <is>
          <t>mule deer</t>
        </is>
      </c>
      <c r="D7725" s="4" t="n">
        <v>2006</v>
      </c>
      <c r="E7725" s="4" t="inlineStr"/>
      <c r="F7725" s="5" t="n">
        <v>1090</v>
      </c>
      <c r="G7725" s="5" t="n">
        <v>5195</v>
      </c>
      <c r="H7725" s="5" t="n">
        <v>517</v>
      </c>
      <c r="I7725" s="5" t="n">
        <v>304</v>
      </c>
      <c r="J7725" s="5" t="n">
        <v>211</v>
      </c>
      <c r="K7725" s="10">
        <f>IF(F7725&gt;0,H7725/F7725,"")</f>
        <v/>
      </c>
      <c r="L7725" s="16">
        <f>IF(AND(G7725&gt;0,H7725&gt;0),G7725/H7725,"")</f>
        <v/>
      </c>
    </row>
    <row r="7726">
      <c r="A7726" s="4" t="inlineStr">
        <is>
          <t>560</t>
        </is>
      </c>
      <c r="B7726" s="4" t="n">
        <v>5</v>
      </c>
      <c r="C7726" s="4" t="inlineStr">
        <is>
          <t>mule deer</t>
        </is>
      </c>
      <c r="D7726" s="4" t="n">
        <v>2007</v>
      </c>
      <c r="E7726" s="4" t="inlineStr"/>
      <c r="F7726" s="5" t="n">
        <v>1194</v>
      </c>
      <c r="G7726" s="5" t="n">
        <v>4829</v>
      </c>
      <c r="H7726" s="5" t="n">
        <v>544</v>
      </c>
      <c r="I7726" s="5" t="n">
        <v>315</v>
      </c>
      <c r="J7726" s="5" t="n">
        <v>229</v>
      </c>
      <c r="K7726" s="10">
        <f>IF(F7726&gt;0,H7726/F7726,"")</f>
        <v/>
      </c>
      <c r="L7726" s="16">
        <f>IF(AND(G7726&gt;0,H7726&gt;0),G7726/H7726,"")</f>
        <v/>
      </c>
    </row>
    <row r="7727">
      <c r="A7727" s="4" t="inlineStr">
        <is>
          <t>560</t>
        </is>
      </c>
      <c r="B7727" s="4" t="n">
        <v>5</v>
      </c>
      <c r="C7727" s="4" t="inlineStr">
        <is>
          <t>mule deer</t>
        </is>
      </c>
      <c r="D7727" s="4" t="n">
        <v>2008</v>
      </c>
      <c r="E7727" s="4" t="inlineStr"/>
      <c r="F7727" s="5" t="n">
        <v>1149</v>
      </c>
      <c r="G7727" s="5" t="n">
        <v>5165</v>
      </c>
      <c r="H7727" s="5" t="n">
        <v>454</v>
      </c>
      <c r="I7727" s="5" t="n">
        <v>294</v>
      </c>
      <c r="J7727" s="5" t="n">
        <v>161</v>
      </c>
      <c r="K7727" s="10">
        <f>IF(F7727&gt;0,H7727/F7727,"")</f>
        <v/>
      </c>
      <c r="L7727" s="16">
        <f>IF(AND(G7727&gt;0,H7727&gt;0),G7727/H7727,"")</f>
        <v/>
      </c>
    </row>
    <row r="7728">
      <c r="A7728" s="4" t="inlineStr">
        <is>
          <t>560</t>
        </is>
      </c>
      <c r="B7728" s="4" t="n">
        <v>5</v>
      </c>
      <c r="C7728" s="4" t="inlineStr">
        <is>
          <t>mule deer</t>
        </is>
      </c>
      <c r="D7728" s="4" t="n">
        <v>2009</v>
      </c>
      <c r="E7728" s="4" t="inlineStr"/>
      <c r="F7728" s="5" t="n">
        <v>1272</v>
      </c>
      <c r="G7728" s="5" t="n">
        <v>6402</v>
      </c>
      <c r="H7728" s="5" t="n">
        <v>440</v>
      </c>
      <c r="I7728" s="5" t="n">
        <v>293</v>
      </c>
      <c r="J7728" s="5" t="n">
        <v>145</v>
      </c>
      <c r="K7728" s="10">
        <f>IF(F7728&gt;0,H7728/F7728,"")</f>
        <v/>
      </c>
      <c r="L7728" s="16">
        <f>IF(AND(G7728&gt;0,H7728&gt;0),G7728/H7728,"")</f>
        <v/>
      </c>
    </row>
    <row r="7729">
      <c r="A7729" s="4" t="inlineStr">
        <is>
          <t>560</t>
        </is>
      </c>
      <c r="B7729" s="4" t="n">
        <v>5</v>
      </c>
      <c r="C7729" s="4" t="inlineStr">
        <is>
          <t>mule deer</t>
        </is>
      </c>
      <c r="D7729" s="4" t="n">
        <v>2010</v>
      </c>
      <c r="E7729" s="4" t="inlineStr"/>
      <c r="F7729" s="5" t="n">
        <v>1207</v>
      </c>
      <c r="G7729" s="5" t="n">
        <v>5370</v>
      </c>
      <c r="H7729" s="5" t="n">
        <v>402</v>
      </c>
      <c r="I7729" s="5" t="n">
        <v>291</v>
      </c>
      <c r="J7729" s="5" t="n">
        <v>108</v>
      </c>
      <c r="K7729" s="10">
        <f>IF(F7729&gt;0,H7729/F7729,"")</f>
        <v/>
      </c>
      <c r="L7729" s="16">
        <f>IF(AND(G7729&gt;0,H7729&gt;0),G7729/H7729,"")</f>
        <v/>
      </c>
    </row>
    <row r="7730">
      <c r="A7730" s="4" t="inlineStr">
        <is>
          <t>560</t>
        </is>
      </c>
      <c r="B7730" s="4" t="n">
        <v>5</v>
      </c>
      <c r="C7730" s="4" t="inlineStr">
        <is>
          <t>mule deer</t>
        </is>
      </c>
      <c r="D7730" s="4" t="n">
        <v>2011</v>
      </c>
      <c r="E7730" s="4" t="inlineStr"/>
      <c r="F7730" s="5" t="n">
        <v>1407</v>
      </c>
      <c r="G7730" s="5" t="n">
        <v>6532</v>
      </c>
      <c r="H7730" s="5" t="n">
        <v>450</v>
      </c>
      <c r="I7730" s="5" t="n">
        <v>346</v>
      </c>
      <c r="J7730" s="5" t="n">
        <v>103</v>
      </c>
      <c r="K7730" s="10">
        <f>IF(F7730&gt;0,H7730/F7730,"")</f>
        <v/>
      </c>
      <c r="L7730" s="16">
        <f>IF(AND(G7730&gt;0,H7730&gt;0),G7730/H7730,"")</f>
        <v/>
      </c>
    </row>
    <row r="7731">
      <c r="A7731" s="4" t="inlineStr">
        <is>
          <t>560</t>
        </is>
      </c>
      <c r="B7731" s="4" t="n">
        <v>5</v>
      </c>
      <c r="C7731" s="4" t="inlineStr">
        <is>
          <t>mule deer</t>
        </is>
      </c>
      <c r="D7731" s="4" t="n">
        <v>2012</v>
      </c>
      <c r="E7731" s="4" t="inlineStr"/>
      <c r="F7731" s="5" t="n"/>
      <c r="G7731" s="5" t="n"/>
      <c r="H7731" s="5" t="n">
        <v>416</v>
      </c>
      <c r="I7731" s="5" t="n">
        <v>359</v>
      </c>
      <c r="J7731" s="5" t="n">
        <v>57</v>
      </c>
      <c r="K7731" s="10">
        <f>IF(F7731&gt;0,H7731/F7731,"")</f>
        <v/>
      </c>
      <c r="L7731" s="16">
        <f>IF(AND(G7731&gt;0,H7731&gt;0),G7731/H7731,"")</f>
        <v/>
      </c>
    </row>
    <row r="7732">
      <c r="A7732" s="4" t="inlineStr">
        <is>
          <t>560</t>
        </is>
      </c>
      <c r="B7732" s="4" t="n">
        <v>5</v>
      </c>
      <c r="C7732" s="4" t="inlineStr">
        <is>
          <t>mule deer</t>
        </is>
      </c>
      <c r="D7732" s="4" t="n">
        <v>2013</v>
      </c>
      <c r="E7732" s="4" t="inlineStr"/>
      <c r="F7732" s="5" t="n">
        <v>1554</v>
      </c>
      <c r="G7732" s="5" t="n">
        <v>7444</v>
      </c>
      <c r="H7732" s="5" t="n">
        <v>381</v>
      </c>
      <c r="I7732" s="5" t="n">
        <v>322</v>
      </c>
      <c r="J7732" s="5" t="n">
        <v>60</v>
      </c>
      <c r="K7732" s="10">
        <f>IF(F7732&gt;0,H7732/F7732,"")</f>
        <v/>
      </c>
      <c r="L7732" s="16">
        <f>IF(AND(G7732&gt;0,H7732&gt;0),G7732/H7732,"")</f>
        <v/>
      </c>
    </row>
    <row r="7733">
      <c r="A7733" s="4" t="inlineStr">
        <is>
          <t>560</t>
        </is>
      </c>
      <c r="B7733" s="4" t="n">
        <v>5</v>
      </c>
      <c r="C7733" s="4" t="inlineStr">
        <is>
          <t>mule deer</t>
        </is>
      </c>
      <c r="D7733" s="4" t="n">
        <v>2014</v>
      </c>
      <c r="E7733" s="4" t="inlineStr"/>
      <c r="F7733" s="5" t="n"/>
      <c r="G7733" s="5" t="n"/>
      <c r="H7733" s="5" t="n">
        <v>358</v>
      </c>
      <c r="I7733" s="5" t="n">
        <v>358</v>
      </c>
      <c r="J7733" s="5" t="n">
        <v>0</v>
      </c>
      <c r="K7733" s="10">
        <f>IF(F7733&gt;0,H7733/F7733,"")</f>
        <v/>
      </c>
      <c r="L7733" s="16">
        <f>IF(AND(G7733&gt;0,H7733&gt;0),G7733/H7733,"")</f>
        <v/>
      </c>
    </row>
    <row r="7734">
      <c r="A7734" s="4" t="inlineStr">
        <is>
          <t>560</t>
        </is>
      </c>
      <c r="B7734" s="4" t="n">
        <v>5</v>
      </c>
      <c r="C7734" s="4" t="inlineStr">
        <is>
          <t>mule deer</t>
        </is>
      </c>
      <c r="D7734" s="4" t="n">
        <v>2015</v>
      </c>
      <c r="E7734" s="4" t="inlineStr"/>
      <c r="F7734" s="5" t="n"/>
      <c r="G7734" s="5" t="n"/>
      <c r="H7734" s="5" t="n">
        <v>337</v>
      </c>
      <c r="I7734" s="5" t="n">
        <v>331</v>
      </c>
      <c r="J7734" s="5" t="n">
        <v>6</v>
      </c>
      <c r="K7734" s="10">
        <f>IF(F7734&gt;0,H7734/F7734,"")</f>
        <v/>
      </c>
      <c r="L7734" s="16">
        <f>IF(AND(G7734&gt;0,H7734&gt;0),G7734/H7734,"")</f>
        <v/>
      </c>
    </row>
    <row r="7735">
      <c r="A7735" s="4" t="inlineStr">
        <is>
          <t>560</t>
        </is>
      </c>
      <c r="B7735" s="4" t="n">
        <v>5</v>
      </c>
      <c r="C7735" s="4" t="inlineStr">
        <is>
          <t>mule deer</t>
        </is>
      </c>
      <c r="D7735" s="4" t="n">
        <v>2016</v>
      </c>
      <c r="E7735" s="4" t="inlineStr"/>
      <c r="F7735" s="5" t="n"/>
      <c r="G7735" s="5" t="n"/>
      <c r="H7735" s="5" t="n">
        <v>358</v>
      </c>
      <c r="I7735" s="5" t="n">
        <v>332</v>
      </c>
      <c r="J7735" s="5" t="n">
        <v>26</v>
      </c>
      <c r="K7735" s="10">
        <f>IF(F7735&gt;0,H7735/F7735,"")</f>
        <v/>
      </c>
      <c r="L7735" s="16">
        <f>IF(AND(G7735&gt;0,H7735&gt;0),G7735/H7735,"")</f>
        <v/>
      </c>
    </row>
    <row r="7736">
      <c r="A7736" s="4" t="inlineStr">
        <is>
          <t>560</t>
        </is>
      </c>
      <c r="B7736" s="4" t="n">
        <v>5</v>
      </c>
      <c r="C7736" s="4" t="inlineStr">
        <is>
          <t>mule deer</t>
        </is>
      </c>
      <c r="D7736" s="4" t="n">
        <v>2017</v>
      </c>
      <c r="E7736" s="4" t="inlineStr"/>
      <c r="F7736" s="5" t="n">
        <v>1172</v>
      </c>
      <c r="G7736" s="5" t="n">
        <v>5840</v>
      </c>
      <c r="H7736" s="5" t="n">
        <v>363</v>
      </c>
      <c r="I7736" s="5" t="n">
        <v>332</v>
      </c>
      <c r="J7736" s="5" t="n">
        <v>28</v>
      </c>
      <c r="K7736" s="10">
        <f>IF(F7736&gt;0,H7736/F7736,"")</f>
        <v/>
      </c>
      <c r="L7736" s="16">
        <f>IF(AND(G7736&gt;0,H7736&gt;0),G7736/H7736,"")</f>
        <v/>
      </c>
    </row>
    <row r="7737">
      <c r="A7737" s="4" t="inlineStr">
        <is>
          <t>560</t>
        </is>
      </c>
      <c r="B7737" s="4" t="n">
        <v>5</v>
      </c>
      <c r="C7737" s="4" t="inlineStr">
        <is>
          <t>mule deer</t>
        </is>
      </c>
      <c r="D7737" s="4" t="n">
        <v>2018</v>
      </c>
      <c r="E7737" s="4" t="inlineStr"/>
      <c r="F7737" s="5" t="n"/>
      <c r="G7737" s="5" t="n"/>
      <c r="H7737" s="5" t="n">
        <v>335</v>
      </c>
      <c r="I7737" s="5" t="n">
        <v>305</v>
      </c>
      <c r="J7737" s="5" t="n">
        <v>30</v>
      </c>
      <c r="K7737" s="10">
        <f>IF(F7737&gt;0,H7737/F7737,"")</f>
        <v/>
      </c>
      <c r="L7737" s="16">
        <f>IF(AND(G7737&gt;0,H7737&gt;0),G7737/H7737,"")</f>
        <v/>
      </c>
    </row>
    <row r="7738">
      <c r="A7738" s="4" t="inlineStr">
        <is>
          <t>560</t>
        </is>
      </c>
      <c r="B7738" s="4" t="n">
        <v>5</v>
      </c>
      <c r="C7738" s="4" t="inlineStr">
        <is>
          <t>mule deer</t>
        </is>
      </c>
      <c r="D7738" s="4" t="n">
        <v>2019</v>
      </c>
      <c r="E7738" s="4" t="inlineStr"/>
      <c r="F7738" s="5" t="n">
        <v>1286</v>
      </c>
      <c r="G7738" s="5" t="n">
        <v>6474</v>
      </c>
      <c r="H7738" s="5" t="n">
        <v>350</v>
      </c>
      <c r="I7738" s="5" t="n">
        <v>324</v>
      </c>
      <c r="J7738" s="5" t="n">
        <v>26</v>
      </c>
      <c r="K7738" s="10">
        <f>IF(F7738&gt;0,H7738/F7738,"")</f>
        <v/>
      </c>
      <c r="L7738" s="16">
        <f>IF(AND(G7738&gt;0,H7738&gt;0),G7738/H7738,"")</f>
        <v/>
      </c>
    </row>
    <row r="7739">
      <c r="A7739" s="4" t="inlineStr">
        <is>
          <t>560</t>
        </is>
      </c>
      <c r="B7739" s="4" t="n">
        <v>5</v>
      </c>
      <c r="C7739" s="4" t="inlineStr">
        <is>
          <t>mule deer</t>
        </is>
      </c>
      <c r="D7739" s="4" t="n">
        <v>2020</v>
      </c>
      <c r="E7739" s="4" t="inlineStr"/>
      <c r="F7739" s="5" t="n"/>
      <c r="G7739" s="5" t="n"/>
      <c r="H7739" s="5" t="n">
        <v>321</v>
      </c>
      <c r="I7739" s="5" t="n">
        <v>281</v>
      </c>
      <c r="J7739" s="5" t="n">
        <v>40</v>
      </c>
      <c r="K7739" s="10">
        <f>IF(F7739&gt;0,H7739/F7739,"")</f>
        <v/>
      </c>
      <c r="L7739" s="16">
        <f>IF(AND(G7739&gt;0,H7739&gt;0),G7739/H7739,"")</f>
        <v/>
      </c>
    </row>
    <row r="7740">
      <c r="A7740" s="4" t="inlineStr">
        <is>
          <t>560</t>
        </is>
      </c>
      <c r="B7740" s="4" t="n">
        <v>5</v>
      </c>
      <c r="C7740" s="4" t="inlineStr">
        <is>
          <t>mule deer</t>
        </is>
      </c>
      <c r="D7740" s="4" t="n">
        <v>2021</v>
      </c>
      <c r="E7740" s="4" t="inlineStr"/>
      <c r="F7740" s="5" t="n">
        <v>1203</v>
      </c>
      <c r="G7740" s="5" t="n">
        <v>6185</v>
      </c>
      <c r="H7740" s="5" t="n">
        <v>263</v>
      </c>
      <c r="I7740" s="5" t="n">
        <v>235</v>
      </c>
      <c r="J7740" s="5" t="n">
        <v>28</v>
      </c>
      <c r="K7740" s="10">
        <f>IF(F7740&gt;0,H7740/F7740,"")</f>
        <v/>
      </c>
      <c r="L7740" s="16">
        <f>IF(AND(G7740&gt;0,H7740&gt;0),G7740/H7740,"")</f>
        <v/>
      </c>
    </row>
    <row r="7741">
      <c r="A7741" s="4" t="inlineStr">
        <is>
          <t>565</t>
        </is>
      </c>
      <c r="B7741" s="4" t="n">
        <v>5</v>
      </c>
      <c r="C7741" s="4" t="inlineStr">
        <is>
          <t>mule deer</t>
        </is>
      </c>
      <c r="D7741" s="4" t="n">
        <v>2022</v>
      </c>
      <c r="E7741" s="13" t="inlineStr">
        <is>
          <t>General</t>
        </is>
      </c>
      <c r="F7741" s="5" t="n"/>
      <c r="G7741" s="5" t="n"/>
      <c r="H7741" s="5" t="n">
        <v>22</v>
      </c>
      <c r="I7741" s="5" t="n">
        <v>22</v>
      </c>
      <c r="J7741" s="5" t="n">
        <v>0</v>
      </c>
      <c r="K7741" s="10">
        <f>IF(F7741&gt;0,H7741/F7741,"")</f>
        <v/>
      </c>
      <c r="L7741" s="16">
        <f>IF(AND(G7741&gt;0,H7741&gt;0),G7741/H7741,"")</f>
        <v/>
      </c>
    </row>
    <row r="7742">
      <c r="A7742" s="4" t="inlineStr">
        <is>
          <t>565</t>
        </is>
      </c>
      <c r="B7742" s="4" t="n">
        <v>5</v>
      </c>
      <c r="C7742" s="4" t="inlineStr">
        <is>
          <t>mule deer</t>
        </is>
      </c>
      <c r="D7742" s="4" t="n">
        <v>2023</v>
      </c>
      <c r="E7742" s="13" t="inlineStr">
        <is>
          <t>General</t>
        </is>
      </c>
      <c r="F7742" s="5" t="n">
        <v>86</v>
      </c>
      <c r="G7742" s="5" t="n">
        <v>510</v>
      </c>
      <c r="H7742" s="5" t="n">
        <v>3</v>
      </c>
      <c r="I7742" s="5" t="n">
        <v>3</v>
      </c>
      <c r="J7742" s="5" t="n">
        <v>0</v>
      </c>
      <c r="K7742" s="10">
        <f>IF(F7742&gt;0,H7742/F7742,"")</f>
        <v/>
      </c>
      <c r="L7742" s="16">
        <f>IF(AND(G7742&gt;0,H7742&gt;0),G7742/H7742,"")</f>
        <v/>
      </c>
    </row>
    <row r="7743">
      <c r="A7743" s="4" t="inlineStr">
        <is>
          <t>565</t>
        </is>
      </c>
      <c r="B7743" s="4" t="n">
        <v>5</v>
      </c>
      <c r="C7743" s="4" t="inlineStr">
        <is>
          <t>mule deer</t>
        </is>
      </c>
      <c r="D7743" s="4" t="n">
        <v>2024</v>
      </c>
      <c r="E7743" s="13" t="inlineStr">
        <is>
          <t>General</t>
        </is>
      </c>
      <c r="F7743" s="5" t="n"/>
      <c r="G7743" s="5" t="n"/>
      <c r="H7743" s="5" t="n">
        <v>9</v>
      </c>
      <c r="I7743" s="5" t="n">
        <v>9</v>
      </c>
      <c r="J7743" s="5" t="n">
        <v>0</v>
      </c>
      <c r="K7743" s="10">
        <f>IF(F7743&gt;0,H7743/F7743,"")</f>
        <v/>
      </c>
      <c r="L7743" s="16">
        <f>IF(AND(G7743&gt;0,H7743&gt;0),G7743/H7743,"")</f>
        <v/>
      </c>
    </row>
    <row r="7744">
      <c r="A7744" s="4" t="inlineStr">
        <is>
          <t>565</t>
        </is>
      </c>
      <c r="B7744" s="4" t="n">
        <v>5</v>
      </c>
      <c r="C7744" s="4" t="inlineStr">
        <is>
          <t>mule deer</t>
        </is>
      </c>
      <c r="D7744" s="4" t="n">
        <v>2025</v>
      </c>
      <c r="E7744" s="13" t="inlineStr">
        <is>
          <t>General</t>
        </is>
      </c>
      <c r="F7744" s="5" t="n">
        <v>108</v>
      </c>
      <c r="G7744" s="5" t="n">
        <v>704</v>
      </c>
      <c r="H7744" s="5" t="n">
        <v>14</v>
      </c>
      <c r="I7744" s="5" t="n">
        <v>14</v>
      </c>
      <c r="J7744" s="5" t="n">
        <v>0</v>
      </c>
      <c r="K7744" s="10">
        <f>IF(F7744&gt;0,H7744/F7744,"")</f>
        <v/>
      </c>
      <c r="L7744" s="16">
        <f>IF(AND(G7744&gt;0,H7744&gt;0),G7744/H7744,"")</f>
        <v/>
      </c>
    </row>
    <row r="7745">
      <c r="A7745" s="4" t="inlineStr">
        <is>
          <t>570</t>
        </is>
      </c>
      <c r="B7745" s="4" t="n">
        <v>5</v>
      </c>
      <c r="C7745" s="4" t="inlineStr">
        <is>
          <t>mule deer</t>
        </is>
      </c>
      <c r="D7745" s="4" t="n">
        <v>2004</v>
      </c>
      <c r="E7745" s="4" t="inlineStr"/>
      <c r="F7745" s="5" t="n">
        <v>1822</v>
      </c>
      <c r="G7745" s="5" t="n">
        <v>6599</v>
      </c>
      <c r="H7745" s="5" t="n">
        <v>869</v>
      </c>
      <c r="I7745" s="5" t="n">
        <v>565</v>
      </c>
      <c r="J7745" s="5" t="n">
        <v>297</v>
      </c>
      <c r="K7745" s="10">
        <f>IF(F7745&gt;0,H7745/F7745,"")</f>
        <v/>
      </c>
      <c r="L7745" s="16">
        <f>IF(AND(G7745&gt;0,H7745&gt;0),G7745/H7745,"")</f>
        <v/>
      </c>
    </row>
    <row r="7746">
      <c r="A7746" s="4" t="inlineStr">
        <is>
          <t>570</t>
        </is>
      </c>
      <c r="B7746" s="4" t="n">
        <v>5</v>
      </c>
      <c r="C7746" s="4" t="inlineStr">
        <is>
          <t>mule deer</t>
        </is>
      </c>
      <c r="D7746" s="4" t="n">
        <v>2005</v>
      </c>
      <c r="E7746" s="4" t="inlineStr"/>
      <c r="F7746" s="5" t="n">
        <v>1373</v>
      </c>
      <c r="G7746" s="5" t="n">
        <v>5214</v>
      </c>
      <c r="H7746" s="5" t="n">
        <v>532</v>
      </c>
      <c r="I7746" s="5" t="n">
        <v>467</v>
      </c>
      <c r="J7746" s="5" t="n">
        <v>60</v>
      </c>
      <c r="K7746" s="10">
        <f>IF(F7746&gt;0,H7746/F7746,"")</f>
        <v/>
      </c>
      <c r="L7746" s="16">
        <f>IF(AND(G7746&gt;0,H7746&gt;0),G7746/H7746,"")</f>
        <v/>
      </c>
    </row>
    <row r="7747">
      <c r="A7747" s="4" t="inlineStr">
        <is>
          <t>570</t>
        </is>
      </c>
      <c r="B7747" s="4" t="n">
        <v>5</v>
      </c>
      <c r="C7747" s="4" t="inlineStr">
        <is>
          <t>mule deer</t>
        </is>
      </c>
      <c r="D7747" s="4" t="n">
        <v>2006</v>
      </c>
      <c r="E7747" s="4" t="inlineStr"/>
      <c r="F7747" s="5" t="n">
        <v>1205</v>
      </c>
      <c r="G7747" s="5" t="n">
        <v>4466</v>
      </c>
      <c r="H7747" s="5" t="n">
        <v>521</v>
      </c>
      <c r="I7747" s="5" t="n">
        <v>426</v>
      </c>
      <c r="J7747" s="5" t="n">
        <v>89</v>
      </c>
      <c r="K7747" s="10">
        <f>IF(F7747&gt;0,H7747/F7747,"")</f>
        <v/>
      </c>
      <c r="L7747" s="16">
        <f>IF(AND(G7747&gt;0,H7747&gt;0),G7747/H7747,"")</f>
        <v/>
      </c>
    </row>
    <row r="7748">
      <c r="A7748" s="4" t="inlineStr">
        <is>
          <t>570</t>
        </is>
      </c>
      <c r="B7748" s="4" t="n">
        <v>5</v>
      </c>
      <c r="C7748" s="4" t="inlineStr">
        <is>
          <t>mule deer</t>
        </is>
      </c>
      <c r="D7748" s="4" t="n">
        <v>2007</v>
      </c>
      <c r="E7748" s="4" t="inlineStr"/>
      <c r="F7748" s="5" t="n">
        <v>1437</v>
      </c>
      <c r="G7748" s="5" t="n">
        <v>5532</v>
      </c>
      <c r="H7748" s="5" t="n">
        <v>635</v>
      </c>
      <c r="I7748" s="5" t="n">
        <v>451</v>
      </c>
      <c r="J7748" s="5" t="n">
        <v>181</v>
      </c>
      <c r="K7748" s="10">
        <f>IF(F7748&gt;0,H7748/F7748,"")</f>
        <v/>
      </c>
      <c r="L7748" s="16">
        <f>IF(AND(G7748&gt;0,H7748&gt;0),G7748/H7748,"")</f>
        <v/>
      </c>
    </row>
    <row r="7749">
      <c r="A7749" s="4" t="inlineStr">
        <is>
          <t>570</t>
        </is>
      </c>
      <c r="B7749" s="4" t="n">
        <v>5</v>
      </c>
      <c r="C7749" s="4" t="inlineStr">
        <is>
          <t>mule deer</t>
        </is>
      </c>
      <c r="D7749" s="4" t="n">
        <v>2008</v>
      </c>
      <c r="E7749" s="4" t="inlineStr"/>
      <c r="F7749" s="5" t="n">
        <v>1457</v>
      </c>
      <c r="G7749" s="5" t="n">
        <v>6561</v>
      </c>
      <c r="H7749" s="5" t="n">
        <v>631</v>
      </c>
      <c r="I7749" s="5" t="n">
        <v>392</v>
      </c>
      <c r="J7749" s="5" t="n">
        <v>237</v>
      </c>
      <c r="K7749" s="10">
        <f>IF(F7749&gt;0,H7749/F7749,"")</f>
        <v/>
      </c>
      <c r="L7749" s="16">
        <f>IF(AND(G7749&gt;0,H7749&gt;0),G7749/H7749,"")</f>
        <v/>
      </c>
    </row>
    <row r="7750">
      <c r="A7750" s="4" t="inlineStr">
        <is>
          <t>570</t>
        </is>
      </c>
      <c r="B7750" s="4" t="n">
        <v>5</v>
      </c>
      <c r="C7750" s="4" t="inlineStr">
        <is>
          <t>mule deer</t>
        </is>
      </c>
      <c r="D7750" s="4" t="n">
        <v>2009</v>
      </c>
      <c r="E7750" s="4" t="inlineStr"/>
      <c r="F7750" s="5" t="n">
        <v>1407</v>
      </c>
      <c r="G7750" s="5" t="n">
        <v>5751</v>
      </c>
      <c r="H7750" s="5" t="n">
        <v>497</v>
      </c>
      <c r="I7750" s="5" t="n">
        <v>390</v>
      </c>
      <c r="J7750" s="5" t="n">
        <v>107</v>
      </c>
      <c r="K7750" s="10">
        <f>IF(F7750&gt;0,H7750/F7750,"")</f>
        <v/>
      </c>
      <c r="L7750" s="16">
        <f>IF(AND(G7750&gt;0,H7750&gt;0),G7750/H7750,"")</f>
        <v/>
      </c>
    </row>
    <row r="7751">
      <c r="A7751" s="4" t="inlineStr">
        <is>
          <t>570</t>
        </is>
      </c>
      <c r="B7751" s="4" t="n">
        <v>5</v>
      </c>
      <c r="C7751" s="4" t="inlineStr">
        <is>
          <t>mule deer</t>
        </is>
      </c>
      <c r="D7751" s="4" t="n">
        <v>2010</v>
      </c>
      <c r="E7751" s="4" t="inlineStr"/>
      <c r="F7751" s="5" t="n">
        <v>1486</v>
      </c>
      <c r="G7751" s="5" t="n">
        <v>5989</v>
      </c>
      <c r="H7751" s="5" t="n">
        <v>368</v>
      </c>
      <c r="I7751" s="5" t="n">
        <v>264</v>
      </c>
      <c r="J7751" s="5" t="n">
        <v>103</v>
      </c>
      <c r="K7751" s="10">
        <f>IF(F7751&gt;0,H7751/F7751,"")</f>
        <v/>
      </c>
      <c r="L7751" s="16">
        <f>IF(AND(G7751&gt;0,H7751&gt;0),G7751/H7751,"")</f>
        <v/>
      </c>
    </row>
    <row r="7752">
      <c r="A7752" s="4" t="inlineStr">
        <is>
          <t>570</t>
        </is>
      </c>
      <c r="B7752" s="4" t="n">
        <v>5</v>
      </c>
      <c r="C7752" s="4" t="inlineStr">
        <is>
          <t>mule deer</t>
        </is>
      </c>
      <c r="D7752" s="4" t="n">
        <v>2011</v>
      </c>
      <c r="E7752" s="4" t="inlineStr"/>
      <c r="F7752" s="5" t="n">
        <v>1392</v>
      </c>
      <c r="G7752" s="5" t="n">
        <v>6357</v>
      </c>
      <c r="H7752" s="5" t="n">
        <v>406</v>
      </c>
      <c r="I7752" s="5" t="n">
        <v>321</v>
      </c>
      <c r="J7752" s="5" t="n">
        <v>86</v>
      </c>
      <c r="K7752" s="10">
        <f>IF(F7752&gt;0,H7752/F7752,"")</f>
        <v/>
      </c>
      <c r="L7752" s="16">
        <f>IF(AND(G7752&gt;0,H7752&gt;0),G7752/H7752,"")</f>
        <v/>
      </c>
    </row>
    <row r="7753">
      <c r="A7753" s="4" t="inlineStr">
        <is>
          <t>570</t>
        </is>
      </c>
      <c r="B7753" s="4" t="n">
        <v>5</v>
      </c>
      <c r="C7753" s="4" t="inlineStr">
        <is>
          <t>mule deer</t>
        </is>
      </c>
      <c r="D7753" s="4" t="n">
        <v>2012</v>
      </c>
      <c r="E7753" s="4" t="inlineStr"/>
      <c r="F7753" s="5" t="n"/>
      <c r="G7753" s="5" t="n"/>
      <c r="H7753" s="5" t="n">
        <v>390</v>
      </c>
      <c r="I7753" s="5" t="n">
        <v>356</v>
      </c>
      <c r="J7753" s="5" t="n">
        <v>31</v>
      </c>
      <c r="K7753" s="10">
        <f>IF(F7753&gt;0,H7753/F7753,"")</f>
        <v/>
      </c>
      <c r="L7753" s="16">
        <f>IF(AND(G7753&gt;0,H7753&gt;0),G7753/H7753,"")</f>
        <v/>
      </c>
    </row>
    <row r="7754">
      <c r="A7754" s="4" t="inlineStr">
        <is>
          <t>570</t>
        </is>
      </c>
      <c r="B7754" s="4" t="n">
        <v>5</v>
      </c>
      <c r="C7754" s="4" t="inlineStr">
        <is>
          <t>mule deer</t>
        </is>
      </c>
      <c r="D7754" s="4" t="n">
        <v>2013</v>
      </c>
      <c r="E7754" s="4" t="inlineStr"/>
      <c r="F7754" s="5" t="n">
        <v>1347</v>
      </c>
      <c r="G7754" s="5" t="n">
        <v>6082</v>
      </c>
      <c r="H7754" s="5" t="n">
        <v>341</v>
      </c>
      <c r="I7754" s="5" t="n">
        <v>310</v>
      </c>
      <c r="J7754" s="5" t="n">
        <v>28</v>
      </c>
      <c r="K7754" s="10">
        <f>IF(F7754&gt;0,H7754/F7754,"")</f>
        <v/>
      </c>
      <c r="L7754" s="16">
        <f>IF(AND(G7754&gt;0,H7754&gt;0),G7754/H7754,"")</f>
        <v/>
      </c>
    </row>
    <row r="7755">
      <c r="A7755" s="4" t="inlineStr">
        <is>
          <t>570</t>
        </is>
      </c>
      <c r="B7755" s="4" t="n">
        <v>5</v>
      </c>
      <c r="C7755" s="4" t="inlineStr">
        <is>
          <t>mule deer</t>
        </is>
      </c>
      <c r="D7755" s="4" t="n">
        <v>2014</v>
      </c>
      <c r="E7755" s="4" t="inlineStr"/>
      <c r="F7755" s="5" t="n"/>
      <c r="G7755" s="5" t="n"/>
      <c r="H7755" s="5" t="n">
        <v>382</v>
      </c>
      <c r="I7755" s="5" t="n">
        <v>379</v>
      </c>
      <c r="J7755" s="5" t="n">
        <v>0</v>
      </c>
      <c r="K7755" s="10">
        <f>IF(F7755&gt;0,H7755/F7755,"")</f>
        <v/>
      </c>
      <c r="L7755" s="16">
        <f>IF(AND(G7755&gt;0,H7755&gt;0),G7755/H7755,"")</f>
        <v/>
      </c>
    </row>
    <row r="7756">
      <c r="A7756" s="4" t="inlineStr">
        <is>
          <t>570</t>
        </is>
      </c>
      <c r="B7756" s="4" t="n">
        <v>5</v>
      </c>
      <c r="C7756" s="4" t="inlineStr">
        <is>
          <t>mule deer</t>
        </is>
      </c>
      <c r="D7756" s="4" t="n">
        <v>2015</v>
      </c>
      <c r="E7756" s="4" t="inlineStr"/>
      <c r="F7756" s="5" t="n"/>
      <c r="G7756" s="5" t="n"/>
      <c r="H7756" s="5" t="n">
        <v>433</v>
      </c>
      <c r="I7756" s="5" t="n">
        <v>430</v>
      </c>
      <c r="J7756" s="5" t="n">
        <v>3</v>
      </c>
      <c r="K7756" s="10">
        <f>IF(F7756&gt;0,H7756/F7756,"")</f>
        <v/>
      </c>
      <c r="L7756" s="16">
        <f>IF(AND(G7756&gt;0,H7756&gt;0),G7756/H7756,"")</f>
        <v/>
      </c>
    </row>
    <row r="7757">
      <c r="A7757" s="4" t="inlineStr">
        <is>
          <t>570</t>
        </is>
      </c>
      <c r="B7757" s="4" t="n">
        <v>5</v>
      </c>
      <c r="C7757" s="4" t="inlineStr">
        <is>
          <t>mule deer</t>
        </is>
      </c>
      <c r="D7757" s="4" t="n">
        <v>2016</v>
      </c>
      <c r="E7757" s="4" t="inlineStr"/>
      <c r="F7757" s="5" t="n"/>
      <c r="G7757" s="5" t="n"/>
      <c r="H7757" s="5" t="n">
        <v>580</v>
      </c>
      <c r="I7757" s="5" t="n">
        <v>508</v>
      </c>
      <c r="J7757" s="5" t="n">
        <v>72</v>
      </c>
      <c r="K7757" s="10">
        <f>IF(F7757&gt;0,H7757/F7757,"")</f>
        <v/>
      </c>
      <c r="L7757" s="16">
        <f>IF(AND(G7757&gt;0,H7757&gt;0),G7757/H7757,"")</f>
        <v/>
      </c>
    </row>
    <row r="7758">
      <c r="A7758" s="4" t="inlineStr">
        <is>
          <t>570</t>
        </is>
      </c>
      <c r="B7758" s="4" t="n">
        <v>5</v>
      </c>
      <c r="C7758" s="4" t="inlineStr">
        <is>
          <t>mule deer</t>
        </is>
      </c>
      <c r="D7758" s="4" t="n">
        <v>2017</v>
      </c>
      <c r="E7758" s="4" t="inlineStr"/>
      <c r="F7758" s="5" t="n">
        <v>1351</v>
      </c>
      <c r="G7758" s="5" t="n">
        <v>5983</v>
      </c>
      <c r="H7758" s="5" t="n">
        <v>527</v>
      </c>
      <c r="I7758" s="5" t="n">
        <v>463</v>
      </c>
      <c r="J7758" s="5" t="n">
        <v>57</v>
      </c>
      <c r="K7758" s="10">
        <f>IF(F7758&gt;0,H7758/F7758,"")</f>
        <v/>
      </c>
      <c r="L7758" s="16">
        <f>IF(AND(G7758&gt;0,H7758&gt;0),G7758/H7758,"")</f>
        <v/>
      </c>
    </row>
    <row r="7759">
      <c r="A7759" s="4" t="inlineStr">
        <is>
          <t>570</t>
        </is>
      </c>
      <c r="B7759" s="4" t="n">
        <v>5</v>
      </c>
      <c r="C7759" s="4" t="inlineStr">
        <is>
          <t>mule deer</t>
        </is>
      </c>
      <c r="D7759" s="4" t="n">
        <v>2018</v>
      </c>
      <c r="E7759" s="4" t="inlineStr"/>
      <c r="F7759" s="5" t="n"/>
      <c r="G7759" s="5" t="n"/>
      <c r="H7759" s="5" t="n">
        <v>453</v>
      </c>
      <c r="I7759" s="5" t="n">
        <v>378</v>
      </c>
      <c r="J7759" s="5" t="n">
        <v>75</v>
      </c>
      <c r="K7759" s="10">
        <f>IF(F7759&gt;0,H7759/F7759,"")</f>
        <v/>
      </c>
      <c r="L7759" s="16">
        <f>IF(AND(G7759&gt;0,H7759&gt;0),G7759/H7759,"")</f>
        <v/>
      </c>
    </row>
    <row r="7760">
      <c r="A7760" s="4" t="inlineStr">
        <is>
          <t>570</t>
        </is>
      </c>
      <c r="B7760" s="4" t="n">
        <v>5</v>
      </c>
      <c r="C7760" s="4" t="inlineStr">
        <is>
          <t>mule deer</t>
        </is>
      </c>
      <c r="D7760" s="4" t="n">
        <v>2019</v>
      </c>
      <c r="E7760" s="4" t="inlineStr"/>
      <c r="F7760" s="5" t="n">
        <v>1215</v>
      </c>
      <c r="G7760" s="5" t="n">
        <v>5654</v>
      </c>
      <c r="H7760" s="5" t="n">
        <v>349</v>
      </c>
      <c r="I7760" s="5" t="n">
        <v>308</v>
      </c>
      <c r="J7760" s="5" t="n">
        <v>41</v>
      </c>
      <c r="K7760" s="10">
        <f>IF(F7760&gt;0,H7760/F7760,"")</f>
        <v/>
      </c>
      <c r="L7760" s="16">
        <f>IF(AND(G7760&gt;0,H7760&gt;0),G7760/H7760,"")</f>
        <v/>
      </c>
    </row>
    <row r="7761">
      <c r="A7761" s="4" t="inlineStr">
        <is>
          <t>570</t>
        </is>
      </c>
      <c r="B7761" s="4" t="n">
        <v>5</v>
      </c>
      <c r="C7761" s="4" t="inlineStr">
        <is>
          <t>mule deer</t>
        </is>
      </c>
      <c r="D7761" s="4" t="n">
        <v>2020</v>
      </c>
      <c r="E7761" s="4" t="inlineStr"/>
      <c r="F7761" s="5" t="n"/>
      <c r="G7761" s="5" t="n"/>
      <c r="H7761" s="5" t="n">
        <v>416</v>
      </c>
      <c r="I7761" s="5" t="n">
        <v>350</v>
      </c>
      <c r="J7761" s="5" t="n">
        <v>60</v>
      </c>
      <c r="K7761" s="10">
        <f>IF(F7761&gt;0,H7761/F7761,"")</f>
        <v/>
      </c>
      <c r="L7761" s="16">
        <f>IF(AND(G7761&gt;0,H7761&gt;0),G7761/H7761,"")</f>
        <v/>
      </c>
    </row>
    <row r="7762">
      <c r="A7762" s="4" t="inlineStr">
        <is>
          <t>570</t>
        </is>
      </c>
      <c r="B7762" s="4" t="n">
        <v>5</v>
      </c>
      <c r="C7762" s="4" t="inlineStr">
        <is>
          <t>mule deer</t>
        </is>
      </c>
      <c r="D7762" s="4" t="n">
        <v>2021</v>
      </c>
      <c r="E7762" s="4" t="inlineStr"/>
      <c r="F7762" s="5" t="n">
        <v>1206</v>
      </c>
      <c r="G7762" s="5" t="n">
        <v>5896</v>
      </c>
      <c r="H7762" s="5" t="n">
        <v>312</v>
      </c>
      <c r="I7762" s="5" t="n">
        <v>270</v>
      </c>
      <c r="J7762" s="5" t="n">
        <v>42</v>
      </c>
      <c r="K7762" s="10">
        <f>IF(F7762&gt;0,H7762/F7762,"")</f>
        <v/>
      </c>
      <c r="L7762" s="16">
        <f>IF(AND(G7762&gt;0,H7762&gt;0),G7762/H7762,"")</f>
        <v/>
      </c>
    </row>
    <row r="7763">
      <c r="A7763" s="4" t="inlineStr">
        <is>
          <t>575</t>
        </is>
      </c>
      <c r="B7763" s="4" t="n">
        <v>5</v>
      </c>
      <c r="C7763" s="4" t="inlineStr">
        <is>
          <t>mule deer</t>
        </is>
      </c>
      <c r="D7763" s="4" t="n">
        <v>2004</v>
      </c>
      <c r="E7763" s="13" t="inlineStr">
        <is>
          <t>General</t>
        </is>
      </c>
      <c r="F7763" s="5" t="n">
        <v>3026</v>
      </c>
      <c r="G7763" s="5" t="n">
        <v>12380</v>
      </c>
      <c r="H7763" s="5" t="n">
        <v>1461</v>
      </c>
      <c r="I7763" s="5" t="n">
        <v>953</v>
      </c>
      <c r="J7763" s="5" t="n">
        <v>501</v>
      </c>
      <c r="K7763" s="10">
        <f>IF(F7763&gt;0,H7763/F7763,"")</f>
        <v/>
      </c>
      <c r="L7763" s="16">
        <f>IF(AND(G7763&gt;0,H7763&gt;0),G7763/H7763,"")</f>
        <v/>
      </c>
    </row>
    <row r="7764">
      <c r="A7764" s="4" t="inlineStr">
        <is>
          <t>575</t>
        </is>
      </c>
      <c r="B7764" s="4" t="n">
        <v>5</v>
      </c>
      <c r="C7764" s="4" t="inlineStr">
        <is>
          <t>mule deer</t>
        </is>
      </c>
      <c r="D7764" s="4" t="n">
        <v>2005</v>
      </c>
      <c r="E7764" s="13" t="inlineStr">
        <is>
          <t>General</t>
        </is>
      </c>
      <c r="F7764" s="5" t="n">
        <v>2511</v>
      </c>
      <c r="G7764" s="5" t="n">
        <v>10975</v>
      </c>
      <c r="H7764" s="5" t="n">
        <v>1134</v>
      </c>
      <c r="I7764" s="5" t="n">
        <v>758</v>
      </c>
      <c r="J7764" s="5" t="n">
        <v>364</v>
      </c>
      <c r="K7764" s="10">
        <f>IF(F7764&gt;0,H7764/F7764,"")</f>
        <v/>
      </c>
      <c r="L7764" s="16">
        <f>IF(AND(G7764&gt;0,H7764&gt;0),G7764/H7764,"")</f>
        <v/>
      </c>
    </row>
    <row r="7765">
      <c r="A7765" s="4" t="inlineStr">
        <is>
          <t>575</t>
        </is>
      </c>
      <c r="B7765" s="4" t="n">
        <v>5</v>
      </c>
      <c r="C7765" s="4" t="inlineStr">
        <is>
          <t>mule deer</t>
        </is>
      </c>
      <c r="D7765" s="4" t="n">
        <v>2006</v>
      </c>
      <c r="E7765" s="13" t="inlineStr">
        <is>
          <t>General</t>
        </is>
      </c>
      <c r="F7765" s="5" t="n">
        <v>2582</v>
      </c>
      <c r="G7765" s="5" t="n">
        <v>12041</v>
      </c>
      <c r="H7765" s="5" t="n">
        <v>1469</v>
      </c>
      <c r="I7765" s="5" t="n">
        <v>911</v>
      </c>
      <c r="J7765" s="5" t="n">
        <v>539</v>
      </c>
      <c r="K7765" s="10">
        <f>IF(F7765&gt;0,H7765/F7765,"")</f>
        <v/>
      </c>
      <c r="L7765" s="16">
        <f>IF(AND(G7765&gt;0,H7765&gt;0),G7765/H7765,"")</f>
        <v/>
      </c>
    </row>
    <row r="7766">
      <c r="A7766" s="4" t="inlineStr">
        <is>
          <t>575</t>
        </is>
      </c>
      <c r="B7766" s="4" t="n">
        <v>5</v>
      </c>
      <c r="C7766" s="4" t="inlineStr">
        <is>
          <t>mule deer</t>
        </is>
      </c>
      <c r="D7766" s="4" t="n">
        <v>2007</v>
      </c>
      <c r="E7766" s="13" t="inlineStr">
        <is>
          <t>General</t>
        </is>
      </c>
      <c r="F7766" s="5" t="n">
        <v>2810</v>
      </c>
      <c r="G7766" s="5" t="n">
        <v>12111</v>
      </c>
      <c r="H7766" s="5" t="n">
        <v>1476</v>
      </c>
      <c r="I7766" s="5" t="n">
        <v>825</v>
      </c>
      <c r="J7766" s="5" t="n">
        <v>641</v>
      </c>
      <c r="K7766" s="10">
        <f>IF(F7766&gt;0,H7766/F7766,"")</f>
        <v/>
      </c>
      <c r="L7766" s="16">
        <f>IF(AND(G7766&gt;0,H7766&gt;0),G7766/H7766,"")</f>
        <v/>
      </c>
    </row>
    <row r="7767">
      <c r="A7767" s="4" t="inlineStr">
        <is>
          <t>575</t>
        </is>
      </c>
      <c r="B7767" s="4" t="n">
        <v>5</v>
      </c>
      <c r="C7767" s="4" t="inlineStr">
        <is>
          <t>mule deer</t>
        </is>
      </c>
      <c r="D7767" s="4" t="n">
        <v>2008</v>
      </c>
      <c r="E7767" s="13" t="inlineStr">
        <is>
          <t>General</t>
        </is>
      </c>
      <c r="F7767" s="5" t="n">
        <v>3072</v>
      </c>
      <c r="G7767" s="5" t="n">
        <v>13479</v>
      </c>
      <c r="H7767" s="5" t="n">
        <v>1570</v>
      </c>
      <c r="I7767" s="5" t="n">
        <v>937</v>
      </c>
      <c r="J7767" s="5" t="n">
        <v>618</v>
      </c>
      <c r="K7767" s="10">
        <f>IF(F7767&gt;0,H7767/F7767,"")</f>
        <v/>
      </c>
      <c r="L7767" s="16">
        <f>IF(AND(G7767&gt;0,H7767&gt;0),G7767/H7767,"")</f>
        <v/>
      </c>
    </row>
    <row r="7768">
      <c r="A7768" s="4" t="inlineStr">
        <is>
          <t>575</t>
        </is>
      </c>
      <c r="B7768" s="4" t="n">
        <v>5</v>
      </c>
      <c r="C7768" s="4" t="inlineStr">
        <is>
          <t>mule deer</t>
        </is>
      </c>
      <c r="D7768" s="4" t="n">
        <v>2009</v>
      </c>
      <c r="E7768" s="13" t="inlineStr">
        <is>
          <t>General</t>
        </is>
      </c>
      <c r="F7768" s="5" t="n">
        <v>3186</v>
      </c>
      <c r="G7768" s="5" t="n">
        <v>13834</v>
      </c>
      <c r="H7768" s="5" t="n">
        <v>1543</v>
      </c>
      <c r="I7768" s="5" t="n">
        <v>856</v>
      </c>
      <c r="J7768" s="5" t="n">
        <v>675</v>
      </c>
      <c r="K7768" s="10">
        <f>IF(F7768&gt;0,H7768/F7768,"")</f>
        <v/>
      </c>
      <c r="L7768" s="16">
        <f>IF(AND(G7768&gt;0,H7768&gt;0),G7768/H7768,"")</f>
        <v/>
      </c>
    </row>
    <row r="7769">
      <c r="A7769" s="4" t="inlineStr">
        <is>
          <t>575</t>
        </is>
      </c>
      <c r="B7769" s="4" t="n">
        <v>5</v>
      </c>
      <c r="C7769" s="4" t="inlineStr">
        <is>
          <t>mule deer</t>
        </is>
      </c>
      <c r="D7769" s="4" t="n">
        <v>2010</v>
      </c>
      <c r="E7769" s="13" t="inlineStr">
        <is>
          <t>General</t>
        </is>
      </c>
      <c r="F7769" s="5" t="n">
        <v>3104</v>
      </c>
      <c r="G7769" s="5" t="n">
        <v>14658</v>
      </c>
      <c r="H7769" s="5" t="n">
        <v>1160</v>
      </c>
      <c r="I7769" s="5" t="n">
        <v>696</v>
      </c>
      <c r="J7769" s="5" t="n">
        <v>452</v>
      </c>
      <c r="K7769" s="10">
        <f>IF(F7769&gt;0,H7769/F7769,"")</f>
        <v/>
      </c>
      <c r="L7769" s="16">
        <f>IF(AND(G7769&gt;0,H7769&gt;0),G7769/H7769,"")</f>
        <v/>
      </c>
    </row>
    <row r="7770">
      <c r="A7770" s="4" t="inlineStr">
        <is>
          <t>575</t>
        </is>
      </c>
      <c r="B7770" s="4" t="n">
        <v>5</v>
      </c>
      <c r="C7770" s="4" t="inlineStr">
        <is>
          <t>mule deer</t>
        </is>
      </c>
      <c r="D7770" s="4" t="n">
        <v>2011</v>
      </c>
      <c r="E7770" s="13" t="inlineStr">
        <is>
          <t>General</t>
        </is>
      </c>
      <c r="F7770" s="5" t="n">
        <v>3029</v>
      </c>
      <c r="G7770" s="5" t="n">
        <v>13382</v>
      </c>
      <c r="H7770" s="5" t="n">
        <v>964</v>
      </c>
      <c r="I7770" s="5" t="n">
        <v>639</v>
      </c>
      <c r="J7770" s="5" t="n">
        <v>317</v>
      </c>
      <c r="K7770" s="10">
        <f>IF(F7770&gt;0,H7770/F7770,"")</f>
        <v/>
      </c>
      <c r="L7770" s="16">
        <f>IF(AND(G7770&gt;0,H7770&gt;0),G7770/H7770,"")</f>
        <v/>
      </c>
    </row>
    <row r="7771">
      <c r="A7771" s="4" t="inlineStr">
        <is>
          <t>575</t>
        </is>
      </c>
      <c r="B7771" s="4" t="n">
        <v>5</v>
      </c>
      <c r="C7771" s="4" t="inlineStr">
        <is>
          <t>mule deer</t>
        </is>
      </c>
      <c r="D7771" s="4" t="n">
        <v>2012</v>
      </c>
      <c r="E7771" s="13" t="inlineStr">
        <is>
          <t>General</t>
        </is>
      </c>
      <c r="F7771" s="5" t="n"/>
      <c r="G7771" s="5" t="n"/>
      <c r="H7771" s="5" t="n">
        <v>704</v>
      </c>
      <c r="I7771" s="5" t="n">
        <v>651</v>
      </c>
      <c r="J7771" s="5" t="n">
        <v>48</v>
      </c>
      <c r="K7771" s="10">
        <f>IF(F7771&gt;0,H7771/F7771,"")</f>
        <v/>
      </c>
      <c r="L7771" s="16">
        <f>IF(AND(G7771&gt;0,H7771&gt;0),G7771/H7771,"")</f>
        <v/>
      </c>
    </row>
    <row r="7772">
      <c r="A7772" s="4" t="inlineStr">
        <is>
          <t>575</t>
        </is>
      </c>
      <c r="B7772" s="4" t="n">
        <v>5</v>
      </c>
      <c r="C7772" s="4" t="inlineStr">
        <is>
          <t>mule deer</t>
        </is>
      </c>
      <c r="D7772" s="4" t="n">
        <v>2013</v>
      </c>
      <c r="E7772" s="13" t="inlineStr">
        <is>
          <t>General</t>
        </is>
      </c>
      <c r="F7772" s="5" t="n">
        <v>2802</v>
      </c>
      <c r="G7772" s="5" t="n">
        <v>12584</v>
      </c>
      <c r="H7772" s="5" t="n">
        <v>717</v>
      </c>
      <c r="I7772" s="5" t="n">
        <v>666</v>
      </c>
      <c r="J7772" s="5" t="n">
        <v>43</v>
      </c>
      <c r="K7772" s="10">
        <f>IF(F7772&gt;0,H7772/F7772,"")</f>
        <v/>
      </c>
      <c r="L7772" s="16">
        <f>IF(AND(G7772&gt;0,H7772&gt;0),G7772/H7772,"")</f>
        <v/>
      </c>
    </row>
    <row r="7773">
      <c r="A7773" s="4" t="inlineStr">
        <is>
          <t>575</t>
        </is>
      </c>
      <c r="B7773" s="4" t="n">
        <v>5</v>
      </c>
      <c r="C7773" s="4" t="inlineStr">
        <is>
          <t>mule deer</t>
        </is>
      </c>
      <c r="D7773" s="4" t="n">
        <v>2014</v>
      </c>
      <c r="E7773" s="13" t="inlineStr">
        <is>
          <t>General</t>
        </is>
      </c>
      <c r="F7773" s="5" t="n"/>
      <c r="G7773" s="5" t="n"/>
      <c r="H7773" s="5" t="n">
        <v>631</v>
      </c>
      <c r="I7773" s="5" t="n">
        <v>623</v>
      </c>
      <c r="J7773" s="5" t="n">
        <v>9</v>
      </c>
      <c r="K7773" s="10">
        <f>IF(F7773&gt;0,H7773/F7773,"")</f>
        <v/>
      </c>
      <c r="L7773" s="16">
        <f>IF(AND(G7773&gt;0,H7773&gt;0),G7773/H7773,"")</f>
        <v/>
      </c>
    </row>
    <row r="7774">
      <c r="A7774" s="4" t="inlineStr">
        <is>
          <t>575</t>
        </is>
      </c>
      <c r="B7774" s="4" t="n">
        <v>5</v>
      </c>
      <c r="C7774" s="4" t="inlineStr">
        <is>
          <t>mule deer</t>
        </is>
      </c>
      <c r="D7774" s="4" t="n">
        <v>2015</v>
      </c>
      <c r="E7774" s="13" t="inlineStr">
        <is>
          <t>General</t>
        </is>
      </c>
      <c r="F7774" s="5" t="n"/>
      <c r="G7774" s="5" t="n"/>
      <c r="H7774" s="5" t="n">
        <v>769</v>
      </c>
      <c r="I7774" s="5" t="n">
        <v>766</v>
      </c>
      <c r="J7774" s="5" t="n">
        <v>3</v>
      </c>
      <c r="K7774" s="10">
        <f>IF(F7774&gt;0,H7774/F7774,"")</f>
        <v/>
      </c>
      <c r="L7774" s="16">
        <f>IF(AND(G7774&gt;0,H7774&gt;0),G7774/H7774,"")</f>
        <v/>
      </c>
    </row>
    <row r="7775">
      <c r="A7775" s="4" t="inlineStr">
        <is>
          <t>575</t>
        </is>
      </c>
      <c r="B7775" s="4" t="n">
        <v>5</v>
      </c>
      <c r="C7775" s="4" t="inlineStr">
        <is>
          <t>mule deer</t>
        </is>
      </c>
      <c r="D7775" s="4" t="n">
        <v>2016</v>
      </c>
      <c r="E7775" s="13" t="inlineStr">
        <is>
          <t>General</t>
        </is>
      </c>
      <c r="F7775" s="5" t="n"/>
      <c r="G7775" s="5" t="n"/>
      <c r="H7775" s="5" t="n">
        <v>942</v>
      </c>
      <c r="I7775" s="5" t="n">
        <v>862</v>
      </c>
      <c r="J7775" s="5" t="n">
        <v>80</v>
      </c>
      <c r="K7775" s="10">
        <f>IF(F7775&gt;0,H7775/F7775,"")</f>
        <v/>
      </c>
      <c r="L7775" s="16">
        <f>IF(AND(G7775&gt;0,H7775&gt;0),G7775/H7775,"")</f>
        <v/>
      </c>
    </row>
    <row r="7776">
      <c r="A7776" s="4" t="inlineStr">
        <is>
          <t>575</t>
        </is>
      </c>
      <c r="B7776" s="4" t="n">
        <v>5</v>
      </c>
      <c r="C7776" s="4" t="inlineStr">
        <is>
          <t>mule deer</t>
        </is>
      </c>
      <c r="D7776" s="4" t="n">
        <v>2017</v>
      </c>
      <c r="E7776" s="13" t="inlineStr">
        <is>
          <t>General</t>
        </is>
      </c>
      <c r="F7776" s="5" t="n">
        <v>2404</v>
      </c>
      <c r="G7776" s="5" t="n">
        <v>11085</v>
      </c>
      <c r="H7776" s="5" t="n">
        <v>818</v>
      </c>
      <c r="I7776" s="5" t="n">
        <v>723</v>
      </c>
      <c r="J7776" s="5" t="n">
        <v>92</v>
      </c>
      <c r="K7776" s="10">
        <f>IF(F7776&gt;0,H7776/F7776,"")</f>
        <v/>
      </c>
      <c r="L7776" s="16">
        <f>IF(AND(G7776&gt;0,H7776&gt;0),G7776/H7776,"")</f>
        <v/>
      </c>
    </row>
    <row r="7777">
      <c r="A7777" s="4" t="inlineStr">
        <is>
          <t>575</t>
        </is>
      </c>
      <c r="B7777" s="4" t="n">
        <v>5</v>
      </c>
      <c r="C7777" s="4" t="inlineStr">
        <is>
          <t>mule deer</t>
        </is>
      </c>
      <c r="D7777" s="4" t="n">
        <v>2018</v>
      </c>
      <c r="E7777" s="13" t="inlineStr">
        <is>
          <t>General</t>
        </is>
      </c>
      <c r="F7777" s="5" t="n"/>
      <c r="G7777" s="5" t="n"/>
      <c r="H7777" s="5" t="n">
        <v>669</v>
      </c>
      <c r="I7777" s="5" t="n">
        <v>557</v>
      </c>
      <c r="J7777" s="5" t="n">
        <v>110</v>
      </c>
      <c r="K7777" s="10">
        <f>IF(F7777&gt;0,H7777/F7777,"")</f>
        <v/>
      </c>
      <c r="L7777" s="16">
        <f>IF(AND(G7777&gt;0,H7777&gt;0),G7777/H7777,"")</f>
        <v/>
      </c>
    </row>
    <row r="7778">
      <c r="A7778" s="4" t="inlineStr">
        <is>
          <t>575</t>
        </is>
      </c>
      <c r="B7778" s="4" t="n">
        <v>5</v>
      </c>
      <c r="C7778" s="4" t="inlineStr">
        <is>
          <t>mule deer</t>
        </is>
      </c>
      <c r="D7778" s="4" t="n">
        <v>2019</v>
      </c>
      <c r="E7778" s="13" t="inlineStr">
        <is>
          <t>General</t>
        </is>
      </c>
      <c r="F7778" s="5" t="n">
        <v>1863</v>
      </c>
      <c r="G7778" s="5" t="n">
        <v>9476</v>
      </c>
      <c r="H7778" s="5" t="n">
        <v>744</v>
      </c>
      <c r="I7778" s="5" t="n">
        <v>487</v>
      </c>
      <c r="J7778" s="5" t="n">
        <v>254</v>
      </c>
      <c r="K7778" s="10">
        <f>IF(F7778&gt;0,H7778/F7778,"")</f>
        <v/>
      </c>
      <c r="L7778" s="16">
        <f>IF(AND(G7778&gt;0,H7778&gt;0),G7778/H7778,"")</f>
        <v/>
      </c>
    </row>
    <row r="7779">
      <c r="A7779" s="4" t="inlineStr">
        <is>
          <t>575</t>
        </is>
      </c>
      <c r="B7779" s="4" t="n">
        <v>5</v>
      </c>
      <c r="C7779" s="4" t="inlineStr">
        <is>
          <t>mule deer</t>
        </is>
      </c>
      <c r="D7779" s="4" t="n">
        <v>2020</v>
      </c>
      <c r="E7779" s="13" t="inlineStr">
        <is>
          <t>General</t>
        </is>
      </c>
      <c r="F7779" s="5" t="n"/>
      <c r="G7779" s="5" t="n"/>
      <c r="H7779" s="5" t="n">
        <v>739</v>
      </c>
      <c r="I7779" s="5" t="n">
        <v>486</v>
      </c>
      <c r="J7779" s="5" t="n">
        <v>253</v>
      </c>
      <c r="K7779" s="10">
        <f>IF(F7779&gt;0,H7779/F7779,"")</f>
        <v/>
      </c>
      <c r="L7779" s="16">
        <f>IF(AND(G7779&gt;0,H7779&gt;0),G7779/H7779,"")</f>
        <v/>
      </c>
    </row>
    <row r="7780">
      <c r="A7780" s="4" t="inlineStr">
        <is>
          <t>575</t>
        </is>
      </c>
      <c r="B7780" s="4" t="n">
        <v>5</v>
      </c>
      <c r="C7780" s="4" t="inlineStr">
        <is>
          <t>mule deer</t>
        </is>
      </c>
      <c r="D7780" s="4" t="n">
        <v>2021</v>
      </c>
      <c r="E7780" s="13" t="inlineStr">
        <is>
          <t>General</t>
        </is>
      </c>
      <c r="F7780" s="5" t="n">
        <v>1731</v>
      </c>
      <c r="G7780" s="5" t="n">
        <v>9393</v>
      </c>
      <c r="H7780" s="5" t="n">
        <v>660</v>
      </c>
      <c r="I7780" s="5" t="n">
        <v>403</v>
      </c>
      <c r="J7780" s="5" t="n">
        <v>257</v>
      </c>
      <c r="K7780" s="10">
        <f>IF(F7780&gt;0,H7780/F7780,"")</f>
        <v/>
      </c>
      <c r="L7780" s="16">
        <f>IF(AND(G7780&gt;0,H7780&gt;0),G7780/H7780,"")</f>
        <v/>
      </c>
    </row>
    <row r="7781">
      <c r="A7781" s="4" t="inlineStr">
        <is>
          <t>575</t>
        </is>
      </c>
      <c r="B7781" s="4" t="n">
        <v>5</v>
      </c>
      <c r="C7781" s="4" t="inlineStr">
        <is>
          <t>mule deer</t>
        </is>
      </c>
      <c r="D7781" s="4" t="n">
        <v>2022</v>
      </c>
      <c r="E7781" s="13" t="inlineStr">
        <is>
          <t>General</t>
        </is>
      </c>
      <c r="F7781" s="5" t="n"/>
      <c r="G7781" s="5" t="n"/>
      <c r="H7781" s="5" t="n">
        <v>654</v>
      </c>
      <c r="I7781" s="5" t="n">
        <v>438</v>
      </c>
      <c r="J7781" s="5" t="n">
        <v>211</v>
      </c>
      <c r="K7781" s="10">
        <f>IF(F7781&gt;0,H7781/F7781,"")</f>
        <v/>
      </c>
      <c r="L7781" s="16">
        <f>IF(AND(G7781&gt;0,H7781&gt;0),G7781/H7781,"")</f>
        <v/>
      </c>
    </row>
    <row r="7782">
      <c r="A7782" s="4" t="inlineStr">
        <is>
          <t>575</t>
        </is>
      </c>
      <c r="B7782" s="4" t="n">
        <v>5</v>
      </c>
      <c r="C7782" s="4" t="inlineStr">
        <is>
          <t>mule deer</t>
        </is>
      </c>
      <c r="D7782" s="4" t="n">
        <v>2023</v>
      </c>
      <c r="E7782" s="13" t="inlineStr">
        <is>
          <t>General</t>
        </is>
      </c>
      <c r="F7782" s="5" t="n">
        <v>1970</v>
      </c>
      <c r="G7782" s="5" t="n">
        <v>11695</v>
      </c>
      <c r="H7782" s="5" t="n">
        <v>612</v>
      </c>
      <c r="I7782" s="5" t="n">
        <v>409</v>
      </c>
      <c r="J7782" s="5" t="n">
        <v>197</v>
      </c>
      <c r="K7782" s="10">
        <f>IF(F7782&gt;0,H7782/F7782,"")</f>
        <v/>
      </c>
      <c r="L7782" s="16">
        <f>IF(AND(G7782&gt;0,H7782&gt;0),G7782/H7782,"")</f>
        <v/>
      </c>
    </row>
    <row r="7783">
      <c r="A7783" s="4" t="inlineStr">
        <is>
          <t>575</t>
        </is>
      </c>
      <c r="B7783" s="4" t="n">
        <v>5</v>
      </c>
      <c r="C7783" s="4" t="inlineStr">
        <is>
          <t>mule deer</t>
        </is>
      </c>
      <c r="D7783" s="4" t="n">
        <v>2024</v>
      </c>
      <c r="E7783" s="13" t="inlineStr">
        <is>
          <t>General</t>
        </is>
      </c>
      <c r="F7783" s="5" t="n"/>
      <c r="G7783" s="5" t="n"/>
      <c r="H7783" s="5" t="n">
        <v>659</v>
      </c>
      <c r="I7783" s="5" t="n">
        <v>441</v>
      </c>
      <c r="J7783" s="5" t="n">
        <v>218</v>
      </c>
      <c r="K7783" s="10">
        <f>IF(F7783&gt;0,H7783/F7783,"")</f>
        <v/>
      </c>
      <c r="L7783" s="16">
        <f>IF(AND(G7783&gt;0,H7783&gt;0),G7783/H7783,"")</f>
        <v/>
      </c>
    </row>
    <row r="7784">
      <c r="A7784" s="4" t="inlineStr">
        <is>
          <t>575</t>
        </is>
      </c>
      <c r="B7784" s="4" t="n">
        <v>5</v>
      </c>
      <c r="C7784" s="4" t="inlineStr">
        <is>
          <t>mule deer</t>
        </is>
      </c>
      <c r="D7784" s="4" t="n">
        <v>2025</v>
      </c>
      <c r="E7784" s="13" t="inlineStr">
        <is>
          <t>General</t>
        </is>
      </c>
      <c r="F7784" s="5" t="n">
        <v>2007</v>
      </c>
      <c r="G7784" s="5" t="n">
        <v>11128</v>
      </c>
      <c r="H7784" s="5" t="n">
        <v>609</v>
      </c>
      <c r="I7784" s="5" t="n">
        <v>419</v>
      </c>
      <c r="J7784" s="5" t="n">
        <v>190</v>
      </c>
      <c r="K7784" s="10">
        <f>IF(F7784&gt;0,H7784/F7784,"")</f>
        <v/>
      </c>
      <c r="L7784" s="16">
        <f>IF(AND(G7784&gt;0,H7784&gt;0),G7784/H7784,"")</f>
        <v/>
      </c>
    </row>
    <row r="7785">
      <c r="A7785" s="4" t="inlineStr">
        <is>
          <t>580</t>
        </is>
      </c>
      <c r="B7785" s="4" t="n">
        <v>5</v>
      </c>
      <c r="C7785" s="4" t="inlineStr">
        <is>
          <t>mule deer</t>
        </is>
      </c>
      <c r="D7785" s="4" t="n">
        <v>2004</v>
      </c>
      <c r="E7785" s="13" t="inlineStr">
        <is>
          <t>General</t>
        </is>
      </c>
      <c r="F7785" s="5" t="n">
        <v>2011</v>
      </c>
      <c r="G7785" s="5" t="n">
        <v>8000</v>
      </c>
      <c r="H7785" s="5" t="n">
        <v>779</v>
      </c>
      <c r="I7785" s="5" t="n">
        <v>573</v>
      </c>
      <c r="J7785" s="5" t="n">
        <v>204</v>
      </c>
      <c r="K7785" s="10">
        <f>IF(F7785&gt;0,H7785/F7785,"")</f>
        <v/>
      </c>
      <c r="L7785" s="16">
        <f>IF(AND(G7785&gt;0,H7785&gt;0),G7785/H7785,"")</f>
        <v/>
      </c>
    </row>
    <row r="7786">
      <c r="A7786" s="4" t="inlineStr">
        <is>
          <t>580</t>
        </is>
      </c>
      <c r="B7786" s="4" t="n">
        <v>5</v>
      </c>
      <c r="C7786" s="4" t="inlineStr">
        <is>
          <t>mule deer</t>
        </is>
      </c>
      <c r="D7786" s="4" t="n">
        <v>2005</v>
      </c>
      <c r="E7786" s="13" t="inlineStr">
        <is>
          <t>General</t>
        </is>
      </c>
      <c r="F7786" s="5" t="n">
        <v>1644</v>
      </c>
      <c r="G7786" s="5" t="n">
        <v>6578</v>
      </c>
      <c r="H7786" s="5" t="n">
        <v>606</v>
      </c>
      <c r="I7786" s="5" t="n">
        <v>467</v>
      </c>
      <c r="J7786" s="5" t="n">
        <v>132</v>
      </c>
      <c r="K7786" s="10">
        <f>IF(F7786&gt;0,H7786/F7786,"")</f>
        <v/>
      </c>
      <c r="L7786" s="16">
        <f>IF(AND(G7786&gt;0,H7786&gt;0),G7786/H7786,"")</f>
        <v/>
      </c>
    </row>
    <row r="7787">
      <c r="A7787" s="4" t="inlineStr">
        <is>
          <t>580</t>
        </is>
      </c>
      <c r="B7787" s="4" t="n">
        <v>5</v>
      </c>
      <c r="C7787" s="4" t="inlineStr">
        <is>
          <t>mule deer</t>
        </is>
      </c>
      <c r="D7787" s="4" t="n">
        <v>2006</v>
      </c>
      <c r="E7787" s="13" t="inlineStr">
        <is>
          <t>General</t>
        </is>
      </c>
      <c r="F7787" s="5" t="n">
        <v>1649</v>
      </c>
      <c r="G7787" s="5" t="n">
        <v>7210</v>
      </c>
      <c r="H7787" s="5" t="n">
        <v>767</v>
      </c>
      <c r="I7787" s="5" t="n">
        <v>575</v>
      </c>
      <c r="J7787" s="5" t="n">
        <v>189</v>
      </c>
      <c r="K7787" s="10">
        <f>IF(F7787&gt;0,H7787/F7787,"")</f>
        <v/>
      </c>
      <c r="L7787" s="16">
        <f>IF(AND(G7787&gt;0,H7787&gt;0),G7787/H7787,"")</f>
        <v/>
      </c>
    </row>
    <row r="7788">
      <c r="A7788" s="4" t="inlineStr">
        <is>
          <t>580</t>
        </is>
      </c>
      <c r="B7788" s="4" t="n">
        <v>5</v>
      </c>
      <c r="C7788" s="4" t="inlineStr">
        <is>
          <t>mule deer</t>
        </is>
      </c>
      <c r="D7788" s="4" t="n">
        <v>2007</v>
      </c>
      <c r="E7788" s="13" t="inlineStr">
        <is>
          <t>General</t>
        </is>
      </c>
      <c r="F7788" s="5" t="n">
        <v>1742</v>
      </c>
      <c r="G7788" s="5" t="n">
        <v>7505</v>
      </c>
      <c r="H7788" s="5" t="n">
        <v>606</v>
      </c>
      <c r="I7788" s="5" t="n">
        <v>443</v>
      </c>
      <c r="J7788" s="5" t="n">
        <v>163</v>
      </c>
      <c r="K7788" s="10">
        <f>IF(F7788&gt;0,H7788/F7788,"")</f>
        <v/>
      </c>
      <c r="L7788" s="16">
        <f>IF(AND(G7788&gt;0,H7788&gt;0),G7788/H7788,"")</f>
        <v/>
      </c>
    </row>
    <row r="7789">
      <c r="A7789" s="4" t="inlineStr">
        <is>
          <t>580</t>
        </is>
      </c>
      <c r="B7789" s="4" t="n">
        <v>5</v>
      </c>
      <c r="C7789" s="4" t="inlineStr">
        <is>
          <t>mule deer</t>
        </is>
      </c>
      <c r="D7789" s="4" t="n">
        <v>2008</v>
      </c>
      <c r="E7789" s="13" t="inlineStr">
        <is>
          <t>General</t>
        </is>
      </c>
      <c r="F7789" s="5" t="n">
        <v>1730</v>
      </c>
      <c r="G7789" s="5" t="n">
        <v>7215</v>
      </c>
      <c r="H7789" s="5" t="n">
        <v>502</v>
      </c>
      <c r="I7789" s="5" t="n">
        <v>353</v>
      </c>
      <c r="J7789" s="5" t="n">
        <v>150</v>
      </c>
      <c r="K7789" s="10">
        <f>IF(F7789&gt;0,H7789/F7789,"")</f>
        <v/>
      </c>
      <c r="L7789" s="16">
        <f>IF(AND(G7789&gt;0,H7789&gt;0),G7789/H7789,"")</f>
        <v/>
      </c>
    </row>
    <row r="7790">
      <c r="A7790" s="4" t="inlineStr">
        <is>
          <t>580</t>
        </is>
      </c>
      <c r="B7790" s="4" t="n">
        <v>5</v>
      </c>
      <c r="C7790" s="4" t="inlineStr">
        <is>
          <t>mule deer</t>
        </is>
      </c>
      <c r="D7790" s="4" t="n">
        <v>2009</v>
      </c>
      <c r="E7790" s="13" t="inlineStr">
        <is>
          <t>General</t>
        </is>
      </c>
      <c r="F7790" s="5" t="n">
        <v>1629</v>
      </c>
      <c r="G7790" s="5" t="n">
        <v>7511</v>
      </c>
      <c r="H7790" s="5" t="n">
        <v>569</v>
      </c>
      <c r="I7790" s="5" t="n">
        <v>336</v>
      </c>
      <c r="J7790" s="5" t="n">
        <v>221</v>
      </c>
      <c r="K7790" s="10">
        <f>IF(F7790&gt;0,H7790/F7790,"")</f>
        <v/>
      </c>
      <c r="L7790" s="16">
        <f>IF(AND(G7790&gt;0,H7790&gt;0),G7790/H7790,"")</f>
        <v/>
      </c>
    </row>
    <row r="7791">
      <c r="A7791" s="4" t="inlineStr">
        <is>
          <t>580</t>
        </is>
      </c>
      <c r="B7791" s="4" t="n">
        <v>5</v>
      </c>
      <c r="C7791" s="4" t="inlineStr">
        <is>
          <t>mule deer</t>
        </is>
      </c>
      <c r="D7791" s="4" t="n">
        <v>2010</v>
      </c>
      <c r="E7791" s="13" t="inlineStr">
        <is>
          <t>General</t>
        </is>
      </c>
      <c r="F7791" s="5" t="n">
        <v>1823</v>
      </c>
      <c r="G7791" s="5" t="n">
        <v>8065</v>
      </c>
      <c r="H7791" s="5" t="n">
        <v>533</v>
      </c>
      <c r="I7791" s="5" t="n">
        <v>387</v>
      </c>
      <c r="J7791" s="5" t="n">
        <v>141</v>
      </c>
      <c r="K7791" s="10">
        <f>IF(F7791&gt;0,H7791/F7791,"")</f>
        <v/>
      </c>
      <c r="L7791" s="16">
        <f>IF(AND(G7791&gt;0,H7791&gt;0),G7791/H7791,"")</f>
        <v/>
      </c>
    </row>
    <row r="7792">
      <c r="A7792" s="4" t="inlineStr">
        <is>
          <t>580</t>
        </is>
      </c>
      <c r="B7792" s="4" t="n">
        <v>5</v>
      </c>
      <c r="C7792" s="4" t="inlineStr">
        <is>
          <t>mule deer</t>
        </is>
      </c>
      <c r="D7792" s="4" t="n">
        <v>2011</v>
      </c>
      <c r="E7792" s="13" t="inlineStr">
        <is>
          <t>General</t>
        </is>
      </c>
      <c r="F7792" s="5" t="n">
        <v>1749</v>
      </c>
      <c r="G7792" s="5" t="n">
        <v>8083</v>
      </c>
      <c r="H7792" s="5" t="n">
        <v>553</v>
      </c>
      <c r="I7792" s="5" t="n">
        <v>357</v>
      </c>
      <c r="J7792" s="5" t="n">
        <v>189</v>
      </c>
      <c r="K7792" s="10">
        <f>IF(F7792&gt;0,H7792/F7792,"")</f>
        <v/>
      </c>
      <c r="L7792" s="16">
        <f>IF(AND(G7792&gt;0,H7792&gt;0),G7792/H7792,"")</f>
        <v/>
      </c>
    </row>
    <row r="7793">
      <c r="A7793" s="4" t="inlineStr">
        <is>
          <t>580</t>
        </is>
      </c>
      <c r="B7793" s="4" t="n">
        <v>5</v>
      </c>
      <c r="C7793" s="4" t="inlineStr">
        <is>
          <t>mule deer</t>
        </is>
      </c>
      <c r="D7793" s="4" t="n">
        <v>2012</v>
      </c>
      <c r="E7793" s="13" t="inlineStr">
        <is>
          <t>General</t>
        </is>
      </c>
      <c r="F7793" s="5" t="n"/>
      <c r="G7793" s="5" t="n"/>
      <c r="H7793" s="5" t="n">
        <v>501</v>
      </c>
      <c r="I7793" s="5" t="n">
        <v>398</v>
      </c>
      <c r="J7793" s="5" t="n">
        <v>101</v>
      </c>
      <c r="K7793" s="10">
        <f>IF(F7793&gt;0,H7793/F7793,"")</f>
        <v/>
      </c>
      <c r="L7793" s="16">
        <f>IF(AND(G7793&gt;0,H7793&gt;0),G7793/H7793,"")</f>
        <v/>
      </c>
    </row>
    <row r="7794">
      <c r="A7794" s="4" t="inlineStr">
        <is>
          <t>580</t>
        </is>
      </c>
      <c r="B7794" s="4" t="n">
        <v>5</v>
      </c>
      <c r="C7794" s="4" t="inlineStr">
        <is>
          <t>mule deer</t>
        </is>
      </c>
      <c r="D7794" s="4" t="n">
        <v>2013</v>
      </c>
      <c r="E7794" s="13" t="inlineStr">
        <is>
          <t>General</t>
        </is>
      </c>
      <c r="F7794" s="5" t="n">
        <v>1851</v>
      </c>
      <c r="G7794" s="5" t="n">
        <v>8099</v>
      </c>
      <c r="H7794" s="5" t="n">
        <v>493</v>
      </c>
      <c r="I7794" s="5" t="n">
        <v>402</v>
      </c>
      <c r="J7794" s="5" t="n">
        <v>85</v>
      </c>
      <c r="K7794" s="10">
        <f>IF(F7794&gt;0,H7794/F7794,"")</f>
        <v/>
      </c>
      <c r="L7794" s="16">
        <f>IF(AND(G7794&gt;0,H7794&gt;0),G7794/H7794,"")</f>
        <v/>
      </c>
    </row>
    <row r="7795">
      <c r="A7795" s="4" t="inlineStr">
        <is>
          <t>580</t>
        </is>
      </c>
      <c r="B7795" s="4" t="n">
        <v>5</v>
      </c>
      <c r="C7795" s="4" t="inlineStr">
        <is>
          <t>mule deer</t>
        </is>
      </c>
      <c r="D7795" s="4" t="n">
        <v>2014</v>
      </c>
      <c r="E7795" s="13" t="inlineStr">
        <is>
          <t>General</t>
        </is>
      </c>
      <c r="F7795" s="5" t="n"/>
      <c r="G7795" s="5" t="n"/>
      <c r="H7795" s="5" t="n">
        <v>455</v>
      </c>
      <c r="I7795" s="5" t="n">
        <v>452</v>
      </c>
      <c r="J7795" s="5" t="n">
        <v>3</v>
      </c>
      <c r="K7795" s="10">
        <f>IF(F7795&gt;0,H7795/F7795,"")</f>
        <v/>
      </c>
      <c r="L7795" s="16">
        <f>IF(AND(G7795&gt;0,H7795&gt;0),G7795/H7795,"")</f>
        <v/>
      </c>
    </row>
    <row r="7796">
      <c r="A7796" s="4" t="inlineStr">
        <is>
          <t>580</t>
        </is>
      </c>
      <c r="B7796" s="4" t="n">
        <v>5</v>
      </c>
      <c r="C7796" s="4" t="inlineStr">
        <is>
          <t>mule deer</t>
        </is>
      </c>
      <c r="D7796" s="4" t="n">
        <v>2015</v>
      </c>
      <c r="E7796" s="13" t="inlineStr">
        <is>
          <t>General</t>
        </is>
      </c>
      <c r="F7796" s="5" t="n"/>
      <c r="G7796" s="5" t="n"/>
      <c r="H7796" s="5" t="n">
        <v>372</v>
      </c>
      <c r="I7796" s="5" t="n">
        <v>369</v>
      </c>
      <c r="J7796" s="5" t="n">
        <v>3</v>
      </c>
      <c r="K7796" s="10">
        <f>IF(F7796&gt;0,H7796/F7796,"")</f>
        <v/>
      </c>
      <c r="L7796" s="16">
        <f>IF(AND(G7796&gt;0,H7796&gt;0),G7796/H7796,"")</f>
        <v/>
      </c>
    </row>
    <row r="7797">
      <c r="A7797" s="4" t="inlineStr">
        <is>
          <t>580</t>
        </is>
      </c>
      <c r="B7797" s="4" t="n">
        <v>5</v>
      </c>
      <c r="C7797" s="4" t="inlineStr">
        <is>
          <t>mule deer</t>
        </is>
      </c>
      <c r="D7797" s="4" t="n">
        <v>2016</v>
      </c>
      <c r="E7797" s="13" t="inlineStr">
        <is>
          <t>General</t>
        </is>
      </c>
      <c r="F7797" s="5" t="n"/>
      <c r="G7797" s="5" t="n"/>
      <c r="H7797" s="5" t="n">
        <v>354</v>
      </c>
      <c r="I7797" s="5" t="n">
        <v>345</v>
      </c>
      <c r="J7797" s="5" t="n">
        <v>9</v>
      </c>
      <c r="K7797" s="10">
        <f>IF(F7797&gt;0,H7797/F7797,"")</f>
        <v/>
      </c>
      <c r="L7797" s="16">
        <f>IF(AND(G7797&gt;0,H7797&gt;0),G7797/H7797,"")</f>
        <v/>
      </c>
    </row>
    <row r="7798">
      <c r="A7798" s="4" t="inlineStr">
        <is>
          <t>580</t>
        </is>
      </c>
      <c r="B7798" s="4" t="n">
        <v>5</v>
      </c>
      <c r="C7798" s="4" t="inlineStr">
        <is>
          <t>mule deer</t>
        </is>
      </c>
      <c r="D7798" s="4" t="n">
        <v>2017</v>
      </c>
      <c r="E7798" s="13" t="inlineStr">
        <is>
          <t>General</t>
        </is>
      </c>
      <c r="F7798" s="5" t="n">
        <v>1299</v>
      </c>
      <c r="G7798" s="5" t="n">
        <v>5772</v>
      </c>
      <c r="H7798" s="5" t="n">
        <v>336</v>
      </c>
      <c r="I7798" s="5" t="n">
        <v>314</v>
      </c>
      <c r="J7798" s="5" t="n">
        <v>20</v>
      </c>
      <c r="K7798" s="10">
        <f>IF(F7798&gt;0,H7798/F7798,"")</f>
        <v/>
      </c>
      <c r="L7798" s="16">
        <f>IF(AND(G7798&gt;0,H7798&gt;0),G7798/H7798,"")</f>
        <v/>
      </c>
    </row>
    <row r="7799">
      <c r="A7799" s="4" t="inlineStr">
        <is>
          <t>580</t>
        </is>
      </c>
      <c r="B7799" s="4" t="n">
        <v>5</v>
      </c>
      <c r="C7799" s="4" t="inlineStr">
        <is>
          <t>mule deer</t>
        </is>
      </c>
      <c r="D7799" s="4" t="n">
        <v>2018</v>
      </c>
      <c r="E7799" s="13" t="inlineStr">
        <is>
          <t>General</t>
        </is>
      </c>
      <c r="F7799" s="5" t="n"/>
      <c r="G7799" s="5" t="n"/>
      <c r="H7799" s="5" t="n">
        <v>300</v>
      </c>
      <c r="I7799" s="5" t="n">
        <v>264</v>
      </c>
      <c r="J7799" s="5" t="n">
        <v>33</v>
      </c>
      <c r="K7799" s="10">
        <f>IF(F7799&gt;0,H7799/F7799,"")</f>
        <v/>
      </c>
      <c r="L7799" s="16">
        <f>IF(AND(G7799&gt;0,H7799&gt;0),G7799/H7799,"")</f>
        <v/>
      </c>
    </row>
    <row r="7800">
      <c r="A7800" s="4" t="inlineStr">
        <is>
          <t>580</t>
        </is>
      </c>
      <c r="B7800" s="4" t="n">
        <v>5</v>
      </c>
      <c r="C7800" s="4" t="inlineStr">
        <is>
          <t>mule deer</t>
        </is>
      </c>
      <c r="D7800" s="4" t="n">
        <v>2019</v>
      </c>
      <c r="E7800" s="13" t="inlineStr">
        <is>
          <t>General</t>
        </is>
      </c>
      <c r="F7800" s="5" t="n">
        <v>1135</v>
      </c>
      <c r="G7800" s="5" t="n">
        <v>5913</v>
      </c>
      <c r="H7800" s="5" t="n">
        <v>249</v>
      </c>
      <c r="I7800" s="5" t="n">
        <v>225</v>
      </c>
      <c r="J7800" s="5" t="n">
        <v>24</v>
      </c>
      <c r="K7800" s="10">
        <f>IF(F7800&gt;0,H7800/F7800,"")</f>
        <v/>
      </c>
      <c r="L7800" s="16">
        <f>IF(AND(G7800&gt;0,H7800&gt;0),G7800/H7800,"")</f>
        <v/>
      </c>
    </row>
    <row r="7801">
      <c r="A7801" s="4" t="inlineStr">
        <is>
          <t>580</t>
        </is>
      </c>
      <c r="B7801" s="4" t="n">
        <v>5</v>
      </c>
      <c r="C7801" s="4" t="inlineStr">
        <is>
          <t>mule deer</t>
        </is>
      </c>
      <c r="D7801" s="4" t="n">
        <v>2020</v>
      </c>
      <c r="E7801" s="13" t="inlineStr">
        <is>
          <t>General</t>
        </is>
      </c>
      <c r="F7801" s="5" t="n"/>
      <c r="G7801" s="5" t="n"/>
      <c r="H7801" s="5" t="n">
        <v>224</v>
      </c>
      <c r="I7801" s="5" t="n">
        <v>190</v>
      </c>
      <c r="J7801" s="5" t="n">
        <v>34</v>
      </c>
      <c r="K7801" s="10">
        <f>IF(F7801&gt;0,H7801/F7801,"")</f>
        <v/>
      </c>
      <c r="L7801" s="16">
        <f>IF(AND(G7801&gt;0,H7801&gt;0),G7801/H7801,"")</f>
        <v/>
      </c>
    </row>
    <row r="7802">
      <c r="A7802" s="4" t="inlineStr">
        <is>
          <t>580</t>
        </is>
      </c>
      <c r="B7802" s="4" t="n">
        <v>5</v>
      </c>
      <c r="C7802" s="4" t="inlineStr">
        <is>
          <t>mule deer</t>
        </is>
      </c>
      <c r="D7802" s="4" t="n">
        <v>2021</v>
      </c>
      <c r="E7802" s="13" t="inlineStr">
        <is>
          <t>General</t>
        </is>
      </c>
      <c r="F7802" s="5" t="n">
        <v>1137</v>
      </c>
      <c r="G7802" s="5" t="n">
        <v>5129</v>
      </c>
      <c r="H7802" s="5" t="n">
        <v>197</v>
      </c>
      <c r="I7802" s="5" t="n">
        <v>158</v>
      </c>
      <c r="J7802" s="5" t="n">
        <v>38</v>
      </c>
      <c r="K7802" s="10">
        <f>IF(F7802&gt;0,H7802/F7802,"")</f>
        <v/>
      </c>
      <c r="L7802" s="16">
        <f>IF(AND(G7802&gt;0,H7802&gt;0),G7802/H7802,"")</f>
        <v/>
      </c>
    </row>
    <row r="7803">
      <c r="A7803" s="4" t="inlineStr">
        <is>
          <t>580</t>
        </is>
      </c>
      <c r="B7803" s="4" t="n">
        <v>5</v>
      </c>
      <c r="C7803" s="4" t="inlineStr">
        <is>
          <t>mule deer</t>
        </is>
      </c>
      <c r="D7803" s="4" t="n">
        <v>2022</v>
      </c>
      <c r="E7803" s="13" t="inlineStr">
        <is>
          <t>General</t>
        </is>
      </c>
      <c r="F7803" s="5" t="n"/>
      <c r="G7803" s="5" t="n"/>
      <c r="H7803" s="5" t="n">
        <v>226</v>
      </c>
      <c r="I7803" s="5" t="n">
        <v>209</v>
      </c>
      <c r="J7803" s="5" t="n">
        <v>18</v>
      </c>
      <c r="K7803" s="10">
        <f>IF(F7803&gt;0,H7803/F7803,"")</f>
        <v/>
      </c>
      <c r="L7803" s="16">
        <f>IF(AND(G7803&gt;0,H7803&gt;0),G7803/H7803,"")</f>
        <v/>
      </c>
    </row>
    <row r="7804">
      <c r="A7804" s="4" t="inlineStr">
        <is>
          <t>580</t>
        </is>
      </c>
      <c r="B7804" s="4" t="n">
        <v>5</v>
      </c>
      <c r="C7804" s="4" t="inlineStr">
        <is>
          <t>mule deer</t>
        </is>
      </c>
      <c r="D7804" s="4" t="n">
        <v>2023</v>
      </c>
      <c r="E7804" s="13" t="inlineStr">
        <is>
          <t>General</t>
        </is>
      </c>
      <c r="F7804" s="5" t="n">
        <v>1145</v>
      </c>
      <c r="G7804" s="5" t="n">
        <v>5774</v>
      </c>
      <c r="H7804" s="5" t="n">
        <v>204</v>
      </c>
      <c r="I7804" s="5" t="n">
        <v>178</v>
      </c>
      <c r="J7804" s="5" t="n">
        <v>26</v>
      </c>
      <c r="K7804" s="10">
        <f>IF(F7804&gt;0,H7804/F7804,"")</f>
        <v/>
      </c>
      <c r="L7804" s="16">
        <f>IF(AND(G7804&gt;0,H7804&gt;0),G7804/H7804,"")</f>
        <v/>
      </c>
    </row>
    <row r="7805">
      <c r="A7805" s="4" t="inlineStr">
        <is>
          <t>580</t>
        </is>
      </c>
      <c r="B7805" s="4" t="n">
        <v>5</v>
      </c>
      <c r="C7805" s="4" t="inlineStr">
        <is>
          <t>mule deer</t>
        </is>
      </c>
      <c r="D7805" s="4" t="n">
        <v>2024</v>
      </c>
      <c r="E7805" s="13" t="inlineStr">
        <is>
          <t>General</t>
        </is>
      </c>
      <c r="F7805" s="5" t="n"/>
      <c r="G7805" s="5" t="n"/>
      <c r="H7805" s="5" t="n">
        <v>217</v>
      </c>
      <c r="I7805" s="5" t="n">
        <v>204</v>
      </c>
      <c r="J7805" s="5" t="n">
        <v>13</v>
      </c>
      <c r="K7805" s="10">
        <f>IF(F7805&gt;0,H7805/F7805,"")</f>
        <v/>
      </c>
      <c r="L7805" s="16">
        <f>IF(AND(G7805&gt;0,H7805&gt;0),G7805/H7805,"")</f>
        <v/>
      </c>
    </row>
    <row r="7806">
      <c r="A7806" s="4" t="inlineStr">
        <is>
          <t>580</t>
        </is>
      </c>
      <c r="B7806" s="4" t="n">
        <v>5</v>
      </c>
      <c r="C7806" s="4" t="inlineStr">
        <is>
          <t>mule deer</t>
        </is>
      </c>
      <c r="D7806" s="4" t="n">
        <v>2025</v>
      </c>
      <c r="E7806" s="13" t="inlineStr">
        <is>
          <t>General</t>
        </is>
      </c>
      <c r="F7806" s="5" t="n">
        <v>1399</v>
      </c>
      <c r="G7806" s="5" t="n">
        <v>7790</v>
      </c>
      <c r="H7806" s="5" t="n">
        <v>231</v>
      </c>
      <c r="I7806" s="5" t="n">
        <v>204</v>
      </c>
      <c r="J7806" s="5" t="n">
        <v>28</v>
      </c>
      <c r="K7806" s="10">
        <f>IF(F7806&gt;0,H7806/F7806,"")</f>
        <v/>
      </c>
      <c r="L7806" s="16">
        <f>IF(AND(G7806&gt;0,H7806&gt;0),G7806/H7806,"")</f>
        <v/>
      </c>
    </row>
    <row r="7807">
      <c r="A7807" s="4" t="inlineStr">
        <is>
          <t>590</t>
        </is>
      </c>
      <c r="B7807" s="4" t="n">
        <v>5</v>
      </c>
      <c r="C7807" s="4" t="inlineStr">
        <is>
          <t>mule deer</t>
        </is>
      </c>
      <c r="D7807" s="4" t="n">
        <v>2004</v>
      </c>
      <c r="E7807" s="13" t="inlineStr">
        <is>
          <t>General</t>
        </is>
      </c>
      <c r="F7807" s="5" t="n">
        <v>3527</v>
      </c>
      <c r="G7807" s="5" t="n">
        <v>16238</v>
      </c>
      <c r="H7807" s="5" t="n">
        <v>1442</v>
      </c>
      <c r="I7807" s="5" t="n">
        <v>1056</v>
      </c>
      <c r="J7807" s="5" t="n">
        <v>374</v>
      </c>
      <c r="K7807" s="10">
        <f>IF(F7807&gt;0,H7807/F7807,"")</f>
        <v/>
      </c>
      <c r="L7807" s="16">
        <f>IF(AND(G7807&gt;0,H7807&gt;0),G7807/H7807,"")</f>
        <v/>
      </c>
    </row>
    <row r="7808">
      <c r="A7808" s="4" t="inlineStr">
        <is>
          <t>590</t>
        </is>
      </c>
      <c r="B7808" s="4" t="n">
        <v>5</v>
      </c>
      <c r="C7808" s="4" t="inlineStr">
        <is>
          <t>mule deer</t>
        </is>
      </c>
      <c r="D7808" s="4" t="n">
        <v>2005</v>
      </c>
      <c r="E7808" s="13" t="inlineStr">
        <is>
          <t>General</t>
        </is>
      </c>
      <c r="F7808" s="5" t="n">
        <v>3410</v>
      </c>
      <c r="G7808" s="5" t="n">
        <v>17034</v>
      </c>
      <c r="H7808" s="5" t="n">
        <v>1292</v>
      </c>
      <c r="I7808" s="5" t="n">
        <v>1091</v>
      </c>
      <c r="J7808" s="5" t="n">
        <v>195</v>
      </c>
      <c r="K7808" s="10">
        <f>IF(F7808&gt;0,H7808/F7808,"")</f>
        <v/>
      </c>
      <c r="L7808" s="16">
        <f>IF(AND(G7808&gt;0,H7808&gt;0),G7808/H7808,"")</f>
        <v/>
      </c>
    </row>
    <row r="7809">
      <c r="A7809" s="4" t="inlineStr">
        <is>
          <t>590</t>
        </is>
      </c>
      <c r="B7809" s="4" t="n">
        <v>5</v>
      </c>
      <c r="C7809" s="4" t="inlineStr">
        <is>
          <t>mule deer</t>
        </is>
      </c>
      <c r="D7809" s="4" t="n">
        <v>2006</v>
      </c>
      <c r="E7809" s="13" t="inlineStr">
        <is>
          <t>General</t>
        </is>
      </c>
      <c r="F7809" s="5" t="n">
        <v>3273</v>
      </c>
      <c r="G7809" s="5" t="n">
        <v>17242</v>
      </c>
      <c r="H7809" s="5" t="n">
        <v>1606</v>
      </c>
      <c r="I7809" s="5" t="n">
        <v>1262</v>
      </c>
      <c r="J7809" s="5" t="n">
        <v>335</v>
      </c>
      <c r="K7809" s="10">
        <f>IF(F7809&gt;0,H7809/F7809,"")</f>
        <v/>
      </c>
      <c r="L7809" s="16">
        <f>IF(AND(G7809&gt;0,H7809&gt;0),G7809/H7809,"")</f>
        <v/>
      </c>
    </row>
    <row r="7810">
      <c r="A7810" s="4" t="inlineStr">
        <is>
          <t>590</t>
        </is>
      </c>
      <c r="B7810" s="4" t="n">
        <v>5</v>
      </c>
      <c r="C7810" s="4" t="inlineStr">
        <is>
          <t>mule deer</t>
        </is>
      </c>
      <c r="D7810" s="4" t="n">
        <v>2007</v>
      </c>
      <c r="E7810" s="13" t="inlineStr">
        <is>
          <t>General</t>
        </is>
      </c>
      <c r="F7810" s="5" t="n">
        <v>3238</v>
      </c>
      <c r="G7810" s="5" t="n">
        <v>15228</v>
      </c>
      <c r="H7810" s="5" t="n">
        <v>1384</v>
      </c>
      <c r="I7810" s="5" t="n">
        <v>1107</v>
      </c>
      <c r="J7810" s="5" t="n">
        <v>273</v>
      </c>
      <c r="K7810" s="10">
        <f>IF(F7810&gt;0,H7810/F7810,"")</f>
        <v/>
      </c>
      <c r="L7810" s="16">
        <f>IF(AND(G7810&gt;0,H7810&gt;0),G7810/H7810,"")</f>
        <v/>
      </c>
    </row>
    <row r="7811">
      <c r="A7811" s="4" t="inlineStr">
        <is>
          <t>590</t>
        </is>
      </c>
      <c r="B7811" s="4" t="n">
        <v>5</v>
      </c>
      <c r="C7811" s="4" t="inlineStr">
        <is>
          <t>mule deer</t>
        </is>
      </c>
      <c r="D7811" s="4" t="n">
        <v>2008</v>
      </c>
      <c r="E7811" s="13" t="inlineStr">
        <is>
          <t>General</t>
        </is>
      </c>
      <c r="F7811" s="5" t="n">
        <v>3874</v>
      </c>
      <c r="G7811" s="5" t="n">
        <v>19166</v>
      </c>
      <c r="H7811" s="5" t="n">
        <v>1505</v>
      </c>
      <c r="I7811" s="5" t="n">
        <v>1112</v>
      </c>
      <c r="J7811" s="5" t="n">
        <v>382</v>
      </c>
      <c r="K7811" s="10">
        <f>IF(F7811&gt;0,H7811/F7811,"")</f>
        <v/>
      </c>
      <c r="L7811" s="16">
        <f>IF(AND(G7811&gt;0,H7811&gt;0),G7811/H7811,"")</f>
        <v/>
      </c>
    </row>
    <row r="7812">
      <c r="A7812" s="4" t="inlineStr">
        <is>
          <t>590</t>
        </is>
      </c>
      <c r="B7812" s="4" t="n">
        <v>5</v>
      </c>
      <c r="C7812" s="4" t="inlineStr">
        <is>
          <t>mule deer</t>
        </is>
      </c>
      <c r="D7812" s="4" t="n">
        <v>2009</v>
      </c>
      <c r="E7812" s="13" t="inlineStr">
        <is>
          <t>General</t>
        </is>
      </c>
      <c r="F7812" s="5" t="n">
        <v>4393</v>
      </c>
      <c r="G7812" s="5" t="n">
        <v>22121</v>
      </c>
      <c r="H7812" s="5" t="n">
        <v>1705</v>
      </c>
      <c r="I7812" s="5" t="n">
        <v>1252</v>
      </c>
      <c r="J7812" s="5" t="n">
        <v>444</v>
      </c>
      <c r="K7812" s="10">
        <f>IF(F7812&gt;0,H7812/F7812,"")</f>
        <v/>
      </c>
      <c r="L7812" s="16">
        <f>IF(AND(G7812&gt;0,H7812&gt;0),G7812/H7812,"")</f>
        <v/>
      </c>
    </row>
    <row r="7813">
      <c r="A7813" s="4" t="inlineStr">
        <is>
          <t>590</t>
        </is>
      </c>
      <c r="B7813" s="4" t="n">
        <v>5</v>
      </c>
      <c r="C7813" s="4" t="inlineStr">
        <is>
          <t>mule deer</t>
        </is>
      </c>
      <c r="D7813" s="4" t="n">
        <v>2010</v>
      </c>
      <c r="E7813" s="13" t="inlineStr">
        <is>
          <t>General</t>
        </is>
      </c>
      <c r="F7813" s="5" t="n">
        <v>4161</v>
      </c>
      <c r="G7813" s="5" t="n">
        <v>22860</v>
      </c>
      <c r="H7813" s="5" t="n">
        <v>1454</v>
      </c>
      <c r="I7813" s="5" t="n">
        <v>1050</v>
      </c>
      <c r="J7813" s="5" t="n">
        <v>385</v>
      </c>
      <c r="K7813" s="10">
        <f>IF(F7813&gt;0,H7813/F7813,"")</f>
        <v/>
      </c>
      <c r="L7813" s="16">
        <f>IF(AND(G7813&gt;0,H7813&gt;0),G7813/H7813,"")</f>
        <v/>
      </c>
    </row>
    <row r="7814">
      <c r="A7814" s="4" t="inlineStr">
        <is>
          <t>590</t>
        </is>
      </c>
      <c r="B7814" s="4" t="n">
        <v>5</v>
      </c>
      <c r="C7814" s="4" t="inlineStr">
        <is>
          <t>mule deer</t>
        </is>
      </c>
      <c r="D7814" s="4" t="n">
        <v>2011</v>
      </c>
      <c r="E7814" s="13" t="inlineStr">
        <is>
          <t>General</t>
        </is>
      </c>
      <c r="F7814" s="5" t="n">
        <v>4432</v>
      </c>
      <c r="G7814" s="5" t="n">
        <v>23173</v>
      </c>
      <c r="H7814" s="5" t="n">
        <v>1540</v>
      </c>
      <c r="I7814" s="5" t="n">
        <v>1093</v>
      </c>
      <c r="J7814" s="5" t="n">
        <v>436</v>
      </c>
      <c r="K7814" s="10">
        <f>IF(F7814&gt;0,H7814/F7814,"")</f>
        <v/>
      </c>
      <c r="L7814" s="16">
        <f>IF(AND(G7814&gt;0,H7814&gt;0),G7814/H7814,"")</f>
        <v/>
      </c>
    </row>
    <row r="7815">
      <c r="A7815" s="4" t="inlineStr">
        <is>
          <t>590</t>
        </is>
      </c>
      <c r="B7815" s="4" t="n">
        <v>5</v>
      </c>
      <c r="C7815" s="4" t="inlineStr">
        <is>
          <t>mule deer</t>
        </is>
      </c>
      <c r="D7815" s="4" t="n">
        <v>2012</v>
      </c>
      <c r="E7815" s="13" t="inlineStr">
        <is>
          <t>General</t>
        </is>
      </c>
      <c r="F7815" s="5" t="n"/>
      <c r="G7815" s="5" t="n"/>
      <c r="H7815" s="5" t="n">
        <v>1708</v>
      </c>
      <c r="I7815" s="5" t="n">
        <v>1263</v>
      </c>
      <c r="J7815" s="5" t="n">
        <v>439</v>
      </c>
      <c r="K7815" s="10">
        <f>IF(F7815&gt;0,H7815/F7815,"")</f>
        <v/>
      </c>
      <c r="L7815" s="16">
        <f>IF(AND(G7815&gt;0,H7815&gt;0),G7815/H7815,"")</f>
        <v/>
      </c>
    </row>
    <row r="7816">
      <c r="A7816" s="4" t="inlineStr">
        <is>
          <t>590</t>
        </is>
      </c>
      <c r="B7816" s="4" t="n">
        <v>5</v>
      </c>
      <c r="C7816" s="4" t="inlineStr">
        <is>
          <t>mule deer</t>
        </is>
      </c>
      <c r="D7816" s="4" t="n">
        <v>2013</v>
      </c>
      <c r="E7816" s="13" t="inlineStr">
        <is>
          <t>General</t>
        </is>
      </c>
      <c r="F7816" s="5" t="n">
        <v>4649</v>
      </c>
      <c r="G7816" s="5" t="n">
        <v>26202</v>
      </c>
      <c r="H7816" s="5" t="n">
        <v>1353</v>
      </c>
      <c r="I7816" s="5" t="n">
        <v>937</v>
      </c>
      <c r="J7816" s="5" t="n">
        <v>407</v>
      </c>
      <c r="K7816" s="10">
        <f>IF(F7816&gt;0,H7816/F7816,"")</f>
        <v/>
      </c>
      <c r="L7816" s="16">
        <f>IF(AND(G7816&gt;0,H7816&gt;0),G7816/H7816,"")</f>
        <v/>
      </c>
    </row>
    <row r="7817">
      <c r="A7817" s="4" t="inlineStr">
        <is>
          <t>590</t>
        </is>
      </c>
      <c r="B7817" s="4" t="n">
        <v>5</v>
      </c>
      <c r="C7817" s="4" t="inlineStr">
        <is>
          <t>mule deer</t>
        </is>
      </c>
      <c r="D7817" s="4" t="n">
        <v>2014</v>
      </c>
      <c r="E7817" s="13" t="inlineStr">
        <is>
          <t>General</t>
        </is>
      </c>
      <c r="F7817" s="5" t="n"/>
      <c r="G7817" s="5" t="n"/>
      <c r="H7817" s="5" t="n">
        <v>928</v>
      </c>
      <c r="I7817" s="5" t="n">
        <v>893</v>
      </c>
      <c r="J7817" s="5" t="n">
        <v>33</v>
      </c>
      <c r="K7817" s="10">
        <f>IF(F7817&gt;0,H7817/F7817,"")</f>
        <v/>
      </c>
      <c r="L7817" s="16">
        <f>IF(AND(G7817&gt;0,H7817&gt;0),G7817/H7817,"")</f>
        <v/>
      </c>
    </row>
    <row r="7818">
      <c r="A7818" s="4" t="inlineStr">
        <is>
          <t>590</t>
        </is>
      </c>
      <c r="B7818" s="4" t="n">
        <v>5</v>
      </c>
      <c r="C7818" s="4" t="inlineStr">
        <is>
          <t>mule deer</t>
        </is>
      </c>
      <c r="D7818" s="4" t="n">
        <v>2015</v>
      </c>
      <c r="E7818" s="13" t="inlineStr">
        <is>
          <t>General</t>
        </is>
      </c>
      <c r="F7818" s="5" t="n"/>
      <c r="G7818" s="5" t="n"/>
      <c r="H7818" s="5" t="n">
        <v>1361</v>
      </c>
      <c r="I7818" s="5" t="n">
        <v>1325</v>
      </c>
      <c r="J7818" s="5" t="n">
        <v>34</v>
      </c>
      <c r="K7818" s="10">
        <f>IF(F7818&gt;0,H7818/F7818,"")</f>
        <v/>
      </c>
      <c r="L7818" s="16">
        <f>IF(AND(G7818&gt;0,H7818&gt;0),G7818/H7818,"")</f>
        <v/>
      </c>
    </row>
    <row r="7819">
      <c r="A7819" s="4" t="inlineStr">
        <is>
          <t>590</t>
        </is>
      </c>
      <c r="B7819" s="4" t="n">
        <v>5</v>
      </c>
      <c r="C7819" s="4" t="inlineStr">
        <is>
          <t>mule deer</t>
        </is>
      </c>
      <c r="D7819" s="4" t="n">
        <v>2016</v>
      </c>
      <c r="E7819" s="13" t="inlineStr">
        <is>
          <t>General</t>
        </is>
      </c>
      <c r="F7819" s="5" t="n"/>
      <c r="G7819" s="5" t="n"/>
      <c r="H7819" s="5" t="n">
        <v>1698</v>
      </c>
      <c r="I7819" s="5" t="n">
        <v>1370</v>
      </c>
      <c r="J7819" s="5" t="n">
        <v>316</v>
      </c>
      <c r="K7819" s="10">
        <f>IF(F7819&gt;0,H7819/F7819,"")</f>
        <v/>
      </c>
      <c r="L7819" s="16">
        <f>IF(AND(G7819&gt;0,H7819&gt;0),G7819/H7819,"")</f>
        <v/>
      </c>
    </row>
    <row r="7820">
      <c r="A7820" s="4" t="inlineStr">
        <is>
          <t>590</t>
        </is>
      </c>
      <c r="B7820" s="4" t="n">
        <v>5</v>
      </c>
      <c r="C7820" s="4" t="inlineStr">
        <is>
          <t>mule deer</t>
        </is>
      </c>
      <c r="D7820" s="4" t="n">
        <v>2017</v>
      </c>
      <c r="E7820" s="13" t="inlineStr">
        <is>
          <t>General</t>
        </is>
      </c>
      <c r="F7820" s="5" t="n">
        <v>3939</v>
      </c>
      <c r="G7820" s="5" t="n">
        <v>21514</v>
      </c>
      <c r="H7820" s="5" t="n">
        <v>1685</v>
      </c>
      <c r="I7820" s="5" t="n">
        <v>1366</v>
      </c>
      <c r="J7820" s="5" t="n">
        <v>298</v>
      </c>
      <c r="K7820" s="10">
        <f>IF(F7820&gt;0,H7820/F7820,"")</f>
        <v/>
      </c>
      <c r="L7820" s="16">
        <f>IF(AND(G7820&gt;0,H7820&gt;0),G7820/H7820,"")</f>
        <v/>
      </c>
    </row>
    <row r="7821">
      <c r="A7821" s="4" t="inlineStr">
        <is>
          <t>590</t>
        </is>
      </c>
      <c r="B7821" s="4" t="n">
        <v>5</v>
      </c>
      <c r="C7821" s="4" t="inlineStr">
        <is>
          <t>mule deer</t>
        </is>
      </c>
      <c r="D7821" s="4" t="n">
        <v>2018</v>
      </c>
      <c r="E7821" s="13" t="inlineStr">
        <is>
          <t>General</t>
        </is>
      </c>
      <c r="F7821" s="5" t="n"/>
      <c r="G7821" s="5" t="n"/>
      <c r="H7821" s="5" t="n">
        <v>1503</v>
      </c>
      <c r="I7821" s="5" t="n">
        <v>1207</v>
      </c>
      <c r="J7821" s="5" t="n">
        <v>296</v>
      </c>
      <c r="K7821" s="10">
        <f>IF(F7821&gt;0,H7821/F7821,"")</f>
        <v/>
      </c>
      <c r="L7821" s="16">
        <f>IF(AND(G7821&gt;0,H7821&gt;0),G7821/H7821,"")</f>
        <v/>
      </c>
    </row>
    <row r="7822">
      <c r="A7822" s="4" t="inlineStr">
        <is>
          <t>590</t>
        </is>
      </c>
      <c r="B7822" s="4" t="n">
        <v>5</v>
      </c>
      <c r="C7822" s="4" t="inlineStr">
        <is>
          <t>mule deer</t>
        </is>
      </c>
      <c r="D7822" s="4" t="n">
        <v>2019</v>
      </c>
      <c r="E7822" s="13" t="inlineStr">
        <is>
          <t>General</t>
        </is>
      </c>
      <c r="F7822" s="5" t="n">
        <v>4154</v>
      </c>
      <c r="G7822" s="5" t="n">
        <v>22267</v>
      </c>
      <c r="H7822" s="5" t="n">
        <v>1531</v>
      </c>
      <c r="I7822" s="5" t="n">
        <v>1287</v>
      </c>
      <c r="J7822" s="5" t="n">
        <v>233</v>
      </c>
      <c r="K7822" s="10">
        <f>IF(F7822&gt;0,H7822/F7822,"")</f>
        <v/>
      </c>
      <c r="L7822" s="16">
        <f>IF(AND(G7822&gt;0,H7822&gt;0),G7822/H7822,"")</f>
        <v/>
      </c>
    </row>
    <row r="7823">
      <c r="A7823" s="4" t="inlineStr">
        <is>
          <t>590</t>
        </is>
      </c>
      <c r="B7823" s="4" t="n">
        <v>5</v>
      </c>
      <c r="C7823" s="4" t="inlineStr">
        <is>
          <t>mule deer</t>
        </is>
      </c>
      <c r="D7823" s="4" t="n">
        <v>2020</v>
      </c>
      <c r="E7823" s="13" t="inlineStr">
        <is>
          <t>General</t>
        </is>
      </c>
      <c r="F7823" s="5" t="n"/>
      <c r="G7823" s="5" t="n"/>
      <c r="H7823" s="5" t="n">
        <v>1501</v>
      </c>
      <c r="I7823" s="5" t="n">
        <v>1135</v>
      </c>
      <c r="J7823" s="5" t="n">
        <v>349</v>
      </c>
      <c r="K7823" s="10">
        <f>IF(F7823&gt;0,H7823/F7823,"")</f>
        <v/>
      </c>
      <c r="L7823" s="16">
        <f>IF(AND(G7823&gt;0,H7823&gt;0),G7823/H7823,"")</f>
        <v/>
      </c>
    </row>
    <row r="7824">
      <c r="A7824" s="4" t="inlineStr">
        <is>
          <t>590</t>
        </is>
      </c>
      <c r="B7824" s="4" t="n">
        <v>5</v>
      </c>
      <c r="C7824" s="4" t="inlineStr">
        <is>
          <t>mule deer</t>
        </is>
      </c>
      <c r="D7824" s="4" t="n">
        <v>2021</v>
      </c>
      <c r="E7824" s="13" t="inlineStr">
        <is>
          <t>General</t>
        </is>
      </c>
      <c r="F7824" s="5" t="n">
        <v>3920</v>
      </c>
      <c r="G7824" s="5" t="n">
        <v>24128</v>
      </c>
      <c r="H7824" s="5" t="n">
        <v>1001</v>
      </c>
      <c r="I7824" s="5" t="n">
        <v>728</v>
      </c>
      <c r="J7824" s="5" t="n">
        <v>272</v>
      </c>
      <c r="K7824" s="10">
        <f>IF(F7824&gt;0,H7824/F7824,"")</f>
        <v/>
      </c>
      <c r="L7824" s="16">
        <f>IF(AND(G7824&gt;0,H7824&gt;0),G7824/H7824,"")</f>
        <v/>
      </c>
    </row>
    <row r="7825">
      <c r="A7825" s="4" t="inlineStr">
        <is>
          <t>590</t>
        </is>
      </c>
      <c r="B7825" s="4" t="n">
        <v>5</v>
      </c>
      <c r="C7825" s="4" t="inlineStr">
        <is>
          <t>mule deer</t>
        </is>
      </c>
      <c r="D7825" s="4" t="n">
        <v>2022</v>
      </c>
      <c r="E7825" s="13" t="inlineStr">
        <is>
          <t>General</t>
        </is>
      </c>
      <c r="F7825" s="5" t="n"/>
      <c r="G7825" s="5" t="n"/>
      <c r="H7825" s="5" t="n">
        <v>1034</v>
      </c>
      <c r="I7825" s="5" t="n">
        <v>797</v>
      </c>
      <c r="J7825" s="5" t="n">
        <v>226</v>
      </c>
      <c r="K7825" s="10">
        <f>IF(F7825&gt;0,H7825/F7825,"")</f>
        <v/>
      </c>
      <c r="L7825" s="16">
        <f>IF(AND(G7825&gt;0,H7825&gt;0),G7825/H7825,"")</f>
        <v/>
      </c>
    </row>
    <row r="7826">
      <c r="A7826" s="4" t="inlineStr">
        <is>
          <t>590</t>
        </is>
      </c>
      <c r="B7826" s="4" t="n">
        <v>5</v>
      </c>
      <c r="C7826" s="4" t="inlineStr">
        <is>
          <t>mule deer</t>
        </is>
      </c>
      <c r="D7826" s="4" t="n">
        <v>2023</v>
      </c>
      <c r="E7826" s="13" t="inlineStr">
        <is>
          <t>General</t>
        </is>
      </c>
      <c r="F7826" s="5" t="n">
        <v>3941</v>
      </c>
      <c r="G7826" s="5" t="n">
        <v>23209</v>
      </c>
      <c r="H7826" s="5" t="n">
        <v>1033</v>
      </c>
      <c r="I7826" s="5" t="n">
        <v>758</v>
      </c>
      <c r="J7826" s="5" t="n">
        <v>262</v>
      </c>
      <c r="K7826" s="10">
        <f>IF(F7826&gt;0,H7826/F7826,"")</f>
        <v/>
      </c>
      <c r="L7826" s="16">
        <f>IF(AND(G7826&gt;0,H7826&gt;0),G7826/H7826,"")</f>
        <v/>
      </c>
    </row>
    <row r="7827">
      <c r="A7827" s="4" t="inlineStr">
        <is>
          <t>590</t>
        </is>
      </c>
      <c r="B7827" s="4" t="n">
        <v>5</v>
      </c>
      <c r="C7827" s="4" t="inlineStr">
        <is>
          <t>mule deer</t>
        </is>
      </c>
      <c r="D7827" s="4" t="n">
        <v>2024</v>
      </c>
      <c r="E7827" s="13" t="inlineStr">
        <is>
          <t>General</t>
        </is>
      </c>
      <c r="F7827" s="5" t="n"/>
      <c r="G7827" s="5" t="n"/>
      <c r="H7827" s="5" t="n">
        <v>957</v>
      </c>
      <c r="I7827" s="5" t="n">
        <v>893</v>
      </c>
      <c r="J7827" s="5" t="n">
        <v>64</v>
      </c>
      <c r="K7827" s="10">
        <f>IF(F7827&gt;0,H7827/F7827,"")</f>
        <v/>
      </c>
      <c r="L7827" s="16">
        <f>IF(AND(G7827&gt;0,H7827&gt;0),G7827/H7827,"")</f>
        <v/>
      </c>
    </row>
    <row r="7828">
      <c r="A7828" s="4" t="inlineStr">
        <is>
          <t>590</t>
        </is>
      </c>
      <c r="B7828" s="4" t="n">
        <v>5</v>
      </c>
      <c r="C7828" s="4" t="inlineStr">
        <is>
          <t>mule deer</t>
        </is>
      </c>
      <c r="D7828" s="4" t="n">
        <v>2025</v>
      </c>
      <c r="E7828" s="13" t="inlineStr">
        <is>
          <t>General</t>
        </is>
      </c>
      <c r="F7828" s="5" t="n">
        <v>3919</v>
      </c>
      <c r="G7828" s="5" t="n">
        <v>24766</v>
      </c>
      <c r="H7828" s="5" t="n">
        <v>1003</v>
      </c>
      <c r="I7828" s="5" t="n">
        <v>948</v>
      </c>
      <c r="J7828" s="5" t="n">
        <v>56</v>
      </c>
      <c r="K7828" s="10">
        <f>IF(F7828&gt;0,H7828/F7828,"")</f>
        <v/>
      </c>
      <c r="L7828" s="16">
        <f>IF(AND(G7828&gt;0,H7828&gt;0),G7828/H7828,"")</f>
        <v/>
      </c>
    </row>
    <row r="7829">
      <c r="A7829" s="4" t="inlineStr">
        <is>
          <t>600</t>
        </is>
      </c>
      <c r="B7829" s="4" t="n">
        <v>6</v>
      </c>
      <c r="C7829" s="4" t="inlineStr">
        <is>
          <t>mule deer</t>
        </is>
      </c>
      <c r="D7829" s="4" t="n">
        <v>2004</v>
      </c>
      <c r="E7829" s="13" t="inlineStr">
        <is>
          <t>General</t>
        </is>
      </c>
      <c r="F7829" s="5" t="n">
        <v>1280</v>
      </c>
      <c r="G7829" s="5" t="n">
        <v>5534</v>
      </c>
      <c r="H7829" s="5" t="n">
        <v>558</v>
      </c>
      <c r="I7829" s="5" t="n">
        <v>370</v>
      </c>
      <c r="J7829" s="5" t="n">
        <v>174</v>
      </c>
      <c r="K7829" s="10">
        <f>IF(F7829&gt;0,H7829/F7829,"")</f>
        <v/>
      </c>
      <c r="L7829" s="16">
        <f>IF(AND(G7829&gt;0,H7829&gt;0),G7829/H7829,"")</f>
        <v/>
      </c>
    </row>
    <row r="7830">
      <c r="A7830" s="4" t="inlineStr">
        <is>
          <t>600</t>
        </is>
      </c>
      <c r="B7830" s="4" t="n">
        <v>6</v>
      </c>
      <c r="C7830" s="4" t="inlineStr">
        <is>
          <t>mule deer</t>
        </is>
      </c>
      <c r="D7830" s="4" t="n">
        <v>2005</v>
      </c>
      <c r="E7830" s="13" t="inlineStr">
        <is>
          <t>General</t>
        </is>
      </c>
      <c r="F7830" s="5" t="n">
        <v>1538</v>
      </c>
      <c r="G7830" s="5" t="n">
        <v>6541</v>
      </c>
      <c r="H7830" s="5" t="n">
        <v>731</v>
      </c>
      <c r="I7830" s="5" t="n">
        <v>538</v>
      </c>
      <c r="J7830" s="5" t="n">
        <v>183</v>
      </c>
      <c r="K7830" s="10">
        <f>IF(F7830&gt;0,H7830/F7830,"")</f>
        <v/>
      </c>
      <c r="L7830" s="16">
        <f>IF(AND(G7830&gt;0,H7830&gt;0),G7830/H7830,"")</f>
        <v/>
      </c>
    </row>
    <row r="7831">
      <c r="A7831" s="4" t="inlineStr">
        <is>
          <t>600</t>
        </is>
      </c>
      <c r="B7831" s="4" t="n">
        <v>6</v>
      </c>
      <c r="C7831" s="4" t="inlineStr">
        <is>
          <t>mule deer</t>
        </is>
      </c>
      <c r="D7831" s="4" t="n">
        <v>2006</v>
      </c>
      <c r="E7831" s="13" t="inlineStr">
        <is>
          <t>General</t>
        </is>
      </c>
      <c r="F7831" s="5" t="n">
        <v>1330</v>
      </c>
      <c r="G7831" s="5" t="n">
        <v>6475</v>
      </c>
      <c r="H7831" s="5" t="n">
        <v>709</v>
      </c>
      <c r="I7831" s="5" t="n">
        <v>530</v>
      </c>
      <c r="J7831" s="5" t="n">
        <v>170</v>
      </c>
      <c r="K7831" s="10">
        <f>IF(F7831&gt;0,H7831/F7831,"")</f>
        <v/>
      </c>
      <c r="L7831" s="16">
        <f>IF(AND(G7831&gt;0,H7831&gt;0),G7831/H7831,"")</f>
        <v/>
      </c>
    </row>
    <row r="7832">
      <c r="A7832" s="4" t="inlineStr">
        <is>
          <t>600</t>
        </is>
      </c>
      <c r="B7832" s="4" t="n">
        <v>6</v>
      </c>
      <c r="C7832" s="4" t="inlineStr">
        <is>
          <t>mule deer</t>
        </is>
      </c>
      <c r="D7832" s="4" t="n">
        <v>2007</v>
      </c>
      <c r="E7832" s="13" t="inlineStr">
        <is>
          <t>General</t>
        </is>
      </c>
      <c r="F7832" s="5" t="n">
        <v>1510</v>
      </c>
      <c r="G7832" s="5" t="n">
        <v>7459</v>
      </c>
      <c r="H7832" s="5" t="n">
        <v>901</v>
      </c>
      <c r="I7832" s="5" t="n">
        <v>513</v>
      </c>
      <c r="J7832" s="5" t="n">
        <v>372</v>
      </c>
      <c r="K7832" s="10">
        <f>IF(F7832&gt;0,H7832/F7832,"")</f>
        <v/>
      </c>
      <c r="L7832" s="16">
        <f>IF(AND(G7832&gt;0,H7832&gt;0),G7832/H7832,"")</f>
        <v/>
      </c>
    </row>
    <row r="7833">
      <c r="A7833" s="4" t="inlineStr">
        <is>
          <t>600</t>
        </is>
      </c>
      <c r="B7833" s="4" t="n">
        <v>6</v>
      </c>
      <c r="C7833" s="4" t="inlineStr">
        <is>
          <t>mule deer</t>
        </is>
      </c>
      <c r="D7833" s="4" t="n">
        <v>2008</v>
      </c>
      <c r="E7833" s="13" t="inlineStr">
        <is>
          <t>General</t>
        </is>
      </c>
      <c r="F7833" s="5" t="n">
        <v>2213</v>
      </c>
      <c r="G7833" s="5" t="n">
        <v>10918</v>
      </c>
      <c r="H7833" s="5" t="n">
        <v>1026</v>
      </c>
      <c r="I7833" s="5" t="n">
        <v>610</v>
      </c>
      <c r="J7833" s="5" t="n">
        <v>400</v>
      </c>
      <c r="K7833" s="10">
        <f>IF(F7833&gt;0,H7833/F7833,"")</f>
        <v/>
      </c>
      <c r="L7833" s="16">
        <f>IF(AND(G7833&gt;0,H7833&gt;0),G7833/H7833,"")</f>
        <v/>
      </c>
    </row>
    <row r="7834">
      <c r="A7834" s="4" t="inlineStr">
        <is>
          <t>600</t>
        </is>
      </c>
      <c r="B7834" s="4" t="n">
        <v>6</v>
      </c>
      <c r="C7834" s="4" t="inlineStr">
        <is>
          <t>mule deer</t>
        </is>
      </c>
      <c r="D7834" s="4" t="n">
        <v>2009</v>
      </c>
      <c r="E7834" s="13" t="inlineStr">
        <is>
          <t>General</t>
        </is>
      </c>
      <c r="F7834" s="5" t="n">
        <v>2414</v>
      </c>
      <c r="G7834" s="5" t="n">
        <v>11120</v>
      </c>
      <c r="H7834" s="5" t="n">
        <v>990</v>
      </c>
      <c r="I7834" s="5" t="n">
        <v>687</v>
      </c>
      <c r="J7834" s="5" t="n">
        <v>301</v>
      </c>
      <c r="K7834" s="10">
        <f>IF(F7834&gt;0,H7834/F7834,"")</f>
        <v/>
      </c>
      <c r="L7834" s="16">
        <f>IF(AND(G7834&gt;0,H7834&gt;0),G7834/H7834,"")</f>
        <v/>
      </c>
    </row>
    <row r="7835">
      <c r="A7835" s="4" t="inlineStr">
        <is>
          <t>600</t>
        </is>
      </c>
      <c r="B7835" s="4" t="n">
        <v>6</v>
      </c>
      <c r="C7835" s="4" t="inlineStr">
        <is>
          <t>mule deer</t>
        </is>
      </c>
      <c r="D7835" s="4" t="n">
        <v>2010</v>
      </c>
      <c r="E7835" s="13" t="inlineStr">
        <is>
          <t>General</t>
        </is>
      </c>
      <c r="F7835" s="5" t="n">
        <v>2528</v>
      </c>
      <c r="G7835" s="5" t="n">
        <v>12718</v>
      </c>
      <c r="H7835" s="5" t="n">
        <v>901</v>
      </c>
      <c r="I7835" s="5" t="n">
        <v>525</v>
      </c>
      <c r="J7835" s="5" t="n">
        <v>365</v>
      </c>
      <c r="K7835" s="10">
        <f>IF(F7835&gt;0,H7835/F7835,"")</f>
        <v/>
      </c>
      <c r="L7835" s="16">
        <f>IF(AND(G7835&gt;0,H7835&gt;0),G7835/H7835,"")</f>
        <v/>
      </c>
    </row>
    <row r="7836">
      <c r="A7836" s="4" t="inlineStr">
        <is>
          <t>600</t>
        </is>
      </c>
      <c r="B7836" s="4" t="n">
        <v>6</v>
      </c>
      <c r="C7836" s="4" t="inlineStr">
        <is>
          <t>mule deer</t>
        </is>
      </c>
      <c r="D7836" s="4" t="n">
        <v>2011</v>
      </c>
      <c r="E7836" s="13" t="inlineStr">
        <is>
          <t>General</t>
        </is>
      </c>
      <c r="F7836" s="5" t="n">
        <v>2007</v>
      </c>
      <c r="G7836" s="5" t="n">
        <v>9442</v>
      </c>
      <c r="H7836" s="5" t="n">
        <v>597</v>
      </c>
      <c r="I7836" s="5" t="n">
        <v>382</v>
      </c>
      <c r="J7836" s="5" t="n">
        <v>210</v>
      </c>
      <c r="K7836" s="10">
        <f>IF(F7836&gt;0,H7836/F7836,"")</f>
        <v/>
      </c>
      <c r="L7836" s="16">
        <f>IF(AND(G7836&gt;0,H7836&gt;0),G7836/H7836,"")</f>
        <v/>
      </c>
    </row>
    <row r="7837">
      <c r="A7837" s="4" t="inlineStr">
        <is>
          <t>600</t>
        </is>
      </c>
      <c r="B7837" s="4" t="n">
        <v>6</v>
      </c>
      <c r="C7837" s="4" t="inlineStr">
        <is>
          <t>mule deer</t>
        </is>
      </c>
      <c r="D7837" s="4" t="n">
        <v>2012</v>
      </c>
      <c r="E7837" s="13" t="inlineStr">
        <is>
          <t>General</t>
        </is>
      </c>
      <c r="F7837" s="5" t="n"/>
      <c r="G7837" s="5" t="n"/>
      <c r="H7837" s="5" t="n">
        <v>723</v>
      </c>
      <c r="I7837" s="5" t="n">
        <v>468</v>
      </c>
      <c r="J7837" s="5" t="n">
        <v>247</v>
      </c>
      <c r="K7837" s="10">
        <f>IF(F7837&gt;0,H7837/F7837,"")</f>
        <v/>
      </c>
      <c r="L7837" s="16">
        <f>IF(AND(G7837&gt;0,H7837&gt;0),G7837/H7837,"")</f>
        <v/>
      </c>
    </row>
    <row r="7838">
      <c r="A7838" s="4" t="inlineStr">
        <is>
          <t>600</t>
        </is>
      </c>
      <c r="B7838" s="4" t="n">
        <v>6</v>
      </c>
      <c r="C7838" s="4" t="inlineStr">
        <is>
          <t>mule deer</t>
        </is>
      </c>
      <c r="D7838" s="4" t="n">
        <v>2013</v>
      </c>
      <c r="E7838" s="13" t="inlineStr">
        <is>
          <t>General</t>
        </is>
      </c>
      <c r="F7838" s="5" t="n">
        <v>1961</v>
      </c>
      <c r="G7838" s="5" t="n">
        <v>9738</v>
      </c>
      <c r="H7838" s="5" t="n">
        <v>675</v>
      </c>
      <c r="I7838" s="5" t="n">
        <v>483</v>
      </c>
      <c r="J7838" s="5" t="n">
        <v>187</v>
      </c>
      <c r="K7838" s="10">
        <f>IF(F7838&gt;0,H7838/F7838,"")</f>
        <v/>
      </c>
      <c r="L7838" s="16">
        <f>IF(AND(G7838&gt;0,H7838&gt;0),G7838/H7838,"")</f>
        <v/>
      </c>
    </row>
    <row r="7839">
      <c r="A7839" s="4" t="inlineStr">
        <is>
          <t>600</t>
        </is>
      </c>
      <c r="B7839" s="4" t="n">
        <v>6</v>
      </c>
      <c r="C7839" s="4" t="inlineStr">
        <is>
          <t>mule deer</t>
        </is>
      </c>
      <c r="D7839" s="4" t="n">
        <v>2014</v>
      </c>
      <c r="E7839" s="13" t="inlineStr">
        <is>
          <t>General</t>
        </is>
      </c>
      <c r="F7839" s="5" t="n"/>
      <c r="G7839" s="5" t="n"/>
      <c r="H7839" s="5" t="n">
        <v>603</v>
      </c>
      <c r="I7839" s="5" t="n">
        <v>600</v>
      </c>
      <c r="J7839" s="5" t="n">
        <v>3</v>
      </c>
      <c r="K7839" s="10">
        <f>IF(F7839&gt;0,H7839/F7839,"")</f>
        <v/>
      </c>
      <c r="L7839" s="16">
        <f>IF(AND(G7839&gt;0,H7839&gt;0),G7839/H7839,"")</f>
        <v/>
      </c>
    </row>
    <row r="7840">
      <c r="A7840" s="4" t="inlineStr">
        <is>
          <t>600</t>
        </is>
      </c>
      <c r="B7840" s="4" t="n">
        <v>6</v>
      </c>
      <c r="C7840" s="4" t="inlineStr">
        <is>
          <t>mule deer</t>
        </is>
      </c>
      <c r="D7840" s="4" t="n">
        <v>2015</v>
      </c>
      <c r="E7840" s="13" t="inlineStr">
        <is>
          <t>General</t>
        </is>
      </c>
      <c r="F7840" s="5" t="n"/>
      <c r="G7840" s="5" t="n"/>
      <c r="H7840" s="5" t="n">
        <v>706</v>
      </c>
      <c r="I7840" s="5" t="n">
        <v>689</v>
      </c>
      <c r="J7840" s="5" t="n">
        <v>17</v>
      </c>
      <c r="K7840" s="10">
        <f>IF(F7840&gt;0,H7840/F7840,"")</f>
        <v/>
      </c>
      <c r="L7840" s="16">
        <f>IF(AND(G7840&gt;0,H7840&gt;0),G7840/H7840,"")</f>
        <v/>
      </c>
    </row>
    <row r="7841">
      <c r="A7841" s="4" t="inlineStr">
        <is>
          <t>600</t>
        </is>
      </c>
      <c r="B7841" s="4" t="n">
        <v>6</v>
      </c>
      <c r="C7841" s="4" t="inlineStr">
        <is>
          <t>mule deer</t>
        </is>
      </c>
      <c r="D7841" s="4" t="n">
        <v>2016</v>
      </c>
      <c r="E7841" s="13" t="inlineStr">
        <is>
          <t>General</t>
        </is>
      </c>
      <c r="F7841" s="5" t="n"/>
      <c r="G7841" s="5" t="n"/>
      <c r="H7841" s="5" t="n">
        <v>848</v>
      </c>
      <c r="I7841" s="5" t="n">
        <v>783</v>
      </c>
      <c r="J7841" s="5" t="n">
        <v>62</v>
      </c>
      <c r="K7841" s="10">
        <f>IF(F7841&gt;0,H7841/F7841,"")</f>
        <v/>
      </c>
      <c r="L7841" s="16">
        <f>IF(AND(G7841&gt;0,H7841&gt;0),G7841/H7841,"")</f>
        <v/>
      </c>
    </row>
    <row r="7842">
      <c r="A7842" s="4" t="inlineStr">
        <is>
          <t>600</t>
        </is>
      </c>
      <c r="B7842" s="4" t="n">
        <v>6</v>
      </c>
      <c r="C7842" s="4" t="inlineStr">
        <is>
          <t>mule deer</t>
        </is>
      </c>
      <c r="D7842" s="4" t="n">
        <v>2017</v>
      </c>
      <c r="E7842" s="13" t="inlineStr">
        <is>
          <t>General</t>
        </is>
      </c>
      <c r="F7842" s="5" t="n">
        <v>2128</v>
      </c>
      <c r="G7842" s="5" t="n">
        <v>10816</v>
      </c>
      <c r="H7842" s="5" t="n">
        <v>938</v>
      </c>
      <c r="I7842" s="5" t="n">
        <v>851</v>
      </c>
      <c r="J7842" s="5" t="n">
        <v>81</v>
      </c>
      <c r="K7842" s="10">
        <f>IF(F7842&gt;0,H7842/F7842,"")</f>
        <v/>
      </c>
      <c r="L7842" s="16">
        <f>IF(AND(G7842&gt;0,H7842&gt;0),G7842/H7842,"")</f>
        <v/>
      </c>
    </row>
    <row r="7843">
      <c r="A7843" s="4" t="inlineStr">
        <is>
          <t>600</t>
        </is>
      </c>
      <c r="B7843" s="4" t="n">
        <v>6</v>
      </c>
      <c r="C7843" s="4" t="inlineStr">
        <is>
          <t>mule deer</t>
        </is>
      </c>
      <c r="D7843" s="4" t="n">
        <v>2018</v>
      </c>
      <c r="E7843" s="13" t="inlineStr">
        <is>
          <t>General</t>
        </is>
      </c>
      <c r="F7843" s="5" t="n"/>
      <c r="G7843" s="5" t="n"/>
      <c r="H7843" s="5" t="n">
        <v>997</v>
      </c>
      <c r="I7843" s="5" t="n">
        <v>720</v>
      </c>
      <c r="J7843" s="5" t="n">
        <v>261</v>
      </c>
      <c r="K7843" s="10">
        <f>IF(F7843&gt;0,H7843/F7843,"")</f>
        <v/>
      </c>
      <c r="L7843" s="16">
        <f>IF(AND(G7843&gt;0,H7843&gt;0),G7843/H7843,"")</f>
        <v/>
      </c>
    </row>
    <row r="7844">
      <c r="A7844" s="4" t="inlineStr">
        <is>
          <t>600</t>
        </is>
      </c>
      <c r="B7844" s="4" t="n">
        <v>6</v>
      </c>
      <c r="C7844" s="4" t="inlineStr">
        <is>
          <t>mule deer</t>
        </is>
      </c>
      <c r="D7844" s="4" t="n">
        <v>2019</v>
      </c>
      <c r="E7844" s="13" t="inlineStr">
        <is>
          <t>General</t>
        </is>
      </c>
      <c r="F7844" s="5" t="n">
        <v>1868</v>
      </c>
      <c r="G7844" s="5" t="n">
        <v>9635</v>
      </c>
      <c r="H7844" s="5" t="n">
        <v>984</v>
      </c>
      <c r="I7844" s="5" t="n">
        <v>672</v>
      </c>
      <c r="J7844" s="5" t="n">
        <v>305</v>
      </c>
      <c r="K7844" s="10">
        <f>IF(F7844&gt;0,H7844/F7844,"")</f>
        <v/>
      </c>
      <c r="L7844" s="16">
        <f>IF(AND(G7844&gt;0,H7844&gt;0),G7844/H7844,"")</f>
        <v/>
      </c>
    </row>
    <row r="7845">
      <c r="A7845" s="4" t="inlineStr">
        <is>
          <t>600</t>
        </is>
      </c>
      <c r="B7845" s="4" t="n">
        <v>6</v>
      </c>
      <c r="C7845" s="4" t="inlineStr">
        <is>
          <t>mule deer</t>
        </is>
      </c>
      <c r="D7845" s="4" t="n">
        <v>2020</v>
      </c>
      <c r="E7845" s="13" t="inlineStr">
        <is>
          <t>General</t>
        </is>
      </c>
      <c r="F7845" s="5" t="n"/>
      <c r="G7845" s="5" t="n"/>
      <c r="H7845" s="5" t="n">
        <v>1281</v>
      </c>
      <c r="I7845" s="5" t="n">
        <v>874</v>
      </c>
      <c r="J7845" s="5" t="n">
        <v>397</v>
      </c>
      <c r="K7845" s="10">
        <f>IF(F7845&gt;0,H7845/F7845,"")</f>
        <v/>
      </c>
      <c r="L7845" s="16">
        <f>IF(AND(G7845&gt;0,H7845&gt;0),G7845/H7845,"")</f>
        <v/>
      </c>
    </row>
    <row r="7846">
      <c r="A7846" s="4" t="inlineStr">
        <is>
          <t>600</t>
        </is>
      </c>
      <c r="B7846" s="4" t="n">
        <v>6</v>
      </c>
      <c r="C7846" s="4" t="inlineStr">
        <is>
          <t>mule deer</t>
        </is>
      </c>
      <c r="D7846" s="4" t="n">
        <v>2021</v>
      </c>
      <c r="E7846" s="13" t="inlineStr">
        <is>
          <t>General</t>
        </is>
      </c>
      <c r="F7846" s="5" t="n">
        <v>2272</v>
      </c>
      <c r="G7846" s="5" t="n">
        <v>12924</v>
      </c>
      <c r="H7846" s="5" t="n">
        <v>1352</v>
      </c>
      <c r="I7846" s="5" t="n">
        <v>883</v>
      </c>
      <c r="J7846" s="5" t="n">
        <v>469</v>
      </c>
      <c r="K7846" s="10">
        <f>IF(F7846&gt;0,H7846/F7846,"")</f>
        <v/>
      </c>
      <c r="L7846" s="16">
        <f>IF(AND(G7846&gt;0,H7846&gt;0),G7846/H7846,"")</f>
        <v/>
      </c>
    </row>
    <row r="7847">
      <c r="A7847" s="4" t="inlineStr">
        <is>
          <t>600</t>
        </is>
      </c>
      <c r="B7847" s="4" t="n">
        <v>6</v>
      </c>
      <c r="C7847" s="4" t="inlineStr">
        <is>
          <t>mule deer</t>
        </is>
      </c>
      <c r="D7847" s="4" t="n">
        <v>2022</v>
      </c>
      <c r="E7847" s="13" t="inlineStr">
        <is>
          <t>General</t>
        </is>
      </c>
      <c r="F7847" s="5" t="n"/>
      <c r="G7847" s="5" t="n"/>
      <c r="H7847" s="5" t="n">
        <v>999</v>
      </c>
      <c r="I7847" s="5" t="n">
        <v>687</v>
      </c>
      <c r="J7847" s="5" t="n">
        <v>308</v>
      </c>
      <c r="K7847" s="10">
        <f>IF(F7847&gt;0,H7847/F7847,"")</f>
        <v/>
      </c>
      <c r="L7847" s="16">
        <f>IF(AND(G7847&gt;0,H7847&gt;0),G7847/H7847,"")</f>
        <v/>
      </c>
    </row>
    <row r="7848">
      <c r="A7848" s="4" t="inlineStr">
        <is>
          <t>600</t>
        </is>
      </c>
      <c r="B7848" s="4" t="n">
        <v>6</v>
      </c>
      <c r="C7848" s="4" t="inlineStr">
        <is>
          <t>mule deer</t>
        </is>
      </c>
      <c r="D7848" s="4" t="n">
        <v>2023</v>
      </c>
      <c r="E7848" s="13" t="inlineStr">
        <is>
          <t>General</t>
        </is>
      </c>
      <c r="F7848" s="5" t="n">
        <v>2398</v>
      </c>
      <c r="G7848" s="5" t="n">
        <v>14035</v>
      </c>
      <c r="H7848" s="5" t="n">
        <v>1021</v>
      </c>
      <c r="I7848" s="5" t="n">
        <v>603</v>
      </c>
      <c r="J7848" s="5" t="n">
        <v>408</v>
      </c>
      <c r="K7848" s="10">
        <f>IF(F7848&gt;0,H7848/F7848,"")</f>
        <v/>
      </c>
      <c r="L7848" s="16">
        <f>IF(AND(G7848&gt;0,H7848&gt;0),G7848/H7848,"")</f>
        <v/>
      </c>
    </row>
    <row r="7849">
      <c r="A7849" s="4" t="inlineStr">
        <is>
          <t>600</t>
        </is>
      </c>
      <c r="B7849" s="4" t="n">
        <v>6</v>
      </c>
      <c r="C7849" s="4" t="inlineStr">
        <is>
          <t>mule deer</t>
        </is>
      </c>
      <c r="D7849" s="4" t="n">
        <v>2024</v>
      </c>
      <c r="E7849" s="13" t="inlineStr">
        <is>
          <t>General</t>
        </is>
      </c>
      <c r="F7849" s="5" t="n"/>
      <c r="G7849" s="5" t="n"/>
      <c r="H7849" s="5" t="n">
        <v>865</v>
      </c>
      <c r="I7849" s="5" t="n">
        <v>623</v>
      </c>
      <c r="J7849" s="5" t="n">
        <v>242</v>
      </c>
      <c r="K7849" s="10">
        <f>IF(F7849&gt;0,H7849/F7849,"")</f>
        <v/>
      </c>
      <c r="L7849" s="16">
        <f>IF(AND(G7849&gt;0,H7849&gt;0),G7849/H7849,"")</f>
        <v/>
      </c>
    </row>
    <row r="7850">
      <c r="A7850" s="4" t="inlineStr">
        <is>
          <t>600</t>
        </is>
      </c>
      <c r="B7850" s="4" t="n">
        <v>6</v>
      </c>
      <c r="C7850" s="4" t="inlineStr">
        <is>
          <t>mule deer</t>
        </is>
      </c>
      <c r="D7850" s="4" t="n">
        <v>2025</v>
      </c>
      <c r="E7850" s="13" t="inlineStr">
        <is>
          <t>General</t>
        </is>
      </c>
      <c r="F7850" s="5" t="n">
        <v>1998</v>
      </c>
      <c r="G7850" s="5" t="n">
        <v>10849</v>
      </c>
      <c r="H7850" s="5" t="n">
        <v>783</v>
      </c>
      <c r="I7850" s="5" t="n">
        <v>568</v>
      </c>
      <c r="J7850" s="5" t="n">
        <v>211</v>
      </c>
      <c r="K7850" s="10">
        <f>IF(F7850&gt;0,H7850/F7850,"")</f>
        <v/>
      </c>
      <c r="L7850" s="16">
        <f>IF(AND(G7850&gt;0,H7850&gt;0),G7850/H7850,"")</f>
        <v/>
      </c>
    </row>
    <row r="7851">
      <c r="A7851" s="4" t="inlineStr">
        <is>
          <t>610</t>
        </is>
      </c>
      <c r="B7851" s="4" t="n">
        <v>6</v>
      </c>
      <c r="C7851" s="4" t="inlineStr">
        <is>
          <t>mule deer</t>
        </is>
      </c>
      <c r="D7851" s="4" t="n">
        <v>2004</v>
      </c>
      <c r="E7851" s="4" t="inlineStr"/>
      <c r="F7851" s="5" t="n">
        <v>781</v>
      </c>
      <c r="G7851" s="5" t="n">
        <v>3411</v>
      </c>
      <c r="H7851" s="5" t="n">
        <v>373</v>
      </c>
      <c r="I7851" s="5" t="n">
        <v>298</v>
      </c>
      <c r="J7851" s="5" t="n">
        <v>68</v>
      </c>
      <c r="K7851" s="10">
        <f>IF(F7851&gt;0,H7851/F7851,"")</f>
        <v/>
      </c>
      <c r="L7851" s="16">
        <f>IF(AND(G7851&gt;0,H7851&gt;0),G7851/H7851,"")</f>
        <v/>
      </c>
    </row>
    <row r="7852">
      <c r="A7852" s="4" t="inlineStr">
        <is>
          <t>610</t>
        </is>
      </c>
      <c r="B7852" s="4" t="n">
        <v>6</v>
      </c>
      <c r="C7852" s="4" t="inlineStr">
        <is>
          <t>mule deer</t>
        </is>
      </c>
      <c r="D7852" s="4" t="n">
        <v>2005</v>
      </c>
      <c r="E7852" s="4" t="inlineStr"/>
      <c r="F7852" s="5" t="n">
        <v>755</v>
      </c>
      <c r="G7852" s="5" t="n">
        <v>3019</v>
      </c>
      <c r="H7852" s="5" t="n">
        <v>407</v>
      </c>
      <c r="I7852" s="5" t="n">
        <v>309</v>
      </c>
      <c r="J7852" s="5" t="n">
        <v>98</v>
      </c>
      <c r="K7852" s="10">
        <f>IF(F7852&gt;0,H7852/F7852,"")</f>
        <v/>
      </c>
      <c r="L7852" s="16">
        <f>IF(AND(G7852&gt;0,H7852&gt;0),G7852/H7852,"")</f>
        <v/>
      </c>
    </row>
    <row r="7853">
      <c r="A7853" s="4" t="inlineStr">
        <is>
          <t>610</t>
        </is>
      </c>
      <c r="B7853" s="4" t="n">
        <v>6</v>
      </c>
      <c r="C7853" s="4" t="inlineStr">
        <is>
          <t>mule deer</t>
        </is>
      </c>
      <c r="D7853" s="4" t="n">
        <v>2006</v>
      </c>
      <c r="E7853" s="4" t="inlineStr"/>
      <c r="F7853" s="5" t="n">
        <v>685</v>
      </c>
      <c r="G7853" s="5" t="n">
        <v>3028</v>
      </c>
      <c r="H7853" s="5" t="n">
        <v>343</v>
      </c>
      <c r="I7853" s="5" t="n">
        <v>279</v>
      </c>
      <c r="J7853" s="5" t="n">
        <v>65</v>
      </c>
      <c r="K7853" s="10">
        <f>IF(F7853&gt;0,H7853/F7853,"")</f>
        <v/>
      </c>
      <c r="L7853" s="16">
        <f>IF(AND(G7853&gt;0,H7853&gt;0),G7853/H7853,"")</f>
        <v/>
      </c>
    </row>
    <row r="7854">
      <c r="A7854" s="4" t="inlineStr">
        <is>
          <t>610</t>
        </is>
      </c>
      <c r="B7854" s="4" t="n">
        <v>6</v>
      </c>
      <c r="C7854" s="4" t="inlineStr">
        <is>
          <t>mule deer</t>
        </is>
      </c>
      <c r="D7854" s="4" t="n">
        <v>2007</v>
      </c>
      <c r="E7854" s="4" t="inlineStr"/>
      <c r="F7854" s="5" t="n">
        <v>849</v>
      </c>
      <c r="G7854" s="5" t="n">
        <v>3936</v>
      </c>
      <c r="H7854" s="5" t="n">
        <v>447</v>
      </c>
      <c r="I7854" s="5" t="n">
        <v>315</v>
      </c>
      <c r="J7854" s="5" t="n">
        <v>132</v>
      </c>
      <c r="K7854" s="10">
        <f>IF(F7854&gt;0,H7854/F7854,"")</f>
        <v/>
      </c>
      <c r="L7854" s="16">
        <f>IF(AND(G7854&gt;0,H7854&gt;0),G7854/H7854,"")</f>
        <v/>
      </c>
    </row>
    <row r="7855">
      <c r="A7855" s="4" t="inlineStr">
        <is>
          <t>611</t>
        </is>
      </c>
      <c r="B7855" s="4" t="n">
        <v>6</v>
      </c>
      <c r="C7855" s="4" t="inlineStr">
        <is>
          <t>mule deer</t>
        </is>
      </c>
      <c r="D7855" s="4" t="n">
        <v>2004</v>
      </c>
      <c r="E7855" s="4" t="inlineStr"/>
      <c r="F7855" s="5" t="n">
        <v>722</v>
      </c>
      <c r="G7855" s="5" t="n">
        <v>2941</v>
      </c>
      <c r="H7855" s="5" t="n">
        <v>284</v>
      </c>
      <c r="I7855" s="5" t="n">
        <v>254</v>
      </c>
      <c r="J7855" s="5" t="n">
        <v>28</v>
      </c>
      <c r="K7855" s="10">
        <f>IF(F7855&gt;0,H7855/F7855,"")</f>
        <v/>
      </c>
      <c r="L7855" s="16">
        <f>IF(AND(G7855&gt;0,H7855&gt;0),G7855/H7855,"")</f>
        <v/>
      </c>
    </row>
    <row r="7856">
      <c r="A7856" s="4" t="inlineStr">
        <is>
          <t>611</t>
        </is>
      </c>
      <c r="B7856" s="4" t="n">
        <v>6</v>
      </c>
      <c r="C7856" s="4" t="inlineStr">
        <is>
          <t>mule deer</t>
        </is>
      </c>
      <c r="D7856" s="4" t="n">
        <v>2005</v>
      </c>
      <c r="E7856" s="4" t="inlineStr"/>
      <c r="F7856" s="5" t="n">
        <v>664</v>
      </c>
      <c r="G7856" s="5" t="n">
        <v>3075</v>
      </c>
      <c r="H7856" s="5" t="n">
        <v>312</v>
      </c>
      <c r="I7856" s="5" t="n">
        <v>250</v>
      </c>
      <c r="J7856" s="5" t="n">
        <v>62</v>
      </c>
      <c r="K7856" s="10">
        <f>IF(F7856&gt;0,H7856/F7856,"")</f>
        <v/>
      </c>
      <c r="L7856" s="16">
        <f>IF(AND(G7856&gt;0,H7856&gt;0),G7856/H7856,"")</f>
        <v/>
      </c>
    </row>
    <row r="7857">
      <c r="A7857" s="4" t="inlineStr">
        <is>
          <t>611</t>
        </is>
      </c>
      <c r="B7857" s="4" t="n">
        <v>6</v>
      </c>
      <c r="C7857" s="4" t="inlineStr">
        <is>
          <t>mule deer</t>
        </is>
      </c>
      <c r="D7857" s="4" t="n">
        <v>2006</v>
      </c>
      <c r="E7857" s="4" t="inlineStr"/>
      <c r="F7857" s="5" t="n">
        <v>675</v>
      </c>
      <c r="G7857" s="5" t="n">
        <v>2823</v>
      </c>
      <c r="H7857" s="5" t="n">
        <v>390</v>
      </c>
      <c r="I7857" s="5" t="n">
        <v>202</v>
      </c>
      <c r="J7857" s="5" t="n">
        <v>177</v>
      </c>
      <c r="K7857" s="10">
        <f>IF(F7857&gt;0,H7857/F7857,"")</f>
        <v/>
      </c>
      <c r="L7857" s="16">
        <f>IF(AND(G7857&gt;0,H7857&gt;0),G7857/H7857,"")</f>
        <v/>
      </c>
    </row>
    <row r="7858">
      <c r="A7858" s="4" t="inlineStr">
        <is>
          <t>611</t>
        </is>
      </c>
      <c r="B7858" s="4" t="n">
        <v>6</v>
      </c>
      <c r="C7858" s="4" t="inlineStr">
        <is>
          <t>mule deer</t>
        </is>
      </c>
      <c r="D7858" s="4" t="n">
        <v>2007</v>
      </c>
      <c r="E7858" s="4" t="inlineStr"/>
      <c r="F7858" s="5" t="n">
        <v>869</v>
      </c>
      <c r="G7858" s="5" t="n">
        <v>3899</v>
      </c>
      <c r="H7858" s="5" t="n">
        <v>614</v>
      </c>
      <c r="I7858" s="5" t="n">
        <v>338</v>
      </c>
      <c r="J7858" s="5" t="n">
        <v>273</v>
      </c>
      <c r="K7858" s="10">
        <f>IF(F7858&gt;0,H7858/F7858,"")</f>
        <v/>
      </c>
      <c r="L7858" s="16">
        <f>IF(AND(G7858&gt;0,H7858&gt;0),G7858/H7858,"")</f>
        <v/>
      </c>
    </row>
    <row r="7859">
      <c r="A7859" s="4" t="inlineStr">
        <is>
          <t>611</t>
        </is>
      </c>
      <c r="B7859" s="4" t="n">
        <v>6</v>
      </c>
      <c r="C7859" s="4" t="inlineStr">
        <is>
          <t>mule deer</t>
        </is>
      </c>
      <c r="D7859" s="4" t="n">
        <v>2008</v>
      </c>
      <c r="E7859" s="4" t="inlineStr"/>
      <c r="F7859" s="5" t="n">
        <v>886</v>
      </c>
      <c r="G7859" s="5" t="n">
        <v>3906</v>
      </c>
      <c r="H7859" s="5" t="n">
        <v>542</v>
      </c>
      <c r="I7859" s="5" t="n">
        <v>286</v>
      </c>
      <c r="J7859" s="5" t="n">
        <v>248</v>
      </c>
      <c r="K7859" s="10">
        <f>IF(F7859&gt;0,H7859/F7859,"")</f>
        <v/>
      </c>
      <c r="L7859" s="16">
        <f>IF(AND(G7859&gt;0,H7859&gt;0),G7859/H7859,"")</f>
        <v/>
      </c>
    </row>
    <row r="7860">
      <c r="A7860" s="4" t="inlineStr">
        <is>
          <t>611</t>
        </is>
      </c>
      <c r="B7860" s="4" t="n">
        <v>6</v>
      </c>
      <c r="C7860" s="4" t="inlineStr">
        <is>
          <t>mule deer</t>
        </is>
      </c>
      <c r="D7860" s="4" t="n">
        <v>2009</v>
      </c>
      <c r="E7860" s="4" t="inlineStr"/>
      <c r="F7860" s="5" t="n">
        <v>1028</v>
      </c>
      <c r="G7860" s="5" t="n">
        <v>4647</v>
      </c>
      <c r="H7860" s="5" t="n">
        <v>583</v>
      </c>
      <c r="I7860" s="5" t="n">
        <v>339</v>
      </c>
      <c r="J7860" s="5" t="n">
        <v>245</v>
      </c>
      <c r="K7860" s="10">
        <f>IF(F7860&gt;0,H7860/F7860,"")</f>
        <v/>
      </c>
      <c r="L7860" s="16">
        <f>IF(AND(G7860&gt;0,H7860&gt;0),G7860/H7860,"")</f>
        <v/>
      </c>
    </row>
    <row r="7861">
      <c r="A7861" s="4" t="inlineStr">
        <is>
          <t>611</t>
        </is>
      </c>
      <c r="B7861" s="4" t="n">
        <v>6</v>
      </c>
      <c r="C7861" s="4" t="inlineStr">
        <is>
          <t>mule deer</t>
        </is>
      </c>
      <c r="D7861" s="4" t="n">
        <v>2010</v>
      </c>
      <c r="E7861" s="4" t="inlineStr"/>
      <c r="F7861" s="5" t="n">
        <v>992</v>
      </c>
      <c r="G7861" s="5" t="n">
        <v>4432</v>
      </c>
      <c r="H7861" s="5" t="n">
        <v>381</v>
      </c>
      <c r="I7861" s="5" t="n">
        <v>226</v>
      </c>
      <c r="J7861" s="5" t="n">
        <v>154</v>
      </c>
      <c r="K7861" s="10">
        <f>IF(F7861&gt;0,H7861/F7861,"")</f>
        <v/>
      </c>
      <c r="L7861" s="16">
        <f>IF(AND(G7861&gt;0,H7861&gt;0),G7861/H7861,"")</f>
        <v/>
      </c>
    </row>
    <row r="7862">
      <c r="A7862" s="4" t="inlineStr">
        <is>
          <t>611</t>
        </is>
      </c>
      <c r="B7862" s="4" t="n">
        <v>6</v>
      </c>
      <c r="C7862" s="4" t="inlineStr">
        <is>
          <t>mule deer</t>
        </is>
      </c>
      <c r="D7862" s="4" t="n">
        <v>2011</v>
      </c>
      <c r="E7862" s="4" t="inlineStr"/>
      <c r="F7862" s="5" t="n">
        <v>626</v>
      </c>
      <c r="G7862" s="5" t="n">
        <v>3000</v>
      </c>
      <c r="H7862" s="5" t="n">
        <v>220</v>
      </c>
      <c r="I7862" s="5" t="n">
        <v>175</v>
      </c>
      <c r="J7862" s="5" t="n">
        <v>46</v>
      </c>
      <c r="K7862" s="10">
        <f>IF(F7862&gt;0,H7862/F7862,"")</f>
        <v/>
      </c>
      <c r="L7862" s="16">
        <f>IF(AND(G7862&gt;0,H7862&gt;0),G7862/H7862,"")</f>
        <v/>
      </c>
    </row>
    <row r="7863">
      <c r="A7863" s="4" t="inlineStr">
        <is>
          <t>611</t>
        </is>
      </c>
      <c r="B7863" s="4" t="n">
        <v>6</v>
      </c>
      <c r="C7863" s="4" t="inlineStr">
        <is>
          <t>mule deer</t>
        </is>
      </c>
      <c r="D7863" s="4" t="n">
        <v>2012</v>
      </c>
      <c r="E7863" s="4" t="inlineStr"/>
      <c r="F7863" s="5" t="n"/>
      <c r="G7863" s="5" t="n"/>
      <c r="H7863" s="5" t="n">
        <v>269</v>
      </c>
      <c r="I7863" s="5" t="n">
        <v>201</v>
      </c>
      <c r="J7863" s="5" t="n">
        <v>68</v>
      </c>
      <c r="K7863" s="10">
        <f>IF(F7863&gt;0,H7863/F7863,"")</f>
        <v/>
      </c>
      <c r="L7863" s="16">
        <f>IF(AND(G7863&gt;0,H7863&gt;0),G7863/H7863,"")</f>
        <v/>
      </c>
    </row>
    <row r="7864">
      <c r="A7864" s="4" t="inlineStr">
        <is>
          <t>611</t>
        </is>
      </c>
      <c r="B7864" s="4" t="n">
        <v>6</v>
      </c>
      <c r="C7864" s="4" t="inlineStr">
        <is>
          <t>mule deer</t>
        </is>
      </c>
      <c r="D7864" s="4" t="n">
        <v>2013</v>
      </c>
      <c r="E7864" s="4" t="inlineStr"/>
      <c r="F7864" s="5" t="n">
        <v>743</v>
      </c>
      <c r="G7864" s="5" t="n">
        <v>4094</v>
      </c>
      <c r="H7864" s="5" t="n">
        <v>314</v>
      </c>
      <c r="I7864" s="5" t="n">
        <v>243</v>
      </c>
      <c r="J7864" s="5" t="n">
        <v>69</v>
      </c>
      <c r="K7864" s="10">
        <f>IF(F7864&gt;0,H7864/F7864,"")</f>
        <v/>
      </c>
      <c r="L7864" s="16">
        <f>IF(AND(G7864&gt;0,H7864&gt;0),G7864/H7864,"")</f>
        <v/>
      </c>
    </row>
    <row r="7865">
      <c r="A7865" s="4" t="inlineStr">
        <is>
          <t>611</t>
        </is>
      </c>
      <c r="B7865" s="4" t="n">
        <v>6</v>
      </c>
      <c r="C7865" s="4" t="inlineStr">
        <is>
          <t>mule deer</t>
        </is>
      </c>
      <c r="D7865" s="4" t="n">
        <v>2014</v>
      </c>
      <c r="E7865" s="4" t="inlineStr"/>
      <c r="F7865" s="5" t="n"/>
      <c r="G7865" s="5" t="n"/>
      <c r="H7865" s="5" t="n">
        <v>284</v>
      </c>
      <c r="I7865" s="5" t="n">
        <v>284</v>
      </c>
      <c r="J7865" s="5" t="n">
        <v>0</v>
      </c>
      <c r="K7865" s="10">
        <f>IF(F7865&gt;0,H7865/F7865,"")</f>
        <v/>
      </c>
      <c r="L7865" s="16">
        <f>IF(AND(G7865&gt;0,H7865&gt;0),G7865/H7865,"")</f>
        <v/>
      </c>
    </row>
    <row r="7866">
      <c r="A7866" s="4" t="inlineStr">
        <is>
          <t>611</t>
        </is>
      </c>
      <c r="B7866" s="4" t="n">
        <v>6</v>
      </c>
      <c r="C7866" s="4" t="inlineStr">
        <is>
          <t>mule deer</t>
        </is>
      </c>
      <c r="D7866" s="4" t="n">
        <v>2015</v>
      </c>
      <c r="E7866" s="4" t="inlineStr"/>
      <c r="F7866" s="5" t="n"/>
      <c r="G7866" s="5" t="n"/>
      <c r="H7866" s="5" t="n">
        <v>381</v>
      </c>
      <c r="I7866" s="5" t="n">
        <v>375</v>
      </c>
      <c r="J7866" s="5" t="n">
        <v>6</v>
      </c>
      <c r="K7866" s="10">
        <f>IF(F7866&gt;0,H7866/F7866,"")</f>
        <v/>
      </c>
      <c r="L7866" s="16">
        <f>IF(AND(G7866&gt;0,H7866&gt;0),G7866/H7866,"")</f>
        <v/>
      </c>
    </row>
    <row r="7867">
      <c r="A7867" s="4" t="inlineStr">
        <is>
          <t>611</t>
        </is>
      </c>
      <c r="B7867" s="4" t="n">
        <v>6</v>
      </c>
      <c r="C7867" s="4" t="inlineStr">
        <is>
          <t>mule deer</t>
        </is>
      </c>
      <c r="D7867" s="4" t="n">
        <v>2016</v>
      </c>
      <c r="E7867" s="4" t="inlineStr"/>
      <c r="F7867" s="5" t="n"/>
      <c r="G7867" s="5" t="n"/>
      <c r="H7867" s="5" t="n">
        <v>383</v>
      </c>
      <c r="I7867" s="5" t="n">
        <v>374</v>
      </c>
      <c r="J7867" s="5" t="n">
        <v>9</v>
      </c>
      <c r="K7867" s="10">
        <f>IF(F7867&gt;0,H7867/F7867,"")</f>
        <v/>
      </c>
      <c r="L7867" s="16">
        <f>IF(AND(G7867&gt;0,H7867&gt;0),G7867/H7867,"")</f>
        <v/>
      </c>
    </row>
    <row r="7868">
      <c r="A7868" s="4" t="inlineStr">
        <is>
          <t>611</t>
        </is>
      </c>
      <c r="B7868" s="4" t="n">
        <v>6</v>
      </c>
      <c r="C7868" s="4" t="inlineStr">
        <is>
          <t>mule deer</t>
        </is>
      </c>
      <c r="D7868" s="4" t="n">
        <v>2017</v>
      </c>
      <c r="E7868" s="4" t="inlineStr"/>
      <c r="F7868" s="5" t="n">
        <v>943</v>
      </c>
      <c r="G7868" s="5" t="n">
        <v>4437</v>
      </c>
      <c r="H7868" s="5" t="n">
        <v>484</v>
      </c>
      <c r="I7868" s="5" t="n">
        <v>449</v>
      </c>
      <c r="J7868" s="5" t="n">
        <v>36</v>
      </c>
      <c r="K7868" s="10">
        <f>IF(F7868&gt;0,H7868/F7868,"")</f>
        <v/>
      </c>
      <c r="L7868" s="16">
        <f>IF(AND(G7868&gt;0,H7868&gt;0),G7868/H7868,"")</f>
        <v/>
      </c>
    </row>
    <row r="7869">
      <c r="A7869" s="4" t="inlineStr">
        <is>
          <t>611</t>
        </is>
      </c>
      <c r="B7869" s="4" t="n">
        <v>6</v>
      </c>
      <c r="C7869" s="4" t="inlineStr">
        <is>
          <t>mule deer</t>
        </is>
      </c>
      <c r="D7869" s="4" t="n">
        <v>2018</v>
      </c>
      <c r="E7869" s="4" t="inlineStr"/>
      <c r="F7869" s="5" t="n"/>
      <c r="G7869" s="5" t="n"/>
      <c r="H7869" s="5" t="n">
        <v>711</v>
      </c>
      <c r="I7869" s="5" t="n">
        <v>537</v>
      </c>
      <c r="J7869" s="5" t="n">
        <v>172</v>
      </c>
      <c r="K7869" s="10">
        <f>IF(F7869&gt;0,H7869/F7869,"")</f>
        <v/>
      </c>
      <c r="L7869" s="16">
        <f>IF(AND(G7869&gt;0,H7869&gt;0),G7869/H7869,"")</f>
        <v/>
      </c>
    </row>
    <row r="7870">
      <c r="A7870" s="4" t="inlineStr">
        <is>
          <t>611</t>
        </is>
      </c>
      <c r="B7870" s="4" t="n">
        <v>6</v>
      </c>
      <c r="C7870" s="4" t="inlineStr">
        <is>
          <t>mule deer</t>
        </is>
      </c>
      <c r="D7870" s="4" t="n">
        <v>2019</v>
      </c>
      <c r="E7870" s="4" t="inlineStr"/>
      <c r="F7870" s="5" t="n">
        <v>1011</v>
      </c>
      <c r="G7870" s="5" t="n">
        <v>5197</v>
      </c>
      <c r="H7870" s="5" t="n">
        <v>573</v>
      </c>
      <c r="I7870" s="5" t="n">
        <v>435</v>
      </c>
      <c r="J7870" s="5" t="n">
        <v>129</v>
      </c>
      <c r="K7870" s="10">
        <f>IF(F7870&gt;0,H7870/F7870,"")</f>
        <v/>
      </c>
      <c r="L7870" s="16">
        <f>IF(AND(G7870&gt;0,H7870&gt;0),G7870/H7870,"")</f>
        <v/>
      </c>
    </row>
    <row r="7871">
      <c r="A7871" s="4" t="inlineStr">
        <is>
          <t>620</t>
        </is>
      </c>
      <c r="B7871" s="4" t="n">
        <v>6</v>
      </c>
      <c r="C7871" s="4" t="inlineStr">
        <is>
          <t>mule deer</t>
        </is>
      </c>
      <c r="D7871" s="4" t="n">
        <v>2004</v>
      </c>
      <c r="E7871" s="13" t="inlineStr">
        <is>
          <t>General</t>
        </is>
      </c>
      <c r="F7871" s="5" t="n">
        <v>1037</v>
      </c>
      <c r="G7871" s="5" t="n">
        <v>4359</v>
      </c>
      <c r="H7871" s="5" t="n">
        <v>485</v>
      </c>
      <c r="I7871" s="5" t="n">
        <v>385</v>
      </c>
      <c r="J7871" s="5" t="n">
        <v>92</v>
      </c>
      <c r="K7871" s="10">
        <f>IF(F7871&gt;0,H7871/F7871,"")</f>
        <v/>
      </c>
      <c r="L7871" s="16">
        <f>IF(AND(G7871&gt;0,H7871&gt;0),G7871/H7871,"")</f>
        <v/>
      </c>
    </row>
    <row r="7872">
      <c r="A7872" s="4" t="inlineStr">
        <is>
          <t>620</t>
        </is>
      </c>
      <c r="B7872" s="4" t="n">
        <v>6</v>
      </c>
      <c r="C7872" s="4" t="inlineStr">
        <is>
          <t>mule deer</t>
        </is>
      </c>
      <c r="D7872" s="4" t="n">
        <v>2005</v>
      </c>
      <c r="E7872" s="13" t="inlineStr">
        <is>
          <t>General</t>
        </is>
      </c>
      <c r="F7872" s="5" t="n">
        <v>1338</v>
      </c>
      <c r="G7872" s="5" t="n">
        <v>6742</v>
      </c>
      <c r="H7872" s="5" t="n">
        <v>550</v>
      </c>
      <c r="I7872" s="5" t="n">
        <v>448</v>
      </c>
      <c r="J7872" s="5" t="n">
        <v>100</v>
      </c>
      <c r="K7872" s="10">
        <f>IF(F7872&gt;0,H7872/F7872,"")</f>
        <v/>
      </c>
      <c r="L7872" s="16">
        <f>IF(AND(G7872&gt;0,H7872&gt;0),G7872/H7872,"")</f>
        <v/>
      </c>
    </row>
    <row r="7873">
      <c r="A7873" s="4" t="inlineStr">
        <is>
          <t>620</t>
        </is>
      </c>
      <c r="B7873" s="4" t="n">
        <v>6</v>
      </c>
      <c r="C7873" s="4" t="inlineStr">
        <is>
          <t>mule deer</t>
        </is>
      </c>
      <c r="D7873" s="4" t="n">
        <v>2006</v>
      </c>
      <c r="E7873" s="13" t="inlineStr">
        <is>
          <t>General</t>
        </is>
      </c>
      <c r="F7873" s="5" t="n">
        <v>1187</v>
      </c>
      <c r="G7873" s="5" t="n">
        <v>6207</v>
      </c>
      <c r="H7873" s="5" t="n">
        <v>509</v>
      </c>
      <c r="I7873" s="5" t="n">
        <v>324</v>
      </c>
      <c r="J7873" s="5" t="n">
        <v>178</v>
      </c>
      <c r="K7873" s="10">
        <f>IF(F7873&gt;0,H7873/F7873,"")</f>
        <v/>
      </c>
      <c r="L7873" s="16">
        <f>IF(AND(G7873&gt;0,H7873&gt;0),G7873/H7873,"")</f>
        <v/>
      </c>
    </row>
    <row r="7874">
      <c r="A7874" s="4" t="inlineStr">
        <is>
          <t>620</t>
        </is>
      </c>
      <c r="B7874" s="4" t="n">
        <v>6</v>
      </c>
      <c r="C7874" s="4" t="inlineStr">
        <is>
          <t>mule deer</t>
        </is>
      </c>
      <c r="D7874" s="4" t="n">
        <v>2007</v>
      </c>
      <c r="E7874" s="13" t="inlineStr">
        <is>
          <t>General</t>
        </is>
      </c>
      <c r="F7874" s="5" t="n">
        <v>1495</v>
      </c>
      <c r="G7874" s="5" t="n">
        <v>8075</v>
      </c>
      <c r="H7874" s="5" t="n">
        <v>779</v>
      </c>
      <c r="I7874" s="5" t="n">
        <v>480</v>
      </c>
      <c r="J7874" s="5" t="n">
        <v>293</v>
      </c>
      <c r="K7874" s="10">
        <f>IF(F7874&gt;0,H7874/F7874,"")</f>
        <v/>
      </c>
      <c r="L7874" s="16">
        <f>IF(AND(G7874&gt;0,H7874&gt;0),G7874/H7874,"")</f>
        <v/>
      </c>
    </row>
    <row r="7875">
      <c r="A7875" s="4" t="inlineStr">
        <is>
          <t>620</t>
        </is>
      </c>
      <c r="B7875" s="4" t="n">
        <v>6</v>
      </c>
      <c r="C7875" s="4" t="inlineStr">
        <is>
          <t>mule deer</t>
        </is>
      </c>
      <c r="D7875" s="4" t="n">
        <v>2008</v>
      </c>
      <c r="E7875" s="13" t="inlineStr">
        <is>
          <t>General</t>
        </is>
      </c>
      <c r="F7875" s="5" t="n">
        <v>1638</v>
      </c>
      <c r="G7875" s="5" t="n">
        <v>8166</v>
      </c>
      <c r="H7875" s="5" t="n">
        <v>850</v>
      </c>
      <c r="I7875" s="5" t="n">
        <v>482</v>
      </c>
      <c r="J7875" s="5" t="n">
        <v>358</v>
      </c>
      <c r="K7875" s="10">
        <f>IF(F7875&gt;0,H7875/F7875,"")</f>
        <v/>
      </c>
      <c r="L7875" s="16">
        <f>IF(AND(G7875&gt;0,H7875&gt;0),G7875/H7875,"")</f>
        <v/>
      </c>
    </row>
    <row r="7876">
      <c r="A7876" s="4" t="inlineStr">
        <is>
          <t>620</t>
        </is>
      </c>
      <c r="B7876" s="4" t="n">
        <v>6</v>
      </c>
      <c r="C7876" s="4" t="inlineStr">
        <is>
          <t>mule deer</t>
        </is>
      </c>
      <c r="D7876" s="4" t="n">
        <v>2009</v>
      </c>
      <c r="E7876" s="13" t="inlineStr">
        <is>
          <t>General</t>
        </is>
      </c>
      <c r="F7876" s="5" t="n">
        <v>1739</v>
      </c>
      <c r="G7876" s="5" t="n">
        <v>9037</v>
      </c>
      <c r="H7876" s="5" t="n">
        <v>792</v>
      </c>
      <c r="I7876" s="5" t="n">
        <v>464</v>
      </c>
      <c r="J7876" s="5" t="n">
        <v>328</v>
      </c>
      <c r="K7876" s="10">
        <f>IF(F7876&gt;0,H7876/F7876,"")</f>
        <v/>
      </c>
      <c r="L7876" s="16">
        <f>IF(AND(G7876&gt;0,H7876&gt;0),G7876/H7876,"")</f>
        <v/>
      </c>
    </row>
    <row r="7877">
      <c r="A7877" s="4" t="inlineStr">
        <is>
          <t>620</t>
        </is>
      </c>
      <c r="B7877" s="4" t="n">
        <v>6</v>
      </c>
      <c r="C7877" s="4" t="inlineStr">
        <is>
          <t>mule deer</t>
        </is>
      </c>
      <c r="D7877" s="4" t="n">
        <v>2010</v>
      </c>
      <c r="E7877" s="13" t="inlineStr">
        <is>
          <t>General</t>
        </is>
      </c>
      <c r="F7877" s="5" t="n">
        <v>1662</v>
      </c>
      <c r="G7877" s="5" t="n">
        <v>8590</v>
      </c>
      <c r="H7877" s="5" t="n">
        <v>541</v>
      </c>
      <c r="I7877" s="5" t="n">
        <v>352</v>
      </c>
      <c r="J7877" s="5" t="n">
        <v>189</v>
      </c>
      <c r="K7877" s="10">
        <f>IF(F7877&gt;0,H7877/F7877,"")</f>
        <v/>
      </c>
      <c r="L7877" s="16">
        <f>IF(AND(G7877&gt;0,H7877&gt;0),G7877/H7877,"")</f>
        <v/>
      </c>
    </row>
    <row r="7878">
      <c r="A7878" s="4" t="inlineStr">
        <is>
          <t>620</t>
        </is>
      </c>
      <c r="B7878" s="4" t="n">
        <v>6</v>
      </c>
      <c r="C7878" s="4" t="inlineStr">
        <is>
          <t>mule deer</t>
        </is>
      </c>
      <c r="D7878" s="4" t="n">
        <v>2011</v>
      </c>
      <c r="E7878" s="13" t="inlineStr">
        <is>
          <t>General</t>
        </is>
      </c>
      <c r="F7878" s="5" t="n">
        <v>1299</v>
      </c>
      <c r="G7878" s="5" t="n">
        <v>6778</v>
      </c>
      <c r="H7878" s="5" t="n">
        <v>457</v>
      </c>
      <c r="I7878" s="5" t="n">
        <v>325</v>
      </c>
      <c r="J7878" s="5" t="n">
        <v>129</v>
      </c>
      <c r="K7878" s="10">
        <f>IF(F7878&gt;0,H7878/F7878,"")</f>
        <v/>
      </c>
      <c r="L7878" s="16">
        <f>IF(AND(G7878&gt;0,H7878&gt;0),G7878/H7878,"")</f>
        <v/>
      </c>
    </row>
    <row r="7879">
      <c r="A7879" s="4" t="inlineStr">
        <is>
          <t>620</t>
        </is>
      </c>
      <c r="B7879" s="4" t="n">
        <v>6</v>
      </c>
      <c r="C7879" s="4" t="inlineStr">
        <is>
          <t>mule deer</t>
        </is>
      </c>
      <c r="D7879" s="4" t="n">
        <v>2012</v>
      </c>
      <c r="E7879" s="13" t="inlineStr">
        <is>
          <t>General</t>
        </is>
      </c>
      <c r="F7879" s="5" t="n"/>
      <c r="G7879" s="5" t="n"/>
      <c r="H7879" s="5" t="n">
        <v>398</v>
      </c>
      <c r="I7879" s="5" t="n">
        <v>282</v>
      </c>
      <c r="J7879" s="5" t="n">
        <v>116</v>
      </c>
      <c r="K7879" s="10">
        <f>IF(F7879&gt;0,H7879/F7879,"")</f>
        <v/>
      </c>
      <c r="L7879" s="16">
        <f>IF(AND(G7879&gt;0,H7879&gt;0),G7879/H7879,"")</f>
        <v/>
      </c>
    </row>
    <row r="7880">
      <c r="A7880" s="4" t="inlineStr">
        <is>
          <t>620</t>
        </is>
      </c>
      <c r="B7880" s="4" t="n">
        <v>6</v>
      </c>
      <c r="C7880" s="4" t="inlineStr">
        <is>
          <t>mule deer</t>
        </is>
      </c>
      <c r="D7880" s="4" t="n">
        <v>2013</v>
      </c>
      <c r="E7880" s="13" t="inlineStr">
        <is>
          <t>General</t>
        </is>
      </c>
      <c r="F7880" s="5" t="n">
        <v>1085</v>
      </c>
      <c r="G7880" s="5" t="n">
        <v>5715</v>
      </c>
      <c r="H7880" s="5" t="n">
        <v>328</v>
      </c>
      <c r="I7880" s="5" t="n">
        <v>237</v>
      </c>
      <c r="J7880" s="5" t="n">
        <v>89</v>
      </c>
      <c r="K7880" s="10">
        <f>IF(F7880&gt;0,H7880/F7880,"")</f>
        <v/>
      </c>
      <c r="L7880" s="16">
        <f>IF(AND(G7880&gt;0,H7880&gt;0),G7880/H7880,"")</f>
        <v/>
      </c>
    </row>
    <row r="7881">
      <c r="A7881" s="4" t="inlineStr">
        <is>
          <t>620</t>
        </is>
      </c>
      <c r="B7881" s="4" t="n">
        <v>6</v>
      </c>
      <c r="C7881" s="4" t="inlineStr">
        <is>
          <t>mule deer</t>
        </is>
      </c>
      <c r="D7881" s="4" t="n">
        <v>2014</v>
      </c>
      <c r="E7881" s="13" t="inlineStr">
        <is>
          <t>General</t>
        </is>
      </c>
      <c r="F7881" s="5" t="n"/>
      <c r="G7881" s="5" t="n"/>
      <c r="H7881" s="5" t="n">
        <v>413</v>
      </c>
      <c r="I7881" s="5" t="n">
        <v>404</v>
      </c>
      <c r="J7881" s="5" t="n">
        <v>9</v>
      </c>
      <c r="K7881" s="10">
        <f>IF(F7881&gt;0,H7881/F7881,"")</f>
        <v/>
      </c>
      <c r="L7881" s="16">
        <f>IF(AND(G7881&gt;0,H7881&gt;0),G7881/H7881,"")</f>
        <v/>
      </c>
    </row>
    <row r="7882">
      <c r="A7882" s="4" t="inlineStr">
        <is>
          <t>620</t>
        </is>
      </c>
      <c r="B7882" s="4" t="n">
        <v>6</v>
      </c>
      <c r="C7882" s="4" t="inlineStr">
        <is>
          <t>mule deer</t>
        </is>
      </c>
      <c r="D7882" s="4" t="n">
        <v>2015</v>
      </c>
      <c r="E7882" s="13" t="inlineStr">
        <is>
          <t>General</t>
        </is>
      </c>
      <c r="F7882" s="5" t="n"/>
      <c r="G7882" s="5" t="n"/>
      <c r="H7882" s="5" t="n">
        <v>583</v>
      </c>
      <c r="I7882" s="5" t="n">
        <v>557</v>
      </c>
      <c r="J7882" s="5" t="n">
        <v>26</v>
      </c>
      <c r="K7882" s="10">
        <f>IF(F7882&gt;0,H7882/F7882,"")</f>
        <v/>
      </c>
      <c r="L7882" s="16">
        <f>IF(AND(G7882&gt;0,H7882&gt;0),G7882/H7882,"")</f>
        <v/>
      </c>
    </row>
    <row r="7883">
      <c r="A7883" s="4" t="inlineStr">
        <is>
          <t>620</t>
        </is>
      </c>
      <c r="B7883" s="4" t="n">
        <v>6</v>
      </c>
      <c r="C7883" s="4" t="inlineStr">
        <is>
          <t>mule deer</t>
        </is>
      </c>
      <c r="D7883" s="4" t="n">
        <v>2016</v>
      </c>
      <c r="E7883" s="13" t="inlineStr">
        <is>
          <t>General</t>
        </is>
      </c>
      <c r="F7883" s="5" t="n"/>
      <c r="G7883" s="5" t="n"/>
      <c r="H7883" s="5" t="n">
        <v>665</v>
      </c>
      <c r="I7883" s="5" t="n">
        <v>592</v>
      </c>
      <c r="J7883" s="5" t="n">
        <v>73</v>
      </c>
      <c r="K7883" s="10">
        <f>IF(F7883&gt;0,H7883/F7883,"")</f>
        <v/>
      </c>
      <c r="L7883" s="16">
        <f>IF(AND(G7883&gt;0,H7883&gt;0),G7883/H7883,"")</f>
        <v/>
      </c>
    </row>
    <row r="7884">
      <c r="A7884" s="4" t="inlineStr">
        <is>
          <t>620</t>
        </is>
      </c>
      <c r="B7884" s="4" t="n">
        <v>6</v>
      </c>
      <c r="C7884" s="4" t="inlineStr">
        <is>
          <t>mule deer</t>
        </is>
      </c>
      <c r="D7884" s="4" t="n">
        <v>2017</v>
      </c>
      <c r="E7884" s="13" t="inlineStr">
        <is>
          <t>General</t>
        </is>
      </c>
      <c r="F7884" s="5" t="n">
        <v>1532</v>
      </c>
      <c r="G7884" s="5" t="n">
        <v>7931</v>
      </c>
      <c r="H7884" s="5" t="n">
        <v>882</v>
      </c>
      <c r="I7884" s="5" t="n">
        <v>711</v>
      </c>
      <c r="J7884" s="5" t="n">
        <v>167</v>
      </c>
      <c r="K7884" s="10">
        <f>IF(F7884&gt;0,H7884/F7884,"")</f>
        <v/>
      </c>
      <c r="L7884" s="16">
        <f>IF(AND(G7884&gt;0,H7884&gt;0),G7884/H7884,"")</f>
        <v/>
      </c>
    </row>
    <row r="7885">
      <c r="A7885" s="4" t="inlineStr">
        <is>
          <t>620</t>
        </is>
      </c>
      <c r="B7885" s="4" t="n">
        <v>6</v>
      </c>
      <c r="C7885" s="4" t="inlineStr">
        <is>
          <t>mule deer</t>
        </is>
      </c>
      <c r="D7885" s="4" t="n">
        <v>2018</v>
      </c>
      <c r="E7885" s="13" t="inlineStr">
        <is>
          <t>General</t>
        </is>
      </c>
      <c r="F7885" s="5" t="n"/>
      <c r="G7885" s="5" t="n"/>
      <c r="H7885" s="5" t="n">
        <v>744</v>
      </c>
      <c r="I7885" s="5" t="n">
        <v>640</v>
      </c>
      <c r="J7885" s="5" t="n">
        <v>104</v>
      </c>
      <c r="K7885" s="10">
        <f>IF(F7885&gt;0,H7885/F7885,"")</f>
        <v/>
      </c>
      <c r="L7885" s="16">
        <f>IF(AND(G7885&gt;0,H7885&gt;0),G7885/H7885,"")</f>
        <v/>
      </c>
    </row>
    <row r="7886">
      <c r="A7886" s="4" t="inlineStr">
        <is>
          <t>620</t>
        </is>
      </c>
      <c r="B7886" s="4" t="n">
        <v>6</v>
      </c>
      <c r="C7886" s="4" t="inlineStr">
        <is>
          <t>mule deer</t>
        </is>
      </c>
      <c r="D7886" s="4" t="n">
        <v>2019</v>
      </c>
      <c r="E7886" s="13" t="inlineStr">
        <is>
          <t>General</t>
        </is>
      </c>
      <c r="F7886" s="5" t="n">
        <v>1425</v>
      </c>
      <c r="G7886" s="5" t="n">
        <v>7358</v>
      </c>
      <c r="H7886" s="5" t="n">
        <v>692</v>
      </c>
      <c r="I7886" s="5" t="n">
        <v>552</v>
      </c>
      <c r="J7886" s="5" t="n">
        <v>136</v>
      </c>
      <c r="K7886" s="10">
        <f>IF(F7886&gt;0,H7886/F7886,"")</f>
        <v/>
      </c>
      <c r="L7886" s="16">
        <f>IF(AND(G7886&gt;0,H7886&gt;0),G7886/H7886,"")</f>
        <v/>
      </c>
    </row>
    <row r="7887">
      <c r="A7887" s="4" t="inlineStr">
        <is>
          <t>620</t>
        </is>
      </c>
      <c r="B7887" s="4" t="n">
        <v>6</v>
      </c>
      <c r="C7887" s="4" t="inlineStr">
        <is>
          <t>mule deer</t>
        </is>
      </c>
      <c r="D7887" s="4" t="n">
        <v>2020</v>
      </c>
      <c r="E7887" s="13" t="inlineStr">
        <is>
          <t>General</t>
        </is>
      </c>
      <c r="F7887" s="5" t="n"/>
      <c r="G7887" s="5" t="n"/>
      <c r="H7887" s="5" t="n">
        <v>1038</v>
      </c>
      <c r="I7887" s="5" t="n">
        <v>694</v>
      </c>
      <c r="J7887" s="5" t="n">
        <v>341</v>
      </c>
      <c r="K7887" s="10">
        <f>IF(F7887&gt;0,H7887/F7887,"")</f>
        <v/>
      </c>
      <c r="L7887" s="16">
        <f>IF(AND(G7887&gt;0,H7887&gt;0),G7887/H7887,"")</f>
        <v/>
      </c>
    </row>
    <row r="7888">
      <c r="A7888" s="4" t="inlineStr">
        <is>
          <t>620</t>
        </is>
      </c>
      <c r="B7888" s="4" t="n">
        <v>6</v>
      </c>
      <c r="C7888" s="4" t="inlineStr">
        <is>
          <t>mule deer</t>
        </is>
      </c>
      <c r="D7888" s="4" t="n">
        <v>2021</v>
      </c>
      <c r="E7888" s="13" t="inlineStr">
        <is>
          <t>General</t>
        </is>
      </c>
      <c r="F7888" s="5" t="n">
        <v>1760</v>
      </c>
      <c r="G7888" s="5" t="n">
        <v>9970</v>
      </c>
      <c r="H7888" s="5" t="n">
        <v>958</v>
      </c>
      <c r="I7888" s="5" t="n">
        <v>580</v>
      </c>
      <c r="J7888" s="5" t="n">
        <v>378</v>
      </c>
      <c r="K7888" s="10">
        <f>IF(F7888&gt;0,H7888/F7888,"")</f>
        <v/>
      </c>
      <c r="L7888" s="16">
        <f>IF(AND(G7888&gt;0,H7888&gt;0),G7888/H7888,"")</f>
        <v/>
      </c>
    </row>
    <row r="7889">
      <c r="A7889" s="4" t="inlineStr">
        <is>
          <t>620</t>
        </is>
      </c>
      <c r="B7889" s="4" t="n">
        <v>6</v>
      </c>
      <c r="C7889" s="4" t="inlineStr">
        <is>
          <t>mule deer</t>
        </is>
      </c>
      <c r="D7889" s="4" t="n">
        <v>2022</v>
      </c>
      <c r="E7889" s="13" t="inlineStr">
        <is>
          <t>General</t>
        </is>
      </c>
      <c r="F7889" s="5" t="n"/>
      <c r="G7889" s="5" t="n"/>
      <c r="H7889" s="5" t="n">
        <v>556</v>
      </c>
      <c r="I7889" s="5" t="n">
        <v>444</v>
      </c>
      <c r="J7889" s="5" t="n">
        <v>112</v>
      </c>
      <c r="K7889" s="10">
        <f>IF(F7889&gt;0,H7889/F7889,"")</f>
        <v/>
      </c>
      <c r="L7889" s="16">
        <f>IF(AND(G7889&gt;0,H7889&gt;0),G7889/H7889,"")</f>
        <v/>
      </c>
    </row>
    <row r="7890">
      <c r="A7890" s="4" t="inlineStr">
        <is>
          <t>620</t>
        </is>
      </c>
      <c r="B7890" s="4" t="n">
        <v>6</v>
      </c>
      <c r="C7890" s="4" t="inlineStr">
        <is>
          <t>mule deer</t>
        </is>
      </c>
      <c r="D7890" s="4" t="n">
        <v>2023</v>
      </c>
      <c r="E7890" s="13" t="inlineStr">
        <is>
          <t>General</t>
        </is>
      </c>
      <c r="F7890" s="5" t="n">
        <v>1326</v>
      </c>
      <c r="G7890" s="5" t="n">
        <v>7199</v>
      </c>
      <c r="H7890" s="5" t="n">
        <v>474</v>
      </c>
      <c r="I7890" s="5" t="n">
        <v>366</v>
      </c>
      <c r="J7890" s="5" t="n">
        <v>107</v>
      </c>
      <c r="K7890" s="10">
        <f>IF(F7890&gt;0,H7890/F7890,"")</f>
        <v/>
      </c>
      <c r="L7890" s="16">
        <f>IF(AND(G7890&gt;0,H7890&gt;0),G7890/H7890,"")</f>
        <v/>
      </c>
    </row>
    <row r="7891">
      <c r="A7891" s="4" t="inlineStr">
        <is>
          <t>620</t>
        </is>
      </c>
      <c r="B7891" s="4" t="n">
        <v>6</v>
      </c>
      <c r="C7891" s="4" t="inlineStr">
        <is>
          <t>mule deer</t>
        </is>
      </c>
      <c r="D7891" s="4" t="n">
        <v>2024</v>
      </c>
      <c r="E7891" s="13" t="inlineStr">
        <is>
          <t>General</t>
        </is>
      </c>
      <c r="F7891" s="5" t="n"/>
      <c r="G7891" s="5" t="n"/>
      <c r="H7891" s="5" t="n">
        <v>332</v>
      </c>
      <c r="I7891" s="5" t="n">
        <v>294</v>
      </c>
      <c r="J7891" s="5" t="n">
        <v>38</v>
      </c>
      <c r="K7891" s="10">
        <f>IF(F7891&gt;0,H7891/F7891,"")</f>
        <v/>
      </c>
      <c r="L7891" s="16">
        <f>IF(AND(G7891&gt;0,H7891&gt;0),G7891/H7891,"")</f>
        <v/>
      </c>
    </row>
    <row r="7892">
      <c r="A7892" s="4" t="inlineStr">
        <is>
          <t>620</t>
        </is>
      </c>
      <c r="B7892" s="4" t="n">
        <v>6</v>
      </c>
      <c r="C7892" s="4" t="inlineStr">
        <is>
          <t>mule deer</t>
        </is>
      </c>
      <c r="D7892" s="4" t="n">
        <v>2025</v>
      </c>
      <c r="E7892" s="13" t="inlineStr">
        <is>
          <t>General</t>
        </is>
      </c>
      <c r="F7892" s="5" t="n">
        <v>1199</v>
      </c>
      <c r="G7892" s="5" t="n">
        <v>6966</v>
      </c>
      <c r="H7892" s="5" t="n">
        <v>392</v>
      </c>
      <c r="I7892" s="5" t="n">
        <v>369</v>
      </c>
      <c r="J7892" s="5" t="n">
        <v>23</v>
      </c>
      <c r="K7892" s="10">
        <f>IF(F7892&gt;0,H7892/F7892,"")</f>
        <v/>
      </c>
      <c r="L7892" s="16">
        <f>IF(AND(G7892&gt;0,H7892&gt;0),G7892/H7892,"")</f>
        <v/>
      </c>
    </row>
    <row r="7893">
      <c r="A7893" s="4" t="inlineStr">
        <is>
          <t>621</t>
        </is>
      </c>
      <c r="B7893" s="4" t="n">
        <v>6</v>
      </c>
      <c r="C7893" s="4" t="inlineStr">
        <is>
          <t>mule deer</t>
        </is>
      </c>
      <c r="D7893" s="4" t="n">
        <v>2004</v>
      </c>
      <c r="E7893" s="13" t="inlineStr">
        <is>
          <t>General</t>
        </is>
      </c>
      <c r="F7893" s="5" t="n">
        <v>651</v>
      </c>
      <c r="G7893" s="5" t="n">
        <v>3406</v>
      </c>
      <c r="H7893" s="5" t="n">
        <v>277</v>
      </c>
      <c r="I7893" s="5" t="n">
        <v>250</v>
      </c>
      <c r="J7893" s="5" t="n">
        <v>26</v>
      </c>
      <c r="K7893" s="10">
        <f>IF(F7893&gt;0,H7893/F7893,"")</f>
        <v/>
      </c>
      <c r="L7893" s="16">
        <f>IF(AND(G7893&gt;0,H7893&gt;0),G7893/H7893,"")</f>
        <v/>
      </c>
    </row>
    <row r="7894">
      <c r="A7894" s="4" t="inlineStr">
        <is>
          <t>621</t>
        </is>
      </c>
      <c r="B7894" s="4" t="n">
        <v>6</v>
      </c>
      <c r="C7894" s="4" t="inlineStr">
        <is>
          <t>mule deer</t>
        </is>
      </c>
      <c r="D7894" s="4" t="n">
        <v>2005</v>
      </c>
      <c r="E7894" s="13" t="inlineStr">
        <is>
          <t>General</t>
        </is>
      </c>
      <c r="F7894" s="5" t="n">
        <v>751</v>
      </c>
      <c r="G7894" s="5" t="n">
        <v>4343</v>
      </c>
      <c r="H7894" s="5" t="n">
        <v>231</v>
      </c>
      <c r="I7894" s="5" t="n">
        <v>197</v>
      </c>
      <c r="J7894" s="5" t="n">
        <v>35</v>
      </c>
      <c r="K7894" s="10">
        <f>IF(F7894&gt;0,H7894/F7894,"")</f>
        <v/>
      </c>
      <c r="L7894" s="16">
        <f>IF(AND(G7894&gt;0,H7894&gt;0),G7894/H7894,"")</f>
        <v/>
      </c>
    </row>
    <row r="7895">
      <c r="A7895" s="4" t="inlineStr">
        <is>
          <t>621</t>
        </is>
      </c>
      <c r="B7895" s="4" t="n">
        <v>6</v>
      </c>
      <c r="C7895" s="4" t="inlineStr">
        <is>
          <t>mule deer</t>
        </is>
      </c>
      <c r="D7895" s="4" t="n">
        <v>2006</v>
      </c>
      <c r="E7895" s="13" t="inlineStr">
        <is>
          <t>General</t>
        </is>
      </c>
      <c r="F7895" s="5" t="n">
        <v>831</v>
      </c>
      <c r="G7895" s="5" t="n">
        <v>4692</v>
      </c>
      <c r="H7895" s="5" t="n">
        <v>223</v>
      </c>
      <c r="I7895" s="5" t="n">
        <v>205</v>
      </c>
      <c r="J7895" s="5" t="n">
        <v>18</v>
      </c>
      <c r="K7895" s="10">
        <f>IF(F7895&gt;0,H7895/F7895,"")</f>
        <v/>
      </c>
      <c r="L7895" s="16">
        <f>IF(AND(G7895&gt;0,H7895&gt;0),G7895/H7895,"")</f>
        <v/>
      </c>
    </row>
    <row r="7896">
      <c r="A7896" s="4" t="inlineStr">
        <is>
          <t>621</t>
        </is>
      </c>
      <c r="B7896" s="4" t="n">
        <v>6</v>
      </c>
      <c r="C7896" s="4" t="inlineStr">
        <is>
          <t>mule deer</t>
        </is>
      </c>
      <c r="D7896" s="4" t="n">
        <v>2007</v>
      </c>
      <c r="E7896" s="13" t="inlineStr">
        <is>
          <t>General</t>
        </is>
      </c>
      <c r="F7896" s="5" t="n">
        <v>792</v>
      </c>
      <c r="G7896" s="5" t="n">
        <v>4916</v>
      </c>
      <c r="H7896" s="5" t="n">
        <v>240</v>
      </c>
      <c r="I7896" s="5" t="n">
        <v>207</v>
      </c>
      <c r="J7896" s="5" t="n">
        <v>33</v>
      </c>
      <c r="K7896" s="10">
        <f>IF(F7896&gt;0,H7896/F7896,"")</f>
        <v/>
      </c>
      <c r="L7896" s="16">
        <f>IF(AND(G7896&gt;0,H7896&gt;0),G7896/H7896,"")</f>
        <v/>
      </c>
    </row>
    <row r="7897">
      <c r="A7897" s="4" t="inlineStr">
        <is>
          <t>621</t>
        </is>
      </c>
      <c r="B7897" s="4" t="n">
        <v>6</v>
      </c>
      <c r="C7897" s="4" t="inlineStr">
        <is>
          <t>mule deer</t>
        </is>
      </c>
      <c r="D7897" s="4" t="n">
        <v>2008</v>
      </c>
      <c r="E7897" s="13" t="inlineStr">
        <is>
          <t>General</t>
        </is>
      </c>
      <c r="F7897" s="5" t="n">
        <v>843</v>
      </c>
      <c r="G7897" s="5" t="n">
        <v>4709</v>
      </c>
      <c r="H7897" s="5" t="n">
        <v>192</v>
      </c>
      <c r="I7897" s="5" t="n">
        <v>177</v>
      </c>
      <c r="J7897" s="5" t="n">
        <v>15</v>
      </c>
      <c r="K7897" s="10">
        <f>IF(F7897&gt;0,H7897/F7897,"")</f>
        <v/>
      </c>
      <c r="L7897" s="16">
        <f>IF(AND(G7897&gt;0,H7897&gt;0),G7897/H7897,"")</f>
        <v/>
      </c>
    </row>
    <row r="7898">
      <c r="A7898" s="4" t="inlineStr">
        <is>
          <t>621</t>
        </is>
      </c>
      <c r="B7898" s="4" t="n">
        <v>6</v>
      </c>
      <c r="C7898" s="4" t="inlineStr">
        <is>
          <t>mule deer</t>
        </is>
      </c>
      <c r="D7898" s="4" t="n">
        <v>2009</v>
      </c>
      <c r="E7898" s="13" t="inlineStr">
        <is>
          <t>General</t>
        </is>
      </c>
      <c r="F7898" s="5" t="n">
        <v>857</v>
      </c>
      <c r="G7898" s="5" t="n">
        <v>4611</v>
      </c>
      <c r="H7898" s="5" t="n">
        <v>247</v>
      </c>
      <c r="I7898" s="5" t="n">
        <v>198</v>
      </c>
      <c r="J7898" s="5" t="n">
        <v>49</v>
      </c>
      <c r="K7898" s="10">
        <f>IF(F7898&gt;0,H7898/F7898,"")</f>
        <v/>
      </c>
      <c r="L7898" s="16">
        <f>IF(AND(G7898&gt;0,H7898&gt;0),G7898/H7898,"")</f>
        <v/>
      </c>
    </row>
    <row r="7899">
      <c r="A7899" s="4" t="inlineStr">
        <is>
          <t>621</t>
        </is>
      </c>
      <c r="B7899" s="4" t="n">
        <v>6</v>
      </c>
      <c r="C7899" s="4" t="inlineStr">
        <is>
          <t>mule deer</t>
        </is>
      </c>
      <c r="D7899" s="4" t="n">
        <v>2010</v>
      </c>
      <c r="E7899" s="13" t="inlineStr">
        <is>
          <t>General</t>
        </is>
      </c>
      <c r="F7899" s="5" t="n">
        <v>852</v>
      </c>
      <c r="G7899" s="5" t="n">
        <v>4300</v>
      </c>
      <c r="H7899" s="5" t="n">
        <v>259</v>
      </c>
      <c r="I7899" s="5" t="n">
        <v>215</v>
      </c>
      <c r="J7899" s="5" t="n">
        <v>45</v>
      </c>
      <c r="K7899" s="10">
        <f>IF(F7899&gt;0,H7899/F7899,"")</f>
        <v/>
      </c>
      <c r="L7899" s="16">
        <f>IF(AND(G7899&gt;0,H7899&gt;0),G7899/H7899,"")</f>
        <v/>
      </c>
    </row>
    <row r="7900">
      <c r="A7900" s="4" t="inlineStr">
        <is>
          <t>621</t>
        </is>
      </c>
      <c r="B7900" s="4" t="n">
        <v>6</v>
      </c>
      <c r="C7900" s="4" t="inlineStr">
        <is>
          <t>mule deer</t>
        </is>
      </c>
      <c r="D7900" s="4" t="n">
        <v>2011</v>
      </c>
      <c r="E7900" s="13" t="inlineStr">
        <is>
          <t>General</t>
        </is>
      </c>
      <c r="F7900" s="5" t="n">
        <v>833</v>
      </c>
      <c r="G7900" s="5" t="n">
        <v>4529</v>
      </c>
      <c r="H7900" s="5" t="n">
        <v>202</v>
      </c>
      <c r="I7900" s="5" t="n">
        <v>188</v>
      </c>
      <c r="J7900" s="5" t="n">
        <v>11</v>
      </c>
      <c r="K7900" s="10">
        <f>IF(F7900&gt;0,H7900/F7900,"")</f>
        <v/>
      </c>
      <c r="L7900" s="16">
        <f>IF(AND(G7900&gt;0,H7900&gt;0),G7900/H7900,"")</f>
        <v/>
      </c>
    </row>
    <row r="7901">
      <c r="A7901" s="4" t="inlineStr">
        <is>
          <t>621</t>
        </is>
      </c>
      <c r="B7901" s="4" t="n">
        <v>6</v>
      </c>
      <c r="C7901" s="4" t="inlineStr">
        <is>
          <t>mule deer</t>
        </is>
      </c>
      <c r="D7901" s="4" t="n">
        <v>2012</v>
      </c>
      <c r="E7901" s="13" t="inlineStr">
        <is>
          <t>General</t>
        </is>
      </c>
      <c r="F7901" s="5" t="n"/>
      <c r="G7901" s="5" t="n"/>
      <c r="H7901" s="5" t="n">
        <v>188</v>
      </c>
      <c r="I7901" s="5" t="n">
        <v>130</v>
      </c>
      <c r="J7901" s="5" t="n">
        <v>58</v>
      </c>
      <c r="K7901" s="10">
        <f>IF(F7901&gt;0,H7901/F7901,"")</f>
        <v/>
      </c>
      <c r="L7901" s="16">
        <f>IF(AND(G7901&gt;0,H7901&gt;0),G7901/H7901,"")</f>
        <v/>
      </c>
    </row>
    <row r="7902">
      <c r="A7902" s="4" t="inlineStr">
        <is>
          <t>621</t>
        </is>
      </c>
      <c r="B7902" s="4" t="n">
        <v>6</v>
      </c>
      <c r="C7902" s="4" t="inlineStr">
        <is>
          <t>mule deer</t>
        </is>
      </c>
      <c r="D7902" s="4" t="n">
        <v>2013</v>
      </c>
      <c r="E7902" s="13" t="inlineStr">
        <is>
          <t>General</t>
        </is>
      </c>
      <c r="F7902" s="5" t="n">
        <v>815</v>
      </c>
      <c r="G7902" s="5" t="n">
        <v>4665</v>
      </c>
      <c r="H7902" s="5" t="n">
        <v>217</v>
      </c>
      <c r="I7902" s="5" t="n">
        <v>191</v>
      </c>
      <c r="J7902" s="5" t="n">
        <v>23</v>
      </c>
      <c r="K7902" s="10">
        <f>IF(F7902&gt;0,H7902/F7902,"")</f>
        <v/>
      </c>
      <c r="L7902" s="16">
        <f>IF(AND(G7902&gt;0,H7902&gt;0),G7902/H7902,"")</f>
        <v/>
      </c>
    </row>
    <row r="7903">
      <c r="A7903" s="4" t="inlineStr">
        <is>
          <t>621</t>
        </is>
      </c>
      <c r="B7903" s="4" t="n">
        <v>6</v>
      </c>
      <c r="C7903" s="4" t="inlineStr">
        <is>
          <t>mule deer</t>
        </is>
      </c>
      <c r="D7903" s="4" t="n">
        <v>2014</v>
      </c>
      <c r="E7903" s="13" t="inlineStr">
        <is>
          <t>General</t>
        </is>
      </c>
      <c r="F7903" s="5" t="n"/>
      <c r="G7903" s="5" t="n"/>
      <c r="H7903" s="5" t="n">
        <v>206</v>
      </c>
      <c r="I7903" s="5" t="n">
        <v>206</v>
      </c>
      <c r="J7903" s="5" t="n">
        <v>0</v>
      </c>
      <c r="K7903" s="10">
        <f>IF(F7903&gt;0,H7903/F7903,"")</f>
        <v/>
      </c>
      <c r="L7903" s="16">
        <f>IF(AND(G7903&gt;0,H7903&gt;0),G7903/H7903,"")</f>
        <v/>
      </c>
    </row>
    <row r="7904">
      <c r="A7904" s="4" t="inlineStr">
        <is>
          <t>621</t>
        </is>
      </c>
      <c r="B7904" s="4" t="n">
        <v>6</v>
      </c>
      <c r="C7904" s="4" t="inlineStr">
        <is>
          <t>mule deer</t>
        </is>
      </c>
      <c r="D7904" s="4" t="n">
        <v>2015</v>
      </c>
      <c r="E7904" s="13" t="inlineStr">
        <is>
          <t>General</t>
        </is>
      </c>
      <c r="F7904" s="5" t="n"/>
      <c r="G7904" s="5" t="n"/>
      <c r="H7904" s="5" t="n">
        <v>368</v>
      </c>
      <c r="I7904" s="5" t="n">
        <v>368</v>
      </c>
      <c r="J7904" s="5" t="n">
        <v>0</v>
      </c>
      <c r="K7904" s="10">
        <f>IF(F7904&gt;0,H7904/F7904,"")</f>
        <v/>
      </c>
      <c r="L7904" s="16">
        <f>IF(AND(G7904&gt;0,H7904&gt;0),G7904/H7904,"")</f>
        <v/>
      </c>
    </row>
    <row r="7905">
      <c r="A7905" s="4" t="inlineStr">
        <is>
          <t>621</t>
        </is>
      </c>
      <c r="B7905" s="4" t="n">
        <v>6</v>
      </c>
      <c r="C7905" s="4" t="inlineStr">
        <is>
          <t>mule deer</t>
        </is>
      </c>
      <c r="D7905" s="4" t="n">
        <v>2016</v>
      </c>
      <c r="E7905" s="13" t="inlineStr">
        <is>
          <t>General</t>
        </is>
      </c>
      <c r="F7905" s="5" t="n"/>
      <c r="G7905" s="5" t="n"/>
      <c r="H7905" s="5" t="n">
        <v>437</v>
      </c>
      <c r="I7905" s="5" t="n">
        <v>415</v>
      </c>
      <c r="J7905" s="5" t="n">
        <v>15</v>
      </c>
      <c r="K7905" s="10">
        <f>IF(F7905&gt;0,H7905/F7905,"")</f>
        <v/>
      </c>
      <c r="L7905" s="16">
        <f>IF(AND(G7905&gt;0,H7905&gt;0),G7905/H7905,"")</f>
        <v/>
      </c>
    </row>
    <row r="7906">
      <c r="A7906" s="4" t="inlineStr">
        <is>
          <t>621</t>
        </is>
      </c>
      <c r="B7906" s="4" t="n">
        <v>6</v>
      </c>
      <c r="C7906" s="4" t="inlineStr">
        <is>
          <t>mule deer</t>
        </is>
      </c>
      <c r="D7906" s="4" t="n">
        <v>2017</v>
      </c>
      <c r="E7906" s="13" t="inlineStr">
        <is>
          <t>General</t>
        </is>
      </c>
      <c r="F7906" s="5" t="n">
        <v>900</v>
      </c>
      <c r="G7906" s="5" t="n">
        <v>5331</v>
      </c>
      <c r="H7906" s="5" t="n">
        <v>435</v>
      </c>
      <c r="I7906" s="5" t="n">
        <v>417</v>
      </c>
      <c r="J7906" s="5" t="n">
        <v>18</v>
      </c>
      <c r="K7906" s="10">
        <f>IF(F7906&gt;0,H7906/F7906,"")</f>
        <v/>
      </c>
      <c r="L7906" s="16">
        <f>IF(AND(G7906&gt;0,H7906&gt;0),G7906/H7906,"")</f>
        <v/>
      </c>
    </row>
    <row r="7907">
      <c r="A7907" s="4" t="inlineStr">
        <is>
          <t>621</t>
        </is>
      </c>
      <c r="B7907" s="4" t="n">
        <v>6</v>
      </c>
      <c r="C7907" s="4" t="inlineStr">
        <is>
          <t>mule deer</t>
        </is>
      </c>
      <c r="D7907" s="4" t="n">
        <v>2018</v>
      </c>
      <c r="E7907" s="13" t="inlineStr">
        <is>
          <t>General</t>
        </is>
      </c>
      <c r="F7907" s="5" t="n"/>
      <c r="G7907" s="5" t="n"/>
      <c r="H7907" s="5" t="n">
        <v>416</v>
      </c>
      <c r="I7907" s="5" t="n">
        <v>360</v>
      </c>
      <c r="J7907" s="5" t="n">
        <v>52</v>
      </c>
      <c r="K7907" s="10">
        <f>IF(F7907&gt;0,H7907/F7907,"")</f>
        <v/>
      </c>
      <c r="L7907" s="16">
        <f>IF(AND(G7907&gt;0,H7907&gt;0),G7907/H7907,"")</f>
        <v/>
      </c>
    </row>
    <row r="7908">
      <c r="A7908" s="4" t="inlineStr">
        <is>
          <t>621</t>
        </is>
      </c>
      <c r="B7908" s="4" t="n">
        <v>6</v>
      </c>
      <c r="C7908" s="4" t="inlineStr">
        <is>
          <t>mule deer</t>
        </is>
      </c>
      <c r="D7908" s="4" t="n">
        <v>2019</v>
      </c>
      <c r="E7908" s="13" t="inlineStr">
        <is>
          <t>General</t>
        </is>
      </c>
      <c r="F7908" s="5" t="n">
        <v>966</v>
      </c>
      <c r="G7908" s="5" t="n">
        <v>5502</v>
      </c>
      <c r="H7908" s="5" t="n">
        <v>518</v>
      </c>
      <c r="I7908" s="5" t="n">
        <v>427</v>
      </c>
      <c r="J7908" s="5" t="n">
        <v>91</v>
      </c>
      <c r="K7908" s="10">
        <f>IF(F7908&gt;0,H7908/F7908,"")</f>
        <v/>
      </c>
      <c r="L7908" s="16">
        <f>IF(AND(G7908&gt;0,H7908&gt;0),G7908/H7908,"")</f>
        <v/>
      </c>
    </row>
    <row r="7909">
      <c r="A7909" s="4" t="inlineStr">
        <is>
          <t>621</t>
        </is>
      </c>
      <c r="B7909" s="4" t="n">
        <v>6</v>
      </c>
      <c r="C7909" s="4" t="inlineStr">
        <is>
          <t>mule deer</t>
        </is>
      </c>
      <c r="D7909" s="4" t="n">
        <v>2020</v>
      </c>
      <c r="E7909" s="13" t="inlineStr">
        <is>
          <t>General</t>
        </is>
      </c>
      <c r="F7909" s="5" t="n"/>
      <c r="G7909" s="5" t="n"/>
      <c r="H7909" s="5" t="n">
        <v>483</v>
      </c>
      <c r="I7909" s="5" t="n">
        <v>392</v>
      </c>
      <c r="J7909" s="5" t="n">
        <v>91</v>
      </c>
      <c r="K7909" s="10">
        <f>IF(F7909&gt;0,H7909/F7909,"")</f>
        <v/>
      </c>
      <c r="L7909" s="16">
        <f>IF(AND(G7909&gt;0,H7909&gt;0),G7909/H7909,"")</f>
        <v/>
      </c>
    </row>
    <row r="7910">
      <c r="A7910" s="4" t="inlineStr">
        <is>
          <t>621</t>
        </is>
      </c>
      <c r="B7910" s="4" t="n">
        <v>6</v>
      </c>
      <c r="C7910" s="4" t="inlineStr">
        <is>
          <t>mule deer</t>
        </is>
      </c>
      <c r="D7910" s="4" t="n">
        <v>2021</v>
      </c>
      <c r="E7910" s="13" t="inlineStr">
        <is>
          <t>General</t>
        </is>
      </c>
      <c r="F7910" s="5" t="n">
        <v>1035</v>
      </c>
      <c r="G7910" s="5" t="n">
        <v>5980</v>
      </c>
      <c r="H7910" s="5" t="n">
        <v>403</v>
      </c>
      <c r="I7910" s="5" t="n">
        <v>297</v>
      </c>
      <c r="J7910" s="5" t="n">
        <v>107</v>
      </c>
      <c r="K7910" s="10">
        <f>IF(F7910&gt;0,H7910/F7910,"")</f>
        <v/>
      </c>
      <c r="L7910" s="16">
        <f>IF(AND(G7910&gt;0,H7910&gt;0),G7910/H7910,"")</f>
        <v/>
      </c>
    </row>
    <row r="7911">
      <c r="A7911" s="4" t="inlineStr">
        <is>
          <t>621</t>
        </is>
      </c>
      <c r="B7911" s="4" t="n">
        <v>6</v>
      </c>
      <c r="C7911" s="4" t="inlineStr">
        <is>
          <t>mule deer</t>
        </is>
      </c>
      <c r="D7911" s="4" t="n">
        <v>2022</v>
      </c>
      <c r="E7911" s="13" t="inlineStr">
        <is>
          <t>General</t>
        </is>
      </c>
      <c r="F7911" s="5" t="n"/>
      <c r="G7911" s="5" t="n"/>
      <c r="H7911" s="5" t="n">
        <v>218</v>
      </c>
      <c r="I7911" s="5" t="n">
        <v>184</v>
      </c>
      <c r="J7911" s="5" t="n">
        <v>34</v>
      </c>
      <c r="K7911" s="10">
        <f>IF(F7911&gt;0,H7911/F7911,"")</f>
        <v/>
      </c>
      <c r="L7911" s="16">
        <f>IF(AND(G7911&gt;0,H7911&gt;0),G7911/H7911,"")</f>
        <v/>
      </c>
    </row>
    <row r="7912">
      <c r="A7912" s="4" t="inlineStr">
        <is>
          <t>621</t>
        </is>
      </c>
      <c r="B7912" s="4" t="n">
        <v>6</v>
      </c>
      <c r="C7912" s="4" t="inlineStr">
        <is>
          <t>mule deer</t>
        </is>
      </c>
      <c r="D7912" s="4" t="n">
        <v>2023</v>
      </c>
      <c r="E7912" s="13" t="inlineStr">
        <is>
          <t>General</t>
        </is>
      </c>
      <c r="F7912" s="5" t="n">
        <v>824</v>
      </c>
      <c r="G7912" s="5" t="n">
        <v>4743</v>
      </c>
      <c r="H7912" s="5" t="n">
        <v>242</v>
      </c>
      <c r="I7912" s="5" t="n">
        <v>227</v>
      </c>
      <c r="J7912" s="5" t="n">
        <v>15</v>
      </c>
      <c r="K7912" s="10">
        <f>IF(F7912&gt;0,H7912/F7912,"")</f>
        <v/>
      </c>
      <c r="L7912" s="16">
        <f>IF(AND(G7912&gt;0,H7912&gt;0),G7912/H7912,"")</f>
        <v/>
      </c>
    </row>
    <row r="7913">
      <c r="A7913" s="4" t="inlineStr">
        <is>
          <t>621</t>
        </is>
      </c>
      <c r="B7913" s="4" t="n">
        <v>6</v>
      </c>
      <c r="C7913" s="4" t="inlineStr">
        <is>
          <t>mule deer</t>
        </is>
      </c>
      <c r="D7913" s="4" t="n">
        <v>2024</v>
      </c>
      <c r="E7913" s="13" t="inlineStr">
        <is>
          <t>General</t>
        </is>
      </c>
      <c r="F7913" s="5" t="n"/>
      <c r="G7913" s="5" t="n"/>
      <c r="H7913" s="5" t="n">
        <v>260</v>
      </c>
      <c r="I7913" s="5" t="n">
        <v>260</v>
      </c>
      <c r="J7913" s="5" t="n">
        <v>0</v>
      </c>
      <c r="K7913" s="10">
        <f>IF(F7913&gt;0,H7913/F7913,"")</f>
        <v/>
      </c>
      <c r="L7913" s="16">
        <f>IF(AND(G7913&gt;0,H7913&gt;0),G7913/H7913,"")</f>
        <v/>
      </c>
    </row>
    <row r="7914">
      <c r="A7914" s="4" t="inlineStr">
        <is>
          <t>621</t>
        </is>
      </c>
      <c r="B7914" s="4" t="n">
        <v>6</v>
      </c>
      <c r="C7914" s="4" t="inlineStr">
        <is>
          <t>mule deer</t>
        </is>
      </c>
      <c r="D7914" s="4" t="n">
        <v>2025</v>
      </c>
      <c r="E7914" s="13" t="inlineStr">
        <is>
          <t>General</t>
        </is>
      </c>
      <c r="F7914" s="5" t="n">
        <v>764</v>
      </c>
      <c r="G7914" s="5" t="n">
        <v>5003</v>
      </c>
      <c r="H7914" s="5" t="n">
        <v>229</v>
      </c>
      <c r="I7914" s="5" t="n">
        <v>217</v>
      </c>
      <c r="J7914" s="5" t="n">
        <v>12</v>
      </c>
      <c r="K7914" s="10">
        <f>IF(F7914&gt;0,H7914/F7914,"")</f>
        <v/>
      </c>
      <c r="L7914" s="16">
        <f>IF(AND(G7914&gt;0,H7914&gt;0),G7914/H7914,"")</f>
        <v/>
      </c>
    </row>
    <row r="7915">
      <c r="A7915" s="4" t="inlineStr">
        <is>
          <t>622</t>
        </is>
      </c>
      <c r="B7915" s="4" t="n">
        <v>6</v>
      </c>
      <c r="C7915" s="4" t="inlineStr">
        <is>
          <t>mule deer</t>
        </is>
      </c>
      <c r="D7915" s="4" t="n">
        <v>2004</v>
      </c>
      <c r="E7915" s="13" t="inlineStr">
        <is>
          <t>General</t>
        </is>
      </c>
      <c r="F7915" s="5" t="n">
        <v>380</v>
      </c>
      <c r="G7915" s="5" t="n">
        <v>1801</v>
      </c>
      <c r="H7915" s="5" t="n">
        <v>140</v>
      </c>
      <c r="I7915" s="5" t="n">
        <v>111</v>
      </c>
      <c r="J7915" s="5" t="n">
        <v>29</v>
      </c>
      <c r="K7915" s="10">
        <f>IF(F7915&gt;0,H7915/F7915,"")</f>
        <v/>
      </c>
      <c r="L7915" s="16">
        <f>IF(AND(G7915&gt;0,H7915&gt;0),G7915/H7915,"")</f>
        <v/>
      </c>
    </row>
    <row r="7916">
      <c r="A7916" s="4" t="inlineStr">
        <is>
          <t>622</t>
        </is>
      </c>
      <c r="B7916" s="4" t="n">
        <v>6</v>
      </c>
      <c r="C7916" s="4" t="inlineStr">
        <is>
          <t>mule deer</t>
        </is>
      </c>
      <c r="D7916" s="4" t="n">
        <v>2005</v>
      </c>
      <c r="E7916" s="13" t="inlineStr">
        <is>
          <t>General</t>
        </is>
      </c>
      <c r="F7916" s="5" t="n">
        <v>429</v>
      </c>
      <c r="G7916" s="5" t="n">
        <v>2369</v>
      </c>
      <c r="H7916" s="5" t="n">
        <v>117</v>
      </c>
      <c r="I7916" s="5" t="n">
        <v>103</v>
      </c>
      <c r="J7916" s="5" t="n">
        <v>12</v>
      </c>
      <c r="K7916" s="10">
        <f>IF(F7916&gt;0,H7916/F7916,"")</f>
        <v/>
      </c>
      <c r="L7916" s="16">
        <f>IF(AND(G7916&gt;0,H7916&gt;0),G7916/H7916,"")</f>
        <v/>
      </c>
    </row>
    <row r="7917">
      <c r="A7917" s="4" t="inlineStr">
        <is>
          <t>622</t>
        </is>
      </c>
      <c r="B7917" s="4" t="n">
        <v>6</v>
      </c>
      <c r="C7917" s="4" t="inlineStr">
        <is>
          <t>mule deer</t>
        </is>
      </c>
      <c r="D7917" s="4" t="n">
        <v>2006</v>
      </c>
      <c r="E7917" s="13" t="inlineStr">
        <is>
          <t>General</t>
        </is>
      </c>
      <c r="F7917" s="5" t="n">
        <v>370</v>
      </c>
      <c r="G7917" s="5" t="n">
        <v>1709</v>
      </c>
      <c r="H7917" s="5" t="n">
        <v>106</v>
      </c>
      <c r="I7917" s="5" t="n">
        <v>94</v>
      </c>
      <c r="J7917" s="5" t="n">
        <v>12</v>
      </c>
      <c r="K7917" s="10">
        <f>IF(F7917&gt;0,H7917/F7917,"")</f>
        <v/>
      </c>
      <c r="L7917" s="16">
        <f>IF(AND(G7917&gt;0,H7917&gt;0),G7917/H7917,"")</f>
        <v/>
      </c>
    </row>
    <row r="7918">
      <c r="A7918" s="4" t="inlineStr">
        <is>
          <t>622</t>
        </is>
      </c>
      <c r="B7918" s="4" t="n">
        <v>6</v>
      </c>
      <c r="C7918" s="4" t="inlineStr">
        <is>
          <t>mule deer</t>
        </is>
      </c>
      <c r="D7918" s="4" t="n">
        <v>2007</v>
      </c>
      <c r="E7918" s="13" t="inlineStr">
        <is>
          <t>General</t>
        </is>
      </c>
      <c r="F7918" s="5" t="n">
        <v>533</v>
      </c>
      <c r="G7918" s="5" t="n">
        <v>3245</v>
      </c>
      <c r="H7918" s="5" t="n">
        <v>151</v>
      </c>
      <c r="I7918" s="5" t="n">
        <v>144</v>
      </c>
      <c r="J7918" s="5" t="n">
        <v>7</v>
      </c>
      <c r="K7918" s="10">
        <f>IF(F7918&gt;0,H7918/F7918,"")</f>
        <v/>
      </c>
      <c r="L7918" s="16">
        <f>IF(AND(G7918&gt;0,H7918&gt;0),G7918/H7918,"")</f>
        <v/>
      </c>
    </row>
    <row r="7919">
      <c r="A7919" s="4" t="inlineStr">
        <is>
          <t>622</t>
        </is>
      </c>
      <c r="B7919" s="4" t="n">
        <v>6</v>
      </c>
      <c r="C7919" s="4" t="inlineStr">
        <is>
          <t>mule deer</t>
        </is>
      </c>
      <c r="D7919" s="4" t="n">
        <v>2008</v>
      </c>
      <c r="E7919" s="13" t="inlineStr">
        <is>
          <t>General</t>
        </is>
      </c>
      <c r="F7919" s="5" t="n">
        <v>540</v>
      </c>
      <c r="G7919" s="5" t="n">
        <v>3030</v>
      </c>
      <c r="H7919" s="5" t="n">
        <v>158</v>
      </c>
      <c r="I7919" s="5" t="n">
        <v>129</v>
      </c>
      <c r="J7919" s="5" t="n">
        <v>27</v>
      </c>
      <c r="K7919" s="10">
        <f>IF(F7919&gt;0,H7919/F7919,"")</f>
        <v/>
      </c>
      <c r="L7919" s="16">
        <f>IF(AND(G7919&gt;0,H7919&gt;0),G7919/H7919,"")</f>
        <v/>
      </c>
    </row>
    <row r="7920">
      <c r="A7920" s="4" t="inlineStr">
        <is>
          <t>622</t>
        </is>
      </c>
      <c r="B7920" s="4" t="n">
        <v>6</v>
      </c>
      <c r="C7920" s="4" t="inlineStr">
        <is>
          <t>mule deer</t>
        </is>
      </c>
      <c r="D7920" s="4" t="n">
        <v>2009</v>
      </c>
      <c r="E7920" s="13" t="inlineStr">
        <is>
          <t>General</t>
        </is>
      </c>
      <c r="F7920" s="5" t="n">
        <v>534</v>
      </c>
      <c r="G7920" s="5" t="n">
        <v>3105</v>
      </c>
      <c r="H7920" s="5" t="n">
        <v>186</v>
      </c>
      <c r="I7920" s="5" t="n">
        <v>139</v>
      </c>
      <c r="J7920" s="5" t="n">
        <v>40</v>
      </c>
      <c r="K7920" s="10">
        <f>IF(F7920&gt;0,H7920/F7920,"")</f>
        <v/>
      </c>
      <c r="L7920" s="16">
        <f>IF(AND(G7920&gt;0,H7920&gt;0),G7920/H7920,"")</f>
        <v/>
      </c>
    </row>
    <row r="7921">
      <c r="A7921" s="4" t="inlineStr">
        <is>
          <t>622</t>
        </is>
      </c>
      <c r="B7921" s="4" t="n">
        <v>6</v>
      </c>
      <c r="C7921" s="4" t="inlineStr">
        <is>
          <t>mule deer</t>
        </is>
      </c>
      <c r="D7921" s="4" t="n">
        <v>2010</v>
      </c>
      <c r="E7921" s="13" t="inlineStr">
        <is>
          <t>General</t>
        </is>
      </c>
      <c r="F7921" s="5" t="n">
        <v>547</v>
      </c>
      <c r="G7921" s="5" t="n">
        <v>2926</v>
      </c>
      <c r="H7921" s="5" t="n">
        <v>160</v>
      </c>
      <c r="I7921" s="5" t="n">
        <v>134</v>
      </c>
      <c r="J7921" s="5" t="n">
        <v>23</v>
      </c>
      <c r="K7921" s="10">
        <f>IF(F7921&gt;0,H7921/F7921,"")</f>
        <v/>
      </c>
      <c r="L7921" s="16">
        <f>IF(AND(G7921&gt;0,H7921&gt;0),G7921/H7921,"")</f>
        <v/>
      </c>
    </row>
    <row r="7922">
      <c r="A7922" s="4" t="inlineStr">
        <is>
          <t>622</t>
        </is>
      </c>
      <c r="B7922" s="4" t="n">
        <v>6</v>
      </c>
      <c r="C7922" s="4" t="inlineStr">
        <is>
          <t>mule deer</t>
        </is>
      </c>
      <c r="D7922" s="4" t="n">
        <v>2011</v>
      </c>
      <c r="E7922" s="13" t="inlineStr">
        <is>
          <t>General</t>
        </is>
      </c>
      <c r="F7922" s="5" t="n">
        <v>545</v>
      </c>
      <c r="G7922" s="5" t="n">
        <v>2948</v>
      </c>
      <c r="H7922" s="5" t="n">
        <v>124</v>
      </c>
      <c r="I7922" s="5" t="n">
        <v>97</v>
      </c>
      <c r="J7922" s="5" t="n">
        <v>27</v>
      </c>
      <c r="K7922" s="10">
        <f>IF(F7922&gt;0,H7922/F7922,"")</f>
        <v/>
      </c>
      <c r="L7922" s="16">
        <f>IF(AND(G7922&gt;0,H7922&gt;0),G7922/H7922,"")</f>
        <v/>
      </c>
    </row>
    <row r="7923">
      <c r="A7923" s="4" t="inlineStr">
        <is>
          <t>622</t>
        </is>
      </c>
      <c r="B7923" s="4" t="n">
        <v>6</v>
      </c>
      <c r="C7923" s="4" t="inlineStr">
        <is>
          <t>mule deer</t>
        </is>
      </c>
      <c r="D7923" s="4" t="n">
        <v>2012</v>
      </c>
      <c r="E7923" s="13" t="inlineStr">
        <is>
          <t>General</t>
        </is>
      </c>
      <c r="F7923" s="5" t="n"/>
      <c r="G7923" s="5" t="n"/>
      <c r="H7923" s="5" t="n">
        <v>74</v>
      </c>
      <c r="I7923" s="5" t="n">
        <v>55</v>
      </c>
      <c r="J7923" s="5" t="n">
        <v>16</v>
      </c>
      <c r="K7923" s="10">
        <f>IF(F7923&gt;0,H7923/F7923,"")</f>
        <v/>
      </c>
      <c r="L7923" s="16">
        <f>IF(AND(G7923&gt;0,H7923&gt;0),G7923/H7923,"")</f>
        <v/>
      </c>
    </row>
    <row r="7924">
      <c r="A7924" s="4" t="inlineStr">
        <is>
          <t>622</t>
        </is>
      </c>
      <c r="B7924" s="4" t="n">
        <v>6</v>
      </c>
      <c r="C7924" s="4" t="inlineStr">
        <is>
          <t>mule deer</t>
        </is>
      </c>
      <c r="D7924" s="4" t="n">
        <v>2013</v>
      </c>
      <c r="E7924" s="13" t="inlineStr">
        <is>
          <t>General</t>
        </is>
      </c>
      <c r="F7924" s="5" t="n">
        <v>369</v>
      </c>
      <c r="G7924" s="5" t="n">
        <v>1979</v>
      </c>
      <c r="H7924" s="5" t="n">
        <v>65</v>
      </c>
      <c r="I7924" s="5" t="n">
        <v>56</v>
      </c>
      <c r="J7924" s="5" t="n">
        <v>9</v>
      </c>
      <c r="K7924" s="10">
        <f>IF(F7924&gt;0,H7924/F7924,"")</f>
        <v/>
      </c>
      <c r="L7924" s="16">
        <f>IF(AND(G7924&gt;0,H7924&gt;0),G7924/H7924,"")</f>
        <v/>
      </c>
    </row>
    <row r="7925">
      <c r="A7925" s="4" t="inlineStr">
        <is>
          <t>622</t>
        </is>
      </c>
      <c r="B7925" s="4" t="n">
        <v>6</v>
      </c>
      <c r="C7925" s="4" t="inlineStr">
        <is>
          <t>mule deer</t>
        </is>
      </c>
      <c r="D7925" s="4" t="n">
        <v>2014</v>
      </c>
      <c r="E7925" s="13" t="inlineStr">
        <is>
          <t>General</t>
        </is>
      </c>
      <c r="F7925" s="5" t="n"/>
      <c r="G7925" s="5" t="n"/>
      <c r="H7925" s="5" t="n">
        <v>62</v>
      </c>
      <c r="I7925" s="5" t="n">
        <v>62</v>
      </c>
      <c r="J7925" s="5" t="n">
        <v>0</v>
      </c>
      <c r="K7925" s="10">
        <f>IF(F7925&gt;0,H7925/F7925,"")</f>
        <v/>
      </c>
      <c r="L7925" s="16">
        <f>IF(AND(G7925&gt;0,H7925&gt;0),G7925/H7925,"")</f>
        <v/>
      </c>
    </row>
    <row r="7926">
      <c r="A7926" s="4" t="inlineStr">
        <is>
          <t>622</t>
        </is>
      </c>
      <c r="B7926" s="4" t="n">
        <v>6</v>
      </c>
      <c r="C7926" s="4" t="inlineStr">
        <is>
          <t>mule deer</t>
        </is>
      </c>
      <c r="D7926" s="4" t="n">
        <v>2015</v>
      </c>
      <c r="E7926" s="13" t="inlineStr">
        <is>
          <t>General</t>
        </is>
      </c>
      <c r="F7926" s="5" t="n"/>
      <c r="G7926" s="5" t="n"/>
      <c r="H7926" s="5" t="n">
        <v>143</v>
      </c>
      <c r="I7926" s="5" t="n">
        <v>143</v>
      </c>
      <c r="J7926" s="5" t="n">
        <v>0</v>
      </c>
      <c r="K7926" s="10">
        <f>IF(F7926&gt;0,H7926/F7926,"")</f>
        <v/>
      </c>
      <c r="L7926" s="16">
        <f>IF(AND(G7926&gt;0,H7926&gt;0),G7926/H7926,"")</f>
        <v/>
      </c>
    </row>
    <row r="7927">
      <c r="A7927" s="4" t="inlineStr">
        <is>
          <t>622</t>
        </is>
      </c>
      <c r="B7927" s="4" t="n">
        <v>6</v>
      </c>
      <c r="C7927" s="4" t="inlineStr">
        <is>
          <t>mule deer</t>
        </is>
      </c>
      <c r="D7927" s="4" t="n">
        <v>2016</v>
      </c>
      <c r="E7927" s="13" t="inlineStr">
        <is>
          <t>General</t>
        </is>
      </c>
      <c r="F7927" s="5" t="n"/>
      <c r="G7927" s="5" t="n"/>
      <c r="H7927" s="5" t="n">
        <v>173</v>
      </c>
      <c r="I7927" s="5" t="n">
        <v>169</v>
      </c>
      <c r="J7927" s="5" t="n">
        <v>3</v>
      </c>
      <c r="K7927" s="10">
        <f>IF(F7927&gt;0,H7927/F7927,"")</f>
        <v/>
      </c>
      <c r="L7927" s="16">
        <f>IF(AND(G7927&gt;0,H7927&gt;0),G7927/H7927,"")</f>
        <v/>
      </c>
    </row>
    <row r="7928">
      <c r="A7928" s="4" t="inlineStr">
        <is>
          <t>622</t>
        </is>
      </c>
      <c r="B7928" s="4" t="n">
        <v>6</v>
      </c>
      <c r="C7928" s="4" t="inlineStr">
        <is>
          <t>mule deer</t>
        </is>
      </c>
      <c r="D7928" s="4" t="n">
        <v>2017</v>
      </c>
      <c r="E7928" s="13" t="inlineStr">
        <is>
          <t>General</t>
        </is>
      </c>
      <c r="F7928" s="5" t="n">
        <v>556</v>
      </c>
      <c r="G7928" s="5" t="n">
        <v>3227</v>
      </c>
      <c r="H7928" s="5" t="n">
        <v>239</v>
      </c>
      <c r="I7928" s="5" t="n">
        <v>231</v>
      </c>
      <c r="J7928" s="5" t="n">
        <v>8</v>
      </c>
      <c r="K7928" s="10">
        <f>IF(F7928&gt;0,H7928/F7928,"")</f>
        <v/>
      </c>
      <c r="L7928" s="16">
        <f>IF(AND(G7928&gt;0,H7928&gt;0),G7928/H7928,"")</f>
        <v/>
      </c>
    </row>
    <row r="7929">
      <c r="A7929" s="4" t="inlineStr">
        <is>
          <t>622</t>
        </is>
      </c>
      <c r="B7929" s="4" t="n">
        <v>6</v>
      </c>
      <c r="C7929" s="4" t="inlineStr">
        <is>
          <t>mule deer</t>
        </is>
      </c>
      <c r="D7929" s="4" t="n">
        <v>2018</v>
      </c>
      <c r="E7929" s="13" t="inlineStr">
        <is>
          <t>General</t>
        </is>
      </c>
      <c r="F7929" s="5" t="n"/>
      <c r="G7929" s="5" t="n"/>
      <c r="H7929" s="5" t="n">
        <v>203</v>
      </c>
      <c r="I7929" s="5" t="n">
        <v>177</v>
      </c>
      <c r="J7929" s="5" t="n">
        <v>26</v>
      </c>
      <c r="K7929" s="10">
        <f>IF(F7929&gt;0,H7929/F7929,"")</f>
        <v/>
      </c>
      <c r="L7929" s="16">
        <f>IF(AND(G7929&gt;0,H7929&gt;0),G7929/H7929,"")</f>
        <v/>
      </c>
    </row>
    <row r="7930">
      <c r="A7930" s="4" t="inlineStr">
        <is>
          <t>622</t>
        </is>
      </c>
      <c r="B7930" s="4" t="n">
        <v>6</v>
      </c>
      <c r="C7930" s="4" t="inlineStr">
        <is>
          <t>mule deer</t>
        </is>
      </c>
      <c r="D7930" s="4" t="n">
        <v>2019</v>
      </c>
      <c r="E7930" s="13" t="inlineStr">
        <is>
          <t>General</t>
        </is>
      </c>
      <c r="F7930" s="5" t="n">
        <v>437</v>
      </c>
      <c r="G7930" s="5" t="n">
        <v>2181</v>
      </c>
      <c r="H7930" s="5" t="n">
        <v>204</v>
      </c>
      <c r="I7930" s="5" t="n">
        <v>193</v>
      </c>
      <c r="J7930" s="5" t="n">
        <v>11</v>
      </c>
      <c r="K7930" s="10">
        <f>IF(F7930&gt;0,H7930/F7930,"")</f>
        <v/>
      </c>
      <c r="L7930" s="16">
        <f>IF(AND(G7930&gt;0,H7930&gt;0),G7930/H7930,"")</f>
        <v/>
      </c>
    </row>
    <row r="7931">
      <c r="A7931" s="4" t="inlineStr">
        <is>
          <t>622</t>
        </is>
      </c>
      <c r="B7931" s="4" t="n">
        <v>6</v>
      </c>
      <c r="C7931" s="4" t="inlineStr">
        <is>
          <t>mule deer</t>
        </is>
      </c>
      <c r="D7931" s="4" t="n">
        <v>2020</v>
      </c>
      <c r="E7931" s="13" t="inlineStr">
        <is>
          <t>General</t>
        </is>
      </c>
      <c r="F7931" s="5" t="n"/>
      <c r="G7931" s="5" t="n"/>
      <c r="H7931" s="5" t="n">
        <v>262</v>
      </c>
      <c r="I7931" s="5" t="n">
        <v>244</v>
      </c>
      <c r="J7931" s="5" t="n">
        <v>19</v>
      </c>
      <c r="K7931" s="10">
        <f>IF(F7931&gt;0,H7931/F7931,"")</f>
        <v/>
      </c>
      <c r="L7931" s="16">
        <f>IF(AND(G7931&gt;0,H7931&gt;0),G7931/H7931,"")</f>
        <v/>
      </c>
    </row>
    <row r="7932">
      <c r="A7932" s="4" t="inlineStr">
        <is>
          <t>622</t>
        </is>
      </c>
      <c r="B7932" s="4" t="n">
        <v>6</v>
      </c>
      <c r="C7932" s="4" t="inlineStr">
        <is>
          <t>mule deer</t>
        </is>
      </c>
      <c r="D7932" s="4" t="n">
        <v>2021</v>
      </c>
      <c r="E7932" s="13" t="inlineStr">
        <is>
          <t>General</t>
        </is>
      </c>
      <c r="F7932" s="5" t="n">
        <v>633</v>
      </c>
      <c r="G7932" s="5" t="n">
        <v>3156</v>
      </c>
      <c r="H7932" s="5" t="n">
        <v>250</v>
      </c>
      <c r="I7932" s="5" t="n">
        <v>198</v>
      </c>
      <c r="J7932" s="5" t="n">
        <v>51</v>
      </c>
      <c r="K7932" s="10">
        <f>IF(F7932&gt;0,H7932/F7932,"")</f>
        <v/>
      </c>
      <c r="L7932" s="16">
        <f>IF(AND(G7932&gt;0,H7932&gt;0),G7932/H7932,"")</f>
        <v/>
      </c>
    </row>
    <row r="7933">
      <c r="A7933" s="4" t="inlineStr">
        <is>
          <t>622</t>
        </is>
      </c>
      <c r="B7933" s="4" t="n">
        <v>6</v>
      </c>
      <c r="C7933" s="4" t="inlineStr">
        <is>
          <t>mule deer</t>
        </is>
      </c>
      <c r="D7933" s="4" t="n">
        <v>2022</v>
      </c>
      <c r="E7933" s="13" t="inlineStr">
        <is>
          <t>General</t>
        </is>
      </c>
      <c r="F7933" s="5" t="n"/>
      <c r="G7933" s="5" t="n"/>
      <c r="H7933" s="5" t="n">
        <v>124</v>
      </c>
      <c r="I7933" s="5" t="n">
        <v>112</v>
      </c>
      <c r="J7933" s="5" t="n">
        <v>11</v>
      </c>
      <c r="K7933" s="10">
        <f>IF(F7933&gt;0,H7933/F7933,"")</f>
        <v/>
      </c>
      <c r="L7933" s="16">
        <f>IF(AND(G7933&gt;0,H7933&gt;0),G7933/H7933,"")</f>
        <v/>
      </c>
    </row>
    <row r="7934">
      <c r="A7934" s="4" t="inlineStr">
        <is>
          <t>622</t>
        </is>
      </c>
      <c r="B7934" s="4" t="n">
        <v>6</v>
      </c>
      <c r="C7934" s="4" t="inlineStr">
        <is>
          <t>mule deer</t>
        </is>
      </c>
      <c r="D7934" s="4" t="n">
        <v>2023</v>
      </c>
      <c r="E7934" s="13" t="inlineStr">
        <is>
          <t>General</t>
        </is>
      </c>
      <c r="F7934" s="5" t="n">
        <v>475</v>
      </c>
      <c r="G7934" s="5" t="n">
        <v>2343</v>
      </c>
      <c r="H7934" s="5" t="n">
        <v>167</v>
      </c>
      <c r="I7934" s="5" t="n">
        <v>162</v>
      </c>
      <c r="J7934" s="5" t="n">
        <v>5</v>
      </c>
      <c r="K7934" s="10">
        <f>IF(F7934&gt;0,H7934/F7934,"")</f>
        <v/>
      </c>
      <c r="L7934" s="16">
        <f>IF(AND(G7934&gt;0,H7934&gt;0),G7934/H7934,"")</f>
        <v/>
      </c>
    </row>
    <row r="7935">
      <c r="A7935" s="4" t="inlineStr">
        <is>
          <t>622</t>
        </is>
      </c>
      <c r="B7935" s="4" t="n">
        <v>6</v>
      </c>
      <c r="C7935" s="4" t="inlineStr">
        <is>
          <t>mule deer</t>
        </is>
      </c>
      <c r="D7935" s="4" t="n">
        <v>2024</v>
      </c>
      <c r="E7935" s="13" t="inlineStr">
        <is>
          <t>General</t>
        </is>
      </c>
      <c r="F7935" s="5" t="n"/>
      <c r="G7935" s="5" t="n"/>
      <c r="H7935" s="5" t="n">
        <v>127</v>
      </c>
      <c r="I7935" s="5" t="n">
        <v>124</v>
      </c>
      <c r="J7935" s="5" t="n">
        <v>3</v>
      </c>
      <c r="K7935" s="10">
        <f>IF(F7935&gt;0,H7935/F7935,"")</f>
        <v/>
      </c>
      <c r="L7935" s="16">
        <f>IF(AND(G7935&gt;0,H7935&gt;0),G7935/H7935,"")</f>
        <v/>
      </c>
    </row>
    <row r="7936">
      <c r="A7936" s="4" t="inlineStr">
        <is>
          <t>622</t>
        </is>
      </c>
      <c r="B7936" s="4" t="n">
        <v>6</v>
      </c>
      <c r="C7936" s="4" t="inlineStr">
        <is>
          <t>mule deer</t>
        </is>
      </c>
      <c r="D7936" s="4" t="n">
        <v>2025</v>
      </c>
      <c r="E7936" s="13" t="inlineStr">
        <is>
          <t>General</t>
        </is>
      </c>
      <c r="F7936" s="5" t="n">
        <v>434</v>
      </c>
      <c r="G7936" s="5" t="n">
        <v>2493</v>
      </c>
      <c r="H7936" s="5" t="n">
        <v>75</v>
      </c>
      <c r="I7936" s="5" t="n">
        <v>72</v>
      </c>
      <c r="J7936" s="5" t="n">
        <v>3</v>
      </c>
      <c r="K7936" s="10">
        <f>IF(F7936&gt;0,H7936/F7936,"")</f>
        <v/>
      </c>
      <c r="L7936" s="16">
        <f>IF(AND(G7936&gt;0,H7936&gt;0),G7936/H7936,"")</f>
        <v/>
      </c>
    </row>
    <row r="7937">
      <c r="A7937" s="4" t="inlineStr">
        <is>
          <t>630</t>
        </is>
      </c>
      <c r="B7937" s="4" t="n">
        <v>6</v>
      </c>
      <c r="C7937" s="4" t="inlineStr">
        <is>
          <t>mule deer</t>
        </is>
      </c>
      <c r="D7937" s="4" t="n">
        <v>2004</v>
      </c>
      <c r="E7937" s="13" t="inlineStr">
        <is>
          <t>General</t>
        </is>
      </c>
      <c r="F7937" s="5" t="n">
        <v>1616</v>
      </c>
      <c r="G7937" s="5" t="n">
        <v>7630</v>
      </c>
      <c r="H7937" s="5" t="n">
        <v>607</v>
      </c>
      <c r="I7937" s="5" t="n">
        <v>360</v>
      </c>
      <c r="J7937" s="5" t="n">
        <v>233</v>
      </c>
      <c r="K7937" s="10">
        <f>IF(F7937&gt;0,H7937/F7937,"")</f>
        <v/>
      </c>
      <c r="L7937" s="16">
        <f>IF(AND(G7937&gt;0,H7937&gt;0),G7937/H7937,"")</f>
        <v/>
      </c>
    </row>
    <row r="7938">
      <c r="A7938" s="4" t="inlineStr">
        <is>
          <t>630</t>
        </is>
      </c>
      <c r="B7938" s="4" t="n">
        <v>6</v>
      </c>
      <c r="C7938" s="4" t="inlineStr">
        <is>
          <t>mule deer</t>
        </is>
      </c>
      <c r="D7938" s="4" t="n">
        <v>2005</v>
      </c>
      <c r="E7938" s="13" t="inlineStr">
        <is>
          <t>General</t>
        </is>
      </c>
      <c r="F7938" s="5" t="n">
        <v>1595</v>
      </c>
      <c r="G7938" s="5" t="n">
        <v>8023</v>
      </c>
      <c r="H7938" s="5" t="n">
        <v>707</v>
      </c>
      <c r="I7938" s="5" t="n">
        <v>457</v>
      </c>
      <c r="J7938" s="5" t="n">
        <v>241</v>
      </c>
      <c r="K7938" s="10">
        <f>IF(F7938&gt;0,H7938/F7938,"")</f>
        <v/>
      </c>
      <c r="L7938" s="16">
        <f>IF(AND(G7938&gt;0,H7938&gt;0),G7938/H7938,"")</f>
        <v/>
      </c>
    </row>
    <row r="7939">
      <c r="A7939" s="4" t="inlineStr">
        <is>
          <t>630</t>
        </is>
      </c>
      <c r="B7939" s="4" t="n">
        <v>6</v>
      </c>
      <c r="C7939" s="4" t="inlineStr">
        <is>
          <t>mule deer</t>
        </is>
      </c>
      <c r="D7939" s="4" t="n">
        <v>2006</v>
      </c>
      <c r="E7939" s="13" t="inlineStr">
        <is>
          <t>General</t>
        </is>
      </c>
      <c r="F7939" s="5" t="n">
        <v>1335</v>
      </c>
      <c r="G7939" s="5" t="n">
        <v>6970</v>
      </c>
      <c r="H7939" s="5" t="n">
        <v>752</v>
      </c>
      <c r="I7939" s="5" t="n">
        <v>392</v>
      </c>
      <c r="J7939" s="5" t="n">
        <v>353</v>
      </c>
      <c r="K7939" s="10">
        <f>IF(F7939&gt;0,H7939/F7939,"")</f>
        <v/>
      </c>
      <c r="L7939" s="16">
        <f>IF(AND(G7939&gt;0,H7939&gt;0),G7939/H7939,"")</f>
        <v/>
      </c>
    </row>
    <row r="7940">
      <c r="A7940" s="4" t="inlineStr">
        <is>
          <t>630</t>
        </is>
      </c>
      <c r="B7940" s="4" t="n">
        <v>6</v>
      </c>
      <c r="C7940" s="4" t="inlineStr">
        <is>
          <t>mule deer</t>
        </is>
      </c>
      <c r="D7940" s="4" t="n">
        <v>2007</v>
      </c>
      <c r="E7940" s="13" t="inlineStr">
        <is>
          <t>General</t>
        </is>
      </c>
      <c r="F7940" s="5" t="n">
        <v>1796</v>
      </c>
      <c r="G7940" s="5" t="n">
        <v>9648</v>
      </c>
      <c r="H7940" s="5" t="n">
        <v>834</v>
      </c>
      <c r="I7940" s="5" t="n">
        <v>456</v>
      </c>
      <c r="J7940" s="5" t="n">
        <v>376</v>
      </c>
      <c r="K7940" s="10">
        <f>IF(F7940&gt;0,H7940/F7940,"")</f>
        <v/>
      </c>
      <c r="L7940" s="16">
        <f>IF(AND(G7940&gt;0,H7940&gt;0),G7940/H7940,"")</f>
        <v/>
      </c>
    </row>
    <row r="7941">
      <c r="A7941" s="4" t="inlineStr">
        <is>
          <t>630</t>
        </is>
      </c>
      <c r="B7941" s="4" t="n">
        <v>6</v>
      </c>
      <c r="C7941" s="4" t="inlineStr">
        <is>
          <t>mule deer</t>
        </is>
      </c>
      <c r="D7941" s="4" t="n">
        <v>2008</v>
      </c>
      <c r="E7941" s="13" t="inlineStr">
        <is>
          <t>General</t>
        </is>
      </c>
      <c r="F7941" s="5" t="n">
        <v>1649</v>
      </c>
      <c r="G7941" s="5" t="n">
        <v>8002</v>
      </c>
      <c r="H7941" s="5" t="n">
        <v>855</v>
      </c>
      <c r="I7941" s="5" t="n">
        <v>397</v>
      </c>
      <c r="J7941" s="5" t="n">
        <v>449</v>
      </c>
      <c r="K7941" s="10">
        <f>IF(F7941&gt;0,H7941/F7941,"")</f>
        <v/>
      </c>
      <c r="L7941" s="16">
        <f>IF(AND(G7941&gt;0,H7941&gt;0),G7941/H7941,"")</f>
        <v/>
      </c>
    </row>
    <row r="7942">
      <c r="A7942" s="4" t="inlineStr">
        <is>
          <t>630</t>
        </is>
      </c>
      <c r="B7942" s="4" t="n">
        <v>6</v>
      </c>
      <c r="C7942" s="4" t="inlineStr">
        <is>
          <t>mule deer</t>
        </is>
      </c>
      <c r="D7942" s="4" t="n">
        <v>2009</v>
      </c>
      <c r="E7942" s="13" t="inlineStr">
        <is>
          <t>General</t>
        </is>
      </c>
      <c r="F7942" s="5" t="n">
        <v>1963</v>
      </c>
      <c r="G7942" s="5" t="n">
        <v>9716</v>
      </c>
      <c r="H7942" s="5" t="n">
        <v>1058</v>
      </c>
      <c r="I7942" s="5" t="n">
        <v>397</v>
      </c>
      <c r="J7942" s="5" t="n">
        <v>642</v>
      </c>
      <c r="K7942" s="10">
        <f>IF(F7942&gt;0,H7942/F7942,"")</f>
        <v/>
      </c>
      <c r="L7942" s="16">
        <f>IF(AND(G7942&gt;0,H7942&gt;0),G7942/H7942,"")</f>
        <v/>
      </c>
    </row>
    <row r="7943">
      <c r="A7943" s="4" t="inlineStr">
        <is>
          <t>630</t>
        </is>
      </c>
      <c r="B7943" s="4" t="n">
        <v>6</v>
      </c>
      <c r="C7943" s="4" t="inlineStr">
        <is>
          <t>mule deer</t>
        </is>
      </c>
      <c r="D7943" s="4" t="n">
        <v>2010</v>
      </c>
      <c r="E7943" s="13" t="inlineStr">
        <is>
          <t>General</t>
        </is>
      </c>
      <c r="F7943" s="5" t="n">
        <v>2086</v>
      </c>
      <c r="G7943" s="5" t="n">
        <v>11307</v>
      </c>
      <c r="H7943" s="5" t="n">
        <v>855</v>
      </c>
      <c r="I7943" s="5" t="n">
        <v>412</v>
      </c>
      <c r="J7943" s="5" t="n">
        <v>436</v>
      </c>
      <c r="K7943" s="10">
        <f>IF(F7943&gt;0,H7943/F7943,"")</f>
        <v/>
      </c>
      <c r="L7943" s="16">
        <f>IF(AND(G7943&gt;0,H7943&gt;0),G7943/H7943,"")</f>
        <v/>
      </c>
    </row>
    <row r="7944">
      <c r="A7944" s="4" t="inlineStr">
        <is>
          <t>630</t>
        </is>
      </c>
      <c r="B7944" s="4" t="n">
        <v>6</v>
      </c>
      <c r="C7944" s="4" t="inlineStr">
        <is>
          <t>mule deer</t>
        </is>
      </c>
      <c r="D7944" s="4" t="n">
        <v>2011</v>
      </c>
      <c r="E7944" s="13" t="inlineStr">
        <is>
          <t>General</t>
        </is>
      </c>
      <c r="F7944" s="5" t="n">
        <v>959</v>
      </c>
      <c r="G7944" s="5" t="n">
        <v>4478</v>
      </c>
      <c r="H7944" s="5" t="n">
        <v>306</v>
      </c>
      <c r="I7944" s="5" t="n">
        <v>229</v>
      </c>
      <c r="J7944" s="5" t="n">
        <v>77</v>
      </c>
      <c r="K7944" s="10">
        <f>IF(F7944&gt;0,H7944/F7944,"")</f>
        <v/>
      </c>
      <c r="L7944" s="16">
        <f>IF(AND(G7944&gt;0,H7944&gt;0),G7944/H7944,"")</f>
        <v/>
      </c>
    </row>
    <row r="7945">
      <c r="A7945" s="4" t="inlineStr">
        <is>
          <t>630</t>
        </is>
      </c>
      <c r="B7945" s="4" t="n">
        <v>6</v>
      </c>
      <c r="C7945" s="4" t="inlineStr">
        <is>
          <t>mule deer</t>
        </is>
      </c>
      <c r="D7945" s="4" t="n">
        <v>2012</v>
      </c>
      <c r="E7945" s="13" t="inlineStr">
        <is>
          <t>General</t>
        </is>
      </c>
      <c r="F7945" s="5" t="n"/>
      <c r="G7945" s="5" t="n"/>
      <c r="H7945" s="5" t="n">
        <v>293</v>
      </c>
      <c r="I7945" s="5" t="n">
        <v>216</v>
      </c>
      <c r="J7945" s="5" t="n">
        <v>77</v>
      </c>
      <c r="K7945" s="10">
        <f>IF(F7945&gt;0,H7945/F7945,"")</f>
        <v/>
      </c>
      <c r="L7945" s="16">
        <f>IF(AND(G7945&gt;0,H7945&gt;0),G7945/H7945,"")</f>
        <v/>
      </c>
    </row>
    <row r="7946">
      <c r="A7946" s="4" t="inlineStr">
        <is>
          <t>630</t>
        </is>
      </c>
      <c r="B7946" s="4" t="n">
        <v>6</v>
      </c>
      <c r="C7946" s="4" t="inlineStr">
        <is>
          <t>mule deer</t>
        </is>
      </c>
      <c r="D7946" s="4" t="n">
        <v>2013</v>
      </c>
      <c r="E7946" s="13" t="inlineStr">
        <is>
          <t>General</t>
        </is>
      </c>
      <c r="F7946" s="5" t="n">
        <v>839</v>
      </c>
      <c r="G7946" s="5" t="n">
        <v>4089</v>
      </c>
      <c r="H7946" s="5" t="n">
        <v>280</v>
      </c>
      <c r="I7946" s="5" t="n">
        <v>204</v>
      </c>
      <c r="J7946" s="5" t="n">
        <v>75</v>
      </c>
      <c r="K7946" s="10">
        <f>IF(F7946&gt;0,H7946/F7946,"")</f>
        <v/>
      </c>
      <c r="L7946" s="16">
        <f>IF(AND(G7946&gt;0,H7946&gt;0),G7946/H7946,"")</f>
        <v/>
      </c>
    </row>
    <row r="7947">
      <c r="A7947" s="4" t="inlineStr">
        <is>
          <t>630</t>
        </is>
      </c>
      <c r="B7947" s="4" t="n">
        <v>6</v>
      </c>
      <c r="C7947" s="4" t="inlineStr">
        <is>
          <t>mule deer</t>
        </is>
      </c>
      <c r="D7947" s="4" t="n">
        <v>2014</v>
      </c>
      <c r="E7947" s="13" t="inlineStr">
        <is>
          <t>General</t>
        </is>
      </c>
      <c r="F7947" s="5" t="n"/>
      <c r="G7947" s="5" t="n"/>
      <c r="H7947" s="5" t="n">
        <v>224</v>
      </c>
      <c r="I7947" s="5" t="n">
        <v>224</v>
      </c>
      <c r="J7947" s="5" t="n">
        <v>0</v>
      </c>
      <c r="K7947" s="10">
        <f>IF(F7947&gt;0,H7947/F7947,"")</f>
        <v/>
      </c>
      <c r="L7947" s="16">
        <f>IF(AND(G7947&gt;0,H7947&gt;0),G7947/H7947,"")</f>
        <v/>
      </c>
    </row>
    <row r="7948">
      <c r="A7948" s="4" t="inlineStr">
        <is>
          <t>630</t>
        </is>
      </c>
      <c r="B7948" s="4" t="n">
        <v>6</v>
      </c>
      <c r="C7948" s="4" t="inlineStr">
        <is>
          <t>mule deer</t>
        </is>
      </c>
      <c r="D7948" s="4" t="n">
        <v>2015</v>
      </c>
      <c r="E7948" s="13" t="inlineStr">
        <is>
          <t>General</t>
        </is>
      </c>
      <c r="F7948" s="5" t="n"/>
      <c r="G7948" s="5" t="n"/>
      <c r="H7948" s="5" t="n">
        <v>485</v>
      </c>
      <c r="I7948" s="5" t="n">
        <v>471</v>
      </c>
      <c r="J7948" s="5" t="n">
        <v>9</v>
      </c>
      <c r="K7948" s="10">
        <f>IF(F7948&gt;0,H7948/F7948,"")</f>
        <v/>
      </c>
      <c r="L7948" s="16">
        <f>IF(AND(G7948&gt;0,H7948&gt;0),G7948/H7948,"")</f>
        <v/>
      </c>
    </row>
    <row r="7949">
      <c r="A7949" s="4" t="inlineStr">
        <is>
          <t>630</t>
        </is>
      </c>
      <c r="B7949" s="4" t="n">
        <v>6</v>
      </c>
      <c r="C7949" s="4" t="inlineStr">
        <is>
          <t>mule deer</t>
        </is>
      </c>
      <c r="D7949" s="4" t="n">
        <v>2016</v>
      </c>
      <c r="E7949" s="13" t="inlineStr">
        <is>
          <t>General</t>
        </is>
      </c>
      <c r="F7949" s="5" t="n"/>
      <c r="G7949" s="5" t="n"/>
      <c r="H7949" s="5" t="n">
        <v>602</v>
      </c>
      <c r="I7949" s="5" t="n">
        <v>535</v>
      </c>
      <c r="J7949" s="5" t="n">
        <v>64</v>
      </c>
      <c r="K7949" s="10">
        <f>IF(F7949&gt;0,H7949/F7949,"")</f>
        <v/>
      </c>
      <c r="L7949" s="16">
        <f>IF(AND(G7949&gt;0,H7949&gt;0),G7949/H7949,"")</f>
        <v/>
      </c>
    </row>
    <row r="7950">
      <c r="A7950" s="4" t="inlineStr">
        <is>
          <t>630</t>
        </is>
      </c>
      <c r="B7950" s="4" t="n">
        <v>6</v>
      </c>
      <c r="C7950" s="4" t="inlineStr">
        <is>
          <t>mule deer</t>
        </is>
      </c>
      <c r="D7950" s="4" t="n">
        <v>2017</v>
      </c>
      <c r="E7950" s="13" t="inlineStr">
        <is>
          <t>General</t>
        </is>
      </c>
      <c r="F7950" s="5" t="n">
        <v>1503</v>
      </c>
      <c r="G7950" s="5" t="n">
        <v>8053</v>
      </c>
      <c r="H7950" s="5" t="n">
        <v>929</v>
      </c>
      <c r="I7950" s="5" t="n">
        <v>669</v>
      </c>
      <c r="J7950" s="5" t="n">
        <v>255</v>
      </c>
      <c r="K7950" s="10">
        <f>IF(F7950&gt;0,H7950/F7950,"")</f>
        <v/>
      </c>
      <c r="L7950" s="16">
        <f>IF(AND(G7950&gt;0,H7950&gt;0),G7950/H7950,"")</f>
        <v/>
      </c>
    </row>
    <row r="7951">
      <c r="A7951" s="4" t="inlineStr">
        <is>
          <t>630</t>
        </is>
      </c>
      <c r="B7951" s="4" t="n">
        <v>6</v>
      </c>
      <c r="C7951" s="4" t="inlineStr">
        <is>
          <t>mule deer</t>
        </is>
      </c>
      <c r="D7951" s="4" t="n">
        <v>2018</v>
      </c>
      <c r="E7951" s="13" t="inlineStr">
        <is>
          <t>General</t>
        </is>
      </c>
      <c r="F7951" s="5" t="n"/>
      <c r="G7951" s="5" t="n"/>
      <c r="H7951" s="5" t="n">
        <v>808</v>
      </c>
      <c r="I7951" s="5" t="n">
        <v>548</v>
      </c>
      <c r="J7951" s="5" t="n">
        <v>259</v>
      </c>
      <c r="K7951" s="10">
        <f>IF(F7951&gt;0,H7951/F7951,"")</f>
        <v/>
      </c>
      <c r="L7951" s="16">
        <f>IF(AND(G7951&gt;0,H7951&gt;0),G7951/H7951,"")</f>
        <v/>
      </c>
    </row>
    <row r="7952">
      <c r="A7952" s="4" t="inlineStr">
        <is>
          <t>630</t>
        </is>
      </c>
      <c r="B7952" s="4" t="n">
        <v>6</v>
      </c>
      <c r="C7952" s="4" t="inlineStr">
        <is>
          <t>mule deer</t>
        </is>
      </c>
      <c r="D7952" s="4" t="n">
        <v>2019</v>
      </c>
      <c r="E7952" s="13" t="inlineStr">
        <is>
          <t>General</t>
        </is>
      </c>
      <c r="F7952" s="5" t="n">
        <v>1486</v>
      </c>
      <c r="G7952" s="5" t="n">
        <v>7600</v>
      </c>
      <c r="H7952" s="5" t="n">
        <v>930</v>
      </c>
      <c r="I7952" s="5" t="n">
        <v>672</v>
      </c>
      <c r="J7952" s="5" t="n">
        <v>258</v>
      </c>
      <c r="K7952" s="10">
        <f>IF(F7952&gt;0,H7952/F7952,"")</f>
        <v/>
      </c>
      <c r="L7952" s="16">
        <f>IF(AND(G7952&gt;0,H7952&gt;0),G7952/H7952,"")</f>
        <v/>
      </c>
    </row>
    <row r="7953">
      <c r="A7953" s="4" t="inlineStr">
        <is>
          <t>630</t>
        </is>
      </c>
      <c r="B7953" s="4" t="n">
        <v>6</v>
      </c>
      <c r="C7953" s="4" t="inlineStr">
        <is>
          <t>mule deer</t>
        </is>
      </c>
      <c r="D7953" s="4" t="n">
        <v>2020</v>
      </c>
      <c r="E7953" s="13" t="inlineStr">
        <is>
          <t>General</t>
        </is>
      </c>
      <c r="F7953" s="5" t="n"/>
      <c r="G7953" s="5" t="n"/>
      <c r="H7953" s="5" t="n">
        <v>947</v>
      </c>
      <c r="I7953" s="5" t="n">
        <v>697</v>
      </c>
      <c r="J7953" s="5" t="n">
        <v>250</v>
      </c>
      <c r="K7953" s="10">
        <f>IF(F7953&gt;0,H7953/F7953,"")</f>
        <v/>
      </c>
      <c r="L7953" s="16">
        <f>IF(AND(G7953&gt;0,H7953&gt;0),G7953/H7953,"")</f>
        <v/>
      </c>
    </row>
    <row r="7954">
      <c r="A7954" s="4" t="inlineStr">
        <is>
          <t>630</t>
        </is>
      </c>
      <c r="B7954" s="4" t="n">
        <v>6</v>
      </c>
      <c r="C7954" s="4" t="inlineStr">
        <is>
          <t>mule deer</t>
        </is>
      </c>
      <c r="D7954" s="4" t="n">
        <v>2021</v>
      </c>
      <c r="E7954" s="13" t="inlineStr">
        <is>
          <t>General</t>
        </is>
      </c>
      <c r="F7954" s="5" t="n">
        <v>1931</v>
      </c>
      <c r="G7954" s="5" t="n">
        <v>10362</v>
      </c>
      <c r="H7954" s="5" t="n">
        <v>1101</v>
      </c>
      <c r="I7954" s="5" t="n">
        <v>738</v>
      </c>
      <c r="J7954" s="5" t="n">
        <v>364</v>
      </c>
      <c r="K7954" s="10">
        <f>IF(F7954&gt;0,H7954/F7954,"")</f>
        <v/>
      </c>
      <c r="L7954" s="16">
        <f>IF(AND(G7954&gt;0,H7954&gt;0),G7954/H7954,"")</f>
        <v/>
      </c>
    </row>
    <row r="7955">
      <c r="A7955" s="4" t="inlineStr">
        <is>
          <t>630</t>
        </is>
      </c>
      <c r="B7955" s="4" t="n">
        <v>6</v>
      </c>
      <c r="C7955" s="4" t="inlineStr">
        <is>
          <t>mule deer</t>
        </is>
      </c>
      <c r="D7955" s="4" t="n">
        <v>2022</v>
      </c>
      <c r="E7955" s="13" t="inlineStr">
        <is>
          <t>General</t>
        </is>
      </c>
      <c r="F7955" s="5" t="n"/>
      <c r="G7955" s="5" t="n"/>
      <c r="H7955" s="5" t="n">
        <v>811</v>
      </c>
      <c r="I7955" s="5" t="n">
        <v>651</v>
      </c>
      <c r="J7955" s="5" t="n">
        <v>157</v>
      </c>
      <c r="K7955" s="10">
        <f>IF(F7955&gt;0,H7955/F7955,"")</f>
        <v/>
      </c>
      <c r="L7955" s="16">
        <f>IF(AND(G7955&gt;0,H7955&gt;0),G7955/H7955,"")</f>
        <v/>
      </c>
    </row>
    <row r="7956">
      <c r="A7956" s="4" t="inlineStr">
        <is>
          <t>630</t>
        </is>
      </c>
      <c r="B7956" s="4" t="n">
        <v>6</v>
      </c>
      <c r="C7956" s="4" t="inlineStr">
        <is>
          <t>mule deer</t>
        </is>
      </c>
      <c r="D7956" s="4" t="n">
        <v>2023</v>
      </c>
      <c r="E7956" s="13" t="inlineStr">
        <is>
          <t>General</t>
        </is>
      </c>
      <c r="F7956" s="5" t="n">
        <v>1964</v>
      </c>
      <c r="G7956" s="5" t="n">
        <v>10722</v>
      </c>
      <c r="H7956" s="5" t="n">
        <v>954</v>
      </c>
      <c r="I7956" s="5" t="n">
        <v>757</v>
      </c>
      <c r="J7956" s="5" t="n">
        <v>191</v>
      </c>
      <c r="K7956" s="10">
        <f>IF(F7956&gt;0,H7956/F7956,"")</f>
        <v/>
      </c>
      <c r="L7956" s="16">
        <f>IF(AND(G7956&gt;0,H7956&gt;0),G7956/H7956,"")</f>
        <v/>
      </c>
    </row>
    <row r="7957">
      <c r="A7957" s="4" t="inlineStr">
        <is>
          <t>630</t>
        </is>
      </c>
      <c r="B7957" s="4" t="n">
        <v>6</v>
      </c>
      <c r="C7957" s="4" t="inlineStr">
        <is>
          <t>mule deer</t>
        </is>
      </c>
      <c r="D7957" s="4" t="n">
        <v>2024</v>
      </c>
      <c r="E7957" s="13" t="inlineStr">
        <is>
          <t>General</t>
        </is>
      </c>
      <c r="F7957" s="5" t="n"/>
      <c r="G7957" s="5" t="n"/>
      <c r="H7957" s="5" t="n">
        <v>654</v>
      </c>
      <c r="I7957" s="5" t="n">
        <v>588</v>
      </c>
      <c r="J7957" s="5" t="n">
        <v>65</v>
      </c>
      <c r="K7957" s="10">
        <f>IF(F7957&gt;0,H7957/F7957,"")</f>
        <v/>
      </c>
      <c r="L7957" s="16">
        <f>IF(AND(G7957&gt;0,H7957&gt;0),G7957/H7957,"")</f>
        <v/>
      </c>
    </row>
    <row r="7958">
      <c r="A7958" s="4" t="inlineStr">
        <is>
          <t>630</t>
        </is>
      </c>
      <c r="B7958" s="4" t="n">
        <v>6</v>
      </c>
      <c r="C7958" s="4" t="inlineStr">
        <is>
          <t>mule deer</t>
        </is>
      </c>
      <c r="D7958" s="4" t="n">
        <v>2025</v>
      </c>
      <c r="E7958" s="13" t="inlineStr">
        <is>
          <t>General</t>
        </is>
      </c>
      <c r="F7958" s="5" t="n">
        <v>1664</v>
      </c>
      <c r="G7958" s="5" t="n">
        <v>11316</v>
      </c>
      <c r="H7958" s="5" t="n">
        <v>598</v>
      </c>
      <c r="I7958" s="5" t="n">
        <v>556</v>
      </c>
      <c r="J7958" s="5" t="n">
        <v>42</v>
      </c>
      <c r="K7958" s="10">
        <f>IF(F7958&gt;0,H7958/F7958,"")</f>
        <v/>
      </c>
      <c r="L7958" s="16">
        <f>IF(AND(G7958&gt;0,H7958&gt;0),G7958/H7958,"")</f>
        <v/>
      </c>
    </row>
    <row r="7959">
      <c r="A7959" s="4" t="inlineStr">
        <is>
          <t>631</t>
        </is>
      </c>
      <c r="B7959" s="4" t="n">
        <v>6</v>
      </c>
      <c r="C7959" s="4" t="inlineStr">
        <is>
          <t>mule deer</t>
        </is>
      </c>
      <c r="D7959" s="4" t="n">
        <v>2004</v>
      </c>
      <c r="E7959" s="4" t="inlineStr"/>
      <c r="F7959" s="5" t="n">
        <v>256</v>
      </c>
      <c r="G7959" s="5" t="n">
        <v>1308</v>
      </c>
      <c r="H7959" s="5" t="n">
        <v>122</v>
      </c>
      <c r="I7959" s="5" t="n">
        <v>106</v>
      </c>
      <c r="J7959" s="5" t="n">
        <v>17</v>
      </c>
      <c r="K7959" s="10">
        <f>IF(F7959&gt;0,H7959/F7959,"")</f>
        <v/>
      </c>
      <c r="L7959" s="16">
        <f>IF(AND(G7959&gt;0,H7959&gt;0),G7959/H7959,"")</f>
        <v/>
      </c>
    </row>
    <row r="7960">
      <c r="A7960" s="4" t="inlineStr">
        <is>
          <t>631</t>
        </is>
      </c>
      <c r="B7960" s="4" t="n">
        <v>6</v>
      </c>
      <c r="C7960" s="4" t="inlineStr">
        <is>
          <t>mule deer</t>
        </is>
      </c>
      <c r="D7960" s="4" t="n">
        <v>2005</v>
      </c>
      <c r="E7960" s="4" t="inlineStr"/>
      <c r="F7960" s="5" t="n">
        <v>162</v>
      </c>
      <c r="G7960" s="5" t="n">
        <v>823</v>
      </c>
      <c r="H7960" s="5" t="n">
        <v>52</v>
      </c>
      <c r="I7960" s="5" t="n">
        <v>40</v>
      </c>
      <c r="J7960" s="5" t="n">
        <v>12</v>
      </c>
      <c r="K7960" s="10">
        <f>IF(F7960&gt;0,H7960/F7960,"")</f>
        <v/>
      </c>
      <c r="L7960" s="16">
        <f>IF(AND(G7960&gt;0,H7960&gt;0),G7960/H7960,"")</f>
        <v/>
      </c>
    </row>
    <row r="7961">
      <c r="A7961" s="4" t="inlineStr">
        <is>
          <t>631</t>
        </is>
      </c>
      <c r="B7961" s="4" t="n">
        <v>6</v>
      </c>
      <c r="C7961" s="4" t="inlineStr">
        <is>
          <t>mule deer</t>
        </is>
      </c>
      <c r="D7961" s="4" t="n">
        <v>2006</v>
      </c>
      <c r="E7961" s="4" t="inlineStr"/>
      <c r="F7961" s="5" t="n">
        <v>205</v>
      </c>
      <c r="G7961" s="5" t="n">
        <v>1004</v>
      </c>
      <c r="H7961" s="5" t="n">
        <v>61</v>
      </c>
      <c r="I7961" s="5" t="n">
        <v>45</v>
      </c>
      <c r="J7961" s="5" t="n">
        <v>17</v>
      </c>
      <c r="K7961" s="10">
        <f>IF(F7961&gt;0,H7961/F7961,"")</f>
        <v/>
      </c>
      <c r="L7961" s="16">
        <f>IF(AND(G7961&gt;0,H7961&gt;0),G7961/H7961,"")</f>
        <v/>
      </c>
    </row>
    <row r="7962">
      <c r="A7962" s="4" t="inlineStr">
        <is>
          <t>631</t>
        </is>
      </c>
      <c r="B7962" s="4" t="n">
        <v>6</v>
      </c>
      <c r="C7962" s="4" t="inlineStr">
        <is>
          <t>mule deer</t>
        </is>
      </c>
      <c r="D7962" s="4" t="n">
        <v>2007</v>
      </c>
      <c r="E7962" s="4" t="inlineStr"/>
      <c r="F7962" s="5" t="n">
        <v>219</v>
      </c>
      <c r="G7962" s="5" t="n">
        <v>1184</v>
      </c>
      <c r="H7962" s="5" t="n">
        <v>66</v>
      </c>
      <c r="I7962" s="5" t="n">
        <v>57</v>
      </c>
      <c r="J7962" s="5" t="n">
        <v>9</v>
      </c>
      <c r="K7962" s="10">
        <f>IF(F7962&gt;0,H7962/F7962,"")</f>
        <v/>
      </c>
      <c r="L7962" s="16">
        <f>IF(AND(G7962&gt;0,H7962&gt;0),G7962/H7962,"")</f>
        <v/>
      </c>
    </row>
    <row r="7963">
      <c r="A7963" s="4" t="inlineStr">
        <is>
          <t>631</t>
        </is>
      </c>
      <c r="B7963" s="4" t="n">
        <v>6</v>
      </c>
      <c r="C7963" s="4" t="inlineStr">
        <is>
          <t>mule deer</t>
        </is>
      </c>
      <c r="D7963" s="4" t="n">
        <v>2008</v>
      </c>
      <c r="E7963" s="4" t="inlineStr"/>
      <c r="F7963" s="5" t="n">
        <v>202</v>
      </c>
      <c r="G7963" s="5" t="n">
        <v>1030</v>
      </c>
      <c r="H7963" s="5" t="n">
        <v>90</v>
      </c>
      <c r="I7963" s="5" t="n">
        <v>84</v>
      </c>
      <c r="J7963" s="5" t="n">
        <v>6</v>
      </c>
      <c r="K7963" s="10">
        <f>IF(F7963&gt;0,H7963/F7963,"")</f>
        <v/>
      </c>
      <c r="L7963" s="16">
        <f>IF(AND(G7963&gt;0,H7963&gt;0),G7963/H7963,"")</f>
        <v/>
      </c>
    </row>
    <row r="7964">
      <c r="A7964" s="4" t="inlineStr">
        <is>
          <t>631</t>
        </is>
      </c>
      <c r="B7964" s="4" t="n">
        <v>6</v>
      </c>
      <c r="C7964" s="4" t="inlineStr">
        <is>
          <t>mule deer</t>
        </is>
      </c>
      <c r="D7964" s="4" t="n">
        <v>2009</v>
      </c>
      <c r="E7964" s="4" t="inlineStr"/>
      <c r="F7964" s="5" t="n">
        <v>204</v>
      </c>
      <c r="G7964" s="5" t="n">
        <v>983</v>
      </c>
      <c r="H7964" s="5" t="n">
        <v>72</v>
      </c>
      <c r="I7964" s="5" t="n">
        <v>58</v>
      </c>
      <c r="J7964" s="5" t="n">
        <v>14</v>
      </c>
      <c r="K7964" s="10">
        <f>IF(F7964&gt;0,H7964/F7964,"")</f>
        <v/>
      </c>
      <c r="L7964" s="16">
        <f>IF(AND(G7964&gt;0,H7964&gt;0),G7964/H7964,"")</f>
        <v/>
      </c>
    </row>
    <row r="7965">
      <c r="A7965" s="4" t="inlineStr">
        <is>
          <t>631</t>
        </is>
      </c>
      <c r="B7965" s="4" t="n">
        <v>6</v>
      </c>
      <c r="C7965" s="4" t="inlineStr">
        <is>
          <t>mule deer</t>
        </is>
      </c>
      <c r="D7965" s="4" t="n">
        <v>2010</v>
      </c>
      <c r="E7965" s="4" t="inlineStr"/>
      <c r="F7965" s="5" t="n">
        <v>187</v>
      </c>
      <c r="G7965" s="5" t="n">
        <v>970</v>
      </c>
      <c r="H7965" s="5" t="n">
        <v>42</v>
      </c>
      <c r="I7965" s="5" t="n">
        <v>42</v>
      </c>
      <c r="J7965" s="5" t="n">
        <v>0</v>
      </c>
      <c r="K7965" s="10">
        <f>IF(F7965&gt;0,H7965/F7965,"")</f>
        <v/>
      </c>
      <c r="L7965" s="16">
        <f>IF(AND(G7965&gt;0,H7965&gt;0),G7965/H7965,"")</f>
        <v/>
      </c>
    </row>
    <row r="7966">
      <c r="A7966" s="4" t="inlineStr">
        <is>
          <t>631</t>
        </is>
      </c>
      <c r="B7966" s="4" t="n">
        <v>6</v>
      </c>
      <c r="C7966" s="4" t="inlineStr">
        <is>
          <t>mule deer</t>
        </is>
      </c>
      <c r="D7966" s="4" t="n">
        <v>2011</v>
      </c>
      <c r="E7966" s="4" t="inlineStr"/>
      <c r="F7966" s="5" t="n">
        <v>238</v>
      </c>
      <c r="G7966" s="5" t="n">
        <v>1023</v>
      </c>
      <c r="H7966" s="5" t="n">
        <v>53</v>
      </c>
      <c r="I7966" s="5" t="n">
        <v>44</v>
      </c>
      <c r="J7966" s="5" t="n">
        <v>8</v>
      </c>
      <c r="K7966" s="10">
        <f>IF(F7966&gt;0,H7966/F7966,"")</f>
        <v/>
      </c>
      <c r="L7966" s="16">
        <f>IF(AND(G7966&gt;0,H7966&gt;0),G7966/H7966,"")</f>
        <v/>
      </c>
    </row>
    <row r="7967">
      <c r="A7967" s="4" t="inlineStr">
        <is>
          <t>631</t>
        </is>
      </c>
      <c r="B7967" s="4" t="n">
        <v>6</v>
      </c>
      <c r="C7967" s="4" t="inlineStr">
        <is>
          <t>mule deer</t>
        </is>
      </c>
      <c r="D7967" s="4" t="n">
        <v>2012</v>
      </c>
      <c r="E7967" s="4" t="inlineStr"/>
      <c r="F7967" s="5" t="n"/>
      <c r="G7967" s="5" t="n"/>
      <c r="H7967" s="5" t="n">
        <v>39</v>
      </c>
      <c r="I7967" s="5" t="n">
        <v>36</v>
      </c>
      <c r="J7967" s="5" t="n">
        <v>3</v>
      </c>
      <c r="K7967" s="10">
        <f>IF(F7967&gt;0,H7967/F7967,"")</f>
        <v/>
      </c>
      <c r="L7967" s="16">
        <f>IF(AND(G7967&gt;0,H7967&gt;0),G7967/H7967,"")</f>
        <v/>
      </c>
    </row>
    <row r="7968">
      <c r="A7968" s="4" t="inlineStr">
        <is>
          <t>631</t>
        </is>
      </c>
      <c r="B7968" s="4" t="n">
        <v>6</v>
      </c>
      <c r="C7968" s="4" t="inlineStr">
        <is>
          <t>mule deer</t>
        </is>
      </c>
      <c r="D7968" s="4" t="n">
        <v>2013</v>
      </c>
      <c r="E7968" s="4" t="inlineStr"/>
      <c r="F7968" s="5" t="n">
        <v>224</v>
      </c>
      <c r="G7968" s="5" t="n">
        <v>1476</v>
      </c>
      <c r="H7968" s="5" t="n">
        <v>32</v>
      </c>
      <c r="I7968" s="5" t="n">
        <v>31</v>
      </c>
      <c r="J7968" s="5" t="n">
        <v>1</v>
      </c>
      <c r="K7968" s="10">
        <f>IF(F7968&gt;0,H7968/F7968,"")</f>
        <v/>
      </c>
      <c r="L7968" s="16">
        <f>IF(AND(G7968&gt;0,H7968&gt;0),G7968/H7968,"")</f>
        <v/>
      </c>
    </row>
    <row r="7969">
      <c r="A7969" s="4" t="inlineStr">
        <is>
          <t>631</t>
        </is>
      </c>
      <c r="B7969" s="4" t="n">
        <v>6</v>
      </c>
      <c r="C7969" s="4" t="inlineStr">
        <is>
          <t>mule deer</t>
        </is>
      </c>
      <c r="D7969" s="4" t="n">
        <v>2014</v>
      </c>
      <c r="E7969" s="4" t="inlineStr"/>
      <c r="F7969" s="5" t="n"/>
      <c r="G7969" s="5" t="n"/>
      <c r="H7969" s="5" t="n">
        <v>40</v>
      </c>
      <c r="I7969" s="5" t="n">
        <v>40</v>
      </c>
      <c r="J7969" s="5" t="n">
        <v>0</v>
      </c>
      <c r="K7969" s="10">
        <f>IF(F7969&gt;0,H7969/F7969,"")</f>
        <v/>
      </c>
      <c r="L7969" s="16">
        <f>IF(AND(G7969&gt;0,H7969&gt;0),G7969/H7969,"")</f>
        <v/>
      </c>
    </row>
    <row r="7970">
      <c r="A7970" s="4" t="inlineStr">
        <is>
          <t>631</t>
        </is>
      </c>
      <c r="B7970" s="4" t="n">
        <v>6</v>
      </c>
      <c r="C7970" s="4" t="inlineStr">
        <is>
          <t>mule deer</t>
        </is>
      </c>
      <c r="D7970" s="4" t="n">
        <v>2015</v>
      </c>
      <c r="E7970" s="4" t="inlineStr"/>
      <c r="F7970" s="5" t="n"/>
      <c r="G7970" s="5" t="n"/>
      <c r="H7970" s="5" t="n">
        <v>103</v>
      </c>
      <c r="I7970" s="5" t="n">
        <v>97</v>
      </c>
      <c r="J7970" s="5" t="n">
        <v>6</v>
      </c>
      <c r="K7970" s="10">
        <f>IF(F7970&gt;0,H7970/F7970,"")</f>
        <v/>
      </c>
      <c r="L7970" s="16">
        <f>IF(AND(G7970&gt;0,H7970&gt;0),G7970/H7970,"")</f>
        <v/>
      </c>
    </row>
    <row r="7971">
      <c r="A7971" s="4" t="inlineStr">
        <is>
          <t>631</t>
        </is>
      </c>
      <c r="B7971" s="4" t="n">
        <v>6</v>
      </c>
      <c r="C7971" s="4" t="inlineStr">
        <is>
          <t>mule deer</t>
        </is>
      </c>
      <c r="D7971" s="4" t="n">
        <v>2016</v>
      </c>
      <c r="E7971" s="4" t="inlineStr"/>
      <c r="F7971" s="5" t="n"/>
      <c r="G7971" s="5" t="n"/>
      <c r="H7971" s="5" t="n">
        <v>67</v>
      </c>
      <c r="I7971" s="5" t="n">
        <v>59</v>
      </c>
      <c r="J7971" s="5" t="n">
        <v>7</v>
      </c>
      <c r="K7971" s="10">
        <f>IF(F7971&gt;0,H7971/F7971,"")</f>
        <v/>
      </c>
      <c r="L7971" s="16">
        <f>IF(AND(G7971&gt;0,H7971&gt;0),G7971/H7971,"")</f>
        <v/>
      </c>
    </row>
    <row r="7972">
      <c r="A7972" s="4" t="inlineStr">
        <is>
          <t>631</t>
        </is>
      </c>
      <c r="B7972" s="4" t="n">
        <v>6</v>
      </c>
      <c r="C7972" s="4" t="inlineStr">
        <is>
          <t>mule deer</t>
        </is>
      </c>
      <c r="D7972" s="4" t="n">
        <v>2017</v>
      </c>
      <c r="E7972" s="4" t="inlineStr"/>
      <c r="F7972" s="5" t="n">
        <v>338</v>
      </c>
      <c r="G7972" s="5" t="n">
        <v>1860</v>
      </c>
      <c r="H7972" s="5" t="n">
        <v>138</v>
      </c>
      <c r="I7972" s="5" t="n">
        <v>123</v>
      </c>
      <c r="J7972" s="5" t="n">
        <v>15</v>
      </c>
      <c r="K7972" s="10">
        <f>IF(F7972&gt;0,H7972/F7972,"")</f>
        <v/>
      </c>
      <c r="L7972" s="16">
        <f>IF(AND(G7972&gt;0,H7972&gt;0),G7972/H7972,"")</f>
        <v/>
      </c>
    </row>
    <row r="7973">
      <c r="A7973" s="4" t="inlineStr">
        <is>
          <t>631</t>
        </is>
      </c>
      <c r="B7973" s="4" t="n">
        <v>6</v>
      </c>
      <c r="C7973" s="4" t="inlineStr">
        <is>
          <t>mule deer</t>
        </is>
      </c>
      <c r="D7973" s="4" t="n">
        <v>2018</v>
      </c>
      <c r="E7973" s="4" t="inlineStr"/>
      <c r="F7973" s="5" t="n"/>
      <c r="G7973" s="5" t="n"/>
      <c r="H7973" s="5" t="n">
        <v>120</v>
      </c>
      <c r="I7973" s="5" t="n">
        <v>103</v>
      </c>
      <c r="J7973" s="5" t="n">
        <v>17</v>
      </c>
      <c r="K7973" s="10">
        <f>IF(F7973&gt;0,H7973/F7973,"")</f>
        <v/>
      </c>
      <c r="L7973" s="16">
        <f>IF(AND(G7973&gt;0,H7973&gt;0),G7973/H7973,"")</f>
        <v/>
      </c>
    </row>
    <row r="7974">
      <c r="A7974" s="4" t="inlineStr">
        <is>
          <t>631</t>
        </is>
      </c>
      <c r="B7974" s="4" t="n">
        <v>6</v>
      </c>
      <c r="C7974" s="4" t="inlineStr">
        <is>
          <t>mule deer</t>
        </is>
      </c>
      <c r="D7974" s="4" t="n">
        <v>2019</v>
      </c>
      <c r="E7974" s="4" t="inlineStr"/>
      <c r="F7974" s="5" t="n">
        <v>270</v>
      </c>
      <c r="G7974" s="5" t="n">
        <v>1278</v>
      </c>
      <c r="H7974" s="5" t="n">
        <v>112</v>
      </c>
      <c r="I7974" s="5" t="n">
        <v>101</v>
      </c>
      <c r="J7974" s="5" t="n">
        <v>12</v>
      </c>
      <c r="K7974" s="10">
        <f>IF(F7974&gt;0,H7974/F7974,"")</f>
        <v/>
      </c>
      <c r="L7974" s="16">
        <f>IF(AND(G7974&gt;0,H7974&gt;0),G7974/H7974,"")</f>
        <v/>
      </c>
    </row>
    <row r="7975">
      <c r="A7975" s="4" t="inlineStr">
        <is>
          <t>631</t>
        </is>
      </c>
      <c r="B7975" s="4" t="n">
        <v>6</v>
      </c>
      <c r="C7975" s="4" t="inlineStr">
        <is>
          <t>mule deer</t>
        </is>
      </c>
      <c r="D7975" s="4" t="n">
        <v>2020</v>
      </c>
      <c r="E7975" s="4" t="inlineStr"/>
      <c r="F7975" s="5" t="n"/>
      <c r="G7975" s="5" t="n"/>
      <c r="H7975" s="5" t="n">
        <v>139</v>
      </c>
      <c r="I7975" s="5" t="n">
        <v>103</v>
      </c>
      <c r="J7975" s="5" t="n">
        <v>35</v>
      </c>
      <c r="K7975" s="10">
        <f>IF(F7975&gt;0,H7975/F7975,"")</f>
        <v/>
      </c>
      <c r="L7975" s="16">
        <f>IF(AND(G7975&gt;0,H7975&gt;0),G7975/H7975,"")</f>
        <v/>
      </c>
    </row>
    <row r="7976">
      <c r="A7976" s="4" t="inlineStr">
        <is>
          <t>631</t>
        </is>
      </c>
      <c r="B7976" s="4" t="n">
        <v>6</v>
      </c>
      <c r="C7976" s="4" t="inlineStr">
        <is>
          <t>mule deer</t>
        </is>
      </c>
      <c r="D7976" s="4" t="n">
        <v>2021</v>
      </c>
      <c r="E7976" s="4" t="inlineStr"/>
      <c r="F7976" s="5" t="n">
        <v>315</v>
      </c>
      <c r="G7976" s="5" t="n">
        <v>1625</v>
      </c>
      <c r="H7976" s="5" t="n">
        <v>112</v>
      </c>
      <c r="I7976" s="5" t="n">
        <v>79</v>
      </c>
      <c r="J7976" s="5" t="n">
        <v>33</v>
      </c>
      <c r="K7976" s="10">
        <f>IF(F7976&gt;0,H7976/F7976,"")</f>
        <v/>
      </c>
      <c r="L7976" s="16">
        <f>IF(AND(G7976&gt;0,H7976&gt;0),G7976/H7976,"")</f>
        <v/>
      </c>
    </row>
    <row r="7977">
      <c r="A7977" s="4" t="inlineStr">
        <is>
          <t>632</t>
        </is>
      </c>
      <c r="B7977" s="4" t="n">
        <v>6</v>
      </c>
      <c r="C7977" s="4" t="inlineStr">
        <is>
          <t>mule deer</t>
        </is>
      </c>
      <c r="D7977" s="4" t="n">
        <v>2004</v>
      </c>
      <c r="E7977" s="4" t="inlineStr"/>
      <c r="F7977" s="5" t="n">
        <v>314</v>
      </c>
      <c r="G7977" s="5" t="n">
        <v>1278</v>
      </c>
      <c r="H7977" s="5" t="n">
        <v>144</v>
      </c>
      <c r="I7977" s="5" t="n">
        <v>133</v>
      </c>
      <c r="J7977" s="5" t="n">
        <v>11</v>
      </c>
      <c r="K7977" s="10">
        <f>IF(F7977&gt;0,H7977/F7977,"")</f>
        <v/>
      </c>
      <c r="L7977" s="16">
        <f>IF(AND(G7977&gt;0,H7977&gt;0),G7977/H7977,"")</f>
        <v/>
      </c>
    </row>
    <row r="7978">
      <c r="A7978" s="4" t="inlineStr">
        <is>
          <t>632</t>
        </is>
      </c>
      <c r="B7978" s="4" t="n">
        <v>6</v>
      </c>
      <c r="C7978" s="4" t="inlineStr">
        <is>
          <t>mule deer</t>
        </is>
      </c>
      <c r="D7978" s="4" t="n">
        <v>2005</v>
      </c>
      <c r="E7978" s="4" t="inlineStr"/>
      <c r="F7978" s="5" t="n">
        <v>265</v>
      </c>
      <c r="G7978" s="5" t="n">
        <v>1451</v>
      </c>
      <c r="H7978" s="5" t="n">
        <v>130</v>
      </c>
      <c r="I7978" s="5" t="n">
        <v>109</v>
      </c>
      <c r="J7978" s="5" t="n">
        <v>21</v>
      </c>
      <c r="K7978" s="10">
        <f>IF(F7978&gt;0,H7978/F7978,"")</f>
        <v/>
      </c>
      <c r="L7978" s="16">
        <f>IF(AND(G7978&gt;0,H7978&gt;0),G7978/H7978,"")</f>
        <v/>
      </c>
    </row>
    <row r="7979">
      <c r="A7979" s="4" t="inlineStr">
        <is>
          <t>632</t>
        </is>
      </c>
      <c r="B7979" s="4" t="n">
        <v>6</v>
      </c>
      <c r="C7979" s="4" t="inlineStr">
        <is>
          <t>mule deer</t>
        </is>
      </c>
      <c r="D7979" s="4" t="n">
        <v>2006</v>
      </c>
      <c r="E7979" s="4" t="inlineStr"/>
      <c r="F7979" s="5" t="n">
        <v>317</v>
      </c>
      <c r="G7979" s="5" t="n">
        <v>1683</v>
      </c>
      <c r="H7979" s="5" t="n">
        <v>125</v>
      </c>
      <c r="I7979" s="5" t="n">
        <v>97</v>
      </c>
      <c r="J7979" s="5" t="n">
        <v>28</v>
      </c>
      <c r="K7979" s="10">
        <f>IF(F7979&gt;0,H7979/F7979,"")</f>
        <v/>
      </c>
      <c r="L7979" s="16">
        <f>IF(AND(G7979&gt;0,H7979&gt;0),G7979/H7979,"")</f>
        <v/>
      </c>
    </row>
    <row r="7980">
      <c r="A7980" s="4" t="inlineStr">
        <is>
          <t>632</t>
        </is>
      </c>
      <c r="B7980" s="4" t="n">
        <v>6</v>
      </c>
      <c r="C7980" s="4" t="inlineStr">
        <is>
          <t>mule deer</t>
        </is>
      </c>
      <c r="D7980" s="4" t="n">
        <v>2007</v>
      </c>
      <c r="E7980" s="4" t="inlineStr"/>
      <c r="F7980" s="5" t="n">
        <v>266</v>
      </c>
      <c r="G7980" s="5" t="n">
        <v>1464</v>
      </c>
      <c r="H7980" s="5" t="n">
        <v>120</v>
      </c>
      <c r="I7980" s="5" t="n">
        <v>92</v>
      </c>
      <c r="J7980" s="5" t="n">
        <v>28</v>
      </c>
      <c r="K7980" s="10">
        <f>IF(F7980&gt;0,H7980/F7980,"")</f>
        <v/>
      </c>
      <c r="L7980" s="16">
        <f>IF(AND(G7980&gt;0,H7980&gt;0),G7980/H7980,"")</f>
        <v/>
      </c>
    </row>
    <row r="7981">
      <c r="A7981" s="4" t="inlineStr">
        <is>
          <t>632</t>
        </is>
      </c>
      <c r="B7981" s="4" t="n">
        <v>6</v>
      </c>
      <c r="C7981" s="4" t="inlineStr">
        <is>
          <t>mule deer</t>
        </is>
      </c>
      <c r="D7981" s="4" t="n">
        <v>2008</v>
      </c>
      <c r="E7981" s="4" t="inlineStr"/>
      <c r="F7981" s="5" t="n">
        <v>342</v>
      </c>
      <c r="G7981" s="5" t="n">
        <v>1646</v>
      </c>
      <c r="H7981" s="5" t="n">
        <v>137</v>
      </c>
      <c r="I7981" s="5" t="n">
        <v>124</v>
      </c>
      <c r="J7981" s="5" t="n">
        <v>8</v>
      </c>
      <c r="K7981" s="10">
        <f>IF(F7981&gt;0,H7981/F7981,"")</f>
        <v/>
      </c>
      <c r="L7981" s="16">
        <f>IF(AND(G7981&gt;0,H7981&gt;0),G7981/H7981,"")</f>
        <v/>
      </c>
    </row>
    <row r="7982">
      <c r="A7982" s="4" t="inlineStr">
        <is>
          <t>632</t>
        </is>
      </c>
      <c r="B7982" s="4" t="n">
        <v>6</v>
      </c>
      <c r="C7982" s="4" t="inlineStr">
        <is>
          <t>mule deer</t>
        </is>
      </c>
      <c r="D7982" s="4" t="n">
        <v>2009</v>
      </c>
      <c r="E7982" s="4" t="inlineStr"/>
      <c r="F7982" s="5" t="n">
        <v>301</v>
      </c>
      <c r="G7982" s="5" t="n">
        <v>1316</v>
      </c>
      <c r="H7982" s="5" t="n">
        <v>152</v>
      </c>
      <c r="I7982" s="5" t="n">
        <v>129</v>
      </c>
      <c r="J7982" s="5" t="n">
        <v>23</v>
      </c>
      <c r="K7982" s="10">
        <f>IF(F7982&gt;0,H7982/F7982,"")</f>
        <v/>
      </c>
      <c r="L7982" s="16">
        <f>IF(AND(G7982&gt;0,H7982&gt;0),G7982/H7982,"")</f>
        <v/>
      </c>
    </row>
    <row r="7983">
      <c r="A7983" s="4" t="inlineStr">
        <is>
          <t>632</t>
        </is>
      </c>
      <c r="B7983" s="4" t="n">
        <v>6</v>
      </c>
      <c r="C7983" s="4" t="inlineStr">
        <is>
          <t>mule deer</t>
        </is>
      </c>
      <c r="D7983" s="4" t="n">
        <v>2010</v>
      </c>
      <c r="E7983" s="4" t="inlineStr"/>
      <c r="F7983" s="5" t="n">
        <v>283</v>
      </c>
      <c r="G7983" s="5" t="n">
        <v>1308</v>
      </c>
      <c r="H7983" s="5" t="n">
        <v>163</v>
      </c>
      <c r="I7983" s="5" t="n">
        <v>129</v>
      </c>
      <c r="J7983" s="5" t="n">
        <v>34</v>
      </c>
      <c r="K7983" s="10">
        <f>IF(F7983&gt;0,H7983/F7983,"")</f>
        <v/>
      </c>
      <c r="L7983" s="16">
        <f>IF(AND(G7983&gt;0,H7983&gt;0),G7983/H7983,"")</f>
        <v/>
      </c>
    </row>
    <row r="7984">
      <c r="A7984" s="4" t="inlineStr">
        <is>
          <t>632</t>
        </is>
      </c>
      <c r="B7984" s="4" t="n">
        <v>6</v>
      </c>
      <c r="C7984" s="4" t="inlineStr">
        <is>
          <t>mule deer</t>
        </is>
      </c>
      <c r="D7984" s="4" t="n">
        <v>2011</v>
      </c>
      <c r="E7984" s="4" t="inlineStr"/>
      <c r="F7984" s="5" t="n">
        <v>326</v>
      </c>
      <c r="G7984" s="5" t="n">
        <v>1556</v>
      </c>
      <c r="H7984" s="5" t="n">
        <v>111</v>
      </c>
      <c r="I7984" s="5" t="n">
        <v>101</v>
      </c>
      <c r="J7984" s="5" t="n">
        <v>10</v>
      </c>
      <c r="K7984" s="10">
        <f>IF(F7984&gt;0,H7984/F7984,"")</f>
        <v/>
      </c>
      <c r="L7984" s="16">
        <f>IF(AND(G7984&gt;0,H7984&gt;0),G7984/H7984,"")</f>
        <v/>
      </c>
    </row>
    <row r="7985">
      <c r="A7985" s="4" t="inlineStr">
        <is>
          <t>632</t>
        </is>
      </c>
      <c r="B7985" s="4" t="n">
        <v>6</v>
      </c>
      <c r="C7985" s="4" t="inlineStr">
        <is>
          <t>mule deer</t>
        </is>
      </c>
      <c r="D7985" s="4" t="n">
        <v>2012</v>
      </c>
      <c r="E7985" s="4" t="inlineStr"/>
      <c r="F7985" s="5" t="n"/>
      <c r="G7985" s="5" t="n"/>
      <c r="H7985" s="5" t="n">
        <v>75</v>
      </c>
      <c r="I7985" s="5" t="n">
        <v>72</v>
      </c>
      <c r="J7985" s="5" t="n">
        <v>3</v>
      </c>
      <c r="K7985" s="10">
        <f>IF(F7985&gt;0,H7985/F7985,"")</f>
        <v/>
      </c>
      <c r="L7985" s="16">
        <f>IF(AND(G7985&gt;0,H7985&gt;0),G7985/H7985,"")</f>
        <v/>
      </c>
    </row>
    <row r="7986">
      <c r="A7986" s="4" t="inlineStr">
        <is>
          <t>632</t>
        </is>
      </c>
      <c r="B7986" s="4" t="n">
        <v>6</v>
      </c>
      <c r="C7986" s="4" t="inlineStr">
        <is>
          <t>mule deer</t>
        </is>
      </c>
      <c r="D7986" s="4" t="n">
        <v>2013</v>
      </c>
      <c r="E7986" s="4" t="inlineStr"/>
      <c r="F7986" s="5" t="n">
        <v>272</v>
      </c>
      <c r="G7986" s="5" t="n">
        <v>1265</v>
      </c>
      <c r="H7986" s="5" t="n">
        <v>62</v>
      </c>
      <c r="I7986" s="5" t="n">
        <v>55</v>
      </c>
      <c r="J7986" s="5" t="n">
        <v>4</v>
      </c>
      <c r="K7986" s="10">
        <f>IF(F7986&gt;0,H7986/F7986,"")</f>
        <v/>
      </c>
      <c r="L7986" s="16">
        <f>IF(AND(G7986&gt;0,H7986&gt;0),G7986/H7986,"")</f>
        <v/>
      </c>
    </row>
    <row r="7987">
      <c r="A7987" s="4" t="inlineStr">
        <is>
          <t>632</t>
        </is>
      </c>
      <c r="B7987" s="4" t="n">
        <v>6</v>
      </c>
      <c r="C7987" s="4" t="inlineStr">
        <is>
          <t>mule deer</t>
        </is>
      </c>
      <c r="D7987" s="4" t="n">
        <v>2014</v>
      </c>
      <c r="E7987" s="4" t="inlineStr"/>
      <c r="F7987" s="5" t="n"/>
      <c r="G7987" s="5" t="n"/>
      <c r="H7987" s="5" t="n">
        <v>82</v>
      </c>
      <c r="I7987" s="5" t="n">
        <v>79</v>
      </c>
      <c r="J7987" s="5" t="n">
        <v>3</v>
      </c>
      <c r="K7987" s="10">
        <f>IF(F7987&gt;0,H7987/F7987,"")</f>
        <v/>
      </c>
      <c r="L7987" s="16">
        <f>IF(AND(G7987&gt;0,H7987&gt;0),G7987/H7987,"")</f>
        <v/>
      </c>
    </row>
    <row r="7988">
      <c r="A7988" s="4" t="inlineStr">
        <is>
          <t>632</t>
        </is>
      </c>
      <c r="B7988" s="4" t="n">
        <v>6</v>
      </c>
      <c r="C7988" s="4" t="inlineStr">
        <is>
          <t>mule deer</t>
        </is>
      </c>
      <c r="D7988" s="4" t="n">
        <v>2015</v>
      </c>
      <c r="E7988" s="4" t="inlineStr"/>
      <c r="F7988" s="5" t="n"/>
      <c r="G7988" s="5" t="n"/>
      <c r="H7988" s="5" t="n">
        <v>163</v>
      </c>
      <c r="I7988" s="5" t="n">
        <v>160</v>
      </c>
      <c r="J7988" s="5" t="n">
        <v>3</v>
      </c>
      <c r="K7988" s="10">
        <f>IF(F7988&gt;0,H7988/F7988,"")</f>
        <v/>
      </c>
      <c r="L7988" s="16">
        <f>IF(AND(G7988&gt;0,H7988&gt;0),G7988/H7988,"")</f>
        <v/>
      </c>
    </row>
    <row r="7989">
      <c r="A7989" s="4" t="inlineStr">
        <is>
          <t>632</t>
        </is>
      </c>
      <c r="B7989" s="4" t="n">
        <v>6</v>
      </c>
      <c r="C7989" s="4" t="inlineStr">
        <is>
          <t>mule deer</t>
        </is>
      </c>
      <c r="D7989" s="4" t="n">
        <v>2016</v>
      </c>
      <c r="E7989" s="4" t="inlineStr"/>
      <c r="F7989" s="5" t="n"/>
      <c r="G7989" s="5" t="n"/>
      <c r="H7989" s="5" t="n">
        <v>187</v>
      </c>
      <c r="I7989" s="5" t="n">
        <v>173</v>
      </c>
      <c r="J7989" s="5" t="n">
        <v>15</v>
      </c>
      <c r="K7989" s="10">
        <f>IF(F7989&gt;0,H7989/F7989,"")</f>
        <v/>
      </c>
      <c r="L7989" s="16">
        <f>IF(AND(G7989&gt;0,H7989&gt;0),G7989/H7989,"")</f>
        <v/>
      </c>
    </row>
    <row r="7990">
      <c r="A7990" s="4" t="inlineStr">
        <is>
          <t>632</t>
        </is>
      </c>
      <c r="B7990" s="4" t="n">
        <v>6</v>
      </c>
      <c r="C7990" s="4" t="inlineStr">
        <is>
          <t>mule deer</t>
        </is>
      </c>
      <c r="D7990" s="4" t="n">
        <v>2017</v>
      </c>
      <c r="E7990" s="4" t="inlineStr"/>
      <c r="F7990" s="5" t="n">
        <v>405</v>
      </c>
      <c r="G7990" s="5" t="n">
        <v>1934</v>
      </c>
      <c r="H7990" s="5" t="n">
        <v>223</v>
      </c>
      <c r="I7990" s="5" t="n">
        <v>204</v>
      </c>
      <c r="J7990" s="5" t="n">
        <v>20</v>
      </c>
      <c r="K7990" s="10">
        <f>IF(F7990&gt;0,H7990/F7990,"")</f>
        <v/>
      </c>
      <c r="L7990" s="16">
        <f>IF(AND(G7990&gt;0,H7990&gt;0),G7990/H7990,"")</f>
        <v/>
      </c>
    </row>
    <row r="7991">
      <c r="A7991" s="4" t="inlineStr">
        <is>
          <t>632</t>
        </is>
      </c>
      <c r="B7991" s="4" t="n">
        <v>6</v>
      </c>
      <c r="C7991" s="4" t="inlineStr">
        <is>
          <t>mule deer</t>
        </is>
      </c>
      <c r="D7991" s="4" t="n">
        <v>2018</v>
      </c>
      <c r="E7991" s="4" t="inlineStr"/>
      <c r="F7991" s="5" t="n"/>
      <c r="G7991" s="5" t="n"/>
      <c r="H7991" s="5" t="n">
        <v>268</v>
      </c>
      <c r="I7991" s="5" t="n">
        <v>229</v>
      </c>
      <c r="J7991" s="5" t="n">
        <v>40</v>
      </c>
      <c r="K7991" s="10">
        <f>IF(F7991&gt;0,H7991/F7991,"")</f>
        <v/>
      </c>
      <c r="L7991" s="16">
        <f>IF(AND(G7991&gt;0,H7991&gt;0),G7991/H7991,"")</f>
        <v/>
      </c>
    </row>
    <row r="7992">
      <c r="A7992" s="4" t="inlineStr">
        <is>
          <t>632</t>
        </is>
      </c>
      <c r="B7992" s="4" t="n">
        <v>6</v>
      </c>
      <c r="C7992" s="4" t="inlineStr">
        <is>
          <t>mule deer</t>
        </is>
      </c>
      <c r="D7992" s="4" t="n">
        <v>2019</v>
      </c>
      <c r="E7992" s="4" t="inlineStr"/>
      <c r="F7992" s="5" t="n">
        <v>477</v>
      </c>
      <c r="G7992" s="5" t="n">
        <v>2241</v>
      </c>
      <c r="H7992" s="5" t="n">
        <v>247</v>
      </c>
      <c r="I7992" s="5" t="n">
        <v>222</v>
      </c>
      <c r="J7992" s="5" t="n">
        <v>22</v>
      </c>
      <c r="K7992" s="10">
        <f>IF(F7992&gt;0,H7992/F7992,"")</f>
        <v/>
      </c>
      <c r="L7992" s="16">
        <f>IF(AND(G7992&gt;0,H7992&gt;0),G7992/H7992,"")</f>
        <v/>
      </c>
    </row>
    <row r="7993">
      <c r="A7993" s="4" t="inlineStr">
        <is>
          <t>632</t>
        </is>
      </c>
      <c r="B7993" s="4" t="n">
        <v>6</v>
      </c>
      <c r="C7993" s="4" t="inlineStr">
        <is>
          <t>mule deer</t>
        </is>
      </c>
      <c r="D7993" s="4" t="n">
        <v>2020</v>
      </c>
      <c r="E7993" s="4" t="inlineStr"/>
      <c r="F7993" s="5" t="n"/>
      <c r="G7993" s="5" t="n"/>
      <c r="H7993" s="5" t="n">
        <v>246</v>
      </c>
      <c r="I7993" s="5" t="n">
        <v>207</v>
      </c>
      <c r="J7993" s="5" t="n">
        <v>39</v>
      </c>
      <c r="K7993" s="10">
        <f>IF(F7993&gt;0,H7993/F7993,"")</f>
        <v/>
      </c>
      <c r="L7993" s="16">
        <f>IF(AND(G7993&gt;0,H7993&gt;0),G7993/H7993,"")</f>
        <v/>
      </c>
    </row>
    <row r="7994">
      <c r="A7994" s="4" t="inlineStr">
        <is>
          <t>632</t>
        </is>
      </c>
      <c r="B7994" s="4" t="n">
        <v>6</v>
      </c>
      <c r="C7994" s="4" t="inlineStr">
        <is>
          <t>mule deer</t>
        </is>
      </c>
      <c r="D7994" s="4" t="n">
        <v>2021</v>
      </c>
      <c r="E7994" s="4" t="inlineStr"/>
      <c r="F7994" s="5" t="n">
        <v>405</v>
      </c>
      <c r="G7994" s="5" t="n">
        <v>2379</v>
      </c>
      <c r="H7994" s="5" t="n">
        <v>207</v>
      </c>
      <c r="I7994" s="5" t="n">
        <v>180</v>
      </c>
      <c r="J7994" s="5" t="n">
        <v>28</v>
      </c>
      <c r="K7994" s="10">
        <f>IF(F7994&gt;0,H7994/F7994,"")</f>
        <v/>
      </c>
      <c r="L7994" s="16">
        <f>IF(AND(G7994&gt;0,H7994&gt;0),G7994/H7994,"")</f>
        <v/>
      </c>
    </row>
    <row r="7995">
      <c r="A7995" s="4" t="inlineStr">
        <is>
          <t>640</t>
        </is>
      </c>
      <c r="B7995" s="4" t="n">
        <v>6</v>
      </c>
      <c r="C7995" s="4" t="inlineStr">
        <is>
          <t>mule deer</t>
        </is>
      </c>
      <c r="D7995" s="4" t="n">
        <v>2004</v>
      </c>
      <c r="E7995" s="13" t="inlineStr">
        <is>
          <t>General</t>
        </is>
      </c>
      <c r="F7995" s="5" t="n">
        <v>1136</v>
      </c>
      <c r="G7995" s="5" t="n">
        <v>5203</v>
      </c>
      <c r="H7995" s="5" t="n">
        <v>345</v>
      </c>
      <c r="I7995" s="5" t="n">
        <v>275</v>
      </c>
      <c r="J7995" s="5" t="n">
        <v>70</v>
      </c>
      <c r="K7995" s="10">
        <f>IF(F7995&gt;0,H7995/F7995,"")</f>
        <v/>
      </c>
      <c r="L7995" s="16">
        <f>IF(AND(G7995&gt;0,H7995&gt;0),G7995/H7995,"")</f>
        <v/>
      </c>
    </row>
    <row r="7996">
      <c r="A7996" s="4" t="inlineStr">
        <is>
          <t>640</t>
        </is>
      </c>
      <c r="B7996" s="4" t="n">
        <v>6</v>
      </c>
      <c r="C7996" s="4" t="inlineStr">
        <is>
          <t>mule deer</t>
        </is>
      </c>
      <c r="D7996" s="4" t="n">
        <v>2005</v>
      </c>
      <c r="E7996" s="13" t="inlineStr">
        <is>
          <t>General</t>
        </is>
      </c>
      <c r="F7996" s="5" t="n">
        <v>1143</v>
      </c>
      <c r="G7996" s="5" t="n">
        <v>5137</v>
      </c>
      <c r="H7996" s="5" t="n">
        <v>454</v>
      </c>
      <c r="I7996" s="5" t="n">
        <v>275</v>
      </c>
      <c r="J7996" s="5" t="n">
        <v>173</v>
      </c>
      <c r="K7996" s="10">
        <f>IF(F7996&gt;0,H7996/F7996,"")</f>
        <v/>
      </c>
      <c r="L7996" s="16">
        <f>IF(AND(G7996&gt;0,H7996&gt;0),G7996/H7996,"")</f>
        <v/>
      </c>
    </row>
    <row r="7997">
      <c r="A7997" s="4" t="inlineStr">
        <is>
          <t>640</t>
        </is>
      </c>
      <c r="B7997" s="4" t="n">
        <v>6</v>
      </c>
      <c r="C7997" s="4" t="inlineStr">
        <is>
          <t>mule deer</t>
        </is>
      </c>
      <c r="D7997" s="4" t="n">
        <v>2006</v>
      </c>
      <c r="E7997" s="13" t="inlineStr">
        <is>
          <t>General</t>
        </is>
      </c>
      <c r="F7997" s="5" t="n">
        <v>1304</v>
      </c>
      <c r="G7997" s="5" t="n">
        <v>6518</v>
      </c>
      <c r="H7997" s="5" t="n">
        <v>464</v>
      </c>
      <c r="I7997" s="5" t="n">
        <v>293</v>
      </c>
      <c r="J7997" s="5" t="n">
        <v>169</v>
      </c>
      <c r="K7997" s="10">
        <f>IF(F7997&gt;0,H7997/F7997,"")</f>
        <v/>
      </c>
      <c r="L7997" s="16">
        <f>IF(AND(G7997&gt;0,H7997&gt;0),G7997/H7997,"")</f>
        <v/>
      </c>
    </row>
    <row r="7998">
      <c r="A7998" s="4" t="inlineStr">
        <is>
          <t>640</t>
        </is>
      </c>
      <c r="B7998" s="4" t="n">
        <v>6</v>
      </c>
      <c r="C7998" s="4" t="inlineStr">
        <is>
          <t>mule deer</t>
        </is>
      </c>
      <c r="D7998" s="4" t="n">
        <v>2007</v>
      </c>
      <c r="E7998" s="13" t="inlineStr">
        <is>
          <t>General</t>
        </is>
      </c>
      <c r="F7998" s="5" t="n">
        <v>1332</v>
      </c>
      <c r="G7998" s="5" t="n">
        <v>6826</v>
      </c>
      <c r="H7998" s="5" t="n">
        <v>552</v>
      </c>
      <c r="I7998" s="5" t="n">
        <v>322</v>
      </c>
      <c r="J7998" s="5" t="n">
        <v>230</v>
      </c>
      <c r="K7998" s="10">
        <f>IF(F7998&gt;0,H7998/F7998,"")</f>
        <v/>
      </c>
      <c r="L7998" s="16">
        <f>IF(AND(G7998&gt;0,H7998&gt;0),G7998/H7998,"")</f>
        <v/>
      </c>
    </row>
    <row r="7999">
      <c r="A7999" s="4" t="inlineStr">
        <is>
          <t>640</t>
        </is>
      </c>
      <c r="B7999" s="4" t="n">
        <v>6</v>
      </c>
      <c r="C7999" s="4" t="inlineStr">
        <is>
          <t>mule deer</t>
        </is>
      </c>
      <c r="D7999" s="4" t="n">
        <v>2008</v>
      </c>
      <c r="E7999" s="13" t="inlineStr">
        <is>
          <t>General</t>
        </is>
      </c>
      <c r="F7999" s="5" t="n">
        <v>961</v>
      </c>
      <c r="G7999" s="5" t="n">
        <v>4981</v>
      </c>
      <c r="H7999" s="5" t="n">
        <v>417</v>
      </c>
      <c r="I7999" s="5" t="n">
        <v>242</v>
      </c>
      <c r="J7999" s="5" t="n">
        <v>168</v>
      </c>
      <c r="K7999" s="10">
        <f>IF(F7999&gt;0,H7999/F7999,"")</f>
        <v/>
      </c>
      <c r="L7999" s="16">
        <f>IF(AND(G7999&gt;0,H7999&gt;0),G7999/H7999,"")</f>
        <v/>
      </c>
    </row>
    <row r="8000">
      <c r="A8000" s="4" t="inlineStr">
        <is>
          <t>640</t>
        </is>
      </c>
      <c r="B8000" s="4" t="n">
        <v>6</v>
      </c>
      <c r="C8000" s="4" t="inlineStr">
        <is>
          <t>mule deer</t>
        </is>
      </c>
      <c r="D8000" s="4" t="n">
        <v>2009</v>
      </c>
      <c r="E8000" s="13" t="inlineStr">
        <is>
          <t>General</t>
        </is>
      </c>
      <c r="F8000" s="5" t="n">
        <v>1116</v>
      </c>
      <c r="G8000" s="5" t="n">
        <v>5474</v>
      </c>
      <c r="H8000" s="5" t="n">
        <v>440</v>
      </c>
      <c r="I8000" s="5" t="n">
        <v>244</v>
      </c>
      <c r="J8000" s="5" t="n">
        <v>191</v>
      </c>
      <c r="K8000" s="10">
        <f>IF(F8000&gt;0,H8000/F8000,"")</f>
        <v/>
      </c>
      <c r="L8000" s="16">
        <f>IF(AND(G8000&gt;0,H8000&gt;0),G8000/H8000,"")</f>
        <v/>
      </c>
    </row>
    <row r="8001">
      <c r="A8001" s="4" t="inlineStr">
        <is>
          <t>640</t>
        </is>
      </c>
      <c r="B8001" s="4" t="n">
        <v>6</v>
      </c>
      <c r="C8001" s="4" t="inlineStr">
        <is>
          <t>mule deer</t>
        </is>
      </c>
      <c r="D8001" s="4" t="n">
        <v>2010</v>
      </c>
      <c r="E8001" s="13" t="inlineStr">
        <is>
          <t>General</t>
        </is>
      </c>
      <c r="F8001" s="5" t="n">
        <v>1400</v>
      </c>
      <c r="G8001" s="5" t="n">
        <v>7545</v>
      </c>
      <c r="H8001" s="5" t="n">
        <v>510</v>
      </c>
      <c r="I8001" s="5" t="n">
        <v>275</v>
      </c>
      <c r="J8001" s="5" t="n">
        <v>228</v>
      </c>
      <c r="K8001" s="10">
        <f>IF(F8001&gt;0,H8001/F8001,"")</f>
        <v/>
      </c>
      <c r="L8001" s="16">
        <f>IF(AND(G8001&gt;0,H8001&gt;0),G8001/H8001,"")</f>
        <v/>
      </c>
    </row>
    <row r="8002">
      <c r="A8002" s="4" t="inlineStr">
        <is>
          <t>640</t>
        </is>
      </c>
      <c r="B8002" s="4" t="n">
        <v>6</v>
      </c>
      <c r="C8002" s="4" t="inlineStr">
        <is>
          <t>mule deer</t>
        </is>
      </c>
      <c r="D8002" s="4" t="n">
        <v>2011</v>
      </c>
      <c r="E8002" s="13" t="inlineStr">
        <is>
          <t>General</t>
        </is>
      </c>
      <c r="F8002" s="5" t="n">
        <v>1223</v>
      </c>
      <c r="G8002" s="5" t="n">
        <v>6300</v>
      </c>
      <c r="H8002" s="5" t="n">
        <v>502</v>
      </c>
      <c r="I8002" s="5" t="n">
        <v>327</v>
      </c>
      <c r="J8002" s="5" t="n">
        <v>170</v>
      </c>
      <c r="K8002" s="10">
        <f>IF(F8002&gt;0,H8002/F8002,"")</f>
        <v/>
      </c>
      <c r="L8002" s="16">
        <f>IF(AND(G8002&gt;0,H8002&gt;0),G8002/H8002,"")</f>
        <v/>
      </c>
    </row>
    <row r="8003">
      <c r="A8003" s="4" t="inlineStr">
        <is>
          <t>640</t>
        </is>
      </c>
      <c r="B8003" s="4" t="n">
        <v>6</v>
      </c>
      <c r="C8003" s="4" t="inlineStr">
        <is>
          <t>mule deer</t>
        </is>
      </c>
      <c r="D8003" s="4" t="n">
        <v>2012</v>
      </c>
      <c r="E8003" s="13" t="inlineStr">
        <is>
          <t>General</t>
        </is>
      </c>
      <c r="F8003" s="5" t="n"/>
      <c r="G8003" s="5" t="n"/>
      <c r="H8003" s="5" t="n">
        <v>687</v>
      </c>
      <c r="I8003" s="5" t="n">
        <v>427</v>
      </c>
      <c r="J8003" s="5" t="n">
        <v>256</v>
      </c>
      <c r="K8003" s="10">
        <f>IF(F8003&gt;0,H8003/F8003,"")</f>
        <v/>
      </c>
      <c r="L8003" s="16">
        <f>IF(AND(G8003&gt;0,H8003&gt;0),G8003/H8003,"")</f>
        <v/>
      </c>
    </row>
    <row r="8004">
      <c r="A8004" s="4" t="inlineStr">
        <is>
          <t>640</t>
        </is>
      </c>
      <c r="B8004" s="4" t="n">
        <v>6</v>
      </c>
      <c r="C8004" s="4" t="inlineStr">
        <is>
          <t>mule deer</t>
        </is>
      </c>
      <c r="D8004" s="4" t="n">
        <v>2013</v>
      </c>
      <c r="E8004" s="13" t="inlineStr">
        <is>
          <t>General</t>
        </is>
      </c>
      <c r="F8004" s="5" t="n">
        <v>1636</v>
      </c>
      <c r="G8004" s="5" t="n">
        <v>9126</v>
      </c>
      <c r="H8004" s="5" t="n">
        <v>603</v>
      </c>
      <c r="I8004" s="5" t="n">
        <v>382</v>
      </c>
      <c r="J8004" s="5" t="n">
        <v>222</v>
      </c>
      <c r="K8004" s="10">
        <f>IF(F8004&gt;0,H8004/F8004,"")</f>
        <v/>
      </c>
      <c r="L8004" s="16">
        <f>IF(AND(G8004&gt;0,H8004&gt;0),G8004/H8004,"")</f>
        <v/>
      </c>
    </row>
    <row r="8005">
      <c r="A8005" s="4" t="inlineStr">
        <is>
          <t>640</t>
        </is>
      </c>
      <c r="B8005" s="4" t="n">
        <v>6</v>
      </c>
      <c r="C8005" s="4" t="inlineStr">
        <is>
          <t>mule deer</t>
        </is>
      </c>
      <c r="D8005" s="4" t="n">
        <v>2014</v>
      </c>
      <c r="E8005" s="13" t="inlineStr">
        <is>
          <t>General</t>
        </is>
      </c>
      <c r="F8005" s="5" t="n"/>
      <c r="G8005" s="5" t="n"/>
      <c r="H8005" s="5" t="n">
        <v>378</v>
      </c>
      <c r="I8005" s="5" t="n">
        <v>378</v>
      </c>
      <c r="J8005" s="5" t="n">
        <v>0</v>
      </c>
      <c r="K8005" s="10">
        <f>IF(F8005&gt;0,H8005/F8005,"")</f>
        <v/>
      </c>
      <c r="L8005" s="16">
        <f>IF(AND(G8005&gt;0,H8005&gt;0),G8005/H8005,"")</f>
        <v/>
      </c>
    </row>
    <row r="8006">
      <c r="A8006" s="4" t="inlineStr">
        <is>
          <t>640</t>
        </is>
      </c>
      <c r="B8006" s="4" t="n">
        <v>6</v>
      </c>
      <c r="C8006" s="4" t="inlineStr">
        <is>
          <t>mule deer</t>
        </is>
      </c>
      <c r="D8006" s="4" t="n">
        <v>2015</v>
      </c>
      <c r="E8006" s="13" t="inlineStr">
        <is>
          <t>General</t>
        </is>
      </c>
      <c r="F8006" s="5" t="n"/>
      <c r="G8006" s="5" t="n"/>
      <c r="H8006" s="5" t="n">
        <v>468</v>
      </c>
      <c r="I8006" s="5" t="n">
        <v>445</v>
      </c>
      <c r="J8006" s="5" t="n">
        <v>23</v>
      </c>
      <c r="K8006" s="10">
        <f>IF(F8006&gt;0,H8006/F8006,"")</f>
        <v/>
      </c>
      <c r="L8006" s="16">
        <f>IF(AND(G8006&gt;0,H8006&gt;0),G8006/H8006,"")</f>
        <v/>
      </c>
    </row>
    <row r="8007">
      <c r="A8007" s="4" t="inlineStr">
        <is>
          <t>640</t>
        </is>
      </c>
      <c r="B8007" s="4" t="n">
        <v>6</v>
      </c>
      <c r="C8007" s="4" t="inlineStr">
        <is>
          <t>mule deer</t>
        </is>
      </c>
      <c r="D8007" s="4" t="n">
        <v>2016</v>
      </c>
      <c r="E8007" s="13" t="inlineStr">
        <is>
          <t>General</t>
        </is>
      </c>
      <c r="F8007" s="5" t="n"/>
      <c r="G8007" s="5" t="n"/>
      <c r="H8007" s="5" t="n">
        <v>633</v>
      </c>
      <c r="I8007" s="5" t="n">
        <v>542</v>
      </c>
      <c r="J8007" s="5" t="n">
        <v>87</v>
      </c>
      <c r="K8007" s="10">
        <f>IF(F8007&gt;0,H8007/F8007,"")</f>
        <v/>
      </c>
      <c r="L8007" s="16">
        <f>IF(AND(G8007&gt;0,H8007&gt;0),G8007/H8007,"")</f>
        <v/>
      </c>
    </row>
    <row r="8008">
      <c r="A8008" s="4" t="inlineStr">
        <is>
          <t>640</t>
        </is>
      </c>
      <c r="B8008" s="4" t="n">
        <v>6</v>
      </c>
      <c r="C8008" s="4" t="inlineStr">
        <is>
          <t>mule deer</t>
        </is>
      </c>
      <c r="D8008" s="4" t="n">
        <v>2017</v>
      </c>
      <c r="E8008" s="13" t="inlineStr">
        <is>
          <t>General</t>
        </is>
      </c>
      <c r="F8008" s="5" t="n">
        <v>1278</v>
      </c>
      <c r="G8008" s="5" t="n">
        <v>7227</v>
      </c>
      <c r="H8008" s="5" t="n">
        <v>671</v>
      </c>
      <c r="I8008" s="5" t="n">
        <v>483</v>
      </c>
      <c r="J8008" s="5" t="n">
        <v>188</v>
      </c>
      <c r="K8008" s="10">
        <f>IF(F8008&gt;0,H8008/F8008,"")</f>
        <v/>
      </c>
      <c r="L8008" s="16">
        <f>IF(AND(G8008&gt;0,H8008&gt;0),G8008/H8008,"")</f>
        <v/>
      </c>
    </row>
    <row r="8009">
      <c r="A8009" s="4" t="inlineStr">
        <is>
          <t>640</t>
        </is>
      </c>
      <c r="B8009" s="4" t="n">
        <v>6</v>
      </c>
      <c r="C8009" s="4" t="inlineStr">
        <is>
          <t>mule deer</t>
        </is>
      </c>
      <c r="D8009" s="4" t="n">
        <v>2018</v>
      </c>
      <c r="E8009" s="13" t="inlineStr">
        <is>
          <t>General</t>
        </is>
      </c>
      <c r="F8009" s="5" t="n"/>
      <c r="G8009" s="5" t="n"/>
      <c r="H8009" s="5" t="n">
        <v>725</v>
      </c>
      <c r="I8009" s="5" t="n">
        <v>546</v>
      </c>
      <c r="J8009" s="5" t="n">
        <v>179</v>
      </c>
      <c r="K8009" s="10">
        <f>IF(F8009&gt;0,H8009/F8009,"")</f>
        <v/>
      </c>
      <c r="L8009" s="16">
        <f>IF(AND(G8009&gt;0,H8009&gt;0),G8009/H8009,"")</f>
        <v/>
      </c>
    </row>
    <row r="8010">
      <c r="A8010" s="4" t="inlineStr">
        <is>
          <t>640</t>
        </is>
      </c>
      <c r="B8010" s="4" t="n">
        <v>6</v>
      </c>
      <c r="C8010" s="4" t="inlineStr">
        <is>
          <t>mule deer</t>
        </is>
      </c>
      <c r="D8010" s="4" t="n">
        <v>2019</v>
      </c>
      <c r="E8010" s="13" t="inlineStr">
        <is>
          <t>General</t>
        </is>
      </c>
      <c r="F8010" s="5" t="n">
        <v>1261</v>
      </c>
      <c r="G8010" s="5" t="n">
        <v>6456</v>
      </c>
      <c r="H8010" s="5" t="n">
        <v>723</v>
      </c>
      <c r="I8010" s="5" t="n">
        <v>488</v>
      </c>
      <c r="J8010" s="5" t="n">
        <v>235</v>
      </c>
      <c r="K8010" s="10">
        <f>IF(F8010&gt;0,H8010/F8010,"")</f>
        <v/>
      </c>
      <c r="L8010" s="16">
        <f>IF(AND(G8010&gt;0,H8010&gt;0),G8010/H8010,"")</f>
        <v/>
      </c>
    </row>
    <row r="8011">
      <c r="A8011" s="4" t="inlineStr">
        <is>
          <t>640</t>
        </is>
      </c>
      <c r="B8011" s="4" t="n">
        <v>6</v>
      </c>
      <c r="C8011" s="4" t="inlineStr">
        <is>
          <t>mule deer</t>
        </is>
      </c>
      <c r="D8011" s="4" t="n">
        <v>2020</v>
      </c>
      <c r="E8011" s="13" t="inlineStr">
        <is>
          <t>General</t>
        </is>
      </c>
      <c r="F8011" s="5" t="n"/>
      <c r="G8011" s="5" t="n"/>
      <c r="H8011" s="5" t="n">
        <v>1590</v>
      </c>
      <c r="I8011" s="5" t="n">
        <v>1038</v>
      </c>
      <c r="J8011" s="5" t="n">
        <v>552</v>
      </c>
      <c r="K8011" s="10">
        <f>IF(F8011&gt;0,H8011/F8011,"")</f>
        <v/>
      </c>
      <c r="L8011" s="16">
        <f>IF(AND(G8011&gt;0,H8011&gt;0),G8011/H8011,"")</f>
        <v/>
      </c>
    </row>
    <row r="8012">
      <c r="A8012" s="4" t="inlineStr">
        <is>
          <t>640</t>
        </is>
      </c>
      <c r="B8012" s="4" t="n">
        <v>6</v>
      </c>
      <c r="C8012" s="4" t="inlineStr">
        <is>
          <t>mule deer</t>
        </is>
      </c>
      <c r="D8012" s="4" t="n">
        <v>2021</v>
      </c>
      <c r="E8012" s="13" t="inlineStr">
        <is>
          <t>General</t>
        </is>
      </c>
      <c r="F8012" s="5" t="n">
        <v>2867</v>
      </c>
      <c r="G8012" s="5" t="n">
        <v>16531</v>
      </c>
      <c r="H8012" s="5" t="n">
        <v>1962</v>
      </c>
      <c r="I8012" s="5" t="n">
        <v>1160</v>
      </c>
      <c r="J8012" s="5" t="n">
        <v>794</v>
      </c>
      <c r="K8012" s="10">
        <f>IF(F8012&gt;0,H8012/F8012,"")</f>
        <v/>
      </c>
      <c r="L8012" s="16">
        <f>IF(AND(G8012&gt;0,H8012&gt;0),G8012/H8012,"")</f>
        <v/>
      </c>
    </row>
    <row r="8013">
      <c r="A8013" s="4" t="inlineStr">
        <is>
          <t>640</t>
        </is>
      </c>
      <c r="B8013" s="4" t="n">
        <v>6</v>
      </c>
      <c r="C8013" s="4" t="inlineStr">
        <is>
          <t>mule deer</t>
        </is>
      </c>
      <c r="D8013" s="4" t="n">
        <v>2022</v>
      </c>
      <c r="E8013" s="13" t="inlineStr">
        <is>
          <t>General</t>
        </is>
      </c>
      <c r="F8013" s="5" t="n"/>
      <c r="G8013" s="5" t="n"/>
      <c r="H8013" s="5" t="n">
        <v>1811</v>
      </c>
      <c r="I8013" s="5" t="n">
        <v>1214</v>
      </c>
      <c r="J8013" s="5" t="n">
        <v>584</v>
      </c>
      <c r="K8013" s="10">
        <f>IF(F8013&gt;0,H8013/F8013,"")</f>
        <v/>
      </c>
      <c r="L8013" s="16">
        <f>IF(AND(G8013&gt;0,H8013&gt;0),G8013/H8013,"")</f>
        <v/>
      </c>
    </row>
    <row r="8014">
      <c r="A8014" s="4" t="inlineStr">
        <is>
          <t>640</t>
        </is>
      </c>
      <c r="B8014" s="4" t="n">
        <v>6</v>
      </c>
      <c r="C8014" s="4" t="inlineStr">
        <is>
          <t>mule deer</t>
        </is>
      </c>
      <c r="D8014" s="4" t="n">
        <v>2023</v>
      </c>
      <c r="E8014" s="13" t="inlineStr">
        <is>
          <t>General</t>
        </is>
      </c>
      <c r="F8014" s="5" t="n">
        <v>3542</v>
      </c>
      <c r="G8014" s="5" t="n">
        <v>20669</v>
      </c>
      <c r="H8014" s="5" t="n">
        <v>2230</v>
      </c>
      <c r="I8014" s="5" t="n">
        <v>1393</v>
      </c>
      <c r="J8014" s="5" t="n">
        <v>829</v>
      </c>
      <c r="K8014" s="10">
        <f>IF(F8014&gt;0,H8014/F8014,"")</f>
        <v/>
      </c>
      <c r="L8014" s="16">
        <f>IF(AND(G8014&gt;0,H8014&gt;0),G8014/H8014,"")</f>
        <v/>
      </c>
    </row>
    <row r="8015">
      <c r="A8015" s="4" t="inlineStr">
        <is>
          <t>640</t>
        </is>
      </c>
      <c r="B8015" s="4" t="n">
        <v>6</v>
      </c>
      <c r="C8015" s="4" t="inlineStr">
        <is>
          <t>mule deer</t>
        </is>
      </c>
      <c r="D8015" s="4" t="n">
        <v>2024</v>
      </c>
      <c r="E8015" s="13" t="inlineStr">
        <is>
          <t>General</t>
        </is>
      </c>
      <c r="F8015" s="5" t="n"/>
      <c r="G8015" s="5" t="n"/>
      <c r="H8015" s="5" t="n">
        <v>1678</v>
      </c>
      <c r="I8015" s="5" t="n">
        <v>1265</v>
      </c>
      <c r="J8015" s="5" t="n">
        <v>413</v>
      </c>
      <c r="K8015" s="10">
        <f>IF(F8015&gt;0,H8015/F8015,"")</f>
        <v/>
      </c>
      <c r="L8015" s="16">
        <f>IF(AND(G8015&gt;0,H8015&gt;0),G8015/H8015,"")</f>
        <v/>
      </c>
    </row>
    <row r="8016">
      <c r="A8016" s="4" t="inlineStr">
        <is>
          <t>640</t>
        </is>
      </c>
      <c r="B8016" s="4" t="n">
        <v>6</v>
      </c>
      <c r="C8016" s="4" t="inlineStr">
        <is>
          <t>mule deer</t>
        </is>
      </c>
      <c r="D8016" s="4" t="n">
        <v>2025</v>
      </c>
      <c r="E8016" s="13" t="inlineStr">
        <is>
          <t>General</t>
        </is>
      </c>
      <c r="F8016" s="5" t="n">
        <v>2776</v>
      </c>
      <c r="G8016" s="5" t="n">
        <v>17162</v>
      </c>
      <c r="H8016" s="5" t="n">
        <v>1225</v>
      </c>
      <c r="I8016" s="5" t="n">
        <v>993</v>
      </c>
      <c r="J8016" s="5" t="n">
        <v>230</v>
      </c>
      <c r="K8016" s="10">
        <f>IF(F8016&gt;0,H8016/F8016,"")</f>
        <v/>
      </c>
      <c r="L8016" s="16">
        <f>IF(AND(G8016&gt;0,H8016&gt;0),G8016/H8016,"")</f>
        <v/>
      </c>
    </row>
    <row r="8017">
      <c r="A8017" s="4" t="inlineStr">
        <is>
          <t>641</t>
        </is>
      </c>
      <c r="B8017" s="4" t="n">
        <v>6</v>
      </c>
      <c r="C8017" s="4" t="inlineStr">
        <is>
          <t>mule deer</t>
        </is>
      </c>
      <c r="D8017" s="4" t="n">
        <v>2004</v>
      </c>
      <c r="E8017" s="4" t="inlineStr"/>
      <c r="F8017" s="5" t="n">
        <v>493</v>
      </c>
      <c r="G8017" s="5" t="n">
        <v>2743</v>
      </c>
      <c r="H8017" s="5" t="n">
        <v>48</v>
      </c>
      <c r="I8017" s="5" t="n">
        <v>47</v>
      </c>
      <c r="J8017" s="5" t="n">
        <v>1</v>
      </c>
      <c r="K8017" s="10">
        <f>IF(F8017&gt;0,H8017/F8017,"")</f>
        <v/>
      </c>
      <c r="L8017" s="16">
        <f>IF(AND(G8017&gt;0,H8017&gt;0),G8017/H8017,"")</f>
        <v/>
      </c>
    </row>
    <row r="8018">
      <c r="A8018" s="4" t="inlineStr">
        <is>
          <t>641</t>
        </is>
      </c>
      <c r="B8018" s="4" t="n">
        <v>6</v>
      </c>
      <c r="C8018" s="4" t="inlineStr">
        <is>
          <t>mule deer</t>
        </is>
      </c>
      <c r="D8018" s="4" t="n">
        <v>2005</v>
      </c>
      <c r="E8018" s="4" t="inlineStr"/>
      <c r="F8018" s="5" t="n">
        <v>561</v>
      </c>
      <c r="G8018" s="5" t="n">
        <v>2729</v>
      </c>
      <c r="H8018" s="5" t="n">
        <v>58</v>
      </c>
      <c r="I8018" s="5" t="n">
        <v>52</v>
      </c>
      <c r="J8018" s="5" t="n">
        <v>4</v>
      </c>
      <c r="K8018" s="10">
        <f>IF(F8018&gt;0,H8018/F8018,"")</f>
        <v/>
      </c>
      <c r="L8018" s="16">
        <f>IF(AND(G8018&gt;0,H8018&gt;0),G8018/H8018,"")</f>
        <v/>
      </c>
    </row>
    <row r="8019">
      <c r="A8019" s="4" t="inlineStr">
        <is>
          <t>641</t>
        </is>
      </c>
      <c r="B8019" s="4" t="n">
        <v>6</v>
      </c>
      <c r="C8019" s="4" t="inlineStr">
        <is>
          <t>mule deer</t>
        </is>
      </c>
      <c r="D8019" s="4" t="n">
        <v>2006</v>
      </c>
      <c r="E8019" s="4" t="inlineStr"/>
      <c r="F8019" s="5" t="n">
        <v>412</v>
      </c>
      <c r="G8019" s="5" t="n">
        <v>2153</v>
      </c>
      <c r="H8019" s="5" t="n">
        <v>59</v>
      </c>
      <c r="I8019" s="5" t="n">
        <v>52</v>
      </c>
      <c r="J8019" s="5" t="n">
        <v>7</v>
      </c>
      <c r="K8019" s="10">
        <f>IF(F8019&gt;0,H8019/F8019,"")</f>
        <v/>
      </c>
      <c r="L8019" s="16">
        <f>IF(AND(G8019&gt;0,H8019&gt;0),G8019/H8019,"")</f>
        <v/>
      </c>
    </row>
    <row r="8020">
      <c r="A8020" s="4" t="inlineStr">
        <is>
          <t>641</t>
        </is>
      </c>
      <c r="B8020" s="4" t="n">
        <v>6</v>
      </c>
      <c r="C8020" s="4" t="inlineStr">
        <is>
          <t>mule deer</t>
        </is>
      </c>
      <c r="D8020" s="4" t="n">
        <v>2007</v>
      </c>
      <c r="E8020" s="4" t="inlineStr"/>
      <c r="F8020" s="5" t="n">
        <v>571</v>
      </c>
      <c r="G8020" s="5" t="n">
        <v>2760</v>
      </c>
      <c r="H8020" s="5" t="n">
        <v>105</v>
      </c>
      <c r="I8020" s="5" t="n">
        <v>101</v>
      </c>
      <c r="J8020" s="5" t="n">
        <v>0</v>
      </c>
      <c r="K8020" s="10">
        <f>IF(F8020&gt;0,H8020/F8020,"")</f>
        <v/>
      </c>
      <c r="L8020" s="16">
        <f>IF(AND(G8020&gt;0,H8020&gt;0),G8020/H8020,"")</f>
        <v/>
      </c>
    </row>
    <row r="8021">
      <c r="A8021" s="4" t="inlineStr">
        <is>
          <t>641</t>
        </is>
      </c>
      <c r="B8021" s="4" t="n">
        <v>6</v>
      </c>
      <c r="C8021" s="4" t="inlineStr">
        <is>
          <t>mule deer</t>
        </is>
      </c>
      <c r="D8021" s="4" t="n">
        <v>2008</v>
      </c>
      <c r="E8021" s="4" t="inlineStr"/>
      <c r="F8021" s="5" t="n">
        <v>939</v>
      </c>
      <c r="G8021" s="5" t="n">
        <v>4959</v>
      </c>
      <c r="H8021" s="5" t="n">
        <v>172</v>
      </c>
      <c r="I8021" s="5" t="n">
        <v>107</v>
      </c>
      <c r="J8021" s="5" t="n">
        <v>65</v>
      </c>
      <c r="K8021" s="10">
        <f>IF(F8021&gt;0,H8021/F8021,"")</f>
        <v/>
      </c>
      <c r="L8021" s="16">
        <f>IF(AND(G8021&gt;0,H8021&gt;0),G8021/H8021,"")</f>
        <v/>
      </c>
    </row>
    <row r="8022">
      <c r="A8022" s="4" t="inlineStr">
        <is>
          <t>641</t>
        </is>
      </c>
      <c r="B8022" s="4" t="n">
        <v>6</v>
      </c>
      <c r="C8022" s="4" t="inlineStr">
        <is>
          <t>mule deer</t>
        </is>
      </c>
      <c r="D8022" s="4" t="n">
        <v>2009</v>
      </c>
      <c r="E8022" s="4" t="inlineStr"/>
      <c r="F8022" s="5" t="n">
        <v>631</v>
      </c>
      <c r="G8022" s="5" t="n">
        <v>3098</v>
      </c>
      <c r="H8022" s="5" t="n">
        <v>134</v>
      </c>
      <c r="I8022" s="5" t="n">
        <v>77</v>
      </c>
      <c r="J8022" s="5" t="n">
        <v>56</v>
      </c>
      <c r="K8022" s="10">
        <f>IF(F8022&gt;0,H8022/F8022,"")</f>
        <v/>
      </c>
      <c r="L8022" s="16">
        <f>IF(AND(G8022&gt;0,H8022&gt;0),G8022/H8022,"")</f>
        <v/>
      </c>
    </row>
    <row r="8023">
      <c r="A8023" s="4" t="inlineStr">
        <is>
          <t>641</t>
        </is>
      </c>
      <c r="B8023" s="4" t="n">
        <v>6</v>
      </c>
      <c r="C8023" s="4" t="inlineStr">
        <is>
          <t>mule deer</t>
        </is>
      </c>
      <c r="D8023" s="4" t="n">
        <v>2010</v>
      </c>
      <c r="E8023" s="4" t="inlineStr"/>
      <c r="F8023" s="5" t="n">
        <v>563</v>
      </c>
      <c r="G8023" s="5" t="n">
        <v>3032</v>
      </c>
      <c r="H8023" s="5" t="n">
        <v>97</v>
      </c>
      <c r="I8023" s="5" t="n">
        <v>59</v>
      </c>
      <c r="J8023" s="5" t="n">
        <v>37</v>
      </c>
      <c r="K8023" s="10">
        <f>IF(F8023&gt;0,H8023/F8023,"")</f>
        <v/>
      </c>
      <c r="L8023" s="16">
        <f>IF(AND(G8023&gt;0,H8023&gt;0),G8023/H8023,"")</f>
        <v/>
      </c>
    </row>
    <row r="8024">
      <c r="A8024" s="4" t="inlineStr">
        <is>
          <t>641</t>
        </is>
      </c>
      <c r="B8024" s="4" t="n">
        <v>6</v>
      </c>
      <c r="C8024" s="4" t="inlineStr">
        <is>
          <t>mule deer</t>
        </is>
      </c>
      <c r="D8024" s="4" t="n">
        <v>2011</v>
      </c>
      <c r="E8024" s="4" t="inlineStr"/>
      <c r="F8024" s="5" t="n">
        <v>477</v>
      </c>
      <c r="G8024" s="5" t="n">
        <v>2431</v>
      </c>
      <c r="H8024" s="5" t="n">
        <v>45</v>
      </c>
      <c r="I8024" s="5" t="n">
        <v>33</v>
      </c>
      <c r="J8024" s="5" t="n">
        <v>12</v>
      </c>
      <c r="K8024" s="10">
        <f>IF(F8024&gt;0,H8024/F8024,"")</f>
        <v/>
      </c>
      <c r="L8024" s="16">
        <f>IF(AND(G8024&gt;0,H8024&gt;0),G8024/H8024,"")</f>
        <v/>
      </c>
    </row>
    <row r="8025">
      <c r="A8025" s="4" t="inlineStr">
        <is>
          <t>641</t>
        </is>
      </c>
      <c r="B8025" s="4" t="n">
        <v>6</v>
      </c>
      <c r="C8025" s="4" t="inlineStr">
        <is>
          <t>mule deer</t>
        </is>
      </c>
      <c r="D8025" s="4" t="n">
        <v>2012</v>
      </c>
      <c r="E8025" s="4" t="inlineStr"/>
      <c r="F8025" s="5" t="n"/>
      <c r="G8025" s="5" t="n"/>
      <c r="H8025" s="5" t="n">
        <v>114</v>
      </c>
      <c r="I8025" s="5" t="n">
        <v>94</v>
      </c>
      <c r="J8025" s="5" t="n">
        <v>21</v>
      </c>
      <c r="K8025" s="10">
        <f>IF(F8025&gt;0,H8025/F8025,"")</f>
        <v/>
      </c>
      <c r="L8025" s="16">
        <f>IF(AND(G8025&gt;0,H8025&gt;0),G8025/H8025,"")</f>
        <v/>
      </c>
    </row>
    <row r="8026">
      <c r="A8026" s="4" t="inlineStr">
        <is>
          <t>641</t>
        </is>
      </c>
      <c r="B8026" s="4" t="n">
        <v>6</v>
      </c>
      <c r="C8026" s="4" t="inlineStr">
        <is>
          <t>mule deer</t>
        </is>
      </c>
      <c r="D8026" s="4" t="n">
        <v>2013</v>
      </c>
      <c r="E8026" s="4" t="inlineStr"/>
      <c r="F8026" s="5" t="n">
        <v>583</v>
      </c>
      <c r="G8026" s="5" t="n">
        <v>3469</v>
      </c>
      <c r="H8026" s="5" t="n">
        <v>98</v>
      </c>
      <c r="I8026" s="5" t="n">
        <v>73</v>
      </c>
      <c r="J8026" s="5" t="n">
        <v>25</v>
      </c>
      <c r="K8026" s="10">
        <f>IF(F8026&gt;0,H8026/F8026,"")</f>
        <v/>
      </c>
      <c r="L8026" s="16">
        <f>IF(AND(G8026&gt;0,H8026&gt;0),G8026/H8026,"")</f>
        <v/>
      </c>
    </row>
    <row r="8027">
      <c r="A8027" s="4" t="inlineStr">
        <is>
          <t>641</t>
        </is>
      </c>
      <c r="B8027" s="4" t="n">
        <v>6</v>
      </c>
      <c r="C8027" s="4" t="inlineStr">
        <is>
          <t>mule deer</t>
        </is>
      </c>
      <c r="D8027" s="4" t="n">
        <v>2014</v>
      </c>
      <c r="E8027" s="4" t="inlineStr"/>
      <c r="F8027" s="5" t="n"/>
      <c r="G8027" s="5" t="n"/>
      <c r="H8027" s="5" t="n">
        <v>45</v>
      </c>
      <c r="I8027" s="5" t="n">
        <v>45</v>
      </c>
      <c r="J8027" s="5" t="n">
        <v>0</v>
      </c>
      <c r="K8027" s="10">
        <f>IF(F8027&gt;0,H8027/F8027,"")</f>
        <v/>
      </c>
      <c r="L8027" s="16">
        <f>IF(AND(G8027&gt;0,H8027&gt;0),G8027/H8027,"")</f>
        <v/>
      </c>
    </row>
    <row r="8028">
      <c r="A8028" s="4" t="inlineStr">
        <is>
          <t>641</t>
        </is>
      </c>
      <c r="B8028" s="4" t="n">
        <v>6</v>
      </c>
      <c r="C8028" s="4" t="inlineStr">
        <is>
          <t>mule deer</t>
        </is>
      </c>
      <c r="D8028" s="4" t="n">
        <v>2015</v>
      </c>
      <c r="E8028" s="4" t="inlineStr"/>
      <c r="F8028" s="5" t="n"/>
      <c r="G8028" s="5" t="n"/>
      <c r="H8028" s="5" t="n">
        <v>94</v>
      </c>
      <c r="I8028" s="5" t="n">
        <v>92</v>
      </c>
      <c r="J8028" s="5" t="n">
        <v>3</v>
      </c>
      <c r="K8028" s="10">
        <f>IF(F8028&gt;0,H8028/F8028,"")</f>
        <v/>
      </c>
      <c r="L8028" s="16">
        <f>IF(AND(G8028&gt;0,H8028&gt;0),G8028/H8028,"")</f>
        <v/>
      </c>
    </row>
    <row r="8029">
      <c r="A8029" s="4" t="inlineStr">
        <is>
          <t>641</t>
        </is>
      </c>
      <c r="B8029" s="4" t="n">
        <v>6</v>
      </c>
      <c r="C8029" s="4" t="inlineStr">
        <is>
          <t>mule deer</t>
        </is>
      </c>
      <c r="D8029" s="4" t="n">
        <v>2016</v>
      </c>
      <c r="E8029" s="4" t="inlineStr"/>
      <c r="F8029" s="5" t="n"/>
      <c r="G8029" s="5" t="n"/>
      <c r="H8029" s="5" t="n">
        <v>157</v>
      </c>
      <c r="I8029" s="5" t="n">
        <v>147</v>
      </c>
      <c r="J8029" s="5" t="n">
        <v>10</v>
      </c>
      <c r="K8029" s="10">
        <f>IF(F8029&gt;0,H8029/F8029,"")</f>
        <v/>
      </c>
      <c r="L8029" s="16">
        <f>IF(AND(G8029&gt;0,H8029&gt;0),G8029/H8029,"")</f>
        <v/>
      </c>
    </row>
    <row r="8030">
      <c r="A8030" s="4" t="inlineStr">
        <is>
          <t>641</t>
        </is>
      </c>
      <c r="B8030" s="4" t="n">
        <v>6</v>
      </c>
      <c r="C8030" s="4" t="inlineStr">
        <is>
          <t>mule deer</t>
        </is>
      </c>
      <c r="D8030" s="4" t="n">
        <v>2017</v>
      </c>
      <c r="E8030" s="4" t="inlineStr"/>
      <c r="F8030" s="5" t="n">
        <v>413</v>
      </c>
      <c r="G8030" s="5" t="n">
        <v>2754</v>
      </c>
      <c r="H8030" s="5" t="n">
        <v>100</v>
      </c>
      <c r="I8030" s="5" t="n">
        <v>97</v>
      </c>
      <c r="J8030" s="5" t="n">
        <v>3</v>
      </c>
      <c r="K8030" s="10">
        <f>IF(F8030&gt;0,H8030/F8030,"")</f>
        <v/>
      </c>
      <c r="L8030" s="16">
        <f>IF(AND(G8030&gt;0,H8030&gt;0),G8030/H8030,"")</f>
        <v/>
      </c>
    </row>
    <row r="8031">
      <c r="A8031" s="4" t="inlineStr">
        <is>
          <t>641</t>
        </is>
      </c>
      <c r="B8031" s="4" t="n">
        <v>6</v>
      </c>
      <c r="C8031" s="4" t="inlineStr">
        <is>
          <t>mule deer</t>
        </is>
      </c>
      <c r="D8031" s="4" t="n">
        <v>2018</v>
      </c>
      <c r="E8031" s="4" t="inlineStr"/>
      <c r="F8031" s="5" t="n"/>
      <c r="G8031" s="5" t="n"/>
      <c r="H8031" s="5" t="n">
        <v>159</v>
      </c>
      <c r="I8031" s="5" t="n">
        <v>104</v>
      </c>
      <c r="J8031" s="5" t="n">
        <v>55</v>
      </c>
      <c r="K8031" s="10">
        <f>IF(F8031&gt;0,H8031/F8031,"")</f>
        <v/>
      </c>
      <c r="L8031" s="16">
        <f>IF(AND(G8031&gt;0,H8031&gt;0),G8031/H8031,"")</f>
        <v/>
      </c>
    </row>
    <row r="8032">
      <c r="A8032" s="4" t="inlineStr">
        <is>
          <t>641</t>
        </is>
      </c>
      <c r="B8032" s="4" t="n">
        <v>6</v>
      </c>
      <c r="C8032" s="4" t="inlineStr">
        <is>
          <t>mule deer</t>
        </is>
      </c>
      <c r="D8032" s="4" t="n">
        <v>2019</v>
      </c>
      <c r="E8032" s="4" t="inlineStr"/>
      <c r="F8032" s="5" t="n">
        <v>451</v>
      </c>
      <c r="G8032" s="5" t="n">
        <v>2313</v>
      </c>
      <c r="H8032" s="5" t="n">
        <v>172</v>
      </c>
      <c r="I8032" s="5" t="n">
        <v>90</v>
      </c>
      <c r="J8032" s="5" t="n">
        <v>78</v>
      </c>
      <c r="K8032" s="10">
        <f>IF(F8032&gt;0,H8032/F8032,"")</f>
        <v/>
      </c>
      <c r="L8032" s="16">
        <f>IF(AND(G8032&gt;0,H8032&gt;0),G8032/H8032,"")</f>
        <v/>
      </c>
    </row>
    <row r="8033">
      <c r="A8033" s="4" t="inlineStr">
        <is>
          <t>650</t>
        </is>
      </c>
      <c r="B8033" s="4" t="n">
        <v>6</v>
      </c>
      <c r="C8033" s="4" t="inlineStr">
        <is>
          <t>mule deer</t>
        </is>
      </c>
      <c r="D8033" s="4" t="n">
        <v>2004</v>
      </c>
      <c r="E8033" s="13" t="inlineStr">
        <is>
          <t>General</t>
        </is>
      </c>
      <c r="F8033" s="5" t="n">
        <v>1158</v>
      </c>
      <c r="G8033" s="5" t="n">
        <v>5425</v>
      </c>
      <c r="H8033" s="5" t="n">
        <v>578</v>
      </c>
      <c r="I8033" s="5" t="n">
        <v>396</v>
      </c>
      <c r="J8033" s="5" t="n">
        <v>172</v>
      </c>
      <c r="K8033" s="10">
        <f>IF(F8033&gt;0,H8033/F8033,"")</f>
        <v/>
      </c>
      <c r="L8033" s="16">
        <f>IF(AND(G8033&gt;0,H8033&gt;0),G8033/H8033,"")</f>
        <v/>
      </c>
    </row>
    <row r="8034">
      <c r="A8034" s="4" t="inlineStr">
        <is>
          <t>650</t>
        </is>
      </c>
      <c r="B8034" s="4" t="n">
        <v>6</v>
      </c>
      <c r="C8034" s="4" t="inlineStr">
        <is>
          <t>mule deer</t>
        </is>
      </c>
      <c r="D8034" s="4" t="n">
        <v>2005</v>
      </c>
      <c r="E8034" s="13" t="inlineStr">
        <is>
          <t>General</t>
        </is>
      </c>
      <c r="F8034" s="5" t="n">
        <v>993</v>
      </c>
      <c r="G8034" s="5" t="n">
        <v>4111</v>
      </c>
      <c r="H8034" s="5" t="n">
        <v>362</v>
      </c>
      <c r="I8034" s="5" t="n">
        <v>297</v>
      </c>
      <c r="J8034" s="5" t="n">
        <v>65</v>
      </c>
      <c r="K8034" s="10">
        <f>IF(F8034&gt;0,H8034/F8034,"")</f>
        <v/>
      </c>
      <c r="L8034" s="16">
        <f>IF(AND(G8034&gt;0,H8034&gt;0),G8034/H8034,"")</f>
        <v/>
      </c>
    </row>
    <row r="8035">
      <c r="A8035" s="4" t="inlineStr">
        <is>
          <t>650</t>
        </is>
      </c>
      <c r="B8035" s="4" t="n">
        <v>6</v>
      </c>
      <c r="C8035" s="4" t="inlineStr">
        <is>
          <t>mule deer</t>
        </is>
      </c>
      <c r="D8035" s="4" t="n">
        <v>2006</v>
      </c>
      <c r="E8035" s="13" t="inlineStr">
        <is>
          <t>General</t>
        </is>
      </c>
      <c r="F8035" s="5" t="n">
        <v>938</v>
      </c>
      <c r="G8035" s="5" t="n">
        <v>4298</v>
      </c>
      <c r="H8035" s="5" t="n">
        <v>407</v>
      </c>
      <c r="I8035" s="5" t="n">
        <v>287</v>
      </c>
      <c r="J8035" s="5" t="n">
        <v>117</v>
      </c>
      <c r="K8035" s="10">
        <f>IF(F8035&gt;0,H8035/F8035,"")</f>
        <v/>
      </c>
      <c r="L8035" s="16">
        <f>IF(AND(G8035&gt;0,H8035&gt;0),G8035/H8035,"")</f>
        <v/>
      </c>
    </row>
    <row r="8036">
      <c r="A8036" s="4" t="inlineStr">
        <is>
          <t>650</t>
        </is>
      </c>
      <c r="B8036" s="4" t="n">
        <v>6</v>
      </c>
      <c r="C8036" s="4" t="inlineStr">
        <is>
          <t>mule deer</t>
        </is>
      </c>
      <c r="D8036" s="4" t="n">
        <v>2007</v>
      </c>
      <c r="E8036" s="13" t="inlineStr">
        <is>
          <t>General</t>
        </is>
      </c>
      <c r="F8036" s="5" t="n">
        <v>1158</v>
      </c>
      <c r="G8036" s="5" t="n">
        <v>5202</v>
      </c>
      <c r="H8036" s="5" t="n">
        <v>528</v>
      </c>
      <c r="I8036" s="5" t="n">
        <v>402</v>
      </c>
      <c r="J8036" s="5" t="n">
        <v>126</v>
      </c>
      <c r="K8036" s="10">
        <f>IF(F8036&gt;0,H8036/F8036,"")</f>
        <v/>
      </c>
      <c r="L8036" s="16">
        <f>IF(AND(G8036&gt;0,H8036&gt;0),G8036/H8036,"")</f>
        <v/>
      </c>
    </row>
    <row r="8037">
      <c r="A8037" s="4" t="inlineStr">
        <is>
          <t>650</t>
        </is>
      </c>
      <c r="B8037" s="4" t="n">
        <v>6</v>
      </c>
      <c r="C8037" s="4" t="inlineStr">
        <is>
          <t>mule deer</t>
        </is>
      </c>
      <c r="D8037" s="4" t="n">
        <v>2008</v>
      </c>
      <c r="E8037" s="13" t="inlineStr">
        <is>
          <t>General</t>
        </is>
      </c>
      <c r="F8037" s="5" t="n">
        <v>1169</v>
      </c>
      <c r="G8037" s="5" t="n">
        <v>5183</v>
      </c>
      <c r="H8037" s="5" t="n">
        <v>583</v>
      </c>
      <c r="I8037" s="5" t="n">
        <v>390</v>
      </c>
      <c r="J8037" s="5" t="n">
        <v>191</v>
      </c>
      <c r="K8037" s="10">
        <f>IF(F8037&gt;0,H8037/F8037,"")</f>
        <v/>
      </c>
      <c r="L8037" s="16">
        <f>IF(AND(G8037&gt;0,H8037&gt;0),G8037/H8037,"")</f>
        <v/>
      </c>
    </row>
    <row r="8038">
      <c r="A8038" s="4" t="inlineStr">
        <is>
          <t>650</t>
        </is>
      </c>
      <c r="B8038" s="4" t="n">
        <v>6</v>
      </c>
      <c r="C8038" s="4" t="inlineStr">
        <is>
          <t>mule deer</t>
        </is>
      </c>
      <c r="D8038" s="4" t="n">
        <v>2009</v>
      </c>
      <c r="E8038" s="13" t="inlineStr">
        <is>
          <t>General</t>
        </is>
      </c>
      <c r="F8038" s="5" t="n">
        <v>1159</v>
      </c>
      <c r="G8038" s="5" t="n">
        <v>5929</v>
      </c>
      <c r="H8038" s="5" t="n">
        <v>531</v>
      </c>
      <c r="I8038" s="5" t="n">
        <v>345</v>
      </c>
      <c r="J8038" s="5" t="n">
        <v>180</v>
      </c>
      <c r="K8038" s="10">
        <f>IF(F8038&gt;0,H8038/F8038,"")</f>
        <v/>
      </c>
      <c r="L8038" s="16">
        <f>IF(AND(G8038&gt;0,H8038&gt;0),G8038/H8038,"")</f>
        <v/>
      </c>
    </row>
    <row r="8039">
      <c r="A8039" s="4" t="inlineStr">
        <is>
          <t>650</t>
        </is>
      </c>
      <c r="B8039" s="4" t="n">
        <v>6</v>
      </c>
      <c r="C8039" s="4" t="inlineStr">
        <is>
          <t>mule deer</t>
        </is>
      </c>
      <c r="D8039" s="4" t="n">
        <v>2010</v>
      </c>
      <c r="E8039" s="13" t="inlineStr">
        <is>
          <t>General</t>
        </is>
      </c>
      <c r="F8039" s="5" t="n">
        <v>1312</v>
      </c>
      <c r="G8039" s="5" t="n">
        <v>6127</v>
      </c>
      <c r="H8039" s="5" t="n">
        <v>421</v>
      </c>
      <c r="I8039" s="5" t="n">
        <v>297</v>
      </c>
      <c r="J8039" s="5" t="n">
        <v>116</v>
      </c>
      <c r="K8039" s="10">
        <f>IF(F8039&gt;0,H8039/F8039,"")</f>
        <v/>
      </c>
      <c r="L8039" s="16">
        <f>IF(AND(G8039&gt;0,H8039&gt;0),G8039/H8039,"")</f>
        <v/>
      </c>
    </row>
    <row r="8040">
      <c r="A8040" s="4" t="inlineStr">
        <is>
          <t>650</t>
        </is>
      </c>
      <c r="B8040" s="4" t="n">
        <v>6</v>
      </c>
      <c r="C8040" s="4" t="inlineStr">
        <is>
          <t>mule deer</t>
        </is>
      </c>
      <c r="D8040" s="4" t="n">
        <v>2011</v>
      </c>
      <c r="E8040" s="13" t="inlineStr">
        <is>
          <t>General</t>
        </is>
      </c>
      <c r="F8040" s="5" t="n">
        <v>915</v>
      </c>
      <c r="G8040" s="5" t="n">
        <v>4204</v>
      </c>
      <c r="H8040" s="5" t="n">
        <v>324</v>
      </c>
      <c r="I8040" s="5" t="n">
        <v>254</v>
      </c>
      <c r="J8040" s="5" t="n">
        <v>67</v>
      </c>
      <c r="K8040" s="10">
        <f>IF(F8040&gt;0,H8040/F8040,"")</f>
        <v/>
      </c>
      <c r="L8040" s="16">
        <f>IF(AND(G8040&gt;0,H8040&gt;0),G8040/H8040,"")</f>
        <v/>
      </c>
    </row>
    <row r="8041">
      <c r="A8041" s="4" t="inlineStr">
        <is>
          <t>650</t>
        </is>
      </c>
      <c r="B8041" s="4" t="n">
        <v>6</v>
      </c>
      <c r="C8041" s="4" t="inlineStr">
        <is>
          <t>mule deer</t>
        </is>
      </c>
      <c r="D8041" s="4" t="n">
        <v>2012</v>
      </c>
      <c r="E8041" s="13" t="inlineStr">
        <is>
          <t>General</t>
        </is>
      </c>
      <c r="F8041" s="5" t="n"/>
      <c r="G8041" s="5" t="n"/>
      <c r="H8041" s="5" t="n">
        <v>340</v>
      </c>
      <c r="I8041" s="5" t="n">
        <v>265</v>
      </c>
      <c r="J8041" s="5" t="n">
        <v>76</v>
      </c>
      <c r="K8041" s="10">
        <f>IF(F8041&gt;0,H8041/F8041,"")</f>
        <v/>
      </c>
      <c r="L8041" s="16">
        <f>IF(AND(G8041&gt;0,H8041&gt;0),G8041/H8041,"")</f>
        <v/>
      </c>
    </row>
    <row r="8042">
      <c r="A8042" s="4" t="inlineStr">
        <is>
          <t>650</t>
        </is>
      </c>
      <c r="B8042" s="4" t="n">
        <v>6</v>
      </c>
      <c r="C8042" s="4" t="inlineStr">
        <is>
          <t>mule deer</t>
        </is>
      </c>
      <c r="D8042" s="4" t="n">
        <v>2013</v>
      </c>
      <c r="E8042" s="13" t="inlineStr">
        <is>
          <t>General</t>
        </is>
      </c>
      <c r="F8042" s="5" t="n">
        <v>977</v>
      </c>
      <c r="G8042" s="5" t="n">
        <v>4379</v>
      </c>
      <c r="H8042" s="5" t="n">
        <v>300</v>
      </c>
      <c r="I8042" s="5" t="n">
        <v>246</v>
      </c>
      <c r="J8042" s="5" t="n">
        <v>55</v>
      </c>
      <c r="K8042" s="10">
        <f>IF(F8042&gt;0,H8042/F8042,"")</f>
        <v/>
      </c>
      <c r="L8042" s="16">
        <f>IF(AND(G8042&gt;0,H8042&gt;0),G8042/H8042,"")</f>
        <v/>
      </c>
    </row>
    <row r="8043">
      <c r="A8043" s="4" t="inlineStr">
        <is>
          <t>650</t>
        </is>
      </c>
      <c r="B8043" s="4" t="n">
        <v>6</v>
      </c>
      <c r="C8043" s="4" t="inlineStr">
        <is>
          <t>mule deer</t>
        </is>
      </c>
      <c r="D8043" s="4" t="n">
        <v>2014</v>
      </c>
      <c r="E8043" s="13" t="inlineStr">
        <is>
          <t>General</t>
        </is>
      </c>
      <c r="F8043" s="5" t="n"/>
      <c r="G8043" s="5" t="n"/>
      <c r="H8043" s="5" t="n">
        <v>257</v>
      </c>
      <c r="I8043" s="5" t="n">
        <v>254</v>
      </c>
      <c r="J8043" s="5" t="n">
        <v>3</v>
      </c>
      <c r="K8043" s="10">
        <f>IF(F8043&gt;0,H8043/F8043,"")</f>
        <v/>
      </c>
      <c r="L8043" s="16">
        <f>IF(AND(G8043&gt;0,H8043&gt;0),G8043/H8043,"")</f>
        <v/>
      </c>
    </row>
    <row r="8044">
      <c r="A8044" s="4" t="inlineStr">
        <is>
          <t>650</t>
        </is>
      </c>
      <c r="B8044" s="4" t="n">
        <v>6</v>
      </c>
      <c r="C8044" s="4" t="inlineStr">
        <is>
          <t>mule deer</t>
        </is>
      </c>
      <c r="D8044" s="4" t="n">
        <v>2015</v>
      </c>
      <c r="E8044" s="13" t="inlineStr">
        <is>
          <t>General</t>
        </is>
      </c>
      <c r="F8044" s="5" t="n"/>
      <c r="G8044" s="5" t="n"/>
      <c r="H8044" s="5" t="n">
        <v>398</v>
      </c>
      <c r="I8044" s="5" t="n">
        <v>375</v>
      </c>
      <c r="J8044" s="5" t="n">
        <v>23</v>
      </c>
      <c r="K8044" s="10">
        <f>IF(F8044&gt;0,H8044/F8044,"")</f>
        <v/>
      </c>
      <c r="L8044" s="16">
        <f>IF(AND(G8044&gt;0,H8044&gt;0),G8044/H8044,"")</f>
        <v/>
      </c>
    </row>
    <row r="8045">
      <c r="A8045" s="4" t="inlineStr">
        <is>
          <t>650</t>
        </is>
      </c>
      <c r="B8045" s="4" t="n">
        <v>6</v>
      </c>
      <c r="C8045" s="4" t="inlineStr">
        <is>
          <t>mule deer</t>
        </is>
      </c>
      <c r="D8045" s="4" t="n">
        <v>2016</v>
      </c>
      <c r="E8045" s="13" t="inlineStr">
        <is>
          <t>General</t>
        </is>
      </c>
      <c r="F8045" s="5" t="n"/>
      <c r="G8045" s="5" t="n"/>
      <c r="H8045" s="5" t="n">
        <v>620</v>
      </c>
      <c r="I8045" s="5" t="n">
        <v>523</v>
      </c>
      <c r="J8045" s="5" t="n">
        <v>89</v>
      </c>
      <c r="K8045" s="10">
        <f>IF(F8045&gt;0,H8045/F8045,"")</f>
        <v/>
      </c>
      <c r="L8045" s="16">
        <f>IF(AND(G8045&gt;0,H8045&gt;0),G8045/H8045,"")</f>
        <v/>
      </c>
    </row>
    <row r="8046">
      <c r="A8046" s="4" t="inlineStr">
        <is>
          <t>650</t>
        </is>
      </c>
      <c r="B8046" s="4" t="n">
        <v>6</v>
      </c>
      <c r="C8046" s="4" t="inlineStr">
        <is>
          <t>mule deer</t>
        </is>
      </c>
      <c r="D8046" s="4" t="n">
        <v>2017</v>
      </c>
      <c r="E8046" s="13" t="inlineStr">
        <is>
          <t>General</t>
        </is>
      </c>
      <c r="F8046" s="5" t="n">
        <v>1056</v>
      </c>
      <c r="G8046" s="5" t="n">
        <v>4907</v>
      </c>
      <c r="H8046" s="5" t="n">
        <v>649</v>
      </c>
      <c r="I8046" s="5" t="n">
        <v>443</v>
      </c>
      <c r="J8046" s="5" t="n">
        <v>206</v>
      </c>
      <c r="K8046" s="10">
        <f>IF(F8046&gt;0,H8046/F8046,"")</f>
        <v/>
      </c>
      <c r="L8046" s="16">
        <f>IF(AND(G8046&gt;0,H8046&gt;0),G8046/H8046,"")</f>
        <v/>
      </c>
    </row>
    <row r="8047">
      <c r="A8047" s="4" t="inlineStr">
        <is>
          <t>650</t>
        </is>
      </c>
      <c r="B8047" s="4" t="n">
        <v>6</v>
      </c>
      <c r="C8047" s="4" t="inlineStr">
        <is>
          <t>mule deer</t>
        </is>
      </c>
      <c r="D8047" s="4" t="n">
        <v>2018</v>
      </c>
      <c r="E8047" s="13" t="inlineStr">
        <is>
          <t>General</t>
        </is>
      </c>
      <c r="F8047" s="5" t="n"/>
      <c r="G8047" s="5" t="n"/>
      <c r="H8047" s="5" t="n">
        <v>667</v>
      </c>
      <c r="I8047" s="5" t="n">
        <v>479</v>
      </c>
      <c r="J8047" s="5" t="n">
        <v>183</v>
      </c>
      <c r="K8047" s="10">
        <f>IF(F8047&gt;0,H8047/F8047,"")</f>
        <v/>
      </c>
      <c r="L8047" s="16">
        <f>IF(AND(G8047&gt;0,H8047&gt;0),G8047/H8047,"")</f>
        <v/>
      </c>
    </row>
    <row r="8048">
      <c r="A8048" s="4" t="inlineStr">
        <is>
          <t>650</t>
        </is>
      </c>
      <c r="B8048" s="4" t="n">
        <v>6</v>
      </c>
      <c r="C8048" s="4" t="inlineStr">
        <is>
          <t>mule deer</t>
        </is>
      </c>
      <c r="D8048" s="4" t="n">
        <v>2019</v>
      </c>
      <c r="E8048" s="13" t="inlineStr">
        <is>
          <t>General</t>
        </is>
      </c>
      <c r="F8048" s="5" t="n">
        <v>1195</v>
      </c>
      <c r="G8048" s="5" t="n">
        <v>5682</v>
      </c>
      <c r="H8048" s="5" t="n">
        <v>775</v>
      </c>
      <c r="I8048" s="5" t="n">
        <v>557</v>
      </c>
      <c r="J8048" s="5" t="n">
        <v>208</v>
      </c>
      <c r="K8048" s="10">
        <f>IF(F8048&gt;0,H8048/F8048,"")</f>
        <v/>
      </c>
      <c r="L8048" s="16">
        <f>IF(AND(G8048&gt;0,H8048&gt;0),G8048/H8048,"")</f>
        <v/>
      </c>
    </row>
    <row r="8049">
      <c r="A8049" s="4" t="inlineStr">
        <is>
          <t>650</t>
        </is>
      </c>
      <c r="B8049" s="4" t="n">
        <v>6</v>
      </c>
      <c r="C8049" s="4" t="inlineStr">
        <is>
          <t>mule deer</t>
        </is>
      </c>
      <c r="D8049" s="4" t="n">
        <v>2020</v>
      </c>
      <c r="E8049" s="13" t="inlineStr">
        <is>
          <t>General</t>
        </is>
      </c>
      <c r="F8049" s="5" t="n"/>
      <c r="G8049" s="5" t="n"/>
      <c r="H8049" s="5" t="n">
        <v>1742</v>
      </c>
      <c r="I8049" s="5" t="n">
        <v>1272</v>
      </c>
      <c r="J8049" s="5" t="n">
        <v>467</v>
      </c>
      <c r="K8049" s="10">
        <f>IF(F8049&gt;0,H8049/F8049,"")</f>
        <v/>
      </c>
      <c r="L8049" s="16">
        <f>IF(AND(G8049&gt;0,H8049&gt;0),G8049/H8049,"")</f>
        <v/>
      </c>
    </row>
    <row r="8050">
      <c r="A8050" s="4" t="inlineStr">
        <is>
          <t>650</t>
        </is>
      </c>
      <c r="B8050" s="4" t="n">
        <v>6</v>
      </c>
      <c r="C8050" s="4" t="inlineStr">
        <is>
          <t>mule deer</t>
        </is>
      </c>
      <c r="D8050" s="4" t="n">
        <v>2021</v>
      </c>
      <c r="E8050" s="13" t="inlineStr">
        <is>
          <t>General</t>
        </is>
      </c>
      <c r="F8050" s="5" t="n">
        <v>2635</v>
      </c>
      <c r="G8050" s="5" t="n">
        <v>14152</v>
      </c>
      <c r="H8050" s="5" t="n">
        <v>2002</v>
      </c>
      <c r="I8050" s="5" t="n">
        <v>1151</v>
      </c>
      <c r="J8050" s="5" t="n">
        <v>851</v>
      </c>
      <c r="K8050" s="10">
        <f>IF(F8050&gt;0,H8050/F8050,"")</f>
        <v/>
      </c>
      <c r="L8050" s="16">
        <f>IF(AND(G8050&gt;0,H8050&gt;0),G8050/H8050,"")</f>
        <v/>
      </c>
    </row>
    <row r="8051">
      <c r="A8051" s="4" t="inlineStr">
        <is>
          <t>650</t>
        </is>
      </c>
      <c r="B8051" s="4" t="n">
        <v>6</v>
      </c>
      <c r="C8051" s="4" t="inlineStr">
        <is>
          <t>mule deer</t>
        </is>
      </c>
      <c r="D8051" s="4" t="n">
        <v>2022</v>
      </c>
      <c r="E8051" s="13" t="inlineStr">
        <is>
          <t>General</t>
        </is>
      </c>
      <c r="F8051" s="5" t="n"/>
      <c r="G8051" s="5" t="n"/>
      <c r="H8051" s="5" t="n">
        <v>1443</v>
      </c>
      <c r="I8051" s="5" t="n">
        <v>1002</v>
      </c>
      <c r="J8051" s="5" t="n">
        <v>428</v>
      </c>
      <c r="K8051" s="10">
        <f>IF(F8051&gt;0,H8051/F8051,"")</f>
        <v/>
      </c>
      <c r="L8051" s="16">
        <f>IF(AND(G8051&gt;0,H8051&gt;0),G8051/H8051,"")</f>
        <v/>
      </c>
    </row>
    <row r="8052">
      <c r="A8052" s="4" t="inlineStr">
        <is>
          <t>650</t>
        </is>
      </c>
      <c r="B8052" s="4" t="n">
        <v>6</v>
      </c>
      <c r="C8052" s="4" t="inlineStr">
        <is>
          <t>mule deer</t>
        </is>
      </c>
      <c r="D8052" s="4" t="n">
        <v>2023</v>
      </c>
      <c r="E8052" s="13" t="inlineStr">
        <is>
          <t>General</t>
        </is>
      </c>
      <c r="F8052" s="5" t="n">
        <v>2538</v>
      </c>
      <c r="G8052" s="5" t="n">
        <v>13513</v>
      </c>
      <c r="H8052" s="5" t="n">
        <v>1334</v>
      </c>
      <c r="I8052" s="5" t="n">
        <v>907</v>
      </c>
      <c r="J8052" s="5" t="n">
        <v>425</v>
      </c>
      <c r="K8052" s="10">
        <f>IF(F8052&gt;0,H8052/F8052,"")</f>
        <v/>
      </c>
      <c r="L8052" s="16">
        <f>IF(AND(G8052&gt;0,H8052&gt;0),G8052/H8052,"")</f>
        <v/>
      </c>
    </row>
    <row r="8053">
      <c r="A8053" s="4" t="inlineStr">
        <is>
          <t>650</t>
        </is>
      </c>
      <c r="B8053" s="4" t="n">
        <v>6</v>
      </c>
      <c r="C8053" s="4" t="inlineStr">
        <is>
          <t>mule deer</t>
        </is>
      </c>
      <c r="D8053" s="4" t="n">
        <v>2024</v>
      </c>
      <c r="E8053" s="13" t="inlineStr">
        <is>
          <t>General</t>
        </is>
      </c>
      <c r="F8053" s="5" t="n"/>
      <c r="G8053" s="5" t="n"/>
      <c r="H8053" s="5" t="n">
        <v>981</v>
      </c>
      <c r="I8053" s="5" t="n">
        <v>844</v>
      </c>
      <c r="J8053" s="5" t="n">
        <v>138</v>
      </c>
      <c r="K8053" s="10">
        <f>IF(F8053&gt;0,H8053/F8053,"")</f>
        <v/>
      </c>
      <c r="L8053" s="16">
        <f>IF(AND(G8053&gt;0,H8053&gt;0),G8053/H8053,"")</f>
        <v/>
      </c>
    </row>
    <row r="8054">
      <c r="A8054" s="4" t="inlineStr">
        <is>
          <t>650</t>
        </is>
      </c>
      <c r="B8054" s="4" t="n">
        <v>6</v>
      </c>
      <c r="C8054" s="4" t="inlineStr">
        <is>
          <t>mule deer</t>
        </is>
      </c>
      <c r="D8054" s="4" t="n">
        <v>2025</v>
      </c>
      <c r="E8054" s="13" t="inlineStr">
        <is>
          <t>General</t>
        </is>
      </c>
      <c r="F8054" s="5" t="n">
        <v>2010</v>
      </c>
      <c r="G8054" s="5" t="n">
        <v>12283</v>
      </c>
      <c r="H8054" s="5" t="n">
        <v>843</v>
      </c>
      <c r="I8054" s="5" t="n">
        <v>796</v>
      </c>
      <c r="J8054" s="5" t="n">
        <v>47</v>
      </c>
      <c r="K8054" s="10">
        <f>IF(F8054&gt;0,H8054/F8054,"")</f>
        <v/>
      </c>
      <c r="L8054" s="16">
        <f>IF(AND(G8054&gt;0,H8054&gt;0),G8054/H8054,"")</f>
        <v/>
      </c>
    </row>
    <row r="8055">
      <c r="A8055" s="4" t="inlineStr">
        <is>
          <t>651</t>
        </is>
      </c>
      <c r="B8055" s="4" t="n">
        <v>6</v>
      </c>
      <c r="C8055" s="4" t="inlineStr">
        <is>
          <t>mule deer</t>
        </is>
      </c>
      <c r="D8055" s="4" t="n">
        <v>2004</v>
      </c>
      <c r="E8055" s="4" t="inlineStr"/>
      <c r="F8055" s="5" t="n">
        <v>1612</v>
      </c>
      <c r="G8055" s="5" t="n">
        <v>8332</v>
      </c>
      <c r="H8055" s="5" t="n">
        <v>565</v>
      </c>
      <c r="I8055" s="5" t="n">
        <v>403</v>
      </c>
      <c r="J8055" s="5" t="n">
        <v>156</v>
      </c>
      <c r="K8055" s="10">
        <f>IF(F8055&gt;0,H8055/F8055,"")</f>
        <v/>
      </c>
      <c r="L8055" s="16">
        <f>IF(AND(G8055&gt;0,H8055&gt;0),G8055/H8055,"")</f>
        <v/>
      </c>
    </row>
    <row r="8056">
      <c r="A8056" s="4" t="inlineStr">
        <is>
          <t>651</t>
        </is>
      </c>
      <c r="B8056" s="4" t="n">
        <v>6</v>
      </c>
      <c r="C8056" s="4" t="inlineStr">
        <is>
          <t>mule deer</t>
        </is>
      </c>
      <c r="D8056" s="4" t="n">
        <v>2005</v>
      </c>
      <c r="E8056" s="4" t="inlineStr"/>
      <c r="F8056" s="5" t="n">
        <v>1413</v>
      </c>
      <c r="G8056" s="5" t="n">
        <v>7337</v>
      </c>
      <c r="H8056" s="5" t="n">
        <v>377</v>
      </c>
      <c r="I8056" s="5" t="n">
        <v>273</v>
      </c>
      <c r="J8056" s="5" t="n">
        <v>101</v>
      </c>
      <c r="K8056" s="10">
        <f>IF(F8056&gt;0,H8056/F8056,"")</f>
        <v/>
      </c>
      <c r="L8056" s="16">
        <f>IF(AND(G8056&gt;0,H8056&gt;0),G8056/H8056,"")</f>
        <v/>
      </c>
    </row>
    <row r="8057">
      <c r="A8057" s="4" t="inlineStr">
        <is>
          <t>651</t>
        </is>
      </c>
      <c r="B8057" s="4" t="n">
        <v>6</v>
      </c>
      <c r="C8057" s="4" t="inlineStr">
        <is>
          <t>mule deer</t>
        </is>
      </c>
      <c r="D8057" s="4" t="n">
        <v>2006</v>
      </c>
      <c r="E8057" s="4" t="inlineStr"/>
      <c r="F8057" s="5" t="n">
        <v>1364</v>
      </c>
      <c r="G8057" s="5" t="n">
        <v>7103</v>
      </c>
      <c r="H8057" s="5" t="n">
        <v>541</v>
      </c>
      <c r="I8057" s="5" t="n">
        <v>396</v>
      </c>
      <c r="J8057" s="5" t="n">
        <v>131</v>
      </c>
      <c r="K8057" s="10">
        <f>IF(F8057&gt;0,H8057/F8057,"")</f>
        <v/>
      </c>
      <c r="L8057" s="16">
        <f>IF(AND(G8057&gt;0,H8057&gt;0),G8057/H8057,"")</f>
        <v/>
      </c>
    </row>
    <row r="8058">
      <c r="A8058" s="4" t="inlineStr">
        <is>
          <t>651</t>
        </is>
      </c>
      <c r="B8058" s="4" t="n">
        <v>6</v>
      </c>
      <c r="C8058" s="4" t="inlineStr">
        <is>
          <t>mule deer</t>
        </is>
      </c>
      <c r="D8058" s="4" t="n">
        <v>2007</v>
      </c>
      <c r="E8058" s="4" t="inlineStr"/>
      <c r="F8058" s="5" t="n">
        <v>1475</v>
      </c>
      <c r="G8058" s="5" t="n">
        <v>7199</v>
      </c>
      <c r="H8058" s="5" t="n">
        <v>562</v>
      </c>
      <c r="I8058" s="5" t="n">
        <v>389</v>
      </c>
      <c r="J8058" s="5" t="n">
        <v>167</v>
      </c>
      <c r="K8058" s="10">
        <f>IF(F8058&gt;0,H8058/F8058,"")</f>
        <v/>
      </c>
      <c r="L8058" s="16">
        <f>IF(AND(G8058&gt;0,H8058&gt;0),G8058/H8058,"")</f>
        <v/>
      </c>
    </row>
    <row r="8059">
      <c r="A8059" s="4" t="inlineStr">
        <is>
          <t>651</t>
        </is>
      </c>
      <c r="B8059" s="4" t="n">
        <v>6</v>
      </c>
      <c r="C8059" s="4" t="inlineStr">
        <is>
          <t>mule deer</t>
        </is>
      </c>
      <c r="D8059" s="4" t="n">
        <v>2008</v>
      </c>
      <c r="E8059" s="4" t="inlineStr"/>
      <c r="F8059" s="5" t="n">
        <v>1606</v>
      </c>
      <c r="G8059" s="5" t="n">
        <v>8027</v>
      </c>
      <c r="H8059" s="5" t="n">
        <v>532</v>
      </c>
      <c r="I8059" s="5" t="n">
        <v>375</v>
      </c>
      <c r="J8059" s="5" t="n">
        <v>155</v>
      </c>
      <c r="K8059" s="10">
        <f>IF(F8059&gt;0,H8059/F8059,"")</f>
        <v/>
      </c>
      <c r="L8059" s="16">
        <f>IF(AND(G8059&gt;0,H8059&gt;0),G8059/H8059,"")</f>
        <v/>
      </c>
    </row>
    <row r="8060">
      <c r="A8060" s="4" t="inlineStr">
        <is>
          <t>651</t>
        </is>
      </c>
      <c r="B8060" s="4" t="n">
        <v>6</v>
      </c>
      <c r="C8060" s="4" t="inlineStr">
        <is>
          <t>mule deer</t>
        </is>
      </c>
      <c r="D8060" s="4" t="n">
        <v>2009</v>
      </c>
      <c r="E8060" s="4" t="inlineStr"/>
      <c r="F8060" s="5" t="n">
        <v>1545</v>
      </c>
      <c r="G8060" s="5" t="n">
        <v>7745</v>
      </c>
      <c r="H8060" s="5" t="n">
        <v>483</v>
      </c>
      <c r="I8060" s="5" t="n">
        <v>320</v>
      </c>
      <c r="J8060" s="5" t="n">
        <v>158</v>
      </c>
      <c r="K8060" s="10">
        <f>IF(F8060&gt;0,H8060/F8060,"")</f>
        <v/>
      </c>
      <c r="L8060" s="16">
        <f>IF(AND(G8060&gt;0,H8060&gt;0),G8060/H8060,"")</f>
        <v/>
      </c>
    </row>
    <row r="8061">
      <c r="A8061" s="4" t="inlineStr">
        <is>
          <t>651</t>
        </is>
      </c>
      <c r="B8061" s="4" t="n">
        <v>6</v>
      </c>
      <c r="C8061" s="4" t="inlineStr">
        <is>
          <t>mule deer</t>
        </is>
      </c>
      <c r="D8061" s="4" t="n">
        <v>2010</v>
      </c>
      <c r="E8061" s="4" t="inlineStr"/>
      <c r="F8061" s="5" t="n">
        <v>1674</v>
      </c>
      <c r="G8061" s="5" t="n">
        <v>8282</v>
      </c>
      <c r="H8061" s="5" t="n">
        <v>526</v>
      </c>
      <c r="I8061" s="5" t="n">
        <v>353</v>
      </c>
      <c r="J8061" s="5" t="n">
        <v>169</v>
      </c>
      <c r="K8061" s="10">
        <f>IF(F8061&gt;0,H8061/F8061,"")</f>
        <v/>
      </c>
      <c r="L8061" s="16">
        <f>IF(AND(G8061&gt;0,H8061&gt;0),G8061/H8061,"")</f>
        <v/>
      </c>
    </row>
    <row r="8062">
      <c r="A8062" s="4" t="inlineStr">
        <is>
          <t>651</t>
        </is>
      </c>
      <c r="B8062" s="4" t="n">
        <v>6</v>
      </c>
      <c r="C8062" s="4" t="inlineStr">
        <is>
          <t>mule deer</t>
        </is>
      </c>
      <c r="D8062" s="4" t="n">
        <v>2011</v>
      </c>
      <c r="E8062" s="4" t="inlineStr"/>
      <c r="F8062" s="5" t="n">
        <v>1447</v>
      </c>
      <c r="G8062" s="5" t="n">
        <v>6587</v>
      </c>
      <c r="H8062" s="5" t="n">
        <v>398</v>
      </c>
      <c r="I8062" s="5" t="n">
        <v>268</v>
      </c>
      <c r="J8062" s="5" t="n">
        <v>127</v>
      </c>
      <c r="K8062" s="10">
        <f>IF(F8062&gt;0,H8062/F8062,"")</f>
        <v/>
      </c>
      <c r="L8062" s="16">
        <f>IF(AND(G8062&gt;0,H8062&gt;0),G8062/H8062,"")</f>
        <v/>
      </c>
    </row>
    <row r="8063">
      <c r="A8063" s="4" t="inlineStr">
        <is>
          <t>651</t>
        </is>
      </c>
      <c r="B8063" s="4" t="n">
        <v>6</v>
      </c>
      <c r="C8063" s="4" t="inlineStr">
        <is>
          <t>mule deer</t>
        </is>
      </c>
      <c r="D8063" s="4" t="n">
        <v>2012</v>
      </c>
      <c r="E8063" s="4" t="inlineStr"/>
      <c r="F8063" s="5" t="n"/>
      <c r="G8063" s="5" t="n"/>
      <c r="H8063" s="5" t="n">
        <v>536</v>
      </c>
      <c r="I8063" s="5" t="n">
        <v>396</v>
      </c>
      <c r="J8063" s="5" t="n">
        <v>136</v>
      </c>
      <c r="K8063" s="10">
        <f>IF(F8063&gt;0,H8063/F8063,"")</f>
        <v/>
      </c>
      <c r="L8063" s="16">
        <f>IF(AND(G8063&gt;0,H8063&gt;0),G8063/H8063,"")</f>
        <v/>
      </c>
    </row>
    <row r="8064">
      <c r="A8064" s="4" t="inlineStr">
        <is>
          <t>651</t>
        </is>
      </c>
      <c r="B8064" s="4" t="n">
        <v>6</v>
      </c>
      <c r="C8064" s="4" t="inlineStr">
        <is>
          <t>mule deer</t>
        </is>
      </c>
      <c r="D8064" s="4" t="n">
        <v>2013</v>
      </c>
      <c r="E8064" s="4" t="inlineStr"/>
      <c r="F8064" s="5" t="n">
        <v>1512</v>
      </c>
      <c r="G8064" s="5" t="n">
        <v>7845</v>
      </c>
      <c r="H8064" s="5" t="n">
        <v>458</v>
      </c>
      <c r="I8064" s="5" t="n">
        <v>327</v>
      </c>
      <c r="J8064" s="5" t="n">
        <v>123</v>
      </c>
      <c r="K8064" s="10">
        <f>IF(F8064&gt;0,H8064/F8064,"")</f>
        <v/>
      </c>
      <c r="L8064" s="16">
        <f>IF(AND(G8064&gt;0,H8064&gt;0),G8064/H8064,"")</f>
        <v/>
      </c>
    </row>
    <row r="8065">
      <c r="A8065" s="4" t="inlineStr">
        <is>
          <t>651</t>
        </is>
      </c>
      <c r="B8065" s="4" t="n">
        <v>6</v>
      </c>
      <c r="C8065" s="4" t="inlineStr">
        <is>
          <t>mule deer</t>
        </is>
      </c>
      <c r="D8065" s="4" t="n">
        <v>2014</v>
      </c>
      <c r="E8065" s="4" t="inlineStr"/>
      <c r="F8065" s="5" t="n"/>
      <c r="G8065" s="5" t="n"/>
      <c r="H8065" s="5" t="n">
        <v>379</v>
      </c>
      <c r="I8065" s="5" t="n">
        <v>367</v>
      </c>
      <c r="J8065" s="5" t="n">
        <v>9</v>
      </c>
      <c r="K8065" s="10">
        <f>IF(F8065&gt;0,H8065/F8065,"")</f>
        <v/>
      </c>
      <c r="L8065" s="16">
        <f>IF(AND(G8065&gt;0,H8065&gt;0),G8065/H8065,"")</f>
        <v/>
      </c>
    </row>
    <row r="8066">
      <c r="A8066" s="4" t="inlineStr">
        <is>
          <t>651</t>
        </is>
      </c>
      <c r="B8066" s="4" t="n">
        <v>6</v>
      </c>
      <c r="C8066" s="4" t="inlineStr">
        <is>
          <t>mule deer</t>
        </is>
      </c>
      <c r="D8066" s="4" t="n">
        <v>2015</v>
      </c>
      <c r="E8066" s="4" t="inlineStr"/>
      <c r="F8066" s="5" t="n"/>
      <c r="G8066" s="5" t="n"/>
      <c r="H8066" s="5" t="n">
        <v>394</v>
      </c>
      <c r="I8066" s="5" t="n">
        <v>358</v>
      </c>
      <c r="J8066" s="5" t="n">
        <v>36</v>
      </c>
      <c r="K8066" s="10">
        <f>IF(F8066&gt;0,H8066/F8066,"")</f>
        <v/>
      </c>
      <c r="L8066" s="16">
        <f>IF(AND(G8066&gt;0,H8066&gt;0),G8066/H8066,"")</f>
        <v/>
      </c>
    </row>
    <row r="8067">
      <c r="A8067" s="4" t="inlineStr">
        <is>
          <t>651</t>
        </is>
      </c>
      <c r="B8067" s="4" t="n">
        <v>6</v>
      </c>
      <c r="C8067" s="4" t="inlineStr">
        <is>
          <t>mule deer</t>
        </is>
      </c>
      <c r="D8067" s="4" t="n">
        <v>2016</v>
      </c>
      <c r="E8067" s="4" t="inlineStr"/>
      <c r="F8067" s="5" t="n"/>
      <c r="G8067" s="5" t="n"/>
      <c r="H8067" s="5" t="n">
        <v>634</v>
      </c>
      <c r="I8067" s="5" t="n">
        <v>564</v>
      </c>
      <c r="J8067" s="5" t="n">
        <v>67</v>
      </c>
      <c r="K8067" s="10">
        <f>IF(F8067&gt;0,H8067/F8067,"")</f>
        <v/>
      </c>
      <c r="L8067" s="16">
        <f>IF(AND(G8067&gt;0,H8067&gt;0),G8067/H8067,"")</f>
        <v/>
      </c>
    </row>
    <row r="8068">
      <c r="A8068" s="4" t="inlineStr">
        <is>
          <t>651</t>
        </is>
      </c>
      <c r="B8068" s="4" t="n">
        <v>6</v>
      </c>
      <c r="C8068" s="4" t="inlineStr">
        <is>
          <t>mule deer</t>
        </is>
      </c>
      <c r="D8068" s="4" t="n">
        <v>2017</v>
      </c>
      <c r="E8068" s="4" t="inlineStr"/>
      <c r="F8068" s="5" t="n">
        <v>1357</v>
      </c>
      <c r="G8068" s="5" t="n">
        <v>6385</v>
      </c>
      <c r="H8068" s="5" t="n">
        <v>682</v>
      </c>
      <c r="I8068" s="5" t="n">
        <v>512</v>
      </c>
      <c r="J8068" s="5" t="n">
        <v>167</v>
      </c>
      <c r="K8068" s="10">
        <f>IF(F8068&gt;0,H8068/F8068,"")</f>
        <v/>
      </c>
      <c r="L8068" s="16">
        <f>IF(AND(G8068&gt;0,H8068&gt;0),G8068/H8068,"")</f>
        <v/>
      </c>
    </row>
    <row r="8069">
      <c r="A8069" s="4" t="inlineStr">
        <is>
          <t>651</t>
        </is>
      </c>
      <c r="B8069" s="4" t="n">
        <v>6</v>
      </c>
      <c r="C8069" s="4" t="inlineStr">
        <is>
          <t>mule deer</t>
        </is>
      </c>
      <c r="D8069" s="4" t="n">
        <v>2018</v>
      </c>
      <c r="E8069" s="4" t="inlineStr"/>
      <c r="F8069" s="5" t="n"/>
      <c r="G8069" s="5" t="n"/>
      <c r="H8069" s="5" t="n">
        <v>625</v>
      </c>
      <c r="I8069" s="5" t="n">
        <v>525</v>
      </c>
      <c r="J8069" s="5" t="n">
        <v>99</v>
      </c>
      <c r="K8069" s="10">
        <f>IF(F8069&gt;0,H8069/F8069,"")</f>
        <v/>
      </c>
      <c r="L8069" s="16">
        <f>IF(AND(G8069&gt;0,H8069&gt;0),G8069/H8069,"")</f>
        <v/>
      </c>
    </row>
    <row r="8070">
      <c r="A8070" s="4" t="inlineStr">
        <is>
          <t>651</t>
        </is>
      </c>
      <c r="B8070" s="4" t="n">
        <v>6</v>
      </c>
      <c r="C8070" s="4" t="inlineStr">
        <is>
          <t>mule deer</t>
        </is>
      </c>
      <c r="D8070" s="4" t="n">
        <v>2019</v>
      </c>
      <c r="E8070" s="4" t="inlineStr"/>
      <c r="F8070" s="5" t="n">
        <v>1361</v>
      </c>
      <c r="G8070" s="5" t="n">
        <v>6698</v>
      </c>
      <c r="H8070" s="5" t="n">
        <v>779</v>
      </c>
      <c r="I8070" s="5" t="n">
        <v>593</v>
      </c>
      <c r="J8070" s="5" t="n">
        <v>184</v>
      </c>
      <c r="K8070" s="10">
        <f>IF(F8070&gt;0,H8070/F8070,"")</f>
        <v/>
      </c>
      <c r="L8070" s="16">
        <f>IF(AND(G8070&gt;0,H8070&gt;0),G8070/H8070,"")</f>
        <v/>
      </c>
    </row>
    <row r="8071">
      <c r="A8071" s="4" t="inlineStr">
        <is>
          <t>652</t>
        </is>
      </c>
      <c r="B8071" s="4" t="n">
        <v>6</v>
      </c>
      <c r="C8071" s="4" t="inlineStr">
        <is>
          <t>mule deer</t>
        </is>
      </c>
      <c r="D8071" s="4" t="n">
        <v>2004</v>
      </c>
      <c r="E8071" s="15" t="inlineStr">
        <is>
          <t>Draw</t>
        </is>
      </c>
      <c r="F8071" s="5" t="n">
        <v>202</v>
      </c>
      <c r="G8071" s="5" t="n">
        <v>927</v>
      </c>
      <c r="H8071" s="5" t="n">
        <v>124</v>
      </c>
      <c r="I8071" s="5" t="n">
        <v>100</v>
      </c>
      <c r="J8071" s="5" t="n">
        <v>23</v>
      </c>
      <c r="K8071" s="10">
        <f>IF(F8071&gt;0,H8071/F8071,"")</f>
        <v/>
      </c>
      <c r="L8071" s="16">
        <f>IF(AND(G8071&gt;0,H8071&gt;0),G8071/H8071,"")</f>
        <v/>
      </c>
    </row>
    <row r="8072">
      <c r="A8072" s="4" t="inlineStr">
        <is>
          <t>652</t>
        </is>
      </c>
      <c r="B8072" s="4" t="n">
        <v>6</v>
      </c>
      <c r="C8072" s="4" t="inlineStr">
        <is>
          <t>mule deer</t>
        </is>
      </c>
      <c r="D8072" s="4" t="n">
        <v>2005</v>
      </c>
      <c r="E8072" s="15" t="inlineStr">
        <is>
          <t>Draw</t>
        </is>
      </c>
      <c r="F8072" s="5" t="n">
        <v>139</v>
      </c>
      <c r="G8072" s="5" t="n">
        <v>658</v>
      </c>
      <c r="H8072" s="5" t="n">
        <v>75</v>
      </c>
      <c r="I8072" s="5" t="n">
        <v>63</v>
      </c>
      <c r="J8072" s="5" t="n">
        <v>12</v>
      </c>
      <c r="K8072" s="10">
        <f>IF(F8072&gt;0,H8072/F8072,"")</f>
        <v/>
      </c>
      <c r="L8072" s="16">
        <f>IF(AND(G8072&gt;0,H8072&gt;0),G8072/H8072,"")</f>
        <v/>
      </c>
    </row>
    <row r="8073">
      <c r="A8073" s="4" t="inlineStr">
        <is>
          <t>652</t>
        </is>
      </c>
      <c r="B8073" s="4" t="n">
        <v>6</v>
      </c>
      <c r="C8073" s="4" t="inlineStr">
        <is>
          <t>mule deer</t>
        </is>
      </c>
      <c r="D8073" s="4" t="n">
        <v>2006</v>
      </c>
      <c r="E8073" s="15" t="inlineStr">
        <is>
          <t>Draw</t>
        </is>
      </c>
      <c r="F8073" s="5" t="n">
        <v>108</v>
      </c>
      <c r="G8073" s="5" t="n">
        <v>447</v>
      </c>
      <c r="H8073" s="5" t="n">
        <v>75</v>
      </c>
      <c r="I8073" s="5" t="n">
        <v>65</v>
      </c>
      <c r="J8073" s="5" t="n">
        <v>10</v>
      </c>
      <c r="K8073" s="10">
        <f>IF(F8073&gt;0,H8073/F8073,"")</f>
        <v/>
      </c>
      <c r="L8073" s="16">
        <f>IF(AND(G8073&gt;0,H8073&gt;0),G8073/H8073,"")</f>
        <v/>
      </c>
    </row>
    <row r="8074">
      <c r="A8074" s="4" t="inlineStr">
        <is>
          <t>652</t>
        </is>
      </c>
      <c r="B8074" s="4" t="n">
        <v>6</v>
      </c>
      <c r="C8074" s="4" t="inlineStr">
        <is>
          <t>mule deer</t>
        </is>
      </c>
      <c r="D8074" s="4" t="n">
        <v>2007</v>
      </c>
      <c r="E8074" s="15" t="inlineStr">
        <is>
          <t>Draw</t>
        </is>
      </c>
      <c r="F8074" s="5" t="n">
        <v>137</v>
      </c>
      <c r="G8074" s="5" t="n">
        <v>587</v>
      </c>
      <c r="H8074" s="5" t="n">
        <v>85</v>
      </c>
      <c r="I8074" s="5" t="n">
        <v>45</v>
      </c>
      <c r="J8074" s="5" t="n">
        <v>41</v>
      </c>
      <c r="K8074" s="10">
        <f>IF(F8074&gt;0,H8074/F8074,"")</f>
        <v/>
      </c>
      <c r="L8074" s="16">
        <f>IF(AND(G8074&gt;0,H8074&gt;0),G8074/H8074,"")</f>
        <v/>
      </c>
    </row>
    <row r="8075">
      <c r="A8075" s="4" t="inlineStr">
        <is>
          <t>652</t>
        </is>
      </c>
      <c r="B8075" s="4" t="n">
        <v>6</v>
      </c>
      <c r="C8075" s="4" t="inlineStr">
        <is>
          <t>mule deer</t>
        </is>
      </c>
      <c r="D8075" s="4" t="n">
        <v>2008</v>
      </c>
      <c r="E8075" s="15" t="inlineStr">
        <is>
          <t>Draw</t>
        </is>
      </c>
      <c r="F8075" s="5" t="n">
        <v>159</v>
      </c>
      <c r="G8075" s="5" t="n">
        <v>779</v>
      </c>
      <c r="H8075" s="5" t="n">
        <v>104</v>
      </c>
      <c r="I8075" s="5" t="n">
        <v>66</v>
      </c>
      <c r="J8075" s="5" t="n">
        <v>38</v>
      </c>
      <c r="K8075" s="10">
        <f>IF(F8075&gt;0,H8075/F8075,"")</f>
        <v/>
      </c>
      <c r="L8075" s="16">
        <f>IF(AND(G8075&gt;0,H8075&gt;0),G8075/H8075,"")</f>
        <v/>
      </c>
    </row>
    <row r="8076">
      <c r="A8076" s="4" t="inlineStr">
        <is>
          <t>652</t>
        </is>
      </c>
      <c r="B8076" s="4" t="n">
        <v>6</v>
      </c>
      <c r="C8076" s="4" t="inlineStr">
        <is>
          <t>mule deer</t>
        </is>
      </c>
      <c r="D8076" s="4" t="n">
        <v>2009</v>
      </c>
      <c r="E8076" s="15" t="inlineStr">
        <is>
          <t>Draw</t>
        </is>
      </c>
      <c r="F8076" s="5" t="n">
        <v>130</v>
      </c>
      <c r="G8076" s="5" t="n">
        <v>731</v>
      </c>
      <c r="H8076" s="5" t="n">
        <v>150</v>
      </c>
      <c r="I8076" s="5" t="n">
        <v>61</v>
      </c>
      <c r="J8076" s="5" t="n">
        <v>89</v>
      </c>
      <c r="K8076" s="10">
        <f>IF(F8076&gt;0,H8076/F8076,"")</f>
        <v/>
      </c>
      <c r="L8076" s="16">
        <f>IF(AND(G8076&gt;0,H8076&gt;0),G8076/H8076,"")</f>
        <v/>
      </c>
    </row>
    <row r="8077">
      <c r="A8077" s="4" t="inlineStr">
        <is>
          <t>652</t>
        </is>
      </c>
      <c r="B8077" s="4" t="n">
        <v>6</v>
      </c>
      <c r="C8077" s="4" t="inlineStr">
        <is>
          <t>mule deer</t>
        </is>
      </c>
      <c r="D8077" s="4" t="n">
        <v>2010</v>
      </c>
      <c r="E8077" s="15" t="inlineStr">
        <is>
          <t>Draw</t>
        </is>
      </c>
      <c r="F8077" s="5" t="n">
        <v>225</v>
      </c>
      <c r="G8077" s="5" t="n">
        <v>927</v>
      </c>
      <c r="H8077" s="5" t="n">
        <v>138</v>
      </c>
      <c r="I8077" s="5" t="n">
        <v>61</v>
      </c>
      <c r="J8077" s="5" t="n">
        <v>75</v>
      </c>
      <c r="K8077" s="10">
        <f>IF(F8077&gt;0,H8077/F8077,"")</f>
        <v/>
      </c>
      <c r="L8077" s="16">
        <f>IF(AND(G8077&gt;0,H8077&gt;0),G8077/H8077,"")</f>
        <v/>
      </c>
    </row>
    <row r="8078">
      <c r="A8078" s="4" t="inlineStr">
        <is>
          <t>652</t>
        </is>
      </c>
      <c r="B8078" s="4" t="n">
        <v>6</v>
      </c>
      <c r="C8078" s="4" t="inlineStr">
        <is>
          <t>mule deer</t>
        </is>
      </c>
      <c r="D8078" s="4" t="n">
        <v>2011</v>
      </c>
      <c r="E8078" s="15" t="inlineStr">
        <is>
          <t>Draw</t>
        </is>
      </c>
      <c r="F8078" s="5" t="n">
        <v>80</v>
      </c>
      <c r="G8078" s="5" t="n">
        <v>486</v>
      </c>
      <c r="H8078" s="5" t="n">
        <v>46</v>
      </c>
      <c r="I8078" s="5" t="n">
        <v>40</v>
      </c>
      <c r="J8078" s="5" t="n">
        <v>6</v>
      </c>
      <c r="K8078" s="10">
        <f>IF(F8078&gt;0,H8078/F8078,"")</f>
        <v/>
      </c>
      <c r="L8078" s="16">
        <f>IF(AND(G8078&gt;0,H8078&gt;0),G8078/H8078,"")</f>
        <v/>
      </c>
    </row>
    <row r="8079">
      <c r="A8079" s="4" t="inlineStr">
        <is>
          <t>652</t>
        </is>
      </c>
      <c r="B8079" s="4" t="n">
        <v>6</v>
      </c>
      <c r="C8079" s="4" t="inlineStr">
        <is>
          <t>mule deer</t>
        </is>
      </c>
      <c r="D8079" s="4" t="n">
        <v>2012</v>
      </c>
      <c r="E8079" s="15" t="inlineStr">
        <is>
          <t>Draw</t>
        </is>
      </c>
      <c r="F8079" s="5" t="n"/>
      <c r="G8079" s="5" t="n"/>
      <c r="H8079" s="5" t="n">
        <v>22</v>
      </c>
      <c r="I8079" s="5" t="n">
        <v>20</v>
      </c>
      <c r="J8079" s="5" t="n">
        <v>2</v>
      </c>
      <c r="K8079" s="10">
        <f>IF(F8079&gt;0,H8079/F8079,"")</f>
        <v/>
      </c>
      <c r="L8079" s="16">
        <f>IF(AND(G8079&gt;0,H8079&gt;0),G8079/H8079,"")</f>
        <v/>
      </c>
    </row>
    <row r="8080">
      <c r="A8080" s="4" t="inlineStr">
        <is>
          <t>652</t>
        </is>
      </c>
      <c r="B8080" s="4" t="n">
        <v>6</v>
      </c>
      <c r="C8080" s="4" t="inlineStr">
        <is>
          <t>mule deer</t>
        </is>
      </c>
      <c r="D8080" s="4" t="n">
        <v>2013</v>
      </c>
      <c r="E8080" s="15" t="inlineStr">
        <is>
          <t>Draw</t>
        </is>
      </c>
      <c r="F8080" s="5" t="n">
        <v>45</v>
      </c>
      <c r="G8080" s="5" t="n">
        <v>206</v>
      </c>
      <c r="H8080" s="5" t="n">
        <v>22</v>
      </c>
      <c r="I8080" s="5" t="n">
        <v>13</v>
      </c>
      <c r="J8080" s="5" t="n">
        <v>9</v>
      </c>
      <c r="K8080" s="10">
        <f>IF(F8080&gt;0,H8080/F8080,"")</f>
        <v/>
      </c>
      <c r="L8080" s="16">
        <f>IF(AND(G8080&gt;0,H8080&gt;0),G8080/H8080,"")</f>
        <v/>
      </c>
    </row>
    <row r="8081">
      <c r="A8081" s="4" t="inlineStr">
        <is>
          <t>652</t>
        </is>
      </c>
      <c r="B8081" s="4" t="n">
        <v>6</v>
      </c>
      <c r="C8081" s="4" t="inlineStr">
        <is>
          <t>mule deer</t>
        </is>
      </c>
      <c r="D8081" s="4" t="n">
        <v>2014</v>
      </c>
      <c r="E8081" s="15" t="inlineStr">
        <is>
          <t>Draw</t>
        </is>
      </c>
      <c r="F8081" s="5" t="n"/>
      <c r="G8081" s="5" t="n"/>
      <c r="H8081" s="5" t="n">
        <v>24</v>
      </c>
      <c r="I8081" s="5" t="n">
        <v>24</v>
      </c>
      <c r="J8081" s="5" t="n">
        <v>0</v>
      </c>
      <c r="K8081" s="10">
        <f>IF(F8081&gt;0,H8081/F8081,"")</f>
        <v/>
      </c>
      <c r="L8081" s="16">
        <f>IF(AND(G8081&gt;0,H8081&gt;0),G8081/H8081,"")</f>
        <v/>
      </c>
    </row>
    <row r="8082">
      <c r="A8082" s="4" t="inlineStr">
        <is>
          <t>652</t>
        </is>
      </c>
      <c r="B8082" s="4" t="n">
        <v>6</v>
      </c>
      <c r="C8082" s="4" t="inlineStr">
        <is>
          <t>mule deer</t>
        </is>
      </c>
      <c r="D8082" s="4" t="n">
        <v>2015</v>
      </c>
      <c r="E8082" s="15" t="inlineStr">
        <is>
          <t>Draw</t>
        </is>
      </c>
      <c r="F8082" s="5" t="n"/>
      <c r="G8082" s="5" t="n"/>
      <c r="H8082" s="5" t="n">
        <v>41</v>
      </c>
      <c r="I8082" s="5" t="n">
        <v>38</v>
      </c>
      <c r="J8082" s="5" t="n">
        <v>0</v>
      </c>
      <c r="K8082" s="10">
        <f>IF(F8082&gt;0,H8082/F8082,"")</f>
        <v/>
      </c>
      <c r="L8082" s="16">
        <f>IF(AND(G8082&gt;0,H8082&gt;0),G8082/H8082,"")</f>
        <v/>
      </c>
    </row>
    <row r="8083">
      <c r="A8083" s="4" t="inlineStr">
        <is>
          <t>652</t>
        </is>
      </c>
      <c r="B8083" s="4" t="n">
        <v>6</v>
      </c>
      <c r="C8083" s="4" t="inlineStr">
        <is>
          <t>mule deer</t>
        </is>
      </c>
      <c r="D8083" s="4" t="n">
        <v>2016</v>
      </c>
      <c r="E8083" s="15" t="inlineStr">
        <is>
          <t>Draw</t>
        </is>
      </c>
      <c r="F8083" s="5" t="n"/>
      <c r="G8083" s="5" t="n"/>
      <c r="H8083" s="5" t="n">
        <v>47</v>
      </c>
      <c r="I8083" s="5" t="n">
        <v>47</v>
      </c>
      <c r="J8083" s="5" t="n">
        <v>0</v>
      </c>
      <c r="K8083" s="10">
        <f>IF(F8083&gt;0,H8083/F8083,"")</f>
        <v/>
      </c>
      <c r="L8083" s="16">
        <f>IF(AND(G8083&gt;0,H8083&gt;0),G8083/H8083,"")</f>
        <v/>
      </c>
    </row>
    <row r="8084">
      <c r="A8084" s="4" t="inlineStr">
        <is>
          <t>652</t>
        </is>
      </c>
      <c r="B8084" s="4" t="n">
        <v>6</v>
      </c>
      <c r="C8084" s="4" t="inlineStr">
        <is>
          <t>mule deer</t>
        </is>
      </c>
      <c r="D8084" s="4" t="n">
        <v>2017</v>
      </c>
      <c r="E8084" s="15" t="inlineStr">
        <is>
          <t>Draw</t>
        </is>
      </c>
      <c r="F8084" s="5" t="n">
        <v>78</v>
      </c>
      <c r="G8084" s="5" t="n">
        <v>464</v>
      </c>
      <c r="H8084" s="5" t="n">
        <v>62</v>
      </c>
      <c r="I8084" s="5" t="n">
        <v>62</v>
      </c>
      <c r="J8084" s="5" t="n">
        <v>0</v>
      </c>
      <c r="K8084" s="10">
        <f>IF(F8084&gt;0,H8084/F8084,"")</f>
        <v/>
      </c>
      <c r="L8084" s="16">
        <f>IF(AND(G8084&gt;0,H8084&gt;0),G8084/H8084,"")</f>
        <v/>
      </c>
    </row>
    <row r="8085">
      <c r="A8085" s="4" t="inlineStr">
        <is>
          <t>652</t>
        </is>
      </c>
      <c r="B8085" s="4" t="n">
        <v>6</v>
      </c>
      <c r="C8085" s="4" t="inlineStr">
        <is>
          <t>mule deer</t>
        </is>
      </c>
      <c r="D8085" s="4" t="n">
        <v>2018</v>
      </c>
      <c r="E8085" s="15" t="inlineStr">
        <is>
          <t>Draw</t>
        </is>
      </c>
      <c r="F8085" s="5" t="n"/>
      <c r="G8085" s="5" t="n"/>
      <c r="H8085" s="5" t="n">
        <v>101</v>
      </c>
      <c r="I8085" s="5" t="n">
        <v>65</v>
      </c>
      <c r="J8085" s="5" t="n">
        <v>36</v>
      </c>
      <c r="K8085" s="10">
        <f>IF(F8085&gt;0,H8085/F8085,"")</f>
        <v/>
      </c>
      <c r="L8085" s="16">
        <f>IF(AND(G8085&gt;0,H8085&gt;0),G8085/H8085,"")</f>
        <v/>
      </c>
    </row>
    <row r="8086">
      <c r="A8086" s="4" t="inlineStr">
        <is>
          <t>652</t>
        </is>
      </c>
      <c r="B8086" s="4" t="n">
        <v>6</v>
      </c>
      <c r="C8086" s="4" t="inlineStr">
        <is>
          <t>mule deer</t>
        </is>
      </c>
      <c r="D8086" s="4" t="n">
        <v>2019</v>
      </c>
      <c r="E8086" s="15" t="inlineStr">
        <is>
          <t>Draw</t>
        </is>
      </c>
      <c r="F8086" s="5" t="n">
        <v>106</v>
      </c>
      <c r="G8086" s="5" t="n">
        <v>479</v>
      </c>
      <c r="H8086" s="5" t="n">
        <v>84</v>
      </c>
      <c r="I8086" s="5" t="n">
        <v>53</v>
      </c>
      <c r="J8086" s="5" t="n">
        <v>31</v>
      </c>
      <c r="K8086" s="10">
        <f>IF(F8086&gt;0,H8086/F8086,"")</f>
        <v/>
      </c>
      <c r="L8086" s="16">
        <f>IF(AND(G8086&gt;0,H8086&gt;0),G8086/H8086,"")</f>
        <v/>
      </c>
    </row>
    <row r="8087">
      <c r="A8087" s="4" t="inlineStr">
        <is>
          <t>652</t>
        </is>
      </c>
      <c r="B8087" s="4" t="n">
        <v>6</v>
      </c>
      <c r="C8087" s="4" t="inlineStr">
        <is>
          <t>mule deer</t>
        </is>
      </c>
      <c r="D8087" s="4" t="n">
        <v>2020</v>
      </c>
      <c r="E8087" s="15" t="inlineStr">
        <is>
          <t>Draw</t>
        </is>
      </c>
      <c r="F8087" s="5" t="n"/>
      <c r="G8087" s="5" t="n"/>
      <c r="H8087" s="5" t="n">
        <v>135</v>
      </c>
      <c r="I8087" s="5" t="n">
        <v>103</v>
      </c>
      <c r="J8087" s="5" t="n">
        <v>32</v>
      </c>
      <c r="K8087" s="10">
        <f>IF(F8087&gt;0,H8087/F8087,"")</f>
        <v/>
      </c>
      <c r="L8087" s="16">
        <f>IF(AND(G8087&gt;0,H8087&gt;0),G8087/H8087,"")</f>
        <v/>
      </c>
    </row>
    <row r="8088">
      <c r="A8088" s="4" t="inlineStr">
        <is>
          <t>652</t>
        </is>
      </c>
      <c r="B8088" s="4" t="n">
        <v>6</v>
      </c>
      <c r="C8088" s="4" t="inlineStr">
        <is>
          <t>mule deer</t>
        </is>
      </c>
      <c r="D8088" s="4" t="n">
        <v>2021</v>
      </c>
      <c r="E8088" s="15" t="inlineStr">
        <is>
          <t>Draw</t>
        </is>
      </c>
      <c r="F8088" s="5" t="n">
        <v>169</v>
      </c>
      <c r="G8088" s="5" t="n">
        <v>1200</v>
      </c>
      <c r="H8088" s="5" t="n">
        <v>156</v>
      </c>
      <c r="I8088" s="5" t="n">
        <v>123</v>
      </c>
      <c r="J8088" s="5" t="n">
        <v>34</v>
      </c>
      <c r="K8088" s="10">
        <f>IF(F8088&gt;0,H8088/F8088,"")</f>
        <v/>
      </c>
      <c r="L8088" s="16">
        <f>IF(AND(G8088&gt;0,H8088&gt;0),G8088/H8088,"")</f>
        <v/>
      </c>
    </row>
    <row r="8089">
      <c r="A8089" s="4" t="inlineStr">
        <is>
          <t>652</t>
        </is>
      </c>
      <c r="B8089" s="4" t="n">
        <v>6</v>
      </c>
      <c r="C8089" s="4" t="inlineStr">
        <is>
          <t>mule deer</t>
        </is>
      </c>
      <c r="D8089" s="4" t="n">
        <v>2022</v>
      </c>
      <c r="E8089" s="15" t="inlineStr">
        <is>
          <t>Draw</t>
        </is>
      </c>
      <c r="F8089" s="5" t="n"/>
      <c r="G8089" s="5" t="n"/>
      <c r="H8089" s="5" t="n">
        <v>104</v>
      </c>
      <c r="I8089" s="5" t="n">
        <v>81</v>
      </c>
      <c r="J8089" s="5" t="n">
        <v>23</v>
      </c>
      <c r="K8089" s="10">
        <f>IF(F8089&gt;0,H8089/F8089,"")</f>
        <v/>
      </c>
      <c r="L8089" s="16">
        <f>IF(AND(G8089&gt;0,H8089&gt;0),G8089/H8089,"")</f>
        <v/>
      </c>
    </row>
    <row r="8090">
      <c r="A8090" s="4" t="inlineStr">
        <is>
          <t>652</t>
        </is>
      </c>
      <c r="B8090" s="4" t="n">
        <v>6</v>
      </c>
      <c r="C8090" s="4" t="inlineStr">
        <is>
          <t>mule deer</t>
        </is>
      </c>
      <c r="D8090" s="4" t="n">
        <v>2023</v>
      </c>
      <c r="E8090" s="15" t="inlineStr">
        <is>
          <t>Draw</t>
        </is>
      </c>
      <c r="F8090" s="5" t="n">
        <v>173</v>
      </c>
      <c r="G8090" s="5" t="n">
        <v>978</v>
      </c>
      <c r="H8090" s="5" t="n">
        <v>87</v>
      </c>
      <c r="I8090" s="5" t="n">
        <v>74</v>
      </c>
      <c r="J8090" s="5" t="n">
        <v>14</v>
      </c>
      <c r="K8090" s="10">
        <f>IF(F8090&gt;0,H8090/F8090,"")</f>
        <v/>
      </c>
      <c r="L8090" s="16">
        <f>IF(AND(G8090&gt;0,H8090&gt;0),G8090/H8090,"")</f>
        <v/>
      </c>
    </row>
    <row r="8091">
      <c r="A8091" s="4" t="inlineStr">
        <is>
          <t>652</t>
        </is>
      </c>
      <c r="B8091" s="4" t="n">
        <v>6</v>
      </c>
      <c r="C8091" s="4" t="inlineStr">
        <is>
          <t>mule deer</t>
        </is>
      </c>
      <c r="D8091" s="4" t="n">
        <v>2024</v>
      </c>
      <c r="E8091" s="15" t="inlineStr">
        <is>
          <t>Draw</t>
        </is>
      </c>
      <c r="F8091" s="5" t="n"/>
      <c r="G8091" s="5" t="n"/>
      <c r="H8091" s="5" t="n">
        <v>64</v>
      </c>
      <c r="I8091" s="5" t="n">
        <v>62</v>
      </c>
      <c r="J8091" s="5" t="n">
        <v>3</v>
      </c>
      <c r="K8091" s="10">
        <f>IF(F8091&gt;0,H8091/F8091,"")</f>
        <v/>
      </c>
      <c r="L8091" s="16">
        <f>IF(AND(G8091&gt;0,H8091&gt;0),G8091/H8091,"")</f>
        <v/>
      </c>
    </row>
    <row r="8092">
      <c r="A8092" s="4" t="inlineStr">
        <is>
          <t>652</t>
        </is>
      </c>
      <c r="B8092" s="4" t="n">
        <v>6</v>
      </c>
      <c r="C8092" s="4" t="inlineStr">
        <is>
          <t>mule deer</t>
        </is>
      </c>
      <c r="D8092" s="4" t="n">
        <v>2025</v>
      </c>
      <c r="E8092" s="15" t="inlineStr">
        <is>
          <t>Draw</t>
        </is>
      </c>
      <c r="F8092" s="5" t="n">
        <v>123</v>
      </c>
      <c r="G8092" s="5" t="n">
        <v>734</v>
      </c>
      <c r="H8092" s="5" t="n">
        <v>52</v>
      </c>
      <c r="I8092" s="5" t="n">
        <v>48</v>
      </c>
      <c r="J8092" s="5" t="n">
        <v>4</v>
      </c>
      <c r="K8092" s="10">
        <f>IF(F8092&gt;0,H8092/F8092,"")</f>
        <v/>
      </c>
      <c r="L8092" s="16">
        <f>IF(AND(G8092&gt;0,H8092&gt;0),G8092/H8092,"")</f>
        <v/>
      </c>
    </row>
    <row r="8093">
      <c r="A8093" s="4" t="inlineStr">
        <is>
          <t>670</t>
        </is>
      </c>
      <c r="B8093" s="4" t="n">
        <v>6</v>
      </c>
      <c r="C8093" s="4" t="inlineStr">
        <is>
          <t>mule deer</t>
        </is>
      </c>
      <c r="D8093" s="4" t="n">
        <v>2004</v>
      </c>
      <c r="E8093" s="13" t="inlineStr">
        <is>
          <t>General</t>
        </is>
      </c>
      <c r="F8093" s="5" t="n">
        <v>1363</v>
      </c>
      <c r="G8093" s="5" t="n">
        <v>5893</v>
      </c>
      <c r="H8093" s="5" t="n">
        <v>732</v>
      </c>
      <c r="I8093" s="5" t="n">
        <v>524</v>
      </c>
      <c r="J8093" s="5" t="n">
        <v>206</v>
      </c>
      <c r="K8093" s="10">
        <f>IF(F8093&gt;0,H8093/F8093,"")</f>
        <v/>
      </c>
      <c r="L8093" s="16">
        <f>IF(AND(G8093&gt;0,H8093&gt;0),G8093/H8093,"")</f>
        <v/>
      </c>
    </row>
    <row r="8094">
      <c r="A8094" s="4" t="inlineStr">
        <is>
          <t>670</t>
        </is>
      </c>
      <c r="B8094" s="4" t="n">
        <v>6</v>
      </c>
      <c r="C8094" s="4" t="inlineStr">
        <is>
          <t>mule deer</t>
        </is>
      </c>
      <c r="D8094" s="4" t="n">
        <v>2005</v>
      </c>
      <c r="E8094" s="13" t="inlineStr">
        <is>
          <t>General</t>
        </is>
      </c>
      <c r="F8094" s="5" t="n">
        <v>1154</v>
      </c>
      <c r="G8094" s="5" t="n">
        <v>5017</v>
      </c>
      <c r="H8094" s="5" t="n">
        <v>647</v>
      </c>
      <c r="I8094" s="5" t="n">
        <v>397</v>
      </c>
      <c r="J8094" s="5" t="n">
        <v>245</v>
      </c>
      <c r="K8094" s="10">
        <f>IF(F8094&gt;0,H8094/F8094,"")</f>
        <v/>
      </c>
      <c r="L8094" s="16">
        <f>IF(AND(G8094&gt;0,H8094&gt;0),G8094/H8094,"")</f>
        <v/>
      </c>
    </row>
    <row r="8095">
      <c r="A8095" s="4" t="inlineStr">
        <is>
          <t>670</t>
        </is>
      </c>
      <c r="B8095" s="4" t="n">
        <v>6</v>
      </c>
      <c r="C8095" s="4" t="inlineStr">
        <is>
          <t>mule deer</t>
        </is>
      </c>
      <c r="D8095" s="4" t="n">
        <v>2006</v>
      </c>
      <c r="E8095" s="13" t="inlineStr">
        <is>
          <t>General</t>
        </is>
      </c>
      <c r="F8095" s="5" t="n">
        <v>1199</v>
      </c>
      <c r="G8095" s="5" t="n">
        <v>5730</v>
      </c>
      <c r="H8095" s="5" t="n">
        <v>728</v>
      </c>
      <c r="I8095" s="5" t="n">
        <v>411</v>
      </c>
      <c r="J8095" s="5" t="n">
        <v>303</v>
      </c>
      <c r="K8095" s="10">
        <f>IF(F8095&gt;0,H8095/F8095,"")</f>
        <v/>
      </c>
      <c r="L8095" s="16">
        <f>IF(AND(G8095&gt;0,H8095&gt;0),G8095/H8095,"")</f>
        <v/>
      </c>
    </row>
    <row r="8096">
      <c r="A8096" s="4" t="inlineStr">
        <is>
          <t>670</t>
        </is>
      </c>
      <c r="B8096" s="4" t="n">
        <v>6</v>
      </c>
      <c r="C8096" s="4" t="inlineStr">
        <is>
          <t>mule deer</t>
        </is>
      </c>
      <c r="D8096" s="4" t="n">
        <v>2007</v>
      </c>
      <c r="E8096" s="13" t="inlineStr">
        <is>
          <t>General</t>
        </is>
      </c>
      <c r="F8096" s="5" t="n">
        <v>1640</v>
      </c>
      <c r="G8096" s="5" t="n">
        <v>7267</v>
      </c>
      <c r="H8096" s="5" t="n">
        <v>1008</v>
      </c>
      <c r="I8096" s="5" t="n">
        <v>517</v>
      </c>
      <c r="J8096" s="5" t="n">
        <v>488</v>
      </c>
      <c r="K8096" s="10">
        <f>IF(F8096&gt;0,H8096/F8096,"")</f>
        <v/>
      </c>
      <c r="L8096" s="16">
        <f>IF(AND(G8096&gt;0,H8096&gt;0),G8096/H8096,"")</f>
        <v/>
      </c>
    </row>
    <row r="8097">
      <c r="A8097" s="4" t="inlineStr">
        <is>
          <t>670</t>
        </is>
      </c>
      <c r="B8097" s="4" t="n">
        <v>6</v>
      </c>
      <c r="C8097" s="4" t="inlineStr">
        <is>
          <t>mule deer</t>
        </is>
      </c>
      <c r="D8097" s="4" t="n">
        <v>2008</v>
      </c>
      <c r="E8097" s="13" t="inlineStr">
        <is>
          <t>General</t>
        </is>
      </c>
      <c r="F8097" s="5" t="n">
        <v>1920</v>
      </c>
      <c r="G8097" s="5" t="n">
        <v>8404</v>
      </c>
      <c r="H8097" s="5" t="n">
        <v>1189</v>
      </c>
      <c r="I8097" s="5" t="n">
        <v>566</v>
      </c>
      <c r="J8097" s="5" t="n">
        <v>600</v>
      </c>
      <c r="K8097" s="10">
        <f>IF(F8097&gt;0,H8097/F8097,"")</f>
        <v/>
      </c>
      <c r="L8097" s="16">
        <f>IF(AND(G8097&gt;0,H8097&gt;0),G8097/H8097,"")</f>
        <v/>
      </c>
    </row>
    <row r="8098">
      <c r="A8098" s="4" t="inlineStr">
        <is>
          <t>670</t>
        </is>
      </c>
      <c r="B8098" s="4" t="n">
        <v>6</v>
      </c>
      <c r="C8098" s="4" t="inlineStr">
        <is>
          <t>mule deer</t>
        </is>
      </c>
      <c r="D8098" s="4" t="n">
        <v>2009</v>
      </c>
      <c r="E8098" s="13" t="inlineStr">
        <is>
          <t>General</t>
        </is>
      </c>
      <c r="F8098" s="5" t="n">
        <v>2172</v>
      </c>
      <c r="G8098" s="5" t="n">
        <v>10373</v>
      </c>
      <c r="H8098" s="5" t="n">
        <v>1322</v>
      </c>
      <c r="I8098" s="5" t="n">
        <v>628</v>
      </c>
      <c r="J8098" s="5" t="n">
        <v>660</v>
      </c>
      <c r="K8098" s="10">
        <f>IF(F8098&gt;0,H8098/F8098,"")</f>
        <v/>
      </c>
      <c r="L8098" s="16">
        <f>IF(AND(G8098&gt;0,H8098&gt;0),G8098/H8098,"")</f>
        <v/>
      </c>
    </row>
    <row r="8099">
      <c r="A8099" s="4" t="inlineStr">
        <is>
          <t>670</t>
        </is>
      </c>
      <c r="B8099" s="4" t="n">
        <v>6</v>
      </c>
      <c r="C8099" s="4" t="inlineStr">
        <is>
          <t>mule deer</t>
        </is>
      </c>
      <c r="D8099" s="4" t="n">
        <v>2010</v>
      </c>
      <c r="E8099" s="13" t="inlineStr">
        <is>
          <t>General</t>
        </is>
      </c>
      <c r="F8099" s="5" t="n">
        <v>2530</v>
      </c>
      <c r="G8099" s="5" t="n">
        <v>12516</v>
      </c>
      <c r="H8099" s="5" t="n">
        <v>1293</v>
      </c>
      <c r="I8099" s="5" t="n">
        <v>633</v>
      </c>
      <c r="J8099" s="5" t="n">
        <v>652</v>
      </c>
      <c r="K8099" s="10">
        <f>IF(F8099&gt;0,H8099/F8099,"")</f>
        <v/>
      </c>
      <c r="L8099" s="16">
        <f>IF(AND(G8099&gt;0,H8099&gt;0),G8099/H8099,"")</f>
        <v/>
      </c>
    </row>
    <row r="8100">
      <c r="A8100" s="4" t="inlineStr">
        <is>
          <t>670</t>
        </is>
      </c>
      <c r="B8100" s="4" t="n">
        <v>6</v>
      </c>
      <c r="C8100" s="4" t="inlineStr">
        <is>
          <t>mule deer</t>
        </is>
      </c>
      <c r="D8100" s="4" t="n">
        <v>2011</v>
      </c>
      <c r="E8100" s="13" t="inlineStr">
        <is>
          <t>General</t>
        </is>
      </c>
      <c r="F8100" s="5" t="n">
        <v>1573</v>
      </c>
      <c r="G8100" s="5" t="n">
        <v>6961</v>
      </c>
      <c r="H8100" s="5" t="n">
        <v>574</v>
      </c>
      <c r="I8100" s="5" t="n">
        <v>453</v>
      </c>
      <c r="J8100" s="5" t="n">
        <v>119</v>
      </c>
      <c r="K8100" s="10">
        <f>IF(F8100&gt;0,H8100/F8100,"")</f>
        <v/>
      </c>
      <c r="L8100" s="16">
        <f>IF(AND(G8100&gt;0,H8100&gt;0),G8100/H8100,"")</f>
        <v/>
      </c>
    </row>
    <row r="8101">
      <c r="A8101" s="4" t="inlineStr">
        <is>
          <t>670</t>
        </is>
      </c>
      <c r="B8101" s="4" t="n">
        <v>6</v>
      </c>
      <c r="C8101" s="4" t="inlineStr">
        <is>
          <t>mule deer</t>
        </is>
      </c>
      <c r="D8101" s="4" t="n">
        <v>2012</v>
      </c>
      <c r="E8101" s="13" t="inlineStr">
        <is>
          <t>General</t>
        </is>
      </c>
      <c r="F8101" s="5" t="n"/>
      <c r="G8101" s="5" t="n"/>
      <c r="H8101" s="5" t="n">
        <v>852</v>
      </c>
      <c r="I8101" s="5" t="n">
        <v>703</v>
      </c>
      <c r="J8101" s="5" t="n">
        <v>147</v>
      </c>
      <c r="K8101" s="10">
        <f>IF(F8101&gt;0,H8101/F8101,"")</f>
        <v/>
      </c>
      <c r="L8101" s="16">
        <f>IF(AND(G8101&gt;0,H8101&gt;0),G8101/H8101,"")</f>
        <v/>
      </c>
    </row>
    <row r="8102">
      <c r="A8102" s="4" t="inlineStr">
        <is>
          <t>670</t>
        </is>
      </c>
      <c r="B8102" s="4" t="n">
        <v>6</v>
      </c>
      <c r="C8102" s="4" t="inlineStr">
        <is>
          <t>mule deer</t>
        </is>
      </c>
      <c r="D8102" s="4" t="n">
        <v>2013</v>
      </c>
      <c r="E8102" s="13" t="inlineStr">
        <is>
          <t>General</t>
        </is>
      </c>
      <c r="F8102" s="5" t="n">
        <v>2016</v>
      </c>
      <c r="G8102" s="5" t="n">
        <v>9219</v>
      </c>
      <c r="H8102" s="5" t="n">
        <v>943</v>
      </c>
      <c r="I8102" s="5" t="n">
        <v>728</v>
      </c>
      <c r="J8102" s="5" t="n">
        <v>209</v>
      </c>
      <c r="K8102" s="10">
        <f>IF(F8102&gt;0,H8102/F8102,"")</f>
        <v/>
      </c>
      <c r="L8102" s="16">
        <f>IF(AND(G8102&gt;0,H8102&gt;0),G8102/H8102,"")</f>
        <v/>
      </c>
    </row>
    <row r="8103">
      <c r="A8103" s="4" t="inlineStr">
        <is>
          <t>670</t>
        </is>
      </c>
      <c r="B8103" s="4" t="n">
        <v>6</v>
      </c>
      <c r="C8103" s="4" t="inlineStr">
        <is>
          <t>mule deer</t>
        </is>
      </c>
      <c r="D8103" s="4" t="n">
        <v>2014</v>
      </c>
      <c r="E8103" s="13" t="inlineStr">
        <is>
          <t>General</t>
        </is>
      </c>
      <c r="F8103" s="5" t="n"/>
      <c r="G8103" s="5" t="n"/>
      <c r="H8103" s="5" t="n">
        <v>711</v>
      </c>
      <c r="I8103" s="5" t="n">
        <v>708</v>
      </c>
      <c r="J8103" s="5" t="n">
        <v>0</v>
      </c>
      <c r="K8103" s="10">
        <f>IF(F8103&gt;0,H8103/F8103,"")</f>
        <v/>
      </c>
      <c r="L8103" s="16">
        <f>IF(AND(G8103&gt;0,H8103&gt;0),G8103/H8103,"")</f>
        <v/>
      </c>
    </row>
    <row r="8104">
      <c r="A8104" s="4" t="inlineStr">
        <is>
          <t>670</t>
        </is>
      </c>
      <c r="B8104" s="4" t="n">
        <v>6</v>
      </c>
      <c r="C8104" s="4" t="inlineStr">
        <is>
          <t>mule deer</t>
        </is>
      </c>
      <c r="D8104" s="4" t="n">
        <v>2015</v>
      </c>
      <c r="E8104" s="13" t="inlineStr">
        <is>
          <t>General</t>
        </is>
      </c>
      <c r="F8104" s="5" t="n"/>
      <c r="G8104" s="5" t="n"/>
      <c r="H8104" s="5" t="n">
        <v>900</v>
      </c>
      <c r="I8104" s="5" t="n">
        <v>857</v>
      </c>
      <c r="J8104" s="5" t="n">
        <v>43</v>
      </c>
      <c r="K8104" s="10">
        <f>IF(F8104&gt;0,H8104/F8104,"")</f>
        <v/>
      </c>
      <c r="L8104" s="16">
        <f>IF(AND(G8104&gt;0,H8104&gt;0),G8104/H8104,"")</f>
        <v/>
      </c>
    </row>
    <row r="8105">
      <c r="A8105" s="4" t="inlineStr">
        <is>
          <t>670</t>
        </is>
      </c>
      <c r="B8105" s="4" t="n">
        <v>6</v>
      </c>
      <c r="C8105" s="4" t="inlineStr">
        <is>
          <t>mule deer</t>
        </is>
      </c>
      <c r="D8105" s="4" t="n">
        <v>2016</v>
      </c>
      <c r="E8105" s="13" t="inlineStr">
        <is>
          <t>General</t>
        </is>
      </c>
      <c r="F8105" s="5" t="n"/>
      <c r="G8105" s="5" t="n"/>
      <c r="H8105" s="5" t="n">
        <v>1203</v>
      </c>
      <c r="I8105" s="5" t="n">
        <v>1087</v>
      </c>
      <c r="J8105" s="5" t="n">
        <v>117</v>
      </c>
      <c r="K8105" s="10">
        <f>IF(F8105&gt;0,H8105/F8105,"")</f>
        <v/>
      </c>
      <c r="L8105" s="16">
        <f>IF(AND(G8105&gt;0,H8105&gt;0),G8105/H8105,"")</f>
        <v/>
      </c>
    </row>
    <row r="8106">
      <c r="A8106" s="4" t="inlineStr">
        <is>
          <t>670</t>
        </is>
      </c>
      <c r="B8106" s="4" t="n">
        <v>6</v>
      </c>
      <c r="C8106" s="4" t="inlineStr">
        <is>
          <t>mule deer</t>
        </is>
      </c>
      <c r="D8106" s="4" t="n">
        <v>2017</v>
      </c>
      <c r="E8106" s="13" t="inlineStr">
        <is>
          <t>General</t>
        </is>
      </c>
      <c r="F8106" s="5" t="n">
        <v>2162</v>
      </c>
      <c r="G8106" s="5" t="n">
        <v>11667</v>
      </c>
      <c r="H8106" s="5" t="n">
        <v>1426</v>
      </c>
      <c r="I8106" s="5" t="n">
        <v>1067</v>
      </c>
      <c r="J8106" s="5" t="n">
        <v>359</v>
      </c>
      <c r="K8106" s="10">
        <f>IF(F8106&gt;0,H8106/F8106,"")</f>
        <v/>
      </c>
      <c r="L8106" s="16">
        <f>IF(AND(G8106&gt;0,H8106&gt;0),G8106/H8106,"")</f>
        <v/>
      </c>
    </row>
    <row r="8107">
      <c r="A8107" s="4" t="inlineStr">
        <is>
          <t>670</t>
        </is>
      </c>
      <c r="B8107" s="4" t="n">
        <v>6</v>
      </c>
      <c r="C8107" s="4" t="inlineStr">
        <is>
          <t>mule deer</t>
        </is>
      </c>
      <c r="D8107" s="4" t="n">
        <v>2018</v>
      </c>
      <c r="E8107" s="13" t="inlineStr">
        <is>
          <t>General</t>
        </is>
      </c>
      <c r="F8107" s="5" t="n"/>
      <c r="G8107" s="5" t="n"/>
      <c r="H8107" s="5" t="n">
        <v>1135</v>
      </c>
      <c r="I8107" s="5" t="n">
        <v>787</v>
      </c>
      <c r="J8107" s="5" t="n">
        <v>345</v>
      </c>
      <c r="K8107" s="10">
        <f>IF(F8107&gt;0,H8107/F8107,"")</f>
        <v/>
      </c>
      <c r="L8107" s="16">
        <f>IF(AND(G8107&gt;0,H8107&gt;0),G8107/H8107,"")</f>
        <v/>
      </c>
    </row>
    <row r="8108">
      <c r="A8108" s="4" t="inlineStr">
        <is>
          <t>670</t>
        </is>
      </c>
      <c r="B8108" s="4" t="n">
        <v>6</v>
      </c>
      <c r="C8108" s="4" t="inlineStr">
        <is>
          <t>mule deer</t>
        </is>
      </c>
      <c r="D8108" s="4" t="n">
        <v>2019</v>
      </c>
      <c r="E8108" s="13" t="inlineStr">
        <is>
          <t>General</t>
        </is>
      </c>
      <c r="F8108" s="5" t="n">
        <v>2212</v>
      </c>
      <c r="G8108" s="5" t="n">
        <v>10650</v>
      </c>
      <c r="H8108" s="5" t="n">
        <v>1527</v>
      </c>
      <c r="I8108" s="5" t="n">
        <v>986</v>
      </c>
      <c r="J8108" s="5" t="n">
        <v>520</v>
      </c>
      <c r="K8108" s="10">
        <f>IF(F8108&gt;0,H8108/F8108,"")</f>
        <v/>
      </c>
      <c r="L8108" s="16">
        <f>IF(AND(G8108&gt;0,H8108&gt;0),G8108/H8108,"")</f>
        <v/>
      </c>
    </row>
    <row r="8109">
      <c r="A8109" s="4" t="inlineStr">
        <is>
          <t>670</t>
        </is>
      </c>
      <c r="B8109" s="4" t="n">
        <v>6</v>
      </c>
      <c r="C8109" s="4" t="inlineStr">
        <is>
          <t>mule deer</t>
        </is>
      </c>
      <c r="D8109" s="4" t="n">
        <v>2020</v>
      </c>
      <c r="E8109" s="13" t="inlineStr">
        <is>
          <t>General</t>
        </is>
      </c>
      <c r="F8109" s="5" t="n"/>
      <c r="G8109" s="5" t="n"/>
      <c r="H8109" s="5" t="n">
        <v>2247</v>
      </c>
      <c r="I8109" s="5" t="n">
        <v>1440</v>
      </c>
      <c r="J8109" s="5" t="n">
        <v>779</v>
      </c>
      <c r="K8109" s="10">
        <f>IF(F8109&gt;0,H8109/F8109,"")</f>
        <v/>
      </c>
      <c r="L8109" s="16">
        <f>IF(AND(G8109&gt;0,H8109&gt;0),G8109/H8109,"")</f>
        <v/>
      </c>
    </row>
    <row r="8110">
      <c r="A8110" s="4" t="inlineStr">
        <is>
          <t>670</t>
        </is>
      </c>
      <c r="B8110" s="4" t="n">
        <v>6</v>
      </c>
      <c r="C8110" s="4" t="inlineStr">
        <is>
          <t>mule deer</t>
        </is>
      </c>
      <c r="D8110" s="4" t="n">
        <v>2021</v>
      </c>
      <c r="E8110" s="13" t="inlineStr">
        <is>
          <t>General</t>
        </is>
      </c>
      <c r="F8110" s="5" t="n">
        <v>3853</v>
      </c>
      <c r="G8110" s="5" t="n">
        <v>19975</v>
      </c>
      <c r="H8110" s="5" t="n">
        <v>2917</v>
      </c>
      <c r="I8110" s="5" t="n">
        <v>1696</v>
      </c>
      <c r="J8110" s="5" t="n">
        <v>1213</v>
      </c>
      <c r="K8110" s="10">
        <f>IF(F8110&gt;0,H8110/F8110,"")</f>
        <v/>
      </c>
      <c r="L8110" s="16">
        <f>IF(AND(G8110&gt;0,H8110&gt;0),G8110/H8110,"")</f>
        <v/>
      </c>
    </row>
    <row r="8111">
      <c r="A8111" s="4" t="inlineStr">
        <is>
          <t>670</t>
        </is>
      </c>
      <c r="B8111" s="4" t="n">
        <v>6</v>
      </c>
      <c r="C8111" s="4" t="inlineStr">
        <is>
          <t>mule deer</t>
        </is>
      </c>
      <c r="D8111" s="4" t="n">
        <v>2022</v>
      </c>
      <c r="E8111" s="13" t="inlineStr">
        <is>
          <t>General</t>
        </is>
      </c>
      <c r="F8111" s="5" t="n"/>
      <c r="G8111" s="5" t="n"/>
      <c r="H8111" s="5" t="n">
        <v>2306</v>
      </c>
      <c r="I8111" s="5" t="n">
        <v>1550</v>
      </c>
      <c r="J8111" s="5" t="n">
        <v>752</v>
      </c>
      <c r="K8111" s="10">
        <f>IF(F8111&gt;0,H8111/F8111,"")</f>
        <v/>
      </c>
      <c r="L8111" s="16">
        <f>IF(AND(G8111&gt;0,H8111&gt;0),G8111/H8111,"")</f>
        <v/>
      </c>
    </row>
    <row r="8112">
      <c r="A8112" s="4" t="inlineStr">
        <is>
          <t>670</t>
        </is>
      </c>
      <c r="B8112" s="4" t="n">
        <v>6</v>
      </c>
      <c r="C8112" s="4" t="inlineStr">
        <is>
          <t>mule deer</t>
        </is>
      </c>
      <c r="D8112" s="4" t="n">
        <v>2023</v>
      </c>
      <c r="E8112" s="13" t="inlineStr">
        <is>
          <t>General</t>
        </is>
      </c>
      <c r="F8112" s="5" t="n">
        <v>3574</v>
      </c>
      <c r="G8112" s="5" t="n">
        <v>19455</v>
      </c>
      <c r="H8112" s="5" t="n">
        <v>1923</v>
      </c>
      <c r="I8112" s="5" t="n">
        <v>1354</v>
      </c>
      <c r="J8112" s="5" t="n">
        <v>566</v>
      </c>
      <c r="K8112" s="10">
        <f>IF(F8112&gt;0,H8112/F8112,"")</f>
        <v/>
      </c>
      <c r="L8112" s="16">
        <f>IF(AND(G8112&gt;0,H8112&gt;0),G8112/H8112,"")</f>
        <v/>
      </c>
    </row>
    <row r="8113">
      <c r="A8113" s="4" t="inlineStr">
        <is>
          <t>670</t>
        </is>
      </c>
      <c r="B8113" s="4" t="n">
        <v>6</v>
      </c>
      <c r="C8113" s="4" t="inlineStr">
        <is>
          <t>mule deer</t>
        </is>
      </c>
      <c r="D8113" s="4" t="n">
        <v>2024</v>
      </c>
      <c r="E8113" s="13" t="inlineStr">
        <is>
          <t>General</t>
        </is>
      </c>
      <c r="F8113" s="5" t="n"/>
      <c r="G8113" s="5" t="n"/>
      <c r="H8113" s="5" t="n">
        <v>1200</v>
      </c>
      <c r="I8113" s="5" t="n">
        <v>978</v>
      </c>
      <c r="J8113" s="5" t="n">
        <v>220</v>
      </c>
      <c r="K8113" s="10">
        <f>IF(F8113&gt;0,H8113/F8113,"")</f>
        <v/>
      </c>
      <c r="L8113" s="16">
        <f>IF(AND(G8113&gt;0,H8113&gt;0),G8113/H8113,"")</f>
        <v/>
      </c>
    </row>
    <row r="8114">
      <c r="A8114" s="4" t="inlineStr">
        <is>
          <t>670</t>
        </is>
      </c>
      <c r="B8114" s="4" t="n">
        <v>6</v>
      </c>
      <c r="C8114" s="4" t="inlineStr">
        <is>
          <t>mule deer</t>
        </is>
      </c>
      <c r="D8114" s="4" t="n">
        <v>2025</v>
      </c>
      <c r="E8114" s="13" t="inlineStr">
        <is>
          <t>General</t>
        </is>
      </c>
      <c r="F8114" s="5" t="n">
        <v>2456</v>
      </c>
      <c r="G8114" s="5" t="n">
        <v>14292</v>
      </c>
      <c r="H8114" s="5" t="n">
        <v>955</v>
      </c>
      <c r="I8114" s="5" t="n">
        <v>873</v>
      </c>
      <c r="J8114" s="5" t="n">
        <v>82</v>
      </c>
      <c r="K8114" s="10">
        <f>IF(F8114&gt;0,H8114/F8114,"")</f>
        <v/>
      </c>
      <c r="L8114" s="16">
        <f>IF(AND(G8114&gt;0,H8114&gt;0),G8114/H8114,"")</f>
        <v/>
      </c>
    </row>
    <row r="8115">
      <c r="A8115" s="4" t="inlineStr">
        <is>
          <t>680</t>
        </is>
      </c>
      <c r="B8115" s="4" t="n">
        <v>6</v>
      </c>
      <c r="C8115" s="4" t="inlineStr">
        <is>
          <t>mule deer</t>
        </is>
      </c>
      <c r="D8115" s="4" t="n">
        <v>2004</v>
      </c>
      <c r="E8115" s="4" t="inlineStr"/>
      <c r="F8115" s="5" t="n">
        <v>747</v>
      </c>
      <c r="G8115" s="5" t="n">
        <v>3127</v>
      </c>
      <c r="H8115" s="5" t="n">
        <v>458</v>
      </c>
      <c r="I8115" s="5" t="n">
        <v>325</v>
      </c>
      <c r="J8115" s="5" t="n">
        <v>129</v>
      </c>
      <c r="K8115" s="10">
        <f>IF(F8115&gt;0,H8115/F8115,"")</f>
        <v/>
      </c>
      <c r="L8115" s="16">
        <f>IF(AND(G8115&gt;0,H8115&gt;0),G8115/H8115,"")</f>
        <v/>
      </c>
    </row>
    <row r="8116">
      <c r="A8116" s="4" t="inlineStr">
        <is>
          <t>680</t>
        </is>
      </c>
      <c r="B8116" s="4" t="n">
        <v>6</v>
      </c>
      <c r="C8116" s="4" t="inlineStr">
        <is>
          <t>mule deer</t>
        </is>
      </c>
      <c r="D8116" s="4" t="n">
        <v>2005</v>
      </c>
      <c r="E8116" s="4" t="inlineStr"/>
      <c r="F8116" s="5" t="n">
        <v>626</v>
      </c>
      <c r="G8116" s="5" t="n">
        <v>2948</v>
      </c>
      <c r="H8116" s="5" t="n">
        <v>407</v>
      </c>
      <c r="I8116" s="5" t="n">
        <v>264</v>
      </c>
      <c r="J8116" s="5" t="n">
        <v>143</v>
      </c>
      <c r="K8116" s="10">
        <f>IF(F8116&gt;0,H8116/F8116,"")</f>
        <v/>
      </c>
      <c r="L8116" s="16">
        <f>IF(AND(G8116&gt;0,H8116&gt;0),G8116/H8116,"")</f>
        <v/>
      </c>
    </row>
    <row r="8117">
      <c r="A8117" s="4" t="inlineStr">
        <is>
          <t>680</t>
        </is>
      </c>
      <c r="B8117" s="4" t="n">
        <v>6</v>
      </c>
      <c r="C8117" s="4" t="inlineStr">
        <is>
          <t>mule deer</t>
        </is>
      </c>
      <c r="D8117" s="4" t="n">
        <v>2006</v>
      </c>
      <c r="E8117" s="4" t="inlineStr"/>
      <c r="F8117" s="5" t="n">
        <v>531</v>
      </c>
      <c r="G8117" s="5" t="n">
        <v>2399</v>
      </c>
      <c r="H8117" s="5" t="n">
        <v>373</v>
      </c>
      <c r="I8117" s="5" t="n">
        <v>224</v>
      </c>
      <c r="J8117" s="5" t="n">
        <v>147</v>
      </c>
      <c r="K8117" s="10">
        <f>IF(F8117&gt;0,H8117/F8117,"")</f>
        <v/>
      </c>
      <c r="L8117" s="16">
        <f>IF(AND(G8117&gt;0,H8117&gt;0),G8117/H8117,"")</f>
        <v/>
      </c>
    </row>
    <row r="8118">
      <c r="A8118" s="4" t="inlineStr">
        <is>
          <t>680</t>
        </is>
      </c>
      <c r="B8118" s="4" t="n">
        <v>6</v>
      </c>
      <c r="C8118" s="4" t="inlineStr">
        <is>
          <t>mule deer</t>
        </is>
      </c>
      <c r="D8118" s="4" t="n">
        <v>2007</v>
      </c>
      <c r="E8118" s="4" t="inlineStr"/>
      <c r="F8118" s="5" t="n">
        <v>704</v>
      </c>
      <c r="G8118" s="5" t="n">
        <v>2813</v>
      </c>
      <c r="H8118" s="5" t="n">
        <v>617</v>
      </c>
      <c r="I8118" s="5" t="n">
        <v>307</v>
      </c>
      <c r="J8118" s="5" t="n">
        <v>304</v>
      </c>
      <c r="K8118" s="10">
        <f>IF(F8118&gt;0,H8118/F8118,"")</f>
        <v/>
      </c>
      <c r="L8118" s="16">
        <f>IF(AND(G8118&gt;0,H8118&gt;0),G8118/H8118,"")</f>
        <v/>
      </c>
    </row>
    <row r="8119">
      <c r="A8119" s="4" t="inlineStr">
        <is>
          <t>680</t>
        </is>
      </c>
      <c r="B8119" s="4" t="n">
        <v>6</v>
      </c>
      <c r="C8119" s="4" t="inlineStr">
        <is>
          <t>mule deer</t>
        </is>
      </c>
      <c r="D8119" s="4" t="n">
        <v>2008</v>
      </c>
      <c r="E8119" s="4" t="inlineStr"/>
      <c r="F8119" s="5" t="n">
        <v>663</v>
      </c>
      <c r="G8119" s="5" t="n">
        <v>2826</v>
      </c>
      <c r="H8119" s="5" t="n">
        <v>478</v>
      </c>
      <c r="I8119" s="5" t="n">
        <v>223</v>
      </c>
      <c r="J8119" s="5" t="n">
        <v>252</v>
      </c>
      <c r="K8119" s="10">
        <f>IF(F8119&gt;0,H8119/F8119,"")</f>
        <v/>
      </c>
      <c r="L8119" s="16">
        <f>IF(AND(G8119&gt;0,H8119&gt;0),G8119/H8119,"")</f>
        <v/>
      </c>
    </row>
    <row r="8120">
      <c r="A8120" s="4" t="inlineStr">
        <is>
          <t>680</t>
        </is>
      </c>
      <c r="B8120" s="4" t="n">
        <v>6</v>
      </c>
      <c r="C8120" s="4" t="inlineStr">
        <is>
          <t>mule deer</t>
        </is>
      </c>
      <c r="D8120" s="4" t="n">
        <v>2009</v>
      </c>
      <c r="E8120" s="4" t="inlineStr"/>
      <c r="F8120" s="5" t="n">
        <v>734</v>
      </c>
      <c r="G8120" s="5" t="n">
        <v>3158</v>
      </c>
      <c r="H8120" s="5" t="n">
        <v>542</v>
      </c>
      <c r="I8120" s="5" t="n">
        <v>306</v>
      </c>
      <c r="J8120" s="5" t="n">
        <v>236</v>
      </c>
      <c r="K8120" s="10">
        <f>IF(F8120&gt;0,H8120/F8120,"")</f>
        <v/>
      </c>
      <c r="L8120" s="16">
        <f>IF(AND(G8120&gt;0,H8120&gt;0),G8120/H8120,"")</f>
        <v/>
      </c>
    </row>
    <row r="8121">
      <c r="A8121" s="4" t="inlineStr">
        <is>
          <t>680</t>
        </is>
      </c>
      <c r="B8121" s="4" t="n">
        <v>6</v>
      </c>
      <c r="C8121" s="4" t="inlineStr">
        <is>
          <t>mule deer</t>
        </is>
      </c>
      <c r="D8121" s="4" t="n">
        <v>2010</v>
      </c>
      <c r="E8121" s="4" t="inlineStr"/>
      <c r="F8121" s="5" t="n">
        <v>789</v>
      </c>
      <c r="G8121" s="5" t="n">
        <v>3551</v>
      </c>
      <c r="H8121" s="5" t="n">
        <v>413</v>
      </c>
      <c r="I8121" s="5" t="n">
        <v>228</v>
      </c>
      <c r="J8121" s="5" t="n">
        <v>184</v>
      </c>
      <c r="K8121" s="10">
        <f>IF(F8121&gt;0,H8121/F8121,"")</f>
        <v/>
      </c>
      <c r="L8121" s="16">
        <f>IF(AND(G8121&gt;0,H8121&gt;0),G8121/H8121,"")</f>
        <v/>
      </c>
    </row>
    <row r="8122">
      <c r="A8122" s="4" t="inlineStr">
        <is>
          <t>680</t>
        </is>
      </c>
      <c r="B8122" s="4" t="n">
        <v>6</v>
      </c>
      <c r="C8122" s="4" t="inlineStr">
        <is>
          <t>mule deer</t>
        </is>
      </c>
      <c r="D8122" s="4" t="n">
        <v>2011</v>
      </c>
      <c r="E8122" s="4" t="inlineStr"/>
      <c r="F8122" s="5" t="n">
        <v>725</v>
      </c>
      <c r="G8122" s="5" t="n">
        <v>3828</v>
      </c>
      <c r="H8122" s="5" t="n">
        <v>429</v>
      </c>
      <c r="I8122" s="5" t="n">
        <v>220</v>
      </c>
      <c r="J8122" s="5" t="n">
        <v>207</v>
      </c>
      <c r="K8122" s="10">
        <f>IF(F8122&gt;0,H8122/F8122,"")</f>
        <v/>
      </c>
      <c r="L8122" s="16">
        <f>IF(AND(G8122&gt;0,H8122&gt;0),G8122/H8122,"")</f>
        <v/>
      </c>
    </row>
    <row r="8123">
      <c r="A8123" s="4" t="inlineStr">
        <is>
          <t>680</t>
        </is>
      </c>
      <c r="B8123" s="4" t="n">
        <v>6</v>
      </c>
      <c r="C8123" s="4" t="inlineStr">
        <is>
          <t>mule deer</t>
        </is>
      </c>
      <c r="D8123" s="4" t="n">
        <v>2012</v>
      </c>
      <c r="E8123" s="4" t="inlineStr"/>
      <c r="F8123" s="5" t="n"/>
      <c r="G8123" s="5" t="n"/>
      <c r="H8123" s="5" t="n">
        <v>381</v>
      </c>
      <c r="I8123" s="5" t="n">
        <v>255</v>
      </c>
      <c r="J8123" s="5" t="n">
        <v>124</v>
      </c>
      <c r="K8123" s="10">
        <f>IF(F8123&gt;0,H8123/F8123,"")</f>
        <v/>
      </c>
      <c r="L8123" s="16">
        <f>IF(AND(G8123&gt;0,H8123&gt;0),G8123/H8123,"")</f>
        <v/>
      </c>
    </row>
    <row r="8124">
      <c r="A8124" s="4" t="inlineStr">
        <is>
          <t>680</t>
        </is>
      </c>
      <c r="B8124" s="4" t="n">
        <v>6</v>
      </c>
      <c r="C8124" s="4" t="inlineStr">
        <is>
          <t>mule deer</t>
        </is>
      </c>
      <c r="D8124" s="4" t="n">
        <v>2013</v>
      </c>
      <c r="E8124" s="4" t="inlineStr"/>
      <c r="F8124" s="5" t="n">
        <v>668</v>
      </c>
      <c r="G8124" s="5" t="n">
        <v>2890</v>
      </c>
      <c r="H8124" s="5" t="n">
        <v>424</v>
      </c>
      <c r="I8124" s="5" t="n">
        <v>273</v>
      </c>
      <c r="J8124" s="5" t="n">
        <v>147</v>
      </c>
      <c r="K8124" s="10">
        <f>IF(F8124&gt;0,H8124/F8124,"")</f>
        <v/>
      </c>
      <c r="L8124" s="16">
        <f>IF(AND(G8124&gt;0,H8124&gt;0),G8124/H8124,"")</f>
        <v/>
      </c>
    </row>
    <row r="8125">
      <c r="A8125" s="4" t="inlineStr">
        <is>
          <t>680</t>
        </is>
      </c>
      <c r="B8125" s="4" t="n">
        <v>6</v>
      </c>
      <c r="C8125" s="4" t="inlineStr">
        <is>
          <t>mule deer</t>
        </is>
      </c>
      <c r="D8125" s="4" t="n">
        <v>2014</v>
      </c>
      <c r="E8125" s="4" t="inlineStr"/>
      <c r="F8125" s="5" t="n"/>
      <c r="G8125" s="5" t="n"/>
      <c r="H8125" s="5" t="n">
        <v>294</v>
      </c>
      <c r="I8125" s="5" t="n">
        <v>294</v>
      </c>
      <c r="J8125" s="5" t="n">
        <v>0</v>
      </c>
      <c r="K8125" s="10">
        <f>IF(F8125&gt;0,H8125/F8125,"")</f>
        <v/>
      </c>
      <c r="L8125" s="16">
        <f>IF(AND(G8125&gt;0,H8125&gt;0),G8125/H8125,"")</f>
        <v/>
      </c>
    </row>
    <row r="8126">
      <c r="A8126" s="4" t="inlineStr">
        <is>
          <t>680</t>
        </is>
      </c>
      <c r="B8126" s="4" t="n">
        <v>6</v>
      </c>
      <c r="C8126" s="4" t="inlineStr">
        <is>
          <t>mule deer</t>
        </is>
      </c>
      <c r="D8126" s="4" t="n">
        <v>2015</v>
      </c>
      <c r="E8126" s="4" t="inlineStr"/>
      <c r="F8126" s="5" t="n"/>
      <c r="G8126" s="5" t="n"/>
      <c r="H8126" s="5" t="n">
        <v>326</v>
      </c>
      <c r="I8126" s="5" t="n">
        <v>303</v>
      </c>
      <c r="J8126" s="5" t="n">
        <v>20</v>
      </c>
      <c r="K8126" s="10">
        <f>IF(F8126&gt;0,H8126/F8126,"")</f>
        <v/>
      </c>
      <c r="L8126" s="16">
        <f>IF(AND(G8126&gt;0,H8126&gt;0),G8126/H8126,"")</f>
        <v/>
      </c>
    </row>
    <row r="8127">
      <c r="A8127" s="4" t="inlineStr">
        <is>
          <t>680</t>
        </is>
      </c>
      <c r="B8127" s="4" t="n">
        <v>6</v>
      </c>
      <c r="C8127" s="4" t="inlineStr">
        <is>
          <t>mule deer</t>
        </is>
      </c>
      <c r="D8127" s="4" t="n">
        <v>2016</v>
      </c>
      <c r="E8127" s="4" t="inlineStr"/>
      <c r="F8127" s="5" t="n"/>
      <c r="G8127" s="5" t="n"/>
      <c r="H8127" s="5" t="n">
        <v>497</v>
      </c>
      <c r="I8127" s="5" t="n">
        <v>410</v>
      </c>
      <c r="J8127" s="5" t="n">
        <v>84</v>
      </c>
      <c r="K8127" s="10">
        <f>IF(F8127&gt;0,H8127/F8127,"")</f>
        <v/>
      </c>
      <c r="L8127" s="16">
        <f>IF(AND(G8127&gt;0,H8127&gt;0),G8127/H8127,"")</f>
        <v/>
      </c>
    </row>
    <row r="8128">
      <c r="A8128" s="4" t="inlineStr">
        <is>
          <t>680</t>
        </is>
      </c>
      <c r="B8128" s="4" t="n">
        <v>6</v>
      </c>
      <c r="C8128" s="4" t="inlineStr">
        <is>
          <t>mule deer</t>
        </is>
      </c>
      <c r="D8128" s="4" t="n">
        <v>2017</v>
      </c>
      <c r="E8128" s="4" t="inlineStr"/>
      <c r="F8128" s="5" t="n">
        <v>805</v>
      </c>
      <c r="G8128" s="5" t="n">
        <v>3658</v>
      </c>
      <c r="H8128" s="5" t="n">
        <v>599</v>
      </c>
      <c r="I8128" s="5" t="n">
        <v>399</v>
      </c>
      <c r="J8128" s="5" t="n">
        <v>200</v>
      </c>
      <c r="K8128" s="10">
        <f>IF(F8128&gt;0,H8128/F8128,"")</f>
        <v/>
      </c>
      <c r="L8128" s="16">
        <f>IF(AND(G8128&gt;0,H8128&gt;0),G8128/H8128,"")</f>
        <v/>
      </c>
    </row>
    <row r="8129">
      <c r="A8129" s="4" t="inlineStr">
        <is>
          <t>680</t>
        </is>
      </c>
      <c r="B8129" s="4" t="n">
        <v>6</v>
      </c>
      <c r="C8129" s="4" t="inlineStr">
        <is>
          <t>mule deer</t>
        </is>
      </c>
      <c r="D8129" s="4" t="n">
        <v>2018</v>
      </c>
      <c r="E8129" s="4" t="inlineStr"/>
      <c r="F8129" s="5" t="n"/>
      <c r="G8129" s="5" t="n"/>
      <c r="H8129" s="5" t="n">
        <v>572</v>
      </c>
      <c r="I8129" s="5" t="n">
        <v>413</v>
      </c>
      <c r="J8129" s="5" t="n">
        <v>154</v>
      </c>
      <c r="K8129" s="10">
        <f>IF(F8129&gt;0,H8129/F8129,"")</f>
        <v/>
      </c>
      <c r="L8129" s="16">
        <f>IF(AND(G8129&gt;0,H8129&gt;0),G8129/H8129,"")</f>
        <v/>
      </c>
    </row>
    <row r="8130">
      <c r="A8130" s="4" t="inlineStr">
        <is>
          <t>680</t>
        </is>
      </c>
      <c r="B8130" s="4" t="n">
        <v>6</v>
      </c>
      <c r="C8130" s="4" t="inlineStr">
        <is>
          <t>mule deer</t>
        </is>
      </c>
      <c r="D8130" s="4" t="n">
        <v>2019</v>
      </c>
      <c r="E8130" s="4" t="inlineStr"/>
      <c r="F8130" s="5" t="n">
        <v>886</v>
      </c>
      <c r="G8130" s="5" t="n">
        <v>3696</v>
      </c>
      <c r="H8130" s="5" t="n">
        <v>619</v>
      </c>
      <c r="I8130" s="5" t="n">
        <v>427</v>
      </c>
      <c r="J8130" s="5" t="n">
        <v>192</v>
      </c>
      <c r="K8130" s="10">
        <f>IF(F8130&gt;0,H8130/F8130,"")</f>
        <v/>
      </c>
      <c r="L8130" s="16">
        <f>IF(AND(G8130&gt;0,H8130&gt;0),G8130/H8130,"")</f>
        <v/>
      </c>
    </row>
    <row r="8131">
      <c r="A8131" s="4" t="inlineStr">
        <is>
          <t>690</t>
        </is>
      </c>
      <c r="B8131" s="4" t="n">
        <v>6</v>
      </c>
      <c r="C8131" s="4" t="inlineStr">
        <is>
          <t>mule deer</t>
        </is>
      </c>
      <c r="D8131" s="4" t="n">
        <v>2004</v>
      </c>
      <c r="E8131" s="13" t="inlineStr">
        <is>
          <t>General</t>
        </is>
      </c>
      <c r="F8131" s="5" t="n">
        <v>2023</v>
      </c>
      <c r="G8131" s="5" t="n">
        <v>8885</v>
      </c>
      <c r="H8131" s="5" t="n">
        <v>1007</v>
      </c>
      <c r="I8131" s="5" t="n">
        <v>642</v>
      </c>
      <c r="J8131" s="5" t="n">
        <v>354</v>
      </c>
      <c r="K8131" s="10">
        <f>IF(F8131&gt;0,H8131/F8131,"")</f>
        <v/>
      </c>
      <c r="L8131" s="16">
        <f>IF(AND(G8131&gt;0,H8131&gt;0),G8131/H8131,"")</f>
        <v/>
      </c>
    </row>
    <row r="8132">
      <c r="A8132" s="4" t="inlineStr">
        <is>
          <t>690</t>
        </is>
      </c>
      <c r="B8132" s="4" t="n">
        <v>6</v>
      </c>
      <c r="C8132" s="4" t="inlineStr">
        <is>
          <t>mule deer</t>
        </is>
      </c>
      <c r="D8132" s="4" t="n">
        <v>2005</v>
      </c>
      <c r="E8132" s="13" t="inlineStr">
        <is>
          <t>General</t>
        </is>
      </c>
      <c r="F8132" s="5" t="n">
        <v>1734</v>
      </c>
      <c r="G8132" s="5" t="n">
        <v>8292</v>
      </c>
      <c r="H8132" s="5" t="n">
        <v>714</v>
      </c>
      <c r="I8132" s="5" t="n">
        <v>578</v>
      </c>
      <c r="J8132" s="5" t="n">
        <v>135</v>
      </c>
      <c r="K8132" s="10">
        <f>IF(F8132&gt;0,H8132/F8132,"")</f>
        <v/>
      </c>
      <c r="L8132" s="16">
        <f>IF(AND(G8132&gt;0,H8132&gt;0),G8132/H8132,"")</f>
        <v/>
      </c>
    </row>
    <row r="8133">
      <c r="A8133" s="4" t="inlineStr">
        <is>
          <t>690</t>
        </is>
      </c>
      <c r="B8133" s="4" t="n">
        <v>6</v>
      </c>
      <c r="C8133" s="4" t="inlineStr">
        <is>
          <t>mule deer</t>
        </is>
      </c>
      <c r="D8133" s="4" t="n">
        <v>2006</v>
      </c>
      <c r="E8133" s="13" t="inlineStr">
        <is>
          <t>General</t>
        </is>
      </c>
      <c r="F8133" s="5" t="n">
        <v>1631</v>
      </c>
      <c r="G8133" s="5" t="n">
        <v>7228</v>
      </c>
      <c r="H8133" s="5" t="n">
        <v>898</v>
      </c>
      <c r="I8133" s="5" t="n">
        <v>644</v>
      </c>
      <c r="J8133" s="5" t="n">
        <v>249</v>
      </c>
      <c r="K8133" s="10">
        <f>IF(F8133&gt;0,H8133/F8133,"")</f>
        <v/>
      </c>
      <c r="L8133" s="16">
        <f>IF(AND(G8133&gt;0,H8133&gt;0),G8133/H8133,"")</f>
        <v/>
      </c>
    </row>
    <row r="8134">
      <c r="A8134" s="4" t="inlineStr">
        <is>
          <t>690</t>
        </is>
      </c>
      <c r="B8134" s="4" t="n">
        <v>6</v>
      </c>
      <c r="C8134" s="4" t="inlineStr">
        <is>
          <t>mule deer</t>
        </is>
      </c>
      <c r="D8134" s="4" t="n">
        <v>2007</v>
      </c>
      <c r="E8134" s="13" t="inlineStr">
        <is>
          <t>General</t>
        </is>
      </c>
      <c r="F8134" s="5" t="n">
        <v>2181</v>
      </c>
      <c r="G8134" s="5" t="n">
        <v>9234</v>
      </c>
      <c r="H8134" s="5" t="n">
        <v>1126</v>
      </c>
      <c r="I8134" s="5" t="n">
        <v>790</v>
      </c>
      <c r="J8134" s="5" t="n">
        <v>337</v>
      </c>
      <c r="K8134" s="10">
        <f>IF(F8134&gt;0,H8134/F8134,"")</f>
        <v/>
      </c>
      <c r="L8134" s="16">
        <f>IF(AND(G8134&gt;0,H8134&gt;0),G8134/H8134,"")</f>
        <v/>
      </c>
    </row>
    <row r="8135">
      <c r="A8135" s="4" t="inlineStr">
        <is>
          <t>690</t>
        </is>
      </c>
      <c r="B8135" s="4" t="n">
        <v>6</v>
      </c>
      <c r="C8135" s="4" t="inlineStr">
        <is>
          <t>mule deer</t>
        </is>
      </c>
      <c r="D8135" s="4" t="n">
        <v>2008</v>
      </c>
      <c r="E8135" s="13" t="inlineStr">
        <is>
          <t>General</t>
        </is>
      </c>
      <c r="F8135" s="5" t="n">
        <v>2584</v>
      </c>
      <c r="G8135" s="5" t="n">
        <v>12557</v>
      </c>
      <c r="H8135" s="5" t="n">
        <v>1196</v>
      </c>
      <c r="I8135" s="5" t="n">
        <v>840</v>
      </c>
      <c r="J8135" s="5" t="n">
        <v>350</v>
      </c>
      <c r="K8135" s="10">
        <f>IF(F8135&gt;0,H8135/F8135,"")</f>
        <v/>
      </c>
      <c r="L8135" s="16">
        <f>IF(AND(G8135&gt;0,H8135&gt;0),G8135/H8135,"")</f>
        <v/>
      </c>
    </row>
    <row r="8136">
      <c r="A8136" s="4" t="inlineStr">
        <is>
          <t>690</t>
        </is>
      </c>
      <c r="B8136" s="4" t="n">
        <v>6</v>
      </c>
      <c r="C8136" s="4" t="inlineStr">
        <is>
          <t>mule deer</t>
        </is>
      </c>
      <c r="D8136" s="4" t="n">
        <v>2009</v>
      </c>
      <c r="E8136" s="13" t="inlineStr">
        <is>
          <t>General</t>
        </is>
      </c>
      <c r="F8136" s="5" t="n">
        <v>2711</v>
      </c>
      <c r="G8136" s="5" t="n">
        <v>13487</v>
      </c>
      <c r="H8136" s="5" t="n">
        <v>1346</v>
      </c>
      <c r="I8136" s="5" t="n">
        <v>916</v>
      </c>
      <c r="J8136" s="5" t="n">
        <v>419</v>
      </c>
      <c r="K8136" s="10">
        <f>IF(F8136&gt;0,H8136/F8136,"")</f>
        <v/>
      </c>
      <c r="L8136" s="16">
        <f>IF(AND(G8136&gt;0,H8136&gt;0),G8136/H8136,"")</f>
        <v/>
      </c>
    </row>
    <row r="8137">
      <c r="A8137" s="4" t="inlineStr">
        <is>
          <t>690</t>
        </is>
      </c>
      <c r="B8137" s="4" t="n">
        <v>6</v>
      </c>
      <c r="C8137" s="4" t="inlineStr">
        <is>
          <t>mule deer</t>
        </is>
      </c>
      <c r="D8137" s="4" t="n">
        <v>2010</v>
      </c>
      <c r="E8137" s="13" t="inlineStr">
        <is>
          <t>General</t>
        </is>
      </c>
      <c r="F8137" s="5" t="n">
        <v>2543</v>
      </c>
      <c r="G8137" s="5" t="n">
        <v>12242</v>
      </c>
      <c r="H8137" s="5" t="n">
        <v>1011</v>
      </c>
      <c r="I8137" s="5" t="n">
        <v>667</v>
      </c>
      <c r="J8137" s="5" t="n">
        <v>339</v>
      </c>
      <c r="K8137" s="10">
        <f>IF(F8137&gt;0,H8137/F8137,"")</f>
        <v/>
      </c>
      <c r="L8137" s="16">
        <f>IF(AND(G8137&gt;0,H8137&gt;0),G8137/H8137,"")</f>
        <v/>
      </c>
    </row>
    <row r="8138">
      <c r="A8138" s="4" t="inlineStr">
        <is>
          <t>690</t>
        </is>
      </c>
      <c r="B8138" s="4" t="n">
        <v>6</v>
      </c>
      <c r="C8138" s="4" t="inlineStr">
        <is>
          <t>mule deer</t>
        </is>
      </c>
      <c r="D8138" s="4" t="n">
        <v>2011</v>
      </c>
      <c r="E8138" s="13" t="inlineStr">
        <is>
          <t>General</t>
        </is>
      </c>
      <c r="F8138" s="5" t="n">
        <v>2491</v>
      </c>
      <c r="G8138" s="5" t="n">
        <v>11682</v>
      </c>
      <c r="H8138" s="5" t="n">
        <v>1175</v>
      </c>
      <c r="I8138" s="5" t="n">
        <v>812</v>
      </c>
      <c r="J8138" s="5" t="n">
        <v>354</v>
      </c>
      <c r="K8138" s="10">
        <f>IF(F8138&gt;0,H8138/F8138,"")</f>
        <v/>
      </c>
      <c r="L8138" s="16">
        <f>IF(AND(G8138&gt;0,H8138&gt;0),G8138/H8138,"")</f>
        <v/>
      </c>
    </row>
    <row r="8139">
      <c r="A8139" s="4" t="inlineStr">
        <is>
          <t>690</t>
        </is>
      </c>
      <c r="B8139" s="4" t="n">
        <v>6</v>
      </c>
      <c r="C8139" s="4" t="inlineStr">
        <is>
          <t>mule deer</t>
        </is>
      </c>
      <c r="D8139" s="4" t="n">
        <v>2012</v>
      </c>
      <c r="E8139" s="13" t="inlineStr">
        <is>
          <t>General</t>
        </is>
      </c>
      <c r="F8139" s="5" t="n"/>
      <c r="G8139" s="5" t="n"/>
      <c r="H8139" s="5" t="n">
        <v>1233</v>
      </c>
      <c r="I8139" s="5" t="n">
        <v>887</v>
      </c>
      <c r="J8139" s="5" t="n">
        <v>325</v>
      </c>
      <c r="K8139" s="10">
        <f>IF(F8139&gt;0,H8139/F8139,"")</f>
        <v/>
      </c>
      <c r="L8139" s="16">
        <f>IF(AND(G8139&gt;0,H8139&gt;0),G8139/H8139,"")</f>
        <v/>
      </c>
    </row>
    <row r="8140">
      <c r="A8140" s="4" t="inlineStr">
        <is>
          <t>690</t>
        </is>
      </c>
      <c r="B8140" s="4" t="n">
        <v>6</v>
      </c>
      <c r="C8140" s="4" t="inlineStr">
        <is>
          <t>mule deer</t>
        </is>
      </c>
      <c r="D8140" s="4" t="n">
        <v>2013</v>
      </c>
      <c r="E8140" s="13" t="inlineStr">
        <is>
          <t>General</t>
        </is>
      </c>
      <c r="F8140" s="5" t="n">
        <v>2728</v>
      </c>
      <c r="G8140" s="5" t="n">
        <v>13236</v>
      </c>
      <c r="H8140" s="5" t="n">
        <v>1359</v>
      </c>
      <c r="I8140" s="5" t="n">
        <v>1006</v>
      </c>
      <c r="J8140" s="5" t="n">
        <v>343</v>
      </c>
      <c r="K8140" s="10">
        <f>IF(F8140&gt;0,H8140/F8140,"")</f>
        <v/>
      </c>
      <c r="L8140" s="16">
        <f>IF(AND(G8140&gt;0,H8140&gt;0),G8140/H8140,"")</f>
        <v/>
      </c>
    </row>
    <row r="8141">
      <c r="A8141" s="4" t="inlineStr">
        <is>
          <t>690</t>
        </is>
      </c>
      <c r="B8141" s="4" t="n">
        <v>6</v>
      </c>
      <c r="C8141" s="4" t="inlineStr">
        <is>
          <t>mule deer</t>
        </is>
      </c>
      <c r="D8141" s="4" t="n">
        <v>2014</v>
      </c>
      <c r="E8141" s="13" t="inlineStr">
        <is>
          <t>General</t>
        </is>
      </c>
      <c r="F8141" s="5" t="n"/>
      <c r="G8141" s="5" t="n"/>
      <c r="H8141" s="5" t="n">
        <v>875</v>
      </c>
      <c r="I8141" s="5" t="n">
        <v>873</v>
      </c>
      <c r="J8141" s="5" t="n">
        <v>3</v>
      </c>
      <c r="K8141" s="10">
        <f>IF(F8141&gt;0,H8141/F8141,"")</f>
        <v/>
      </c>
      <c r="L8141" s="16">
        <f>IF(AND(G8141&gt;0,H8141&gt;0),G8141/H8141,"")</f>
        <v/>
      </c>
    </row>
    <row r="8142">
      <c r="A8142" s="4" t="inlineStr">
        <is>
          <t>690</t>
        </is>
      </c>
      <c r="B8142" s="4" t="n">
        <v>6</v>
      </c>
      <c r="C8142" s="4" t="inlineStr">
        <is>
          <t>mule deer</t>
        </is>
      </c>
      <c r="D8142" s="4" t="n">
        <v>2015</v>
      </c>
      <c r="E8142" s="13" t="inlineStr">
        <is>
          <t>General</t>
        </is>
      </c>
      <c r="F8142" s="5" t="n"/>
      <c r="G8142" s="5" t="n"/>
      <c r="H8142" s="5" t="n">
        <v>1230</v>
      </c>
      <c r="I8142" s="5" t="n">
        <v>1151</v>
      </c>
      <c r="J8142" s="5" t="n">
        <v>76</v>
      </c>
      <c r="K8142" s="10">
        <f>IF(F8142&gt;0,H8142/F8142,"")</f>
        <v/>
      </c>
      <c r="L8142" s="16">
        <f>IF(AND(G8142&gt;0,H8142&gt;0),G8142/H8142,"")</f>
        <v/>
      </c>
    </row>
    <row r="8143">
      <c r="A8143" s="4" t="inlineStr">
        <is>
          <t>690</t>
        </is>
      </c>
      <c r="B8143" s="4" t="n">
        <v>6</v>
      </c>
      <c r="C8143" s="4" t="inlineStr">
        <is>
          <t>mule deer</t>
        </is>
      </c>
      <c r="D8143" s="4" t="n">
        <v>2016</v>
      </c>
      <c r="E8143" s="13" t="inlineStr">
        <is>
          <t>General</t>
        </is>
      </c>
      <c r="F8143" s="5" t="n"/>
      <c r="G8143" s="5" t="n"/>
      <c r="H8143" s="5" t="n">
        <v>1534</v>
      </c>
      <c r="I8143" s="5" t="n">
        <v>1274</v>
      </c>
      <c r="J8143" s="5" t="n">
        <v>249</v>
      </c>
      <c r="K8143" s="10">
        <f>IF(F8143&gt;0,H8143/F8143,"")</f>
        <v/>
      </c>
      <c r="L8143" s="16">
        <f>IF(AND(G8143&gt;0,H8143&gt;0),G8143/H8143,"")</f>
        <v/>
      </c>
    </row>
    <row r="8144">
      <c r="A8144" s="4" t="inlineStr">
        <is>
          <t>690</t>
        </is>
      </c>
      <c r="B8144" s="4" t="n">
        <v>6</v>
      </c>
      <c r="C8144" s="4" t="inlineStr">
        <is>
          <t>mule deer</t>
        </is>
      </c>
      <c r="D8144" s="4" t="n">
        <v>2017</v>
      </c>
      <c r="E8144" s="13" t="inlineStr">
        <is>
          <t>General</t>
        </is>
      </c>
      <c r="F8144" s="5" t="n">
        <v>2448</v>
      </c>
      <c r="G8144" s="5" t="n">
        <v>11407</v>
      </c>
      <c r="H8144" s="5" t="n">
        <v>1661</v>
      </c>
      <c r="I8144" s="5" t="n">
        <v>1219</v>
      </c>
      <c r="J8144" s="5" t="n">
        <v>433</v>
      </c>
      <c r="K8144" s="10">
        <f>IF(F8144&gt;0,H8144/F8144,"")</f>
        <v/>
      </c>
      <c r="L8144" s="16">
        <f>IF(AND(G8144&gt;0,H8144&gt;0),G8144/H8144,"")</f>
        <v/>
      </c>
    </row>
    <row r="8145">
      <c r="A8145" s="4" t="inlineStr">
        <is>
          <t>690</t>
        </is>
      </c>
      <c r="B8145" s="4" t="n">
        <v>6</v>
      </c>
      <c r="C8145" s="4" t="inlineStr">
        <is>
          <t>mule deer</t>
        </is>
      </c>
      <c r="D8145" s="4" t="n">
        <v>2018</v>
      </c>
      <c r="E8145" s="13" t="inlineStr">
        <is>
          <t>General</t>
        </is>
      </c>
      <c r="F8145" s="5" t="n"/>
      <c r="G8145" s="5" t="n"/>
      <c r="H8145" s="5" t="n">
        <v>1493</v>
      </c>
      <c r="I8145" s="5" t="n">
        <v>1092</v>
      </c>
      <c r="J8145" s="5" t="n">
        <v>395</v>
      </c>
      <c r="K8145" s="10">
        <f>IF(F8145&gt;0,H8145/F8145,"")</f>
        <v/>
      </c>
      <c r="L8145" s="16">
        <f>IF(AND(G8145&gt;0,H8145&gt;0),G8145/H8145,"")</f>
        <v/>
      </c>
    </row>
    <row r="8146">
      <c r="A8146" s="4" t="inlineStr">
        <is>
          <t>690</t>
        </is>
      </c>
      <c r="B8146" s="4" t="n">
        <v>6</v>
      </c>
      <c r="C8146" s="4" t="inlineStr">
        <is>
          <t>mule deer</t>
        </is>
      </c>
      <c r="D8146" s="4" t="n">
        <v>2019</v>
      </c>
      <c r="E8146" s="13" t="inlineStr">
        <is>
          <t>General</t>
        </is>
      </c>
      <c r="F8146" s="5" t="n">
        <v>2553</v>
      </c>
      <c r="G8146" s="5" t="n">
        <v>12486</v>
      </c>
      <c r="H8146" s="5" t="n">
        <v>1591</v>
      </c>
      <c r="I8146" s="5" t="n">
        <v>1143</v>
      </c>
      <c r="J8146" s="5" t="n">
        <v>439</v>
      </c>
      <c r="K8146" s="10">
        <f>IF(F8146&gt;0,H8146/F8146,"")</f>
        <v/>
      </c>
      <c r="L8146" s="16">
        <f>IF(AND(G8146&gt;0,H8146&gt;0),G8146/H8146,"")</f>
        <v/>
      </c>
    </row>
    <row r="8147">
      <c r="A8147" s="4" t="inlineStr">
        <is>
          <t>690</t>
        </is>
      </c>
      <c r="B8147" s="4" t="n">
        <v>6</v>
      </c>
      <c r="C8147" s="4" t="inlineStr">
        <is>
          <t>mule deer</t>
        </is>
      </c>
      <c r="D8147" s="4" t="n">
        <v>2020</v>
      </c>
      <c r="E8147" s="13" t="inlineStr">
        <is>
          <t>General</t>
        </is>
      </c>
      <c r="F8147" s="5" t="n"/>
      <c r="G8147" s="5" t="n"/>
      <c r="H8147" s="5" t="n">
        <v>2232</v>
      </c>
      <c r="I8147" s="5" t="n">
        <v>1585</v>
      </c>
      <c r="J8147" s="5" t="n">
        <v>644</v>
      </c>
      <c r="K8147" s="10">
        <f>IF(F8147&gt;0,H8147/F8147,"")</f>
        <v/>
      </c>
      <c r="L8147" s="16">
        <f>IF(AND(G8147&gt;0,H8147&gt;0),G8147/H8147,"")</f>
        <v/>
      </c>
    </row>
    <row r="8148">
      <c r="A8148" s="4" t="inlineStr">
        <is>
          <t>690</t>
        </is>
      </c>
      <c r="B8148" s="4" t="n">
        <v>6</v>
      </c>
      <c r="C8148" s="4" t="inlineStr">
        <is>
          <t>mule deer</t>
        </is>
      </c>
      <c r="D8148" s="4" t="n">
        <v>2021</v>
      </c>
      <c r="E8148" s="13" t="inlineStr">
        <is>
          <t>General</t>
        </is>
      </c>
      <c r="F8148" s="5" t="n">
        <v>3447</v>
      </c>
      <c r="G8148" s="5" t="n">
        <v>17101</v>
      </c>
      <c r="H8148" s="5" t="n">
        <v>2362</v>
      </c>
      <c r="I8148" s="5" t="n">
        <v>1565</v>
      </c>
      <c r="J8148" s="5" t="n">
        <v>797</v>
      </c>
      <c r="K8148" s="10">
        <f>IF(F8148&gt;0,H8148/F8148,"")</f>
        <v/>
      </c>
      <c r="L8148" s="16">
        <f>IF(AND(G8148&gt;0,H8148&gt;0),G8148/H8148,"")</f>
        <v/>
      </c>
    </row>
    <row r="8149">
      <c r="A8149" s="4" t="inlineStr">
        <is>
          <t>690</t>
        </is>
      </c>
      <c r="B8149" s="4" t="n">
        <v>6</v>
      </c>
      <c r="C8149" s="4" t="inlineStr">
        <is>
          <t>mule deer</t>
        </is>
      </c>
      <c r="D8149" s="4" t="n">
        <v>2022</v>
      </c>
      <c r="E8149" s="13" t="inlineStr">
        <is>
          <t>General</t>
        </is>
      </c>
      <c r="F8149" s="5" t="n"/>
      <c r="G8149" s="5" t="n"/>
      <c r="H8149" s="5" t="n">
        <v>1692</v>
      </c>
      <c r="I8149" s="5" t="n">
        <v>1221</v>
      </c>
      <c r="J8149" s="5" t="n">
        <v>468</v>
      </c>
      <c r="K8149" s="10">
        <f>IF(F8149&gt;0,H8149/F8149,"")</f>
        <v/>
      </c>
      <c r="L8149" s="16">
        <f>IF(AND(G8149&gt;0,H8149&gt;0),G8149/H8149,"")</f>
        <v/>
      </c>
    </row>
    <row r="8150">
      <c r="A8150" s="4" t="inlineStr">
        <is>
          <t>690</t>
        </is>
      </c>
      <c r="B8150" s="4" t="n">
        <v>6</v>
      </c>
      <c r="C8150" s="4" t="inlineStr">
        <is>
          <t>mule deer</t>
        </is>
      </c>
      <c r="D8150" s="4" t="n">
        <v>2023</v>
      </c>
      <c r="E8150" s="13" t="inlineStr">
        <is>
          <t>General</t>
        </is>
      </c>
      <c r="F8150" s="5" t="n">
        <v>3038</v>
      </c>
      <c r="G8150" s="5" t="n">
        <v>16683</v>
      </c>
      <c r="H8150" s="5" t="n">
        <v>1520</v>
      </c>
      <c r="I8150" s="5" t="n">
        <v>1253</v>
      </c>
      <c r="J8150" s="5" t="n">
        <v>254</v>
      </c>
      <c r="K8150" s="10">
        <f>IF(F8150&gt;0,H8150/F8150,"")</f>
        <v/>
      </c>
      <c r="L8150" s="16">
        <f>IF(AND(G8150&gt;0,H8150&gt;0),G8150/H8150,"")</f>
        <v/>
      </c>
    </row>
    <row r="8151">
      <c r="A8151" s="4" t="inlineStr">
        <is>
          <t>690</t>
        </is>
      </c>
      <c r="B8151" s="4" t="n">
        <v>6</v>
      </c>
      <c r="C8151" s="4" t="inlineStr">
        <is>
          <t>mule deer</t>
        </is>
      </c>
      <c r="D8151" s="4" t="n">
        <v>2024</v>
      </c>
      <c r="E8151" s="13" t="inlineStr">
        <is>
          <t>General</t>
        </is>
      </c>
      <c r="F8151" s="5" t="n"/>
      <c r="G8151" s="5" t="n"/>
      <c r="H8151" s="5" t="n">
        <v>1315</v>
      </c>
      <c r="I8151" s="5" t="n">
        <v>1174</v>
      </c>
      <c r="J8151" s="5" t="n">
        <v>139</v>
      </c>
      <c r="K8151" s="10">
        <f>IF(F8151&gt;0,H8151/F8151,"")</f>
        <v/>
      </c>
      <c r="L8151" s="16">
        <f>IF(AND(G8151&gt;0,H8151&gt;0),G8151/H8151,"")</f>
        <v/>
      </c>
    </row>
    <row r="8152">
      <c r="A8152" s="4" t="inlineStr">
        <is>
          <t>690</t>
        </is>
      </c>
      <c r="B8152" s="4" t="n">
        <v>6</v>
      </c>
      <c r="C8152" s="4" t="inlineStr">
        <is>
          <t>mule deer</t>
        </is>
      </c>
      <c r="D8152" s="4" t="n">
        <v>2025</v>
      </c>
      <c r="E8152" s="13" t="inlineStr">
        <is>
          <t>General</t>
        </is>
      </c>
      <c r="F8152" s="5" t="n">
        <v>2914</v>
      </c>
      <c r="G8152" s="5" t="n">
        <v>15526</v>
      </c>
      <c r="H8152" s="5" t="n">
        <v>1194</v>
      </c>
      <c r="I8152" s="5" t="n">
        <v>1087</v>
      </c>
      <c r="J8152" s="5" t="n">
        <v>98</v>
      </c>
      <c r="K8152" s="10">
        <f>IF(F8152&gt;0,H8152/F8152,"")</f>
        <v/>
      </c>
      <c r="L8152" s="16">
        <f>IF(AND(G8152&gt;0,H8152&gt;0),G8152/H8152,"")</f>
        <v/>
      </c>
    </row>
    <row r="8153">
      <c r="A8153" s="4" t="inlineStr">
        <is>
          <t>700</t>
        </is>
      </c>
      <c r="B8153" s="4" t="n">
        <v>7</v>
      </c>
      <c r="C8153" s="4" t="inlineStr">
        <is>
          <t>mule deer</t>
        </is>
      </c>
      <c r="D8153" s="4" t="n">
        <v>2004</v>
      </c>
      <c r="E8153" s="13" t="inlineStr">
        <is>
          <t>General</t>
        </is>
      </c>
      <c r="F8153" s="5" t="n">
        <v>2694</v>
      </c>
      <c r="G8153" s="5" t="n">
        <v>12489</v>
      </c>
      <c r="H8153" s="5" t="n">
        <v>2115</v>
      </c>
      <c r="I8153" s="5" t="n">
        <v>1168</v>
      </c>
      <c r="J8153" s="5" t="n">
        <v>891</v>
      </c>
      <c r="K8153" s="10">
        <f>IF(F8153&gt;0,H8153/F8153,"")</f>
        <v/>
      </c>
      <c r="L8153" s="16">
        <f>IF(AND(G8153&gt;0,H8153&gt;0),G8153/H8153,"")</f>
        <v/>
      </c>
    </row>
    <row r="8154">
      <c r="A8154" s="4" t="inlineStr">
        <is>
          <t>700</t>
        </is>
      </c>
      <c r="B8154" s="4" t="n">
        <v>7</v>
      </c>
      <c r="C8154" s="4" t="inlineStr">
        <is>
          <t>mule deer</t>
        </is>
      </c>
      <c r="D8154" s="4" t="n">
        <v>2005</v>
      </c>
      <c r="E8154" s="13" t="inlineStr">
        <is>
          <t>General</t>
        </is>
      </c>
      <c r="F8154" s="5" t="n">
        <v>2963</v>
      </c>
      <c r="G8154" s="5" t="n">
        <v>15332</v>
      </c>
      <c r="H8154" s="5" t="n">
        <v>2136</v>
      </c>
      <c r="I8154" s="5" t="n">
        <v>1371</v>
      </c>
      <c r="J8154" s="5" t="n">
        <v>746</v>
      </c>
      <c r="K8154" s="10">
        <f>IF(F8154&gt;0,H8154/F8154,"")</f>
        <v/>
      </c>
      <c r="L8154" s="16">
        <f>IF(AND(G8154&gt;0,H8154&gt;0),G8154/H8154,"")</f>
        <v/>
      </c>
    </row>
    <row r="8155">
      <c r="A8155" s="4" t="inlineStr">
        <is>
          <t>700</t>
        </is>
      </c>
      <c r="B8155" s="4" t="n">
        <v>7</v>
      </c>
      <c r="C8155" s="4" t="inlineStr">
        <is>
          <t>mule deer</t>
        </is>
      </c>
      <c r="D8155" s="4" t="n">
        <v>2006</v>
      </c>
      <c r="E8155" s="13" t="inlineStr">
        <is>
          <t>General</t>
        </is>
      </c>
      <c r="F8155" s="5" t="n">
        <v>3410</v>
      </c>
      <c r="G8155" s="5" t="n">
        <v>18078</v>
      </c>
      <c r="H8155" s="5" t="n">
        <v>2929</v>
      </c>
      <c r="I8155" s="5" t="n">
        <v>1632</v>
      </c>
      <c r="J8155" s="5" t="n">
        <v>1251</v>
      </c>
      <c r="K8155" s="10">
        <f>IF(F8155&gt;0,H8155/F8155,"")</f>
        <v/>
      </c>
      <c r="L8155" s="16">
        <f>IF(AND(G8155&gt;0,H8155&gt;0),G8155/H8155,"")</f>
        <v/>
      </c>
    </row>
    <row r="8156">
      <c r="A8156" s="4" t="inlineStr">
        <is>
          <t>700</t>
        </is>
      </c>
      <c r="B8156" s="4" t="n">
        <v>7</v>
      </c>
      <c r="C8156" s="4" t="inlineStr">
        <is>
          <t>mule deer</t>
        </is>
      </c>
      <c r="D8156" s="4" t="n">
        <v>2007</v>
      </c>
      <c r="E8156" s="13" t="inlineStr">
        <is>
          <t>General</t>
        </is>
      </c>
      <c r="F8156" s="5" t="n">
        <v>3649</v>
      </c>
      <c r="G8156" s="5" t="n">
        <v>20561</v>
      </c>
      <c r="H8156" s="5" t="n">
        <v>2509</v>
      </c>
      <c r="I8156" s="5" t="n">
        <v>1533</v>
      </c>
      <c r="J8156" s="5" t="n">
        <v>964</v>
      </c>
      <c r="K8156" s="10">
        <f>IF(F8156&gt;0,H8156/F8156,"")</f>
        <v/>
      </c>
      <c r="L8156" s="16">
        <f>IF(AND(G8156&gt;0,H8156&gt;0),G8156/H8156,"")</f>
        <v/>
      </c>
    </row>
    <row r="8157">
      <c r="A8157" s="4" t="inlineStr">
        <is>
          <t>700</t>
        </is>
      </c>
      <c r="B8157" s="4" t="n">
        <v>7</v>
      </c>
      <c r="C8157" s="4" t="inlineStr">
        <is>
          <t>mule deer</t>
        </is>
      </c>
      <c r="D8157" s="4" t="n">
        <v>2008</v>
      </c>
      <c r="E8157" s="13" t="inlineStr">
        <is>
          <t>General</t>
        </is>
      </c>
      <c r="F8157" s="5" t="n">
        <v>3946</v>
      </c>
      <c r="G8157" s="5" t="n">
        <v>22246</v>
      </c>
      <c r="H8157" s="5" t="n">
        <v>2624</v>
      </c>
      <c r="I8157" s="5" t="n">
        <v>1606</v>
      </c>
      <c r="J8157" s="5" t="n">
        <v>1000</v>
      </c>
      <c r="K8157" s="10">
        <f>IF(F8157&gt;0,H8157/F8157,"")</f>
        <v/>
      </c>
      <c r="L8157" s="16">
        <f>IF(AND(G8157&gt;0,H8157&gt;0),G8157/H8157,"")</f>
        <v/>
      </c>
    </row>
    <row r="8158">
      <c r="A8158" s="4" t="inlineStr">
        <is>
          <t>700</t>
        </is>
      </c>
      <c r="B8158" s="4" t="n">
        <v>7</v>
      </c>
      <c r="C8158" s="4" t="inlineStr">
        <is>
          <t>mule deer</t>
        </is>
      </c>
      <c r="D8158" s="4" t="n">
        <v>2009</v>
      </c>
      <c r="E8158" s="13" t="inlineStr">
        <is>
          <t>General</t>
        </is>
      </c>
      <c r="F8158" s="5" t="n">
        <v>3744</v>
      </c>
      <c r="G8158" s="5" t="n">
        <v>21117</v>
      </c>
      <c r="H8158" s="5" t="n">
        <v>2436</v>
      </c>
      <c r="I8158" s="5" t="n">
        <v>1412</v>
      </c>
      <c r="J8158" s="5" t="n">
        <v>1013</v>
      </c>
      <c r="K8158" s="10">
        <f>IF(F8158&gt;0,H8158/F8158,"")</f>
        <v/>
      </c>
      <c r="L8158" s="16">
        <f>IF(AND(G8158&gt;0,H8158&gt;0),G8158/H8158,"")</f>
        <v/>
      </c>
    </row>
    <row r="8159">
      <c r="A8159" s="4" t="inlineStr">
        <is>
          <t>700</t>
        </is>
      </c>
      <c r="B8159" s="4" t="n">
        <v>7</v>
      </c>
      <c r="C8159" s="4" t="inlineStr">
        <is>
          <t>mule deer</t>
        </is>
      </c>
      <c r="D8159" s="4" t="n">
        <v>2010</v>
      </c>
      <c r="E8159" s="13" t="inlineStr">
        <is>
          <t>General</t>
        </is>
      </c>
      <c r="F8159" s="5" t="n">
        <v>3458</v>
      </c>
      <c r="G8159" s="5" t="n">
        <v>18391</v>
      </c>
      <c r="H8159" s="5" t="n">
        <v>1712</v>
      </c>
      <c r="I8159" s="5" t="n">
        <v>1185</v>
      </c>
      <c r="J8159" s="5" t="n">
        <v>513</v>
      </c>
      <c r="K8159" s="10">
        <f>IF(F8159&gt;0,H8159/F8159,"")</f>
        <v/>
      </c>
      <c r="L8159" s="16">
        <f>IF(AND(G8159&gt;0,H8159&gt;0),G8159/H8159,"")</f>
        <v/>
      </c>
    </row>
    <row r="8160">
      <c r="A8160" s="4" t="inlineStr">
        <is>
          <t>700</t>
        </is>
      </c>
      <c r="B8160" s="4" t="n">
        <v>7</v>
      </c>
      <c r="C8160" s="4" t="inlineStr">
        <is>
          <t>mule deer</t>
        </is>
      </c>
      <c r="D8160" s="4" t="n">
        <v>2011</v>
      </c>
      <c r="E8160" s="13" t="inlineStr">
        <is>
          <t>General</t>
        </is>
      </c>
      <c r="F8160" s="5" t="n">
        <v>3347</v>
      </c>
      <c r="G8160" s="5" t="n">
        <v>18107</v>
      </c>
      <c r="H8160" s="5" t="n">
        <v>1399</v>
      </c>
      <c r="I8160" s="5" t="n">
        <v>1057</v>
      </c>
      <c r="J8160" s="5" t="n">
        <v>333</v>
      </c>
      <c r="K8160" s="10">
        <f>IF(F8160&gt;0,H8160/F8160,"")</f>
        <v/>
      </c>
      <c r="L8160" s="16">
        <f>IF(AND(G8160&gt;0,H8160&gt;0),G8160/H8160,"")</f>
        <v/>
      </c>
    </row>
    <row r="8161">
      <c r="A8161" s="4" t="inlineStr">
        <is>
          <t>700</t>
        </is>
      </c>
      <c r="B8161" s="4" t="n">
        <v>7</v>
      </c>
      <c r="C8161" s="4" t="inlineStr">
        <is>
          <t>mule deer</t>
        </is>
      </c>
      <c r="D8161" s="4" t="n">
        <v>2012</v>
      </c>
      <c r="E8161" s="13" t="inlineStr">
        <is>
          <t>General</t>
        </is>
      </c>
      <c r="F8161" s="5" t="n"/>
      <c r="G8161" s="5" t="n"/>
      <c r="H8161" s="5" t="n">
        <v>996</v>
      </c>
      <c r="I8161" s="5" t="n">
        <v>835</v>
      </c>
      <c r="J8161" s="5" t="n">
        <v>159</v>
      </c>
      <c r="K8161" s="10">
        <f>IF(F8161&gt;0,H8161/F8161,"")</f>
        <v/>
      </c>
      <c r="L8161" s="16">
        <f>IF(AND(G8161&gt;0,H8161&gt;0),G8161/H8161,"")</f>
        <v/>
      </c>
    </row>
    <row r="8162">
      <c r="A8162" s="4" t="inlineStr">
        <is>
          <t>700</t>
        </is>
      </c>
      <c r="B8162" s="4" t="n">
        <v>7</v>
      </c>
      <c r="C8162" s="4" t="inlineStr">
        <is>
          <t>mule deer</t>
        </is>
      </c>
      <c r="D8162" s="4" t="n">
        <v>2013</v>
      </c>
      <c r="E8162" s="13" t="inlineStr">
        <is>
          <t>General</t>
        </is>
      </c>
      <c r="F8162" s="5" t="n">
        <v>2835</v>
      </c>
      <c r="G8162" s="5" t="n">
        <v>16900</v>
      </c>
      <c r="H8162" s="5" t="n">
        <v>1064</v>
      </c>
      <c r="I8162" s="5" t="n">
        <v>916</v>
      </c>
      <c r="J8162" s="5" t="n">
        <v>145</v>
      </c>
      <c r="K8162" s="10">
        <f>IF(F8162&gt;0,H8162/F8162,"")</f>
        <v/>
      </c>
      <c r="L8162" s="16">
        <f>IF(AND(G8162&gt;0,H8162&gt;0),G8162/H8162,"")</f>
        <v/>
      </c>
    </row>
    <row r="8163">
      <c r="A8163" s="4" t="inlineStr">
        <is>
          <t>700</t>
        </is>
      </c>
      <c r="B8163" s="4" t="n">
        <v>7</v>
      </c>
      <c r="C8163" s="4" t="inlineStr">
        <is>
          <t>mule deer</t>
        </is>
      </c>
      <c r="D8163" s="4" t="n">
        <v>2014</v>
      </c>
      <c r="E8163" s="13" t="inlineStr">
        <is>
          <t>General</t>
        </is>
      </c>
      <c r="F8163" s="5" t="n"/>
      <c r="G8163" s="5" t="n"/>
      <c r="H8163" s="5" t="n">
        <v>1215</v>
      </c>
      <c r="I8163" s="5" t="n">
        <v>1209</v>
      </c>
      <c r="J8163" s="5" t="n">
        <v>6</v>
      </c>
      <c r="K8163" s="10">
        <f>IF(F8163&gt;0,H8163/F8163,"")</f>
        <v/>
      </c>
      <c r="L8163" s="16">
        <f>IF(AND(G8163&gt;0,H8163&gt;0),G8163/H8163,"")</f>
        <v/>
      </c>
    </row>
    <row r="8164">
      <c r="A8164" s="4" t="inlineStr">
        <is>
          <t>700</t>
        </is>
      </c>
      <c r="B8164" s="4" t="n">
        <v>7</v>
      </c>
      <c r="C8164" s="4" t="inlineStr">
        <is>
          <t>mule deer</t>
        </is>
      </c>
      <c r="D8164" s="4" t="n">
        <v>2015</v>
      </c>
      <c r="E8164" s="13" t="inlineStr">
        <is>
          <t>General</t>
        </is>
      </c>
      <c r="F8164" s="5" t="n"/>
      <c r="G8164" s="5" t="n"/>
      <c r="H8164" s="5" t="n">
        <v>1839</v>
      </c>
      <c r="I8164" s="5" t="n">
        <v>1535</v>
      </c>
      <c r="J8164" s="5" t="n">
        <v>294</v>
      </c>
      <c r="K8164" s="10">
        <f>IF(F8164&gt;0,H8164/F8164,"")</f>
        <v/>
      </c>
      <c r="L8164" s="16">
        <f>IF(AND(G8164&gt;0,H8164&gt;0),G8164/H8164,"")</f>
        <v/>
      </c>
    </row>
    <row r="8165">
      <c r="A8165" s="4" t="inlineStr">
        <is>
          <t>700</t>
        </is>
      </c>
      <c r="B8165" s="4" t="n">
        <v>7</v>
      </c>
      <c r="C8165" s="4" t="inlineStr">
        <is>
          <t>mule deer</t>
        </is>
      </c>
      <c r="D8165" s="4" t="n">
        <v>2016</v>
      </c>
      <c r="E8165" s="13" t="inlineStr">
        <is>
          <t>General</t>
        </is>
      </c>
      <c r="F8165" s="5" t="n"/>
      <c r="G8165" s="5" t="n"/>
      <c r="H8165" s="5" t="n">
        <v>2842</v>
      </c>
      <c r="I8165" s="5" t="n">
        <v>1960</v>
      </c>
      <c r="J8165" s="5" t="n">
        <v>866</v>
      </c>
      <c r="K8165" s="10">
        <f>IF(F8165&gt;0,H8165/F8165,"")</f>
        <v/>
      </c>
      <c r="L8165" s="16">
        <f>IF(AND(G8165&gt;0,H8165&gt;0),G8165/H8165,"")</f>
        <v/>
      </c>
    </row>
    <row r="8166">
      <c r="A8166" s="4" t="inlineStr">
        <is>
          <t>700</t>
        </is>
      </c>
      <c r="B8166" s="4" t="n">
        <v>7</v>
      </c>
      <c r="C8166" s="4" t="inlineStr">
        <is>
          <t>mule deer</t>
        </is>
      </c>
      <c r="D8166" s="4" t="n">
        <v>2017</v>
      </c>
      <c r="E8166" s="13" t="inlineStr">
        <is>
          <t>General</t>
        </is>
      </c>
      <c r="F8166" s="5" t="n">
        <v>4026</v>
      </c>
      <c r="G8166" s="5" t="n">
        <v>23446</v>
      </c>
      <c r="H8166" s="5" t="n">
        <v>2894</v>
      </c>
      <c r="I8166" s="5" t="n">
        <v>1866</v>
      </c>
      <c r="J8166" s="5" t="n">
        <v>1015</v>
      </c>
      <c r="K8166" s="10">
        <f>IF(F8166&gt;0,H8166/F8166,"")</f>
        <v/>
      </c>
      <c r="L8166" s="16">
        <f>IF(AND(G8166&gt;0,H8166&gt;0),G8166/H8166,"")</f>
        <v/>
      </c>
    </row>
    <row r="8167">
      <c r="A8167" s="4" t="inlineStr">
        <is>
          <t>700</t>
        </is>
      </c>
      <c r="B8167" s="4" t="n">
        <v>7</v>
      </c>
      <c r="C8167" s="4" t="inlineStr">
        <is>
          <t>mule deer</t>
        </is>
      </c>
      <c r="D8167" s="4" t="n">
        <v>2018</v>
      </c>
      <c r="E8167" s="13" t="inlineStr">
        <is>
          <t>General</t>
        </is>
      </c>
      <c r="F8167" s="5" t="n"/>
      <c r="G8167" s="5" t="n"/>
      <c r="H8167" s="5" t="n">
        <v>2469</v>
      </c>
      <c r="I8167" s="5" t="n">
        <v>1636</v>
      </c>
      <c r="J8167" s="5" t="n">
        <v>829</v>
      </c>
      <c r="K8167" s="10">
        <f>IF(F8167&gt;0,H8167/F8167,"")</f>
        <v/>
      </c>
      <c r="L8167" s="16">
        <f>IF(AND(G8167&gt;0,H8167&gt;0),G8167/H8167,"")</f>
        <v/>
      </c>
    </row>
    <row r="8168">
      <c r="A8168" s="4" t="inlineStr">
        <is>
          <t>700</t>
        </is>
      </c>
      <c r="B8168" s="4" t="n">
        <v>7</v>
      </c>
      <c r="C8168" s="4" t="inlineStr">
        <is>
          <t>mule deer</t>
        </is>
      </c>
      <c r="D8168" s="4" t="n">
        <v>2019</v>
      </c>
      <c r="E8168" s="13" t="inlineStr">
        <is>
          <t>General</t>
        </is>
      </c>
      <c r="F8168" s="5" t="n">
        <v>3502</v>
      </c>
      <c r="G8168" s="5" t="n">
        <v>19643</v>
      </c>
      <c r="H8168" s="5" t="n">
        <v>2228</v>
      </c>
      <c r="I8168" s="5" t="n">
        <v>1420</v>
      </c>
      <c r="J8168" s="5" t="n">
        <v>790</v>
      </c>
      <c r="K8168" s="10">
        <f>IF(F8168&gt;0,H8168/F8168,"")</f>
        <v/>
      </c>
      <c r="L8168" s="16">
        <f>IF(AND(G8168&gt;0,H8168&gt;0),G8168/H8168,"")</f>
        <v/>
      </c>
    </row>
    <row r="8169">
      <c r="A8169" s="4" t="inlineStr">
        <is>
          <t>700</t>
        </is>
      </c>
      <c r="B8169" s="4" t="n">
        <v>7</v>
      </c>
      <c r="C8169" s="4" t="inlineStr">
        <is>
          <t>mule deer</t>
        </is>
      </c>
      <c r="D8169" s="4" t="n">
        <v>2020</v>
      </c>
      <c r="E8169" s="13" t="inlineStr">
        <is>
          <t>General</t>
        </is>
      </c>
      <c r="F8169" s="5" t="n"/>
      <c r="G8169" s="5" t="n"/>
      <c r="H8169" s="5" t="n">
        <v>2893</v>
      </c>
      <c r="I8169" s="5" t="n">
        <v>1733</v>
      </c>
      <c r="J8169" s="5" t="n">
        <v>1146</v>
      </c>
      <c r="K8169" s="10">
        <f>IF(F8169&gt;0,H8169/F8169,"")</f>
        <v/>
      </c>
      <c r="L8169" s="16">
        <f>IF(AND(G8169&gt;0,H8169&gt;0),G8169/H8169,"")</f>
        <v/>
      </c>
    </row>
    <row r="8170">
      <c r="A8170" s="4" t="inlineStr">
        <is>
          <t>700</t>
        </is>
      </c>
      <c r="B8170" s="4" t="n">
        <v>7</v>
      </c>
      <c r="C8170" s="4" t="inlineStr">
        <is>
          <t>mule deer</t>
        </is>
      </c>
      <c r="D8170" s="4" t="n">
        <v>2021</v>
      </c>
      <c r="E8170" s="13" t="inlineStr">
        <is>
          <t>General</t>
        </is>
      </c>
      <c r="F8170" s="5" t="n">
        <v>4493</v>
      </c>
      <c r="G8170" s="5" t="n">
        <v>26648</v>
      </c>
      <c r="H8170" s="5" t="n">
        <v>2100</v>
      </c>
      <c r="I8170" s="5" t="n">
        <v>1575</v>
      </c>
      <c r="J8170" s="5" t="n">
        <v>525</v>
      </c>
      <c r="K8170" s="10">
        <f>IF(F8170&gt;0,H8170/F8170,"")</f>
        <v/>
      </c>
      <c r="L8170" s="16">
        <f>IF(AND(G8170&gt;0,H8170&gt;0),G8170/H8170,"")</f>
        <v/>
      </c>
    </row>
    <row r="8171">
      <c r="A8171" s="4" t="inlineStr">
        <is>
          <t>700</t>
        </is>
      </c>
      <c r="B8171" s="4" t="n">
        <v>7</v>
      </c>
      <c r="C8171" s="4" t="inlineStr">
        <is>
          <t>mule deer</t>
        </is>
      </c>
      <c r="D8171" s="4" t="n">
        <v>2022</v>
      </c>
      <c r="E8171" s="13" t="inlineStr">
        <is>
          <t>General</t>
        </is>
      </c>
      <c r="F8171" s="5" t="n"/>
      <c r="G8171" s="5" t="n"/>
      <c r="H8171" s="5" t="n">
        <v>1316</v>
      </c>
      <c r="I8171" s="5" t="n">
        <v>1027</v>
      </c>
      <c r="J8171" s="5" t="n">
        <v>286</v>
      </c>
      <c r="K8171" s="10">
        <f>IF(F8171&gt;0,H8171/F8171,"")</f>
        <v/>
      </c>
      <c r="L8171" s="16">
        <f>IF(AND(G8171&gt;0,H8171&gt;0),G8171/H8171,"")</f>
        <v/>
      </c>
    </row>
    <row r="8172">
      <c r="A8172" s="4" t="inlineStr">
        <is>
          <t>700</t>
        </is>
      </c>
      <c r="B8172" s="4" t="n">
        <v>7</v>
      </c>
      <c r="C8172" s="4" t="inlineStr">
        <is>
          <t>mule deer</t>
        </is>
      </c>
      <c r="D8172" s="4" t="n">
        <v>2023</v>
      </c>
      <c r="E8172" s="13" t="inlineStr">
        <is>
          <t>General</t>
        </is>
      </c>
      <c r="F8172" s="5" t="n">
        <v>3467</v>
      </c>
      <c r="G8172" s="5" t="n">
        <v>21061</v>
      </c>
      <c r="H8172" s="5" t="n">
        <v>1163</v>
      </c>
      <c r="I8172" s="5" t="n">
        <v>1059</v>
      </c>
      <c r="J8172" s="5" t="n">
        <v>104</v>
      </c>
      <c r="K8172" s="10">
        <f>IF(F8172&gt;0,H8172/F8172,"")</f>
        <v/>
      </c>
      <c r="L8172" s="16">
        <f>IF(AND(G8172&gt;0,H8172&gt;0),G8172/H8172,"")</f>
        <v/>
      </c>
    </row>
    <row r="8173">
      <c r="A8173" s="4" t="inlineStr">
        <is>
          <t>700</t>
        </is>
      </c>
      <c r="B8173" s="4" t="n">
        <v>7</v>
      </c>
      <c r="C8173" s="4" t="inlineStr">
        <is>
          <t>mule deer</t>
        </is>
      </c>
      <c r="D8173" s="4" t="n">
        <v>2024</v>
      </c>
      <c r="E8173" s="13" t="inlineStr">
        <is>
          <t>General</t>
        </is>
      </c>
      <c r="F8173" s="5" t="n"/>
      <c r="G8173" s="5" t="n"/>
      <c r="H8173" s="5" t="n">
        <v>835</v>
      </c>
      <c r="I8173" s="5" t="n">
        <v>721</v>
      </c>
      <c r="J8173" s="5" t="n">
        <v>114</v>
      </c>
      <c r="K8173" s="10">
        <f>IF(F8173&gt;0,H8173/F8173,"")</f>
        <v/>
      </c>
      <c r="L8173" s="16">
        <f>IF(AND(G8173&gt;0,H8173&gt;0),G8173/H8173,"")</f>
        <v/>
      </c>
    </row>
    <row r="8174">
      <c r="A8174" s="4" t="inlineStr">
        <is>
          <t>700</t>
        </is>
      </c>
      <c r="B8174" s="4" t="n">
        <v>7</v>
      </c>
      <c r="C8174" s="4" t="inlineStr">
        <is>
          <t>mule deer</t>
        </is>
      </c>
      <c r="D8174" s="4" t="n">
        <v>2025</v>
      </c>
      <c r="E8174" s="13" t="inlineStr">
        <is>
          <t>General</t>
        </is>
      </c>
      <c r="F8174" s="5" t="n">
        <v>3259</v>
      </c>
      <c r="G8174" s="5" t="n">
        <v>23783</v>
      </c>
      <c r="H8174" s="5" t="n">
        <v>1015</v>
      </c>
      <c r="I8174" s="5" t="n">
        <v>886</v>
      </c>
      <c r="J8174" s="5" t="n">
        <v>126</v>
      </c>
      <c r="K8174" s="10">
        <f>IF(F8174&gt;0,H8174/F8174,"")</f>
        <v/>
      </c>
      <c r="L8174" s="16">
        <f>IF(AND(G8174&gt;0,H8174&gt;0),G8174/H8174,"")</f>
        <v/>
      </c>
    </row>
    <row r="8175">
      <c r="A8175" s="4" t="inlineStr">
        <is>
          <t>701</t>
        </is>
      </c>
      <c r="B8175" s="4" t="n">
        <v>7</v>
      </c>
      <c r="C8175" s="4" t="inlineStr">
        <is>
          <t>mule deer</t>
        </is>
      </c>
      <c r="D8175" s="4" t="n">
        <v>2004</v>
      </c>
      <c r="E8175" s="13" t="inlineStr">
        <is>
          <t>General</t>
        </is>
      </c>
      <c r="F8175" s="5" t="n">
        <v>3278</v>
      </c>
      <c r="G8175" s="5" t="n">
        <v>12883</v>
      </c>
      <c r="H8175" s="5" t="n">
        <v>1810</v>
      </c>
      <c r="I8175" s="5" t="n">
        <v>1031</v>
      </c>
      <c r="J8175" s="5" t="n">
        <v>737</v>
      </c>
      <c r="K8175" s="10">
        <f>IF(F8175&gt;0,H8175/F8175,"")</f>
        <v/>
      </c>
      <c r="L8175" s="16">
        <f>IF(AND(G8175&gt;0,H8175&gt;0),G8175/H8175,"")</f>
        <v/>
      </c>
    </row>
    <row r="8176">
      <c r="A8176" s="4" t="inlineStr">
        <is>
          <t>701</t>
        </is>
      </c>
      <c r="B8176" s="4" t="n">
        <v>7</v>
      </c>
      <c r="C8176" s="4" t="inlineStr">
        <is>
          <t>mule deer</t>
        </is>
      </c>
      <c r="D8176" s="4" t="n">
        <v>2005</v>
      </c>
      <c r="E8176" s="13" t="inlineStr">
        <is>
          <t>General</t>
        </is>
      </c>
      <c r="F8176" s="5" t="n">
        <v>2820</v>
      </c>
      <c r="G8176" s="5" t="n">
        <v>12285</v>
      </c>
      <c r="H8176" s="5" t="n">
        <v>1402</v>
      </c>
      <c r="I8176" s="5" t="n">
        <v>924</v>
      </c>
      <c r="J8176" s="5" t="n">
        <v>469</v>
      </c>
      <c r="K8176" s="10">
        <f>IF(F8176&gt;0,H8176/F8176,"")</f>
        <v/>
      </c>
      <c r="L8176" s="16">
        <f>IF(AND(G8176&gt;0,H8176&gt;0),G8176/H8176,"")</f>
        <v/>
      </c>
    </row>
    <row r="8177">
      <c r="A8177" s="4" t="inlineStr">
        <is>
          <t>701</t>
        </is>
      </c>
      <c r="B8177" s="4" t="n">
        <v>7</v>
      </c>
      <c r="C8177" s="4" t="inlineStr">
        <is>
          <t>mule deer</t>
        </is>
      </c>
      <c r="D8177" s="4" t="n">
        <v>2006</v>
      </c>
      <c r="E8177" s="13" t="inlineStr">
        <is>
          <t>General</t>
        </is>
      </c>
      <c r="F8177" s="5" t="n">
        <v>2810</v>
      </c>
      <c r="G8177" s="5" t="n">
        <v>13009</v>
      </c>
      <c r="H8177" s="5" t="n">
        <v>2122</v>
      </c>
      <c r="I8177" s="5" t="n">
        <v>1151</v>
      </c>
      <c r="J8177" s="5" t="n">
        <v>934</v>
      </c>
      <c r="K8177" s="10">
        <f>IF(F8177&gt;0,H8177/F8177,"")</f>
        <v/>
      </c>
      <c r="L8177" s="16">
        <f>IF(AND(G8177&gt;0,H8177&gt;0),G8177/H8177,"")</f>
        <v/>
      </c>
    </row>
    <row r="8178">
      <c r="A8178" s="4" t="inlineStr">
        <is>
          <t>701</t>
        </is>
      </c>
      <c r="B8178" s="4" t="n">
        <v>7</v>
      </c>
      <c r="C8178" s="4" t="inlineStr">
        <is>
          <t>mule deer</t>
        </is>
      </c>
      <c r="D8178" s="4" t="n">
        <v>2007</v>
      </c>
      <c r="E8178" s="13" t="inlineStr">
        <is>
          <t>General</t>
        </is>
      </c>
      <c r="F8178" s="5" t="n">
        <v>3138</v>
      </c>
      <c r="G8178" s="5" t="n">
        <v>13751</v>
      </c>
      <c r="H8178" s="5" t="n">
        <v>1886</v>
      </c>
      <c r="I8178" s="5" t="n">
        <v>1140</v>
      </c>
      <c r="J8178" s="5" t="n">
        <v>726</v>
      </c>
      <c r="K8178" s="10">
        <f>IF(F8178&gt;0,H8178/F8178,"")</f>
        <v/>
      </c>
      <c r="L8178" s="16">
        <f>IF(AND(G8178&gt;0,H8178&gt;0),G8178/H8178,"")</f>
        <v/>
      </c>
    </row>
    <row r="8179">
      <c r="A8179" s="4" t="inlineStr">
        <is>
          <t>701</t>
        </is>
      </c>
      <c r="B8179" s="4" t="n">
        <v>7</v>
      </c>
      <c r="C8179" s="4" t="inlineStr">
        <is>
          <t>mule deer</t>
        </is>
      </c>
      <c r="D8179" s="4" t="n">
        <v>2008</v>
      </c>
      <c r="E8179" s="13" t="inlineStr">
        <is>
          <t>General</t>
        </is>
      </c>
      <c r="F8179" s="5" t="n">
        <v>3270</v>
      </c>
      <c r="G8179" s="5" t="n">
        <v>14794</v>
      </c>
      <c r="H8179" s="5" t="n">
        <v>2044</v>
      </c>
      <c r="I8179" s="5" t="n">
        <v>1148</v>
      </c>
      <c r="J8179" s="5" t="n">
        <v>879</v>
      </c>
      <c r="K8179" s="10">
        <f>IF(F8179&gt;0,H8179/F8179,"")</f>
        <v/>
      </c>
      <c r="L8179" s="16">
        <f>IF(AND(G8179&gt;0,H8179&gt;0),G8179/H8179,"")</f>
        <v/>
      </c>
    </row>
    <row r="8180">
      <c r="A8180" s="4" t="inlineStr">
        <is>
          <t>701</t>
        </is>
      </c>
      <c r="B8180" s="4" t="n">
        <v>7</v>
      </c>
      <c r="C8180" s="4" t="inlineStr">
        <is>
          <t>mule deer</t>
        </is>
      </c>
      <c r="D8180" s="4" t="n">
        <v>2009</v>
      </c>
      <c r="E8180" s="13" t="inlineStr">
        <is>
          <t>General</t>
        </is>
      </c>
      <c r="F8180" s="5" t="n">
        <v>3567</v>
      </c>
      <c r="G8180" s="5" t="n">
        <v>16408</v>
      </c>
      <c r="H8180" s="5" t="n">
        <v>1939</v>
      </c>
      <c r="I8180" s="5" t="n">
        <v>1085</v>
      </c>
      <c r="J8180" s="5" t="n">
        <v>850</v>
      </c>
      <c r="K8180" s="10">
        <f>IF(F8180&gt;0,H8180/F8180,"")</f>
        <v/>
      </c>
      <c r="L8180" s="16">
        <f>IF(AND(G8180&gt;0,H8180&gt;0),G8180/H8180,"")</f>
        <v/>
      </c>
    </row>
    <row r="8181">
      <c r="A8181" s="4" t="inlineStr">
        <is>
          <t>701</t>
        </is>
      </c>
      <c r="B8181" s="4" t="n">
        <v>7</v>
      </c>
      <c r="C8181" s="4" t="inlineStr">
        <is>
          <t>mule deer</t>
        </is>
      </c>
      <c r="D8181" s="4" t="n">
        <v>2010</v>
      </c>
      <c r="E8181" s="13" t="inlineStr">
        <is>
          <t>General</t>
        </is>
      </c>
      <c r="F8181" s="5" t="n">
        <v>3604</v>
      </c>
      <c r="G8181" s="5" t="n">
        <v>16954</v>
      </c>
      <c r="H8181" s="5" t="n">
        <v>1427</v>
      </c>
      <c r="I8181" s="5" t="n">
        <v>933</v>
      </c>
      <c r="J8181" s="5" t="n">
        <v>488</v>
      </c>
      <c r="K8181" s="10">
        <f>IF(F8181&gt;0,H8181/F8181,"")</f>
        <v/>
      </c>
      <c r="L8181" s="16">
        <f>IF(AND(G8181&gt;0,H8181&gt;0),G8181/H8181,"")</f>
        <v/>
      </c>
    </row>
    <row r="8182">
      <c r="A8182" s="4" t="inlineStr">
        <is>
          <t>701</t>
        </is>
      </c>
      <c r="B8182" s="4" t="n">
        <v>7</v>
      </c>
      <c r="C8182" s="4" t="inlineStr">
        <is>
          <t>mule deer</t>
        </is>
      </c>
      <c r="D8182" s="4" t="n">
        <v>2011</v>
      </c>
      <c r="E8182" s="13" t="inlineStr">
        <is>
          <t>General</t>
        </is>
      </c>
      <c r="F8182" s="5" t="n">
        <v>3299</v>
      </c>
      <c r="G8182" s="5" t="n">
        <v>15377</v>
      </c>
      <c r="H8182" s="5" t="n">
        <v>1182</v>
      </c>
      <c r="I8182" s="5" t="n">
        <v>858</v>
      </c>
      <c r="J8182" s="5" t="n">
        <v>316</v>
      </c>
      <c r="K8182" s="10">
        <f>IF(F8182&gt;0,H8182/F8182,"")</f>
        <v/>
      </c>
      <c r="L8182" s="16">
        <f>IF(AND(G8182&gt;0,H8182&gt;0),G8182/H8182,"")</f>
        <v/>
      </c>
    </row>
    <row r="8183">
      <c r="A8183" s="4" t="inlineStr">
        <is>
          <t>701</t>
        </is>
      </c>
      <c r="B8183" s="4" t="n">
        <v>7</v>
      </c>
      <c r="C8183" s="4" t="inlineStr">
        <is>
          <t>mule deer</t>
        </is>
      </c>
      <c r="D8183" s="4" t="n">
        <v>2012</v>
      </c>
      <c r="E8183" s="13" t="inlineStr">
        <is>
          <t>General</t>
        </is>
      </c>
      <c r="F8183" s="5" t="n"/>
      <c r="G8183" s="5" t="n"/>
      <c r="H8183" s="5" t="n">
        <v>1109</v>
      </c>
      <c r="I8183" s="5" t="n">
        <v>936</v>
      </c>
      <c r="J8183" s="5" t="n">
        <v>172</v>
      </c>
      <c r="K8183" s="10">
        <f>IF(F8183&gt;0,H8183/F8183,"")</f>
        <v/>
      </c>
      <c r="L8183" s="16">
        <f>IF(AND(G8183&gt;0,H8183&gt;0),G8183/H8183,"")</f>
        <v/>
      </c>
    </row>
    <row r="8184">
      <c r="A8184" s="4" t="inlineStr">
        <is>
          <t>701</t>
        </is>
      </c>
      <c r="B8184" s="4" t="n">
        <v>7</v>
      </c>
      <c r="C8184" s="4" t="inlineStr">
        <is>
          <t>mule deer</t>
        </is>
      </c>
      <c r="D8184" s="4" t="n">
        <v>2013</v>
      </c>
      <c r="E8184" s="13" t="inlineStr">
        <is>
          <t>General</t>
        </is>
      </c>
      <c r="F8184" s="5" t="n">
        <v>3401</v>
      </c>
      <c r="G8184" s="5" t="n">
        <v>16480</v>
      </c>
      <c r="H8184" s="5" t="n">
        <v>1077</v>
      </c>
      <c r="I8184" s="5" t="n">
        <v>915</v>
      </c>
      <c r="J8184" s="5" t="n">
        <v>152</v>
      </c>
      <c r="K8184" s="10">
        <f>IF(F8184&gt;0,H8184/F8184,"")</f>
        <v/>
      </c>
      <c r="L8184" s="16">
        <f>IF(AND(G8184&gt;0,H8184&gt;0),G8184/H8184,"")</f>
        <v/>
      </c>
    </row>
    <row r="8185">
      <c r="A8185" s="4" t="inlineStr">
        <is>
          <t>701</t>
        </is>
      </c>
      <c r="B8185" s="4" t="n">
        <v>7</v>
      </c>
      <c r="C8185" s="4" t="inlineStr">
        <is>
          <t>mule deer</t>
        </is>
      </c>
      <c r="D8185" s="4" t="n">
        <v>2014</v>
      </c>
      <c r="E8185" s="13" t="inlineStr">
        <is>
          <t>General</t>
        </is>
      </c>
      <c r="F8185" s="5" t="n"/>
      <c r="G8185" s="5" t="n"/>
      <c r="H8185" s="5" t="n">
        <v>1086</v>
      </c>
      <c r="I8185" s="5" t="n">
        <v>1080</v>
      </c>
      <c r="J8185" s="5" t="n">
        <v>6</v>
      </c>
      <c r="K8185" s="10">
        <f>IF(F8185&gt;0,H8185/F8185,"")</f>
        <v/>
      </c>
      <c r="L8185" s="16">
        <f>IF(AND(G8185&gt;0,H8185&gt;0),G8185/H8185,"")</f>
        <v/>
      </c>
    </row>
    <row r="8186">
      <c r="A8186" s="4" t="inlineStr">
        <is>
          <t>701</t>
        </is>
      </c>
      <c r="B8186" s="4" t="n">
        <v>7</v>
      </c>
      <c r="C8186" s="4" t="inlineStr">
        <is>
          <t>mule deer</t>
        </is>
      </c>
      <c r="D8186" s="4" t="n">
        <v>2015</v>
      </c>
      <c r="E8186" s="13" t="inlineStr">
        <is>
          <t>General</t>
        </is>
      </c>
      <c r="F8186" s="5" t="n"/>
      <c r="G8186" s="5" t="n"/>
      <c r="H8186" s="5" t="n">
        <v>1126</v>
      </c>
      <c r="I8186" s="5" t="n">
        <v>1105</v>
      </c>
      <c r="J8186" s="5" t="n">
        <v>21</v>
      </c>
      <c r="K8186" s="10">
        <f>IF(F8186&gt;0,H8186/F8186,"")</f>
        <v/>
      </c>
      <c r="L8186" s="16">
        <f>IF(AND(G8186&gt;0,H8186&gt;0),G8186/H8186,"")</f>
        <v/>
      </c>
    </row>
    <row r="8187">
      <c r="A8187" s="4" t="inlineStr">
        <is>
          <t>701</t>
        </is>
      </c>
      <c r="B8187" s="4" t="n">
        <v>7</v>
      </c>
      <c r="C8187" s="4" t="inlineStr">
        <is>
          <t>mule deer</t>
        </is>
      </c>
      <c r="D8187" s="4" t="n">
        <v>2016</v>
      </c>
      <c r="E8187" s="13" t="inlineStr">
        <is>
          <t>General</t>
        </is>
      </c>
      <c r="F8187" s="5" t="n"/>
      <c r="G8187" s="5" t="n"/>
      <c r="H8187" s="5" t="n">
        <v>2309</v>
      </c>
      <c r="I8187" s="5" t="n">
        <v>1632</v>
      </c>
      <c r="J8187" s="5" t="n">
        <v>660</v>
      </c>
      <c r="K8187" s="10">
        <f>IF(F8187&gt;0,H8187/F8187,"")</f>
        <v/>
      </c>
      <c r="L8187" s="16">
        <f>IF(AND(G8187&gt;0,H8187&gt;0),G8187/H8187,"")</f>
        <v/>
      </c>
    </row>
    <row r="8188">
      <c r="A8188" s="4" t="inlineStr">
        <is>
          <t>701</t>
        </is>
      </c>
      <c r="B8188" s="4" t="n">
        <v>7</v>
      </c>
      <c r="C8188" s="4" t="inlineStr">
        <is>
          <t>mule deer</t>
        </is>
      </c>
      <c r="D8188" s="4" t="n">
        <v>2017</v>
      </c>
      <c r="E8188" s="13" t="inlineStr">
        <is>
          <t>General</t>
        </is>
      </c>
      <c r="F8188" s="5" t="n">
        <v>3715</v>
      </c>
      <c r="G8188" s="5" t="n">
        <v>17446</v>
      </c>
      <c r="H8188" s="5" t="n">
        <v>2279</v>
      </c>
      <c r="I8188" s="5" t="n">
        <v>1485</v>
      </c>
      <c r="J8188" s="5" t="n">
        <v>795</v>
      </c>
      <c r="K8188" s="10">
        <f>IF(F8188&gt;0,H8188/F8188,"")</f>
        <v/>
      </c>
      <c r="L8188" s="16">
        <f>IF(AND(G8188&gt;0,H8188&gt;0),G8188/H8188,"")</f>
        <v/>
      </c>
    </row>
    <row r="8189">
      <c r="A8189" s="4" t="inlineStr">
        <is>
          <t>701</t>
        </is>
      </c>
      <c r="B8189" s="4" t="n">
        <v>7</v>
      </c>
      <c r="C8189" s="4" t="inlineStr">
        <is>
          <t>mule deer</t>
        </is>
      </c>
      <c r="D8189" s="4" t="n">
        <v>2018</v>
      </c>
      <c r="E8189" s="13" t="inlineStr">
        <is>
          <t>General</t>
        </is>
      </c>
      <c r="F8189" s="5" t="n"/>
      <c r="G8189" s="5" t="n"/>
      <c r="H8189" s="5" t="n">
        <v>1822</v>
      </c>
      <c r="I8189" s="5" t="n">
        <v>1196</v>
      </c>
      <c r="J8189" s="5" t="n">
        <v>613</v>
      </c>
      <c r="K8189" s="10">
        <f>IF(F8189&gt;0,H8189/F8189,"")</f>
        <v/>
      </c>
      <c r="L8189" s="16">
        <f>IF(AND(G8189&gt;0,H8189&gt;0),G8189/H8189,"")</f>
        <v/>
      </c>
    </row>
    <row r="8190">
      <c r="A8190" s="4" t="inlineStr">
        <is>
          <t>701</t>
        </is>
      </c>
      <c r="B8190" s="4" t="n">
        <v>7</v>
      </c>
      <c r="C8190" s="4" t="inlineStr">
        <is>
          <t>mule deer</t>
        </is>
      </c>
      <c r="D8190" s="4" t="n">
        <v>2019</v>
      </c>
      <c r="E8190" s="13" t="inlineStr">
        <is>
          <t>General</t>
        </is>
      </c>
      <c r="F8190" s="5" t="n">
        <v>3874</v>
      </c>
      <c r="G8190" s="5" t="n">
        <v>18742</v>
      </c>
      <c r="H8190" s="5" t="n">
        <v>2183</v>
      </c>
      <c r="I8190" s="5" t="n">
        <v>1491</v>
      </c>
      <c r="J8190" s="5" t="n">
        <v>674</v>
      </c>
      <c r="K8190" s="10">
        <f>IF(F8190&gt;0,H8190/F8190,"")</f>
        <v/>
      </c>
      <c r="L8190" s="16">
        <f>IF(AND(G8190&gt;0,H8190&gt;0),G8190/H8190,"")</f>
        <v/>
      </c>
    </row>
    <row r="8191">
      <c r="A8191" s="4" t="inlineStr">
        <is>
          <t>701</t>
        </is>
      </c>
      <c r="B8191" s="4" t="n">
        <v>7</v>
      </c>
      <c r="C8191" s="4" t="inlineStr">
        <is>
          <t>mule deer</t>
        </is>
      </c>
      <c r="D8191" s="4" t="n">
        <v>2020</v>
      </c>
      <c r="E8191" s="13" t="inlineStr">
        <is>
          <t>General</t>
        </is>
      </c>
      <c r="F8191" s="5" t="n"/>
      <c r="G8191" s="5" t="n"/>
      <c r="H8191" s="5" t="n">
        <v>2247</v>
      </c>
      <c r="I8191" s="5" t="n">
        <v>1604</v>
      </c>
      <c r="J8191" s="5" t="n">
        <v>636</v>
      </c>
      <c r="K8191" s="10">
        <f>IF(F8191&gt;0,H8191/F8191,"")</f>
        <v/>
      </c>
      <c r="L8191" s="16">
        <f>IF(AND(G8191&gt;0,H8191&gt;0),G8191/H8191,"")</f>
        <v/>
      </c>
    </row>
    <row r="8192">
      <c r="A8192" s="4" t="inlineStr">
        <is>
          <t>701</t>
        </is>
      </c>
      <c r="B8192" s="4" t="n">
        <v>7</v>
      </c>
      <c r="C8192" s="4" t="inlineStr">
        <is>
          <t>mule deer</t>
        </is>
      </c>
      <c r="D8192" s="4" t="n">
        <v>2021</v>
      </c>
      <c r="E8192" s="13" t="inlineStr">
        <is>
          <t>General</t>
        </is>
      </c>
      <c r="F8192" s="5" t="n">
        <v>3629</v>
      </c>
      <c r="G8192" s="5" t="n">
        <v>18129</v>
      </c>
      <c r="H8192" s="5" t="n">
        <v>1561</v>
      </c>
      <c r="I8192" s="5" t="n">
        <v>1232</v>
      </c>
      <c r="J8192" s="5" t="n">
        <v>324</v>
      </c>
      <c r="K8192" s="10">
        <f>IF(F8192&gt;0,H8192/F8192,"")</f>
        <v/>
      </c>
      <c r="L8192" s="16">
        <f>IF(AND(G8192&gt;0,H8192&gt;0),G8192/H8192,"")</f>
        <v/>
      </c>
    </row>
    <row r="8193">
      <c r="A8193" s="4" t="inlineStr">
        <is>
          <t>701</t>
        </is>
      </c>
      <c r="B8193" s="4" t="n">
        <v>7</v>
      </c>
      <c r="C8193" s="4" t="inlineStr">
        <is>
          <t>mule deer</t>
        </is>
      </c>
      <c r="D8193" s="4" t="n">
        <v>2022</v>
      </c>
      <c r="E8193" s="13" t="inlineStr">
        <is>
          <t>General</t>
        </is>
      </c>
      <c r="F8193" s="5" t="n"/>
      <c r="G8193" s="5" t="n"/>
      <c r="H8193" s="5" t="n">
        <v>1376</v>
      </c>
      <c r="I8193" s="5" t="n">
        <v>1081</v>
      </c>
      <c r="J8193" s="5" t="n">
        <v>292</v>
      </c>
      <c r="K8193" s="10">
        <f>IF(F8193&gt;0,H8193/F8193,"")</f>
        <v/>
      </c>
      <c r="L8193" s="16">
        <f>IF(AND(G8193&gt;0,H8193&gt;0),G8193/H8193,"")</f>
        <v/>
      </c>
    </row>
    <row r="8194">
      <c r="A8194" s="4" t="inlineStr">
        <is>
          <t>701</t>
        </is>
      </c>
      <c r="B8194" s="4" t="n">
        <v>7</v>
      </c>
      <c r="C8194" s="4" t="inlineStr">
        <is>
          <t>mule deer</t>
        </is>
      </c>
      <c r="D8194" s="4" t="n">
        <v>2023</v>
      </c>
      <c r="E8194" s="13" t="inlineStr">
        <is>
          <t>General</t>
        </is>
      </c>
      <c r="F8194" s="5" t="n">
        <v>3415</v>
      </c>
      <c r="G8194" s="5" t="n">
        <v>18809</v>
      </c>
      <c r="H8194" s="5" t="n">
        <v>1038</v>
      </c>
      <c r="I8194" s="5" t="n">
        <v>962</v>
      </c>
      <c r="J8194" s="5" t="n">
        <v>73</v>
      </c>
      <c r="K8194" s="10">
        <f>IF(F8194&gt;0,H8194/F8194,"")</f>
        <v/>
      </c>
      <c r="L8194" s="16">
        <f>IF(AND(G8194&gt;0,H8194&gt;0),G8194/H8194,"")</f>
        <v/>
      </c>
    </row>
    <row r="8195">
      <c r="A8195" s="4" t="inlineStr">
        <is>
          <t>701</t>
        </is>
      </c>
      <c r="B8195" s="4" t="n">
        <v>7</v>
      </c>
      <c r="C8195" s="4" t="inlineStr">
        <is>
          <t>mule deer</t>
        </is>
      </c>
      <c r="D8195" s="4" t="n">
        <v>2024</v>
      </c>
      <c r="E8195" s="13" t="inlineStr">
        <is>
          <t>General</t>
        </is>
      </c>
      <c r="F8195" s="5" t="n"/>
      <c r="G8195" s="5" t="n"/>
      <c r="H8195" s="5" t="n">
        <v>1181</v>
      </c>
      <c r="I8195" s="5" t="n">
        <v>1071</v>
      </c>
      <c r="J8195" s="5" t="n">
        <v>110</v>
      </c>
      <c r="K8195" s="10">
        <f>IF(F8195&gt;0,H8195/F8195,"")</f>
        <v/>
      </c>
      <c r="L8195" s="16">
        <f>IF(AND(G8195&gt;0,H8195&gt;0),G8195/H8195,"")</f>
        <v/>
      </c>
    </row>
    <row r="8196">
      <c r="A8196" s="4" t="inlineStr">
        <is>
          <t>701</t>
        </is>
      </c>
      <c r="B8196" s="4" t="n">
        <v>7</v>
      </c>
      <c r="C8196" s="4" t="inlineStr">
        <is>
          <t>mule deer</t>
        </is>
      </c>
      <c r="D8196" s="4" t="n">
        <v>2025</v>
      </c>
      <c r="E8196" s="13" t="inlineStr">
        <is>
          <t>General</t>
        </is>
      </c>
      <c r="F8196" s="5" t="n">
        <v>3286</v>
      </c>
      <c r="G8196" s="5" t="n">
        <v>18840</v>
      </c>
      <c r="H8196" s="5" t="n">
        <v>920</v>
      </c>
      <c r="I8196" s="5" t="n">
        <v>838</v>
      </c>
      <c r="J8196" s="5" t="n">
        <v>82</v>
      </c>
      <c r="K8196" s="10">
        <f>IF(F8196&gt;0,H8196/F8196,"")</f>
        <v/>
      </c>
      <c r="L8196" s="16">
        <f>IF(AND(G8196&gt;0,H8196&gt;0),G8196/H8196,"")</f>
        <v/>
      </c>
    </row>
    <row r="8197">
      <c r="A8197" s="4" t="inlineStr">
        <is>
          <t>702</t>
        </is>
      </c>
      <c r="B8197" s="4" t="n">
        <v>7</v>
      </c>
      <c r="C8197" s="4" t="inlineStr">
        <is>
          <t>mule deer</t>
        </is>
      </c>
      <c r="D8197" s="4" t="n">
        <v>2004</v>
      </c>
      <c r="E8197" s="13" t="inlineStr">
        <is>
          <t>General</t>
        </is>
      </c>
      <c r="F8197" s="5" t="n">
        <v>2626</v>
      </c>
      <c r="G8197" s="5" t="n">
        <v>10926</v>
      </c>
      <c r="H8197" s="5" t="n">
        <v>2044</v>
      </c>
      <c r="I8197" s="5" t="n">
        <v>1246</v>
      </c>
      <c r="J8197" s="5" t="n">
        <v>778</v>
      </c>
      <c r="K8197" s="10">
        <f>IF(F8197&gt;0,H8197/F8197,"")</f>
        <v/>
      </c>
      <c r="L8197" s="16">
        <f>IF(AND(G8197&gt;0,H8197&gt;0),G8197/H8197,"")</f>
        <v/>
      </c>
    </row>
    <row r="8198">
      <c r="A8198" s="4" t="inlineStr">
        <is>
          <t>702</t>
        </is>
      </c>
      <c r="B8198" s="4" t="n">
        <v>7</v>
      </c>
      <c r="C8198" s="4" t="inlineStr">
        <is>
          <t>mule deer</t>
        </is>
      </c>
      <c r="D8198" s="4" t="n">
        <v>2005</v>
      </c>
      <c r="E8198" s="13" t="inlineStr">
        <is>
          <t>General</t>
        </is>
      </c>
      <c r="F8198" s="5" t="n">
        <v>2076</v>
      </c>
      <c r="G8198" s="5" t="n">
        <v>8854</v>
      </c>
      <c r="H8198" s="5" t="n">
        <v>1371</v>
      </c>
      <c r="I8198" s="5" t="n">
        <v>966</v>
      </c>
      <c r="J8198" s="5" t="n">
        <v>388</v>
      </c>
      <c r="K8198" s="10">
        <f>IF(F8198&gt;0,H8198/F8198,"")</f>
        <v/>
      </c>
      <c r="L8198" s="16">
        <f>IF(AND(G8198&gt;0,H8198&gt;0),G8198/H8198,"")</f>
        <v/>
      </c>
    </row>
    <row r="8199">
      <c r="A8199" s="4" t="inlineStr">
        <is>
          <t>702</t>
        </is>
      </c>
      <c r="B8199" s="4" t="n">
        <v>7</v>
      </c>
      <c r="C8199" s="4" t="inlineStr">
        <is>
          <t>mule deer</t>
        </is>
      </c>
      <c r="D8199" s="4" t="n">
        <v>2006</v>
      </c>
      <c r="E8199" s="13" t="inlineStr">
        <is>
          <t>General</t>
        </is>
      </c>
      <c r="F8199" s="5" t="n">
        <v>1824</v>
      </c>
      <c r="G8199" s="5" t="n">
        <v>8983</v>
      </c>
      <c r="H8199" s="5" t="n">
        <v>1692</v>
      </c>
      <c r="I8199" s="5" t="n">
        <v>1034</v>
      </c>
      <c r="J8199" s="5" t="n">
        <v>645</v>
      </c>
      <c r="K8199" s="10">
        <f>IF(F8199&gt;0,H8199/F8199,"")</f>
        <v/>
      </c>
      <c r="L8199" s="16">
        <f>IF(AND(G8199&gt;0,H8199&gt;0),G8199/H8199,"")</f>
        <v/>
      </c>
    </row>
    <row r="8200">
      <c r="A8200" s="4" t="inlineStr">
        <is>
          <t>702</t>
        </is>
      </c>
      <c r="B8200" s="4" t="n">
        <v>7</v>
      </c>
      <c r="C8200" s="4" t="inlineStr">
        <is>
          <t>mule deer</t>
        </is>
      </c>
      <c r="D8200" s="4" t="n">
        <v>2007</v>
      </c>
      <c r="E8200" s="13" t="inlineStr">
        <is>
          <t>General</t>
        </is>
      </c>
      <c r="F8200" s="5" t="n">
        <v>2284</v>
      </c>
      <c r="G8200" s="5" t="n">
        <v>11220</v>
      </c>
      <c r="H8200" s="5" t="n">
        <v>1813</v>
      </c>
      <c r="I8200" s="5" t="n">
        <v>1041</v>
      </c>
      <c r="J8200" s="5" t="n">
        <v>762</v>
      </c>
      <c r="K8200" s="10">
        <f>IF(F8200&gt;0,H8200/F8200,"")</f>
        <v/>
      </c>
      <c r="L8200" s="16">
        <f>IF(AND(G8200&gt;0,H8200&gt;0),G8200/H8200,"")</f>
        <v/>
      </c>
    </row>
    <row r="8201">
      <c r="A8201" s="4" t="inlineStr">
        <is>
          <t>702</t>
        </is>
      </c>
      <c r="B8201" s="4" t="n">
        <v>7</v>
      </c>
      <c r="C8201" s="4" t="inlineStr">
        <is>
          <t>mule deer</t>
        </is>
      </c>
      <c r="D8201" s="4" t="n">
        <v>2008</v>
      </c>
      <c r="E8201" s="13" t="inlineStr">
        <is>
          <t>General</t>
        </is>
      </c>
      <c r="F8201" s="5" t="n">
        <v>2269</v>
      </c>
      <c r="G8201" s="5" t="n">
        <v>11003</v>
      </c>
      <c r="H8201" s="5" t="n">
        <v>1510</v>
      </c>
      <c r="I8201" s="5" t="n">
        <v>909</v>
      </c>
      <c r="J8201" s="5" t="n">
        <v>585</v>
      </c>
      <c r="K8201" s="10">
        <f>IF(F8201&gt;0,H8201/F8201,"")</f>
        <v/>
      </c>
      <c r="L8201" s="16">
        <f>IF(AND(G8201&gt;0,H8201&gt;0),G8201/H8201,"")</f>
        <v/>
      </c>
    </row>
    <row r="8202">
      <c r="A8202" s="4" t="inlineStr">
        <is>
          <t>702</t>
        </is>
      </c>
      <c r="B8202" s="4" t="n">
        <v>7</v>
      </c>
      <c r="C8202" s="4" t="inlineStr">
        <is>
          <t>mule deer</t>
        </is>
      </c>
      <c r="D8202" s="4" t="n">
        <v>2009</v>
      </c>
      <c r="E8202" s="13" t="inlineStr">
        <is>
          <t>General</t>
        </is>
      </c>
      <c r="F8202" s="5" t="n">
        <v>2508</v>
      </c>
      <c r="G8202" s="5" t="n">
        <v>11583</v>
      </c>
      <c r="H8202" s="5" t="n">
        <v>1643</v>
      </c>
      <c r="I8202" s="5" t="n">
        <v>1042</v>
      </c>
      <c r="J8202" s="5" t="n">
        <v>589</v>
      </c>
      <c r="K8202" s="10">
        <f>IF(F8202&gt;0,H8202/F8202,"")</f>
        <v/>
      </c>
      <c r="L8202" s="16">
        <f>IF(AND(G8202&gt;0,H8202&gt;0),G8202/H8202,"")</f>
        <v/>
      </c>
    </row>
    <row r="8203">
      <c r="A8203" s="4" t="inlineStr">
        <is>
          <t>702</t>
        </is>
      </c>
      <c r="B8203" s="4" t="n">
        <v>7</v>
      </c>
      <c r="C8203" s="4" t="inlineStr">
        <is>
          <t>mule deer</t>
        </is>
      </c>
      <c r="D8203" s="4" t="n">
        <v>2010</v>
      </c>
      <c r="E8203" s="13" t="inlineStr">
        <is>
          <t>General</t>
        </is>
      </c>
      <c r="F8203" s="5" t="n">
        <v>2439</v>
      </c>
      <c r="G8203" s="5" t="n">
        <v>12027</v>
      </c>
      <c r="H8203" s="5" t="n">
        <v>1272</v>
      </c>
      <c r="I8203" s="5" t="n">
        <v>859</v>
      </c>
      <c r="J8203" s="5" t="n">
        <v>413</v>
      </c>
      <c r="K8203" s="10">
        <f>IF(F8203&gt;0,H8203/F8203,"")</f>
        <v/>
      </c>
      <c r="L8203" s="16">
        <f>IF(AND(G8203&gt;0,H8203&gt;0),G8203/H8203,"")</f>
        <v/>
      </c>
    </row>
    <row r="8204">
      <c r="A8204" s="4" t="inlineStr">
        <is>
          <t>702</t>
        </is>
      </c>
      <c r="B8204" s="4" t="n">
        <v>7</v>
      </c>
      <c r="C8204" s="4" t="inlineStr">
        <is>
          <t>mule deer</t>
        </is>
      </c>
      <c r="D8204" s="4" t="n">
        <v>2011</v>
      </c>
      <c r="E8204" s="13" t="inlineStr">
        <is>
          <t>General</t>
        </is>
      </c>
      <c r="F8204" s="5" t="n">
        <v>2416</v>
      </c>
      <c r="G8204" s="5" t="n">
        <v>11653</v>
      </c>
      <c r="H8204" s="5" t="n">
        <v>1224</v>
      </c>
      <c r="I8204" s="5" t="n">
        <v>936</v>
      </c>
      <c r="J8204" s="5" t="n">
        <v>283</v>
      </c>
      <c r="K8204" s="10">
        <f>IF(F8204&gt;0,H8204/F8204,"")</f>
        <v/>
      </c>
      <c r="L8204" s="16">
        <f>IF(AND(G8204&gt;0,H8204&gt;0),G8204/H8204,"")</f>
        <v/>
      </c>
    </row>
    <row r="8205">
      <c r="A8205" s="4" t="inlineStr">
        <is>
          <t>702</t>
        </is>
      </c>
      <c r="B8205" s="4" t="n">
        <v>7</v>
      </c>
      <c r="C8205" s="4" t="inlineStr">
        <is>
          <t>mule deer</t>
        </is>
      </c>
      <c r="D8205" s="4" t="n">
        <v>2012</v>
      </c>
      <c r="E8205" s="13" t="inlineStr">
        <is>
          <t>General</t>
        </is>
      </c>
      <c r="F8205" s="5" t="n"/>
      <c r="G8205" s="5" t="n"/>
      <c r="H8205" s="5" t="n">
        <v>1042</v>
      </c>
      <c r="I8205" s="5" t="n">
        <v>877</v>
      </c>
      <c r="J8205" s="5" t="n">
        <v>161</v>
      </c>
      <c r="K8205" s="10">
        <f>IF(F8205&gt;0,H8205/F8205,"")</f>
        <v/>
      </c>
      <c r="L8205" s="16">
        <f>IF(AND(G8205&gt;0,H8205&gt;0),G8205/H8205,"")</f>
        <v/>
      </c>
    </row>
    <row r="8206">
      <c r="A8206" s="4" t="inlineStr">
        <is>
          <t>702</t>
        </is>
      </c>
      <c r="B8206" s="4" t="n">
        <v>7</v>
      </c>
      <c r="C8206" s="4" t="inlineStr">
        <is>
          <t>mule deer</t>
        </is>
      </c>
      <c r="D8206" s="4" t="n">
        <v>2013</v>
      </c>
      <c r="E8206" s="13" t="inlineStr">
        <is>
          <t>General</t>
        </is>
      </c>
      <c r="F8206" s="5" t="n">
        <v>2470</v>
      </c>
      <c r="G8206" s="5" t="n">
        <v>12583</v>
      </c>
      <c r="H8206" s="5" t="n">
        <v>999</v>
      </c>
      <c r="I8206" s="5" t="n">
        <v>833</v>
      </c>
      <c r="J8206" s="5" t="n">
        <v>165</v>
      </c>
      <c r="K8206" s="10">
        <f>IF(F8206&gt;0,H8206/F8206,"")</f>
        <v/>
      </c>
      <c r="L8206" s="16">
        <f>IF(AND(G8206&gt;0,H8206&gt;0),G8206/H8206,"")</f>
        <v/>
      </c>
    </row>
    <row r="8207">
      <c r="A8207" s="4" t="inlineStr">
        <is>
          <t>702</t>
        </is>
      </c>
      <c r="B8207" s="4" t="n">
        <v>7</v>
      </c>
      <c r="C8207" s="4" t="inlineStr">
        <is>
          <t>mule deer</t>
        </is>
      </c>
      <c r="D8207" s="4" t="n">
        <v>2014</v>
      </c>
      <c r="E8207" s="13" t="inlineStr">
        <is>
          <t>General</t>
        </is>
      </c>
      <c r="F8207" s="5" t="n"/>
      <c r="G8207" s="5" t="n"/>
      <c r="H8207" s="5" t="n">
        <v>934</v>
      </c>
      <c r="I8207" s="5" t="n">
        <v>912</v>
      </c>
      <c r="J8207" s="5" t="n">
        <v>21</v>
      </c>
      <c r="K8207" s="10">
        <f>IF(F8207&gt;0,H8207/F8207,"")</f>
        <v/>
      </c>
      <c r="L8207" s="16">
        <f>IF(AND(G8207&gt;0,H8207&gt;0),G8207/H8207,"")</f>
        <v/>
      </c>
    </row>
    <row r="8208">
      <c r="A8208" s="4" t="inlineStr">
        <is>
          <t>702</t>
        </is>
      </c>
      <c r="B8208" s="4" t="n">
        <v>7</v>
      </c>
      <c r="C8208" s="4" t="inlineStr">
        <is>
          <t>mule deer</t>
        </is>
      </c>
      <c r="D8208" s="4" t="n">
        <v>2015</v>
      </c>
      <c r="E8208" s="13" t="inlineStr">
        <is>
          <t>General</t>
        </is>
      </c>
      <c r="F8208" s="5" t="n"/>
      <c r="G8208" s="5" t="n"/>
      <c r="H8208" s="5" t="n">
        <v>958</v>
      </c>
      <c r="I8208" s="5" t="n">
        <v>917</v>
      </c>
      <c r="J8208" s="5" t="n">
        <v>38</v>
      </c>
      <c r="K8208" s="10">
        <f>IF(F8208&gt;0,H8208/F8208,"")</f>
        <v/>
      </c>
      <c r="L8208" s="16">
        <f>IF(AND(G8208&gt;0,H8208&gt;0),G8208/H8208,"")</f>
        <v/>
      </c>
    </row>
    <row r="8209">
      <c r="A8209" s="4" t="inlineStr">
        <is>
          <t>702</t>
        </is>
      </c>
      <c r="B8209" s="4" t="n">
        <v>7</v>
      </c>
      <c r="C8209" s="4" t="inlineStr">
        <is>
          <t>mule deer</t>
        </is>
      </c>
      <c r="D8209" s="4" t="n">
        <v>2016</v>
      </c>
      <c r="E8209" s="13" t="inlineStr">
        <is>
          <t>General</t>
        </is>
      </c>
      <c r="F8209" s="5" t="n"/>
      <c r="G8209" s="5" t="n"/>
      <c r="H8209" s="5" t="n">
        <v>1564</v>
      </c>
      <c r="I8209" s="5" t="n">
        <v>1205</v>
      </c>
      <c r="J8209" s="5" t="n">
        <v>353</v>
      </c>
      <c r="K8209" s="10">
        <f>IF(F8209&gt;0,H8209/F8209,"")</f>
        <v/>
      </c>
      <c r="L8209" s="16">
        <f>IF(AND(G8209&gt;0,H8209&gt;0),G8209/H8209,"")</f>
        <v/>
      </c>
    </row>
    <row r="8210">
      <c r="A8210" s="4" t="inlineStr">
        <is>
          <t>702</t>
        </is>
      </c>
      <c r="B8210" s="4" t="n">
        <v>7</v>
      </c>
      <c r="C8210" s="4" t="inlineStr">
        <is>
          <t>mule deer</t>
        </is>
      </c>
      <c r="D8210" s="4" t="n">
        <v>2017</v>
      </c>
      <c r="E8210" s="13" t="inlineStr">
        <is>
          <t>General</t>
        </is>
      </c>
      <c r="F8210" s="5" t="n">
        <v>2365</v>
      </c>
      <c r="G8210" s="5" t="n">
        <v>12126</v>
      </c>
      <c r="H8210" s="5" t="n">
        <v>1595</v>
      </c>
      <c r="I8210" s="5" t="n">
        <v>1148</v>
      </c>
      <c r="J8210" s="5" t="n">
        <v>444</v>
      </c>
      <c r="K8210" s="10">
        <f>IF(F8210&gt;0,H8210/F8210,"")</f>
        <v/>
      </c>
      <c r="L8210" s="16">
        <f>IF(AND(G8210&gt;0,H8210&gt;0),G8210/H8210,"")</f>
        <v/>
      </c>
    </row>
    <row r="8211">
      <c r="A8211" s="4" t="inlineStr">
        <is>
          <t>702</t>
        </is>
      </c>
      <c r="B8211" s="4" t="n">
        <v>7</v>
      </c>
      <c r="C8211" s="4" t="inlineStr">
        <is>
          <t>mule deer</t>
        </is>
      </c>
      <c r="D8211" s="4" t="n">
        <v>2018</v>
      </c>
      <c r="E8211" s="13" t="inlineStr">
        <is>
          <t>General</t>
        </is>
      </c>
      <c r="F8211" s="5" t="n"/>
      <c r="G8211" s="5" t="n"/>
      <c r="H8211" s="5" t="n">
        <v>1409</v>
      </c>
      <c r="I8211" s="5" t="n">
        <v>978</v>
      </c>
      <c r="J8211" s="5" t="n">
        <v>431</v>
      </c>
      <c r="K8211" s="10">
        <f>IF(F8211&gt;0,H8211/F8211,"")</f>
        <v/>
      </c>
      <c r="L8211" s="16">
        <f>IF(AND(G8211&gt;0,H8211&gt;0),G8211/H8211,"")</f>
        <v/>
      </c>
    </row>
    <row r="8212">
      <c r="A8212" s="4" t="inlineStr">
        <is>
          <t>702</t>
        </is>
      </c>
      <c r="B8212" s="4" t="n">
        <v>7</v>
      </c>
      <c r="C8212" s="4" t="inlineStr">
        <is>
          <t>mule deer</t>
        </is>
      </c>
      <c r="D8212" s="4" t="n">
        <v>2019</v>
      </c>
      <c r="E8212" s="13" t="inlineStr">
        <is>
          <t>General</t>
        </is>
      </c>
      <c r="F8212" s="5" t="n">
        <v>2234</v>
      </c>
      <c r="G8212" s="5" t="n">
        <v>11127</v>
      </c>
      <c r="H8212" s="5" t="n">
        <v>1413</v>
      </c>
      <c r="I8212" s="5" t="n">
        <v>1029</v>
      </c>
      <c r="J8212" s="5" t="n">
        <v>383</v>
      </c>
      <c r="K8212" s="10">
        <f>IF(F8212&gt;0,H8212/F8212,"")</f>
        <v/>
      </c>
      <c r="L8212" s="16">
        <f>IF(AND(G8212&gt;0,H8212&gt;0),G8212/H8212,"")</f>
        <v/>
      </c>
    </row>
    <row r="8213">
      <c r="A8213" s="4" t="inlineStr">
        <is>
          <t>702</t>
        </is>
      </c>
      <c r="B8213" s="4" t="n">
        <v>7</v>
      </c>
      <c r="C8213" s="4" t="inlineStr">
        <is>
          <t>mule deer</t>
        </is>
      </c>
      <c r="D8213" s="4" t="n">
        <v>2020</v>
      </c>
      <c r="E8213" s="13" t="inlineStr">
        <is>
          <t>General</t>
        </is>
      </c>
      <c r="F8213" s="5" t="n"/>
      <c r="G8213" s="5" t="n"/>
      <c r="H8213" s="5" t="n">
        <v>1403</v>
      </c>
      <c r="I8213" s="5" t="n">
        <v>897</v>
      </c>
      <c r="J8213" s="5" t="n">
        <v>506</v>
      </c>
      <c r="K8213" s="10">
        <f>IF(F8213&gt;0,H8213/F8213,"")</f>
        <v/>
      </c>
      <c r="L8213" s="16">
        <f>IF(AND(G8213&gt;0,H8213&gt;0),G8213/H8213,"")</f>
        <v/>
      </c>
    </row>
    <row r="8214">
      <c r="A8214" s="4" t="inlineStr">
        <is>
          <t>702</t>
        </is>
      </c>
      <c r="B8214" s="4" t="n">
        <v>7</v>
      </c>
      <c r="C8214" s="4" t="inlineStr">
        <is>
          <t>mule deer</t>
        </is>
      </c>
      <c r="D8214" s="4" t="n">
        <v>2021</v>
      </c>
      <c r="E8214" s="13" t="inlineStr">
        <is>
          <t>General</t>
        </is>
      </c>
      <c r="F8214" s="5" t="n">
        <v>1842</v>
      </c>
      <c r="G8214" s="5" t="n">
        <v>10611</v>
      </c>
      <c r="H8214" s="5" t="n">
        <v>797</v>
      </c>
      <c r="I8214" s="5" t="n">
        <v>639</v>
      </c>
      <c r="J8214" s="5" t="n">
        <v>158</v>
      </c>
      <c r="K8214" s="10">
        <f>IF(F8214&gt;0,H8214/F8214,"")</f>
        <v/>
      </c>
      <c r="L8214" s="16">
        <f>IF(AND(G8214&gt;0,H8214&gt;0),G8214/H8214,"")</f>
        <v/>
      </c>
    </row>
    <row r="8215">
      <c r="A8215" s="4" t="inlineStr">
        <is>
          <t>702</t>
        </is>
      </c>
      <c r="B8215" s="4" t="n">
        <v>7</v>
      </c>
      <c r="C8215" s="4" t="inlineStr">
        <is>
          <t>mule deer</t>
        </is>
      </c>
      <c r="D8215" s="4" t="n">
        <v>2022</v>
      </c>
      <c r="E8215" s="13" t="inlineStr">
        <is>
          <t>General</t>
        </is>
      </c>
      <c r="F8215" s="5" t="n"/>
      <c r="G8215" s="5" t="n"/>
      <c r="H8215" s="5" t="n">
        <v>875</v>
      </c>
      <c r="I8215" s="5" t="n">
        <v>739</v>
      </c>
      <c r="J8215" s="5" t="n">
        <v>133</v>
      </c>
      <c r="K8215" s="10">
        <f>IF(F8215&gt;0,H8215/F8215,"")</f>
        <v/>
      </c>
      <c r="L8215" s="16">
        <f>IF(AND(G8215&gt;0,H8215&gt;0),G8215/H8215,"")</f>
        <v/>
      </c>
    </row>
    <row r="8216">
      <c r="A8216" s="4" t="inlineStr">
        <is>
          <t>702</t>
        </is>
      </c>
      <c r="B8216" s="4" t="n">
        <v>7</v>
      </c>
      <c r="C8216" s="4" t="inlineStr">
        <is>
          <t>mule deer</t>
        </is>
      </c>
      <c r="D8216" s="4" t="n">
        <v>2023</v>
      </c>
      <c r="E8216" s="13" t="inlineStr">
        <is>
          <t>General</t>
        </is>
      </c>
      <c r="F8216" s="5" t="n">
        <v>2028</v>
      </c>
      <c r="G8216" s="5" t="n">
        <v>11142</v>
      </c>
      <c r="H8216" s="5" t="n">
        <v>798</v>
      </c>
      <c r="I8216" s="5" t="n">
        <v>736</v>
      </c>
      <c r="J8216" s="5" t="n">
        <v>62</v>
      </c>
      <c r="K8216" s="10">
        <f>IF(F8216&gt;0,H8216/F8216,"")</f>
        <v/>
      </c>
      <c r="L8216" s="16">
        <f>IF(AND(G8216&gt;0,H8216&gt;0),G8216/H8216,"")</f>
        <v/>
      </c>
    </row>
    <row r="8217">
      <c r="A8217" s="4" t="inlineStr">
        <is>
          <t>702</t>
        </is>
      </c>
      <c r="B8217" s="4" t="n">
        <v>7</v>
      </c>
      <c r="C8217" s="4" t="inlineStr">
        <is>
          <t>mule deer</t>
        </is>
      </c>
      <c r="D8217" s="4" t="n">
        <v>2024</v>
      </c>
      <c r="E8217" s="13" t="inlineStr">
        <is>
          <t>General</t>
        </is>
      </c>
      <c r="F8217" s="5" t="n"/>
      <c r="G8217" s="5" t="n"/>
      <c r="H8217" s="5" t="n">
        <v>819</v>
      </c>
      <c r="I8217" s="5" t="n">
        <v>732</v>
      </c>
      <c r="J8217" s="5" t="n">
        <v>88</v>
      </c>
      <c r="K8217" s="10">
        <f>IF(F8217&gt;0,H8217/F8217,"")</f>
        <v/>
      </c>
      <c r="L8217" s="16">
        <f>IF(AND(G8217&gt;0,H8217&gt;0),G8217/H8217,"")</f>
        <v/>
      </c>
    </row>
    <row r="8218">
      <c r="A8218" s="4" t="inlineStr">
        <is>
          <t>702</t>
        </is>
      </c>
      <c r="B8218" s="4" t="n">
        <v>7</v>
      </c>
      <c r="C8218" s="4" t="inlineStr">
        <is>
          <t>mule deer</t>
        </is>
      </c>
      <c r="D8218" s="4" t="n">
        <v>2025</v>
      </c>
      <c r="E8218" s="13" t="inlineStr">
        <is>
          <t>General</t>
        </is>
      </c>
      <c r="F8218" s="5" t="n">
        <v>1740</v>
      </c>
      <c r="G8218" s="5" t="n">
        <v>9567</v>
      </c>
      <c r="H8218" s="5" t="n">
        <v>631</v>
      </c>
      <c r="I8218" s="5" t="n">
        <v>560</v>
      </c>
      <c r="J8218" s="5" t="n">
        <v>68</v>
      </c>
      <c r="K8218" s="10">
        <f>IF(F8218&gt;0,H8218/F8218,"")</f>
        <v/>
      </c>
      <c r="L8218" s="16">
        <f>IF(AND(G8218&gt;0,H8218&gt;0),G8218/H8218,"")</f>
        <v/>
      </c>
    </row>
    <row r="8219">
      <c r="A8219" s="4" t="inlineStr">
        <is>
          <t>703</t>
        </is>
      </c>
      <c r="B8219" s="4" t="n">
        <v>7</v>
      </c>
      <c r="C8219" s="4" t="inlineStr">
        <is>
          <t>mule deer</t>
        </is>
      </c>
      <c r="D8219" s="4" t="n">
        <v>2004</v>
      </c>
      <c r="E8219" s="13" t="inlineStr">
        <is>
          <t>General</t>
        </is>
      </c>
      <c r="F8219" s="5" t="n">
        <v>4236</v>
      </c>
      <c r="G8219" s="5" t="n">
        <v>21103</v>
      </c>
      <c r="H8219" s="5" t="n">
        <v>2340</v>
      </c>
      <c r="I8219" s="5" t="n">
        <v>1356</v>
      </c>
      <c r="J8219" s="5" t="n">
        <v>921</v>
      </c>
      <c r="K8219" s="10">
        <f>IF(F8219&gt;0,H8219/F8219,"")</f>
        <v/>
      </c>
      <c r="L8219" s="16">
        <f>IF(AND(G8219&gt;0,H8219&gt;0),G8219/H8219,"")</f>
        <v/>
      </c>
    </row>
    <row r="8220">
      <c r="A8220" s="4" t="inlineStr">
        <is>
          <t>703</t>
        </is>
      </c>
      <c r="B8220" s="4" t="n">
        <v>7</v>
      </c>
      <c r="C8220" s="4" t="inlineStr">
        <is>
          <t>mule deer</t>
        </is>
      </c>
      <c r="D8220" s="4" t="n">
        <v>2005</v>
      </c>
      <c r="E8220" s="13" t="inlineStr">
        <is>
          <t>General</t>
        </is>
      </c>
      <c r="F8220" s="5" t="n">
        <v>3915</v>
      </c>
      <c r="G8220" s="5" t="n">
        <v>19871</v>
      </c>
      <c r="H8220" s="5" t="n">
        <v>1978</v>
      </c>
      <c r="I8220" s="5" t="n">
        <v>1282</v>
      </c>
      <c r="J8220" s="5" t="n">
        <v>657</v>
      </c>
      <c r="K8220" s="10">
        <f>IF(F8220&gt;0,H8220/F8220,"")</f>
        <v/>
      </c>
      <c r="L8220" s="16">
        <f>IF(AND(G8220&gt;0,H8220&gt;0),G8220/H8220,"")</f>
        <v/>
      </c>
    </row>
    <row r="8221">
      <c r="A8221" s="4" t="inlineStr">
        <is>
          <t>703</t>
        </is>
      </c>
      <c r="B8221" s="4" t="n">
        <v>7</v>
      </c>
      <c r="C8221" s="4" t="inlineStr">
        <is>
          <t>mule deer</t>
        </is>
      </c>
      <c r="D8221" s="4" t="n">
        <v>2006</v>
      </c>
      <c r="E8221" s="13" t="inlineStr">
        <is>
          <t>General</t>
        </is>
      </c>
      <c r="F8221" s="5" t="n">
        <v>3125</v>
      </c>
      <c r="G8221" s="5" t="n">
        <v>16801</v>
      </c>
      <c r="H8221" s="5" t="n">
        <v>2025</v>
      </c>
      <c r="I8221" s="5" t="n">
        <v>1060</v>
      </c>
      <c r="J8221" s="5" t="n">
        <v>951</v>
      </c>
      <c r="K8221" s="10">
        <f>IF(F8221&gt;0,H8221/F8221,"")</f>
        <v/>
      </c>
      <c r="L8221" s="16">
        <f>IF(AND(G8221&gt;0,H8221&gt;0),G8221/H8221,"")</f>
        <v/>
      </c>
    </row>
    <row r="8222">
      <c r="A8222" s="4" t="inlineStr">
        <is>
          <t>703</t>
        </is>
      </c>
      <c r="B8222" s="4" t="n">
        <v>7</v>
      </c>
      <c r="C8222" s="4" t="inlineStr">
        <is>
          <t>mule deer</t>
        </is>
      </c>
      <c r="D8222" s="4" t="n">
        <v>2007</v>
      </c>
      <c r="E8222" s="13" t="inlineStr">
        <is>
          <t>General</t>
        </is>
      </c>
      <c r="F8222" s="5" t="n">
        <v>3796</v>
      </c>
      <c r="G8222" s="5" t="n">
        <v>19875</v>
      </c>
      <c r="H8222" s="5" t="n">
        <v>2145</v>
      </c>
      <c r="I8222" s="5" t="n">
        <v>1144</v>
      </c>
      <c r="J8222" s="5" t="n">
        <v>963</v>
      </c>
      <c r="K8222" s="10">
        <f>IF(F8222&gt;0,H8222/F8222,"")</f>
        <v/>
      </c>
      <c r="L8222" s="16">
        <f>IF(AND(G8222&gt;0,H8222&gt;0),G8222/H8222,"")</f>
        <v/>
      </c>
    </row>
    <row r="8223">
      <c r="A8223" s="4" t="inlineStr">
        <is>
          <t>703</t>
        </is>
      </c>
      <c r="B8223" s="4" t="n">
        <v>7</v>
      </c>
      <c r="C8223" s="4" t="inlineStr">
        <is>
          <t>mule deer</t>
        </is>
      </c>
      <c r="D8223" s="4" t="n">
        <v>2008</v>
      </c>
      <c r="E8223" s="13" t="inlineStr">
        <is>
          <t>General</t>
        </is>
      </c>
      <c r="F8223" s="5" t="n">
        <v>4572</v>
      </c>
      <c r="G8223" s="5" t="n">
        <v>23269</v>
      </c>
      <c r="H8223" s="5" t="n">
        <v>2531</v>
      </c>
      <c r="I8223" s="5" t="n">
        <v>1339</v>
      </c>
      <c r="J8223" s="5" t="n">
        <v>1165</v>
      </c>
      <c r="K8223" s="10">
        <f>IF(F8223&gt;0,H8223/F8223,"")</f>
        <v/>
      </c>
      <c r="L8223" s="16">
        <f>IF(AND(G8223&gt;0,H8223&gt;0),G8223/H8223,"")</f>
        <v/>
      </c>
    </row>
    <row r="8224">
      <c r="A8224" s="4" t="inlineStr">
        <is>
          <t>703</t>
        </is>
      </c>
      <c r="B8224" s="4" t="n">
        <v>7</v>
      </c>
      <c r="C8224" s="4" t="inlineStr">
        <is>
          <t>mule deer</t>
        </is>
      </c>
      <c r="D8224" s="4" t="n">
        <v>2009</v>
      </c>
      <c r="E8224" s="13" t="inlineStr">
        <is>
          <t>General</t>
        </is>
      </c>
      <c r="F8224" s="5" t="n">
        <v>4838</v>
      </c>
      <c r="G8224" s="5" t="n">
        <v>26291</v>
      </c>
      <c r="H8224" s="5" t="n">
        <v>2478</v>
      </c>
      <c r="I8224" s="5" t="n">
        <v>1236</v>
      </c>
      <c r="J8224" s="5" t="n">
        <v>1225</v>
      </c>
      <c r="K8224" s="10">
        <f>IF(F8224&gt;0,H8224/F8224,"")</f>
        <v/>
      </c>
      <c r="L8224" s="16">
        <f>IF(AND(G8224&gt;0,H8224&gt;0),G8224/H8224,"")</f>
        <v/>
      </c>
    </row>
    <row r="8225">
      <c r="A8225" s="4" t="inlineStr">
        <is>
          <t>703</t>
        </is>
      </c>
      <c r="B8225" s="4" t="n">
        <v>7</v>
      </c>
      <c r="C8225" s="4" t="inlineStr">
        <is>
          <t>mule deer</t>
        </is>
      </c>
      <c r="D8225" s="4" t="n">
        <v>2010</v>
      </c>
      <c r="E8225" s="13" t="inlineStr">
        <is>
          <t>General</t>
        </is>
      </c>
      <c r="F8225" s="5" t="n">
        <v>4740</v>
      </c>
      <c r="G8225" s="5" t="n">
        <v>26328</v>
      </c>
      <c r="H8225" s="5" t="n">
        <v>1846</v>
      </c>
      <c r="I8225" s="5" t="n">
        <v>1146</v>
      </c>
      <c r="J8225" s="5" t="n">
        <v>686</v>
      </c>
      <c r="K8225" s="10">
        <f>IF(F8225&gt;0,H8225/F8225,"")</f>
        <v/>
      </c>
      <c r="L8225" s="16">
        <f>IF(AND(G8225&gt;0,H8225&gt;0),G8225/H8225,"")</f>
        <v/>
      </c>
    </row>
    <row r="8226">
      <c r="A8226" s="4" t="inlineStr">
        <is>
          <t>703</t>
        </is>
      </c>
      <c r="B8226" s="4" t="n">
        <v>7</v>
      </c>
      <c r="C8226" s="4" t="inlineStr">
        <is>
          <t>mule deer</t>
        </is>
      </c>
      <c r="D8226" s="4" t="n">
        <v>2011</v>
      </c>
      <c r="E8226" s="13" t="inlineStr">
        <is>
          <t>General</t>
        </is>
      </c>
      <c r="F8226" s="5" t="n">
        <v>3890</v>
      </c>
      <c r="G8226" s="5" t="n">
        <v>20574</v>
      </c>
      <c r="H8226" s="5" t="n">
        <v>1328</v>
      </c>
      <c r="I8226" s="5" t="n">
        <v>952</v>
      </c>
      <c r="J8226" s="5" t="n">
        <v>363</v>
      </c>
      <c r="K8226" s="10">
        <f>IF(F8226&gt;0,H8226/F8226,"")</f>
        <v/>
      </c>
      <c r="L8226" s="16">
        <f>IF(AND(G8226&gt;0,H8226&gt;0),G8226/H8226,"")</f>
        <v/>
      </c>
    </row>
    <row r="8227">
      <c r="A8227" s="4" t="inlineStr">
        <is>
          <t>703</t>
        </is>
      </c>
      <c r="B8227" s="4" t="n">
        <v>7</v>
      </c>
      <c r="C8227" s="4" t="inlineStr">
        <is>
          <t>mule deer</t>
        </is>
      </c>
      <c r="D8227" s="4" t="n">
        <v>2012</v>
      </c>
      <c r="E8227" s="13" t="inlineStr">
        <is>
          <t>General</t>
        </is>
      </c>
      <c r="F8227" s="5" t="n"/>
      <c r="G8227" s="5" t="n"/>
      <c r="H8227" s="5" t="n">
        <v>1317</v>
      </c>
      <c r="I8227" s="5" t="n">
        <v>1109</v>
      </c>
      <c r="J8227" s="5" t="n">
        <v>205</v>
      </c>
      <c r="K8227" s="10">
        <f>IF(F8227&gt;0,H8227/F8227,"")</f>
        <v/>
      </c>
      <c r="L8227" s="16">
        <f>IF(AND(G8227&gt;0,H8227&gt;0),G8227/H8227,"")</f>
        <v/>
      </c>
    </row>
    <row r="8228">
      <c r="A8228" s="4" t="inlineStr">
        <is>
          <t>703</t>
        </is>
      </c>
      <c r="B8228" s="4" t="n">
        <v>7</v>
      </c>
      <c r="C8228" s="4" t="inlineStr">
        <is>
          <t>mule deer</t>
        </is>
      </c>
      <c r="D8228" s="4" t="n">
        <v>2013</v>
      </c>
      <c r="E8228" s="13" t="inlineStr">
        <is>
          <t>General</t>
        </is>
      </c>
      <c r="F8228" s="5" t="n">
        <v>4301</v>
      </c>
      <c r="G8228" s="5" t="n">
        <v>23149</v>
      </c>
      <c r="H8228" s="5" t="n">
        <v>1324</v>
      </c>
      <c r="I8228" s="5" t="n">
        <v>1090</v>
      </c>
      <c r="J8228" s="5" t="n">
        <v>226</v>
      </c>
      <c r="K8228" s="10">
        <f>IF(F8228&gt;0,H8228/F8228,"")</f>
        <v/>
      </c>
      <c r="L8228" s="16">
        <f>IF(AND(G8228&gt;0,H8228&gt;0),G8228/H8228,"")</f>
        <v/>
      </c>
    </row>
    <row r="8229">
      <c r="A8229" s="4" t="inlineStr">
        <is>
          <t>703</t>
        </is>
      </c>
      <c r="B8229" s="4" t="n">
        <v>7</v>
      </c>
      <c r="C8229" s="4" t="inlineStr">
        <is>
          <t>mule deer</t>
        </is>
      </c>
      <c r="D8229" s="4" t="n">
        <v>2014</v>
      </c>
      <c r="E8229" s="13" t="inlineStr">
        <is>
          <t>General</t>
        </is>
      </c>
      <c r="F8229" s="5" t="n"/>
      <c r="G8229" s="5" t="n"/>
      <c r="H8229" s="5" t="n">
        <v>1149</v>
      </c>
      <c r="I8229" s="5" t="n">
        <v>1135</v>
      </c>
      <c r="J8229" s="5" t="n">
        <v>14</v>
      </c>
      <c r="K8229" s="10">
        <f>IF(F8229&gt;0,H8229/F8229,"")</f>
        <v/>
      </c>
      <c r="L8229" s="16">
        <f>IF(AND(G8229&gt;0,H8229&gt;0),G8229/H8229,"")</f>
        <v/>
      </c>
    </row>
    <row r="8230">
      <c r="A8230" s="4" t="inlineStr">
        <is>
          <t>703</t>
        </is>
      </c>
      <c r="B8230" s="4" t="n">
        <v>7</v>
      </c>
      <c r="C8230" s="4" t="inlineStr">
        <is>
          <t>mule deer</t>
        </is>
      </c>
      <c r="D8230" s="4" t="n">
        <v>2015</v>
      </c>
      <c r="E8230" s="13" t="inlineStr">
        <is>
          <t>General</t>
        </is>
      </c>
      <c r="F8230" s="5" t="n"/>
      <c r="G8230" s="5" t="n"/>
      <c r="H8230" s="5" t="n">
        <v>1523</v>
      </c>
      <c r="I8230" s="5" t="n">
        <v>1240</v>
      </c>
      <c r="J8230" s="5" t="n">
        <v>280</v>
      </c>
      <c r="K8230" s="10">
        <f>IF(F8230&gt;0,H8230/F8230,"")</f>
        <v/>
      </c>
      <c r="L8230" s="16">
        <f>IF(AND(G8230&gt;0,H8230&gt;0),G8230/H8230,"")</f>
        <v/>
      </c>
    </row>
    <row r="8231">
      <c r="A8231" s="4" t="inlineStr">
        <is>
          <t>703</t>
        </is>
      </c>
      <c r="B8231" s="4" t="n">
        <v>7</v>
      </c>
      <c r="C8231" s="4" t="inlineStr">
        <is>
          <t>mule deer</t>
        </is>
      </c>
      <c r="D8231" s="4" t="n">
        <v>2016</v>
      </c>
      <c r="E8231" s="13" t="inlineStr">
        <is>
          <t>General</t>
        </is>
      </c>
      <c r="F8231" s="5" t="n"/>
      <c r="G8231" s="5" t="n"/>
      <c r="H8231" s="5" t="n">
        <v>2651</v>
      </c>
      <c r="I8231" s="5" t="n">
        <v>1825</v>
      </c>
      <c r="J8231" s="5" t="n">
        <v>808</v>
      </c>
      <c r="K8231" s="10">
        <f>IF(F8231&gt;0,H8231/F8231,"")</f>
        <v/>
      </c>
      <c r="L8231" s="16">
        <f>IF(AND(G8231&gt;0,H8231&gt;0),G8231/H8231,"")</f>
        <v/>
      </c>
    </row>
    <row r="8232">
      <c r="A8232" s="4" t="inlineStr">
        <is>
          <t>703</t>
        </is>
      </c>
      <c r="B8232" s="4" t="n">
        <v>7</v>
      </c>
      <c r="C8232" s="4" t="inlineStr">
        <is>
          <t>mule deer</t>
        </is>
      </c>
      <c r="D8232" s="4" t="n">
        <v>2017</v>
      </c>
      <c r="E8232" s="13" t="inlineStr">
        <is>
          <t>General</t>
        </is>
      </c>
      <c r="F8232" s="5" t="n">
        <v>4102</v>
      </c>
      <c r="G8232" s="5" t="n">
        <v>22413</v>
      </c>
      <c r="H8232" s="5" t="n">
        <v>2882</v>
      </c>
      <c r="I8232" s="5" t="n">
        <v>1669</v>
      </c>
      <c r="J8232" s="5" t="n">
        <v>1202</v>
      </c>
      <c r="K8232" s="10">
        <f>IF(F8232&gt;0,H8232/F8232,"")</f>
        <v/>
      </c>
      <c r="L8232" s="16">
        <f>IF(AND(G8232&gt;0,H8232&gt;0),G8232/H8232,"")</f>
        <v/>
      </c>
    </row>
    <row r="8233">
      <c r="A8233" s="4" t="inlineStr">
        <is>
          <t>703</t>
        </is>
      </c>
      <c r="B8233" s="4" t="n">
        <v>7</v>
      </c>
      <c r="C8233" s="4" t="inlineStr">
        <is>
          <t>mule deer</t>
        </is>
      </c>
      <c r="D8233" s="4" t="n">
        <v>2018</v>
      </c>
      <c r="E8233" s="13" t="inlineStr">
        <is>
          <t>General</t>
        </is>
      </c>
      <c r="F8233" s="5" t="n"/>
      <c r="G8233" s="5" t="n"/>
      <c r="H8233" s="5" t="n">
        <v>2799</v>
      </c>
      <c r="I8233" s="5" t="n">
        <v>1672</v>
      </c>
      <c r="J8233" s="5" t="n">
        <v>1113</v>
      </c>
      <c r="K8233" s="10">
        <f>IF(F8233&gt;0,H8233/F8233,"")</f>
        <v/>
      </c>
      <c r="L8233" s="16">
        <f>IF(AND(G8233&gt;0,H8233&gt;0),G8233/H8233,"")</f>
        <v/>
      </c>
    </row>
    <row r="8234">
      <c r="A8234" s="4" t="inlineStr">
        <is>
          <t>703</t>
        </is>
      </c>
      <c r="B8234" s="4" t="n">
        <v>7</v>
      </c>
      <c r="C8234" s="4" t="inlineStr">
        <is>
          <t>mule deer</t>
        </is>
      </c>
      <c r="D8234" s="4" t="n">
        <v>2019</v>
      </c>
      <c r="E8234" s="13" t="inlineStr">
        <is>
          <t>General</t>
        </is>
      </c>
      <c r="F8234" s="5" t="n">
        <v>4199</v>
      </c>
      <c r="G8234" s="5" t="n">
        <v>23273</v>
      </c>
      <c r="H8234" s="5" t="n">
        <v>2820</v>
      </c>
      <c r="I8234" s="5" t="n">
        <v>1689</v>
      </c>
      <c r="J8234" s="5" t="n">
        <v>1117</v>
      </c>
      <c r="K8234" s="10">
        <f>IF(F8234&gt;0,H8234/F8234,"")</f>
        <v/>
      </c>
      <c r="L8234" s="16">
        <f>IF(AND(G8234&gt;0,H8234&gt;0),G8234/H8234,"")</f>
        <v/>
      </c>
    </row>
    <row r="8235">
      <c r="A8235" s="4" t="inlineStr">
        <is>
          <t>703</t>
        </is>
      </c>
      <c r="B8235" s="4" t="n">
        <v>7</v>
      </c>
      <c r="C8235" s="4" t="inlineStr">
        <is>
          <t>mule deer</t>
        </is>
      </c>
      <c r="D8235" s="4" t="n">
        <v>2020</v>
      </c>
      <c r="E8235" s="13" t="inlineStr">
        <is>
          <t>General</t>
        </is>
      </c>
      <c r="F8235" s="5" t="n"/>
      <c r="G8235" s="5" t="n"/>
      <c r="H8235" s="5" t="n">
        <v>2656</v>
      </c>
      <c r="I8235" s="5" t="n">
        <v>1808</v>
      </c>
      <c r="J8235" s="5" t="n">
        <v>847</v>
      </c>
      <c r="K8235" s="10">
        <f>IF(F8235&gt;0,H8235/F8235,"")</f>
        <v/>
      </c>
      <c r="L8235" s="16">
        <f>IF(AND(G8235&gt;0,H8235&gt;0),G8235/H8235,"")</f>
        <v/>
      </c>
    </row>
    <row r="8236">
      <c r="A8236" s="4" t="inlineStr">
        <is>
          <t>703</t>
        </is>
      </c>
      <c r="B8236" s="4" t="n">
        <v>7</v>
      </c>
      <c r="C8236" s="4" t="inlineStr">
        <is>
          <t>mule deer</t>
        </is>
      </c>
      <c r="D8236" s="4" t="n">
        <v>2021</v>
      </c>
      <c r="E8236" s="13" t="inlineStr">
        <is>
          <t>General</t>
        </is>
      </c>
      <c r="F8236" s="5" t="n">
        <v>3853</v>
      </c>
      <c r="G8236" s="5" t="n">
        <v>21574</v>
      </c>
      <c r="H8236" s="5" t="n">
        <v>1917</v>
      </c>
      <c r="I8236" s="5" t="n">
        <v>1420</v>
      </c>
      <c r="J8236" s="5" t="n">
        <v>493</v>
      </c>
      <c r="K8236" s="10">
        <f>IF(F8236&gt;0,H8236/F8236,"")</f>
        <v/>
      </c>
      <c r="L8236" s="16">
        <f>IF(AND(G8236&gt;0,H8236&gt;0),G8236/H8236,"")</f>
        <v/>
      </c>
    </row>
    <row r="8237">
      <c r="A8237" s="4" t="inlineStr">
        <is>
          <t>703</t>
        </is>
      </c>
      <c r="B8237" s="4" t="n">
        <v>7</v>
      </c>
      <c r="C8237" s="4" t="inlineStr">
        <is>
          <t>mule deer</t>
        </is>
      </c>
      <c r="D8237" s="4" t="n">
        <v>2022</v>
      </c>
      <c r="E8237" s="13" t="inlineStr">
        <is>
          <t>General</t>
        </is>
      </c>
      <c r="F8237" s="5" t="n"/>
      <c r="G8237" s="5" t="n"/>
      <c r="H8237" s="5" t="n">
        <v>1665</v>
      </c>
      <c r="I8237" s="5" t="n">
        <v>1256</v>
      </c>
      <c r="J8237" s="5" t="n">
        <v>403</v>
      </c>
      <c r="K8237" s="10">
        <f>IF(F8237&gt;0,H8237/F8237,"")</f>
        <v/>
      </c>
      <c r="L8237" s="16">
        <f>IF(AND(G8237&gt;0,H8237&gt;0),G8237/H8237,"")</f>
        <v/>
      </c>
    </row>
    <row r="8238">
      <c r="A8238" s="4" t="inlineStr">
        <is>
          <t>703</t>
        </is>
      </c>
      <c r="B8238" s="4" t="n">
        <v>7</v>
      </c>
      <c r="C8238" s="4" t="inlineStr">
        <is>
          <t>mule deer</t>
        </is>
      </c>
      <c r="D8238" s="4" t="n">
        <v>2023</v>
      </c>
      <c r="E8238" s="13" t="inlineStr">
        <is>
          <t>General</t>
        </is>
      </c>
      <c r="F8238" s="5" t="n">
        <v>3673</v>
      </c>
      <c r="G8238" s="5" t="n">
        <v>20696</v>
      </c>
      <c r="H8238" s="5" t="n">
        <v>1448</v>
      </c>
      <c r="I8238" s="5" t="n">
        <v>1368</v>
      </c>
      <c r="J8238" s="5" t="n">
        <v>80</v>
      </c>
      <c r="K8238" s="10">
        <f>IF(F8238&gt;0,H8238/F8238,"")</f>
        <v/>
      </c>
      <c r="L8238" s="16">
        <f>IF(AND(G8238&gt;0,H8238&gt;0),G8238/H8238,"")</f>
        <v/>
      </c>
    </row>
    <row r="8239">
      <c r="A8239" s="4" t="inlineStr">
        <is>
          <t>703</t>
        </is>
      </c>
      <c r="B8239" s="4" t="n">
        <v>7</v>
      </c>
      <c r="C8239" s="4" t="inlineStr">
        <is>
          <t>mule deer</t>
        </is>
      </c>
      <c r="D8239" s="4" t="n">
        <v>2024</v>
      </c>
      <c r="E8239" s="13" t="inlineStr">
        <is>
          <t>General</t>
        </is>
      </c>
      <c r="F8239" s="5" t="n"/>
      <c r="G8239" s="5" t="n"/>
      <c r="H8239" s="5" t="n">
        <v>1421</v>
      </c>
      <c r="I8239" s="5" t="n">
        <v>1286</v>
      </c>
      <c r="J8239" s="5" t="n">
        <v>132</v>
      </c>
      <c r="K8239" s="10">
        <f>IF(F8239&gt;0,H8239/F8239,"")</f>
        <v/>
      </c>
      <c r="L8239" s="16">
        <f>IF(AND(G8239&gt;0,H8239&gt;0),G8239/H8239,"")</f>
        <v/>
      </c>
    </row>
    <row r="8240">
      <c r="A8240" s="4" t="inlineStr">
        <is>
          <t>703</t>
        </is>
      </c>
      <c r="B8240" s="4" t="n">
        <v>7</v>
      </c>
      <c r="C8240" s="4" t="inlineStr">
        <is>
          <t>mule deer</t>
        </is>
      </c>
      <c r="D8240" s="4" t="n">
        <v>2025</v>
      </c>
      <c r="E8240" s="13" t="inlineStr">
        <is>
          <t>General</t>
        </is>
      </c>
      <c r="F8240" s="5" t="n">
        <v>3447</v>
      </c>
      <c r="G8240" s="5" t="n">
        <v>21223</v>
      </c>
      <c r="H8240" s="5" t="n">
        <v>1277</v>
      </c>
      <c r="I8240" s="5" t="n">
        <v>1196</v>
      </c>
      <c r="J8240" s="5" t="n">
        <v>81</v>
      </c>
      <c r="K8240" s="10">
        <f>IF(F8240&gt;0,H8240/F8240,"")</f>
        <v/>
      </c>
      <c r="L8240" s="16">
        <f>IF(AND(G8240&gt;0,H8240&gt;0),G8240/H8240,"")</f>
        <v/>
      </c>
    </row>
    <row r="8241">
      <c r="A8241" s="4" t="inlineStr">
        <is>
          <t>704</t>
        </is>
      </c>
      <c r="B8241" s="4" t="n">
        <v>7</v>
      </c>
      <c r="C8241" s="4" t="inlineStr">
        <is>
          <t>mule deer</t>
        </is>
      </c>
      <c r="D8241" s="4" t="n">
        <v>2004</v>
      </c>
      <c r="E8241" s="13" t="inlineStr">
        <is>
          <t>General</t>
        </is>
      </c>
      <c r="F8241" s="5" t="n">
        <v>5105</v>
      </c>
      <c r="G8241" s="5" t="n">
        <v>21677</v>
      </c>
      <c r="H8241" s="5" t="n">
        <v>4003</v>
      </c>
      <c r="I8241" s="5" t="n">
        <v>2495</v>
      </c>
      <c r="J8241" s="5" t="n">
        <v>1449</v>
      </c>
      <c r="K8241" s="10">
        <f>IF(F8241&gt;0,H8241/F8241,"")</f>
        <v/>
      </c>
      <c r="L8241" s="16">
        <f>IF(AND(G8241&gt;0,H8241&gt;0),G8241/H8241,"")</f>
        <v/>
      </c>
    </row>
    <row r="8242">
      <c r="A8242" s="4" t="inlineStr">
        <is>
          <t>704</t>
        </is>
      </c>
      <c r="B8242" s="4" t="n">
        <v>7</v>
      </c>
      <c r="C8242" s="4" t="inlineStr">
        <is>
          <t>mule deer</t>
        </is>
      </c>
      <c r="D8242" s="4" t="n">
        <v>2005</v>
      </c>
      <c r="E8242" s="13" t="inlineStr">
        <is>
          <t>General</t>
        </is>
      </c>
      <c r="F8242" s="5" t="n">
        <v>4486</v>
      </c>
      <c r="G8242" s="5" t="n">
        <v>20745</v>
      </c>
      <c r="H8242" s="5" t="n">
        <v>3181</v>
      </c>
      <c r="I8242" s="5" t="n">
        <v>2264</v>
      </c>
      <c r="J8242" s="5" t="n">
        <v>882</v>
      </c>
      <c r="K8242" s="10">
        <f>IF(F8242&gt;0,H8242/F8242,"")</f>
        <v/>
      </c>
      <c r="L8242" s="16">
        <f>IF(AND(G8242&gt;0,H8242&gt;0),G8242/H8242,"")</f>
        <v/>
      </c>
    </row>
    <row r="8243">
      <c r="A8243" s="4" t="inlineStr">
        <is>
          <t>704</t>
        </is>
      </c>
      <c r="B8243" s="4" t="n">
        <v>7</v>
      </c>
      <c r="C8243" s="4" t="inlineStr">
        <is>
          <t>mule deer</t>
        </is>
      </c>
      <c r="D8243" s="4" t="n">
        <v>2006</v>
      </c>
      <c r="E8243" s="13" t="inlineStr">
        <is>
          <t>General</t>
        </is>
      </c>
      <c r="F8243" s="5" t="n">
        <v>3353</v>
      </c>
      <c r="G8243" s="5" t="n">
        <v>15507</v>
      </c>
      <c r="H8243" s="5" t="n">
        <v>2858</v>
      </c>
      <c r="I8243" s="5" t="n">
        <v>1815</v>
      </c>
      <c r="J8243" s="5" t="n">
        <v>1030</v>
      </c>
      <c r="K8243" s="10">
        <f>IF(F8243&gt;0,H8243/F8243,"")</f>
        <v/>
      </c>
      <c r="L8243" s="16">
        <f>IF(AND(G8243&gt;0,H8243&gt;0),G8243/H8243,"")</f>
        <v/>
      </c>
    </row>
    <row r="8244">
      <c r="A8244" s="4" t="inlineStr">
        <is>
          <t>704</t>
        </is>
      </c>
      <c r="B8244" s="4" t="n">
        <v>7</v>
      </c>
      <c r="C8244" s="4" t="inlineStr">
        <is>
          <t>mule deer</t>
        </is>
      </c>
      <c r="D8244" s="4" t="n">
        <v>2007</v>
      </c>
      <c r="E8244" s="13" t="inlineStr">
        <is>
          <t>General</t>
        </is>
      </c>
      <c r="F8244" s="5" t="n">
        <v>4233</v>
      </c>
      <c r="G8244" s="5" t="n">
        <v>20829</v>
      </c>
      <c r="H8244" s="5" t="n">
        <v>3385</v>
      </c>
      <c r="I8244" s="5" t="n">
        <v>2059</v>
      </c>
      <c r="J8244" s="5" t="n">
        <v>1312</v>
      </c>
      <c r="K8244" s="10">
        <f>IF(F8244&gt;0,H8244/F8244,"")</f>
        <v/>
      </c>
      <c r="L8244" s="16">
        <f>IF(AND(G8244&gt;0,H8244&gt;0),G8244/H8244,"")</f>
        <v/>
      </c>
    </row>
    <row r="8245">
      <c r="A8245" s="4" t="inlineStr">
        <is>
          <t>704</t>
        </is>
      </c>
      <c r="B8245" s="4" t="n">
        <v>7</v>
      </c>
      <c r="C8245" s="4" t="inlineStr">
        <is>
          <t>mule deer</t>
        </is>
      </c>
      <c r="D8245" s="4" t="n">
        <v>2008</v>
      </c>
      <c r="E8245" s="13" t="inlineStr">
        <is>
          <t>General</t>
        </is>
      </c>
      <c r="F8245" s="5" t="n">
        <v>4394</v>
      </c>
      <c r="G8245" s="5" t="n">
        <v>20799</v>
      </c>
      <c r="H8245" s="5" t="n">
        <v>3296</v>
      </c>
      <c r="I8245" s="5" t="n">
        <v>2071</v>
      </c>
      <c r="J8245" s="5" t="n">
        <v>1202</v>
      </c>
      <c r="K8245" s="10">
        <f>IF(F8245&gt;0,H8245/F8245,"")</f>
        <v/>
      </c>
      <c r="L8245" s="16">
        <f>IF(AND(G8245&gt;0,H8245&gt;0),G8245/H8245,"")</f>
        <v/>
      </c>
    </row>
    <row r="8246">
      <c r="A8246" s="4" t="inlineStr">
        <is>
          <t>704</t>
        </is>
      </c>
      <c r="B8246" s="4" t="n">
        <v>7</v>
      </c>
      <c r="C8246" s="4" t="inlineStr">
        <is>
          <t>mule deer</t>
        </is>
      </c>
      <c r="D8246" s="4" t="n">
        <v>2009</v>
      </c>
      <c r="E8246" s="13" t="inlineStr">
        <is>
          <t>General</t>
        </is>
      </c>
      <c r="F8246" s="5" t="n">
        <v>4898</v>
      </c>
      <c r="G8246" s="5" t="n">
        <v>23625</v>
      </c>
      <c r="H8246" s="5" t="n">
        <v>3161</v>
      </c>
      <c r="I8246" s="5" t="n">
        <v>1972</v>
      </c>
      <c r="J8246" s="5" t="n">
        <v>1160</v>
      </c>
      <c r="K8246" s="10">
        <f>IF(F8246&gt;0,H8246/F8246,"")</f>
        <v/>
      </c>
      <c r="L8246" s="16">
        <f>IF(AND(G8246&gt;0,H8246&gt;0),G8246/H8246,"")</f>
        <v/>
      </c>
    </row>
    <row r="8247">
      <c r="A8247" s="4" t="inlineStr">
        <is>
          <t>704</t>
        </is>
      </c>
      <c r="B8247" s="4" t="n">
        <v>7</v>
      </c>
      <c r="C8247" s="4" t="inlineStr">
        <is>
          <t>mule deer</t>
        </is>
      </c>
      <c r="D8247" s="4" t="n">
        <v>2010</v>
      </c>
      <c r="E8247" s="13" t="inlineStr">
        <is>
          <t>General</t>
        </is>
      </c>
      <c r="F8247" s="5" t="n">
        <v>4918</v>
      </c>
      <c r="G8247" s="5" t="n">
        <v>24013</v>
      </c>
      <c r="H8247" s="5" t="n">
        <v>2506</v>
      </c>
      <c r="I8247" s="5" t="n">
        <v>1752</v>
      </c>
      <c r="J8247" s="5" t="n">
        <v>740</v>
      </c>
      <c r="K8247" s="10">
        <f>IF(F8247&gt;0,H8247/F8247,"")</f>
        <v/>
      </c>
      <c r="L8247" s="16">
        <f>IF(AND(G8247&gt;0,H8247&gt;0),G8247/H8247,"")</f>
        <v/>
      </c>
    </row>
    <row r="8248">
      <c r="A8248" s="4" t="inlineStr">
        <is>
          <t>704</t>
        </is>
      </c>
      <c r="B8248" s="4" t="n">
        <v>7</v>
      </c>
      <c r="C8248" s="4" t="inlineStr">
        <is>
          <t>mule deer</t>
        </is>
      </c>
      <c r="D8248" s="4" t="n">
        <v>2011</v>
      </c>
      <c r="E8248" s="13" t="inlineStr">
        <is>
          <t>General</t>
        </is>
      </c>
      <c r="F8248" s="5" t="n">
        <v>4695</v>
      </c>
      <c r="G8248" s="5" t="n">
        <v>23569</v>
      </c>
      <c r="H8248" s="5" t="n">
        <v>2231</v>
      </c>
      <c r="I8248" s="5" t="n">
        <v>1807</v>
      </c>
      <c r="J8248" s="5" t="n">
        <v>416</v>
      </c>
      <c r="K8248" s="10">
        <f>IF(F8248&gt;0,H8248/F8248,"")</f>
        <v/>
      </c>
      <c r="L8248" s="16">
        <f>IF(AND(G8248&gt;0,H8248&gt;0),G8248/H8248,"")</f>
        <v/>
      </c>
    </row>
    <row r="8249">
      <c r="A8249" s="4" t="inlineStr">
        <is>
          <t>704</t>
        </is>
      </c>
      <c r="B8249" s="4" t="n">
        <v>7</v>
      </c>
      <c r="C8249" s="4" t="inlineStr">
        <is>
          <t>mule deer</t>
        </is>
      </c>
      <c r="D8249" s="4" t="n">
        <v>2012</v>
      </c>
      <c r="E8249" s="13" t="inlineStr">
        <is>
          <t>General</t>
        </is>
      </c>
      <c r="F8249" s="5" t="n"/>
      <c r="G8249" s="5" t="n"/>
      <c r="H8249" s="5" t="n">
        <v>1824</v>
      </c>
      <c r="I8249" s="5" t="n">
        <v>1574</v>
      </c>
      <c r="J8249" s="5" t="n">
        <v>247</v>
      </c>
      <c r="K8249" s="10">
        <f>IF(F8249&gt;0,H8249/F8249,"")</f>
        <v/>
      </c>
      <c r="L8249" s="16">
        <f>IF(AND(G8249&gt;0,H8249&gt;0),G8249/H8249,"")</f>
        <v/>
      </c>
    </row>
    <row r="8250">
      <c r="A8250" s="4" t="inlineStr">
        <is>
          <t>704</t>
        </is>
      </c>
      <c r="B8250" s="4" t="n">
        <v>7</v>
      </c>
      <c r="C8250" s="4" t="inlineStr">
        <is>
          <t>mule deer</t>
        </is>
      </c>
      <c r="D8250" s="4" t="n">
        <v>2013</v>
      </c>
      <c r="E8250" s="13" t="inlineStr">
        <is>
          <t>General</t>
        </is>
      </c>
      <c r="F8250" s="5" t="n">
        <v>4692</v>
      </c>
      <c r="G8250" s="5" t="n">
        <v>23159</v>
      </c>
      <c r="H8250" s="5" t="n">
        <v>2050</v>
      </c>
      <c r="I8250" s="5" t="n">
        <v>1829</v>
      </c>
      <c r="J8250" s="5" t="n">
        <v>213</v>
      </c>
      <c r="K8250" s="10">
        <f>IF(F8250&gt;0,H8250/F8250,"")</f>
        <v/>
      </c>
      <c r="L8250" s="16">
        <f>IF(AND(G8250&gt;0,H8250&gt;0),G8250/H8250,"")</f>
        <v/>
      </c>
    </row>
    <row r="8251">
      <c r="A8251" s="4" t="inlineStr">
        <is>
          <t>704</t>
        </is>
      </c>
      <c r="B8251" s="4" t="n">
        <v>7</v>
      </c>
      <c r="C8251" s="4" t="inlineStr">
        <is>
          <t>mule deer</t>
        </is>
      </c>
      <c r="D8251" s="4" t="n">
        <v>2014</v>
      </c>
      <c r="E8251" s="13" t="inlineStr">
        <is>
          <t>General</t>
        </is>
      </c>
      <c r="F8251" s="5" t="n"/>
      <c r="G8251" s="5" t="n"/>
      <c r="H8251" s="5" t="n">
        <v>2016</v>
      </c>
      <c r="I8251" s="5" t="n">
        <v>2013</v>
      </c>
      <c r="J8251" s="5" t="n">
        <v>3</v>
      </c>
      <c r="K8251" s="10">
        <f>IF(F8251&gt;0,H8251/F8251,"")</f>
        <v/>
      </c>
      <c r="L8251" s="16">
        <f>IF(AND(G8251&gt;0,H8251&gt;0),G8251/H8251,"")</f>
        <v/>
      </c>
    </row>
    <row r="8252">
      <c r="A8252" s="4" t="inlineStr">
        <is>
          <t>704</t>
        </is>
      </c>
      <c r="B8252" s="4" t="n">
        <v>7</v>
      </c>
      <c r="C8252" s="4" t="inlineStr">
        <is>
          <t>mule deer</t>
        </is>
      </c>
      <c r="D8252" s="4" t="n">
        <v>2015</v>
      </c>
      <c r="E8252" s="13" t="inlineStr">
        <is>
          <t>General</t>
        </is>
      </c>
      <c r="F8252" s="5" t="n"/>
      <c r="G8252" s="5" t="n"/>
      <c r="H8252" s="5" t="n">
        <v>2057</v>
      </c>
      <c r="I8252" s="5" t="n">
        <v>2006</v>
      </c>
      <c r="J8252" s="5" t="n">
        <v>51</v>
      </c>
      <c r="K8252" s="10">
        <f>IF(F8252&gt;0,H8252/F8252,"")</f>
        <v/>
      </c>
      <c r="L8252" s="16">
        <f>IF(AND(G8252&gt;0,H8252&gt;0),G8252/H8252,"")</f>
        <v/>
      </c>
    </row>
    <row r="8253">
      <c r="A8253" s="4" t="inlineStr">
        <is>
          <t>704</t>
        </is>
      </c>
      <c r="B8253" s="4" t="n">
        <v>7</v>
      </c>
      <c r="C8253" s="4" t="inlineStr">
        <is>
          <t>mule deer</t>
        </is>
      </c>
      <c r="D8253" s="4" t="n">
        <v>2016</v>
      </c>
      <c r="E8253" s="13" t="inlineStr">
        <is>
          <t>General</t>
        </is>
      </c>
      <c r="F8253" s="5" t="n"/>
      <c r="G8253" s="5" t="n"/>
      <c r="H8253" s="5" t="n">
        <v>3241</v>
      </c>
      <c r="I8253" s="5" t="n">
        <v>2523</v>
      </c>
      <c r="J8253" s="5" t="n">
        <v>696</v>
      </c>
      <c r="K8253" s="10">
        <f>IF(F8253&gt;0,H8253/F8253,"")</f>
        <v/>
      </c>
      <c r="L8253" s="16">
        <f>IF(AND(G8253&gt;0,H8253&gt;0),G8253/H8253,"")</f>
        <v/>
      </c>
    </row>
    <row r="8254">
      <c r="A8254" s="4" t="inlineStr">
        <is>
          <t>704</t>
        </is>
      </c>
      <c r="B8254" s="4" t="n">
        <v>7</v>
      </c>
      <c r="C8254" s="4" t="inlineStr">
        <is>
          <t>mule deer</t>
        </is>
      </c>
      <c r="D8254" s="4" t="n">
        <v>2017</v>
      </c>
      <c r="E8254" s="13" t="inlineStr">
        <is>
          <t>General</t>
        </is>
      </c>
      <c r="F8254" s="5" t="n">
        <v>4925</v>
      </c>
      <c r="G8254" s="5" t="n">
        <v>25066</v>
      </c>
      <c r="H8254" s="5" t="n">
        <v>3512</v>
      </c>
      <c r="I8254" s="5" t="n">
        <v>2459</v>
      </c>
      <c r="J8254" s="5" t="n">
        <v>1032</v>
      </c>
      <c r="K8254" s="10">
        <f>IF(F8254&gt;0,H8254/F8254,"")</f>
        <v/>
      </c>
      <c r="L8254" s="16">
        <f>IF(AND(G8254&gt;0,H8254&gt;0),G8254/H8254,"")</f>
        <v/>
      </c>
    </row>
    <row r="8255">
      <c r="A8255" s="4" t="inlineStr">
        <is>
          <t>704</t>
        </is>
      </c>
      <c r="B8255" s="4" t="n">
        <v>7</v>
      </c>
      <c r="C8255" s="4" t="inlineStr">
        <is>
          <t>mule deer</t>
        </is>
      </c>
      <c r="D8255" s="4" t="n">
        <v>2018</v>
      </c>
      <c r="E8255" s="13" t="inlineStr">
        <is>
          <t>General</t>
        </is>
      </c>
      <c r="F8255" s="5" t="n"/>
      <c r="G8255" s="5" t="n"/>
      <c r="H8255" s="5" t="n">
        <v>3274</v>
      </c>
      <c r="I8255" s="5" t="n">
        <v>2313</v>
      </c>
      <c r="J8255" s="5" t="n">
        <v>955</v>
      </c>
      <c r="K8255" s="10">
        <f>IF(F8255&gt;0,H8255/F8255,"")</f>
        <v/>
      </c>
      <c r="L8255" s="16">
        <f>IF(AND(G8255&gt;0,H8255&gt;0),G8255/H8255,"")</f>
        <v/>
      </c>
    </row>
    <row r="8256">
      <c r="A8256" s="4" t="inlineStr">
        <is>
          <t>704</t>
        </is>
      </c>
      <c r="B8256" s="4" t="n">
        <v>7</v>
      </c>
      <c r="C8256" s="4" t="inlineStr">
        <is>
          <t>mule deer</t>
        </is>
      </c>
      <c r="D8256" s="4" t="n">
        <v>2019</v>
      </c>
      <c r="E8256" s="13" t="inlineStr">
        <is>
          <t>General</t>
        </is>
      </c>
      <c r="F8256" s="5" t="n">
        <v>5182</v>
      </c>
      <c r="G8256" s="5" t="n">
        <v>26420</v>
      </c>
      <c r="H8256" s="5" t="n">
        <v>3333</v>
      </c>
      <c r="I8256" s="5" t="n">
        <v>2414</v>
      </c>
      <c r="J8256" s="5" t="n">
        <v>897</v>
      </c>
      <c r="K8256" s="10">
        <f>IF(F8256&gt;0,H8256/F8256,"")</f>
        <v/>
      </c>
      <c r="L8256" s="16">
        <f>IF(AND(G8256&gt;0,H8256&gt;0),G8256/H8256,"")</f>
        <v/>
      </c>
    </row>
    <row r="8257">
      <c r="A8257" s="4" t="inlineStr">
        <is>
          <t>704</t>
        </is>
      </c>
      <c r="B8257" s="4" t="n">
        <v>7</v>
      </c>
      <c r="C8257" s="4" t="inlineStr">
        <is>
          <t>mule deer</t>
        </is>
      </c>
      <c r="D8257" s="4" t="n">
        <v>2020</v>
      </c>
      <c r="E8257" s="13" t="inlineStr">
        <is>
          <t>General</t>
        </is>
      </c>
      <c r="F8257" s="5" t="n"/>
      <c r="G8257" s="5" t="n"/>
      <c r="H8257" s="5" t="n">
        <v>3187</v>
      </c>
      <c r="I8257" s="5" t="n">
        <v>2207</v>
      </c>
      <c r="J8257" s="5" t="n">
        <v>980</v>
      </c>
      <c r="K8257" s="10">
        <f>IF(F8257&gt;0,H8257/F8257,"")</f>
        <v/>
      </c>
      <c r="L8257" s="16">
        <f>IF(AND(G8257&gt;0,H8257&gt;0),G8257/H8257,"")</f>
        <v/>
      </c>
    </row>
    <row r="8258">
      <c r="A8258" s="4" t="inlineStr">
        <is>
          <t>704</t>
        </is>
      </c>
      <c r="B8258" s="4" t="n">
        <v>7</v>
      </c>
      <c r="C8258" s="4" t="inlineStr">
        <is>
          <t>mule deer</t>
        </is>
      </c>
      <c r="D8258" s="4" t="n">
        <v>2021</v>
      </c>
      <c r="E8258" s="13" t="inlineStr">
        <is>
          <t>General</t>
        </is>
      </c>
      <c r="F8258" s="5" t="n">
        <v>5005</v>
      </c>
      <c r="G8258" s="5" t="n">
        <v>26625</v>
      </c>
      <c r="H8258" s="5" t="n">
        <v>2295</v>
      </c>
      <c r="I8258" s="5" t="n">
        <v>1823</v>
      </c>
      <c r="J8258" s="5" t="n">
        <v>472</v>
      </c>
      <c r="K8258" s="10">
        <f>IF(F8258&gt;0,H8258/F8258,"")</f>
        <v/>
      </c>
      <c r="L8258" s="16">
        <f>IF(AND(G8258&gt;0,H8258&gt;0),G8258/H8258,"")</f>
        <v/>
      </c>
    </row>
    <row r="8259">
      <c r="A8259" s="4" t="inlineStr">
        <is>
          <t>704</t>
        </is>
      </c>
      <c r="B8259" s="4" t="n">
        <v>7</v>
      </c>
      <c r="C8259" s="4" t="inlineStr">
        <is>
          <t>mule deer</t>
        </is>
      </c>
      <c r="D8259" s="4" t="n">
        <v>2022</v>
      </c>
      <c r="E8259" s="13" t="inlineStr">
        <is>
          <t>General</t>
        </is>
      </c>
      <c r="F8259" s="5" t="n"/>
      <c r="G8259" s="5" t="n"/>
      <c r="H8259" s="5" t="n">
        <v>1780</v>
      </c>
      <c r="I8259" s="5" t="n">
        <v>1450</v>
      </c>
      <c r="J8259" s="5" t="n">
        <v>327</v>
      </c>
      <c r="K8259" s="10">
        <f>IF(F8259&gt;0,H8259/F8259,"")</f>
        <v/>
      </c>
      <c r="L8259" s="16">
        <f>IF(AND(G8259&gt;0,H8259&gt;0),G8259/H8259,"")</f>
        <v/>
      </c>
    </row>
    <row r="8260">
      <c r="A8260" s="4" t="inlineStr">
        <is>
          <t>704</t>
        </is>
      </c>
      <c r="B8260" s="4" t="n">
        <v>7</v>
      </c>
      <c r="C8260" s="4" t="inlineStr">
        <is>
          <t>mule deer</t>
        </is>
      </c>
      <c r="D8260" s="4" t="n">
        <v>2023</v>
      </c>
      <c r="E8260" s="13" t="inlineStr">
        <is>
          <t>General</t>
        </is>
      </c>
      <c r="F8260" s="5" t="n">
        <v>4258</v>
      </c>
      <c r="G8260" s="5" t="n">
        <v>23302</v>
      </c>
      <c r="H8260" s="5" t="n">
        <v>1703</v>
      </c>
      <c r="I8260" s="5" t="n">
        <v>1596</v>
      </c>
      <c r="J8260" s="5" t="n">
        <v>107</v>
      </c>
      <c r="K8260" s="10">
        <f>IF(F8260&gt;0,H8260/F8260,"")</f>
        <v/>
      </c>
      <c r="L8260" s="16">
        <f>IF(AND(G8260&gt;0,H8260&gt;0),G8260/H8260,"")</f>
        <v/>
      </c>
    </row>
    <row r="8261">
      <c r="A8261" s="4" t="inlineStr">
        <is>
          <t>704</t>
        </is>
      </c>
      <c r="B8261" s="4" t="n">
        <v>7</v>
      </c>
      <c r="C8261" s="4" t="inlineStr">
        <is>
          <t>mule deer</t>
        </is>
      </c>
      <c r="D8261" s="4" t="n">
        <v>2024</v>
      </c>
      <c r="E8261" s="13" t="inlineStr">
        <is>
          <t>General</t>
        </is>
      </c>
      <c r="F8261" s="5" t="n"/>
      <c r="G8261" s="5" t="n"/>
      <c r="H8261" s="5" t="n">
        <v>1572</v>
      </c>
      <c r="I8261" s="5" t="n">
        <v>1526</v>
      </c>
      <c r="J8261" s="5" t="n">
        <v>42</v>
      </c>
      <c r="K8261" s="10">
        <f>IF(F8261&gt;0,H8261/F8261,"")</f>
        <v/>
      </c>
      <c r="L8261" s="16">
        <f>IF(AND(G8261&gt;0,H8261&gt;0),G8261/H8261,"")</f>
        <v/>
      </c>
    </row>
    <row r="8262">
      <c r="A8262" s="4" t="inlineStr">
        <is>
          <t>704</t>
        </is>
      </c>
      <c r="B8262" s="4" t="n">
        <v>7</v>
      </c>
      <c r="C8262" s="4" t="inlineStr">
        <is>
          <t>mule deer</t>
        </is>
      </c>
      <c r="D8262" s="4" t="n">
        <v>2025</v>
      </c>
      <c r="E8262" s="13" t="inlineStr">
        <is>
          <t>General</t>
        </is>
      </c>
      <c r="F8262" s="5" t="n">
        <v>4306</v>
      </c>
      <c r="G8262" s="5" t="n">
        <v>25609</v>
      </c>
      <c r="H8262" s="5" t="n">
        <v>1770</v>
      </c>
      <c r="I8262" s="5" t="n">
        <v>1720</v>
      </c>
      <c r="J8262" s="5" t="n">
        <v>50</v>
      </c>
      <c r="K8262" s="10">
        <f>IF(F8262&gt;0,H8262/F8262,"")</f>
        <v/>
      </c>
      <c r="L8262" s="16">
        <f>IF(AND(G8262&gt;0,H8262&gt;0),G8262/H8262,"")</f>
        <v/>
      </c>
    </row>
    <row r="8263">
      <c r="A8263" s="4" t="inlineStr">
        <is>
          <t>705</t>
        </is>
      </c>
      <c r="B8263" s="4" t="n">
        <v>7</v>
      </c>
      <c r="C8263" s="4" t="inlineStr">
        <is>
          <t>mule deer</t>
        </is>
      </c>
      <c r="D8263" s="4" t="n">
        <v>2004</v>
      </c>
      <c r="E8263" s="13" t="inlineStr">
        <is>
          <t>General</t>
        </is>
      </c>
      <c r="F8263" s="5" t="n">
        <v>5178</v>
      </c>
      <c r="G8263" s="5" t="n">
        <v>20790</v>
      </c>
      <c r="H8263" s="5" t="n">
        <v>3866</v>
      </c>
      <c r="I8263" s="5" t="n">
        <v>2416</v>
      </c>
      <c r="J8263" s="5" t="n">
        <v>1359</v>
      </c>
      <c r="K8263" s="10">
        <f>IF(F8263&gt;0,H8263/F8263,"")</f>
        <v/>
      </c>
      <c r="L8263" s="16">
        <f>IF(AND(G8263&gt;0,H8263&gt;0),G8263/H8263,"")</f>
        <v/>
      </c>
    </row>
    <row r="8264">
      <c r="A8264" s="4" t="inlineStr">
        <is>
          <t>705</t>
        </is>
      </c>
      <c r="B8264" s="4" t="n">
        <v>7</v>
      </c>
      <c r="C8264" s="4" t="inlineStr">
        <is>
          <t>mule deer</t>
        </is>
      </c>
      <c r="D8264" s="4" t="n">
        <v>2005</v>
      </c>
      <c r="E8264" s="13" t="inlineStr">
        <is>
          <t>General</t>
        </is>
      </c>
      <c r="F8264" s="5" t="n">
        <v>4458</v>
      </c>
      <c r="G8264" s="5" t="n">
        <v>19202</v>
      </c>
      <c r="H8264" s="5" t="n">
        <v>2945</v>
      </c>
      <c r="I8264" s="5" t="n">
        <v>2086</v>
      </c>
      <c r="J8264" s="5" t="n">
        <v>830</v>
      </c>
      <c r="K8264" s="10">
        <f>IF(F8264&gt;0,H8264/F8264,"")</f>
        <v/>
      </c>
      <c r="L8264" s="16">
        <f>IF(AND(G8264&gt;0,H8264&gt;0),G8264/H8264,"")</f>
        <v/>
      </c>
    </row>
    <row r="8265">
      <c r="A8265" s="4" t="inlineStr">
        <is>
          <t>705</t>
        </is>
      </c>
      <c r="B8265" s="4" t="n">
        <v>7</v>
      </c>
      <c r="C8265" s="4" t="inlineStr">
        <is>
          <t>mule deer</t>
        </is>
      </c>
      <c r="D8265" s="4" t="n">
        <v>2006</v>
      </c>
      <c r="E8265" s="13" t="inlineStr">
        <is>
          <t>General</t>
        </is>
      </c>
      <c r="F8265" s="5" t="n">
        <v>4211</v>
      </c>
      <c r="G8265" s="5" t="n">
        <v>18791</v>
      </c>
      <c r="H8265" s="5" t="n">
        <v>3148</v>
      </c>
      <c r="I8265" s="5" t="n">
        <v>1800</v>
      </c>
      <c r="J8265" s="5" t="n">
        <v>1304</v>
      </c>
      <c r="K8265" s="10">
        <f>IF(F8265&gt;0,H8265/F8265,"")</f>
        <v/>
      </c>
      <c r="L8265" s="16">
        <f>IF(AND(G8265&gt;0,H8265&gt;0),G8265/H8265,"")</f>
        <v/>
      </c>
    </row>
    <row r="8266">
      <c r="A8266" s="4" t="inlineStr">
        <is>
          <t>705</t>
        </is>
      </c>
      <c r="B8266" s="4" t="n">
        <v>7</v>
      </c>
      <c r="C8266" s="4" t="inlineStr">
        <is>
          <t>mule deer</t>
        </is>
      </c>
      <c r="D8266" s="4" t="n">
        <v>2007</v>
      </c>
      <c r="E8266" s="13" t="inlineStr">
        <is>
          <t>General</t>
        </is>
      </c>
      <c r="F8266" s="5" t="n">
        <v>5033</v>
      </c>
      <c r="G8266" s="5" t="n">
        <v>22579</v>
      </c>
      <c r="H8266" s="5" t="n">
        <v>3524</v>
      </c>
      <c r="I8266" s="5" t="n">
        <v>2183</v>
      </c>
      <c r="J8266" s="5" t="n">
        <v>1317</v>
      </c>
      <c r="K8266" s="10">
        <f>IF(F8266&gt;0,H8266/F8266,"")</f>
        <v/>
      </c>
      <c r="L8266" s="16">
        <f>IF(AND(G8266&gt;0,H8266&gt;0),G8266/H8266,"")</f>
        <v/>
      </c>
    </row>
    <row r="8267">
      <c r="A8267" s="4" t="inlineStr">
        <is>
          <t>705</t>
        </is>
      </c>
      <c r="B8267" s="4" t="n">
        <v>7</v>
      </c>
      <c r="C8267" s="4" t="inlineStr">
        <is>
          <t>mule deer</t>
        </is>
      </c>
      <c r="D8267" s="4" t="n">
        <v>2008</v>
      </c>
      <c r="E8267" s="13" t="inlineStr">
        <is>
          <t>General</t>
        </is>
      </c>
      <c r="F8267" s="5" t="n">
        <v>4726</v>
      </c>
      <c r="G8267" s="5" t="n">
        <v>22381</v>
      </c>
      <c r="H8267" s="5" t="n">
        <v>3151</v>
      </c>
      <c r="I8267" s="5" t="n">
        <v>1765</v>
      </c>
      <c r="J8267" s="5" t="n">
        <v>1351</v>
      </c>
      <c r="K8267" s="10">
        <f>IF(F8267&gt;0,H8267/F8267,"")</f>
        <v/>
      </c>
      <c r="L8267" s="16">
        <f>IF(AND(G8267&gt;0,H8267&gt;0),G8267/H8267,"")</f>
        <v/>
      </c>
    </row>
    <row r="8268">
      <c r="A8268" s="4" t="inlineStr">
        <is>
          <t>705</t>
        </is>
      </c>
      <c r="B8268" s="4" t="n">
        <v>7</v>
      </c>
      <c r="C8268" s="4" t="inlineStr">
        <is>
          <t>mule deer</t>
        </is>
      </c>
      <c r="D8268" s="4" t="n">
        <v>2009</v>
      </c>
      <c r="E8268" s="13" t="inlineStr">
        <is>
          <t>General</t>
        </is>
      </c>
      <c r="F8268" s="5" t="n">
        <v>4763</v>
      </c>
      <c r="G8268" s="5" t="n">
        <v>22930</v>
      </c>
      <c r="H8268" s="5" t="n">
        <v>2996</v>
      </c>
      <c r="I8268" s="5" t="n">
        <v>1789</v>
      </c>
      <c r="J8268" s="5" t="n">
        <v>1185</v>
      </c>
      <c r="K8268" s="10">
        <f>IF(F8268&gt;0,H8268/F8268,"")</f>
        <v/>
      </c>
      <c r="L8268" s="16">
        <f>IF(AND(G8268&gt;0,H8268&gt;0),G8268/H8268,"")</f>
        <v/>
      </c>
    </row>
    <row r="8269">
      <c r="A8269" s="4" t="inlineStr">
        <is>
          <t>705</t>
        </is>
      </c>
      <c r="B8269" s="4" t="n">
        <v>7</v>
      </c>
      <c r="C8269" s="4" t="inlineStr">
        <is>
          <t>mule deer</t>
        </is>
      </c>
      <c r="D8269" s="4" t="n">
        <v>2010</v>
      </c>
      <c r="E8269" s="13" t="inlineStr">
        <is>
          <t>General</t>
        </is>
      </c>
      <c r="F8269" s="5" t="n">
        <v>4678</v>
      </c>
      <c r="G8269" s="5" t="n">
        <v>23413</v>
      </c>
      <c r="H8269" s="5" t="n">
        <v>2131</v>
      </c>
      <c r="I8269" s="5" t="n">
        <v>1512</v>
      </c>
      <c r="J8269" s="5" t="n">
        <v>594</v>
      </c>
      <c r="K8269" s="10">
        <f>IF(F8269&gt;0,H8269/F8269,"")</f>
        <v/>
      </c>
      <c r="L8269" s="16">
        <f>IF(AND(G8269&gt;0,H8269&gt;0),G8269/H8269,"")</f>
        <v/>
      </c>
    </row>
    <row r="8270">
      <c r="A8270" s="4" t="inlineStr">
        <is>
          <t>705</t>
        </is>
      </c>
      <c r="B8270" s="4" t="n">
        <v>7</v>
      </c>
      <c r="C8270" s="4" t="inlineStr">
        <is>
          <t>mule deer</t>
        </is>
      </c>
      <c r="D8270" s="4" t="n">
        <v>2011</v>
      </c>
      <c r="E8270" s="13" t="inlineStr">
        <is>
          <t>General</t>
        </is>
      </c>
      <c r="F8270" s="5" t="n">
        <v>4141</v>
      </c>
      <c r="G8270" s="5" t="n">
        <v>19687</v>
      </c>
      <c r="H8270" s="5" t="n">
        <v>1663</v>
      </c>
      <c r="I8270" s="5" t="n">
        <v>1400</v>
      </c>
      <c r="J8270" s="5" t="n">
        <v>261</v>
      </c>
      <c r="K8270" s="10">
        <f>IF(F8270&gt;0,H8270/F8270,"")</f>
        <v/>
      </c>
      <c r="L8270" s="16">
        <f>IF(AND(G8270&gt;0,H8270&gt;0),G8270/H8270,"")</f>
        <v/>
      </c>
    </row>
    <row r="8271">
      <c r="A8271" s="4" t="inlineStr">
        <is>
          <t>705</t>
        </is>
      </c>
      <c r="B8271" s="4" t="n">
        <v>7</v>
      </c>
      <c r="C8271" s="4" t="inlineStr">
        <is>
          <t>mule deer</t>
        </is>
      </c>
      <c r="D8271" s="4" t="n">
        <v>2012</v>
      </c>
      <c r="E8271" s="13" t="inlineStr">
        <is>
          <t>General</t>
        </is>
      </c>
      <c r="F8271" s="5" t="n"/>
      <c r="G8271" s="5" t="n"/>
      <c r="H8271" s="5" t="n">
        <v>1689</v>
      </c>
      <c r="I8271" s="5" t="n">
        <v>1553</v>
      </c>
      <c r="J8271" s="5" t="n">
        <v>128</v>
      </c>
      <c r="K8271" s="10">
        <f>IF(F8271&gt;0,H8271/F8271,"")</f>
        <v/>
      </c>
      <c r="L8271" s="16">
        <f>IF(AND(G8271&gt;0,H8271&gt;0),G8271/H8271,"")</f>
        <v/>
      </c>
    </row>
    <row r="8272">
      <c r="A8272" s="4" t="inlineStr">
        <is>
          <t>705</t>
        </is>
      </c>
      <c r="B8272" s="4" t="n">
        <v>7</v>
      </c>
      <c r="C8272" s="4" t="inlineStr">
        <is>
          <t>mule deer</t>
        </is>
      </c>
      <c r="D8272" s="4" t="n">
        <v>2013</v>
      </c>
      <c r="E8272" s="13" t="inlineStr">
        <is>
          <t>General</t>
        </is>
      </c>
      <c r="F8272" s="5" t="n">
        <v>4274</v>
      </c>
      <c r="G8272" s="5" t="n">
        <v>20244</v>
      </c>
      <c r="H8272" s="5" t="n">
        <v>1792</v>
      </c>
      <c r="I8272" s="5" t="n">
        <v>1651</v>
      </c>
      <c r="J8272" s="5" t="n">
        <v>135</v>
      </c>
      <c r="K8272" s="10">
        <f>IF(F8272&gt;0,H8272/F8272,"")</f>
        <v/>
      </c>
      <c r="L8272" s="16">
        <f>IF(AND(G8272&gt;0,H8272&gt;0),G8272/H8272,"")</f>
        <v/>
      </c>
    </row>
    <row r="8273">
      <c r="A8273" s="4" t="inlineStr">
        <is>
          <t>705</t>
        </is>
      </c>
      <c r="B8273" s="4" t="n">
        <v>7</v>
      </c>
      <c r="C8273" s="4" t="inlineStr">
        <is>
          <t>mule deer</t>
        </is>
      </c>
      <c r="D8273" s="4" t="n">
        <v>2014</v>
      </c>
      <c r="E8273" s="13" t="inlineStr">
        <is>
          <t>General</t>
        </is>
      </c>
      <c r="F8273" s="5" t="n"/>
      <c r="G8273" s="5" t="n"/>
      <c r="H8273" s="5" t="n">
        <v>1800</v>
      </c>
      <c r="I8273" s="5" t="n">
        <v>1789</v>
      </c>
      <c r="J8273" s="5" t="n">
        <v>11</v>
      </c>
      <c r="K8273" s="10">
        <f>IF(F8273&gt;0,H8273/F8273,"")</f>
        <v/>
      </c>
      <c r="L8273" s="16">
        <f>IF(AND(G8273&gt;0,H8273&gt;0),G8273/H8273,"")</f>
        <v/>
      </c>
    </row>
    <row r="8274">
      <c r="A8274" s="4" t="inlineStr">
        <is>
          <t>705</t>
        </is>
      </c>
      <c r="B8274" s="4" t="n">
        <v>7</v>
      </c>
      <c r="C8274" s="4" t="inlineStr">
        <is>
          <t>mule deer</t>
        </is>
      </c>
      <c r="D8274" s="4" t="n">
        <v>2015</v>
      </c>
      <c r="E8274" s="13" t="inlineStr">
        <is>
          <t>General</t>
        </is>
      </c>
      <c r="F8274" s="5" t="n"/>
      <c r="G8274" s="5" t="n"/>
      <c r="H8274" s="5" t="n">
        <v>2677</v>
      </c>
      <c r="I8274" s="5" t="n">
        <v>2081</v>
      </c>
      <c r="J8274" s="5" t="n">
        <v>577</v>
      </c>
      <c r="K8274" s="10">
        <f>IF(F8274&gt;0,H8274/F8274,"")</f>
        <v/>
      </c>
      <c r="L8274" s="16">
        <f>IF(AND(G8274&gt;0,H8274&gt;0),G8274/H8274,"")</f>
        <v/>
      </c>
    </row>
    <row r="8275">
      <c r="A8275" s="4" t="inlineStr">
        <is>
          <t>705</t>
        </is>
      </c>
      <c r="B8275" s="4" t="n">
        <v>7</v>
      </c>
      <c r="C8275" s="4" t="inlineStr">
        <is>
          <t>mule deer</t>
        </is>
      </c>
      <c r="D8275" s="4" t="n">
        <v>2016</v>
      </c>
      <c r="E8275" s="13" t="inlineStr">
        <is>
          <t>General</t>
        </is>
      </c>
      <c r="F8275" s="5" t="n"/>
      <c r="G8275" s="5" t="n"/>
      <c r="H8275" s="5" t="n">
        <v>3298</v>
      </c>
      <c r="I8275" s="5" t="n">
        <v>2391</v>
      </c>
      <c r="J8275" s="5" t="n">
        <v>887</v>
      </c>
      <c r="K8275" s="10">
        <f>IF(F8275&gt;0,H8275/F8275,"")</f>
        <v/>
      </c>
      <c r="L8275" s="16">
        <f>IF(AND(G8275&gt;0,H8275&gt;0),G8275/H8275,"")</f>
        <v/>
      </c>
    </row>
    <row r="8276">
      <c r="A8276" s="4" t="inlineStr">
        <is>
          <t>705</t>
        </is>
      </c>
      <c r="B8276" s="4" t="n">
        <v>7</v>
      </c>
      <c r="C8276" s="4" t="inlineStr">
        <is>
          <t>mule deer</t>
        </is>
      </c>
      <c r="D8276" s="4" t="n">
        <v>2017</v>
      </c>
      <c r="E8276" s="13" t="inlineStr">
        <is>
          <t>General</t>
        </is>
      </c>
      <c r="F8276" s="5" t="n">
        <v>5389</v>
      </c>
      <c r="G8276" s="5" t="n">
        <v>25915</v>
      </c>
      <c r="H8276" s="5" t="n">
        <v>3835</v>
      </c>
      <c r="I8276" s="5" t="n">
        <v>2555</v>
      </c>
      <c r="J8276" s="5" t="n">
        <v>1265</v>
      </c>
      <c r="K8276" s="10">
        <f>IF(F8276&gt;0,H8276/F8276,"")</f>
        <v/>
      </c>
      <c r="L8276" s="16">
        <f>IF(AND(G8276&gt;0,H8276&gt;0),G8276/H8276,"")</f>
        <v/>
      </c>
    </row>
    <row r="8277">
      <c r="A8277" s="4" t="inlineStr">
        <is>
          <t>705</t>
        </is>
      </c>
      <c r="B8277" s="4" t="n">
        <v>7</v>
      </c>
      <c r="C8277" s="4" t="inlineStr">
        <is>
          <t>mule deer</t>
        </is>
      </c>
      <c r="D8277" s="4" t="n">
        <v>2018</v>
      </c>
      <c r="E8277" s="13" t="inlineStr">
        <is>
          <t>General</t>
        </is>
      </c>
      <c r="F8277" s="5" t="n"/>
      <c r="G8277" s="5" t="n"/>
      <c r="H8277" s="5" t="n">
        <v>3857</v>
      </c>
      <c r="I8277" s="5" t="n">
        <v>2556</v>
      </c>
      <c r="J8277" s="5" t="n">
        <v>1268</v>
      </c>
      <c r="K8277" s="10">
        <f>IF(F8277&gt;0,H8277/F8277,"")</f>
        <v/>
      </c>
      <c r="L8277" s="16">
        <f>IF(AND(G8277&gt;0,H8277&gt;0),G8277/H8277,"")</f>
        <v/>
      </c>
    </row>
    <row r="8278">
      <c r="A8278" s="4" t="inlineStr">
        <is>
          <t>705</t>
        </is>
      </c>
      <c r="B8278" s="4" t="n">
        <v>7</v>
      </c>
      <c r="C8278" s="4" t="inlineStr">
        <is>
          <t>mule deer</t>
        </is>
      </c>
      <c r="D8278" s="4" t="n">
        <v>2019</v>
      </c>
      <c r="E8278" s="13" t="inlineStr">
        <is>
          <t>General</t>
        </is>
      </c>
      <c r="F8278" s="5" t="n">
        <v>5643</v>
      </c>
      <c r="G8278" s="5" t="n">
        <v>27689</v>
      </c>
      <c r="H8278" s="5" t="n">
        <v>3680</v>
      </c>
      <c r="I8278" s="5" t="n">
        <v>2543</v>
      </c>
      <c r="J8278" s="5" t="n">
        <v>1103</v>
      </c>
      <c r="K8278" s="10">
        <f>IF(F8278&gt;0,H8278/F8278,"")</f>
        <v/>
      </c>
      <c r="L8278" s="16">
        <f>IF(AND(G8278&gt;0,H8278&gt;0),G8278/H8278,"")</f>
        <v/>
      </c>
    </row>
    <row r="8279">
      <c r="A8279" s="4" t="inlineStr">
        <is>
          <t>705</t>
        </is>
      </c>
      <c r="B8279" s="4" t="n">
        <v>7</v>
      </c>
      <c r="C8279" s="4" t="inlineStr">
        <is>
          <t>mule deer</t>
        </is>
      </c>
      <c r="D8279" s="4" t="n">
        <v>2020</v>
      </c>
      <c r="E8279" s="13" t="inlineStr">
        <is>
          <t>General</t>
        </is>
      </c>
      <c r="F8279" s="5" t="n"/>
      <c r="G8279" s="5" t="n"/>
      <c r="H8279" s="5" t="n">
        <v>3551</v>
      </c>
      <c r="I8279" s="5" t="n">
        <v>2186</v>
      </c>
      <c r="J8279" s="5" t="n">
        <v>1366</v>
      </c>
      <c r="K8279" s="10">
        <f>IF(F8279&gt;0,H8279/F8279,"")</f>
        <v/>
      </c>
      <c r="L8279" s="16">
        <f>IF(AND(G8279&gt;0,H8279&gt;0),G8279/H8279,"")</f>
        <v/>
      </c>
    </row>
    <row r="8280">
      <c r="A8280" s="4" t="inlineStr">
        <is>
          <t>705</t>
        </is>
      </c>
      <c r="B8280" s="4" t="n">
        <v>7</v>
      </c>
      <c r="C8280" s="4" t="inlineStr">
        <is>
          <t>mule deer</t>
        </is>
      </c>
      <c r="D8280" s="4" t="n">
        <v>2021</v>
      </c>
      <c r="E8280" s="13" t="inlineStr">
        <is>
          <t>General</t>
        </is>
      </c>
      <c r="F8280" s="5" t="n">
        <v>5464</v>
      </c>
      <c r="G8280" s="5" t="n">
        <v>28793</v>
      </c>
      <c r="H8280" s="5" t="n">
        <v>2561</v>
      </c>
      <c r="I8280" s="5" t="n">
        <v>1872</v>
      </c>
      <c r="J8280" s="5" t="n">
        <v>686</v>
      </c>
      <c r="K8280" s="10">
        <f>IF(F8280&gt;0,H8280/F8280,"")</f>
        <v/>
      </c>
      <c r="L8280" s="16">
        <f>IF(AND(G8280&gt;0,H8280&gt;0),G8280/H8280,"")</f>
        <v/>
      </c>
    </row>
    <row r="8281">
      <c r="A8281" s="4" t="inlineStr">
        <is>
          <t>705</t>
        </is>
      </c>
      <c r="B8281" s="4" t="n">
        <v>7</v>
      </c>
      <c r="C8281" s="4" t="inlineStr">
        <is>
          <t>mule deer</t>
        </is>
      </c>
      <c r="D8281" s="4" t="n">
        <v>2022</v>
      </c>
      <c r="E8281" s="13" t="inlineStr">
        <is>
          <t>General</t>
        </is>
      </c>
      <c r="F8281" s="5" t="n"/>
      <c r="G8281" s="5" t="n"/>
      <c r="H8281" s="5" t="n">
        <v>1759</v>
      </c>
      <c r="I8281" s="5" t="n">
        <v>1382</v>
      </c>
      <c r="J8281" s="5" t="n">
        <v>369</v>
      </c>
      <c r="K8281" s="10">
        <f>IF(F8281&gt;0,H8281/F8281,"")</f>
        <v/>
      </c>
      <c r="L8281" s="16">
        <f>IF(AND(G8281&gt;0,H8281&gt;0),G8281/H8281,"")</f>
        <v/>
      </c>
    </row>
    <row r="8282">
      <c r="A8282" s="4" t="inlineStr">
        <is>
          <t>705</t>
        </is>
      </c>
      <c r="B8282" s="4" t="n">
        <v>7</v>
      </c>
      <c r="C8282" s="4" t="inlineStr">
        <is>
          <t>mule deer</t>
        </is>
      </c>
      <c r="D8282" s="4" t="n">
        <v>2023</v>
      </c>
      <c r="E8282" s="13" t="inlineStr">
        <is>
          <t>General</t>
        </is>
      </c>
      <c r="F8282" s="5" t="n">
        <v>3682</v>
      </c>
      <c r="G8282" s="5" t="n">
        <v>19348</v>
      </c>
      <c r="H8282" s="5" t="n">
        <v>1294</v>
      </c>
      <c r="I8282" s="5" t="n">
        <v>1208</v>
      </c>
      <c r="J8282" s="5" t="n">
        <v>84</v>
      </c>
      <c r="K8282" s="10">
        <f>IF(F8282&gt;0,H8282/F8282,"")</f>
        <v/>
      </c>
      <c r="L8282" s="16">
        <f>IF(AND(G8282&gt;0,H8282&gt;0),G8282/H8282,"")</f>
        <v/>
      </c>
    </row>
    <row r="8283">
      <c r="A8283" s="4" t="inlineStr">
        <is>
          <t>705</t>
        </is>
      </c>
      <c r="B8283" s="4" t="n">
        <v>7</v>
      </c>
      <c r="C8283" s="4" t="inlineStr">
        <is>
          <t>mule deer</t>
        </is>
      </c>
      <c r="D8283" s="4" t="n">
        <v>2024</v>
      </c>
      <c r="E8283" s="13" t="inlineStr">
        <is>
          <t>General</t>
        </is>
      </c>
      <c r="F8283" s="5" t="n"/>
      <c r="G8283" s="5" t="n"/>
      <c r="H8283" s="5" t="n">
        <v>1374</v>
      </c>
      <c r="I8283" s="5" t="n">
        <v>1325</v>
      </c>
      <c r="J8283" s="5" t="n">
        <v>49</v>
      </c>
      <c r="K8283" s="10">
        <f>IF(F8283&gt;0,H8283/F8283,"")</f>
        <v/>
      </c>
      <c r="L8283" s="16">
        <f>IF(AND(G8283&gt;0,H8283&gt;0),G8283/H8283,"")</f>
        <v/>
      </c>
    </row>
    <row r="8284">
      <c r="A8284" s="4" t="inlineStr">
        <is>
          <t>705</t>
        </is>
      </c>
      <c r="B8284" s="4" t="n">
        <v>7</v>
      </c>
      <c r="C8284" s="4" t="inlineStr">
        <is>
          <t>mule deer</t>
        </is>
      </c>
      <c r="D8284" s="4" t="n">
        <v>2025</v>
      </c>
      <c r="E8284" s="13" t="inlineStr">
        <is>
          <t>General</t>
        </is>
      </c>
      <c r="F8284" s="5" t="n">
        <v>3585</v>
      </c>
      <c r="G8284" s="5" t="n">
        <v>20671</v>
      </c>
      <c r="H8284" s="5" t="n">
        <v>1463</v>
      </c>
      <c r="I8284" s="5" t="n">
        <v>1409</v>
      </c>
      <c r="J8284" s="5" t="n">
        <v>52</v>
      </c>
      <c r="K8284" s="10">
        <f>IF(F8284&gt;0,H8284/F8284,"")</f>
        <v/>
      </c>
      <c r="L8284" s="16">
        <f>IF(AND(G8284&gt;0,H8284&gt;0),G8284/H8284,"")</f>
        <v/>
      </c>
    </row>
    <row r="8285">
      <c r="A8285" s="4" t="inlineStr">
        <is>
          <t>100</t>
        </is>
      </c>
      <c r="B8285" s="4" t="n">
        <v>1</v>
      </c>
      <c r="C8285" s="4" t="inlineStr">
        <is>
          <t>whitetail</t>
        </is>
      </c>
      <c r="D8285" s="4" t="n">
        <v>2004</v>
      </c>
      <c r="E8285" s="13" t="inlineStr">
        <is>
          <t>General</t>
        </is>
      </c>
      <c r="F8285" s="5" t="n">
        <v>3496</v>
      </c>
      <c r="G8285" s="5" t="n">
        <v>23521</v>
      </c>
      <c r="H8285" s="5" t="n">
        <v>1464</v>
      </c>
      <c r="I8285" s="5" t="n">
        <v>947</v>
      </c>
      <c r="J8285" s="5" t="n">
        <v>506</v>
      </c>
      <c r="K8285" s="10">
        <f>IF(F8285&gt;0,H8285/F8285,"")</f>
        <v/>
      </c>
      <c r="L8285" s="16">
        <f>IF(AND(G8285&gt;0,H8285&gt;0),G8285/H8285,"")</f>
        <v/>
      </c>
    </row>
    <row r="8286">
      <c r="A8286" s="4" t="inlineStr">
        <is>
          <t>100</t>
        </is>
      </c>
      <c r="B8286" s="4" t="n">
        <v>1</v>
      </c>
      <c r="C8286" s="4" t="inlineStr">
        <is>
          <t>whitetail</t>
        </is>
      </c>
      <c r="D8286" s="4" t="n">
        <v>2005</v>
      </c>
      <c r="E8286" s="13" t="inlineStr">
        <is>
          <t>General</t>
        </is>
      </c>
      <c r="F8286" s="5" t="n">
        <v>3178</v>
      </c>
      <c r="G8286" s="5" t="n">
        <v>23840</v>
      </c>
      <c r="H8286" s="5" t="n">
        <v>1357</v>
      </c>
      <c r="I8286" s="5" t="n">
        <v>949</v>
      </c>
      <c r="J8286" s="5" t="n">
        <v>398</v>
      </c>
      <c r="K8286" s="10">
        <f>IF(F8286&gt;0,H8286/F8286,"")</f>
        <v/>
      </c>
      <c r="L8286" s="16">
        <f>IF(AND(G8286&gt;0,H8286&gt;0),G8286/H8286,"")</f>
        <v/>
      </c>
    </row>
    <row r="8287">
      <c r="A8287" s="4" t="inlineStr">
        <is>
          <t>100</t>
        </is>
      </c>
      <c r="B8287" s="4" t="n">
        <v>1</v>
      </c>
      <c r="C8287" s="4" t="inlineStr">
        <is>
          <t>whitetail</t>
        </is>
      </c>
      <c r="D8287" s="4" t="n">
        <v>2006</v>
      </c>
      <c r="E8287" s="13" t="inlineStr">
        <is>
          <t>General</t>
        </is>
      </c>
      <c r="F8287" s="5" t="n">
        <v>4153</v>
      </c>
      <c r="G8287" s="5" t="n">
        <v>31191</v>
      </c>
      <c r="H8287" s="5" t="n">
        <v>1798</v>
      </c>
      <c r="I8287" s="5" t="n">
        <v>1056</v>
      </c>
      <c r="J8287" s="5" t="n">
        <v>728</v>
      </c>
      <c r="K8287" s="10">
        <f>IF(F8287&gt;0,H8287/F8287,"")</f>
        <v/>
      </c>
      <c r="L8287" s="16">
        <f>IF(AND(G8287&gt;0,H8287&gt;0),G8287/H8287,"")</f>
        <v/>
      </c>
    </row>
    <row r="8288">
      <c r="A8288" s="4" t="inlineStr">
        <is>
          <t>100</t>
        </is>
      </c>
      <c r="B8288" s="4" t="n">
        <v>1</v>
      </c>
      <c r="C8288" s="4" t="inlineStr">
        <is>
          <t>whitetail</t>
        </is>
      </c>
      <c r="D8288" s="4" t="n">
        <v>2007</v>
      </c>
      <c r="E8288" s="13" t="inlineStr">
        <is>
          <t>General</t>
        </is>
      </c>
      <c r="F8288" s="5" t="n">
        <v>3490</v>
      </c>
      <c r="G8288" s="5" t="n">
        <v>24865</v>
      </c>
      <c r="H8288" s="5" t="n">
        <v>1361</v>
      </c>
      <c r="I8288" s="5" t="n">
        <v>827</v>
      </c>
      <c r="J8288" s="5" t="n">
        <v>520</v>
      </c>
      <c r="K8288" s="10">
        <f>IF(F8288&gt;0,H8288/F8288,"")</f>
        <v/>
      </c>
      <c r="L8288" s="16">
        <f>IF(AND(G8288&gt;0,H8288&gt;0),G8288/H8288,"")</f>
        <v/>
      </c>
    </row>
    <row r="8289">
      <c r="A8289" s="4" t="inlineStr">
        <is>
          <t>100</t>
        </is>
      </c>
      <c r="B8289" s="4" t="n">
        <v>1</v>
      </c>
      <c r="C8289" s="4" t="inlineStr">
        <is>
          <t>whitetail</t>
        </is>
      </c>
      <c r="D8289" s="4" t="n">
        <v>2008</v>
      </c>
      <c r="E8289" s="13" t="inlineStr">
        <is>
          <t>General</t>
        </is>
      </c>
      <c r="F8289" s="5" t="n">
        <v>3675</v>
      </c>
      <c r="G8289" s="5" t="n">
        <v>31121</v>
      </c>
      <c r="H8289" s="5" t="n">
        <v>1442</v>
      </c>
      <c r="I8289" s="5" t="n">
        <v>770</v>
      </c>
      <c r="J8289" s="5" t="n">
        <v>645</v>
      </c>
      <c r="K8289" s="10">
        <f>IF(F8289&gt;0,H8289/F8289,"")</f>
        <v/>
      </c>
      <c r="L8289" s="16">
        <f>IF(AND(G8289&gt;0,H8289&gt;0),G8289/H8289,"")</f>
        <v/>
      </c>
    </row>
    <row r="8290">
      <c r="A8290" s="4" t="inlineStr">
        <is>
          <t>100</t>
        </is>
      </c>
      <c r="B8290" s="4" t="n">
        <v>1</v>
      </c>
      <c r="C8290" s="4" t="inlineStr">
        <is>
          <t>whitetail</t>
        </is>
      </c>
      <c r="D8290" s="4" t="n">
        <v>2009</v>
      </c>
      <c r="E8290" s="13" t="inlineStr">
        <is>
          <t>General</t>
        </is>
      </c>
      <c r="F8290" s="5" t="n">
        <v>3562</v>
      </c>
      <c r="G8290" s="5" t="n">
        <v>26944</v>
      </c>
      <c r="H8290" s="5" t="n">
        <v>954</v>
      </c>
      <c r="I8290" s="5" t="n">
        <v>771</v>
      </c>
      <c r="J8290" s="5" t="n">
        <v>180</v>
      </c>
      <c r="K8290" s="10">
        <f>IF(F8290&gt;0,H8290/F8290,"")</f>
        <v/>
      </c>
      <c r="L8290" s="16">
        <f>IF(AND(G8290&gt;0,H8290&gt;0),G8290/H8290,"")</f>
        <v/>
      </c>
    </row>
    <row r="8291">
      <c r="A8291" s="4" t="inlineStr">
        <is>
          <t>100</t>
        </is>
      </c>
      <c r="B8291" s="4" t="n">
        <v>1</v>
      </c>
      <c r="C8291" s="4" t="inlineStr">
        <is>
          <t>whitetail</t>
        </is>
      </c>
      <c r="D8291" s="4" t="n">
        <v>2010</v>
      </c>
      <c r="E8291" s="13" t="inlineStr">
        <is>
          <t>General</t>
        </is>
      </c>
      <c r="F8291" s="5" t="n">
        <v>3190</v>
      </c>
      <c r="G8291" s="5" t="n">
        <v>24536</v>
      </c>
      <c r="H8291" s="5" t="n">
        <v>1091</v>
      </c>
      <c r="I8291" s="5" t="n">
        <v>979</v>
      </c>
      <c r="J8291" s="5" t="n">
        <v>105</v>
      </c>
      <c r="K8291" s="10">
        <f>IF(F8291&gt;0,H8291/F8291,"")</f>
        <v/>
      </c>
      <c r="L8291" s="16">
        <f>IF(AND(G8291&gt;0,H8291&gt;0),G8291/H8291,"")</f>
        <v/>
      </c>
    </row>
    <row r="8292">
      <c r="A8292" s="4" t="inlineStr">
        <is>
          <t>100</t>
        </is>
      </c>
      <c r="B8292" s="4" t="n">
        <v>1</v>
      </c>
      <c r="C8292" s="4" t="inlineStr">
        <is>
          <t>whitetail</t>
        </is>
      </c>
      <c r="D8292" s="4" t="n">
        <v>2011</v>
      </c>
      <c r="E8292" s="13" t="inlineStr">
        <is>
          <t>General</t>
        </is>
      </c>
      <c r="F8292" s="5" t="n">
        <v>3082</v>
      </c>
      <c r="G8292" s="5" t="n">
        <v>24830</v>
      </c>
      <c r="H8292" s="5" t="n">
        <v>833</v>
      </c>
      <c r="I8292" s="5" t="n">
        <v>737</v>
      </c>
      <c r="J8292" s="5" t="n">
        <v>94</v>
      </c>
      <c r="K8292" s="10">
        <f>IF(F8292&gt;0,H8292/F8292,"")</f>
        <v/>
      </c>
      <c r="L8292" s="16">
        <f>IF(AND(G8292&gt;0,H8292&gt;0),G8292/H8292,"")</f>
        <v/>
      </c>
    </row>
    <row r="8293">
      <c r="A8293" s="4" t="inlineStr">
        <is>
          <t>100</t>
        </is>
      </c>
      <c r="B8293" s="4" t="n">
        <v>1</v>
      </c>
      <c r="C8293" s="4" t="inlineStr">
        <is>
          <t>whitetail</t>
        </is>
      </c>
      <c r="D8293" s="4" t="n">
        <v>2012</v>
      </c>
      <c r="E8293" s="13" t="inlineStr">
        <is>
          <t>General</t>
        </is>
      </c>
      <c r="F8293" s="5" t="n"/>
      <c r="G8293" s="5" t="n"/>
      <c r="H8293" s="5" t="n">
        <v>822</v>
      </c>
      <c r="I8293" s="5" t="n">
        <v>755</v>
      </c>
      <c r="J8293" s="5" t="n">
        <v>59</v>
      </c>
      <c r="K8293" s="10">
        <f>IF(F8293&gt;0,H8293/F8293,"")</f>
        <v/>
      </c>
      <c r="L8293" s="16">
        <f>IF(AND(G8293&gt;0,H8293&gt;0),G8293/H8293,"")</f>
        <v/>
      </c>
    </row>
    <row r="8294">
      <c r="A8294" s="4" t="inlineStr">
        <is>
          <t>100</t>
        </is>
      </c>
      <c r="B8294" s="4" t="n">
        <v>1</v>
      </c>
      <c r="C8294" s="4" t="inlineStr">
        <is>
          <t>whitetail</t>
        </is>
      </c>
      <c r="D8294" s="4" t="n">
        <v>2013</v>
      </c>
      <c r="E8294" s="13" t="inlineStr">
        <is>
          <t>General</t>
        </is>
      </c>
      <c r="F8294" s="5" t="n">
        <v>3335</v>
      </c>
      <c r="G8294" s="5" t="n">
        <v>27599</v>
      </c>
      <c r="H8294" s="5" t="n">
        <v>977</v>
      </c>
      <c r="I8294" s="5" t="n">
        <v>906</v>
      </c>
      <c r="J8294" s="5" t="n">
        <v>71</v>
      </c>
      <c r="K8294" s="10">
        <f>IF(F8294&gt;0,H8294/F8294,"")</f>
        <v/>
      </c>
      <c r="L8294" s="16">
        <f>IF(AND(G8294&gt;0,H8294&gt;0),G8294/H8294,"")</f>
        <v/>
      </c>
    </row>
    <row r="8295">
      <c r="A8295" s="4" t="inlineStr">
        <is>
          <t>100</t>
        </is>
      </c>
      <c r="B8295" s="4" t="n">
        <v>1</v>
      </c>
      <c r="C8295" s="4" t="inlineStr">
        <is>
          <t>whitetail</t>
        </is>
      </c>
      <c r="D8295" s="4" t="n">
        <v>2014</v>
      </c>
      <c r="E8295" s="13" t="inlineStr">
        <is>
          <t>General</t>
        </is>
      </c>
      <c r="F8295" s="5" t="n"/>
      <c r="G8295" s="5" t="n"/>
      <c r="H8295" s="5" t="n">
        <v>945</v>
      </c>
      <c r="I8295" s="5" t="n">
        <v>883</v>
      </c>
      <c r="J8295" s="5" t="n">
        <v>62</v>
      </c>
      <c r="K8295" s="10">
        <f>IF(F8295&gt;0,H8295/F8295,"")</f>
        <v/>
      </c>
      <c r="L8295" s="16">
        <f>IF(AND(G8295&gt;0,H8295&gt;0),G8295/H8295,"")</f>
        <v/>
      </c>
    </row>
    <row r="8296">
      <c r="A8296" s="4" t="inlineStr">
        <is>
          <t>100</t>
        </is>
      </c>
      <c r="B8296" s="4" t="n">
        <v>1</v>
      </c>
      <c r="C8296" s="4" t="inlineStr">
        <is>
          <t>whitetail</t>
        </is>
      </c>
      <c r="D8296" s="4" t="n">
        <v>2015</v>
      </c>
      <c r="E8296" s="13" t="inlineStr">
        <is>
          <t>General</t>
        </is>
      </c>
      <c r="F8296" s="5" t="n"/>
      <c r="G8296" s="5" t="n"/>
      <c r="H8296" s="5" t="n">
        <v>901</v>
      </c>
      <c r="I8296" s="5" t="n">
        <v>834</v>
      </c>
      <c r="J8296" s="5" t="n">
        <v>58</v>
      </c>
      <c r="K8296" s="10">
        <f>IF(F8296&gt;0,H8296/F8296,"")</f>
        <v/>
      </c>
      <c r="L8296" s="16">
        <f>IF(AND(G8296&gt;0,H8296&gt;0),G8296/H8296,"")</f>
        <v/>
      </c>
    </row>
    <row r="8297">
      <c r="A8297" s="4" t="inlineStr">
        <is>
          <t>100</t>
        </is>
      </c>
      <c r="B8297" s="4" t="n">
        <v>1</v>
      </c>
      <c r="C8297" s="4" t="inlineStr">
        <is>
          <t>whitetail</t>
        </is>
      </c>
      <c r="D8297" s="4" t="n">
        <v>2016</v>
      </c>
      <c r="E8297" s="13" t="inlineStr">
        <is>
          <t>General</t>
        </is>
      </c>
      <c r="F8297" s="5" t="n"/>
      <c r="G8297" s="5" t="n"/>
      <c r="H8297" s="5" t="n">
        <v>1266</v>
      </c>
      <c r="I8297" s="5" t="n">
        <v>965</v>
      </c>
      <c r="J8297" s="5" t="n">
        <v>292</v>
      </c>
      <c r="K8297" s="10">
        <f>IF(F8297&gt;0,H8297/F8297,"")</f>
        <v/>
      </c>
      <c r="L8297" s="16">
        <f>IF(AND(G8297&gt;0,H8297&gt;0),G8297/H8297,"")</f>
        <v/>
      </c>
    </row>
    <row r="8298">
      <c r="A8298" s="4" t="inlineStr">
        <is>
          <t>100</t>
        </is>
      </c>
      <c r="B8298" s="4" t="n">
        <v>1</v>
      </c>
      <c r="C8298" s="4" t="inlineStr">
        <is>
          <t>whitetail</t>
        </is>
      </c>
      <c r="D8298" s="4" t="n">
        <v>2017</v>
      </c>
      <c r="E8298" s="13" t="inlineStr">
        <is>
          <t>General</t>
        </is>
      </c>
      <c r="F8298" s="5" t="n">
        <v>2830</v>
      </c>
      <c r="G8298" s="5" t="n">
        <v>20020</v>
      </c>
      <c r="H8298" s="5" t="n">
        <v>1163</v>
      </c>
      <c r="I8298" s="5" t="n">
        <v>924</v>
      </c>
      <c r="J8298" s="5" t="n">
        <v>240</v>
      </c>
      <c r="K8298" s="10">
        <f>IF(F8298&gt;0,H8298/F8298,"")</f>
        <v/>
      </c>
      <c r="L8298" s="16">
        <f>IF(AND(G8298&gt;0,H8298&gt;0),G8298/H8298,"")</f>
        <v/>
      </c>
    </row>
    <row r="8299">
      <c r="A8299" s="4" t="inlineStr">
        <is>
          <t>100</t>
        </is>
      </c>
      <c r="B8299" s="4" t="n">
        <v>1</v>
      </c>
      <c r="C8299" s="4" t="inlineStr">
        <is>
          <t>whitetail</t>
        </is>
      </c>
      <c r="D8299" s="4" t="n">
        <v>2018</v>
      </c>
      <c r="E8299" s="13" t="inlineStr">
        <is>
          <t>General</t>
        </is>
      </c>
      <c r="F8299" s="5" t="n"/>
      <c r="G8299" s="5" t="n"/>
      <c r="H8299" s="5" t="n">
        <v>1040</v>
      </c>
      <c r="I8299" s="5" t="n">
        <v>803</v>
      </c>
      <c r="J8299" s="5" t="n">
        <v>231</v>
      </c>
      <c r="K8299" s="10">
        <f>IF(F8299&gt;0,H8299/F8299,"")</f>
        <v/>
      </c>
      <c r="L8299" s="16">
        <f>IF(AND(G8299&gt;0,H8299&gt;0),G8299/H8299,"")</f>
        <v/>
      </c>
    </row>
    <row r="8300">
      <c r="A8300" s="4" t="inlineStr">
        <is>
          <t>100</t>
        </is>
      </c>
      <c r="B8300" s="4" t="n">
        <v>1</v>
      </c>
      <c r="C8300" s="4" t="inlineStr">
        <is>
          <t>whitetail</t>
        </is>
      </c>
      <c r="D8300" s="4" t="n">
        <v>2019</v>
      </c>
      <c r="E8300" s="13" t="inlineStr">
        <is>
          <t>General</t>
        </is>
      </c>
      <c r="F8300" s="5" t="n">
        <v>2392</v>
      </c>
      <c r="G8300" s="5" t="n">
        <v>18802</v>
      </c>
      <c r="H8300" s="5" t="n">
        <v>847</v>
      </c>
      <c r="I8300" s="5" t="n">
        <v>714</v>
      </c>
      <c r="J8300" s="5" t="n">
        <v>133</v>
      </c>
      <c r="K8300" s="10">
        <f>IF(F8300&gt;0,H8300/F8300,"")</f>
        <v/>
      </c>
      <c r="L8300" s="16">
        <f>IF(AND(G8300&gt;0,H8300&gt;0),G8300/H8300,"")</f>
        <v/>
      </c>
    </row>
    <row r="8301">
      <c r="A8301" s="4" t="inlineStr">
        <is>
          <t>100</t>
        </is>
      </c>
      <c r="B8301" s="4" t="n">
        <v>1</v>
      </c>
      <c r="C8301" s="4" t="inlineStr">
        <is>
          <t>whitetail</t>
        </is>
      </c>
      <c r="D8301" s="4" t="n">
        <v>2020</v>
      </c>
      <c r="E8301" s="13" t="inlineStr">
        <is>
          <t>General</t>
        </is>
      </c>
      <c r="F8301" s="5" t="n"/>
      <c r="G8301" s="5" t="n"/>
      <c r="H8301" s="5" t="n">
        <v>1076</v>
      </c>
      <c r="I8301" s="5" t="n">
        <v>717</v>
      </c>
      <c r="J8301" s="5" t="n">
        <v>354</v>
      </c>
      <c r="K8301" s="10">
        <f>IF(F8301&gt;0,H8301/F8301,"")</f>
        <v/>
      </c>
      <c r="L8301" s="16">
        <f>IF(AND(G8301&gt;0,H8301&gt;0),G8301/H8301,"")</f>
        <v/>
      </c>
    </row>
    <row r="8302">
      <c r="A8302" s="4" t="inlineStr">
        <is>
          <t>100</t>
        </is>
      </c>
      <c r="B8302" s="4" t="n">
        <v>1</v>
      </c>
      <c r="C8302" s="4" t="inlineStr">
        <is>
          <t>whitetail</t>
        </is>
      </c>
      <c r="D8302" s="4" t="n">
        <v>2021</v>
      </c>
      <c r="E8302" s="13" t="inlineStr">
        <is>
          <t>General</t>
        </is>
      </c>
      <c r="F8302" s="5" t="n">
        <v>2402</v>
      </c>
      <c r="G8302" s="5" t="n">
        <v>17422</v>
      </c>
      <c r="H8302" s="5" t="n">
        <v>1272</v>
      </c>
      <c r="I8302" s="5" t="n">
        <v>900</v>
      </c>
      <c r="J8302" s="5" t="n">
        <v>368</v>
      </c>
      <c r="K8302" s="10">
        <f>IF(F8302&gt;0,H8302/F8302,"")</f>
        <v/>
      </c>
      <c r="L8302" s="16">
        <f>IF(AND(G8302&gt;0,H8302&gt;0),G8302/H8302,"")</f>
        <v/>
      </c>
    </row>
    <row r="8303">
      <c r="A8303" s="4" t="inlineStr">
        <is>
          <t>100</t>
        </is>
      </c>
      <c r="B8303" s="4" t="n">
        <v>1</v>
      </c>
      <c r="C8303" s="4" t="inlineStr">
        <is>
          <t>whitetail</t>
        </is>
      </c>
      <c r="D8303" s="4" t="n">
        <v>2022</v>
      </c>
      <c r="E8303" s="13" t="inlineStr">
        <is>
          <t>General</t>
        </is>
      </c>
      <c r="F8303" s="5" t="n"/>
      <c r="G8303" s="5" t="n"/>
      <c r="H8303" s="5" t="n">
        <v>1127</v>
      </c>
      <c r="I8303" s="5" t="n">
        <v>746</v>
      </c>
      <c r="J8303" s="5" t="n">
        <v>378</v>
      </c>
      <c r="K8303" s="10">
        <f>IF(F8303&gt;0,H8303/F8303,"")</f>
        <v/>
      </c>
      <c r="L8303" s="16">
        <f>IF(AND(G8303&gt;0,H8303&gt;0),G8303/H8303,"")</f>
        <v/>
      </c>
    </row>
    <row r="8304">
      <c r="A8304" s="4" t="inlineStr">
        <is>
          <t>100</t>
        </is>
      </c>
      <c r="B8304" s="4" t="n">
        <v>1</v>
      </c>
      <c r="C8304" s="4" t="inlineStr">
        <is>
          <t>whitetail</t>
        </is>
      </c>
      <c r="D8304" s="4" t="n">
        <v>2023</v>
      </c>
      <c r="E8304" s="13" t="inlineStr">
        <is>
          <t>General</t>
        </is>
      </c>
      <c r="F8304" s="5" t="n">
        <v>2846</v>
      </c>
      <c r="G8304" s="5" t="n">
        <v>23556</v>
      </c>
      <c r="H8304" s="5" t="n">
        <v>1035</v>
      </c>
      <c r="I8304" s="5" t="n">
        <v>780</v>
      </c>
      <c r="J8304" s="5" t="n">
        <v>252</v>
      </c>
      <c r="K8304" s="10">
        <f>IF(F8304&gt;0,H8304/F8304,"")</f>
        <v/>
      </c>
      <c r="L8304" s="16">
        <f>IF(AND(G8304&gt;0,H8304&gt;0),G8304/H8304,"")</f>
        <v/>
      </c>
    </row>
    <row r="8305">
      <c r="A8305" s="4" t="inlineStr">
        <is>
          <t>100</t>
        </is>
      </c>
      <c r="B8305" s="4" t="n">
        <v>1</v>
      </c>
      <c r="C8305" s="4" t="inlineStr">
        <is>
          <t>whitetail</t>
        </is>
      </c>
      <c r="D8305" s="4" t="n">
        <v>2024</v>
      </c>
      <c r="E8305" s="13" t="inlineStr">
        <is>
          <t>General</t>
        </is>
      </c>
      <c r="F8305" s="5" t="n"/>
      <c r="G8305" s="5" t="n"/>
      <c r="H8305" s="5" t="n">
        <v>1034</v>
      </c>
      <c r="I8305" s="5" t="n">
        <v>777</v>
      </c>
      <c r="J8305" s="5" t="n">
        <v>251</v>
      </c>
      <c r="K8305" s="10">
        <f>IF(F8305&gt;0,H8305/F8305,"")</f>
        <v/>
      </c>
      <c r="L8305" s="16">
        <f>IF(AND(G8305&gt;0,H8305&gt;0),G8305/H8305,"")</f>
        <v/>
      </c>
    </row>
    <row r="8306">
      <c r="A8306" s="4" t="inlineStr">
        <is>
          <t>100</t>
        </is>
      </c>
      <c r="B8306" s="4" t="n">
        <v>1</v>
      </c>
      <c r="C8306" s="4" t="inlineStr">
        <is>
          <t>whitetail</t>
        </is>
      </c>
      <c r="D8306" s="4" t="n">
        <v>2025</v>
      </c>
      <c r="E8306" s="13" t="inlineStr">
        <is>
          <t>General</t>
        </is>
      </c>
      <c r="F8306" s="5" t="n">
        <v>2765</v>
      </c>
      <c r="G8306" s="5" t="n">
        <v>22537</v>
      </c>
      <c r="H8306" s="5" t="n">
        <v>1021</v>
      </c>
      <c r="I8306" s="5" t="n">
        <v>750</v>
      </c>
      <c r="J8306" s="5" t="n">
        <v>264</v>
      </c>
      <c r="K8306" s="10">
        <f>IF(F8306&gt;0,H8306/F8306,"")</f>
        <v/>
      </c>
      <c r="L8306" s="16">
        <f>IF(AND(G8306&gt;0,H8306&gt;0),G8306/H8306,"")</f>
        <v/>
      </c>
    </row>
    <row r="8307">
      <c r="A8307" s="4" t="inlineStr">
        <is>
          <t>101</t>
        </is>
      </c>
      <c r="B8307" s="4" t="n">
        <v>1</v>
      </c>
      <c r="C8307" s="4" t="inlineStr">
        <is>
          <t>whitetail</t>
        </is>
      </c>
      <c r="D8307" s="4" t="n">
        <v>2004</v>
      </c>
      <c r="E8307" s="13" t="inlineStr">
        <is>
          <t>General</t>
        </is>
      </c>
      <c r="F8307" s="5" t="n">
        <v>3007</v>
      </c>
      <c r="G8307" s="5" t="n">
        <v>19204</v>
      </c>
      <c r="H8307" s="5" t="n">
        <v>1177</v>
      </c>
      <c r="I8307" s="5" t="n">
        <v>777</v>
      </c>
      <c r="J8307" s="5" t="n">
        <v>386</v>
      </c>
      <c r="K8307" s="10">
        <f>IF(F8307&gt;0,H8307/F8307,"")</f>
        <v/>
      </c>
      <c r="L8307" s="16">
        <f>IF(AND(G8307&gt;0,H8307&gt;0),G8307/H8307,"")</f>
        <v/>
      </c>
    </row>
    <row r="8308">
      <c r="A8308" s="4" t="inlineStr">
        <is>
          <t>101</t>
        </is>
      </c>
      <c r="B8308" s="4" t="n">
        <v>1</v>
      </c>
      <c r="C8308" s="4" t="inlineStr">
        <is>
          <t>whitetail</t>
        </is>
      </c>
      <c r="D8308" s="4" t="n">
        <v>2005</v>
      </c>
      <c r="E8308" s="13" t="inlineStr">
        <is>
          <t>General</t>
        </is>
      </c>
      <c r="F8308" s="5" t="n">
        <v>2996</v>
      </c>
      <c r="G8308" s="5" t="n">
        <v>21868</v>
      </c>
      <c r="H8308" s="5" t="n">
        <v>1413</v>
      </c>
      <c r="I8308" s="5" t="n">
        <v>865</v>
      </c>
      <c r="J8308" s="5" t="n">
        <v>513</v>
      </c>
      <c r="K8308" s="10">
        <f>IF(F8308&gt;0,H8308/F8308,"")</f>
        <v/>
      </c>
      <c r="L8308" s="16">
        <f>IF(AND(G8308&gt;0,H8308&gt;0),G8308/H8308,"")</f>
        <v/>
      </c>
    </row>
    <row r="8309">
      <c r="A8309" s="4" t="inlineStr">
        <is>
          <t>101</t>
        </is>
      </c>
      <c r="B8309" s="4" t="n">
        <v>1</v>
      </c>
      <c r="C8309" s="4" t="inlineStr">
        <is>
          <t>whitetail</t>
        </is>
      </c>
      <c r="D8309" s="4" t="n">
        <v>2006</v>
      </c>
      <c r="E8309" s="13" t="inlineStr">
        <is>
          <t>General</t>
        </is>
      </c>
      <c r="F8309" s="5" t="n">
        <v>3249</v>
      </c>
      <c r="G8309" s="5" t="n">
        <v>24159</v>
      </c>
      <c r="H8309" s="5" t="n">
        <v>1568</v>
      </c>
      <c r="I8309" s="5" t="n">
        <v>868</v>
      </c>
      <c r="J8309" s="5" t="n">
        <v>683</v>
      </c>
      <c r="K8309" s="10">
        <f>IF(F8309&gt;0,H8309/F8309,"")</f>
        <v/>
      </c>
      <c r="L8309" s="16">
        <f>IF(AND(G8309&gt;0,H8309&gt;0),G8309/H8309,"")</f>
        <v/>
      </c>
    </row>
    <row r="8310">
      <c r="A8310" s="4" t="inlineStr">
        <is>
          <t>101</t>
        </is>
      </c>
      <c r="B8310" s="4" t="n">
        <v>1</v>
      </c>
      <c r="C8310" s="4" t="inlineStr">
        <is>
          <t>whitetail</t>
        </is>
      </c>
      <c r="D8310" s="4" t="n">
        <v>2007</v>
      </c>
      <c r="E8310" s="13" t="inlineStr">
        <is>
          <t>General</t>
        </is>
      </c>
      <c r="F8310" s="5" t="n">
        <v>2950</v>
      </c>
      <c r="G8310" s="5" t="n">
        <v>21434</v>
      </c>
      <c r="H8310" s="5" t="n">
        <v>1438</v>
      </c>
      <c r="I8310" s="5" t="n">
        <v>730</v>
      </c>
      <c r="J8310" s="5" t="n">
        <v>698</v>
      </c>
      <c r="K8310" s="10">
        <f>IF(F8310&gt;0,H8310/F8310,"")</f>
        <v/>
      </c>
      <c r="L8310" s="16">
        <f>IF(AND(G8310&gt;0,H8310&gt;0),G8310/H8310,"")</f>
        <v/>
      </c>
    </row>
    <row r="8311">
      <c r="A8311" s="4" t="inlineStr">
        <is>
          <t>101</t>
        </is>
      </c>
      <c r="B8311" s="4" t="n">
        <v>1</v>
      </c>
      <c r="C8311" s="4" t="inlineStr">
        <is>
          <t>whitetail</t>
        </is>
      </c>
      <c r="D8311" s="4" t="n">
        <v>2008</v>
      </c>
      <c r="E8311" s="13" t="inlineStr">
        <is>
          <t>General</t>
        </is>
      </c>
      <c r="F8311" s="5" t="n">
        <v>2969</v>
      </c>
      <c r="G8311" s="5" t="n">
        <v>24712</v>
      </c>
      <c r="H8311" s="5" t="n">
        <v>1103</v>
      </c>
      <c r="I8311" s="5" t="n">
        <v>583</v>
      </c>
      <c r="J8311" s="5" t="n">
        <v>488</v>
      </c>
      <c r="K8311" s="10">
        <f>IF(F8311&gt;0,H8311/F8311,"")</f>
        <v/>
      </c>
      <c r="L8311" s="16">
        <f>IF(AND(G8311&gt;0,H8311&gt;0),G8311/H8311,"")</f>
        <v/>
      </c>
    </row>
    <row r="8312">
      <c r="A8312" s="4" t="inlineStr">
        <is>
          <t>101</t>
        </is>
      </c>
      <c r="B8312" s="4" t="n">
        <v>1</v>
      </c>
      <c r="C8312" s="4" t="inlineStr">
        <is>
          <t>whitetail</t>
        </is>
      </c>
      <c r="D8312" s="4" t="n">
        <v>2009</v>
      </c>
      <c r="E8312" s="13" t="inlineStr">
        <is>
          <t>General</t>
        </is>
      </c>
      <c r="F8312" s="5" t="n">
        <v>2785</v>
      </c>
      <c r="G8312" s="5" t="n">
        <v>20770</v>
      </c>
      <c r="H8312" s="5" t="n">
        <v>687</v>
      </c>
      <c r="I8312" s="5" t="n">
        <v>521</v>
      </c>
      <c r="J8312" s="5" t="n">
        <v>154</v>
      </c>
      <c r="K8312" s="10">
        <f>IF(F8312&gt;0,H8312/F8312,"")</f>
        <v/>
      </c>
      <c r="L8312" s="16">
        <f>IF(AND(G8312&gt;0,H8312&gt;0),G8312/H8312,"")</f>
        <v/>
      </c>
    </row>
    <row r="8313">
      <c r="A8313" s="4" t="inlineStr">
        <is>
          <t>101</t>
        </is>
      </c>
      <c r="B8313" s="4" t="n">
        <v>1</v>
      </c>
      <c r="C8313" s="4" t="inlineStr">
        <is>
          <t>whitetail</t>
        </is>
      </c>
      <c r="D8313" s="4" t="n">
        <v>2010</v>
      </c>
      <c r="E8313" s="13" t="inlineStr">
        <is>
          <t>General</t>
        </is>
      </c>
      <c r="F8313" s="5" t="n">
        <v>2418</v>
      </c>
      <c r="G8313" s="5" t="n">
        <v>21044</v>
      </c>
      <c r="H8313" s="5" t="n">
        <v>755</v>
      </c>
      <c r="I8313" s="5" t="n">
        <v>681</v>
      </c>
      <c r="J8313" s="5" t="n">
        <v>71</v>
      </c>
      <c r="K8313" s="10">
        <f>IF(F8313&gt;0,H8313/F8313,"")</f>
        <v/>
      </c>
      <c r="L8313" s="16">
        <f>IF(AND(G8313&gt;0,H8313&gt;0),G8313/H8313,"")</f>
        <v/>
      </c>
    </row>
    <row r="8314">
      <c r="A8314" s="4" t="inlineStr">
        <is>
          <t>101</t>
        </is>
      </c>
      <c r="B8314" s="4" t="n">
        <v>1</v>
      </c>
      <c r="C8314" s="4" t="inlineStr">
        <is>
          <t>whitetail</t>
        </is>
      </c>
      <c r="D8314" s="4" t="n">
        <v>2011</v>
      </c>
      <c r="E8314" s="13" t="inlineStr">
        <is>
          <t>General</t>
        </is>
      </c>
      <c r="F8314" s="5" t="n">
        <v>3001</v>
      </c>
      <c r="G8314" s="5" t="n">
        <v>24152</v>
      </c>
      <c r="H8314" s="5" t="n">
        <v>839</v>
      </c>
      <c r="I8314" s="5" t="n">
        <v>740</v>
      </c>
      <c r="J8314" s="5" t="n">
        <v>96</v>
      </c>
      <c r="K8314" s="10">
        <f>IF(F8314&gt;0,H8314/F8314,"")</f>
        <v/>
      </c>
      <c r="L8314" s="16">
        <f>IF(AND(G8314&gt;0,H8314&gt;0),G8314/H8314,"")</f>
        <v/>
      </c>
    </row>
    <row r="8315">
      <c r="A8315" s="4" t="inlineStr">
        <is>
          <t>101</t>
        </is>
      </c>
      <c r="B8315" s="4" t="n">
        <v>1</v>
      </c>
      <c r="C8315" s="4" t="inlineStr">
        <is>
          <t>whitetail</t>
        </is>
      </c>
      <c r="D8315" s="4" t="n">
        <v>2012</v>
      </c>
      <c r="E8315" s="13" t="inlineStr">
        <is>
          <t>General</t>
        </is>
      </c>
      <c r="F8315" s="5" t="n"/>
      <c r="G8315" s="5" t="n"/>
      <c r="H8315" s="5" t="n">
        <v>838</v>
      </c>
      <c r="I8315" s="5" t="n">
        <v>790</v>
      </c>
      <c r="J8315" s="5" t="n">
        <v>48</v>
      </c>
      <c r="K8315" s="10">
        <f>IF(F8315&gt;0,H8315/F8315,"")</f>
        <v/>
      </c>
      <c r="L8315" s="16">
        <f>IF(AND(G8315&gt;0,H8315&gt;0),G8315/H8315,"")</f>
        <v/>
      </c>
    </row>
    <row r="8316">
      <c r="A8316" s="4" t="inlineStr">
        <is>
          <t>101</t>
        </is>
      </c>
      <c r="B8316" s="4" t="n">
        <v>1</v>
      </c>
      <c r="C8316" s="4" t="inlineStr">
        <is>
          <t>whitetail</t>
        </is>
      </c>
      <c r="D8316" s="4" t="n">
        <v>2013</v>
      </c>
      <c r="E8316" s="13" t="inlineStr">
        <is>
          <t>General</t>
        </is>
      </c>
      <c r="F8316" s="5" t="n">
        <v>2842</v>
      </c>
      <c r="G8316" s="5" t="n">
        <v>21391</v>
      </c>
      <c r="H8316" s="5" t="n">
        <v>960</v>
      </c>
      <c r="I8316" s="5" t="n">
        <v>901</v>
      </c>
      <c r="J8316" s="5" t="n">
        <v>59</v>
      </c>
      <c r="K8316" s="10">
        <f>IF(F8316&gt;0,H8316/F8316,"")</f>
        <v/>
      </c>
      <c r="L8316" s="16">
        <f>IF(AND(G8316&gt;0,H8316&gt;0),G8316/H8316,"")</f>
        <v/>
      </c>
    </row>
    <row r="8317">
      <c r="A8317" s="4" t="inlineStr">
        <is>
          <t>101</t>
        </is>
      </c>
      <c r="B8317" s="4" t="n">
        <v>1</v>
      </c>
      <c r="C8317" s="4" t="inlineStr">
        <is>
          <t>whitetail</t>
        </is>
      </c>
      <c r="D8317" s="4" t="n">
        <v>2014</v>
      </c>
      <c r="E8317" s="13" t="inlineStr">
        <is>
          <t>General</t>
        </is>
      </c>
      <c r="F8317" s="5" t="n"/>
      <c r="G8317" s="5" t="n"/>
      <c r="H8317" s="5" t="n">
        <v>1085</v>
      </c>
      <c r="I8317" s="5" t="n">
        <v>980</v>
      </c>
      <c r="J8317" s="5" t="n">
        <v>100</v>
      </c>
      <c r="K8317" s="10">
        <f>IF(F8317&gt;0,H8317/F8317,"")</f>
        <v/>
      </c>
      <c r="L8317" s="16">
        <f>IF(AND(G8317&gt;0,H8317&gt;0),G8317/H8317,"")</f>
        <v/>
      </c>
    </row>
    <row r="8318">
      <c r="A8318" s="4" t="inlineStr">
        <is>
          <t>101</t>
        </is>
      </c>
      <c r="B8318" s="4" t="n">
        <v>1</v>
      </c>
      <c r="C8318" s="4" t="inlineStr">
        <is>
          <t>whitetail</t>
        </is>
      </c>
      <c r="D8318" s="4" t="n">
        <v>2015</v>
      </c>
      <c r="E8318" s="13" t="inlineStr">
        <is>
          <t>General</t>
        </is>
      </c>
      <c r="F8318" s="5" t="n"/>
      <c r="G8318" s="5" t="n"/>
      <c r="H8318" s="5" t="n">
        <v>1142</v>
      </c>
      <c r="I8318" s="5" t="n">
        <v>928</v>
      </c>
      <c r="J8318" s="5" t="n">
        <v>199</v>
      </c>
      <c r="K8318" s="10">
        <f>IF(F8318&gt;0,H8318/F8318,"")</f>
        <v/>
      </c>
      <c r="L8318" s="16">
        <f>IF(AND(G8318&gt;0,H8318&gt;0),G8318/H8318,"")</f>
        <v/>
      </c>
    </row>
    <row r="8319">
      <c r="A8319" s="4" t="inlineStr">
        <is>
          <t>101</t>
        </is>
      </c>
      <c r="B8319" s="4" t="n">
        <v>1</v>
      </c>
      <c r="C8319" s="4" t="inlineStr">
        <is>
          <t>whitetail</t>
        </is>
      </c>
      <c r="D8319" s="4" t="n">
        <v>2016</v>
      </c>
      <c r="E8319" s="13" t="inlineStr">
        <is>
          <t>General</t>
        </is>
      </c>
      <c r="F8319" s="5" t="n"/>
      <c r="G8319" s="5" t="n"/>
      <c r="H8319" s="5" t="n">
        <v>1355</v>
      </c>
      <c r="I8319" s="5" t="n">
        <v>1066</v>
      </c>
      <c r="J8319" s="5" t="n">
        <v>280</v>
      </c>
      <c r="K8319" s="10">
        <f>IF(F8319&gt;0,H8319/F8319,"")</f>
        <v/>
      </c>
      <c r="L8319" s="16">
        <f>IF(AND(G8319&gt;0,H8319&gt;0),G8319/H8319,"")</f>
        <v/>
      </c>
    </row>
    <row r="8320">
      <c r="A8320" s="4" t="inlineStr">
        <is>
          <t>101</t>
        </is>
      </c>
      <c r="B8320" s="4" t="n">
        <v>1</v>
      </c>
      <c r="C8320" s="4" t="inlineStr">
        <is>
          <t>whitetail</t>
        </is>
      </c>
      <c r="D8320" s="4" t="n">
        <v>2017</v>
      </c>
      <c r="E8320" s="13" t="inlineStr">
        <is>
          <t>General</t>
        </is>
      </c>
      <c r="F8320" s="5" t="n">
        <v>2765</v>
      </c>
      <c r="G8320" s="5" t="n">
        <v>19038</v>
      </c>
      <c r="H8320" s="5" t="n">
        <v>1101</v>
      </c>
      <c r="I8320" s="5" t="n">
        <v>883</v>
      </c>
      <c r="J8320" s="5" t="n">
        <v>218</v>
      </c>
      <c r="K8320" s="10">
        <f>IF(F8320&gt;0,H8320/F8320,"")</f>
        <v/>
      </c>
      <c r="L8320" s="16">
        <f>IF(AND(G8320&gt;0,H8320&gt;0),G8320/H8320,"")</f>
        <v/>
      </c>
    </row>
    <row r="8321">
      <c r="A8321" s="4" t="inlineStr">
        <is>
          <t>101</t>
        </is>
      </c>
      <c r="B8321" s="4" t="n">
        <v>1</v>
      </c>
      <c r="C8321" s="4" t="inlineStr">
        <is>
          <t>whitetail</t>
        </is>
      </c>
      <c r="D8321" s="4" t="n">
        <v>2018</v>
      </c>
      <c r="E8321" s="13" t="inlineStr">
        <is>
          <t>General</t>
        </is>
      </c>
      <c r="F8321" s="5" t="n"/>
      <c r="G8321" s="5" t="n"/>
      <c r="H8321" s="5" t="n">
        <v>915</v>
      </c>
      <c r="I8321" s="5" t="n">
        <v>713</v>
      </c>
      <c r="J8321" s="5" t="n">
        <v>195</v>
      </c>
      <c r="K8321" s="10">
        <f>IF(F8321&gt;0,H8321/F8321,"")</f>
        <v/>
      </c>
      <c r="L8321" s="16">
        <f>IF(AND(G8321&gt;0,H8321&gt;0),G8321/H8321,"")</f>
        <v/>
      </c>
    </row>
    <row r="8322">
      <c r="A8322" s="4" t="inlineStr">
        <is>
          <t>101</t>
        </is>
      </c>
      <c r="B8322" s="4" t="n">
        <v>1</v>
      </c>
      <c r="C8322" s="4" t="inlineStr">
        <is>
          <t>whitetail</t>
        </is>
      </c>
      <c r="D8322" s="4" t="n">
        <v>2019</v>
      </c>
      <c r="E8322" s="13" t="inlineStr">
        <is>
          <t>General</t>
        </is>
      </c>
      <c r="F8322" s="5" t="n">
        <v>2463</v>
      </c>
      <c r="G8322" s="5" t="n">
        <v>17376</v>
      </c>
      <c r="H8322" s="5" t="n">
        <v>931</v>
      </c>
      <c r="I8322" s="5" t="n">
        <v>756</v>
      </c>
      <c r="J8322" s="5" t="n">
        <v>175</v>
      </c>
      <c r="K8322" s="10">
        <f>IF(F8322&gt;0,H8322/F8322,"")</f>
        <v/>
      </c>
      <c r="L8322" s="16">
        <f>IF(AND(G8322&gt;0,H8322&gt;0),G8322/H8322,"")</f>
        <v/>
      </c>
    </row>
    <row r="8323">
      <c r="A8323" s="4" t="inlineStr">
        <is>
          <t>101</t>
        </is>
      </c>
      <c r="B8323" s="4" t="n">
        <v>1</v>
      </c>
      <c r="C8323" s="4" t="inlineStr">
        <is>
          <t>whitetail</t>
        </is>
      </c>
      <c r="D8323" s="4" t="n">
        <v>2020</v>
      </c>
      <c r="E8323" s="13" t="inlineStr">
        <is>
          <t>General</t>
        </is>
      </c>
      <c r="F8323" s="5" t="n"/>
      <c r="G8323" s="5" t="n"/>
      <c r="H8323" s="5" t="n">
        <v>976</v>
      </c>
      <c r="I8323" s="5" t="n">
        <v>735</v>
      </c>
      <c r="J8323" s="5" t="n">
        <v>241</v>
      </c>
      <c r="K8323" s="10">
        <f>IF(F8323&gt;0,H8323/F8323,"")</f>
        <v/>
      </c>
      <c r="L8323" s="16">
        <f>IF(AND(G8323&gt;0,H8323&gt;0),G8323/H8323,"")</f>
        <v/>
      </c>
    </row>
    <row r="8324">
      <c r="A8324" s="4" t="inlineStr">
        <is>
          <t>101</t>
        </is>
      </c>
      <c r="B8324" s="4" t="n">
        <v>1</v>
      </c>
      <c r="C8324" s="4" t="inlineStr">
        <is>
          <t>whitetail</t>
        </is>
      </c>
      <c r="D8324" s="4" t="n">
        <v>2021</v>
      </c>
      <c r="E8324" s="13" t="inlineStr">
        <is>
          <t>General</t>
        </is>
      </c>
      <c r="F8324" s="5" t="n">
        <v>2328</v>
      </c>
      <c r="G8324" s="5" t="n">
        <v>15644</v>
      </c>
      <c r="H8324" s="5" t="n">
        <v>896</v>
      </c>
      <c r="I8324" s="5" t="n">
        <v>713</v>
      </c>
      <c r="J8324" s="5" t="n">
        <v>183</v>
      </c>
      <c r="K8324" s="10">
        <f>IF(F8324&gt;0,H8324/F8324,"")</f>
        <v/>
      </c>
      <c r="L8324" s="16">
        <f>IF(AND(G8324&gt;0,H8324&gt;0),G8324/H8324,"")</f>
        <v/>
      </c>
    </row>
    <row r="8325">
      <c r="A8325" s="4" t="inlineStr">
        <is>
          <t>101</t>
        </is>
      </c>
      <c r="B8325" s="4" t="n">
        <v>1</v>
      </c>
      <c r="C8325" s="4" t="inlineStr">
        <is>
          <t>whitetail</t>
        </is>
      </c>
      <c r="D8325" s="4" t="n">
        <v>2022</v>
      </c>
      <c r="E8325" s="13" t="inlineStr">
        <is>
          <t>General</t>
        </is>
      </c>
      <c r="F8325" s="5" t="n"/>
      <c r="G8325" s="5" t="n"/>
      <c r="H8325" s="5" t="n">
        <v>1126</v>
      </c>
      <c r="I8325" s="5" t="n">
        <v>851</v>
      </c>
      <c r="J8325" s="5" t="n">
        <v>269</v>
      </c>
      <c r="K8325" s="10">
        <f>IF(F8325&gt;0,H8325/F8325,"")</f>
        <v/>
      </c>
      <c r="L8325" s="16">
        <f>IF(AND(G8325&gt;0,H8325&gt;0),G8325/H8325,"")</f>
        <v/>
      </c>
    </row>
    <row r="8326">
      <c r="A8326" s="4" t="inlineStr">
        <is>
          <t>101</t>
        </is>
      </c>
      <c r="B8326" s="4" t="n">
        <v>1</v>
      </c>
      <c r="C8326" s="4" t="inlineStr">
        <is>
          <t>whitetail</t>
        </is>
      </c>
      <c r="D8326" s="4" t="n">
        <v>2023</v>
      </c>
      <c r="E8326" s="13" t="inlineStr">
        <is>
          <t>General</t>
        </is>
      </c>
      <c r="F8326" s="5" t="n">
        <v>2955</v>
      </c>
      <c r="G8326" s="5" t="n">
        <v>21834</v>
      </c>
      <c r="H8326" s="5" t="n">
        <v>1176</v>
      </c>
      <c r="I8326" s="5" t="n">
        <v>882</v>
      </c>
      <c r="J8326" s="5" t="n">
        <v>294</v>
      </c>
      <c r="K8326" s="10">
        <f>IF(F8326&gt;0,H8326/F8326,"")</f>
        <v/>
      </c>
      <c r="L8326" s="16">
        <f>IF(AND(G8326&gt;0,H8326&gt;0),G8326/H8326,"")</f>
        <v/>
      </c>
    </row>
    <row r="8327">
      <c r="A8327" s="4" t="inlineStr">
        <is>
          <t>101</t>
        </is>
      </c>
      <c r="B8327" s="4" t="n">
        <v>1</v>
      </c>
      <c r="C8327" s="4" t="inlineStr">
        <is>
          <t>whitetail</t>
        </is>
      </c>
      <c r="D8327" s="4" t="n">
        <v>2024</v>
      </c>
      <c r="E8327" s="13" t="inlineStr">
        <is>
          <t>General</t>
        </is>
      </c>
      <c r="F8327" s="5" t="n"/>
      <c r="G8327" s="5" t="n"/>
      <c r="H8327" s="5" t="n">
        <v>1441</v>
      </c>
      <c r="I8327" s="5" t="n">
        <v>984</v>
      </c>
      <c r="J8327" s="5" t="n">
        <v>454</v>
      </c>
      <c r="K8327" s="10">
        <f>IF(F8327&gt;0,H8327/F8327,"")</f>
        <v/>
      </c>
      <c r="L8327" s="16">
        <f>IF(AND(G8327&gt;0,H8327&gt;0),G8327/H8327,"")</f>
        <v/>
      </c>
    </row>
    <row r="8328">
      <c r="A8328" s="4" t="inlineStr">
        <is>
          <t>101</t>
        </is>
      </c>
      <c r="B8328" s="4" t="n">
        <v>1</v>
      </c>
      <c r="C8328" s="4" t="inlineStr">
        <is>
          <t>whitetail</t>
        </is>
      </c>
      <c r="D8328" s="4" t="n">
        <v>2025</v>
      </c>
      <c r="E8328" s="13" t="inlineStr">
        <is>
          <t>General</t>
        </is>
      </c>
      <c r="F8328" s="5" t="n">
        <v>2913</v>
      </c>
      <c r="G8328" s="5" t="n">
        <v>22019</v>
      </c>
      <c r="H8328" s="5" t="n">
        <v>1066</v>
      </c>
      <c r="I8328" s="5" t="n">
        <v>770</v>
      </c>
      <c r="J8328" s="5" t="n">
        <v>293</v>
      </c>
      <c r="K8328" s="10">
        <f>IF(F8328&gt;0,H8328/F8328,"")</f>
        <v/>
      </c>
      <c r="L8328" s="16">
        <f>IF(AND(G8328&gt;0,H8328&gt;0),G8328/H8328,"")</f>
        <v/>
      </c>
    </row>
    <row r="8329">
      <c r="A8329" s="4" t="inlineStr">
        <is>
          <t>102</t>
        </is>
      </c>
      <c r="B8329" s="4" t="n">
        <v>1</v>
      </c>
      <c r="C8329" s="4" t="inlineStr">
        <is>
          <t>whitetail</t>
        </is>
      </c>
      <c r="D8329" s="4" t="n">
        <v>2004</v>
      </c>
      <c r="E8329" s="4" t="inlineStr"/>
      <c r="F8329" s="5" t="n">
        <v>3826</v>
      </c>
      <c r="G8329" s="5" t="n">
        <v>19928</v>
      </c>
      <c r="H8329" s="5" t="n">
        <v>1596</v>
      </c>
      <c r="I8329" s="5" t="n">
        <v>1103</v>
      </c>
      <c r="J8329" s="5" t="n">
        <v>485</v>
      </c>
      <c r="K8329" s="10">
        <f>IF(F8329&gt;0,H8329/F8329,"")</f>
        <v/>
      </c>
      <c r="L8329" s="16">
        <f>IF(AND(G8329&gt;0,H8329&gt;0),G8329/H8329,"")</f>
        <v/>
      </c>
    </row>
    <row r="8330">
      <c r="A8330" s="4" t="inlineStr">
        <is>
          <t>102</t>
        </is>
      </c>
      <c r="B8330" s="4" t="n">
        <v>1</v>
      </c>
      <c r="C8330" s="4" t="inlineStr">
        <is>
          <t>whitetail</t>
        </is>
      </c>
      <c r="D8330" s="4" t="n">
        <v>2005</v>
      </c>
      <c r="E8330" s="4" t="inlineStr"/>
      <c r="F8330" s="5" t="n">
        <v>3631</v>
      </c>
      <c r="G8330" s="5" t="n">
        <v>20050</v>
      </c>
      <c r="H8330" s="5" t="n">
        <v>1461</v>
      </c>
      <c r="I8330" s="5" t="n">
        <v>876</v>
      </c>
      <c r="J8330" s="5" t="n">
        <v>575</v>
      </c>
      <c r="K8330" s="10">
        <f>IF(F8330&gt;0,H8330/F8330,"")</f>
        <v/>
      </c>
      <c r="L8330" s="16">
        <f>IF(AND(G8330&gt;0,H8330&gt;0),G8330/H8330,"")</f>
        <v/>
      </c>
    </row>
    <row r="8331">
      <c r="A8331" s="4" t="inlineStr">
        <is>
          <t>102</t>
        </is>
      </c>
      <c r="B8331" s="4" t="n">
        <v>1</v>
      </c>
      <c r="C8331" s="4" t="inlineStr">
        <is>
          <t>whitetail</t>
        </is>
      </c>
      <c r="D8331" s="4" t="n">
        <v>2006</v>
      </c>
      <c r="E8331" s="4" t="inlineStr"/>
      <c r="F8331" s="5" t="n">
        <v>3933</v>
      </c>
      <c r="G8331" s="5" t="n">
        <v>24352</v>
      </c>
      <c r="H8331" s="5" t="n">
        <v>1549</v>
      </c>
      <c r="I8331" s="5" t="n">
        <v>932</v>
      </c>
      <c r="J8331" s="5" t="n">
        <v>607</v>
      </c>
      <c r="K8331" s="10">
        <f>IF(F8331&gt;0,H8331/F8331,"")</f>
        <v/>
      </c>
      <c r="L8331" s="16">
        <f>IF(AND(G8331&gt;0,H8331&gt;0),G8331/H8331,"")</f>
        <v/>
      </c>
    </row>
    <row r="8332">
      <c r="A8332" s="4" t="inlineStr">
        <is>
          <t>102</t>
        </is>
      </c>
      <c r="B8332" s="4" t="n">
        <v>1</v>
      </c>
      <c r="C8332" s="4" t="inlineStr">
        <is>
          <t>whitetail</t>
        </is>
      </c>
      <c r="D8332" s="4" t="n">
        <v>2007</v>
      </c>
      <c r="E8332" s="4" t="inlineStr"/>
      <c r="F8332" s="5" t="n">
        <v>3660</v>
      </c>
      <c r="G8332" s="5" t="n">
        <v>23576</v>
      </c>
      <c r="H8332" s="5" t="n">
        <v>1306</v>
      </c>
      <c r="I8332" s="5" t="n">
        <v>763</v>
      </c>
      <c r="J8332" s="5" t="n">
        <v>517</v>
      </c>
      <c r="K8332" s="10">
        <f>IF(F8332&gt;0,H8332/F8332,"")</f>
        <v/>
      </c>
      <c r="L8332" s="16">
        <f>IF(AND(G8332&gt;0,H8332&gt;0),G8332/H8332,"")</f>
        <v/>
      </c>
    </row>
    <row r="8333">
      <c r="A8333" s="4" t="inlineStr">
        <is>
          <t>102</t>
        </is>
      </c>
      <c r="B8333" s="4" t="n">
        <v>1</v>
      </c>
      <c r="C8333" s="4" t="inlineStr">
        <is>
          <t>whitetail</t>
        </is>
      </c>
      <c r="D8333" s="4" t="n">
        <v>2008</v>
      </c>
      <c r="E8333" s="4" t="inlineStr"/>
      <c r="F8333" s="5" t="n">
        <v>3452</v>
      </c>
      <c r="G8333" s="5" t="n">
        <v>22771</v>
      </c>
      <c r="H8333" s="5" t="n">
        <v>936</v>
      </c>
      <c r="I8333" s="5" t="n">
        <v>566</v>
      </c>
      <c r="J8333" s="5" t="n">
        <v>366</v>
      </c>
      <c r="K8333" s="10">
        <f>IF(F8333&gt;0,H8333/F8333,"")</f>
        <v/>
      </c>
      <c r="L8333" s="16">
        <f>IF(AND(G8333&gt;0,H8333&gt;0),G8333/H8333,"")</f>
        <v/>
      </c>
    </row>
    <row r="8334">
      <c r="A8334" s="4" t="inlineStr">
        <is>
          <t>102</t>
        </is>
      </c>
      <c r="B8334" s="4" t="n">
        <v>1</v>
      </c>
      <c r="C8334" s="4" t="inlineStr">
        <is>
          <t>whitetail</t>
        </is>
      </c>
      <c r="D8334" s="4" t="n">
        <v>2009</v>
      </c>
      <c r="E8334" s="4" t="inlineStr"/>
      <c r="F8334" s="5" t="n">
        <v>3233</v>
      </c>
      <c r="G8334" s="5" t="n">
        <v>20024</v>
      </c>
      <c r="H8334" s="5" t="n">
        <v>596</v>
      </c>
      <c r="I8334" s="5" t="n">
        <v>445</v>
      </c>
      <c r="J8334" s="5" t="n">
        <v>142</v>
      </c>
      <c r="K8334" s="10">
        <f>IF(F8334&gt;0,H8334/F8334,"")</f>
        <v/>
      </c>
      <c r="L8334" s="16">
        <f>IF(AND(G8334&gt;0,H8334&gt;0),G8334/H8334,"")</f>
        <v/>
      </c>
    </row>
    <row r="8335">
      <c r="A8335" s="4" t="inlineStr">
        <is>
          <t>102</t>
        </is>
      </c>
      <c r="B8335" s="4" t="n">
        <v>1</v>
      </c>
      <c r="C8335" s="4" t="inlineStr">
        <is>
          <t>whitetail</t>
        </is>
      </c>
      <c r="D8335" s="4" t="n">
        <v>2010</v>
      </c>
      <c r="E8335" s="4" t="inlineStr"/>
      <c r="F8335" s="5" t="n">
        <v>2719</v>
      </c>
      <c r="G8335" s="5" t="n">
        <v>17536</v>
      </c>
      <c r="H8335" s="5" t="n">
        <v>690</v>
      </c>
      <c r="I8335" s="5" t="n">
        <v>623</v>
      </c>
      <c r="J8335" s="5" t="n">
        <v>65</v>
      </c>
      <c r="K8335" s="10">
        <f>IF(F8335&gt;0,H8335/F8335,"")</f>
        <v/>
      </c>
      <c r="L8335" s="16">
        <f>IF(AND(G8335&gt;0,H8335&gt;0),G8335/H8335,"")</f>
        <v/>
      </c>
    </row>
    <row r="8336">
      <c r="A8336" s="4" t="inlineStr">
        <is>
          <t>102</t>
        </is>
      </c>
      <c r="B8336" s="4" t="n">
        <v>1</v>
      </c>
      <c r="C8336" s="4" t="inlineStr">
        <is>
          <t>whitetail</t>
        </is>
      </c>
      <c r="D8336" s="4" t="n">
        <v>2011</v>
      </c>
      <c r="E8336" s="4" t="inlineStr"/>
      <c r="F8336" s="5" t="n">
        <v>3112</v>
      </c>
      <c r="G8336" s="5" t="n">
        <v>20438</v>
      </c>
      <c r="H8336" s="5" t="n">
        <v>722</v>
      </c>
      <c r="I8336" s="5" t="n">
        <v>593</v>
      </c>
      <c r="J8336" s="5" t="n">
        <v>122</v>
      </c>
      <c r="K8336" s="10">
        <f>IF(F8336&gt;0,H8336/F8336,"")</f>
        <v/>
      </c>
      <c r="L8336" s="16">
        <f>IF(AND(G8336&gt;0,H8336&gt;0),G8336/H8336,"")</f>
        <v/>
      </c>
    </row>
    <row r="8337">
      <c r="A8337" s="4" t="inlineStr">
        <is>
          <t>102</t>
        </is>
      </c>
      <c r="B8337" s="4" t="n">
        <v>1</v>
      </c>
      <c r="C8337" s="4" t="inlineStr">
        <is>
          <t>whitetail</t>
        </is>
      </c>
      <c r="D8337" s="4" t="n">
        <v>2012</v>
      </c>
      <c r="E8337" s="4" t="inlineStr"/>
      <c r="F8337" s="5" t="n"/>
      <c r="G8337" s="5" t="n"/>
      <c r="H8337" s="5" t="n">
        <v>631</v>
      </c>
      <c r="I8337" s="5" t="n">
        <v>570</v>
      </c>
      <c r="J8337" s="5" t="n">
        <v>56</v>
      </c>
      <c r="K8337" s="10">
        <f>IF(F8337&gt;0,H8337/F8337,"")</f>
        <v/>
      </c>
      <c r="L8337" s="16">
        <f>IF(AND(G8337&gt;0,H8337&gt;0),G8337/H8337,"")</f>
        <v/>
      </c>
    </row>
    <row r="8338">
      <c r="A8338" s="4" t="inlineStr">
        <is>
          <t>102</t>
        </is>
      </c>
      <c r="B8338" s="4" t="n">
        <v>1</v>
      </c>
      <c r="C8338" s="4" t="inlineStr">
        <is>
          <t>whitetail</t>
        </is>
      </c>
      <c r="D8338" s="4" t="n">
        <v>2013</v>
      </c>
      <c r="E8338" s="4" t="inlineStr"/>
      <c r="F8338" s="5" t="n">
        <v>3209</v>
      </c>
      <c r="G8338" s="5" t="n">
        <v>20289</v>
      </c>
      <c r="H8338" s="5" t="n">
        <v>759</v>
      </c>
      <c r="I8338" s="5" t="n">
        <v>717</v>
      </c>
      <c r="J8338" s="5" t="n">
        <v>42</v>
      </c>
      <c r="K8338" s="10">
        <f>IF(F8338&gt;0,H8338/F8338,"")</f>
        <v/>
      </c>
      <c r="L8338" s="16">
        <f>IF(AND(G8338&gt;0,H8338&gt;0),G8338/H8338,"")</f>
        <v/>
      </c>
    </row>
    <row r="8339">
      <c r="A8339" s="4" t="inlineStr">
        <is>
          <t>102</t>
        </is>
      </c>
      <c r="B8339" s="4" t="n">
        <v>1</v>
      </c>
      <c r="C8339" s="4" t="inlineStr">
        <is>
          <t>whitetail</t>
        </is>
      </c>
      <c r="D8339" s="4" t="n">
        <v>2014</v>
      </c>
      <c r="E8339" s="4" t="inlineStr"/>
      <c r="F8339" s="5" t="n"/>
      <c r="G8339" s="5" t="n"/>
      <c r="H8339" s="5" t="n">
        <v>808</v>
      </c>
      <c r="I8339" s="5" t="n">
        <v>719</v>
      </c>
      <c r="J8339" s="5" t="n">
        <v>84</v>
      </c>
      <c r="K8339" s="10">
        <f>IF(F8339&gt;0,H8339/F8339,"")</f>
        <v/>
      </c>
      <c r="L8339" s="16">
        <f>IF(AND(G8339&gt;0,H8339&gt;0),G8339/H8339,"")</f>
        <v/>
      </c>
    </row>
    <row r="8340">
      <c r="A8340" s="4" t="inlineStr">
        <is>
          <t>102</t>
        </is>
      </c>
      <c r="B8340" s="4" t="n">
        <v>1</v>
      </c>
      <c r="C8340" s="4" t="inlineStr">
        <is>
          <t>whitetail</t>
        </is>
      </c>
      <c r="D8340" s="4" t="n">
        <v>2015</v>
      </c>
      <c r="E8340" s="4" t="inlineStr"/>
      <c r="F8340" s="5" t="n"/>
      <c r="G8340" s="5" t="n"/>
      <c r="H8340" s="5" t="n">
        <v>1001</v>
      </c>
      <c r="I8340" s="5" t="n">
        <v>802</v>
      </c>
      <c r="J8340" s="5" t="n">
        <v>196</v>
      </c>
      <c r="K8340" s="10">
        <f>IF(F8340&gt;0,H8340/F8340,"")</f>
        <v/>
      </c>
      <c r="L8340" s="16">
        <f>IF(AND(G8340&gt;0,H8340&gt;0),G8340/H8340,"")</f>
        <v/>
      </c>
    </row>
    <row r="8341">
      <c r="A8341" s="4" t="inlineStr">
        <is>
          <t>102</t>
        </is>
      </c>
      <c r="B8341" s="4" t="n">
        <v>1</v>
      </c>
      <c r="C8341" s="4" t="inlineStr">
        <is>
          <t>whitetail</t>
        </is>
      </c>
      <c r="D8341" s="4" t="n">
        <v>2016</v>
      </c>
      <c r="E8341" s="4" t="inlineStr"/>
      <c r="F8341" s="5" t="n"/>
      <c r="G8341" s="5" t="n"/>
      <c r="H8341" s="5" t="n">
        <v>1201</v>
      </c>
      <c r="I8341" s="5" t="n">
        <v>908</v>
      </c>
      <c r="J8341" s="5" t="n">
        <v>281</v>
      </c>
      <c r="K8341" s="10">
        <f>IF(F8341&gt;0,H8341/F8341,"")</f>
        <v/>
      </c>
      <c r="L8341" s="16">
        <f>IF(AND(G8341&gt;0,H8341&gt;0),G8341/H8341,"")</f>
        <v/>
      </c>
    </row>
    <row r="8342">
      <c r="A8342" s="4" t="inlineStr">
        <is>
          <t>102</t>
        </is>
      </c>
      <c r="B8342" s="4" t="n">
        <v>1</v>
      </c>
      <c r="C8342" s="4" t="inlineStr">
        <is>
          <t>whitetail</t>
        </is>
      </c>
      <c r="D8342" s="4" t="n">
        <v>2017</v>
      </c>
      <c r="E8342" s="4" t="inlineStr"/>
      <c r="F8342" s="5" t="n">
        <v>2845</v>
      </c>
      <c r="G8342" s="5" t="n">
        <v>17096</v>
      </c>
      <c r="H8342" s="5" t="n">
        <v>916</v>
      </c>
      <c r="I8342" s="5" t="n">
        <v>700</v>
      </c>
      <c r="J8342" s="5" t="n">
        <v>213</v>
      </c>
      <c r="K8342" s="10">
        <f>IF(F8342&gt;0,H8342/F8342,"")</f>
        <v/>
      </c>
      <c r="L8342" s="16">
        <f>IF(AND(G8342&gt;0,H8342&gt;0),G8342/H8342,"")</f>
        <v/>
      </c>
    </row>
    <row r="8343">
      <c r="A8343" s="4" t="inlineStr">
        <is>
          <t>102</t>
        </is>
      </c>
      <c r="B8343" s="4" t="n">
        <v>1</v>
      </c>
      <c r="C8343" s="4" t="inlineStr">
        <is>
          <t>whitetail</t>
        </is>
      </c>
      <c r="D8343" s="4" t="n">
        <v>2018</v>
      </c>
      <c r="E8343" s="4" t="inlineStr"/>
      <c r="F8343" s="5" t="n"/>
      <c r="G8343" s="5" t="n"/>
      <c r="H8343" s="5" t="n">
        <v>803</v>
      </c>
      <c r="I8343" s="5" t="n">
        <v>630</v>
      </c>
      <c r="J8343" s="5" t="n">
        <v>169</v>
      </c>
      <c r="K8343" s="10">
        <f>IF(F8343&gt;0,H8343/F8343,"")</f>
        <v/>
      </c>
      <c r="L8343" s="16">
        <f>IF(AND(G8343&gt;0,H8343&gt;0),G8343/H8343,"")</f>
        <v/>
      </c>
    </row>
    <row r="8344">
      <c r="A8344" s="4" t="inlineStr">
        <is>
          <t>102</t>
        </is>
      </c>
      <c r="B8344" s="4" t="n">
        <v>1</v>
      </c>
      <c r="C8344" s="4" t="inlineStr">
        <is>
          <t>whitetail</t>
        </is>
      </c>
      <c r="D8344" s="4" t="n">
        <v>2019</v>
      </c>
      <c r="E8344" s="4" t="inlineStr"/>
      <c r="F8344" s="5" t="n">
        <v>2439</v>
      </c>
      <c r="G8344" s="5" t="n">
        <v>14834</v>
      </c>
      <c r="H8344" s="5" t="n">
        <v>656</v>
      </c>
      <c r="I8344" s="5" t="n">
        <v>575</v>
      </c>
      <c r="J8344" s="5" t="n">
        <v>78</v>
      </c>
      <c r="K8344" s="10">
        <f>IF(F8344&gt;0,H8344/F8344,"")</f>
        <v/>
      </c>
      <c r="L8344" s="16">
        <f>IF(AND(G8344&gt;0,H8344&gt;0),G8344/H8344,"")</f>
        <v/>
      </c>
    </row>
    <row r="8345">
      <c r="A8345" s="4" t="inlineStr">
        <is>
          <t>102</t>
        </is>
      </c>
      <c r="B8345" s="4" t="n">
        <v>1</v>
      </c>
      <c r="C8345" s="4" t="inlineStr">
        <is>
          <t>whitetail</t>
        </is>
      </c>
      <c r="D8345" s="4" t="n">
        <v>2020</v>
      </c>
      <c r="E8345" s="4" t="inlineStr"/>
      <c r="F8345" s="5" t="n"/>
      <c r="G8345" s="5" t="n"/>
      <c r="H8345" s="5" t="n">
        <v>802</v>
      </c>
      <c r="I8345" s="5" t="n">
        <v>658</v>
      </c>
      <c r="J8345" s="5" t="n">
        <v>137</v>
      </c>
      <c r="K8345" s="10">
        <f>IF(F8345&gt;0,H8345/F8345,"")</f>
        <v/>
      </c>
      <c r="L8345" s="16">
        <f>IF(AND(G8345&gt;0,H8345&gt;0),G8345/H8345,"")</f>
        <v/>
      </c>
    </row>
    <row r="8346">
      <c r="A8346" s="4" t="inlineStr">
        <is>
          <t>102</t>
        </is>
      </c>
      <c r="B8346" s="4" t="n">
        <v>1</v>
      </c>
      <c r="C8346" s="4" t="inlineStr">
        <is>
          <t>whitetail</t>
        </is>
      </c>
      <c r="D8346" s="4" t="n">
        <v>2021</v>
      </c>
      <c r="E8346" s="4" t="inlineStr"/>
      <c r="F8346" s="5" t="n">
        <v>2620</v>
      </c>
      <c r="G8346" s="5" t="n">
        <v>15805</v>
      </c>
      <c r="H8346" s="5" t="n">
        <v>766</v>
      </c>
      <c r="I8346" s="5" t="n">
        <v>654</v>
      </c>
      <c r="J8346" s="5" t="n">
        <v>108</v>
      </c>
      <c r="K8346" s="10">
        <f>IF(F8346&gt;0,H8346/F8346,"")</f>
        <v/>
      </c>
      <c r="L8346" s="16">
        <f>IF(AND(G8346&gt;0,H8346&gt;0),G8346/H8346,"")</f>
        <v/>
      </c>
    </row>
    <row r="8347">
      <c r="A8347" s="4" t="inlineStr">
        <is>
          <t>103</t>
        </is>
      </c>
      <c r="B8347" s="4" t="n">
        <v>1</v>
      </c>
      <c r="C8347" s="4" t="inlineStr">
        <is>
          <t>whitetail</t>
        </is>
      </c>
      <c r="D8347" s="4" t="n">
        <v>2004</v>
      </c>
      <c r="E8347" s="13" t="inlineStr">
        <is>
          <t>General</t>
        </is>
      </c>
      <c r="F8347" s="5" t="n">
        <v>3950</v>
      </c>
      <c r="G8347" s="5" t="n">
        <v>23098</v>
      </c>
      <c r="H8347" s="5" t="n">
        <v>1227</v>
      </c>
      <c r="I8347" s="5" t="n">
        <v>825</v>
      </c>
      <c r="J8347" s="5" t="n">
        <v>387</v>
      </c>
      <c r="K8347" s="10">
        <f>IF(F8347&gt;0,H8347/F8347,"")</f>
        <v/>
      </c>
      <c r="L8347" s="16">
        <f>IF(AND(G8347&gt;0,H8347&gt;0),G8347/H8347,"")</f>
        <v/>
      </c>
    </row>
    <row r="8348">
      <c r="A8348" s="4" t="inlineStr">
        <is>
          <t>103</t>
        </is>
      </c>
      <c r="B8348" s="4" t="n">
        <v>1</v>
      </c>
      <c r="C8348" s="4" t="inlineStr">
        <is>
          <t>whitetail</t>
        </is>
      </c>
      <c r="D8348" s="4" t="n">
        <v>2005</v>
      </c>
      <c r="E8348" s="13" t="inlineStr">
        <is>
          <t>General</t>
        </is>
      </c>
      <c r="F8348" s="5" t="n">
        <v>3701</v>
      </c>
      <c r="G8348" s="5" t="n">
        <v>25304</v>
      </c>
      <c r="H8348" s="5" t="n">
        <v>1228</v>
      </c>
      <c r="I8348" s="5" t="n">
        <v>833</v>
      </c>
      <c r="J8348" s="5" t="n">
        <v>382</v>
      </c>
      <c r="K8348" s="10">
        <f>IF(F8348&gt;0,H8348/F8348,"")</f>
        <v/>
      </c>
      <c r="L8348" s="16">
        <f>IF(AND(G8348&gt;0,H8348&gt;0),G8348/H8348,"")</f>
        <v/>
      </c>
    </row>
    <row r="8349">
      <c r="A8349" s="4" t="inlineStr">
        <is>
          <t>103</t>
        </is>
      </c>
      <c r="B8349" s="4" t="n">
        <v>1</v>
      </c>
      <c r="C8349" s="4" t="inlineStr">
        <is>
          <t>whitetail</t>
        </is>
      </c>
      <c r="D8349" s="4" t="n">
        <v>2006</v>
      </c>
      <c r="E8349" s="13" t="inlineStr">
        <is>
          <t>General</t>
        </is>
      </c>
      <c r="F8349" s="5" t="n">
        <v>3601</v>
      </c>
      <c r="G8349" s="5" t="n">
        <v>25102</v>
      </c>
      <c r="H8349" s="5" t="n">
        <v>1308</v>
      </c>
      <c r="I8349" s="5" t="n">
        <v>786</v>
      </c>
      <c r="J8349" s="5" t="n">
        <v>500</v>
      </c>
      <c r="K8349" s="10">
        <f>IF(F8349&gt;0,H8349/F8349,"")</f>
        <v/>
      </c>
      <c r="L8349" s="16">
        <f>IF(AND(G8349&gt;0,H8349&gt;0),G8349/H8349,"")</f>
        <v/>
      </c>
    </row>
    <row r="8350">
      <c r="A8350" s="4" t="inlineStr">
        <is>
          <t>103</t>
        </is>
      </c>
      <c r="B8350" s="4" t="n">
        <v>1</v>
      </c>
      <c r="C8350" s="4" t="inlineStr">
        <is>
          <t>whitetail</t>
        </is>
      </c>
      <c r="D8350" s="4" t="n">
        <v>2007</v>
      </c>
      <c r="E8350" s="13" t="inlineStr">
        <is>
          <t>General</t>
        </is>
      </c>
      <c r="F8350" s="5" t="n">
        <v>3424</v>
      </c>
      <c r="G8350" s="5" t="n">
        <v>25275</v>
      </c>
      <c r="H8350" s="5" t="n">
        <v>1125</v>
      </c>
      <c r="I8350" s="5" t="n">
        <v>637</v>
      </c>
      <c r="J8350" s="5" t="n">
        <v>480</v>
      </c>
      <c r="K8350" s="10">
        <f>IF(F8350&gt;0,H8350/F8350,"")</f>
        <v/>
      </c>
      <c r="L8350" s="16">
        <f>IF(AND(G8350&gt;0,H8350&gt;0),G8350/H8350,"")</f>
        <v/>
      </c>
    </row>
    <row r="8351">
      <c r="A8351" s="4" t="inlineStr">
        <is>
          <t>103</t>
        </is>
      </c>
      <c r="B8351" s="4" t="n">
        <v>1</v>
      </c>
      <c r="C8351" s="4" t="inlineStr">
        <is>
          <t>whitetail</t>
        </is>
      </c>
      <c r="D8351" s="4" t="n">
        <v>2008</v>
      </c>
      <c r="E8351" s="13" t="inlineStr">
        <is>
          <t>General</t>
        </is>
      </c>
      <c r="F8351" s="5" t="n">
        <v>3398</v>
      </c>
      <c r="G8351" s="5" t="n">
        <v>24493</v>
      </c>
      <c r="H8351" s="5" t="n">
        <v>829</v>
      </c>
      <c r="I8351" s="5" t="n">
        <v>494</v>
      </c>
      <c r="J8351" s="5" t="n">
        <v>332</v>
      </c>
      <c r="K8351" s="10">
        <f>IF(F8351&gt;0,H8351/F8351,"")</f>
        <v/>
      </c>
      <c r="L8351" s="16">
        <f>IF(AND(G8351&gt;0,H8351&gt;0),G8351/H8351,"")</f>
        <v/>
      </c>
    </row>
    <row r="8352">
      <c r="A8352" s="4" t="inlineStr">
        <is>
          <t>103</t>
        </is>
      </c>
      <c r="B8352" s="4" t="n">
        <v>1</v>
      </c>
      <c r="C8352" s="4" t="inlineStr">
        <is>
          <t>whitetail</t>
        </is>
      </c>
      <c r="D8352" s="4" t="n">
        <v>2009</v>
      </c>
      <c r="E8352" s="13" t="inlineStr">
        <is>
          <t>General</t>
        </is>
      </c>
      <c r="F8352" s="5" t="n">
        <v>3065</v>
      </c>
      <c r="G8352" s="5" t="n">
        <v>23391</v>
      </c>
      <c r="H8352" s="5" t="n">
        <v>536</v>
      </c>
      <c r="I8352" s="5" t="n">
        <v>408</v>
      </c>
      <c r="J8352" s="5" t="n">
        <v>122</v>
      </c>
      <c r="K8352" s="10">
        <f>IF(F8352&gt;0,H8352/F8352,"")</f>
        <v/>
      </c>
      <c r="L8352" s="16">
        <f>IF(AND(G8352&gt;0,H8352&gt;0),G8352/H8352,"")</f>
        <v/>
      </c>
    </row>
    <row r="8353">
      <c r="A8353" s="4" t="inlineStr">
        <is>
          <t>103</t>
        </is>
      </c>
      <c r="B8353" s="4" t="n">
        <v>1</v>
      </c>
      <c r="C8353" s="4" t="inlineStr">
        <is>
          <t>whitetail</t>
        </is>
      </c>
      <c r="D8353" s="4" t="n">
        <v>2010</v>
      </c>
      <c r="E8353" s="13" t="inlineStr">
        <is>
          <t>General</t>
        </is>
      </c>
      <c r="F8353" s="5" t="n">
        <v>2738</v>
      </c>
      <c r="G8353" s="5" t="n">
        <v>19912</v>
      </c>
      <c r="H8353" s="5" t="n">
        <v>648</v>
      </c>
      <c r="I8353" s="5" t="n">
        <v>545</v>
      </c>
      <c r="J8353" s="5" t="n">
        <v>92</v>
      </c>
      <c r="K8353" s="10">
        <f>IF(F8353&gt;0,H8353/F8353,"")</f>
        <v/>
      </c>
      <c r="L8353" s="16">
        <f>IF(AND(G8353&gt;0,H8353&gt;0),G8353/H8353,"")</f>
        <v/>
      </c>
    </row>
    <row r="8354">
      <c r="A8354" s="4" t="inlineStr">
        <is>
          <t>103</t>
        </is>
      </c>
      <c r="B8354" s="4" t="n">
        <v>1</v>
      </c>
      <c r="C8354" s="4" t="inlineStr">
        <is>
          <t>whitetail</t>
        </is>
      </c>
      <c r="D8354" s="4" t="n">
        <v>2011</v>
      </c>
      <c r="E8354" s="13" t="inlineStr">
        <is>
          <t>General</t>
        </is>
      </c>
      <c r="F8354" s="5" t="n">
        <v>2852</v>
      </c>
      <c r="G8354" s="5" t="n">
        <v>20163</v>
      </c>
      <c r="H8354" s="5" t="n">
        <v>571</v>
      </c>
      <c r="I8354" s="5" t="n">
        <v>494</v>
      </c>
      <c r="J8354" s="5" t="n">
        <v>74</v>
      </c>
      <c r="K8354" s="10">
        <f>IF(F8354&gt;0,H8354/F8354,"")</f>
        <v/>
      </c>
      <c r="L8354" s="16">
        <f>IF(AND(G8354&gt;0,H8354&gt;0),G8354/H8354,"")</f>
        <v/>
      </c>
    </row>
    <row r="8355">
      <c r="A8355" s="4" t="inlineStr">
        <is>
          <t>103</t>
        </is>
      </c>
      <c r="B8355" s="4" t="n">
        <v>1</v>
      </c>
      <c r="C8355" s="4" t="inlineStr">
        <is>
          <t>whitetail</t>
        </is>
      </c>
      <c r="D8355" s="4" t="n">
        <v>2012</v>
      </c>
      <c r="E8355" s="13" t="inlineStr">
        <is>
          <t>General</t>
        </is>
      </c>
      <c r="F8355" s="5" t="n"/>
      <c r="G8355" s="5" t="n"/>
      <c r="H8355" s="5" t="n">
        <v>550</v>
      </c>
      <c r="I8355" s="5" t="n">
        <v>517</v>
      </c>
      <c r="J8355" s="5" t="n">
        <v>34</v>
      </c>
      <c r="K8355" s="10">
        <f>IF(F8355&gt;0,H8355/F8355,"")</f>
        <v/>
      </c>
      <c r="L8355" s="16">
        <f>IF(AND(G8355&gt;0,H8355&gt;0),G8355/H8355,"")</f>
        <v/>
      </c>
    </row>
    <row r="8356">
      <c r="A8356" s="4" t="inlineStr">
        <is>
          <t>103</t>
        </is>
      </c>
      <c r="B8356" s="4" t="n">
        <v>1</v>
      </c>
      <c r="C8356" s="4" t="inlineStr">
        <is>
          <t>whitetail</t>
        </is>
      </c>
      <c r="D8356" s="4" t="n">
        <v>2013</v>
      </c>
      <c r="E8356" s="13" t="inlineStr">
        <is>
          <t>General</t>
        </is>
      </c>
      <c r="F8356" s="5" t="n">
        <v>2731</v>
      </c>
      <c r="G8356" s="5" t="n">
        <v>20750</v>
      </c>
      <c r="H8356" s="5" t="n">
        <v>559</v>
      </c>
      <c r="I8356" s="5" t="n">
        <v>517</v>
      </c>
      <c r="J8356" s="5" t="n">
        <v>40</v>
      </c>
      <c r="K8356" s="10">
        <f>IF(F8356&gt;0,H8356/F8356,"")</f>
        <v/>
      </c>
      <c r="L8356" s="16">
        <f>IF(AND(G8356&gt;0,H8356&gt;0),G8356/H8356,"")</f>
        <v/>
      </c>
    </row>
    <row r="8357">
      <c r="A8357" s="4" t="inlineStr">
        <is>
          <t>103</t>
        </is>
      </c>
      <c r="B8357" s="4" t="n">
        <v>1</v>
      </c>
      <c r="C8357" s="4" t="inlineStr">
        <is>
          <t>whitetail</t>
        </is>
      </c>
      <c r="D8357" s="4" t="n">
        <v>2014</v>
      </c>
      <c r="E8357" s="13" t="inlineStr">
        <is>
          <t>General</t>
        </is>
      </c>
      <c r="F8357" s="5" t="n"/>
      <c r="G8357" s="5" t="n"/>
      <c r="H8357" s="5" t="n">
        <v>742</v>
      </c>
      <c r="I8357" s="5" t="n">
        <v>684</v>
      </c>
      <c r="J8357" s="5" t="n">
        <v>45</v>
      </c>
      <c r="K8357" s="10">
        <f>IF(F8357&gt;0,H8357/F8357,"")</f>
        <v/>
      </c>
      <c r="L8357" s="16">
        <f>IF(AND(G8357&gt;0,H8357&gt;0),G8357/H8357,"")</f>
        <v/>
      </c>
    </row>
    <row r="8358">
      <c r="A8358" s="4" t="inlineStr">
        <is>
          <t>103</t>
        </is>
      </c>
      <c r="B8358" s="4" t="n">
        <v>1</v>
      </c>
      <c r="C8358" s="4" t="inlineStr">
        <is>
          <t>whitetail</t>
        </is>
      </c>
      <c r="D8358" s="4" t="n">
        <v>2015</v>
      </c>
      <c r="E8358" s="13" t="inlineStr">
        <is>
          <t>General</t>
        </is>
      </c>
      <c r="F8358" s="5" t="n"/>
      <c r="G8358" s="5" t="n"/>
      <c r="H8358" s="5" t="n">
        <v>858</v>
      </c>
      <c r="I8358" s="5" t="n">
        <v>764</v>
      </c>
      <c r="J8358" s="5" t="n">
        <v>88</v>
      </c>
      <c r="K8358" s="10">
        <f>IF(F8358&gt;0,H8358/F8358,"")</f>
        <v/>
      </c>
      <c r="L8358" s="16">
        <f>IF(AND(G8358&gt;0,H8358&gt;0),G8358/H8358,"")</f>
        <v/>
      </c>
    </row>
    <row r="8359">
      <c r="A8359" s="4" t="inlineStr">
        <is>
          <t>103</t>
        </is>
      </c>
      <c r="B8359" s="4" t="n">
        <v>1</v>
      </c>
      <c r="C8359" s="4" t="inlineStr">
        <is>
          <t>whitetail</t>
        </is>
      </c>
      <c r="D8359" s="4" t="n">
        <v>2016</v>
      </c>
      <c r="E8359" s="13" t="inlineStr">
        <is>
          <t>General</t>
        </is>
      </c>
      <c r="F8359" s="5" t="n"/>
      <c r="G8359" s="5" t="n"/>
      <c r="H8359" s="5" t="n">
        <v>934</v>
      </c>
      <c r="I8359" s="5" t="n">
        <v>679</v>
      </c>
      <c r="J8359" s="5" t="n">
        <v>252</v>
      </c>
      <c r="K8359" s="10">
        <f>IF(F8359&gt;0,H8359/F8359,"")</f>
        <v/>
      </c>
      <c r="L8359" s="16">
        <f>IF(AND(G8359&gt;0,H8359&gt;0),G8359/H8359,"")</f>
        <v/>
      </c>
    </row>
    <row r="8360">
      <c r="A8360" s="4" t="inlineStr">
        <is>
          <t>103</t>
        </is>
      </c>
      <c r="B8360" s="4" t="n">
        <v>1</v>
      </c>
      <c r="C8360" s="4" t="inlineStr">
        <is>
          <t>whitetail</t>
        </is>
      </c>
      <c r="D8360" s="4" t="n">
        <v>2017</v>
      </c>
      <c r="E8360" s="13" t="inlineStr">
        <is>
          <t>General</t>
        </is>
      </c>
      <c r="F8360" s="5" t="n">
        <v>2732</v>
      </c>
      <c r="G8360" s="5" t="n">
        <v>18515</v>
      </c>
      <c r="H8360" s="5" t="n">
        <v>951</v>
      </c>
      <c r="I8360" s="5" t="n">
        <v>776</v>
      </c>
      <c r="J8360" s="5" t="n">
        <v>167</v>
      </c>
      <c r="K8360" s="10">
        <f>IF(F8360&gt;0,H8360/F8360,"")</f>
        <v/>
      </c>
      <c r="L8360" s="16">
        <f>IF(AND(G8360&gt;0,H8360&gt;0),G8360/H8360,"")</f>
        <v/>
      </c>
    </row>
    <row r="8361">
      <c r="A8361" s="4" t="inlineStr">
        <is>
          <t>103</t>
        </is>
      </c>
      <c r="B8361" s="4" t="n">
        <v>1</v>
      </c>
      <c r="C8361" s="4" t="inlineStr">
        <is>
          <t>whitetail</t>
        </is>
      </c>
      <c r="D8361" s="4" t="n">
        <v>2018</v>
      </c>
      <c r="E8361" s="13" t="inlineStr">
        <is>
          <t>General</t>
        </is>
      </c>
      <c r="F8361" s="5" t="n"/>
      <c r="G8361" s="5" t="n"/>
      <c r="H8361" s="5" t="n">
        <v>774</v>
      </c>
      <c r="I8361" s="5" t="n">
        <v>578</v>
      </c>
      <c r="J8361" s="5" t="n">
        <v>194</v>
      </c>
      <c r="K8361" s="10">
        <f>IF(F8361&gt;0,H8361/F8361,"")</f>
        <v/>
      </c>
      <c r="L8361" s="16">
        <f>IF(AND(G8361&gt;0,H8361&gt;0),G8361/H8361,"")</f>
        <v/>
      </c>
    </row>
    <row r="8362">
      <c r="A8362" s="4" t="inlineStr">
        <is>
          <t>103</t>
        </is>
      </c>
      <c r="B8362" s="4" t="n">
        <v>1</v>
      </c>
      <c r="C8362" s="4" t="inlineStr">
        <is>
          <t>whitetail</t>
        </is>
      </c>
      <c r="D8362" s="4" t="n">
        <v>2019</v>
      </c>
      <c r="E8362" s="13" t="inlineStr">
        <is>
          <t>General</t>
        </is>
      </c>
      <c r="F8362" s="5" t="n">
        <v>2659</v>
      </c>
      <c r="G8362" s="5" t="n">
        <v>18071</v>
      </c>
      <c r="H8362" s="5" t="n">
        <v>732</v>
      </c>
      <c r="I8362" s="5" t="n">
        <v>627</v>
      </c>
      <c r="J8362" s="5" t="n">
        <v>106</v>
      </c>
      <c r="K8362" s="10">
        <f>IF(F8362&gt;0,H8362/F8362,"")</f>
        <v/>
      </c>
      <c r="L8362" s="16">
        <f>IF(AND(G8362&gt;0,H8362&gt;0),G8362/H8362,"")</f>
        <v/>
      </c>
    </row>
    <row r="8363">
      <c r="A8363" s="4" t="inlineStr">
        <is>
          <t>103</t>
        </is>
      </c>
      <c r="B8363" s="4" t="n">
        <v>1</v>
      </c>
      <c r="C8363" s="4" t="inlineStr">
        <is>
          <t>whitetail</t>
        </is>
      </c>
      <c r="D8363" s="4" t="n">
        <v>2020</v>
      </c>
      <c r="E8363" s="13" t="inlineStr">
        <is>
          <t>General</t>
        </is>
      </c>
      <c r="F8363" s="5" t="n"/>
      <c r="G8363" s="5" t="n"/>
      <c r="H8363" s="5" t="n">
        <v>879</v>
      </c>
      <c r="I8363" s="5" t="n">
        <v>616</v>
      </c>
      <c r="J8363" s="5" t="n">
        <v>263</v>
      </c>
      <c r="K8363" s="10">
        <f>IF(F8363&gt;0,H8363/F8363,"")</f>
        <v/>
      </c>
      <c r="L8363" s="16">
        <f>IF(AND(G8363&gt;0,H8363&gt;0),G8363/H8363,"")</f>
        <v/>
      </c>
    </row>
    <row r="8364">
      <c r="A8364" s="4" t="inlineStr">
        <is>
          <t>103</t>
        </is>
      </c>
      <c r="B8364" s="4" t="n">
        <v>1</v>
      </c>
      <c r="C8364" s="4" t="inlineStr">
        <is>
          <t>whitetail</t>
        </is>
      </c>
      <c r="D8364" s="4" t="n">
        <v>2021</v>
      </c>
      <c r="E8364" s="13" t="inlineStr">
        <is>
          <t>General</t>
        </is>
      </c>
      <c r="F8364" s="5" t="n">
        <v>2546</v>
      </c>
      <c r="G8364" s="5" t="n">
        <v>18236</v>
      </c>
      <c r="H8364" s="5" t="n">
        <v>1019</v>
      </c>
      <c r="I8364" s="5" t="n">
        <v>754</v>
      </c>
      <c r="J8364" s="5" t="n">
        <v>252</v>
      </c>
      <c r="K8364" s="10">
        <f>IF(F8364&gt;0,H8364/F8364,"")</f>
        <v/>
      </c>
      <c r="L8364" s="16">
        <f>IF(AND(G8364&gt;0,H8364&gt;0),G8364/H8364,"")</f>
        <v/>
      </c>
    </row>
    <row r="8365">
      <c r="A8365" s="4" t="inlineStr">
        <is>
          <t>103</t>
        </is>
      </c>
      <c r="B8365" s="4" t="n">
        <v>1</v>
      </c>
      <c r="C8365" s="4" t="inlineStr">
        <is>
          <t>whitetail</t>
        </is>
      </c>
      <c r="D8365" s="4" t="n">
        <v>2022</v>
      </c>
      <c r="E8365" s="13" t="inlineStr">
        <is>
          <t>General</t>
        </is>
      </c>
      <c r="F8365" s="5" t="n"/>
      <c r="G8365" s="5" t="n"/>
      <c r="H8365" s="5" t="n">
        <v>1575</v>
      </c>
      <c r="I8365" s="5" t="n">
        <v>1154</v>
      </c>
      <c r="J8365" s="5" t="n">
        <v>408</v>
      </c>
      <c r="K8365" s="10">
        <f>IF(F8365&gt;0,H8365/F8365,"")</f>
        <v/>
      </c>
      <c r="L8365" s="16">
        <f>IF(AND(G8365&gt;0,H8365&gt;0),G8365/H8365,"")</f>
        <v/>
      </c>
    </row>
    <row r="8366">
      <c r="A8366" s="4" t="inlineStr">
        <is>
          <t>103</t>
        </is>
      </c>
      <c r="B8366" s="4" t="n">
        <v>1</v>
      </c>
      <c r="C8366" s="4" t="inlineStr">
        <is>
          <t>whitetail</t>
        </is>
      </c>
      <c r="D8366" s="4" t="n">
        <v>2023</v>
      </c>
      <c r="E8366" s="13" t="inlineStr">
        <is>
          <t>General</t>
        </is>
      </c>
      <c r="F8366" s="5" t="n">
        <v>5391</v>
      </c>
      <c r="G8366" s="5" t="n">
        <v>39826</v>
      </c>
      <c r="H8366" s="5" t="n">
        <v>1771</v>
      </c>
      <c r="I8366" s="5" t="n">
        <v>1413</v>
      </c>
      <c r="J8366" s="5" t="n">
        <v>348</v>
      </c>
      <c r="K8366" s="10">
        <f>IF(F8366&gt;0,H8366/F8366,"")</f>
        <v/>
      </c>
      <c r="L8366" s="16">
        <f>IF(AND(G8366&gt;0,H8366&gt;0),G8366/H8366,"")</f>
        <v/>
      </c>
    </row>
    <row r="8367">
      <c r="A8367" s="4" t="inlineStr">
        <is>
          <t>103</t>
        </is>
      </c>
      <c r="B8367" s="4" t="n">
        <v>1</v>
      </c>
      <c r="C8367" s="4" t="inlineStr">
        <is>
          <t>whitetail</t>
        </is>
      </c>
      <c r="D8367" s="4" t="n">
        <v>2024</v>
      </c>
      <c r="E8367" s="13" t="inlineStr">
        <is>
          <t>General</t>
        </is>
      </c>
      <c r="F8367" s="5" t="n"/>
      <c r="G8367" s="5" t="n"/>
      <c r="H8367" s="5" t="n">
        <v>1760</v>
      </c>
      <c r="I8367" s="5" t="n">
        <v>1387</v>
      </c>
      <c r="J8367" s="5" t="n">
        <v>373</v>
      </c>
      <c r="K8367" s="10">
        <f>IF(F8367&gt;0,H8367/F8367,"")</f>
        <v/>
      </c>
      <c r="L8367" s="16">
        <f>IF(AND(G8367&gt;0,H8367&gt;0),G8367/H8367,"")</f>
        <v/>
      </c>
    </row>
    <row r="8368">
      <c r="A8368" s="4" t="inlineStr">
        <is>
          <t>103</t>
        </is>
      </c>
      <c r="B8368" s="4" t="n">
        <v>1</v>
      </c>
      <c r="C8368" s="4" t="inlineStr">
        <is>
          <t>whitetail</t>
        </is>
      </c>
      <c r="D8368" s="4" t="n">
        <v>2025</v>
      </c>
      <c r="E8368" s="13" t="inlineStr">
        <is>
          <t>General</t>
        </is>
      </c>
      <c r="F8368" s="5" t="n">
        <v>5147</v>
      </c>
      <c r="G8368" s="5" t="n">
        <v>35014</v>
      </c>
      <c r="H8368" s="5" t="n">
        <v>1503</v>
      </c>
      <c r="I8368" s="5" t="n">
        <v>1219</v>
      </c>
      <c r="J8368" s="5" t="n">
        <v>264</v>
      </c>
      <c r="K8368" s="10">
        <f>IF(F8368&gt;0,H8368/F8368,"")</f>
        <v/>
      </c>
      <c r="L8368" s="16">
        <f>IF(AND(G8368&gt;0,H8368&gt;0),G8368/H8368,"")</f>
        <v/>
      </c>
    </row>
    <row r="8369">
      <c r="A8369" s="4" t="inlineStr">
        <is>
          <t>104</t>
        </is>
      </c>
      <c r="B8369" s="4" t="n">
        <v>1</v>
      </c>
      <c r="C8369" s="4" t="inlineStr">
        <is>
          <t>whitetail</t>
        </is>
      </c>
      <c r="D8369" s="4" t="n">
        <v>2004</v>
      </c>
      <c r="E8369" s="13" t="inlineStr">
        <is>
          <t>General</t>
        </is>
      </c>
      <c r="F8369" s="5" t="n">
        <v>2256</v>
      </c>
      <c r="G8369" s="5" t="n">
        <v>14794</v>
      </c>
      <c r="H8369" s="5" t="n">
        <v>764</v>
      </c>
      <c r="I8369" s="5" t="n">
        <v>496</v>
      </c>
      <c r="J8369" s="5" t="n">
        <v>262</v>
      </c>
      <c r="K8369" s="10">
        <f>IF(F8369&gt;0,H8369/F8369,"")</f>
        <v/>
      </c>
      <c r="L8369" s="16">
        <f>IF(AND(G8369&gt;0,H8369&gt;0),G8369/H8369,"")</f>
        <v/>
      </c>
    </row>
    <row r="8370">
      <c r="A8370" s="4" t="inlineStr">
        <is>
          <t>104</t>
        </is>
      </c>
      <c r="B8370" s="4" t="n">
        <v>1</v>
      </c>
      <c r="C8370" s="4" t="inlineStr">
        <is>
          <t>whitetail</t>
        </is>
      </c>
      <c r="D8370" s="4" t="n">
        <v>2005</v>
      </c>
      <c r="E8370" s="13" t="inlineStr">
        <is>
          <t>General</t>
        </is>
      </c>
      <c r="F8370" s="5" t="n">
        <v>2124</v>
      </c>
      <c r="G8370" s="5" t="n">
        <v>16288</v>
      </c>
      <c r="H8370" s="5" t="n">
        <v>802</v>
      </c>
      <c r="I8370" s="5" t="n">
        <v>480</v>
      </c>
      <c r="J8370" s="5" t="n">
        <v>316</v>
      </c>
      <c r="K8370" s="10">
        <f>IF(F8370&gt;0,H8370/F8370,"")</f>
        <v/>
      </c>
      <c r="L8370" s="16">
        <f>IF(AND(G8370&gt;0,H8370&gt;0),G8370/H8370,"")</f>
        <v/>
      </c>
    </row>
    <row r="8371">
      <c r="A8371" s="4" t="inlineStr">
        <is>
          <t>104</t>
        </is>
      </c>
      <c r="B8371" s="4" t="n">
        <v>1</v>
      </c>
      <c r="C8371" s="4" t="inlineStr">
        <is>
          <t>whitetail</t>
        </is>
      </c>
      <c r="D8371" s="4" t="n">
        <v>2006</v>
      </c>
      <c r="E8371" s="13" t="inlineStr">
        <is>
          <t>General</t>
        </is>
      </c>
      <c r="F8371" s="5" t="n">
        <v>2261</v>
      </c>
      <c r="G8371" s="5" t="n">
        <v>16847</v>
      </c>
      <c r="H8371" s="5" t="n">
        <v>978</v>
      </c>
      <c r="I8371" s="5" t="n">
        <v>580</v>
      </c>
      <c r="J8371" s="5" t="n">
        <v>378</v>
      </c>
      <c r="K8371" s="10">
        <f>IF(F8371&gt;0,H8371/F8371,"")</f>
        <v/>
      </c>
      <c r="L8371" s="16">
        <f>IF(AND(G8371&gt;0,H8371&gt;0),G8371/H8371,"")</f>
        <v/>
      </c>
    </row>
    <row r="8372">
      <c r="A8372" s="4" t="inlineStr">
        <is>
          <t>104</t>
        </is>
      </c>
      <c r="B8372" s="4" t="n">
        <v>1</v>
      </c>
      <c r="C8372" s="4" t="inlineStr">
        <is>
          <t>whitetail</t>
        </is>
      </c>
      <c r="D8372" s="4" t="n">
        <v>2007</v>
      </c>
      <c r="E8372" s="13" t="inlineStr">
        <is>
          <t>General</t>
        </is>
      </c>
      <c r="F8372" s="5" t="n">
        <v>2340</v>
      </c>
      <c r="G8372" s="5" t="n">
        <v>19108</v>
      </c>
      <c r="H8372" s="5" t="n">
        <v>945</v>
      </c>
      <c r="I8372" s="5" t="n">
        <v>521</v>
      </c>
      <c r="J8372" s="5" t="n">
        <v>410</v>
      </c>
      <c r="K8372" s="10">
        <f>IF(F8372&gt;0,H8372/F8372,"")</f>
        <v/>
      </c>
      <c r="L8372" s="16">
        <f>IF(AND(G8372&gt;0,H8372&gt;0),G8372/H8372,"")</f>
        <v/>
      </c>
    </row>
    <row r="8373">
      <c r="A8373" s="4" t="inlineStr">
        <is>
          <t>104</t>
        </is>
      </c>
      <c r="B8373" s="4" t="n">
        <v>1</v>
      </c>
      <c r="C8373" s="4" t="inlineStr">
        <is>
          <t>whitetail</t>
        </is>
      </c>
      <c r="D8373" s="4" t="n">
        <v>2008</v>
      </c>
      <c r="E8373" s="13" t="inlineStr">
        <is>
          <t>General</t>
        </is>
      </c>
      <c r="F8373" s="5" t="n">
        <v>2279</v>
      </c>
      <c r="G8373" s="5" t="n">
        <v>18793</v>
      </c>
      <c r="H8373" s="5" t="n">
        <v>716</v>
      </c>
      <c r="I8373" s="5" t="n">
        <v>446</v>
      </c>
      <c r="J8373" s="5" t="n">
        <v>265</v>
      </c>
      <c r="K8373" s="10">
        <f>IF(F8373&gt;0,H8373/F8373,"")</f>
        <v/>
      </c>
      <c r="L8373" s="16">
        <f>IF(AND(G8373&gt;0,H8373&gt;0),G8373/H8373,"")</f>
        <v/>
      </c>
    </row>
    <row r="8374">
      <c r="A8374" s="4" t="inlineStr">
        <is>
          <t>104</t>
        </is>
      </c>
      <c r="B8374" s="4" t="n">
        <v>1</v>
      </c>
      <c r="C8374" s="4" t="inlineStr">
        <is>
          <t>whitetail</t>
        </is>
      </c>
      <c r="D8374" s="4" t="n">
        <v>2009</v>
      </c>
      <c r="E8374" s="13" t="inlineStr">
        <is>
          <t>General</t>
        </is>
      </c>
      <c r="F8374" s="5" t="n">
        <v>1999</v>
      </c>
      <c r="G8374" s="5" t="n">
        <v>15224</v>
      </c>
      <c r="H8374" s="5" t="n">
        <v>397</v>
      </c>
      <c r="I8374" s="5" t="n">
        <v>307</v>
      </c>
      <c r="J8374" s="5" t="n">
        <v>89</v>
      </c>
      <c r="K8374" s="10">
        <f>IF(F8374&gt;0,H8374/F8374,"")</f>
        <v/>
      </c>
      <c r="L8374" s="16">
        <f>IF(AND(G8374&gt;0,H8374&gt;0),G8374/H8374,"")</f>
        <v/>
      </c>
    </row>
    <row r="8375">
      <c r="A8375" s="4" t="inlineStr">
        <is>
          <t>104</t>
        </is>
      </c>
      <c r="B8375" s="4" t="n">
        <v>1</v>
      </c>
      <c r="C8375" s="4" t="inlineStr">
        <is>
          <t>whitetail</t>
        </is>
      </c>
      <c r="D8375" s="4" t="n">
        <v>2010</v>
      </c>
      <c r="E8375" s="13" t="inlineStr">
        <is>
          <t>General</t>
        </is>
      </c>
      <c r="F8375" s="5" t="n">
        <v>1708</v>
      </c>
      <c r="G8375" s="5" t="n">
        <v>13044</v>
      </c>
      <c r="H8375" s="5" t="n">
        <v>423</v>
      </c>
      <c r="I8375" s="5" t="n">
        <v>361</v>
      </c>
      <c r="J8375" s="5" t="n">
        <v>59</v>
      </c>
      <c r="K8375" s="10">
        <f>IF(F8375&gt;0,H8375/F8375,"")</f>
        <v/>
      </c>
      <c r="L8375" s="16">
        <f>IF(AND(G8375&gt;0,H8375&gt;0),G8375/H8375,"")</f>
        <v/>
      </c>
    </row>
    <row r="8376">
      <c r="A8376" s="4" t="inlineStr">
        <is>
          <t>104</t>
        </is>
      </c>
      <c r="B8376" s="4" t="n">
        <v>1</v>
      </c>
      <c r="C8376" s="4" t="inlineStr">
        <is>
          <t>whitetail</t>
        </is>
      </c>
      <c r="D8376" s="4" t="n">
        <v>2011</v>
      </c>
      <c r="E8376" s="13" t="inlineStr">
        <is>
          <t>General</t>
        </is>
      </c>
      <c r="F8376" s="5" t="n">
        <v>1988</v>
      </c>
      <c r="G8376" s="5" t="n">
        <v>15187</v>
      </c>
      <c r="H8376" s="5" t="n">
        <v>518</v>
      </c>
      <c r="I8376" s="5" t="n">
        <v>452</v>
      </c>
      <c r="J8376" s="5" t="n">
        <v>63</v>
      </c>
      <c r="K8376" s="10">
        <f>IF(F8376&gt;0,H8376/F8376,"")</f>
        <v/>
      </c>
      <c r="L8376" s="16">
        <f>IF(AND(G8376&gt;0,H8376&gt;0),G8376/H8376,"")</f>
        <v/>
      </c>
    </row>
    <row r="8377">
      <c r="A8377" s="4" t="inlineStr">
        <is>
          <t>104</t>
        </is>
      </c>
      <c r="B8377" s="4" t="n">
        <v>1</v>
      </c>
      <c r="C8377" s="4" t="inlineStr">
        <is>
          <t>whitetail</t>
        </is>
      </c>
      <c r="D8377" s="4" t="n">
        <v>2012</v>
      </c>
      <c r="E8377" s="13" t="inlineStr">
        <is>
          <t>General</t>
        </is>
      </c>
      <c r="F8377" s="5" t="n"/>
      <c r="G8377" s="5" t="n"/>
      <c r="H8377" s="5" t="n">
        <v>388</v>
      </c>
      <c r="I8377" s="5" t="n">
        <v>355</v>
      </c>
      <c r="J8377" s="5" t="n">
        <v>31</v>
      </c>
      <c r="K8377" s="10">
        <f>IF(F8377&gt;0,H8377/F8377,"")</f>
        <v/>
      </c>
      <c r="L8377" s="16">
        <f>IF(AND(G8377&gt;0,H8377&gt;0),G8377/H8377,"")</f>
        <v/>
      </c>
    </row>
    <row r="8378">
      <c r="A8378" s="4" t="inlineStr">
        <is>
          <t>104</t>
        </is>
      </c>
      <c r="B8378" s="4" t="n">
        <v>1</v>
      </c>
      <c r="C8378" s="4" t="inlineStr">
        <is>
          <t>whitetail</t>
        </is>
      </c>
      <c r="D8378" s="4" t="n">
        <v>2013</v>
      </c>
      <c r="E8378" s="13" t="inlineStr">
        <is>
          <t>General</t>
        </is>
      </c>
      <c r="F8378" s="5" t="n">
        <v>1840</v>
      </c>
      <c r="G8378" s="5" t="n">
        <v>14343</v>
      </c>
      <c r="H8378" s="5" t="n">
        <v>448</v>
      </c>
      <c r="I8378" s="5" t="n">
        <v>417</v>
      </c>
      <c r="J8378" s="5" t="n">
        <v>31</v>
      </c>
      <c r="K8378" s="10">
        <f>IF(F8378&gt;0,H8378/F8378,"")</f>
        <v/>
      </c>
      <c r="L8378" s="16">
        <f>IF(AND(G8378&gt;0,H8378&gt;0),G8378/H8378,"")</f>
        <v/>
      </c>
    </row>
    <row r="8379">
      <c r="A8379" s="4" t="inlineStr">
        <is>
          <t>104</t>
        </is>
      </c>
      <c r="B8379" s="4" t="n">
        <v>1</v>
      </c>
      <c r="C8379" s="4" t="inlineStr">
        <is>
          <t>whitetail</t>
        </is>
      </c>
      <c r="D8379" s="4" t="n">
        <v>2014</v>
      </c>
      <c r="E8379" s="13" t="inlineStr">
        <is>
          <t>General</t>
        </is>
      </c>
      <c r="F8379" s="5" t="n"/>
      <c r="G8379" s="5" t="n"/>
      <c r="H8379" s="5" t="n">
        <v>422</v>
      </c>
      <c r="I8379" s="5" t="n">
        <v>391</v>
      </c>
      <c r="J8379" s="5" t="n">
        <v>28</v>
      </c>
      <c r="K8379" s="10">
        <f>IF(F8379&gt;0,H8379/F8379,"")</f>
        <v/>
      </c>
      <c r="L8379" s="16">
        <f>IF(AND(G8379&gt;0,H8379&gt;0),G8379/H8379,"")</f>
        <v/>
      </c>
    </row>
    <row r="8380">
      <c r="A8380" s="4" t="inlineStr">
        <is>
          <t>104</t>
        </is>
      </c>
      <c r="B8380" s="4" t="n">
        <v>1</v>
      </c>
      <c r="C8380" s="4" t="inlineStr">
        <is>
          <t>whitetail</t>
        </is>
      </c>
      <c r="D8380" s="4" t="n">
        <v>2015</v>
      </c>
      <c r="E8380" s="13" t="inlineStr">
        <is>
          <t>General</t>
        </is>
      </c>
      <c r="F8380" s="5" t="n"/>
      <c r="G8380" s="5" t="n"/>
      <c r="H8380" s="5" t="n">
        <v>472</v>
      </c>
      <c r="I8380" s="5" t="n">
        <v>432</v>
      </c>
      <c r="J8380" s="5" t="n">
        <v>40</v>
      </c>
      <c r="K8380" s="10">
        <f>IF(F8380&gt;0,H8380/F8380,"")</f>
        <v/>
      </c>
      <c r="L8380" s="16">
        <f>IF(AND(G8380&gt;0,H8380&gt;0),G8380/H8380,"")</f>
        <v/>
      </c>
    </row>
    <row r="8381">
      <c r="A8381" s="4" t="inlineStr">
        <is>
          <t>104</t>
        </is>
      </c>
      <c r="B8381" s="4" t="n">
        <v>1</v>
      </c>
      <c r="C8381" s="4" t="inlineStr">
        <is>
          <t>whitetail</t>
        </is>
      </c>
      <c r="D8381" s="4" t="n">
        <v>2016</v>
      </c>
      <c r="E8381" s="13" t="inlineStr">
        <is>
          <t>General</t>
        </is>
      </c>
      <c r="F8381" s="5" t="n"/>
      <c r="G8381" s="5" t="n"/>
      <c r="H8381" s="5" t="n">
        <v>692</v>
      </c>
      <c r="I8381" s="5" t="n">
        <v>498</v>
      </c>
      <c r="J8381" s="5" t="n">
        <v>189</v>
      </c>
      <c r="K8381" s="10">
        <f>IF(F8381&gt;0,H8381/F8381,"")</f>
        <v/>
      </c>
      <c r="L8381" s="16">
        <f>IF(AND(G8381&gt;0,H8381&gt;0),G8381/H8381,"")</f>
        <v/>
      </c>
    </row>
    <row r="8382">
      <c r="A8382" s="4" t="inlineStr">
        <is>
          <t>104</t>
        </is>
      </c>
      <c r="B8382" s="4" t="n">
        <v>1</v>
      </c>
      <c r="C8382" s="4" t="inlineStr">
        <is>
          <t>whitetail</t>
        </is>
      </c>
      <c r="D8382" s="4" t="n">
        <v>2017</v>
      </c>
      <c r="E8382" s="13" t="inlineStr">
        <is>
          <t>General</t>
        </is>
      </c>
      <c r="F8382" s="5" t="n">
        <v>1323</v>
      </c>
      <c r="G8382" s="5" t="n">
        <v>8540</v>
      </c>
      <c r="H8382" s="5" t="n">
        <v>420</v>
      </c>
      <c r="I8382" s="5" t="n">
        <v>309</v>
      </c>
      <c r="J8382" s="5" t="n">
        <v>111</v>
      </c>
      <c r="K8382" s="10">
        <f>IF(F8382&gt;0,H8382/F8382,"")</f>
        <v/>
      </c>
      <c r="L8382" s="16">
        <f>IF(AND(G8382&gt;0,H8382&gt;0),G8382/H8382,"")</f>
        <v/>
      </c>
    </row>
    <row r="8383">
      <c r="A8383" s="4" t="inlineStr">
        <is>
          <t>104</t>
        </is>
      </c>
      <c r="B8383" s="4" t="n">
        <v>1</v>
      </c>
      <c r="C8383" s="4" t="inlineStr">
        <is>
          <t>whitetail</t>
        </is>
      </c>
      <c r="D8383" s="4" t="n">
        <v>2018</v>
      </c>
      <c r="E8383" s="13" t="inlineStr">
        <is>
          <t>General</t>
        </is>
      </c>
      <c r="F8383" s="5" t="n"/>
      <c r="G8383" s="5" t="n"/>
      <c r="H8383" s="5" t="n">
        <v>456</v>
      </c>
      <c r="I8383" s="5" t="n">
        <v>323</v>
      </c>
      <c r="J8383" s="5" t="n">
        <v>133</v>
      </c>
      <c r="K8383" s="10">
        <f>IF(F8383&gt;0,H8383/F8383,"")</f>
        <v/>
      </c>
      <c r="L8383" s="16">
        <f>IF(AND(G8383&gt;0,H8383&gt;0),G8383/H8383,"")</f>
        <v/>
      </c>
    </row>
    <row r="8384">
      <c r="A8384" s="4" t="inlineStr">
        <is>
          <t>104</t>
        </is>
      </c>
      <c r="B8384" s="4" t="n">
        <v>1</v>
      </c>
      <c r="C8384" s="4" t="inlineStr">
        <is>
          <t>whitetail</t>
        </is>
      </c>
      <c r="D8384" s="4" t="n">
        <v>2019</v>
      </c>
      <c r="E8384" s="13" t="inlineStr">
        <is>
          <t>General</t>
        </is>
      </c>
      <c r="F8384" s="5" t="n">
        <v>1389</v>
      </c>
      <c r="G8384" s="5" t="n">
        <v>10904</v>
      </c>
      <c r="H8384" s="5" t="n">
        <v>496</v>
      </c>
      <c r="I8384" s="5" t="n">
        <v>408</v>
      </c>
      <c r="J8384" s="5" t="n">
        <v>89</v>
      </c>
      <c r="K8384" s="10">
        <f>IF(F8384&gt;0,H8384/F8384,"")</f>
        <v/>
      </c>
      <c r="L8384" s="16">
        <f>IF(AND(G8384&gt;0,H8384&gt;0),G8384/H8384,"")</f>
        <v/>
      </c>
    </row>
    <row r="8385">
      <c r="A8385" s="4" t="inlineStr">
        <is>
          <t>104</t>
        </is>
      </c>
      <c r="B8385" s="4" t="n">
        <v>1</v>
      </c>
      <c r="C8385" s="4" t="inlineStr">
        <is>
          <t>whitetail</t>
        </is>
      </c>
      <c r="D8385" s="4" t="n">
        <v>2020</v>
      </c>
      <c r="E8385" s="13" t="inlineStr">
        <is>
          <t>General</t>
        </is>
      </c>
      <c r="F8385" s="5" t="n"/>
      <c r="G8385" s="5" t="n"/>
      <c r="H8385" s="5" t="n">
        <v>678</v>
      </c>
      <c r="I8385" s="5" t="n">
        <v>464</v>
      </c>
      <c r="J8385" s="5" t="n">
        <v>211</v>
      </c>
      <c r="K8385" s="10">
        <f>IF(F8385&gt;0,H8385/F8385,"")</f>
        <v/>
      </c>
      <c r="L8385" s="16">
        <f>IF(AND(G8385&gt;0,H8385&gt;0),G8385/H8385,"")</f>
        <v/>
      </c>
    </row>
    <row r="8386">
      <c r="A8386" s="4" t="inlineStr">
        <is>
          <t>104</t>
        </is>
      </c>
      <c r="B8386" s="4" t="n">
        <v>1</v>
      </c>
      <c r="C8386" s="4" t="inlineStr">
        <is>
          <t>whitetail</t>
        </is>
      </c>
      <c r="D8386" s="4" t="n">
        <v>2021</v>
      </c>
      <c r="E8386" s="13" t="inlineStr">
        <is>
          <t>General</t>
        </is>
      </c>
      <c r="F8386" s="5" t="n">
        <v>1283</v>
      </c>
      <c r="G8386" s="5" t="n">
        <v>10730</v>
      </c>
      <c r="H8386" s="5" t="n">
        <v>464</v>
      </c>
      <c r="I8386" s="5" t="n">
        <v>348</v>
      </c>
      <c r="J8386" s="5" t="n">
        <v>112</v>
      </c>
      <c r="K8386" s="10">
        <f>IF(F8386&gt;0,H8386/F8386,"")</f>
        <v/>
      </c>
      <c r="L8386" s="16">
        <f>IF(AND(G8386&gt;0,H8386&gt;0),G8386/H8386,"")</f>
        <v/>
      </c>
    </row>
    <row r="8387">
      <c r="A8387" s="4" t="inlineStr">
        <is>
          <t>104</t>
        </is>
      </c>
      <c r="B8387" s="4" t="n">
        <v>1</v>
      </c>
      <c r="C8387" s="4" t="inlineStr">
        <is>
          <t>whitetail</t>
        </is>
      </c>
      <c r="D8387" s="4" t="n">
        <v>2022</v>
      </c>
      <c r="E8387" s="13" t="inlineStr">
        <is>
          <t>General</t>
        </is>
      </c>
      <c r="F8387" s="5" t="n"/>
      <c r="G8387" s="5" t="n"/>
      <c r="H8387" s="5" t="n">
        <v>480</v>
      </c>
      <c r="I8387" s="5" t="n">
        <v>290</v>
      </c>
      <c r="J8387" s="5" t="n">
        <v>187</v>
      </c>
      <c r="K8387" s="10">
        <f>IF(F8387&gt;0,H8387/F8387,"")</f>
        <v/>
      </c>
      <c r="L8387" s="16">
        <f>IF(AND(G8387&gt;0,H8387&gt;0),G8387/H8387,"")</f>
        <v/>
      </c>
    </row>
    <row r="8388">
      <c r="A8388" s="4" t="inlineStr">
        <is>
          <t>104</t>
        </is>
      </c>
      <c r="B8388" s="4" t="n">
        <v>1</v>
      </c>
      <c r="C8388" s="4" t="inlineStr">
        <is>
          <t>whitetail</t>
        </is>
      </c>
      <c r="D8388" s="4" t="n">
        <v>2023</v>
      </c>
      <c r="E8388" s="13" t="inlineStr">
        <is>
          <t>General</t>
        </is>
      </c>
      <c r="F8388" s="5" t="n">
        <v>1264</v>
      </c>
      <c r="G8388" s="5" t="n">
        <v>9592</v>
      </c>
      <c r="H8388" s="5" t="n">
        <v>450</v>
      </c>
      <c r="I8388" s="5" t="n">
        <v>288</v>
      </c>
      <c r="J8388" s="5" t="n">
        <v>159</v>
      </c>
      <c r="K8388" s="10">
        <f>IF(F8388&gt;0,H8388/F8388,"")</f>
        <v/>
      </c>
      <c r="L8388" s="16">
        <f>IF(AND(G8388&gt;0,H8388&gt;0),G8388/H8388,"")</f>
        <v/>
      </c>
    </row>
    <row r="8389">
      <c r="A8389" s="4" t="inlineStr">
        <is>
          <t>104</t>
        </is>
      </c>
      <c r="B8389" s="4" t="n">
        <v>1</v>
      </c>
      <c r="C8389" s="4" t="inlineStr">
        <is>
          <t>whitetail</t>
        </is>
      </c>
      <c r="D8389" s="4" t="n">
        <v>2024</v>
      </c>
      <c r="E8389" s="13" t="inlineStr">
        <is>
          <t>General</t>
        </is>
      </c>
      <c r="F8389" s="5" t="n"/>
      <c r="G8389" s="5" t="n"/>
      <c r="H8389" s="5" t="n">
        <v>551</v>
      </c>
      <c r="I8389" s="5" t="n">
        <v>396</v>
      </c>
      <c r="J8389" s="5" t="n">
        <v>155</v>
      </c>
      <c r="K8389" s="10">
        <f>IF(F8389&gt;0,H8389/F8389,"")</f>
        <v/>
      </c>
      <c r="L8389" s="16">
        <f>IF(AND(G8389&gt;0,H8389&gt;0),G8389/H8389,"")</f>
        <v/>
      </c>
    </row>
    <row r="8390">
      <c r="A8390" s="4" t="inlineStr">
        <is>
          <t>104</t>
        </is>
      </c>
      <c r="B8390" s="4" t="n">
        <v>1</v>
      </c>
      <c r="C8390" s="4" t="inlineStr">
        <is>
          <t>whitetail</t>
        </is>
      </c>
      <c r="D8390" s="4" t="n">
        <v>2025</v>
      </c>
      <c r="E8390" s="13" t="inlineStr">
        <is>
          <t>General</t>
        </is>
      </c>
      <c r="F8390" s="5" t="n">
        <v>1575</v>
      </c>
      <c r="G8390" s="5" t="n">
        <v>12880</v>
      </c>
      <c r="H8390" s="5" t="n">
        <v>469</v>
      </c>
      <c r="I8390" s="5" t="n">
        <v>337</v>
      </c>
      <c r="J8390" s="5" t="n">
        <v>121</v>
      </c>
      <c r="K8390" s="10">
        <f>IF(F8390&gt;0,H8390/F8390,"")</f>
        <v/>
      </c>
      <c r="L8390" s="16">
        <f>IF(AND(G8390&gt;0,H8390&gt;0),G8390/H8390,"")</f>
        <v/>
      </c>
    </row>
    <row r="8391">
      <c r="A8391" s="4" t="inlineStr">
        <is>
          <t>109</t>
        </is>
      </c>
      <c r="B8391" s="4" t="n">
        <v>1</v>
      </c>
      <c r="C8391" s="4" t="inlineStr">
        <is>
          <t>whitetail</t>
        </is>
      </c>
      <c r="D8391" s="4" t="n">
        <v>2004</v>
      </c>
      <c r="E8391" s="4" t="inlineStr"/>
      <c r="F8391" s="5" t="n">
        <v>616</v>
      </c>
      <c r="G8391" s="5" t="n">
        <v>3742</v>
      </c>
      <c r="H8391" s="5" t="n">
        <v>226</v>
      </c>
      <c r="I8391" s="5" t="n">
        <v>139</v>
      </c>
      <c r="J8391" s="5" t="n">
        <v>85</v>
      </c>
      <c r="K8391" s="10">
        <f>IF(F8391&gt;0,H8391/F8391,"")</f>
        <v/>
      </c>
      <c r="L8391" s="16">
        <f>IF(AND(G8391&gt;0,H8391&gt;0),G8391/H8391,"")</f>
        <v/>
      </c>
    </row>
    <row r="8392">
      <c r="A8392" s="4" t="inlineStr">
        <is>
          <t>109</t>
        </is>
      </c>
      <c r="B8392" s="4" t="n">
        <v>1</v>
      </c>
      <c r="C8392" s="4" t="inlineStr">
        <is>
          <t>whitetail</t>
        </is>
      </c>
      <c r="D8392" s="4" t="n">
        <v>2005</v>
      </c>
      <c r="E8392" s="4" t="inlineStr"/>
      <c r="F8392" s="5" t="n">
        <v>644</v>
      </c>
      <c r="G8392" s="5" t="n">
        <v>3523</v>
      </c>
      <c r="H8392" s="5" t="n">
        <v>267</v>
      </c>
      <c r="I8392" s="5" t="n">
        <v>168</v>
      </c>
      <c r="J8392" s="5" t="n">
        <v>95</v>
      </c>
      <c r="K8392" s="10">
        <f>IF(F8392&gt;0,H8392/F8392,"")</f>
        <v/>
      </c>
      <c r="L8392" s="16">
        <f>IF(AND(G8392&gt;0,H8392&gt;0),G8392/H8392,"")</f>
        <v/>
      </c>
    </row>
    <row r="8393">
      <c r="A8393" s="4" t="inlineStr">
        <is>
          <t>109</t>
        </is>
      </c>
      <c r="B8393" s="4" t="n">
        <v>1</v>
      </c>
      <c r="C8393" s="4" t="inlineStr">
        <is>
          <t>whitetail</t>
        </is>
      </c>
      <c r="D8393" s="4" t="n">
        <v>2006</v>
      </c>
      <c r="E8393" s="4" t="inlineStr"/>
      <c r="F8393" s="5" t="n">
        <v>603</v>
      </c>
      <c r="G8393" s="5" t="n">
        <v>3683</v>
      </c>
      <c r="H8393" s="5" t="n">
        <v>426</v>
      </c>
      <c r="I8393" s="5" t="n">
        <v>196</v>
      </c>
      <c r="J8393" s="5" t="n">
        <v>220</v>
      </c>
      <c r="K8393" s="10">
        <f>IF(F8393&gt;0,H8393/F8393,"")</f>
        <v/>
      </c>
      <c r="L8393" s="16">
        <f>IF(AND(G8393&gt;0,H8393&gt;0),G8393/H8393,"")</f>
        <v/>
      </c>
    </row>
    <row r="8394">
      <c r="A8394" s="4" t="inlineStr">
        <is>
          <t>109</t>
        </is>
      </c>
      <c r="B8394" s="4" t="n">
        <v>1</v>
      </c>
      <c r="C8394" s="4" t="inlineStr">
        <is>
          <t>whitetail</t>
        </is>
      </c>
      <c r="D8394" s="4" t="n">
        <v>2007</v>
      </c>
      <c r="E8394" s="4" t="inlineStr"/>
      <c r="F8394" s="5" t="n">
        <v>708</v>
      </c>
      <c r="G8394" s="5" t="n">
        <v>5062</v>
      </c>
      <c r="H8394" s="5" t="n">
        <v>465</v>
      </c>
      <c r="I8394" s="5" t="n">
        <v>195</v>
      </c>
      <c r="J8394" s="5" t="n">
        <v>255</v>
      </c>
      <c r="K8394" s="10">
        <f>IF(F8394&gt;0,H8394/F8394,"")</f>
        <v/>
      </c>
      <c r="L8394" s="16">
        <f>IF(AND(G8394&gt;0,H8394&gt;0),G8394/H8394,"")</f>
        <v/>
      </c>
    </row>
    <row r="8395">
      <c r="A8395" s="4" t="inlineStr">
        <is>
          <t>109</t>
        </is>
      </c>
      <c r="B8395" s="4" t="n">
        <v>1</v>
      </c>
      <c r="C8395" s="4" t="inlineStr">
        <is>
          <t>whitetail</t>
        </is>
      </c>
      <c r="D8395" s="4" t="n">
        <v>2008</v>
      </c>
      <c r="E8395" s="4" t="inlineStr"/>
      <c r="F8395" s="5" t="n">
        <v>641</v>
      </c>
      <c r="G8395" s="5" t="n">
        <v>5385</v>
      </c>
      <c r="H8395" s="5" t="n">
        <v>354</v>
      </c>
      <c r="I8395" s="5" t="n">
        <v>152</v>
      </c>
      <c r="J8395" s="5" t="n">
        <v>203</v>
      </c>
      <c r="K8395" s="10">
        <f>IF(F8395&gt;0,H8395/F8395,"")</f>
        <v/>
      </c>
      <c r="L8395" s="16">
        <f>IF(AND(G8395&gt;0,H8395&gt;0),G8395/H8395,"")</f>
        <v/>
      </c>
    </row>
    <row r="8396">
      <c r="A8396" s="4" t="inlineStr">
        <is>
          <t>109</t>
        </is>
      </c>
      <c r="B8396" s="4" t="n">
        <v>1</v>
      </c>
      <c r="C8396" s="4" t="inlineStr">
        <is>
          <t>whitetail</t>
        </is>
      </c>
      <c r="D8396" s="4" t="n">
        <v>2009</v>
      </c>
      <c r="E8396" s="4" t="inlineStr"/>
      <c r="F8396" s="5" t="n">
        <v>690</v>
      </c>
      <c r="G8396" s="5" t="n">
        <v>4634</v>
      </c>
      <c r="H8396" s="5" t="n">
        <v>152</v>
      </c>
      <c r="I8396" s="5" t="n">
        <v>98</v>
      </c>
      <c r="J8396" s="5" t="n">
        <v>50</v>
      </c>
      <c r="K8396" s="10">
        <f>IF(F8396&gt;0,H8396/F8396,"")</f>
        <v/>
      </c>
      <c r="L8396" s="16">
        <f>IF(AND(G8396&gt;0,H8396&gt;0),G8396/H8396,"")</f>
        <v/>
      </c>
    </row>
    <row r="8397">
      <c r="A8397" s="4" t="inlineStr">
        <is>
          <t>109</t>
        </is>
      </c>
      <c r="B8397" s="4" t="n">
        <v>1</v>
      </c>
      <c r="C8397" s="4" t="inlineStr">
        <is>
          <t>whitetail</t>
        </is>
      </c>
      <c r="D8397" s="4" t="n">
        <v>2010</v>
      </c>
      <c r="E8397" s="4" t="inlineStr"/>
      <c r="F8397" s="5" t="n">
        <v>547</v>
      </c>
      <c r="G8397" s="5" t="n">
        <v>3546</v>
      </c>
      <c r="H8397" s="5" t="n">
        <v>165</v>
      </c>
      <c r="I8397" s="5" t="n">
        <v>141</v>
      </c>
      <c r="J8397" s="5" t="n">
        <v>24</v>
      </c>
      <c r="K8397" s="10">
        <f>IF(F8397&gt;0,H8397/F8397,"")</f>
        <v/>
      </c>
      <c r="L8397" s="16">
        <f>IF(AND(G8397&gt;0,H8397&gt;0),G8397/H8397,"")</f>
        <v/>
      </c>
    </row>
    <row r="8398">
      <c r="A8398" s="4" t="inlineStr">
        <is>
          <t>109</t>
        </is>
      </c>
      <c r="B8398" s="4" t="n">
        <v>1</v>
      </c>
      <c r="C8398" s="4" t="inlineStr">
        <is>
          <t>whitetail</t>
        </is>
      </c>
      <c r="D8398" s="4" t="n">
        <v>2011</v>
      </c>
      <c r="E8398" s="4" t="inlineStr"/>
      <c r="F8398" s="5" t="n">
        <v>623</v>
      </c>
      <c r="G8398" s="5" t="n">
        <v>5166</v>
      </c>
      <c r="H8398" s="5" t="n">
        <v>135</v>
      </c>
      <c r="I8398" s="5" t="n">
        <v>115</v>
      </c>
      <c r="J8398" s="5" t="n">
        <v>20</v>
      </c>
      <c r="K8398" s="10">
        <f>IF(F8398&gt;0,H8398/F8398,"")</f>
        <v/>
      </c>
      <c r="L8398" s="16">
        <f>IF(AND(G8398&gt;0,H8398&gt;0),G8398/H8398,"")</f>
        <v/>
      </c>
    </row>
    <row r="8399">
      <c r="A8399" s="4" t="inlineStr">
        <is>
          <t>109</t>
        </is>
      </c>
      <c r="B8399" s="4" t="n">
        <v>1</v>
      </c>
      <c r="C8399" s="4" t="inlineStr">
        <is>
          <t>whitetail</t>
        </is>
      </c>
      <c r="D8399" s="4" t="n">
        <v>2012</v>
      </c>
      <c r="E8399" s="4" t="inlineStr"/>
      <c r="F8399" s="5" t="n"/>
      <c r="G8399" s="5" t="n"/>
      <c r="H8399" s="5" t="n">
        <v>161</v>
      </c>
      <c r="I8399" s="5" t="n">
        <v>134</v>
      </c>
      <c r="J8399" s="5" t="n">
        <v>27</v>
      </c>
      <c r="K8399" s="10">
        <f>IF(F8399&gt;0,H8399/F8399,"")</f>
        <v/>
      </c>
      <c r="L8399" s="16">
        <f>IF(AND(G8399&gt;0,H8399&gt;0),G8399/H8399,"")</f>
        <v/>
      </c>
    </row>
    <row r="8400">
      <c r="A8400" s="4" t="inlineStr">
        <is>
          <t>109</t>
        </is>
      </c>
      <c r="B8400" s="4" t="n">
        <v>1</v>
      </c>
      <c r="C8400" s="4" t="inlineStr">
        <is>
          <t>whitetail</t>
        </is>
      </c>
      <c r="D8400" s="4" t="n">
        <v>2013</v>
      </c>
      <c r="E8400" s="4" t="inlineStr"/>
      <c r="F8400" s="5" t="n">
        <v>505</v>
      </c>
      <c r="G8400" s="5" t="n">
        <v>3634</v>
      </c>
      <c r="H8400" s="5" t="n">
        <v>154</v>
      </c>
      <c r="I8400" s="5" t="n">
        <v>137</v>
      </c>
      <c r="J8400" s="5" t="n">
        <v>14</v>
      </c>
      <c r="K8400" s="10">
        <f>IF(F8400&gt;0,H8400/F8400,"")</f>
        <v/>
      </c>
      <c r="L8400" s="16">
        <f>IF(AND(G8400&gt;0,H8400&gt;0),G8400/H8400,"")</f>
        <v/>
      </c>
    </row>
    <row r="8401">
      <c r="A8401" s="4" t="inlineStr">
        <is>
          <t>109</t>
        </is>
      </c>
      <c r="B8401" s="4" t="n">
        <v>1</v>
      </c>
      <c r="C8401" s="4" t="inlineStr">
        <is>
          <t>whitetail</t>
        </is>
      </c>
      <c r="D8401" s="4" t="n">
        <v>2014</v>
      </c>
      <c r="E8401" s="4" t="inlineStr"/>
      <c r="F8401" s="5" t="n"/>
      <c r="G8401" s="5" t="n"/>
      <c r="H8401" s="5" t="n">
        <v>240</v>
      </c>
      <c r="I8401" s="5" t="n">
        <v>208</v>
      </c>
      <c r="J8401" s="5" t="n">
        <v>30</v>
      </c>
      <c r="K8401" s="10">
        <f>IF(F8401&gt;0,H8401/F8401,"")</f>
        <v/>
      </c>
      <c r="L8401" s="16">
        <f>IF(AND(G8401&gt;0,H8401&gt;0),G8401/H8401,"")</f>
        <v/>
      </c>
    </row>
    <row r="8402">
      <c r="A8402" s="4" t="inlineStr">
        <is>
          <t>109</t>
        </is>
      </c>
      <c r="B8402" s="4" t="n">
        <v>1</v>
      </c>
      <c r="C8402" s="4" t="inlineStr">
        <is>
          <t>whitetail</t>
        </is>
      </c>
      <c r="D8402" s="4" t="n">
        <v>2015</v>
      </c>
      <c r="E8402" s="4" t="inlineStr"/>
      <c r="F8402" s="5" t="n"/>
      <c r="G8402" s="5" t="n"/>
      <c r="H8402" s="5" t="n">
        <v>267</v>
      </c>
      <c r="I8402" s="5" t="n">
        <v>173</v>
      </c>
      <c r="J8402" s="5" t="n">
        <v>91</v>
      </c>
      <c r="K8402" s="10">
        <f>IF(F8402&gt;0,H8402/F8402,"")</f>
        <v/>
      </c>
      <c r="L8402" s="16">
        <f>IF(AND(G8402&gt;0,H8402&gt;0),G8402/H8402,"")</f>
        <v/>
      </c>
    </row>
    <row r="8403">
      <c r="A8403" s="4" t="inlineStr">
        <is>
          <t>109</t>
        </is>
      </c>
      <c r="B8403" s="4" t="n">
        <v>1</v>
      </c>
      <c r="C8403" s="4" t="inlineStr">
        <is>
          <t>whitetail</t>
        </is>
      </c>
      <c r="D8403" s="4" t="n">
        <v>2016</v>
      </c>
      <c r="E8403" s="4" t="inlineStr"/>
      <c r="F8403" s="5" t="n"/>
      <c r="G8403" s="5" t="n"/>
      <c r="H8403" s="5" t="n">
        <v>254</v>
      </c>
      <c r="I8403" s="5" t="n">
        <v>175</v>
      </c>
      <c r="J8403" s="5" t="n">
        <v>73</v>
      </c>
      <c r="K8403" s="10">
        <f>IF(F8403&gt;0,H8403/F8403,"")</f>
        <v/>
      </c>
      <c r="L8403" s="16">
        <f>IF(AND(G8403&gt;0,H8403&gt;0),G8403/H8403,"")</f>
        <v/>
      </c>
    </row>
    <row r="8404">
      <c r="A8404" s="4" t="inlineStr">
        <is>
          <t>109</t>
        </is>
      </c>
      <c r="B8404" s="4" t="n">
        <v>1</v>
      </c>
      <c r="C8404" s="4" t="inlineStr">
        <is>
          <t>whitetail</t>
        </is>
      </c>
      <c r="D8404" s="4" t="n">
        <v>2017</v>
      </c>
      <c r="E8404" s="4" t="inlineStr"/>
      <c r="F8404" s="5" t="n">
        <v>565</v>
      </c>
      <c r="G8404" s="5" t="n">
        <v>3634</v>
      </c>
      <c r="H8404" s="5" t="n">
        <v>197</v>
      </c>
      <c r="I8404" s="5" t="n">
        <v>151</v>
      </c>
      <c r="J8404" s="5" t="n">
        <v>46</v>
      </c>
      <c r="K8404" s="10">
        <f>IF(F8404&gt;0,H8404/F8404,"")</f>
        <v/>
      </c>
      <c r="L8404" s="16">
        <f>IF(AND(G8404&gt;0,H8404&gt;0),G8404/H8404,"")</f>
        <v/>
      </c>
    </row>
    <row r="8405">
      <c r="A8405" s="4" t="inlineStr">
        <is>
          <t>109</t>
        </is>
      </c>
      <c r="B8405" s="4" t="n">
        <v>1</v>
      </c>
      <c r="C8405" s="4" t="inlineStr">
        <is>
          <t>whitetail</t>
        </is>
      </c>
      <c r="D8405" s="4" t="n">
        <v>2018</v>
      </c>
      <c r="E8405" s="4" t="inlineStr"/>
      <c r="F8405" s="5" t="n"/>
      <c r="G8405" s="5" t="n"/>
      <c r="H8405" s="5" t="n">
        <v>269</v>
      </c>
      <c r="I8405" s="5" t="n">
        <v>198</v>
      </c>
      <c r="J8405" s="5" t="n">
        <v>71</v>
      </c>
      <c r="K8405" s="10">
        <f>IF(F8405&gt;0,H8405/F8405,"")</f>
        <v/>
      </c>
      <c r="L8405" s="16">
        <f>IF(AND(G8405&gt;0,H8405&gt;0),G8405/H8405,"")</f>
        <v/>
      </c>
    </row>
    <row r="8406">
      <c r="A8406" s="4" t="inlineStr">
        <is>
          <t>109</t>
        </is>
      </c>
      <c r="B8406" s="4" t="n">
        <v>1</v>
      </c>
      <c r="C8406" s="4" t="inlineStr">
        <is>
          <t>whitetail</t>
        </is>
      </c>
      <c r="D8406" s="4" t="n">
        <v>2019</v>
      </c>
      <c r="E8406" s="4" t="inlineStr"/>
      <c r="F8406" s="5" t="n">
        <v>690</v>
      </c>
      <c r="G8406" s="5" t="n">
        <v>4516</v>
      </c>
      <c r="H8406" s="5" t="n">
        <v>244</v>
      </c>
      <c r="I8406" s="5" t="n">
        <v>191</v>
      </c>
      <c r="J8406" s="5" t="n">
        <v>53</v>
      </c>
      <c r="K8406" s="10">
        <f>IF(F8406&gt;0,H8406/F8406,"")</f>
        <v/>
      </c>
      <c r="L8406" s="16">
        <f>IF(AND(G8406&gt;0,H8406&gt;0),G8406/H8406,"")</f>
        <v/>
      </c>
    </row>
    <row r="8407">
      <c r="A8407" s="4" t="inlineStr">
        <is>
          <t>109</t>
        </is>
      </c>
      <c r="B8407" s="4" t="n">
        <v>1</v>
      </c>
      <c r="C8407" s="4" t="inlineStr">
        <is>
          <t>whitetail</t>
        </is>
      </c>
      <c r="D8407" s="4" t="n">
        <v>2020</v>
      </c>
      <c r="E8407" s="4" t="inlineStr"/>
      <c r="F8407" s="5" t="n"/>
      <c r="G8407" s="5" t="n"/>
      <c r="H8407" s="5" t="n">
        <v>177</v>
      </c>
      <c r="I8407" s="5" t="n">
        <v>132</v>
      </c>
      <c r="J8407" s="5" t="n">
        <v>44</v>
      </c>
      <c r="K8407" s="10">
        <f>IF(F8407&gt;0,H8407/F8407,"")</f>
        <v/>
      </c>
      <c r="L8407" s="16">
        <f>IF(AND(G8407&gt;0,H8407&gt;0),G8407/H8407,"")</f>
        <v/>
      </c>
    </row>
    <row r="8408">
      <c r="A8408" s="4" t="inlineStr">
        <is>
          <t>109</t>
        </is>
      </c>
      <c r="B8408" s="4" t="n">
        <v>1</v>
      </c>
      <c r="C8408" s="4" t="inlineStr">
        <is>
          <t>whitetail</t>
        </is>
      </c>
      <c r="D8408" s="4" t="n">
        <v>2021</v>
      </c>
      <c r="E8408" s="4" t="inlineStr"/>
      <c r="F8408" s="5" t="n">
        <v>532</v>
      </c>
      <c r="G8408" s="5" t="n">
        <v>3607</v>
      </c>
      <c r="H8408" s="5" t="n">
        <v>238</v>
      </c>
      <c r="I8408" s="5" t="n">
        <v>162</v>
      </c>
      <c r="J8408" s="5" t="n">
        <v>76</v>
      </c>
      <c r="K8408" s="10">
        <f>IF(F8408&gt;0,H8408/F8408,"")</f>
        <v/>
      </c>
      <c r="L8408" s="16">
        <f>IF(AND(G8408&gt;0,H8408&gt;0),G8408/H8408,"")</f>
        <v/>
      </c>
    </row>
    <row r="8409">
      <c r="A8409" s="4" t="inlineStr">
        <is>
          <t>110</t>
        </is>
      </c>
      <c r="B8409" s="4" t="n">
        <v>1</v>
      </c>
      <c r="C8409" s="4" t="inlineStr">
        <is>
          <t>whitetail</t>
        </is>
      </c>
      <c r="D8409" s="4" t="n">
        <v>2004</v>
      </c>
      <c r="E8409" s="13" t="inlineStr">
        <is>
          <t>General</t>
        </is>
      </c>
      <c r="F8409" s="5" t="n">
        <v>2241</v>
      </c>
      <c r="G8409" s="5" t="n">
        <v>11188</v>
      </c>
      <c r="H8409" s="5" t="n">
        <v>755</v>
      </c>
      <c r="I8409" s="5" t="n">
        <v>605</v>
      </c>
      <c r="J8409" s="5" t="n">
        <v>142</v>
      </c>
      <c r="K8409" s="10">
        <f>IF(F8409&gt;0,H8409/F8409,"")</f>
        <v/>
      </c>
      <c r="L8409" s="16">
        <f>IF(AND(G8409&gt;0,H8409&gt;0),G8409/H8409,"")</f>
        <v/>
      </c>
    </row>
    <row r="8410">
      <c r="A8410" s="4" t="inlineStr">
        <is>
          <t>110</t>
        </is>
      </c>
      <c r="B8410" s="4" t="n">
        <v>1</v>
      </c>
      <c r="C8410" s="4" t="inlineStr">
        <is>
          <t>whitetail</t>
        </is>
      </c>
      <c r="D8410" s="4" t="n">
        <v>2005</v>
      </c>
      <c r="E8410" s="13" t="inlineStr">
        <is>
          <t>General</t>
        </is>
      </c>
      <c r="F8410" s="5" t="n">
        <v>2242</v>
      </c>
      <c r="G8410" s="5" t="n">
        <v>12810</v>
      </c>
      <c r="H8410" s="5" t="n">
        <v>754</v>
      </c>
      <c r="I8410" s="5" t="n">
        <v>591</v>
      </c>
      <c r="J8410" s="5" t="n">
        <v>159</v>
      </c>
      <c r="K8410" s="10">
        <f>IF(F8410&gt;0,H8410/F8410,"")</f>
        <v/>
      </c>
      <c r="L8410" s="16">
        <f>IF(AND(G8410&gt;0,H8410&gt;0),G8410/H8410,"")</f>
        <v/>
      </c>
    </row>
    <row r="8411">
      <c r="A8411" s="4" t="inlineStr">
        <is>
          <t>110</t>
        </is>
      </c>
      <c r="B8411" s="4" t="n">
        <v>1</v>
      </c>
      <c r="C8411" s="4" t="inlineStr">
        <is>
          <t>whitetail</t>
        </is>
      </c>
      <c r="D8411" s="4" t="n">
        <v>2006</v>
      </c>
      <c r="E8411" s="13" t="inlineStr">
        <is>
          <t>General</t>
        </is>
      </c>
      <c r="F8411" s="5" t="n">
        <v>2430</v>
      </c>
      <c r="G8411" s="5" t="n">
        <v>16277</v>
      </c>
      <c r="H8411" s="5" t="n">
        <v>823</v>
      </c>
      <c r="I8411" s="5" t="n">
        <v>560</v>
      </c>
      <c r="J8411" s="5" t="n">
        <v>253</v>
      </c>
      <c r="K8411" s="10">
        <f>IF(F8411&gt;0,H8411/F8411,"")</f>
        <v/>
      </c>
      <c r="L8411" s="16">
        <f>IF(AND(G8411&gt;0,H8411&gt;0),G8411/H8411,"")</f>
        <v/>
      </c>
    </row>
    <row r="8412">
      <c r="A8412" s="4" t="inlineStr">
        <is>
          <t>110</t>
        </is>
      </c>
      <c r="B8412" s="4" t="n">
        <v>1</v>
      </c>
      <c r="C8412" s="4" t="inlineStr">
        <is>
          <t>whitetail</t>
        </is>
      </c>
      <c r="D8412" s="4" t="n">
        <v>2007</v>
      </c>
      <c r="E8412" s="13" t="inlineStr">
        <is>
          <t>General</t>
        </is>
      </c>
      <c r="F8412" s="5" t="n">
        <v>2051</v>
      </c>
      <c r="G8412" s="5" t="n">
        <v>13816</v>
      </c>
      <c r="H8412" s="5" t="n">
        <v>555</v>
      </c>
      <c r="I8412" s="5" t="n">
        <v>440</v>
      </c>
      <c r="J8412" s="5" t="n">
        <v>105</v>
      </c>
      <c r="K8412" s="10">
        <f>IF(F8412&gt;0,H8412/F8412,"")</f>
        <v/>
      </c>
      <c r="L8412" s="16">
        <f>IF(AND(G8412&gt;0,H8412&gt;0),G8412/H8412,"")</f>
        <v/>
      </c>
    </row>
    <row r="8413">
      <c r="A8413" s="4" t="inlineStr">
        <is>
          <t>110</t>
        </is>
      </c>
      <c r="B8413" s="4" t="n">
        <v>1</v>
      </c>
      <c r="C8413" s="4" t="inlineStr">
        <is>
          <t>whitetail</t>
        </is>
      </c>
      <c r="D8413" s="4" t="n">
        <v>2008</v>
      </c>
      <c r="E8413" s="13" t="inlineStr">
        <is>
          <t>General</t>
        </is>
      </c>
      <c r="F8413" s="5" t="n">
        <v>2278</v>
      </c>
      <c r="G8413" s="5" t="n">
        <v>14800</v>
      </c>
      <c r="H8413" s="5" t="n">
        <v>531</v>
      </c>
      <c r="I8413" s="5" t="n">
        <v>396</v>
      </c>
      <c r="J8413" s="5" t="n">
        <v>135</v>
      </c>
      <c r="K8413" s="10">
        <f>IF(F8413&gt;0,H8413/F8413,"")</f>
        <v/>
      </c>
      <c r="L8413" s="16">
        <f>IF(AND(G8413&gt;0,H8413&gt;0),G8413/H8413,"")</f>
        <v/>
      </c>
    </row>
    <row r="8414">
      <c r="A8414" s="4" t="inlineStr">
        <is>
          <t>110</t>
        </is>
      </c>
      <c r="B8414" s="4" t="n">
        <v>1</v>
      </c>
      <c r="C8414" s="4" t="inlineStr">
        <is>
          <t>whitetail</t>
        </is>
      </c>
      <c r="D8414" s="4" t="n">
        <v>2009</v>
      </c>
      <c r="E8414" s="13" t="inlineStr">
        <is>
          <t>General</t>
        </is>
      </c>
      <c r="F8414" s="5" t="n">
        <v>2203</v>
      </c>
      <c r="G8414" s="5" t="n">
        <v>15303</v>
      </c>
      <c r="H8414" s="5" t="n">
        <v>457</v>
      </c>
      <c r="I8414" s="5" t="n">
        <v>367</v>
      </c>
      <c r="J8414" s="5" t="n">
        <v>90</v>
      </c>
      <c r="K8414" s="10">
        <f>IF(F8414&gt;0,H8414/F8414,"")</f>
        <v/>
      </c>
      <c r="L8414" s="16">
        <f>IF(AND(G8414&gt;0,H8414&gt;0),G8414/H8414,"")</f>
        <v/>
      </c>
    </row>
    <row r="8415">
      <c r="A8415" s="4" t="inlineStr">
        <is>
          <t>110</t>
        </is>
      </c>
      <c r="B8415" s="4" t="n">
        <v>1</v>
      </c>
      <c r="C8415" s="4" t="inlineStr">
        <is>
          <t>whitetail</t>
        </is>
      </c>
      <c r="D8415" s="4" t="n">
        <v>2010</v>
      </c>
      <c r="E8415" s="13" t="inlineStr">
        <is>
          <t>General</t>
        </is>
      </c>
      <c r="F8415" s="5" t="n">
        <v>1838</v>
      </c>
      <c r="G8415" s="5" t="n">
        <v>12409</v>
      </c>
      <c r="H8415" s="5" t="n">
        <v>415</v>
      </c>
      <c r="I8415" s="5" t="n">
        <v>355</v>
      </c>
      <c r="J8415" s="5" t="n">
        <v>60</v>
      </c>
      <c r="K8415" s="10">
        <f>IF(F8415&gt;0,H8415/F8415,"")</f>
        <v/>
      </c>
      <c r="L8415" s="16">
        <f>IF(AND(G8415&gt;0,H8415&gt;0),G8415/H8415,"")</f>
        <v/>
      </c>
    </row>
    <row r="8416">
      <c r="A8416" s="4" t="inlineStr">
        <is>
          <t>110</t>
        </is>
      </c>
      <c r="B8416" s="4" t="n">
        <v>1</v>
      </c>
      <c r="C8416" s="4" t="inlineStr">
        <is>
          <t>whitetail</t>
        </is>
      </c>
      <c r="D8416" s="4" t="n">
        <v>2011</v>
      </c>
      <c r="E8416" s="13" t="inlineStr">
        <is>
          <t>General</t>
        </is>
      </c>
      <c r="F8416" s="5" t="n">
        <v>1877</v>
      </c>
      <c r="G8416" s="5" t="n">
        <v>13234</v>
      </c>
      <c r="H8416" s="5" t="n">
        <v>319</v>
      </c>
      <c r="I8416" s="5" t="n">
        <v>298</v>
      </c>
      <c r="J8416" s="5" t="n">
        <v>21</v>
      </c>
      <c r="K8416" s="10">
        <f>IF(F8416&gt;0,H8416/F8416,"")</f>
        <v/>
      </c>
      <c r="L8416" s="16">
        <f>IF(AND(G8416&gt;0,H8416&gt;0),G8416/H8416,"")</f>
        <v/>
      </c>
    </row>
    <row r="8417">
      <c r="A8417" s="4" t="inlineStr">
        <is>
          <t>110</t>
        </is>
      </c>
      <c r="B8417" s="4" t="n">
        <v>1</v>
      </c>
      <c r="C8417" s="4" t="inlineStr">
        <is>
          <t>whitetail</t>
        </is>
      </c>
      <c r="D8417" s="4" t="n">
        <v>2012</v>
      </c>
      <c r="E8417" s="13" t="inlineStr">
        <is>
          <t>General</t>
        </is>
      </c>
      <c r="F8417" s="5" t="n"/>
      <c r="G8417" s="5" t="n"/>
      <c r="H8417" s="5" t="n">
        <v>391</v>
      </c>
      <c r="I8417" s="5" t="n">
        <v>363</v>
      </c>
      <c r="J8417" s="5" t="n">
        <v>28</v>
      </c>
      <c r="K8417" s="10">
        <f>IF(F8417&gt;0,H8417/F8417,"")</f>
        <v/>
      </c>
      <c r="L8417" s="16">
        <f>IF(AND(G8417&gt;0,H8417&gt;0),G8417/H8417,"")</f>
        <v/>
      </c>
    </row>
    <row r="8418">
      <c r="A8418" s="4" t="inlineStr">
        <is>
          <t>110</t>
        </is>
      </c>
      <c r="B8418" s="4" t="n">
        <v>1</v>
      </c>
      <c r="C8418" s="4" t="inlineStr">
        <is>
          <t>whitetail</t>
        </is>
      </c>
      <c r="D8418" s="4" t="n">
        <v>2013</v>
      </c>
      <c r="E8418" s="13" t="inlineStr">
        <is>
          <t>General</t>
        </is>
      </c>
      <c r="F8418" s="5" t="n">
        <v>1926</v>
      </c>
      <c r="G8418" s="5" t="n">
        <v>12732</v>
      </c>
      <c r="H8418" s="5" t="n">
        <v>367</v>
      </c>
      <c r="I8418" s="5" t="n">
        <v>336</v>
      </c>
      <c r="J8418" s="5" t="n">
        <v>28</v>
      </c>
      <c r="K8418" s="10">
        <f>IF(F8418&gt;0,H8418/F8418,"")</f>
        <v/>
      </c>
      <c r="L8418" s="16">
        <f>IF(AND(G8418&gt;0,H8418&gt;0),G8418/H8418,"")</f>
        <v/>
      </c>
    </row>
    <row r="8419">
      <c r="A8419" s="4" t="inlineStr">
        <is>
          <t>110</t>
        </is>
      </c>
      <c r="B8419" s="4" t="n">
        <v>1</v>
      </c>
      <c r="C8419" s="4" t="inlineStr">
        <is>
          <t>whitetail</t>
        </is>
      </c>
      <c r="D8419" s="4" t="n">
        <v>2014</v>
      </c>
      <c r="E8419" s="13" t="inlineStr">
        <is>
          <t>General</t>
        </is>
      </c>
      <c r="F8419" s="5" t="n"/>
      <c r="G8419" s="5" t="n"/>
      <c r="H8419" s="5" t="n">
        <v>449</v>
      </c>
      <c r="I8419" s="5" t="n">
        <v>395</v>
      </c>
      <c r="J8419" s="5" t="n">
        <v>54</v>
      </c>
      <c r="K8419" s="10">
        <f>IF(F8419&gt;0,H8419/F8419,"")</f>
        <v/>
      </c>
      <c r="L8419" s="16">
        <f>IF(AND(G8419&gt;0,H8419&gt;0),G8419/H8419,"")</f>
        <v/>
      </c>
    </row>
    <row r="8420">
      <c r="A8420" s="4" t="inlineStr">
        <is>
          <t>110</t>
        </is>
      </c>
      <c r="B8420" s="4" t="n">
        <v>1</v>
      </c>
      <c r="C8420" s="4" t="inlineStr">
        <is>
          <t>whitetail</t>
        </is>
      </c>
      <c r="D8420" s="4" t="n">
        <v>2015</v>
      </c>
      <c r="E8420" s="13" t="inlineStr">
        <is>
          <t>General</t>
        </is>
      </c>
      <c r="F8420" s="5" t="n"/>
      <c r="G8420" s="5" t="n"/>
      <c r="H8420" s="5" t="n">
        <v>405</v>
      </c>
      <c r="I8420" s="5" t="n">
        <v>352</v>
      </c>
      <c r="J8420" s="5" t="n">
        <v>53</v>
      </c>
      <c r="K8420" s="10">
        <f>IF(F8420&gt;0,H8420/F8420,"")</f>
        <v/>
      </c>
      <c r="L8420" s="16">
        <f>IF(AND(G8420&gt;0,H8420&gt;0),G8420/H8420,"")</f>
        <v/>
      </c>
    </row>
    <row r="8421">
      <c r="A8421" s="4" t="inlineStr">
        <is>
          <t>110</t>
        </is>
      </c>
      <c r="B8421" s="4" t="n">
        <v>1</v>
      </c>
      <c r="C8421" s="4" t="inlineStr">
        <is>
          <t>whitetail</t>
        </is>
      </c>
      <c r="D8421" s="4" t="n">
        <v>2016</v>
      </c>
      <c r="E8421" s="13" t="inlineStr">
        <is>
          <t>General</t>
        </is>
      </c>
      <c r="F8421" s="5" t="n"/>
      <c r="G8421" s="5" t="n"/>
      <c r="H8421" s="5" t="n">
        <v>627</v>
      </c>
      <c r="I8421" s="5" t="n">
        <v>519</v>
      </c>
      <c r="J8421" s="5" t="n">
        <v>104</v>
      </c>
      <c r="K8421" s="10">
        <f>IF(F8421&gt;0,H8421/F8421,"")</f>
        <v/>
      </c>
      <c r="L8421" s="16">
        <f>IF(AND(G8421&gt;0,H8421&gt;0),G8421/H8421,"")</f>
        <v/>
      </c>
    </row>
    <row r="8422">
      <c r="A8422" s="4" t="inlineStr">
        <is>
          <t>110</t>
        </is>
      </c>
      <c r="B8422" s="4" t="n">
        <v>1</v>
      </c>
      <c r="C8422" s="4" t="inlineStr">
        <is>
          <t>whitetail</t>
        </is>
      </c>
      <c r="D8422" s="4" t="n">
        <v>2017</v>
      </c>
      <c r="E8422" s="13" t="inlineStr">
        <is>
          <t>General</t>
        </is>
      </c>
      <c r="F8422" s="5" t="n">
        <v>1451</v>
      </c>
      <c r="G8422" s="5" t="n">
        <v>9238</v>
      </c>
      <c r="H8422" s="5" t="n">
        <v>396</v>
      </c>
      <c r="I8422" s="5" t="n">
        <v>334</v>
      </c>
      <c r="J8422" s="5" t="n">
        <v>59</v>
      </c>
      <c r="K8422" s="10">
        <f>IF(F8422&gt;0,H8422/F8422,"")</f>
        <v/>
      </c>
      <c r="L8422" s="16">
        <f>IF(AND(G8422&gt;0,H8422&gt;0),G8422/H8422,"")</f>
        <v/>
      </c>
    </row>
    <row r="8423">
      <c r="A8423" s="4" t="inlineStr">
        <is>
          <t>110</t>
        </is>
      </c>
      <c r="B8423" s="4" t="n">
        <v>1</v>
      </c>
      <c r="C8423" s="4" t="inlineStr">
        <is>
          <t>whitetail</t>
        </is>
      </c>
      <c r="D8423" s="4" t="n">
        <v>2018</v>
      </c>
      <c r="E8423" s="13" t="inlineStr">
        <is>
          <t>General</t>
        </is>
      </c>
      <c r="F8423" s="5" t="n"/>
      <c r="G8423" s="5" t="n"/>
      <c r="H8423" s="5" t="n">
        <v>331</v>
      </c>
      <c r="I8423" s="5" t="n">
        <v>284</v>
      </c>
      <c r="J8423" s="5" t="n">
        <v>47</v>
      </c>
      <c r="K8423" s="10">
        <f>IF(F8423&gt;0,H8423/F8423,"")</f>
        <v/>
      </c>
      <c r="L8423" s="16">
        <f>IF(AND(G8423&gt;0,H8423&gt;0),G8423/H8423,"")</f>
        <v/>
      </c>
    </row>
    <row r="8424">
      <c r="A8424" s="4" t="inlineStr">
        <is>
          <t>110</t>
        </is>
      </c>
      <c r="B8424" s="4" t="n">
        <v>1</v>
      </c>
      <c r="C8424" s="4" t="inlineStr">
        <is>
          <t>whitetail</t>
        </is>
      </c>
      <c r="D8424" s="4" t="n">
        <v>2019</v>
      </c>
      <c r="E8424" s="13" t="inlineStr">
        <is>
          <t>General</t>
        </is>
      </c>
      <c r="F8424" s="5" t="n">
        <v>1180</v>
      </c>
      <c r="G8424" s="5" t="n">
        <v>7297</v>
      </c>
      <c r="H8424" s="5" t="n">
        <v>303</v>
      </c>
      <c r="I8424" s="5" t="n">
        <v>275</v>
      </c>
      <c r="J8424" s="5" t="n">
        <v>28</v>
      </c>
      <c r="K8424" s="10">
        <f>IF(F8424&gt;0,H8424/F8424,"")</f>
        <v/>
      </c>
      <c r="L8424" s="16">
        <f>IF(AND(G8424&gt;0,H8424&gt;0),G8424/H8424,"")</f>
        <v/>
      </c>
    </row>
    <row r="8425">
      <c r="A8425" s="4" t="inlineStr">
        <is>
          <t>110</t>
        </is>
      </c>
      <c r="B8425" s="4" t="n">
        <v>1</v>
      </c>
      <c r="C8425" s="4" t="inlineStr">
        <is>
          <t>whitetail</t>
        </is>
      </c>
      <c r="D8425" s="4" t="n">
        <v>2020</v>
      </c>
      <c r="E8425" s="13" t="inlineStr">
        <is>
          <t>General</t>
        </is>
      </c>
      <c r="F8425" s="5" t="n"/>
      <c r="G8425" s="5" t="n"/>
      <c r="H8425" s="5" t="n">
        <v>317</v>
      </c>
      <c r="I8425" s="5" t="n">
        <v>296</v>
      </c>
      <c r="J8425" s="5" t="n">
        <v>21</v>
      </c>
      <c r="K8425" s="10">
        <f>IF(F8425&gt;0,H8425/F8425,"")</f>
        <v/>
      </c>
      <c r="L8425" s="16">
        <f>IF(AND(G8425&gt;0,H8425&gt;0),G8425/H8425,"")</f>
        <v/>
      </c>
    </row>
    <row r="8426">
      <c r="A8426" s="4" t="inlineStr">
        <is>
          <t>110</t>
        </is>
      </c>
      <c r="B8426" s="4" t="n">
        <v>1</v>
      </c>
      <c r="C8426" s="4" t="inlineStr">
        <is>
          <t>whitetail</t>
        </is>
      </c>
      <c r="D8426" s="4" t="n">
        <v>2021</v>
      </c>
      <c r="E8426" s="13" t="inlineStr">
        <is>
          <t>General</t>
        </is>
      </c>
      <c r="F8426" s="5" t="n">
        <v>1118</v>
      </c>
      <c r="G8426" s="5" t="n">
        <v>6739</v>
      </c>
      <c r="H8426" s="5" t="n">
        <v>315</v>
      </c>
      <c r="I8426" s="5" t="n">
        <v>299</v>
      </c>
      <c r="J8426" s="5" t="n">
        <v>16</v>
      </c>
      <c r="K8426" s="10">
        <f>IF(F8426&gt;0,H8426/F8426,"")</f>
        <v/>
      </c>
      <c r="L8426" s="16">
        <f>IF(AND(G8426&gt;0,H8426&gt;0),G8426/H8426,"")</f>
        <v/>
      </c>
    </row>
    <row r="8427">
      <c r="A8427" s="4" t="inlineStr">
        <is>
          <t>110</t>
        </is>
      </c>
      <c r="B8427" s="4" t="n">
        <v>1</v>
      </c>
      <c r="C8427" s="4" t="inlineStr">
        <is>
          <t>whitetail</t>
        </is>
      </c>
      <c r="D8427" s="4" t="n">
        <v>2022</v>
      </c>
      <c r="E8427" s="13" t="inlineStr">
        <is>
          <t>General</t>
        </is>
      </c>
      <c r="F8427" s="5" t="n"/>
      <c r="G8427" s="5" t="n"/>
      <c r="H8427" s="5" t="n">
        <v>408</v>
      </c>
      <c r="I8427" s="5" t="n">
        <v>333</v>
      </c>
      <c r="J8427" s="5" t="n">
        <v>71</v>
      </c>
      <c r="K8427" s="10">
        <f>IF(F8427&gt;0,H8427/F8427,"")</f>
        <v/>
      </c>
      <c r="L8427" s="16">
        <f>IF(AND(G8427&gt;0,H8427&gt;0),G8427/H8427,"")</f>
        <v/>
      </c>
    </row>
    <row r="8428">
      <c r="A8428" s="4" t="inlineStr">
        <is>
          <t>110</t>
        </is>
      </c>
      <c r="B8428" s="4" t="n">
        <v>1</v>
      </c>
      <c r="C8428" s="4" t="inlineStr">
        <is>
          <t>whitetail</t>
        </is>
      </c>
      <c r="D8428" s="4" t="n">
        <v>2023</v>
      </c>
      <c r="E8428" s="13" t="inlineStr">
        <is>
          <t>General</t>
        </is>
      </c>
      <c r="F8428" s="5" t="n">
        <v>1360</v>
      </c>
      <c r="G8428" s="5" t="n">
        <v>7975</v>
      </c>
      <c r="H8428" s="5" t="n">
        <v>345</v>
      </c>
      <c r="I8428" s="5" t="n">
        <v>305</v>
      </c>
      <c r="J8428" s="5" t="n">
        <v>37</v>
      </c>
      <c r="K8428" s="10">
        <f>IF(F8428&gt;0,H8428/F8428,"")</f>
        <v/>
      </c>
      <c r="L8428" s="16">
        <f>IF(AND(G8428&gt;0,H8428&gt;0),G8428/H8428,"")</f>
        <v/>
      </c>
    </row>
    <row r="8429">
      <c r="A8429" s="4" t="inlineStr">
        <is>
          <t>110</t>
        </is>
      </c>
      <c r="B8429" s="4" t="n">
        <v>1</v>
      </c>
      <c r="C8429" s="4" t="inlineStr">
        <is>
          <t>whitetail</t>
        </is>
      </c>
      <c r="D8429" s="4" t="n">
        <v>2024</v>
      </c>
      <c r="E8429" s="13" t="inlineStr">
        <is>
          <t>General</t>
        </is>
      </c>
      <c r="F8429" s="5" t="n"/>
      <c r="G8429" s="5" t="n"/>
      <c r="H8429" s="5" t="n">
        <v>479</v>
      </c>
      <c r="I8429" s="5" t="n">
        <v>422</v>
      </c>
      <c r="J8429" s="5" t="n">
        <v>58</v>
      </c>
      <c r="K8429" s="10">
        <f>IF(F8429&gt;0,H8429/F8429,"")</f>
        <v/>
      </c>
      <c r="L8429" s="16">
        <f>IF(AND(G8429&gt;0,H8429&gt;0),G8429/H8429,"")</f>
        <v/>
      </c>
    </row>
    <row r="8430">
      <c r="A8430" s="4" t="inlineStr">
        <is>
          <t>110</t>
        </is>
      </c>
      <c r="B8430" s="4" t="n">
        <v>1</v>
      </c>
      <c r="C8430" s="4" t="inlineStr">
        <is>
          <t>whitetail</t>
        </is>
      </c>
      <c r="D8430" s="4" t="n">
        <v>2025</v>
      </c>
      <c r="E8430" s="13" t="inlineStr">
        <is>
          <t>General</t>
        </is>
      </c>
      <c r="F8430" s="5" t="n">
        <v>1344</v>
      </c>
      <c r="G8430" s="5" t="n">
        <v>8403</v>
      </c>
      <c r="H8430" s="5" t="n">
        <v>427</v>
      </c>
      <c r="I8430" s="5" t="n">
        <v>345</v>
      </c>
      <c r="J8430" s="5" t="n">
        <v>82</v>
      </c>
      <c r="K8430" s="10">
        <f>IF(F8430&gt;0,H8430/F8430,"")</f>
        <v/>
      </c>
      <c r="L8430" s="16">
        <f>IF(AND(G8430&gt;0,H8430&gt;0),G8430/H8430,"")</f>
        <v/>
      </c>
    </row>
    <row r="8431">
      <c r="A8431" s="4" t="inlineStr">
        <is>
          <t>120</t>
        </is>
      </c>
      <c r="B8431" s="4" t="n">
        <v>1</v>
      </c>
      <c r="C8431" s="4" t="inlineStr">
        <is>
          <t>whitetail</t>
        </is>
      </c>
      <c r="D8431" s="4" t="n">
        <v>2004</v>
      </c>
      <c r="E8431" s="13" t="inlineStr">
        <is>
          <t>General</t>
        </is>
      </c>
      <c r="F8431" s="5" t="n">
        <v>2533</v>
      </c>
      <c r="G8431" s="5" t="n">
        <v>12888</v>
      </c>
      <c r="H8431" s="5" t="n">
        <v>1020</v>
      </c>
      <c r="I8431" s="5" t="n">
        <v>667</v>
      </c>
      <c r="J8431" s="5" t="n">
        <v>338</v>
      </c>
      <c r="K8431" s="10">
        <f>IF(F8431&gt;0,H8431/F8431,"")</f>
        <v/>
      </c>
      <c r="L8431" s="16">
        <f>IF(AND(G8431&gt;0,H8431&gt;0),G8431/H8431,"")</f>
        <v/>
      </c>
    </row>
    <row r="8432">
      <c r="A8432" s="4" t="inlineStr">
        <is>
          <t>120</t>
        </is>
      </c>
      <c r="B8432" s="4" t="n">
        <v>1</v>
      </c>
      <c r="C8432" s="4" t="inlineStr">
        <is>
          <t>whitetail</t>
        </is>
      </c>
      <c r="D8432" s="4" t="n">
        <v>2005</v>
      </c>
      <c r="E8432" s="13" t="inlineStr">
        <is>
          <t>General</t>
        </is>
      </c>
      <c r="F8432" s="5" t="n">
        <v>2914</v>
      </c>
      <c r="G8432" s="5" t="n">
        <v>16017</v>
      </c>
      <c r="H8432" s="5" t="n">
        <v>1299</v>
      </c>
      <c r="I8432" s="5" t="n">
        <v>839</v>
      </c>
      <c r="J8432" s="5" t="n">
        <v>454</v>
      </c>
      <c r="K8432" s="10">
        <f>IF(F8432&gt;0,H8432/F8432,"")</f>
        <v/>
      </c>
      <c r="L8432" s="16">
        <f>IF(AND(G8432&gt;0,H8432&gt;0),G8432/H8432,"")</f>
        <v/>
      </c>
    </row>
    <row r="8433">
      <c r="A8433" s="4" t="inlineStr">
        <is>
          <t>120</t>
        </is>
      </c>
      <c r="B8433" s="4" t="n">
        <v>1</v>
      </c>
      <c r="C8433" s="4" t="inlineStr">
        <is>
          <t>whitetail</t>
        </is>
      </c>
      <c r="D8433" s="4" t="n">
        <v>2006</v>
      </c>
      <c r="E8433" s="13" t="inlineStr">
        <is>
          <t>General</t>
        </is>
      </c>
      <c r="F8433" s="5" t="n">
        <v>2713</v>
      </c>
      <c r="G8433" s="5" t="n">
        <v>16766</v>
      </c>
      <c r="H8433" s="5" t="n">
        <v>1150</v>
      </c>
      <c r="I8433" s="5" t="n">
        <v>723</v>
      </c>
      <c r="J8433" s="5" t="n">
        <v>410</v>
      </c>
      <c r="K8433" s="10">
        <f>IF(F8433&gt;0,H8433/F8433,"")</f>
        <v/>
      </c>
      <c r="L8433" s="16">
        <f>IF(AND(G8433&gt;0,H8433&gt;0),G8433/H8433,"")</f>
        <v/>
      </c>
    </row>
    <row r="8434">
      <c r="A8434" s="4" t="inlineStr">
        <is>
          <t>120</t>
        </is>
      </c>
      <c r="B8434" s="4" t="n">
        <v>1</v>
      </c>
      <c r="C8434" s="4" t="inlineStr">
        <is>
          <t>whitetail</t>
        </is>
      </c>
      <c r="D8434" s="4" t="n">
        <v>2007</v>
      </c>
      <c r="E8434" s="13" t="inlineStr">
        <is>
          <t>General</t>
        </is>
      </c>
      <c r="F8434" s="5" t="n">
        <v>3024</v>
      </c>
      <c r="G8434" s="5" t="n">
        <v>18279</v>
      </c>
      <c r="H8434" s="5" t="n">
        <v>1188</v>
      </c>
      <c r="I8434" s="5" t="n">
        <v>646</v>
      </c>
      <c r="J8434" s="5" t="n">
        <v>511</v>
      </c>
      <c r="K8434" s="10">
        <f>IF(F8434&gt;0,H8434/F8434,"")</f>
        <v/>
      </c>
      <c r="L8434" s="16">
        <f>IF(AND(G8434&gt;0,H8434&gt;0),G8434/H8434,"")</f>
        <v/>
      </c>
    </row>
    <row r="8435">
      <c r="A8435" s="4" t="inlineStr">
        <is>
          <t>120</t>
        </is>
      </c>
      <c r="B8435" s="4" t="n">
        <v>1</v>
      </c>
      <c r="C8435" s="4" t="inlineStr">
        <is>
          <t>whitetail</t>
        </is>
      </c>
      <c r="D8435" s="4" t="n">
        <v>2008</v>
      </c>
      <c r="E8435" s="13" t="inlineStr">
        <is>
          <t>General</t>
        </is>
      </c>
      <c r="F8435" s="5" t="n">
        <v>2594</v>
      </c>
      <c r="G8435" s="5" t="n">
        <v>17463</v>
      </c>
      <c r="H8435" s="5" t="n">
        <v>843</v>
      </c>
      <c r="I8435" s="5" t="n">
        <v>469</v>
      </c>
      <c r="J8435" s="5" t="n">
        <v>361</v>
      </c>
      <c r="K8435" s="10">
        <f>IF(F8435&gt;0,H8435/F8435,"")</f>
        <v/>
      </c>
      <c r="L8435" s="16">
        <f>IF(AND(G8435&gt;0,H8435&gt;0),G8435/H8435,"")</f>
        <v/>
      </c>
    </row>
    <row r="8436">
      <c r="A8436" s="4" t="inlineStr">
        <is>
          <t>120</t>
        </is>
      </c>
      <c r="B8436" s="4" t="n">
        <v>1</v>
      </c>
      <c r="C8436" s="4" t="inlineStr">
        <is>
          <t>whitetail</t>
        </is>
      </c>
      <c r="D8436" s="4" t="n">
        <v>2009</v>
      </c>
      <c r="E8436" s="13" t="inlineStr">
        <is>
          <t>General</t>
        </is>
      </c>
      <c r="F8436" s="5" t="n">
        <v>2392</v>
      </c>
      <c r="G8436" s="5" t="n">
        <v>14276</v>
      </c>
      <c r="H8436" s="5" t="n">
        <v>528</v>
      </c>
      <c r="I8436" s="5" t="n">
        <v>392</v>
      </c>
      <c r="J8436" s="5" t="n">
        <v>133</v>
      </c>
      <c r="K8436" s="10">
        <f>IF(F8436&gt;0,H8436/F8436,"")</f>
        <v/>
      </c>
      <c r="L8436" s="16">
        <f>IF(AND(G8436&gt;0,H8436&gt;0),G8436/H8436,"")</f>
        <v/>
      </c>
    </row>
    <row r="8437">
      <c r="A8437" s="4" t="inlineStr">
        <is>
          <t>120</t>
        </is>
      </c>
      <c r="B8437" s="4" t="n">
        <v>1</v>
      </c>
      <c r="C8437" s="4" t="inlineStr">
        <is>
          <t>whitetail</t>
        </is>
      </c>
      <c r="D8437" s="4" t="n">
        <v>2010</v>
      </c>
      <c r="E8437" s="13" t="inlineStr">
        <is>
          <t>General</t>
        </is>
      </c>
      <c r="F8437" s="5" t="n">
        <v>1972</v>
      </c>
      <c r="G8437" s="5" t="n">
        <v>11938</v>
      </c>
      <c r="H8437" s="5" t="n">
        <v>564</v>
      </c>
      <c r="I8437" s="5" t="n">
        <v>516</v>
      </c>
      <c r="J8437" s="5" t="n">
        <v>42</v>
      </c>
      <c r="K8437" s="10">
        <f>IF(F8437&gt;0,H8437/F8437,"")</f>
        <v/>
      </c>
      <c r="L8437" s="16">
        <f>IF(AND(G8437&gt;0,H8437&gt;0),G8437/H8437,"")</f>
        <v/>
      </c>
    </row>
    <row r="8438">
      <c r="A8438" s="4" t="inlineStr">
        <is>
          <t>120</t>
        </is>
      </c>
      <c r="B8438" s="4" t="n">
        <v>1</v>
      </c>
      <c r="C8438" s="4" t="inlineStr">
        <is>
          <t>whitetail</t>
        </is>
      </c>
      <c r="D8438" s="4" t="n">
        <v>2011</v>
      </c>
      <c r="E8438" s="13" t="inlineStr">
        <is>
          <t>General</t>
        </is>
      </c>
      <c r="F8438" s="5" t="n">
        <v>2391</v>
      </c>
      <c r="G8438" s="5" t="n">
        <v>14174</v>
      </c>
      <c r="H8438" s="5" t="n">
        <v>545</v>
      </c>
      <c r="I8438" s="5" t="n">
        <v>491</v>
      </c>
      <c r="J8438" s="5" t="n">
        <v>51</v>
      </c>
      <c r="K8438" s="10">
        <f>IF(F8438&gt;0,H8438/F8438,"")</f>
        <v/>
      </c>
      <c r="L8438" s="16">
        <f>IF(AND(G8438&gt;0,H8438&gt;0),G8438/H8438,"")</f>
        <v/>
      </c>
    </row>
    <row r="8439">
      <c r="A8439" s="4" t="inlineStr">
        <is>
          <t>120</t>
        </is>
      </c>
      <c r="B8439" s="4" t="n">
        <v>1</v>
      </c>
      <c r="C8439" s="4" t="inlineStr">
        <is>
          <t>whitetail</t>
        </is>
      </c>
      <c r="D8439" s="4" t="n">
        <v>2012</v>
      </c>
      <c r="E8439" s="13" t="inlineStr">
        <is>
          <t>General</t>
        </is>
      </c>
      <c r="F8439" s="5" t="n"/>
      <c r="G8439" s="5" t="n"/>
      <c r="H8439" s="5" t="n">
        <v>598</v>
      </c>
      <c r="I8439" s="5" t="n">
        <v>534</v>
      </c>
      <c r="J8439" s="5" t="n">
        <v>64</v>
      </c>
      <c r="K8439" s="10">
        <f>IF(F8439&gt;0,H8439/F8439,"")</f>
        <v/>
      </c>
      <c r="L8439" s="16">
        <f>IF(AND(G8439&gt;0,H8439&gt;0),G8439/H8439,"")</f>
        <v/>
      </c>
    </row>
    <row r="8440">
      <c r="A8440" s="4" t="inlineStr">
        <is>
          <t>120</t>
        </is>
      </c>
      <c r="B8440" s="4" t="n">
        <v>1</v>
      </c>
      <c r="C8440" s="4" t="inlineStr">
        <is>
          <t>whitetail</t>
        </is>
      </c>
      <c r="D8440" s="4" t="n">
        <v>2013</v>
      </c>
      <c r="E8440" s="13" t="inlineStr">
        <is>
          <t>General</t>
        </is>
      </c>
      <c r="F8440" s="5" t="n">
        <v>2589</v>
      </c>
      <c r="G8440" s="5" t="n">
        <v>16491</v>
      </c>
      <c r="H8440" s="5" t="n">
        <v>642</v>
      </c>
      <c r="I8440" s="5" t="n">
        <v>590</v>
      </c>
      <c r="J8440" s="5" t="n">
        <v>47</v>
      </c>
      <c r="K8440" s="10">
        <f>IF(F8440&gt;0,H8440/F8440,"")</f>
        <v/>
      </c>
      <c r="L8440" s="16">
        <f>IF(AND(G8440&gt;0,H8440&gt;0),G8440/H8440,"")</f>
        <v/>
      </c>
    </row>
    <row r="8441">
      <c r="A8441" s="4" t="inlineStr">
        <is>
          <t>120</t>
        </is>
      </c>
      <c r="B8441" s="4" t="n">
        <v>1</v>
      </c>
      <c r="C8441" s="4" t="inlineStr">
        <is>
          <t>whitetail</t>
        </is>
      </c>
      <c r="D8441" s="4" t="n">
        <v>2014</v>
      </c>
      <c r="E8441" s="13" t="inlineStr">
        <is>
          <t>General</t>
        </is>
      </c>
      <c r="F8441" s="5" t="n"/>
      <c r="G8441" s="5" t="n"/>
      <c r="H8441" s="5" t="n">
        <v>831</v>
      </c>
      <c r="I8441" s="5" t="n">
        <v>718</v>
      </c>
      <c r="J8441" s="5" t="n">
        <v>113</v>
      </c>
      <c r="K8441" s="10">
        <f>IF(F8441&gt;0,H8441/F8441,"")</f>
        <v/>
      </c>
      <c r="L8441" s="16">
        <f>IF(AND(G8441&gt;0,H8441&gt;0),G8441/H8441,"")</f>
        <v/>
      </c>
    </row>
    <row r="8442">
      <c r="A8442" s="4" t="inlineStr">
        <is>
          <t>120</t>
        </is>
      </c>
      <c r="B8442" s="4" t="n">
        <v>1</v>
      </c>
      <c r="C8442" s="4" t="inlineStr">
        <is>
          <t>whitetail</t>
        </is>
      </c>
      <c r="D8442" s="4" t="n">
        <v>2015</v>
      </c>
      <c r="E8442" s="13" t="inlineStr">
        <is>
          <t>General</t>
        </is>
      </c>
      <c r="F8442" s="5" t="n"/>
      <c r="G8442" s="5" t="n"/>
      <c r="H8442" s="5" t="n">
        <v>809</v>
      </c>
      <c r="I8442" s="5" t="n">
        <v>602</v>
      </c>
      <c r="J8442" s="5" t="n">
        <v>187</v>
      </c>
      <c r="K8442" s="10">
        <f>IF(F8442&gt;0,H8442/F8442,"")</f>
        <v/>
      </c>
      <c r="L8442" s="16">
        <f>IF(AND(G8442&gt;0,H8442&gt;0),G8442/H8442,"")</f>
        <v/>
      </c>
    </row>
    <row r="8443">
      <c r="A8443" s="4" t="inlineStr">
        <is>
          <t>120</t>
        </is>
      </c>
      <c r="B8443" s="4" t="n">
        <v>1</v>
      </c>
      <c r="C8443" s="4" t="inlineStr">
        <is>
          <t>whitetail</t>
        </is>
      </c>
      <c r="D8443" s="4" t="n">
        <v>2016</v>
      </c>
      <c r="E8443" s="13" t="inlineStr">
        <is>
          <t>General</t>
        </is>
      </c>
      <c r="F8443" s="5" t="n"/>
      <c r="G8443" s="5" t="n"/>
      <c r="H8443" s="5" t="n">
        <v>1207</v>
      </c>
      <c r="I8443" s="5" t="n">
        <v>881</v>
      </c>
      <c r="J8443" s="5" t="n">
        <v>296</v>
      </c>
      <c r="K8443" s="10">
        <f>IF(F8443&gt;0,H8443/F8443,"")</f>
        <v/>
      </c>
      <c r="L8443" s="16">
        <f>IF(AND(G8443&gt;0,H8443&gt;0),G8443/H8443,"")</f>
        <v/>
      </c>
    </row>
    <row r="8444">
      <c r="A8444" s="4" t="inlineStr">
        <is>
          <t>120</t>
        </is>
      </c>
      <c r="B8444" s="4" t="n">
        <v>1</v>
      </c>
      <c r="C8444" s="4" t="inlineStr">
        <is>
          <t>whitetail</t>
        </is>
      </c>
      <c r="D8444" s="4" t="n">
        <v>2017</v>
      </c>
      <c r="E8444" s="13" t="inlineStr">
        <is>
          <t>General</t>
        </is>
      </c>
      <c r="F8444" s="5" t="n">
        <v>2358</v>
      </c>
      <c r="G8444" s="5" t="n">
        <v>12935</v>
      </c>
      <c r="H8444" s="5" t="n">
        <v>885</v>
      </c>
      <c r="I8444" s="5" t="n">
        <v>626</v>
      </c>
      <c r="J8444" s="5" t="n">
        <v>250</v>
      </c>
      <c r="K8444" s="10">
        <f>IF(F8444&gt;0,H8444/F8444,"")</f>
        <v/>
      </c>
      <c r="L8444" s="16">
        <f>IF(AND(G8444&gt;0,H8444&gt;0),G8444/H8444,"")</f>
        <v/>
      </c>
    </row>
    <row r="8445">
      <c r="A8445" s="4" t="inlineStr">
        <is>
          <t>120</t>
        </is>
      </c>
      <c r="B8445" s="4" t="n">
        <v>1</v>
      </c>
      <c r="C8445" s="4" t="inlineStr">
        <is>
          <t>whitetail</t>
        </is>
      </c>
      <c r="D8445" s="4" t="n">
        <v>2018</v>
      </c>
      <c r="E8445" s="13" t="inlineStr">
        <is>
          <t>General</t>
        </is>
      </c>
      <c r="F8445" s="5" t="n"/>
      <c r="G8445" s="5" t="n"/>
      <c r="H8445" s="5" t="n">
        <v>771</v>
      </c>
      <c r="I8445" s="5" t="n">
        <v>577</v>
      </c>
      <c r="J8445" s="5" t="n">
        <v>191</v>
      </c>
      <c r="K8445" s="10">
        <f>IF(F8445&gt;0,H8445/F8445,"")</f>
        <v/>
      </c>
      <c r="L8445" s="16">
        <f>IF(AND(G8445&gt;0,H8445&gt;0),G8445/H8445,"")</f>
        <v/>
      </c>
    </row>
    <row r="8446">
      <c r="A8446" s="4" t="inlineStr">
        <is>
          <t>120</t>
        </is>
      </c>
      <c r="B8446" s="4" t="n">
        <v>1</v>
      </c>
      <c r="C8446" s="4" t="inlineStr">
        <is>
          <t>whitetail</t>
        </is>
      </c>
      <c r="D8446" s="4" t="n">
        <v>2019</v>
      </c>
      <c r="E8446" s="13" t="inlineStr">
        <is>
          <t>General</t>
        </is>
      </c>
      <c r="F8446" s="5" t="n">
        <v>2196</v>
      </c>
      <c r="G8446" s="5" t="n">
        <v>12842</v>
      </c>
      <c r="H8446" s="5" t="n">
        <v>660</v>
      </c>
      <c r="I8446" s="5" t="n">
        <v>532</v>
      </c>
      <c r="J8446" s="5" t="n">
        <v>121</v>
      </c>
      <c r="K8446" s="10">
        <f>IF(F8446&gt;0,H8446/F8446,"")</f>
        <v/>
      </c>
      <c r="L8446" s="16">
        <f>IF(AND(G8446&gt;0,H8446&gt;0),G8446/H8446,"")</f>
        <v/>
      </c>
    </row>
    <row r="8447">
      <c r="A8447" s="4" t="inlineStr">
        <is>
          <t>120</t>
        </is>
      </c>
      <c r="B8447" s="4" t="n">
        <v>1</v>
      </c>
      <c r="C8447" s="4" t="inlineStr">
        <is>
          <t>whitetail</t>
        </is>
      </c>
      <c r="D8447" s="4" t="n">
        <v>2020</v>
      </c>
      <c r="E8447" s="13" t="inlineStr">
        <is>
          <t>General</t>
        </is>
      </c>
      <c r="F8447" s="5" t="n"/>
      <c r="G8447" s="5" t="n"/>
      <c r="H8447" s="5" t="n">
        <v>740</v>
      </c>
      <c r="I8447" s="5" t="n">
        <v>554</v>
      </c>
      <c r="J8447" s="5" t="n">
        <v>186</v>
      </c>
      <c r="K8447" s="10">
        <f>IF(F8447&gt;0,H8447/F8447,"")</f>
        <v/>
      </c>
      <c r="L8447" s="16">
        <f>IF(AND(G8447&gt;0,H8447&gt;0),G8447/H8447,"")</f>
        <v/>
      </c>
    </row>
    <row r="8448">
      <c r="A8448" s="4" t="inlineStr">
        <is>
          <t>120</t>
        </is>
      </c>
      <c r="B8448" s="4" t="n">
        <v>1</v>
      </c>
      <c r="C8448" s="4" t="inlineStr">
        <is>
          <t>whitetail</t>
        </is>
      </c>
      <c r="D8448" s="4" t="n">
        <v>2021</v>
      </c>
      <c r="E8448" s="13" t="inlineStr">
        <is>
          <t>General</t>
        </is>
      </c>
      <c r="F8448" s="5" t="n">
        <v>1956</v>
      </c>
      <c r="G8448" s="5" t="n">
        <v>12140</v>
      </c>
      <c r="H8448" s="5" t="n">
        <v>620</v>
      </c>
      <c r="I8448" s="5" t="n">
        <v>498</v>
      </c>
      <c r="J8448" s="5" t="n">
        <v>122</v>
      </c>
      <c r="K8448" s="10">
        <f>IF(F8448&gt;0,H8448/F8448,"")</f>
        <v/>
      </c>
      <c r="L8448" s="16">
        <f>IF(AND(G8448&gt;0,H8448&gt;0),G8448/H8448,"")</f>
        <v/>
      </c>
    </row>
    <row r="8449">
      <c r="A8449" s="4" t="inlineStr">
        <is>
          <t>120</t>
        </is>
      </c>
      <c r="B8449" s="4" t="n">
        <v>1</v>
      </c>
      <c r="C8449" s="4" t="inlineStr">
        <is>
          <t>whitetail</t>
        </is>
      </c>
      <c r="D8449" s="4" t="n">
        <v>2022</v>
      </c>
      <c r="E8449" s="13" t="inlineStr">
        <is>
          <t>General</t>
        </is>
      </c>
      <c r="F8449" s="5" t="n"/>
      <c r="G8449" s="5" t="n"/>
      <c r="H8449" s="5" t="n">
        <v>662</v>
      </c>
      <c r="I8449" s="5" t="n">
        <v>484</v>
      </c>
      <c r="J8449" s="5" t="n">
        <v>178</v>
      </c>
      <c r="K8449" s="10">
        <f>IF(F8449&gt;0,H8449/F8449,"")</f>
        <v/>
      </c>
      <c r="L8449" s="16">
        <f>IF(AND(G8449&gt;0,H8449&gt;0),G8449/H8449,"")</f>
        <v/>
      </c>
    </row>
    <row r="8450">
      <c r="A8450" s="4" t="inlineStr">
        <is>
          <t>120</t>
        </is>
      </c>
      <c r="B8450" s="4" t="n">
        <v>1</v>
      </c>
      <c r="C8450" s="4" t="inlineStr">
        <is>
          <t>whitetail</t>
        </is>
      </c>
      <c r="D8450" s="4" t="n">
        <v>2023</v>
      </c>
      <c r="E8450" s="13" t="inlineStr">
        <is>
          <t>General</t>
        </is>
      </c>
      <c r="F8450" s="5" t="n">
        <v>2206</v>
      </c>
      <c r="G8450" s="5" t="n">
        <v>14981</v>
      </c>
      <c r="H8450" s="5" t="n">
        <v>657</v>
      </c>
      <c r="I8450" s="5" t="n">
        <v>554</v>
      </c>
      <c r="J8450" s="5" t="n">
        <v>103</v>
      </c>
      <c r="K8450" s="10">
        <f>IF(F8450&gt;0,H8450/F8450,"")</f>
        <v/>
      </c>
      <c r="L8450" s="16">
        <f>IF(AND(G8450&gt;0,H8450&gt;0),G8450/H8450,"")</f>
        <v/>
      </c>
    </row>
    <row r="8451">
      <c r="A8451" s="4" t="inlineStr">
        <is>
          <t>120</t>
        </is>
      </c>
      <c r="B8451" s="4" t="n">
        <v>1</v>
      </c>
      <c r="C8451" s="4" t="inlineStr">
        <is>
          <t>whitetail</t>
        </is>
      </c>
      <c r="D8451" s="4" t="n">
        <v>2024</v>
      </c>
      <c r="E8451" s="13" t="inlineStr">
        <is>
          <t>General</t>
        </is>
      </c>
      <c r="F8451" s="5" t="n"/>
      <c r="G8451" s="5" t="n"/>
      <c r="H8451" s="5" t="n">
        <v>691</v>
      </c>
      <c r="I8451" s="5" t="n">
        <v>582</v>
      </c>
      <c r="J8451" s="5" t="n">
        <v>106</v>
      </c>
      <c r="K8451" s="10">
        <f>IF(F8451&gt;0,H8451/F8451,"")</f>
        <v/>
      </c>
      <c r="L8451" s="16">
        <f>IF(AND(G8451&gt;0,H8451&gt;0),G8451/H8451,"")</f>
        <v/>
      </c>
    </row>
    <row r="8452">
      <c r="A8452" s="4" t="inlineStr">
        <is>
          <t>120</t>
        </is>
      </c>
      <c r="B8452" s="4" t="n">
        <v>1</v>
      </c>
      <c r="C8452" s="4" t="inlineStr">
        <is>
          <t>whitetail</t>
        </is>
      </c>
      <c r="D8452" s="4" t="n">
        <v>2025</v>
      </c>
      <c r="E8452" s="13" t="inlineStr">
        <is>
          <t>General</t>
        </is>
      </c>
      <c r="F8452" s="5" t="n">
        <v>2179</v>
      </c>
      <c r="G8452" s="5" t="n">
        <v>14543</v>
      </c>
      <c r="H8452" s="5" t="n">
        <v>642</v>
      </c>
      <c r="I8452" s="5" t="n">
        <v>509</v>
      </c>
      <c r="J8452" s="5" t="n">
        <v>133</v>
      </c>
      <c r="K8452" s="10">
        <f>IF(F8452&gt;0,H8452/F8452,"")</f>
        <v/>
      </c>
      <c r="L8452" s="16">
        <f>IF(AND(G8452&gt;0,H8452&gt;0),G8452/H8452,"")</f>
        <v/>
      </c>
    </row>
    <row r="8453">
      <c r="A8453" s="4" t="inlineStr">
        <is>
          <t>121</t>
        </is>
      </c>
      <c r="B8453" s="4" t="n">
        <v>1</v>
      </c>
      <c r="C8453" s="4" t="inlineStr">
        <is>
          <t>whitetail</t>
        </is>
      </c>
      <c r="D8453" s="4" t="n">
        <v>2004</v>
      </c>
      <c r="E8453" s="13" t="inlineStr">
        <is>
          <t>General</t>
        </is>
      </c>
      <c r="F8453" s="5" t="n">
        <v>3094</v>
      </c>
      <c r="G8453" s="5" t="n">
        <v>22535</v>
      </c>
      <c r="H8453" s="5" t="n">
        <v>1367</v>
      </c>
      <c r="I8453" s="5" t="n">
        <v>983</v>
      </c>
      <c r="J8453" s="5" t="n">
        <v>373</v>
      </c>
      <c r="K8453" s="10">
        <f>IF(F8453&gt;0,H8453/F8453,"")</f>
        <v/>
      </c>
      <c r="L8453" s="16">
        <f>IF(AND(G8453&gt;0,H8453&gt;0),G8453/H8453,"")</f>
        <v/>
      </c>
    </row>
    <row r="8454">
      <c r="A8454" s="4" t="inlineStr">
        <is>
          <t>121</t>
        </is>
      </c>
      <c r="B8454" s="4" t="n">
        <v>1</v>
      </c>
      <c r="C8454" s="4" t="inlineStr">
        <is>
          <t>whitetail</t>
        </is>
      </c>
      <c r="D8454" s="4" t="n">
        <v>2005</v>
      </c>
      <c r="E8454" s="13" t="inlineStr">
        <is>
          <t>General</t>
        </is>
      </c>
      <c r="F8454" s="5" t="n">
        <v>3412</v>
      </c>
      <c r="G8454" s="5" t="n">
        <v>26980</v>
      </c>
      <c r="H8454" s="5" t="n">
        <v>1514</v>
      </c>
      <c r="I8454" s="5" t="n">
        <v>1022</v>
      </c>
      <c r="J8454" s="5" t="n">
        <v>477</v>
      </c>
      <c r="K8454" s="10">
        <f>IF(F8454&gt;0,H8454/F8454,"")</f>
        <v/>
      </c>
      <c r="L8454" s="16">
        <f>IF(AND(G8454&gt;0,H8454&gt;0),G8454/H8454,"")</f>
        <v/>
      </c>
    </row>
    <row r="8455">
      <c r="A8455" s="4" t="inlineStr">
        <is>
          <t>121</t>
        </is>
      </c>
      <c r="B8455" s="4" t="n">
        <v>1</v>
      </c>
      <c r="C8455" s="4" t="inlineStr">
        <is>
          <t>whitetail</t>
        </is>
      </c>
      <c r="D8455" s="4" t="n">
        <v>2006</v>
      </c>
      <c r="E8455" s="13" t="inlineStr">
        <is>
          <t>General</t>
        </is>
      </c>
      <c r="F8455" s="5" t="n">
        <v>3460</v>
      </c>
      <c r="G8455" s="5" t="n">
        <v>27322</v>
      </c>
      <c r="H8455" s="5" t="n">
        <v>1618</v>
      </c>
      <c r="I8455" s="5" t="n">
        <v>997</v>
      </c>
      <c r="J8455" s="5" t="n">
        <v>611</v>
      </c>
      <c r="K8455" s="10">
        <f>IF(F8455&gt;0,H8455/F8455,"")</f>
        <v/>
      </c>
      <c r="L8455" s="16">
        <f>IF(AND(G8455&gt;0,H8455&gt;0),G8455/H8455,"")</f>
        <v/>
      </c>
    </row>
    <row r="8456">
      <c r="A8456" s="4" t="inlineStr">
        <is>
          <t>121</t>
        </is>
      </c>
      <c r="B8456" s="4" t="n">
        <v>1</v>
      </c>
      <c r="C8456" s="4" t="inlineStr">
        <is>
          <t>whitetail</t>
        </is>
      </c>
      <c r="D8456" s="4" t="n">
        <v>2007</v>
      </c>
      <c r="E8456" s="13" t="inlineStr">
        <is>
          <t>General</t>
        </is>
      </c>
      <c r="F8456" s="5" t="n">
        <v>3767</v>
      </c>
      <c r="G8456" s="5" t="n">
        <v>29346</v>
      </c>
      <c r="H8456" s="5" t="n">
        <v>1702</v>
      </c>
      <c r="I8456" s="5" t="n">
        <v>1051</v>
      </c>
      <c r="J8456" s="5" t="n">
        <v>648</v>
      </c>
      <c r="K8456" s="10">
        <f>IF(F8456&gt;0,H8456/F8456,"")</f>
        <v/>
      </c>
      <c r="L8456" s="16">
        <f>IF(AND(G8456&gt;0,H8456&gt;0),G8456/H8456,"")</f>
        <v/>
      </c>
    </row>
    <row r="8457">
      <c r="A8457" s="4" t="inlineStr">
        <is>
          <t>121</t>
        </is>
      </c>
      <c r="B8457" s="4" t="n">
        <v>1</v>
      </c>
      <c r="C8457" s="4" t="inlineStr">
        <is>
          <t>whitetail</t>
        </is>
      </c>
      <c r="D8457" s="4" t="n">
        <v>2008</v>
      </c>
      <c r="E8457" s="13" t="inlineStr">
        <is>
          <t>General</t>
        </is>
      </c>
      <c r="F8457" s="5" t="n">
        <v>3588</v>
      </c>
      <c r="G8457" s="5" t="n">
        <v>29668</v>
      </c>
      <c r="H8457" s="5" t="n">
        <v>1276</v>
      </c>
      <c r="I8457" s="5" t="n">
        <v>731</v>
      </c>
      <c r="J8457" s="5" t="n">
        <v>537</v>
      </c>
      <c r="K8457" s="10">
        <f>IF(F8457&gt;0,H8457/F8457,"")</f>
        <v/>
      </c>
      <c r="L8457" s="16">
        <f>IF(AND(G8457&gt;0,H8457&gt;0),G8457/H8457,"")</f>
        <v/>
      </c>
    </row>
    <row r="8458">
      <c r="A8458" s="4" t="inlineStr">
        <is>
          <t>121</t>
        </is>
      </c>
      <c r="B8458" s="4" t="n">
        <v>1</v>
      </c>
      <c r="C8458" s="4" t="inlineStr">
        <is>
          <t>whitetail</t>
        </is>
      </c>
      <c r="D8458" s="4" t="n">
        <v>2009</v>
      </c>
      <c r="E8458" s="13" t="inlineStr">
        <is>
          <t>General</t>
        </is>
      </c>
      <c r="F8458" s="5" t="n">
        <v>3146</v>
      </c>
      <c r="G8458" s="5" t="n">
        <v>27281</v>
      </c>
      <c r="H8458" s="5" t="n">
        <v>903</v>
      </c>
      <c r="I8458" s="5" t="n">
        <v>747</v>
      </c>
      <c r="J8458" s="5" t="n">
        <v>154</v>
      </c>
      <c r="K8458" s="10">
        <f>IF(F8458&gt;0,H8458/F8458,"")</f>
        <v/>
      </c>
      <c r="L8458" s="16">
        <f>IF(AND(G8458&gt;0,H8458&gt;0),G8458/H8458,"")</f>
        <v/>
      </c>
    </row>
    <row r="8459">
      <c r="A8459" s="4" t="inlineStr">
        <is>
          <t>121</t>
        </is>
      </c>
      <c r="B8459" s="4" t="n">
        <v>1</v>
      </c>
      <c r="C8459" s="4" t="inlineStr">
        <is>
          <t>whitetail</t>
        </is>
      </c>
      <c r="D8459" s="4" t="n">
        <v>2010</v>
      </c>
      <c r="E8459" s="13" t="inlineStr">
        <is>
          <t>General</t>
        </is>
      </c>
      <c r="F8459" s="5" t="n">
        <v>3038</v>
      </c>
      <c r="G8459" s="5" t="n">
        <v>27012</v>
      </c>
      <c r="H8459" s="5" t="n">
        <v>1043</v>
      </c>
      <c r="I8459" s="5" t="n">
        <v>936</v>
      </c>
      <c r="J8459" s="5" t="n">
        <v>96</v>
      </c>
      <c r="K8459" s="10">
        <f>IF(F8459&gt;0,H8459/F8459,"")</f>
        <v/>
      </c>
      <c r="L8459" s="16">
        <f>IF(AND(G8459&gt;0,H8459&gt;0),G8459/H8459,"")</f>
        <v/>
      </c>
    </row>
    <row r="8460">
      <c r="A8460" s="4" t="inlineStr">
        <is>
          <t>121</t>
        </is>
      </c>
      <c r="B8460" s="4" t="n">
        <v>1</v>
      </c>
      <c r="C8460" s="4" t="inlineStr">
        <is>
          <t>whitetail</t>
        </is>
      </c>
      <c r="D8460" s="4" t="n">
        <v>2011</v>
      </c>
      <c r="E8460" s="13" t="inlineStr">
        <is>
          <t>General</t>
        </is>
      </c>
      <c r="F8460" s="5" t="n">
        <v>3463</v>
      </c>
      <c r="G8460" s="5" t="n">
        <v>28587</v>
      </c>
      <c r="H8460" s="5" t="n">
        <v>953</v>
      </c>
      <c r="I8460" s="5" t="n">
        <v>834</v>
      </c>
      <c r="J8460" s="5" t="n">
        <v>120</v>
      </c>
      <c r="K8460" s="10">
        <f>IF(F8460&gt;0,H8460/F8460,"")</f>
        <v/>
      </c>
      <c r="L8460" s="16">
        <f>IF(AND(G8460&gt;0,H8460&gt;0),G8460/H8460,"")</f>
        <v/>
      </c>
    </row>
    <row r="8461">
      <c r="A8461" s="4" t="inlineStr">
        <is>
          <t>121</t>
        </is>
      </c>
      <c r="B8461" s="4" t="n">
        <v>1</v>
      </c>
      <c r="C8461" s="4" t="inlineStr">
        <is>
          <t>whitetail</t>
        </is>
      </c>
      <c r="D8461" s="4" t="n">
        <v>2012</v>
      </c>
      <c r="E8461" s="13" t="inlineStr">
        <is>
          <t>General</t>
        </is>
      </c>
      <c r="F8461" s="5" t="n"/>
      <c r="G8461" s="5" t="n"/>
      <c r="H8461" s="5" t="n">
        <v>1083</v>
      </c>
      <c r="I8461" s="5" t="n">
        <v>939</v>
      </c>
      <c r="J8461" s="5" t="n">
        <v>137</v>
      </c>
      <c r="K8461" s="10">
        <f>IF(F8461&gt;0,H8461/F8461,"")</f>
        <v/>
      </c>
      <c r="L8461" s="16">
        <f>IF(AND(G8461&gt;0,H8461&gt;0),G8461/H8461,"")</f>
        <v/>
      </c>
    </row>
    <row r="8462">
      <c r="A8462" s="4" t="inlineStr">
        <is>
          <t>121</t>
        </is>
      </c>
      <c r="B8462" s="4" t="n">
        <v>1</v>
      </c>
      <c r="C8462" s="4" t="inlineStr">
        <is>
          <t>whitetail</t>
        </is>
      </c>
      <c r="D8462" s="4" t="n">
        <v>2013</v>
      </c>
      <c r="E8462" s="13" t="inlineStr">
        <is>
          <t>General</t>
        </is>
      </c>
      <c r="F8462" s="5" t="n">
        <v>3223</v>
      </c>
      <c r="G8462" s="5" t="n">
        <v>26537</v>
      </c>
      <c r="H8462" s="5" t="n">
        <v>1051</v>
      </c>
      <c r="I8462" s="5" t="n">
        <v>854</v>
      </c>
      <c r="J8462" s="5" t="n">
        <v>192</v>
      </c>
      <c r="K8462" s="10">
        <f>IF(F8462&gt;0,H8462/F8462,"")</f>
        <v/>
      </c>
      <c r="L8462" s="16">
        <f>IF(AND(G8462&gt;0,H8462&gt;0),G8462/H8462,"")</f>
        <v/>
      </c>
    </row>
    <row r="8463">
      <c r="A8463" s="4" t="inlineStr">
        <is>
          <t>121</t>
        </is>
      </c>
      <c r="B8463" s="4" t="n">
        <v>1</v>
      </c>
      <c r="C8463" s="4" t="inlineStr">
        <is>
          <t>whitetail</t>
        </is>
      </c>
      <c r="D8463" s="4" t="n">
        <v>2014</v>
      </c>
      <c r="E8463" s="13" t="inlineStr">
        <is>
          <t>General</t>
        </is>
      </c>
      <c r="F8463" s="5" t="n"/>
      <c r="G8463" s="5" t="n"/>
      <c r="H8463" s="5" t="n">
        <v>1141</v>
      </c>
      <c r="I8463" s="5" t="n">
        <v>974</v>
      </c>
      <c r="J8463" s="5" t="n">
        <v>166</v>
      </c>
      <c r="K8463" s="10">
        <f>IF(F8463&gt;0,H8463/F8463,"")</f>
        <v/>
      </c>
      <c r="L8463" s="16">
        <f>IF(AND(G8463&gt;0,H8463&gt;0),G8463/H8463,"")</f>
        <v/>
      </c>
    </row>
    <row r="8464">
      <c r="A8464" s="4" t="inlineStr">
        <is>
          <t>121</t>
        </is>
      </c>
      <c r="B8464" s="4" t="n">
        <v>1</v>
      </c>
      <c r="C8464" s="4" t="inlineStr">
        <is>
          <t>whitetail</t>
        </is>
      </c>
      <c r="D8464" s="4" t="n">
        <v>2015</v>
      </c>
      <c r="E8464" s="13" t="inlineStr">
        <is>
          <t>General</t>
        </is>
      </c>
      <c r="F8464" s="5" t="n"/>
      <c r="G8464" s="5" t="n"/>
      <c r="H8464" s="5" t="n">
        <v>1176</v>
      </c>
      <c r="I8464" s="5" t="n">
        <v>941</v>
      </c>
      <c r="J8464" s="5" t="n">
        <v>230</v>
      </c>
      <c r="K8464" s="10">
        <f>IF(F8464&gt;0,H8464/F8464,"")</f>
        <v/>
      </c>
      <c r="L8464" s="16">
        <f>IF(AND(G8464&gt;0,H8464&gt;0),G8464/H8464,"")</f>
        <v/>
      </c>
    </row>
    <row r="8465">
      <c r="A8465" s="4" t="inlineStr">
        <is>
          <t>121</t>
        </is>
      </c>
      <c r="B8465" s="4" t="n">
        <v>1</v>
      </c>
      <c r="C8465" s="4" t="inlineStr">
        <is>
          <t>whitetail</t>
        </is>
      </c>
      <c r="D8465" s="4" t="n">
        <v>2016</v>
      </c>
      <c r="E8465" s="13" t="inlineStr">
        <is>
          <t>General</t>
        </is>
      </c>
      <c r="F8465" s="5" t="n"/>
      <c r="G8465" s="5" t="n"/>
      <c r="H8465" s="5" t="n">
        <v>1392</v>
      </c>
      <c r="I8465" s="5" t="n">
        <v>958</v>
      </c>
      <c r="J8465" s="5" t="n">
        <v>425</v>
      </c>
      <c r="K8465" s="10">
        <f>IF(F8465&gt;0,H8465/F8465,"")</f>
        <v/>
      </c>
      <c r="L8465" s="16">
        <f>IF(AND(G8465&gt;0,H8465&gt;0),G8465/H8465,"")</f>
        <v/>
      </c>
    </row>
    <row r="8466">
      <c r="A8466" s="4" t="inlineStr">
        <is>
          <t>121</t>
        </is>
      </c>
      <c r="B8466" s="4" t="n">
        <v>1</v>
      </c>
      <c r="C8466" s="4" t="inlineStr">
        <is>
          <t>whitetail</t>
        </is>
      </c>
      <c r="D8466" s="4" t="n">
        <v>2017</v>
      </c>
      <c r="E8466" s="13" t="inlineStr">
        <is>
          <t>General</t>
        </is>
      </c>
      <c r="F8466" s="5" t="n">
        <v>2662</v>
      </c>
      <c r="G8466" s="5" t="n">
        <v>21098</v>
      </c>
      <c r="H8466" s="5" t="n">
        <v>1024</v>
      </c>
      <c r="I8466" s="5" t="n">
        <v>694</v>
      </c>
      <c r="J8466" s="5" t="n">
        <v>324</v>
      </c>
      <c r="K8466" s="10">
        <f>IF(F8466&gt;0,H8466/F8466,"")</f>
        <v/>
      </c>
      <c r="L8466" s="16">
        <f>IF(AND(G8466&gt;0,H8466&gt;0),G8466/H8466,"")</f>
        <v/>
      </c>
    </row>
    <row r="8467">
      <c r="A8467" s="4" t="inlineStr">
        <is>
          <t>121</t>
        </is>
      </c>
      <c r="B8467" s="4" t="n">
        <v>1</v>
      </c>
      <c r="C8467" s="4" t="inlineStr">
        <is>
          <t>whitetail</t>
        </is>
      </c>
      <c r="D8467" s="4" t="n">
        <v>2018</v>
      </c>
      <c r="E8467" s="13" t="inlineStr">
        <is>
          <t>General</t>
        </is>
      </c>
      <c r="F8467" s="5" t="n"/>
      <c r="G8467" s="5" t="n"/>
      <c r="H8467" s="5" t="n">
        <v>857</v>
      </c>
      <c r="I8467" s="5" t="n">
        <v>649</v>
      </c>
      <c r="J8467" s="5" t="n">
        <v>204</v>
      </c>
      <c r="K8467" s="10">
        <f>IF(F8467&gt;0,H8467/F8467,"")</f>
        <v/>
      </c>
      <c r="L8467" s="16">
        <f>IF(AND(G8467&gt;0,H8467&gt;0),G8467/H8467,"")</f>
        <v/>
      </c>
    </row>
    <row r="8468">
      <c r="A8468" s="4" t="inlineStr">
        <is>
          <t>121</t>
        </is>
      </c>
      <c r="B8468" s="4" t="n">
        <v>1</v>
      </c>
      <c r="C8468" s="4" t="inlineStr">
        <is>
          <t>whitetail</t>
        </is>
      </c>
      <c r="D8468" s="4" t="n">
        <v>2019</v>
      </c>
      <c r="E8468" s="13" t="inlineStr">
        <is>
          <t>General</t>
        </is>
      </c>
      <c r="F8468" s="5" t="n">
        <v>2810</v>
      </c>
      <c r="G8468" s="5" t="n">
        <v>23762</v>
      </c>
      <c r="H8468" s="5" t="n">
        <v>831</v>
      </c>
      <c r="I8468" s="5" t="n">
        <v>626</v>
      </c>
      <c r="J8468" s="5" t="n">
        <v>203</v>
      </c>
      <c r="K8468" s="10">
        <f>IF(F8468&gt;0,H8468/F8468,"")</f>
        <v/>
      </c>
      <c r="L8468" s="16">
        <f>IF(AND(G8468&gt;0,H8468&gt;0),G8468/H8468,"")</f>
        <v/>
      </c>
    </row>
    <row r="8469">
      <c r="A8469" s="4" t="inlineStr">
        <is>
          <t>121</t>
        </is>
      </c>
      <c r="B8469" s="4" t="n">
        <v>1</v>
      </c>
      <c r="C8469" s="4" t="inlineStr">
        <is>
          <t>whitetail</t>
        </is>
      </c>
      <c r="D8469" s="4" t="n">
        <v>2020</v>
      </c>
      <c r="E8469" s="13" t="inlineStr">
        <is>
          <t>General</t>
        </is>
      </c>
      <c r="F8469" s="5" t="n"/>
      <c r="G8469" s="5" t="n"/>
      <c r="H8469" s="5" t="n">
        <v>771</v>
      </c>
      <c r="I8469" s="5" t="n">
        <v>657</v>
      </c>
      <c r="J8469" s="5" t="n">
        <v>115</v>
      </c>
      <c r="K8469" s="10">
        <f>IF(F8469&gt;0,H8469/F8469,"")</f>
        <v/>
      </c>
      <c r="L8469" s="16">
        <f>IF(AND(G8469&gt;0,H8469&gt;0),G8469/H8469,"")</f>
        <v/>
      </c>
    </row>
    <row r="8470">
      <c r="A8470" s="4" t="inlineStr">
        <is>
          <t>121</t>
        </is>
      </c>
      <c r="B8470" s="4" t="n">
        <v>1</v>
      </c>
      <c r="C8470" s="4" t="inlineStr">
        <is>
          <t>whitetail</t>
        </is>
      </c>
      <c r="D8470" s="4" t="n">
        <v>2021</v>
      </c>
      <c r="E8470" s="13" t="inlineStr">
        <is>
          <t>General</t>
        </is>
      </c>
      <c r="F8470" s="5" t="n">
        <v>2404</v>
      </c>
      <c r="G8470" s="5" t="n">
        <v>20248</v>
      </c>
      <c r="H8470" s="5" t="n">
        <v>753</v>
      </c>
      <c r="I8470" s="5" t="n">
        <v>680</v>
      </c>
      <c r="J8470" s="5" t="n">
        <v>73</v>
      </c>
      <c r="K8470" s="10">
        <f>IF(F8470&gt;0,H8470/F8470,"")</f>
        <v/>
      </c>
      <c r="L8470" s="16">
        <f>IF(AND(G8470&gt;0,H8470&gt;0),G8470/H8470,"")</f>
        <v/>
      </c>
    </row>
    <row r="8471">
      <c r="A8471" s="4" t="inlineStr">
        <is>
          <t>121</t>
        </is>
      </c>
      <c r="B8471" s="4" t="n">
        <v>1</v>
      </c>
      <c r="C8471" s="4" t="inlineStr">
        <is>
          <t>whitetail</t>
        </is>
      </c>
      <c r="D8471" s="4" t="n">
        <v>2022</v>
      </c>
      <c r="E8471" s="13" t="inlineStr">
        <is>
          <t>General</t>
        </is>
      </c>
      <c r="F8471" s="5" t="n"/>
      <c r="G8471" s="5" t="n"/>
      <c r="H8471" s="5" t="n">
        <v>742</v>
      </c>
      <c r="I8471" s="5" t="n">
        <v>626</v>
      </c>
      <c r="J8471" s="5" t="n">
        <v>114</v>
      </c>
      <c r="K8471" s="10">
        <f>IF(F8471&gt;0,H8471/F8471,"")</f>
        <v/>
      </c>
      <c r="L8471" s="16">
        <f>IF(AND(G8471&gt;0,H8471&gt;0),G8471/H8471,"")</f>
        <v/>
      </c>
    </row>
    <row r="8472">
      <c r="A8472" s="4" t="inlineStr">
        <is>
          <t>121</t>
        </is>
      </c>
      <c r="B8472" s="4" t="n">
        <v>1</v>
      </c>
      <c r="C8472" s="4" t="inlineStr">
        <is>
          <t>whitetail</t>
        </is>
      </c>
      <c r="D8472" s="4" t="n">
        <v>2023</v>
      </c>
      <c r="E8472" s="13" t="inlineStr">
        <is>
          <t>General</t>
        </is>
      </c>
      <c r="F8472" s="5" t="n">
        <v>2551</v>
      </c>
      <c r="G8472" s="5" t="n">
        <v>21482</v>
      </c>
      <c r="H8472" s="5" t="n">
        <v>808</v>
      </c>
      <c r="I8472" s="5" t="n">
        <v>685</v>
      </c>
      <c r="J8472" s="5" t="n">
        <v>113</v>
      </c>
      <c r="K8472" s="10">
        <f>IF(F8472&gt;0,H8472/F8472,"")</f>
        <v/>
      </c>
      <c r="L8472" s="16">
        <f>IF(AND(G8472&gt;0,H8472&gt;0),G8472/H8472,"")</f>
        <v/>
      </c>
    </row>
    <row r="8473">
      <c r="A8473" s="4" t="inlineStr">
        <is>
          <t>121</t>
        </is>
      </c>
      <c r="B8473" s="4" t="n">
        <v>1</v>
      </c>
      <c r="C8473" s="4" t="inlineStr">
        <is>
          <t>whitetail</t>
        </is>
      </c>
      <c r="D8473" s="4" t="n">
        <v>2024</v>
      </c>
      <c r="E8473" s="13" t="inlineStr">
        <is>
          <t>General</t>
        </is>
      </c>
      <c r="F8473" s="5" t="n"/>
      <c r="G8473" s="5" t="n"/>
      <c r="H8473" s="5" t="n">
        <v>937</v>
      </c>
      <c r="I8473" s="5" t="n">
        <v>839</v>
      </c>
      <c r="J8473" s="5" t="n">
        <v>98</v>
      </c>
      <c r="K8473" s="10">
        <f>IF(F8473&gt;0,H8473/F8473,"")</f>
        <v/>
      </c>
      <c r="L8473" s="16">
        <f>IF(AND(G8473&gt;0,H8473&gt;0),G8473/H8473,"")</f>
        <v/>
      </c>
    </row>
    <row r="8474">
      <c r="A8474" s="4" t="inlineStr">
        <is>
          <t>121</t>
        </is>
      </c>
      <c r="B8474" s="4" t="n">
        <v>1</v>
      </c>
      <c r="C8474" s="4" t="inlineStr">
        <is>
          <t>whitetail</t>
        </is>
      </c>
      <c r="D8474" s="4" t="n">
        <v>2025</v>
      </c>
      <c r="E8474" s="13" t="inlineStr">
        <is>
          <t>General</t>
        </is>
      </c>
      <c r="F8474" s="5" t="n">
        <v>2639</v>
      </c>
      <c r="G8474" s="5" t="n">
        <v>22986</v>
      </c>
      <c r="H8474" s="5" t="n">
        <v>979</v>
      </c>
      <c r="I8474" s="5" t="n">
        <v>868</v>
      </c>
      <c r="J8474" s="5" t="n">
        <v>111</v>
      </c>
      <c r="K8474" s="10">
        <f>IF(F8474&gt;0,H8474/F8474,"")</f>
        <v/>
      </c>
      <c r="L8474" s="16">
        <f>IF(AND(G8474&gt;0,H8474&gt;0),G8474/H8474,"")</f>
        <v/>
      </c>
    </row>
    <row r="8475">
      <c r="A8475" s="4" t="inlineStr">
        <is>
          <t>122</t>
        </is>
      </c>
      <c r="B8475" s="4" t="n">
        <v>1</v>
      </c>
      <c r="C8475" s="4" t="inlineStr">
        <is>
          <t>whitetail</t>
        </is>
      </c>
      <c r="D8475" s="4" t="n">
        <v>2004</v>
      </c>
      <c r="E8475" s="13" t="inlineStr">
        <is>
          <t>General</t>
        </is>
      </c>
      <c r="F8475" s="5" t="n">
        <v>2359</v>
      </c>
      <c r="G8475" s="5" t="n">
        <v>14172</v>
      </c>
      <c r="H8475" s="5" t="n">
        <v>642</v>
      </c>
      <c r="I8475" s="5" t="n">
        <v>490</v>
      </c>
      <c r="J8475" s="5" t="n">
        <v>137</v>
      </c>
      <c r="K8475" s="10">
        <f>IF(F8475&gt;0,H8475/F8475,"")</f>
        <v/>
      </c>
      <c r="L8475" s="16">
        <f>IF(AND(G8475&gt;0,H8475&gt;0),G8475/H8475,"")</f>
        <v/>
      </c>
    </row>
    <row r="8476">
      <c r="A8476" s="4" t="inlineStr">
        <is>
          <t>122</t>
        </is>
      </c>
      <c r="B8476" s="4" t="n">
        <v>1</v>
      </c>
      <c r="C8476" s="4" t="inlineStr">
        <is>
          <t>whitetail</t>
        </is>
      </c>
      <c r="D8476" s="4" t="n">
        <v>2005</v>
      </c>
      <c r="E8476" s="13" t="inlineStr">
        <is>
          <t>General</t>
        </is>
      </c>
      <c r="F8476" s="5" t="n">
        <v>2372</v>
      </c>
      <c r="G8476" s="5" t="n">
        <v>14109</v>
      </c>
      <c r="H8476" s="5" t="n">
        <v>747</v>
      </c>
      <c r="I8476" s="5" t="n">
        <v>545</v>
      </c>
      <c r="J8476" s="5" t="n">
        <v>196</v>
      </c>
      <c r="K8476" s="10">
        <f>IF(F8476&gt;0,H8476/F8476,"")</f>
        <v/>
      </c>
      <c r="L8476" s="16">
        <f>IF(AND(G8476&gt;0,H8476&gt;0),G8476/H8476,"")</f>
        <v/>
      </c>
    </row>
    <row r="8477">
      <c r="A8477" s="4" t="inlineStr">
        <is>
          <t>122</t>
        </is>
      </c>
      <c r="B8477" s="4" t="n">
        <v>1</v>
      </c>
      <c r="C8477" s="4" t="inlineStr">
        <is>
          <t>whitetail</t>
        </is>
      </c>
      <c r="D8477" s="4" t="n">
        <v>2006</v>
      </c>
      <c r="E8477" s="13" t="inlineStr">
        <is>
          <t>General</t>
        </is>
      </c>
      <c r="F8477" s="5" t="n">
        <v>2218</v>
      </c>
      <c r="G8477" s="5" t="n">
        <v>15846</v>
      </c>
      <c r="H8477" s="5" t="n">
        <v>623</v>
      </c>
      <c r="I8477" s="5" t="n">
        <v>447</v>
      </c>
      <c r="J8477" s="5" t="n">
        <v>164</v>
      </c>
      <c r="K8477" s="10">
        <f>IF(F8477&gt;0,H8477/F8477,"")</f>
        <v/>
      </c>
      <c r="L8477" s="16">
        <f>IF(AND(G8477&gt;0,H8477&gt;0),G8477/H8477,"")</f>
        <v/>
      </c>
    </row>
    <row r="8478">
      <c r="A8478" s="4" t="inlineStr">
        <is>
          <t>122</t>
        </is>
      </c>
      <c r="B8478" s="4" t="n">
        <v>1</v>
      </c>
      <c r="C8478" s="4" t="inlineStr">
        <is>
          <t>whitetail</t>
        </is>
      </c>
      <c r="D8478" s="4" t="n">
        <v>2007</v>
      </c>
      <c r="E8478" s="13" t="inlineStr">
        <is>
          <t>General</t>
        </is>
      </c>
      <c r="F8478" s="5" t="n">
        <v>2186</v>
      </c>
      <c r="G8478" s="5" t="n">
        <v>15417</v>
      </c>
      <c r="H8478" s="5" t="n">
        <v>617</v>
      </c>
      <c r="I8478" s="5" t="n">
        <v>450</v>
      </c>
      <c r="J8478" s="5" t="n">
        <v>149</v>
      </c>
      <c r="K8478" s="10">
        <f>IF(F8478&gt;0,H8478/F8478,"")</f>
        <v/>
      </c>
      <c r="L8478" s="16">
        <f>IF(AND(G8478&gt;0,H8478&gt;0),G8478/H8478,"")</f>
        <v/>
      </c>
    </row>
    <row r="8479">
      <c r="A8479" s="4" t="inlineStr">
        <is>
          <t>122</t>
        </is>
      </c>
      <c r="B8479" s="4" t="n">
        <v>1</v>
      </c>
      <c r="C8479" s="4" t="inlineStr">
        <is>
          <t>whitetail</t>
        </is>
      </c>
      <c r="D8479" s="4" t="n">
        <v>2008</v>
      </c>
      <c r="E8479" s="13" t="inlineStr">
        <is>
          <t>General</t>
        </is>
      </c>
      <c r="F8479" s="5" t="n">
        <v>2294</v>
      </c>
      <c r="G8479" s="5" t="n">
        <v>15661</v>
      </c>
      <c r="H8479" s="5" t="n">
        <v>406</v>
      </c>
      <c r="I8479" s="5" t="n">
        <v>309</v>
      </c>
      <c r="J8479" s="5" t="n">
        <v>95</v>
      </c>
      <c r="K8479" s="10">
        <f>IF(F8479&gt;0,H8479/F8479,"")</f>
        <v/>
      </c>
      <c r="L8479" s="16">
        <f>IF(AND(G8479&gt;0,H8479&gt;0),G8479/H8479,"")</f>
        <v/>
      </c>
    </row>
    <row r="8480">
      <c r="A8480" s="4" t="inlineStr">
        <is>
          <t>122</t>
        </is>
      </c>
      <c r="B8480" s="4" t="n">
        <v>1</v>
      </c>
      <c r="C8480" s="4" t="inlineStr">
        <is>
          <t>whitetail</t>
        </is>
      </c>
      <c r="D8480" s="4" t="n">
        <v>2009</v>
      </c>
      <c r="E8480" s="13" t="inlineStr">
        <is>
          <t>General</t>
        </is>
      </c>
      <c r="F8480" s="5" t="n">
        <v>2277</v>
      </c>
      <c r="G8480" s="5" t="n">
        <v>15795</v>
      </c>
      <c r="H8480" s="5" t="n">
        <v>479</v>
      </c>
      <c r="I8480" s="5" t="n">
        <v>387</v>
      </c>
      <c r="J8480" s="5" t="n">
        <v>89</v>
      </c>
      <c r="K8480" s="10">
        <f>IF(F8480&gt;0,H8480/F8480,"")</f>
        <v/>
      </c>
      <c r="L8480" s="16">
        <f>IF(AND(G8480&gt;0,H8480&gt;0),G8480/H8480,"")</f>
        <v/>
      </c>
    </row>
    <row r="8481">
      <c r="A8481" s="4" t="inlineStr">
        <is>
          <t>122</t>
        </is>
      </c>
      <c r="B8481" s="4" t="n">
        <v>1</v>
      </c>
      <c r="C8481" s="4" t="inlineStr">
        <is>
          <t>whitetail</t>
        </is>
      </c>
      <c r="D8481" s="4" t="n">
        <v>2010</v>
      </c>
      <c r="E8481" s="13" t="inlineStr">
        <is>
          <t>General</t>
        </is>
      </c>
      <c r="F8481" s="5" t="n">
        <v>1781</v>
      </c>
      <c r="G8481" s="5" t="n">
        <v>12338</v>
      </c>
      <c r="H8481" s="5" t="n">
        <v>417</v>
      </c>
      <c r="I8481" s="5" t="n">
        <v>385</v>
      </c>
      <c r="J8481" s="5" t="n">
        <v>30</v>
      </c>
      <c r="K8481" s="10">
        <f>IF(F8481&gt;0,H8481/F8481,"")</f>
        <v/>
      </c>
      <c r="L8481" s="16">
        <f>IF(AND(G8481&gt;0,H8481&gt;0),G8481/H8481,"")</f>
        <v/>
      </c>
    </row>
    <row r="8482">
      <c r="A8482" s="4" t="inlineStr">
        <is>
          <t>122</t>
        </is>
      </c>
      <c r="B8482" s="4" t="n">
        <v>1</v>
      </c>
      <c r="C8482" s="4" t="inlineStr">
        <is>
          <t>whitetail</t>
        </is>
      </c>
      <c r="D8482" s="4" t="n">
        <v>2011</v>
      </c>
      <c r="E8482" s="13" t="inlineStr">
        <is>
          <t>General</t>
        </is>
      </c>
      <c r="F8482" s="5" t="n">
        <v>2266</v>
      </c>
      <c r="G8482" s="5" t="n">
        <v>16240</v>
      </c>
      <c r="H8482" s="5" t="n">
        <v>467</v>
      </c>
      <c r="I8482" s="5" t="n">
        <v>399</v>
      </c>
      <c r="J8482" s="5" t="n">
        <v>59</v>
      </c>
      <c r="K8482" s="10">
        <f>IF(F8482&gt;0,H8482/F8482,"")</f>
        <v/>
      </c>
      <c r="L8482" s="16">
        <f>IF(AND(G8482&gt;0,H8482&gt;0),G8482/H8482,"")</f>
        <v/>
      </c>
    </row>
    <row r="8483">
      <c r="A8483" s="4" t="inlineStr">
        <is>
          <t>122</t>
        </is>
      </c>
      <c r="B8483" s="4" t="n">
        <v>1</v>
      </c>
      <c r="C8483" s="4" t="inlineStr">
        <is>
          <t>whitetail</t>
        </is>
      </c>
      <c r="D8483" s="4" t="n">
        <v>2012</v>
      </c>
      <c r="E8483" s="13" t="inlineStr">
        <is>
          <t>General</t>
        </is>
      </c>
      <c r="F8483" s="5" t="n"/>
      <c r="G8483" s="5" t="n"/>
      <c r="H8483" s="5" t="n">
        <v>526</v>
      </c>
      <c r="I8483" s="5" t="n">
        <v>463</v>
      </c>
      <c r="J8483" s="5" t="n">
        <v>57</v>
      </c>
      <c r="K8483" s="10">
        <f>IF(F8483&gt;0,H8483/F8483,"")</f>
        <v/>
      </c>
      <c r="L8483" s="16">
        <f>IF(AND(G8483&gt;0,H8483&gt;0),G8483/H8483,"")</f>
        <v/>
      </c>
    </row>
    <row r="8484">
      <c r="A8484" s="4" t="inlineStr">
        <is>
          <t>122</t>
        </is>
      </c>
      <c r="B8484" s="4" t="n">
        <v>1</v>
      </c>
      <c r="C8484" s="4" t="inlineStr">
        <is>
          <t>whitetail</t>
        </is>
      </c>
      <c r="D8484" s="4" t="n">
        <v>2013</v>
      </c>
      <c r="E8484" s="13" t="inlineStr">
        <is>
          <t>General</t>
        </is>
      </c>
      <c r="F8484" s="5" t="n">
        <v>2199</v>
      </c>
      <c r="G8484" s="5" t="n">
        <v>15012</v>
      </c>
      <c r="H8484" s="5" t="n">
        <v>525</v>
      </c>
      <c r="I8484" s="5" t="n">
        <v>491</v>
      </c>
      <c r="J8484" s="5" t="n">
        <v>31</v>
      </c>
      <c r="K8484" s="10">
        <f>IF(F8484&gt;0,H8484/F8484,"")</f>
        <v/>
      </c>
      <c r="L8484" s="16">
        <f>IF(AND(G8484&gt;0,H8484&gt;0),G8484/H8484,"")</f>
        <v/>
      </c>
    </row>
    <row r="8485">
      <c r="A8485" s="4" t="inlineStr">
        <is>
          <t>122</t>
        </is>
      </c>
      <c r="B8485" s="4" t="n">
        <v>1</v>
      </c>
      <c r="C8485" s="4" t="inlineStr">
        <is>
          <t>whitetail</t>
        </is>
      </c>
      <c r="D8485" s="4" t="n">
        <v>2014</v>
      </c>
      <c r="E8485" s="13" t="inlineStr">
        <is>
          <t>General</t>
        </is>
      </c>
      <c r="F8485" s="5" t="n"/>
      <c r="G8485" s="5" t="n"/>
      <c r="H8485" s="5" t="n">
        <v>712</v>
      </c>
      <c r="I8485" s="5" t="n">
        <v>496</v>
      </c>
      <c r="J8485" s="5" t="n">
        <v>215</v>
      </c>
      <c r="K8485" s="10">
        <f>IF(F8485&gt;0,H8485/F8485,"")</f>
        <v/>
      </c>
      <c r="L8485" s="16">
        <f>IF(AND(G8485&gt;0,H8485&gt;0),G8485/H8485,"")</f>
        <v/>
      </c>
    </row>
    <row r="8486">
      <c r="A8486" s="4" t="inlineStr">
        <is>
          <t>122</t>
        </is>
      </c>
      <c r="B8486" s="4" t="n">
        <v>1</v>
      </c>
      <c r="C8486" s="4" t="inlineStr">
        <is>
          <t>whitetail</t>
        </is>
      </c>
      <c r="D8486" s="4" t="n">
        <v>2015</v>
      </c>
      <c r="E8486" s="13" t="inlineStr">
        <is>
          <t>General</t>
        </is>
      </c>
      <c r="F8486" s="5" t="n"/>
      <c r="G8486" s="5" t="n"/>
      <c r="H8486" s="5" t="n">
        <v>826</v>
      </c>
      <c r="I8486" s="5" t="n">
        <v>545</v>
      </c>
      <c r="J8486" s="5" t="n">
        <v>270</v>
      </c>
      <c r="K8486" s="10">
        <f>IF(F8486&gt;0,H8486/F8486,"")</f>
        <v/>
      </c>
      <c r="L8486" s="16">
        <f>IF(AND(G8486&gt;0,H8486&gt;0),G8486/H8486,"")</f>
        <v/>
      </c>
    </row>
    <row r="8487">
      <c r="A8487" s="4" t="inlineStr">
        <is>
          <t>122</t>
        </is>
      </c>
      <c r="B8487" s="4" t="n">
        <v>1</v>
      </c>
      <c r="C8487" s="4" t="inlineStr">
        <is>
          <t>whitetail</t>
        </is>
      </c>
      <c r="D8487" s="4" t="n">
        <v>2016</v>
      </c>
      <c r="E8487" s="13" t="inlineStr">
        <is>
          <t>General</t>
        </is>
      </c>
      <c r="F8487" s="5" t="n"/>
      <c r="G8487" s="5" t="n"/>
      <c r="H8487" s="5" t="n">
        <v>887</v>
      </c>
      <c r="I8487" s="5" t="n">
        <v>569</v>
      </c>
      <c r="J8487" s="5" t="n">
        <v>319</v>
      </c>
      <c r="K8487" s="10">
        <f>IF(F8487&gt;0,H8487/F8487,"")</f>
        <v/>
      </c>
      <c r="L8487" s="16">
        <f>IF(AND(G8487&gt;0,H8487&gt;0),G8487/H8487,"")</f>
        <v/>
      </c>
    </row>
    <row r="8488">
      <c r="A8488" s="4" t="inlineStr">
        <is>
          <t>122</t>
        </is>
      </c>
      <c r="B8488" s="4" t="n">
        <v>1</v>
      </c>
      <c r="C8488" s="4" t="inlineStr">
        <is>
          <t>whitetail</t>
        </is>
      </c>
      <c r="D8488" s="4" t="n">
        <v>2017</v>
      </c>
      <c r="E8488" s="13" t="inlineStr">
        <is>
          <t>General</t>
        </is>
      </c>
      <c r="F8488" s="5" t="n">
        <v>2273</v>
      </c>
      <c r="G8488" s="5" t="n">
        <v>15380</v>
      </c>
      <c r="H8488" s="5" t="n">
        <v>746</v>
      </c>
      <c r="I8488" s="5" t="n">
        <v>519</v>
      </c>
      <c r="J8488" s="5" t="n">
        <v>222</v>
      </c>
      <c r="K8488" s="10">
        <f>IF(F8488&gt;0,H8488/F8488,"")</f>
        <v/>
      </c>
      <c r="L8488" s="16">
        <f>IF(AND(G8488&gt;0,H8488&gt;0),G8488/H8488,"")</f>
        <v/>
      </c>
    </row>
    <row r="8489">
      <c r="A8489" s="4" t="inlineStr">
        <is>
          <t>122</t>
        </is>
      </c>
      <c r="B8489" s="4" t="n">
        <v>1</v>
      </c>
      <c r="C8489" s="4" t="inlineStr">
        <is>
          <t>whitetail</t>
        </is>
      </c>
      <c r="D8489" s="4" t="n">
        <v>2018</v>
      </c>
      <c r="E8489" s="13" t="inlineStr">
        <is>
          <t>General</t>
        </is>
      </c>
      <c r="F8489" s="5" t="n"/>
      <c r="G8489" s="5" t="n"/>
      <c r="H8489" s="5" t="n">
        <v>512</v>
      </c>
      <c r="I8489" s="5" t="n">
        <v>379</v>
      </c>
      <c r="J8489" s="5" t="n">
        <v>130</v>
      </c>
      <c r="K8489" s="10">
        <f>IF(F8489&gt;0,H8489/F8489,"")</f>
        <v/>
      </c>
      <c r="L8489" s="16">
        <f>IF(AND(G8489&gt;0,H8489&gt;0),G8489/H8489,"")</f>
        <v/>
      </c>
    </row>
    <row r="8490">
      <c r="A8490" s="4" t="inlineStr">
        <is>
          <t>122</t>
        </is>
      </c>
      <c r="B8490" s="4" t="n">
        <v>1</v>
      </c>
      <c r="C8490" s="4" t="inlineStr">
        <is>
          <t>whitetail</t>
        </is>
      </c>
      <c r="D8490" s="4" t="n">
        <v>2019</v>
      </c>
      <c r="E8490" s="13" t="inlineStr">
        <is>
          <t>General</t>
        </is>
      </c>
      <c r="F8490" s="5" t="n">
        <v>2024</v>
      </c>
      <c r="G8490" s="5" t="n">
        <v>14804</v>
      </c>
      <c r="H8490" s="5" t="n">
        <v>466</v>
      </c>
      <c r="I8490" s="5" t="n">
        <v>373</v>
      </c>
      <c r="J8490" s="5" t="n">
        <v>93</v>
      </c>
      <c r="K8490" s="10">
        <f>IF(F8490&gt;0,H8490/F8490,"")</f>
        <v/>
      </c>
      <c r="L8490" s="16">
        <f>IF(AND(G8490&gt;0,H8490&gt;0),G8490/H8490,"")</f>
        <v/>
      </c>
    </row>
    <row r="8491">
      <c r="A8491" s="4" t="inlineStr">
        <is>
          <t>122</t>
        </is>
      </c>
      <c r="B8491" s="4" t="n">
        <v>1</v>
      </c>
      <c r="C8491" s="4" t="inlineStr">
        <is>
          <t>whitetail</t>
        </is>
      </c>
      <c r="D8491" s="4" t="n">
        <v>2020</v>
      </c>
      <c r="E8491" s="13" t="inlineStr">
        <is>
          <t>General</t>
        </is>
      </c>
      <c r="F8491" s="5" t="n"/>
      <c r="G8491" s="5" t="n"/>
      <c r="H8491" s="5" t="n">
        <v>500</v>
      </c>
      <c r="I8491" s="5" t="n">
        <v>413</v>
      </c>
      <c r="J8491" s="5" t="n">
        <v>87</v>
      </c>
      <c r="K8491" s="10">
        <f>IF(F8491&gt;0,H8491/F8491,"")</f>
        <v/>
      </c>
      <c r="L8491" s="16">
        <f>IF(AND(G8491&gt;0,H8491&gt;0),G8491/H8491,"")</f>
        <v/>
      </c>
    </row>
    <row r="8492">
      <c r="A8492" s="4" t="inlineStr">
        <is>
          <t>122</t>
        </is>
      </c>
      <c r="B8492" s="4" t="n">
        <v>1</v>
      </c>
      <c r="C8492" s="4" t="inlineStr">
        <is>
          <t>whitetail</t>
        </is>
      </c>
      <c r="D8492" s="4" t="n">
        <v>2021</v>
      </c>
      <c r="E8492" s="13" t="inlineStr">
        <is>
          <t>General</t>
        </is>
      </c>
      <c r="F8492" s="5" t="n">
        <v>1896</v>
      </c>
      <c r="G8492" s="5" t="n">
        <v>15178</v>
      </c>
      <c r="H8492" s="5" t="n">
        <v>478</v>
      </c>
      <c r="I8492" s="5" t="n">
        <v>423</v>
      </c>
      <c r="J8492" s="5" t="n">
        <v>56</v>
      </c>
      <c r="K8492" s="10">
        <f>IF(F8492&gt;0,H8492/F8492,"")</f>
        <v/>
      </c>
      <c r="L8492" s="16">
        <f>IF(AND(G8492&gt;0,H8492&gt;0),G8492/H8492,"")</f>
        <v/>
      </c>
    </row>
    <row r="8493">
      <c r="A8493" s="4" t="inlineStr">
        <is>
          <t>122</t>
        </is>
      </c>
      <c r="B8493" s="4" t="n">
        <v>1</v>
      </c>
      <c r="C8493" s="4" t="inlineStr">
        <is>
          <t>whitetail</t>
        </is>
      </c>
      <c r="D8493" s="4" t="n">
        <v>2022</v>
      </c>
      <c r="E8493" s="13" t="inlineStr">
        <is>
          <t>General</t>
        </is>
      </c>
      <c r="F8493" s="5" t="n"/>
      <c r="G8493" s="5" t="n"/>
      <c r="H8493" s="5" t="n">
        <v>504</v>
      </c>
      <c r="I8493" s="5" t="n">
        <v>377</v>
      </c>
      <c r="J8493" s="5" t="n">
        <v>123</v>
      </c>
      <c r="K8493" s="10">
        <f>IF(F8493&gt;0,H8493/F8493,"")</f>
        <v/>
      </c>
      <c r="L8493" s="16">
        <f>IF(AND(G8493&gt;0,H8493&gt;0),G8493/H8493,"")</f>
        <v/>
      </c>
    </row>
    <row r="8494">
      <c r="A8494" s="4" t="inlineStr">
        <is>
          <t>122</t>
        </is>
      </c>
      <c r="B8494" s="4" t="n">
        <v>1</v>
      </c>
      <c r="C8494" s="4" t="inlineStr">
        <is>
          <t>whitetail</t>
        </is>
      </c>
      <c r="D8494" s="4" t="n">
        <v>2023</v>
      </c>
      <c r="E8494" s="13" t="inlineStr">
        <is>
          <t>General</t>
        </is>
      </c>
      <c r="F8494" s="5" t="n">
        <v>2183</v>
      </c>
      <c r="G8494" s="5" t="n">
        <v>16754</v>
      </c>
      <c r="H8494" s="5" t="n">
        <v>514</v>
      </c>
      <c r="I8494" s="5" t="n">
        <v>423</v>
      </c>
      <c r="J8494" s="5" t="n">
        <v>88</v>
      </c>
      <c r="K8494" s="10">
        <f>IF(F8494&gt;0,H8494/F8494,"")</f>
        <v/>
      </c>
      <c r="L8494" s="16">
        <f>IF(AND(G8494&gt;0,H8494&gt;0),G8494/H8494,"")</f>
        <v/>
      </c>
    </row>
    <row r="8495">
      <c r="A8495" s="4" t="inlineStr">
        <is>
          <t>122</t>
        </is>
      </c>
      <c r="B8495" s="4" t="n">
        <v>1</v>
      </c>
      <c r="C8495" s="4" t="inlineStr">
        <is>
          <t>whitetail</t>
        </is>
      </c>
      <c r="D8495" s="4" t="n">
        <v>2024</v>
      </c>
      <c r="E8495" s="13" t="inlineStr">
        <is>
          <t>General</t>
        </is>
      </c>
      <c r="F8495" s="5" t="n"/>
      <c r="G8495" s="5" t="n"/>
      <c r="H8495" s="5" t="n">
        <v>595</v>
      </c>
      <c r="I8495" s="5" t="n">
        <v>494</v>
      </c>
      <c r="J8495" s="5" t="n">
        <v>99</v>
      </c>
      <c r="K8495" s="10">
        <f>IF(F8495&gt;0,H8495/F8495,"")</f>
        <v/>
      </c>
      <c r="L8495" s="16">
        <f>IF(AND(G8495&gt;0,H8495&gt;0),G8495/H8495,"")</f>
        <v/>
      </c>
    </row>
    <row r="8496">
      <c r="A8496" s="4" t="inlineStr">
        <is>
          <t>122</t>
        </is>
      </c>
      <c r="B8496" s="4" t="n">
        <v>1</v>
      </c>
      <c r="C8496" s="4" t="inlineStr">
        <is>
          <t>whitetail</t>
        </is>
      </c>
      <c r="D8496" s="4" t="n">
        <v>2025</v>
      </c>
      <c r="E8496" s="13" t="inlineStr">
        <is>
          <t>General</t>
        </is>
      </c>
      <c r="F8496" s="5" t="n">
        <v>2412</v>
      </c>
      <c r="G8496" s="5" t="n">
        <v>18636</v>
      </c>
      <c r="H8496" s="5" t="n">
        <v>634</v>
      </c>
      <c r="I8496" s="5" t="n">
        <v>500</v>
      </c>
      <c r="J8496" s="5" t="n">
        <v>127</v>
      </c>
      <c r="K8496" s="10">
        <f>IF(F8496&gt;0,H8496/F8496,"")</f>
        <v/>
      </c>
      <c r="L8496" s="16">
        <f>IF(AND(G8496&gt;0,H8496&gt;0),G8496/H8496,"")</f>
        <v/>
      </c>
    </row>
    <row r="8497">
      <c r="A8497" s="4" t="inlineStr">
        <is>
          <t>123</t>
        </is>
      </c>
      <c r="B8497" s="4" t="n">
        <v>1</v>
      </c>
      <c r="C8497" s="4" t="inlineStr">
        <is>
          <t>whitetail</t>
        </is>
      </c>
      <c r="D8497" s="4" t="n">
        <v>2004</v>
      </c>
      <c r="E8497" s="13" t="inlineStr">
        <is>
          <t>General</t>
        </is>
      </c>
      <c r="F8497" s="5" t="n">
        <v>743</v>
      </c>
      <c r="G8497" s="5" t="n">
        <v>4625</v>
      </c>
      <c r="H8497" s="5" t="n">
        <v>200</v>
      </c>
      <c r="I8497" s="5" t="n">
        <v>147</v>
      </c>
      <c r="J8497" s="5" t="n">
        <v>54</v>
      </c>
      <c r="K8497" s="10">
        <f>IF(F8497&gt;0,H8497/F8497,"")</f>
        <v/>
      </c>
      <c r="L8497" s="16">
        <f>IF(AND(G8497&gt;0,H8497&gt;0),G8497/H8497,"")</f>
        <v/>
      </c>
    </row>
    <row r="8498">
      <c r="A8498" s="4" t="inlineStr">
        <is>
          <t>123</t>
        </is>
      </c>
      <c r="B8498" s="4" t="n">
        <v>1</v>
      </c>
      <c r="C8498" s="4" t="inlineStr">
        <is>
          <t>whitetail</t>
        </is>
      </c>
      <c r="D8498" s="4" t="n">
        <v>2005</v>
      </c>
      <c r="E8498" s="13" t="inlineStr">
        <is>
          <t>General</t>
        </is>
      </c>
      <c r="F8498" s="5" t="n">
        <v>746</v>
      </c>
      <c r="G8498" s="5" t="n">
        <v>4879</v>
      </c>
      <c r="H8498" s="5" t="n">
        <v>232</v>
      </c>
      <c r="I8498" s="5" t="n">
        <v>165</v>
      </c>
      <c r="J8498" s="5" t="n">
        <v>67</v>
      </c>
      <c r="K8498" s="10">
        <f>IF(F8498&gt;0,H8498/F8498,"")</f>
        <v/>
      </c>
      <c r="L8498" s="16">
        <f>IF(AND(G8498&gt;0,H8498&gt;0),G8498/H8498,"")</f>
        <v/>
      </c>
    </row>
    <row r="8499">
      <c r="A8499" s="4" t="inlineStr">
        <is>
          <t>123</t>
        </is>
      </c>
      <c r="B8499" s="4" t="n">
        <v>1</v>
      </c>
      <c r="C8499" s="4" t="inlineStr">
        <is>
          <t>whitetail</t>
        </is>
      </c>
      <c r="D8499" s="4" t="n">
        <v>2006</v>
      </c>
      <c r="E8499" s="13" t="inlineStr">
        <is>
          <t>General</t>
        </is>
      </c>
      <c r="F8499" s="5" t="n">
        <v>898</v>
      </c>
      <c r="G8499" s="5" t="n">
        <v>6339</v>
      </c>
      <c r="H8499" s="5" t="n">
        <v>302</v>
      </c>
      <c r="I8499" s="5" t="n">
        <v>199</v>
      </c>
      <c r="J8499" s="5" t="n">
        <v>103</v>
      </c>
      <c r="K8499" s="10">
        <f>IF(F8499&gt;0,H8499/F8499,"")</f>
        <v/>
      </c>
      <c r="L8499" s="16">
        <f>IF(AND(G8499&gt;0,H8499&gt;0),G8499/H8499,"")</f>
        <v/>
      </c>
    </row>
    <row r="8500">
      <c r="A8500" s="4" t="inlineStr">
        <is>
          <t>123</t>
        </is>
      </c>
      <c r="B8500" s="4" t="n">
        <v>1</v>
      </c>
      <c r="C8500" s="4" t="inlineStr">
        <is>
          <t>whitetail</t>
        </is>
      </c>
      <c r="D8500" s="4" t="n">
        <v>2007</v>
      </c>
      <c r="E8500" s="13" t="inlineStr">
        <is>
          <t>General</t>
        </is>
      </c>
      <c r="F8500" s="5" t="n">
        <v>747</v>
      </c>
      <c r="G8500" s="5" t="n">
        <v>6041</v>
      </c>
      <c r="H8500" s="5" t="n">
        <v>245</v>
      </c>
      <c r="I8500" s="5" t="n">
        <v>149</v>
      </c>
      <c r="J8500" s="5" t="n">
        <v>95</v>
      </c>
      <c r="K8500" s="10">
        <f>IF(F8500&gt;0,H8500/F8500,"")</f>
        <v/>
      </c>
      <c r="L8500" s="16">
        <f>IF(AND(G8500&gt;0,H8500&gt;0),G8500/H8500,"")</f>
        <v/>
      </c>
    </row>
    <row r="8501">
      <c r="A8501" s="4" t="inlineStr">
        <is>
          <t>123</t>
        </is>
      </c>
      <c r="B8501" s="4" t="n">
        <v>1</v>
      </c>
      <c r="C8501" s="4" t="inlineStr">
        <is>
          <t>whitetail</t>
        </is>
      </c>
      <c r="D8501" s="4" t="n">
        <v>2008</v>
      </c>
      <c r="E8501" s="13" t="inlineStr">
        <is>
          <t>General</t>
        </is>
      </c>
      <c r="F8501" s="5" t="n">
        <v>726</v>
      </c>
      <c r="G8501" s="5" t="n">
        <v>5609</v>
      </c>
      <c r="H8501" s="5" t="n">
        <v>160</v>
      </c>
      <c r="I8501" s="5" t="n">
        <v>95</v>
      </c>
      <c r="J8501" s="5" t="n">
        <v>61</v>
      </c>
      <c r="K8501" s="10">
        <f>IF(F8501&gt;0,H8501/F8501,"")</f>
        <v/>
      </c>
      <c r="L8501" s="16">
        <f>IF(AND(G8501&gt;0,H8501&gt;0),G8501/H8501,"")</f>
        <v/>
      </c>
    </row>
    <row r="8502">
      <c r="A8502" s="4" t="inlineStr">
        <is>
          <t>123</t>
        </is>
      </c>
      <c r="B8502" s="4" t="n">
        <v>1</v>
      </c>
      <c r="C8502" s="4" t="inlineStr">
        <is>
          <t>whitetail</t>
        </is>
      </c>
      <c r="D8502" s="4" t="n">
        <v>2009</v>
      </c>
      <c r="E8502" s="13" t="inlineStr">
        <is>
          <t>General</t>
        </is>
      </c>
      <c r="F8502" s="5" t="n">
        <v>852</v>
      </c>
      <c r="G8502" s="5" t="n">
        <v>7094</v>
      </c>
      <c r="H8502" s="5" t="n">
        <v>142</v>
      </c>
      <c r="I8502" s="5" t="n">
        <v>123</v>
      </c>
      <c r="J8502" s="5" t="n">
        <v>19</v>
      </c>
      <c r="K8502" s="10">
        <f>IF(F8502&gt;0,H8502/F8502,"")</f>
        <v/>
      </c>
      <c r="L8502" s="16">
        <f>IF(AND(G8502&gt;0,H8502&gt;0),G8502/H8502,"")</f>
        <v/>
      </c>
    </row>
    <row r="8503">
      <c r="A8503" s="4" t="inlineStr">
        <is>
          <t>123</t>
        </is>
      </c>
      <c r="B8503" s="4" t="n">
        <v>1</v>
      </c>
      <c r="C8503" s="4" t="inlineStr">
        <is>
          <t>whitetail</t>
        </is>
      </c>
      <c r="D8503" s="4" t="n">
        <v>2010</v>
      </c>
      <c r="E8503" s="13" t="inlineStr">
        <is>
          <t>General</t>
        </is>
      </c>
      <c r="F8503" s="5" t="n">
        <v>699</v>
      </c>
      <c r="G8503" s="5" t="n">
        <v>5407</v>
      </c>
      <c r="H8503" s="5" t="n">
        <v>178</v>
      </c>
      <c r="I8503" s="5" t="n">
        <v>150</v>
      </c>
      <c r="J8503" s="5" t="n">
        <v>27</v>
      </c>
      <c r="K8503" s="10">
        <f>IF(F8503&gt;0,H8503/F8503,"")</f>
        <v/>
      </c>
      <c r="L8503" s="16">
        <f>IF(AND(G8503&gt;0,H8503&gt;0),G8503/H8503,"")</f>
        <v/>
      </c>
    </row>
    <row r="8504">
      <c r="A8504" s="4" t="inlineStr">
        <is>
          <t>123</t>
        </is>
      </c>
      <c r="B8504" s="4" t="n">
        <v>1</v>
      </c>
      <c r="C8504" s="4" t="inlineStr">
        <is>
          <t>whitetail</t>
        </is>
      </c>
      <c r="D8504" s="4" t="n">
        <v>2011</v>
      </c>
      <c r="E8504" s="13" t="inlineStr">
        <is>
          <t>General</t>
        </is>
      </c>
      <c r="F8504" s="5" t="n">
        <v>751</v>
      </c>
      <c r="G8504" s="5" t="n">
        <v>5852</v>
      </c>
      <c r="H8504" s="5" t="n">
        <v>139</v>
      </c>
      <c r="I8504" s="5" t="n">
        <v>123</v>
      </c>
      <c r="J8504" s="5" t="n">
        <v>16</v>
      </c>
      <c r="K8504" s="10">
        <f>IF(F8504&gt;0,H8504/F8504,"")</f>
        <v/>
      </c>
      <c r="L8504" s="16">
        <f>IF(AND(G8504&gt;0,H8504&gt;0),G8504/H8504,"")</f>
        <v/>
      </c>
    </row>
    <row r="8505">
      <c r="A8505" s="4" t="inlineStr">
        <is>
          <t>123</t>
        </is>
      </c>
      <c r="B8505" s="4" t="n">
        <v>1</v>
      </c>
      <c r="C8505" s="4" t="inlineStr">
        <is>
          <t>whitetail</t>
        </is>
      </c>
      <c r="D8505" s="4" t="n">
        <v>2012</v>
      </c>
      <c r="E8505" s="13" t="inlineStr">
        <is>
          <t>General</t>
        </is>
      </c>
      <c r="F8505" s="5" t="n"/>
      <c r="G8505" s="5" t="n"/>
      <c r="H8505" s="5" t="n">
        <v>171</v>
      </c>
      <c r="I8505" s="5" t="n">
        <v>154</v>
      </c>
      <c r="J8505" s="5" t="n">
        <v>17</v>
      </c>
      <c r="K8505" s="10">
        <f>IF(F8505&gt;0,H8505/F8505,"")</f>
        <v/>
      </c>
      <c r="L8505" s="16">
        <f>IF(AND(G8505&gt;0,H8505&gt;0),G8505/H8505,"")</f>
        <v/>
      </c>
    </row>
    <row r="8506">
      <c r="A8506" s="4" t="inlineStr">
        <is>
          <t>123</t>
        </is>
      </c>
      <c r="B8506" s="4" t="n">
        <v>1</v>
      </c>
      <c r="C8506" s="4" t="inlineStr">
        <is>
          <t>whitetail</t>
        </is>
      </c>
      <c r="D8506" s="4" t="n">
        <v>2013</v>
      </c>
      <c r="E8506" s="13" t="inlineStr">
        <is>
          <t>General</t>
        </is>
      </c>
      <c r="F8506" s="5" t="n">
        <v>646</v>
      </c>
      <c r="G8506" s="5" t="n">
        <v>4679</v>
      </c>
      <c r="H8506" s="5" t="n">
        <v>124</v>
      </c>
      <c r="I8506" s="5" t="n">
        <v>121</v>
      </c>
      <c r="J8506" s="5" t="n">
        <v>3</v>
      </c>
      <c r="K8506" s="10">
        <f>IF(F8506&gt;0,H8506/F8506,"")</f>
        <v/>
      </c>
      <c r="L8506" s="16">
        <f>IF(AND(G8506&gt;0,H8506&gt;0),G8506/H8506,"")</f>
        <v/>
      </c>
    </row>
    <row r="8507">
      <c r="A8507" s="4" t="inlineStr">
        <is>
          <t>123</t>
        </is>
      </c>
      <c r="B8507" s="4" t="n">
        <v>1</v>
      </c>
      <c r="C8507" s="4" t="inlineStr">
        <is>
          <t>whitetail</t>
        </is>
      </c>
      <c r="D8507" s="4" t="n">
        <v>2014</v>
      </c>
      <c r="E8507" s="13" t="inlineStr">
        <is>
          <t>General</t>
        </is>
      </c>
      <c r="F8507" s="5" t="n"/>
      <c r="G8507" s="5" t="n"/>
      <c r="H8507" s="5" t="n">
        <v>164</v>
      </c>
      <c r="I8507" s="5" t="n">
        <v>159</v>
      </c>
      <c r="J8507" s="5" t="n">
        <v>6</v>
      </c>
      <c r="K8507" s="10">
        <f>IF(F8507&gt;0,H8507/F8507,"")</f>
        <v/>
      </c>
      <c r="L8507" s="16">
        <f>IF(AND(G8507&gt;0,H8507&gt;0),G8507/H8507,"")</f>
        <v/>
      </c>
    </row>
    <row r="8508">
      <c r="A8508" s="4" t="inlineStr">
        <is>
          <t>123</t>
        </is>
      </c>
      <c r="B8508" s="4" t="n">
        <v>1</v>
      </c>
      <c r="C8508" s="4" t="inlineStr">
        <is>
          <t>whitetail</t>
        </is>
      </c>
      <c r="D8508" s="4" t="n">
        <v>2015</v>
      </c>
      <c r="E8508" s="13" t="inlineStr">
        <is>
          <t>General</t>
        </is>
      </c>
      <c r="F8508" s="5" t="n"/>
      <c r="G8508" s="5" t="n"/>
      <c r="H8508" s="5" t="n">
        <v>221</v>
      </c>
      <c r="I8508" s="5" t="n">
        <v>204</v>
      </c>
      <c r="J8508" s="5" t="n">
        <v>17</v>
      </c>
      <c r="K8508" s="10">
        <f>IF(F8508&gt;0,H8508/F8508,"")</f>
        <v/>
      </c>
      <c r="L8508" s="16">
        <f>IF(AND(G8508&gt;0,H8508&gt;0),G8508/H8508,"")</f>
        <v/>
      </c>
    </row>
    <row r="8509">
      <c r="A8509" s="4" t="inlineStr">
        <is>
          <t>123</t>
        </is>
      </c>
      <c r="B8509" s="4" t="n">
        <v>1</v>
      </c>
      <c r="C8509" s="4" t="inlineStr">
        <is>
          <t>whitetail</t>
        </is>
      </c>
      <c r="D8509" s="4" t="n">
        <v>2016</v>
      </c>
      <c r="E8509" s="13" t="inlineStr">
        <is>
          <t>General</t>
        </is>
      </c>
      <c r="F8509" s="5" t="n"/>
      <c r="G8509" s="5" t="n"/>
      <c r="H8509" s="5" t="n">
        <v>235</v>
      </c>
      <c r="I8509" s="5" t="n">
        <v>179</v>
      </c>
      <c r="J8509" s="5" t="n">
        <v>53</v>
      </c>
      <c r="K8509" s="10">
        <f>IF(F8509&gt;0,H8509/F8509,"")</f>
        <v/>
      </c>
      <c r="L8509" s="16">
        <f>IF(AND(G8509&gt;0,H8509&gt;0),G8509/H8509,"")</f>
        <v/>
      </c>
    </row>
    <row r="8510">
      <c r="A8510" s="4" t="inlineStr">
        <is>
          <t>123</t>
        </is>
      </c>
      <c r="B8510" s="4" t="n">
        <v>1</v>
      </c>
      <c r="C8510" s="4" t="inlineStr">
        <is>
          <t>whitetail</t>
        </is>
      </c>
      <c r="D8510" s="4" t="n">
        <v>2017</v>
      </c>
      <c r="E8510" s="13" t="inlineStr">
        <is>
          <t>General</t>
        </is>
      </c>
      <c r="F8510" s="5" t="n">
        <v>758</v>
      </c>
      <c r="G8510" s="5" t="n">
        <v>5305</v>
      </c>
      <c r="H8510" s="5" t="n">
        <v>244</v>
      </c>
      <c r="I8510" s="5" t="n">
        <v>195</v>
      </c>
      <c r="J8510" s="5" t="n">
        <v>47</v>
      </c>
      <c r="K8510" s="10">
        <f>IF(F8510&gt;0,H8510/F8510,"")</f>
        <v/>
      </c>
      <c r="L8510" s="16">
        <f>IF(AND(G8510&gt;0,H8510&gt;0),G8510/H8510,"")</f>
        <v/>
      </c>
    </row>
    <row r="8511">
      <c r="A8511" s="4" t="inlineStr">
        <is>
          <t>123</t>
        </is>
      </c>
      <c r="B8511" s="4" t="n">
        <v>1</v>
      </c>
      <c r="C8511" s="4" t="inlineStr">
        <is>
          <t>whitetail</t>
        </is>
      </c>
      <c r="D8511" s="4" t="n">
        <v>2018</v>
      </c>
      <c r="E8511" s="13" t="inlineStr">
        <is>
          <t>General</t>
        </is>
      </c>
      <c r="F8511" s="5" t="n"/>
      <c r="G8511" s="5" t="n"/>
      <c r="H8511" s="5" t="n">
        <v>120</v>
      </c>
      <c r="I8511" s="5" t="n">
        <v>90</v>
      </c>
      <c r="J8511" s="5" t="n">
        <v>30</v>
      </c>
      <c r="K8511" s="10">
        <f>IF(F8511&gt;0,H8511/F8511,"")</f>
        <v/>
      </c>
      <c r="L8511" s="16">
        <f>IF(AND(G8511&gt;0,H8511&gt;0),G8511/H8511,"")</f>
        <v/>
      </c>
    </row>
    <row r="8512">
      <c r="A8512" s="4" t="inlineStr">
        <is>
          <t>123</t>
        </is>
      </c>
      <c r="B8512" s="4" t="n">
        <v>1</v>
      </c>
      <c r="C8512" s="4" t="inlineStr">
        <is>
          <t>whitetail</t>
        </is>
      </c>
      <c r="D8512" s="4" t="n">
        <v>2019</v>
      </c>
      <c r="E8512" s="13" t="inlineStr">
        <is>
          <t>General</t>
        </is>
      </c>
      <c r="F8512" s="5" t="n">
        <v>688</v>
      </c>
      <c r="G8512" s="5" t="n">
        <v>5200</v>
      </c>
      <c r="H8512" s="5" t="n">
        <v>148</v>
      </c>
      <c r="I8512" s="5" t="n">
        <v>126</v>
      </c>
      <c r="J8512" s="5" t="n">
        <v>22</v>
      </c>
      <c r="K8512" s="10">
        <f>IF(F8512&gt;0,H8512/F8512,"")</f>
        <v/>
      </c>
      <c r="L8512" s="16">
        <f>IF(AND(G8512&gt;0,H8512&gt;0),G8512/H8512,"")</f>
        <v/>
      </c>
    </row>
    <row r="8513">
      <c r="A8513" s="4" t="inlineStr">
        <is>
          <t>123</t>
        </is>
      </c>
      <c r="B8513" s="4" t="n">
        <v>1</v>
      </c>
      <c r="C8513" s="4" t="inlineStr">
        <is>
          <t>whitetail</t>
        </is>
      </c>
      <c r="D8513" s="4" t="n">
        <v>2020</v>
      </c>
      <c r="E8513" s="13" t="inlineStr">
        <is>
          <t>General</t>
        </is>
      </c>
      <c r="F8513" s="5" t="n"/>
      <c r="G8513" s="5" t="n"/>
      <c r="H8513" s="5" t="n">
        <v>161</v>
      </c>
      <c r="I8513" s="5" t="n">
        <v>133</v>
      </c>
      <c r="J8513" s="5" t="n">
        <v>28</v>
      </c>
      <c r="K8513" s="10">
        <f>IF(F8513&gt;0,H8513/F8513,"")</f>
        <v/>
      </c>
      <c r="L8513" s="16">
        <f>IF(AND(G8513&gt;0,H8513&gt;0),G8513/H8513,"")</f>
        <v/>
      </c>
    </row>
    <row r="8514">
      <c r="A8514" s="4" t="inlineStr">
        <is>
          <t>123</t>
        </is>
      </c>
      <c r="B8514" s="4" t="n">
        <v>1</v>
      </c>
      <c r="C8514" s="4" t="inlineStr">
        <is>
          <t>whitetail</t>
        </is>
      </c>
      <c r="D8514" s="4" t="n">
        <v>2021</v>
      </c>
      <c r="E8514" s="13" t="inlineStr">
        <is>
          <t>General</t>
        </is>
      </c>
      <c r="F8514" s="5" t="n">
        <v>603</v>
      </c>
      <c r="G8514" s="5" t="n">
        <v>3638</v>
      </c>
      <c r="H8514" s="5" t="n">
        <v>107</v>
      </c>
      <c r="I8514" s="5" t="n">
        <v>92</v>
      </c>
      <c r="J8514" s="5" t="n">
        <v>15</v>
      </c>
      <c r="K8514" s="10">
        <f>IF(F8514&gt;0,H8514/F8514,"")</f>
        <v/>
      </c>
      <c r="L8514" s="16">
        <f>IF(AND(G8514&gt;0,H8514&gt;0),G8514/H8514,"")</f>
        <v/>
      </c>
    </row>
    <row r="8515">
      <c r="A8515" s="4" t="inlineStr">
        <is>
          <t>123</t>
        </is>
      </c>
      <c r="B8515" s="4" t="n">
        <v>1</v>
      </c>
      <c r="C8515" s="4" t="inlineStr">
        <is>
          <t>whitetail</t>
        </is>
      </c>
      <c r="D8515" s="4" t="n">
        <v>2022</v>
      </c>
      <c r="E8515" s="13" t="inlineStr">
        <is>
          <t>General</t>
        </is>
      </c>
      <c r="F8515" s="5" t="n"/>
      <c r="G8515" s="5" t="n"/>
      <c r="H8515" s="5" t="n">
        <v>96</v>
      </c>
      <c r="I8515" s="5" t="n">
        <v>78</v>
      </c>
      <c r="J8515" s="5" t="n">
        <v>18</v>
      </c>
      <c r="K8515" s="10">
        <f>IF(F8515&gt;0,H8515/F8515,"")</f>
        <v/>
      </c>
      <c r="L8515" s="16">
        <f>IF(AND(G8515&gt;0,H8515&gt;0),G8515/H8515,"")</f>
        <v/>
      </c>
    </row>
    <row r="8516">
      <c r="A8516" s="4" t="inlineStr">
        <is>
          <t>123</t>
        </is>
      </c>
      <c r="B8516" s="4" t="n">
        <v>1</v>
      </c>
      <c r="C8516" s="4" t="inlineStr">
        <is>
          <t>whitetail</t>
        </is>
      </c>
      <c r="D8516" s="4" t="n">
        <v>2023</v>
      </c>
      <c r="E8516" s="13" t="inlineStr">
        <is>
          <t>General</t>
        </is>
      </c>
      <c r="F8516" s="5" t="n">
        <v>585</v>
      </c>
      <c r="G8516" s="5" t="n">
        <v>5209</v>
      </c>
      <c r="H8516" s="5" t="n">
        <v>134</v>
      </c>
      <c r="I8516" s="5" t="n">
        <v>113</v>
      </c>
      <c r="J8516" s="5" t="n">
        <v>21</v>
      </c>
      <c r="K8516" s="10">
        <f>IF(F8516&gt;0,H8516/F8516,"")</f>
        <v/>
      </c>
      <c r="L8516" s="16">
        <f>IF(AND(G8516&gt;0,H8516&gt;0),G8516/H8516,"")</f>
        <v/>
      </c>
    </row>
    <row r="8517">
      <c r="A8517" s="4" t="inlineStr">
        <is>
          <t>123</t>
        </is>
      </c>
      <c r="B8517" s="4" t="n">
        <v>1</v>
      </c>
      <c r="C8517" s="4" t="inlineStr">
        <is>
          <t>whitetail</t>
        </is>
      </c>
      <c r="D8517" s="4" t="n">
        <v>2024</v>
      </c>
      <c r="E8517" s="13" t="inlineStr">
        <is>
          <t>General</t>
        </is>
      </c>
      <c r="F8517" s="5" t="n"/>
      <c r="G8517" s="5" t="n"/>
      <c r="H8517" s="5" t="n">
        <v>163</v>
      </c>
      <c r="I8517" s="5" t="n">
        <v>145</v>
      </c>
      <c r="J8517" s="5" t="n">
        <v>18</v>
      </c>
      <c r="K8517" s="10">
        <f>IF(F8517&gt;0,H8517/F8517,"")</f>
        <v/>
      </c>
      <c r="L8517" s="16">
        <f>IF(AND(G8517&gt;0,H8517&gt;0),G8517/H8517,"")</f>
        <v/>
      </c>
    </row>
    <row r="8518">
      <c r="A8518" s="4" t="inlineStr">
        <is>
          <t>123</t>
        </is>
      </c>
      <c r="B8518" s="4" t="n">
        <v>1</v>
      </c>
      <c r="C8518" s="4" t="inlineStr">
        <is>
          <t>whitetail</t>
        </is>
      </c>
      <c r="D8518" s="4" t="n">
        <v>2025</v>
      </c>
      <c r="E8518" s="13" t="inlineStr">
        <is>
          <t>General</t>
        </is>
      </c>
      <c r="F8518" s="5" t="n">
        <v>702</v>
      </c>
      <c r="G8518" s="5" t="n">
        <v>5564</v>
      </c>
      <c r="H8518" s="5" t="n">
        <v>161</v>
      </c>
      <c r="I8518" s="5" t="n">
        <v>146</v>
      </c>
      <c r="J8518" s="5" t="n">
        <v>15</v>
      </c>
      <c r="K8518" s="10">
        <f>IF(F8518&gt;0,H8518/F8518,"")</f>
        <v/>
      </c>
      <c r="L8518" s="16">
        <f>IF(AND(G8518&gt;0,H8518&gt;0),G8518/H8518,"")</f>
        <v/>
      </c>
    </row>
    <row r="8519">
      <c r="A8519" s="4" t="inlineStr">
        <is>
          <t>124</t>
        </is>
      </c>
      <c r="B8519" s="4" t="n">
        <v>1</v>
      </c>
      <c r="C8519" s="4" t="inlineStr">
        <is>
          <t>whitetail</t>
        </is>
      </c>
      <c r="D8519" s="4" t="n">
        <v>2004</v>
      </c>
      <c r="E8519" s="13" t="inlineStr">
        <is>
          <t>General</t>
        </is>
      </c>
      <c r="F8519" s="5" t="n">
        <v>588</v>
      </c>
      <c r="G8519" s="5" t="n">
        <v>3968</v>
      </c>
      <c r="H8519" s="5" t="n">
        <v>250</v>
      </c>
      <c r="I8519" s="5" t="n">
        <v>192</v>
      </c>
      <c r="J8519" s="5" t="n">
        <v>57</v>
      </c>
      <c r="K8519" s="10">
        <f>IF(F8519&gt;0,H8519/F8519,"")</f>
        <v/>
      </c>
      <c r="L8519" s="16">
        <f>IF(AND(G8519&gt;0,H8519&gt;0),G8519/H8519,"")</f>
        <v/>
      </c>
    </row>
    <row r="8520">
      <c r="A8520" s="4" t="inlineStr">
        <is>
          <t>124</t>
        </is>
      </c>
      <c r="B8520" s="4" t="n">
        <v>1</v>
      </c>
      <c r="C8520" s="4" t="inlineStr">
        <is>
          <t>whitetail</t>
        </is>
      </c>
      <c r="D8520" s="4" t="n">
        <v>2005</v>
      </c>
      <c r="E8520" s="13" t="inlineStr">
        <is>
          <t>General</t>
        </is>
      </c>
      <c r="F8520" s="5" t="n">
        <v>436</v>
      </c>
      <c r="G8520" s="5" t="n">
        <v>2815</v>
      </c>
      <c r="H8520" s="5" t="n">
        <v>182</v>
      </c>
      <c r="I8520" s="5" t="n">
        <v>87</v>
      </c>
      <c r="J8520" s="5" t="n">
        <v>94</v>
      </c>
      <c r="K8520" s="10">
        <f>IF(F8520&gt;0,H8520/F8520,"")</f>
        <v/>
      </c>
      <c r="L8520" s="16">
        <f>IF(AND(G8520&gt;0,H8520&gt;0),G8520/H8520,"")</f>
        <v/>
      </c>
    </row>
    <row r="8521">
      <c r="A8521" s="4" t="inlineStr">
        <is>
          <t>124</t>
        </is>
      </c>
      <c r="B8521" s="4" t="n">
        <v>1</v>
      </c>
      <c r="C8521" s="4" t="inlineStr">
        <is>
          <t>whitetail</t>
        </is>
      </c>
      <c r="D8521" s="4" t="n">
        <v>2006</v>
      </c>
      <c r="E8521" s="13" t="inlineStr">
        <is>
          <t>General</t>
        </is>
      </c>
      <c r="F8521" s="5" t="n">
        <v>611</v>
      </c>
      <c r="G8521" s="5" t="n">
        <v>4280</v>
      </c>
      <c r="H8521" s="5" t="n">
        <v>247</v>
      </c>
      <c r="I8521" s="5" t="n">
        <v>129</v>
      </c>
      <c r="J8521" s="5" t="n">
        <v>114</v>
      </c>
      <c r="K8521" s="10">
        <f>IF(F8521&gt;0,H8521/F8521,"")</f>
        <v/>
      </c>
      <c r="L8521" s="16">
        <f>IF(AND(G8521&gt;0,H8521&gt;0),G8521/H8521,"")</f>
        <v/>
      </c>
    </row>
    <row r="8522">
      <c r="A8522" s="4" t="inlineStr">
        <is>
          <t>124</t>
        </is>
      </c>
      <c r="B8522" s="4" t="n">
        <v>1</v>
      </c>
      <c r="C8522" s="4" t="inlineStr">
        <is>
          <t>whitetail</t>
        </is>
      </c>
      <c r="D8522" s="4" t="n">
        <v>2007</v>
      </c>
      <c r="E8522" s="13" t="inlineStr">
        <is>
          <t>General</t>
        </is>
      </c>
      <c r="F8522" s="5" t="n">
        <v>619</v>
      </c>
      <c r="G8522" s="5" t="n">
        <v>4266</v>
      </c>
      <c r="H8522" s="5" t="n">
        <v>247</v>
      </c>
      <c r="I8522" s="5" t="n">
        <v>134</v>
      </c>
      <c r="J8522" s="5" t="n">
        <v>114</v>
      </c>
      <c r="K8522" s="10">
        <f>IF(F8522&gt;0,H8522/F8522,"")</f>
        <v/>
      </c>
      <c r="L8522" s="16">
        <f>IF(AND(G8522&gt;0,H8522&gt;0),G8522/H8522,"")</f>
        <v/>
      </c>
    </row>
    <row r="8523">
      <c r="A8523" s="4" t="inlineStr">
        <is>
          <t>124</t>
        </is>
      </c>
      <c r="B8523" s="4" t="n">
        <v>1</v>
      </c>
      <c r="C8523" s="4" t="inlineStr">
        <is>
          <t>whitetail</t>
        </is>
      </c>
      <c r="D8523" s="4" t="n">
        <v>2008</v>
      </c>
      <c r="E8523" s="13" t="inlineStr">
        <is>
          <t>General</t>
        </is>
      </c>
      <c r="F8523" s="5" t="n">
        <v>716</v>
      </c>
      <c r="G8523" s="5" t="n">
        <v>5091</v>
      </c>
      <c r="H8523" s="5" t="n">
        <v>185</v>
      </c>
      <c r="I8523" s="5" t="n">
        <v>93</v>
      </c>
      <c r="J8523" s="5" t="n">
        <v>90</v>
      </c>
      <c r="K8523" s="10">
        <f>IF(F8523&gt;0,H8523/F8523,"")</f>
        <v/>
      </c>
      <c r="L8523" s="16">
        <f>IF(AND(G8523&gt;0,H8523&gt;0),G8523/H8523,"")</f>
        <v/>
      </c>
    </row>
    <row r="8524">
      <c r="A8524" s="4" t="inlineStr">
        <is>
          <t>124</t>
        </is>
      </c>
      <c r="B8524" s="4" t="n">
        <v>1</v>
      </c>
      <c r="C8524" s="4" t="inlineStr">
        <is>
          <t>whitetail</t>
        </is>
      </c>
      <c r="D8524" s="4" t="n">
        <v>2009</v>
      </c>
      <c r="E8524" s="13" t="inlineStr">
        <is>
          <t>General</t>
        </is>
      </c>
      <c r="F8524" s="5" t="n">
        <v>581</v>
      </c>
      <c r="G8524" s="5" t="n">
        <v>4564</v>
      </c>
      <c r="H8524" s="5" t="n">
        <v>188</v>
      </c>
      <c r="I8524" s="5" t="n">
        <v>125</v>
      </c>
      <c r="J8524" s="5" t="n">
        <v>63</v>
      </c>
      <c r="K8524" s="10">
        <f>IF(F8524&gt;0,H8524/F8524,"")</f>
        <v/>
      </c>
      <c r="L8524" s="16">
        <f>IF(AND(G8524&gt;0,H8524&gt;0),G8524/H8524,"")</f>
        <v/>
      </c>
    </row>
    <row r="8525">
      <c r="A8525" s="4" t="inlineStr">
        <is>
          <t>124</t>
        </is>
      </c>
      <c r="B8525" s="4" t="n">
        <v>1</v>
      </c>
      <c r="C8525" s="4" t="inlineStr">
        <is>
          <t>whitetail</t>
        </is>
      </c>
      <c r="D8525" s="4" t="n">
        <v>2010</v>
      </c>
      <c r="E8525" s="13" t="inlineStr">
        <is>
          <t>General</t>
        </is>
      </c>
      <c r="F8525" s="5" t="n">
        <v>663</v>
      </c>
      <c r="G8525" s="5" t="n">
        <v>5539</v>
      </c>
      <c r="H8525" s="5" t="n">
        <v>201</v>
      </c>
      <c r="I8525" s="5" t="n">
        <v>152</v>
      </c>
      <c r="J8525" s="5" t="n">
        <v>48</v>
      </c>
      <c r="K8525" s="10">
        <f>IF(F8525&gt;0,H8525/F8525,"")</f>
        <v/>
      </c>
      <c r="L8525" s="16">
        <f>IF(AND(G8525&gt;0,H8525&gt;0),G8525/H8525,"")</f>
        <v/>
      </c>
    </row>
    <row r="8526">
      <c r="A8526" s="4" t="inlineStr">
        <is>
          <t>124</t>
        </is>
      </c>
      <c r="B8526" s="4" t="n">
        <v>1</v>
      </c>
      <c r="C8526" s="4" t="inlineStr">
        <is>
          <t>whitetail</t>
        </is>
      </c>
      <c r="D8526" s="4" t="n">
        <v>2011</v>
      </c>
      <c r="E8526" s="13" t="inlineStr">
        <is>
          <t>General</t>
        </is>
      </c>
      <c r="F8526" s="5" t="n">
        <v>636</v>
      </c>
      <c r="G8526" s="5" t="n">
        <v>4039</v>
      </c>
      <c r="H8526" s="5" t="n">
        <v>189</v>
      </c>
      <c r="I8526" s="5" t="n">
        <v>130</v>
      </c>
      <c r="J8526" s="5" t="n">
        <v>59</v>
      </c>
      <c r="K8526" s="10">
        <f>IF(F8526&gt;0,H8526/F8526,"")</f>
        <v/>
      </c>
      <c r="L8526" s="16">
        <f>IF(AND(G8526&gt;0,H8526&gt;0),G8526/H8526,"")</f>
        <v/>
      </c>
    </row>
    <row r="8527">
      <c r="A8527" s="4" t="inlineStr">
        <is>
          <t>124</t>
        </is>
      </c>
      <c r="B8527" s="4" t="n">
        <v>1</v>
      </c>
      <c r="C8527" s="4" t="inlineStr">
        <is>
          <t>whitetail</t>
        </is>
      </c>
      <c r="D8527" s="4" t="n">
        <v>2012</v>
      </c>
      <c r="E8527" s="13" t="inlineStr">
        <is>
          <t>General</t>
        </is>
      </c>
      <c r="F8527" s="5" t="n"/>
      <c r="G8527" s="5" t="n"/>
      <c r="H8527" s="5" t="n">
        <v>222</v>
      </c>
      <c r="I8527" s="5" t="n">
        <v>141</v>
      </c>
      <c r="J8527" s="5" t="n">
        <v>81</v>
      </c>
      <c r="K8527" s="10">
        <f>IF(F8527&gt;0,H8527/F8527,"")</f>
        <v/>
      </c>
      <c r="L8527" s="16">
        <f>IF(AND(G8527&gt;0,H8527&gt;0),G8527/H8527,"")</f>
        <v/>
      </c>
    </row>
    <row r="8528">
      <c r="A8528" s="4" t="inlineStr">
        <is>
          <t>124</t>
        </is>
      </c>
      <c r="B8528" s="4" t="n">
        <v>1</v>
      </c>
      <c r="C8528" s="4" t="inlineStr">
        <is>
          <t>whitetail</t>
        </is>
      </c>
      <c r="D8528" s="4" t="n">
        <v>2013</v>
      </c>
      <c r="E8528" s="13" t="inlineStr">
        <is>
          <t>General</t>
        </is>
      </c>
      <c r="F8528" s="5" t="n">
        <v>736</v>
      </c>
      <c r="G8528" s="5" t="n">
        <v>4729</v>
      </c>
      <c r="H8528" s="5" t="n">
        <v>264</v>
      </c>
      <c r="I8528" s="5" t="n">
        <v>141</v>
      </c>
      <c r="J8528" s="5" t="n">
        <v>121</v>
      </c>
      <c r="K8528" s="10">
        <f>IF(F8528&gt;0,H8528/F8528,"")</f>
        <v/>
      </c>
      <c r="L8528" s="16">
        <f>IF(AND(G8528&gt;0,H8528&gt;0),G8528/H8528,"")</f>
        <v/>
      </c>
    </row>
    <row r="8529">
      <c r="A8529" s="4" t="inlineStr">
        <is>
          <t>124</t>
        </is>
      </c>
      <c r="B8529" s="4" t="n">
        <v>1</v>
      </c>
      <c r="C8529" s="4" t="inlineStr">
        <is>
          <t>whitetail</t>
        </is>
      </c>
      <c r="D8529" s="4" t="n">
        <v>2014</v>
      </c>
      <c r="E8529" s="13" t="inlineStr">
        <is>
          <t>General</t>
        </is>
      </c>
      <c r="F8529" s="5" t="n"/>
      <c r="G8529" s="5" t="n"/>
      <c r="H8529" s="5" t="n">
        <v>248</v>
      </c>
      <c r="I8529" s="5" t="n">
        <v>149</v>
      </c>
      <c r="J8529" s="5" t="n">
        <v>97</v>
      </c>
      <c r="K8529" s="10">
        <f>IF(F8529&gt;0,H8529/F8529,"")</f>
        <v/>
      </c>
      <c r="L8529" s="16">
        <f>IF(AND(G8529&gt;0,H8529&gt;0),G8529/H8529,"")</f>
        <v/>
      </c>
    </row>
    <row r="8530">
      <c r="A8530" s="4" t="inlineStr">
        <is>
          <t>124</t>
        </is>
      </c>
      <c r="B8530" s="4" t="n">
        <v>1</v>
      </c>
      <c r="C8530" s="4" t="inlineStr">
        <is>
          <t>whitetail</t>
        </is>
      </c>
      <c r="D8530" s="4" t="n">
        <v>2015</v>
      </c>
      <c r="E8530" s="13" t="inlineStr">
        <is>
          <t>General</t>
        </is>
      </c>
      <c r="F8530" s="5" t="n"/>
      <c r="G8530" s="5" t="n"/>
      <c r="H8530" s="5" t="n">
        <v>201</v>
      </c>
      <c r="I8530" s="5" t="n">
        <v>122</v>
      </c>
      <c r="J8530" s="5" t="n">
        <v>77</v>
      </c>
      <c r="K8530" s="10">
        <f>IF(F8530&gt;0,H8530/F8530,"")</f>
        <v/>
      </c>
      <c r="L8530" s="16">
        <f>IF(AND(G8530&gt;0,H8530&gt;0),G8530/H8530,"")</f>
        <v/>
      </c>
    </row>
    <row r="8531">
      <c r="A8531" s="4" t="inlineStr">
        <is>
          <t>124</t>
        </is>
      </c>
      <c r="B8531" s="4" t="n">
        <v>1</v>
      </c>
      <c r="C8531" s="4" t="inlineStr">
        <is>
          <t>whitetail</t>
        </is>
      </c>
      <c r="D8531" s="4" t="n">
        <v>2016</v>
      </c>
      <c r="E8531" s="13" t="inlineStr">
        <is>
          <t>General</t>
        </is>
      </c>
      <c r="F8531" s="5" t="n"/>
      <c r="G8531" s="5" t="n"/>
      <c r="H8531" s="5" t="n">
        <v>216</v>
      </c>
      <c r="I8531" s="5" t="n">
        <v>114</v>
      </c>
      <c r="J8531" s="5" t="n">
        <v>100</v>
      </c>
      <c r="K8531" s="10">
        <f>IF(F8531&gt;0,H8531/F8531,"")</f>
        <v/>
      </c>
      <c r="L8531" s="16">
        <f>IF(AND(G8531&gt;0,H8531&gt;0),G8531/H8531,"")</f>
        <v/>
      </c>
    </row>
    <row r="8532">
      <c r="A8532" s="4" t="inlineStr">
        <is>
          <t>124</t>
        </is>
      </c>
      <c r="B8532" s="4" t="n">
        <v>1</v>
      </c>
      <c r="C8532" s="4" t="inlineStr">
        <is>
          <t>whitetail</t>
        </is>
      </c>
      <c r="D8532" s="4" t="n">
        <v>2017</v>
      </c>
      <c r="E8532" s="13" t="inlineStr">
        <is>
          <t>General</t>
        </is>
      </c>
      <c r="F8532" s="5" t="n">
        <v>565</v>
      </c>
      <c r="G8532" s="5" t="n">
        <v>3303</v>
      </c>
      <c r="H8532" s="5" t="n">
        <v>189</v>
      </c>
      <c r="I8532" s="5" t="n">
        <v>126</v>
      </c>
      <c r="J8532" s="5" t="n">
        <v>63</v>
      </c>
      <c r="K8532" s="10">
        <f>IF(F8532&gt;0,H8532/F8532,"")</f>
        <v/>
      </c>
      <c r="L8532" s="16">
        <f>IF(AND(G8532&gt;0,H8532&gt;0),G8532/H8532,"")</f>
        <v/>
      </c>
    </row>
    <row r="8533">
      <c r="A8533" s="4" t="inlineStr">
        <is>
          <t>124</t>
        </is>
      </c>
      <c r="B8533" s="4" t="n">
        <v>1</v>
      </c>
      <c r="C8533" s="4" t="inlineStr">
        <is>
          <t>whitetail</t>
        </is>
      </c>
      <c r="D8533" s="4" t="n">
        <v>2018</v>
      </c>
      <c r="E8533" s="13" t="inlineStr">
        <is>
          <t>General</t>
        </is>
      </c>
      <c r="F8533" s="5" t="n"/>
      <c r="G8533" s="5" t="n"/>
      <c r="H8533" s="5" t="n">
        <v>155</v>
      </c>
      <c r="I8533" s="5" t="n">
        <v>127</v>
      </c>
      <c r="J8533" s="5" t="n">
        <v>26</v>
      </c>
      <c r="K8533" s="10">
        <f>IF(F8533&gt;0,H8533/F8533,"")</f>
        <v/>
      </c>
      <c r="L8533" s="16">
        <f>IF(AND(G8533&gt;0,H8533&gt;0),G8533/H8533,"")</f>
        <v/>
      </c>
    </row>
    <row r="8534">
      <c r="A8534" s="4" t="inlineStr">
        <is>
          <t>124</t>
        </is>
      </c>
      <c r="B8534" s="4" t="n">
        <v>1</v>
      </c>
      <c r="C8534" s="4" t="inlineStr">
        <is>
          <t>whitetail</t>
        </is>
      </c>
      <c r="D8534" s="4" t="n">
        <v>2019</v>
      </c>
      <c r="E8534" s="13" t="inlineStr">
        <is>
          <t>General</t>
        </is>
      </c>
      <c r="F8534" s="5" t="n">
        <v>443</v>
      </c>
      <c r="G8534" s="5" t="n">
        <v>2615</v>
      </c>
      <c r="H8534" s="5" t="n">
        <v>105</v>
      </c>
      <c r="I8534" s="5" t="n">
        <v>74</v>
      </c>
      <c r="J8534" s="5" t="n">
        <v>27</v>
      </c>
      <c r="K8534" s="10">
        <f>IF(F8534&gt;0,H8534/F8534,"")</f>
        <v/>
      </c>
      <c r="L8534" s="16">
        <f>IF(AND(G8534&gt;0,H8534&gt;0),G8534/H8534,"")</f>
        <v/>
      </c>
    </row>
    <row r="8535">
      <c r="A8535" s="4" t="inlineStr">
        <is>
          <t>124</t>
        </is>
      </c>
      <c r="B8535" s="4" t="n">
        <v>1</v>
      </c>
      <c r="C8535" s="4" t="inlineStr">
        <is>
          <t>whitetail</t>
        </is>
      </c>
      <c r="D8535" s="4" t="n">
        <v>2020</v>
      </c>
      <c r="E8535" s="13" t="inlineStr">
        <is>
          <t>General</t>
        </is>
      </c>
      <c r="F8535" s="5" t="n"/>
      <c r="G8535" s="5" t="n"/>
      <c r="H8535" s="5" t="n">
        <v>119</v>
      </c>
      <c r="I8535" s="5" t="n">
        <v>97</v>
      </c>
      <c r="J8535" s="5" t="n">
        <v>19</v>
      </c>
      <c r="K8535" s="10">
        <f>IF(F8535&gt;0,H8535/F8535,"")</f>
        <v/>
      </c>
      <c r="L8535" s="16">
        <f>IF(AND(G8535&gt;0,H8535&gt;0),G8535/H8535,"")</f>
        <v/>
      </c>
    </row>
    <row r="8536">
      <c r="A8536" s="4" t="inlineStr">
        <is>
          <t>124</t>
        </is>
      </c>
      <c r="B8536" s="4" t="n">
        <v>1</v>
      </c>
      <c r="C8536" s="4" t="inlineStr">
        <is>
          <t>whitetail</t>
        </is>
      </c>
      <c r="D8536" s="4" t="n">
        <v>2021</v>
      </c>
      <c r="E8536" s="13" t="inlineStr">
        <is>
          <t>General</t>
        </is>
      </c>
      <c r="F8536" s="5" t="n">
        <v>425</v>
      </c>
      <c r="G8536" s="5" t="n">
        <v>3216</v>
      </c>
      <c r="H8536" s="5" t="n">
        <v>99</v>
      </c>
      <c r="I8536" s="5" t="n">
        <v>87</v>
      </c>
      <c r="J8536" s="5" t="n">
        <v>12</v>
      </c>
      <c r="K8536" s="10">
        <f>IF(F8536&gt;0,H8536/F8536,"")</f>
        <v/>
      </c>
      <c r="L8536" s="16">
        <f>IF(AND(G8536&gt;0,H8536&gt;0),G8536/H8536,"")</f>
        <v/>
      </c>
    </row>
    <row r="8537">
      <c r="A8537" s="4" t="inlineStr">
        <is>
          <t>124</t>
        </is>
      </c>
      <c r="B8537" s="4" t="n">
        <v>1</v>
      </c>
      <c r="C8537" s="4" t="inlineStr">
        <is>
          <t>whitetail</t>
        </is>
      </c>
      <c r="D8537" s="4" t="n">
        <v>2022</v>
      </c>
      <c r="E8537" s="13" t="inlineStr">
        <is>
          <t>General</t>
        </is>
      </c>
      <c r="F8537" s="5" t="n"/>
      <c r="G8537" s="5" t="n"/>
      <c r="H8537" s="5" t="n">
        <v>87</v>
      </c>
      <c r="I8537" s="5" t="n">
        <v>60</v>
      </c>
      <c r="J8537" s="5" t="n">
        <v>27</v>
      </c>
      <c r="K8537" s="10">
        <f>IF(F8537&gt;0,H8537/F8537,"")</f>
        <v/>
      </c>
      <c r="L8537" s="16">
        <f>IF(AND(G8537&gt;0,H8537&gt;0),G8537/H8537,"")</f>
        <v/>
      </c>
    </row>
    <row r="8538">
      <c r="A8538" s="4" t="inlineStr">
        <is>
          <t>124</t>
        </is>
      </c>
      <c r="B8538" s="4" t="n">
        <v>1</v>
      </c>
      <c r="C8538" s="4" t="inlineStr">
        <is>
          <t>whitetail</t>
        </is>
      </c>
      <c r="D8538" s="4" t="n">
        <v>2023</v>
      </c>
      <c r="E8538" s="13" t="inlineStr">
        <is>
          <t>General</t>
        </is>
      </c>
      <c r="F8538" s="5" t="n">
        <v>446</v>
      </c>
      <c r="G8538" s="5" t="n">
        <v>3681</v>
      </c>
      <c r="H8538" s="5" t="n">
        <v>114</v>
      </c>
      <c r="I8538" s="5" t="n">
        <v>91</v>
      </c>
      <c r="J8538" s="5" t="n">
        <v>23</v>
      </c>
      <c r="K8538" s="10">
        <f>IF(F8538&gt;0,H8538/F8538,"")</f>
        <v/>
      </c>
      <c r="L8538" s="16">
        <f>IF(AND(G8538&gt;0,H8538&gt;0),G8538/H8538,"")</f>
        <v/>
      </c>
    </row>
    <row r="8539">
      <c r="A8539" s="4" t="inlineStr">
        <is>
          <t>124</t>
        </is>
      </c>
      <c r="B8539" s="4" t="n">
        <v>1</v>
      </c>
      <c r="C8539" s="4" t="inlineStr">
        <is>
          <t>whitetail</t>
        </is>
      </c>
      <c r="D8539" s="4" t="n">
        <v>2024</v>
      </c>
      <c r="E8539" s="13" t="inlineStr">
        <is>
          <t>General</t>
        </is>
      </c>
      <c r="F8539" s="5" t="n"/>
      <c r="G8539" s="5" t="n"/>
      <c r="H8539" s="5" t="n">
        <v>123</v>
      </c>
      <c r="I8539" s="5" t="n">
        <v>99</v>
      </c>
      <c r="J8539" s="5" t="n">
        <v>24</v>
      </c>
      <c r="K8539" s="10">
        <f>IF(F8539&gt;0,H8539/F8539,"")</f>
        <v/>
      </c>
      <c r="L8539" s="16">
        <f>IF(AND(G8539&gt;0,H8539&gt;0),G8539/H8539,"")</f>
        <v/>
      </c>
    </row>
    <row r="8540">
      <c r="A8540" s="4" t="inlineStr">
        <is>
          <t>124</t>
        </is>
      </c>
      <c r="B8540" s="4" t="n">
        <v>1</v>
      </c>
      <c r="C8540" s="4" t="inlineStr">
        <is>
          <t>whitetail</t>
        </is>
      </c>
      <c r="D8540" s="4" t="n">
        <v>2025</v>
      </c>
      <c r="E8540" s="13" t="inlineStr">
        <is>
          <t>General</t>
        </is>
      </c>
      <c r="F8540" s="5" t="n">
        <v>441</v>
      </c>
      <c r="G8540" s="5" t="n">
        <v>3426</v>
      </c>
      <c r="H8540" s="5" t="n">
        <v>137</v>
      </c>
      <c r="I8540" s="5" t="n">
        <v>107</v>
      </c>
      <c r="J8540" s="5" t="n">
        <v>26</v>
      </c>
      <c r="K8540" s="10">
        <f>IF(F8540&gt;0,H8540/F8540,"")</f>
        <v/>
      </c>
      <c r="L8540" s="16">
        <f>IF(AND(G8540&gt;0,H8540&gt;0),G8540/H8540,"")</f>
        <v/>
      </c>
    </row>
    <row r="8541">
      <c r="A8541" s="4" t="inlineStr">
        <is>
          <t>130</t>
        </is>
      </c>
      <c r="B8541" s="4" t="n">
        <v>1</v>
      </c>
      <c r="C8541" s="4" t="inlineStr">
        <is>
          <t>whitetail</t>
        </is>
      </c>
      <c r="D8541" s="4" t="n">
        <v>2004</v>
      </c>
      <c r="E8541" s="13" t="inlineStr">
        <is>
          <t>General</t>
        </is>
      </c>
      <c r="F8541" s="5" t="n">
        <v>2698</v>
      </c>
      <c r="G8541" s="5" t="n">
        <v>13386</v>
      </c>
      <c r="H8541" s="5" t="n">
        <v>1025</v>
      </c>
      <c r="I8541" s="5" t="n">
        <v>702</v>
      </c>
      <c r="J8541" s="5" t="n">
        <v>304</v>
      </c>
      <c r="K8541" s="10">
        <f>IF(F8541&gt;0,H8541/F8541,"")</f>
        <v/>
      </c>
      <c r="L8541" s="16">
        <f>IF(AND(G8541&gt;0,H8541&gt;0),G8541/H8541,"")</f>
        <v/>
      </c>
    </row>
    <row r="8542">
      <c r="A8542" s="4" t="inlineStr">
        <is>
          <t>130</t>
        </is>
      </c>
      <c r="B8542" s="4" t="n">
        <v>1</v>
      </c>
      <c r="C8542" s="4" t="inlineStr">
        <is>
          <t>whitetail</t>
        </is>
      </c>
      <c r="D8542" s="4" t="n">
        <v>2005</v>
      </c>
      <c r="E8542" s="13" t="inlineStr">
        <is>
          <t>General</t>
        </is>
      </c>
      <c r="F8542" s="5" t="n">
        <v>2771</v>
      </c>
      <c r="G8542" s="5" t="n">
        <v>14845</v>
      </c>
      <c r="H8542" s="5" t="n">
        <v>1347</v>
      </c>
      <c r="I8542" s="5" t="n">
        <v>873</v>
      </c>
      <c r="J8542" s="5" t="n">
        <v>463</v>
      </c>
      <c r="K8542" s="10">
        <f>IF(F8542&gt;0,H8542/F8542,"")</f>
        <v/>
      </c>
      <c r="L8542" s="16">
        <f>IF(AND(G8542&gt;0,H8542&gt;0),G8542/H8542,"")</f>
        <v/>
      </c>
    </row>
    <row r="8543">
      <c r="A8543" s="4" t="inlineStr">
        <is>
          <t>130</t>
        </is>
      </c>
      <c r="B8543" s="4" t="n">
        <v>1</v>
      </c>
      <c r="C8543" s="4" t="inlineStr">
        <is>
          <t>whitetail</t>
        </is>
      </c>
      <c r="D8543" s="4" t="n">
        <v>2006</v>
      </c>
      <c r="E8543" s="13" t="inlineStr">
        <is>
          <t>General</t>
        </is>
      </c>
      <c r="F8543" s="5" t="n">
        <v>2893</v>
      </c>
      <c r="G8543" s="5" t="n">
        <v>16791</v>
      </c>
      <c r="H8543" s="5" t="n">
        <v>1438</v>
      </c>
      <c r="I8543" s="5" t="n">
        <v>902</v>
      </c>
      <c r="J8543" s="5" t="n">
        <v>510</v>
      </c>
      <c r="K8543" s="10">
        <f>IF(F8543&gt;0,H8543/F8543,"")</f>
        <v/>
      </c>
      <c r="L8543" s="16">
        <f>IF(AND(G8543&gt;0,H8543&gt;0),G8543/H8543,"")</f>
        <v/>
      </c>
    </row>
    <row r="8544">
      <c r="A8544" s="4" t="inlineStr">
        <is>
          <t>130</t>
        </is>
      </c>
      <c r="B8544" s="4" t="n">
        <v>1</v>
      </c>
      <c r="C8544" s="4" t="inlineStr">
        <is>
          <t>whitetail</t>
        </is>
      </c>
      <c r="D8544" s="4" t="n">
        <v>2007</v>
      </c>
      <c r="E8544" s="13" t="inlineStr">
        <is>
          <t>General</t>
        </is>
      </c>
      <c r="F8544" s="5" t="n">
        <v>2512</v>
      </c>
      <c r="G8544" s="5" t="n">
        <v>15419</v>
      </c>
      <c r="H8544" s="5" t="n">
        <v>1228</v>
      </c>
      <c r="I8544" s="5" t="n">
        <v>733</v>
      </c>
      <c r="J8544" s="5" t="n">
        <v>478</v>
      </c>
      <c r="K8544" s="10">
        <f>IF(F8544&gt;0,H8544/F8544,"")</f>
        <v/>
      </c>
      <c r="L8544" s="16">
        <f>IF(AND(G8544&gt;0,H8544&gt;0),G8544/H8544,"")</f>
        <v/>
      </c>
    </row>
    <row r="8545">
      <c r="A8545" s="4" t="inlineStr">
        <is>
          <t>130</t>
        </is>
      </c>
      <c r="B8545" s="4" t="n">
        <v>1</v>
      </c>
      <c r="C8545" s="4" t="inlineStr">
        <is>
          <t>whitetail</t>
        </is>
      </c>
      <c r="D8545" s="4" t="n">
        <v>2008</v>
      </c>
      <c r="E8545" s="13" t="inlineStr">
        <is>
          <t>General</t>
        </is>
      </c>
      <c r="F8545" s="5" t="n">
        <v>2701</v>
      </c>
      <c r="G8545" s="5" t="n">
        <v>17245</v>
      </c>
      <c r="H8545" s="5" t="n">
        <v>1013</v>
      </c>
      <c r="I8545" s="5" t="n">
        <v>612</v>
      </c>
      <c r="J8545" s="5" t="n">
        <v>384</v>
      </c>
      <c r="K8545" s="10">
        <f>IF(F8545&gt;0,H8545/F8545,"")</f>
        <v/>
      </c>
      <c r="L8545" s="16">
        <f>IF(AND(G8545&gt;0,H8545&gt;0),G8545/H8545,"")</f>
        <v/>
      </c>
    </row>
    <row r="8546">
      <c r="A8546" s="4" t="inlineStr">
        <is>
          <t>130</t>
        </is>
      </c>
      <c r="B8546" s="4" t="n">
        <v>1</v>
      </c>
      <c r="C8546" s="4" t="inlineStr">
        <is>
          <t>whitetail</t>
        </is>
      </c>
      <c r="D8546" s="4" t="n">
        <v>2009</v>
      </c>
      <c r="E8546" s="13" t="inlineStr">
        <is>
          <t>General</t>
        </is>
      </c>
      <c r="F8546" s="5" t="n">
        <v>2617</v>
      </c>
      <c r="G8546" s="5" t="n">
        <v>15792</v>
      </c>
      <c r="H8546" s="5" t="n">
        <v>649</v>
      </c>
      <c r="I8546" s="5" t="n">
        <v>528</v>
      </c>
      <c r="J8546" s="5" t="n">
        <v>117</v>
      </c>
      <c r="K8546" s="10">
        <f>IF(F8546&gt;0,H8546/F8546,"")</f>
        <v/>
      </c>
      <c r="L8546" s="16">
        <f>IF(AND(G8546&gt;0,H8546&gt;0),G8546/H8546,"")</f>
        <v/>
      </c>
    </row>
    <row r="8547">
      <c r="A8547" s="4" t="inlineStr">
        <is>
          <t>130</t>
        </is>
      </c>
      <c r="B8547" s="4" t="n">
        <v>1</v>
      </c>
      <c r="C8547" s="4" t="inlineStr">
        <is>
          <t>whitetail</t>
        </is>
      </c>
      <c r="D8547" s="4" t="n">
        <v>2010</v>
      </c>
      <c r="E8547" s="13" t="inlineStr">
        <is>
          <t>General</t>
        </is>
      </c>
      <c r="F8547" s="5" t="n">
        <v>2467</v>
      </c>
      <c r="G8547" s="5" t="n">
        <v>15099</v>
      </c>
      <c r="H8547" s="5" t="n">
        <v>784</v>
      </c>
      <c r="I8547" s="5" t="n">
        <v>686</v>
      </c>
      <c r="J8547" s="5" t="n">
        <v>99</v>
      </c>
      <c r="K8547" s="10">
        <f>IF(F8547&gt;0,H8547/F8547,"")</f>
        <v/>
      </c>
      <c r="L8547" s="16">
        <f>IF(AND(G8547&gt;0,H8547&gt;0),G8547/H8547,"")</f>
        <v/>
      </c>
    </row>
    <row r="8548">
      <c r="A8548" s="4" t="inlineStr">
        <is>
          <t>130</t>
        </is>
      </c>
      <c r="B8548" s="4" t="n">
        <v>1</v>
      </c>
      <c r="C8548" s="4" t="inlineStr">
        <is>
          <t>whitetail</t>
        </is>
      </c>
      <c r="D8548" s="4" t="n">
        <v>2011</v>
      </c>
      <c r="E8548" s="13" t="inlineStr">
        <is>
          <t>General</t>
        </is>
      </c>
      <c r="F8548" s="5" t="n">
        <v>2545</v>
      </c>
      <c r="G8548" s="5" t="n">
        <v>14701</v>
      </c>
      <c r="H8548" s="5" t="n">
        <v>602</v>
      </c>
      <c r="I8548" s="5" t="n">
        <v>556</v>
      </c>
      <c r="J8548" s="5" t="n">
        <v>41</v>
      </c>
      <c r="K8548" s="10">
        <f>IF(F8548&gt;0,H8548/F8548,"")</f>
        <v/>
      </c>
      <c r="L8548" s="16">
        <f>IF(AND(G8548&gt;0,H8548&gt;0),G8548/H8548,"")</f>
        <v/>
      </c>
    </row>
    <row r="8549">
      <c r="A8549" s="4" t="inlineStr">
        <is>
          <t>130</t>
        </is>
      </c>
      <c r="B8549" s="4" t="n">
        <v>1</v>
      </c>
      <c r="C8549" s="4" t="inlineStr">
        <is>
          <t>whitetail</t>
        </is>
      </c>
      <c r="D8549" s="4" t="n">
        <v>2012</v>
      </c>
      <c r="E8549" s="13" t="inlineStr">
        <is>
          <t>General</t>
        </is>
      </c>
      <c r="F8549" s="5" t="n"/>
      <c r="G8549" s="5" t="n"/>
      <c r="H8549" s="5" t="n">
        <v>697</v>
      </c>
      <c r="I8549" s="5" t="n">
        <v>653</v>
      </c>
      <c r="J8549" s="5" t="n">
        <v>45</v>
      </c>
      <c r="K8549" s="10">
        <f>IF(F8549&gt;0,H8549/F8549,"")</f>
        <v/>
      </c>
      <c r="L8549" s="16">
        <f>IF(AND(G8549&gt;0,H8549&gt;0),G8549/H8549,"")</f>
        <v/>
      </c>
    </row>
    <row r="8550">
      <c r="A8550" s="4" t="inlineStr">
        <is>
          <t>130</t>
        </is>
      </c>
      <c r="B8550" s="4" t="n">
        <v>1</v>
      </c>
      <c r="C8550" s="4" t="inlineStr">
        <is>
          <t>whitetail</t>
        </is>
      </c>
      <c r="D8550" s="4" t="n">
        <v>2013</v>
      </c>
      <c r="E8550" s="13" t="inlineStr">
        <is>
          <t>General</t>
        </is>
      </c>
      <c r="F8550" s="5" t="n">
        <v>2749</v>
      </c>
      <c r="G8550" s="5" t="n">
        <v>17021</v>
      </c>
      <c r="H8550" s="5" t="n">
        <v>736</v>
      </c>
      <c r="I8550" s="5" t="n">
        <v>666</v>
      </c>
      <c r="J8550" s="5" t="n">
        <v>71</v>
      </c>
      <c r="K8550" s="10">
        <f>IF(F8550&gt;0,H8550/F8550,"")</f>
        <v/>
      </c>
      <c r="L8550" s="16">
        <f>IF(AND(G8550&gt;0,H8550&gt;0),G8550/H8550,"")</f>
        <v/>
      </c>
    </row>
    <row r="8551">
      <c r="A8551" s="4" t="inlineStr">
        <is>
          <t>130</t>
        </is>
      </c>
      <c r="B8551" s="4" t="n">
        <v>1</v>
      </c>
      <c r="C8551" s="4" t="inlineStr">
        <is>
          <t>whitetail</t>
        </is>
      </c>
      <c r="D8551" s="4" t="n">
        <v>2014</v>
      </c>
      <c r="E8551" s="13" t="inlineStr">
        <is>
          <t>General</t>
        </is>
      </c>
      <c r="F8551" s="5" t="n"/>
      <c r="G8551" s="5" t="n"/>
      <c r="H8551" s="5" t="n">
        <v>673</v>
      </c>
      <c r="I8551" s="5" t="n">
        <v>593</v>
      </c>
      <c r="J8551" s="5" t="n">
        <v>74</v>
      </c>
      <c r="K8551" s="10">
        <f>IF(F8551&gt;0,H8551/F8551,"")</f>
        <v/>
      </c>
      <c r="L8551" s="16">
        <f>IF(AND(G8551&gt;0,H8551&gt;0),G8551/H8551,"")</f>
        <v/>
      </c>
    </row>
    <row r="8552">
      <c r="A8552" s="4" t="inlineStr">
        <is>
          <t>130</t>
        </is>
      </c>
      <c r="B8552" s="4" t="n">
        <v>1</v>
      </c>
      <c r="C8552" s="4" t="inlineStr">
        <is>
          <t>whitetail</t>
        </is>
      </c>
      <c r="D8552" s="4" t="n">
        <v>2015</v>
      </c>
      <c r="E8552" s="13" t="inlineStr">
        <is>
          <t>General</t>
        </is>
      </c>
      <c r="F8552" s="5" t="n"/>
      <c r="G8552" s="5" t="n"/>
      <c r="H8552" s="5" t="n">
        <v>597</v>
      </c>
      <c r="I8552" s="5" t="n">
        <v>517</v>
      </c>
      <c r="J8552" s="5" t="n">
        <v>78</v>
      </c>
      <c r="K8552" s="10">
        <f>IF(F8552&gt;0,H8552/F8552,"")</f>
        <v/>
      </c>
      <c r="L8552" s="16">
        <f>IF(AND(G8552&gt;0,H8552&gt;0),G8552/H8552,"")</f>
        <v/>
      </c>
    </row>
    <row r="8553">
      <c r="A8553" s="4" t="inlineStr">
        <is>
          <t>130</t>
        </is>
      </c>
      <c r="B8553" s="4" t="n">
        <v>1</v>
      </c>
      <c r="C8553" s="4" t="inlineStr">
        <is>
          <t>whitetail</t>
        </is>
      </c>
      <c r="D8553" s="4" t="n">
        <v>2016</v>
      </c>
      <c r="E8553" s="13" t="inlineStr">
        <is>
          <t>General</t>
        </is>
      </c>
      <c r="F8553" s="5" t="n"/>
      <c r="G8553" s="5" t="n"/>
      <c r="H8553" s="5" t="n">
        <v>809</v>
      </c>
      <c r="I8553" s="5" t="n">
        <v>644</v>
      </c>
      <c r="J8553" s="5" t="n">
        <v>159</v>
      </c>
      <c r="K8553" s="10">
        <f>IF(F8553&gt;0,H8553/F8553,"")</f>
        <v/>
      </c>
      <c r="L8553" s="16">
        <f>IF(AND(G8553&gt;0,H8553&gt;0),G8553/H8553,"")</f>
        <v/>
      </c>
    </row>
    <row r="8554">
      <c r="A8554" s="4" t="inlineStr">
        <is>
          <t>130</t>
        </is>
      </c>
      <c r="B8554" s="4" t="n">
        <v>1</v>
      </c>
      <c r="C8554" s="4" t="inlineStr">
        <is>
          <t>whitetail</t>
        </is>
      </c>
      <c r="D8554" s="4" t="n">
        <v>2017</v>
      </c>
      <c r="E8554" s="13" t="inlineStr">
        <is>
          <t>General</t>
        </is>
      </c>
      <c r="F8554" s="5" t="n">
        <v>2327</v>
      </c>
      <c r="G8554" s="5" t="n">
        <v>12703</v>
      </c>
      <c r="H8554" s="5" t="n">
        <v>803</v>
      </c>
      <c r="I8554" s="5" t="n">
        <v>641</v>
      </c>
      <c r="J8554" s="5" t="n">
        <v>154</v>
      </c>
      <c r="K8554" s="10">
        <f>IF(F8554&gt;0,H8554/F8554,"")</f>
        <v/>
      </c>
      <c r="L8554" s="16">
        <f>IF(AND(G8554&gt;0,H8554&gt;0),G8554/H8554,"")</f>
        <v/>
      </c>
    </row>
    <row r="8555">
      <c r="A8555" s="4" t="inlineStr">
        <is>
          <t>130</t>
        </is>
      </c>
      <c r="B8555" s="4" t="n">
        <v>1</v>
      </c>
      <c r="C8555" s="4" t="inlineStr">
        <is>
          <t>whitetail</t>
        </is>
      </c>
      <c r="D8555" s="4" t="n">
        <v>2018</v>
      </c>
      <c r="E8555" s="13" t="inlineStr">
        <is>
          <t>General</t>
        </is>
      </c>
      <c r="F8555" s="5" t="n"/>
      <c r="G8555" s="5" t="n"/>
      <c r="H8555" s="5" t="n">
        <v>591</v>
      </c>
      <c r="I8555" s="5" t="n">
        <v>453</v>
      </c>
      <c r="J8555" s="5" t="n">
        <v>139</v>
      </c>
      <c r="K8555" s="10">
        <f>IF(F8555&gt;0,H8555/F8555,"")</f>
        <v/>
      </c>
      <c r="L8555" s="16">
        <f>IF(AND(G8555&gt;0,H8555&gt;0),G8555/H8555,"")</f>
        <v/>
      </c>
    </row>
    <row r="8556">
      <c r="A8556" s="4" t="inlineStr">
        <is>
          <t>130</t>
        </is>
      </c>
      <c r="B8556" s="4" t="n">
        <v>1</v>
      </c>
      <c r="C8556" s="4" t="inlineStr">
        <is>
          <t>whitetail</t>
        </is>
      </c>
      <c r="D8556" s="4" t="n">
        <v>2019</v>
      </c>
      <c r="E8556" s="13" t="inlineStr">
        <is>
          <t>General</t>
        </is>
      </c>
      <c r="F8556" s="5" t="n">
        <v>1822</v>
      </c>
      <c r="G8556" s="5" t="n">
        <v>11443</v>
      </c>
      <c r="H8556" s="5" t="n">
        <v>544</v>
      </c>
      <c r="I8556" s="5" t="n">
        <v>490</v>
      </c>
      <c r="J8556" s="5" t="n">
        <v>52</v>
      </c>
      <c r="K8556" s="10">
        <f>IF(F8556&gt;0,H8556/F8556,"")</f>
        <v/>
      </c>
      <c r="L8556" s="16">
        <f>IF(AND(G8556&gt;0,H8556&gt;0),G8556/H8556,"")</f>
        <v/>
      </c>
    </row>
    <row r="8557">
      <c r="A8557" s="4" t="inlineStr">
        <is>
          <t>130</t>
        </is>
      </c>
      <c r="B8557" s="4" t="n">
        <v>1</v>
      </c>
      <c r="C8557" s="4" t="inlineStr">
        <is>
          <t>whitetail</t>
        </is>
      </c>
      <c r="D8557" s="4" t="n">
        <v>2020</v>
      </c>
      <c r="E8557" s="13" t="inlineStr">
        <is>
          <t>General</t>
        </is>
      </c>
      <c r="F8557" s="5" t="n"/>
      <c r="G8557" s="5" t="n"/>
      <c r="H8557" s="5" t="n">
        <v>557</v>
      </c>
      <c r="I8557" s="5" t="n">
        <v>496</v>
      </c>
      <c r="J8557" s="5" t="n">
        <v>62</v>
      </c>
      <c r="K8557" s="10">
        <f>IF(F8557&gt;0,H8557/F8557,"")</f>
        <v/>
      </c>
      <c r="L8557" s="16">
        <f>IF(AND(G8557&gt;0,H8557&gt;0),G8557/H8557,"")</f>
        <v/>
      </c>
    </row>
    <row r="8558">
      <c r="A8558" s="4" t="inlineStr">
        <is>
          <t>130</t>
        </is>
      </c>
      <c r="B8558" s="4" t="n">
        <v>1</v>
      </c>
      <c r="C8558" s="4" t="inlineStr">
        <is>
          <t>whitetail</t>
        </is>
      </c>
      <c r="D8558" s="4" t="n">
        <v>2021</v>
      </c>
      <c r="E8558" s="13" t="inlineStr">
        <is>
          <t>General</t>
        </is>
      </c>
      <c r="F8558" s="5" t="n">
        <v>1820</v>
      </c>
      <c r="G8558" s="5" t="n">
        <v>11720</v>
      </c>
      <c r="H8558" s="5" t="n">
        <v>550</v>
      </c>
      <c r="I8558" s="5" t="n">
        <v>503</v>
      </c>
      <c r="J8558" s="5" t="n">
        <v>47</v>
      </c>
      <c r="K8558" s="10">
        <f>IF(F8558&gt;0,H8558/F8558,"")</f>
        <v/>
      </c>
      <c r="L8558" s="16">
        <f>IF(AND(G8558&gt;0,H8558&gt;0),G8558/H8558,"")</f>
        <v/>
      </c>
    </row>
    <row r="8559">
      <c r="A8559" s="4" t="inlineStr">
        <is>
          <t>130</t>
        </is>
      </c>
      <c r="B8559" s="4" t="n">
        <v>1</v>
      </c>
      <c r="C8559" s="4" t="inlineStr">
        <is>
          <t>whitetail</t>
        </is>
      </c>
      <c r="D8559" s="4" t="n">
        <v>2022</v>
      </c>
      <c r="E8559" s="13" t="inlineStr">
        <is>
          <t>General</t>
        </is>
      </c>
      <c r="F8559" s="5" t="n"/>
      <c r="G8559" s="5" t="n"/>
      <c r="H8559" s="5" t="n">
        <v>522</v>
      </c>
      <c r="I8559" s="5" t="n">
        <v>397</v>
      </c>
      <c r="J8559" s="5" t="n">
        <v>123</v>
      </c>
      <c r="K8559" s="10">
        <f>IF(F8559&gt;0,H8559/F8559,"")</f>
        <v/>
      </c>
      <c r="L8559" s="16">
        <f>IF(AND(G8559&gt;0,H8559&gt;0),G8559/H8559,"")</f>
        <v/>
      </c>
    </row>
    <row r="8560">
      <c r="A8560" s="4" t="inlineStr">
        <is>
          <t>130</t>
        </is>
      </c>
      <c r="B8560" s="4" t="n">
        <v>1</v>
      </c>
      <c r="C8560" s="4" t="inlineStr">
        <is>
          <t>whitetail</t>
        </is>
      </c>
      <c r="D8560" s="4" t="n">
        <v>2023</v>
      </c>
      <c r="E8560" s="13" t="inlineStr">
        <is>
          <t>General</t>
        </is>
      </c>
      <c r="F8560" s="5" t="n">
        <v>1785</v>
      </c>
      <c r="G8560" s="5" t="n">
        <v>11029</v>
      </c>
      <c r="H8560" s="5" t="n">
        <v>534</v>
      </c>
      <c r="I8560" s="5" t="n">
        <v>461</v>
      </c>
      <c r="J8560" s="5" t="n">
        <v>69</v>
      </c>
      <c r="K8560" s="10">
        <f>IF(F8560&gt;0,H8560/F8560,"")</f>
        <v/>
      </c>
      <c r="L8560" s="16">
        <f>IF(AND(G8560&gt;0,H8560&gt;0),G8560/H8560,"")</f>
        <v/>
      </c>
    </row>
    <row r="8561">
      <c r="A8561" s="4" t="inlineStr">
        <is>
          <t>130</t>
        </is>
      </c>
      <c r="B8561" s="4" t="n">
        <v>1</v>
      </c>
      <c r="C8561" s="4" t="inlineStr">
        <is>
          <t>whitetail</t>
        </is>
      </c>
      <c r="D8561" s="4" t="n">
        <v>2024</v>
      </c>
      <c r="E8561" s="13" t="inlineStr">
        <is>
          <t>General</t>
        </is>
      </c>
      <c r="F8561" s="5" t="n"/>
      <c r="G8561" s="5" t="n"/>
      <c r="H8561" s="5" t="n">
        <v>568</v>
      </c>
      <c r="I8561" s="5" t="n">
        <v>551</v>
      </c>
      <c r="J8561" s="5" t="n">
        <v>17</v>
      </c>
      <c r="K8561" s="10">
        <f>IF(F8561&gt;0,H8561/F8561,"")</f>
        <v/>
      </c>
      <c r="L8561" s="16">
        <f>IF(AND(G8561&gt;0,H8561&gt;0),G8561/H8561,"")</f>
        <v/>
      </c>
    </row>
    <row r="8562">
      <c r="A8562" s="4" t="inlineStr">
        <is>
          <t>130</t>
        </is>
      </c>
      <c r="B8562" s="4" t="n">
        <v>1</v>
      </c>
      <c r="C8562" s="4" t="inlineStr">
        <is>
          <t>whitetail</t>
        </is>
      </c>
      <c r="D8562" s="4" t="n">
        <v>2025</v>
      </c>
      <c r="E8562" s="13" t="inlineStr">
        <is>
          <t>General</t>
        </is>
      </c>
      <c r="F8562" s="5" t="n">
        <v>2069</v>
      </c>
      <c r="G8562" s="5" t="n">
        <v>12295</v>
      </c>
      <c r="H8562" s="5" t="n">
        <v>605</v>
      </c>
      <c r="I8562" s="5" t="n">
        <v>546</v>
      </c>
      <c r="J8562" s="5" t="n">
        <v>59</v>
      </c>
      <c r="K8562" s="10">
        <f>IF(F8562&gt;0,H8562/F8562,"")</f>
        <v/>
      </c>
      <c r="L8562" s="16">
        <f>IF(AND(G8562&gt;0,H8562&gt;0),G8562/H8562,"")</f>
        <v/>
      </c>
    </row>
    <row r="8563">
      <c r="A8563" s="4" t="inlineStr">
        <is>
          <t>132</t>
        </is>
      </c>
      <c r="B8563" s="4" t="n">
        <v>1</v>
      </c>
      <c r="C8563" s="4" t="inlineStr">
        <is>
          <t>whitetail</t>
        </is>
      </c>
      <c r="D8563" s="4" t="n">
        <v>2004</v>
      </c>
      <c r="E8563" s="4" t="inlineStr"/>
      <c r="F8563" s="5" t="n">
        <v>1704</v>
      </c>
      <c r="G8563" s="5" t="n">
        <v>9232</v>
      </c>
      <c r="H8563" s="5" t="n">
        <v>998</v>
      </c>
      <c r="I8563" s="5" t="n">
        <v>592</v>
      </c>
      <c r="J8563" s="5" t="n">
        <v>400</v>
      </c>
      <c r="K8563" s="10">
        <f>IF(F8563&gt;0,H8563/F8563,"")</f>
        <v/>
      </c>
      <c r="L8563" s="16">
        <f>IF(AND(G8563&gt;0,H8563&gt;0),G8563/H8563,"")</f>
        <v/>
      </c>
    </row>
    <row r="8564">
      <c r="A8564" s="4" t="inlineStr">
        <is>
          <t>132</t>
        </is>
      </c>
      <c r="B8564" s="4" t="n">
        <v>1</v>
      </c>
      <c r="C8564" s="4" t="inlineStr">
        <is>
          <t>whitetail</t>
        </is>
      </c>
      <c r="D8564" s="4" t="n">
        <v>2005</v>
      </c>
      <c r="E8564" s="4" t="inlineStr"/>
      <c r="F8564" s="5" t="n">
        <v>1285</v>
      </c>
      <c r="G8564" s="5" t="n">
        <v>7855</v>
      </c>
      <c r="H8564" s="5" t="n">
        <v>813</v>
      </c>
      <c r="I8564" s="5" t="n">
        <v>439</v>
      </c>
      <c r="J8564" s="5" t="n">
        <v>365</v>
      </c>
      <c r="K8564" s="10">
        <f>IF(F8564&gt;0,H8564/F8564,"")</f>
        <v/>
      </c>
      <c r="L8564" s="16">
        <f>IF(AND(G8564&gt;0,H8564&gt;0),G8564/H8564,"")</f>
        <v/>
      </c>
    </row>
    <row r="8565">
      <c r="A8565" s="4" t="inlineStr">
        <is>
          <t>132</t>
        </is>
      </c>
      <c r="B8565" s="4" t="n">
        <v>1</v>
      </c>
      <c r="C8565" s="4" t="inlineStr">
        <is>
          <t>whitetail</t>
        </is>
      </c>
      <c r="D8565" s="4" t="n">
        <v>2006</v>
      </c>
      <c r="E8565" s="4" t="inlineStr"/>
      <c r="F8565" s="5" t="n">
        <v>1303</v>
      </c>
      <c r="G8565" s="5" t="n">
        <v>7765</v>
      </c>
      <c r="H8565" s="5" t="n">
        <v>741</v>
      </c>
      <c r="I8565" s="5" t="n">
        <v>395</v>
      </c>
      <c r="J8565" s="5" t="n">
        <v>327</v>
      </c>
      <c r="K8565" s="10">
        <f>IF(F8565&gt;0,H8565/F8565,"")</f>
        <v/>
      </c>
      <c r="L8565" s="16">
        <f>IF(AND(G8565&gt;0,H8565&gt;0),G8565/H8565,"")</f>
        <v/>
      </c>
    </row>
    <row r="8566">
      <c r="A8566" s="4" t="inlineStr">
        <is>
          <t>132</t>
        </is>
      </c>
      <c r="B8566" s="4" t="n">
        <v>1</v>
      </c>
      <c r="C8566" s="4" t="inlineStr">
        <is>
          <t>whitetail</t>
        </is>
      </c>
      <c r="D8566" s="4" t="n">
        <v>2007</v>
      </c>
      <c r="E8566" s="4" t="inlineStr"/>
      <c r="F8566" s="5" t="n">
        <v>1393</v>
      </c>
      <c r="G8566" s="5" t="n">
        <v>8053</v>
      </c>
      <c r="H8566" s="5" t="n">
        <v>703</v>
      </c>
      <c r="I8566" s="5" t="n">
        <v>402</v>
      </c>
      <c r="J8566" s="5" t="n">
        <v>285</v>
      </c>
      <c r="K8566" s="10">
        <f>IF(F8566&gt;0,H8566/F8566,"")</f>
        <v/>
      </c>
      <c r="L8566" s="16">
        <f>IF(AND(G8566&gt;0,H8566&gt;0),G8566/H8566,"")</f>
        <v/>
      </c>
    </row>
    <row r="8567">
      <c r="A8567" s="4" t="inlineStr">
        <is>
          <t>132</t>
        </is>
      </c>
      <c r="B8567" s="4" t="n">
        <v>1</v>
      </c>
      <c r="C8567" s="4" t="inlineStr">
        <is>
          <t>whitetail</t>
        </is>
      </c>
      <c r="D8567" s="4" t="n">
        <v>2008</v>
      </c>
      <c r="E8567" s="4" t="inlineStr"/>
      <c r="F8567" s="5" t="n">
        <v>1413</v>
      </c>
      <c r="G8567" s="5" t="n">
        <v>8725</v>
      </c>
      <c r="H8567" s="5" t="n">
        <v>458</v>
      </c>
      <c r="I8567" s="5" t="n">
        <v>289</v>
      </c>
      <c r="J8567" s="5" t="n">
        <v>163</v>
      </c>
      <c r="K8567" s="10">
        <f>IF(F8567&gt;0,H8567/F8567,"")</f>
        <v/>
      </c>
      <c r="L8567" s="16">
        <f>IF(AND(G8567&gt;0,H8567&gt;0),G8567/H8567,"")</f>
        <v/>
      </c>
    </row>
    <row r="8568">
      <c r="A8568" s="4" t="inlineStr">
        <is>
          <t>132</t>
        </is>
      </c>
      <c r="B8568" s="4" t="n">
        <v>1</v>
      </c>
      <c r="C8568" s="4" t="inlineStr">
        <is>
          <t>whitetail</t>
        </is>
      </c>
      <c r="D8568" s="4" t="n">
        <v>2009</v>
      </c>
      <c r="E8568" s="4" t="inlineStr"/>
      <c r="F8568" s="5" t="n">
        <v>1338</v>
      </c>
      <c r="G8568" s="5" t="n">
        <v>7876</v>
      </c>
      <c r="H8568" s="5" t="n">
        <v>448</v>
      </c>
      <c r="I8568" s="5" t="n">
        <v>313</v>
      </c>
      <c r="J8568" s="5" t="n">
        <v>123</v>
      </c>
      <c r="K8568" s="10">
        <f>IF(F8568&gt;0,H8568/F8568,"")</f>
        <v/>
      </c>
      <c r="L8568" s="16">
        <f>IF(AND(G8568&gt;0,H8568&gt;0),G8568/H8568,"")</f>
        <v/>
      </c>
    </row>
    <row r="8569">
      <c r="A8569" s="4" t="inlineStr">
        <is>
          <t>132</t>
        </is>
      </c>
      <c r="B8569" s="4" t="n">
        <v>1</v>
      </c>
      <c r="C8569" s="4" t="inlineStr">
        <is>
          <t>whitetail</t>
        </is>
      </c>
      <c r="D8569" s="4" t="n">
        <v>2010</v>
      </c>
      <c r="E8569" s="4" t="inlineStr"/>
      <c r="F8569" s="5" t="n">
        <v>1245</v>
      </c>
      <c r="G8569" s="5" t="n">
        <v>7970</v>
      </c>
      <c r="H8569" s="5" t="n">
        <v>447</v>
      </c>
      <c r="I8569" s="5" t="n">
        <v>347</v>
      </c>
      <c r="J8569" s="5" t="n">
        <v>97</v>
      </c>
      <c r="K8569" s="10">
        <f>IF(F8569&gt;0,H8569/F8569,"")</f>
        <v/>
      </c>
      <c r="L8569" s="16">
        <f>IF(AND(G8569&gt;0,H8569&gt;0),G8569/H8569,"")</f>
        <v/>
      </c>
    </row>
    <row r="8570">
      <c r="A8570" s="4" t="inlineStr">
        <is>
          <t>132</t>
        </is>
      </c>
      <c r="B8570" s="4" t="n">
        <v>1</v>
      </c>
      <c r="C8570" s="4" t="inlineStr">
        <is>
          <t>whitetail</t>
        </is>
      </c>
      <c r="D8570" s="4" t="n">
        <v>2011</v>
      </c>
      <c r="E8570" s="4" t="inlineStr"/>
      <c r="F8570" s="5" t="n">
        <v>1460</v>
      </c>
      <c r="G8570" s="5" t="n">
        <v>9286</v>
      </c>
      <c r="H8570" s="5" t="n">
        <v>487</v>
      </c>
      <c r="I8570" s="5" t="n">
        <v>349</v>
      </c>
      <c r="J8570" s="5" t="n">
        <v>133</v>
      </c>
      <c r="K8570" s="10">
        <f>IF(F8570&gt;0,H8570/F8570,"")</f>
        <v/>
      </c>
      <c r="L8570" s="16">
        <f>IF(AND(G8570&gt;0,H8570&gt;0),G8570/H8570,"")</f>
        <v/>
      </c>
    </row>
    <row r="8571">
      <c r="A8571" s="4" t="inlineStr">
        <is>
          <t>132</t>
        </is>
      </c>
      <c r="B8571" s="4" t="n">
        <v>1</v>
      </c>
      <c r="C8571" s="4" t="inlineStr">
        <is>
          <t>whitetail</t>
        </is>
      </c>
      <c r="D8571" s="4" t="n">
        <v>2012</v>
      </c>
      <c r="E8571" s="4" t="inlineStr"/>
      <c r="F8571" s="5" t="n"/>
      <c r="G8571" s="5" t="n"/>
      <c r="H8571" s="5" t="n">
        <v>470</v>
      </c>
      <c r="I8571" s="5" t="n">
        <v>327</v>
      </c>
      <c r="J8571" s="5" t="n">
        <v>141</v>
      </c>
      <c r="K8571" s="10">
        <f>IF(F8571&gt;0,H8571/F8571,"")</f>
        <v/>
      </c>
      <c r="L8571" s="16">
        <f>IF(AND(G8571&gt;0,H8571&gt;0),G8571/H8571,"")</f>
        <v/>
      </c>
    </row>
    <row r="8572">
      <c r="A8572" s="4" t="inlineStr">
        <is>
          <t>132</t>
        </is>
      </c>
      <c r="B8572" s="4" t="n">
        <v>1</v>
      </c>
      <c r="C8572" s="4" t="inlineStr">
        <is>
          <t>whitetail</t>
        </is>
      </c>
      <c r="D8572" s="4" t="n">
        <v>2013</v>
      </c>
      <c r="E8572" s="4" t="inlineStr"/>
      <c r="F8572" s="5" t="n">
        <v>1465</v>
      </c>
      <c r="G8572" s="5" t="n">
        <v>8377</v>
      </c>
      <c r="H8572" s="5" t="n">
        <v>455</v>
      </c>
      <c r="I8572" s="5" t="n">
        <v>339</v>
      </c>
      <c r="J8572" s="5" t="n">
        <v>113</v>
      </c>
      <c r="K8572" s="10">
        <f>IF(F8572&gt;0,H8572/F8572,"")</f>
        <v/>
      </c>
      <c r="L8572" s="16">
        <f>IF(AND(G8572&gt;0,H8572&gt;0),G8572/H8572,"")</f>
        <v/>
      </c>
    </row>
    <row r="8573">
      <c r="A8573" s="4" t="inlineStr">
        <is>
          <t>132</t>
        </is>
      </c>
      <c r="B8573" s="4" t="n">
        <v>1</v>
      </c>
      <c r="C8573" s="4" t="inlineStr">
        <is>
          <t>whitetail</t>
        </is>
      </c>
      <c r="D8573" s="4" t="n">
        <v>2014</v>
      </c>
      <c r="E8573" s="4" t="inlineStr"/>
      <c r="F8573" s="5" t="n"/>
      <c r="G8573" s="5" t="n"/>
      <c r="H8573" s="5" t="n">
        <v>414</v>
      </c>
      <c r="I8573" s="5" t="n">
        <v>314</v>
      </c>
      <c r="J8573" s="5" t="n">
        <v>97</v>
      </c>
      <c r="K8573" s="10">
        <f>IF(F8573&gt;0,H8573/F8573,"")</f>
        <v/>
      </c>
      <c r="L8573" s="16">
        <f>IF(AND(G8573&gt;0,H8573&gt;0),G8573/H8573,"")</f>
        <v/>
      </c>
    </row>
    <row r="8574">
      <c r="A8574" s="4" t="inlineStr">
        <is>
          <t>132</t>
        </is>
      </c>
      <c r="B8574" s="4" t="n">
        <v>1</v>
      </c>
      <c r="C8574" s="4" t="inlineStr">
        <is>
          <t>whitetail</t>
        </is>
      </c>
      <c r="D8574" s="4" t="n">
        <v>2015</v>
      </c>
      <c r="E8574" s="4" t="inlineStr"/>
      <c r="F8574" s="5" t="n"/>
      <c r="G8574" s="5" t="n"/>
      <c r="H8574" s="5" t="n">
        <v>374</v>
      </c>
      <c r="I8574" s="5" t="n">
        <v>279</v>
      </c>
      <c r="J8574" s="5" t="n">
        <v>90</v>
      </c>
      <c r="K8574" s="10">
        <f>IF(F8574&gt;0,H8574/F8574,"")</f>
        <v/>
      </c>
      <c r="L8574" s="16">
        <f>IF(AND(G8574&gt;0,H8574&gt;0),G8574/H8574,"")</f>
        <v/>
      </c>
    </row>
    <row r="8575">
      <c r="A8575" s="4" t="inlineStr">
        <is>
          <t>132</t>
        </is>
      </c>
      <c r="B8575" s="4" t="n">
        <v>1</v>
      </c>
      <c r="C8575" s="4" t="inlineStr">
        <is>
          <t>whitetail</t>
        </is>
      </c>
      <c r="D8575" s="4" t="n">
        <v>2016</v>
      </c>
      <c r="E8575" s="4" t="inlineStr"/>
      <c r="F8575" s="5" t="n"/>
      <c r="G8575" s="5" t="n"/>
      <c r="H8575" s="5" t="n">
        <v>532</v>
      </c>
      <c r="I8575" s="5" t="n">
        <v>368</v>
      </c>
      <c r="J8575" s="5" t="n">
        <v>165</v>
      </c>
      <c r="K8575" s="10">
        <f>IF(F8575&gt;0,H8575/F8575,"")</f>
        <v/>
      </c>
      <c r="L8575" s="16">
        <f>IF(AND(G8575&gt;0,H8575&gt;0),G8575/H8575,"")</f>
        <v/>
      </c>
    </row>
    <row r="8576">
      <c r="A8576" s="4" t="inlineStr">
        <is>
          <t>132</t>
        </is>
      </c>
      <c r="B8576" s="4" t="n">
        <v>1</v>
      </c>
      <c r="C8576" s="4" t="inlineStr">
        <is>
          <t>whitetail</t>
        </is>
      </c>
      <c r="D8576" s="4" t="n">
        <v>2017</v>
      </c>
      <c r="E8576" s="4" t="inlineStr"/>
      <c r="F8576" s="5" t="n">
        <v>1051</v>
      </c>
      <c r="G8576" s="5" t="n">
        <v>6717</v>
      </c>
      <c r="H8576" s="5" t="n">
        <v>491</v>
      </c>
      <c r="I8576" s="5" t="n">
        <v>348</v>
      </c>
      <c r="J8576" s="5" t="n">
        <v>143</v>
      </c>
      <c r="K8576" s="10">
        <f>IF(F8576&gt;0,H8576/F8576,"")</f>
        <v/>
      </c>
      <c r="L8576" s="16">
        <f>IF(AND(G8576&gt;0,H8576&gt;0),G8576/H8576,"")</f>
        <v/>
      </c>
    </row>
    <row r="8577">
      <c r="A8577" s="4" t="inlineStr">
        <is>
          <t>132</t>
        </is>
      </c>
      <c r="B8577" s="4" t="n">
        <v>1</v>
      </c>
      <c r="C8577" s="4" t="inlineStr">
        <is>
          <t>whitetail</t>
        </is>
      </c>
      <c r="D8577" s="4" t="n">
        <v>2018</v>
      </c>
      <c r="E8577" s="4" t="inlineStr"/>
      <c r="F8577" s="5" t="n"/>
      <c r="G8577" s="5" t="n"/>
      <c r="H8577" s="5" t="n">
        <v>444</v>
      </c>
      <c r="I8577" s="5" t="n">
        <v>309</v>
      </c>
      <c r="J8577" s="5" t="n">
        <v>135</v>
      </c>
      <c r="K8577" s="10">
        <f>IF(F8577&gt;0,H8577/F8577,"")</f>
        <v/>
      </c>
      <c r="L8577" s="16">
        <f>IF(AND(G8577&gt;0,H8577&gt;0),G8577/H8577,"")</f>
        <v/>
      </c>
    </row>
    <row r="8578">
      <c r="A8578" s="4" t="inlineStr">
        <is>
          <t>132</t>
        </is>
      </c>
      <c r="B8578" s="4" t="n">
        <v>1</v>
      </c>
      <c r="C8578" s="4" t="inlineStr">
        <is>
          <t>whitetail</t>
        </is>
      </c>
      <c r="D8578" s="4" t="n">
        <v>2019</v>
      </c>
      <c r="E8578" s="4" t="inlineStr"/>
      <c r="F8578" s="5" t="n">
        <v>1051</v>
      </c>
      <c r="G8578" s="5" t="n">
        <v>6383</v>
      </c>
      <c r="H8578" s="5" t="n">
        <v>434</v>
      </c>
      <c r="I8578" s="5" t="n">
        <v>315</v>
      </c>
      <c r="J8578" s="5" t="n">
        <v>119</v>
      </c>
      <c r="K8578" s="10">
        <f>IF(F8578&gt;0,H8578/F8578,"")</f>
        <v/>
      </c>
      <c r="L8578" s="16">
        <f>IF(AND(G8578&gt;0,H8578&gt;0),G8578/H8578,"")</f>
        <v/>
      </c>
    </row>
    <row r="8579">
      <c r="A8579" s="4" t="inlineStr">
        <is>
          <t>140</t>
        </is>
      </c>
      <c r="B8579" s="4" t="n">
        <v>1</v>
      </c>
      <c r="C8579" s="4" t="inlineStr">
        <is>
          <t>whitetail</t>
        </is>
      </c>
      <c r="D8579" s="4" t="n">
        <v>2004</v>
      </c>
      <c r="E8579" s="13" t="inlineStr">
        <is>
          <t>General</t>
        </is>
      </c>
      <c r="F8579" s="5" t="n">
        <v>837</v>
      </c>
      <c r="G8579" s="5" t="n">
        <v>4425</v>
      </c>
      <c r="H8579" s="5" t="n">
        <v>154</v>
      </c>
      <c r="I8579" s="5" t="n">
        <v>115</v>
      </c>
      <c r="J8579" s="5" t="n">
        <v>39</v>
      </c>
      <c r="K8579" s="10">
        <f>IF(F8579&gt;0,H8579/F8579,"")</f>
        <v/>
      </c>
      <c r="L8579" s="16">
        <f>IF(AND(G8579&gt;0,H8579&gt;0),G8579/H8579,"")</f>
        <v/>
      </c>
    </row>
    <row r="8580">
      <c r="A8580" s="4" t="inlineStr">
        <is>
          <t>140</t>
        </is>
      </c>
      <c r="B8580" s="4" t="n">
        <v>1</v>
      </c>
      <c r="C8580" s="4" t="inlineStr">
        <is>
          <t>whitetail</t>
        </is>
      </c>
      <c r="D8580" s="4" t="n">
        <v>2005</v>
      </c>
      <c r="E8580" s="13" t="inlineStr">
        <is>
          <t>General</t>
        </is>
      </c>
      <c r="F8580" s="5" t="n">
        <v>628</v>
      </c>
      <c r="G8580" s="5" t="n">
        <v>3520</v>
      </c>
      <c r="H8580" s="5" t="n">
        <v>122</v>
      </c>
      <c r="I8580" s="5" t="n">
        <v>79</v>
      </c>
      <c r="J8580" s="5" t="n">
        <v>39</v>
      </c>
      <c r="K8580" s="10">
        <f>IF(F8580&gt;0,H8580/F8580,"")</f>
        <v/>
      </c>
      <c r="L8580" s="16">
        <f>IF(AND(G8580&gt;0,H8580&gt;0),G8580/H8580,"")</f>
        <v/>
      </c>
    </row>
    <row r="8581">
      <c r="A8581" s="4" t="inlineStr">
        <is>
          <t>140</t>
        </is>
      </c>
      <c r="B8581" s="4" t="n">
        <v>1</v>
      </c>
      <c r="C8581" s="4" t="inlineStr">
        <is>
          <t>whitetail</t>
        </is>
      </c>
      <c r="D8581" s="4" t="n">
        <v>2006</v>
      </c>
      <c r="E8581" s="13" t="inlineStr">
        <is>
          <t>General</t>
        </is>
      </c>
      <c r="F8581" s="5" t="n">
        <v>783</v>
      </c>
      <c r="G8581" s="5" t="n">
        <v>5075</v>
      </c>
      <c r="H8581" s="5" t="n">
        <v>127</v>
      </c>
      <c r="I8581" s="5" t="n">
        <v>100</v>
      </c>
      <c r="J8581" s="5" t="n">
        <v>23</v>
      </c>
      <c r="K8581" s="10">
        <f>IF(F8581&gt;0,H8581/F8581,"")</f>
        <v/>
      </c>
      <c r="L8581" s="16">
        <f>IF(AND(G8581&gt;0,H8581&gt;0),G8581/H8581,"")</f>
        <v/>
      </c>
    </row>
    <row r="8582">
      <c r="A8582" s="4" t="inlineStr">
        <is>
          <t>140</t>
        </is>
      </c>
      <c r="B8582" s="4" t="n">
        <v>1</v>
      </c>
      <c r="C8582" s="4" t="inlineStr">
        <is>
          <t>whitetail</t>
        </is>
      </c>
      <c r="D8582" s="4" t="n">
        <v>2007</v>
      </c>
      <c r="E8582" s="13" t="inlineStr">
        <is>
          <t>General</t>
        </is>
      </c>
      <c r="F8582" s="5" t="n">
        <v>739</v>
      </c>
      <c r="G8582" s="5" t="n">
        <v>5084</v>
      </c>
      <c r="H8582" s="5" t="n">
        <v>111</v>
      </c>
      <c r="I8582" s="5" t="n">
        <v>87</v>
      </c>
      <c r="J8582" s="5" t="n">
        <v>19</v>
      </c>
      <c r="K8582" s="10">
        <f>IF(F8582&gt;0,H8582/F8582,"")</f>
        <v/>
      </c>
      <c r="L8582" s="16">
        <f>IF(AND(G8582&gt;0,H8582&gt;0),G8582/H8582,"")</f>
        <v/>
      </c>
    </row>
    <row r="8583">
      <c r="A8583" s="4" t="inlineStr">
        <is>
          <t>140</t>
        </is>
      </c>
      <c r="B8583" s="4" t="n">
        <v>1</v>
      </c>
      <c r="C8583" s="4" t="inlineStr">
        <is>
          <t>whitetail</t>
        </is>
      </c>
      <c r="D8583" s="4" t="n">
        <v>2008</v>
      </c>
      <c r="E8583" s="13" t="inlineStr">
        <is>
          <t>General</t>
        </is>
      </c>
      <c r="F8583" s="5" t="n">
        <v>935</v>
      </c>
      <c r="G8583" s="5" t="n">
        <v>6678</v>
      </c>
      <c r="H8583" s="5" t="n">
        <v>131</v>
      </c>
      <c r="I8583" s="5" t="n">
        <v>119</v>
      </c>
      <c r="J8583" s="5" t="n">
        <v>12</v>
      </c>
      <c r="K8583" s="10">
        <f>IF(F8583&gt;0,H8583/F8583,"")</f>
        <v/>
      </c>
      <c r="L8583" s="16">
        <f>IF(AND(G8583&gt;0,H8583&gt;0),G8583/H8583,"")</f>
        <v/>
      </c>
    </row>
    <row r="8584">
      <c r="A8584" s="4" t="inlineStr">
        <is>
          <t>140</t>
        </is>
      </c>
      <c r="B8584" s="4" t="n">
        <v>1</v>
      </c>
      <c r="C8584" s="4" t="inlineStr">
        <is>
          <t>whitetail</t>
        </is>
      </c>
      <c r="D8584" s="4" t="n">
        <v>2009</v>
      </c>
      <c r="E8584" s="13" t="inlineStr">
        <is>
          <t>General</t>
        </is>
      </c>
      <c r="F8584" s="5" t="n">
        <v>957</v>
      </c>
      <c r="G8584" s="5" t="n">
        <v>6829</v>
      </c>
      <c r="H8584" s="5" t="n">
        <v>98</v>
      </c>
      <c r="I8584" s="5" t="n">
        <v>74</v>
      </c>
      <c r="J8584" s="5" t="n">
        <v>24</v>
      </c>
      <c r="K8584" s="10">
        <f>IF(F8584&gt;0,H8584/F8584,"")</f>
        <v/>
      </c>
      <c r="L8584" s="16">
        <f>IF(AND(G8584&gt;0,H8584&gt;0),G8584/H8584,"")</f>
        <v/>
      </c>
    </row>
    <row r="8585">
      <c r="A8585" s="4" t="inlineStr">
        <is>
          <t>140</t>
        </is>
      </c>
      <c r="B8585" s="4" t="n">
        <v>1</v>
      </c>
      <c r="C8585" s="4" t="inlineStr">
        <is>
          <t>whitetail</t>
        </is>
      </c>
      <c r="D8585" s="4" t="n">
        <v>2010</v>
      </c>
      <c r="E8585" s="13" t="inlineStr">
        <is>
          <t>General</t>
        </is>
      </c>
      <c r="F8585" s="5" t="n">
        <v>693</v>
      </c>
      <c r="G8585" s="5" t="n">
        <v>4711</v>
      </c>
      <c r="H8585" s="5" t="n">
        <v>124</v>
      </c>
      <c r="I8585" s="5" t="n">
        <v>107</v>
      </c>
      <c r="J8585" s="5" t="n">
        <v>17</v>
      </c>
      <c r="K8585" s="10">
        <f>IF(F8585&gt;0,H8585/F8585,"")</f>
        <v/>
      </c>
      <c r="L8585" s="16">
        <f>IF(AND(G8585&gt;0,H8585&gt;0),G8585/H8585,"")</f>
        <v/>
      </c>
    </row>
    <row r="8586">
      <c r="A8586" s="4" t="inlineStr">
        <is>
          <t>140</t>
        </is>
      </c>
      <c r="B8586" s="4" t="n">
        <v>1</v>
      </c>
      <c r="C8586" s="4" t="inlineStr">
        <is>
          <t>whitetail</t>
        </is>
      </c>
      <c r="D8586" s="4" t="n">
        <v>2011</v>
      </c>
      <c r="E8586" s="13" t="inlineStr">
        <is>
          <t>General</t>
        </is>
      </c>
      <c r="F8586" s="5" t="n">
        <v>782</v>
      </c>
      <c r="G8586" s="5" t="n">
        <v>5462</v>
      </c>
      <c r="H8586" s="5" t="n">
        <v>78</v>
      </c>
      <c r="I8586" s="5" t="n">
        <v>59</v>
      </c>
      <c r="J8586" s="5" t="n">
        <v>20</v>
      </c>
      <c r="K8586" s="10">
        <f>IF(F8586&gt;0,H8586/F8586,"")</f>
        <v/>
      </c>
      <c r="L8586" s="16">
        <f>IF(AND(G8586&gt;0,H8586&gt;0),G8586/H8586,"")</f>
        <v/>
      </c>
    </row>
    <row r="8587">
      <c r="A8587" s="4" t="inlineStr">
        <is>
          <t>140</t>
        </is>
      </c>
      <c r="B8587" s="4" t="n">
        <v>1</v>
      </c>
      <c r="C8587" s="4" t="inlineStr">
        <is>
          <t>whitetail</t>
        </is>
      </c>
      <c r="D8587" s="4" t="n">
        <v>2012</v>
      </c>
      <c r="E8587" s="13" t="inlineStr">
        <is>
          <t>General</t>
        </is>
      </c>
      <c r="F8587" s="5" t="n"/>
      <c r="G8587" s="5" t="n"/>
      <c r="H8587" s="5" t="n">
        <v>89</v>
      </c>
      <c r="I8587" s="5" t="n">
        <v>84</v>
      </c>
      <c r="J8587" s="5" t="n">
        <v>6</v>
      </c>
      <c r="K8587" s="10">
        <f>IF(F8587&gt;0,H8587/F8587,"")</f>
        <v/>
      </c>
      <c r="L8587" s="16">
        <f>IF(AND(G8587&gt;0,H8587&gt;0),G8587/H8587,"")</f>
        <v/>
      </c>
    </row>
    <row r="8588">
      <c r="A8588" s="4" t="inlineStr">
        <is>
          <t>140</t>
        </is>
      </c>
      <c r="B8588" s="4" t="n">
        <v>1</v>
      </c>
      <c r="C8588" s="4" t="inlineStr">
        <is>
          <t>whitetail</t>
        </is>
      </c>
      <c r="D8588" s="4" t="n">
        <v>2013</v>
      </c>
      <c r="E8588" s="13" t="inlineStr">
        <is>
          <t>General</t>
        </is>
      </c>
      <c r="F8588" s="5" t="n">
        <v>641</v>
      </c>
      <c r="G8588" s="5" t="n">
        <v>4135</v>
      </c>
      <c r="H8588" s="5" t="n">
        <v>88</v>
      </c>
      <c r="I8588" s="5" t="n">
        <v>85</v>
      </c>
      <c r="J8588" s="5" t="n">
        <v>3</v>
      </c>
      <c r="K8588" s="10">
        <f>IF(F8588&gt;0,H8588/F8588,"")</f>
        <v/>
      </c>
      <c r="L8588" s="16">
        <f>IF(AND(G8588&gt;0,H8588&gt;0),G8588/H8588,"")</f>
        <v/>
      </c>
    </row>
    <row r="8589">
      <c r="A8589" s="4" t="inlineStr">
        <is>
          <t>140</t>
        </is>
      </c>
      <c r="B8589" s="4" t="n">
        <v>1</v>
      </c>
      <c r="C8589" s="4" t="inlineStr">
        <is>
          <t>whitetail</t>
        </is>
      </c>
      <c r="D8589" s="4" t="n">
        <v>2014</v>
      </c>
      <c r="E8589" s="13" t="inlineStr">
        <is>
          <t>General</t>
        </is>
      </c>
      <c r="F8589" s="5" t="n"/>
      <c r="G8589" s="5" t="n"/>
      <c r="H8589" s="5" t="n">
        <v>110</v>
      </c>
      <c r="I8589" s="5" t="n">
        <v>104</v>
      </c>
      <c r="J8589" s="5" t="n">
        <v>6</v>
      </c>
      <c r="K8589" s="10">
        <f>IF(F8589&gt;0,H8589/F8589,"")</f>
        <v/>
      </c>
      <c r="L8589" s="16">
        <f>IF(AND(G8589&gt;0,H8589&gt;0),G8589/H8589,"")</f>
        <v/>
      </c>
    </row>
    <row r="8590">
      <c r="A8590" s="4" t="inlineStr">
        <is>
          <t>140</t>
        </is>
      </c>
      <c r="B8590" s="4" t="n">
        <v>1</v>
      </c>
      <c r="C8590" s="4" t="inlineStr">
        <is>
          <t>whitetail</t>
        </is>
      </c>
      <c r="D8590" s="4" t="n">
        <v>2015</v>
      </c>
      <c r="E8590" s="13" t="inlineStr">
        <is>
          <t>General</t>
        </is>
      </c>
      <c r="F8590" s="5" t="n"/>
      <c r="G8590" s="5" t="n"/>
      <c r="H8590" s="5" t="n">
        <v>129</v>
      </c>
      <c r="I8590" s="5" t="n">
        <v>118</v>
      </c>
      <c r="J8590" s="5" t="n">
        <v>12</v>
      </c>
      <c r="K8590" s="10">
        <f>IF(F8590&gt;0,H8590/F8590,"")</f>
        <v/>
      </c>
      <c r="L8590" s="16">
        <f>IF(AND(G8590&gt;0,H8590&gt;0),G8590/H8590,"")</f>
        <v/>
      </c>
    </row>
    <row r="8591">
      <c r="A8591" s="4" t="inlineStr">
        <is>
          <t>140</t>
        </is>
      </c>
      <c r="B8591" s="4" t="n">
        <v>1</v>
      </c>
      <c r="C8591" s="4" t="inlineStr">
        <is>
          <t>whitetail</t>
        </is>
      </c>
      <c r="D8591" s="4" t="n">
        <v>2016</v>
      </c>
      <c r="E8591" s="13" t="inlineStr">
        <is>
          <t>General</t>
        </is>
      </c>
      <c r="F8591" s="5" t="n"/>
      <c r="G8591" s="5" t="n"/>
      <c r="H8591" s="5" t="n">
        <v>88</v>
      </c>
      <c r="I8591" s="5" t="n">
        <v>76</v>
      </c>
      <c r="J8591" s="5" t="n">
        <v>12</v>
      </c>
      <c r="K8591" s="10">
        <f>IF(F8591&gt;0,H8591/F8591,"")</f>
        <v/>
      </c>
      <c r="L8591" s="16">
        <f>IF(AND(G8591&gt;0,H8591&gt;0),G8591/H8591,"")</f>
        <v/>
      </c>
    </row>
    <row r="8592">
      <c r="A8592" s="4" t="inlineStr">
        <is>
          <t>140</t>
        </is>
      </c>
      <c r="B8592" s="4" t="n">
        <v>1</v>
      </c>
      <c r="C8592" s="4" t="inlineStr">
        <is>
          <t>whitetail</t>
        </is>
      </c>
      <c r="D8592" s="4" t="n">
        <v>2017</v>
      </c>
      <c r="E8592" s="13" t="inlineStr">
        <is>
          <t>General</t>
        </is>
      </c>
      <c r="F8592" s="5" t="n">
        <v>509</v>
      </c>
      <c r="G8592" s="5" t="n">
        <v>3193</v>
      </c>
      <c r="H8592" s="5" t="n">
        <v>118</v>
      </c>
      <c r="I8592" s="5" t="n">
        <v>101</v>
      </c>
      <c r="J8592" s="5" t="n">
        <v>18</v>
      </c>
      <c r="K8592" s="10">
        <f>IF(F8592&gt;0,H8592/F8592,"")</f>
        <v/>
      </c>
      <c r="L8592" s="16">
        <f>IF(AND(G8592&gt;0,H8592&gt;0),G8592/H8592,"")</f>
        <v/>
      </c>
    </row>
    <row r="8593">
      <c r="A8593" s="4" t="inlineStr">
        <is>
          <t>140</t>
        </is>
      </c>
      <c r="B8593" s="4" t="n">
        <v>1</v>
      </c>
      <c r="C8593" s="4" t="inlineStr">
        <is>
          <t>whitetail</t>
        </is>
      </c>
      <c r="D8593" s="4" t="n">
        <v>2018</v>
      </c>
      <c r="E8593" s="13" t="inlineStr">
        <is>
          <t>General</t>
        </is>
      </c>
      <c r="F8593" s="5" t="n"/>
      <c r="G8593" s="5" t="n"/>
      <c r="H8593" s="5" t="n">
        <v>108</v>
      </c>
      <c r="I8593" s="5" t="n">
        <v>104</v>
      </c>
      <c r="J8593" s="5" t="n">
        <v>3</v>
      </c>
      <c r="K8593" s="10">
        <f>IF(F8593&gt;0,H8593/F8593,"")</f>
        <v/>
      </c>
      <c r="L8593" s="16">
        <f>IF(AND(G8593&gt;0,H8593&gt;0),G8593/H8593,"")</f>
        <v/>
      </c>
    </row>
    <row r="8594">
      <c r="A8594" s="4" t="inlineStr">
        <is>
          <t>140</t>
        </is>
      </c>
      <c r="B8594" s="4" t="n">
        <v>1</v>
      </c>
      <c r="C8594" s="4" t="inlineStr">
        <is>
          <t>whitetail</t>
        </is>
      </c>
      <c r="D8594" s="4" t="n">
        <v>2019</v>
      </c>
      <c r="E8594" s="13" t="inlineStr">
        <is>
          <t>General</t>
        </is>
      </c>
      <c r="F8594" s="5" t="n">
        <v>481</v>
      </c>
      <c r="G8594" s="5" t="n">
        <v>3858</v>
      </c>
      <c r="H8594" s="5" t="n">
        <v>60</v>
      </c>
      <c r="I8594" s="5" t="n">
        <v>60</v>
      </c>
      <c r="J8594" s="5" t="n">
        <v>0</v>
      </c>
      <c r="K8594" s="10">
        <f>IF(F8594&gt;0,H8594/F8594,"")</f>
        <v/>
      </c>
      <c r="L8594" s="16">
        <f>IF(AND(G8594&gt;0,H8594&gt;0),G8594/H8594,"")</f>
        <v/>
      </c>
    </row>
    <row r="8595">
      <c r="A8595" s="4" t="inlineStr">
        <is>
          <t>140</t>
        </is>
      </c>
      <c r="B8595" s="4" t="n">
        <v>1</v>
      </c>
      <c r="C8595" s="4" t="inlineStr">
        <is>
          <t>whitetail</t>
        </is>
      </c>
      <c r="D8595" s="4" t="n">
        <v>2020</v>
      </c>
      <c r="E8595" s="13" t="inlineStr">
        <is>
          <t>General</t>
        </is>
      </c>
      <c r="F8595" s="5" t="n"/>
      <c r="G8595" s="5" t="n"/>
      <c r="H8595" s="5" t="n">
        <v>158</v>
      </c>
      <c r="I8595" s="5" t="n">
        <v>152</v>
      </c>
      <c r="J8595" s="5" t="n">
        <v>7</v>
      </c>
      <c r="K8595" s="10">
        <f>IF(F8595&gt;0,H8595/F8595,"")</f>
        <v/>
      </c>
      <c r="L8595" s="16">
        <f>IF(AND(G8595&gt;0,H8595&gt;0),G8595/H8595,"")</f>
        <v/>
      </c>
    </row>
    <row r="8596">
      <c r="A8596" s="4" t="inlineStr">
        <is>
          <t>140</t>
        </is>
      </c>
      <c r="B8596" s="4" t="n">
        <v>1</v>
      </c>
      <c r="C8596" s="4" t="inlineStr">
        <is>
          <t>whitetail</t>
        </is>
      </c>
      <c r="D8596" s="4" t="n">
        <v>2021</v>
      </c>
      <c r="E8596" s="13" t="inlineStr">
        <is>
          <t>General</t>
        </is>
      </c>
      <c r="F8596" s="5" t="n">
        <v>638</v>
      </c>
      <c r="G8596" s="5" t="n">
        <v>4400</v>
      </c>
      <c r="H8596" s="5" t="n">
        <v>152</v>
      </c>
      <c r="I8596" s="5" t="n">
        <v>136</v>
      </c>
      <c r="J8596" s="5" t="n">
        <v>16</v>
      </c>
      <c r="K8596" s="10">
        <f>IF(F8596&gt;0,H8596/F8596,"")</f>
        <v/>
      </c>
      <c r="L8596" s="16">
        <f>IF(AND(G8596&gt;0,H8596&gt;0),G8596/H8596,"")</f>
        <v/>
      </c>
    </row>
    <row r="8597">
      <c r="A8597" s="4" t="inlineStr">
        <is>
          <t>140</t>
        </is>
      </c>
      <c r="B8597" s="4" t="n">
        <v>1</v>
      </c>
      <c r="C8597" s="4" t="inlineStr">
        <is>
          <t>whitetail</t>
        </is>
      </c>
      <c r="D8597" s="4" t="n">
        <v>2022</v>
      </c>
      <c r="E8597" s="13" t="inlineStr">
        <is>
          <t>General</t>
        </is>
      </c>
      <c r="F8597" s="5" t="n"/>
      <c r="G8597" s="5" t="n"/>
      <c r="H8597" s="5" t="n">
        <v>105</v>
      </c>
      <c r="I8597" s="5" t="n">
        <v>102</v>
      </c>
      <c r="J8597" s="5" t="n">
        <v>3</v>
      </c>
      <c r="K8597" s="10">
        <f>IF(F8597&gt;0,H8597/F8597,"")</f>
        <v/>
      </c>
      <c r="L8597" s="16">
        <f>IF(AND(G8597&gt;0,H8597&gt;0),G8597/H8597,"")</f>
        <v/>
      </c>
    </row>
    <row r="8598">
      <c r="A8598" s="4" t="inlineStr">
        <is>
          <t>140</t>
        </is>
      </c>
      <c r="B8598" s="4" t="n">
        <v>1</v>
      </c>
      <c r="C8598" s="4" t="inlineStr">
        <is>
          <t>whitetail</t>
        </is>
      </c>
      <c r="D8598" s="4" t="n">
        <v>2023</v>
      </c>
      <c r="E8598" s="13" t="inlineStr">
        <is>
          <t>General</t>
        </is>
      </c>
      <c r="F8598" s="5" t="n">
        <v>628</v>
      </c>
      <c r="G8598" s="5" t="n">
        <v>4228</v>
      </c>
      <c r="H8598" s="5" t="n">
        <v>134</v>
      </c>
      <c r="I8598" s="5" t="n">
        <v>131</v>
      </c>
      <c r="J8598" s="5" t="n">
        <v>3</v>
      </c>
      <c r="K8598" s="10">
        <f>IF(F8598&gt;0,H8598/F8598,"")</f>
        <v/>
      </c>
      <c r="L8598" s="16">
        <f>IF(AND(G8598&gt;0,H8598&gt;0),G8598/H8598,"")</f>
        <v/>
      </c>
    </row>
    <row r="8599">
      <c r="A8599" s="4" t="inlineStr">
        <is>
          <t>140</t>
        </is>
      </c>
      <c r="B8599" s="4" t="n">
        <v>1</v>
      </c>
      <c r="C8599" s="4" t="inlineStr">
        <is>
          <t>whitetail</t>
        </is>
      </c>
      <c r="D8599" s="4" t="n">
        <v>2024</v>
      </c>
      <c r="E8599" s="13" t="inlineStr">
        <is>
          <t>General</t>
        </is>
      </c>
      <c r="F8599" s="5" t="n"/>
      <c r="G8599" s="5" t="n"/>
      <c r="H8599" s="5" t="n">
        <v>180</v>
      </c>
      <c r="I8599" s="5" t="n">
        <v>159</v>
      </c>
      <c r="J8599" s="5" t="n">
        <v>22</v>
      </c>
      <c r="K8599" s="10">
        <f>IF(F8599&gt;0,H8599/F8599,"")</f>
        <v/>
      </c>
      <c r="L8599" s="16">
        <f>IF(AND(G8599&gt;0,H8599&gt;0),G8599/H8599,"")</f>
        <v/>
      </c>
    </row>
    <row r="8600">
      <c r="A8600" s="4" t="inlineStr">
        <is>
          <t>140</t>
        </is>
      </c>
      <c r="B8600" s="4" t="n">
        <v>1</v>
      </c>
      <c r="C8600" s="4" t="inlineStr">
        <is>
          <t>whitetail</t>
        </is>
      </c>
      <c r="D8600" s="4" t="n">
        <v>2025</v>
      </c>
      <c r="E8600" s="13" t="inlineStr">
        <is>
          <t>General</t>
        </is>
      </c>
      <c r="F8600" s="5" t="n">
        <v>750</v>
      </c>
      <c r="G8600" s="5" t="n">
        <v>4851</v>
      </c>
      <c r="H8600" s="5" t="n">
        <v>124</v>
      </c>
      <c r="I8600" s="5" t="n">
        <v>120</v>
      </c>
      <c r="J8600" s="5" t="n">
        <v>4</v>
      </c>
      <c r="K8600" s="10">
        <f>IF(F8600&gt;0,H8600/F8600,"")</f>
        <v/>
      </c>
      <c r="L8600" s="16">
        <f>IF(AND(G8600&gt;0,H8600&gt;0),G8600/H8600,"")</f>
        <v/>
      </c>
    </row>
    <row r="8601">
      <c r="A8601" s="4" t="inlineStr">
        <is>
          <t>141</t>
        </is>
      </c>
      <c r="B8601" s="4" t="n">
        <v>1</v>
      </c>
      <c r="C8601" s="4" t="inlineStr">
        <is>
          <t>whitetail</t>
        </is>
      </c>
      <c r="D8601" s="4" t="n">
        <v>2004</v>
      </c>
      <c r="E8601" s="13" t="inlineStr">
        <is>
          <t>General</t>
        </is>
      </c>
      <c r="F8601" s="5" t="n">
        <v>173</v>
      </c>
      <c r="G8601" s="5" t="n">
        <v>1283</v>
      </c>
      <c r="H8601" s="5" t="n">
        <v>12</v>
      </c>
      <c r="I8601" s="5" t="n">
        <v>10</v>
      </c>
      <c r="J8601" s="5" t="n">
        <v>2</v>
      </c>
      <c r="K8601" s="10">
        <f>IF(F8601&gt;0,H8601/F8601,"")</f>
        <v/>
      </c>
      <c r="L8601" s="16">
        <f>IF(AND(G8601&gt;0,H8601&gt;0),G8601/H8601,"")</f>
        <v/>
      </c>
    </row>
    <row r="8602">
      <c r="A8602" s="4" t="inlineStr">
        <is>
          <t>141</t>
        </is>
      </c>
      <c r="B8602" s="4" t="n">
        <v>1</v>
      </c>
      <c r="C8602" s="4" t="inlineStr">
        <is>
          <t>whitetail</t>
        </is>
      </c>
      <c r="D8602" s="4" t="n">
        <v>2005</v>
      </c>
      <c r="E8602" s="13" t="inlineStr">
        <is>
          <t>General</t>
        </is>
      </c>
      <c r="F8602" s="5" t="n">
        <v>195</v>
      </c>
      <c r="G8602" s="5" t="n">
        <v>1311</v>
      </c>
      <c r="H8602" s="5" t="n">
        <v>26</v>
      </c>
      <c r="I8602" s="5" t="n">
        <v>19</v>
      </c>
      <c r="J8602" s="5" t="n">
        <v>7</v>
      </c>
      <c r="K8602" s="10">
        <f>IF(F8602&gt;0,H8602/F8602,"")</f>
        <v/>
      </c>
      <c r="L8602" s="16">
        <f>IF(AND(G8602&gt;0,H8602&gt;0),G8602/H8602,"")</f>
        <v/>
      </c>
    </row>
    <row r="8603">
      <c r="A8603" s="4" t="inlineStr">
        <is>
          <t>141</t>
        </is>
      </c>
      <c r="B8603" s="4" t="n">
        <v>1</v>
      </c>
      <c r="C8603" s="4" t="inlineStr">
        <is>
          <t>whitetail</t>
        </is>
      </c>
      <c r="D8603" s="4" t="n">
        <v>2006</v>
      </c>
      <c r="E8603" s="13" t="inlineStr">
        <is>
          <t>General</t>
        </is>
      </c>
      <c r="F8603" s="5" t="n">
        <v>138</v>
      </c>
      <c r="G8603" s="5" t="n">
        <v>1555</v>
      </c>
      <c r="H8603" s="5" t="n">
        <v>19</v>
      </c>
      <c r="I8603" s="5" t="n">
        <v>19</v>
      </c>
      <c r="J8603" s="5" t="n">
        <v>0</v>
      </c>
      <c r="K8603" s="10">
        <f>IF(F8603&gt;0,H8603/F8603,"")</f>
        <v/>
      </c>
      <c r="L8603" s="16">
        <f>IF(AND(G8603&gt;0,H8603&gt;0),G8603/H8603,"")</f>
        <v/>
      </c>
    </row>
    <row r="8604">
      <c r="A8604" s="4" t="inlineStr">
        <is>
          <t>141</t>
        </is>
      </c>
      <c r="B8604" s="4" t="n">
        <v>1</v>
      </c>
      <c r="C8604" s="4" t="inlineStr">
        <is>
          <t>whitetail</t>
        </is>
      </c>
      <c r="D8604" s="4" t="n">
        <v>2007</v>
      </c>
      <c r="E8604" s="13" t="inlineStr">
        <is>
          <t>General</t>
        </is>
      </c>
      <c r="F8604" s="5" t="n">
        <v>178</v>
      </c>
      <c r="G8604" s="5" t="n">
        <v>1329</v>
      </c>
      <c r="H8604" s="5" t="n">
        <v>10</v>
      </c>
      <c r="I8604" s="5" t="n">
        <v>5</v>
      </c>
      <c r="J8604" s="5" t="n">
        <v>5</v>
      </c>
      <c r="K8604" s="10">
        <f>IF(F8604&gt;0,H8604/F8604,"")</f>
        <v/>
      </c>
      <c r="L8604" s="16">
        <f>IF(AND(G8604&gt;0,H8604&gt;0),G8604/H8604,"")</f>
        <v/>
      </c>
    </row>
    <row r="8605">
      <c r="A8605" s="4" t="inlineStr">
        <is>
          <t>141</t>
        </is>
      </c>
      <c r="B8605" s="4" t="n">
        <v>1</v>
      </c>
      <c r="C8605" s="4" t="inlineStr">
        <is>
          <t>whitetail</t>
        </is>
      </c>
      <c r="D8605" s="4" t="n">
        <v>2008</v>
      </c>
      <c r="E8605" s="13" t="inlineStr">
        <is>
          <t>General</t>
        </is>
      </c>
      <c r="F8605" s="5" t="n">
        <v>171</v>
      </c>
      <c r="G8605" s="5" t="n">
        <v>1423</v>
      </c>
      <c r="H8605" s="5" t="n">
        <v>18</v>
      </c>
      <c r="I8605" s="5" t="n">
        <v>15</v>
      </c>
      <c r="J8605" s="5" t="n">
        <v>3</v>
      </c>
      <c r="K8605" s="10">
        <f>IF(F8605&gt;0,H8605/F8605,"")</f>
        <v/>
      </c>
      <c r="L8605" s="16">
        <f>IF(AND(G8605&gt;0,H8605&gt;0),G8605/H8605,"")</f>
        <v/>
      </c>
    </row>
    <row r="8606">
      <c r="A8606" s="4" t="inlineStr">
        <is>
          <t>141</t>
        </is>
      </c>
      <c r="B8606" s="4" t="n">
        <v>1</v>
      </c>
      <c r="C8606" s="4" t="inlineStr">
        <is>
          <t>whitetail</t>
        </is>
      </c>
      <c r="D8606" s="4" t="n">
        <v>2009</v>
      </c>
      <c r="E8606" s="13" t="inlineStr">
        <is>
          <t>General</t>
        </is>
      </c>
      <c r="F8606" s="5" t="n">
        <v>177</v>
      </c>
      <c r="G8606" s="5" t="n">
        <v>1297</v>
      </c>
      <c r="H8606" s="5" t="n">
        <v>3</v>
      </c>
      <c r="I8606" s="5" t="n">
        <v>3</v>
      </c>
      <c r="J8606" s="5" t="n">
        <v>0</v>
      </c>
      <c r="K8606" s="10">
        <f>IF(F8606&gt;0,H8606/F8606,"")</f>
        <v/>
      </c>
      <c r="L8606" s="16">
        <f>IF(AND(G8606&gt;0,H8606&gt;0),G8606/H8606,"")</f>
        <v/>
      </c>
    </row>
    <row r="8607">
      <c r="A8607" s="4" t="inlineStr">
        <is>
          <t>141</t>
        </is>
      </c>
      <c r="B8607" s="4" t="n">
        <v>1</v>
      </c>
      <c r="C8607" s="4" t="inlineStr">
        <is>
          <t>whitetail</t>
        </is>
      </c>
      <c r="D8607" s="4" t="n">
        <v>2010</v>
      </c>
      <c r="E8607" s="13" t="inlineStr">
        <is>
          <t>General</t>
        </is>
      </c>
      <c r="F8607" s="5" t="n">
        <v>141</v>
      </c>
      <c r="G8607" s="5" t="n">
        <v>788</v>
      </c>
      <c r="H8607" s="5" t="n">
        <v>12</v>
      </c>
      <c r="I8607" s="5" t="n">
        <v>6</v>
      </c>
      <c r="J8607" s="5" t="n">
        <v>3</v>
      </c>
      <c r="K8607" s="10">
        <f>IF(F8607&gt;0,H8607/F8607,"")</f>
        <v/>
      </c>
      <c r="L8607" s="16">
        <f>IF(AND(G8607&gt;0,H8607&gt;0),G8607/H8607,"")</f>
        <v/>
      </c>
    </row>
    <row r="8608">
      <c r="A8608" s="4" t="inlineStr">
        <is>
          <t>141</t>
        </is>
      </c>
      <c r="B8608" s="4" t="n">
        <v>1</v>
      </c>
      <c r="C8608" s="4" t="inlineStr">
        <is>
          <t>whitetail</t>
        </is>
      </c>
      <c r="D8608" s="4" t="n">
        <v>2011</v>
      </c>
      <c r="E8608" s="13" t="inlineStr">
        <is>
          <t>General</t>
        </is>
      </c>
      <c r="F8608" s="5" t="n">
        <v>123</v>
      </c>
      <c r="G8608" s="5" t="n">
        <v>765</v>
      </c>
      <c r="H8608" s="5" t="n">
        <v>11</v>
      </c>
      <c r="I8608" s="5" t="n">
        <v>11</v>
      </c>
      <c r="J8608" s="5" t="n">
        <v>0</v>
      </c>
      <c r="K8608" s="10">
        <f>IF(F8608&gt;0,H8608/F8608,"")</f>
        <v/>
      </c>
      <c r="L8608" s="16">
        <f>IF(AND(G8608&gt;0,H8608&gt;0),G8608/H8608,"")</f>
        <v/>
      </c>
    </row>
    <row r="8609">
      <c r="A8609" s="4" t="inlineStr">
        <is>
          <t>141</t>
        </is>
      </c>
      <c r="B8609" s="4" t="n">
        <v>1</v>
      </c>
      <c r="C8609" s="4" t="inlineStr">
        <is>
          <t>whitetail</t>
        </is>
      </c>
      <c r="D8609" s="4" t="n">
        <v>2012</v>
      </c>
      <c r="E8609" s="13" t="inlineStr">
        <is>
          <t>General</t>
        </is>
      </c>
      <c r="F8609" s="5" t="n"/>
      <c r="G8609" s="5" t="n"/>
      <c r="H8609" s="5" t="n">
        <v>3</v>
      </c>
      <c r="I8609" s="5" t="n">
        <v>3</v>
      </c>
      <c r="J8609" s="5" t="n">
        <v>0</v>
      </c>
      <c r="K8609" s="10">
        <f>IF(F8609&gt;0,H8609/F8609,"")</f>
        <v/>
      </c>
      <c r="L8609" s="16">
        <f>IF(AND(G8609&gt;0,H8609&gt;0),G8609/H8609,"")</f>
        <v/>
      </c>
    </row>
    <row r="8610">
      <c r="A8610" s="4" t="inlineStr">
        <is>
          <t>141</t>
        </is>
      </c>
      <c r="B8610" s="4" t="n">
        <v>1</v>
      </c>
      <c r="C8610" s="4" t="inlineStr">
        <is>
          <t>whitetail</t>
        </is>
      </c>
      <c r="D8610" s="4" t="n">
        <v>2013</v>
      </c>
      <c r="E8610" s="13" t="inlineStr">
        <is>
          <t>General</t>
        </is>
      </c>
      <c r="F8610" s="5" t="n">
        <v>125</v>
      </c>
      <c r="G8610" s="5" t="n">
        <v>809</v>
      </c>
      <c r="H8610" s="5" t="n">
        <v>11</v>
      </c>
      <c r="I8610" s="5" t="n">
        <v>11</v>
      </c>
      <c r="J8610" s="5" t="n">
        <v>0</v>
      </c>
      <c r="K8610" s="10">
        <f>IF(F8610&gt;0,H8610/F8610,"")</f>
        <v/>
      </c>
      <c r="L8610" s="16">
        <f>IF(AND(G8610&gt;0,H8610&gt;0),G8610/H8610,"")</f>
        <v/>
      </c>
    </row>
    <row r="8611">
      <c r="A8611" s="4" t="inlineStr">
        <is>
          <t>141</t>
        </is>
      </c>
      <c r="B8611" s="4" t="n">
        <v>1</v>
      </c>
      <c r="C8611" s="4" t="inlineStr">
        <is>
          <t>whitetail</t>
        </is>
      </c>
      <c r="D8611" s="4" t="n">
        <v>2014</v>
      </c>
      <c r="E8611" s="13" t="inlineStr">
        <is>
          <t>General</t>
        </is>
      </c>
      <c r="F8611" s="5" t="n"/>
      <c r="G8611" s="5" t="n"/>
      <c r="H8611" s="5" t="n">
        <v>9</v>
      </c>
      <c r="I8611" s="5" t="n">
        <v>9</v>
      </c>
      <c r="J8611" s="5" t="n">
        <v>0</v>
      </c>
      <c r="K8611" s="10">
        <f>IF(F8611&gt;0,H8611/F8611,"")</f>
        <v/>
      </c>
      <c r="L8611" s="16">
        <f>IF(AND(G8611&gt;0,H8611&gt;0),G8611/H8611,"")</f>
        <v/>
      </c>
    </row>
    <row r="8612">
      <c r="A8612" s="4" t="inlineStr">
        <is>
          <t>141</t>
        </is>
      </c>
      <c r="B8612" s="4" t="n">
        <v>1</v>
      </c>
      <c r="C8612" s="4" t="inlineStr">
        <is>
          <t>whitetail</t>
        </is>
      </c>
      <c r="D8612" s="4" t="n">
        <v>2015</v>
      </c>
      <c r="E8612" s="13" t="inlineStr">
        <is>
          <t>General</t>
        </is>
      </c>
      <c r="F8612" s="5" t="n"/>
      <c r="G8612" s="5" t="n"/>
      <c r="H8612" s="5" t="n">
        <v>6</v>
      </c>
      <c r="I8612" s="5" t="n">
        <v>6</v>
      </c>
      <c r="J8612" s="5" t="n">
        <v>0</v>
      </c>
      <c r="K8612" s="10">
        <f>IF(F8612&gt;0,H8612/F8612,"")</f>
        <v/>
      </c>
      <c r="L8612" s="16">
        <f>IF(AND(G8612&gt;0,H8612&gt;0),G8612/H8612,"")</f>
        <v/>
      </c>
    </row>
    <row r="8613">
      <c r="A8613" s="4" t="inlineStr">
        <is>
          <t>141</t>
        </is>
      </c>
      <c r="B8613" s="4" t="n">
        <v>1</v>
      </c>
      <c r="C8613" s="4" t="inlineStr">
        <is>
          <t>whitetail</t>
        </is>
      </c>
      <c r="D8613" s="4" t="n">
        <v>2016</v>
      </c>
      <c r="E8613" s="13" t="inlineStr">
        <is>
          <t>General</t>
        </is>
      </c>
      <c r="F8613" s="5" t="n"/>
      <c r="G8613" s="5" t="n"/>
      <c r="H8613" s="5" t="n">
        <v>3</v>
      </c>
      <c r="I8613" s="5" t="n">
        <v>3</v>
      </c>
      <c r="J8613" s="5" t="n">
        <v>0</v>
      </c>
      <c r="K8613" s="10">
        <f>IF(F8613&gt;0,H8613/F8613,"")</f>
        <v/>
      </c>
      <c r="L8613" s="16">
        <f>IF(AND(G8613&gt;0,H8613&gt;0),G8613/H8613,"")</f>
        <v/>
      </c>
    </row>
    <row r="8614">
      <c r="A8614" s="4" t="inlineStr">
        <is>
          <t>141</t>
        </is>
      </c>
      <c r="B8614" s="4" t="n">
        <v>1</v>
      </c>
      <c r="C8614" s="4" t="inlineStr">
        <is>
          <t>whitetail</t>
        </is>
      </c>
      <c r="D8614" s="4" t="n">
        <v>2017</v>
      </c>
      <c r="E8614" s="13" t="inlineStr">
        <is>
          <t>General</t>
        </is>
      </c>
      <c r="F8614" s="5" t="n">
        <v>86</v>
      </c>
      <c r="G8614" s="5" t="n">
        <v>686</v>
      </c>
      <c r="H8614" s="5" t="n">
        <v>24</v>
      </c>
      <c r="I8614" s="5" t="n">
        <v>18</v>
      </c>
      <c r="J8614" s="5" t="n">
        <v>6</v>
      </c>
      <c r="K8614" s="10">
        <f>IF(F8614&gt;0,H8614/F8614,"")</f>
        <v/>
      </c>
      <c r="L8614" s="16">
        <f>IF(AND(G8614&gt;0,H8614&gt;0),G8614/H8614,"")</f>
        <v/>
      </c>
    </row>
    <row r="8615">
      <c r="A8615" s="4" t="inlineStr">
        <is>
          <t>141</t>
        </is>
      </c>
      <c r="B8615" s="4" t="n">
        <v>1</v>
      </c>
      <c r="C8615" s="4" t="inlineStr">
        <is>
          <t>whitetail</t>
        </is>
      </c>
      <c r="D8615" s="4" t="n">
        <v>2018</v>
      </c>
      <c r="E8615" s="13" t="inlineStr">
        <is>
          <t>General</t>
        </is>
      </c>
      <c r="F8615" s="5" t="n"/>
      <c r="G8615" s="5" t="n"/>
      <c r="H8615" s="5" t="n">
        <v>10</v>
      </c>
      <c r="I8615" s="5" t="n">
        <v>6</v>
      </c>
      <c r="J8615" s="5" t="n">
        <v>3</v>
      </c>
      <c r="K8615" s="10">
        <f>IF(F8615&gt;0,H8615/F8615,"")</f>
        <v/>
      </c>
      <c r="L8615" s="16">
        <f>IF(AND(G8615&gt;0,H8615&gt;0),G8615/H8615,"")</f>
        <v/>
      </c>
    </row>
    <row r="8616">
      <c r="A8616" s="4" t="inlineStr">
        <is>
          <t>141</t>
        </is>
      </c>
      <c r="B8616" s="4" t="n">
        <v>1</v>
      </c>
      <c r="C8616" s="4" t="inlineStr">
        <is>
          <t>whitetail</t>
        </is>
      </c>
      <c r="D8616" s="4" t="n">
        <v>2019</v>
      </c>
      <c r="E8616" s="13" t="inlineStr">
        <is>
          <t>General</t>
        </is>
      </c>
      <c r="F8616" s="5" t="n">
        <v>73</v>
      </c>
      <c r="G8616" s="5" t="n">
        <v>632</v>
      </c>
      <c r="H8616" s="5" t="n">
        <v>10</v>
      </c>
      <c r="I8616" s="5" t="n">
        <v>10</v>
      </c>
      <c r="J8616" s="5" t="n">
        <v>0</v>
      </c>
      <c r="K8616" s="10">
        <f>IF(F8616&gt;0,H8616/F8616,"")</f>
        <v/>
      </c>
      <c r="L8616" s="16">
        <f>IF(AND(G8616&gt;0,H8616&gt;0),G8616/H8616,"")</f>
        <v/>
      </c>
    </row>
    <row r="8617">
      <c r="A8617" s="4" t="inlineStr">
        <is>
          <t>141</t>
        </is>
      </c>
      <c r="B8617" s="4" t="n">
        <v>1</v>
      </c>
      <c r="C8617" s="4" t="inlineStr">
        <is>
          <t>whitetail</t>
        </is>
      </c>
      <c r="D8617" s="4" t="n">
        <v>2020</v>
      </c>
      <c r="E8617" s="13" t="inlineStr">
        <is>
          <t>General</t>
        </is>
      </c>
      <c r="F8617" s="5" t="n"/>
      <c r="G8617" s="5" t="n"/>
      <c r="H8617" s="5" t="n">
        <v>7</v>
      </c>
      <c r="I8617" s="5" t="n">
        <v>7</v>
      </c>
      <c r="J8617" s="5" t="n">
        <v>0</v>
      </c>
      <c r="K8617" s="10">
        <f>IF(F8617&gt;0,H8617/F8617,"")</f>
        <v/>
      </c>
      <c r="L8617" s="16">
        <f>IF(AND(G8617&gt;0,H8617&gt;0),G8617/H8617,"")</f>
        <v/>
      </c>
    </row>
    <row r="8618">
      <c r="A8618" s="4" t="inlineStr">
        <is>
          <t>141</t>
        </is>
      </c>
      <c r="B8618" s="4" t="n">
        <v>1</v>
      </c>
      <c r="C8618" s="4" t="inlineStr">
        <is>
          <t>whitetail</t>
        </is>
      </c>
      <c r="D8618" s="4" t="n">
        <v>2021</v>
      </c>
      <c r="E8618" s="13" t="inlineStr">
        <is>
          <t>General</t>
        </is>
      </c>
      <c r="F8618" s="5" t="n">
        <v>81</v>
      </c>
      <c r="G8618" s="5" t="n">
        <v>694</v>
      </c>
      <c r="H8618" s="5" t="n">
        <v>8</v>
      </c>
      <c r="I8618" s="5" t="n">
        <v>8</v>
      </c>
      <c r="J8618" s="5" t="n">
        <v>0</v>
      </c>
      <c r="K8618" s="10">
        <f>IF(F8618&gt;0,H8618/F8618,"")</f>
        <v/>
      </c>
      <c r="L8618" s="16">
        <f>IF(AND(G8618&gt;0,H8618&gt;0),G8618/H8618,"")</f>
        <v/>
      </c>
    </row>
    <row r="8619">
      <c r="A8619" s="4" t="inlineStr">
        <is>
          <t>141</t>
        </is>
      </c>
      <c r="B8619" s="4" t="n">
        <v>1</v>
      </c>
      <c r="C8619" s="4" t="inlineStr">
        <is>
          <t>whitetail</t>
        </is>
      </c>
      <c r="D8619" s="4" t="n">
        <v>2022</v>
      </c>
      <c r="E8619" s="13" t="inlineStr">
        <is>
          <t>General</t>
        </is>
      </c>
      <c r="F8619" s="5" t="n"/>
      <c r="G8619" s="5" t="n"/>
      <c r="H8619" s="5" t="n">
        <v>3</v>
      </c>
      <c r="I8619" s="5" t="n">
        <v>0</v>
      </c>
      <c r="J8619" s="5" t="n">
        <v>3</v>
      </c>
      <c r="K8619" s="10">
        <f>IF(F8619&gt;0,H8619/F8619,"")</f>
        <v/>
      </c>
      <c r="L8619" s="16">
        <f>IF(AND(G8619&gt;0,H8619&gt;0),G8619/H8619,"")</f>
        <v/>
      </c>
    </row>
    <row r="8620">
      <c r="A8620" s="4" t="inlineStr">
        <is>
          <t>141</t>
        </is>
      </c>
      <c r="B8620" s="4" t="n">
        <v>1</v>
      </c>
      <c r="C8620" s="4" t="inlineStr">
        <is>
          <t>whitetail</t>
        </is>
      </c>
      <c r="D8620" s="4" t="n">
        <v>2023</v>
      </c>
      <c r="E8620" s="13" t="inlineStr">
        <is>
          <t>General</t>
        </is>
      </c>
      <c r="F8620" s="5" t="n">
        <v>74</v>
      </c>
      <c r="G8620" s="5" t="n">
        <v>390</v>
      </c>
      <c r="H8620" s="5" t="n">
        <v>7</v>
      </c>
      <c r="I8620" s="5" t="n">
        <v>7</v>
      </c>
      <c r="J8620" s="5" t="n">
        <v>0</v>
      </c>
      <c r="K8620" s="10">
        <f>IF(F8620&gt;0,H8620/F8620,"")</f>
        <v/>
      </c>
      <c r="L8620" s="16">
        <f>IF(AND(G8620&gt;0,H8620&gt;0),G8620/H8620,"")</f>
        <v/>
      </c>
    </row>
    <row r="8621">
      <c r="A8621" s="4" t="inlineStr">
        <is>
          <t>141</t>
        </is>
      </c>
      <c r="B8621" s="4" t="n">
        <v>1</v>
      </c>
      <c r="C8621" s="4" t="inlineStr">
        <is>
          <t>whitetail</t>
        </is>
      </c>
      <c r="D8621" s="4" t="n">
        <v>2024</v>
      </c>
      <c r="E8621" s="13" t="inlineStr">
        <is>
          <t>General</t>
        </is>
      </c>
      <c r="F8621" s="5" t="n"/>
      <c r="G8621" s="5" t="n"/>
      <c r="H8621" s="5" t="n">
        <v>19</v>
      </c>
      <c r="I8621" s="5" t="n">
        <v>16</v>
      </c>
      <c r="J8621" s="5" t="n">
        <v>0</v>
      </c>
      <c r="K8621" s="10">
        <f>IF(F8621&gt;0,H8621/F8621,"")</f>
        <v/>
      </c>
      <c r="L8621" s="16">
        <f>IF(AND(G8621&gt;0,H8621&gt;0),G8621/H8621,"")</f>
        <v/>
      </c>
    </row>
    <row r="8622">
      <c r="A8622" s="4" t="inlineStr">
        <is>
          <t>141</t>
        </is>
      </c>
      <c r="B8622" s="4" t="n">
        <v>1</v>
      </c>
      <c r="C8622" s="4" t="inlineStr">
        <is>
          <t>whitetail</t>
        </is>
      </c>
      <c r="D8622" s="4" t="n">
        <v>2025</v>
      </c>
      <c r="E8622" s="13" t="inlineStr">
        <is>
          <t>General</t>
        </is>
      </c>
      <c r="F8622" s="5" t="n">
        <v>139</v>
      </c>
      <c r="G8622" s="5" t="n">
        <v>1103</v>
      </c>
      <c r="H8622" s="5" t="n">
        <v>18</v>
      </c>
      <c r="I8622" s="5" t="n">
        <v>18</v>
      </c>
      <c r="J8622" s="5" t="n">
        <v>0</v>
      </c>
      <c r="K8622" s="10">
        <f>IF(F8622&gt;0,H8622/F8622,"")</f>
        <v/>
      </c>
      <c r="L8622" s="16">
        <f>IF(AND(G8622&gt;0,H8622&gt;0),G8622/H8622,"")</f>
        <v/>
      </c>
    </row>
    <row r="8623">
      <c r="A8623" s="4" t="inlineStr">
        <is>
          <t>150</t>
        </is>
      </c>
      <c r="B8623" s="4" t="n">
        <v>1</v>
      </c>
      <c r="C8623" s="4" t="inlineStr">
        <is>
          <t>whitetail</t>
        </is>
      </c>
      <c r="D8623" s="4" t="n">
        <v>2004</v>
      </c>
      <c r="E8623" s="13" t="inlineStr">
        <is>
          <t>General</t>
        </is>
      </c>
      <c r="F8623" s="5" t="n">
        <v>270</v>
      </c>
      <c r="G8623" s="5" t="n">
        <v>1860</v>
      </c>
      <c r="H8623" s="5" t="n">
        <v>19</v>
      </c>
      <c r="I8623" s="5" t="n">
        <v>15</v>
      </c>
      <c r="J8623" s="5" t="n">
        <v>4</v>
      </c>
      <c r="K8623" s="10">
        <f>IF(F8623&gt;0,H8623/F8623,"")</f>
        <v/>
      </c>
      <c r="L8623" s="16">
        <f>IF(AND(G8623&gt;0,H8623&gt;0),G8623/H8623,"")</f>
        <v/>
      </c>
    </row>
    <row r="8624">
      <c r="A8624" s="4" t="inlineStr">
        <is>
          <t>150</t>
        </is>
      </c>
      <c r="B8624" s="4" t="n">
        <v>1</v>
      </c>
      <c r="C8624" s="4" t="inlineStr">
        <is>
          <t>whitetail</t>
        </is>
      </c>
      <c r="D8624" s="4" t="n">
        <v>2005</v>
      </c>
      <c r="E8624" s="13" t="inlineStr">
        <is>
          <t>General</t>
        </is>
      </c>
      <c r="F8624" s="5" t="n">
        <v>506</v>
      </c>
      <c r="G8624" s="5" t="n">
        <v>3582</v>
      </c>
      <c r="H8624" s="5" t="n">
        <v>54</v>
      </c>
      <c r="I8624" s="5" t="n">
        <v>54</v>
      </c>
      <c r="J8624" s="5" t="n">
        <v>0</v>
      </c>
      <c r="K8624" s="10">
        <f>IF(F8624&gt;0,H8624/F8624,"")</f>
        <v/>
      </c>
      <c r="L8624" s="16">
        <f>IF(AND(G8624&gt;0,H8624&gt;0),G8624/H8624,"")</f>
        <v/>
      </c>
    </row>
    <row r="8625">
      <c r="A8625" s="4" t="inlineStr">
        <is>
          <t>150</t>
        </is>
      </c>
      <c r="B8625" s="4" t="n">
        <v>1</v>
      </c>
      <c r="C8625" s="4" t="inlineStr">
        <is>
          <t>whitetail</t>
        </is>
      </c>
      <c r="D8625" s="4" t="n">
        <v>2006</v>
      </c>
      <c r="E8625" s="13" t="inlineStr">
        <is>
          <t>General</t>
        </is>
      </c>
      <c r="F8625" s="5" t="n">
        <v>622</v>
      </c>
      <c r="G8625" s="5" t="n">
        <v>4381</v>
      </c>
      <c r="H8625" s="5" t="n">
        <v>56</v>
      </c>
      <c r="I8625" s="5" t="n">
        <v>41</v>
      </c>
      <c r="J8625" s="5" t="n">
        <v>15</v>
      </c>
      <c r="K8625" s="10">
        <f>IF(F8625&gt;0,H8625/F8625,"")</f>
        <v/>
      </c>
      <c r="L8625" s="16">
        <f>IF(AND(G8625&gt;0,H8625&gt;0),G8625/H8625,"")</f>
        <v/>
      </c>
    </row>
    <row r="8626">
      <c r="A8626" s="4" t="inlineStr">
        <is>
          <t>150</t>
        </is>
      </c>
      <c r="B8626" s="4" t="n">
        <v>1</v>
      </c>
      <c r="C8626" s="4" t="inlineStr">
        <is>
          <t>whitetail</t>
        </is>
      </c>
      <c r="D8626" s="4" t="n">
        <v>2007</v>
      </c>
      <c r="E8626" s="13" t="inlineStr">
        <is>
          <t>General</t>
        </is>
      </c>
      <c r="F8626" s="5" t="n">
        <v>387</v>
      </c>
      <c r="G8626" s="5" t="n">
        <v>2513</v>
      </c>
      <c r="H8626" s="5" t="n">
        <v>36</v>
      </c>
      <c r="I8626" s="5" t="n">
        <v>31</v>
      </c>
      <c r="J8626" s="5" t="n">
        <v>5</v>
      </c>
      <c r="K8626" s="10">
        <f>IF(F8626&gt;0,H8626/F8626,"")</f>
        <v/>
      </c>
      <c r="L8626" s="16">
        <f>IF(AND(G8626&gt;0,H8626&gt;0),G8626/H8626,"")</f>
        <v/>
      </c>
    </row>
    <row r="8627">
      <c r="A8627" s="4" t="inlineStr">
        <is>
          <t>150</t>
        </is>
      </c>
      <c r="B8627" s="4" t="n">
        <v>1</v>
      </c>
      <c r="C8627" s="4" t="inlineStr">
        <is>
          <t>whitetail</t>
        </is>
      </c>
      <c r="D8627" s="4" t="n">
        <v>2008</v>
      </c>
      <c r="E8627" s="13" t="inlineStr">
        <is>
          <t>General</t>
        </is>
      </c>
      <c r="F8627" s="5" t="n">
        <v>361</v>
      </c>
      <c r="G8627" s="5" t="n">
        <v>2517</v>
      </c>
      <c r="H8627" s="5" t="n">
        <v>35</v>
      </c>
      <c r="I8627" s="5" t="n">
        <v>26</v>
      </c>
      <c r="J8627" s="5" t="n">
        <v>9</v>
      </c>
      <c r="K8627" s="10">
        <f>IF(F8627&gt;0,H8627/F8627,"")</f>
        <v/>
      </c>
      <c r="L8627" s="16">
        <f>IF(AND(G8627&gt;0,H8627&gt;0),G8627/H8627,"")</f>
        <v/>
      </c>
    </row>
    <row r="8628">
      <c r="A8628" s="4" t="inlineStr">
        <is>
          <t>150</t>
        </is>
      </c>
      <c r="B8628" s="4" t="n">
        <v>1</v>
      </c>
      <c r="C8628" s="4" t="inlineStr">
        <is>
          <t>whitetail</t>
        </is>
      </c>
      <c r="D8628" s="4" t="n">
        <v>2009</v>
      </c>
      <c r="E8628" s="13" t="inlineStr">
        <is>
          <t>General</t>
        </is>
      </c>
      <c r="F8628" s="5" t="n">
        <v>274</v>
      </c>
      <c r="G8628" s="5" t="n">
        <v>1761</v>
      </c>
      <c r="H8628" s="5" t="n">
        <v>11</v>
      </c>
      <c r="I8628" s="5" t="n">
        <v>11</v>
      </c>
      <c r="J8628" s="5" t="n">
        <v>0</v>
      </c>
      <c r="K8628" s="10">
        <f>IF(F8628&gt;0,H8628/F8628,"")</f>
        <v/>
      </c>
      <c r="L8628" s="16">
        <f>IF(AND(G8628&gt;0,H8628&gt;0),G8628/H8628,"")</f>
        <v/>
      </c>
    </row>
    <row r="8629">
      <c r="A8629" s="4" t="inlineStr">
        <is>
          <t>150</t>
        </is>
      </c>
      <c r="B8629" s="4" t="n">
        <v>1</v>
      </c>
      <c r="C8629" s="4" t="inlineStr">
        <is>
          <t>whitetail</t>
        </is>
      </c>
      <c r="D8629" s="4" t="n">
        <v>2010</v>
      </c>
      <c r="E8629" s="13" t="inlineStr">
        <is>
          <t>General</t>
        </is>
      </c>
      <c r="F8629" s="5" t="n">
        <v>295</v>
      </c>
      <c r="G8629" s="5" t="n">
        <v>2292</v>
      </c>
      <c r="H8629" s="5" t="n">
        <v>28</v>
      </c>
      <c r="I8629" s="5" t="n">
        <v>28</v>
      </c>
      <c r="J8629" s="5" t="n">
        <v>0</v>
      </c>
      <c r="K8629" s="10">
        <f>IF(F8629&gt;0,H8629/F8629,"")</f>
        <v/>
      </c>
      <c r="L8629" s="16">
        <f>IF(AND(G8629&gt;0,H8629&gt;0),G8629/H8629,"")</f>
        <v/>
      </c>
    </row>
    <row r="8630">
      <c r="A8630" s="4" t="inlineStr">
        <is>
          <t>150</t>
        </is>
      </c>
      <c r="B8630" s="4" t="n">
        <v>1</v>
      </c>
      <c r="C8630" s="4" t="inlineStr">
        <is>
          <t>whitetail</t>
        </is>
      </c>
      <c r="D8630" s="4" t="n">
        <v>2011</v>
      </c>
      <c r="E8630" s="13" t="inlineStr">
        <is>
          <t>General</t>
        </is>
      </c>
      <c r="F8630" s="5" t="n">
        <v>271</v>
      </c>
      <c r="G8630" s="5" t="n">
        <v>1768</v>
      </c>
      <c r="H8630" s="5" t="n">
        <v>20</v>
      </c>
      <c r="I8630" s="5" t="n">
        <v>18</v>
      </c>
      <c r="J8630" s="5" t="n">
        <v>3</v>
      </c>
      <c r="K8630" s="10">
        <f>IF(F8630&gt;0,H8630/F8630,"")</f>
        <v/>
      </c>
      <c r="L8630" s="16">
        <f>IF(AND(G8630&gt;0,H8630&gt;0),G8630/H8630,"")</f>
        <v/>
      </c>
    </row>
    <row r="8631">
      <c r="A8631" s="4" t="inlineStr">
        <is>
          <t>150</t>
        </is>
      </c>
      <c r="B8631" s="4" t="n">
        <v>1</v>
      </c>
      <c r="C8631" s="4" t="inlineStr">
        <is>
          <t>whitetail</t>
        </is>
      </c>
      <c r="D8631" s="4" t="n">
        <v>2012</v>
      </c>
      <c r="E8631" s="13" t="inlineStr">
        <is>
          <t>General</t>
        </is>
      </c>
      <c r="F8631" s="5" t="n"/>
      <c r="G8631" s="5" t="n"/>
      <c r="H8631" s="5" t="n">
        <v>42</v>
      </c>
      <c r="I8631" s="5" t="n">
        <v>42</v>
      </c>
      <c r="J8631" s="5" t="n">
        <v>0</v>
      </c>
      <c r="K8631" s="10">
        <f>IF(F8631&gt;0,H8631/F8631,"")</f>
        <v/>
      </c>
      <c r="L8631" s="16">
        <f>IF(AND(G8631&gt;0,H8631&gt;0),G8631/H8631,"")</f>
        <v/>
      </c>
    </row>
    <row r="8632">
      <c r="A8632" s="4" t="inlineStr">
        <is>
          <t>150</t>
        </is>
      </c>
      <c r="B8632" s="4" t="n">
        <v>1</v>
      </c>
      <c r="C8632" s="4" t="inlineStr">
        <is>
          <t>whitetail</t>
        </is>
      </c>
      <c r="D8632" s="4" t="n">
        <v>2013</v>
      </c>
      <c r="E8632" s="13" t="inlineStr">
        <is>
          <t>General</t>
        </is>
      </c>
      <c r="F8632" s="5" t="n">
        <v>440</v>
      </c>
      <c r="G8632" s="5" t="n">
        <v>3083</v>
      </c>
      <c r="H8632" s="5" t="n">
        <v>42</v>
      </c>
      <c r="I8632" s="5" t="n">
        <v>36</v>
      </c>
      <c r="J8632" s="5" t="n">
        <v>6</v>
      </c>
      <c r="K8632" s="10">
        <f>IF(F8632&gt;0,H8632/F8632,"")</f>
        <v/>
      </c>
      <c r="L8632" s="16">
        <f>IF(AND(G8632&gt;0,H8632&gt;0),G8632/H8632,"")</f>
        <v/>
      </c>
    </row>
    <row r="8633">
      <c r="A8633" s="4" t="inlineStr">
        <is>
          <t>150</t>
        </is>
      </c>
      <c r="B8633" s="4" t="n">
        <v>1</v>
      </c>
      <c r="C8633" s="4" t="inlineStr">
        <is>
          <t>whitetail</t>
        </is>
      </c>
      <c r="D8633" s="4" t="n">
        <v>2014</v>
      </c>
      <c r="E8633" s="13" t="inlineStr">
        <is>
          <t>General</t>
        </is>
      </c>
      <c r="F8633" s="5" t="n"/>
      <c r="G8633" s="5" t="n"/>
      <c r="H8633" s="5" t="n">
        <v>20</v>
      </c>
      <c r="I8633" s="5" t="n">
        <v>20</v>
      </c>
      <c r="J8633" s="5" t="n">
        <v>0</v>
      </c>
      <c r="K8633" s="10">
        <f>IF(F8633&gt;0,H8633/F8633,"")</f>
        <v/>
      </c>
      <c r="L8633" s="16">
        <f>IF(AND(G8633&gt;0,H8633&gt;0),G8633/H8633,"")</f>
        <v/>
      </c>
    </row>
    <row r="8634">
      <c r="A8634" s="4" t="inlineStr">
        <is>
          <t>150</t>
        </is>
      </c>
      <c r="B8634" s="4" t="n">
        <v>1</v>
      </c>
      <c r="C8634" s="4" t="inlineStr">
        <is>
          <t>whitetail</t>
        </is>
      </c>
      <c r="D8634" s="4" t="n">
        <v>2015</v>
      </c>
      <c r="E8634" s="13" t="inlineStr">
        <is>
          <t>General</t>
        </is>
      </c>
      <c r="F8634" s="5" t="n"/>
      <c r="G8634" s="5" t="n"/>
      <c r="H8634" s="5" t="n">
        <v>6</v>
      </c>
      <c r="I8634" s="5" t="n">
        <v>6</v>
      </c>
      <c r="J8634" s="5" t="n">
        <v>0</v>
      </c>
      <c r="K8634" s="10">
        <f>IF(F8634&gt;0,H8634/F8634,"")</f>
        <v/>
      </c>
      <c r="L8634" s="16">
        <f>IF(AND(G8634&gt;0,H8634&gt;0),G8634/H8634,"")</f>
        <v/>
      </c>
    </row>
    <row r="8635">
      <c r="A8635" s="4" t="inlineStr">
        <is>
          <t>150</t>
        </is>
      </c>
      <c r="B8635" s="4" t="n">
        <v>1</v>
      </c>
      <c r="C8635" s="4" t="inlineStr">
        <is>
          <t>whitetail</t>
        </is>
      </c>
      <c r="D8635" s="4" t="n">
        <v>2016</v>
      </c>
      <c r="E8635" s="13" t="inlineStr">
        <is>
          <t>General</t>
        </is>
      </c>
      <c r="F8635" s="5" t="n"/>
      <c r="G8635" s="5" t="n"/>
      <c r="H8635" s="5" t="n">
        <v>41</v>
      </c>
      <c r="I8635" s="5" t="n">
        <v>38</v>
      </c>
      <c r="J8635" s="5" t="n">
        <v>3</v>
      </c>
      <c r="K8635" s="10">
        <f>IF(F8635&gt;0,H8635/F8635,"")</f>
        <v/>
      </c>
      <c r="L8635" s="16">
        <f>IF(AND(G8635&gt;0,H8635&gt;0),G8635/H8635,"")</f>
        <v/>
      </c>
    </row>
    <row r="8636">
      <c r="A8636" s="4" t="inlineStr">
        <is>
          <t>150</t>
        </is>
      </c>
      <c r="B8636" s="4" t="n">
        <v>1</v>
      </c>
      <c r="C8636" s="4" t="inlineStr">
        <is>
          <t>whitetail</t>
        </is>
      </c>
      <c r="D8636" s="4" t="n">
        <v>2017</v>
      </c>
      <c r="E8636" s="13" t="inlineStr">
        <is>
          <t>General</t>
        </is>
      </c>
      <c r="F8636" s="5" t="n">
        <v>174</v>
      </c>
      <c r="G8636" s="5" t="n">
        <v>1013</v>
      </c>
      <c r="H8636" s="5" t="n">
        <v>14</v>
      </c>
      <c r="I8636" s="5" t="n">
        <v>14</v>
      </c>
      <c r="J8636" s="5" t="n">
        <v>0</v>
      </c>
      <c r="K8636" s="10">
        <f>IF(F8636&gt;0,H8636/F8636,"")</f>
        <v/>
      </c>
      <c r="L8636" s="16">
        <f>IF(AND(G8636&gt;0,H8636&gt;0),G8636/H8636,"")</f>
        <v/>
      </c>
    </row>
    <row r="8637">
      <c r="A8637" s="4" t="inlineStr">
        <is>
          <t>150</t>
        </is>
      </c>
      <c r="B8637" s="4" t="n">
        <v>1</v>
      </c>
      <c r="C8637" s="4" t="inlineStr">
        <is>
          <t>whitetail</t>
        </is>
      </c>
      <c r="D8637" s="4" t="n">
        <v>2018</v>
      </c>
      <c r="E8637" s="13" t="inlineStr">
        <is>
          <t>General</t>
        </is>
      </c>
      <c r="F8637" s="5" t="n"/>
      <c r="G8637" s="5" t="n"/>
      <c r="H8637" s="5" t="n">
        <v>13</v>
      </c>
      <c r="I8637" s="5" t="n">
        <v>13</v>
      </c>
      <c r="J8637" s="5" t="n">
        <v>0</v>
      </c>
      <c r="K8637" s="10">
        <f>IF(F8637&gt;0,H8637/F8637,"")</f>
        <v/>
      </c>
      <c r="L8637" s="16">
        <f>IF(AND(G8637&gt;0,H8637&gt;0),G8637/H8637,"")</f>
        <v/>
      </c>
    </row>
    <row r="8638">
      <c r="A8638" s="4" t="inlineStr">
        <is>
          <t>150</t>
        </is>
      </c>
      <c r="B8638" s="4" t="n">
        <v>1</v>
      </c>
      <c r="C8638" s="4" t="inlineStr">
        <is>
          <t>whitetail</t>
        </is>
      </c>
      <c r="D8638" s="4" t="n">
        <v>2019</v>
      </c>
      <c r="E8638" s="13" t="inlineStr">
        <is>
          <t>General</t>
        </is>
      </c>
      <c r="F8638" s="5" t="n">
        <v>195</v>
      </c>
      <c r="G8638" s="5" t="n">
        <v>1325</v>
      </c>
      <c r="H8638" s="5" t="n">
        <v>21</v>
      </c>
      <c r="I8638" s="5" t="n">
        <v>18</v>
      </c>
      <c r="J8638" s="5" t="n">
        <v>3</v>
      </c>
      <c r="K8638" s="10">
        <f>IF(F8638&gt;0,H8638/F8638,"")</f>
        <v/>
      </c>
      <c r="L8638" s="16">
        <f>IF(AND(G8638&gt;0,H8638&gt;0),G8638/H8638,"")</f>
        <v/>
      </c>
    </row>
    <row r="8639">
      <c r="A8639" s="4" t="inlineStr">
        <is>
          <t>150</t>
        </is>
      </c>
      <c r="B8639" s="4" t="n">
        <v>1</v>
      </c>
      <c r="C8639" s="4" t="inlineStr">
        <is>
          <t>whitetail</t>
        </is>
      </c>
      <c r="D8639" s="4" t="n">
        <v>2020</v>
      </c>
      <c r="E8639" s="13" t="inlineStr">
        <is>
          <t>General</t>
        </is>
      </c>
      <c r="F8639" s="5" t="n"/>
      <c r="G8639" s="5" t="n"/>
      <c r="H8639" s="5" t="n">
        <v>10</v>
      </c>
      <c r="I8639" s="5" t="n">
        <v>10</v>
      </c>
      <c r="J8639" s="5" t="n">
        <v>0</v>
      </c>
      <c r="K8639" s="10">
        <f>IF(F8639&gt;0,H8639/F8639,"")</f>
        <v/>
      </c>
      <c r="L8639" s="16">
        <f>IF(AND(G8639&gt;0,H8639&gt;0),G8639/H8639,"")</f>
        <v/>
      </c>
    </row>
    <row r="8640">
      <c r="A8640" s="4" t="inlineStr">
        <is>
          <t>150</t>
        </is>
      </c>
      <c r="B8640" s="4" t="n">
        <v>1</v>
      </c>
      <c r="C8640" s="4" t="inlineStr">
        <is>
          <t>whitetail</t>
        </is>
      </c>
      <c r="D8640" s="4" t="n">
        <v>2021</v>
      </c>
      <c r="E8640" s="13" t="inlineStr">
        <is>
          <t>General</t>
        </is>
      </c>
      <c r="F8640" s="5" t="n">
        <v>138</v>
      </c>
      <c r="G8640" s="5" t="n">
        <v>1096</v>
      </c>
      <c r="H8640" s="5" t="n">
        <v>20</v>
      </c>
      <c r="I8640" s="5" t="n">
        <v>16</v>
      </c>
      <c r="J8640" s="5" t="n">
        <v>4</v>
      </c>
      <c r="K8640" s="10">
        <f>IF(F8640&gt;0,H8640/F8640,"")</f>
        <v/>
      </c>
      <c r="L8640" s="16">
        <f>IF(AND(G8640&gt;0,H8640&gt;0),G8640/H8640,"")</f>
        <v/>
      </c>
    </row>
    <row r="8641">
      <c r="A8641" s="4" t="inlineStr">
        <is>
          <t>150</t>
        </is>
      </c>
      <c r="B8641" s="4" t="n">
        <v>1</v>
      </c>
      <c r="C8641" s="4" t="inlineStr">
        <is>
          <t>whitetail</t>
        </is>
      </c>
      <c r="D8641" s="4" t="n">
        <v>2022</v>
      </c>
      <c r="E8641" s="13" t="inlineStr">
        <is>
          <t>General</t>
        </is>
      </c>
      <c r="F8641" s="5" t="n"/>
      <c r="G8641" s="5" t="n"/>
      <c r="H8641" s="5" t="n">
        <v>30</v>
      </c>
      <c r="I8641" s="5" t="n">
        <v>30</v>
      </c>
      <c r="J8641" s="5" t="n">
        <v>0</v>
      </c>
      <c r="K8641" s="10">
        <f>IF(F8641&gt;0,H8641/F8641,"")</f>
        <v/>
      </c>
      <c r="L8641" s="16">
        <f>IF(AND(G8641&gt;0,H8641&gt;0),G8641/H8641,"")</f>
        <v/>
      </c>
    </row>
    <row r="8642">
      <c r="A8642" s="4" t="inlineStr">
        <is>
          <t>150</t>
        </is>
      </c>
      <c r="B8642" s="4" t="n">
        <v>1</v>
      </c>
      <c r="C8642" s="4" t="inlineStr">
        <is>
          <t>whitetail</t>
        </is>
      </c>
      <c r="D8642" s="4" t="n">
        <v>2023</v>
      </c>
      <c r="E8642" s="13" t="inlineStr">
        <is>
          <t>General</t>
        </is>
      </c>
      <c r="F8642" s="5" t="n">
        <v>205</v>
      </c>
      <c r="G8642" s="5" t="n">
        <v>1388</v>
      </c>
      <c r="H8642" s="5" t="n">
        <v>23</v>
      </c>
      <c r="I8642" s="5" t="n">
        <v>23</v>
      </c>
      <c r="J8642" s="5" t="n">
        <v>0</v>
      </c>
      <c r="K8642" s="10">
        <f>IF(F8642&gt;0,H8642/F8642,"")</f>
        <v/>
      </c>
      <c r="L8642" s="16">
        <f>IF(AND(G8642&gt;0,H8642&gt;0),G8642/H8642,"")</f>
        <v/>
      </c>
    </row>
    <row r="8643">
      <c r="A8643" s="4" t="inlineStr">
        <is>
          <t>150</t>
        </is>
      </c>
      <c r="B8643" s="4" t="n">
        <v>1</v>
      </c>
      <c r="C8643" s="4" t="inlineStr">
        <is>
          <t>whitetail</t>
        </is>
      </c>
      <c r="D8643" s="4" t="n">
        <v>2024</v>
      </c>
      <c r="E8643" s="13" t="inlineStr">
        <is>
          <t>General</t>
        </is>
      </c>
      <c r="F8643" s="5" t="n"/>
      <c r="G8643" s="5" t="n"/>
      <c r="H8643" s="5" t="n">
        <v>9</v>
      </c>
      <c r="I8643" s="5" t="n">
        <v>9</v>
      </c>
      <c r="J8643" s="5" t="n">
        <v>0</v>
      </c>
      <c r="K8643" s="10">
        <f>IF(F8643&gt;0,H8643/F8643,"")</f>
        <v/>
      </c>
      <c r="L8643" s="16">
        <f>IF(AND(G8643&gt;0,H8643&gt;0),G8643/H8643,"")</f>
        <v/>
      </c>
    </row>
    <row r="8644">
      <c r="A8644" s="4" t="inlineStr">
        <is>
          <t>150</t>
        </is>
      </c>
      <c r="B8644" s="4" t="n">
        <v>1</v>
      </c>
      <c r="C8644" s="4" t="inlineStr">
        <is>
          <t>whitetail</t>
        </is>
      </c>
      <c r="D8644" s="4" t="n">
        <v>2025</v>
      </c>
      <c r="E8644" s="13" t="inlineStr">
        <is>
          <t>General</t>
        </is>
      </c>
      <c r="F8644" s="5" t="n">
        <v>275</v>
      </c>
      <c r="G8644" s="5" t="n">
        <v>1747</v>
      </c>
      <c r="H8644" s="5" t="n">
        <v>34</v>
      </c>
      <c r="I8644" s="5" t="n">
        <v>31</v>
      </c>
      <c r="J8644" s="5" t="n">
        <v>0</v>
      </c>
      <c r="K8644" s="10">
        <f>IF(F8644&gt;0,H8644/F8644,"")</f>
        <v/>
      </c>
      <c r="L8644" s="16">
        <f>IF(AND(G8644&gt;0,H8644&gt;0),G8644/H8644,"")</f>
        <v/>
      </c>
    </row>
    <row r="8645">
      <c r="A8645" s="4" t="inlineStr">
        <is>
          <t>151</t>
        </is>
      </c>
      <c r="B8645" s="4" t="n">
        <v>1</v>
      </c>
      <c r="C8645" s="4" t="inlineStr">
        <is>
          <t>whitetail</t>
        </is>
      </c>
      <c r="D8645" s="4" t="n">
        <v>2007</v>
      </c>
      <c r="E8645" s="4" t="inlineStr"/>
      <c r="F8645" s="5" t="n">
        <v>35</v>
      </c>
      <c r="G8645" s="5" t="n">
        <v>219</v>
      </c>
      <c r="H8645" s="5" t="n">
        <v>6</v>
      </c>
      <c r="I8645" s="5" t="n">
        <v>6</v>
      </c>
      <c r="J8645" s="5" t="n">
        <v>0</v>
      </c>
      <c r="K8645" s="10">
        <f>IF(F8645&gt;0,H8645/F8645,"")</f>
        <v/>
      </c>
      <c r="L8645" s="16">
        <f>IF(AND(G8645&gt;0,H8645&gt;0),G8645/H8645,"")</f>
        <v/>
      </c>
    </row>
    <row r="8646">
      <c r="A8646" s="4" t="inlineStr">
        <is>
          <t>151</t>
        </is>
      </c>
      <c r="B8646" s="4" t="n">
        <v>1</v>
      </c>
      <c r="C8646" s="4" t="inlineStr">
        <is>
          <t>whitetail</t>
        </is>
      </c>
      <c r="D8646" s="4" t="n">
        <v>2008</v>
      </c>
      <c r="E8646" s="4" t="inlineStr"/>
      <c r="F8646" s="5" t="n">
        <v>95</v>
      </c>
      <c r="G8646" s="5" t="n">
        <v>738</v>
      </c>
      <c r="H8646" s="5" t="n">
        <v>12</v>
      </c>
      <c r="I8646" s="5" t="n">
        <v>9</v>
      </c>
      <c r="J8646" s="5" t="n">
        <v>3</v>
      </c>
      <c r="K8646" s="10">
        <f>IF(F8646&gt;0,H8646/F8646,"")</f>
        <v/>
      </c>
      <c r="L8646" s="16">
        <f>IF(AND(G8646&gt;0,H8646&gt;0),G8646/H8646,"")</f>
        <v/>
      </c>
    </row>
    <row r="8647">
      <c r="A8647" s="4" t="inlineStr">
        <is>
          <t>151</t>
        </is>
      </c>
      <c r="B8647" s="4" t="n">
        <v>1</v>
      </c>
      <c r="C8647" s="4" t="inlineStr">
        <is>
          <t>whitetail</t>
        </is>
      </c>
      <c r="D8647" s="4" t="n">
        <v>2009</v>
      </c>
      <c r="E8647" s="4" t="inlineStr"/>
      <c r="F8647" s="5" t="n">
        <v>93</v>
      </c>
      <c r="G8647" s="5" t="n">
        <v>605</v>
      </c>
      <c r="H8647" s="5" t="n">
        <v>3</v>
      </c>
      <c r="I8647" s="5" t="n">
        <v>3</v>
      </c>
      <c r="J8647" s="5" t="n">
        <v>0</v>
      </c>
      <c r="K8647" s="10">
        <f>IF(F8647&gt;0,H8647/F8647,"")</f>
        <v/>
      </c>
      <c r="L8647" s="16">
        <f>IF(AND(G8647&gt;0,H8647&gt;0),G8647/H8647,"")</f>
        <v/>
      </c>
    </row>
    <row r="8648">
      <c r="A8648" s="4" t="inlineStr">
        <is>
          <t>151</t>
        </is>
      </c>
      <c r="B8648" s="4" t="n">
        <v>1</v>
      </c>
      <c r="C8648" s="4" t="inlineStr">
        <is>
          <t>whitetail</t>
        </is>
      </c>
      <c r="D8648" s="4" t="n">
        <v>2010</v>
      </c>
      <c r="E8648" s="4" t="inlineStr"/>
      <c r="F8648" s="5" t="n">
        <v>88</v>
      </c>
      <c r="G8648" s="5" t="n">
        <v>676</v>
      </c>
      <c r="H8648" s="5" t="n">
        <v>8</v>
      </c>
      <c r="I8648" s="5" t="n">
        <v>8</v>
      </c>
      <c r="J8648" s="5" t="n">
        <v>0</v>
      </c>
      <c r="K8648" s="10">
        <f>IF(F8648&gt;0,H8648/F8648,"")</f>
        <v/>
      </c>
      <c r="L8648" s="16">
        <f>IF(AND(G8648&gt;0,H8648&gt;0),G8648/H8648,"")</f>
        <v/>
      </c>
    </row>
    <row r="8649">
      <c r="A8649" s="4" t="inlineStr">
        <is>
          <t>151</t>
        </is>
      </c>
      <c r="B8649" s="4" t="n">
        <v>1</v>
      </c>
      <c r="C8649" s="4" t="inlineStr">
        <is>
          <t>whitetail</t>
        </is>
      </c>
      <c r="D8649" s="4" t="n">
        <v>2011</v>
      </c>
      <c r="E8649" s="4" t="inlineStr"/>
      <c r="F8649" s="5" t="n">
        <v>56</v>
      </c>
      <c r="G8649" s="5" t="n">
        <v>359</v>
      </c>
      <c r="H8649" s="5" t="n">
        <v>8</v>
      </c>
      <c r="I8649" s="5" t="n">
        <v>8</v>
      </c>
      <c r="J8649" s="5" t="n">
        <v>0</v>
      </c>
      <c r="K8649" s="10">
        <f>IF(F8649&gt;0,H8649/F8649,"")</f>
        <v/>
      </c>
      <c r="L8649" s="16">
        <f>IF(AND(G8649&gt;0,H8649&gt;0),G8649/H8649,"")</f>
        <v/>
      </c>
    </row>
    <row r="8650">
      <c r="A8650" s="4" t="inlineStr">
        <is>
          <t>151</t>
        </is>
      </c>
      <c r="B8650" s="4" t="n">
        <v>1</v>
      </c>
      <c r="C8650" s="4" t="inlineStr">
        <is>
          <t>whitetail</t>
        </is>
      </c>
      <c r="D8650" s="4" t="n">
        <v>2013</v>
      </c>
      <c r="E8650" s="4" t="inlineStr"/>
      <c r="F8650" s="5" t="n">
        <v>55</v>
      </c>
      <c r="G8650" s="5" t="n">
        <v>346</v>
      </c>
      <c r="H8650" s="5" t="n">
        <v>3</v>
      </c>
      <c r="I8650" s="5" t="n">
        <v>3</v>
      </c>
      <c r="J8650" s="5" t="n">
        <v>0</v>
      </c>
      <c r="K8650" s="10">
        <f>IF(F8650&gt;0,H8650/F8650,"")</f>
        <v/>
      </c>
      <c r="L8650" s="16">
        <f>IF(AND(G8650&gt;0,H8650&gt;0),G8650/H8650,"")</f>
        <v/>
      </c>
    </row>
    <row r="8651">
      <c r="A8651" s="4" t="inlineStr">
        <is>
          <t>151</t>
        </is>
      </c>
      <c r="B8651" s="4" t="n">
        <v>1</v>
      </c>
      <c r="C8651" s="4" t="inlineStr">
        <is>
          <t>whitetail</t>
        </is>
      </c>
      <c r="D8651" s="4" t="n">
        <v>2015</v>
      </c>
      <c r="E8651" s="4" t="inlineStr"/>
      <c r="F8651" s="5" t="n"/>
      <c r="G8651" s="5" t="n"/>
      <c r="H8651" s="5" t="n">
        <v>3</v>
      </c>
      <c r="I8651" s="5" t="n">
        <v>3</v>
      </c>
      <c r="J8651" s="5" t="n">
        <v>0</v>
      </c>
      <c r="K8651" s="10">
        <f>IF(F8651&gt;0,H8651/F8651,"")</f>
        <v/>
      </c>
      <c r="L8651" s="16">
        <f>IF(AND(G8651&gt;0,H8651&gt;0),G8651/H8651,"")</f>
        <v/>
      </c>
    </row>
    <row r="8652">
      <c r="A8652" s="4" t="inlineStr">
        <is>
          <t>151</t>
        </is>
      </c>
      <c r="B8652" s="4" t="n">
        <v>1</v>
      </c>
      <c r="C8652" s="4" t="inlineStr">
        <is>
          <t>whitetail</t>
        </is>
      </c>
      <c r="D8652" s="4" t="n">
        <v>2016</v>
      </c>
      <c r="E8652" s="4" t="inlineStr"/>
      <c r="F8652" s="5" t="n"/>
      <c r="G8652" s="5" t="n"/>
      <c r="H8652" s="5" t="n">
        <v>6</v>
      </c>
      <c r="I8652" s="5" t="n">
        <v>6</v>
      </c>
      <c r="J8652" s="5" t="n">
        <v>0</v>
      </c>
      <c r="K8652" s="10">
        <f>IF(F8652&gt;0,H8652/F8652,"")</f>
        <v/>
      </c>
      <c r="L8652" s="16">
        <f>IF(AND(G8652&gt;0,H8652&gt;0),G8652/H8652,"")</f>
        <v/>
      </c>
    </row>
    <row r="8653">
      <c r="A8653" s="4" t="inlineStr">
        <is>
          <t>151</t>
        </is>
      </c>
      <c r="B8653" s="4" t="n">
        <v>1</v>
      </c>
      <c r="C8653" s="4" t="inlineStr">
        <is>
          <t>whitetail</t>
        </is>
      </c>
      <c r="D8653" s="4" t="n">
        <v>2017</v>
      </c>
      <c r="E8653" s="4" t="inlineStr"/>
      <c r="F8653" s="5" t="n">
        <v>60</v>
      </c>
      <c r="G8653" s="5" t="n">
        <v>444</v>
      </c>
      <c r="H8653" s="5" t="n">
        <v>3</v>
      </c>
      <c r="I8653" s="5" t="n">
        <v>3</v>
      </c>
      <c r="J8653" s="5" t="n">
        <v>0</v>
      </c>
      <c r="K8653" s="10">
        <f>IF(F8653&gt;0,H8653/F8653,"")</f>
        <v/>
      </c>
      <c r="L8653" s="16">
        <f>IF(AND(G8653&gt;0,H8653&gt;0),G8653/H8653,"")</f>
        <v/>
      </c>
    </row>
    <row r="8654">
      <c r="A8654" s="4" t="inlineStr">
        <is>
          <t>151</t>
        </is>
      </c>
      <c r="B8654" s="4" t="n">
        <v>1</v>
      </c>
      <c r="C8654" s="4" t="inlineStr">
        <is>
          <t>whitetail</t>
        </is>
      </c>
      <c r="D8654" s="4" t="n">
        <v>2018</v>
      </c>
      <c r="E8654" s="4" t="inlineStr"/>
      <c r="F8654" s="5" t="n"/>
      <c r="G8654" s="5" t="n"/>
      <c r="H8654" s="5" t="n">
        <v>6</v>
      </c>
      <c r="I8654" s="5" t="n">
        <v>6</v>
      </c>
      <c r="J8654" s="5" t="n">
        <v>0</v>
      </c>
      <c r="K8654" s="10">
        <f>IF(F8654&gt;0,H8654/F8654,"")</f>
        <v/>
      </c>
      <c r="L8654" s="16">
        <f>IF(AND(G8654&gt;0,H8654&gt;0),G8654/H8654,"")</f>
        <v/>
      </c>
    </row>
    <row r="8655">
      <c r="A8655" s="4" t="inlineStr">
        <is>
          <t>170</t>
        </is>
      </c>
      <c r="B8655" s="4" t="n">
        <v>1</v>
      </c>
      <c r="C8655" s="4" t="inlineStr">
        <is>
          <t>whitetail</t>
        </is>
      </c>
      <c r="D8655" s="4" t="n">
        <v>2004</v>
      </c>
      <c r="E8655" s="13" t="inlineStr">
        <is>
          <t>General</t>
        </is>
      </c>
      <c r="F8655" s="5" t="n">
        <v>866</v>
      </c>
      <c r="G8655" s="5" t="n">
        <v>4603</v>
      </c>
      <c r="H8655" s="5" t="n">
        <v>616</v>
      </c>
      <c r="I8655" s="5" t="n">
        <v>267</v>
      </c>
      <c r="J8655" s="5" t="n">
        <v>342</v>
      </c>
      <c r="K8655" s="10">
        <f>IF(F8655&gt;0,H8655/F8655,"")</f>
        <v/>
      </c>
      <c r="L8655" s="16">
        <f>IF(AND(G8655&gt;0,H8655&gt;0),G8655/H8655,"")</f>
        <v/>
      </c>
    </row>
    <row r="8656">
      <c r="A8656" s="4" t="inlineStr">
        <is>
          <t>170</t>
        </is>
      </c>
      <c r="B8656" s="4" t="n">
        <v>1</v>
      </c>
      <c r="C8656" s="4" t="inlineStr">
        <is>
          <t>whitetail</t>
        </is>
      </c>
      <c r="D8656" s="4" t="n">
        <v>2005</v>
      </c>
      <c r="E8656" s="13" t="inlineStr">
        <is>
          <t>General</t>
        </is>
      </c>
      <c r="F8656" s="5" t="n">
        <v>974</v>
      </c>
      <c r="G8656" s="5" t="n">
        <v>5619</v>
      </c>
      <c r="H8656" s="5" t="n">
        <v>771</v>
      </c>
      <c r="I8656" s="5" t="n">
        <v>297</v>
      </c>
      <c r="J8656" s="5" t="n">
        <v>465</v>
      </c>
      <c r="K8656" s="10">
        <f>IF(F8656&gt;0,H8656/F8656,"")</f>
        <v/>
      </c>
      <c r="L8656" s="16">
        <f>IF(AND(G8656&gt;0,H8656&gt;0),G8656/H8656,"")</f>
        <v/>
      </c>
    </row>
    <row r="8657">
      <c r="A8657" s="4" t="inlineStr">
        <is>
          <t>170</t>
        </is>
      </c>
      <c r="B8657" s="4" t="n">
        <v>1</v>
      </c>
      <c r="C8657" s="4" t="inlineStr">
        <is>
          <t>whitetail</t>
        </is>
      </c>
      <c r="D8657" s="4" t="n">
        <v>2006</v>
      </c>
      <c r="E8657" s="13" t="inlineStr">
        <is>
          <t>General</t>
        </is>
      </c>
      <c r="F8657" s="5" t="n">
        <v>1054</v>
      </c>
      <c r="G8657" s="5" t="n">
        <v>6186</v>
      </c>
      <c r="H8657" s="5" t="n">
        <v>845</v>
      </c>
      <c r="I8657" s="5" t="n">
        <v>265</v>
      </c>
      <c r="J8657" s="5" t="n">
        <v>567</v>
      </c>
      <c r="K8657" s="10">
        <f>IF(F8657&gt;0,H8657/F8657,"")</f>
        <v/>
      </c>
      <c r="L8657" s="16">
        <f>IF(AND(G8657&gt;0,H8657&gt;0),G8657/H8657,"")</f>
        <v/>
      </c>
    </row>
    <row r="8658">
      <c r="A8658" s="4" t="inlineStr">
        <is>
          <t>170</t>
        </is>
      </c>
      <c r="B8658" s="4" t="n">
        <v>1</v>
      </c>
      <c r="C8658" s="4" t="inlineStr">
        <is>
          <t>whitetail</t>
        </is>
      </c>
      <c r="D8658" s="4" t="n">
        <v>2007</v>
      </c>
      <c r="E8658" s="13" t="inlineStr">
        <is>
          <t>General</t>
        </is>
      </c>
      <c r="F8658" s="5" t="n">
        <v>1125</v>
      </c>
      <c r="G8658" s="5" t="n">
        <v>6330</v>
      </c>
      <c r="H8658" s="5" t="n">
        <v>960</v>
      </c>
      <c r="I8658" s="5" t="n">
        <v>266</v>
      </c>
      <c r="J8658" s="5" t="n">
        <v>692</v>
      </c>
      <c r="K8658" s="10">
        <f>IF(F8658&gt;0,H8658/F8658,"")</f>
        <v/>
      </c>
      <c r="L8658" s="16">
        <f>IF(AND(G8658&gt;0,H8658&gt;0),G8658/H8658,"")</f>
        <v/>
      </c>
    </row>
    <row r="8659">
      <c r="A8659" s="4" t="inlineStr">
        <is>
          <t>170</t>
        </is>
      </c>
      <c r="B8659" s="4" t="n">
        <v>1</v>
      </c>
      <c r="C8659" s="4" t="inlineStr">
        <is>
          <t>whitetail</t>
        </is>
      </c>
      <c r="D8659" s="4" t="n">
        <v>2008</v>
      </c>
      <c r="E8659" s="13" t="inlineStr">
        <is>
          <t>General</t>
        </is>
      </c>
      <c r="F8659" s="5" t="n">
        <v>2023</v>
      </c>
      <c r="G8659" s="5" t="n">
        <v>13946</v>
      </c>
      <c r="H8659" s="5" t="n">
        <v>1496</v>
      </c>
      <c r="I8659" s="5" t="n">
        <v>457</v>
      </c>
      <c r="J8659" s="5" t="n">
        <v>1020</v>
      </c>
      <c r="K8659" s="10">
        <f>IF(F8659&gt;0,H8659/F8659,"")</f>
        <v/>
      </c>
      <c r="L8659" s="16">
        <f>IF(AND(G8659&gt;0,H8659&gt;0),G8659/H8659,"")</f>
        <v/>
      </c>
    </row>
    <row r="8660">
      <c r="A8660" s="4" t="inlineStr">
        <is>
          <t>170</t>
        </is>
      </c>
      <c r="B8660" s="4" t="n">
        <v>1</v>
      </c>
      <c r="C8660" s="4" t="inlineStr">
        <is>
          <t>whitetail</t>
        </is>
      </c>
      <c r="D8660" s="4" t="n">
        <v>2009</v>
      </c>
      <c r="E8660" s="13" t="inlineStr">
        <is>
          <t>General</t>
        </is>
      </c>
      <c r="F8660" s="5" t="n">
        <v>2265</v>
      </c>
      <c r="G8660" s="5" t="n">
        <v>14207</v>
      </c>
      <c r="H8660" s="5" t="n">
        <v>1120</v>
      </c>
      <c r="I8660" s="5" t="n">
        <v>360</v>
      </c>
      <c r="J8660" s="5" t="n">
        <v>742</v>
      </c>
      <c r="K8660" s="10">
        <f>IF(F8660&gt;0,H8660/F8660,"")</f>
        <v/>
      </c>
      <c r="L8660" s="16">
        <f>IF(AND(G8660&gt;0,H8660&gt;0),G8660/H8660,"")</f>
        <v/>
      </c>
    </row>
    <row r="8661">
      <c r="A8661" s="4" t="inlineStr">
        <is>
          <t>170</t>
        </is>
      </c>
      <c r="B8661" s="4" t="n">
        <v>1</v>
      </c>
      <c r="C8661" s="4" t="inlineStr">
        <is>
          <t>whitetail</t>
        </is>
      </c>
      <c r="D8661" s="4" t="n">
        <v>2010</v>
      </c>
      <c r="E8661" s="13" t="inlineStr">
        <is>
          <t>General</t>
        </is>
      </c>
      <c r="F8661" s="5" t="n">
        <v>2039</v>
      </c>
      <c r="G8661" s="5" t="n">
        <v>14841</v>
      </c>
      <c r="H8661" s="5" t="n">
        <v>1207</v>
      </c>
      <c r="I8661" s="5" t="n">
        <v>402</v>
      </c>
      <c r="J8661" s="5" t="n">
        <v>789</v>
      </c>
      <c r="K8661" s="10">
        <f>IF(F8661&gt;0,H8661/F8661,"")</f>
        <v/>
      </c>
      <c r="L8661" s="16">
        <f>IF(AND(G8661&gt;0,H8661&gt;0),G8661/H8661,"")</f>
        <v/>
      </c>
    </row>
    <row r="8662">
      <c r="A8662" s="4" t="inlineStr">
        <is>
          <t>170</t>
        </is>
      </c>
      <c r="B8662" s="4" t="n">
        <v>1</v>
      </c>
      <c r="C8662" s="4" t="inlineStr">
        <is>
          <t>whitetail</t>
        </is>
      </c>
      <c r="D8662" s="4" t="n">
        <v>2011</v>
      </c>
      <c r="E8662" s="13" t="inlineStr">
        <is>
          <t>General</t>
        </is>
      </c>
      <c r="F8662" s="5" t="n">
        <v>1927</v>
      </c>
      <c r="G8662" s="5" t="n">
        <v>12507</v>
      </c>
      <c r="H8662" s="5" t="n">
        <v>1097</v>
      </c>
      <c r="I8662" s="5" t="n">
        <v>384</v>
      </c>
      <c r="J8662" s="5" t="n">
        <v>701</v>
      </c>
      <c r="K8662" s="10">
        <f>IF(F8662&gt;0,H8662/F8662,"")</f>
        <v/>
      </c>
      <c r="L8662" s="16">
        <f>IF(AND(G8662&gt;0,H8662&gt;0),G8662/H8662,"")</f>
        <v/>
      </c>
    </row>
    <row r="8663">
      <c r="A8663" s="4" t="inlineStr">
        <is>
          <t>170</t>
        </is>
      </c>
      <c r="B8663" s="4" t="n">
        <v>1</v>
      </c>
      <c r="C8663" s="4" t="inlineStr">
        <is>
          <t>whitetail</t>
        </is>
      </c>
      <c r="D8663" s="4" t="n">
        <v>2012</v>
      </c>
      <c r="E8663" s="13" t="inlineStr">
        <is>
          <t>General</t>
        </is>
      </c>
      <c r="F8663" s="5" t="n"/>
      <c r="G8663" s="5" t="n"/>
      <c r="H8663" s="5" t="n">
        <v>1269</v>
      </c>
      <c r="I8663" s="5" t="n">
        <v>471</v>
      </c>
      <c r="J8663" s="5" t="n">
        <v>792</v>
      </c>
      <c r="K8663" s="10">
        <f>IF(F8663&gt;0,H8663/F8663,"")</f>
        <v/>
      </c>
      <c r="L8663" s="16">
        <f>IF(AND(G8663&gt;0,H8663&gt;0),G8663/H8663,"")</f>
        <v/>
      </c>
    </row>
    <row r="8664">
      <c r="A8664" s="4" t="inlineStr">
        <is>
          <t>170</t>
        </is>
      </c>
      <c r="B8664" s="4" t="n">
        <v>1</v>
      </c>
      <c r="C8664" s="4" t="inlineStr">
        <is>
          <t>whitetail</t>
        </is>
      </c>
      <c r="D8664" s="4" t="n">
        <v>2013</v>
      </c>
      <c r="E8664" s="13" t="inlineStr">
        <is>
          <t>General</t>
        </is>
      </c>
      <c r="F8664" s="5" t="n">
        <v>2288</v>
      </c>
      <c r="G8664" s="5" t="n">
        <v>15433</v>
      </c>
      <c r="H8664" s="5" t="n">
        <v>1315</v>
      </c>
      <c r="I8664" s="5" t="n">
        <v>517</v>
      </c>
      <c r="J8664" s="5" t="n">
        <v>785</v>
      </c>
      <c r="K8664" s="10">
        <f>IF(F8664&gt;0,H8664/F8664,"")</f>
        <v/>
      </c>
      <c r="L8664" s="16">
        <f>IF(AND(G8664&gt;0,H8664&gt;0),G8664/H8664,"")</f>
        <v/>
      </c>
    </row>
    <row r="8665">
      <c r="A8665" s="4" t="inlineStr">
        <is>
          <t>170</t>
        </is>
      </c>
      <c r="B8665" s="4" t="n">
        <v>1</v>
      </c>
      <c r="C8665" s="4" t="inlineStr">
        <is>
          <t>whitetail</t>
        </is>
      </c>
      <c r="D8665" s="4" t="n">
        <v>2014</v>
      </c>
      <c r="E8665" s="13" t="inlineStr">
        <is>
          <t>General</t>
        </is>
      </c>
      <c r="F8665" s="5" t="n"/>
      <c r="G8665" s="5" t="n"/>
      <c r="H8665" s="5" t="n">
        <v>1363</v>
      </c>
      <c r="I8665" s="5" t="n">
        <v>668</v>
      </c>
      <c r="J8665" s="5" t="n">
        <v>675</v>
      </c>
      <c r="K8665" s="10">
        <f>IF(F8665&gt;0,H8665/F8665,"")</f>
        <v/>
      </c>
      <c r="L8665" s="16">
        <f>IF(AND(G8665&gt;0,H8665&gt;0),G8665/H8665,"")</f>
        <v/>
      </c>
    </row>
    <row r="8666">
      <c r="A8666" s="4" t="inlineStr">
        <is>
          <t>170</t>
        </is>
      </c>
      <c r="B8666" s="4" t="n">
        <v>1</v>
      </c>
      <c r="C8666" s="4" t="inlineStr">
        <is>
          <t>whitetail</t>
        </is>
      </c>
      <c r="D8666" s="4" t="n">
        <v>2015</v>
      </c>
      <c r="E8666" s="13" t="inlineStr">
        <is>
          <t>General</t>
        </is>
      </c>
      <c r="F8666" s="5" t="n"/>
      <c r="G8666" s="5" t="n"/>
      <c r="H8666" s="5" t="n">
        <v>1578</v>
      </c>
      <c r="I8666" s="5" t="n">
        <v>557</v>
      </c>
      <c r="J8666" s="5" t="n">
        <v>983</v>
      </c>
      <c r="K8666" s="10">
        <f>IF(F8666&gt;0,H8666/F8666,"")</f>
        <v/>
      </c>
      <c r="L8666" s="16">
        <f>IF(AND(G8666&gt;0,H8666&gt;0),G8666/H8666,"")</f>
        <v/>
      </c>
    </row>
    <row r="8667">
      <c r="A8667" s="4" t="inlineStr">
        <is>
          <t>170</t>
        </is>
      </c>
      <c r="B8667" s="4" t="n">
        <v>1</v>
      </c>
      <c r="C8667" s="4" t="inlineStr">
        <is>
          <t>whitetail</t>
        </is>
      </c>
      <c r="D8667" s="4" t="n">
        <v>2016</v>
      </c>
      <c r="E8667" s="13" t="inlineStr">
        <is>
          <t>General</t>
        </is>
      </c>
      <c r="F8667" s="5" t="n"/>
      <c r="G8667" s="5" t="n"/>
      <c r="H8667" s="5" t="n">
        <v>1426</v>
      </c>
      <c r="I8667" s="5" t="n">
        <v>648</v>
      </c>
      <c r="J8667" s="5" t="n">
        <v>759</v>
      </c>
      <c r="K8667" s="10">
        <f>IF(F8667&gt;0,H8667/F8667,"")</f>
        <v/>
      </c>
      <c r="L8667" s="16">
        <f>IF(AND(G8667&gt;0,H8667&gt;0),G8667/H8667,"")</f>
        <v/>
      </c>
    </row>
    <row r="8668">
      <c r="A8668" s="4" t="inlineStr">
        <is>
          <t>170</t>
        </is>
      </c>
      <c r="B8668" s="4" t="n">
        <v>1</v>
      </c>
      <c r="C8668" s="4" t="inlineStr">
        <is>
          <t>whitetail</t>
        </is>
      </c>
      <c r="D8668" s="4" t="n">
        <v>2017</v>
      </c>
      <c r="E8668" s="13" t="inlineStr">
        <is>
          <t>General</t>
        </is>
      </c>
      <c r="F8668" s="5" t="n">
        <v>2327</v>
      </c>
      <c r="G8668" s="5" t="n">
        <v>14523</v>
      </c>
      <c r="H8668" s="5" t="n">
        <v>1397</v>
      </c>
      <c r="I8668" s="5" t="n">
        <v>599</v>
      </c>
      <c r="J8668" s="5" t="n">
        <v>791</v>
      </c>
      <c r="K8668" s="10">
        <f>IF(F8668&gt;0,H8668/F8668,"")</f>
        <v/>
      </c>
      <c r="L8668" s="16">
        <f>IF(AND(G8668&gt;0,H8668&gt;0),G8668/H8668,"")</f>
        <v/>
      </c>
    </row>
    <row r="8669">
      <c r="A8669" s="4" t="inlineStr">
        <is>
          <t>170</t>
        </is>
      </c>
      <c r="B8669" s="4" t="n">
        <v>1</v>
      </c>
      <c r="C8669" s="4" t="inlineStr">
        <is>
          <t>whitetail</t>
        </is>
      </c>
      <c r="D8669" s="4" t="n">
        <v>2018</v>
      </c>
      <c r="E8669" s="13" t="inlineStr">
        <is>
          <t>General</t>
        </is>
      </c>
      <c r="F8669" s="5" t="n"/>
      <c r="G8669" s="5" t="n"/>
      <c r="H8669" s="5" t="n">
        <v>1445</v>
      </c>
      <c r="I8669" s="5" t="n">
        <v>565</v>
      </c>
      <c r="J8669" s="5" t="n">
        <v>873</v>
      </c>
      <c r="K8669" s="10">
        <f>IF(F8669&gt;0,H8669/F8669,"")</f>
        <v/>
      </c>
      <c r="L8669" s="16">
        <f>IF(AND(G8669&gt;0,H8669&gt;0),G8669/H8669,"")</f>
        <v/>
      </c>
    </row>
    <row r="8670">
      <c r="A8670" s="4" t="inlineStr">
        <is>
          <t>170</t>
        </is>
      </c>
      <c r="B8670" s="4" t="n">
        <v>1</v>
      </c>
      <c r="C8670" s="4" t="inlineStr">
        <is>
          <t>whitetail</t>
        </is>
      </c>
      <c r="D8670" s="4" t="n">
        <v>2019</v>
      </c>
      <c r="E8670" s="13" t="inlineStr">
        <is>
          <t>General</t>
        </is>
      </c>
      <c r="F8670" s="5" t="n">
        <v>2004</v>
      </c>
      <c r="G8670" s="5" t="n">
        <v>12923</v>
      </c>
      <c r="H8670" s="5" t="n">
        <v>1260</v>
      </c>
      <c r="I8670" s="5" t="n">
        <v>559</v>
      </c>
      <c r="J8670" s="5" t="n">
        <v>694</v>
      </c>
      <c r="K8670" s="10">
        <f>IF(F8670&gt;0,H8670/F8670,"")</f>
        <v/>
      </c>
      <c r="L8670" s="16">
        <f>IF(AND(G8670&gt;0,H8670&gt;0),G8670/H8670,"")</f>
        <v/>
      </c>
    </row>
    <row r="8671">
      <c r="A8671" s="4" t="inlineStr">
        <is>
          <t>170</t>
        </is>
      </c>
      <c r="B8671" s="4" t="n">
        <v>1</v>
      </c>
      <c r="C8671" s="4" t="inlineStr">
        <is>
          <t>whitetail</t>
        </is>
      </c>
      <c r="D8671" s="4" t="n">
        <v>2020</v>
      </c>
      <c r="E8671" s="13" t="inlineStr">
        <is>
          <t>General</t>
        </is>
      </c>
      <c r="F8671" s="5" t="n"/>
      <c r="G8671" s="5" t="n"/>
      <c r="H8671" s="5" t="n">
        <v>1471</v>
      </c>
      <c r="I8671" s="5" t="n">
        <v>789</v>
      </c>
      <c r="J8671" s="5" t="n">
        <v>668</v>
      </c>
      <c r="K8671" s="10">
        <f>IF(F8671&gt;0,H8671/F8671,"")</f>
        <v/>
      </c>
      <c r="L8671" s="16">
        <f>IF(AND(G8671&gt;0,H8671&gt;0),G8671/H8671,"")</f>
        <v/>
      </c>
    </row>
    <row r="8672">
      <c r="A8672" s="4" t="inlineStr">
        <is>
          <t>170</t>
        </is>
      </c>
      <c r="B8672" s="4" t="n">
        <v>1</v>
      </c>
      <c r="C8672" s="4" t="inlineStr">
        <is>
          <t>whitetail</t>
        </is>
      </c>
      <c r="D8672" s="4" t="n">
        <v>2021</v>
      </c>
      <c r="E8672" s="13" t="inlineStr">
        <is>
          <t>General</t>
        </is>
      </c>
      <c r="F8672" s="5" t="n">
        <v>2244</v>
      </c>
      <c r="G8672" s="5" t="n">
        <v>14012</v>
      </c>
      <c r="H8672" s="5" t="n">
        <v>1428</v>
      </c>
      <c r="I8672" s="5" t="n">
        <v>797</v>
      </c>
      <c r="J8672" s="5" t="n">
        <v>627</v>
      </c>
      <c r="K8672" s="10">
        <f>IF(F8672&gt;0,H8672/F8672,"")</f>
        <v/>
      </c>
      <c r="L8672" s="16">
        <f>IF(AND(G8672&gt;0,H8672&gt;0),G8672/H8672,"")</f>
        <v/>
      </c>
    </row>
    <row r="8673">
      <c r="A8673" s="4" t="inlineStr">
        <is>
          <t>170</t>
        </is>
      </c>
      <c r="B8673" s="4" t="n">
        <v>1</v>
      </c>
      <c r="C8673" s="4" t="inlineStr">
        <is>
          <t>whitetail</t>
        </is>
      </c>
      <c r="D8673" s="4" t="n">
        <v>2022</v>
      </c>
      <c r="E8673" s="13" t="inlineStr">
        <is>
          <t>General</t>
        </is>
      </c>
      <c r="F8673" s="5" t="n"/>
      <c r="G8673" s="5" t="n"/>
      <c r="H8673" s="5" t="n">
        <v>1471</v>
      </c>
      <c r="I8673" s="5" t="n">
        <v>776</v>
      </c>
      <c r="J8673" s="5" t="n">
        <v>693</v>
      </c>
      <c r="K8673" s="10">
        <f>IF(F8673&gt;0,H8673/F8673,"")</f>
        <v/>
      </c>
      <c r="L8673" s="16">
        <f>IF(AND(G8673&gt;0,H8673&gt;0),G8673/H8673,"")</f>
        <v/>
      </c>
    </row>
    <row r="8674">
      <c r="A8674" s="4" t="inlineStr">
        <is>
          <t>170</t>
        </is>
      </c>
      <c r="B8674" s="4" t="n">
        <v>1</v>
      </c>
      <c r="C8674" s="4" t="inlineStr">
        <is>
          <t>whitetail</t>
        </is>
      </c>
      <c r="D8674" s="4" t="n">
        <v>2023</v>
      </c>
      <c r="E8674" s="13" t="inlineStr">
        <is>
          <t>General</t>
        </is>
      </c>
      <c r="F8674" s="5" t="n">
        <v>2431</v>
      </c>
      <c r="G8674" s="5" t="n">
        <v>15560</v>
      </c>
      <c r="H8674" s="5" t="n">
        <v>1328</v>
      </c>
      <c r="I8674" s="5" t="n">
        <v>737</v>
      </c>
      <c r="J8674" s="5" t="n">
        <v>576</v>
      </c>
      <c r="K8674" s="10">
        <f>IF(F8674&gt;0,H8674/F8674,"")</f>
        <v/>
      </c>
      <c r="L8674" s="16">
        <f>IF(AND(G8674&gt;0,H8674&gt;0),G8674/H8674,"")</f>
        <v/>
      </c>
    </row>
    <row r="8675">
      <c r="A8675" s="4" t="inlineStr">
        <is>
          <t>170</t>
        </is>
      </c>
      <c r="B8675" s="4" t="n">
        <v>1</v>
      </c>
      <c r="C8675" s="4" t="inlineStr">
        <is>
          <t>whitetail</t>
        </is>
      </c>
      <c r="D8675" s="4" t="n">
        <v>2024</v>
      </c>
      <c r="E8675" s="13" t="inlineStr">
        <is>
          <t>General</t>
        </is>
      </c>
      <c r="F8675" s="5" t="n"/>
      <c r="G8675" s="5" t="n"/>
      <c r="H8675" s="5" t="n">
        <v>1790</v>
      </c>
      <c r="I8675" s="5" t="n">
        <v>890</v>
      </c>
      <c r="J8675" s="5" t="n">
        <v>890</v>
      </c>
      <c r="K8675" s="10">
        <f>IF(F8675&gt;0,H8675/F8675,"")</f>
        <v/>
      </c>
      <c r="L8675" s="16">
        <f>IF(AND(G8675&gt;0,H8675&gt;0),G8675/H8675,"")</f>
        <v/>
      </c>
    </row>
    <row r="8676">
      <c r="A8676" s="4" t="inlineStr">
        <is>
          <t>170</t>
        </is>
      </c>
      <c r="B8676" s="4" t="n">
        <v>1</v>
      </c>
      <c r="C8676" s="4" t="inlineStr">
        <is>
          <t>whitetail</t>
        </is>
      </c>
      <c r="D8676" s="4" t="n">
        <v>2025</v>
      </c>
      <c r="E8676" s="13" t="inlineStr">
        <is>
          <t>General</t>
        </is>
      </c>
      <c r="F8676" s="5" t="n">
        <v>2713</v>
      </c>
      <c r="G8676" s="5" t="n">
        <v>19536</v>
      </c>
      <c r="H8676" s="5" t="n">
        <v>1750</v>
      </c>
      <c r="I8676" s="5" t="n">
        <v>808</v>
      </c>
      <c r="J8676" s="5" t="n">
        <v>939</v>
      </c>
      <c r="K8676" s="10">
        <f>IF(F8676&gt;0,H8676/F8676,"")</f>
        <v/>
      </c>
      <c r="L8676" s="16">
        <f>IF(AND(G8676&gt;0,H8676&gt;0),G8676/H8676,"")</f>
        <v/>
      </c>
    </row>
    <row r="8677">
      <c r="A8677" s="4" t="inlineStr">
        <is>
          <t>200</t>
        </is>
      </c>
      <c r="B8677" s="4" t="n">
        <v>2</v>
      </c>
      <c r="C8677" s="4" t="inlineStr">
        <is>
          <t>whitetail</t>
        </is>
      </c>
      <c r="D8677" s="4" t="n">
        <v>2004</v>
      </c>
      <c r="E8677" s="13" t="inlineStr">
        <is>
          <t>General</t>
        </is>
      </c>
      <c r="F8677" s="5" t="n">
        <v>855</v>
      </c>
      <c r="G8677" s="5" t="n">
        <v>5613</v>
      </c>
      <c r="H8677" s="5" t="n">
        <v>259</v>
      </c>
      <c r="I8677" s="5" t="n">
        <v>167</v>
      </c>
      <c r="J8677" s="5" t="n">
        <v>88</v>
      </c>
      <c r="K8677" s="10">
        <f>IF(F8677&gt;0,H8677/F8677,"")</f>
        <v/>
      </c>
      <c r="L8677" s="16">
        <f>IF(AND(G8677&gt;0,H8677&gt;0),G8677/H8677,"")</f>
        <v/>
      </c>
    </row>
    <row r="8678">
      <c r="A8678" s="4" t="inlineStr">
        <is>
          <t>200</t>
        </is>
      </c>
      <c r="B8678" s="4" t="n">
        <v>2</v>
      </c>
      <c r="C8678" s="4" t="inlineStr">
        <is>
          <t>whitetail</t>
        </is>
      </c>
      <c r="D8678" s="4" t="n">
        <v>2005</v>
      </c>
      <c r="E8678" s="13" t="inlineStr">
        <is>
          <t>General</t>
        </is>
      </c>
      <c r="F8678" s="5" t="n">
        <v>849</v>
      </c>
      <c r="G8678" s="5" t="n">
        <v>5914</v>
      </c>
      <c r="H8678" s="5" t="n">
        <v>367</v>
      </c>
      <c r="I8678" s="5" t="n">
        <v>227</v>
      </c>
      <c r="J8678" s="5" t="n">
        <v>138</v>
      </c>
      <c r="K8678" s="10">
        <f>IF(F8678&gt;0,H8678/F8678,"")</f>
        <v/>
      </c>
      <c r="L8678" s="16">
        <f>IF(AND(G8678&gt;0,H8678&gt;0),G8678/H8678,"")</f>
        <v/>
      </c>
    </row>
    <row r="8679">
      <c r="A8679" s="4" t="inlineStr">
        <is>
          <t>200</t>
        </is>
      </c>
      <c r="B8679" s="4" t="n">
        <v>2</v>
      </c>
      <c r="C8679" s="4" t="inlineStr">
        <is>
          <t>whitetail</t>
        </is>
      </c>
      <c r="D8679" s="4" t="n">
        <v>2006</v>
      </c>
      <c r="E8679" s="13" t="inlineStr">
        <is>
          <t>General</t>
        </is>
      </c>
      <c r="F8679" s="5" t="n">
        <v>860</v>
      </c>
      <c r="G8679" s="5" t="n">
        <v>6051</v>
      </c>
      <c r="H8679" s="5" t="n">
        <v>611</v>
      </c>
      <c r="I8679" s="5" t="n">
        <v>236</v>
      </c>
      <c r="J8679" s="5" t="n">
        <v>356</v>
      </c>
      <c r="K8679" s="10">
        <f>IF(F8679&gt;0,H8679/F8679,"")</f>
        <v/>
      </c>
      <c r="L8679" s="16">
        <f>IF(AND(G8679&gt;0,H8679&gt;0),G8679/H8679,"")</f>
        <v/>
      </c>
    </row>
    <row r="8680">
      <c r="A8680" s="4" t="inlineStr">
        <is>
          <t>200</t>
        </is>
      </c>
      <c r="B8680" s="4" t="n">
        <v>2</v>
      </c>
      <c r="C8680" s="4" t="inlineStr">
        <is>
          <t>whitetail</t>
        </is>
      </c>
      <c r="D8680" s="4" t="n">
        <v>2007</v>
      </c>
      <c r="E8680" s="13" t="inlineStr">
        <is>
          <t>General</t>
        </is>
      </c>
      <c r="F8680" s="5" t="n">
        <v>881</v>
      </c>
      <c r="G8680" s="5" t="n">
        <v>6430</v>
      </c>
      <c r="H8680" s="5" t="n">
        <v>371</v>
      </c>
      <c r="I8680" s="5" t="n">
        <v>154</v>
      </c>
      <c r="J8680" s="5" t="n">
        <v>218</v>
      </c>
      <c r="K8680" s="10">
        <f>IF(F8680&gt;0,H8680/F8680,"")</f>
        <v/>
      </c>
      <c r="L8680" s="16">
        <f>IF(AND(G8680&gt;0,H8680&gt;0),G8680/H8680,"")</f>
        <v/>
      </c>
    </row>
    <row r="8681">
      <c r="A8681" s="4" t="inlineStr">
        <is>
          <t>200</t>
        </is>
      </c>
      <c r="B8681" s="4" t="n">
        <v>2</v>
      </c>
      <c r="C8681" s="4" t="inlineStr">
        <is>
          <t>whitetail</t>
        </is>
      </c>
      <c r="D8681" s="4" t="n">
        <v>2008</v>
      </c>
      <c r="E8681" s="13" t="inlineStr">
        <is>
          <t>General</t>
        </is>
      </c>
      <c r="F8681" s="5" t="n">
        <v>968</v>
      </c>
      <c r="G8681" s="5" t="n">
        <v>7487</v>
      </c>
      <c r="H8681" s="5" t="n">
        <v>272</v>
      </c>
      <c r="I8681" s="5" t="n">
        <v>84</v>
      </c>
      <c r="J8681" s="5" t="n">
        <v>184</v>
      </c>
      <c r="K8681" s="10">
        <f>IF(F8681&gt;0,H8681/F8681,"")</f>
        <v/>
      </c>
      <c r="L8681" s="16">
        <f>IF(AND(G8681&gt;0,H8681&gt;0),G8681/H8681,"")</f>
        <v/>
      </c>
    </row>
    <row r="8682">
      <c r="A8682" s="4" t="inlineStr">
        <is>
          <t>200</t>
        </is>
      </c>
      <c r="B8682" s="4" t="n">
        <v>2</v>
      </c>
      <c r="C8682" s="4" t="inlineStr">
        <is>
          <t>whitetail</t>
        </is>
      </c>
      <c r="D8682" s="4" t="n">
        <v>2009</v>
      </c>
      <c r="E8682" s="13" t="inlineStr">
        <is>
          <t>General</t>
        </is>
      </c>
      <c r="F8682" s="5" t="n">
        <v>866</v>
      </c>
      <c r="G8682" s="5" t="n">
        <v>6570</v>
      </c>
      <c r="H8682" s="5" t="n">
        <v>205</v>
      </c>
      <c r="I8682" s="5" t="n">
        <v>118</v>
      </c>
      <c r="J8682" s="5" t="n">
        <v>86</v>
      </c>
      <c r="K8682" s="10">
        <f>IF(F8682&gt;0,H8682/F8682,"")</f>
        <v/>
      </c>
      <c r="L8682" s="16">
        <f>IF(AND(G8682&gt;0,H8682&gt;0),G8682/H8682,"")</f>
        <v/>
      </c>
    </row>
    <row r="8683">
      <c r="A8683" s="4" t="inlineStr">
        <is>
          <t>200</t>
        </is>
      </c>
      <c r="B8683" s="4" t="n">
        <v>2</v>
      </c>
      <c r="C8683" s="4" t="inlineStr">
        <is>
          <t>whitetail</t>
        </is>
      </c>
      <c r="D8683" s="4" t="n">
        <v>2010</v>
      </c>
      <c r="E8683" s="13" t="inlineStr">
        <is>
          <t>General</t>
        </is>
      </c>
      <c r="F8683" s="5" t="n">
        <v>641</v>
      </c>
      <c r="G8683" s="5" t="n">
        <v>5379</v>
      </c>
      <c r="H8683" s="5" t="n">
        <v>161</v>
      </c>
      <c r="I8683" s="5" t="n">
        <v>148</v>
      </c>
      <c r="J8683" s="5" t="n">
        <v>13</v>
      </c>
      <c r="K8683" s="10">
        <f>IF(F8683&gt;0,H8683/F8683,"")</f>
        <v/>
      </c>
      <c r="L8683" s="16">
        <f>IF(AND(G8683&gt;0,H8683&gt;0),G8683/H8683,"")</f>
        <v/>
      </c>
    </row>
    <row r="8684">
      <c r="A8684" s="4" t="inlineStr">
        <is>
          <t>200</t>
        </is>
      </c>
      <c r="B8684" s="4" t="n">
        <v>2</v>
      </c>
      <c r="C8684" s="4" t="inlineStr">
        <is>
          <t>whitetail</t>
        </is>
      </c>
      <c r="D8684" s="4" t="n">
        <v>2011</v>
      </c>
      <c r="E8684" s="13" t="inlineStr">
        <is>
          <t>General</t>
        </is>
      </c>
      <c r="F8684" s="5" t="n">
        <v>777</v>
      </c>
      <c r="G8684" s="5" t="n">
        <v>6192</v>
      </c>
      <c r="H8684" s="5" t="n">
        <v>153</v>
      </c>
      <c r="I8684" s="5" t="n">
        <v>143</v>
      </c>
      <c r="J8684" s="5" t="n">
        <v>10</v>
      </c>
      <c r="K8684" s="10">
        <f>IF(F8684&gt;0,H8684/F8684,"")</f>
        <v/>
      </c>
      <c r="L8684" s="16">
        <f>IF(AND(G8684&gt;0,H8684&gt;0),G8684/H8684,"")</f>
        <v/>
      </c>
    </row>
    <row r="8685">
      <c r="A8685" s="4" t="inlineStr">
        <is>
          <t>200</t>
        </is>
      </c>
      <c r="B8685" s="4" t="n">
        <v>2</v>
      </c>
      <c r="C8685" s="4" t="inlineStr">
        <is>
          <t>whitetail</t>
        </is>
      </c>
      <c r="D8685" s="4" t="n">
        <v>2012</v>
      </c>
      <c r="E8685" s="13" t="inlineStr">
        <is>
          <t>General</t>
        </is>
      </c>
      <c r="F8685" s="5" t="n"/>
      <c r="G8685" s="5" t="n"/>
      <c r="H8685" s="5" t="n">
        <v>118</v>
      </c>
      <c r="I8685" s="5" t="n">
        <v>109</v>
      </c>
      <c r="J8685" s="5" t="n">
        <v>10</v>
      </c>
      <c r="K8685" s="10">
        <f>IF(F8685&gt;0,H8685/F8685,"")</f>
        <v/>
      </c>
      <c r="L8685" s="16">
        <f>IF(AND(G8685&gt;0,H8685&gt;0),G8685/H8685,"")</f>
        <v/>
      </c>
    </row>
    <row r="8686">
      <c r="A8686" s="4" t="inlineStr">
        <is>
          <t>200</t>
        </is>
      </c>
      <c r="B8686" s="4" t="n">
        <v>2</v>
      </c>
      <c r="C8686" s="4" t="inlineStr">
        <is>
          <t>whitetail</t>
        </is>
      </c>
      <c r="D8686" s="4" t="n">
        <v>2013</v>
      </c>
      <c r="E8686" s="13" t="inlineStr">
        <is>
          <t>General</t>
        </is>
      </c>
      <c r="F8686" s="5" t="n">
        <v>571</v>
      </c>
      <c r="G8686" s="5" t="n">
        <v>5287</v>
      </c>
      <c r="H8686" s="5" t="n">
        <v>96</v>
      </c>
      <c r="I8686" s="5" t="n">
        <v>90</v>
      </c>
      <c r="J8686" s="5" t="n">
        <v>6</v>
      </c>
      <c r="K8686" s="10">
        <f>IF(F8686&gt;0,H8686/F8686,"")</f>
        <v/>
      </c>
      <c r="L8686" s="16">
        <f>IF(AND(G8686&gt;0,H8686&gt;0),G8686/H8686,"")</f>
        <v/>
      </c>
    </row>
    <row r="8687">
      <c r="A8687" s="4" t="inlineStr">
        <is>
          <t>200</t>
        </is>
      </c>
      <c r="B8687" s="4" t="n">
        <v>2</v>
      </c>
      <c r="C8687" s="4" t="inlineStr">
        <is>
          <t>whitetail</t>
        </is>
      </c>
      <c r="D8687" s="4" t="n">
        <v>2014</v>
      </c>
      <c r="E8687" s="13" t="inlineStr">
        <is>
          <t>General</t>
        </is>
      </c>
      <c r="F8687" s="5" t="n"/>
      <c r="G8687" s="5" t="n"/>
      <c r="H8687" s="5" t="n">
        <v>124</v>
      </c>
      <c r="I8687" s="5" t="n">
        <v>119</v>
      </c>
      <c r="J8687" s="5" t="n">
        <v>3</v>
      </c>
      <c r="K8687" s="10">
        <f>IF(F8687&gt;0,H8687/F8687,"")</f>
        <v/>
      </c>
      <c r="L8687" s="16">
        <f>IF(AND(G8687&gt;0,H8687&gt;0),G8687/H8687,"")</f>
        <v/>
      </c>
    </row>
    <row r="8688">
      <c r="A8688" s="4" t="inlineStr">
        <is>
          <t>200</t>
        </is>
      </c>
      <c r="B8688" s="4" t="n">
        <v>2</v>
      </c>
      <c r="C8688" s="4" t="inlineStr">
        <is>
          <t>whitetail</t>
        </is>
      </c>
      <c r="D8688" s="4" t="n">
        <v>2015</v>
      </c>
      <c r="E8688" s="13" t="inlineStr">
        <is>
          <t>General</t>
        </is>
      </c>
      <c r="F8688" s="5" t="n"/>
      <c r="G8688" s="5" t="n"/>
      <c r="H8688" s="5" t="n">
        <v>152</v>
      </c>
      <c r="I8688" s="5" t="n">
        <v>129</v>
      </c>
      <c r="J8688" s="5" t="n">
        <v>20</v>
      </c>
      <c r="K8688" s="10">
        <f>IF(F8688&gt;0,H8688/F8688,"")</f>
        <v/>
      </c>
      <c r="L8688" s="16">
        <f>IF(AND(G8688&gt;0,H8688&gt;0),G8688/H8688,"")</f>
        <v/>
      </c>
    </row>
    <row r="8689">
      <c r="A8689" s="4" t="inlineStr">
        <is>
          <t>200</t>
        </is>
      </c>
      <c r="B8689" s="4" t="n">
        <v>2</v>
      </c>
      <c r="C8689" s="4" t="inlineStr">
        <is>
          <t>whitetail</t>
        </is>
      </c>
      <c r="D8689" s="4" t="n">
        <v>2016</v>
      </c>
      <c r="E8689" s="13" t="inlineStr">
        <is>
          <t>General</t>
        </is>
      </c>
      <c r="F8689" s="5" t="n"/>
      <c r="G8689" s="5" t="n"/>
      <c r="H8689" s="5" t="n">
        <v>161</v>
      </c>
      <c r="I8689" s="5" t="n">
        <v>155</v>
      </c>
      <c r="J8689" s="5" t="n">
        <v>6</v>
      </c>
      <c r="K8689" s="10">
        <f>IF(F8689&gt;0,H8689/F8689,"")</f>
        <v/>
      </c>
      <c r="L8689" s="16">
        <f>IF(AND(G8689&gt;0,H8689&gt;0),G8689/H8689,"")</f>
        <v/>
      </c>
    </row>
    <row r="8690">
      <c r="A8690" s="4" t="inlineStr">
        <is>
          <t>200</t>
        </is>
      </c>
      <c r="B8690" s="4" t="n">
        <v>2</v>
      </c>
      <c r="C8690" s="4" t="inlineStr">
        <is>
          <t>whitetail</t>
        </is>
      </c>
      <c r="D8690" s="4" t="n">
        <v>2017</v>
      </c>
      <c r="E8690" s="13" t="inlineStr">
        <is>
          <t>General</t>
        </is>
      </c>
      <c r="F8690" s="5" t="n">
        <v>651</v>
      </c>
      <c r="G8690" s="5" t="n">
        <v>4758</v>
      </c>
      <c r="H8690" s="5" t="n">
        <v>192</v>
      </c>
      <c r="I8690" s="5" t="n">
        <v>177</v>
      </c>
      <c r="J8690" s="5" t="n">
        <v>12</v>
      </c>
      <c r="K8690" s="10">
        <f>IF(F8690&gt;0,H8690/F8690,"")</f>
        <v/>
      </c>
      <c r="L8690" s="16">
        <f>IF(AND(G8690&gt;0,H8690&gt;0),G8690/H8690,"")</f>
        <v/>
      </c>
    </row>
    <row r="8691">
      <c r="A8691" s="4" t="inlineStr">
        <is>
          <t>200</t>
        </is>
      </c>
      <c r="B8691" s="4" t="n">
        <v>2</v>
      </c>
      <c r="C8691" s="4" t="inlineStr">
        <is>
          <t>whitetail</t>
        </is>
      </c>
      <c r="D8691" s="4" t="n">
        <v>2018</v>
      </c>
      <c r="E8691" s="13" t="inlineStr">
        <is>
          <t>General</t>
        </is>
      </c>
      <c r="F8691" s="5" t="n"/>
      <c r="G8691" s="5" t="n"/>
      <c r="H8691" s="5" t="n">
        <v>191</v>
      </c>
      <c r="I8691" s="5" t="n">
        <v>170</v>
      </c>
      <c r="J8691" s="5" t="n">
        <v>21</v>
      </c>
      <c r="K8691" s="10">
        <f>IF(F8691&gt;0,H8691/F8691,"")</f>
        <v/>
      </c>
      <c r="L8691" s="16">
        <f>IF(AND(G8691&gt;0,H8691&gt;0),G8691/H8691,"")</f>
        <v/>
      </c>
    </row>
    <row r="8692">
      <c r="A8692" s="4" t="inlineStr">
        <is>
          <t>200</t>
        </is>
      </c>
      <c r="B8692" s="4" t="n">
        <v>2</v>
      </c>
      <c r="C8692" s="4" t="inlineStr">
        <is>
          <t>whitetail</t>
        </is>
      </c>
      <c r="D8692" s="4" t="n">
        <v>2019</v>
      </c>
      <c r="E8692" s="13" t="inlineStr">
        <is>
          <t>General</t>
        </is>
      </c>
      <c r="F8692" s="5" t="n">
        <v>746</v>
      </c>
      <c r="G8692" s="5" t="n">
        <v>5023</v>
      </c>
      <c r="H8692" s="5" t="n">
        <v>167</v>
      </c>
      <c r="I8692" s="5" t="n">
        <v>137</v>
      </c>
      <c r="J8692" s="5" t="n">
        <v>30</v>
      </c>
      <c r="K8692" s="10">
        <f>IF(F8692&gt;0,H8692/F8692,"")</f>
        <v/>
      </c>
      <c r="L8692" s="16">
        <f>IF(AND(G8692&gt;0,H8692&gt;0),G8692/H8692,"")</f>
        <v/>
      </c>
    </row>
    <row r="8693">
      <c r="A8693" s="4" t="inlineStr">
        <is>
          <t>200</t>
        </is>
      </c>
      <c r="B8693" s="4" t="n">
        <v>2</v>
      </c>
      <c r="C8693" s="4" t="inlineStr">
        <is>
          <t>whitetail</t>
        </is>
      </c>
      <c r="D8693" s="4" t="n">
        <v>2020</v>
      </c>
      <c r="E8693" s="13" t="inlineStr">
        <is>
          <t>General</t>
        </is>
      </c>
      <c r="F8693" s="5" t="n"/>
      <c r="G8693" s="5" t="n"/>
      <c r="H8693" s="5" t="n">
        <v>190</v>
      </c>
      <c r="I8693" s="5" t="n">
        <v>139</v>
      </c>
      <c r="J8693" s="5" t="n">
        <v>51</v>
      </c>
      <c r="K8693" s="10">
        <f>IF(F8693&gt;0,H8693/F8693,"")</f>
        <v/>
      </c>
      <c r="L8693" s="16">
        <f>IF(AND(G8693&gt;0,H8693&gt;0),G8693/H8693,"")</f>
        <v/>
      </c>
    </row>
    <row r="8694">
      <c r="A8694" s="4" t="inlineStr">
        <is>
          <t>200</t>
        </is>
      </c>
      <c r="B8694" s="4" t="n">
        <v>2</v>
      </c>
      <c r="C8694" s="4" t="inlineStr">
        <is>
          <t>whitetail</t>
        </is>
      </c>
      <c r="D8694" s="4" t="n">
        <v>2021</v>
      </c>
      <c r="E8694" s="13" t="inlineStr">
        <is>
          <t>General</t>
        </is>
      </c>
      <c r="F8694" s="5" t="n">
        <v>673</v>
      </c>
      <c r="G8694" s="5" t="n">
        <v>5623</v>
      </c>
      <c r="H8694" s="5" t="n">
        <v>212</v>
      </c>
      <c r="I8694" s="5" t="n">
        <v>187</v>
      </c>
      <c r="J8694" s="5" t="n">
        <v>25</v>
      </c>
      <c r="K8694" s="10">
        <f>IF(F8694&gt;0,H8694/F8694,"")</f>
        <v/>
      </c>
      <c r="L8694" s="16">
        <f>IF(AND(G8694&gt;0,H8694&gt;0),G8694/H8694,"")</f>
        <v/>
      </c>
    </row>
    <row r="8695">
      <c r="A8695" s="4" t="inlineStr">
        <is>
          <t>200</t>
        </is>
      </c>
      <c r="B8695" s="4" t="n">
        <v>2</v>
      </c>
      <c r="C8695" s="4" t="inlineStr">
        <is>
          <t>whitetail</t>
        </is>
      </c>
      <c r="D8695" s="4" t="n">
        <v>2022</v>
      </c>
      <c r="E8695" s="13" t="inlineStr">
        <is>
          <t>General</t>
        </is>
      </c>
      <c r="F8695" s="5" t="n"/>
      <c r="G8695" s="5" t="n"/>
      <c r="H8695" s="5" t="n">
        <v>184</v>
      </c>
      <c r="I8695" s="5" t="n">
        <v>142</v>
      </c>
      <c r="J8695" s="5" t="n">
        <v>43</v>
      </c>
      <c r="K8695" s="10">
        <f>IF(F8695&gt;0,H8695/F8695,"")</f>
        <v/>
      </c>
      <c r="L8695" s="16">
        <f>IF(AND(G8695&gt;0,H8695&gt;0),G8695/H8695,"")</f>
        <v/>
      </c>
    </row>
    <row r="8696">
      <c r="A8696" s="4" t="inlineStr">
        <is>
          <t>200</t>
        </is>
      </c>
      <c r="B8696" s="4" t="n">
        <v>2</v>
      </c>
      <c r="C8696" s="4" t="inlineStr">
        <is>
          <t>whitetail</t>
        </is>
      </c>
      <c r="D8696" s="4" t="n">
        <v>2023</v>
      </c>
      <c r="E8696" s="13" t="inlineStr">
        <is>
          <t>General</t>
        </is>
      </c>
      <c r="F8696" s="5" t="n">
        <v>750</v>
      </c>
      <c r="G8696" s="5" t="n">
        <v>5843</v>
      </c>
      <c r="H8696" s="5" t="n">
        <v>207</v>
      </c>
      <c r="I8696" s="5" t="n">
        <v>171</v>
      </c>
      <c r="J8696" s="5" t="n">
        <v>36</v>
      </c>
      <c r="K8696" s="10">
        <f>IF(F8696&gt;0,H8696/F8696,"")</f>
        <v/>
      </c>
      <c r="L8696" s="16">
        <f>IF(AND(G8696&gt;0,H8696&gt;0),G8696/H8696,"")</f>
        <v/>
      </c>
    </row>
    <row r="8697">
      <c r="A8697" s="4" t="inlineStr">
        <is>
          <t>200</t>
        </is>
      </c>
      <c r="B8697" s="4" t="n">
        <v>2</v>
      </c>
      <c r="C8697" s="4" t="inlineStr">
        <is>
          <t>whitetail</t>
        </is>
      </c>
      <c r="D8697" s="4" t="n">
        <v>2024</v>
      </c>
      <c r="E8697" s="13" t="inlineStr">
        <is>
          <t>General</t>
        </is>
      </c>
      <c r="F8697" s="5" t="n"/>
      <c r="G8697" s="5" t="n"/>
      <c r="H8697" s="5" t="n">
        <v>201</v>
      </c>
      <c r="I8697" s="5" t="n">
        <v>183</v>
      </c>
      <c r="J8697" s="5" t="n">
        <v>18</v>
      </c>
      <c r="K8697" s="10">
        <f>IF(F8697&gt;0,H8697/F8697,"")</f>
        <v/>
      </c>
      <c r="L8697" s="16">
        <f>IF(AND(G8697&gt;0,H8697&gt;0),G8697/H8697,"")</f>
        <v/>
      </c>
    </row>
    <row r="8698">
      <c r="A8698" s="4" t="inlineStr">
        <is>
          <t>200</t>
        </is>
      </c>
      <c r="B8698" s="4" t="n">
        <v>2</v>
      </c>
      <c r="C8698" s="4" t="inlineStr">
        <is>
          <t>whitetail</t>
        </is>
      </c>
      <c r="D8698" s="4" t="n">
        <v>2025</v>
      </c>
      <c r="E8698" s="13" t="inlineStr">
        <is>
          <t>General</t>
        </is>
      </c>
      <c r="F8698" s="5" t="n">
        <v>618</v>
      </c>
      <c r="G8698" s="5" t="n">
        <v>4231</v>
      </c>
      <c r="H8698" s="5" t="n">
        <v>175</v>
      </c>
      <c r="I8698" s="5" t="n">
        <v>145</v>
      </c>
      <c r="J8698" s="5" t="n">
        <v>26</v>
      </c>
      <c r="K8698" s="10">
        <f>IF(F8698&gt;0,H8698/F8698,"")</f>
        <v/>
      </c>
      <c r="L8698" s="16">
        <f>IF(AND(G8698&gt;0,H8698&gt;0),G8698/H8698,"")</f>
        <v/>
      </c>
    </row>
    <row r="8699">
      <c r="A8699" s="4" t="inlineStr">
        <is>
          <t>201</t>
        </is>
      </c>
      <c r="B8699" s="4" t="n">
        <v>2</v>
      </c>
      <c r="C8699" s="4" t="inlineStr">
        <is>
          <t>whitetail</t>
        </is>
      </c>
      <c r="D8699" s="4" t="n">
        <v>2004</v>
      </c>
      <c r="E8699" s="13" t="inlineStr">
        <is>
          <t>General</t>
        </is>
      </c>
      <c r="F8699" s="5" t="n">
        <v>2116</v>
      </c>
      <c r="G8699" s="5" t="n">
        <v>12385</v>
      </c>
      <c r="H8699" s="5" t="n">
        <v>745</v>
      </c>
      <c r="I8699" s="5" t="n">
        <v>454</v>
      </c>
      <c r="J8699" s="5" t="n">
        <v>286</v>
      </c>
      <c r="K8699" s="10">
        <f>IF(F8699&gt;0,H8699/F8699,"")</f>
        <v/>
      </c>
      <c r="L8699" s="16">
        <f>IF(AND(G8699&gt;0,H8699&gt;0),G8699/H8699,"")</f>
        <v/>
      </c>
    </row>
    <row r="8700">
      <c r="A8700" s="4" t="inlineStr">
        <is>
          <t>201</t>
        </is>
      </c>
      <c r="B8700" s="4" t="n">
        <v>2</v>
      </c>
      <c r="C8700" s="4" t="inlineStr">
        <is>
          <t>whitetail</t>
        </is>
      </c>
      <c r="D8700" s="4" t="n">
        <v>2005</v>
      </c>
      <c r="E8700" s="13" t="inlineStr">
        <is>
          <t>General</t>
        </is>
      </c>
      <c r="F8700" s="5" t="n">
        <v>2248</v>
      </c>
      <c r="G8700" s="5" t="n">
        <v>13951</v>
      </c>
      <c r="H8700" s="5" t="n">
        <v>1022</v>
      </c>
      <c r="I8700" s="5" t="n">
        <v>582</v>
      </c>
      <c r="J8700" s="5" t="n">
        <v>428</v>
      </c>
      <c r="K8700" s="10">
        <f>IF(F8700&gt;0,H8700/F8700,"")</f>
        <v/>
      </c>
      <c r="L8700" s="16">
        <f>IF(AND(G8700&gt;0,H8700&gt;0),G8700/H8700,"")</f>
        <v/>
      </c>
    </row>
    <row r="8701">
      <c r="A8701" s="4" t="inlineStr">
        <is>
          <t>201</t>
        </is>
      </c>
      <c r="B8701" s="4" t="n">
        <v>2</v>
      </c>
      <c r="C8701" s="4" t="inlineStr">
        <is>
          <t>whitetail</t>
        </is>
      </c>
      <c r="D8701" s="4" t="n">
        <v>2006</v>
      </c>
      <c r="E8701" s="13" t="inlineStr">
        <is>
          <t>General</t>
        </is>
      </c>
      <c r="F8701" s="5" t="n">
        <v>2123</v>
      </c>
      <c r="G8701" s="5" t="n">
        <v>14813</v>
      </c>
      <c r="H8701" s="5" t="n">
        <v>1195</v>
      </c>
      <c r="I8701" s="5" t="n">
        <v>518</v>
      </c>
      <c r="J8701" s="5" t="n">
        <v>637</v>
      </c>
      <c r="K8701" s="10">
        <f>IF(F8701&gt;0,H8701/F8701,"")</f>
        <v/>
      </c>
      <c r="L8701" s="16">
        <f>IF(AND(G8701&gt;0,H8701&gt;0),G8701/H8701,"")</f>
        <v/>
      </c>
    </row>
    <row r="8702">
      <c r="A8702" s="4" t="inlineStr">
        <is>
          <t>201</t>
        </is>
      </c>
      <c r="B8702" s="4" t="n">
        <v>2</v>
      </c>
      <c r="C8702" s="4" t="inlineStr">
        <is>
          <t>whitetail</t>
        </is>
      </c>
      <c r="D8702" s="4" t="n">
        <v>2007</v>
      </c>
      <c r="E8702" s="13" t="inlineStr">
        <is>
          <t>General</t>
        </is>
      </c>
      <c r="F8702" s="5" t="n">
        <v>2121</v>
      </c>
      <c r="G8702" s="5" t="n">
        <v>14452</v>
      </c>
      <c r="H8702" s="5" t="n">
        <v>955</v>
      </c>
      <c r="I8702" s="5" t="n">
        <v>375</v>
      </c>
      <c r="J8702" s="5" t="n">
        <v>556</v>
      </c>
      <c r="K8702" s="10">
        <f>IF(F8702&gt;0,H8702/F8702,"")</f>
        <v/>
      </c>
      <c r="L8702" s="16">
        <f>IF(AND(G8702&gt;0,H8702&gt;0),G8702/H8702,"")</f>
        <v/>
      </c>
    </row>
    <row r="8703">
      <c r="A8703" s="4" t="inlineStr">
        <is>
          <t>201</t>
        </is>
      </c>
      <c r="B8703" s="4" t="n">
        <v>2</v>
      </c>
      <c r="C8703" s="4" t="inlineStr">
        <is>
          <t>whitetail</t>
        </is>
      </c>
      <c r="D8703" s="4" t="n">
        <v>2008</v>
      </c>
      <c r="E8703" s="13" t="inlineStr">
        <is>
          <t>General</t>
        </is>
      </c>
      <c r="F8703" s="5" t="n">
        <v>2313</v>
      </c>
      <c r="G8703" s="5" t="n">
        <v>16959</v>
      </c>
      <c r="H8703" s="5" t="n">
        <v>787</v>
      </c>
      <c r="I8703" s="5" t="n">
        <v>365</v>
      </c>
      <c r="J8703" s="5" t="n">
        <v>413</v>
      </c>
      <c r="K8703" s="10">
        <f>IF(F8703&gt;0,H8703/F8703,"")</f>
        <v/>
      </c>
      <c r="L8703" s="16">
        <f>IF(AND(G8703&gt;0,H8703&gt;0),G8703/H8703,"")</f>
        <v/>
      </c>
    </row>
    <row r="8704">
      <c r="A8704" s="4" t="inlineStr">
        <is>
          <t>201</t>
        </is>
      </c>
      <c r="B8704" s="4" t="n">
        <v>2</v>
      </c>
      <c r="C8704" s="4" t="inlineStr">
        <is>
          <t>whitetail</t>
        </is>
      </c>
      <c r="D8704" s="4" t="n">
        <v>2009</v>
      </c>
      <c r="E8704" s="13" t="inlineStr">
        <is>
          <t>General</t>
        </is>
      </c>
      <c r="F8704" s="5" t="n">
        <v>2209</v>
      </c>
      <c r="G8704" s="5" t="n">
        <v>15179</v>
      </c>
      <c r="H8704" s="5" t="n">
        <v>546</v>
      </c>
      <c r="I8704" s="5" t="n">
        <v>355</v>
      </c>
      <c r="J8704" s="5" t="n">
        <v>177</v>
      </c>
      <c r="K8704" s="10">
        <f>IF(F8704&gt;0,H8704/F8704,"")</f>
        <v/>
      </c>
      <c r="L8704" s="16">
        <f>IF(AND(G8704&gt;0,H8704&gt;0),G8704/H8704,"")</f>
        <v/>
      </c>
    </row>
    <row r="8705">
      <c r="A8705" s="4" t="inlineStr">
        <is>
          <t>201</t>
        </is>
      </c>
      <c r="B8705" s="4" t="n">
        <v>2</v>
      </c>
      <c r="C8705" s="4" t="inlineStr">
        <is>
          <t>whitetail</t>
        </is>
      </c>
      <c r="D8705" s="4" t="n">
        <v>2010</v>
      </c>
      <c r="E8705" s="13" t="inlineStr">
        <is>
          <t>General</t>
        </is>
      </c>
      <c r="F8705" s="5" t="n">
        <v>1833</v>
      </c>
      <c r="G8705" s="5" t="n">
        <v>12346</v>
      </c>
      <c r="H8705" s="5" t="n">
        <v>544</v>
      </c>
      <c r="I8705" s="5" t="n">
        <v>500</v>
      </c>
      <c r="J8705" s="5" t="n">
        <v>45</v>
      </c>
      <c r="K8705" s="10">
        <f>IF(F8705&gt;0,H8705/F8705,"")</f>
        <v/>
      </c>
      <c r="L8705" s="16">
        <f>IF(AND(G8705&gt;0,H8705&gt;0),G8705/H8705,"")</f>
        <v/>
      </c>
    </row>
    <row r="8706">
      <c r="A8706" s="4" t="inlineStr">
        <is>
          <t>201</t>
        </is>
      </c>
      <c r="B8706" s="4" t="n">
        <v>2</v>
      </c>
      <c r="C8706" s="4" t="inlineStr">
        <is>
          <t>whitetail</t>
        </is>
      </c>
      <c r="D8706" s="4" t="n">
        <v>2011</v>
      </c>
      <c r="E8706" s="13" t="inlineStr">
        <is>
          <t>General</t>
        </is>
      </c>
      <c r="F8706" s="5" t="n">
        <v>2003</v>
      </c>
      <c r="G8706" s="5" t="n">
        <v>12872</v>
      </c>
      <c r="H8706" s="5" t="n">
        <v>470</v>
      </c>
      <c r="I8706" s="5" t="n">
        <v>432</v>
      </c>
      <c r="J8706" s="5" t="n">
        <v>35</v>
      </c>
      <c r="K8706" s="10">
        <f>IF(F8706&gt;0,H8706/F8706,"")</f>
        <v/>
      </c>
      <c r="L8706" s="16">
        <f>IF(AND(G8706&gt;0,H8706&gt;0),G8706/H8706,"")</f>
        <v/>
      </c>
    </row>
    <row r="8707">
      <c r="A8707" s="4" t="inlineStr">
        <is>
          <t>201</t>
        </is>
      </c>
      <c r="B8707" s="4" t="n">
        <v>2</v>
      </c>
      <c r="C8707" s="4" t="inlineStr">
        <is>
          <t>whitetail</t>
        </is>
      </c>
      <c r="D8707" s="4" t="n">
        <v>2012</v>
      </c>
      <c r="E8707" s="13" t="inlineStr">
        <is>
          <t>General</t>
        </is>
      </c>
      <c r="F8707" s="5" t="n"/>
      <c r="G8707" s="5" t="n"/>
      <c r="H8707" s="5" t="n">
        <v>409</v>
      </c>
      <c r="I8707" s="5" t="n">
        <v>369</v>
      </c>
      <c r="J8707" s="5" t="n">
        <v>40</v>
      </c>
      <c r="K8707" s="10">
        <f>IF(F8707&gt;0,H8707/F8707,"")</f>
        <v/>
      </c>
      <c r="L8707" s="16">
        <f>IF(AND(G8707&gt;0,H8707&gt;0),G8707/H8707,"")</f>
        <v/>
      </c>
    </row>
    <row r="8708">
      <c r="A8708" s="4" t="inlineStr">
        <is>
          <t>201</t>
        </is>
      </c>
      <c r="B8708" s="4" t="n">
        <v>2</v>
      </c>
      <c r="C8708" s="4" t="inlineStr">
        <is>
          <t>whitetail</t>
        </is>
      </c>
      <c r="D8708" s="4" t="n">
        <v>2013</v>
      </c>
      <c r="E8708" s="13" t="inlineStr">
        <is>
          <t>General</t>
        </is>
      </c>
      <c r="F8708" s="5" t="n">
        <v>2086</v>
      </c>
      <c r="G8708" s="5" t="n">
        <v>15010</v>
      </c>
      <c r="H8708" s="5" t="n">
        <v>438</v>
      </c>
      <c r="I8708" s="5" t="n">
        <v>387</v>
      </c>
      <c r="J8708" s="5" t="n">
        <v>51</v>
      </c>
      <c r="K8708" s="10">
        <f>IF(F8708&gt;0,H8708/F8708,"")</f>
        <v/>
      </c>
      <c r="L8708" s="16">
        <f>IF(AND(G8708&gt;0,H8708&gt;0),G8708/H8708,"")</f>
        <v/>
      </c>
    </row>
    <row r="8709">
      <c r="A8709" s="4" t="inlineStr">
        <is>
          <t>201</t>
        </is>
      </c>
      <c r="B8709" s="4" t="n">
        <v>2</v>
      </c>
      <c r="C8709" s="4" t="inlineStr">
        <is>
          <t>whitetail</t>
        </is>
      </c>
      <c r="D8709" s="4" t="n">
        <v>2014</v>
      </c>
      <c r="E8709" s="13" t="inlineStr">
        <is>
          <t>General</t>
        </is>
      </c>
      <c r="F8709" s="5" t="n"/>
      <c r="G8709" s="5" t="n"/>
      <c r="H8709" s="5" t="n">
        <v>479</v>
      </c>
      <c r="I8709" s="5" t="n">
        <v>427</v>
      </c>
      <c r="J8709" s="5" t="n">
        <v>52</v>
      </c>
      <c r="K8709" s="10">
        <f>IF(F8709&gt;0,H8709/F8709,"")</f>
        <v/>
      </c>
      <c r="L8709" s="16">
        <f>IF(AND(G8709&gt;0,H8709&gt;0),G8709/H8709,"")</f>
        <v/>
      </c>
    </row>
    <row r="8710">
      <c r="A8710" s="4" t="inlineStr">
        <is>
          <t>201</t>
        </is>
      </c>
      <c r="B8710" s="4" t="n">
        <v>2</v>
      </c>
      <c r="C8710" s="4" t="inlineStr">
        <is>
          <t>whitetail</t>
        </is>
      </c>
      <c r="D8710" s="4" t="n">
        <v>2015</v>
      </c>
      <c r="E8710" s="13" t="inlineStr">
        <is>
          <t>General</t>
        </is>
      </c>
      <c r="F8710" s="5" t="n"/>
      <c r="G8710" s="5" t="n"/>
      <c r="H8710" s="5" t="n">
        <v>433</v>
      </c>
      <c r="I8710" s="5" t="n">
        <v>352</v>
      </c>
      <c r="J8710" s="5" t="n">
        <v>80</v>
      </c>
      <c r="K8710" s="10">
        <f>IF(F8710&gt;0,H8710/F8710,"")</f>
        <v/>
      </c>
      <c r="L8710" s="16">
        <f>IF(AND(G8710&gt;0,H8710&gt;0),G8710/H8710,"")</f>
        <v/>
      </c>
    </row>
    <row r="8711">
      <c r="A8711" s="4" t="inlineStr">
        <is>
          <t>201</t>
        </is>
      </c>
      <c r="B8711" s="4" t="n">
        <v>2</v>
      </c>
      <c r="C8711" s="4" t="inlineStr">
        <is>
          <t>whitetail</t>
        </is>
      </c>
      <c r="D8711" s="4" t="n">
        <v>2016</v>
      </c>
      <c r="E8711" s="13" t="inlineStr">
        <is>
          <t>General</t>
        </is>
      </c>
      <c r="F8711" s="5" t="n"/>
      <c r="G8711" s="5" t="n"/>
      <c r="H8711" s="5" t="n">
        <v>522</v>
      </c>
      <c r="I8711" s="5" t="n">
        <v>446</v>
      </c>
      <c r="J8711" s="5" t="n">
        <v>70</v>
      </c>
      <c r="K8711" s="10">
        <f>IF(F8711&gt;0,H8711/F8711,"")</f>
        <v/>
      </c>
      <c r="L8711" s="16">
        <f>IF(AND(G8711&gt;0,H8711&gt;0),G8711/H8711,"")</f>
        <v/>
      </c>
    </row>
    <row r="8712">
      <c r="A8712" s="4" t="inlineStr">
        <is>
          <t>201</t>
        </is>
      </c>
      <c r="B8712" s="4" t="n">
        <v>2</v>
      </c>
      <c r="C8712" s="4" t="inlineStr">
        <is>
          <t>whitetail</t>
        </is>
      </c>
      <c r="D8712" s="4" t="n">
        <v>2017</v>
      </c>
      <c r="E8712" s="13" t="inlineStr">
        <is>
          <t>General</t>
        </is>
      </c>
      <c r="F8712" s="5" t="n">
        <v>1747</v>
      </c>
      <c r="G8712" s="5" t="n">
        <v>11124</v>
      </c>
      <c r="H8712" s="5" t="n">
        <v>525</v>
      </c>
      <c r="I8712" s="5" t="n">
        <v>457</v>
      </c>
      <c r="J8712" s="5" t="n">
        <v>64</v>
      </c>
      <c r="K8712" s="10">
        <f>IF(F8712&gt;0,H8712/F8712,"")</f>
        <v/>
      </c>
      <c r="L8712" s="16">
        <f>IF(AND(G8712&gt;0,H8712&gt;0),G8712/H8712,"")</f>
        <v/>
      </c>
    </row>
    <row r="8713">
      <c r="A8713" s="4" t="inlineStr">
        <is>
          <t>201</t>
        </is>
      </c>
      <c r="B8713" s="4" t="n">
        <v>2</v>
      </c>
      <c r="C8713" s="4" t="inlineStr">
        <is>
          <t>whitetail</t>
        </is>
      </c>
      <c r="D8713" s="4" t="n">
        <v>2018</v>
      </c>
      <c r="E8713" s="13" t="inlineStr">
        <is>
          <t>General</t>
        </is>
      </c>
      <c r="F8713" s="5" t="n"/>
      <c r="G8713" s="5" t="n"/>
      <c r="H8713" s="5" t="n">
        <v>522</v>
      </c>
      <c r="I8713" s="5" t="n">
        <v>425</v>
      </c>
      <c r="J8713" s="5" t="n">
        <v>96</v>
      </c>
      <c r="K8713" s="10">
        <f>IF(F8713&gt;0,H8713/F8713,"")</f>
        <v/>
      </c>
      <c r="L8713" s="16">
        <f>IF(AND(G8713&gt;0,H8713&gt;0),G8713/H8713,"")</f>
        <v/>
      </c>
    </row>
    <row r="8714">
      <c r="A8714" s="4" t="inlineStr">
        <is>
          <t>201</t>
        </is>
      </c>
      <c r="B8714" s="4" t="n">
        <v>2</v>
      </c>
      <c r="C8714" s="4" t="inlineStr">
        <is>
          <t>whitetail</t>
        </is>
      </c>
      <c r="D8714" s="4" t="n">
        <v>2019</v>
      </c>
      <c r="E8714" s="13" t="inlineStr">
        <is>
          <t>General</t>
        </is>
      </c>
      <c r="F8714" s="5" t="n">
        <v>1937</v>
      </c>
      <c r="G8714" s="5" t="n">
        <v>13136</v>
      </c>
      <c r="H8714" s="5" t="n">
        <v>499</v>
      </c>
      <c r="I8714" s="5" t="n">
        <v>398</v>
      </c>
      <c r="J8714" s="5" t="n">
        <v>101</v>
      </c>
      <c r="K8714" s="10">
        <f>IF(F8714&gt;0,H8714/F8714,"")</f>
        <v/>
      </c>
      <c r="L8714" s="16">
        <f>IF(AND(G8714&gt;0,H8714&gt;0),G8714/H8714,"")</f>
        <v/>
      </c>
    </row>
    <row r="8715">
      <c r="A8715" s="4" t="inlineStr">
        <is>
          <t>201</t>
        </is>
      </c>
      <c r="B8715" s="4" t="n">
        <v>2</v>
      </c>
      <c r="C8715" s="4" t="inlineStr">
        <is>
          <t>whitetail</t>
        </is>
      </c>
      <c r="D8715" s="4" t="n">
        <v>2020</v>
      </c>
      <c r="E8715" s="13" t="inlineStr">
        <is>
          <t>General</t>
        </is>
      </c>
      <c r="F8715" s="5" t="n"/>
      <c r="G8715" s="5" t="n"/>
      <c r="H8715" s="5" t="n">
        <v>561</v>
      </c>
      <c r="I8715" s="5" t="n">
        <v>462</v>
      </c>
      <c r="J8715" s="5" t="n">
        <v>99</v>
      </c>
      <c r="K8715" s="10">
        <f>IF(F8715&gt;0,H8715/F8715,"")</f>
        <v/>
      </c>
      <c r="L8715" s="16">
        <f>IF(AND(G8715&gt;0,H8715&gt;0),G8715/H8715,"")</f>
        <v/>
      </c>
    </row>
    <row r="8716">
      <c r="A8716" s="4" t="inlineStr">
        <is>
          <t>201</t>
        </is>
      </c>
      <c r="B8716" s="4" t="n">
        <v>2</v>
      </c>
      <c r="C8716" s="4" t="inlineStr">
        <is>
          <t>whitetail</t>
        </is>
      </c>
      <c r="D8716" s="4" t="n">
        <v>2021</v>
      </c>
      <c r="E8716" s="13" t="inlineStr">
        <is>
          <t>General</t>
        </is>
      </c>
      <c r="F8716" s="5" t="n">
        <v>2164</v>
      </c>
      <c r="G8716" s="5" t="n">
        <v>15777</v>
      </c>
      <c r="H8716" s="5" t="n">
        <v>613</v>
      </c>
      <c r="I8716" s="5" t="n">
        <v>542</v>
      </c>
      <c r="J8716" s="5" t="n">
        <v>71</v>
      </c>
      <c r="K8716" s="10">
        <f>IF(F8716&gt;0,H8716/F8716,"")</f>
        <v/>
      </c>
      <c r="L8716" s="16">
        <f>IF(AND(G8716&gt;0,H8716&gt;0),G8716/H8716,"")</f>
        <v/>
      </c>
    </row>
    <row r="8717">
      <c r="A8717" s="4" t="inlineStr">
        <is>
          <t>201</t>
        </is>
      </c>
      <c r="B8717" s="4" t="n">
        <v>2</v>
      </c>
      <c r="C8717" s="4" t="inlineStr">
        <is>
          <t>whitetail</t>
        </is>
      </c>
      <c r="D8717" s="4" t="n">
        <v>2022</v>
      </c>
      <c r="E8717" s="13" t="inlineStr">
        <is>
          <t>General</t>
        </is>
      </c>
      <c r="F8717" s="5" t="n"/>
      <c r="G8717" s="5" t="n"/>
      <c r="H8717" s="5" t="n">
        <v>863</v>
      </c>
      <c r="I8717" s="5" t="n">
        <v>714</v>
      </c>
      <c r="J8717" s="5" t="n">
        <v>149</v>
      </c>
      <c r="K8717" s="10">
        <f>IF(F8717&gt;0,H8717/F8717,"")</f>
        <v/>
      </c>
      <c r="L8717" s="16">
        <f>IF(AND(G8717&gt;0,H8717&gt;0),G8717/H8717,"")</f>
        <v/>
      </c>
    </row>
    <row r="8718">
      <c r="A8718" s="4" t="inlineStr">
        <is>
          <t>201</t>
        </is>
      </c>
      <c r="B8718" s="4" t="n">
        <v>2</v>
      </c>
      <c r="C8718" s="4" t="inlineStr">
        <is>
          <t>whitetail</t>
        </is>
      </c>
      <c r="D8718" s="4" t="n">
        <v>2023</v>
      </c>
      <c r="E8718" s="13" t="inlineStr">
        <is>
          <t>General</t>
        </is>
      </c>
      <c r="F8718" s="5" t="n">
        <v>3619</v>
      </c>
      <c r="G8718" s="5" t="n">
        <v>25408</v>
      </c>
      <c r="H8718" s="5" t="n">
        <v>964</v>
      </c>
      <c r="I8718" s="5" t="n">
        <v>794</v>
      </c>
      <c r="J8718" s="5" t="n">
        <v>166</v>
      </c>
      <c r="K8718" s="10">
        <f>IF(F8718&gt;0,H8718/F8718,"")</f>
        <v/>
      </c>
      <c r="L8718" s="16">
        <f>IF(AND(G8718&gt;0,H8718&gt;0),G8718/H8718,"")</f>
        <v/>
      </c>
    </row>
    <row r="8719">
      <c r="A8719" s="4" t="inlineStr">
        <is>
          <t>201</t>
        </is>
      </c>
      <c r="B8719" s="4" t="n">
        <v>2</v>
      </c>
      <c r="C8719" s="4" t="inlineStr">
        <is>
          <t>whitetail</t>
        </is>
      </c>
      <c r="D8719" s="4" t="n">
        <v>2024</v>
      </c>
      <c r="E8719" s="13" t="inlineStr">
        <is>
          <t>General</t>
        </is>
      </c>
      <c r="F8719" s="5" t="n"/>
      <c r="G8719" s="5" t="n"/>
      <c r="H8719" s="5" t="n">
        <v>1079</v>
      </c>
      <c r="I8719" s="5" t="n">
        <v>896</v>
      </c>
      <c r="J8719" s="5" t="n">
        <v>176</v>
      </c>
      <c r="K8719" s="10">
        <f>IF(F8719&gt;0,H8719/F8719,"")</f>
        <v/>
      </c>
      <c r="L8719" s="16">
        <f>IF(AND(G8719&gt;0,H8719&gt;0),G8719/H8719,"")</f>
        <v/>
      </c>
    </row>
    <row r="8720">
      <c r="A8720" s="4" t="inlineStr">
        <is>
          <t>201</t>
        </is>
      </c>
      <c r="B8720" s="4" t="n">
        <v>2</v>
      </c>
      <c r="C8720" s="4" t="inlineStr">
        <is>
          <t>whitetail</t>
        </is>
      </c>
      <c r="D8720" s="4" t="n">
        <v>2025</v>
      </c>
      <c r="E8720" s="13" t="inlineStr">
        <is>
          <t>General</t>
        </is>
      </c>
      <c r="F8720" s="5" t="n">
        <v>3441</v>
      </c>
      <c r="G8720" s="5" t="n">
        <v>23120</v>
      </c>
      <c r="H8720" s="5" t="n">
        <v>841</v>
      </c>
      <c r="I8720" s="5" t="n">
        <v>632</v>
      </c>
      <c r="J8720" s="5" t="n">
        <v>208</v>
      </c>
      <c r="K8720" s="10">
        <f>IF(F8720&gt;0,H8720/F8720,"")</f>
        <v/>
      </c>
      <c r="L8720" s="16">
        <f>IF(AND(G8720&gt;0,H8720&gt;0),G8720/H8720,"")</f>
        <v/>
      </c>
    </row>
    <row r="8721">
      <c r="A8721" s="4" t="inlineStr">
        <is>
          <t>202</t>
        </is>
      </c>
      <c r="B8721" s="4" t="n">
        <v>2</v>
      </c>
      <c r="C8721" s="4" t="inlineStr">
        <is>
          <t>whitetail</t>
        </is>
      </c>
      <c r="D8721" s="4" t="n">
        <v>2004</v>
      </c>
      <c r="E8721" s="13" t="inlineStr">
        <is>
          <t>General</t>
        </is>
      </c>
      <c r="F8721" s="5" t="n">
        <v>1837</v>
      </c>
      <c r="G8721" s="5" t="n">
        <v>11222</v>
      </c>
      <c r="H8721" s="5" t="n">
        <v>573</v>
      </c>
      <c r="I8721" s="5" t="n">
        <v>365</v>
      </c>
      <c r="J8721" s="5" t="n">
        <v>199</v>
      </c>
      <c r="K8721" s="10">
        <f>IF(F8721&gt;0,H8721/F8721,"")</f>
        <v/>
      </c>
      <c r="L8721" s="16">
        <f>IF(AND(G8721&gt;0,H8721&gt;0),G8721/H8721,"")</f>
        <v/>
      </c>
    </row>
    <row r="8722">
      <c r="A8722" s="4" t="inlineStr">
        <is>
          <t>202</t>
        </is>
      </c>
      <c r="B8722" s="4" t="n">
        <v>2</v>
      </c>
      <c r="C8722" s="4" t="inlineStr">
        <is>
          <t>whitetail</t>
        </is>
      </c>
      <c r="D8722" s="4" t="n">
        <v>2005</v>
      </c>
      <c r="E8722" s="13" t="inlineStr">
        <is>
          <t>General</t>
        </is>
      </c>
      <c r="F8722" s="5" t="n">
        <v>1855</v>
      </c>
      <c r="G8722" s="5" t="n">
        <v>11778</v>
      </c>
      <c r="H8722" s="5" t="n">
        <v>662</v>
      </c>
      <c r="I8722" s="5" t="n">
        <v>391</v>
      </c>
      <c r="J8722" s="5" t="n">
        <v>261</v>
      </c>
      <c r="K8722" s="10">
        <f>IF(F8722&gt;0,H8722/F8722,"")</f>
        <v/>
      </c>
      <c r="L8722" s="16">
        <f>IF(AND(G8722&gt;0,H8722&gt;0),G8722/H8722,"")</f>
        <v/>
      </c>
    </row>
    <row r="8723">
      <c r="A8723" s="4" t="inlineStr">
        <is>
          <t>202</t>
        </is>
      </c>
      <c r="B8723" s="4" t="n">
        <v>2</v>
      </c>
      <c r="C8723" s="4" t="inlineStr">
        <is>
          <t>whitetail</t>
        </is>
      </c>
      <c r="D8723" s="4" t="n">
        <v>2006</v>
      </c>
      <c r="E8723" s="13" t="inlineStr">
        <is>
          <t>General</t>
        </is>
      </c>
      <c r="F8723" s="5" t="n">
        <v>1636</v>
      </c>
      <c r="G8723" s="5" t="n">
        <v>11595</v>
      </c>
      <c r="H8723" s="5" t="n">
        <v>1003</v>
      </c>
      <c r="I8723" s="5" t="n">
        <v>400</v>
      </c>
      <c r="J8723" s="5" t="n">
        <v>585</v>
      </c>
      <c r="K8723" s="10">
        <f>IF(F8723&gt;0,H8723/F8723,"")</f>
        <v/>
      </c>
      <c r="L8723" s="16">
        <f>IF(AND(G8723&gt;0,H8723&gt;0),G8723/H8723,"")</f>
        <v/>
      </c>
    </row>
    <row r="8724">
      <c r="A8724" s="4" t="inlineStr">
        <is>
          <t>202</t>
        </is>
      </c>
      <c r="B8724" s="4" t="n">
        <v>2</v>
      </c>
      <c r="C8724" s="4" t="inlineStr">
        <is>
          <t>whitetail</t>
        </is>
      </c>
      <c r="D8724" s="4" t="n">
        <v>2007</v>
      </c>
      <c r="E8724" s="13" t="inlineStr">
        <is>
          <t>General</t>
        </is>
      </c>
      <c r="F8724" s="5" t="n">
        <v>1322</v>
      </c>
      <c r="G8724" s="5" t="n">
        <v>10834</v>
      </c>
      <c r="H8724" s="5" t="n">
        <v>713</v>
      </c>
      <c r="I8724" s="5" t="n">
        <v>307</v>
      </c>
      <c r="J8724" s="5" t="n">
        <v>403</v>
      </c>
      <c r="K8724" s="10">
        <f>IF(F8724&gt;0,H8724/F8724,"")</f>
        <v/>
      </c>
      <c r="L8724" s="16">
        <f>IF(AND(G8724&gt;0,H8724&gt;0),G8724/H8724,"")</f>
        <v/>
      </c>
    </row>
    <row r="8725">
      <c r="A8725" s="4" t="inlineStr">
        <is>
          <t>202</t>
        </is>
      </c>
      <c r="B8725" s="4" t="n">
        <v>2</v>
      </c>
      <c r="C8725" s="4" t="inlineStr">
        <is>
          <t>whitetail</t>
        </is>
      </c>
      <c r="D8725" s="4" t="n">
        <v>2008</v>
      </c>
      <c r="E8725" s="13" t="inlineStr">
        <is>
          <t>General</t>
        </is>
      </c>
      <c r="F8725" s="5" t="n">
        <v>1510</v>
      </c>
      <c r="G8725" s="5" t="n">
        <v>10956</v>
      </c>
      <c r="H8725" s="5" t="n">
        <v>425</v>
      </c>
      <c r="I8725" s="5" t="n">
        <v>187</v>
      </c>
      <c r="J8725" s="5" t="n">
        <v>232</v>
      </c>
      <c r="K8725" s="10">
        <f>IF(F8725&gt;0,H8725/F8725,"")</f>
        <v/>
      </c>
      <c r="L8725" s="16">
        <f>IF(AND(G8725&gt;0,H8725&gt;0),G8725/H8725,"")</f>
        <v/>
      </c>
    </row>
    <row r="8726">
      <c r="A8726" s="4" t="inlineStr">
        <is>
          <t>202</t>
        </is>
      </c>
      <c r="B8726" s="4" t="n">
        <v>2</v>
      </c>
      <c r="C8726" s="4" t="inlineStr">
        <is>
          <t>whitetail</t>
        </is>
      </c>
      <c r="D8726" s="4" t="n">
        <v>2009</v>
      </c>
      <c r="E8726" s="13" t="inlineStr">
        <is>
          <t>General</t>
        </is>
      </c>
      <c r="F8726" s="5" t="n">
        <v>1538</v>
      </c>
      <c r="G8726" s="5" t="n">
        <v>11286</v>
      </c>
      <c r="H8726" s="5" t="n">
        <v>339</v>
      </c>
      <c r="I8726" s="5" t="n">
        <v>234</v>
      </c>
      <c r="J8726" s="5" t="n">
        <v>103</v>
      </c>
      <c r="K8726" s="10">
        <f>IF(F8726&gt;0,H8726/F8726,"")</f>
        <v/>
      </c>
      <c r="L8726" s="16">
        <f>IF(AND(G8726&gt;0,H8726&gt;0),G8726/H8726,"")</f>
        <v/>
      </c>
    </row>
    <row r="8727">
      <c r="A8727" s="4" t="inlineStr">
        <is>
          <t>202</t>
        </is>
      </c>
      <c r="B8727" s="4" t="n">
        <v>2</v>
      </c>
      <c r="C8727" s="4" t="inlineStr">
        <is>
          <t>whitetail</t>
        </is>
      </c>
      <c r="D8727" s="4" t="n">
        <v>2010</v>
      </c>
      <c r="E8727" s="13" t="inlineStr">
        <is>
          <t>General</t>
        </is>
      </c>
      <c r="F8727" s="5" t="n">
        <v>1002</v>
      </c>
      <c r="G8727" s="5" t="n">
        <v>7505</v>
      </c>
      <c r="H8727" s="5" t="n">
        <v>295</v>
      </c>
      <c r="I8727" s="5" t="n">
        <v>281</v>
      </c>
      <c r="J8727" s="5" t="n">
        <v>11</v>
      </c>
      <c r="K8727" s="10">
        <f>IF(F8727&gt;0,H8727/F8727,"")</f>
        <v/>
      </c>
      <c r="L8727" s="16">
        <f>IF(AND(G8727&gt;0,H8727&gt;0),G8727/H8727,"")</f>
        <v/>
      </c>
    </row>
    <row r="8728">
      <c r="A8728" s="4" t="inlineStr">
        <is>
          <t>202</t>
        </is>
      </c>
      <c r="B8728" s="4" t="n">
        <v>2</v>
      </c>
      <c r="C8728" s="4" t="inlineStr">
        <is>
          <t>whitetail</t>
        </is>
      </c>
      <c r="D8728" s="4" t="n">
        <v>2011</v>
      </c>
      <c r="E8728" s="13" t="inlineStr">
        <is>
          <t>General</t>
        </is>
      </c>
      <c r="F8728" s="5" t="n">
        <v>1176</v>
      </c>
      <c r="G8728" s="5" t="n">
        <v>8244</v>
      </c>
      <c r="H8728" s="5" t="n">
        <v>309</v>
      </c>
      <c r="I8728" s="5" t="n">
        <v>292</v>
      </c>
      <c r="J8728" s="5" t="n">
        <v>17</v>
      </c>
      <c r="K8728" s="10">
        <f>IF(F8728&gt;0,H8728/F8728,"")</f>
        <v/>
      </c>
      <c r="L8728" s="16">
        <f>IF(AND(G8728&gt;0,H8728&gt;0),G8728/H8728,"")</f>
        <v/>
      </c>
    </row>
    <row r="8729">
      <c r="A8729" s="4" t="inlineStr">
        <is>
          <t>202</t>
        </is>
      </c>
      <c r="B8729" s="4" t="n">
        <v>2</v>
      </c>
      <c r="C8729" s="4" t="inlineStr">
        <is>
          <t>whitetail</t>
        </is>
      </c>
      <c r="D8729" s="4" t="n">
        <v>2012</v>
      </c>
      <c r="E8729" s="13" t="inlineStr">
        <is>
          <t>General</t>
        </is>
      </c>
      <c r="F8729" s="5" t="n"/>
      <c r="G8729" s="5" t="n"/>
      <c r="H8729" s="5" t="n">
        <v>305</v>
      </c>
      <c r="I8729" s="5" t="n">
        <v>287</v>
      </c>
      <c r="J8729" s="5" t="n">
        <v>18</v>
      </c>
      <c r="K8729" s="10">
        <f>IF(F8729&gt;0,H8729/F8729,"")</f>
        <v/>
      </c>
      <c r="L8729" s="16">
        <f>IF(AND(G8729&gt;0,H8729&gt;0),G8729/H8729,"")</f>
        <v/>
      </c>
    </row>
    <row r="8730">
      <c r="A8730" s="4" t="inlineStr">
        <is>
          <t>202</t>
        </is>
      </c>
      <c r="B8730" s="4" t="n">
        <v>2</v>
      </c>
      <c r="C8730" s="4" t="inlineStr">
        <is>
          <t>whitetail</t>
        </is>
      </c>
      <c r="D8730" s="4" t="n">
        <v>2013</v>
      </c>
      <c r="E8730" s="13" t="inlineStr">
        <is>
          <t>General</t>
        </is>
      </c>
      <c r="F8730" s="5" t="n">
        <v>1210</v>
      </c>
      <c r="G8730" s="5" t="n">
        <v>8701</v>
      </c>
      <c r="H8730" s="5" t="n">
        <v>305</v>
      </c>
      <c r="I8730" s="5" t="n">
        <v>253</v>
      </c>
      <c r="J8730" s="5" t="n">
        <v>52</v>
      </c>
      <c r="K8730" s="10">
        <f>IF(F8730&gt;0,H8730/F8730,"")</f>
        <v/>
      </c>
      <c r="L8730" s="16">
        <f>IF(AND(G8730&gt;0,H8730&gt;0),G8730/H8730,"")</f>
        <v/>
      </c>
    </row>
    <row r="8731">
      <c r="A8731" s="4" t="inlineStr">
        <is>
          <t>202</t>
        </is>
      </c>
      <c r="B8731" s="4" t="n">
        <v>2</v>
      </c>
      <c r="C8731" s="4" t="inlineStr">
        <is>
          <t>whitetail</t>
        </is>
      </c>
      <c r="D8731" s="4" t="n">
        <v>2014</v>
      </c>
      <c r="E8731" s="13" t="inlineStr">
        <is>
          <t>General</t>
        </is>
      </c>
      <c r="F8731" s="5" t="n"/>
      <c r="G8731" s="5" t="n"/>
      <c r="H8731" s="5" t="n">
        <v>329</v>
      </c>
      <c r="I8731" s="5" t="n">
        <v>302</v>
      </c>
      <c r="J8731" s="5" t="n">
        <v>24</v>
      </c>
      <c r="K8731" s="10">
        <f>IF(F8731&gt;0,H8731/F8731,"")</f>
        <v/>
      </c>
      <c r="L8731" s="16">
        <f>IF(AND(G8731&gt;0,H8731&gt;0),G8731/H8731,"")</f>
        <v/>
      </c>
    </row>
    <row r="8732">
      <c r="A8732" s="4" t="inlineStr">
        <is>
          <t>202</t>
        </is>
      </c>
      <c r="B8732" s="4" t="n">
        <v>2</v>
      </c>
      <c r="C8732" s="4" t="inlineStr">
        <is>
          <t>whitetail</t>
        </is>
      </c>
      <c r="D8732" s="4" t="n">
        <v>2015</v>
      </c>
      <c r="E8732" s="13" t="inlineStr">
        <is>
          <t>General</t>
        </is>
      </c>
      <c r="F8732" s="5" t="n"/>
      <c r="G8732" s="5" t="n"/>
      <c r="H8732" s="5" t="n">
        <v>347</v>
      </c>
      <c r="I8732" s="5" t="n">
        <v>302</v>
      </c>
      <c r="J8732" s="5" t="n">
        <v>45</v>
      </c>
      <c r="K8732" s="10">
        <f>IF(F8732&gt;0,H8732/F8732,"")</f>
        <v/>
      </c>
      <c r="L8732" s="16">
        <f>IF(AND(G8732&gt;0,H8732&gt;0),G8732/H8732,"")</f>
        <v/>
      </c>
    </row>
    <row r="8733">
      <c r="A8733" s="4" t="inlineStr">
        <is>
          <t>202</t>
        </is>
      </c>
      <c r="B8733" s="4" t="n">
        <v>2</v>
      </c>
      <c r="C8733" s="4" t="inlineStr">
        <is>
          <t>whitetail</t>
        </is>
      </c>
      <c r="D8733" s="4" t="n">
        <v>2016</v>
      </c>
      <c r="E8733" s="13" t="inlineStr">
        <is>
          <t>General</t>
        </is>
      </c>
      <c r="F8733" s="5" t="n"/>
      <c r="G8733" s="5" t="n"/>
      <c r="H8733" s="5" t="n">
        <v>332</v>
      </c>
      <c r="I8733" s="5" t="n">
        <v>317</v>
      </c>
      <c r="J8733" s="5" t="n">
        <v>15</v>
      </c>
      <c r="K8733" s="10">
        <f>IF(F8733&gt;0,H8733/F8733,"")</f>
        <v/>
      </c>
      <c r="L8733" s="16">
        <f>IF(AND(G8733&gt;0,H8733&gt;0),G8733/H8733,"")</f>
        <v/>
      </c>
    </row>
    <row r="8734">
      <c r="A8734" s="4" t="inlineStr">
        <is>
          <t>202</t>
        </is>
      </c>
      <c r="B8734" s="4" t="n">
        <v>2</v>
      </c>
      <c r="C8734" s="4" t="inlineStr">
        <is>
          <t>whitetail</t>
        </is>
      </c>
      <c r="D8734" s="4" t="n">
        <v>2017</v>
      </c>
      <c r="E8734" s="13" t="inlineStr">
        <is>
          <t>General</t>
        </is>
      </c>
      <c r="F8734" s="5" t="n">
        <v>1209</v>
      </c>
      <c r="G8734" s="5" t="n">
        <v>7655</v>
      </c>
      <c r="H8734" s="5" t="n">
        <v>409</v>
      </c>
      <c r="I8734" s="5" t="n">
        <v>363</v>
      </c>
      <c r="J8734" s="5" t="n">
        <v>47</v>
      </c>
      <c r="K8734" s="10">
        <f>IF(F8734&gt;0,H8734/F8734,"")</f>
        <v/>
      </c>
      <c r="L8734" s="16">
        <f>IF(AND(G8734&gt;0,H8734&gt;0),G8734/H8734,"")</f>
        <v/>
      </c>
    </row>
    <row r="8735">
      <c r="A8735" s="4" t="inlineStr">
        <is>
          <t>202</t>
        </is>
      </c>
      <c r="B8735" s="4" t="n">
        <v>2</v>
      </c>
      <c r="C8735" s="4" t="inlineStr">
        <is>
          <t>whitetail</t>
        </is>
      </c>
      <c r="D8735" s="4" t="n">
        <v>2018</v>
      </c>
      <c r="E8735" s="13" t="inlineStr">
        <is>
          <t>General</t>
        </is>
      </c>
      <c r="F8735" s="5" t="n"/>
      <c r="G8735" s="5" t="n"/>
      <c r="H8735" s="5" t="n">
        <v>414</v>
      </c>
      <c r="I8735" s="5" t="n">
        <v>364</v>
      </c>
      <c r="J8735" s="5" t="n">
        <v>47</v>
      </c>
      <c r="K8735" s="10">
        <f>IF(F8735&gt;0,H8735/F8735,"")</f>
        <v/>
      </c>
      <c r="L8735" s="16">
        <f>IF(AND(G8735&gt;0,H8735&gt;0),G8735/H8735,"")</f>
        <v/>
      </c>
    </row>
    <row r="8736">
      <c r="A8736" s="4" t="inlineStr">
        <is>
          <t>202</t>
        </is>
      </c>
      <c r="B8736" s="4" t="n">
        <v>2</v>
      </c>
      <c r="C8736" s="4" t="inlineStr">
        <is>
          <t>whitetail</t>
        </is>
      </c>
      <c r="D8736" s="4" t="n">
        <v>2019</v>
      </c>
      <c r="E8736" s="13" t="inlineStr">
        <is>
          <t>General</t>
        </is>
      </c>
      <c r="F8736" s="5" t="n">
        <v>1263</v>
      </c>
      <c r="G8736" s="5" t="n">
        <v>8340</v>
      </c>
      <c r="H8736" s="5" t="n">
        <v>235</v>
      </c>
      <c r="I8736" s="5" t="n">
        <v>187</v>
      </c>
      <c r="J8736" s="5" t="n">
        <v>46</v>
      </c>
      <c r="K8736" s="10">
        <f>IF(F8736&gt;0,H8736/F8736,"")</f>
        <v/>
      </c>
      <c r="L8736" s="16">
        <f>IF(AND(G8736&gt;0,H8736&gt;0),G8736/H8736,"")</f>
        <v/>
      </c>
    </row>
    <row r="8737">
      <c r="A8737" s="4" t="inlineStr">
        <is>
          <t>202</t>
        </is>
      </c>
      <c r="B8737" s="4" t="n">
        <v>2</v>
      </c>
      <c r="C8737" s="4" t="inlineStr">
        <is>
          <t>whitetail</t>
        </is>
      </c>
      <c r="D8737" s="4" t="n">
        <v>2020</v>
      </c>
      <c r="E8737" s="13" t="inlineStr">
        <is>
          <t>General</t>
        </is>
      </c>
      <c r="F8737" s="5" t="n"/>
      <c r="G8737" s="5" t="n"/>
      <c r="H8737" s="5" t="n">
        <v>412</v>
      </c>
      <c r="I8737" s="5" t="n">
        <v>367</v>
      </c>
      <c r="J8737" s="5" t="n">
        <v>39</v>
      </c>
      <c r="K8737" s="10">
        <f>IF(F8737&gt;0,H8737/F8737,"")</f>
        <v/>
      </c>
      <c r="L8737" s="16">
        <f>IF(AND(G8737&gt;0,H8737&gt;0),G8737/H8737,"")</f>
        <v/>
      </c>
    </row>
    <row r="8738">
      <c r="A8738" s="4" t="inlineStr">
        <is>
          <t>202</t>
        </is>
      </c>
      <c r="B8738" s="4" t="n">
        <v>2</v>
      </c>
      <c r="C8738" s="4" t="inlineStr">
        <is>
          <t>whitetail</t>
        </is>
      </c>
      <c r="D8738" s="4" t="n">
        <v>2021</v>
      </c>
      <c r="E8738" s="13" t="inlineStr">
        <is>
          <t>General</t>
        </is>
      </c>
      <c r="F8738" s="5" t="n">
        <v>1402</v>
      </c>
      <c r="G8738" s="5" t="n">
        <v>9944</v>
      </c>
      <c r="H8738" s="5" t="n">
        <v>432</v>
      </c>
      <c r="I8738" s="5" t="n">
        <v>394</v>
      </c>
      <c r="J8738" s="5" t="n">
        <v>38</v>
      </c>
      <c r="K8738" s="10">
        <f>IF(F8738&gt;0,H8738/F8738,"")</f>
        <v/>
      </c>
      <c r="L8738" s="16">
        <f>IF(AND(G8738&gt;0,H8738&gt;0),G8738/H8738,"")</f>
        <v/>
      </c>
    </row>
    <row r="8739">
      <c r="A8739" s="4" t="inlineStr">
        <is>
          <t>202</t>
        </is>
      </c>
      <c r="B8739" s="4" t="n">
        <v>2</v>
      </c>
      <c r="C8739" s="4" t="inlineStr">
        <is>
          <t>whitetail</t>
        </is>
      </c>
      <c r="D8739" s="4" t="n">
        <v>2022</v>
      </c>
      <c r="E8739" s="13" t="inlineStr">
        <is>
          <t>General</t>
        </is>
      </c>
      <c r="F8739" s="5" t="n"/>
      <c r="G8739" s="5" t="n"/>
      <c r="H8739" s="5" t="n">
        <v>606</v>
      </c>
      <c r="I8739" s="5" t="n">
        <v>487</v>
      </c>
      <c r="J8739" s="5" t="n">
        <v>116</v>
      </c>
      <c r="K8739" s="10">
        <f>IF(F8739&gt;0,H8739/F8739,"")</f>
        <v/>
      </c>
      <c r="L8739" s="16">
        <f>IF(AND(G8739&gt;0,H8739&gt;0),G8739/H8739,"")</f>
        <v/>
      </c>
    </row>
    <row r="8740">
      <c r="A8740" s="4" t="inlineStr">
        <is>
          <t>202</t>
        </is>
      </c>
      <c r="B8740" s="4" t="n">
        <v>2</v>
      </c>
      <c r="C8740" s="4" t="inlineStr">
        <is>
          <t>whitetail</t>
        </is>
      </c>
      <c r="D8740" s="4" t="n">
        <v>2023</v>
      </c>
      <c r="E8740" s="13" t="inlineStr">
        <is>
          <t>General</t>
        </is>
      </c>
      <c r="F8740" s="5" t="n">
        <v>1796</v>
      </c>
      <c r="G8740" s="5" t="n">
        <v>12826</v>
      </c>
      <c r="H8740" s="5" t="n">
        <v>567</v>
      </c>
      <c r="I8740" s="5" t="n">
        <v>459</v>
      </c>
      <c r="J8740" s="5" t="n">
        <v>104</v>
      </c>
      <c r="K8740" s="10">
        <f>IF(F8740&gt;0,H8740/F8740,"")</f>
        <v/>
      </c>
      <c r="L8740" s="16">
        <f>IF(AND(G8740&gt;0,H8740&gt;0),G8740/H8740,"")</f>
        <v/>
      </c>
    </row>
    <row r="8741">
      <c r="A8741" s="4" t="inlineStr">
        <is>
          <t>202</t>
        </is>
      </c>
      <c r="B8741" s="4" t="n">
        <v>2</v>
      </c>
      <c r="C8741" s="4" t="inlineStr">
        <is>
          <t>whitetail</t>
        </is>
      </c>
      <c r="D8741" s="4" t="n">
        <v>2024</v>
      </c>
      <c r="E8741" s="13" t="inlineStr">
        <is>
          <t>General</t>
        </is>
      </c>
      <c r="F8741" s="5" t="n"/>
      <c r="G8741" s="5" t="n"/>
      <c r="H8741" s="5" t="n">
        <v>547</v>
      </c>
      <c r="I8741" s="5" t="n">
        <v>457</v>
      </c>
      <c r="J8741" s="5" t="n">
        <v>87</v>
      </c>
      <c r="K8741" s="10">
        <f>IF(F8741&gt;0,H8741/F8741,"")</f>
        <v/>
      </c>
      <c r="L8741" s="16">
        <f>IF(AND(G8741&gt;0,H8741&gt;0),G8741/H8741,"")</f>
        <v/>
      </c>
    </row>
    <row r="8742">
      <c r="A8742" s="4" t="inlineStr">
        <is>
          <t>202</t>
        </is>
      </c>
      <c r="B8742" s="4" t="n">
        <v>2</v>
      </c>
      <c r="C8742" s="4" t="inlineStr">
        <is>
          <t>whitetail</t>
        </is>
      </c>
      <c r="D8742" s="4" t="n">
        <v>2025</v>
      </c>
      <c r="E8742" s="13" t="inlineStr">
        <is>
          <t>General</t>
        </is>
      </c>
      <c r="F8742" s="5" t="n">
        <v>1814</v>
      </c>
      <c r="G8742" s="5" t="n">
        <v>11696</v>
      </c>
      <c r="H8742" s="5" t="n">
        <v>598</v>
      </c>
      <c r="I8742" s="5" t="n">
        <v>488</v>
      </c>
      <c r="J8742" s="5" t="n">
        <v>110</v>
      </c>
      <c r="K8742" s="10">
        <f>IF(F8742&gt;0,H8742/F8742,"")</f>
        <v/>
      </c>
      <c r="L8742" s="16">
        <f>IF(AND(G8742&gt;0,H8742&gt;0),G8742/H8742,"")</f>
        <v/>
      </c>
    </row>
    <row r="8743">
      <c r="A8743" s="4" t="inlineStr">
        <is>
          <t>203</t>
        </is>
      </c>
      <c r="B8743" s="4" t="n">
        <v>2</v>
      </c>
      <c r="C8743" s="4" t="inlineStr">
        <is>
          <t>whitetail</t>
        </is>
      </c>
      <c r="D8743" s="4" t="n">
        <v>2004</v>
      </c>
      <c r="E8743" s="4" t="inlineStr"/>
      <c r="F8743" s="5" t="n">
        <v>1481</v>
      </c>
      <c r="G8743" s="5" t="n">
        <v>7564</v>
      </c>
      <c r="H8743" s="5" t="n">
        <v>333</v>
      </c>
      <c r="I8743" s="5" t="n">
        <v>269</v>
      </c>
      <c r="J8743" s="5" t="n">
        <v>64</v>
      </c>
      <c r="K8743" s="10">
        <f>IF(F8743&gt;0,H8743/F8743,"")</f>
        <v/>
      </c>
      <c r="L8743" s="16">
        <f>IF(AND(G8743&gt;0,H8743&gt;0),G8743/H8743,"")</f>
        <v/>
      </c>
    </row>
    <row r="8744">
      <c r="A8744" s="4" t="inlineStr">
        <is>
          <t>203</t>
        </is>
      </c>
      <c r="B8744" s="4" t="n">
        <v>2</v>
      </c>
      <c r="C8744" s="4" t="inlineStr">
        <is>
          <t>whitetail</t>
        </is>
      </c>
      <c r="D8744" s="4" t="n">
        <v>2005</v>
      </c>
      <c r="E8744" s="4" t="inlineStr"/>
      <c r="F8744" s="5" t="n">
        <v>1478</v>
      </c>
      <c r="G8744" s="5" t="n">
        <v>7729</v>
      </c>
      <c r="H8744" s="5" t="n">
        <v>359</v>
      </c>
      <c r="I8744" s="5" t="n">
        <v>308</v>
      </c>
      <c r="J8744" s="5" t="n">
        <v>51</v>
      </c>
      <c r="K8744" s="10">
        <f>IF(F8744&gt;0,H8744/F8744,"")</f>
        <v/>
      </c>
      <c r="L8744" s="16">
        <f>IF(AND(G8744&gt;0,H8744&gt;0),G8744/H8744,"")</f>
        <v/>
      </c>
    </row>
    <row r="8745">
      <c r="A8745" s="4" t="inlineStr">
        <is>
          <t>203</t>
        </is>
      </c>
      <c r="B8745" s="4" t="n">
        <v>2</v>
      </c>
      <c r="C8745" s="4" t="inlineStr">
        <is>
          <t>whitetail</t>
        </is>
      </c>
      <c r="D8745" s="4" t="n">
        <v>2006</v>
      </c>
      <c r="E8745" s="4" t="inlineStr"/>
      <c r="F8745" s="5" t="n">
        <v>1801</v>
      </c>
      <c r="G8745" s="5" t="n">
        <v>10123</v>
      </c>
      <c r="H8745" s="5" t="n">
        <v>788</v>
      </c>
      <c r="I8745" s="5" t="n">
        <v>403</v>
      </c>
      <c r="J8745" s="5" t="n">
        <v>368</v>
      </c>
      <c r="K8745" s="10">
        <f>IF(F8745&gt;0,H8745/F8745,"")</f>
        <v/>
      </c>
      <c r="L8745" s="16">
        <f>IF(AND(G8745&gt;0,H8745&gt;0),G8745/H8745,"")</f>
        <v/>
      </c>
    </row>
    <row r="8746">
      <c r="A8746" s="4" t="inlineStr">
        <is>
          <t>203</t>
        </is>
      </c>
      <c r="B8746" s="4" t="n">
        <v>2</v>
      </c>
      <c r="C8746" s="4" t="inlineStr">
        <is>
          <t>whitetail</t>
        </is>
      </c>
      <c r="D8746" s="4" t="n">
        <v>2007</v>
      </c>
      <c r="E8746" s="4" t="inlineStr"/>
      <c r="F8746" s="5" t="n">
        <v>1913</v>
      </c>
      <c r="G8746" s="5" t="n">
        <v>12863</v>
      </c>
      <c r="H8746" s="5" t="n">
        <v>665</v>
      </c>
      <c r="I8746" s="5" t="n">
        <v>296</v>
      </c>
      <c r="J8746" s="5" t="n">
        <v>364</v>
      </c>
      <c r="K8746" s="10">
        <f>IF(F8746&gt;0,H8746/F8746,"")</f>
        <v/>
      </c>
      <c r="L8746" s="16">
        <f>IF(AND(G8746&gt;0,H8746&gt;0),G8746/H8746,"")</f>
        <v/>
      </c>
    </row>
    <row r="8747">
      <c r="A8747" s="4" t="inlineStr">
        <is>
          <t>203</t>
        </is>
      </c>
      <c r="B8747" s="4" t="n">
        <v>2</v>
      </c>
      <c r="C8747" s="4" t="inlineStr">
        <is>
          <t>whitetail</t>
        </is>
      </c>
      <c r="D8747" s="4" t="n">
        <v>2008</v>
      </c>
      <c r="E8747" s="4" t="inlineStr"/>
      <c r="F8747" s="5" t="n">
        <v>1629</v>
      </c>
      <c r="G8747" s="5" t="n">
        <v>9712</v>
      </c>
      <c r="H8747" s="5" t="n">
        <v>381</v>
      </c>
      <c r="I8747" s="5" t="n">
        <v>215</v>
      </c>
      <c r="J8747" s="5" t="n">
        <v>161</v>
      </c>
      <c r="K8747" s="10">
        <f>IF(F8747&gt;0,H8747/F8747,"")</f>
        <v/>
      </c>
      <c r="L8747" s="16">
        <f>IF(AND(G8747&gt;0,H8747&gt;0),G8747/H8747,"")</f>
        <v/>
      </c>
    </row>
    <row r="8748">
      <c r="A8748" s="4" t="inlineStr">
        <is>
          <t>203</t>
        </is>
      </c>
      <c r="B8748" s="4" t="n">
        <v>2</v>
      </c>
      <c r="C8748" s="4" t="inlineStr">
        <is>
          <t>whitetail</t>
        </is>
      </c>
      <c r="D8748" s="4" t="n">
        <v>2009</v>
      </c>
      <c r="E8748" s="4" t="inlineStr"/>
      <c r="F8748" s="5" t="n">
        <v>1693</v>
      </c>
      <c r="G8748" s="5" t="n">
        <v>9725</v>
      </c>
      <c r="H8748" s="5" t="n">
        <v>259</v>
      </c>
      <c r="I8748" s="5" t="n">
        <v>176</v>
      </c>
      <c r="J8748" s="5" t="n">
        <v>81</v>
      </c>
      <c r="K8748" s="10">
        <f>IF(F8748&gt;0,H8748/F8748,"")</f>
        <v/>
      </c>
      <c r="L8748" s="16">
        <f>IF(AND(G8748&gt;0,H8748&gt;0),G8748/H8748,"")</f>
        <v/>
      </c>
    </row>
    <row r="8749">
      <c r="A8749" s="4" t="inlineStr">
        <is>
          <t>203</t>
        </is>
      </c>
      <c r="B8749" s="4" t="n">
        <v>2</v>
      </c>
      <c r="C8749" s="4" t="inlineStr">
        <is>
          <t>whitetail</t>
        </is>
      </c>
      <c r="D8749" s="4" t="n">
        <v>2010</v>
      </c>
      <c r="E8749" s="4" t="inlineStr"/>
      <c r="F8749" s="5" t="n">
        <v>1401</v>
      </c>
      <c r="G8749" s="5" t="n">
        <v>7795</v>
      </c>
      <c r="H8749" s="5" t="n">
        <v>271</v>
      </c>
      <c r="I8749" s="5" t="n">
        <v>225</v>
      </c>
      <c r="J8749" s="5" t="n">
        <v>41</v>
      </c>
      <c r="K8749" s="10">
        <f>IF(F8749&gt;0,H8749/F8749,"")</f>
        <v/>
      </c>
      <c r="L8749" s="16">
        <f>IF(AND(G8749&gt;0,H8749&gt;0),G8749/H8749,"")</f>
        <v/>
      </c>
    </row>
    <row r="8750">
      <c r="A8750" s="4" t="inlineStr">
        <is>
          <t>203</t>
        </is>
      </c>
      <c r="B8750" s="4" t="n">
        <v>2</v>
      </c>
      <c r="C8750" s="4" t="inlineStr">
        <is>
          <t>whitetail</t>
        </is>
      </c>
      <c r="D8750" s="4" t="n">
        <v>2011</v>
      </c>
      <c r="E8750" s="4" t="inlineStr"/>
      <c r="F8750" s="5" t="n">
        <v>1813</v>
      </c>
      <c r="G8750" s="5" t="n">
        <v>10274</v>
      </c>
      <c r="H8750" s="5" t="n">
        <v>270</v>
      </c>
      <c r="I8750" s="5" t="n">
        <v>232</v>
      </c>
      <c r="J8750" s="5" t="n">
        <v>38</v>
      </c>
      <c r="K8750" s="10">
        <f>IF(F8750&gt;0,H8750/F8750,"")</f>
        <v/>
      </c>
      <c r="L8750" s="16">
        <f>IF(AND(G8750&gt;0,H8750&gt;0),G8750/H8750,"")</f>
        <v/>
      </c>
    </row>
    <row r="8751">
      <c r="A8751" s="4" t="inlineStr">
        <is>
          <t>203</t>
        </is>
      </c>
      <c r="B8751" s="4" t="n">
        <v>2</v>
      </c>
      <c r="C8751" s="4" t="inlineStr">
        <is>
          <t>whitetail</t>
        </is>
      </c>
      <c r="D8751" s="4" t="n">
        <v>2012</v>
      </c>
      <c r="E8751" s="4" t="inlineStr"/>
      <c r="F8751" s="5" t="n"/>
      <c r="G8751" s="5" t="n"/>
      <c r="H8751" s="5" t="n">
        <v>273</v>
      </c>
      <c r="I8751" s="5" t="n">
        <v>251</v>
      </c>
      <c r="J8751" s="5" t="n">
        <v>19</v>
      </c>
      <c r="K8751" s="10">
        <f>IF(F8751&gt;0,H8751/F8751,"")</f>
        <v/>
      </c>
      <c r="L8751" s="16">
        <f>IF(AND(G8751&gt;0,H8751&gt;0),G8751/H8751,"")</f>
        <v/>
      </c>
    </row>
    <row r="8752">
      <c r="A8752" s="4" t="inlineStr">
        <is>
          <t>203</t>
        </is>
      </c>
      <c r="B8752" s="4" t="n">
        <v>2</v>
      </c>
      <c r="C8752" s="4" t="inlineStr">
        <is>
          <t>whitetail</t>
        </is>
      </c>
      <c r="D8752" s="4" t="n">
        <v>2013</v>
      </c>
      <c r="E8752" s="4" t="inlineStr"/>
      <c r="F8752" s="5" t="n">
        <v>1594</v>
      </c>
      <c r="G8752" s="5" t="n">
        <v>8275</v>
      </c>
      <c r="H8752" s="5" t="n">
        <v>261</v>
      </c>
      <c r="I8752" s="5" t="n">
        <v>244</v>
      </c>
      <c r="J8752" s="5" t="n">
        <v>17</v>
      </c>
      <c r="K8752" s="10">
        <f>IF(F8752&gt;0,H8752/F8752,"")</f>
        <v/>
      </c>
      <c r="L8752" s="16">
        <f>IF(AND(G8752&gt;0,H8752&gt;0),G8752/H8752,"")</f>
        <v/>
      </c>
    </row>
    <row r="8753">
      <c r="A8753" s="4" t="inlineStr">
        <is>
          <t>203</t>
        </is>
      </c>
      <c r="B8753" s="4" t="n">
        <v>2</v>
      </c>
      <c r="C8753" s="4" t="inlineStr">
        <is>
          <t>whitetail</t>
        </is>
      </c>
      <c r="D8753" s="4" t="n">
        <v>2014</v>
      </c>
      <c r="E8753" s="4" t="inlineStr"/>
      <c r="F8753" s="5" t="n"/>
      <c r="G8753" s="5" t="n"/>
      <c r="H8753" s="5" t="n">
        <v>269</v>
      </c>
      <c r="I8753" s="5" t="n">
        <v>229</v>
      </c>
      <c r="J8753" s="5" t="n">
        <v>41</v>
      </c>
      <c r="K8753" s="10">
        <f>IF(F8753&gt;0,H8753/F8753,"")</f>
        <v/>
      </c>
      <c r="L8753" s="16">
        <f>IF(AND(G8753&gt;0,H8753&gt;0),G8753/H8753,"")</f>
        <v/>
      </c>
    </row>
    <row r="8754">
      <c r="A8754" s="4" t="inlineStr">
        <is>
          <t>203</t>
        </is>
      </c>
      <c r="B8754" s="4" t="n">
        <v>2</v>
      </c>
      <c r="C8754" s="4" t="inlineStr">
        <is>
          <t>whitetail</t>
        </is>
      </c>
      <c r="D8754" s="4" t="n">
        <v>2015</v>
      </c>
      <c r="E8754" s="4" t="inlineStr"/>
      <c r="F8754" s="5" t="n"/>
      <c r="G8754" s="5" t="n"/>
      <c r="H8754" s="5" t="n">
        <v>240</v>
      </c>
      <c r="I8754" s="5" t="n">
        <v>213</v>
      </c>
      <c r="J8754" s="5" t="n">
        <v>28</v>
      </c>
      <c r="K8754" s="10">
        <f>IF(F8754&gt;0,H8754/F8754,"")</f>
        <v/>
      </c>
      <c r="L8754" s="16">
        <f>IF(AND(G8754&gt;0,H8754&gt;0),G8754/H8754,"")</f>
        <v/>
      </c>
    </row>
    <row r="8755">
      <c r="A8755" s="4" t="inlineStr">
        <is>
          <t>203</t>
        </is>
      </c>
      <c r="B8755" s="4" t="n">
        <v>2</v>
      </c>
      <c r="C8755" s="4" t="inlineStr">
        <is>
          <t>whitetail</t>
        </is>
      </c>
      <c r="D8755" s="4" t="n">
        <v>2016</v>
      </c>
      <c r="E8755" s="4" t="inlineStr"/>
      <c r="F8755" s="5" t="n"/>
      <c r="G8755" s="5" t="n"/>
      <c r="H8755" s="5" t="n">
        <v>257</v>
      </c>
      <c r="I8755" s="5" t="n">
        <v>222</v>
      </c>
      <c r="J8755" s="5" t="n">
        <v>35</v>
      </c>
      <c r="K8755" s="10">
        <f>IF(F8755&gt;0,H8755/F8755,"")</f>
        <v/>
      </c>
      <c r="L8755" s="16">
        <f>IF(AND(G8755&gt;0,H8755&gt;0),G8755/H8755,"")</f>
        <v/>
      </c>
    </row>
    <row r="8756">
      <c r="A8756" s="4" t="inlineStr">
        <is>
          <t>203</t>
        </is>
      </c>
      <c r="B8756" s="4" t="n">
        <v>2</v>
      </c>
      <c r="C8756" s="4" t="inlineStr">
        <is>
          <t>whitetail</t>
        </is>
      </c>
      <c r="D8756" s="4" t="n">
        <v>2017</v>
      </c>
      <c r="E8756" s="4" t="inlineStr"/>
      <c r="F8756" s="5" t="n">
        <v>1416</v>
      </c>
      <c r="G8756" s="5" t="n">
        <v>8328</v>
      </c>
      <c r="H8756" s="5" t="n">
        <v>262</v>
      </c>
      <c r="I8756" s="5" t="n">
        <v>227</v>
      </c>
      <c r="J8756" s="5" t="n">
        <v>35</v>
      </c>
      <c r="K8756" s="10">
        <f>IF(F8756&gt;0,H8756/F8756,"")</f>
        <v/>
      </c>
      <c r="L8756" s="16">
        <f>IF(AND(G8756&gt;0,H8756&gt;0),G8756/H8756,"")</f>
        <v/>
      </c>
    </row>
    <row r="8757">
      <c r="A8757" s="4" t="inlineStr">
        <is>
          <t>203</t>
        </is>
      </c>
      <c r="B8757" s="4" t="n">
        <v>2</v>
      </c>
      <c r="C8757" s="4" t="inlineStr">
        <is>
          <t>whitetail</t>
        </is>
      </c>
      <c r="D8757" s="4" t="n">
        <v>2018</v>
      </c>
      <c r="E8757" s="4" t="inlineStr"/>
      <c r="F8757" s="5" t="n"/>
      <c r="G8757" s="5" t="n"/>
      <c r="H8757" s="5" t="n">
        <v>269</v>
      </c>
      <c r="I8757" s="5" t="n">
        <v>227</v>
      </c>
      <c r="J8757" s="5" t="n">
        <v>42</v>
      </c>
      <c r="K8757" s="10">
        <f>IF(F8757&gt;0,H8757/F8757,"")</f>
        <v/>
      </c>
      <c r="L8757" s="16">
        <f>IF(AND(G8757&gt;0,H8757&gt;0),G8757/H8757,"")</f>
        <v/>
      </c>
    </row>
    <row r="8758">
      <c r="A8758" s="4" t="inlineStr">
        <is>
          <t>203</t>
        </is>
      </c>
      <c r="B8758" s="4" t="n">
        <v>2</v>
      </c>
      <c r="C8758" s="4" t="inlineStr">
        <is>
          <t>whitetail</t>
        </is>
      </c>
      <c r="D8758" s="4" t="n">
        <v>2019</v>
      </c>
      <c r="E8758" s="4" t="inlineStr"/>
      <c r="F8758" s="5" t="n">
        <v>1480</v>
      </c>
      <c r="G8758" s="5" t="n">
        <v>8523</v>
      </c>
      <c r="H8758" s="5" t="n">
        <v>259</v>
      </c>
      <c r="I8758" s="5" t="n">
        <v>213</v>
      </c>
      <c r="J8758" s="5" t="n">
        <v>46</v>
      </c>
      <c r="K8758" s="10">
        <f>IF(F8758&gt;0,H8758/F8758,"")</f>
        <v/>
      </c>
      <c r="L8758" s="16">
        <f>IF(AND(G8758&gt;0,H8758&gt;0),G8758/H8758,"")</f>
        <v/>
      </c>
    </row>
    <row r="8759">
      <c r="A8759" s="4" t="inlineStr">
        <is>
          <t>203</t>
        </is>
      </c>
      <c r="B8759" s="4" t="n">
        <v>2</v>
      </c>
      <c r="C8759" s="4" t="inlineStr">
        <is>
          <t>whitetail</t>
        </is>
      </c>
      <c r="D8759" s="4" t="n">
        <v>2020</v>
      </c>
      <c r="E8759" s="4" t="inlineStr"/>
      <c r="F8759" s="5" t="n"/>
      <c r="G8759" s="5" t="n"/>
      <c r="H8759" s="5" t="n">
        <v>391</v>
      </c>
      <c r="I8759" s="5" t="n">
        <v>349</v>
      </c>
      <c r="J8759" s="5" t="n">
        <v>42</v>
      </c>
      <c r="K8759" s="10">
        <f>IF(F8759&gt;0,H8759/F8759,"")</f>
        <v/>
      </c>
      <c r="L8759" s="16">
        <f>IF(AND(G8759&gt;0,H8759&gt;0),G8759/H8759,"")</f>
        <v/>
      </c>
    </row>
    <row r="8760">
      <c r="A8760" s="4" t="inlineStr">
        <is>
          <t>203</t>
        </is>
      </c>
      <c r="B8760" s="4" t="n">
        <v>2</v>
      </c>
      <c r="C8760" s="4" t="inlineStr">
        <is>
          <t>whitetail</t>
        </is>
      </c>
      <c r="D8760" s="4" t="n">
        <v>2021</v>
      </c>
      <c r="E8760" s="4" t="inlineStr"/>
      <c r="F8760" s="5" t="n">
        <v>1498</v>
      </c>
      <c r="G8760" s="5" t="n">
        <v>8671</v>
      </c>
      <c r="H8760" s="5" t="n">
        <v>309</v>
      </c>
      <c r="I8760" s="5" t="n">
        <v>263</v>
      </c>
      <c r="J8760" s="5" t="n">
        <v>42</v>
      </c>
      <c r="K8760" s="10">
        <f>IF(F8760&gt;0,H8760/F8760,"")</f>
        <v/>
      </c>
      <c r="L8760" s="16">
        <f>IF(AND(G8760&gt;0,H8760&gt;0),G8760/H8760,"")</f>
        <v/>
      </c>
    </row>
    <row r="8761">
      <c r="A8761" s="4" t="inlineStr">
        <is>
          <t>204</t>
        </is>
      </c>
      <c r="B8761" s="4" t="n">
        <v>2</v>
      </c>
      <c r="C8761" s="4" t="inlineStr">
        <is>
          <t>whitetail</t>
        </is>
      </c>
      <c r="D8761" s="4" t="n">
        <v>2004</v>
      </c>
      <c r="E8761" s="13" t="inlineStr">
        <is>
          <t>General</t>
        </is>
      </c>
      <c r="F8761" s="5" t="n">
        <v>1745</v>
      </c>
      <c r="G8761" s="5" t="n">
        <v>10705</v>
      </c>
      <c r="H8761" s="5" t="n">
        <v>399</v>
      </c>
      <c r="I8761" s="5" t="n">
        <v>276</v>
      </c>
      <c r="J8761" s="5" t="n">
        <v>121</v>
      </c>
      <c r="K8761" s="10">
        <f>IF(F8761&gt;0,H8761/F8761,"")</f>
        <v/>
      </c>
      <c r="L8761" s="16">
        <f>IF(AND(G8761&gt;0,H8761&gt;0),G8761/H8761,"")</f>
        <v/>
      </c>
    </row>
    <row r="8762">
      <c r="A8762" s="4" t="inlineStr">
        <is>
          <t>204</t>
        </is>
      </c>
      <c r="B8762" s="4" t="n">
        <v>2</v>
      </c>
      <c r="C8762" s="4" t="inlineStr">
        <is>
          <t>whitetail</t>
        </is>
      </c>
      <c r="D8762" s="4" t="n">
        <v>2005</v>
      </c>
      <c r="E8762" s="13" t="inlineStr">
        <is>
          <t>General</t>
        </is>
      </c>
      <c r="F8762" s="5" t="n">
        <v>1999</v>
      </c>
      <c r="G8762" s="5" t="n">
        <v>10731</v>
      </c>
      <c r="H8762" s="5" t="n">
        <v>518</v>
      </c>
      <c r="I8762" s="5" t="n">
        <v>350</v>
      </c>
      <c r="J8762" s="5" t="n">
        <v>163</v>
      </c>
      <c r="K8762" s="10">
        <f>IF(F8762&gt;0,H8762/F8762,"")</f>
        <v/>
      </c>
      <c r="L8762" s="16">
        <f>IF(AND(G8762&gt;0,H8762&gt;0),G8762/H8762,"")</f>
        <v/>
      </c>
    </row>
    <row r="8763">
      <c r="A8763" s="4" t="inlineStr">
        <is>
          <t>204</t>
        </is>
      </c>
      <c r="B8763" s="4" t="n">
        <v>2</v>
      </c>
      <c r="C8763" s="4" t="inlineStr">
        <is>
          <t>whitetail</t>
        </is>
      </c>
      <c r="D8763" s="4" t="n">
        <v>2006</v>
      </c>
      <c r="E8763" s="13" t="inlineStr">
        <is>
          <t>General</t>
        </is>
      </c>
      <c r="F8763" s="5" t="n">
        <v>2044</v>
      </c>
      <c r="G8763" s="5" t="n">
        <v>12608</v>
      </c>
      <c r="H8763" s="5" t="n">
        <v>678</v>
      </c>
      <c r="I8763" s="5" t="n">
        <v>374</v>
      </c>
      <c r="J8763" s="5" t="n">
        <v>293</v>
      </c>
      <c r="K8763" s="10">
        <f>IF(F8763&gt;0,H8763/F8763,"")</f>
        <v/>
      </c>
      <c r="L8763" s="16">
        <f>IF(AND(G8763&gt;0,H8763&gt;0),G8763/H8763,"")</f>
        <v/>
      </c>
    </row>
    <row r="8764">
      <c r="A8764" s="4" t="inlineStr">
        <is>
          <t>204</t>
        </is>
      </c>
      <c r="B8764" s="4" t="n">
        <v>2</v>
      </c>
      <c r="C8764" s="4" t="inlineStr">
        <is>
          <t>whitetail</t>
        </is>
      </c>
      <c r="D8764" s="4" t="n">
        <v>2007</v>
      </c>
      <c r="E8764" s="13" t="inlineStr">
        <is>
          <t>General</t>
        </is>
      </c>
      <c r="F8764" s="5" t="n">
        <v>1589</v>
      </c>
      <c r="G8764" s="5" t="n">
        <v>10373</v>
      </c>
      <c r="H8764" s="5" t="n">
        <v>447</v>
      </c>
      <c r="I8764" s="5" t="n">
        <v>204</v>
      </c>
      <c r="J8764" s="5" t="n">
        <v>224</v>
      </c>
      <c r="K8764" s="10">
        <f>IF(F8764&gt;0,H8764/F8764,"")</f>
        <v/>
      </c>
      <c r="L8764" s="16">
        <f>IF(AND(G8764&gt;0,H8764&gt;0),G8764/H8764,"")</f>
        <v/>
      </c>
    </row>
    <row r="8765">
      <c r="A8765" s="4" t="inlineStr">
        <is>
          <t>204</t>
        </is>
      </c>
      <c r="B8765" s="4" t="n">
        <v>2</v>
      </c>
      <c r="C8765" s="4" t="inlineStr">
        <is>
          <t>whitetail</t>
        </is>
      </c>
      <c r="D8765" s="4" t="n">
        <v>2008</v>
      </c>
      <c r="E8765" s="13" t="inlineStr">
        <is>
          <t>General</t>
        </is>
      </c>
      <c r="F8765" s="5" t="n">
        <v>1754</v>
      </c>
      <c r="G8765" s="5" t="n">
        <v>11686</v>
      </c>
      <c r="H8765" s="5" t="n">
        <v>445</v>
      </c>
      <c r="I8765" s="5" t="n">
        <v>217</v>
      </c>
      <c r="J8765" s="5" t="n">
        <v>223</v>
      </c>
      <c r="K8765" s="10">
        <f>IF(F8765&gt;0,H8765/F8765,"")</f>
        <v/>
      </c>
      <c r="L8765" s="16">
        <f>IF(AND(G8765&gt;0,H8765&gt;0),G8765/H8765,"")</f>
        <v/>
      </c>
    </row>
    <row r="8766">
      <c r="A8766" s="4" t="inlineStr">
        <is>
          <t>204</t>
        </is>
      </c>
      <c r="B8766" s="4" t="n">
        <v>2</v>
      </c>
      <c r="C8766" s="4" t="inlineStr">
        <is>
          <t>whitetail</t>
        </is>
      </c>
      <c r="D8766" s="4" t="n">
        <v>2009</v>
      </c>
      <c r="E8766" s="13" t="inlineStr">
        <is>
          <t>General</t>
        </is>
      </c>
      <c r="F8766" s="5" t="n">
        <v>1631</v>
      </c>
      <c r="G8766" s="5" t="n">
        <v>9745</v>
      </c>
      <c r="H8766" s="5" t="n">
        <v>319</v>
      </c>
      <c r="I8766" s="5" t="n">
        <v>213</v>
      </c>
      <c r="J8766" s="5" t="n">
        <v>104</v>
      </c>
      <c r="K8766" s="10">
        <f>IF(F8766&gt;0,H8766/F8766,"")</f>
        <v/>
      </c>
      <c r="L8766" s="16">
        <f>IF(AND(G8766&gt;0,H8766&gt;0),G8766/H8766,"")</f>
        <v/>
      </c>
    </row>
    <row r="8767">
      <c r="A8767" s="4" t="inlineStr">
        <is>
          <t>204</t>
        </is>
      </c>
      <c r="B8767" s="4" t="n">
        <v>2</v>
      </c>
      <c r="C8767" s="4" t="inlineStr">
        <is>
          <t>whitetail</t>
        </is>
      </c>
      <c r="D8767" s="4" t="n">
        <v>2010</v>
      </c>
      <c r="E8767" s="13" t="inlineStr">
        <is>
          <t>General</t>
        </is>
      </c>
      <c r="F8767" s="5" t="n">
        <v>1475</v>
      </c>
      <c r="G8767" s="5" t="n">
        <v>9324</v>
      </c>
      <c r="H8767" s="5" t="n">
        <v>390</v>
      </c>
      <c r="I8767" s="5" t="n">
        <v>287</v>
      </c>
      <c r="J8767" s="5" t="n">
        <v>95</v>
      </c>
      <c r="K8767" s="10">
        <f>IF(F8767&gt;0,H8767/F8767,"")</f>
        <v/>
      </c>
      <c r="L8767" s="16">
        <f>IF(AND(G8767&gt;0,H8767&gt;0),G8767/H8767,"")</f>
        <v/>
      </c>
    </row>
    <row r="8768">
      <c r="A8768" s="4" t="inlineStr">
        <is>
          <t>204</t>
        </is>
      </c>
      <c r="B8768" s="4" t="n">
        <v>2</v>
      </c>
      <c r="C8768" s="4" t="inlineStr">
        <is>
          <t>whitetail</t>
        </is>
      </c>
      <c r="D8768" s="4" t="n">
        <v>2011</v>
      </c>
      <c r="E8768" s="13" t="inlineStr">
        <is>
          <t>General</t>
        </is>
      </c>
      <c r="F8768" s="5" t="n">
        <v>1614</v>
      </c>
      <c r="G8768" s="5" t="n">
        <v>10069</v>
      </c>
      <c r="H8768" s="5" t="n">
        <v>360</v>
      </c>
      <c r="I8768" s="5" t="n">
        <v>230</v>
      </c>
      <c r="J8768" s="5" t="n">
        <v>121</v>
      </c>
      <c r="K8768" s="10">
        <f>IF(F8768&gt;0,H8768/F8768,"")</f>
        <v/>
      </c>
      <c r="L8768" s="16">
        <f>IF(AND(G8768&gt;0,H8768&gt;0),G8768/H8768,"")</f>
        <v/>
      </c>
    </row>
    <row r="8769">
      <c r="A8769" s="4" t="inlineStr">
        <is>
          <t>204</t>
        </is>
      </c>
      <c r="B8769" s="4" t="n">
        <v>2</v>
      </c>
      <c r="C8769" s="4" t="inlineStr">
        <is>
          <t>whitetail</t>
        </is>
      </c>
      <c r="D8769" s="4" t="n">
        <v>2012</v>
      </c>
      <c r="E8769" s="13" t="inlineStr">
        <is>
          <t>General</t>
        </is>
      </c>
      <c r="F8769" s="5" t="n"/>
      <c r="G8769" s="5" t="n"/>
      <c r="H8769" s="5" t="n">
        <v>423</v>
      </c>
      <c r="I8769" s="5" t="n">
        <v>224</v>
      </c>
      <c r="J8769" s="5" t="n">
        <v>191</v>
      </c>
      <c r="K8769" s="10">
        <f>IF(F8769&gt;0,H8769/F8769,"")</f>
        <v/>
      </c>
      <c r="L8769" s="16">
        <f>IF(AND(G8769&gt;0,H8769&gt;0),G8769/H8769,"")</f>
        <v/>
      </c>
    </row>
    <row r="8770">
      <c r="A8770" s="4" t="inlineStr">
        <is>
          <t>204</t>
        </is>
      </c>
      <c r="B8770" s="4" t="n">
        <v>2</v>
      </c>
      <c r="C8770" s="4" t="inlineStr">
        <is>
          <t>whitetail</t>
        </is>
      </c>
      <c r="D8770" s="4" t="n">
        <v>2013</v>
      </c>
      <c r="E8770" s="13" t="inlineStr">
        <is>
          <t>General</t>
        </is>
      </c>
      <c r="F8770" s="5" t="n">
        <v>1565</v>
      </c>
      <c r="G8770" s="5" t="n">
        <v>9768</v>
      </c>
      <c r="H8770" s="5" t="n">
        <v>273</v>
      </c>
      <c r="I8770" s="5" t="n">
        <v>171</v>
      </c>
      <c r="J8770" s="5" t="n">
        <v>96</v>
      </c>
      <c r="K8770" s="10">
        <f>IF(F8770&gt;0,H8770/F8770,"")</f>
        <v/>
      </c>
      <c r="L8770" s="16">
        <f>IF(AND(G8770&gt;0,H8770&gt;0),G8770/H8770,"")</f>
        <v/>
      </c>
    </row>
    <row r="8771">
      <c r="A8771" s="4" t="inlineStr">
        <is>
          <t>204</t>
        </is>
      </c>
      <c r="B8771" s="4" t="n">
        <v>2</v>
      </c>
      <c r="C8771" s="4" t="inlineStr">
        <is>
          <t>whitetail</t>
        </is>
      </c>
      <c r="D8771" s="4" t="n">
        <v>2014</v>
      </c>
      <c r="E8771" s="13" t="inlineStr">
        <is>
          <t>General</t>
        </is>
      </c>
      <c r="F8771" s="5" t="n"/>
      <c r="G8771" s="5" t="n"/>
      <c r="H8771" s="5" t="n">
        <v>357</v>
      </c>
      <c r="I8771" s="5" t="n">
        <v>286</v>
      </c>
      <c r="J8771" s="5" t="n">
        <v>72</v>
      </c>
      <c r="K8771" s="10">
        <f>IF(F8771&gt;0,H8771/F8771,"")</f>
        <v/>
      </c>
      <c r="L8771" s="16">
        <f>IF(AND(G8771&gt;0,H8771&gt;0),G8771/H8771,"")</f>
        <v/>
      </c>
    </row>
    <row r="8772">
      <c r="A8772" s="4" t="inlineStr">
        <is>
          <t>204</t>
        </is>
      </c>
      <c r="B8772" s="4" t="n">
        <v>2</v>
      </c>
      <c r="C8772" s="4" t="inlineStr">
        <is>
          <t>whitetail</t>
        </is>
      </c>
      <c r="D8772" s="4" t="n">
        <v>2015</v>
      </c>
      <c r="E8772" s="13" t="inlineStr">
        <is>
          <t>General</t>
        </is>
      </c>
      <c r="F8772" s="5" t="n"/>
      <c r="G8772" s="5" t="n"/>
      <c r="H8772" s="5" t="n">
        <v>326</v>
      </c>
      <c r="I8772" s="5" t="n">
        <v>231</v>
      </c>
      <c r="J8772" s="5" t="n">
        <v>87</v>
      </c>
      <c r="K8772" s="10">
        <f>IF(F8772&gt;0,H8772/F8772,"")</f>
        <v/>
      </c>
      <c r="L8772" s="16">
        <f>IF(AND(G8772&gt;0,H8772&gt;0),G8772/H8772,"")</f>
        <v/>
      </c>
    </row>
    <row r="8773">
      <c r="A8773" s="4" t="inlineStr">
        <is>
          <t>204</t>
        </is>
      </c>
      <c r="B8773" s="4" t="n">
        <v>2</v>
      </c>
      <c r="C8773" s="4" t="inlineStr">
        <is>
          <t>whitetail</t>
        </is>
      </c>
      <c r="D8773" s="4" t="n">
        <v>2016</v>
      </c>
      <c r="E8773" s="13" t="inlineStr">
        <is>
          <t>General</t>
        </is>
      </c>
      <c r="F8773" s="5" t="n"/>
      <c r="G8773" s="5" t="n"/>
      <c r="H8773" s="5" t="n">
        <v>335</v>
      </c>
      <c r="I8773" s="5" t="n">
        <v>225</v>
      </c>
      <c r="J8773" s="5" t="n">
        <v>108</v>
      </c>
      <c r="K8773" s="10">
        <f>IF(F8773&gt;0,H8773/F8773,"")</f>
        <v/>
      </c>
      <c r="L8773" s="16">
        <f>IF(AND(G8773&gt;0,H8773&gt;0),G8773/H8773,"")</f>
        <v/>
      </c>
    </row>
    <row r="8774">
      <c r="A8774" s="4" t="inlineStr">
        <is>
          <t>204</t>
        </is>
      </c>
      <c r="B8774" s="4" t="n">
        <v>2</v>
      </c>
      <c r="C8774" s="4" t="inlineStr">
        <is>
          <t>whitetail</t>
        </is>
      </c>
      <c r="D8774" s="4" t="n">
        <v>2017</v>
      </c>
      <c r="E8774" s="13" t="inlineStr">
        <is>
          <t>General</t>
        </is>
      </c>
      <c r="F8774" s="5" t="n">
        <v>1158</v>
      </c>
      <c r="G8774" s="5" t="n">
        <v>7248</v>
      </c>
      <c r="H8774" s="5" t="n">
        <v>225</v>
      </c>
      <c r="I8774" s="5" t="n">
        <v>171</v>
      </c>
      <c r="J8774" s="5" t="n">
        <v>54</v>
      </c>
      <c r="K8774" s="10">
        <f>IF(F8774&gt;0,H8774/F8774,"")</f>
        <v/>
      </c>
      <c r="L8774" s="16">
        <f>IF(AND(G8774&gt;0,H8774&gt;0),G8774/H8774,"")</f>
        <v/>
      </c>
    </row>
    <row r="8775">
      <c r="A8775" s="4" t="inlineStr">
        <is>
          <t>204</t>
        </is>
      </c>
      <c r="B8775" s="4" t="n">
        <v>2</v>
      </c>
      <c r="C8775" s="4" t="inlineStr">
        <is>
          <t>whitetail</t>
        </is>
      </c>
      <c r="D8775" s="4" t="n">
        <v>2018</v>
      </c>
      <c r="E8775" s="13" t="inlineStr">
        <is>
          <t>General</t>
        </is>
      </c>
      <c r="F8775" s="5" t="n"/>
      <c r="G8775" s="5" t="n"/>
      <c r="H8775" s="5" t="n">
        <v>249</v>
      </c>
      <c r="I8775" s="5" t="n">
        <v>178</v>
      </c>
      <c r="J8775" s="5" t="n">
        <v>71</v>
      </c>
      <c r="K8775" s="10">
        <f>IF(F8775&gt;0,H8775/F8775,"")</f>
        <v/>
      </c>
      <c r="L8775" s="16">
        <f>IF(AND(G8775&gt;0,H8775&gt;0),G8775/H8775,"")</f>
        <v/>
      </c>
    </row>
    <row r="8776">
      <c r="A8776" s="4" t="inlineStr">
        <is>
          <t>204</t>
        </is>
      </c>
      <c r="B8776" s="4" t="n">
        <v>2</v>
      </c>
      <c r="C8776" s="4" t="inlineStr">
        <is>
          <t>whitetail</t>
        </is>
      </c>
      <c r="D8776" s="4" t="n">
        <v>2019</v>
      </c>
      <c r="E8776" s="13" t="inlineStr">
        <is>
          <t>General</t>
        </is>
      </c>
      <c r="F8776" s="5" t="n">
        <v>873</v>
      </c>
      <c r="G8776" s="5" t="n">
        <v>5594</v>
      </c>
      <c r="H8776" s="5" t="n">
        <v>217</v>
      </c>
      <c r="I8776" s="5" t="n">
        <v>188</v>
      </c>
      <c r="J8776" s="5" t="n">
        <v>29</v>
      </c>
      <c r="K8776" s="10">
        <f>IF(F8776&gt;0,H8776/F8776,"")</f>
        <v/>
      </c>
      <c r="L8776" s="16">
        <f>IF(AND(G8776&gt;0,H8776&gt;0),G8776/H8776,"")</f>
        <v/>
      </c>
    </row>
    <row r="8777">
      <c r="A8777" s="4" t="inlineStr">
        <is>
          <t>204</t>
        </is>
      </c>
      <c r="B8777" s="4" t="n">
        <v>2</v>
      </c>
      <c r="C8777" s="4" t="inlineStr">
        <is>
          <t>whitetail</t>
        </is>
      </c>
      <c r="D8777" s="4" t="n">
        <v>2020</v>
      </c>
      <c r="E8777" s="13" t="inlineStr">
        <is>
          <t>General</t>
        </is>
      </c>
      <c r="F8777" s="5" t="n"/>
      <c r="G8777" s="5" t="n"/>
      <c r="H8777" s="5" t="n">
        <v>388</v>
      </c>
      <c r="I8777" s="5" t="n">
        <v>224</v>
      </c>
      <c r="J8777" s="5" t="n">
        <v>165</v>
      </c>
      <c r="K8777" s="10">
        <f>IF(F8777&gt;0,H8777/F8777,"")</f>
        <v/>
      </c>
      <c r="L8777" s="16">
        <f>IF(AND(G8777&gt;0,H8777&gt;0),G8777/H8777,"")</f>
        <v/>
      </c>
    </row>
    <row r="8778">
      <c r="A8778" s="4" t="inlineStr">
        <is>
          <t>204</t>
        </is>
      </c>
      <c r="B8778" s="4" t="n">
        <v>2</v>
      </c>
      <c r="C8778" s="4" t="inlineStr">
        <is>
          <t>whitetail</t>
        </is>
      </c>
      <c r="D8778" s="4" t="n">
        <v>2021</v>
      </c>
      <c r="E8778" s="13" t="inlineStr">
        <is>
          <t>General</t>
        </is>
      </c>
      <c r="F8778" s="5" t="n">
        <v>1092</v>
      </c>
      <c r="G8778" s="5" t="n">
        <v>6666</v>
      </c>
      <c r="H8778" s="5" t="n">
        <v>298</v>
      </c>
      <c r="I8778" s="5" t="n">
        <v>223</v>
      </c>
      <c r="J8778" s="5" t="n">
        <v>69</v>
      </c>
      <c r="K8778" s="10">
        <f>IF(F8778&gt;0,H8778/F8778,"")</f>
        <v/>
      </c>
      <c r="L8778" s="16">
        <f>IF(AND(G8778&gt;0,H8778&gt;0),G8778/H8778,"")</f>
        <v/>
      </c>
    </row>
    <row r="8779">
      <c r="A8779" s="4" t="inlineStr">
        <is>
          <t>204</t>
        </is>
      </c>
      <c r="B8779" s="4" t="n">
        <v>2</v>
      </c>
      <c r="C8779" s="4" t="inlineStr">
        <is>
          <t>whitetail</t>
        </is>
      </c>
      <c r="D8779" s="4" t="n">
        <v>2022</v>
      </c>
      <c r="E8779" s="13" t="inlineStr">
        <is>
          <t>General</t>
        </is>
      </c>
      <c r="F8779" s="5" t="n"/>
      <c r="G8779" s="5" t="n"/>
      <c r="H8779" s="5" t="n">
        <v>418</v>
      </c>
      <c r="I8779" s="5" t="n">
        <v>278</v>
      </c>
      <c r="J8779" s="5" t="n">
        <v>136</v>
      </c>
      <c r="K8779" s="10">
        <f>IF(F8779&gt;0,H8779/F8779,"")</f>
        <v/>
      </c>
      <c r="L8779" s="16">
        <f>IF(AND(G8779&gt;0,H8779&gt;0),G8779/H8779,"")</f>
        <v/>
      </c>
    </row>
    <row r="8780">
      <c r="A8780" s="4" t="inlineStr">
        <is>
          <t>204</t>
        </is>
      </c>
      <c r="B8780" s="4" t="n">
        <v>2</v>
      </c>
      <c r="C8780" s="4" t="inlineStr">
        <is>
          <t>whitetail</t>
        </is>
      </c>
      <c r="D8780" s="4" t="n">
        <v>2023</v>
      </c>
      <c r="E8780" s="13" t="inlineStr">
        <is>
          <t>General</t>
        </is>
      </c>
      <c r="F8780" s="5" t="n">
        <v>1491</v>
      </c>
      <c r="G8780" s="5" t="n">
        <v>9948</v>
      </c>
      <c r="H8780" s="5" t="n">
        <v>397</v>
      </c>
      <c r="I8780" s="5" t="n">
        <v>266</v>
      </c>
      <c r="J8780" s="5" t="n">
        <v>121</v>
      </c>
      <c r="K8780" s="10">
        <f>IF(F8780&gt;0,H8780/F8780,"")</f>
        <v/>
      </c>
      <c r="L8780" s="16">
        <f>IF(AND(G8780&gt;0,H8780&gt;0),G8780/H8780,"")</f>
        <v/>
      </c>
    </row>
    <row r="8781">
      <c r="A8781" s="4" t="inlineStr">
        <is>
          <t>204</t>
        </is>
      </c>
      <c r="B8781" s="4" t="n">
        <v>2</v>
      </c>
      <c r="C8781" s="4" t="inlineStr">
        <is>
          <t>whitetail</t>
        </is>
      </c>
      <c r="D8781" s="4" t="n">
        <v>2024</v>
      </c>
      <c r="E8781" s="13" t="inlineStr">
        <is>
          <t>General</t>
        </is>
      </c>
      <c r="F8781" s="5" t="n"/>
      <c r="G8781" s="5" t="n"/>
      <c r="H8781" s="5" t="n">
        <v>402</v>
      </c>
      <c r="I8781" s="5" t="n">
        <v>296</v>
      </c>
      <c r="J8781" s="5" t="n">
        <v>106</v>
      </c>
      <c r="K8781" s="10">
        <f>IF(F8781&gt;0,H8781/F8781,"")</f>
        <v/>
      </c>
      <c r="L8781" s="16">
        <f>IF(AND(G8781&gt;0,H8781&gt;0),G8781/H8781,"")</f>
        <v/>
      </c>
    </row>
    <row r="8782">
      <c r="A8782" s="4" t="inlineStr">
        <is>
          <t>204</t>
        </is>
      </c>
      <c r="B8782" s="4" t="n">
        <v>2</v>
      </c>
      <c r="C8782" s="4" t="inlineStr">
        <is>
          <t>whitetail</t>
        </is>
      </c>
      <c r="D8782" s="4" t="n">
        <v>2025</v>
      </c>
      <c r="E8782" s="13" t="inlineStr">
        <is>
          <t>General</t>
        </is>
      </c>
      <c r="F8782" s="5" t="n">
        <v>1386</v>
      </c>
      <c r="G8782" s="5" t="n">
        <v>8644</v>
      </c>
      <c r="H8782" s="5" t="n">
        <v>315</v>
      </c>
      <c r="I8782" s="5" t="n">
        <v>202</v>
      </c>
      <c r="J8782" s="5" t="n">
        <v>109</v>
      </c>
      <c r="K8782" s="10">
        <f>IF(F8782&gt;0,H8782/F8782,"")</f>
        <v/>
      </c>
      <c r="L8782" s="16">
        <f>IF(AND(G8782&gt;0,H8782&gt;0),G8782/H8782,"")</f>
        <v/>
      </c>
    </row>
    <row r="8783">
      <c r="A8783" s="4" t="inlineStr">
        <is>
          <t>210</t>
        </is>
      </c>
      <c r="B8783" s="4" t="n">
        <v>2</v>
      </c>
      <c r="C8783" s="4" t="inlineStr">
        <is>
          <t>whitetail</t>
        </is>
      </c>
      <c r="D8783" s="4" t="n">
        <v>2004</v>
      </c>
      <c r="E8783" s="13" t="inlineStr">
        <is>
          <t>General</t>
        </is>
      </c>
      <c r="F8783" s="5" t="n">
        <v>904</v>
      </c>
      <c r="G8783" s="5" t="n">
        <v>5388</v>
      </c>
      <c r="H8783" s="5" t="n">
        <v>147</v>
      </c>
      <c r="I8783" s="5" t="n">
        <v>84</v>
      </c>
      <c r="J8783" s="5" t="n">
        <v>58</v>
      </c>
      <c r="K8783" s="10">
        <f>IF(F8783&gt;0,H8783/F8783,"")</f>
        <v/>
      </c>
      <c r="L8783" s="16">
        <f>IF(AND(G8783&gt;0,H8783&gt;0),G8783/H8783,"")</f>
        <v/>
      </c>
    </row>
    <row r="8784">
      <c r="A8784" s="4" t="inlineStr">
        <is>
          <t>210</t>
        </is>
      </c>
      <c r="B8784" s="4" t="n">
        <v>2</v>
      </c>
      <c r="C8784" s="4" t="inlineStr">
        <is>
          <t>whitetail</t>
        </is>
      </c>
      <c r="D8784" s="4" t="n">
        <v>2005</v>
      </c>
      <c r="E8784" s="13" t="inlineStr">
        <is>
          <t>General</t>
        </is>
      </c>
      <c r="F8784" s="5" t="n">
        <v>908</v>
      </c>
      <c r="G8784" s="5" t="n">
        <v>5177</v>
      </c>
      <c r="H8784" s="5" t="n">
        <v>218</v>
      </c>
      <c r="I8784" s="5" t="n">
        <v>143</v>
      </c>
      <c r="J8784" s="5" t="n">
        <v>69</v>
      </c>
      <c r="K8784" s="10">
        <f>IF(F8784&gt;0,H8784/F8784,"")</f>
        <v/>
      </c>
      <c r="L8784" s="16">
        <f>IF(AND(G8784&gt;0,H8784&gt;0),G8784/H8784,"")</f>
        <v/>
      </c>
    </row>
    <row r="8785">
      <c r="A8785" s="4" t="inlineStr">
        <is>
          <t>210</t>
        </is>
      </c>
      <c r="B8785" s="4" t="n">
        <v>2</v>
      </c>
      <c r="C8785" s="4" t="inlineStr">
        <is>
          <t>whitetail</t>
        </is>
      </c>
      <c r="D8785" s="4" t="n">
        <v>2006</v>
      </c>
      <c r="E8785" s="13" t="inlineStr">
        <is>
          <t>General</t>
        </is>
      </c>
      <c r="F8785" s="5" t="n">
        <v>984</v>
      </c>
      <c r="G8785" s="5" t="n">
        <v>5355</v>
      </c>
      <c r="H8785" s="5" t="n">
        <v>367</v>
      </c>
      <c r="I8785" s="5" t="n">
        <v>161</v>
      </c>
      <c r="J8785" s="5" t="n">
        <v>199</v>
      </c>
      <c r="K8785" s="10">
        <f>IF(F8785&gt;0,H8785/F8785,"")</f>
        <v/>
      </c>
      <c r="L8785" s="16">
        <f>IF(AND(G8785&gt;0,H8785&gt;0),G8785/H8785,"")</f>
        <v/>
      </c>
    </row>
    <row r="8786">
      <c r="A8786" s="4" t="inlineStr">
        <is>
          <t>210</t>
        </is>
      </c>
      <c r="B8786" s="4" t="n">
        <v>2</v>
      </c>
      <c r="C8786" s="4" t="inlineStr">
        <is>
          <t>whitetail</t>
        </is>
      </c>
      <c r="D8786" s="4" t="n">
        <v>2007</v>
      </c>
      <c r="E8786" s="13" t="inlineStr">
        <is>
          <t>General</t>
        </is>
      </c>
      <c r="F8786" s="5" t="n">
        <v>922</v>
      </c>
      <c r="G8786" s="5" t="n">
        <v>5519</v>
      </c>
      <c r="H8786" s="5" t="n">
        <v>244</v>
      </c>
      <c r="I8786" s="5" t="n">
        <v>88</v>
      </c>
      <c r="J8786" s="5" t="n">
        <v>147</v>
      </c>
      <c r="K8786" s="10">
        <f>IF(F8786&gt;0,H8786/F8786,"")</f>
        <v/>
      </c>
      <c r="L8786" s="16">
        <f>IF(AND(G8786&gt;0,H8786&gt;0),G8786/H8786,"")</f>
        <v/>
      </c>
    </row>
    <row r="8787">
      <c r="A8787" s="4" t="inlineStr">
        <is>
          <t>210</t>
        </is>
      </c>
      <c r="B8787" s="4" t="n">
        <v>2</v>
      </c>
      <c r="C8787" s="4" t="inlineStr">
        <is>
          <t>whitetail</t>
        </is>
      </c>
      <c r="D8787" s="4" t="n">
        <v>2008</v>
      </c>
      <c r="E8787" s="13" t="inlineStr">
        <is>
          <t>General</t>
        </is>
      </c>
      <c r="F8787" s="5" t="n">
        <v>860</v>
      </c>
      <c r="G8787" s="5" t="n">
        <v>5599</v>
      </c>
      <c r="H8787" s="5" t="n">
        <v>169</v>
      </c>
      <c r="I8787" s="5" t="n">
        <v>59</v>
      </c>
      <c r="J8787" s="5" t="n">
        <v>104</v>
      </c>
      <c r="K8787" s="10">
        <f>IF(F8787&gt;0,H8787/F8787,"")</f>
        <v/>
      </c>
      <c r="L8787" s="16">
        <f>IF(AND(G8787&gt;0,H8787&gt;0),G8787/H8787,"")</f>
        <v/>
      </c>
    </row>
    <row r="8788">
      <c r="A8788" s="4" t="inlineStr">
        <is>
          <t>210</t>
        </is>
      </c>
      <c r="B8788" s="4" t="n">
        <v>2</v>
      </c>
      <c r="C8788" s="4" t="inlineStr">
        <is>
          <t>whitetail</t>
        </is>
      </c>
      <c r="D8788" s="4" t="n">
        <v>2009</v>
      </c>
      <c r="E8788" s="13" t="inlineStr">
        <is>
          <t>General</t>
        </is>
      </c>
      <c r="F8788" s="5" t="n">
        <v>815</v>
      </c>
      <c r="G8788" s="5" t="n">
        <v>4347</v>
      </c>
      <c r="H8788" s="5" t="n">
        <v>94</v>
      </c>
      <c r="I8788" s="5" t="n">
        <v>71</v>
      </c>
      <c r="J8788" s="5" t="n">
        <v>23</v>
      </c>
      <c r="K8788" s="10">
        <f>IF(F8788&gt;0,H8788/F8788,"")</f>
        <v/>
      </c>
      <c r="L8788" s="16">
        <f>IF(AND(G8788&gt;0,H8788&gt;0),G8788/H8788,"")</f>
        <v/>
      </c>
    </row>
    <row r="8789">
      <c r="A8789" s="4" t="inlineStr">
        <is>
          <t>210</t>
        </is>
      </c>
      <c r="B8789" s="4" t="n">
        <v>2</v>
      </c>
      <c r="C8789" s="4" t="inlineStr">
        <is>
          <t>whitetail</t>
        </is>
      </c>
      <c r="D8789" s="4" t="n">
        <v>2010</v>
      </c>
      <c r="E8789" s="13" t="inlineStr">
        <is>
          <t>General</t>
        </is>
      </c>
      <c r="F8789" s="5" t="n">
        <v>730</v>
      </c>
      <c r="G8789" s="5" t="n">
        <v>4517</v>
      </c>
      <c r="H8789" s="5" t="n">
        <v>122</v>
      </c>
      <c r="I8789" s="5" t="n">
        <v>102</v>
      </c>
      <c r="J8789" s="5" t="n">
        <v>20</v>
      </c>
      <c r="K8789" s="10">
        <f>IF(F8789&gt;0,H8789/F8789,"")</f>
        <v/>
      </c>
      <c r="L8789" s="16">
        <f>IF(AND(G8789&gt;0,H8789&gt;0),G8789/H8789,"")</f>
        <v/>
      </c>
    </row>
    <row r="8790">
      <c r="A8790" s="4" t="inlineStr">
        <is>
          <t>210</t>
        </is>
      </c>
      <c r="B8790" s="4" t="n">
        <v>2</v>
      </c>
      <c r="C8790" s="4" t="inlineStr">
        <is>
          <t>whitetail</t>
        </is>
      </c>
      <c r="D8790" s="4" t="n">
        <v>2011</v>
      </c>
      <c r="E8790" s="13" t="inlineStr">
        <is>
          <t>General</t>
        </is>
      </c>
      <c r="F8790" s="5" t="n">
        <v>932</v>
      </c>
      <c r="G8790" s="5" t="n">
        <v>5255</v>
      </c>
      <c r="H8790" s="5" t="n">
        <v>121</v>
      </c>
      <c r="I8790" s="5" t="n">
        <v>90</v>
      </c>
      <c r="J8790" s="5" t="n">
        <v>28</v>
      </c>
      <c r="K8790" s="10">
        <f>IF(F8790&gt;0,H8790/F8790,"")</f>
        <v/>
      </c>
      <c r="L8790" s="16">
        <f>IF(AND(G8790&gt;0,H8790&gt;0),G8790/H8790,"")</f>
        <v/>
      </c>
    </row>
    <row r="8791">
      <c r="A8791" s="4" t="inlineStr">
        <is>
          <t>210</t>
        </is>
      </c>
      <c r="B8791" s="4" t="n">
        <v>2</v>
      </c>
      <c r="C8791" s="4" t="inlineStr">
        <is>
          <t>whitetail</t>
        </is>
      </c>
      <c r="D8791" s="4" t="n">
        <v>2012</v>
      </c>
      <c r="E8791" s="13" t="inlineStr">
        <is>
          <t>General</t>
        </is>
      </c>
      <c r="F8791" s="5" t="n"/>
      <c r="G8791" s="5" t="n"/>
      <c r="H8791" s="5" t="n">
        <v>140</v>
      </c>
      <c r="I8791" s="5" t="n">
        <v>120</v>
      </c>
      <c r="J8791" s="5" t="n">
        <v>20</v>
      </c>
      <c r="K8791" s="10">
        <f>IF(F8791&gt;0,H8791/F8791,"")</f>
        <v/>
      </c>
      <c r="L8791" s="16">
        <f>IF(AND(G8791&gt;0,H8791&gt;0),G8791/H8791,"")</f>
        <v/>
      </c>
    </row>
    <row r="8792">
      <c r="A8792" s="4" t="inlineStr">
        <is>
          <t>210</t>
        </is>
      </c>
      <c r="B8792" s="4" t="n">
        <v>2</v>
      </c>
      <c r="C8792" s="4" t="inlineStr">
        <is>
          <t>whitetail</t>
        </is>
      </c>
      <c r="D8792" s="4" t="n">
        <v>2013</v>
      </c>
      <c r="E8792" s="13" t="inlineStr">
        <is>
          <t>General</t>
        </is>
      </c>
      <c r="F8792" s="5" t="n">
        <v>878</v>
      </c>
      <c r="G8792" s="5" t="n">
        <v>5354</v>
      </c>
      <c r="H8792" s="5" t="n">
        <v>151</v>
      </c>
      <c r="I8792" s="5" t="n">
        <v>121</v>
      </c>
      <c r="J8792" s="5" t="n">
        <v>27</v>
      </c>
      <c r="K8792" s="10">
        <f>IF(F8792&gt;0,H8792/F8792,"")</f>
        <v/>
      </c>
      <c r="L8792" s="16">
        <f>IF(AND(G8792&gt;0,H8792&gt;0),G8792/H8792,"")</f>
        <v/>
      </c>
    </row>
    <row r="8793">
      <c r="A8793" s="4" t="inlineStr">
        <is>
          <t>210</t>
        </is>
      </c>
      <c r="B8793" s="4" t="n">
        <v>2</v>
      </c>
      <c r="C8793" s="4" t="inlineStr">
        <is>
          <t>whitetail</t>
        </is>
      </c>
      <c r="D8793" s="4" t="n">
        <v>2014</v>
      </c>
      <c r="E8793" s="13" t="inlineStr">
        <is>
          <t>General</t>
        </is>
      </c>
      <c r="F8793" s="5" t="n"/>
      <c r="G8793" s="5" t="n"/>
      <c r="H8793" s="5" t="n">
        <v>192</v>
      </c>
      <c r="I8793" s="5" t="n">
        <v>161</v>
      </c>
      <c r="J8793" s="5" t="n">
        <v>28</v>
      </c>
      <c r="K8793" s="10">
        <f>IF(F8793&gt;0,H8793/F8793,"")</f>
        <v/>
      </c>
      <c r="L8793" s="16">
        <f>IF(AND(G8793&gt;0,H8793&gt;0),G8793/H8793,"")</f>
        <v/>
      </c>
    </row>
    <row r="8794">
      <c r="A8794" s="4" t="inlineStr">
        <is>
          <t>210</t>
        </is>
      </c>
      <c r="B8794" s="4" t="n">
        <v>2</v>
      </c>
      <c r="C8794" s="4" t="inlineStr">
        <is>
          <t>whitetail</t>
        </is>
      </c>
      <c r="D8794" s="4" t="n">
        <v>2015</v>
      </c>
      <c r="E8794" s="13" t="inlineStr">
        <is>
          <t>General</t>
        </is>
      </c>
      <c r="F8794" s="5" t="n"/>
      <c r="G8794" s="5" t="n"/>
      <c r="H8794" s="5" t="n">
        <v>166</v>
      </c>
      <c r="I8794" s="5" t="n">
        <v>134</v>
      </c>
      <c r="J8794" s="5" t="n">
        <v>29</v>
      </c>
      <c r="K8794" s="10">
        <f>IF(F8794&gt;0,H8794/F8794,"")</f>
        <v/>
      </c>
      <c r="L8794" s="16">
        <f>IF(AND(G8794&gt;0,H8794&gt;0),G8794/H8794,"")</f>
        <v/>
      </c>
    </row>
    <row r="8795">
      <c r="A8795" s="4" t="inlineStr">
        <is>
          <t>210</t>
        </is>
      </c>
      <c r="B8795" s="4" t="n">
        <v>2</v>
      </c>
      <c r="C8795" s="4" t="inlineStr">
        <is>
          <t>whitetail</t>
        </is>
      </c>
      <c r="D8795" s="4" t="n">
        <v>2016</v>
      </c>
      <c r="E8795" s="13" t="inlineStr">
        <is>
          <t>General</t>
        </is>
      </c>
      <c r="F8795" s="5" t="n"/>
      <c r="G8795" s="5" t="n"/>
      <c r="H8795" s="5" t="n">
        <v>236</v>
      </c>
      <c r="I8795" s="5" t="n">
        <v>175</v>
      </c>
      <c r="J8795" s="5" t="n">
        <v>58</v>
      </c>
      <c r="K8795" s="10">
        <f>IF(F8795&gt;0,H8795/F8795,"")</f>
        <v/>
      </c>
      <c r="L8795" s="16">
        <f>IF(AND(G8795&gt;0,H8795&gt;0),G8795/H8795,"")</f>
        <v/>
      </c>
    </row>
    <row r="8796">
      <c r="A8796" s="4" t="inlineStr">
        <is>
          <t>210</t>
        </is>
      </c>
      <c r="B8796" s="4" t="n">
        <v>2</v>
      </c>
      <c r="C8796" s="4" t="inlineStr">
        <is>
          <t>whitetail</t>
        </is>
      </c>
      <c r="D8796" s="4" t="n">
        <v>2017</v>
      </c>
      <c r="E8796" s="13" t="inlineStr">
        <is>
          <t>General</t>
        </is>
      </c>
      <c r="F8796" s="5" t="n">
        <v>821</v>
      </c>
      <c r="G8796" s="5" t="n">
        <v>5162</v>
      </c>
      <c r="H8796" s="5" t="n">
        <v>236</v>
      </c>
      <c r="I8796" s="5" t="n">
        <v>164</v>
      </c>
      <c r="J8796" s="5" t="n">
        <v>69</v>
      </c>
      <c r="K8796" s="10">
        <f>IF(F8796&gt;0,H8796/F8796,"")</f>
        <v/>
      </c>
      <c r="L8796" s="16">
        <f>IF(AND(G8796&gt;0,H8796&gt;0),G8796/H8796,"")</f>
        <v/>
      </c>
    </row>
    <row r="8797">
      <c r="A8797" s="4" t="inlineStr">
        <is>
          <t>210</t>
        </is>
      </c>
      <c r="B8797" s="4" t="n">
        <v>2</v>
      </c>
      <c r="C8797" s="4" t="inlineStr">
        <is>
          <t>whitetail</t>
        </is>
      </c>
      <c r="D8797" s="4" t="n">
        <v>2018</v>
      </c>
      <c r="E8797" s="13" t="inlineStr">
        <is>
          <t>General</t>
        </is>
      </c>
      <c r="F8797" s="5" t="n"/>
      <c r="G8797" s="5" t="n"/>
      <c r="H8797" s="5" t="n">
        <v>397</v>
      </c>
      <c r="I8797" s="5" t="n">
        <v>185</v>
      </c>
      <c r="J8797" s="5" t="n">
        <v>212</v>
      </c>
      <c r="K8797" s="10">
        <f>IF(F8797&gt;0,H8797/F8797,"")</f>
        <v/>
      </c>
      <c r="L8797" s="16">
        <f>IF(AND(G8797&gt;0,H8797&gt;0),G8797/H8797,"")</f>
        <v/>
      </c>
    </row>
    <row r="8798">
      <c r="A8798" s="4" t="inlineStr">
        <is>
          <t>210</t>
        </is>
      </c>
      <c r="B8798" s="4" t="n">
        <v>2</v>
      </c>
      <c r="C8798" s="4" t="inlineStr">
        <is>
          <t>whitetail</t>
        </is>
      </c>
      <c r="D8798" s="4" t="n">
        <v>2019</v>
      </c>
      <c r="E8798" s="13" t="inlineStr">
        <is>
          <t>General</t>
        </is>
      </c>
      <c r="F8798" s="5" t="n">
        <v>983</v>
      </c>
      <c r="G8798" s="5" t="n">
        <v>5799</v>
      </c>
      <c r="H8798" s="5" t="n">
        <v>403</v>
      </c>
      <c r="I8798" s="5" t="n">
        <v>179</v>
      </c>
      <c r="J8798" s="5" t="n">
        <v>217</v>
      </c>
      <c r="K8798" s="10">
        <f>IF(F8798&gt;0,H8798/F8798,"")</f>
        <v/>
      </c>
      <c r="L8798" s="16">
        <f>IF(AND(G8798&gt;0,H8798&gt;0),G8798/H8798,"")</f>
        <v/>
      </c>
    </row>
    <row r="8799">
      <c r="A8799" s="4" t="inlineStr">
        <is>
          <t>210</t>
        </is>
      </c>
      <c r="B8799" s="4" t="n">
        <v>2</v>
      </c>
      <c r="C8799" s="4" t="inlineStr">
        <is>
          <t>whitetail</t>
        </is>
      </c>
      <c r="D8799" s="4" t="n">
        <v>2020</v>
      </c>
      <c r="E8799" s="13" t="inlineStr">
        <is>
          <t>General</t>
        </is>
      </c>
      <c r="F8799" s="5" t="n"/>
      <c r="G8799" s="5" t="n"/>
      <c r="H8799" s="5" t="n">
        <v>377</v>
      </c>
      <c r="I8799" s="5" t="n">
        <v>171</v>
      </c>
      <c r="J8799" s="5" t="n">
        <v>203</v>
      </c>
      <c r="K8799" s="10">
        <f>IF(F8799&gt;0,H8799/F8799,"")</f>
        <v/>
      </c>
      <c r="L8799" s="16">
        <f>IF(AND(G8799&gt;0,H8799&gt;0),G8799/H8799,"")</f>
        <v/>
      </c>
    </row>
    <row r="8800">
      <c r="A8800" s="4" t="inlineStr">
        <is>
          <t>210</t>
        </is>
      </c>
      <c r="B8800" s="4" t="n">
        <v>2</v>
      </c>
      <c r="C8800" s="4" t="inlineStr">
        <is>
          <t>whitetail</t>
        </is>
      </c>
      <c r="D8800" s="4" t="n">
        <v>2021</v>
      </c>
      <c r="E8800" s="13" t="inlineStr">
        <is>
          <t>General</t>
        </is>
      </c>
      <c r="F8800" s="5" t="n">
        <v>870</v>
      </c>
      <c r="G8800" s="5" t="n">
        <v>6185</v>
      </c>
      <c r="H8800" s="5" t="n">
        <v>224</v>
      </c>
      <c r="I8800" s="5" t="n">
        <v>129</v>
      </c>
      <c r="J8800" s="5" t="n">
        <v>95</v>
      </c>
      <c r="K8800" s="10">
        <f>IF(F8800&gt;0,H8800/F8800,"")</f>
        <v/>
      </c>
      <c r="L8800" s="16">
        <f>IF(AND(G8800&gt;0,H8800&gt;0),G8800/H8800,"")</f>
        <v/>
      </c>
    </row>
    <row r="8801">
      <c r="A8801" s="4" t="inlineStr">
        <is>
          <t>210</t>
        </is>
      </c>
      <c r="B8801" s="4" t="n">
        <v>2</v>
      </c>
      <c r="C8801" s="4" t="inlineStr">
        <is>
          <t>whitetail</t>
        </is>
      </c>
      <c r="D8801" s="4" t="n">
        <v>2022</v>
      </c>
      <c r="E8801" s="13" t="inlineStr">
        <is>
          <t>General</t>
        </is>
      </c>
      <c r="F8801" s="5" t="n"/>
      <c r="G8801" s="5" t="n"/>
      <c r="H8801" s="5" t="n">
        <v>241</v>
      </c>
      <c r="I8801" s="5" t="n">
        <v>136</v>
      </c>
      <c r="J8801" s="5" t="n">
        <v>102</v>
      </c>
      <c r="K8801" s="10">
        <f>IF(F8801&gt;0,H8801/F8801,"")</f>
        <v/>
      </c>
      <c r="L8801" s="16">
        <f>IF(AND(G8801&gt;0,H8801&gt;0),G8801/H8801,"")</f>
        <v/>
      </c>
    </row>
    <row r="8802">
      <c r="A8802" s="4" t="inlineStr">
        <is>
          <t>210</t>
        </is>
      </c>
      <c r="B8802" s="4" t="n">
        <v>2</v>
      </c>
      <c r="C8802" s="4" t="inlineStr">
        <is>
          <t>whitetail</t>
        </is>
      </c>
      <c r="D8802" s="4" t="n">
        <v>2023</v>
      </c>
      <c r="E8802" s="13" t="inlineStr">
        <is>
          <t>General</t>
        </is>
      </c>
      <c r="F8802" s="5" t="n">
        <v>863</v>
      </c>
      <c r="G8802" s="5" t="n">
        <v>4965</v>
      </c>
      <c r="H8802" s="5" t="n">
        <v>254</v>
      </c>
      <c r="I8802" s="5" t="n">
        <v>134</v>
      </c>
      <c r="J8802" s="5" t="n">
        <v>120</v>
      </c>
      <c r="K8802" s="10">
        <f>IF(F8802&gt;0,H8802/F8802,"")</f>
        <v/>
      </c>
      <c r="L8802" s="16">
        <f>IF(AND(G8802&gt;0,H8802&gt;0),G8802/H8802,"")</f>
        <v/>
      </c>
    </row>
    <row r="8803">
      <c r="A8803" s="4" t="inlineStr">
        <is>
          <t>210</t>
        </is>
      </c>
      <c r="B8803" s="4" t="n">
        <v>2</v>
      </c>
      <c r="C8803" s="4" t="inlineStr">
        <is>
          <t>whitetail</t>
        </is>
      </c>
      <c r="D8803" s="4" t="n">
        <v>2024</v>
      </c>
      <c r="E8803" s="13" t="inlineStr">
        <is>
          <t>General</t>
        </is>
      </c>
      <c r="F8803" s="5" t="n"/>
      <c r="G8803" s="5" t="n"/>
      <c r="H8803" s="5" t="n">
        <v>277</v>
      </c>
      <c r="I8803" s="5" t="n">
        <v>156</v>
      </c>
      <c r="J8803" s="5" t="n">
        <v>121</v>
      </c>
      <c r="K8803" s="10">
        <f>IF(F8803&gt;0,H8803/F8803,"")</f>
        <v/>
      </c>
      <c r="L8803" s="16">
        <f>IF(AND(G8803&gt;0,H8803&gt;0),G8803/H8803,"")</f>
        <v/>
      </c>
    </row>
    <row r="8804">
      <c r="A8804" s="4" t="inlineStr">
        <is>
          <t>210</t>
        </is>
      </c>
      <c r="B8804" s="4" t="n">
        <v>2</v>
      </c>
      <c r="C8804" s="4" t="inlineStr">
        <is>
          <t>whitetail</t>
        </is>
      </c>
      <c r="D8804" s="4" t="n">
        <v>2025</v>
      </c>
      <c r="E8804" s="13" t="inlineStr">
        <is>
          <t>General</t>
        </is>
      </c>
      <c r="F8804" s="5" t="n">
        <v>875</v>
      </c>
      <c r="G8804" s="5" t="n">
        <v>5787</v>
      </c>
      <c r="H8804" s="5" t="n">
        <v>233</v>
      </c>
      <c r="I8804" s="5" t="n">
        <v>139</v>
      </c>
      <c r="J8804" s="5" t="n">
        <v>94</v>
      </c>
      <c r="K8804" s="10">
        <f>IF(F8804&gt;0,H8804/F8804,"")</f>
        <v/>
      </c>
      <c r="L8804" s="16">
        <f>IF(AND(G8804&gt;0,H8804&gt;0),G8804/H8804,"")</f>
        <v/>
      </c>
    </row>
    <row r="8805">
      <c r="A8805" s="4" t="inlineStr">
        <is>
          <t>211</t>
        </is>
      </c>
      <c r="B8805" s="4" t="n">
        <v>2</v>
      </c>
      <c r="C8805" s="4" t="inlineStr">
        <is>
          <t>whitetail</t>
        </is>
      </c>
      <c r="D8805" s="4" t="n">
        <v>2004</v>
      </c>
      <c r="E8805" s="13" t="inlineStr">
        <is>
          <t>General</t>
        </is>
      </c>
      <c r="F8805" s="5" t="n">
        <v>284</v>
      </c>
      <c r="G8805" s="5" t="n">
        <v>1925</v>
      </c>
      <c r="H8805" s="5" t="n">
        <v>10</v>
      </c>
      <c r="I8805" s="5" t="n">
        <v>10</v>
      </c>
      <c r="J8805" s="5" t="n">
        <v>0</v>
      </c>
      <c r="K8805" s="10">
        <f>IF(F8805&gt;0,H8805/F8805,"")</f>
        <v/>
      </c>
      <c r="L8805" s="16">
        <f>IF(AND(G8805&gt;0,H8805&gt;0),G8805/H8805,"")</f>
        <v/>
      </c>
    </row>
    <row r="8806">
      <c r="A8806" s="4" t="inlineStr">
        <is>
          <t>211</t>
        </is>
      </c>
      <c r="B8806" s="4" t="n">
        <v>2</v>
      </c>
      <c r="C8806" s="4" t="inlineStr">
        <is>
          <t>whitetail</t>
        </is>
      </c>
      <c r="D8806" s="4" t="n">
        <v>2005</v>
      </c>
      <c r="E8806" s="13" t="inlineStr">
        <is>
          <t>General</t>
        </is>
      </c>
      <c r="F8806" s="5" t="n">
        <v>236</v>
      </c>
      <c r="G8806" s="5" t="n">
        <v>1905</v>
      </c>
      <c r="H8806" s="5" t="n">
        <v>21</v>
      </c>
      <c r="I8806" s="5" t="n">
        <v>11</v>
      </c>
      <c r="J8806" s="5" t="n">
        <v>10</v>
      </c>
      <c r="K8806" s="10">
        <f>IF(F8806&gt;0,H8806/F8806,"")</f>
        <v/>
      </c>
      <c r="L8806" s="16">
        <f>IF(AND(G8806&gt;0,H8806&gt;0),G8806/H8806,"")</f>
        <v/>
      </c>
    </row>
    <row r="8807">
      <c r="A8807" s="4" t="inlineStr">
        <is>
          <t>211</t>
        </is>
      </c>
      <c r="B8807" s="4" t="n">
        <v>2</v>
      </c>
      <c r="C8807" s="4" t="inlineStr">
        <is>
          <t>whitetail</t>
        </is>
      </c>
      <c r="D8807" s="4" t="n">
        <v>2006</v>
      </c>
      <c r="E8807" s="13" t="inlineStr">
        <is>
          <t>General</t>
        </is>
      </c>
      <c r="F8807" s="5" t="n">
        <v>220</v>
      </c>
      <c r="G8807" s="5" t="n">
        <v>1504</v>
      </c>
      <c r="H8807" s="5" t="n">
        <v>19</v>
      </c>
      <c r="I8807" s="5" t="n">
        <v>7</v>
      </c>
      <c r="J8807" s="5" t="n">
        <v>11</v>
      </c>
      <c r="K8807" s="10">
        <f>IF(F8807&gt;0,H8807/F8807,"")</f>
        <v/>
      </c>
      <c r="L8807" s="16">
        <f>IF(AND(G8807&gt;0,H8807&gt;0),G8807/H8807,"")</f>
        <v/>
      </c>
    </row>
    <row r="8808">
      <c r="A8808" s="4" t="inlineStr">
        <is>
          <t>211</t>
        </is>
      </c>
      <c r="B8808" s="4" t="n">
        <v>2</v>
      </c>
      <c r="C8808" s="4" t="inlineStr">
        <is>
          <t>whitetail</t>
        </is>
      </c>
      <c r="D8808" s="4" t="n">
        <v>2007</v>
      </c>
      <c r="E8808" s="13" t="inlineStr">
        <is>
          <t>General</t>
        </is>
      </c>
      <c r="F8808" s="5" t="n">
        <v>209</v>
      </c>
      <c r="G8808" s="5" t="n">
        <v>1515</v>
      </c>
      <c r="H8808" s="5" t="n">
        <v>30</v>
      </c>
      <c r="I8808" s="5" t="n">
        <v>22</v>
      </c>
      <c r="J8808" s="5" t="n">
        <v>9</v>
      </c>
      <c r="K8808" s="10">
        <f>IF(F8808&gt;0,H8808/F8808,"")</f>
        <v/>
      </c>
      <c r="L8808" s="16">
        <f>IF(AND(G8808&gt;0,H8808&gt;0),G8808/H8808,"")</f>
        <v/>
      </c>
    </row>
    <row r="8809">
      <c r="A8809" s="4" t="inlineStr">
        <is>
          <t>211</t>
        </is>
      </c>
      <c r="B8809" s="4" t="n">
        <v>2</v>
      </c>
      <c r="C8809" s="4" t="inlineStr">
        <is>
          <t>whitetail</t>
        </is>
      </c>
      <c r="D8809" s="4" t="n">
        <v>2008</v>
      </c>
      <c r="E8809" s="13" t="inlineStr">
        <is>
          <t>General</t>
        </is>
      </c>
      <c r="F8809" s="5" t="n">
        <v>240</v>
      </c>
      <c r="G8809" s="5" t="n">
        <v>1725</v>
      </c>
      <c r="H8809" s="5" t="n">
        <v>17</v>
      </c>
      <c r="I8809" s="5" t="n">
        <v>3</v>
      </c>
      <c r="J8809" s="5" t="n">
        <v>14</v>
      </c>
      <c r="K8809" s="10">
        <f>IF(F8809&gt;0,H8809/F8809,"")</f>
        <v/>
      </c>
      <c r="L8809" s="16">
        <f>IF(AND(G8809&gt;0,H8809&gt;0),G8809/H8809,"")</f>
        <v/>
      </c>
    </row>
    <row r="8810">
      <c r="A8810" s="4" t="inlineStr">
        <is>
          <t>211</t>
        </is>
      </c>
      <c r="B8810" s="4" t="n">
        <v>2</v>
      </c>
      <c r="C8810" s="4" t="inlineStr">
        <is>
          <t>whitetail</t>
        </is>
      </c>
      <c r="D8810" s="4" t="n">
        <v>2009</v>
      </c>
      <c r="E8810" s="13" t="inlineStr">
        <is>
          <t>General</t>
        </is>
      </c>
      <c r="F8810" s="5" t="n">
        <v>189</v>
      </c>
      <c r="G8810" s="5" t="n">
        <v>1523</v>
      </c>
      <c r="H8810" s="5" t="n">
        <v>12</v>
      </c>
      <c r="I8810" s="5" t="n">
        <v>9</v>
      </c>
      <c r="J8810" s="5" t="n">
        <v>3</v>
      </c>
      <c r="K8810" s="10">
        <f>IF(F8810&gt;0,H8810/F8810,"")</f>
        <v/>
      </c>
      <c r="L8810" s="16">
        <f>IF(AND(G8810&gt;0,H8810&gt;0),G8810/H8810,"")</f>
        <v/>
      </c>
    </row>
    <row r="8811">
      <c r="A8811" s="4" t="inlineStr">
        <is>
          <t>211</t>
        </is>
      </c>
      <c r="B8811" s="4" t="n">
        <v>2</v>
      </c>
      <c r="C8811" s="4" t="inlineStr">
        <is>
          <t>whitetail</t>
        </is>
      </c>
      <c r="D8811" s="4" t="n">
        <v>2010</v>
      </c>
      <c r="E8811" s="13" t="inlineStr">
        <is>
          <t>General</t>
        </is>
      </c>
      <c r="F8811" s="5" t="n">
        <v>184</v>
      </c>
      <c r="G8811" s="5" t="n">
        <v>1280</v>
      </c>
      <c r="H8811" s="5" t="n">
        <v>6</v>
      </c>
      <c r="I8811" s="5" t="n">
        <v>3</v>
      </c>
      <c r="J8811" s="5" t="n">
        <v>3</v>
      </c>
      <c r="K8811" s="10">
        <f>IF(F8811&gt;0,H8811/F8811,"")</f>
        <v/>
      </c>
      <c r="L8811" s="16">
        <f>IF(AND(G8811&gt;0,H8811&gt;0),G8811/H8811,"")</f>
        <v/>
      </c>
    </row>
    <row r="8812">
      <c r="A8812" s="4" t="inlineStr">
        <is>
          <t>211</t>
        </is>
      </c>
      <c r="B8812" s="4" t="n">
        <v>2</v>
      </c>
      <c r="C8812" s="4" t="inlineStr">
        <is>
          <t>whitetail</t>
        </is>
      </c>
      <c r="D8812" s="4" t="n">
        <v>2011</v>
      </c>
      <c r="E8812" s="13" t="inlineStr">
        <is>
          <t>General</t>
        </is>
      </c>
      <c r="F8812" s="5" t="n">
        <v>271</v>
      </c>
      <c r="G8812" s="5" t="n">
        <v>1968</v>
      </c>
      <c r="H8812" s="5" t="n">
        <v>11</v>
      </c>
      <c r="I8812" s="5" t="n">
        <v>8</v>
      </c>
      <c r="J8812" s="5" t="n">
        <v>3</v>
      </c>
      <c r="K8812" s="10">
        <f>IF(F8812&gt;0,H8812/F8812,"")</f>
        <v/>
      </c>
      <c r="L8812" s="16">
        <f>IF(AND(G8812&gt;0,H8812&gt;0),G8812/H8812,"")</f>
        <v/>
      </c>
    </row>
    <row r="8813">
      <c r="A8813" s="4" t="inlineStr">
        <is>
          <t>211</t>
        </is>
      </c>
      <c r="B8813" s="4" t="n">
        <v>2</v>
      </c>
      <c r="C8813" s="4" t="inlineStr">
        <is>
          <t>whitetail</t>
        </is>
      </c>
      <c r="D8813" s="4" t="n">
        <v>2012</v>
      </c>
      <c r="E8813" s="13" t="inlineStr">
        <is>
          <t>General</t>
        </is>
      </c>
      <c r="F8813" s="5" t="n"/>
      <c r="G8813" s="5" t="n"/>
      <c r="H8813" s="5" t="n">
        <v>17</v>
      </c>
      <c r="I8813" s="5" t="n">
        <v>14</v>
      </c>
      <c r="J8813" s="5" t="n">
        <v>3</v>
      </c>
      <c r="K8813" s="10">
        <f>IF(F8813&gt;0,H8813/F8813,"")</f>
        <v/>
      </c>
      <c r="L8813" s="16">
        <f>IF(AND(G8813&gt;0,H8813&gt;0),G8813/H8813,"")</f>
        <v/>
      </c>
    </row>
    <row r="8814">
      <c r="A8814" s="4" t="inlineStr">
        <is>
          <t>211</t>
        </is>
      </c>
      <c r="B8814" s="4" t="n">
        <v>2</v>
      </c>
      <c r="C8814" s="4" t="inlineStr">
        <is>
          <t>whitetail</t>
        </is>
      </c>
      <c r="D8814" s="4" t="n">
        <v>2013</v>
      </c>
      <c r="E8814" s="13" t="inlineStr">
        <is>
          <t>General</t>
        </is>
      </c>
      <c r="F8814" s="5" t="n">
        <v>258</v>
      </c>
      <c r="G8814" s="5" t="n">
        <v>1994</v>
      </c>
      <c r="H8814" s="5" t="n">
        <v>16</v>
      </c>
      <c r="I8814" s="5" t="n">
        <v>11</v>
      </c>
      <c r="J8814" s="5" t="n">
        <v>5</v>
      </c>
      <c r="K8814" s="10">
        <f>IF(F8814&gt;0,H8814/F8814,"")</f>
        <v/>
      </c>
      <c r="L8814" s="16">
        <f>IF(AND(G8814&gt;0,H8814&gt;0),G8814/H8814,"")</f>
        <v/>
      </c>
    </row>
    <row r="8815">
      <c r="A8815" s="4" t="inlineStr">
        <is>
          <t>211</t>
        </is>
      </c>
      <c r="B8815" s="4" t="n">
        <v>2</v>
      </c>
      <c r="C8815" s="4" t="inlineStr">
        <is>
          <t>whitetail</t>
        </is>
      </c>
      <c r="D8815" s="4" t="n">
        <v>2014</v>
      </c>
      <c r="E8815" s="13" t="inlineStr">
        <is>
          <t>General</t>
        </is>
      </c>
      <c r="F8815" s="5" t="n"/>
      <c r="G8815" s="5" t="n"/>
      <c r="H8815" s="5" t="n">
        <v>57</v>
      </c>
      <c r="I8815" s="5" t="n">
        <v>48</v>
      </c>
      <c r="J8815" s="5" t="n">
        <v>9</v>
      </c>
      <c r="K8815" s="10">
        <f>IF(F8815&gt;0,H8815/F8815,"")</f>
        <v/>
      </c>
      <c r="L8815" s="16">
        <f>IF(AND(G8815&gt;0,H8815&gt;0),G8815/H8815,"")</f>
        <v/>
      </c>
    </row>
    <row r="8816">
      <c r="A8816" s="4" t="inlineStr">
        <is>
          <t>211</t>
        </is>
      </c>
      <c r="B8816" s="4" t="n">
        <v>2</v>
      </c>
      <c r="C8816" s="4" t="inlineStr">
        <is>
          <t>whitetail</t>
        </is>
      </c>
      <c r="D8816" s="4" t="n">
        <v>2015</v>
      </c>
      <c r="E8816" s="13" t="inlineStr">
        <is>
          <t>General</t>
        </is>
      </c>
      <c r="F8816" s="5" t="n"/>
      <c r="G8816" s="5" t="n"/>
      <c r="H8816" s="5" t="n">
        <v>52</v>
      </c>
      <c r="I8816" s="5" t="n">
        <v>43</v>
      </c>
      <c r="J8816" s="5" t="n">
        <v>9</v>
      </c>
      <c r="K8816" s="10">
        <f>IF(F8816&gt;0,H8816/F8816,"")</f>
        <v/>
      </c>
      <c r="L8816" s="16">
        <f>IF(AND(G8816&gt;0,H8816&gt;0),G8816/H8816,"")</f>
        <v/>
      </c>
    </row>
    <row r="8817">
      <c r="A8817" s="4" t="inlineStr">
        <is>
          <t>211</t>
        </is>
      </c>
      <c r="B8817" s="4" t="n">
        <v>2</v>
      </c>
      <c r="C8817" s="4" t="inlineStr">
        <is>
          <t>whitetail</t>
        </is>
      </c>
      <c r="D8817" s="4" t="n">
        <v>2016</v>
      </c>
      <c r="E8817" s="13" t="inlineStr">
        <is>
          <t>General</t>
        </is>
      </c>
      <c r="F8817" s="5" t="n"/>
      <c r="G8817" s="5" t="n"/>
      <c r="H8817" s="5" t="n">
        <v>36</v>
      </c>
      <c r="I8817" s="5" t="n">
        <v>33</v>
      </c>
      <c r="J8817" s="5" t="n">
        <v>3</v>
      </c>
      <c r="K8817" s="10">
        <f>IF(F8817&gt;0,H8817/F8817,"")</f>
        <v/>
      </c>
      <c r="L8817" s="16">
        <f>IF(AND(G8817&gt;0,H8817&gt;0),G8817/H8817,"")</f>
        <v/>
      </c>
    </row>
    <row r="8818">
      <c r="A8818" s="4" t="inlineStr">
        <is>
          <t>211</t>
        </is>
      </c>
      <c r="B8818" s="4" t="n">
        <v>2</v>
      </c>
      <c r="C8818" s="4" t="inlineStr">
        <is>
          <t>whitetail</t>
        </is>
      </c>
      <c r="D8818" s="4" t="n">
        <v>2017</v>
      </c>
      <c r="E8818" s="13" t="inlineStr">
        <is>
          <t>General</t>
        </is>
      </c>
      <c r="F8818" s="5" t="n">
        <v>256</v>
      </c>
      <c r="G8818" s="5" t="n">
        <v>1875</v>
      </c>
      <c r="H8818" s="5" t="n">
        <v>26</v>
      </c>
      <c r="I8818" s="5" t="n">
        <v>23</v>
      </c>
      <c r="J8818" s="5" t="n">
        <v>3</v>
      </c>
      <c r="K8818" s="10">
        <f>IF(F8818&gt;0,H8818/F8818,"")</f>
        <v/>
      </c>
      <c r="L8818" s="16">
        <f>IF(AND(G8818&gt;0,H8818&gt;0),G8818/H8818,"")</f>
        <v/>
      </c>
    </row>
    <row r="8819">
      <c r="A8819" s="4" t="inlineStr">
        <is>
          <t>211</t>
        </is>
      </c>
      <c r="B8819" s="4" t="n">
        <v>2</v>
      </c>
      <c r="C8819" s="4" t="inlineStr">
        <is>
          <t>whitetail</t>
        </is>
      </c>
      <c r="D8819" s="4" t="n">
        <v>2018</v>
      </c>
      <c r="E8819" s="13" t="inlineStr">
        <is>
          <t>General</t>
        </is>
      </c>
      <c r="F8819" s="5" t="n"/>
      <c r="G8819" s="5" t="n"/>
      <c r="H8819" s="5" t="n">
        <v>25</v>
      </c>
      <c r="I8819" s="5" t="n">
        <v>22</v>
      </c>
      <c r="J8819" s="5" t="n">
        <v>3</v>
      </c>
      <c r="K8819" s="10">
        <f>IF(F8819&gt;0,H8819/F8819,"")</f>
        <v/>
      </c>
      <c r="L8819" s="16">
        <f>IF(AND(G8819&gt;0,H8819&gt;0),G8819/H8819,"")</f>
        <v/>
      </c>
    </row>
    <row r="8820">
      <c r="A8820" s="4" t="inlineStr">
        <is>
          <t>211</t>
        </is>
      </c>
      <c r="B8820" s="4" t="n">
        <v>2</v>
      </c>
      <c r="C8820" s="4" t="inlineStr">
        <is>
          <t>whitetail</t>
        </is>
      </c>
      <c r="D8820" s="4" t="n">
        <v>2019</v>
      </c>
      <c r="E8820" s="13" t="inlineStr">
        <is>
          <t>General</t>
        </is>
      </c>
      <c r="F8820" s="5" t="n">
        <v>275</v>
      </c>
      <c r="G8820" s="5" t="n">
        <v>2101</v>
      </c>
      <c r="H8820" s="5" t="n">
        <v>17</v>
      </c>
      <c r="I8820" s="5" t="n">
        <v>17</v>
      </c>
      <c r="J8820" s="5" t="n">
        <v>0</v>
      </c>
      <c r="K8820" s="10">
        <f>IF(F8820&gt;0,H8820/F8820,"")</f>
        <v/>
      </c>
      <c r="L8820" s="16">
        <f>IF(AND(G8820&gt;0,H8820&gt;0),G8820/H8820,"")</f>
        <v/>
      </c>
    </row>
    <row r="8821">
      <c r="A8821" s="4" t="inlineStr">
        <is>
          <t>211</t>
        </is>
      </c>
      <c r="B8821" s="4" t="n">
        <v>2</v>
      </c>
      <c r="C8821" s="4" t="inlineStr">
        <is>
          <t>whitetail</t>
        </is>
      </c>
      <c r="D8821" s="4" t="n">
        <v>2020</v>
      </c>
      <c r="E8821" s="13" t="inlineStr">
        <is>
          <t>General</t>
        </is>
      </c>
      <c r="F8821" s="5" t="n"/>
      <c r="G8821" s="5" t="n"/>
      <c r="H8821" s="5" t="n">
        <v>33</v>
      </c>
      <c r="I8821" s="5" t="n">
        <v>30</v>
      </c>
      <c r="J8821" s="5" t="n">
        <v>3</v>
      </c>
      <c r="K8821" s="10">
        <f>IF(F8821&gt;0,H8821/F8821,"")</f>
        <v/>
      </c>
      <c r="L8821" s="16">
        <f>IF(AND(G8821&gt;0,H8821&gt;0),G8821/H8821,"")</f>
        <v/>
      </c>
    </row>
    <row r="8822">
      <c r="A8822" s="4" t="inlineStr">
        <is>
          <t>211</t>
        </is>
      </c>
      <c r="B8822" s="4" t="n">
        <v>2</v>
      </c>
      <c r="C8822" s="4" t="inlineStr">
        <is>
          <t>whitetail</t>
        </is>
      </c>
      <c r="D8822" s="4" t="n">
        <v>2021</v>
      </c>
      <c r="E8822" s="13" t="inlineStr">
        <is>
          <t>General</t>
        </is>
      </c>
      <c r="F8822" s="5" t="n">
        <v>433</v>
      </c>
      <c r="G8822" s="5" t="n">
        <v>3571</v>
      </c>
      <c r="H8822" s="5" t="n">
        <v>50</v>
      </c>
      <c r="I8822" s="5" t="n">
        <v>31</v>
      </c>
      <c r="J8822" s="5" t="n">
        <v>19</v>
      </c>
      <c r="K8822" s="10">
        <f>IF(F8822&gt;0,H8822/F8822,"")</f>
        <v/>
      </c>
      <c r="L8822" s="16">
        <f>IF(AND(G8822&gt;0,H8822&gt;0),G8822/H8822,"")</f>
        <v/>
      </c>
    </row>
    <row r="8823">
      <c r="A8823" s="4" t="inlineStr">
        <is>
          <t>211</t>
        </is>
      </c>
      <c r="B8823" s="4" t="n">
        <v>2</v>
      </c>
      <c r="C8823" s="4" t="inlineStr">
        <is>
          <t>whitetail</t>
        </is>
      </c>
      <c r="D8823" s="4" t="n">
        <v>2022</v>
      </c>
      <c r="E8823" s="13" t="inlineStr">
        <is>
          <t>General</t>
        </is>
      </c>
      <c r="F8823" s="5" t="n"/>
      <c r="G8823" s="5" t="n"/>
      <c r="H8823" s="5" t="n">
        <v>39</v>
      </c>
      <c r="I8823" s="5" t="n">
        <v>29</v>
      </c>
      <c r="J8823" s="5" t="n">
        <v>10</v>
      </c>
      <c r="K8823" s="10">
        <f>IF(F8823&gt;0,H8823/F8823,"")</f>
        <v/>
      </c>
      <c r="L8823" s="16">
        <f>IF(AND(G8823&gt;0,H8823&gt;0),G8823/H8823,"")</f>
        <v/>
      </c>
    </row>
    <row r="8824">
      <c r="A8824" s="4" t="inlineStr">
        <is>
          <t>211</t>
        </is>
      </c>
      <c r="B8824" s="4" t="n">
        <v>2</v>
      </c>
      <c r="C8824" s="4" t="inlineStr">
        <is>
          <t>whitetail</t>
        </is>
      </c>
      <c r="D8824" s="4" t="n">
        <v>2023</v>
      </c>
      <c r="E8824" s="13" t="inlineStr">
        <is>
          <t>General</t>
        </is>
      </c>
      <c r="F8824" s="5" t="n">
        <v>492</v>
      </c>
      <c r="G8824" s="5" t="n">
        <v>3440</v>
      </c>
      <c r="H8824" s="5" t="n">
        <v>37</v>
      </c>
      <c r="I8824" s="5" t="n">
        <v>34</v>
      </c>
      <c r="J8824" s="5" t="n">
        <v>3</v>
      </c>
      <c r="K8824" s="10">
        <f>IF(F8824&gt;0,H8824/F8824,"")</f>
        <v/>
      </c>
      <c r="L8824" s="16">
        <f>IF(AND(G8824&gt;0,H8824&gt;0),G8824/H8824,"")</f>
        <v/>
      </c>
    </row>
    <row r="8825">
      <c r="A8825" s="4" t="inlineStr">
        <is>
          <t>211</t>
        </is>
      </c>
      <c r="B8825" s="4" t="n">
        <v>2</v>
      </c>
      <c r="C8825" s="4" t="inlineStr">
        <is>
          <t>whitetail</t>
        </is>
      </c>
      <c r="D8825" s="4" t="n">
        <v>2024</v>
      </c>
      <c r="E8825" s="13" t="inlineStr">
        <is>
          <t>General</t>
        </is>
      </c>
      <c r="F8825" s="5" t="n"/>
      <c r="G8825" s="5" t="n"/>
      <c r="H8825" s="5" t="n">
        <v>28</v>
      </c>
      <c r="I8825" s="5" t="n">
        <v>26</v>
      </c>
      <c r="J8825" s="5" t="n">
        <v>3</v>
      </c>
      <c r="K8825" s="10">
        <f>IF(F8825&gt;0,H8825/F8825,"")</f>
        <v/>
      </c>
      <c r="L8825" s="16">
        <f>IF(AND(G8825&gt;0,H8825&gt;0),G8825/H8825,"")</f>
        <v/>
      </c>
    </row>
    <row r="8826">
      <c r="A8826" s="4" t="inlineStr">
        <is>
          <t>211</t>
        </is>
      </c>
      <c r="B8826" s="4" t="n">
        <v>2</v>
      </c>
      <c r="C8826" s="4" t="inlineStr">
        <is>
          <t>whitetail</t>
        </is>
      </c>
      <c r="D8826" s="4" t="n">
        <v>2025</v>
      </c>
      <c r="E8826" s="13" t="inlineStr">
        <is>
          <t>General</t>
        </is>
      </c>
      <c r="F8826" s="5" t="n">
        <v>566</v>
      </c>
      <c r="G8826" s="5" t="n">
        <v>4532</v>
      </c>
      <c r="H8826" s="5" t="n">
        <v>66</v>
      </c>
      <c r="I8826" s="5" t="n">
        <v>56</v>
      </c>
      <c r="J8826" s="5" t="n">
        <v>10</v>
      </c>
      <c r="K8826" s="10">
        <f>IF(F8826&gt;0,H8826/F8826,"")</f>
        <v/>
      </c>
      <c r="L8826" s="16">
        <f>IF(AND(G8826&gt;0,H8826&gt;0),G8826/H8826,"")</f>
        <v/>
      </c>
    </row>
    <row r="8827">
      <c r="A8827" s="4" t="inlineStr">
        <is>
          <t>212</t>
        </is>
      </c>
      <c r="B8827" s="4" t="n">
        <v>2</v>
      </c>
      <c r="C8827" s="4" t="inlineStr">
        <is>
          <t>whitetail</t>
        </is>
      </c>
      <c r="D8827" s="4" t="n">
        <v>2004</v>
      </c>
      <c r="E8827" s="13" t="inlineStr">
        <is>
          <t>General</t>
        </is>
      </c>
      <c r="F8827" s="5" t="n">
        <v>1312</v>
      </c>
      <c r="G8827" s="5" t="n">
        <v>8764</v>
      </c>
      <c r="H8827" s="5" t="n">
        <v>141</v>
      </c>
      <c r="I8827" s="5" t="n">
        <v>88</v>
      </c>
      <c r="J8827" s="5" t="n">
        <v>52</v>
      </c>
      <c r="K8827" s="10">
        <f>IF(F8827&gt;0,H8827/F8827,"")</f>
        <v/>
      </c>
      <c r="L8827" s="16">
        <f>IF(AND(G8827&gt;0,H8827&gt;0),G8827/H8827,"")</f>
        <v/>
      </c>
    </row>
    <row r="8828">
      <c r="A8828" s="4" t="inlineStr">
        <is>
          <t>212</t>
        </is>
      </c>
      <c r="B8828" s="4" t="n">
        <v>2</v>
      </c>
      <c r="C8828" s="4" t="inlineStr">
        <is>
          <t>whitetail</t>
        </is>
      </c>
      <c r="D8828" s="4" t="n">
        <v>2005</v>
      </c>
      <c r="E8828" s="13" t="inlineStr">
        <is>
          <t>General</t>
        </is>
      </c>
      <c r="F8828" s="5" t="n">
        <v>1300</v>
      </c>
      <c r="G8828" s="5" t="n">
        <v>8775</v>
      </c>
      <c r="H8828" s="5" t="n">
        <v>198</v>
      </c>
      <c r="I8828" s="5" t="n">
        <v>121</v>
      </c>
      <c r="J8828" s="5" t="n">
        <v>75</v>
      </c>
      <c r="K8828" s="10">
        <f>IF(F8828&gt;0,H8828/F8828,"")</f>
        <v/>
      </c>
      <c r="L8828" s="16">
        <f>IF(AND(G8828&gt;0,H8828&gt;0),G8828/H8828,"")</f>
        <v/>
      </c>
    </row>
    <row r="8829">
      <c r="A8829" s="4" t="inlineStr">
        <is>
          <t>212</t>
        </is>
      </c>
      <c r="B8829" s="4" t="n">
        <v>2</v>
      </c>
      <c r="C8829" s="4" t="inlineStr">
        <is>
          <t>whitetail</t>
        </is>
      </c>
      <c r="D8829" s="4" t="n">
        <v>2006</v>
      </c>
      <c r="E8829" s="13" t="inlineStr">
        <is>
          <t>General</t>
        </is>
      </c>
      <c r="F8829" s="5" t="n">
        <v>1550</v>
      </c>
      <c r="G8829" s="5" t="n">
        <v>11081</v>
      </c>
      <c r="H8829" s="5" t="n">
        <v>335</v>
      </c>
      <c r="I8829" s="5" t="n">
        <v>141</v>
      </c>
      <c r="J8829" s="5" t="n">
        <v>192</v>
      </c>
      <c r="K8829" s="10">
        <f>IF(F8829&gt;0,H8829/F8829,"")</f>
        <v/>
      </c>
      <c r="L8829" s="16">
        <f>IF(AND(G8829&gt;0,H8829&gt;0),G8829/H8829,"")</f>
        <v/>
      </c>
    </row>
    <row r="8830">
      <c r="A8830" s="4" t="inlineStr">
        <is>
          <t>212</t>
        </is>
      </c>
      <c r="B8830" s="4" t="n">
        <v>2</v>
      </c>
      <c r="C8830" s="4" t="inlineStr">
        <is>
          <t>whitetail</t>
        </is>
      </c>
      <c r="D8830" s="4" t="n">
        <v>2007</v>
      </c>
      <c r="E8830" s="13" t="inlineStr">
        <is>
          <t>General</t>
        </is>
      </c>
      <c r="F8830" s="5" t="n">
        <v>1337</v>
      </c>
      <c r="G8830" s="5" t="n">
        <v>9683</v>
      </c>
      <c r="H8830" s="5" t="n">
        <v>291</v>
      </c>
      <c r="I8830" s="5" t="n">
        <v>123</v>
      </c>
      <c r="J8830" s="5" t="n">
        <v>157</v>
      </c>
      <c r="K8830" s="10">
        <f>IF(F8830&gt;0,H8830/F8830,"")</f>
        <v/>
      </c>
      <c r="L8830" s="16">
        <f>IF(AND(G8830&gt;0,H8830&gt;0),G8830/H8830,"")</f>
        <v/>
      </c>
    </row>
    <row r="8831">
      <c r="A8831" s="4" t="inlineStr">
        <is>
          <t>212</t>
        </is>
      </c>
      <c r="B8831" s="4" t="n">
        <v>2</v>
      </c>
      <c r="C8831" s="4" t="inlineStr">
        <is>
          <t>whitetail</t>
        </is>
      </c>
      <c r="D8831" s="4" t="n">
        <v>2008</v>
      </c>
      <c r="E8831" s="13" t="inlineStr">
        <is>
          <t>General</t>
        </is>
      </c>
      <c r="F8831" s="5" t="n">
        <v>1194</v>
      </c>
      <c r="G8831" s="5" t="n">
        <v>8648</v>
      </c>
      <c r="H8831" s="5" t="n">
        <v>216</v>
      </c>
      <c r="I8831" s="5" t="n">
        <v>120</v>
      </c>
      <c r="J8831" s="5" t="n">
        <v>93</v>
      </c>
      <c r="K8831" s="10">
        <f>IF(F8831&gt;0,H8831/F8831,"")</f>
        <v/>
      </c>
      <c r="L8831" s="16">
        <f>IF(AND(G8831&gt;0,H8831&gt;0),G8831/H8831,"")</f>
        <v/>
      </c>
    </row>
    <row r="8832">
      <c r="A8832" s="4" t="inlineStr">
        <is>
          <t>212</t>
        </is>
      </c>
      <c r="B8832" s="4" t="n">
        <v>2</v>
      </c>
      <c r="C8832" s="4" t="inlineStr">
        <is>
          <t>whitetail</t>
        </is>
      </c>
      <c r="D8832" s="4" t="n">
        <v>2009</v>
      </c>
      <c r="E8832" s="13" t="inlineStr">
        <is>
          <t>General</t>
        </is>
      </c>
      <c r="F8832" s="5" t="n">
        <v>1095</v>
      </c>
      <c r="G8832" s="5" t="n">
        <v>6938</v>
      </c>
      <c r="H8832" s="5" t="n">
        <v>132</v>
      </c>
      <c r="I8832" s="5" t="n">
        <v>98</v>
      </c>
      <c r="J8832" s="5" t="n">
        <v>32</v>
      </c>
      <c r="K8832" s="10">
        <f>IF(F8832&gt;0,H8832/F8832,"")</f>
        <v/>
      </c>
      <c r="L8832" s="16">
        <f>IF(AND(G8832&gt;0,H8832&gt;0),G8832/H8832,"")</f>
        <v/>
      </c>
    </row>
    <row r="8833">
      <c r="A8833" s="4" t="inlineStr">
        <is>
          <t>212</t>
        </is>
      </c>
      <c r="B8833" s="4" t="n">
        <v>2</v>
      </c>
      <c r="C8833" s="4" t="inlineStr">
        <is>
          <t>whitetail</t>
        </is>
      </c>
      <c r="D8833" s="4" t="n">
        <v>2010</v>
      </c>
      <c r="E8833" s="13" t="inlineStr">
        <is>
          <t>General</t>
        </is>
      </c>
      <c r="F8833" s="5" t="n">
        <v>936</v>
      </c>
      <c r="G8833" s="5" t="n">
        <v>6330</v>
      </c>
      <c r="H8833" s="5" t="n">
        <v>200</v>
      </c>
      <c r="I8833" s="5" t="n">
        <v>144</v>
      </c>
      <c r="J8833" s="5" t="n">
        <v>51</v>
      </c>
      <c r="K8833" s="10">
        <f>IF(F8833&gt;0,H8833/F8833,"")</f>
        <v/>
      </c>
      <c r="L8833" s="16">
        <f>IF(AND(G8833&gt;0,H8833&gt;0),G8833/H8833,"")</f>
        <v/>
      </c>
    </row>
    <row r="8834">
      <c r="A8834" s="4" t="inlineStr">
        <is>
          <t>212</t>
        </is>
      </c>
      <c r="B8834" s="4" t="n">
        <v>2</v>
      </c>
      <c r="C8834" s="4" t="inlineStr">
        <is>
          <t>whitetail</t>
        </is>
      </c>
      <c r="D8834" s="4" t="n">
        <v>2011</v>
      </c>
      <c r="E8834" s="13" t="inlineStr">
        <is>
          <t>General</t>
        </is>
      </c>
      <c r="F8834" s="5" t="n">
        <v>1023</v>
      </c>
      <c r="G8834" s="5" t="n">
        <v>6374</v>
      </c>
      <c r="H8834" s="5" t="n">
        <v>163</v>
      </c>
      <c r="I8834" s="5" t="n">
        <v>121</v>
      </c>
      <c r="J8834" s="5" t="n">
        <v>42</v>
      </c>
      <c r="K8834" s="10">
        <f>IF(F8834&gt;0,H8834/F8834,"")</f>
        <v/>
      </c>
      <c r="L8834" s="16">
        <f>IF(AND(G8834&gt;0,H8834&gt;0),G8834/H8834,"")</f>
        <v/>
      </c>
    </row>
    <row r="8835">
      <c r="A8835" s="4" t="inlineStr">
        <is>
          <t>212</t>
        </is>
      </c>
      <c r="B8835" s="4" t="n">
        <v>2</v>
      </c>
      <c r="C8835" s="4" t="inlineStr">
        <is>
          <t>whitetail</t>
        </is>
      </c>
      <c r="D8835" s="4" t="n">
        <v>2012</v>
      </c>
      <c r="E8835" s="13" t="inlineStr">
        <is>
          <t>General</t>
        </is>
      </c>
      <c r="F8835" s="5" t="n"/>
      <c r="G8835" s="5" t="n"/>
      <c r="H8835" s="5" t="n">
        <v>239</v>
      </c>
      <c r="I8835" s="5" t="n">
        <v>171</v>
      </c>
      <c r="J8835" s="5" t="n">
        <v>68</v>
      </c>
      <c r="K8835" s="10">
        <f>IF(F8835&gt;0,H8835/F8835,"")</f>
        <v/>
      </c>
      <c r="L8835" s="16">
        <f>IF(AND(G8835&gt;0,H8835&gt;0),G8835/H8835,"")</f>
        <v/>
      </c>
    </row>
    <row r="8836">
      <c r="A8836" s="4" t="inlineStr">
        <is>
          <t>212</t>
        </is>
      </c>
      <c r="B8836" s="4" t="n">
        <v>2</v>
      </c>
      <c r="C8836" s="4" t="inlineStr">
        <is>
          <t>whitetail</t>
        </is>
      </c>
      <c r="D8836" s="4" t="n">
        <v>2013</v>
      </c>
      <c r="E8836" s="13" t="inlineStr">
        <is>
          <t>General</t>
        </is>
      </c>
      <c r="F8836" s="5" t="n">
        <v>1257</v>
      </c>
      <c r="G8836" s="5" t="n">
        <v>8807</v>
      </c>
      <c r="H8836" s="5" t="n">
        <v>237</v>
      </c>
      <c r="I8836" s="5" t="n">
        <v>186</v>
      </c>
      <c r="J8836" s="5" t="n">
        <v>48</v>
      </c>
      <c r="K8836" s="10">
        <f>IF(F8836&gt;0,H8836/F8836,"")</f>
        <v/>
      </c>
      <c r="L8836" s="16">
        <f>IF(AND(G8836&gt;0,H8836&gt;0),G8836/H8836,"")</f>
        <v/>
      </c>
    </row>
    <row r="8837">
      <c r="A8837" s="4" t="inlineStr">
        <is>
          <t>212</t>
        </is>
      </c>
      <c r="B8837" s="4" t="n">
        <v>2</v>
      </c>
      <c r="C8837" s="4" t="inlineStr">
        <is>
          <t>whitetail</t>
        </is>
      </c>
      <c r="D8837" s="4" t="n">
        <v>2014</v>
      </c>
      <c r="E8837" s="13" t="inlineStr">
        <is>
          <t>General</t>
        </is>
      </c>
      <c r="F8837" s="5" t="n"/>
      <c r="G8837" s="5" t="n"/>
      <c r="H8837" s="5" t="n">
        <v>308</v>
      </c>
      <c r="I8837" s="5" t="n">
        <v>230</v>
      </c>
      <c r="J8837" s="5" t="n">
        <v>70</v>
      </c>
      <c r="K8837" s="10">
        <f>IF(F8837&gt;0,H8837/F8837,"")</f>
        <v/>
      </c>
      <c r="L8837" s="16">
        <f>IF(AND(G8837&gt;0,H8837&gt;0),G8837/H8837,"")</f>
        <v/>
      </c>
    </row>
    <row r="8838">
      <c r="A8838" s="4" t="inlineStr">
        <is>
          <t>212</t>
        </is>
      </c>
      <c r="B8838" s="4" t="n">
        <v>2</v>
      </c>
      <c r="C8838" s="4" t="inlineStr">
        <is>
          <t>whitetail</t>
        </is>
      </c>
      <c r="D8838" s="4" t="n">
        <v>2015</v>
      </c>
      <c r="E8838" s="13" t="inlineStr">
        <is>
          <t>General</t>
        </is>
      </c>
      <c r="F8838" s="5" t="n"/>
      <c r="G8838" s="5" t="n"/>
      <c r="H8838" s="5" t="n">
        <v>340</v>
      </c>
      <c r="I8838" s="5" t="n">
        <v>221</v>
      </c>
      <c r="J8838" s="5" t="n">
        <v>118</v>
      </c>
      <c r="K8838" s="10">
        <f>IF(F8838&gt;0,H8838/F8838,"")</f>
        <v/>
      </c>
      <c r="L8838" s="16">
        <f>IF(AND(G8838&gt;0,H8838&gt;0),G8838/H8838,"")</f>
        <v/>
      </c>
    </row>
    <row r="8839">
      <c r="A8839" s="4" t="inlineStr">
        <is>
          <t>212</t>
        </is>
      </c>
      <c r="B8839" s="4" t="n">
        <v>2</v>
      </c>
      <c r="C8839" s="4" t="inlineStr">
        <is>
          <t>whitetail</t>
        </is>
      </c>
      <c r="D8839" s="4" t="n">
        <v>2016</v>
      </c>
      <c r="E8839" s="13" t="inlineStr">
        <is>
          <t>General</t>
        </is>
      </c>
      <c r="F8839" s="5" t="n"/>
      <c r="G8839" s="5" t="n"/>
      <c r="H8839" s="5" t="n">
        <v>238</v>
      </c>
      <c r="I8839" s="5" t="n">
        <v>118</v>
      </c>
      <c r="J8839" s="5" t="n">
        <v>121</v>
      </c>
      <c r="K8839" s="10">
        <f>IF(F8839&gt;0,H8839/F8839,"")</f>
        <v/>
      </c>
      <c r="L8839" s="16">
        <f>IF(AND(G8839&gt;0,H8839&gt;0),G8839/H8839,"")</f>
        <v/>
      </c>
    </row>
    <row r="8840">
      <c r="A8840" s="4" t="inlineStr">
        <is>
          <t>212</t>
        </is>
      </c>
      <c r="B8840" s="4" t="n">
        <v>2</v>
      </c>
      <c r="C8840" s="4" t="inlineStr">
        <is>
          <t>whitetail</t>
        </is>
      </c>
      <c r="D8840" s="4" t="n">
        <v>2017</v>
      </c>
      <c r="E8840" s="13" t="inlineStr">
        <is>
          <t>General</t>
        </is>
      </c>
      <c r="F8840" s="5" t="n">
        <v>931</v>
      </c>
      <c r="G8840" s="5" t="n">
        <v>5741</v>
      </c>
      <c r="H8840" s="5" t="n">
        <v>255</v>
      </c>
      <c r="I8840" s="5" t="n">
        <v>130</v>
      </c>
      <c r="J8840" s="5" t="n">
        <v>120</v>
      </c>
      <c r="K8840" s="10">
        <f>IF(F8840&gt;0,H8840/F8840,"")</f>
        <v/>
      </c>
      <c r="L8840" s="16">
        <f>IF(AND(G8840&gt;0,H8840&gt;0),G8840/H8840,"")</f>
        <v/>
      </c>
    </row>
    <row r="8841">
      <c r="A8841" s="4" t="inlineStr">
        <is>
          <t>212</t>
        </is>
      </c>
      <c r="B8841" s="4" t="n">
        <v>2</v>
      </c>
      <c r="C8841" s="4" t="inlineStr">
        <is>
          <t>whitetail</t>
        </is>
      </c>
      <c r="D8841" s="4" t="n">
        <v>2018</v>
      </c>
      <c r="E8841" s="13" t="inlineStr">
        <is>
          <t>General</t>
        </is>
      </c>
      <c r="F8841" s="5" t="n"/>
      <c r="G8841" s="5" t="n"/>
      <c r="H8841" s="5" t="n">
        <v>247</v>
      </c>
      <c r="I8841" s="5" t="n">
        <v>84</v>
      </c>
      <c r="J8841" s="5" t="n">
        <v>163</v>
      </c>
      <c r="K8841" s="10">
        <f>IF(F8841&gt;0,H8841/F8841,"")</f>
        <v/>
      </c>
      <c r="L8841" s="16">
        <f>IF(AND(G8841&gt;0,H8841&gt;0),G8841/H8841,"")</f>
        <v/>
      </c>
    </row>
    <row r="8842">
      <c r="A8842" s="4" t="inlineStr">
        <is>
          <t>212</t>
        </is>
      </c>
      <c r="B8842" s="4" t="n">
        <v>2</v>
      </c>
      <c r="C8842" s="4" t="inlineStr">
        <is>
          <t>whitetail</t>
        </is>
      </c>
      <c r="D8842" s="4" t="n">
        <v>2019</v>
      </c>
      <c r="E8842" s="13" t="inlineStr">
        <is>
          <t>General</t>
        </is>
      </c>
      <c r="F8842" s="5" t="n">
        <v>898</v>
      </c>
      <c r="G8842" s="5" t="n">
        <v>6139</v>
      </c>
      <c r="H8842" s="5" t="n">
        <v>197</v>
      </c>
      <c r="I8842" s="5" t="n">
        <v>103</v>
      </c>
      <c r="J8842" s="5" t="n">
        <v>95</v>
      </c>
      <c r="K8842" s="10">
        <f>IF(F8842&gt;0,H8842/F8842,"")</f>
        <v/>
      </c>
      <c r="L8842" s="16">
        <f>IF(AND(G8842&gt;0,H8842&gt;0),G8842/H8842,"")</f>
        <v/>
      </c>
    </row>
    <row r="8843">
      <c r="A8843" s="4" t="inlineStr">
        <is>
          <t>212</t>
        </is>
      </c>
      <c r="B8843" s="4" t="n">
        <v>2</v>
      </c>
      <c r="C8843" s="4" t="inlineStr">
        <is>
          <t>whitetail</t>
        </is>
      </c>
      <c r="D8843" s="4" t="n">
        <v>2020</v>
      </c>
      <c r="E8843" s="13" t="inlineStr">
        <is>
          <t>General</t>
        </is>
      </c>
      <c r="F8843" s="5" t="n"/>
      <c r="G8843" s="5" t="n"/>
      <c r="H8843" s="5" t="n">
        <v>81</v>
      </c>
      <c r="I8843" s="5" t="n">
        <v>52</v>
      </c>
      <c r="J8843" s="5" t="n">
        <v>29</v>
      </c>
      <c r="K8843" s="10">
        <f>IF(F8843&gt;0,H8843/F8843,"")</f>
        <v/>
      </c>
      <c r="L8843" s="16">
        <f>IF(AND(G8843&gt;0,H8843&gt;0),G8843/H8843,"")</f>
        <v/>
      </c>
    </row>
    <row r="8844">
      <c r="A8844" s="4" t="inlineStr">
        <is>
          <t>212</t>
        </is>
      </c>
      <c r="B8844" s="4" t="n">
        <v>2</v>
      </c>
      <c r="C8844" s="4" t="inlineStr">
        <is>
          <t>whitetail</t>
        </is>
      </c>
      <c r="D8844" s="4" t="n">
        <v>2021</v>
      </c>
      <c r="E8844" s="13" t="inlineStr">
        <is>
          <t>General</t>
        </is>
      </c>
      <c r="F8844" s="5" t="n">
        <v>341</v>
      </c>
      <c r="G8844" s="5" t="n">
        <v>2413</v>
      </c>
      <c r="H8844" s="5" t="n">
        <v>42</v>
      </c>
      <c r="I8844" s="5" t="n">
        <v>36</v>
      </c>
      <c r="J8844" s="5" t="n">
        <v>7</v>
      </c>
      <c r="K8844" s="10">
        <f>IF(F8844&gt;0,H8844/F8844,"")</f>
        <v/>
      </c>
      <c r="L8844" s="16">
        <f>IF(AND(G8844&gt;0,H8844&gt;0),G8844/H8844,"")</f>
        <v/>
      </c>
    </row>
    <row r="8845">
      <c r="A8845" s="4" t="inlineStr">
        <is>
          <t>212</t>
        </is>
      </c>
      <c r="B8845" s="4" t="n">
        <v>2</v>
      </c>
      <c r="C8845" s="4" t="inlineStr">
        <is>
          <t>whitetail</t>
        </is>
      </c>
      <c r="D8845" s="4" t="n">
        <v>2022</v>
      </c>
      <c r="E8845" s="13" t="inlineStr">
        <is>
          <t>General</t>
        </is>
      </c>
      <c r="F8845" s="5" t="n"/>
      <c r="G8845" s="5" t="n"/>
      <c r="H8845" s="5" t="n">
        <v>28</v>
      </c>
      <c r="I8845" s="5" t="n">
        <v>13</v>
      </c>
      <c r="J8845" s="5" t="n">
        <v>14</v>
      </c>
      <c r="K8845" s="10">
        <f>IF(F8845&gt;0,H8845/F8845,"")</f>
        <v/>
      </c>
      <c r="L8845" s="16">
        <f>IF(AND(G8845&gt;0,H8845&gt;0),G8845/H8845,"")</f>
        <v/>
      </c>
    </row>
    <row r="8846">
      <c r="A8846" s="4" t="inlineStr">
        <is>
          <t>212</t>
        </is>
      </c>
      <c r="B8846" s="4" t="n">
        <v>2</v>
      </c>
      <c r="C8846" s="4" t="inlineStr">
        <is>
          <t>whitetail</t>
        </is>
      </c>
      <c r="D8846" s="4" t="n">
        <v>2023</v>
      </c>
      <c r="E8846" s="13" t="inlineStr">
        <is>
          <t>General</t>
        </is>
      </c>
      <c r="F8846" s="5" t="n">
        <v>311</v>
      </c>
      <c r="G8846" s="5" t="n">
        <v>1821</v>
      </c>
      <c r="H8846" s="5" t="n">
        <v>26</v>
      </c>
      <c r="I8846" s="5" t="n">
        <v>24</v>
      </c>
      <c r="J8846" s="5" t="n">
        <v>2</v>
      </c>
      <c r="K8846" s="10">
        <f>IF(F8846&gt;0,H8846/F8846,"")</f>
        <v/>
      </c>
      <c r="L8846" s="16">
        <f>IF(AND(G8846&gt;0,H8846&gt;0),G8846/H8846,"")</f>
        <v/>
      </c>
    </row>
    <row r="8847">
      <c r="A8847" s="4" t="inlineStr">
        <is>
          <t>212</t>
        </is>
      </c>
      <c r="B8847" s="4" t="n">
        <v>2</v>
      </c>
      <c r="C8847" s="4" t="inlineStr">
        <is>
          <t>whitetail</t>
        </is>
      </c>
      <c r="D8847" s="4" t="n">
        <v>2024</v>
      </c>
      <c r="E8847" s="13" t="inlineStr">
        <is>
          <t>General</t>
        </is>
      </c>
      <c r="F8847" s="5" t="n"/>
      <c r="G8847" s="5" t="n"/>
      <c r="H8847" s="5" t="n">
        <v>50</v>
      </c>
      <c r="I8847" s="5" t="n">
        <v>36</v>
      </c>
      <c r="J8847" s="5" t="n">
        <v>14</v>
      </c>
      <c r="K8847" s="10">
        <f>IF(F8847&gt;0,H8847/F8847,"")</f>
        <v/>
      </c>
      <c r="L8847" s="16">
        <f>IF(AND(G8847&gt;0,H8847&gt;0),G8847/H8847,"")</f>
        <v/>
      </c>
    </row>
    <row r="8848">
      <c r="A8848" s="4" t="inlineStr">
        <is>
          <t>212</t>
        </is>
      </c>
      <c r="B8848" s="4" t="n">
        <v>2</v>
      </c>
      <c r="C8848" s="4" t="inlineStr">
        <is>
          <t>whitetail</t>
        </is>
      </c>
      <c r="D8848" s="4" t="n">
        <v>2025</v>
      </c>
      <c r="E8848" s="13" t="inlineStr">
        <is>
          <t>General</t>
        </is>
      </c>
      <c r="F8848" s="5" t="n">
        <v>481</v>
      </c>
      <c r="G8848" s="5" t="n">
        <v>3559</v>
      </c>
      <c r="H8848" s="5" t="n">
        <v>47</v>
      </c>
      <c r="I8848" s="5" t="n">
        <v>25</v>
      </c>
      <c r="J8848" s="5" t="n">
        <v>22</v>
      </c>
      <c r="K8848" s="10">
        <f>IF(F8848&gt;0,H8848/F8848,"")</f>
        <v/>
      </c>
      <c r="L8848" s="16">
        <f>IF(AND(G8848&gt;0,H8848&gt;0),G8848/H8848,"")</f>
        <v/>
      </c>
    </row>
    <row r="8849">
      <c r="A8849" s="4" t="inlineStr">
        <is>
          <t>213</t>
        </is>
      </c>
      <c r="B8849" s="4" t="n">
        <v>2</v>
      </c>
      <c r="C8849" s="4" t="inlineStr">
        <is>
          <t>whitetail</t>
        </is>
      </c>
      <c r="D8849" s="4" t="n">
        <v>2004</v>
      </c>
      <c r="E8849" s="13" t="inlineStr">
        <is>
          <t>General</t>
        </is>
      </c>
      <c r="F8849" s="5" t="n">
        <v>414</v>
      </c>
      <c r="G8849" s="5" t="n">
        <v>2725</v>
      </c>
      <c r="H8849" s="5" t="n">
        <v>18</v>
      </c>
      <c r="I8849" s="5" t="n">
        <v>5</v>
      </c>
      <c r="J8849" s="5" t="n">
        <v>10</v>
      </c>
      <c r="K8849" s="10">
        <f>IF(F8849&gt;0,H8849/F8849,"")</f>
        <v/>
      </c>
      <c r="L8849" s="16">
        <f>IF(AND(G8849&gt;0,H8849&gt;0),G8849/H8849,"")</f>
        <v/>
      </c>
    </row>
    <row r="8850">
      <c r="A8850" s="4" t="inlineStr">
        <is>
          <t>213</t>
        </is>
      </c>
      <c r="B8850" s="4" t="n">
        <v>2</v>
      </c>
      <c r="C8850" s="4" t="inlineStr">
        <is>
          <t>whitetail</t>
        </is>
      </c>
      <c r="D8850" s="4" t="n">
        <v>2005</v>
      </c>
      <c r="E8850" s="13" t="inlineStr">
        <is>
          <t>General</t>
        </is>
      </c>
      <c r="F8850" s="5" t="n">
        <v>347</v>
      </c>
      <c r="G8850" s="5" t="n">
        <v>2693</v>
      </c>
      <c r="H8850" s="5" t="n">
        <v>51</v>
      </c>
      <c r="I8850" s="5" t="n">
        <v>23</v>
      </c>
      <c r="J8850" s="5" t="n">
        <v>27</v>
      </c>
      <c r="K8850" s="10">
        <f>IF(F8850&gt;0,H8850/F8850,"")</f>
        <v/>
      </c>
      <c r="L8850" s="16">
        <f>IF(AND(G8850&gt;0,H8850&gt;0),G8850/H8850,"")</f>
        <v/>
      </c>
    </row>
    <row r="8851">
      <c r="A8851" s="4" t="inlineStr">
        <is>
          <t>213</t>
        </is>
      </c>
      <c r="B8851" s="4" t="n">
        <v>2</v>
      </c>
      <c r="C8851" s="4" t="inlineStr">
        <is>
          <t>whitetail</t>
        </is>
      </c>
      <c r="D8851" s="4" t="n">
        <v>2006</v>
      </c>
      <c r="E8851" s="13" t="inlineStr">
        <is>
          <t>General</t>
        </is>
      </c>
      <c r="F8851" s="5" t="n">
        <v>500</v>
      </c>
      <c r="G8851" s="5" t="n">
        <v>3420</v>
      </c>
      <c r="H8851" s="5" t="n">
        <v>48</v>
      </c>
      <c r="I8851" s="5" t="n">
        <v>29</v>
      </c>
      <c r="J8851" s="5" t="n">
        <v>20</v>
      </c>
      <c r="K8851" s="10">
        <f>IF(F8851&gt;0,H8851/F8851,"")</f>
        <v/>
      </c>
      <c r="L8851" s="16">
        <f>IF(AND(G8851&gt;0,H8851&gt;0),G8851/H8851,"")</f>
        <v/>
      </c>
    </row>
    <row r="8852">
      <c r="A8852" s="4" t="inlineStr">
        <is>
          <t>213</t>
        </is>
      </c>
      <c r="B8852" s="4" t="n">
        <v>2</v>
      </c>
      <c r="C8852" s="4" t="inlineStr">
        <is>
          <t>whitetail</t>
        </is>
      </c>
      <c r="D8852" s="4" t="n">
        <v>2007</v>
      </c>
      <c r="E8852" s="13" t="inlineStr">
        <is>
          <t>General</t>
        </is>
      </c>
      <c r="F8852" s="5" t="n">
        <v>416</v>
      </c>
      <c r="G8852" s="5" t="n">
        <v>3126</v>
      </c>
      <c r="H8852" s="5" t="n">
        <v>50</v>
      </c>
      <c r="I8852" s="5" t="n">
        <v>0</v>
      </c>
      <c r="J8852" s="5" t="n">
        <v>50</v>
      </c>
      <c r="K8852" s="10">
        <f>IF(F8852&gt;0,H8852/F8852,"")</f>
        <v/>
      </c>
      <c r="L8852" s="16">
        <f>IF(AND(G8852&gt;0,H8852&gt;0),G8852/H8852,"")</f>
        <v/>
      </c>
    </row>
    <row r="8853">
      <c r="A8853" s="4" t="inlineStr">
        <is>
          <t>213</t>
        </is>
      </c>
      <c r="B8853" s="4" t="n">
        <v>2</v>
      </c>
      <c r="C8853" s="4" t="inlineStr">
        <is>
          <t>whitetail</t>
        </is>
      </c>
      <c r="D8853" s="4" t="n">
        <v>2008</v>
      </c>
      <c r="E8853" s="13" t="inlineStr">
        <is>
          <t>General</t>
        </is>
      </c>
      <c r="F8853" s="5" t="n">
        <v>406</v>
      </c>
      <c r="G8853" s="5" t="n">
        <v>3096</v>
      </c>
      <c r="H8853" s="5" t="n">
        <v>58</v>
      </c>
      <c r="I8853" s="5" t="n">
        <v>35</v>
      </c>
      <c r="J8853" s="5" t="n">
        <v>23</v>
      </c>
      <c r="K8853" s="10">
        <f>IF(F8853&gt;0,H8853/F8853,"")</f>
        <v/>
      </c>
      <c r="L8853" s="16">
        <f>IF(AND(G8853&gt;0,H8853&gt;0),G8853/H8853,"")</f>
        <v/>
      </c>
    </row>
    <row r="8854">
      <c r="A8854" s="4" t="inlineStr">
        <is>
          <t>213</t>
        </is>
      </c>
      <c r="B8854" s="4" t="n">
        <v>2</v>
      </c>
      <c r="C8854" s="4" t="inlineStr">
        <is>
          <t>whitetail</t>
        </is>
      </c>
      <c r="D8854" s="4" t="n">
        <v>2009</v>
      </c>
      <c r="E8854" s="13" t="inlineStr">
        <is>
          <t>General</t>
        </is>
      </c>
      <c r="F8854" s="5" t="n">
        <v>273</v>
      </c>
      <c r="G8854" s="5" t="n">
        <v>1874</v>
      </c>
      <c r="H8854" s="5" t="n">
        <v>6</v>
      </c>
      <c r="I8854" s="5" t="n">
        <v>6</v>
      </c>
      <c r="J8854" s="5" t="n">
        <v>0</v>
      </c>
      <c r="K8854" s="10">
        <f>IF(F8854&gt;0,H8854/F8854,"")</f>
        <v/>
      </c>
      <c r="L8854" s="16">
        <f>IF(AND(G8854&gt;0,H8854&gt;0),G8854/H8854,"")</f>
        <v/>
      </c>
    </row>
    <row r="8855">
      <c r="A8855" s="4" t="inlineStr">
        <is>
          <t>213</t>
        </is>
      </c>
      <c r="B8855" s="4" t="n">
        <v>2</v>
      </c>
      <c r="C8855" s="4" t="inlineStr">
        <is>
          <t>whitetail</t>
        </is>
      </c>
      <c r="D8855" s="4" t="n">
        <v>2010</v>
      </c>
      <c r="E8855" s="13" t="inlineStr">
        <is>
          <t>General</t>
        </is>
      </c>
      <c r="F8855" s="5" t="n">
        <v>283</v>
      </c>
      <c r="G8855" s="5" t="n">
        <v>2737</v>
      </c>
      <c r="H8855" s="5" t="n">
        <v>30</v>
      </c>
      <c r="I8855" s="5" t="n">
        <v>23</v>
      </c>
      <c r="J8855" s="5" t="n">
        <v>4</v>
      </c>
      <c r="K8855" s="10">
        <f>IF(F8855&gt;0,H8855/F8855,"")</f>
        <v/>
      </c>
      <c r="L8855" s="16">
        <f>IF(AND(G8855&gt;0,H8855&gt;0),G8855/H8855,"")</f>
        <v/>
      </c>
    </row>
    <row r="8856">
      <c r="A8856" s="4" t="inlineStr">
        <is>
          <t>213</t>
        </is>
      </c>
      <c r="B8856" s="4" t="n">
        <v>2</v>
      </c>
      <c r="C8856" s="4" t="inlineStr">
        <is>
          <t>whitetail</t>
        </is>
      </c>
      <c r="D8856" s="4" t="n">
        <v>2011</v>
      </c>
      <c r="E8856" s="13" t="inlineStr">
        <is>
          <t>General</t>
        </is>
      </c>
      <c r="F8856" s="5" t="n">
        <v>344</v>
      </c>
      <c r="G8856" s="5" t="n">
        <v>2374</v>
      </c>
      <c r="H8856" s="5" t="n">
        <v>39</v>
      </c>
      <c r="I8856" s="5" t="n">
        <v>33</v>
      </c>
      <c r="J8856" s="5" t="n">
        <v>6</v>
      </c>
      <c r="K8856" s="10">
        <f>IF(F8856&gt;0,H8856/F8856,"")</f>
        <v/>
      </c>
      <c r="L8856" s="16">
        <f>IF(AND(G8856&gt;0,H8856&gt;0),G8856/H8856,"")</f>
        <v/>
      </c>
    </row>
    <row r="8857">
      <c r="A8857" s="4" t="inlineStr">
        <is>
          <t>213</t>
        </is>
      </c>
      <c r="B8857" s="4" t="n">
        <v>2</v>
      </c>
      <c r="C8857" s="4" t="inlineStr">
        <is>
          <t>whitetail</t>
        </is>
      </c>
      <c r="D8857" s="4" t="n">
        <v>2012</v>
      </c>
      <c r="E8857" s="13" t="inlineStr">
        <is>
          <t>General</t>
        </is>
      </c>
      <c r="F8857" s="5" t="n"/>
      <c r="G8857" s="5" t="n"/>
      <c r="H8857" s="5" t="n">
        <v>34</v>
      </c>
      <c r="I8857" s="5" t="n">
        <v>23</v>
      </c>
      <c r="J8857" s="5" t="n">
        <v>11</v>
      </c>
      <c r="K8857" s="10">
        <f>IF(F8857&gt;0,H8857/F8857,"")</f>
        <v/>
      </c>
      <c r="L8857" s="16">
        <f>IF(AND(G8857&gt;0,H8857&gt;0),G8857/H8857,"")</f>
        <v/>
      </c>
    </row>
    <row r="8858">
      <c r="A8858" s="4" t="inlineStr">
        <is>
          <t>213</t>
        </is>
      </c>
      <c r="B8858" s="4" t="n">
        <v>2</v>
      </c>
      <c r="C8858" s="4" t="inlineStr">
        <is>
          <t>whitetail</t>
        </is>
      </c>
      <c r="D8858" s="4" t="n">
        <v>2013</v>
      </c>
      <c r="E8858" s="13" t="inlineStr">
        <is>
          <t>General</t>
        </is>
      </c>
      <c r="F8858" s="5" t="n">
        <v>400</v>
      </c>
      <c r="G8858" s="5" t="n">
        <v>3350</v>
      </c>
      <c r="H8858" s="5" t="n">
        <v>23</v>
      </c>
      <c r="I8858" s="5" t="n">
        <v>18</v>
      </c>
      <c r="J8858" s="5" t="n">
        <v>5</v>
      </c>
      <c r="K8858" s="10">
        <f>IF(F8858&gt;0,H8858/F8858,"")</f>
        <v/>
      </c>
      <c r="L8858" s="16">
        <f>IF(AND(G8858&gt;0,H8858&gt;0),G8858/H8858,"")</f>
        <v/>
      </c>
    </row>
    <row r="8859">
      <c r="A8859" s="4" t="inlineStr">
        <is>
          <t>213</t>
        </is>
      </c>
      <c r="B8859" s="4" t="n">
        <v>2</v>
      </c>
      <c r="C8859" s="4" t="inlineStr">
        <is>
          <t>whitetail</t>
        </is>
      </c>
      <c r="D8859" s="4" t="n">
        <v>2014</v>
      </c>
      <c r="E8859" s="13" t="inlineStr">
        <is>
          <t>General</t>
        </is>
      </c>
      <c r="F8859" s="5" t="n"/>
      <c r="G8859" s="5" t="n"/>
      <c r="H8859" s="5" t="n">
        <v>92</v>
      </c>
      <c r="I8859" s="5" t="n">
        <v>80</v>
      </c>
      <c r="J8859" s="5" t="n">
        <v>12</v>
      </c>
      <c r="K8859" s="10">
        <f>IF(F8859&gt;0,H8859/F8859,"")</f>
        <v/>
      </c>
      <c r="L8859" s="16">
        <f>IF(AND(G8859&gt;0,H8859&gt;0),G8859/H8859,"")</f>
        <v/>
      </c>
    </row>
    <row r="8860">
      <c r="A8860" s="4" t="inlineStr">
        <is>
          <t>213</t>
        </is>
      </c>
      <c r="B8860" s="4" t="n">
        <v>2</v>
      </c>
      <c r="C8860" s="4" t="inlineStr">
        <is>
          <t>whitetail</t>
        </is>
      </c>
      <c r="D8860" s="4" t="n">
        <v>2015</v>
      </c>
      <c r="E8860" s="13" t="inlineStr">
        <is>
          <t>General</t>
        </is>
      </c>
      <c r="F8860" s="5" t="n"/>
      <c r="G8860" s="5" t="n"/>
      <c r="H8860" s="5" t="n">
        <v>96</v>
      </c>
      <c r="I8860" s="5" t="n">
        <v>72</v>
      </c>
      <c r="J8860" s="5" t="n">
        <v>21</v>
      </c>
      <c r="K8860" s="10">
        <f>IF(F8860&gt;0,H8860/F8860,"")</f>
        <v/>
      </c>
      <c r="L8860" s="16">
        <f>IF(AND(G8860&gt;0,H8860&gt;0),G8860/H8860,"")</f>
        <v/>
      </c>
    </row>
    <row r="8861">
      <c r="A8861" s="4" t="inlineStr">
        <is>
          <t>213</t>
        </is>
      </c>
      <c r="B8861" s="4" t="n">
        <v>2</v>
      </c>
      <c r="C8861" s="4" t="inlineStr">
        <is>
          <t>whitetail</t>
        </is>
      </c>
      <c r="D8861" s="4" t="n">
        <v>2016</v>
      </c>
      <c r="E8861" s="13" t="inlineStr">
        <is>
          <t>General</t>
        </is>
      </c>
      <c r="F8861" s="5" t="n"/>
      <c r="G8861" s="5" t="n"/>
      <c r="H8861" s="5" t="n">
        <v>78</v>
      </c>
      <c r="I8861" s="5" t="n">
        <v>62</v>
      </c>
      <c r="J8861" s="5" t="n">
        <v>14</v>
      </c>
      <c r="K8861" s="10">
        <f>IF(F8861&gt;0,H8861/F8861,"")</f>
        <v/>
      </c>
      <c r="L8861" s="16">
        <f>IF(AND(G8861&gt;0,H8861&gt;0),G8861/H8861,"")</f>
        <v/>
      </c>
    </row>
    <row r="8862">
      <c r="A8862" s="4" t="inlineStr">
        <is>
          <t>213</t>
        </is>
      </c>
      <c r="B8862" s="4" t="n">
        <v>2</v>
      </c>
      <c r="C8862" s="4" t="inlineStr">
        <is>
          <t>whitetail</t>
        </is>
      </c>
      <c r="D8862" s="4" t="n">
        <v>2017</v>
      </c>
      <c r="E8862" s="13" t="inlineStr">
        <is>
          <t>General</t>
        </is>
      </c>
      <c r="F8862" s="5" t="n">
        <v>462</v>
      </c>
      <c r="G8862" s="5" t="n">
        <v>3149</v>
      </c>
      <c r="H8862" s="5" t="n">
        <v>120</v>
      </c>
      <c r="I8862" s="5" t="n">
        <v>71</v>
      </c>
      <c r="J8862" s="5" t="n">
        <v>49</v>
      </c>
      <c r="K8862" s="10">
        <f>IF(F8862&gt;0,H8862/F8862,"")</f>
        <v/>
      </c>
      <c r="L8862" s="16">
        <f>IF(AND(G8862&gt;0,H8862&gt;0),G8862/H8862,"")</f>
        <v/>
      </c>
    </row>
    <row r="8863">
      <c r="A8863" s="4" t="inlineStr">
        <is>
          <t>213</t>
        </is>
      </c>
      <c r="B8863" s="4" t="n">
        <v>2</v>
      </c>
      <c r="C8863" s="4" t="inlineStr">
        <is>
          <t>whitetail</t>
        </is>
      </c>
      <c r="D8863" s="4" t="n">
        <v>2018</v>
      </c>
      <c r="E8863" s="13" t="inlineStr">
        <is>
          <t>General</t>
        </is>
      </c>
      <c r="F8863" s="5" t="n"/>
      <c r="G8863" s="5" t="n"/>
      <c r="H8863" s="5" t="n">
        <v>162</v>
      </c>
      <c r="I8863" s="5" t="n">
        <v>50</v>
      </c>
      <c r="J8863" s="5" t="n">
        <v>112</v>
      </c>
      <c r="K8863" s="10">
        <f>IF(F8863&gt;0,H8863/F8863,"")</f>
        <v/>
      </c>
      <c r="L8863" s="16">
        <f>IF(AND(G8863&gt;0,H8863&gt;0),G8863/H8863,"")</f>
        <v/>
      </c>
    </row>
    <row r="8864">
      <c r="A8864" s="4" t="inlineStr">
        <is>
          <t>213</t>
        </is>
      </c>
      <c r="B8864" s="4" t="n">
        <v>2</v>
      </c>
      <c r="C8864" s="4" t="inlineStr">
        <is>
          <t>whitetail</t>
        </is>
      </c>
      <c r="D8864" s="4" t="n">
        <v>2019</v>
      </c>
      <c r="E8864" s="13" t="inlineStr">
        <is>
          <t>General</t>
        </is>
      </c>
      <c r="F8864" s="5" t="n">
        <v>476</v>
      </c>
      <c r="G8864" s="5" t="n">
        <v>3093</v>
      </c>
      <c r="H8864" s="5" t="n">
        <v>118</v>
      </c>
      <c r="I8864" s="5" t="n">
        <v>39</v>
      </c>
      <c r="J8864" s="5" t="n">
        <v>76</v>
      </c>
      <c r="K8864" s="10">
        <f>IF(F8864&gt;0,H8864/F8864,"")</f>
        <v/>
      </c>
      <c r="L8864" s="16">
        <f>IF(AND(G8864&gt;0,H8864&gt;0),G8864/H8864,"")</f>
        <v/>
      </c>
    </row>
    <row r="8865">
      <c r="A8865" s="4" t="inlineStr">
        <is>
          <t>213</t>
        </is>
      </c>
      <c r="B8865" s="4" t="n">
        <v>2</v>
      </c>
      <c r="C8865" s="4" t="inlineStr">
        <is>
          <t>whitetail</t>
        </is>
      </c>
      <c r="D8865" s="4" t="n">
        <v>2020</v>
      </c>
      <c r="E8865" s="13" t="inlineStr">
        <is>
          <t>General</t>
        </is>
      </c>
      <c r="F8865" s="5" t="n"/>
      <c r="G8865" s="5" t="n"/>
      <c r="H8865" s="5" t="n">
        <v>326</v>
      </c>
      <c r="I8865" s="5" t="n">
        <v>101</v>
      </c>
      <c r="J8865" s="5" t="n">
        <v>226</v>
      </c>
      <c r="K8865" s="10">
        <f>IF(F8865&gt;0,H8865/F8865,"")</f>
        <v/>
      </c>
      <c r="L8865" s="16">
        <f>IF(AND(G8865&gt;0,H8865&gt;0),G8865/H8865,"")</f>
        <v/>
      </c>
    </row>
    <row r="8866">
      <c r="A8866" s="4" t="inlineStr">
        <is>
          <t>213</t>
        </is>
      </c>
      <c r="B8866" s="4" t="n">
        <v>2</v>
      </c>
      <c r="C8866" s="4" t="inlineStr">
        <is>
          <t>whitetail</t>
        </is>
      </c>
      <c r="D8866" s="4" t="n">
        <v>2021</v>
      </c>
      <c r="E8866" s="13" t="inlineStr">
        <is>
          <t>General</t>
        </is>
      </c>
      <c r="F8866" s="5" t="n">
        <v>872</v>
      </c>
      <c r="G8866" s="5" t="n">
        <v>7684</v>
      </c>
      <c r="H8866" s="5" t="n">
        <v>197</v>
      </c>
      <c r="I8866" s="5" t="n">
        <v>81</v>
      </c>
      <c r="J8866" s="5" t="n">
        <v>115</v>
      </c>
      <c r="K8866" s="10">
        <f>IF(F8866&gt;0,H8866/F8866,"")</f>
        <v/>
      </c>
      <c r="L8866" s="16">
        <f>IF(AND(G8866&gt;0,H8866&gt;0),G8866/H8866,"")</f>
        <v/>
      </c>
    </row>
    <row r="8867">
      <c r="A8867" s="4" t="inlineStr">
        <is>
          <t>213</t>
        </is>
      </c>
      <c r="B8867" s="4" t="n">
        <v>2</v>
      </c>
      <c r="C8867" s="4" t="inlineStr">
        <is>
          <t>whitetail</t>
        </is>
      </c>
      <c r="D8867" s="4" t="n">
        <v>2022</v>
      </c>
      <c r="E8867" s="13" t="inlineStr">
        <is>
          <t>General</t>
        </is>
      </c>
      <c r="F8867" s="5" t="n"/>
      <c r="G8867" s="5" t="n"/>
      <c r="H8867" s="5" t="n">
        <v>176</v>
      </c>
      <c r="I8867" s="5" t="n">
        <v>84</v>
      </c>
      <c r="J8867" s="5" t="n">
        <v>92</v>
      </c>
      <c r="K8867" s="10">
        <f>IF(F8867&gt;0,H8867/F8867,"")</f>
        <v/>
      </c>
      <c r="L8867" s="16">
        <f>IF(AND(G8867&gt;0,H8867&gt;0),G8867/H8867,"")</f>
        <v/>
      </c>
    </row>
    <row r="8868">
      <c r="A8868" s="4" t="inlineStr">
        <is>
          <t>213</t>
        </is>
      </c>
      <c r="B8868" s="4" t="n">
        <v>2</v>
      </c>
      <c r="C8868" s="4" t="inlineStr">
        <is>
          <t>whitetail</t>
        </is>
      </c>
      <c r="D8868" s="4" t="n">
        <v>2023</v>
      </c>
      <c r="E8868" s="13" t="inlineStr">
        <is>
          <t>General</t>
        </is>
      </c>
      <c r="F8868" s="5" t="n">
        <v>1105</v>
      </c>
      <c r="G8868" s="5" t="n">
        <v>9534</v>
      </c>
      <c r="H8868" s="5" t="n">
        <v>188</v>
      </c>
      <c r="I8868" s="5" t="n">
        <v>93</v>
      </c>
      <c r="J8868" s="5" t="n">
        <v>94</v>
      </c>
      <c r="K8868" s="10">
        <f>IF(F8868&gt;0,H8868/F8868,"")</f>
        <v/>
      </c>
      <c r="L8868" s="16">
        <f>IF(AND(G8868&gt;0,H8868&gt;0),G8868/H8868,"")</f>
        <v/>
      </c>
    </row>
    <row r="8869">
      <c r="A8869" s="4" t="inlineStr">
        <is>
          <t>213</t>
        </is>
      </c>
      <c r="B8869" s="4" t="n">
        <v>2</v>
      </c>
      <c r="C8869" s="4" t="inlineStr">
        <is>
          <t>whitetail</t>
        </is>
      </c>
      <c r="D8869" s="4" t="n">
        <v>2024</v>
      </c>
      <c r="E8869" s="13" t="inlineStr">
        <is>
          <t>General</t>
        </is>
      </c>
      <c r="F8869" s="5" t="n"/>
      <c r="G8869" s="5" t="n"/>
      <c r="H8869" s="5" t="n">
        <v>156</v>
      </c>
      <c r="I8869" s="5" t="n">
        <v>86</v>
      </c>
      <c r="J8869" s="5" t="n">
        <v>70</v>
      </c>
      <c r="K8869" s="10">
        <f>IF(F8869&gt;0,H8869/F8869,"")</f>
        <v/>
      </c>
      <c r="L8869" s="16">
        <f>IF(AND(G8869&gt;0,H8869&gt;0),G8869/H8869,"")</f>
        <v/>
      </c>
    </row>
    <row r="8870">
      <c r="A8870" s="4" t="inlineStr">
        <is>
          <t>213</t>
        </is>
      </c>
      <c r="B8870" s="4" t="n">
        <v>2</v>
      </c>
      <c r="C8870" s="4" t="inlineStr">
        <is>
          <t>whitetail</t>
        </is>
      </c>
      <c r="D8870" s="4" t="n">
        <v>2025</v>
      </c>
      <c r="E8870" s="13" t="inlineStr">
        <is>
          <t>General</t>
        </is>
      </c>
      <c r="F8870" s="5" t="n">
        <v>1178</v>
      </c>
      <c r="G8870" s="5" t="n">
        <v>9366</v>
      </c>
      <c r="H8870" s="5" t="n">
        <v>138</v>
      </c>
      <c r="I8870" s="5" t="n">
        <v>58</v>
      </c>
      <c r="J8870" s="5" t="n">
        <v>80</v>
      </c>
      <c r="K8870" s="10">
        <f>IF(F8870&gt;0,H8870/F8870,"")</f>
        <v/>
      </c>
      <c r="L8870" s="16">
        <f>IF(AND(G8870&gt;0,H8870&gt;0),G8870/H8870,"")</f>
        <v/>
      </c>
    </row>
    <row r="8871">
      <c r="A8871" s="4" t="inlineStr">
        <is>
          <t>214</t>
        </is>
      </c>
      <c r="B8871" s="4" t="n">
        <v>2</v>
      </c>
      <c r="C8871" s="4" t="inlineStr">
        <is>
          <t>whitetail</t>
        </is>
      </c>
      <c r="D8871" s="4" t="n">
        <v>2004</v>
      </c>
      <c r="E8871" s="13" t="inlineStr">
        <is>
          <t>General</t>
        </is>
      </c>
      <c r="F8871" s="5" t="n">
        <v>420</v>
      </c>
      <c r="G8871" s="5" t="n">
        <v>2530</v>
      </c>
      <c r="H8871" s="5" t="n">
        <v>27</v>
      </c>
      <c r="I8871" s="5" t="n">
        <v>23</v>
      </c>
      <c r="J8871" s="5" t="n">
        <v>4</v>
      </c>
      <c r="K8871" s="10">
        <f>IF(F8871&gt;0,H8871/F8871,"")</f>
        <v/>
      </c>
      <c r="L8871" s="16">
        <f>IF(AND(G8871&gt;0,H8871&gt;0),G8871/H8871,"")</f>
        <v/>
      </c>
    </row>
    <row r="8872">
      <c r="A8872" s="4" t="inlineStr">
        <is>
          <t>214</t>
        </is>
      </c>
      <c r="B8872" s="4" t="n">
        <v>2</v>
      </c>
      <c r="C8872" s="4" t="inlineStr">
        <is>
          <t>whitetail</t>
        </is>
      </c>
      <c r="D8872" s="4" t="n">
        <v>2005</v>
      </c>
      <c r="E8872" s="13" t="inlineStr">
        <is>
          <t>General</t>
        </is>
      </c>
      <c r="F8872" s="5" t="n">
        <v>417</v>
      </c>
      <c r="G8872" s="5" t="n">
        <v>3097</v>
      </c>
      <c r="H8872" s="5" t="n">
        <v>16</v>
      </c>
      <c r="I8872" s="5" t="n">
        <v>14</v>
      </c>
      <c r="J8872" s="5" t="n">
        <v>2</v>
      </c>
      <c r="K8872" s="10">
        <f>IF(F8872&gt;0,H8872/F8872,"")</f>
        <v/>
      </c>
      <c r="L8872" s="16">
        <f>IF(AND(G8872&gt;0,H8872&gt;0),G8872/H8872,"")</f>
        <v/>
      </c>
    </row>
    <row r="8873">
      <c r="A8873" s="4" t="inlineStr">
        <is>
          <t>214</t>
        </is>
      </c>
      <c r="B8873" s="4" t="n">
        <v>2</v>
      </c>
      <c r="C8873" s="4" t="inlineStr">
        <is>
          <t>whitetail</t>
        </is>
      </c>
      <c r="D8873" s="4" t="n">
        <v>2006</v>
      </c>
      <c r="E8873" s="13" t="inlineStr">
        <is>
          <t>General</t>
        </is>
      </c>
      <c r="F8873" s="5" t="n">
        <v>466</v>
      </c>
      <c r="G8873" s="5" t="n">
        <v>2833</v>
      </c>
      <c r="H8873" s="5" t="n">
        <v>37</v>
      </c>
      <c r="I8873" s="5" t="n">
        <v>22</v>
      </c>
      <c r="J8873" s="5" t="n">
        <v>15</v>
      </c>
      <c r="K8873" s="10">
        <f>IF(F8873&gt;0,H8873/F8873,"")</f>
        <v/>
      </c>
      <c r="L8873" s="16">
        <f>IF(AND(G8873&gt;0,H8873&gt;0),G8873/H8873,"")</f>
        <v/>
      </c>
    </row>
    <row r="8874">
      <c r="A8874" s="4" t="inlineStr">
        <is>
          <t>214</t>
        </is>
      </c>
      <c r="B8874" s="4" t="n">
        <v>2</v>
      </c>
      <c r="C8874" s="4" t="inlineStr">
        <is>
          <t>whitetail</t>
        </is>
      </c>
      <c r="D8874" s="4" t="n">
        <v>2007</v>
      </c>
      <c r="E8874" s="13" t="inlineStr">
        <is>
          <t>General</t>
        </is>
      </c>
      <c r="F8874" s="5" t="n">
        <v>419</v>
      </c>
      <c r="G8874" s="5" t="n">
        <v>2503</v>
      </c>
      <c r="H8874" s="5" t="n">
        <v>40</v>
      </c>
      <c r="I8874" s="5" t="n">
        <v>10</v>
      </c>
      <c r="J8874" s="5" t="n">
        <v>30</v>
      </c>
      <c r="K8874" s="10">
        <f>IF(F8874&gt;0,H8874/F8874,"")</f>
        <v/>
      </c>
      <c r="L8874" s="16">
        <f>IF(AND(G8874&gt;0,H8874&gt;0),G8874/H8874,"")</f>
        <v/>
      </c>
    </row>
    <row r="8875">
      <c r="A8875" s="4" t="inlineStr">
        <is>
          <t>214</t>
        </is>
      </c>
      <c r="B8875" s="4" t="n">
        <v>2</v>
      </c>
      <c r="C8875" s="4" t="inlineStr">
        <is>
          <t>whitetail</t>
        </is>
      </c>
      <c r="D8875" s="4" t="n">
        <v>2008</v>
      </c>
      <c r="E8875" s="13" t="inlineStr">
        <is>
          <t>General</t>
        </is>
      </c>
      <c r="F8875" s="5" t="n">
        <v>312</v>
      </c>
      <c r="G8875" s="5" t="n">
        <v>2272</v>
      </c>
      <c r="H8875" s="5" t="n">
        <v>46</v>
      </c>
      <c r="I8875" s="5" t="n">
        <v>18</v>
      </c>
      <c r="J8875" s="5" t="n">
        <v>27</v>
      </c>
      <c r="K8875" s="10">
        <f>IF(F8875&gt;0,H8875/F8875,"")</f>
        <v/>
      </c>
      <c r="L8875" s="16">
        <f>IF(AND(G8875&gt;0,H8875&gt;0),G8875/H8875,"")</f>
        <v/>
      </c>
    </row>
    <row r="8876">
      <c r="A8876" s="4" t="inlineStr">
        <is>
          <t>214</t>
        </is>
      </c>
      <c r="B8876" s="4" t="n">
        <v>2</v>
      </c>
      <c r="C8876" s="4" t="inlineStr">
        <is>
          <t>whitetail</t>
        </is>
      </c>
      <c r="D8876" s="4" t="n">
        <v>2009</v>
      </c>
      <c r="E8876" s="13" t="inlineStr">
        <is>
          <t>General</t>
        </is>
      </c>
      <c r="F8876" s="5" t="n">
        <v>268</v>
      </c>
      <c r="G8876" s="5" t="n">
        <v>1652</v>
      </c>
      <c r="H8876" s="5" t="n">
        <v>22</v>
      </c>
      <c r="I8876" s="5" t="n">
        <v>11</v>
      </c>
      <c r="J8876" s="5" t="n">
        <v>11</v>
      </c>
      <c r="K8876" s="10">
        <f>IF(F8876&gt;0,H8876/F8876,"")</f>
        <v/>
      </c>
      <c r="L8876" s="16">
        <f>IF(AND(G8876&gt;0,H8876&gt;0),G8876/H8876,"")</f>
        <v/>
      </c>
    </row>
    <row r="8877">
      <c r="A8877" s="4" t="inlineStr">
        <is>
          <t>214</t>
        </is>
      </c>
      <c r="B8877" s="4" t="n">
        <v>2</v>
      </c>
      <c r="C8877" s="4" t="inlineStr">
        <is>
          <t>whitetail</t>
        </is>
      </c>
      <c r="D8877" s="4" t="n">
        <v>2010</v>
      </c>
      <c r="E8877" s="13" t="inlineStr">
        <is>
          <t>General</t>
        </is>
      </c>
      <c r="F8877" s="5" t="n">
        <v>258</v>
      </c>
      <c r="G8877" s="5" t="n">
        <v>1780</v>
      </c>
      <c r="H8877" s="5" t="n">
        <v>25</v>
      </c>
      <c r="I8877" s="5" t="n">
        <v>23</v>
      </c>
      <c r="J8877" s="5" t="n">
        <v>3</v>
      </c>
      <c r="K8877" s="10">
        <f>IF(F8877&gt;0,H8877/F8877,"")</f>
        <v/>
      </c>
      <c r="L8877" s="16">
        <f>IF(AND(G8877&gt;0,H8877&gt;0),G8877/H8877,"")</f>
        <v/>
      </c>
    </row>
    <row r="8878">
      <c r="A8878" s="4" t="inlineStr">
        <is>
          <t>214</t>
        </is>
      </c>
      <c r="B8878" s="4" t="n">
        <v>2</v>
      </c>
      <c r="C8878" s="4" t="inlineStr">
        <is>
          <t>whitetail</t>
        </is>
      </c>
      <c r="D8878" s="4" t="n">
        <v>2011</v>
      </c>
      <c r="E8878" s="13" t="inlineStr">
        <is>
          <t>General</t>
        </is>
      </c>
      <c r="F8878" s="5" t="n">
        <v>297</v>
      </c>
      <c r="G8878" s="5" t="n">
        <v>1873</v>
      </c>
      <c r="H8878" s="5" t="n">
        <v>19</v>
      </c>
      <c r="I8878" s="5" t="n">
        <v>17</v>
      </c>
      <c r="J8878" s="5" t="n">
        <v>3</v>
      </c>
      <c r="K8878" s="10">
        <f>IF(F8878&gt;0,H8878/F8878,"")</f>
        <v/>
      </c>
      <c r="L8878" s="16">
        <f>IF(AND(G8878&gt;0,H8878&gt;0),G8878/H8878,"")</f>
        <v/>
      </c>
    </row>
    <row r="8879">
      <c r="A8879" s="4" t="inlineStr">
        <is>
          <t>214</t>
        </is>
      </c>
      <c r="B8879" s="4" t="n">
        <v>2</v>
      </c>
      <c r="C8879" s="4" t="inlineStr">
        <is>
          <t>whitetail</t>
        </is>
      </c>
      <c r="D8879" s="4" t="n">
        <v>2012</v>
      </c>
      <c r="E8879" s="13" t="inlineStr">
        <is>
          <t>General</t>
        </is>
      </c>
      <c r="F8879" s="5" t="n"/>
      <c r="G8879" s="5" t="n"/>
      <c r="H8879" s="5" t="n">
        <v>23</v>
      </c>
      <c r="I8879" s="5" t="n">
        <v>18</v>
      </c>
      <c r="J8879" s="5" t="n">
        <v>6</v>
      </c>
      <c r="K8879" s="10">
        <f>IF(F8879&gt;0,H8879/F8879,"")</f>
        <v/>
      </c>
      <c r="L8879" s="16">
        <f>IF(AND(G8879&gt;0,H8879&gt;0),G8879/H8879,"")</f>
        <v/>
      </c>
    </row>
    <row r="8880">
      <c r="A8880" s="4" t="inlineStr">
        <is>
          <t>214</t>
        </is>
      </c>
      <c r="B8880" s="4" t="n">
        <v>2</v>
      </c>
      <c r="C8880" s="4" t="inlineStr">
        <is>
          <t>whitetail</t>
        </is>
      </c>
      <c r="D8880" s="4" t="n">
        <v>2013</v>
      </c>
      <c r="E8880" s="13" t="inlineStr">
        <is>
          <t>General</t>
        </is>
      </c>
      <c r="F8880" s="5" t="n">
        <v>305</v>
      </c>
      <c r="G8880" s="5" t="n">
        <v>1754</v>
      </c>
      <c r="H8880" s="5" t="n">
        <v>19</v>
      </c>
      <c r="I8880" s="5" t="n">
        <v>11</v>
      </c>
      <c r="J8880" s="5" t="n">
        <v>8</v>
      </c>
      <c r="K8880" s="10">
        <f>IF(F8880&gt;0,H8880/F8880,"")</f>
        <v/>
      </c>
      <c r="L8880" s="16">
        <f>IF(AND(G8880&gt;0,H8880&gt;0),G8880/H8880,"")</f>
        <v/>
      </c>
    </row>
    <row r="8881">
      <c r="A8881" s="4" t="inlineStr">
        <is>
          <t>214</t>
        </is>
      </c>
      <c r="B8881" s="4" t="n">
        <v>2</v>
      </c>
      <c r="C8881" s="4" t="inlineStr">
        <is>
          <t>whitetail</t>
        </is>
      </c>
      <c r="D8881" s="4" t="n">
        <v>2014</v>
      </c>
      <c r="E8881" s="13" t="inlineStr">
        <is>
          <t>General</t>
        </is>
      </c>
      <c r="F8881" s="5" t="n"/>
      <c r="G8881" s="5" t="n"/>
      <c r="H8881" s="5" t="n">
        <v>46</v>
      </c>
      <c r="I8881" s="5" t="n">
        <v>37</v>
      </c>
      <c r="J8881" s="5" t="n">
        <v>9</v>
      </c>
      <c r="K8881" s="10">
        <f>IF(F8881&gt;0,H8881/F8881,"")</f>
        <v/>
      </c>
      <c r="L8881" s="16">
        <f>IF(AND(G8881&gt;0,H8881&gt;0),G8881/H8881,"")</f>
        <v/>
      </c>
    </row>
    <row r="8882">
      <c r="A8882" s="4" t="inlineStr">
        <is>
          <t>214</t>
        </is>
      </c>
      <c r="B8882" s="4" t="n">
        <v>2</v>
      </c>
      <c r="C8882" s="4" t="inlineStr">
        <is>
          <t>whitetail</t>
        </is>
      </c>
      <c r="D8882" s="4" t="n">
        <v>2015</v>
      </c>
      <c r="E8882" s="13" t="inlineStr">
        <is>
          <t>General</t>
        </is>
      </c>
      <c r="F8882" s="5" t="n"/>
      <c r="G8882" s="5" t="n"/>
      <c r="H8882" s="5" t="n">
        <v>69</v>
      </c>
      <c r="I8882" s="5" t="n">
        <v>60</v>
      </c>
      <c r="J8882" s="5" t="n">
        <v>9</v>
      </c>
      <c r="K8882" s="10">
        <f>IF(F8882&gt;0,H8882/F8882,"")</f>
        <v/>
      </c>
      <c r="L8882" s="16">
        <f>IF(AND(G8882&gt;0,H8882&gt;0),G8882/H8882,"")</f>
        <v/>
      </c>
    </row>
    <row r="8883">
      <c r="A8883" s="4" t="inlineStr">
        <is>
          <t>214</t>
        </is>
      </c>
      <c r="B8883" s="4" t="n">
        <v>2</v>
      </c>
      <c r="C8883" s="4" t="inlineStr">
        <is>
          <t>whitetail</t>
        </is>
      </c>
      <c r="D8883" s="4" t="n">
        <v>2016</v>
      </c>
      <c r="E8883" s="13" t="inlineStr">
        <is>
          <t>General</t>
        </is>
      </c>
      <c r="F8883" s="5" t="n"/>
      <c r="G8883" s="5" t="n"/>
      <c r="H8883" s="5" t="n">
        <v>31</v>
      </c>
      <c r="I8883" s="5" t="n">
        <v>26</v>
      </c>
      <c r="J8883" s="5" t="n">
        <v>5</v>
      </c>
      <c r="K8883" s="10">
        <f>IF(F8883&gt;0,H8883/F8883,"")</f>
        <v/>
      </c>
      <c r="L8883" s="16">
        <f>IF(AND(G8883&gt;0,H8883&gt;0),G8883/H8883,"")</f>
        <v/>
      </c>
    </row>
    <row r="8884">
      <c r="A8884" s="4" t="inlineStr">
        <is>
          <t>214</t>
        </is>
      </c>
      <c r="B8884" s="4" t="n">
        <v>2</v>
      </c>
      <c r="C8884" s="4" t="inlineStr">
        <is>
          <t>whitetail</t>
        </is>
      </c>
      <c r="D8884" s="4" t="n">
        <v>2017</v>
      </c>
      <c r="E8884" s="13" t="inlineStr">
        <is>
          <t>General</t>
        </is>
      </c>
      <c r="F8884" s="5" t="n">
        <v>292</v>
      </c>
      <c r="G8884" s="5" t="n">
        <v>2246</v>
      </c>
      <c r="H8884" s="5" t="n">
        <v>57</v>
      </c>
      <c r="I8884" s="5" t="n">
        <v>46</v>
      </c>
      <c r="J8884" s="5" t="n">
        <v>9</v>
      </c>
      <c r="K8884" s="10">
        <f>IF(F8884&gt;0,H8884/F8884,"")</f>
        <v/>
      </c>
      <c r="L8884" s="16">
        <f>IF(AND(G8884&gt;0,H8884&gt;0),G8884/H8884,"")</f>
        <v/>
      </c>
    </row>
    <row r="8885">
      <c r="A8885" s="4" t="inlineStr">
        <is>
          <t>214</t>
        </is>
      </c>
      <c r="B8885" s="4" t="n">
        <v>2</v>
      </c>
      <c r="C8885" s="4" t="inlineStr">
        <is>
          <t>whitetail</t>
        </is>
      </c>
      <c r="D8885" s="4" t="n">
        <v>2018</v>
      </c>
      <c r="E8885" s="13" t="inlineStr">
        <is>
          <t>General</t>
        </is>
      </c>
      <c r="F8885" s="5" t="n"/>
      <c r="G8885" s="5" t="n"/>
      <c r="H8885" s="5" t="n">
        <v>53</v>
      </c>
      <c r="I8885" s="5" t="n">
        <v>43</v>
      </c>
      <c r="J8885" s="5" t="n">
        <v>10</v>
      </c>
      <c r="K8885" s="10">
        <f>IF(F8885&gt;0,H8885/F8885,"")</f>
        <v/>
      </c>
      <c r="L8885" s="16">
        <f>IF(AND(G8885&gt;0,H8885&gt;0),G8885/H8885,"")</f>
        <v/>
      </c>
    </row>
    <row r="8886">
      <c r="A8886" s="4" t="inlineStr">
        <is>
          <t>214</t>
        </is>
      </c>
      <c r="B8886" s="4" t="n">
        <v>2</v>
      </c>
      <c r="C8886" s="4" t="inlineStr">
        <is>
          <t>whitetail</t>
        </is>
      </c>
      <c r="D8886" s="4" t="n">
        <v>2019</v>
      </c>
      <c r="E8886" s="13" t="inlineStr">
        <is>
          <t>General</t>
        </is>
      </c>
      <c r="F8886" s="5" t="n">
        <v>265</v>
      </c>
      <c r="G8886" s="5" t="n">
        <v>1827</v>
      </c>
      <c r="H8886" s="5" t="n">
        <v>33</v>
      </c>
      <c r="I8886" s="5" t="n">
        <v>23</v>
      </c>
      <c r="J8886" s="5" t="n">
        <v>10</v>
      </c>
      <c r="K8886" s="10">
        <f>IF(F8886&gt;0,H8886/F8886,"")</f>
        <v/>
      </c>
      <c r="L8886" s="16">
        <f>IF(AND(G8886&gt;0,H8886&gt;0),G8886/H8886,"")</f>
        <v/>
      </c>
    </row>
    <row r="8887">
      <c r="A8887" s="4" t="inlineStr">
        <is>
          <t>214</t>
        </is>
      </c>
      <c r="B8887" s="4" t="n">
        <v>2</v>
      </c>
      <c r="C8887" s="4" t="inlineStr">
        <is>
          <t>whitetail</t>
        </is>
      </c>
      <c r="D8887" s="4" t="n">
        <v>2020</v>
      </c>
      <c r="E8887" s="13" t="inlineStr">
        <is>
          <t>General</t>
        </is>
      </c>
      <c r="F8887" s="5" t="n"/>
      <c r="G8887" s="5" t="n"/>
      <c r="H8887" s="5" t="n">
        <v>35</v>
      </c>
      <c r="I8887" s="5" t="n">
        <v>29</v>
      </c>
      <c r="J8887" s="5" t="n">
        <v>6</v>
      </c>
      <c r="K8887" s="10">
        <f>IF(F8887&gt;0,H8887/F8887,"")</f>
        <v/>
      </c>
      <c r="L8887" s="16">
        <f>IF(AND(G8887&gt;0,H8887&gt;0),G8887/H8887,"")</f>
        <v/>
      </c>
    </row>
    <row r="8888">
      <c r="A8888" s="4" t="inlineStr">
        <is>
          <t>214</t>
        </is>
      </c>
      <c r="B8888" s="4" t="n">
        <v>2</v>
      </c>
      <c r="C8888" s="4" t="inlineStr">
        <is>
          <t>whitetail</t>
        </is>
      </c>
      <c r="D8888" s="4" t="n">
        <v>2021</v>
      </c>
      <c r="E8888" s="13" t="inlineStr">
        <is>
          <t>General</t>
        </is>
      </c>
      <c r="F8888" s="5" t="n">
        <v>149</v>
      </c>
      <c r="G8888" s="5" t="n">
        <v>1200</v>
      </c>
      <c r="H8888" s="5" t="n">
        <v>16</v>
      </c>
      <c r="I8888" s="5" t="n">
        <v>8</v>
      </c>
      <c r="J8888" s="5" t="n">
        <v>8</v>
      </c>
      <c r="K8888" s="10">
        <f>IF(F8888&gt;0,H8888/F8888,"")</f>
        <v/>
      </c>
      <c r="L8888" s="16">
        <f>IF(AND(G8888&gt;0,H8888&gt;0),G8888/H8888,"")</f>
        <v/>
      </c>
    </row>
    <row r="8889">
      <c r="A8889" s="4" t="inlineStr">
        <is>
          <t>214</t>
        </is>
      </c>
      <c r="B8889" s="4" t="n">
        <v>2</v>
      </c>
      <c r="C8889" s="4" t="inlineStr">
        <is>
          <t>whitetail</t>
        </is>
      </c>
      <c r="D8889" s="4" t="n">
        <v>2022</v>
      </c>
      <c r="E8889" s="13" t="inlineStr">
        <is>
          <t>General</t>
        </is>
      </c>
      <c r="F8889" s="5" t="n"/>
      <c r="G8889" s="5" t="n"/>
      <c r="H8889" s="5" t="n">
        <v>53</v>
      </c>
      <c r="I8889" s="5" t="n">
        <v>40</v>
      </c>
      <c r="J8889" s="5" t="n">
        <v>13</v>
      </c>
      <c r="K8889" s="10">
        <f>IF(F8889&gt;0,H8889/F8889,"")</f>
        <v/>
      </c>
      <c r="L8889" s="16">
        <f>IF(AND(G8889&gt;0,H8889&gt;0),G8889/H8889,"")</f>
        <v/>
      </c>
    </row>
    <row r="8890">
      <c r="A8890" s="4" t="inlineStr">
        <is>
          <t>214</t>
        </is>
      </c>
      <c r="B8890" s="4" t="n">
        <v>2</v>
      </c>
      <c r="C8890" s="4" t="inlineStr">
        <is>
          <t>whitetail</t>
        </is>
      </c>
      <c r="D8890" s="4" t="n">
        <v>2023</v>
      </c>
      <c r="E8890" s="13" t="inlineStr">
        <is>
          <t>General</t>
        </is>
      </c>
      <c r="F8890" s="5" t="n">
        <v>334</v>
      </c>
      <c r="G8890" s="5" t="n">
        <v>2362</v>
      </c>
      <c r="H8890" s="5" t="n">
        <v>37</v>
      </c>
      <c r="I8890" s="5" t="n">
        <v>37</v>
      </c>
      <c r="J8890" s="5" t="n">
        <v>0</v>
      </c>
      <c r="K8890" s="10">
        <f>IF(F8890&gt;0,H8890/F8890,"")</f>
        <v/>
      </c>
      <c r="L8890" s="16">
        <f>IF(AND(G8890&gt;0,H8890&gt;0),G8890/H8890,"")</f>
        <v/>
      </c>
    </row>
    <row r="8891">
      <c r="A8891" s="4" t="inlineStr">
        <is>
          <t>214</t>
        </is>
      </c>
      <c r="B8891" s="4" t="n">
        <v>2</v>
      </c>
      <c r="C8891" s="4" t="inlineStr">
        <is>
          <t>whitetail</t>
        </is>
      </c>
      <c r="D8891" s="4" t="n">
        <v>2024</v>
      </c>
      <c r="E8891" s="13" t="inlineStr">
        <is>
          <t>General</t>
        </is>
      </c>
      <c r="F8891" s="5" t="n"/>
      <c r="G8891" s="5" t="n"/>
      <c r="H8891" s="5" t="n">
        <v>52</v>
      </c>
      <c r="I8891" s="5" t="n">
        <v>42</v>
      </c>
      <c r="J8891" s="5" t="n">
        <v>9</v>
      </c>
      <c r="K8891" s="10">
        <f>IF(F8891&gt;0,H8891/F8891,"")</f>
        <v/>
      </c>
      <c r="L8891" s="16">
        <f>IF(AND(G8891&gt;0,H8891&gt;0),G8891/H8891,"")</f>
        <v/>
      </c>
    </row>
    <row r="8892">
      <c r="A8892" s="4" t="inlineStr">
        <is>
          <t>214</t>
        </is>
      </c>
      <c r="B8892" s="4" t="n">
        <v>2</v>
      </c>
      <c r="C8892" s="4" t="inlineStr">
        <is>
          <t>whitetail</t>
        </is>
      </c>
      <c r="D8892" s="4" t="n">
        <v>2025</v>
      </c>
      <c r="E8892" s="13" t="inlineStr">
        <is>
          <t>General</t>
        </is>
      </c>
      <c r="F8892" s="5" t="n">
        <v>360</v>
      </c>
      <c r="G8892" s="5" t="n">
        <v>2384</v>
      </c>
      <c r="H8892" s="5" t="n">
        <v>59</v>
      </c>
      <c r="I8892" s="5" t="n">
        <v>45</v>
      </c>
      <c r="J8892" s="5" t="n">
        <v>14</v>
      </c>
      <c r="K8892" s="10">
        <f>IF(F8892&gt;0,H8892/F8892,"")</f>
        <v/>
      </c>
      <c r="L8892" s="16">
        <f>IF(AND(G8892&gt;0,H8892&gt;0),G8892/H8892,"")</f>
        <v/>
      </c>
    </row>
    <row r="8893">
      <c r="A8893" s="4" t="inlineStr">
        <is>
          <t>215</t>
        </is>
      </c>
      <c r="B8893" s="4" t="n">
        <v>2</v>
      </c>
      <c r="C8893" s="4" t="inlineStr">
        <is>
          <t>whitetail</t>
        </is>
      </c>
      <c r="D8893" s="4" t="n">
        <v>2004</v>
      </c>
      <c r="E8893" s="13" t="inlineStr">
        <is>
          <t>General</t>
        </is>
      </c>
      <c r="F8893" s="5" t="n">
        <v>958</v>
      </c>
      <c r="G8893" s="5" t="n">
        <v>6552</v>
      </c>
      <c r="H8893" s="5" t="n">
        <v>111</v>
      </c>
      <c r="I8893" s="5" t="n">
        <v>95</v>
      </c>
      <c r="J8893" s="5" t="n">
        <v>14</v>
      </c>
      <c r="K8893" s="10">
        <f>IF(F8893&gt;0,H8893/F8893,"")</f>
        <v/>
      </c>
      <c r="L8893" s="16">
        <f>IF(AND(G8893&gt;0,H8893&gt;0),G8893/H8893,"")</f>
        <v/>
      </c>
    </row>
    <row r="8894">
      <c r="A8894" s="4" t="inlineStr">
        <is>
          <t>215</t>
        </is>
      </c>
      <c r="B8894" s="4" t="n">
        <v>2</v>
      </c>
      <c r="C8894" s="4" t="inlineStr">
        <is>
          <t>whitetail</t>
        </is>
      </c>
      <c r="D8894" s="4" t="n">
        <v>2005</v>
      </c>
      <c r="E8894" s="13" t="inlineStr">
        <is>
          <t>General</t>
        </is>
      </c>
      <c r="F8894" s="5" t="n">
        <v>1055</v>
      </c>
      <c r="G8894" s="5" t="n">
        <v>7944</v>
      </c>
      <c r="H8894" s="5" t="n">
        <v>188</v>
      </c>
      <c r="I8894" s="5" t="n">
        <v>108</v>
      </c>
      <c r="J8894" s="5" t="n">
        <v>80</v>
      </c>
      <c r="K8894" s="10">
        <f>IF(F8894&gt;0,H8894/F8894,"")</f>
        <v/>
      </c>
      <c r="L8894" s="16">
        <f>IF(AND(G8894&gt;0,H8894&gt;0),G8894/H8894,"")</f>
        <v/>
      </c>
    </row>
    <row r="8895">
      <c r="A8895" s="4" t="inlineStr">
        <is>
          <t>215</t>
        </is>
      </c>
      <c r="B8895" s="4" t="n">
        <v>2</v>
      </c>
      <c r="C8895" s="4" t="inlineStr">
        <is>
          <t>whitetail</t>
        </is>
      </c>
      <c r="D8895" s="4" t="n">
        <v>2006</v>
      </c>
      <c r="E8895" s="13" t="inlineStr">
        <is>
          <t>General</t>
        </is>
      </c>
      <c r="F8895" s="5" t="n">
        <v>1191</v>
      </c>
      <c r="G8895" s="5" t="n">
        <v>9160</v>
      </c>
      <c r="H8895" s="5" t="n">
        <v>302</v>
      </c>
      <c r="I8895" s="5" t="n">
        <v>180</v>
      </c>
      <c r="J8895" s="5" t="n">
        <v>122</v>
      </c>
      <c r="K8895" s="10">
        <f>IF(F8895&gt;0,H8895/F8895,"")</f>
        <v/>
      </c>
      <c r="L8895" s="16">
        <f>IF(AND(G8895&gt;0,H8895&gt;0),G8895/H8895,"")</f>
        <v/>
      </c>
    </row>
    <row r="8896">
      <c r="A8896" s="4" t="inlineStr">
        <is>
          <t>215</t>
        </is>
      </c>
      <c r="B8896" s="4" t="n">
        <v>2</v>
      </c>
      <c r="C8896" s="4" t="inlineStr">
        <is>
          <t>whitetail</t>
        </is>
      </c>
      <c r="D8896" s="4" t="n">
        <v>2007</v>
      </c>
      <c r="E8896" s="13" t="inlineStr">
        <is>
          <t>General</t>
        </is>
      </c>
      <c r="F8896" s="5" t="n">
        <v>1037</v>
      </c>
      <c r="G8896" s="5" t="n">
        <v>8182</v>
      </c>
      <c r="H8896" s="5" t="n">
        <v>185</v>
      </c>
      <c r="I8896" s="5" t="n">
        <v>62</v>
      </c>
      <c r="J8896" s="5" t="n">
        <v>119</v>
      </c>
      <c r="K8896" s="10">
        <f>IF(F8896&gt;0,H8896/F8896,"")</f>
        <v/>
      </c>
      <c r="L8896" s="16">
        <f>IF(AND(G8896&gt;0,H8896&gt;0),G8896/H8896,"")</f>
        <v/>
      </c>
    </row>
    <row r="8897">
      <c r="A8897" s="4" t="inlineStr">
        <is>
          <t>215</t>
        </is>
      </c>
      <c r="B8897" s="4" t="n">
        <v>2</v>
      </c>
      <c r="C8897" s="4" t="inlineStr">
        <is>
          <t>whitetail</t>
        </is>
      </c>
      <c r="D8897" s="4" t="n">
        <v>2008</v>
      </c>
      <c r="E8897" s="13" t="inlineStr">
        <is>
          <t>General</t>
        </is>
      </c>
      <c r="F8897" s="5" t="n">
        <v>1235</v>
      </c>
      <c r="G8897" s="5" t="n">
        <v>8827</v>
      </c>
      <c r="H8897" s="5" t="n">
        <v>205</v>
      </c>
      <c r="I8897" s="5" t="n">
        <v>93</v>
      </c>
      <c r="J8897" s="5" t="n">
        <v>109</v>
      </c>
      <c r="K8897" s="10">
        <f>IF(F8897&gt;0,H8897/F8897,"")</f>
        <v/>
      </c>
      <c r="L8897" s="16">
        <f>IF(AND(G8897&gt;0,H8897&gt;0),G8897/H8897,"")</f>
        <v/>
      </c>
    </row>
    <row r="8898">
      <c r="A8898" s="4" t="inlineStr">
        <is>
          <t>215</t>
        </is>
      </c>
      <c r="B8898" s="4" t="n">
        <v>2</v>
      </c>
      <c r="C8898" s="4" t="inlineStr">
        <is>
          <t>whitetail</t>
        </is>
      </c>
      <c r="D8898" s="4" t="n">
        <v>2009</v>
      </c>
      <c r="E8898" s="13" t="inlineStr">
        <is>
          <t>General</t>
        </is>
      </c>
      <c r="F8898" s="5" t="n">
        <v>1321</v>
      </c>
      <c r="G8898" s="5" t="n">
        <v>10252</v>
      </c>
      <c r="H8898" s="5" t="n">
        <v>128</v>
      </c>
      <c r="I8898" s="5" t="n">
        <v>107</v>
      </c>
      <c r="J8898" s="5" t="n">
        <v>21</v>
      </c>
      <c r="K8898" s="10">
        <f>IF(F8898&gt;0,H8898/F8898,"")</f>
        <v/>
      </c>
      <c r="L8898" s="16">
        <f>IF(AND(G8898&gt;0,H8898&gt;0),G8898/H8898,"")</f>
        <v/>
      </c>
    </row>
    <row r="8899">
      <c r="A8899" s="4" t="inlineStr">
        <is>
          <t>215</t>
        </is>
      </c>
      <c r="B8899" s="4" t="n">
        <v>2</v>
      </c>
      <c r="C8899" s="4" t="inlineStr">
        <is>
          <t>whitetail</t>
        </is>
      </c>
      <c r="D8899" s="4" t="n">
        <v>2010</v>
      </c>
      <c r="E8899" s="13" t="inlineStr">
        <is>
          <t>General</t>
        </is>
      </c>
      <c r="F8899" s="5" t="n">
        <v>1439</v>
      </c>
      <c r="G8899" s="5" t="n">
        <v>12014</v>
      </c>
      <c r="H8899" s="5" t="n">
        <v>146</v>
      </c>
      <c r="I8899" s="5" t="n">
        <v>116</v>
      </c>
      <c r="J8899" s="5" t="n">
        <v>30</v>
      </c>
      <c r="K8899" s="10">
        <f>IF(F8899&gt;0,H8899/F8899,"")</f>
        <v/>
      </c>
      <c r="L8899" s="16">
        <f>IF(AND(G8899&gt;0,H8899&gt;0),G8899/H8899,"")</f>
        <v/>
      </c>
    </row>
    <row r="8900">
      <c r="A8900" s="4" t="inlineStr">
        <is>
          <t>215</t>
        </is>
      </c>
      <c r="B8900" s="4" t="n">
        <v>2</v>
      </c>
      <c r="C8900" s="4" t="inlineStr">
        <is>
          <t>whitetail</t>
        </is>
      </c>
      <c r="D8900" s="4" t="n">
        <v>2011</v>
      </c>
      <c r="E8900" s="13" t="inlineStr">
        <is>
          <t>General</t>
        </is>
      </c>
      <c r="F8900" s="5" t="n">
        <v>1801</v>
      </c>
      <c r="G8900" s="5" t="n">
        <v>13437</v>
      </c>
      <c r="H8900" s="5" t="n">
        <v>132</v>
      </c>
      <c r="I8900" s="5" t="n">
        <v>98</v>
      </c>
      <c r="J8900" s="5" t="n">
        <v>34</v>
      </c>
      <c r="K8900" s="10">
        <f>IF(F8900&gt;0,H8900/F8900,"")</f>
        <v/>
      </c>
      <c r="L8900" s="16">
        <f>IF(AND(G8900&gt;0,H8900&gt;0),G8900/H8900,"")</f>
        <v/>
      </c>
    </row>
    <row r="8901">
      <c r="A8901" s="4" t="inlineStr">
        <is>
          <t>215</t>
        </is>
      </c>
      <c r="B8901" s="4" t="n">
        <v>2</v>
      </c>
      <c r="C8901" s="4" t="inlineStr">
        <is>
          <t>whitetail</t>
        </is>
      </c>
      <c r="D8901" s="4" t="n">
        <v>2012</v>
      </c>
      <c r="E8901" s="13" t="inlineStr">
        <is>
          <t>General</t>
        </is>
      </c>
      <c r="F8901" s="5" t="n"/>
      <c r="G8901" s="5" t="n"/>
      <c r="H8901" s="5" t="n">
        <v>181</v>
      </c>
      <c r="I8901" s="5" t="n">
        <v>142</v>
      </c>
      <c r="J8901" s="5" t="n">
        <v>38</v>
      </c>
      <c r="K8901" s="10">
        <f>IF(F8901&gt;0,H8901/F8901,"")</f>
        <v/>
      </c>
      <c r="L8901" s="16">
        <f>IF(AND(G8901&gt;0,H8901&gt;0),G8901/H8901,"")</f>
        <v/>
      </c>
    </row>
    <row r="8902">
      <c r="A8902" s="4" t="inlineStr">
        <is>
          <t>215</t>
        </is>
      </c>
      <c r="B8902" s="4" t="n">
        <v>2</v>
      </c>
      <c r="C8902" s="4" t="inlineStr">
        <is>
          <t>whitetail</t>
        </is>
      </c>
      <c r="D8902" s="4" t="n">
        <v>2013</v>
      </c>
      <c r="E8902" s="13" t="inlineStr">
        <is>
          <t>General</t>
        </is>
      </c>
      <c r="F8902" s="5" t="n">
        <v>1008</v>
      </c>
      <c r="G8902" s="5" t="n">
        <v>7905</v>
      </c>
      <c r="H8902" s="5" t="n">
        <v>125</v>
      </c>
      <c r="I8902" s="5" t="n">
        <v>84</v>
      </c>
      <c r="J8902" s="5" t="n">
        <v>42</v>
      </c>
      <c r="K8902" s="10">
        <f>IF(F8902&gt;0,H8902/F8902,"")</f>
        <v/>
      </c>
      <c r="L8902" s="16">
        <f>IF(AND(G8902&gt;0,H8902&gt;0),G8902/H8902,"")</f>
        <v/>
      </c>
    </row>
    <row r="8903">
      <c r="A8903" s="4" t="inlineStr">
        <is>
          <t>215</t>
        </is>
      </c>
      <c r="B8903" s="4" t="n">
        <v>2</v>
      </c>
      <c r="C8903" s="4" t="inlineStr">
        <is>
          <t>whitetail</t>
        </is>
      </c>
      <c r="D8903" s="4" t="n">
        <v>2014</v>
      </c>
      <c r="E8903" s="13" t="inlineStr">
        <is>
          <t>General</t>
        </is>
      </c>
      <c r="F8903" s="5" t="n"/>
      <c r="G8903" s="5" t="n"/>
      <c r="H8903" s="5" t="n">
        <v>165</v>
      </c>
      <c r="I8903" s="5" t="n">
        <v>114</v>
      </c>
      <c r="J8903" s="5" t="n">
        <v>46</v>
      </c>
      <c r="K8903" s="10">
        <f>IF(F8903&gt;0,H8903/F8903,"")</f>
        <v/>
      </c>
      <c r="L8903" s="16">
        <f>IF(AND(G8903&gt;0,H8903&gt;0),G8903/H8903,"")</f>
        <v/>
      </c>
    </row>
    <row r="8904">
      <c r="A8904" s="4" t="inlineStr">
        <is>
          <t>215</t>
        </is>
      </c>
      <c r="B8904" s="4" t="n">
        <v>2</v>
      </c>
      <c r="C8904" s="4" t="inlineStr">
        <is>
          <t>whitetail</t>
        </is>
      </c>
      <c r="D8904" s="4" t="n">
        <v>2015</v>
      </c>
      <c r="E8904" s="13" t="inlineStr">
        <is>
          <t>General</t>
        </is>
      </c>
      <c r="F8904" s="5" t="n"/>
      <c r="G8904" s="5" t="n"/>
      <c r="H8904" s="5" t="n">
        <v>228</v>
      </c>
      <c r="I8904" s="5" t="n">
        <v>163</v>
      </c>
      <c r="J8904" s="5" t="n">
        <v>56</v>
      </c>
      <c r="K8904" s="10">
        <f>IF(F8904&gt;0,H8904/F8904,"")</f>
        <v/>
      </c>
      <c r="L8904" s="16">
        <f>IF(AND(G8904&gt;0,H8904&gt;0),G8904/H8904,"")</f>
        <v/>
      </c>
    </row>
    <row r="8905">
      <c r="A8905" s="4" t="inlineStr">
        <is>
          <t>215</t>
        </is>
      </c>
      <c r="B8905" s="4" t="n">
        <v>2</v>
      </c>
      <c r="C8905" s="4" t="inlineStr">
        <is>
          <t>whitetail</t>
        </is>
      </c>
      <c r="D8905" s="4" t="n">
        <v>2016</v>
      </c>
      <c r="E8905" s="13" t="inlineStr">
        <is>
          <t>General</t>
        </is>
      </c>
      <c r="F8905" s="5" t="n"/>
      <c r="G8905" s="5" t="n"/>
      <c r="H8905" s="5" t="n">
        <v>187</v>
      </c>
      <c r="I8905" s="5" t="n">
        <v>124</v>
      </c>
      <c r="J8905" s="5" t="n">
        <v>60</v>
      </c>
      <c r="K8905" s="10">
        <f>IF(F8905&gt;0,H8905/F8905,"")</f>
        <v/>
      </c>
      <c r="L8905" s="16">
        <f>IF(AND(G8905&gt;0,H8905&gt;0),G8905/H8905,"")</f>
        <v/>
      </c>
    </row>
    <row r="8906">
      <c r="A8906" s="4" t="inlineStr">
        <is>
          <t>215</t>
        </is>
      </c>
      <c r="B8906" s="4" t="n">
        <v>2</v>
      </c>
      <c r="C8906" s="4" t="inlineStr">
        <is>
          <t>whitetail</t>
        </is>
      </c>
      <c r="D8906" s="4" t="n">
        <v>2017</v>
      </c>
      <c r="E8906" s="13" t="inlineStr">
        <is>
          <t>General</t>
        </is>
      </c>
      <c r="F8906" s="5" t="n">
        <v>1097</v>
      </c>
      <c r="G8906" s="5" t="n">
        <v>7864</v>
      </c>
      <c r="H8906" s="5" t="n">
        <v>189</v>
      </c>
      <c r="I8906" s="5" t="n">
        <v>144</v>
      </c>
      <c r="J8906" s="5" t="n">
        <v>42</v>
      </c>
      <c r="K8906" s="10">
        <f>IF(F8906&gt;0,H8906/F8906,"")</f>
        <v/>
      </c>
      <c r="L8906" s="16">
        <f>IF(AND(G8906&gt;0,H8906&gt;0),G8906/H8906,"")</f>
        <v/>
      </c>
    </row>
    <row r="8907">
      <c r="A8907" s="4" t="inlineStr">
        <is>
          <t>215</t>
        </is>
      </c>
      <c r="B8907" s="4" t="n">
        <v>2</v>
      </c>
      <c r="C8907" s="4" t="inlineStr">
        <is>
          <t>whitetail</t>
        </is>
      </c>
      <c r="D8907" s="4" t="n">
        <v>2018</v>
      </c>
      <c r="E8907" s="13" t="inlineStr">
        <is>
          <t>General</t>
        </is>
      </c>
      <c r="F8907" s="5" t="n"/>
      <c r="G8907" s="5" t="n"/>
      <c r="H8907" s="5" t="n">
        <v>336</v>
      </c>
      <c r="I8907" s="5" t="n">
        <v>96</v>
      </c>
      <c r="J8907" s="5" t="n">
        <v>238</v>
      </c>
      <c r="K8907" s="10">
        <f>IF(F8907&gt;0,H8907/F8907,"")</f>
        <v/>
      </c>
      <c r="L8907" s="16">
        <f>IF(AND(G8907&gt;0,H8907&gt;0),G8907/H8907,"")</f>
        <v/>
      </c>
    </row>
    <row r="8908">
      <c r="A8908" s="4" t="inlineStr">
        <is>
          <t>215</t>
        </is>
      </c>
      <c r="B8908" s="4" t="n">
        <v>2</v>
      </c>
      <c r="C8908" s="4" t="inlineStr">
        <is>
          <t>whitetail</t>
        </is>
      </c>
      <c r="D8908" s="4" t="n">
        <v>2019</v>
      </c>
      <c r="E8908" s="13" t="inlineStr">
        <is>
          <t>General</t>
        </is>
      </c>
      <c r="F8908" s="5" t="n">
        <v>1239</v>
      </c>
      <c r="G8908" s="5" t="n">
        <v>8124</v>
      </c>
      <c r="H8908" s="5" t="n">
        <v>203</v>
      </c>
      <c r="I8908" s="5" t="n">
        <v>83</v>
      </c>
      <c r="J8908" s="5" t="n">
        <v>120</v>
      </c>
      <c r="K8908" s="10">
        <f>IF(F8908&gt;0,H8908/F8908,"")</f>
        <v/>
      </c>
      <c r="L8908" s="16">
        <f>IF(AND(G8908&gt;0,H8908&gt;0),G8908/H8908,"")</f>
        <v/>
      </c>
    </row>
    <row r="8909">
      <c r="A8909" s="4" t="inlineStr">
        <is>
          <t>215</t>
        </is>
      </c>
      <c r="B8909" s="4" t="n">
        <v>2</v>
      </c>
      <c r="C8909" s="4" t="inlineStr">
        <is>
          <t>whitetail</t>
        </is>
      </c>
      <c r="D8909" s="4" t="n">
        <v>2020</v>
      </c>
      <c r="E8909" s="13" t="inlineStr">
        <is>
          <t>General</t>
        </is>
      </c>
      <c r="F8909" s="5" t="n"/>
      <c r="G8909" s="5" t="n"/>
      <c r="H8909" s="5" t="n">
        <v>200</v>
      </c>
      <c r="I8909" s="5" t="n">
        <v>109</v>
      </c>
      <c r="J8909" s="5" t="n">
        <v>84</v>
      </c>
      <c r="K8909" s="10">
        <f>IF(F8909&gt;0,H8909/F8909,"")</f>
        <v/>
      </c>
      <c r="L8909" s="16">
        <f>IF(AND(G8909&gt;0,H8909&gt;0),G8909/H8909,"")</f>
        <v/>
      </c>
    </row>
    <row r="8910">
      <c r="A8910" s="4" t="inlineStr">
        <is>
          <t>215</t>
        </is>
      </c>
      <c r="B8910" s="4" t="n">
        <v>2</v>
      </c>
      <c r="C8910" s="4" t="inlineStr">
        <is>
          <t>whitetail</t>
        </is>
      </c>
      <c r="D8910" s="4" t="n">
        <v>2021</v>
      </c>
      <c r="E8910" s="13" t="inlineStr">
        <is>
          <t>General</t>
        </is>
      </c>
      <c r="F8910" s="5" t="n">
        <v>1080</v>
      </c>
      <c r="G8910" s="5" t="n">
        <v>8083</v>
      </c>
      <c r="H8910" s="5" t="n">
        <v>179</v>
      </c>
      <c r="I8910" s="5" t="n">
        <v>80</v>
      </c>
      <c r="J8910" s="5" t="n">
        <v>99</v>
      </c>
      <c r="K8910" s="10">
        <f>IF(F8910&gt;0,H8910/F8910,"")</f>
        <v/>
      </c>
      <c r="L8910" s="16">
        <f>IF(AND(G8910&gt;0,H8910&gt;0),G8910/H8910,"")</f>
        <v/>
      </c>
    </row>
    <row r="8911">
      <c r="A8911" s="4" t="inlineStr">
        <is>
          <t>215</t>
        </is>
      </c>
      <c r="B8911" s="4" t="n">
        <v>2</v>
      </c>
      <c r="C8911" s="4" t="inlineStr">
        <is>
          <t>whitetail</t>
        </is>
      </c>
      <c r="D8911" s="4" t="n">
        <v>2022</v>
      </c>
      <c r="E8911" s="13" t="inlineStr">
        <is>
          <t>General</t>
        </is>
      </c>
      <c r="F8911" s="5" t="n"/>
      <c r="G8911" s="5" t="n"/>
      <c r="H8911" s="5" t="n">
        <v>127</v>
      </c>
      <c r="I8911" s="5" t="n">
        <v>80</v>
      </c>
      <c r="J8911" s="5" t="n">
        <v>47</v>
      </c>
      <c r="K8911" s="10">
        <f>IF(F8911&gt;0,H8911/F8911,"")</f>
        <v/>
      </c>
      <c r="L8911" s="16">
        <f>IF(AND(G8911&gt;0,H8911&gt;0),G8911/H8911,"")</f>
        <v/>
      </c>
    </row>
    <row r="8912">
      <c r="A8912" s="4" t="inlineStr">
        <is>
          <t>215</t>
        </is>
      </c>
      <c r="B8912" s="4" t="n">
        <v>2</v>
      </c>
      <c r="C8912" s="4" t="inlineStr">
        <is>
          <t>whitetail</t>
        </is>
      </c>
      <c r="D8912" s="4" t="n">
        <v>2023</v>
      </c>
      <c r="E8912" s="13" t="inlineStr">
        <is>
          <t>General</t>
        </is>
      </c>
      <c r="F8912" s="5" t="n">
        <v>1324</v>
      </c>
      <c r="G8912" s="5" t="n">
        <v>10409</v>
      </c>
      <c r="H8912" s="5" t="n">
        <v>150</v>
      </c>
      <c r="I8912" s="5" t="n">
        <v>70</v>
      </c>
      <c r="J8912" s="5" t="n">
        <v>80</v>
      </c>
      <c r="K8912" s="10">
        <f>IF(F8912&gt;0,H8912/F8912,"")</f>
        <v/>
      </c>
      <c r="L8912" s="16">
        <f>IF(AND(G8912&gt;0,H8912&gt;0),G8912/H8912,"")</f>
        <v/>
      </c>
    </row>
    <row r="8913">
      <c r="A8913" s="4" t="inlineStr">
        <is>
          <t>215</t>
        </is>
      </c>
      <c r="B8913" s="4" t="n">
        <v>2</v>
      </c>
      <c r="C8913" s="4" t="inlineStr">
        <is>
          <t>whitetail</t>
        </is>
      </c>
      <c r="D8913" s="4" t="n">
        <v>2024</v>
      </c>
      <c r="E8913" s="13" t="inlineStr">
        <is>
          <t>General</t>
        </is>
      </c>
      <c r="F8913" s="5" t="n"/>
      <c r="G8913" s="5" t="n"/>
      <c r="H8913" s="5" t="n">
        <v>146</v>
      </c>
      <c r="I8913" s="5" t="n">
        <v>97</v>
      </c>
      <c r="J8913" s="5" t="n">
        <v>49</v>
      </c>
      <c r="K8913" s="10">
        <f>IF(F8913&gt;0,H8913/F8913,"")</f>
        <v/>
      </c>
      <c r="L8913" s="16">
        <f>IF(AND(G8913&gt;0,H8913&gt;0),G8913/H8913,"")</f>
        <v/>
      </c>
    </row>
    <row r="8914">
      <c r="A8914" s="4" t="inlineStr">
        <is>
          <t>215</t>
        </is>
      </c>
      <c r="B8914" s="4" t="n">
        <v>2</v>
      </c>
      <c r="C8914" s="4" t="inlineStr">
        <is>
          <t>whitetail</t>
        </is>
      </c>
      <c r="D8914" s="4" t="n">
        <v>2025</v>
      </c>
      <c r="E8914" s="13" t="inlineStr">
        <is>
          <t>General</t>
        </is>
      </c>
      <c r="F8914" s="5" t="n">
        <v>1406</v>
      </c>
      <c r="G8914" s="5" t="n">
        <v>10882</v>
      </c>
      <c r="H8914" s="5" t="n">
        <v>126</v>
      </c>
      <c r="I8914" s="5" t="n">
        <v>89</v>
      </c>
      <c r="J8914" s="5" t="n">
        <v>33</v>
      </c>
      <c r="K8914" s="10">
        <f>IF(F8914&gt;0,H8914/F8914,"")</f>
        <v/>
      </c>
      <c r="L8914" s="16">
        <f>IF(AND(G8914&gt;0,H8914&gt;0),G8914/H8914,"")</f>
        <v/>
      </c>
    </row>
    <row r="8915">
      <c r="A8915" s="4" t="inlineStr">
        <is>
          <t>216</t>
        </is>
      </c>
      <c r="B8915" s="4" t="n">
        <v>2</v>
      </c>
      <c r="C8915" s="4" t="inlineStr">
        <is>
          <t>whitetail</t>
        </is>
      </c>
      <c r="D8915" s="4" t="n">
        <v>2004</v>
      </c>
      <c r="E8915" s="13" t="inlineStr">
        <is>
          <t>General</t>
        </is>
      </c>
      <c r="F8915" s="5" t="n">
        <v>435</v>
      </c>
      <c r="G8915" s="5" t="n">
        <v>2444</v>
      </c>
      <c r="H8915" s="5" t="n">
        <v>46</v>
      </c>
      <c r="I8915" s="5" t="n">
        <v>33</v>
      </c>
      <c r="J8915" s="5" t="n">
        <v>14</v>
      </c>
      <c r="K8915" s="10">
        <f>IF(F8915&gt;0,H8915/F8915,"")</f>
        <v/>
      </c>
      <c r="L8915" s="16">
        <f>IF(AND(G8915&gt;0,H8915&gt;0),G8915/H8915,"")</f>
        <v/>
      </c>
    </row>
    <row r="8916">
      <c r="A8916" s="4" t="inlineStr">
        <is>
          <t>216</t>
        </is>
      </c>
      <c r="B8916" s="4" t="n">
        <v>2</v>
      </c>
      <c r="C8916" s="4" t="inlineStr">
        <is>
          <t>whitetail</t>
        </is>
      </c>
      <c r="D8916" s="4" t="n">
        <v>2005</v>
      </c>
      <c r="E8916" s="13" t="inlineStr">
        <is>
          <t>General</t>
        </is>
      </c>
      <c r="F8916" s="5" t="n">
        <v>386</v>
      </c>
      <c r="G8916" s="5" t="n">
        <v>2017</v>
      </c>
      <c r="H8916" s="5" t="n">
        <v>68</v>
      </c>
      <c r="I8916" s="5" t="n">
        <v>51</v>
      </c>
      <c r="J8916" s="5" t="n">
        <v>17</v>
      </c>
      <c r="K8916" s="10">
        <f>IF(F8916&gt;0,H8916/F8916,"")</f>
        <v/>
      </c>
      <c r="L8916" s="16">
        <f>IF(AND(G8916&gt;0,H8916&gt;0),G8916/H8916,"")</f>
        <v/>
      </c>
    </row>
    <row r="8917">
      <c r="A8917" s="4" t="inlineStr">
        <is>
          <t>216</t>
        </is>
      </c>
      <c r="B8917" s="4" t="n">
        <v>2</v>
      </c>
      <c r="C8917" s="4" t="inlineStr">
        <is>
          <t>whitetail</t>
        </is>
      </c>
      <c r="D8917" s="4" t="n">
        <v>2006</v>
      </c>
      <c r="E8917" s="13" t="inlineStr">
        <is>
          <t>General</t>
        </is>
      </c>
      <c r="F8917" s="5" t="n">
        <v>390</v>
      </c>
      <c r="G8917" s="5" t="n">
        <v>2045</v>
      </c>
      <c r="H8917" s="5" t="n">
        <v>91</v>
      </c>
      <c r="I8917" s="5" t="n">
        <v>30</v>
      </c>
      <c r="J8917" s="5" t="n">
        <v>59</v>
      </c>
      <c r="K8917" s="10">
        <f>IF(F8917&gt;0,H8917/F8917,"")</f>
        <v/>
      </c>
      <c r="L8917" s="16">
        <f>IF(AND(G8917&gt;0,H8917&gt;0),G8917/H8917,"")</f>
        <v/>
      </c>
    </row>
    <row r="8918">
      <c r="A8918" s="4" t="inlineStr">
        <is>
          <t>216</t>
        </is>
      </c>
      <c r="B8918" s="4" t="n">
        <v>2</v>
      </c>
      <c r="C8918" s="4" t="inlineStr">
        <is>
          <t>whitetail</t>
        </is>
      </c>
      <c r="D8918" s="4" t="n">
        <v>2007</v>
      </c>
      <c r="E8918" s="13" t="inlineStr">
        <is>
          <t>General</t>
        </is>
      </c>
      <c r="F8918" s="5" t="n">
        <v>288</v>
      </c>
      <c r="G8918" s="5" t="n">
        <v>1837</v>
      </c>
      <c r="H8918" s="5" t="n">
        <v>70</v>
      </c>
      <c r="I8918" s="5" t="n">
        <v>37</v>
      </c>
      <c r="J8918" s="5" t="n">
        <v>33</v>
      </c>
      <c r="K8918" s="10">
        <f>IF(F8918&gt;0,H8918/F8918,"")</f>
        <v/>
      </c>
      <c r="L8918" s="16">
        <f>IF(AND(G8918&gt;0,H8918&gt;0),G8918/H8918,"")</f>
        <v/>
      </c>
    </row>
    <row r="8919">
      <c r="A8919" s="4" t="inlineStr">
        <is>
          <t>216</t>
        </is>
      </c>
      <c r="B8919" s="4" t="n">
        <v>2</v>
      </c>
      <c r="C8919" s="4" t="inlineStr">
        <is>
          <t>whitetail</t>
        </is>
      </c>
      <c r="D8919" s="4" t="n">
        <v>2008</v>
      </c>
      <c r="E8919" s="13" t="inlineStr">
        <is>
          <t>General</t>
        </is>
      </c>
      <c r="F8919" s="5" t="n">
        <v>337</v>
      </c>
      <c r="G8919" s="5" t="n">
        <v>2238</v>
      </c>
      <c r="H8919" s="5" t="n">
        <v>55</v>
      </c>
      <c r="I8919" s="5" t="n">
        <v>30</v>
      </c>
      <c r="J8919" s="5" t="n">
        <v>22</v>
      </c>
      <c r="K8919" s="10">
        <f>IF(F8919&gt;0,H8919/F8919,"")</f>
        <v/>
      </c>
      <c r="L8919" s="16">
        <f>IF(AND(G8919&gt;0,H8919&gt;0),G8919/H8919,"")</f>
        <v/>
      </c>
    </row>
    <row r="8920">
      <c r="A8920" s="4" t="inlineStr">
        <is>
          <t>216</t>
        </is>
      </c>
      <c r="B8920" s="4" t="n">
        <v>2</v>
      </c>
      <c r="C8920" s="4" t="inlineStr">
        <is>
          <t>whitetail</t>
        </is>
      </c>
      <c r="D8920" s="4" t="n">
        <v>2009</v>
      </c>
      <c r="E8920" s="13" t="inlineStr">
        <is>
          <t>General</t>
        </is>
      </c>
      <c r="F8920" s="5" t="n">
        <v>295</v>
      </c>
      <c r="G8920" s="5" t="n">
        <v>1810</v>
      </c>
      <c r="H8920" s="5" t="n">
        <v>30</v>
      </c>
      <c r="I8920" s="5" t="n">
        <v>24</v>
      </c>
      <c r="J8920" s="5" t="n">
        <v>6</v>
      </c>
      <c r="K8920" s="10">
        <f>IF(F8920&gt;0,H8920/F8920,"")</f>
        <v/>
      </c>
      <c r="L8920" s="16">
        <f>IF(AND(G8920&gt;0,H8920&gt;0),G8920/H8920,"")</f>
        <v/>
      </c>
    </row>
    <row r="8921">
      <c r="A8921" s="4" t="inlineStr">
        <is>
          <t>216</t>
        </is>
      </c>
      <c r="B8921" s="4" t="n">
        <v>2</v>
      </c>
      <c r="C8921" s="4" t="inlineStr">
        <is>
          <t>whitetail</t>
        </is>
      </c>
      <c r="D8921" s="4" t="n">
        <v>2010</v>
      </c>
      <c r="E8921" s="13" t="inlineStr">
        <is>
          <t>General</t>
        </is>
      </c>
      <c r="F8921" s="5" t="n">
        <v>296</v>
      </c>
      <c r="G8921" s="5" t="n">
        <v>1758</v>
      </c>
      <c r="H8921" s="5" t="n">
        <v>48</v>
      </c>
      <c r="I8921" s="5" t="n">
        <v>37</v>
      </c>
      <c r="J8921" s="5" t="n">
        <v>12</v>
      </c>
      <c r="K8921" s="10">
        <f>IF(F8921&gt;0,H8921/F8921,"")</f>
        <v/>
      </c>
      <c r="L8921" s="16">
        <f>IF(AND(G8921&gt;0,H8921&gt;0),G8921/H8921,"")</f>
        <v/>
      </c>
    </row>
    <row r="8922">
      <c r="A8922" s="4" t="inlineStr">
        <is>
          <t>216</t>
        </is>
      </c>
      <c r="B8922" s="4" t="n">
        <v>2</v>
      </c>
      <c r="C8922" s="4" t="inlineStr">
        <is>
          <t>whitetail</t>
        </is>
      </c>
      <c r="D8922" s="4" t="n">
        <v>2011</v>
      </c>
      <c r="E8922" s="13" t="inlineStr">
        <is>
          <t>General</t>
        </is>
      </c>
      <c r="F8922" s="5" t="n">
        <v>394</v>
      </c>
      <c r="G8922" s="5" t="n">
        <v>2647</v>
      </c>
      <c r="H8922" s="5" t="n">
        <v>51</v>
      </c>
      <c r="I8922" s="5" t="n">
        <v>42</v>
      </c>
      <c r="J8922" s="5" t="n">
        <v>8</v>
      </c>
      <c r="K8922" s="10">
        <f>IF(F8922&gt;0,H8922/F8922,"")</f>
        <v/>
      </c>
      <c r="L8922" s="16">
        <f>IF(AND(G8922&gt;0,H8922&gt;0),G8922/H8922,"")</f>
        <v/>
      </c>
    </row>
    <row r="8923">
      <c r="A8923" s="4" t="inlineStr">
        <is>
          <t>216</t>
        </is>
      </c>
      <c r="B8923" s="4" t="n">
        <v>2</v>
      </c>
      <c r="C8923" s="4" t="inlineStr">
        <is>
          <t>whitetail</t>
        </is>
      </c>
      <c r="D8923" s="4" t="n">
        <v>2012</v>
      </c>
      <c r="E8923" s="13" t="inlineStr">
        <is>
          <t>General</t>
        </is>
      </c>
      <c r="F8923" s="5" t="n"/>
      <c r="G8923" s="5" t="n"/>
      <c r="H8923" s="5" t="n">
        <v>30</v>
      </c>
      <c r="I8923" s="5" t="n">
        <v>22</v>
      </c>
      <c r="J8923" s="5" t="n">
        <v>7</v>
      </c>
      <c r="K8923" s="10">
        <f>IF(F8923&gt;0,H8923/F8923,"")</f>
        <v/>
      </c>
      <c r="L8923" s="16">
        <f>IF(AND(G8923&gt;0,H8923&gt;0),G8923/H8923,"")</f>
        <v/>
      </c>
    </row>
    <row r="8924">
      <c r="A8924" s="4" t="inlineStr">
        <is>
          <t>216</t>
        </is>
      </c>
      <c r="B8924" s="4" t="n">
        <v>2</v>
      </c>
      <c r="C8924" s="4" t="inlineStr">
        <is>
          <t>whitetail</t>
        </is>
      </c>
      <c r="D8924" s="4" t="n">
        <v>2013</v>
      </c>
      <c r="E8924" s="13" t="inlineStr">
        <is>
          <t>General</t>
        </is>
      </c>
      <c r="F8924" s="5" t="n">
        <v>380</v>
      </c>
      <c r="G8924" s="5" t="n">
        <v>2708</v>
      </c>
      <c r="H8924" s="5" t="n">
        <v>22</v>
      </c>
      <c r="I8924" s="5" t="n">
        <v>22</v>
      </c>
      <c r="J8924" s="5" t="n">
        <v>0</v>
      </c>
      <c r="K8924" s="10">
        <f>IF(F8924&gt;0,H8924/F8924,"")</f>
        <v/>
      </c>
      <c r="L8924" s="16">
        <f>IF(AND(G8924&gt;0,H8924&gt;0),G8924/H8924,"")</f>
        <v/>
      </c>
    </row>
    <row r="8925">
      <c r="A8925" s="4" t="inlineStr">
        <is>
          <t>216</t>
        </is>
      </c>
      <c r="B8925" s="4" t="n">
        <v>2</v>
      </c>
      <c r="C8925" s="4" t="inlineStr">
        <is>
          <t>whitetail</t>
        </is>
      </c>
      <c r="D8925" s="4" t="n">
        <v>2014</v>
      </c>
      <c r="E8925" s="13" t="inlineStr">
        <is>
          <t>General</t>
        </is>
      </c>
      <c r="F8925" s="5" t="n"/>
      <c r="G8925" s="5" t="n"/>
      <c r="H8925" s="5" t="n">
        <v>48</v>
      </c>
      <c r="I8925" s="5" t="n">
        <v>48</v>
      </c>
      <c r="J8925" s="5" t="n">
        <v>0</v>
      </c>
      <c r="K8925" s="10">
        <f>IF(F8925&gt;0,H8925/F8925,"")</f>
        <v/>
      </c>
      <c r="L8925" s="16">
        <f>IF(AND(G8925&gt;0,H8925&gt;0),G8925/H8925,"")</f>
        <v/>
      </c>
    </row>
    <row r="8926">
      <c r="A8926" s="4" t="inlineStr">
        <is>
          <t>216</t>
        </is>
      </c>
      <c r="B8926" s="4" t="n">
        <v>2</v>
      </c>
      <c r="C8926" s="4" t="inlineStr">
        <is>
          <t>whitetail</t>
        </is>
      </c>
      <c r="D8926" s="4" t="n">
        <v>2015</v>
      </c>
      <c r="E8926" s="13" t="inlineStr">
        <is>
          <t>General</t>
        </is>
      </c>
      <c r="F8926" s="5" t="n"/>
      <c r="G8926" s="5" t="n"/>
      <c r="H8926" s="5" t="n">
        <v>78</v>
      </c>
      <c r="I8926" s="5" t="n">
        <v>66</v>
      </c>
      <c r="J8926" s="5" t="n">
        <v>12</v>
      </c>
      <c r="K8926" s="10">
        <f>IF(F8926&gt;0,H8926/F8926,"")</f>
        <v/>
      </c>
      <c r="L8926" s="16">
        <f>IF(AND(G8926&gt;0,H8926&gt;0),G8926/H8926,"")</f>
        <v/>
      </c>
    </row>
    <row r="8927">
      <c r="A8927" s="4" t="inlineStr">
        <is>
          <t>216</t>
        </is>
      </c>
      <c r="B8927" s="4" t="n">
        <v>2</v>
      </c>
      <c r="C8927" s="4" t="inlineStr">
        <is>
          <t>whitetail</t>
        </is>
      </c>
      <c r="D8927" s="4" t="n">
        <v>2016</v>
      </c>
      <c r="E8927" s="13" t="inlineStr">
        <is>
          <t>General</t>
        </is>
      </c>
      <c r="F8927" s="5" t="n"/>
      <c r="G8927" s="5" t="n"/>
      <c r="H8927" s="5" t="n">
        <v>83</v>
      </c>
      <c r="I8927" s="5" t="n">
        <v>38</v>
      </c>
      <c r="J8927" s="5" t="n">
        <v>42</v>
      </c>
      <c r="K8927" s="10">
        <f>IF(F8927&gt;0,H8927/F8927,"")</f>
        <v/>
      </c>
      <c r="L8927" s="16">
        <f>IF(AND(G8927&gt;0,H8927&gt;0),G8927/H8927,"")</f>
        <v/>
      </c>
    </row>
    <row r="8928">
      <c r="A8928" s="4" t="inlineStr">
        <is>
          <t>216</t>
        </is>
      </c>
      <c r="B8928" s="4" t="n">
        <v>2</v>
      </c>
      <c r="C8928" s="4" t="inlineStr">
        <is>
          <t>whitetail</t>
        </is>
      </c>
      <c r="D8928" s="4" t="n">
        <v>2017</v>
      </c>
      <c r="E8928" s="13" t="inlineStr">
        <is>
          <t>General</t>
        </is>
      </c>
      <c r="F8928" s="5" t="n">
        <v>433</v>
      </c>
      <c r="G8928" s="5" t="n">
        <v>2939</v>
      </c>
      <c r="H8928" s="5" t="n">
        <v>58</v>
      </c>
      <c r="I8928" s="5" t="n">
        <v>39</v>
      </c>
      <c r="J8928" s="5" t="n">
        <v>20</v>
      </c>
      <c r="K8928" s="10">
        <f>IF(F8928&gt;0,H8928/F8928,"")</f>
        <v/>
      </c>
      <c r="L8928" s="16">
        <f>IF(AND(G8928&gt;0,H8928&gt;0),G8928/H8928,"")</f>
        <v/>
      </c>
    </row>
    <row r="8929">
      <c r="A8929" s="4" t="inlineStr">
        <is>
          <t>216</t>
        </is>
      </c>
      <c r="B8929" s="4" t="n">
        <v>2</v>
      </c>
      <c r="C8929" s="4" t="inlineStr">
        <is>
          <t>whitetail</t>
        </is>
      </c>
      <c r="D8929" s="4" t="n">
        <v>2018</v>
      </c>
      <c r="E8929" s="13" t="inlineStr">
        <is>
          <t>General</t>
        </is>
      </c>
      <c r="F8929" s="5" t="n"/>
      <c r="G8929" s="5" t="n"/>
      <c r="H8929" s="5" t="n">
        <v>118</v>
      </c>
      <c r="I8929" s="5" t="n">
        <v>32</v>
      </c>
      <c r="J8929" s="5" t="n">
        <v>86</v>
      </c>
      <c r="K8929" s="10">
        <f>IF(F8929&gt;0,H8929/F8929,"")</f>
        <v/>
      </c>
      <c r="L8929" s="16">
        <f>IF(AND(G8929&gt;0,H8929&gt;0),G8929/H8929,"")</f>
        <v/>
      </c>
    </row>
    <row r="8930">
      <c r="A8930" s="4" t="inlineStr">
        <is>
          <t>216</t>
        </is>
      </c>
      <c r="B8930" s="4" t="n">
        <v>2</v>
      </c>
      <c r="C8930" s="4" t="inlineStr">
        <is>
          <t>whitetail</t>
        </is>
      </c>
      <c r="D8930" s="4" t="n">
        <v>2019</v>
      </c>
      <c r="E8930" s="13" t="inlineStr">
        <is>
          <t>General</t>
        </is>
      </c>
      <c r="F8930" s="5" t="n">
        <v>529</v>
      </c>
      <c r="G8930" s="5" t="n">
        <v>3628</v>
      </c>
      <c r="H8930" s="5" t="n">
        <v>104</v>
      </c>
      <c r="I8930" s="5" t="n">
        <v>68</v>
      </c>
      <c r="J8930" s="5" t="n">
        <v>36</v>
      </c>
      <c r="K8930" s="10">
        <f>IF(F8930&gt;0,H8930/F8930,"")</f>
        <v/>
      </c>
      <c r="L8930" s="16">
        <f>IF(AND(G8930&gt;0,H8930&gt;0),G8930/H8930,"")</f>
        <v/>
      </c>
    </row>
    <row r="8931">
      <c r="A8931" s="4" t="inlineStr">
        <is>
          <t>216</t>
        </is>
      </c>
      <c r="B8931" s="4" t="n">
        <v>2</v>
      </c>
      <c r="C8931" s="4" t="inlineStr">
        <is>
          <t>whitetail</t>
        </is>
      </c>
      <c r="D8931" s="4" t="n">
        <v>2020</v>
      </c>
      <c r="E8931" s="13" t="inlineStr">
        <is>
          <t>General</t>
        </is>
      </c>
      <c r="F8931" s="5" t="n"/>
      <c r="G8931" s="5" t="n"/>
      <c r="H8931" s="5" t="n">
        <v>94</v>
      </c>
      <c r="I8931" s="5" t="n">
        <v>52</v>
      </c>
      <c r="J8931" s="5" t="n">
        <v>41</v>
      </c>
      <c r="K8931" s="10">
        <f>IF(F8931&gt;0,H8931/F8931,"")</f>
        <v/>
      </c>
      <c r="L8931" s="16">
        <f>IF(AND(G8931&gt;0,H8931&gt;0),G8931/H8931,"")</f>
        <v/>
      </c>
    </row>
    <row r="8932">
      <c r="A8932" s="4" t="inlineStr">
        <is>
          <t>216</t>
        </is>
      </c>
      <c r="B8932" s="4" t="n">
        <v>2</v>
      </c>
      <c r="C8932" s="4" t="inlineStr">
        <is>
          <t>whitetail</t>
        </is>
      </c>
      <c r="D8932" s="4" t="n">
        <v>2021</v>
      </c>
      <c r="E8932" s="13" t="inlineStr">
        <is>
          <t>General</t>
        </is>
      </c>
      <c r="F8932" s="5" t="n">
        <v>415</v>
      </c>
      <c r="G8932" s="5" t="n">
        <v>2786</v>
      </c>
      <c r="H8932" s="5" t="n">
        <v>68</v>
      </c>
      <c r="I8932" s="5" t="n">
        <v>44</v>
      </c>
      <c r="J8932" s="5" t="n">
        <v>24</v>
      </c>
      <c r="K8932" s="10">
        <f>IF(F8932&gt;0,H8932/F8932,"")</f>
        <v/>
      </c>
      <c r="L8932" s="16">
        <f>IF(AND(G8932&gt;0,H8932&gt;0),G8932/H8932,"")</f>
        <v/>
      </c>
    </row>
    <row r="8933">
      <c r="A8933" s="4" t="inlineStr">
        <is>
          <t>216</t>
        </is>
      </c>
      <c r="B8933" s="4" t="n">
        <v>2</v>
      </c>
      <c r="C8933" s="4" t="inlineStr">
        <is>
          <t>whitetail</t>
        </is>
      </c>
      <c r="D8933" s="4" t="n">
        <v>2022</v>
      </c>
      <c r="E8933" s="13" t="inlineStr">
        <is>
          <t>General</t>
        </is>
      </c>
      <c r="F8933" s="5" t="n"/>
      <c r="G8933" s="5" t="n"/>
      <c r="H8933" s="5" t="n">
        <v>98</v>
      </c>
      <c r="I8933" s="5" t="n">
        <v>63</v>
      </c>
      <c r="J8933" s="5" t="n">
        <v>35</v>
      </c>
      <c r="K8933" s="10">
        <f>IF(F8933&gt;0,H8933/F8933,"")</f>
        <v/>
      </c>
      <c r="L8933" s="16">
        <f>IF(AND(G8933&gt;0,H8933&gt;0),G8933/H8933,"")</f>
        <v/>
      </c>
    </row>
    <row r="8934">
      <c r="A8934" s="4" t="inlineStr">
        <is>
          <t>216</t>
        </is>
      </c>
      <c r="B8934" s="4" t="n">
        <v>2</v>
      </c>
      <c r="C8934" s="4" t="inlineStr">
        <is>
          <t>whitetail</t>
        </is>
      </c>
      <c r="D8934" s="4" t="n">
        <v>2023</v>
      </c>
      <c r="E8934" s="13" t="inlineStr">
        <is>
          <t>General</t>
        </is>
      </c>
      <c r="F8934" s="5" t="n">
        <v>476</v>
      </c>
      <c r="G8934" s="5" t="n">
        <v>2669</v>
      </c>
      <c r="H8934" s="5" t="n">
        <v>123</v>
      </c>
      <c r="I8934" s="5" t="n">
        <v>76</v>
      </c>
      <c r="J8934" s="5" t="n">
        <v>45</v>
      </c>
      <c r="K8934" s="10">
        <f>IF(F8934&gt;0,H8934/F8934,"")</f>
        <v/>
      </c>
      <c r="L8934" s="16">
        <f>IF(AND(G8934&gt;0,H8934&gt;0),G8934/H8934,"")</f>
        <v/>
      </c>
    </row>
    <row r="8935">
      <c r="A8935" s="4" t="inlineStr">
        <is>
          <t>216</t>
        </is>
      </c>
      <c r="B8935" s="4" t="n">
        <v>2</v>
      </c>
      <c r="C8935" s="4" t="inlineStr">
        <is>
          <t>whitetail</t>
        </is>
      </c>
      <c r="D8935" s="4" t="n">
        <v>2024</v>
      </c>
      <c r="E8935" s="13" t="inlineStr">
        <is>
          <t>General</t>
        </is>
      </c>
      <c r="F8935" s="5" t="n"/>
      <c r="G8935" s="5" t="n"/>
      <c r="H8935" s="5" t="n">
        <v>105</v>
      </c>
      <c r="I8935" s="5" t="n">
        <v>67</v>
      </c>
      <c r="J8935" s="5" t="n">
        <v>36</v>
      </c>
      <c r="K8935" s="10">
        <f>IF(F8935&gt;0,H8935/F8935,"")</f>
        <v/>
      </c>
      <c r="L8935" s="16">
        <f>IF(AND(G8935&gt;0,H8935&gt;0),G8935/H8935,"")</f>
        <v/>
      </c>
    </row>
    <row r="8936">
      <c r="A8936" s="4" t="inlineStr">
        <is>
          <t>216</t>
        </is>
      </c>
      <c r="B8936" s="4" t="n">
        <v>2</v>
      </c>
      <c r="C8936" s="4" t="inlineStr">
        <is>
          <t>whitetail</t>
        </is>
      </c>
      <c r="D8936" s="4" t="n">
        <v>2025</v>
      </c>
      <c r="E8936" s="13" t="inlineStr">
        <is>
          <t>General</t>
        </is>
      </c>
      <c r="F8936" s="5" t="n">
        <v>500</v>
      </c>
      <c r="G8936" s="5" t="n">
        <v>3705</v>
      </c>
      <c r="H8936" s="5" t="n">
        <v>52</v>
      </c>
      <c r="I8936" s="5" t="n">
        <v>21</v>
      </c>
      <c r="J8936" s="5" t="n">
        <v>31</v>
      </c>
      <c r="K8936" s="10">
        <f>IF(F8936&gt;0,H8936/F8936,"")</f>
        <v/>
      </c>
      <c r="L8936" s="16">
        <f>IF(AND(G8936&gt;0,H8936&gt;0),G8936/H8936,"")</f>
        <v/>
      </c>
    </row>
    <row r="8937">
      <c r="A8937" s="4" t="inlineStr">
        <is>
          <t>217</t>
        </is>
      </c>
      <c r="B8937" s="4" t="n">
        <v>2</v>
      </c>
      <c r="C8937" s="4" t="inlineStr">
        <is>
          <t>whitetail</t>
        </is>
      </c>
      <c r="D8937" s="4" t="n">
        <v>2016</v>
      </c>
      <c r="E8937" s="13" t="inlineStr">
        <is>
          <t>General</t>
        </is>
      </c>
      <c r="F8937" s="5" t="n"/>
      <c r="G8937" s="5" t="n"/>
      <c r="H8937" s="5" t="n">
        <v>70</v>
      </c>
      <c r="I8937" s="5" t="n">
        <v>61</v>
      </c>
      <c r="J8937" s="5" t="n">
        <v>9</v>
      </c>
      <c r="K8937" s="10">
        <f>IF(F8937&gt;0,H8937/F8937,"")</f>
        <v/>
      </c>
      <c r="L8937" s="16">
        <f>IF(AND(G8937&gt;0,H8937&gt;0),G8937/H8937,"")</f>
        <v/>
      </c>
    </row>
    <row r="8938">
      <c r="A8938" s="4" t="inlineStr">
        <is>
          <t>217</t>
        </is>
      </c>
      <c r="B8938" s="4" t="n">
        <v>2</v>
      </c>
      <c r="C8938" s="4" t="inlineStr">
        <is>
          <t>whitetail</t>
        </is>
      </c>
      <c r="D8938" s="4" t="n">
        <v>2017</v>
      </c>
      <c r="E8938" s="13" t="inlineStr">
        <is>
          <t>General</t>
        </is>
      </c>
      <c r="F8938" s="5" t="n">
        <v>355</v>
      </c>
      <c r="G8938" s="5" t="n">
        <v>1761</v>
      </c>
      <c r="H8938" s="5" t="n">
        <v>103</v>
      </c>
      <c r="I8938" s="5" t="n">
        <v>77</v>
      </c>
      <c r="J8938" s="5" t="n">
        <v>27</v>
      </c>
      <c r="K8938" s="10">
        <f>IF(F8938&gt;0,H8938/F8938,"")</f>
        <v/>
      </c>
      <c r="L8938" s="16">
        <f>IF(AND(G8938&gt;0,H8938&gt;0),G8938/H8938,"")</f>
        <v/>
      </c>
    </row>
    <row r="8939">
      <c r="A8939" s="4" t="inlineStr">
        <is>
          <t>217</t>
        </is>
      </c>
      <c r="B8939" s="4" t="n">
        <v>2</v>
      </c>
      <c r="C8939" s="4" t="inlineStr">
        <is>
          <t>whitetail</t>
        </is>
      </c>
      <c r="D8939" s="4" t="n">
        <v>2018</v>
      </c>
      <c r="E8939" s="13" t="inlineStr">
        <is>
          <t>General</t>
        </is>
      </c>
      <c r="F8939" s="5" t="n"/>
      <c r="G8939" s="5" t="n"/>
      <c r="H8939" s="5" t="n">
        <v>180</v>
      </c>
      <c r="I8939" s="5" t="n">
        <v>87</v>
      </c>
      <c r="J8939" s="5" t="n">
        <v>90</v>
      </c>
      <c r="K8939" s="10">
        <f>IF(F8939&gt;0,H8939/F8939,"")</f>
        <v/>
      </c>
      <c r="L8939" s="16">
        <f>IF(AND(G8939&gt;0,H8939&gt;0),G8939/H8939,"")</f>
        <v/>
      </c>
    </row>
    <row r="8940">
      <c r="A8940" s="4" t="inlineStr">
        <is>
          <t>217</t>
        </is>
      </c>
      <c r="B8940" s="4" t="n">
        <v>2</v>
      </c>
      <c r="C8940" s="4" t="inlineStr">
        <is>
          <t>whitetail</t>
        </is>
      </c>
      <c r="D8940" s="4" t="n">
        <v>2019</v>
      </c>
      <c r="E8940" s="13" t="inlineStr">
        <is>
          <t>General</t>
        </is>
      </c>
      <c r="F8940" s="5" t="n">
        <v>383</v>
      </c>
      <c r="G8940" s="5" t="n">
        <v>2640</v>
      </c>
      <c r="H8940" s="5" t="n">
        <v>108</v>
      </c>
      <c r="I8940" s="5" t="n">
        <v>42</v>
      </c>
      <c r="J8940" s="5" t="n">
        <v>66</v>
      </c>
      <c r="K8940" s="10">
        <f>IF(F8940&gt;0,H8940/F8940,"")</f>
        <v/>
      </c>
      <c r="L8940" s="16">
        <f>IF(AND(G8940&gt;0,H8940&gt;0),G8940/H8940,"")</f>
        <v/>
      </c>
    </row>
    <row r="8941">
      <c r="A8941" s="4" t="inlineStr">
        <is>
          <t>217</t>
        </is>
      </c>
      <c r="B8941" s="4" t="n">
        <v>2</v>
      </c>
      <c r="C8941" s="4" t="inlineStr">
        <is>
          <t>whitetail</t>
        </is>
      </c>
      <c r="D8941" s="4" t="n">
        <v>2020</v>
      </c>
      <c r="E8941" s="13" t="inlineStr">
        <is>
          <t>General</t>
        </is>
      </c>
      <c r="F8941" s="5" t="n"/>
      <c r="G8941" s="5" t="n"/>
      <c r="H8941" s="5" t="n">
        <v>122</v>
      </c>
      <c r="I8941" s="5" t="n">
        <v>50</v>
      </c>
      <c r="J8941" s="5" t="n">
        <v>72</v>
      </c>
      <c r="K8941" s="10">
        <f>IF(F8941&gt;0,H8941/F8941,"")</f>
        <v/>
      </c>
      <c r="L8941" s="16">
        <f>IF(AND(G8941&gt;0,H8941&gt;0),G8941/H8941,"")</f>
        <v/>
      </c>
    </row>
    <row r="8942">
      <c r="A8942" s="4" t="inlineStr">
        <is>
          <t>217</t>
        </is>
      </c>
      <c r="B8942" s="4" t="n">
        <v>2</v>
      </c>
      <c r="C8942" s="4" t="inlineStr">
        <is>
          <t>whitetail</t>
        </is>
      </c>
      <c r="D8942" s="4" t="n">
        <v>2021</v>
      </c>
      <c r="E8942" s="13" t="inlineStr">
        <is>
          <t>General</t>
        </is>
      </c>
      <c r="F8942" s="5" t="n">
        <v>401</v>
      </c>
      <c r="G8942" s="5" t="n">
        <v>2834</v>
      </c>
      <c r="H8942" s="5" t="n">
        <v>88</v>
      </c>
      <c r="I8942" s="5" t="n">
        <v>41</v>
      </c>
      <c r="J8942" s="5" t="n">
        <v>43</v>
      </c>
      <c r="K8942" s="10">
        <f>IF(F8942&gt;0,H8942/F8942,"")</f>
        <v/>
      </c>
      <c r="L8942" s="16">
        <f>IF(AND(G8942&gt;0,H8942&gt;0),G8942/H8942,"")</f>
        <v/>
      </c>
    </row>
    <row r="8943">
      <c r="A8943" s="4" t="inlineStr">
        <is>
          <t>217</t>
        </is>
      </c>
      <c r="B8943" s="4" t="n">
        <v>2</v>
      </c>
      <c r="C8943" s="4" t="inlineStr">
        <is>
          <t>whitetail</t>
        </is>
      </c>
      <c r="D8943" s="4" t="n">
        <v>2022</v>
      </c>
      <c r="E8943" s="13" t="inlineStr">
        <is>
          <t>General</t>
        </is>
      </c>
      <c r="F8943" s="5" t="n"/>
      <c r="G8943" s="5" t="n"/>
      <c r="H8943" s="5" t="n">
        <v>114</v>
      </c>
      <c r="I8943" s="5" t="n">
        <v>41</v>
      </c>
      <c r="J8943" s="5" t="n">
        <v>73</v>
      </c>
      <c r="K8943" s="10">
        <f>IF(F8943&gt;0,H8943/F8943,"")</f>
        <v/>
      </c>
      <c r="L8943" s="16">
        <f>IF(AND(G8943&gt;0,H8943&gt;0),G8943/H8943,"")</f>
        <v/>
      </c>
    </row>
    <row r="8944">
      <c r="A8944" s="4" t="inlineStr">
        <is>
          <t>217</t>
        </is>
      </c>
      <c r="B8944" s="4" t="n">
        <v>2</v>
      </c>
      <c r="C8944" s="4" t="inlineStr">
        <is>
          <t>whitetail</t>
        </is>
      </c>
      <c r="D8944" s="4" t="n">
        <v>2023</v>
      </c>
      <c r="E8944" s="13" t="inlineStr">
        <is>
          <t>General</t>
        </is>
      </c>
      <c r="F8944" s="5" t="n">
        <v>508</v>
      </c>
      <c r="G8944" s="5" t="n">
        <v>3229</v>
      </c>
      <c r="H8944" s="5" t="n">
        <v>105</v>
      </c>
      <c r="I8944" s="5" t="n">
        <v>70</v>
      </c>
      <c r="J8944" s="5" t="n">
        <v>36</v>
      </c>
      <c r="K8944" s="10">
        <f>IF(F8944&gt;0,H8944/F8944,"")</f>
        <v/>
      </c>
      <c r="L8944" s="16">
        <f>IF(AND(G8944&gt;0,H8944&gt;0),G8944/H8944,"")</f>
        <v/>
      </c>
    </row>
    <row r="8945">
      <c r="A8945" s="4" t="inlineStr">
        <is>
          <t>217</t>
        </is>
      </c>
      <c r="B8945" s="4" t="n">
        <v>2</v>
      </c>
      <c r="C8945" s="4" t="inlineStr">
        <is>
          <t>whitetail</t>
        </is>
      </c>
      <c r="D8945" s="4" t="n">
        <v>2024</v>
      </c>
      <c r="E8945" s="13" t="inlineStr">
        <is>
          <t>General</t>
        </is>
      </c>
      <c r="F8945" s="5" t="n"/>
      <c r="G8945" s="5" t="n"/>
      <c r="H8945" s="5" t="n">
        <v>97</v>
      </c>
      <c r="I8945" s="5" t="n">
        <v>46</v>
      </c>
      <c r="J8945" s="5" t="n">
        <v>51</v>
      </c>
      <c r="K8945" s="10">
        <f>IF(F8945&gt;0,H8945/F8945,"")</f>
        <v/>
      </c>
      <c r="L8945" s="16">
        <f>IF(AND(G8945&gt;0,H8945&gt;0),G8945/H8945,"")</f>
        <v/>
      </c>
    </row>
    <row r="8946">
      <c r="A8946" s="4" t="inlineStr">
        <is>
          <t>217</t>
        </is>
      </c>
      <c r="B8946" s="4" t="n">
        <v>2</v>
      </c>
      <c r="C8946" s="4" t="inlineStr">
        <is>
          <t>whitetail</t>
        </is>
      </c>
      <c r="D8946" s="4" t="n">
        <v>2025</v>
      </c>
      <c r="E8946" s="13" t="inlineStr">
        <is>
          <t>General</t>
        </is>
      </c>
      <c r="F8946" s="5" t="n">
        <v>486</v>
      </c>
      <c r="G8946" s="5" t="n">
        <v>3268</v>
      </c>
      <c r="H8946" s="5" t="n">
        <v>98</v>
      </c>
      <c r="I8946" s="5" t="n">
        <v>49</v>
      </c>
      <c r="J8946" s="5" t="n">
        <v>50</v>
      </c>
      <c r="K8946" s="10">
        <f>IF(F8946&gt;0,H8946/F8946,"")</f>
        <v/>
      </c>
      <c r="L8946" s="16">
        <f>IF(AND(G8946&gt;0,H8946&gt;0),G8946/H8946,"")</f>
        <v/>
      </c>
    </row>
    <row r="8947">
      <c r="A8947" s="4" t="inlineStr">
        <is>
          <t>240</t>
        </is>
      </c>
      <c r="B8947" s="4" t="n">
        <v>2</v>
      </c>
      <c r="C8947" s="4" t="inlineStr">
        <is>
          <t>whitetail</t>
        </is>
      </c>
      <c r="D8947" s="4" t="n">
        <v>2004</v>
      </c>
      <c r="E8947" s="13" t="inlineStr">
        <is>
          <t>General</t>
        </is>
      </c>
      <c r="F8947" s="5" t="n">
        <v>2179</v>
      </c>
      <c r="G8947" s="5" t="n">
        <v>12786</v>
      </c>
      <c r="H8947" s="5" t="n">
        <v>795</v>
      </c>
      <c r="I8947" s="5" t="n">
        <v>499</v>
      </c>
      <c r="J8947" s="5" t="n">
        <v>277</v>
      </c>
      <c r="K8947" s="10">
        <f>IF(F8947&gt;0,H8947/F8947,"")</f>
        <v/>
      </c>
      <c r="L8947" s="16">
        <f>IF(AND(G8947&gt;0,H8947&gt;0),G8947/H8947,"")</f>
        <v/>
      </c>
    </row>
    <row r="8948">
      <c r="A8948" s="4" t="inlineStr">
        <is>
          <t>240</t>
        </is>
      </c>
      <c r="B8948" s="4" t="n">
        <v>2</v>
      </c>
      <c r="C8948" s="4" t="inlineStr">
        <is>
          <t>whitetail</t>
        </is>
      </c>
      <c r="D8948" s="4" t="n">
        <v>2005</v>
      </c>
      <c r="E8948" s="13" t="inlineStr">
        <is>
          <t>General</t>
        </is>
      </c>
      <c r="F8948" s="5" t="n">
        <v>2443</v>
      </c>
      <c r="G8948" s="5" t="n">
        <v>13841</v>
      </c>
      <c r="H8948" s="5" t="n">
        <v>1015</v>
      </c>
      <c r="I8948" s="5" t="n">
        <v>643</v>
      </c>
      <c r="J8948" s="5" t="n">
        <v>349</v>
      </c>
      <c r="K8948" s="10">
        <f>IF(F8948&gt;0,H8948/F8948,"")</f>
        <v/>
      </c>
      <c r="L8948" s="16">
        <f>IF(AND(G8948&gt;0,H8948&gt;0),G8948/H8948,"")</f>
        <v/>
      </c>
    </row>
    <row r="8949">
      <c r="A8949" s="4" t="inlineStr">
        <is>
          <t>240</t>
        </is>
      </c>
      <c r="B8949" s="4" t="n">
        <v>2</v>
      </c>
      <c r="C8949" s="4" t="inlineStr">
        <is>
          <t>whitetail</t>
        </is>
      </c>
      <c r="D8949" s="4" t="n">
        <v>2006</v>
      </c>
      <c r="E8949" s="13" t="inlineStr">
        <is>
          <t>General</t>
        </is>
      </c>
      <c r="F8949" s="5" t="n">
        <v>2633</v>
      </c>
      <c r="G8949" s="5" t="n">
        <v>16635</v>
      </c>
      <c r="H8949" s="5" t="n">
        <v>1159</v>
      </c>
      <c r="I8949" s="5" t="n">
        <v>586</v>
      </c>
      <c r="J8949" s="5" t="n">
        <v>562</v>
      </c>
      <c r="K8949" s="10">
        <f>IF(F8949&gt;0,H8949/F8949,"")</f>
        <v/>
      </c>
      <c r="L8949" s="16">
        <f>IF(AND(G8949&gt;0,H8949&gt;0),G8949/H8949,"")</f>
        <v/>
      </c>
    </row>
    <row r="8950">
      <c r="A8950" s="4" t="inlineStr">
        <is>
          <t>240</t>
        </is>
      </c>
      <c r="B8950" s="4" t="n">
        <v>2</v>
      </c>
      <c r="C8950" s="4" t="inlineStr">
        <is>
          <t>whitetail</t>
        </is>
      </c>
      <c r="D8950" s="4" t="n">
        <v>2007</v>
      </c>
      <c r="E8950" s="13" t="inlineStr">
        <is>
          <t>General</t>
        </is>
      </c>
      <c r="F8950" s="5" t="n">
        <v>2456</v>
      </c>
      <c r="G8950" s="5" t="n">
        <v>15158</v>
      </c>
      <c r="H8950" s="5" t="n">
        <v>888</v>
      </c>
      <c r="I8950" s="5" t="n">
        <v>453</v>
      </c>
      <c r="J8950" s="5" t="n">
        <v>430</v>
      </c>
      <c r="K8950" s="10">
        <f>IF(F8950&gt;0,H8950/F8950,"")</f>
        <v/>
      </c>
      <c r="L8950" s="16">
        <f>IF(AND(G8950&gt;0,H8950&gt;0),G8950/H8950,"")</f>
        <v/>
      </c>
    </row>
    <row r="8951">
      <c r="A8951" s="4" t="inlineStr">
        <is>
          <t>240</t>
        </is>
      </c>
      <c r="B8951" s="4" t="n">
        <v>2</v>
      </c>
      <c r="C8951" s="4" t="inlineStr">
        <is>
          <t>whitetail</t>
        </is>
      </c>
      <c r="D8951" s="4" t="n">
        <v>2008</v>
      </c>
      <c r="E8951" s="13" t="inlineStr">
        <is>
          <t>General</t>
        </is>
      </c>
      <c r="F8951" s="5" t="n">
        <v>2400</v>
      </c>
      <c r="G8951" s="5" t="n">
        <v>18046</v>
      </c>
      <c r="H8951" s="5" t="n">
        <v>812</v>
      </c>
      <c r="I8951" s="5" t="n">
        <v>424</v>
      </c>
      <c r="J8951" s="5" t="n">
        <v>382</v>
      </c>
      <c r="K8951" s="10">
        <f>IF(F8951&gt;0,H8951/F8951,"")</f>
        <v/>
      </c>
      <c r="L8951" s="16">
        <f>IF(AND(G8951&gt;0,H8951&gt;0),G8951/H8951,"")</f>
        <v/>
      </c>
    </row>
    <row r="8952">
      <c r="A8952" s="4" t="inlineStr">
        <is>
          <t>240</t>
        </is>
      </c>
      <c r="B8952" s="4" t="n">
        <v>2</v>
      </c>
      <c r="C8952" s="4" t="inlineStr">
        <is>
          <t>whitetail</t>
        </is>
      </c>
      <c r="D8952" s="4" t="n">
        <v>2009</v>
      </c>
      <c r="E8952" s="13" t="inlineStr">
        <is>
          <t>General</t>
        </is>
      </c>
      <c r="F8952" s="5" t="n">
        <v>2144</v>
      </c>
      <c r="G8952" s="5" t="n">
        <v>13710</v>
      </c>
      <c r="H8952" s="5" t="n">
        <v>600</v>
      </c>
      <c r="I8952" s="5" t="n">
        <v>413</v>
      </c>
      <c r="J8952" s="5" t="n">
        <v>178</v>
      </c>
      <c r="K8952" s="10">
        <f>IF(F8952&gt;0,H8952/F8952,"")</f>
        <v/>
      </c>
      <c r="L8952" s="16">
        <f>IF(AND(G8952&gt;0,H8952&gt;0),G8952/H8952,"")</f>
        <v/>
      </c>
    </row>
    <row r="8953">
      <c r="A8953" s="4" t="inlineStr">
        <is>
          <t>240</t>
        </is>
      </c>
      <c r="B8953" s="4" t="n">
        <v>2</v>
      </c>
      <c r="C8953" s="4" t="inlineStr">
        <is>
          <t>whitetail</t>
        </is>
      </c>
      <c r="D8953" s="4" t="n">
        <v>2010</v>
      </c>
      <c r="E8953" s="13" t="inlineStr">
        <is>
          <t>General</t>
        </is>
      </c>
      <c r="F8953" s="5" t="n">
        <v>2007</v>
      </c>
      <c r="G8953" s="5" t="n">
        <v>13027</v>
      </c>
      <c r="H8953" s="5" t="n">
        <v>702</v>
      </c>
      <c r="I8953" s="5" t="n">
        <v>443</v>
      </c>
      <c r="J8953" s="5" t="n">
        <v>248</v>
      </c>
      <c r="K8953" s="10">
        <f>IF(F8953&gt;0,H8953/F8953,"")</f>
        <v/>
      </c>
      <c r="L8953" s="16">
        <f>IF(AND(G8953&gt;0,H8953&gt;0),G8953/H8953,"")</f>
        <v/>
      </c>
    </row>
    <row r="8954">
      <c r="A8954" s="4" t="inlineStr">
        <is>
          <t>240</t>
        </is>
      </c>
      <c r="B8954" s="4" t="n">
        <v>2</v>
      </c>
      <c r="C8954" s="4" t="inlineStr">
        <is>
          <t>whitetail</t>
        </is>
      </c>
      <c r="D8954" s="4" t="n">
        <v>2011</v>
      </c>
      <c r="E8954" s="13" t="inlineStr">
        <is>
          <t>General</t>
        </is>
      </c>
      <c r="F8954" s="5" t="n">
        <v>2107</v>
      </c>
      <c r="G8954" s="5" t="n">
        <v>14230</v>
      </c>
      <c r="H8954" s="5" t="n">
        <v>648</v>
      </c>
      <c r="I8954" s="5" t="n">
        <v>353</v>
      </c>
      <c r="J8954" s="5" t="n">
        <v>278</v>
      </c>
      <c r="K8954" s="10">
        <f>IF(F8954&gt;0,H8954/F8954,"")</f>
        <v/>
      </c>
      <c r="L8954" s="16">
        <f>IF(AND(G8954&gt;0,H8954&gt;0),G8954/H8954,"")</f>
        <v/>
      </c>
    </row>
    <row r="8955">
      <c r="A8955" s="4" t="inlineStr">
        <is>
          <t>240</t>
        </is>
      </c>
      <c r="B8955" s="4" t="n">
        <v>2</v>
      </c>
      <c r="C8955" s="4" t="inlineStr">
        <is>
          <t>whitetail</t>
        </is>
      </c>
      <c r="D8955" s="4" t="n">
        <v>2012</v>
      </c>
      <c r="E8955" s="13" t="inlineStr">
        <is>
          <t>General</t>
        </is>
      </c>
      <c r="F8955" s="5" t="n"/>
      <c r="G8955" s="5" t="n"/>
      <c r="H8955" s="5" t="n">
        <v>795</v>
      </c>
      <c r="I8955" s="5" t="n">
        <v>470</v>
      </c>
      <c r="J8955" s="5" t="n">
        <v>311</v>
      </c>
      <c r="K8955" s="10">
        <f>IF(F8955&gt;0,H8955/F8955,"")</f>
        <v/>
      </c>
      <c r="L8955" s="16">
        <f>IF(AND(G8955&gt;0,H8955&gt;0),G8955/H8955,"")</f>
        <v/>
      </c>
    </row>
    <row r="8956">
      <c r="A8956" s="4" t="inlineStr">
        <is>
          <t>240</t>
        </is>
      </c>
      <c r="B8956" s="4" t="n">
        <v>2</v>
      </c>
      <c r="C8956" s="4" t="inlineStr">
        <is>
          <t>whitetail</t>
        </is>
      </c>
      <c r="D8956" s="4" t="n">
        <v>2013</v>
      </c>
      <c r="E8956" s="13" t="inlineStr">
        <is>
          <t>General</t>
        </is>
      </c>
      <c r="F8956" s="5" t="n">
        <v>2153</v>
      </c>
      <c r="G8956" s="5" t="n">
        <v>13159</v>
      </c>
      <c r="H8956" s="5" t="n">
        <v>669</v>
      </c>
      <c r="I8956" s="5" t="n">
        <v>448</v>
      </c>
      <c r="J8956" s="5" t="n">
        <v>217</v>
      </c>
      <c r="K8956" s="10">
        <f>IF(F8956&gt;0,H8956/F8956,"")</f>
        <v/>
      </c>
      <c r="L8956" s="16">
        <f>IF(AND(G8956&gt;0,H8956&gt;0),G8956/H8956,"")</f>
        <v/>
      </c>
    </row>
    <row r="8957">
      <c r="A8957" s="4" t="inlineStr">
        <is>
          <t>240</t>
        </is>
      </c>
      <c r="B8957" s="4" t="n">
        <v>2</v>
      </c>
      <c r="C8957" s="4" t="inlineStr">
        <is>
          <t>whitetail</t>
        </is>
      </c>
      <c r="D8957" s="4" t="n">
        <v>2014</v>
      </c>
      <c r="E8957" s="13" t="inlineStr">
        <is>
          <t>General</t>
        </is>
      </c>
      <c r="F8957" s="5" t="n"/>
      <c r="G8957" s="5" t="n"/>
      <c r="H8957" s="5" t="n">
        <v>757</v>
      </c>
      <c r="I8957" s="5" t="n">
        <v>506</v>
      </c>
      <c r="J8957" s="5" t="n">
        <v>237</v>
      </c>
      <c r="K8957" s="10">
        <f>IF(F8957&gt;0,H8957/F8957,"")</f>
        <v/>
      </c>
      <c r="L8957" s="16">
        <f>IF(AND(G8957&gt;0,H8957&gt;0),G8957/H8957,"")</f>
        <v/>
      </c>
    </row>
    <row r="8958">
      <c r="A8958" s="4" t="inlineStr">
        <is>
          <t>240</t>
        </is>
      </c>
      <c r="B8958" s="4" t="n">
        <v>2</v>
      </c>
      <c r="C8958" s="4" t="inlineStr">
        <is>
          <t>whitetail</t>
        </is>
      </c>
      <c r="D8958" s="4" t="n">
        <v>2015</v>
      </c>
      <c r="E8958" s="13" t="inlineStr">
        <is>
          <t>General</t>
        </is>
      </c>
      <c r="F8958" s="5" t="n"/>
      <c r="G8958" s="5" t="n"/>
      <c r="H8958" s="5" t="n">
        <v>577</v>
      </c>
      <c r="I8958" s="5" t="n">
        <v>443</v>
      </c>
      <c r="J8958" s="5" t="n">
        <v>128</v>
      </c>
      <c r="K8958" s="10">
        <f>IF(F8958&gt;0,H8958/F8958,"")</f>
        <v/>
      </c>
      <c r="L8958" s="16">
        <f>IF(AND(G8958&gt;0,H8958&gt;0),G8958/H8958,"")</f>
        <v/>
      </c>
    </row>
    <row r="8959">
      <c r="A8959" s="4" t="inlineStr">
        <is>
          <t>240</t>
        </is>
      </c>
      <c r="B8959" s="4" t="n">
        <v>2</v>
      </c>
      <c r="C8959" s="4" t="inlineStr">
        <is>
          <t>whitetail</t>
        </is>
      </c>
      <c r="D8959" s="4" t="n">
        <v>2016</v>
      </c>
      <c r="E8959" s="13" t="inlineStr">
        <is>
          <t>General</t>
        </is>
      </c>
      <c r="F8959" s="5" t="n"/>
      <c r="G8959" s="5" t="n"/>
      <c r="H8959" s="5" t="n">
        <v>865</v>
      </c>
      <c r="I8959" s="5" t="n">
        <v>623</v>
      </c>
      <c r="J8959" s="5" t="n">
        <v>229</v>
      </c>
      <c r="K8959" s="10">
        <f>IF(F8959&gt;0,H8959/F8959,"")</f>
        <v/>
      </c>
      <c r="L8959" s="16">
        <f>IF(AND(G8959&gt;0,H8959&gt;0),G8959/H8959,"")</f>
        <v/>
      </c>
    </row>
    <row r="8960">
      <c r="A8960" s="4" t="inlineStr">
        <is>
          <t>240</t>
        </is>
      </c>
      <c r="B8960" s="4" t="n">
        <v>2</v>
      </c>
      <c r="C8960" s="4" t="inlineStr">
        <is>
          <t>whitetail</t>
        </is>
      </c>
      <c r="D8960" s="4" t="n">
        <v>2017</v>
      </c>
      <c r="E8960" s="13" t="inlineStr">
        <is>
          <t>General</t>
        </is>
      </c>
      <c r="F8960" s="5" t="n">
        <v>2111</v>
      </c>
      <c r="G8960" s="5" t="n">
        <v>13906</v>
      </c>
      <c r="H8960" s="5" t="n">
        <v>723</v>
      </c>
      <c r="I8960" s="5" t="n">
        <v>522</v>
      </c>
      <c r="J8960" s="5" t="n">
        <v>198</v>
      </c>
      <c r="K8960" s="10">
        <f>IF(F8960&gt;0,H8960/F8960,"")</f>
        <v/>
      </c>
      <c r="L8960" s="16">
        <f>IF(AND(G8960&gt;0,H8960&gt;0),G8960/H8960,"")</f>
        <v/>
      </c>
    </row>
    <row r="8961">
      <c r="A8961" s="4" t="inlineStr">
        <is>
          <t>240</t>
        </is>
      </c>
      <c r="B8961" s="4" t="n">
        <v>2</v>
      </c>
      <c r="C8961" s="4" t="inlineStr">
        <is>
          <t>whitetail</t>
        </is>
      </c>
      <c r="D8961" s="4" t="n">
        <v>2018</v>
      </c>
      <c r="E8961" s="13" t="inlineStr">
        <is>
          <t>General</t>
        </is>
      </c>
      <c r="F8961" s="5" t="n"/>
      <c r="G8961" s="5" t="n"/>
      <c r="H8961" s="5" t="n">
        <v>719</v>
      </c>
      <c r="I8961" s="5" t="n">
        <v>511</v>
      </c>
      <c r="J8961" s="5" t="n">
        <v>202</v>
      </c>
      <c r="K8961" s="10">
        <f>IF(F8961&gt;0,H8961/F8961,"")</f>
        <v/>
      </c>
      <c r="L8961" s="16">
        <f>IF(AND(G8961&gt;0,H8961&gt;0),G8961/H8961,"")</f>
        <v/>
      </c>
    </row>
    <row r="8962">
      <c r="A8962" s="4" t="inlineStr">
        <is>
          <t>240</t>
        </is>
      </c>
      <c r="B8962" s="4" t="n">
        <v>2</v>
      </c>
      <c r="C8962" s="4" t="inlineStr">
        <is>
          <t>whitetail</t>
        </is>
      </c>
      <c r="D8962" s="4" t="n">
        <v>2019</v>
      </c>
      <c r="E8962" s="13" t="inlineStr">
        <is>
          <t>General</t>
        </is>
      </c>
      <c r="F8962" s="5" t="n">
        <v>2006</v>
      </c>
      <c r="G8962" s="5" t="n">
        <v>14554</v>
      </c>
      <c r="H8962" s="5" t="n">
        <v>592</v>
      </c>
      <c r="I8962" s="5" t="n">
        <v>415</v>
      </c>
      <c r="J8962" s="5" t="n">
        <v>177</v>
      </c>
      <c r="K8962" s="10">
        <f>IF(F8962&gt;0,H8962/F8962,"")</f>
        <v/>
      </c>
      <c r="L8962" s="16">
        <f>IF(AND(G8962&gt;0,H8962&gt;0),G8962/H8962,"")</f>
        <v/>
      </c>
    </row>
    <row r="8963">
      <c r="A8963" s="4" t="inlineStr">
        <is>
          <t>240</t>
        </is>
      </c>
      <c r="B8963" s="4" t="n">
        <v>2</v>
      </c>
      <c r="C8963" s="4" t="inlineStr">
        <is>
          <t>whitetail</t>
        </is>
      </c>
      <c r="D8963" s="4" t="n">
        <v>2020</v>
      </c>
      <c r="E8963" s="13" t="inlineStr">
        <is>
          <t>General</t>
        </is>
      </c>
      <c r="F8963" s="5" t="n"/>
      <c r="G8963" s="5" t="n"/>
      <c r="H8963" s="5" t="n">
        <v>798</v>
      </c>
      <c r="I8963" s="5" t="n">
        <v>570</v>
      </c>
      <c r="J8963" s="5" t="n">
        <v>218</v>
      </c>
      <c r="K8963" s="10">
        <f>IF(F8963&gt;0,H8963/F8963,"")</f>
        <v/>
      </c>
      <c r="L8963" s="16">
        <f>IF(AND(G8963&gt;0,H8963&gt;0),G8963/H8963,"")</f>
        <v/>
      </c>
    </row>
    <row r="8964">
      <c r="A8964" s="4" t="inlineStr">
        <is>
          <t>240</t>
        </is>
      </c>
      <c r="B8964" s="4" t="n">
        <v>2</v>
      </c>
      <c r="C8964" s="4" t="inlineStr">
        <is>
          <t>whitetail</t>
        </is>
      </c>
      <c r="D8964" s="4" t="n">
        <v>2021</v>
      </c>
      <c r="E8964" s="13" t="inlineStr">
        <is>
          <t>General</t>
        </is>
      </c>
      <c r="F8964" s="5" t="n">
        <v>1993</v>
      </c>
      <c r="G8964" s="5" t="n">
        <v>12889</v>
      </c>
      <c r="H8964" s="5" t="n">
        <v>763</v>
      </c>
      <c r="I8964" s="5" t="n">
        <v>584</v>
      </c>
      <c r="J8964" s="5" t="n">
        <v>179</v>
      </c>
      <c r="K8964" s="10">
        <f>IF(F8964&gt;0,H8964/F8964,"")</f>
        <v/>
      </c>
      <c r="L8964" s="16">
        <f>IF(AND(G8964&gt;0,H8964&gt;0),G8964/H8964,"")</f>
        <v/>
      </c>
    </row>
    <row r="8965">
      <c r="A8965" s="4" t="inlineStr">
        <is>
          <t>240</t>
        </is>
      </c>
      <c r="B8965" s="4" t="n">
        <v>2</v>
      </c>
      <c r="C8965" s="4" t="inlineStr">
        <is>
          <t>whitetail</t>
        </is>
      </c>
      <c r="D8965" s="4" t="n">
        <v>2022</v>
      </c>
      <c r="E8965" s="13" t="inlineStr">
        <is>
          <t>General</t>
        </is>
      </c>
      <c r="F8965" s="5" t="n"/>
      <c r="G8965" s="5" t="n"/>
      <c r="H8965" s="5" t="n">
        <v>763</v>
      </c>
      <c r="I8965" s="5" t="n">
        <v>541</v>
      </c>
      <c r="J8965" s="5" t="n">
        <v>223</v>
      </c>
      <c r="K8965" s="10">
        <f>IF(F8965&gt;0,H8965/F8965,"")</f>
        <v/>
      </c>
      <c r="L8965" s="16">
        <f>IF(AND(G8965&gt;0,H8965&gt;0),G8965/H8965,"")</f>
        <v/>
      </c>
    </row>
    <row r="8966">
      <c r="A8966" s="4" t="inlineStr">
        <is>
          <t>240</t>
        </is>
      </c>
      <c r="B8966" s="4" t="n">
        <v>2</v>
      </c>
      <c r="C8966" s="4" t="inlineStr">
        <is>
          <t>whitetail</t>
        </is>
      </c>
      <c r="D8966" s="4" t="n">
        <v>2023</v>
      </c>
      <c r="E8966" s="13" t="inlineStr">
        <is>
          <t>General</t>
        </is>
      </c>
      <c r="F8966" s="5" t="n">
        <v>2226</v>
      </c>
      <c r="G8966" s="5" t="n">
        <v>15797</v>
      </c>
      <c r="H8966" s="5" t="n">
        <v>871</v>
      </c>
      <c r="I8966" s="5" t="n">
        <v>621</v>
      </c>
      <c r="J8966" s="5" t="n">
        <v>247</v>
      </c>
      <c r="K8966" s="10">
        <f>IF(F8966&gt;0,H8966/F8966,"")</f>
        <v/>
      </c>
      <c r="L8966" s="16">
        <f>IF(AND(G8966&gt;0,H8966&gt;0),G8966/H8966,"")</f>
        <v/>
      </c>
    </row>
    <row r="8967">
      <c r="A8967" s="4" t="inlineStr">
        <is>
          <t>240</t>
        </is>
      </c>
      <c r="B8967" s="4" t="n">
        <v>2</v>
      </c>
      <c r="C8967" s="4" t="inlineStr">
        <is>
          <t>whitetail</t>
        </is>
      </c>
      <c r="D8967" s="4" t="n">
        <v>2024</v>
      </c>
      <c r="E8967" s="13" t="inlineStr">
        <is>
          <t>General</t>
        </is>
      </c>
      <c r="F8967" s="5" t="n"/>
      <c r="G8967" s="5" t="n"/>
      <c r="H8967" s="5" t="n">
        <v>776</v>
      </c>
      <c r="I8967" s="5" t="n">
        <v>563</v>
      </c>
      <c r="J8967" s="5" t="n">
        <v>213</v>
      </c>
      <c r="K8967" s="10">
        <f>IF(F8967&gt;0,H8967/F8967,"")</f>
        <v/>
      </c>
      <c r="L8967" s="16">
        <f>IF(AND(G8967&gt;0,H8967&gt;0),G8967/H8967,"")</f>
        <v/>
      </c>
    </row>
    <row r="8968">
      <c r="A8968" s="4" t="inlineStr">
        <is>
          <t>240</t>
        </is>
      </c>
      <c r="B8968" s="4" t="n">
        <v>2</v>
      </c>
      <c r="C8968" s="4" t="inlineStr">
        <is>
          <t>whitetail</t>
        </is>
      </c>
      <c r="D8968" s="4" t="n">
        <v>2025</v>
      </c>
      <c r="E8968" s="13" t="inlineStr">
        <is>
          <t>General</t>
        </is>
      </c>
      <c r="F8968" s="5" t="n">
        <v>2009</v>
      </c>
      <c r="G8968" s="5" t="n">
        <v>13438</v>
      </c>
      <c r="H8968" s="5" t="n">
        <v>640</v>
      </c>
      <c r="I8968" s="5" t="n">
        <v>441</v>
      </c>
      <c r="J8968" s="5" t="n">
        <v>198</v>
      </c>
      <c r="K8968" s="10">
        <f>IF(F8968&gt;0,H8968/F8968,"")</f>
        <v/>
      </c>
      <c r="L8968" s="16">
        <f>IF(AND(G8968&gt;0,H8968&gt;0),G8968/H8968,"")</f>
        <v/>
      </c>
    </row>
    <row r="8969">
      <c r="A8969" s="4" t="inlineStr">
        <is>
          <t>250</t>
        </is>
      </c>
      <c r="B8969" s="4" t="n">
        <v>2</v>
      </c>
      <c r="C8969" s="4" t="inlineStr">
        <is>
          <t>whitetail</t>
        </is>
      </c>
      <c r="D8969" s="4" t="n">
        <v>2004</v>
      </c>
      <c r="E8969" s="13" t="inlineStr">
        <is>
          <t>General</t>
        </is>
      </c>
      <c r="F8969" s="5" t="n">
        <v>1387</v>
      </c>
      <c r="G8969" s="5" t="n">
        <v>9646</v>
      </c>
      <c r="H8969" s="5" t="n">
        <v>222</v>
      </c>
      <c r="I8969" s="5" t="n">
        <v>129</v>
      </c>
      <c r="J8969" s="5" t="n">
        <v>93</v>
      </c>
      <c r="K8969" s="10">
        <f>IF(F8969&gt;0,H8969/F8969,"")</f>
        <v/>
      </c>
      <c r="L8969" s="16">
        <f>IF(AND(G8969&gt;0,H8969&gt;0),G8969/H8969,"")</f>
        <v/>
      </c>
    </row>
    <row r="8970">
      <c r="A8970" s="4" t="inlineStr">
        <is>
          <t>250</t>
        </is>
      </c>
      <c r="B8970" s="4" t="n">
        <v>2</v>
      </c>
      <c r="C8970" s="4" t="inlineStr">
        <is>
          <t>whitetail</t>
        </is>
      </c>
      <c r="D8970" s="4" t="n">
        <v>2005</v>
      </c>
      <c r="E8970" s="13" t="inlineStr">
        <is>
          <t>General</t>
        </is>
      </c>
      <c r="F8970" s="5" t="n">
        <v>1478</v>
      </c>
      <c r="G8970" s="5" t="n">
        <v>9708</v>
      </c>
      <c r="H8970" s="5" t="n">
        <v>342</v>
      </c>
      <c r="I8970" s="5" t="n">
        <v>233</v>
      </c>
      <c r="J8970" s="5" t="n">
        <v>95</v>
      </c>
      <c r="K8970" s="10">
        <f>IF(F8970&gt;0,H8970/F8970,"")</f>
        <v/>
      </c>
      <c r="L8970" s="16">
        <f>IF(AND(G8970&gt;0,H8970&gt;0),G8970/H8970,"")</f>
        <v/>
      </c>
    </row>
    <row r="8971">
      <c r="A8971" s="4" t="inlineStr">
        <is>
          <t>250</t>
        </is>
      </c>
      <c r="B8971" s="4" t="n">
        <v>2</v>
      </c>
      <c r="C8971" s="4" t="inlineStr">
        <is>
          <t>whitetail</t>
        </is>
      </c>
      <c r="D8971" s="4" t="n">
        <v>2006</v>
      </c>
      <c r="E8971" s="13" t="inlineStr">
        <is>
          <t>General</t>
        </is>
      </c>
      <c r="F8971" s="5" t="n">
        <v>1557</v>
      </c>
      <c r="G8971" s="5" t="n">
        <v>11647</v>
      </c>
      <c r="H8971" s="5" t="n">
        <v>384</v>
      </c>
      <c r="I8971" s="5" t="n">
        <v>180</v>
      </c>
      <c r="J8971" s="5" t="n">
        <v>197</v>
      </c>
      <c r="K8971" s="10">
        <f>IF(F8971&gt;0,H8971/F8971,"")</f>
        <v/>
      </c>
      <c r="L8971" s="16">
        <f>IF(AND(G8971&gt;0,H8971&gt;0),G8971/H8971,"")</f>
        <v/>
      </c>
    </row>
    <row r="8972">
      <c r="A8972" s="4" t="inlineStr">
        <is>
          <t>250</t>
        </is>
      </c>
      <c r="B8972" s="4" t="n">
        <v>2</v>
      </c>
      <c r="C8972" s="4" t="inlineStr">
        <is>
          <t>whitetail</t>
        </is>
      </c>
      <c r="D8972" s="4" t="n">
        <v>2007</v>
      </c>
      <c r="E8972" s="13" t="inlineStr">
        <is>
          <t>General</t>
        </is>
      </c>
      <c r="F8972" s="5" t="n">
        <v>1492</v>
      </c>
      <c r="G8972" s="5" t="n">
        <v>11150</v>
      </c>
      <c r="H8972" s="5" t="n">
        <v>315</v>
      </c>
      <c r="I8972" s="5" t="n">
        <v>145</v>
      </c>
      <c r="J8972" s="5" t="n">
        <v>157</v>
      </c>
      <c r="K8972" s="10">
        <f>IF(F8972&gt;0,H8972/F8972,"")</f>
        <v/>
      </c>
      <c r="L8972" s="16">
        <f>IF(AND(G8972&gt;0,H8972&gt;0),G8972/H8972,"")</f>
        <v/>
      </c>
    </row>
    <row r="8973">
      <c r="A8973" s="4" t="inlineStr">
        <is>
          <t>250</t>
        </is>
      </c>
      <c r="B8973" s="4" t="n">
        <v>2</v>
      </c>
      <c r="C8973" s="4" t="inlineStr">
        <is>
          <t>whitetail</t>
        </is>
      </c>
      <c r="D8973" s="4" t="n">
        <v>2008</v>
      </c>
      <c r="E8973" s="13" t="inlineStr">
        <is>
          <t>General</t>
        </is>
      </c>
      <c r="F8973" s="5" t="n">
        <v>1338</v>
      </c>
      <c r="G8973" s="5" t="n">
        <v>9749</v>
      </c>
      <c r="H8973" s="5" t="n">
        <v>200</v>
      </c>
      <c r="I8973" s="5" t="n">
        <v>107</v>
      </c>
      <c r="J8973" s="5" t="n">
        <v>93</v>
      </c>
      <c r="K8973" s="10">
        <f>IF(F8973&gt;0,H8973/F8973,"")</f>
        <v/>
      </c>
      <c r="L8973" s="16">
        <f>IF(AND(G8973&gt;0,H8973&gt;0),G8973/H8973,"")</f>
        <v/>
      </c>
    </row>
    <row r="8974">
      <c r="A8974" s="4" t="inlineStr">
        <is>
          <t>250</t>
        </is>
      </c>
      <c r="B8974" s="4" t="n">
        <v>2</v>
      </c>
      <c r="C8974" s="4" t="inlineStr">
        <is>
          <t>whitetail</t>
        </is>
      </c>
      <c r="D8974" s="4" t="n">
        <v>2009</v>
      </c>
      <c r="E8974" s="13" t="inlineStr">
        <is>
          <t>General</t>
        </is>
      </c>
      <c r="F8974" s="5" t="n">
        <v>881</v>
      </c>
      <c r="G8974" s="5" t="n">
        <v>7005</v>
      </c>
      <c r="H8974" s="5" t="n">
        <v>130</v>
      </c>
      <c r="I8974" s="5" t="n">
        <v>75</v>
      </c>
      <c r="J8974" s="5" t="n">
        <v>52</v>
      </c>
      <c r="K8974" s="10">
        <f>IF(F8974&gt;0,H8974/F8974,"")</f>
        <v/>
      </c>
      <c r="L8974" s="16">
        <f>IF(AND(G8974&gt;0,H8974&gt;0),G8974/H8974,"")</f>
        <v/>
      </c>
    </row>
    <row r="8975">
      <c r="A8975" s="4" t="inlineStr">
        <is>
          <t>250</t>
        </is>
      </c>
      <c r="B8975" s="4" t="n">
        <v>2</v>
      </c>
      <c r="C8975" s="4" t="inlineStr">
        <is>
          <t>whitetail</t>
        </is>
      </c>
      <c r="D8975" s="4" t="n">
        <v>2010</v>
      </c>
      <c r="E8975" s="13" t="inlineStr">
        <is>
          <t>General</t>
        </is>
      </c>
      <c r="F8975" s="5" t="n">
        <v>692</v>
      </c>
      <c r="G8975" s="5" t="n">
        <v>4507</v>
      </c>
      <c r="H8975" s="5" t="n">
        <v>196</v>
      </c>
      <c r="I8975" s="5" t="n">
        <v>126</v>
      </c>
      <c r="J8975" s="5" t="n">
        <v>70</v>
      </c>
      <c r="K8975" s="10">
        <f>IF(F8975&gt;0,H8975/F8975,"")</f>
        <v/>
      </c>
      <c r="L8975" s="16">
        <f>IF(AND(G8975&gt;0,H8975&gt;0),G8975/H8975,"")</f>
        <v/>
      </c>
    </row>
    <row r="8976">
      <c r="A8976" s="4" t="inlineStr">
        <is>
          <t>250</t>
        </is>
      </c>
      <c r="B8976" s="4" t="n">
        <v>2</v>
      </c>
      <c r="C8976" s="4" t="inlineStr">
        <is>
          <t>whitetail</t>
        </is>
      </c>
      <c r="D8976" s="4" t="n">
        <v>2011</v>
      </c>
      <c r="E8976" s="13" t="inlineStr">
        <is>
          <t>General</t>
        </is>
      </c>
      <c r="F8976" s="5" t="n">
        <v>590</v>
      </c>
      <c r="G8976" s="5" t="n">
        <v>4024</v>
      </c>
      <c r="H8976" s="5" t="n">
        <v>170</v>
      </c>
      <c r="I8976" s="5" t="n">
        <v>87</v>
      </c>
      <c r="J8976" s="5" t="n">
        <v>80</v>
      </c>
      <c r="K8976" s="10">
        <f>IF(F8976&gt;0,H8976/F8976,"")</f>
        <v/>
      </c>
      <c r="L8976" s="16">
        <f>IF(AND(G8976&gt;0,H8976&gt;0),G8976/H8976,"")</f>
        <v/>
      </c>
    </row>
    <row r="8977">
      <c r="A8977" s="4" t="inlineStr">
        <is>
          <t>250</t>
        </is>
      </c>
      <c r="B8977" s="4" t="n">
        <v>2</v>
      </c>
      <c r="C8977" s="4" t="inlineStr">
        <is>
          <t>whitetail</t>
        </is>
      </c>
      <c r="D8977" s="4" t="n">
        <v>2012</v>
      </c>
      <c r="E8977" s="13" t="inlineStr">
        <is>
          <t>General</t>
        </is>
      </c>
      <c r="F8977" s="5" t="n"/>
      <c r="G8977" s="5" t="n"/>
      <c r="H8977" s="5" t="n">
        <v>200</v>
      </c>
      <c r="I8977" s="5" t="n">
        <v>128</v>
      </c>
      <c r="J8977" s="5" t="n">
        <v>70</v>
      </c>
      <c r="K8977" s="10">
        <f>IF(F8977&gt;0,H8977/F8977,"")</f>
        <v/>
      </c>
      <c r="L8977" s="16">
        <f>IF(AND(G8977&gt;0,H8977&gt;0),G8977/H8977,"")</f>
        <v/>
      </c>
    </row>
    <row r="8978">
      <c r="A8978" s="4" t="inlineStr">
        <is>
          <t>250</t>
        </is>
      </c>
      <c r="B8978" s="4" t="n">
        <v>2</v>
      </c>
      <c r="C8978" s="4" t="inlineStr">
        <is>
          <t>whitetail</t>
        </is>
      </c>
      <c r="D8978" s="4" t="n">
        <v>2013</v>
      </c>
      <c r="E8978" s="13" t="inlineStr">
        <is>
          <t>General</t>
        </is>
      </c>
      <c r="F8978" s="5" t="n">
        <v>519</v>
      </c>
      <c r="G8978" s="5" t="n">
        <v>3702</v>
      </c>
      <c r="H8978" s="5" t="n">
        <v>166</v>
      </c>
      <c r="I8978" s="5" t="n">
        <v>101</v>
      </c>
      <c r="J8978" s="5" t="n">
        <v>62</v>
      </c>
      <c r="K8978" s="10">
        <f>IF(F8978&gt;0,H8978/F8978,"")</f>
        <v/>
      </c>
      <c r="L8978" s="16">
        <f>IF(AND(G8978&gt;0,H8978&gt;0),G8978/H8978,"")</f>
        <v/>
      </c>
    </row>
    <row r="8979">
      <c r="A8979" s="4" t="inlineStr">
        <is>
          <t>250</t>
        </is>
      </c>
      <c r="B8979" s="4" t="n">
        <v>2</v>
      </c>
      <c r="C8979" s="4" t="inlineStr">
        <is>
          <t>whitetail</t>
        </is>
      </c>
      <c r="D8979" s="4" t="n">
        <v>2014</v>
      </c>
      <c r="E8979" s="13" t="inlineStr">
        <is>
          <t>General</t>
        </is>
      </c>
      <c r="F8979" s="5" t="n"/>
      <c r="G8979" s="5" t="n"/>
      <c r="H8979" s="5" t="n">
        <v>93</v>
      </c>
      <c r="I8979" s="5" t="n">
        <v>74</v>
      </c>
      <c r="J8979" s="5" t="n">
        <v>17</v>
      </c>
      <c r="K8979" s="10">
        <f>IF(F8979&gt;0,H8979/F8979,"")</f>
        <v/>
      </c>
      <c r="L8979" s="16">
        <f>IF(AND(G8979&gt;0,H8979&gt;0),G8979/H8979,"")</f>
        <v/>
      </c>
    </row>
    <row r="8980">
      <c r="A8980" s="4" t="inlineStr">
        <is>
          <t>250</t>
        </is>
      </c>
      <c r="B8980" s="4" t="n">
        <v>2</v>
      </c>
      <c r="C8980" s="4" t="inlineStr">
        <is>
          <t>whitetail</t>
        </is>
      </c>
      <c r="D8980" s="4" t="n">
        <v>2015</v>
      </c>
      <c r="E8980" s="13" t="inlineStr">
        <is>
          <t>General</t>
        </is>
      </c>
      <c r="F8980" s="5" t="n"/>
      <c r="G8980" s="5" t="n"/>
      <c r="H8980" s="5" t="n">
        <v>68</v>
      </c>
      <c r="I8980" s="5" t="n">
        <v>46</v>
      </c>
      <c r="J8980" s="5" t="n">
        <v>19</v>
      </c>
      <c r="K8980" s="10">
        <f>IF(F8980&gt;0,H8980/F8980,"")</f>
        <v/>
      </c>
      <c r="L8980" s="16">
        <f>IF(AND(G8980&gt;0,H8980&gt;0),G8980/H8980,"")</f>
        <v/>
      </c>
    </row>
    <row r="8981">
      <c r="A8981" s="4" t="inlineStr">
        <is>
          <t>250</t>
        </is>
      </c>
      <c r="B8981" s="4" t="n">
        <v>2</v>
      </c>
      <c r="C8981" s="4" t="inlineStr">
        <is>
          <t>whitetail</t>
        </is>
      </c>
      <c r="D8981" s="4" t="n">
        <v>2016</v>
      </c>
      <c r="E8981" s="13" t="inlineStr">
        <is>
          <t>General</t>
        </is>
      </c>
      <c r="F8981" s="5" t="n"/>
      <c r="G8981" s="5" t="n"/>
      <c r="H8981" s="5" t="n">
        <v>69</v>
      </c>
      <c r="I8981" s="5" t="n">
        <v>60</v>
      </c>
      <c r="J8981" s="5" t="n">
        <v>9</v>
      </c>
      <c r="K8981" s="10">
        <f>IF(F8981&gt;0,H8981/F8981,"")</f>
        <v/>
      </c>
      <c r="L8981" s="16">
        <f>IF(AND(G8981&gt;0,H8981&gt;0),G8981/H8981,"")</f>
        <v/>
      </c>
    </row>
    <row r="8982">
      <c r="A8982" s="4" t="inlineStr">
        <is>
          <t>250</t>
        </is>
      </c>
      <c r="B8982" s="4" t="n">
        <v>2</v>
      </c>
      <c r="C8982" s="4" t="inlineStr">
        <is>
          <t>whitetail</t>
        </is>
      </c>
      <c r="D8982" s="4" t="n">
        <v>2017</v>
      </c>
      <c r="E8982" s="13" t="inlineStr">
        <is>
          <t>General</t>
        </is>
      </c>
      <c r="F8982" s="5" t="n">
        <v>252</v>
      </c>
      <c r="G8982" s="5" t="n">
        <v>1500</v>
      </c>
      <c r="H8982" s="5" t="n">
        <v>67</v>
      </c>
      <c r="I8982" s="5" t="n">
        <v>59</v>
      </c>
      <c r="J8982" s="5" t="n">
        <v>5</v>
      </c>
      <c r="K8982" s="10">
        <f>IF(F8982&gt;0,H8982/F8982,"")</f>
        <v/>
      </c>
      <c r="L8982" s="16">
        <f>IF(AND(G8982&gt;0,H8982&gt;0),G8982/H8982,"")</f>
        <v/>
      </c>
    </row>
    <row r="8983">
      <c r="A8983" s="4" t="inlineStr">
        <is>
          <t>250</t>
        </is>
      </c>
      <c r="B8983" s="4" t="n">
        <v>2</v>
      </c>
      <c r="C8983" s="4" t="inlineStr">
        <is>
          <t>whitetail</t>
        </is>
      </c>
      <c r="D8983" s="4" t="n">
        <v>2018</v>
      </c>
      <c r="E8983" s="13" t="inlineStr">
        <is>
          <t>General</t>
        </is>
      </c>
      <c r="F8983" s="5" t="n"/>
      <c r="G8983" s="5" t="n"/>
      <c r="H8983" s="5" t="n">
        <v>60</v>
      </c>
      <c r="I8983" s="5" t="n">
        <v>50</v>
      </c>
      <c r="J8983" s="5" t="n">
        <v>9</v>
      </c>
      <c r="K8983" s="10">
        <f>IF(F8983&gt;0,H8983/F8983,"")</f>
        <v/>
      </c>
      <c r="L8983" s="16">
        <f>IF(AND(G8983&gt;0,H8983&gt;0),G8983/H8983,"")</f>
        <v/>
      </c>
    </row>
    <row r="8984">
      <c r="A8984" s="4" t="inlineStr">
        <is>
          <t>250</t>
        </is>
      </c>
      <c r="B8984" s="4" t="n">
        <v>2</v>
      </c>
      <c r="C8984" s="4" t="inlineStr">
        <is>
          <t>whitetail</t>
        </is>
      </c>
      <c r="D8984" s="4" t="n">
        <v>2019</v>
      </c>
      <c r="E8984" s="13" t="inlineStr">
        <is>
          <t>General</t>
        </is>
      </c>
      <c r="F8984" s="5" t="n">
        <v>235</v>
      </c>
      <c r="G8984" s="5" t="n">
        <v>1645</v>
      </c>
      <c r="H8984" s="5" t="n">
        <v>78</v>
      </c>
      <c r="I8984" s="5" t="n">
        <v>74</v>
      </c>
      <c r="J8984" s="5" t="n">
        <v>3</v>
      </c>
      <c r="K8984" s="10">
        <f>IF(F8984&gt;0,H8984/F8984,"")</f>
        <v/>
      </c>
      <c r="L8984" s="16">
        <f>IF(AND(G8984&gt;0,H8984&gt;0),G8984/H8984,"")</f>
        <v/>
      </c>
    </row>
    <row r="8985">
      <c r="A8985" s="4" t="inlineStr">
        <is>
          <t>250</t>
        </is>
      </c>
      <c r="B8985" s="4" t="n">
        <v>2</v>
      </c>
      <c r="C8985" s="4" t="inlineStr">
        <is>
          <t>whitetail</t>
        </is>
      </c>
      <c r="D8985" s="4" t="n">
        <v>2020</v>
      </c>
      <c r="E8985" s="13" t="inlineStr">
        <is>
          <t>General</t>
        </is>
      </c>
      <c r="F8985" s="5" t="n"/>
      <c r="G8985" s="5" t="n"/>
      <c r="H8985" s="5" t="n">
        <v>86</v>
      </c>
      <c r="I8985" s="5" t="n">
        <v>82</v>
      </c>
      <c r="J8985" s="5" t="n">
        <v>3</v>
      </c>
      <c r="K8985" s="10">
        <f>IF(F8985&gt;0,H8985/F8985,"")</f>
        <v/>
      </c>
      <c r="L8985" s="16">
        <f>IF(AND(G8985&gt;0,H8985&gt;0),G8985/H8985,"")</f>
        <v/>
      </c>
    </row>
    <row r="8986">
      <c r="A8986" s="4" t="inlineStr">
        <is>
          <t>250</t>
        </is>
      </c>
      <c r="B8986" s="4" t="n">
        <v>2</v>
      </c>
      <c r="C8986" s="4" t="inlineStr">
        <is>
          <t>whitetail</t>
        </is>
      </c>
      <c r="D8986" s="4" t="n">
        <v>2021</v>
      </c>
      <c r="E8986" s="13" t="inlineStr">
        <is>
          <t>General</t>
        </is>
      </c>
      <c r="F8986" s="5" t="n">
        <v>328</v>
      </c>
      <c r="G8986" s="5" t="n">
        <v>2089</v>
      </c>
      <c r="H8986" s="5" t="n">
        <v>123</v>
      </c>
      <c r="I8986" s="5" t="n">
        <v>123</v>
      </c>
      <c r="J8986" s="5" t="n">
        <v>0</v>
      </c>
      <c r="K8986" s="10">
        <f>IF(F8986&gt;0,H8986/F8986,"")</f>
        <v/>
      </c>
      <c r="L8986" s="16">
        <f>IF(AND(G8986&gt;0,H8986&gt;0),G8986/H8986,"")</f>
        <v/>
      </c>
    </row>
    <row r="8987">
      <c r="A8987" s="4" t="inlineStr">
        <is>
          <t>250</t>
        </is>
      </c>
      <c r="B8987" s="4" t="n">
        <v>2</v>
      </c>
      <c r="C8987" s="4" t="inlineStr">
        <is>
          <t>whitetail</t>
        </is>
      </c>
      <c r="D8987" s="4" t="n">
        <v>2022</v>
      </c>
      <c r="E8987" s="13" t="inlineStr">
        <is>
          <t>General</t>
        </is>
      </c>
      <c r="F8987" s="5" t="n"/>
      <c r="G8987" s="5" t="n"/>
      <c r="H8987" s="5" t="n">
        <v>158</v>
      </c>
      <c r="I8987" s="5" t="n">
        <v>148</v>
      </c>
      <c r="J8987" s="5" t="n">
        <v>10</v>
      </c>
      <c r="K8987" s="10">
        <f>IF(F8987&gt;0,H8987/F8987,"")</f>
        <v/>
      </c>
      <c r="L8987" s="16">
        <f>IF(AND(G8987&gt;0,H8987&gt;0),G8987/H8987,"")</f>
        <v/>
      </c>
    </row>
    <row r="8988">
      <c r="A8988" s="4" t="inlineStr">
        <is>
          <t>250</t>
        </is>
      </c>
      <c r="B8988" s="4" t="n">
        <v>2</v>
      </c>
      <c r="C8988" s="4" t="inlineStr">
        <is>
          <t>whitetail</t>
        </is>
      </c>
      <c r="D8988" s="4" t="n">
        <v>2023</v>
      </c>
      <c r="E8988" s="13" t="inlineStr">
        <is>
          <t>General</t>
        </is>
      </c>
      <c r="F8988" s="5" t="n">
        <v>421</v>
      </c>
      <c r="G8988" s="5" t="n">
        <v>2640</v>
      </c>
      <c r="H8988" s="5" t="n">
        <v>165</v>
      </c>
      <c r="I8988" s="5" t="n">
        <v>144</v>
      </c>
      <c r="J8988" s="5" t="n">
        <v>21</v>
      </c>
      <c r="K8988" s="10">
        <f>IF(F8988&gt;0,H8988/F8988,"")</f>
        <v/>
      </c>
      <c r="L8988" s="16">
        <f>IF(AND(G8988&gt;0,H8988&gt;0),G8988/H8988,"")</f>
        <v/>
      </c>
    </row>
    <row r="8989">
      <c r="A8989" s="4" t="inlineStr">
        <is>
          <t>250</t>
        </is>
      </c>
      <c r="B8989" s="4" t="n">
        <v>2</v>
      </c>
      <c r="C8989" s="4" t="inlineStr">
        <is>
          <t>whitetail</t>
        </is>
      </c>
      <c r="D8989" s="4" t="n">
        <v>2024</v>
      </c>
      <c r="E8989" s="13" t="inlineStr">
        <is>
          <t>General</t>
        </is>
      </c>
      <c r="F8989" s="5" t="n"/>
      <c r="G8989" s="5" t="n"/>
      <c r="H8989" s="5" t="n">
        <v>155</v>
      </c>
      <c r="I8989" s="5" t="n">
        <v>136</v>
      </c>
      <c r="J8989" s="5" t="n">
        <v>19</v>
      </c>
      <c r="K8989" s="10">
        <f>IF(F8989&gt;0,H8989/F8989,"")</f>
        <v/>
      </c>
      <c r="L8989" s="16">
        <f>IF(AND(G8989&gt;0,H8989&gt;0),G8989/H8989,"")</f>
        <v/>
      </c>
    </row>
    <row r="8990">
      <c r="A8990" s="4" t="inlineStr">
        <is>
          <t>250</t>
        </is>
      </c>
      <c r="B8990" s="4" t="n">
        <v>2</v>
      </c>
      <c r="C8990" s="4" t="inlineStr">
        <is>
          <t>whitetail</t>
        </is>
      </c>
      <c r="D8990" s="4" t="n">
        <v>2025</v>
      </c>
      <c r="E8990" s="13" t="inlineStr">
        <is>
          <t>General</t>
        </is>
      </c>
      <c r="F8990" s="5" t="n">
        <v>449</v>
      </c>
      <c r="G8990" s="5" t="n">
        <v>3207</v>
      </c>
      <c r="H8990" s="5" t="n">
        <v>157</v>
      </c>
      <c r="I8990" s="5" t="n">
        <v>147</v>
      </c>
      <c r="J8990" s="5" t="n">
        <v>11</v>
      </c>
      <c r="K8990" s="10">
        <f>IF(F8990&gt;0,H8990/F8990,"")</f>
        <v/>
      </c>
      <c r="L8990" s="16">
        <f>IF(AND(G8990&gt;0,H8990&gt;0),G8990/H8990,"")</f>
        <v/>
      </c>
    </row>
    <row r="8991">
      <c r="A8991" s="4" t="inlineStr">
        <is>
          <t>260</t>
        </is>
      </c>
      <c r="B8991" s="4" t="n">
        <v>2</v>
      </c>
      <c r="C8991" s="4" t="inlineStr">
        <is>
          <t>whitetail</t>
        </is>
      </c>
      <c r="D8991" s="4" t="n">
        <v>2004</v>
      </c>
      <c r="E8991" s="13" t="inlineStr">
        <is>
          <t>General</t>
        </is>
      </c>
      <c r="F8991" s="5" t="n">
        <v>1103</v>
      </c>
      <c r="G8991" s="5" t="n">
        <v>10091</v>
      </c>
      <c r="H8991" s="5" t="n">
        <v>1065</v>
      </c>
      <c r="I8991" s="5" t="n">
        <v>217</v>
      </c>
      <c r="J8991" s="5" t="n">
        <v>821</v>
      </c>
      <c r="K8991" s="10">
        <f>IF(F8991&gt;0,H8991/F8991,"")</f>
        <v/>
      </c>
      <c r="L8991" s="16">
        <f>IF(AND(G8991&gt;0,H8991&gt;0),G8991/H8991,"")</f>
        <v/>
      </c>
    </row>
    <row r="8992">
      <c r="A8992" s="4" t="inlineStr">
        <is>
          <t>260</t>
        </is>
      </c>
      <c r="B8992" s="4" t="n">
        <v>2</v>
      </c>
      <c r="C8992" s="4" t="inlineStr">
        <is>
          <t>whitetail</t>
        </is>
      </c>
      <c r="D8992" s="4" t="n">
        <v>2005</v>
      </c>
      <c r="E8992" s="13" t="inlineStr">
        <is>
          <t>General</t>
        </is>
      </c>
      <c r="F8992" s="5" t="n">
        <v>1078</v>
      </c>
      <c r="G8992" s="5" t="n">
        <v>11249</v>
      </c>
      <c r="H8992" s="5" t="n">
        <v>1325</v>
      </c>
      <c r="I8992" s="5" t="n">
        <v>200</v>
      </c>
      <c r="J8992" s="5" t="n">
        <v>1084</v>
      </c>
      <c r="K8992" s="10">
        <f>IF(F8992&gt;0,H8992/F8992,"")</f>
        <v/>
      </c>
      <c r="L8992" s="16">
        <f>IF(AND(G8992&gt;0,H8992&gt;0),G8992/H8992,"")</f>
        <v/>
      </c>
    </row>
    <row r="8993">
      <c r="A8993" s="4" t="inlineStr">
        <is>
          <t>260</t>
        </is>
      </c>
      <c r="B8993" s="4" t="n">
        <v>2</v>
      </c>
      <c r="C8993" s="4" t="inlineStr">
        <is>
          <t>whitetail</t>
        </is>
      </c>
      <c r="D8993" s="4" t="n">
        <v>2006</v>
      </c>
      <c r="E8993" s="13" t="inlineStr">
        <is>
          <t>General</t>
        </is>
      </c>
      <c r="F8993" s="5" t="n">
        <v>1041</v>
      </c>
      <c r="G8993" s="5" t="n">
        <v>9758</v>
      </c>
      <c r="H8993" s="5" t="n">
        <v>1283</v>
      </c>
      <c r="I8993" s="5" t="n">
        <v>293</v>
      </c>
      <c r="J8993" s="5" t="n">
        <v>972</v>
      </c>
      <c r="K8993" s="10">
        <f>IF(F8993&gt;0,H8993/F8993,"")</f>
        <v/>
      </c>
      <c r="L8993" s="16">
        <f>IF(AND(G8993&gt;0,H8993&gt;0),G8993/H8993,"")</f>
        <v/>
      </c>
    </row>
    <row r="8994">
      <c r="A8994" s="4" t="inlineStr">
        <is>
          <t>260</t>
        </is>
      </c>
      <c r="B8994" s="4" t="n">
        <v>2</v>
      </c>
      <c r="C8994" s="4" t="inlineStr">
        <is>
          <t>whitetail</t>
        </is>
      </c>
      <c r="D8994" s="4" t="n">
        <v>2007</v>
      </c>
      <c r="E8994" s="13" t="inlineStr">
        <is>
          <t>General</t>
        </is>
      </c>
      <c r="F8994" s="5" t="n">
        <v>1060</v>
      </c>
      <c r="G8994" s="5" t="n">
        <v>9745</v>
      </c>
      <c r="H8994" s="5" t="n">
        <v>1301</v>
      </c>
      <c r="I8994" s="5" t="n">
        <v>213</v>
      </c>
      <c r="J8994" s="5" t="n">
        <v>1073</v>
      </c>
      <c r="K8994" s="10">
        <f>IF(F8994&gt;0,H8994/F8994,"")</f>
        <v/>
      </c>
      <c r="L8994" s="16">
        <f>IF(AND(G8994&gt;0,H8994&gt;0),G8994/H8994,"")</f>
        <v/>
      </c>
    </row>
    <row r="8995">
      <c r="A8995" s="4" t="inlineStr">
        <is>
          <t>260</t>
        </is>
      </c>
      <c r="B8995" s="4" t="n">
        <v>2</v>
      </c>
      <c r="C8995" s="4" t="inlineStr">
        <is>
          <t>whitetail</t>
        </is>
      </c>
      <c r="D8995" s="4" t="n">
        <v>2008</v>
      </c>
      <c r="E8995" s="13" t="inlineStr">
        <is>
          <t>General</t>
        </is>
      </c>
      <c r="F8995" s="5" t="n">
        <v>1223</v>
      </c>
      <c r="G8995" s="5" t="n">
        <v>11740</v>
      </c>
      <c r="H8995" s="5" t="n">
        <v>794</v>
      </c>
      <c r="I8995" s="5" t="n">
        <v>167</v>
      </c>
      <c r="J8995" s="5" t="n">
        <v>605</v>
      </c>
      <c r="K8995" s="10">
        <f>IF(F8995&gt;0,H8995/F8995,"")</f>
        <v/>
      </c>
      <c r="L8995" s="16">
        <f>IF(AND(G8995&gt;0,H8995&gt;0),G8995/H8995,"")</f>
        <v/>
      </c>
    </row>
    <row r="8996">
      <c r="A8996" s="4" t="inlineStr">
        <is>
          <t>260</t>
        </is>
      </c>
      <c r="B8996" s="4" t="n">
        <v>2</v>
      </c>
      <c r="C8996" s="4" t="inlineStr">
        <is>
          <t>whitetail</t>
        </is>
      </c>
      <c r="D8996" s="4" t="n">
        <v>2009</v>
      </c>
      <c r="E8996" s="13" t="inlineStr">
        <is>
          <t>General</t>
        </is>
      </c>
      <c r="F8996" s="5" t="n">
        <v>1267</v>
      </c>
      <c r="G8996" s="5" t="n">
        <v>12351</v>
      </c>
      <c r="H8996" s="5" t="n">
        <v>687</v>
      </c>
      <c r="I8996" s="5" t="n">
        <v>151</v>
      </c>
      <c r="J8996" s="5" t="n">
        <v>533</v>
      </c>
      <c r="K8996" s="10">
        <f>IF(F8996&gt;0,H8996/F8996,"")</f>
        <v/>
      </c>
      <c r="L8996" s="16">
        <f>IF(AND(G8996&gt;0,H8996&gt;0),G8996/H8996,"")</f>
        <v/>
      </c>
    </row>
    <row r="8997">
      <c r="A8997" s="4" t="inlineStr">
        <is>
          <t>260</t>
        </is>
      </c>
      <c r="B8997" s="4" t="n">
        <v>2</v>
      </c>
      <c r="C8997" s="4" t="inlineStr">
        <is>
          <t>whitetail</t>
        </is>
      </c>
      <c r="D8997" s="4" t="n">
        <v>2010</v>
      </c>
      <c r="E8997" s="13" t="inlineStr">
        <is>
          <t>General</t>
        </is>
      </c>
      <c r="F8997" s="5" t="n">
        <v>1609</v>
      </c>
      <c r="G8997" s="5" t="n">
        <v>16231</v>
      </c>
      <c r="H8997" s="5" t="n">
        <v>846</v>
      </c>
      <c r="I8997" s="5" t="n">
        <v>189</v>
      </c>
      <c r="J8997" s="5" t="n">
        <v>649</v>
      </c>
      <c r="K8997" s="10">
        <f>IF(F8997&gt;0,H8997/F8997,"")</f>
        <v/>
      </c>
      <c r="L8997" s="16">
        <f>IF(AND(G8997&gt;0,H8997&gt;0),G8997/H8997,"")</f>
        <v/>
      </c>
    </row>
    <row r="8998">
      <c r="A8998" s="4" t="inlineStr">
        <is>
          <t>260</t>
        </is>
      </c>
      <c r="B8998" s="4" t="n">
        <v>2</v>
      </c>
      <c r="C8998" s="4" t="inlineStr">
        <is>
          <t>whitetail</t>
        </is>
      </c>
      <c r="D8998" s="4" t="n">
        <v>2011</v>
      </c>
      <c r="E8998" s="13" t="inlineStr">
        <is>
          <t>General</t>
        </is>
      </c>
      <c r="F8998" s="5" t="n">
        <v>1255</v>
      </c>
      <c r="G8998" s="5" t="n">
        <v>12162</v>
      </c>
      <c r="H8998" s="5" t="n">
        <v>685</v>
      </c>
      <c r="I8998" s="5" t="n">
        <v>167</v>
      </c>
      <c r="J8998" s="5" t="n">
        <v>513</v>
      </c>
      <c r="K8998" s="10">
        <f>IF(F8998&gt;0,H8998/F8998,"")</f>
        <v/>
      </c>
      <c r="L8998" s="16">
        <f>IF(AND(G8998&gt;0,H8998&gt;0),G8998/H8998,"")</f>
        <v/>
      </c>
    </row>
    <row r="8999">
      <c r="A8999" s="4" t="inlineStr">
        <is>
          <t>260</t>
        </is>
      </c>
      <c r="B8999" s="4" t="n">
        <v>2</v>
      </c>
      <c r="C8999" s="4" t="inlineStr">
        <is>
          <t>whitetail</t>
        </is>
      </c>
      <c r="D8999" s="4" t="n">
        <v>2012</v>
      </c>
      <c r="E8999" s="13" t="inlineStr">
        <is>
          <t>General</t>
        </is>
      </c>
      <c r="F8999" s="5" t="n"/>
      <c r="G8999" s="5" t="n"/>
      <c r="H8999" s="5" t="n">
        <v>961</v>
      </c>
      <c r="I8999" s="5" t="n">
        <v>235</v>
      </c>
      <c r="J8999" s="5" t="n">
        <v>719</v>
      </c>
      <c r="K8999" s="10">
        <f>IF(F8999&gt;0,H8999/F8999,"")</f>
        <v/>
      </c>
      <c r="L8999" s="16">
        <f>IF(AND(G8999&gt;0,H8999&gt;0),G8999/H8999,"")</f>
        <v/>
      </c>
    </row>
    <row r="9000">
      <c r="A9000" s="4" t="inlineStr">
        <is>
          <t>260</t>
        </is>
      </c>
      <c r="B9000" s="4" t="n">
        <v>2</v>
      </c>
      <c r="C9000" s="4" t="inlineStr">
        <is>
          <t>whitetail</t>
        </is>
      </c>
      <c r="D9000" s="4" t="n">
        <v>2013</v>
      </c>
      <c r="E9000" s="13" t="inlineStr">
        <is>
          <t>General</t>
        </is>
      </c>
      <c r="F9000" s="5" t="n">
        <v>1247</v>
      </c>
      <c r="G9000" s="5" t="n">
        <v>11269</v>
      </c>
      <c r="H9000" s="5" t="n">
        <v>742</v>
      </c>
      <c r="I9000" s="5" t="n">
        <v>179</v>
      </c>
      <c r="J9000" s="5" t="n">
        <v>552</v>
      </c>
      <c r="K9000" s="10">
        <f>IF(F9000&gt;0,H9000/F9000,"")</f>
        <v/>
      </c>
      <c r="L9000" s="16">
        <f>IF(AND(G9000&gt;0,H9000&gt;0),G9000/H9000,"")</f>
        <v/>
      </c>
    </row>
    <row r="9001">
      <c r="A9001" s="4" t="inlineStr">
        <is>
          <t>260</t>
        </is>
      </c>
      <c r="B9001" s="4" t="n">
        <v>2</v>
      </c>
      <c r="C9001" s="4" t="inlineStr">
        <is>
          <t>whitetail</t>
        </is>
      </c>
      <c r="D9001" s="4" t="n">
        <v>2014</v>
      </c>
      <c r="E9001" s="13" t="inlineStr">
        <is>
          <t>General</t>
        </is>
      </c>
      <c r="F9001" s="5" t="n"/>
      <c r="G9001" s="5" t="n"/>
      <c r="H9001" s="5" t="n">
        <v>605</v>
      </c>
      <c r="I9001" s="5" t="n">
        <v>217</v>
      </c>
      <c r="J9001" s="5" t="n">
        <v>384</v>
      </c>
      <c r="K9001" s="10">
        <f>IF(F9001&gt;0,H9001/F9001,"")</f>
        <v/>
      </c>
      <c r="L9001" s="16">
        <f>IF(AND(G9001&gt;0,H9001&gt;0),G9001/H9001,"")</f>
        <v/>
      </c>
    </row>
    <row r="9002">
      <c r="A9002" s="4" t="inlineStr">
        <is>
          <t>260</t>
        </is>
      </c>
      <c r="B9002" s="4" t="n">
        <v>2</v>
      </c>
      <c r="C9002" s="4" t="inlineStr">
        <is>
          <t>whitetail</t>
        </is>
      </c>
      <c r="D9002" s="4" t="n">
        <v>2015</v>
      </c>
      <c r="E9002" s="13" t="inlineStr">
        <is>
          <t>General</t>
        </is>
      </c>
      <c r="F9002" s="5" t="n"/>
      <c r="G9002" s="5" t="n"/>
      <c r="H9002" s="5" t="n">
        <v>698</v>
      </c>
      <c r="I9002" s="5" t="n">
        <v>193</v>
      </c>
      <c r="J9002" s="5" t="n">
        <v>499</v>
      </c>
      <c r="K9002" s="10">
        <f>IF(F9002&gt;0,H9002/F9002,"")</f>
        <v/>
      </c>
      <c r="L9002" s="16">
        <f>IF(AND(G9002&gt;0,H9002&gt;0),G9002/H9002,"")</f>
        <v/>
      </c>
    </row>
    <row r="9003">
      <c r="A9003" s="4" t="inlineStr">
        <is>
          <t>260</t>
        </is>
      </c>
      <c r="B9003" s="4" t="n">
        <v>2</v>
      </c>
      <c r="C9003" s="4" t="inlineStr">
        <is>
          <t>whitetail</t>
        </is>
      </c>
      <c r="D9003" s="4" t="n">
        <v>2016</v>
      </c>
      <c r="E9003" s="13" t="inlineStr">
        <is>
          <t>General</t>
        </is>
      </c>
      <c r="F9003" s="5" t="n"/>
      <c r="G9003" s="5" t="n"/>
      <c r="H9003" s="5" t="n">
        <v>654</v>
      </c>
      <c r="I9003" s="5" t="n">
        <v>207</v>
      </c>
      <c r="J9003" s="5" t="n">
        <v>433</v>
      </c>
      <c r="K9003" s="10">
        <f>IF(F9003&gt;0,H9003/F9003,"")</f>
        <v/>
      </c>
      <c r="L9003" s="16">
        <f>IF(AND(G9003&gt;0,H9003&gt;0),G9003/H9003,"")</f>
        <v/>
      </c>
    </row>
    <row r="9004">
      <c r="A9004" s="4" t="inlineStr">
        <is>
          <t>260</t>
        </is>
      </c>
      <c r="B9004" s="4" t="n">
        <v>2</v>
      </c>
      <c r="C9004" s="4" t="inlineStr">
        <is>
          <t>whitetail</t>
        </is>
      </c>
      <c r="D9004" s="4" t="n">
        <v>2017</v>
      </c>
      <c r="E9004" s="13" t="inlineStr">
        <is>
          <t>General</t>
        </is>
      </c>
      <c r="F9004" s="5" t="n">
        <v>1186</v>
      </c>
      <c r="G9004" s="5" t="n">
        <v>9563</v>
      </c>
      <c r="H9004" s="5" t="n">
        <v>765</v>
      </c>
      <c r="I9004" s="5" t="n">
        <v>261</v>
      </c>
      <c r="J9004" s="5" t="n">
        <v>497</v>
      </c>
      <c r="K9004" s="10">
        <f>IF(F9004&gt;0,H9004/F9004,"")</f>
        <v/>
      </c>
      <c r="L9004" s="16">
        <f>IF(AND(G9004&gt;0,H9004&gt;0),G9004/H9004,"")</f>
        <v/>
      </c>
    </row>
    <row r="9005">
      <c r="A9005" s="4" t="inlineStr">
        <is>
          <t>260</t>
        </is>
      </c>
      <c r="B9005" s="4" t="n">
        <v>2</v>
      </c>
      <c r="C9005" s="4" t="inlineStr">
        <is>
          <t>whitetail</t>
        </is>
      </c>
      <c r="D9005" s="4" t="n">
        <v>2018</v>
      </c>
      <c r="E9005" s="13" t="inlineStr">
        <is>
          <t>General</t>
        </is>
      </c>
      <c r="F9005" s="5" t="n"/>
      <c r="G9005" s="5" t="n"/>
      <c r="H9005" s="5" t="n">
        <v>652</v>
      </c>
      <c r="I9005" s="5" t="n">
        <v>183</v>
      </c>
      <c r="J9005" s="5" t="n">
        <v>466</v>
      </c>
      <c r="K9005" s="10">
        <f>IF(F9005&gt;0,H9005/F9005,"")</f>
        <v/>
      </c>
      <c r="L9005" s="16">
        <f>IF(AND(G9005&gt;0,H9005&gt;0),G9005/H9005,"")</f>
        <v/>
      </c>
    </row>
    <row r="9006">
      <c r="A9006" s="4" t="inlineStr">
        <is>
          <t>260</t>
        </is>
      </c>
      <c r="B9006" s="4" t="n">
        <v>2</v>
      </c>
      <c r="C9006" s="4" t="inlineStr">
        <is>
          <t>whitetail</t>
        </is>
      </c>
      <c r="D9006" s="4" t="n">
        <v>2019</v>
      </c>
      <c r="E9006" s="13" t="inlineStr">
        <is>
          <t>General</t>
        </is>
      </c>
      <c r="F9006" s="5" t="n">
        <v>1064</v>
      </c>
      <c r="G9006" s="5" t="n">
        <v>8349</v>
      </c>
      <c r="H9006" s="5" t="n">
        <v>481</v>
      </c>
      <c r="I9006" s="5" t="n">
        <v>196</v>
      </c>
      <c r="J9006" s="5" t="n">
        <v>285</v>
      </c>
      <c r="K9006" s="10">
        <f>IF(F9006&gt;0,H9006/F9006,"")</f>
        <v/>
      </c>
      <c r="L9006" s="16">
        <f>IF(AND(G9006&gt;0,H9006&gt;0),G9006/H9006,"")</f>
        <v/>
      </c>
    </row>
    <row r="9007">
      <c r="A9007" s="4" t="inlineStr">
        <is>
          <t>260</t>
        </is>
      </c>
      <c r="B9007" s="4" t="n">
        <v>2</v>
      </c>
      <c r="C9007" s="4" t="inlineStr">
        <is>
          <t>whitetail</t>
        </is>
      </c>
      <c r="D9007" s="4" t="n">
        <v>2020</v>
      </c>
      <c r="E9007" s="13" t="inlineStr">
        <is>
          <t>General</t>
        </is>
      </c>
      <c r="F9007" s="5" t="n"/>
      <c r="G9007" s="5" t="n"/>
      <c r="H9007" s="5" t="n">
        <v>730</v>
      </c>
      <c r="I9007" s="5" t="n">
        <v>224</v>
      </c>
      <c r="J9007" s="5" t="n">
        <v>502</v>
      </c>
      <c r="K9007" s="10">
        <f>IF(F9007&gt;0,H9007/F9007,"")</f>
        <v/>
      </c>
      <c r="L9007" s="16">
        <f>IF(AND(G9007&gt;0,H9007&gt;0),G9007/H9007,"")</f>
        <v/>
      </c>
    </row>
    <row r="9008">
      <c r="A9008" s="4" t="inlineStr">
        <is>
          <t>260</t>
        </is>
      </c>
      <c r="B9008" s="4" t="n">
        <v>2</v>
      </c>
      <c r="C9008" s="4" t="inlineStr">
        <is>
          <t>whitetail</t>
        </is>
      </c>
      <c r="D9008" s="4" t="n">
        <v>2021</v>
      </c>
      <c r="E9008" s="13" t="inlineStr">
        <is>
          <t>General</t>
        </is>
      </c>
      <c r="F9008" s="5" t="n">
        <v>1014</v>
      </c>
      <c r="G9008" s="5" t="n">
        <v>8062</v>
      </c>
      <c r="H9008" s="5" t="n">
        <v>511</v>
      </c>
      <c r="I9008" s="5" t="n">
        <v>208</v>
      </c>
      <c r="J9008" s="5" t="n">
        <v>303</v>
      </c>
      <c r="K9008" s="10">
        <f>IF(F9008&gt;0,H9008/F9008,"")</f>
        <v/>
      </c>
      <c r="L9008" s="16">
        <f>IF(AND(G9008&gt;0,H9008&gt;0),G9008/H9008,"")</f>
        <v/>
      </c>
    </row>
    <row r="9009">
      <c r="A9009" s="4" t="inlineStr">
        <is>
          <t>260</t>
        </is>
      </c>
      <c r="B9009" s="4" t="n">
        <v>2</v>
      </c>
      <c r="C9009" s="4" t="inlineStr">
        <is>
          <t>whitetail</t>
        </is>
      </c>
      <c r="D9009" s="4" t="n">
        <v>2022</v>
      </c>
      <c r="E9009" s="13" t="inlineStr">
        <is>
          <t>General</t>
        </is>
      </c>
      <c r="F9009" s="5" t="n"/>
      <c r="G9009" s="5" t="n"/>
      <c r="H9009" s="5" t="n">
        <v>751</v>
      </c>
      <c r="I9009" s="5" t="n">
        <v>249</v>
      </c>
      <c r="J9009" s="5" t="n">
        <v>502</v>
      </c>
      <c r="K9009" s="10">
        <f>IF(F9009&gt;0,H9009/F9009,"")</f>
        <v/>
      </c>
      <c r="L9009" s="16">
        <f>IF(AND(G9009&gt;0,H9009&gt;0),G9009/H9009,"")</f>
        <v/>
      </c>
    </row>
    <row r="9010">
      <c r="A9010" s="4" t="inlineStr">
        <is>
          <t>260</t>
        </is>
      </c>
      <c r="B9010" s="4" t="n">
        <v>2</v>
      </c>
      <c r="C9010" s="4" t="inlineStr">
        <is>
          <t>whitetail</t>
        </is>
      </c>
      <c r="D9010" s="4" t="n">
        <v>2023</v>
      </c>
      <c r="E9010" s="13" t="inlineStr">
        <is>
          <t>General</t>
        </is>
      </c>
      <c r="F9010" s="5" t="n">
        <v>1092</v>
      </c>
      <c r="G9010" s="5" t="n">
        <v>10053</v>
      </c>
      <c r="H9010" s="5" t="n">
        <v>542</v>
      </c>
      <c r="I9010" s="5" t="n">
        <v>208</v>
      </c>
      <c r="J9010" s="5" t="n">
        <v>334</v>
      </c>
      <c r="K9010" s="10">
        <f>IF(F9010&gt;0,H9010/F9010,"")</f>
        <v/>
      </c>
      <c r="L9010" s="16">
        <f>IF(AND(G9010&gt;0,H9010&gt;0),G9010/H9010,"")</f>
        <v/>
      </c>
    </row>
    <row r="9011">
      <c r="A9011" s="4" t="inlineStr">
        <is>
          <t>260</t>
        </is>
      </c>
      <c r="B9011" s="4" t="n">
        <v>2</v>
      </c>
      <c r="C9011" s="4" t="inlineStr">
        <is>
          <t>whitetail</t>
        </is>
      </c>
      <c r="D9011" s="4" t="n">
        <v>2024</v>
      </c>
      <c r="E9011" s="13" t="inlineStr">
        <is>
          <t>General</t>
        </is>
      </c>
      <c r="F9011" s="5" t="n"/>
      <c r="G9011" s="5" t="n"/>
      <c r="H9011" s="5" t="n">
        <v>736</v>
      </c>
      <c r="I9011" s="5" t="n">
        <v>234</v>
      </c>
      <c r="J9011" s="5" t="n">
        <v>502</v>
      </c>
      <c r="K9011" s="10">
        <f>IF(F9011&gt;0,H9011/F9011,"")</f>
        <v/>
      </c>
      <c r="L9011" s="16">
        <f>IF(AND(G9011&gt;0,H9011&gt;0),G9011/H9011,"")</f>
        <v/>
      </c>
    </row>
    <row r="9012">
      <c r="A9012" s="4" t="inlineStr">
        <is>
          <t>260</t>
        </is>
      </c>
      <c r="B9012" s="4" t="n">
        <v>2</v>
      </c>
      <c r="C9012" s="4" t="inlineStr">
        <is>
          <t>whitetail</t>
        </is>
      </c>
      <c r="D9012" s="4" t="n">
        <v>2025</v>
      </c>
      <c r="E9012" s="13" t="inlineStr">
        <is>
          <t>General</t>
        </is>
      </c>
      <c r="F9012" s="5" t="n">
        <v>1130</v>
      </c>
      <c r="G9012" s="5" t="n">
        <v>9167</v>
      </c>
      <c r="H9012" s="5" t="n">
        <v>633</v>
      </c>
      <c r="I9012" s="5" t="n">
        <v>215</v>
      </c>
      <c r="J9012" s="5" t="n">
        <v>413</v>
      </c>
      <c r="K9012" s="10">
        <f>IF(F9012&gt;0,H9012/F9012,"")</f>
        <v/>
      </c>
      <c r="L9012" s="16">
        <f>IF(AND(G9012&gt;0,H9012&gt;0),G9012/H9012,"")</f>
        <v/>
      </c>
    </row>
    <row r="9013">
      <c r="A9013" s="4" t="inlineStr">
        <is>
          <t>261</t>
        </is>
      </c>
      <c r="B9013" s="4" t="n">
        <v>2</v>
      </c>
      <c r="C9013" s="4" t="inlineStr">
        <is>
          <t>whitetail</t>
        </is>
      </c>
      <c r="D9013" s="4" t="n">
        <v>2004</v>
      </c>
      <c r="E9013" s="13" t="inlineStr">
        <is>
          <t>General</t>
        </is>
      </c>
      <c r="F9013" s="5" t="n">
        <v>772</v>
      </c>
      <c r="G9013" s="5" t="n">
        <v>4216</v>
      </c>
      <c r="H9013" s="5" t="n">
        <v>233</v>
      </c>
      <c r="I9013" s="5" t="n">
        <v>145</v>
      </c>
      <c r="J9013" s="5" t="n">
        <v>84</v>
      </c>
      <c r="K9013" s="10">
        <f>IF(F9013&gt;0,H9013/F9013,"")</f>
        <v/>
      </c>
      <c r="L9013" s="16">
        <f>IF(AND(G9013&gt;0,H9013&gt;0),G9013/H9013,"")</f>
        <v/>
      </c>
    </row>
    <row r="9014">
      <c r="A9014" s="4" t="inlineStr">
        <is>
          <t>261</t>
        </is>
      </c>
      <c r="B9014" s="4" t="n">
        <v>2</v>
      </c>
      <c r="C9014" s="4" t="inlineStr">
        <is>
          <t>whitetail</t>
        </is>
      </c>
      <c r="D9014" s="4" t="n">
        <v>2005</v>
      </c>
      <c r="E9014" s="13" t="inlineStr">
        <is>
          <t>General</t>
        </is>
      </c>
      <c r="F9014" s="5" t="n">
        <v>834</v>
      </c>
      <c r="G9014" s="5" t="n">
        <v>4262</v>
      </c>
      <c r="H9014" s="5" t="n">
        <v>188</v>
      </c>
      <c r="I9014" s="5" t="n">
        <v>140</v>
      </c>
      <c r="J9014" s="5" t="n">
        <v>45</v>
      </c>
      <c r="K9014" s="10">
        <f>IF(F9014&gt;0,H9014/F9014,"")</f>
        <v/>
      </c>
      <c r="L9014" s="16">
        <f>IF(AND(G9014&gt;0,H9014&gt;0),G9014/H9014,"")</f>
        <v/>
      </c>
    </row>
    <row r="9015">
      <c r="A9015" s="4" t="inlineStr">
        <is>
          <t>261</t>
        </is>
      </c>
      <c r="B9015" s="4" t="n">
        <v>2</v>
      </c>
      <c r="C9015" s="4" t="inlineStr">
        <is>
          <t>whitetail</t>
        </is>
      </c>
      <c r="D9015" s="4" t="n">
        <v>2006</v>
      </c>
      <c r="E9015" s="13" t="inlineStr">
        <is>
          <t>General</t>
        </is>
      </c>
      <c r="F9015" s="5" t="n">
        <v>709</v>
      </c>
      <c r="G9015" s="5" t="n">
        <v>4132</v>
      </c>
      <c r="H9015" s="5" t="n">
        <v>233</v>
      </c>
      <c r="I9015" s="5" t="n">
        <v>133</v>
      </c>
      <c r="J9015" s="5" t="n">
        <v>97</v>
      </c>
      <c r="K9015" s="10">
        <f>IF(F9015&gt;0,H9015/F9015,"")</f>
        <v/>
      </c>
      <c r="L9015" s="16">
        <f>IF(AND(G9015&gt;0,H9015&gt;0),G9015/H9015,"")</f>
        <v/>
      </c>
    </row>
    <row r="9016">
      <c r="A9016" s="4" t="inlineStr">
        <is>
          <t>261</t>
        </is>
      </c>
      <c r="B9016" s="4" t="n">
        <v>2</v>
      </c>
      <c r="C9016" s="4" t="inlineStr">
        <is>
          <t>whitetail</t>
        </is>
      </c>
      <c r="D9016" s="4" t="n">
        <v>2007</v>
      </c>
      <c r="E9016" s="13" t="inlineStr">
        <is>
          <t>General</t>
        </is>
      </c>
      <c r="F9016" s="5" t="n">
        <v>707</v>
      </c>
      <c r="G9016" s="5" t="n">
        <v>4308</v>
      </c>
      <c r="H9016" s="5" t="n">
        <v>225</v>
      </c>
      <c r="I9016" s="5" t="n">
        <v>121</v>
      </c>
      <c r="J9016" s="5" t="n">
        <v>101</v>
      </c>
      <c r="K9016" s="10">
        <f>IF(F9016&gt;0,H9016/F9016,"")</f>
        <v/>
      </c>
      <c r="L9016" s="16">
        <f>IF(AND(G9016&gt;0,H9016&gt;0),G9016/H9016,"")</f>
        <v/>
      </c>
    </row>
    <row r="9017">
      <c r="A9017" s="4" t="inlineStr">
        <is>
          <t>261</t>
        </is>
      </c>
      <c r="B9017" s="4" t="n">
        <v>2</v>
      </c>
      <c r="C9017" s="4" t="inlineStr">
        <is>
          <t>whitetail</t>
        </is>
      </c>
      <c r="D9017" s="4" t="n">
        <v>2008</v>
      </c>
      <c r="E9017" s="13" t="inlineStr">
        <is>
          <t>General</t>
        </is>
      </c>
      <c r="F9017" s="5" t="n">
        <v>823</v>
      </c>
      <c r="G9017" s="5" t="n">
        <v>5853</v>
      </c>
      <c r="H9017" s="5" t="n">
        <v>263</v>
      </c>
      <c r="I9017" s="5" t="n">
        <v>129</v>
      </c>
      <c r="J9017" s="5" t="n">
        <v>125</v>
      </c>
      <c r="K9017" s="10">
        <f>IF(F9017&gt;0,H9017/F9017,"")</f>
        <v/>
      </c>
      <c r="L9017" s="16">
        <f>IF(AND(G9017&gt;0,H9017&gt;0),G9017/H9017,"")</f>
        <v/>
      </c>
    </row>
    <row r="9018">
      <c r="A9018" s="4" t="inlineStr">
        <is>
          <t>261</t>
        </is>
      </c>
      <c r="B9018" s="4" t="n">
        <v>2</v>
      </c>
      <c r="C9018" s="4" t="inlineStr">
        <is>
          <t>whitetail</t>
        </is>
      </c>
      <c r="D9018" s="4" t="n">
        <v>2009</v>
      </c>
      <c r="E9018" s="13" t="inlineStr">
        <is>
          <t>General</t>
        </is>
      </c>
      <c r="F9018" s="5" t="n">
        <v>706</v>
      </c>
      <c r="G9018" s="5" t="n">
        <v>4352</v>
      </c>
      <c r="H9018" s="5" t="n">
        <v>178</v>
      </c>
      <c r="I9018" s="5" t="n">
        <v>121</v>
      </c>
      <c r="J9018" s="5" t="n">
        <v>57</v>
      </c>
      <c r="K9018" s="10">
        <f>IF(F9018&gt;0,H9018/F9018,"")</f>
        <v/>
      </c>
      <c r="L9018" s="16">
        <f>IF(AND(G9018&gt;0,H9018&gt;0),G9018/H9018,"")</f>
        <v/>
      </c>
    </row>
    <row r="9019">
      <c r="A9019" s="4" t="inlineStr">
        <is>
          <t>261</t>
        </is>
      </c>
      <c r="B9019" s="4" t="n">
        <v>2</v>
      </c>
      <c r="C9019" s="4" t="inlineStr">
        <is>
          <t>whitetail</t>
        </is>
      </c>
      <c r="D9019" s="4" t="n">
        <v>2010</v>
      </c>
      <c r="E9019" s="13" t="inlineStr">
        <is>
          <t>General</t>
        </is>
      </c>
      <c r="F9019" s="5" t="n">
        <v>695</v>
      </c>
      <c r="G9019" s="5" t="n">
        <v>4086</v>
      </c>
      <c r="H9019" s="5" t="n">
        <v>208</v>
      </c>
      <c r="I9019" s="5" t="n">
        <v>137</v>
      </c>
      <c r="J9019" s="5" t="n">
        <v>68</v>
      </c>
      <c r="K9019" s="10">
        <f>IF(F9019&gt;0,H9019/F9019,"")</f>
        <v/>
      </c>
      <c r="L9019" s="16">
        <f>IF(AND(G9019&gt;0,H9019&gt;0),G9019/H9019,"")</f>
        <v/>
      </c>
    </row>
    <row r="9020">
      <c r="A9020" s="4" t="inlineStr">
        <is>
          <t>261</t>
        </is>
      </c>
      <c r="B9020" s="4" t="n">
        <v>2</v>
      </c>
      <c r="C9020" s="4" t="inlineStr">
        <is>
          <t>whitetail</t>
        </is>
      </c>
      <c r="D9020" s="4" t="n">
        <v>2011</v>
      </c>
      <c r="E9020" s="13" t="inlineStr">
        <is>
          <t>General</t>
        </is>
      </c>
      <c r="F9020" s="5" t="n">
        <v>851</v>
      </c>
      <c r="G9020" s="5" t="n">
        <v>5548</v>
      </c>
      <c r="H9020" s="5" t="n">
        <v>245</v>
      </c>
      <c r="I9020" s="5" t="n">
        <v>152</v>
      </c>
      <c r="J9020" s="5" t="n">
        <v>82</v>
      </c>
      <c r="K9020" s="10">
        <f>IF(F9020&gt;0,H9020/F9020,"")</f>
        <v/>
      </c>
      <c r="L9020" s="16">
        <f>IF(AND(G9020&gt;0,H9020&gt;0),G9020/H9020,"")</f>
        <v/>
      </c>
    </row>
    <row r="9021">
      <c r="A9021" s="4" t="inlineStr">
        <is>
          <t>261</t>
        </is>
      </c>
      <c r="B9021" s="4" t="n">
        <v>2</v>
      </c>
      <c r="C9021" s="4" t="inlineStr">
        <is>
          <t>whitetail</t>
        </is>
      </c>
      <c r="D9021" s="4" t="n">
        <v>2012</v>
      </c>
      <c r="E9021" s="13" t="inlineStr">
        <is>
          <t>General</t>
        </is>
      </c>
      <c r="F9021" s="5" t="n"/>
      <c r="G9021" s="5" t="n"/>
      <c r="H9021" s="5" t="n">
        <v>270</v>
      </c>
      <c r="I9021" s="5" t="n">
        <v>167</v>
      </c>
      <c r="J9021" s="5" t="n">
        <v>98</v>
      </c>
      <c r="K9021" s="10">
        <f>IF(F9021&gt;0,H9021/F9021,"")</f>
        <v/>
      </c>
      <c r="L9021" s="16">
        <f>IF(AND(G9021&gt;0,H9021&gt;0),G9021/H9021,"")</f>
        <v/>
      </c>
    </row>
    <row r="9022">
      <c r="A9022" s="4" t="inlineStr">
        <is>
          <t>261</t>
        </is>
      </c>
      <c r="B9022" s="4" t="n">
        <v>2</v>
      </c>
      <c r="C9022" s="4" t="inlineStr">
        <is>
          <t>whitetail</t>
        </is>
      </c>
      <c r="D9022" s="4" t="n">
        <v>2013</v>
      </c>
      <c r="E9022" s="13" t="inlineStr">
        <is>
          <t>General</t>
        </is>
      </c>
      <c r="F9022" s="5" t="n">
        <v>1003</v>
      </c>
      <c r="G9022" s="5" t="n">
        <v>6745</v>
      </c>
      <c r="H9022" s="5" t="n">
        <v>297</v>
      </c>
      <c r="I9022" s="5" t="n">
        <v>203</v>
      </c>
      <c r="J9022" s="5" t="n">
        <v>91</v>
      </c>
      <c r="K9022" s="10">
        <f>IF(F9022&gt;0,H9022/F9022,"")</f>
        <v/>
      </c>
      <c r="L9022" s="16">
        <f>IF(AND(G9022&gt;0,H9022&gt;0),G9022/H9022,"")</f>
        <v/>
      </c>
    </row>
    <row r="9023">
      <c r="A9023" s="4" t="inlineStr">
        <is>
          <t>261</t>
        </is>
      </c>
      <c r="B9023" s="4" t="n">
        <v>2</v>
      </c>
      <c r="C9023" s="4" t="inlineStr">
        <is>
          <t>whitetail</t>
        </is>
      </c>
      <c r="D9023" s="4" t="n">
        <v>2014</v>
      </c>
      <c r="E9023" s="13" t="inlineStr">
        <is>
          <t>General</t>
        </is>
      </c>
      <c r="F9023" s="5" t="n"/>
      <c r="G9023" s="5" t="n"/>
      <c r="H9023" s="5" t="n">
        <v>209</v>
      </c>
      <c r="I9023" s="5" t="n">
        <v>172</v>
      </c>
      <c r="J9023" s="5" t="n">
        <v>28</v>
      </c>
      <c r="K9023" s="10">
        <f>IF(F9023&gt;0,H9023/F9023,"")</f>
        <v/>
      </c>
      <c r="L9023" s="16">
        <f>IF(AND(G9023&gt;0,H9023&gt;0),G9023/H9023,"")</f>
        <v/>
      </c>
    </row>
    <row r="9024">
      <c r="A9024" s="4" t="inlineStr">
        <is>
          <t>261</t>
        </is>
      </c>
      <c r="B9024" s="4" t="n">
        <v>2</v>
      </c>
      <c r="C9024" s="4" t="inlineStr">
        <is>
          <t>whitetail</t>
        </is>
      </c>
      <c r="D9024" s="4" t="n">
        <v>2015</v>
      </c>
      <c r="E9024" s="13" t="inlineStr">
        <is>
          <t>General</t>
        </is>
      </c>
      <c r="F9024" s="5" t="n"/>
      <c r="G9024" s="5" t="n"/>
      <c r="H9024" s="5" t="n">
        <v>133</v>
      </c>
      <c r="I9024" s="5" t="n">
        <v>97</v>
      </c>
      <c r="J9024" s="5" t="n">
        <v>36</v>
      </c>
      <c r="K9024" s="10">
        <f>IF(F9024&gt;0,H9024/F9024,"")</f>
        <v/>
      </c>
      <c r="L9024" s="16">
        <f>IF(AND(G9024&gt;0,H9024&gt;0),G9024/H9024,"")</f>
        <v/>
      </c>
    </row>
    <row r="9025">
      <c r="A9025" s="4" t="inlineStr">
        <is>
          <t>261</t>
        </is>
      </c>
      <c r="B9025" s="4" t="n">
        <v>2</v>
      </c>
      <c r="C9025" s="4" t="inlineStr">
        <is>
          <t>whitetail</t>
        </is>
      </c>
      <c r="D9025" s="4" t="n">
        <v>2016</v>
      </c>
      <c r="E9025" s="13" t="inlineStr">
        <is>
          <t>General</t>
        </is>
      </c>
      <c r="F9025" s="5" t="n"/>
      <c r="G9025" s="5" t="n"/>
      <c r="H9025" s="5" t="n">
        <v>123</v>
      </c>
      <c r="I9025" s="5" t="n">
        <v>72</v>
      </c>
      <c r="J9025" s="5" t="n">
        <v>51</v>
      </c>
      <c r="K9025" s="10">
        <f>IF(F9025&gt;0,H9025/F9025,"")</f>
        <v/>
      </c>
      <c r="L9025" s="16">
        <f>IF(AND(G9025&gt;0,H9025&gt;0),G9025/H9025,"")</f>
        <v/>
      </c>
    </row>
    <row r="9026">
      <c r="A9026" s="4" t="inlineStr">
        <is>
          <t>261</t>
        </is>
      </c>
      <c r="B9026" s="4" t="n">
        <v>2</v>
      </c>
      <c r="C9026" s="4" t="inlineStr">
        <is>
          <t>whitetail</t>
        </is>
      </c>
      <c r="D9026" s="4" t="n">
        <v>2017</v>
      </c>
      <c r="E9026" s="13" t="inlineStr">
        <is>
          <t>General</t>
        </is>
      </c>
      <c r="F9026" s="5" t="n">
        <v>649</v>
      </c>
      <c r="G9026" s="5" t="n">
        <v>4598</v>
      </c>
      <c r="H9026" s="5" t="n">
        <v>188</v>
      </c>
      <c r="I9026" s="5" t="n">
        <v>163</v>
      </c>
      <c r="J9026" s="5" t="n">
        <v>25</v>
      </c>
      <c r="K9026" s="10">
        <f>IF(F9026&gt;0,H9026/F9026,"")</f>
        <v/>
      </c>
      <c r="L9026" s="16">
        <f>IF(AND(G9026&gt;0,H9026&gt;0),G9026/H9026,"")</f>
        <v/>
      </c>
    </row>
    <row r="9027">
      <c r="A9027" s="4" t="inlineStr">
        <is>
          <t>261</t>
        </is>
      </c>
      <c r="B9027" s="4" t="n">
        <v>2</v>
      </c>
      <c r="C9027" s="4" t="inlineStr">
        <is>
          <t>whitetail</t>
        </is>
      </c>
      <c r="D9027" s="4" t="n">
        <v>2018</v>
      </c>
      <c r="E9027" s="13" t="inlineStr">
        <is>
          <t>General</t>
        </is>
      </c>
      <c r="F9027" s="5" t="n"/>
      <c r="G9027" s="5" t="n"/>
      <c r="H9027" s="5" t="n">
        <v>111</v>
      </c>
      <c r="I9027" s="5" t="n">
        <v>92</v>
      </c>
      <c r="J9027" s="5" t="n">
        <v>19</v>
      </c>
      <c r="K9027" s="10">
        <f>IF(F9027&gt;0,H9027/F9027,"")</f>
        <v/>
      </c>
      <c r="L9027" s="16">
        <f>IF(AND(G9027&gt;0,H9027&gt;0),G9027/H9027,"")</f>
        <v/>
      </c>
    </row>
    <row r="9028">
      <c r="A9028" s="4" t="inlineStr">
        <is>
          <t>261</t>
        </is>
      </c>
      <c r="B9028" s="4" t="n">
        <v>2</v>
      </c>
      <c r="C9028" s="4" t="inlineStr">
        <is>
          <t>whitetail</t>
        </is>
      </c>
      <c r="D9028" s="4" t="n">
        <v>2019</v>
      </c>
      <c r="E9028" s="13" t="inlineStr">
        <is>
          <t>General</t>
        </is>
      </c>
      <c r="F9028" s="5" t="n">
        <v>562</v>
      </c>
      <c r="G9028" s="5" t="n">
        <v>4044</v>
      </c>
      <c r="H9028" s="5" t="n">
        <v>138</v>
      </c>
      <c r="I9028" s="5" t="n">
        <v>97</v>
      </c>
      <c r="J9028" s="5" t="n">
        <v>37</v>
      </c>
      <c r="K9028" s="10">
        <f>IF(F9028&gt;0,H9028/F9028,"")</f>
        <v/>
      </c>
      <c r="L9028" s="16">
        <f>IF(AND(G9028&gt;0,H9028&gt;0),G9028/H9028,"")</f>
        <v/>
      </c>
    </row>
    <row r="9029">
      <c r="A9029" s="4" t="inlineStr">
        <is>
          <t>261</t>
        </is>
      </c>
      <c r="B9029" s="4" t="n">
        <v>2</v>
      </c>
      <c r="C9029" s="4" t="inlineStr">
        <is>
          <t>whitetail</t>
        </is>
      </c>
      <c r="D9029" s="4" t="n">
        <v>2020</v>
      </c>
      <c r="E9029" s="13" t="inlineStr">
        <is>
          <t>General</t>
        </is>
      </c>
      <c r="F9029" s="5" t="n"/>
      <c r="G9029" s="5" t="n"/>
      <c r="H9029" s="5" t="n">
        <v>169</v>
      </c>
      <c r="I9029" s="5" t="n">
        <v>116</v>
      </c>
      <c r="J9029" s="5" t="n">
        <v>53</v>
      </c>
      <c r="K9029" s="10">
        <f>IF(F9029&gt;0,H9029/F9029,"")</f>
        <v/>
      </c>
      <c r="L9029" s="16">
        <f>IF(AND(G9029&gt;0,H9029&gt;0),G9029/H9029,"")</f>
        <v/>
      </c>
    </row>
    <row r="9030">
      <c r="A9030" s="4" t="inlineStr">
        <is>
          <t>261</t>
        </is>
      </c>
      <c r="B9030" s="4" t="n">
        <v>2</v>
      </c>
      <c r="C9030" s="4" t="inlineStr">
        <is>
          <t>whitetail</t>
        </is>
      </c>
      <c r="D9030" s="4" t="n">
        <v>2021</v>
      </c>
      <c r="E9030" s="13" t="inlineStr">
        <is>
          <t>General</t>
        </is>
      </c>
      <c r="F9030" s="5" t="n">
        <v>379</v>
      </c>
      <c r="G9030" s="5" t="n">
        <v>2616</v>
      </c>
      <c r="H9030" s="5" t="n">
        <v>117</v>
      </c>
      <c r="I9030" s="5" t="n">
        <v>79</v>
      </c>
      <c r="J9030" s="5" t="n">
        <v>38</v>
      </c>
      <c r="K9030" s="10">
        <f>IF(F9030&gt;0,H9030/F9030,"")</f>
        <v/>
      </c>
      <c r="L9030" s="16">
        <f>IF(AND(G9030&gt;0,H9030&gt;0),G9030/H9030,"")</f>
        <v/>
      </c>
    </row>
    <row r="9031">
      <c r="A9031" s="4" t="inlineStr">
        <is>
          <t>261</t>
        </is>
      </c>
      <c r="B9031" s="4" t="n">
        <v>2</v>
      </c>
      <c r="C9031" s="4" t="inlineStr">
        <is>
          <t>whitetail</t>
        </is>
      </c>
      <c r="D9031" s="4" t="n">
        <v>2022</v>
      </c>
      <c r="E9031" s="13" t="inlineStr">
        <is>
          <t>General</t>
        </is>
      </c>
      <c r="F9031" s="5" t="n"/>
      <c r="G9031" s="5" t="n"/>
      <c r="H9031" s="5" t="n">
        <v>160</v>
      </c>
      <c r="I9031" s="5" t="n">
        <v>116</v>
      </c>
      <c r="J9031" s="5" t="n">
        <v>44</v>
      </c>
      <c r="K9031" s="10">
        <f>IF(F9031&gt;0,H9031/F9031,"")</f>
        <v/>
      </c>
      <c r="L9031" s="16">
        <f>IF(AND(G9031&gt;0,H9031&gt;0),G9031/H9031,"")</f>
        <v/>
      </c>
    </row>
    <row r="9032">
      <c r="A9032" s="4" t="inlineStr">
        <is>
          <t>261</t>
        </is>
      </c>
      <c r="B9032" s="4" t="n">
        <v>2</v>
      </c>
      <c r="C9032" s="4" t="inlineStr">
        <is>
          <t>whitetail</t>
        </is>
      </c>
      <c r="D9032" s="4" t="n">
        <v>2023</v>
      </c>
      <c r="E9032" s="13" t="inlineStr">
        <is>
          <t>General</t>
        </is>
      </c>
      <c r="F9032" s="5" t="n">
        <v>500</v>
      </c>
      <c r="G9032" s="5" t="n">
        <v>3392</v>
      </c>
      <c r="H9032" s="5" t="n">
        <v>177</v>
      </c>
      <c r="I9032" s="5" t="n">
        <v>135</v>
      </c>
      <c r="J9032" s="5" t="n">
        <v>42</v>
      </c>
      <c r="K9032" s="10">
        <f>IF(F9032&gt;0,H9032/F9032,"")</f>
        <v/>
      </c>
      <c r="L9032" s="16">
        <f>IF(AND(G9032&gt;0,H9032&gt;0),G9032/H9032,"")</f>
        <v/>
      </c>
    </row>
    <row r="9033">
      <c r="A9033" s="4" t="inlineStr">
        <is>
          <t>261</t>
        </is>
      </c>
      <c r="B9033" s="4" t="n">
        <v>2</v>
      </c>
      <c r="C9033" s="4" t="inlineStr">
        <is>
          <t>whitetail</t>
        </is>
      </c>
      <c r="D9033" s="4" t="n">
        <v>2024</v>
      </c>
      <c r="E9033" s="13" t="inlineStr">
        <is>
          <t>General</t>
        </is>
      </c>
      <c r="F9033" s="5" t="n"/>
      <c r="G9033" s="5" t="n"/>
      <c r="H9033" s="5" t="n">
        <v>132</v>
      </c>
      <c r="I9033" s="5" t="n">
        <v>99</v>
      </c>
      <c r="J9033" s="5" t="n">
        <v>33</v>
      </c>
      <c r="K9033" s="10">
        <f>IF(F9033&gt;0,H9033/F9033,"")</f>
        <v/>
      </c>
      <c r="L9033" s="16">
        <f>IF(AND(G9033&gt;0,H9033&gt;0),G9033/H9033,"")</f>
        <v/>
      </c>
    </row>
    <row r="9034">
      <c r="A9034" s="4" t="inlineStr">
        <is>
          <t>261</t>
        </is>
      </c>
      <c r="B9034" s="4" t="n">
        <v>2</v>
      </c>
      <c r="C9034" s="4" t="inlineStr">
        <is>
          <t>whitetail</t>
        </is>
      </c>
      <c r="D9034" s="4" t="n">
        <v>2025</v>
      </c>
      <c r="E9034" s="13" t="inlineStr">
        <is>
          <t>General</t>
        </is>
      </c>
      <c r="F9034" s="5" t="n">
        <v>486</v>
      </c>
      <c r="G9034" s="5" t="n">
        <v>2952</v>
      </c>
      <c r="H9034" s="5" t="n">
        <v>174</v>
      </c>
      <c r="I9034" s="5" t="n">
        <v>140</v>
      </c>
      <c r="J9034" s="5" t="n">
        <v>34</v>
      </c>
      <c r="K9034" s="10">
        <f>IF(F9034&gt;0,H9034/F9034,"")</f>
        <v/>
      </c>
      <c r="L9034" s="16">
        <f>IF(AND(G9034&gt;0,H9034&gt;0),G9034/H9034,"")</f>
        <v/>
      </c>
    </row>
    <row r="9035">
      <c r="A9035" s="4" t="inlineStr">
        <is>
          <t>262</t>
        </is>
      </c>
      <c r="B9035" s="4" t="n">
        <v>2</v>
      </c>
      <c r="C9035" s="4" t="inlineStr">
        <is>
          <t>whitetail</t>
        </is>
      </c>
      <c r="D9035" s="4" t="n">
        <v>2015</v>
      </c>
      <c r="E9035" s="13" t="inlineStr">
        <is>
          <t>General</t>
        </is>
      </c>
      <c r="F9035" s="5" t="n"/>
      <c r="G9035" s="5" t="n"/>
      <c r="H9035" s="5" t="n">
        <v>309</v>
      </c>
      <c r="I9035" s="5" t="n">
        <v>126</v>
      </c>
      <c r="J9035" s="5" t="n">
        <v>181</v>
      </c>
      <c r="K9035" s="10">
        <f>IF(F9035&gt;0,H9035/F9035,"")</f>
        <v/>
      </c>
      <c r="L9035" s="16">
        <f>IF(AND(G9035&gt;0,H9035&gt;0),G9035/H9035,"")</f>
        <v/>
      </c>
    </row>
    <row r="9036">
      <c r="A9036" s="4" t="inlineStr">
        <is>
          <t>262</t>
        </is>
      </c>
      <c r="B9036" s="4" t="n">
        <v>2</v>
      </c>
      <c r="C9036" s="4" t="inlineStr">
        <is>
          <t>whitetail</t>
        </is>
      </c>
      <c r="D9036" s="4" t="n">
        <v>2016</v>
      </c>
      <c r="E9036" s="13" t="inlineStr">
        <is>
          <t>General</t>
        </is>
      </c>
      <c r="F9036" s="5" t="n"/>
      <c r="G9036" s="5" t="n"/>
      <c r="H9036" s="5" t="n">
        <v>358</v>
      </c>
      <c r="I9036" s="5" t="n">
        <v>199</v>
      </c>
      <c r="J9036" s="5" t="n">
        <v>159</v>
      </c>
      <c r="K9036" s="10">
        <f>IF(F9036&gt;0,H9036/F9036,"")</f>
        <v/>
      </c>
      <c r="L9036" s="16">
        <f>IF(AND(G9036&gt;0,H9036&gt;0),G9036/H9036,"")</f>
        <v/>
      </c>
    </row>
    <row r="9037">
      <c r="A9037" s="4" t="inlineStr">
        <is>
          <t>262</t>
        </is>
      </c>
      <c r="B9037" s="4" t="n">
        <v>2</v>
      </c>
      <c r="C9037" s="4" t="inlineStr">
        <is>
          <t>whitetail</t>
        </is>
      </c>
      <c r="D9037" s="4" t="n">
        <v>2017</v>
      </c>
      <c r="E9037" s="13" t="inlineStr">
        <is>
          <t>General</t>
        </is>
      </c>
      <c r="F9037" s="5" t="n">
        <v>750</v>
      </c>
      <c r="G9037" s="5" t="n">
        <v>5152</v>
      </c>
      <c r="H9037" s="5" t="n">
        <v>355</v>
      </c>
      <c r="I9037" s="5" t="n">
        <v>185</v>
      </c>
      <c r="J9037" s="5" t="n">
        <v>167</v>
      </c>
      <c r="K9037" s="10">
        <f>IF(F9037&gt;0,H9037/F9037,"")</f>
        <v/>
      </c>
      <c r="L9037" s="16">
        <f>IF(AND(G9037&gt;0,H9037&gt;0),G9037/H9037,"")</f>
        <v/>
      </c>
    </row>
    <row r="9038">
      <c r="A9038" s="4" t="inlineStr">
        <is>
          <t>262</t>
        </is>
      </c>
      <c r="B9038" s="4" t="n">
        <v>2</v>
      </c>
      <c r="C9038" s="4" t="inlineStr">
        <is>
          <t>whitetail</t>
        </is>
      </c>
      <c r="D9038" s="4" t="n">
        <v>2018</v>
      </c>
      <c r="E9038" s="13" t="inlineStr">
        <is>
          <t>General</t>
        </is>
      </c>
      <c r="F9038" s="5" t="n"/>
      <c r="G9038" s="5" t="n"/>
      <c r="H9038" s="5" t="n">
        <v>392</v>
      </c>
      <c r="I9038" s="5" t="n">
        <v>213</v>
      </c>
      <c r="J9038" s="5" t="n">
        <v>179</v>
      </c>
      <c r="K9038" s="10">
        <f>IF(F9038&gt;0,H9038/F9038,"")</f>
        <v/>
      </c>
      <c r="L9038" s="16">
        <f>IF(AND(G9038&gt;0,H9038&gt;0),G9038/H9038,"")</f>
        <v/>
      </c>
    </row>
    <row r="9039">
      <c r="A9039" s="4" t="inlineStr">
        <is>
          <t>262</t>
        </is>
      </c>
      <c r="B9039" s="4" t="n">
        <v>2</v>
      </c>
      <c r="C9039" s="4" t="inlineStr">
        <is>
          <t>whitetail</t>
        </is>
      </c>
      <c r="D9039" s="4" t="n">
        <v>2019</v>
      </c>
      <c r="E9039" s="13" t="inlineStr">
        <is>
          <t>General</t>
        </is>
      </c>
      <c r="F9039" s="5" t="n">
        <v>659</v>
      </c>
      <c r="G9039" s="5" t="n">
        <v>4762</v>
      </c>
      <c r="H9039" s="5" t="n">
        <v>292</v>
      </c>
      <c r="I9039" s="5" t="n">
        <v>143</v>
      </c>
      <c r="J9039" s="5" t="n">
        <v>146</v>
      </c>
      <c r="K9039" s="10">
        <f>IF(F9039&gt;0,H9039/F9039,"")</f>
        <v/>
      </c>
      <c r="L9039" s="16">
        <f>IF(AND(G9039&gt;0,H9039&gt;0),G9039/H9039,"")</f>
        <v/>
      </c>
    </row>
    <row r="9040">
      <c r="A9040" s="4" t="inlineStr">
        <is>
          <t>262</t>
        </is>
      </c>
      <c r="B9040" s="4" t="n">
        <v>2</v>
      </c>
      <c r="C9040" s="4" t="inlineStr">
        <is>
          <t>whitetail</t>
        </is>
      </c>
      <c r="D9040" s="4" t="n">
        <v>2020</v>
      </c>
      <c r="E9040" s="13" t="inlineStr">
        <is>
          <t>General</t>
        </is>
      </c>
      <c r="F9040" s="5" t="n"/>
      <c r="G9040" s="5" t="n"/>
      <c r="H9040" s="5" t="n">
        <v>388</v>
      </c>
      <c r="I9040" s="5" t="n">
        <v>221</v>
      </c>
      <c r="J9040" s="5" t="n">
        <v>168</v>
      </c>
      <c r="K9040" s="10">
        <f>IF(F9040&gt;0,H9040/F9040,"")</f>
        <v/>
      </c>
      <c r="L9040" s="16">
        <f>IF(AND(G9040&gt;0,H9040&gt;0),G9040/H9040,"")</f>
        <v/>
      </c>
    </row>
    <row r="9041">
      <c r="A9041" s="4" t="inlineStr">
        <is>
          <t>262</t>
        </is>
      </c>
      <c r="B9041" s="4" t="n">
        <v>2</v>
      </c>
      <c r="C9041" s="4" t="inlineStr">
        <is>
          <t>whitetail</t>
        </is>
      </c>
      <c r="D9041" s="4" t="n">
        <v>2021</v>
      </c>
      <c r="E9041" s="13" t="inlineStr">
        <is>
          <t>General</t>
        </is>
      </c>
      <c r="F9041" s="5" t="n">
        <v>706</v>
      </c>
      <c r="G9041" s="5" t="n">
        <v>5017</v>
      </c>
      <c r="H9041" s="5" t="n">
        <v>303</v>
      </c>
      <c r="I9041" s="5" t="n">
        <v>174</v>
      </c>
      <c r="J9041" s="5" t="n">
        <v>124</v>
      </c>
      <c r="K9041" s="10">
        <f>IF(F9041&gt;0,H9041/F9041,"")</f>
        <v/>
      </c>
      <c r="L9041" s="16">
        <f>IF(AND(G9041&gt;0,H9041&gt;0),G9041/H9041,"")</f>
        <v/>
      </c>
    </row>
    <row r="9042">
      <c r="A9042" s="4" t="inlineStr">
        <is>
          <t>262</t>
        </is>
      </c>
      <c r="B9042" s="4" t="n">
        <v>2</v>
      </c>
      <c r="C9042" s="4" t="inlineStr">
        <is>
          <t>whitetail</t>
        </is>
      </c>
      <c r="D9042" s="4" t="n">
        <v>2022</v>
      </c>
      <c r="E9042" s="13" t="inlineStr">
        <is>
          <t>General</t>
        </is>
      </c>
      <c r="F9042" s="5" t="n"/>
      <c r="G9042" s="5" t="n"/>
      <c r="H9042" s="5" t="n">
        <v>427</v>
      </c>
      <c r="I9042" s="5" t="n">
        <v>252</v>
      </c>
      <c r="J9042" s="5" t="n">
        <v>175</v>
      </c>
      <c r="K9042" s="10">
        <f>IF(F9042&gt;0,H9042/F9042,"")</f>
        <v/>
      </c>
      <c r="L9042" s="16">
        <f>IF(AND(G9042&gt;0,H9042&gt;0),G9042/H9042,"")</f>
        <v/>
      </c>
    </row>
    <row r="9043">
      <c r="A9043" s="4" t="inlineStr">
        <is>
          <t>262</t>
        </is>
      </c>
      <c r="B9043" s="4" t="n">
        <v>2</v>
      </c>
      <c r="C9043" s="4" t="inlineStr">
        <is>
          <t>whitetail</t>
        </is>
      </c>
      <c r="D9043" s="4" t="n">
        <v>2023</v>
      </c>
      <c r="E9043" s="13" t="inlineStr">
        <is>
          <t>General</t>
        </is>
      </c>
      <c r="F9043" s="5" t="n">
        <v>748</v>
      </c>
      <c r="G9043" s="5" t="n">
        <v>5534</v>
      </c>
      <c r="H9043" s="5" t="n">
        <v>488</v>
      </c>
      <c r="I9043" s="5" t="n">
        <v>263</v>
      </c>
      <c r="J9043" s="5" t="n">
        <v>216</v>
      </c>
      <c r="K9043" s="10">
        <f>IF(F9043&gt;0,H9043/F9043,"")</f>
        <v/>
      </c>
      <c r="L9043" s="16">
        <f>IF(AND(G9043&gt;0,H9043&gt;0),G9043/H9043,"")</f>
        <v/>
      </c>
    </row>
    <row r="9044">
      <c r="A9044" s="4" t="inlineStr">
        <is>
          <t>262</t>
        </is>
      </c>
      <c r="B9044" s="4" t="n">
        <v>2</v>
      </c>
      <c r="C9044" s="4" t="inlineStr">
        <is>
          <t>whitetail</t>
        </is>
      </c>
      <c r="D9044" s="4" t="n">
        <v>2024</v>
      </c>
      <c r="E9044" s="13" t="inlineStr">
        <is>
          <t>General</t>
        </is>
      </c>
      <c r="F9044" s="5" t="n"/>
      <c r="G9044" s="5" t="n"/>
      <c r="H9044" s="5" t="n">
        <v>405</v>
      </c>
      <c r="I9044" s="5" t="n">
        <v>232</v>
      </c>
      <c r="J9044" s="5" t="n">
        <v>173</v>
      </c>
      <c r="K9044" s="10">
        <f>IF(F9044&gt;0,H9044/F9044,"")</f>
        <v/>
      </c>
      <c r="L9044" s="16">
        <f>IF(AND(G9044&gt;0,H9044&gt;0),G9044/H9044,"")</f>
        <v/>
      </c>
    </row>
    <row r="9045">
      <c r="A9045" s="4" t="inlineStr">
        <is>
          <t>262</t>
        </is>
      </c>
      <c r="B9045" s="4" t="n">
        <v>2</v>
      </c>
      <c r="C9045" s="4" t="inlineStr">
        <is>
          <t>whitetail</t>
        </is>
      </c>
      <c r="D9045" s="4" t="n">
        <v>2025</v>
      </c>
      <c r="E9045" s="13" t="inlineStr">
        <is>
          <t>General</t>
        </is>
      </c>
      <c r="F9045" s="5" t="n">
        <v>804</v>
      </c>
      <c r="G9045" s="5" t="n">
        <v>5230</v>
      </c>
      <c r="H9045" s="5" t="n">
        <v>327</v>
      </c>
      <c r="I9045" s="5" t="n">
        <v>172</v>
      </c>
      <c r="J9045" s="5" t="n">
        <v>155</v>
      </c>
      <c r="K9045" s="10">
        <f>IF(F9045&gt;0,H9045/F9045,"")</f>
        <v/>
      </c>
      <c r="L9045" s="16">
        <f>IF(AND(G9045&gt;0,H9045&gt;0),G9045/H9045,"")</f>
        <v/>
      </c>
    </row>
    <row r="9046">
      <c r="A9046" s="4" t="inlineStr">
        <is>
          <t>270</t>
        </is>
      </c>
      <c r="B9046" s="4" t="n">
        <v>2</v>
      </c>
      <c r="C9046" s="4" t="inlineStr">
        <is>
          <t>whitetail</t>
        </is>
      </c>
      <c r="D9046" s="4" t="n">
        <v>2004</v>
      </c>
      <c r="E9046" s="13" t="inlineStr">
        <is>
          <t>General</t>
        </is>
      </c>
      <c r="F9046" s="5" t="n">
        <v>2054</v>
      </c>
      <c r="G9046" s="5" t="n">
        <v>11902</v>
      </c>
      <c r="H9046" s="5" t="n">
        <v>291</v>
      </c>
      <c r="I9046" s="5" t="n">
        <v>188</v>
      </c>
      <c r="J9046" s="5" t="n">
        <v>93</v>
      </c>
      <c r="K9046" s="10">
        <f>IF(F9046&gt;0,H9046/F9046,"")</f>
        <v/>
      </c>
      <c r="L9046" s="16">
        <f>IF(AND(G9046&gt;0,H9046&gt;0),G9046/H9046,"")</f>
        <v/>
      </c>
    </row>
    <row r="9047">
      <c r="A9047" s="4" t="inlineStr">
        <is>
          <t>270</t>
        </is>
      </c>
      <c r="B9047" s="4" t="n">
        <v>2</v>
      </c>
      <c r="C9047" s="4" t="inlineStr">
        <is>
          <t>whitetail</t>
        </is>
      </c>
      <c r="D9047" s="4" t="n">
        <v>2005</v>
      </c>
      <c r="E9047" s="13" t="inlineStr">
        <is>
          <t>General</t>
        </is>
      </c>
      <c r="F9047" s="5" t="n">
        <v>2240</v>
      </c>
      <c r="G9047" s="5" t="n">
        <v>13158</v>
      </c>
      <c r="H9047" s="5" t="n">
        <v>344</v>
      </c>
      <c r="I9047" s="5" t="n">
        <v>195</v>
      </c>
      <c r="J9047" s="5" t="n">
        <v>139</v>
      </c>
      <c r="K9047" s="10">
        <f>IF(F9047&gt;0,H9047/F9047,"")</f>
        <v/>
      </c>
      <c r="L9047" s="16">
        <f>IF(AND(G9047&gt;0,H9047&gt;0),G9047/H9047,"")</f>
        <v/>
      </c>
    </row>
    <row r="9048">
      <c r="A9048" s="4" t="inlineStr">
        <is>
          <t>270</t>
        </is>
      </c>
      <c r="B9048" s="4" t="n">
        <v>2</v>
      </c>
      <c r="C9048" s="4" t="inlineStr">
        <is>
          <t>whitetail</t>
        </is>
      </c>
      <c r="D9048" s="4" t="n">
        <v>2006</v>
      </c>
      <c r="E9048" s="13" t="inlineStr">
        <is>
          <t>General</t>
        </is>
      </c>
      <c r="F9048" s="5" t="n">
        <v>2254</v>
      </c>
      <c r="G9048" s="5" t="n">
        <v>14670</v>
      </c>
      <c r="H9048" s="5" t="n">
        <v>440</v>
      </c>
      <c r="I9048" s="5" t="n">
        <v>242</v>
      </c>
      <c r="J9048" s="5" t="n">
        <v>189</v>
      </c>
      <c r="K9048" s="10">
        <f>IF(F9048&gt;0,H9048/F9048,"")</f>
        <v/>
      </c>
      <c r="L9048" s="16">
        <f>IF(AND(G9048&gt;0,H9048&gt;0),G9048/H9048,"")</f>
        <v/>
      </c>
    </row>
    <row r="9049">
      <c r="A9049" s="4" t="inlineStr">
        <is>
          <t>270</t>
        </is>
      </c>
      <c r="B9049" s="4" t="n">
        <v>2</v>
      </c>
      <c r="C9049" s="4" t="inlineStr">
        <is>
          <t>whitetail</t>
        </is>
      </c>
      <c r="D9049" s="4" t="n">
        <v>2007</v>
      </c>
      <c r="E9049" s="13" t="inlineStr">
        <is>
          <t>General</t>
        </is>
      </c>
      <c r="F9049" s="5" t="n">
        <v>2007</v>
      </c>
      <c r="G9049" s="5" t="n">
        <v>16072</v>
      </c>
      <c r="H9049" s="5" t="n">
        <v>354</v>
      </c>
      <c r="I9049" s="5" t="n">
        <v>146</v>
      </c>
      <c r="J9049" s="5" t="n">
        <v>208</v>
      </c>
      <c r="K9049" s="10">
        <f>IF(F9049&gt;0,H9049/F9049,"")</f>
        <v/>
      </c>
      <c r="L9049" s="16">
        <f>IF(AND(G9049&gt;0,H9049&gt;0),G9049/H9049,"")</f>
        <v/>
      </c>
    </row>
    <row r="9050">
      <c r="A9050" s="4" t="inlineStr">
        <is>
          <t>270</t>
        </is>
      </c>
      <c r="B9050" s="4" t="n">
        <v>2</v>
      </c>
      <c r="C9050" s="4" t="inlineStr">
        <is>
          <t>whitetail</t>
        </is>
      </c>
      <c r="D9050" s="4" t="n">
        <v>2008</v>
      </c>
      <c r="E9050" s="13" t="inlineStr">
        <is>
          <t>General</t>
        </is>
      </c>
      <c r="F9050" s="5" t="n">
        <v>2072</v>
      </c>
      <c r="G9050" s="5" t="n">
        <v>14471</v>
      </c>
      <c r="H9050" s="5" t="n">
        <v>328</v>
      </c>
      <c r="I9050" s="5" t="n">
        <v>152</v>
      </c>
      <c r="J9050" s="5" t="n">
        <v>170</v>
      </c>
      <c r="K9050" s="10">
        <f>IF(F9050&gt;0,H9050/F9050,"")</f>
        <v/>
      </c>
      <c r="L9050" s="16">
        <f>IF(AND(G9050&gt;0,H9050&gt;0),G9050/H9050,"")</f>
        <v/>
      </c>
    </row>
    <row r="9051">
      <c r="A9051" s="4" t="inlineStr">
        <is>
          <t>270</t>
        </is>
      </c>
      <c r="B9051" s="4" t="n">
        <v>2</v>
      </c>
      <c r="C9051" s="4" t="inlineStr">
        <is>
          <t>whitetail</t>
        </is>
      </c>
      <c r="D9051" s="4" t="n">
        <v>2009</v>
      </c>
      <c r="E9051" s="13" t="inlineStr">
        <is>
          <t>General</t>
        </is>
      </c>
      <c r="F9051" s="5" t="n">
        <v>1697</v>
      </c>
      <c r="G9051" s="5" t="n">
        <v>11139</v>
      </c>
      <c r="H9051" s="5" t="n">
        <v>199</v>
      </c>
      <c r="I9051" s="5" t="n">
        <v>145</v>
      </c>
      <c r="J9051" s="5" t="n">
        <v>54</v>
      </c>
      <c r="K9051" s="10">
        <f>IF(F9051&gt;0,H9051/F9051,"")</f>
        <v/>
      </c>
      <c r="L9051" s="16">
        <f>IF(AND(G9051&gt;0,H9051&gt;0),G9051/H9051,"")</f>
        <v/>
      </c>
    </row>
    <row r="9052">
      <c r="A9052" s="4" t="inlineStr">
        <is>
          <t>270</t>
        </is>
      </c>
      <c r="B9052" s="4" t="n">
        <v>2</v>
      </c>
      <c r="C9052" s="4" t="inlineStr">
        <is>
          <t>whitetail</t>
        </is>
      </c>
      <c r="D9052" s="4" t="n">
        <v>2010</v>
      </c>
      <c r="E9052" s="13" t="inlineStr">
        <is>
          <t>General</t>
        </is>
      </c>
      <c r="F9052" s="5" t="n">
        <v>1498</v>
      </c>
      <c r="G9052" s="5" t="n">
        <v>10948</v>
      </c>
      <c r="H9052" s="5" t="n">
        <v>218</v>
      </c>
      <c r="I9052" s="5" t="n">
        <v>124</v>
      </c>
      <c r="J9052" s="5" t="n">
        <v>95</v>
      </c>
      <c r="K9052" s="10">
        <f>IF(F9052&gt;0,H9052/F9052,"")</f>
        <v/>
      </c>
      <c r="L9052" s="16">
        <f>IF(AND(G9052&gt;0,H9052&gt;0),G9052/H9052,"")</f>
        <v/>
      </c>
    </row>
    <row r="9053">
      <c r="A9053" s="4" t="inlineStr">
        <is>
          <t>270</t>
        </is>
      </c>
      <c r="B9053" s="4" t="n">
        <v>2</v>
      </c>
      <c r="C9053" s="4" t="inlineStr">
        <is>
          <t>whitetail</t>
        </is>
      </c>
      <c r="D9053" s="4" t="n">
        <v>2011</v>
      </c>
      <c r="E9053" s="13" t="inlineStr">
        <is>
          <t>General</t>
        </is>
      </c>
      <c r="F9053" s="5" t="n">
        <v>1480</v>
      </c>
      <c r="G9053" s="5" t="n">
        <v>11318</v>
      </c>
      <c r="H9053" s="5" t="n">
        <v>224</v>
      </c>
      <c r="I9053" s="5" t="n">
        <v>163</v>
      </c>
      <c r="J9053" s="5" t="n">
        <v>55</v>
      </c>
      <c r="K9053" s="10">
        <f>IF(F9053&gt;0,H9053/F9053,"")</f>
        <v/>
      </c>
      <c r="L9053" s="16">
        <f>IF(AND(G9053&gt;0,H9053&gt;0),G9053/H9053,"")</f>
        <v/>
      </c>
    </row>
    <row r="9054">
      <c r="A9054" s="4" t="inlineStr">
        <is>
          <t>270</t>
        </is>
      </c>
      <c r="B9054" s="4" t="n">
        <v>2</v>
      </c>
      <c r="C9054" s="4" t="inlineStr">
        <is>
          <t>whitetail</t>
        </is>
      </c>
      <c r="D9054" s="4" t="n">
        <v>2012</v>
      </c>
      <c r="E9054" s="13" t="inlineStr">
        <is>
          <t>General</t>
        </is>
      </c>
      <c r="F9054" s="5" t="n"/>
      <c r="G9054" s="5" t="n"/>
      <c r="H9054" s="5" t="n">
        <v>208</v>
      </c>
      <c r="I9054" s="5" t="n">
        <v>126</v>
      </c>
      <c r="J9054" s="5" t="n">
        <v>74</v>
      </c>
      <c r="K9054" s="10">
        <f>IF(F9054&gt;0,H9054/F9054,"")</f>
        <v/>
      </c>
      <c r="L9054" s="16">
        <f>IF(AND(G9054&gt;0,H9054&gt;0),G9054/H9054,"")</f>
        <v/>
      </c>
    </row>
    <row r="9055">
      <c r="A9055" s="4" t="inlineStr">
        <is>
          <t>270</t>
        </is>
      </c>
      <c r="B9055" s="4" t="n">
        <v>2</v>
      </c>
      <c r="C9055" s="4" t="inlineStr">
        <is>
          <t>whitetail</t>
        </is>
      </c>
      <c r="D9055" s="4" t="n">
        <v>2013</v>
      </c>
      <c r="E9055" s="13" t="inlineStr">
        <is>
          <t>General</t>
        </is>
      </c>
      <c r="F9055" s="5" t="n">
        <v>1302</v>
      </c>
      <c r="G9055" s="5" t="n">
        <v>8727</v>
      </c>
      <c r="H9055" s="5" t="n">
        <v>231</v>
      </c>
      <c r="I9055" s="5" t="n">
        <v>164</v>
      </c>
      <c r="J9055" s="5" t="n">
        <v>67</v>
      </c>
      <c r="K9055" s="10">
        <f>IF(F9055&gt;0,H9055/F9055,"")</f>
        <v/>
      </c>
      <c r="L9055" s="16">
        <f>IF(AND(G9055&gt;0,H9055&gt;0),G9055/H9055,"")</f>
        <v/>
      </c>
    </row>
    <row r="9056">
      <c r="A9056" s="4" t="inlineStr">
        <is>
          <t>270</t>
        </is>
      </c>
      <c r="B9056" s="4" t="n">
        <v>2</v>
      </c>
      <c r="C9056" s="4" t="inlineStr">
        <is>
          <t>whitetail</t>
        </is>
      </c>
      <c r="D9056" s="4" t="n">
        <v>2014</v>
      </c>
      <c r="E9056" s="13" t="inlineStr">
        <is>
          <t>General</t>
        </is>
      </c>
      <c r="F9056" s="5" t="n"/>
      <c r="G9056" s="5" t="n"/>
      <c r="H9056" s="5" t="n">
        <v>337</v>
      </c>
      <c r="I9056" s="5" t="n">
        <v>242</v>
      </c>
      <c r="J9056" s="5" t="n">
        <v>93</v>
      </c>
      <c r="K9056" s="10">
        <f>IF(F9056&gt;0,H9056/F9056,"")</f>
        <v/>
      </c>
      <c r="L9056" s="16">
        <f>IF(AND(G9056&gt;0,H9056&gt;0),G9056/H9056,"")</f>
        <v/>
      </c>
    </row>
    <row r="9057">
      <c r="A9057" s="4" t="inlineStr">
        <is>
          <t>270</t>
        </is>
      </c>
      <c r="B9057" s="4" t="n">
        <v>2</v>
      </c>
      <c r="C9057" s="4" t="inlineStr">
        <is>
          <t>whitetail</t>
        </is>
      </c>
      <c r="D9057" s="4" t="n">
        <v>2015</v>
      </c>
      <c r="E9057" s="13" t="inlineStr">
        <is>
          <t>General</t>
        </is>
      </c>
      <c r="F9057" s="5" t="n"/>
      <c r="G9057" s="5" t="n"/>
      <c r="H9057" s="5" t="n">
        <v>270</v>
      </c>
      <c r="I9057" s="5" t="n">
        <v>207</v>
      </c>
      <c r="J9057" s="5" t="n">
        <v>58</v>
      </c>
      <c r="K9057" s="10">
        <f>IF(F9057&gt;0,H9057/F9057,"")</f>
        <v/>
      </c>
      <c r="L9057" s="16">
        <f>IF(AND(G9057&gt;0,H9057&gt;0),G9057/H9057,"")</f>
        <v/>
      </c>
    </row>
    <row r="9058">
      <c r="A9058" s="4" t="inlineStr">
        <is>
          <t>270</t>
        </is>
      </c>
      <c r="B9058" s="4" t="n">
        <v>2</v>
      </c>
      <c r="C9058" s="4" t="inlineStr">
        <is>
          <t>whitetail</t>
        </is>
      </c>
      <c r="D9058" s="4" t="n">
        <v>2016</v>
      </c>
      <c r="E9058" s="13" t="inlineStr">
        <is>
          <t>General</t>
        </is>
      </c>
      <c r="F9058" s="5" t="n"/>
      <c r="G9058" s="5" t="n"/>
      <c r="H9058" s="5" t="n">
        <v>233</v>
      </c>
      <c r="I9058" s="5" t="n">
        <v>185</v>
      </c>
      <c r="J9058" s="5" t="n">
        <v>45</v>
      </c>
      <c r="K9058" s="10">
        <f>IF(F9058&gt;0,H9058/F9058,"")</f>
        <v/>
      </c>
      <c r="L9058" s="16">
        <f>IF(AND(G9058&gt;0,H9058&gt;0),G9058/H9058,"")</f>
        <v/>
      </c>
    </row>
    <row r="9059">
      <c r="A9059" s="4" t="inlineStr">
        <is>
          <t>270</t>
        </is>
      </c>
      <c r="B9059" s="4" t="n">
        <v>2</v>
      </c>
      <c r="C9059" s="4" t="inlineStr">
        <is>
          <t>whitetail</t>
        </is>
      </c>
      <c r="D9059" s="4" t="n">
        <v>2017</v>
      </c>
      <c r="E9059" s="13" t="inlineStr">
        <is>
          <t>General</t>
        </is>
      </c>
      <c r="F9059" s="5" t="n">
        <v>1248</v>
      </c>
      <c r="G9059" s="5" t="n">
        <v>9645</v>
      </c>
      <c r="H9059" s="5" t="n">
        <v>257</v>
      </c>
      <c r="I9059" s="5" t="n">
        <v>218</v>
      </c>
      <c r="J9059" s="5" t="n">
        <v>36</v>
      </c>
      <c r="K9059" s="10">
        <f>IF(F9059&gt;0,H9059/F9059,"")</f>
        <v/>
      </c>
      <c r="L9059" s="16">
        <f>IF(AND(G9059&gt;0,H9059&gt;0),G9059/H9059,"")</f>
        <v/>
      </c>
    </row>
    <row r="9060">
      <c r="A9060" s="4" t="inlineStr">
        <is>
          <t>270</t>
        </is>
      </c>
      <c r="B9060" s="4" t="n">
        <v>2</v>
      </c>
      <c r="C9060" s="4" t="inlineStr">
        <is>
          <t>whitetail</t>
        </is>
      </c>
      <c r="D9060" s="4" t="n">
        <v>2018</v>
      </c>
      <c r="E9060" s="13" t="inlineStr">
        <is>
          <t>General</t>
        </is>
      </c>
      <c r="F9060" s="5" t="n"/>
      <c r="G9060" s="5" t="n"/>
      <c r="H9060" s="5" t="n">
        <v>194</v>
      </c>
      <c r="I9060" s="5" t="n">
        <v>160</v>
      </c>
      <c r="J9060" s="5" t="n">
        <v>34</v>
      </c>
      <c r="K9060" s="10">
        <f>IF(F9060&gt;0,H9060/F9060,"")</f>
        <v/>
      </c>
      <c r="L9060" s="16">
        <f>IF(AND(G9060&gt;0,H9060&gt;0),G9060/H9060,"")</f>
        <v/>
      </c>
    </row>
    <row r="9061">
      <c r="A9061" s="4" t="inlineStr">
        <is>
          <t>270</t>
        </is>
      </c>
      <c r="B9061" s="4" t="n">
        <v>2</v>
      </c>
      <c r="C9061" s="4" t="inlineStr">
        <is>
          <t>whitetail</t>
        </is>
      </c>
      <c r="D9061" s="4" t="n">
        <v>2019</v>
      </c>
      <c r="E9061" s="13" t="inlineStr">
        <is>
          <t>General</t>
        </is>
      </c>
      <c r="F9061" s="5" t="n">
        <v>1335</v>
      </c>
      <c r="G9061" s="5" t="n">
        <v>11145</v>
      </c>
      <c r="H9061" s="5" t="n">
        <v>214</v>
      </c>
      <c r="I9061" s="5" t="n">
        <v>180</v>
      </c>
      <c r="J9061" s="5" t="n">
        <v>33</v>
      </c>
      <c r="K9061" s="10">
        <f>IF(F9061&gt;0,H9061/F9061,"")</f>
        <v/>
      </c>
      <c r="L9061" s="16">
        <f>IF(AND(G9061&gt;0,H9061&gt;0),G9061/H9061,"")</f>
        <v/>
      </c>
    </row>
    <row r="9062">
      <c r="A9062" s="4" t="inlineStr">
        <is>
          <t>270</t>
        </is>
      </c>
      <c r="B9062" s="4" t="n">
        <v>2</v>
      </c>
      <c r="C9062" s="4" t="inlineStr">
        <is>
          <t>whitetail</t>
        </is>
      </c>
      <c r="D9062" s="4" t="n">
        <v>2020</v>
      </c>
      <c r="E9062" s="13" t="inlineStr">
        <is>
          <t>General</t>
        </is>
      </c>
      <c r="F9062" s="5" t="n"/>
      <c r="G9062" s="5" t="n"/>
      <c r="H9062" s="5" t="n">
        <v>205</v>
      </c>
      <c r="I9062" s="5" t="n">
        <v>129</v>
      </c>
      <c r="J9062" s="5" t="n">
        <v>77</v>
      </c>
      <c r="K9062" s="10">
        <f>IF(F9062&gt;0,H9062/F9062,"")</f>
        <v/>
      </c>
      <c r="L9062" s="16">
        <f>IF(AND(G9062&gt;0,H9062&gt;0),G9062/H9062,"")</f>
        <v/>
      </c>
    </row>
    <row r="9063">
      <c r="A9063" s="4" t="inlineStr">
        <is>
          <t>270</t>
        </is>
      </c>
      <c r="B9063" s="4" t="n">
        <v>2</v>
      </c>
      <c r="C9063" s="4" t="inlineStr">
        <is>
          <t>whitetail</t>
        </is>
      </c>
      <c r="D9063" s="4" t="n">
        <v>2021</v>
      </c>
      <c r="E9063" s="13" t="inlineStr">
        <is>
          <t>General</t>
        </is>
      </c>
      <c r="F9063" s="5" t="n">
        <v>1501</v>
      </c>
      <c r="G9063" s="5" t="n">
        <v>12220</v>
      </c>
      <c r="H9063" s="5" t="n">
        <v>293</v>
      </c>
      <c r="I9063" s="5" t="n">
        <v>221</v>
      </c>
      <c r="J9063" s="5" t="n">
        <v>72</v>
      </c>
      <c r="K9063" s="10">
        <f>IF(F9063&gt;0,H9063/F9063,"")</f>
        <v/>
      </c>
      <c r="L9063" s="16">
        <f>IF(AND(G9063&gt;0,H9063&gt;0),G9063/H9063,"")</f>
        <v/>
      </c>
    </row>
    <row r="9064">
      <c r="A9064" s="4" t="inlineStr">
        <is>
          <t>270</t>
        </is>
      </c>
      <c r="B9064" s="4" t="n">
        <v>2</v>
      </c>
      <c r="C9064" s="4" t="inlineStr">
        <is>
          <t>whitetail</t>
        </is>
      </c>
      <c r="D9064" s="4" t="n">
        <v>2022</v>
      </c>
      <c r="E9064" s="13" t="inlineStr">
        <is>
          <t>General</t>
        </is>
      </c>
      <c r="F9064" s="5" t="n"/>
      <c r="G9064" s="5" t="n"/>
      <c r="H9064" s="5" t="n">
        <v>279</v>
      </c>
      <c r="I9064" s="5" t="n">
        <v>215</v>
      </c>
      <c r="J9064" s="5" t="n">
        <v>64</v>
      </c>
      <c r="K9064" s="10">
        <f>IF(F9064&gt;0,H9064/F9064,"")</f>
        <v/>
      </c>
      <c r="L9064" s="16">
        <f>IF(AND(G9064&gt;0,H9064&gt;0),G9064/H9064,"")</f>
        <v/>
      </c>
    </row>
    <row r="9065">
      <c r="A9065" s="4" t="inlineStr">
        <is>
          <t>270</t>
        </is>
      </c>
      <c r="B9065" s="4" t="n">
        <v>2</v>
      </c>
      <c r="C9065" s="4" t="inlineStr">
        <is>
          <t>whitetail</t>
        </is>
      </c>
      <c r="D9065" s="4" t="n">
        <v>2023</v>
      </c>
      <c r="E9065" s="13" t="inlineStr">
        <is>
          <t>General</t>
        </is>
      </c>
      <c r="F9065" s="5" t="n">
        <v>1887</v>
      </c>
      <c r="G9065" s="5" t="n">
        <v>14284</v>
      </c>
      <c r="H9065" s="5" t="n">
        <v>410</v>
      </c>
      <c r="I9065" s="5" t="n">
        <v>333</v>
      </c>
      <c r="J9065" s="5" t="n">
        <v>78</v>
      </c>
      <c r="K9065" s="10">
        <f>IF(F9065&gt;0,H9065/F9065,"")</f>
        <v/>
      </c>
      <c r="L9065" s="16">
        <f>IF(AND(G9065&gt;0,H9065&gt;0),G9065/H9065,"")</f>
        <v/>
      </c>
    </row>
    <row r="9066">
      <c r="A9066" s="4" t="inlineStr">
        <is>
          <t>270</t>
        </is>
      </c>
      <c r="B9066" s="4" t="n">
        <v>2</v>
      </c>
      <c r="C9066" s="4" t="inlineStr">
        <is>
          <t>whitetail</t>
        </is>
      </c>
      <c r="D9066" s="4" t="n">
        <v>2024</v>
      </c>
      <c r="E9066" s="13" t="inlineStr">
        <is>
          <t>General</t>
        </is>
      </c>
      <c r="F9066" s="5" t="n"/>
      <c r="G9066" s="5" t="n"/>
      <c r="H9066" s="5" t="n">
        <v>414</v>
      </c>
      <c r="I9066" s="5" t="n">
        <v>329</v>
      </c>
      <c r="J9066" s="5" t="n">
        <v>86</v>
      </c>
      <c r="K9066" s="10">
        <f>IF(F9066&gt;0,H9066/F9066,"")</f>
        <v/>
      </c>
      <c r="L9066" s="16">
        <f>IF(AND(G9066&gt;0,H9066&gt;0),G9066/H9066,"")</f>
        <v/>
      </c>
    </row>
    <row r="9067">
      <c r="A9067" s="4" t="inlineStr">
        <is>
          <t>270</t>
        </is>
      </c>
      <c r="B9067" s="4" t="n">
        <v>2</v>
      </c>
      <c r="C9067" s="4" t="inlineStr">
        <is>
          <t>whitetail</t>
        </is>
      </c>
      <c r="D9067" s="4" t="n">
        <v>2025</v>
      </c>
      <c r="E9067" s="13" t="inlineStr">
        <is>
          <t>General</t>
        </is>
      </c>
      <c r="F9067" s="5" t="n">
        <v>1968</v>
      </c>
      <c r="G9067" s="5" t="n">
        <v>16116</v>
      </c>
      <c r="H9067" s="5" t="n">
        <v>318</v>
      </c>
      <c r="I9067" s="5" t="n">
        <v>251</v>
      </c>
      <c r="J9067" s="5" t="n">
        <v>67</v>
      </c>
      <c r="K9067" s="10">
        <f>IF(F9067&gt;0,H9067/F9067,"")</f>
        <v/>
      </c>
      <c r="L9067" s="16">
        <f>IF(AND(G9067&gt;0,H9067&gt;0),G9067/H9067,"")</f>
        <v/>
      </c>
    </row>
    <row r="9068">
      <c r="A9068" s="4" t="inlineStr">
        <is>
          <t>280</t>
        </is>
      </c>
      <c r="B9068" s="4" t="n">
        <v>2</v>
      </c>
      <c r="C9068" s="4" t="inlineStr">
        <is>
          <t>whitetail</t>
        </is>
      </c>
      <c r="D9068" s="4" t="n">
        <v>2004</v>
      </c>
      <c r="E9068" s="13" t="inlineStr">
        <is>
          <t>General</t>
        </is>
      </c>
      <c r="F9068" s="5" t="n">
        <v>245</v>
      </c>
      <c r="G9068" s="5" t="n">
        <v>1285</v>
      </c>
      <c r="H9068" s="5" t="n">
        <v>32</v>
      </c>
      <c r="I9068" s="5" t="n">
        <v>26</v>
      </c>
      <c r="J9068" s="5" t="n">
        <v>7</v>
      </c>
      <c r="K9068" s="10">
        <f>IF(F9068&gt;0,H9068/F9068,"")</f>
        <v/>
      </c>
      <c r="L9068" s="16">
        <f>IF(AND(G9068&gt;0,H9068&gt;0),G9068/H9068,"")</f>
        <v/>
      </c>
    </row>
    <row r="9069">
      <c r="A9069" s="4" t="inlineStr">
        <is>
          <t>280</t>
        </is>
      </c>
      <c r="B9069" s="4" t="n">
        <v>2</v>
      </c>
      <c r="C9069" s="4" t="inlineStr">
        <is>
          <t>whitetail</t>
        </is>
      </c>
      <c r="D9069" s="4" t="n">
        <v>2005</v>
      </c>
      <c r="E9069" s="13" t="inlineStr">
        <is>
          <t>General</t>
        </is>
      </c>
      <c r="F9069" s="5" t="n">
        <v>296</v>
      </c>
      <c r="G9069" s="5" t="n">
        <v>1481</v>
      </c>
      <c r="H9069" s="5" t="n">
        <v>16</v>
      </c>
      <c r="I9069" s="5" t="n">
        <v>8</v>
      </c>
      <c r="J9069" s="5" t="n">
        <v>7</v>
      </c>
      <c r="K9069" s="10">
        <f>IF(F9069&gt;0,H9069/F9069,"")</f>
        <v/>
      </c>
      <c r="L9069" s="16">
        <f>IF(AND(G9069&gt;0,H9069&gt;0),G9069/H9069,"")</f>
        <v/>
      </c>
    </row>
    <row r="9070">
      <c r="A9070" s="4" t="inlineStr">
        <is>
          <t>280</t>
        </is>
      </c>
      <c r="B9070" s="4" t="n">
        <v>2</v>
      </c>
      <c r="C9070" s="4" t="inlineStr">
        <is>
          <t>whitetail</t>
        </is>
      </c>
      <c r="D9070" s="4" t="n">
        <v>2006</v>
      </c>
      <c r="E9070" s="13" t="inlineStr">
        <is>
          <t>General</t>
        </is>
      </c>
      <c r="F9070" s="5" t="n">
        <v>460</v>
      </c>
      <c r="G9070" s="5" t="n">
        <v>2736</v>
      </c>
      <c r="H9070" s="5" t="n">
        <v>40</v>
      </c>
      <c r="I9070" s="5" t="n">
        <v>21</v>
      </c>
      <c r="J9070" s="5" t="n">
        <v>18</v>
      </c>
      <c r="K9070" s="10">
        <f>IF(F9070&gt;0,H9070/F9070,"")</f>
        <v/>
      </c>
      <c r="L9070" s="16">
        <f>IF(AND(G9070&gt;0,H9070&gt;0),G9070/H9070,"")</f>
        <v/>
      </c>
    </row>
    <row r="9071">
      <c r="A9071" s="4" t="inlineStr">
        <is>
          <t>280</t>
        </is>
      </c>
      <c r="B9071" s="4" t="n">
        <v>2</v>
      </c>
      <c r="C9071" s="4" t="inlineStr">
        <is>
          <t>whitetail</t>
        </is>
      </c>
      <c r="D9071" s="4" t="n">
        <v>2007</v>
      </c>
      <c r="E9071" s="13" t="inlineStr">
        <is>
          <t>General</t>
        </is>
      </c>
      <c r="F9071" s="5" t="n">
        <v>173</v>
      </c>
      <c r="G9071" s="5" t="n">
        <v>1024</v>
      </c>
      <c r="H9071" s="5" t="n">
        <v>21</v>
      </c>
      <c r="I9071" s="5" t="n">
        <v>14</v>
      </c>
      <c r="J9071" s="5" t="n">
        <v>7</v>
      </c>
      <c r="K9071" s="10">
        <f>IF(F9071&gt;0,H9071/F9071,"")</f>
        <v/>
      </c>
      <c r="L9071" s="16">
        <f>IF(AND(G9071&gt;0,H9071&gt;0),G9071/H9071,"")</f>
        <v/>
      </c>
    </row>
    <row r="9072">
      <c r="A9072" s="4" t="inlineStr">
        <is>
          <t>280</t>
        </is>
      </c>
      <c r="B9072" s="4" t="n">
        <v>2</v>
      </c>
      <c r="C9072" s="4" t="inlineStr">
        <is>
          <t>whitetail</t>
        </is>
      </c>
      <c r="D9072" s="4" t="n">
        <v>2008</v>
      </c>
      <c r="E9072" s="13" t="inlineStr">
        <is>
          <t>General</t>
        </is>
      </c>
      <c r="F9072" s="5" t="n">
        <v>290</v>
      </c>
      <c r="G9072" s="5" t="n">
        <v>1918</v>
      </c>
      <c r="H9072" s="5" t="n">
        <v>15</v>
      </c>
      <c r="I9072" s="5" t="n">
        <v>12</v>
      </c>
      <c r="J9072" s="5" t="n">
        <v>3</v>
      </c>
      <c r="K9072" s="10">
        <f>IF(F9072&gt;0,H9072/F9072,"")</f>
        <v/>
      </c>
      <c r="L9072" s="16">
        <f>IF(AND(G9072&gt;0,H9072&gt;0),G9072/H9072,"")</f>
        <v/>
      </c>
    </row>
    <row r="9073">
      <c r="A9073" s="4" t="inlineStr">
        <is>
          <t>280</t>
        </is>
      </c>
      <c r="B9073" s="4" t="n">
        <v>2</v>
      </c>
      <c r="C9073" s="4" t="inlineStr">
        <is>
          <t>whitetail</t>
        </is>
      </c>
      <c r="D9073" s="4" t="n">
        <v>2009</v>
      </c>
      <c r="E9073" s="13" t="inlineStr">
        <is>
          <t>General</t>
        </is>
      </c>
      <c r="F9073" s="5" t="n">
        <v>264</v>
      </c>
      <c r="G9073" s="5" t="n">
        <v>1599</v>
      </c>
      <c r="H9073" s="5" t="n">
        <v>18</v>
      </c>
      <c r="I9073" s="5" t="n">
        <v>15</v>
      </c>
      <c r="J9073" s="5" t="n">
        <v>3</v>
      </c>
      <c r="K9073" s="10">
        <f>IF(F9073&gt;0,H9073/F9073,"")</f>
        <v/>
      </c>
      <c r="L9073" s="16">
        <f>IF(AND(G9073&gt;0,H9073&gt;0),G9073/H9073,"")</f>
        <v/>
      </c>
    </row>
    <row r="9074">
      <c r="A9074" s="4" t="inlineStr">
        <is>
          <t>280</t>
        </is>
      </c>
      <c r="B9074" s="4" t="n">
        <v>2</v>
      </c>
      <c r="C9074" s="4" t="inlineStr">
        <is>
          <t>whitetail</t>
        </is>
      </c>
      <c r="D9074" s="4" t="n">
        <v>2011</v>
      </c>
      <c r="E9074" s="13" t="inlineStr">
        <is>
          <t>General</t>
        </is>
      </c>
      <c r="F9074" s="5" t="n">
        <v>295</v>
      </c>
      <c r="G9074" s="5" t="n">
        <v>2283</v>
      </c>
      <c r="H9074" s="5" t="n">
        <v>14</v>
      </c>
      <c r="I9074" s="5" t="n">
        <v>14</v>
      </c>
      <c r="J9074" s="5" t="n">
        <v>0</v>
      </c>
      <c r="K9074" s="10">
        <f>IF(F9074&gt;0,H9074/F9074,"")</f>
        <v/>
      </c>
      <c r="L9074" s="16">
        <f>IF(AND(G9074&gt;0,H9074&gt;0),G9074/H9074,"")</f>
        <v/>
      </c>
    </row>
    <row r="9075">
      <c r="A9075" s="4" t="inlineStr">
        <is>
          <t>280</t>
        </is>
      </c>
      <c r="B9075" s="4" t="n">
        <v>2</v>
      </c>
      <c r="C9075" s="4" t="inlineStr">
        <is>
          <t>whitetail</t>
        </is>
      </c>
      <c r="D9075" s="4" t="n">
        <v>2012</v>
      </c>
      <c r="E9075" s="13" t="inlineStr">
        <is>
          <t>General</t>
        </is>
      </c>
      <c r="F9075" s="5" t="n"/>
      <c r="G9075" s="5" t="n"/>
      <c r="H9075" s="5" t="n">
        <v>8</v>
      </c>
      <c r="I9075" s="5" t="n">
        <v>8</v>
      </c>
      <c r="J9075" s="5" t="n">
        <v>0</v>
      </c>
      <c r="K9075" s="10">
        <f>IF(F9075&gt;0,H9075/F9075,"")</f>
        <v/>
      </c>
      <c r="L9075" s="16">
        <f>IF(AND(G9075&gt;0,H9075&gt;0),G9075/H9075,"")</f>
        <v/>
      </c>
    </row>
    <row r="9076">
      <c r="A9076" s="4" t="inlineStr">
        <is>
          <t>280</t>
        </is>
      </c>
      <c r="B9076" s="4" t="n">
        <v>2</v>
      </c>
      <c r="C9076" s="4" t="inlineStr">
        <is>
          <t>whitetail</t>
        </is>
      </c>
      <c r="D9076" s="4" t="n">
        <v>2013</v>
      </c>
      <c r="E9076" s="13" t="inlineStr">
        <is>
          <t>General</t>
        </is>
      </c>
      <c r="F9076" s="5" t="n">
        <v>206</v>
      </c>
      <c r="G9076" s="5" t="n">
        <v>1328</v>
      </c>
      <c r="H9076" s="5" t="n">
        <v>3</v>
      </c>
      <c r="I9076" s="5" t="n">
        <v>3</v>
      </c>
      <c r="J9076" s="5" t="n">
        <v>0</v>
      </c>
      <c r="K9076" s="10">
        <f>IF(F9076&gt;0,H9076/F9076,"")</f>
        <v/>
      </c>
      <c r="L9076" s="16">
        <f>IF(AND(G9076&gt;0,H9076&gt;0),G9076/H9076,"")</f>
        <v/>
      </c>
    </row>
    <row r="9077">
      <c r="A9077" s="4" t="inlineStr">
        <is>
          <t>280</t>
        </is>
      </c>
      <c r="B9077" s="4" t="n">
        <v>2</v>
      </c>
      <c r="C9077" s="4" t="inlineStr">
        <is>
          <t>whitetail</t>
        </is>
      </c>
      <c r="D9077" s="4" t="n">
        <v>2014</v>
      </c>
      <c r="E9077" s="13" t="inlineStr">
        <is>
          <t>General</t>
        </is>
      </c>
      <c r="F9077" s="5" t="n"/>
      <c r="G9077" s="5" t="n"/>
      <c r="H9077" s="5" t="n">
        <v>28</v>
      </c>
      <c r="I9077" s="5" t="n">
        <v>28</v>
      </c>
      <c r="J9077" s="5" t="n">
        <v>0</v>
      </c>
      <c r="K9077" s="10">
        <f>IF(F9077&gt;0,H9077/F9077,"")</f>
        <v/>
      </c>
      <c r="L9077" s="16">
        <f>IF(AND(G9077&gt;0,H9077&gt;0),G9077/H9077,"")</f>
        <v/>
      </c>
    </row>
    <row r="9078">
      <c r="A9078" s="4" t="inlineStr">
        <is>
          <t>280</t>
        </is>
      </c>
      <c r="B9078" s="4" t="n">
        <v>2</v>
      </c>
      <c r="C9078" s="4" t="inlineStr">
        <is>
          <t>whitetail</t>
        </is>
      </c>
      <c r="D9078" s="4" t="n">
        <v>2015</v>
      </c>
      <c r="E9078" s="13" t="inlineStr">
        <is>
          <t>General</t>
        </is>
      </c>
      <c r="F9078" s="5" t="n"/>
      <c r="G9078" s="5" t="n"/>
      <c r="H9078" s="5" t="n">
        <v>6</v>
      </c>
      <c r="I9078" s="5" t="n">
        <v>6</v>
      </c>
      <c r="J9078" s="5" t="n">
        <v>0</v>
      </c>
      <c r="K9078" s="10">
        <f>IF(F9078&gt;0,H9078/F9078,"")</f>
        <v/>
      </c>
      <c r="L9078" s="16">
        <f>IF(AND(G9078&gt;0,H9078&gt;0),G9078/H9078,"")</f>
        <v/>
      </c>
    </row>
    <row r="9079">
      <c r="A9079" s="4" t="inlineStr">
        <is>
          <t>280</t>
        </is>
      </c>
      <c r="B9079" s="4" t="n">
        <v>2</v>
      </c>
      <c r="C9079" s="4" t="inlineStr">
        <is>
          <t>whitetail</t>
        </is>
      </c>
      <c r="D9079" s="4" t="n">
        <v>2016</v>
      </c>
      <c r="E9079" s="13" t="inlineStr">
        <is>
          <t>General</t>
        </is>
      </c>
      <c r="F9079" s="5" t="n"/>
      <c r="G9079" s="5" t="n"/>
      <c r="H9079" s="5" t="n">
        <v>15</v>
      </c>
      <c r="I9079" s="5" t="n">
        <v>15</v>
      </c>
      <c r="J9079" s="5" t="n">
        <v>0</v>
      </c>
      <c r="K9079" s="10">
        <f>IF(F9079&gt;0,H9079/F9079,"")</f>
        <v/>
      </c>
      <c r="L9079" s="16">
        <f>IF(AND(G9079&gt;0,H9079&gt;0),G9079/H9079,"")</f>
        <v/>
      </c>
    </row>
    <row r="9080">
      <c r="A9080" s="4" t="inlineStr">
        <is>
          <t>280</t>
        </is>
      </c>
      <c r="B9080" s="4" t="n">
        <v>2</v>
      </c>
      <c r="C9080" s="4" t="inlineStr">
        <is>
          <t>whitetail</t>
        </is>
      </c>
      <c r="D9080" s="4" t="n">
        <v>2017</v>
      </c>
      <c r="E9080" s="13" t="inlineStr">
        <is>
          <t>General</t>
        </is>
      </c>
      <c r="F9080" s="5" t="n">
        <v>142</v>
      </c>
      <c r="G9080" s="5" t="n">
        <v>996</v>
      </c>
      <c r="H9080" s="5" t="n">
        <v>21</v>
      </c>
      <c r="I9080" s="5" t="n">
        <v>21</v>
      </c>
      <c r="J9080" s="5" t="n">
        <v>0</v>
      </c>
      <c r="K9080" s="10">
        <f>IF(F9080&gt;0,H9080/F9080,"")</f>
        <v/>
      </c>
      <c r="L9080" s="16">
        <f>IF(AND(G9080&gt;0,H9080&gt;0),G9080/H9080,"")</f>
        <v/>
      </c>
    </row>
    <row r="9081">
      <c r="A9081" s="4" t="inlineStr">
        <is>
          <t>280</t>
        </is>
      </c>
      <c r="B9081" s="4" t="n">
        <v>2</v>
      </c>
      <c r="C9081" s="4" t="inlineStr">
        <is>
          <t>whitetail</t>
        </is>
      </c>
      <c r="D9081" s="4" t="n">
        <v>2018</v>
      </c>
      <c r="E9081" s="13" t="inlineStr">
        <is>
          <t>General</t>
        </is>
      </c>
      <c r="F9081" s="5" t="n"/>
      <c r="G9081" s="5" t="n"/>
      <c r="H9081" s="5" t="n">
        <v>9</v>
      </c>
      <c r="I9081" s="5" t="n">
        <v>3</v>
      </c>
      <c r="J9081" s="5" t="n">
        <v>6</v>
      </c>
      <c r="K9081" s="10">
        <f>IF(F9081&gt;0,H9081/F9081,"")</f>
        <v/>
      </c>
      <c r="L9081" s="16">
        <f>IF(AND(G9081&gt;0,H9081&gt;0),G9081/H9081,"")</f>
        <v/>
      </c>
    </row>
    <row r="9082">
      <c r="A9082" s="4" t="inlineStr">
        <is>
          <t>280</t>
        </is>
      </c>
      <c r="B9082" s="4" t="n">
        <v>2</v>
      </c>
      <c r="C9082" s="4" t="inlineStr">
        <is>
          <t>whitetail</t>
        </is>
      </c>
      <c r="D9082" s="4" t="n">
        <v>2019</v>
      </c>
      <c r="E9082" s="13" t="inlineStr">
        <is>
          <t>General</t>
        </is>
      </c>
      <c r="F9082" s="5" t="n">
        <v>112</v>
      </c>
      <c r="G9082" s="5" t="n">
        <v>872</v>
      </c>
      <c r="H9082" s="5" t="n">
        <v>21</v>
      </c>
      <c r="I9082" s="5" t="n">
        <v>19</v>
      </c>
      <c r="J9082" s="5" t="n">
        <v>2</v>
      </c>
      <c r="K9082" s="10">
        <f>IF(F9082&gt;0,H9082/F9082,"")</f>
        <v/>
      </c>
      <c r="L9082" s="16">
        <f>IF(AND(G9082&gt;0,H9082&gt;0),G9082/H9082,"")</f>
        <v/>
      </c>
    </row>
    <row r="9083">
      <c r="A9083" s="4" t="inlineStr">
        <is>
          <t>280</t>
        </is>
      </c>
      <c r="B9083" s="4" t="n">
        <v>2</v>
      </c>
      <c r="C9083" s="4" t="inlineStr">
        <is>
          <t>whitetail</t>
        </is>
      </c>
      <c r="D9083" s="4" t="n">
        <v>2020</v>
      </c>
      <c r="E9083" s="13" t="inlineStr">
        <is>
          <t>General</t>
        </is>
      </c>
      <c r="F9083" s="5" t="n"/>
      <c r="G9083" s="5" t="n"/>
      <c r="H9083" s="5" t="n">
        <v>7</v>
      </c>
      <c r="I9083" s="5" t="n">
        <v>0</v>
      </c>
      <c r="J9083" s="5" t="n">
        <v>7</v>
      </c>
      <c r="K9083" s="10">
        <f>IF(F9083&gt;0,H9083/F9083,"")</f>
        <v/>
      </c>
      <c r="L9083" s="16">
        <f>IF(AND(G9083&gt;0,H9083&gt;0),G9083/H9083,"")</f>
        <v/>
      </c>
    </row>
    <row r="9084">
      <c r="A9084" s="4" t="inlineStr">
        <is>
          <t>280</t>
        </is>
      </c>
      <c r="B9084" s="4" t="n">
        <v>2</v>
      </c>
      <c r="C9084" s="4" t="inlineStr">
        <is>
          <t>whitetail</t>
        </is>
      </c>
      <c r="D9084" s="4" t="n">
        <v>2021</v>
      </c>
      <c r="E9084" s="13" t="inlineStr">
        <is>
          <t>General</t>
        </is>
      </c>
      <c r="F9084" s="5" t="n">
        <v>99</v>
      </c>
      <c r="G9084" s="5" t="n">
        <v>522</v>
      </c>
      <c r="H9084" s="5" t="n">
        <v>24</v>
      </c>
      <c r="I9084" s="5" t="n">
        <v>24</v>
      </c>
      <c r="J9084" s="5" t="n">
        <v>0</v>
      </c>
      <c r="K9084" s="10">
        <f>IF(F9084&gt;0,H9084/F9084,"")</f>
        <v/>
      </c>
      <c r="L9084" s="16">
        <f>IF(AND(G9084&gt;0,H9084&gt;0),G9084/H9084,"")</f>
        <v/>
      </c>
    </row>
    <row r="9085">
      <c r="A9085" s="4" t="inlineStr">
        <is>
          <t>280</t>
        </is>
      </c>
      <c r="B9085" s="4" t="n">
        <v>2</v>
      </c>
      <c r="C9085" s="4" t="inlineStr">
        <is>
          <t>whitetail</t>
        </is>
      </c>
      <c r="D9085" s="4" t="n">
        <v>2022</v>
      </c>
      <c r="E9085" s="13" t="inlineStr">
        <is>
          <t>General</t>
        </is>
      </c>
      <c r="F9085" s="5" t="n"/>
      <c r="G9085" s="5" t="n"/>
      <c r="H9085" s="5" t="n">
        <v>30</v>
      </c>
      <c r="I9085" s="5" t="n">
        <v>23</v>
      </c>
      <c r="J9085" s="5" t="n">
        <v>7</v>
      </c>
      <c r="K9085" s="10">
        <f>IF(F9085&gt;0,H9085/F9085,"")</f>
        <v/>
      </c>
      <c r="L9085" s="16">
        <f>IF(AND(G9085&gt;0,H9085&gt;0),G9085/H9085,"")</f>
        <v/>
      </c>
    </row>
    <row r="9086">
      <c r="A9086" s="4" t="inlineStr">
        <is>
          <t>280</t>
        </is>
      </c>
      <c r="B9086" s="4" t="n">
        <v>2</v>
      </c>
      <c r="C9086" s="4" t="inlineStr">
        <is>
          <t>whitetail</t>
        </is>
      </c>
      <c r="D9086" s="4" t="n">
        <v>2023</v>
      </c>
      <c r="E9086" s="13" t="inlineStr">
        <is>
          <t>General</t>
        </is>
      </c>
      <c r="F9086" s="5" t="n">
        <v>149</v>
      </c>
      <c r="G9086" s="5" t="n">
        <v>968</v>
      </c>
      <c r="H9086" s="5" t="n">
        <v>10</v>
      </c>
      <c r="I9086" s="5" t="n">
        <v>7</v>
      </c>
      <c r="J9086" s="5" t="n">
        <v>3</v>
      </c>
      <c r="K9086" s="10">
        <f>IF(F9086&gt;0,H9086/F9086,"")</f>
        <v/>
      </c>
      <c r="L9086" s="16">
        <f>IF(AND(G9086&gt;0,H9086&gt;0),G9086/H9086,"")</f>
        <v/>
      </c>
    </row>
    <row r="9087">
      <c r="A9087" s="4" t="inlineStr">
        <is>
          <t>280</t>
        </is>
      </c>
      <c r="B9087" s="4" t="n">
        <v>2</v>
      </c>
      <c r="C9087" s="4" t="inlineStr">
        <is>
          <t>whitetail</t>
        </is>
      </c>
      <c r="D9087" s="4" t="n">
        <v>2024</v>
      </c>
      <c r="E9087" s="13" t="inlineStr">
        <is>
          <t>General</t>
        </is>
      </c>
      <c r="F9087" s="5" t="n"/>
      <c r="G9087" s="5" t="n"/>
      <c r="H9087" s="5" t="n">
        <v>25</v>
      </c>
      <c r="I9087" s="5" t="n">
        <v>25</v>
      </c>
      <c r="J9087" s="5" t="n">
        <v>0</v>
      </c>
      <c r="K9087" s="10">
        <f>IF(F9087&gt;0,H9087/F9087,"")</f>
        <v/>
      </c>
      <c r="L9087" s="16">
        <f>IF(AND(G9087&gt;0,H9087&gt;0),G9087/H9087,"")</f>
        <v/>
      </c>
    </row>
    <row r="9088">
      <c r="A9088" s="4" t="inlineStr">
        <is>
          <t>280</t>
        </is>
      </c>
      <c r="B9088" s="4" t="n">
        <v>2</v>
      </c>
      <c r="C9088" s="4" t="inlineStr">
        <is>
          <t>whitetail</t>
        </is>
      </c>
      <c r="D9088" s="4" t="n">
        <v>2025</v>
      </c>
      <c r="E9088" s="13" t="inlineStr">
        <is>
          <t>General</t>
        </is>
      </c>
      <c r="F9088" s="5" t="n">
        <v>191</v>
      </c>
      <c r="G9088" s="5" t="n">
        <v>1204</v>
      </c>
      <c r="H9088" s="5" t="n">
        <v>41</v>
      </c>
      <c r="I9088" s="5" t="n">
        <v>34</v>
      </c>
      <c r="J9088" s="5" t="n">
        <v>6</v>
      </c>
      <c r="K9088" s="10">
        <f>IF(F9088&gt;0,H9088/F9088,"")</f>
        <v/>
      </c>
      <c r="L9088" s="16">
        <f>IF(AND(G9088&gt;0,H9088&gt;0),G9088/H9088,"")</f>
        <v/>
      </c>
    </row>
    <row r="9089">
      <c r="A9089" s="4" t="inlineStr">
        <is>
          <t>281</t>
        </is>
      </c>
      <c r="B9089" s="4" t="n">
        <v>2</v>
      </c>
      <c r="C9089" s="4" t="inlineStr">
        <is>
          <t>whitetail</t>
        </is>
      </c>
      <c r="D9089" s="4" t="n">
        <v>2004</v>
      </c>
      <c r="E9089" s="13" t="inlineStr">
        <is>
          <t>General</t>
        </is>
      </c>
      <c r="F9089" s="5" t="n">
        <v>1270</v>
      </c>
      <c r="G9089" s="5" t="n">
        <v>7554</v>
      </c>
      <c r="H9089" s="5" t="n">
        <v>326</v>
      </c>
      <c r="I9089" s="5" t="n">
        <v>281</v>
      </c>
      <c r="J9089" s="5" t="n">
        <v>39</v>
      </c>
      <c r="K9089" s="10">
        <f>IF(F9089&gt;0,H9089/F9089,"")</f>
        <v/>
      </c>
      <c r="L9089" s="16">
        <f>IF(AND(G9089&gt;0,H9089&gt;0),G9089/H9089,"")</f>
        <v/>
      </c>
    </row>
    <row r="9090">
      <c r="A9090" s="4" t="inlineStr">
        <is>
          <t>281</t>
        </is>
      </c>
      <c r="B9090" s="4" t="n">
        <v>2</v>
      </c>
      <c r="C9090" s="4" t="inlineStr">
        <is>
          <t>whitetail</t>
        </is>
      </c>
      <c r="D9090" s="4" t="n">
        <v>2005</v>
      </c>
      <c r="E9090" s="13" t="inlineStr">
        <is>
          <t>General</t>
        </is>
      </c>
      <c r="F9090" s="5" t="n">
        <v>1668</v>
      </c>
      <c r="G9090" s="5" t="n">
        <v>9877</v>
      </c>
      <c r="H9090" s="5" t="n">
        <v>486</v>
      </c>
      <c r="I9090" s="5" t="n">
        <v>373</v>
      </c>
      <c r="J9090" s="5" t="n">
        <v>112</v>
      </c>
      <c r="K9090" s="10">
        <f>IF(F9090&gt;0,H9090/F9090,"")</f>
        <v/>
      </c>
      <c r="L9090" s="16">
        <f>IF(AND(G9090&gt;0,H9090&gt;0),G9090/H9090,"")</f>
        <v/>
      </c>
    </row>
    <row r="9091">
      <c r="A9091" s="4" t="inlineStr">
        <is>
          <t>281</t>
        </is>
      </c>
      <c r="B9091" s="4" t="n">
        <v>2</v>
      </c>
      <c r="C9091" s="4" t="inlineStr">
        <is>
          <t>whitetail</t>
        </is>
      </c>
      <c r="D9091" s="4" t="n">
        <v>2006</v>
      </c>
      <c r="E9091" s="13" t="inlineStr">
        <is>
          <t>General</t>
        </is>
      </c>
      <c r="F9091" s="5" t="n">
        <v>1328</v>
      </c>
      <c r="G9091" s="5" t="n">
        <v>8960</v>
      </c>
      <c r="H9091" s="5" t="n">
        <v>554</v>
      </c>
      <c r="I9091" s="5" t="n">
        <v>301</v>
      </c>
      <c r="J9091" s="5" t="n">
        <v>240</v>
      </c>
      <c r="K9091" s="10">
        <f>IF(F9091&gt;0,H9091/F9091,"")</f>
        <v/>
      </c>
      <c r="L9091" s="16">
        <f>IF(AND(G9091&gt;0,H9091&gt;0),G9091/H9091,"")</f>
        <v/>
      </c>
    </row>
    <row r="9092">
      <c r="A9092" s="4" t="inlineStr">
        <is>
          <t>281</t>
        </is>
      </c>
      <c r="B9092" s="4" t="n">
        <v>2</v>
      </c>
      <c r="C9092" s="4" t="inlineStr">
        <is>
          <t>whitetail</t>
        </is>
      </c>
      <c r="D9092" s="4" t="n">
        <v>2007</v>
      </c>
      <c r="E9092" s="13" t="inlineStr">
        <is>
          <t>General</t>
        </is>
      </c>
      <c r="F9092" s="5" t="n">
        <v>1374</v>
      </c>
      <c r="G9092" s="5" t="n">
        <v>9310</v>
      </c>
      <c r="H9092" s="5" t="n">
        <v>343</v>
      </c>
      <c r="I9092" s="5" t="n">
        <v>166</v>
      </c>
      <c r="J9092" s="5" t="n">
        <v>169</v>
      </c>
      <c r="K9092" s="10">
        <f>IF(F9092&gt;0,H9092/F9092,"")</f>
        <v/>
      </c>
      <c r="L9092" s="16">
        <f>IF(AND(G9092&gt;0,H9092&gt;0),G9092/H9092,"")</f>
        <v/>
      </c>
    </row>
    <row r="9093">
      <c r="A9093" s="4" t="inlineStr">
        <is>
          <t>281</t>
        </is>
      </c>
      <c r="B9093" s="4" t="n">
        <v>2</v>
      </c>
      <c r="C9093" s="4" t="inlineStr">
        <is>
          <t>whitetail</t>
        </is>
      </c>
      <c r="D9093" s="4" t="n">
        <v>2008</v>
      </c>
      <c r="E9093" s="13" t="inlineStr">
        <is>
          <t>General</t>
        </is>
      </c>
      <c r="F9093" s="5" t="n">
        <v>1630</v>
      </c>
      <c r="G9093" s="5" t="n">
        <v>11004</v>
      </c>
      <c r="H9093" s="5" t="n">
        <v>349</v>
      </c>
      <c r="I9093" s="5" t="n">
        <v>190</v>
      </c>
      <c r="J9093" s="5" t="n">
        <v>148</v>
      </c>
      <c r="K9093" s="10">
        <f>IF(F9093&gt;0,H9093/F9093,"")</f>
        <v/>
      </c>
      <c r="L9093" s="16">
        <f>IF(AND(G9093&gt;0,H9093&gt;0),G9093/H9093,"")</f>
        <v/>
      </c>
    </row>
    <row r="9094">
      <c r="A9094" s="4" t="inlineStr">
        <is>
          <t>281</t>
        </is>
      </c>
      <c r="B9094" s="4" t="n">
        <v>2</v>
      </c>
      <c r="C9094" s="4" t="inlineStr">
        <is>
          <t>whitetail</t>
        </is>
      </c>
      <c r="D9094" s="4" t="n">
        <v>2009</v>
      </c>
      <c r="E9094" s="13" t="inlineStr">
        <is>
          <t>General</t>
        </is>
      </c>
      <c r="F9094" s="5" t="n">
        <v>1346</v>
      </c>
      <c r="G9094" s="5" t="n">
        <v>8997</v>
      </c>
      <c r="H9094" s="5" t="n">
        <v>173</v>
      </c>
      <c r="I9094" s="5" t="n">
        <v>136</v>
      </c>
      <c r="J9094" s="5" t="n">
        <v>36</v>
      </c>
      <c r="K9094" s="10">
        <f>IF(F9094&gt;0,H9094/F9094,"")</f>
        <v/>
      </c>
      <c r="L9094" s="16">
        <f>IF(AND(G9094&gt;0,H9094&gt;0),G9094/H9094,"")</f>
        <v/>
      </c>
    </row>
    <row r="9095">
      <c r="A9095" s="4" t="inlineStr">
        <is>
          <t>281</t>
        </is>
      </c>
      <c r="B9095" s="4" t="n">
        <v>2</v>
      </c>
      <c r="C9095" s="4" t="inlineStr">
        <is>
          <t>whitetail</t>
        </is>
      </c>
      <c r="D9095" s="4" t="n">
        <v>2010</v>
      </c>
      <c r="E9095" s="13" t="inlineStr">
        <is>
          <t>General</t>
        </is>
      </c>
      <c r="F9095" s="5" t="n">
        <v>951</v>
      </c>
      <c r="G9095" s="5" t="n">
        <v>6223</v>
      </c>
      <c r="H9095" s="5" t="n">
        <v>197</v>
      </c>
      <c r="I9095" s="5" t="n">
        <v>169</v>
      </c>
      <c r="J9095" s="5" t="n">
        <v>29</v>
      </c>
      <c r="K9095" s="10">
        <f>IF(F9095&gt;0,H9095/F9095,"")</f>
        <v/>
      </c>
      <c r="L9095" s="16">
        <f>IF(AND(G9095&gt;0,H9095&gt;0),G9095/H9095,"")</f>
        <v/>
      </c>
    </row>
    <row r="9096">
      <c r="A9096" s="4" t="inlineStr">
        <is>
          <t>281</t>
        </is>
      </c>
      <c r="B9096" s="4" t="n">
        <v>2</v>
      </c>
      <c r="C9096" s="4" t="inlineStr">
        <is>
          <t>whitetail</t>
        </is>
      </c>
      <c r="D9096" s="4" t="n">
        <v>2011</v>
      </c>
      <c r="E9096" s="13" t="inlineStr">
        <is>
          <t>General</t>
        </is>
      </c>
      <c r="F9096" s="5" t="n">
        <v>1047</v>
      </c>
      <c r="G9096" s="5" t="n">
        <v>6499</v>
      </c>
      <c r="H9096" s="5" t="n">
        <v>125</v>
      </c>
      <c r="I9096" s="5" t="n">
        <v>109</v>
      </c>
      <c r="J9096" s="5" t="n">
        <v>17</v>
      </c>
      <c r="K9096" s="10">
        <f>IF(F9096&gt;0,H9096/F9096,"")</f>
        <v/>
      </c>
      <c r="L9096" s="16">
        <f>IF(AND(G9096&gt;0,H9096&gt;0),G9096/H9096,"")</f>
        <v/>
      </c>
    </row>
    <row r="9097">
      <c r="A9097" s="4" t="inlineStr">
        <is>
          <t>281</t>
        </is>
      </c>
      <c r="B9097" s="4" t="n">
        <v>2</v>
      </c>
      <c r="C9097" s="4" t="inlineStr">
        <is>
          <t>whitetail</t>
        </is>
      </c>
      <c r="D9097" s="4" t="n">
        <v>2012</v>
      </c>
      <c r="E9097" s="13" t="inlineStr">
        <is>
          <t>General</t>
        </is>
      </c>
      <c r="F9097" s="5" t="n"/>
      <c r="G9097" s="5" t="n"/>
      <c r="H9097" s="5" t="n">
        <v>155</v>
      </c>
      <c r="I9097" s="5" t="n">
        <v>123</v>
      </c>
      <c r="J9097" s="5" t="n">
        <v>30</v>
      </c>
      <c r="K9097" s="10">
        <f>IF(F9097&gt;0,H9097/F9097,"")</f>
        <v/>
      </c>
      <c r="L9097" s="16">
        <f>IF(AND(G9097&gt;0,H9097&gt;0),G9097/H9097,"")</f>
        <v/>
      </c>
    </row>
    <row r="9098">
      <c r="A9098" s="4" t="inlineStr">
        <is>
          <t>281</t>
        </is>
      </c>
      <c r="B9098" s="4" t="n">
        <v>2</v>
      </c>
      <c r="C9098" s="4" t="inlineStr">
        <is>
          <t>whitetail</t>
        </is>
      </c>
      <c r="D9098" s="4" t="n">
        <v>2013</v>
      </c>
      <c r="E9098" s="13" t="inlineStr">
        <is>
          <t>General</t>
        </is>
      </c>
      <c r="F9098" s="5" t="n">
        <v>1213</v>
      </c>
      <c r="G9098" s="5" t="n">
        <v>7831</v>
      </c>
      <c r="H9098" s="5" t="n">
        <v>209</v>
      </c>
      <c r="I9098" s="5" t="n">
        <v>176</v>
      </c>
      <c r="J9098" s="5" t="n">
        <v>30</v>
      </c>
      <c r="K9098" s="10">
        <f>IF(F9098&gt;0,H9098/F9098,"")</f>
        <v/>
      </c>
      <c r="L9098" s="16">
        <f>IF(AND(G9098&gt;0,H9098&gt;0),G9098/H9098,"")</f>
        <v/>
      </c>
    </row>
    <row r="9099">
      <c r="A9099" s="4" t="inlineStr">
        <is>
          <t>281</t>
        </is>
      </c>
      <c r="B9099" s="4" t="n">
        <v>2</v>
      </c>
      <c r="C9099" s="4" t="inlineStr">
        <is>
          <t>whitetail</t>
        </is>
      </c>
      <c r="D9099" s="4" t="n">
        <v>2014</v>
      </c>
      <c r="E9099" s="13" t="inlineStr">
        <is>
          <t>General</t>
        </is>
      </c>
      <c r="F9099" s="5" t="n"/>
      <c r="G9099" s="5" t="n"/>
      <c r="H9099" s="5" t="n">
        <v>280</v>
      </c>
      <c r="I9099" s="5" t="n">
        <v>235</v>
      </c>
      <c r="J9099" s="5" t="n">
        <v>42</v>
      </c>
      <c r="K9099" s="10">
        <f>IF(F9099&gt;0,H9099/F9099,"")</f>
        <v/>
      </c>
      <c r="L9099" s="16">
        <f>IF(AND(G9099&gt;0,H9099&gt;0),G9099/H9099,"")</f>
        <v/>
      </c>
    </row>
    <row r="9100">
      <c r="A9100" s="4" t="inlineStr">
        <is>
          <t>281</t>
        </is>
      </c>
      <c r="B9100" s="4" t="n">
        <v>2</v>
      </c>
      <c r="C9100" s="4" t="inlineStr">
        <is>
          <t>whitetail</t>
        </is>
      </c>
      <c r="D9100" s="4" t="n">
        <v>2015</v>
      </c>
      <c r="E9100" s="13" t="inlineStr">
        <is>
          <t>General</t>
        </is>
      </c>
      <c r="F9100" s="5" t="n"/>
      <c r="G9100" s="5" t="n"/>
      <c r="H9100" s="5" t="n">
        <v>315</v>
      </c>
      <c r="I9100" s="5" t="n">
        <v>263</v>
      </c>
      <c r="J9100" s="5" t="n">
        <v>51</v>
      </c>
      <c r="K9100" s="10">
        <f>IF(F9100&gt;0,H9100/F9100,"")</f>
        <v/>
      </c>
      <c r="L9100" s="16">
        <f>IF(AND(G9100&gt;0,H9100&gt;0),G9100/H9100,"")</f>
        <v/>
      </c>
    </row>
    <row r="9101">
      <c r="A9101" s="4" t="inlineStr">
        <is>
          <t>281</t>
        </is>
      </c>
      <c r="B9101" s="4" t="n">
        <v>2</v>
      </c>
      <c r="C9101" s="4" t="inlineStr">
        <is>
          <t>whitetail</t>
        </is>
      </c>
      <c r="D9101" s="4" t="n">
        <v>2016</v>
      </c>
      <c r="E9101" s="13" t="inlineStr">
        <is>
          <t>General</t>
        </is>
      </c>
      <c r="F9101" s="5" t="n"/>
      <c r="G9101" s="5" t="n"/>
      <c r="H9101" s="5" t="n">
        <v>315</v>
      </c>
      <c r="I9101" s="5" t="n">
        <v>266</v>
      </c>
      <c r="J9101" s="5" t="n">
        <v>45</v>
      </c>
      <c r="K9101" s="10">
        <f>IF(F9101&gt;0,H9101/F9101,"")</f>
        <v/>
      </c>
      <c r="L9101" s="16">
        <f>IF(AND(G9101&gt;0,H9101&gt;0),G9101/H9101,"")</f>
        <v/>
      </c>
    </row>
    <row r="9102">
      <c r="A9102" s="4" t="inlineStr">
        <is>
          <t>281</t>
        </is>
      </c>
      <c r="B9102" s="4" t="n">
        <v>2</v>
      </c>
      <c r="C9102" s="4" t="inlineStr">
        <is>
          <t>whitetail</t>
        </is>
      </c>
      <c r="D9102" s="4" t="n">
        <v>2017</v>
      </c>
      <c r="E9102" s="13" t="inlineStr">
        <is>
          <t>General</t>
        </is>
      </c>
      <c r="F9102" s="5" t="n">
        <v>951</v>
      </c>
      <c r="G9102" s="5" t="n">
        <v>5814</v>
      </c>
      <c r="H9102" s="5" t="n">
        <v>239</v>
      </c>
      <c r="I9102" s="5" t="n">
        <v>201</v>
      </c>
      <c r="J9102" s="5" t="n">
        <v>38</v>
      </c>
      <c r="K9102" s="10">
        <f>IF(F9102&gt;0,H9102/F9102,"")</f>
        <v/>
      </c>
      <c r="L9102" s="16">
        <f>IF(AND(G9102&gt;0,H9102&gt;0),G9102/H9102,"")</f>
        <v/>
      </c>
    </row>
    <row r="9103">
      <c r="A9103" s="4" t="inlineStr">
        <is>
          <t>281</t>
        </is>
      </c>
      <c r="B9103" s="4" t="n">
        <v>2</v>
      </c>
      <c r="C9103" s="4" t="inlineStr">
        <is>
          <t>whitetail</t>
        </is>
      </c>
      <c r="D9103" s="4" t="n">
        <v>2018</v>
      </c>
      <c r="E9103" s="13" t="inlineStr">
        <is>
          <t>General</t>
        </is>
      </c>
      <c r="F9103" s="5" t="n"/>
      <c r="G9103" s="5" t="n"/>
      <c r="H9103" s="5" t="n">
        <v>295</v>
      </c>
      <c r="I9103" s="5" t="n">
        <v>258</v>
      </c>
      <c r="J9103" s="5" t="n">
        <v>37</v>
      </c>
      <c r="K9103" s="10">
        <f>IF(F9103&gt;0,H9103/F9103,"")</f>
        <v/>
      </c>
      <c r="L9103" s="16">
        <f>IF(AND(G9103&gt;0,H9103&gt;0),G9103/H9103,"")</f>
        <v/>
      </c>
    </row>
    <row r="9104">
      <c r="A9104" s="4" t="inlineStr">
        <is>
          <t>281</t>
        </is>
      </c>
      <c r="B9104" s="4" t="n">
        <v>2</v>
      </c>
      <c r="C9104" s="4" t="inlineStr">
        <is>
          <t>whitetail</t>
        </is>
      </c>
      <c r="D9104" s="4" t="n">
        <v>2019</v>
      </c>
      <c r="E9104" s="13" t="inlineStr">
        <is>
          <t>General</t>
        </is>
      </c>
      <c r="F9104" s="5" t="n">
        <v>929</v>
      </c>
      <c r="G9104" s="5" t="n">
        <v>6219</v>
      </c>
      <c r="H9104" s="5" t="n">
        <v>196</v>
      </c>
      <c r="I9104" s="5" t="n">
        <v>179</v>
      </c>
      <c r="J9104" s="5" t="n">
        <v>15</v>
      </c>
      <c r="K9104" s="10">
        <f>IF(F9104&gt;0,H9104/F9104,"")</f>
        <v/>
      </c>
      <c r="L9104" s="16">
        <f>IF(AND(G9104&gt;0,H9104&gt;0),G9104/H9104,"")</f>
        <v/>
      </c>
    </row>
    <row r="9105">
      <c r="A9105" s="4" t="inlineStr">
        <is>
          <t>281</t>
        </is>
      </c>
      <c r="B9105" s="4" t="n">
        <v>2</v>
      </c>
      <c r="C9105" s="4" t="inlineStr">
        <is>
          <t>whitetail</t>
        </is>
      </c>
      <c r="D9105" s="4" t="n">
        <v>2020</v>
      </c>
      <c r="E9105" s="13" t="inlineStr">
        <is>
          <t>General</t>
        </is>
      </c>
      <c r="F9105" s="5" t="n"/>
      <c r="G9105" s="5" t="n"/>
      <c r="H9105" s="5" t="n">
        <v>236</v>
      </c>
      <c r="I9105" s="5" t="n">
        <v>215</v>
      </c>
      <c r="J9105" s="5" t="n">
        <v>21</v>
      </c>
      <c r="K9105" s="10">
        <f>IF(F9105&gt;0,H9105/F9105,"")</f>
        <v/>
      </c>
      <c r="L9105" s="16">
        <f>IF(AND(G9105&gt;0,H9105&gt;0),G9105/H9105,"")</f>
        <v/>
      </c>
    </row>
    <row r="9106">
      <c r="A9106" s="4" t="inlineStr">
        <is>
          <t>281</t>
        </is>
      </c>
      <c r="B9106" s="4" t="n">
        <v>2</v>
      </c>
      <c r="C9106" s="4" t="inlineStr">
        <is>
          <t>whitetail</t>
        </is>
      </c>
      <c r="D9106" s="4" t="n">
        <v>2021</v>
      </c>
      <c r="E9106" s="13" t="inlineStr">
        <is>
          <t>General</t>
        </is>
      </c>
      <c r="F9106" s="5" t="n">
        <v>956</v>
      </c>
      <c r="G9106" s="5" t="n">
        <v>6190</v>
      </c>
      <c r="H9106" s="5" t="n">
        <v>265</v>
      </c>
      <c r="I9106" s="5" t="n">
        <v>249</v>
      </c>
      <c r="J9106" s="5" t="n">
        <v>16</v>
      </c>
      <c r="K9106" s="10">
        <f>IF(F9106&gt;0,H9106/F9106,"")</f>
        <v/>
      </c>
      <c r="L9106" s="16">
        <f>IF(AND(G9106&gt;0,H9106&gt;0),G9106/H9106,"")</f>
        <v/>
      </c>
    </row>
    <row r="9107">
      <c r="A9107" s="4" t="inlineStr">
        <is>
          <t>281</t>
        </is>
      </c>
      <c r="B9107" s="4" t="n">
        <v>2</v>
      </c>
      <c r="C9107" s="4" t="inlineStr">
        <is>
          <t>whitetail</t>
        </is>
      </c>
      <c r="D9107" s="4" t="n">
        <v>2022</v>
      </c>
      <c r="E9107" s="13" t="inlineStr">
        <is>
          <t>General</t>
        </is>
      </c>
      <c r="F9107" s="5" t="n"/>
      <c r="G9107" s="5" t="n"/>
      <c r="H9107" s="5" t="n">
        <v>217</v>
      </c>
      <c r="I9107" s="5" t="n">
        <v>185</v>
      </c>
      <c r="J9107" s="5" t="n">
        <v>32</v>
      </c>
      <c r="K9107" s="10">
        <f>IF(F9107&gt;0,H9107/F9107,"")</f>
        <v/>
      </c>
      <c r="L9107" s="16">
        <f>IF(AND(G9107&gt;0,H9107&gt;0),G9107/H9107,"")</f>
        <v/>
      </c>
    </row>
    <row r="9108">
      <c r="A9108" s="4" t="inlineStr">
        <is>
          <t>281</t>
        </is>
      </c>
      <c r="B9108" s="4" t="n">
        <v>2</v>
      </c>
      <c r="C9108" s="4" t="inlineStr">
        <is>
          <t>whitetail</t>
        </is>
      </c>
      <c r="D9108" s="4" t="n">
        <v>2023</v>
      </c>
      <c r="E9108" s="13" t="inlineStr">
        <is>
          <t>General</t>
        </is>
      </c>
      <c r="F9108" s="5" t="n">
        <v>1153</v>
      </c>
      <c r="G9108" s="5" t="n">
        <v>8211</v>
      </c>
      <c r="H9108" s="5" t="n">
        <v>226</v>
      </c>
      <c r="I9108" s="5" t="n">
        <v>183</v>
      </c>
      <c r="J9108" s="5" t="n">
        <v>43</v>
      </c>
      <c r="K9108" s="10">
        <f>IF(F9108&gt;0,H9108/F9108,"")</f>
        <v/>
      </c>
      <c r="L9108" s="16">
        <f>IF(AND(G9108&gt;0,H9108&gt;0),G9108/H9108,"")</f>
        <v/>
      </c>
    </row>
    <row r="9109">
      <c r="A9109" s="4" t="inlineStr">
        <is>
          <t>281</t>
        </is>
      </c>
      <c r="B9109" s="4" t="n">
        <v>2</v>
      </c>
      <c r="C9109" s="4" t="inlineStr">
        <is>
          <t>whitetail</t>
        </is>
      </c>
      <c r="D9109" s="4" t="n">
        <v>2024</v>
      </c>
      <c r="E9109" s="13" t="inlineStr">
        <is>
          <t>General</t>
        </is>
      </c>
      <c r="F9109" s="5" t="n"/>
      <c r="G9109" s="5" t="n"/>
      <c r="H9109" s="5" t="n">
        <v>279</v>
      </c>
      <c r="I9109" s="5" t="n">
        <v>260</v>
      </c>
      <c r="J9109" s="5" t="n">
        <v>19</v>
      </c>
      <c r="K9109" s="10">
        <f>IF(F9109&gt;0,H9109/F9109,"")</f>
        <v/>
      </c>
      <c r="L9109" s="16">
        <f>IF(AND(G9109&gt;0,H9109&gt;0),G9109/H9109,"")</f>
        <v/>
      </c>
    </row>
    <row r="9110">
      <c r="A9110" s="4" t="inlineStr">
        <is>
          <t>281</t>
        </is>
      </c>
      <c r="B9110" s="4" t="n">
        <v>2</v>
      </c>
      <c r="C9110" s="4" t="inlineStr">
        <is>
          <t>whitetail</t>
        </is>
      </c>
      <c r="D9110" s="4" t="n">
        <v>2025</v>
      </c>
      <c r="E9110" s="13" t="inlineStr">
        <is>
          <t>General</t>
        </is>
      </c>
      <c r="F9110" s="5" t="n">
        <v>1229</v>
      </c>
      <c r="G9110" s="5" t="n">
        <v>7880</v>
      </c>
      <c r="H9110" s="5" t="n">
        <v>285</v>
      </c>
      <c r="I9110" s="5" t="n">
        <v>247</v>
      </c>
      <c r="J9110" s="5" t="n">
        <v>35</v>
      </c>
      <c r="K9110" s="10">
        <f>IF(F9110&gt;0,H9110/F9110,"")</f>
        <v/>
      </c>
      <c r="L9110" s="16">
        <f>IF(AND(G9110&gt;0,H9110&gt;0),G9110/H9110,"")</f>
        <v/>
      </c>
    </row>
    <row r="9111">
      <c r="A9111" s="4" t="inlineStr">
        <is>
          <t>282</t>
        </is>
      </c>
      <c r="B9111" s="4" t="n">
        <v>2</v>
      </c>
      <c r="C9111" s="4" t="inlineStr">
        <is>
          <t>whitetail</t>
        </is>
      </c>
      <c r="D9111" s="4" t="n">
        <v>2004</v>
      </c>
      <c r="E9111" s="13" t="inlineStr">
        <is>
          <t>General</t>
        </is>
      </c>
      <c r="F9111" s="5" t="n">
        <v>277</v>
      </c>
      <c r="G9111" s="5" t="n">
        <v>1736</v>
      </c>
      <c r="H9111" s="5" t="n">
        <v>82</v>
      </c>
      <c r="I9111" s="5" t="n">
        <v>55</v>
      </c>
      <c r="J9111" s="5" t="n">
        <v>27</v>
      </c>
      <c r="K9111" s="10">
        <f>IF(F9111&gt;0,H9111/F9111,"")</f>
        <v/>
      </c>
      <c r="L9111" s="16">
        <f>IF(AND(G9111&gt;0,H9111&gt;0),G9111/H9111,"")</f>
        <v/>
      </c>
    </row>
    <row r="9112">
      <c r="A9112" s="4" t="inlineStr">
        <is>
          <t>282</t>
        </is>
      </c>
      <c r="B9112" s="4" t="n">
        <v>2</v>
      </c>
      <c r="C9112" s="4" t="inlineStr">
        <is>
          <t>whitetail</t>
        </is>
      </c>
      <c r="D9112" s="4" t="n">
        <v>2005</v>
      </c>
      <c r="E9112" s="13" t="inlineStr">
        <is>
          <t>General</t>
        </is>
      </c>
      <c r="F9112" s="5" t="n">
        <v>211</v>
      </c>
      <c r="G9112" s="5" t="n">
        <v>1245</v>
      </c>
      <c r="H9112" s="5" t="n">
        <v>79</v>
      </c>
      <c r="I9112" s="5" t="n">
        <v>58</v>
      </c>
      <c r="J9112" s="5" t="n">
        <v>21</v>
      </c>
      <c r="K9112" s="10">
        <f>IF(F9112&gt;0,H9112/F9112,"")</f>
        <v/>
      </c>
      <c r="L9112" s="16">
        <f>IF(AND(G9112&gt;0,H9112&gt;0),G9112/H9112,"")</f>
        <v/>
      </c>
    </row>
    <row r="9113">
      <c r="A9113" s="4" t="inlineStr">
        <is>
          <t>282</t>
        </is>
      </c>
      <c r="B9113" s="4" t="n">
        <v>2</v>
      </c>
      <c r="C9113" s="4" t="inlineStr">
        <is>
          <t>whitetail</t>
        </is>
      </c>
      <c r="D9113" s="4" t="n">
        <v>2006</v>
      </c>
      <c r="E9113" s="13" t="inlineStr">
        <is>
          <t>General</t>
        </is>
      </c>
      <c r="F9113" s="5" t="n">
        <v>346</v>
      </c>
      <c r="G9113" s="5" t="n">
        <v>1976</v>
      </c>
      <c r="H9113" s="5" t="n">
        <v>128</v>
      </c>
      <c r="I9113" s="5" t="n">
        <v>61</v>
      </c>
      <c r="J9113" s="5" t="n">
        <v>59</v>
      </c>
      <c r="K9113" s="10">
        <f>IF(F9113&gt;0,H9113/F9113,"")</f>
        <v/>
      </c>
      <c r="L9113" s="16">
        <f>IF(AND(G9113&gt;0,H9113&gt;0),G9113/H9113,"")</f>
        <v/>
      </c>
    </row>
    <row r="9114">
      <c r="A9114" s="4" t="inlineStr">
        <is>
          <t>282</t>
        </is>
      </c>
      <c r="B9114" s="4" t="n">
        <v>2</v>
      </c>
      <c r="C9114" s="4" t="inlineStr">
        <is>
          <t>whitetail</t>
        </is>
      </c>
      <c r="D9114" s="4" t="n">
        <v>2007</v>
      </c>
      <c r="E9114" s="13" t="inlineStr">
        <is>
          <t>General</t>
        </is>
      </c>
      <c r="F9114" s="5" t="n">
        <v>198</v>
      </c>
      <c r="G9114" s="5" t="n">
        <v>1029</v>
      </c>
      <c r="H9114" s="5" t="n">
        <v>90</v>
      </c>
      <c r="I9114" s="5" t="n">
        <v>38</v>
      </c>
      <c r="J9114" s="5" t="n">
        <v>52</v>
      </c>
      <c r="K9114" s="10">
        <f>IF(F9114&gt;0,H9114/F9114,"")</f>
        <v/>
      </c>
      <c r="L9114" s="16">
        <f>IF(AND(G9114&gt;0,H9114&gt;0),G9114/H9114,"")</f>
        <v/>
      </c>
    </row>
    <row r="9115">
      <c r="A9115" s="4" t="inlineStr">
        <is>
          <t>282</t>
        </is>
      </c>
      <c r="B9115" s="4" t="n">
        <v>2</v>
      </c>
      <c r="C9115" s="4" t="inlineStr">
        <is>
          <t>whitetail</t>
        </is>
      </c>
      <c r="D9115" s="4" t="n">
        <v>2008</v>
      </c>
      <c r="E9115" s="13" t="inlineStr">
        <is>
          <t>General</t>
        </is>
      </c>
      <c r="F9115" s="5" t="n">
        <v>209</v>
      </c>
      <c r="G9115" s="5" t="n">
        <v>1194</v>
      </c>
      <c r="H9115" s="5" t="n">
        <v>55</v>
      </c>
      <c r="I9115" s="5" t="n">
        <v>15</v>
      </c>
      <c r="J9115" s="5" t="n">
        <v>36</v>
      </c>
      <c r="K9115" s="10">
        <f>IF(F9115&gt;0,H9115/F9115,"")</f>
        <v/>
      </c>
      <c r="L9115" s="16">
        <f>IF(AND(G9115&gt;0,H9115&gt;0),G9115/H9115,"")</f>
        <v/>
      </c>
    </row>
    <row r="9116">
      <c r="A9116" s="4" t="inlineStr">
        <is>
          <t>282</t>
        </is>
      </c>
      <c r="B9116" s="4" t="n">
        <v>2</v>
      </c>
      <c r="C9116" s="4" t="inlineStr">
        <is>
          <t>whitetail</t>
        </is>
      </c>
      <c r="D9116" s="4" t="n">
        <v>2009</v>
      </c>
      <c r="E9116" s="13" t="inlineStr">
        <is>
          <t>General</t>
        </is>
      </c>
      <c r="F9116" s="5" t="n">
        <v>236</v>
      </c>
      <c r="G9116" s="5" t="n">
        <v>1291</v>
      </c>
      <c r="H9116" s="5" t="n">
        <v>53</v>
      </c>
      <c r="I9116" s="5" t="n">
        <v>30</v>
      </c>
      <c r="J9116" s="5" t="n">
        <v>23</v>
      </c>
      <c r="K9116" s="10">
        <f>IF(F9116&gt;0,H9116/F9116,"")</f>
        <v/>
      </c>
      <c r="L9116" s="16">
        <f>IF(AND(G9116&gt;0,H9116&gt;0),G9116/H9116,"")</f>
        <v/>
      </c>
    </row>
    <row r="9117">
      <c r="A9117" s="4" t="inlineStr">
        <is>
          <t>282</t>
        </is>
      </c>
      <c r="B9117" s="4" t="n">
        <v>2</v>
      </c>
      <c r="C9117" s="4" t="inlineStr">
        <is>
          <t>whitetail</t>
        </is>
      </c>
      <c r="D9117" s="4" t="n">
        <v>2010</v>
      </c>
      <c r="E9117" s="13" t="inlineStr">
        <is>
          <t>General</t>
        </is>
      </c>
      <c r="F9117" s="5" t="n">
        <v>247</v>
      </c>
      <c r="G9117" s="5" t="n">
        <v>1557</v>
      </c>
      <c r="H9117" s="5" t="n">
        <v>64</v>
      </c>
      <c r="I9117" s="5" t="n">
        <v>51</v>
      </c>
      <c r="J9117" s="5" t="n">
        <v>14</v>
      </c>
      <c r="K9117" s="10">
        <f>IF(F9117&gt;0,H9117/F9117,"")</f>
        <v/>
      </c>
      <c r="L9117" s="16">
        <f>IF(AND(G9117&gt;0,H9117&gt;0),G9117/H9117,"")</f>
        <v/>
      </c>
    </row>
    <row r="9118">
      <c r="A9118" s="4" t="inlineStr">
        <is>
          <t>282</t>
        </is>
      </c>
      <c r="B9118" s="4" t="n">
        <v>2</v>
      </c>
      <c r="C9118" s="4" t="inlineStr">
        <is>
          <t>whitetail</t>
        </is>
      </c>
      <c r="D9118" s="4" t="n">
        <v>2011</v>
      </c>
      <c r="E9118" s="13" t="inlineStr">
        <is>
          <t>General</t>
        </is>
      </c>
      <c r="F9118" s="5" t="n">
        <v>180</v>
      </c>
      <c r="G9118" s="5" t="n">
        <v>758</v>
      </c>
      <c r="H9118" s="5" t="n">
        <v>13</v>
      </c>
      <c r="I9118" s="5" t="n">
        <v>6</v>
      </c>
      <c r="J9118" s="5" t="n">
        <v>8</v>
      </c>
      <c r="K9118" s="10">
        <f>IF(F9118&gt;0,H9118/F9118,"")</f>
        <v/>
      </c>
      <c r="L9118" s="16">
        <f>IF(AND(G9118&gt;0,H9118&gt;0),G9118/H9118,"")</f>
        <v/>
      </c>
    </row>
    <row r="9119">
      <c r="A9119" s="4" t="inlineStr">
        <is>
          <t>282</t>
        </is>
      </c>
      <c r="B9119" s="4" t="n">
        <v>2</v>
      </c>
      <c r="C9119" s="4" t="inlineStr">
        <is>
          <t>whitetail</t>
        </is>
      </c>
      <c r="D9119" s="4" t="n">
        <v>2012</v>
      </c>
      <c r="E9119" s="13" t="inlineStr">
        <is>
          <t>General</t>
        </is>
      </c>
      <c r="F9119" s="5" t="n"/>
      <c r="G9119" s="5" t="n"/>
      <c r="H9119" s="5" t="n">
        <v>28</v>
      </c>
      <c r="I9119" s="5" t="n">
        <v>14</v>
      </c>
      <c r="J9119" s="5" t="n">
        <v>14</v>
      </c>
      <c r="K9119" s="10">
        <f>IF(F9119&gt;0,H9119/F9119,"")</f>
        <v/>
      </c>
      <c r="L9119" s="16">
        <f>IF(AND(G9119&gt;0,H9119&gt;0),G9119/H9119,"")</f>
        <v/>
      </c>
    </row>
    <row r="9120">
      <c r="A9120" s="4" t="inlineStr">
        <is>
          <t>282</t>
        </is>
      </c>
      <c r="B9120" s="4" t="n">
        <v>2</v>
      </c>
      <c r="C9120" s="4" t="inlineStr">
        <is>
          <t>whitetail</t>
        </is>
      </c>
      <c r="D9120" s="4" t="n">
        <v>2013</v>
      </c>
      <c r="E9120" s="13" t="inlineStr">
        <is>
          <t>General</t>
        </is>
      </c>
      <c r="F9120" s="5" t="n">
        <v>146</v>
      </c>
      <c r="G9120" s="5" t="n">
        <v>1007</v>
      </c>
      <c r="H9120" s="5" t="n">
        <v>24</v>
      </c>
      <c r="I9120" s="5" t="n">
        <v>14</v>
      </c>
      <c r="J9120" s="5" t="n">
        <v>10</v>
      </c>
      <c r="K9120" s="10">
        <f>IF(F9120&gt;0,H9120/F9120,"")</f>
        <v/>
      </c>
      <c r="L9120" s="16">
        <f>IF(AND(G9120&gt;0,H9120&gt;0),G9120/H9120,"")</f>
        <v/>
      </c>
    </row>
    <row r="9121">
      <c r="A9121" s="4" t="inlineStr">
        <is>
          <t>282</t>
        </is>
      </c>
      <c r="B9121" s="4" t="n">
        <v>2</v>
      </c>
      <c r="C9121" s="4" t="inlineStr">
        <is>
          <t>whitetail</t>
        </is>
      </c>
      <c r="D9121" s="4" t="n">
        <v>2014</v>
      </c>
      <c r="E9121" s="13" t="inlineStr">
        <is>
          <t>General</t>
        </is>
      </c>
      <c r="F9121" s="5" t="n"/>
      <c r="G9121" s="5" t="n"/>
      <c r="H9121" s="5" t="n">
        <v>51</v>
      </c>
      <c r="I9121" s="5" t="n">
        <v>34</v>
      </c>
      <c r="J9121" s="5" t="n">
        <v>18</v>
      </c>
      <c r="K9121" s="10">
        <f>IF(F9121&gt;0,H9121/F9121,"")</f>
        <v/>
      </c>
      <c r="L9121" s="16">
        <f>IF(AND(G9121&gt;0,H9121&gt;0),G9121/H9121,"")</f>
        <v/>
      </c>
    </row>
    <row r="9122">
      <c r="A9122" s="4" t="inlineStr">
        <is>
          <t>282</t>
        </is>
      </c>
      <c r="B9122" s="4" t="n">
        <v>2</v>
      </c>
      <c r="C9122" s="4" t="inlineStr">
        <is>
          <t>whitetail</t>
        </is>
      </c>
      <c r="D9122" s="4" t="n">
        <v>2015</v>
      </c>
      <c r="E9122" s="13" t="inlineStr">
        <is>
          <t>General</t>
        </is>
      </c>
      <c r="F9122" s="5" t="n"/>
      <c r="G9122" s="5" t="n"/>
      <c r="H9122" s="5" t="n">
        <v>70</v>
      </c>
      <c r="I9122" s="5" t="n">
        <v>52</v>
      </c>
      <c r="J9122" s="5" t="n">
        <v>18</v>
      </c>
      <c r="K9122" s="10">
        <f>IF(F9122&gt;0,H9122/F9122,"")</f>
        <v/>
      </c>
      <c r="L9122" s="16">
        <f>IF(AND(G9122&gt;0,H9122&gt;0),G9122/H9122,"")</f>
        <v/>
      </c>
    </row>
    <row r="9123">
      <c r="A9123" s="4" t="inlineStr">
        <is>
          <t>282</t>
        </is>
      </c>
      <c r="B9123" s="4" t="n">
        <v>2</v>
      </c>
      <c r="C9123" s="4" t="inlineStr">
        <is>
          <t>whitetail</t>
        </is>
      </c>
      <c r="D9123" s="4" t="n">
        <v>2016</v>
      </c>
      <c r="E9123" s="13" t="inlineStr">
        <is>
          <t>General</t>
        </is>
      </c>
      <c r="F9123" s="5" t="n"/>
      <c r="G9123" s="5" t="n"/>
      <c r="H9123" s="5" t="n">
        <v>55</v>
      </c>
      <c r="I9123" s="5" t="n">
        <v>46</v>
      </c>
      <c r="J9123" s="5" t="n">
        <v>9</v>
      </c>
      <c r="K9123" s="10">
        <f>IF(F9123&gt;0,H9123/F9123,"")</f>
        <v/>
      </c>
      <c r="L9123" s="16">
        <f>IF(AND(G9123&gt;0,H9123&gt;0),G9123/H9123,"")</f>
        <v/>
      </c>
    </row>
    <row r="9124">
      <c r="A9124" s="4" t="inlineStr">
        <is>
          <t>282</t>
        </is>
      </c>
      <c r="B9124" s="4" t="n">
        <v>2</v>
      </c>
      <c r="C9124" s="4" t="inlineStr">
        <is>
          <t>whitetail</t>
        </is>
      </c>
      <c r="D9124" s="4" t="n">
        <v>2017</v>
      </c>
      <c r="E9124" s="13" t="inlineStr">
        <is>
          <t>General</t>
        </is>
      </c>
      <c r="F9124" s="5" t="n">
        <v>218</v>
      </c>
      <c r="G9124" s="5" t="n">
        <v>1294</v>
      </c>
      <c r="H9124" s="5" t="n">
        <v>66</v>
      </c>
      <c r="I9124" s="5" t="n">
        <v>44</v>
      </c>
      <c r="J9124" s="5" t="n">
        <v>22</v>
      </c>
      <c r="K9124" s="10">
        <f>IF(F9124&gt;0,H9124/F9124,"")</f>
        <v/>
      </c>
      <c r="L9124" s="16">
        <f>IF(AND(G9124&gt;0,H9124&gt;0),G9124/H9124,"")</f>
        <v/>
      </c>
    </row>
    <row r="9125">
      <c r="A9125" s="4" t="inlineStr">
        <is>
          <t>282</t>
        </is>
      </c>
      <c r="B9125" s="4" t="n">
        <v>2</v>
      </c>
      <c r="C9125" s="4" t="inlineStr">
        <is>
          <t>whitetail</t>
        </is>
      </c>
      <c r="D9125" s="4" t="n">
        <v>2018</v>
      </c>
      <c r="E9125" s="13" t="inlineStr">
        <is>
          <t>General</t>
        </is>
      </c>
      <c r="F9125" s="5" t="n"/>
      <c r="G9125" s="5" t="n"/>
      <c r="H9125" s="5" t="n">
        <v>80</v>
      </c>
      <c r="I9125" s="5" t="n">
        <v>65</v>
      </c>
      <c r="J9125" s="5" t="n">
        <v>11</v>
      </c>
      <c r="K9125" s="10">
        <f>IF(F9125&gt;0,H9125/F9125,"")</f>
        <v/>
      </c>
      <c r="L9125" s="16">
        <f>IF(AND(G9125&gt;0,H9125&gt;0),G9125/H9125,"")</f>
        <v/>
      </c>
    </row>
    <row r="9126">
      <c r="A9126" s="4" t="inlineStr">
        <is>
          <t>282</t>
        </is>
      </c>
      <c r="B9126" s="4" t="n">
        <v>2</v>
      </c>
      <c r="C9126" s="4" t="inlineStr">
        <is>
          <t>whitetail</t>
        </is>
      </c>
      <c r="D9126" s="4" t="n">
        <v>2019</v>
      </c>
      <c r="E9126" s="13" t="inlineStr">
        <is>
          <t>General</t>
        </is>
      </c>
      <c r="F9126" s="5" t="n">
        <v>170</v>
      </c>
      <c r="G9126" s="5" t="n">
        <v>1217</v>
      </c>
      <c r="H9126" s="5" t="n">
        <v>29</v>
      </c>
      <c r="I9126" s="5" t="n">
        <v>20</v>
      </c>
      <c r="J9126" s="5" t="n">
        <v>9</v>
      </c>
      <c r="K9126" s="10">
        <f>IF(F9126&gt;0,H9126/F9126,"")</f>
        <v/>
      </c>
      <c r="L9126" s="16">
        <f>IF(AND(G9126&gt;0,H9126&gt;0),G9126/H9126,"")</f>
        <v/>
      </c>
    </row>
    <row r="9127">
      <c r="A9127" s="4" t="inlineStr">
        <is>
          <t>282</t>
        </is>
      </c>
      <c r="B9127" s="4" t="n">
        <v>2</v>
      </c>
      <c r="C9127" s="4" t="inlineStr">
        <is>
          <t>whitetail</t>
        </is>
      </c>
      <c r="D9127" s="4" t="n">
        <v>2020</v>
      </c>
      <c r="E9127" s="13" t="inlineStr">
        <is>
          <t>General</t>
        </is>
      </c>
      <c r="F9127" s="5" t="n"/>
      <c r="G9127" s="5" t="n"/>
      <c r="H9127" s="5" t="n">
        <v>50</v>
      </c>
      <c r="I9127" s="5" t="n">
        <v>37</v>
      </c>
      <c r="J9127" s="5" t="n">
        <v>13</v>
      </c>
      <c r="K9127" s="10">
        <f>IF(F9127&gt;0,H9127/F9127,"")</f>
        <v/>
      </c>
      <c r="L9127" s="16">
        <f>IF(AND(G9127&gt;0,H9127&gt;0),G9127/H9127,"")</f>
        <v/>
      </c>
    </row>
    <row r="9128">
      <c r="A9128" s="4" t="inlineStr">
        <is>
          <t>282</t>
        </is>
      </c>
      <c r="B9128" s="4" t="n">
        <v>2</v>
      </c>
      <c r="C9128" s="4" t="inlineStr">
        <is>
          <t>whitetail</t>
        </is>
      </c>
      <c r="D9128" s="4" t="n">
        <v>2021</v>
      </c>
      <c r="E9128" s="13" t="inlineStr">
        <is>
          <t>General</t>
        </is>
      </c>
      <c r="F9128" s="5" t="n">
        <v>198</v>
      </c>
      <c r="G9128" s="5" t="n">
        <v>1195</v>
      </c>
      <c r="H9128" s="5" t="n">
        <v>59</v>
      </c>
      <c r="I9128" s="5" t="n">
        <v>54</v>
      </c>
      <c r="J9128" s="5" t="n">
        <v>5</v>
      </c>
      <c r="K9128" s="10">
        <f>IF(F9128&gt;0,H9128/F9128,"")</f>
        <v/>
      </c>
      <c r="L9128" s="16">
        <f>IF(AND(G9128&gt;0,H9128&gt;0),G9128/H9128,"")</f>
        <v/>
      </c>
    </row>
    <row r="9129">
      <c r="A9129" s="4" t="inlineStr">
        <is>
          <t>282</t>
        </is>
      </c>
      <c r="B9129" s="4" t="n">
        <v>2</v>
      </c>
      <c r="C9129" s="4" t="inlineStr">
        <is>
          <t>whitetail</t>
        </is>
      </c>
      <c r="D9129" s="4" t="n">
        <v>2022</v>
      </c>
      <c r="E9129" s="13" t="inlineStr">
        <is>
          <t>General</t>
        </is>
      </c>
      <c r="F9129" s="5" t="n"/>
      <c r="G9129" s="5" t="n"/>
      <c r="H9129" s="5" t="n">
        <v>77</v>
      </c>
      <c r="I9129" s="5" t="n">
        <v>62</v>
      </c>
      <c r="J9129" s="5" t="n">
        <v>15</v>
      </c>
      <c r="K9129" s="10">
        <f>IF(F9129&gt;0,H9129/F9129,"")</f>
        <v/>
      </c>
      <c r="L9129" s="16">
        <f>IF(AND(G9129&gt;0,H9129&gt;0),G9129/H9129,"")</f>
        <v/>
      </c>
    </row>
    <row r="9130">
      <c r="A9130" s="4" t="inlineStr">
        <is>
          <t>282</t>
        </is>
      </c>
      <c r="B9130" s="4" t="n">
        <v>2</v>
      </c>
      <c r="C9130" s="4" t="inlineStr">
        <is>
          <t>whitetail</t>
        </is>
      </c>
      <c r="D9130" s="4" t="n">
        <v>2023</v>
      </c>
      <c r="E9130" s="13" t="inlineStr">
        <is>
          <t>General</t>
        </is>
      </c>
      <c r="F9130" s="5" t="n">
        <v>257</v>
      </c>
      <c r="G9130" s="5" t="n">
        <v>1611</v>
      </c>
      <c r="H9130" s="5" t="n">
        <v>58</v>
      </c>
      <c r="I9130" s="5" t="n">
        <v>50</v>
      </c>
      <c r="J9130" s="5" t="n">
        <v>7</v>
      </c>
      <c r="K9130" s="10">
        <f>IF(F9130&gt;0,H9130/F9130,"")</f>
        <v/>
      </c>
      <c r="L9130" s="16">
        <f>IF(AND(G9130&gt;0,H9130&gt;0),G9130/H9130,"")</f>
        <v/>
      </c>
    </row>
    <row r="9131">
      <c r="A9131" s="4" t="inlineStr">
        <is>
          <t>282</t>
        </is>
      </c>
      <c r="B9131" s="4" t="n">
        <v>2</v>
      </c>
      <c r="C9131" s="4" t="inlineStr">
        <is>
          <t>whitetail</t>
        </is>
      </c>
      <c r="D9131" s="4" t="n">
        <v>2024</v>
      </c>
      <c r="E9131" s="13" t="inlineStr">
        <is>
          <t>General</t>
        </is>
      </c>
      <c r="F9131" s="5" t="n"/>
      <c r="G9131" s="5" t="n"/>
      <c r="H9131" s="5" t="n">
        <v>85</v>
      </c>
      <c r="I9131" s="5" t="n">
        <v>71</v>
      </c>
      <c r="J9131" s="5" t="n">
        <v>14</v>
      </c>
      <c r="K9131" s="10">
        <f>IF(F9131&gt;0,H9131/F9131,"")</f>
        <v/>
      </c>
      <c r="L9131" s="16">
        <f>IF(AND(G9131&gt;0,H9131&gt;0),G9131/H9131,"")</f>
        <v/>
      </c>
    </row>
    <row r="9132">
      <c r="A9132" s="4" t="inlineStr">
        <is>
          <t>282</t>
        </is>
      </c>
      <c r="B9132" s="4" t="n">
        <v>2</v>
      </c>
      <c r="C9132" s="4" t="inlineStr">
        <is>
          <t>whitetail</t>
        </is>
      </c>
      <c r="D9132" s="4" t="n">
        <v>2025</v>
      </c>
      <c r="E9132" s="13" t="inlineStr">
        <is>
          <t>General</t>
        </is>
      </c>
      <c r="F9132" s="5" t="n">
        <v>367</v>
      </c>
      <c r="G9132" s="5" t="n">
        <v>2250</v>
      </c>
      <c r="H9132" s="5" t="n">
        <v>93</v>
      </c>
      <c r="I9132" s="5" t="n">
        <v>76</v>
      </c>
      <c r="J9132" s="5" t="n">
        <v>15</v>
      </c>
      <c r="K9132" s="10">
        <f>IF(F9132&gt;0,H9132/F9132,"")</f>
        <v/>
      </c>
      <c r="L9132" s="16">
        <f>IF(AND(G9132&gt;0,H9132&gt;0),G9132/H9132,"")</f>
        <v/>
      </c>
    </row>
    <row r="9133">
      <c r="A9133" s="4" t="inlineStr">
        <is>
          <t>283</t>
        </is>
      </c>
      <c r="B9133" s="4" t="n">
        <v>2</v>
      </c>
      <c r="C9133" s="4" t="inlineStr">
        <is>
          <t>whitetail</t>
        </is>
      </c>
      <c r="D9133" s="4" t="n">
        <v>2004</v>
      </c>
      <c r="E9133" s="4" t="inlineStr"/>
      <c r="F9133" s="5" t="n">
        <v>1720</v>
      </c>
      <c r="G9133" s="5" t="n">
        <v>9885</v>
      </c>
      <c r="H9133" s="5" t="n">
        <v>354</v>
      </c>
      <c r="I9133" s="5" t="n">
        <v>282</v>
      </c>
      <c r="J9133" s="5" t="n">
        <v>72</v>
      </c>
      <c r="K9133" s="10">
        <f>IF(F9133&gt;0,H9133/F9133,"")</f>
        <v/>
      </c>
      <c r="L9133" s="16">
        <f>IF(AND(G9133&gt;0,H9133&gt;0),G9133/H9133,"")</f>
        <v/>
      </c>
    </row>
    <row r="9134">
      <c r="A9134" s="4" t="inlineStr">
        <is>
          <t>283</t>
        </is>
      </c>
      <c r="B9134" s="4" t="n">
        <v>2</v>
      </c>
      <c r="C9134" s="4" t="inlineStr">
        <is>
          <t>whitetail</t>
        </is>
      </c>
      <c r="D9134" s="4" t="n">
        <v>2005</v>
      </c>
      <c r="E9134" s="4" t="inlineStr"/>
      <c r="F9134" s="5" t="n">
        <v>1572</v>
      </c>
      <c r="G9134" s="5" t="n">
        <v>7955</v>
      </c>
      <c r="H9134" s="5" t="n">
        <v>366</v>
      </c>
      <c r="I9134" s="5" t="n">
        <v>297</v>
      </c>
      <c r="J9134" s="5" t="n">
        <v>65</v>
      </c>
      <c r="K9134" s="10">
        <f>IF(F9134&gt;0,H9134/F9134,"")</f>
        <v/>
      </c>
      <c r="L9134" s="16">
        <f>IF(AND(G9134&gt;0,H9134&gt;0),G9134/H9134,"")</f>
        <v/>
      </c>
    </row>
    <row r="9135">
      <c r="A9135" s="4" t="inlineStr">
        <is>
          <t>283</t>
        </is>
      </c>
      <c r="B9135" s="4" t="n">
        <v>2</v>
      </c>
      <c r="C9135" s="4" t="inlineStr">
        <is>
          <t>whitetail</t>
        </is>
      </c>
      <c r="D9135" s="4" t="n">
        <v>2006</v>
      </c>
      <c r="E9135" s="4" t="inlineStr"/>
      <c r="F9135" s="5" t="n">
        <v>1854</v>
      </c>
      <c r="G9135" s="5" t="n">
        <v>10681</v>
      </c>
      <c r="H9135" s="5" t="n">
        <v>801</v>
      </c>
      <c r="I9135" s="5" t="n">
        <v>368</v>
      </c>
      <c r="J9135" s="5" t="n">
        <v>414</v>
      </c>
      <c r="K9135" s="10">
        <f>IF(F9135&gt;0,H9135/F9135,"")</f>
        <v/>
      </c>
      <c r="L9135" s="16">
        <f>IF(AND(G9135&gt;0,H9135&gt;0),G9135/H9135,"")</f>
        <v/>
      </c>
    </row>
    <row r="9136">
      <c r="A9136" s="4" t="inlineStr">
        <is>
          <t>283</t>
        </is>
      </c>
      <c r="B9136" s="4" t="n">
        <v>2</v>
      </c>
      <c r="C9136" s="4" t="inlineStr">
        <is>
          <t>whitetail</t>
        </is>
      </c>
      <c r="D9136" s="4" t="n">
        <v>2007</v>
      </c>
      <c r="E9136" s="4" t="inlineStr"/>
      <c r="F9136" s="5" t="n">
        <v>1648</v>
      </c>
      <c r="G9136" s="5" t="n">
        <v>10975</v>
      </c>
      <c r="H9136" s="5" t="n">
        <v>582</v>
      </c>
      <c r="I9136" s="5" t="n">
        <v>246</v>
      </c>
      <c r="J9136" s="5" t="n">
        <v>320</v>
      </c>
      <c r="K9136" s="10">
        <f>IF(F9136&gt;0,H9136/F9136,"")</f>
        <v/>
      </c>
      <c r="L9136" s="16">
        <f>IF(AND(G9136&gt;0,H9136&gt;0),G9136/H9136,"")</f>
        <v/>
      </c>
    </row>
    <row r="9137">
      <c r="A9137" s="4" t="inlineStr">
        <is>
          <t>283</t>
        </is>
      </c>
      <c r="B9137" s="4" t="n">
        <v>2</v>
      </c>
      <c r="C9137" s="4" t="inlineStr">
        <is>
          <t>whitetail</t>
        </is>
      </c>
      <c r="D9137" s="4" t="n">
        <v>2008</v>
      </c>
      <c r="E9137" s="4" t="inlineStr"/>
      <c r="F9137" s="5" t="n">
        <v>1986</v>
      </c>
      <c r="G9137" s="5" t="n">
        <v>12272</v>
      </c>
      <c r="H9137" s="5" t="n">
        <v>414</v>
      </c>
      <c r="I9137" s="5" t="n">
        <v>205</v>
      </c>
      <c r="J9137" s="5" t="n">
        <v>202</v>
      </c>
      <c r="K9137" s="10">
        <f>IF(F9137&gt;0,H9137/F9137,"")</f>
        <v/>
      </c>
      <c r="L9137" s="16">
        <f>IF(AND(G9137&gt;0,H9137&gt;0),G9137/H9137,"")</f>
        <v/>
      </c>
    </row>
    <row r="9138">
      <c r="A9138" s="4" t="inlineStr">
        <is>
          <t>283</t>
        </is>
      </c>
      <c r="B9138" s="4" t="n">
        <v>2</v>
      </c>
      <c r="C9138" s="4" t="inlineStr">
        <is>
          <t>whitetail</t>
        </is>
      </c>
      <c r="D9138" s="4" t="n">
        <v>2009</v>
      </c>
      <c r="E9138" s="4" t="inlineStr"/>
      <c r="F9138" s="5" t="n">
        <v>1980</v>
      </c>
      <c r="G9138" s="5" t="n">
        <v>11589</v>
      </c>
      <c r="H9138" s="5" t="n">
        <v>245</v>
      </c>
      <c r="I9138" s="5" t="n">
        <v>196</v>
      </c>
      <c r="J9138" s="5" t="n">
        <v>49</v>
      </c>
      <c r="K9138" s="10">
        <f>IF(F9138&gt;0,H9138/F9138,"")</f>
        <v/>
      </c>
      <c r="L9138" s="16">
        <f>IF(AND(G9138&gt;0,H9138&gt;0),G9138/H9138,"")</f>
        <v/>
      </c>
    </row>
    <row r="9139">
      <c r="A9139" s="4" t="inlineStr">
        <is>
          <t>283</t>
        </is>
      </c>
      <c r="B9139" s="4" t="n">
        <v>2</v>
      </c>
      <c r="C9139" s="4" t="inlineStr">
        <is>
          <t>whitetail</t>
        </is>
      </c>
      <c r="D9139" s="4" t="n">
        <v>2010</v>
      </c>
      <c r="E9139" s="4" t="inlineStr"/>
      <c r="F9139" s="5" t="n">
        <v>1665</v>
      </c>
      <c r="G9139" s="5" t="n">
        <v>9661</v>
      </c>
      <c r="H9139" s="5" t="n">
        <v>299</v>
      </c>
      <c r="I9139" s="5" t="n">
        <v>247</v>
      </c>
      <c r="J9139" s="5" t="n">
        <v>52</v>
      </c>
      <c r="K9139" s="10">
        <f>IF(F9139&gt;0,H9139/F9139,"")</f>
        <v/>
      </c>
      <c r="L9139" s="16">
        <f>IF(AND(G9139&gt;0,H9139&gt;0),G9139/H9139,"")</f>
        <v/>
      </c>
    </row>
    <row r="9140">
      <c r="A9140" s="4" t="inlineStr">
        <is>
          <t>283</t>
        </is>
      </c>
      <c r="B9140" s="4" t="n">
        <v>2</v>
      </c>
      <c r="C9140" s="4" t="inlineStr">
        <is>
          <t>whitetail</t>
        </is>
      </c>
      <c r="D9140" s="4" t="n">
        <v>2011</v>
      </c>
      <c r="E9140" s="4" t="inlineStr"/>
      <c r="F9140" s="5" t="n">
        <v>1837</v>
      </c>
      <c r="G9140" s="5" t="n">
        <v>10334</v>
      </c>
      <c r="H9140" s="5" t="n">
        <v>204</v>
      </c>
      <c r="I9140" s="5" t="n">
        <v>146</v>
      </c>
      <c r="J9140" s="5" t="n">
        <v>58</v>
      </c>
      <c r="K9140" s="10">
        <f>IF(F9140&gt;0,H9140/F9140,"")</f>
        <v/>
      </c>
      <c r="L9140" s="16">
        <f>IF(AND(G9140&gt;0,H9140&gt;0),G9140/H9140,"")</f>
        <v/>
      </c>
    </row>
    <row r="9141">
      <c r="A9141" s="4" t="inlineStr">
        <is>
          <t>283</t>
        </is>
      </c>
      <c r="B9141" s="4" t="n">
        <v>2</v>
      </c>
      <c r="C9141" s="4" t="inlineStr">
        <is>
          <t>whitetail</t>
        </is>
      </c>
      <c r="D9141" s="4" t="n">
        <v>2012</v>
      </c>
      <c r="E9141" s="4" t="inlineStr"/>
      <c r="F9141" s="5" t="n"/>
      <c r="G9141" s="5" t="n"/>
      <c r="H9141" s="5" t="n">
        <v>240</v>
      </c>
      <c r="I9141" s="5" t="n">
        <v>183</v>
      </c>
      <c r="J9141" s="5" t="n">
        <v>52</v>
      </c>
      <c r="K9141" s="10">
        <f>IF(F9141&gt;0,H9141/F9141,"")</f>
        <v/>
      </c>
      <c r="L9141" s="16">
        <f>IF(AND(G9141&gt;0,H9141&gt;0),G9141/H9141,"")</f>
        <v/>
      </c>
    </row>
    <row r="9142">
      <c r="A9142" s="4" t="inlineStr">
        <is>
          <t>283</t>
        </is>
      </c>
      <c r="B9142" s="4" t="n">
        <v>2</v>
      </c>
      <c r="C9142" s="4" t="inlineStr">
        <is>
          <t>whitetail</t>
        </is>
      </c>
      <c r="D9142" s="4" t="n">
        <v>2013</v>
      </c>
      <c r="E9142" s="4" t="inlineStr"/>
      <c r="F9142" s="5" t="n">
        <v>1591</v>
      </c>
      <c r="G9142" s="5" t="n">
        <v>9757</v>
      </c>
      <c r="H9142" s="5" t="n">
        <v>259</v>
      </c>
      <c r="I9142" s="5" t="n">
        <v>180</v>
      </c>
      <c r="J9142" s="5" t="n">
        <v>75</v>
      </c>
      <c r="K9142" s="10">
        <f>IF(F9142&gt;0,H9142/F9142,"")</f>
        <v/>
      </c>
      <c r="L9142" s="16">
        <f>IF(AND(G9142&gt;0,H9142&gt;0),G9142/H9142,"")</f>
        <v/>
      </c>
    </row>
    <row r="9143">
      <c r="A9143" s="4" t="inlineStr">
        <is>
          <t>283</t>
        </is>
      </c>
      <c r="B9143" s="4" t="n">
        <v>2</v>
      </c>
      <c r="C9143" s="4" t="inlineStr">
        <is>
          <t>whitetail</t>
        </is>
      </c>
      <c r="D9143" s="4" t="n">
        <v>2014</v>
      </c>
      <c r="E9143" s="4" t="inlineStr"/>
      <c r="F9143" s="5" t="n"/>
      <c r="G9143" s="5" t="n"/>
      <c r="H9143" s="5" t="n">
        <v>303</v>
      </c>
      <c r="I9143" s="5" t="n">
        <v>246</v>
      </c>
      <c r="J9143" s="5" t="n">
        <v>55</v>
      </c>
      <c r="K9143" s="10">
        <f>IF(F9143&gt;0,H9143/F9143,"")</f>
        <v/>
      </c>
      <c r="L9143" s="16">
        <f>IF(AND(G9143&gt;0,H9143&gt;0),G9143/H9143,"")</f>
        <v/>
      </c>
    </row>
    <row r="9144">
      <c r="A9144" s="4" t="inlineStr">
        <is>
          <t>283</t>
        </is>
      </c>
      <c r="B9144" s="4" t="n">
        <v>2</v>
      </c>
      <c r="C9144" s="4" t="inlineStr">
        <is>
          <t>whitetail</t>
        </is>
      </c>
      <c r="D9144" s="4" t="n">
        <v>2015</v>
      </c>
      <c r="E9144" s="4" t="inlineStr"/>
      <c r="F9144" s="5" t="n"/>
      <c r="G9144" s="5" t="n"/>
      <c r="H9144" s="5" t="n">
        <v>309</v>
      </c>
      <c r="I9144" s="5" t="n">
        <v>232</v>
      </c>
      <c r="J9144" s="5" t="n">
        <v>77</v>
      </c>
      <c r="K9144" s="10">
        <f>IF(F9144&gt;0,H9144/F9144,"")</f>
        <v/>
      </c>
      <c r="L9144" s="16">
        <f>IF(AND(G9144&gt;0,H9144&gt;0),G9144/H9144,"")</f>
        <v/>
      </c>
    </row>
    <row r="9145">
      <c r="A9145" s="4" t="inlineStr">
        <is>
          <t>283</t>
        </is>
      </c>
      <c r="B9145" s="4" t="n">
        <v>2</v>
      </c>
      <c r="C9145" s="4" t="inlineStr">
        <is>
          <t>whitetail</t>
        </is>
      </c>
      <c r="D9145" s="4" t="n">
        <v>2016</v>
      </c>
      <c r="E9145" s="4" t="inlineStr"/>
      <c r="F9145" s="5" t="n"/>
      <c r="G9145" s="5" t="n"/>
      <c r="H9145" s="5" t="n">
        <v>327</v>
      </c>
      <c r="I9145" s="5" t="n">
        <v>259</v>
      </c>
      <c r="J9145" s="5" t="n">
        <v>65</v>
      </c>
      <c r="K9145" s="10">
        <f>IF(F9145&gt;0,H9145/F9145,"")</f>
        <v/>
      </c>
      <c r="L9145" s="16">
        <f>IF(AND(G9145&gt;0,H9145&gt;0),G9145/H9145,"")</f>
        <v/>
      </c>
    </row>
    <row r="9146">
      <c r="A9146" s="4" t="inlineStr">
        <is>
          <t>283</t>
        </is>
      </c>
      <c r="B9146" s="4" t="n">
        <v>2</v>
      </c>
      <c r="C9146" s="4" t="inlineStr">
        <is>
          <t>whitetail</t>
        </is>
      </c>
      <c r="D9146" s="4" t="n">
        <v>2017</v>
      </c>
      <c r="E9146" s="4" t="inlineStr"/>
      <c r="F9146" s="5" t="n">
        <v>1492</v>
      </c>
      <c r="G9146" s="5" t="n">
        <v>8384</v>
      </c>
      <c r="H9146" s="5" t="n">
        <v>343</v>
      </c>
      <c r="I9146" s="5" t="n">
        <v>272</v>
      </c>
      <c r="J9146" s="5" t="n">
        <v>71</v>
      </c>
      <c r="K9146" s="10">
        <f>IF(F9146&gt;0,H9146/F9146,"")</f>
        <v/>
      </c>
      <c r="L9146" s="16">
        <f>IF(AND(G9146&gt;0,H9146&gt;0),G9146/H9146,"")</f>
        <v/>
      </c>
    </row>
    <row r="9147">
      <c r="A9147" s="4" t="inlineStr">
        <is>
          <t>283</t>
        </is>
      </c>
      <c r="B9147" s="4" t="n">
        <v>2</v>
      </c>
      <c r="C9147" s="4" t="inlineStr">
        <is>
          <t>whitetail</t>
        </is>
      </c>
      <c r="D9147" s="4" t="n">
        <v>2018</v>
      </c>
      <c r="E9147" s="4" t="inlineStr"/>
      <c r="F9147" s="5" t="n"/>
      <c r="G9147" s="5" t="n"/>
      <c r="H9147" s="5" t="n">
        <v>337</v>
      </c>
      <c r="I9147" s="5" t="n">
        <v>251</v>
      </c>
      <c r="J9147" s="5" t="n">
        <v>83</v>
      </c>
      <c r="K9147" s="10">
        <f>IF(F9147&gt;0,H9147/F9147,"")</f>
        <v/>
      </c>
      <c r="L9147" s="16">
        <f>IF(AND(G9147&gt;0,H9147&gt;0),G9147/H9147,"")</f>
        <v/>
      </c>
    </row>
    <row r="9148">
      <c r="A9148" s="4" t="inlineStr">
        <is>
          <t>283</t>
        </is>
      </c>
      <c r="B9148" s="4" t="n">
        <v>2</v>
      </c>
      <c r="C9148" s="4" t="inlineStr">
        <is>
          <t>whitetail</t>
        </is>
      </c>
      <c r="D9148" s="4" t="n">
        <v>2019</v>
      </c>
      <c r="E9148" s="4" t="inlineStr"/>
      <c r="F9148" s="5" t="n">
        <v>1236</v>
      </c>
      <c r="G9148" s="5" t="n">
        <v>7006</v>
      </c>
      <c r="H9148" s="5" t="n">
        <v>245</v>
      </c>
      <c r="I9148" s="5" t="n">
        <v>206</v>
      </c>
      <c r="J9148" s="5" t="n">
        <v>38</v>
      </c>
      <c r="K9148" s="10">
        <f>IF(F9148&gt;0,H9148/F9148,"")</f>
        <v/>
      </c>
      <c r="L9148" s="16">
        <f>IF(AND(G9148&gt;0,H9148&gt;0),G9148/H9148,"")</f>
        <v/>
      </c>
    </row>
    <row r="9149">
      <c r="A9149" s="4" t="inlineStr">
        <is>
          <t>283</t>
        </is>
      </c>
      <c r="B9149" s="4" t="n">
        <v>2</v>
      </c>
      <c r="C9149" s="4" t="inlineStr">
        <is>
          <t>whitetail</t>
        </is>
      </c>
      <c r="D9149" s="4" t="n">
        <v>2020</v>
      </c>
      <c r="E9149" s="4" t="inlineStr"/>
      <c r="F9149" s="5" t="n"/>
      <c r="G9149" s="5" t="n"/>
      <c r="H9149" s="5" t="n">
        <v>276</v>
      </c>
      <c r="I9149" s="5" t="n">
        <v>201</v>
      </c>
      <c r="J9149" s="5" t="n">
        <v>71</v>
      </c>
      <c r="K9149" s="10">
        <f>IF(F9149&gt;0,H9149/F9149,"")</f>
        <v/>
      </c>
      <c r="L9149" s="16">
        <f>IF(AND(G9149&gt;0,H9149&gt;0),G9149/H9149,"")</f>
        <v/>
      </c>
    </row>
    <row r="9150">
      <c r="A9150" s="4" t="inlineStr">
        <is>
          <t>283</t>
        </is>
      </c>
      <c r="B9150" s="4" t="n">
        <v>2</v>
      </c>
      <c r="C9150" s="4" t="inlineStr">
        <is>
          <t>whitetail</t>
        </is>
      </c>
      <c r="D9150" s="4" t="n">
        <v>2021</v>
      </c>
      <c r="E9150" s="4" t="inlineStr"/>
      <c r="F9150" s="5" t="n">
        <v>1161</v>
      </c>
      <c r="G9150" s="5" t="n">
        <v>7532</v>
      </c>
      <c r="H9150" s="5" t="n">
        <v>265</v>
      </c>
      <c r="I9150" s="5" t="n">
        <v>208</v>
      </c>
      <c r="J9150" s="5" t="n">
        <v>57</v>
      </c>
      <c r="K9150" s="10">
        <f>IF(F9150&gt;0,H9150/F9150,"")</f>
        <v/>
      </c>
      <c r="L9150" s="16">
        <f>IF(AND(G9150&gt;0,H9150&gt;0),G9150/H9150,"")</f>
        <v/>
      </c>
    </row>
    <row r="9151">
      <c r="A9151" s="4" t="inlineStr">
        <is>
          <t>284</t>
        </is>
      </c>
      <c r="B9151" s="4" t="n">
        <v>2</v>
      </c>
      <c r="C9151" s="4" t="inlineStr">
        <is>
          <t>whitetail</t>
        </is>
      </c>
      <c r="D9151" s="4" t="n">
        <v>2004</v>
      </c>
      <c r="E9151" s="13" t="inlineStr">
        <is>
          <t>General</t>
        </is>
      </c>
      <c r="F9151" s="5" t="n">
        <v>186</v>
      </c>
      <c r="G9151" s="5" t="n">
        <v>1516</v>
      </c>
      <c r="H9151" s="5" t="n">
        <v>61</v>
      </c>
      <c r="I9151" s="5" t="n">
        <v>38</v>
      </c>
      <c r="J9151" s="5" t="n">
        <v>23</v>
      </c>
      <c r="K9151" s="10">
        <f>IF(F9151&gt;0,H9151/F9151,"")</f>
        <v/>
      </c>
      <c r="L9151" s="16">
        <f>IF(AND(G9151&gt;0,H9151&gt;0),G9151/H9151,"")</f>
        <v/>
      </c>
    </row>
    <row r="9152">
      <c r="A9152" s="4" t="inlineStr">
        <is>
          <t>284</t>
        </is>
      </c>
      <c r="B9152" s="4" t="n">
        <v>2</v>
      </c>
      <c r="C9152" s="4" t="inlineStr">
        <is>
          <t>whitetail</t>
        </is>
      </c>
      <c r="D9152" s="4" t="n">
        <v>2005</v>
      </c>
      <c r="E9152" s="13" t="inlineStr">
        <is>
          <t>General</t>
        </is>
      </c>
      <c r="F9152" s="5" t="n">
        <v>169</v>
      </c>
      <c r="G9152" s="5" t="n">
        <v>1266</v>
      </c>
      <c r="H9152" s="5" t="n">
        <v>86</v>
      </c>
      <c r="I9152" s="5" t="n">
        <v>38</v>
      </c>
      <c r="J9152" s="5" t="n">
        <v>49</v>
      </c>
      <c r="K9152" s="10">
        <f>IF(F9152&gt;0,H9152/F9152,"")</f>
        <v/>
      </c>
      <c r="L9152" s="16">
        <f>IF(AND(G9152&gt;0,H9152&gt;0),G9152/H9152,"")</f>
        <v/>
      </c>
    </row>
    <row r="9153">
      <c r="A9153" s="4" t="inlineStr">
        <is>
          <t>284</t>
        </is>
      </c>
      <c r="B9153" s="4" t="n">
        <v>2</v>
      </c>
      <c r="C9153" s="4" t="inlineStr">
        <is>
          <t>whitetail</t>
        </is>
      </c>
      <c r="D9153" s="4" t="n">
        <v>2006</v>
      </c>
      <c r="E9153" s="13" t="inlineStr">
        <is>
          <t>General</t>
        </is>
      </c>
      <c r="F9153" s="5" t="n">
        <v>132</v>
      </c>
      <c r="G9153" s="5" t="n">
        <v>750</v>
      </c>
      <c r="H9153" s="5" t="n">
        <v>85</v>
      </c>
      <c r="I9153" s="5" t="n">
        <v>37</v>
      </c>
      <c r="J9153" s="5" t="n">
        <v>44</v>
      </c>
      <c r="K9153" s="10">
        <f>IF(F9153&gt;0,H9153/F9153,"")</f>
        <v/>
      </c>
      <c r="L9153" s="16">
        <f>IF(AND(G9153&gt;0,H9153&gt;0),G9153/H9153,"")</f>
        <v/>
      </c>
    </row>
    <row r="9154">
      <c r="A9154" s="4" t="inlineStr">
        <is>
          <t>284</t>
        </is>
      </c>
      <c r="B9154" s="4" t="n">
        <v>2</v>
      </c>
      <c r="C9154" s="4" t="inlineStr">
        <is>
          <t>whitetail</t>
        </is>
      </c>
      <c r="D9154" s="4" t="n">
        <v>2007</v>
      </c>
      <c r="E9154" s="13" t="inlineStr">
        <is>
          <t>General</t>
        </is>
      </c>
      <c r="F9154" s="5" t="n">
        <v>110</v>
      </c>
      <c r="G9154" s="5" t="n">
        <v>651</v>
      </c>
      <c r="H9154" s="5" t="n">
        <v>68</v>
      </c>
      <c r="I9154" s="5" t="n">
        <v>19</v>
      </c>
      <c r="J9154" s="5" t="n">
        <v>49</v>
      </c>
      <c r="K9154" s="10">
        <f>IF(F9154&gt;0,H9154/F9154,"")</f>
        <v/>
      </c>
      <c r="L9154" s="16">
        <f>IF(AND(G9154&gt;0,H9154&gt;0),G9154/H9154,"")</f>
        <v/>
      </c>
    </row>
    <row r="9155">
      <c r="A9155" s="4" t="inlineStr">
        <is>
          <t>284</t>
        </is>
      </c>
      <c r="B9155" s="4" t="n">
        <v>2</v>
      </c>
      <c r="C9155" s="4" t="inlineStr">
        <is>
          <t>whitetail</t>
        </is>
      </c>
      <c r="D9155" s="4" t="n">
        <v>2008</v>
      </c>
      <c r="E9155" s="13" t="inlineStr">
        <is>
          <t>General</t>
        </is>
      </c>
      <c r="F9155" s="5" t="n">
        <v>92</v>
      </c>
      <c r="G9155" s="5" t="n">
        <v>688</v>
      </c>
      <c r="H9155" s="5" t="n">
        <v>38</v>
      </c>
      <c r="I9155" s="5" t="n">
        <v>5</v>
      </c>
      <c r="J9155" s="5" t="n">
        <v>33</v>
      </c>
      <c r="K9155" s="10">
        <f>IF(F9155&gt;0,H9155/F9155,"")</f>
        <v/>
      </c>
      <c r="L9155" s="16">
        <f>IF(AND(G9155&gt;0,H9155&gt;0),G9155/H9155,"")</f>
        <v/>
      </c>
    </row>
    <row r="9156">
      <c r="A9156" s="4" t="inlineStr">
        <is>
          <t>284</t>
        </is>
      </c>
      <c r="B9156" s="4" t="n">
        <v>2</v>
      </c>
      <c r="C9156" s="4" t="inlineStr">
        <is>
          <t>whitetail</t>
        </is>
      </c>
      <c r="D9156" s="4" t="n">
        <v>2009</v>
      </c>
      <c r="E9156" s="13" t="inlineStr">
        <is>
          <t>General</t>
        </is>
      </c>
      <c r="F9156" s="5" t="n">
        <v>70</v>
      </c>
      <c r="G9156" s="5" t="n">
        <v>601</v>
      </c>
      <c r="H9156" s="5" t="n">
        <v>24</v>
      </c>
      <c r="I9156" s="5" t="n">
        <v>8</v>
      </c>
      <c r="J9156" s="5" t="n">
        <v>17</v>
      </c>
      <c r="K9156" s="10">
        <f>IF(F9156&gt;0,H9156/F9156,"")</f>
        <v/>
      </c>
      <c r="L9156" s="16">
        <f>IF(AND(G9156&gt;0,H9156&gt;0),G9156/H9156,"")</f>
        <v/>
      </c>
    </row>
    <row r="9157">
      <c r="A9157" s="4" t="inlineStr">
        <is>
          <t>284</t>
        </is>
      </c>
      <c r="B9157" s="4" t="n">
        <v>2</v>
      </c>
      <c r="C9157" s="4" t="inlineStr">
        <is>
          <t>whitetail</t>
        </is>
      </c>
      <c r="D9157" s="4" t="n">
        <v>2010</v>
      </c>
      <c r="E9157" s="13" t="inlineStr">
        <is>
          <t>General</t>
        </is>
      </c>
      <c r="F9157" s="5" t="n">
        <v>55</v>
      </c>
      <c r="G9157" s="5" t="n">
        <v>383</v>
      </c>
      <c r="H9157" s="5" t="n">
        <v>9</v>
      </c>
      <c r="I9157" s="5" t="n">
        <v>6</v>
      </c>
      <c r="J9157" s="5" t="n">
        <v>3</v>
      </c>
      <c r="K9157" s="10">
        <f>IF(F9157&gt;0,H9157/F9157,"")</f>
        <v/>
      </c>
      <c r="L9157" s="16">
        <f>IF(AND(G9157&gt;0,H9157&gt;0),G9157/H9157,"")</f>
        <v/>
      </c>
    </row>
    <row r="9158">
      <c r="A9158" s="4" t="inlineStr">
        <is>
          <t>284</t>
        </is>
      </c>
      <c r="B9158" s="4" t="n">
        <v>2</v>
      </c>
      <c r="C9158" s="4" t="inlineStr">
        <is>
          <t>whitetail</t>
        </is>
      </c>
      <c r="D9158" s="4" t="n">
        <v>2011</v>
      </c>
      <c r="E9158" s="13" t="inlineStr">
        <is>
          <t>General</t>
        </is>
      </c>
      <c r="F9158" s="5" t="n">
        <v>121</v>
      </c>
      <c r="G9158" s="5" t="n">
        <v>730</v>
      </c>
      <c r="H9158" s="5" t="n">
        <v>3</v>
      </c>
      <c r="I9158" s="5" t="n">
        <v>3</v>
      </c>
      <c r="J9158" s="5" t="n">
        <v>0</v>
      </c>
      <c r="K9158" s="10">
        <f>IF(F9158&gt;0,H9158/F9158,"")</f>
        <v/>
      </c>
      <c r="L9158" s="16">
        <f>IF(AND(G9158&gt;0,H9158&gt;0),G9158/H9158,"")</f>
        <v/>
      </c>
    </row>
    <row r="9159">
      <c r="A9159" s="4" t="inlineStr">
        <is>
          <t>284</t>
        </is>
      </c>
      <c r="B9159" s="4" t="n">
        <v>2</v>
      </c>
      <c r="C9159" s="4" t="inlineStr">
        <is>
          <t>whitetail</t>
        </is>
      </c>
      <c r="D9159" s="4" t="n">
        <v>2012</v>
      </c>
      <c r="E9159" s="13" t="inlineStr">
        <is>
          <t>General</t>
        </is>
      </c>
      <c r="F9159" s="5" t="n"/>
      <c r="G9159" s="5" t="n"/>
      <c r="H9159" s="5" t="n">
        <v>13</v>
      </c>
      <c r="I9159" s="5" t="n">
        <v>11</v>
      </c>
      <c r="J9159" s="5" t="n">
        <v>3</v>
      </c>
      <c r="K9159" s="10">
        <f>IF(F9159&gt;0,H9159/F9159,"")</f>
        <v/>
      </c>
      <c r="L9159" s="16">
        <f>IF(AND(G9159&gt;0,H9159&gt;0),G9159/H9159,"")</f>
        <v/>
      </c>
    </row>
    <row r="9160">
      <c r="A9160" s="4" t="inlineStr">
        <is>
          <t>284</t>
        </is>
      </c>
      <c r="B9160" s="4" t="n">
        <v>2</v>
      </c>
      <c r="C9160" s="4" t="inlineStr">
        <is>
          <t>whitetail</t>
        </is>
      </c>
      <c r="D9160" s="4" t="n">
        <v>2013</v>
      </c>
      <c r="E9160" s="13" t="inlineStr">
        <is>
          <t>General</t>
        </is>
      </c>
      <c r="F9160" s="5" t="n">
        <v>156</v>
      </c>
      <c r="G9160" s="5" t="n">
        <v>1438</v>
      </c>
      <c r="H9160" s="5" t="n">
        <v>11</v>
      </c>
      <c r="I9160" s="5" t="n">
        <v>9</v>
      </c>
      <c r="J9160" s="5" t="n">
        <v>3</v>
      </c>
      <c r="K9160" s="10">
        <f>IF(F9160&gt;0,H9160/F9160,"")</f>
        <v/>
      </c>
      <c r="L9160" s="16">
        <f>IF(AND(G9160&gt;0,H9160&gt;0),G9160/H9160,"")</f>
        <v/>
      </c>
    </row>
    <row r="9161">
      <c r="A9161" s="4" t="inlineStr">
        <is>
          <t>284</t>
        </is>
      </c>
      <c r="B9161" s="4" t="n">
        <v>2</v>
      </c>
      <c r="C9161" s="4" t="inlineStr">
        <is>
          <t>whitetail</t>
        </is>
      </c>
      <c r="D9161" s="4" t="n">
        <v>2014</v>
      </c>
      <c r="E9161" s="13" t="inlineStr">
        <is>
          <t>General</t>
        </is>
      </c>
      <c r="F9161" s="5" t="n"/>
      <c r="G9161" s="5" t="n"/>
      <c r="H9161" s="5" t="n">
        <v>38</v>
      </c>
      <c r="I9161" s="5" t="n">
        <v>37</v>
      </c>
      <c r="J9161" s="5" t="n">
        <v>2</v>
      </c>
      <c r="K9161" s="10">
        <f>IF(F9161&gt;0,H9161/F9161,"")</f>
        <v/>
      </c>
      <c r="L9161" s="16">
        <f>IF(AND(G9161&gt;0,H9161&gt;0),G9161/H9161,"")</f>
        <v/>
      </c>
    </row>
    <row r="9162">
      <c r="A9162" s="4" t="inlineStr">
        <is>
          <t>284</t>
        </is>
      </c>
      <c r="B9162" s="4" t="n">
        <v>2</v>
      </c>
      <c r="C9162" s="4" t="inlineStr">
        <is>
          <t>whitetail</t>
        </is>
      </c>
      <c r="D9162" s="4" t="n">
        <v>2015</v>
      </c>
      <c r="E9162" s="13" t="inlineStr">
        <is>
          <t>General</t>
        </is>
      </c>
      <c r="F9162" s="5" t="n"/>
      <c r="G9162" s="5" t="n"/>
      <c r="H9162" s="5" t="n">
        <v>57</v>
      </c>
      <c r="I9162" s="5" t="n">
        <v>55</v>
      </c>
      <c r="J9162" s="5" t="n">
        <v>3</v>
      </c>
      <c r="K9162" s="10">
        <f>IF(F9162&gt;0,H9162/F9162,"")</f>
        <v/>
      </c>
      <c r="L9162" s="16">
        <f>IF(AND(G9162&gt;0,H9162&gt;0),G9162/H9162,"")</f>
        <v/>
      </c>
    </row>
    <row r="9163">
      <c r="A9163" s="4" t="inlineStr">
        <is>
          <t>284</t>
        </is>
      </c>
      <c r="B9163" s="4" t="n">
        <v>2</v>
      </c>
      <c r="C9163" s="4" t="inlineStr">
        <is>
          <t>whitetail</t>
        </is>
      </c>
      <c r="D9163" s="4" t="n">
        <v>2016</v>
      </c>
      <c r="E9163" s="13" t="inlineStr">
        <is>
          <t>General</t>
        </is>
      </c>
      <c r="F9163" s="5" t="n"/>
      <c r="G9163" s="5" t="n"/>
      <c r="H9163" s="5" t="n">
        <v>40</v>
      </c>
      <c r="I9163" s="5" t="n">
        <v>37</v>
      </c>
      <c r="J9163" s="5" t="n">
        <v>3</v>
      </c>
      <c r="K9163" s="10">
        <f>IF(F9163&gt;0,H9163/F9163,"")</f>
        <v/>
      </c>
      <c r="L9163" s="16">
        <f>IF(AND(G9163&gt;0,H9163&gt;0),G9163/H9163,"")</f>
        <v/>
      </c>
    </row>
    <row r="9164">
      <c r="A9164" s="4" t="inlineStr">
        <is>
          <t>284</t>
        </is>
      </c>
      <c r="B9164" s="4" t="n">
        <v>2</v>
      </c>
      <c r="C9164" s="4" t="inlineStr">
        <is>
          <t>whitetail</t>
        </is>
      </c>
      <c r="D9164" s="4" t="n">
        <v>2017</v>
      </c>
      <c r="E9164" s="13" t="inlineStr">
        <is>
          <t>General</t>
        </is>
      </c>
      <c r="F9164" s="5" t="n">
        <v>247</v>
      </c>
      <c r="G9164" s="5" t="n">
        <v>1548</v>
      </c>
      <c r="H9164" s="5" t="n">
        <v>36</v>
      </c>
      <c r="I9164" s="5" t="n">
        <v>33</v>
      </c>
      <c r="J9164" s="5" t="n">
        <v>3</v>
      </c>
      <c r="K9164" s="10">
        <f>IF(F9164&gt;0,H9164/F9164,"")</f>
        <v/>
      </c>
      <c r="L9164" s="16">
        <f>IF(AND(G9164&gt;0,H9164&gt;0),G9164/H9164,"")</f>
        <v/>
      </c>
    </row>
    <row r="9165">
      <c r="A9165" s="4" t="inlineStr">
        <is>
          <t>284</t>
        </is>
      </c>
      <c r="B9165" s="4" t="n">
        <v>2</v>
      </c>
      <c r="C9165" s="4" t="inlineStr">
        <is>
          <t>whitetail</t>
        </is>
      </c>
      <c r="D9165" s="4" t="n">
        <v>2018</v>
      </c>
      <c r="E9165" s="13" t="inlineStr">
        <is>
          <t>General</t>
        </is>
      </c>
      <c r="F9165" s="5" t="n"/>
      <c r="G9165" s="5" t="n"/>
      <c r="H9165" s="5" t="n">
        <v>22</v>
      </c>
      <c r="I9165" s="5" t="n">
        <v>19</v>
      </c>
      <c r="J9165" s="5" t="n">
        <v>3</v>
      </c>
      <c r="K9165" s="10">
        <f>IF(F9165&gt;0,H9165/F9165,"")</f>
        <v/>
      </c>
      <c r="L9165" s="16">
        <f>IF(AND(G9165&gt;0,H9165&gt;0),G9165/H9165,"")</f>
        <v/>
      </c>
    </row>
    <row r="9166">
      <c r="A9166" s="4" t="inlineStr">
        <is>
          <t>284</t>
        </is>
      </c>
      <c r="B9166" s="4" t="n">
        <v>2</v>
      </c>
      <c r="C9166" s="4" t="inlineStr">
        <is>
          <t>whitetail</t>
        </is>
      </c>
      <c r="D9166" s="4" t="n">
        <v>2019</v>
      </c>
      <c r="E9166" s="13" t="inlineStr">
        <is>
          <t>General</t>
        </is>
      </c>
      <c r="F9166" s="5" t="n">
        <v>234</v>
      </c>
      <c r="G9166" s="5" t="n">
        <v>1788</v>
      </c>
      <c r="H9166" s="5" t="n">
        <v>16</v>
      </c>
      <c r="I9166" s="5" t="n">
        <v>16</v>
      </c>
      <c r="J9166" s="5" t="n">
        <v>0</v>
      </c>
      <c r="K9166" s="10">
        <f>IF(F9166&gt;0,H9166/F9166,"")</f>
        <v/>
      </c>
      <c r="L9166" s="16">
        <f>IF(AND(G9166&gt;0,H9166&gt;0),G9166/H9166,"")</f>
        <v/>
      </c>
    </row>
    <row r="9167">
      <c r="A9167" s="4" t="inlineStr">
        <is>
          <t>284</t>
        </is>
      </c>
      <c r="B9167" s="4" t="n">
        <v>2</v>
      </c>
      <c r="C9167" s="4" t="inlineStr">
        <is>
          <t>whitetail</t>
        </is>
      </c>
      <c r="D9167" s="4" t="n">
        <v>2020</v>
      </c>
      <c r="E9167" s="13" t="inlineStr">
        <is>
          <t>General</t>
        </is>
      </c>
      <c r="F9167" s="5" t="n"/>
      <c r="G9167" s="5" t="n"/>
      <c r="H9167" s="5" t="n">
        <v>17</v>
      </c>
      <c r="I9167" s="5" t="n">
        <v>17</v>
      </c>
      <c r="J9167" s="5" t="n">
        <v>0</v>
      </c>
      <c r="K9167" s="10">
        <f>IF(F9167&gt;0,H9167/F9167,"")</f>
        <v/>
      </c>
      <c r="L9167" s="16">
        <f>IF(AND(G9167&gt;0,H9167&gt;0),G9167/H9167,"")</f>
        <v/>
      </c>
    </row>
    <row r="9168">
      <c r="A9168" s="4" t="inlineStr">
        <is>
          <t>284</t>
        </is>
      </c>
      <c r="B9168" s="4" t="n">
        <v>2</v>
      </c>
      <c r="C9168" s="4" t="inlineStr">
        <is>
          <t>whitetail</t>
        </is>
      </c>
      <c r="D9168" s="4" t="n">
        <v>2021</v>
      </c>
      <c r="E9168" s="13" t="inlineStr">
        <is>
          <t>General</t>
        </is>
      </c>
      <c r="F9168" s="5" t="n">
        <v>200</v>
      </c>
      <c r="G9168" s="5" t="n">
        <v>1392</v>
      </c>
      <c r="H9168" s="5" t="n">
        <v>46</v>
      </c>
      <c r="I9168" s="5" t="n">
        <v>46</v>
      </c>
      <c r="J9168" s="5" t="n">
        <v>0</v>
      </c>
      <c r="K9168" s="10">
        <f>IF(F9168&gt;0,H9168/F9168,"")</f>
        <v/>
      </c>
      <c r="L9168" s="16">
        <f>IF(AND(G9168&gt;0,H9168&gt;0),G9168/H9168,"")</f>
        <v/>
      </c>
    </row>
    <row r="9169">
      <c r="A9169" s="4" t="inlineStr">
        <is>
          <t>284</t>
        </is>
      </c>
      <c r="B9169" s="4" t="n">
        <v>2</v>
      </c>
      <c r="C9169" s="4" t="inlineStr">
        <is>
          <t>whitetail</t>
        </is>
      </c>
      <c r="D9169" s="4" t="n">
        <v>2022</v>
      </c>
      <c r="E9169" s="13" t="inlineStr">
        <is>
          <t>General</t>
        </is>
      </c>
      <c r="F9169" s="5" t="n"/>
      <c r="G9169" s="5" t="n"/>
      <c r="H9169" s="5" t="n">
        <v>23</v>
      </c>
      <c r="I9169" s="5" t="n">
        <v>16</v>
      </c>
      <c r="J9169" s="5" t="n">
        <v>6</v>
      </c>
      <c r="K9169" s="10">
        <f>IF(F9169&gt;0,H9169/F9169,"")</f>
        <v/>
      </c>
      <c r="L9169" s="16">
        <f>IF(AND(G9169&gt;0,H9169&gt;0),G9169/H9169,"")</f>
        <v/>
      </c>
    </row>
    <row r="9170">
      <c r="A9170" s="4" t="inlineStr">
        <is>
          <t>284</t>
        </is>
      </c>
      <c r="B9170" s="4" t="n">
        <v>2</v>
      </c>
      <c r="C9170" s="4" t="inlineStr">
        <is>
          <t>whitetail</t>
        </is>
      </c>
      <c r="D9170" s="4" t="n">
        <v>2023</v>
      </c>
      <c r="E9170" s="13" t="inlineStr">
        <is>
          <t>General</t>
        </is>
      </c>
      <c r="F9170" s="5" t="n">
        <v>120</v>
      </c>
      <c r="G9170" s="5" t="n">
        <v>1198</v>
      </c>
      <c r="H9170" s="5" t="n">
        <v>20</v>
      </c>
      <c r="I9170" s="5" t="n">
        <v>20</v>
      </c>
      <c r="J9170" s="5" t="n">
        <v>0</v>
      </c>
      <c r="K9170" s="10">
        <f>IF(F9170&gt;0,H9170/F9170,"")</f>
        <v/>
      </c>
      <c r="L9170" s="16">
        <f>IF(AND(G9170&gt;0,H9170&gt;0),G9170/H9170,"")</f>
        <v/>
      </c>
    </row>
    <row r="9171">
      <c r="A9171" s="4" t="inlineStr">
        <is>
          <t>284</t>
        </is>
      </c>
      <c r="B9171" s="4" t="n">
        <v>2</v>
      </c>
      <c r="C9171" s="4" t="inlineStr">
        <is>
          <t>whitetail</t>
        </is>
      </c>
      <c r="D9171" s="4" t="n">
        <v>2024</v>
      </c>
      <c r="E9171" s="13" t="inlineStr">
        <is>
          <t>General</t>
        </is>
      </c>
      <c r="F9171" s="5" t="n"/>
      <c r="G9171" s="5" t="n"/>
      <c r="H9171" s="5" t="n">
        <v>35</v>
      </c>
      <c r="I9171" s="5" t="n">
        <v>30</v>
      </c>
      <c r="J9171" s="5" t="n">
        <v>5</v>
      </c>
      <c r="K9171" s="10">
        <f>IF(F9171&gt;0,H9171/F9171,"")</f>
        <v/>
      </c>
      <c r="L9171" s="16">
        <f>IF(AND(G9171&gt;0,H9171&gt;0),G9171/H9171,"")</f>
        <v/>
      </c>
    </row>
    <row r="9172">
      <c r="A9172" s="4" t="inlineStr">
        <is>
          <t>284</t>
        </is>
      </c>
      <c r="B9172" s="4" t="n">
        <v>2</v>
      </c>
      <c r="C9172" s="4" t="inlineStr">
        <is>
          <t>whitetail</t>
        </is>
      </c>
      <c r="D9172" s="4" t="n">
        <v>2025</v>
      </c>
      <c r="E9172" s="13" t="inlineStr">
        <is>
          <t>General</t>
        </is>
      </c>
      <c r="F9172" s="5" t="n">
        <v>174</v>
      </c>
      <c r="G9172" s="5" t="n">
        <v>1185</v>
      </c>
      <c r="H9172" s="5" t="n">
        <v>14</v>
      </c>
      <c r="I9172" s="5" t="n">
        <v>11</v>
      </c>
      <c r="J9172" s="5" t="n">
        <v>3</v>
      </c>
      <c r="K9172" s="10">
        <f>IF(F9172&gt;0,H9172/F9172,"")</f>
        <v/>
      </c>
      <c r="L9172" s="16">
        <f>IF(AND(G9172&gt;0,H9172&gt;0),G9172/H9172,"")</f>
        <v/>
      </c>
    </row>
    <row r="9173">
      <c r="A9173" s="4" t="inlineStr">
        <is>
          <t>285</t>
        </is>
      </c>
      <c r="B9173" s="4" t="n">
        <v>2</v>
      </c>
      <c r="C9173" s="4" t="inlineStr">
        <is>
          <t>whitetail</t>
        </is>
      </c>
      <c r="D9173" s="4" t="n">
        <v>2004</v>
      </c>
      <c r="E9173" s="13" t="inlineStr">
        <is>
          <t>General</t>
        </is>
      </c>
      <c r="F9173" s="5" t="n">
        <v>2927</v>
      </c>
      <c r="G9173" s="5" t="n">
        <v>16299</v>
      </c>
      <c r="H9173" s="5" t="n">
        <v>1217</v>
      </c>
      <c r="I9173" s="5" t="n">
        <v>819</v>
      </c>
      <c r="J9173" s="5" t="n">
        <v>373</v>
      </c>
      <c r="K9173" s="10">
        <f>IF(F9173&gt;0,H9173/F9173,"")</f>
        <v/>
      </c>
      <c r="L9173" s="16">
        <f>IF(AND(G9173&gt;0,H9173&gt;0),G9173/H9173,"")</f>
        <v/>
      </c>
    </row>
    <row r="9174">
      <c r="A9174" s="4" t="inlineStr">
        <is>
          <t>285</t>
        </is>
      </c>
      <c r="B9174" s="4" t="n">
        <v>2</v>
      </c>
      <c r="C9174" s="4" t="inlineStr">
        <is>
          <t>whitetail</t>
        </is>
      </c>
      <c r="D9174" s="4" t="n">
        <v>2005</v>
      </c>
      <c r="E9174" s="13" t="inlineStr">
        <is>
          <t>General</t>
        </is>
      </c>
      <c r="F9174" s="5" t="n">
        <v>2686</v>
      </c>
      <c r="G9174" s="5" t="n">
        <v>16210</v>
      </c>
      <c r="H9174" s="5" t="n">
        <v>1160</v>
      </c>
      <c r="I9174" s="5" t="n">
        <v>771</v>
      </c>
      <c r="J9174" s="5" t="n">
        <v>382</v>
      </c>
      <c r="K9174" s="10">
        <f>IF(F9174&gt;0,H9174/F9174,"")</f>
        <v/>
      </c>
      <c r="L9174" s="16">
        <f>IF(AND(G9174&gt;0,H9174&gt;0),G9174/H9174,"")</f>
        <v/>
      </c>
    </row>
    <row r="9175">
      <c r="A9175" s="4" t="inlineStr">
        <is>
          <t>285</t>
        </is>
      </c>
      <c r="B9175" s="4" t="n">
        <v>2</v>
      </c>
      <c r="C9175" s="4" t="inlineStr">
        <is>
          <t>whitetail</t>
        </is>
      </c>
      <c r="D9175" s="4" t="n">
        <v>2006</v>
      </c>
      <c r="E9175" s="13" t="inlineStr">
        <is>
          <t>General</t>
        </is>
      </c>
      <c r="F9175" s="5" t="n">
        <v>3106</v>
      </c>
      <c r="G9175" s="5" t="n">
        <v>19334</v>
      </c>
      <c r="H9175" s="5" t="n">
        <v>1973</v>
      </c>
      <c r="I9175" s="5" t="n">
        <v>861</v>
      </c>
      <c r="J9175" s="5" t="n">
        <v>1082</v>
      </c>
      <c r="K9175" s="10">
        <f>IF(F9175&gt;0,H9175/F9175,"")</f>
        <v/>
      </c>
      <c r="L9175" s="16">
        <f>IF(AND(G9175&gt;0,H9175&gt;0),G9175/H9175,"")</f>
        <v/>
      </c>
    </row>
    <row r="9176">
      <c r="A9176" s="4" t="inlineStr">
        <is>
          <t>285</t>
        </is>
      </c>
      <c r="B9176" s="4" t="n">
        <v>2</v>
      </c>
      <c r="C9176" s="4" t="inlineStr">
        <is>
          <t>whitetail</t>
        </is>
      </c>
      <c r="D9176" s="4" t="n">
        <v>2007</v>
      </c>
      <c r="E9176" s="13" t="inlineStr">
        <is>
          <t>General</t>
        </is>
      </c>
      <c r="F9176" s="5" t="n">
        <v>2476</v>
      </c>
      <c r="G9176" s="5" t="n">
        <v>15958</v>
      </c>
      <c r="H9176" s="5" t="n">
        <v>1145</v>
      </c>
      <c r="I9176" s="5" t="n">
        <v>497</v>
      </c>
      <c r="J9176" s="5" t="n">
        <v>607</v>
      </c>
      <c r="K9176" s="10">
        <f>IF(F9176&gt;0,H9176/F9176,"")</f>
        <v/>
      </c>
      <c r="L9176" s="16">
        <f>IF(AND(G9176&gt;0,H9176&gt;0),G9176/H9176,"")</f>
        <v/>
      </c>
    </row>
    <row r="9177">
      <c r="A9177" s="4" t="inlineStr">
        <is>
          <t>285</t>
        </is>
      </c>
      <c r="B9177" s="4" t="n">
        <v>2</v>
      </c>
      <c r="C9177" s="4" t="inlineStr">
        <is>
          <t>whitetail</t>
        </is>
      </c>
      <c r="D9177" s="4" t="n">
        <v>2008</v>
      </c>
      <c r="E9177" s="13" t="inlineStr">
        <is>
          <t>General</t>
        </is>
      </c>
      <c r="F9177" s="5" t="n">
        <v>3176</v>
      </c>
      <c r="G9177" s="5" t="n">
        <v>20337</v>
      </c>
      <c r="H9177" s="5" t="n">
        <v>1087</v>
      </c>
      <c r="I9177" s="5" t="n">
        <v>439</v>
      </c>
      <c r="J9177" s="5" t="n">
        <v>633</v>
      </c>
      <c r="K9177" s="10">
        <f>IF(F9177&gt;0,H9177/F9177,"")</f>
        <v/>
      </c>
      <c r="L9177" s="16">
        <f>IF(AND(G9177&gt;0,H9177&gt;0),G9177/H9177,"")</f>
        <v/>
      </c>
    </row>
    <row r="9178">
      <c r="A9178" s="4" t="inlineStr">
        <is>
          <t>285</t>
        </is>
      </c>
      <c r="B9178" s="4" t="n">
        <v>2</v>
      </c>
      <c r="C9178" s="4" t="inlineStr">
        <is>
          <t>whitetail</t>
        </is>
      </c>
      <c r="D9178" s="4" t="n">
        <v>2009</v>
      </c>
      <c r="E9178" s="13" t="inlineStr">
        <is>
          <t>General</t>
        </is>
      </c>
      <c r="F9178" s="5" t="n">
        <v>2688</v>
      </c>
      <c r="G9178" s="5" t="n">
        <v>17316</v>
      </c>
      <c r="H9178" s="5" t="n">
        <v>402</v>
      </c>
      <c r="I9178" s="5" t="n">
        <v>291</v>
      </c>
      <c r="J9178" s="5" t="n">
        <v>110</v>
      </c>
      <c r="K9178" s="10">
        <f>IF(F9178&gt;0,H9178/F9178,"")</f>
        <v/>
      </c>
      <c r="L9178" s="16">
        <f>IF(AND(G9178&gt;0,H9178&gt;0),G9178/H9178,"")</f>
        <v/>
      </c>
    </row>
    <row r="9179">
      <c r="A9179" s="4" t="inlineStr">
        <is>
          <t>285</t>
        </is>
      </c>
      <c r="B9179" s="4" t="n">
        <v>2</v>
      </c>
      <c r="C9179" s="4" t="inlineStr">
        <is>
          <t>whitetail</t>
        </is>
      </c>
      <c r="D9179" s="4" t="n">
        <v>2010</v>
      </c>
      <c r="E9179" s="13" t="inlineStr">
        <is>
          <t>General</t>
        </is>
      </c>
      <c r="F9179" s="5" t="n">
        <v>2226</v>
      </c>
      <c r="G9179" s="5" t="n">
        <v>15558</v>
      </c>
      <c r="H9179" s="5" t="n">
        <v>616</v>
      </c>
      <c r="I9179" s="5" t="n">
        <v>547</v>
      </c>
      <c r="J9179" s="5" t="n">
        <v>61</v>
      </c>
      <c r="K9179" s="10">
        <f>IF(F9179&gt;0,H9179/F9179,"")</f>
        <v/>
      </c>
      <c r="L9179" s="16">
        <f>IF(AND(G9179&gt;0,H9179&gt;0),G9179/H9179,"")</f>
        <v/>
      </c>
    </row>
    <row r="9180">
      <c r="A9180" s="4" t="inlineStr">
        <is>
          <t>285</t>
        </is>
      </c>
      <c r="B9180" s="4" t="n">
        <v>2</v>
      </c>
      <c r="C9180" s="4" t="inlineStr">
        <is>
          <t>whitetail</t>
        </is>
      </c>
      <c r="D9180" s="4" t="n">
        <v>2011</v>
      </c>
      <c r="E9180" s="13" t="inlineStr">
        <is>
          <t>General</t>
        </is>
      </c>
      <c r="F9180" s="5" t="n">
        <v>2492</v>
      </c>
      <c r="G9180" s="5" t="n">
        <v>15892</v>
      </c>
      <c r="H9180" s="5" t="n">
        <v>458</v>
      </c>
      <c r="I9180" s="5" t="n">
        <v>389</v>
      </c>
      <c r="J9180" s="5" t="n">
        <v>65</v>
      </c>
      <c r="K9180" s="10">
        <f>IF(F9180&gt;0,H9180/F9180,"")</f>
        <v/>
      </c>
      <c r="L9180" s="16">
        <f>IF(AND(G9180&gt;0,H9180&gt;0),G9180/H9180,"")</f>
        <v/>
      </c>
    </row>
    <row r="9181">
      <c r="A9181" s="4" t="inlineStr">
        <is>
          <t>285</t>
        </is>
      </c>
      <c r="B9181" s="4" t="n">
        <v>2</v>
      </c>
      <c r="C9181" s="4" t="inlineStr">
        <is>
          <t>whitetail</t>
        </is>
      </c>
      <c r="D9181" s="4" t="n">
        <v>2012</v>
      </c>
      <c r="E9181" s="13" t="inlineStr">
        <is>
          <t>General</t>
        </is>
      </c>
      <c r="F9181" s="5" t="n"/>
      <c r="G9181" s="5" t="n"/>
      <c r="H9181" s="5" t="n">
        <v>531</v>
      </c>
      <c r="I9181" s="5" t="n">
        <v>432</v>
      </c>
      <c r="J9181" s="5" t="n">
        <v>97</v>
      </c>
      <c r="K9181" s="10">
        <f>IF(F9181&gt;0,H9181/F9181,"")</f>
        <v/>
      </c>
      <c r="L9181" s="16">
        <f>IF(AND(G9181&gt;0,H9181&gt;0),G9181/H9181,"")</f>
        <v/>
      </c>
    </row>
    <row r="9182">
      <c r="A9182" s="4" t="inlineStr">
        <is>
          <t>285</t>
        </is>
      </c>
      <c r="B9182" s="4" t="n">
        <v>2</v>
      </c>
      <c r="C9182" s="4" t="inlineStr">
        <is>
          <t>whitetail</t>
        </is>
      </c>
      <c r="D9182" s="4" t="n">
        <v>2013</v>
      </c>
      <c r="E9182" s="13" t="inlineStr">
        <is>
          <t>General</t>
        </is>
      </c>
      <c r="F9182" s="5" t="n">
        <v>2497</v>
      </c>
      <c r="G9182" s="5" t="n">
        <v>17022</v>
      </c>
      <c r="H9182" s="5" t="n">
        <v>542</v>
      </c>
      <c r="I9182" s="5" t="n">
        <v>461</v>
      </c>
      <c r="J9182" s="5" t="n">
        <v>82</v>
      </c>
      <c r="K9182" s="10">
        <f>IF(F9182&gt;0,H9182/F9182,"")</f>
        <v/>
      </c>
      <c r="L9182" s="16">
        <f>IF(AND(G9182&gt;0,H9182&gt;0),G9182/H9182,"")</f>
        <v/>
      </c>
    </row>
    <row r="9183">
      <c r="A9183" s="4" t="inlineStr">
        <is>
          <t>285</t>
        </is>
      </c>
      <c r="B9183" s="4" t="n">
        <v>2</v>
      </c>
      <c r="C9183" s="4" t="inlineStr">
        <is>
          <t>whitetail</t>
        </is>
      </c>
      <c r="D9183" s="4" t="n">
        <v>2014</v>
      </c>
      <c r="E9183" s="13" t="inlineStr">
        <is>
          <t>General</t>
        </is>
      </c>
      <c r="F9183" s="5" t="n"/>
      <c r="G9183" s="5" t="n"/>
      <c r="H9183" s="5" t="n">
        <v>622</v>
      </c>
      <c r="I9183" s="5" t="n">
        <v>505</v>
      </c>
      <c r="J9183" s="5" t="n">
        <v>112</v>
      </c>
      <c r="K9183" s="10">
        <f>IF(F9183&gt;0,H9183/F9183,"")</f>
        <v/>
      </c>
      <c r="L9183" s="16">
        <f>IF(AND(G9183&gt;0,H9183&gt;0),G9183/H9183,"")</f>
        <v/>
      </c>
    </row>
    <row r="9184">
      <c r="A9184" s="4" t="inlineStr">
        <is>
          <t>285</t>
        </is>
      </c>
      <c r="B9184" s="4" t="n">
        <v>2</v>
      </c>
      <c r="C9184" s="4" t="inlineStr">
        <is>
          <t>whitetail</t>
        </is>
      </c>
      <c r="D9184" s="4" t="n">
        <v>2015</v>
      </c>
      <c r="E9184" s="13" t="inlineStr">
        <is>
          <t>General</t>
        </is>
      </c>
      <c r="F9184" s="5" t="n"/>
      <c r="G9184" s="5" t="n"/>
      <c r="H9184" s="5" t="n">
        <v>725</v>
      </c>
      <c r="I9184" s="5" t="n">
        <v>583</v>
      </c>
      <c r="J9184" s="5" t="n">
        <v>134</v>
      </c>
      <c r="K9184" s="10">
        <f>IF(F9184&gt;0,H9184/F9184,"")</f>
        <v/>
      </c>
      <c r="L9184" s="16">
        <f>IF(AND(G9184&gt;0,H9184&gt;0),G9184/H9184,"")</f>
        <v/>
      </c>
    </row>
    <row r="9185">
      <c r="A9185" s="4" t="inlineStr">
        <is>
          <t>285</t>
        </is>
      </c>
      <c r="B9185" s="4" t="n">
        <v>2</v>
      </c>
      <c r="C9185" s="4" t="inlineStr">
        <is>
          <t>whitetail</t>
        </is>
      </c>
      <c r="D9185" s="4" t="n">
        <v>2016</v>
      </c>
      <c r="E9185" s="13" t="inlineStr">
        <is>
          <t>General</t>
        </is>
      </c>
      <c r="F9185" s="5" t="n"/>
      <c r="G9185" s="5" t="n"/>
      <c r="H9185" s="5" t="n">
        <v>831</v>
      </c>
      <c r="I9185" s="5" t="n">
        <v>693</v>
      </c>
      <c r="J9185" s="5" t="n">
        <v>129</v>
      </c>
      <c r="K9185" s="10">
        <f>IF(F9185&gt;0,H9185/F9185,"")</f>
        <v/>
      </c>
      <c r="L9185" s="16">
        <f>IF(AND(G9185&gt;0,H9185&gt;0),G9185/H9185,"")</f>
        <v/>
      </c>
    </row>
    <row r="9186">
      <c r="A9186" s="4" t="inlineStr">
        <is>
          <t>285</t>
        </is>
      </c>
      <c r="B9186" s="4" t="n">
        <v>2</v>
      </c>
      <c r="C9186" s="4" t="inlineStr">
        <is>
          <t>whitetail</t>
        </is>
      </c>
      <c r="D9186" s="4" t="n">
        <v>2017</v>
      </c>
      <c r="E9186" s="13" t="inlineStr">
        <is>
          <t>General</t>
        </is>
      </c>
      <c r="F9186" s="5" t="n">
        <v>2076</v>
      </c>
      <c r="G9186" s="5" t="n">
        <v>13486</v>
      </c>
      <c r="H9186" s="5" t="n">
        <v>738</v>
      </c>
      <c r="I9186" s="5" t="n">
        <v>566</v>
      </c>
      <c r="J9186" s="5" t="n">
        <v>165</v>
      </c>
      <c r="K9186" s="10">
        <f>IF(F9186&gt;0,H9186/F9186,"")</f>
        <v/>
      </c>
      <c r="L9186" s="16">
        <f>IF(AND(G9186&gt;0,H9186&gt;0),G9186/H9186,"")</f>
        <v/>
      </c>
    </row>
    <row r="9187">
      <c r="A9187" s="4" t="inlineStr">
        <is>
          <t>285</t>
        </is>
      </c>
      <c r="B9187" s="4" t="n">
        <v>2</v>
      </c>
      <c r="C9187" s="4" t="inlineStr">
        <is>
          <t>whitetail</t>
        </is>
      </c>
      <c r="D9187" s="4" t="n">
        <v>2018</v>
      </c>
      <c r="E9187" s="13" t="inlineStr">
        <is>
          <t>General</t>
        </is>
      </c>
      <c r="F9187" s="5" t="n"/>
      <c r="G9187" s="5" t="n"/>
      <c r="H9187" s="5" t="n">
        <v>640</v>
      </c>
      <c r="I9187" s="5" t="n">
        <v>540</v>
      </c>
      <c r="J9187" s="5" t="n">
        <v>97</v>
      </c>
      <c r="K9187" s="10">
        <f>IF(F9187&gt;0,H9187/F9187,"")</f>
        <v/>
      </c>
      <c r="L9187" s="16">
        <f>IF(AND(G9187&gt;0,H9187&gt;0),G9187/H9187,"")</f>
        <v/>
      </c>
    </row>
    <row r="9188">
      <c r="A9188" s="4" t="inlineStr">
        <is>
          <t>285</t>
        </is>
      </c>
      <c r="B9188" s="4" t="n">
        <v>2</v>
      </c>
      <c r="C9188" s="4" t="inlineStr">
        <is>
          <t>whitetail</t>
        </is>
      </c>
      <c r="D9188" s="4" t="n">
        <v>2019</v>
      </c>
      <c r="E9188" s="13" t="inlineStr">
        <is>
          <t>General</t>
        </is>
      </c>
      <c r="F9188" s="5" t="n">
        <v>2092</v>
      </c>
      <c r="G9188" s="5" t="n">
        <v>14419</v>
      </c>
      <c r="H9188" s="5" t="n">
        <v>574</v>
      </c>
      <c r="I9188" s="5" t="n">
        <v>485</v>
      </c>
      <c r="J9188" s="5" t="n">
        <v>86</v>
      </c>
      <c r="K9188" s="10">
        <f>IF(F9188&gt;0,H9188/F9188,"")</f>
        <v/>
      </c>
      <c r="L9188" s="16">
        <f>IF(AND(G9188&gt;0,H9188&gt;0),G9188/H9188,"")</f>
        <v/>
      </c>
    </row>
    <row r="9189">
      <c r="A9189" s="4" t="inlineStr">
        <is>
          <t>285</t>
        </is>
      </c>
      <c r="B9189" s="4" t="n">
        <v>2</v>
      </c>
      <c r="C9189" s="4" t="inlineStr">
        <is>
          <t>whitetail</t>
        </is>
      </c>
      <c r="D9189" s="4" t="n">
        <v>2020</v>
      </c>
      <c r="E9189" s="13" t="inlineStr">
        <is>
          <t>General</t>
        </is>
      </c>
      <c r="F9189" s="5" t="n"/>
      <c r="G9189" s="5" t="n"/>
      <c r="H9189" s="5" t="n">
        <v>528</v>
      </c>
      <c r="I9189" s="5" t="n">
        <v>452</v>
      </c>
      <c r="J9189" s="5" t="n">
        <v>76</v>
      </c>
      <c r="K9189" s="10">
        <f>IF(F9189&gt;0,H9189/F9189,"")</f>
        <v/>
      </c>
      <c r="L9189" s="16">
        <f>IF(AND(G9189&gt;0,H9189&gt;0),G9189/H9189,"")</f>
        <v/>
      </c>
    </row>
    <row r="9190">
      <c r="A9190" s="4" t="inlineStr">
        <is>
          <t>285</t>
        </is>
      </c>
      <c r="B9190" s="4" t="n">
        <v>2</v>
      </c>
      <c r="C9190" s="4" t="inlineStr">
        <is>
          <t>whitetail</t>
        </is>
      </c>
      <c r="D9190" s="4" t="n">
        <v>2021</v>
      </c>
      <c r="E9190" s="13" t="inlineStr">
        <is>
          <t>General</t>
        </is>
      </c>
      <c r="F9190" s="5" t="n">
        <v>2106</v>
      </c>
      <c r="G9190" s="5" t="n">
        <v>14948</v>
      </c>
      <c r="H9190" s="5" t="n">
        <v>659</v>
      </c>
      <c r="I9190" s="5" t="n">
        <v>585</v>
      </c>
      <c r="J9190" s="5" t="n">
        <v>74</v>
      </c>
      <c r="K9190" s="10">
        <f>IF(F9190&gt;0,H9190/F9190,"")</f>
        <v/>
      </c>
      <c r="L9190" s="16">
        <f>IF(AND(G9190&gt;0,H9190&gt;0),G9190/H9190,"")</f>
        <v/>
      </c>
    </row>
    <row r="9191">
      <c r="A9191" s="4" t="inlineStr">
        <is>
          <t>285</t>
        </is>
      </c>
      <c r="B9191" s="4" t="n">
        <v>2</v>
      </c>
      <c r="C9191" s="4" t="inlineStr">
        <is>
          <t>whitetail</t>
        </is>
      </c>
      <c r="D9191" s="4" t="n">
        <v>2022</v>
      </c>
      <c r="E9191" s="13" t="inlineStr">
        <is>
          <t>General</t>
        </is>
      </c>
      <c r="F9191" s="5" t="n"/>
      <c r="G9191" s="5" t="n"/>
      <c r="H9191" s="5" t="n">
        <v>728</v>
      </c>
      <c r="I9191" s="5" t="n">
        <v>583</v>
      </c>
      <c r="J9191" s="5" t="n">
        <v>142</v>
      </c>
      <c r="K9191" s="10">
        <f>IF(F9191&gt;0,H9191/F9191,"")</f>
        <v/>
      </c>
      <c r="L9191" s="16">
        <f>IF(AND(G9191&gt;0,H9191&gt;0),G9191/H9191,"")</f>
        <v/>
      </c>
    </row>
    <row r="9192">
      <c r="A9192" s="4" t="inlineStr">
        <is>
          <t>285</t>
        </is>
      </c>
      <c r="B9192" s="4" t="n">
        <v>2</v>
      </c>
      <c r="C9192" s="4" t="inlineStr">
        <is>
          <t>whitetail</t>
        </is>
      </c>
      <c r="D9192" s="4" t="n">
        <v>2023</v>
      </c>
      <c r="E9192" s="13" t="inlineStr">
        <is>
          <t>General</t>
        </is>
      </c>
      <c r="F9192" s="5" t="n">
        <v>2665</v>
      </c>
      <c r="G9192" s="5" t="n">
        <v>18860</v>
      </c>
      <c r="H9192" s="5" t="n">
        <v>829</v>
      </c>
      <c r="I9192" s="5" t="n">
        <v>676</v>
      </c>
      <c r="J9192" s="5" t="n">
        <v>146</v>
      </c>
      <c r="K9192" s="10">
        <f>IF(F9192&gt;0,H9192/F9192,"")</f>
        <v/>
      </c>
      <c r="L9192" s="16">
        <f>IF(AND(G9192&gt;0,H9192&gt;0),G9192/H9192,"")</f>
        <v/>
      </c>
    </row>
    <row r="9193">
      <c r="A9193" s="4" t="inlineStr">
        <is>
          <t>285</t>
        </is>
      </c>
      <c r="B9193" s="4" t="n">
        <v>2</v>
      </c>
      <c r="C9193" s="4" t="inlineStr">
        <is>
          <t>whitetail</t>
        </is>
      </c>
      <c r="D9193" s="4" t="n">
        <v>2024</v>
      </c>
      <c r="E9193" s="13" t="inlineStr">
        <is>
          <t>General</t>
        </is>
      </c>
      <c r="F9193" s="5" t="n"/>
      <c r="G9193" s="5" t="n"/>
      <c r="H9193" s="5" t="n">
        <v>872</v>
      </c>
      <c r="I9193" s="5" t="n">
        <v>771</v>
      </c>
      <c r="J9193" s="5" t="n">
        <v>102</v>
      </c>
      <c r="K9193" s="10">
        <f>IF(F9193&gt;0,H9193/F9193,"")</f>
        <v/>
      </c>
      <c r="L9193" s="16">
        <f>IF(AND(G9193&gt;0,H9193&gt;0),G9193/H9193,"")</f>
        <v/>
      </c>
    </row>
    <row r="9194">
      <c r="A9194" s="4" t="inlineStr">
        <is>
          <t>285</t>
        </is>
      </c>
      <c r="B9194" s="4" t="n">
        <v>2</v>
      </c>
      <c r="C9194" s="4" t="inlineStr">
        <is>
          <t>whitetail</t>
        </is>
      </c>
      <c r="D9194" s="4" t="n">
        <v>2025</v>
      </c>
      <c r="E9194" s="13" t="inlineStr">
        <is>
          <t>General</t>
        </is>
      </c>
      <c r="F9194" s="5" t="n">
        <v>3133</v>
      </c>
      <c r="G9194" s="5" t="n">
        <v>20680</v>
      </c>
      <c r="H9194" s="5" t="n">
        <v>962</v>
      </c>
      <c r="I9194" s="5" t="n">
        <v>868</v>
      </c>
      <c r="J9194" s="5" t="n">
        <v>95</v>
      </c>
      <c r="K9194" s="10">
        <f>IF(F9194&gt;0,H9194/F9194,"")</f>
        <v/>
      </c>
      <c r="L9194" s="16">
        <f>IF(AND(G9194&gt;0,H9194&gt;0),G9194/H9194,"")</f>
        <v/>
      </c>
    </row>
    <row r="9195">
      <c r="A9195" s="4" t="inlineStr">
        <is>
          <t>290</t>
        </is>
      </c>
      <c r="B9195" s="4" t="n">
        <v>2</v>
      </c>
      <c r="C9195" s="4" t="inlineStr">
        <is>
          <t>whitetail</t>
        </is>
      </c>
      <c r="D9195" s="4" t="n">
        <v>2004</v>
      </c>
      <c r="E9195" s="13" t="inlineStr">
        <is>
          <t>General</t>
        </is>
      </c>
      <c r="F9195" s="5" t="n">
        <v>221</v>
      </c>
      <c r="G9195" s="5" t="n">
        <v>1582</v>
      </c>
      <c r="H9195" s="5" t="n">
        <v>101</v>
      </c>
      <c r="I9195" s="5" t="n">
        <v>49</v>
      </c>
      <c r="J9195" s="5" t="n">
        <v>52</v>
      </c>
      <c r="K9195" s="10">
        <f>IF(F9195&gt;0,H9195/F9195,"")</f>
        <v/>
      </c>
      <c r="L9195" s="16">
        <f>IF(AND(G9195&gt;0,H9195&gt;0),G9195/H9195,"")</f>
        <v/>
      </c>
    </row>
    <row r="9196">
      <c r="A9196" s="4" t="inlineStr">
        <is>
          <t>290</t>
        </is>
      </c>
      <c r="B9196" s="4" t="n">
        <v>2</v>
      </c>
      <c r="C9196" s="4" t="inlineStr">
        <is>
          <t>whitetail</t>
        </is>
      </c>
      <c r="D9196" s="4" t="n">
        <v>2005</v>
      </c>
      <c r="E9196" s="13" t="inlineStr">
        <is>
          <t>General</t>
        </is>
      </c>
      <c r="F9196" s="5" t="n">
        <v>226</v>
      </c>
      <c r="G9196" s="5" t="n">
        <v>1557</v>
      </c>
      <c r="H9196" s="5" t="n">
        <v>156</v>
      </c>
      <c r="I9196" s="5" t="n">
        <v>70</v>
      </c>
      <c r="J9196" s="5" t="n">
        <v>86</v>
      </c>
      <c r="K9196" s="10">
        <f>IF(F9196&gt;0,H9196/F9196,"")</f>
        <v/>
      </c>
      <c r="L9196" s="16">
        <f>IF(AND(G9196&gt;0,H9196&gt;0),G9196/H9196,"")</f>
        <v/>
      </c>
    </row>
    <row r="9197">
      <c r="A9197" s="4" t="inlineStr">
        <is>
          <t>290</t>
        </is>
      </c>
      <c r="B9197" s="4" t="n">
        <v>2</v>
      </c>
      <c r="C9197" s="4" t="inlineStr">
        <is>
          <t>whitetail</t>
        </is>
      </c>
      <c r="D9197" s="4" t="n">
        <v>2006</v>
      </c>
      <c r="E9197" s="13" t="inlineStr">
        <is>
          <t>General</t>
        </is>
      </c>
      <c r="F9197" s="5" t="n">
        <v>173</v>
      </c>
      <c r="G9197" s="5" t="n">
        <v>1291</v>
      </c>
      <c r="H9197" s="5" t="n">
        <v>116</v>
      </c>
      <c r="I9197" s="5" t="n">
        <v>46</v>
      </c>
      <c r="J9197" s="5" t="n">
        <v>70</v>
      </c>
      <c r="K9197" s="10">
        <f>IF(F9197&gt;0,H9197/F9197,"")</f>
        <v/>
      </c>
      <c r="L9197" s="16">
        <f>IF(AND(G9197&gt;0,H9197&gt;0),G9197/H9197,"")</f>
        <v/>
      </c>
    </row>
    <row r="9198">
      <c r="A9198" s="4" t="inlineStr">
        <is>
          <t>290</t>
        </is>
      </c>
      <c r="B9198" s="4" t="n">
        <v>2</v>
      </c>
      <c r="C9198" s="4" t="inlineStr">
        <is>
          <t>whitetail</t>
        </is>
      </c>
      <c r="D9198" s="4" t="n">
        <v>2007</v>
      </c>
      <c r="E9198" s="13" t="inlineStr">
        <is>
          <t>General</t>
        </is>
      </c>
      <c r="F9198" s="5" t="n">
        <v>217</v>
      </c>
      <c r="G9198" s="5" t="n">
        <v>1760</v>
      </c>
      <c r="H9198" s="5" t="n">
        <v>124</v>
      </c>
      <c r="I9198" s="5" t="n">
        <v>44</v>
      </c>
      <c r="J9198" s="5" t="n">
        <v>80</v>
      </c>
      <c r="K9198" s="10">
        <f>IF(F9198&gt;0,H9198/F9198,"")</f>
        <v/>
      </c>
      <c r="L9198" s="16">
        <f>IF(AND(G9198&gt;0,H9198&gt;0),G9198/H9198,"")</f>
        <v/>
      </c>
    </row>
    <row r="9199">
      <c r="A9199" s="4" t="inlineStr">
        <is>
          <t>290</t>
        </is>
      </c>
      <c r="B9199" s="4" t="n">
        <v>2</v>
      </c>
      <c r="C9199" s="4" t="inlineStr">
        <is>
          <t>whitetail</t>
        </is>
      </c>
      <c r="D9199" s="4" t="n">
        <v>2008</v>
      </c>
      <c r="E9199" s="13" t="inlineStr">
        <is>
          <t>General</t>
        </is>
      </c>
      <c r="F9199" s="5" t="n">
        <v>222</v>
      </c>
      <c r="G9199" s="5" t="n">
        <v>1746</v>
      </c>
      <c r="H9199" s="5" t="n">
        <v>59</v>
      </c>
      <c r="I9199" s="5" t="n">
        <v>19</v>
      </c>
      <c r="J9199" s="5" t="n">
        <v>38</v>
      </c>
      <c r="K9199" s="10">
        <f>IF(F9199&gt;0,H9199/F9199,"")</f>
        <v/>
      </c>
      <c r="L9199" s="16">
        <f>IF(AND(G9199&gt;0,H9199&gt;0),G9199/H9199,"")</f>
        <v/>
      </c>
    </row>
    <row r="9200">
      <c r="A9200" s="4" t="inlineStr">
        <is>
          <t>290</t>
        </is>
      </c>
      <c r="B9200" s="4" t="n">
        <v>2</v>
      </c>
      <c r="C9200" s="4" t="inlineStr">
        <is>
          <t>whitetail</t>
        </is>
      </c>
      <c r="D9200" s="4" t="n">
        <v>2009</v>
      </c>
      <c r="E9200" s="13" t="inlineStr">
        <is>
          <t>General</t>
        </is>
      </c>
      <c r="F9200" s="5" t="n">
        <v>200</v>
      </c>
      <c r="G9200" s="5" t="n">
        <v>1540</v>
      </c>
      <c r="H9200" s="5" t="n">
        <v>57</v>
      </c>
      <c r="I9200" s="5" t="n">
        <v>23</v>
      </c>
      <c r="J9200" s="5" t="n">
        <v>34</v>
      </c>
      <c r="K9200" s="10">
        <f>IF(F9200&gt;0,H9200/F9200,"")</f>
        <v/>
      </c>
      <c r="L9200" s="16">
        <f>IF(AND(G9200&gt;0,H9200&gt;0),G9200/H9200,"")</f>
        <v/>
      </c>
    </row>
    <row r="9201">
      <c r="A9201" s="4" t="inlineStr">
        <is>
          <t>290</t>
        </is>
      </c>
      <c r="B9201" s="4" t="n">
        <v>2</v>
      </c>
      <c r="C9201" s="4" t="inlineStr">
        <is>
          <t>whitetail</t>
        </is>
      </c>
      <c r="D9201" s="4" t="n">
        <v>2010</v>
      </c>
      <c r="E9201" s="13" t="inlineStr">
        <is>
          <t>General</t>
        </is>
      </c>
      <c r="F9201" s="5" t="n">
        <v>165</v>
      </c>
      <c r="G9201" s="5" t="n">
        <v>1318</v>
      </c>
      <c r="H9201" s="5" t="n">
        <v>24</v>
      </c>
      <c r="I9201" s="5" t="n">
        <v>20</v>
      </c>
      <c r="J9201" s="5" t="n">
        <v>4</v>
      </c>
      <c r="K9201" s="10">
        <f>IF(F9201&gt;0,H9201/F9201,"")</f>
        <v/>
      </c>
      <c r="L9201" s="16">
        <f>IF(AND(G9201&gt;0,H9201&gt;0),G9201/H9201,"")</f>
        <v/>
      </c>
    </row>
    <row r="9202">
      <c r="A9202" s="4" t="inlineStr">
        <is>
          <t>290</t>
        </is>
      </c>
      <c r="B9202" s="4" t="n">
        <v>2</v>
      </c>
      <c r="C9202" s="4" t="inlineStr">
        <is>
          <t>whitetail</t>
        </is>
      </c>
      <c r="D9202" s="4" t="n">
        <v>2011</v>
      </c>
      <c r="E9202" s="13" t="inlineStr">
        <is>
          <t>General</t>
        </is>
      </c>
      <c r="F9202" s="5" t="n">
        <v>168</v>
      </c>
      <c r="G9202" s="5" t="n">
        <v>1063</v>
      </c>
      <c r="H9202" s="5" t="n">
        <v>8</v>
      </c>
      <c r="I9202" s="5" t="n">
        <v>8</v>
      </c>
      <c r="J9202" s="5" t="n">
        <v>0</v>
      </c>
      <c r="K9202" s="10">
        <f>IF(F9202&gt;0,H9202/F9202,"")</f>
        <v/>
      </c>
      <c r="L9202" s="16">
        <f>IF(AND(G9202&gt;0,H9202&gt;0),G9202/H9202,"")</f>
        <v/>
      </c>
    </row>
    <row r="9203">
      <c r="A9203" s="4" t="inlineStr">
        <is>
          <t>290</t>
        </is>
      </c>
      <c r="B9203" s="4" t="n">
        <v>2</v>
      </c>
      <c r="C9203" s="4" t="inlineStr">
        <is>
          <t>whitetail</t>
        </is>
      </c>
      <c r="D9203" s="4" t="n">
        <v>2012</v>
      </c>
      <c r="E9203" s="13" t="inlineStr">
        <is>
          <t>General</t>
        </is>
      </c>
      <c r="F9203" s="5" t="n"/>
      <c r="G9203" s="5" t="n"/>
      <c r="H9203" s="5" t="n">
        <v>43</v>
      </c>
      <c r="I9203" s="5" t="n">
        <v>42</v>
      </c>
      <c r="J9203" s="5" t="n">
        <v>2</v>
      </c>
      <c r="K9203" s="10">
        <f>IF(F9203&gt;0,H9203/F9203,"")</f>
        <v/>
      </c>
      <c r="L9203" s="16">
        <f>IF(AND(G9203&gt;0,H9203&gt;0),G9203/H9203,"")</f>
        <v/>
      </c>
    </row>
    <row r="9204">
      <c r="A9204" s="4" t="inlineStr">
        <is>
          <t>290</t>
        </is>
      </c>
      <c r="B9204" s="4" t="n">
        <v>2</v>
      </c>
      <c r="C9204" s="4" t="inlineStr">
        <is>
          <t>whitetail</t>
        </is>
      </c>
      <c r="D9204" s="4" t="n">
        <v>2013</v>
      </c>
      <c r="E9204" s="13" t="inlineStr">
        <is>
          <t>General</t>
        </is>
      </c>
      <c r="F9204" s="5" t="n">
        <v>212</v>
      </c>
      <c r="G9204" s="5" t="n">
        <v>1330</v>
      </c>
      <c r="H9204" s="5" t="n">
        <v>18</v>
      </c>
      <c r="I9204" s="5" t="n">
        <v>18</v>
      </c>
      <c r="J9204" s="5" t="n">
        <v>0</v>
      </c>
      <c r="K9204" s="10">
        <f>IF(F9204&gt;0,H9204/F9204,"")</f>
        <v/>
      </c>
      <c r="L9204" s="16">
        <f>IF(AND(G9204&gt;0,H9204&gt;0),G9204/H9204,"")</f>
        <v/>
      </c>
    </row>
    <row r="9205">
      <c r="A9205" s="4" t="inlineStr">
        <is>
          <t>290</t>
        </is>
      </c>
      <c r="B9205" s="4" t="n">
        <v>2</v>
      </c>
      <c r="C9205" s="4" t="inlineStr">
        <is>
          <t>whitetail</t>
        </is>
      </c>
      <c r="D9205" s="4" t="n">
        <v>2014</v>
      </c>
      <c r="E9205" s="13" t="inlineStr">
        <is>
          <t>General</t>
        </is>
      </c>
      <c r="F9205" s="5" t="n"/>
      <c r="G9205" s="5" t="n"/>
      <c r="H9205" s="5" t="n">
        <v>89</v>
      </c>
      <c r="I9205" s="5" t="n">
        <v>58</v>
      </c>
      <c r="J9205" s="5" t="n">
        <v>32</v>
      </c>
      <c r="K9205" s="10">
        <f>IF(F9205&gt;0,H9205/F9205,"")</f>
        <v/>
      </c>
      <c r="L9205" s="16">
        <f>IF(AND(G9205&gt;0,H9205&gt;0),G9205/H9205,"")</f>
        <v/>
      </c>
    </row>
    <row r="9206">
      <c r="A9206" s="4" t="inlineStr">
        <is>
          <t>290</t>
        </is>
      </c>
      <c r="B9206" s="4" t="n">
        <v>2</v>
      </c>
      <c r="C9206" s="4" t="inlineStr">
        <is>
          <t>whitetail</t>
        </is>
      </c>
      <c r="D9206" s="4" t="n">
        <v>2015</v>
      </c>
      <c r="E9206" s="13" t="inlineStr">
        <is>
          <t>General</t>
        </is>
      </c>
      <c r="F9206" s="5" t="n"/>
      <c r="G9206" s="5" t="n"/>
      <c r="H9206" s="5" t="n">
        <v>92</v>
      </c>
      <c r="I9206" s="5" t="n">
        <v>44</v>
      </c>
      <c r="J9206" s="5" t="n">
        <v>48</v>
      </c>
      <c r="K9206" s="10">
        <f>IF(F9206&gt;0,H9206/F9206,"")</f>
        <v/>
      </c>
      <c r="L9206" s="16">
        <f>IF(AND(G9206&gt;0,H9206&gt;0),G9206/H9206,"")</f>
        <v/>
      </c>
    </row>
    <row r="9207">
      <c r="A9207" s="4" t="inlineStr">
        <is>
          <t>290</t>
        </is>
      </c>
      <c r="B9207" s="4" t="n">
        <v>2</v>
      </c>
      <c r="C9207" s="4" t="inlineStr">
        <is>
          <t>whitetail</t>
        </is>
      </c>
      <c r="D9207" s="4" t="n">
        <v>2016</v>
      </c>
      <c r="E9207" s="13" t="inlineStr">
        <is>
          <t>General</t>
        </is>
      </c>
      <c r="F9207" s="5" t="n"/>
      <c r="G9207" s="5" t="n"/>
      <c r="H9207" s="5" t="n">
        <v>83</v>
      </c>
      <c r="I9207" s="5" t="n">
        <v>53</v>
      </c>
      <c r="J9207" s="5" t="n">
        <v>31</v>
      </c>
      <c r="K9207" s="10">
        <f>IF(F9207&gt;0,H9207/F9207,"")</f>
        <v/>
      </c>
      <c r="L9207" s="16">
        <f>IF(AND(G9207&gt;0,H9207&gt;0),G9207/H9207,"")</f>
        <v/>
      </c>
    </row>
    <row r="9208">
      <c r="A9208" s="4" t="inlineStr">
        <is>
          <t>290</t>
        </is>
      </c>
      <c r="B9208" s="4" t="n">
        <v>2</v>
      </c>
      <c r="C9208" s="4" t="inlineStr">
        <is>
          <t>whitetail</t>
        </is>
      </c>
      <c r="D9208" s="4" t="n">
        <v>2017</v>
      </c>
      <c r="E9208" s="13" t="inlineStr">
        <is>
          <t>General</t>
        </is>
      </c>
      <c r="F9208" s="5" t="n">
        <v>301</v>
      </c>
      <c r="G9208" s="5" t="n">
        <v>1999</v>
      </c>
      <c r="H9208" s="5" t="n">
        <v>102</v>
      </c>
      <c r="I9208" s="5" t="n">
        <v>39</v>
      </c>
      <c r="J9208" s="5" t="n">
        <v>60</v>
      </c>
      <c r="K9208" s="10">
        <f>IF(F9208&gt;0,H9208/F9208,"")</f>
        <v/>
      </c>
      <c r="L9208" s="16">
        <f>IF(AND(G9208&gt;0,H9208&gt;0),G9208/H9208,"")</f>
        <v/>
      </c>
    </row>
    <row r="9209">
      <c r="A9209" s="4" t="inlineStr">
        <is>
          <t>290</t>
        </is>
      </c>
      <c r="B9209" s="4" t="n">
        <v>2</v>
      </c>
      <c r="C9209" s="4" t="inlineStr">
        <is>
          <t>whitetail</t>
        </is>
      </c>
      <c r="D9209" s="4" t="n">
        <v>2018</v>
      </c>
      <c r="E9209" s="13" t="inlineStr">
        <is>
          <t>General</t>
        </is>
      </c>
      <c r="F9209" s="5" t="n"/>
      <c r="G9209" s="5" t="n"/>
      <c r="H9209" s="5" t="n">
        <v>78</v>
      </c>
      <c r="I9209" s="5" t="n">
        <v>51</v>
      </c>
      <c r="J9209" s="5" t="n">
        <v>28</v>
      </c>
      <c r="K9209" s="10">
        <f>IF(F9209&gt;0,H9209/F9209,"")</f>
        <v/>
      </c>
      <c r="L9209" s="16">
        <f>IF(AND(G9209&gt;0,H9209&gt;0),G9209/H9209,"")</f>
        <v/>
      </c>
    </row>
    <row r="9210">
      <c r="A9210" s="4" t="inlineStr">
        <is>
          <t>290</t>
        </is>
      </c>
      <c r="B9210" s="4" t="n">
        <v>2</v>
      </c>
      <c r="C9210" s="4" t="inlineStr">
        <is>
          <t>whitetail</t>
        </is>
      </c>
      <c r="D9210" s="4" t="n">
        <v>2019</v>
      </c>
      <c r="E9210" s="13" t="inlineStr">
        <is>
          <t>General</t>
        </is>
      </c>
      <c r="F9210" s="5" t="n">
        <v>281</v>
      </c>
      <c r="G9210" s="5" t="n">
        <v>1716</v>
      </c>
      <c r="H9210" s="5" t="n">
        <v>98</v>
      </c>
      <c r="I9210" s="5" t="n">
        <v>37</v>
      </c>
      <c r="J9210" s="5" t="n">
        <v>58</v>
      </c>
      <c r="K9210" s="10">
        <f>IF(F9210&gt;0,H9210/F9210,"")</f>
        <v/>
      </c>
      <c r="L9210" s="16">
        <f>IF(AND(G9210&gt;0,H9210&gt;0),G9210/H9210,"")</f>
        <v/>
      </c>
    </row>
    <row r="9211">
      <c r="A9211" s="4" t="inlineStr">
        <is>
          <t>290</t>
        </is>
      </c>
      <c r="B9211" s="4" t="n">
        <v>2</v>
      </c>
      <c r="C9211" s="4" t="inlineStr">
        <is>
          <t>whitetail</t>
        </is>
      </c>
      <c r="D9211" s="4" t="n">
        <v>2020</v>
      </c>
      <c r="E9211" s="13" t="inlineStr">
        <is>
          <t>General</t>
        </is>
      </c>
      <c r="F9211" s="5" t="n"/>
      <c r="G9211" s="5" t="n"/>
      <c r="H9211" s="5" t="n">
        <v>100</v>
      </c>
      <c r="I9211" s="5" t="n">
        <v>66</v>
      </c>
      <c r="J9211" s="5" t="n">
        <v>34</v>
      </c>
      <c r="K9211" s="10">
        <f>IF(F9211&gt;0,H9211/F9211,"")</f>
        <v/>
      </c>
      <c r="L9211" s="16">
        <f>IF(AND(G9211&gt;0,H9211&gt;0),G9211/H9211,"")</f>
        <v/>
      </c>
    </row>
    <row r="9212">
      <c r="A9212" s="4" t="inlineStr">
        <is>
          <t>290</t>
        </is>
      </c>
      <c r="B9212" s="4" t="n">
        <v>2</v>
      </c>
      <c r="C9212" s="4" t="inlineStr">
        <is>
          <t>whitetail</t>
        </is>
      </c>
      <c r="D9212" s="4" t="n">
        <v>2021</v>
      </c>
      <c r="E9212" s="13" t="inlineStr">
        <is>
          <t>General</t>
        </is>
      </c>
      <c r="F9212" s="5" t="n">
        <v>230</v>
      </c>
      <c r="G9212" s="5" t="n">
        <v>1882</v>
      </c>
      <c r="H9212" s="5" t="n">
        <v>52</v>
      </c>
      <c r="I9212" s="5" t="n">
        <v>31</v>
      </c>
      <c r="J9212" s="5" t="n">
        <v>21</v>
      </c>
      <c r="K9212" s="10">
        <f>IF(F9212&gt;0,H9212/F9212,"")</f>
        <v/>
      </c>
      <c r="L9212" s="16">
        <f>IF(AND(G9212&gt;0,H9212&gt;0),G9212/H9212,"")</f>
        <v/>
      </c>
    </row>
    <row r="9213">
      <c r="A9213" s="4" t="inlineStr">
        <is>
          <t>290</t>
        </is>
      </c>
      <c r="B9213" s="4" t="n">
        <v>2</v>
      </c>
      <c r="C9213" s="4" t="inlineStr">
        <is>
          <t>whitetail</t>
        </is>
      </c>
      <c r="D9213" s="4" t="n">
        <v>2022</v>
      </c>
      <c r="E9213" s="13" t="inlineStr">
        <is>
          <t>General</t>
        </is>
      </c>
      <c r="F9213" s="5" t="n"/>
      <c r="G9213" s="5" t="n"/>
      <c r="H9213" s="5" t="n">
        <v>67</v>
      </c>
      <c r="I9213" s="5" t="n">
        <v>37</v>
      </c>
      <c r="J9213" s="5" t="n">
        <v>30</v>
      </c>
      <c r="K9213" s="10">
        <f>IF(F9213&gt;0,H9213/F9213,"")</f>
        <v/>
      </c>
      <c r="L9213" s="16">
        <f>IF(AND(G9213&gt;0,H9213&gt;0),G9213/H9213,"")</f>
        <v/>
      </c>
    </row>
    <row r="9214">
      <c r="A9214" s="4" t="inlineStr">
        <is>
          <t>290</t>
        </is>
      </c>
      <c r="B9214" s="4" t="n">
        <v>2</v>
      </c>
      <c r="C9214" s="4" t="inlineStr">
        <is>
          <t>whitetail</t>
        </is>
      </c>
      <c r="D9214" s="4" t="n">
        <v>2023</v>
      </c>
      <c r="E9214" s="13" t="inlineStr">
        <is>
          <t>General</t>
        </is>
      </c>
      <c r="F9214" s="5" t="n">
        <v>190</v>
      </c>
      <c r="G9214" s="5" t="n">
        <v>1373</v>
      </c>
      <c r="H9214" s="5" t="n">
        <v>54</v>
      </c>
      <c r="I9214" s="5" t="n">
        <v>36</v>
      </c>
      <c r="J9214" s="5" t="n">
        <v>18</v>
      </c>
      <c r="K9214" s="10">
        <f>IF(F9214&gt;0,H9214/F9214,"")</f>
        <v/>
      </c>
      <c r="L9214" s="16">
        <f>IF(AND(G9214&gt;0,H9214&gt;0),G9214/H9214,"")</f>
        <v/>
      </c>
    </row>
    <row r="9215">
      <c r="A9215" s="4" t="inlineStr">
        <is>
          <t>290</t>
        </is>
      </c>
      <c r="B9215" s="4" t="n">
        <v>2</v>
      </c>
      <c r="C9215" s="4" t="inlineStr">
        <is>
          <t>whitetail</t>
        </is>
      </c>
      <c r="D9215" s="4" t="n">
        <v>2024</v>
      </c>
      <c r="E9215" s="13" t="inlineStr">
        <is>
          <t>General</t>
        </is>
      </c>
      <c r="F9215" s="5" t="n"/>
      <c r="G9215" s="5" t="n"/>
      <c r="H9215" s="5" t="n">
        <v>61</v>
      </c>
      <c r="I9215" s="5" t="n">
        <v>29</v>
      </c>
      <c r="J9215" s="5" t="n">
        <v>32</v>
      </c>
      <c r="K9215" s="10">
        <f>IF(F9215&gt;0,H9215/F9215,"")</f>
        <v/>
      </c>
      <c r="L9215" s="16">
        <f>IF(AND(G9215&gt;0,H9215&gt;0),G9215/H9215,"")</f>
        <v/>
      </c>
    </row>
    <row r="9216">
      <c r="A9216" s="4" t="inlineStr">
        <is>
          <t>290</t>
        </is>
      </c>
      <c r="B9216" s="4" t="n">
        <v>2</v>
      </c>
      <c r="C9216" s="4" t="inlineStr">
        <is>
          <t>whitetail</t>
        </is>
      </c>
      <c r="D9216" s="4" t="n">
        <v>2025</v>
      </c>
      <c r="E9216" s="13" t="inlineStr">
        <is>
          <t>General</t>
        </is>
      </c>
      <c r="F9216" s="5" t="n">
        <v>317</v>
      </c>
      <c r="G9216" s="5" t="n">
        <v>2325</v>
      </c>
      <c r="H9216" s="5" t="n">
        <v>71</v>
      </c>
      <c r="I9216" s="5" t="n">
        <v>37</v>
      </c>
      <c r="J9216" s="5" t="n">
        <v>34</v>
      </c>
      <c r="K9216" s="10">
        <f>IF(F9216&gt;0,H9216/F9216,"")</f>
        <v/>
      </c>
      <c r="L9216" s="16">
        <f>IF(AND(G9216&gt;0,H9216&gt;0),G9216/H9216,"")</f>
        <v/>
      </c>
    </row>
    <row r="9217">
      <c r="A9217" s="4" t="inlineStr">
        <is>
          <t>291</t>
        </is>
      </c>
      <c r="B9217" s="4" t="n">
        <v>2</v>
      </c>
      <c r="C9217" s="4" t="inlineStr">
        <is>
          <t>whitetail</t>
        </is>
      </c>
      <c r="D9217" s="4" t="n">
        <v>2004</v>
      </c>
      <c r="E9217" s="13" t="inlineStr">
        <is>
          <t>General</t>
        </is>
      </c>
      <c r="F9217" s="5" t="n">
        <v>509</v>
      </c>
      <c r="G9217" s="5" t="n">
        <v>3194</v>
      </c>
      <c r="H9217" s="5" t="n">
        <v>33</v>
      </c>
      <c r="I9217" s="5" t="n">
        <v>30</v>
      </c>
      <c r="J9217" s="5" t="n">
        <v>3</v>
      </c>
      <c r="K9217" s="10">
        <f>IF(F9217&gt;0,H9217/F9217,"")</f>
        <v/>
      </c>
      <c r="L9217" s="16">
        <f>IF(AND(G9217&gt;0,H9217&gt;0),G9217/H9217,"")</f>
        <v/>
      </c>
    </row>
    <row r="9218">
      <c r="A9218" s="4" t="inlineStr">
        <is>
          <t>291</t>
        </is>
      </c>
      <c r="B9218" s="4" t="n">
        <v>2</v>
      </c>
      <c r="C9218" s="4" t="inlineStr">
        <is>
          <t>whitetail</t>
        </is>
      </c>
      <c r="D9218" s="4" t="n">
        <v>2005</v>
      </c>
      <c r="E9218" s="13" t="inlineStr">
        <is>
          <t>General</t>
        </is>
      </c>
      <c r="F9218" s="5" t="n">
        <v>443</v>
      </c>
      <c r="G9218" s="5" t="n">
        <v>2768</v>
      </c>
      <c r="H9218" s="5" t="n">
        <v>53</v>
      </c>
      <c r="I9218" s="5" t="n">
        <v>38</v>
      </c>
      <c r="J9218" s="5" t="n">
        <v>15</v>
      </c>
      <c r="K9218" s="10">
        <f>IF(F9218&gt;0,H9218/F9218,"")</f>
        <v/>
      </c>
      <c r="L9218" s="16">
        <f>IF(AND(G9218&gt;0,H9218&gt;0),G9218/H9218,"")</f>
        <v/>
      </c>
    </row>
    <row r="9219">
      <c r="A9219" s="4" t="inlineStr">
        <is>
          <t>291</t>
        </is>
      </c>
      <c r="B9219" s="4" t="n">
        <v>2</v>
      </c>
      <c r="C9219" s="4" t="inlineStr">
        <is>
          <t>whitetail</t>
        </is>
      </c>
      <c r="D9219" s="4" t="n">
        <v>2006</v>
      </c>
      <c r="E9219" s="13" t="inlineStr">
        <is>
          <t>General</t>
        </is>
      </c>
      <c r="F9219" s="5" t="n">
        <v>414</v>
      </c>
      <c r="G9219" s="5" t="n">
        <v>2656</v>
      </c>
      <c r="H9219" s="5" t="n">
        <v>65</v>
      </c>
      <c r="I9219" s="5" t="n">
        <v>39</v>
      </c>
      <c r="J9219" s="5" t="n">
        <v>26</v>
      </c>
      <c r="K9219" s="10">
        <f>IF(F9219&gt;0,H9219/F9219,"")</f>
        <v/>
      </c>
      <c r="L9219" s="16">
        <f>IF(AND(G9219&gt;0,H9219&gt;0),G9219/H9219,"")</f>
        <v/>
      </c>
    </row>
    <row r="9220">
      <c r="A9220" s="4" t="inlineStr">
        <is>
          <t>291</t>
        </is>
      </c>
      <c r="B9220" s="4" t="n">
        <v>2</v>
      </c>
      <c r="C9220" s="4" t="inlineStr">
        <is>
          <t>whitetail</t>
        </is>
      </c>
      <c r="D9220" s="4" t="n">
        <v>2007</v>
      </c>
      <c r="E9220" s="13" t="inlineStr">
        <is>
          <t>General</t>
        </is>
      </c>
      <c r="F9220" s="5" t="n">
        <v>390</v>
      </c>
      <c r="G9220" s="5" t="n">
        <v>2671</v>
      </c>
      <c r="H9220" s="5" t="n">
        <v>64</v>
      </c>
      <c r="I9220" s="5" t="n">
        <v>34</v>
      </c>
      <c r="J9220" s="5" t="n">
        <v>29</v>
      </c>
      <c r="K9220" s="10">
        <f>IF(F9220&gt;0,H9220/F9220,"")</f>
        <v/>
      </c>
      <c r="L9220" s="16">
        <f>IF(AND(G9220&gt;0,H9220&gt;0),G9220/H9220,"")</f>
        <v/>
      </c>
    </row>
    <row r="9221">
      <c r="A9221" s="4" t="inlineStr">
        <is>
          <t>291</t>
        </is>
      </c>
      <c r="B9221" s="4" t="n">
        <v>2</v>
      </c>
      <c r="C9221" s="4" t="inlineStr">
        <is>
          <t>whitetail</t>
        </is>
      </c>
      <c r="D9221" s="4" t="n">
        <v>2008</v>
      </c>
      <c r="E9221" s="13" t="inlineStr">
        <is>
          <t>General</t>
        </is>
      </c>
      <c r="F9221" s="5" t="n">
        <v>474</v>
      </c>
      <c r="G9221" s="5" t="n">
        <v>3012</v>
      </c>
      <c r="H9221" s="5" t="n">
        <v>28</v>
      </c>
      <c r="I9221" s="5" t="n">
        <v>17</v>
      </c>
      <c r="J9221" s="5" t="n">
        <v>11</v>
      </c>
      <c r="K9221" s="10">
        <f>IF(F9221&gt;0,H9221/F9221,"")</f>
        <v/>
      </c>
      <c r="L9221" s="16">
        <f>IF(AND(G9221&gt;0,H9221&gt;0),G9221/H9221,"")</f>
        <v/>
      </c>
    </row>
    <row r="9222">
      <c r="A9222" s="4" t="inlineStr">
        <is>
          <t>291</t>
        </is>
      </c>
      <c r="B9222" s="4" t="n">
        <v>2</v>
      </c>
      <c r="C9222" s="4" t="inlineStr">
        <is>
          <t>whitetail</t>
        </is>
      </c>
      <c r="D9222" s="4" t="n">
        <v>2009</v>
      </c>
      <c r="E9222" s="13" t="inlineStr">
        <is>
          <t>General</t>
        </is>
      </c>
      <c r="F9222" s="5" t="n">
        <v>541</v>
      </c>
      <c r="G9222" s="5" t="n">
        <v>2936</v>
      </c>
      <c r="H9222" s="5" t="n">
        <v>38</v>
      </c>
      <c r="I9222" s="5" t="n">
        <v>17</v>
      </c>
      <c r="J9222" s="5" t="n">
        <v>21</v>
      </c>
      <c r="K9222" s="10">
        <f>IF(F9222&gt;0,H9222/F9222,"")</f>
        <v/>
      </c>
      <c r="L9222" s="16">
        <f>IF(AND(G9222&gt;0,H9222&gt;0),G9222/H9222,"")</f>
        <v/>
      </c>
    </row>
    <row r="9223">
      <c r="A9223" s="4" t="inlineStr">
        <is>
          <t>291</t>
        </is>
      </c>
      <c r="B9223" s="4" t="n">
        <v>2</v>
      </c>
      <c r="C9223" s="4" t="inlineStr">
        <is>
          <t>whitetail</t>
        </is>
      </c>
      <c r="D9223" s="4" t="n">
        <v>2010</v>
      </c>
      <c r="E9223" s="13" t="inlineStr">
        <is>
          <t>General</t>
        </is>
      </c>
      <c r="F9223" s="5" t="n">
        <v>463</v>
      </c>
      <c r="G9223" s="5" t="n">
        <v>2446</v>
      </c>
      <c r="H9223" s="5" t="n">
        <v>25</v>
      </c>
      <c r="I9223" s="5" t="n">
        <v>19</v>
      </c>
      <c r="J9223" s="5" t="n">
        <v>3</v>
      </c>
      <c r="K9223" s="10">
        <f>IF(F9223&gt;0,H9223/F9223,"")</f>
        <v/>
      </c>
      <c r="L9223" s="16">
        <f>IF(AND(G9223&gt;0,H9223&gt;0),G9223/H9223,"")</f>
        <v/>
      </c>
    </row>
    <row r="9224">
      <c r="A9224" s="4" t="inlineStr">
        <is>
          <t>291</t>
        </is>
      </c>
      <c r="B9224" s="4" t="n">
        <v>2</v>
      </c>
      <c r="C9224" s="4" t="inlineStr">
        <is>
          <t>whitetail</t>
        </is>
      </c>
      <c r="D9224" s="4" t="n">
        <v>2011</v>
      </c>
      <c r="E9224" s="13" t="inlineStr">
        <is>
          <t>General</t>
        </is>
      </c>
      <c r="F9224" s="5" t="n">
        <v>509</v>
      </c>
      <c r="G9224" s="5" t="n">
        <v>2770</v>
      </c>
      <c r="H9224" s="5" t="n">
        <v>23</v>
      </c>
      <c r="I9224" s="5" t="n">
        <v>11</v>
      </c>
      <c r="J9224" s="5" t="n">
        <v>8</v>
      </c>
      <c r="K9224" s="10">
        <f>IF(F9224&gt;0,H9224/F9224,"")</f>
        <v/>
      </c>
      <c r="L9224" s="16">
        <f>IF(AND(G9224&gt;0,H9224&gt;0),G9224/H9224,"")</f>
        <v/>
      </c>
    </row>
    <row r="9225">
      <c r="A9225" s="4" t="inlineStr">
        <is>
          <t>291</t>
        </is>
      </c>
      <c r="B9225" s="4" t="n">
        <v>2</v>
      </c>
      <c r="C9225" s="4" t="inlineStr">
        <is>
          <t>whitetail</t>
        </is>
      </c>
      <c r="D9225" s="4" t="n">
        <v>2012</v>
      </c>
      <c r="E9225" s="13" t="inlineStr">
        <is>
          <t>General</t>
        </is>
      </c>
      <c r="F9225" s="5" t="n"/>
      <c r="G9225" s="5" t="n"/>
      <c r="H9225" s="5" t="n">
        <v>10</v>
      </c>
      <c r="I9225" s="5" t="n">
        <v>3</v>
      </c>
      <c r="J9225" s="5" t="n">
        <v>7</v>
      </c>
      <c r="K9225" s="10">
        <f>IF(F9225&gt;0,H9225/F9225,"")</f>
        <v/>
      </c>
      <c r="L9225" s="16">
        <f>IF(AND(G9225&gt;0,H9225&gt;0),G9225/H9225,"")</f>
        <v/>
      </c>
    </row>
    <row r="9226">
      <c r="A9226" s="4" t="inlineStr">
        <is>
          <t>291</t>
        </is>
      </c>
      <c r="B9226" s="4" t="n">
        <v>2</v>
      </c>
      <c r="C9226" s="4" t="inlineStr">
        <is>
          <t>whitetail</t>
        </is>
      </c>
      <c r="D9226" s="4" t="n">
        <v>2013</v>
      </c>
      <c r="E9226" s="13" t="inlineStr">
        <is>
          <t>General</t>
        </is>
      </c>
      <c r="F9226" s="5" t="n">
        <v>397</v>
      </c>
      <c r="G9226" s="5" t="n">
        <v>2167</v>
      </c>
      <c r="H9226" s="5" t="n">
        <v>45</v>
      </c>
      <c r="I9226" s="5" t="n">
        <v>35</v>
      </c>
      <c r="J9226" s="5" t="n">
        <v>7</v>
      </c>
      <c r="K9226" s="10">
        <f>IF(F9226&gt;0,H9226/F9226,"")</f>
        <v/>
      </c>
      <c r="L9226" s="16">
        <f>IF(AND(G9226&gt;0,H9226&gt;0),G9226/H9226,"")</f>
        <v/>
      </c>
    </row>
    <row r="9227">
      <c r="A9227" s="4" t="inlineStr">
        <is>
          <t>291</t>
        </is>
      </c>
      <c r="B9227" s="4" t="n">
        <v>2</v>
      </c>
      <c r="C9227" s="4" t="inlineStr">
        <is>
          <t>whitetail</t>
        </is>
      </c>
      <c r="D9227" s="4" t="n">
        <v>2014</v>
      </c>
      <c r="E9227" s="13" t="inlineStr">
        <is>
          <t>General</t>
        </is>
      </c>
      <c r="F9227" s="5" t="n"/>
      <c r="G9227" s="5" t="n"/>
      <c r="H9227" s="5" t="n">
        <v>37</v>
      </c>
      <c r="I9227" s="5" t="n">
        <v>20</v>
      </c>
      <c r="J9227" s="5" t="n">
        <v>17</v>
      </c>
      <c r="K9227" s="10">
        <f>IF(F9227&gt;0,H9227/F9227,"")</f>
        <v/>
      </c>
      <c r="L9227" s="16">
        <f>IF(AND(G9227&gt;0,H9227&gt;0),G9227/H9227,"")</f>
        <v/>
      </c>
    </row>
    <row r="9228">
      <c r="A9228" s="4" t="inlineStr">
        <is>
          <t>291</t>
        </is>
      </c>
      <c r="B9228" s="4" t="n">
        <v>2</v>
      </c>
      <c r="C9228" s="4" t="inlineStr">
        <is>
          <t>whitetail</t>
        </is>
      </c>
      <c r="D9228" s="4" t="n">
        <v>2015</v>
      </c>
      <c r="E9228" s="13" t="inlineStr">
        <is>
          <t>General</t>
        </is>
      </c>
      <c r="F9228" s="5" t="n"/>
      <c r="G9228" s="5" t="n"/>
      <c r="H9228" s="5" t="n">
        <v>46</v>
      </c>
      <c r="I9228" s="5" t="n">
        <v>37</v>
      </c>
      <c r="J9228" s="5" t="n">
        <v>6</v>
      </c>
      <c r="K9228" s="10">
        <f>IF(F9228&gt;0,H9228/F9228,"")</f>
        <v/>
      </c>
      <c r="L9228" s="16">
        <f>IF(AND(G9228&gt;0,H9228&gt;0),G9228/H9228,"")</f>
        <v/>
      </c>
    </row>
    <row r="9229">
      <c r="A9229" s="4" t="inlineStr">
        <is>
          <t>291</t>
        </is>
      </c>
      <c r="B9229" s="4" t="n">
        <v>2</v>
      </c>
      <c r="C9229" s="4" t="inlineStr">
        <is>
          <t>whitetail</t>
        </is>
      </c>
      <c r="D9229" s="4" t="n">
        <v>2016</v>
      </c>
      <c r="E9229" s="13" t="inlineStr">
        <is>
          <t>General</t>
        </is>
      </c>
      <c r="F9229" s="5" t="n"/>
      <c r="G9229" s="5" t="n"/>
      <c r="H9229" s="5" t="n">
        <v>36</v>
      </c>
      <c r="I9229" s="5" t="n">
        <v>20</v>
      </c>
      <c r="J9229" s="5" t="n">
        <v>15</v>
      </c>
      <c r="K9229" s="10">
        <f>IF(F9229&gt;0,H9229/F9229,"")</f>
        <v/>
      </c>
      <c r="L9229" s="16">
        <f>IF(AND(G9229&gt;0,H9229&gt;0),G9229/H9229,"")</f>
        <v/>
      </c>
    </row>
    <row r="9230">
      <c r="A9230" s="4" t="inlineStr">
        <is>
          <t>291</t>
        </is>
      </c>
      <c r="B9230" s="4" t="n">
        <v>2</v>
      </c>
      <c r="C9230" s="4" t="inlineStr">
        <is>
          <t>whitetail</t>
        </is>
      </c>
      <c r="D9230" s="4" t="n">
        <v>2017</v>
      </c>
      <c r="E9230" s="13" t="inlineStr">
        <is>
          <t>General</t>
        </is>
      </c>
      <c r="F9230" s="5" t="n">
        <v>336</v>
      </c>
      <c r="G9230" s="5" t="n">
        <v>1908</v>
      </c>
      <c r="H9230" s="5" t="n">
        <v>55</v>
      </c>
      <c r="I9230" s="5" t="n">
        <v>34</v>
      </c>
      <c r="J9230" s="5" t="n">
        <v>18</v>
      </c>
      <c r="K9230" s="10">
        <f>IF(F9230&gt;0,H9230/F9230,"")</f>
        <v/>
      </c>
      <c r="L9230" s="16">
        <f>IF(AND(G9230&gt;0,H9230&gt;0),G9230/H9230,"")</f>
        <v/>
      </c>
    </row>
    <row r="9231">
      <c r="A9231" s="4" t="inlineStr">
        <is>
          <t>291</t>
        </is>
      </c>
      <c r="B9231" s="4" t="n">
        <v>2</v>
      </c>
      <c r="C9231" s="4" t="inlineStr">
        <is>
          <t>whitetail</t>
        </is>
      </c>
      <c r="D9231" s="4" t="n">
        <v>2018</v>
      </c>
      <c r="E9231" s="13" t="inlineStr">
        <is>
          <t>General</t>
        </is>
      </c>
      <c r="F9231" s="5" t="n"/>
      <c r="G9231" s="5" t="n"/>
      <c r="H9231" s="5" t="n">
        <v>44</v>
      </c>
      <c r="I9231" s="5" t="n">
        <v>30</v>
      </c>
      <c r="J9231" s="5" t="n">
        <v>14</v>
      </c>
      <c r="K9231" s="10">
        <f>IF(F9231&gt;0,H9231/F9231,"")</f>
        <v/>
      </c>
      <c r="L9231" s="16">
        <f>IF(AND(G9231&gt;0,H9231&gt;0),G9231/H9231,"")</f>
        <v/>
      </c>
    </row>
    <row r="9232">
      <c r="A9232" s="4" t="inlineStr">
        <is>
          <t>291</t>
        </is>
      </c>
      <c r="B9232" s="4" t="n">
        <v>2</v>
      </c>
      <c r="C9232" s="4" t="inlineStr">
        <is>
          <t>whitetail</t>
        </is>
      </c>
      <c r="D9232" s="4" t="n">
        <v>2019</v>
      </c>
      <c r="E9232" s="13" t="inlineStr">
        <is>
          <t>General</t>
        </is>
      </c>
      <c r="F9232" s="5" t="n">
        <v>367</v>
      </c>
      <c r="G9232" s="5" t="n">
        <v>1497</v>
      </c>
      <c r="H9232" s="5" t="n">
        <v>58</v>
      </c>
      <c r="I9232" s="5" t="n">
        <v>34</v>
      </c>
      <c r="J9232" s="5" t="n">
        <v>24</v>
      </c>
      <c r="K9232" s="10">
        <f>IF(F9232&gt;0,H9232/F9232,"")</f>
        <v/>
      </c>
      <c r="L9232" s="16">
        <f>IF(AND(G9232&gt;0,H9232&gt;0),G9232/H9232,"")</f>
        <v/>
      </c>
    </row>
    <row r="9233">
      <c r="A9233" s="4" t="inlineStr">
        <is>
          <t>291</t>
        </is>
      </c>
      <c r="B9233" s="4" t="n">
        <v>2</v>
      </c>
      <c r="C9233" s="4" t="inlineStr">
        <is>
          <t>whitetail</t>
        </is>
      </c>
      <c r="D9233" s="4" t="n">
        <v>2020</v>
      </c>
      <c r="E9233" s="13" t="inlineStr">
        <is>
          <t>General</t>
        </is>
      </c>
      <c r="F9233" s="5" t="n"/>
      <c r="G9233" s="5" t="n"/>
      <c r="H9233" s="5" t="n">
        <v>53</v>
      </c>
      <c r="I9233" s="5" t="n">
        <v>39</v>
      </c>
      <c r="J9233" s="5" t="n">
        <v>14</v>
      </c>
      <c r="K9233" s="10">
        <f>IF(F9233&gt;0,H9233/F9233,"")</f>
        <v/>
      </c>
      <c r="L9233" s="16">
        <f>IF(AND(G9233&gt;0,H9233&gt;0),G9233/H9233,"")</f>
        <v/>
      </c>
    </row>
    <row r="9234">
      <c r="A9234" s="4" t="inlineStr">
        <is>
          <t>291</t>
        </is>
      </c>
      <c r="B9234" s="4" t="n">
        <v>2</v>
      </c>
      <c r="C9234" s="4" t="inlineStr">
        <is>
          <t>whitetail</t>
        </is>
      </c>
      <c r="D9234" s="4" t="n">
        <v>2021</v>
      </c>
      <c r="E9234" s="13" t="inlineStr">
        <is>
          <t>General</t>
        </is>
      </c>
      <c r="F9234" s="5" t="n">
        <v>362</v>
      </c>
      <c r="G9234" s="5" t="n">
        <v>2121</v>
      </c>
      <c r="H9234" s="5" t="n">
        <v>62</v>
      </c>
      <c r="I9234" s="5" t="n">
        <v>51</v>
      </c>
      <c r="J9234" s="5" t="n">
        <v>10</v>
      </c>
      <c r="K9234" s="10">
        <f>IF(F9234&gt;0,H9234/F9234,"")</f>
        <v/>
      </c>
      <c r="L9234" s="16">
        <f>IF(AND(G9234&gt;0,H9234&gt;0),G9234/H9234,"")</f>
        <v/>
      </c>
    </row>
    <row r="9235">
      <c r="A9235" s="4" t="inlineStr">
        <is>
          <t>291</t>
        </is>
      </c>
      <c r="B9235" s="4" t="n">
        <v>2</v>
      </c>
      <c r="C9235" s="4" t="inlineStr">
        <is>
          <t>whitetail</t>
        </is>
      </c>
      <c r="D9235" s="4" t="n">
        <v>2022</v>
      </c>
      <c r="E9235" s="13" t="inlineStr">
        <is>
          <t>General</t>
        </is>
      </c>
      <c r="F9235" s="5" t="n"/>
      <c r="G9235" s="5" t="n"/>
      <c r="H9235" s="5" t="n">
        <v>33</v>
      </c>
      <c r="I9235" s="5" t="n">
        <v>25</v>
      </c>
      <c r="J9235" s="5" t="n">
        <v>8</v>
      </c>
      <c r="K9235" s="10">
        <f>IF(F9235&gt;0,H9235/F9235,"")</f>
        <v/>
      </c>
      <c r="L9235" s="16">
        <f>IF(AND(G9235&gt;0,H9235&gt;0),G9235/H9235,"")</f>
        <v/>
      </c>
    </row>
    <row r="9236">
      <c r="A9236" s="4" t="inlineStr">
        <is>
          <t>291</t>
        </is>
      </c>
      <c r="B9236" s="4" t="n">
        <v>2</v>
      </c>
      <c r="C9236" s="4" t="inlineStr">
        <is>
          <t>whitetail</t>
        </is>
      </c>
      <c r="D9236" s="4" t="n">
        <v>2023</v>
      </c>
      <c r="E9236" s="13" t="inlineStr">
        <is>
          <t>General</t>
        </is>
      </c>
      <c r="F9236" s="5" t="n">
        <v>250</v>
      </c>
      <c r="G9236" s="5" t="n">
        <v>1687</v>
      </c>
      <c r="H9236" s="5" t="n">
        <v>23</v>
      </c>
      <c r="I9236" s="5" t="n">
        <v>14</v>
      </c>
      <c r="J9236" s="5" t="n">
        <v>7</v>
      </c>
      <c r="K9236" s="10">
        <f>IF(F9236&gt;0,H9236/F9236,"")</f>
        <v/>
      </c>
      <c r="L9236" s="16">
        <f>IF(AND(G9236&gt;0,H9236&gt;0),G9236/H9236,"")</f>
        <v/>
      </c>
    </row>
    <row r="9237">
      <c r="A9237" s="4" t="inlineStr">
        <is>
          <t>291</t>
        </is>
      </c>
      <c r="B9237" s="4" t="n">
        <v>2</v>
      </c>
      <c r="C9237" s="4" t="inlineStr">
        <is>
          <t>whitetail</t>
        </is>
      </c>
      <c r="D9237" s="4" t="n">
        <v>2024</v>
      </c>
      <c r="E9237" s="13" t="inlineStr">
        <is>
          <t>General</t>
        </is>
      </c>
      <c r="F9237" s="5" t="n"/>
      <c r="G9237" s="5" t="n"/>
      <c r="H9237" s="5" t="n">
        <v>35</v>
      </c>
      <c r="I9237" s="5" t="n">
        <v>34</v>
      </c>
      <c r="J9237" s="5" t="n">
        <v>1</v>
      </c>
      <c r="K9237" s="10">
        <f>IF(F9237&gt;0,H9237/F9237,"")</f>
        <v/>
      </c>
      <c r="L9237" s="16">
        <f>IF(AND(G9237&gt;0,H9237&gt;0),G9237/H9237,"")</f>
        <v/>
      </c>
    </row>
    <row r="9238">
      <c r="A9238" s="4" t="inlineStr">
        <is>
          <t>291</t>
        </is>
      </c>
      <c r="B9238" s="4" t="n">
        <v>2</v>
      </c>
      <c r="C9238" s="4" t="inlineStr">
        <is>
          <t>whitetail</t>
        </is>
      </c>
      <c r="D9238" s="4" t="n">
        <v>2025</v>
      </c>
      <c r="E9238" s="13" t="inlineStr">
        <is>
          <t>General</t>
        </is>
      </c>
      <c r="F9238" s="5" t="n">
        <v>377</v>
      </c>
      <c r="G9238" s="5" t="n">
        <v>2128</v>
      </c>
      <c r="H9238" s="5" t="n">
        <v>45</v>
      </c>
      <c r="I9238" s="5" t="n">
        <v>32</v>
      </c>
      <c r="J9238" s="5" t="n">
        <v>11</v>
      </c>
      <c r="K9238" s="10">
        <f>IF(F9238&gt;0,H9238/F9238,"")</f>
        <v/>
      </c>
      <c r="L9238" s="16">
        <f>IF(AND(G9238&gt;0,H9238&gt;0),G9238/H9238,"")</f>
        <v/>
      </c>
    </row>
    <row r="9239">
      <c r="A9239" s="4" t="inlineStr">
        <is>
          <t>292</t>
        </is>
      </c>
      <c r="B9239" s="4" t="n">
        <v>2</v>
      </c>
      <c r="C9239" s="4" t="inlineStr">
        <is>
          <t>whitetail</t>
        </is>
      </c>
      <c r="D9239" s="4" t="n">
        <v>2004</v>
      </c>
      <c r="E9239" s="13" t="inlineStr">
        <is>
          <t>General</t>
        </is>
      </c>
      <c r="F9239" s="5" t="n">
        <v>1911</v>
      </c>
      <c r="G9239" s="5" t="n">
        <v>12320</v>
      </c>
      <c r="H9239" s="5" t="n">
        <v>377</v>
      </c>
      <c r="I9239" s="5" t="n">
        <v>308</v>
      </c>
      <c r="J9239" s="5" t="n">
        <v>62</v>
      </c>
      <c r="K9239" s="10">
        <f>IF(F9239&gt;0,H9239/F9239,"")</f>
        <v/>
      </c>
      <c r="L9239" s="16">
        <f>IF(AND(G9239&gt;0,H9239&gt;0),G9239/H9239,"")</f>
        <v/>
      </c>
    </row>
    <row r="9240">
      <c r="A9240" s="4" t="inlineStr">
        <is>
          <t>292</t>
        </is>
      </c>
      <c r="B9240" s="4" t="n">
        <v>2</v>
      </c>
      <c r="C9240" s="4" t="inlineStr">
        <is>
          <t>whitetail</t>
        </is>
      </c>
      <c r="D9240" s="4" t="n">
        <v>2005</v>
      </c>
      <c r="E9240" s="13" t="inlineStr">
        <is>
          <t>General</t>
        </is>
      </c>
      <c r="F9240" s="5" t="n">
        <v>1893</v>
      </c>
      <c r="G9240" s="5" t="n">
        <v>11264</v>
      </c>
      <c r="H9240" s="5" t="n">
        <v>412</v>
      </c>
      <c r="I9240" s="5" t="n">
        <v>327</v>
      </c>
      <c r="J9240" s="5" t="n">
        <v>80</v>
      </c>
      <c r="K9240" s="10">
        <f>IF(F9240&gt;0,H9240/F9240,"")</f>
        <v/>
      </c>
      <c r="L9240" s="16">
        <f>IF(AND(G9240&gt;0,H9240&gt;0),G9240/H9240,"")</f>
        <v/>
      </c>
    </row>
    <row r="9241">
      <c r="A9241" s="4" t="inlineStr">
        <is>
          <t>292</t>
        </is>
      </c>
      <c r="B9241" s="4" t="n">
        <v>2</v>
      </c>
      <c r="C9241" s="4" t="inlineStr">
        <is>
          <t>whitetail</t>
        </is>
      </c>
      <c r="D9241" s="4" t="n">
        <v>2006</v>
      </c>
      <c r="E9241" s="13" t="inlineStr">
        <is>
          <t>General</t>
        </is>
      </c>
      <c r="F9241" s="5" t="n">
        <v>1888</v>
      </c>
      <c r="G9241" s="5" t="n">
        <v>12156</v>
      </c>
      <c r="H9241" s="5" t="n">
        <v>742</v>
      </c>
      <c r="I9241" s="5" t="n">
        <v>340</v>
      </c>
      <c r="J9241" s="5" t="n">
        <v>382</v>
      </c>
      <c r="K9241" s="10">
        <f>IF(F9241&gt;0,H9241/F9241,"")</f>
        <v/>
      </c>
      <c r="L9241" s="16">
        <f>IF(AND(G9241&gt;0,H9241&gt;0),G9241/H9241,"")</f>
        <v/>
      </c>
    </row>
    <row r="9242">
      <c r="A9242" s="4" t="inlineStr">
        <is>
          <t>292</t>
        </is>
      </c>
      <c r="B9242" s="4" t="n">
        <v>2</v>
      </c>
      <c r="C9242" s="4" t="inlineStr">
        <is>
          <t>whitetail</t>
        </is>
      </c>
      <c r="D9242" s="4" t="n">
        <v>2007</v>
      </c>
      <c r="E9242" s="13" t="inlineStr">
        <is>
          <t>General</t>
        </is>
      </c>
      <c r="F9242" s="5" t="n">
        <v>1998</v>
      </c>
      <c r="G9242" s="5" t="n">
        <v>13662</v>
      </c>
      <c r="H9242" s="5" t="n">
        <v>507</v>
      </c>
      <c r="I9242" s="5" t="n">
        <v>256</v>
      </c>
      <c r="J9242" s="5" t="n">
        <v>235</v>
      </c>
      <c r="K9242" s="10">
        <f>IF(F9242&gt;0,H9242/F9242,"")</f>
        <v/>
      </c>
      <c r="L9242" s="16">
        <f>IF(AND(G9242&gt;0,H9242&gt;0),G9242/H9242,"")</f>
        <v/>
      </c>
    </row>
    <row r="9243">
      <c r="A9243" s="4" t="inlineStr">
        <is>
          <t>292</t>
        </is>
      </c>
      <c r="B9243" s="4" t="n">
        <v>2</v>
      </c>
      <c r="C9243" s="4" t="inlineStr">
        <is>
          <t>whitetail</t>
        </is>
      </c>
      <c r="D9243" s="4" t="n">
        <v>2008</v>
      </c>
      <c r="E9243" s="13" t="inlineStr">
        <is>
          <t>General</t>
        </is>
      </c>
      <c r="F9243" s="5" t="n">
        <v>2061</v>
      </c>
      <c r="G9243" s="5" t="n">
        <v>14852</v>
      </c>
      <c r="H9243" s="5" t="n">
        <v>354</v>
      </c>
      <c r="I9243" s="5" t="n">
        <v>155</v>
      </c>
      <c r="J9243" s="5" t="n">
        <v>187</v>
      </c>
      <c r="K9243" s="10">
        <f>IF(F9243&gt;0,H9243/F9243,"")</f>
        <v/>
      </c>
      <c r="L9243" s="16">
        <f>IF(AND(G9243&gt;0,H9243&gt;0),G9243/H9243,"")</f>
        <v/>
      </c>
    </row>
    <row r="9244">
      <c r="A9244" s="4" t="inlineStr">
        <is>
          <t>292</t>
        </is>
      </c>
      <c r="B9244" s="4" t="n">
        <v>2</v>
      </c>
      <c r="C9244" s="4" t="inlineStr">
        <is>
          <t>whitetail</t>
        </is>
      </c>
      <c r="D9244" s="4" t="n">
        <v>2009</v>
      </c>
      <c r="E9244" s="13" t="inlineStr">
        <is>
          <t>General</t>
        </is>
      </c>
      <c r="F9244" s="5" t="n">
        <v>1491</v>
      </c>
      <c r="G9244" s="5" t="n">
        <v>10293</v>
      </c>
      <c r="H9244" s="5" t="n">
        <v>232</v>
      </c>
      <c r="I9244" s="5" t="n">
        <v>172</v>
      </c>
      <c r="J9244" s="5" t="n">
        <v>60</v>
      </c>
      <c r="K9244" s="10">
        <f>IF(F9244&gt;0,H9244/F9244,"")</f>
        <v/>
      </c>
      <c r="L9244" s="16">
        <f>IF(AND(G9244&gt;0,H9244&gt;0),G9244/H9244,"")</f>
        <v/>
      </c>
    </row>
    <row r="9245">
      <c r="A9245" s="4" t="inlineStr">
        <is>
          <t>292</t>
        </is>
      </c>
      <c r="B9245" s="4" t="n">
        <v>2</v>
      </c>
      <c r="C9245" s="4" t="inlineStr">
        <is>
          <t>whitetail</t>
        </is>
      </c>
      <c r="D9245" s="4" t="n">
        <v>2010</v>
      </c>
      <c r="E9245" s="13" t="inlineStr">
        <is>
          <t>General</t>
        </is>
      </c>
      <c r="F9245" s="5" t="n">
        <v>1320</v>
      </c>
      <c r="G9245" s="5" t="n">
        <v>9005</v>
      </c>
      <c r="H9245" s="5" t="n">
        <v>289</v>
      </c>
      <c r="I9245" s="5" t="n">
        <v>237</v>
      </c>
      <c r="J9245" s="5" t="n">
        <v>51</v>
      </c>
      <c r="K9245" s="10">
        <f>IF(F9245&gt;0,H9245/F9245,"")</f>
        <v/>
      </c>
      <c r="L9245" s="16">
        <f>IF(AND(G9245&gt;0,H9245&gt;0),G9245/H9245,"")</f>
        <v/>
      </c>
    </row>
    <row r="9246">
      <c r="A9246" s="4" t="inlineStr">
        <is>
          <t>292</t>
        </is>
      </c>
      <c r="B9246" s="4" t="n">
        <v>2</v>
      </c>
      <c r="C9246" s="4" t="inlineStr">
        <is>
          <t>whitetail</t>
        </is>
      </c>
      <c r="D9246" s="4" t="n">
        <v>2011</v>
      </c>
      <c r="E9246" s="13" t="inlineStr">
        <is>
          <t>General</t>
        </is>
      </c>
      <c r="F9246" s="5" t="n">
        <v>1489</v>
      </c>
      <c r="G9246" s="5" t="n">
        <v>10101</v>
      </c>
      <c r="H9246" s="5" t="n">
        <v>308</v>
      </c>
      <c r="I9246" s="5" t="n">
        <v>272</v>
      </c>
      <c r="J9246" s="5" t="n">
        <v>35</v>
      </c>
      <c r="K9246" s="10">
        <f>IF(F9246&gt;0,H9246/F9246,"")</f>
        <v/>
      </c>
      <c r="L9246" s="16">
        <f>IF(AND(G9246&gt;0,H9246&gt;0),G9246/H9246,"")</f>
        <v/>
      </c>
    </row>
    <row r="9247">
      <c r="A9247" s="4" t="inlineStr">
        <is>
          <t>292</t>
        </is>
      </c>
      <c r="B9247" s="4" t="n">
        <v>2</v>
      </c>
      <c r="C9247" s="4" t="inlineStr">
        <is>
          <t>whitetail</t>
        </is>
      </c>
      <c r="D9247" s="4" t="n">
        <v>2012</v>
      </c>
      <c r="E9247" s="13" t="inlineStr">
        <is>
          <t>General</t>
        </is>
      </c>
      <c r="F9247" s="5" t="n"/>
      <c r="G9247" s="5" t="n"/>
      <c r="H9247" s="5" t="n">
        <v>219</v>
      </c>
      <c r="I9247" s="5" t="n">
        <v>175</v>
      </c>
      <c r="J9247" s="5" t="n">
        <v>42</v>
      </c>
      <c r="K9247" s="10">
        <f>IF(F9247&gt;0,H9247/F9247,"")</f>
        <v/>
      </c>
      <c r="L9247" s="16">
        <f>IF(AND(G9247&gt;0,H9247&gt;0),G9247/H9247,"")</f>
        <v/>
      </c>
    </row>
    <row r="9248">
      <c r="A9248" s="4" t="inlineStr">
        <is>
          <t>292</t>
        </is>
      </c>
      <c r="B9248" s="4" t="n">
        <v>2</v>
      </c>
      <c r="C9248" s="4" t="inlineStr">
        <is>
          <t>whitetail</t>
        </is>
      </c>
      <c r="D9248" s="4" t="n">
        <v>2013</v>
      </c>
      <c r="E9248" s="13" t="inlineStr">
        <is>
          <t>General</t>
        </is>
      </c>
      <c r="F9248" s="5" t="n">
        <v>1359</v>
      </c>
      <c r="G9248" s="5" t="n">
        <v>9271</v>
      </c>
      <c r="H9248" s="5" t="n">
        <v>234</v>
      </c>
      <c r="I9248" s="5" t="n">
        <v>204</v>
      </c>
      <c r="J9248" s="5" t="n">
        <v>24</v>
      </c>
      <c r="K9248" s="10">
        <f>IF(F9248&gt;0,H9248/F9248,"")</f>
        <v/>
      </c>
      <c r="L9248" s="16">
        <f>IF(AND(G9248&gt;0,H9248&gt;0),G9248/H9248,"")</f>
        <v/>
      </c>
    </row>
    <row r="9249">
      <c r="A9249" s="4" t="inlineStr">
        <is>
          <t>292</t>
        </is>
      </c>
      <c r="B9249" s="4" t="n">
        <v>2</v>
      </c>
      <c r="C9249" s="4" t="inlineStr">
        <is>
          <t>whitetail</t>
        </is>
      </c>
      <c r="D9249" s="4" t="n">
        <v>2014</v>
      </c>
      <c r="E9249" s="13" t="inlineStr">
        <is>
          <t>General</t>
        </is>
      </c>
      <c r="F9249" s="5" t="n"/>
      <c r="G9249" s="5" t="n"/>
      <c r="H9249" s="5" t="n">
        <v>318</v>
      </c>
      <c r="I9249" s="5" t="n">
        <v>252</v>
      </c>
      <c r="J9249" s="5" t="n">
        <v>66</v>
      </c>
      <c r="K9249" s="10">
        <f>IF(F9249&gt;0,H9249/F9249,"")</f>
        <v/>
      </c>
      <c r="L9249" s="16">
        <f>IF(AND(G9249&gt;0,H9249&gt;0),G9249/H9249,"")</f>
        <v/>
      </c>
    </row>
    <row r="9250">
      <c r="A9250" s="4" t="inlineStr">
        <is>
          <t>292</t>
        </is>
      </c>
      <c r="B9250" s="4" t="n">
        <v>2</v>
      </c>
      <c r="C9250" s="4" t="inlineStr">
        <is>
          <t>whitetail</t>
        </is>
      </c>
      <c r="D9250" s="4" t="n">
        <v>2015</v>
      </c>
      <c r="E9250" s="13" t="inlineStr">
        <is>
          <t>General</t>
        </is>
      </c>
      <c r="F9250" s="5" t="n"/>
      <c r="G9250" s="5" t="n"/>
      <c r="H9250" s="5" t="n">
        <v>321</v>
      </c>
      <c r="I9250" s="5" t="n">
        <v>263</v>
      </c>
      <c r="J9250" s="5" t="n">
        <v>55</v>
      </c>
      <c r="K9250" s="10">
        <f>IF(F9250&gt;0,H9250/F9250,"")</f>
        <v/>
      </c>
      <c r="L9250" s="16">
        <f>IF(AND(G9250&gt;0,H9250&gt;0),G9250/H9250,"")</f>
        <v/>
      </c>
    </row>
    <row r="9251">
      <c r="A9251" s="4" t="inlineStr">
        <is>
          <t>292</t>
        </is>
      </c>
      <c r="B9251" s="4" t="n">
        <v>2</v>
      </c>
      <c r="C9251" s="4" t="inlineStr">
        <is>
          <t>whitetail</t>
        </is>
      </c>
      <c r="D9251" s="4" t="n">
        <v>2016</v>
      </c>
      <c r="E9251" s="13" t="inlineStr">
        <is>
          <t>General</t>
        </is>
      </c>
      <c r="F9251" s="5" t="n"/>
      <c r="G9251" s="5" t="n"/>
      <c r="H9251" s="5" t="n">
        <v>370</v>
      </c>
      <c r="I9251" s="5" t="n">
        <v>292</v>
      </c>
      <c r="J9251" s="5" t="n">
        <v>70</v>
      </c>
      <c r="K9251" s="10">
        <f>IF(F9251&gt;0,H9251/F9251,"")</f>
        <v/>
      </c>
      <c r="L9251" s="16">
        <f>IF(AND(G9251&gt;0,H9251&gt;0),G9251/H9251,"")</f>
        <v/>
      </c>
    </row>
    <row r="9252">
      <c r="A9252" s="4" t="inlineStr">
        <is>
          <t>292</t>
        </is>
      </c>
      <c r="B9252" s="4" t="n">
        <v>2</v>
      </c>
      <c r="C9252" s="4" t="inlineStr">
        <is>
          <t>whitetail</t>
        </is>
      </c>
      <c r="D9252" s="4" t="n">
        <v>2017</v>
      </c>
      <c r="E9252" s="13" t="inlineStr">
        <is>
          <t>General</t>
        </is>
      </c>
      <c r="F9252" s="5" t="n">
        <v>1227</v>
      </c>
      <c r="G9252" s="5" t="n">
        <v>7718</v>
      </c>
      <c r="H9252" s="5" t="n">
        <v>342</v>
      </c>
      <c r="I9252" s="5" t="n">
        <v>257</v>
      </c>
      <c r="J9252" s="5" t="n">
        <v>85</v>
      </c>
      <c r="K9252" s="10">
        <f>IF(F9252&gt;0,H9252/F9252,"")</f>
        <v/>
      </c>
      <c r="L9252" s="16">
        <f>IF(AND(G9252&gt;0,H9252&gt;0),G9252/H9252,"")</f>
        <v/>
      </c>
    </row>
    <row r="9253">
      <c r="A9253" s="4" t="inlineStr">
        <is>
          <t>292</t>
        </is>
      </c>
      <c r="B9253" s="4" t="n">
        <v>2</v>
      </c>
      <c r="C9253" s="4" t="inlineStr">
        <is>
          <t>whitetail</t>
        </is>
      </c>
      <c r="D9253" s="4" t="n">
        <v>2018</v>
      </c>
      <c r="E9253" s="13" t="inlineStr">
        <is>
          <t>General</t>
        </is>
      </c>
      <c r="F9253" s="5" t="n"/>
      <c r="G9253" s="5" t="n"/>
      <c r="H9253" s="5" t="n">
        <v>302</v>
      </c>
      <c r="I9253" s="5" t="n">
        <v>219</v>
      </c>
      <c r="J9253" s="5" t="n">
        <v>78</v>
      </c>
      <c r="K9253" s="10">
        <f>IF(F9253&gt;0,H9253/F9253,"")</f>
        <v/>
      </c>
      <c r="L9253" s="16">
        <f>IF(AND(G9253&gt;0,H9253&gt;0),G9253/H9253,"")</f>
        <v/>
      </c>
    </row>
    <row r="9254">
      <c r="A9254" s="4" t="inlineStr">
        <is>
          <t>292</t>
        </is>
      </c>
      <c r="B9254" s="4" t="n">
        <v>2</v>
      </c>
      <c r="C9254" s="4" t="inlineStr">
        <is>
          <t>whitetail</t>
        </is>
      </c>
      <c r="D9254" s="4" t="n">
        <v>2019</v>
      </c>
      <c r="E9254" s="13" t="inlineStr">
        <is>
          <t>General</t>
        </is>
      </c>
      <c r="F9254" s="5" t="n">
        <v>1155</v>
      </c>
      <c r="G9254" s="5" t="n">
        <v>7213</v>
      </c>
      <c r="H9254" s="5" t="n">
        <v>287</v>
      </c>
      <c r="I9254" s="5" t="n">
        <v>257</v>
      </c>
      <c r="J9254" s="5" t="n">
        <v>27</v>
      </c>
      <c r="K9254" s="10">
        <f>IF(F9254&gt;0,H9254/F9254,"")</f>
        <v/>
      </c>
      <c r="L9254" s="16">
        <f>IF(AND(G9254&gt;0,H9254&gt;0),G9254/H9254,"")</f>
        <v/>
      </c>
    </row>
    <row r="9255">
      <c r="A9255" s="4" t="inlineStr">
        <is>
          <t>292</t>
        </is>
      </c>
      <c r="B9255" s="4" t="n">
        <v>2</v>
      </c>
      <c r="C9255" s="4" t="inlineStr">
        <is>
          <t>whitetail</t>
        </is>
      </c>
      <c r="D9255" s="4" t="n">
        <v>2020</v>
      </c>
      <c r="E9255" s="13" t="inlineStr">
        <is>
          <t>General</t>
        </is>
      </c>
      <c r="F9255" s="5" t="n"/>
      <c r="G9255" s="5" t="n"/>
      <c r="H9255" s="5" t="n">
        <v>342</v>
      </c>
      <c r="I9255" s="5" t="n">
        <v>278</v>
      </c>
      <c r="J9255" s="5" t="n">
        <v>61</v>
      </c>
      <c r="K9255" s="10">
        <f>IF(F9255&gt;0,H9255/F9255,"")</f>
        <v/>
      </c>
      <c r="L9255" s="16">
        <f>IF(AND(G9255&gt;0,H9255&gt;0),G9255/H9255,"")</f>
        <v/>
      </c>
    </row>
    <row r="9256">
      <c r="A9256" s="4" t="inlineStr">
        <is>
          <t>292</t>
        </is>
      </c>
      <c r="B9256" s="4" t="n">
        <v>2</v>
      </c>
      <c r="C9256" s="4" t="inlineStr">
        <is>
          <t>whitetail</t>
        </is>
      </c>
      <c r="D9256" s="4" t="n">
        <v>2021</v>
      </c>
      <c r="E9256" s="13" t="inlineStr">
        <is>
          <t>General</t>
        </is>
      </c>
      <c r="F9256" s="5" t="n">
        <v>1128</v>
      </c>
      <c r="G9256" s="5" t="n">
        <v>6775</v>
      </c>
      <c r="H9256" s="5" t="n">
        <v>300</v>
      </c>
      <c r="I9256" s="5" t="n">
        <v>231</v>
      </c>
      <c r="J9256" s="5" t="n">
        <v>69</v>
      </c>
      <c r="K9256" s="10">
        <f>IF(F9256&gt;0,H9256/F9256,"")</f>
        <v/>
      </c>
      <c r="L9256" s="16">
        <f>IF(AND(G9256&gt;0,H9256&gt;0),G9256/H9256,"")</f>
        <v/>
      </c>
    </row>
    <row r="9257">
      <c r="A9257" s="4" t="inlineStr">
        <is>
          <t>292</t>
        </is>
      </c>
      <c r="B9257" s="4" t="n">
        <v>2</v>
      </c>
      <c r="C9257" s="4" t="inlineStr">
        <is>
          <t>whitetail</t>
        </is>
      </c>
      <c r="D9257" s="4" t="n">
        <v>2022</v>
      </c>
      <c r="E9257" s="13" t="inlineStr">
        <is>
          <t>General</t>
        </is>
      </c>
      <c r="F9257" s="5" t="n"/>
      <c r="G9257" s="5" t="n"/>
      <c r="H9257" s="5" t="n">
        <v>354</v>
      </c>
      <c r="I9257" s="5" t="n">
        <v>299</v>
      </c>
      <c r="J9257" s="5" t="n">
        <v>56</v>
      </c>
      <c r="K9257" s="10">
        <f>IF(F9257&gt;0,H9257/F9257,"")</f>
        <v/>
      </c>
      <c r="L9257" s="16">
        <f>IF(AND(G9257&gt;0,H9257&gt;0),G9257/H9257,"")</f>
        <v/>
      </c>
    </row>
    <row r="9258">
      <c r="A9258" s="4" t="inlineStr">
        <is>
          <t>292</t>
        </is>
      </c>
      <c r="B9258" s="4" t="n">
        <v>2</v>
      </c>
      <c r="C9258" s="4" t="inlineStr">
        <is>
          <t>whitetail</t>
        </is>
      </c>
      <c r="D9258" s="4" t="n">
        <v>2023</v>
      </c>
      <c r="E9258" s="13" t="inlineStr">
        <is>
          <t>General</t>
        </is>
      </c>
      <c r="F9258" s="5" t="n">
        <v>1477</v>
      </c>
      <c r="G9258" s="5" t="n">
        <v>8958</v>
      </c>
      <c r="H9258" s="5" t="n">
        <v>311</v>
      </c>
      <c r="I9258" s="5" t="n">
        <v>249</v>
      </c>
      <c r="J9258" s="5" t="n">
        <v>59</v>
      </c>
      <c r="K9258" s="10">
        <f>IF(F9258&gt;0,H9258/F9258,"")</f>
        <v/>
      </c>
      <c r="L9258" s="16">
        <f>IF(AND(G9258&gt;0,H9258&gt;0),G9258/H9258,"")</f>
        <v/>
      </c>
    </row>
    <row r="9259">
      <c r="A9259" s="4" t="inlineStr">
        <is>
          <t>292</t>
        </is>
      </c>
      <c r="B9259" s="4" t="n">
        <v>2</v>
      </c>
      <c r="C9259" s="4" t="inlineStr">
        <is>
          <t>whitetail</t>
        </is>
      </c>
      <c r="D9259" s="4" t="n">
        <v>2024</v>
      </c>
      <c r="E9259" s="13" t="inlineStr">
        <is>
          <t>General</t>
        </is>
      </c>
      <c r="F9259" s="5" t="n"/>
      <c r="G9259" s="5" t="n"/>
      <c r="H9259" s="5" t="n">
        <v>319</v>
      </c>
      <c r="I9259" s="5" t="n">
        <v>257</v>
      </c>
      <c r="J9259" s="5" t="n">
        <v>62</v>
      </c>
      <c r="K9259" s="10">
        <f>IF(F9259&gt;0,H9259/F9259,"")</f>
        <v/>
      </c>
      <c r="L9259" s="16">
        <f>IF(AND(G9259&gt;0,H9259&gt;0),G9259/H9259,"")</f>
        <v/>
      </c>
    </row>
    <row r="9260">
      <c r="A9260" s="4" t="inlineStr">
        <is>
          <t>292</t>
        </is>
      </c>
      <c r="B9260" s="4" t="n">
        <v>2</v>
      </c>
      <c r="C9260" s="4" t="inlineStr">
        <is>
          <t>whitetail</t>
        </is>
      </c>
      <c r="D9260" s="4" t="n">
        <v>2025</v>
      </c>
      <c r="E9260" s="13" t="inlineStr">
        <is>
          <t>General</t>
        </is>
      </c>
      <c r="F9260" s="5" t="n">
        <v>1492</v>
      </c>
      <c r="G9260" s="5" t="n">
        <v>9373</v>
      </c>
      <c r="H9260" s="5" t="n">
        <v>289</v>
      </c>
      <c r="I9260" s="5" t="n">
        <v>241</v>
      </c>
      <c r="J9260" s="5" t="n">
        <v>48</v>
      </c>
      <c r="K9260" s="10">
        <f>IF(F9260&gt;0,H9260/F9260,"")</f>
        <v/>
      </c>
      <c r="L9260" s="16">
        <f>IF(AND(G9260&gt;0,H9260&gt;0),G9260/H9260,"")</f>
        <v/>
      </c>
    </row>
    <row r="9261">
      <c r="A9261" s="4" t="inlineStr">
        <is>
          <t>293</t>
        </is>
      </c>
      <c r="B9261" s="4" t="n">
        <v>2</v>
      </c>
      <c r="C9261" s="4" t="inlineStr">
        <is>
          <t>whitetail</t>
        </is>
      </c>
      <c r="D9261" s="4" t="n">
        <v>2004</v>
      </c>
      <c r="E9261" s="13" t="inlineStr">
        <is>
          <t>General</t>
        </is>
      </c>
      <c r="F9261" s="5" t="n">
        <v>1028</v>
      </c>
      <c r="G9261" s="5" t="n">
        <v>6188</v>
      </c>
      <c r="H9261" s="5" t="n">
        <v>153</v>
      </c>
      <c r="I9261" s="5" t="n">
        <v>125</v>
      </c>
      <c r="J9261" s="5" t="n">
        <v>27</v>
      </c>
      <c r="K9261" s="10">
        <f>IF(F9261&gt;0,H9261/F9261,"")</f>
        <v/>
      </c>
      <c r="L9261" s="16">
        <f>IF(AND(G9261&gt;0,H9261&gt;0),G9261/H9261,"")</f>
        <v/>
      </c>
    </row>
    <row r="9262">
      <c r="A9262" s="4" t="inlineStr">
        <is>
          <t>293</t>
        </is>
      </c>
      <c r="B9262" s="4" t="n">
        <v>2</v>
      </c>
      <c r="C9262" s="4" t="inlineStr">
        <is>
          <t>whitetail</t>
        </is>
      </c>
      <c r="D9262" s="4" t="n">
        <v>2005</v>
      </c>
      <c r="E9262" s="13" t="inlineStr">
        <is>
          <t>General</t>
        </is>
      </c>
      <c r="F9262" s="5" t="n">
        <v>1121</v>
      </c>
      <c r="G9262" s="5" t="n">
        <v>7052</v>
      </c>
      <c r="H9262" s="5" t="n">
        <v>198</v>
      </c>
      <c r="I9262" s="5" t="n">
        <v>140</v>
      </c>
      <c r="J9262" s="5" t="n">
        <v>58</v>
      </c>
      <c r="K9262" s="10">
        <f>IF(F9262&gt;0,H9262/F9262,"")</f>
        <v/>
      </c>
      <c r="L9262" s="16">
        <f>IF(AND(G9262&gt;0,H9262&gt;0),G9262/H9262,"")</f>
        <v/>
      </c>
    </row>
    <row r="9263">
      <c r="A9263" s="4" t="inlineStr">
        <is>
          <t>293</t>
        </is>
      </c>
      <c r="B9263" s="4" t="n">
        <v>2</v>
      </c>
      <c r="C9263" s="4" t="inlineStr">
        <is>
          <t>whitetail</t>
        </is>
      </c>
      <c r="D9263" s="4" t="n">
        <v>2006</v>
      </c>
      <c r="E9263" s="13" t="inlineStr">
        <is>
          <t>General</t>
        </is>
      </c>
      <c r="F9263" s="5" t="n">
        <v>1283</v>
      </c>
      <c r="G9263" s="5" t="n">
        <v>8366</v>
      </c>
      <c r="H9263" s="5" t="n">
        <v>265</v>
      </c>
      <c r="I9263" s="5" t="n">
        <v>145</v>
      </c>
      <c r="J9263" s="5" t="n">
        <v>113</v>
      </c>
      <c r="K9263" s="10">
        <f>IF(F9263&gt;0,H9263/F9263,"")</f>
        <v/>
      </c>
      <c r="L9263" s="16">
        <f>IF(AND(G9263&gt;0,H9263&gt;0),G9263/H9263,"")</f>
        <v/>
      </c>
    </row>
    <row r="9264">
      <c r="A9264" s="4" t="inlineStr">
        <is>
          <t>293</t>
        </is>
      </c>
      <c r="B9264" s="4" t="n">
        <v>2</v>
      </c>
      <c r="C9264" s="4" t="inlineStr">
        <is>
          <t>whitetail</t>
        </is>
      </c>
      <c r="D9264" s="4" t="n">
        <v>2007</v>
      </c>
      <c r="E9264" s="13" t="inlineStr">
        <is>
          <t>General</t>
        </is>
      </c>
      <c r="F9264" s="5" t="n">
        <v>1108</v>
      </c>
      <c r="G9264" s="5" t="n">
        <v>7691</v>
      </c>
      <c r="H9264" s="5" t="n">
        <v>143</v>
      </c>
      <c r="I9264" s="5" t="n">
        <v>78</v>
      </c>
      <c r="J9264" s="5" t="n">
        <v>66</v>
      </c>
      <c r="K9264" s="10">
        <f>IF(F9264&gt;0,H9264/F9264,"")</f>
        <v/>
      </c>
      <c r="L9264" s="16">
        <f>IF(AND(G9264&gt;0,H9264&gt;0),G9264/H9264,"")</f>
        <v/>
      </c>
    </row>
    <row r="9265">
      <c r="A9265" s="4" t="inlineStr">
        <is>
          <t>293</t>
        </is>
      </c>
      <c r="B9265" s="4" t="n">
        <v>2</v>
      </c>
      <c r="C9265" s="4" t="inlineStr">
        <is>
          <t>whitetail</t>
        </is>
      </c>
      <c r="D9265" s="4" t="n">
        <v>2008</v>
      </c>
      <c r="E9265" s="13" t="inlineStr">
        <is>
          <t>General</t>
        </is>
      </c>
      <c r="F9265" s="5" t="n">
        <v>1291</v>
      </c>
      <c r="G9265" s="5" t="n">
        <v>9074</v>
      </c>
      <c r="H9265" s="5" t="n">
        <v>173</v>
      </c>
      <c r="I9265" s="5" t="n">
        <v>93</v>
      </c>
      <c r="J9265" s="5" t="n">
        <v>80</v>
      </c>
      <c r="K9265" s="10">
        <f>IF(F9265&gt;0,H9265/F9265,"")</f>
        <v/>
      </c>
      <c r="L9265" s="16">
        <f>IF(AND(G9265&gt;0,H9265&gt;0),G9265/H9265,"")</f>
        <v/>
      </c>
    </row>
    <row r="9266">
      <c r="A9266" s="4" t="inlineStr">
        <is>
          <t>293</t>
        </is>
      </c>
      <c r="B9266" s="4" t="n">
        <v>2</v>
      </c>
      <c r="C9266" s="4" t="inlineStr">
        <is>
          <t>whitetail</t>
        </is>
      </c>
      <c r="D9266" s="4" t="n">
        <v>2009</v>
      </c>
      <c r="E9266" s="13" t="inlineStr">
        <is>
          <t>General</t>
        </is>
      </c>
      <c r="F9266" s="5" t="n">
        <v>1210</v>
      </c>
      <c r="G9266" s="5" t="n">
        <v>8800</v>
      </c>
      <c r="H9266" s="5" t="n">
        <v>79</v>
      </c>
      <c r="I9266" s="5" t="n">
        <v>64</v>
      </c>
      <c r="J9266" s="5" t="n">
        <v>15</v>
      </c>
      <c r="K9266" s="10">
        <f>IF(F9266&gt;0,H9266/F9266,"")</f>
        <v/>
      </c>
      <c r="L9266" s="16">
        <f>IF(AND(G9266&gt;0,H9266&gt;0),G9266/H9266,"")</f>
        <v/>
      </c>
    </row>
    <row r="9267">
      <c r="A9267" s="4" t="inlineStr">
        <is>
          <t>293</t>
        </is>
      </c>
      <c r="B9267" s="4" t="n">
        <v>2</v>
      </c>
      <c r="C9267" s="4" t="inlineStr">
        <is>
          <t>whitetail</t>
        </is>
      </c>
      <c r="D9267" s="4" t="n">
        <v>2010</v>
      </c>
      <c r="E9267" s="13" t="inlineStr">
        <is>
          <t>General</t>
        </is>
      </c>
      <c r="F9267" s="5" t="n">
        <v>1088</v>
      </c>
      <c r="G9267" s="5" t="n">
        <v>7861</v>
      </c>
      <c r="H9267" s="5" t="n">
        <v>104</v>
      </c>
      <c r="I9267" s="5" t="n">
        <v>80</v>
      </c>
      <c r="J9267" s="5" t="n">
        <v>23</v>
      </c>
      <c r="K9267" s="10">
        <f>IF(F9267&gt;0,H9267/F9267,"")</f>
        <v/>
      </c>
      <c r="L9267" s="16">
        <f>IF(AND(G9267&gt;0,H9267&gt;0),G9267/H9267,"")</f>
        <v/>
      </c>
    </row>
    <row r="9268">
      <c r="A9268" s="4" t="inlineStr">
        <is>
          <t>293</t>
        </is>
      </c>
      <c r="B9268" s="4" t="n">
        <v>2</v>
      </c>
      <c r="C9268" s="4" t="inlineStr">
        <is>
          <t>whitetail</t>
        </is>
      </c>
      <c r="D9268" s="4" t="n">
        <v>2011</v>
      </c>
      <c r="E9268" s="13" t="inlineStr">
        <is>
          <t>General</t>
        </is>
      </c>
      <c r="F9268" s="5" t="n">
        <v>1213</v>
      </c>
      <c r="G9268" s="5" t="n">
        <v>7771</v>
      </c>
      <c r="H9268" s="5" t="n">
        <v>94</v>
      </c>
      <c r="I9268" s="5" t="n">
        <v>64</v>
      </c>
      <c r="J9268" s="5" t="n">
        <v>30</v>
      </c>
      <c r="K9268" s="10">
        <f>IF(F9268&gt;0,H9268/F9268,"")</f>
        <v/>
      </c>
      <c r="L9268" s="16">
        <f>IF(AND(G9268&gt;0,H9268&gt;0),G9268/H9268,"")</f>
        <v/>
      </c>
    </row>
    <row r="9269">
      <c r="A9269" s="4" t="inlineStr">
        <is>
          <t>293</t>
        </is>
      </c>
      <c r="B9269" s="4" t="n">
        <v>2</v>
      </c>
      <c r="C9269" s="4" t="inlineStr">
        <is>
          <t>whitetail</t>
        </is>
      </c>
      <c r="D9269" s="4" t="n">
        <v>2012</v>
      </c>
      <c r="E9269" s="13" t="inlineStr">
        <is>
          <t>General</t>
        </is>
      </c>
      <c r="F9269" s="5" t="n"/>
      <c r="G9269" s="5" t="n"/>
      <c r="H9269" s="5" t="n">
        <v>104</v>
      </c>
      <c r="I9269" s="5" t="n">
        <v>83</v>
      </c>
      <c r="J9269" s="5" t="n">
        <v>21</v>
      </c>
      <c r="K9269" s="10">
        <f>IF(F9269&gt;0,H9269/F9269,"")</f>
        <v/>
      </c>
      <c r="L9269" s="16">
        <f>IF(AND(G9269&gt;0,H9269&gt;0),G9269/H9269,"")</f>
        <v/>
      </c>
    </row>
    <row r="9270">
      <c r="A9270" s="4" t="inlineStr">
        <is>
          <t>293</t>
        </is>
      </c>
      <c r="B9270" s="4" t="n">
        <v>2</v>
      </c>
      <c r="C9270" s="4" t="inlineStr">
        <is>
          <t>whitetail</t>
        </is>
      </c>
      <c r="D9270" s="4" t="n">
        <v>2013</v>
      </c>
      <c r="E9270" s="13" t="inlineStr">
        <is>
          <t>General</t>
        </is>
      </c>
      <c r="F9270" s="5" t="n">
        <v>1235</v>
      </c>
      <c r="G9270" s="5" t="n">
        <v>8714</v>
      </c>
      <c r="H9270" s="5" t="n">
        <v>137</v>
      </c>
      <c r="I9270" s="5" t="n">
        <v>112</v>
      </c>
      <c r="J9270" s="5" t="n">
        <v>22</v>
      </c>
      <c r="K9270" s="10">
        <f>IF(F9270&gt;0,H9270/F9270,"")</f>
        <v/>
      </c>
      <c r="L9270" s="16">
        <f>IF(AND(G9270&gt;0,H9270&gt;0),G9270/H9270,"")</f>
        <v/>
      </c>
    </row>
    <row r="9271">
      <c r="A9271" s="4" t="inlineStr">
        <is>
          <t>293</t>
        </is>
      </c>
      <c r="B9271" s="4" t="n">
        <v>2</v>
      </c>
      <c r="C9271" s="4" t="inlineStr">
        <is>
          <t>whitetail</t>
        </is>
      </c>
      <c r="D9271" s="4" t="n">
        <v>2014</v>
      </c>
      <c r="E9271" s="13" t="inlineStr">
        <is>
          <t>General</t>
        </is>
      </c>
      <c r="F9271" s="5" t="n"/>
      <c r="G9271" s="5" t="n"/>
      <c r="H9271" s="5" t="n">
        <v>152</v>
      </c>
      <c r="I9271" s="5" t="n">
        <v>124</v>
      </c>
      <c r="J9271" s="5" t="n">
        <v>28</v>
      </c>
      <c r="K9271" s="10">
        <f>IF(F9271&gt;0,H9271/F9271,"")</f>
        <v/>
      </c>
      <c r="L9271" s="16">
        <f>IF(AND(G9271&gt;0,H9271&gt;0),G9271/H9271,"")</f>
        <v/>
      </c>
    </row>
    <row r="9272">
      <c r="A9272" s="4" t="inlineStr">
        <is>
          <t>293</t>
        </is>
      </c>
      <c r="B9272" s="4" t="n">
        <v>2</v>
      </c>
      <c r="C9272" s="4" t="inlineStr">
        <is>
          <t>whitetail</t>
        </is>
      </c>
      <c r="D9272" s="4" t="n">
        <v>2015</v>
      </c>
      <c r="E9272" s="13" t="inlineStr">
        <is>
          <t>General</t>
        </is>
      </c>
      <c r="F9272" s="5" t="n"/>
      <c r="G9272" s="5" t="n"/>
      <c r="H9272" s="5" t="n">
        <v>151</v>
      </c>
      <c r="I9272" s="5" t="n">
        <v>116</v>
      </c>
      <c r="J9272" s="5" t="n">
        <v>35</v>
      </c>
      <c r="K9272" s="10">
        <f>IF(F9272&gt;0,H9272/F9272,"")</f>
        <v/>
      </c>
      <c r="L9272" s="16">
        <f>IF(AND(G9272&gt;0,H9272&gt;0),G9272/H9272,"")</f>
        <v/>
      </c>
    </row>
    <row r="9273">
      <c r="A9273" s="4" t="inlineStr">
        <is>
          <t>293</t>
        </is>
      </c>
      <c r="B9273" s="4" t="n">
        <v>2</v>
      </c>
      <c r="C9273" s="4" t="inlineStr">
        <is>
          <t>whitetail</t>
        </is>
      </c>
      <c r="D9273" s="4" t="n">
        <v>2016</v>
      </c>
      <c r="E9273" s="13" t="inlineStr">
        <is>
          <t>General</t>
        </is>
      </c>
      <c r="F9273" s="5" t="n"/>
      <c r="G9273" s="5" t="n"/>
      <c r="H9273" s="5" t="n">
        <v>127</v>
      </c>
      <c r="I9273" s="5" t="n">
        <v>106</v>
      </c>
      <c r="J9273" s="5" t="n">
        <v>17</v>
      </c>
      <c r="K9273" s="10">
        <f>IF(F9273&gt;0,H9273/F9273,"")</f>
        <v/>
      </c>
      <c r="L9273" s="16">
        <f>IF(AND(G9273&gt;0,H9273&gt;0),G9273/H9273,"")</f>
        <v/>
      </c>
    </row>
    <row r="9274">
      <c r="A9274" s="4" t="inlineStr">
        <is>
          <t>293</t>
        </is>
      </c>
      <c r="B9274" s="4" t="n">
        <v>2</v>
      </c>
      <c r="C9274" s="4" t="inlineStr">
        <is>
          <t>whitetail</t>
        </is>
      </c>
      <c r="D9274" s="4" t="n">
        <v>2017</v>
      </c>
      <c r="E9274" s="13" t="inlineStr">
        <is>
          <t>General</t>
        </is>
      </c>
      <c r="F9274" s="5" t="n">
        <v>1001</v>
      </c>
      <c r="G9274" s="5" t="n">
        <v>6257</v>
      </c>
      <c r="H9274" s="5" t="n">
        <v>136</v>
      </c>
      <c r="I9274" s="5" t="n">
        <v>109</v>
      </c>
      <c r="J9274" s="5" t="n">
        <v>27</v>
      </c>
      <c r="K9274" s="10">
        <f>IF(F9274&gt;0,H9274/F9274,"")</f>
        <v/>
      </c>
      <c r="L9274" s="16">
        <f>IF(AND(G9274&gt;0,H9274&gt;0),G9274/H9274,"")</f>
        <v/>
      </c>
    </row>
    <row r="9275">
      <c r="A9275" s="4" t="inlineStr">
        <is>
          <t>293</t>
        </is>
      </c>
      <c r="B9275" s="4" t="n">
        <v>2</v>
      </c>
      <c r="C9275" s="4" t="inlineStr">
        <is>
          <t>whitetail</t>
        </is>
      </c>
      <c r="D9275" s="4" t="n">
        <v>2018</v>
      </c>
      <c r="E9275" s="13" t="inlineStr">
        <is>
          <t>General</t>
        </is>
      </c>
      <c r="F9275" s="5" t="n"/>
      <c r="G9275" s="5" t="n"/>
      <c r="H9275" s="5" t="n">
        <v>97</v>
      </c>
      <c r="I9275" s="5" t="n">
        <v>85</v>
      </c>
      <c r="J9275" s="5" t="n">
        <v>9</v>
      </c>
      <c r="K9275" s="10">
        <f>IF(F9275&gt;0,H9275/F9275,"")</f>
        <v/>
      </c>
      <c r="L9275" s="16">
        <f>IF(AND(G9275&gt;0,H9275&gt;0),G9275/H9275,"")</f>
        <v/>
      </c>
    </row>
    <row r="9276">
      <c r="A9276" s="4" t="inlineStr">
        <is>
          <t>293</t>
        </is>
      </c>
      <c r="B9276" s="4" t="n">
        <v>2</v>
      </c>
      <c r="C9276" s="4" t="inlineStr">
        <is>
          <t>whitetail</t>
        </is>
      </c>
      <c r="D9276" s="4" t="n">
        <v>2019</v>
      </c>
      <c r="E9276" s="13" t="inlineStr">
        <is>
          <t>General</t>
        </is>
      </c>
      <c r="F9276" s="5" t="n">
        <v>886</v>
      </c>
      <c r="G9276" s="5" t="n">
        <v>5809</v>
      </c>
      <c r="H9276" s="5" t="n">
        <v>70</v>
      </c>
      <c r="I9276" s="5" t="n">
        <v>66</v>
      </c>
      <c r="J9276" s="5" t="n">
        <v>3</v>
      </c>
      <c r="K9276" s="10">
        <f>IF(F9276&gt;0,H9276/F9276,"")</f>
        <v/>
      </c>
      <c r="L9276" s="16">
        <f>IF(AND(G9276&gt;0,H9276&gt;0),G9276/H9276,"")</f>
        <v/>
      </c>
    </row>
    <row r="9277">
      <c r="A9277" s="4" t="inlineStr">
        <is>
          <t>293</t>
        </is>
      </c>
      <c r="B9277" s="4" t="n">
        <v>2</v>
      </c>
      <c r="C9277" s="4" t="inlineStr">
        <is>
          <t>whitetail</t>
        </is>
      </c>
      <c r="D9277" s="4" t="n">
        <v>2020</v>
      </c>
      <c r="E9277" s="13" t="inlineStr">
        <is>
          <t>General</t>
        </is>
      </c>
      <c r="F9277" s="5" t="n"/>
      <c r="G9277" s="5" t="n"/>
      <c r="H9277" s="5" t="n">
        <v>78</v>
      </c>
      <c r="I9277" s="5" t="n">
        <v>61</v>
      </c>
      <c r="J9277" s="5" t="n">
        <v>17</v>
      </c>
      <c r="K9277" s="10">
        <f>IF(F9277&gt;0,H9277/F9277,"")</f>
        <v/>
      </c>
      <c r="L9277" s="16">
        <f>IF(AND(G9277&gt;0,H9277&gt;0),G9277/H9277,"")</f>
        <v/>
      </c>
    </row>
    <row r="9278">
      <c r="A9278" s="4" t="inlineStr">
        <is>
          <t>293</t>
        </is>
      </c>
      <c r="B9278" s="4" t="n">
        <v>2</v>
      </c>
      <c r="C9278" s="4" t="inlineStr">
        <is>
          <t>whitetail</t>
        </is>
      </c>
      <c r="D9278" s="4" t="n">
        <v>2021</v>
      </c>
      <c r="E9278" s="13" t="inlineStr">
        <is>
          <t>General</t>
        </is>
      </c>
      <c r="F9278" s="5" t="n">
        <v>977</v>
      </c>
      <c r="G9278" s="5" t="n">
        <v>6663</v>
      </c>
      <c r="H9278" s="5" t="n">
        <v>119</v>
      </c>
      <c r="I9278" s="5" t="n">
        <v>107</v>
      </c>
      <c r="J9278" s="5" t="n">
        <v>12</v>
      </c>
      <c r="K9278" s="10">
        <f>IF(F9278&gt;0,H9278/F9278,"")</f>
        <v/>
      </c>
      <c r="L9278" s="16">
        <f>IF(AND(G9278&gt;0,H9278&gt;0),G9278/H9278,"")</f>
        <v/>
      </c>
    </row>
    <row r="9279">
      <c r="A9279" s="4" t="inlineStr">
        <is>
          <t>293</t>
        </is>
      </c>
      <c r="B9279" s="4" t="n">
        <v>2</v>
      </c>
      <c r="C9279" s="4" t="inlineStr">
        <is>
          <t>whitetail</t>
        </is>
      </c>
      <c r="D9279" s="4" t="n">
        <v>2022</v>
      </c>
      <c r="E9279" s="13" t="inlineStr">
        <is>
          <t>General</t>
        </is>
      </c>
      <c r="F9279" s="5" t="n"/>
      <c r="G9279" s="5" t="n"/>
      <c r="H9279" s="5" t="n">
        <v>119</v>
      </c>
      <c r="I9279" s="5" t="n">
        <v>112</v>
      </c>
      <c r="J9279" s="5" t="n">
        <v>7</v>
      </c>
      <c r="K9279" s="10">
        <f>IF(F9279&gt;0,H9279/F9279,"")</f>
        <v/>
      </c>
      <c r="L9279" s="16">
        <f>IF(AND(G9279&gt;0,H9279&gt;0),G9279/H9279,"")</f>
        <v/>
      </c>
    </row>
    <row r="9280">
      <c r="A9280" s="4" t="inlineStr">
        <is>
          <t>293</t>
        </is>
      </c>
      <c r="B9280" s="4" t="n">
        <v>2</v>
      </c>
      <c r="C9280" s="4" t="inlineStr">
        <is>
          <t>whitetail</t>
        </is>
      </c>
      <c r="D9280" s="4" t="n">
        <v>2023</v>
      </c>
      <c r="E9280" s="13" t="inlineStr">
        <is>
          <t>General</t>
        </is>
      </c>
      <c r="F9280" s="5" t="n">
        <v>1061</v>
      </c>
      <c r="G9280" s="5" t="n">
        <v>7106</v>
      </c>
      <c r="H9280" s="5" t="n">
        <v>131</v>
      </c>
      <c r="I9280" s="5" t="n">
        <v>104</v>
      </c>
      <c r="J9280" s="5" t="n">
        <v>27</v>
      </c>
      <c r="K9280" s="10">
        <f>IF(F9280&gt;0,H9280/F9280,"")</f>
        <v/>
      </c>
      <c r="L9280" s="16">
        <f>IF(AND(G9280&gt;0,H9280&gt;0),G9280/H9280,"")</f>
        <v/>
      </c>
    </row>
    <row r="9281">
      <c r="A9281" s="4" t="inlineStr">
        <is>
          <t>293</t>
        </is>
      </c>
      <c r="B9281" s="4" t="n">
        <v>2</v>
      </c>
      <c r="C9281" s="4" t="inlineStr">
        <is>
          <t>whitetail</t>
        </is>
      </c>
      <c r="D9281" s="4" t="n">
        <v>2024</v>
      </c>
      <c r="E9281" s="13" t="inlineStr">
        <is>
          <t>General</t>
        </is>
      </c>
      <c r="F9281" s="5" t="n"/>
      <c r="G9281" s="5" t="n"/>
      <c r="H9281" s="5" t="n">
        <v>103</v>
      </c>
      <c r="I9281" s="5" t="n">
        <v>103</v>
      </c>
      <c r="J9281" s="5" t="n">
        <v>0</v>
      </c>
      <c r="K9281" s="10">
        <f>IF(F9281&gt;0,H9281/F9281,"")</f>
        <v/>
      </c>
      <c r="L9281" s="16">
        <f>IF(AND(G9281&gt;0,H9281&gt;0),G9281/H9281,"")</f>
        <v/>
      </c>
    </row>
    <row r="9282">
      <c r="A9282" s="4" t="inlineStr">
        <is>
          <t>293</t>
        </is>
      </c>
      <c r="B9282" s="4" t="n">
        <v>2</v>
      </c>
      <c r="C9282" s="4" t="inlineStr">
        <is>
          <t>whitetail</t>
        </is>
      </c>
      <c r="D9282" s="4" t="n">
        <v>2025</v>
      </c>
      <c r="E9282" s="13" t="inlineStr">
        <is>
          <t>General</t>
        </is>
      </c>
      <c r="F9282" s="5" t="n">
        <v>1065</v>
      </c>
      <c r="G9282" s="5" t="n">
        <v>7835</v>
      </c>
      <c r="H9282" s="5" t="n">
        <v>176</v>
      </c>
      <c r="I9282" s="5" t="n">
        <v>162</v>
      </c>
      <c r="J9282" s="5" t="n">
        <v>14</v>
      </c>
      <c r="K9282" s="10">
        <f>IF(F9282&gt;0,H9282/F9282,"")</f>
        <v/>
      </c>
      <c r="L9282" s="16">
        <f>IF(AND(G9282&gt;0,H9282&gt;0),G9282/H9282,"")</f>
        <v/>
      </c>
    </row>
    <row r="9283">
      <c r="A9283" s="4" t="inlineStr">
        <is>
          <t>298</t>
        </is>
      </c>
      <c r="B9283" s="4" t="n">
        <v>2</v>
      </c>
      <c r="C9283" s="4" t="inlineStr">
        <is>
          <t>whitetail</t>
        </is>
      </c>
      <c r="D9283" s="4" t="n">
        <v>2008</v>
      </c>
      <c r="E9283" s="13" t="inlineStr">
        <is>
          <t>General</t>
        </is>
      </c>
      <c r="F9283" s="5" t="n">
        <v>421</v>
      </c>
      <c r="G9283" s="5" t="n">
        <v>2552</v>
      </c>
      <c r="H9283" s="5" t="n">
        <v>43</v>
      </c>
      <c r="I9283" s="5" t="n">
        <v>19</v>
      </c>
      <c r="J9283" s="5" t="n">
        <v>25</v>
      </c>
      <c r="K9283" s="10">
        <f>IF(F9283&gt;0,H9283/F9283,"")</f>
        <v/>
      </c>
      <c r="L9283" s="16">
        <f>IF(AND(G9283&gt;0,H9283&gt;0),G9283/H9283,"")</f>
        <v/>
      </c>
    </row>
    <row r="9284">
      <c r="A9284" s="4" t="inlineStr">
        <is>
          <t>298</t>
        </is>
      </c>
      <c r="B9284" s="4" t="n">
        <v>2</v>
      </c>
      <c r="C9284" s="4" t="inlineStr">
        <is>
          <t>whitetail</t>
        </is>
      </c>
      <c r="D9284" s="4" t="n">
        <v>2009</v>
      </c>
      <c r="E9284" s="13" t="inlineStr">
        <is>
          <t>General</t>
        </is>
      </c>
      <c r="F9284" s="5" t="n">
        <v>342</v>
      </c>
      <c r="G9284" s="5" t="n">
        <v>2434</v>
      </c>
      <c r="H9284" s="5" t="n">
        <v>32</v>
      </c>
      <c r="I9284" s="5" t="n">
        <v>29</v>
      </c>
      <c r="J9284" s="5" t="n">
        <v>3</v>
      </c>
      <c r="K9284" s="10">
        <f>IF(F9284&gt;0,H9284/F9284,"")</f>
        <v/>
      </c>
      <c r="L9284" s="16">
        <f>IF(AND(G9284&gt;0,H9284&gt;0),G9284/H9284,"")</f>
        <v/>
      </c>
    </row>
    <row r="9285">
      <c r="A9285" s="4" t="inlineStr">
        <is>
          <t>298</t>
        </is>
      </c>
      <c r="B9285" s="4" t="n">
        <v>2</v>
      </c>
      <c r="C9285" s="4" t="inlineStr">
        <is>
          <t>whitetail</t>
        </is>
      </c>
      <c r="D9285" s="4" t="n">
        <v>2010</v>
      </c>
      <c r="E9285" s="13" t="inlineStr">
        <is>
          <t>General</t>
        </is>
      </c>
      <c r="F9285" s="5" t="n">
        <v>329</v>
      </c>
      <c r="G9285" s="5" t="n">
        <v>2010</v>
      </c>
      <c r="H9285" s="5" t="n">
        <v>23</v>
      </c>
      <c r="I9285" s="5" t="n">
        <v>23</v>
      </c>
      <c r="J9285" s="5" t="n">
        <v>0</v>
      </c>
      <c r="K9285" s="10">
        <f>IF(F9285&gt;0,H9285/F9285,"")</f>
        <v/>
      </c>
      <c r="L9285" s="16">
        <f>IF(AND(G9285&gt;0,H9285&gt;0),G9285/H9285,"")</f>
        <v/>
      </c>
    </row>
    <row r="9286">
      <c r="A9286" s="4" t="inlineStr">
        <is>
          <t>298</t>
        </is>
      </c>
      <c r="B9286" s="4" t="n">
        <v>2</v>
      </c>
      <c r="C9286" s="4" t="inlineStr">
        <is>
          <t>whitetail</t>
        </is>
      </c>
      <c r="D9286" s="4" t="n">
        <v>2011</v>
      </c>
      <c r="E9286" s="13" t="inlineStr">
        <is>
          <t>General</t>
        </is>
      </c>
      <c r="F9286" s="5" t="n">
        <v>389</v>
      </c>
      <c r="G9286" s="5" t="n">
        <v>2057</v>
      </c>
      <c r="H9286" s="5" t="n">
        <v>27</v>
      </c>
      <c r="I9286" s="5" t="n">
        <v>27</v>
      </c>
      <c r="J9286" s="5" t="n">
        <v>0</v>
      </c>
      <c r="K9286" s="10">
        <f>IF(F9286&gt;0,H9286/F9286,"")</f>
        <v/>
      </c>
      <c r="L9286" s="16">
        <f>IF(AND(G9286&gt;0,H9286&gt;0),G9286/H9286,"")</f>
        <v/>
      </c>
    </row>
    <row r="9287">
      <c r="A9287" s="4" t="inlineStr">
        <is>
          <t>298</t>
        </is>
      </c>
      <c r="B9287" s="4" t="n">
        <v>2</v>
      </c>
      <c r="C9287" s="4" t="inlineStr">
        <is>
          <t>whitetail</t>
        </is>
      </c>
      <c r="D9287" s="4" t="n">
        <v>2012</v>
      </c>
      <c r="E9287" s="13" t="inlineStr">
        <is>
          <t>General</t>
        </is>
      </c>
      <c r="F9287" s="5" t="n"/>
      <c r="G9287" s="5" t="n"/>
      <c r="H9287" s="5" t="n">
        <v>35</v>
      </c>
      <c r="I9287" s="5" t="n">
        <v>27</v>
      </c>
      <c r="J9287" s="5" t="n">
        <v>8</v>
      </c>
      <c r="K9287" s="10">
        <f>IF(F9287&gt;0,H9287/F9287,"")</f>
        <v/>
      </c>
      <c r="L9287" s="16">
        <f>IF(AND(G9287&gt;0,H9287&gt;0),G9287/H9287,"")</f>
        <v/>
      </c>
    </row>
    <row r="9288">
      <c r="A9288" s="4" t="inlineStr">
        <is>
          <t>298</t>
        </is>
      </c>
      <c r="B9288" s="4" t="n">
        <v>2</v>
      </c>
      <c r="C9288" s="4" t="inlineStr">
        <is>
          <t>whitetail</t>
        </is>
      </c>
      <c r="D9288" s="4" t="n">
        <v>2013</v>
      </c>
      <c r="E9288" s="13" t="inlineStr">
        <is>
          <t>General</t>
        </is>
      </c>
      <c r="F9288" s="5" t="n">
        <v>472</v>
      </c>
      <c r="G9288" s="5" t="n">
        <v>2646</v>
      </c>
      <c r="H9288" s="5" t="n">
        <v>51</v>
      </c>
      <c r="I9288" s="5" t="n">
        <v>51</v>
      </c>
      <c r="J9288" s="5" t="n">
        <v>0</v>
      </c>
      <c r="K9288" s="10">
        <f>IF(F9288&gt;0,H9288/F9288,"")</f>
        <v/>
      </c>
      <c r="L9288" s="16">
        <f>IF(AND(G9288&gt;0,H9288&gt;0),G9288/H9288,"")</f>
        <v/>
      </c>
    </row>
    <row r="9289">
      <c r="A9289" s="4" t="inlineStr">
        <is>
          <t>298</t>
        </is>
      </c>
      <c r="B9289" s="4" t="n">
        <v>2</v>
      </c>
      <c r="C9289" s="4" t="inlineStr">
        <is>
          <t>whitetail</t>
        </is>
      </c>
      <c r="D9289" s="4" t="n">
        <v>2014</v>
      </c>
      <c r="E9289" s="13" t="inlineStr">
        <is>
          <t>General</t>
        </is>
      </c>
      <c r="F9289" s="5" t="n"/>
      <c r="G9289" s="5" t="n"/>
      <c r="H9289" s="5" t="n">
        <v>59</v>
      </c>
      <c r="I9289" s="5" t="n">
        <v>57</v>
      </c>
      <c r="J9289" s="5" t="n">
        <v>0</v>
      </c>
      <c r="K9289" s="10">
        <f>IF(F9289&gt;0,H9289/F9289,"")</f>
        <v/>
      </c>
      <c r="L9289" s="16">
        <f>IF(AND(G9289&gt;0,H9289&gt;0),G9289/H9289,"")</f>
        <v/>
      </c>
    </row>
    <row r="9290">
      <c r="A9290" s="4" t="inlineStr">
        <is>
          <t>298</t>
        </is>
      </c>
      <c r="B9290" s="4" t="n">
        <v>2</v>
      </c>
      <c r="C9290" s="4" t="inlineStr">
        <is>
          <t>whitetail</t>
        </is>
      </c>
      <c r="D9290" s="4" t="n">
        <v>2015</v>
      </c>
      <c r="E9290" s="13" t="inlineStr">
        <is>
          <t>General</t>
        </is>
      </c>
      <c r="F9290" s="5" t="n"/>
      <c r="G9290" s="5" t="n"/>
      <c r="H9290" s="5" t="n">
        <v>57</v>
      </c>
      <c r="I9290" s="5" t="n">
        <v>55</v>
      </c>
      <c r="J9290" s="5" t="n">
        <v>3</v>
      </c>
      <c r="K9290" s="10">
        <f>IF(F9290&gt;0,H9290/F9290,"")</f>
        <v/>
      </c>
      <c r="L9290" s="16">
        <f>IF(AND(G9290&gt;0,H9290&gt;0),G9290/H9290,"")</f>
        <v/>
      </c>
    </row>
    <row r="9291">
      <c r="A9291" s="4" t="inlineStr">
        <is>
          <t>298</t>
        </is>
      </c>
      <c r="B9291" s="4" t="n">
        <v>2</v>
      </c>
      <c r="C9291" s="4" t="inlineStr">
        <is>
          <t>whitetail</t>
        </is>
      </c>
      <c r="D9291" s="4" t="n">
        <v>2016</v>
      </c>
      <c r="E9291" s="13" t="inlineStr">
        <is>
          <t>General</t>
        </is>
      </c>
      <c r="F9291" s="5" t="n"/>
      <c r="G9291" s="5" t="n"/>
      <c r="H9291" s="5" t="n">
        <v>57</v>
      </c>
      <c r="I9291" s="5" t="n">
        <v>43</v>
      </c>
      <c r="J9291" s="5" t="n">
        <v>15</v>
      </c>
      <c r="K9291" s="10">
        <f>IF(F9291&gt;0,H9291/F9291,"")</f>
        <v/>
      </c>
      <c r="L9291" s="16">
        <f>IF(AND(G9291&gt;0,H9291&gt;0),G9291/H9291,"")</f>
        <v/>
      </c>
    </row>
    <row r="9292">
      <c r="A9292" s="4" t="inlineStr">
        <is>
          <t>298</t>
        </is>
      </c>
      <c r="B9292" s="4" t="n">
        <v>2</v>
      </c>
      <c r="C9292" s="4" t="inlineStr">
        <is>
          <t>whitetail</t>
        </is>
      </c>
      <c r="D9292" s="4" t="n">
        <v>2017</v>
      </c>
      <c r="E9292" s="13" t="inlineStr">
        <is>
          <t>General</t>
        </is>
      </c>
      <c r="F9292" s="5" t="n">
        <v>255</v>
      </c>
      <c r="G9292" s="5" t="n">
        <v>1407</v>
      </c>
      <c r="H9292" s="5" t="n">
        <v>70</v>
      </c>
      <c r="I9292" s="5" t="n">
        <v>48</v>
      </c>
      <c r="J9292" s="5" t="n">
        <v>22</v>
      </c>
      <c r="K9292" s="10">
        <f>IF(F9292&gt;0,H9292/F9292,"")</f>
        <v/>
      </c>
      <c r="L9292" s="16">
        <f>IF(AND(G9292&gt;0,H9292&gt;0),G9292/H9292,"")</f>
        <v/>
      </c>
    </row>
    <row r="9293">
      <c r="A9293" s="4" t="inlineStr">
        <is>
          <t>298</t>
        </is>
      </c>
      <c r="B9293" s="4" t="n">
        <v>2</v>
      </c>
      <c r="C9293" s="4" t="inlineStr">
        <is>
          <t>whitetail</t>
        </is>
      </c>
      <c r="D9293" s="4" t="n">
        <v>2018</v>
      </c>
      <c r="E9293" s="13" t="inlineStr">
        <is>
          <t>General</t>
        </is>
      </c>
      <c r="F9293" s="5" t="n"/>
      <c r="G9293" s="5" t="n"/>
      <c r="H9293" s="5" t="n">
        <v>29</v>
      </c>
      <c r="I9293" s="5" t="n">
        <v>25</v>
      </c>
      <c r="J9293" s="5" t="n">
        <v>3</v>
      </c>
      <c r="K9293" s="10">
        <f>IF(F9293&gt;0,H9293/F9293,"")</f>
        <v/>
      </c>
      <c r="L9293" s="16">
        <f>IF(AND(G9293&gt;0,H9293&gt;0),G9293/H9293,"")</f>
        <v/>
      </c>
    </row>
    <row r="9294">
      <c r="A9294" s="4" t="inlineStr">
        <is>
          <t>298</t>
        </is>
      </c>
      <c r="B9294" s="4" t="n">
        <v>2</v>
      </c>
      <c r="C9294" s="4" t="inlineStr">
        <is>
          <t>whitetail</t>
        </is>
      </c>
      <c r="D9294" s="4" t="n">
        <v>2019</v>
      </c>
      <c r="E9294" s="13" t="inlineStr">
        <is>
          <t>General</t>
        </is>
      </c>
      <c r="F9294" s="5" t="n">
        <v>198</v>
      </c>
      <c r="G9294" s="5" t="n">
        <v>1086</v>
      </c>
      <c r="H9294" s="5" t="n">
        <v>44</v>
      </c>
      <c r="I9294" s="5" t="n">
        <v>37</v>
      </c>
      <c r="J9294" s="5" t="n">
        <v>6</v>
      </c>
      <c r="K9294" s="10">
        <f>IF(F9294&gt;0,H9294/F9294,"")</f>
        <v/>
      </c>
      <c r="L9294" s="16">
        <f>IF(AND(G9294&gt;0,H9294&gt;0),G9294/H9294,"")</f>
        <v/>
      </c>
    </row>
    <row r="9295">
      <c r="A9295" s="4" t="inlineStr">
        <is>
          <t>298</t>
        </is>
      </c>
      <c r="B9295" s="4" t="n">
        <v>2</v>
      </c>
      <c r="C9295" s="4" t="inlineStr">
        <is>
          <t>whitetail</t>
        </is>
      </c>
      <c r="D9295" s="4" t="n">
        <v>2020</v>
      </c>
      <c r="E9295" s="13" t="inlineStr">
        <is>
          <t>General</t>
        </is>
      </c>
      <c r="F9295" s="5" t="n"/>
      <c r="G9295" s="5" t="n"/>
      <c r="H9295" s="5" t="n">
        <v>71</v>
      </c>
      <c r="I9295" s="5" t="n">
        <v>57</v>
      </c>
      <c r="J9295" s="5" t="n">
        <v>14</v>
      </c>
      <c r="K9295" s="10">
        <f>IF(F9295&gt;0,H9295/F9295,"")</f>
        <v/>
      </c>
      <c r="L9295" s="16">
        <f>IF(AND(G9295&gt;0,H9295&gt;0),G9295/H9295,"")</f>
        <v/>
      </c>
    </row>
    <row r="9296">
      <c r="A9296" s="4" t="inlineStr">
        <is>
          <t>298</t>
        </is>
      </c>
      <c r="B9296" s="4" t="n">
        <v>2</v>
      </c>
      <c r="C9296" s="4" t="inlineStr">
        <is>
          <t>whitetail</t>
        </is>
      </c>
      <c r="D9296" s="4" t="n">
        <v>2021</v>
      </c>
      <c r="E9296" s="13" t="inlineStr">
        <is>
          <t>General</t>
        </is>
      </c>
      <c r="F9296" s="5" t="n">
        <v>177</v>
      </c>
      <c r="G9296" s="5" t="n">
        <v>1077</v>
      </c>
      <c r="H9296" s="5" t="n">
        <v>40</v>
      </c>
      <c r="I9296" s="5" t="n">
        <v>32</v>
      </c>
      <c r="J9296" s="5" t="n">
        <v>8</v>
      </c>
      <c r="K9296" s="10">
        <f>IF(F9296&gt;0,H9296/F9296,"")</f>
        <v/>
      </c>
      <c r="L9296" s="16">
        <f>IF(AND(G9296&gt;0,H9296&gt;0),G9296/H9296,"")</f>
        <v/>
      </c>
    </row>
    <row r="9297">
      <c r="A9297" s="4" t="inlineStr">
        <is>
          <t>298</t>
        </is>
      </c>
      <c r="B9297" s="4" t="n">
        <v>2</v>
      </c>
      <c r="C9297" s="4" t="inlineStr">
        <is>
          <t>whitetail</t>
        </is>
      </c>
      <c r="D9297" s="4" t="n">
        <v>2022</v>
      </c>
      <c r="E9297" s="13" t="inlineStr">
        <is>
          <t>General</t>
        </is>
      </c>
      <c r="F9297" s="5" t="n"/>
      <c r="G9297" s="5" t="n"/>
      <c r="H9297" s="5" t="n">
        <v>38</v>
      </c>
      <c r="I9297" s="5" t="n">
        <v>15</v>
      </c>
      <c r="J9297" s="5" t="n">
        <v>20</v>
      </c>
      <c r="K9297" s="10">
        <f>IF(F9297&gt;0,H9297/F9297,"")</f>
        <v/>
      </c>
      <c r="L9297" s="16">
        <f>IF(AND(G9297&gt;0,H9297&gt;0),G9297/H9297,"")</f>
        <v/>
      </c>
    </row>
    <row r="9298">
      <c r="A9298" s="4" t="inlineStr">
        <is>
          <t>298</t>
        </is>
      </c>
      <c r="B9298" s="4" t="n">
        <v>2</v>
      </c>
      <c r="C9298" s="4" t="inlineStr">
        <is>
          <t>whitetail</t>
        </is>
      </c>
      <c r="D9298" s="4" t="n">
        <v>2023</v>
      </c>
      <c r="E9298" s="13" t="inlineStr">
        <is>
          <t>General</t>
        </is>
      </c>
      <c r="F9298" s="5" t="n">
        <v>217</v>
      </c>
      <c r="G9298" s="5" t="n">
        <v>1243</v>
      </c>
      <c r="H9298" s="5" t="n">
        <v>38</v>
      </c>
      <c r="I9298" s="5" t="n">
        <v>31</v>
      </c>
      <c r="J9298" s="5" t="n">
        <v>7</v>
      </c>
      <c r="K9298" s="10">
        <f>IF(F9298&gt;0,H9298/F9298,"")</f>
        <v/>
      </c>
      <c r="L9298" s="16">
        <f>IF(AND(G9298&gt;0,H9298&gt;0),G9298/H9298,"")</f>
        <v/>
      </c>
    </row>
    <row r="9299">
      <c r="A9299" s="4" t="inlineStr">
        <is>
          <t>298</t>
        </is>
      </c>
      <c r="B9299" s="4" t="n">
        <v>2</v>
      </c>
      <c r="C9299" s="4" t="inlineStr">
        <is>
          <t>whitetail</t>
        </is>
      </c>
      <c r="D9299" s="4" t="n">
        <v>2024</v>
      </c>
      <c r="E9299" s="13" t="inlineStr">
        <is>
          <t>General</t>
        </is>
      </c>
      <c r="F9299" s="5" t="n"/>
      <c r="G9299" s="5" t="n"/>
      <c r="H9299" s="5" t="n">
        <v>34</v>
      </c>
      <c r="I9299" s="5" t="n">
        <v>31</v>
      </c>
      <c r="J9299" s="5" t="n">
        <v>3</v>
      </c>
      <c r="K9299" s="10">
        <f>IF(F9299&gt;0,H9299/F9299,"")</f>
        <v/>
      </c>
      <c r="L9299" s="16">
        <f>IF(AND(G9299&gt;0,H9299&gt;0),G9299/H9299,"")</f>
        <v/>
      </c>
    </row>
    <row r="9300">
      <c r="A9300" s="4" t="inlineStr">
        <is>
          <t>298</t>
        </is>
      </c>
      <c r="B9300" s="4" t="n">
        <v>2</v>
      </c>
      <c r="C9300" s="4" t="inlineStr">
        <is>
          <t>whitetail</t>
        </is>
      </c>
      <c r="D9300" s="4" t="n">
        <v>2025</v>
      </c>
      <c r="E9300" s="13" t="inlineStr">
        <is>
          <t>General</t>
        </is>
      </c>
      <c r="F9300" s="5" t="n">
        <v>286</v>
      </c>
      <c r="G9300" s="5" t="n">
        <v>1663</v>
      </c>
      <c r="H9300" s="5" t="n">
        <v>66</v>
      </c>
      <c r="I9300" s="5" t="n">
        <v>63</v>
      </c>
      <c r="J9300" s="5" t="n">
        <v>4</v>
      </c>
      <c r="K9300" s="10">
        <f>IF(F9300&gt;0,H9300/F9300,"")</f>
        <v/>
      </c>
      <c r="L9300" s="16">
        <f>IF(AND(G9300&gt;0,H9300&gt;0),G9300/H9300,"")</f>
        <v/>
      </c>
    </row>
    <row r="9301">
      <c r="A9301" s="4" t="inlineStr">
        <is>
          <t>300</t>
        </is>
      </c>
      <c r="B9301" s="4" t="n">
        <v>3</v>
      </c>
      <c r="C9301" s="4" t="inlineStr">
        <is>
          <t>whitetail</t>
        </is>
      </c>
      <c r="D9301" s="4" t="n">
        <v>2004</v>
      </c>
      <c r="E9301" s="4" t="inlineStr"/>
      <c r="F9301" s="5" t="n">
        <v>299</v>
      </c>
      <c r="G9301" s="5" t="n">
        <v>1423</v>
      </c>
      <c r="H9301" s="5" t="n">
        <v>24</v>
      </c>
      <c r="I9301" s="5" t="n">
        <v>7</v>
      </c>
      <c r="J9301" s="5" t="n">
        <v>15</v>
      </c>
      <c r="K9301" s="10">
        <f>IF(F9301&gt;0,H9301/F9301,"")</f>
        <v/>
      </c>
      <c r="L9301" s="16">
        <f>IF(AND(G9301&gt;0,H9301&gt;0),G9301/H9301,"")</f>
        <v/>
      </c>
    </row>
    <row r="9302">
      <c r="A9302" s="4" t="inlineStr">
        <is>
          <t>300</t>
        </is>
      </c>
      <c r="B9302" s="4" t="n">
        <v>3</v>
      </c>
      <c r="C9302" s="4" t="inlineStr">
        <is>
          <t>whitetail</t>
        </is>
      </c>
      <c r="D9302" s="4" t="n">
        <v>2005</v>
      </c>
      <c r="E9302" s="4" t="inlineStr"/>
      <c r="F9302" s="5" t="n">
        <v>358</v>
      </c>
      <c r="G9302" s="5" t="n">
        <v>2235</v>
      </c>
      <c r="H9302" s="5" t="n">
        <v>34</v>
      </c>
      <c r="I9302" s="5" t="n">
        <v>19</v>
      </c>
      <c r="J9302" s="5" t="n">
        <v>16</v>
      </c>
      <c r="K9302" s="10">
        <f>IF(F9302&gt;0,H9302/F9302,"")</f>
        <v/>
      </c>
      <c r="L9302" s="16">
        <f>IF(AND(G9302&gt;0,H9302&gt;0),G9302/H9302,"")</f>
        <v/>
      </c>
    </row>
    <row r="9303">
      <c r="A9303" s="4" t="inlineStr">
        <is>
          <t>300</t>
        </is>
      </c>
      <c r="B9303" s="4" t="n">
        <v>3</v>
      </c>
      <c r="C9303" s="4" t="inlineStr">
        <is>
          <t>whitetail</t>
        </is>
      </c>
      <c r="D9303" s="4" t="n">
        <v>2006</v>
      </c>
      <c r="E9303" s="4" t="inlineStr"/>
      <c r="F9303" s="5" t="n">
        <v>318</v>
      </c>
      <c r="G9303" s="5" t="n">
        <v>1831</v>
      </c>
      <c r="H9303" s="5" t="n">
        <v>46</v>
      </c>
      <c r="I9303" s="5" t="n">
        <v>26</v>
      </c>
      <c r="J9303" s="5" t="n">
        <v>20</v>
      </c>
      <c r="K9303" s="10">
        <f>IF(F9303&gt;0,H9303/F9303,"")</f>
        <v/>
      </c>
      <c r="L9303" s="16">
        <f>IF(AND(G9303&gt;0,H9303&gt;0),G9303/H9303,"")</f>
        <v/>
      </c>
    </row>
    <row r="9304">
      <c r="A9304" s="4" t="inlineStr">
        <is>
          <t>300</t>
        </is>
      </c>
      <c r="B9304" s="4" t="n">
        <v>3</v>
      </c>
      <c r="C9304" s="4" t="inlineStr">
        <is>
          <t>whitetail</t>
        </is>
      </c>
      <c r="D9304" s="4" t="n">
        <v>2007</v>
      </c>
      <c r="E9304" s="4" t="inlineStr"/>
      <c r="F9304" s="5" t="n">
        <v>418</v>
      </c>
      <c r="G9304" s="5" t="n">
        <v>2243</v>
      </c>
      <c r="H9304" s="5" t="n">
        <v>67</v>
      </c>
      <c r="I9304" s="5" t="n">
        <v>32</v>
      </c>
      <c r="J9304" s="5" t="n">
        <v>35</v>
      </c>
      <c r="K9304" s="10">
        <f>IF(F9304&gt;0,H9304/F9304,"")</f>
        <v/>
      </c>
      <c r="L9304" s="16">
        <f>IF(AND(G9304&gt;0,H9304&gt;0),G9304/H9304,"")</f>
        <v/>
      </c>
    </row>
    <row r="9305">
      <c r="A9305" s="4" t="inlineStr">
        <is>
          <t>300</t>
        </is>
      </c>
      <c r="B9305" s="4" t="n">
        <v>3</v>
      </c>
      <c r="C9305" s="4" t="inlineStr">
        <is>
          <t>whitetail</t>
        </is>
      </c>
      <c r="D9305" s="4" t="n">
        <v>2008</v>
      </c>
      <c r="E9305" s="4" t="inlineStr"/>
      <c r="F9305" s="5" t="n">
        <v>565</v>
      </c>
      <c r="G9305" s="5" t="n">
        <v>3358</v>
      </c>
      <c r="H9305" s="5" t="n">
        <v>68</v>
      </c>
      <c r="I9305" s="5" t="n">
        <v>30</v>
      </c>
      <c r="J9305" s="5" t="n">
        <v>38</v>
      </c>
      <c r="K9305" s="10">
        <f>IF(F9305&gt;0,H9305/F9305,"")</f>
        <v/>
      </c>
      <c r="L9305" s="16">
        <f>IF(AND(G9305&gt;0,H9305&gt;0),G9305/H9305,"")</f>
        <v/>
      </c>
    </row>
    <row r="9306">
      <c r="A9306" s="4" t="inlineStr">
        <is>
          <t>300</t>
        </is>
      </c>
      <c r="B9306" s="4" t="n">
        <v>3</v>
      </c>
      <c r="C9306" s="4" t="inlineStr">
        <is>
          <t>whitetail</t>
        </is>
      </c>
      <c r="D9306" s="4" t="n">
        <v>2009</v>
      </c>
      <c r="E9306" s="4" t="inlineStr"/>
      <c r="F9306" s="5" t="n">
        <v>467</v>
      </c>
      <c r="G9306" s="5" t="n">
        <v>3147</v>
      </c>
      <c r="H9306" s="5" t="n">
        <v>70</v>
      </c>
      <c r="I9306" s="5" t="n">
        <v>27</v>
      </c>
      <c r="J9306" s="5" t="n">
        <v>39</v>
      </c>
      <c r="K9306" s="10">
        <f>IF(F9306&gt;0,H9306/F9306,"")</f>
        <v/>
      </c>
      <c r="L9306" s="16">
        <f>IF(AND(G9306&gt;0,H9306&gt;0),G9306/H9306,"")</f>
        <v/>
      </c>
    </row>
    <row r="9307">
      <c r="A9307" s="4" t="inlineStr">
        <is>
          <t>300</t>
        </is>
      </c>
      <c r="B9307" s="4" t="n">
        <v>3</v>
      </c>
      <c r="C9307" s="4" t="inlineStr">
        <is>
          <t>whitetail</t>
        </is>
      </c>
      <c r="D9307" s="4" t="n">
        <v>2010</v>
      </c>
      <c r="E9307" s="4" t="inlineStr"/>
      <c r="F9307" s="5" t="n">
        <v>417</v>
      </c>
      <c r="G9307" s="5" t="n">
        <v>2532</v>
      </c>
      <c r="H9307" s="5" t="n">
        <v>60</v>
      </c>
      <c r="I9307" s="5" t="n">
        <v>34</v>
      </c>
      <c r="J9307" s="5" t="n">
        <v>26</v>
      </c>
      <c r="K9307" s="10">
        <f>IF(F9307&gt;0,H9307/F9307,"")</f>
        <v/>
      </c>
      <c r="L9307" s="16">
        <f>IF(AND(G9307&gt;0,H9307&gt;0),G9307/H9307,"")</f>
        <v/>
      </c>
    </row>
    <row r="9308">
      <c r="A9308" s="4" t="inlineStr">
        <is>
          <t>300</t>
        </is>
      </c>
      <c r="B9308" s="4" t="n">
        <v>3</v>
      </c>
      <c r="C9308" s="4" t="inlineStr">
        <is>
          <t>whitetail</t>
        </is>
      </c>
      <c r="D9308" s="4" t="n">
        <v>2011</v>
      </c>
      <c r="E9308" s="4" t="inlineStr"/>
      <c r="F9308" s="5" t="n">
        <v>407</v>
      </c>
      <c r="G9308" s="5" t="n">
        <v>2446</v>
      </c>
      <c r="H9308" s="5" t="n">
        <v>42</v>
      </c>
      <c r="I9308" s="5" t="n">
        <v>11</v>
      </c>
      <c r="J9308" s="5" t="n">
        <v>31</v>
      </c>
      <c r="K9308" s="10">
        <f>IF(F9308&gt;0,H9308/F9308,"")</f>
        <v/>
      </c>
      <c r="L9308" s="16">
        <f>IF(AND(G9308&gt;0,H9308&gt;0),G9308/H9308,"")</f>
        <v/>
      </c>
    </row>
    <row r="9309">
      <c r="A9309" s="4" t="inlineStr">
        <is>
          <t>300</t>
        </is>
      </c>
      <c r="B9309" s="4" t="n">
        <v>3</v>
      </c>
      <c r="C9309" s="4" t="inlineStr">
        <is>
          <t>whitetail</t>
        </is>
      </c>
      <c r="D9309" s="4" t="n">
        <v>2012</v>
      </c>
      <c r="E9309" s="4" t="inlineStr"/>
      <c r="F9309" s="5" t="n"/>
      <c r="G9309" s="5" t="n"/>
      <c r="H9309" s="5" t="n">
        <v>27</v>
      </c>
      <c r="I9309" s="5" t="n">
        <v>14</v>
      </c>
      <c r="J9309" s="5" t="n">
        <v>10</v>
      </c>
      <c r="K9309" s="10">
        <f>IF(F9309&gt;0,H9309/F9309,"")</f>
        <v/>
      </c>
      <c r="L9309" s="16">
        <f>IF(AND(G9309&gt;0,H9309&gt;0),G9309/H9309,"")</f>
        <v/>
      </c>
    </row>
    <row r="9310">
      <c r="A9310" s="4" t="inlineStr">
        <is>
          <t>300</t>
        </is>
      </c>
      <c r="B9310" s="4" t="n">
        <v>3</v>
      </c>
      <c r="C9310" s="4" t="inlineStr">
        <is>
          <t>whitetail</t>
        </is>
      </c>
      <c r="D9310" s="4" t="n">
        <v>2013</v>
      </c>
      <c r="E9310" s="4" t="inlineStr"/>
      <c r="F9310" s="5" t="n">
        <v>336</v>
      </c>
      <c r="G9310" s="5" t="n">
        <v>1897</v>
      </c>
      <c r="H9310" s="5" t="n">
        <v>45</v>
      </c>
      <c r="I9310" s="5" t="n">
        <v>17</v>
      </c>
      <c r="J9310" s="5" t="n">
        <v>28</v>
      </c>
      <c r="K9310" s="10">
        <f>IF(F9310&gt;0,H9310/F9310,"")</f>
        <v/>
      </c>
      <c r="L9310" s="16">
        <f>IF(AND(G9310&gt;0,H9310&gt;0),G9310/H9310,"")</f>
        <v/>
      </c>
    </row>
    <row r="9311">
      <c r="A9311" s="4" t="inlineStr">
        <is>
          <t>300</t>
        </is>
      </c>
      <c r="B9311" s="4" t="n">
        <v>3</v>
      </c>
      <c r="C9311" s="4" t="inlineStr">
        <is>
          <t>whitetail</t>
        </is>
      </c>
      <c r="D9311" s="4" t="n">
        <v>2014</v>
      </c>
      <c r="E9311" s="4" t="inlineStr"/>
      <c r="F9311" s="5" t="n"/>
      <c r="G9311" s="5" t="n"/>
      <c r="H9311" s="5" t="n">
        <v>29</v>
      </c>
      <c r="I9311" s="5" t="n">
        <v>17</v>
      </c>
      <c r="J9311" s="5" t="n">
        <v>12</v>
      </c>
      <c r="K9311" s="10">
        <f>IF(F9311&gt;0,H9311/F9311,"")</f>
        <v/>
      </c>
      <c r="L9311" s="16">
        <f>IF(AND(G9311&gt;0,H9311&gt;0),G9311/H9311,"")</f>
        <v/>
      </c>
    </row>
    <row r="9312">
      <c r="A9312" s="4" t="inlineStr">
        <is>
          <t>300</t>
        </is>
      </c>
      <c r="B9312" s="4" t="n">
        <v>3</v>
      </c>
      <c r="C9312" s="4" t="inlineStr">
        <is>
          <t>whitetail</t>
        </is>
      </c>
      <c r="D9312" s="4" t="n">
        <v>2015</v>
      </c>
      <c r="E9312" s="4" t="inlineStr"/>
      <c r="F9312" s="5" t="n"/>
      <c r="G9312" s="5" t="n"/>
      <c r="H9312" s="5" t="n">
        <v>56</v>
      </c>
      <c r="I9312" s="5" t="n">
        <v>23</v>
      </c>
      <c r="J9312" s="5" t="n">
        <v>33</v>
      </c>
      <c r="K9312" s="10">
        <f>IF(F9312&gt;0,H9312/F9312,"")</f>
        <v/>
      </c>
      <c r="L9312" s="16">
        <f>IF(AND(G9312&gt;0,H9312&gt;0),G9312/H9312,"")</f>
        <v/>
      </c>
    </row>
    <row r="9313">
      <c r="A9313" s="4" t="inlineStr">
        <is>
          <t>300</t>
        </is>
      </c>
      <c r="B9313" s="4" t="n">
        <v>3</v>
      </c>
      <c r="C9313" s="4" t="inlineStr">
        <is>
          <t>whitetail</t>
        </is>
      </c>
      <c r="D9313" s="4" t="n">
        <v>2016</v>
      </c>
      <c r="E9313" s="4" t="inlineStr"/>
      <c r="F9313" s="5" t="n"/>
      <c r="G9313" s="5" t="n"/>
      <c r="H9313" s="5" t="n">
        <v>68</v>
      </c>
      <c r="I9313" s="5" t="n">
        <v>37</v>
      </c>
      <c r="J9313" s="5" t="n">
        <v>31</v>
      </c>
      <c r="K9313" s="10">
        <f>IF(F9313&gt;0,H9313/F9313,"")</f>
        <v/>
      </c>
      <c r="L9313" s="16">
        <f>IF(AND(G9313&gt;0,H9313&gt;0),G9313/H9313,"")</f>
        <v/>
      </c>
    </row>
    <row r="9314">
      <c r="A9314" s="4" t="inlineStr">
        <is>
          <t>300</t>
        </is>
      </c>
      <c r="B9314" s="4" t="n">
        <v>3</v>
      </c>
      <c r="C9314" s="4" t="inlineStr">
        <is>
          <t>whitetail</t>
        </is>
      </c>
      <c r="D9314" s="4" t="n">
        <v>2017</v>
      </c>
      <c r="E9314" s="4" t="inlineStr"/>
      <c r="F9314" s="5" t="n">
        <v>507</v>
      </c>
      <c r="G9314" s="5" t="n">
        <v>3166</v>
      </c>
      <c r="H9314" s="5" t="n">
        <v>118</v>
      </c>
      <c r="I9314" s="5" t="n">
        <v>30</v>
      </c>
      <c r="J9314" s="5" t="n">
        <v>82</v>
      </c>
      <c r="K9314" s="10">
        <f>IF(F9314&gt;0,H9314/F9314,"")</f>
        <v/>
      </c>
      <c r="L9314" s="16">
        <f>IF(AND(G9314&gt;0,H9314&gt;0),G9314/H9314,"")</f>
        <v/>
      </c>
    </row>
    <row r="9315">
      <c r="A9315" s="4" t="inlineStr">
        <is>
          <t>300</t>
        </is>
      </c>
      <c r="B9315" s="4" t="n">
        <v>3</v>
      </c>
      <c r="C9315" s="4" t="inlineStr">
        <is>
          <t>whitetail</t>
        </is>
      </c>
      <c r="D9315" s="4" t="n">
        <v>2018</v>
      </c>
      <c r="E9315" s="4" t="inlineStr"/>
      <c r="F9315" s="5" t="n"/>
      <c r="G9315" s="5" t="n"/>
      <c r="H9315" s="5" t="n">
        <v>51</v>
      </c>
      <c r="I9315" s="5" t="n">
        <v>18</v>
      </c>
      <c r="J9315" s="5" t="n">
        <v>33</v>
      </c>
      <c r="K9315" s="10">
        <f>IF(F9315&gt;0,H9315/F9315,"")</f>
        <v/>
      </c>
      <c r="L9315" s="16">
        <f>IF(AND(G9315&gt;0,H9315&gt;0),G9315/H9315,"")</f>
        <v/>
      </c>
    </row>
    <row r="9316">
      <c r="A9316" s="4" t="inlineStr">
        <is>
          <t>300</t>
        </is>
      </c>
      <c r="B9316" s="4" t="n">
        <v>3</v>
      </c>
      <c r="C9316" s="4" t="inlineStr">
        <is>
          <t>whitetail</t>
        </is>
      </c>
      <c r="D9316" s="4" t="n">
        <v>2019</v>
      </c>
      <c r="E9316" s="4" t="inlineStr"/>
      <c r="F9316" s="5" t="n">
        <v>484</v>
      </c>
      <c r="G9316" s="5" t="n">
        <v>2927</v>
      </c>
      <c r="H9316" s="5" t="n">
        <v>49</v>
      </c>
      <c r="I9316" s="5" t="n">
        <v>27</v>
      </c>
      <c r="J9316" s="5" t="n">
        <v>22</v>
      </c>
      <c r="K9316" s="10">
        <f>IF(F9316&gt;0,H9316/F9316,"")</f>
        <v/>
      </c>
      <c r="L9316" s="16">
        <f>IF(AND(G9316&gt;0,H9316&gt;0),G9316/H9316,"")</f>
        <v/>
      </c>
    </row>
    <row r="9317">
      <c r="A9317" s="4" t="inlineStr">
        <is>
          <t>300</t>
        </is>
      </c>
      <c r="B9317" s="4" t="n">
        <v>3</v>
      </c>
      <c r="C9317" s="4" t="inlineStr">
        <is>
          <t>whitetail</t>
        </is>
      </c>
      <c r="D9317" s="4" t="n">
        <v>2020</v>
      </c>
      <c r="E9317" s="4" t="inlineStr"/>
      <c r="F9317" s="5" t="n"/>
      <c r="G9317" s="5" t="n"/>
      <c r="H9317" s="5" t="n">
        <v>155</v>
      </c>
      <c r="I9317" s="5" t="n">
        <v>63</v>
      </c>
      <c r="J9317" s="5" t="n">
        <v>92</v>
      </c>
      <c r="K9317" s="10">
        <f>IF(F9317&gt;0,H9317/F9317,"")</f>
        <v/>
      </c>
      <c r="L9317" s="16">
        <f>IF(AND(G9317&gt;0,H9317&gt;0),G9317/H9317,"")</f>
        <v/>
      </c>
    </row>
    <row r="9318">
      <c r="A9318" s="4" t="inlineStr">
        <is>
          <t>300</t>
        </is>
      </c>
      <c r="B9318" s="4" t="n">
        <v>3</v>
      </c>
      <c r="C9318" s="4" t="inlineStr">
        <is>
          <t>whitetail</t>
        </is>
      </c>
      <c r="D9318" s="4" t="n">
        <v>2021</v>
      </c>
      <c r="E9318" s="4" t="inlineStr"/>
      <c r="F9318" s="5" t="n">
        <v>653</v>
      </c>
      <c r="G9318" s="5" t="n">
        <v>4641</v>
      </c>
      <c r="H9318" s="5" t="n">
        <v>46</v>
      </c>
      <c r="I9318" s="5" t="n">
        <v>31</v>
      </c>
      <c r="J9318" s="5" t="n">
        <v>15</v>
      </c>
      <c r="K9318" s="10">
        <f>IF(F9318&gt;0,H9318/F9318,"")</f>
        <v/>
      </c>
      <c r="L9318" s="16">
        <f>IF(AND(G9318&gt;0,H9318&gt;0),G9318/H9318,"")</f>
        <v/>
      </c>
    </row>
    <row r="9319">
      <c r="A9319" s="4" t="inlineStr">
        <is>
          <t>301</t>
        </is>
      </c>
      <c r="B9319" s="4" t="n">
        <v>3</v>
      </c>
      <c r="C9319" s="4" t="inlineStr">
        <is>
          <t>whitetail</t>
        </is>
      </c>
      <c r="D9319" s="4" t="n">
        <v>2004</v>
      </c>
      <c r="E9319" s="13" t="inlineStr">
        <is>
          <t>General</t>
        </is>
      </c>
      <c r="F9319" s="5" t="n">
        <v>1052</v>
      </c>
      <c r="G9319" s="5" t="n">
        <v>5383</v>
      </c>
      <c r="H9319" s="5" t="n">
        <v>337</v>
      </c>
      <c r="I9319" s="5" t="n">
        <v>179</v>
      </c>
      <c r="J9319" s="5" t="n">
        <v>153</v>
      </c>
      <c r="K9319" s="10">
        <f>IF(F9319&gt;0,H9319/F9319,"")</f>
        <v/>
      </c>
      <c r="L9319" s="16">
        <f>IF(AND(G9319&gt;0,H9319&gt;0),G9319/H9319,"")</f>
        <v/>
      </c>
    </row>
    <row r="9320">
      <c r="A9320" s="4" t="inlineStr">
        <is>
          <t>301</t>
        </is>
      </c>
      <c r="B9320" s="4" t="n">
        <v>3</v>
      </c>
      <c r="C9320" s="4" t="inlineStr">
        <is>
          <t>whitetail</t>
        </is>
      </c>
      <c r="D9320" s="4" t="n">
        <v>2005</v>
      </c>
      <c r="E9320" s="13" t="inlineStr">
        <is>
          <t>General</t>
        </is>
      </c>
      <c r="F9320" s="5" t="n">
        <v>765</v>
      </c>
      <c r="G9320" s="5" t="n">
        <v>4143</v>
      </c>
      <c r="H9320" s="5" t="n">
        <v>217</v>
      </c>
      <c r="I9320" s="5" t="n">
        <v>115</v>
      </c>
      <c r="J9320" s="5" t="n">
        <v>98</v>
      </c>
      <c r="K9320" s="10">
        <f>IF(F9320&gt;0,H9320/F9320,"")</f>
        <v/>
      </c>
      <c r="L9320" s="16">
        <f>IF(AND(G9320&gt;0,H9320&gt;0),G9320/H9320,"")</f>
        <v/>
      </c>
    </row>
    <row r="9321">
      <c r="A9321" s="4" t="inlineStr">
        <is>
          <t>301</t>
        </is>
      </c>
      <c r="B9321" s="4" t="n">
        <v>3</v>
      </c>
      <c r="C9321" s="4" t="inlineStr">
        <is>
          <t>whitetail</t>
        </is>
      </c>
      <c r="D9321" s="4" t="n">
        <v>2006</v>
      </c>
      <c r="E9321" s="13" t="inlineStr">
        <is>
          <t>General</t>
        </is>
      </c>
      <c r="F9321" s="5" t="n">
        <v>668</v>
      </c>
      <c r="G9321" s="5" t="n">
        <v>3946</v>
      </c>
      <c r="H9321" s="5" t="n">
        <v>130</v>
      </c>
      <c r="I9321" s="5" t="n">
        <v>71</v>
      </c>
      <c r="J9321" s="5" t="n">
        <v>59</v>
      </c>
      <c r="K9321" s="10">
        <f>IF(F9321&gt;0,H9321/F9321,"")</f>
        <v/>
      </c>
      <c r="L9321" s="16">
        <f>IF(AND(G9321&gt;0,H9321&gt;0),G9321/H9321,"")</f>
        <v/>
      </c>
    </row>
    <row r="9322">
      <c r="A9322" s="4" t="inlineStr">
        <is>
          <t>301</t>
        </is>
      </c>
      <c r="B9322" s="4" t="n">
        <v>3</v>
      </c>
      <c r="C9322" s="4" t="inlineStr">
        <is>
          <t>whitetail</t>
        </is>
      </c>
      <c r="D9322" s="4" t="n">
        <v>2007</v>
      </c>
      <c r="E9322" s="13" t="inlineStr">
        <is>
          <t>General</t>
        </is>
      </c>
      <c r="F9322" s="5" t="n">
        <v>781</v>
      </c>
      <c r="G9322" s="5" t="n">
        <v>4874</v>
      </c>
      <c r="H9322" s="5" t="n">
        <v>159</v>
      </c>
      <c r="I9322" s="5" t="n">
        <v>84</v>
      </c>
      <c r="J9322" s="5" t="n">
        <v>75</v>
      </c>
      <c r="K9322" s="10">
        <f>IF(F9322&gt;0,H9322/F9322,"")</f>
        <v/>
      </c>
      <c r="L9322" s="16">
        <f>IF(AND(G9322&gt;0,H9322&gt;0),G9322/H9322,"")</f>
        <v/>
      </c>
    </row>
    <row r="9323">
      <c r="A9323" s="4" t="inlineStr">
        <is>
          <t>301</t>
        </is>
      </c>
      <c r="B9323" s="4" t="n">
        <v>3</v>
      </c>
      <c r="C9323" s="4" t="inlineStr">
        <is>
          <t>whitetail</t>
        </is>
      </c>
      <c r="D9323" s="4" t="n">
        <v>2008</v>
      </c>
      <c r="E9323" s="13" t="inlineStr">
        <is>
          <t>General</t>
        </is>
      </c>
      <c r="F9323" s="5" t="n">
        <v>758</v>
      </c>
      <c r="G9323" s="5" t="n">
        <v>4571</v>
      </c>
      <c r="H9323" s="5" t="n">
        <v>137</v>
      </c>
      <c r="I9323" s="5" t="n">
        <v>87</v>
      </c>
      <c r="J9323" s="5" t="n">
        <v>50</v>
      </c>
      <c r="K9323" s="10">
        <f>IF(F9323&gt;0,H9323/F9323,"")</f>
        <v/>
      </c>
      <c r="L9323" s="16">
        <f>IF(AND(G9323&gt;0,H9323&gt;0),G9323/H9323,"")</f>
        <v/>
      </c>
    </row>
    <row r="9324">
      <c r="A9324" s="4" t="inlineStr">
        <is>
          <t>301</t>
        </is>
      </c>
      <c r="B9324" s="4" t="n">
        <v>3</v>
      </c>
      <c r="C9324" s="4" t="inlineStr">
        <is>
          <t>whitetail</t>
        </is>
      </c>
      <c r="D9324" s="4" t="n">
        <v>2009</v>
      </c>
      <c r="E9324" s="13" t="inlineStr">
        <is>
          <t>General</t>
        </is>
      </c>
      <c r="F9324" s="5" t="n">
        <v>751</v>
      </c>
      <c r="G9324" s="5" t="n">
        <v>4542</v>
      </c>
      <c r="H9324" s="5" t="n">
        <v>133</v>
      </c>
      <c r="I9324" s="5" t="n">
        <v>45</v>
      </c>
      <c r="J9324" s="5" t="n">
        <v>83</v>
      </c>
      <c r="K9324" s="10">
        <f>IF(F9324&gt;0,H9324/F9324,"")</f>
        <v/>
      </c>
      <c r="L9324" s="16">
        <f>IF(AND(G9324&gt;0,H9324&gt;0),G9324/H9324,"")</f>
        <v/>
      </c>
    </row>
    <row r="9325">
      <c r="A9325" s="4" t="inlineStr">
        <is>
          <t>301</t>
        </is>
      </c>
      <c r="B9325" s="4" t="n">
        <v>3</v>
      </c>
      <c r="C9325" s="4" t="inlineStr">
        <is>
          <t>whitetail</t>
        </is>
      </c>
      <c r="D9325" s="4" t="n">
        <v>2010</v>
      </c>
      <c r="E9325" s="13" t="inlineStr">
        <is>
          <t>General</t>
        </is>
      </c>
      <c r="F9325" s="5" t="n">
        <v>875</v>
      </c>
      <c r="G9325" s="5" t="n">
        <v>5564</v>
      </c>
      <c r="H9325" s="5" t="n">
        <v>111</v>
      </c>
      <c r="I9325" s="5" t="n">
        <v>56</v>
      </c>
      <c r="J9325" s="5" t="n">
        <v>51</v>
      </c>
      <c r="K9325" s="10">
        <f>IF(F9325&gt;0,H9325/F9325,"")</f>
        <v/>
      </c>
      <c r="L9325" s="16">
        <f>IF(AND(G9325&gt;0,H9325&gt;0),G9325/H9325,"")</f>
        <v/>
      </c>
    </row>
    <row r="9326">
      <c r="A9326" s="4" t="inlineStr">
        <is>
          <t>301</t>
        </is>
      </c>
      <c r="B9326" s="4" t="n">
        <v>3</v>
      </c>
      <c r="C9326" s="4" t="inlineStr">
        <is>
          <t>whitetail</t>
        </is>
      </c>
      <c r="D9326" s="4" t="n">
        <v>2011</v>
      </c>
      <c r="E9326" s="13" t="inlineStr">
        <is>
          <t>General</t>
        </is>
      </c>
      <c r="F9326" s="5" t="n">
        <v>831</v>
      </c>
      <c r="G9326" s="5" t="n">
        <v>4731</v>
      </c>
      <c r="H9326" s="5" t="n">
        <v>109</v>
      </c>
      <c r="I9326" s="5" t="n">
        <v>55</v>
      </c>
      <c r="J9326" s="5" t="n">
        <v>53</v>
      </c>
      <c r="K9326" s="10">
        <f>IF(F9326&gt;0,H9326/F9326,"")</f>
        <v/>
      </c>
      <c r="L9326" s="16">
        <f>IF(AND(G9326&gt;0,H9326&gt;0),G9326/H9326,"")</f>
        <v/>
      </c>
    </row>
    <row r="9327">
      <c r="A9327" s="4" t="inlineStr">
        <is>
          <t>301</t>
        </is>
      </c>
      <c r="B9327" s="4" t="n">
        <v>3</v>
      </c>
      <c r="C9327" s="4" t="inlineStr">
        <is>
          <t>whitetail</t>
        </is>
      </c>
      <c r="D9327" s="4" t="n">
        <v>2012</v>
      </c>
      <c r="E9327" s="13" t="inlineStr">
        <is>
          <t>General</t>
        </is>
      </c>
      <c r="F9327" s="5" t="n"/>
      <c r="G9327" s="5" t="n"/>
      <c r="H9327" s="5" t="n">
        <v>120</v>
      </c>
      <c r="I9327" s="5" t="n">
        <v>64</v>
      </c>
      <c r="J9327" s="5" t="n">
        <v>56</v>
      </c>
      <c r="K9327" s="10">
        <f>IF(F9327&gt;0,H9327/F9327,"")</f>
        <v/>
      </c>
      <c r="L9327" s="16">
        <f>IF(AND(G9327&gt;0,H9327&gt;0),G9327/H9327,"")</f>
        <v/>
      </c>
    </row>
    <row r="9328">
      <c r="A9328" s="4" t="inlineStr">
        <is>
          <t>301</t>
        </is>
      </c>
      <c r="B9328" s="4" t="n">
        <v>3</v>
      </c>
      <c r="C9328" s="4" t="inlineStr">
        <is>
          <t>whitetail</t>
        </is>
      </c>
      <c r="D9328" s="4" t="n">
        <v>2013</v>
      </c>
      <c r="E9328" s="13" t="inlineStr">
        <is>
          <t>General</t>
        </is>
      </c>
      <c r="F9328" s="5" t="n">
        <v>1046</v>
      </c>
      <c r="G9328" s="5" t="n">
        <v>6367</v>
      </c>
      <c r="H9328" s="5" t="n">
        <v>115</v>
      </c>
      <c r="I9328" s="5" t="n">
        <v>62</v>
      </c>
      <c r="J9328" s="5" t="n">
        <v>54</v>
      </c>
      <c r="K9328" s="10">
        <f>IF(F9328&gt;0,H9328/F9328,"")</f>
        <v/>
      </c>
      <c r="L9328" s="16">
        <f>IF(AND(G9328&gt;0,H9328&gt;0),G9328/H9328,"")</f>
        <v/>
      </c>
    </row>
    <row r="9329">
      <c r="A9329" s="4" t="inlineStr">
        <is>
          <t>301</t>
        </is>
      </c>
      <c r="B9329" s="4" t="n">
        <v>3</v>
      </c>
      <c r="C9329" s="4" t="inlineStr">
        <is>
          <t>whitetail</t>
        </is>
      </c>
      <c r="D9329" s="4" t="n">
        <v>2014</v>
      </c>
      <c r="E9329" s="13" t="inlineStr">
        <is>
          <t>General</t>
        </is>
      </c>
      <c r="F9329" s="5" t="n"/>
      <c r="G9329" s="5" t="n"/>
      <c r="H9329" s="5" t="n">
        <v>107</v>
      </c>
      <c r="I9329" s="5" t="n">
        <v>74</v>
      </c>
      <c r="J9329" s="5" t="n">
        <v>34</v>
      </c>
      <c r="K9329" s="10">
        <f>IF(F9329&gt;0,H9329/F9329,"")</f>
        <v/>
      </c>
      <c r="L9329" s="16">
        <f>IF(AND(G9329&gt;0,H9329&gt;0),G9329/H9329,"")</f>
        <v/>
      </c>
    </row>
    <row r="9330">
      <c r="A9330" s="4" t="inlineStr">
        <is>
          <t>301</t>
        </is>
      </c>
      <c r="B9330" s="4" t="n">
        <v>3</v>
      </c>
      <c r="C9330" s="4" t="inlineStr">
        <is>
          <t>whitetail</t>
        </is>
      </c>
      <c r="D9330" s="4" t="n">
        <v>2015</v>
      </c>
      <c r="E9330" s="13" t="inlineStr">
        <is>
          <t>General</t>
        </is>
      </c>
      <c r="F9330" s="5" t="n"/>
      <c r="G9330" s="5" t="n"/>
      <c r="H9330" s="5" t="n">
        <v>108</v>
      </c>
      <c r="I9330" s="5" t="n">
        <v>57</v>
      </c>
      <c r="J9330" s="5" t="n">
        <v>51</v>
      </c>
      <c r="K9330" s="10">
        <f>IF(F9330&gt;0,H9330/F9330,"")</f>
        <v/>
      </c>
      <c r="L9330" s="16">
        <f>IF(AND(G9330&gt;0,H9330&gt;0),G9330/H9330,"")</f>
        <v/>
      </c>
    </row>
    <row r="9331">
      <c r="A9331" s="4" t="inlineStr">
        <is>
          <t>301</t>
        </is>
      </c>
      <c r="B9331" s="4" t="n">
        <v>3</v>
      </c>
      <c r="C9331" s="4" t="inlineStr">
        <is>
          <t>whitetail</t>
        </is>
      </c>
      <c r="D9331" s="4" t="n">
        <v>2016</v>
      </c>
      <c r="E9331" s="13" t="inlineStr">
        <is>
          <t>General</t>
        </is>
      </c>
      <c r="F9331" s="5" t="n"/>
      <c r="G9331" s="5" t="n"/>
      <c r="H9331" s="5" t="n">
        <v>176</v>
      </c>
      <c r="I9331" s="5" t="n">
        <v>107</v>
      </c>
      <c r="J9331" s="5" t="n">
        <v>69</v>
      </c>
      <c r="K9331" s="10">
        <f>IF(F9331&gt;0,H9331/F9331,"")</f>
        <v/>
      </c>
      <c r="L9331" s="16">
        <f>IF(AND(G9331&gt;0,H9331&gt;0),G9331/H9331,"")</f>
        <v/>
      </c>
    </row>
    <row r="9332">
      <c r="A9332" s="4" t="inlineStr">
        <is>
          <t>301</t>
        </is>
      </c>
      <c r="B9332" s="4" t="n">
        <v>3</v>
      </c>
      <c r="C9332" s="4" t="inlineStr">
        <is>
          <t>whitetail</t>
        </is>
      </c>
      <c r="D9332" s="4" t="n">
        <v>2017</v>
      </c>
      <c r="E9332" s="13" t="inlineStr">
        <is>
          <t>General</t>
        </is>
      </c>
      <c r="F9332" s="5" t="n">
        <v>773</v>
      </c>
      <c r="G9332" s="5" t="n">
        <v>5186</v>
      </c>
      <c r="H9332" s="5" t="n">
        <v>200</v>
      </c>
      <c r="I9332" s="5" t="n">
        <v>131</v>
      </c>
      <c r="J9332" s="5" t="n">
        <v>66</v>
      </c>
      <c r="K9332" s="10">
        <f>IF(F9332&gt;0,H9332/F9332,"")</f>
        <v/>
      </c>
      <c r="L9332" s="16">
        <f>IF(AND(G9332&gt;0,H9332&gt;0),G9332/H9332,"")</f>
        <v/>
      </c>
    </row>
    <row r="9333">
      <c r="A9333" s="4" t="inlineStr">
        <is>
          <t>301</t>
        </is>
      </c>
      <c r="B9333" s="4" t="n">
        <v>3</v>
      </c>
      <c r="C9333" s="4" t="inlineStr">
        <is>
          <t>whitetail</t>
        </is>
      </c>
      <c r="D9333" s="4" t="n">
        <v>2018</v>
      </c>
      <c r="E9333" s="13" t="inlineStr">
        <is>
          <t>General</t>
        </is>
      </c>
      <c r="F9333" s="5" t="n"/>
      <c r="G9333" s="5" t="n"/>
      <c r="H9333" s="5" t="n">
        <v>131</v>
      </c>
      <c r="I9333" s="5" t="n">
        <v>82</v>
      </c>
      <c r="J9333" s="5" t="n">
        <v>49</v>
      </c>
      <c r="K9333" s="10">
        <f>IF(F9333&gt;0,H9333/F9333,"")</f>
        <v/>
      </c>
      <c r="L9333" s="16">
        <f>IF(AND(G9333&gt;0,H9333&gt;0),G9333/H9333,"")</f>
        <v/>
      </c>
    </row>
    <row r="9334">
      <c r="A9334" s="4" t="inlineStr">
        <is>
          <t>301</t>
        </is>
      </c>
      <c r="B9334" s="4" t="n">
        <v>3</v>
      </c>
      <c r="C9334" s="4" t="inlineStr">
        <is>
          <t>whitetail</t>
        </is>
      </c>
      <c r="D9334" s="4" t="n">
        <v>2019</v>
      </c>
      <c r="E9334" s="13" t="inlineStr">
        <is>
          <t>General</t>
        </is>
      </c>
      <c r="F9334" s="5" t="n">
        <v>805</v>
      </c>
      <c r="G9334" s="5" t="n">
        <v>4696</v>
      </c>
      <c r="H9334" s="5" t="n">
        <v>119</v>
      </c>
      <c r="I9334" s="5" t="n">
        <v>81</v>
      </c>
      <c r="J9334" s="5" t="n">
        <v>38</v>
      </c>
      <c r="K9334" s="10">
        <f>IF(F9334&gt;0,H9334/F9334,"")</f>
        <v/>
      </c>
      <c r="L9334" s="16">
        <f>IF(AND(G9334&gt;0,H9334&gt;0),G9334/H9334,"")</f>
        <v/>
      </c>
    </row>
    <row r="9335">
      <c r="A9335" s="4" t="inlineStr">
        <is>
          <t>301</t>
        </is>
      </c>
      <c r="B9335" s="4" t="n">
        <v>3</v>
      </c>
      <c r="C9335" s="4" t="inlineStr">
        <is>
          <t>whitetail</t>
        </is>
      </c>
      <c r="D9335" s="4" t="n">
        <v>2020</v>
      </c>
      <c r="E9335" s="13" t="inlineStr">
        <is>
          <t>General</t>
        </is>
      </c>
      <c r="F9335" s="5" t="n"/>
      <c r="G9335" s="5" t="n"/>
      <c r="H9335" s="5" t="n">
        <v>170</v>
      </c>
      <c r="I9335" s="5" t="n">
        <v>97</v>
      </c>
      <c r="J9335" s="5" t="n">
        <v>72</v>
      </c>
      <c r="K9335" s="10">
        <f>IF(F9335&gt;0,H9335/F9335,"")</f>
        <v/>
      </c>
      <c r="L9335" s="16">
        <f>IF(AND(G9335&gt;0,H9335&gt;0),G9335/H9335,"")</f>
        <v/>
      </c>
    </row>
    <row r="9336">
      <c r="A9336" s="4" t="inlineStr">
        <is>
          <t>301</t>
        </is>
      </c>
      <c r="B9336" s="4" t="n">
        <v>3</v>
      </c>
      <c r="C9336" s="4" t="inlineStr">
        <is>
          <t>whitetail</t>
        </is>
      </c>
      <c r="D9336" s="4" t="n">
        <v>2021</v>
      </c>
      <c r="E9336" s="13" t="inlineStr">
        <is>
          <t>General</t>
        </is>
      </c>
      <c r="F9336" s="5" t="n">
        <v>704</v>
      </c>
      <c r="G9336" s="5" t="n">
        <v>4334</v>
      </c>
      <c r="H9336" s="5" t="n">
        <v>146</v>
      </c>
      <c r="I9336" s="5" t="n">
        <v>87</v>
      </c>
      <c r="J9336" s="5" t="n">
        <v>59</v>
      </c>
      <c r="K9336" s="10">
        <f>IF(F9336&gt;0,H9336/F9336,"")</f>
        <v/>
      </c>
      <c r="L9336" s="16">
        <f>IF(AND(G9336&gt;0,H9336&gt;0),G9336/H9336,"")</f>
        <v/>
      </c>
    </row>
    <row r="9337">
      <c r="A9337" s="4" t="inlineStr">
        <is>
          <t>301</t>
        </is>
      </c>
      <c r="B9337" s="4" t="n">
        <v>3</v>
      </c>
      <c r="C9337" s="4" t="inlineStr">
        <is>
          <t>whitetail</t>
        </is>
      </c>
      <c r="D9337" s="4" t="n">
        <v>2022</v>
      </c>
      <c r="E9337" s="13" t="inlineStr">
        <is>
          <t>General</t>
        </is>
      </c>
      <c r="F9337" s="5" t="n"/>
      <c r="G9337" s="5" t="n"/>
      <c r="H9337" s="5" t="n">
        <v>124</v>
      </c>
      <c r="I9337" s="5" t="n">
        <v>78</v>
      </c>
      <c r="J9337" s="5" t="n">
        <v>46</v>
      </c>
      <c r="K9337" s="10">
        <f>IF(F9337&gt;0,H9337/F9337,"")</f>
        <v/>
      </c>
      <c r="L9337" s="16">
        <f>IF(AND(G9337&gt;0,H9337&gt;0),G9337/H9337,"")</f>
        <v/>
      </c>
    </row>
    <row r="9338">
      <c r="A9338" s="4" t="inlineStr">
        <is>
          <t>301</t>
        </is>
      </c>
      <c r="B9338" s="4" t="n">
        <v>3</v>
      </c>
      <c r="C9338" s="4" t="inlineStr">
        <is>
          <t>whitetail</t>
        </is>
      </c>
      <c r="D9338" s="4" t="n">
        <v>2023</v>
      </c>
      <c r="E9338" s="13" t="inlineStr">
        <is>
          <t>General</t>
        </is>
      </c>
      <c r="F9338" s="5" t="n">
        <v>952</v>
      </c>
      <c r="G9338" s="5" t="n">
        <v>6492</v>
      </c>
      <c r="H9338" s="5" t="n">
        <v>139</v>
      </c>
      <c r="I9338" s="5" t="n">
        <v>80</v>
      </c>
      <c r="J9338" s="5" t="n">
        <v>59</v>
      </c>
      <c r="K9338" s="10">
        <f>IF(F9338&gt;0,H9338/F9338,"")</f>
        <v/>
      </c>
      <c r="L9338" s="16">
        <f>IF(AND(G9338&gt;0,H9338&gt;0),G9338/H9338,"")</f>
        <v/>
      </c>
    </row>
    <row r="9339">
      <c r="A9339" s="4" t="inlineStr">
        <is>
          <t>301</t>
        </is>
      </c>
      <c r="B9339" s="4" t="n">
        <v>3</v>
      </c>
      <c r="C9339" s="4" t="inlineStr">
        <is>
          <t>whitetail</t>
        </is>
      </c>
      <c r="D9339" s="4" t="n">
        <v>2024</v>
      </c>
      <c r="E9339" s="13" t="inlineStr">
        <is>
          <t>General</t>
        </is>
      </c>
      <c r="F9339" s="5" t="n"/>
      <c r="G9339" s="5" t="n"/>
      <c r="H9339" s="5" t="n">
        <v>202</v>
      </c>
      <c r="I9339" s="5" t="n">
        <v>142</v>
      </c>
      <c r="J9339" s="5" t="n">
        <v>60</v>
      </c>
      <c r="K9339" s="10">
        <f>IF(F9339&gt;0,H9339/F9339,"")</f>
        <v/>
      </c>
      <c r="L9339" s="16">
        <f>IF(AND(G9339&gt;0,H9339&gt;0),G9339/H9339,"")</f>
        <v/>
      </c>
    </row>
    <row r="9340">
      <c r="A9340" s="4" t="inlineStr">
        <is>
          <t>301</t>
        </is>
      </c>
      <c r="B9340" s="4" t="n">
        <v>3</v>
      </c>
      <c r="C9340" s="4" t="inlineStr">
        <is>
          <t>whitetail</t>
        </is>
      </c>
      <c r="D9340" s="4" t="n">
        <v>2025</v>
      </c>
      <c r="E9340" s="13" t="inlineStr">
        <is>
          <t>General</t>
        </is>
      </c>
      <c r="F9340" s="5" t="n">
        <v>1106</v>
      </c>
      <c r="G9340" s="5" t="n">
        <v>6509</v>
      </c>
      <c r="H9340" s="5" t="n">
        <v>169</v>
      </c>
      <c r="I9340" s="5" t="n">
        <v>109</v>
      </c>
      <c r="J9340" s="5" t="n">
        <v>60</v>
      </c>
      <c r="K9340" s="10">
        <f>IF(F9340&gt;0,H9340/F9340,"")</f>
        <v/>
      </c>
      <c r="L9340" s="16">
        <f>IF(AND(G9340&gt;0,H9340&gt;0),G9340/H9340,"")</f>
        <v/>
      </c>
    </row>
    <row r="9341">
      <c r="A9341" s="4" t="inlineStr">
        <is>
          <t>302</t>
        </is>
      </c>
      <c r="B9341" s="4" t="n">
        <v>3</v>
      </c>
      <c r="C9341" s="4" t="inlineStr">
        <is>
          <t>whitetail</t>
        </is>
      </c>
      <c r="D9341" s="4" t="n">
        <v>2004</v>
      </c>
      <c r="E9341" s="13" t="inlineStr">
        <is>
          <t>General</t>
        </is>
      </c>
      <c r="F9341" s="5" t="n">
        <v>510</v>
      </c>
      <c r="G9341" s="5" t="n">
        <v>2280</v>
      </c>
      <c r="H9341" s="5" t="n">
        <v>23</v>
      </c>
      <c r="I9341" s="5" t="n">
        <v>14</v>
      </c>
      <c r="J9341" s="5" t="n">
        <v>9</v>
      </c>
      <c r="K9341" s="10">
        <f>IF(F9341&gt;0,H9341/F9341,"")</f>
        <v/>
      </c>
      <c r="L9341" s="16">
        <f>IF(AND(G9341&gt;0,H9341&gt;0),G9341/H9341,"")</f>
        <v/>
      </c>
    </row>
    <row r="9342">
      <c r="A9342" s="4" t="inlineStr">
        <is>
          <t>302</t>
        </is>
      </c>
      <c r="B9342" s="4" t="n">
        <v>3</v>
      </c>
      <c r="C9342" s="4" t="inlineStr">
        <is>
          <t>whitetail</t>
        </is>
      </c>
      <c r="D9342" s="4" t="n">
        <v>2005</v>
      </c>
      <c r="E9342" s="13" t="inlineStr">
        <is>
          <t>General</t>
        </is>
      </c>
      <c r="F9342" s="5" t="n">
        <v>385</v>
      </c>
      <c r="G9342" s="5" t="n">
        <v>2200</v>
      </c>
      <c r="H9342" s="5" t="n">
        <v>42</v>
      </c>
      <c r="I9342" s="5" t="n">
        <v>15</v>
      </c>
      <c r="J9342" s="5" t="n">
        <v>27</v>
      </c>
      <c r="K9342" s="10">
        <f>IF(F9342&gt;0,H9342/F9342,"")</f>
        <v/>
      </c>
      <c r="L9342" s="16">
        <f>IF(AND(G9342&gt;0,H9342&gt;0),G9342/H9342,"")</f>
        <v/>
      </c>
    </row>
    <row r="9343">
      <c r="A9343" s="4" t="inlineStr">
        <is>
          <t>302</t>
        </is>
      </c>
      <c r="B9343" s="4" t="n">
        <v>3</v>
      </c>
      <c r="C9343" s="4" t="inlineStr">
        <is>
          <t>whitetail</t>
        </is>
      </c>
      <c r="D9343" s="4" t="n">
        <v>2006</v>
      </c>
      <c r="E9343" s="13" t="inlineStr">
        <is>
          <t>General</t>
        </is>
      </c>
      <c r="F9343" s="5" t="n">
        <v>393</v>
      </c>
      <c r="G9343" s="5" t="n">
        <v>2636</v>
      </c>
      <c r="H9343" s="5" t="n">
        <v>33</v>
      </c>
      <c r="I9343" s="5" t="n">
        <v>15</v>
      </c>
      <c r="J9343" s="5" t="n">
        <v>18</v>
      </c>
      <c r="K9343" s="10">
        <f>IF(F9343&gt;0,H9343/F9343,"")</f>
        <v/>
      </c>
      <c r="L9343" s="16">
        <f>IF(AND(G9343&gt;0,H9343&gt;0),G9343/H9343,"")</f>
        <v/>
      </c>
    </row>
    <row r="9344">
      <c r="A9344" s="4" t="inlineStr">
        <is>
          <t>302</t>
        </is>
      </c>
      <c r="B9344" s="4" t="n">
        <v>3</v>
      </c>
      <c r="C9344" s="4" t="inlineStr">
        <is>
          <t>whitetail</t>
        </is>
      </c>
      <c r="D9344" s="4" t="n">
        <v>2007</v>
      </c>
      <c r="E9344" s="13" t="inlineStr">
        <is>
          <t>General</t>
        </is>
      </c>
      <c r="F9344" s="5" t="n">
        <v>480</v>
      </c>
      <c r="G9344" s="5" t="n">
        <v>2630</v>
      </c>
      <c r="H9344" s="5" t="n">
        <v>33</v>
      </c>
      <c r="I9344" s="5" t="n">
        <v>28</v>
      </c>
      <c r="J9344" s="5" t="n">
        <v>4</v>
      </c>
      <c r="K9344" s="10">
        <f>IF(F9344&gt;0,H9344/F9344,"")</f>
        <v/>
      </c>
      <c r="L9344" s="16">
        <f>IF(AND(G9344&gt;0,H9344&gt;0),G9344/H9344,"")</f>
        <v/>
      </c>
    </row>
    <row r="9345">
      <c r="A9345" s="4" t="inlineStr">
        <is>
          <t>302</t>
        </is>
      </c>
      <c r="B9345" s="4" t="n">
        <v>3</v>
      </c>
      <c r="C9345" s="4" t="inlineStr">
        <is>
          <t>whitetail</t>
        </is>
      </c>
      <c r="D9345" s="4" t="n">
        <v>2008</v>
      </c>
      <c r="E9345" s="13" t="inlineStr">
        <is>
          <t>General</t>
        </is>
      </c>
      <c r="F9345" s="5" t="n">
        <v>480</v>
      </c>
      <c r="G9345" s="5" t="n">
        <v>2645</v>
      </c>
      <c r="H9345" s="5" t="n">
        <v>40</v>
      </c>
      <c r="I9345" s="5" t="n">
        <v>21</v>
      </c>
      <c r="J9345" s="5" t="n">
        <v>19</v>
      </c>
      <c r="K9345" s="10">
        <f>IF(F9345&gt;0,H9345/F9345,"")</f>
        <v/>
      </c>
      <c r="L9345" s="16">
        <f>IF(AND(G9345&gt;0,H9345&gt;0),G9345/H9345,"")</f>
        <v/>
      </c>
    </row>
    <row r="9346">
      <c r="A9346" s="4" t="inlineStr">
        <is>
          <t>302</t>
        </is>
      </c>
      <c r="B9346" s="4" t="n">
        <v>3</v>
      </c>
      <c r="C9346" s="4" t="inlineStr">
        <is>
          <t>whitetail</t>
        </is>
      </c>
      <c r="D9346" s="4" t="n">
        <v>2009</v>
      </c>
      <c r="E9346" s="13" t="inlineStr">
        <is>
          <t>General</t>
        </is>
      </c>
      <c r="F9346" s="5" t="n">
        <v>500</v>
      </c>
      <c r="G9346" s="5" t="n">
        <v>2798</v>
      </c>
      <c r="H9346" s="5" t="n">
        <v>27</v>
      </c>
      <c r="I9346" s="5" t="n">
        <v>15</v>
      </c>
      <c r="J9346" s="5" t="n">
        <v>12</v>
      </c>
      <c r="K9346" s="10">
        <f>IF(F9346&gt;0,H9346/F9346,"")</f>
        <v/>
      </c>
      <c r="L9346" s="16">
        <f>IF(AND(G9346&gt;0,H9346&gt;0),G9346/H9346,"")</f>
        <v/>
      </c>
    </row>
    <row r="9347">
      <c r="A9347" s="4" t="inlineStr">
        <is>
          <t>302</t>
        </is>
      </c>
      <c r="B9347" s="4" t="n">
        <v>3</v>
      </c>
      <c r="C9347" s="4" t="inlineStr">
        <is>
          <t>whitetail</t>
        </is>
      </c>
      <c r="D9347" s="4" t="n">
        <v>2010</v>
      </c>
      <c r="E9347" s="13" t="inlineStr">
        <is>
          <t>General</t>
        </is>
      </c>
      <c r="F9347" s="5" t="n">
        <v>268</v>
      </c>
      <c r="G9347" s="5" t="n">
        <v>1560</v>
      </c>
      <c r="H9347" s="5" t="n">
        <v>27</v>
      </c>
      <c r="I9347" s="5" t="n">
        <v>21</v>
      </c>
      <c r="J9347" s="5" t="n">
        <v>6</v>
      </c>
      <c r="K9347" s="10">
        <f>IF(F9347&gt;0,H9347/F9347,"")</f>
        <v/>
      </c>
      <c r="L9347" s="16">
        <f>IF(AND(G9347&gt;0,H9347&gt;0),G9347/H9347,"")</f>
        <v/>
      </c>
    </row>
    <row r="9348">
      <c r="A9348" s="4" t="inlineStr">
        <is>
          <t>302</t>
        </is>
      </c>
      <c r="B9348" s="4" t="n">
        <v>3</v>
      </c>
      <c r="C9348" s="4" t="inlineStr">
        <is>
          <t>whitetail</t>
        </is>
      </c>
      <c r="D9348" s="4" t="n">
        <v>2011</v>
      </c>
      <c r="E9348" s="13" t="inlineStr">
        <is>
          <t>General</t>
        </is>
      </c>
      <c r="F9348" s="5" t="n">
        <v>288</v>
      </c>
      <c r="G9348" s="5" t="n">
        <v>1728</v>
      </c>
      <c r="H9348" s="5" t="n">
        <v>6</v>
      </c>
      <c r="I9348" s="5" t="n">
        <v>2</v>
      </c>
      <c r="J9348" s="5" t="n">
        <v>5</v>
      </c>
      <c r="K9348" s="10">
        <f>IF(F9348&gt;0,H9348/F9348,"")</f>
        <v/>
      </c>
      <c r="L9348" s="16">
        <f>IF(AND(G9348&gt;0,H9348&gt;0),G9348/H9348,"")</f>
        <v/>
      </c>
    </row>
    <row r="9349">
      <c r="A9349" s="4" t="inlineStr">
        <is>
          <t>302</t>
        </is>
      </c>
      <c r="B9349" s="4" t="n">
        <v>3</v>
      </c>
      <c r="C9349" s="4" t="inlineStr">
        <is>
          <t>whitetail</t>
        </is>
      </c>
      <c r="D9349" s="4" t="n">
        <v>2012</v>
      </c>
      <c r="E9349" s="13" t="inlineStr">
        <is>
          <t>General</t>
        </is>
      </c>
      <c r="F9349" s="5" t="n"/>
      <c r="G9349" s="5" t="n"/>
      <c r="H9349" s="5" t="n">
        <v>24</v>
      </c>
      <c r="I9349" s="5" t="n">
        <v>16</v>
      </c>
      <c r="J9349" s="5" t="n">
        <v>8</v>
      </c>
      <c r="K9349" s="10">
        <f>IF(F9349&gt;0,H9349/F9349,"")</f>
        <v/>
      </c>
      <c r="L9349" s="16">
        <f>IF(AND(G9349&gt;0,H9349&gt;0),G9349/H9349,"")</f>
        <v/>
      </c>
    </row>
    <row r="9350">
      <c r="A9350" s="4" t="inlineStr">
        <is>
          <t>302</t>
        </is>
      </c>
      <c r="B9350" s="4" t="n">
        <v>3</v>
      </c>
      <c r="C9350" s="4" t="inlineStr">
        <is>
          <t>whitetail</t>
        </is>
      </c>
      <c r="D9350" s="4" t="n">
        <v>2013</v>
      </c>
      <c r="E9350" s="13" t="inlineStr">
        <is>
          <t>General</t>
        </is>
      </c>
      <c r="F9350" s="5" t="n">
        <v>248</v>
      </c>
      <c r="G9350" s="5" t="n">
        <v>1842</v>
      </c>
      <c r="H9350" s="5" t="n">
        <v>15</v>
      </c>
      <c r="I9350" s="5" t="n">
        <v>9</v>
      </c>
      <c r="J9350" s="5" t="n">
        <v>6</v>
      </c>
      <c r="K9350" s="10">
        <f>IF(F9350&gt;0,H9350/F9350,"")</f>
        <v/>
      </c>
      <c r="L9350" s="16">
        <f>IF(AND(G9350&gt;0,H9350&gt;0),G9350/H9350,"")</f>
        <v/>
      </c>
    </row>
    <row r="9351">
      <c r="A9351" s="4" t="inlineStr">
        <is>
          <t>302</t>
        </is>
      </c>
      <c r="B9351" s="4" t="n">
        <v>3</v>
      </c>
      <c r="C9351" s="4" t="inlineStr">
        <is>
          <t>whitetail</t>
        </is>
      </c>
      <c r="D9351" s="4" t="n">
        <v>2014</v>
      </c>
      <c r="E9351" s="13" t="inlineStr">
        <is>
          <t>General</t>
        </is>
      </c>
      <c r="F9351" s="5" t="n"/>
      <c r="G9351" s="5" t="n"/>
      <c r="H9351" s="5" t="n">
        <v>28</v>
      </c>
      <c r="I9351" s="5" t="n">
        <v>20</v>
      </c>
      <c r="J9351" s="5" t="n">
        <v>8</v>
      </c>
      <c r="K9351" s="10">
        <f>IF(F9351&gt;0,H9351/F9351,"")</f>
        <v/>
      </c>
      <c r="L9351" s="16">
        <f>IF(AND(G9351&gt;0,H9351&gt;0),G9351/H9351,"")</f>
        <v/>
      </c>
    </row>
    <row r="9352">
      <c r="A9352" s="4" t="inlineStr">
        <is>
          <t>302</t>
        </is>
      </c>
      <c r="B9352" s="4" t="n">
        <v>3</v>
      </c>
      <c r="C9352" s="4" t="inlineStr">
        <is>
          <t>whitetail</t>
        </is>
      </c>
      <c r="D9352" s="4" t="n">
        <v>2015</v>
      </c>
      <c r="E9352" s="13" t="inlineStr">
        <is>
          <t>General</t>
        </is>
      </c>
      <c r="F9352" s="5" t="n"/>
      <c r="G9352" s="5" t="n"/>
      <c r="H9352" s="5" t="n">
        <v>28</v>
      </c>
      <c r="I9352" s="5" t="n">
        <v>12</v>
      </c>
      <c r="J9352" s="5" t="n">
        <v>14</v>
      </c>
      <c r="K9352" s="10">
        <f>IF(F9352&gt;0,H9352/F9352,"")</f>
        <v/>
      </c>
      <c r="L9352" s="16">
        <f>IF(AND(G9352&gt;0,H9352&gt;0),G9352/H9352,"")</f>
        <v/>
      </c>
    </row>
    <row r="9353">
      <c r="A9353" s="4" t="inlineStr">
        <is>
          <t>302</t>
        </is>
      </c>
      <c r="B9353" s="4" t="n">
        <v>3</v>
      </c>
      <c r="C9353" s="4" t="inlineStr">
        <is>
          <t>whitetail</t>
        </is>
      </c>
      <c r="D9353" s="4" t="n">
        <v>2016</v>
      </c>
      <c r="E9353" s="13" t="inlineStr">
        <is>
          <t>General</t>
        </is>
      </c>
      <c r="F9353" s="5" t="n"/>
      <c r="G9353" s="5" t="n"/>
      <c r="H9353" s="5" t="n">
        <v>24</v>
      </c>
      <c r="I9353" s="5" t="n">
        <v>15</v>
      </c>
      <c r="J9353" s="5" t="n">
        <v>6</v>
      </c>
      <c r="K9353" s="10">
        <f>IF(F9353&gt;0,H9353/F9353,"")</f>
        <v/>
      </c>
      <c r="L9353" s="16">
        <f>IF(AND(G9353&gt;0,H9353&gt;0),G9353/H9353,"")</f>
        <v/>
      </c>
    </row>
    <row r="9354">
      <c r="A9354" s="4" t="inlineStr">
        <is>
          <t>302</t>
        </is>
      </c>
      <c r="B9354" s="4" t="n">
        <v>3</v>
      </c>
      <c r="C9354" s="4" t="inlineStr">
        <is>
          <t>whitetail</t>
        </is>
      </c>
      <c r="D9354" s="4" t="n">
        <v>2017</v>
      </c>
      <c r="E9354" s="13" t="inlineStr">
        <is>
          <t>General</t>
        </is>
      </c>
      <c r="F9354" s="5" t="n">
        <v>749</v>
      </c>
      <c r="G9354" s="5" t="n">
        <v>4677</v>
      </c>
      <c r="H9354" s="5" t="n">
        <v>50</v>
      </c>
      <c r="I9354" s="5" t="n">
        <v>18</v>
      </c>
      <c r="J9354" s="5" t="n">
        <v>32</v>
      </c>
      <c r="K9354" s="10">
        <f>IF(F9354&gt;0,H9354/F9354,"")</f>
        <v/>
      </c>
      <c r="L9354" s="16">
        <f>IF(AND(G9354&gt;0,H9354&gt;0),G9354/H9354,"")</f>
        <v/>
      </c>
    </row>
    <row r="9355">
      <c r="A9355" s="4" t="inlineStr">
        <is>
          <t>302</t>
        </is>
      </c>
      <c r="B9355" s="4" t="n">
        <v>3</v>
      </c>
      <c r="C9355" s="4" t="inlineStr">
        <is>
          <t>whitetail</t>
        </is>
      </c>
      <c r="D9355" s="4" t="n">
        <v>2018</v>
      </c>
      <c r="E9355" s="13" t="inlineStr">
        <is>
          <t>General</t>
        </is>
      </c>
      <c r="F9355" s="5" t="n"/>
      <c r="G9355" s="5" t="n"/>
      <c r="H9355" s="5" t="n">
        <v>30</v>
      </c>
      <c r="I9355" s="5" t="n">
        <v>16</v>
      </c>
      <c r="J9355" s="5" t="n">
        <v>14</v>
      </c>
      <c r="K9355" s="10">
        <f>IF(F9355&gt;0,H9355/F9355,"")</f>
        <v/>
      </c>
      <c r="L9355" s="16">
        <f>IF(AND(G9355&gt;0,H9355&gt;0),G9355/H9355,"")</f>
        <v/>
      </c>
    </row>
    <row r="9356">
      <c r="A9356" s="4" t="inlineStr">
        <is>
          <t>302</t>
        </is>
      </c>
      <c r="B9356" s="4" t="n">
        <v>3</v>
      </c>
      <c r="C9356" s="4" t="inlineStr">
        <is>
          <t>whitetail</t>
        </is>
      </c>
      <c r="D9356" s="4" t="n">
        <v>2019</v>
      </c>
      <c r="E9356" s="13" t="inlineStr">
        <is>
          <t>General</t>
        </is>
      </c>
      <c r="F9356" s="5" t="n">
        <v>630</v>
      </c>
      <c r="G9356" s="5" t="n">
        <v>3679</v>
      </c>
      <c r="H9356" s="5" t="n">
        <v>49</v>
      </c>
      <c r="I9356" s="5" t="n">
        <v>20</v>
      </c>
      <c r="J9356" s="5" t="n">
        <v>28</v>
      </c>
      <c r="K9356" s="10">
        <f>IF(F9356&gt;0,H9356/F9356,"")</f>
        <v/>
      </c>
      <c r="L9356" s="16">
        <f>IF(AND(G9356&gt;0,H9356&gt;0),G9356/H9356,"")</f>
        <v/>
      </c>
    </row>
    <row r="9357">
      <c r="A9357" s="4" t="inlineStr">
        <is>
          <t>302</t>
        </is>
      </c>
      <c r="B9357" s="4" t="n">
        <v>3</v>
      </c>
      <c r="C9357" s="4" t="inlineStr">
        <is>
          <t>whitetail</t>
        </is>
      </c>
      <c r="D9357" s="4" t="n">
        <v>2020</v>
      </c>
      <c r="E9357" s="13" t="inlineStr">
        <is>
          <t>General</t>
        </is>
      </c>
      <c r="F9357" s="5" t="n"/>
      <c r="G9357" s="5" t="n"/>
      <c r="H9357" s="5" t="n">
        <v>61</v>
      </c>
      <c r="I9357" s="5" t="n">
        <v>26</v>
      </c>
      <c r="J9357" s="5" t="n">
        <v>36</v>
      </c>
      <c r="K9357" s="10">
        <f>IF(F9357&gt;0,H9357/F9357,"")</f>
        <v/>
      </c>
      <c r="L9357" s="16">
        <f>IF(AND(G9357&gt;0,H9357&gt;0),G9357/H9357,"")</f>
        <v/>
      </c>
    </row>
    <row r="9358">
      <c r="A9358" s="4" t="inlineStr">
        <is>
          <t>302</t>
        </is>
      </c>
      <c r="B9358" s="4" t="n">
        <v>3</v>
      </c>
      <c r="C9358" s="4" t="inlineStr">
        <is>
          <t>whitetail</t>
        </is>
      </c>
      <c r="D9358" s="4" t="n">
        <v>2021</v>
      </c>
      <c r="E9358" s="13" t="inlineStr">
        <is>
          <t>General</t>
        </is>
      </c>
      <c r="F9358" s="5" t="n">
        <v>726</v>
      </c>
      <c r="G9358" s="5" t="n">
        <v>4422</v>
      </c>
      <c r="H9358" s="5" t="n">
        <v>32</v>
      </c>
      <c r="I9358" s="5" t="n">
        <v>8</v>
      </c>
      <c r="J9358" s="5" t="n">
        <v>20</v>
      </c>
      <c r="K9358" s="10">
        <f>IF(F9358&gt;0,H9358/F9358,"")</f>
        <v/>
      </c>
      <c r="L9358" s="16">
        <f>IF(AND(G9358&gt;0,H9358&gt;0),G9358/H9358,"")</f>
        <v/>
      </c>
    </row>
    <row r="9359">
      <c r="A9359" s="4" t="inlineStr">
        <is>
          <t>302</t>
        </is>
      </c>
      <c r="B9359" s="4" t="n">
        <v>3</v>
      </c>
      <c r="C9359" s="4" t="inlineStr">
        <is>
          <t>whitetail</t>
        </is>
      </c>
      <c r="D9359" s="4" t="n">
        <v>2022</v>
      </c>
      <c r="E9359" s="13" t="inlineStr">
        <is>
          <t>General</t>
        </is>
      </c>
      <c r="F9359" s="5" t="n"/>
      <c r="G9359" s="5" t="n"/>
      <c r="H9359" s="5" t="n">
        <v>37</v>
      </c>
      <c r="I9359" s="5" t="n">
        <v>31</v>
      </c>
      <c r="J9359" s="5" t="n">
        <v>6</v>
      </c>
      <c r="K9359" s="10">
        <f>IF(F9359&gt;0,H9359/F9359,"")</f>
        <v/>
      </c>
      <c r="L9359" s="16">
        <f>IF(AND(G9359&gt;0,H9359&gt;0),G9359/H9359,"")</f>
        <v/>
      </c>
    </row>
    <row r="9360">
      <c r="A9360" s="4" t="inlineStr">
        <is>
          <t>302</t>
        </is>
      </c>
      <c r="B9360" s="4" t="n">
        <v>3</v>
      </c>
      <c r="C9360" s="4" t="inlineStr">
        <is>
          <t>whitetail</t>
        </is>
      </c>
      <c r="D9360" s="4" t="n">
        <v>2023</v>
      </c>
      <c r="E9360" s="13" t="inlineStr">
        <is>
          <t>General</t>
        </is>
      </c>
      <c r="F9360" s="5" t="n">
        <v>764</v>
      </c>
      <c r="G9360" s="5" t="n">
        <v>4757</v>
      </c>
      <c r="H9360" s="5" t="n">
        <v>85</v>
      </c>
      <c r="I9360" s="5" t="n">
        <v>33</v>
      </c>
      <c r="J9360" s="5" t="n">
        <v>53</v>
      </c>
      <c r="K9360" s="10">
        <f>IF(F9360&gt;0,H9360/F9360,"")</f>
        <v/>
      </c>
      <c r="L9360" s="16">
        <f>IF(AND(G9360&gt;0,H9360&gt;0),G9360/H9360,"")</f>
        <v/>
      </c>
    </row>
    <row r="9361">
      <c r="A9361" s="4" t="inlineStr">
        <is>
          <t>302</t>
        </is>
      </c>
      <c r="B9361" s="4" t="n">
        <v>3</v>
      </c>
      <c r="C9361" s="4" t="inlineStr">
        <is>
          <t>whitetail</t>
        </is>
      </c>
      <c r="D9361" s="4" t="n">
        <v>2024</v>
      </c>
      <c r="E9361" s="13" t="inlineStr">
        <is>
          <t>General</t>
        </is>
      </c>
      <c r="F9361" s="5" t="n"/>
      <c r="G9361" s="5" t="n"/>
      <c r="H9361" s="5" t="n">
        <v>22</v>
      </c>
      <c r="I9361" s="5" t="n">
        <v>12</v>
      </c>
      <c r="J9361" s="5" t="n">
        <v>6</v>
      </c>
      <c r="K9361" s="10">
        <f>IF(F9361&gt;0,H9361/F9361,"")</f>
        <v/>
      </c>
      <c r="L9361" s="16">
        <f>IF(AND(G9361&gt;0,H9361&gt;0),G9361/H9361,"")</f>
        <v/>
      </c>
    </row>
    <row r="9362">
      <c r="A9362" s="4" t="inlineStr">
        <is>
          <t>302</t>
        </is>
      </c>
      <c r="B9362" s="4" t="n">
        <v>3</v>
      </c>
      <c r="C9362" s="4" t="inlineStr">
        <is>
          <t>whitetail</t>
        </is>
      </c>
      <c r="D9362" s="4" t="n">
        <v>2025</v>
      </c>
      <c r="E9362" s="13" t="inlineStr">
        <is>
          <t>General</t>
        </is>
      </c>
      <c r="F9362" s="5" t="n">
        <v>960</v>
      </c>
      <c r="G9362" s="5" t="n">
        <v>7112</v>
      </c>
      <c r="H9362" s="5" t="n">
        <v>42</v>
      </c>
      <c r="I9362" s="5" t="n">
        <v>18</v>
      </c>
      <c r="J9362" s="5" t="n">
        <v>24</v>
      </c>
      <c r="K9362" s="10">
        <f>IF(F9362&gt;0,H9362/F9362,"")</f>
        <v/>
      </c>
      <c r="L9362" s="16">
        <f>IF(AND(G9362&gt;0,H9362&gt;0),G9362/H9362,"")</f>
        <v/>
      </c>
    </row>
    <row r="9363">
      <c r="A9363" s="4" t="inlineStr">
        <is>
          <t>303</t>
        </is>
      </c>
      <c r="B9363" s="4" t="n">
        <v>3</v>
      </c>
      <c r="C9363" s="4" t="inlineStr">
        <is>
          <t>whitetail</t>
        </is>
      </c>
      <c r="D9363" s="4" t="n">
        <v>2022</v>
      </c>
      <c r="E9363" s="13" t="inlineStr">
        <is>
          <t>General</t>
        </is>
      </c>
      <c r="F9363" s="5" t="n"/>
      <c r="G9363" s="5" t="n"/>
      <c r="H9363" s="5" t="n">
        <v>9</v>
      </c>
      <c r="I9363" s="5" t="n">
        <v>0</v>
      </c>
      <c r="J9363" s="5" t="n">
        <v>9</v>
      </c>
      <c r="K9363" s="10">
        <f>IF(F9363&gt;0,H9363/F9363,"")</f>
        <v/>
      </c>
      <c r="L9363" s="16">
        <f>IF(AND(G9363&gt;0,H9363&gt;0),G9363/H9363,"")</f>
        <v/>
      </c>
    </row>
    <row r="9364">
      <c r="A9364" s="4" t="inlineStr">
        <is>
          <t>303</t>
        </is>
      </c>
      <c r="B9364" s="4" t="n">
        <v>3</v>
      </c>
      <c r="C9364" s="4" t="inlineStr">
        <is>
          <t>whitetail</t>
        </is>
      </c>
      <c r="D9364" s="4" t="n">
        <v>2023</v>
      </c>
      <c r="E9364" s="13" t="inlineStr">
        <is>
          <t>General</t>
        </is>
      </c>
      <c r="F9364" s="5" t="n">
        <v>327</v>
      </c>
      <c r="G9364" s="5" t="n">
        <v>2125</v>
      </c>
      <c r="H9364" s="5" t="n">
        <v>25</v>
      </c>
      <c r="I9364" s="5" t="n">
        <v>10</v>
      </c>
      <c r="J9364" s="5" t="n">
        <v>15</v>
      </c>
      <c r="K9364" s="10">
        <f>IF(F9364&gt;0,H9364/F9364,"")</f>
        <v/>
      </c>
      <c r="L9364" s="16">
        <f>IF(AND(G9364&gt;0,H9364&gt;0),G9364/H9364,"")</f>
        <v/>
      </c>
    </row>
    <row r="9365">
      <c r="A9365" s="4" t="inlineStr">
        <is>
          <t>303</t>
        </is>
      </c>
      <c r="B9365" s="4" t="n">
        <v>3</v>
      </c>
      <c r="C9365" s="4" t="inlineStr">
        <is>
          <t>whitetail</t>
        </is>
      </c>
      <c r="D9365" s="4" t="n">
        <v>2024</v>
      </c>
      <c r="E9365" s="13" t="inlineStr">
        <is>
          <t>General</t>
        </is>
      </c>
      <c r="F9365" s="5" t="n"/>
      <c r="G9365" s="5" t="n"/>
      <c r="H9365" s="5" t="n">
        <v>18</v>
      </c>
      <c r="I9365" s="5" t="n">
        <v>15</v>
      </c>
      <c r="J9365" s="5" t="n">
        <v>3</v>
      </c>
      <c r="K9365" s="10">
        <f>IF(F9365&gt;0,H9365/F9365,"")</f>
        <v/>
      </c>
      <c r="L9365" s="16">
        <f>IF(AND(G9365&gt;0,H9365&gt;0),G9365/H9365,"")</f>
        <v/>
      </c>
    </row>
    <row r="9366">
      <c r="A9366" s="4" t="inlineStr">
        <is>
          <t>303</t>
        </is>
      </c>
      <c r="B9366" s="4" t="n">
        <v>3</v>
      </c>
      <c r="C9366" s="4" t="inlineStr">
        <is>
          <t>whitetail</t>
        </is>
      </c>
      <c r="D9366" s="4" t="n">
        <v>2025</v>
      </c>
      <c r="E9366" s="13" t="inlineStr">
        <is>
          <t>General</t>
        </is>
      </c>
      <c r="F9366" s="5" t="n">
        <v>348</v>
      </c>
      <c r="G9366" s="5" t="n">
        <v>2477</v>
      </c>
      <c r="H9366" s="5" t="n">
        <v>28</v>
      </c>
      <c r="I9366" s="5" t="n">
        <v>15</v>
      </c>
      <c r="J9366" s="5" t="n">
        <v>13</v>
      </c>
      <c r="K9366" s="10">
        <f>IF(F9366&gt;0,H9366/F9366,"")</f>
        <v/>
      </c>
      <c r="L9366" s="16">
        <f>IF(AND(G9366&gt;0,H9366&gt;0),G9366/H9366,"")</f>
        <v/>
      </c>
    </row>
    <row r="9367">
      <c r="A9367" s="4" t="inlineStr">
        <is>
          <t>304</t>
        </is>
      </c>
      <c r="B9367" s="4" t="n">
        <v>3</v>
      </c>
      <c r="C9367" s="4" t="inlineStr">
        <is>
          <t>whitetail</t>
        </is>
      </c>
      <c r="D9367" s="4" t="n">
        <v>2022</v>
      </c>
      <c r="E9367" s="13" t="inlineStr">
        <is>
          <t>General</t>
        </is>
      </c>
      <c r="F9367" s="5" t="n"/>
      <c r="G9367" s="5" t="n"/>
      <c r="H9367" s="5" t="n">
        <v>73</v>
      </c>
      <c r="I9367" s="5" t="n">
        <v>42</v>
      </c>
      <c r="J9367" s="5" t="n">
        <v>31</v>
      </c>
      <c r="K9367" s="10">
        <f>IF(F9367&gt;0,H9367/F9367,"")</f>
        <v/>
      </c>
      <c r="L9367" s="16">
        <f>IF(AND(G9367&gt;0,H9367&gt;0),G9367/H9367,"")</f>
        <v/>
      </c>
    </row>
    <row r="9368">
      <c r="A9368" s="4" t="inlineStr">
        <is>
          <t>304</t>
        </is>
      </c>
      <c r="B9368" s="4" t="n">
        <v>3</v>
      </c>
      <c r="C9368" s="4" t="inlineStr">
        <is>
          <t>whitetail</t>
        </is>
      </c>
      <c r="D9368" s="4" t="n">
        <v>2023</v>
      </c>
      <c r="E9368" s="13" t="inlineStr">
        <is>
          <t>General</t>
        </is>
      </c>
      <c r="F9368" s="5" t="n">
        <v>490</v>
      </c>
      <c r="G9368" s="5" t="n">
        <v>2685</v>
      </c>
      <c r="H9368" s="5" t="n">
        <v>105</v>
      </c>
      <c r="I9368" s="5" t="n">
        <v>57</v>
      </c>
      <c r="J9368" s="5" t="n">
        <v>41</v>
      </c>
      <c r="K9368" s="10">
        <f>IF(F9368&gt;0,H9368/F9368,"")</f>
        <v/>
      </c>
      <c r="L9368" s="16">
        <f>IF(AND(G9368&gt;0,H9368&gt;0),G9368/H9368,"")</f>
        <v/>
      </c>
    </row>
    <row r="9369">
      <c r="A9369" s="4" t="inlineStr">
        <is>
          <t>304</t>
        </is>
      </c>
      <c r="B9369" s="4" t="n">
        <v>3</v>
      </c>
      <c r="C9369" s="4" t="inlineStr">
        <is>
          <t>whitetail</t>
        </is>
      </c>
      <c r="D9369" s="4" t="n">
        <v>2024</v>
      </c>
      <c r="E9369" s="13" t="inlineStr">
        <is>
          <t>General</t>
        </is>
      </c>
      <c r="F9369" s="5" t="n"/>
      <c r="G9369" s="5" t="n"/>
      <c r="H9369" s="5" t="n">
        <v>85</v>
      </c>
      <c r="I9369" s="5" t="n">
        <v>54</v>
      </c>
      <c r="J9369" s="5" t="n">
        <v>31</v>
      </c>
      <c r="K9369" s="10">
        <f>IF(F9369&gt;0,H9369/F9369,"")</f>
        <v/>
      </c>
      <c r="L9369" s="16">
        <f>IF(AND(G9369&gt;0,H9369&gt;0),G9369/H9369,"")</f>
        <v/>
      </c>
    </row>
    <row r="9370">
      <c r="A9370" s="4" t="inlineStr">
        <is>
          <t>304</t>
        </is>
      </c>
      <c r="B9370" s="4" t="n">
        <v>3</v>
      </c>
      <c r="C9370" s="4" t="inlineStr">
        <is>
          <t>whitetail</t>
        </is>
      </c>
      <c r="D9370" s="4" t="n">
        <v>2025</v>
      </c>
      <c r="E9370" s="13" t="inlineStr">
        <is>
          <t>General</t>
        </is>
      </c>
      <c r="F9370" s="5" t="n">
        <v>462</v>
      </c>
      <c r="G9370" s="5" t="n">
        <v>2772</v>
      </c>
      <c r="H9370" s="5" t="n">
        <v>110</v>
      </c>
      <c r="I9370" s="5" t="n">
        <v>76</v>
      </c>
      <c r="J9370" s="5" t="n">
        <v>35</v>
      </c>
      <c r="K9370" s="10">
        <f>IF(F9370&gt;0,H9370/F9370,"")</f>
        <v/>
      </c>
      <c r="L9370" s="16">
        <f>IF(AND(G9370&gt;0,H9370&gt;0),G9370/H9370,"")</f>
        <v/>
      </c>
    </row>
    <row r="9371">
      <c r="A9371" s="4" t="inlineStr">
        <is>
          <t>309</t>
        </is>
      </c>
      <c r="B9371" s="4" t="n">
        <v>3</v>
      </c>
      <c r="C9371" s="4" t="inlineStr">
        <is>
          <t>whitetail</t>
        </is>
      </c>
      <c r="D9371" s="4" t="n">
        <v>2005</v>
      </c>
      <c r="E9371" s="13" t="inlineStr">
        <is>
          <t>General</t>
        </is>
      </c>
      <c r="F9371" s="5" t="n">
        <v>579</v>
      </c>
      <c r="G9371" s="5" t="n">
        <v>3559</v>
      </c>
      <c r="H9371" s="5" t="n">
        <v>523</v>
      </c>
      <c r="I9371" s="5" t="n">
        <v>170</v>
      </c>
      <c r="J9371" s="5" t="n">
        <v>339</v>
      </c>
      <c r="K9371" s="10">
        <f>IF(F9371&gt;0,H9371/F9371,"")</f>
        <v/>
      </c>
      <c r="L9371" s="16">
        <f>IF(AND(G9371&gt;0,H9371&gt;0),G9371/H9371,"")</f>
        <v/>
      </c>
    </row>
    <row r="9372">
      <c r="A9372" s="4" t="inlineStr">
        <is>
          <t>309</t>
        </is>
      </c>
      <c r="B9372" s="4" t="n">
        <v>3</v>
      </c>
      <c r="C9372" s="4" t="inlineStr">
        <is>
          <t>whitetail</t>
        </is>
      </c>
      <c r="D9372" s="4" t="n">
        <v>2006</v>
      </c>
      <c r="E9372" s="13" t="inlineStr">
        <is>
          <t>General</t>
        </is>
      </c>
      <c r="F9372" s="5" t="n">
        <v>546</v>
      </c>
      <c r="G9372" s="5" t="n">
        <v>3157</v>
      </c>
      <c r="H9372" s="5" t="n">
        <v>438</v>
      </c>
      <c r="I9372" s="5" t="n">
        <v>147</v>
      </c>
      <c r="J9372" s="5" t="n">
        <v>277</v>
      </c>
      <c r="K9372" s="10">
        <f>IF(F9372&gt;0,H9372/F9372,"")</f>
        <v/>
      </c>
      <c r="L9372" s="16">
        <f>IF(AND(G9372&gt;0,H9372&gt;0),G9372/H9372,"")</f>
        <v/>
      </c>
    </row>
    <row r="9373">
      <c r="A9373" s="4" t="inlineStr">
        <is>
          <t>309</t>
        </is>
      </c>
      <c r="B9373" s="4" t="n">
        <v>3</v>
      </c>
      <c r="C9373" s="4" t="inlineStr">
        <is>
          <t>whitetail</t>
        </is>
      </c>
      <c r="D9373" s="4" t="n">
        <v>2007</v>
      </c>
      <c r="E9373" s="13" t="inlineStr">
        <is>
          <t>General</t>
        </is>
      </c>
      <c r="F9373" s="5" t="n">
        <v>689</v>
      </c>
      <c r="G9373" s="5" t="n">
        <v>4193</v>
      </c>
      <c r="H9373" s="5" t="n">
        <v>495</v>
      </c>
      <c r="I9373" s="5" t="n">
        <v>146</v>
      </c>
      <c r="J9373" s="5" t="n">
        <v>341</v>
      </c>
      <c r="K9373" s="10">
        <f>IF(F9373&gt;0,H9373/F9373,"")</f>
        <v/>
      </c>
      <c r="L9373" s="16">
        <f>IF(AND(G9373&gt;0,H9373&gt;0),G9373/H9373,"")</f>
        <v/>
      </c>
    </row>
    <row r="9374">
      <c r="A9374" s="4" t="inlineStr">
        <is>
          <t>309</t>
        </is>
      </c>
      <c r="B9374" s="4" t="n">
        <v>3</v>
      </c>
      <c r="C9374" s="4" t="inlineStr">
        <is>
          <t>whitetail</t>
        </is>
      </c>
      <c r="D9374" s="4" t="n">
        <v>2008</v>
      </c>
      <c r="E9374" s="13" t="inlineStr">
        <is>
          <t>General</t>
        </is>
      </c>
      <c r="F9374" s="5" t="n">
        <v>863</v>
      </c>
      <c r="G9374" s="5" t="n">
        <v>5944</v>
      </c>
      <c r="H9374" s="5" t="n">
        <v>533</v>
      </c>
      <c r="I9374" s="5" t="n">
        <v>178</v>
      </c>
      <c r="J9374" s="5" t="n">
        <v>346</v>
      </c>
      <c r="K9374" s="10">
        <f>IF(F9374&gt;0,H9374/F9374,"")</f>
        <v/>
      </c>
      <c r="L9374" s="16">
        <f>IF(AND(G9374&gt;0,H9374&gt;0),G9374/H9374,"")</f>
        <v/>
      </c>
    </row>
    <row r="9375">
      <c r="A9375" s="4" t="inlineStr">
        <is>
          <t>309</t>
        </is>
      </c>
      <c r="B9375" s="4" t="n">
        <v>3</v>
      </c>
      <c r="C9375" s="4" t="inlineStr">
        <is>
          <t>whitetail</t>
        </is>
      </c>
      <c r="D9375" s="4" t="n">
        <v>2009</v>
      </c>
      <c r="E9375" s="13" t="inlineStr">
        <is>
          <t>General</t>
        </is>
      </c>
      <c r="F9375" s="5" t="n">
        <v>1036</v>
      </c>
      <c r="G9375" s="5" t="n">
        <v>7689</v>
      </c>
      <c r="H9375" s="5" t="n">
        <v>588</v>
      </c>
      <c r="I9375" s="5" t="n">
        <v>181</v>
      </c>
      <c r="J9375" s="5" t="n">
        <v>395</v>
      </c>
      <c r="K9375" s="10">
        <f>IF(F9375&gt;0,H9375/F9375,"")</f>
        <v/>
      </c>
      <c r="L9375" s="16">
        <f>IF(AND(G9375&gt;0,H9375&gt;0),G9375/H9375,"")</f>
        <v/>
      </c>
    </row>
    <row r="9376">
      <c r="A9376" s="4" t="inlineStr">
        <is>
          <t>309</t>
        </is>
      </c>
      <c r="B9376" s="4" t="n">
        <v>3</v>
      </c>
      <c r="C9376" s="4" t="inlineStr">
        <is>
          <t>whitetail</t>
        </is>
      </c>
      <c r="D9376" s="4" t="n">
        <v>2010</v>
      </c>
      <c r="E9376" s="13" t="inlineStr">
        <is>
          <t>General</t>
        </is>
      </c>
      <c r="F9376" s="5" t="n">
        <v>1079</v>
      </c>
      <c r="G9376" s="5" t="n">
        <v>7185</v>
      </c>
      <c r="H9376" s="5" t="n">
        <v>554</v>
      </c>
      <c r="I9376" s="5" t="n">
        <v>174</v>
      </c>
      <c r="J9376" s="5" t="n">
        <v>363</v>
      </c>
      <c r="K9376" s="10">
        <f>IF(F9376&gt;0,H9376/F9376,"")</f>
        <v/>
      </c>
      <c r="L9376" s="16">
        <f>IF(AND(G9376&gt;0,H9376&gt;0),G9376/H9376,"")</f>
        <v/>
      </c>
    </row>
    <row r="9377">
      <c r="A9377" s="4" t="inlineStr">
        <is>
          <t>309</t>
        </is>
      </c>
      <c r="B9377" s="4" t="n">
        <v>3</v>
      </c>
      <c r="C9377" s="4" t="inlineStr">
        <is>
          <t>whitetail</t>
        </is>
      </c>
      <c r="D9377" s="4" t="n">
        <v>2011</v>
      </c>
      <c r="E9377" s="13" t="inlineStr">
        <is>
          <t>General</t>
        </is>
      </c>
      <c r="F9377" s="5" t="n">
        <v>952</v>
      </c>
      <c r="G9377" s="5" t="n">
        <v>5845</v>
      </c>
      <c r="H9377" s="5" t="n">
        <v>468</v>
      </c>
      <c r="I9377" s="5" t="n">
        <v>129</v>
      </c>
      <c r="J9377" s="5" t="n">
        <v>324</v>
      </c>
      <c r="K9377" s="10">
        <f>IF(F9377&gt;0,H9377/F9377,"")</f>
        <v/>
      </c>
      <c r="L9377" s="16">
        <f>IF(AND(G9377&gt;0,H9377&gt;0),G9377/H9377,"")</f>
        <v/>
      </c>
    </row>
    <row r="9378">
      <c r="A9378" s="4" t="inlineStr">
        <is>
          <t>309</t>
        </is>
      </c>
      <c r="B9378" s="4" t="n">
        <v>3</v>
      </c>
      <c r="C9378" s="4" t="inlineStr">
        <is>
          <t>whitetail</t>
        </is>
      </c>
      <c r="D9378" s="4" t="n">
        <v>2012</v>
      </c>
      <c r="E9378" s="13" t="inlineStr">
        <is>
          <t>General</t>
        </is>
      </c>
      <c r="F9378" s="5" t="n"/>
      <c r="G9378" s="5" t="n"/>
      <c r="H9378" s="5" t="n">
        <v>713</v>
      </c>
      <c r="I9378" s="5" t="n">
        <v>218</v>
      </c>
      <c r="J9378" s="5" t="n">
        <v>488</v>
      </c>
      <c r="K9378" s="10">
        <f>IF(F9378&gt;0,H9378/F9378,"")</f>
        <v/>
      </c>
      <c r="L9378" s="16">
        <f>IF(AND(G9378&gt;0,H9378&gt;0),G9378/H9378,"")</f>
        <v/>
      </c>
    </row>
    <row r="9379">
      <c r="A9379" s="4" t="inlineStr">
        <is>
          <t>309</t>
        </is>
      </c>
      <c r="B9379" s="4" t="n">
        <v>3</v>
      </c>
      <c r="C9379" s="4" t="inlineStr">
        <is>
          <t>whitetail</t>
        </is>
      </c>
      <c r="D9379" s="4" t="n">
        <v>2013</v>
      </c>
      <c r="E9379" s="13" t="inlineStr">
        <is>
          <t>General</t>
        </is>
      </c>
      <c r="F9379" s="5" t="n">
        <v>1039</v>
      </c>
      <c r="G9379" s="5" t="n">
        <v>7428</v>
      </c>
      <c r="H9379" s="5" t="n">
        <v>499</v>
      </c>
      <c r="I9379" s="5" t="n">
        <v>149</v>
      </c>
      <c r="J9379" s="5" t="n">
        <v>344</v>
      </c>
      <c r="K9379" s="10">
        <f>IF(F9379&gt;0,H9379/F9379,"")</f>
        <v/>
      </c>
      <c r="L9379" s="16">
        <f>IF(AND(G9379&gt;0,H9379&gt;0),G9379/H9379,"")</f>
        <v/>
      </c>
    </row>
    <row r="9380">
      <c r="A9380" s="4" t="inlineStr">
        <is>
          <t>309</t>
        </is>
      </c>
      <c r="B9380" s="4" t="n">
        <v>3</v>
      </c>
      <c r="C9380" s="4" t="inlineStr">
        <is>
          <t>whitetail</t>
        </is>
      </c>
      <c r="D9380" s="4" t="n">
        <v>2014</v>
      </c>
      <c r="E9380" s="13" t="inlineStr">
        <is>
          <t>General</t>
        </is>
      </c>
      <c r="F9380" s="5" t="n"/>
      <c r="G9380" s="5" t="n"/>
      <c r="H9380" s="5" t="n">
        <v>427</v>
      </c>
      <c r="I9380" s="5" t="n">
        <v>196</v>
      </c>
      <c r="J9380" s="5" t="n">
        <v>230</v>
      </c>
      <c r="K9380" s="10">
        <f>IF(F9380&gt;0,H9380/F9380,"")</f>
        <v/>
      </c>
      <c r="L9380" s="16">
        <f>IF(AND(G9380&gt;0,H9380&gt;0),G9380/H9380,"")</f>
        <v/>
      </c>
    </row>
    <row r="9381">
      <c r="A9381" s="4" t="inlineStr">
        <is>
          <t>309</t>
        </is>
      </c>
      <c r="B9381" s="4" t="n">
        <v>3</v>
      </c>
      <c r="C9381" s="4" t="inlineStr">
        <is>
          <t>whitetail</t>
        </is>
      </c>
      <c r="D9381" s="4" t="n">
        <v>2015</v>
      </c>
      <c r="E9381" s="13" t="inlineStr">
        <is>
          <t>General</t>
        </is>
      </c>
      <c r="F9381" s="5" t="n"/>
      <c r="G9381" s="5" t="n"/>
      <c r="H9381" s="5" t="n">
        <v>378</v>
      </c>
      <c r="I9381" s="5" t="n">
        <v>152</v>
      </c>
      <c r="J9381" s="5" t="n">
        <v>209</v>
      </c>
      <c r="K9381" s="10">
        <f>IF(F9381&gt;0,H9381/F9381,"")</f>
        <v/>
      </c>
      <c r="L9381" s="16">
        <f>IF(AND(G9381&gt;0,H9381&gt;0),G9381/H9381,"")</f>
        <v/>
      </c>
    </row>
    <row r="9382">
      <c r="A9382" s="4" t="inlineStr">
        <is>
          <t>309</t>
        </is>
      </c>
      <c r="B9382" s="4" t="n">
        <v>3</v>
      </c>
      <c r="C9382" s="4" t="inlineStr">
        <is>
          <t>whitetail</t>
        </is>
      </c>
      <c r="D9382" s="4" t="n">
        <v>2016</v>
      </c>
      <c r="E9382" s="13" t="inlineStr">
        <is>
          <t>General</t>
        </is>
      </c>
      <c r="F9382" s="5" t="n"/>
      <c r="G9382" s="5" t="n"/>
      <c r="H9382" s="5" t="n">
        <v>476</v>
      </c>
      <c r="I9382" s="5" t="n">
        <v>223</v>
      </c>
      <c r="J9382" s="5" t="n">
        <v>244</v>
      </c>
      <c r="K9382" s="10">
        <f>IF(F9382&gt;0,H9382/F9382,"")</f>
        <v/>
      </c>
      <c r="L9382" s="16">
        <f>IF(AND(G9382&gt;0,H9382&gt;0),G9382/H9382,"")</f>
        <v/>
      </c>
    </row>
    <row r="9383">
      <c r="A9383" s="4" t="inlineStr">
        <is>
          <t>309</t>
        </is>
      </c>
      <c r="B9383" s="4" t="n">
        <v>3</v>
      </c>
      <c r="C9383" s="4" t="inlineStr">
        <is>
          <t>whitetail</t>
        </is>
      </c>
      <c r="D9383" s="4" t="n">
        <v>2017</v>
      </c>
      <c r="E9383" s="13" t="inlineStr">
        <is>
          <t>General</t>
        </is>
      </c>
      <c r="F9383" s="5" t="n">
        <v>874</v>
      </c>
      <c r="G9383" s="5" t="n">
        <v>5342</v>
      </c>
      <c r="H9383" s="5" t="n">
        <v>599</v>
      </c>
      <c r="I9383" s="5" t="n">
        <v>264</v>
      </c>
      <c r="J9383" s="5" t="n">
        <v>335</v>
      </c>
      <c r="K9383" s="10">
        <f>IF(F9383&gt;0,H9383/F9383,"")</f>
        <v/>
      </c>
      <c r="L9383" s="16">
        <f>IF(AND(G9383&gt;0,H9383&gt;0),G9383/H9383,"")</f>
        <v/>
      </c>
    </row>
    <row r="9384">
      <c r="A9384" s="4" t="inlineStr">
        <is>
          <t>309</t>
        </is>
      </c>
      <c r="B9384" s="4" t="n">
        <v>3</v>
      </c>
      <c r="C9384" s="4" t="inlineStr">
        <is>
          <t>whitetail</t>
        </is>
      </c>
      <c r="D9384" s="4" t="n">
        <v>2018</v>
      </c>
      <c r="E9384" s="13" t="inlineStr">
        <is>
          <t>General</t>
        </is>
      </c>
      <c r="F9384" s="5" t="n"/>
      <c r="G9384" s="5" t="n"/>
      <c r="H9384" s="5" t="n">
        <v>398</v>
      </c>
      <c r="I9384" s="5" t="n">
        <v>199</v>
      </c>
      <c r="J9384" s="5" t="n">
        <v>200</v>
      </c>
      <c r="K9384" s="10">
        <f>IF(F9384&gt;0,H9384/F9384,"")</f>
        <v/>
      </c>
      <c r="L9384" s="16">
        <f>IF(AND(G9384&gt;0,H9384&gt;0),G9384/H9384,"")</f>
        <v/>
      </c>
    </row>
    <row r="9385">
      <c r="A9385" s="4" t="inlineStr">
        <is>
          <t>309</t>
        </is>
      </c>
      <c r="B9385" s="4" t="n">
        <v>3</v>
      </c>
      <c r="C9385" s="4" t="inlineStr">
        <is>
          <t>whitetail</t>
        </is>
      </c>
      <c r="D9385" s="4" t="n">
        <v>2019</v>
      </c>
      <c r="E9385" s="13" t="inlineStr">
        <is>
          <t>General</t>
        </is>
      </c>
      <c r="F9385" s="5" t="n">
        <v>873</v>
      </c>
      <c r="G9385" s="5" t="n">
        <v>5638</v>
      </c>
      <c r="H9385" s="5" t="n">
        <v>412</v>
      </c>
      <c r="I9385" s="5" t="n">
        <v>232</v>
      </c>
      <c r="J9385" s="5" t="n">
        <v>180</v>
      </c>
      <c r="K9385" s="10">
        <f>IF(F9385&gt;0,H9385/F9385,"")</f>
        <v/>
      </c>
      <c r="L9385" s="16">
        <f>IF(AND(G9385&gt;0,H9385&gt;0),G9385/H9385,"")</f>
        <v/>
      </c>
    </row>
    <row r="9386">
      <c r="A9386" s="4" t="inlineStr">
        <is>
          <t>309</t>
        </is>
      </c>
      <c r="B9386" s="4" t="n">
        <v>3</v>
      </c>
      <c r="C9386" s="4" t="inlineStr">
        <is>
          <t>whitetail</t>
        </is>
      </c>
      <c r="D9386" s="4" t="n">
        <v>2020</v>
      </c>
      <c r="E9386" s="13" t="inlineStr">
        <is>
          <t>General</t>
        </is>
      </c>
      <c r="F9386" s="5" t="n"/>
      <c r="G9386" s="5" t="n"/>
      <c r="H9386" s="5" t="n">
        <v>476</v>
      </c>
      <c r="I9386" s="5" t="n">
        <v>234</v>
      </c>
      <c r="J9386" s="5" t="n">
        <v>242</v>
      </c>
      <c r="K9386" s="10">
        <f>IF(F9386&gt;0,H9386/F9386,"")</f>
        <v/>
      </c>
      <c r="L9386" s="16">
        <f>IF(AND(G9386&gt;0,H9386&gt;0),G9386/H9386,"")</f>
        <v/>
      </c>
    </row>
    <row r="9387">
      <c r="A9387" s="4" t="inlineStr">
        <is>
          <t>309</t>
        </is>
      </c>
      <c r="B9387" s="4" t="n">
        <v>3</v>
      </c>
      <c r="C9387" s="4" t="inlineStr">
        <is>
          <t>whitetail</t>
        </is>
      </c>
      <c r="D9387" s="4" t="n">
        <v>2021</v>
      </c>
      <c r="E9387" s="13" t="inlineStr">
        <is>
          <t>General</t>
        </is>
      </c>
      <c r="F9387" s="5" t="n">
        <v>764</v>
      </c>
      <c r="G9387" s="5" t="n">
        <v>4932</v>
      </c>
      <c r="H9387" s="5" t="n">
        <v>498</v>
      </c>
      <c r="I9387" s="5" t="n">
        <v>267</v>
      </c>
      <c r="J9387" s="5" t="n">
        <v>232</v>
      </c>
      <c r="K9387" s="10">
        <f>IF(F9387&gt;0,H9387/F9387,"")</f>
        <v/>
      </c>
      <c r="L9387" s="16">
        <f>IF(AND(G9387&gt;0,H9387&gt;0),G9387/H9387,"")</f>
        <v/>
      </c>
    </row>
    <row r="9388">
      <c r="A9388" s="4" t="inlineStr">
        <is>
          <t>309</t>
        </is>
      </c>
      <c r="B9388" s="4" t="n">
        <v>3</v>
      </c>
      <c r="C9388" s="4" t="inlineStr">
        <is>
          <t>whitetail</t>
        </is>
      </c>
      <c r="D9388" s="4" t="n">
        <v>2022</v>
      </c>
      <c r="E9388" s="13" t="inlineStr">
        <is>
          <t>General</t>
        </is>
      </c>
      <c r="F9388" s="5" t="n"/>
      <c r="G9388" s="5" t="n"/>
      <c r="H9388" s="5" t="n">
        <v>488</v>
      </c>
      <c r="I9388" s="5" t="n">
        <v>223</v>
      </c>
      <c r="J9388" s="5" t="n">
        <v>265</v>
      </c>
      <c r="K9388" s="10">
        <f>IF(F9388&gt;0,H9388/F9388,"")</f>
        <v/>
      </c>
      <c r="L9388" s="16">
        <f>IF(AND(G9388&gt;0,H9388&gt;0),G9388/H9388,"")</f>
        <v/>
      </c>
    </row>
    <row r="9389">
      <c r="A9389" s="4" t="inlineStr">
        <is>
          <t>309</t>
        </is>
      </c>
      <c r="B9389" s="4" t="n">
        <v>3</v>
      </c>
      <c r="C9389" s="4" t="inlineStr">
        <is>
          <t>whitetail</t>
        </is>
      </c>
      <c r="D9389" s="4" t="n">
        <v>2023</v>
      </c>
      <c r="E9389" s="13" t="inlineStr">
        <is>
          <t>General</t>
        </is>
      </c>
      <c r="F9389" s="5" t="n">
        <v>627</v>
      </c>
      <c r="G9389" s="5" t="n">
        <v>4167</v>
      </c>
      <c r="H9389" s="5" t="n">
        <v>398</v>
      </c>
      <c r="I9389" s="5" t="n">
        <v>196</v>
      </c>
      <c r="J9389" s="5" t="n">
        <v>202</v>
      </c>
      <c r="K9389" s="10">
        <f>IF(F9389&gt;0,H9389/F9389,"")</f>
        <v/>
      </c>
      <c r="L9389" s="16">
        <f>IF(AND(G9389&gt;0,H9389&gt;0),G9389/H9389,"")</f>
        <v/>
      </c>
    </row>
    <row r="9390">
      <c r="A9390" s="4" t="inlineStr">
        <is>
          <t>309</t>
        </is>
      </c>
      <c r="B9390" s="4" t="n">
        <v>3</v>
      </c>
      <c r="C9390" s="4" t="inlineStr">
        <is>
          <t>whitetail</t>
        </is>
      </c>
      <c r="D9390" s="4" t="n">
        <v>2024</v>
      </c>
      <c r="E9390" s="13" t="inlineStr">
        <is>
          <t>General</t>
        </is>
      </c>
      <c r="F9390" s="5" t="n"/>
      <c r="G9390" s="5" t="n"/>
      <c r="H9390" s="5" t="n">
        <v>405</v>
      </c>
      <c r="I9390" s="5" t="n">
        <v>236</v>
      </c>
      <c r="J9390" s="5" t="n">
        <v>169</v>
      </c>
      <c r="K9390" s="10">
        <f>IF(F9390&gt;0,H9390/F9390,"")</f>
        <v/>
      </c>
      <c r="L9390" s="16">
        <f>IF(AND(G9390&gt;0,H9390&gt;0),G9390/H9390,"")</f>
        <v/>
      </c>
    </row>
    <row r="9391">
      <c r="A9391" s="4" t="inlineStr">
        <is>
          <t>309</t>
        </is>
      </c>
      <c r="B9391" s="4" t="n">
        <v>3</v>
      </c>
      <c r="C9391" s="4" t="inlineStr">
        <is>
          <t>whitetail</t>
        </is>
      </c>
      <c r="D9391" s="4" t="n">
        <v>2025</v>
      </c>
      <c r="E9391" s="13" t="inlineStr">
        <is>
          <t>General</t>
        </is>
      </c>
      <c r="F9391" s="5" t="n">
        <v>802</v>
      </c>
      <c r="G9391" s="5" t="n">
        <v>5389</v>
      </c>
      <c r="H9391" s="5" t="n">
        <v>346</v>
      </c>
      <c r="I9391" s="5" t="n">
        <v>174</v>
      </c>
      <c r="J9391" s="5" t="n">
        <v>173</v>
      </c>
      <c r="K9391" s="10">
        <f>IF(F9391&gt;0,H9391/F9391,"")</f>
        <v/>
      </c>
      <c r="L9391" s="16">
        <f>IF(AND(G9391&gt;0,H9391&gt;0),G9391/H9391,"")</f>
        <v/>
      </c>
    </row>
    <row r="9392">
      <c r="A9392" s="4" t="inlineStr">
        <is>
          <t>310</t>
        </is>
      </c>
      <c r="B9392" s="4" t="n">
        <v>3</v>
      </c>
      <c r="C9392" s="4" t="inlineStr">
        <is>
          <t>whitetail</t>
        </is>
      </c>
      <c r="D9392" s="4" t="n">
        <v>2004</v>
      </c>
      <c r="E9392" s="13" t="inlineStr">
        <is>
          <t>General</t>
        </is>
      </c>
      <c r="F9392" s="5" t="n">
        <v>284</v>
      </c>
      <c r="G9392" s="5" t="n">
        <v>1438</v>
      </c>
      <c r="H9392" s="5" t="n">
        <v>8</v>
      </c>
      <c r="I9392" s="5" t="n">
        <v>2</v>
      </c>
      <c r="J9392" s="5" t="n">
        <v>6</v>
      </c>
      <c r="K9392" s="10">
        <f>IF(F9392&gt;0,H9392/F9392,"")</f>
        <v/>
      </c>
      <c r="L9392" s="16">
        <f>IF(AND(G9392&gt;0,H9392&gt;0),G9392/H9392,"")</f>
        <v/>
      </c>
    </row>
    <row r="9393">
      <c r="A9393" s="4" t="inlineStr">
        <is>
          <t>310</t>
        </is>
      </c>
      <c r="B9393" s="4" t="n">
        <v>3</v>
      </c>
      <c r="C9393" s="4" t="inlineStr">
        <is>
          <t>whitetail</t>
        </is>
      </c>
      <c r="D9393" s="4" t="n">
        <v>2005</v>
      </c>
      <c r="E9393" s="13" t="inlineStr">
        <is>
          <t>General</t>
        </is>
      </c>
      <c r="F9393" s="5" t="n">
        <v>256</v>
      </c>
      <c r="G9393" s="5" t="n">
        <v>1336</v>
      </c>
      <c r="H9393" s="5" t="n">
        <v>18</v>
      </c>
      <c r="I9393" s="5" t="n">
        <v>9</v>
      </c>
      <c r="J9393" s="5" t="n">
        <v>9</v>
      </c>
      <c r="K9393" s="10">
        <f>IF(F9393&gt;0,H9393/F9393,"")</f>
        <v/>
      </c>
      <c r="L9393" s="16">
        <f>IF(AND(G9393&gt;0,H9393&gt;0),G9393/H9393,"")</f>
        <v/>
      </c>
    </row>
    <row r="9394">
      <c r="A9394" s="4" t="inlineStr">
        <is>
          <t>310</t>
        </is>
      </c>
      <c r="B9394" s="4" t="n">
        <v>3</v>
      </c>
      <c r="C9394" s="4" t="inlineStr">
        <is>
          <t>whitetail</t>
        </is>
      </c>
      <c r="D9394" s="4" t="n">
        <v>2006</v>
      </c>
      <c r="E9394" s="13" t="inlineStr">
        <is>
          <t>General</t>
        </is>
      </c>
      <c r="F9394" s="5" t="n">
        <v>221</v>
      </c>
      <c r="G9394" s="5" t="n">
        <v>1582</v>
      </c>
      <c r="H9394" s="5" t="n">
        <v>44</v>
      </c>
      <c r="I9394" s="5" t="n">
        <v>15</v>
      </c>
      <c r="J9394" s="5" t="n">
        <v>29</v>
      </c>
      <c r="K9394" s="10">
        <f>IF(F9394&gt;0,H9394/F9394,"")</f>
        <v/>
      </c>
      <c r="L9394" s="16">
        <f>IF(AND(G9394&gt;0,H9394&gt;0),G9394/H9394,"")</f>
        <v/>
      </c>
    </row>
    <row r="9395">
      <c r="A9395" s="4" t="inlineStr">
        <is>
          <t>310</t>
        </is>
      </c>
      <c r="B9395" s="4" t="n">
        <v>3</v>
      </c>
      <c r="C9395" s="4" t="inlineStr">
        <is>
          <t>whitetail</t>
        </is>
      </c>
      <c r="D9395" s="4" t="n">
        <v>2007</v>
      </c>
      <c r="E9395" s="13" t="inlineStr">
        <is>
          <t>General</t>
        </is>
      </c>
      <c r="F9395" s="5" t="n">
        <v>263</v>
      </c>
      <c r="G9395" s="5" t="n">
        <v>2114</v>
      </c>
      <c r="H9395" s="5" t="n">
        <v>33</v>
      </c>
      <c r="I9395" s="5" t="n">
        <v>21</v>
      </c>
      <c r="J9395" s="5" t="n">
        <v>7</v>
      </c>
      <c r="K9395" s="10">
        <f>IF(F9395&gt;0,H9395/F9395,"")</f>
        <v/>
      </c>
      <c r="L9395" s="16">
        <f>IF(AND(G9395&gt;0,H9395&gt;0),G9395/H9395,"")</f>
        <v/>
      </c>
    </row>
    <row r="9396">
      <c r="A9396" s="4" t="inlineStr">
        <is>
          <t>310</t>
        </is>
      </c>
      <c r="B9396" s="4" t="n">
        <v>3</v>
      </c>
      <c r="C9396" s="4" t="inlineStr">
        <is>
          <t>whitetail</t>
        </is>
      </c>
      <c r="D9396" s="4" t="n">
        <v>2008</v>
      </c>
      <c r="E9396" s="13" t="inlineStr">
        <is>
          <t>General</t>
        </is>
      </c>
      <c r="F9396" s="5" t="n">
        <v>252</v>
      </c>
      <c r="G9396" s="5" t="n">
        <v>1573</v>
      </c>
      <c r="H9396" s="5" t="n">
        <v>45</v>
      </c>
      <c r="I9396" s="5" t="n">
        <v>21</v>
      </c>
      <c r="J9396" s="5" t="n">
        <v>24</v>
      </c>
      <c r="K9396" s="10">
        <f>IF(F9396&gt;0,H9396/F9396,"")</f>
        <v/>
      </c>
      <c r="L9396" s="16">
        <f>IF(AND(G9396&gt;0,H9396&gt;0),G9396/H9396,"")</f>
        <v/>
      </c>
    </row>
    <row r="9397">
      <c r="A9397" s="4" t="inlineStr">
        <is>
          <t>310</t>
        </is>
      </c>
      <c r="B9397" s="4" t="n">
        <v>3</v>
      </c>
      <c r="C9397" s="4" t="inlineStr">
        <is>
          <t>whitetail</t>
        </is>
      </c>
      <c r="D9397" s="4" t="n">
        <v>2009</v>
      </c>
      <c r="E9397" s="13" t="inlineStr">
        <is>
          <t>General</t>
        </is>
      </c>
      <c r="F9397" s="5" t="n">
        <v>280</v>
      </c>
      <c r="G9397" s="5" t="n">
        <v>1640</v>
      </c>
      <c r="H9397" s="5" t="n">
        <v>39</v>
      </c>
      <c r="I9397" s="5" t="n">
        <v>24</v>
      </c>
      <c r="J9397" s="5" t="n">
        <v>12</v>
      </c>
      <c r="K9397" s="10">
        <f>IF(F9397&gt;0,H9397/F9397,"")</f>
        <v/>
      </c>
      <c r="L9397" s="16">
        <f>IF(AND(G9397&gt;0,H9397&gt;0),G9397/H9397,"")</f>
        <v/>
      </c>
    </row>
    <row r="9398">
      <c r="A9398" s="4" t="inlineStr">
        <is>
          <t>310</t>
        </is>
      </c>
      <c r="B9398" s="4" t="n">
        <v>3</v>
      </c>
      <c r="C9398" s="4" t="inlineStr">
        <is>
          <t>whitetail</t>
        </is>
      </c>
      <c r="D9398" s="4" t="n">
        <v>2010</v>
      </c>
      <c r="E9398" s="13" t="inlineStr">
        <is>
          <t>General</t>
        </is>
      </c>
      <c r="F9398" s="5" t="n">
        <v>195</v>
      </c>
      <c r="G9398" s="5" t="n">
        <v>1144</v>
      </c>
      <c r="H9398" s="5" t="n">
        <v>26</v>
      </c>
      <c r="I9398" s="5" t="n">
        <v>14</v>
      </c>
      <c r="J9398" s="5" t="n">
        <v>12</v>
      </c>
      <c r="K9398" s="10">
        <f>IF(F9398&gt;0,H9398/F9398,"")</f>
        <v/>
      </c>
      <c r="L9398" s="16">
        <f>IF(AND(G9398&gt;0,H9398&gt;0),G9398/H9398,"")</f>
        <v/>
      </c>
    </row>
    <row r="9399">
      <c r="A9399" s="4" t="inlineStr">
        <is>
          <t>310</t>
        </is>
      </c>
      <c r="B9399" s="4" t="n">
        <v>3</v>
      </c>
      <c r="C9399" s="4" t="inlineStr">
        <is>
          <t>whitetail</t>
        </is>
      </c>
      <c r="D9399" s="4" t="n">
        <v>2011</v>
      </c>
      <c r="E9399" s="13" t="inlineStr">
        <is>
          <t>General</t>
        </is>
      </c>
      <c r="F9399" s="5" t="n">
        <v>322</v>
      </c>
      <c r="G9399" s="5" t="n">
        <v>2020</v>
      </c>
      <c r="H9399" s="5" t="n">
        <v>27</v>
      </c>
      <c r="I9399" s="5" t="n">
        <v>15</v>
      </c>
      <c r="J9399" s="5" t="n">
        <v>12</v>
      </c>
      <c r="K9399" s="10">
        <f>IF(F9399&gt;0,H9399/F9399,"")</f>
        <v/>
      </c>
      <c r="L9399" s="16">
        <f>IF(AND(G9399&gt;0,H9399&gt;0),G9399/H9399,"")</f>
        <v/>
      </c>
    </row>
    <row r="9400">
      <c r="A9400" s="4" t="inlineStr">
        <is>
          <t>310</t>
        </is>
      </c>
      <c r="B9400" s="4" t="n">
        <v>3</v>
      </c>
      <c r="C9400" s="4" t="inlineStr">
        <is>
          <t>whitetail</t>
        </is>
      </c>
      <c r="D9400" s="4" t="n">
        <v>2012</v>
      </c>
      <c r="E9400" s="13" t="inlineStr">
        <is>
          <t>General</t>
        </is>
      </c>
      <c r="F9400" s="5" t="n"/>
      <c r="G9400" s="5" t="n"/>
      <c r="H9400" s="5" t="n">
        <v>31</v>
      </c>
      <c r="I9400" s="5" t="n">
        <v>14</v>
      </c>
      <c r="J9400" s="5" t="n">
        <v>17</v>
      </c>
      <c r="K9400" s="10">
        <f>IF(F9400&gt;0,H9400/F9400,"")</f>
        <v/>
      </c>
      <c r="L9400" s="16">
        <f>IF(AND(G9400&gt;0,H9400&gt;0),G9400/H9400,"")</f>
        <v/>
      </c>
    </row>
    <row r="9401">
      <c r="A9401" s="4" t="inlineStr">
        <is>
          <t>310</t>
        </is>
      </c>
      <c r="B9401" s="4" t="n">
        <v>3</v>
      </c>
      <c r="C9401" s="4" t="inlineStr">
        <is>
          <t>whitetail</t>
        </is>
      </c>
      <c r="D9401" s="4" t="n">
        <v>2013</v>
      </c>
      <c r="E9401" s="13" t="inlineStr">
        <is>
          <t>General</t>
        </is>
      </c>
      <c r="F9401" s="5" t="n">
        <v>288</v>
      </c>
      <c r="G9401" s="5" t="n">
        <v>1987</v>
      </c>
      <c r="H9401" s="5" t="n">
        <v>22</v>
      </c>
      <c r="I9401" s="5" t="n">
        <v>14</v>
      </c>
      <c r="J9401" s="5" t="n">
        <v>8</v>
      </c>
      <c r="K9401" s="10">
        <f>IF(F9401&gt;0,H9401/F9401,"")</f>
        <v/>
      </c>
      <c r="L9401" s="16">
        <f>IF(AND(G9401&gt;0,H9401&gt;0),G9401/H9401,"")</f>
        <v/>
      </c>
    </row>
    <row r="9402">
      <c r="A9402" s="4" t="inlineStr">
        <is>
          <t>310</t>
        </is>
      </c>
      <c r="B9402" s="4" t="n">
        <v>3</v>
      </c>
      <c r="C9402" s="4" t="inlineStr">
        <is>
          <t>whitetail</t>
        </is>
      </c>
      <c r="D9402" s="4" t="n">
        <v>2014</v>
      </c>
      <c r="E9402" s="13" t="inlineStr">
        <is>
          <t>General</t>
        </is>
      </c>
      <c r="F9402" s="5" t="n"/>
      <c r="G9402" s="5" t="n"/>
      <c r="H9402" s="5" t="n">
        <v>13</v>
      </c>
      <c r="I9402" s="5" t="n">
        <v>0</v>
      </c>
      <c r="J9402" s="5" t="n">
        <v>13</v>
      </c>
      <c r="K9402" s="10">
        <f>IF(F9402&gt;0,H9402/F9402,"")</f>
        <v/>
      </c>
      <c r="L9402" s="16">
        <f>IF(AND(G9402&gt;0,H9402&gt;0),G9402/H9402,"")</f>
        <v/>
      </c>
    </row>
    <row r="9403">
      <c r="A9403" s="4" t="inlineStr">
        <is>
          <t>310</t>
        </is>
      </c>
      <c r="B9403" s="4" t="n">
        <v>3</v>
      </c>
      <c r="C9403" s="4" t="inlineStr">
        <is>
          <t>whitetail</t>
        </is>
      </c>
      <c r="D9403" s="4" t="n">
        <v>2015</v>
      </c>
      <c r="E9403" s="13" t="inlineStr">
        <is>
          <t>General</t>
        </is>
      </c>
      <c r="F9403" s="5" t="n"/>
      <c r="G9403" s="5" t="n"/>
      <c r="H9403" s="5" t="n">
        <v>19</v>
      </c>
      <c r="I9403" s="5" t="n">
        <v>6</v>
      </c>
      <c r="J9403" s="5" t="n">
        <v>13</v>
      </c>
      <c r="K9403" s="10">
        <f>IF(F9403&gt;0,H9403/F9403,"")</f>
        <v/>
      </c>
      <c r="L9403" s="16">
        <f>IF(AND(G9403&gt;0,H9403&gt;0),G9403/H9403,"")</f>
        <v/>
      </c>
    </row>
    <row r="9404">
      <c r="A9404" s="4" t="inlineStr">
        <is>
          <t>310</t>
        </is>
      </c>
      <c r="B9404" s="4" t="n">
        <v>3</v>
      </c>
      <c r="C9404" s="4" t="inlineStr">
        <is>
          <t>whitetail</t>
        </is>
      </c>
      <c r="D9404" s="4" t="n">
        <v>2016</v>
      </c>
      <c r="E9404" s="13" t="inlineStr">
        <is>
          <t>General</t>
        </is>
      </c>
      <c r="F9404" s="5" t="n"/>
      <c r="G9404" s="5" t="n"/>
      <c r="H9404" s="5" t="n">
        <v>21</v>
      </c>
      <c r="I9404" s="5" t="n">
        <v>18</v>
      </c>
      <c r="J9404" s="5" t="n">
        <v>3</v>
      </c>
      <c r="K9404" s="10">
        <f>IF(F9404&gt;0,H9404/F9404,"")</f>
        <v/>
      </c>
      <c r="L9404" s="16">
        <f>IF(AND(G9404&gt;0,H9404&gt;0),G9404/H9404,"")</f>
        <v/>
      </c>
    </row>
    <row r="9405">
      <c r="A9405" s="4" t="inlineStr">
        <is>
          <t>310</t>
        </is>
      </c>
      <c r="B9405" s="4" t="n">
        <v>3</v>
      </c>
      <c r="C9405" s="4" t="inlineStr">
        <is>
          <t>whitetail</t>
        </is>
      </c>
      <c r="D9405" s="4" t="n">
        <v>2017</v>
      </c>
      <c r="E9405" s="13" t="inlineStr">
        <is>
          <t>General</t>
        </is>
      </c>
      <c r="F9405" s="5" t="n">
        <v>332</v>
      </c>
      <c r="G9405" s="5" t="n">
        <v>2145</v>
      </c>
      <c r="H9405" s="5" t="n">
        <v>16</v>
      </c>
      <c r="I9405" s="5" t="n">
        <v>3</v>
      </c>
      <c r="J9405" s="5" t="n">
        <v>13</v>
      </c>
      <c r="K9405" s="10">
        <f>IF(F9405&gt;0,H9405/F9405,"")</f>
        <v/>
      </c>
      <c r="L9405" s="16">
        <f>IF(AND(G9405&gt;0,H9405&gt;0),G9405/H9405,"")</f>
        <v/>
      </c>
    </row>
    <row r="9406">
      <c r="A9406" s="4" t="inlineStr">
        <is>
          <t>310</t>
        </is>
      </c>
      <c r="B9406" s="4" t="n">
        <v>3</v>
      </c>
      <c r="C9406" s="4" t="inlineStr">
        <is>
          <t>whitetail</t>
        </is>
      </c>
      <c r="D9406" s="4" t="n">
        <v>2018</v>
      </c>
      <c r="E9406" s="13" t="inlineStr">
        <is>
          <t>General</t>
        </is>
      </c>
      <c r="F9406" s="5" t="n"/>
      <c r="G9406" s="5" t="n"/>
      <c r="H9406" s="5" t="n">
        <v>12</v>
      </c>
      <c r="I9406" s="5" t="n">
        <v>6</v>
      </c>
      <c r="J9406" s="5" t="n">
        <v>6</v>
      </c>
      <c r="K9406" s="10">
        <f>IF(F9406&gt;0,H9406/F9406,"")</f>
        <v/>
      </c>
      <c r="L9406" s="16">
        <f>IF(AND(G9406&gt;0,H9406&gt;0),G9406/H9406,"")</f>
        <v/>
      </c>
    </row>
    <row r="9407">
      <c r="A9407" s="4" t="inlineStr">
        <is>
          <t>310</t>
        </is>
      </c>
      <c r="B9407" s="4" t="n">
        <v>3</v>
      </c>
      <c r="C9407" s="4" t="inlineStr">
        <is>
          <t>whitetail</t>
        </is>
      </c>
      <c r="D9407" s="4" t="n">
        <v>2019</v>
      </c>
      <c r="E9407" s="13" t="inlineStr">
        <is>
          <t>General</t>
        </is>
      </c>
      <c r="F9407" s="5" t="n">
        <v>343</v>
      </c>
      <c r="G9407" s="5" t="n">
        <v>2285</v>
      </c>
      <c r="H9407" s="5" t="n">
        <v>14</v>
      </c>
      <c r="I9407" s="5" t="n">
        <v>7</v>
      </c>
      <c r="J9407" s="5" t="n">
        <v>7</v>
      </c>
      <c r="K9407" s="10">
        <f>IF(F9407&gt;0,H9407/F9407,"")</f>
        <v/>
      </c>
      <c r="L9407" s="16">
        <f>IF(AND(G9407&gt;0,H9407&gt;0),G9407/H9407,"")</f>
        <v/>
      </c>
    </row>
    <row r="9408">
      <c r="A9408" s="4" t="inlineStr">
        <is>
          <t>310</t>
        </is>
      </c>
      <c r="B9408" s="4" t="n">
        <v>3</v>
      </c>
      <c r="C9408" s="4" t="inlineStr">
        <is>
          <t>whitetail</t>
        </is>
      </c>
      <c r="D9408" s="4" t="n">
        <v>2020</v>
      </c>
      <c r="E9408" s="13" t="inlineStr">
        <is>
          <t>General</t>
        </is>
      </c>
      <c r="F9408" s="5" t="n"/>
      <c r="G9408" s="5" t="n"/>
      <c r="H9408" s="5" t="n">
        <v>13</v>
      </c>
      <c r="I9408" s="5" t="n">
        <v>10</v>
      </c>
      <c r="J9408" s="5" t="n">
        <v>3</v>
      </c>
      <c r="K9408" s="10">
        <f>IF(F9408&gt;0,H9408/F9408,"")</f>
        <v/>
      </c>
      <c r="L9408" s="16">
        <f>IF(AND(G9408&gt;0,H9408&gt;0),G9408/H9408,"")</f>
        <v/>
      </c>
    </row>
    <row r="9409">
      <c r="A9409" s="4" t="inlineStr">
        <is>
          <t>310</t>
        </is>
      </c>
      <c r="B9409" s="4" t="n">
        <v>3</v>
      </c>
      <c r="C9409" s="4" t="inlineStr">
        <is>
          <t>whitetail</t>
        </is>
      </c>
      <c r="D9409" s="4" t="n">
        <v>2021</v>
      </c>
      <c r="E9409" s="13" t="inlineStr">
        <is>
          <t>General</t>
        </is>
      </c>
      <c r="F9409" s="5" t="n">
        <v>295</v>
      </c>
      <c r="G9409" s="5" t="n">
        <v>1884</v>
      </c>
      <c r="H9409" s="5" t="n">
        <v>11</v>
      </c>
      <c r="I9409" s="5" t="n">
        <v>11</v>
      </c>
      <c r="J9409" s="5" t="n">
        <v>0</v>
      </c>
      <c r="K9409" s="10">
        <f>IF(F9409&gt;0,H9409/F9409,"")</f>
        <v/>
      </c>
      <c r="L9409" s="16">
        <f>IF(AND(G9409&gt;0,H9409&gt;0),G9409/H9409,"")</f>
        <v/>
      </c>
    </row>
    <row r="9410">
      <c r="A9410" s="4" t="inlineStr">
        <is>
          <t>310</t>
        </is>
      </c>
      <c r="B9410" s="4" t="n">
        <v>3</v>
      </c>
      <c r="C9410" s="4" t="inlineStr">
        <is>
          <t>whitetail</t>
        </is>
      </c>
      <c r="D9410" s="4" t="n">
        <v>2022</v>
      </c>
      <c r="E9410" s="13" t="inlineStr">
        <is>
          <t>General</t>
        </is>
      </c>
      <c r="F9410" s="5" t="n"/>
      <c r="G9410" s="5" t="n"/>
      <c r="H9410" s="5" t="n">
        <v>25</v>
      </c>
      <c r="I9410" s="5" t="n">
        <v>10</v>
      </c>
      <c r="J9410" s="5" t="n">
        <v>15</v>
      </c>
      <c r="K9410" s="10">
        <f>IF(F9410&gt;0,H9410/F9410,"")</f>
        <v/>
      </c>
      <c r="L9410" s="16">
        <f>IF(AND(G9410&gt;0,H9410&gt;0),G9410/H9410,"")</f>
        <v/>
      </c>
    </row>
    <row r="9411">
      <c r="A9411" s="4" t="inlineStr">
        <is>
          <t>310</t>
        </is>
      </c>
      <c r="B9411" s="4" t="n">
        <v>3</v>
      </c>
      <c r="C9411" s="4" t="inlineStr">
        <is>
          <t>whitetail</t>
        </is>
      </c>
      <c r="D9411" s="4" t="n">
        <v>2023</v>
      </c>
      <c r="E9411" s="13" t="inlineStr">
        <is>
          <t>General</t>
        </is>
      </c>
      <c r="F9411" s="5" t="n">
        <v>504</v>
      </c>
      <c r="G9411" s="5" t="n">
        <v>3778</v>
      </c>
      <c r="H9411" s="5" t="n">
        <v>36</v>
      </c>
      <c r="I9411" s="5" t="n">
        <v>23</v>
      </c>
      <c r="J9411" s="5" t="n">
        <v>13</v>
      </c>
      <c r="K9411" s="10">
        <f>IF(F9411&gt;0,H9411/F9411,"")</f>
        <v/>
      </c>
      <c r="L9411" s="16">
        <f>IF(AND(G9411&gt;0,H9411&gt;0),G9411/H9411,"")</f>
        <v/>
      </c>
    </row>
    <row r="9412">
      <c r="A9412" s="4" t="inlineStr">
        <is>
          <t>310</t>
        </is>
      </c>
      <c r="B9412" s="4" t="n">
        <v>3</v>
      </c>
      <c r="C9412" s="4" t="inlineStr">
        <is>
          <t>whitetail</t>
        </is>
      </c>
      <c r="D9412" s="4" t="n">
        <v>2024</v>
      </c>
      <c r="E9412" s="13" t="inlineStr">
        <is>
          <t>General</t>
        </is>
      </c>
      <c r="F9412" s="5" t="n"/>
      <c r="G9412" s="5" t="n"/>
      <c r="H9412" s="5" t="n">
        <v>21</v>
      </c>
      <c r="I9412" s="5" t="n">
        <v>16</v>
      </c>
      <c r="J9412" s="5" t="n">
        <v>6</v>
      </c>
      <c r="K9412" s="10">
        <f>IF(F9412&gt;0,H9412/F9412,"")</f>
        <v/>
      </c>
      <c r="L9412" s="16">
        <f>IF(AND(G9412&gt;0,H9412&gt;0),G9412/H9412,"")</f>
        <v/>
      </c>
    </row>
    <row r="9413">
      <c r="A9413" s="4" t="inlineStr">
        <is>
          <t>310</t>
        </is>
      </c>
      <c r="B9413" s="4" t="n">
        <v>3</v>
      </c>
      <c r="C9413" s="4" t="inlineStr">
        <is>
          <t>whitetail</t>
        </is>
      </c>
      <c r="D9413" s="4" t="n">
        <v>2025</v>
      </c>
      <c r="E9413" s="13" t="inlineStr">
        <is>
          <t>General</t>
        </is>
      </c>
      <c r="F9413" s="5" t="n">
        <v>527</v>
      </c>
      <c r="G9413" s="5" t="n">
        <v>3514</v>
      </c>
      <c r="H9413" s="5" t="n">
        <v>38</v>
      </c>
      <c r="I9413" s="5" t="n">
        <v>31</v>
      </c>
      <c r="J9413" s="5" t="n">
        <v>7</v>
      </c>
      <c r="K9413" s="10">
        <f>IF(F9413&gt;0,H9413/F9413,"")</f>
        <v/>
      </c>
      <c r="L9413" s="16">
        <f>IF(AND(G9413&gt;0,H9413&gt;0),G9413/H9413,"")</f>
        <v/>
      </c>
    </row>
    <row r="9414">
      <c r="A9414" s="4" t="inlineStr">
        <is>
          <t>311</t>
        </is>
      </c>
      <c r="B9414" s="4" t="n">
        <v>3</v>
      </c>
      <c r="C9414" s="4" t="inlineStr">
        <is>
          <t>whitetail</t>
        </is>
      </c>
      <c r="D9414" s="4" t="n">
        <v>2004</v>
      </c>
      <c r="E9414" s="13" t="inlineStr">
        <is>
          <t>General</t>
        </is>
      </c>
      <c r="F9414" s="5" t="n">
        <v>1902</v>
      </c>
      <c r="G9414" s="5" t="n">
        <v>9574</v>
      </c>
      <c r="H9414" s="5" t="n">
        <v>788</v>
      </c>
      <c r="I9414" s="5" t="n">
        <v>368</v>
      </c>
      <c r="J9414" s="5" t="n">
        <v>401</v>
      </c>
      <c r="K9414" s="10">
        <f>IF(F9414&gt;0,H9414/F9414,"")</f>
        <v/>
      </c>
      <c r="L9414" s="16">
        <f>IF(AND(G9414&gt;0,H9414&gt;0),G9414/H9414,"")</f>
        <v/>
      </c>
    </row>
    <row r="9415">
      <c r="A9415" s="4" t="inlineStr">
        <is>
          <t>311</t>
        </is>
      </c>
      <c r="B9415" s="4" t="n">
        <v>3</v>
      </c>
      <c r="C9415" s="4" t="inlineStr">
        <is>
          <t>whitetail</t>
        </is>
      </c>
      <c r="D9415" s="4" t="n">
        <v>2005</v>
      </c>
      <c r="E9415" s="13" t="inlineStr">
        <is>
          <t>General</t>
        </is>
      </c>
      <c r="F9415" s="5" t="n">
        <v>1629</v>
      </c>
      <c r="G9415" s="5" t="n">
        <v>7446</v>
      </c>
      <c r="H9415" s="5" t="n">
        <v>762</v>
      </c>
      <c r="I9415" s="5" t="n">
        <v>355</v>
      </c>
      <c r="J9415" s="5" t="n">
        <v>381</v>
      </c>
      <c r="K9415" s="10">
        <f>IF(F9415&gt;0,H9415/F9415,"")</f>
        <v/>
      </c>
      <c r="L9415" s="16">
        <f>IF(AND(G9415&gt;0,H9415&gt;0),G9415/H9415,"")</f>
        <v/>
      </c>
    </row>
    <row r="9416">
      <c r="A9416" s="4" t="inlineStr">
        <is>
          <t>311</t>
        </is>
      </c>
      <c r="B9416" s="4" t="n">
        <v>3</v>
      </c>
      <c r="C9416" s="4" t="inlineStr">
        <is>
          <t>whitetail</t>
        </is>
      </c>
      <c r="D9416" s="4" t="n">
        <v>2006</v>
      </c>
      <c r="E9416" s="13" t="inlineStr">
        <is>
          <t>General</t>
        </is>
      </c>
      <c r="F9416" s="5" t="n">
        <v>1726</v>
      </c>
      <c r="G9416" s="5" t="n">
        <v>8395</v>
      </c>
      <c r="H9416" s="5" t="n">
        <v>869</v>
      </c>
      <c r="I9416" s="5" t="n">
        <v>444</v>
      </c>
      <c r="J9416" s="5" t="n">
        <v>407</v>
      </c>
      <c r="K9416" s="10">
        <f>IF(F9416&gt;0,H9416/F9416,"")</f>
        <v/>
      </c>
      <c r="L9416" s="16">
        <f>IF(AND(G9416&gt;0,H9416&gt;0),G9416/H9416,"")</f>
        <v/>
      </c>
    </row>
    <row r="9417">
      <c r="A9417" s="4" t="inlineStr">
        <is>
          <t>311</t>
        </is>
      </c>
      <c r="B9417" s="4" t="n">
        <v>3</v>
      </c>
      <c r="C9417" s="4" t="inlineStr">
        <is>
          <t>whitetail</t>
        </is>
      </c>
      <c r="D9417" s="4" t="n">
        <v>2007</v>
      </c>
      <c r="E9417" s="13" t="inlineStr">
        <is>
          <t>General</t>
        </is>
      </c>
      <c r="F9417" s="5" t="n">
        <v>1779</v>
      </c>
      <c r="G9417" s="5" t="n">
        <v>8514</v>
      </c>
      <c r="H9417" s="5" t="n">
        <v>715</v>
      </c>
      <c r="I9417" s="5" t="n">
        <v>316</v>
      </c>
      <c r="J9417" s="5" t="n">
        <v>375</v>
      </c>
      <c r="K9417" s="10">
        <f>IF(F9417&gt;0,H9417/F9417,"")</f>
        <v/>
      </c>
      <c r="L9417" s="16">
        <f>IF(AND(G9417&gt;0,H9417&gt;0),G9417/H9417,"")</f>
        <v/>
      </c>
    </row>
    <row r="9418">
      <c r="A9418" s="4" t="inlineStr">
        <is>
          <t>311</t>
        </is>
      </c>
      <c r="B9418" s="4" t="n">
        <v>3</v>
      </c>
      <c r="C9418" s="4" t="inlineStr">
        <is>
          <t>whitetail</t>
        </is>
      </c>
      <c r="D9418" s="4" t="n">
        <v>2008</v>
      </c>
      <c r="E9418" s="13" t="inlineStr">
        <is>
          <t>General</t>
        </is>
      </c>
      <c r="F9418" s="5" t="n">
        <v>1717</v>
      </c>
      <c r="G9418" s="5" t="n">
        <v>8336</v>
      </c>
      <c r="H9418" s="5" t="n">
        <v>661</v>
      </c>
      <c r="I9418" s="5" t="n">
        <v>284</v>
      </c>
      <c r="J9418" s="5" t="n">
        <v>363</v>
      </c>
      <c r="K9418" s="10">
        <f>IF(F9418&gt;0,H9418/F9418,"")</f>
        <v/>
      </c>
      <c r="L9418" s="16">
        <f>IF(AND(G9418&gt;0,H9418&gt;0),G9418/H9418,"")</f>
        <v/>
      </c>
    </row>
    <row r="9419">
      <c r="A9419" s="4" t="inlineStr">
        <is>
          <t>311</t>
        </is>
      </c>
      <c r="B9419" s="4" t="n">
        <v>3</v>
      </c>
      <c r="C9419" s="4" t="inlineStr">
        <is>
          <t>whitetail</t>
        </is>
      </c>
      <c r="D9419" s="4" t="n">
        <v>2009</v>
      </c>
      <c r="E9419" s="13" t="inlineStr">
        <is>
          <t>General</t>
        </is>
      </c>
      <c r="F9419" s="5" t="n">
        <v>1698</v>
      </c>
      <c r="G9419" s="5" t="n">
        <v>8964</v>
      </c>
      <c r="H9419" s="5" t="n">
        <v>762</v>
      </c>
      <c r="I9419" s="5" t="n">
        <v>321</v>
      </c>
      <c r="J9419" s="5" t="n">
        <v>432</v>
      </c>
      <c r="K9419" s="10">
        <f>IF(F9419&gt;0,H9419/F9419,"")</f>
        <v/>
      </c>
      <c r="L9419" s="16">
        <f>IF(AND(G9419&gt;0,H9419&gt;0),G9419/H9419,"")</f>
        <v/>
      </c>
    </row>
    <row r="9420">
      <c r="A9420" s="4" t="inlineStr">
        <is>
          <t>311</t>
        </is>
      </c>
      <c r="B9420" s="4" t="n">
        <v>3</v>
      </c>
      <c r="C9420" s="4" t="inlineStr">
        <is>
          <t>whitetail</t>
        </is>
      </c>
      <c r="D9420" s="4" t="n">
        <v>2010</v>
      </c>
      <c r="E9420" s="13" t="inlineStr">
        <is>
          <t>General</t>
        </is>
      </c>
      <c r="F9420" s="5" t="n">
        <v>1641</v>
      </c>
      <c r="G9420" s="5" t="n">
        <v>8961</v>
      </c>
      <c r="H9420" s="5" t="n">
        <v>551</v>
      </c>
      <c r="I9420" s="5" t="n">
        <v>275</v>
      </c>
      <c r="J9420" s="5" t="n">
        <v>270</v>
      </c>
      <c r="K9420" s="10">
        <f>IF(F9420&gt;0,H9420/F9420,"")</f>
        <v/>
      </c>
      <c r="L9420" s="16">
        <f>IF(AND(G9420&gt;0,H9420&gt;0),G9420/H9420,"")</f>
        <v/>
      </c>
    </row>
    <row r="9421">
      <c r="A9421" s="4" t="inlineStr">
        <is>
          <t>311</t>
        </is>
      </c>
      <c r="B9421" s="4" t="n">
        <v>3</v>
      </c>
      <c r="C9421" s="4" t="inlineStr">
        <is>
          <t>whitetail</t>
        </is>
      </c>
      <c r="D9421" s="4" t="n">
        <v>2011</v>
      </c>
      <c r="E9421" s="13" t="inlineStr">
        <is>
          <t>General</t>
        </is>
      </c>
      <c r="F9421" s="5" t="n">
        <v>1793</v>
      </c>
      <c r="G9421" s="5" t="n">
        <v>10394</v>
      </c>
      <c r="H9421" s="5" t="n">
        <v>615</v>
      </c>
      <c r="I9421" s="5" t="n">
        <v>270</v>
      </c>
      <c r="J9421" s="5" t="n">
        <v>333</v>
      </c>
      <c r="K9421" s="10">
        <f>IF(F9421&gt;0,H9421/F9421,"")</f>
        <v/>
      </c>
      <c r="L9421" s="16">
        <f>IF(AND(G9421&gt;0,H9421&gt;0),G9421/H9421,"")</f>
        <v/>
      </c>
    </row>
    <row r="9422">
      <c r="A9422" s="4" t="inlineStr">
        <is>
          <t>311</t>
        </is>
      </c>
      <c r="B9422" s="4" t="n">
        <v>3</v>
      </c>
      <c r="C9422" s="4" t="inlineStr">
        <is>
          <t>whitetail</t>
        </is>
      </c>
      <c r="D9422" s="4" t="n">
        <v>2012</v>
      </c>
      <c r="E9422" s="13" t="inlineStr">
        <is>
          <t>General</t>
        </is>
      </c>
      <c r="F9422" s="5" t="n"/>
      <c r="G9422" s="5" t="n"/>
      <c r="H9422" s="5" t="n">
        <v>704</v>
      </c>
      <c r="I9422" s="5" t="n">
        <v>301</v>
      </c>
      <c r="J9422" s="5" t="n">
        <v>390</v>
      </c>
      <c r="K9422" s="10">
        <f>IF(F9422&gt;0,H9422/F9422,"")</f>
        <v/>
      </c>
      <c r="L9422" s="16">
        <f>IF(AND(G9422&gt;0,H9422&gt;0),G9422/H9422,"")</f>
        <v/>
      </c>
    </row>
    <row r="9423">
      <c r="A9423" s="4" t="inlineStr">
        <is>
          <t>311</t>
        </is>
      </c>
      <c r="B9423" s="4" t="n">
        <v>3</v>
      </c>
      <c r="C9423" s="4" t="inlineStr">
        <is>
          <t>whitetail</t>
        </is>
      </c>
      <c r="D9423" s="4" t="n">
        <v>2013</v>
      </c>
      <c r="E9423" s="13" t="inlineStr">
        <is>
          <t>General</t>
        </is>
      </c>
      <c r="F9423" s="5" t="n">
        <v>1950</v>
      </c>
      <c r="G9423" s="5" t="n">
        <v>9840</v>
      </c>
      <c r="H9423" s="5" t="n">
        <v>568</v>
      </c>
      <c r="I9423" s="5" t="n">
        <v>241</v>
      </c>
      <c r="J9423" s="5" t="n">
        <v>319</v>
      </c>
      <c r="K9423" s="10">
        <f>IF(F9423&gt;0,H9423/F9423,"")</f>
        <v/>
      </c>
      <c r="L9423" s="16">
        <f>IF(AND(G9423&gt;0,H9423&gt;0),G9423/H9423,"")</f>
        <v/>
      </c>
    </row>
    <row r="9424">
      <c r="A9424" s="4" t="inlineStr">
        <is>
          <t>311</t>
        </is>
      </c>
      <c r="B9424" s="4" t="n">
        <v>3</v>
      </c>
      <c r="C9424" s="4" t="inlineStr">
        <is>
          <t>whitetail</t>
        </is>
      </c>
      <c r="D9424" s="4" t="n">
        <v>2014</v>
      </c>
      <c r="E9424" s="13" t="inlineStr">
        <is>
          <t>General</t>
        </is>
      </c>
      <c r="F9424" s="5" t="n"/>
      <c r="G9424" s="5" t="n"/>
      <c r="H9424" s="5" t="n">
        <v>516</v>
      </c>
      <c r="I9424" s="5" t="n">
        <v>241</v>
      </c>
      <c r="J9424" s="5" t="n">
        <v>273</v>
      </c>
      <c r="K9424" s="10">
        <f>IF(F9424&gt;0,H9424/F9424,"")</f>
        <v/>
      </c>
      <c r="L9424" s="16">
        <f>IF(AND(G9424&gt;0,H9424&gt;0),G9424/H9424,"")</f>
        <v/>
      </c>
    </row>
    <row r="9425">
      <c r="A9425" s="4" t="inlineStr">
        <is>
          <t>311</t>
        </is>
      </c>
      <c r="B9425" s="4" t="n">
        <v>3</v>
      </c>
      <c r="C9425" s="4" t="inlineStr">
        <is>
          <t>whitetail</t>
        </is>
      </c>
      <c r="D9425" s="4" t="n">
        <v>2015</v>
      </c>
      <c r="E9425" s="13" t="inlineStr">
        <is>
          <t>General</t>
        </is>
      </c>
      <c r="F9425" s="5" t="n"/>
      <c r="G9425" s="5" t="n"/>
      <c r="H9425" s="5" t="n">
        <v>657</v>
      </c>
      <c r="I9425" s="5" t="n">
        <v>316</v>
      </c>
      <c r="J9425" s="5" t="n">
        <v>328</v>
      </c>
      <c r="K9425" s="10">
        <f>IF(F9425&gt;0,H9425/F9425,"")</f>
        <v/>
      </c>
      <c r="L9425" s="16">
        <f>IF(AND(G9425&gt;0,H9425&gt;0),G9425/H9425,"")</f>
        <v/>
      </c>
    </row>
    <row r="9426">
      <c r="A9426" s="4" t="inlineStr">
        <is>
          <t>311</t>
        </is>
      </c>
      <c r="B9426" s="4" t="n">
        <v>3</v>
      </c>
      <c r="C9426" s="4" t="inlineStr">
        <is>
          <t>whitetail</t>
        </is>
      </c>
      <c r="D9426" s="4" t="n">
        <v>2016</v>
      </c>
      <c r="E9426" s="13" t="inlineStr">
        <is>
          <t>General</t>
        </is>
      </c>
      <c r="F9426" s="5" t="n"/>
      <c r="G9426" s="5" t="n"/>
      <c r="H9426" s="5" t="n">
        <v>786</v>
      </c>
      <c r="I9426" s="5" t="n">
        <v>399</v>
      </c>
      <c r="J9426" s="5" t="n">
        <v>375</v>
      </c>
      <c r="K9426" s="10">
        <f>IF(F9426&gt;0,H9426/F9426,"")</f>
        <v/>
      </c>
      <c r="L9426" s="16">
        <f>IF(AND(G9426&gt;0,H9426&gt;0),G9426/H9426,"")</f>
        <v/>
      </c>
    </row>
    <row r="9427">
      <c r="A9427" s="4" t="inlineStr">
        <is>
          <t>311</t>
        </is>
      </c>
      <c r="B9427" s="4" t="n">
        <v>3</v>
      </c>
      <c r="C9427" s="4" t="inlineStr">
        <is>
          <t>whitetail</t>
        </is>
      </c>
      <c r="D9427" s="4" t="n">
        <v>2017</v>
      </c>
      <c r="E9427" s="13" t="inlineStr">
        <is>
          <t>General</t>
        </is>
      </c>
      <c r="F9427" s="5" t="n">
        <v>2288</v>
      </c>
      <c r="G9427" s="5" t="n">
        <v>12162</v>
      </c>
      <c r="H9427" s="5" t="n">
        <v>1139</v>
      </c>
      <c r="I9427" s="5" t="n">
        <v>452</v>
      </c>
      <c r="J9427" s="5" t="n">
        <v>672</v>
      </c>
      <c r="K9427" s="10">
        <f>IF(F9427&gt;0,H9427/F9427,"")</f>
        <v/>
      </c>
      <c r="L9427" s="16">
        <f>IF(AND(G9427&gt;0,H9427&gt;0),G9427/H9427,"")</f>
        <v/>
      </c>
    </row>
    <row r="9428">
      <c r="A9428" s="4" t="inlineStr">
        <is>
          <t>311</t>
        </is>
      </c>
      <c r="B9428" s="4" t="n">
        <v>3</v>
      </c>
      <c r="C9428" s="4" t="inlineStr">
        <is>
          <t>whitetail</t>
        </is>
      </c>
      <c r="D9428" s="4" t="n">
        <v>2018</v>
      </c>
      <c r="E9428" s="13" t="inlineStr">
        <is>
          <t>General</t>
        </is>
      </c>
      <c r="F9428" s="5" t="n"/>
      <c r="G9428" s="5" t="n"/>
      <c r="H9428" s="5" t="n">
        <v>788</v>
      </c>
      <c r="I9428" s="5" t="n">
        <v>389</v>
      </c>
      <c r="J9428" s="5" t="n">
        <v>395</v>
      </c>
      <c r="K9428" s="10">
        <f>IF(F9428&gt;0,H9428/F9428,"")</f>
        <v/>
      </c>
      <c r="L9428" s="16">
        <f>IF(AND(G9428&gt;0,H9428&gt;0),G9428/H9428,"")</f>
        <v/>
      </c>
    </row>
    <row r="9429">
      <c r="A9429" s="4" t="inlineStr">
        <is>
          <t>311</t>
        </is>
      </c>
      <c r="B9429" s="4" t="n">
        <v>3</v>
      </c>
      <c r="C9429" s="4" t="inlineStr">
        <is>
          <t>whitetail</t>
        </is>
      </c>
      <c r="D9429" s="4" t="n">
        <v>2019</v>
      </c>
      <c r="E9429" s="13" t="inlineStr">
        <is>
          <t>General</t>
        </is>
      </c>
      <c r="F9429" s="5" t="n">
        <v>2519</v>
      </c>
      <c r="G9429" s="5" t="n">
        <v>14179</v>
      </c>
      <c r="H9429" s="5" t="n">
        <v>915</v>
      </c>
      <c r="I9429" s="5" t="n">
        <v>457</v>
      </c>
      <c r="J9429" s="5" t="n">
        <v>458</v>
      </c>
      <c r="K9429" s="10">
        <f>IF(F9429&gt;0,H9429/F9429,"")</f>
        <v/>
      </c>
      <c r="L9429" s="16">
        <f>IF(AND(G9429&gt;0,H9429&gt;0),G9429/H9429,"")</f>
        <v/>
      </c>
    </row>
    <row r="9430">
      <c r="A9430" s="4" t="inlineStr">
        <is>
          <t>311</t>
        </is>
      </c>
      <c r="B9430" s="4" t="n">
        <v>3</v>
      </c>
      <c r="C9430" s="4" t="inlineStr">
        <is>
          <t>whitetail</t>
        </is>
      </c>
      <c r="D9430" s="4" t="n">
        <v>2020</v>
      </c>
      <c r="E9430" s="13" t="inlineStr">
        <is>
          <t>General</t>
        </is>
      </c>
      <c r="F9430" s="5" t="n"/>
      <c r="G9430" s="5" t="n"/>
      <c r="H9430" s="5" t="n">
        <v>850</v>
      </c>
      <c r="I9430" s="5" t="n">
        <v>437</v>
      </c>
      <c r="J9430" s="5" t="n">
        <v>410</v>
      </c>
      <c r="K9430" s="10">
        <f>IF(F9430&gt;0,H9430/F9430,"")</f>
        <v/>
      </c>
      <c r="L9430" s="16">
        <f>IF(AND(G9430&gt;0,H9430&gt;0),G9430/H9430,"")</f>
        <v/>
      </c>
    </row>
    <row r="9431">
      <c r="A9431" s="4" t="inlineStr">
        <is>
          <t>311</t>
        </is>
      </c>
      <c r="B9431" s="4" t="n">
        <v>3</v>
      </c>
      <c r="C9431" s="4" t="inlineStr">
        <is>
          <t>whitetail</t>
        </is>
      </c>
      <c r="D9431" s="4" t="n">
        <v>2021</v>
      </c>
      <c r="E9431" s="13" t="inlineStr">
        <is>
          <t>General</t>
        </is>
      </c>
      <c r="F9431" s="5" t="n">
        <v>1928</v>
      </c>
      <c r="G9431" s="5" t="n">
        <v>12380</v>
      </c>
      <c r="H9431" s="5" t="n">
        <v>697</v>
      </c>
      <c r="I9431" s="5" t="n">
        <v>348</v>
      </c>
      <c r="J9431" s="5" t="n">
        <v>349</v>
      </c>
      <c r="K9431" s="10">
        <f>IF(F9431&gt;0,H9431/F9431,"")</f>
        <v/>
      </c>
      <c r="L9431" s="16">
        <f>IF(AND(G9431&gt;0,H9431&gt;0),G9431/H9431,"")</f>
        <v/>
      </c>
    </row>
    <row r="9432">
      <c r="A9432" s="4" t="inlineStr">
        <is>
          <t>311</t>
        </is>
      </c>
      <c r="B9432" s="4" t="n">
        <v>3</v>
      </c>
      <c r="C9432" s="4" t="inlineStr">
        <is>
          <t>whitetail</t>
        </is>
      </c>
      <c r="D9432" s="4" t="n">
        <v>2022</v>
      </c>
      <c r="E9432" s="13" t="inlineStr">
        <is>
          <t>General</t>
        </is>
      </c>
      <c r="F9432" s="5" t="n"/>
      <c r="G9432" s="5" t="n"/>
      <c r="H9432" s="5" t="n">
        <v>629</v>
      </c>
      <c r="I9432" s="5" t="n">
        <v>321</v>
      </c>
      <c r="J9432" s="5" t="n">
        <v>305</v>
      </c>
      <c r="K9432" s="10">
        <f>IF(F9432&gt;0,H9432/F9432,"")</f>
        <v/>
      </c>
      <c r="L9432" s="16">
        <f>IF(AND(G9432&gt;0,H9432&gt;0),G9432/H9432,"")</f>
        <v/>
      </c>
    </row>
    <row r="9433">
      <c r="A9433" s="4" t="inlineStr">
        <is>
          <t>311</t>
        </is>
      </c>
      <c r="B9433" s="4" t="n">
        <v>3</v>
      </c>
      <c r="C9433" s="4" t="inlineStr">
        <is>
          <t>whitetail</t>
        </is>
      </c>
      <c r="D9433" s="4" t="n">
        <v>2023</v>
      </c>
      <c r="E9433" s="13" t="inlineStr">
        <is>
          <t>General</t>
        </is>
      </c>
      <c r="F9433" s="5" t="n">
        <v>1596</v>
      </c>
      <c r="G9433" s="5" t="n">
        <v>9556</v>
      </c>
      <c r="H9433" s="5" t="n">
        <v>648</v>
      </c>
      <c r="I9433" s="5" t="n">
        <v>319</v>
      </c>
      <c r="J9433" s="5" t="n">
        <v>326</v>
      </c>
      <c r="K9433" s="10">
        <f>IF(F9433&gt;0,H9433/F9433,"")</f>
        <v/>
      </c>
      <c r="L9433" s="16">
        <f>IF(AND(G9433&gt;0,H9433&gt;0),G9433/H9433,"")</f>
        <v/>
      </c>
    </row>
    <row r="9434">
      <c r="A9434" s="4" t="inlineStr">
        <is>
          <t>311</t>
        </is>
      </c>
      <c r="B9434" s="4" t="n">
        <v>3</v>
      </c>
      <c r="C9434" s="4" t="inlineStr">
        <is>
          <t>whitetail</t>
        </is>
      </c>
      <c r="D9434" s="4" t="n">
        <v>2024</v>
      </c>
      <c r="E9434" s="13" t="inlineStr">
        <is>
          <t>General</t>
        </is>
      </c>
      <c r="F9434" s="5" t="n"/>
      <c r="G9434" s="5" t="n"/>
      <c r="H9434" s="5" t="n">
        <v>692</v>
      </c>
      <c r="I9434" s="5" t="n">
        <v>312</v>
      </c>
      <c r="J9434" s="5" t="n">
        <v>377</v>
      </c>
      <c r="K9434" s="10">
        <f>IF(F9434&gt;0,H9434/F9434,"")</f>
        <v/>
      </c>
      <c r="L9434" s="16">
        <f>IF(AND(G9434&gt;0,H9434&gt;0),G9434/H9434,"")</f>
        <v/>
      </c>
    </row>
    <row r="9435">
      <c r="A9435" s="4" t="inlineStr">
        <is>
          <t>311</t>
        </is>
      </c>
      <c r="B9435" s="4" t="n">
        <v>3</v>
      </c>
      <c r="C9435" s="4" t="inlineStr">
        <is>
          <t>whitetail</t>
        </is>
      </c>
      <c r="D9435" s="4" t="n">
        <v>2025</v>
      </c>
      <c r="E9435" s="13" t="inlineStr">
        <is>
          <t>General</t>
        </is>
      </c>
      <c r="F9435" s="5" t="n">
        <v>1633</v>
      </c>
      <c r="G9435" s="5" t="n">
        <v>9458</v>
      </c>
      <c r="H9435" s="5" t="n">
        <v>653</v>
      </c>
      <c r="I9435" s="5" t="n">
        <v>298</v>
      </c>
      <c r="J9435" s="5" t="n">
        <v>355</v>
      </c>
      <c r="K9435" s="10">
        <f>IF(F9435&gt;0,H9435/F9435,"")</f>
        <v/>
      </c>
      <c r="L9435" s="16">
        <f>IF(AND(G9435&gt;0,H9435&gt;0),G9435/H9435,"")</f>
        <v/>
      </c>
    </row>
    <row r="9436">
      <c r="A9436" s="4" t="inlineStr">
        <is>
          <t>312</t>
        </is>
      </c>
      <c r="B9436" s="4" t="n">
        <v>3</v>
      </c>
      <c r="C9436" s="4" t="inlineStr">
        <is>
          <t>whitetail</t>
        </is>
      </c>
      <c r="D9436" s="4" t="n">
        <v>2004</v>
      </c>
      <c r="E9436" s="13" t="inlineStr">
        <is>
          <t>General</t>
        </is>
      </c>
      <c r="F9436" s="5" t="n">
        <v>1591</v>
      </c>
      <c r="G9436" s="5" t="n">
        <v>8742</v>
      </c>
      <c r="H9436" s="5" t="n">
        <v>739</v>
      </c>
      <c r="I9436" s="5" t="n">
        <v>359</v>
      </c>
      <c r="J9436" s="5" t="n">
        <v>365</v>
      </c>
      <c r="K9436" s="10">
        <f>IF(F9436&gt;0,H9436/F9436,"")</f>
        <v/>
      </c>
      <c r="L9436" s="16">
        <f>IF(AND(G9436&gt;0,H9436&gt;0),G9436/H9436,"")</f>
        <v/>
      </c>
    </row>
    <row r="9437">
      <c r="A9437" s="4" t="inlineStr">
        <is>
          <t>312</t>
        </is>
      </c>
      <c r="B9437" s="4" t="n">
        <v>3</v>
      </c>
      <c r="C9437" s="4" t="inlineStr">
        <is>
          <t>whitetail</t>
        </is>
      </c>
      <c r="D9437" s="4" t="n">
        <v>2005</v>
      </c>
      <c r="E9437" s="13" t="inlineStr">
        <is>
          <t>General</t>
        </is>
      </c>
      <c r="F9437" s="5" t="n">
        <v>1666</v>
      </c>
      <c r="G9437" s="5" t="n">
        <v>8712</v>
      </c>
      <c r="H9437" s="5" t="n">
        <v>748</v>
      </c>
      <c r="I9437" s="5" t="n">
        <v>363</v>
      </c>
      <c r="J9437" s="5" t="n">
        <v>367</v>
      </c>
      <c r="K9437" s="10">
        <f>IF(F9437&gt;0,H9437/F9437,"")</f>
        <v/>
      </c>
      <c r="L9437" s="16">
        <f>IF(AND(G9437&gt;0,H9437&gt;0),G9437/H9437,"")</f>
        <v/>
      </c>
    </row>
    <row r="9438">
      <c r="A9438" s="4" t="inlineStr">
        <is>
          <t>312</t>
        </is>
      </c>
      <c r="B9438" s="4" t="n">
        <v>3</v>
      </c>
      <c r="C9438" s="4" t="inlineStr">
        <is>
          <t>whitetail</t>
        </is>
      </c>
      <c r="D9438" s="4" t="n">
        <v>2006</v>
      </c>
      <c r="E9438" s="13" t="inlineStr">
        <is>
          <t>General</t>
        </is>
      </c>
      <c r="F9438" s="5" t="n">
        <v>1824</v>
      </c>
      <c r="G9438" s="5" t="n">
        <v>11425</v>
      </c>
      <c r="H9438" s="5" t="n">
        <v>1024</v>
      </c>
      <c r="I9438" s="5" t="n">
        <v>443</v>
      </c>
      <c r="J9438" s="5" t="n">
        <v>569</v>
      </c>
      <c r="K9438" s="10">
        <f>IF(F9438&gt;0,H9438/F9438,"")</f>
        <v/>
      </c>
      <c r="L9438" s="16">
        <f>IF(AND(G9438&gt;0,H9438&gt;0),G9438/H9438,"")</f>
        <v/>
      </c>
    </row>
    <row r="9439">
      <c r="A9439" s="4" t="inlineStr">
        <is>
          <t>312</t>
        </is>
      </c>
      <c r="B9439" s="4" t="n">
        <v>3</v>
      </c>
      <c r="C9439" s="4" t="inlineStr">
        <is>
          <t>whitetail</t>
        </is>
      </c>
      <c r="D9439" s="4" t="n">
        <v>2007</v>
      </c>
      <c r="E9439" s="13" t="inlineStr">
        <is>
          <t>General</t>
        </is>
      </c>
      <c r="F9439" s="5" t="n">
        <v>2056</v>
      </c>
      <c r="G9439" s="5" t="n">
        <v>11980</v>
      </c>
      <c r="H9439" s="5" t="n">
        <v>1249</v>
      </c>
      <c r="I9439" s="5" t="n">
        <v>435</v>
      </c>
      <c r="J9439" s="5" t="n">
        <v>788</v>
      </c>
      <c r="K9439" s="10">
        <f>IF(F9439&gt;0,H9439/F9439,"")</f>
        <v/>
      </c>
      <c r="L9439" s="16">
        <f>IF(AND(G9439&gt;0,H9439&gt;0),G9439/H9439,"")</f>
        <v/>
      </c>
    </row>
    <row r="9440">
      <c r="A9440" s="4" t="inlineStr">
        <is>
          <t>312</t>
        </is>
      </c>
      <c r="B9440" s="4" t="n">
        <v>3</v>
      </c>
      <c r="C9440" s="4" t="inlineStr">
        <is>
          <t>whitetail</t>
        </is>
      </c>
      <c r="D9440" s="4" t="n">
        <v>2008</v>
      </c>
      <c r="E9440" s="13" t="inlineStr">
        <is>
          <t>General</t>
        </is>
      </c>
      <c r="F9440" s="5" t="n">
        <v>1912</v>
      </c>
      <c r="G9440" s="5" t="n">
        <v>10309</v>
      </c>
      <c r="H9440" s="5" t="n">
        <v>840</v>
      </c>
      <c r="I9440" s="5" t="n">
        <v>330</v>
      </c>
      <c r="J9440" s="5" t="n">
        <v>493</v>
      </c>
      <c r="K9440" s="10">
        <f>IF(F9440&gt;0,H9440/F9440,"")</f>
        <v/>
      </c>
      <c r="L9440" s="16">
        <f>IF(AND(G9440&gt;0,H9440&gt;0),G9440/H9440,"")</f>
        <v/>
      </c>
    </row>
    <row r="9441">
      <c r="A9441" s="4" t="inlineStr">
        <is>
          <t>312</t>
        </is>
      </c>
      <c r="B9441" s="4" t="n">
        <v>3</v>
      </c>
      <c r="C9441" s="4" t="inlineStr">
        <is>
          <t>whitetail</t>
        </is>
      </c>
      <c r="D9441" s="4" t="n">
        <v>2009</v>
      </c>
      <c r="E9441" s="13" t="inlineStr">
        <is>
          <t>General</t>
        </is>
      </c>
      <c r="F9441" s="5" t="n">
        <v>2006</v>
      </c>
      <c r="G9441" s="5" t="n">
        <v>11204</v>
      </c>
      <c r="H9441" s="5" t="n">
        <v>938</v>
      </c>
      <c r="I9441" s="5" t="n">
        <v>364</v>
      </c>
      <c r="J9441" s="5" t="n">
        <v>555</v>
      </c>
      <c r="K9441" s="10">
        <f>IF(F9441&gt;0,H9441/F9441,"")</f>
        <v/>
      </c>
      <c r="L9441" s="16">
        <f>IF(AND(G9441&gt;0,H9441&gt;0),G9441/H9441,"")</f>
        <v/>
      </c>
    </row>
    <row r="9442">
      <c r="A9442" s="4" t="inlineStr">
        <is>
          <t>312</t>
        </is>
      </c>
      <c r="B9442" s="4" t="n">
        <v>3</v>
      </c>
      <c r="C9442" s="4" t="inlineStr">
        <is>
          <t>whitetail</t>
        </is>
      </c>
      <c r="D9442" s="4" t="n">
        <v>2010</v>
      </c>
      <c r="E9442" s="13" t="inlineStr">
        <is>
          <t>General</t>
        </is>
      </c>
      <c r="F9442" s="5" t="n">
        <v>1898</v>
      </c>
      <c r="G9442" s="5" t="n">
        <v>9789</v>
      </c>
      <c r="H9442" s="5" t="n">
        <v>691</v>
      </c>
      <c r="I9442" s="5" t="n">
        <v>293</v>
      </c>
      <c r="J9442" s="5" t="n">
        <v>384</v>
      </c>
      <c r="K9442" s="10">
        <f>IF(F9442&gt;0,H9442/F9442,"")</f>
        <v/>
      </c>
      <c r="L9442" s="16">
        <f>IF(AND(G9442&gt;0,H9442&gt;0),G9442/H9442,"")</f>
        <v/>
      </c>
    </row>
    <row r="9443">
      <c r="A9443" s="4" t="inlineStr">
        <is>
          <t>312</t>
        </is>
      </c>
      <c r="B9443" s="4" t="n">
        <v>3</v>
      </c>
      <c r="C9443" s="4" t="inlineStr">
        <is>
          <t>whitetail</t>
        </is>
      </c>
      <c r="D9443" s="4" t="n">
        <v>2011</v>
      </c>
      <c r="E9443" s="13" t="inlineStr">
        <is>
          <t>General</t>
        </is>
      </c>
      <c r="F9443" s="5" t="n">
        <v>1854</v>
      </c>
      <c r="G9443" s="5" t="n">
        <v>10167</v>
      </c>
      <c r="H9443" s="5" t="n">
        <v>783</v>
      </c>
      <c r="I9443" s="5" t="n">
        <v>282</v>
      </c>
      <c r="J9443" s="5" t="n">
        <v>489</v>
      </c>
      <c r="K9443" s="10">
        <f>IF(F9443&gt;0,H9443/F9443,"")</f>
        <v/>
      </c>
      <c r="L9443" s="16">
        <f>IF(AND(G9443&gt;0,H9443&gt;0),G9443/H9443,"")</f>
        <v/>
      </c>
    </row>
    <row r="9444">
      <c r="A9444" s="4" t="inlineStr">
        <is>
          <t>312</t>
        </is>
      </c>
      <c r="B9444" s="4" t="n">
        <v>3</v>
      </c>
      <c r="C9444" s="4" t="inlineStr">
        <is>
          <t>whitetail</t>
        </is>
      </c>
      <c r="D9444" s="4" t="n">
        <v>2012</v>
      </c>
      <c r="E9444" s="13" t="inlineStr">
        <is>
          <t>General</t>
        </is>
      </c>
      <c r="F9444" s="5" t="n"/>
      <c r="G9444" s="5" t="n"/>
      <c r="H9444" s="5" t="n">
        <v>1008</v>
      </c>
      <c r="I9444" s="5" t="n">
        <v>307</v>
      </c>
      <c r="J9444" s="5" t="n">
        <v>670</v>
      </c>
      <c r="K9444" s="10">
        <f>IF(F9444&gt;0,H9444/F9444,"")</f>
        <v/>
      </c>
      <c r="L9444" s="16">
        <f>IF(AND(G9444&gt;0,H9444&gt;0),G9444/H9444,"")</f>
        <v/>
      </c>
    </row>
    <row r="9445">
      <c r="A9445" s="4" t="inlineStr">
        <is>
          <t>312</t>
        </is>
      </c>
      <c r="B9445" s="4" t="n">
        <v>3</v>
      </c>
      <c r="C9445" s="4" t="inlineStr">
        <is>
          <t>whitetail</t>
        </is>
      </c>
      <c r="D9445" s="4" t="n">
        <v>2013</v>
      </c>
      <c r="E9445" s="13" t="inlineStr">
        <is>
          <t>General</t>
        </is>
      </c>
      <c r="F9445" s="5" t="n">
        <v>2137</v>
      </c>
      <c r="G9445" s="5" t="n">
        <v>12336</v>
      </c>
      <c r="H9445" s="5" t="n">
        <v>775</v>
      </c>
      <c r="I9445" s="5" t="n">
        <v>296</v>
      </c>
      <c r="J9445" s="5" t="n">
        <v>476</v>
      </c>
      <c r="K9445" s="10">
        <f>IF(F9445&gt;0,H9445/F9445,"")</f>
        <v/>
      </c>
      <c r="L9445" s="16">
        <f>IF(AND(G9445&gt;0,H9445&gt;0),G9445/H9445,"")</f>
        <v/>
      </c>
    </row>
    <row r="9446">
      <c r="A9446" s="4" t="inlineStr">
        <is>
          <t>312</t>
        </is>
      </c>
      <c r="B9446" s="4" t="n">
        <v>3</v>
      </c>
      <c r="C9446" s="4" t="inlineStr">
        <is>
          <t>whitetail</t>
        </is>
      </c>
      <c r="D9446" s="4" t="n">
        <v>2014</v>
      </c>
      <c r="E9446" s="13" t="inlineStr">
        <is>
          <t>General</t>
        </is>
      </c>
      <c r="F9446" s="5" t="n"/>
      <c r="G9446" s="5" t="n"/>
      <c r="H9446" s="5" t="n">
        <v>1129</v>
      </c>
      <c r="I9446" s="5" t="n">
        <v>363</v>
      </c>
      <c r="J9446" s="5" t="n">
        <v>754</v>
      </c>
      <c r="K9446" s="10">
        <f>IF(F9446&gt;0,H9446/F9446,"")</f>
        <v/>
      </c>
      <c r="L9446" s="16">
        <f>IF(AND(G9446&gt;0,H9446&gt;0),G9446/H9446,"")</f>
        <v/>
      </c>
    </row>
    <row r="9447">
      <c r="A9447" s="4" t="inlineStr">
        <is>
          <t>312</t>
        </is>
      </c>
      <c r="B9447" s="4" t="n">
        <v>3</v>
      </c>
      <c r="C9447" s="4" t="inlineStr">
        <is>
          <t>whitetail</t>
        </is>
      </c>
      <c r="D9447" s="4" t="n">
        <v>2015</v>
      </c>
      <c r="E9447" s="13" t="inlineStr">
        <is>
          <t>General</t>
        </is>
      </c>
      <c r="F9447" s="5" t="n"/>
      <c r="G9447" s="5" t="n"/>
      <c r="H9447" s="5" t="n">
        <v>1235</v>
      </c>
      <c r="I9447" s="5" t="n">
        <v>399</v>
      </c>
      <c r="J9447" s="5" t="n">
        <v>813</v>
      </c>
      <c r="K9447" s="10">
        <f>IF(F9447&gt;0,H9447/F9447,"")</f>
        <v/>
      </c>
      <c r="L9447" s="16">
        <f>IF(AND(G9447&gt;0,H9447&gt;0),G9447/H9447,"")</f>
        <v/>
      </c>
    </row>
    <row r="9448">
      <c r="A9448" s="4" t="inlineStr">
        <is>
          <t>312</t>
        </is>
      </c>
      <c r="B9448" s="4" t="n">
        <v>3</v>
      </c>
      <c r="C9448" s="4" t="inlineStr">
        <is>
          <t>whitetail</t>
        </is>
      </c>
      <c r="D9448" s="4" t="n">
        <v>2016</v>
      </c>
      <c r="E9448" s="13" t="inlineStr">
        <is>
          <t>General</t>
        </is>
      </c>
      <c r="F9448" s="5" t="n"/>
      <c r="G9448" s="5" t="n"/>
      <c r="H9448" s="5" t="n">
        <v>1159</v>
      </c>
      <c r="I9448" s="5" t="n">
        <v>439</v>
      </c>
      <c r="J9448" s="5" t="n">
        <v>712</v>
      </c>
      <c r="K9448" s="10">
        <f>IF(F9448&gt;0,H9448/F9448,"")</f>
        <v/>
      </c>
      <c r="L9448" s="16">
        <f>IF(AND(G9448&gt;0,H9448&gt;0),G9448/H9448,"")</f>
        <v/>
      </c>
    </row>
    <row r="9449">
      <c r="A9449" s="4" t="inlineStr">
        <is>
          <t>312</t>
        </is>
      </c>
      <c r="B9449" s="4" t="n">
        <v>3</v>
      </c>
      <c r="C9449" s="4" t="inlineStr">
        <is>
          <t>whitetail</t>
        </is>
      </c>
      <c r="D9449" s="4" t="n">
        <v>2017</v>
      </c>
      <c r="E9449" s="13" t="inlineStr">
        <is>
          <t>General</t>
        </is>
      </c>
      <c r="F9449" s="5" t="n">
        <v>1708</v>
      </c>
      <c r="G9449" s="5" t="n">
        <v>8790</v>
      </c>
      <c r="H9449" s="5" t="n">
        <v>825</v>
      </c>
      <c r="I9449" s="5" t="n">
        <v>331</v>
      </c>
      <c r="J9449" s="5" t="n">
        <v>487</v>
      </c>
      <c r="K9449" s="10">
        <f>IF(F9449&gt;0,H9449/F9449,"")</f>
        <v/>
      </c>
      <c r="L9449" s="16">
        <f>IF(AND(G9449&gt;0,H9449&gt;0),G9449/H9449,"")</f>
        <v/>
      </c>
    </row>
    <row r="9450">
      <c r="A9450" s="4" t="inlineStr">
        <is>
          <t>312</t>
        </is>
      </c>
      <c r="B9450" s="4" t="n">
        <v>3</v>
      </c>
      <c r="C9450" s="4" t="inlineStr">
        <is>
          <t>whitetail</t>
        </is>
      </c>
      <c r="D9450" s="4" t="n">
        <v>2018</v>
      </c>
      <c r="E9450" s="13" t="inlineStr">
        <is>
          <t>General</t>
        </is>
      </c>
      <c r="F9450" s="5" t="n"/>
      <c r="G9450" s="5" t="n"/>
      <c r="H9450" s="5" t="n">
        <v>630</v>
      </c>
      <c r="I9450" s="5" t="n">
        <v>334</v>
      </c>
      <c r="J9450" s="5" t="n">
        <v>285</v>
      </c>
      <c r="K9450" s="10">
        <f>IF(F9450&gt;0,H9450/F9450,"")</f>
        <v/>
      </c>
      <c r="L9450" s="16">
        <f>IF(AND(G9450&gt;0,H9450&gt;0),G9450/H9450,"")</f>
        <v/>
      </c>
    </row>
    <row r="9451">
      <c r="A9451" s="4" t="inlineStr">
        <is>
          <t>312</t>
        </is>
      </c>
      <c r="B9451" s="4" t="n">
        <v>3</v>
      </c>
      <c r="C9451" s="4" t="inlineStr">
        <is>
          <t>whitetail</t>
        </is>
      </c>
      <c r="D9451" s="4" t="n">
        <v>2019</v>
      </c>
      <c r="E9451" s="13" t="inlineStr">
        <is>
          <t>General</t>
        </is>
      </c>
      <c r="F9451" s="5" t="n">
        <v>1723</v>
      </c>
      <c r="G9451" s="5" t="n">
        <v>10521</v>
      </c>
      <c r="H9451" s="5" t="n">
        <v>782</v>
      </c>
      <c r="I9451" s="5" t="n">
        <v>359</v>
      </c>
      <c r="J9451" s="5" t="n">
        <v>423</v>
      </c>
      <c r="K9451" s="10">
        <f>IF(F9451&gt;0,H9451/F9451,"")</f>
        <v/>
      </c>
      <c r="L9451" s="16">
        <f>IF(AND(G9451&gt;0,H9451&gt;0),G9451/H9451,"")</f>
        <v/>
      </c>
    </row>
    <row r="9452">
      <c r="A9452" s="4" t="inlineStr">
        <is>
          <t>312</t>
        </is>
      </c>
      <c r="B9452" s="4" t="n">
        <v>3</v>
      </c>
      <c r="C9452" s="4" t="inlineStr">
        <is>
          <t>whitetail</t>
        </is>
      </c>
      <c r="D9452" s="4" t="n">
        <v>2020</v>
      </c>
      <c r="E9452" s="13" t="inlineStr">
        <is>
          <t>General</t>
        </is>
      </c>
      <c r="F9452" s="5" t="n"/>
      <c r="G9452" s="5" t="n"/>
      <c r="H9452" s="5" t="n">
        <v>680</v>
      </c>
      <c r="I9452" s="5" t="n">
        <v>331</v>
      </c>
      <c r="J9452" s="5" t="n">
        <v>349</v>
      </c>
      <c r="K9452" s="10">
        <f>IF(F9452&gt;0,H9452/F9452,"")</f>
        <v/>
      </c>
      <c r="L9452" s="16">
        <f>IF(AND(G9452&gt;0,H9452&gt;0),G9452/H9452,"")</f>
        <v/>
      </c>
    </row>
    <row r="9453">
      <c r="A9453" s="4" t="inlineStr">
        <is>
          <t>312</t>
        </is>
      </c>
      <c r="B9453" s="4" t="n">
        <v>3</v>
      </c>
      <c r="C9453" s="4" t="inlineStr">
        <is>
          <t>whitetail</t>
        </is>
      </c>
      <c r="D9453" s="4" t="n">
        <v>2021</v>
      </c>
      <c r="E9453" s="13" t="inlineStr">
        <is>
          <t>General</t>
        </is>
      </c>
      <c r="F9453" s="5" t="n">
        <v>1341</v>
      </c>
      <c r="G9453" s="5" t="n">
        <v>7253</v>
      </c>
      <c r="H9453" s="5" t="n">
        <v>486</v>
      </c>
      <c r="I9453" s="5" t="n">
        <v>297</v>
      </c>
      <c r="J9453" s="5" t="n">
        <v>189</v>
      </c>
      <c r="K9453" s="10">
        <f>IF(F9453&gt;0,H9453/F9453,"")</f>
        <v/>
      </c>
      <c r="L9453" s="16">
        <f>IF(AND(G9453&gt;0,H9453&gt;0),G9453/H9453,"")</f>
        <v/>
      </c>
    </row>
    <row r="9454">
      <c r="A9454" s="4" t="inlineStr">
        <is>
          <t>312</t>
        </is>
      </c>
      <c r="B9454" s="4" t="n">
        <v>3</v>
      </c>
      <c r="C9454" s="4" t="inlineStr">
        <is>
          <t>whitetail</t>
        </is>
      </c>
      <c r="D9454" s="4" t="n">
        <v>2022</v>
      </c>
      <c r="E9454" s="13" t="inlineStr">
        <is>
          <t>General</t>
        </is>
      </c>
      <c r="F9454" s="5" t="n"/>
      <c r="G9454" s="5" t="n"/>
      <c r="H9454" s="5" t="n">
        <v>503</v>
      </c>
      <c r="I9454" s="5" t="n">
        <v>283</v>
      </c>
      <c r="J9454" s="5" t="n">
        <v>221</v>
      </c>
      <c r="K9454" s="10">
        <f>IF(F9454&gt;0,H9454/F9454,"")</f>
        <v/>
      </c>
      <c r="L9454" s="16">
        <f>IF(AND(G9454&gt;0,H9454&gt;0),G9454/H9454,"")</f>
        <v/>
      </c>
    </row>
    <row r="9455">
      <c r="A9455" s="4" t="inlineStr">
        <is>
          <t>312</t>
        </is>
      </c>
      <c r="B9455" s="4" t="n">
        <v>3</v>
      </c>
      <c r="C9455" s="4" t="inlineStr">
        <is>
          <t>whitetail</t>
        </is>
      </c>
      <c r="D9455" s="4" t="n">
        <v>2023</v>
      </c>
      <c r="E9455" s="13" t="inlineStr">
        <is>
          <t>General</t>
        </is>
      </c>
      <c r="F9455" s="5" t="n">
        <v>1471</v>
      </c>
      <c r="G9455" s="5" t="n">
        <v>8723</v>
      </c>
      <c r="H9455" s="5" t="n">
        <v>370</v>
      </c>
      <c r="I9455" s="5" t="n">
        <v>203</v>
      </c>
      <c r="J9455" s="5" t="n">
        <v>164</v>
      </c>
      <c r="K9455" s="10">
        <f>IF(F9455&gt;0,H9455/F9455,"")</f>
        <v/>
      </c>
      <c r="L9455" s="16">
        <f>IF(AND(G9455&gt;0,H9455&gt;0),G9455/H9455,"")</f>
        <v/>
      </c>
    </row>
    <row r="9456">
      <c r="A9456" s="4" t="inlineStr">
        <is>
          <t>312</t>
        </is>
      </c>
      <c r="B9456" s="4" t="n">
        <v>3</v>
      </c>
      <c r="C9456" s="4" t="inlineStr">
        <is>
          <t>whitetail</t>
        </is>
      </c>
      <c r="D9456" s="4" t="n">
        <v>2024</v>
      </c>
      <c r="E9456" s="13" t="inlineStr">
        <is>
          <t>General</t>
        </is>
      </c>
      <c r="F9456" s="5" t="n"/>
      <c r="G9456" s="5" t="n"/>
      <c r="H9456" s="5" t="n">
        <v>535</v>
      </c>
      <c r="I9456" s="5" t="n">
        <v>339</v>
      </c>
      <c r="J9456" s="5" t="n">
        <v>196</v>
      </c>
      <c r="K9456" s="10">
        <f>IF(F9456&gt;0,H9456/F9456,"")</f>
        <v/>
      </c>
      <c r="L9456" s="16">
        <f>IF(AND(G9456&gt;0,H9456&gt;0),G9456/H9456,"")</f>
        <v/>
      </c>
    </row>
    <row r="9457">
      <c r="A9457" s="4" t="inlineStr">
        <is>
          <t>312</t>
        </is>
      </c>
      <c r="B9457" s="4" t="n">
        <v>3</v>
      </c>
      <c r="C9457" s="4" t="inlineStr">
        <is>
          <t>whitetail</t>
        </is>
      </c>
      <c r="D9457" s="4" t="n">
        <v>2025</v>
      </c>
      <c r="E9457" s="13" t="inlineStr">
        <is>
          <t>General</t>
        </is>
      </c>
      <c r="F9457" s="5" t="n">
        <v>1459</v>
      </c>
      <c r="G9457" s="5" t="n">
        <v>8909</v>
      </c>
      <c r="H9457" s="5" t="n">
        <v>417</v>
      </c>
      <c r="I9457" s="5" t="n">
        <v>250</v>
      </c>
      <c r="J9457" s="5" t="n">
        <v>163</v>
      </c>
      <c r="K9457" s="10">
        <f>IF(F9457&gt;0,H9457/F9457,"")</f>
        <v/>
      </c>
      <c r="L9457" s="16">
        <f>IF(AND(G9457&gt;0,H9457&gt;0),G9457/H9457,"")</f>
        <v/>
      </c>
    </row>
    <row r="9458">
      <c r="A9458" s="4" t="inlineStr">
        <is>
          <t>313</t>
        </is>
      </c>
      <c r="B9458" s="4" t="n">
        <v>3</v>
      </c>
      <c r="C9458" s="4" t="inlineStr">
        <is>
          <t>whitetail</t>
        </is>
      </c>
      <c r="D9458" s="4" t="n">
        <v>2004</v>
      </c>
      <c r="E9458" s="13" t="inlineStr">
        <is>
          <t>General</t>
        </is>
      </c>
      <c r="F9458" s="5" t="n">
        <v>553</v>
      </c>
      <c r="G9458" s="5" t="n">
        <v>2919</v>
      </c>
      <c r="H9458" s="5" t="n">
        <v>29</v>
      </c>
      <c r="I9458" s="5" t="n">
        <v>16</v>
      </c>
      <c r="J9458" s="5" t="n">
        <v>13</v>
      </c>
      <c r="K9458" s="10">
        <f>IF(F9458&gt;0,H9458/F9458,"")</f>
        <v/>
      </c>
      <c r="L9458" s="16">
        <f>IF(AND(G9458&gt;0,H9458&gt;0),G9458/H9458,"")</f>
        <v/>
      </c>
    </row>
    <row r="9459">
      <c r="A9459" s="4" t="inlineStr">
        <is>
          <t>313</t>
        </is>
      </c>
      <c r="B9459" s="4" t="n">
        <v>3</v>
      </c>
      <c r="C9459" s="4" t="inlineStr">
        <is>
          <t>whitetail</t>
        </is>
      </c>
      <c r="D9459" s="4" t="n">
        <v>2005</v>
      </c>
      <c r="E9459" s="13" t="inlineStr">
        <is>
          <t>General</t>
        </is>
      </c>
      <c r="F9459" s="5" t="n">
        <v>685</v>
      </c>
      <c r="G9459" s="5" t="n">
        <v>3683</v>
      </c>
      <c r="H9459" s="5" t="n">
        <v>12</v>
      </c>
      <c r="I9459" s="5" t="n">
        <v>5</v>
      </c>
      <c r="J9459" s="5" t="n">
        <v>7</v>
      </c>
      <c r="K9459" s="10">
        <f>IF(F9459&gt;0,H9459/F9459,"")</f>
        <v/>
      </c>
      <c r="L9459" s="16">
        <f>IF(AND(G9459&gt;0,H9459&gt;0),G9459/H9459,"")</f>
        <v/>
      </c>
    </row>
    <row r="9460">
      <c r="A9460" s="4" t="inlineStr">
        <is>
          <t>313</t>
        </is>
      </c>
      <c r="B9460" s="4" t="n">
        <v>3</v>
      </c>
      <c r="C9460" s="4" t="inlineStr">
        <is>
          <t>whitetail</t>
        </is>
      </c>
      <c r="D9460" s="4" t="n">
        <v>2006</v>
      </c>
      <c r="E9460" s="13" t="inlineStr">
        <is>
          <t>General</t>
        </is>
      </c>
      <c r="F9460" s="5" t="n">
        <v>1139</v>
      </c>
      <c r="G9460" s="5" t="n">
        <v>6415</v>
      </c>
      <c r="H9460" s="5" t="n">
        <v>84</v>
      </c>
      <c r="I9460" s="5" t="n">
        <v>41</v>
      </c>
      <c r="J9460" s="5" t="n">
        <v>39</v>
      </c>
      <c r="K9460" s="10">
        <f>IF(F9460&gt;0,H9460/F9460,"")</f>
        <v/>
      </c>
      <c r="L9460" s="16">
        <f>IF(AND(G9460&gt;0,H9460&gt;0),G9460/H9460,"")</f>
        <v/>
      </c>
    </row>
    <row r="9461">
      <c r="A9461" s="4" t="inlineStr">
        <is>
          <t>313</t>
        </is>
      </c>
      <c r="B9461" s="4" t="n">
        <v>3</v>
      </c>
      <c r="C9461" s="4" t="inlineStr">
        <is>
          <t>whitetail</t>
        </is>
      </c>
      <c r="D9461" s="4" t="n">
        <v>2007</v>
      </c>
      <c r="E9461" s="13" t="inlineStr">
        <is>
          <t>General</t>
        </is>
      </c>
      <c r="F9461" s="5" t="n">
        <v>662</v>
      </c>
      <c r="G9461" s="5" t="n">
        <v>4057</v>
      </c>
      <c r="H9461" s="5" t="n">
        <v>60</v>
      </c>
      <c r="I9461" s="5" t="n">
        <v>13</v>
      </c>
      <c r="J9461" s="5" t="n">
        <v>47</v>
      </c>
      <c r="K9461" s="10">
        <f>IF(F9461&gt;0,H9461/F9461,"")</f>
        <v/>
      </c>
      <c r="L9461" s="16">
        <f>IF(AND(G9461&gt;0,H9461&gt;0),G9461/H9461,"")</f>
        <v/>
      </c>
    </row>
    <row r="9462">
      <c r="A9462" s="4" t="inlineStr">
        <is>
          <t>313</t>
        </is>
      </c>
      <c r="B9462" s="4" t="n">
        <v>3</v>
      </c>
      <c r="C9462" s="4" t="inlineStr">
        <is>
          <t>whitetail</t>
        </is>
      </c>
      <c r="D9462" s="4" t="n">
        <v>2008</v>
      </c>
      <c r="E9462" s="13" t="inlineStr">
        <is>
          <t>General</t>
        </is>
      </c>
      <c r="F9462" s="5" t="n">
        <v>660</v>
      </c>
      <c r="G9462" s="5" t="n">
        <v>4138</v>
      </c>
      <c r="H9462" s="5" t="n">
        <v>55</v>
      </c>
      <c r="I9462" s="5" t="n">
        <v>18</v>
      </c>
      <c r="J9462" s="5" t="n">
        <v>37</v>
      </c>
      <c r="K9462" s="10">
        <f>IF(F9462&gt;0,H9462/F9462,"")</f>
        <v/>
      </c>
      <c r="L9462" s="16">
        <f>IF(AND(G9462&gt;0,H9462&gt;0),G9462/H9462,"")</f>
        <v/>
      </c>
    </row>
    <row r="9463">
      <c r="A9463" s="4" t="inlineStr">
        <is>
          <t>313</t>
        </is>
      </c>
      <c r="B9463" s="4" t="n">
        <v>3</v>
      </c>
      <c r="C9463" s="4" t="inlineStr">
        <is>
          <t>whitetail</t>
        </is>
      </c>
      <c r="D9463" s="4" t="n">
        <v>2009</v>
      </c>
      <c r="E9463" s="13" t="inlineStr">
        <is>
          <t>General</t>
        </is>
      </c>
      <c r="F9463" s="5" t="n">
        <v>752</v>
      </c>
      <c r="G9463" s="5" t="n">
        <v>4353</v>
      </c>
      <c r="H9463" s="5" t="n">
        <v>56</v>
      </c>
      <c r="I9463" s="5" t="n">
        <v>18</v>
      </c>
      <c r="J9463" s="5" t="n">
        <v>38</v>
      </c>
      <c r="K9463" s="10">
        <f>IF(F9463&gt;0,H9463/F9463,"")</f>
        <v/>
      </c>
      <c r="L9463" s="16">
        <f>IF(AND(G9463&gt;0,H9463&gt;0),G9463/H9463,"")</f>
        <v/>
      </c>
    </row>
    <row r="9464">
      <c r="A9464" s="4" t="inlineStr">
        <is>
          <t>313</t>
        </is>
      </c>
      <c r="B9464" s="4" t="n">
        <v>3</v>
      </c>
      <c r="C9464" s="4" t="inlineStr">
        <is>
          <t>whitetail</t>
        </is>
      </c>
      <c r="D9464" s="4" t="n">
        <v>2010</v>
      </c>
      <c r="E9464" s="13" t="inlineStr">
        <is>
          <t>General</t>
        </is>
      </c>
      <c r="F9464" s="5" t="n">
        <v>664</v>
      </c>
      <c r="G9464" s="5" t="n">
        <v>4019</v>
      </c>
      <c r="H9464" s="5" t="n">
        <v>54</v>
      </c>
      <c r="I9464" s="5" t="n">
        <v>23</v>
      </c>
      <c r="J9464" s="5" t="n">
        <v>28</v>
      </c>
      <c r="K9464" s="10">
        <f>IF(F9464&gt;0,H9464/F9464,"")</f>
        <v/>
      </c>
      <c r="L9464" s="16">
        <f>IF(AND(G9464&gt;0,H9464&gt;0),G9464/H9464,"")</f>
        <v/>
      </c>
    </row>
    <row r="9465">
      <c r="A9465" s="4" t="inlineStr">
        <is>
          <t>313</t>
        </is>
      </c>
      <c r="B9465" s="4" t="n">
        <v>3</v>
      </c>
      <c r="C9465" s="4" t="inlineStr">
        <is>
          <t>whitetail</t>
        </is>
      </c>
      <c r="D9465" s="4" t="n">
        <v>2011</v>
      </c>
      <c r="E9465" s="13" t="inlineStr">
        <is>
          <t>General</t>
        </is>
      </c>
      <c r="F9465" s="5" t="n">
        <v>711</v>
      </c>
      <c r="G9465" s="5" t="n">
        <v>4221</v>
      </c>
      <c r="H9465" s="5" t="n">
        <v>36</v>
      </c>
      <c r="I9465" s="5" t="n">
        <v>6</v>
      </c>
      <c r="J9465" s="5" t="n">
        <v>29</v>
      </c>
      <c r="K9465" s="10">
        <f>IF(F9465&gt;0,H9465/F9465,"")</f>
        <v/>
      </c>
      <c r="L9465" s="16">
        <f>IF(AND(G9465&gt;0,H9465&gt;0),G9465/H9465,"")</f>
        <v/>
      </c>
    </row>
    <row r="9466">
      <c r="A9466" s="4" t="inlineStr">
        <is>
          <t>313</t>
        </is>
      </c>
      <c r="B9466" s="4" t="n">
        <v>3</v>
      </c>
      <c r="C9466" s="4" t="inlineStr">
        <is>
          <t>whitetail</t>
        </is>
      </c>
      <c r="D9466" s="4" t="n">
        <v>2012</v>
      </c>
      <c r="E9466" s="13" t="inlineStr">
        <is>
          <t>General</t>
        </is>
      </c>
      <c r="F9466" s="5" t="n"/>
      <c r="G9466" s="5" t="n"/>
      <c r="H9466" s="5" t="n">
        <v>66</v>
      </c>
      <c r="I9466" s="5" t="n">
        <v>31</v>
      </c>
      <c r="J9466" s="5" t="n">
        <v>36</v>
      </c>
      <c r="K9466" s="10">
        <f>IF(F9466&gt;0,H9466/F9466,"")</f>
        <v/>
      </c>
      <c r="L9466" s="16">
        <f>IF(AND(G9466&gt;0,H9466&gt;0),G9466/H9466,"")</f>
        <v/>
      </c>
    </row>
    <row r="9467">
      <c r="A9467" s="4" t="inlineStr">
        <is>
          <t>313</t>
        </is>
      </c>
      <c r="B9467" s="4" t="n">
        <v>3</v>
      </c>
      <c r="C9467" s="4" t="inlineStr">
        <is>
          <t>whitetail</t>
        </is>
      </c>
      <c r="D9467" s="4" t="n">
        <v>2013</v>
      </c>
      <c r="E9467" s="13" t="inlineStr">
        <is>
          <t>General</t>
        </is>
      </c>
      <c r="F9467" s="5" t="n">
        <v>764</v>
      </c>
      <c r="G9467" s="5" t="n">
        <v>4678</v>
      </c>
      <c r="H9467" s="5" t="n">
        <v>59</v>
      </c>
      <c r="I9467" s="5" t="n">
        <v>25</v>
      </c>
      <c r="J9467" s="5" t="n">
        <v>34</v>
      </c>
      <c r="K9467" s="10">
        <f>IF(F9467&gt;0,H9467/F9467,"")</f>
        <v/>
      </c>
      <c r="L9467" s="16">
        <f>IF(AND(G9467&gt;0,H9467&gt;0),G9467/H9467,"")</f>
        <v/>
      </c>
    </row>
    <row r="9468">
      <c r="A9468" s="4" t="inlineStr">
        <is>
          <t>313</t>
        </is>
      </c>
      <c r="B9468" s="4" t="n">
        <v>3</v>
      </c>
      <c r="C9468" s="4" t="inlineStr">
        <is>
          <t>whitetail</t>
        </is>
      </c>
      <c r="D9468" s="4" t="n">
        <v>2014</v>
      </c>
      <c r="E9468" s="13" t="inlineStr">
        <is>
          <t>General</t>
        </is>
      </c>
      <c r="F9468" s="5" t="n"/>
      <c r="G9468" s="5" t="n"/>
      <c r="H9468" s="5" t="n">
        <v>34</v>
      </c>
      <c r="I9468" s="5" t="n">
        <v>17</v>
      </c>
      <c r="J9468" s="5" t="n">
        <v>17</v>
      </c>
      <c r="K9468" s="10">
        <f>IF(F9468&gt;0,H9468/F9468,"")</f>
        <v/>
      </c>
      <c r="L9468" s="16">
        <f>IF(AND(G9468&gt;0,H9468&gt;0),G9468/H9468,"")</f>
        <v/>
      </c>
    </row>
    <row r="9469">
      <c r="A9469" s="4" t="inlineStr">
        <is>
          <t>313</t>
        </is>
      </c>
      <c r="B9469" s="4" t="n">
        <v>3</v>
      </c>
      <c r="C9469" s="4" t="inlineStr">
        <is>
          <t>whitetail</t>
        </is>
      </c>
      <c r="D9469" s="4" t="n">
        <v>2015</v>
      </c>
      <c r="E9469" s="13" t="inlineStr">
        <is>
          <t>General</t>
        </is>
      </c>
      <c r="F9469" s="5" t="n"/>
      <c r="G9469" s="5" t="n"/>
      <c r="H9469" s="5" t="n">
        <v>99</v>
      </c>
      <c r="I9469" s="5" t="n">
        <v>49</v>
      </c>
      <c r="J9469" s="5" t="n">
        <v>50</v>
      </c>
      <c r="K9469" s="10">
        <f>IF(F9469&gt;0,H9469/F9469,"")</f>
        <v/>
      </c>
      <c r="L9469" s="16">
        <f>IF(AND(G9469&gt;0,H9469&gt;0),G9469/H9469,"")</f>
        <v/>
      </c>
    </row>
    <row r="9470">
      <c r="A9470" s="4" t="inlineStr">
        <is>
          <t>313</t>
        </is>
      </c>
      <c r="B9470" s="4" t="n">
        <v>3</v>
      </c>
      <c r="C9470" s="4" t="inlineStr">
        <is>
          <t>whitetail</t>
        </is>
      </c>
      <c r="D9470" s="4" t="n">
        <v>2016</v>
      </c>
      <c r="E9470" s="13" t="inlineStr">
        <is>
          <t>General</t>
        </is>
      </c>
      <c r="F9470" s="5" t="n"/>
      <c r="G9470" s="5" t="n"/>
      <c r="H9470" s="5" t="n">
        <v>92</v>
      </c>
      <c r="I9470" s="5" t="n">
        <v>39</v>
      </c>
      <c r="J9470" s="5" t="n">
        <v>52</v>
      </c>
      <c r="K9470" s="10">
        <f>IF(F9470&gt;0,H9470/F9470,"")</f>
        <v/>
      </c>
      <c r="L9470" s="16">
        <f>IF(AND(G9470&gt;0,H9470&gt;0),G9470/H9470,"")</f>
        <v/>
      </c>
    </row>
    <row r="9471">
      <c r="A9471" s="4" t="inlineStr">
        <is>
          <t>313</t>
        </is>
      </c>
      <c r="B9471" s="4" t="n">
        <v>3</v>
      </c>
      <c r="C9471" s="4" t="inlineStr">
        <is>
          <t>whitetail</t>
        </is>
      </c>
      <c r="D9471" s="4" t="n">
        <v>2017</v>
      </c>
      <c r="E9471" s="13" t="inlineStr">
        <is>
          <t>General</t>
        </is>
      </c>
      <c r="F9471" s="5" t="n">
        <v>820</v>
      </c>
      <c r="G9471" s="5" t="n">
        <v>4925</v>
      </c>
      <c r="H9471" s="5" t="n">
        <v>78</v>
      </c>
      <c r="I9471" s="5" t="n">
        <v>32</v>
      </c>
      <c r="J9471" s="5" t="n">
        <v>46</v>
      </c>
      <c r="K9471" s="10">
        <f>IF(F9471&gt;0,H9471/F9471,"")</f>
        <v/>
      </c>
      <c r="L9471" s="16">
        <f>IF(AND(G9471&gt;0,H9471&gt;0),G9471/H9471,"")</f>
        <v/>
      </c>
    </row>
    <row r="9472">
      <c r="A9472" s="4" t="inlineStr">
        <is>
          <t>313</t>
        </is>
      </c>
      <c r="B9472" s="4" t="n">
        <v>3</v>
      </c>
      <c r="C9472" s="4" t="inlineStr">
        <is>
          <t>whitetail</t>
        </is>
      </c>
      <c r="D9472" s="4" t="n">
        <v>2018</v>
      </c>
      <c r="E9472" s="13" t="inlineStr">
        <is>
          <t>General</t>
        </is>
      </c>
      <c r="F9472" s="5" t="n"/>
      <c r="G9472" s="5" t="n"/>
      <c r="H9472" s="5" t="n">
        <v>54</v>
      </c>
      <c r="I9472" s="5" t="n">
        <v>35</v>
      </c>
      <c r="J9472" s="5" t="n">
        <v>20</v>
      </c>
      <c r="K9472" s="10">
        <f>IF(F9472&gt;0,H9472/F9472,"")</f>
        <v/>
      </c>
      <c r="L9472" s="16">
        <f>IF(AND(G9472&gt;0,H9472&gt;0),G9472/H9472,"")</f>
        <v/>
      </c>
    </row>
    <row r="9473">
      <c r="A9473" s="4" t="inlineStr">
        <is>
          <t>313</t>
        </is>
      </c>
      <c r="B9473" s="4" t="n">
        <v>3</v>
      </c>
      <c r="C9473" s="4" t="inlineStr">
        <is>
          <t>whitetail</t>
        </is>
      </c>
      <c r="D9473" s="4" t="n">
        <v>2019</v>
      </c>
      <c r="E9473" s="13" t="inlineStr">
        <is>
          <t>General</t>
        </is>
      </c>
      <c r="F9473" s="5" t="n">
        <v>839</v>
      </c>
      <c r="G9473" s="5" t="n">
        <v>5423</v>
      </c>
      <c r="H9473" s="5" t="n">
        <v>52</v>
      </c>
      <c r="I9473" s="5" t="n">
        <v>32</v>
      </c>
      <c r="J9473" s="5" t="n">
        <v>20</v>
      </c>
      <c r="K9473" s="10">
        <f>IF(F9473&gt;0,H9473/F9473,"")</f>
        <v/>
      </c>
      <c r="L9473" s="16">
        <f>IF(AND(G9473&gt;0,H9473&gt;0),G9473/H9473,"")</f>
        <v/>
      </c>
    </row>
    <row r="9474">
      <c r="A9474" s="4" t="inlineStr">
        <is>
          <t>313</t>
        </is>
      </c>
      <c r="B9474" s="4" t="n">
        <v>3</v>
      </c>
      <c r="C9474" s="4" t="inlineStr">
        <is>
          <t>whitetail</t>
        </is>
      </c>
      <c r="D9474" s="4" t="n">
        <v>2020</v>
      </c>
      <c r="E9474" s="13" t="inlineStr">
        <is>
          <t>General</t>
        </is>
      </c>
      <c r="F9474" s="5" t="n"/>
      <c r="G9474" s="5" t="n"/>
      <c r="H9474" s="5" t="n">
        <v>40</v>
      </c>
      <c r="I9474" s="5" t="n">
        <v>17</v>
      </c>
      <c r="J9474" s="5" t="n">
        <v>23</v>
      </c>
      <c r="K9474" s="10">
        <f>IF(F9474&gt;0,H9474/F9474,"")</f>
        <v/>
      </c>
      <c r="L9474" s="16">
        <f>IF(AND(G9474&gt;0,H9474&gt;0),G9474/H9474,"")</f>
        <v/>
      </c>
    </row>
    <row r="9475">
      <c r="A9475" s="4" t="inlineStr">
        <is>
          <t>313</t>
        </is>
      </c>
      <c r="B9475" s="4" t="n">
        <v>3</v>
      </c>
      <c r="C9475" s="4" t="inlineStr">
        <is>
          <t>whitetail</t>
        </is>
      </c>
      <c r="D9475" s="4" t="n">
        <v>2021</v>
      </c>
      <c r="E9475" s="13" t="inlineStr">
        <is>
          <t>General</t>
        </is>
      </c>
      <c r="F9475" s="5" t="n">
        <v>733</v>
      </c>
      <c r="G9475" s="5" t="n">
        <v>4594</v>
      </c>
      <c r="H9475" s="5" t="n">
        <v>27</v>
      </c>
      <c r="I9475" s="5" t="n">
        <v>8</v>
      </c>
      <c r="J9475" s="5" t="n">
        <v>19</v>
      </c>
      <c r="K9475" s="10">
        <f>IF(F9475&gt;0,H9475/F9475,"")</f>
        <v/>
      </c>
      <c r="L9475" s="16">
        <f>IF(AND(G9475&gt;0,H9475&gt;0),G9475/H9475,"")</f>
        <v/>
      </c>
    </row>
    <row r="9476">
      <c r="A9476" s="4" t="inlineStr">
        <is>
          <t>313</t>
        </is>
      </c>
      <c r="B9476" s="4" t="n">
        <v>3</v>
      </c>
      <c r="C9476" s="4" t="inlineStr">
        <is>
          <t>whitetail</t>
        </is>
      </c>
      <c r="D9476" s="4" t="n">
        <v>2022</v>
      </c>
      <c r="E9476" s="13" t="inlineStr">
        <is>
          <t>General</t>
        </is>
      </c>
      <c r="F9476" s="5" t="n"/>
      <c r="G9476" s="5" t="n"/>
      <c r="H9476" s="5" t="n">
        <v>37</v>
      </c>
      <c r="I9476" s="5" t="n">
        <v>25</v>
      </c>
      <c r="J9476" s="5" t="n">
        <v>12</v>
      </c>
      <c r="K9476" s="10">
        <f>IF(F9476&gt;0,H9476/F9476,"")</f>
        <v/>
      </c>
      <c r="L9476" s="16">
        <f>IF(AND(G9476&gt;0,H9476&gt;0),G9476/H9476,"")</f>
        <v/>
      </c>
    </row>
    <row r="9477">
      <c r="A9477" s="4" t="inlineStr">
        <is>
          <t>313</t>
        </is>
      </c>
      <c r="B9477" s="4" t="n">
        <v>3</v>
      </c>
      <c r="C9477" s="4" t="inlineStr">
        <is>
          <t>whitetail</t>
        </is>
      </c>
      <c r="D9477" s="4" t="n">
        <v>2023</v>
      </c>
      <c r="E9477" s="13" t="inlineStr">
        <is>
          <t>General</t>
        </is>
      </c>
      <c r="F9477" s="5" t="n">
        <v>633</v>
      </c>
      <c r="G9477" s="5" t="n">
        <v>4776</v>
      </c>
      <c r="H9477" s="5" t="n">
        <v>35</v>
      </c>
      <c r="I9477" s="5" t="n">
        <v>13</v>
      </c>
      <c r="J9477" s="5" t="n">
        <v>22</v>
      </c>
      <c r="K9477" s="10">
        <f>IF(F9477&gt;0,H9477/F9477,"")</f>
        <v/>
      </c>
      <c r="L9477" s="16">
        <f>IF(AND(G9477&gt;0,H9477&gt;0),G9477/H9477,"")</f>
        <v/>
      </c>
    </row>
    <row r="9478">
      <c r="A9478" s="4" t="inlineStr">
        <is>
          <t>313</t>
        </is>
      </c>
      <c r="B9478" s="4" t="n">
        <v>3</v>
      </c>
      <c r="C9478" s="4" t="inlineStr">
        <is>
          <t>whitetail</t>
        </is>
      </c>
      <c r="D9478" s="4" t="n">
        <v>2024</v>
      </c>
      <c r="E9478" s="13" t="inlineStr">
        <is>
          <t>General</t>
        </is>
      </c>
      <c r="F9478" s="5" t="n"/>
      <c r="G9478" s="5" t="n"/>
      <c r="H9478" s="5" t="n">
        <v>24</v>
      </c>
      <c r="I9478" s="5" t="n">
        <v>15</v>
      </c>
      <c r="J9478" s="5" t="n">
        <v>9</v>
      </c>
      <c r="K9478" s="10">
        <f>IF(F9478&gt;0,H9478/F9478,"")</f>
        <v/>
      </c>
      <c r="L9478" s="16">
        <f>IF(AND(G9478&gt;0,H9478&gt;0),G9478/H9478,"")</f>
        <v/>
      </c>
    </row>
    <row r="9479">
      <c r="A9479" s="4" t="inlineStr">
        <is>
          <t>313</t>
        </is>
      </c>
      <c r="B9479" s="4" t="n">
        <v>3</v>
      </c>
      <c r="C9479" s="4" t="inlineStr">
        <is>
          <t>whitetail</t>
        </is>
      </c>
      <c r="D9479" s="4" t="n">
        <v>2025</v>
      </c>
      <c r="E9479" s="13" t="inlineStr">
        <is>
          <t>General</t>
        </is>
      </c>
      <c r="F9479" s="5" t="n">
        <v>810</v>
      </c>
      <c r="G9479" s="5" t="n">
        <v>5205</v>
      </c>
      <c r="H9479" s="5" t="n">
        <v>50</v>
      </c>
      <c r="I9479" s="5" t="n">
        <v>27</v>
      </c>
      <c r="J9479" s="5" t="n">
        <v>23</v>
      </c>
      <c r="K9479" s="10">
        <f>IF(F9479&gt;0,H9479/F9479,"")</f>
        <v/>
      </c>
      <c r="L9479" s="16">
        <f>IF(AND(G9479&gt;0,H9479&gt;0),G9479/H9479,"")</f>
        <v/>
      </c>
    </row>
    <row r="9480">
      <c r="A9480" s="4" t="inlineStr">
        <is>
          <t>314</t>
        </is>
      </c>
      <c r="B9480" s="4" t="n">
        <v>3</v>
      </c>
      <c r="C9480" s="4" t="inlineStr">
        <is>
          <t>whitetail</t>
        </is>
      </c>
      <c r="D9480" s="4" t="n">
        <v>2004</v>
      </c>
      <c r="E9480" s="13" t="inlineStr">
        <is>
          <t>General</t>
        </is>
      </c>
      <c r="F9480" s="5" t="n">
        <v>1450</v>
      </c>
      <c r="G9480" s="5" t="n">
        <v>7784</v>
      </c>
      <c r="H9480" s="5" t="n">
        <v>234</v>
      </c>
      <c r="I9480" s="5" t="n">
        <v>106</v>
      </c>
      <c r="J9480" s="5" t="n">
        <v>119</v>
      </c>
      <c r="K9480" s="10">
        <f>IF(F9480&gt;0,H9480/F9480,"")</f>
        <v/>
      </c>
      <c r="L9480" s="16">
        <f>IF(AND(G9480&gt;0,H9480&gt;0),G9480/H9480,"")</f>
        <v/>
      </c>
    </row>
    <row r="9481">
      <c r="A9481" s="4" t="inlineStr">
        <is>
          <t>314</t>
        </is>
      </c>
      <c r="B9481" s="4" t="n">
        <v>3</v>
      </c>
      <c r="C9481" s="4" t="inlineStr">
        <is>
          <t>whitetail</t>
        </is>
      </c>
      <c r="D9481" s="4" t="n">
        <v>2005</v>
      </c>
      <c r="E9481" s="13" t="inlineStr">
        <is>
          <t>General</t>
        </is>
      </c>
      <c r="F9481" s="5" t="n">
        <v>1138</v>
      </c>
      <c r="G9481" s="5" t="n">
        <v>6145</v>
      </c>
      <c r="H9481" s="5" t="n">
        <v>208</v>
      </c>
      <c r="I9481" s="5" t="n">
        <v>111</v>
      </c>
      <c r="J9481" s="5" t="n">
        <v>95</v>
      </c>
      <c r="K9481" s="10">
        <f>IF(F9481&gt;0,H9481/F9481,"")</f>
        <v/>
      </c>
      <c r="L9481" s="16">
        <f>IF(AND(G9481&gt;0,H9481&gt;0),G9481/H9481,"")</f>
        <v/>
      </c>
    </row>
    <row r="9482">
      <c r="A9482" s="4" t="inlineStr">
        <is>
          <t>314</t>
        </is>
      </c>
      <c r="B9482" s="4" t="n">
        <v>3</v>
      </c>
      <c r="C9482" s="4" t="inlineStr">
        <is>
          <t>whitetail</t>
        </is>
      </c>
      <c r="D9482" s="4" t="n">
        <v>2006</v>
      </c>
      <c r="E9482" s="13" t="inlineStr">
        <is>
          <t>General</t>
        </is>
      </c>
      <c r="F9482" s="5" t="n">
        <v>1387</v>
      </c>
      <c r="G9482" s="5" t="n">
        <v>7578</v>
      </c>
      <c r="H9482" s="5" t="n">
        <v>346</v>
      </c>
      <c r="I9482" s="5" t="n">
        <v>181</v>
      </c>
      <c r="J9482" s="5" t="n">
        <v>158</v>
      </c>
      <c r="K9482" s="10">
        <f>IF(F9482&gt;0,H9482/F9482,"")</f>
        <v/>
      </c>
      <c r="L9482" s="16">
        <f>IF(AND(G9482&gt;0,H9482&gt;0),G9482/H9482,"")</f>
        <v/>
      </c>
    </row>
    <row r="9483">
      <c r="A9483" s="4" t="inlineStr">
        <is>
          <t>314</t>
        </is>
      </c>
      <c r="B9483" s="4" t="n">
        <v>3</v>
      </c>
      <c r="C9483" s="4" t="inlineStr">
        <is>
          <t>whitetail</t>
        </is>
      </c>
      <c r="D9483" s="4" t="n">
        <v>2007</v>
      </c>
      <c r="E9483" s="13" t="inlineStr">
        <is>
          <t>General</t>
        </is>
      </c>
      <c r="F9483" s="5" t="n">
        <v>1175</v>
      </c>
      <c r="G9483" s="5" t="n">
        <v>6695</v>
      </c>
      <c r="H9483" s="5" t="n">
        <v>230</v>
      </c>
      <c r="I9483" s="5" t="n">
        <v>76</v>
      </c>
      <c r="J9483" s="5" t="n">
        <v>145</v>
      </c>
      <c r="K9483" s="10">
        <f>IF(F9483&gt;0,H9483/F9483,"")</f>
        <v/>
      </c>
      <c r="L9483" s="16">
        <f>IF(AND(G9483&gt;0,H9483&gt;0),G9483/H9483,"")</f>
        <v/>
      </c>
    </row>
    <row r="9484">
      <c r="A9484" s="4" t="inlineStr">
        <is>
          <t>314</t>
        </is>
      </c>
      <c r="B9484" s="4" t="n">
        <v>3</v>
      </c>
      <c r="C9484" s="4" t="inlineStr">
        <is>
          <t>whitetail</t>
        </is>
      </c>
      <c r="D9484" s="4" t="n">
        <v>2008</v>
      </c>
      <c r="E9484" s="13" t="inlineStr">
        <is>
          <t>General</t>
        </is>
      </c>
      <c r="F9484" s="5" t="n">
        <v>1363</v>
      </c>
      <c r="G9484" s="5" t="n">
        <v>8359</v>
      </c>
      <c r="H9484" s="5" t="n">
        <v>294</v>
      </c>
      <c r="I9484" s="5" t="n">
        <v>158</v>
      </c>
      <c r="J9484" s="5" t="n">
        <v>136</v>
      </c>
      <c r="K9484" s="10">
        <f>IF(F9484&gt;0,H9484/F9484,"")</f>
        <v/>
      </c>
      <c r="L9484" s="16">
        <f>IF(AND(G9484&gt;0,H9484&gt;0),G9484/H9484,"")</f>
        <v/>
      </c>
    </row>
    <row r="9485">
      <c r="A9485" s="4" t="inlineStr">
        <is>
          <t>314</t>
        </is>
      </c>
      <c r="B9485" s="4" t="n">
        <v>3</v>
      </c>
      <c r="C9485" s="4" t="inlineStr">
        <is>
          <t>whitetail</t>
        </is>
      </c>
      <c r="D9485" s="4" t="n">
        <v>2009</v>
      </c>
      <c r="E9485" s="13" t="inlineStr">
        <is>
          <t>General</t>
        </is>
      </c>
      <c r="F9485" s="5" t="n">
        <v>1263</v>
      </c>
      <c r="G9485" s="5" t="n">
        <v>7627</v>
      </c>
      <c r="H9485" s="5" t="n">
        <v>227</v>
      </c>
      <c r="I9485" s="5" t="n">
        <v>112</v>
      </c>
      <c r="J9485" s="5" t="n">
        <v>116</v>
      </c>
      <c r="K9485" s="10">
        <f>IF(F9485&gt;0,H9485/F9485,"")</f>
        <v/>
      </c>
      <c r="L9485" s="16">
        <f>IF(AND(G9485&gt;0,H9485&gt;0),G9485/H9485,"")</f>
        <v/>
      </c>
    </row>
    <row r="9486">
      <c r="A9486" s="4" t="inlineStr">
        <is>
          <t>314</t>
        </is>
      </c>
      <c r="B9486" s="4" t="n">
        <v>3</v>
      </c>
      <c r="C9486" s="4" t="inlineStr">
        <is>
          <t>whitetail</t>
        </is>
      </c>
      <c r="D9486" s="4" t="n">
        <v>2010</v>
      </c>
      <c r="E9486" s="13" t="inlineStr">
        <is>
          <t>General</t>
        </is>
      </c>
      <c r="F9486" s="5" t="n">
        <v>1284</v>
      </c>
      <c r="G9486" s="5" t="n">
        <v>7591</v>
      </c>
      <c r="H9486" s="5" t="n">
        <v>284</v>
      </c>
      <c r="I9486" s="5" t="n">
        <v>143</v>
      </c>
      <c r="J9486" s="5" t="n">
        <v>133</v>
      </c>
      <c r="K9486" s="10">
        <f>IF(F9486&gt;0,H9486/F9486,"")</f>
        <v/>
      </c>
      <c r="L9486" s="16">
        <f>IF(AND(G9486&gt;0,H9486&gt;0),G9486/H9486,"")</f>
        <v/>
      </c>
    </row>
    <row r="9487">
      <c r="A9487" s="4" t="inlineStr">
        <is>
          <t>314</t>
        </is>
      </c>
      <c r="B9487" s="4" t="n">
        <v>3</v>
      </c>
      <c r="C9487" s="4" t="inlineStr">
        <is>
          <t>whitetail</t>
        </is>
      </c>
      <c r="D9487" s="4" t="n">
        <v>2011</v>
      </c>
      <c r="E9487" s="13" t="inlineStr">
        <is>
          <t>General</t>
        </is>
      </c>
      <c r="F9487" s="5" t="n">
        <v>1242</v>
      </c>
      <c r="G9487" s="5" t="n">
        <v>7213</v>
      </c>
      <c r="H9487" s="5" t="n">
        <v>238</v>
      </c>
      <c r="I9487" s="5" t="n">
        <v>106</v>
      </c>
      <c r="J9487" s="5" t="n">
        <v>125</v>
      </c>
      <c r="K9487" s="10">
        <f>IF(F9487&gt;0,H9487/F9487,"")</f>
        <v/>
      </c>
      <c r="L9487" s="16">
        <f>IF(AND(G9487&gt;0,H9487&gt;0),G9487/H9487,"")</f>
        <v/>
      </c>
    </row>
    <row r="9488">
      <c r="A9488" s="4" t="inlineStr">
        <is>
          <t>314</t>
        </is>
      </c>
      <c r="B9488" s="4" t="n">
        <v>3</v>
      </c>
      <c r="C9488" s="4" t="inlineStr">
        <is>
          <t>whitetail</t>
        </is>
      </c>
      <c r="D9488" s="4" t="n">
        <v>2012</v>
      </c>
      <c r="E9488" s="13" t="inlineStr">
        <is>
          <t>General</t>
        </is>
      </c>
      <c r="F9488" s="5" t="n"/>
      <c r="G9488" s="5" t="n"/>
      <c r="H9488" s="5" t="n">
        <v>290</v>
      </c>
      <c r="I9488" s="5" t="n">
        <v>128</v>
      </c>
      <c r="J9488" s="5" t="n">
        <v>162</v>
      </c>
      <c r="K9488" s="10">
        <f>IF(F9488&gt;0,H9488/F9488,"")</f>
        <v/>
      </c>
      <c r="L9488" s="16">
        <f>IF(AND(G9488&gt;0,H9488&gt;0),G9488/H9488,"")</f>
        <v/>
      </c>
    </row>
    <row r="9489">
      <c r="A9489" s="4" t="inlineStr">
        <is>
          <t>314</t>
        </is>
      </c>
      <c r="B9489" s="4" t="n">
        <v>3</v>
      </c>
      <c r="C9489" s="4" t="inlineStr">
        <is>
          <t>whitetail</t>
        </is>
      </c>
      <c r="D9489" s="4" t="n">
        <v>2013</v>
      </c>
      <c r="E9489" s="13" t="inlineStr">
        <is>
          <t>General</t>
        </is>
      </c>
      <c r="F9489" s="5" t="n">
        <v>1277</v>
      </c>
      <c r="G9489" s="5" t="n">
        <v>7982</v>
      </c>
      <c r="H9489" s="5" t="n">
        <v>265</v>
      </c>
      <c r="I9489" s="5" t="n">
        <v>129</v>
      </c>
      <c r="J9489" s="5" t="n">
        <v>134</v>
      </c>
      <c r="K9489" s="10">
        <f>IF(F9489&gt;0,H9489/F9489,"")</f>
        <v/>
      </c>
      <c r="L9489" s="16">
        <f>IF(AND(G9489&gt;0,H9489&gt;0),G9489/H9489,"")</f>
        <v/>
      </c>
    </row>
    <row r="9490">
      <c r="A9490" s="4" t="inlineStr">
        <is>
          <t>314</t>
        </is>
      </c>
      <c r="B9490" s="4" t="n">
        <v>3</v>
      </c>
      <c r="C9490" s="4" t="inlineStr">
        <is>
          <t>whitetail</t>
        </is>
      </c>
      <c r="D9490" s="4" t="n">
        <v>2014</v>
      </c>
      <c r="E9490" s="13" t="inlineStr">
        <is>
          <t>General</t>
        </is>
      </c>
      <c r="F9490" s="5" t="n"/>
      <c r="G9490" s="5" t="n"/>
      <c r="H9490" s="5" t="n">
        <v>233</v>
      </c>
      <c r="I9490" s="5" t="n">
        <v>136</v>
      </c>
      <c r="J9490" s="5" t="n">
        <v>97</v>
      </c>
      <c r="K9490" s="10">
        <f>IF(F9490&gt;0,H9490/F9490,"")</f>
        <v/>
      </c>
      <c r="L9490" s="16">
        <f>IF(AND(G9490&gt;0,H9490&gt;0),G9490/H9490,"")</f>
        <v/>
      </c>
    </row>
    <row r="9491">
      <c r="A9491" s="4" t="inlineStr">
        <is>
          <t>314</t>
        </is>
      </c>
      <c r="B9491" s="4" t="n">
        <v>3</v>
      </c>
      <c r="C9491" s="4" t="inlineStr">
        <is>
          <t>whitetail</t>
        </is>
      </c>
      <c r="D9491" s="4" t="n">
        <v>2015</v>
      </c>
      <c r="E9491" s="13" t="inlineStr">
        <is>
          <t>General</t>
        </is>
      </c>
      <c r="F9491" s="5" t="n"/>
      <c r="G9491" s="5" t="n"/>
      <c r="H9491" s="5" t="n">
        <v>293</v>
      </c>
      <c r="I9491" s="5" t="n">
        <v>161</v>
      </c>
      <c r="J9491" s="5" t="n">
        <v>124</v>
      </c>
      <c r="K9491" s="10">
        <f>IF(F9491&gt;0,H9491/F9491,"")</f>
        <v/>
      </c>
      <c r="L9491" s="16">
        <f>IF(AND(G9491&gt;0,H9491&gt;0),G9491/H9491,"")</f>
        <v/>
      </c>
    </row>
    <row r="9492">
      <c r="A9492" s="4" t="inlineStr">
        <is>
          <t>314</t>
        </is>
      </c>
      <c r="B9492" s="4" t="n">
        <v>3</v>
      </c>
      <c r="C9492" s="4" t="inlineStr">
        <is>
          <t>whitetail</t>
        </is>
      </c>
      <c r="D9492" s="4" t="n">
        <v>2016</v>
      </c>
      <c r="E9492" s="13" t="inlineStr">
        <is>
          <t>General</t>
        </is>
      </c>
      <c r="F9492" s="5" t="n"/>
      <c r="G9492" s="5" t="n"/>
      <c r="H9492" s="5" t="n">
        <v>276</v>
      </c>
      <c r="I9492" s="5" t="n">
        <v>149</v>
      </c>
      <c r="J9492" s="5" t="n">
        <v>123</v>
      </c>
      <c r="K9492" s="10">
        <f>IF(F9492&gt;0,H9492/F9492,"")</f>
        <v/>
      </c>
      <c r="L9492" s="16">
        <f>IF(AND(G9492&gt;0,H9492&gt;0),G9492/H9492,"")</f>
        <v/>
      </c>
    </row>
    <row r="9493">
      <c r="A9493" s="4" t="inlineStr">
        <is>
          <t>314</t>
        </is>
      </c>
      <c r="B9493" s="4" t="n">
        <v>3</v>
      </c>
      <c r="C9493" s="4" t="inlineStr">
        <is>
          <t>whitetail</t>
        </is>
      </c>
      <c r="D9493" s="4" t="n">
        <v>2017</v>
      </c>
      <c r="E9493" s="13" t="inlineStr">
        <is>
          <t>General</t>
        </is>
      </c>
      <c r="F9493" s="5" t="n">
        <v>1189</v>
      </c>
      <c r="G9493" s="5" t="n">
        <v>7060</v>
      </c>
      <c r="H9493" s="5" t="n">
        <v>238</v>
      </c>
      <c r="I9493" s="5" t="n">
        <v>112</v>
      </c>
      <c r="J9493" s="5" t="n">
        <v>123</v>
      </c>
      <c r="K9493" s="10">
        <f>IF(F9493&gt;0,H9493/F9493,"")</f>
        <v/>
      </c>
      <c r="L9493" s="16">
        <f>IF(AND(G9493&gt;0,H9493&gt;0),G9493/H9493,"")</f>
        <v/>
      </c>
    </row>
    <row r="9494">
      <c r="A9494" s="4" t="inlineStr">
        <is>
          <t>314</t>
        </is>
      </c>
      <c r="B9494" s="4" t="n">
        <v>3</v>
      </c>
      <c r="C9494" s="4" t="inlineStr">
        <is>
          <t>whitetail</t>
        </is>
      </c>
      <c r="D9494" s="4" t="n">
        <v>2018</v>
      </c>
      <c r="E9494" s="13" t="inlineStr">
        <is>
          <t>General</t>
        </is>
      </c>
      <c r="F9494" s="5" t="n"/>
      <c r="G9494" s="5" t="n"/>
      <c r="H9494" s="5" t="n">
        <v>179</v>
      </c>
      <c r="I9494" s="5" t="n">
        <v>109</v>
      </c>
      <c r="J9494" s="5" t="n">
        <v>70</v>
      </c>
      <c r="K9494" s="10">
        <f>IF(F9494&gt;0,H9494/F9494,"")</f>
        <v/>
      </c>
      <c r="L9494" s="16">
        <f>IF(AND(G9494&gt;0,H9494&gt;0),G9494/H9494,"")</f>
        <v/>
      </c>
    </row>
    <row r="9495">
      <c r="A9495" s="4" t="inlineStr">
        <is>
          <t>314</t>
        </is>
      </c>
      <c r="B9495" s="4" t="n">
        <v>3</v>
      </c>
      <c r="C9495" s="4" t="inlineStr">
        <is>
          <t>whitetail</t>
        </is>
      </c>
      <c r="D9495" s="4" t="n">
        <v>2019</v>
      </c>
      <c r="E9495" s="13" t="inlineStr">
        <is>
          <t>General</t>
        </is>
      </c>
      <c r="F9495" s="5" t="n">
        <v>1188</v>
      </c>
      <c r="G9495" s="5" t="n">
        <v>6838</v>
      </c>
      <c r="H9495" s="5" t="n">
        <v>197</v>
      </c>
      <c r="I9495" s="5" t="n">
        <v>115</v>
      </c>
      <c r="J9495" s="5" t="n">
        <v>82</v>
      </c>
      <c r="K9495" s="10">
        <f>IF(F9495&gt;0,H9495/F9495,"")</f>
        <v/>
      </c>
      <c r="L9495" s="16">
        <f>IF(AND(G9495&gt;0,H9495&gt;0),G9495/H9495,"")</f>
        <v/>
      </c>
    </row>
    <row r="9496">
      <c r="A9496" s="4" t="inlineStr">
        <is>
          <t>314</t>
        </is>
      </c>
      <c r="B9496" s="4" t="n">
        <v>3</v>
      </c>
      <c r="C9496" s="4" t="inlineStr">
        <is>
          <t>whitetail</t>
        </is>
      </c>
      <c r="D9496" s="4" t="n">
        <v>2020</v>
      </c>
      <c r="E9496" s="13" t="inlineStr">
        <is>
          <t>General</t>
        </is>
      </c>
      <c r="F9496" s="5" t="n"/>
      <c r="G9496" s="5" t="n"/>
      <c r="H9496" s="5" t="n">
        <v>213</v>
      </c>
      <c r="I9496" s="5" t="n">
        <v>120</v>
      </c>
      <c r="J9496" s="5" t="n">
        <v>90</v>
      </c>
      <c r="K9496" s="10">
        <f>IF(F9496&gt;0,H9496/F9496,"")</f>
        <v/>
      </c>
      <c r="L9496" s="16">
        <f>IF(AND(G9496&gt;0,H9496&gt;0),G9496/H9496,"")</f>
        <v/>
      </c>
    </row>
    <row r="9497">
      <c r="A9497" s="4" t="inlineStr">
        <is>
          <t>314</t>
        </is>
      </c>
      <c r="B9497" s="4" t="n">
        <v>3</v>
      </c>
      <c r="C9497" s="4" t="inlineStr">
        <is>
          <t>whitetail</t>
        </is>
      </c>
      <c r="D9497" s="4" t="n">
        <v>2021</v>
      </c>
      <c r="E9497" s="13" t="inlineStr">
        <is>
          <t>General</t>
        </is>
      </c>
      <c r="F9497" s="5" t="n">
        <v>1456</v>
      </c>
      <c r="G9497" s="5" t="n">
        <v>9056</v>
      </c>
      <c r="H9497" s="5" t="n">
        <v>224</v>
      </c>
      <c r="I9497" s="5" t="n">
        <v>121</v>
      </c>
      <c r="J9497" s="5" t="n">
        <v>103</v>
      </c>
      <c r="K9497" s="10">
        <f>IF(F9497&gt;0,H9497/F9497,"")</f>
        <v/>
      </c>
      <c r="L9497" s="16">
        <f>IF(AND(G9497&gt;0,H9497&gt;0),G9497/H9497,"")</f>
        <v/>
      </c>
    </row>
    <row r="9498">
      <c r="A9498" s="4" t="inlineStr">
        <is>
          <t>314</t>
        </is>
      </c>
      <c r="B9498" s="4" t="n">
        <v>3</v>
      </c>
      <c r="C9498" s="4" t="inlineStr">
        <is>
          <t>whitetail</t>
        </is>
      </c>
      <c r="D9498" s="4" t="n">
        <v>2022</v>
      </c>
      <c r="E9498" s="13" t="inlineStr">
        <is>
          <t>General</t>
        </is>
      </c>
      <c r="F9498" s="5" t="n"/>
      <c r="G9498" s="5" t="n"/>
      <c r="H9498" s="5" t="n">
        <v>207</v>
      </c>
      <c r="I9498" s="5" t="n">
        <v>102</v>
      </c>
      <c r="J9498" s="5" t="n">
        <v>105</v>
      </c>
      <c r="K9498" s="10">
        <f>IF(F9498&gt;0,H9498/F9498,"")</f>
        <v/>
      </c>
      <c r="L9498" s="16">
        <f>IF(AND(G9498&gt;0,H9498&gt;0),G9498/H9498,"")</f>
        <v/>
      </c>
    </row>
    <row r="9499">
      <c r="A9499" s="4" t="inlineStr">
        <is>
          <t>314</t>
        </is>
      </c>
      <c r="B9499" s="4" t="n">
        <v>3</v>
      </c>
      <c r="C9499" s="4" t="inlineStr">
        <is>
          <t>whitetail</t>
        </is>
      </c>
      <c r="D9499" s="4" t="n">
        <v>2023</v>
      </c>
      <c r="E9499" s="13" t="inlineStr">
        <is>
          <t>General</t>
        </is>
      </c>
      <c r="F9499" s="5" t="n">
        <v>1382</v>
      </c>
      <c r="G9499" s="5" t="n">
        <v>8934</v>
      </c>
      <c r="H9499" s="5" t="n">
        <v>214</v>
      </c>
      <c r="I9499" s="5" t="n">
        <v>99</v>
      </c>
      <c r="J9499" s="5" t="n">
        <v>115</v>
      </c>
      <c r="K9499" s="10">
        <f>IF(F9499&gt;0,H9499/F9499,"")</f>
        <v/>
      </c>
      <c r="L9499" s="16">
        <f>IF(AND(G9499&gt;0,H9499&gt;0),G9499/H9499,"")</f>
        <v/>
      </c>
    </row>
    <row r="9500">
      <c r="A9500" s="4" t="inlineStr">
        <is>
          <t>314</t>
        </is>
      </c>
      <c r="B9500" s="4" t="n">
        <v>3</v>
      </c>
      <c r="C9500" s="4" t="inlineStr">
        <is>
          <t>whitetail</t>
        </is>
      </c>
      <c r="D9500" s="4" t="n">
        <v>2024</v>
      </c>
      <c r="E9500" s="13" t="inlineStr">
        <is>
          <t>General</t>
        </is>
      </c>
      <c r="F9500" s="5" t="n"/>
      <c r="G9500" s="5" t="n"/>
      <c r="H9500" s="5" t="n">
        <v>238</v>
      </c>
      <c r="I9500" s="5" t="n">
        <v>136</v>
      </c>
      <c r="J9500" s="5" t="n">
        <v>102</v>
      </c>
      <c r="K9500" s="10">
        <f>IF(F9500&gt;0,H9500/F9500,"")</f>
        <v/>
      </c>
      <c r="L9500" s="16">
        <f>IF(AND(G9500&gt;0,H9500&gt;0),G9500/H9500,"")</f>
        <v/>
      </c>
    </row>
    <row r="9501">
      <c r="A9501" s="4" t="inlineStr">
        <is>
          <t>314</t>
        </is>
      </c>
      <c r="B9501" s="4" t="n">
        <v>3</v>
      </c>
      <c r="C9501" s="4" t="inlineStr">
        <is>
          <t>whitetail</t>
        </is>
      </c>
      <c r="D9501" s="4" t="n">
        <v>2025</v>
      </c>
      <c r="E9501" s="13" t="inlineStr">
        <is>
          <t>General</t>
        </is>
      </c>
      <c r="F9501" s="5" t="n">
        <v>1401</v>
      </c>
      <c r="G9501" s="5" t="n">
        <v>8661</v>
      </c>
      <c r="H9501" s="5" t="n">
        <v>282</v>
      </c>
      <c r="I9501" s="5" t="n">
        <v>154</v>
      </c>
      <c r="J9501" s="5" t="n">
        <v>125</v>
      </c>
      <c r="K9501" s="10">
        <f>IF(F9501&gt;0,H9501/F9501,"")</f>
        <v/>
      </c>
      <c r="L9501" s="16">
        <f>IF(AND(G9501&gt;0,H9501&gt;0),G9501/H9501,"")</f>
        <v/>
      </c>
    </row>
    <row r="9502">
      <c r="A9502" s="4" t="inlineStr">
        <is>
          <t>315</t>
        </is>
      </c>
      <c r="B9502" s="4" t="n">
        <v>3</v>
      </c>
      <c r="C9502" s="4" t="inlineStr">
        <is>
          <t>whitetail</t>
        </is>
      </c>
      <c r="D9502" s="4" t="n">
        <v>2004</v>
      </c>
      <c r="E9502" s="13" t="inlineStr">
        <is>
          <t>General</t>
        </is>
      </c>
      <c r="F9502" s="5" t="n">
        <v>2117</v>
      </c>
      <c r="G9502" s="5" t="n">
        <v>9475</v>
      </c>
      <c r="H9502" s="5" t="n">
        <v>776</v>
      </c>
      <c r="I9502" s="5" t="n">
        <v>319</v>
      </c>
      <c r="J9502" s="5" t="n">
        <v>437</v>
      </c>
      <c r="K9502" s="10">
        <f>IF(F9502&gt;0,H9502/F9502,"")</f>
        <v/>
      </c>
      <c r="L9502" s="16">
        <f>IF(AND(G9502&gt;0,H9502&gt;0),G9502/H9502,"")</f>
        <v/>
      </c>
    </row>
    <row r="9503">
      <c r="A9503" s="4" t="inlineStr">
        <is>
          <t>315</t>
        </is>
      </c>
      <c r="B9503" s="4" t="n">
        <v>3</v>
      </c>
      <c r="C9503" s="4" t="inlineStr">
        <is>
          <t>whitetail</t>
        </is>
      </c>
      <c r="D9503" s="4" t="n">
        <v>2005</v>
      </c>
      <c r="E9503" s="13" t="inlineStr">
        <is>
          <t>General</t>
        </is>
      </c>
      <c r="F9503" s="5" t="n">
        <v>1760</v>
      </c>
      <c r="G9503" s="5" t="n">
        <v>7775</v>
      </c>
      <c r="H9503" s="5" t="n">
        <v>636</v>
      </c>
      <c r="I9503" s="5" t="n">
        <v>267</v>
      </c>
      <c r="J9503" s="5" t="n">
        <v>356</v>
      </c>
      <c r="K9503" s="10">
        <f>IF(F9503&gt;0,H9503/F9503,"")</f>
        <v/>
      </c>
      <c r="L9503" s="16">
        <f>IF(AND(G9503&gt;0,H9503&gt;0),G9503/H9503,"")</f>
        <v/>
      </c>
    </row>
    <row r="9504">
      <c r="A9504" s="4" t="inlineStr">
        <is>
          <t>315</t>
        </is>
      </c>
      <c r="B9504" s="4" t="n">
        <v>3</v>
      </c>
      <c r="C9504" s="4" t="inlineStr">
        <is>
          <t>whitetail</t>
        </is>
      </c>
      <c r="D9504" s="4" t="n">
        <v>2006</v>
      </c>
      <c r="E9504" s="13" t="inlineStr">
        <is>
          <t>General</t>
        </is>
      </c>
      <c r="F9504" s="5" t="n">
        <v>1728</v>
      </c>
      <c r="G9504" s="5" t="n">
        <v>8096</v>
      </c>
      <c r="H9504" s="5" t="n">
        <v>817</v>
      </c>
      <c r="I9504" s="5" t="n">
        <v>358</v>
      </c>
      <c r="J9504" s="5" t="n">
        <v>438</v>
      </c>
      <c r="K9504" s="10">
        <f>IF(F9504&gt;0,H9504/F9504,"")</f>
        <v/>
      </c>
      <c r="L9504" s="16">
        <f>IF(AND(G9504&gt;0,H9504&gt;0),G9504/H9504,"")</f>
        <v/>
      </c>
    </row>
    <row r="9505">
      <c r="A9505" s="4" t="inlineStr">
        <is>
          <t>315</t>
        </is>
      </c>
      <c r="B9505" s="4" t="n">
        <v>3</v>
      </c>
      <c r="C9505" s="4" t="inlineStr">
        <is>
          <t>whitetail</t>
        </is>
      </c>
      <c r="D9505" s="4" t="n">
        <v>2007</v>
      </c>
      <c r="E9505" s="13" t="inlineStr">
        <is>
          <t>General</t>
        </is>
      </c>
      <c r="F9505" s="5" t="n">
        <v>1836</v>
      </c>
      <c r="G9505" s="5" t="n">
        <v>9392</v>
      </c>
      <c r="H9505" s="5" t="n">
        <v>736</v>
      </c>
      <c r="I9505" s="5" t="n">
        <v>285</v>
      </c>
      <c r="J9505" s="5" t="n">
        <v>428</v>
      </c>
      <c r="K9505" s="10">
        <f>IF(F9505&gt;0,H9505/F9505,"")</f>
        <v/>
      </c>
      <c r="L9505" s="16">
        <f>IF(AND(G9505&gt;0,H9505&gt;0),G9505/H9505,"")</f>
        <v/>
      </c>
    </row>
    <row r="9506">
      <c r="A9506" s="4" t="inlineStr">
        <is>
          <t>315</t>
        </is>
      </c>
      <c r="B9506" s="4" t="n">
        <v>3</v>
      </c>
      <c r="C9506" s="4" t="inlineStr">
        <is>
          <t>whitetail</t>
        </is>
      </c>
      <c r="D9506" s="4" t="n">
        <v>2008</v>
      </c>
      <c r="E9506" s="13" t="inlineStr">
        <is>
          <t>General</t>
        </is>
      </c>
      <c r="F9506" s="5" t="n">
        <v>1903</v>
      </c>
      <c r="G9506" s="5" t="n">
        <v>9527</v>
      </c>
      <c r="H9506" s="5" t="n">
        <v>618</v>
      </c>
      <c r="I9506" s="5" t="n">
        <v>255</v>
      </c>
      <c r="J9506" s="5" t="n">
        <v>352</v>
      </c>
      <c r="K9506" s="10">
        <f>IF(F9506&gt;0,H9506/F9506,"")</f>
        <v/>
      </c>
      <c r="L9506" s="16">
        <f>IF(AND(G9506&gt;0,H9506&gt;0),G9506/H9506,"")</f>
        <v/>
      </c>
    </row>
    <row r="9507">
      <c r="A9507" s="4" t="inlineStr">
        <is>
          <t>315</t>
        </is>
      </c>
      <c r="B9507" s="4" t="n">
        <v>3</v>
      </c>
      <c r="C9507" s="4" t="inlineStr">
        <is>
          <t>whitetail</t>
        </is>
      </c>
      <c r="D9507" s="4" t="n">
        <v>2009</v>
      </c>
      <c r="E9507" s="13" t="inlineStr">
        <is>
          <t>General</t>
        </is>
      </c>
      <c r="F9507" s="5" t="n">
        <v>2066</v>
      </c>
      <c r="G9507" s="5" t="n">
        <v>9793</v>
      </c>
      <c r="H9507" s="5" t="n">
        <v>751</v>
      </c>
      <c r="I9507" s="5" t="n">
        <v>288</v>
      </c>
      <c r="J9507" s="5" t="n">
        <v>452</v>
      </c>
      <c r="K9507" s="10">
        <f>IF(F9507&gt;0,H9507/F9507,"")</f>
        <v/>
      </c>
      <c r="L9507" s="16">
        <f>IF(AND(G9507&gt;0,H9507&gt;0),G9507/H9507,"")</f>
        <v/>
      </c>
    </row>
    <row r="9508">
      <c r="A9508" s="4" t="inlineStr">
        <is>
          <t>315</t>
        </is>
      </c>
      <c r="B9508" s="4" t="n">
        <v>3</v>
      </c>
      <c r="C9508" s="4" t="inlineStr">
        <is>
          <t>whitetail</t>
        </is>
      </c>
      <c r="D9508" s="4" t="n">
        <v>2010</v>
      </c>
      <c r="E9508" s="13" t="inlineStr">
        <is>
          <t>General</t>
        </is>
      </c>
      <c r="F9508" s="5" t="n">
        <v>2303</v>
      </c>
      <c r="G9508" s="5" t="n">
        <v>11241</v>
      </c>
      <c r="H9508" s="5" t="n">
        <v>729</v>
      </c>
      <c r="I9508" s="5" t="n">
        <v>291</v>
      </c>
      <c r="J9508" s="5" t="n">
        <v>417</v>
      </c>
      <c r="K9508" s="10">
        <f>IF(F9508&gt;0,H9508/F9508,"")</f>
        <v/>
      </c>
      <c r="L9508" s="16">
        <f>IF(AND(G9508&gt;0,H9508&gt;0),G9508/H9508,"")</f>
        <v/>
      </c>
    </row>
    <row r="9509">
      <c r="A9509" s="4" t="inlineStr">
        <is>
          <t>315</t>
        </is>
      </c>
      <c r="B9509" s="4" t="n">
        <v>3</v>
      </c>
      <c r="C9509" s="4" t="inlineStr">
        <is>
          <t>whitetail</t>
        </is>
      </c>
      <c r="D9509" s="4" t="n">
        <v>2011</v>
      </c>
      <c r="E9509" s="13" t="inlineStr">
        <is>
          <t>General</t>
        </is>
      </c>
      <c r="F9509" s="5" t="n">
        <v>2135</v>
      </c>
      <c r="G9509" s="5" t="n">
        <v>10581</v>
      </c>
      <c r="H9509" s="5" t="n">
        <v>722</v>
      </c>
      <c r="I9509" s="5" t="n">
        <v>277</v>
      </c>
      <c r="J9509" s="5" t="n">
        <v>433</v>
      </c>
      <c r="K9509" s="10">
        <f>IF(F9509&gt;0,H9509/F9509,"")</f>
        <v/>
      </c>
      <c r="L9509" s="16">
        <f>IF(AND(G9509&gt;0,H9509&gt;0),G9509/H9509,"")</f>
        <v/>
      </c>
    </row>
    <row r="9510">
      <c r="A9510" s="4" t="inlineStr">
        <is>
          <t>315</t>
        </is>
      </c>
      <c r="B9510" s="4" t="n">
        <v>3</v>
      </c>
      <c r="C9510" s="4" t="inlineStr">
        <is>
          <t>whitetail</t>
        </is>
      </c>
      <c r="D9510" s="4" t="n">
        <v>2012</v>
      </c>
      <c r="E9510" s="13" t="inlineStr">
        <is>
          <t>General</t>
        </is>
      </c>
      <c r="F9510" s="5" t="n"/>
      <c r="G9510" s="5" t="n"/>
      <c r="H9510" s="5" t="n">
        <v>765</v>
      </c>
      <c r="I9510" s="5" t="n">
        <v>292</v>
      </c>
      <c r="J9510" s="5" t="n">
        <v>459</v>
      </c>
      <c r="K9510" s="10">
        <f>IF(F9510&gt;0,H9510/F9510,"")</f>
        <v/>
      </c>
      <c r="L9510" s="16">
        <f>IF(AND(G9510&gt;0,H9510&gt;0),G9510/H9510,"")</f>
        <v/>
      </c>
    </row>
    <row r="9511">
      <c r="A9511" s="4" t="inlineStr">
        <is>
          <t>315</t>
        </is>
      </c>
      <c r="B9511" s="4" t="n">
        <v>3</v>
      </c>
      <c r="C9511" s="4" t="inlineStr">
        <is>
          <t>whitetail</t>
        </is>
      </c>
      <c r="D9511" s="4" t="n">
        <v>2013</v>
      </c>
      <c r="E9511" s="13" t="inlineStr">
        <is>
          <t>General</t>
        </is>
      </c>
      <c r="F9511" s="5" t="n">
        <v>2308</v>
      </c>
      <c r="G9511" s="5" t="n">
        <v>12139</v>
      </c>
      <c r="H9511" s="5" t="n">
        <v>592</v>
      </c>
      <c r="I9511" s="5" t="n">
        <v>290</v>
      </c>
      <c r="J9511" s="5" t="n">
        <v>291</v>
      </c>
      <c r="K9511" s="10">
        <f>IF(F9511&gt;0,H9511/F9511,"")</f>
        <v/>
      </c>
      <c r="L9511" s="16">
        <f>IF(AND(G9511&gt;0,H9511&gt;0),G9511/H9511,"")</f>
        <v/>
      </c>
    </row>
    <row r="9512">
      <c r="A9512" s="4" t="inlineStr">
        <is>
          <t>315</t>
        </is>
      </c>
      <c r="B9512" s="4" t="n">
        <v>3</v>
      </c>
      <c r="C9512" s="4" t="inlineStr">
        <is>
          <t>whitetail</t>
        </is>
      </c>
      <c r="D9512" s="4" t="n">
        <v>2014</v>
      </c>
      <c r="E9512" s="13" t="inlineStr">
        <is>
          <t>General</t>
        </is>
      </c>
      <c r="F9512" s="5" t="n"/>
      <c r="G9512" s="5" t="n"/>
      <c r="H9512" s="5" t="n">
        <v>530</v>
      </c>
      <c r="I9512" s="5" t="n">
        <v>280</v>
      </c>
      <c r="J9512" s="5" t="n">
        <v>229</v>
      </c>
      <c r="K9512" s="10">
        <f>IF(F9512&gt;0,H9512/F9512,"")</f>
        <v/>
      </c>
      <c r="L9512" s="16">
        <f>IF(AND(G9512&gt;0,H9512&gt;0),G9512/H9512,"")</f>
        <v/>
      </c>
    </row>
    <row r="9513">
      <c r="A9513" s="4" t="inlineStr">
        <is>
          <t>315</t>
        </is>
      </c>
      <c r="B9513" s="4" t="n">
        <v>3</v>
      </c>
      <c r="C9513" s="4" t="inlineStr">
        <is>
          <t>whitetail</t>
        </is>
      </c>
      <c r="D9513" s="4" t="n">
        <v>2015</v>
      </c>
      <c r="E9513" s="13" t="inlineStr">
        <is>
          <t>General</t>
        </is>
      </c>
      <c r="F9513" s="5" t="n"/>
      <c r="G9513" s="5" t="n"/>
      <c r="H9513" s="5" t="n">
        <v>619</v>
      </c>
      <c r="I9513" s="5" t="n">
        <v>304</v>
      </c>
      <c r="J9513" s="5" t="n">
        <v>308</v>
      </c>
      <c r="K9513" s="10">
        <f>IF(F9513&gt;0,H9513/F9513,"")</f>
        <v/>
      </c>
      <c r="L9513" s="16">
        <f>IF(AND(G9513&gt;0,H9513&gt;0),G9513/H9513,"")</f>
        <v/>
      </c>
    </row>
    <row r="9514">
      <c r="A9514" s="4" t="inlineStr">
        <is>
          <t>315</t>
        </is>
      </c>
      <c r="B9514" s="4" t="n">
        <v>3</v>
      </c>
      <c r="C9514" s="4" t="inlineStr">
        <is>
          <t>whitetail</t>
        </is>
      </c>
      <c r="D9514" s="4" t="n">
        <v>2016</v>
      </c>
      <c r="E9514" s="13" t="inlineStr">
        <is>
          <t>General</t>
        </is>
      </c>
      <c r="F9514" s="5" t="n"/>
      <c r="G9514" s="5" t="n"/>
      <c r="H9514" s="5" t="n">
        <v>639</v>
      </c>
      <c r="I9514" s="5" t="n">
        <v>340</v>
      </c>
      <c r="J9514" s="5" t="n">
        <v>290</v>
      </c>
      <c r="K9514" s="10">
        <f>IF(F9514&gt;0,H9514/F9514,"")</f>
        <v/>
      </c>
      <c r="L9514" s="16">
        <f>IF(AND(G9514&gt;0,H9514&gt;0),G9514/H9514,"")</f>
        <v/>
      </c>
    </row>
    <row r="9515">
      <c r="A9515" s="4" t="inlineStr">
        <is>
          <t>315</t>
        </is>
      </c>
      <c r="B9515" s="4" t="n">
        <v>3</v>
      </c>
      <c r="C9515" s="4" t="inlineStr">
        <is>
          <t>whitetail</t>
        </is>
      </c>
      <c r="D9515" s="4" t="n">
        <v>2017</v>
      </c>
      <c r="E9515" s="13" t="inlineStr">
        <is>
          <t>General</t>
        </is>
      </c>
      <c r="F9515" s="5" t="n">
        <v>1674</v>
      </c>
      <c r="G9515" s="5" t="n">
        <v>8056</v>
      </c>
      <c r="H9515" s="5" t="n">
        <v>654</v>
      </c>
      <c r="I9515" s="5" t="n">
        <v>295</v>
      </c>
      <c r="J9515" s="5" t="n">
        <v>344</v>
      </c>
      <c r="K9515" s="10">
        <f>IF(F9515&gt;0,H9515/F9515,"")</f>
        <v/>
      </c>
      <c r="L9515" s="16">
        <f>IF(AND(G9515&gt;0,H9515&gt;0),G9515/H9515,"")</f>
        <v/>
      </c>
    </row>
    <row r="9516">
      <c r="A9516" s="4" t="inlineStr">
        <is>
          <t>315</t>
        </is>
      </c>
      <c r="B9516" s="4" t="n">
        <v>3</v>
      </c>
      <c r="C9516" s="4" t="inlineStr">
        <is>
          <t>whitetail</t>
        </is>
      </c>
      <c r="D9516" s="4" t="n">
        <v>2018</v>
      </c>
      <c r="E9516" s="13" t="inlineStr">
        <is>
          <t>General</t>
        </is>
      </c>
      <c r="F9516" s="5" t="n"/>
      <c r="G9516" s="5" t="n"/>
      <c r="H9516" s="5" t="n">
        <v>375</v>
      </c>
      <c r="I9516" s="5" t="n">
        <v>187</v>
      </c>
      <c r="J9516" s="5" t="n">
        <v>176</v>
      </c>
      <c r="K9516" s="10">
        <f>IF(F9516&gt;0,H9516/F9516,"")</f>
        <v/>
      </c>
      <c r="L9516" s="16">
        <f>IF(AND(G9516&gt;0,H9516&gt;0),G9516/H9516,"")</f>
        <v/>
      </c>
    </row>
    <row r="9517">
      <c r="A9517" s="4" t="inlineStr">
        <is>
          <t>315</t>
        </is>
      </c>
      <c r="B9517" s="4" t="n">
        <v>3</v>
      </c>
      <c r="C9517" s="4" t="inlineStr">
        <is>
          <t>whitetail</t>
        </is>
      </c>
      <c r="D9517" s="4" t="n">
        <v>2019</v>
      </c>
      <c r="E9517" s="13" t="inlineStr">
        <is>
          <t>General</t>
        </is>
      </c>
      <c r="F9517" s="5" t="n">
        <v>1515</v>
      </c>
      <c r="G9517" s="5" t="n">
        <v>8194</v>
      </c>
      <c r="H9517" s="5" t="n">
        <v>392</v>
      </c>
      <c r="I9517" s="5" t="n">
        <v>211</v>
      </c>
      <c r="J9517" s="5" t="n">
        <v>171</v>
      </c>
      <c r="K9517" s="10">
        <f>IF(F9517&gt;0,H9517/F9517,"")</f>
        <v/>
      </c>
      <c r="L9517" s="16">
        <f>IF(AND(G9517&gt;0,H9517&gt;0),G9517/H9517,"")</f>
        <v/>
      </c>
    </row>
    <row r="9518">
      <c r="A9518" s="4" t="inlineStr">
        <is>
          <t>315</t>
        </is>
      </c>
      <c r="B9518" s="4" t="n">
        <v>3</v>
      </c>
      <c r="C9518" s="4" t="inlineStr">
        <is>
          <t>whitetail</t>
        </is>
      </c>
      <c r="D9518" s="4" t="n">
        <v>2020</v>
      </c>
      <c r="E9518" s="13" t="inlineStr">
        <is>
          <t>General</t>
        </is>
      </c>
      <c r="F9518" s="5" t="n"/>
      <c r="G9518" s="5" t="n"/>
      <c r="H9518" s="5" t="n">
        <v>457</v>
      </c>
      <c r="I9518" s="5" t="n">
        <v>212</v>
      </c>
      <c r="J9518" s="5" t="n">
        <v>241</v>
      </c>
      <c r="K9518" s="10">
        <f>IF(F9518&gt;0,H9518/F9518,"")</f>
        <v/>
      </c>
      <c r="L9518" s="16">
        <f>IF(AND(G9518&gt;0,H9518&gt;0),G9518/H9518,"")</f>
        <v/>
      </c>
    </row>
    <row r="9519">
      <c r="A9519" s="4" t="inlineStr">
        <is>
          <t>315</t>
        </is>
      </c>
      <c r="B9519" s="4" t="n">
        <v>3</v>
      </c>
      <c r="C9519" s="4" t="inlineStr">
        <is>
          <t>whitetail</t>
        </is>
      </c>
      <c r="D9519" s="4" t="n">
        <v>2021</v>
      </c>
      <c r="E9519" s="13" t="inlineStr">
        <is>
          <t>General</t>
        </is>
      </c>
      <c r="F9519" s="5" t="n">
        <v>1338</v>
      </c>
      <c r="G9519" s="5" t="n">
        <v>8170</v>
      </c>
      <c r="H9519" s="5" t="n">
        <v>400</v>
      </c>
      <c r="I9519" s="5" t="n">
        <v>225</v>
      </c>
      <c r="J9519" s="5" t="n">
        <v>175</v>
      </c>
      <c r="K9519" s="10">
        <f>IF(F9519&gt;0,H9519/F9519,"")</f>
        <v/>
      </c>
      <c r="L9519" s="16">
        <f>IF(AND(G9519&gt;0,H9519&gt;0),G9519/H9519,"")</f>
        <v/>
      </c>
    </row>
    <row r="9520">
      <c r="A9520" s="4" t="inlineStr">
        <is>
          <t>315</t>
        </is>
      </c>
      <c r="B9520" s="4" t="n">
        <v>3</v>
      </c>
      <c r="C9520" s="4" t="inlineStr">
        <is>
          <t>whitetail</t>
        </is>
      </c>
      <c r="D9520" s="4" t="n">
        <v>2022</v>
      </c>
      <c r="E9520" s="13" t="inlineStr">
        <is>
          <t>General</t>
        </is>
      </c>
      <c r="F9520" s="5" t="n"/>
      <c r="G9520" s="5" t="n"/>
      <c r="H9520" s="5" t="n">
        <v>379</v>
      </c>
      <c r="I9520" s="5" t="n">
        <v>184</v>
      </c>
      <c r="J9520" s="5" t="n">
        <v>186</v>
      </c>
      <c r="K9520" s="10">
        <f>IF(F9520&gt;0,H9520/F9520,"")</f>
        <v/>
      </c>
      <c r="L9520" s="16">
        <f>IF(AND(G9520&gt;0,H9520&gt;0),G9520/H9520,"")</f>
        <v/>
      </c>
    </row>
    <row r="9521">
      <c r="A9521" s="4" t="inlineStr">
        <is>
          <t>315</t>
        </is>
      </c>
      <c r="B9521" s="4" t="n">
        <v>3</v>
      </c>
      <c r="C9521" s="4" t="inlineStr">
        <is>
          <t>whitetail</t>
        </is>
      </c>
      <c r="D9521" s="4" t="n">
        <v>2023</v>
      </c>
      <c r="E9521" s="13" t="inlineStr">
        <is>
          <t>General</t>
        </is>
      </c>
      <c r="F9521" s="5" t="n">
        <v>1482</v>
      </c>
      <c r="G9521" s="5" t="n">
        <v>8395</v>
      </c>
      <c r="H9521" s="5" t="n">
        <v>389</v>
      </c>
      <c r="I9521" s="5" t="n">
        <v>216</v>
      </c>
      <c r="J9521" s="5" t="n">
        <v>167</v>
      </c>
      <c r="K9521" s="10">
        <f>IF(F9521&gt;0,H9521/F9521,"")</f>
        <v/>
      </c>
      <c r="L9521" s="16">
        <f>IF(AND(G9521&gt;0,H9521&gt;0),G9521/H9521,"")</f>
        <v/>
      </c>
    </row>
    <row r="9522">
      <c r="A9522" s="4" t="inlineStr">
        <is>
          <t>315</t>
        </is>
      </c>
      <c r="B9522" s="4" t="n">
        <v>3</v>
      </c>
      <c r="C9522" s="4" t="inlineStr">
        <is>
          <t>whitetail</t>
        </is>
      </c>
      <c r="D9522" s="4" t="n">
        <v>2024</v>
      </c>
      <c r="E9522" s="13" t="inlineStr">
        <is>
          <t>General</t>
        </is>
      </c>
      <c r="F9522" s="5" t="n"/>
      <c r="G9522" s="5" t="n"/>
      <c r="H9522" s="5" t="n">
        <v>381</v>
      </c>
      <c r="I9522" s="5" t="n">
        <v>166</v>
      </c>
      <c r="J9522" s="5" t="n">
        <v>206</v>
      </c>
      <c r="K9522" s="10">
        <f>IF(F9522&gt;0,H9522/F9522,"")</f>
        <v/>
      </c>
      <c r="L9522" s="16">
        <f>IF(AND(G9522&gt;0,H9522&gt;0),G9522/H9522,"")</f>
        <v/>
      </c>
    </row>
    <row r="9523">
      <c r="A9523" s="4" t="inlineStr">
        <is>
          <t>315</t>
        </is>
      </c>
      <c r="B9523" s="4" t="n">
        <v>3</v>
      </c>
      <c r="C9523" s="4" t="inlineStr">
        <is>
          <t>whitetail</t>
        </is>
      </c>
      <c r="D9523" s="4" t="n">
        <v>2025</v>
      </c>
      <c r="E9523" s="13" t="inlineStr">
        <is>
          <t>General</t>
        </is>
      </c>
      <c r="F9523" s="5" t="n">
        <v>1587</v>
      </c>
      <c r="G9523" s="5" t="n">
        <v>10277</v>
      </c>
      <c r="H9523" s="5" t="n">
        <v>315</v>
      </c>
      <c r="I9523" s="5" t="n">
        <v>152</v>
      </c>
      <c r="J9523" s="5" t="n">
        <v>160</v>
      </c>
      <c r="K9523" s="10">
        <f>IF(F9523&gt;0,H9523/F9523,"")</f>
        <v/>
      </c>
      <c r="L9523" s="16">
        <f>IF(AND(G9523&gt;0,H9523&gt;0),G9523/H9523,"")</f>
        <v/>
      </c>
    </row>
    <row r="9524">
      <c r="A9524" s="4" t="inlineStr">
        <is>
          <t>316</t>
        </is>
      </c>
      <c r="B9524" s="4" t="n">
        <v>3</v>
      </c>
      <c r="C9524" s="4" t="inlineStr">
        <is>
          <t>whitetail</t>
        </is>
      </c>
      <c r="D9524" s="4" t="n">
        <v>2005</v>
      </c>
      <c r="E9524" s="13" t="inlineStr">
        <is>
          <t>General</t>
        </is>
      </c>
      <c r="F9524" s="5" t="n">
        <v>76</v>
      </c>
      <c r="G9524" s="5" t="n">
        <v>419</v>
      </c>
      <c r="H9524" s="5" t="n">
        <v>4</v>
      </c>
      <c r="I9524" s="5" t="n">
        <v>4</v>
      </c>
      <c r="J9524" s="5" t="n">
        <v>0</v>
      </c>
      <c r="K9524" s="10">
        <f>IF(F9524&gt;0,H9524/F9524,"")</f>
        <v/>
      </c>
      <c r="L9524" s="16">
        <f>IF(AND(G9524&gt;0,H9524&gt;0),G9524/H9524,"")</f>
        <v/>
      </c>
    </row>
    <row r="9525">
      <c r="A9525" s="4" t="inlineStr">
        <is>
          <t>316</t>
        </is>
      </c>
      <c r="B9525" s="4" t="n">
        <v>3</v>
      </c>
      <c r="C9525" s="4" t="inlineStr">
        <is>
          <t>whitetail</t>
        </is>
      </c>
      <c r="D9525" s="4" t="n">
        <v>2006</v>
      </c>
      <c r="E9525" s="13" t="inlineStr">
        <is>
          <t>General</t>
        </is>
      </c>
      <c r="F9525" s="5" t="n">
        <v>103</v>
      </c>
      <c r="G9525" s="5" t="n">
        <v>734</v>
      </c>
      <c r="H9525" s="5" t="n">
        <v>4</v>
      </c>
      <c r="I9525" s="5" t="n">
        <v>0</v>
      </c>
      <c r="J9525" s="5" t="n">
        <v>4</v>
      </c>
      <c r="K9525" s="10">
        <f>IF(F9525&gt;0,H9525/F9525,"")</f>
        <v/>
      </c>
      <c r="L9525" s="16">
        <f>IF(AND(G9525&gt;0,H9525&gt;0),G9525/H9525,"")</f>
        <v/>
      </c>
    </row>
    <row r="9526">
      <c r="A9526" s="4" t="inlineStr">
        <is>
          <t>316</t>
        </is>
      </c>
      <c r="B9526" s="4" t="n">
        <v>3</v>
      </c>
      <c r="C9526" s="4" t="inlineStr">
        <is>
          <t>whitetail</t>
        </is>
      </c>
      <c r="D9526" s="4" t="n">
        <v>2007</v>
      </c>
      <c r="E9526" s="13" t="inlineStr">
        <is>
          <t>General</t>
        </is>
      </c>
      <c r="F9526" s="5" t="n">
        <v>115</v>
      </c>
      <c r="G9526" s="5" t="n">
        <v>562</v>
      </c>
      <c r="H9526" s="5" t="n">
        <v>8</v>
      </c>
      <c r="I9526" s="5" t="n">
        <v>8</v>
      </c>
      <c r="J9526" s="5" t="n">
        <v>0</v>
      </c>
      <c r="K9526" s="10">
        <f>IF(F9526&gt;0,H9526/F9526,"")</f>
        <v/>
      </c>
      <c r="L9526" s="16">
        <f>IF(AND(G9526&gt;0,H9526&gt;0),G9526/H9526,"")</f>
        <v/>
      </c>
    </row>
    <row r="9527">
      <c r="A9527" s="4" t="inlineStr">
        <is>
          <t>316</t>
        </is>
      </c>
      <c r="B9527" s="4" t="n">
        <v>3</v>
      </c>
      <c r="C9527" s="4" t="inlineStr">
        <is>
          <t>whitetail</t>
        </is>
      </c>
      <c r="D9527" s="4" t="n">
        <v>2008</v>
      </c>
      <c r="E9527" s="13" t="inlineStr">
        <is>
          <t>General</t>
        </is>
      </c>
      <c r="F9527" s="5" t="n">
        <v>84</v>
      </c>
      <c r="G9527" s="5" t="n">
        <v>385</v>
      </c>
      <c r="H9527" s="5" t="n">
        <v>8</v>
      </c>
      <c r="I9527" s="5" t="n">
        <v>3</v>
      </c>
      <c r="J9527" s="5" t="n">
        <v>5</v>
      </c>
      <c r="K9527" s="10">
        <f>IF(F9527&gt;0,H9527/F9527,"")</f>
        <v/>
      </c>
      <c r="L9527" s="16">
        <f>IF(AND(G9527&gt;0,H9527&gt;0),G9527/H9527,"")</f>
        <v/>
      </c>
    </row>
    <row r="9528">
      <c r="A9528" s="4" t="inlineStr">
        <is>
          <t>316</t>
        </is>
      </c>
      <c r="B9528" s="4" t="n">
        <v>3</v>
      </c>
      <c r="C9528" s="4" t="inlineStr">
        <is>
          <t>whitetail</t>
        </is>
      </c>
      <c r="D9528" s="4" t="n">
        <v>2009</v>
      </c>
      <c r="E9528" s="13" t="inlineStr">
        <is>
          <t>General</t>
        </is>
      </c>
      <c r="F9528" s="5" t="n">
        <v>107</v>
      </c>
      <c r="G9528" s="5" t="n">
        <v>824</v>
      </c>
      <c r="H9528" s="5" t="n">
        <v>5</v>
      </c>
      <c r="I9528" s="5" t="n">
        <v>2</v>
      </c>
      <c r="J9528" s="5" t="n">
        <v>3</v>
      </c>
      <c r="K9528" s="10">
        <f>IF(F9528&gt;0,H9528/F9528,"")</f>
        <v/>
      </c>
      <c r="L9528" s="16">
        <f>IF(AND(G9528&gt;0,H9528&gt;0),G9528/H9528,"")</f>
        <v/>
      </c>
    </row>
    <row r="9529">
      <c r="A9529" s="4" t="inlineStr">
        <is>
          <t>316</t>
        </is>
      </c>
      <c r="B9529" s="4" t="n">
        <v>3</v>
      </c>
      <c r="C9529" s="4" t="inlineStr">
        <is>
          <t>whitetail</t>
        </is>
      </c>
      <c r="D9529" s="4" t="n">
        <v>2010</v>
      </c>
      <c r="E9529" s="13" t="inlineStr">
        <is>
          <t>General</t>
        </is>
      </c>
      <c r="F9529" s="5" t="n">
        <v>59</v>
      </c>
      <c r="G9529" s="5" t="n">
        <v>254</v>
      </c>
      <c r="H9529" s="5" t="n">
        <v>8</v>
      </c>
      <c r="I9529" s="5" t="n">
        <v>5</v>
      </c>
      <c r="J9529" s="5" t="n">
        <v>3</v>
      </c>
      <c r="K9529" s="10">
        <f>IF(F9529&gt;0,H9529/F9529,"")</f>
        <v/>
      </c>
      <c r="L9529" s="16">
        <f>IF(AND(G9529&gt;0,H9529&gt;0),G9529/H9529,"")</f>
        <v/>
      </c>
    </row>
    <row r="9530">
      <c r="A9530" s="4" t="inlineStr">
        <is>
          <t>316</t>
        </is>
      </c>
      <c r="B9530" s="4" t="n">
        <v>3</v>
      </c>
      <c r="C9530" s="4" t="inlineStr">
        <is>
          <t>whitetail</t>
        </is>
      </c>
      <c r="D9530" s="4" t="n">
        <v>2011</v>
      </c>
      <c r="E9530" s="13" t="inlineStr">
        <is>
          <t>General</t>
        </is>
      </c>
      <c r="F9530" s="5" t="n">
        <v>57</v>
      </c>
      <c r="G9530" s="5" t="n">
        <v>303</v>
      </c>
      <c r="H9530" s="5" t="n">
        <v>3</v>
      </c>
      <c r="I9530" s="5" t="n">
        <v>0</v>
      </c>
      <c r="J9530" s="5" t="n">
        <v>3</v>
      </c>
      <c r="K9530" s="10">
        <f>IF(F9530&gt;0,H9530/F9530,"")</f>
        <v/>
      </c>
      <c r="L9530" s="16">
        <f>IF(AND(G9530&gt;0,H9530&gt;0),G9530/H9530,"")</f>
        <v/>
      </c>
    </row>
    <row r="9531">
      <c r="A9531" s="4" t="inlineStr">
        <is>
          <t>316</t>
        </is>
      </c>
      <c r="B9531" s="4" t="n">
        <v>3</v>
      </c>
      <c r="C9531" s="4" t="inlineStr">
        <is>
          <t>whitetail</t>
        </is>
      </c>
      <c r="D9531" s="4" t="n">
        <v>2012</v>
      </c>
      <c r="E9531" s="13" t="inlineStr">
        <is>
          <t>General</t>
        </is>
      </c>
      <c r="F9531" s="5" t="n"/>
      <c r="G9531" s="5" t="n"/>
      <c r="H9531" s="5" t="n">
        <v>6</v>
      </c>
      <c r="I9531" s="5" t="n">
        <v>0</v>
      </c>
      <c r="J9531" s="5" t="n">
        <v>6</v>
      </c>
      <c r="K9531" s="10">
        <f>IF(F9531&gt;0,H9531/F9531,"")</f>
        <v/>
      </c>
      <c r="L9531" s="16">
        <f>IF(AND(G9531&gt;0,H9531&gt;0),G9531/H9531,"")</f>
        <v/>
      </c>
    </row>
    <row r="9532">
      <c r="A9532" s="4" t="inlineStr">
        <is>
          <t>316</t>
        </is>
      </c>
      <c r="B9532" s="4" t="n">
        <v>3</v>
      </c>
      <c r="C9532" s="4" t="inlineStr">
        <is>
          <t>whitetail</t>
        </is>
      </c>
      <c r="D9532" s="4" t="n">
        <v>2013</v>
      </c>
      <c r="E9532" s="13" t="inlineStr">
        <is>
          <t>General</t>
        </is>
      </c>
      <c r="F9532" s="5" t="n">
        <v>63</v>
      </c>
      <c r="G9532" s="5" t="n">
        <v>390</v>
      </c>
      <c r="H9532" s="5" t="n">
        <v>3</v>
      </c>
      <c r="I9532" s="5" t="n">
        <v>0</v>
      </c>
      <c r="J9532" s="5" t="n">
        <v>3</v>
      </c>
      <c r="K9532" s="10">
        <f>IF(F9532&gt;0,H9532/F9532,"")</f>
        <v/>
      </c>
      <c r="L9532" s="16">
        <f>IF(AND(G9532&gt;0,H9532&gt;0),G9532/H9532,"")</f>
        <v/>
      </c>
    </row>
    <row r="9533">
      <c r="A9533" s="4" t="inlineStr">
        <is>
          <t>316</t>
        </is>
      </c>
      <c r="B9533" s="4" t="n">
        <v>3</v>
      </c>
      <c r="C9533" s="4" t="inlineStr">
        <is>
          <t>whitetail</t>
        </is>
      </c>
      <c r="D9533" s="4" t="n">
        <v>2014</v>
      </c>
      <c r="E9533" s="13" t="inlineStr">
        <is>
          <t>General</t>
        </is>
      </c>
      <c r="F9533" s="5" t="n"/>
      <c r="G9533" s="5" t="n"/>
      <c r="H9533" s="5" t="n">
        <v>12</v>
      </c>
      <c r="I9533" s="5" t="n">
        <v>6</v>
      </c>
      <c r="J9533" s="5" t="n">
        <v>6</v>
      </c>
      <c r="K9533" s="10">
        <f>IF(F9533&gt;0,H9533/F9533,"")</f>
        <v/>
      </c>
      <c r="L9533" s="16">
        <f>IF(AND(G9533&gt;0,H9533&gt;0),G9533/H9533,"")</f>
        <v/>
      </c>
    </row>
    <row r="9534">
      <c r="A9534" s="4" t="inlineStr">
        <is>
          <t>316</t>
        </is>
      </c>
      <c r="B9534" s="4" t="n">
        <v>3</v>
      </c>
      <c r="C9534" s="4" t="inlineStr">
        <is>
          <t>whitetail</t>
        </is>
      </c>
      <c r="D9534" s="4" t="n">
        <v>2015</v>
      </c>
      <c r="E9534" s="13" t="inlineStr">
        <is>
          <t>General</t>
        </is>
      </c>
      <c r="F9534" s="5" t="n"/>
      <c r="G9534" s="5" t="n"/>
      <c r="H9534" s="5" t="n">
        <v>6</v>
      </c>
      <c r="I9534" s="5" t="n">
        <v>0</v>
      </c>
      <c r="J9534" s="5" t="n">
        <v>6</v>
      </c>
      <c r="K9534" s="10">
        <f>IF(F9534&gt;0,H9534/F9534,"")</f>
        <v/>
      </c>
      <c r="L9534" s="16">
        <f>IF(AND(G9534&gt;0,H9534&gt;0),G9534/H9534,"")</f>
        <v/>
      </c>
    </row>
    <row r="9535">
      <c r="A9535" s="4" t="inlineStr">
        <is>
          <t>316</t>
        </is>
      </c>
      <c r="B9535" s="4" t="n">
        <v>3</v>
      </c>
      <c r="C9535" s="4" t="inlineStr">
        <is>
          <t>whitetail</t>
        </is>
      </c>
      <c r="D9535" s="4" t="n">
        <v>2016</v>
      </c>
      <c r="E9535" s="13" t="inlineStr">
        <is>
          <t>General</t>
        </is>
      </c>
      <c r="F9535" s="5" t="n"/>
      <c r="G9535" s="5" t="n"/>
      <c r="H9535" s="5" t="n">
        <v>6</v>
      </c>
      <c r="I9535" s="5" t="n">
        <v>6</v>
      </c>
      <c r="J9535" s="5" t="n">
        <v>0</v>
      </c>
      <c r="K9535" s="10">
        <f>IF(F9535&gt;0,H9535/F9535,"")</f>
        <v/>
      </c>
      <c r="L9535" s="16">
        <f>IF(AND(G9535&gt;0,H9535&gt;0),G9535/H9535,"")</f>
        <v/>
      </c>
    </row>
    <row r="9536">
      <c r="A9536" s="4" t="inlineStr">
        <is>
          <t>316</t>
        </is>
      </c>
      <c r="B9536" s="4" t="n">
        <v>3</v>
      </c>
      <c r="C9536" s="4" t="inlineStr">
        <is>
          <t>whitetail</t>
        </is>
      </c>
      <c r="D9536" s="4" t="n">
        <v>2017</v>
      </c>
      <c r="E9536" s="13" t="inlineStr">
        <is>
          <t>General</t>
        </is>
      </c>
      <c r="F9536" s="5" t="n">
        <v>111</v>
      </c>
      <c r="G9536" s="5" t="n">
        <v>643</v>
      </c>
      <c r="H9536" s="5" t="n">
        <v>3</v>
      </c>
      <c r="I9536" s="5" t="n">
        <v>0</v>
      </c>
      <c r="J9536" s="5" t="n">
        <v>3</v>
      </c>
      <c r="K9536" s="10">
        <f>IF(F9536&gt;0,H9536/F9536,"")</f>
        <v/>
      </c>
      <c r="L9536" s="16">
        <f>IF(AND(G9536&gt;0,H9536&gt;0),G9536/H9536,"")</f>
        <v/>
      </c>
    </row>
    <row r="9537">
      <c r="A9537" s="4" t="inlineStr">
        <is>
          <t>316</t>
        </is>
      </c>
      <c r="B9537" s="4" t="n">
        <v>3</v>
      </c>
      <c r="C9537" s="4" t="inlineStr">
        <is>
          <t>whitetail</t>
        </is>
      </c>
      <c r="D9537" s="4" t="n">
        <v>2018</v>
      </c>
      <c r="E9537" s="13" t="inlineStr">
        <is>
          <t>General</t>
        </is>
      </c>
      <c r="F9537" s="5" t="n"/>
      <c r="G9537" s="5" t="n"/>
      <c r="H9537" s="5" t="n">
        <v>6</v>
      </c>
      <c r="I9537" s="5" t="n">
        <v>3</v>
      </c>
      <c r="J9537" s="5" t="n">
        <v>3</v>
      </c>
      <c r="K9537" s="10">
        <f>IF(F9537&gt;0,H9537/F9537,"")</f>
        <v/>
      </c>
      <c r="L9537" s="16">
        <f>IF(AND(G9537&gt;0,H9537&gt;0),G9537/H9537,"")</f>
        <v/>
      </c>
    </row>
    <row r="9538">
      <c r="A9538" s="4" t="inlineStr">
        <is>
          <t>316</t>
        </is>
      </c>
      <c r="B9538" s="4" t="n">
        <v>3</v>
      </c>
      <c r="C9538" s="4" t="inlineStr">
        <is>
          <t>whitetail</t>
        </is>
      </c>
      <c r="D9538" s="4" t="n">
        <v>2019</v>
      </c>
      <c r="E9538" s="13" t="inlineStr">
        <is>
          <t>General</t>
        </is>
      </c>
      <c r="F9538" s="5" t="n">
        <v>66</v>
      </c>
      <c r="G9538" s="5" t="n">
        <v>479</v>
      </c>
      <c r="H9538" s="5" t="n">
        <v>3</v>
      </c>
      <c r="I9538" s="5" t="n">
        <v>0</v>
      </c>
      <c r="J9538" s="5" t="n">
        <v>3</v>
      </c>
      <c r="K9538" s="10">
        <f>IF(F9538&gt;0,H9538/F9538,"")</f>
        <v/>
      </c>
      <c r="L9538" s="16">
        <f>IF(AND(G9538&gt;0,H9538&gt;0),G9538/H9538,"")</f>
        <v/>
      </c>
    </row>
    <row r="9539">
      <c r="A9539" s="4" t="inlineStr">
        <is>
          <t>316</t>
        </is>
      </c>
      <c r="B9539" s="4" t="n">
        <v>3</v>
      </c>
      <c r="C9539" s="4" t="inlineStr">
        <is>
          <t>whitetail</t>
        </is>
      </c>
      <c r="D9539" s="4" t="n">
        <v>2022</v>
      </c>
      <c r="E9539" s="13" t="inlineStr">
        <is>
          <t>General</t>
        </is>
      </c>
      <c r="F9539" s="5" t="n"/>
      <c r="G9539" s="5" t="n"/>
      <c r="H9539" s="5" t="n">
        <v>12</v>
      </c>
      <c r="I9539" s="5" t="n">
        <v>9</v>
      </c>
      <c r="J9539" s="5" t="n">
        <v>3</v>
      </c>
      <c r="K9539" s="10">
        <f>IF(F9539&gt;0,H9539/F9539,"")</f>
        <v/>
      </c>
      <c r="L9539" s="16">
        <f>IF(AND(G9539&gt;0,H9539&gt;0),G9539/H9539,"")</f>
        <v/>
      </c>
    </row>
    <row r="9540">
      <c r="A9540" s="4" t="inlineStr">
        <is>
          <t>316</t>
        </is>
      </c>
      <c r="B9540" s="4" t="n">
        <v>3</v>
      </c>
      <c r="C9540" s="4" t="inlineStr">
        <is>
          <t>whitetail</t>
        </is>
      </c>
      <c r="D9540" s="4" t="n">
        <v>2023</v>
      </c>
      <c r="E9540" s="13" t="inlineStr">
        <is>
          <t>General</t>
        </is>
      </c>
      <c r="F9540" s="5" t="n">
        <v>143</v>
      </c>
      <c r="G9540" s="5" t="n">
        <v>857</v>
      </c>
      <c r="H9540" s="5" t="n">
        <v>6</v>
      </c>
      <c r="I9540" s="5" t="n">
        <v>6</v>
      </c>
      <c r="J9540" s="5" t="n">
        <v>0</v>
      </c>
      <c r="K9540" s="10">
        <f>IF(F9540&gt;0,H9540/F9540,"")</f>
        <v/>
      </c>
      <c r="L9540" s="16">
        <f>IF(AND(G9540&gt;0,H9540&gt;0),G9540/H9540,"")</f>
        <v/>
      </c>
    </row>
    <row r="9541">
      <c r="A9541" s="4" t="inlineStr">
        <is>
          <t>316</t>
        </is>
      </c>
      <c r="B9541" s="4" t="n">
        <v>3</v>
      </c>
      <c r="C9541" s="4" t="inlineStr">
        <is>
          <t>whitetail</t>
        </is>
      </c>
      <c r="D9541" s="4" t="n">
        <v>2024</v>
      </c>
      <c r="E9541" s="13" t="inlineStr">
        <is>
          <t>General</t>
        </is>
      </c>
      <c r="F9541" s="5" t="n"/>
      <c r="G9541" s="5" t="n"/>
      <c r="H9541" s="5" t="n">
        <v>6</v>
      </c>
      <c r="I9541" s="5" t="n">
        <v>3</v>
      </c>
      <c r="J9541" s="5" t="n">
        <v>3</v>
      </c>
      <c r="K9541" s="10">
        <f>IF(F9541&gt;0,H9541/F9541,"")</f>
        <v/>
      </c>
      <c r="L9541" s="16">
        <f>IF(AND(G9541&gt;0,H9541&gt;0),G9541/H9541,"")</f>
        <v/>
      </c>
    </row>
    <row r="9542">
      <c r="A9542" s="4" t="inlineStr">
        <is>
          <t>316</t>
        </is>
      </c>
      <c r="B9542" s="4" t="n">
        <v>3</v>
      </c>
      <c r="C9542" s="4" t="inlineStr">
        <is>
          <t>whitetail</t>
        </is>
      </c>
      <c r="D9542" s="4" t="n">
        <v>2025</v>
      </c>
      <c r="E9542" s="13" t="inlineStr">
        <is>
          <t>General</t>
        </is>
      </c>
      <c r="F9542" s="5" t="n">
        <v>185</v>
      </c>
      <c r="G9542" s="5" t="n">
        <v>1102</v>
      </c>
      <c r="H9542" s="5" t="n">
        <v>3</v>
      </c>
      <c r="I9542" s="5" t="n">
        <v>0</v>
      </c>
      <c r="J9542" s="5" t="n">
        <v>3</v>
      </c>
      <c r="K9542" s="10">
        <f>IF(F9542&gt;0,H9542/F9542,"")</f>
        <v/>
      </c>
      <c r="L9542" s="16">
        <f>IF(AND(G9542&gt;0,H9542&gt;0),G9542/H9542,"")</f>
        <v/>
      </c>
    </row>
    <row r="9543">
      <c r="A9543" s="4" t="inlineStr">
        <is>
          <t>317</t>
        </is>
      </c>
      <c r="B9543" s="4" t="n">
        <v>3</v>
      </c>
      <c r="C9543" s="4" t="inlineStr">
        <is>
          <t>whitetail</t>
        </is>
      </c>
      <c r="D9543" s="4" t="n">
        <v>2004</v>
      </c>
      <c r="E9543" s="13" t="inlineStr">
        <is>
          <t>General</t>
        </is>
      </c>
      <c r="F9543" s="5" t="n">
        <v>855</v>
      </c>
      <c r="G9543" s="5" t="n">
        <v>4048</v>
      </c>
      <c r="H9543" s="5" t="n">
        <v>357</v>
      </c>
      <c r="I9543" s="5" t="n">
        <v>189</v>
      </c>
      <c r="J9543" s="5" t="n">
        <v>166</v>
      </c>
      <c r="K9543" s="10">
        <f>IF(F9543&gt;0,H9543/F9543,"")</f>
        <v/>
      </c>
      <c r="L9543" s="16">
        <f>IF(AND(G9543&gt;0,H9543&gt;0),G9543/H9543,"")</f>
        <v/>
      </c>
    </row>
    <row r="9544">
      <c r="A9544" s="4" t="inlineStr">
        <is>
          <t>317</t>
        </is>
      </c>
      <c r="B9544" s="4" t="n">
        <v>3</v>
      </c>
      <c r="C9544" s="4" t="inlineStr">
        <is>
          <t>whitetail</t>
        </is>
      </c>
      <c r="D9544" s="4" t="n">
        <v>2005</v>
      </c>
      <c r="E9544" s="13" t="inlineStr">
        <is>
          <t>General</t>
        </is>
      </c>
      <c r="F9544" s="5" t="n">
        <v>754</v>
      </c>
      <c r="G9544" s="5" t="n">
        <v>3431</v>
      </c>
      <c r="H9544" s="5" t="n">
        <v>277</v>
      </c>
      <c r="I9544" s="5" t="n">
        <v>144</v>
      </c>
      <c r="J9544" s="5" t="n">
        <v>133</v>
      </c>
      <c r="K9544" s="10">
        <f>IF(F9544&gt;0,H9544/F9544,"")</f>
        <v/>
      </c>
      <c r="L9544" s="16">
        <f>IF(AND(G9544&gt;0,H9544&gt;0),G9544/H9544,"")</f>
        <v/>
      </c>
    </row>
    <row r="9545">
      <c r="A9545" s="4" t="inlineStr">
        <is>
          <t>317</t>
        </is>
      </c>
      <c r="B9545" s="4" t="n">
        <v>3</v>
      </c>
      <c r="C9545" s="4" t="inlineStr">
        <is>
          <t>whitetail</t>
        </is>
      </c>
      <c r="D9545" s="4" t="n">
        <v>2006</v>
      </c>
      <c r="E9545" s="13" t="inlineStr">
        <is>
          <t>General</t>
        </is>
      </c>
      <c r="F9545" s="5" t="n">
        <v>833</v>
      </c>
      <c r="G9545" s="5" t="n">
        <v>4789</v>
      </c>
      <c r="H9545" s="5" t="n">
        <v>295</v>
      </c>
      <c r="I9545" s="5" t="n">
        <v>145</v>
      </c>
      <c r="J9545" s="5" t="n">
        <v>146</v>
      </c>
      <c r="K9545" s="10">
        <f>IF(F9545&gt;0,H9545/F9545,"")</f>
        <v/>
      </c>
      <c r="L9545" s="16">
        <f>IF(AND(G9545&gt;0,H9545&gt;0),G9545/H9545,"")</f>
        <v/>
      </c>
    </row>
    <row r="9546">
      <c r="A9546" s="4" t="inlineStr">
        <is>
          <t>317</t>
        </is>
      </c>
      <c r="B9546" s="4" t="n">
        <v>3</v>
      </c>
      <c r="C9546" s="4" t="inlineStr">
        <is>
          <t>whitetail</t>
        </is>
      </c>
      <c r="D9546" s="4" t="n">
        <v>2007</v>
      </c>
      <c r="E9546" s="13" t="inlineStr">
        <is>
          <t>General</t>
        </is>
      </c>
      <c r="F9546" s="5" t="n">
        <v>906</v>
      </c>
      <c r="G9546" s="5" t="n">
        <v>4774</v>
      </c>
      <c r="H9546" s="5" t="n">
        <v>348</v>
      </c>
      <c r="I9546" s="5" t="n">
        <v>184</v>
      </c>
      <c r="J9546" s="5" t="n">
        <v>160</v>
      </c>
      <c r="K9546" s="10">
        <f>IF(F9546&gt;0,H9546/F9546,"")</f>
        <v/>
      </c>
      <c r="L9546" s="16">
        <f>IF(AND(G9546&gt;0,H9546&gt;0),G9546/H9546,"")</f>
        <v/>
      </c>
    </row>
    <row r="9547">
      <c r="A9547" s="4" t="inlineStr">
        <is>
          <t>317</t>
        </is>
      </c>
      <c r="B9547" s="4" t="n">
        <v>3</v>
      </c>
      <c r="C9547" s="4" t="inlineStr">
        <is>
          <t>whitetail</t>
        </is>
      </c>
      <c r="D9547" s="4" t="n">
        <v>2008</v>
      </c>
      <c r="E9547" s="13" t="inlineStr">
        <is>
          <t>General</t>
        </is>
      </c>
      <c r="F9547" s="5" t="n">
        <v>864</v>
      </c>
      <c r="G9547" s="5" t="n">
        <v>5153</v>
      </c>
      <c r="H9547" s="5" t="n">
        <v>325</v>
      </c>
      <c r="I9547" s="5" t="n">
        <v>154</v>
      </c>
      <c r="J9547" s="5" t="n">
        <v>161</v>
      </c>
      <c r="K9547" s="10">
        <f>IF(F9547&gt;0,H9547/F9547,"")</f>
        <v/>
      </c>
      <c r="L9547" s="16">
        <f>IF(AND(G9547&gt;0,H9547&gt;0),G9547/H9547,"")</f>
        <v/>
      </c>
    </row>
    <row r="9548">
      <c r="A9548" s="4" t="inlineStr">
        <is>
          <t>317</t>
        </is>
      </c>
      <c r="B9548" s="4" t="n">
        <v>3</v>
      </c>
      <c r="C9548" s="4" t="inlineStr">
        <is>
          <t>whitetail</t>
        </is>
      </c>
      <c r="D9548" s="4" t="n">
        <v>2009</v>
      </c>
      <c r="E9548" s="13" t="inlineStr">
        <is>
          <t>General</t>
        </is>
      </c>
      <c r="F9548" s="5" t="n">
        <v>802</v>
      </c>
      <c r="G9548" s="5" t="n">
        <v>4354</v>
      </c>
      <c r="H9548" s="5" t="n">
        <v>269</v>
      </c>
      <c r="I9548" s="5" t="n">
        <v>149</v>
      </c>
      <c r="J9548" s="5" t="n">
        <v>120</v>
      </c>
      <c r="K9548" s="10">
        <f>IF(F9548&gt;0,H9548/F9548,"")</f>
        <v/>
      </c>
      <c r="L9548" s="16">
        <f>IF(AND(G9548&gt;0,H9548&gt;0),G9548/H9548,"")</f>
        <v/>
      </c>
    </row>
    <row r="9549">
      <c r="A9549" s="4" t="inlineStr">
        <is>
          <t>317</t>
        </is>
      </c>
      <c r="B9549" s="4" t="n">
        <v>3</v>
      </c>
      <c r="C9549" s="4" t="inlineStr">
        <is>
          <t>whitetail</t>
        </is>
      </c>
      <c r="D9549" s="4" t="n">
        <v>2010</v>
      </c>
      <c r="E9549" s="13" t="inlineStr">
        <is>
          <t>General</t>
        </is>
      </c>
      <c r="F9549" s="5" t="n">
        <v>888</v>
      </c>
      <c r="G9549" s="5" t="n">
        <v>4839</v>
      </c>
      <c r="H9549" s="5" t="n">
        <v>359</v>
      </c>
      <c r="I9549" s="5" t="n">
        <v>175</v>
      </c>
      <c r="J9549" s="5" t="n">
        <v>181</v>
      </c>
      <c r="K9549" s="10">
        <f>IF(F9549&gt;0,H9549/F9549,"")</f>
        <v/>
      </c>
      <c r="L9549" s="16">
        <f>IF(AND(G9549&gt;0,H9549&gt;0),G9549/H9549,"")</f>
        <v/>
      </c>
    </row>
    <row r="9550">
      <c r="A9550" s="4" t="inlineStr">
        <is>
          <t>317</t>
        </is>
      </c>
      <c r="B9550" s="4" t="n">
        <v>3</v>
      </c>
      <c r="C9550" s="4" t="inlineStr">
        <is>
          <t>whitetail</t>
        </is>
      </c>
      <c r="D9550" s="4" t="n">
        <v>2011</v>
      </c>
      <c r="E9550" s="13" t="inlineStr">
        <is>
          <t>General</t>
        </is>
      </c>
      <c r="F9550" s="5" t="n">
        <v>972</v>
      </c>
      <c r="G9550" s="5" t="n">
        <v>5354</v>
      </c>
      <c r="H9550" s="5" t="n">
        <v>349</v>
      </c>
      <c r="I9550" s="5" t="n">
        <v>163</v>
      </c>
      <c r="J9550" s="5" t="n">
        <v>187</v>
      </c>
      <c r="K9550" s="10">
        <f>IF(F9550&gt;0,H9550/F9550,"")</f>
        <v/>
      </c>
      <c r="L9550" s="16">
        <f>IF(AND(G9550&gt;0,H9550&gt;0),G9550/H9550,"")</f>
        <v/>
      </c>
    </row>
    <row r="9551">
      <c r="A9551" s="4" t="inlineStr">
        <is>
          <t>317</t>
        </is>
      </c>
      <c r="B9551" s="4" t="n">
        <v>3</v>
      </c>
      <c r="C9551" s="4" t="inlineStr">
        <is>
          <t>whitetail</t>
        </is>
      </c>
      <c r="D9551" s="4" t="n">
        <v>2012</v>
      </c>
      <c r="E9551" s="13" t="inlineStr">
        <is>
          <t>General</t>
        </is>
      </c>
      <c r="F9551" s="5" t="n"/>
      <c r="G9551" s="5" t="n"/>
      <c r="H9551" s="5" t="n">
        <v>530</v>
      </c>
      <c r="I9551" s="5" t="n">
        <v>231</v>
      </c>
      <c r="J9551" s="5" t="n">
        <v>295</v>
      </c>
      <c r="K9551" s="10">
        <f>IF(F9551&gt;0,H9551/F9551,"")</f>
        <v/>
      </c>
      <c r="L9551" s="16">
        <f>IF(AND(G9551&gt;0,H9551&gt;0),G9551/H9551,"")</f>
        <v/>
      </c>
    </row>
    <row r="9552">
      <c r="A9552" s="4" t="inlineStr">
        <is>
          <t>317</t>
        </is>
      </c>
      <c r="B9552" s="4" t="n">
        <v>3</v>
      </c>
      <c r="C9552" s="4" t="inlineStr">
        <is>
          <t>whitetail</t>
        </is>
      </c>
      <c r="D9552" s="4" t="n">
        <v>2013</v>
      </c>
      <c r="E9552" s="13" t="inlineStr">
        <is>
          <t>General</t>
        </is>
      </c>
      <c r="F9552" s="5" t="n">
        <v>1177</v>
      </c>
      <c r="G9552" s="5" t="n">
        <v>6711</v>
      </c>
      <c r="H9552" s="5" t="n">
        <v>506</v>
      </c>
      <c r="I9552" s="5" t="n">
        <v>227</v>
      </c>
      <c r="J9552" s="5" t="n">
        <v>271</v>
      </c>
      <c r="K9552" s="10">
        <f>IF(F9552&gt;0,H9552/F9552,"")</f>
        <v/>
      </c>
      <c r="L9552" s="16">
        <f>IF(AND(G9552&gt;0,H9552&gt;0),G9552/H9552,"")</f>
        <v/>
      </c>
    </row>
    <row r="9553">
      <c r="A9553" s="4" t="inlineStr">
        <is>
          <t>317</t>
        </is>
      </c>
      <c r="B9553" s="4" t="n">
        <v>3</v>
      </c>
      <c r="C9553" s="4" t="inlineStr">
        <is>
          <t>whitetail</t>
        </is>
      </c>
      <c r="D9553" s="4" t="n">
        <v>2014</v>
      </c>
      <c r="E9553" s="13" t="inlineStr">
        <is>
          <t>General</t>
        </is>
      </c>
      <c r="F9553" s="5" t="n"/>
      <c r="G9553" s="5" t="n"/>
      <c r="H9553" s="5" t="n">
        <v>557</v>
      </c>
      <c r="I9553" s="5" t="n">
        <v>240</v>
      </c>
      <c r="J9553" s="5" t="n">
        <v>306</v>
      </c>
      <c r="K9553" s="10">
        <f>IF(F9553&gt;0,H9553/F9553,"")</f>
        <v/>
      </c>
      <c r="L9553" s="16">
        <f>IF(AND(G9553&gt;0,H9553&gt;0),G9553/H9553,"")</f>
        <v/>
      </c>
    </row>
    <row r="9554">
      <c r="A9554" s="4" t="inlineStr">
        <is>
          <t>317</t>
        </is>
      </c>
      <c r="B9554" s="4" t="n">
        <v>3</v>
      </c>
      <c r="C9554" s="4" t="inlineStr">
        <is>
          <t>whitetail</t>
        </is>
      </c>
      <c r="D9554" s="4" t="n">
        <v>2015</v>
      </c>
      <c r="E9554" s="13" t="inlineStr">
        <is>
          <t>General</t>
        </is>
      </c>
      <c r="F9554" s="5" t="n"/>
      <c r="G9554" s="5" t="n"/>
      <c r="H9554" s="5" t="n">
        <v>577</v>
      </c>
      <c r="I9554" s="5" t="n">
        <v>218</v>
      </c>
      <c r="J9554" s="5" t="n">
        <v>357</v>
      </c>
      <c r="K9554" s="10">
        <f>IF(F9554&gt;0,H9554/F9554,"")</f>
        <v/>
      </c>
      <c r="L9554" s="16">
        <f>IF(AND(G9554&gt;0,H9554&gt;0),G9554/H9554,"")</f>
        <v/>
      </c>
    </row>
    <row r="9555">
      <c r="A9555" s="4" t="inlineStr">
        <is>
          <t>317</t>
        </is>
      </c>
      <c r="B9555" s="4" t="n">
        <v>3</v>
      </c>
      <c r="C9555" s="4" t="inlineStr">
        <is>
          <t>whitetail</t>
        </is>
      </c>
      <c r="D9555" s="4" t="n">
        <v>2016</v>
      </c>
      <c r="E9555" s="13" t="inlineStr">
        <is>
          <t>General</t>
        </is>
      </c>
      <c r="F9555" s="5" t="n"/>
      <c r="G9555" s="5" t="n"/>
      <c r="H9555" s="5" t="n">
        <v>608</v>
      </c>
      <c r="I9555" s="5" t="n">
        <v>281</v>
      </c>
      <c r="J9555" s="5" t="n">
        <v>324</v>
      </c>
      <c r="K9555" s="10">
        <f>IF(F9555&gt;0,H9555/F9555,"")</f>
        <v/>
      </c>
      <c r="L9555" s="16">
        <f>IF(AND(G9555&gt;0,H9555&gt;0),G9555/H9555,"")</f>
        <v/>
      </c>
    </row>
    <row r="9556">
      <c r="A9556" s="4" t="inlineStr">
        <is>
          <t>317</t>
        </is>
      </c>
      <c r="B9556" s="4" t="n">
        <v>3</v>
      </c>
      <c r="C9556" s="4" t="inlineStr">
        <is>
          <t>whitetail</t>
        </is>
      </c>
      <c r="D9556" s="4" t="n">
        <v>2017</v>
      </c>
      <c r="E9556" s="13" t="inlineStr">
        <is>
          <t>General</t>
        </is>
      </c>
      <c r="F9556" s="5" t="n">
        <v>1183</v>
      </c>
      <c r="G9556" s="5" t="n">
        <v>7523</v>
      </c>
      <c r="H9556" s="5" t="n">
        <v>637</v>
      </c>
      <c r="I9556" s="5" t="n">
        <v>236</v>
      </c>
      <c r="J9556" s="5" t="n">
        <v>398</v>
      </c>
      <c r="K9556" s="10">
        <f>IF(F9556&gt;0,H9556/F9556,"")</f>
        <v/>
      </c>
      <c r="L9556" s="16">
        <f>IF(AND(G9556&gt;0,H9556&gt;0),G9556/H9556,"")</f>
        <v/>
      </c>
    </row>
    <row r="9557">
      <c r="A9557" s="4" t="inlineStr">
        <is>
          <t>317</t>
        </is>
      </c>
      <c r="B9557" s="4" t="n">
        <v>3</v>
      </c>
      <c r="C9557" s="4" t="inlineStr">
        <is>
          <t>whitetail</t>
        </is>
      </c>
      <c r="D9557" s="4" t="n">
        <v>2018</v>
      </c>
      <c r="E9557" s="13" t="inlineStr">
        <is>
          <t>General</t>
        </is>
      </c>
      <c r="F9557" s="5" t="n"/>
      <c r="G9557" s="5" t="n"/>
      <c r="H9557" s="5" t="n">
        <v>569</v>
      </c>
      <c r="I9557" s="5" t="n">
        <v>224</v>
      </c>
      <c r="J9557" s="5" t="n">
        <v>335</v>
      </c>
      <c r="K9557" s="10">
        <f>IF(F9557&gt;0,H9557/F9557,"")</f>
        <v/>
      </c>
      <c r="L9557" s="16">
        <f>IF(AND(G9557&gt;0,H9557&gt;0),G9557/H9557,"")</f>
        <v/>
      </c>
    </row>
    <row r="9558">
      <c r="A9558" s="4" t="inlineStr">
        <is>
          <t>317</t>
        </is>
      </c>
      <c r="B9558" s="4" t="n">
        <v>3</v>
      </c>
      <c r="C9558" s="4" t="inlineStr">
        <is>
          <t>whitetail</t>
        </is>
      </c>
      <c r="D9558" s="4" t="n">
        <v>2019</v>
      </c>
      <c r="E9558" s="13" t="inlineStr">
        <is>
          <t>General</t>
        </is>
      </c>
      <c r="F9558" s="5" t="n">
        <v>1281</v>
      </c>
      <c r="G9558" s="5" t="n">
        <v>7107</v>
      </c>
      <c r="H9558" s="5" t="n">
        <v>466</v>
      </c>
      <c r="I9558" s="5" t="n">
        <v>207</v>
      </c>
      <c r="J9558" s="5" t="n">
        <v>259</v>
      </c>
      <c r="K9558" s="10">
        <f>IF(F9558&gt;0,H9558/F9558,"")</f>
        <v/>
      </c>
      <c r="L9558" s="16">
        <f>IF(AND(G9558&gt;0,H9558&gt;0),G9558/H9558,"")</f>
        <v/>
      </c>
    </row>
    <row r="9559">
      <c r="A9559" s="4" t="inlineStr">
        <is>
          <t>317</t>
        </is>
      </c>
      <c r="B9559" s="4" t="n">
        <v>3</v>
      </c>
      <c r="C9559" s="4" t="inlineStr">
        <is>
          <t>whitetail</t>
        </is>
      </c>
      <c r="D9559" s="4" t="n">
        <v>2020</v>
      </c>
      <c r="E9559" s="13" t="inlineStr">
        <is>
          <t>General</t>
        </is>
      </c>
      <c r="F9559" s="5" t="n"/>
      <c r="G9559" s="5" t="n"/>
      <c r="H9559" s="5" t="n">
        <v>462</v>
      </c>
      <c r="I9559" s="5" t="n">
        <v>223</v>
      </c>
      <c r="J9559" s="5" t="n">
        <v>235</v>
      </c>
      <c r="K9559" s="10">
        <f>IF(F9559&gt;0,H9559/F9559,"")</f>
        <v/>
      </c>
      <c r="L9559" s="16">
        <f>IF(AND(G9559&gt;0,H9559&gt;0),G9559/H9559,"")</f>
        <v/>
      </c>
    </row>
    <row r="9560">
      <c r="A9560" s="4" t="inlineStr">
        <is>
          <t>317</t>
        </is>
      </c>
      <c r="B9560" s="4" t="n">
        <v>3</v>
      </c>
      <c r="C9560" s="4" t="inlineStr">
        <is>
          <t>whitetail</t>
        </is>
      </c>
      <c r="D9560" s="4" t="n">
        <v>2021</v>
      </c>
      <c r="E9560" s="13" t="inlineStr">
        <is>
          <t>General</t>
        </is>
      </c>
      <c r="F9560" s="5" t="n">
        <v>1278</v>
      </c>
      <c r="G9560" s="5" t="n">
        <v>7779</v>
      </c>
      <c r="H9560" s="5" t="n">
        <v>478</v>
      </c>
      <c r="I9560" s="5" t="n">
        <v>278</v>
      </c>
      <c r="J9560" s="5" t="n">
        <v>201</v>
      </c>
      <c r="K9560" s="10">
        <f>IF(F9560&gt;0,H9560/F9560,"")</f>
        <v/>
      </c>
      <c r="L9560" s="16">
        <f>IF(AND(G9560&gt;0,H9560&gt;0),G9560/H9560,"")</f>
        <v/>
      </c>
    </row>
    <row r="9561">
      <c r="A9561" s="4" t="inlineStr">
        <is>
          <t>317</t>
        </is>
      </c>
      <c r="B9561" s="4" t="n">
        <v>3</v>
      </c>
      <c r="C9561" s="4" t="inlineStr">
        <is>
          <t>whitetail</t>
        </is>
      </c>
      <c r="D9561" s="4" t="n">
        <v>2022</v>
      </c>
      <c r="E9561" s="13" t="inlineStr">
        <is>
          <t>General</t>
        </is>
      </c>
      <c r="F9561" s="5" t="n"/>
      <c r="G9561" s="5" t="n"/>
      <c r="H9561" s="5" t="n">
        <v>424</v>
      </c>
      <c r="I9561" s="5" t="n">
        <v>229</v>
      </c>
      <c r="J9561" s="5" t="n">
        <v>195</v>
      </c>
      <c r="K9561" s="10">
        <f>IF(F9561&gt;0,H9561/F9561,"")</f>
        <v/>
      </c>
      <c r="L9561" s="16">
        <f>IF(AND(G9561&gt;0,H9561&gt;0),G9561/H9561,"")</f>
        <v/>
      </c>
    </row>
    <row r="9562">
      <c r="A9562" s="4" t="inlineStr">
        <is>
          <t>317</t>
        </is>
      </c>
      <c r="B9562" s="4" t="n">
        <v>3</v>
      </c>
      <c r="C9562" s="4" t="inlineStr">
        <is>
          <t>whitetail</t>
        </is>
      </c>
      <c r="D9562" s="4" t="n">
        <v>2023</v>
      </c>
      <c r="E9562" s="13" t="inlineStr">
        <is>
          <t>General</t>
        </is>
      </c>
      <c r="F9562" s="5" t="n">
        <v>1271</v>
      </c>
      <c r="G9562" s="5" t="n">
        <v>7606</v>
      </c>
      <c r="H9562" s="5" t="n">
        <v>417</v>
      </c>
      <c r="I9562" s="5" t="n">
        <v>262</v>
      </c>
      <c r="J9562" s="5" t="n">
        <v>155</v>
      </c>
      <c r="K9562" s="10">
        <f>IF(F9562&gt;0,H9562/F9562,"")</f>
        <v/>
      </c>
      <c r="L9562" s="16">
        <f>IF(AND(G9562&gt;0,H9562&gt;0),G9562/H9562,"")</f>
        <v/>
      </c>
    </row>
    <row r="9563">
      <c r="A9563" s="4" t="inlineStr">
        <is>
          <t>317</t>
        </is>
      </c>
      <c r="B9563" s="4" t="n">
        <v>3</v>
      </c>
      <c r="C9563" s="4" t="inlineStr">
        <is>
          <t>whitetail</t>
        </is>
      </c>
      <c r="D9563" s="4" t="n">
        <v>2024</v>
      </c>
      <c r="E9563" s="13" t="inlineStr">
        <is>
          <t>General</t>
        </is>
      </c>
      <c r="F9563" s="5" t="n"/>
      <c r="G9563" s="5" t="n"/>
      <c r="H9563" s="5" t="n">
        <v>451</v>
      </c>
      <c r="I9563" s="5" t="n">
        <v>246</v>
      </c>
      <c r="J9563" s="5" t="n">
        <v>203</v>
      </c>
      <c r="K9563" s="10">
        <f>IF(F9563&gt;0,H9563/F9563,"")</f>
        <v/>
      </c>
      <c r="L9563" s="16">
        <f>IF(AND(G9563&gt;0,H9563&gt;0),G9563/H9563,"")</f>
        <v/>
      </c>
    </row>
    <row r="9564">
      <c r="A9564" s="4" t="inlineStr">
        <is>
          <t>317</t>
        </is>
      </c>
      <c r="B9564" s="4" t="n">
        <v>3</v>
      </c>
      <c r="C9564" s="4" t="inlineStr">
        <is>
          <t>whitetail</t>
        </is>
      </c>
      <c r="D9564" s="4" t="n">
        <v>2025</v>
      </c>
      <c r="E9564" s="13" t="inlineStr">
        <is>
          <t>General</t>
        </is>
      </c>
      <c r="F9564" s="5" t="n">
        <v>1116</v>
      </c>
      <c r="G9564" s="5" t="n">
        <v>7569</v>
      </c>
      <c r="H9564" s="5" t="n">
        <v>332</v>
      </c>
      <c r="I9564" s="5" t="n">
        <v>172</v>
      </c>
      <c r="J9564" s="5" t="n">
        <v>160</v>
      </c>
      <c r="K9564" s="10">
        <f>IF(F9564&gt;0,H9564/F9564,"")</f>
        <v/>
      </c>
      <c r="L9564" s="16">
        <f>IF(AND(G9564&gt;0,H9564&gt;0),G9564/H9564,"")</f>
        <v/>
      </c>
    </row>
    <row r="9565">
      <c r="A9565" s="4" t="inlineStr">
        <is>
          <t>318</t>
        </is>
      </c>
      <c r="B9565" s="4" t="n">
        <v>3</v>
      </c>
      <c r="C9565" s="4" t="inlineStr">
        <is>
          <t>whitetail</t>
        </is>
      </c>
      <c r="D9565" s="4" t="n">
        <v>2004</v>
      </c>
      <c r="E9565" s="13" t="inlineStr">
        <is>
          <t>General</t>
        </is>
      </c>
      <c r="F9565" s="5" t="n">
        <v>464</v>
      </c>
      <c r="G9565" s="5" t="n">
        <v>3481</v>
      </c>
      <c r="H9565" s="5" t="n">
        <v>11</v>
      </c>
      <c r="I9565" s="5" t="n">
        <v>10</v>
      </c>
      <c r="J9565" s="5" t="n">
        <v>2</v>
      </c>
      <c r="K9565" s="10">
        <f>IF(F9565&gt;0,H9565/F9565,"")</f>
        <v/>
      </c>
      <c r="L9565" s="16">
        <f>IF(AND(G9565&gt;0,H9565&gt;0),G9565/H9565,"")</f>
        <v/>
      </c>
    </row>
    <row r="9566">
      <c r="A9566" s="4" t="inlineStr">
        <is>
          <t>318</t>
        </is>
      </c>
      <c r="B9566" s="4" t="n">
        <v>3</v>
      </c>
      <c r="C9566" s="4" t="inlineStr">
        <is>
          <t>whitetail</t>
        </is>
      </c>
      <c r="D9566" s="4" t="n">
        <v>2005</v>
      </c>
      <c r="E9566" s="13" t="inlineStr">
        <is>
          <t>General</t>
        </is>
      </c>
      <c r="F9566" s="5" t="n">
        <v>354</v>
      </c>
      <c r="G9566" s="5" t="n">
        <v>3036</v>
      </c>
      <c r="H9566" s="5" t="n">
        <v>16</v>
      </c>
      <c r="I9566" s="5" t="n">
        <v>14</v>
      </c>
      <c r="J9566" s="5" t="n">
        <v>1</v>
      </c>
      <c r="K9566" s="10">
        <f>IF(F9566&gt;0,H9566/F9566,"")</f>
        <v/>
      </c>
      <c r="L9566" s="16">
        <f>IF(AND(G9566&gt;0,H9566&gt;0),G9566/H9566,"")</f>
        <v/>
      </c>
    </row>
    <row r="9567">
      <c r="A9567" s="4" t="inlineStr">
        <is>
          <t>318</t>
        </is>
      </c>
      <c r="B9567" s="4" t="n">
        <v>3</v>
      </c>
      <c r="C9567" s="4" t="inlineStr">
        <is>
          <t>whitetail</t>
        </is>
      </c>
      <c r="D9567" s="4" t="n">
        <v>2006</v>
      </c>
      <c r="E9567" s="13" t="inlineStr">
        <is>
          <t>General</t>
        </is>
      </c>
      <c r="F9567" s="5" t="n">
        <v>374</v>
      </c>
      <c r="G9567" s="5" t="n">
        <v>2751</v>
      </c>
      <c r="H9567" s="5" t="n">
        <v>16</v>
      </c>
      <c r="I9567" s="5" t="n">
        <v>12</v>
      </c>
      <c r="J9567" s="5" t="n">
        <v>4</v>
      </c>
      <c r="K9567" s="10">
        <f>IF(F9567&gt;0,H9567/F9567,"")</f>
        <v/>
      </c>
      <c r="L9567" s="16">
        <f>IF(AND(G9567&gt;0,H9567&gt;0),G9567/H9567,"")</f>
        <v/>
      </c>
    </row>
    <row r="9568">
      <c r="A9568" s="4" t="inlineStr">
        <is>
          <t>318</t>
        </is>
      </c>
      <c r="B9568" s="4" t="n">
        <v>3</v>
      </c>
      <c r="C9568" s="4" t="inlineStr">
        <is>
          <t>whitetail</t>
        </is>
      </c>
      <c r="D9568" s="4" t="n">
        <v>2007</v>
      </c>
      <c r="E9568" s="13" t="inlineStr">
        <is>
          <t>General</t>
        </is>
      </c>
      <c r="F9568" s="5" t="n">
        <v>444</v>
      </c>
      <c r="G9568" s="5" t="n">
        <v>3410</v>
      </c>
      <c r="H9568" s="5" t="n">
        <v>18</v>
      </c>
      <c r="I9568" s="5" t="n">
        <v>8</v>
      </c>
      <c r="J9568" s="5" t="n">
        <v>10</v>
      </c>
      <c r="K9568" s="10">
        <f>IF(F9568&gt;0,H9568/F9568,"")</f>
        <v/>
      </c>
      <c r="L9568" s="16">
        <f>IF(AND(G9568&gt;0,H9568&gt;0),G9568/H9568,"")</f>
        <v/>
      </c>
    </row>
    <row r="9569">
      <c r="A9569" s="4" t="inlineStr">
        <is>
          <t>318</t>
        </is>
      </c>
      <c r="B9569" s="4" t="n">
        <v>3</v>
      </c>
      <c r="C9569" s="4" t="inlineStr">
        <is>
          <t>whitetail</t>
        </is>
      </c>
      <c r="D9569" s="4" t="n">
        <v>2008</v>
      </c>
      <c r="E9569" s="13" t="inlineStr">
        <is>
          <t>General</t>
        </is>
      </c>
      <c r="F9569" s="5" t="n">
        <v>362</v>
      </c>
      <c r="G9569" s="5" t="n">
        <v>3026</v>
      </c>
      <c r="H9569" s="5" t="n">
        <v>35</v>
      </c>
      <c r="I9569" s="5" t="n">
        <v>20</v>
      </c>
      <c r="J9569" s="5" t="n">
        <v>9</v>
      </c>
      <c r="K9569" s="10">
        <f>IF(F9569&gt;0,H9569/F9569,"")</f>
        <v/>
      </c>
      <c r="L9569" s="16">
        <f>IF(AND(G9569&gt;0,H9569&gt;0),G9569/H9569,"")</f>
        <v/>
      </c>
    </row>
    <row r="9570">
      <c r="A9570" s="4" t="inlineStr">
        <is>
          <t>318</t>
        </is>
      </c>
      <c r="B9570" s="4" t="n">
        <v>3</v>
      </c>
      <c r="C9570" s="4" t="inlineStr">
        <is>
          <t>whitetail</t>
        </is>
      </c>
      <c r="D9570" s="4" t="n">
        <v>2009</v>
      </c>
      <c r="E9570" s="13" t="inlineStr">
        <is>
          <t>General</t>
        </is>
      </c>
      <c r="F9570" s="5" t="n">
        <v>298</v>
      </c>
      <c r="G9570" s="5" t="n">
        <v>2148</v>
      </c>
      <c r="H9570" s="5" t="n">
        <v>20</v>
      </c>
      <c r="I9570" s="5" t="n">
        <v>4</v>
      </c>
      <c r="J9570" s="5" t="n">
        <v>16</v>
      </c>
      <c r="K9570" s="10">
        <f>IF(F9570&gt;0,H9570/F9570,"")</f>
        <v/>
      </c>
      <c r="L9570" s="16">
        <f>IF(AND(G9570&gt;0,H9570&gt;0),G9570/H9570,"")</f>
        <v/>
      </c>
    </row>
    <row r="9571">
      <c r="A9571" s="4" t="inlineStr">
        <is>
          <t>318</t>
        </is>
      </c>
      <c r="B9571" s="4" t="n">
        <v>3</v>
      </c>
      <c r="C9571" s="4" t="inlineStr">
        <is>
          <t>whitetail</t>
        </is>
      </c>
      <c r="D9571" s="4" t="n">
        <v>2010</v>
      </c>
      <c r="E9571" s="13" t="inlineStr">
        <is>
          <t>General</t>
        </is>
      </c>
      <c r="F9571" s="5" t="n">
        <v>372</v>
      </c>
      <c r="G9571" s="5" t="n">
        <v>2709</v>
      </c>
      <c r="H9571" s="5" t="n">
        <v>13</v>
      </c>
      <c r="I9571" s="5" t="n">
        <v>6</v>
      </c>
      <c r="J9571" s="5" t="n">
        <v>7</v>
      </c>
      <c r="K9571" s="10">
        <f>IF(F9571&gt;0,H9571/F9571,"")</f>
        <v/>
      </c>
      <c r="L9571" s="16">
        <f>IF(AND(G9571&gt;0,H9571&gt;0),G9571/H9571,"")</f>
        <v/>
      </c>
    </row>
    <row r="9572">
      <c r="A9572" s="4" t="inlineStr">
        <is>
          <t>318</t>
        </is>
      </c>
      <c r="B9572" s="4" t="n">
        <v>3</v>
      </c>
      <c r="C9572" s="4" t="inlineStr">
        <is>
          <t>whitetail</t>
        </is>
      </c>
      <c r="D9572" s="4" t="n">
        <v>2011</v>
      </c>
      <c r="E9572" s="13" t="inlineStr">
        <is>
          <t>General</t>
        </is>
      </c>
      <c r="F9572" s="5" t="n">
        <v>370</v>
      </c>
      <c r="G9572" s="5" t="n">
        <v>3160</v>
      </c>
      <c r="H9572" s="5" t="n">
        <v>6</v>
      </c>
      <c r="I9572" s="5" t="n">
        <v>3</v>
      </c>
      <c r="J9572" s="5" t="n">
        <v>3</v>
      </c>
      <c r="K9572" s="10">
        <f>IF(F9572&gt;0,H9572/F9572,"")</f>
        <v/>
      </c>
      <c r="L9572" s="16">
        <f>IF(AND(G9572&gt;0,H9572&gt;0),G9572/H9572,"")</f>
        <v/>
      </c>
    </row>
    <row r="9573">
      <c r="A9573" s="4" t="inlineStr">
        <is>
          <t>318</t>
        </is>
      </c>
      <c r="B9573" s="4" t="n">
        <v>3</v>
      </c>
      <c r="C9573" s="4" t="inlineStr">
        <is>
          <t>whitetail</t>
        </is>
      </c>
      <c r="D9573" s="4" t="n">
        <v>2012</v>
      </c>
      <c r="E9573" s="13" t="inlineStr">
        <is>
          <t>General</t>
        </is>
      </c>
      <c r="F9573" s="5" t="n"/>
      <c r="G9573" s="5" t="n"/>
      <c r="H9573" s="5" t="n">
        <v>25</v>
      </c>
      <c r="I9573" s="5" t="n">
        <v>6</v>
      </c>
      <c r="J9573" s="5" t="n">
        <v>19</v>
      </c>
      <c r="K9573" s="10">
        <f>IF(F9573&gt;0,H9573/F9573,"")</f>
        <v/>
      </c>
      <c r="L9573" s="16">
        <f>IF(AND(G9573&gt;0,H9573&gt;0),G9573/H9573,"")</f>
        <v/>
      </c>
    </row>
    <row r="9574">
      <c r="A9574" s="4" t="inlineStr">
        <is>
          <t>318</t>
        </is>
      </c>
      <c r="B9574" s="4" t="n">
        <v>3</v>
      </c>
      <c r="C9574" s="4" t="inlineStr">
        <is>
          <t>whitetail</t>
        </is>
      </c>
      <c r="D9574" s="4" t="n">
        <v>2013</v>
      </c>
      <c r="E9574" s="13" t="inlineStr">
        <is>
          <t>General</t>
        </is>
      </c>
      <c r="F9574" s="5" t="n">
        <v>389</v>
      </c>
      <c r="G9574" s="5" t="n">
        <v>3122</v>
      </c>
      <c r="H9574" s="5" t="n">
        <v>9</v>
      </c>
      <c r="I9574" s="5" t="n">
        <v>3</v>
      </c>
      <c r="J9574" s="5" t="n">
        <v>6</v>
      </c>
      <c r="K9574" s="10">
        <f>IF(F9574&gt;0,H9574/F9574,"")</f>
        <v/>
      </c>
      <c r="L9574" s="16">
        <f>IF(AND(G9574&gt;0,H9574&gt;0),G9574/H9574,"")</f>
        <v/>
      </c>
    </row>
    <row r="9575">
      <c r="A9575" s="4" t="inlineStr">
        <is>
          <t>318</t>
        </is>
      </c>
      <c r="B9575" s="4" t="n">
        <v>3</v>
      </c>
      <c r="C9575" s="4" t="inlineStr">
        <is>
          <t>whitetail</t>
        </is>
      </c>
      <c r="D9575" s="4" t="n">
        <v>2014</v>
      </c>
      <c r="E9575" s="13" t="inlineStr">
        <is>
          <t>General</t>
        </is>
      </c>
      <c r="F9575" s="5" t="n"/>
      <c r="G9575" s="5" t="n"/>
      <c r="H9575" s="5" t="n">
        <v>8</v>
      </c>
      <c r="I9575" s="5" t="n">
        <v>0</v>
      </c>
      <c r="J9575" s="5" t="n">
        <v>8</v>
      </c>
      <c r="K9575" s="10">
        <f>IF(F9575&gt;0,H9575/F9575,"")</f>
        <v/>
      </c>
      <c r="L9575" s="16">
        <f>IF(AND(G9575&gt;0,H9575&gt;0),G9575/H9575,"")</f>
        <v/>
      </c>
    </row>
    <row r="9576">
      <c r="A9576" s="4" t="inlineStr">
        <is>
          <t>318</t>
        </is>
      </c>
      <c r="B9576" s="4" t="n">
        <v>3</v>
      </c>
      <c r="C9576" s="4" t="inlineStr">
        <is>
          <t>whitetail</t>
        </is>
      </c>
      <c r="D9576" s="4" t="n">
        <v>2015</v>
      </c>
      <c r="E9576" s="13" t="inlineStr">
        <is>
          <t>General</t>
        </is>
      </c>
      <c r="F9576" s="5" t="n"/>
      <c r="G9576" s="5" t="n"/>
      <c r="H9576" s="5" t="n">
        <v>18</v>
      </c>
      <c r="I9576" s="5" t="n">
        <v>9</v>
      </c>
      <c r="J9576" s="5" t="n">
        <v>8</v>
      </c>
      <c r="K9576" s="10">
        <f>IF(F9576&gt;0,H9576/F9576,"")</f>
        <v/>
      </c>
      <c r="L9576" s="16">
        <f>IF(AND(G9576&gt;0,H9576&gt;0),G9576/H9576,"")</f>
        <v/>
      </c>
    </row>
    <row r="9577">
      <c r="A9577" s="4" t="inlineStr">
        <is>
          <t>318</t>
        </is>
      </c>
      <c r="B9577" s="4" t="n">
        <v>3</v>
      </c>
      <c r="C9577" s="4" t="inlineStr">
        <is>
          <t>whitetail</t>
        </is>
      </c>
      <c r="D9577" s="4" t="n">
        <v>2016</v>
      </c>
      <c r="E9577" s="13" t="inlineStr">
        <is>
          <t>General</t>
        </is>
      </c>
      <c r="F9577" s="5" t="n"/>
      <c r="G9577" s="5" t="n"/>
      <c r="H9577" s="5" t="n">
        <v>17</v>
      </c>
      <c r="I9577" s="5" t="n">
        <v>8</v>
      </c>
      <c r="J9577" s="5" t="n">
        <v>9</v>
      </c>
      <c r="K9577" s="10">
        <f>IF(F9577&gt;0,H9577/F9577,"")</f>
        <v/>
      </c>
      <c r="L9577" s="16">
        <f>IF(AND(G9577&gt;0,H9577&gt;0),G9577/H9577,"")</f>
        <v/>
      </c>
    </row>
    <row r="9578">
      <c r="A9578" s="4" t="inlineStr">
        <is>
          <t>318</t>
        </is>
      </c>
      <c r="B9578" s="4" t="n">
        <v>3</v>
      </c>
      <c r="C9578" s="4" t="inlineStr">
        <is>
          <t>whitetail</t>
        </is>
      </c>
      <c r="D9578" s="4" t="n">
        <v>2017</v>
      </c>
      <c r="E9578" s="13" t="inlineStr">
        <is>
          <t>General</t>
        </is>
      </c>
      <c r="F9578" s="5" t="n">
        <v>354</v>
      </c>
      <c r="G9578" s="5" t="n">
        <v>2113</v>
      </c>
      <c r="H9578" s="5" t="n">
        <v>27</v>
      </c>
      <c r="I9578" s="5" t="n">
        <v>13</v>
      </c>
      <c r="J9578" s="5" t="n">
        <v>14</v>
      </c>
      <c r="K9578" s="10">
        <f>IF(F9578&gt;0,H9578/F9578,"")</f>
        <v/>
      </c>
      <c r="L9578" s="16">
        <f>IF(AND(G9578&gt;0,H9578&gt;0),G9578/H9578,"")</f>
        <v/>
      </c>
    </row>
    <row r="9579">
      <c r="A9579" s="4" t="inlineStr">
        <is>
          <t>318</t>
        </is>
      </c>
      <c r="B9579" s="4" t="n">
        <v>3</v>
      </c>
      <c r="C9579" s="4" t="inlineStr">
        <is>
          <t>whitetail</t>
        </is>
      </c>
      <c r="D9579" s="4" t="n">
        <v>2018</v>
      </c>
      <c r="E9579" s="13" t="inlineStr">
        <is>
          <t>General</t>
        </is>
      </c>
      <c r="F9579" s="5" t="n"/>
      <c r="G9579" s="5" t="n"/>
      <c r="H9579" s="5" t="n">
        <v>19</v>
      </c>
      <c r="I9579" s="5" t="n">
        <v>12</v>
      </c>
      <c r="J9579" s="5" t="n">
        <v>6</v>
      </c>
      <c r="K9579" s="10">
        <f>IF(F9579&gt;0,H9579/F9579,"")</f>
        <v/>
      </c>
      <c r="L9579" s="16">
        <f>IF(AND(G9579&gt;0,H9579&gt;0),G9579/H9579,"")</f>
        <v/>
      </c>
    </row>
    <row r="9580">
      <c r="A9580" s="4" t="inlineStr">
        <is>
          <t>318</t>
        </is>
      </c>
      <c r="B9580" s="4" t="n">
        <v>3</v>
      </c>
      <c r="C9580" s="4" t="inlineStr">
        <is>
          <t>whitetail</t>
        </is>
      </c>
      <c r="D9580" s="4" t="n">
        <v>2019</v>
      </c>
      <c r="E9580" s="13" t="inlineStr">
        <is>
          <t>General</t>
        </is>
      </c>
      <c r="F9580" s="5" t="n">
        <v>481</v>
      </c>
      <c r="G9580" s="5" t="n">
        <v>4188</v>
      </c>
      <c r="H9580" s="5" t="n">
        <v>17</v>
      </c>
      <c r="I9580" s="5" t="n">
        <v>3</v>
      </c>
      <c r="J9580" s="5" t="n">
        <v>13</v>
      </c>
      <c r="K9580" s="10">
        <f>IF(F9580&gt;0,H9580/F9580,"")</f>
        <v/>
      </c>
      <c r="L9580" s="16">
        <f>IF(AND(G9580&gt;0,H9580&gt;0),G9580/H9580,"")</f>
        <v/>
      </c>
    </row>
    <row r="9581">
      <c r="A9581" s="4" t="inlineStr">
        <is>
          <t>318</t>
        </is>
      </c>
      <c r="B9581" s="4" t="n">
        <v>3</v>
      </c>
      <c r="C9581" s="4" t="inlineStr">
        <is>
          <t>whitetail</t>
        </is>
      </c>
      <c r="D9581" s="4" t="n">
        <v>2020</v>
      </c>
      <c r="E9581" s="13" t="inlineStr">
        <is>
          <t>General</t>
        </is>
      </c>
      <c r="F9581" s="5" t="n"/>
      <c r="G9581" s="5" t="n"/>
      <c r="H9581" s="5" t="n">
        <v>10</v>
      </c>
      <c r="I9581" s="5" t="n">
        <v>7</v>
      </c>
      <c r="J9581" s="5" t="n">
        <v>3</v>
      </c>
      <c r="K9581" s="10">
        <f>IF(F9581&gt;0,H9581/F9581,"")</f>
        <v/>
      </c>
      <c r="L9581" s="16">
        <f>IF(AND(G9581&gt;0,H9581&gt;0),G9581/H9581,"")</f>
        <v/>
      </c>
    </row>
    <row r="9582">
      <c r="A9582" s="4" t="inlineStr">
        <is>
          <t>318</t>
        </is>
      </c>
      <c r="B9582" s="4" t="n">
        <v>3</v>
      </c>
      <c r="C9582" s="4" t="inlineStr">
        <is>
          <t>whitetail</t>
        </is>
      </c>
      <c r="D9582" s="4" t="n">
        <v>2021</v>
      </c>
      <c r="E9582" s="13" t="inlineStr">
        <is>
          <t>General</t>
        </is>
      </c>
      <c r="F9582" s="5" t="n">
        <v>597</v>
      </c>
      <c r="G9582" s="5" t="n">
        <v>5217</v>
      </c>
      <c r="H9582" s="5" t="n">
        <v>21</v>
      </c>
      <c r="I9582" s="5" t="n">
        <v>21</v>
      </c>
      <c r="J9582" s="5" t="n">
        <v>0</v>
      </c>
      <c r="K9582" s="10">
        <f>IF(F9582&gt;0,H9582/F9582,"")</f>
        <v/>
      </c>
      <c r="L9582" s="16">
        <f>IF(AND(G9582&gt;0,H9582&gt;0),G9582/H9582,"")</f>
        <v/>
      </c>
    </row>
    <row r="9583">
      <c r="A9583" s="4" t="inlineStr">
        <is>
          <t>318</t>
        </is>
      </c>
      <c r="B9583" s="4" t="n">
        <v>3</v>
      </c>
      <c r="C9583" s="4" t="inlineStr">
        <is>
          <t>whitetail</t>
        </is>
      </c>
      <c r="D9583" s="4" t="n">
        <v>2022</v>
      </c>
      <c r="E9583" s="13" t="inlineStr">
        <is>
          <t>General</t>
        </is>
      </c>
      <c r="F9583" s="5" t="n"/>
      <c r="G9583" s="5" t="n"/>
      <c r="H9583" s="5" t="n">
        <v>20</v>
      </c>
      <c r="I9583" s="5" t="n">
        <v>13</v>
      </c>
      <c r="J9583" s="5" t="n">
        <v>6</v>
      </c>
      <c r="K9583" s="10">
        <f>IF(F9583&gt;0,H9583/F9583,"")</f>
        <v/>
      </c>
      <c r="L9583" s="16">
        <f>IF(AND(G9583&gt;0,H9583&gt;0),G9583/H9583,"")</f>
        <v/>
      </c>
    </row>
    <row r="9584">
      <c r="A9584" s="4" t="inlineStr">
        <is>
          <t>318</t>
        </is>
      </c>
      <c r="B9584" s="4" t="n">
        <v>3</v>
      </c>
      <c r="C9584" s="4" t="inlineStr">
        <is>
          <t>whitetail</t>
        </is>
      </c>
      <c r="D9584" s="4" t="n">
        <v>2023</v>
      </c>
      <c r="E9584" s="13" t="inlineStr">
        <is>
          <t>General</t>
        </is>
      </c>
      <c r="F9584" s="5" t="n">
        <v>654</v>
      </c>
      <c r="G9584" s="5" t="n">
        <v>4896</v>
      </c>
      <c r="H9584" s="5" t="n">
        <v>20</v>
      </c>
      <c r="I9584" s="5" t="n">
        <v>3</v>
      </c>
      <c r="J9584" s="5" t="n">
        <v>16</v>
      </c>
      <c r="K9584" s="10">
        <f>IF(F9584&gt;0,H9584/F9584,"")</f>
        <v/>
      </c>
      <c r="L9584" s="16">
        <f>IF(AND(G9584&gt;0,H9584&gt;0),G9584/H9584,"")</f>
        <v/>
      </c>
    </row>
    <row r="9585">
      <c r="A9585" s="4" t="inlineStr">
        <is>
          <t>318</t>
        </is>
      </c>
      <c r="B9585" s="4" t="n">
        <v>3</v>
      </c>
      <c r="C9585" s="4" t="inlineStr">
        <is>
          <t>whitetail</t>
        </is>
      </c>
      <c r="D9585" s="4" t="n">
        <v>2024</v>
      </c>
      <c r="E9585" s="13" t="inlineStr">
        <is>
          <t>General</t>
        </is>
      </c>
      <c r="F9585" s="5" t="n"/>
      <c r="G9585" s="5" t="n"/>
      <c r="H9585" s="5" t="n">
        <v>12</v>
      </c>
      <c r="I9585" s="5" t="n">
        <v>3</v>
      </c>
      <c r="J9585" s="5" t="n">
        <v>8</v>
      </c>
      <c r="K9585" s="10">
        <f>IF(F9585&gt;0,H9585/F9585,"")</f>
        <v/>
      </c>
      <c r="L9585" s="16">
        <f>IF(AND(G9585&gt;0,H9585&gt;0),G9585/H9585,"")</f>
        <v/>
      </c>
    </row>
    <row r="9586">
      <c r="A9586" s="4" t="inlineStr">
        <is>
          <t>318</t>
        </is>
      </c>
      <c r="B9586" s="4" t="n">
        <v>3</v>
      </c>
      <c r="C9586" s="4" t="inlineStr">
        <is>
          <t>whitetail</t>
        </is>
      </c>
      <c r="D9586" s="4" t="n">
        <v>2025</v>
      </c>
      <c r="E9586" s="13" t="inlineStr">
        <is>
          <t>General</t>
        </is>
      </c>
      <c r="F9586" s="5" t="n">
        <v>696</v>
      </c>
      <c r="G9586" s="5" t="n">
        <v>7052</v>
      </c>
      <c r="H9586" s="5" t="n">
        <v>21</v>
      </c>
      <c r="I9586" s="5" t="n">
        <v>17</v>
      </c>
      <c r="J9586" s="5" t="n">
        <v>5</v>
      </c>
      <c r="K9586" s="10">
        <f>IF(F9586&gt;0,H9586/F9586,"")</f>
        <v/>
      </c>
      <c r="L9586" s="16">
        <f>IF(AND(G9586&gt;0,H9586&gt;0),G9586/H9586,"")</f>
        <v/>
      </c>
    </row>
    <row r="9587">
      <c r="A9587" s="4" t="inlineStr">
        <is>
          <t>319</t>
        </is>
      </c>
      <c r="B9587" s="4" t="n">
        <v>3</v>
      </c>
      <c r="C9587" s="4" t="inlineStr">
        <is>
          <t>whitetail</t>
        </is>
      </c>
      <c r="D9587" s="4" t="n">
        <v>2004</v>
      </c>
      <c r="E9587" s="13" t="inlineStr">
        <is>
          <t>General</t>
        </is>
      </c>
      <c r="F9587" s="5" t="n">
        <v>738</v>
      </c>
      <c r="G9587" s="5" t="n">
        <v>5379</v>
      </c>
      <c r="H9587" s="5" t="n">
        <v>27</v>
      </c>
      <c r="I9587" s="5" t="n">
        <v>7</v>
      </c>
      <c r="J9587" s="5" t="n">
        <v>19</v>
      </c>
      <c r="K9587" s="10">
        <f>IF(F9587&gt;0,H9587/F9587,"")</f>
        <v/>
      </c>
      <c r="L9587" s="16">
        <f>IF(AND(G9587&gt;0,H9587&gt;0),G9587/H9587,"")</f>
        <v/>
      </c>
    </row>
    <row r="9588">
      <c r="A9588" s="4" t="inlineStr">
        <is>
          <t>319</t>
        </is>
      </c>
      <c r="B9588" s="4" t="n">
        <v>3</v>
      </c>
      <c r="C9588" s="4" t="inlineStr">
        <is>
          <t>whitetail</t>
        </is>
      </c>
      <c r="D9588" s="4" t="n">
        <v>2005</v>
      </c>
      <c r="E9588" s="13" t="inlineStr">
        <is>
          <t>General</t>
        </is>
      </c>
      <c r="F9588" s="5" t="n">
        <v>826</v>
      </c>
      <c r="G9588" s="5" t="n">
        <v>5593</v>
      </c>
      <c r="H9588" s="5" t="n">
        <v>43</v>
      </c>
      <c r="I9588" s="5" t="n">
        <v>24</v>
      </c>
      <c r="J9588" s="5" t="n">
        <v>19</v>
      </c>
      <c r="K9588" s="10">
        <f>IF(F9588&gt;0,H9588/F9588,"")</f>
        <v/>
      </c>
      <c r="L9588" s="16">
        <f>IF(AND(G9588&gt;0,H9588&gt;0),G9588/H9588,"")</f>
        <v/>
      </c>
    </row>
    <row r="9589">
      <c r="A9589" s="4" t="inlineStr">
        <is>
          <t>319</t>
        </is>
      </c>
      <c r="B9589" s="4" t="n">
        <v>3</v>
      </c>
      <c r="C9589" s="4" t="inlineStr">
        <is>
          <t>whitetail</t>
        </is>
      </c>
      <c r="D9589" s="4" t="n">
        <v>2006</v>
      </c>
      <c r="E9589" s="13" t="inlineStr">
        <is>
          <t>General</t>
        </is>
      </c>
      <c r="F9589" s="5" t="n">
        <v>544</v>
      </c>
      <c r="G9589" s="5" t="n">
        <v>3156</v>
      </c>
      <c r="H9589" s="5" t="n">
        <v>46</v>
      </c>
      <c r="I9589" s="5" t="n">
        <v>26</v>
      </c>
      <c r="J9589" s="5" t="n">
        <v>16</v>
      </c>
      <c r="K9589" s="10">
        <f>IF(F9589&gt;0,H9589/F9589,"")</f>
        <v/>
      </c>
      <c r="L9589" s="16">
        <f>IF(AND(G9589&gt;0,H9589&gt;0),G9589/H9589,"")</f>
        <v/>
      </c>
    </row>
    <row r="9590">
      <c r="A9590" s="4" t="inlineStr">
        <is>
          <t>319</t>
        </is>
      </c>
      <c r="B9590" s="4" t="n">
        <v>3</v>
      </c>
      <c r="C9590" s="4" t="inlineStr">
        <is>
          <t>whitetail</t>
        </is>
      </c>
      <c r="D9590" s="4" t="n">
        <v>2007</v>
      </c>
      <c r="E9590" s="13" t="inlineStr">
        <is>
          <t>General</t>
        </is>
      </c>
      <c r="F9590" s="5" t="n">
        <v>616</v>
      </c>
      <c r="G9590" s="5" t="n">
        <v>4039</v>
      </c>
      <c r="H9590" s="5" t="n">
        <v>32</v>
      </c>
      <c r="I9590" s="5" t="n">
        <v>10</v>
      </c>
      <c r="J9590" s="5" t="n">
        <v>22</v>
      </c>
      <c r="K9590" s="10">
        <f>IF(F9590&gt;0,H9590/F9590,"")</f>
        <v/>
      </c>
      <c r="L9590" s="16">
        <f>IF(AND(G9590&gt;0,H9590&gt;0),G9590/H9590,"")</f>
        <v/>
      </c>
    </row>
    <row r="9591">
      <c r="A9591" s="4" t="inlineStr">
        <is>
          <t>319</t>
        </is>
      </c>
      <c r="B9591" s="4" t="n">
        <v>3</v>
      </c>
      <c r="C9591" s="4" t="inlineStr">
        <is>
          <t>whitetail</t>
        </is>
      </c>
      <c r="D9591" s="4" t="n">
        <v>2008</v>
      </c>
      <c r="E9591" s="13" t="inlineStr">
        <is>
          <t>General</t>
        </is>
      </c>
      <c r="F9591" s="5" t="n">
        <v>633</v>
      </c>
      <c r="G9591" s="5" t="n">
        <v>4580</v>
      </c>
      <c r="H9591" s="5" t="n">
        <v>10</v>
      </c>
      <c r="I9591" s="5" t="n">
        <v>3</v>
      </c>
      <c r="J9591" s="5" t="n">
        <v>7</v>
      </c>
      <c r="K9591" s="10">
        <f>IF(F9591&gt;0,H9591/F9591,"")</f>
        <v/>
      </c>
      <c r="L9591" s="16">
        <f>IF(AND(G9591&gt;0,H9591&gt;0),G9591/H9591,"")</f>
        <v/>
      </c>
    </row>
    <row r="9592">
      <c r="A9592" s="4" t="inlineStr">
        <is>
          <t>319</t>
        </is>
      </c>
      <c r="B9592" s="4" t="n">
        <v>3</v>
      </c>
      <c r="C9592" s="4" t="inlineStr">
        <is>
          <t>whitetail</t>
        </is>
      </c>
      <c r="D9592" s="4" t="n">
        <v>2009</v>
      </c>
      <c r="E9592" s="13" t="inlineStr">
        <is>
          <t>General</t>
        </is>
      </c>
      <c r="F9592" s="5" t="n">
        <v>501</v>
      </c>
      <c r="G9592" s="5" t="n">
        <v>3237</v>
      </c>
      <c r="H9592" s="5" t="n">
        <v>22</v>
      </c>
      <c r="I9592" s="5" t="n">
        <v>8</v>
      </c>
      <c r="J9592" s="5" t="n">
        <v>11</v>
      </c>
      <c r="K9592" s="10">
        <f>IF(F9592&gt;0,H9592/F9592,"")</f>
        <v/>
      </c>
      <c r="L9592" s="16">
        <f>IF(AND(G9592&gt;0,H9592&gt;0),G9592/H9592,"")</f>
        <v/>
      </c>
    </row>
    <row r="9593">
      <c r="A9593" s="4" t="inlineStr">
        <is>
          <t>319</t>
        </is>
      </c>
      <c r="B9593" s="4" t="n">
        <v>3</v>
      </c>
      <c r="C9593" s="4" t="inlineStr">
        <is>
          <t>whitetail</t>
        </is>
      </c>
      <c r="D9593" s="4" t="n">
        <v>2010</v>
      </c>
      <c r="E9593" s="13" t="inlineStr">
        <is>
          <t>General</t>
        </is>
      </c>
      <c r="F9593" s="5" t="n">
        <v>353</v>
      </c>
      <c r="G9593" s="5" t="n">
        <v>2473</v>
      </c>
      <c r="H9593" s="5" t="n">
        <v>9</v>
      </c>
      <c r="I9593" s="5" t="n">
        <v>3</v>
      </c>
      <c r="J9593" s="5" t="n">
        <v>6</v>
      </c>
      <c r="K9593" s="10">
        <f>IF(F9593&gt;0,H9593/F9593,"")</f>
        <v/>
      </c>
      <c r="L9593" s="16">
        <f>IF(AND(G9593&gt;0,H9593&gt;0),G9593/H9593,"")</f>
        <v/>
      </c>
    </row>
    <row r="9594">
      <c r="A9594" s="4" t="inlineStr">
        <is>
          <t>319</t>
        </is>
      </c>
      <c r="B9594" s="4" t="n">
        <v>3</v>
      </c>
      <c r="C9594" s="4" t="inlineStr">
        <is>
          <t>whitetail</t>
        </is>
      </c>
      <c r="D9594" s="4" t="n">
        <v>2011</v>
      </c>
      <c r="E9594" s="13" t="inlineStr">
        <is>
          <t>General</t>
        </is>
      </c>
      <c r="F9594" s="5" t="n">
        <v>418</v>
      </c>
      <c r="G9594" s="5" t="n">
        <v>2999</v>
      </c>
      <c r="H9594" s="5" t="n">
        <v>27</v>
      </c>
      <c r="I9594" s="5" t="n">
        <v>16</v>
      </c>
      <c r="J9594" s="5" t="n">
        <v>11</v>
      </c>
      <c r="K9594" s="10">
        <f>IF(F9594&gt;0,H9594/F9594,"")</f>
        <v/>
      </c>
      <c r="L9594" s="16">
        <f>IF(AND(G9594&gt;0,H9594&gt;0),G9594/H9594,"")</f>
        <v/>
      </c>
    </row>
    <row r="9595">
      <c r="A9595" s="4" t="inlineStr">
        <is>
          <t>319</t>
        </is>
      </c>
      <c r="B9595" s="4" t="n">
        <v>3</v>
      </c>
      <c r="C9595" s="4" t="inlineStr">
        <is>
          <t>whitetail</t>
        </is>
      </c>
      <c r="D9595" s="4" t="n">
        <v>2012</v>
      </c>
      <c r="E9595" s="13" t="inlineStr">
        <is>
          <t>General</t>
        </is>
      </c>
      <c r="F9595" s="5" t="n"/>
      <c r="G9595" s="5" t="n"/>
      <c r="H9595" s="5" t="n">
        <v>14</v>
      </c>
      <c r="I9595" s="5" t="n">
        <v>10</v>
      </c>
      <c r="J9595" s="5" t="n">
        <v>4</v>
      </c>
      <c r="K9595" s="10">
        <f>IF(F9595&gt;0,H9595/F9595,"")</f>
        <v/>
      </c>
      <c r="L9595" s="16">
        <f>IF(AND(G9595&gt;0,H9595&gt;0),G9595/H9595,"")</f>
        <v/>
      </c>
    </row>
    <row r="9596">
      <c r="A9596" s="4" t="inlineStr">
        <is>
          <t>319</t>
        </is>
      </c>
      <c r="B9596" s="4" t="n">
        <v>3</v>
      </c>
      <c r="C9596" s="4" t="inlineStr">
        <is>
          <t>whitetail</t>
        </is>
      </c>
      <c r="D9596" s="4" t="n">
        <v>2013</v>
      </c>
      <c r="E9596" s="13" t="inlineStr">
        <is>
          <t>General</t>
        </is>
      </c>
      <c r="F9596" s="5" t="n">
        <v>435</v>
      </c>
      <c r="G9596" s="5" t="n">
        <v>2964</v>
      </c>
      <c r="H9596" s="5" t="n">
        <v>16</v>
      </c>
      <c r="I9596" s="5" t="n">
        <v>2</v>
      </c>
      <c r="J9596" s="5" t="n">
        <v>14</v>
      </c>
      <c r="K9596" s="10">
        <f>IF(F9596&gt;0,H9596/F9596,"")</f>
        <v/>
      </c>
      <c r="L9596" s="16">
        <f>IF(AND(G9596&gt;0,H9596&gt;0),G9596/H9596,"")</f>
        <v/>
      </c>
    </row>
    <row r="9597">
      <c r="A9597" s="4" t="inlineStr">
        <is>
          <t>319</t>
        </is>
      </c>
      <c r="B9597" s="4" t="n">
        <v>3</v>
      </c>
      <c r="C9597" s="4" t="inlineStr">
        <is>
          <t>whitetail</t>
        </is>
      </c>
      <c r="D9597" s="4" t="n">
        <v>2014</v>
      </c>
      <c r="E9597" s="13" t="inlineStr">
        <is>
          <t>General</t>
        </is>
      </c>
      <c r="F9597" s="5" t="n"/>
      <c r="G9597" s="5" t="n"/>
      <c r="H9597" s="5" t="n">
        <v>33</v>
      </c>
      <c r="I9597" s="5" t="n">
        <v>17</v>
      </c>
      <c r="J9597" s="5" t="n">
        <v>15</v>
      </c>
      <c r="K9597" s="10">
        <f>IF(F9597&gt;0,H9597/F9597,"")</f>
        <v/>
      </c>
      <c r="L9597" s="16">
        <f>IF(AND(G9597&gt;0,H9597&gt;0),G9597/H9597,"")</f>
        <v/>
      </c>
    </row>
    <row r="9598">
      <c r="A9598" s="4" t="inlineStr">
        <is>
          <t>319</t>
        </is>
      </c>
      <c r="B9598" s="4" t="n">
        <v>3</v>
      </c>
      <c r="C9598" s="4" t="inlineStr">
        <is>
          <t>whitetail</t>
        </is>
      </c>
      <c r="D9598" s="4" t="n">
        <v>2015</v>
      </c>
      <c r="E9598" s="13" t="inlineStr">
        <is>
          <t>General</t>
        </is>
      </c>
      <c r="F9598" s="5" t="n"/>
      <c r="G9598" s="5" t="n"/>
      <c r="H9598" s="5" t="n">
        <v>25</v>
      </c>
      <c r="I9598" s="5" t="n">
        <v>9</v>
      </c>
      <c r="J9598" s="5" t="n">
        <v>16</v>
      </c>
      <c r="K9598" s="10">
        <f>IF(F9598&gt;0,H9598/F9598,"")</f>
        <v/>
      </c>
      <c r="L9598" s="16">
        <f>IF(AND(G9598&gt;0,H9598&gt;0),G9598/H9598,"")</f>
        <v/>
      </c>
    </row>
    <row r="9599">
      <c r="A9599" s="4" t="inlineStr">
        <is>
          <t>319</t>
        </is>
      </c>
      <c r="B9599" s="4" t="n">
        <v>3</v>
      </c>
      <c r="C9599" s="4" t="inlineStr">
        <is>
          <t>whitetail</t>
        </is>
      </c>
      <c r="D9599" s="4" t="n">
        <v>2016</v>
      </c>
      <c r="E9599" s="13" t="inlineStr">
        <is>
          <t>General</t>
        </is>
      </c>
      <c r="F9599" s="5" t="n"/>
      <c r="G9599" s="5" t="n"/>
      <c r="H9599" s="5" t="n">
        <v>48</v>
      </c>
      <c r="I9599" s="5" t="n">
        <v>19</v>
      </c>
      <c r="J9599" s="5" t="n">
        <v>29</v>
      </c>
      <c r="K9599" s="10">
        <f>IF(F9599&gt;0,H9599/F9599,"")</f>
        <v/>
      </c>
      <c r="L9599" s="16">
        <f>IF(AND(G9599&gt;0,H9599&gt;0),G9599/H9599,"")</f>
        <v/>
      </c>
    </row>
    <row r="9600">
      <c r="A9600" s="4" t="inlineStr">
        <is>
          <t>319</t>
        </is>
      </c>
      <c r="B9600" s="4" t="n">
        <v>3</v>
      </c>
      <c r="C9600" s="4" t="inlineStr">
        <is>
          <t>whitetail</t>
        </is>
      </c>
      <c r="D9600" s="4" t="n">
        <v>2017</v>
      </c>
      <c r="E9600" s="13" t="inlineStr">
        <is>
          <t>General</t>
        </is>
      </c>
      <c r="F9600" s="5" t="n">
        <v>477</v>
      </c>
      <c r="G9600" s="5" t="n">
        <v>3389</v>
      </c>
      <c r="H9600" s="5" t="n">
        <v>29</v>
      </c>
      <c r="I9600" s="5" t="n">
        <v>9</v>
      </c>
      <c r="J9600" s="5" t="n">
        <v>20</v>
      </c>
      <c r="K9600" s="10">
        <f>IF(F9600&gt;0,H9600/F9600,"")</f>
        <v/>
      </c>
      <c r="L9600" s="16">
        <f>IF(AND(G9600&gt;0,H9600&gt;0),G9600/H9600,"")</f>
        <v/>
      </c>
    </row>
    <row r="9601">
      <c r="A9601" s="4" t="inlineStr">
        <is>
          <t>319</t>
        </is>
      </c>
      <c r="B9601" s="4" t="n">
        <v>3</v>
      </c>
      <c r="C9601" s="4" t="inlineStr">
        <is>
          <t>whitetail</t>
        </is>
      </c>
      <c r="D9601" s="4" t="n">
        <v>2018</v>
      </c>
      <c r="E9601" s="13" t="inlineStr">
        <is>
          <t>General</t>
        </is>
      </c>
      <c r="F9601" s="5" t="n"/>
      <c r="G9601" s="5" t="n"/>
      <c r="H9601" s="5" t="n">
        <v>44</v>
      </c>
      <c r="I9601" s="5" t="n">
        <v>10</v>
      </c>
      <c r="J9601" s="5" t="n">
        <v>34</v>
      </c>
      <c r="K9601" s="10">
        <f>IF(F9601&gt;0,H9601/F9601,"")</f>
        <v/>
      </c>
      <c r="L9601" s="16">
        <f>IF(AND(G9601&gt;0,H9601&gt;0),G9601/H9601,"")</f>
        <v/>
      </c>
    </row>
    <row r="9602">
      <c r="A9602" s="4" t="inlineStr">
        <is>
          <t>319</t>
        </is>
      </c>
      <c r="B9602" s="4" t="n">
        <v>3</v>
      </c>
      <c r="C9602" s="4" t="inlineStr">
        <is>
          <t>whitetail</t>
        </is>
      </c>
      <c r="D9602" s="4" t="n">
        <v>2019</v>
      </c>
      <c r="E9602" s="13" t="inlineStr">
        <is>
          <t>General</t>
        </is>
      </c>
      <c r="F9602" s="5" t="n">
        <v>393</v>
      </c>
      <c r="G9602" s="5" t="n">
        <v>2872</v>
      </c>
      <c r="H9602" s="5" t="n">
        <v>33</v>
      </c>
      <c r="I9602" s="5" t="n">
        <v>10</v>
      </c>
      <c r="J9602" s="5" t="n">
        <v>23</v>
      </c>
      <c r="K9602" s="10">
        <f>IF(F9602&gt;0,H9602/F9602,"")</f>
        <v/>
      </c>
      <c r="L9602" s="16">
        <f>IF(AND(G9602&gt;0,H9602&gt;0),G9602/H9602,"")</f>
        <v/>
      </c>
    </row>
    <row r="9603">
      <c r="A9603" s="4" t="inlineStr">
        <is>
          <t>319</t>
        </is>
      </c>
      <c r="B9603" s="4" t="n">
        <v>3</v>
      </c>
      <c r="C9603" s="4" t="inlineStr">
        <is>
          <t>whitetail</t>
        </is>
      </c>
      <c r="D9603" s="4" t="n">
        <v>2020</v>
      </c>
      <c r="E9603" s="13" t="inlineStr">
        <is>
          <t>General</t>
        </is>
      </c>
      <c r="F9603" s="5" t="n"/>
      <c r="G9603" s="5" t="n"/>
      <c r="H9603" s="5" t="n">
        <v>31</v>
      </c>
      <c r="I9603" s="5" t="n">
        <v>21</v>
      </c>
      <c r="J9603" s="5" t="n">
        <v>10</v>
      </c>
      <c r="K9603" s="10">
        <f>IF(F9603&gt;0,H9603/F9603,"")</f>
        <v/>
      </c>
      <c r="L9603" s="16">
        <f>IF(AND(G9603&gt;0,H9603&gt;0),G9603/H9603,"")</f>
        <v/>
      </c>
    </row>
    <row r="9604">
      <c r="A9604" s="4" t="inlineStr">
        <is>
          <t>319</t>
        </is>
      </c>
      <c r="B9604" s="4" t="n">
        <v>3</v>
      </c>
      <c r="C9604" s="4" t="inlineStr">
        <is>
          <t>whitetail</t>
        </is>
      </c>
      <c r="D9604" s="4" t="n">
        <v>2021</v>
      </c>
      <c r="E9604" s="13" t="inlineStr">
        <is>
          <t>General</t>
        </is>
      </c>
      <c r="F9604" s="5" t="n">
        <v>379</v>
      </c>
      <c r="G9604" s="5" t="n">
        <v>2971</v>
      </c>
      <c r="H9604" s="5" t="n">
        <v>19</v>
      </c>
      <c r="I9604" s="5" t="n">
        <v>11</v>
      </c>
      <c r="J9604" s="5" t="n">
        <v>8</v>
      </c>
      <c r="K9604" s="10">
        <f>IF(F9604&gt;0,H9604/F9604,"")</f>
        <v/>
      </c>
      <c r="L9604" s="16">
        <f>IF(AND(G9604&gt;0,H9604&gt;0),G9604/H9604,"")</f>
        <v/>
      </c>
    </row>
    <row r="9605">
      <c r="A9605" s="4" t="inlineStr">
        <is>
          <t>319</t>
        </is>
      </c>
      <c r="B9605" s="4" t="n">
        <v>3</v>
      </c>
      <c r="C9605" s="4" t="inlineStr">
        <is>
          <t>whitetail</t>
        </is>
      </c>
      <c r="D9605" s="4" t="n">
        <v>2022</v>
      </c>
      <c r="E9605" s="13" t="inlineStr">
        <is>
          <t>General</t>
        </is>
      </c>
      <c r="F9605" s="5" t="n"/>
      <c r="G9605" s="5" t="n"/>
      <c r="H9605" s="5" t="n">
        <v>24</v>
      </c>
      <c r="I9605" s="5" t="n">
        <v>5</v>
      </c>
      <c r="J9605" s="5" t="n">
        <v>19</v>
      </c>
      <c r="K9605" s="10">
        <f>IF(F9605&gt;0,H9605/F9605,"")</f>
        <v/>
      </c>
      <c r="L9605" s="16">
        <f>IF(AND(G9605&gt;0,H9605&gt;0),G9605/H9605,"")</f>
        <v/>
      </c>
    </row>
    <row r="9606">
      <c r="A9606" s="4" t="inlineStr">
        <is>
          <t>319</t>
        </is>
      </c>
      <c r="B9606" s="4" t="n">
        <v>3</v>
      </c>
      <c r="C9606" s="4" t="inlineStr">
        <is>
          <t>whitetail</t>
        </is>
      </c>
      <c r="D9606" s="4" t="n">
        <v>2023</v>
      </c>
      <c r="E9606" s="13" t="inlineStr">
        <is>
          <t>General</t>
        </is>
      </c>
      <c r="F9606" s="5" t="n">
        <v>694</v>
      </c>
      <c r="G9606" s="5" t="n">
        <v>5272</v>
      </c>
      <c r="H9606" s="5" t="n">
        <v>56</v>
      </c>
      <c r="I9606" s="5" t="n">
        <v>30</v>
      </c>
      <c r="J9606" s="5" t="n">
        <v>26</v>
      </c>
      <c r="K9606" s="10">
        <f>IF(F9606&gt;0,H9606/F9606,"")</f>
        <v/>
      </c>
      <c r="L9606" s="16">
        <f>IF(AND(G9606&gt;0,H9606&gt;0),G9606/H9606,"")</f>
        <v/>
      </c>
    </row>
    <row r="9607">
      <c r="A9607" s="4" t="inlineStr">
        <is>
          <t>319</t>
        </is>
      </c>
      <c r="B9607" s="4" t="n">
        <v>3</v>
      </c>
      <c r="C9607" s="4" t="inlineStr">
        <is>
          <t>whitetail</t>
        </is>
      </c>
      <c r="D9607" s="4" t="n">
        <v>2024</v>
      </c>
      <c r="E9607" s="13" t="inlineStr">
        <is>
          <t>General</t>
        </is>
      </c>
      <c r="F9607" s="5" t="n"/>
      <c r="G9607" s="5" t="n"/>
      <c r="H9607" s="5" t="n">
        <v>58</v>
      </c>
      <c r="I9607" s="5" t="n">
        <v>32</v>
      </c>
      <c r="J9607" s="5" t="n">
        <v>26</v>
      </c>
      <c r="K9607" s="10">
        <f>IF(F9607&gt;0,H9607/F9607,"")</f>
        <v/>
      </c>
      <c r="L9607" s="16">
        <f>IF(AND(G9607&gt;0,H9607&gt;0),G9607/H9607,"")</f>
        <v/>
      </c>
    </row>
    <row r="9608">
      <c r="A9608" s="4" t="inlineStr">
        <is>
          <t>319</t>
        </is>
      </c>
      <c r="B9608" s="4" t="n">
        <v>3</v>
      </c>
      <c r="C9608" s="4" t="inlineStr">
        <is>
          <t>whitetail</t>
        </is>
      </c>
      <c r="D9608" s="4" t="n">
        <v>2025</v>
      </c>
      <c r="E9608" s="13" t="inlineStr">
        <is>
          <t>General</t>
        </is>
      </c>
      <c r="F9608" s="5" t="n">
        <v>772</v>
      </c>
      <c r="G9608" s="5" t="n">
        <v>5960</v>
      </c>
      <c r="H9608" s="5" t="n">
        <v>77</v>
      </c>
      <c r="I9608" s="5" t="n">
        <v>43</v>
      </c>
      <c r="J9608" s="5" t="n">
        <v>34</v>
      </c>
      <c r="K9608" s="10">
        <f>IF(F9608&gt;0,H9608/F9608,"")</f>
        <v/>
      </c>
      <c r="L9608" s="16">
        <f>IF(AND(G9608&gt;0,H9608&gt;0),G9608/H9608,"")</f>
        <v/>
      </c>
    </row>
    <row r="9609">
      <c r="A9609" s="4" t="inlineStr">
        <is>
          <t>320</t>
        </is>
      </c>
      <c r="B9609" s="4" t="n">
        <v>3</v>
      </c>
      <c r="C9609" s="4" t="inlineStr">
        <is>
          <t>whitetail</t>
        </is>
      </c>
      <c r="D9609" s="4" t="n">
        <v>2004</v>
      </c>
      <c r="E9609" s="13" t="inlineStr">
        <is>
          <t>General</t>
        </is>
      </c>
      <c r="F9609" s="5" t="n">
        <v>1438</v>
      </c>
      <c r="G9609" s="5" t="n">
        <v>7458</v>
      </c>
      <c r="H9609" s="5" t="n">
        <v>678</v>
      </c>
      <c r="I9609" s="5" t="n">
        <v>345</v>
      </c>
      <c r="J9609" s="5" t="n">
        <v>312</v>
      </c>
      <c r="K9609" s="10">
        <f>IF(F9609&gt;0,H9609/F9609,"")</f>
        <v/>
      </c>
      <c r="L9609" s="16">
        <f>IF(AND(G9609&gt;0,H9609&gt;0),G9609/H9609,"")</f>
        <v/>
      </c>
    </row>
    <row r="9610">
      <c r="A9610" s="4" t="inlineStr">
        <is>
          <t>320</t>
        </is>
      </c>
      <c r="B9610" s="4" t="n">
        <v>3</v>
      </c>
      <c r="C9610" s="4" t="inlineStr">
        <is>
          <t>whitetail</t>
        </is>
      </c>
      <c r="D9610" s="4" t="n">
        <v>2005</v>
      </c>
      <c r="E9610" s="13" t="inlineStr">
        <is>
          <t>General</t>
        </is>
      </c>
      <c r="F9610" s="5" t="n">
        <v>1330</v>
      </c>
      <c r="G9610" s="5" t="n">
        <v>7409</v>
      </c>
      <c r="H9610" s="5" t="n">
        <v>693</v>
      </c>
      <c r="I9610" s="5" t="n">
        <v>335</v>
      </c>
      <c r="J9610" s="5" t="n">
        <v>353</v>
      </c>
      <c r="K9610" s="10">
        <f>IF(F9610&gt;0,H9610/F9610,"")</f>
        <v/>
      </c>
      <c r="L9610" s="16">
        <f>IF(AND(G9610&gt;0,H9610&gt;0),G9610/H9610,"")</f>
        <v/>
      </c>
    </row>
    <row r="9611">
      <c r="A9611" s="4" t="inlineStr">
        <is>
          <t>320</t>
        </is>
      </c>
      <c r="B9611" s="4" t="n">
        <v>3</v>
      </c>
      <c r="C9611" s="4" t="inlineStr">
        <is>
          <t>whitetail</t>
        </is>
      </c>
      <c r="D9611" s="4" t="n">
        <v>2006</v>
      </c>
      <c r="E9611" s="13" t="inlineStr">
        <is>
          <t>General</t>
        </is>
      </c>
      <c r="F9611" s="5" t="n">
        <v>1205</v>
      </c>
      <c r="G9611" s="5" t="n">
        <v>7186</v>
      </c>
      <c r="H9611" s="5" t="n">
        <v>878</v>
      </c>
      <c r="I9611" s="5" t="n">
        <v>397</v>
      </c>
      <c r="J9611" s="5" t="n">
        <v>474</v>
      </c>
      <c r="K9611" s="10">
        <f>IF(F9611&gt;0,H9611/F9611,"")</f>
        <v/>
      </c>
      <c r="L9611" s="16">
        <f>IF(AND(G9611&gt;0,H9611&gt;0),G9611/H9611,"")</f>
        <v/>
      </c>
    </row>
    <row r="9612">
      <c r="A9612" s="4" t="inlineStr">
        <is>
          <t>320</t>
        </is>
      </c>
      <c r="B9612" s="4" t="n">
        <v>3</v>
      </c>
      <c r="C9612" s="4" t="inlineStr">
        <is>
          <t>whitetail</t>
        </is>
      </c>
      <c r="D9612" s="4" t="n">
        <v>2007</v>
      </c>
      <c r="E9612" s="13" t="inlineStr">
        <is>
          <t>General</t>
        </is>
      </c>
      <c r="F9612" s="5" t="n">
        <v>1471</v>
      </c>
      <c r="G9612" s="5" t="n">
        <v>8316</v>
      </c>
      <c r="H9612" s="5" t="n">
        <v>839</v>
      </c>
      <c r="I9612" s="5" t="n">
        <v>286</v>
      </c>
      <c r="J9612" s="5" t="n">
        <v>548</v>
      </c>
      <c r="K9612" s="10">
        <f>IF(F9612&gt;0,H9612/F9612,"")</f>
        <v/>
      </c>
      <c r="L9612" s="16">
        <f>IF(AND(G9612&gt;0,H9612&gt;0),G9612/H9612,"")</f>
        <v/>
      </c>
    </row>
    <row r="9613">
      <c r="A9613" s="4" t="inlineStr">
        <is>
          <t>320</t>
        </is>
      </c>
      <c r="B9613" s="4" t="n">
        <v>3</v>
      </c>
      <c r="C9613" s="4" t="inlineStr">
        <is>
          <t>whitetail</t>
        </is>
      </c>
      <c r="D9613" s="4" t="n">
        <v>2008</v>
      </c>
      <c r="E9613" s="13" t="inlineStr">
        <is>
          <t>General</t>
        </is>
      </c>
      <c r="F9613" s="5" t="n">
        <v>1563</v>
      </c>
      <c r="G9613" s="5" t="n">
        <v>9310</v>
      </c>
      <c r="H9613" s="5" t="n">
        <v>934</v>
      </c>
      <c r="I9613" s="5" t="n">
        <v>331</v>
      </c>
      <c r="J9613" s="5" t="n">
        <v>564</v>
      </c>
      <c r="K9613" s="10">
        <f>IF(F9613&gt;0,H9613/F9613,"")</f>
        <v/>
      </c>
      <c r="L9613" s="16">
        <f>IF(AND(G9613&gt;0,H9613&gt;0),G9613/H9613,"")</f>
        <v/>
      </c>
    </row>
    <row r="9614">
      <c r="A9614" s="4" t="inlineStr">
        <is>
          <t>320</t>
        </is>
      </c>
      <c r="B9614" s="4" t="n">
        <v>3</v>
      </c>
      <c r="C9614" s="4" t="inlineStr">
        <is>
          <t>whitetail</t>
        </is>
      </c>
      <c r="D9614" s="4" t="n">
        <v>2009</v>
      </c>
      <c r="E9614" s="13" t="inlineStr">
        <is>
          <t>General</t>
        </is>
      </c>
      <c r="F9614" s="5" t="n">
        <v>1575</v>
      </c>
      <c r="G9614" s="5" t="n">
        <v>9418</v>
      </c>
      <c r="H9614" s="5" t="n">
        <v>781</v>
      </c>
      <c r="I9614" s="5" t="n">
        <v>273</v>
      </c>
      <c r="J9614" s="5" t="n">
        <v>504</v>
      </c>
      <c r="K9614" s="10">
        <f>IF(F9614&gt;0,H9614/F9614,"")</f>
        <v/>
      </c>
      <c r="L9614" s="16">
        <f>IF(AND(G9614&gt;0,H9614&gt;0),G9614/H9614,"")</f>
        <v/>
      </c>
    </row>
    <row r="9615">
      <c r="A9615" s="4" t="inlineStr">
        <is>
          <t>320</t>
        </is>
      </c>
      <c r="B9615" s="4" t="n">
        <v>3</v>
      </c>
      <c r="C9615" s="4" t="inlineStr">
        <is>
          <t>whitetail</t>
        </is>
      </c>
      <c r="D9615" s="4" t="n">
        <v>2010</v>
      </c>
      <c r="E9615" s="13" t="inlineStr">
        <is>
          <t>General</t>
        </is>
      </c>
      <c r="F9615" s="5" t="n">
        <v>1650</v>
      </c>
      <c r="G9615" s="5" t="n">
        <v>10451</v>
      </c>
      <c r="H9615" s="5" t="n">
        <v>720</v>
      </c>
      <c r="I9615" s="5" t="n">
        <v>298</v>
      </c>
      <c r="J9615" s="5" t="n">
        <v>407</v>
      </c>
      <c r="K9615" s="10">
        <f>IF(F9615&gt;0,H9615/F9615,"")</f>
        <v/>
      </c>
      <c r="L9615" s="16">
        <f>IF(AND(G9615&gt;0,H9615&gt;0),G9615/H9615,"")</f>
        <v/>
      </c>
    </row>
    <row r="9616">
      <c r="A9616" s="4" t="inlineStr">
        <is>
          <t>320</t>
        </is>
      </c>
      <c r="B9616" s="4" t="n">
        <v>3</v>
      </c>
      <c r="C9616" s="4" t="inlineStr">
        <is>
          <t>whitetail</t>
        </is>
      </c>
      <c r="D9616" s="4" t="n">
        <v>2011</v>
      </c>
      <c r="E9616" s="13" t="inlineStr">
        <is>
          <t>General</t>
        </is>
      </c>
      <c r="F9616" s="5" t="n">
        <v>1503</v>
      </c>
      <c r="G9616" s="5" t="n">
        <v>9374</v>
      </c>
      <c r="H9616" s="5" t="n">
        <v>700</v>
      </c>
      <c r="I9616" s="5" t="n">
        <v>256</v>
      </c>
      <c r="J9616" s="5" t="n">
        <v>428</v>
      </c>
      <c r="K9616" s="10">
        <f>IF(F9616&gt;0,H9616/F9616,"")</f>
        <v/>
      </c>
      <c r="L9616" s="16">
        <f>IF(AND(G9616&gt;0,H9616&gt;0),G9616/H9616,"")</f>
        <v/>
      </c>
    </row>
    <row r="9617">
      <c r="A9617" s="4" t="inlineStr">
        <is>
          <t>320</t>
        </is>
      </c>
      <c r="B9617" s="4" t="n">
        <v>3</v>
      </c>
      <c r="C9617" s="4" t="inlineStr">
        <is>
          <t>whitetail</t>
        </is>
      </c>
      <c r="D9617" s="4" t="n">
        <v>2012</v>
      </c>
      <c r="E9617" s="13" t="inlineStr">
        <is>
          <t>General</t>
        </is>
      </c>
      <c r="F9617" s="5" t="n"/>
      <c r="G9617" s="5" t="n"/>
      <c r="H9617" s="5" t="n">
        <v>672</v>
      </c>
      <c r="I9617" s="5" t="n">
        <v>241</v>
      </c>
      <c r="J9617" s="5" t="n">
        <v>423</v>
      </c>
      <c r="K9617" s="10">
        <f>IF(F9617&gt;0,H9617/F9617,"")</f>
        <v/>
      </c>
      <c r="L9617" s="16">
        <f>IF(AND(G9617&gt;0,H9617&gt;0),G9617/H9617,"")</f>
        <v/>
      </c>
    </row>
    <row r="9618">
      <c r="A9618" s="4" t="inlineStr">
        <is>
          <t>320</t>
        </is>
      </c>
      <c r="B9618" s="4" t="n">
        <v>3</v>
      </c>
      <c r="C9618" s="4" t="inlineStr">
        <is>
          <t>whitetail</t>
        </is>
      </c>
      <c r="D9618" s="4" t="n">
        <v>2013</v>
      </c>
      <c r="E9618" s="13" t="inlineStr">
        <is>
          <t>General</t>
        </is>
      </c>
      <c r="F9618" s="5" t="n">
        <v>1356</v>
      </c>
      <c r="G9618" s="5" t="n">
        <v>8219</v>
      </c>
      <c r="H9618" s="5" t="n">
        <v>575</v>
      </c>
      <c r="I9618" s="5" t="n">
        <v>208</v>
      </c>
      <c r="J9618" s="5" t="n">
        <v>363</v>
      </c>
      <c r="K9618" s="10">
        <f>IF(F9618&gt;0,H9618/F9618,"")</f>
        <v/>
      </c>
      <c r="L9618" s="16">
        <f>IF(AND(G9618&gt;0,H9618&gt;0),G9618/H9618,"")</f>
        <v/>
      </c>
    </row>
    <row r="9619">
      <c r="A9619" s="4" t="inlineStr">
        <is>
          <t>320</t>
        </is>
      </c>
      <c r="B9619" s="4" t="n">
        <v>3</v>
      </c>
      <c r="C9619" s="4" t="inlineStr">
        <is>
          <t>whitetail</t>
        </is>
      </c>
      <c r="D9619" s="4" t="n">
        <v>2014</v>
      </c>
      <c r="E9619" s="13" t="inlineStr">
        <is>
          <t>General</t>
        </is>
      </c>
      <c r="F9619" s="5" t="n"/>
      <c r="G9619" s="5" t="n"/>
      <c r="H9619" s="5" t="n">
        <v>593</v>
      </c>
      <c r="I9619" s="5" t="n">
        <v>272</v>
      </c>
      <c r="J9619" s="5" t="n">
        <v>316</v>
      </c>
      <c r="K9619" s="10">
        <f>IF(F9619&gt;0,H9619/F9619,"")</f>
        <v/>
      </c>
      <c r="L9619" s="16">
        <f>IF(AND(G9619&gt;0,H9619&gt;0),G9619/H9619,"")</f>
        <v/>
      </c>
    </row>
    <row r="9620">
      <c r="A9620" s="4" t="inlineStr">
        <is>
          <t>320</t>
        </is>
      </c>
      <c r="B9620" s="4" t="n">
        <v>3</v>
      </c>
      <c r="C9620" s="4" t="inlineStr">
        <is>
          <t>whitetail</t>
        </is>
      </c>
      <c r="D9620" s="4" t="n">
        <v>2015</v>
      </c>
      <c r="E9620" s="13" t="inlineStr">
        <is>
          <t>General</t>
        </is>
      </c>
      <c r="F9620" s="5" t="n"/>
      <c r="G9620" s="5" t="n"/>
      <c r="H9620" s="5" t="n">
        <v>643</v>
      </c>
      <c r="I9620" s="5" t="n">
        <v>241</v>
      </c>
      <c r="J9620" s="5" t="n">
        <v>387</v>
      </c>
      <c r="K9620" s="10">
        <f>IF(F9620&gt;0,H9620/F9620,"")</f>
        <v/>
      </c>
      <c r="L9620" s="16">
        <f>IF(AND(G9620&gt;0,H9620&gt;0),G9620/H9620,"")</f>
        <v/>
      </c>
    </row>
    <row r="9621">
      <c r="A9621" s="4" t="inlineStr">
        <is>
          <t>320</t>
        </is>
      </c>
      <c r="B9621" s="4" t="n">
        <v>3</v>
      </c>
      <c r="C9621" s="4" t="inlineStr">
        <is>
          <t>whitetail</t>
        </is>
      </c>
      <c r="D9621" s="4" t="n">
        <v>2016</v>
      </c>
      <c r="E9621" s="13" t="inlineStr">
        <is>
          <t>General</t>
        </is>
      </c>
      <c r="F9621" s="5" t="n"/>
      <c r="G9621" s="5" t="n"/>
      <c r="H9621" s="5" t="n">
        <v>547</v>
      </c>
      <c r="I9621" s="5" t="n">
        <v>269</v>
      </c>
      <c r="J9621" s="5" t="n">
        <v>274</v>
      </c>
      <c r="K9621" s="10">
        <f>IF(F9621&gt;0,H9621/F9621,"")</f>
        <v/>
      </c>
      <c r="L9621" s="16">
        <f>IF(AND(G9621&gt;0,H9621&gt;0),G9621/H9621,"")</f>
        <v/>
      </c>
    </row>
    <row r="9622">
      <c r="A9622" s="4" t="inlineStr">
        <is>
          <t>320</t>
        </is>
      </c>
      <c r="B9622" s="4" t="n">
        <v>3</v>
      </c>
      <c r="C9622" s="4" t="inlineStr">
        <is>
          <t>whitetail</t>
        </is>
      </c>
      <c r="D9622" s="4" t="n">
        <v>2017</v>
      </c>
      <c r="E9622" s="13" t="inlineStr">
        <is>
          <t>General</t>
        </is>
      </c>
      <c r="F9622" s="5" t="n">
        <v>1490</v>
      </c>
      <c r="G9622" s="5" t="n">
        <v>8156</v>
      </c>
      <c r="H9622" s="5" t="n">
        <v>713</v>
      </c>
      <c r="I9622" s="5" t="n">
        <v>367</v>
      </c>
      <c r="J9622" s="5" t="n">
        <v>343</v>
      </c>
      <c r="K9622" s="10">
        <f>IF(F9622&gt;0,H9622/F9622,"")</f>
        <v/>
      </c>
      <c r="L9622" s="16">
        <f>IF(AND(G9622&gt;0,H9622&gt;0),G9622/H9622,"")</f>
        <v/>
      </c>
    </row>
    <row r="9623">
      <c r="A9623" s="4" t="inlineStr">
        <is>
          <t>320</t>
        </is>
      </c>
      <c r="B9623" s="4" t="n">
        <v>3</v>
      </c>
      <c r="C9623" s="4" t="inlineStr">
        <is>
          <t>whitetail</t>
        </is>
      </c>
      <c r="D9623" s="4" t="n">
        <v>2018</v>
      </c>
      <c r="E9623" s="13" t="inlineStr">
        <is>
          <t>General</t>
        </is>
      </c>
      <c r="F9623" s="5" t="n"/>
      <c r="G9623" s="5" t="n"/>
      <c r="H9623" s="5" t="n">
        <v>654</v>
      </c>
      <c r="I9623" s="5" t="n">
        <v>286</v>
      </c>
      <c r="J9623" s="5" t="n">
        <v>368</v>
      </c>
      <c r="K9623" s="10">
        <f>IF(F9623&gt;0,H9623/F9623,"")</f>
        <v/>
      </c>
      <c r="L9623" s="16">
        <f>IF(AND(G9623&gt;0,H9623&gt;0),G9623/H9623,"")</f>
        <v/>
      </c>
    </row>
    <row r="9624">
      <c r="A9624" s="4" t="inlineStr">
        <is>
          <t>320</t>
        </is>
      </c>
      <c r="B9624" s="4" t="n">
        <v>3</v>
      </c>
      <c r="C9624" s="4" t="inlineStr">
        <is>
          <t>whitetail</t>
        </is>
      </c>
      <c r="D9624" s="4" t="n">
        <v>2019</v>
      </c>
      <c r="E9624" s="13" t="inlineStr">
        <is>
          <t>General</t>
        </is>
      </c>
      <c r="F9624" s="5" t="n">
        <v>1360</v>
      </c>
      <c r="G9624" s="5" t="n">
        <v>8169</v>
      </c>
      <c r="H9624" s="5" t="n">
        <v>547</v>
      </c>
      <c r="I9624" s="5" t="n">
        <v>305</v>
      </c>
      <c r="J9624" s="5" t="n">
        <v>243</v>
      </c>
      <c r="K9624" s="10">
        <f>IF(F9624&gt;0,H9624/F9624,"")</f>
        <v/>
      </c>
      <c r="L9624" s="16">
        <f>IF(AND(G9624&gt;0,H9624&gt;0),G9624/H9624,"")</f>
        <v/>
      </c>
    </row>
    <row r="9625">
      <c r="A9625" s="4" t="inlineStr">
        <is>
          <t>320</t>
        </is>
      </c>
      <c r="B9625" s="4" t="n">
        <v>3</v>
      </c>
      <c r="C9625" s="4" t="inlineStr">
        <is>
          <t>whitetail</t>
        </is>
      </c>
      <c r="D9625" s="4" t="n">
        <v>2020</v>
      </c>
      <c r="E9625" s="13" t="inlineStr">
        <is>
          <t>General</t>
        </is>
      </c>
      <c r="F9625" s="5" t="n"/>
      <c r="G9625" s="5" t="n"/>
      <c r="H9625" s="5" t="n">
        <v>623</v>
      </c>
      <c r="I9625" s="5" t="n">
        <v>268</v>
      </c>
      <c r="J9625" s="5" t="n">
        <v>351</v>
      </c>
      <c r="K9625" s="10">
        <f>IF(F9625&gt;0,H9625/F9625,"")</f>
        <v/>
      </c>
      <c r="L9625" s="16">
        <f>IF(AND(G9625&gt;0,H9625&gt;0),G9625/H9625,"")</f>
        <v/>
      </c>
    </row>
    <row r="9626">
      <c r="A9626" s="4" t="inlineStr">
        <is>
          <t>320</t>
        </is>
      </c>
      <c r="B9626" s="4" t="n">
        <v>3</v>
      </c>
      <c r="C9626" s="4" t="inlineStr">
        <is>
          <t>whitetail</t>
        </is>
      </c>
      <c r="D9626" s="4" t="n">
        <v>2021</v>
      </c>
      <c r="E9626" s="13" t="inlineStr">
        <is>
          <t>General</t>
        </is>
      </c>
      <c r="F9626" s="5" t="n">
        <v>1490</v>
      </c>
      <c r="G9626" s="5" t="n">
        <v>8870</v>
      </c>
      <c r="H9626" s="5" t="n">
        <v>552</v>
      </c>
      <c r="I9626" s="5" t="n">
        <v>272</v>
      </c>
      <c r="J9626" s="5" t="n">
        <v>280</v>
      </c>
      <c r="K9626" s="10">
        <f>IF(F9626&gt;0,H9626/F9626,"")</f>
        <v/>
      </c>
      <c r="L9626" s="16">
        <f>IF(AND(G9626&gt;0,H9626&gt;0),G9626/H9626,"")</f>
        <v/>
      </c>
    </row>
    <row r="9627">
      <c r="A9627" s="4" t="inlineStr">
        <is>
          <t>320</t>
        </is>
      </c>
      <c r="B9627" s="4" t="n">
        <v>3</v>
      </c>
      <c r="C9627" s="4" t="inlineStr">
        <is>
          <t>whitetail</t>
        </is>
      </c>
      <c r="D9627" s="4" t="n">
        <v>2022</v>
      </c>
      <c r="E9627" s="13" t="inlineStr">
        <is>
          <t>General</t>
        </is>
      </c>
      <c r="F9627" s="5" t="n"/>
      <c r="G9627" s="5" t="n"/>
      <c r="H9627" s="5" t="n">
        <v>921</v>
      </c>
      <c r="I9627" s="5" t="n">
        <v>462</v>
      </c>
      <c r="J9627" s="5" t="n">
        <v>443</v>
      </c>
      <c r="K9627" s="10">
        <f>IF(F9627&gt;0,H9627/F9627,"")</f>
        <v/>
      </c>
      <c r="L9627" s="16">
        <f>IF(AND(G9627&gt;0,H9627&gt;0),G9627/H9627,"")</f>
        <v/>
      </c>
    </row>
    <row r="9628">
      <c r="A9628" s="4" t="inlineStr">
        <is>
          <t>320</t>
        </is>
      </c>
      <c r="B9628" s="4" t="n">
        <v>3</v>
      </c>
      <c r="C9628" s="4" t="inlineStr">
        <is>
          <t>whitetail</t>
        </is>
      </c>
      <c r="D9628" s="4" t="n">
        <v>2023</v>
      </c>
      <c r="E9628" s="13" t="inlineStr">
        <is>
          <t>General</t>
        </is>
      </c>
      <c r="F9628" s="5" t="n">
        <v>2647</v>
      </c>
      <c r="G9628" s="5" t="n">
        <v>17361</v>
      </c>
      <c r="H9628" s="5" t="n">
        <v>829</v>
      </c>
      <c r="I9628" s="5" t="n">
        <v>423</v>
      </c>
      <c r="J9628" s="5" t="n">
        <v>387</v>
      </c>
      <c r="K9628" s="10">
        <f>IF(F9628&gt;0,H9628/F9628,"")</f>
        <v/>
      </c>
      <c r="L9628" s="16">
        <f>IF(AND(G9628&gt;0,H9628&gt;0),G9628/H9628,"")</f>
        <v/>
      </c>
    </row>
    <row r="9629">
      <c r="A9629" s="4" t="inlineStr">
        <is>
          <t>320</t>
        </is>
      </c>
      <c r="B9629" s="4" t="n">
        <v>3</v>
      </c>
      <c r="C9629" s="4" t="inlineStr">
        <is>
          <t>whitetail</t>
        </is>
      </c>
      <c r="D9629" s="4" t="n">
        <v>2024</v>
      </c>
      <c r="E9629" s="13" t="inlineStr">
        <is>
          <t>General</t>
        </is>
      </c>
      <c r="F9629" s="5" t="n"/>
      <c r="G9629" s="5" t="n"/>
      <c r="H9629" s="5" t="n">
        <v>997</v>
      </c>
      <c r="I9629" s="5" t="n">
        <v>490</v>
      </c>
      <c r="J9629" s="5" t="n">
        <v>497</v>
      </c>
      <c r="K9629" s="10">
        <f>IF(F9629&gt;0,H9629/F9629,"")</f>
        <v/>
      </c>
      <c r="L9629" s="16">
        <f>IF(AND(G9629&gt;0,H9629&gt;0),G9629/H9629,"")</f>
        <v/>
      </c>
    </row>
    <row r="9630">
      <c r="A9630" s="4" t="inlineStr">
        <is>
          <t>320</t>
        </is>
      </c>
      <c r="B9630" s="4" t="n">
        <v>3</v>
      </c>
      <c r="C9630" s="4" t="inlineStr">
        <is>
          <t>whitetail</t>
        </is>
      </c>
      <c r="D9630" s="4" t="n">
        <v>2025</v>
      </c>
      <c r="E9630" s="13" t="inlineStr">
        <is>
          <t>General</t>
        </is>
      </c>
      <c r="F9630" s="5" t="n">
        <v>2611</v>
      </c>
      <c r="G9630" s="5" t="n">
        <v>16728</v>
      </c>
      <c r="H9630" s="5" t="n">
        <v>909</v>
      </c>
      <c r="I9630" s="5" t="n">
        <v>392</v>
      </c>
      <c r="J9630" s="5" t="n">
        <v>499</v>
      </c>
      <c r="K9630" s="10">
        <f>IF(F9630&gt;0,H9630/F9630,"")</f>
        <v/>
      </c>
      <c r="L9630" s="16">
        <f>IF(AND(G9630&gt;0,H9630&gt;0),G9630/H9630,"")</f>
        <v/>
      </c>
    </row>
    <row r="9631">
      <c r="A9631" s="4" t="inlineStr">
        <is>
          <t>321</t>
        </is>
      </c>
      <c r="B9631" s="4" t="n">
        <v>3</v>
      </c>
      <c r="C9631" s="4" t="inlineStr">
        <is>
          <t>whitetail</t>
        </is>
      </c>
      <c r="D9631" s="4" t="n">
        <v>2004</v>
      </c>
      <c r="E9631" s="13" t="inlineStr">
        <is>
          <t>General</t>
        </is>
      </c>
      <c r="F9631" s="5" t="n">
        <v>638</v>
      </c>
      <c r="G9631" s="5" t="n">
        <v>3781</v>
      </c>
      <c r="H9631" s="5" t="n">
        <v>28</v>
      </c>
      <c r="I9631" s="5" t="n">
        <v>13</v>
      </c>
      <c r="J9631" s="5" t="n">
        <v>14</v>
      </c>
      <c r="K9631" s="10">
        <f>IF(F9631&gt;0,H9631/F9631,"")</f>
        <v/>
      </c>
      <c r="L9631" s="16">
        <f>IF(AND(G9631&gt;0,H9631&gt;0),G9631/H9631,"")</f>
        <v/>
      </c>
    </row>
    <row r="9632">
      <c r="A9632" s="4" t="inlineStr">
        <is>
          <t>321</t>
        </is>
      </c>
      <c r="B9632" s="4" t="n">
        <v>3</v>
      </c>
      <c r="C9632" s="4" t="inlineStr">
        <is>
          <t>whitetail</t>
        </is>
      </c>
      <c r="D9632" s="4" t="n">
        <v>2005</v>
      </c>
      <c r="E9632" s="13" t="inlineStr">
        <is>
          <t>General</t>
        </is>
      </c>
      <c r="F9632" s="5" t="n">
        <v>537</v>
      </c>
      <c r="G9632" s="5" t="n">
        <v>3746</v>
      </c>
      <c r="H9632" s="5" t="n">
        <v>37</v>
      </c>
      <c r="I9632" s="5" t="n">
        <v>18</v>
      </c>
      <c r="J9632" s="5" t="n">
        <v>18</v>
      </c>
      <c r="K9632" s="10">
        <f>IF(F9632&gt;0,H9632/F9632,"")</f>
        <v/>
      </c>
      <c r="L9632" s="16">
        <f>IF(AND(G9632&gt;0,H9632&gt;0),G9632/H9632,"")</f>
        <v/>
      </c>
    </row>
    <row r="9633">
      <c r="A9633" s="4" t="inlineStr">
        <is>
          <t>321</t>
        </is>
      </c>
      <c r="B9633" s="4" t="n">
        <v>3</v>
      </c>
      <c r="C9633" s="4" t="inlineStr">
        <is>
          <t>whitetail</t>
        </is>
      </c>
      <c r="D9633" s="4" t="n">
        <v>2006</v>
      </c>
      <c r="E9633" s="13" t="inlineStr">
        <is>
          <t>General</t>
        </is>
      </c>
      <c r="F9633" s="5" t="n">
        <v>508</v>
      </c>
      <c r="G9633" s="5" t="n">
        <v>3302</v>
      </c>
      <c r="H9633" s="5" t="n">
        <v>35</v>
      </c>
      <c r="I9633" s="5" t="n">
        <v>15</v>
      </c>
      <c r="J9633" s="5" t="n">
        <v>20</v>
      </c>
      <c r="K9633" s="10">
        <f>IF(F9633&gt;0,H9633/F9633,"")</f>
        <v/>
      </c>
      <c r="L9633" s="16">
        <f>IF(AND(G9633&gt;0,H9633&gt;0),G9633/H9633,"")</f>
        <v/>
      </c>
    </row>
    <row r="9634">
      <c r="A9634" s="4" t="inlineStr">
        <is>
          <t>321</t>
        </is>
      </c>
      <c r="B9634" s="4" t="n">
        <v>3</v>
      </c>
      <c r="C9634" s="4" t="inlineStr">
        <is>
          <t>whitetail</t>
        </is>
      </c>
      <c r="D9634" s="4" t="n">
        <v>2007</v>
      </c>
      <c r="E9634" s="13" t="inlineStr">
        <is>
          <t>General</t>
        </is>
      </c>
      <c r="F9634" s="5" t="n">
        <v>570</v>
      </c>
      <c r="G9634" s="5" t="n">
        <v>3618</v>
      </c>
      <c r="H9634" s="5" t="n">
        <v>33</v>
      </c>
      <c r="I9634" s="5" t="n">
        <v>17</v>
      </c>
      <c r="J9634" s="5" t="n">
        <v>15</v>
      </c>
      <c r="K9634" s="10">
        <f>IF(F9634&gt;0,H9634/F9634,"")</f>
        <v/>
      </c>
      <c r="L9634" s="16">
        <f>IF(AND(G9634&gt;0,H9634&gt;0),G9634/H9634,"")</f>
        <v/>
      </c>
    </row>
    <row r="9635">
      <c r="A9635" s="4" t="inlineStr">
        <is>
          <t>321</t>
        </is>
      </c>
      <c r="B9635" s="4" t="n">
        <v>3</v>
      </c>
      <c r="C9635" s="4" t="inlineStr">
        <is>
          <t>whitetail</t>
        </is>
      </c>
      <c r="D9635" s="4" t="n">
        <v>2008</v>
      </c>
      <c r="E9635" s="13" t="inlineStr">
        <is>
          <t>General</t>
        </is>
      </c>
      <c r="F9635" s="5" t="n">
        <v>602</v>
      </c>
      <c r="G9635" s="5" t="n">
        <v>3438</v>
      </c>
      <c r="H9635" s="5" t="n">
        <v>48</v>
      </c>
      <c r="I9635" s="5" t="n">
        <v>12</v>
      </c>
      <c r="J9635" s="5" t="n">
        <v>37</v>
      </c>
      <c r="K9635" s="10">
        <f>IF(F9635&gt;0,H9635/F9635,"")</f>
        <v/>
      </c>
      <c r="L9635" s="16">
        <f>IF(AND(G9635&gt;0,H9635&gt;0),G9635/H9635,"")</f>
        <v/>
      </c>
    </row>
    <row r="9636">
      <c r="A9636" s="4" t="inlineStr">
        <is>
          <t>321</t>
        </is>
      </c>
      <c r="B9636" s="4" t="n">
        <v>3</v>
      </c>
      <c r="C9636" s="4" t="inlineStr">
        <is>
          <t>whitetail</t>
        </is>
      </c>
      <c r="D9636" s="4" t="n">
        <v>2009</v>
      </c>
      <c r="E9636" s="13" t="inlineStr">
        <is>
          <t>General</t>
        </is>
      </c>
      <c r="F9636" s="5" t="n">
        <v>698</v>
      </c>
      <c r="G9636" s="5" t="n">
        <v>4522</v>
      </c>
      <c r="H9636" s="5" t="n">
        <v>69</v>
      </c>
      <c r="I9636" s="5" t="n">
        <v>33</v>
      </c>
      <c r="J9636" s="5" t="n">
        <v>37</v>
      </c>
      <c r="K9636" s="10">
        <f>IF(F9636&gt;0,H9636/F9636,"")</f>
        <v/>
      </c>
      <c r="L9636" s="16">
        <f>IF(AND(G9636&gt;0,H9636&gt;0),G9636/H9636,"")</f>
        <v/>
      </c>
    </row>
    <row r="9637">
      <c r="A9637" s="4" t="inlineStr">
        <is>
          <t>321</t>
        </is>
      </c>
      <c r="B9637" s="4" t="n">
        <v>3</v>
      </c>
      <c r="C9637" s="4" t="inlineStr">
        <is>
          <t>whitetail</t>
        </is>
      </c>
      <c r="D9637" s="4" t="n">
        <v>2010</v>
      </c>
      <c r="E9637" s="13" t="inlineStr">
        <is>
          <t>General</t>
        </is>
      </c>
      <c r="F9637" s="5" t="n">
        <v>518</v>
      </c>
      <c r="G9637" s="5" t="n">
        <v>3205</v>
      </c>
      <c r="H9637" s="5" t="n">
        <v>37</v>
      </c>
      <c r="I9637" s="5" t="n">
        <v>11</v>
      </c>
      <c r="J9637" s="5" t="n">
        <v>23</v>
      </c>
      <c r="K9637" s="10">
        <f>IF(F9637&gt;0,H9637/F9637,"")</f>
        <v/>
      </c>
      <c r="L9637" s="16">
        <f>IF(AND(G9637&gt;0,H9637&gt;0),G9637/H9637,"")</f>
        <v/>
      </c>
    </row>
    <row r="9638">
      <c r="A9638" s="4" t="inlineStr">
        <is>
          <t>321</t>
        </is>
      </c>
      <c r="B9638" s="4" t="n">
        <v>3</v>
      </c>
      <c r="C9638" s="4" t="inlineStr">
        <is>
          <t>whitetail</t>
        </is>
      </c>
      <c r="D9638" s="4" t="n">
        <v>2011</v>
      </c>
      <c r="E9638" s="13" t="inlineStr">
        <is>
          <t>General</t>
        </is>
      </c>
      <c r="F9638" s="5" t="n">
        <v>609</v>
      </c>
      <c r="G9638" s="5" t="n">
        <v>3715</v>
      </c>
      <c r="H9638" s="5" t="n">
        <v>11</v>
      </c>
      <c r="I9638" s="5" t="n">
        <v>8</v>
      </c>
      <c r="J9638" s="5" t="n">
        <v>0</v>
      </c>
      <c r="K9638" s="10">
        <f>IF(F9638&gt;0,H9638/F9638,"")</f>
        <v/>
      </c>
      <c r="L9638" s="16">
        <f>IF(AND(G9638&gt;0,H9638&gt;0),G9638/H9638,"")</f>
        <v/>
      </c>
    </row>
    <row r="9639">
      <c r="A9639" s="4" t="inlineStr">
        <is>
          <t>321</t>
        </is>
      </c>
      <c r="B9639" s="4" t="n">
        <v>3</v>
      </c>
      <c r="C9639" s="4" t="inlineStr">
        <is>
          <t>whitetail</t>
        </is>
      </c>
      <c r="D9639" s="4" t="n">
        <v>2012</v>
      </c>
      <c r="E9639" s="13" t="inlineStr">
        <is>
          <t>General</t>
        </is>
      </c>
      <c r="F9639" s="5" t="n"/>
      <c r="G9639" s="5" t="n"/>
      <c r="H9639" s="5" t="n">
        <v>33</v>
      </c>
      <c r="I9639" s="5" t="n">
        <v>11</v>
      </c>
      <c r="J9639" s="5" t="n">
        <v>21</v>
      </c>
      <c r="K9639" s="10">
        <f>IF(F9639&gt;0,H9639/F9639,"")</f>
        <v/>
      </c>
      <c r="L9639" s="16">
        <f>IF(AND(G9639&gt;0,H9639&gt;0),G9639/H9639,"")</f>
        <v/>
      </c>
    </row>
    <row r="9640">
      <c r="A9640" s="4" t="inlineStr">
        <is>
          <t>321</t>
        </is>
      </c>
      <c r="B9640" s="4" t="n">
        <v>3</v>
      </c>
      <c r="C9640" s="4" t="inlineStr">
        <is>
          <t>whitetail</t>
        </is>
      </c>
      <c r="D9640" s="4" t="n">
        <v>2013</v>
      </c>
      <c r="E9640" s="13" t="inlineStr">
        <is>
          <t>General</t>
        </is>
      </c>
      <c r="F9640" s="5" t="n">
        <v>491</v>
      </c>
      <c r="G9640" s="5" t="n">
        <v>2828</v>
      </c>
      <c r="H9640" s="5" t="n">
        <v>25</v>
      </c>
      <c r="I9640" s="5" t="n">
        <v>6</v>
      </c>
      <c r="J9640" s="5" t="n">
        <v>12</v>
      </c>
      <c r="K9640" s="10">
        <f>IF(F9640&gt;0,H9640/F9640,"")</f>
        <v/>
      </c>
      <c r="L9640" s="16">
        <f>IF(AND(G9640&gt;0,H9640&gt;0),G9640/H9640,"")</f>
        <v/>
      </c>
    </row>
    <row r="9641">
      <c r="A9641" s="4" t="inlineStr">
        <is>
          <t>321</t>
        </is>
      </c>
      <c r="B9641" s="4" t="n">
        <v>3</v>
      </c>
      <c r="C9641" s="4" t="inlineStr">
        <is>
          <t>whitetail</t>
        </is>
      </c>
      <c r="D9641" s="4" t="n">
        <v>2014</v>
      </c>
      <c r="E9641" s="13" t="inlineStr">
        <is>
          <t>General</t>
        </is>
      </c>
      <c r="F9641" s="5" t="n"/>
      <c r="G9641" s="5" t="n"/>
      <c r="H9641" s="5" t="n">
        <v>20</v>
      </c>
      <c r="I9641" s="5" t="n">
        <v>14</v>
      </c>
      <c r="J9641" s="5" t="n">
        <v>6</v>
      </c>
      <c r="K9641" s="10">
        <f>IF(F9641&gt;0,H9641/F9641,"")</f>
        <v/>
      </c>
      <c r="L9641" s="16">
        <f>IF(AND(G9641&gt;0,H9641&gt;0),G9641/H9641,"")</f>
        <v/>
      </c>
    </row>
    <row r="9642">
      <c r="A9642" s="4" t="inlineStr">
        <is>
          <t>321</t>
        </is>
      </c>
      <c r="B9642" s="4" t="n">
        <v>3</v>
      </c>
      <c r="C9642" s="4" t="inlineStr">
        <is>
          <t>whitetail</t>
        </is>
      </c>
      <c r="D9642" s="4" t="n">
        <v>2015</v>
      </c>
      <c r="E9642" s="13" t="inlineStr">
        <is>
          <t>General</t>
        </is>
      </c>
      <c r="F9642" s="5" t="n"/>
      <c r="G9642" s="5" t="n"/>
      <c r="H9642" s="5" t="n">
        <v>49</v>
      </c>
      <c r="I9642" s="5" t="n">
        <v>25</v>
      </c>
      <c r="J9642" s="5" t="n">
        <v>24</v>
      </c>
      <c r="K9642" s="10">
        <f>IF(F9642&gt;0,H9642/F9642,"")</f>
        <v/>
      </c>
      <c r="L9642" s="16">
        <f>IF(AND(G9642&gt;0,H9642&gt;0),G9642/H9642,"")</f>
        <v/>
      </c>
    </row>
    <row r="9643">
      <c r="A9643" s="4" t="inlineStr">
        <is>
          <t>321</t>
        </is>
      </c>
      <c r="B9643" s="4" t="n">
        <v>3</v>
      </c>
      <c r="C9643" s="4" t="inlineStr">
        <is>
          <t>whitetail</t>
        </is>
      </c>
      <c r="D9643" s="4" t="n">
        <v>2016</v>
      </c>
      <c r="E9643" s="13" t="inlineStr">
        <is>
          <t>General</t>
        </is>
      </c>
      <c r="F9643" s="5" t="n"/>
      <c r="G9643" s="5" t="n"/>
      <c r="H9643" s="5" t="n">
        <v>53</v>
      </c>
      <c r="I9643" s="5" t="n">
        <v>18</v>
      </c>
      <c r="J9643" s="5" t="n">
        <v>35</v>
      </c>
      <c r="K9643" s="10">
        <f>IF(F9643&gt;0,H9643/F9643,"")</f>
        <v/>
      </c>
      <c r="L9643" s="16">
        <f>IF(AND(G9643&gt;0,H9643&gt;0),G9643/H9643,"")</f>
        <v/>
      </c>
    </row>
    <row r="9644">
      <c r="A9644" s="4" t="inlineStr">
        <is>
          <t>321</t>
        </is>
      </c>
      <c r="B9644" s="4" t="n">
        <v>3</v>
      </c>
      <c r="C9644" s="4" t="inlineStr">
        <is>
          <t>whitetail</t>
        </is>
      </c>
      <c r="D9644" s="4" t="n">
        <v>2017</v>
      </c>
      <c r="E9644" s="13" t="inlineStr">
        <is>
          <t>General</t>
        </is>
      </c>
      <c r="F9644" s="5" t="n">
        <v>451</v>
      </c>
      <c r="G9644" s="5" t="n">
        <v>2818</v>
      </c>
      <c r="H9644" s="5" t="n">
        <v>54</v>
      </c>
      <c r="I9644" s="5" t="n">
        <v>34</v>
      </c>
      <c r="J9644" s="5" t="n">
        <v>21</v>
      </c>
      <c r="K9644" s="10">
        <f>IF(F9644&gt;0,H9644/F9644,"")</f>
        <v/>
      </c>
      <c r="L9644" s="16">
        <f>IF(AND(G9644&gt;0,H9644&gt;0),G9644/H9644,"")</f>
        <v/>
      </c>
    </row>
    <row r="9645">
      <c r="A9645" s="4" t="inlineStr">
        <is>
          <t>321</t>
        </is>
      </c>
      <c r="B9645" s="4" t="n">
        <v>3</v>
      </c>
      <c r="C9645" s="4" t="inlineStr">
        <is>
          <t>whitetail</t>
        </is>
      </c>
      <c r="D9645" s="4" t="n">
        <v>2018</v>
      </c>
      <c r="E9645" s="13" t="inlineStr">
        <is>
          <t>General</t>
        </is>
      </c>
      <c r="F9645" s="5" t="n"/>
      <c r="G9645" s="5" t="n"/>
      <c r="H9645" s="5" t="n">
        <v>29</v>
      </c>
      <c r="I9645" s="5" t="n">
        <v>13</v>
      </c>
      <c r="J9645" s="5" t="n">
        <v>16</v>
      </c>
      <c r="K9645" s="10">
        <f>IF(F9645&gt;0,H9645/F9645,"")</f>
        <v/>
      </c>
      <c r="L9645" s="16">
        <f>IF(AND(G9645&gt;0,H9645&gt;0),G9645/H9645,"")</f>
        <v/>
      </c>
    </row>
    <row r="9646">
      <c r="A9646" s="4" t="inlineStr">
        <is>
          <t>321</t>
        </is>
      </c>
      <c r="B9646" s="4" t="n">
        <v>3</v>
      </c>
      <c r="C9646" s="4" t="inlineStr">
        <is>
          <t>whitetail</t>
        </is>
      </c>
      <c r="D9646" s="4" t="n">
        <v>2019</v>
      </c>
      <c r="E9646" s="13" t="inlineStr">
        <is>
          <t>General</t>
        </is>
      </c>
      <c r="F9646" s="5" t="n">
        <v>391</v>
      </c>
      <c r="G9646" s="5" t="n">
        <v>2434</v>
      </c>
      <c r="H9646" s="5" t="n">
        <v>48</v>
      </c>
      <c r="I9646" s="5" t="n">
        <v>33</v>
      </c>
      <c r="J9646" s="5" t="n">
        <v>15</v>
      </c>
      <c r="K9646" s="10">
        <f>IF(F9646&gt;0,H9646/F9646,"")</f>
        <v/>
      </c>
      <c r="L9646" s="16">
        <f>IF(AND(G9646&gt;0,H9646&gt;0),G9646/H9646,"")</f>
        <v/>
      </c>
    </row>
    <row r="9647">
      <c r="A9647" s="4" t="inlineStr">
        <is>
          <t>321</t>
        </is>
      </c>
      <c r="B9647" s="4" t="n">
        <v>3</v>
      </c>
      <c r="C9647" s="4" t="inlineStr">
        <is>
          <t>whitetail</t>
        </is>
      </c>
      <c r="D9647" s="4" t="n">
        <v>2020</v>
      </c>
      <c r="E9647" s="13" t="inlineStr">
        <is>
          <t>General</t>
        </is>
      </c>
      <c r="F9647" s="5" t="n"/>
      <c r="G9647" s="5" t="n"/>
      <c r="H9647" s="5" t="n">
        <v>22</v>
      </c>
      <c r="I9647" s="5" t="n">
        <v>19</v>
      </c>
      <c r="J9647" s="5" t="n">
        <v>3</v>
      </c>
      <c r="K9647" s="10">
        <f>IF(F9647&gt;0,H9647/F9647,"")</f>
        <v/>
      </c>
      <c r="L9647" s="16">
        <f>IF(AND(G9647&gt;0,H9647&gt;0),G9647/H9647,"")</f>
        <v/>
      </c>
    </row>
    <row r="9648">
      <c r="A9648" s="4" t="inlineStr">
        <is>
          <t>321</t>
        </is>
      </c>
      <c r="B9648" s="4" t="n">
        <v>3</v>
      </c>
      <c r="C9648" s="4" t="inlineStr">
        <is>
          <t>whitetail</t>
        </is>
      </c>
      <c r="D9648" s="4" t="n">
        <v>2021</v>
      </c>
      <c r="E9648" s="13" t="inlineStr">
        <is>
          <t>General</t>
        </is>
      </c>
      <c r="F9648" s="5" t="n">
        <v>502</v>
      </c>
      <c r="G9648" s="5" t="n">
        <v>3264</v>
      </c>
      <c r="H9648" s="5" t="n">
        <v>41</v>
      </c>
      <c r="I9648" s="5" t="n">
        <v>32</v>
      </c>
      <c r="J9648" s="5" t="n">
        <v>9</v>
      </c>
      <c r="K9648" s="10">
        <f>IF(F9648&gt;0,H9648/F9648,"")</f>
        <v/>
      </c>
      <c r="L9648" s="16">
        <f>IF(AND(G9648&gt;0,H9648&gt;0),G9648/H9648,"")</f>
        <v/>
      </c>
    </row>
    <row r="9649">
      <c r="A9649" s="4" t="inlineStr">
        <is>
          <t>321</t>
        </is>
      </c>
      <c r="B9649" s="4" t="n">
        <v>3</v>
      </c>
      <c r="C9649" s="4" t="inlineStr">
        <is>
          <t>whitetail</t>
        </is>
      </c>
      <c r="D9649" s="4" t="n">
        <v>2022</v>
      </c>
      <c r="E9649" s="13" t="inlineStr">
        <is>
          <t>General</t>
        </is>
      </c>
      <c r="F9649" s="5" t="n"/>
      <c r="G9649" s="5" t="n"/>
      <c r="H9649" s="5" t="n">
        <v>40</v>
      </c>
      <c r="I9649" s="5" t="n">
        <v>22</v>
      </c>
      <c r="J9649" s="5" t="n">
        <v>18</v>
      </c>
      <c r="K9649" s="10">
        <f>IF(F9649&gt;0,H9649/F9649,"")</f>
        <v/>
      </c>
      <c r="L9649" s="16">
        <f>IF(AND(G9649&gt;0,H9649&gt;0),G9649/H9649,"")</f>
        <v/>
      </c>
    </row>
    <row r="9650">
      <c r="A9650" s="4" t="inlineStr">
        <is>
          <t>321</t>
        </is>
      </c>
      <c r="B9650" s="4" t="n">
        <v>3</v>
      </c>
      <c r="C9650" s="4" t="inlineStr">
        <is>
          <t>whitetail</t>
        </is>
      </c>
      <c r="D9650" s="4" t="n">
        <v>2023</v>
      </c>
      <c r="E9650" s="13" t="inlineStr">
        <is>
          <t>General</t>
        </is>
      </c>
      <c r="F9650" s="5" t="n">
        <v>1005</v>
      </c>
      <c r="G9650" s="5" t="n">
        <v>7465</v>
      </c>
      <c r="H9650" s="5" t="n">
        <v>81</v>
      </c>
      <c r="I9650" s="5" t="n">
        <v>39</v>
      </c>
      <c r="J9650" s="5" t="n">
        <v>41</v>
      </c>
      <c r="K9650" s="10">
        <f>IF(F9650&gt;0,H9650/F9650,"")</f>
        <v/>
      </c>
      <c r="L9650" s="16">
        <f>IF(AND(G9650&gt;0,H9650&gt;0),G9650/H9650,"")</f>
        <v/>
      </c>
    </row>
    <row r="9651">
      <c r="A9651" s="4" t="inlineStr">
        <is>
          <t>321</t>
        </is>
      </c>
      <c r="B9651" s="4" t="n">
        <v>3</v>
      </c>
      <c r="C9651" s="4" t="inlineStr">
        <is>
          <t>whitetail</t>
        </is>
      </c>
      <c r="D9651" s="4" t="n">
        <v>2024</v>
      </c>
      <c r="E9651" s="13" t="inlineStr">
        <is>
          <t>General</t>
        </is>
      </c>
      <c r="F9651" s="5" t="n"/>
      <c r="G9651" s="5" t="n"/>
      <c r="H9651" s="5" t="n">
        <v>45</v>
      </c>
      <c r="I9651" s="5" t="n">
        <v>21</v>
      </c>
      <c r="J9651" s="5" t="n">
        <v>24</v>
      </c>
      <c r="K9651" s="10">
        <f>IF(F9651&gt;0,H9651/F9651,"")</f>
        <v/>
      </c>
      <c r="L9651" s="16">
        <f>IF(AND(G9651&gt;0,H9651&gt;0),G9651/H9651,"")</f>
        <v/>
      </c>
    </row>
    <row r="9652">
      <c r="A9652" s="4" t="inlineStr">
        <is>
          <t>321</t>
        </is>
      </c>
      <c r="B9652" s="4" t="n">
        <v>3</v>
      </c>
      <c r="C9652" s="4" t="inlineStr">
        <is>
          <t>whitetail</t>
        </is>
      </c>
      <c r="D9652" s="4" t="n">
        <v>2025</v>
      </c>
      <c r="E9652" s="13" t="inlineStr">
        <is>
          <t>General</t>
        </is>
      </c>
      <c r="F9652" s="5" t="n">
        <v>1088</v>
      </c>
      <c r="G9652" s="5" t="n">
        <v>7254</v>
      </c>
      <c r="H9652" s="5" t="n">
        <v>50</v>
      </c>
      <c r="I9652" s="5" t="n">
        <v>32</v>
      </c>
      <c r="J9652" s="5" t="n">
        <v>17</v>
      </c>
      <c r="K9652" s="10">
        <f>IF(F9652&gt;0,H9652/F9652,"")</f>
        <v/>
      </c>
      <c r="L9652" s="16">
        <f>IF(AND(G9652&gt;0,H9652&gt;0),G9652/H9652,"")</f>
        <v/>
      </c>
    </row>
    <row r="9653">
      <c r="A9653" s="4" t="inlineStr">
        <is>
          <t>322</t>
        </is>
      </c>
      <c r="B9653" s="4" t="n">
        <v>3</v>
      </c>
      <c r="C9653" s="4" t="inlineStr">
        <is>
          <t>whitetail</t>
        </is>
      </c>
      <c r="D9653" s="4" t="n">
        <v>2004</v>
      </c>
      <c r="E9653" s="13" t="inlineStr">
        <is>
          <t>General</t>
        </is>
      </c>
      <c r="F9653" s="5" t="n">
        <v>1257</v>
      </c>
      <c r="G9653" s="5" t="n">
        <v>5394</v>
      </c>
      <c r="H9653" s="5" t="n">
        <v>1010</v>
      </c>
      <c r="I9653" s="5" t="n">
        <v>291</v>
      </c>
      <c r="J9653" s="5" t="n">
        <v>690</v>
      </c>
      <c r="K9653" s="10">
        <f>IF(F9653&gt;0,H9653/F9653,"")</f>
        <v/>
      </c>
      <c r="L9653" s="16">
        <f>IF(AND(G9653&gt;0,H9653&gt;0),G9653/H9653,"")</f>
        <v/>
      </c>
    </row>
    <row r="9654">
      <c r="A9654" s="4" t="inlineStr">
        <is>
          <t>322</t>
        </is>
      </c>
      <c r="B9654" s="4" t="n">
        <v>3</v>
      </c>
      <c r="C9654" s="4" t="inlineStr">
        <is>
          <t>whitetail</t>
        </is>
      </c>
      <c r="D9654" s="4" t="n">
        <v>2005</v>
      </c>
      <c r="E9654" s="13" t="inlineStr">
        <is>
          <t>General</t>
        </is>
      </c>
      <c r="F9654" s="5" t="n">
        <v>1458</v>
      </c>
      <c r="G9654" s="5" t="n">
        <v>6964</v>
      </c>
      <c r="H9654" s="5" t="n">
        <v>1020</v>
      </c>
      <c r="I9654" s="5" t="n">
        <v>331</v>
      </c>
      <c r="J9654" s="5" t="n">
        <v>659</v>
      </c>
      <c r="K9654" s="10">
        <f>IF(F9654&gt;0,H9654/F9654,"")</f>
        <v/>
      </c>
      <c r="L9654" s="16">
        <f>IF(AND(G9654&gt;0,H9654&gt;0),G9654/H9654,"")</f>
        <v/>
      </c>
    </row>
    <row r="9655">
      <c r="A9655" s="4" t="inlineStr">
        <is>
          <t>322</t>
        </is>
      </c>
      <c r="B9655" s="4" t="n">
        <v>3</v>
      </c>
      <c r="C9655" s="4" t="inlineStr">
        <is>
          <t>whitetail</t>
        </is>
      </c>
      <c r="D9655" s="4" t="n">
        <v>2006</v>
      </c>
      <c r="E9655" s="13" t="inlineStr">
        <is>
          <t>General</t>
        </is>
      </c>
      <c r="F9655" s="5" t="n">
        <v>1274</v>
      </c>
      <c r="G9655" s="5" t="n">
        <v>6454</v>
      </c>
      <c r="H9655" s="5" t="n">
        <v>1172</v>
      </c>
      <c r="I9655" s="5" t="n">
        <v>453</v>
      </c>
      <c r="J9655" s="5" t="n">
        <v>691</v>
      </c>
      <c r="K9655" s="10">
        <f>IF(F9655&gt;0,H9655/F9655,"")</f>
        <v/>
      </c>
      <c r="L9655" s="16">
        <f>IF(AND(G9655&gt;0,H9655&gt;0),G9655/H9655,"")</f>
        <v/>
      </c>
    </row>
    <row r="9656">
      <c r="A9656" s="4" t="inlineStr">
        <is>
          <t>322</t>
        </is>
      </c>
      <c r="B9656" s="4" t="n">
        <v>3</v>
      </c>
      <c r="C9656" s="4" t="inlineStr">
        <is>
          <t>whitetail</t>
        </is>
      </c>
      <c r="D9656" s="4" t="n">
        <v>2007</v>
      </c>
      <c r="E9656" s="13" t="inlineStr">
        <is>
          <t>General</t>
        </is>
      </c>
      <c r="F9656" s="5" t="n">
        <v>1398</v>
      </c>
      <c r="G9656" s="5" t="n">
        <v>7382</v>
      </c>
      <c r="H9656" s="5" t="n">
        <v>1303</v>
      </c>
      <c r="I9656" s="5" t="n">
        <v>301</v>
      </c>
      <c r="J9656" s="5" t="n">
        <v>948</v>
      </c>
      <c r="K9656" s="10">
        <f>IF(F9656&gt;0,H9656/F9656,"")</f>
        <v/>
      </c>
      <c r="L9656" s="16">
        <f>IF(AND(G9656&gt;0,H9656&gt;0),G9656/H9656,"")</f>
        <v/>
      </c>
    </row>
    <row r="9657">
      <c r="A9657" s="4" t="inlineStr">
        <is>
          <t>322</t>
        </is>
      </c>
      <c r="B9657" s="4" t="n">
        <v>3</v>
      </c>
      <c r="C9657" s="4" t="inlineStr">
        <is>
          <t>whitetail</t>
        </is>
      </c>
      <c r="D9657" s="4" t="n">
        <v>2008</v>
      </c>
      <c r="E9657" s="13" t="inlineStr">
        <is>
          <t>General</t>
        </is>
      </c>
      <c r="F9657" s="5" t="n">
        <v>1459</v>
      </c>
      <c r="G9657" s="5" t="n">
        <v>7833</v>
      </c>
      <c r="H9657" s="5" t="n">
        <v>1025</v>
      </c>
      <c r="I9657" s="5" t="n">
        <v>351</v>
      </c>
      <c r="J9657" s="5" t="n">
        <v>655</v>
      </c>
      <c r="K9657" s="10">
        <f>IF(F9657&gt;0,H9657/F9657,"")</f>
        <v/>
      </c>
      <c r="L9657" s="16">
        <f>IF(AND(G9657&gt;0,H9657&gt;0),G9657/H9657,"")</f>
        <v/>
      </c>
    </row>
    <row r="9658">
      <c r="A9658" s="4" t="inlineStr">
        <is>
          <t>322</t>
        </is>
      </c>
      <c r="B9658" s="4" t="n">
        <v>3</v>
      </c>
      <c r="C9658" s="4" t="inlineStr">
        <is>
          <t>whitetail</t>
        </is>
      </c>
      <c r="D9658" s="4" t="n">
        <v>2009</v>
      </c>
      <c r="E9658" s="13" t="inlineStr">
        <is>
          <t>General</t>
        </is>
      </c>
      <c r="F9658" s="5" t="n">
        <v>1526</v>
      </c>
      <c r="G9658" s="5" t="n">
        <v>7840</v>
      </c>
      <c r="H9658" s="5" t="n">
        <v>1106</v>
      </c>
      <c r="I9658" s="5" t="n">
        <v>333</v>
      </c>
      <c r="J9658" s="5" t="n">
        <v>748</v>
      </c>
      <c r="K9658" s="10">
        <f>IF(F9658&gt;0,H9658/F9658,"")</f>
        <v/>
      </c>
      <c r="L9658" s="16">
        <f>IF(AND(G9658&gt;0,H9658&gt;0),G9658/H9658,"")</f>
        <v/>
      </c>
    </row>
    <row r="9659">
      <c r="A9659" s="4" t="inlineStr">
        <is>
          <t>322</t>
        </is>
      </c>
      <c r="B9659" s="4" t="n">
        <v>3</v>
      </c>
      <c r="C9659" s="4" t="inlineStr">
        <is>
          <t>whitetail</t>
        </is>
      </c>
      <c r="D9659" s="4" t="n">
        <v>2010</v>
      </c>
      <c r="E9659" s="13" t="inlineStr">
        <is>
          <t>General</t>
        </is>
      </c>
      <c r="F9659" s="5" t="n">
        <v>1495</v>
      </c>
      <c r="G9659" s="5" t="n">
        <v>7852</v>
      </c>
      <c r="H9659" s="5" t="n">
        <v>932</v>
      </c>
      <c r="I9659" s="5" t="n">
        <v>292</v>
      </c>
      <c r="J9659" s="5" t="n">
        <v>628</v>
      </c>
      <c r="K9659" s="10">
        <f>IF(F9659&gt;0,H9659/F9659,"")</f>
        <v/>
      </c>
      <c r="L9659" s="16">
        <f>IF(AND(G9659&gt;0,H9659&gt;0),G9659/H9659,"")</f>
        <v/>
      </c>
    </row>
    <row r="9660">
      <c r="A9660" s="4" t="inlineStr">
        <is>
          <t>322</t>
        </is>
      </c>
      <c r="B9660" s="4" t="n">
        <v>3</v>
      </c>
      <c r="C9660" s="4" t="inlineStr">
        <is>
          <t>whitetail</t>
        </is>
      </c>
      <c r="D9660" s="4" t="n">
        <v>2011</v>
      </c>
      <c r="E9660" s="13" t="inlineStr">
        <is>
          <t>General</t>
        </is>
      </c>
      <c r="F9660" s="5" t="n">
        <v>1489</v>
      </c>
      <c r="G9660" s="5" t="n">
        <v>6822</v>
      </c>
      <c r="H9660" s="5" t="n">
        <v>906</v>
      </c>
      <c r="I9660" s="5" t="n">
        <v>316</v>
      </c>
      <c r="J9660" s="5" t="n">
        <v>573</v>
      </c>
      <c r="K9660" s="10">
        <f>IF(F9660&gt;0,H9660/F9660,"")</f>
        <v/>
      </c>
      <c r="L9660" s="16">
        <f>IF(AND(G9660&gt;0,H9660&gt;0),G9660/H9660,"")</f>
        <v/>
      </c>
    </row>
    <row r="9661">
      <c r="A9661" s="4" t="inlineStr">
        <is>
          <t>322</t>
        </is>
      </c>
      <c r="B9661" s="4" t="n">
        <v>3</v>
      </c>
      <c r="C9661" s="4" t="inlineStr">
        <is>
          <t>whitetail</t>
        </is>
      </c>
      <c r="D9661" s="4" t="n">
        <v>2012</v>
      </c>
      <c r="E9661" s="13" t="inlineStr">
        <is>
          <t>General</t>
        </is>
      </c>
      <c r="F9661" s="5" t="n"/>
      <c r="G9661" s="5" t="n"/>
      <c r="H9661" s="5" t="n">
        <v>1153</v>
      </c>
      <c r="I9661" s="5" t="n">
        <v>358</v>
      </c>
      <c r="J9661" s="5" t="n">
        <v>780</v>
      </c>
      <c r="K9661" s="10">
        <f>IF(F9661&gt;0,H9661/F9661,"")</f>
        <v/>
      </c>
      <c r="L9661" s="16">
        <f>IF(AND(G9661&gt;0,H9661&gt;0),G9661/H9661,"")</f>
        <v/>
      </c>
    </row>
    <row r="9662">
      <c r="A9662" s="4" t="inlineStr">
        <is>
          <t>322</t>
        </is>
      </c>
      <c r="B9662" s="4" t="n">
        <v>3</v>
      </c>
      <c r="C9662" s="4" t="inlineStr">
        <is>
          <t>whitetail</t>
        </is>
      </c>
      <c r="D9662" s="4" t="n">
        <v>2013</v>
      </c>
      <c r="E9662" s="13" t="inlineStr">
        <is>
          <t>General</t>
        </is>
      </c>
      <c r="F9662" s="5" t="n">
        <v>1458</v>
      </c>
      <c r="G9662" s="5" t="n">
        <v>7462</v>
      </c>
      <c r="H9662" s="5" t="n">
        <v>845</v>
      </c>
      <c r="I9662" s="5" t="n">
        <v>270</v>
      </c>
      <c r="J9662" s="5" t="n">
        <v>565</v>
      </c>
      <c r="K9662" s="10">
        <f>IF(F9662&gt;0,H9662/F9662,"")</f>
        <v/>
      </c>
      <c r="L9662" s="16">
        <f>IF(AND(G9662&gt;0,H9662&gt;0),G9662/H9662,"")</f>
        <v/>
      </c>
    </row>
    <row r="9663">
      <c r="A9663" s="4" t="inlineStr">
        <is>
          <t>322</t>
        </is>
      </c>
      <c r="B9663" s="4" t="n">
        <v>3</v>
      </c>
      <c r="C9663" s="4" t="inlineStr">
        <is>
          <t>whitetail</t>
        </is>
      </c>
      <c r="D9663" s="4" t="n">
        <v>2014</v>
      </c>
      <c r="E9663" s="13" t="inlineStr">
        <is>
          <t>General</t>
        </is>
      </c>
      <c r="F9663" s="5" t="n"/>
      <c r="G9663" s="5" t="n"/>
      <c r="H9663" s="5" t="n">
        <v>979</v>
      </c>
      <c r="I9663" s="5" t="n">
        <v>317</v>
      </c>
      <c r="J9663" s="5" t="n">
        <v>648</v>
      </c>
      <c r="K9663" s="10">
        <f>IF(F9663&gt;0,H9663/F9663,"")</f>
        <v/>
      </c>
      <c r="L9663" s="16">
        <f>IF(AND(G9663&gt;0,H9663&gt;0),G9663/H9663,"")</f>
        <v/>
      </c>
    </row>
    <row r="9664">
      <c r="A9664" s="4" t="inlineStr">
        <is>
          <t>322</t>
        </is>
      </c>
      <c r="B9664" s="4" t="n">
        <v>3</v>
      </c>
      <c r="C9664" s="4" t="inlineStr">
        <is>
          <t>whitetail</t>
        </is>
      </c>
      <c r="D9664" s="4" t="n">
        <v>2015</v>
      </c>
      <c r="E9664" s="13" t="inlineStr">
        <is>
          <t>General</t>
        </is>
      </c>
      <c r="F9664" s="5" t="n"/>
      <c r="G9664" s="5" t="n"/>
      <c r="H9664" s="5" t="n">
        <v>922</v>
      </c>
      <c r="I9664" s="5" t="n">
        <v>301</v>
      </c>
      <c r="J9664" s="5" t="n">
        <v>601</v>
      </c>
      <c r="K9664" s="10">
        <f>IF(F9664&gt;0,H9664/F9664,"")</f>
        <v/>
      </c>
      <c r="L9664" s="16">
        <f>IF(AND(G9664&gt;0,H9664&gt;0),G9664/H9664,"")</f>
        <v/>
      </c>
    </row>
    <row r="9665">
      <c r="A9665" s="4" t="inlineStr">
        <is>
          <t>322</t>
        </is>
      </c>
      <c r="B9665" s="4" t="n">
        <v>3</v>
      </c>
      <c r="C9665" s="4" t="inlineStr">
        <is>
          <t>whitetail</t>
        </is>
      </c>
      <c r="D9665" s="4" t="n">
        <v>2016</v>
      </c>
      <c r="E9665" s="13" t="inlineStr">
        <is>
          <t>General</t>
        </is>
      </c>
      <c r="F9665" s="5" t="n"/>
      <c r="G9665" s="5" t="n"/>
      <c r="H9665" s="5" t="n">
        <v>818</v>
      </c>
      <c r="I9665" s="5" t="n">
        <v>336</v>
      </c>
      <c r="J9665" s="5" t="n">
        <v>480</v>
      </c>
      <c r="K9665" s="10">
        <f>IF(F9665&gt;0,H9665/F9665,"")</f>
        <v/>
      </c>
      <c r="L9665" s="16">
        <f>IF(AND(G9665&gt;0,H9665&gt;0),G9665/H9665,"")</f>
        <v/>
      </c>
    </row>
    <row r="9666">
      <c r="A9666" s="4" t="inlineStr">
        <is>
          <t>322</t>
        </is>
      </c>
      <c r="B9666" s="4" t="n">
        <v>3</v>
      </c>
      <c r="C9666" s="4" t="inlineStr">
        <is>
          <t>whitetail</t>
        </is>
      </c>
      <c r="D9666" s="4" t="n">
        <v>2017</v>
      </c>
      <c r="E9666" s="13" t="inlineStr">
        <is>
          <t>General</t>
        </is>
      </c>
      <c r="F9666" s="5" t="n">
        <v>1303</v>
      </c>
      <c r="G9666" s="5" t="n">
        <v>6749</v>
      </c>
      <c r="H9666" s="5" t="n">
        <v>720</v>
      </c>
      <c r="I9666" s="5" t="n">
        <v>297</v>
      </c>
      <c r="J9666" s="5" t="n">
        <v>420</v>
      </c>
      <c r="K9666" s="10">
        <f>IF(F9666&gt;0,H9666/F9666,"")</f>
        <v/>
      </c>
      <c r="L9666" s="16">
        <f>IF(AND(G9666&gt;0,H9666&gt;0),G9666/H9666,"")</f>
        <v/>
      </c>
    </row>
    <row r="9667">
      <c r="A9667" s="4" t="inlineStr">
        <is>
          <t>322</t>
        </is>
      </c>
      <c r="B9667" s="4" t="n">
        <v>3</v>
      </c>
      <c r="C9667" s="4" t="inlineStr">
        <is>
          <t>whitetail</t>
        </is>
      </c>
      <c r="D9667" s="4" t="n">
        <v>2018</v>
      </c>
      <c r="E9667" s="13" t="inlineStr">
        <is>
          <t>General</t>
        </is>
      </c>
      <c r="F9667" s="5" t="n"/>
      <c r="G9667" s="5" t="n"/>
      <c r="H9667" s="5" t="n">
        <v>751</v>
      </c>
      <c r="I9667" s="5" t="n">
        <v>272</v>
      </c>
      <c r="J9667" s="5" t="n">
        <v>471</v>
      </c>
      <c r="K9667" s="10">
        <f>IF(F9667&gt;0,H9667/F9667,"")</f>
        <v/>
      </c>
      <c r="L9667" s="16">
        <f>IF(AND(G9667&gt;0,H9667&gt;0),G9667/H9667,"")</f>
        <v/>
      </c>
    </row>
    <row r="9668">
      <c r="A9668" s="4" t="inlineStr">
        <is>
          <t>322</t>
        </is>
      </c>
      <c r="B9668" s="4" t="n">
        <v>3</v>
      </c>
      <c r="C9668" s="4" t="inlineStr">
        <is>
          <t>whitetail</t>
        </is>
      </c>
      <c r="D9668" s="4" t="n">
        <v>2019</v>
      </c>
      <c r="E9668" s="13" t="inlineStr">
        <is>
          <t>General</t>
        </is>
      </c>
      <c r="F9668" s="5" t="n">
        <v>1322</v>
      </c>
      <c r="G9668" s="5" t="n">
        <v>5831</v>
      </c>
      <c r="H9668" s="5" t="n">
        <v>850</v>
      </c>
      <c r="I9668" s="5" t="n">
        <v>363</v>
      </c>
      <c r="J9668" s="5" t="n">
        <v>476</v>
      </c>
      <c r="K9668" s="10">
        <f>IF(F9668&gt;0,H9668/F9668,"")</f>
        <v/>
      </c>
      <c r="L9668" s="16">
        <f>IF(AND(G9668&gt;0,H9668&gt;0),G9668/H9668,"")</f>
        <v/>
      </c>
    </row>
    <row r="9669">
      <c r="A9669" s="4" t="inlineStr">
        <is>
          <t>322</t>
        </is>
      </c>
      <c r="B9669" s="4" t="n">
        <v>3</v>
      </c>
      <c r="C9669" s="4" t="inlineStr">
        <is>
          <t>whitetail</t>
        </is>
      </c>
      <c r="D9669" s="4" t="n">
        <v>2020</v>
      </c>
      <c r="E9669" s="13" t="inlineStr">
        <is>
          <t>General</t>
        </is>
      </c>
      <c r="F9669" s="5" t="n"/>
      <c r="G9669" s="5" t="n"/>
      <c r="H9669" s="5" t="n">
        <v>925</v>
      </c>
      <c r="I9669" s="5" t="n">
        <v>319</v>
      </c>
      <c r="J9669" s="5" t="n">
        <v>598</v>
      </c>
      <c r="K9669" s="10">
        <f>IF(F9669&gt;0,H9669/F9669,"")</f>
        <v/>
      </c>
      <c r="L9669" s="16">
        <f>IF(AND(G9669&gt;0,H9669&gt;0),G9669/H9669,"")</f>
        <v/>
      </c>
    </row>
    <row r="9670">
      <c r="A9670" s="4" t="inlineStr">
        <is>
          <t>322</t>
        </is>
      </c>
      <c r="B9670" s="4" t="n">
        <v>3</v>
      </c>
      <c r="C9670" s="4" t="inlineStr">
        <is>
          <t>whitetail</t>
        </is>
      </c>
      <c r="D9670" s="4" t="n">
        <v>2021</v>
      </c>
      <c r="E9670" s="13" t="inlineStr">
        <is>
          <t>General</t>
        </is>
      </c>
      <c r="F9670" s="5" t="n">
        <v>1354</v>
      </c>
      <c r="G9670" s="5" t="n">
        <v>6729</v>
      </c>
      <c r="H9670" s="5" t="n">
        <v>675</v>
      </c>
      <c r="I9670" s="5" t="n">
        <v>298</v>
      </c>
      <c r="J9670" s="5" t="n">
        <v>377</v>
      </c>
      <c r="K9670" s="10">
        <f>IF(F9670&gt;0,H9670/F9670,"")</f>
        <v/>
      </c>
      <c r="L9670" s="16">
        <f>IF(AND(G9670&gt;0,H9670&gt;0),G9670/H9670,"")</f>
        <v/>
      </c>
    </row>
    <row r="9671">
      <c r="A9671" s="4" t="inlineStr">
        <is>
          <t>322</t>
        </is>
      </c>
      <c r="B9671" s="4" t="n">
        <v>3</v>
      </c>
      <c r="C9671" s="4" t="inlineStr">
        <is>
          <t>whitetail</t>
        </is>
      </c>
      <c r="D9671" s="4" t="n">
        <v>2022</v>
      </c>
      <c r="E9671" s="13" t="inlineStr">
        <is>
          <t>General</t>
        </is>
      </c>
      <c r="F9671" s="5" t="n"/>
      <c r="G9671" s="5" t="n"/>
      <c r="H9671" s="5" t="n">
        <v>1072</v>
      </c>
      <c r="I9671" s="5" t="n">
        <v>486</v>
      </c>
      <c r="J9671" s="5" t="n">
        <v>569</v>
      </c>
      <c r="K9671" s="10">
        <f>IF(F9671&gt;0,H9671/F9671,"")</f>
        <v/>
      </c>
      <c r="L9671" s="16">
        <f>IF(AND(G9671&gt;0,H9671&gt;0),G9671/H9671,"")</f>
        <v/>
      </c>
    </row>
    <row r="9672">
      <c r="A9672" s="4" t="inlineStr">
        <is>
          <t>322</t>
        </is>
      </c>
      <c r="B9672" s="4" t="n">
        <v>3</v>
      </c>
      <c r="C9672" s="4" t="inlineStr">
        <is>
          <t>whitetail</t>
        </is>
      </c>
      <c r="D9672" s="4" t="n">
        <v>2023</v>
      </c>
      <c r="E9672" s="13" t="inlineStr">
        <is>
          <t>General</t>
        </is>
      </c>
      <c r="F9672" s="5" t="n">
        <v>6176</v>
      </c>
      <c r="G9672" s="5" t="n">
        <v>42243</v>
      </c>
      <c r="H9672" s="5" t="n">
        <v>1022</v>
      </c>
      <c r="I9672" s="5" t="n">
        <v>524</v>
      </c>
      <c r="J9672" s="5" t="n">
        <v>492</v>
      </c>
      <c r="K9672" s="10">
        <f>IF(F9672&gt;0,H9672/F9672,"")</f>
        <v/>
      </c>
      <c r="L9672" s="16">
        <f>IF(AND(G9672&gt;0,H9672&gt;0),G9672/H9672,"")</f>
        <v/>
      </c>
    </row>
    <row r="9673">
      <c r="A9673" s="4" t="inlineStr">
        <is>
          <t>322</t>
        </is>
      </c>
      <c r="B9673" s="4" t="n">
        <v>3</v>
      </c>
      <c r="C9673" s="4" t="inlineStr">
        <is>
          <t>whitetail</t>
        </is>
      </c>
      <c r="D9673" s="4" t="n">
        <v>2024</v>
      </c>
      <c r="E9673" s="13" t="inlineStr">
        <is>
          <t>General</t>
        </is>
      </c>
      <c r="F9673" s="5" t="n"/>
      <c r="G9673" s="5" t="n"/>
      <c r="H9673" s="5" t="n">
        <v>431</v>
      </c>
      <c r="I9673" s="5" t="n">
        <v>224</v>
      </c>
      <c r="J9673" s="5" t="n">
        <v>207</v>
      </c>
      <c r="K9673" s="10">
        <f>IF(F9673&gt;0,H9673/F9673,"")</f>
        <v/>
      </c>
      <c r="L9673" s="16">
        <f>IF(AND(G9673&gt;0,H9673&gt;0),G9673/H9673,"")</f>
        <v/>
      </c>
    </row>
    <row r="9674">
      <c r="A9674" s="4" t="inlineStr">
        <is>
          <t>322</t>
        </is>
      </c>
      <c r="B9674" s="4" t="n">
        <v>3</v>
      </c>
      <c r="C9674" s="4" t="inlineStr">
        <is>
          <t>whitetail</t>
        </is>
      </c>
      <c r="D9674" s="4" t="n">
        <v>2025</v>
      </c>
      <c r="E9674" s="13" t="inlineStr">
        <is>
          <t>General</t>
        </is>
      </c>
      <c r="F9674" s="5" t="n">
        <v>1599</v>
      </c>
      <c r="G9674" s="5" t="n">
        <v>10598</v>
      </c>
      <c r="H9674" s="5" t="n">
        <v>427</v>
      </c>
      <c r="I9674" s="5" t="n">
        <v>178</v>
      </c>
      <c r="J9674" s="5" t="n">
        <v>249</v>
      </c>
      <c r="K9674" s="10">
        <f>IF(F9674&gt;0,H9674/F9674,"")</f>
        <v/>
      </c>
      <c r="L9674" s="16">
        <f>IF(AND(G9674&gt;0,H9674&gt;0),G9674/H9674,"")</f>
        <v/>
      </c>
    </row>
    <row r="9675">
      <c r="A9675" s="4" t="inlineStr">
        <is>
          <t>323</t>
        </is>
      </c>
      <c r="B9675" s="4" t="n">
        <v>3</v>
      </c>
      <c r="C9675" s="4" t="inlineStr">
        <is>
          <t>whitetail</t>
        </is>
      </c>
      <c r="D9675" s="4" t="n">
        <v>2004</v>
      </c>
      <c r="E9675" s="13" t="inlineStr">
        <is>
          <t>General</t>
        </is>
      </c>
      <c r="F9675" s="5" t="n">
        <v>431</v>
      </c>
      <c r="G9675" s="5" t="n">
        <v>2243</v>
      </c>
      <c r="H9675" s="5" t="n">
        <v>22</v>
      </c>
      <c r="I9675" s="5" t="n">
        <v>14</v>
      </c>
      <c r="J9675" s="5" t="n">
        <v>6</v>
      </c>
      <c r="K9675" s="10">
        <f>IF(F9675&gt;0,H9675/F9675,"")</f>
        <v/>
      </c>
      <c r="L9675" s="16">
        <f>IF(AND(G9675&gt;0,H9675&gt;0),G9675/H9675,"")</f>
        <v/>
      </c>
    </row>
    <row r="9676">
      <c r="A9676" s="4" t="inlineStr">
        <is>
          <t>323</t>
        </is>
      </c>
      <c r="B9676" s="4" t="n">
        <v>3</v>
      </c>
      <c r="C9676" s="4" t="inlineStr">
        <is>
          <t>whitetail</t>
        </is>
      </c>
      <c r="D9676" s="4" t="n">
        <v>2005</v>
      </c>
      <c r="E9676" s="13" t="inlineStr">
        <is>
          <t>General</t>
        </is>
      </c>
      <c r="F9676" s="5" t="n">
        <v>326</v>
      </c>
      <c r="G9676" s="5" t="n">
        <v>1848</v>
      </c>
      <c r="H9676" s="5" t="n">
        <v>45</v>
      </c>
      <c r="I9676" s="5" t="n">
        <v>23</v>
      </c>
      <c r="J9676" s="5" t="n">
        <v>20</v>
      </c>
      <c r="K9676" s="10">
        <f>IF(F9676&gt;0,H9676/F9676,"")</f>
        <v/>
      </c>
      <c r="L9676" s="16">
        <f>IF(AND(G9676&gt;0,H9676&gt;0),G9676/H9676,"")</f>
        <v/>
      </c>
    </row>
    <row r="9677">
      <c r="A9677" s="4" t="inlineStr">
        <is>
          <t>323</t>
        </is>
      </c>
      <c r="B9677" s="4" t="n">
        <v>3</v>
      </c>
      <c r="C9677" s="4" t="inlineStr">
        <is>
          <t>whitetail</t>
        </is>
      </c>
      <c r="D9677" s="4" t="n">
        <v>2006</v>
      </c>
      <c r="E9677" s="13" t="inlineStr">
        <is>
          <t>General</t>
        </is>
      </c>
      <c r="F9677" s="5" t="n">
        <v>354</v>
      </c>
      <c r="G9677" s="5" t="n">
        <v>2022</v>
      </c>
      <c r="H9677" s="5" t="n">
        <v>56</v>
      </c>
      <c r="I9677" s="5" t="n">
        <v>41</v>
      </c>
      <c r="J9677" s="5" t="n">
        <v>11</v>
      </c>
      <c r="K9677" s="10">
        <f>IF(F9677&gt;0,H9677/F9677,"")</f>
        <v/>
      </c>
      <c r="L9677" s="16">
        <f>IF(AND(G9677&gt;0,H9677&gt;0),G9677/H9677,"")</f>
        <v/>
      </c>
    </row>
    <row r="9678">
      <c r="A9678" s="4" t="inlineStr">
        <is>
          <t>323</t>
        </is>
      </c>
      <c r="B9678" s="4" t="n">
        <v>3</v>
      </c>
      <c r="C9678" s="4" t="inlineStr">
        <is>
          <t>whitetail</t>
        </is>
      </c>
      <c r="D9678" s="4" t="n">
        <v>2007</v>
      </c>
      <c r="E9678" s="13" t="inlineStr">
        <is>
          <t>General</t>
        </is>
      </c>
      <c r="F9678" s="5" t="n">
        <v>342</v>
      </c>
      <c r="G9678" s="5" t="n">
        <v>1980</v>
      </c>
      <c r="H9678" s="5" t="n">
        <v>30</v>
      </c>
      <c r="I9678" s="5" t="n">
        <v>16</v>
      </c>
      <c r="J9678" s="5" t="n">
        <v>14</v>
      </c>
      <c r="K9678" s="10">
        <f>IF(F9678&gt;0,H9678/F9678,"")</f>
        <v/>
      </c>
      <c r="L9678" s="16">
        <f>IF(AND(G9678&gt;0,H9678&gt;0),G9678/H9678,"")</f>
        <v/>
      </c>
    </row>
    <row r="9679">
      <c r="A9679" s="4" t="inlineStr">
        <is>
          <t>323</t>
        </is>
      </c>
      <c r="B9679" s="4" t="n">
        <v>3</v>
      </c>
      <c r="C9679" s="4" t="inlineStr">
        <is>
          <t>whitetail</t>
        </is>
      </c>
      <c r="D9679" s="4" t="n">
        <v>2008</v>
      </c>
      <c r="E9679" s="13" t="inlineStr">
        <is>
          <t>General</t>
        </is>
      </c>
      <c r="F9679" s="5" t="n">
        <v>433</v>
      </c>
      <c r="G9679" s="5" t="n">
        <v>2685</v>
      </c>
      <c r="H9679" s="5" t="n">
        <v>36</v>
      </c>
      <c r="I9679" s="5" t="n">
        <v>24</v>
      </c>
      <c r="J9679" s="5" t="n">
        <v>12</v>
      </c>
      <c r="K9679" s="10">
        <f>IF(F9679&gt;0,H9679/F9679,"")</f>
        <v/>
      </c>
      <c r="L9679" s="16">
        <f>IF(AND(G9679&gt;0,H9679&gt;0),G9679/H9679,"")</f>
        <v/>
      </c>
    </row>
    <row r="9680">
      <c r="A9680" s="4" t="inlineStr">
        <is>
          <t>323</t>
        </is>
      </c>
      <c r="B9680" s="4" t="n">
        <v>3</v>
      </c>
      <c r="C9680" s="4" t="inlineStr">
        <is>
          <t>whitetail</t>
        </is>
      </c>
      <c r="D9680" s="4" t="n">
        <v>2009</v>
      </c>
      <c r="E9680" s="13" t="inlineStr">
        <is>
          <t>General</t>
        </is>
      </c>
      <c r="F9680" s="5" t="n">
        <v>445</v>
      </c>
      <c r="G9680" s="5" t="n">
        <v>2921</v>
      </c>
      <c r="H9680" s="5" t="n">
        <v>30</v>
      </c>
      <c r="I9680" s="5" t="n">
        <v>18</v>
      </c>
      <c r="J9680" s="5" t="n">
        <v>12</v>
      </c>
      <c r="K9680" s="10">
        <f>IF(F9680&gt;0,H9680/F9680,"")</f>
        <v/>
      </c>
      <c r="L9680" s="16">
        <f>IF(AND(G9680&gt;0,H9680&gt;0),G9680/H9680,"")</f>
        <v/>
      </c>
    </row>
    <row r="9681">
      <c r="A9681" s="4" t="inlineStr">
        <is>
          <t>323</t>
        </is>
      </c>
      <c r="B9681" s="4" t="n">
        <v>3</v>
      </c>
      <c r="C9681" s="4" t="inlineStr">
        <is>
          <t>whitetail</t>
        </is>
      </c>
      <c r="D9681" s="4" t="n">
        <v>2010</v>
      </c>
      <c r="E9681" s="13" t="inlineStr">
        <is>
          <t>General</t>
        </is>
      </c>
      <c r="F9681" s="5" t="n">
        <v>337</v>
      </c>
      <c r="G9681" s="5" t="n">
        <v>1857</v>
      </c>
      <c r="H9681" s="5" t="n">
        <v>25</v>
      </c>
      <c r="I9681" s="5" t="n">
        <v>22</v>
      </c>
      <c r="J9681" s="5" t="n">
        <v>3</v>
      </c>
      <c r="K9681" s="10">
        <f>IF(F9681&gt;0,H9681/F9681,"")</f>
        <v/>
      </c>
      <c r="L9681" s="16">
        <f>IF(AND(G9681&gt;0,H9681&gt;0),G9681/H9681,"")</f>
        <v/>
      </c>
    </row>
    <row r="9682">
      <c r="A9682" s="4" t="inlineStr">
        <is>
          <t>323</t>
        </is>
      </c>
      <c r="B9682" s="4" t="n">
        <v>3</v>
      </c>
      <c r="C9682" s="4" t="inlineStr">
        <is>
          <t>whitetail</t>
        </is>
      </c>
      <c r="D9682" s="4" t="n">
        <v>2011</v>
      </c>
      <c r="E9682" s="13" t="inlineStr">
        <is>
          <t>General</t>
        </is>
      </c>
      <c r="F9682" s="5" t="n">
        <v>424</v>
      </c>
      <c r="G9682" s="5" t="n">
        <v>2365</v>
      </c>
      <c r="H9682" s="5" t="n">
        <v>38</v>
      </c>
      <c r="I9682" s="5" t="n">
        <v>14</v>
      </c>
      <c r="J9682" s="5" t="n">
        <v>24</v>
      </c>
      <c r="K9682" s="10">
        <f>IF(F9682&gt;0,H9682/F9682,"")</f>
        <v/>
      </c>
      <c r="L9682" s="16">
        <f>IF(AND(G9682&gt;0,H9682&gt;0),G9682/H9682,"")</f>
        <v/>
      </c>
    </row>
    <row r="9683">
      <c r="A9683" s="4" t="inlineStr">
        <is>
          <t>323</t>
        </is>
      </c>
      <c r="B9683" s="4" t="n">
        <v>3</v>
      </c>
      <c r="C9683" s="4" t="inlineStr">
        <is>
          <t>whitetail</t>
        </is>
      </c>
      <c r="D9683" s="4" t="n">
        <v>2012</v>
      </c>
      <c r="E9683" s="13" t="inlineStr">
        <is>
          <t>General</t>
        </is>
      </c>
      <c r="F9683" s="5" t="n"/>
      <c r="G9683" s="5" t="n"/>
      <c r="H9683" s="5" t="n">
        <v>14</v>
      </c>
      <c r="I9683" s="5" t="n">
        <v>8</v>
      </c>
      <c r="J9683" s="5" t="n">
        <v>3</v>
      </c>
      <c r="K9683" s="10">
        <f>IF(F9683&gt;0,H9683/F9683,"")</f>
        <v/>
      </c>
      <c r="L9683" s="16">
        <f>IF(AND(G9683&gt;0,H9683&gt;0),G9683/H9683,"")</f>
        <v/>
      </c>
    </row>
    <row r="9684">
      <c r="A9684" s="4" t="inlineStr">
        <is>
          <t>323</t>
        </is>
      </c>
      <c r="B9684" s="4" t="n">
        <v>3</v>
      </c>
      <c r="C9684" s="4" t="inlineStr">
        <is>
          <t>whitetail</t>
        </is>
      </c>
      <c r="D9684" s="4" t="n">
        <v>2013</v>
      </c>
      <c r="E9684" s="13" t="inlineStr">
        <is>
          <t>General</t>
        </is>
      </c>
      <c r="F9684" s="5" t="n">
        <v>502</v>
      </c>
      <c r="G9684" s="5" t="n">
        <v>2951</v>
      </c>
      <c r="H9684" s="5" t="n">
        <v>17</v>
      </c>
      <c r="I9684" s="5" t="n">
        <v>14</v>
      </c>
      <c r="J9684" s="5" t="n">
        <v>3</v>
      </c>
      <c r="K9684" s="10">
        <f>IF(F9684&gt;0,H9684/F9684,"")</f>
        <v/>
      </c>
      <c r="L9684" s="16">
        <f>IF(AND(G9684&gt;0,H9684&gt;0),G9684/H9684,"")</f>
        <v/>
      </c>
    </row>
    <row r="9685">
      <c r="A9685" s="4" t="inlineStr">
        <is>
          <t>323</t>
        </is>
      </c>
      <c r="B9685" s="4" t="n">
        <v>3</v>
      </c>
      <c r="C9685" s="4" t="inlineStr">
        <is>
          <t>whitetail</t>
        </is>
      </c>
      <c r="D9685" s="4" t="n">
        <v>2014</v>
      </c>
      <c r="E9685" s="13" t="inlineStr">
        <is>
          <t>General</t>
        </is>
      </c>
      <c r="F9685" s="5" t="n"/>
      <c r="G9685" s="5" t="n"/>
      <c r="H9685" s="5" t="n">
        <v>19</v>
      </c>
      <c r="I9685" s="5" t="n">
        <v>14</v>
      </c>
      <c r="J9685" s="5" t="n">
        <v>5</v>
      </c>
      <c r="K9685" s="10">
        <f>IF(F9685&gt;0,H9685/F9685,"")</f>
        <v/>
      </c>
      <c r="L9685" s="16">
        <f>IF(AND(G9685&gt;0,H9685&gt;0),G9685/H9685,"")</f>
        <v/>
      </c>
    </row>
    <row r="9686">
      <c r="A9686" s="4" t="inlineStr">
        <is>
          <t>323</t>
        </is>
      </c>
      <c r="B9686" s="4" t="n">
        <v>3</v>
      </c>
      <c r="C9686" s="4" t="inlineStr">
        <is>
          <t>whitetail</t>
        </is>
      </c>
      <c r="D9686" s="4" t="n">
        <v>2015</v>
      </c>
      <c r="E9686" s="13" t="inlineStr">
        <is>
          <t>General</t>
        </is>
      </c>
      <c r="F9686" s="5" t="n"/>
      <c r="G9686" s="5" t="n"/>
      <c r="H9686" s="5" t="n">
        <v>48</v>
      </c>
      <c r="I9686" s="5" t="n">
        <v>34</v>
      </c>
      <c r="J9686" s="5" t="n">
        <v>14</v>
      </c>
      <c r="K9686" s="10">
        <f>IF(F9686&gt;0,H9686/F9686,"")</f>
        <v/>
      </c>
      <c r="L9686" s="16">
        <f>IF(AND(G9686&gt;0,H9686&gt;0),G9686/H9686,"")</f>
        <v/>
      </c>
    </row>
    <row r="9687">
      <c r="A9687" s="4" t="inlineStr">
        <is>
          <t>323</t>
        </is>
      </c>
      <c r="B9687" s="4" t="n">
        <v>3</v>
      </c>
      <c r="C9687" s="4" t="inlineStr">
        <is>
          <t>whitetail</t>
        </is>
      </c>
      <c r="D9687" s="4" t="n">
        <v>2016</v>
      </c>
      <c r="E9687" s="13" t="inlineStr">
        <is>
          <t>General</t>
        </is>
      </c>
      <c r="F9687" s="5" t="n"/>
      <c r="G9687" s="5" t="n"/>
      <c r="H9687" s="5" t="n">
        <v>9</v>
      </c>
      <c r="I9687" s="5" t="n">
        <v>6</v>
      </c>
      <c r="J9687" s="5" t="n">
        <v>0</v>
      </c>
      <c r="K9687" s="10">
        <f>IF(F9687&gt;0,H9687/F9687,"")</f>
        <v/>
      </c>
      <c r="L9687" s="16">
        <f>IF(AND(G9687&gt;0,H9687&gt;0),G9687/H9687,"")</f>
        <v/>
      </c>
    </row>
    <row r="9688">
      <c r="A9688" s="4" t="inlineStr">
        <is>
          <t>323</t>
        </is>
      </c>
      <c r="B9688" s="4" t="n">
        <v>3</v>
      </c>
      <c r="C9688" s="4" t="inlineStr">
        <is>
          <t>whitetail</t>
        </is>
      </c>
      <c r="D9688" s="4" t="n">
        <v>2017</v>
      </c>
      <c r="E9688" s="13" t="inlineStr">
        <is>
          <t>General</t>
        </is>
      </c>
      <c r="F9688" s="5" t="n">
        <v>495</v>
      </c>
      <c r="G9688" s="5" t="n">
        <v>3272</v>
      </c>
      <c r="H9688" s="5" t="n">
        <v>24</v>
      </c>
      <c r="I9688" s="5" t="n">
        <v>6</v>
      </c>
      <c r="J9688" s="5" t="n">
        <v>18</v>
      </c>
      <c r="K9688" s="10">
        <f>IF(F9688&gt;0,H9688/F9688,"")</f>
        <v/>
      </c>
      <c r="L9688" s="16">
        <f>IF(AND(G9688&gt;0,H9688&gt;0),G9688/H9688,"")</f>
        <v/>
      </c>
    </row>
    <row r="9689">
      <c r="A9689" s="4" t="inlineStr">
        <is>
          <t>323</t>
        </is>
      </c>
      <c r="B9689" s="4" t="n">
        <v>3</v>
      </c>
      <c r="C9689" s="4" t="inlineStr">
        <is>
          <t>whitetail</t>
        </is>
      </c>
      <c r="D9689" s="4" t="n">
        <v>2018</v>
      </c>
      <c r="E9689" s="13" t="inlineStr">
        <is>
          <t>General</t>
        </is>
      </c>
      <c r="F9689" s="5" t="n"/>
      <c r="G9689" s="5" t="n"/>
      <c r="H9689" s="5" t="n">
        <v>12</v>
      </c>
      <c r="I9689" s="5" t="n">
        <v>6</v>
      </c>
      <c r="J9689" s="5" t="n">
        <v>3</v>
      </c>
      <c r="K9689" s="10">
        <f>IF(F9689&gt;0,H9689/F9689,"")</f>
        <v/>
      </c>
      <c r="L9689" s="16">
        <f>IF(AND(G9689&gt;0,H9689&gt;0),G9689/H9689,"")</f>
        <v/>
      </c>
    </row>
    <row r="9690">
      <c r="A9690" s="4" t="inlineStr">
        <is>
          <t>323</t>
        </is>
      </c>
      <c r="B9690" s="4" t="n">
        <v>3</v>
      </c>
      <c r="C9690" s="4" t="inlineStr">
        <is>
          <t>whitetail</t>
        </is>
      </c>
      <c r="D9690" s="4" t="n">
        <v>2019</v>
      </c>
      <c r="E9690" s="13" t="inlineStr">
        <is>
          <t>General</t>
        </is>
      </c>
      <c r="F9690" s="5" t="n">
        <v>546</v>
      </c>
      <c r="G9690" s="5" t="n">
        <v>3407</v>
      </c>
      <c r="H9690" s="5" t="n">
        <v>48</v>
      </c>
      <c r="I9690" s="5" t="n">
        <v>20</v>
      </c>
      <c r="J9690" s="5" t="n">
        <v>24</v>
      </c>
      <c r="K9690" s="10">
        <f>IF(F9690&gt;0,H9690/F9690,"")</f>
        <v/>
      </c>
      <c r="L9690" s="16">
        <f>IF(AND(G9690&gt;0,H9690&gt;0),G9690/H9690,"")</f>
        <v/>
      </c>
    </row>
    <row r="9691">
      <c r="A9691" s="4" t="inlineStr">
        <is>
          <t>323</t>
        </is>
      </c>
      <c r="B9691" s="4" t="n">
        <v>3</v>
      </c>
      <c r="C9691" s="4" t="inlineStr">
        <is>
          <t>whitetail</t>
        </is>
      </c>
      <c r="D9691" s="4" t="n">
        <v>2020</v>
      </c>
      <c r="E9691" s="13" t="inlineStr">
        <is>
          <t>General</t>
        </is>
      </c>
      <c r="F9691" s="5" t="n"/>
      <c r="G9691" s="5" t="n"/>
      <c r="H9691" s="5" t="n">
        <v>16</v>
      </c>
      <c r="I9691" s="5" t="n">
        <v>13</v>
      </c>
      <c r="J9691" s="5" t="n">
        <v>3</v>
      </c>
      <c r="K9691" s="10">
        <f>IF(F9691&gt;0,H9691/F9691,"")</f>
        <v/>
      </c>
      <c r="L9691" s="16">
        <f>IF(AND(G9691&gt;0,H9691&gt;0),G9691/H9691,"")</f>
        <v/>
      </c>
    </row>
    <row r="9692">
      <c r="A9692" s="4" t="inlineStr">
        <is>
          <t>323</t>
        </is>
      </c>
      <c r="B9692" s="4" t="n">
        <v>3</v>
      </c>
      <c r="C9692" s="4" t="inlineStr">
        <is>
          <t>whitetail</t>
        </is>
      </c>
      <c r="D9692" s="4" t="n">
        <v>2021</v>
      </c>
      <c r="E9692" s="13" t="inlineStr">
        <is>
          <t>General</t>
        </is>
      </c>
      <c r="F9692" s="5" t="n">
        <v>461</v>
      </c>
      <c r="G9692" s="5" t="n">
        <v>3090</v>
      </c>
      <c r="H9692" s="5" t="n">
        <v>22</v>
      </c>
      <c r="I9692" s="5" t="n">
        <v>15</v>
      </c>
      <c r="J9692" s="5" t="n">
        <v>7</v>
      </c>
      <c r="K9692" s="10">
        <f>IF(F9692&gt;0,H9692/F9692,"")</f>
        <v/>
      </c>
      <c r="L9692" s="16">
        <f>IF(AND(G9692&gt;0,H9692&gt;0),G9692/H9692,"")</f>
        <v/>
      </c>
    </row>
    <row r="9693">
      <c r="A9693" s="4" t="inlineStr">
        <is>
          <t>323</t>
        </is>
      </c>
      <c r="B9693" s="4" t="n">
        <v>3</v>
      </c>
      <c r="C9693" s="4" t="inlineStr">
        <is>
          <t>whitetail</t>
        </is>
      </c>
      <c r="D9693" s="4" t="n">
        <v>2024</v>
      </c>
      <c r="E9693" s="13" t="inlineStr">
        <is>
          <t>General</t>
        </is>
      </c>
      <c r="F9693" s="5" t="n"/>
      <c r="G9693" s="5" t="n"/>
      <c r="H9693" s="5" t="n">
        <v>243</v>
      </c>
      <c r="I9693" s="5" t="n">
        <v>111</v>
      </c>
      <c r="J9693" s="5" t="n">
        <v>132</v>
      </c>
      <c r="K9693" s="10">
        <f>IF(F9693&gt;0,H9693/F9693,"")</f>
        <v/>
      </c>
      <c r="L9693" s="16">
        <f>IF(AND(G9693&gt;0,H9693&gt;0),G9693/H9693,"")</f>
        <v/>
      </c>
    </row>
    <row r="9694">
      <c r="A9694" s="4" t="inlineStr">
        <is>
          <t>323</t>
        </is>
      </c>
      <c r="B9694" s="4" t="n">
        <v>3</v>
      </c>
      <c r="C9694" s="4" t="inlineStr">
        <is>
          <t>whitetail</t>
        </is>
      </c>
      <c r="D9694" s="4" t="n">
        <v>2025</v>
      </c>
      <c r="E9694" s="13" t="inlineStr">
        <is>
          <t>General</t>
        </is>
      </c>
      <c r="F9694" s="5" t="n">
        <v>2639</v>
      </c>
      <c r="G9694" s="5" t="n">
        <v>17036</v>
      </c>
      <c r="H9694" s="5" t="n">
        <v>271</v>
      </c>
      <c r="I9694" s="5" t="n">
        <v>152</v>
      </c>
      <c r="J9694" s="5" t="n">
        <v>116</v>
      </c>
      <c r="K9694" s="10">
        <f>IF(F9694&gt;0,H9694/F9694,"")</f>
        <v/>
      </c>
      <c r="L9694" s="16">
        <f>IF(AND(G9694&gt;0,H9694&gt;0),G9694/H9694,"")</f>
        <v/>
      </c>
    </row>
    <row r="9695">
      <c r="A9695" s="4" t="inlineStr">
        <is>
          <t>324</t>
        </is>
      </c>
      <c r="B9695" s="4" t="n">
        <v>3</v>
      </c>
      <c r="C9695" s="4" t="inlineStr">
        <is>
          <t>whitetail</t>
        </is>
      </c>
      <c r="D9695" s="4" t="n">
        <v>2004</v>
      </c>
      <c r="E9695" s="13" t="inlineStr">
        <is>
          <t>General</t>
        </is>
      </c>
      <c r="F9695" s="5" t="n">
        <v>636</v>
      </c>
      <c r="G9695" s="5" t="n">
        <v>3666</v>
      </c>
      <c r="H9695" s="5" t="n">
        <v>105</v>
      </c>
      <c r="I9695" s="5" t="n">
        <v>52</v>
      </c>
      <c r="J9695" s="5" t="n">
        <v>49</v>
      </c>
      <c r="K9695" s="10">
        <f>IF(F9695&gt;0,H9695/F9695,"")</f>
        <v/>
      </c>
      <c r="L9695" s="16">
        <f>IF(AND(G9695&gt;0,H9695&gt;0),G9695/H9695,"")</f>
        <v/>
      </c>
    </row>
    <row r="9696">
      <c r="A9696" s="4" t="inlineStr">
        <is>
          <t>324</t>
        </is>
      </c>
      <c r="B9696" s="4" t="n">
        <v>3</v>
      </c>
      <c r="C9696" s="4" t="inlineStr">
        <is>
          <t>whitetail</t>
        </is>
      </c>
      <c r="D9696" s="4" t="n">
        <v>2005</v>
      </c>
      <c r="E9696" s="13" t="inlineStr">
        <is>
          <t>General</t>
        </is>
      </c>
      <c r="F9696" s="5" t="n">
        <v>514</v>
      </c>
      <c r="G9696" s="5" t="n">
        <v>2909</v>
      </c>
      <c r="H9696" s="5" t="n">
        <v>55</v>
      </c>
      <c r="I9696" s="5" t="n">
        <v>13</v>
      </c>
      <c r="J9696" s="5" t="n">
        <v>38</v>
      </c>
      <c r="K9696" s="10">
        <f>IF(F9696&gt;0,H9696/F9696,"")</f>
        <v/>
      </c>
      <c r="L9696" s="16">
        <f>IF(AND(G9696&gt;0,H9696&gt;0),G9696/H9696,"")</f>
        <v/>
      </c>
    </row>
    <row r="9697">
      <c r="A9697" s="4" t="inlineStr">
        <is>
          <t>324</t>
        </is>
      </c>
      <c r="B9697" s="4" t="n">
        <v>3</v>
      </c>
      <c r="C9697" s="4" t="inlineStr">
        <is>
          <t>whitetail</t>
        </is>
      </c>
      <c r="D9697" s="4" t="n">
        <v>2006</v>
      </c>
      <c r="E9697" s="13" t="inlineStr">
        <is>
          <t>General</t>
        </is>
      </c>
      <c r="F9697" s="5" t="n">
        <v>440</v>
      </c>
      <c r="G9697" s="5" t="n">
        <v>2641</v>
      </c>
      <c r="H9697" s="5" t="n">
        <v>81</v>
      </c>
      <c r="I9697" s="5" t="n">
        <v>34</v>
      </c>
      <c r="J9697" s="5" t="n">
        <v>47</v>
      </c>
      <c r="K9697" s="10">
        <f>IF(F9697&gt;0,H9697/F9697,"")</f>
        <v/>
      </c>
      <c r="L9697" s="16">
        <f>IF(AND(G9697&gt;0,H9697&gt;0),G9697/H9697,"")</f>
        <v/>
      </c>
    </row>
    <row r="9698">
      <c r="A9698" s="4" t="inlineStr">
        <is>
          <t>324</t>
        </is>
      </c>
      <c r="B9698" s="4" t="n">
        <v>3</v>
      </c>
      <c r="C9698" s="4" t="inlineStr">
        <is>
          <t>whitetail</t>
        </is>
      </c>
      <c r="D9698" s="4" t="n">
        <v>2007</v>
      </c>
      <c r="E9698" s="13" t="inlineStr">
        <is>
          <t>General</t>
        </is>
      </c>
      <c r="F9698" s="5" t="n">
        <v>488</v>
      </c>
      <c r="G9698" s="5" t="n">
        <v>2898</v>
      </c>
      <c r="H9698" s="5" t="n">
        <v>75</v>
      </c>
      <c r="I9698" s="5" t="n">
        <v>22</v>
      </c>
      <c r="J9698" s="5" t="n">
        <v>48</v>
      </c>
      <c r="K9698" s="10">
        <f>IF(F9698&gt;0,H9698/F9698,"")</f>
        <v/>
      </c>
      <c r="L9698" s="16">
        <f>IF(AND(G9698&gt;0,H9698&gt;0),G9698/H9698,"")</f>
        <v/>
      </c>
    </row>
    <row r="9699">
      <c r="A9699" s="4" t="inlineStr">
        <is>
          <t>324</t>
        </is>
      </c>
      <c r="B9699" s="4" t="n">
        <v>3</v>
      </c>
      <c r="C9699" s="4" t="inlineStr">
        <is>
          <t>whitetail</t>
        </is>
      </c>
      <c r="D9699" s="4" t="n">
        <v>2008</v>
      </c>
      <c r="E9699" s="13" t="inlineStr">
        <is>
          <t>General</t>
        </is>
      </c>
      <c r="F9699" s="5" t="n">
        <v>508</v>
      </c>
      <c r="G9699" s="5" t="n">
        <v>3373</v>
      </c>
      <c r="H9699" s="5" t="n">
        <v>42</v>
      </c>
      <c r="I9699" s="5" t="n">
        <v>6</v>
      </c>
      <c r="J9699" s="5" t="n">
        <v>36</v>
      </c>
      <c r="K9699" s="10">
        <f>IF(F9699&gt;0,H9699/F9699,"")</f>
        <v/>
      </c>
      <c r="L9699" s="16">
        <f>IF(AND(G9699&gt;0,H9699&gt;0),G9699/H9699,"")</f>
        <v/>
      </c>
    </row>
    <row r="9700">
      <c r="A9700" s="4" t="inlineStr">
        <is>
          <t>324</t>
        </is>
      </c>
      <c r="B9700" s="4" t="n">
        <v>3</v>
      </c>
      <c r="C9700" s="4" t="inlineStr">
        <is>
          <t>whitetail</t>
        </is>
      </c>
      <c r="D9700" s="4" t="n">
        <v>2009</v>
      </c>
      <c r="E9700" s="13" t="inlineStr">
        <is>
          <t>General</t>
        </is>
      </c>
      <c r="F9700" s="5" t="n">
        <v>425</v>
      </c>
      <c r="G9700" s="5" t="n">
        <v>2944</v>
      </c>
      <c r="H9700" s="5" t="n">
        <v>50</v>
      </c>
      <c r="I9700" s="5" t="n">
        <v>32</v>
      </c>
      <c r="J9700" s="5" t="n">
        <v>15</v>
      </c>
      <c r="K9700" s="10">
        <f>IF(F9700&gt;0,H9700/F9700,"")</f>
        <v/>
      </c>
      <c r="L9700" s="16">
        <f>IF(AND(G9700&gt;0,H9700&gt;0),G9700/H9700,"")</f>
        <v/>
      </c>
    </row>
    <row r="9701">
      <c r="A9701" s="4" t="inlineStr">
        <is>
          <t>324</t>
        </is>
      </c>
      <c r="B9701" s="4" t="n">
        <v>3</v>
      </c>
      <c r="C9701" s="4" t="inlineStr">
        <is>
          <t>whitetail</t>
        </is>
      </c>
      <c r="D9701" s="4" t="n">
        <v>2010</v>
      </c>
      <c r="E9701" s="13" t="inlineStr">
        <is>
          <t>General</t>
        </is>
      </c>
      <c r="F9701" s="5" t="n">
        <v>392</v>
      </c>
      <c r="G9701" s="5" t="n">
        <v>2345</v>
      </c>
      <c r="H9701" s="5" t="n">
        <v>36</v>
      </c>
      <c r="I9701" s="5" t="n">
        <v>20</v>
      </c>
      <c r="J9701" s="5" t="n">
        <v>16</v>
      </c>
      <c r="K9701" s="10">
        <f>IF(F9701&gt;0,H9701/F9701,"")</f>
        <v/>
      </c>
      <c r="L9701" s="16">
        <f>IF(AND(G9701&gt;0,H9701&gt;0),G9701/H9701,"")</f>
        <v/>
      </c>
    </row>
    <row r="9702">
      <c r="A9702" s="4" t="inlineStr">
        <is>
          <t>324</t>
        </is>
      </c>
      <c r="B9702" s="4" t="n">
        <v>3</v>
      </c>
      <c r="C9702" s="4" t="inlineStr">
        <is>
          <t>whitetail</t>
        </is>
      </c>
      <c r="D9702" s="4" t="n">
        <v>2011</v>
      </c>
      <c r="E9702" s="13" t="inlineStr">
        <is>
          <t>General</t>
        </is>
      </c>
      <c r="F9702" s="5" t="n">
        <v>337</v>
      </c>
      <c r="G9702" s="5" t="n">
        <v>1957</v>
      </c>
      <c r="H9702" s="5" t="n">
        <v>38</v>
      </c>
      <c r="I9702" s="5" t="n">
        <v>11</v>
      </c>
      <c r="J9702" s="5" t="n">
        <v>24</v>
      </c>
      <c r="K9702" s="10">
        <f>IF(F9702&gt;0,H9702/F9702,"")</f>
        <v/>
      </c>
      <c r="L9702" s="16">
        <f>IF(AND(G9702&gt;0,H9702&gt;0),G9702/H9702,"")</f>
        <v/>
      </c>
    </row>
    <row r="9703">
      <c r="A9703" s="4" t="inlineStr">
        <is>
          <t>324</t>
        </is>
      </c>
      <c r="B9703" s="4" t="n">
        <v>3</v>
      </c>
      <c r="C9703" s="4" t="inlineStr">
        <is>
          <t>whitetail</t>
        </is>
      </c>
      <c r="D9703" s="4" t="n">
        <v>2012</v>
      </c>
      <c r="E9703" s="13" t="inlineStr">
        <is>
          <t>General</t>
        </is>
      </c>
      <c r="F9703" s="5" t="n"/>
      <c r="G9703" s="5" t="n"/>
      <c r="H9703" s="5" t="n">
        <v>50</v>
      </c>
      <c r="I9703" s="5" t="n">
        <v>19</v>
      </c>
      <c r="J9703" s="5" t="n">
        <v>30</v>
      </c>
      <c r="K9703" s="10">
        <f>IF(F9703&gt;0,H9703/F9703,"")</f>
        <v/>
      </c>
      <c r="L9703" s="16">
        <f>IF(AND(G9703&gt;0,H9703&gt;0),G9703/H9703,"")</f>
        <v/>
      </c>
    </row>
    <row r="9704">
      <c r="A9704" s="4" t="inlineStr">
        <is>
          <t>324</t>
        </is>
      </c>
      <c r="B9704" s="4" t="n">
        <v>3</v>
      </c>
      <c r="C9704" s="4" t="inlineStr">
        <is>
          <t>whitetail</t>
        </is>
      </c>
      <c r="D9704" s="4" t="n">
        <v>2013</v>
      </c>
      <c r="E9704" s="13" t="inlineStr">
        <is>
          <t>General</t>
        </is>
      </c>
      <c r="F9704" s="5" t="n">
        <v>289</v>
      </c>
      <c r="G9704" s="5" t="n">
        <v>1922</v>
      </c>
      <c r="H9704" s="5" t="n">
        <v>17</v>
      </c>
      <c r="I9704" s="5" t="n">
        <v>8</v>
      </c>
      <c r="J9704" s="5" t="n">
        <v>9</v>
      </c>
      <c r="K9704" s="10">
        <f>IF(F9704&gt;0,H9704/F9704,"")</f>
        <v/>
      </c>
      <c r="L9704" s="16">
        <f>IF(AND(G9704&gt;0,H9704&gt;0),G9704/H9704,"")</f>
        <v/>
      </c>
    </row>
    <row r="9705">
      <c r="A9705" s="4" t="inlineStr">
        <is>
          <t>324</t>
        </is>
      </c>
      <c r="B9705" s="4" t="n">
        <v>3</v>
      </c>
      <c r="C9705" s="4" t="inlineStr">
        <is>
          <t>whitetail</t>
        </is>
      </c>
      <c r="D9705" s="4" t="n">
        <v>2014</v>
      </c>
      <c r="E9705" s="13" t="inlineStr">
        <is>
          <t>General</t>
        </is>
      </c>
      <c r="F9705" s="5" t="n"/>
      <c r="G9705" s="5" t="n"/>
      <c r="H9705" s="5" t="n">
        <v>47</v>
      </c>
      <c r="I9705" s="5" t="n">
        <v>25</v>
      </c>
      <c r="J9705" s="5" t="n">
        <v>19</v>
      </c>
      <c r="K9705" s="10">
        <f>IF(F9705&gt;0,H9705/F9705,"")</f>
        <v/>
      </c>
      <c r="L9705" s="16">
        <f>IF(AND(G9705&gt;0,H9705&gt;0),G9705/H9705,"")</f>
        <v/>
      </c>
    </row>
    <row r="9706">
      <c r="A9706" s="4" t="inlineStr">
        <is>
          <t>324</t>
        </is>
      </c>
      <c r="B9706" s="4" t="n">
        <v>3</v>
      </c>
      <c r="C9706" s="4" t="inlineStr">
        <is>
          <t>whitetail</t>
        </is>
      </c>
      <c r="D9706" s="4" t="n">
        <v>2015</v>
      </c>
      <c r="E9706" s="13" t="inlineStr">
        <is>
          <t>General</t>
        </is>
      </c>
      <c r="F9706" s="5" t="n"/>
      <c r="G9706" s="5" t="n"/>
      <c r="H9706" s="5" t="n">
        <v>66</v>
      </c>
      <c r="I9706" s="5" t="n">
        <v>30</v>
      </c>
      <c r="J9706" s="5" t="n">
        <v>36</v>
      </c>
      <c r="K9706" s="10">
        <f>IF(F9706&gt;0,H9706/F9706,"")</f>
        <v/>
      </c>
      <c r="L9706" s="16">
        <f>IF(AND(G9706&gt;0,H9706&gt;0),G9706/H9706,"")</f>
        <v/>
      </c>
    </row>
    <row r="9707">
      <c r="A9707" s="4" t="inlineStr">
        <is>
          <t>324</t>
        </is>
      </c>
      <c r="B9707" s="4" t="n">
        <v>3</v>
      </c>
      <c r="C9707" s="4" t="inlineStr">
        <is>
          <t>whitetail</t>
        </is>
      </c>
      <c r="D9707" s="4" t="n">
        <v>2016</v>
      </c>
      <c r="E9707" s="13" t="inlineStr">
        <is>
          <t>General</t>
        </is>
      </c>
      <c r="F9707" s="5" t="n"/>
      <c r="G9707" s="5" t="n"/>
      <c r="H9707" s="5" t="n">
        <v>66</v>
      </c>
      <c r="I9707" s="5" t="n">
        <v>27</v>
      </c>
      <c r="J9707" s="5" t="n">
        <v>34</v>
      </c>
      <c r="K9707" s="10">
        <f>IF(F9707&gt;0,H9707/F9707,"")</f>
        <v/>
      </c>
      <c r="L9707" s="16">
        <f>IF(AND(G9707&gt;0,H9707&gt;0),G9707/H9707,"")</f>
        <v/>
      </c>
    </row>
    <row r="9708">
      <c r="A9708" s="4" t="inlineStr">
        <is>
          <t>324</t>
        </is>
      </c>
      <c r="B9708" s="4" t="n">
        <v>3</v>
      </c>
      <c r="C9708" s="4" t="inlineStr">
        <is>
          <t>whitetail</t>
        </is>
      </c>
      <c r="D9708" s="4" t="n">
        <v>2017</v>
      </c>
      <c r="E9708" s="13" t="inlineStr">
        <is>
          <t>General</t>
        </is>
      </c>
      <c r="F9708" s="5" t="n">
        <v>416</v>
      </c>
      <c r="G9708" s="5" t="n">
        <v>2639</v>
      </c>
      <c r="H9708" s="5" t="n">
        <v>39</v>
      </c>
      <c r="I9708" s="5" t="n">
        <v>24</v>
      </c>
      <c r="J9708" s="5" t="n">
        <v>16</v>
      </c>
      <c r="K9708" s="10">
        <f>IF(F9708&gt;0,H9708/F9708,"")</f>
        <v/>
      </c>
      <c r="L9708" s="16">
        <f>IF(AND(G9708&gt;0,H9708&gt;0),G9708/H9708,"")</f>
        <v/>
      </c>
    </row>
    <row r="9709">
      <c r="A9709" s="4" t="inlineStr">
        <is>
          <t>324</t>
        </is>
      </c>
      <c r="B9709" s="4" t="n">
        <v>3</v>
      </c>
      <c r="C9709" s="4" t="inlineStr">
        <is>
          <t>whitetail</t>
        </is>
      </c>
      <c r="D9709" s="4" t="n">
        <v>2018</v>
      </c>
      <c r="E9709" s="13" t="inlineStr">
        <is>
          <t>General</t>
        </is>
      </c>
      <c r="F9709" s="5" t="n"/>
      <c r="G9709" s="5" t="n"/>
      <c r="H9709" s="5" t="n">
        <v>14</v>
      </c>
      <c r="I9709" s="5" t="n">
        <v>2</v>
      </c>
      <c r="J9709" s="5" t="n">
        <v>12</v>
      </c>
      <c r="K9709" s="10">
        <f>IF(F9709&gt;0,H9709/F9709,"")</f>
        <v/>
      </c>
      <c r="L9709" s="16">
        <f>IF(AND(G9709&gt;0,H9709&gt;0),G9709/H9709,"")</f>
        <v/>
      </c>
    </row>
    <row r="9710">
      <c r="A9710" s="4" t="inlineStr">
        <is>
          <t>324</t>
        </is>
      </c>
      <c r="B9710" s="4" t="n">
        <v>3</v>
      </c>
      <c r="C9710" s="4" t="inlineStr">
        <is>
          <t>whitetail</t>
        </is>
      </c>
      <c r="D9710" s="4" t="n">
        <v>2019</v>
      </c>
      <c r="E9710" s="13" t="inlineStr">
        <is>
          <t>General</t>
        </is>
      </c>
      <c r="F9710" s="5" t="n">
        <v>476</v>
      </c>
      <c r="G9710" s="5" t="n">
        <v>2679</v>
      </c>
      <c r="H9710" s="5" t="n">
        <v>65</v>
      </c>
      <c r="I9710" s="5" t="n">
        <v>36</v>
      </c>
      <c r="J9710" s="5" t="n">
        <v>26</v>
      </c>
      <c r="K9710" s="10">
        <f>IF(F9710&gt;0,H9710/F9710,"")</f>
        <v/>
      </c>
      <c r="L9710" s="16">
        <f>IF(AND(G9710&gt;0,H9710&gt;0),G9710/H9710,"")</f>
        <v/>
      </c>
    </row>
    <row r="9711">
      <c r="A9711" s="4" t="inlineStr">
        <is>
          <t>324</t>
        </is>
      </c>
      <c r="B9711" s="4" t="n">
        <v>3</v>
      </c>
      <c r="C9711" s="4" t="inlineStr">
        <is>
          <t>whitetail</t>
        </is>
      </c>
      <c r="D9711" s="4" t="n">
        <v>2020</v>
      </c>
      <c r="E9711" s="13" t="inlineStr">
        <is>
          <t>General</t>
        </is>
      </c>
      <c r="F9711" s="5" t="n"/>
      <c r="G9711" s="5" t="n"/>
      <c r="H9711" s="5" t="n">
        <v>58</v>
      </c>
      <c r="I9711" s="5" t="n">
        <v>23</v>
      </c>
      <c r="J9711" s="5" t="n">
        <v>28</v>
      </c>
      <c r="K9711" s="10">
        <f>IF(F9711&gt;0,H9711/F9711,"")</f>
        <v/>
      </c>
      <c r="L9711" s="16">
        <f>IF(AND(G9711&gt;0,H9711&gt;0),G9711/H9711,"")</f>
        <v/>
      </c>
    </row>
    <row r="9712">
      <c r="A9712" s="4" t="inlineStr">
        <is>
          <t>324</t>
        </is>
      </c>
      <c r="B9712" s="4" t="n">
        <v>3</v>
      </c>
      <c r="C9712" s="4" t="inlineStr">
        <is>
          <t>whitetail</t>
        </is>
      </c>
      <c r="D9712" s="4" t="n">
        <v>2021</v>
      </c>
      <c r="E9712" s="13" t="inlineStr">
        <is>
          <t>General</t>
        </is>
      </c>
      <c r="F9712" s="5" t="n">
        <v>532</v>
      </c>
      <c r="G9712" s="5" t="n">
        <v>3545</v>
      </c>
      <c r="H9712" s="5" t="n">
        <v>70</v>
      </c>
      <c r="I9712" s="5" t="n">
        <v>41</v>
      </c>
      <c r="J9712" s="5" t="n">
        <v>29</v>
      </c>
      <c r="K9712" s="10">
        <f>IF(F9712&gt;0,H9712/F9712,"")</f>
        <v/>
      </c>
      <c r="L9712" s="16">
        <f>IF(AND(G9712&gt;0,H9712&gt;0),G9712/H9712,"")</f>
        <v/>
      </c>
    </row>
    <row r="9713">
      <c r="A9713" s="4" t="inlineStr">
        <is>
          <t>324</t>
        </is>
      </c>
      <c r="B9713" s="4" t="n">
        <v>3</v>
      </c>
      <c r="C9713" s="4" t="inlineStr">
        <is>
          <t>whitetail</t>
        </is>
      </c>
      <c r="D9713" s="4" t="n">
        <v>2024</v>
      </c>
      <c r="E9713" s="13" t="inlineStr">
        <is>
          <t>General</t>
        </is>
      </c>
      <c r="F9713" s="5" t="n"/>
      <c r="G9713" s="5" t="n"/>
      <c r="H9713" s="5" t="n">
        <v>275</v>
      </c>
      <c r="I9713" s="5" t="n">
        <v>130</v>
      </c>
      <c r="J9713" s="5" t="n">
        <v>144</v>
      </c>
      <c r="K9713" s="10">
        <f>IF(F9713&gt;0,H9713/F9713,"")</f>
        <v/>
      </c>
      <c r="L9713" s="16">
        <f>IF(AND(G9713&gt;0,H9713&gt;0),G9713/H9713,"")</f>
        <v/>
      </c>
    </row>
    <row r="9714">
      <c r="A9714" s="4" t="inlineStr">
        <is>
          <t>324</t>
        </is>
      </c>
      <c r="B9714" s="4" t="n">
        <v>3</v>
      </c>
      <c r="C9714" s="4" t="inlineStr">
        <is>
          <t>whitetail</t>
        </is>
      </c>
      <c r="D9714" s="4" t="n">
        <v>2025</v>
      </c>
      <c r="E9714" s="13" t="inlineStr">
        <is>
          <t>General</t>
        </is>
      </c>
      <c r="F9714" s="5" t="n">
        <v>1535</v>
      </c>
      <c r="G9714" s="5" t="n">
        <v>9522</v>
      </c>
      <c r="H9714" s="5" t="n">
        <v>299</v>
      </c>
      <c r="I9714" s="5" t="n">
        <v>172</v>
      </c>
      <c r="J9714" s="5" t="n">
        <v>127</v>
      </c>
      <c r="K9714" s="10">
        <f>IF(F9714&gt;0,H9714/F9714,"")</f>
        <v/>
      </c>
      <c r="L9714" s="16">
        <f>IF(AND(G9714&gt;0,H9714&gt;0),G9714/H9714,"")</f>
        <v/>
      </c>
    </row>
    <row r="9715">
      <c r="A9715" s="4" t="inlineStr">
        <is>
          <t>325</t>
        </is>
      </c>
      <c r="B9715" s="4" t="n">
        <v>3</v>
      </c>
      <c r="C9715" s="4" t="inlineStr">
        <is>
          <t>whitetail</t>
        </is>
      </c>
      <c r="D9715" s="4" t="n">
        <v>2004</v>
      </c>
      <c r="E9715" s="4" t="inlineStr"/>
      <c r="F9715" s="5" t="n">
        <v>1259</v>
      </c>
      <c r="G9715" s="5" t="n">
        <v>6281</v>
      </c>
      <c r="H9715" s="5" t="n">
        <v>219</v>
      </c>
      <c r="I9715" s="5" t="n">
        <v>97</v>
      </c>
      <c r="J9715" s="5" t="n">
        <v>118</v>
      </c>
      <c r="K9715" s="10">
        <f>IF(F9715&gt;0,H9715/F9715,"")</f>
        <v/>
      </c>
      <c r="L9715" s="16">
        <f>IF(AND(G9715&gt;0,H9715&gt;0),G9715/H9715,"")</f>
        <v/>
      </c>
    </row>
    <row r="9716">
      <c r="A9716" s="4" t="inlineStr">
        <is>
          <t>325</t>
        </is>
      </c>
      <c r="B9716" s="4" t="n">
        <v>3</v>
      </c>
      <c r="C9716" s="4" t="inlineStr">
        <is>
          <t>whitetail</t>
        </is>
      </c>
      <c r="D9716" s="4" t="n">
        <v>2005</v>
      </c>
      <c r="E9716" s="4" t="inlineStr"/>
      <c r="F9716" s="5" t="n">
        <v>978</v>
      </c>
      <c r="G9716" s="5" t="n">
        <v>5155</v>
      </c>
      <c r="H9716" s="5" t="n">
        <v>201</v>
      </c>
      <c r="I9716" s="5" t="n">
        <v>90</v>
      </c>
      <c r="J9716" s="5" t="n">
        <v>110</v>
      </c>
      <c r="K9716" s="10">
        <f>IF(F9716&gt;0,H9716/F9716,"")</f>
        <v/>
      </c>
      <c r="L9716" s="16">
        <f>IF(AND(G9716&gt;0,H9716&gt;0),G9716/H9716,"")</f>
        <v/>
      </c>
    </row>
    <row r="9717">
      <c r="A9717" s="4" t="inlineStr">
        <is>
          <t>325</t>
        </is>
      </c>
      <c r="B9717" s="4" t="n">
        <v>3</v>
      </c>
      <c r="C9717" s="4" t="inlineStr">
        <is>
          <t>whitetail</t>
        </is>
      </c>
      <c r="D9717" s="4" t="n">
        <v>2006</v>
      </c>
      <c r="E9717" s="4" t="inlineStr"/>
      <c r="F9717" s="5" t="n">
        <v>1171</v>
      </c>
      <c r="G9717" s="5" t="n">
        <v>5455</v>
      </c>
      <c r="H9717" s="5" t="n">
        <v>219</v>
      </c>
      <c r="I9717" s="5" t="n">
        <v>130</v>
      </c>
      <c r="J9717" s="5" t="n">
        <v>89</v>
      </c>
      <c r="K9717" s="10">
        <f>IF(F9717&gt;0,H9717/F9717,"")</f>
        <v/>
      </c>
      <c r="L9717" s="16">
        <f>IF(AND(G9717&gt;0,H9717&gt;0),G9717/H9717,"")</f>
        <v/>
      </c>
    </row>
    <row r="9718">
      <c r="A9718" s="4" t="inlineStr">
        <is>
          <t>325</t>
        </is>
      </c>
      <c r="B9718" s="4" t="n">
        <v>3</v>
      </c>
      <c r="C9718" s="4" t="inlineStr">
        <is>
          <t>whitetail</t>
        </is>
      </c>
      <c r="D9718" s="4" t="n">
        <v>2007</v>
      </c>
      <c r="E9718" s="4" t="inlineStr"/>
      <c r="F9718" s="5" t="n">
        <v>1231</v>
      </c>
      <c r="G9718" s="5" t="n">
        <v>6036</v>
      </c>
      <c r="H9718" s="5" t="n">
        <v>292</v>
      </c>
      <c r="I9718" s="5" t="n">
        <v>145</v>
      </c>
      <c r="J9718" s="5" t="n">
        <v>143</v>
      </c>
      <c r="K9718" s="10">
        <f>IF(F9718&gt;0,H9718/F9718,"")</f>
        <v/>
      </c>
      <c r="L9718" s="16">
        <f>IF(AND(G9718&gt;0,H9718&gt;0),G9718/H9718,"")</f>
        <v/>
      </c>
    </row>
    <row r="9719">
      <c r="A9719" s="4" t="inlineStr">
        <is>
          <t>325</t>
        </is>
      </c>
      <c r="B9719" s="4" t="n">
        <v>3</v>
      </c>
      <c r="C9719" s="4" t="inlineStr">
        <is>
          <t>whitetail</t>
        </is>
      </c>
      <c r="D9719" s="4" t="n">
        <v>2008</v>
      </c>
      <c r="E9719" s="4" t="inlineStr"/>
      <c r="F9719" s="5" t="n">
        <v>1270</v>
      </c>
      <c r="G9719" s="5" t="n">
        <v>6496</v>
      </c>
      <c r="H9719" s="5" t="n">
        <v>262</v>
      </c>
      <c r="I9719" s="5" t="n">
        <v>143</v>
      </c>
      <c r="J9719" s="5" t="n">
        <v>119</v>
      </c>
      <c r="K9719" s="10">
        <f>IF(F9719&gt;0,H9719/F9719,"")</f>
        <v/>
      </c>
      <c r="L9719" s="16">
        <f>IF(AND(G9719&gt;0,H9719&gt;0),G9719/H9719,"")</f>
        <v/>
      </c>
    </row>
    <row r="9720">
      <c r="A9720" s="4" t="inlineStr">
        <is>
          <t>325</t>
        </is>
      </c>
      <c r="B9720" s="4" t="n">
        <v>3</v>
      </c>
      <c r="C9720" s="4" t="inlineStr">
        <is>
          <t>whitetail</t>
        </is>
      </c>
      <c r="D9720" s="4" t="n">
        <v>2009</v>
      </c>
      <c r="E9720" s="4" t="inlineStr"/>
      <c r="F9720" s="5" t="n">
        <v>1341</v>
      </c>
      <c r="G9720" s="5" t="n">
        <v>6820</v>
      </c>
      <c r="H9720" s="5" t="n">
        <v>254</v>
      </c>
      <c r="I9720" s="5" t="n">
        <v>145</v>
      </c>
      <c r="J9720" s="5" t="n">
        <v>103</v>
      </c>
      <c r="K9720" s="10">
        <f>IF(F9720&gt;0,H9720/F9720,"")</f>
        <v/>
      </c>
      <c r="L9720" s="16">
        <f>IF(AND(G9720&gt;0,H9720&gt;0),G9720/H9720,"")</f>
        <v/>
      </c>
    </row>
    <row r="9721">
      <c r="A9721" s="4" t="inlineStr">
        <is>
          <t>325</t>
        </is>
      </c>
      <c r="B9721" s="4" t="n">
        <v>3</v>
      </c>
      <c r="C9721" s="4" t="inlineStr">
        <is>
          <t>whitetail</t>
        </is>
      </c>
      <c r="D9721" s="4" t="n">
        <v>2010</v>
      </c>
      <c r="E9721" s="4" t="inlineStr"/>
      <c r="F9721" s="5" t="n">
        <v>1265</v>
      </c>
      <c r="G9721" s="5" t="n">
        <v>6459</v>
      </c>
      <c r="H9721" s="5" t="n">
        <v>265</v>
      </c>
      <c r="I9721" s="5" t="n">
        <v>154</v>
      </c>
      <c r="J9721" s="5" t="n">
        <v>108</v>
      </c>
      <c r="K9721" s="10">
        <f>IF(F9721&gt;0,H9721/F9721,"")</f>
        <v/>
      </c>
      <c r="L9721" s="16">
        <f>IF(AND(G9721&gt;0,H9721&gt;0),G9721/H9721,"")</f>
        <v/>
      </c>
    </row>
    <row r="9722">
      <c r="A9722" s="4" t="inlineStr">
        <is>
          <t>325</t>
        </is>
      </c>
      <c r="B9722" s="4" t="n">
        <v>3</v>
      </c>
      <c r="C9722" s="4" t="inlineStr">
        <is>
          <t>whitetail</t>
        </is>
      </c>
      <c r="D9722" s="4" t="n">
        <v>2011</v>
      </c>
      <c r="E9722" s="4" t="inlineStr"/>
      <c r="F9722" s="5" t="n">
        <v>1098</v>
      </c>
      <c r="G9722" s="5" t="n">
        <v>5261</v>
      </c>
      <c r="H9722" s="5" t="n">
        <v>313</v>
      </c>
      <c r="I9722" s="5" t="n">
        <v>140</v>
      </c>
      <c r="J9722" s="5" t="n">
        <v>166</v>
      </c>
      <c r="K9722" s="10">
        <f>IF(F9722&gt;0,H9722/F9722,"")</f>
        <v/>
      </c>
      <c r="L9722" s="16">
        <f>IF(AND(G9722&gt;0,H9722&gt;0),G9722/H9722,"")</f>
        <v/>
      </c>
    </row>
    <row r="9723">
      <c r="A9723" s="4" t="inlineStr">
        <is>
          <t>325</t>
        </is>
      </c>
      <c r="B9723" s="4" t="n">
        <v>3</v>
      </c>
      <c r="C9723" s="4" t="inlineStr">
        <is>
          <t>whitetail</t>
        </is>
      </c>
      <c r="D9723" s="4" t="n">
        <v>2012</v>
      </c>
      <c r="E9723" s="4" t="inlineStr"/>
      <c r="F9723" s="5" t="n"/>
      <c r="G9723" s="5" t="n"/>
      <c r="H9723" s="5" t="n">
        <v>351</v>
      </c>
      <c r="I9723" s="5" t="n">
        <v>179</v>
      </c>
      <c r="J9723" s="5" t="n">
        <v>169</v>
      </c>
      <c r="K9723" s="10">
        <f>IF(F9723&gt;0,H9723/F9723,"")</f>
        <v/>
      </c>
      <c r="L9723" s="16">
        <f>IF(AND(G9723&gt;0,H9723&gt;0),G9723/H9723,"")</f>
        <v/>
      </c>
    </row>
    <row r="9724">
      <c r="A9724" s="4" t="inlineStr">
        <is>
          <t>325</t>
        </is>
      </c>
      <c r="B9724" s="4" t="n">
        <v>3</v>
      </c>
      <c r="C9724" s="4" t="inlineStr">
        <is>
          <t>whitetail</t>
        </is>
      </c>
      <c r="D9724" s="4" t="n">
        <v>2013</v>
      </c>
      <c r="E9724" s="4" t="inlineStr"/>
      <c r="F9724" s="5" t="n">
        <v>1288</v>
      </c>
      <c r="G9724" s="5" t="n">
        <v>7055</v>
      </c>
      <c r="H9724" s="5" t="n">
        <v>289</v>
      </c>
      <c r="I9724" s="5" t="n">
        <v>151</v>
      </c>
      <c r="J9724" s="5" t="n">
        <v>138</v>
      </c>
      <c r="K9724" s="10">
        <f>IF(F9724&gt;0,H9724/F9724,"")</f>
        <v/>
      </c>
      <c r="L9724" s="16">
        <f>IF(AND(G9724&gt;0,H9724&gt;0),G9724/H9724,"")</f>
        <v/>
      </c>
    </row>
    <row r="9725">
      <c r="A9725" s="4" t="inlineStr">
        <is>
          <t>325</t>
        </is>
      </c>
      <c r="B9725" s="4" t="n">
        <v>3</v>
      </c>
      <c r="C9725" s="4" t="inlineStr">
        <is>
          <t>whitetail</t>
        </is>
      </c>
      <c r="D9725" s="4" t="n">
        <v>2014</v>
      </c>
      <c r="E9725" s="4" t="inlineStr"/>
      <c r="F9725" s="5" t="n"/>
      <c r="G9725" s="5" t="n"/>
      <c r="H9725" s="5" t="n">
        <v>389</v>
      </c>
      <c r="I9725" s="5" t="n">
        <v>223</v>
      </c>
      <c r="J9725" s="5" t="n">
        <v>159</v>
      </c>
      <c r="K9725" s="10">
        <f>IF(F9725&gt;0,H9725/F9725,"")</f>
        <v/>
      </c>
      <c r="L9725" s="16">
        <f>IF(AND(G9725&gt;0,H9725&gt;0),G9725/H9725,"")</f>
        <v/>
      </c>
    </row>
    <row r="9726">
      <c r="A9726" s="4" t="inlineStr">
        <is>
          <t>325</t>
        </is>
      </c>
      <c r="B9726" s="4" t="n">
        <v>3</v>
      </c>
      <c r="C9726" s="4" t="inlineStr">
        <is>
          <t>whitetail</t>
        </is>
      </c>
      <c r="D9726" s="4" t="n">
        <v>2015</v>
      </c>
      <c r="E9726" s="4" t="inlineStr"/>
      <c r="F9726" s="5" t="n"/>
      <c r="G9726" s="5" t="n"/>
      <c r="H9726" s="5" t="n">
        <v>373</v>
      </c>
      <c r="I9726" s="5" t="n">
        <v>206</v>
      </c>
      <c r="J9726" s="5" t="n">
        <v>161</v>
      </c>
      <c r="K9726" s="10">
        <f>IF(F9726&gt;0,H9726/F9726,"")</f>
        <v/>
      </c>
      <c r="L9726" s="16">
        <f>IF(AND(G9726&gt;0,H9726&gt;0),G9726/H9726,"")</f>
        <v/>
      </c>
    </row>
    <row r="9727">
      <c r="A9727" s="4" t="inlineStr">
        <is>
          <t>325</t>
        </is>
      </c>
      <c r="B9727" s="4" t="n">
        <v>3</v>
      </c>
      <c r="C9727" s="4" t="inlineStr">
        <is>
          <t>whitetail</t>
        </is>
      </c>
      <c r="D9727" s="4" t="n">
        <v>2016</v>
      </c>
      <c r="E9727" s="4" t="inlineStr"/>
      <c r="F9727" s="5" t="n"/>
      <c r="G9727" s="5" t="n"/>
      <c r="H9727" s="5" t="n">
        <v>340</v>
      </c>
      <c r="I9727" s="5" t="n">
        <v>145</v>
      </c>
      <c r="J9727" s="5" t="n">
        <v>192</v>
      </c>
      <c r="K9727" s="10">
        <f>IF(F9727&gt;0,H9727/F9727,"")</f>
        <v/>
      </c>
      <c r="L9727" s="16">
        <f>IF(AND(G9727&gt;0,H9727&gt;0),G9727/H9727,"")</f>
        <v/>
      </c>
    </row>
    <row r="9728">
      <c r="A9728" s="4" t="inlineStr">
        <is>
          <t>325</t>
        </is>
      </c>
      <c r="B9728" s="4" t="n">
        <v>3</v>
      </c>
      <c r="C9728" s="4" t="inlineStr">
        <is>
          <t>whitetail</t>
        </is>
      </c>
      <c r="D9728" s="4" t="n">
        <v>2017</v>
      </c>
      <c r="E9728" s="4" t="inlineStr"/>
      <c r="F9728" s="5" t="n">
        <v>1483</v>
      </c>
      <c r="G9728" s="5" t="n">
        <v>7459</v>
      </c>
      <c r="H9728" s="5" t="n">
        <v>316</v>
      </c>
      <c r="I9728" s="5" t="n">
        <v>183</v>
      </c>
      <c r="J9728" s="5" t="n">
        <v>130</v>
      </c>
      <c r="K9728" s="10">
        <f>IF(F9728&gt;0,H9728/F9728,"")</f>
        <v/>
      </c>
      <c r="L9728" s="16">
        <f>IF(AND(G9728&gt;0,H9728&gt;0),G9728/H9728,"")</f>
        <v/>
      </c>
    </row>
    <row r="9729">
      <c r="A9729" s="4" t="inlineStr">
        <is>
          <t>325</t>
        </is>
      </c>
      <c r="B9729" s="4" t="n">
        <v>3</v>
      </c>
      <c r="C9729" s="4" t="inlineStr">
        <is>
          <t>whitetail</t>
        </is>
      </c>
      <c r="D9729" s="4" t="n">
        <v>2018</v>
      </c>
      <c r="E9729" s="4" t="inlineStr"/>
      <c r="F9729" s="5" t="n"/>
      <c r="G9729" s="5" t="n"/>
      <c r="H9729" s="5" t="n">
        <v>301</v>
      </c>
      <c r="I9729" s="5" t="n">
        <v>114</v>
      </c>
      <c r="J9729" s="5" t="n">
        <v>187</v>
      </c>
      <c r="K9729" s="10">
        <f>IF(F9729&gt;0,H9729/F9729,"")</f>
        <v/>
      </c>
      <c r="L9729" s="16">
        <f>IF(AND(G9729&gt;0,H9729&gt;0),G9729/H9729,"")</f>
        <v/>
      </c>
    </row>
    <row r="9730">
      <c r="A9730" s="4" t="inlineStr">
        <is>
          <t>325</t>
        </is>
      </c>
      <c r="B9730" s="4" t="n">
        <v>3</v>
      </c>
      <c r="C9730" s="4" t="inlineStr">
        <is>
          <t>whitetail</t>
        </is>
      </c>
      <c r="D9730" s="4" t="n">
        <v>2019</v>
      </c>
      <c r="E9730" s="4" t="inlineStr"/>
      <c r="F9730" s="5" t="n">
        <v>1532</v>
      </c>
      <c r="G9730" s="5" t="n">
        <v>8433</v>
      </c>
      <c r="H9730" s="5" t="n">
        <v>362</v>
      </c>
      <c r="I9730" s="5" t="n">
        <v>155</v>
      </c>
      <c r="J9730" s="5" t="n">
        <v>207</v>
      </c>
      <c r="K9730" s="10">
        <f>IF(F9730&gt;0,H9730/F9730,"")</f>
        <v/>
      </c>
      <c r="L9730" s="16">
        <f>IF(AND(G9730&gt;0,H9730&gt;0),G9730/H9730,"")</f>
        <v/>
      </c>
    </row>
    <row r="9731">
      <c r="A9731" s="4" t="inlineStr">
        <is>
          <t>325</t>
        </is>
      </c>
      <c r="B9731" s="4" t="n">
        <v>3</v>
      </c>
      <c r="C9731" s="4" t="inlineStr">
        <is>
          <t>whitetail</t>
        </is>
      </c>
      <c r="D9731" s="4" t="n">
        <v>2020</v>
      </c>
      <c r="E9731" s="4" t="inlineStr"/>
      <c r="F9731" s="5" t="n"/>
      <c r="G9731" s="5" t="n"/>
      <c r="H9731" s="5" t="n">
        <v>386</v>
      </c>
      <c r="I9731" s="5" t="n">
        <v>177</v>
      </c>
      <c r="J9731" s="5" t="n">
        <v>208</v>
      </c>
      <c r="K9731" s="10">
        <f>IF(F9731&gt;0,H9731/F9731,"")</f>
        <v/>
      </c>
      <c r="L9731" s="16">
        <f>IF(AND(G9731&gt;0,H9731&gt;0),G9731/H9731,"")</f>
        <v/>
      </c>
    </row>
    <row r="9732">
      <c r="A9732" s="4" t="inlineStr">
        <is>
          <t>325</t>
        </is>
      </c>
      <c r="B9732" s="4" t="n">
        <v>3</v>
      </c>
      <c r="C9732" s="4" t="inlineStr">
        <is>
          <t>whitetail</t>
        </is>
      </c>
      <c r="D9732" s="4" t="n">
        <v>2021</v>
      </c>
      <c r="E9732" s="4" t="inlineStr"/>
      <c r="F9732" s="5" t="n">
        <v>1647</v>
      </c>
      <c r="G9732" s="5" t="n">
        <v>9594</v>
      </c>
      <c r="H9732" s="5" t="n">
        <v>313</v>
      </c>
      <c r="I9732" s="5" t="n">
        <v>172</v>
      </c>
      <c r="J9732" s="5" t="n">
        <v>142</v>
      </c>
      <c r="K9732" s="10">
        <f>IF(F9732&gt;0,H9732/F9732,"")</f>
        <v/>
      </c>
      <c r="L9732" s="16">
        <f>IF(AND(G9732&gt;0,H9732&gt;0),G9732/H9732,"")</f>
        <v/>
      </c>
    </row>
    <row r="9733">
      <c r="A9733" s="4" t="inlineStr">
        <is>
          <t>326</t>
        </is>
      </c>
      <c r="B9733" s="4" t="n">
        <v>3</v>
      </c>
      <c r="C9733" s="4" t="inlineStr">
        <is>
          <t>whitetail</t>
        </is>
      </c>
      <c r="D9733" s="4" t="n">
        <v>2004</v>
      </c>
      <c r="E9733" s="4" t="inlineStr"/>
      <c r="F9733" s="5" t="n">
        <v>1045</v>
      </c>
      <c r="G9733" s="5" t="n">
        <v>4230</v>
      </c>
      <c r="H9733" s="5" t="n">
        <v>175</v>
      </c>
      <c r="I9733" s="5" t="n">
        <v>71</v>
      </c>
      <c r="J9733" s="5" t="n">
        <v>96</v>
      </c>
      <c r="K9733" s="10">
        <f>IF(F9733&gt;0,H9733/F9733,"")</f>
        <v/>
      </c>
      <c r="L9733" s="16">
        <f>IF(AND(G9733&gt;0,H9733&gt;0),G9733/H9733,"")</f>
        <v/>
      </c>
    </row>
    <row r="9734">
      <c r="A9734" s="4" t="inlineStr">
        <is>
          <t>326</t>
        </is>
      </c>
      <c r="B9734" s="4" t="n">
        <v>3</v>
      </c>
      <c r="C9734" s="4" t="inlineStr">
        <is>
          <t>whitetail</t>
        </is>
      </c>
      <c r="D9734" s="4" t="n">
        <v>2005</v>
      </c>
      <c r="E9734" s="4" t="inlineStr"/>
      <c r="F9734" s="5" t="n">
        <v>775</v>
      </c>
      <c r="G9734" s="5" t="n">
        <v>4073</v>
      </c>
      <c r="H9734" s="5" t="n">
        <v>132</v>
      </c>
      <c r="I9734" s="5" t="n">
        <v>36</v>
      </c>
      <c r="J9734" s="5" t="n">
        <v>95</v>
      </c>
      <c r="K9734" s="10">
        <f>IF(F9734&gt;0,H9734/F9734,"")</f>
        <v/>
      </c>
      <c r="L9734" s="16">
        <f>IF(AND(G9734&gt;0,H9734&gt;0),G9734/H9734,"")</f>
        <v/>
      </c>
    </row>
    <row r="9735">
      <c r="A9735" s="4" t="inlineStr">
        <is>
          <t>326</t>
        </is>
      </c>
      <c r="B9735" s="4" t="n">
        <v>3</v>
      </c>
      <c r="C9735" s="4" t="inlineStr">
        <is>
          <t>whitetail</t>
        </is>
      </c>
      <c r="D9735" s="4" t="n">
        <v>2006</v>
      </c>
      <c r="E9735" s="4" t="inlineStr"/>
      <c r="F9735" s="5" t="n">
        <v>532</v>
      </c>
      <c r="G9735" s="5" t="n">
        <v>2394</v>
      </c>
      <c r="H9735" s="5" t="n">
        <v>193</v>
      </c>
      <c r="I9735" s="5" t="n">
        <v>82</v>
      </c>
      <c r="J9735" s="5" t="n">
        <v>112</v>
      </c>
      <c r="K9735" s="10">
        <f>IF(F9735&gt;0,H9735/F9735,"")</f>
        <v/>
      </c>
      <c r="L9735" s="16">
        <f>IF(AND(G9735&gt;0,H9735&gt;0),G9735/H9735,"")</f>
        <v/>
      </c>
    </row>
    <row r="9736">
      <c r="A9736" s="4" t="inlineStr">
        <is>
          <t>326</t>
        </is>
      </c>
      <c r="B9736" s="4" t="n">
        <v>3</v>
      </c>
      <c r="C9736" s="4" t="inlineStr">
        <is>
          <t>whitetail</t>
        </is>
      </c>
      <c r="D9736" s="4" t="n">
        <v>2007</v>
      </c>
      <c r="E9736" s="4" t="inlineStr"/>
      <c r="F9736" s="5" t="n">
        <v>661</v>
      </c>
      <c r="G9736" s="5" t="n">
        <v>3218</v>
      </c>
      <c r="H9736" s="5" t="n">
        <v>137</v>
      </c>
      <c r="I9736" s="5" t="n">
        <v>39</v>
      </c>
      <c r="J9736" s="5" t="n">
        <v>98</v>
      </c>
      <c r="K9736" s="10">
        <f>IF(F9736&gt;0,H9736/F9736,"")</f>
        <v/>
      </c>
      <c r="L9736" s="16">
        <f>IF(AND(G9736&gt;0,H9736&gt;0),G9736/H9736,"")</f>
        <v/>
      </c>
    </row>
    <row r="9737">
      <c r="A9737" s="4" t="inlineStr">
        <is>
          <t>326</t>
        </is>
      </c>
      <c r="B9737" s="4" t="n">
        <v>3</v>
      </c>
      <c r="C9737" s="4" t="inlineStr">
        <is>
          <t>whitetail</t>
        </is>
      </c>
      <c r="D9737" s="4" t="n">
        <v>2008</v>
      </c>
      <c r="E9737" s="4" t="inlineStr"/>
      <c r="F9737" s="5" t="n">
        <v>678</v>
      </c>
      <c r="G9737" s="5" t="n">
        <v>3152</v>
      </c>
      <c r="H9737" s="5" t="n">
        <v>138</v>
      </c>
      <c r="I9737" s="5" t="n">
        <v>62</v>
      </c>
      <c r="J9737" s="5" t="n">
        <v>76</v>
      </c>
      <c r="K9737" s="10">
        <f>IF(F9737&gt;0,H9737/F9737,"")</f>
        <v/>
      </c>
      <c r="L9737" s="16">
        <f>IF(AND(G9737&gt;0,H9737&gt;0),G9737/H9737,"")</f>
        <v/>
      </c>
    </row>
    <row r="9738">
      <c r="A9738" s="4" t="inlineStr">
        <is>
          <t>326</t>
        </is>
      </c>
      <c r="B9738" s="4" t="n">
        <v>3</v>
      </c>
      <c r="C9738" s="4" t="inlineStr">
        <is>
          <t>whitetail</t>
        </is>
      </c>
      <c r="D9738" s="4" t="n">
        <v>2009</v>
      </c>
      <c r="E9738" s="4" t="inlineStr"/>
      <c r="F9738" s="5" t="n">
        <v>681</v>
      </c>
      <c r="G9738" s="5" t="n">
        <v>3452</v>
      </c>
      <c r="H9738" s="5" t="n">
        <v>117</v>
      </c>
      <c r="I9738" s="5" t="n">
        <v>53</v>
      </c>
      <c r="J9738" s="5" t="n">
        <v>64</v>
      </c>
      <c r="K9738" s="10">
        <f>IF(F9738&gt;0,H9738/F9738,"")</f>
        <v/>
      </c>
      <c r="L9738" s="16">
        <f>IF(AND(G9738&gt;0,H9738&gt;0),G9738/H9738,"")</f>
        <v/>
      </c>
    </row>
    <row r="9739">
      <c r="A9739" s="4" t="inlineStr">
        <is>
          <t>326</t>
        </is>
      </c>
      <c r="B9739" s="4" t="n">
        <v>3</v>
      </c>
      <c r="C9739" s="4" t="inlineStr">
        <is>
          <t>whitetail</t>
        </is>
      </c>
      <c r="D9739" s="4" t="n">
        <v>2010</v>
      </c>
      <c r="E9739" s="4" t="inlineStr"/>
      <c r="F9739" s="5" t="n">
        <v>608</v>
      </c>
      <c r="G9739" s="5" t="n">
        <v>2751</v>
      </c>
      <c r="H9739" s="5" t="n">
        <v>112</v>
      </c>
      <c r="I9739" s="5" t="n">
        <v>37</v>
      </c>
      <c r="J9739" s="5" t="n">
        <v>73</v>
      </c>
      <c r="K9739" s="10">
        <f>IF(F9739&gt;0,H9739/F9739,"")</f>
        <v/>
      </c>
      <c r="L9739" s="16">
        <f>IF(AND(G9739&gt;0,H9739&gt;0),G9739/H9739,"")</f>
        <v/>
      </c>
    </row>
    <row r="9740">
      <c r="A9740" s="4" t="inlineStr">
        <is>
          <t>326</t>
        </is>
      </c>
      <c r="B9740" s="4" t="n">
        <v>3</v>
      </c>
      <c r="C9740" s="4" t="inlineStr">
        <is>
          <t>whitetail</t>
        </is>
      </c>
      <c r="D9740" s="4" t="n">
        <v>2011</v>
      </c>
      <c r="E9740" s="4" t="inlineStr"/>
      <c r="F9740" s="5" t="n">
        <v>515</v>
      </c>
      <c r="G9740" s="5" t="n">
        <v>2575</v>
      </c>
      <c r="H9740" s="5" t="n">
        <v>112</v>
      </c>
      <c r="I9740" s="5" t="n">
        <v>62</v>
      </c>
      <c r="J9740" s="5" t="n">
        <v>50</v>
      </c>
      <c r="K9740" s="10">
        <f>IF(F9740&gt;0,H9740/F9740,"")</f>
        <v/>
      </c>
      <c r="L9740" s="16">
        <f>IF(AND(G9740&gt;0,H9740&gt;0),G9740/H9740,"")</f>
        <v/>
      </c>
    </row>
    <row r="9741">
      <c r="A9741" s="4" t="inlineStr">
        <is>
          <t>326</t>
        </is>
      </c>
      <c r="B9741" s="4" t="n">
        <v>3</v>
      </c>
      <c r="C9741" s="4" t="inlineStr">
        <is>
          <t>whitetail</t>
        </is>
      </c>
      <c r="D9741" s="4" t="n">
        <v>2012</v>
      </c>
      <c r="E9741" s="4" t="inlineStr"/>
      <c r="F9741" s="5" t="n"/>
      <c r="G9741" s="5" t="n"/>
      <c r="H9741" s="5" t="n">
        <v>138</v>
      </c>
      <c r="I9741" s="5" t="n">
        <v>86</v>
      </c>
      <c r="J9741" s="5" t="n">
        <v>52</v>
      </c>
      <c r="K9741" s="10">
        <f>IF(F9741&gt;0,H9741/F9741,"")</f>
        <v/>
      </c>
      <c r="L9741" s="16">
        <f>IF(AND(G9741&gt;0,H9741&gt;0),G9741/H9741,"")</f>
        <v/>
      </c>
    </row>
    <row r="9742">
      <c r="A9742" s="4" t="inlineStr">
        <is>
          <t>326</t>
        </is>
      </c>
      <c r="B9742" s="4" t="n">
        <v>3</v>
      </c>
      <c r="C9742" s="4" t="inlineStr">
        <is>
          <t>whitetail</t>
        </is>
      </c>
      <c r="D9742" s="4" t="n">
        <v>2013</v>
      </c>
      <c r="E9742" s="4" t="inlineStr"/>
      <c r="F9742" s="5" t="n">
        <v>484</v>
      </c>
      <c r="G9742" s="5" t="n">
        <v>2188</v>
      </c>
      <c r="H9742" s="5" t="n">
        <v>83</v>
      </c>
      <c r="I9742" s="5" t="n">
        <v>37</v>
      </c>
      <c r="J9742" s="5" t="n">
        <v>43</v>
      </c>
      <c r="K9742" s="10">
        <f>IF(F9742&gt;0,H9742/F9742,"")</f>
        <v/>
      </c>
      <c r="L9742" s="16">
        <f>IF(AND(G9742&gt;0,H9742&gt;0),G9742/H9742,"")</f>
        <v/>
      </c>
    </row>
    <row r="9743">
      <c r="A9743" s="4" t="inlineStr">
        <is>
          <t>326</t>
        </is>
      </c>
      <c r="B9743" s="4" t="n">
        <v>3</v>
      </c>
      <c r="C9743" s="4" t="inlineStr">
        <is>
          <t>whitetail</t>
        </is>
      </c>
      <c r="D9743" s="4" t="n">
        <v>2014</v>
      </c>
      <c r="E9743" s="4" t="inlineStr"/>
      <c r="F9743" s="5" t="n"/>
      <c r="G9743" s="5" t="n"/>
      <c r="H9743" s="5" t="n">
        <v>122</v>
      </c>
      <c r="I9743" s="5" t="n">
        <v>79</v>
      </c>
      <c r="J9743" s="5" t="n">
        <v>43</v>
      </c>
      <c r="K9743" s="10">
        <f>IF(F9743&gt;0,H9743/F9743,"")</f>
        <v/>
      </c>
      <c r="L9743" s="16">
        <f>IF(AND(G9743&gt;0,H9743&gt;0),G9743/H9743,"")</f>
        <v/>
      </c>
    </row>
    <row r="9744">
      <c r="A9744" s="4" t="inlineStr">
        <is>
          <t>326</t>
        </is>
      </c>
      <c r="B9744" s="4" t="n">
        <v>3</v>
      </c>
      <c r="C9744" s="4" t="inlineStr">
        <is>
          <t>whitetail</t>
        </is>
      </c>
      <c r="D9744" s="4" t="n">
        <v>2015</v>
      </c>
      <c r="E9744" s="4" t="inlineStr"/>
      <c r="F9744" s="5" t="n"/>
      <c r="G9744" s="5" t="n"/>
      <c r="H9744" s="5" t="n">
        <v>112</v>
      </c>
      <c r="I9744" s="5" t="n">
        <v>56</v>
      </c>
      <c r="J9744" s="5" t="n">
        <v>50</v>
      </c>
      <c r="K9744" s="10">
        <f>IF(F9744&gt;0,H9744/F9744,"")</f>
        <v/>
      </c>
      <c r="L9744" s="16">
        <f>IF(AND(G9744&gt;0,H9744&gt;0),G9744/H9744,"")</f>
        <v/>
      </c>
    </row>
    <row r="9745">
      <c r="A9745" s="4" t="inlineStr">
        <is>
          <t>326</t>
        </is>
      </c>
      <c r="B9745" s="4" t="n">
        <v>3</v>
      </c>
      <c r="C9745" s="4" t="inlineStr">
        <is>
          <t>whitetail</t>
        </is>
      </c>
      <c r="D9745" s="4" t="n">
        <v>2016</v>
      </c>
      <c r="E9745" s="4" t="inlineStr"/>
      <c r="F9745" s="5" t="n"/>
      <c r="G9745" s="5" t="n"/>
      <c r="H9745" s="5" t="n">
        <v>107</v>
      </c>
      <c r="I9745" s="5" t="n">
        <v>47</v>
      </c>
      <c r="J9745" s="5" t="n">
        <v>59</v>
      </c>
      <c r="K9745" s="10">
        <f>IF(F9745&gt;0,H9745/F9745,"")</f>
        <v/>
      </c>
      <c r="L9745" s="16">
        <f>IF(AND(G9745&gt;0,H9745&gt;0),G9745/H9745,"")</f>
        <v/>
      </c>
    </row>
    <row r="9746">
      <c r="A9746" s="4" t="inlineStr">
        <is>
          <t>326</t>
        </is>
      </c>
      <c r="B9746" s="4" t="n">
        <v>3</v>
      </c>
      <c r="C9746" s="4" t="inlineStr">
        <is>
          <t>whitetail</t>
        </is>
      </c>
      <c r="D9746" s="4" t="n">
        <v>2017</v>
      </c>
      <c r="E9746" s="4" t="inlineStr"/>
      <c r="F9746" s="5" t="n">
        <v>525</v>
      </c>
      <c r="G9746" s="5" t="n">
        <v>3084</v>
      </c>
      <c r="H9746" s="5" t="n">
        <v>125</v>
      </c>
      <c r="I9746" s="5" t="n">
        <v>71</v>
      </c>
      <c r="J9746" s="5" t="n">
        <v>55</v>
      </c>
      <c r="K9746" s="10">
        <f>IF(F9746&gt;0,H9746/F9746,"")</f>
        <v/>
      </c>
      <c r="L9746" s="16">
        <f>IF(AND(G9746&gt;0,H9746&gt;0),G9746/H9746,"")</f>
        <v/>
      </c>
    </row>
    <row r="9747">
      <c r="A9747" s="4" t="inlineStr">
        <is>
          <t>326</t>
        </is>
      </c>
      <c r="B9747" s="4" t="n">
        <v>3</v>
      </c>
      <c r="C9747" s="4" t="inlineStr">
        <is>
          <t>whitetail</t>
        </is>
      </c>
      <c r="D9747" s="4" t="n">
        <v>2018</v>
      </c>
      <c r="E9747" s="4" t="inlineStr"/>
      <c r="F9747" s="5" t="n"/>
      <c r="G9747" s="5" t="n"/>
      <c r="H9747" s="5" t="n">
        <v>82</v>
      </c>
      <c r="I9747" s="5" t="n">
        <v>34</v>
      </c>
      <c r="J9747" s="5" t="n">
        <v>48</v>
      </c>
      <c r="K9747" s="10">
        <f>IF(F9747&gt;0,H9747/F9747,"")</f>
        <v/>
      </c>
      <c r="L9747" s="16">
        <f>IF(AND(G9747&gt;0,H9747&gt;0),G9747/H9747,"")</f>
        <v/>
      </c>
    </row>
    <row r="9748">
      <c r="A9748" s="4" t="inlineStr">
        <is>
          <t>326</t>
        </is>
      </c>
      <c r="B9748" s="4" t="n">
        <v>3</v>
      </c>
      <c r="C9748" s="4" t="inlineStr">
        <is>
          <t>whitetail</t>
        </is>
      </c>
      <c r="D9748" s="4" t="n">
        <v>2019</v>
      </c>
      <c r="E9748" s="4" t="inlineStr"/>
      <c r="F9748" s="5" t="n">
        <v>633</v>
      </c>
      <c r="G9748" s="5" t="n">
        <v>3356</v>
      </c>
      <c r="H9748" s="5" t="n">
        <v>145</v>
      </c>
      <c r="I9748" s="5" t="n">
        <v>70</v>
      </c>
      <c r="J9748" s="5" t="n">
        <v>75</v>
      </c>
      <c r="K9748" s="10">
        <f>IF(F9748&gt;0,H9748/F9748,"")</f>
        <v/>
      </c>
      <c r="L9748" s="16">
        <f>IF(AND(G9748&gt;0,H9748&gt;0),G9748/H9748,"")</f>
        <v/>
      </c>
    </row>
    <row r="9749">
      <c r="A9749" s="4" t="inlineStr">
        <is>
          <t>326</t>
        </is>
      </c>
      <c r="B9749" s="4" t="n">
        <v>3</v>
      </c>
      <c r="C9749" s="4" t="inlineStr">
        <is>
          <t>whitetail</t>
        </is>
      </c>
      <c r="D9749" s="4" t="n">
        <v>2020</v>
      </c>
      <c r="E9749" s="4" t="inlineStr"/>
      <c r="F9749" s="5" t="n"/>
      <c r="G9749" s="5" t="n"/>
      <c r="H9749" s="5" t="n">
        <v>141</v>
      </c>
      <c r="I9749" s="5" t="n">
        <v>55</v>
      </c>
      <c r="J9749" s="5" t="n">
        <v>82</v>
      </c>
      <c r="K9749" s="10">
        <f>IF(F9749&gt;0,H9749/F9749,"")</f>
        <v/>
      </c>
      <c r="L9749" s="16">
        <f>IF(AND(G9749&gt;0,H9749&gt;0),G9749/H9749,"")</f>
        <v/>
      </c>
    </row>
    <row r="9750">
      <c r="A9750" s="4" t="inlineStr">
        <is>
          <t>326</t>
        </is>
      </c>
      <c r="B9750" s="4" t="n">
        <v>3</v>
      </c>
      <c r="C9750" s="4" t="inlineStr">
        <is>
          <t>whitetail</t>
        </is>
      </c>
      <c r="D9750" s="4" t="n">
        <v>2021</v>
      </c>
      <c r="E9750" s="4" t="inlineStr"/>
      <c r="F9750" s="5" t="n">
        <v>597</v>
      </c>
      <c r="G9750" s="5" t="n">
        <v>3199</v>
      </c>
      <c r="H9750" s="5" t="n">
        <v>114</v>
      </c>
      <c r="I9750" s="5" t="n">
        <v>56</v>
      </c>
      <c r="J9750" s="5" t="n">
        <v>58</v>
      </c>
      <c r="K9750" s="10">
        <f>IF(F9750&gt;0,H9750/F9750,"")</f>
        <v/>
      </c>
      <c r="L9750" s="16">
        <f>IF(AND(G9750&gt;0,H9750&gt;0),G9750/H9750,"")</f>
        <v/>
      </c>
    </row>
    <row r="9751">
      <c r="A9751" s="4" t="inlineStr">
        <is>
          <t>327</t>
        </is>
      </c>
      <c r="B9751" s="4" t="n">
        <v>3</v>
      </c>
      <c r="C9751" s="4" t="inlineStr">
        <is>
          <t>whitetail</t>
        </is>
      </c>
      <c r="D9751" s="4" t="n">
        <v>2004</v>
      </c>
      <c r="E9751" s="4" t="inlineStr"/>
      <c r="F9751" s="5" t="n">
        <v>474</v>
      </c>
      <c r="G9751" s="5" t="n">
        <v>2790</v>
      </c>
      <c r="H9751" s="5" t="n">
        <v>14</v>
      </c>
      <c r="I9751" s="5" t="n">
        <v>9</v>
      </c>
      <c r="J9751" s="5" t="n">
        <v>4</v>
      </c>
      <c r="K9751" s="10">
        <f>IF(F9751&gt;0,H9751/F9751,"")</f>
        <v/>
      </c>
      <c r="L9751" s="16">
        <f>IF(AND(G9751&gt;0,H9751&gt;0),G9751/H9751,"")</f>
        <v/>
      </c>
    </row>
    <row r="9752">
      <c r="A9752" s="4" t="inlineStr">
        <is>
          <t>327</t>
        </is>
      </c>
      <c r="B9752" s="4" t="n">
        <v>3</v>
      </c>
      <c r="C9752" s="4" t="inlineStr">
        <is>
          <t>whitetail</t>
        </is>
      </c>
      <c r="D9752" s="4" t="n">
        <v>2005</v>
      </c>
      <c r="E9752" s="4" t="inlineStr"/>
      <c r="F9752" s="5" t="n">
        <v>298</v>
      </c>
      <c r="G9752" s="5" t="n">
        <v>2178</v>
      </c>
      <c r="H9752" s="5" t="n">
        <v>8</v>
      </c>
      <c r="I9752" s="5" t="n">
        <v>8</v>
      </c>
      <c r="J9752" s="5" t="n">
        <v>0</v>
      </c>
      <c r="K9752" s="10">
        <f>IF(F9752&gt;0,H9752/F9752,"")</f>
        <v/>
      </c>
      <c r="L9752" s="16">
        <f>IF(AND(G9752&gt;0,H9752&gt;0),G9752/H9752,"")</f>
        <v/>
      </c>
    </row>
    <row r="9753">
      <c r="A9753" s="4" t="inlineStr">
        <is>
          <t>327</t>
        </is>
      </c>
      <c r="B9753" s="4" t="n">
        <v>3</v>
      </c>
      <c r="C9753" s="4" t="inlineStr">
        <is>
          <t>whitetail</t>
        </is>
      </c>
      <c r="D9753" s="4" t="n">
        <v>2006</v>
      </c>
      <c r="E9753" s="4" t="inlineStr"/>
      <c r="F9753" s="5" t="n">
        <v>285</v>
      </c>
      <c r="G9753" s="5" t="n">
        <v>1766</v>
      </c>
      <c r="H9753" s="5" t="n">
        <v>19</v>
      </c>
      <c r="I9753" s="5" t="n">
        <v>11</v>
      </c>
      <c r="J9753" s="5" t="n">
        <v>7</v>
      </c>
      <c r="K9753" s="10">
        <f>IF(F9753&gt;0,H9753/F9753,"")</f>
        <v/>
      </c>
      <c r="L9753" s="16">
        <f>IF(AND(G9753&gt;0,H9753&gt;0),G9753/H9753,"")</f>
        <v/>
      </c>
    </row>
    <row r="9754">
      <c r="A9754" s="4" t="inlineStr">
        <is>
          <t>327</t>
        </is>
      </c>
      <c r="B9754" s="4" t="n">
        <v>3</v>
      </c>
      <c r="C9754" s="4" t="inlineStr">
        <is>
          <t>whitetail</t>
        </is>
      </c>
      <c r="D9754" s="4" t="n">
        <v>2007</v>
      </c>
      <c r="E9754" s="4" t="inlineStr"/>
      <c r="F9754" s="5" t="n">
        <v>336</v>
      </c>
      <c r="G9754" s="5" t="n">
        <v>2476</v>
      </c>
      <c r="H9754" s="5" t="n">
        <v>39</v>
      </c>
      <c r="I9754" s="5" t="n">
        <v>24</v>
      </c>
      <c r="J9754" s="5" t="n">
        <v>10</v>
      </c>
      <c r="K9754" s="10">
        <f>IF(F9754&gt;0,H9754/F9754,"")</f>
        <v/>
      </c>
      <c r="L9754" s="16">
        <f>IF(AND(G9754&gt;0,H9754&gt;0),G9754/H9754,"")</f>
        <v/>
      </c>
    </row>
    <row r="9755">
      <c r="A9755" s="4" t="inlineStr">
        <is>
          <t>327</t>
        </is>
      </c>
      <c r="B9755" s="4" t="n">
        <v>3</v>
      </c>
      <c r="C9755" s="4" t="inlineStr">
        <is>
          <t>whitetail</t>
        </is>
      </c>
      <c r="D9755" s="4" t="n">
        <v>2008</v>
      </c>
      <c r="E9755" s="4" t="inlineStr"/>
      <c r="F9755" s="5" t="n">
        <v>373</v>
      </c>
      <c r="G9755" s="5" t="n">
        <v>2180</v>
      </c>
      <c r="H9755" s="5" t="n">
        <v>20</v>
      </c>
      <c r="I9755" s="5" t="n">
        <v>14</v>
      </c>
      <c r="J9755" s="5" t="n">
        <v>6</v>
      </c>
      <c r="K9755" s="10">
        <f>IF(F9755&gt;0,H9755/F9755,"")</f>
        <v/>
      </c>
      <c r="L9755" s="16">
        <f>IF(AND(G9755&gt;0,H9755&gt;0),G9755/H9755,"")</f>
        <v/>
      </c>
    </row>
    <row r="9756">
      <c r="A9756" s="4" t="inlineStr">
        <is>
          <t>327</t>
        </is>
      </c>
      <c r="B9756" s="4" t="n">
        <v>3</v>
      </c>
      <c r="C9756" s="4" t="inlineStr">
        <is>
          <t>whitetail</t>
        </is>
      </c>
      <c r="D9756" s="4" t="n">
        <v>2009</v>
      </c>
      <c r="E9756" s="4" t="inlineStr"/>
      <c r="F9756" s="5" t="n">
        <v>414</v>
      </c>
      <c r="G9756" s="5" t="n">
        <v>2365</v>
      </c>
      <c r="H9756" s="5" t="n">
        <v>21</v>
      </c>
      <c r="I9756" s="5" t="n">
        <v>11</v>
      </c>
      <c r="J9756" s="5" t="n">
        <v>9</v>
      </c>
      <c r="K9756" s="10">
        <f>IF(F9756&gt;0,H9756/F9756,"")</f>
        <v/>
      </c>
      <c r="L9756" s="16">
        <f>IF(AND(G9756&gt;0,H9756&gt;0),G9756/H9756,"")</f>
        <v/>
      </c>
    </row>
    <row r="9757">
      <c r="A9757" s="4" t="inlineStr">
        <is>
          <t>327</t>
        </is>
      </c>
      <c r="B9757" s="4" t="n">
        <v>3</v>
      </c>
      <c r="C9757" s="4" t="inlineStr">
        <is>
          <t>whitetail</t>
        </is>
      </c>
      <c r="D9757" s="4" t="n">
        <v>2010</v>
      </c>
      <c r="E9757" s="4" t="inlineStr"/>
      <c r="F9757" s="5" t="n">
        <v>311</v>
      </c>
      <c r="G9757" s="5" t="n">
        <v>1794</v>
      </c>
      <c r="H9757" s="5" t="n">
        <v>6</v>
      </c>
      <c r="I9757" s="5" t="n">
        <v>0</v>
      </c>
      <c r="J9757" s="5" t="n">
        <v>6</v>
      </c>
      <c r="K9757" s="10">
        <f>IF(F9757&gt;0,H9757/F9757,"")</f>
        <v/>
      </c>
      <c r="L9757" s="16">
        <f>IF(AND(G9757&gt;0,H9757&gt;0),G9757/H9757,"")</f>
        <v/>
      </c>
    </row>
    <row r="9758">
      <c r="A9758" s="4" t="inlineStr">
        <is>
          <t>327</t>
        </is>
      </c>
      <c r="B9758" s="4" t="n">
        <v>3</v>
      </c>
      <c r="C9758" s="4" t="inlineStr">
        <is>
          <t>whitetail</t>
        </is>
      </c>
      <c r="D9758" s="4" t="n">
        <v>2011</v>
      </c>
      <c r="E9758" s="4" t="inlineStr"/>
      <c r="F9758" s="5" t="n">
        <v>338</v>
      </c>
      <c r="G9758" s="5" t="n">
        <v>1838</v>
      </c>
      <c r="H9758" s="5" t="n">
        <v>11</v>
      </c>
      <c r="I9758" s="5" t="n">
        <v>6</v>
      </c>
      <c r="J9758" s="5" t="n">
        <v>6</v>
      </c>
      <c r="K9758" s="10">
        <f>IF(F9758&gt;0,H9758/F9758,"")</f>
        <v/>
      </c>
      <c r="L9758" s="16">
        <f>IF(AND(G9758&gt;0,H9758&gt;0),G9758/H9758,"")</f>
        <v/>
      </c>
    </row>
    <row r="9759">
      <c r="A9759" s="4" t="inlineStr">
        <is>
          <t>327</t>
        </is>
      </c>
      <c r="B9759" s="4" t="n">
        <v>3</v>
      </c>
      <c r="C9759" s="4" t="inlineStr">
        <is>
          <t>whitetail</t>
        </is>
      </c>
      <c r="D9759" s="4" t="n">
        <v>2012</v>
      </c>
      <c r="E9759" s="4" t="inlineStr"/>
      <c r="F9759" s="5" t="n"/>
      <c r="G9759" s="5" t="n"/>
      <c r="H9759" s="5" t="n">
        <v>6</v>
      </c>
      <c r="I9759" s="5" t="n">
        <v>6</v>
      </c>
      <c r="J9759" s="5" t="n">
        <v>0</v>
      </c>
      <c r="K9759" s="10">
        <f>IF(F9759&gt;0,H9759/F9759,"")</f>
        <v/>
      </c>
      <c r="L9759" s="16">
        <f>IF(AND(G9759&gt;0,H9759&gt;0),G9759/H9759,"")</f>
        <v/>
      </c>
    </row>
    <row r="9760">
      <c r="A9760" s="4" t="inlineStr">
        <is>
          <t>327</t>
        </is>
      </c>
      <c r="B9760" s="4" t="n">
        <v>3</v>
      </c>
      <c r="C9760" s="4" t="inlineStr">
        <is>
          <t>whitetail</t>
        </is>
      </c>
      <c r="D9760" s="4" t="n">
        <v>2013</v>
      </c>
      <c r="E9760" s="4" t="inlineStr"/>
      <c r="F9760" s="5" t="n">
        <v>459</v>
      </c>
      <c r="G9760" s="5" t="n">
        <v>2863</v>
      </c>
      <c r="H9760" s="5" t="n">
        <v>20</v>
      </c>
      <c r="I9760" s="5" t="n">
        <v>8</v>
      </c>
      <c r="J9760" s="5" t="n">
        <v>11</v>
      </c>
      <c r="K9760" s="10">
        <f>IF(F9760&gt;0,H9760/F9760,"")</f>
        <v/>
      </c>
      <c r="L9760" s="16">
        <f>IF(AND(G9760&gt;0,H9760&gt;0),G9760/H9760,"")</f>
        <v/>
      </c>
    </row>
    <row r="9761">
      <c r="A9761" s="4" t="inlineStr">
        <is>
          <t>327</t>
        </is>
      </c>
      <c r="B9761" s="4" t="n">
        <v>3</v>
      </c>
      <c r="C9761" s="4" t="inlineStr">
        <is>
          <t>whitetail</t>
        </is>
      </c>
      <c r="D9761" s="4" t="n">
        <v>2014</v>
      </c>
      <c r="E9761" s="4" t="inlineStr"/>
      <c r="F9761" s="5" t="n"/>
      <c r="G9761" s="5" t="n"/>
      <c r="H9761" s="5" t="n">
        <v>29</v>
      </c>
      <c r="I9761" s="5" t="n">
        <v>20</v>
      </c>
      <c r="J9761" s="5" t="n">
        <v>9</v>
      </c>
      <c r="K9761" s="10">
        <f>IF(F9761&gt;0,H9761/F9761,"")</f>
        <v/>
      </c>
      <c r="L9761" s="16">
        <f>IF(AND(G9761&gt;0,H9761&gt;0),G9761/H9761,"")</f>
        <v/>
      </c>
    </row>
    <row r="9762">
      <c r="A9762" s="4" t="inlineStr">
        <is>
          <t>327</t>
        </is>
      </c>
      <c r="B9762" s="4" t="n">
        <v>3</v>
      </c>
      <c r="C9762" s="4" t="inlineStr">
        <is>
          <t>whitetail</t>
        </is>
      </c>
      <c r="D9762" s="4" t="n">
        <v>2015</v>
      </c>
      <c r="E9762" s="4" t="inlineStr"/>
      <c r="F9762" s="5" t="n"/>
      <c r="G9762" s="5" t="n"/>
      <c r="H9762" s="5" t="n">
        <v>14</v>
      </c>
      <c r="I9762" s="5" t="n">
        <v>11</v>
      </c>
      <c r="J9762" s="5" t="n">
        <v>3</v>
      </c>
      <c r="K9762" s="10">
        <f>IF(F9762&gt;0,H9762/F9762,"")</f>
        <v/>
      </c>
      <c r="L9762" s="16">
        <f>IF(AND(G9762&gt;0,H9762&gt;0),G9762/H9762,"")</f>
        <v/>
      </c>
    </row>
    <row r="9763">
      <c r="A9763" s="4" t="inlineStr">
        <is>
          <t>327</t>
        </is>
      </c>
      <c r="B9763" s="4" t="n">
        <v>3</v>
      </c>
      <c r="C9763" s="4" t="inlineStr">
        <is>
          <t>whitetail</t>
        </is>
      </c>
      <c r="D9763" s="4" t="n">
        <v>2016</v>
      </c>
      <c r="E9763" s="4" t="inlineStr"/>
      <c r="F9763" s="5" t="n"/>
      <c r="G9763" s="5" t="n"/>
      <c r="H9763" s="5" t="n">
        <v>21</v>
      </c>
      <c r="I9763" s="5" t="n">
        <v>12</v>
      </c>
      <c r="J9763" s="5" t="n">
        <v>9</v>
      </c>
      <c r="K9763" s="10">
        <f>IF(F9763&gt;0,H9763/F9763,"")</f>
        <v/>
      </c>
      <c r="L9763" s="16">
        <f>IF(AND(G9763&gt;0,H9763&gt;0),G9763/H9763,"")</f>
        <v/>
      </c>
    </row>
    <row r="9764">
      <c r="A9764" s="4" t="inlineStr">
        <is>
          <t>327</t>
        </is>
      </c>
      <c r="B9764" s="4" t="n">
        <v>3</v>
      </c>
      <c r="C9764" s="4" t="inlineStr">
        <is>
          <t>whitetail</t>
        </is>
      </c>
      <c r="D9764" s="4" t="n">
        <v>2017</v>
      </c>
      <c r="E9764" s="4" t="inlineStr"/>
      <c r="F9764" s="5" t="n">
        <v>425</v>
      </c>
      <c r="G9764" s="5" t="n">
        <v>2829</v>
      </c>
      <c r="H9764" s="5" t="n">
        <v>15</v>
      </c>
      <c r="I9764" s="5" t="n">
        <v>9</v>
      </c>
      <c r="J9764" s="5" t="n">
        <v>6</v>
      </c>
      <c r="K9764" s="10">
        <f>IF(F9764&gt;0,H9764/F9764,"")</f>
        <v/>
      </c>
      <c r="L9764" s="16">
        <f>IF(AND(G9764&gt;0,H9764&gt;0),G9764/H9764,"")</f>
        <v/>
      </c>
    </row>
    <row r="9765">
      <c r="A9765" s="4" t="inlineStr">
        <is>
          <t>327</t>
        </is>
      </c>
      <c r="B9765" s="4" t="n">
        <v>3</v>
      </c>
      <c r="C9765" s="4" t="inlineStr">
        <is>
          <t>whitetail</t>
        </is>
      </c>
      <c r="D9765" s="4" t="n">
        <v>2018</v>
      </c>
      <c r="E9765" s="4" t="inlineStr"/>
      <c r="F9765" s="5" t="n"/>
      <c r="G9765" s="5" t="n"/>
      <c r="H9765" s="5" t="n">
        <v>16</v>
      </c>
      <c r="I9765" s="5" t="n">
        <v>12</v>
      </c>
      <c r="J9765" s="5" t="n">
        <v>3</v>
      </c>
      <c r="K9765" s="10">
        <f>IF(F9765&gt;0,H9765/F9765,"")</f>
        <v/>
      </c>
      <c r="L9765" s="16">
        <f>IF(AND(G9765&gt;0,H9765&gt;0),G9765/H9765,"")</f>
        <v/>
      </c>
    </row>
    <row r="9766">
      <c r="A9766" s="4" t="inlineStr">
        <is>
          <t>327</t>
        </is>
      </c>
      <c r="B9766" s="4" t="n">
        <v>3</v>
      </c>
      <c r="C9766" s="4" t="inlineStr">
        <is>
          <t>whitetail</t>
        </is>
      </c>
      <c r="D9766" s="4" t="n">
        <v>2019</v>
      </c>
      <c r="E9766" s="4" t="inlineStr"/>
      <c r="F9766" s="5" t="n">
        <v>505</v>
      </c>
      <c r="G9766" s="5" t="n">
        <v>3201</v>
      </c>
      <c r="H9766" s="5" t="n">
        <v>41</v>
      </c>
      <c r="I9766" s="5" t="n">
        <v>28</v>
      </c>
      <c r="J9766" s="5" t="n">
        <v>13</v>
      </c>
      <c r="K9766" s="10">
        <f>IF(F9766&gt;0,H9766/F9766,"")</f>
        <v/>
      </c>
      <c r="L9766" s="16">
        <f>IF(AND(G9766&gt;0,H9766&gt;0),G9766/H9766,"")</f>
        <v/>
      </c>
    </row>
    <row r="9767">
      <c r="A9767" s="4" t="inlineStr">
        <is>
          <t>327</t>
        </is>
      </c>
      <c r="B9767" s="4" t="n">
        <v>3</v>
      </c>
      <c r="C9767" s="4" t="inlineStr">
        <is>
          <t>whitetail</t>
        </is>
      </c>
      <c r="D9767" s="4" t="n">
        <v>2020</v>
      </c>
      <c r="E9767" s="4" t="inlineStr"/>
      <c r="F9767" s="5" t="n"/>
      <c r="G9767" s="5" t="n"/>
      <c r="H9767" s="5" t="n">
        <v>23</v>
      </c>
      <c r="I9767" s="5" t="n">
        <v>17</v>
      </c>
      <c r="J9767" s="5" t="n">
        <v>7</v>
      </c>
      <c r="K9767" s="10">
        <f>IF(F9767&gt;0,H9767/F9767,"")</f>
        <v/>
      </c>
      <c r="L9767" s="16">
        <f>IF(AND(G9767&gt;0,H9767&gt;0),G9767/H9767,"")</f>
        <v/>
      </c>
    </row>
    <row r="9768">
      <c r="A9768" s="4" t="inlineStr">
        <is>
          <t>327</t>
        </is>
      </c>
      <c r="B9768" s="4" t="n">
        <v>3</v>
      </c>
      <c r="C9768" s="4" t="inlineStr">
        <is>
          <t>whitetail</t>
        </is>
      </c>
      <c r="D9768" s="4" t="n">
        <v>2021</v>
      </c>
      <c r="E9768" s="4" t="inlineStr"/>
      <c r="F9768" s="5" t="n">
        <v>546</v>
      </c>
      <c r="G9768" s="5" t="n">
        <v>3451</v>
      </c>
      <c r="H9768" s="5" t="n">
        <v>22</v>
      </c>
      <c r="I9768" s="5" t="n">
        <v>15</v>
      </c>
      <c r="J9768" s="5" t="n">
        <v>7</v>
      </c>
      <c r="K9768" s="10">
        <f>IF(F9768&gt;0,H9768/F9768,"")</f>
        <v/>
      </c>
      <c r="L9768" s="16">
        <f>IF(AND(G9768&gt;0,H9768&gt;0),G9768/H9768,"")</f>
        <v/>
      </c>
    </row>
    <row r="9769">
      <c r="A9769" s="4" t="inlineStr">
        <is>
          <t>328</t>
        </is>
      </c>
      <c r="B9769" s="4" t="n">
        <v>3</v>
      </c>
      <c r="C9769" s="4" t="inlineStr">
        <is>
          <t>whitetail</t>
        </is>
      </c>
      <c r="D9769" s="4" t="n">
        <v>2004</v>
      </c>
      <c r="E9769" s="4" t="inlineStr"/>
      <c r="F9769" s="5" t="n">
        <v>398</v>
      </c>
      <c r="G9769" s="5" t="n">
        <v>1916</v>
      </c>
      <c r="H9769" s="5" t="n">
        <v>9</v>
      </c>
      <c r="I9769" s="5" t="n">
        <v>6</v>
      </c>
      <c r="J9769" s="5" t="n">
        <v>1</v>
      </c>
      <c r="K9769" s="10">
        <f>IF(F9769&gt;0,H9769/F9769,"")</f>
        <v/>
      </c>
      <c r="L9769" s="16">
        <f>IF(AND(G9769&gt;0,H9769&gt;0),G9769/H9769,"")</f>
        <v/>
      </c>
    </row>
    <row r="9770">
      <c r="A9770" s="4" t="inlineStr">
        <is>
          <t>328</t>
        </is>
      </c>
      <c r="B9770" s="4" t="n">
        <v>3</v>
      </c>
      <c r="C9770" s="4" t="inlineStr">
        <is>
          <t>whitetail</t>
        </is>
      </c>
      <c r="D9770" s="4" t="n">
        <v>2005</v>
      </c>
      <c r="E9770" s="4" t="inlineStr"/>
      <c r="F9770" s="5" t="n">
        <v>245</v>
      </c>
      <c r="G9770" s="5" t="n">
        <v>1566</v>
      </c>
      <c r="H9770" s="5" t="n">
        <v>23</v>
      </c>
      <c r="I9770" s="5" t="n">
        <v>14</v>
      </c>
      <c r="J9770" s="5" t="n">
        <v>9</v>
      </c>
      <c r="K9770" s="10">
        <f>IF(F9770&gt;0,H9770/F9770,"")</f>
        <v/>
      </c>
      <c r="L9770" s="16">
        <f>IF(AND(G9770&gt;0,H9770&gt;0),G9770/H9770,"")</f>
        <v/>
      </c>
    </row>
    <row r="9771">
      <c r="A9771" s="4" t="inlineStr">
        <is>
          <t>328</t>
        </is>
      </c>
      <c r="B9771" s="4" t="n">
        <v>3</v>
      </c>
      <c r="C9771" s="4" t="inlineStr">
        <is>
          <t>whitetail</t>
        </is>
      </c>
      <c r="D9771" s="4" t="n">
        <v>2006</v>
      </c>
      <c r="E9771" s="4" t="inlineStr"/>
      <c r="F9771" s="5" t="n">
        <v>270</v>
      </c>
      <c r="G9771" s="5" t="n">
        <v>1168</v>
      </c>
      <c r="H9771" s="5" t="n">
        <v>11</v>
      </c>
      <c r="I9771" s="5" t="n">
        <v>7</v>
      </c>
      <c r="J9771" s="5" t="n">
        <v>4</v>
      </c>
      <c r="K9771" s="10">
        <f>IF(F9771&gt;0,H9771/F9771,"")</f>
        <v/>
      </c>
      <c r="L9771" s="16">
        <f>IF(AND(G9771&gt;0,H9771&gt;0),G9771/H9771,"")</f>
        <v/>
      </c>
    </row>
    <row r="9772">
      <c r="A9772" s="4" t="inlineStr">
        <is>
          <t>328</t>
        </is>
      </c>
      <c r="B9772" s="4" t="n">
        <v>3</v>
      </c>
      <c r="C9772" s="4" t="inlineStr">
        <is>
          <t>whitetail</t>
        </is>
      </c>
      <c r="D9772" s="4" t="n">
        <v>2007</v>
      </c>
      <c r="E9772" s="4" t="inlineStr"/>
      <c r="F9772" s="5" t="n">
        <v>322</v>
      </c>
      <c r="G9772" s="5" t="n">
        <v>2020</v>
      </c>
      <c r="H9772" s="5" t="n">
        <v>18</v>
      </c>
      <c r="I9772" s="5" t="n">
        <v>5</v>
      </c>
      <c r="J9772" s="5" t="n">
        <v>13</v>
      </c>
      <c r="K9772" s="10">
        <f>IF(F9772&gt;0,H9772/F9772,"")</f>
        <v/>
      </c>
      <c r="L9772" s="16">
        <f>IF(AND(G9772&gt;0,H9772&gt;0),G9772/H9772,"")</f>
        <v/>
      </c>
    </row>
    <row r="9773">
      <c r="A9773" s="4" t="inlineStr">
        <is>
          <t>328</t>
        </is>
      </c>
      <c r="B9773" s="4" t="n">
        <v>3</v>
      </c>
      <c r="C9773" s="4" t="inlineStr">
        <is>
          <t>whitetail</t>
        </is>
      </c>
      <c r="D9773" s="4" t="n">
        <v>2008</v>
      </c>
      <c r="E9773" s="4" t="inlineStr"/>
      <c r="F9773" s="5" t="n">
        <v>284</v>
      </c>
      <c r="G9773" s="5" t="n">
        <v>1513</v>
      </c>
      <c r="H9773" s="5" t="n">
        <v>2</v>
      </c>
      <c r="I9773" s="5" t="n">
        <v>0</v>
      </c>
      <c r="J9773" s="5" t="n">
        <v>2</v>
      </c>
      <c r="K9773" s="10">
        <f>IF(F9773&gt;0,H9773/F9773,"")</f>
        <v/>
      </c>
      <c r="L9773" s="16">
        <f>IF(AND(G9773&gt;0,H9773&gt;0),G9773/H9773,"")</f>
        <v/>
      </c>
    </row>
    <row r="9774">
      <c r="A9774" s="4" t="inlineStr">
        <is>
          <t>328</t>
        </is>
      </c>
      <c r="B9774" s="4" t="n">
        <v>3</v>
      </c>
      <c r="C9774" s="4" t="inlineStr">
        <is>
          <t>whitetail</t>
        </is>
      </c>
      <c r="D9774" s="4" t="n">
        <v>2010</v>
      </c>
      <c r="E9774" s="4" t="inlineStr"/>
      <c r="F9774" s="5" t="n">
        <v>213</v>
      </c>
      <c r="G9774" s="5" t="n">
        <v>1434</v>
      </c>
      <c r="H9774" s="5" t="n">
        <v>14</v>
      </c>
      <c r="I9774" s="5" t="n">
        <v>6</v>
      </c>
      <c r="J9774" s="5" t="n">
        <v>9</v>
      </c>
      <c r="K9774" s="10">
        <f>IF(F9774&gt;0,H9774/F9774,"")</f>
        <v/>
      </c>
      <c r="L9774" s="16">
        <f>IF(AND(G9774&gt;0,H9774&gt;0),G9774/H9774,"")</f>
        <v/>
      </c>
    </row>
    <row r="9775">
      <c r="A9775" s="4" t="inlineStr">
        <is>
          <t>328</t>
        </is>
      </c>
      <c r="B9775" s="4" t="n">
        <v>3</v>
      </c>
      <c r="C9775" s="4" t="inlineStr">
        <is>
          <t>whitetail</t>
        </is>
      </c>
      <c r="D9775" s="4" t="n">
        <v>2011</v>
      </c>
      <c r="E9775" s="4" t="inlineStr"/>
      <c r="F9775" s="5" t="n">
        <v>252</v>
      </c>
      <c r="G9775" s="5" t="n">
        <v>1492</v>
      </c>
      <c r="H9775" s="5" t="n">
        <v>12</v>
      </c>
      <c r="I9775" s="5" t="n">
        <v>8</v>
      </c>
      <c r="J9775" s="5" t="n">
        <v>3</v>
      </c>
      <c r="K9775" s="10">
        <f>IF(F9775&gt;0,H9775/F9775,"")</f>
        <v/>
      </c>
      <c r="L9775" s="16">
        <f>IF(AND(G9775&gt;0,H9775&gt;0),G9775/H9775,"")</f>
        <v/>
      </c>
    </row>
    <row r="9776">
      <c r="A9776" s="4" t="inlineStr">
        <is>
          <t>328</t>
        </is>
      </c>
      <c r="B9776" s="4" t="n">
        <v>3</v>
      </c>
      <c r="C9776" s="4" t="inlineStr">
        <is>
          <t>whitetail</t>
        </is>
      </c>
      <c r="D9776" s="4" t="n">
        <v>2012</v>
      </c>
      <c r="E9776" s="4" t="inlineStr"/>
      <c r="F9776" s="5" t="n"/>
      <c r="G9776" s="5" t="n"/>
      <c r="H9776" s="5" t="n">
        <v>8</v>
      </c>
      <c r="I9776" s="5" t="n">
        <v>8</v>
      </c>
      <c r="J9776" s="5" t="n">
        <v>0</v>
      </c>
      <c r="K9776" s="10">
        <f>IF(F9776&gt;0,H9776/F9776,"")</f>
        <v/>
      </c>
      <c r="L9776" s="16">
        <f>IF(AND(G9776&gt;0,H9776&gt;0),G9776/H9776,"")</f>
        <v/>
      </c>
    </row>
    <row r="9777">
      <c r="A9777" s="4" t="inlineStr">
        <is>
          <t>328</t>
        </is>
      </c>
      <c r="B9777" s="4" t="n">
        <v>3</v>
      </c>
      <c r="C9777" s="4" t="inlineStr">
        <is>
          <t>whitetail</t>
        </is>
      </c>
      <c r="D9777" s="4" t="n">
        <v>2013</v>
      </c>
      <c r="E9777" s="4" t="inlineStr"/>
      <c r="F9777" s="5" t="n">
        <v>250</v>
      </c>
      <c r="G9777" s="5" t="n">
        <v>1647</v>
      </c>
      <c r="H9777" s="5" t="n">
        <v>8</v>
      </c>
      <c r="I9777" s="5" t="n">
        <v>3</v>
      </c>
      <c r="J9777" s="5" t="n">
        <v>6</v>
      </c>
      <c r="K9777" s="10">
        <f>IF(F9777&gt;0,H9777/F9777,"")</f>
        <v/>
      </c>
      <c r="L9777" s="16">
        <f>IF(AND(G9777&gt;0,H9777&gt;0),G9777/H9777,"")</f>
        <v/>
      </c>
    </row>
    <row r="9778">
      <c r="A9778" s="4" t="inlineStr">
        <is>
          <t>328</t>
        </is>
      </c>
      <c r="B9778" s="4" t="n">
        <v>3</v>
      </c>
      <c r="C9778" s="4" t="inlineStr">
        <is>
          <t>whitetail</t>
        </is>
      </c>
      <c r="D9778" s="4" t="n">
        <v>2015</v>
      </c>
      <c r="E9778" s="4" t="inlineStr"/>
      <c r="F9778" s="5" t="n"/>
      <c r="G9778" s="5" t="n"/>
      <c r="H9778" s="5" t="n">
        <v>16</v>
      </c>
      <c r="I9778" s="5" t="n">
        <v>8</v>
      </c>
      <c r="J9778" s="5" t="n">
        <v>8</v>
      </c>
      <c r="K9778" s="10">
        <f>IF(F9778&gt;0,H9778/F9778,"")</f>
        <v/>
      </c>
      <c r="L9778" s="16">
        <f>IF(AND(G9778&gt;0,H9778&gt;0),G9778/H9778,"")</f>
        <v/>
      </c>
    </row>
    <row r="9779">
      <c r="A9779" s="4" t="inlineStr">
        <is>
          <t>328</t>
        </is>
      </c>
      <c r="B9779" s="4" t="n">
        <v>3</v>
      </c>
      <c r="C9779" s="4" t="inlineStr">
        <is>
          <t>whitetail</t>
        </is>
      </c>
      <c r="D9779" s="4" t="n">
        <v>2016</v>
      </c>
      <c r="E9779" s="4" t="inlineStr"/>
      <c r="F9779" s="5" t="n"/>
      <c r="G9779" s="5" t="n"/>
      <c r="H9779" s="5" t="n">
        <v>9</v>
      </c>
      <c r="I9779" s="5" t="n">
        <v>3</v>
      </c>
      <c r="J9779" s="5" t="n">
        <v>6</v>
      </c>
      <c r="K9779" s="10">
        <f>IF(F9779&gt;0,H9779/F9779,"")</f>
        <v/>
      </c>
      <c r="L9779" s="16">
        <f>IF(AND(G9779&gt;0,H9779&gt;0),G9779/H9779,"")</f>
        <v/>
      </c>
    </row>
    <row r="9780">
      <c r="A9780" s="4" t="inlineStr">
        <is>
          <t>328</t>
        </is>
      </c>
      <c r="B9780" s="4" t="n">
        <v>3</v>
      </c>
      <c r="C9780" s="4" t="inlineStr">
        <is>
          <t>whitetail</t>
        </is>
      </c>
      <c r="D9780" s="4" t="n">
        <v>2017</v>
      </c>
      <c r="E9780" s="4" t="inlineStr"/>
      <c r="F9780" s="5" t="n">
        <v>257</v>
      </c>
      <c r="G9780" s="5" t="n">
        <v>1436</v>
      </c>
      <c r="H9780" s="5" t="n">
        <v>26</v>
      </c>
      <c r="I9780" s="5" t="n">
        <v>18</v>
      </c>
      <c r="J9780" s="5" t="n">
        <v>9</v>
      </c>
      <c r="K9780" s="10">
        <f>IF(F9780&gt;0,H9780/F9780,"")</f>
        <v/>
      </c>
      <c r="L9780" s="16">
        <f>IF(AND(G9780&gt;0,H9780&gt;0),G9780/H9780,"")</f>
        <v/>
      </c>
    </row>
    <row r="9781">
      <c r="A9781" s="4" t="inlineStr">
        <is>
          <t>328</t>
        </is>
      </c>
      <c r="B9781" s="4" t="n">
        <v>3</v>
      </c>
      <c r="C9781" s="4" t="inlineStr">
        <is>
          <t>whitetail</t>
        </is>
      </c>
      <c r="D9781" s="4" t="n">
        <v>2018</v>
      </c>
      <c r="E9781" s="4" t="inlineStr"/>
      <c r="F9781" s="5" t="n"/>
      <c r="G9781" s="5" t="n"/>
      <c r="H9781" s="5" t="n">
        <v>6</v>
      </c>
      <c r="I9781" s="5" t="n">
        <v>0</v>
      </c>
      <c r="J9781" s="5" t="n">
        <v>6</v>
      </c>
      <c r="K9781" s="10">
        <f>IF(F9781&gt;0,H9781/F9781,"")</f>
        <v/>
      </c>
      <c r="L9781" s="16">
        <f>IF(AND(G9781&gt;0,H9781&gt;0),G9781/H9781,"")</f>
        <v/>
      </c>
    </row>
    <row r="9782">
      <c r="A9782" s="4" t="inlineStr">
        <is>
          <t>328</t>
        </is>
      </c>
      <c r="B9782" s="4" t="n">
        <v>3</v>
      </c>
      <c r="C9782" s="4" t="inlineStr">
        <is>
          <t>whitetail</t>
        </is>
      </c>
      <c r="D9782" s="4" t="n">
        <v>2019</v>
      </c>
      <c r="E9782" s="4" t="inlineStr"/>
      <c r="F9782" s="5" t="n">
        <v>258</v>
      </c>
      <c r="G9782" s="5" t="n">
        <v>1446</v>
      </c>
      <c r="H9782" s="5" t="n">
        <v>10</v>
      </c>
      <c r="I9782" s="5" t="n">
        <v>10</v>
      </c>
      <c r="J9782" s="5" t="n">
        <v>0</v>
      </c>
      <c r="K9782" s="10">
        <f>IF(F9782&gt;0,H9782/F9782,"")</f>
        <v/>
      </c>
      <c r="L9782" s="16">
        <f>IF(AND(G9782&gt;0,H9782&gt;0),G9782/H9782,"")</f>
        <v/>
      </c>
    </row>
    <row r="9783">
      <c r="A9783" s="4" t="inlineStr">
        <is>
          <t>328</t>
        </is>
      </c>
      <c r="B9783" s="4" t="n">
        <v>3</v>
      </c>
      <c r="C9783" s="4" t="inlineStr">
        <is>
          <t>whitetail</t>
        </is>
      </c>
      <c r="D9783" s="4" t="n">
        <v>2020</v>
      </c>
      <c r="E9783" s="4" t="inlineStr"/>
      <c r="F9783" s="5" t="n"/>
      <c r="G9783" s="5" t="n"/>
      <c r="H9783" s="5" t="n">
        <v>13</v>
      </c>
      <c r="I9783" s="5" t="n">
        <v>7</v>
      </c>
      <c r="J9783" s="5" t="n">
        <v>7</v>
      </c>
      <c r="K9783" s="10">
        <f>IF(F9783&gt;0,H9783/F9783,"")</f>
        <v/>
      </c>
      <c r="L9783" s="16">
        <f>IF(AND(G9783&gt;0,H9783&gt;0),G9783/H9783,"")</f>
        <v/>
      </c>
    </row>
    <row r="9784">
      <c r="A9784" s="4" t="inlineStr">
        <is>
          <t>328</t>
        </is>
      </c>
      <c r="B9784" s="4" t="n">
        <v>3</v>
      </c>
      <c r="C9784" s="4" t="inlineStr">
        <is>
          <t>whitetail</t>
        </is>
      </c>
      <c r="D9784" s="4" t="n">
        <v>2021</v>
      </c>
      <c r="E9784" s="4" t="inlineStr"/>
      <c r="F9784" s="5" t="n">
        <v>320</v>
      </c>
      <c r="G9784" s="5" t="n">
        <v>1581</v>
      </c>
      <c r="H9784" s="5" t="n">
        <v>4</v>
      </c>
      <c r="I9784" s="5" t="n">
        <v>0</v>
      </c>
      <c r="J9784" s="5" t="n">
        <v>4</v>
      </c>
      <c r="K9784" s="10">
        <f>IF(F9784&gt;0,H9784/F9784,"")</f>
        <v/>
      </c>
      <c r="L9784" s="16">
        <f>IF(AND(G9784&gt;0,H9784&gt;0),G9784/H9784,"")</f>
        <v/>
      </c>
    </row>
    <row r="9785">
      <c r="A9785" s="4" t="inlineStr">
        <is>
          <t>329</t>
        </is>
      </c>
      <c r="B9785" s="4" t="n">
        <v>3</v>
      </c>
      <c r="C9785" s="4" t="inlineStr">
        <is>
          <t>whitetail</t>
        </is>
      </c>
      <c r="D9785" s="4" t="n">
        <v>2004</v>
      </c>
      <c r="E9785" s="13" t="inlineStr">
        <is>
          <t>General</t>
        </is>
      </c>
      <c r="F9785" s="5" t="n">
        <v>967</v>
      </c>
      <c r="G9785" s="5" t="n">
        <v>5045</v>
      </c>
      <c r="H9785" s="5" t="n">
        <v>61</v>
      </c>
      <c r="I9785" s="5" t="n">
        <v>30</v>
      </c>
      <c r="J9785" s="5" t="n">
        <v>31</v>
      </c>
      <c r="K9785" s="10">
        <f>IF(F9785&gt;0,H9785/F9785,"")</f>
        <v/>
      </c>
      <c r="L9785" s="16">
        <f>IF(AND(G9785&gt;0,H9785&gt;0),G9785/H9785,"")</f>
        <v/>
      </c>
    </row>
    <row r="9786">
      <c r="A9786" s="4" t="inlineStr">
        <is>
          <t>329</t>
        </is>
      </c>
      <c r="B9786" s="4" t="n">
        <v>3</v>
      </c>
      <c r="C9786" s="4" t="inlineStr">
        <is>
          <t>whitetail</t>
        </is>
      </c>
      <c r="D9786" s="4" t="n">
        <v>2005</v>
      </c>
      <c r="E9786" s="13" t="inlineStr">
        <is>
          <t>General</t>
        </is>
      </c>
      <c r="F9786" s="5" t="n">
        <v>724</v>
      </c>
      <c r="G9786" s="5" t="n">
        <v>4098</v>
      </c>
      <c r="H9786" s="5" t="n">
        <v>68</v>
      </c>
      <c r="I9786" s="5" t="n">
        <v>35</v>
      </c>
      <c r="J9786" s="5" t="n">
        <v>32</v>
      </c>
      <c r="K9786" s="10">
        <f>IF(F9786&gt;0,H9786/F9786,"")</f>
        <v/>
      </c>
      <c r="L9786" s="16">
        <f>IF(AND(G9786&gt;0,H9786&gt;0),G9786/H9786,"")</f>
        <v/>
      </c>
    </row>
    <row r="9787">
      <c r="A9787" s="4" t="inlineStr">
        <is>
          <t>329</t>
        </is>
      </c>
      <c r="B9787" s="4" t="n">
        <v>3</v>
      </c>
      <c r="C9787" s="4" t="inlineStr">
        <is>
          <t>whitetail</t>
        </is>
      </c>
      <c r="D9787" s="4" t="n">
        <v>2006</v>
      </c>
      <c r="E9787" s="13" t="inlineStr">
        <is>
          <t>General</t>
        </is>
      </c>
      <c r="F9787" s="5" t="n">
        <v>628</v>
      </c>
      <c r="G9787" s="5" t="n">
        <v>3642</v>
      </c>
      <c r="H9787" s="5" t="n">
        <v>88</v>
      </c>
      <c r="I9787" s="5" t="n">
        <v>52</v>
      </c>
      <c r="J9787" s="5" t="n">
        <v>33</v>
      </c>
      <c r="K9787" s="10">
        <f>IF(F9787&gt;0,H9787/F9787,"")</f>
        <v/>
      </c>
      <c r="L9787" s="16">
        <f>IF(AND(G9787&gt;0,H9787&gt;0),G9787/H9787,"")</f>
        <v/>
      </c>
    </row>
    <row r="9788">
      <c r="A9788" s="4" t="inlineStr">
        <is>
          <t>329</t>
        </is>
      </c>
      <c r="B9788" s="4" t="n">
        <v>3</v>
      </c>
      <c r="C9788" s="4" t="inlineStr">
        <is>
          <t>whitetail</t>
        </is>
      </c>
      <c r="D9788" s="4" t="n">
        <v>2007</v>
      </c>
      <c r="E9788" s="13" t="inlineStr">
        <is>
          <t>General</t>
        </is>
      </c>
      <c r="F9788" s="5" t="n">
        <v>642</v>
      </c>
      <c r="G9788" s="5" t="n">
        <v>3769</v>
      </c>
      <c r="H9788" s="5" t="n">
        <v>42</v>
      </c>
      <c r="I9788" s="5" t="n">
        <v>33</v>
      </c>
      <c r="J9788" s="5" t="n">
        <v>9</v>
      </c>
      <c r="K9788" s="10">
        <f>IF(F9788&gt;0,H9788/F9788,"")</f>
        <v/>
      </c>
      <c r="L9788" s="16">
        <f>IF(AND(G9788&gt;0,H9788&gt;0),G9788/H9788,"")</f>
        <v/>
      </c>
    </row>
    <row r="9789">
      <c r="A9789" s="4" t="inlineStr">
        <is>
          <t>329</t>
        </is>
      </c>
      <c r="B9789" s="4" t="n">
        <v>3</v>
      </c>
      <c r="C9789" s="4" t="inlineStr">
        <is>
          <t>whitetail</t>
        </is>
      </c>
      <c r="D9789" s="4" t="n">
        <v>2008</v>
      </c>
      <c r="E9789" s="13" t="inlineStr">
        <is>
          <t>General</t>
        </is>
      </c>
      <c r="F9789" s="5" t="n">
        <v>573</v>
      </c>
      <c r="G9789" s="5" t="n">
        <v>2924</v>
      </c>
      <c r="H9789" s="5" t="n">
        <v>42</v>
      </c>
      <c r="I9789" s="5" t="n">
        <v>33</v>
      </c>
      <c r="J9789" s="5" t="n">
        <v>9</v>
      </c>
      <c r="K9789" s="10">
        <f>IF(F9789&gt;0,H9789/F9789,"")</f>
        <v/>
      </c>
      <c r="L9789" s="16">
        <f>IF(AND(G9789&gt;0,H9789&gt;0),G9789/H9789,"")</f>
        <v/>
      </c>
    </row>
    <row r="9790">
      <c r="A9790" s="4" t="inlineStr">
        <is>
          <t>329</t>
        </is>
      </c>
      <c r="B9790" s="4" t="n">
        <v>3</v>
      </c>
      <c r="C9790" s="4" t="inlineStr">
        <is>
          <t>whitetail</t>
        </is>
      </c>
      <c r="D9790" s="4" t="n">
        <v>2009</v>
      </c>
      <c r="E9790" s="13" t="inlineStr">
        <is>
          <t>General</t>
        </is>
      </c>
      <c r="F9790" s="5" t="n">
        <v>746</v>
      </c>
      <c r="G9790" s="5" t="n">
        <v>4055</v>
      </c>
      <c r="H9790" s="5" t="n">
        <v>69</v>
      </c>
      <c r="I9790" s="5" t="n">
        <v>38</v>
      </c>
      <c r="J9790" s="5" t="n">
        <v>31</v>
      </c>
      <c r="K9790" s="10">
        <f>IF(F9790&gt;0,H9790/F9790,"")</f>
        <v/>
      </c>
      <c r="L9790" s="16">
        <f>IF(AND(G9790&gt;0,H9790&gt;0),G9790/H9790,"")</f>
        <v/>
      </c>
    </row>
    <row r="9791">
      <c r="A9791" s="4" t="inlineStr">
        <is>
          <t>329</t>
        </is>
      </c>
      <c r="B9791" s="4" t="n">
        <v>3</v>
      </c>
      <c r="C9791" s="4" t="inlineStr">
        <is>
          <t>whitetail</t>
        </is>
      </c>
      <c r="D9791" s="4" t="n">
        <v>2010</v>
      </c>
      <c r="E9791" s="13" t="inlineStr">
        <is>
          <t>General</t>
        </is>
      </c>
      <c r="F9791" s="5" t="n">
        <v>410</v>
      </c>
      <c r="G9791" s="5" t="n">
        <v>2136</v>
      </c>
      <c r="H9791" s="5" t="n">
        <v>44</v>
      </c>
      <c r="I9791" s="5" t="n">
        <v>28</v>
      </c>
      <c r="J9791" s="5" t="n">
        <v>12</v>
      </c>
      <c r="K9791" s="10">
        <f>IF(F9791&gt;0,H9791/F9791,"")</f>
        <v/>
      </c>
      <c r="L9791" s="16">
        <f>IF(AND(G9791&gt;0,H9791&gt;0),G9791/H9791,"")</f>
        <v/>
      </c>
    </row>
    <row r="9792">
      <c r="A9792" s="4" t="inlineStr">
        <is>
          <t>329</t>
        </is>
      </c>
      <c r="B9792" s="4" t="n">
        <v>3</v>
      </c>
      <c r="C9792" s="4" t="inlineStr">
        <is>
          <t>whitetail</t>
        </is>
      </c>
      <c r="D9792" s="4" t="n">
        <v>2011</v>
      </c>
      <c r="E9792" s="13" t="inlineStr">
        <is>
          <t>General</t>
        </is>
      </c>
      <c r="F9792" s="5" t="n">
        <v>517</v>
      </c>
      <c r="G9792" s="5" t="n">
        <v>3450</v>
      </c>
      <c r="H9792" s="5" t="n">
        <v>58</v>
      </c>
      <c r="I9792" s="5" t="n">
        <v>28</v>
      </c>
      <c r="J9792" s="5" t="n">
        <v>25</v>
      </c>
      <c r="K9792" s="10">
        <f>IF(F9792&gt;0,H9792/F9792,"")</f>
        <v/>
      </c>
      <c r="L9792" s="16">
        <f>IF(AND(G9792&gt;0,H9792&gt;0),G9792/H9792,"")</f>
        <v/>
      </c>
    </row>
    <row r="9793">
      <c r="A9793" s="4" t="inlineStr">
        <is>
          <t>329</t>
        </is>
      </c>
      <c r="B9793" s="4" t="n">
        <v>3</v>
      </c>
      <c r="C9793" s="4" t="inlineStr">
        <is>
          <t>whitetail</t>
        </is>
      </c>
      <c r="D9793" s="4" t="n">
        <v>2012</v>
      </c>
      <c r="E9793" s="13" t="inlineStr">
        <is>
          <t>General</t>
        </is>
      </c>
      <c r="F9793" s="5" t="n"/>
      <c r="G9793" s="5" t="n"/>
      <c r="H9793" s="5" t="n">
        <v>59</v>
      </c>
      <c r="I9793" s="5" t="n">
        <v>29</v>
      </c>
      <c r="J9793" s="5" t="n">
        <v>25</v>
      </c>
      <c r="K9793" s="10">
        <f>IF(F9793&gt;0,H9793/F9793,"")</f>
        <v/>
      </c>
      <c r="L9793" s="16">
        <f>IF(AND(G9793&gt;0,H9793&gt;0),G9793/H9793,"")</f>
        <v/>
      </c>
    </row>
    <row r="9794">
      <c r="A9794" s="4" t="inlineStr">
        <is>
          <t>329</t>
        </is>
      </c>
      <c r="B9794" s="4" t="n">
        <v>3</v>
      </c>
      <c r="C9794" s="4" t="inlineStr">
        <is>
          <t>whitetail</t>
        </is>
      </c>
      <c r="D9794" s="4" t="n">
        <v>2013</v>
      </c>
      <c r="E9794" s="13" t="inlineStr">
        <is>
          <t>General</t>
        </is>
      </c>
      <c r="F9794" s="5" t="n">
        <v>475</v>
      </c>
      <c r="G9794" s="5" t="n">
        <v>2650</v>
      </c>
      <c r="H9794" s="5" t="n">
        <v>45</v>
      </c>
      <c r="I9794" s="5" t="n">
        <v>22</v>
      </c>
      <c r="J9794" s="5" t="n">
        <v>23</v>
      </c>
      <c r="K9794" s="10">
        <f>IF(F9794&gt;0,H9794/F9794,"")</f>
        <v/>
      </c>
      <c r="L9794" s="16">
        <f>IF(AND(G9794&gt;0,H9794&gt;0),G9794/H9794,"")</f>
        <v/>
      </c>
    </row>
    <row r="9795">
      <c r="A9795" s="4" t="inlineStr">
        <is>
          <t>329</t>
        </is>
      </c>
      <c r="B9795" s="4" t="n">
        <v>3</v>
      </c>
      <c r="C9795" s="4" t="inlineStr">
        <is>
          <t>whitetail</t>
        </is>
      </c>
      <c r="D9795" s="4" t="n">
        <v>2014</v>
      </c>
      <c r="E9795" s="13" t="inlineStr">
        <is>
          <t>General</t>
        </is>
      </c>
      <c r="F9795" s="5" t="n"/>
      <c r="G9795" s="5" t="n"/>
      <c r="H9795" s="5" t="n">
        <v>76</v>
      </c>
      <c r="I9795" s="5" t="n">
        <v>54</v>
      </c>
      <c r="J9795" s="5" t="n">
        <v>19</v>
      </c>
      <c r="K9795" s="10">
        <f>IF(F9795&gt;0,H9795/F9795,"")</f>
        <v/>
      </c>
      <c r="L9795" s="16">
        <f>IF(AND(G9795&gt;0,H9795&gt;0),G9795/H9795,"")</f>
        <v/>
      </c>
    </row>
    <row r="9796">
      <c r="A9796" s="4" t="inlineStr">
        <is>
          <t>329</t>
        </is>
      </c>
      <c r="B9796" s="4" t="n">
        <v>3</v>
      </c>
      <c r="C9796" s="4" t="inlineStr">
        <is>
          <t>whitetail</t>
        </is>
      </c>
      <c r="D9796" s="4" t="n">
        <v>2015</v>
      </c>
      <c r="E9796" s="13" t="inlineStr">
        <is>
          <t>General</t>
        </is>
      </c>
      <c r="F9796" s="5" t="n"/>
      <c r="G9796" s="5" t="n"/>
      <c r="H9796" s="5" t="n">
        <v>82</v>
      </c>
      <c r="I9796" s="5" t="n">
        <v>48</v>
      </c>
      <c r="J9796" s="5" t="n">
        <v>29</v>
      </c>
      <c r="K9796" s="10">
        <f>IF(F9796&gt;0,H9796/F9796,"")</f>
        <v/>
      </c>
      <c r="L9796" s="16">
        <f>IF(AND(G9796&gt;0,H9796&gt;0),G9796/H9796,"")</f>
        <v/>
      </c>
    </row>
    <row r="9797">
      <c r="A9797" s="4" t="inlineStr">
        <is>
          <t>329</t>
        </is>
      </c>
      <c r="B9797" s="4" t="n">
        <v>3</v>
      </c>
      <c r="C9797" s="4" t="inlineStr">
        <is>
          <t>whitetail</t>
        </is>
      </c>
      <c r="D9797" s="4" t="n">
        <v>2016</v>
      </c>
      <c r="E9797" s="13" t="inlineStr">
        <is>
          <t>General</t>
        </is>
      </c>
      <c r="F9797" s="5" t="n"/>
      <c r="G9797" s="5" t="n"/>
      <c r="H9797" s="5" t="n">
        <v>89</v>
      </c>
      <c r="I9797" s="5" t="n">
        <v>41</v>
      </c>
      <c r="J9797" s="5" t="n">
        <v>48</v>
      </c>
      <c r="K9797" s="10">
        <f>IF(F9797&gt;0,H9797/F9797,"")</f>
        <v/>
      </c>
      <c r="L9797" s="16">
        <f>IF(AND(G9797&gt;0,H9797&gt;0),G9797/H9797,"")</f>
        <v/>
      </c>
    </row>
    <row r="9798">
      <c r="A9798" s="4" t="inlineStr">
        <is>
          <t>329</t>
        </is>
      </c>
      <c r="B9798" s="4" t="n">
        <v>3</v>
      </c>
      <c r="C9798" s="4" t="inlineStr">
        <is>
          <t>whitetail</t>
        </is>
      </c>
      <c r="D9798" s="4" t="n">
        <v>2017</v>
      </c>
      <c r="E9798" s="13" t="inlineStr">
        <is>
          <t>General</t>
        </is>
      </c>
      <c r="F9798" s="5" t="n">
        <v>860</v>
      </c>
      <c r="G9798" s="5" t="n">
        <v>4884</v>
      </c>
      <c r="H9798" s="5" t="n">
        <v>81</v>
      </c>
      <c r="I9798" s="5" t="n">
        <v>32</v>
      </c>
      <c r="J9798" s="5" t="n">
        <v>49</v>
      </c>
      <c r="K9798" s="10">
        <f>IF(F9798&gt;0,H9798/F9798,"")</f>
        <v/>
      </c>
      <c r="L9798" s="16">
        <f>IF(AND(G9798&gt;0,H9798&gt;0),G9798/H9798,"")</f>
        <v/>
      </c>
    </row>
    <row r="9799">
      <c r="A9799" s="4" t="inlineStr">
        <is>
          <t>329</t>
        </is>
      </c>
      <c r="B9799" s="4" t="n">
        <v>3</v>
      </c>
      <c r="C9799" s="4" t="inlineStr">
        <is>
          <t>whitetail</t>
        </is>
      </c>
      <c r="D9799" s="4" t="n">
        <v>2018</v>
      </c>
      <c r="E9799" s="13" t="inlineStr">
        <is>
          <t>General</t>
        </is>
      </c>
      <c r="F9799" s="5" t="n"/>
      <c r="G9799" s="5" t="n"/>
      <c r="H9799" s="5" t="n">
        <v>87</v>
      </c>
      <c r="I9799" s="5" t="n">
        <v>53</v>
      </c>
      <c r="J9799" s="5" t="n">
        <v>34</v>
      </c>
      <c r="K9799" s="10">
        <f>IF(F9799&gt;0,H9799/F9799,"")</f>
        <v/>
      </c>
      <c r="L9799" s="16">
        <f>IF(AND(G9799&gt;0,H9799&gt;0),G9799/H9799,"")</f>
        <v/>
      </c>
    </row>
    <row r="9800">
      <c r="A9800" s="4" t="inlineStr">
        <is>
          <t>329</t>
        </is>
      </c>
      <c r="B9800" s="4" t="n">
        <v>3</v>
      </c>
      <c r="C9800" s="4" t="inlineStr">
        <is>
          <t>whitetail</t>
        </is>
      </c>
      <c r="D9800" s="4" t="n">
        <v>2019</v>
      </c>
      <c r="E9800" s="13" t="inlineStr">
        <is>
          <t>General</t>
        </is>
      </c>
      <c r="F9800" s="5" t="n">
        <v>906</v>
      </c>
      <c r="G9800" s="5" t="n">
        <v>5052</v>
      </c>
      <c r="H9800" s="5" t="n">
        <v>62</v>
      </c>
      <c r="I9800" s="5" t="n">
        <v>32</v>
      </c>
      <c r="J9800" s="5" t="n">
        <v>27</v>
      </c>
      <c r="K9800" s="10">
        <f>IF(F9800&gt;0,H9800/F9800,"")</f>
        <v/>
      </c>
      <c r="L9800" s="16">
        <f>IF(AND(G9800&gt;0,H9800&gt;0),G9800/H9800,"")</f>
        <v/>
      </c>
    </row>
    <row r="9801">
      <c r="A9801" s="4" t="inlineStr">
        <is>
          <t>329</t>
        </is>
      </c>
      <c r="B9801" s="4" t="n">
        <v>3</v>
      </c>
      <c r="C9801" s="4" t="inlineStr">
        <is>
          <t>whitetail</t>
        </is>
      </c>
      <c r="D9801" s="4" t="n">
        <v>2020</v>
      </c>
      <c r="E9801" s="13" t="inlineStr">
        <is>
          <t>General</t>
        </is>
      </c>
      <c r="F9801" s="5" t="n"/>
      <c r="G9801" s="5" t="n"/>
      <c r="H9801" s="5" t="n">
        <v>61</v>
      </c>
      <c r="I9801" s="5" t="n">
        <v>20</v>
      </c>
      <c r="J9801" s="5" t="n">
        <v>41</v>
      </c>
      <c r="K9801" s="10">
        <f>IF(F9801&gt;0,H9801/F9801,"")</f>
        <v/>
      </c>
      <c r="L9801" s="16">
        <f>IF(AND(G9801&gt;0,H9801&gt;0),G9801/H9801,"")</f>
        <v/>
      </c>
    </row>
    <row r="9802">
      <c r="A9802" s="4" t="inlineStr">
        <is>
          <t>329</t>
        </is>
      </c>
      <c r="B9802" s="4" t="n">
        <v>3</v>
      </c>
      <c r="C9802" s="4" t="inlineStr">
        <is>
          <t>whitetail</t>
        </is>
      </c>
      <c r="D9802" s="4" t="n">
        <v>2021</v>
      </c>
      <c r="E9802" s="13" t="inlineStr">
        <is>
          <t>General</t>
        </is>
      </c>
      <c r="F9802" s="5" t="n">
        <v>839</v>
      </c>
      <c r="G9802" s="5" t="n">
        <v>5236</v>
      </c>
      <c r="H9802" s="5" t="n">
        <v>24</v>
      </c>
      <c r="I9802" s="5" t="n">
        <v>24</v>
      </c>
      <c r="J9802" s="5" t="n">
        <v>0</v>
      </c>
      <c r="K9802" s="10">
        <f>IF(F9802&gt;0,H9802/F9802,"")</f>
        <v/>
      </c>
      <c r="L9802" s="16">
        <f>IF(AND(G9802&gt;0,H9802&gt;0),G9802/H9802,"")</f>
        <v/>
      </c>
    </row>
    <row r="9803">
      <c r="A9803" s="4" t="inlineStr">
        <is>
          <t>329</t>
        </is>
      </c>
      <c r="B9803" s="4" t="n">
        <v>3</v>
      </c>
      <c r="C9803" s="4" t="inlineStr">
        <is>
          <t>whitetail</t>
        </is>
      </c>
      <c r="D9803" s="4" t="n">
        <v>2022</v>
      </c>
      <c r="E9803" s="13" t="inlineStr">
        <is>
          <t>General</t>
        </is>
      </c>
      <c r="F9803" s="5" t="n"/>
      <c r="G9803" s="5" t="n"/>
      <c r="H9803" s="5" t="n">
        <v>38</v>
      </c>
      <c r="I9803" s="5" t="n">
        <v>13</v>
      </c>
      <c r="J9803" s="5" t="n">
        <v>24</v>
      </c>
      <c r="K9803" s="10">
        <f>IF(F9803&gt;0,H9803/F9803,"")</f>
        <v/>
      </c>
      <c r="L9803" s="16">
        <f>IF(AND(G9803&gt;0,H9803&gt;0),G9803/H9803,"")</f>
        <v/>
      </c>
    </row>
    <row r="9804">
      <c r="A9804" s="4" t="inlineStr">
        <is>
          <t>329</t>
        </is>
      </c>
      <c r="B9804" s="4" t="n">
        <v>3</v>
      </c>
      <c r="C9804" s="4" t="inlineStr">
        <is>
          <t>whitetail</t>
        </is>
      </c>
      <c r="D9804" s="4" t="n">
        <v>2023</v>
      </c>
      <c r="E9804" s="13" t="inlineStr">
        <is>
          <t>General</t>
        </is>
      </c>
      <c r="F9804" s="5" t="n">
        <v>1025</v>
      </c>
      <c r="G9804" s="5" t="n">
        <v>6414</v>
      </c>
      <c r="H9804" s="5" t="n">
        <v>68</v>
      </c>
      <c r="I9804" s="5" t="n">
        <v>46</v>
      </c>
      <c r="J9804" s="5" t="n">
        <v>20</v>
      </c>
      <c r="K9804" s="10">
        <f>IF(F9804&gt;0,H9804/F9804,"")</f>
        <v/>
      </c>
      <c r="L9804" s="16">
        <f>IF(AND(G9804&gt;0,H9804&gt;0),G9804/H9804,"")</f>
        <v/>
      </c>
    </row>
    <row r="9805">
      <c r="A9805" s="4" t="inlineStr">
        <is>
          <t>329</t>
        </is>
      </c>
      <c r="B9805" s="4" t="n">
        <v>3</v>
      </c>
      <c r="C9805" s="4" t="inlineStr">
        <is>
          <t>whitetail</t>
        </is>
      </c>
      <c r="D9805" s="4" t="n">
        <v>2024</v>
      </c>
      <c r="E9805" s="13" t="inlineStr">
        <is>
          <t>General</t>
        </is>
      </c>
      <c r="F9805" s="5" t="n"/>
      <c r="G9805" s="5" t="n"/>
      <c r="H9805" s="5" t="n">
        <v>40</v>
      </c>
      <c r="I9805" s="5" t="n">
        <v>16</v>
      </c>
      <c r="J9805" s="5" t="n">
        <v>24</v>
      </c>
      <c r="K9805" s="10">
        <f>IF(F9805&gt;0,H9805/F9805,"")</f>
        <v/>
      </c>
      <c r="L9805" s="16">
        <f>IF(AND(G9805&gt;0,H9805&gt;0),G9805/H9805,"")</f>
        <v/>
      </c>
    </row>
    <row r="9806">
      <c r="A9806" s="4" t="inlineStr">
        <is>
          <t>329</t>
        </is>
      </c>
      <c r="B9806" s="4" t="n">
        <v>3</v>
      </c>
      <c r="C9806" s="4" t="inlineStr">
        <is>
          <t>whitetail</t>
        </is>
      </c>
      <c r="D9806" s="4" t="n">
        <v>2025</v>
      </c>
      <c r="E9806" s="13" t="inlineStr">
        <is>
          <t>General</t>
        </is>
      </c>
      <c r="F9806" s="5" t="n">
        <v>1184</v>
      </c>
      <c r="G9806" s="5" t="n">
        <v>7279</v>
      </c>
      <c r="H9806" s="5" t="n">
        <v>35</v>
      </c>
      <c r="I9806" s="5" t="n">
        <v>13</v>
      </c>
      <c r="J9806" s="5" t="n">
        <v>22</v>
      </c>
      <c r="K9806" s="10">
        <f>IF(F9806&gt;0,H9806/F9806,"")</f>
        <v/>
      </c>
      <c r="L9806" s="16">
        <f>IF(AND(G9806&gt;0,H9806&gt;0),G9806/H9806,"")</f>
        <v/>
      </c>
    </row>
    <row r="9807">
      <c r="A9807" s="4" t="inlineStr">
        <is>
          <t>330</t>
        </is>
      </c>
      <c r="B9807" s="4" t="n">
        <v>3</v>
      </c>
      <c r="C9807" s="4" t="inlineStr">
        <is>
          <t>whitetail</t>
        </is>
      </c>
      <c r="D9807" s="4" t="n">
        <v>2004</v>
      </c>
      <c r="E9807" s="4" t="inlineStr"/>
      <c r="F9807" s="5" t="n">
        <v>1035</v>
      </c>
      <c r="G9807" s="5" t="n">
        <v>4966</v>
      </c>
      <c r="H9807" s="5" t="n">
        <v>298</v>
      </c>
      <c r="I9807" s="5" t="n">
        <v>133</v>
      </c>
      <c r="J9807" s="5" t="n">
        <v>157</v>
      </c>
      <c r="K9807" s="10">
        <f>IF(F9807&gt;0,H9807/F9807,"")</f>
        <v/>
      </c>
      <c r="L9807" s="16">
        <f>IF(AND(G9807&gt;0,H9807&gt;0),G9807/H9807,"")</f>
        <v/>
      </c>
    </row>
    <row r="9808">
      <c r="A9808" s="4" t="inlineStr">
        <is>
          <t>330</t>
        </is>
      </c>
      <c r="B9808" s="4" t="n">
        <v>3</v>
      </c>
      <c r="C9808" s="4" t="inlineStr">
        <is>
          <t>whitetail</t>
        </is>
      </c>
      <c r="D9808" s="4" t="n">
        <v>2005</v>
      </c>
      <c r="E9808" s="4" t="inlineStr"/>
      <c r="F9808" s="5" t="n">
        <v>918</v>
      </c>
      <c r="G9808" s="5" t="n">
        <v>5388</v>
      </c>
      <c r="H9808" s="5" t="n">
        <v>216</v>
      </c>
      <c r="I9808" s="5" t="n">
        <v>104</v>
      </c>
      <c r="J9808" s="5" t="n">
        <v>111</v>
      </c>
      <c r="K9808" s="10">
        <f>IF(F9808&gt;0,H9808/F9808,"")</f>
        <v/>
      </c>
      <c r="L9808" s="16">
        <f>IF(AND(G9808&gt;0,H9808&gt;0),G9808/H9808,"")</f>
        <v/>
      </c>
    </row>
    <row r="9809">
      <c r="A9809" s="4" t="inlineStr">
        <is>
          <t>330</t>
        </is>
      </c>
      <c r="B9809" s="4" t="n">
        <v>3</v>
      </c>
      <c r="C9809" s="4" t="inlineStr">
        <is>
          <t>whitetail</t>
        </is>
      </c>
      <c r="D9809" s="4" t="n">
        <v>2006</v>
      </c>
      <c r="E9809" s="4" t="inlineStr"/>
      <c r="F9809" s="5" t="n">
        <v>808</v>
      </c>
      <c r="G9809" s="5" t="n">
        <v>4500</v>
      </c>
      <c r="H9809" s="5" t="n">
        <v>303</v>
      </c>
      <c r="I9809" s="5" t="n">
        <v>104</v>
      </c>
      <c r="J9809" s="5" t="n">
        <v>191</v>
      </c>
      <c r="K9809" s="10">
        <f>IF(F9809&gt;0,H9809/F9809,"")</f>
        <v/>
      </c>
      <c r="L9809" s="16">
        <f>IF(AND(G9809&gt;0,H9809&gt;0),G9809/H9809,"")</f>
        <v/>
      </c>
    </row>
    <row r="9810">
      <c r="A9810" s="4" t="inlineStr">
        <is>
          <t>330</t>
        </is>
      </c>
      <c r="B9810" s="4" t="n">
        <v>3</v>
      </c>
      <c r="C9810" s="4" t="inlineStr">
        <is>
          <t>whitetail</t>
        </is>
      </c>
      <c r="D9810" s="4" t="n">
        <v>2007</v>
      </c>
      <c r="E9810" s="4" t="inlineStr"/>
      <c r="F9810" s="5" t="n">
        <v>825</v>
      </c>
      <c r="G9810" s="5" t="n">
        <v>4573</v>
      </c>
      <c r="H9810" s="5" t="n">
        <v>267</v>
      </c>
      <c r="I9810" s="5" t="n">
        <v>99</v>
      </c>
      <c r="J9810" s="5" t="n">
        <v>167</v>
      </c>
      <c r="K9810" s="10">
        <f>IF(F9810&gt;0,H9810/F9810,"")</f>
        <v/>
      </c>
      <c r="L9810" s="16">
        <f>IF(AND(G9810&gt;0,H9810&gt;0),G9810/H9810,"")</f>
        <v/>
      </c>
    </row>
    <row r="9811">
      <c r="A9811" s="4" t="inlineStr">
        <is>
          <t>330</t>
        </is>
      </c>
      <c r="B9811" s="4" t="n">
        <v>3</v>
      </c>
      <c r="C9811" s="4" t="inlineStr">
        <is>
          <t>whitetail</t>
        </is>
      </c>
      <c r="D9811" s="4" t="n">
        <v>2008</v>
      </c>
      <c r="E9811" s="4" t="inlineStr"/>
      <c r="F9811" s="5" t="n">
        <v>921</v>
      </c>
      <c r="G9811" s="5" t="n">
        <v>5468</v>
      </c>
      <c r="H9811" s="5" t="n">
        <v>214</v>
      </c>
      <c r="I9811" s="5" t="n">
        <v>77</v>
      </c>
      <c r="J9811" s="5" t="n">
        <v>129</v>
      </c>
      <c r="K9811" s="10">
        <f>IF(F9811&gt;0,H9811/F9811,"")</f>
        <v/>
      </c>
      <c r="L9811" s="16">
        <f>IF(AND(G9811&gt;0,H9811&gt;0),G9811/H9811,"")</f>
        <v/>
      </c>
    </row>
    <row r="9812">
      <c r="A9812" s="4" t="inlineStr">
        <is>
          <t>330</t>
        </is>
      </c>
      <c r="B9812" s="4" t="n">
        <v>3</v>
      </c>
      <c r="C9812" s="4" t="inlineStr">
        <is>
          <t>whitetail</t>
        </is>
      </c>
      <c r="D9812" s="4" t="n">
        <v>2009</v>
      </c>
      <c r="E9812" s="4" t="inlineStr"/>
      <c r="F9812" s="5" t="n">
        <v>828</v>
      </c>
      <c r="G9812" s="5" t="n">
        <v>4883</v>
      </c>
      <c r="H9812" s="5" t="n">
        <v>159</v>
      </c>
      <c r="I9812" s="5" t="n">
        <v>73</v>
      </c>
      <c r="J9812" s="5" t="n">
        <v>86</v>
      </c>
      <c r="K9812" s="10">
        <f>IF(F9812&gt;0,H9812/F9812,"")</f>
        <v/>
      </c>
      <c r="L9812" s="16">
        <f>IF(AND(G9812&gt;0,H9812&gt;0),G9812/H9812,"")</f>
        <v/>
      </c>
    </row>
    <row r="9813">
      <c r="A9813" s="4" t="inlineStr">
        <is>
          <t>330</t>
        </is>
      </c>
      <c r="B9813" s="4" t="n">
        <v>3</v>
      </c>
      <c r="C9813" s="4" t="inlineStr">
        <is>
          <t>whitetail</t>
        </is>
      </c>
      <c r="D9813" s="4" t="n">
        <v>2010</v>
      </c>
      <c r="E9813" s="4" t="inlineStr"/>
      <c r="F9813" s="5" t="n">
        <v>760</v>
      </c>
      <c r="G9813" s="5" t="n">
        <v>4573</v>
      </c>
      <c r="H9813" s="5" t="n">
        <v>171</v>
      </c>
      <c r="I9813" s="5" t="n">
        <v>87</v>
      </c>
      <c r="J9813" s="5" t="n">
        <v>84</v>
      </c>
      <c r="K9813" s="10">
        <f>IF(F9813&gt;0,H9813/F9813,"")</f>
        <v/>
      </c>
      <c r="L9813" s="16">
        <f>IF(AND(G9813&gt;0,H9813&gt;0),G9813/H9813,"")</f>
        <v/>
      </c>
    </row>
    <row r="9814">
      <c r="A9814" s="4" t="inlineStr">
        <is>
          <t>330</t>
        </is>
      </c>
      <c r="B9814" s="4" t="n">
        <v>3</v>
      </c>
      <c r="C9814" s="4" t="inlineStr">
        <is>
          <t>whitetail</t>
        </is>
      </c>
      <c r="D9814" s="4" t="n">
        <v>2011</v>
      </c>
      <c r="E9814" s="4" t="inlineStr"/>
      <c r="F9814" s="5" t="n">
        <v>802</v>
      </c>
      <c r="G9814" s="5" t="n">
        <v>4353</v>
      </c>
      <c r="H9814" s="5" t="n">
        <v>142</v>
      </c>
      <c r="I9814" s="5" t="n">
        <v>57</v>
      </c>
      <c r="J9814" s="5" t="n">
        <v>79</v>
      </c>
      <c r="K9814" s="10">
        <f>IF(F9814&gt;0,H9814/F9814,"")</f>
        <v/>
      </c>
      <c r="L9814" s="16">
        <f>IF(AND(G9814&gt;0,H9814&gt;0),G9814/H9814,"")</f>
        <v/>
      </c>
    </row>
    <row r="9815">
      <c r="A9815" s="4" t="inlineStr">
        <is>
          <t>330</t>
        </is>
      </c>
      <c r="B9815" s="4" t="n">
        <v>3</v>
      </c>
      <c r="C9815" s="4" t="inlineStr">
        <is>
          <t>whitetail</t>
        </is>
      </c>
      <c r="D9815" s="4" t="n">
        <v>2012</v>
      </c>
      <c r="E9815" s="4" t="inlineStr"/>
      <c r="F9815" s="5" t="n"/>
      <c r="G9815" s="5" t="n"/>
      <c r="H9815" s="5" t="n">
        <v>114</v>
      </c>
      <c r="I9815" s="5" t="n">
        <v>58</v>
      </c>
      <c r="J9815" s="5" t="n">
        <v>56</v>
      </c>
      <c r="K9815" s="10">
        <f>IF(F9815&gt;0,H9815/F9815,"")</f>
        <v/>
      </c>
      <c r="L9815" s="16">
        <f>IF(AND(G9815&gt;0,H9815&gt;0),G9815/H9815,"")</f>
        <v/>
      </c>
    </row>
    <row r="9816">
      <c r="A9816" s="4" t="inlineStr">
        <is>
          <t>330</t>
        </is>
      </c>
      <c r="B9816" s="4" t="n">
        <v>3</v>
      </c>
      <c r="C9816" s="4" t="inlineStr">
        <is>
          <t>whitetail</t>
        </is>
      </c>
      <c r="D9816" s="4" t="n">
        <v>2013</v>
      </c>
      <c r="E9816" s="4" t="inlineStr"/>
      <c r="F9816" s="5" t="n">
        <v>783</v>
      </c>
      <c r="G9816" s="5" t="n">
        <v>4471</v>
      </c>
      <c r="H9816" s="5" t="n">
        <v>125</v>
      </c>
      <c r="I9816" s="5" t="n">
        <v>45</v>
      </c>
      <c r="J9816" s="5" t="n">
        <v>76</v>
      </c>
      <c r="K9816" s="10">
        <f>IF(F9816&gt;0,H9816/F9816,"")</f>
        <v/>
      </c>
      <c r="L9816" s="16">
        <f>IF(AND(G9816&gt;0,H9816&gt;0),G9816/H9816,"")</f>
        <v/>
      </c>
    </row>
    <row r="9817">
      <c r="A9817" s="4" t="inlineStr">
        <is>
          <t>330</t>
        </is>
      </c>
      <c r="B9817" s="4" t="n">
        <v>3</v>
      </c>
      <c r="C9817" s="4" t="inlineStr">
        <is>
          <t>whitetail</t>
        </is>
      </c>
      <c r="D9817" s="4" t="n">
        <v>2014</v>
      </c>
      <c r="E9817" s="4" t="inlineStr"/>
      <c r="F9817" s="5" t="n"/>
      <c r="G9817" s="5" t="n"/>
      <c r="H9817" s="5" t="n">
        <v>140</v>
      </c>
      <c r="I9817" s="5" t="n">
        <v>79</v>
      </c>
      <c r="J9817" s="5" t="n">
        <v>61</v>
      </c>
      <c r="K9817" s="10">
        <f>IF(F9817&gt;0,H9817/F9817,"")</f>
        <v/>
      </c>
      <c r="L9817" s="16">
        <f>IF(AND(G9817&gt;0,H9817&gt;0),G9817/H9817,"")</f>
        <v/>
      </c>
    </row>
    <row r="9818">
      <c r="A9818" s="4" t="inlineStr">
        <is>
          <t>330</t>
        </is>
      </c>
      <c r="B9818" s="4" t="n">
        <v>3</v>
      </c>
      <c r="C9818" s="4" t="inlineStr">
        <is>
          <t>whitetail</t>
        </is>
      </c>
      <c r="D9818" s="4" t="n">
        <v>2015</v>
      </c>
      <c r="E9818" s="4" t="inlineStr"/>
      <c r="F9818" s="5" t="n"/>
      <c r="G9818" s="5" t="n"/>
      <c r="H9818" s="5" t="n">
        <v>160</v>
      </c>
      <c r="I9818" s="5" t="n">
        <v>66</v>
      </c>
      <c r="J9818" s="5" t="n">
        <v>91</v>
      </c>
      <c r="K9818" s="10">
        <f>IF(F9818&gt;0,H9818/F9818,"")</f>
        <v/>
      </c>
      <c r="L9818" s="16">
        <f>IF(AND(G9818&gt;0,H9818&gt;0),G9818/H9818,"")</f>
        <v/>
      </c>
    </row>
    <row r="9819">
      <c r="A9819" s="4" t="inlineStr">
        <is>
          <t>330</t>
        </is>
      </c>
      <c r="B9819" s="4" t="n">
        <v>3</v>
      </c>
      <c r="C9819" s="4" t="inlineStr">
        <is>
          <t>whitetail</t>
        </is>
      </c>
      <c r="D9819" s="4" t="n">
        <v>2016</v>
      </c>
      <c r="E9819" s="4" t="inlineStr"/>
      <c r="F9819" s="5" t="n"/>
      <c r="G9819" s="5" t="n"/>
      <c r="H9819" s="5" t="n">
        <v>181</v>
      </c>
      <c r="I9819" s="5" t="n">
        <v>74</v>
      </c>
      <c r="J9819" s="5" t="n">
        <v>102</v>
      </c>
      <c r="K9819" s="10">
        <f>IF(F9819&gt;0,H9819/F9819,"")</f>
        <v/>
      </c>
      <c r="L9819" s="16">
        <f>IF(AND(G9819&gt;0,H9819&gt;0),G9819/H9819,"")</f>
        <v/>
      </c>
    </row>
    <row r="9820">
      <c r="A9820" s="4" t="inlineStr">
        <is>
          <t>330</t>
        </is>
      </c>
      <c r="B9820" s="4" t="n">
        <v>3</v>
      </c>
      <c r="C9820" s="4" t="inlineStr">
        <is>
          <t>whitetail</t>
        </is>
      </c>
      <c r="D9820" s="4" t="n">
        <v>2017</v>
      </c>
      <c r="E9820" s="4" t="inlineStr"/>
      <c r="F9820" s="5" t="n">
        <v>863</v>
      </c>
      <c r="G9820" s="5" t="n">
        <v>4568</v>
      </c>
      <c r="H9820" s="5" t="n">
        <v>140</v>
      </c>
      <c r="I9820" s="5" t="n">
        <v>70</v>
      </c>
      <c r="J9820" s="5" t="n">
        <v>70</v>
      </c>
      <c r="K9820" s="10">
        <f>IF(F9820&gt;0,H9820/F9820,"")</f>
        <v/>
      </c>
      <c r="L9820" s="16">
        <f>IF(AND(G9820&gt;0,H9820&gt;0),G9820/H9820,"")</f>
        <v/>
      </c>
    </row>
    <row r="9821">
      <c r="A9821" s="4" t="inlineStr">
        <is>
          <t>330</t>
        </is>
      </c>
      <c r="B9821" s="4" t="n">
        <v>3</v>
      </c>
      <c r="C9821" s="4" t="inlineStr">
        <is>
          <t>whitetail</t>
        </is>
      </c>
      <c r="D9821" s="4" t="n">
        <v>2018</v>
      </c>
      <c r="E9821" s="4" t="inlineStr"/>
      <c r="F9821" s="5" t="n"/>
      <c r="G9821" s="5" t="n"/>
      <c r="H9821" s="5" t="n">
        <v>176</v>
      </c>
      <c r="I9821" s="5" t="n">
        <v>78</v>
      </c>
      <c r="J9821" s="5" t="n">
        <v>98</v>
      </c>
      <c r="K9821" s="10">
        <f>IF(F9821&gt;0,H9821/F9821,"")</f>
        <v/>
      </c>
      <c r="L9821" s="16">
        <f>IF(AND(G9821&gt;0,H9821&gt;0),G9821/H9821,"")</f>
        <v/>
      </c>
    </row>
    <row r="9822">
      <c r="A9822" s="4" t="inlineStr">
        <is>
          <t>330</t>
        </is>
      </c>
      <c r="B9822" s="4" t="n">
        <v>3</v>
      </c>
      <c r="C9822" s="4" t="inlineStr">
        <is>
          <t>whitetail</t>
        </is>
      </c>
      <c r="D9822" s="4" t="n">
        <v>2019</v>
      </c>
      <c r="E9822" s="4" t="inlineStr"/>
      <c r="F9822" s="5" t="n">
        <v>880</v>
      </c>
      <c r="G9822" s="5" t="n">
        <v>5050</v>
      </c>
      <c r="H9822" s="5" t="n">
        <v>131</v>
      </c>
      <c r="I9822" s="5" t="n">
        <v>64</v>
      </c>
      <c r="J9822" s="5" t="n">
        <v>64</v>
      </c>
      <c r="K9822" s="10">
        <f>IF(F9822&gt;0,H9822/F9822,"")</f>
        <v/>
      </c>
      <c r="L9822" s="16">
        <f>IF(AND(G9822&gt;0,H9822&gt;0),G9822/H9822,"")</f>
        <v/>
      </c>
    </row>
    <row r="9823">
      <c r="A9823" s="4" t="inlineStr">
        <is>
          <t>330</t>
        </is>
      </c>
      <c r="B9823" s="4" t="n">
        <v>3</v>
      </c>
      <c r="C9823" s="4" t="inlineStr">
        <is>
          <t>whitetail</t>
        </is>
      </c>
      <c r="D9823" s="4" t="n">
        <v>2020</v>
      </c>
      <c r="E9823" s="4" t="inlineStr"/>
      <c r="F9823" s="5" t="n"/>
      <c r="G9823" s="5" t="n"/>
      <c r="H9823" s="5" t="n">
        <v>203</v>
      </c>
      <c r="I9823" s="5" t="n">
        <v>86</v>
      </c>
      <c r="J9823" s="5" t="n">
        <v>110</v>
      </c>
      <c r="K9823" s="10">
        <f>IF(F9823&gt;0,H9823/F9823,"")</f>
        <v/>
      </c>
      <c r="L9823" s="16">
        <f>IF(AND(G9823&gt;0,H9823&gt;0),G9823/H9823,"")</f>
        <v/>
      </c>
    </row>
    <row r="9824">
      <c r="A9824" s="4" t="inlineStr">
        <is>
          <t>330</t>
        </is>
      </c>
      <c r="B9824" s="4" t="n">
        <v>3</v>
      </c>
      <c r="C9824" s="4" t="inlineStr">
        <is>
          <t>whitetail</t>
        </is>
      </c>
      <c r="D9824" s="4" t="n">
        <v>2021</v>
      </c>
      <c r="E9824" s="4" t="inlineStr"/>
      <c r="F9824" s="5" t="n">
        <v>1008</v>
      </c>
      <c r="G9824" s="5" t="n">
        <v>6837</v>
      </c>
      <c r="H9824" s="5" t="n">
        <v>168</v>
      </c>
      <c r="I9824" s="5" t="n">
        <v>72</v>
      </c>
      <c r="J9824" s="5" t="n">
        <v>93</v>
      </c>
      <c r="K9824" s="10">
        <f>IF(F9824&gt;0,H9824/F9824,"")</f>
        <v/>
      </c>
      <c r="L9824" s="16">
        <f>IF(AND(G9824&gt;0,H9824&gt;0),G9824/H9824,"")</f>
        <v/>
      </c>
    </row>
    <row r="9825">
      <c r="A9825" s="4" t="inlineStr">
        <is>
          <t>331</t>
        </is>
      </c>
      <c r="B9825" s="4" t="n">
        <v>3</v>
      </c>
      <c r="C9825" s="4" t="inlineStr">
        <is>
          <t>whitetail</t>
        </is>
      </c>
      <c r="D9825" s="4" t="n">
        <v>2004</v>
      </c>
      <c r="E9825" s="13" t="inlineStr">
        <is>
          <t>General</t>
        </is>
      </c>
      <c r="F9825" s="5" t="n">
        <v>1658</v>
      </c>
      <c r="G9825" s="5" t="n">
        <v>10060</v>
      </c>
      <c r="H9825" s="5" t="n">
        <v>194</v>
      </c>
      <c r="I9825" s="5" t="n">
        <v>82</v>
      </c>
      <c r="J9825" s="5" t="n">
        <v>101</v>
      </c>
      <c r="K9825" s="10">
        <f>IF(F9825&gt;0,H9825/F9825,"")</f>
        <v/>
      </c>
      <c r="L9825" s="16">
        <f>IF(AND(G9825&gt;0,H9825&gt;0),G9825/H9825,"")</f>
        <v/>
      </c>
    </row>
    <row r="9826">
      <c r="A9826" s="4" t="inlineStr">
        <is>
          <t>331</t>
        </is>
      </c>
      <c r="B9826" s="4" t="n">
        <v>3</v>
      </c>
      <c r="C9826" s="4" t="inlineStr">
        <is>
          <t>whitetail</t>
        </is>
      </c>
      <c r="D9826" s="4" t="n">
        <v>2005</v>
      </c>
      <c r="E9826" s="13" t="inlineStr">
        <is>
          <t>General</t>
        </is>
      </c>
      <c r="F9826" s="5" t="n">
        <v>1415</v>
      </c>
      <c r="G9826" s="5" t="n">
        <v>9124</v>
      </c>
      <c r="H9826" s="5" t="n">
        <v>170</v>
      </c>
      <c r="I9826" s="5" t="n">
        <v>88</v>
      </c>
      <c r="J9826" s="5" t="n">
        <v>73</v>
      </c>
      <c r="K9826" s="10">
        <f>IF(F9826&gt;0,H9826/F9826,"")</f>
        <v/>
      </c>
      <c r="L9826" s="16">
        <f>IF(AND(G9826&gt;0,H9826&gt;0),G9826/H9826,"")</f>
        <v/>
      </c>
    </row>
    <row r="9827">
      <c r="A9827" s="4" t="inlineStr">
        <is>
          <t>331</t>
        </is>
      </c>
      <c r="B9827" s="4" t="n">
        <v>3</v>
      </c>
      <c r="C9827" s="4" t="inlineStr">
        <is>
          <t>whitetail</t>
        </is>
      </c>
      <c r="D9827" s="4" t="n">
        <v>2006</v>
      </c>
      <c r="E9827" s="13" t="inlineStr">
        <is>
          <t>General</t>
        </is>
      </c>
      <c r="F9827" s="5" t="n">
        <v>1496</v>
      </c>
      <c r="G9827" s="5" t="n">
        <v>9182</v>
      </c>
      <c r="H9827" s="5" t="n">
        <v>260</v>
      </c>
      <c r="I9827" s="5" t="n">
        <v>122</v>
      </c>
      <c r="J9827" s="5" t="n">
        <v>131</v>
      </c>
      <c r="K9827" s="10">
        <f>IF(F9827&gt;0,H9827/F9827,"")</f>
        <v/>
      </c>
      <c r="L9827" s="16">
        <f>IF(AND(G9827&gt;0,H9827&gt;0),G9827/H9827,"")</f>
        <v/>
      </c>
    </row>
    <row r="9828">
      <c r="A9828" s="4" t="inlineStr">
        <is>
          <t>331</t>
        </is>
      </c>
      <c r="B9828" s="4" t="n">
        <v>3</v>
      </c>
      <c r="C9828" s="4" t="inlineStr">
        <is>
          <t>whitetail</t>
        </is>
      </c>
      <c r="D9828" s="4" t="n">
        <v>2007</v>
      </c>
      <c r="E9828" s="13" t="inlineStr">
        <is>
          <t>General</t>
        </is>
      </c>
      <c r="F9828" s="5" t="n">
        <v>1337</v>
      </c>
      <c r="G9828" s="5" t="n">
        <v>8076</v>
      </c>
      <c r="H9828" s="5" t="n">
        <v>148</v>
      </c>
      <c r="I9828" s="5" t="n">
        <v>70</v>
      </c>
      <c r="J9828" s="5" t="n">
        <v>78</v>
      </c>
      <c r="K9828" s="10">
        <f>IF(F9828&gt;0,H9828/F9828,"")</f>
        <v/>
      </c>
      <c r="L9828" s="16">
        <f>IF(AND(G9828&gt;0,H9828&gt;0),G9828/H9828,"")</f>
        <v/>
      </c>
    </row>
    <row r="9829">
      <c r="A9829" s="4" t="inlineStr">
        <is>
          <t>331</t>
        </is>
      </c>
      <c r="B9829" s="4" t="n">
        <v>3</v>
      </c>
      <c r="C9829" s="4" t="inlineStr">
        <is>
          <t>whitetail</t>
        </is>
      </c>
      <c r="D9829" s="4" t="n">
        <v>2008</v>
      </c>
      <c r="E9829" s="13" t="inlineStr">
        <is>
          <t>General</t>
        </is>
      </c>
      <c r="F9829" s="5" t="n">
        <v>1263</v>
      </c>
      <c r="G9829" s="5" t="n">
        <v>7719</v>
      </c>
      <c r="H9829" s="5" t="n">
        <v>164</v>
      </c>
      <c r="I9829" s="5" t="n">
        <v>74</v>
      </c>
      <c r="J9829" s="5" t="n">
        <v>87</v>
      </c>
      <c r="K9829" s="10">
        <f>IF(F9829&gt;0,H9829/F9829,"")</f>
        <v/>
      </c>
      <c r="L9829" s="16">
        <f>IF(AND(G9829&gt;0,H9829&gt;0),G9829/H9829,"")</f>
        <v/>
      </c>
    </row>
    <row r="9830">
      <c r="A9830" s="4" t="inlineStr">
        <is>
          <t>331</t>
        </is>
      </c>
      <c r="B9830" s="4" t="n">
        <v>3</v>
      </c>
      <c r="C9830" s="4" t="inlineStr">
        <is>
          <t>whitetail</t>
        </is>
      </c>
      <c r="D9830" s="4" t="n">
        <v>2009</v>
      </c>
      <c r="E9830" s="13" t="inlineStr">
        <is>
          <t>General</t>
        </is>
      </c>
      <c r="F9830" s="5" t="n">
        <v>1287</v>
      </c>
      <c r="G9830" s="5" t="n">
        <v>7994</v>
      </c>
      <c r="H9830" s="5" t="n">
        <v>146</v>
      </c>
      <c r="I9830" s="5" t="n">
        <v>68</v>
      </c>
      <c r="J9830" s="5" t="n">
        <v>75</v>
      </c>
      <c r="K9830" s="10">
        <f>IF(F9830&gt;0,H9830/F9830,"")</f>
        <v/>
      </c>
      <c r="L9830" s="16">
        <f>IF(AND(G9830&gt;0,H9830&gt;0),G9830/H9830,"")</f>
        <v/>
      </c>
    </row>
    <row r="9831">
      <c r="A9831" s="4" t="inlineStr">
        <is>
          <t>331</t>
        </is>
      </c>
      <c r="B9831" s="4" t="n">
        <v>3</v>
      </c>
      <c r="C9831" s="4" t="inlineStr">
        <is>
          <t>whitetail</t>
        </is>
      </c>
      <c r="D9831" s="4" t="n">
        <v>2010</v>
      </c>
      <c r="E9831" s="13" t="inlineStr">
        <is>
          <t>General</t>
        </is>
      </c>
      <c r="F9831" s="5" t="n">
        <v>1349</v>
      </c>
      <c r="G9831" s="5" t="n">
        <v>8379</v>
      </c>
      <c r="H9831" s="5" t="n">
        <v>153</v>
      </c>
      <c r="I9831" s="5" t="n">
        <v>77</v>
      </c>
      <c r="J9831" s="5" t="n">
        <v>76</v>
      </c>
      <c r="K9831" s="10">
        <f>IF(F9831&gt;0,H9831/F9831,"")</f>
        <v/>
      </c>
      <c r="L9831" s="16">
        <f>IF(AND(G9831&gt;0,H9831&gt;0),G9831/H9831,"")</f>
        <v/>
      </c>
    </row>
    <row r="9832">
      <c r="A9832" s="4" t="inlineStr">
        <is>
          <t>331</t>
        </is>
      </c>
      <c r="B9832" s="4" t="n">
        <v>3</v>
      </c>
      <c r="C9832" s="4" t="inlineStr">
        <is>
          <t>whitetail</t>
        </is>
      </c>
      <c r="D9832" s="4" t="n">
        <v>2011</v>
      </c>
      <c r="E9832" s="13" t="inlineStr">
        <is>
          <t>General</t>
        </is>
      </c>
      <c r="F9832" s="5" t="n">
        <v>1401</v>
      </c>
      <c r="G9832" s="5" t="n">
        <v>9078</v>
      </c>
      <c r="H9832" s="5" t="n">
        <v>162</v>
      </c>
      <c r="I9832" s="5" t="n">
        <v>76</v>
      </c>
      <c r="J9832" s="5" t="n">
        <v>85</v>
      </c>
      <c r="K9832" s="10">
        <f>IF(F9832&gt;0,H9832/F9832,"")</f>
        <v/>
      </c>
      <c r="L9832" s="16">
        <f>IF(AND(G9832&gt;0,H9832&gt;0),G9832/H9832,"")</f>
        <v/>
      </c>
    </row>
    <row r="9833">
      <c r="A9833" s="4" t="inlineStr">
        <is>
          <t>331</t>
        </is>
      </c>
      <c r="B9833" s="4" t="n">
        <v>3</v>
      </c>
      <c r="C9833" s="4" t="inlineStr">
        <is>
          <t>whitetail</t>
        </is>
      </c>
      <c r="D9833" s="4" t="n">
        <v>2012</v>
      </c>
      <c r="E9833" s="13" t="inlineStr">
        <is>
          <t>General</t>
        </is>
      </c>
      <c r="F9833" s="5" t="n"/>
      <c r="G9833" s="5" t="n"/>
      <c r="H9833" s="5" t="n">
        <v>162</v>
      </c>
      <c r="I9833" s="5" t="n">
        <v>60</v>
      </c>
      <c r="J9833" s="5" t="n">
        <v>100</v>
      </c>
      <c r="K9833" s="10">
        <f>IF(F9833&gt;0,H9833/F9833,"")</f>
        <v/>
      </c>
      <c r="L9833" s="16">
        <f>IF(AND(G9833&gt;0,H9833&gt;0),G9833/H9833,"")</f>
        <v/>
      </c>
    </row>
    <row r="9834">
      <c r="A9834" s="4" t="inlineStr">
        <is>
          <t>331</t>
        </is>
      </c>
      <c r="B9834" s="4" t="n">
        <v>3</v>
      </c>
      <c r="C9834" s="4" t="inlineStr">
        <is>
          <t>whitetail</t>
        </is>
      </c>
      <c r="D9834" s="4" t="n">
        <v>2013</v>
      </c>
      <c r="E9834" s="13" t="inlineStr">
        <is>
          <t>General</t>
        </is>
      </c>
      <c r="F9834" s="5" t="n">
        <v>1513</v>
      </c>
      <c r="G9834" s="5" t="n">
        <v>10277</v>
      </c>
      <c r="H9834" s="5" t="n">
        <v>199</v>
      </c>
      <c r="I9834" s="5" t="n">
        <v>96</v>
      </c>
      <c r="J9834" s="5" t="n">
        <v>97</v>
      </c>
      <c r="K9834" s="10">
        <f>IF(F9834&gt;0,H9834/F9834,"")</f>
        <v/>
      </c>
      <c r="L9834" s="16">
        <f>IF(AND(G9834&gt;0,H9834&gt;0),G9834/H9834,"")</f>
        <v/>
      </c>
    </row>
    <row r="9835">
      <c r="A9835" s="4" t="inlineStr">
        <is>
          <t>331</t>
        </is>
      </c>
      <c r="B9835" s="4" t="n">
        <v>3</v>
      </c>
      <c r="C9835" s="4" t="inlineStr">
        <is>
          <t>whitetail</t>
        </is>
      </c>
      <c r="D9835" s="4" t="n">
        <v>2014</v>
      </c>
      <c r="E9835" s="13" t="inlineStr">
        <is>
          <t>General</t>
        </is>
      </c>
      <c r="F9835" s="5" t="n"/>
      <c r="G9835" s="5" t="n"/>
      <c r="H9835" s="5" t="n">
        <v>200</v>
      </c>
      <c r="I9835" s="5" t="n">
        <v>112</v>
      </c>
      <c r="J9835" s="5" t="n">
        <v>89</v>
      </c>
      <c r="K9835" s="10">
        <f>IF(F9835&gt;0,H9835/F9835,"")</f>
        <v/>
      </c>
      <c r="L9835" s="16">
        <f>IF(AND(G9835&gt;0,H9835&gt;0),G9835/H9835,"")</f>
        <v/>
      </c>
    </row>
    <row r="9836">
      <c r="A9836" s="4" t="inlineStr">
        <is>
          <t>331</t>
        </is>
      </c>
      <c r="B9836" s="4" t="n">
        <v>3</v>
      </c>
      <c r="C9836" s="4" t="inlineStr">
        <is>
          <t>whitetail</t>
        </is>
      </c>
      <c r="D9836" s="4" t="n">
        <v>2015</v>
      </c>
      <c r="E9836" s="13" t="inlineStr">
        <is>
          <t>General</t>
        </is>
      </c>
      <c r="F9836" s="5" t="n"/>
      <c r="G9836" s="5" t="n"/>
      <c r="H9836" s="5" t="n">
        <v>202</v>
      </c>
      <c r="I9836" s="5" t="n">
        <v>104</v>
      </c>
      <c r="J9836" s="5" t="n">
        <v>98</v>
      </c>
      <c r="K9836" s="10">
        <f>IF(F9836&gt;0,H9836/F9836,"")</f>
        <v/>
      </c>
      <c r="L9836" s="16">
        <f>IF(AND(G9836&gt;0,H9836&gt;0),G9836/H9836,"")</f>
        <v/>
      </c>
    </row>
    <row r="9837">
      <c r="A9837" s="4" t="inlineStr">
        <is>
          <t>331</t>
        </is>
      </c>
      <c r="B9837" s="4" t="n">
        <v>3</v>
      </c>
      <c r="C9837" s="4" t="inlineStr">
        <is>
          <t>whitetail</t>
        </is>
      </c>
      <c r="D9837" s="4" t="n">
        <v>2016</v>
      </c>
      <c r="E9837" s="13" t="inlineStr">
        <is>
          <t>General</t>
        </is>
      </c>
      <c r="F9837" s="5" t="n"/>
      <c r="G9837" s="5" t="n"/>
      <c r="H9837" s="5" t="n">
        <v>232</v>
      </c>
      <c r="I9837" s="5" t="n">
        <v>117</v>
      </c>
      <c r="J9837" s="5" t="n">
        <v>114</v>
      </c>
      <c r="K9837" s="10">
        <f>IF(F9837&gt;0,H9837/F9837,"")</f>
        <v/>
      </c>
      <c r="L9837" s="16">
        <f>IF(AND(G9837&gt;0,H9837&gt;0),G9837/H9837,"")</f>
        <v/>
      </c>
    </row>
    <row r="9838">
      <c r="A9838" s="4" t="inlineStr">
        <is>
          <t>331</t>
        </is>
      </c>
      <c r="B9838" s="4" t="n">
        <v>3</v>
      </c>
      <c r="C9838" s="4" t="inlineStr">
        <is>
          <t>whitetail</t>
        </is>
      </c>
      <c r="D9838" s="4" t="n">
        <v>2017</v>
      </c>
      <c r="E9838" s="13" t="inlineStr">
        <is>
          <t>General</t>
        </is>
      </c>
      <c r="F9838" s="5" t="n">
        <v>1511</v>
      </c>
      <c r="G9838" s="5" t="n">
        <v>8307</v>
      </c>
      <c r="H9838" s="5" t="n">
        <v>189</v>
      </c>
      <c r="I9838" s="5" t="n">
        <v>100</v>
      </c>
      <c r="J9838" s="5" t="n">
        <v>88</v>
      </c>
      <c r="K9838" s="10">
        <f>IF(F9838&gt;0,H9838/F9838,"")</f>
        <v/>
      </c>
      <c r="L9838" s="16">
        <f>IF(AND(G9838&gt;0,H9838&gt;0),G9838/H9838,"")</f>
        <v/>
      </c>
    </row>
    <row r="9839">
      <c r="A9839" s="4" t="inlineStr">
        <is>
          <t>331</t>
        </is>
      </c>
      <c r="B9839" s="4" t="n">
        <v>3</v>
      </c>
      <c r="C9839" s="4" t="inlineStr">
        <is>
          <t>whitetail</t>
        </is>
      </c>
      <c r="D9839" s="4" t="n">
        <v>2018</v>
      </c>
      <c r="E9839" s="13" t="inlineStr">
        <is>
          <t>General</t>
        </is>
      </c>
      <c r="F9839" s="5" t="n"/>
      <c r="G9839" s="5" t="n"/>
      <c r="H9839" s="5" t="n">
        <v>197</v>
      </c>
      <c r="I9839" s="5" t="n">
        <v>98</v>
      </c>
      <c r="J9839" s="5" t="n">
        <v>96</v>
      </c>
      <c r="K9839" s="10">
        <f>IF(F9839&gt;0,H9839/F9839,"")</f>
        <v/>
      </c>
      <c r="L9839" s="16">
        <f>IF(AND(G9839&gt;0,H9839&gt;0),G9839/H9839,"")</f>
        <v/>
      </c>
    </row>
    <row r="9840">
      <c r="A9840" s="4" t="inlineStr">
        <is>
          <t>331</t>
        </is>
      </c>
      <c r="B9840" s="4" t="n">
        <v>3</v>
      </c>
      <c r="C9840" s="4" t="inlineStr">
        <is>
          <t>whitetail</t>
        </is>
      </c>
      <c r="D9840" s="4" t="n">
        <v>2019</v>
      </c>
      <c r="E9840" s="13" t="inlineStr">
        <is>
          <t>General</t>
        </is>
      </c>
      <c r="F9840" s="5" t="n">
        <v>1548</v>
      </c>
      <c r="G9840" s="5" t="n">
        <v>10165</v>
      </c>
      <c r="H9840" s="5" t="n">
        <v>166</v>
      </c>
      <c r="I9840" s="5" t="n">
        <v>97</v>
      </c>
      <c r="J9840" s="5" t="n">
        <v>66</v>
      </c>
      <c r="K9840" s="10">
        <f>IF(F9840&gt;0,H9840/F9840,"")</f>
        <v/>
      </c>
      <c r="L9840" s="16">
        <f>IF(AND(G9840&gt;0,H9840&gt;0),G9840/H9840,"")</f>
        <v/>
      </c>
    </row>
    <row r="9841">
      <c r="A9841" s="4" t="inlineStr">
        <is>
          <t>331</t>
        </is>
      </c>
      <c r="B9841" s="4" t="n">
        <v>3</v>
      </c>
      <c r="C9841" s="4" t="inlineStr">
        <is>
          <t>whitetail</t>
        </is>
      </c>
      <c r="D9841" s="4" t="n">
        <v>2020</v>
      </c>
      <c r="E9841" s="13" t="inlineStr">
        <is>
          <t>General</t>
        </is>
      </c>
      <c r="F9841" s="5" t="n"/>
      <c r="G9841" s="5" t="n"/>
      <c r="H9841" s="5" t="n">
        <v>209</v>
      </c>
      <c r="I9841" s="5" t="n">
        <v>112</v>
      </c>
      <c r="J9841" s="5" t="n">
        <v>98</v>
      </c>
      <c r="K9841" s="10">
        <f>IF(F9841&gt;0,H9841/F9841,"")</f>
        <v/>
      </c>
      <c r="L9841" s="16">
        <f>IF(AND(G9841&gt;0,H9841&gt;0),G9841/H9841,"")</f>
        <v/>
      </c>
    </row>
    <row r="9842">
      <c r="A9842" s="4" t="inlineStr">
        <is>
          <t>331</t>
        </is>
      </c>
      <c r="B9842" s="4" t="n">
        <v>3</v>
      </c>
      <c r="C9842" s="4" t="inlineStr">
        <is>
          <t>whitetail</t>
        </is>
      </c>
      <c r="D9842" s="4" t="n">
        <v>2021</v>
      </c>
      <c r="E9842" s="13" t="inlineStr">
        <is>
          <t>General</t>
        </is>
      </c>
      <c r="F9842" s="5" t="n">
        <v>1485</v>
      </c>
      <c r="G9842" s="5" t="n">
        <v>10368</v>
      </c>
      <c r="H9842" s="5" t="n">
        <v>135</v>
      </c>
      <c r="I9842" s="5" t="n">
        <v>71</v>
      </c>
      <c r="J9842" s="5" t="n">
        <v>65</v>
      </c>
      <c r="K9842" s="10">
        <f>IF(F9842&gt;0,H9842/F9842,"")</f>
        <v/>
      </c>
      <c r="L9842" s="16">
        <f>IF(AND(G9842&gt;0,H9842&gt;0),G9842/H9842,"")</f>
        <v/>
      </c>
    </row>
    <row r="9843">
      <c r="A9843" s="4" t="inlineStr">
        <is>
          <t>331</t>
        </is>
      </c>
      <c r="B9843" s="4" t="n">
        <v>3</v>
      </c>
      <c r="C9843" s="4" t="inlineStr">
        <is>
          <t>whitetail</t>
        </is>
      </c>
      <c r="D9843" s="4" t="n">
        <v>2022</v>
      </c>
      <c r="E9843" s="13" t="inlineStr">
        <is>
          <t>General</t>
        </is>
      </c>
      <c r="F9843" s="5" t="n"/>
      <c r="G9843" s="5" t="n"/>
      <c r="H9843" s="5" t="n">
        <v>170</v>
      </c>
      <c r="I9843" s="5" t="n">
        <v>98</v>
      </c>
      <c r="J9843" s="5" t="n">
        <v>68</v>
      </c>
      <c r="K9843" s="10">
        <f>IF(F9843&gt;0,H9843/F9843,"")</f>
        <v/>
      </c>
      <c r="L9843" s="16">
        <f>IF(AND(G9843&gt;0,H9843&gt;0),G9843/H9843,"")</f>
        <v/>
      </c>
    </row>
    <row r="9844">
      <c r="A9844" s="4" t="inlineStr">
        <is>
          <t>331</t>
        </is>
      </c>
      <c r="B9844" s="4" t="n">
        <v>3</v>
      </c>
      <c r="C9844" s="4" t="inlineStr">
        <is>
          <t>whitetail</t>
        </is>
      </c>
      <c r="D9844" s="4" t="n">
        <v>2023</v>
      </c>
      <c r="E9844" s="13" t="inlineStr">
        <is>
          <t>General</t>
        </is>
      </c>
      <c r="F9844" s="5" t="n">
        <v>2009</v>
      </c>
      <c r="G9844" s="5" t="n">
        <v>14147</v>
      </c>
      <c r="H9844" s="5" t="n">
        <v>153</v>
      </c>
      <c r="I9844" s="5" t="n">
        <v>78</v>
      </c>
      <c r="J9844" s="5" t="n">
        <v>72</v>
      </c>
      <c r="K9844" s="10">
        <f>IF(F9844&gt;0,H9844/F9844,"")</f>
        <v/>
      </c>
      <c r="L9844" s="16">
        <f>IF(AND(G9844&gt;0,H9844&gt;0),G9844/H9844,"")</f>
        <v/>
      </c>
    </row>
    <row r="9845">
      <c r="A9845" s="4" t="inlineStr">
        <is>
          <t>331</t>
        </is>
      </c>
      <c r="B9845" s="4" t="n">
        <v>3</v>
      </c>
      <c r="C9845" s="4" t="inlineStr">
        <is>
          <t>whitetail</t>
        </is>
      </c>
      <c r="D9845" s="4" t="n">
        <v>2024</v>
      </c>
      <c r="E9845" s="13" t="inlineStr">
        <is>
          <t>General</t>
        </is>
      </c>
      <c r="F9845" s="5" t="n"/>
      <c r="G9845" s="5" t="n"/>
      <c r="H9845" s="5" t="n">
        <v>196</v>
      </c>
      <c r="I9845" s="5" t="n">
        <v>92</v>
      </c>
      <c r="J9845" s="5" t="n">
        <v>105</v>
      </c>
      <c r="K9845" s="10">
        <f>IF(F9845&gt;0,H9845/F9845,"")</f>
        <v/>
      </c>
      <c r="L9845" s="16">
        <f>IF(AND(G9845&gt;0,H9845&gt;0),G9845/H9845,"")</f>
        <v/>
      </c>
    </row>
    <row r="9846">
      <c r="A9846" s="4" t="inlineStr">
        <is>
          <t>331</t>
        </is>
      </c>
      <c r="B9846" s="4" t="n">
        <v>3</v>
      </c>
      <c r="C9846" s="4" t="inlineStr">
        <is>
          <t>whitetail</t>
        </is>
      </c>
      <c r="D9846" s="4" t="n">
        <v>2025</v>
      </c>
      <c r="E9846" s="13" t="inlineStr">
        <is>
          <t>General</t>
        </is>
      </c>
      <c r="F9846" s="5" t="n">
        <v>2606</v>
      </c>
      <c r="G9846" s="5" t="n">
        <v>20916</v>
      </c>
      <c r="H9846" s="5" t="n">
        <v>161</v>
      </c>
      <c r="I9846" s="5" t="n">
        <v>79</v>
      </c>
      <c r="J9846" s="5" t="n">
        <v>83</v>
      </c>
      <c r="K9846" s="10">
        <f>IF(F9846&gt;0,H9846/F9846,"")</f>
        <v/>
      </c>
      <c r="L9846" s="16">
        <f>IF(AND(G9846&gt;0,H9846&gt;0),G9846/H9846,"")</f>
        <v/>
      </c>
    </row>
    <row r="9847">
      <c r="A9847" s="4" t="inlineStr">
        <is>
          <t>332</t>
        </is>
      </c>
      <c r="B9847" s="4" t="n">
        <v>3</v>
      </c>
      <c r="C9847" s="4" t="inlineStr">
        <is>
          <t>whitetail</t>
        </is>
      </c>
      <c r="D9847" s="4" t="n">
        <v>2004</v>
      </c>
      <c r="E9847" s="4" t="inlineStr"/>
      <c r="F9847" s="5" t="n">
        <v>613</v>
      </c>
      <c r="G9847" s="5" t="n">
        <v>3307</v>
      </c>
      <c r="H9847" s="5" t="n">
        <v>27</v>
      </c>
      <c r="I9847" s="5" t="n">
        <v>15</v>
      </c>
      <c r="J9847" s="5" t="n">
        <v>11</v>
      </c>
      <c r="K9847" s="10">
        <f>IF(F9847&gt;0,H9847/F9847,"")</f>
        <v/>
      </c>
      <c r="L9847" s="16">
        <f>IF(AND(G9847&gt;0,H9847&gt;0),G9847/H9847,"")</f>
        <v/>
      </c>
    </row>
    <row r="9848">
      <c r="A9848" s="4" t="inlineStr">
        <is>
          <t>332</t>
        </is>
      </c>
      <c r="B9848" s="4" t="n">
        <v>3</v>
      </c>
      <c r="C9848" s="4" t="inlineStr">
        <is>
          <t>whitetail</t>
        </is>
      </c>
      <c r="D9848" s="4" t="n">
        <v>2005</v>
      </c>
      <c r="E9848" s="4" t="inlineStr"/>
      <c r="F9848" s="5" t="n">
        <v>620</v>
      </c>
      <c r="G9848" s="5" t="n">
        <v>3585</v>
      </c>
      <c r="H9848" s="5" t="n">
        <v>27</v>
      </c>
      <c r="I9848" s="5" t="n">
        <v>15</v>
      </c>
      <c r="J9848" s="5" t="n">
        <v>12</v>
      </c>
      <c r="K9848" s="10">
        <f>IF(F9848&gt;0,H9848/F9848,"")</f>
        <v/>
      </c>
      <c r="L9848" s="16">
        <f>IF(AND(G9848&gt;0,H9848&gt;0),G9848/H9848,"")</f>
        <v/>
      </c>
    </row>
    <row r="9849">
      <c r="A9849" s="4" t="inlineStr">
        <is>
          <t>332</t>
        </is>
      </c>
      <c r="B9849" s="4" t="n">
        <v>3</v>
      </c>
      <c r="C9849" s="4" t="inlineStr">
        <is>
          <t>whitetail</t>
        </is>
      </c>
      <c r="D9849" s="4" t="n">
        <v>2006</v>
      </c>
      <c r="E9849" s="4" t="inlineStr"/>
      <c r="F9849" s="5" t="n">
        <v>497</v>
      </c>
      <c r="G9849" s="5" t="n">
        <v>2933</v>
      </c>
      <c r="H9849" s="5" t="n">
        <v>36</v>
      </c>
      <c r="I9849" s="5" t="n">
        <v>19</v>
      </c>
      <c r="J9849" s="5" t="n">
        <v>13</v>
      </c>
      <c r="K9849" s="10">
        <f>IF(F9849&gt;0,H9849/F9849,"")</f>
        <v/>
      </c>
      <c r="L9849" s="16">
        <f>IF(AND(G9849&gt;0,H9849&gt;0),G9849/H9849,"")</f>
        <v/>
      </c>
    </row>
    <row r="9850">
      <c r="A9850" s="4" t="inlineStr">
        <is>
          <t>332</t>
        </is>
      </c>
      <c r="B9850" s="4" t="n">
        <v>3</v>
      </c>
      <c r="C9850" s="4" t="inlineStr">
        <is>
          <t>whitetail</t>
        </is>
      </c>
      <c r="D9850" s="4" t="n">
        <v>2007</v>
      </c>
      <c r="E9850" s="4" t="inlineStr"/>
      <c r="F9850" s="5" t="n">
        <v>371</v>
      </c>
      <c r="G9850" s="5" t="n">
        <v>1953</v>
      </c>
      <c r="H9850" s="5" t="n">
        <v>19</v>
      </c>
      <c r="I9850" s="5" t="n">
        <v>17</v>
      </c>
      <c r="J9850" s="5" t="n">
        <v>2</v>
      </c>
      <c r="K9850" s="10">
        <f>IF(F9850&gt;0,H9850/F9850,"")</f>
        <v/>
      </c>
      <c r="L9850" s="16">
        <f>IF(AND(G9850&gt;0,H9850&gt;0),G9850/H9850,"")</f>
        <v/>
      </c>
    </row>
    <row r="9851">
      <c r="A9851" s="4" t="inlineStr">
        <is>
          <t>332</t>
        </is>
      </c>
      <c r="B9851" s="4" t="n">
        <v>3</v>
      </c>
      <c r="C9851" s="4" t="inlineStr">
        <is>
          <t>whitetail</t>
        </is>
      </c>
      <c r="D9851" s="4" t="n">
        <v>2008</v>
      </c>
      <c r="E9851" s="4" t="inlineStr"/>
      <c r="F9851" s="5" t="n">
        <v>400</v>
      </c>
      <c r="G9851" s="5" t="n">
        <v>2871</v>
      </c>
      <c r="H9851" s="5" t="n">
        <v>17</v>
      </c>
      <c r="I9851" s="5" t="n">
        <v>6</v>
      </c>
      <c r="J9851" s="5" t="n">
        <v>11</v>
      </c>
      <c r="K9851" s="10">
        <f>IF(F9851&gt;0,H9851/F9851,"")</f>
        <v/>
      </c>
      <c r="L9851" s="16">
        <f>IF(AND(G9851&gt;0,H9851&gt;0),G9851/H9851,"")</f>
        <v/>
      </c>
    </row>
    <row r="9852">
      <c r="A9852" s="4" t="inlineStr">
        <is>
          <t>332</t>
        </is>
      </c>
      <c r="B9852" s="4" t="n">
        <v>3</v>
      </c>
      <c r="C9852" s="4" t="inlineStr">
        <is>
          <t>whitetail</t>
        </is>
      </c>
      <c r="D9852" s="4" t="n">
        <v>2009</v>
      </c>
      <c r="E9852" s="4" t="inlineStr"/>
      <c r="F9852" s="5" t="n">
        <v>421</v>
      </c>
      <c r="G9852" s="5" t="n">
        <v>2846</v>
      </c>
      <c r="H9852" s="5" t="n">
        <v>9</v>
      </c>
      <c r="I9852" s="5" t="n">
        <v>9</v>
      </c>
      <c r="J9852" s="5" t="n">
        <v>0</v>
      </c>
      <c r="K9852" s="10">
        <f>IF(F9852&gt;0,H9852/F9852,"")</f>
        <v/>
      </c>
      <c r="L9852" s="16">
        <f>IF(AND(G9852&gt;0,H9852&gt;0),G9852/H9852,"")</f>
        <v/>
      </c>
    </row>
    <row r="9853">
      <c r="A9853" s="4" t="inlineStr">
        <is>
          <t>332</t>
        </is>
      </c>
      <c r="B9853" s="4" t="n">
        <v>3</v>
      </c>
      <c r="C9853" s="4" t="inlineStr">
        <is>
          <t>whitetail</t>
        </is>
      </c>
      <c r="D9853" s="4" t="n">
        <v>2010</v>
      </c>
      <c r="E9853" s="4" t="inlineStr"/>
      <c r="F9853" s="5" t="n">
        <v>439</v>
      </c>
      <c r="G9853" s="5" t="n">
        <v>2500</v>
      </c>
      <c r="H9853" s="5" t="n">
        <v>31</v>
      </c>
      <c r="I9853" s="5" t="n">
        <v>20</v>
      </c>
      <c r="J9853" s="5" t="n">
        <v>9</v>
      </c>
      <c r="K9853" s="10">
        <f>IF(F9853&gt;0,H9853/F9853,"")</f>
        <v/>
      </c>
      <c r="L9853" s="16">
        <f>IF(AND(G9853&gt;0,H9853&gt;0),G9853/H9853,"")</f>
        <v/>
      </c>
    </row>
    <row r="9854">
      <c r="A9854" s="4" t="inlineStr">
        <is>
          <t>332</t>
        </is>
      </c>
      <c r="B9854" s="4" t="n">
        <v>3</v>
      </c>
      <c r="C9854" s="4" t="inlineStr">
        <is>
          <t>whitetail</t>
        </is>
      </c>
      <c r="D9854" s="4" t="n">
        <v>2011</v>
      </c>
      <c r="E9854" s="4" t="inlineStr"/>
      <c r="F9854" s="5" t="n">
        <v>513</v>
      </c>
      <c r="G9854" s="5" t="n">
        <v>3254</v>
      </c>
      <c r="H9854" s="5" t="n">
        <v>22</v>
      </c>
      <c r="I9854" s="5" t="n">
        <v>19</v>
      </c>
      <c r="J9854" s="5" t="n">
        <v>3</v>
      </c>
      <c r="K9854" s="10">
        <f>IF(F9854&gt;0,H9854/F9854,"")</f>
        <v/>
      </c>
      <c r="L9854" s="16">
        <f>IF(AND(G9854&gt;0,H9854&gt;0),G9854/H9854,"")</f>
        <v/>
      </c>
    </row>
    <row r="9855">
      <c r="A9855" s="4" t="inlineStr">
        <is>
          <t>332</t>
        </is>
      </c>
      <c r="B9855" s="4" t="n">
        <v>3</v>
      </c>
      <c r="C9855" s="4" t="inlineStr">
        <is>
          <t>whitetail</t>
        </is>
      </c>
      <c r="D9855" s="4" t="n">
        <v>2012</v>
      </c>
      <c r="E9855" s="4" t="inlineStr"/>
      <c r="F9855" s="5" t="n"/>
      <c r="G9855" s="5" t="n"/>
      <c r="H9855" s="5" t="n">
        <v>35</v>
      </c>
      <c r="I9855" s="5" t="n">
        <v>14</v>
      </c>
      <c r="J9855" s="5" t="n">
        <v>21</v>
      </c>
      <c r="K9855" s="10">
        <f>IF(F9855&gt;0,H9855/F9855,"")</f>
        <v/>
      </c>
      <c r="L9855" s="16">
        <f>IF(AND(G9855&gt;0,H9855&gt;0),G9855/H9855,"")</f>
        <v/>
      </c>
    </row>
    <row r="9856">
      <c r="A9856" s="4" t="inlineStr">
        <is>
          <t>332</t>
        </is>
      </c>
      <c r="B9856" s="4" t="n">
        <v>3</v>
      </c>
      <c r="C9856" s="4" t="inlineStr">
        <is>
          <t>whitetail</t>
        </is>
      </c>
      <c r="D9856" s="4" t="n">
        <v>2013</v>
      </c>
      <c r="E9856" s="4" t="inlineStr"/>
      <c r="F9856" s="5" t="n">
        <v>440</v>
      </c>
      <c r="G9856" s="5" t="n">
        <v>2845</v>
      </c>
      <c r="H9856" s="5" t="n">
        <v>3</v>
      </c>
      <c r="I9856" s="5" t="n">
        <v>0</v>
      </c>
      <c r="J9856" s="5" t="n">
        <v>3</v>
      </c>
      <c r="K9856" s="10">
        <f>IF(F9856&gt;0,H9856/F9856,"")</f>
        <v/>
      </c>
      <c r="L9856" s="16">
        <f>IF(AND(G9856&gt;0,H9856&gt;0),G9856/H9856,"")</f>
        <v/>
      </c>
    </row>
    <row r="9857">
      <c r="A9857" s="4" t="inlineStr">
        <is>
          <t>332</t>
        </is>
      </c>
      <c r="B9857" s="4" t="n">
        <v>3</v>
      </c>
      <c r="C9857" s="4" t="inlineStr">
        <is>
          <t>whitetail</t>
        </is>
      </c>
      <c r="D9857" s="4" t="n">
        <v>2014</v>
      </c>
      <c r="E9857" s="4" t="inlineStr"/>
      <c r="F9857" s="5" t="n"/>
      <c r="G9857" s="5" t="n"/>
      <c r="H9857" s="5" t="n">
        <v>10</v>
      </c>
      <c r="I9857" s="5" t="n">
        <v>6</v>
      </c>
      <c r="J9857" s="5" t="n">
        <v>5</v>
      </c>
      <c r="K9857" s="10">
        <f>IF(F9857&gt;0,H9857/F9857,"")</f>
        <v/>
      </c>
      <c r="L9857" s="16">
        <f>IF(AND(G9857&gt;0,H9857&gt;0),G9857/H9857,"")</f>
        <v/>
      </c>
    </row>
    <row r="9858">
      <c r="A9858" s="4" t="inlineStr">
        <is>
          <t>332</t>
        </is>
      </c>
      <c r="B9858" s="4" t="n">
        <v>3</v>
      </c>
      <c r="C9858" s="4" t="inlineStr">
        <is>
          <t>whitetail</t>
        </is>
      </c>
      <c r="D9858" s="4" t="n">
        <v>2015</v>
      </c>
      <c r="E9858" s="4" t="inlineStr"/>
      <c r="F9858" s="5" t="n"/>
      <c r="G9858" s="5" t="n"/>
      <c r="H9858" s="5" t="n">
        <v>23</v>
      </c>
      <c r="I9858" s="5" t="n">
        <v>14</v>
      </c>
      <c r="J9858" s="5" t="n">
        <v>8</v>
      </c>
      <c r="K9858" s="10">
        <f>IF(F9858&gt;0,H9858/F9858,"")</f>
        <v/>
      </c>
      <c r="L9858" s="16">
        <f>IF(AND(G9858&gt;0,H9858&gt;0),G9858/H9858,"")</f>
        <v/>
      </c>
    </row>
    <row r="9859">
      <c r="A9859" s="4" t="inlineStr">
        <is>
          <t>332</t>
        </is>
      </c>
      <c r="B9859" s="4" t="n">
        <v>3</v>
      </c>
      <c r="C9859" s="4" t="inlineStr">
        <is>
          <t>whitetail</t>
        </is>
      </c>
      <c r="D9859" s="4" t="n">
        <v>2016</v>
      </c>
      <c r="E9859" s="4" t="inlineStr"/>
      <c r="F9859" s="5" t="n"/>
      <c r="G9859" s="5" t="n"/>
      <c r="H9859" s="5" t="n">
        <v>24</v>
      </c>
      <c r="I9859" s="5" t="n">
        <v>9</v>
      </c>
      <c r="J9859" s="5" t="n">
        <v>15</v>
      </c>
      <c r="K9859" s="10">
        <f>IF(F9859&gt;0,H9859/F9859,"")</f>
        <v/>
      </c>
      <c r="L9859" s="16">
        <f>IF(AND(G9859&gt;0,H9859&gt;0),G9859/H9859,"")</f>
        <v/>
      </c>
    </row>
    <row r="9860">
      <c r="A9860" s="4" t="inlineStr">
        <is>
          <t>332</t>
        </is>
      </c>
      <c r="B9860" s="4" t="n">
        <v>3</v>
      </c>
      <c r="C9860" s="4" t="inlineStr">
        <is>
          <t>whitetail</t>
        </is>
      </c>
      <c r="D9860" s="4" t="n">
        <v>2017</v>
      </c>
      <c r="E9860" s="4" t="inlineStr"/>
      <c r="F9860" s="5" t="n">
        <v>458</v>
      </c>
      <c r="G9860" s="5" t="n">
        <v>3021</v>
      </c>
      <c r="H9860" s="5" t="n">
        <v>9</v>
      </c>
      <c r="I9860" s="5" t="n">
        <v>3</v>
      </c>
      <c r="J9860" s="5" t="n">
        <v>6</v>
      </c>
      <c r="K9860" s="10">
        <f>IF(F9860&gt;0,H9860/F9860,"")</f>
        <v/>
      </c>
      <c r="L9860" s="16">
        <f>IF(AND(G9860&gt;0,H9860&gt;0),G9860/H9860,"")</f>
        <v/>
      </c>
    </row>
    <row r="9861">
      <c r="A9861" s="4" t="inlineStr">
        <is>
          <t>332</t>
        </is>
      </c>
      <c r="B9861" s="4" t="n">
        <v>3</v>
      </c>
      <c r="C9861" s="4" t="inlineStr">
        <is>
          <t>whitetail</t>
        </is>
      </c>
      <c r="D9861" s="4" t="n">
        <v>2018</v>
      </c>
      <c r="E9861" s="4" t="inlineStr"/>
      <c r="F9861" s="5" t="n"/>
      <c r="G9861" s="5" t="n"/>
      <c r="H9861" s="5" t="n">
        <v>6</v>
      </c>
      <c r="I9861" s="5" t="n">
        <v>6</v>
      </c>
      <c r="J9861" s="5" t="n">
        <v>0</v>
      </c>
      <c r="K9861" s="10">
        <f>IF(F9861&gt;0,H9861/F9861,"")</f>
        <v/>
      </c>
      <c r="L9861" s="16">
        <f>IF(AND(G9861&gt;0,H9861&gt;0),G9861/H9861,"")</f>
        <v/>
      </c>
    </row>
    <row r="9862">
      <c r="A9862" s="4" t="inlineStr">
        <is>
          <t>332</t>
        </is>
      </c>
      <c r="B9862" s="4" t="n">
        <v>3</v>
      </c>
      <c r="C9862" s="4" t="inlineStr">
        <is>
          <t>whitetail</t>
        </is>
      </c>
      <c r="D9862" s="4" t="n">
        <v>2019</v>
      </c>
      <c r="E9862" s="4" t="inlineStr"/>
      <c r="F9862" s="5" t="n">
        <v>552</v>
      </c>
      <c r="G9862" s="5" t="n">
        <v>3342</v>
      </c>
      <c r="H9862" s="5" t="n">
        <v>14</v>
      </c>
      <c r="I9862" s="5" t="n">
        <v>10</v>
      </c>
      <c r="J9862" s="5" t="n">
        <v>3</v>
      </c>
      <c r="K9862" s="10">
        <f>IF(F9862&gt;0,H9862/F9862,"")</f>
        <v/>
      </c>
      <c r="L9862" s="16">
        <f>IF(AND(G9862&gt;0,H9862&gt;0),G9862/H9862,"")</f>
        <v/>
      </c>
    </row>
    <row r="9863">
      <c r="A9863" s="4" t="inlineStr">
        <is>
          <t>332</t>
        </is>
      </c>
      <c r="B9863" s="4" t="n">
        <v>3</v>
      </c>
      <c r="C9863" s="4" t="inlineStr">
        <is>
          <t>whitetail</t>
        </is>
      </c>
      <c r="D9863" s="4" t="n">
        <v>2020</v>
      </c>
      <c r="E9863" s="4" t="inlineStr"/>
      <c r="F9863" s="5" t="n"/>
      <c r="G9863" s="5" t="n"/>
      <c r="H9863" s="5" t="n">
        <v>7</v>
      </c>
      <c r="I9863" s="5" t="n">
        <v>0</v>
      </c>
      <c r="J9863" s="5" t="n">
        <v>7</v>
      </c>
      <c r="K9863" s="10">
        <f>IF(F9863&gt;0,H9863/F9863,"")</f>
        <v/>
      </c>
      <c r="L9863" s="16">
        <f>IF(AND(G9863&gt;0,H9863&gt;0),G9863/H9863,"")</f>
        <v/>
      </c>
    </row>
    <row r="9864">
      <c r="A9864" s="4" t="inlineStr">
        <is>
          <t>332</t>
        </is>
      </c>
      <c r="B9864" s="4" t="n">
        <v>3</v>
      </c>
      <c r="C9864" s="4" t="inlineStr">
        <is>
          <t>whitetail</t>
        </is>
      </c>
      <c r="D9864" s="4" t="n">
        <v>2021</v>
      </c>
      <c r="E9864" s="4" t="inlineStr"/>
      <c r="F9864" s="5" t="n">
        <v>478</v>
      </c>
      <c r="G9864" s="5" t="n">
        <v>3115</v>
      </c>
      <c r="H9864" s="5" t="n">
        <v>21</v>
      </c>
      <c r="I9864" s="5" t="n">
        <v>7</v>
      </c>
      <c r="J9864" s="5" t="n">
        <v>14</v>
      </c>
      <c r="K9864" s="10">
        <f>IF(F9864&gt;0,H9864/F9864,"")</f>
        <v/>
      </c>
      <c r="L9864" s="16">
        <f>IF(AND(G9864&gt;0,H9864&gt;0),G9864/H9864,"")</f>
        <v/>
      </c>
    </row>
    <row r="9865">
      <c r="A9865" s="4" t="inlineStr">
        <is>
          <t>333</t>
        </is>
      </c>
      <c r="B9865" s="4" t="n">
        <v>3</v>
      </c>
      <c r="C9865" s="4" t="inlineStr">
        <is>
          <t>whitetail</t>
        </is>
      </c>
      <c r="D9865" s="4" t="n">
        <v>2004</v>
      </c>
      <c r="E9865" s="4" t="inlineStr"/>
      <c r="F9865" s="5" t="n">
        <v>1788</v>
      </c>
      <c r="G9865" s="5" t="n">
        <v>9334</v>
      </c>
      <c r="H9865" s="5" t="n">
        <v>835</v>
      </c>
      <c r="I9865" s="5" t="n">
        <v>352</v>
      </c>
      <c r="J9865" s="5" t="n">
        <v>468</v>
      </c>
      <c r="K9865" s="10">
        <f>IF(F9865&gt;0,H9865/F9865,"")</f>
        <v/>
      </c>
      <c r="L9865" s="16">
        <f>IF(AND(G9865&gt;0,H9865&gt;0),G9865/H9865,"")</f>
        <v/>
      </c>
    </row>
    <row r="9866">
      <c r="A9866" s="4" t="inlineStr">
        <is>
          <t>333</t>
        </is>
      </c>
      <c r="B9866" s="4" t="n">
        <v>3</v>
      </c>
      <c r="C9866" s="4" t="inlineStr">
        <is>
          <t>whitetail</t>
        </is>
      </c>
      <c r="D9866" s="4" t="n">
        <v>2005</v>
      </c>
      <c r="E9866" s="4" t="inlineStr"/>
      <c r="F9866" s="5" t="n">
        <v>1921</v>
      </c>
      <c r="G9866" s="5" t="n">
        <v>10339</v>
      </c>
      <c r="H9866" s="5" t="n">
        <v>1045</v>
      </c>
      <c r="I9866" s="5" t="n">
        <v>464</v>
      </c>
      <c r="J9866" s="5" t="n">
        <v>569</v>
      </c>
      <c r="K9866" s="10">
        <f>IF(F9866&gt;0,H9866/F9866,"")</f>
        <v/>
      </c>
      <c r="L9866" s="16">
        <f>IF(AND(G9866&gt;0,H9866&gt;0),G9866/H9866,"")</f>
        <v/>
      </c>
    </row>
    <row r="9867">
      <c r="A9867" s="4" t="inlineStr">
        <is>
          <t>333</t>
        </is>
      </c>
      <c r="B9867" s="4" t="n">
        <v>3</v>
      </c>
      <c r="C9867" s="4" t="inlineStr">
        <is>
          <t>whitetail</t>
        </is>
      </c>
      <c r="D9867" s="4" t="n">
        <v>2006</v>
      </c>
      <c r="E9867" s="4" t="inlineStr"/>
      <c r="F9867" s="5" t="n">
        <v>1591</v>
      </c>
      <c r="G9867" s="5" t="n">
        <v>8718</v>
      </c>
      <c r="H9867" s="5" t="n">
        <v>1233</v>
      </c>
      <c r="I9867" s="5" t="n">
        <v>411</v>
      </c>
      <c r="J9867" s="5" t="n">
        <v>804</v>
      </c>
      <c r="K9867" s="10">
        <f>IF(F9867&gt;0,H9867/F9867,"")</f>
        <v/>
      </c>
      <c r="L9867" s="16">
        <f>IF(AND(G9867&gt;0,H9867&gt;0),G9867/H9867,"")</f>
        <v/>
      </c>
    </row>
    <row r="9868">
      <c r="A9868" s="4" t="inlineStr">
        <is>
          <t>333</t>
        </is>
      </c>
      <c r="B9868" s="4" t="n">
        <v>3</v>
      </c>
      <c r="C9868" s="4" t="inlineStr">
        <is>
          <t>whitetail</t>
        </is>
      </c>
      <c r="D9868" s="4" t="n">
        <v>2007</v>
      </c>
      <c r="E9868" s="4" t="inlineStr"/>
      <c r="F9868" s="5" t="n">
        <v>1723</v>
      </c>
      <c r="G9868" s="5" t="n">
        <v>9678</v>
      </c>
      <c r="H9868" s="5" t="n">
        <v>1256</v>
      </c>
      <c r="I9868" s="5" t="n">
        <v>424</v>
      </c>
      <c r="J9868" s="5" t="n">
        <v>819</v>
      </c>
      <c r="K9868" s="10">
        <f>IF(F9868&gt;0,H9868/F9868,"")</f>
        <v/>
      </c>
      <c r="L9868" s="16">
        <f>IF(AND(G9868&gt;0,H9868&gt;0),G9868/H9868,"")</f>
        <v/>
      </c>
    </row>
    <row r="9869">
      <c r="A9869" s="4" t="inlineStr">
        <is>
          <t>333</t>
        </is>
      </c>
      <c r="B9869" s="4" t="n">
        <v>3</v>
      </c>
      <c r="C9869" s="4" t="inlineStr">
        <is>
          <t>whitetail</t>
        </is>
      </c>
      <c r="D9869" s="4" t="n">
        <v>2008</v>
      </c>
      <c r="E9869" s="4" t="inlineStr"/>
      <c r="F9869" s="5" t="n">
        <v>1782</v>
      </c>
      <c r="G9869" s="5" t="n">
        <v>9686</v>
      </c>
      <c r="H9869" s="5" t="n">
        <v>1085</v>
      </c>
      <c r="I9869" s="5" t="n">
        <v>355</v>
      </c>
      <c r="J9869" s="5" t="n">
        <v>712</v>
      </c>
      <c r="K9869" s="10">
        <f>IF(F9869&gt;0,H9869/F9869,"")</f>
        <v/>
      </c>
      <c r="L9869" s="16">
        <f>IF(AND(G9869&gt;0,H9869&gt;0),G9869/H9869,"")</f>
        <v/>
      </c>
    </row>
    <row r="9870">
      <c r="A9870" s="4" t="inlineStr">
        <is>
          <t>333</t>
        </is>
      </c>
      <c r="B9870" s="4" t="n">
        <v>3</v>
      </c>
      <c r="C9870" s="4" t="inlineStr">
        <is>
          <t>whitetail</t>
        </is>
      </c>
      <c r="D9870" s="4" t="n">
        <v>2009</v>
      </c>
      <c r="E9870" s="4" t="inlineStr"/>
      <c r="F9870" s="5" t="n">
        <v>1747</v>
      </c>
      <c r="G9870" s="5" t="n">
        <v>9145</v>
      </c>
      <c r="H9870" s="5" t="n">
        <v>857</v>
      </c>
      <c r="I9870" s="5" t="n">
        <v>273</v>
      </c>
      <c r="J9870" s="5" t="n">
        <v>572</v>
      </c>
      <c r="K9870" s="10">
        <f>IF(F9870&gt;0,H9870/F9870,"")</f>
        <v/>
      </c>
      <c r="L9870" s="16">
        <f>IF(AND(G9870&gt;0,H9870&gt;0),G9870/H9870,"")</f>
        <v/>
      </c>
    </row>
    <row r="9871">
      <c r="A9871" s="4" t="inlineStr">
        <is>
          <t>333</t>
        </is>
      </c>
      <c r="B9871" s="4" t="n">
        <v>3</v>
      </c>
      <c r="C9871" s="4" t="inlineStr">
        <is>
          <t>whitetail</t>
        </is>
      </c>
      <c r="D9871" s="4" t="n">
        <v>2010</v>
      </c>
      <c r="E9871" s="4" t="inlineStr"/>
      <c r="F9871" s="5" t="n">
        <v>1580</v>
      </c>
      <c r="G9871" s="5" t="n">
        <v>14060</v>
      </c>
      <c r="H9871" s="5" t="n">
        <v>717</v>
      </c>
      <c r="I9871" s="5" t="n">
        <v>257</v>
      </c>
      <c r="J9871" s="5" t="n">
        <v>446</v>
      </c>
      <c r="K9871" s="10">
        <f>IF(F9871&gt;0,H9871/F9871,"")</f>
        <v/>
      </c>
      <c r="L9871" s="16">
        <f>IF(AND(G9871&gt;0,H9871&gt;0),G9871/H9871,"")</f>
        <v/>
      </c>
    </row>
    <row r="9872">
      <c r="A9872" s="4" t="inlineStr">
        <is>
          <t>333</t>
        </is>
      </c>
      <c r="B9872" s="4" t="n">
        <v>3</v>
      </c>
      <c r="C9872" s="4" t="inlineStr">
        <is>
          <t>whitetail</t>
        </is>
      </c>
      <c r="D9872" s="4" t="n">
        <v>2011</v>
      </c>
      <c r="E9872" s="4" t="inlineStr"/>
      <c r="F9872" s="5" t="n">
        <v>1359</v>
      </c>
      <c r="G9872" s="5" t="n">
        <v>7650</v>
      </c>
      <c r="H9872" s="5" t="n">
        <v>730</v>
      </c>
      <c r="I9872" s="5" t="n">
        <v>198</v>
      </c>
      <c r="J9872" s="5" t="n">
        <v>520</v>
      </c>
      <c r="K9872" s="10">
        <f>IF(F9872&gt;0,H9872/F9872,"")</f>
        <v/>
      </c>
      <c r="L9872" s="16">
        <f>IF(AND(G9872&gt;0,H9872&gt;0),G9872/H9872,"")</f>
        <v/>
      </c>
    </row>
    <row r="9873">
      <c r="A9873" s="4" t="inlineStr">
        <is>
          <t>333</t>
        </is>
      </c>
      <c r="B9873" s="4" t="n">
        <v>3</v>
      </c>
      <c r="C9873" s="4" t="inlineStr">
        <is>
          <t>whitetail</t>
        </is>
      </c>
      <c r="D9873" s="4" t="n">
        <v>2012</v>
      </c>
      <c r="E9873" s="4" t="inlineStr"/>
      <c r="F9873" s="5" t="n"/>
      <c r="G9873" s="5" t="n"/>
      <c r="H9873" s="5" t="n">
        <v>759</v>
      </c>
      <c r="I9873" s="5" t="n">
        <v>269</v>
      </c>
      <c r="J9873" s="5" t="n">
        <v>473</v>
      </c>
      <c r="K9873" s="10">
        <f>IF(F9873&gt;0,H9873/F9873,"")</f>
        <v/>
      </c>
      <c r="L9873" s="16">
        <f>IF(AND(G9873&gt;0,H9873&gt;0),G9873/H9873,"")</f>
        <v/>
      </c>
    </row>
    <row r="9874">
      <c r="A9874" s="4" t="inlineStr">
        <is>
          <t>333</t>
        </is>
      </c>
      <c r="B9874" s="4" t="n">
        <v>3</v>
      </c>
      <c r="C9874" s="4" t="inlineStr">
        <is>
          <t>whitetail</t>
        </is>
      </c>
      <c r="D9874" s="4" t="n">
        <v>2013</v>
      </c>
      <c r="E9874" s="4" t="inlineStr"/>
      <c r="F9874" s="5" t="n">
        <v>1497</v>
      </c>
      <c r="G9874" s="5" t="n">
        <v>8448</v>
      </c>
      <c r="H9874" s="5" t="n">
        <v>690</v>
      </c>
      <c r="I9874" s="5" t="n">
        <v>270</v>
      </c>
      <c r="J9874" s="5" t="n">
        <v>412</v>
      </c>
      <c r="K9874" s="10">
        <f>IF(F9874&gt;0,H9874/F9874,"")</f>
        <v/>
      </c>
      <c r="L9874" s="16">
        <f>IF(AND(G9874&gt;0,H9874&gt;0),G9874/H9874,"")</f>
        <v/>
      </c>
    </row>
    <row r="9875">
      <c r="A9875" s="4" t="inlineStr">
        <is>
          <t>333</t>
        </is>
      </c>
      <c r="B9875" s="4" t="n">
        <v>3</v>
      </c>
      <c r="C9875" s="4" t="inlineStr">
        <is>
          <t>whitetail</t>
        </is>
      </c>
      <c r="D9875" s="4" t="n">
        <v>2014</v>
      </c>
      <c r="E9875" s="4" t="inlineStr"/>
      <c r="F9875" s="5" t="n"/>
      <c r="G9875" s="5" t="n"/>
      <c r="H9875" s="5" t="n">
        <v>613</v>
      </c>
      <c r="I9875" s="5" t="n">
        <v>322</v>
      </c>
      <c r="J9875" s="5" t="n">
        <v>266</v>
      </c>
      <c r="K9875" s="10">
        <f>IF(F9875&gt;0,H9875/F9875,"")</f>
        <v/>
      </c>
      <c r="L9875" s="16">
        <f>IF(AND(G9875&gt;0,H9875&gt;0),G9875/H9875,"")</f>
        <v/>
      </c>
    </row>
    <row r="9876">
      <c r="A9876" s="4" t="inlineStr">
        <is>
          <t>333</t>
        </is>
      </c>
      <c r="B9876" s="4" t="n">
        <v>3</v>
      </c>
      <c r="C9876" s="4" t="inlineStr">
        <is>
          <t>whitetail</t>
        </is>
      </c>
      <c r="D9876" s="4" t="n">
        <v>2015</v>
      </c>
      <c r="E9876" s="4" t="inlineStr"/>
      <c r="F9876" s="5" t="n"/>
      <c r="G9876" s="5" t="n"/>
      <c r="H9876" s="5" t="n">
        <v>640</v>
      </c>
      <c r="I9876" s="5" t="n">
        <v>279</v>
      </c>
      <c r="J9876" s="5" t="n">
        <v>339</v>
      </c>
      <c r="K9876" s="10">
        <f>IF(F9876&gt;0,H9876/F9876,"")</f>
        <v/>
      </c>
      <c r="L9876" s="16">
        <f>IF(AND(G9876&gt;0,H9876&gt;0),G9876/H9876,"")</f>
        <v/>
      </c>
    </row>
    <row r="9877">
      <c r="A9877" s="4" t="inlineStr">
        <is>
          <t>333</t>
        </is>
      </c>
      <c r="B9877" s="4" t="n">
        <v>3</v>
      </c>
      <c r="C9877" s="4" t="inlineStr">
        <is>
          <t>whitetail</t>
        </is>
      </c>
      <c r="D9877" s="4" t="n">
        <v>2016</v>
      </c>
      <c r="E9877" s="4" t="inlineStr"/>
      <c r="F9877" s="5" t="n"/>
      <c r="G9877" s="5" t="n"/>
      <c r="H9877" s="5" t="n">
        <v>754</v>
      </c>
      <c r="I9877" s="5" t="n">
        <v>333</v>
      </c>
      <c r="J9877" s="5" t="n">
        <v>414</v>
      </c>
      <c r="K9877" s="10">
        <f>IF(F9877&gt;0,H9877/F9877,"")</f>
        <v/>
      </c>
      <c r="L9877" s="16">
        <f>IF(AND(G9877&gt;0,H9877&gt;0),G9877/H9877,"")</f>
        <v/>
      </c>
    </row>
    <row r="9878">
      <c r="A9878" s="4" t="inlineStr">
        <is>
          <t>333</t>
        </is>
      </c>
      <c r="B9878" s="4" t="n">
        <v>3</v>
      </c>
      <c r="C9878" s="4" t="inlineStr">
        <is>
          <t>whitetail</t>
        </is>
      </c>
      <c r="D9878" s="4" t="n">
        <v>2017</v>
      </c>
      <c r="E9878" s="4" t="inlineStr"/>
      <c r="F9878" s="5" t="n">
        <v>1326</v>
      </c>
      <c r="G9878" s="5" t="n">
        <v>7840</v>
      </c>
      <c r="H9878" s="5" t="n">
        <v>680</v>
      </c>
      <c r="I9878" s="5" t="n">
        <v>296</v>
      </c>
      <c r="J9878" s="5" t="n">
        <v>362</v>
      </c>
      <c r="K9878" s="10">
        <f>IF(F9878&gt;0,H9878/F9878,"")</f>
        <v/>
      </c>
      <c r="L9878" s="16">
        <f>IF(AND(G9878&gt;0,H9878&gt;0),G9878/H9878,"")</f>
        <v/>
      </c>
    </row>
    <row r="9879">
      <c r="A9879" s="4" t="inlineStr">
        <is>
          <t>333</t>
        </is>
      </c>
      <c r="B9879" s="4" t="n">
        <v>3</v>
      </c>
      <c r="C9879" s="4" t="inlineStr">
        <is>
          <t>whitetail</t>
        </is>
      </c>
      <c r="D9879" s="4" t="n">
        <v>2018</v>
      </c>
      <c r="E9879" s="4" t="inlineStr"/>
      <c r="F9879" s="5" t="n"/>
      <c r="G9879" s="5" t="n"/>
      <c r="H9879" s="5" t="n">
        <v>671</v>
      </c>
      <c r="I9879" s="5" t="n">
        <v>282</v>
      </c>
      <c r="J9879" s="5" t="n">
        <v>378</v>
      </c>
      <c r="K9879" s="10">
        <f>IF(F9879&gt;0,H9879/F9879,"")</f>
        <v/>
      </c>
      <c r="L9879" s="16">
        <f>IF(AND(G9879&gt;0,H9879&gt;0),G9879/H9879,"")</f>
        <v/>
      </c>
    </row>
    <row r="9880">
      <c r="A9880" s="4" t="inlineStr">
        <is>
          <t>333</t>
        </is>
      </c>
      <c r="B9880" s="4" t="n">
        <v>3</v>
      </c>
      <c r="C9880" s="4" t="inlineStr">
        <is>
          <t>whitetail</t>
        </is>
      </c>
      <c r="D9880" s="4" t="n">
        <v>2019</v>
      </c>
      <c r="E9880" s="4" t="inlineStr"/>
      <c r="F9880" s="5" t="n">
        <v>1500</v>
      </c>
      <c r="G9880" s="5" t="n">
        <v>8069</v>
      </c>
      <c r="H9880" s="5" t="n">
        <v>644</v>
      </c>
      <c r="I9880" s="5" t="n">
        <v>299</v>
      </c>
      <c r="J9880" s="5" t="n">
        <v>338</v>
      </c>
      <c r="K9880" s="10">
        <f>IF(F9880&gt;0,H9880/F9880,"")</f>
        <v/>
      </c>
      <c r="L9880" s="16">
        <f>IF(AND(G9880&gt;0,H9880&gt;0),G9880/H9880,"")</f>
        <v/>
      </c>
    </row>
    <row r="9881">
      <c r="A9881" s="4" t="inlineStr">
        <is>
          <t>333</t>
        </is>
      </c>
      <c r="B9881" s="4" t="n">
        <v>3</v>
      </c>
      <c r="C9881" s="4" t="inlineStr">
        <is>
          <t>whitetail</t>
        </is>
      </c>
      <c r="D9881" s="4" t="n">
        <v>2020</v>
      </c>
      <c r="E9881" s="4" t="inlineStr"/>
      <c r="F9881" s="5" t="n"/>
      <c r="G9881" s="5" t="n"/>
      <c r="H9881" s="5" t="n">
        <v>703</v>
      </c>
      <c r="I9881" s="5" t="n">
        <v>301</v>
      </c>
      <c r="J9881" s="5" t="n">
        <v>401</v>
      </c>
      <c r="K9881" s="10">
        <f>IF(F9881&gt;0,H9881/F9881,"")</f>
        <v/>
      </c>
      <c r="L9881" s="16">
        <f>IF(AND(G9881&gt;0,H9881&gt;0),G9881/H9881,"")</f>
        <v/>
      </c>
    </row>
    <row r="9882">
      <c r="A9882" s="4" t="inlineStr">
        <is>
          <t>333</t>
        </is>
      </c>
      <c r="B9882" s="4" t="n">
        <v>3</v>
      </c>
      <c r="C9882" s="4" t="inlineStr">
        <is>
          <t>whitetail</t>
        </is>
      </c>
      <c r="D9882" s="4" t="n">
        <v>2021</v>
      </c>
      <c r="E9882" s="4" t="inlineStr"/>
      <c r="F9882" s="5" t="n">
        <v>1452</v>
      </c>
      <c r="G9882" s="5" t="n">
        <v>9148</v>
      </c>
      <c r="H9882" s="5" t="n">
        <v>494</v>
      </c>
      <c r="I9882" s="5" t="n">
        <v>242</v>
      </c>
      <c r="J9882" s="5" t="n">
        <v>253</v>
      </c>
      <c r="K9882" s="10">
        <f>IF(F9882&gt;0,H9882/F9882,"")</f>
        <v/>
      </c>
      <c r="L9882" s="16">
        <f>IF(AND(G9882&gt;0,H9882&gt;0),G9882/H9882,"")</f>
        <v/>
      </c>
    </row>
    <row r="9883">
      <c r="A9883" s="4" t="inlineStr">
        <is>
          <t>334</t>
        </is>
      </c>
      <c r="B9883" s="4" t="n">
        <v>3</v>
      </c>
      <c r="C9883" s="4" t="inlineStr">
        <is>
          <t>whitetail</t>
        </is>
      </c>
      <c r="D9883" s="4" t="n">
        <v>2010</v>
      </c>
      <c r="E9883" s="4" t="inlineStr"/>
      <c r="F9883" s="5" t="n">
        <v>186</v>
      </c>
      <c r="G9883" s="5" t="n">
        <v>1045</v>
      </c>
      <c r="H9883" s="5" t="n">
        <v>11</v>
      </c>
      <c r="I9883" s="5" t="n">
        <v>0</v>
      </c>
      <c r="J9883" s="5" t="n">
        <v>11</v>
      </c>
      <c r="K9883" s="10">
        <f>IF(F9883&gt;0,H9883/F9883,"")</f>
        <v/>
      </c>
      <c r="L9883" s="16">
        <f>IF(AND(G9883&gt;0,H9883&gt;0),G9883/H9883,"")</f>
        <v/>
      </c>
    </row>
    <row r="9884">
      <c r="A9884" s="4" t="inlineStr">
        <is>
          <t>334</t>
        </is>
      </c>
      <c r="B9884" s="4" t="n">
        <v>3</v>
      </c>
      <c r="C9884" s="4" t="inlineStr">
        <is>
          <t>whitetail</t>
        </is>
      </c>
      <c r="D9884" s="4" t="n">
        <v>2011</v>
      </c>
      <c r="E9884" s="4" t="inlineStr"/>
      <c r="F9884" s="5" t="n">
        <v>212</v>
      </c>
      <c r="G9884" s="5" t="n">
        <v>1257</v>
      </c>
      <c r="H9884" s="5" t="n">
        <v>6</v>
      </c>
      <c r="I9884" s="5" t="n">
        <v>0</v>
      </c>
      <c r="J9884" s="5" t="n">
        <v>6</v>
      </c>
      <c r="K9884" s="10">
        <f>IF(F9884&gt;0,H9884/F9884,"")</f>
        <v/>
      </c>
      <c r="L9884" s="16">
        <f>IF(AND(G9884&gt;0,H9884&gt;0),G9884/H9884,"")</f>
        <v/>
      </c>
    </row>
    <row r="9885">
      <c r="A9885" s="4" t="inlineStr">
        <is>
          <t>334</t>
        </is>
      </c>
      <c r="B9885" s="4" t="n">
        <v>3</v>
      </c>
      <c r="C9885" s="4" t="inlineStr">
        <is>
          <t>whitetail</t>
        </is>
      </c>
      <c r="D9885" s="4" t="n">
        <v>2012</v>
      </c>
      <c r="E9885" s="4" t="inlineStr"/>
      <c r="F9885" s="5" t="n"/>
      <c r="G9885" s="5" t="n"/>
      <c r="H9885" s="5" t="n">
        <v>6</v>
      </c>
      <c r="I9885" s="5" t="n">
        <v>3</v>
      </c>
      <c r="J9885" s="5" t="n">
        <v>3</v>
      </c>
      <c r="K9885" s="10">
        <f>IF(F9885&gt;0,H9885/F9885,"")</f>
        <v/>
      </c>
      <c r="L9885" s="16">
        <f>IF(AND(G9885&gt;0,H9885&gt;0),G9885/H9885,"")</f>
        <v/>
      </c>
    </row>
    <row r="9886">
      <c r="A9886" s="4" t="inlineStr">
        <is>
          <t>334</t>
        </is>
      </c>
      <c r="B9886" s="4" t="n">
        <v>3</v>
      </c>
      <c r="C9886" s="4" t="inlineStr">
        <is>
          <t>whitetail</t>
        </is>
      </c>
      <c r="D9886" s="4" t="n">
        <v>2013</v>
      </c>
      <c r="E9886" s="4" t="inlineStr"/>
      <c r="F9886" s="5" t="n">
        <v>165</v>
      </c>
      <c r="G9886" s="5" t="n">
        <v>997</v>
      </c>
      <c r="H9886" s="5" t="n">
        <v>6</v>
      </c>
      <c r="I9886" s="5" t="n">
        <v>3</v>
      </c>
      <c r="J9886" s="5" t="n">
        <v>3</v>
      </c>
      <c r="K9886" s="10">
        <f>IF(F9886&gt;0,H9886/F9886,"")</f>
        <v/>
      </c>
      <c r="L9886" s="16">
        <f>IF(AND(G9886&gt;0,H9886&gt;0),G9886/H9886,"")</f>
        <v/>
      </c>
    </row>
    <row r="9887">
      <c r="A9887" s="4" t="inlineStr">
        <is>
          <t>334</t>
        </is>
      </c>
      <c r="B9887" s="4" t="n">
        <v>3</v>
      </c>
      <c r="C9887" s="4" t="inlineStr">
        <is>
          <t>whitetail</t>
        </is>
      </c>
      <c r="D9887" s="4" t="n">
        <v>2014</v>
      </c>
      <c r="E9887" s="4" t="inlineStr"/>
      <c r="F9887" s="5" t="n"/>
      <c r="G9887" s="5" t="n"/>
      <c r="H9887" s="5" t="n">
        <v>11</v>
      </c>
      <c r="I9887" s="5" t="n">
        <v>9</v>
      </c>
      <c r="J9887" s="5" t="n">
        <v>3</v>
      </c>
      <c r="K9887" s="10">
        <f>IF(F9887&gt;0,H9887/F9887,"")</f>
        <v/>
      </c>
      <c r="L9887" s="16">
        <f>IF(AND(G9887&gt;0,H9887&gt;0),G9887/H9887,"")</f>
        <v/>
      </c>
    </row>
    <row r="9888">
      <c r="A9888" s="4" t="inlineStr">
        <is>
          <t>334</t>
        </is>
      </c>
      <c r="B9888" s="4" t="n">
        <v>3</v>
      </c>
      <c r="C9888" s="4" t="inlineStr">
        <is>
          <t>whitetail</t>
        </is>
      </c>
      <c r="D9888" s="4" t="n">
        <v>2015</v>
      </c>
      <c r="E9888" s="4" t="inlineStr"/>
      <c r="F9888" s="5" t="n"/>
      <c r="G9888" s="5" t="n"/>
      <c r="H9888" s="5" t="n">
        <v>11</v>
      </c>
      <c r="I9888" s="5" t="n">
        <v>6</v>
      </c>
      <c r="J9888" s="5" t="n">
        <v>6</v>
      </c>
      <c r="K9888" s="10">
        <f>IF(F9888&gt;0,H9888/F9888,"")</f>
        <v/>
      </c>
      <c r="L9888" s="16">
        <f>IF(AND(G9888&gt;0,H9888&gt;0),G9888/H9888,"")</f>
        <v/>
      </c>
    </row>
    <row r="9889">
      <c r="A9889" s="4" t="inlineStr">
        <is>
          <t>334</t>
        </is>
      </c>
      <c r="B9889" s="4" t="n">
        <v>3</v>
      </c>
      <c r="C9889" s="4" t="inlineStr">
        <is>
          <t>whitetail</t>
        </is>
      </c>
      <c r="D9889" s="4" t="n">
        <v>2017</v>
      </c>
      <c r="E9889" s="4" t="inlineStr"/>
      <c r="F9889" s="5" t="n">
        <v>198</v>
      </c>
      <c r="G9889" s="5" t="n">
        <v>1088</v>
      </c>
      <c r="H9889" s="5" t="n">
        <v>6</v>
      </c>
      <c r="I9889" s="5" t="n">
        <v>0</v>
      </c>
      <c r="J9889" s="5" t="n">
        <v>6</v>
      </c>
      <c r="K9889" s="10">
        <f>IF(F9889&gt;0,H9889/F9889,"")</f>
        <v/>
      </c>
      <c r="L9889" s="16">
        <f>IF(AND(G9889&gt;0,H9889&gt;0),G9889/H9889,"")</f>
        <v/>
      </c>
    </row>
    <row r="9890">
      <c r="A9890" s="4" t="inlineStr">
        <is>
          <t>334</t>
        </is>
      </c>
      <c r="B9890" s="4" t="n">
        <v>3</v>
      </c>
      <c r="C9890" s="4" t="inlineStr">
        <is>
          <t>whitetail</t>
        </is>
      </c>
      <c r="D9890" s="4" t="n">
        <v>2018</v>
      </c>
      <c r="E9890" s="4" t="inlineStr"/>
      <c r="F9890" s="5" t="n"/>
      <c r="G9890" s="5" t="n"/>
      <c r="H9890" s="5" t="n">
        <v>23</v>
      </c>
      <c r="I9890" s="5" t="n">
        <v>6</v>
      </c>
      <c r="J9890" s="5" t="n">
        <v>18</v>
      </c>
      <c r="K9890" s="10">
        <f>IF(F9890&gt;0,H9890/F9890,"")</f>
        <v/>
      </c>
      <c r="L9890" s="16">
        <f>IF(AND(G9890&gt;0,H9890&gt;0),G9890/H9890,"")</f>
        <v/>
      </c>
    </row>
    <row r="9891">
      <c r="A9891" s="4" t="inlineStr">
        <is>
          <t>334</t>
        </is>
      </c>
      <c r="B9891" s="4" t="n">
        <v>3</v>
      </c>
      <c r="C9891" s="4" t="inlineStr">
        <is>
          <t>whitetail</t>
        </is>
      </c>
      <c r="D9891" s="4" t="n">
        <v>2019</v>
      </c>
      <c r="E9891" s="4" t="inlineStr"/>
      <c r="F9891" s="5" t="n">
        <v>264</v>
      </c>
      <c r="G9891" s="5" t="n">
        <v>1819</v>
      </c>
      <c r="H9891" s="5" t="n">
        <v>7</v>
      </c>
      <c r="I9891" s="5" t="n">
        <v>7</v>
      </c>
      <c r="J9891" s="5" t="n">
        <v>0</v>
      </c>
      <c r="K9891" s="10">
        <f>IF(F9891&gt;0,H9891/F9891,"")</f>
        <v/>
      </c>
      <c r="L9891" s="16">
        <f>IF(AND(G9891&gt;0,H9891&gt;0),G9891/H9891,"")</f>
        <v/>
      </c>
    </row>
    <row r="9892">
      <c r="A9892" s="4" t="inlineStr">
        <is>
          <t>334</t>
        </is>
      </c>
      <c r="B9892" s="4" t="n">
        <v>3</v>
      </c>
      <c r="C9892" s="4" t="inlineStr">
        <is>
          <t>whitetail</t>
        </is>
      </c>
      <c r="D9892" s="4" t="n">
        <v>2020</v>
      </c>
      <c r="E9892" s="4" t="inlineStr"/>
      <c r="F9892" s="5" t="n"/>
      <c r="G9892" s="5" t="n"/>
      <c r="H9892" s="5" t="n">
        <v>17</v>
      </c>
      <c r="I9892" s="5" t="n">
        <v>14</v>
      </c>
      <c r="J9892" s="5" t="n">
        <v>3</v>
      </c>
      <c r="K9892" s="10">
        <f>IF(F9892&gt;0,H9892/F9892,"")</f>
        <v/>
      </c>
      <c r="L9892" s="16">
        <f>IF(AND(G9892&gt;0,H9892&gt;0),G9892/H9892,"")</f>
        <v/>
      </c>
    </row>
    <row r="9893">
      <c r="A9893" s="4" t="inlineStr">
        <is>
          <t>334</t>
        </is>
      </c>
      <c r="B9893" s="4" t="n">
        <v>3</v>
      </c>
      <c r="C9893" s="4" t="inlineStr">
        <is>
          <t>whitetail</t>
        </is>
      </c>
      <c r="D9893" s="4" t="n">
        <v>2021</v>
      </c>
      <c r="E9893" s="4" t="inlineStr"/>
      <c r="F9893" s="5" t="n">
        <v>238</v>
      </c>
      <c r="G9893" s="5" t="n">
        <v>1505</v>
      </c>
      <c r="H9893" s="5" t="n">
        <v>8</v>
      </c>
      <c r="I9893" s="5" t="n">
        <v>4</v>
      </c>
      <c r="J9893" s="5" t="n">
        <v>0</v>
      </c>
      <c r="K9893" s="10">
        <f>IF(F9893&gt;0,H9893/F9893,"")</f>
        <v/>
      </c>
      <c r="L9893" s="16">
        <f>IF(AND(G9893&gt;0,H9893&gt;0),G9893/H9893,"")</f>
        <v/>
      </c>
    </row>
    <row r="9894">
      <c r="A9894" s="4" t="inlineStr">
        <is>
          <t>335</t>
        </is>
      </c>
      <c r="B9894" s="4" t="n">
        <v>3</v>
      </c>
      <c r="C9894" s="4" t="inlineStr">
        <is>
          <t>whitetail</t>
        </is>
      </c>
      <c r="D9894" s="4" t="n">
        <v>2004</v>
      </c>
      <c r="E9894" s="13" t="inlineStr">
        <is>
          <t>General</t>
        </is>
      </c>
      <c r="F9894" s="5" t="n">
        <v>561</v>
      </c>
      <c r="G9894" s="5" t="n">
        <v>4011</v>
      </c>
      <c r="H9894" s="5" t="n">
        <v>30</v>
      </c>
      <c r="I9894" s="5" t="n">
        <v>22</v>
      </c>
      <c r="J9894" s="5" t="n">
        <v>8</v>
      </c>
      <c r="K9894" s="10">
        <f>IF(F9894&gt;0,H9894/F9894,"")</f>
        <v/>
      </c>
      <c r="L9894" s="16">
        <f>IF(AND(G9894&gt;0,H9894&gt;0),G9894/H9894,"")</f>
        <v/>
      </c>
    </row>
    <row r="9895">
      <c r="A9895" s="4" t="inlineStr">
        <is>
          <t>335</t>
        </is>
      </c>
      <c r="B9895" s="4" t="n">
        <v>3</v>
      </c>
      <c r="C9895" s="4" t="inlineStr">
        <is>
          <t>whitetail</t>
        </is>
      </c>
      <c r="D9895" s="4" t="n">
        <v>2005</v>
      </c>
      <c r="E9895" s="13" t="inlineStr">
        <is>
          <t>General</t>
        </is>
      </c>
      <c r="F9895" s="5" t="n">
        <v>506</v>
      </c>
      <c r="G9895" s="5" t="n">
        <v>3499</v>
      </c>
      <c r="H9895" s="5" t="n">
        <v>30</v>
      </c>
      <c r="I9895" s="5" t="n">
        <v>23</v>
      </c>
      <c r="J9895" s="5" t="n">
        <v>7</v>
      </c>
      <c r="K9895" s="10">
        <f>IF(F9895&gt;0,H9895/F9895,"")</f>
        <v/>
      </c>
      <c r="L9895" s="16">
        <f>IF(AND(G9895&gt;0,H9895&gt;0),G9895/H9895,"")</f>
        <v/>
      </c>
    </row>
    <row r="9896">
      <c r="A9896" s="4" t="inlineStr">
        <is>
          <t>335</t>
        </is>
      </c>
      <c r="B9896" s="4" t="n">
        <v>3</v>
      </c>
      <c r="C9896" s="4" t="inlineStr">
        <is>
          <t>whitetail</t>
        </is>
      </c>
      <c r="D9896" s="4" t="n">
        <v>2006</v>
      </c>
      <c r="E9896" s="13" t="inlineStr">
        <is>
          <t>General</t>
        </is>
      </c>
      <c r="F9896" s="5" t="n">
        <v>554</v>
      </c>
      <c r="G9896" s="5" t="n">
        <v>3935</v>
      </c>
      <c r="H9896" s="5" t="n">
        <v>36</v>
      </c>
      <c r="I9896" s="5" t="n">
        <v>15</v>
      </c>
      <c r="J9896" s="5" t="n">
        <v>21</v>
      </c>
      <c r="K9896" s="10">
        <f>IF(F9896&gt;0,H9896/F9896,"")</f>
        <v/>
      </c>
      <c r="L9896" s="16">
        <f>IF(AND(G9896&gt;0,H9896&gt;0),G9896/H9896,"")</f>
        <v/>
      </c>
    </row>
    <row r="9897">
      <c r="A9897" s="4" t="inlineStr">
        <is>
          <t>335</t>
        </is>
      </c>
      <c r="B9897" s="4" t="n">
        <v>3</v>
      </c>
      <c r="C9897" s="4" t="inlineStr">
        <is>
          <t>whitetail</t>
        </is>
      </c>
      <c r="D9897" s="4" t="n">
        <v>2007</v>
      </c>
      <c r="E9897" s="13" t="inlineStr">
        <is>
          <t>General</t>
        </is>
      </c>
      <c r="F9897" s="5" t="n">
        <v>505</v>
      </c>
      <c r="G9897" s="5" t="n">
        <v>3369</v>
      </c>
      <c r="H9897" s="5" t="n">
        <v>25</v>
      </c>
      <c r="I9897" s="5" t="n">
        <v>10</v>
      </c>
      <c r="J9897" s="5" t="n">
        <v>10</v>
      </c>
      <c r="K9897" s="10">
        <f>IF(F9897&gt;0,H9897/F9897,"")</f>
        <v/>
      </c>
      <c r="L9897" s="16">
        <f>IF(AND(G9897&gt;0,H9897&gt;0),G9897/H9897,"")</f>
        <v/>
      </c>
    </row>
    <row r="9898">
      <c r="A9898" s="4" t="inlineStr">
        <is>
          <t>335</t>
        </is>
      </c>
      <c r="B9898" s="4" t="n">
        <v>3</v>
      </c>
      <c r="C9898" s="4" t="inlineStr">
        <is>
          <t>whitetail</t>
        </is>
      </c>
      <c r="D9898" s="4" t="n">
        <v>2008</v>
      </c>
      <c r="E9898" s="13" t="inlineStr">
        <is>
          <t>General</t>
        </is>
      </c>
      <c r="F9898" s="5" t="n">
        <v>603</v>
      </c>
      <c r="G9898" s="5" t="n">
        <v>4552</v>
      </c>
      <c r="H9898" s="5" t="n">
        <v>28</v>
      </c>
      <c r="I9898" s="5" t="n">
        <v>13</v>
      </c>
      <c r="J9898" s="5" t="n">
        <v>12</v>
      </c>
      <c r="K9898" s="10">
        <f>IF(F9898&gt;0,H9898/F9898,"")</f>
        <v/>
      </c>
      <c r="L9898" s="16">
        <f>IF(AND(G9898&gt;0,H9898&gt;0),G9898/H9898,"")</f>
        <v/>
      </c>
    </row>
    <row r="9899">
      <c r="A9899" s="4" t="inlineStr">
        <is>
          <t>335</t>
        </is>
      </c>
      <c r="B9899" s="4" t="n">
        <v>3</v>
      </c>
      <c r="C9899" s="4" t="inlineStr">
        <is>
          <t>whitetail</t>
        </is>
      </c>
      <c r="D9899" s="4" t="n">
        <v>2009</v>
      </c>
      <c r="E9899" s="13" t="inlineStr">
        <is>
          <t>General</t>
        </is>
      </c>
      <c r="F9899" s="5" t="n">
        <v>489</v>
      </c>
      <c r="G9899" s="5" t="n">
        <v>3266</v>
      </c>
      <c r="H9899" s="5" t="n">
        <v>43</v>
      </c>
      <c r="I9899" s="5" t="n">
        <v>17</v>
      </c>
      <c r="J9899" s="5" t="n">
        <v>25</v>
      </c>
      <c r="K9899" s="10">
        <f>IF(F9899&gt;0,H9899/F9899,"")</f>
        <v/>
      </c>
      <c r="L9899" s="16">
        <f>IF(AND(G9899&gt;0,H9899&gt;0),G9899/H9899,"")</f>
        <v/>
      </c>
    </row>
    <row r="9900">
      <c r="A9900" s="4" t="inlineStr">
        <is>
          <t>335</t>
        </is>
      </c>
      <c r="B9900" s="4" t="n">
        <v>3</v>
      </c>
      <c r="C9900" s="4" t="inlineStr">
        <is>
          <t>whitetail</t>
        </is>
      </c>
      <c r="D9900" s="4" t="n">
        <v>2010</v>
      </c>
      <c r="E9900" s="13" t="inlineStr">
        <is>
          <t>General</t>
        </is>
      </c>
      <c r="F9900" s="5" t="n">
        <v>514</v>
      </c>
      <c r="G9900" s="5" t="n">
        <v>3195</v>
      </c>
      <c r="H9900" s="5" t="n">
        <v>37</v>
      </c>
      <c r="I9900" s="5" t="n">
        <v>20</v>
      </c>
      <c r="J9900" s="5" t="n">
        <v>14</v>
      </c>
      <c r="K9900" s="10">
        <f>IF(F9900&gt;0,H9900/F9900,"")</f>
        <v/>
      </c>
      <c r="L9900" s="16">
        <f>IF(AND(G9900&gt;0,H9900&gt;0),G9900/H9900,"")</f>
        <v/>
      </c>
    </row>
    <row r="9901">
      <c r="A9901" s="4" t="inlineStr">
        <is>
          <t>335</t>
        </is>
      </c>
      <c r="B9901" s="4" t="n">
        <v>3</v>
      </c>
      <c r="C9901" s="4" t="inlineStr">
        <is>
          <t>whitetail</t>
        </is>
      </c>
      <c r="D9901" s="4" t="n">
        <v>2011</v>
      </c>
      <c r="E9901" s="13" t="inlineStr">
        <is>
          <t>General</t>
        </is>
      </c>
      <c r="F9901" s="5" t="n">
        <v>556</v>
      </c>
      <c r="G9901" s="5" t="n">
        <v>3559</v>
      </c>
      <c r="H9901" s="5" t="n">
        <v>46</v>
      </c>
      <c r="I9901" s="5" t="n">
        <v>20</v>
      </c>
      <c r="J9901" s="5" t="n">
        <v>26</v>
      </c>
      <c r="K9901" s="10">
        <f>IF(F9901&gt;0,H9901/F9901,"")</f>
        <v/>
      </c>
      <c r="L9901" s="16">
        <f>IF(AND(G9901&gt;0,H9901&gt;0),G9901/H9901,"")</f>
        <v/>
      </c>
    </row>
    <row r="9902">
      <c r="A9902" s="4" t="inlineStr">
        <is>
          <t>335</t>
        </is>
      </c>
      <c r="B9902" s="4" t="n">
        <v>3</v>
      </c>
      <c r="C9902" s="4" t="inlineStr">
        <is>
          <t>whitetail</t>
        </is>
      </c>
      <c r="D9902" s="4" t="n">
        <v>2012</v>
      </c>
      <c r="E9902" s="13" t="inlineStr">
        <is>
          <t>General</t>
        </is>
      </c>
      <c r="F9902" s="5" t="n"/>
      <c r="G9902" s="5" t="n"/>
      <c r="H9902" s="5" t="n">
        <v>32</v>
      </c>
      <c r="I9902" s="5" t="n">
        <v>20</v>
      </c>
      <c r="J9902" s="5" t="n">
        <v>11</v>
      </c>
      <c r="K9902" s="10">
        <f>IF(F9902&gt;0,H9902/F9902,"")</f>
        <v/>
      </c>
      <c r="L9902" s="16">
        <f>IF(AND(G9902&gt;0,H9902&gt;0),G9902/H9902,"")</f>
        <v/>
      </c>
    </row>
    <row r="9903">
      <c r="A9903" s="4" t="inlineStr">
        <is>
          <t>335</t>
        </is>
      </c>
      <c r="B9903" s="4" t="n">
        <v>3</v>
      </c>
      <c r="C9903" s="4" t="inlineStr">
        <is>
          <t>whitetail</t>
        </is>
      </c>
      <c r="D9903" s="4" t="n">
        <v>2013</v>
      </c>
      <c r="E9903" s="13" t="inlineStr">
        <is>
          <t>General</t>
        </is>
      </c>
      <c r="F9903" s="5" t="n">
        <v>563</v>
      </c>
      <c r="G9903" s="5" t="n">
        <v>4517</v>
      </c>
      <c r="H9903" s="5" t="n">
        <v>49</v>
      </c>
      <c r="I9903" s="5" t="n">
        <v>22</v>
      </c>
      <c r="J9903" s="5" t="n">
        <v>27</v>
      </c>
      <c r="K9903" s="10">
        <f>IF(F9903&gt;0,H9903/F9903,"")</f>
        <v/>
      </c>
      <c r="L9903" s="16">
        <f>IF(AND(G9903&gt;0,H9903&gt;0),G9903/H9903,"")</f>
        <v/>
      </c>
    </row>
    <row r="9904">
      <c r="A9904" s="4" t="inlineStr">
        <is>
          <t>335</t>
        </is>
      </c>
      <c r="B9904" s="4" t="n">
        <v>3</v>
      </c>
      <c r="C9904" s="4" t="inlineStr">
        <is>
          <t>whitetail</t>
        </is>
      </c>
      <c r="D9904" s="4" t="n">
        <v>2014</v>
      </c>
      <c r="E9904" s="13" t="inlineStr">
        <is>
          <t>General</t>
        </is>
      </c>
      <c r="F9904" s="5" t="n"/>
      <c r="G9904" s="5" t="n"/>
      <c r="H9904" s="5" t="n">
        <v>54</v>
      </c>
      <c r="I9904" s="5" t="n">
        <v>34</v>
      </c>
      <c r="J9904" s="5" t="n">
        <v>20</v>
      </c>
      <c r="K9904" s="10">
        <f>IF(F9904&gt;0,H9904/F9904,"")</f>
        <v/>
      </c>
      <c r="L9904" s="16">
        <f>IF(AND(G9904&gt;0,H9904&gt;0),G9904/H9904,"")</f>
        <v/>
      </c>
    </row>
    <row r="9905">
      <c r="A9905" s="4" t="inlineStr">
        <is>
          <t>335</t>
        </is>
      </c>
      <c r="B9905" s="4" t="n">
        <v>3</v>
      </c>
      <c r="C9905" s="4" t="inlineStr">
        <is>
          <t>whitetail</t>
        </is>
      </c>
      <c r="D9905" s="4" t="n">
        <v>2015</v>
      </c>
      <c r="E9905" s="13" t="inlineStr">
        <is>
          <t>General</t>
        </is>
      </c>
      <c r="F9905" s="5" t="n"/>
      <c r="G9905" s="5" t="n"/>
      <c r="H9905" s="5" t="n">
        <v>77</v>
      </c>
      <c r="I9905" s="5" t="n">
        <v>42</v>
      </c>
      <c r="J9905" s="5" t="n">
        <v>35</v>
      </c>
      <c r="K9905" s="10">
        <f>IF(F9905&gt;0,H9905/F9905,"")</f>
        <v/>
      </c>
      <c r="L9905" s="16">
        <f>IF(AND(G9905&gt;0,H9905&gt;0),G9905/H9905,"")</f>
        <v/>
      </c>
    </row>
    <row r="9906">
      <c r="A9906" s="4" t="inlineStr">
        <is>
          <t>335</t>
        </is>
      </c>
      <c r="B9906" s="4" t="n">
        <v>3</v>
      </c>
      <c r="C9906" s="4" t="inlineStr">
        <is>
          <t>whitetail</t>
        </is>
      </c>
      <c r="D9906" s="4" t="n">
        <v>2016</v>
      </c>
      <c r="E9906" s="13" t="inlineStr">
        <is>
          <t>General</t>
        </is>
      </c>
      <c r="F9906" s="5" t="n"/>
      <c r="G9906" s="5" t="n"/>
      <c r="H9906" s="5" t="n">
        <v>43</v>
      </c>
      <c r="I9906" s="5" t="n">
        <v>19</v>
      </c>
      <c r="J9906" s="5" t="n">
        <v>21</v>
      </c>
      <c r="K9906" s="10">
        <f>IF(F9906&gt;0,H9906/F9906,"")</f>
        <v/>
      </c>
      <c r="L9906" s="16">
        <f>IF(AND(G9906&gt;0,H9906&gt;0),G9906/H9906,"")</f>
        <v/>
      </c>
    </row>
    <row r="9907">
      <c r="A9907" s="4" t="inlineStr">
        <is>
          <t>335</t>
        </is>
      </c>
      <c r="B9907" s="4" t="n">
        <v>3</v>
      </c>
      <c r="C9907" s="4" t="inlineStr">
        <is>
          <t>whitetail</t>
        </is>
      </c>
      <c r="D9907" s="4" t="n">
        <v>2017</v>
      </c>
      <c r="E9907" s="13" t="inlineStr">
        <is>
          <t>General</t>
        </is>
      </c>
      <c r="F9907" s="5" t="n">
        <v>492</v>
      </c>
      <c r="G9907" s="5" t="n">
        <v>3595</v>
      </c>
      <c r="H9907" s="5" t="n">
        <v>53</v>
      </c>
      <c r="I9907" s="5" t="n">
        <v>11</v>
      </c>
      <c r="J9907" s="5" t="n">
        <v>41</v>
      </c>
      <c r="K9907" s="10">
        <f>IF(F9907&gt;0,H9907/F9907,"")</f>
        <v/>
      </c>
      <c r="L9907" s="16">
        <f>IF(AND(G9907&gt;0,H9907&gt;0),G9907/H9907,"")</f>
        <v/>
      </c>
    </row>
    <row r="9908">
      <c r="A9908" s="4" t="inlineStr">
        <is>
          <t>335</t>
        </is>
      </c>
      <c r="B9908" s="4" t="n">
        <v>3</v>
      </c>
      <c r="C9908" s="4" t="inlineStr">
        <is>
          <t>whitetail</t>
        </is>
      </c>
      <c r="D9908" s="4" t="n">
        <v>2018</v>
      </c>
      <c r="E9908" s="13" t="inlineStr">
        <is>
          <t>General</t>
        </is>
      </c>
      <c r="F9908" s="5" t="n"/>
      <c r="G9908" s="5" t="n"/>
      <c r="H9908" s="5" t="n">
        <v>9</v>
      </c>
      <c r="I9908" s="5" t="n">
        <v>9</v>
      </c>
      <c r="J9908" s="5" t="n">
        <v>0</v>
      </c>
      <c r="K9908" s="10">
        <f>IF(F9908&gt;0,H9908/F9908,"")</f>
        <v/>
      </c>
      <c r="L9908" s="16">
        <f>IF(AND(G9908&gt;0,H9908&gt;0),G9908/H9908,"")</f>
        <v/>
      </c>
    </row>
    <row r="9909">
      <c r="A9909" s="4" t="inlineStr">
        <is>
          <t>335</t>
        </is>
      </c>
      <c r="B9909" s="4" t="n">
        <v>3</v>
      </c>
      <c r="C9909" s="4" t="inlineStr">
        <is>
          <t>whitetail</t>
        </is>
      </c>
      <c r="D9909" s="4" t="n">
        <v>2019</v>
      </c>
      <c r="E9909" s="13" t="inlineStr">
        <is>
          <t>General</t>
        </is>
      </c>
      <c r="F9909" s="5" t="n">
        <v>765</v>
      </c>
      <c r="G9909" s="5" t="n">
        <v>5951</v>
      </c>
      <c r="H9909" s="5" t="n">
        <v>37</v>
      </c>
      <c r="I9909" s="5" t="n">
        <v>17</v>
      </c>
      <c r="J9909" s="5" t="n">
        <v>20</v>
      </c>
      <c r="K9909" s="10">
        <f>IF(F9909&gt;0,H9909/F9909,"")</f>
        <v/>
      </c>
      <c r="L9909" s="16">
        <f>IF(AND(G9909&gt;0,H9909&gt;0),G9909/H9909,"")</f>
        <v/>
      </c>
    </row>
    <row r="9910">
      <c r="A9910" s="4" t="inlineStr">
        <is>
          <t>335</t>
        </is>
      </c>
      <c r="B9910" s="4" t="n">
        <v>3</v>
      </c>
      <c r="C9910" s="4" t="inlineStr">
        <is>
          <t>whitetail</t>
        </is>
      </c>
      <c r="D9910" s="4" t="n">
        <v>2020</v>
      </c>
      <c r="E9910" s="13" t="inlineStr">
        <is>
          <t>General</t>
        </is>
      </c>
      <c r="F9910" s="5" t="n"/>
      <c r="G9910" s="5" t="n"/>
      <c r="H9910" s="5" t="n">
        <v>37</v>
      </c>
      <c r="I9910" s="5" t="n">
        <v>10</v>
      </c>
      <c r="J9910" s="5" t="n">
        <v>26</v>
      </c>
      <c r="K9910" s="10">
        <f>IF(F9910&gt;0,H9910/F9910,"")</f>
        <v/>
      </c>
      <c r="L9910" s="16">
        <f>IF(AND(G9910&gt;0,H9910&gt;0),G9910/H9910,"")</f>
        <v/>
      </c>
    </row>
    <row r="9911">
      <c r="A9911" s="4" t="inlineStr">
        <is>
          <t>335</t>
        </is>
      </c>
      <c r="B9911" s="4" t="n">
        <v>3</v>
      </c>
      <c r="C9911" s="4" t="inlineStr">
        <is>
          <t>whitetail</t>
        </is>
      </c>
      <c r="D9911" s="4" t="n">
        <v>2021</v>
      </c>
      <c r="E9911" s="13" t="inlineStr">
        <is>
          <t>General</t>
        </is>
      </c>
      <c r="F9911" s="5" t="n">
        <v>875</v>
      </c>
      <c r="G9911" s="5" t="n">
        <v>6923</v>
      </c>
      <c r="H9911" s="5" t="n">
        <v>39</v>
      </c>
      <c r="I9911" s="5" t="n">
        <v>28</v>
      </c>
      <c r="J9911" s="5" t="n">
        <v>11</v>
      </c>
      <c r="K9911" s="10">
        <f>IF(F9911&gt;0,H9911/F9911,"")</f>
        <v/>
      </c>
      <c r="L9911" s="16">
        <f>IF(AND(G9911&gt;0,H9911&gt;0),G9911/H9911,"")</f>
        <v/>
      </c>
    </row>
    <row r="9912">
      <c r="A9912" s="4" t="inlineStr">
        <is>
          <t>335</t>
        </is>
      </c>
      <c r="B9912" s="4" t="n">
        <v>3</v>
      </c>
      <c r="C9912" s="4" t="inlineStr">
        <is>
          <t>whitetail</t>
        </is>
      </c>
      <c r="D9912" s="4" t="n">
        <v>2022</v>
      </c>
      <c r="E9912" s="13" t="inlineStr">
        <is>
          <t>General</t>
        </is>
      </c>
      <c r="F9912" s="5" t="n"/>
      <c r="G9912" s="5" t="n"/>
      <c r="H9912" s="5" t="n">
        <v>85</v>
      </c>
      <c r="I9912" s="5" t="n">
        <v>42</v>
      </c>
      <c r="J9912" s="5" t="n">
        <v>43</v>
      </c>
      <c r="K9912" s="10">
        <f>IF(F9912&gt;0,H9912/F9912,"")</f>
        <v/>
      </c>
      <c r="L9912" s="16">
        <f>IF(AND(G9912&gt;0,H9912&gt;0),G9912/H9912,"")</f>
        <v/>
      </c>
    </row>
    <row r="9913">
      <c r="A9913" s="4" t="inlineStr">
        <is>
          <t>335</t>
        </is>
      </c>
      <c r="B9913" s="4" t="n">
        <v>3</v>
      </c>
      <c r="C9913" s="4" t="inlineStr">
        <is>
          <t>whitetail</t>
        </is>
      </c>
      <c r="D9913" s="4" t="n">
        <v>2023</v>
      </c>
      <c r="E9913" s="13" t="inlineStr">
        <is>
          <t>General</t>
        </is>
      </c>
      <c r="F9913" s="5" t="n">
        <v>1100</v>
      </c>
      <c r="G9913" s="5" t="n">
        <v>9091</v>
      </c>
      <c r="H9913" s="5" t="n">
        <v>40</v>
      </c>
      <c r="I9913" s="5" t="n">
        <v>14</v>
      </c>
      <c r="J9913" s="5" t="n">
        <v>27</v>
      </c>
      <c r="K9913" s="10">
        <f>IF(F9913&gt;0,H9913/F9913,"")</f>
        <v/>
      </c>
      <c r="L9913" s="16">
        <f>IF(AND(G9913&gt;0,H9913&gt;0),G9913/H9913,"")</f>
        <v/>
      </c>
    </row>
    <row r="9914">
      <c r="A9914" s="4" t="inlineStr">
        <is>
          <t>335</t>
        </is>
      </c>
      <c r="B9914" s="4" t="n">
        <v>3</v>
      </c>
      <c r="C9914" s="4" t="inlineStr">
        <is>
          <t>whitetail</t>
        </is>
      </c>
      <c r="D9914" s="4" t="n">
        <v>2024</v>
      </c>
      <c r="E9914" s="13" t="inlineStr">
        <is>
          <t>General</t>
        </is>
      </c>
      <c r="F9914" s="5" t="n"/>
      <c r="G9914" s="5" t="n"/>
      <c r="H9914" s="5" t="n">
        <v>74</v>
      </c>
      <c r="I9914" s="5" t="n">
        <v>52</v>
      </c>
      <c r="J9914" s="5" t="n">
        <v>23</v>
      </c>
      <c r="K9914" s="10">
        <f>IF(F9914&gt;0,H9914/F9914,"")</f>
        <v/>
      </c>
      <c r="L9914" s="16">
        <f>IF(AND(G9914&gt;0,H9914&gt;0),G9914/H9914,"")</f>
        <v/>
      </c>
    </row>
    <row r="9915">
      <c r="A9915" s="4" t="inlineStr">
        <is>
          <t>335</t>
        </is>
      </c>
      <c r="B9915" s="4" t="n">
        <v>3</v>
      </c>
      <c r="C9915" s="4" t="inlineStr">
        <is>
          <t>whitetail</t>
        </is>
      </c>
      <c r="D9915" s="4" t="n">
        <v>2025</v>
      </c>
      <c r="E9915" s="13" t="inlineStr">
        <is>
          <t>General</t>
        </is>
      </c>
      <c r="F9915" s="5" t="n">
        <v>1194</v>
      </c>
      <c r="G9915" s="5" t="n">
        <v>8438</v>
      </c>
      <c r="H9915" s="5" t="n">
        <v>74</v>
      </c>
      <c r="I9915" s="5" t="n">
        <v>38</v>
      </c>
      <c r="J9915" s="5" t="n">
        <v>36</v>
      </c>
      <c r="K9915" s="10">
        <f>IF(F9915&gt;0,H9915/F9915,"")</f>
        <v/>
      </c>
      <c r="L9915" s="16">
        <f>IF(AND(G9915&gt;0,H9915&gt;0),G9915/H9915,"")</f>
        <v/>
      </c>
    </row>
    <row r="9916">
      <c r="A9916" s="4" t="inlineStr">
        <is>
          <t>339</t>
        </is>
      </c>
      <c r="B9916" s="4" t="n">
        <v>3</v>
      </c>
      <c r="C9916" s="4" t="inlineStr">
        <is>
          <t>whitetail</t>
        </is>
      </c>
      <c r="D9916" s="4" t="n">
        <v>2004</v>
      </c>
      <c r="E9916" s="13" t="inlineStr">
        <is>
          <t>General</t>
        </is>
      </c>
      <c r="F9916" s="5" t="n">
        <v>551</v>
      </c>
      <c r="G9916" s="5" t="n">
        <v>3803</v>
      </c>
      <c r="H9916" s="5" t="n">
        <v>104</v>
      </c>
      <c r="I9916" s="5" t="n">
        <v>56</v>
      </c>
      <c r="J9916" s="5" t="n">
        <v>48</v>
      </c>
      <c r="K9916" s="10">
        <f>IF(F9916&gt;0,H9916/F9916,"")</f>
        <v/>
      </c>
      <c r="L9916" s="16">
        <f>IF(AND(G9916&gt;0,H9916&gt;0),G9916/H9916,"")</f>
        <v/>
      </c>
    </row>
    <row r="9917">
      <c r="A9917" s="4" t="inlineStr">
        <is>
          <t>339</t>
        </is>
      </c>
      <c r="B9917" s="4" t="n">
        <v>3</v>
      </c>
      <c r="C9917" s="4" t="inlineStr">
        <is>
          <t>whitetail</t>
        </is>
      </c>
      <c r="D9917" s="4" t="n">
        <v>2005</v>
      </c>
      <c r="E9917" s="13" t="inlineStr">
        <is>
          <t>General</t>
        </is>
      </c>
      <c r="F9917" s="5" t="n">
        <v>649</v>
      </c>
      <c r="G9917" s="5" t="n">
        <v>3866</v>
      </c>
      <c r="H9917" s="5" t="n">
        <v>125</v>
      </c>
      <c r="I9917" s="5" t="n">
        <v>67</v>
      </c>
      <c r="J9917" s="5" t="n">
        <v>57</v>
      </c>
      <c r="K9917" s="10">
        <f>IF(F9917&gt;0,H9917/F9917,"")</f>
        <v/>
      </c>
      <c r="L9917" s="16">
        <f>IF(AND(G9917&gt;0,H9917&gt;0),G9917/H9917,"")</f>
        <v/>
      </c>
    </row>
    <row r="9918">
      <c r="A9918" s="4" t="inlineStr">
        <is>
          <t>339</t>
        </is>
      </c>
      <c r="B9918" s="4" t="n">
        <v>3</v>
      </c>
      <c r="C9918" s="4" t="inlineStr">
        <is>
          <t>whitetail</t>
        </is>
      </c>
      <c r="D9918" s="4" t="n">
        <v>2006</v>
      </c>
      <c r="E9918" s="13" t="inlineStr">
        <is>
          <t>General</t>
        </is>
      </c>
      <c r="F9918" s="5" t="n">
        <v>618</v>
      </c>
      <c r="G9918" s="5" t="n">
        <v>3872</v>
      </c>
      <c r="H9918" s="5" t="n">
        <v>135</v>
      </c>
      <c r="I9918" s="5" t="n">
        <v>68</v>
      </c>
      <c r="J9918" s="5" t="n">
        <v>67</v>
      </c>
      <c r="K9918" s="10">
        <f>IF(F9918&gt;0,H9918/F9918,"")</f>
        <v/>
      </c>
      <c r="L9918" s="16">
        <f>IF(AND(G9918&gt;0,H9918&gt;0),G9918/H9918,"")</f>
        <v/>
      </c>
    </row>
    <row r="9919">
      <c r="A9919" s="4" t="inlineStr">
        <is>
          <t>339</t>
        </is>
      </c>
      <c r="B9919" s="4" t="n">
        <v>3</v>
      </c>
      <c r="C9919" s="4" t="inlineStr">
        <is>
          <t>whitetail</t>
        </is>
      </c>
      <c r="D9919" s="4" t="n">
        <v>2007</v>
      </c>
      <c r="E9919" s="13" t="inlineStr">
        <is>
          <t>General</t>
        </is>
      </c>
      <c r="F9919" s="5" t="n">
        <v>680</v>
      </c>
      <c r="G9919" s="5" t="n">
        <v>4195</v>
      </c>
      <c r="H9919" s="5" t="n">
        <v>127</v>
      </c>
      <c r="I9919" s="5" t="n">
        <v>50</v>
      </c>
      <c r="J9919" s="5" t="n">
        <v>67</v>
      </c>
      <c r="K9919" s="10">
        <f>IF(F9919&gt;0,H9919/F9919,"")</f>
        <v/>
      </c>
      <c r="L9919" s="16">
        <f>IF(AND(G9919&gt;0,H9919&gt;0),G9919/H9919,"")</f>
        <v/>
      </c>
    </row>
    <row r="9920">
      <c r="A9920" s="4" t="inlineStr">
        <is>
          <t>339</t>
        </is>
      </c>
      <c r="B9920" s="4" t="n">
        <v>3</v>
      </c>
      <c r="C9920" s="4" t="inlineStr">
        <is>
          <t>whitetail</t>
        </is>
      </c>
      <c r="D9920" s="4" t="n">
        <v>2008</v>
      </c>
      <c r="E9920" s="13" t="inlineStr">
        <is>
          <t>General</t>
        </is>
      </c>
      <c r="F9920" s="5" t="n">
        <v>699</v>
      </c>
      <c r="G9920" s="5" t="n">
        <v>4637</v>
      </c>
      <c r="H9920" s="5" t="n">
        <v>57</v>
      </c>
      <c r="I9920" s="5" t="n">
        <v>19</v>
      </c>
      <c r="J9920" s="5" t="n">
        <v>29</v>
      </c>
      <c r="K9920" s="10">
        <f>IF(F9920&gt;0,H9920/F9920,"")</f>
        <v/>
      </c>
      <c r="L9920" s="16">
        <f>IF(AND(G9920&gt;0,H9920&gt;0),G9920/H9920,"")</f>
        <v/>
      </c>
    </row>
    <row r="9921">
      <c r="A9921" s="4" t="inlineStr">
        <is>
          <t>339</t>
        </is>
      </c>
      <c r="B9921" s="4" t="n">
        <v>3</v>
      </c>
      <c r="C9921" s="4" t="inlineStr">
        <is>
          <t>whitetail</t>
        </is>
      </c>
      <c r="D9921" s="4" t="n">
        <v>2009</v>
      </c>
      <c r="E9921" s="13" t="inlineStr">
        <is>
          <t>General</t>
        </is>
      </c>
      <c r="F9921" s="5" t="n">
        <v>695</v>
      </c>
      <c r="G9921" s="5" t="n">
        <v>4431</v>
      </c>
      <c r="H9921" s="5" t="n">
        <v>79</v>
      </c>
      <c r="I9921" s="5" t="n">
        <v>23</v>
      </c>
      <c r="J9921" s="5" t="n">
        <v>52</v>
      </c>
      <c r="K9921" s="10">
        <f>IF(F9921&gt;0,H9921/F9921,"")</f>
        <v/>
      </c>
      <c r="L9921" s="16">
        <f>IF(AND(G9921&gt;0,H9921&gt;0),G9921/H9921,"")</f>
        <v/>
      </c>
    </row>
    <row r="9922">
      <c r="A9922" s="4" t="inlineStr">
        <is>
          <t>339</t>
        </is>
      </c>
      <c r="B9922" s="4" t="n">
        <v>3</v>
      </c>
      <c r="C9922" s="4" t="inlineStr">
        <is>
          <t>whitetail</t>
        </is>
      </c>
      <c r="D9922" s="4" t="n">
        <v>2010</v>
      </c>
      <c r="E9922" s="13" t="inlineStr">
        <is>
          <t>General</t>
        </is>
      </c>
      <c r="F9922" s="5" t="n">
        <v>640</v>
      </c>
      <c r="G9922" s="5" t="n">
        <v>4334</v>
      </c>
      <c r="H9922" s="5" t="n">
        <v>67</v>
      </c>
      <c r="I9922" s="5" t="n">
        <v>41</v>
      </c>
      <c r="J9922" s="5" t="n">
        <v>26</v>
      </c>
      <c r="K9922" s="10">
        <f>IF(F9922&gt;0,H9922/F9922,"")</f>
        <v/>
      </c>
      <c r="L9922" s="16">
        <f>IF(AND(G9922&gt;0,H9922&gt;0),G9922/H9922,"")</f>
        <v/>
      </c>
    </row>
    <row r="9923">
      <c r="A9923" s="4" t="inlineStr">
        <is>
          <t>339</t>
        </is>
      </c>
      <c r="B9923" s="4" t="n">
        <v>3</v>
      </c>
      <c r="C9923" s="4" t="inlineStr">
        <is>
          <t>whitetail</t>
        </is>
      </c>
      <c r="D9923" s="4" t="n">
        <v>2011</v>
      </c>
      <c r="E9923" s="13" t="inlineStr">
        <is>
          <t>General</t>
        </is>
      </c>
      <c r="F9923" s="5" t="n">
        <v>723</v>
      </c>
      <c r="G9923" s="5" t="n">
        <v>4111</v>
      </c>
      <c r="H9923" s="5" t="n">
        <v>52</v>
      </c>
      <c r="I9923" s="5" t="n">
        <v>27</v>
      </c>
      <c r="J9923" s="5" t="n">
        <v>26</v>
      </c>
      <c r="K9923" s="10">
        <f>IF(F9923&gt;0,H9923/F9923,"")</f>
        <v/>
      </c>
      <c r="L9923" s="16">
        <f>IF(AND(G9923&gt;0,H9923&gt;0),G9923/H9923,"")</f>
        <v/>
      </c>
    </row>
    <row r="9924">
      <c r="A9924" s="4" t="inlineStr">
        <is>
          <t>339</t>
        </is>
      </c>
      <c r="B9924" s="4" t="n">
        <v>3</v>
      </c>
      <c r="C9924" s="4" t="inlineStr">
        <is>
          <t>whitetail</t>
        </is>
      </c>
      <c r="D9924" s="4" t="n">
        <v>2012</v>
      </c>
      <c r="E9924" s="13" t="inlineStr">
        <is>
          <t>General</t>
        </is>
      </c>
      <c r="F9924" s="5" t="n"/>
      <c r="G9924" s="5" t="n"/>
      <c r="H9924" s="5" t="n">
        <v>98</v>
      </c>
      <c r="I9924" s="5" t="n">
        <v>41</v>
      </c>
      <c r="J9924" s="5" t="n">
        <v>55</v>
      </c>
      <c r="K9924" s="10">
        <f>IF(F9924&gt;0,H9924/F9924,"")</f>
        <v/>
      </c>
      <c r="L9924" s="16">
        <f>IF(AND(G9924&gt;0,H9924&gt;0),G9924/H9924,"")</f>
        <v/>
      </c>
    </row>
    <row r="9925">
      <c r="A9925" s="4" t="inlineStr">
        <is>
          <t>339</t>
        </is>
      </c>
      <c r="B9925" s="4" t="n">
        <v>3</v>
      </c>
      <c r="C9925" s="4" t="inlineStr">
        <is>
          <t>whitetail</t>
        </is>
      </c>
      <c r="D9925" s="4" t="n">
        <v>2013</v>
      </c>
      <c r="E9925" s="13" t="inlineStr">
        <is>
          <t>General</t>
        </is>
      </c>
      <c r="F9925" s="5" t="n">
        <v>701</v>
      </c>
      <c r="G9925" s="5" t="n">
        <v>4341</v>
      </c>
      <c r="H9925" s="5" t="n">
        <v>81</v>
      </c>
      <c r="I9925" s="5" t="n">
        <v>25</v>
      </c>
      <c r="J9925" s="5" t="n">
        <v>53</v>
      </c>
      <c r="K9925" s="10">
        <f>IF(F9925&gt;0,H9925/F9925,"")</f>
        <v/>
      </c>
      <c r="L9925" s="16">
        <f>IF(AND(G9925&gt;0,H9925&gt;0),G9925/H9925,"")</f>
        <v/>
      </c>
    </row>
    <row r="9926">
      <c r="A9926" s="4" t="inlineStr">
        <is>
          <t>339</t>
        </is>
      </c>
      <c r="B9926" s="4" t="n">
        <v>3</v>
      </c>
      <c r="C9926" s="4" t="inlineStr">
        <is>
          <t>whitetail</t>
        </is>
      </c>
      <c r="D9926" s="4" t="n">
        <v>2014</v>
      </c>
      <c r="E9926" s="13" t="inlineStr">
        <is>
          <t>General</t>
        </is>
      </c>
      <c r="F9926" s="5" t="n"/>
      <c r="G9926" s="5" t="n"/>
      <c r="H9926" s="5" t="n">
        <v>84</v>
      </c>
      <c r="I9926" s="5" t="n">
        <v>41</v>
      </c>
      <c r="J9926" s="5" t="n">
        <v>43</v>
      </c>
      <c r="K9926" s="10">
        <f>IF(F9926&gt;0,H9926/F9926,"")</f>
        <v/>
      </c>
      <c r="L9926" s="16">
        <f>IF(AND(G9926&gt;0,H9926&gt;0),G9926/H9926,"")</f>
        <v/>
      </c>
    </row>
    <row r="9927">
      <c r="A9927" s="4" t="inlineStr">
        <is>
          <t>339</t>
        </is>
      </c>
      <c r="B9927" s="4" t="n">
        <v>3</v>
      </c>
      <c r="C9927" s="4" t="inlineStr">
        <is>
          <t>whitetail</t>
        </is>
      </c>
      <c r="D9927" s="4" t="n">
        <v>2015</v>
      </c>
      <c r="E9927" s="13" t="inlineStr">
        <is>
          <t>General</t>
        </is>
      </c>
      <c r="F9927" s="5" t="n"/>
      <c r="G9927" s="5" t="n"/>
      <c r="H9927" s="5" t="n">
        <v>46</v>
      </c>
      <c r="I9927" s="5" t="n">
        <v>21</v>
      </c>
      <c r="J9927" s="5" t="n">
        <v>22</v>
      </c>
      <c r="K9927" s="10">
        <f>IF(F9927&gt;0,H9927/F9927,"")</f>
        <v/>
      </c>
      <c r="L9927" s="16">
        <f>IF(AND(G9927&gt;0,H9927&gt;0),G9927/H9927,"")</f>
        <v/>
      </c>
    </row>
    <row r="9928">
      <c r="A9928" s="4" t="inlineStr">
        <is>
          <t>339</t>
        </is>
      </c>
      <c r="B9928" s="4" t="n">
        <v>3</v>
      </c>
      <c r="C9928" s="4" t="inlineStr">
        <is>
          <t>whitetail</t>
        </is>
      </c>
      <c r="D9928" s="4" t="n">
        <v>2016</v>
      </c>
      <c r="E9928" s="13" t="inlineStr">
        <is>
          <t>General</t>
        </is>
      </c>
      <c r="F9928" s="5" t="n"/>
      <c r="G9928" s="5" t="n"/>
      <c r="H9928" s="5" t="n">
        <v>53</v>
      </c>
      <c r="I9928" s="5" t="n">
        <v>24</v>
      </c>
      <c r="J9928" s="5" t="n">
        <v>27</v>
      </c>
      <c r="K9928" s="10">
        <f>IF(F9928&gt;0,H9928/F9928,"")</f>
        <v/>
      </c>
      <c r="L9928" s="16">
        <f>IF(AND(G9928&gt;0,H9928&gt;0),G9928/H9928,"")</f>
        <v/>
      </c>
    </row>
    <row r="9929">
      <c r="A9929" s="4" t="inlineStr">
        <is>
          <t>339</t>
        </is>
      </c>
      <c r="B9929" s="4" t="n">
        <v>3</v>
      </c>
      <c r="C9929" s="4" t="inlineStr">
        <is>
          <t>whitetail</t>
        </is>
      </c>
      <c r="D9929" s="4" t="n">
        <v>2017</v>
      </c>
      <c r="E9929" s="13" t="inlineStr">
        <is>
          <t>General</t>
        </is>
      </c>
      <c r="F9929" s="5" t="n">
        <v>428</v>
      </c>
      <c r="G9929" s="5" t="n">
        <v>2452</v>
      </c>
      <c r="H9929" s="5" t="n">
        <v>61</v>
      </c>
      <c r="I9929" s="5" t="n">
        <v>43</v>
      </c>
      <c r="J9929" s="5" t="n">
        <v>18</v>
      </c>
      <c r="K9929" s="10">
        <f>IF(F9929&gt;0,H9929/F9929,"")</f>
        <v/>
      </c>
      <c r="L9929" s="16">
        <f>IF(AND(G9929&gt;0,H9929&gt;0),G9929/H9929,"")</f>
        <v/>
      </c>
    </row>
    <row r="9930">
      <c r="A9930" s="4" t="inlineStr">
        <is>
          <t>339</t>
        </is>
      </c>
      <c r="B9930" s="4" t="n">
        <v>3</v>
      </c>
      <c r="C9930" s="4" t="inlineStr">
        <is>
          <t>whitetail</t>
        </is>
      </c>
      <c r="D9930" s="4" t="n">
        <v>2018</v>
      </c>
      <c r="E9930" s="13" t="inlineStr">
        <is>
          <t>General</t>
        </is>
      </c>
      <c r="F9930" s="5" t="n"/>
      <c r="G9930" s="5" t="n"/>
      <c r="H9930" s="5" t="n">
        <v>50</v>
      </c>
      <c r="I9930" s="5" t="n">
        <v>35</v>
      </c>
      <c r="J9930" s="5" t="n">
        <v>12</v>
      </c>
      <c r="K9930" s="10">
        <f>IF(F9930&gt;0,H9930/F9930,"")</f>
        <v/>
      </c>
      <c r="L9930" s="16">
        <f>IF(AND(G9930&gt;0,H9930&gt;0),G9930/H9930,"")</f>
        <v/>
      </c>
    </row>
    <row r="9931">
      <c r="A9931" s="4" t="inlineStr">
        <is>
          <t>339</t>
        </is>
      </c>
      <c r="B9931" s="4" t="n">
        <v>3</v>
      </c>
      <c r="C9931" s="4" t="inlineStr">
        <is>
          <t>whitetail</t>
        </is>
      </c>
      <c r="D9931" s="4" t="n">
        <v>2019</v>
      </c>
      <c r="E9931" s="13" t="inlineStr">
        <is>
          <t>General</t>
        </is>
      </c>
      <c r="F9931" s="5" t="n">
        <v>597</v>
      </c>
      <c r="G9931" s="5" t="n">
        <v>4224</v>
      </c>
      <c r="H9931" s="5" t="n">
        <v>66</v>
      </c>
      <c r="I9931" s="5" t="n">
        <v>37</v>
      </c>
      <c r="J9931" s="5" t="n">
        <v>29</v>
      </c>
      <c r="K9931" s="10">
        <f>IF(F9931&gt;0,H9931/F9931,"")</f>
        <v/>
      </c>
      <c r="L9931" s="16">
        <f>IF(AND(G9931&gt;0,H9931&gt;0),G9931/H9931,"")</f>
        <v/>
      </c>
    </row>
    <row r="9932">
      <c r="A9932" s="4" t="inlineStr">
        <is>
          <t>339</t>
        </is>
      </c>
      <c r="B9932" s="4" t="n">
        <v>3</v>
      </c>
      <c r="C9932" s="4" t="inlineStr">
        <is>
          <t>whitetail</t>
        </is>
      </c>
      <c r="D9932" s="4" t="n">
        <v>2020</v>
      </c>
      <c r="E9932" s="13" t="inlineStr">
        <is>
          <t>General</t>
        </is>
      </c>
      <c r="F9932" s="5" t="n"/>
      <c r="G9932" s="5" t="n"/>
      <c r="H9932" s="5" t="n">
        <v>33</v>
      </c>
      <c r="I9932" s="5" t="n">
        <v>13</v>
      </c>
      <c r="J9932" s="5" t="n">
        <v>20</v>
      </c>
      <c r="K9932" s="10">
        <f>IF(F9932&gt;0,H9932/F9932,"")</f>
        <v/>
      </c>
      <c r="L9932" s="16">
        <f>IF(AND(G9932&gt;0,H9932&gt;0),G9932/H9932,"")</f>
        <v/>
      </c>
    </row>
    <row r="9933">
      <c r="A9933" s="4" t="inlineStr">
        <is>
          <t>339</t>
        </is>
      </c>
      <c r="B9933" s="4" t="n">
        <v>3</v>
      </c>
      <c r="C9933" s="4" t="inlineStr">
        <is>
          <t>whitetail</t>
        </is>
      </c>
      <c r="D9933" s="4" t="n">
        <v>2021</v>
      </c>
      <c r="E9933" s="13" t="inlineStr">
        <is>
          <t>General</t>
        </is>
      </c>
      <c r="F9933" s="5" t="n">
        <v>633</v>
      </c>
      <c r="G9933" s="5" t="n">
        <v>4031</v>
      </c>
      <c r="H9933" s="5" t="n">
        <v>50</v>
      </c>
      <c r="I9933" s="5" t="n">
        <v>27</v>
      </c>
      <c r="J9933" s="5" t="n">
        <v>23</v>
      </c>
      <c r="K9933" s="10">
        <f>IF(F9933&gt;0,H9933/F9933,"")</f>
        <v/>
      </c>
      <c r="L9933" s="16">
        <f>IF(AND(G9933&gt;0,H9933&gt;0),G9933/H9933,"")</f>
        <v/>
      </c>
    </row>
    <row r="9934">
      <c r="A9934" s="4" t="inlineStr">
        <is>
          <t>339</t>
        </is>
      </c>
      <c r="B9934" s="4" t="n">
        <v>3</v>
      </c>
      <c r="C9934" s="4" t="inlineStr">
        <is>
          <t>whitetail</t>
        </is>
      </c>
      <c r="D9934" s="4" t="n">
        <v>2022</v>
      </c>
      <c r="E9934" s="13" t="inlineStr">
        <is>
          <t>General</t>
        </is>
      </c>
      <c r="F9934" s="5" t="n"/>
      <c r="G9934" s="5" t="n"/>
      <c r="H9934" s="5" t="n">
        <v>70</v>
      </c>
      <c r="I9934" s="5" t="n">
        <v>36</v>
      </c>
      <c r="J9934" s="5" t="n">
        <v>34</v>
      </c>
      <c r="K9934" s="10">
        <f>IF(F9934&gt;0,H9934/F9934,"")</f>
        <v/>
      </c>
      <c r="L9934" s="16">
        <f>IF(AND(G9934&gt;0,H9934&gt;0),G9934/H9934,"")</f>
        <v/>
      </c>
    </row>
    <row r="9935">
      <c r="A9935" s="4" t="inlineStr">
        <is>
          <t>339</t>
        </is>
      </c>
      <c r="B9935" s="4" t="n">
        <v>3</v>
      </c>
      <c r="C9935" s="4" t="inlineStr">
        <is>
          <t>whitetail</t>
        </is>
      </c>
      <c r="D9935" s="4" t="n">
        <v>2023</v>
      </c>
      <c r="E9935" s="13" t="inlineStr">
        <is>
          <t>General</t>
        </is>
      </c>
      <c r="F9935" s="5" t="n">
        <v>653</v>
      </c>
      <c r="G9935" s="5" t="n">
        <v>4192</v>
      </c>
      <c r="H9935" s="5" t="n">
        <v>57</v>
      </c>
      <c r="I9935" s="5" t="n">
        <v>37</v>
      </c>
      <c r="J9935" s="5" t="n">
        <v>20</v>
      </c>
      <c r="K9935" s="10">
        <f>IF(F9935&gt;0,H9935/F9935,"")</f>
        <v/>
      </c>
      <c r="L9935" s="16">
        <f>IF(AND(G9935&gt;0,H9935&gt;0),G9935/H9935,"")</f>
        <v/>
      </c>
    </row>
    <row r="9936">
      <c r="A9936" s="4" t="inlineStr">
        <is>
          <t>339</t>
        </is>
      </c>
      <c r="B9936" s="4" t="n">
        <v>3</v>
      </c>
      <c r="C9936" s="4" t="inlineStr">
        <is>
          <t>whitetail</t>
        </is>
      </c>
      <c r="D9936" s="4" t="n">
        <v>2024</v>
      </c>
      <c r="E9936" s="13" t="inlineStr">
        <is>
          <t>General</t>
        </is>
      </c>
      <c r="F9936" s="5" t="n"/>
      <c r="G9936" s="5" t="n"/>
      <c r="H9936" s="5" t="n">
        <v>57</v>
      </c>
      <c r="I9936" s="5" t="n">
        <v>37</v>
      </c>
      <c r="J9936" s="5" t="n">
        <v>20</v>
      </c>
      <c r="K9936" s="10">
        <f>IF(F9936&gt;0,H9936/F9936,"")</f>
        <v/>
      </c>
      <c r="L9936" s="16">
        <f>IF(AND(G9936&gt;0,H9936&gt;0),G9936/H9936,"")</f>
        <v/>
      </c>
    </row>
    <row r="9937">
      <c r="A9937" s="4" t="inlineStr">
        <is>
          <t>339</t>
        </is>
      </c>
      <c r="B9937" s="4" t="n">
        <v>3</v>
      </c>
      <c r="C9937" s="4" t="inlineStr">
        <is>
          <t>whitetail</t>
        </is>
      </c>
      <c r="D9937" s="4" t="n">
        <v>2025</v>
      </c>
      <c r="E9937" s="13" t="inlineStr">
        <is>
          <t>General</t>
        </is>
      </c>
      <c r="F9937" s="5" t="n">
        <v>870</v>
      </c>
      <c r="G9937" s="5" t="n">
        <v>5989</v>
      </c>
      <c r="H9937" s="5" t="n">
        <v>69</v>
      </c>
      <c r="I9937" s="5" t="n">
        <v>52</v>
      </c>
      <c r="J9937" s="5" t="n">
        <v>17</v>
      </c>
      <c r="K9937" s="10">
        <f>IF(F9937&gt;0,H9937/F9937,"")</f>
        <v/>
      </c>
      <c r="L9937" s="16">
        <f>IF(AND(G9937&gt;0,H9937&gt;0),G9937/H9937,"")</f>
        <v/>
      </c>
    </row>
    <row r="9938">
      <c r="A9938" s="4" t="inlineStr">
        <is>
          <t>340</t>
        </is>
      </c>
      <c r="B9938" s="4" t="n">
        <v>3</v>
      </c>
      <c r="C9938" s="4" t="inlineStr">
        <is>
          <t>whitetail</t>
        </is>
      </c>
      <c r="D9938" s="4" t="n">
        <v>2004</v>
      </c>
      <c r="E9938" s="13" t="inlineStr">
        <is>
          <t>General</t>
        </is>
      </c>
      <c r="F9938" s="5" t="n">
        <v>1578</v>
      </c>
      <c r="G9938" s="5" t="n">
        <v>8692</v>
      </c>
      <c r="H9938" s="5" t="n">
        <v>581</v>
      </c>
      <c r="I9938" s="5" t="n">
        <v>267</v>
      </c>
      <c r="J9938" s="5" t="n">
        <v>302</v>
      </c>
      <c r="K9938" s="10">
        <f>IF(F9938&gt;0,H9938/F9938,"")</f>
        <v/>
      </c>
      <c r="L9938" s="16">
        <f>IF(AND(G9938&gt;0,H9938&gt;0),G9938/H9938,"")</f>
        <v/>
      </c>
    </row>
    <row r="9939">
      <c r="A9939" s="4" t="inlineStr">
        <is>
          <t>340</t>
        </is>
      </c>
      <c r="B9939" s="4" t="n">
        <v>3</v>
      </c>
      <c r="C9939" s="4" t="inlineStr">
        <is>
          <t>whitetail</t>
        </is>
      </c>
      <c r="D9939" s="4" t="n">
        <v>2005</v>
      </c>
      <c r="E9939" s="13" t="inlineStr">
        <is>
          <t>General</t>
        </is>
      </c>
      <c r="F9939" s="5" t="n">
        <v>1644</v>
      </c>
      <c r="G9939" s="5" t="n">
        <v>9740</v>
      </c>
      <c r="H9939" s="5" t="n">
        <v>498</v>
      </c>
      <c r="I9939" s="5" t="n">
        <v>240</v>
      </c>
      <c r="J9939" s="5" t="n">
        <v>240</v>
      </c>
      <c r="K9939" s="10">
        <f>IF(F9939&gt;0,H9939/F9939,"")</f>
        <v/>
      </c>
      <c r="L9939" s="16">
        <f>IF(AND(G9939&gt;0,H9939&gt;0),G9939/H9939,"")</f>
        <v/>
      </c>
    </row>
    <row r="9940">
      <c r="A9940" s="4" t="inlineStr">
        <is>
          <t>340</t>
        </is>
      </c>
      <c r="B9940" s="4" t="n">
        <v>3</v>
      </c>
      <c r="C9940" s="4" t="inlineStr">
        <is>
          <t>whitetail</t>
        </is>
      </c>
      <c r="D9940" s="4" t="n">
        <v>2006</v>
      </c>
      <c r="E9940" s="13" t="inlineStr">
        <is>
          <t>General</t>
        </is>
      </c>
      <c r="F9940" s="5" t="n">
        <v>1957</v>
      </c>
      <c r="G9940" s="5" t="n">
        <v>11566</v>
      </c>
      <c r="H9940" s="5" t="n">
        <v>987</v>
      </c>
      <c r="I9940" s="5" t="n">
        <v>349</v>
      </c>
      <c r="J9940" s="5" t="n">
        <v>617</v>
      </c>
      <c r="K9940" s="10">
        <f>IF(F9940&gt;0,H9940/F9940,"")</f>
        <v/>
      </c>
      <c r="L9940" s="16">
        <f>IF(AND(G9940&gt;0,H9940&gt;0),G9940/H9940,"")</f>
        <v/>
      </c>
    </row>
    <row r="9941">
      <c r="A9941" s="4" t="inlineStr">
        <is>
          <t>340</t>
        </is>
      </c>
      <c r="B9941" s="4" t="n">
        <v>3</v>
      </c>
      <c r="C9941" s="4" t="inlineStr">
        <is>
          <t>whitetail</t>
        </is>
      </c>
      <c r="D9941" s="4" t="n">
        <v>2007</v>
      </c>
      <c r="E9941" s="13" t="inlineStr">
        <is>
          <t>General</t>
        </is>
      </c>
      <c r="F9941" s="5" t="n">
        <v>1757</v>
      </c>
      <c r="G9941" s="5" t="n">
        <v>8915</v>
      </c>
      <c r="H9941" s="5" t="n">
        <v>942</v>
      </c>
      <c r="I9941" s="5" t="n">
        <v>345</v>
      </c>
      <c r="J9941" s="5" t="n">
        <v>574</v>
      </c>
      <c r="K9941" s="10">
        <f>IF(F9941&gt;0,H9941/F9941,"")</f>
        <v/>
      </c>
      <c r="L9941" s="16">
        <f>IF(AND(G9941&gt;0,H9941&gt;0),G9941/H9941,"")</f>
        <v/>
      </c>
    </row>
    <row r="9942">
      <c r="A9942" s="4" t="inlineStr">
        <is>
          <t>340</t>
        </is>
      </c>
      <c r="B9942" s="4" t="n">
        <v>3</v>
      </c>
      <c r="C9942" s="4" t="inlineStr">
        <is>
          <t>whitetail</t>
        </is>
      </c>
      <c r="D9942" s="4" t="n">
        <v>2008</v>
      </c>
      <c r="E9942" s="13" t="inlineStr">
        <is>
          <t>General</t>
        </is>
      </c>
      <c r="F9942" s="5" t="n">
        <v>1749</v>
      </c>
      <c r="G9942" s="5" t="n">
        <v>10158</v>
      </c>
      <c r="H9942" s="5" t="n">
        <v>637</v>
      </c>
      <c r="I9942" s="5" t="n">
        <v>252</v>
      </c>
      <c r="J9942" s="5" t="n">
        <v>376</v>
      </c>
      <c r="K9942" s="10">
        <f>IF(F9942&gt;0,H9942/F9942,"")</f>
        <v/>
      </c>
      <c r="L9942" s="16">
        <f>IF(AND(G9942&gt;0,H9942&gt;0),G9942/H9942,"")</f>
        <v/>
      </c>
    </row>
    <row r="9943">
      <c r="A9943" s="4" t="inlineStr">
        <is>
          <t>340</t>
        </is>
      </c>
      <c r="B9943" s="4" t="n">
        <v>3</v>
      </c>
      <c r="C9943" s="4" t="inlineStr">
        <is>
          <t>whitetail</t>
        </is>
      </c>
      <c r="D9943" s="4" t="n">
        <v>2009</v>
      </c>
      <c r="E9943" s="13" t="inlineStr">
        <is>
          <t>General</t>
        </is>
      </c>
      <c r="F9943" s="5" t="n">
        <v>1920</v>
      </c>
      <c r="G9943" s="5" t="n">
        <v>11124</v>
      </c>
      <c r="H9943" s="5" t="n">
        <v>691</v>
      </c>
      <c r="I9943" s="5" t="n">
        <v>259</v>
      </c>
      <c r="J9943" s="5" t="n">
        <v>423</v>
      </c>
      <c r="K9943" s="10">
        <f>IF(F9943&gt;0,H9943/F9943,"")</f>
        <v/>
      </c>
      <c r="L9943" s="16">
        <f>IF(AND(G9943&gt;0,H9943&gt;0),G9943/H9943,"")</f>
        <v/>
      </c>
    </row>
    <row r="9944">
      <c r="A9944" s="4" t="inlineStr">
        <is>
          <t>340</t>
        </is>
      </c>
      <c r="B9944" s="4" t="n">
        <v>3</v>
      </c>
      <c r="C9944" s="4" t="inlineStr">
        <is>
          <t>whitetail</t>
        </is>
      </c>
      <c r="D9944" s="4" t="n">
        <v>2010</v>
      </c>
      <c r="E9944" s="13" t="inlineStr">
        <is>
          <t>General</t>
        </is>
      </c>
      <c r="F9944" s="5" t="n">
        <v>2163</v>
      </c>
      <c r="G9944" s="5" t="n">
        <v>14329</v>
      </c>
      <c r="H9944" s="5" t="n">
        <v>743</v>
      </c>
      <c r="I9944" s="5" t="n">
        <v>280</v>
      </c>
      <c r="J9944" s="5" t="n">
        <v>457</v>
      </c>
      <c r="K9944" s="10">
        <f>IF(F9944&gt;0,H9944/F9944,"")</f>
        <v/>
      </c>
      <c r="L9944" s="16">
        <f>IF(AND(G9944&gt;0,H9944&gt;0),G9944/H9944,"")</f>
        <v/>
      </c>
    </row>
    <row r="9945">
      <c r="A9945" s="4" t="inlineStr">
        <is>
          <t>340</t>
        </is>
      </c>
      <c r="B9945" s="4" t="n">
        <v>3</v>
      </c>
      <c r="C9945" s="4" t="inlineStr">
        <is>
          <t>whitetail</t>
        </is>
      </c>
      <c r="D9945" s="4" t="n">
        <v>2011</v>
      </c>
      <c r="E9945" s="13" t="inlineStr">
        <is>
          <t>General</t>
        </is>
      </c>
      <c r="F9945" s="5" t="n">
        <v>2167</v>
      </c>
      <c r="G9945" s="5" t="n">
        <v>14000</v>
      </c>
      <c r="H9945" s="5" t="n">
        <v>546</v>
      </c>
      <c r="I9945" s="5" t="n">
        <v>196</v>
      </c>
      <c r="J9945" s="5" t="n">
        <v>348</v>
      </c>
      <c r="K9945" s="10">
        <f>IF(F9945&gt;0,H9945/F9945,"")</f>
        <v/>
      </c>
      <c r="L9945" s="16">
        <f>IF(AND(G9945&gt;0,H9945&gt;0),G9945/H9945,"")</f>
        <v/>
      </c>
    </row>
    <row r="9946">
      <c r="A9946" s="4" t="inlineStr">
        <is>
          <t>340</t>
        </is>
      </c>
      <c r="B9946" s="4" t="n">
        <v>3</v>
      </c>
      <c r="C9946" s="4" t="inlineStr">
        <is>
          <t>whitetail</t>
        </is>
      </c>
      <c r="D9946" s="4" t="n">
        <v>2012</v>
      </c>
      <c r="E9946" s="13" t="inlineStr">
        <is>
          <t>General</t>
        </is>
      </c>
      <c r="F9946" s="5" t="n"/>
      <c r="G9946" s="5" t="n"/>
      <c r="H9946" s="5" t="n">
        <v>754</v>
      </c>
      <c r="I9946" s="5" t="n">
        <v>282</v>
      </c>
      <c r="J9946" s="5" t="n">
        <v>455</v>
      </c>
      <c r="K9946" s="10">
        <f>IF(F9946&gt;0,H9946/F9946,"")</f>
        <v/>
      </c>
      <c r="L9946" s="16">
        <f>IF(AND(G9946&gt;0,H9946&gt;0),G9946/H9946,"")</f>
        <v/>
      </c>
    </row>
    <row r="9947">
      <c r="A9947" s="4" t="inlineStr">
        <is>
          <t>340</t>
        </is>
      </c>
      <c r="B9947" s="4" t="n">
        <v>3</v>
      </c>
      <c r="C9947" s="4" t="inlineStr">
        <is>
          <t>whitetail</t>
        </is>
      </c>
      <c r="D9947" s="4" t="n">
        <v>2013</v>
      </c>
      <c r="E9947" s="13" t="inlineStr">
        <is>
          <t>General</t>
        </is>
      </c>
      <c r="F9947" s="5" t="n">
        <v>2269</v>
      </c>
      <c r="G9947" s="5" t="n">
        <v>14653</v>
      </c>
      <c r="H9947" s="5" t="n">
        <v>650</v>
      </c>
      <c r="I9947" s="5" t="n">
        <v>223</v>
      </c>
      <c r="J9947" s="5" t="n">
        <v>411</v>
      </c>
      <c r="K9947" s="10">
        <f>IF(F9947&gt;0,H9947/F9947,"")</f>
        <v/>
      </c>
      <c r="L9947" s="16">
        <f>IF(AND(G9947&gt;0,H9947&gt;0),G9947/H9947,"")</f>
        <v/>
      </c>
    </row>
    <row r="9948">
      <c r="A9948" s="4" t="inlineStr">
        <is>
          <t>340</t>
        </is>
      </c>
      <c r="B9948" s="4" t="n">
        <v>3</v>
      </c>
      <c r="C9948" s="4" t="inlineStr">
        <is>
          <t>whitetail</t>
        </is>
      </c>
      <c r="D9948" s="4" t="n">
        <v>2014</v>
      </c>
      <c r="E9948" s="13" t="inlineStr">
        <is>
          <t>General</t>
        </is>
      </c>
      <c r="F9948" s="5" t="n"/>
      <c r="G9948" s="5" t="n"/>
      <c r="H9948" s="5" t="n">
        <v>788</v>
      </c>
      <c r="I9948" s="5" t="n">
        <v>362</v>
      </c>
      <c r="J9948" s="5" t="n">
        <v>416</v>
      </c>
      <c r="K9948" s="10">
        <f>IF(F9948&gt;0,H9948/F9948,"")</f>
        <v/>
      </c>
      <c r="L9948" s="16">
        <f>IF(AND(G9948&gt;0,H9948&gt;0),G9948/H9948,"")</f>
        <v/>
      </c>
    </row>
    <row r="9949">
      <c r="A9949" s="4" t="inlineStr">
        <is>
          <t>340</t>
        </is>
      </c>
      <c r="B9949" s="4" t="n">
        <v>3</v>
      </c>
      <c r="C9949" s="4" t="inlineStr">
        <is>
          <t>whitetail</t>
        </is>
      </c>
      <c r="D9949" s="4" t="n">
        <v>2015</v>
      </c>
      <c r="E9949" s="13" t="inlineStr">
        <is>
          <t>General</t>
        </is>
      </c>
      <c r="F9949" s="5" t="n"/>
      <c r="G9949" s="5" t="n"/>
      <c r="H9949" s="5" t="n">
        <v>691</v>
      </c>
      <c r="I9949" s="5" t="n">
        <v>295</v>
      </c>
      <c r="J9949" s="5" t="n">
        <v>372</v>
      </c>
      <c r="K9949" s="10">
        <f>IF(F9949&gt;0,H9949/F9949,"")</f>
        <v/>
      </c>
      <c r="L9949" s="16">
        <f>IF(AND(G9949&gt;0,H9949&gt;0),G9949/H9949,"")</f>
        <v/>
      </c>
    </row>
    <row r="9950">
      <c r="A9950" s="4" t="inlineStr">
        <is>
          <t>340</t>
        </is>
      </c>
      <c r="B9950" s="4" t="n">
        <v>3</v>
      </c>
      <c r="C9950" s="4" t="inlineStr">
        <is>
          <t>whitetail</t>
        </is>
      </c>
      <c r="D9950" s="4" t="n">
        <v>2016</v>
      </c>
      <c r="E9950" s="13" t="inlineStr">
        <is>
          <t>General</t>
        </is>
      </c>
      <c r="F9950" s="5" t="n"/>
      <c r="G9950" s="5" t="n"/>
      <c r="H9950" s="5" t="n">
        <v>772</v>
      </c>
      <c r="I9950" s="5" t="n">
        <v>306</v>
      </c>
      <c r="J9950" s="5" t="n">
        <v>460</v>
      </c>
      <c r="K9950" s="10">
        <f>IF(F9950&gt;0,H9950/F9950,"")</f>
        <v/>
      </c>
      <c r="L9950" s="16">
        <f>IF(AND(G9950&gt;0,H9950&gt;0),G9950/H9950,"")</f>
        <v/>
      </c>
    </row>
    <row r="9951">
      <c r="A9951" s="4" t="inlineStr">
        <is>
          <t>340</t>
        </is>
      </c>
      <c r="B9951" s="4" t="n">
        <v>3</v>
      </c>
      <c r="C9951" s="4" t="inlineStr">
        <is>
          <t>whitetail</t>
        </is>
      </c>
      <c r="D9951" s="4" t="n">
        <v>2017</v>
      </c>
      <c r="E9951" s="13" t="inlineStr">
        <is>
          <t>General</t>
        </is>
      </c>
      <c r="F9951" s="5" t="n">
        <v>2161</v>
      </c>
      <c r="G9951" s="5" t="n">
        <v>12819</v>
      </c>
      <c r="H9951" s="5" t="n">
        <v>723</v>
      </c>
      <c r="I9951" s="5" t="n">
        <v>287</v>
      </c>
      <c r="J9951" s="5" t="n">
        <v>423</v>
      </c>
      <c r="K9951" s="10">
        <f>IF(F9951&gt;0,H9951/F9951,"")</f>
        <v/>
      </c>
      <c r="L9951" s="16">
        <f>IF(AND(G9951&gt;0,H9951&gt;0),G9951/H9951,"")</f>
        <v/>
      </c>
    </row>
    <row r="9952">
      <c r="A9952" s="4" t="inlineStr">
        <is>
          <t>340</t>
        </is>
      </c>
      <c r="B9952" s="4" t="n">
        <v>3</v>
      </c>
      <c r="C9952" s="4" t="inlineStr">
        <is>
          <t>whitetail</t>
        </is>
      </c>
      <c r="D9952" s="4" t="n">
        <v>2018</v>
      </c>
      <c r="E9952" s="13" t="inlineStr">
        <is>
          <t>General</t>
        </is>
      </c>
      <c r="F9952" s="5" t="n"/>
      <c r="G9952" s="5" t="n"/>
      <c r="H9952" s="5" t="n">
        <v>671</v>
      </c>
      <c r="I9952" s="5" t="n">
        <v>332</v>
      </c>
      <c r="J9952" s="5" t="n">
        <v>336</v>
      </c>
      <c r="K9952" s="10">
        <f>IF(F9952&gt;0,H9952/F9952,"")</f>
        <v/>
      </c>
      <c r="L9952" s="16">
        <f>IF(AND(G9952&gt;0,H9952&gt;0),G9952/H9952,"")</f>
        <v/>
      </c>
    </row>
    <row r="9953">
      <c r="A9953" s="4" t="inlineStr">
        <is>
          <t>340</t>
        </is>
      </c>
      <c r="B9953" s="4" t="n">
        <v>3</v>
      </c>
      <c r="C9953" s="4" t="inlineStr">
        <is>
          <t>whitetail</t>
        </is>
      </c>
      <c r="D9953" s="4" t="n">
        <v>2019</v>
      </c>
      <c r="E9953" s="13" t="inlineStr">
        <is>
          <t>General</t>
        </is>
      </c>
      <c r="F9953" s="5" t="n">
        <v>2111</v>
      </c>
      <c r="G9953" s="5" t="n">
        <v>11830</v>
      </c>
      <c r="H9953" s="5" t="n">
        <v>553</v>
      </c>
      <c r="I9953" s="5" t="n">
        <v>227</v>
      </c>
      <c r="J9953" s="5" t="n">
        <v>317</v>
      </c>
      <c r="K9953" s="10">
        <f>IF(F9953&gt;0,H9953/F9953,"")</f>
        <v/>
      </c>
      <c r="L9953" s="16">
        <f>IF(AND(G9953&gt;0,H9953&gt;0),G9953/H9953,"")</f>
        <v/>
      </c>
    </row>
    <row r="9954">
      <c r="A9954" s="4" t="inlineStr">
        <is>
          <t>340</t>
        </is>
      </c>
      <c r="B9954" s="4" t="n">
        <v>3</v>
      </c>
      <c r="C9954" s="4" t="inlineStr">
        <is>
          <t>whitetail</t>
        </is>
      </c>
      <c r="D9954" s="4" t="n">
        <v>2020</v>
      </c>
      <c r="E9954" s="13" t="inlineStr">
        <is>
          <t>General</t>
        </is>
      </c>
      <c r="F9954" s="5" t="n"/>
      <c r="G9954" s="5" t="n"/>
      <c r="H9954" s="5" t="n">
        <v>636</v>
      </c>
      <c r="I9954" s="5" t="n">
        <v>264</v>
      </c>
      <c r="J9954" s="5" t="n">
        <v>372</v>
      </c>
      <c r="K9954" s="10">
        <f>IF(F9954&gt;0,H9954/F9954,"")</f>
        <v/>
      </c>
      <c r="L9954" s="16">
        <f>IF(AND(G9954&gt;0,H9954&gt;0),G9954/H9954,"")</f>
        <v/>
      </c>
    </row>
    <row r="9955">
      <c r="A9955" s="4" t="inlineStr">
        <is>
          <t>340</t>
        </is>
      </c>
      <c r="B9955" s="4" t="n">
        <v>3</v>
      </c>
      <c r="C9955" s="4" t="inlineStr">
        <is>
          <t>whitetail</t>
        </is>
      </c>
      <c r="D9955" s="4" t="n">
        <v>2021</v>
      </c>
      <c r="E9955" s="13" t="inlineStr">
        <is>
          <t>General</t>
        </is>
      </c>
      <c r="F9955" s="5" t="n">
        <v>2067</v>
      </c>
      <c r="G9955" s="5" t="n">
        <v>13242</v>
      </c>
      <c r="H9955" s="5" t="n">
        <v>444</v>
      </c>
      <c r="I9955" s="5" t="n">
        <v>211</v>
      </c>
      <c r="J9955" s="5" t="n">
        <v>232</v>
      </c>
      <c r="K9955" s="10">
        <f>IF(F9955&gt;0,H9955/F9955,"")</f>
        <v/>
      </c>
      <c r="L9955" s="16">
        <f>IF(AND(G9955&gt;0,H9955&gt;0),G9955/H9955,"")</f>
        <v/>
      </c>
    </row>
    <row r="9956">
      <c r="A9956" s="4" t="inlineStr">
        <is>
          <t>340</t>
        </is>
      </c>
      <c r="B9956" s="4" t="n">
        <v>3</v>
      </c>
      <c r="C9956" s="4" t="inlineStr">
        <is>
          <t>whitetail</t>
        </is>
      </c>
      <c r="D9956" s="4" t="n">
        <v>2022</v>
      </c>
      <c r="E9956" s="13" t="inlineStr">
        <is>
          <t>General</t>
        </is>
      </c>
      <c r="F9956" s="5" t="n"/>
      <c r="G9956" s="5" t="n"/>
      <c r="H9956" s="5" t="n">
        <v>399</v>
      </c>
      <c r="I9956" s="5" t="n">
        <v>215</v>
      </c>
      <c r="J9956" s="5" t="n">
        <v>176</v>
      </c>
      <c r="K9956" s="10">
        <f>IF(F9956&gt;0,H9956/F9956,"")</f>
        <v/>
      </c>
      <c r="L9956" s="16">
        <f>IF(AND(G9956&gt;0,H9956&gt;0),G9956/H9956,"")</f>
        <v/>
      </c>
    </row>
    <row r="9957">
      <c r="A9957" s="4" t="inlineStr">
        <is>
          <t>340</t>
        </is>
      </c>
      <c r="B9957" s="4" t="n">
        <v>3</v>
      </c>
      <c r="C9957" s="4" t="inlineStr">
        <is>
          <t>whitetail</t>
        </is>
      </c>
      <c r="D9957" s="4" t="n">
        <v>2023</v>
      </c>
      <c r="E9957" s="13" t="inlineStr">
        <is>
          <t>General</t>
        </is>
      </c>
      <c r="F9957" s="5" t="n">
        <v>1963</v>
      </c>
      <c r="G9957" s="5" t="n">
        <v>12717</v>
      </c>
      <c r="H9957" s="5" t="n">
        <v>424</v>
      </c>
      <c r="I9957" s="5" t="n">
        <v>236</v>
      </c>
      <c r="J9957" s="5" t="n">
        <v>188</v>
      </c>
      <c r="K9957" s="10">
        <f>IF(F9957&gt;0,H9957/F9957,"")</f>
        <v/>
      </c>
      <c r="L9957" s="16">
        <f>IF(AND(G9957&gt;0,H9957&gt;0),G9957/H9957,"")</f>
        <v/>
      </c>
    </row>
    <row r="9958">
      <c r="A9958" s="4" t="inlineStr">
        <is>
          <t>340</t>
        </is>
      </c>
      <c r="B9958" s="4" t="n">
        <v>3</v>
      </c>
      <c r="C9958" s="4" t="inlineStr">
        <is>
          <t>whitetail</t>
        </is>
      </c>
      <c r="D9958" s="4" t="n">
        <v>2024</v>
      </c>
      <c r="E9958" s="13" t="inlineStr">
        <is>
          <t>General</t>
        </is>
      </c>
      <c r="F9958" s="5" t="n"/>
      <c r="G9958" s="5" t="n"/>
      <c r="H9958" s="5" t="n">
        <v>374</v>
      </c>
      <c r="I9958" s="5" t="n">
        <v>200</v>
      </c>
      <c r="J9958" s="5" t="n">
        <v>173</v>
      </c>
      <c r="K9958" s="10">
        <f>IF(F9958&gt;0,H9958/F9958,"")</f>
        <v/>
      </c>
      <c r="L9958" s="16">
        <f>IF(AND(G9958&gt;0,H9958&gt;0),G9958/H9958,"")</f>
        <v/>
      </c>
    </row>
    <row r="9959">
      <c r="A9959" s="4" t="inlineStr">
        <is>
          <t>340</t>
        </is>
      </c>
      <c r="B9959" s="4" t="n">
        <v>3</v>
      </c>
      <c r="C9959" s="4" t="inlineStr">
        <is>
          <t>whitetail</t>
        </is>
      </c>
      <c r="D9959" s="4" t="n">
        <v>2025</v>
      </c>
      <c r="E9959" s="13" t="inlineStr">
        <is>
          <t>General</t>
        </is>
      </c>
      <c r="F9959" s="5" t="n">
        <v>1922</v>
      </c>
      <c r="G9959" s="5" t="n">
        <v>12825</v>
      </c>
      <c r="H9959" s="5" t="n">
        <v>331</v>
      </c>
      <c r="I9959" s="5" t="n">
        <v>169</v>
      </c>
      <c r="J9959" s="5" t="n">
        <v>162</v>
      </c>
      <c r="K9959" s="10">
        <f>IF(F9959&gt;0,H9959/F9959,"")</f>
        <v/>
      </c>
      <c r="L9959" s="16">
        <f>IF(AND(G9959&gt;0,H9959&gt;0),G9959/H9959,"")</f>
        <v/>
      </c>
    </row>
    <row r="9960">
      <c r="A9960" s="4" t="inlineStr">
        <is>
          <t>341</t>
        </is>
      </c>
      <c r="B9960" s="4" t="n">
        <v>3</v>
      </c>
      <c r="C9960" s="4" t="inlineStr">
        <is>
          <t>whitetail</t>
        </is>
      </c>
      <c r="D9960" s="4" t="n">
        <v>2004</v>
      </c>
      <c r="E9960" s="4" t="inlineStr"/>
      <c r="F9960" s="5" t="n">
        <v>534</v>
      </c>
      <c r="G9960" s="5" t="n">
        <v>3487</v>
      </c>
      <c r="H9960" s="5" t="n">
        <v>38</v>
      </c>
      <c r="I9960" s="5" t="n">
        <v>24</v>
      </c>
      <c r="J9960" s="5" t="n">
        <v>11</v>
      </c>
      <c r="K9960" s="10">
        <f>IF(F9960&gt;0,H9960/F9960,"")</f>
        <v/>
      </c>
      <c r="L9960" s="16">
        <f>IF(AND(G9960&gt;0,H9960&gt;0),G9960/H9960,"")</f>
        <v/>
      </c>
    </row>
    <row r="9961">
      <c r="A9961" s="4" t="inlineStr">
        <is>
          <t>341</t>
        </is>
      </c>
      <c r="B9961" s="4" t="n">
        <v>3</v>
      </c>
      <c r="C9961" s="4" t="inlineStr">
        <is>
          <t>whitetail</t>
        </is>
      </c>
      <c r="D9961" s="4" t="n">
        <v>2005</v>
      </c>
      <c r="E9961" s="4" t="inlineStr"/>
      <c r="F9961" s="5" t="n">
        <v>467</v>
      </c>
      <c r="G9961" s="5" t="n">
        <v>3297</v>
      </c>
      <c r="H9961" s="5" t="n">
        <v>22</v>
      </c>
      <c r="I9961" s="5" t="n">
        <v>14</v>
      </c>
      <c r="J9961" s="5" t="n">
        <v>9</v>
      </c>
      <c r="K9961" s="10">
        <f>IF(F9961&gt;0,H9961/F9961,"")</f>
        <v/>
      </c>
      <c r="L9961" s="16">
        <f>IF(AND(G9961&gt;0,H9961&gt;0),G9961/H9961,"")</f>
        <v/>
      </c>
    </row>
    <row r="9962">
      <c r="A9962" s="4" t="inlineStr">
        <is>
          <t>341</t>
        </is>
      </c>
      <c r="B9962" s="4" t="n">
        <v>3</v>
      </c>
      <c r="C9962" s="4" t="inlineStr">
        <is>
          <t>whitetail</t>
        </is>
      </c>
      <c r="D9962" s="4" t="n">
        <v>2006</v>
      </c>
      <c r="E9962" s="4" t="inlineStr"/>
      <c r="F9962" s="5" t="n">
        <v>510</v>
      </c>
      <c r="G9962" s="5" t="n">
        <v>3520</v>
      </c>
      <c r="H9962" s="5" t="n">
        <v>19</v>
      </c>
      <c r="I9962" s="5" t="n">
        <v>15</v>
      </c>
      <c r="J9962" s="5" t="n">
        <v>4</v>
      </c>
      <c r="K9962" s="10">
        <f>IF(F9962&gt;0,H9962/F9962,"")</f>
        <v/>
      </c>
      <c r="L9962" s="16">
        <f>IF(AND(G9962&gt;0,H9962&gt;0),G9962/H9962,"")</f>
        <v/>
      </c>
    </row>
    <row r="9963">
      <c r="A9963" s="4" t="inlineStr">
        <is>
          <t>341</t>
        </is>
      </c>
      <c r="B9963" s="4" t="n">
        <v>3</v>
      </c>
      <c r="C9963" s="4" t="inlineStr">
        <is>
          <t>whitetail</t>
        </is>
      </c>
      <c r="D9963" s="4" t="n">
        <v>2007</v>
      </c>
      <c r="E9963" s="4" t="inlineStr"/>
      <c r="F9963" s="5" t="n">
        <v>394</v>
      </c>
      <c r="G9963" s="5" t="n">
        <v>2352</v>
      </c>
      <c r="H9963" s="5" t="n">
        <v>52</v>
      </c>
      <c r="I9963" s="5" t="n">
        <v>19</v>
      </c>
      <c r="J9963" s="5" t="n">
        <v>33</v>
      </c>
      <c r="K9963" s="10">
        <f>IF(F9963&gt;0,H9963/F9963,"")</f>
        <v/>
      </c>
      <c r="L9963" s="16">
        <f>IF(AND(G9963&gt;0,H9963&gt;0),G9963/H9963,"")</f>
        <v/>
      </c>
    </row>
    <row r="9964">
      <c r="A9964" s="4" t="inlineStr">
        <is>
          <t>341</t>
        </is>
      </c>
      <c r="B9964" s="4" t="n">
        <v>3</v>
      </c>
      <c r="C9964" s="4" t="inlineStr">
        <is>
          <t>whitetail</t>
        </is>
      </c>
      <c r="D9964" s="4" t="n">
        <v>2008</v>
      </c>
      <c r="E9964" s="4" t="inlineStr"/>
      <c r="F9964" s="5" t="n">
        <v>392</v>
      </c>
      <c r="G9964" s="5" t="n">
        <v>2802</v>
      </c>
      <c r="H9964" s="5" t="n">
        <v>22</v>
      </c>
      <c r="I9964" s="5" t="n">
        <v>11</v>
      </c>
      <c r="J9964" s="5" t="n">
        <v>12</v>
      </c>
      <c r="K9964" s="10">
        <f>IF(F9964&gt;0,H9964/F9964,"")</f>
        <v/>
      </c>
      <c r="L9964" s="16">
        <f>IF(AND(G9964&gt;0,H9964&gt;0),G9964/H9964,"")</f>
        <v/>
      </c>
    </row>
    <row r="9965">
      <c r="A9965" s="4" t="inlineStr">
        <is>
          <t>341</t>
        </is>
      </c>
      <c r="B9965" s="4" t="n">
        <v>3</v>
      </c>
      <c r="C9965" s="4" t="inlineStr">
        <is>
          <t>whitetail</t>
        </is>
      </c>
      <c r="D9965" s="4" t="n">
        <v>2009</v>
      </c>
      <c r="E9965" s="4" t="inlineStr"/>
      <c r="F9965" s="5" t="n">
        <v>377</v>
      </c>
      <c r="G9965" s="5" t="n">
        <v>2803</v>
      </c>
      <c r="H9965" s="5" t="n">
        <v>21</v>
      </c>
      <c r="I9965" s="5" t="n">
        <v>12</v>
      </c>
      <c r="J9965" s="5" t="n">
        <v>9</v>
      </c>
      <c r="K9965" s="10">
        <f>IF(F9965&gt;0,H9965/F9965,"")</f>
        <v/>
      </c>
      <c r="L9965" s="16">
        <f>IF(AND(G9965&gt;0,H9965&gt;0),G9965/H9965,"")</f>
        <v/>
      </c>
    </row>
    <row r="9966">
      <c r="A9966" s="4" t="inlineStr">
        <is>
          <t>341</t>
        </is>
      </c>
      <c r="B9966" s="4" t="n">
        <v>3</v>
      </c>
      <c r="C9966" s="4" t="inlineStr">
        <is>
          <t>whitetail</t>
        </is>
      </c>
      <c r="D9966" s="4" t="n">
        <v>2010</v>
      </c>
      <c r="E9966" s="4" t="inlineStr"/>
      <c r="F9966" s="5" t="n">
        <v>367</v>
      </c>
      <c r="G9966" s="5" t="n">
        <v>2565</v>
      </c>
      <c r="H9966" s="5" t="n">
        <v>34</v>
      </c>
      <c r="I9966" s="5" t="n">
        <v>28</v>
      </c>
      <c r="J9966" s="5" t="n">
        <v>6</v>
      </c>
      <c r="K9966" s="10">
        <f>IF(F9966&gt;0,H9966/F9966,"")</f>
        <v/>
      </c>
      <c r="L9966" s="16">
        <f>IF(AND(G9966&gt;0,H9966&gt;0),G9966/H9966,"")</f>
        <v/>
      </c>
    </row>
    <row r="9967">
      <c r="A9967" s="4" t="inlineStr">
        <is>
          <t>341</t>
        </is>
      </c>
      <c r="B9967" s="4" t="n">
        <v>3</v>
      </c>
      <c r="C9967" s="4" t="inlineStr">
        <is>
          <t>whitetail</t>
        </is>
      </c>
      <c r="D9967" s="4" t="n">
        <v>2011</v>
      </c>
      <c r="E9967" s="4" t="inlineStr"/>
      <c r="F9967" s="5" t="n">
        <v>410</v>
      </c>
      <c r="G9967" s="5" t="n">
        <v>2948</v>
      </c>
      <c r="H9967" s="5" t="n">
        <v>25</v>
      </c>
      <c r="I9967" s="5" t="n">
        <v>14</v>
      </c>
      <c r="J9967" s="5" t="n">
        <v>10</v>
      </c>
      <c r="K9967" s="10">
        <f>IF(F9967&gt;0,H9967/F9967,"")</f>
        <v/>
      </c>
      <c r="L9967" s="16">
        <f>IF(AND(G9967&gt;0,H9967&gt;0),G9967/H9967,"")</f>
        <v/>
      </c>
    </row>
    <row r="9968">
      <c r="A9968" s="4" t="inlineStr">
        <is>
          <t>341</t>
        </is>
      </c>
      <c r="B9968" s="4" t="n">
        <v>3</v>
      </c>
      <c r="C9968" s="4" t="inlineStr">
        <is>
          <t>whitetail</t>
        </is>
      </c>
      <c r="D9968" s="4" t="n">
        <v>2012</v>
      </c>
      <c r="E9968" s="4" t="inlineStr"/>
      <c r="F9968" s="5" t="n"/>
      <c r="G9968" s="5" t="n"/>
      <c r="H9968" s="5" t="n">
        <v>38</v>
      </c>
      <c r="I9968" s="5" t="n">
        <v>6</v>
      </c>
      <c r="J9968" s="5" t="n">
        <v>32</v>
      </c>
      <c r="K9968" s="10">
        <f>IF(F9968&gt;0,H9968/F9968,"")</f>
        <v/>
      </c>
      <c r="L9968" s="16">
        <f>IF(AND(G9968&gt;0,H9968&gt;0),G9968/H9968,"")</f>
        <v/>
      </c>
    </row>
    <row r="9969">
      <c r="A9969" s="4" t="inlineStr">
        <is>
          <t>341</t>
        </is>
      </c>
      <c r="B9969" s="4" t="n">
        <v>3</v>
      </c>
      <c r="C9969" s="4" t="inlineStr">
        <is>
          <t>whitetail</t>
        </is>
      </c>
      <c r="D9969" s="4" t="n">
        <v>2013</v>
      </c>
      <c r="E9969" s="4" t="inlineStr"/>
      <c r="F9969" s="5" t="n">
        <v>393</v>
      </c>
      <c r="G9969" s="5" t="n">
        <v>2802</v>
      </c>
      <c r="H9969" s="5" t="n">
        <v>17</v>
      </c>
      <c r="I9969" s="5" t="n">
        <v>11</v>
      </c>
      <c r="J9969" s="5" t="n">
        <v>6</v>
      </c>
      <c r="K9969" s="10">
        <f>IF(F9969&gt;0,H9969/F9969,"")</f>
        <v/>
      </c>
      <c r="L9969" s="16">
        <f>IF(AND(G9969&gt;0,H9969&gt;0),G9969/H9969,"")</f>
        <v/>
      </c>
    </row>
    <row r="9970">
      <c r="A9970" s="4" t="inlineStr">
        <is>
          <t>341</t>
        </is>
      </c>
      <c r="B9970" s="4" t="n">
        <v>3</v>
      </c>
      <c r="C9970" s="4" t="inlineStr">
        <is>
          <t>whitetail</t>
        </is>
      </c>
      <c r="D9970" s="4" t="n">
        <v>2014</v>
      </c>
      <c r="E9970" s="4" t="inlineStr"/>
      <c r="F9970" s="5" t="n"/>
      <c r="G9970" s="5" t="n"/>
      <c r="H9970" s="5" t="n">
        <v>28</v>
      </c>
      <c r="I9970" s="5" t="n">
        <v>17</v>
      </c>
      <c r="J9970" s="5" t="n">
        <v>11</v>
      </c>
      <c r="K9970" s="10">
        <f>IF(F9970&gt;0,H9970/F9970,"")</f>
        <v/>
      </c>
      <c r="L9970" s="16">
        <f>IF(AND(G9970&gt;0,H9970&gt;0),G9970/H9970,"")</f>
        <v/>
      </c>
    </row>
    <row r="9971">
      <c r="A9971" s="4" t="inlineStr">
        <is>
          <t>341</t>
        </is>
      </c>
      <c r="B9971" s="4" t="n">
        <v>3</v>
      </c>
      <c r="C9971" s="4" t="inlineStr">
        <is>
          <t>whitetail</t>
        </is>
      </c>
      <c r="D9971" s="4" t="n">
        <v>2015</v>
      </c>
      <c r="E9971" s="4" t="inlineStr"/>
      <c r="F9971" s="5" t="n"/>
      <c r="G9971" s="5" t="n"/>
      <c r="H9971" s="5" t="n">
        <v>28</v>
      </c>
      <c r="I9971" s="5" t="n">
        <v>14</v>
      </c>
      <c r="J9971" s="5" t="n">
        <v>14</v>
      </c>
      <c r="K9971" s="10">
        <f>IF(F9971&gt;0,H9971/F9971,"")</f>
        <v/>
      </c>
      <c r="L9971" s="16">
        <f>IF(AND(G9971&gt;0,H9971&gt;0),G9971/H9971,"")</f>
        <v/>
      </c>
    </row>
    <row r="9972">
      <c r="A9972" s="4" t="inlineStr">
        <is>
          <t>341</t>
        </is>
      </c>
      <c r="B9972" s="4" t="n">
        <v>3</v>
      </c>
      <c r="C9972" s="4" t="inlineStr">
        <is>
          <t>whitetail</t>
        </is>
      </c>
      <c r="D9972" s="4" t="n">
        <v>2016</v>
      </c>
      <c r="E9972" s="4" t="inlineStr"/>
      <c r="F9972" s="5" t="n"/>
      <c r="G9972" s="5" t="n"/>
      <c r="H9972" s="5" t="n">
        <v>64</v>
      </c>
      <c r="I9972" s="5" t="n">
        <v>33</v>
      </c>
      <c r="J9972" s="5" t="n">
        <v>25</v>
      </c>
      <c r="K9972" s="10">
        <f>IF(F9972&gt;0,H9972/F9972,"")</f>
        <v/>
      </c>
      <c r="L9972" s="16">
        <f>IF(AND(G9972&gt;0,H9972&gt;0),G9972/H9972,"")</f>
        <v/>
      </c>
    </row>
    <row r="9973">
      <c r="A9973" s="4" t="inlineStr">
        <is>
          <t>341</t>
        </is>
      </c>
      <c r="B9973" s="4" t="n">
        <v>3</v>
      </c>
      <c r="C9973" s="4" t="inlineStr">
        <is>
          <t>whitetail</t>
        </is>
      </c>
      <c r="D9973" s="4" t="n">
        <v>2017</v>
      </c>
      <c r="E9973" s="4" t="inlineStr"/>
      <c r="F9973" s="5" t="n">
        <v>498</v>
      </c>
      <c r="G9973" s="5" t="n">
        <v>3715</v>
      </c>
      <c r="H9973" s="5" t="n">
        <v>37</v>
      </c>
      <c r="I9973" s="5" t="n">
        <v>24</v>
      </c>
      <c r="J9973" s="5" t="n">
        <v>13</v>
      </c>
      <c r="K9973" s="10">
        <f>IF(F9973&gt;0,H9973/F9973,"")</f>
        <v/>
      </c>
      <c r="L9973" s="16">
        <f>IF(AND(G9973&gt;0,H9973&gt;0),G9973/H9973,"")</f>
        <v/>
      </c>
    </row>
    <row r="9974">
      <c r="A9974" s="4" t="inlineStr">
        <is>
          <t>341</t>
        </is>
      </c>
      <c r="B9974" s="4" t="n">
        <v>3</v>
      </c>
      <c r="C9974" s="4" t="inlineStr">
        <is>
          <t>whitetail</t>
        </is>
      </c>
      <c r="D9974" s="4" t="n">
        <v>2018</v>
      </c>
      <c r="E9974" s="4" t="inlineStr"/>
      <c r="F9974" s="5" t="n"/>
      <c r="G9974" s="5" t="n"/>
      <c r="H9974" s="5" t="n">
        <v>35</v>
      </c>
      <c r="I9974" s="5" t="n">
        <v>18</v>
      </c>
      <c r="J9974" s="5" t="n">
        <v>17</v>
      </c>
      <c r="K9974" s="10">
        <f>IF(F9974&gt;0,H9974/F9974,"")</f>
        <v/>
      </c>
      <c r="L9974" s="16">
        <f>IF(AND(G9974&gt;0,H9974&gt;0),G9974/H9974,"")</f>
        <v/>
      </c>
    </row>
    <row r="9975">
      <c r="A9975" s="4" t="inlineStr">
        <is>
          <t>341</t>
        </is>
      </c>
      <c r="B9975" s="4" t="n">
        <v>3</v>
      </c>
      <c r="C9975" s="4" t="inlineStr">
        <is>
          <t>whitetail</t>
        </is>
      </c>
      <c r="D9975" s="4" t="n">
        <v>2019</v>
      </c>
      <c r="E9975" s="4" t="inlineStr"/>
      <c r="F9975" s="5" t="n">
        <v>479</v>
      </c>
      <c r="G9975" s="5" t="n">
        <v>3780</v>
      </c>
      <c r="H9975" s="5" t="n">
        <v>17</v>
      </c>
      <c r="I9975" s="5" t="n">
        <v>14</v>
      </c>
      <c r="J9975" s="5" t="n">
        <v>3</v>
      </c>
      <c r="K9975" s="10">
        <f>IF(F9975&gt;0,H9975/F9975,"")</f>
        <v/>
      </c>
      <c r="L9975" s="16">
        <f>IF(AND(G9975&gt;0,H9975&gt;0),G9975/H9975,"")</f>
        <v/>
      </c>
    </row>
    <row r="9976">
      <c r="A9976" s="4" t="inlineStr">
        <is>
          <t>341</t>
        </is>
      </c>
      <c r="B9976" s="4" t="n">
        <v>3</v>
      </c>
      <c r="C9976" s="4" t="inlineStr">
        <is>
          <t>whitetail</t>
        </is>
      </c>
      <c r="D9976" s="4" t="n">
        <v>2020</v>
      </c>
      <c r="E9976" s="4" t="inlineStr"/>
      <c r="F9976" s="5" t="n"/>
      <c r="G9976" s="5" t="n"/>
      <c r="H9976" s="5" t="n">
        <v>36</v>
      </c>
      <c r="I9976" s="5" t="n">
        <v>10</v>
      </c>
      <c r="J9976" s="5" t="n">
        <v>26</v>
      </c>
      <c r="K9976" s="10">
        <f>IF(F9976&gt;0,H9976/F9976,"")</f>
        <v/>
      </c>
      <c r="L9976" s="16">
        <f>IF(AND(G9976&gt;0,H9976&gt;0),G9976/H9976,"")</f>
        <v/>
      </c>
    </row>
    <row r="9977">
      <c r="A9977" s="4" t="inlineStr">
        <is>
          <t>341</t>
        </is>
      </c>
      <c r="B9977" s="4" t="n">
        <v>3</v>
      </c>
      <c r="C9977" s="4" t="inlineStr">
        <is>
          <t>whitetail</t>
        </is>
      </c>
      <c r="D9977" s="4" t="n">
        <v>2021</v>
      </c>
      <c r="E9977" s="4" t="inlineStr"/>
      <c r="F9977" s="5" t="n">
        <v>525</v>
      </c>
      <c r="G9977" s="5" t="n">
        <v>3674</v>
      </c>
      <c r="H9977" s="5" t="n">
        <v>58</v>
      </c>
      <c r="I9977" s="5" t="n">
        <v>24</v>
      </c>
      <c r="J9977" s="5" t="n">
        <v>34</v>
      </c>
      <c r="K9977" s="10">
        <f>IF(F9977&gt;0,H9977/F9977,"")</f>
        <v/>
      </c>
      <c r="L9977" s="16">
        <f>IF(AND(G9977&gt;0,H9977&gt;0),G9977/H9977,"")</f>
        <v/>
      </c>
    </row>
    <row r="9978">
      <c r="A9978" s="4" t="inlineStr">
        <is>
          <t>343</t>
        </is>
      </c>
      <c r="B9978" s="4" t="n">
        <v>3</v>
      </c>
      <c r="C9978" s="4" t="inlineStr">
        <is>
          <t>whitetail</t>
        </is>
      </c>
      <c r="D9978" s="4" t="n">
        <v>2004</v>
      </c>
      <c r="E9978" s="13" t="inlineStr">
        <is>
          <t>General</t>
        </is>
      </c>
      <c r="F9978" s="5" t="n">
        <v>827</v>
      </c>
      <c r="G9978" s="5" t="n">
        <v>5365</v>
      </c>
      <c r="H9978" s="5" t="n">
        <v>68</v>
      </c>
      <c r="I9978" s="5" t="n">
        <v>40</v>
      </c>
      <c r="J9978" s="5" t="n">
        <v>29</v>
      </c>
      <c r="K9978" s="10">
        <f>IF(F9978&gt;0,H9978/F9978,"")</f>
        <v/>
      </c>
      <c r="L9978" s="16">
        <f>IF(AND(G9978&gt;0,H9978&gt;0),G9978/H9978,"")</f>
        <v/>
      </c>
    </row>
    <row r="9979">
      <c r="A9979" s="4" t="inlineStr">
        <is>
          <t>343</t>
        </is>
      </c>
      <c r="B9979" s="4" t="n">
        <v>3</v>
      </c>
      <c r="C9979" s="4" t="inlineStr">
        <is>
          <t>whitetail</t>
        </is>
      </c>
      <c r="D9979" s="4" t="n">
        <v>2005</v>
      </c>
      <c r="E9979" s="13" t="inlineStr">
        <is>
          <t>General</t>
        </is>
      </c>
      <c r="F9979" s="5" t="n">
        <v>784</v>
      </c>
      <c r="G9979" s="5" t="n">
        <v>4941</v>
      </c>
      <c r="H9979" s="5" t="n">
        <v>86</v>
      </c>
      <c r="I9979" s="5" t="n">
        <v>48</v>
      </c>
      <c r="J9979" s="5" t="n">
        <v>39</v>
      </c>
      <c r="K9979" s="10">
        <f>IF(F9979&gt;0,H9979/F9979,"")</f>
        <v/>
      </c>
      <c r="L9979" s="16">
        <f>IF(AND(G9979&gt;0,H9979&gt;0),G9979/H9979,"")</f>
        <v/>
      </c>
    </row>
    <row r="9980">
      <c r="A9980" s="4" t="inlineStr">
        <is>
          <t>343</t>
        </is>
      </c>
      <c r="B9980" s="4" t="n">
        <v>3</v>
      </c>
      <c r="C9980" s="4" t="inlineStr">
        <is>
          <t>whitetail</t>
        </is>
      </c>
      <c r="D9980" s="4" t="n">
        <v>2006</v>
      </c>
      <c r="E9980" s="13" t="inlineStr">
        <is>
          <t>General</t>
        </is>
      </c>
      <c r="F9980" s="5" t="n">
        <v>761</v>
      </c>
      <c r="G9980" s="5" t="n">
        <v>4896</v>
      </c>
      <c r="H9980" s="5" t="n">
        <v>102</v>
      </c>
      <c r="I9980" s="5" t="n">
        <v>51</v>
      </c>
      <c r="J9980" s="5" t="n">
        <v>48</v>
      </c>
      <c r="K9980" s="10">
        <f>IF(F9980&gt;0,H9980/F9980,"")</f>
        <v/>
      </c>
      <c r="L9980" s="16">
        <f>IF(AND(G9980&gt;0,H9980&gt;0),G9980/H9980,"")</f>
        <v/>
      </c>
    </row>
    <row r="9981">
      <c r="A9981" s="4" t="inlineStr">
        <is>
          <t>343</t>
        </is>
      </c>
      <c r="B9981" s="4" t="n">
        <v>3</v>
      </c>
      <c r="C9981" s="4" t="inlineStr">
        <is>
          <t>whitetail</t>
        </is>
      </c>
      <c r="D9981" s="4" t="n">
        <v>2007</v>
      </c>
      <c r="E9981" s="13" t="inlineStr">
        <is>
          <t>General</t>
        </is>
      </c>
      <c r="F9981" s="5" t="n">
        <v>744</v>
      </c>
      <c r="G9981" s="5" t="n">
        <v>4978</v>
      </c>
      <c r="H9981" s="5" t="n">
        <v>81</v>
      </c>
      <c r="I9981" s="5" t="n">
        <v>39</v>
      </c>
      <c r="J9981" s="5" t="n">
        <v>42</v>
      </c>
      <c r="K9981" s="10">
        <f>IF(F9981&gt;0,H9981/F9981,"")</f>
        <v/>
      </c>
      <c r="L9981" s="16">
        <f>IF(AND(G9981&gt;0,H9981&gt;0),G9981/H9981,"")</f>
        <v/>
      </c>
    </row>
    <row r="9982">
      <c r="A9982" s="4" t="inlineStr">
        <is>
          <t>343</t>
        </is>
      </c>
      <c r="B9982" s="4" t="n">
        <v>3</v>
      </c>
      <c r="C9982" s="4" t="inlineStr">
        <is>
          <t>whitetail</t>
        </is>
      </c>
      <c r="D9982" s="4" t="n">
        <v>2008</v>
      </c>
      <c r="E9982" s="13" t="inlineStr">
        <is>
          <t>General</t>
        </is>
      </c>
      <c r="F9982" s="5" t="n">
        <v>878</v>
      </c>
      <c r="G9982" s="5" t="n">
        <v>6165</v>
      </c>
      <c r="H9982" s="5" t="n">
        <v>61</v>
      </c>
      <c r="I9982" s="5" t="n">
        <v>26</v>
      </c>
      <c r="J9982" s="5" t="n">
        <v>35</v>
      </c>
      <c r="K9982" s="10">
        <f>IF(F9982&gt;0,H9982/F9982,"")</f>
        <v/>
      </c>
      <c r="L9982" s="16">
        <f>IF(AND(G9982&gt;0,H9982&gt;0),G9982/H9982,"")</f>
        <v/>
      </c>
    </row>
    <row r="9983">
      <c r="A9983" s="4" t="inlineStr">
        <is>
          <t>343</t>
        </is>
      </c>
      <c r="B9983" s="4" t="n">
        <v>3</v>
      </c>
      <c r="C9983" s="4" t="inlineStr">
        <is>
          <t>whitetail</t>
        </is>
      </c>
      <c r="D9983" s="4" t="n">
        <v>2009</v>
      </c>
      <c r="E9983" s="13" t="inlineStr">
        <is>
          <t>General</t>
        </is>
      </c>
      <c r="F9983" s="5" t="n">
        <v>790</v>
      </c>
      <c r="G9983" s="5" t="n">
        <v>5152</v>
      </c>
      <c r="H9983" s="5" t="n">
        <v>69</v>
      </c>
      <c r="I9983" s="5" t="n">
        <v>36</v>
      </c>
      <c r="J9983" s="5" t="n">
        <v>34</v>
      </c>
      <c r="K9983" s="10">
        <f>IF(F9983&gt;0,H9983/F9983,"")</f>
        <v/>
      </c>
      <c r="L9983" s="16">
        <f>IF(AND(G9983&gt;0,H9983&gt;0),G9983/H9983,"")</f>
        <v/>
      </c>
    </row>
    <row r="9984">
      <c r="A9984" s="4" t="inlineStr">
        <is>
          <t>343</t>
        </is>
      </c>
      <c r="B9984" s="4" t="n">
        <v>3</v>
      </c>
      <c r="C9984" s="4" t="inlineStr">
        <is>
          <t>whitetail</t>
        </is>
      </c>
      <c r="D9984" s="4" t="n">
        <v>2010</v>
      </c>
      <c r="E9984" s="13" t="inlineStr">
        <is>
          <t>General</t>
        </is>
      </c>
      <c r="F9984" s="5" t="n">
        <v>823</v>
      </c>
      <c r="G9984" s="5" t="n">
        <v>5497</v>
      </c>
      <c r="H9984" s="5" t="n">
        <v>77</v>
      </c>
      <c r="I9984" s="5" t="n">
        <v>40</v>
      </c>
      <c r="J9984" s="5" t="n">
        <v>33</v>
      </c>
      <c r="K9984" s="10">
        <f>IF(F9984&gt;0,H9984/F9984,"")</f>
        <v/>
      </c>
      <c r="L9984" s="16">
        <f>IF(AND(G9984&gt;0,H9984&gt;0),G9984/H9984,"")</f>
        <v/>
      </c>
    </row>
    <row r="9985">
      <c r="A9985" s="4" t="inlineStr">
        <is>
          <t>343</t>
        </is>
      </c>
      <c r="B9985" s="4" t="n">
        <v>3</v>
      </c>
      <c r="C9985" s="4" t="inlineStr">
        <is>
          <t>whitetail</t>
        </is>
      </c>
      <c r="D9985" s="4" t="n">
        <v>2011</v>
      </c>
      <c r="E9985" s="13" t="inlineStr">
        <is>
          <t>General</t>
        </is>
      </c>
      <c r="F9985" s="5" t="n">
        <v>946</v>
      </c>
      <c r="G9985" s="5" t="n">
        <v>6691</v>
      </c>
      <c r="H9985" s="5" t="n">
        <v>76</v>
      </c>
      <c r="I9985" s="5" t="n">
        <v>34</v>
      </c>
      <c r="J9985" s="5" t="n">
        <v>38</v>
      </c>
      <c r="K9985" s="10">
        <f>IF(F9985&gt;0,H9985/F9985,"")</f>
        <v/>
      </c>
      <c r="L9985" s="16">
        <f>IF(AND(G9985&gt;0,H9985&gt;0),G9985/H9985,"")</f>
        <v/>
      </c>
    </row>
    <row r="9986">
      <c r="A9986" s="4" t="inlineStr">
        <is>
          <t>343</t>
        </is>
      </c>
      <c r="B9986" s="4" t="n">
        <v>3</v>
      </c>
      <c r="C9986" s="4" t="inlineStr">
        <is>
          <t>whitetail</t>
        </is>
      </c>
      <c r="D9986" s="4" t="n">
        <v>2012</v>
      </c>
      <c r="E9986" s="13" t="inlineStr">
        <is>
          <t>General</t>
        </is>
      </c>
      <c r="F9986" s="5" t="n"/>
      <c r="G9986" s="5" t="n"/>
      <c r="H9986" s="5" t="n">
        <v>74</v>
      </c>
      <c r="I9986" s="5" t="n">
        <v>31</v>
      </c>
      <c r="J9986" s="5" t="n">
        <v>41</v>
      </c>
      <c r="K9986" s="10">
        <f>IF(F9986&gt;0,H9986/F9986,"")</f>
        <v/>
      </c>
      <c r="L9986" s="16">
        <f>IF(AND(G9986&gt;0,H9986&gt;0),G9986/H9986,"")</f>
        <v/>
      </c>
    </row>
    <row r="9987">
      <c r="A9987" s="4" t="inlineStr">
        <is>
          <t>343</t>
        </is>
      </c>
      <c r="B9987" s="4" t="n">
        <v>3</v>
      </c>
      <c r="C9987" s="4" t="inlineStr">
        <is>
          <t>whitetail</t>
        </is>
      </c>
      <c r="D9987" s="4" t="n">
        <v>2013</v>
      </c>
      <c r="E9987" s="13" t="inlineStr">
        <is>
          <t>General</t>
        </is>
      </c>
      <c r="F9987" s="5" t="n">
        <v>739</v>
      </c>
      <c r="G9987" s="5" t="n">
        <v>6240</v>
      </c>
      <c r="H9987" s="5" t="n">
        <v>57</v>
      </c>
      <c r="I9987" s="5" t="n">
        <v>33</v>
      </c>
      <c r="J9987" s="5" t="n">
        <v>24</v>
      </c>
      <c r="K9987" s="10">
        <f>IF(F9987&gt;0,H9987/F9987,"")</f>
        <v/>
      </c>
      <c r="L9987" s="16">
        <f>IF(AND(G9987&gt;0,H9987&gt;0),G9987/H9987,"")</f>
        <v/>
      </c>
    </row>
    <row r="9988">
      <c r="A9988" s="4" t="inlineStr">
        <is>
          <t>343</t>
        </is>
      </c>
      <c r="B9988" s="4" t="n">
        <v>3</v>
      </c>
      <c r="C9988" s="4" t="inlineStr">
        <is>
          <t>whitetail</t>
        </is>
      </c>
      <c r="D9988" s="4" t="n">
        <v>2014</v>
      </c>
      <c r="E9988" s="13" t="inlineStr">
        <is>
          <t>General</t>
        </is>
      </c>
      <c r="F9988" s="5" t="n"/>
      <c r="G9988" s="5" t="n"/>
      <c r="H9988" s="5" t="n">
        <v>48</v>
      </c>
      <c r="I9988" s="5" t="n">
        <v>14</v>
      </c>
      <c r="J9988" s="5" t="n">
        <v>34</v>
      </c>
      <c r="K9988" s="10">
        <f>IF(F9988&gt;0,H9988/F9988,"")</f>
        <v/>
      </c>
      <c r="L9988" s="16">
        <f>IF(AND(G9988&gt;0,H9988&gt;0),G9988/H9988,"")</f>
        <v/>
      </c>
    </row>
    <row r="9989">
      <c r="A9989" s="4" t="inlineStr">
        <is>
          <t>343</t>
        </is>
      </c>
      <c r="B9989" s="4" t="n">
        <v>3</v>
      </c>
      <c r="C9989" s="4" t="inlineStr">
        <is>
          <t>whitetail</t>
        </is>
      </c>
      <c r="D9989" s="4" t="n">
        <v>2015</v>
      </c>
      <c r="E9989" s="13" t="inlineStr">
        <is>
          <t>General</t>
        </is>
      </c>
      <c r="F9989" s="5" t="n"/>
      <c r="G9989" s="5" t="n"/>
      <c r="H9989" s="5" t="n">
        <v>85</v>
      </c>
      <c r="I9989" s="5" t="n">
        <v>40</v>
      </c>
      <c r="J9989" s="5" t="n">
        <v>41</v>
      </c>
      <c r="K9989" s="10">
        <f>IF(F9989&gt;0,H9989/F9989,"")</f>
        <v/>
      </c>
      <c r="L9989" s="16">
        <f>IF(AND(G9989&gt;0,H9989&gt;0),G9989/H9989,"")</f>
        <v/>
      </c>
    </row>
    <row r="9990">
      <c r="A9990" s="4" t="inlineStr">
        <is>
          <t>343</t>
        </is>
      </c>
      <c r="B9990" s="4" t="n">
        <v>3</v>
      </c>
      <c r="C9990" s="4" t="inlineStr">
        <is>
          <t>whitetail</t>
        </is>
      </c>
      <c r="D9990" s="4" t="n">
        <v>2016</v>
      </c>
      <c r="E9990" s="13" t="inlineStr">
        <is>
          <t>General</t>
        </is>
      </c>
      <c r="F9990" s="5" t="n"/>
      <c r="G9990" s="5" t="n"/>
      <c r="H9990" s="5" t="n">
        <v>55</v>
      </c>
      <c r="I9990" s="5" t="n">
        <v>30</v>
      </c>
      <c r="J9990" s="5" t="n">
        <v>26</v>
      </c>
      <c r="K9990" s="10">
        <f>IF(F9990&gt;0,H9990/F9990,"")</f>
        <v/>
      </c>
      <c r="L9990" s="16">
        <f>IF(AND(G9990&gt;0,H9990&gt;0),G9990/H9990,"")</f>
        <v/>
      </c>
    </row>
    <row r="9991">
      <c r="A9991" s="4" t="inlineStr">
        <is>
          <t>343</t>
        </is>
      </c>
      <c r="B9991" s="4" t="n">
        <v>3</v>
      </c>
      <c r="C9991" s="4" t="inlineStr">
        <is>
          <t>whitetail</t>
        </is>
      </c>
      <c r="D9991" s="4" t="n">
        <v>2017</v>
      </c>
      <c r="E9991" s="13" t="inlineStr">
        <is>
          <t>General</t>
        </is>
      </c>
      <c r="F9991" s="5" t="n">
        <v>571</v>
      </c>
      <c r="G9991" s="5" t="n">
        <v>4352</v>
      </c>
      <c r="H9991" s="5" t="n">
        <v>86</v>
      </c>
      <c r="I9991" s="5" t="n">
        <v>33</v>
      </c>
      <c r="J9991" s="5" t="n">
        <v>50</v>
      </c>
      <c r="K9991" s="10">
        <f>IF(F9991&gt;0,H9991/F9991,"")</f>
        <v/>
      </c>
      <c r="L9991" s="16">
        <f>IF(AND(G9991&gt;0,H9991&gt;0),G9991/H9991,"")</f>
        <v/>
      </c>
    </row>
    <row r="9992">
      <c r="A9992" s="4" t="inlineStr">
        <is>
          <t>343</t>
        </is>
      </c>
      <c r="B9992" s="4" t="n">
        <v>3</v>
      </c>
      <c r="C9992" s="4" t="inlineStr">
        <is>
          <t>whitetail</t>
        </is>
      </c>
      <c r="D9992" s="4" t="n">
        <v>2018</v>
      </c>
      <c r="E9992" s="13" t="inlineStr">
        <is>
          <t>General</t>
        </is>
      </c>
      <c r="F9992" s="5" t="n"/>
      <c r="G9992" s="5" t="n"/>
      <c r="H9992" s="5" t="n">
        <v>31</v>
      </c>
      <c r="I9992" s="5" t="n">
        <v>16</v>
      </c>
      <c r="J9992" s="5" t="n">
        <v>15</v>
      </c>
      <c r="K9992" s="10">
        <f>IF(F9992&gt;0,H9992/F9992,"")</f>
        <v/>
      </c>
      <c r="L9992" s="16">
        <f>IF(AND(G9992&gt;0,H9992&gt;0),G9992/H9992,"")</f>
        <v/>
      </c>
    </row>
    <row r="9993">
      <c r="A9993" s="4" t="inlineStr">
        <is>
          <t>343</t>
        </is>
      </c>
      <c r="B9993" s="4" t="n">
        <v>3</v>
      </c>
      <c r="C9993" s="4" t="inlineStr">
        <is>
          <t>whitetail</t>
        </is>
      </c>
      <c r="D9993" s="4" t="n">
        <v>2019</v>
      </c>
      <c r="E9993" s="13" t="inlineStr">
        <is>
          <t>General</t>
        </is>
      </c>
      <c r="F9993" s="5" t="n">
        <v>831</v>
      </c>
      <c r="G9993" s="5" t="n">
        <v>6473</v>
      </c>
      <c r="H9993" s="5" t="n">
        <v>33</v>
      </c>
      <c r="I9993" s="5" t="n">
        <v>20</v>
      </c>
      <c r="J9993" s="5" t="n">
        <v>13</v>
      </c>
      <c r="K9993" s="10">
        <f>IF(F9993&gt;0,H9993/F9993,"")</f>
        <v/>
      </c>
      <c r="L9993" s="16">
        <f>IF(AND(G9993&gt;0,H9993&gt;0),G9993/H9993,"")</f>
        <v/>
      </c>
    </row>
    <row r="9994">
      <c r="A9994" s="4" t="inlineStr">
        <is>
          <t>343</t>
        </is>
      </c>
      <c r="B9994" s="4" t="n">
        <v>3</v>
      </c>
      <c r="C9994" s="4" t="inlineStr">
        <is>
          <t>whitetail</t>
        </is>
      </c>
      <c r="D9994" s="4" t="n">
        <v>2020</v>
      </c>
      <c r="E9994" s="13" t="inlineStr">
        <is>
          <t>General</t>
        </is>
      </c>
      <c r="F9994" s="5" t="n"/>
      <c r="G9994" s="5" t="n"/>
      <c r="H9994" s="5" t="n">
        <v>67</v>
      </c>
      <c r="I9994" s="5" t="n">
        <v>30</v>
      </c>
      <c r="J9994" s="5" t="n">
        <v>37</v>
      </c>
      <c r="K9994" s="10">
        <f>IF(F9994&gt;0,H9994/F9994,"")</f>
        <v/>
      </c>
      <c r="L9994" s="16">
        <f>IF(AND(G9994&gt;0,H9994&gt;0),G9994/H9994,"")</f>
        <v/>
      </c>
    </row>
    <row r="9995">
      <c r="A9995" s="4" t="inlineStr">
        <is>
          <t>343</t>
        </is>
      </c>
      <c r="B9995" s="4" t="n">
        <v>3</v>
      </c>
      <c r="C9995" s="4" t="inlineStr">
        <is>
          <t>whitetail</t>
        </is>
      </c>
      <c r="D9995" s="4" t="n">
        <v>2021</v>
      </c>
      <c r="E9995" s="13" t="inlineStr">
        <is>
          <t>General</t>
        </is>
      </c>
      <c r="F9995" s="5" t="n">
        <v>826</v>
      </c>
      <c r="G9995" s="5" t="n">
        <v>5774</v>
      </c>
      <c r="H9995" s="5" t="n">
        <v>50</v>
      </c>
      <c r="I9995" s="5" t="n">
        <v>35</v>
      </c>
      <c r="J9995" s="5" t="n">
        <v>15</v>
      </c>
      <c r="K9995" s="10">
        <f>IF(F9995&gt;0,H9995/F9995,"")</f>
        <v/>
      </c>
      <c r="L9995" s="16">
        <f>IF(AND(G9995&gt;0,H9995&gt;0),G9995/H9995,"")</f>
        <v/>
      </c>
    </row>
    <row r="9996">
      <c r="A9996" s="4" t="inlineStr">
        <is>
          <t>343</t>
        </is>
      </c>
      <c r="B9996" s="4" t="n">
        <v>3</v>
      </c>
      <c r="C9996" s="4" t="inlineStr">
        <is>
          <t>whitetail</t>
        </is>
      </c>
      <c r="D9996" s="4" t="n">
        <v>2022</v>
      </c>
      <c r="E9996" s="13" t="inlineStr">
        <is>
          <t>General</t>
        </is>
      </c>
      <c r="F9996" s="5" t="n"/>
      <c r="G9996" s="5" t="n"/>
      <c r="H9996" s="5" t="n">
        <v>54</v>
      </c>
      <c r="I9996" s="5" t="n">
        <v>36</v>
      </c>
      <c r="J9996" s="5" t="n">
        <v>19</v>
      </c>
      <c r="K9996" s="10">
        <f>IF(F9996&gt;0,H9996/F9996,"")</f>
        <v/>
      </c>
      <c r="L9996" s="16">
        <f>IF(AND(G9996&gt;0,H9996&gt;0),G9996/H9996,"")</f>
        <v/>
      </c>
    </row>
    <row r="9997">
      <c r="A9997" s="4" t="inlineStr">
        <is>
          <t>343</t>
        </is>
      </c>
      <c r="B9997" s="4" t="n">
        <v>3</v>
      </c>
      <c r="C9997" s="4" t="inlineStr">
        <is>
          <t>whitetail</t>
        </is>
      </c>
      <c r="D9997" s="4" t="n">
        <v>2023</v>
      </c>
      <c r="E9997" s="13" t="inlineStr">
        <is>
          <t>General</t>
        </is>
      </c>
      <c r="F9997" s="5" t="n">
        <v>949</v>
      </c>
      <c r="G9997" s="5" t="n">
        <v>6944</v>
      </c>
      <c r="H9997" s="5" t="n">
        <v>66</v>
      </c>
      <c r="I9997" s="5" t="n">
        <v>40</v>
      </c>
      <c r="J9997" s="5" t="n">
        <v>26</v>
      </c>
      <c r="K9997" s="10">
        <f>IF(F9997&gt;0,H9997/F9997,"")</f>
        <v/>
      </c>
      <c r="L9997" s="16">
        <f>IF(AND(G9997&gt;0,H9997&gt;0),G9997/H9997,"")</f>
        <v/>
      </c>
    </row>
    <row r="9998">
      <c r="A9998" s="4" t="inlineStr">
        <is>
          <t>343</t>
        </is>
      </c>
      <c r="B9998" s="4" t="n">
        <v>3</v>
      </c>
      <c r="C9998" s="4" t="inlineStr">
        <is>
          <t>whitetail</t>
        </is>
      </c>
      <c r="D9998" s="4" t="n">
        <v>2024</v>
      </c>
      <c r="E9998" s="13" t="inlineStr">
        <is>
          <t>General</t>
        </is>
      </c>
      <c r="F9998" s="5" t="n"/>
      <c r="G9998" s="5" t="n"/>
      <c r="H9998" s="5" t="n">
        <v>57</v>
      </c>
      <c r="I9998" s="5" t="n">
        <v>24</v>
      </c>
      <c r="J9998" s="5" t="n">
        <v>32</v>
      </c>
      <c r="K9998" s="10">
        <f>IF(F9998&gt;0,H9998/F9998,"")</f>
        <v/>
      </c>
      <c r="L9998" s="16">
        <f>IF(AND(G9998&gt;0,H9998&gt;0),G9998/H9998,"")</f>
        <v/>
      </c>
    </row>
    <row r="9999">
      <c r="A9999" s="4" t="inlineStr">
        <is>
          <t>343</t>
        </is>
      </c>
      <c r="B9999" s="4" t="n">
        <v>3</v>
      </c>
      <c r="C9999" s="4" t="inlineStr">
        <is>
          <t>whitetail</t>
        </is>
      </c>
      <c r="D9999" s="4" t="n">
        <v>2025</v>
      </c>
      <c r="E9999" s="13" t="inlineStr">
        <is>
          <t>General</t>
        </is>
      </c>
      <c r="F9999" s="5" t="n">
        <v>1112</v>
      </c>
      <c r="G9999" s="5" t="n">
        <v>7733</v>
      </c>
      <c r="H9999" s="5" t="n">
        <v>52</v>
      </c>
      <c r="I9999" s="5" t="n">
        <v>37</v>
      </c>
      <c r="J9999" s="5" t="n">
        <v>15</v>
      </c>
      <c r="K9999" s="10">
        <f>IF(F9999&gt;0,H9999/F9999,"")</f>
        <v/>
      </c>
      <c r="L9999" s="16">
        <f>IF(AND(G9999&gt;0,H9999&gt;0),G9999/H9999,"")</f>
        <v/>
      </c>
    </row>
    <row r="10000">
      <c r="A10000" s="4" t="inlineStr">
        <is>
          <t>350</t>
        </is>
      </c>
      <c r="B10000" s="4" t="n">
        <v>3</v>
      </c>
      <c r="C10000" s="4" t="inlineStr">
        <is>
          <t>whitetail</t>
        </is>
      </c>
      <c r="D10000" s="4" t="n">
        <v>2004</v>
      </c>
      <c r="E10000" s="13" t="inlineStr">
        <is>
          <t>General</t>
        </is>
      </c>
      <c r="F10000" s="5" t="n">
        <v>531</v>
      </c>
      <c r="G10000" s="5" t="n">
        <v>3879</v>
      </c>
      <c r="H10000" s="5" t="n">
        <v>38</v>
      </c>
      <c r="I10000" s="5" t="n">
        <v>19</v>
      </c>
      <c r="J10000" s="5" t="n">
        <v>18</v>
      </c>
      <c r="K10000" s="10">
        <f>IF(F10000&gt;0,H10000/F10000,"")</f>
        <v/>
      </c>
      <c r="L10000" s="16">
        <f>IF(AND(G10000&gt;0,H10000&gt;0),G10000/H10000,"")</f>
        <v/>
      </c>
    </row>
    <row r="10001">
      <c r="A10001" s="4" t="inlineStr">
        <is>
          <t>350</t>
        </is>
      </c>
      <c r="B10001" s="4" t="n">
        <v>3</v>
      </c>
      <c r="C10001" s="4" t="inlineStr">
        <is>
          <t>whitetail</t>
        </is>
      </c>
      <c r="D10001" s="4" t="n">
        <v>2005</v>
      </c>
      <c r="E10001" s="13" t="inlineStr">
        <is>
          <t>General</t>
        </is>
      </c>
      <c r="F10001" s="5" t="n">
        <v>572</v>
      </c>
      <c r="G10001" s="5" t="n">
        <v>4254</v>
      </c>
      <c r="H10001" s="5" t="n">
        <v>65</v>
      </c>
      <c r="I10001" s="5" t="n">
        <v>42</v>
      </c>
      <c r="J10001" s="5" t="n">
        <v>24</v>
      </c>
      <c r="K10001" s="10">
        <f>IF(F10001&gt;0,H10001/F10001,"")</f>
        <v/>
      </c>
      <c r="L10001" s="16">
        <f>IF(AND(G10001&gt;0,H10001&gt;0),G10001/H10001,"")</f>
        <v/>
      </c>
    </row>
    <row r="10002">
      <c r="A10002" s="4" t="inlineStr">
        <is>
          <t>350</t>
        </is>
      </c>
      <c r="B10002" s="4" t="n">
        <v>3</v>
      </c>
      <c r="C10002" s="4" t="inlineStr">
        <is>
          <t>whitetail</t>
        </is>
      </c>
      <c r="D10002" s="4" t="n">
        <v>2006</v>
      </c>
      <c r="E10002" s="13" t="inlineStr">
        <is>
          <t>General</t>
        </is>
      </c>
      <c r="F10002" s="5" t="n">
        <v>586</v>
      </c>
      <c r="G10002" s="5" t="n">
        <v>3874</v>
      </c>
      <c r="H10002" s="5" t="n">
        <v>54</v>
      </c>
      <c r="I10002" s="5" t="n">
        <v>36</v>
      </c>
      <c r="J10002" s="5" t="n">
        <v>15</v>
      </c>
      <c r="K10002" s="10">
        <f>IF(F10002&gt;0,H10002/F10002,"")</f>
        <v/>
      </c>
      <c r="L10002" s="16">
        <f>IF(AND(G10002&gt;0,H10002&gt;0),G10002/H10002,"")</f>
        <v/>
      </c>
    </row>
    <row r="10003">
      <c r="A10003" s="4" t="inlineStr">
        <is>
          <t>350</t>
        </is>
      </c>
      <c r="B10003" s="4" t="n">
        <v>3</v>
      </c>
      <c r="C10003" s="4" t="inlineStr">
        <is>
          <t>whitetail</t>
        </is>
      </c>
      <c r="D10003" s="4" t="n">
        <v>2007</v>
      </c>
      <c r="E10003" s="13" t="inlineStr">
        <is>
          <t>General</t>
        </is>
      </c>
      <c r="F10003" s="5" t="n">
        <v>677</v>
      </c>
      <c r="G10003" s="5" t="n">
        <v>4857</v>
      </c>
      <c r="H10003" s="5" t="n">
        <v>42</v>
      </c>
      <c r="I10003" s="5" t="n">
        <v>27</v>
      </c>
      <c r="J10003" s="5" t="n">
        <v>15</v>
      </c>
      <c r="K10003" s="10">
        <f>IF(F10003&gt;0,H10003/F10003,"")</f>
        <v/>
      </c>
      <c r="L10003" s="16">
        <f>IF(AND(G10003&gt;0,H10003&gt;0),G10003/H10003,"")</f>
        <v/>
      </c>
    </row>
    <row r="10004">
      <c r="A10004" s="4" t="inlineStr">
        <is>
          <t>350</t>
        </is>
      </c>
      <c r="B10004" s="4" t="n">
        <v>3</v>
      </c>
      <c r="C10004" s="4" t="inlineStr">
        <is>
          <t>whitetail</t>
        </is>
      </c>
      <c r="D10004" s="4" t="n">
        <v>2008</v>
      </c>
      <c r="E10004" s="13" t="inlineStr">
        <is>
          <t>General</t>
        </is>
      </c>
      <c r="F10004" s="5" t="n">
        <v>670</v>
      </c>
      <c r="G10004" s="5" t="n">
        <v>4972</v>
      </c>
      <c r="H10004" s="5" t="n">
        <v>56</v>
      </c>
      <c r="I10004" s="5" t="n">
        <v>28</v>
      </c>
      <c r="J10004" s="5" t="n">
        <v>28</v>
      </c>
      <c r="K10004" s="10">
        <f>IF(F10004&gt;0,H10004/F10004,"")</f>
        <v/>
      </c>
      <c r="L10004" s="16">
        <f>IF(AND(G10004&gt;0,H10004&gt;0),G10004/H10004,"")</f>
        <v/>
      </c>
    </row>
    <row r="10005">
      <c r="A10005" s="4" t="inlineStr">
        <is>
          <t>350</t>
        </is>
      </c>
      <c r="B10005" s="4" t="n">
        <v>3</v>
      </c>
      <c r="C10005" s="4" t="inlineStr">
        <is>
          <t>whitetail</t>
        </is>
      </c>
      <c r="D10005" s="4" t="n">
        <v>2009</v>
      </c>
      <c r="E10005" s="13" t="inlineStr">
        <is>
          <t>General</t>
        </is>
      </c>
      <c r="F10005" s="5" t="n">
        <v>667</v>
      </c>
      <c r="G10005" s="5" t="n">
        <v>4314</v>
      </c>
      <c r="H10005" s="5" t="n">
        <v>41</v>
      </c>
      <c r="I10005" s="5" t="n">
        <v>21</v>
      </c>
      <c r="J10005" s="5" t="n">
        <v>21</v>
      </c>
      <c r="K10005" s="10">
        <f>IF(F10005&gt;0,H10005/F10005,"")</f>
        <v/>
      </c>
      <c r="L10005" s="16">
        <f>IF(AND(G10005&gt;0,H10005&gt;0),G10005/H10005,"")</f>
        <v/>
      </c>
    </row>
    <row r="10006">
      <c r="A10006" s="4" t="inlineStr">
        <is>
          <t>350</t>
        </is>
      </c>
      <c r="B10006" s="4" t="n">
        <v>3</v>
      </c>
      <c r="C10006" s="4" t="inlineStr">
        <is>
          <t>whitetail</t>
        </is>
      </c>
      <c r="D10006" s="4" t="n">
        <v>2010</v>
      </c>
      <c r="E10006" s="13" t="inlineStr">
        <is>
          <t>General</t>
        </is>
      </c>
      <c r="F10006" s="5" t="n">
        <v>818</v>
      </c>
      <c r="G10006" s="5" t="n">
        <v>5709</v>
      </c>
      <c r="H10006" s="5" t="n">
        <v>74</v>
      </c>
      <c r="I10006" s="5" t="n">
        <v>42</v>
      </c>
      <c r="J10006" s="5" t="n">
        <v>31</v>
      </c>
      <c r="K10006" s="10">
        <f>IF(F10006&gt;0,H10006/F10006,"")</f>
        <v/>
      </c>
      <c r="L10006" s="16">
        <f>IF(AND(G10006&gt;0,H10006&gt;0),G10006/H10006,"")</f>
        <v/>
      </c>
    </row>
    <row r="10007">
      <c r="A10007" s="4" t="inlineStr">
        <is>
          <t>350</t>
        </is>
      </c>
      <c r="B10007" s="4" t="n">
        <v>3</v>
      </c>
      <c r="C10007" s="4" t="inlineStr">
        <is>
          <t>whitetail</t>
        </is>
      </c>
      <c r="D10007" s="4" t="n">
        <v>2011</v>
      </c>
      <c r="E10007" s="13" t="inlineStr">
        <is>
          <t>General</t>
        </is>
      </c>
      <c r="F10007" s="5" t="n">
        <v>823</v>
      </c>
      <c r="G10007" s="5" t="n">
        <v>5346</v>
      </c>
      <c r="H10007" s="5" t="n">
        <v>40</v>
      </c>
      <c r="I10007" s="5" t="n">
        <v>17</v>
      </c>
      <c r="J10007" s="5" t="n">
        <v>23</v>
      </c>
      <c r="K10007" s="10">
        <f>IF(F10007&gt;0,H10007/F10007,"")</f>
        <v/>
      </c>
      <c r="L10007" s="16">
        <f>IF(AND(G10007&gt;0,H10007&gt;0),G10007/H10007,"")</f>
        <v/>
      </c>
    </row>
    <row r="10008">
      <c r="A10008" s="4" t="inlineStr">
        <is>
          <t>350</t>
        </is>
      </c>
      <c r="B10008" s="4" t="n">
        <v>3</v>
      </c>
      <c r="C10008" s="4" t="inlineStr">
        <is>
          <t>whitetail</t>
        </is>
      </c>
      <c r="D10008" s="4" t="n">
        <v>2012</v>
      </c>
      <c r="E10008" s="13" t="inlineStr">
        <is>
          <t>General</t>
        </is>
      </c>
      <c r="F10008" s="5" t="n"/>
      <c r="G10008" s="5" t="n"/>
      <c r="H10008" s="5" t="n">
        <v>71</v>
      </c>
      <c r="I10008" s="5" t="n">
        <v>33</v>
      </c>
      <c r="J10008" s="5" t="n">
        <v>38</v>
      </c>
      <c r="K10008" s="10">
        <f>IF(F10008&gt;0,H10008/F10008,"")</f>
        <v/>
      </c>
      <c r="L10008" s="16">
        <f>IF(AND(G10008&gt;0,H10008&gt;0),G10008/H10008,"")</f>
        <v/>
      </c>
    </row>
    <row r="10009">
      <c r="A10009" s="4" t="inlineStr">
        <is>
          <t>350</t>
        </is>
      </c>
      <c r="B10009" s="4" t="n">
        <v>3</v>
      </c>
      <c r="C10009" s="4" t="inlineStr">
        <is>
          <t>whitetail</t>
        </is>
      </c>
      <c r="D10009" s="4" t="n">
        <v>2013</v>
      </c>
      <c r="E10009" s="13" t="inlineStr">
        <is>
          <t>General</t>
        </is>
      </c>
      <c r="F10009" s="5" t="n">
        <v>919</v>
      </c>
      <c r="G10009" s="5" t="n">
        <v>6900</v>
      </c>
      <c r="H10009" s="5" t="n">
        <v>51</v>
      </c>
      <c r="I10009" s="5" t="n">
        <v>17</v>
      </c>
      <c r="J10009" s="5" t="n">
        <v>31</v>
      </c>
      <c r="K10009" s="10">
        <f>IF(F10009&gt;0,H10009/F10009,"")</f>
        <v/>
      </c>
      <c r="L10009" s="16">
        <f>IF(AND(G10009&gt;0,H10009&gt;0),G10009/H10009,"")</f>
        <v/>
      </c>
    </row>
    <row r="10010">
      <c r="A10010" s="4" t="inlineStr">
        <is>
          <t>350</t>
        </is>
      </c>
      <c r="B10010" s="4" t="n">
        <v>3</v>
      </c>
      <c r="C10010" s="4" t="inlineStr">
        <is>
          <t>whitetail</t>
        </is>
      </c>
      <c r="D10010" s="4" t="n">
        <v>2014</v>
      </c>
      <c r="E10010" s="13" t="inlineStr">
        <is>
          <t>General</t>
        </is>
      </c>
      <c r="F10010" s="5" t="n"/>
      <c r="G10010" s="5" t="n"/>
      <c r="H10010" s="5" t="n">
        <v>27</v>
      </c>
      <c r="I10010" s="5" t="n">
        <v>14</v>
      </c>
      <c r="J10010" s="5" t="n">
        <v>13</v>
      </c>
      <c r="K10010" s="10">
        <f>IF(F10010&gt;0,H10010/F10010,"")</f>
        <v/>
      </c>
      <c r="L10010" s="16">
        <f>IF(AND(G10010&gt;0,H10010&gt;0),G10010/H10010,"")</f>
        <v/>
      </c>
    </row>
    <row r="10011">
      <c r="A10011" s="4" t="inlineStr">
        <is>
          <t>350</t>
        </is>
      </c>
      <c r="B10011" s="4" t="n">
        <v>3</v>
      </c>
      <c r="C10011" s="4" t="inlineStr">
        <is>
          <t>whitetail</t>
        </is>
      </c>
      <c r="D10011" s="4" t="n">
        <v>2015</v>
      </c>
      <c r="E10011" s="13" t="inlineStr">
        <is>
          <t>General</t>
        </is>
      </c>
      <c r="F10011" s="5" t="n"/>
      <c r="G10011" s="5" t="n"/>
      <c r="H10011" s="5" t="n">
        <v>57</v>
      </c>
      <c r="I10011" s="5" t="n">
        <v>39</v>
      </c>
      <c r="J10011" s="5" t="n">
        <v>18</v>
      </c>
      <c r="K10011" s="10">
        <f>IF(F10011&gt;0,H10011/F10011,"")</f>
        <v/>
      </c>
      <c r="L10011" s="16">
        <f>IF(AND(G10011&gt;0,H10011&gt;0),G10011/H10011,"")</f>
        <v/>
      </c>
    </row>
    <row r="10012">
      <c r="A10012" s="4" t="inlineStr">
        <is>
          <t>350</t>
        </is>
      </c>
      <c r="B10012" s="4" t="n">
        <v>3</v>
      </c>
      <c r="C10012" s="4" t="inlineStr">
        <is>
          <t>whitetail</t>
        </is>
      </c>
      <c r="D10012" s="4" t="n">
        <v>2016</v>
      </c>
      <c r="E10012" s="13" t="inlineStr">
        <is>
          <t>General</t>
        </is>
      </c>
      <c r="F10012" s="5" t="n"/>
      <c r="G10012" s="5" t="n"/>
      <c r="H10012" s="5" t="n">
        <v>52</v>
      </c>
      <c r="I10012" s="5" t="n">
        <v>27</v>
      </c>
      <c r="J10012" s="5" t="n">
        <v>25</v>
      </c>
      <c r="K10012" s="10">
        <f>IF(F10012&gt;0,H10012/F10012,"")</f>
        <v/>
      </c>
      <c r="L10012" s="16">
        <f>IF(AND(G10012&gt;0,H10012&gt;0),G10012/H10012,"")</f>
        <v/>
      </c>
    </row>
    <row r="10013">
      <c r="A10013" s="4" t="inlineStr">
        <is>
          <t>350</t>
        </is>
      </c>
      <c r="B10013" s="4" t="n">
        <v>3</v>
      </c>
      <c r="C10013" s="4" t="inlineStr">
        <is>
          <t>whitetail</t>
        </is>
      </c>
      <c r="D10013" s="4" t="n">
        <v>2017</v>
      </c>
      <c r="E10013" s="13" t="inlineStr">
        <is>
          <t>General</t>
        </is>
      </c>
      <c r="F10013" s="5" t="n">
        <v>932</v>
      </c>
      <c r="G10013" s="5" t="n">
        <v>5956</v>
      </c>
      <c r="H10013" s="5" t="n">
        <v>87</v>
      </c>
      <c r="I10013" s="5" t="n">
        <v>27</v>
      </c>
      <c r="J10013" s="5" t="n">
        <v>60</v>
      </c>
      <c r="K10013" s="10">
        <f>IF(F10013&gt;0,H10013/F10013,"")</f>
        <v/>
      </c>
      <c r="L10013" s="16">
        <f>IF(AND(G10013&gt;0,H10013&gt;0),G10013/H10013,"")</f>
        <v/>
      </c>
    </row>
    <row r="10014">
      <c r="A10014" s="4" t="inlineStr">
        <is>
          <t>350</t>
        </is>
      </c>
      <c r="B10014" s="4" t="n">
        <v>3</v>
      </c>
      <c r="C10014" s="4" t="inlineStr">
        <is>
          <t>whitetail</t>
        </is>
      </c>
      <c r="D10014" s="4" t="n">
        <v>2018</v>
      </c>
      <c r="E10014" s="13" t="inlineStr">
        <is>
          <t>General</t>
        </is>
      </c>
      <c r="F10014" s="5" t="n"/>
      <c r="G10014" s="5" t="n"/>
      <c r="H10014" s="5" t="n">
        <v>52</v>
      </c>
      <c r="I10014" s="5" t="n">
        <v>29</v>
      </c>
      <c r="J10014" s="5" t="n">
        <v>22</v>
      </c>
      <c r="K10014" s="10">
        <f>IF(F10014&gt;0,H10014/F10014,"")</f>
        <v/>
      </c>
      <c r="L10014" s="16">
        <f>IF(AND(G10014&gt;0,H10014&gt;0),G10014/H10014,"")</f>
        <v/>
      </c>
    </row>
    <row r="10015">
      <c r="A10015" s="4" t="inlineStr">
        <is>
          <t>350</t>
        </is>
      </c>
      <c r="B10015" s="4" t="n">
        <v>3</v>
      </c>
      <c r="C10015" s="4" t="inlineStr">
        <is>
          <t>whitetail</t>
        </is>
      </c>
      <c r="D10015" s="4" t="n">
        <v>2019</v>
      </c>
      <c r="E10015" s="13" t="inlineStr">
        <is>
          <t>General</t>
        </is>
      </c>
      <c r="F10015" s="5" t="n">
        <v>764</v>
      </c>
      <c r="G10015" s="5" t="n">
        <v>4762</v>
      </c>
      <c r="H10015" s="5" t="n">
        <v>50</v>
      </c>
      <c r="I10015" s="5" t="n">
        <v>33</v>
      </c>
      <c r="J10015" s="5" t="n">
        <v>17</v>
      </c>
      <c r="K10015" s="10">
        <f>IF(F10015&gt;0,H10015/F10015,"")</f>
        <v/>
      </c>
      <c r="L10015" s="16">
        <f>IF(AND(G10015&gt;0,H10015&gt;0),G10015/H10015,"")</f>
        <v/>
      </c>
    </row>
    <row r="10016">
      <c r="A10016" s="4" t="inlineStr">
        <is>
          <t>350</t>
        </is>
      </c>
      <c r="B10016" s="4" t="n">
        <v>3</v>
      </c>
      <c r="C10016" s="4" t="inlineStr">
        <is>
          <t>whitetail</t>
        </is>
      </c>
      <c r="D10016" s="4" t="n">
        <v>2020</v>
      </c>
      <c r="E10016" s="13" t="inlineStr">
        <is>
          <t>General</t>
        </is>
      </c>
      <c r="F10016" s="5" t="n"/>
      <c r="G10016" s="5" t="n"/>
      <c r="H10016" s="5" t="n">
        <v>10</v>
      </c>
      <c r="I10016" s="5" t="n">
        <v>0</v>
      </c>
      <c r="J10016" s="5" t="n">
        <v>10</v>
      </c>
      <c r="K10016" s="10">
        <f>IF(F10016&gt;0,H10016/F10016,"")</f>
        <v/>
      </c>
      <c r="L10016" s="16">
        <f>IF(AND(G10016&gt;0,H10016&gt;0),G10016/H10016,"")</f>
        <v/>
      </c>
    </row>
    <row r="10017">
      <c r="A10017" s="4" t="inlineStr">
        <is>
          <t>350</t>
        </is>
      </c>
      <c r="B10017" s="4" t="n">
        <v>3</v>
      </c>
      <c r="C10017" s="4" t="inlineStr">
        <is>
          <t>whitetail</t>
        </is>
      </c>
      <c r="D10017" s="4" t="n">
        <v>2021</v>
      </c>
      <c r="E10017" s="13" t="inlineStr">
        <is>
          <t>General</t>
        </is>
      </c>
      <c r="F10017" s="5" t="n">
        <v>586</v>
      </c>
      <c r="G10017" s="5" t="n">
        <v>4076</v>
      </c>
      <c r="H10017" s="5" t="n">
        <v>29</v>
      </c>
      <c r="I10017" s="5" t="n">
        <v>16</v>
      </c>
      <c r="J10017" s="5" t="n">
        <v>13</v>
      </c>
      <c r="K10017" s="10">
        <f>IF(F10017&gt;0,H10017/F10017,"")</f>
        <v/>
      </c>
      <c r="L10017" s="16">
        <f>IF(AND(G10017&gt;0,H10017&gt;0),G10017/H10017,"")</f>
        <v/>
      </c>
    </row>
    <row r="10018">
      <c r="A10018" s="4" t="inlineStr">
        <is>
          <t>350</t>
        </is>
      </c>
      <c r="B10018" s="4" t="n">
        <v>3</v>
      </c>
      <c r="C10018" s="4" t="inlineStr">
        <is>
          <t>whitetail</t>
        </is>
      </c>
      <c r="D10018" s="4" t="n">
        <v>2022</v>
      </c>
      <c r="E10018" s="13" t="inlineStr">
        <is>
          <t>General</t>
        </is>
      </c>
      <c r="F10018" s="5" t="n"/>
      <c r="G10018" s="5" t="n"/>
      <c r="H10018" s="5" t="n">
        <v>55</v>
      </c>
      <c r="I10018" s="5" t="n">
        <v>30</v>
      </c>
      <c r="J10018" s="5" t="n">
        <v>25</v>
      </c>
      <c r="K10018" s="10">
        <f>IF(F10018&gt;0,H10018/F10018,"")</f>
        <v/>
      </c>
      <c r="L10018" s="16">
        <f>IF(AND(G10018&gt;0,H10018&gt;0),G10018/H10018,"")</f>
        <v/>
      </c>
    </row>
    <row r="10019">
      <c r="A10019" s="4" t="inlineStr">
        <is>
          <t>350</t>
        </is>
      </c>
      <c r="B10019" s="4" t="n">
        <v>3</v>
      </c>
      <c r="C10019" s="4" t="inlineStr">
        <is>
          <t>whitetail</t>
        </is>
      </c>
      <c r="D10019" s="4" t="n">
        <v>2023</v>
      </c>
      <c r="E10019" s="13" t="inlineStr">
        <is>
          <t>General</t>
        </is>
      </c>
      <c r="F10019" s="5" t="n">
        <v>717</v>
      </c>
      <c r="G10019" s="5" t="n">
        <v>5179</v>
      </c>
      <c r="H10019" s="5" t="n">
        <v>50</v>
      </c>
      <c r="I10019" s="5" t="n">
        <v>29</v>
      </c>
      <c r="J10019" s="5" t="n">
        <v>21</v>
      </c>
      <c r="K10019" s="10">
        <f>IF(F10019&gt;0,H10019/F10019,"")</f>
        <v/>
      </c>
      <c r="L10019" s="16">
        <f>IF(AND(G10019&gt;0,H10019&gt;0),G10019/H10019,"")</f>
        <v/>
      </c>
    </row>
    <row r="10020">
      <c r="A10020" s="4" t="inlineStr">
        <is>
          <t>350</t>
        </is>
      </c>
      <c r="B10020" s="4" t="n">
        <v>3</v>
      </c>
      <c r="C10020" s="4" t="inlineStr">
        <is>
          <t>whitetail</t>
        </is>
      </c>
      <c r="D10020" s="4" t="n">
        <v>2024</v>
      </c>
      <c r="E10020" s="13" t="inlineStr">
        <is>
          <t>General</t>
        </is>
      </c>
      <c r="F10020" s="5" t="n"/>
      <c r="G10020" s="5" t="n"/>
      <c r="H10020" s="5" t="n">
        <v>74</v>
      </c>
      <c r="I10020" s="5" t="n">
        <v>42</v>
      </c>
      <c r="J10020" s="5" t="n">
        <v>31</v>
      </c>
      <c r="K10020" s="10">
        <f>IF(F10020&gt;0,H10020/F10020,"")</f>
        <v/>
      </c>
      <c r="L10020" s="16">
        <f>IF(AND(G10020&gt;0,H10020&gt;0),G10020/H10020,"")</f>
        <v/>
      </c>
    </row>
    <row r="10021">
      <c r="A10021" s="4" t="inlineStr">
        <is>
          <t>350</t>
        </is>
      </c>
      <c r="B10021" s="4" t="n">
        <v>3</v>
      </c>
      <c r="C10021" s="4" t="inlineStr">
        <is>
          <t>whitetail</t>
        </is>
      </c>
      <c r="D10021" s="4" t="n">
        <v>2025</v>
      </c>
      <c r="E10021" s="13" t="inlineStr">
        <is>
          <t>General</t>
        </is>
      </c>
      <c r="F10021" s="5" t="n">
        <v>768</v>
      </c>
      <c r="G10021" s="5" t="n">
        <v>5373</v>
      </c>
      <c r="H10021" s="5" t="n">
        <v>49</v>
      </c>
      <c r="I10021" s="5" t="n">
        <v>34</v>
      </c>
      <c r="J10021" s="5" t="n">
        <v>15</v>
      </c>
      <c r="K10021" s="10">
        <f>IF(F10021&gt;0,H10021/F10021,"")</f>
        <v/>
      </c>
      <c r="L10021" s="16">
        <f>IF(AND(G10021&gt;0,H10021&gt;0),G10021/H10021,"")</f>
        <v/>
      </c>
    </row>
    <row r="10022">
      <c r="A10022" s="4" t="inlineStr">
        <is>
          <t>360</t>
        </is>
      </c>
      <c r="B10022" s="4" t="n">
        <v>3</v>
      </c>
      <c r="C10022" s="4" t="inlineStr">
        <is>
          <t>whitetail</t>
        </is>
      </c>
      <c r="D10022" s="4" t="n">
        <v>2004</v>
      </c>
      <c r="E10022" s="13" t="inlineStr">
        <is>
          <t>General</t>
        </is>
      </c>
      <c r="F10022" s="5" t="n">
        <v>951</v>
      </c>
      <c r="G10022" s="5" t="n">
        <v>4776</v>
      </c>
      <c r="H10022" s="5" t="n">
        <v>360</v>
      </c>
      <c r="I10022" s="5" t="n">
        <v>110</v>
      </c>
      <c r="J10022" s="5" t="n">
        <v>237</v>
      </c>
      <c r="K10022" s="10">
        <f>IF(F10022&gt;0,H10022/F10022,"")</f>
        <v/>
      </c>
      <c r="L10022" s="16">
        <f>IF(AND(G10022&gt;0,H10022&gt;0),G10022/H10022,"")</f>
        <v/>
      </c>
    </row>
    <row r="10023">
      <c r="A10023" s="4" t="inlineStr">
        <is>
          <t>360</t>
        </is>
      </c>
      <c r="B10023" s="4" t="n">
        <v>3</v>
      </c>
      <c r="C10023" s="4" t="inlineStr">
        <is>
          <t>whitetail</t>
        </is>
      </c>
      <c r="D10023" s="4" t="n">
        <v>2005</v>
      </c>
      <c r="E10023" s="13" t="inlineStr">
        <is>
          <t>General</t>
        </is>
      </c>
      <c r="F10023" s="5" t="n">
        <v>1043</v>
      </c>
      <c r="G10023" s="5" t="n">
        <v>5510</v>
      </c>
      <c r="H10023" s="5" t="n">
        <v>428</v>
      </c>
      <c r="I10023" s="5" t="n">
        <v>168</v>
      </c>
      <c r="J10023" s="5" t="n">
        <v>254</v>
      </c>
      <c r="K10023" s="10">
        <f>IF(F10023&gt;0,H10023/F10023,"")</f>
        <v/>
      </c>
      <c r="L10023" s="16">
        <f>IF(AND(G10023&gt;0,H10023&gt;0),G10023/H10023,"")</f>
        <v/>
      </c>
    </row>
    <row r="10024">
      <c r="A10024" s="4" t="inlineStr">
        <is>
          <t>360</t>
        </is>
      </c>
      <c r="B10024" s="4" t="n">
        <v>3</v>
      </c>
      <c r="C10024" s="4" t="inlineStr">
        <is>
          <t>whitetail</t>
        </is>
      </c>
      <c r="D10024" s="4" t="n">
        <v>2006</v>
      </c>
      <c r="E10024" s="13" t="inlineStr">
        <is>
          <t>General</t>
        </is>
      </c>
      <c r="F10024" s="5" t="n">
        <v>1124</v>
      </c>
      <c r="G10024" s="5" t="n">
        <v>6069</v>
      </c>
      <c r="H10024" s="5" t="n">
        <v>352</v>
      </c>
      <c r="I10024" s="5" t="n">
        <v>125</v>
      </c>
      <c r="J10024" s="5" t="n">
        <v>227</v>
      </c>
      <c r="K10024" s="10">
        <f>IF(F10024&gt;0,H10024/F10024,"")</f>
        <v/>
      </c>
      <c r="L10024" s="16">
        <f>IF(AND(G10024&gt;0,H10024&gt;0),G10024/H10024,"")</f>
        <v/>
      </c>
    </row>
    <row r="10025">
      <c r="A10025" s="4" t="inlineStr">
        <is>
          <t>360</t>
        </is>
      </c>
      <c r="B10025" s="4" t="n">
        <v>3</v>
      </c>
      <c r="C10025" s="4" t="inlineStr">
        <is>
          <t>whitetail</t>
        </is>
      </c>
      <c r="D10025" s="4" t="n">
        <v>2007</v>
      </c>
      <c r="E10025" s="13" t="inlineStr">
        <is>
          <t>General</t>
        </is>
      </c>
      <c r="F10025" s="5" t="n">
        <v>1190</v>
      </c>
      <c r="G10025" s="5" t="n">
        <v>6368</v>
      </c>
      <c r="H10025" s="5" t="n">
        <v>388</v>
      </c>
      <c r="I10025" s="5" t="n">
        <v>115</v>
      </c>
      <c r="J10025" s="5" t="n">
        <v>273</v>
      </c>
      <c r="K10025" s="10">
        <f>IF(F10025&gt;0,H10025/F10025,"")</f>
        <v/>
      </c>
      <c r="L10025" s="16">
        <f>IF(AND(G10025&gt;0,H10025&gt;0),G10025/H10025,"")</f>
        <v/>
      </c>
    </row>
    <row r="10026">
      <c r="A10026" s="4" t="inlineStr">
        <is>
          <t>360</t>
        </is>
      </c>
      <c r="B10026" s="4" t="n">
        <v>3</v>
      </c>
      <c r="C10026" s="4" t="inlineStr">
        <is>
          <t>whitetail</t>
        </is>
      </c>
      <c r="D10026" s="4" t="n">
        <v>2008</v>
      </c>
      <c r="E10026" s="13" t="inlineStr">
        <is>
          <t>General</t>
        </is>
      </c>
      <c r="F10026" s="5" t="n">
        <v>1104</v>
      </c>
      <c r="G10026" s="5" t="n">
        <v>6689</v>
      </c>
      <c r="H10026" s="5" t="n">
        <v>325</v>
      </c>
      <c r="I10026" s="5" t="n">
        <v>134</v>
      </c>
      <c r="J10026" s="5" t="n">
        <v>192</v>
      </c>
      <c r="K10026" s="10">
        <f>IF(F10026&gt;0,H10026/F10026,"")</f>
        <v/>
      </c>
      <c r="L10026" s="16">
        <f>IF(AND(G10026&gt;0,H10026&gt;0),G10026/H10026,"")</f>
        <v/>
      </c>
    </row>
    <row r="10027">
      <c r="A10027" s="4" t="inlineStr">
        <is>
          <t>360</t>
        </is>
      </c>
      <c r="B10027" s="4" t="n">
        <v>3</v>
      </c>
      <c r="C10027" s="4" t="inlineStr">
        <is>
          <t>whitetail</t>
        </is>
      </c>
      <c r="D10027" s="4" t="n">
        <v>2009</v>
      </c>
      <c r="E10027" s="13" t="inlineStr">
        <is>
          <t>General</t>
        </is>
      </c>
      <c r="F10027" s="5" t="n">
        <v>1287</v>
      </c>
      <c r="G10027" s="5" t="n">
        <v>7129</v>
      </c>
      <c r="H10027" s="5" t="n">
        <v>412</v>
      </c>
      <c r="I10027" s="5" t="n">
        <v>169</v>
      </c>
      <c r="J10027" s="5" t="n">
        <v>238</v>
      </c>
      <c r="K10027" s="10">
        <f>IF(F10027&gt;0,H10027/F10027,"")</f>
        <v/>
      </c>
      <c r="L10027" s="16">
        <f>IF(AND(G10027&gt;0,H10027&gt;0),G10027/H10027,"")</f>
        <v/>
      </c>
    </row>
    <row r="10028">
      <c r="A10028" s="4" t="inlineStr">
        <is>
          <t>360</t>
        </is>
      </c>
      <c r="B10028" s="4" t="n">
        <v>3</v>
      </c>
      <c r="C10028" s="4" t="inlineStr">
        <is>
          <t>whitetail</t>
        </is>
      </c>
      <c r="D10028" s="4" t="n">
        <v>2010</v>
      </c>
      <c r="E10028" s="13" t="inlineStr">
        <is>
          <t>General</t>
        </is>
      </c>
      <c r="F10028" s="5" t="n">
        <v>1362</v>
      </c>
      <c r="G10028" s="5" t="n">
        <v>8094</v>
      </c>
      <c r="H10028" s="5" t="n">
        <v>408</v>
      </c>
      <c r="I10028" s="5" t="n">
        <v>148</v>
      </c>
      <c r="J10028" s="5" t="n">
        <v>246</v>
      </c>
      <c r="K10028" s="10">
        <f>IF(F10028&gt;0,H10028/F10028,"")</f>
        <v/>
      </c>
      <c r="L10028" s="16">
        <f>IF(AND(G10028&gt;0,H10028&gt;0),G10028/H10028,"")</f>
        <v/>
      </c>
    </row>
    <row r="10029">
      <c r="A10029" s="4" t="inlineStr">
        <is>
          <t>360</t>
        </is>
      </c>
      <c r="B10029" s="4" t="n">
        <v>3</v>
      </c>
      <c r="C10029" s="4" t="inlineStr">
        <is>
          <t>whitetail</t>
        </is>
      </c>
      <c r="D10029" s="4" t="n">
        <v>2011</v>
      </c>
      <c r="E10029" s="13" t="inlineStr">
        <is>
          <t>General</t>
        </is>
      </c>
      <c r="F10029" s="5" t="n">
        <v>1142</v>
      </c>
      <c r="G10029" s="5" t="n">
        <v>6722</v>
      </c>
      <c r="H10029" s="5" t="n">
        <v>279</v>
      </c>
      <c r="I10029" s="5" t="n">
        <v>109</v>
      </c>
      <c r="J10029" s="5" t="n">
        <v>158</v>
      </c>
      <c r="K10029" s="10">
        <f>IF(F10029&gt;0,H10029/F10029,"")</f>
        <v/>
      </c>
      <c r="L10029" s="16">
        <f>IF(AND(G10029&gt;0,H10029&gt;0),G10029/H10029,"")</f>
        <v/>
      </c>
    </row>
    <row r="10030">
      <c r="A10030" s="4" t="inlineStr">
        <is>
          <t>360</t>
        </is>
      </c>
      <c r="B10030" s="4" t="n">
        <v>3</v>
      </c>
      <c r="C10030" s="4" t="inlineStr">
        <is>
          <t>whitetail</t>
        </is>
      </c>
      <c r="D10030" s="4" t="n">
        <v>2012</v>
      </c>
      <c r="E10030" s="13" t="inlineStr">
        <is>
          <t>General</t>
        </is>
      </c>
      <c r="F10030" s="5" t="n"/>
      <c r="G10030" s="5" t="n"/>
      <c r="H10030" s="5" t="n">
        <v>385</v>
      </c>
      <c r="I10030" s="5" t="n">
        <v>137</v>
      </c>
      <c r="J10030" s="5" t="n">
        <v>245</v>
      </c>
      <c r="K10030" s="10">
        <f>IF(F10030&gt;0,H10030/F10030,"")</f>
        <v/>
      </c>
      <c r="L10030" s="16">
        <f>IF(AND(G10030&gt;0,H10030&gt;0),G10030/H10030,"")</f>
        <v/>
      </c>
    </row>
    <row r="10031">
      <c r="A10031" s="4" t="inlineStr">
        <is>
          <t>360</t>
        </is>
      </c>
      <c r="B10031" s="4" t="n">
        <v>3</v>
      </c>
      <c r="C10031" s="4" t="inlineStr">
        <is>
          <t>whitetail</t>
        </is>
      </c>
      <c r="D10031" s="4" t="n">
        <v>2013</v>
      </c>
      <c r="E10031" s="13" t="inlineStr">
        <is>
          <t>General</t>
        </is>
      </c>
      <c r="F10031" s="5" t="n">
        <v>1220</v>
      </c>
      <c r="G10031" s="5" t="n">
        <v>6419</v>
      </c>
      <c r="H10031" s="5" t="n">
        <v>314</v>
      </c>
      <c r="I10031" s="5" t="n">
        <v>113</v>
      </c>
      <c r="J10031" s="5" t="n">
        <v>198</v>
      </c>
      <c r="K10031" s="10">
        <f>IF(F10031&gt;0,H10031/F10031,"")</f>
        <v/>
      </c>
      <c r="L10031" s="16">
        <f>IF(AND(G10031&gt;0,H10031&gt;0),G10031/H10031,"")</f>
        <v/>
      </c>
    </row>
    <row r="10032">
      <c r="A10032" s="4" t="inlineStr">
        <is>
          <t>360</t>
        </is>
      </c>
      <c r="B10032" s="4" t="n">
        <v>3</v>
      </c>
      <c r="C10032" s="4" t="inlineStr">
        <is>
          <t>whitetail</t>
        </is>
      </c>
      <c r="D10032" s="4" t="n">
        <v>2014</v>
      </c>
      <c r="E10032" s="13" t="inlineStr">
        <is>
          <t>General</t>
        </is>
      </c>
      <c r="F10032" s="5" t="n"/>
      <c r="G10032" s="5" t="n"/>
      <c r="H10032" s="5" t="n">
        <v>334</v>
      </c>
      <c r="I10032" s="5" t="n">
        <v>136</v>
      </c>
      <c r="J10032" s="5" t="n">
        <v>191</v>
      </c>
      <c r="K10032" s="10">
        <f>IF(F10032&gt;0,H10032/F10032,"")</f>
        <v/>
      </c>
      <c r="L10032" s="16">
        <f>IF(AND(G10032&gt;0,H10032&gt;0),G10032/H10032,"")</f>
        <v/>
      </c>
    </row>
    <row r="10033">
      <c r="A10033" s="4" t="inlineStr">
        <is>
          <t>360</t>
        </is>
      </c>
      <c r="B10033" s="4" t="n">
        <v>3</v>
      </c>
      <c r="C10033" s="4" t="inlineStr">
        <is>
          <t>whitetail</t>
        </is>
      </c>
      <c r="D10033" s="4" t="n">
        <v>2015</v>
      </c>
      <c r="E10033" s="13" t="inlineStr">
        <is>
          <t>General</t>
        </is>
      </c>
      <c r="F10033" s="5" t="n"/>
      <c r="G10033" s="5" t="n"/>
      <c r="H10033" s="5" t="n">
        <v>325</v>
      </c>
      <c r="I10033" s="5" t="n">
        <v>127</v>
      </c>
      <c r="J10033" s="5" t="n">
        <v>189</v>
      </c>
      <c r="K10033" s="10">
        <f>IF(F10033&gt;0,H10033/F10033,"")</f>
        <v/>
      </c>
      <c r="L10033" s="16">
        <f>IF(AND(G10033&gt;0,H10033&gt;0),G10033/H10033,"")</f>
        <v/>
      </c>
    </row>
    <row r="10034">
      <c r="A10034" s="4" t="inlineStr">
        <is>
          <t>360</t>
        </is>
      </c>
      <c r="B10034" s="4" t="n">
        <v>3</v>
      </c>
      <c r="C10034" s="4" t="inlineStr">
        <is>
          <t>whitetail</t>
        </is>
      </c>
      <c r="D10034" s="4" t="n">
        <v>2016</v>
      </c>
      <c r="E10034" s="13" t="inlineStr">
        <is>
          <t>General</t>
        </is>
      </c>
      <c r="F10034" s="5" t="n"/>
      <c r="G10034" s="5" t="n"/>
      <c r="H10034" s="5" t="n">
        <v>339</v>
      </c>
      <c r="I10034" s="5" t="n">
        <v>165</v>
      </c>
      <c r="J10034" s="5" t="n">
        <v>175</v>
      </c>
      <c r="K10034" s="10">
        <f>IF(F10034&gt;0,H10034/F10034,"")</f>
        <v/>
      </c>
      <c r="L10034" s="16">
        <f>IF(AND(G10034&gt;0,H10034&gt;0),G10034/H10034,"")</f>
        <v/>
      </c>
    </row>
    <row r="10035">
      <c r="A10035" s="4" t="inlineStr">
        <is>
          <t>360</t>
        </is>
      </c>
      <c r="B10035" s="4" t="n">
        <v>3</v>
      </c>
      <c r="C10035" s="4" t="inlineStr">
        <is>
          <t>whitetail</t>
        </is>
      </c>
      <c r="D10035" s="4" t="n">
        <v>2017</v>
      </c>
      <c r="E10035" s="13" t="inlineStr">
        <is>
          <t>General</t>
        </is>
      </c>
      <c r="F10035" s="5" t="n">
        <v>1356</v>
      </c>
      <c r="G10035" s="5" t="n">
        <v>8452</v>
      </c>
      <c r="H10035" s="5" t="n">
        <v>345</v>
      </c>
      <c r="I10035" s="5" t="n">
        <v>145</v>
      </c>
      <c r="J10035" s="5" t="n">
        <v>200</v>
      </c>
      <c r="K10035" s="10">
        <f>IF(F10035&gt;0,H10035/F10035,"")</f>
        <v/>
      </c>
      <c r="L10035" s="16">
        <f>IF(AND(G10035&gt;0,H10035&gt;0),G10035/H10035,"")</f>
        <v/>
      </c>
    </row>
    <row r="10036">
      <c r="A10036" s="4" t="inlineStr">
        <is>
          <t>360</t>
        </is>
      </c>
      <c r="B10036" s="4" t="n">
        <v>3</v>
      </c>
      <c r="C10036" s="4" t="inlineStr">
        <is>
          <t>whitetail</t>
        </is>
      </c>
      <c r="D10036" s="4" t="n">
        <v>2018</v>
      </c>
      <c r="E10036" s="13" t="inlineStr">
        <is>
          <t>General</t>
        </is>
      </c>
      <c r="F10036" s="5" t="n"/>
      <c r="G10036" s="5" t="n"/>
      <c r="H10036" s="5" t="n">
        <v>324</v>
      </c>
      <c r="I10036" s="5" t="n">
        <v>144</v>
      </c>
      <c r="J10036" s="5" t="n">
        <v>177</v>
      </c>
      <c r="K10036" s="10">
        <f>IF(F10036&gt;0,H10036/F10036,"")</f>
        <v/>
      </c>
      <c r="L10036" s="16">
        <f>IF(AND(G10036&gt;0,H10036&gt;0),G10036/H10036,"")</f>
        <v/>
      </c>
    </row>
    <row r="10037">
      <c r="A10037" s="4" t="inlineStr">
        <is>
          <t>360</t>
        </is>
      </c>
      <c r="B10037" s="4" t="n">
        <v>3</v>
      </c>
      <c r="C10037" s="4" t="inlineStr">
        <is>
          <t>whitetail</t>
        </is>
      </c>
      <c r="D10037" s="4" t="n">
        <v>2019</v>
      </c>
      <c r="E10037" s="13" t="inlineStr">
        <is>
          <t>General</t>
        </is>
      </c>
      <c r="F10037" s="5" t="n">
        <v>1294</v>
      </c>
      <c r="G10037" s="5" t="n">
        <v>8778</v>
      </c>
      <c r="H10037" s="5" t="n">
        <v>283</v>
      </c>
      <c r="I10037" s="5" t="n">
        <v>158</v>
      </c>
      <c r="J10037" s="5" t="n">
        <v>118</v>
      </c>
      <c r="K10037" s="10">
        <f>IF(F10037&gt;0,H10037/F10037,"")</f>
        <v/>
      </c>
      <c r="L10037" s="16">
        <f>IF(AND(G10037&gt;0,H10037&gt;0),G10037/H10037,"")</f>
        <v/>
      </c>
    </row>
    <row r="10038">
      <c r="A10038" s="4" t="inlineStr">
        <is>
          <t>360</t>
        </is>
      </c>
      <c r="B10038" s="4" t="n">
        <v>3</v>
      </c>
      <c r="C10038" s="4" t="inlineStr">
        <is>
          <t>whitetail</t>
        </is>
      </c>
      <c r="D10038" s="4" t="n">
        <v>2020</v>
      </c>
      <c r="E10038" s="13" t="inlineStr">
        <is>
          <t>General</t>
        </is>
      </c>
      <c r="F10038" s="5" t="n"/>
      <c r="G10038" s="5" t="n"/>
      <c r="H10038" s="5" t="n">
        <v>220</v>
      </c>
      <c r="I10038" s="5" t="n">
        <v>107</v>
      </c>
      <c r="J10038" s="5" t="n">
        <v>110</v>
      </c>
      <c r="K10038" s="10">
        <f>IF(F10038&gt;0,H10038/F10038,"")</f>
        <v/>
      </c>
      <c r="L10038" s="16">
        <f>IF(AND(G10038&gt;0,H10038&gt;0),G10038/H10038,"")</f>
        <v/>
      </c>
    </row>
    <row r="10039">
      <c r="A10039" s="4" t="inlineStr">
        <is>
          <t>360</t>
        </is>
      </c>
      <c r="B10039" s="4" t="n">
        <v>3</v>
      </c>
      <c r="C10039" s="4" t="inlineStr">
        <is>
          <t>whitetail</t>
        </is>
      </c>
      <c r="D10039" s="4" t="n">
        <v>2021</v>
      </c>
      <c r="E10039" s="13" t="inlineStr">
        <is>
          <t>General</t>
        </is>
      </c>
      <c r="F10039" s="5" t="n">
        <v>1139</v>
      </c>
      <c r="G10039" s="5" t="n">
        <v>7573</v>
      </c>
      <c r="H10039" s="5" t="n">
        <v>200</v>
      </c>
      <c r="I10039" s="5" t="n">
        <v>94</v>
      </c>
      <c r="J10039" s="5" t="n">
        <v>105</v>
      </c>
      <c r="K10039" s="10">
        <f>IF(F10039&gt;0,H10039/F10039,"")</f>
        <v/>
      </c>
      <c r="L10039" s="16">
        <f>IF(AND(G10039&gt;0,H10039&gt;0),G10039/H10039,"")</f>
        <v/>
      </c>
    </row>
    <row r="10040">
      <c r="A10040" s="4" t="inlineStr">
        <is>
          <t>360</t>
        </is>
      </c>
      <c r="B10040" s="4" t="n">
        <v>3</v>
      </c>
      <c r="C10040" s="4" t="inlineStr">
        <is>
          <t>whitetail</t>
        </is>
      </c>
      <c r="D10040" s="4" t="n">
        <v>2022</v>
      </c>
      <c r="E10040" s="13" t="inlineStr">
        <is>
          <t>General</t>
        </is>
      </c>
      <c r="F10040" s="5" t="n"/>
      <c r="G10040" s="5" t="n"/>
      <c r="H10040" s="5" t="n">
        <v>264</v>
      </c>
      <c r="I10040" s="5" t="n">
        <v>104</v>
      </c>
      <c r="J10040" s="5" t="n">
        <v>157</v>
      </c>
      <c r="K10040" s="10">
        <f>IF(F10040&gt;0,H10040/F10040,"")</f>
        <v/>
      </c>
      <c r="L10040" s="16">
        <f>IF(AND(G10040&gt;0,H10040&gt;0),G10040/H10040,"")</f>
        <v/>
      </c>
    </row>
    <row r="10041">
      <c r="A10041" s="4" t="inlineStr">
        <is>
          <t>360</t>
        </is>
      </c>
      <c r="B10041" s="4" t="n">
        <v>3</v>
      </c>
      <c r="C10041" s="4" t="inlineStr">
        <is>
          <t>whitetail</t>
        </is>
      </c>
      <c r="D10041" s="4" t="n">
        <v>2023</v>
      </c>
      <c r="E10041" s="13" t="inlineStr">
        <is>
          <t>General</t>
        </is>
      </c>
      <c r="F10041" s="5" t="n">
        <v>1484</v>
      </c>
      <c r="G10041" s="5" t="n">
        <v>10206</v>
      </c>
      <c r="H10041" s="5" t="n">
        <v>201</v>
      </c>
      <c r="I10041" s="5" t="n">
        <v>118</v>
      </c>
      <c r="J10041" s="5" t="n">
        <v>80</v>
      </c>
      <c r="K10041" s="10">
        <f>IF(F10041&gt;0,H10041/F10041,"")</f>
        <v/>
      </c>
      <c r="L10041" s="16">
        <f>IF(AND(G10041&gt;0,H10041&gt;0),G10041/H10041,"")</f>
        <v/>
      </c>
    </row>
    <row r="10042">
      <c r="A10042" s="4" t="inlineStr">
        <is>
          <t>360</t>
        </is>
      </c>
      <c r="B10042" s="4" t="n">
        <v>3</v>
      </c>
      <c r="C10042" s="4" t="inlineStr">
        <is>
          <t>whitetail</t>
        </is>
      </c>
      <c r="D10042" s="4" t="n">
        <v>2024</v>
      </c>
      <c r="E10042" s="13" t="inlineStr">
        <is>
          <t>General</t>
        </is>
      </c>
      <c r="F10042" s="5" t="n"/>
      <c r="G10042" s="5" t="n"/>
      <c r="H10042" s="5" t="n">
        <v>260</v>
      </c>
      <c r="I10042" s="5" t="n">
        <v>138</v>
      </c>
      <c r="J10042" s="5" t="n">
        <v>118</v>
      </c>
      <c r="K10042" s="10">
        <f>IF(F10042&gt;0,H10042/F10042,"")</f>
        <v/>
      </c>
      <c r="L10042" s="16">
        <f>IF(AND(G10042&gt;0,H10042&gt;0),G10042/H10042,"")</f>
        <v/>
      </c>
    </row>
    <row r="10043">
      <c r="A10043" s="4" t="inlineStr">
        <is>
          <t>360</t>
        </is>
      </c>
      <c r="B10043" s="4" t="n">
        <v>3</v>
      </c>
      <c r="C10043" s="4" t="inlineStr">
        <is>
          <t>whitetail</t>
        </is>
      </c>
      <c r="D10043" s="4" t="n">
        <v>2025</v>
      </c>
      <c r="E10043" s="13" t="inlineStr">
        <is>
          <t>General</t>
        </is>
      </c>
      <c r="F10043" s="5" t="n">
        <v>1637</v>
      </c>
      <c r="G10043" s="5" t="n">
        <v>10661</v>
      </c>
      <c r="H10043" s="5" t="n">
        <v>262</v>
      </c>
      <c r="I10043" s="5" t="n">
        <v>127</v>
      </c>
      <c r="J10043" s="5" t="n">
        <v>135</v>
      </c>
      <c r="K10043" s="10">
        <f>IF(F10043&gt;0,H10043/F10043,"")</f>
        <v/>
      </c>
      <c r="L10043" s="16">
        <f>IF(AND(G10043&gt;0,H10043&gt;0),G10043/H10043,"")</f>
        <v/>
      </c>
    </row>
    <row r="10044">
      <c r="A10044" s="4" t="inlineStr">
        <is>
          <t>361</t>
        </is>
      </c>
      <c r="B10044" s="4" t="n">
        <v>3</v>
      </c>
      <c r="C10044" s="4" t="inlineStr">
        <is>
          <t>whitetail</t>
        </is>
      </c>
      <c r="D10044" s="4" t="n">
        <v>2004</v>
      </c>
      <c r="E10044" s="13" t="inlineStr">
        <is>
          <t>General</t>
        </is>
      </c>
      <c r="F10044" s="5" t="n">
        <v>139</v>
      </c>
      <c r="G10044" s="5" t="n">
        <v>779</v>
      </c>
      <c r="H10044" s="5" t="n">
        <v>14</v>
      </c>
      <c r="I10044" s="5" t="n">
        <v>9</v>
      </c>
      <c r="J10044" s="5" t="n">
        <v>5</v>
      </c>
      <c r="K10044" s="10">
        <f>IF(F10044&gt;0,H10044/F10044,"")</f>
        <v/>
      </c>
      <c r="L10044" s="16">
        <f>IF(AND(G10044&gt;0,H10044&gt;0),G10044/H10044,"")</f>
        <v/>
      </c>
    </row>
    <row r="10045">
      <c r="A10045" s="4" t="inlineStr">
        <is>
          <t>361</t>
        </is>
      </c>
      <c r="B10045" s="4" t="n">
        <v>3</v>
      </c>
      <c r="C10045" s="4" t="inlineStr">
        <is>
          <t>whitetail</t>
        </is>
      </c>
      <c r="D10045" s="4" t="n">
        <v>2005</v>
      </c>
      <c r="E10045" s="13" t="inlineStr">
        <is>
          <t>General</t>
        </is>
      </c>
      <c r="F10045" s="5" t="n">
        <v>158</v>
      </c>
      <c r="G10045" s="5" t="n">
        <v>1039</v>
      </c>
      <c r="H10045" s="5" t="n">
        <v>19</v>
      </c>
      <c r="I10045" s="5" t="n">
        <v>15</v>
      </c>
      <c r="J10045" s="5" t="n">
        <v>4</v>
      </c>
      <c r="K10045" s="10">
        <f>IF(F10045&gt;0,H10045/F10045,"")</f>
        <v/>
      </c>
      <c r="L10045" s="16">
        <f>IF(AND(G10045&gt;0,H10045&gt;0),G10045/H10045,"")</f>
        <v/>
      </c>
    </row>
    <row r="10046">
      <c r="A10046" s="4" t="inlineStr">
        <is>
          <t>361</t>
        </is>
      </c>
      <c r="B10046" s="4" t="n">
        <v>3</v>
      </c>
      <c r="C10046" s="4" t="inlineStr">
        <is>
          <t>whitetail</t>
        </is>
      </c>
      <c r="D10046" s="4" t="n">
        <v>2006</v>
      </c>
      <c r="E10046" s="13" t="inlineStr">
        <is>
          <t>General</t>
        </is>
      </c>
      <c r="F10046" s="5" t="n">
        <v>192</v>
      </c>
      <c r="G10046" s="5" t="n">
        <v>1099</v>
      </c>
      <c r="H10046" s="5" t="n">
        <v>15</v>
      </c>
      <c r="I10046" s="5" t="n">
        <v>7</v>
      </c>
      <c r="J10046" s="5" t="n">
        <v>7</v>
      </c>
      <c r="K10046" s="10">
        <f>IF(F10046&gt;0,H10046/F10046,"")</f>
        <v/>
      </c>
      <c r="L10046" s="16">
        <f>IF(AND(G10046&gt;0,H10046&gt;0),G10046/H10046,"")</f>
        <v/>
      </c>
    </row>
    <row r="10047">
      <c r="A10047" s="4" t="inlineStr">
        <is>
          <t>361</t>
        </is>
      </c>
      <c r="B10047" s="4" t="n">
        <v>3</v>
      </c>
      <c r="C10047" s="4" t="inlineStr">
        <is>
          <t>whitetail</t>
        </is>
      </c>
      <c r="D10047" s="4" t="n">
        <v>2008</v>
      </c>
      <c r="E10047" s="13" t="inlineStr">
        <is>
          <t>General</t>
        </is>
      </c>
      <c r="F10047" s="5" t="n">
        <v>162</v>
      </c>
      <c r="G10047" s="5" t="n">
        <v>1223</v>
      </c>
      <c r="H10047" s="5" t="n">
        <v>6</v>
      </c>
      <c r="I10047" s="5" t="n">
        <v>3</v>
      </c>
      <c r="J10047" s="5" t="n">
        <v>3</v>
      </c>
      <c r="K10047" s="10">
        <f>IF(F10047&gt;0,H10047/F10047,"")</f>
        <v/>
      </c>
      <c r="L10047" s="16">
        <f>IF(AND(G10047&gt;0,H10047&gt;0),G10047/H10047,"")</f>
        <v/>
      </c>
    </row>
    <row r="10048">
      <c r="A10048" s="4" t="inlineStr">
        <is>
          <t>361</t>
        </is>
      </c>
      <c r="B10048" s="4" t="n">
        <v>3</v>
      </c>
      <c r="C10048" s="4" t="inlineStr">
        <is>
          <t>whitetail</t>
        </is>
      </c>
      <c r="D10048" s="4" t="n">
        <v>2009</v>
      </c>
      <c r="E10048" s="13" t="inlineStr">
        <is>
          <t>General</t>
        </is>
      </c>
      <c r="F10048" s="5" t="n">
        <v>183</v>
      </c>
      <c r="G10048" s="5" t="n">
        <v>1509</v>
      </c>
      <c r="H10048" s="5" t="n">
        <v>6</v>
      </c>
      <c r="I10048" s="5" t="n">
        <v>6</v>
      </c>
      <c r="J10048" s="5" t="n">
        <v>0</v>
      </c>
      <c r="K10048" s="10">
        <f>IF(F10048&gt;0,H10048/F10048,"")</f>
        <v/>
      </c>
      <c r="L10048" s="16">
        <f>IF(AND(G10048&gt;0,H10048&gt;0),G10048/H10048,"")</f>
        <v/>
      </c>
    </row>
    <row r="10049">
      <c r="A10049" s="4" t="inlineStr">
        <is>
          <t>361</t>
        </is>
      </c>
      <c r="B10049" s="4" t="n">
        <v>3</v>
      </c>
      <c r="C10049" s="4" t="inlineStr">
        <is>
          <t>whitetail</t>
        </is>
      </c>
      <c r="D10049" s="4" t="n">
        <v>2010</v>
      </c>
      <c r="E10049" s="13" t="inlineStr">
        <is>
          <t>General</t>
        </is>
      </c>
      <c r="F10049" s="5" t="n">
        <v>172</v>
      </c>
      <c r="G10049" s="5" t="n">
        <v>1310</v>
      </c>
      <c r="H10049" s="5" t="n">
        <v>8</v>
      </c>
      <c r="I10049" s="5" t="n">
        <v>6</v>
      </c>
      <c r="J10049" s="5" t="n">
        <v>3</v>
      </c>
      <c r="K10049" s="10">
        <f>IF(F10049&gt;0,H10049/F10049,"")</f>
        <v/>
      </c>
      <c r="L10049" s="16">
        <f>IF(AND(G10049&gt;0,H10049&gt;0),G10049/H10049,"")</f>
        <v/>
      </c>
    </row>
    <row r="10050">
      <c r="A10050" s="4" t="inlineStr">
        <is>
          <t>361</t>
        </is>
      </c>
      <c r="B10050" s="4" t="n">
        <v>3</v>
      </c>
      <c r="C10050" s="4" t="inlineStr">
        <is>
          <t>whitetail</t>
        </is>
      </c>
      <c r="D10050" s="4" t="n">
        <v>2011</v>
      </c>
      <c r="E10050" s="13" t="inlineStr">
        <is>
          <t>General</t>
        </is>
      </c>
      <c r="F10050" s="5" t="n">
        <v>187</v>
      </c>
      <c r="G10050" s="5" t="n">
        <v>1734</v>
      </c>
      <c r="H10050" s="5" t="n">
        <v>14</v>
      </c>
      <c r="I10050" s="5" t="n">
        <v>11</v>
      </c>
      <c r="J10050" s="5" t="n">
        <v>3</v>
      </c>
      <c r="K10050" s="10">
        <f>IF(F10050&gt;0,H10050/F10050,"")</f>
        <v/>
      </c>
      <c r="L10050" s="16">
        <f>IF(AND(G10050&gt;0,H10050&gt;0),G10050/H10050,"")</f>
        <v/>
      </c>
    </row>
    <row r="10051">
      <c r="A10051" s="4" t="inlineStr">
        <is>
          <t>361</t>
        </is>
      </c>
      <c r="B10051" s="4" t="n">
        <v>3</v>
      </c>
      <c r="C10051" s="4" t="inlineStr">
        <is>
          <t>whitetail</t>
        </is>
      </c>
      <c r="D10051" s="4" t="n">
        <v>2012</v>
      </c>
      <c r="E10051" s="13" t="inlineStr">
        <is>
          <t>General</t>
        </is>
      </c>
      <c r="F10051" s="5" t="n"/>
      <c r="G10051" s="5" t="n"/>
      <c r="H10051" s="5" t="n">
        <v>8</v>
      </c>
      <c r="I10051" s="5" t="n">
        <v>6</v>
      </c>
      <c r="J10051" s="5" t="n">
        <v>3</v>
      </c>
      <c r="K10051" s="10">
        <f>IF(F10051&gt;0,H10051/F10051,"")</f>
        <v/>
      </c>
      <c r="L10051" s="16">
        <f>IF(AND(G10051&gt;0,H10051&gt;0),G10051/H10051,"")</f>
        <v/>
      </c>
    </row>
    <row r="10052">
      <c r="A10052" s="4" t="inlineStr">
        <is>
          <t>361</t>
        </is>
      </c>
      <c r="B10052" s="4" t="n">
        <v>3</v>
      </c>
      <c r="C10052" s="4" t="inlineStr">
        <is>
          <t>whitetail</t>
        </is>
      </c>
      <c r="D10052" s="4" t="n">
        <v>2013</v>
      </c>
      <c r="E10052" s="13" t="inlineStr">
        <is>
          <t>General</t>
        </is>
      </c>
      <c r="F10052" s="5" t="n">
        <v>202</v>
      </c>
      <c r="G10052" s="5" t="n">
        <v>1542</v>
      </c>
      <c r="H10052" s="5" t="n">
        <v>9</v>
      </c>
      <c r="I10052" s="5" t="n">
        <v>3</v>
      </c>
      <c r="J10052" s="5" t="n">
        <v>6</v>
      </c>
      <c r="K10052" s="10">
        <f>IF(F10052&gt;0,H10052/F10052,"")</f>
        <v/>
      </c>
      <c r="L10052" s="16">
        <f>IF(AND(G10052&gt;0,H10052&gt;0),G10052/H10052,"")</f>
        <v/>
      </c>
    </row>
    <row r="10053">
      <c r="A10053" s="4" t="inlineStr">
        <is>
          <t>361</t>
        </is>
      </c>
      <c r="B10053" s="4" t="n">
        <v>3</v>
      </c>
      <c r="C10053" s="4" t="inlineStr">
        <is>
          <t>whitetail</t>
        </is>
      </c>
      <c r="D10053" s="4" t="n">
        <v>2014</v>
      </c>
      <c r="E10053" s="13" t="inlineStr">
        <is>
          <t>General</t>
        </is>
      </c>
      <c r="F10053" s="5" t="n"/>
      <c r="G10053" s="5" t="n"/>
      <c r="H10053" s="5" t="n">
        <v>9</v>
      </c>
      <c r="I10053" s="5" t="n">
        <v>9</v>
      </c>
      <c r="J10053" s="5" t="n">
        <v>0</v>
      </c>
      <c r="K10053" s="10">
        <f>IF(F10053&gt;0,H10053/F10053,"")</f>
        <v/>
      </c>
      <c r="L10053" s="16">
        <f>IF(AND(G10053&gt;0,H10053&gt;0),G10053/H10053,"")</f>
        <v/>
      </c>
    </row>
    <row r="10054">
      <c r="A10054" s="4" t="inlineStr">
        <is>
          <t>361</t>
        </is>
      </c>
      <c r="B10054" s="4" t="n">
        <v>3</v>
      </c>
      <c r="C10054" s="4" t="inlineStr">
        <is>
          <t>whitetail</t>
        </is>
      </c>
      <c r="D10054" s="4" t="n">
        <v>2015</v>
      </c>
      <c r="E10054" s="13" t="inlineStr">
        <is>
          <t>General</t>
        </is>
      </c>
      <c r="F10054" s="5" t="n"/>
      <c r="G10054" s="5" t="n"/>
      <c r="H10054" s="5" t="n">
        <v>3</v>
      </c>
      <c r="I10054" s="5" t="n">
        <v>0</v>
      </c>
      <c r="J10054" s="5" t="n">
        <v>3</v>
      </c>
      <c r="K10054" s="10">
        <f>IF(F10054&gt;0,H10054/F10054,"")</f>
        <v/>
      </c>
      <c r="L10054" s="16">
        <f>IF(AND(G10054&gt;0,H10054&gt;0),G10054/H10054,"")</f>
        <v/>
      </c>
    </row>
    <row r="10055">
      <c r="A10055" s="4" t="inlineStr">
        <is>
          <t>361</t>
        </is>
      </c>
      <c r="B10055" s="4" t="n">
        <v>3</v>
      </c>
      <c r="C10055" s="4" t="inlineStr">
        <is>
          <t>whitetail</t>
        </is>
      </c>
      <c r="D10055" s="4" t="n">
        <v>2016</v>
      </c>
      <c r="E10055" s="13" t="inlineStr">
        <is>
          <t>General</t>
        </is>
      </c>
      <c r="F10055" s="5" t="n"/>
      <c r="G10055" s="5" t="n"/>
      <c r="H10055" s="5" t="n">
        <v>3</v>
      </c>
      <c r="I10055" s="5" t="n">
        <v>0</v>
      </c>
      <c r="J10055" s="5" t="n">
        <v>3</v>
      </c>
      <c r="K10055" s="10">
        <f>IF(F10055&gt;0,H10055/F10055,"")</f>
        <v/>
      </c>
      <c r="L10055" s="16">
        <f>IF(AND(G10055&gt;0,H10055&gt;0),G10055/H10055,"")</f>
        <v/>
      </c>
    </row>
    <row r="10056">
      <c r="A10056" s="4" t="inlineStr">
        <is>
          <t>361</t>
        </is>
      </c>
      <c r="B10056" s="4" t="n">
        <v>3</v>
      </c>
      <c r="C10056" s="4" t="inlineStr">
        <is>
          <t>whitetail</t>
        </is>
      </c>
      <c r="D10056" s="4" t="n">
        <v>2017</v>
      </c>
      <c r="E10056" s="13" t="inlineStr">
        <is>
          <t>General</t>
        </is>
      </c>
      <c r="F10056" s="5" t="n">
        <v>194</v>
      </c>
      <c r="G10056" s="5" t="n">
        <v>1520</v>
      </c>
      <c r="H10056" s="5" t="n">
        <v>3</v>
      </c>
      <c r="I10056" s="5" t="n">
        <v>3</v>
      </c>
      <c r="J10056" s="5" t="n">
        <v>0</v>
      </c>
      <c r="K10056" s="10">
        <f>IF(F10056&gt;0,H10056/F10056,"")</f>
        <v/>
      </c>
      <c r="L10056" s="16">
        <f>IF(AND(G10056&gt;0,H10056&gt;0),G10056/H10056,"")</f>
        <v/>
      </c>
    </row>
    <row r="10057">
      <c r="A10057" s="4" t="inlineStr">
        <is>
          <t>361</t>
        </is>
      </c>
      <c r="B10057" s="4" t="n">
        <v>3</v>
      </c>
      <c r="C10057" s="4" t="inlineStr">
        <is>
          <t>whitetail</t>
        </is>
      </c>
      <c r="D10057" s="4" t="n">
        <v>2018</v>
      </c>
      <c r="E10057" s="13" t="inlineStr">
        <is>
          <t>General</t>
        </is>
      </c>
      <c r="F10057" s="5" t="n"/>
      <c r="G10057" s="5" t="n"/>
      <c r="H10057" s="5" t="n">
        <v>3</v>
      </c>
      <c r="I10057" s="5" t="n">
        <v>3</v>
      </c>
      <c r="J10057" s="5" t="n">
        <v>0</v>
      </c>
      <c r="K10057" s="10">
        <f>IF(F10057&gt;0,H10057/F10057,"")</f>
        <v/>
      </c>
      <c r="L10057" s="16">
        <f>IF(AND(G10057&gt;0,H10057&gt;0),G10057/H10057,"")</f>
        <v/>
      </c>
    </row>
    <row r="10058">
      <c r="A10058" s="4" t="inlineStr">
        <is>
          <t>361</t>
        </is>
      </c>
      <c r="B10058" s="4" t="n">
        <v>3</v>
      </c>
      <c r="C10058" s="4" t="inlineStr">
        <is>
          <t>whitetail</t>
        </is>
      </c>
      <c r="D10058" s="4" t="n">
        <v>2019</v>
      </c>
      <c r="E10058" s="13" t="inlineStr">
        <is>
          <t>General</t>
        </is>
      </c>
      <c r="F10058" s="5" t="n">
        <v>209</v>
      </c>
      <c r="G10058" s="5" t="n">
        <v>1625</v>
      </c>
      <c r="H10058" s="5" t="n">
        <v>3</v>
      </c>
      <c r="I10058" s="5" t="n">
        <v>3</v>
      </c>
      <c r="J10058" s="5" t="n">
        <v>0</v>
      </c>
      <c r="K10058" s="10">
        <f>IF(F10058&gt;0,H10058/F10058,"")</f>
        <v/>
      </c>
      <c r="L10058" s="16">
        <f>IF(AND(G10058&gt;0,H10058&gt;0),G10058/H10058,"")</f>
        <v/>
      </c>
    </row>
    <row r="10059">
      <c r="A10059" s="4" t="inlineStr">
        <is>
          <t>361</t>
        </is>
      </c>
      <c r="B10059" s="4" t="n">
        <v>3</v>
      </c>
      <c r="C10059" s="4" t="inlineStr">
        <is>
          <t>whitetail</t>
        </is>
      </c>
      <c r="D10059" s="4" t="n">
        <v>2020</v>
      </c>
      <c r="E10059" s="13" t="inlineStr">
        <is>
          <t>General</t>
        </is>
      </c>
      <c r="F10059" s="5" t="n"/>
      <c r="G10059" s="5" t="n"/>
      <c r="H10059" s="5" t="n">
        <v>10</v>
      </c>
      <c r="I10059" s="5" t="n">
        <v>7</v>
      </c>
      <c r="J10059" s="5" t="n">
        <v>3</v>
      </c>
      <c r="K10059" s="10">
        <f>IF(F10059&gt;0,H10059/F10059,"")</f>
        <v/>
      </c>
      <c r="L10059" s="16">
        <f>IF(AND(G10059&gt;0,H10059&gt;0),G10059/H10059,"")</f>
        <v/>
      </c>
    </row>
    <row r="10060">
      <c r="A10060" s="4" t="inlineStr">
        <is>
          <t>361</t>
        </is>
      </c>
      <c r="B10060" s="4" t="n">
        <v>3</v>
      </c>
      <c r="C10060" s="4" t="inlineStr">
        <is>
          <t>whitetail</t>
        </is>
      </c>
      <c r="D10060" s="4" t="n">
        <v>2022</v>
      </c>
      <c r="E10060" s="13" t="inlineStr">
        <is>
          <t>General</t>
        </is>
      </c>
      <c r="F10060" s="5" t="n"/>
      <c r="G10060" s="5" t="n"/>
      <c r="H10060" s="5" t="n">
        <v>9</v>
      </c>
      <c r="I10060" s="5" t="n">
        <v>3</v>
      </c>
      <c r="J10060" s="5" t="n">
        <v>6</v>
      </c>
      <c r="K10060" s="10">
        <f>IF(F10060&gt;0,H10060/F10060,"")</f>
        <v/>
      </c>
      <c r="L10060" s="16">
        <f>IF(AND(G10060&gt;0,H10060&gt;0),G10060/H10060,"")</f>
        <v/>
      </c>
    </row>
    <row r="10061">
      <c r="A10061" s="4" t="inlineStr">
        <is>
          <t>361</t>
        </is>
      </c>
      <c r="B10061" s="4" t="n">
        <v>3</v>
      </c>
      <c r="C10061" s="4" t="inlineStr">
        <is>
          <t>whitetail</t>
        </is>
      </c>
      <c r="D10061" s="4" t="n">
        <v>2023</v>
      </c>
      <c r="E10061" s="13" t="inlineStr">
        <is>
          <t>General</t>
        </is>
      </c>
      <c r="F10061" s="5" t="n">
        <v>229</v>
      </c>
      <c r="G10061" s="5" t="n">
        <v>1672</v>
      </c>
      <c r="H10061" s="5" t="n">
        <v>10</v>
      </c>
      <c r="I10061" s="5" t="n">
        <v>3</v>
      </c>
      <c r="J10061" s="5" t="n">
        <v>7</v>
      </c>
      <c r="K10061" s="10">
        <f>IF(F10061&gt;0,H10061/F10061,"")</f>
        <v/>
      </c>
      <c r="L10061" s="16">
        <f>IF(AND(G10061&gt;0,H10061&gt;0),G10061/H10061,"")</f>
        <v/>
      </c>
    </row>
    <row r="10062">
      <c r="A10062" s="4" t="inlineStr">
        <is>
          <t>361</t>
        </is>
      </c>
      <c r="B10062" s="4" t="n">
        <v>3</v>
      </c>
      <c r="C10062" s="4" t="inlineStr">
        <is>
          <t>whitetail</t>
        </is>
      </c>
      <c r="D10062" s="4" t="n">
        <v>2024</v>
      </c>
      <c r="E10062" s="13" t="inlineStr">
        <is>
          <t>General</t>
        </is>
      </c>
      <c r="F10062" s="5" t="n"/>
      <c r="G10062" s="5" t="n"/>
      <c r="H10062" s="5" t="n">
        <v>3</v>
      </c>
      <c r="I10062" s="5" t="n">
        <v>3</v>
      </c>
      <c r="J10062" s="5" t="n">
        <v>0</v>
      </c>
      <c r="K10062" s="10">
        <f>IF(F10062&gt;0,H10062/F10062,"")</f>
        <v/>
      </c>
      <c r="L10062" s="16">
        <f>IF(AND(G10062&gt;0,H10062&gt;0),G10062/H10062,"")</f>
        <v/>
      </c>
    </row>
    <row r="10063">
      <c r="A10063" s="4" t="inlineStr">
        <is>
          <t>361</t>
        </is>
      </c>
      <c r="B10063" s="4" t="n">
        <v>3</v>
      </c>
      <c r="C10063" s="4" t="inlineStr">
        <is>
          <t>whitetail</t>
        </is>
      </c>
      <c r="D10063" s="4" t="n">
        <v>2025</v>
      </c>
      <c r="E10063" s="13" t="inlineStr">
        <is>
          <t>General</t>
        </is>
      </c>
      <c r="F10063" s="5" t="n">
        <v>308</v>
      </c>
      <c r="G10063" s="5" t="n">
        <v>2375</v>
      </c>
      <c r="H10063" s="5" t="n">
        <v>8</v>
      </c>
      <c r="I10063" s="5" t="n">
        <v>4</v>
      </c>
      <c r="J10063" s="5" t="n">
        <v>4</v>
      </c>
      <c r="K10063" s="10">
        <f>IF(F10063&gt;0,H10063/F10063,"")</f>
        <v/>
      </c>
      <c r="L10063" s="16">
        <f>IF(AND(G10063&gt;0,H10063&gt;0),G10063/H10063,"")</f>
        <v/>
      </c>
    </row>
    <row r="10064">
      <c r="A10064" s="4" t="inlineStr">
        <is>
          <t>362</t>
        </is>
      </c>
      <c r="B10064" s="4" t="n">
        <v>3</v>
      </c>
      <c r="C10064" s="4" t="inlineStr">
        <is>
          <t>whitetail</t>
        </is>
      </c>
      <c r="D10064" s="4" t="n">
        <v>2004</v>
      </c>
      <c r="E10064" s="4" t="inlineStr"/>
      <c r="F10064" s="5" t="n">
        <v>287</v>
      </c>
      <c r="G10064" s="5" t="n">
        <v>1595</v>
      </c>
      <c r="H10064" s="5" t="n">
        <v>9</v>
      </c>
      <c r="I10064" s="5" t="n">
        <v>6</v>
      </c>
      <c r="J10064" s="5" t="n">
        <v>3</v>
      </c>
      <c r="K10064" s="10">
        <f>IF(F10064&gt;0,H10064/F10064,"")</f>
        <v/>
      </c>
      <c r="L10064" s="16">
        <f>IF(AND(G10064&gt;0,H10064&gt;0),G10064/H10064,"")</f>
        <v/>
      </c>
    </row>
    <row r="10065">
      <c r="A10065" s="4" t="inlineStr">
        <is>
          <t>362</t>
        </is>
      </c>
      <c r="B10065" s="4" t="n">
        <v>3</v>
      </c>
      <c r="C10065" s="4" t="inlineStr">
        <is>
          <t>whitetail</t>
        </is>
      </c>
      <c r="D10065" s="4" t="n">
        <v>2005</v>
      </c>
      <c r="E10065" s="4" t="inlineStr"/>
      <c r="F10065" s="5" t="n">
        <v>279</v>
      </c>
      <c r="G10065" s="5" t="n">
        <v>2135</v>
      </c>
      <c r="H10065" s="5" t="n">
        <v>16</v>
      </c>
      <c r="I10065" s="5" t="n">
        <v>12</v>
      </c>
      <c r="J10065" s="5" t="n">
        <v>5</v>
      </c>
      <c r="K10065" s="10">
        <f>IF(F10065&gt;0,H10065/F10065,"")</f>
        <v/>
      </c>
      <c r="L10065" s="16">
        <f>IF(AND(G10065&gt;0,H10065&gt;0),G10065/H10065,"")</f>
        <v/>
      </c>
    </row>
    <row r="10066">
      <c r="A10066" s="4" t="inlineStr">
        <is>
          <t>362</t>
        </is>
      </c>
      <c r="B10066" s="4" t="n">
        <v>3</v>
      </c>
      <c r="C10066" s="4" t="inlineStr">
        <is>
          <t>whitetail</t>
        </is>
      </c>
      <c r="D10066" s="4" t="n">
        <v>2006</v>
      </c>
      <c r="E10066" s="4" t="inlineStr"/>
      <c r="F10066" s="5" t="n">
        <v>153</v>
      </c>
      <c r="G10066" s="5" t="n">
        <v>646</v>
      </c>
      <c r="H10066" s="5" t="n">
        <v>6</v>
      </c>
      <c r="I10066" s="5" t="n">
        <v>0</v>
      </c>
      <c r="J10066" s="5" t="n">
        <v>6</v>
      </c>
      <c r="K10066" s="10">
        <f>IF(F10066&gt;0,H10066/F10066,"")</f>
        <v/>
      </c>
      <c r="L10066" s="16">
        <f>IF(AND(G10066&gt;0,H10066&gt;0),G10066/H10066,"")</f>
        <v/>
      </c>
    </row>
    <row r="10067">
      <c r="A10067" s="4" t="inlineStr">
        <is>
          <t>362</t>
        </is>
      </c>
      <c r="B10067" s="4" t="n">
        <v>3</v>
      </c>
      <c r="C10067" s="4" t="inlineStr">
        <is>
          <t>whitetail</t>
        </is>
      </c>
      <c r="D10067" s="4" t="n">
        <v>2007</v>
      </c>
      <c r="E10067" s="4" t="inlineStr"/>
      <c r="F10067" s="5" t="n">
        <v>235</v>
      </c>
      <c r="G10067" s="5" t="n">
        <v>1507</v>
      </c>
      <c r="H10067" s="5" t="n">
        <v>32</v>
      </c>
      <c r="I10067" s="5" t="n">
        <v>16</v>
      </c>
      <c r="J10067" s="5" t="n">
        <v>12</v>
      </c>
      <c r="K10067" s="10">
        <f>IF(F10067&gt;0,H10067/F10067,"")</f>
        <v/>
      </c>
      <c r="L10067" s="16">
        <f>IF(AND(G10067&gt;0,H10067&gt;0),G10067/H10067,"")</f>
        <v/>
      </c>
    </row>
    <row r="10068">
      <c r="A10068" s="4" t="inlineStr">
        <is>
          <t>362</t>
        </is>
      </c>
      <c r="B10068" s="4" t="n">
        <v>3</v>
      </c>
      <c r="C10068" s="4" t="inlineStr">
        <is>
          <t>whitetail</t>
        </is>
      </c>
      <c r="D10068" s="4" t="n">
        <v>2008</v>
      </c>
      <c r="E10068" s="4" t="inlineStr"/>
      <c r="F10068" s="5" t="n">
        <v>271</v>
      </c>
      <c r="G10068" s="5" t="n">
        <v>1754</v>
      </c>
      <c r="H10068" s="5" t="n">
        <v>21</v>
      </c>
      <c r="I10068" s="5" t="n">
        <v>9</v>
      </c>
      <c r="J10068" s="5" t="n">
        <v>12</v>
      </c>
      <c r="K10068" s="10">
        <f>IF(F10068&gt;0,H10068/F10068,"")</f>
        <v/>
      </c>
      <c r="L10068" s="16">
        <f>IF(AND(G10068&gt;0,H10068&gt;0),G10068/H10068,"")</f>
        <v/>
      </c>
    </row>
    <row r="10069">
      <c r="A10069" s="4" t="inlineStr">
        <is>
          <t>362</t>
        </is>
      </c>
      <c r="B10069" s="4" t="n">
        <v>3</v>
      </c>
      <c r="C10069" s="4" t="inlineStr">
        <is>
          <t>whitetail</t>
        </is>
      </c>
      <c r="D10069" s="4" t="n">
        <v>2009</v>
      </c>
      <c r="E10069" s="4" t="inlineStr"/>
      <c r="F10069" s="5" t="n">
        <v>316</v>
      </c>
      <c r="G10069" s="5" t="n">
        <v>2041</v>
      </c>
      <c r="H10069" s="5" t="n">
        <v>17</v>
      </c>
      <c r="I10069" s="5" t="n">
        <v>12</v>
      </c>
      <c r="J10069" s="5" t="n">
        <v>5</v>
      </c>
      <c r="K10069" s="10">
        <f>IF(F10069&gt;0,H10069/F10069,"")</f>
        <v/>
      </c>
      <c r="L10069" s="16">
        <f>IF(AND(G10069&gt;0,H10069&gt;0),G10069/H10069,"")</f>
        <v/>
      </c>
    </row>
    <row r="10070">
      <c r="A10070" s="4" t="inlineStr">
        <is>
          <t>362</t>
        </is>
      </c>
      <c r="B10070" s="4" t="n">
        <v>3</v>
      </c>
      <c r="C10070" s="4" t="inlineStr">
        <is>
          <t>whitetail</t>
        </is>
      </c>
      <c r="D10070" s="4" t="n">
        <v>2010</v>
      </c>
      <c r="E10070" s="4" t="inlineStr"/>
      <c r="F10070" s="5" t="n">
        <v>306</v>
      </c>
      <c r="G10070" s="5" t="n">
        <v>2664</v>
      </c>
      <c r="H10070" s="5" t="n">
        <v>9</v>
      </c>
      <c r="I10070" s="5" t="n">
        <v>6</v>
      </c>
      <c r="J10070" s="5" t="n">
        <v>3</v>
      </c>
      <c r="K10070" s="10">
        <f>IF(F10070&gt;0,H10070/F10070,"")</f>
        <v/>
      </c>
      <c r="L10070" s="16">
        <f>IF(AND(G10070&gt;0,H10070&gt;0),G10070/H10070,"")</f>
        <v/>
      </c>
    </row>
    <row r="10071">
      <c r="A10071" s="4" t="inlineStr">
        <is>
          <t>362</t>
        </is>
      </c>
      <c r="B10071" s="4" t="n">
        <v>3</v>
      </c>
      <c r="C10071" s="4" t="inlineStr">
        <is>
          <t>whitetail</t>
        </is>
      </c>
      <c r="D10071" s="4" t="n">
        <v>2011</v>
      </c>
      <c r="E10071" s="4" t="inlineStr"/>
      <c r="F10071" s="5" t="n">
        <v>298</v>
      </c>
      <c r="G10071" s="5" t="n">
        <v>2075</v>
      </c>
      <c r="H10071" s="5" t="n">
        <v>6</v>
      </c>
      <c r="I10071" s="5" t="n">
        <v>6</v>
      </c>
      <c r="J10071" s="5" t="n">
        <v>0</v>
      </c>
      <c r="K10071" s="10">
        <f>IF(F10071&gt;0,H10071/F10071,"")</f>
        <v/>
      </c>
      <c r="L10071" s="16">
        <f>IF(AND(G10071&gt;0,H10071&gt;0),G10071/H10071,"")</f>
        <v/>
      </c>
    </row>
    <row r="10072">
      <c r="A10072" s="4" t="inlineStr">
        <is>
          <t>362</t>
        </is>
      </c>
      <c r="B10072" s="4" t="n">
        <v>3</v>
      </c>
      <c r="C10072" s="4" t="inlineStr">
        <is>
          <t>whitetail</t>
        </is>
      </c>
      <c r="D10072" s="4" t="n">
        <v>2012</v>
      </c>
      <c r="E10072" s="4" t="inlineStr"/>
      <c r="F10072" s="5" t="n"/>
      <c r="G10072" s="5" t="n"/>
      <c r="H10072" s="5" t="n">
        <v>14</v>
      </c>
      <c r="I10072" s="5" t="n">
        <v>6</v>
      </c>
      <c r="J10072" s="5" t="n">
        <v>8</v>
      </c>
      <c r="K10072" s="10">
        <f>IF(F10072&gt;0,H10072/F10072,"")</f>
        <v/>
      </c>
      <c r="L10072" s="16">
        <f>IF(AND(G10072&gt;0,H10072&gt;0),G10072/H10072,"")</f>
        <v/>
      </c>
    </row>
    <row r="10073">
      <c r="A10073" s="4" t="inlineStr">
        <is>
          <t>362</t>
        </is>
      </c>
      <c r="B10073" s="4" t="n">
        <v>3</v>
      </c>
      <c r="C10073" s="4" t="inlineStr">
        <is>
          <t>whitetail</t>
        </is>
      </c>
      <c r="D10073" s="4" t="n">
        <v>2013</v>
      </c>
      <c r="E10073" s="4" t="inlineStr"/>
      <c r="F10073" s="5" t="n">
        <v>287</v>
      </c>
      <c r="G10073" s="5" t="n">
        <v>1565</v>
      </c>
      <c r="H10073" s="5" t="n">
        <v>11</v>
      </c>
      <c r="I10073" s="5" t="n">
        <v>9</v>
      </c>
      <c r="J10073" s="5" t="n">
        <v>3</v>
      </c>
      <c r="K10073" s="10">
        <f>IF(F10073&gt;0,H10073/F10073,"")</f>
        <v/>
      </c>
      <c r="L10073" s="16">
        <f>IF(AND(G10073&gt;0,H10073&gt;0),G10073/H10073,"")</f>
        <v/>
      </c>
    </row>
    <row r="10074">
      <c r="A10074" s="4" t="inlineStr">
        <is>
          <t>362</t>
        </is>
      </c>
      <c r="B10074" s="4" t="n">
        <v>3</v>
      </c>
      <c r="C10074" s="4" t="inlineStr">
        <is>
          <t>whitetail</t>
        </is>
      </c>
      <c r="D10074" s="4" t="n">
        <v>2014</v>
      </c>
      <c r="E10074" s="4" t="inlineStr"/>
      <c r="F10074" s="5" t="n"/>
      <c r="G10074" s="5" t="n"/>
      <c r="H10074" s="5" t="n">
        <v>22</v>
      </c>
      <c r="I10074" s="5" t="n">
        <v>14</v>
      </c>
      <c r="J10074" s="5" t="n">
        <v>8</v>
      </c>
      <c r="K10074" s="10">
        <f>IF(F10074&gt;0,H10074/F10074,"")</f>
        <v/>
      </c>
      <c r="L10074" s="16">
        <f>IF(AND(G10074&gt;0,H10074&gt;0),G10074/H10074,"")</f>
        <v/>
      </c>
    </row>
    <row r="10075">
      <c r="A10075" s="4" t="inlineStr">
        <is>
          <t>362</t>
        </is>
      </c>
      <c r="B10075" s="4" t="n">
        <v>3</v>
      </c>
      <c r="C10075" s="4" t="inlineStr">
        <is>
          <t>whitetail</t>
        </is>
      </c>
      <c r="D10075" s="4" t="n">
        <v>2015</v>
      </c>
      <c r="E10075" s="4" t="inlineStr"/>
      <c r="F10075" s="5" t="n"/>
      <c r="G10075" s="5" t="n"/>
      <c r="H10075" s="5" t="n">
        <v>15</v>
      </c>
      <c r="I10075" s="5" t="n">
        <v>7</v>
      </c>
      <c r="J10075" s="5" t="n">
        <v>7</v>
      </c>
      <c r="K10075" s="10">
        <f>IF(F10075&gt;0,H10075/F10075,"")</f>
        <v/>
      </c>
      <c r="L10075" s="16">
        <f>IF(AND(G10075&gt;0,H10075&gt;0),G10075/H10075,"")</f>
        <v/>
      </c>
    </row>
    <row r="10076">
      <c r="A10076" s="4" t="inlineStr">
        <is>
          <t>362</t>
        </is>
      </c>
      <c r="B10076" s="4" t="n">
        <v>3</v>
      </c>
      <c r="C10076" s="4" t="inlineStr">
        <is>
          <t>whitetail</t>
        </is>
      </c>
      <c r="D10076" s="4" t="n">
        <v>2016</v>
      </c>
      <c r="E10076" s="4" t="inlineStr"/>
      <c r="F10076" s="5" t="n"/>
      <c r="G10076" s="5" t="n"/>
      <c r="H10076" s="5" t="n">
        <v>12</v>
      </c>
      <c r="I10076" s="5" t="n">
        <v>9</v>
      </c>
      <c r="J10076" s="5" t="n">
        <v>3</v>
      </c>
      <c r="K10076" s="10">
        <f>IF(F10076&gt;0,H10076/F10076,"")</f>
        <v/>
      </c>
      <c r="L10076" s="16">
        <f>IF(AND(G10076&gt;0,H10076&gt;0),G10076/H10076,"")</f>
        <v/>
      </c>
    </row>
    <row r="10077">
      <c r="A10077" s="4" t="inlineStr">
        <is>
          <t>362</t>
        </is>
      </c>
      <c r="B10077" s="4" t="n">
        <v>3</v>
      </c>
      <c r="C10077" s="4" t="inlineStr">
        <is>
          <t>whitetail</t>
        </is>
      </c>
      <c r="D10077" s="4" t="n">
        <v>2017</v>
      </c>
      <c r="E10077" s="4" t="inlineStr"/>
      <c r="F10077" s="5" t="n">
        <v>372</v>
      </c>
      <c r="G10077" s="5" t="n">
        <v>2471</v>
      </c>
      <c r="H10077" s="5" t="n">
        <v>16</v>
      </c>
      <c r="I10077" s="5" t="n">
        <v>6</v>
      </c>
      <c r="J10077" s="5" t="n">
        <v>10</v>
      </c>
      <c r="K10077" s="10">
        <f>IF(F10077&gt;0,H10077/F10077,"")</f>
        <v/>
      </c>
      <c r="L10077" s="16">
        <f>IF(AND(G10077&gt;0,H10077&gt;0),G10077/H10077,"")</f>
        <v/>
      </c>
    </row>
    <row r="10078">
      <c r="A10078" s="4" t="inlineStr">
        <is>
          <t>362</t>
        </is>
      </c>
      <c r="B10078" s="4" t="n">
        <v>3</v>
      </c>
      <c r="C10078" s="4" t="inlineStr">
        <is>
          <t>whitetail</t>
        </is>
      </c>
      <c r="D10078" s="4" t="n">
        <v>2018</v>
      </c>
      <c r="E10078" s="4" t="inlineStr"/>
      <c r="F10078" s="5" t="n"/>
      <c r="G10078" s="5" t="n"/>
      <c r="H10078" s="5" t="n">
        <v>17</v>
      </c>
      <c r="I10078" s="5" t="n">
        <v>6</v>
      </c>
      <c r="J10078" s="5" t="n">
        <v>10</v>
      </c>
      <c r="K10078" s="10">
        <f>IF(F10078&gt;0,H10078/F10078,"")</f>
        <v/>
      </c>
      <c r="L10078" s="16">
        <f>IF(AND(G10078&gt;0,H10078&gt;0),G10078/H10078,"")</f>
        <v/>
      </c>
    </row>
    <row r="10079">
      <c r="A10079" s="4" t="inlineStr">
        <is>
          <t>362</t>
        </is>
      </c>
      <c r="B10079" s="4" t="n">
        <v>3</v>
      </c>
      <c r="C10079" s="4" t="inlineStr">
        <is>
          <t>whitetail</t>
        </is>
      </c>
      <c r="D10079" s="4" t="n">
        <v>2019</v>
      </c>
      <c r="E10079" s="4" t="inlineStr"/>
      <c r="F10079" s="5" t="n">
        <v>348</v>
      </c>
      <c r="G10079" s="5" t="n">
        <v>1924</v>
      </c>
      <c r="H10079" s="5" t="n">
        <v>7</v>
      </c>
      <c r="I10079" s="5" t="n">
        <v>3</v>
      </c>
      <c r="J10079" s="5" t="n">
        <v>3</v>
      </c>
      <c r="K10079" s="10">
        <f>IF(F10079&gt;0,H10079/F10079,"")</f>
        <v/>
      </c>
      <c r="L10079" s="16">
        <f>IF(AND(G10079&gt;0,H10079&gt;0),G10079/H10079,"")</f>
        <v/>
      </c>
    </row>
    <row r="10080">
      <c r="A10080" s="4" t="inlineStr">
        <is>
          <t>362</t>
        </is>
      </c>
      <c r="B10080" s="4" t="n">
        <v>3</v>
      </c>
      <c r="C10080" s="4" t="inlineStr">
        <is>
          <t>whitetail</t>
        </is>
      </c>
      <c r="D10080" s="4" t="n">
        <v>2020</v>
      </c>
      <c r="E10080" s="4" t="inlineStr"/>
      <c r="F10080" s="5" t="n"/>
      <c r="G10080" s="5" t="n"/>
      <c r="H10080" s="5" t="n">
        <v>6</v>
      </c>
      <c r="I10080" s="5" t="n">
        <v>3</v>
      </c>
      <c r="J10080" s="5" t="n">
        <v>3</v>
      </c>
      <c r="K10080" s="10">
        <f>IF(F10080&gt;0,H10080/F10080,"")</f>
        <v/>
      </c>
      <c r="L10080" s="16">
        <f>IF(AND(G10080&gt;0,H10080&gt;0),G10080/H10080,"")</f>
        <v/>
      </c>
    </row>
    <row r="10081">
      <c r="A10081" s="4" t="inlineStr">
        <is>
          <t>362</t>
        </is>
      </c>
      <c r="B10081" s="4" t="n">
        <v>3</v>
      </c>
      <c r="C10081" s="4" t="inlineStr">
        <is>
          <t>whitetail</t>
        </is>
      </c>
      <c r="D10081" s="4" t="n">
        <v>2021</v>
      </c>
      <c r="E10081" s="4" t="inlineStr"/>
      <c r="F10081" s="5" t="n">
        <v>305</v>
      </c>
      <c r="G10081" s="5" t="n">
        <v>2102</v>
      </c>
      <c r="H10081" s="5" t="n">
        <v>3</v>
      </c>
      <c r="I10081" s="5" t="n">
        <v>3</v>
      </c>
      <c r="J10081" s="5" t="n">
        <v>0</v>
      </c>
      <c r="K10081" s="10">
        <f>IF(F10081&gt;0,H10081/F10081,"")</f>
        <v/>
      </c>
      <c r="L10081" s="16">
        <f>IF(AND(G10081&gt;0,H10081&gt;0),G10081/H10081,"")</f>
        <v/>
      </c>
    </row>
    <row r="10082">
      <c r="A10082" s="4" t="inlineStr">
        <is>
          <t>370</t>
        </is>
      </c>
      <c r="B10082" s="4" t="n">
        <v>3</v>
      </c>
      <c r="C10082" s="4" t="inlineStr">
        <is>
          <t>whitetail</t>
        </is>
      </c>
      <c r="D10082" s="4" t="n">
        <v>2004</v>
      </c>
      <c r="E10082" s="13" t="inlineStr">
        <is>
          <t>General</t>
        </is>
      </c>
      <c r="F10082" s="5" t="n">
        <v>327</v>
      </c>
      <c r="G10082" s="5" t="n">
        <v>1673</v>
      </c>
      <c r="H10082" s="5" t="n">
        <v>45</v>
      </c>
      <c r="I10082" s="5" t="n">
        <v>16</v>
      </c>
      <c r="J10082" s="5" t="n">
        <v>29</v>
      </c>
      <c r="K10082" s="10">
        <f>IF(F10082&gt;0,H10082/F10082,"")</f>
        <v/>
      </c>
      <c r="L10082" s="16">
        <f>IF(AND(G10082&gt;0,H10082&gt;0),G10082/H10082,"")</f>
        <v/>
      </c>
    </row>
    <row r="10083">
      <c r="A10083" s="4" t="inlineStr">
        <is>
          <t>370</t>
        </is>
      </c>
      <c r="B10083" s="4" t="n">
        <v>3</v>
      </c>
      <c r="C10083" s="4" t="inlineStr">
        <is>
          <t>whitetail</t>
        </is>
      </c>
      <c r="D10083" s="4" t="n">
        <v>2005</v>
      </c>
      <c r="E10083" s="13" t="inlineStr">
        <is>
          <t>General</t>
        </is>
      </c>
      <c r="F10083" s="5" t="n">
        <v>326</v>
      </c>
      <c r="G10083" s="5" t="n">
        <v>1913</v>
      </c>
      <c r="H10083" s="5" t="n">
        <v>31</v>
      </c>
      <c r="I10083" s="5" t="n">
        <v>19</v>
      </c>
      <c r="J10083" s="5" t="n">
        <v>12</v>
      </c>
      <c r="K10083" s="10">
        <f>IF(F10083&gt;0,H10083/F10083,"")</f>
        <v/>
      </c>
      <c r="L10083" s="16">
        <f>IF(AND(G10083&gt;0,H10083&gt;0),G10083/H10083,"")</f>
        <v/>
      </c>
    </row>
    <row r="10084">
      <c r="A10084" s="4" t="inlineStr">
        <is>
          <t>370</t>
        </is>
      </c>
      <c r="B10084" s="4" t="n">
        <v>3</v>
      </c>
      <c r="C10084" s="4" t="inlineStr">
        <is>
          <t>whitetail</t>
        </is>
      </c>
      <c r="D10084" s="4" t="n">
        <v>2006</v>
      </c>
      <c r="E10084" s="13" t="inlineStr">
        <is>
          <t>General</t>
        </is>
      </c>
      <c r="F10084" s="5" t="n">
        <v>448</v>
      </c>
      <c r="G10084" s="5" t="n">
        <v>2735</v>
      </c>
      <c r="H10084" s="5" t="n">
        <v>37</v>
      </c>
      <c r="I10084" s="5" t="n">
        <v>26</v>
      </c>
      <c r="J10084" s="5" t="n">
        <v>11</v>
      </c>
      <c r="K10084" s="10">
        <f>IF(F10084&gt;0,H10084/F10084,"")</f>
        <v/>
      </c>
      <c r="L10084" s="16">
        <f>IF(AND(G10084&gt;0,H10084&gt;0),G10084/H10084,"")</f>
        <v/>
      </c>
    </row>
    <row r="10085">
      <c r="A10085" s="4" t="inlineStr">
        <is>
          <t>370</t>
        </is>
      </c>
      <c r="B10085" s="4" t="n">
        <v>3</v>
      </c>
      <c r="C10085" s="4" t="inlineStr">
        <is>
          <t>whitetail</t>
        </is>
      </c>
      <c r="D10085" s="4" t="n">
        <v>2007</v>
      </c>
      <c r="E10085" s="13" t="inlineStr">
        <is>
          <t>General</t>
        </is>
      </c>
      <c r="F10085" s="5" t="n">
        <v>437</v>
      </c>
      <c r="G10085" s="5" t="n">
        <v>2672</v>
      </c>
      <c r="H10085" s="5" t="n">
        <v>86</v>
      </c>
      <c r="I10085" s="5" t="n">
        <v>38</v>
      </c>
      <c r="J10085" s="5" t="n">
        <v>43</v>
      </c>
      <c r="K10085" s="10">
        <f>IF(F10085&gt;0,H10085/F10085,"")</f>
        <v/>
      </c>
      <c r="L10085" s="16">
        <f>IF(AND(G10085&gt;0,H10085&gt;0),G10085/H10085,"")</f>
        <v/>
      </c>
    </row>
    <row r="10086">
      <c r="A10086" s="4" t="inlineStr">
        <is>
          <t>370</t>
        </is>
      </c>
      <c r="B10086" s="4" t="n">
        <v>3</v>
      </c>
      <c r="C10086" s="4" t="inlineStr">
        <is>
          <t>whitetail</t>
        </is>
      </c>
      <c r="D10086" s="4" t="n">
        <v>2008</v>
      </c>
      <c r="E10086" s="13" t="inlineStr">
        <is>
          <t>General</t>
        </is>
      </c>
      <c r="F10086" s="5" t="n">
        <v>455</v>
      </c>
      <c r="G10086" s="5" t="n">
        <v>2541</v>
      </c>
      <c r="H10086" s="5" t="n">
        <v>69</v>
      </c>
      <c r="I10086" s="5" t="n">
        <v>39</v>
      </c>
      <c r="J10086" s="5" t="n">
        <v>30</v>
      </c>
      <c r="K10086" s="10">
        <f>IF(F10086&gt;0,H10086/F10086,"")</f>
        <v/>
      </c>
      <c r="L10086" s="16">
        <f>IF(AND(G10086&gt;0,H10086&gt;0),G10086/H10086,"")</f>
        <v/>
      </c>
    </row>
    <row r="10087">
      <c r="A10087" s="4" t="inlineStr">
        <is>
          <t>370</t>
        </is>
      </c>
      <c r="B10087" s="4" t="n">
        <v>3</v>
      </c>
      <c r="C10087" s="4" t="inlineStr">
        <is>
          <t>whitetail</t>
        </is>
      </c>
      <c r="D10087" s="4" t="n">
        <v>2009</v>
      </c>
      <c r="E10087" s="13" t="inlineStr">
        <is>
          <t>General</t>
        </is>
      </c>
      <c r="F10087" s="5" t="n">
        <v>481</v>
      </c>
      <c r="G10087" s="5" t="n">
        <v>2936</v>
      </c>
      <c r="H10087" s="5" t="n">
        <v>32</v>
      </c>
      <c r="I10087" s="5" t="n">
        <v>18</v>
      </c>
      <c r="J10087" s="5" t="n">
        <v>8</v>
      </c>
      <c r="K10087" s="10">
        <f>IF(F10087&gt;0,H10087/F10087,"")</f>
        <v/>
      </c>
      <c r="L10087" s="16">
        <f>IF(AND(G10087&gt;0,H10087&gt;0),G10087/H10087,"")</f>
        <v/>
      </c>
    </row>
    <row r="10088">
      <c r="A10088" s="4" t="inlineStr">
        <is>
          <t>370</t>
        </is>
      </c>
      <c r="B10088" s="4" t="n">
        <v>3</v>
      </c>
      <c r="C10088" s="4" t="inlineStr">
        <is>
          <t>whitetail</t>
        </is>
      </c>
      <c r="D10088" s="4" t="n">
        <v>2010</v>
      </c>
      <c r="E10088" s="13" t="inlineStr">
        <is>
          <t>General</t>
        </is>
      </c>
      <c r="F10088" s="5" t="n">
        <v>470</v>
      </c>
      <c r="G10088" s="5" t="n">
        <v>2822</v>
      </c>
      <c r="H10088" s="5" t="n">
        <v>37</v>
      </c>
      <c r="I10088" s="5" t="n">
        <v>11</v>
      </c>
      <c r="J10088" s="5" t="n">
        <v>26</v>
      </c>
      <c r="K10088" s="10">
        <f>IF(F10088&gt;0,H10088/F10088,"")</f>
        <v/>
      </c>
      <c r="L10088" s="16">
        <f>IF(AND(G10088&gt;0,H10088&gt;0),G10088/H10088,"")</f>
        <v/>
      </c>
    </row>
    <row r="10089">
      <c r="A10089" s="4" t="inlineStr">
        <is>
          <t>370</t>
        </is>
      </c>
      <c r="B10089" s="4" t="n">
        <v>3</v>
      </c>
      <c r="C10089" s="4" t="inlineStr">
        <is>
          <t>whitetail</t>
        </is>
      </c>
      <c r="D10089" s="4" t="n">
        <v>2011</v>
      </c>
      <c r="E10089" s="13" t="inlineStr">
        <is>
          <t>General</t>
        </is>
      </c>
      <c r="F10089" s="5" t="n">
        <v>475</v>
      </c>
      <c r="G10089" s="5" t="n">
        <v>2788</v>
      </c>
      <c r="H10089" s="5" t="n">
        <v>28</v>
      </c>
      <c r="I10089" s="5" t="n">
        <v>20</v>
      </c>
      <c r="J10089" s="5" t="n">
        <v>9</v>
      </c>
      <c r="K10089" s="10">
        <f>IF(F10089&gt;0,H10089/F10089,"")</f>
        <v/>
      </c>
      <c r="L10089" s="16">
        <f>IF(AND(G10089&gt;0,H10089&gt;0),G10089/H10089,"")</f>
        <v/>
      </c>
    </row>
    <row r="10090">
      <c r="A10090" s="4" t="inlineStr">
        <is>
          <t>370</t>
        </is>
      </c>
      <c r="B10090" s="4" t="n">
        <v>3</v>
      </c>
      <c r="C10090" s="4" t="inlineStr">
        <is>
          <t>whitetail</t>
        </is>
      </c>
      <c r="D10090" s="4" t="n">
        <v>2012</v>
      </c>
      <c r="E10090" s="13" t="inlineStr">
        <is>
          <t>General</t>
        </is>
      </c>
      <c r="F10090" s="5" t="n"/>
      <c r="G10090" s="5" t="n"/>
      <c r="H10090" s="5" t="n">
        <v>43</v>
      </c>
      <c r="I10090" s="5" t="n">
        <v>25</v>
      </c>
      <c r="J10090" s="5" t="n">
        <v>18</v>
      </c>
      <c r="K10090" s="10">
        <f>IF(F10090&gt;0,H10090/F10090,"")</f>
        <v/>
      </c>
      <c r="L10090" s="16">
        <f>IF(AND(G10090&gt;0,H10090&gt;0),G10090/H10090,"")</f>
        <v/>
      </c>
    </row>
    <row r="10091">
      <c r="A10091" s="4" t="inlineStr">
        <is>
          <t>370</t>
        </is>
      </c>
      <c r="B10091" s="4" t="n">
        <v>3</v>
      </c>
      <c r="C10091" s="4" t="inlineStr">
        <is>
          <t>whitetail</t>
        </is>
      </c>
      <c r="D10091" s="4" t="n">
        <v>2013</v>
      </c>
      <c r="E10091" s="13" t="inlineStr">
        <is>
          <t>General</t>
        </is>
      </c>
      <c r="F10091" s="5" t="n">
        <v>501</v>
      </c>
      <c r="G10091" s="5" t="n">
        <v>3565</v>
      </c>
      <c r="H10091" s="5" t="n">
        <v>26</v>
      </c>
      <c r="I10091" s="5" t="n">
        <v>9</v>
      </c>
      <c r="J10091" s="5" t="n">
        <v>18</v>
      </c>
      <c r="K10091" s="10">
        <f>IF(F10091&gt;0,H10091/F10091,"")</f>
        <v/>
      </c>
      <c r="L10091" s="16">
        <f>IF(AND(G10091&gt;0,H10091&gt;0),G10091/H10091,"")</f>
        <v/>
      </c>
    </row>
    <row r="10092">
      <c r="A10092" s="4" t="inlineStr">
        <is>
          <t>370</t>
        </is>
      </c>
      <c r="B10092" s="4" t="n">
        <v>3</v>
      </c>
      <c r="C10092" s="4" t="inlineStr">
        <is>
          <t>whitetail</t>
        </is>
      </c>
      <c r="D10092" s="4" t="n">
        <v>2014</v>
      </c>
      <c r="E10092" s="13" t="inlineStr">
        <is>
          <t>General</t>
        </is>
      </c>
      <c r="F10092" s="5" t="n"/>
      <c r="G10092" s="5" t="n"/>
      <c r="H10092" s="5" t="n">
        <v>49</v>
      </c>
      <c r="I10092" s="5" t="n">
        <v>34</v>
      </c>
      <c r="J10092" s="5" t="n">
        <v>15</v>
      </c>
      <c r="K10092" s="10">
        <f>IF(F10092&gt;0,H10092/F10092,"")</f>
        <v/>
      </c>
      <c r="L10092" s="16">
        <f>IF(AND(G10092&gt;0,H10092&gt;0),G10092/H10092,"")</f>
        <v/>
      </c>
    </row>
    <row r="10093">
      <c r="A10093" s="4" t="inlineStr">
        <is>
          <t>370</t>
        </is>
      </c>
      <c r="B10093" s="4" t="n">
        <v>3</v>
      </c>
      <c r="C10093" s="4" t="inlineStr">
        <is>
          <t>whitetail</t>
        </is>
      </c>
      <c r="D10093" s="4" t="n">
        <v>2015</v>
      </c>
      <c r="E10093" s="13" t="inlineStr">
        <is>
          <t>General</t>
        </is>
      </c>
      <c r="F10093" s="5" t="n"/>
      <c r="G10093" s="5" t="n"/>
      <c r="H10093" s="5" t="n">
        <v>33</v>
      </c>
      <c r="I10093" s="5" t="n">
        <v>14</v>
      </c>
      <c r="J10093" s="5" t="n">
        <v>19</v>
      </c>
      <c r="K10093" s="10">
        <f>IF(F10093&gt;0,H10093/F10093,"")</f>
        <v/>
      </c>
      <c r="L10093" s="16">
        <f>IF(AND(G10093&gt;0,H10093&gt;0),G10093/H10093,"")</f>
        <v/>
      </c>
    </row>
    <row r="10094">
      <c r="A10094" s="4" t="inlineStr">
        <is>
          <t>370</t>
        </is>
      </c>
      <c r="B10094" s="4" t="n">
        <v>3</v>
      </c>
      <c r="C10094" s="4" t="inlineStr">
        <is>
          <t>whitetail</t>
        </is>
      </c>
      <c r="D10094" s="4" t="n">
        <v>2016</v>
      </c>
      <c r="E10094" s="13" t="inlineStr">
        <is>
          <t>General</t>
        </is>
      </c>
      <c r="F10094" s="5" t="n"/>
      <c r="G10094" s="5" t="n"/>
      <c r="H10094" s="5" t="n">
        <v>12</v>
      </c>
      <c r="I10094" s="5" t="n">
        <v>12</v>
      </c>
      <c r="J10094" s="5" t="n">
        <v>0</v>
      </c>
      <c r="K10094" s="10">
        <f>IF(F10094&gt;0,H10094/F10094,"")</f>
        <v/>
      </c>
      <c r="L10094" s="16">
        <f>IF(AND(G10094&gt;0,H10094&gt;0),G10094/H10094,"")</f>
        <v/>
      </c>
    </row>
    <row r="10095">
      <c r="A10095" s="4" t="inlineStr">
        <is>
          <t>370</t>
        </is>
      </c>
      <c r="B10095" s="4" t="n">
        <v>3</v>
      </c>
      <c r="C10095" s="4" t="inlineStr">
        <is>
          <t>whitetail</t>
        </is>
      </c>
      <c r="D10095" s="4" t="n">
        <v>2017</v>
      </c>
      <c r="E10095" s="13" t="inlineStr">
        <is>
          <t>General</t>
        </is>
      </c>
      <c r="F10095" s="5" t="n">
        <v>490</v>
      </c>
      <c r="G10095" s="5" t="n">
        <v>2725</v>
      </c>
      <c r="H10095" s="5" t="n">
        <v>35</v>
      </c>
      <c r="I10095" s="5" t="n">
        <v>15</v>
      </c>
      <c r="J10095" s="5" t="n">
        <v>20</v>
      </c>
      <c r="K10095" s="10">
        <f>IF(F10095&gt;0,H10095/F10095,"")</f>
        <v/>
      </c>
      <c r="L10095" s="16">
        <f>IF(AND(G10095&gt;0,H10095&gt;0),G10095/H10095,"")</f>
        <v/>
      </c>
    </row>
    <row r="10096">
      <c r="A10096" s="4" t="inlineStr">
        <is>
          <t>370</t>
        </is>
      </c>
      <c r="B10096" s="4" t="n">
        <v>3</v>
      </c>
      <c r="C10096" s="4" t="inlineStr">
        <is>
          <t>whitetail</t>
        </is>
      </c>
      <c r="D10096" s="4" t="n">
        <v>2018</v>
      </c>
      <c r="E10096" s="13" t="inlineStr">
        <is>
          <t>General</t>
        </is>
      </c>
      <c r="F10096" s="5" t="n"/>
      <c r="G10096" s="5" t="n"/>
      <c r="H10096" s="5" t="n">
        <v>18</v>
      </c>
      <c r="I10096" s="5" t="n">
        <v>9</v>
      </c>
      <c r="J10096" s="5" t="n">
        <v>9</v>
      </c>
      <c r="K10096" s="10">
        <f>IF(F10096&gt;0,H10096/F10096,"")</f>
        <v/>
      </c>
      <c r="L10096" s="16">
        <f>IF(AND(G10096&gt;0,H10096&gt;0),G10096/H10096,"")</f>
        <v/>
      </c>
    </row>
    <row r="10097">
      <c r="A10097" s="4" t="inlineStr">
        <is>
          <t>370</t>
        </is>
      </c>
      <c r="B10097" s="4" t="n">
        <v>3</v>
      </c>
      <c r="C10097" s="4" t="inlineStr">
        <is>
          <t>whitetail</t>
        </is>
      </c>
      <c r="D10097" s="4" t="n">
        <v>2019</v>
      </c>
      <c r="E10097" s="13" t="inlineStr">
        <is>
          <t>General</t>
        </is>
      </c>
      <c r="F10097" s="5" t="n">
        <v>408</v>
      </c>
      <c r="G10097" s="5" t="n">
        <v>2415</v>
      </c>
      <c r="H10097" s="5" t="n">
        <v>25</v>
      </c>
      <c r="I10097" s="5" t="n">
        <v>6</v>
      </c>
      <c r="J10097" s="5" t="n">
        <v>19</v>
      </c>
      <c r="K10097" s="10">
        <f>IF(F10097&gt;0,H10097/F10097,"")</f>
        <v/>
      </c>
      <c r="L10097" s="16">
        <f>IF(AND(G10097&gt;0,H10097&gt;0),G10097/H10097,"")</f>
        <v/>
      </c>
    </row>
    <row r="10098">
      <c r="A10098" s="4" t="inlineStr">
        <is>
          <t>370</t>
        </is>
      </c>
      <c r="B10098" s="4" t="n">
        <v>3</v>
      </c>
      <c r="C10098" s="4" t="inlineStr">
        <is>
          <t>whitetail</t>
        </is>
      </c>
      <c r="D10098" s="4" t="n">
        <v>2020</v>
      </c>
      <c r="E10098" s="13" t="inlineStr">
        <is>
          <t>General</t>
        </is>
      </c>
      <c r="F10098" s="5" t="n"/>
      <c r="G10098" s="5" t="n"/>
      <c r="H10098" s="5" t="n">
        <v>25</v>
      </c>
      <c r="I10098" s="5" t="n">
        <v>19</v>
      </c>
      <c r="J10098" s="5" t="n">
        <v>6</v>
      </c>
      <c r="K10098" s="10">
        <f>IF(F10098&gt;0,H10098/F10098,"")</f>
        <v/>
      </c>
      <c r="L10098" s="16">
        <f>IF(AND(G10098&gt;0,H10098&gt;0),G10098/H10098,"")</f>
        <v/>
      </c>
    </row>
    <row r="10099">
      <c r="A10099" s="4" t="inlineStr">
        <is>
          <t>370</t>
        </is>
      </c>
      <c r="B10099" s="4" t="n">
        <v>3</v>
      </c>
      <c r="C10099" s="4" t="inlineStr">
        <is>
          <t>whitetail</t>
        </is>
      </c>
      <c r="D10099" s="4" t="n">
        <v>2021</v>
      </c>
      <c r="E10099" s="13" t="inlineStr">
        <is>
          <t>General</t>
        </is>
      </c>
      <c r="F10099" s="5" t="n">
        <v>490</v>
      </c>
      <c r="G10099" s="5" t="n">
        <v>2880</v>
      </c>
      <c r="H10099" s="5" t="n">
        <v>20</v>
      </c>
      <c r="I10099" s="5" t="n">
        <v>15</v>
      </c>
      <c r="J10099" s="5" t="n">
        <v>5</v>
      </c>
      <c r="K10099" s="10">
        <f>IF(F10099&gt;0,H10099/F10099,"")</f>
        <v/>
      </c>
      <c r="L10099" s="16">
        <f>IF(AND(G10099&gt;0,H10099&gt;0),G10099/H10099,"")</f>
        <v/>
      </c>
    </row>
    <row r="10100">
      <c r="A10100" s="4" t="inlineStr">
        <is>
          <t>370</t>
        </is>
      </c>
      <c r="B10100" s="4" t="n">
        <v>3</v>
      </c>
      <c r="C10100" s="4" t="inlineStr">
        <is>
          <t>whitetail</t>
        </is>
      </c>
      <c r="D10100" s="4" t="n">
        <v>2022</v>
      </c>
      <c r="E10100" s="13" t="inlineStr">
        <is>
          <t>General</t>
        </is>
      </c>
      <c r="F10100" s="5" t="n"/>
      <c r="G10100" s="5" t="n"/>
      <c r="H10100" s="5" t="n">
        <v>15</v>
      </c>
      <c r="I10100" s="5" t="n">
        <v>7</v>
      </c>
      <c r="J10100" s="5" t="n">
        <v>8</v>
      </c>
      <c r="K10100" s="10">
        <f>IF(F10100&gt;0,H10100/F10100,"")</f>
        <v/>
      </c>
      <c r="L10100" s="16">
        <f>IF(AND(G10100&gt;0,H10100&gt;0),G10100/H10100,"")</f>
        <v/>
      </c>
    </row>
    <row r="10101">
      <c r="A10101" s="4" t="inlineStr">
        <is>
          <t>370</t>
        </is>
      </c>
      <c r="B10101" s="4" t="n">
        <v>3</v>
      </c>
      <c r="C10101" s="4" t="inlineStr">
        <is>
          <t>whitetail</t>
        </is>
      </c>
      <c r="D10101" s="4" t="n">
        <v>2023</v>
      </c>
      <c r="E10101" s="13" t="inlineStr">
        <is>
          <t>General</t>
        </is>
      </c>
      <c r="F10101" s="5" t="n">
        <v>572</v>
      </c>
      <c r="G10101" s="5" t="n">
        <v>3536</v>
      </c>
      <c r="H10101" s="5" t="n">
        <v>43</v>
      </c>
      <c r="I10101" s="5" t="n">
        <v>32</v>
      </c>
      <c r="J10101" s="5" t="n">
        <v>11</v>
      </c>
      <c r="K10101" s="10">
        <f>IF(F10101&gt;0,H10101/F10101,"")</f>
        <v/>
      </c>
      <c r="L10101" s="16">
        <f>IF(AND(G10101&gt;0,H10101&gt;0),G10101/H10101,"")</f>
        <v/>
      </c>
    </row>
    <row r="10102">
      <c r="A10102" s="4" t="inlineStr">
        <is>
          <t>370</t>
        </is>
      </c>
      <c r="B10102" s="4" t="n">
        <v>3</v>
      </c>
      <c r="C10102" s="4" t="inlineStr">
        <is>
          <t>whitetail</t>
        </is>
      </c>
      <c r="D10102" s="4" t="n">
        <v>2024</v>
      </c>
      <c r="E10102" s="13" t="inlineStr">
        <is>
          <t>General</t>
        </is>
      </c>
      <c r="F10102" s="5" t="n"/>
      <c r="G10102" s="5" t="n"/>
      <c r="H10102" s="5" t="n">
        <v>25</v>
      </c>
      <c r="I10102" s="5" t="n">
        <v>12</v>
      </c>
      <c r="J10102" s="5" t="n">
        <v>13</v>
      </c>
      <c r="K10102" s="10">
        <f>IF(F10102&gt;0,H10102/F10102,"")</f>
        <v/>
      </c>
      <c r="L10102" s="16">
        <f>IF(AND(G10102&gt;0,H10102&gt;0),G10102/H10102,"")</f>
        <v/>
      </c>
    </row>
    <row r="10103">
      <c r="A10103" s="4" t="inlineStr">
        <is>
          <t>370</t>
        </is>
      </c>
      <c r="B10103" s="4" t="n">
        <v>3</v>
      </c>
      <c r="C10103" s="4" t="inlineStr">
        <is>
          <t>whitetail</t>
        </is>
      </c>
      <c r="D10103" s="4" t="n">
        <v>2025</v>
      </c>
      <c r="E10103" s="13" t="inlineStr">
        <is>
          <t>General</t>
        </is>
      </c>
      <c r="F10103" s="5" t="n">
        <v>515</v>
      </c>
      <c r="G10103" s="5" t="n">
        <v>3111</v>
      </c>
      <c r="H10103" s="5" t="n">
        <v>37</v>
      </c>
      <c r="I10103" s="5" t="n">
        <v>24</v>
      </c>
      <c r="J10103" s="5" t="n">
        <v>13</v>
      </c>
      <c r="K10103" s="10">
        <f>IF(F10103&gt;0,H10103/F10103,"")</f>
        <v/>
      </c>
      <c r="L10103" s="16">
        <f>IF(AND(G10103&gt;0,H10103&gt;0),G10103/H10103,"")</f>
        <v/>
      </c>
    </row>
    <row r="10104">
      <c r="A10104" s="4" t="inlineStr">
        <is>
          <t>380</t>
        </is>
      </c>
      <c r="B10104" s="4" t="n">
        <v>3</v>
      </c>
      <c r="C10104" s="4" t="inlineStr">
        <is>
          <t>whitetail</t>
        </is>
      </c>
      <c r="D10104" s="4" t="n">
        <v>2004</v>
      </c>
      <c r="E10104" s="13" t="inlineStr">
        <is>
          <t>General</t>
        </is>
      </c>
      <c r="F10104" s="5" t="n">
        <v>1929</v>
      </c>
      <c r="G10104" s="5" t="n">
        <v>11170</v>
      </c>
      <c r="H10104" s="5" t="n">
        <v>394</v>
      </c>
      <c r="I10104" s="5" t="n">
        <v>214</v>
      </c>
      <c r="J10104" s="5" t="n">
        <v>170</v>
      </c>
      <c r="K10104" s="10">
        <f>IF(F10104&gt;0,H10104/F10104,"")</f>
        <v/>
      </c>
      <c r="L10104" s="16">
        <f>IF(AND(G10104&gt;0,H10104&gt;0),G10104/H10104,"")</f>
        <v/>
      </c>
    </row>
    <row r="10105">
      <c r="A10105" s="4" t="inlineStr">
        <is>
          <t>380</t>
        </is>
      </c>
      <c r="B10105" s="4" t="n">
        <v>3</v>
      </c>
      <c r="C10105" s="4" t="inlineStr">
        <is>
          <t>whitetail</t>
        </is>
      </c>
      <c r="D10105" s="4" t="n">
        <v>2005</v>
      </c>
      <c r="E10105" s="13" t="inlineStr">
        <is>
          <t>General</t>
        </is>
      </c>
      <c r="F10105" s="5" t="n">
        <v>1804</v>
      </c>
      <c r="G10105" s="5" t="n">
        <v>10616</v>
      </c>
      <c r="H10105" s="5" t="n">
        <v>370</v>
      </c>
      <c r="I10105" s="5" t="n">
        <v>166</v>
      </c>
      <c r="J10105" s="5" t="n">
        <v>196</v>
      </c>
      <c r="K10105" s="10">
        <f>IF(F10105&gt;0,H10105/F10105,"")</f>
        <v/>
      </c>
      <c r="L10105" s="16">
        <f>IF(AND(G10105&gt;0,H10105&gt;0),G10105/H10105,"")</f>
        <v/>
      </c>
    </row>
    <row r="10106">
      <c r="A10106" s="4" t="inlineStr">
        <is>
          <t>380</t>
        </is>
      </c>
      <c r="B10106" s="4" t="n">
        <v>3</v>
      </c>
      <c r="C10106" s="4" t="inlineStr">
        <is>
          <t>whitetail</t>
        </is>
      </c>
      <c r="D10106" s="4" t="n">
        <v>2006</v>
      </c>
      <c r="E10106" s="13" t="inlineStr">
        <is>
          <t>General</t>
        </is>
      </c>
      <c r="F10106" s="5" t="n">
        <v>2093</v>
      </c>
      <c r="G10106" s="5" t="n">
        <v>13856</v>
      </c>
      <c r="H10106" s="5" t="n">
        <v>462</v>
      </c>
      <c r="I10106" s="5" t="n">
        <v>249</v>
      </c>
      <c r="J10106" s="5" t="n">
        <v>198</v>
      </c>
      <c r="K10106" s="10">
        <f>IF(F10106&gt;0,H10106/F10106,"")</f>
        <v/>
      </c>
      <c r="L10106" s="16">
        <f>IF(AND(G10106&gt;0,H10106&gt;0),G10106/H10106,"")</f>
        <v/>
      </c>
    </row>
    <row r="10107">
      <c r="A10107" s="4" t="inlineStr">
        <is>
          <t>380</t>
        </is>
      </c>
      <c r="B10107" s="4" t="n">
        <v>3</v>
      </c>
      <c r="C10107" s="4" t="inlineStr">
        <is>
          <t>whitetail</t>
        </is>
      </c>
      <c r="D10107" s="4" t="n">
        <v>2007</v>
      </c>
      <c r="E10107" s="13" t="inlineStr">
        <is>
          <t>General</t>
        </is>
      </c>
      <c r="F10107" s="5" t="n">
        <v>2216</v>
      </c>
      <c r="G10107" s="5" t="n">
        <v>14069</v>
      </c>
      <c r="H10107" s="5" t="n">
        <v>466</v>
      </c>
      <c r="I10107" s="5" t="n">
        <v>213</v>
      </c>
      <c r="J10107" s="5" t="n">
        <v>249</v>
      </c>
      <c r="K10107" s="10">
        <f>IF(F10107&gt;0,H10107/F10107,"")</f>
        <v/>
      </c>
      <c r="L10107" s="16">
        <f>IF(AND(G10107&gt;0,H10107&gt;0),G10107/H10107,"")</f>
        <v/>
      </c>
    </row>
    <row r="10108">
      <c r="A10108" s="4" t="inlineStr">
        <is>
          <t>380</t>
        </is>
      </c>
      <c r="B10108" s="4" t="n">
        <v>3</v>
      </c>
      <c r="C10108" s="4" t="inlineStr">
        <is>
          <t>whitetail</t>
        </is>
      </c>
      <c r="D10108" s="4" t="n">
        <v>2008</v>
      </c>
      <c r="E10108" s="13" t="inlineStr">
        <is>
          <t>General</t>
        </is>
      </c>
      <c r="F10108" s="5" t="n">
        <v>2352</v>
      </c>
      <c r="G10108" s="5" t="n">
        <v>16933</v>
      </c>
      <c r="H10108" s="5" t="n">
        <v>395</v>
      </c>
      <c r="I10108" s="5" t="n">
        <v>188</v>
      </c>
      <c r="J10108" s="5" t="n">
        <v>197</v>
      </c>
      <c r="K10108" s="10">
        <f>IF(F10108&gt;0,H10108/F10108,"")</f>
        <v/>
      </c>
      <c r="L10108" s="16">
        <f>IF(AND(G10108&gt;0,H10108&gt;0),G10108/H10108,"")</f>
        <v/>
      </c>
    </row>
    <row r="10109">
      <c r="A10109" s="4" t="inlineStr">
        <is>
          <t>380</t>
        </is>
      </c>
      <c r="B10109" s="4" t="n">
        <v>3</v>
      </c>
      <c r="C10109" s="4" t="inlineStr">
        <is>
          <t>whitetail</t>
        </is>
      </c>
      <c r="D10109" s="4" t="n">
        <v>2009</v>
      </c>
      <c r="E10109" s="13" t="inlineStr">
        <is>
          <t>General</t>
        </is>
      </c>
      <c r="F10109" s="5" t="n">
        <v>2084</v>
      </c>
      <c r="G10109" s="5" t="n">
        <v>14162</v>
      </c>
      <c r="H10109" s="5" t="n">
        <v>506</v>
      </c>
      <c r="I10109" s="5" t="n">
        <v>202</v>
      </c>
      <c r="J10109" s="5" t="n">
        <v>294</v>
      </c>
      <c r="K10109" s="10">
        <f>IF(F10109&gt;0,H10109/F10109,"")</f>
        <v/>
      </c>
      <c r="L10109" s="16">
        <f>IF(AND(G10109&gt;0,H10109&gt;0),G10109/H10109,"")</f>
        <v/>
      </c>
    </row>
    <row r="10110">
      <c r="A10110" s="4" t="inlineStr">
        <is>
          <t>380</t>
        </is>
      </c>
      <c r="B10110" s="4" t="n">
        <v>3</v>
      </c>
      <c r="C10110" s="4" t="inlineStr">
        <is>
          <t>whitetail</t>
        </is>
      </c>
      <c r="D10110" s="4" t="n">
        <v>2010</v>
      </c>
      <c r="E10110" s="13" t="inlineStr">
        <is>
          <t>General</t>
        </is>
      </c>
      <c r="F10110" s="5" t="n">
        <v>1913</v>
      </c>
      <c r="G10110" s="5" t="n">
        <v>12700</v>
      </c>
      <c r="H10110" s="5" t="n">
        <v>398</v>
      </c>
      <c r="I10110" s="5" t="n">
        <v>178</v>
      </c>
      <c r="J10110" s="5" t="n">
        <v>203</v>
      </c>
      <c r="K10110" s="10">
        <f>IF(F10110&gt;0,H10110/F10110,"")</f>
        <v/>
      </c>
      <c r="L10110" s="16">
        <f>IF(AND(G10110&gt;0,H10110&gt;0),G10110/H10110,"")</f>
        <v/>
      </c>
    </row>
    <row r="10111">
      <c r="A10111" s="4" t="inlineStr">
        <is>
          <t>380</t>
        </is>
      </c>
      <c r="B10111" s="4" t="n">
        <v>3</v>
      </c>
      <c r="C10111" s="4" t="inlineStr">
        <is>
          <t>whitetail</t>
        </is>
      </c>
      <c r="D10111" s="4" t="n">
        <v>2011</v>
      </c>
      <c r="E10111" s="13" t="inlineStr">
        <is>
          <t>General</t>
        </is>
      </c>
      <c r="F10111" s="5" t="n">
        <v>1818</v>
      </c>
      <c r="G10111" s="5" t="n">
        <v>12231</v>
      </c>
      <c r="H10111" s="5" t="n">
        <v>492</v>
      </c>
      <c r="I10111" s="5" t="n">
        <v>250</v>
      </c>
      <c r="J10111" s="5" t="n">
        <v>233</v>
      </c>
      <c r="K10111" s="10">
        <f>IF(F10111&gt;0,H10111/F10111,"")</f>
        <v/>
      </c>
      <c r="L10111" s="16">
        <f>IF(AND(G10111&gt;0,H10111&gt;0),G10111/H10111,"")</f>
        <v/>
      </c>
    </row>
    <row r="10112">
      <c r="A10112" s="4" t="inlineStr">
        <is>
          <t>380</t>
        </is>
      </c>
      <c r="B10112" s="4" t="n">
        <v>3</v>
      </c>
      <c r="C10112" s="4" t="inlineStr">
        <is>
          <t>whitetail</t>
        </is>
      </c>
      <c r="D10112" s="4" t="n">
        <v>2012</v>
      </c>
      <c r="E10112" s="13" t="inlineStr">
        <is>
          <t>General</t>
        </is>
      </c>
      <c r="F10112" s="5" t="n"/>
      <c r="G10112" s="5" t="n"/>
      <c r="H10112" s="5" t="n">
        <v>523</v>
      </c>
      <c r="I10112" s="5" t="n">
        <v>183</v>
      </c>
      <c r="J10112" s="5" t="n">
        <v>325</v>
      </c>
      <c r="K10112" s="10">
        <f>IF(F10112&gt;0,H10112/F10112,"")</f>
        <v/>
      </c>
      <c r="L10112" s="16">
        <f>IF(AND(G10112&gt;0,H10112&gt;0),G10112/H10112,"")</f>
        <v/>
      </c>
    </row>
    <row r="10113">
      <c r="A10113" s="4" t="inlineStr">
        <is>
          <t>380</t>
        </is>
      </c>
      <c r="B10113" s="4" t="n">
        <v>3</v>
      </c>
      <c r="C10113" s="4" t="inlineStr">
        <is>
          <t>whitetail</t>
        </is>
      </c>
      <c r="D10113" s="4" t="n">
        <v>2013</v>
      </c>
      <c r="E10113" s="13" t="inlineStr">
        <is>
          <t>General</t>
        </is>
      </c>
      <c r="F10113" s="5" t="n">
        <v>2048</v>
      </c>
      <c r="G10113" s="5" t="n">
        <v>13756</v>
      </c>
      <c r="H10113" s="5" t="n">
        <v>438</v>
      </c>
      <c r="I10113" s="5" t="n">
        <v>210</v>
      </c>
      <c r="J10113" s="5" t="n">
        <v>217</v>
      </c>
      <c r="K10113" s="10">
        <f>IF(F10113&gt;0,H10113/F10113,"")</f>
        <v/>
      </c>
      <c r="L10113" s="16">
        <f>IF(AND(G10113&gt;0,H10113&gt;0),G10113/H10113,"")</f>
        <v/>
      </c>
    </row>
    <row r="10114">
      <c r="A10114" s="4" t="inlineStr">
        <is>
          <t>380</t>
        </is>
      </c>
      <c r="B10114" s="4" t="n">
        <v>3</v>
      </c>
      <c r="C10114" s="4" t="inlineStr">
        <is>
          <t>whitetail</t>
        </is>
      </c>
      <c r="D10114" s="4" t="n">
        <v>2014</v>
      </c>
      <c r="E10114" s="13" t="inlineStr">
        <is>
          <t>General</t>
        </is>
      </c>
      <c r="F10114" s="5" t="n"/>
      <c r="G10114" s="5" t="n"/>
      <c r="H10114" s="5" t="n">
        <v>444</v>
      </c>
      <c r="I10114" s="5" t="n">
        <v>269</v>
      </c>
      <c r="J10114" s="5" t="n">
        <v>168</v>
      </c>
      <c r="K10114" s="10">
        <f>IF(F10114&gt;0,H10114/F10114,"")</f>
        <v/>
      </c>
      <c r="L10114" s="16">
        <f>IF(AND(G10114&gt;0,H10114&gt;0),G10114/H10114,"")</f>
        <v/>
      </c>
    </row>
    <row r="10115">
      <c r="A10115" s="4" t="inlineStr">
        <is>
          <t>380</t>
        </is>
      </c>
      <c r="B10115" s="4" t="n">
        <v>3</v>
      </c>
      <c r="C10115" s="4" t="inlineStr">
        <is>
          <t>whitetail</t>
        </is>
      </c>
      <c r="D10115" s="4" t="n">
        <v>2015</v>
      </c>
      <c r="E10115" s="13" t="inlineStr">
        <is>
          <t>General</t>
        </is>
      </c>
      <c r="F10115" s="5" t="n"/>
      <c r="G10115" s="5" t="n"/>
      <c r="H10115" s="5" t="n">
        <v>485</v>
      </c>
      <c r="I10115" s="5" t="n">
        <v>229</v>
      </c>
      <c r="J10115" s="5" t="n">
        <v>247</v>
      </c>
      <c r="K10115" s="10">
        <f>IF(F10115&gt;0,H10115/F10115,"")</f>
        <v/>
      </c>
      <c r="L10115" s="16">
        <f>IF(AND(G10115&gt;0,H10115&gt;0),G10115/H10115,"")</f>
        <v/>
      </c>
    </row>
    <row r="10116">
      <c r="A10116" s="4" t="inlineStr">
        <is>
          <t>380</t>
        </is>
      </c>
      <c r="B10116" s="4" t="n">
        <v>3</v>
      </c>
      <c r="C10116" s="4" t="inlineStr">
        <is>
          <t>whitetail</t>
        </is>
      </c>
      <c r="D10116" s="4" t="n">
        <v>2016</v>
      </c>
      <c r="E10116" s="13" t="inlineStr">
        <is>
          <t>General</t>
        </is>
      </c>
      <c r="F10116" s="5" t="n"/>
      <c r="G10116" s="5" t="n"/>
      <c r="H10116" s="5" t="n">
        <v>533</v>
      </c>
      <c r="I10116" s="5" t="n">
        <v>251</v>
      </c>
      <c r="J10116" s="5" t="n">
        <v>270</v>
      </c>
      <c r="K10116" s="10">
        <f>IF(F10116&gt;0,H10116/F10116,"")</f>
        <v/>
      </c>
      <c r="L10116" s="16">
        <f>IF(AND(G10116&gt;0,H10116&gt;0),G10116/H10116,"")</f>
        <v/>
      </c>
    </row>
    <row r="10117">
      <c r="A10117" s="4" t="inlineStr">
        <is>
          <t>380</t>
        </is>
      </c>
      <c r="B10117" s="4" t="n">
        <v>3</v>
      </c>
      <c r="C10117" s="4" t="inlineStr">
        <is>
          <t>whitetail</t>
        </is>
      </c>
      <c r="D10117" s="4" t="n">
        <v>2017</v>
      </c>
      <c r="E10117" s="13" t="inlineStr">
        <is>
          <t>General</t>
        </is>
      </c>
      <c r="F10117" s="5" t="n">
        <v>1862</v>
      </c>
      <c r="G10117" s="5" t="n">
        <v>12933</v>
      </c>
      <c r="H10117" s="5" t="n">
        <v>580</v>
      </c>
      <c r="I10117" s="5" t="n">
        <v>235</v>
      </c>
      <c r="J10117" s="5" t="n">
        <v>336</v>
      </c>
      <c r="K10117" s="10">
        <f>IF(F10117&gt;0,H10117/F10117,"")</f>
        <v/>
      </c>
      <c r="L10117" s="16">
        <f>IF(AND(G10117&gt;0,H10117&gt;0),G10117/H10117,"")</f>
        <v/>
      </c>
    </row>
    <row r="10118">
      <c r="A10118" s="4" t="inlineStr">
        <is>
          <t>380</t>
        </is>
      </c>
      <c r="B10118" s="4" t="n">
        <v>3</v>
      </c>
      <c r="C10118" s="4" t="inlineStr">
        <is>
          <t>whitetail</t>
        </is>
      </c>
      <c r="D10118" s="4" t="n">
        <v>2018</v>
      </c>
      <c r="E10118" s="13" t="inlineStr">
        <is>
          <t>General</t>
        </is>
      </c>
      <c r="F10118" s="5" t="n"/>
      <c r="G10118" s="5" t="n"/>
      <c r="H10118" s="5" t="n">
        <v>347</v>
      </c>
      <c r="I10118" s="5" t="n">
        <v>155</v>
      </c>
      <c r="J10118" s="5" t="n">
        <v>191</v>
      </c>
      <c r="K10118" s="10">
        <f>IF(F10118&gt;0,H10118/F10118,"")</f>
        <v/>
      </c>
      <c r="L10118" s="16">
        <f>IF(AND(G10118&gt;0,H10118&gt;0),G10118/H10118,"")</f>
        <v/>
      </c>
    </row>
    <row r="10119">
      <c r="A10119" s="4" t="inlineStr">
        <is>
          <t>380</t>
        </is>
      </c>
      <c r="B10119" s="4" t="n">
        <v>3</v>
      </c>
      <c r="C10119" s="4" t="inlineStr">
        <is>
          <t>whitetail</t>
        </is>
      </c>
      <c r="D10119" s="4" t="n">
        <v>2019</v>
      </c>
      <c r="E10119" s="13" t="inlineStr">
        <is>
          <t>General</t>
        </is>
      </c>
      <c r="F10119" s="5" t="n">
        <v>1723</v>
      </c>
      <c r="G10119" s="5" t="n">
        <v>10536</v>
      </c>
      <c r="H10119" s="5" t="n">
        <v>419</v>
      </c>
      <c r="I10119" s="5" t="n">
        <v>184</v>
      </c>
      <c r="J10119" s="5" t="n">
        <v>233</v>
      </c>
      <c r="K10119" s="10">
        <f>IF(F10119&gt;0,H10119/F10119,"")</f>
        <v/>
      </c>
      <c r="L10119" s="16">
        <f>IF(AND(G10119&gt;0,H10119&gt;0),G10119/H10119,"")</f>
        <v/>
      </c>
    </row>
    <row r="10120">
      <c r="A10120" s="4" t="inlineStr">
        <is>
          <t>380</t>
        </is>
      </c>
      <c r="B10120" s="4" t="n">
        <v>3</v>
      </c>
      <c r="C10120" s="4" t="inlineStr">
        <is>
          <t>whitetail</t>
        </is>
      </c>
      <c r="D10120" s="4" t="n">
        <v>2020</v>
      </c>
      <c r="E10120" s="13" t="inlineStr">
        <is>
          <t>General</t>
        </is>
      </c>
      <c r="F10120" s="5" t="n"/>
      <c r="G10120" s="5" t="n"/>
      <c r="H10120" s="5" t="n">
        <v>510</v>
      </c>
      <c r="I10120" s="5" t="n">
        <v>223</v>
      </c>
      <c r="J10120" s="5" t="n">
        <v>281</v>
      </c>
      <c r="K10120" s="10">
        <f>IF(F10120&gt;0,H10120/F10120,"")</f>
        <v/>
      </c>
      <c r="L10120" s="16">
        <f>IF(AND(G10120&gt;0,H10120&gt;0),G10120/H10120,"")</f>
        <v/>
      </c>
    </row>
    <row r="10121">
      <c r="A10121" s="4" t="inlineStr">
        <is>
          <t>380</t>
        </is>
      </c>
      <c r="B10121" s="4" t="n">
        <v>3</v>
      </c>
      <c r="C10121" s="4" t="inlineStr">
        <is>
          <t>whitetail</t>
        </is>
      </c>
      <c r="D10121" s="4" t="n">
        <v>2021</v>
      </c>
      <c r="E10121" s="13" t="inlineStr">
        <is>
          <t>General</t>
        </is>
      </c>
      <c r="F10121" s="5" t="n">
        <v>1817</v>
      </c>
      <c r="G10121" s="5" t="n">
        <v>12115</v>
      </c>
      <c r="H10121" s="5" t="n">
        <v>467</v>
      </c>
      <c r="I10121" s="5" t="n">
        <v>236</v>
      </c>
      <c r="J10121" s="5" t="n">
        <v>227</v>
      </c>
      <c r="K10121" s="10">
        <f>IF(F10121&gt;0,H10121/F10121,"")</f>
        <v/>
      </c>
      <c r="L10121" s="16">
        <f>IF(AND(G10121&gt;0,H10121&gt;0),G10121/H10121,"")</f>
        <v/>
      </c>
    </row>
    <row r="10122">
      <c r="A10122" s="4" t="inlineStr">
        <is>
          <t>380</t>
        </is>
      </c>
      <c r="B10122" s="4" t="n">
        <v>3</v>
      </c>
      <c r="C10122" s="4" t="inlineStr">
        <is>
          <t>whitetail</t>
        </is>
      </c>
      <c r="D10122" s="4" t="n">
        <v>2022</v>
      </c>
      <c r="E10122" s="13" t="inlineStr">
        <is>
          <t>General</t>
        </is>
      </c>
      <c r="F10122" s="5" t="n"/>
      <c r="G10122" s="5" t="n"/>
      <c r="H10122" s="5" t="n">
        <v>396</v>
      </c>
      <c r="I10122" s="5" t="n">
        <v>212</v>
      </c>
      <c r="J10122" s="5" t="n">
        <v>181</v>
      </c>
      <c r="K10122" s="10">
        <f>IF(F10122&gt;0,H10122/F10122,"")</f>
        <v/>
      </c>
      <c r="L10122" s="16">
        <f>IF(AND(G10122&gt;0,H10122&gt;0),G10122/H10122,"")</f>
        <v/>
      </c>
    </row>
    <row r="10123">
      <c r="A10123" s="4" t="inlineStr">
        <is>
          <t>380</t>
        </is>
      </c>
      <c r="B10123" s="4" t="n">
        <v>3</v>
      </c>
      <c r="C10123" s="4" t="inlineStr">
        <is>
          <t>whitetail</t>
        </is>
      </c>
      <c r="D10123" s="4" t="n">
        <v>2023</v>
      </c>
      <c r="E10123" s="13" t="inlineStr">
        <is>
          <t>General</t>
        </is>
      </c>
      <c r="F10123" s="5" t="n">
        <v>1770</v>
      </c>
      <c r="G10123" s="5" t="n">
        <v>12249</v>
      </c>
      <c r="H10123" s="5" t="n">
        <v>360</v>
      </c>
      <c r="I10123" s="5" t="n">
        <v>181</v>
      </c>
      <c r="J10123" s="5" t="n">
        <v>179</v>
      </c>
      <c r="K10123" s="10">
        <f>IF(F10123&gt;0,H10123/F10123,"")</f>
        <v/>
      </c>
      <c r="L10123" s="16">
        <f>IF(AND(G10123&gt;0,H10123&gt;0),G10123/H10123,"")</f>
        <v/>
      </c>
    </row>
    <row r="10124">
      <c r="A10124" s="4" t="inlineStr">
        <is>
          <t>380</t>
        </is>
      </c>
      <c r="B10124" s="4" t="n">
        <v>3</v>
      </c>
      <c r="C10124" s="4" t="inlineStr">
        <is>
          <t>whitetail</t>
        </is>
      </c>
      <c r="D10124" s="4" t="n">
        <v>2024</v>
      </c>
      <c r="E10124" s="13" t="inlineStr">
        <is>
          <t>General</t>
        </is>
      </c>
      <c r="F10124" s="5" t="n"/>
      <c r="G10124" s="5" t="n"/>
      <c r="H10124" s="5" t="n">
        <v>443</v>
      </c>
      <c r="I10124" s="5" t="n">
        <v>311</v>
      </c>
      <c r="J10124" s="5" t="n">
        <v>132</v>
      </c>
      <c r="K10124" s="10">
        <f>IF(F10124&gt;0,H10124/F10124,"")</f>
        <v/>
      </c>
      <c r="L10124" s="16">
        <f>IF(AND(G10124&gt;0,H10124&gt;0),G10124/H10124,"")</f>
        <v/>
      </c>
    </row>
    <row r="10125">
      <c r="A10125" s="4" t="inlineStr">
        <is>
          <t>380</t>
        </is>
      </c>
      <c r="B10125" s="4" t="n">
        <v>3</v>
      </c>
      <c r="C10125" s="4" t="inlineStr">
        <is>
          <t>whitetail</t>
        </is>
      </c>
      <c r="D10125" s="4" t="n">
        <v>2025</v>
      </c>
      <c r="E10125" s="13" t="inlineStr">
        <is>
          <t>General</t>
        </is>
      </c>
      <c r="F10125" s="5" t="n">
        <v>1915</v>
      </c>
      <c r="G10125" s="5" t="n">
        <v>12062</v>
      </c>
      <c r="H10125" s="5" t="n">
        <v>366</v>
      </c>
      <c r="I10125" s="5" t="n">
        <v>215</v>
      </c>
      <c r="J10125" s="5" t="n">
        <v>151</v>
      </c>
      <c r="K10125" s="10">
        <f>IF(F10125&gt;0,H10125/F10125,"")</f>
        <v/>
      </c>
      <c r="L10125" s="16">
        <f>IF(AND(G10125&gt;0,H10125&gt;0),G10125/H10125,"")</f>
        <v/>
      </c>
    </row>
    <row r="10126">
      <c r="A10126" s="4" t="inlineStr">
        <is>
          <t>388</t>
        </is>
      </c>
      <c r="B10126" s="4" t="n">
        <v>3</v>
      </c>
      <c r="C10126" s="4" t="inlineStr">
        <is>
          <t>whitetail</t>
        </is>
      </c>
      <c r="D10126" s="4" t="n">
        <v>2006</v>
      </c>
      <c r="E10126" s="13" t="inlineStr">
        <is>
          <t>General</t>
        </is>
      </c>
      <c r="F10126" s="5" t="n">
        <v>475</v>
      </c>
      <c r="G10126" s="5" t="n">
        <v>2859</v>
      </c>
      <c r="H10126" s="5" t="n">
        <v>162</v>
      </c>
      <c r="I10126" s="5" t="n">
        <v>63</v>
      </c>
      <c r="J10126" s="5" t="n">
        <v>96</v>
      </c>
      <c r="K10126" s="10">
        <f>IF(F10126&gt;0,H10126/F10126,"")</f>
        <v/>
      </c>
      <c r="L10126" s="16">
        <f>IF(AND(G10126&gt;0,H10126&gt;0),G10126/H10126,"")</f>
        <v/>
      </c>
    </row>
    <row r="10127">
      <c r="A10127" s="4" t="inlineStr">
        <is>
          <t>388</t>
        </is>
      </c>
      <c r="B10127" s="4" t="n">
        <v>3</v>
      </c>
      <c r="C10127" s="4" t="inlineStr">
        <is>
          <t>whitetail</t>
        </is>
      </c>
      <c r="D10127" s="4" t="n">
        <v>2007</v>
      </c>
      <c r="E10127" s="13" t="inlineStr">
        <is>
          <t>General</t>
        </is>
      </c>
      <c r="F10127" s="5" t="n">
        <v>525</v>
      </c>
      <c r="G10127" s="5" t="n">
        <v>3138</v>
      </c>
      <c r="H10127" s="5" t="n">
        <v>182</v>
      </c>
      <c r="I10127" s="5" t="n">
        <v>56</v>
      </c>
      <c r="J10127" s="5" t="n">
        <v>115</v>
      </c>
      <c r="K10127" s="10">
        <f>IF(F10127&gt;0,H10127/F10127,"")</f>
        <v/>
      </c>
      <c r="L10127" s="16">
        <f>IF(AND(G10127&gt;0,H10127&gt;0),G10127/H10127,"")</f>
        <v/>
      </c>
    </row>
    <row r="10128">
      <c r="A10128" s="4" t="inlineStr">
        <is>
          <t>388</t>
        </is>
      </c>
      <c r="B10128" s="4" t="n">
        <v>3</v>
      </c>
      <c r="C10128" s="4" t="inlineStr">
        <is>
          <t>whitetail</t>
        </is>
      </c>
      <c r="D10128" s="4" t="n">
        <v>2008</v>
      </c>
      <c r="E10128" s="13" t="inlineStr">
        <is>
          <t>General</t>
        </is>
      </c>
      <c r="F10128" s="5" t="n">
        <v>630</v>
      </c>
      <c r="G10128" s="5" t="n">
        <v>4879</v>
      </c>
      <c r="H10128" s="5" t="n">
        <v>144</v>
      </c>
      <c r="I10128" s="5" t="n">
        <v>45</v>
      </c>
      <c r="J10128" s="5" t="n">
        <v>95</v>
      </c>
      <c r="K10128" s="10">
        <f>IF(F10128&gt;0,H10128/F10128,"")</f>
        <v/>
      </c>
      <c r="L10128" s="16">
        <f>IF(AND(G10128&gt;0,H10128&gt;0),G10128/H10128,"")</f>
        <v/>
      </c>
    </row>
    <row r="10129">
      <c r="A10129" s="4" t="inlineStr">
        <is>
          <t>388</t>
        </is>
      </c>
      <c r="B10129" s="4" t="n">
        <v>3</v>
      </c>
      <c r="C10129" s="4" t="inlineStr">
        <is>
          <t>whitetail</t>
        </is>
      </c>
      <c r="D10129" s="4" t="n">
        <v>2009</v>
      </c>
      <c r="E10129" s="13" t="inlineStr">
        <is>
          <t>General</t>
        </is>
      </c>
      <c r="F10129" s="5" t="n">
        <v>552</v>
      </c>
      <c r="G10129" s="5" t="n">
        <v>3881</v>
      </c>
      <c r="H10129" s="5" t="n">
        <v>137</v>
      </c>
      <c r="I10129" s="5" t="n">
        <v>48</v>
      </c>
      <c r="J10129" s="5" t="n">
        <v>83</v>
      </c>
      <c r="K10129" s="10">
        <f>IF(F10129&gt;0,H10129/F10129,"")</f>
        <v/>
      </c>
      <c r="L10129" s="16">
        <f>IF(AND(G10129&gt;0,H10129&gt;0),G10129/H10129,"")</f>
        <v/>
      </c>
    </row>
    <row r="10130">
      <c r="A10130" s="4" t="inlineStr">
        <is>
          <t>388</t>
        </is>
      </c>
      <c r="B10130" s="4" t="n">
        <v>3</v>
      </c>
      <c r="C10130" s="4" t="inlineStr">
        <is>
          <t>whitetail</t>
        </is>
      </c>
      <c r="D10130" s="4" t="n">
        <v>2010</v>
      </c>
      <c r="E10130" s="13" t="inlineStr">
        <is>
          <t>General</t>
        </is>
      </c>
      <c r="F10130" s="5" t="n">
        <v>621</v>
      </c>
      <c r="G10130" s="5" t="n">
        <v>3829</v>
      </c>
      <c r="H10130" s="5" t="n">
        <v>156</v>
      </c>
      <c r="I10130" s="5" t="n">
        <v>53</v>
      </c>
      <c r="J10130" s="5" t="n">
        <v>100</v>
      </c>
      <c r="K10130" s="10">
        <f>IF(F10130&gt;0,H10130/F10130,"")</f>
        <v/>
      </c>
      <c r="L10130" s="16">
        <f>IF(AND(G10130&gt;0,H10130&gt;0),G10130/H10130,"")</f>
        <v/>
      </c>
    </row>
    <row r="10131">
      <c r="A10131" s="4" t="inlineStr">
        <is>
          <t>388</t>
        </is>
      </c>
      <c r="B10131" s="4" t="n">
        <v>3</v>
      </c>
      <c r="C10131" s="4" t="inlineStr">
        <is>
          <t>whitetail</t>
        </is>
      </c>
      <c r="D10131" s="4" t="n">
        <v>2011</v>
      </c>
      <c r="E10131" s="13" t="inlineStr">
        <is>
          <t>General</t>
        </is>
      </c>
      <c r="F10131" s="5" t="n">
        <v>494</v>
      </c>
      <c r="G10131" s="5" t="n">
        <v>3471</v>
      </c>
      <c r="H10131" s="5" t="n">
        <v>127</v>
      </c>
      <c r="I10131" s="5" t="n">
        <v>57</v>
      </c>
      <c r="J10131" s="5" t="n">
        <v>67</v>
      </c>
      <c r="K10131" s="10">
        <f>IF(F10131&gt;0,H10131/F10131,"")</f>
        <v/>
      </c>
      <c r="L10131" s="16">
        <f>IF(AND(G10131&gt;0,H10131&gt;0),G10131/H10131,"")</f>
        <v/>
      </c>
    </row>
    <row r="10132">
      <c r="A10132" s="4" t="inlineStr">
        <is>
          <t>388</t>
        </is>
      </c>
      <c r="B10132" s="4" t="n">
        <v>3</v>
      </c>
      <c r="C10132" s="4" t="inlineStr">
        <is>
          <t>whitetail</t>
        </is>
      </c>
      <c r="D10132" s="4" t="n">
        <v>2012</v>
      </c>
      <c r="E10132" s="13" t="inlineStr">
        <is>
          <t>General</t>
        </is>
      </c>
      <c r="F10132" s="5" t="n"/>
      <c r="G10132" s="5" t="n"/>
      <c r="H10132" s="5" t="n">
        <v>166</v>
      </c>
      <c r="I10132" s="5" t="n">
        <v>59</v>
      </c>
      <c r="J10132" s="5" t="n">
        <v>107</v>
      </c>
      <c r="K10132" s="10">
        <f>IF(F10132&gt;0,H10132/F10132,"")</f>
        <v/>
      </c>
      <c r="L10132" s="16">
        <f>IF(AND(G10132&gt;0,H10132&gt;0),G10132/H10132,"")</f>
        <v/>
      </c>
    </row>
    <row r="10133">
      <c r="A10133" s="4" t="inlineStr">
        <is>
          <t>388</t>
        </is>
      </c>
      <c r="B10133" s="4" t="n">
        <v>3</v>
      </c>
      <c r="C10133" s="4" t="inlineStr">
        <is>
          <t>whitetail</t>
        </is>
      </c>
      <c r="D10133" s="4" t="n">
        <v>2013</v>
      </c>
      <c r="E10133" s="13" t="inlineStr">
        <is>
          <t>General</t>
        </is>
      </c>
      <c r="F10133" s="5" t="n">
        <v>597</v>
      </c>
      <c r="G10133" s="5" t="n">
        <v>3539</v>
      </c>
      <c r="H10133" s="5" t="n">
        <v>133</v>
      </c>
      <c r="I10133" s="5" t="n">
        <v>70</v>
      </c>
      <c r="J10133" s="5" t="n">
        <v>60</v>
      </c>
      <c r="K10133" s="10">
        <f>IF(F10133&gt;0,H10133/F10133,"")</f>
        <v/>
      </c>
      <c r="L10133" s="16">
        <f>IF(AND(G10133&gt;0,H10133&gt;0),G10133/H10133,"")</f>
        <v/>
      </c>
    </row>
    <row r="10134">
      <c r="A10134" s="4" t="inlineStr">
        <is>
          <t>388</t>
        </is>
      </c>
      <c r="B10134" s="4" t="n">
        <v>3</v>
      </c>
      <c r="C10134" s="4" t="inlineStr">
        <is>
          <t>whitetail</t>
        </is>
      </c>
      <c r="D10134" s="4" t="n">
        <v>2014</v>
      </c>
      <c r="E10134" s="13" t="inlineStr">
        <is>
          <t>General</t>
        </is>
      </c>
      <c r="F10134" s="5" t="n"/>
      <c r="G10134" s="5" t="n"/>
      <c r="H10134" s="5" t="n">
        <v>138</v>
      </c>
      <c r="I10134" s="5" t="n">
        <v>68</v>
      </c>
      <c r="J10134" s="5" t="n">
        <v>70</v>
      </c>
      <c r="K10134" s="10">
        <f>IF(F10134&gt;0,H10134/F10134,"")</f>
        <v/>
      </c>
      <c r="L10134" s="16">
        <f>IF(AND(G10134&gt;0,H10134&gt;0),G10134/H10134,"")</f>
        <v/>
      </c>
    </row>
    <row r="10135">
      <c r="A10135" s="4" t="inlineStr">
        <is>
          <t>388</t>
        </is>
      </c>
      <c r="B10135" s="4" t="n">
        <v>3</v>
      </c>
      <c r="C10135" s="4" t="inlineStr">
        <is>
          <t>whitetail</t>
        </is>
      </c>
      <c r="D10135" s="4" t="n">
        <v>2015</v>
      </c>
      <c r="E10135" s="13" t="inlineStr">
        <is>
          <t>General</t>
        </is>
      </c>
      <c r="F10135" s="5" t="n"/>
      <c r="G10135" s="5" t="n"/>
      <c r="H10135" s="5" t="n">
        <v>116</v>
      </c>
      <c r="I10135" s="5" t="n">
        <v>59</v>
      </c>
      <c r="J10135" s="5" t="n">
        <v>57</v>
      </c>
      <c r="K10135" s="10">
        <f>IF(F10135&gt;0,H10135/F10135,"")</f>
        <v/>
      </c>
      <c r="L10135" s="16">
        <f>IF(AND(G10135&gt;0,H10135&gt;0),G10135/H10135,"")</f>
        <v/>
      </c>
    </row>
    <row r="10136">
      <c r="A10136" s="4" t="inlineStr">
        <is>
          <t>388</t>
        </is>
      </c>
      <c r="B10136" s="4" t="n">
        <v>3</v>
      </c>
      <c r="C10136" s="4" t="inlineStr">
        <is>
          <t>whitetail</t>
        </is>
      </c>
      <c r="D10136" s="4" t="n">
        <v>2016</v>
      </c>
      <c r="E10136" s="13" t="inlineStr">
        <is>
          <t>General</t>
        </is>
      </c>
      <c r="F10136" s="5" t="n"/>
      <c r="G10136" s="5" t="n"/>
      <c r="H10136" s="5" t="n">
        <v>168</v>
      </c>
      <c r="I10136" s="5" t="n">
        <v>81</v>
      </c>
      <c r="J10136" s="5" t="n">
        <v>87</v>
      </c>
      <c r="K10136" s="10">
        <f>IF(F10136&gt;0,H10136/F10136,"")</f>
        <v/>
      </c>
      <c r="L10136" s="16">
        <f>IF(AND(G10136&gt;0,H10136&gt;0),G10136/H10136,"")</f>
        <v/>
      </c>
    </row>
    <row r="10137">
      <c r="A10137" s="4" t="inlineStr">
        <is>
          <t>388</t>
        </is>
      </c>
      <c r="B10137" s="4" t="n">
        <v>3</v>
      </c>
      <c r="C10137" s="4" t="inlineStr">
        <is>
          <t>whitetail</t>
        </is>
      </c>
      <c r="D10137" s="4" t="n">
        <v>2017</v>
      </c>
      <c r="E10137" s="13" t="inlineStr">
        <is>
          <t>General</t>
        </is>
      </c>
      <c r="F10137" s="5" t="n">
        <v>444</v>
      </c>
      <c r="G10137" s="5" t="n">
        <v>2549</v>
      </c>
      <c r="H10137" s="5" t="n">
        <v>162</v>
      </c>
      <c r="I10137" s="5" t="n">
        <v>65</v>
      </c>
      <c r="J10137" s="5" t="n">
        <v>94</v>
      </c>
      <c r="K10137" s="10">
        <f>IF(F10137&gt;0,H10137/F10137,"")</f>
        <v/>
      </c>
      <c r="L10137" s="16">
        <f>IF(AND(G10137&gt;0,H10137&gt;0),G10137/H10137,"")</f>
        <v/>
      </c>
    </row>
    <row r="10138">
      <c r="A10138" s="4" t="inlineStr">
        <is>
          <t>388</t>
        </is>
      </c>
      <c r="B10138" s="4" t="n">
        <v>3</v>
      </c>
      <c r="C10138" s="4" t="inlineStr">
        <is>
          <t>whitetail</t>
        </is>
      </c>
      <c r="D10138" s="4" t="n">
        <v>2018</v>
      </c>
      <c r="E10138" s="13" t="inlineStr">
        <is>
          <t>General</t>
        </is>
      </c>
      <c r="F10138" s="5" t="n"/>
      <c r="G10138" s="5" t="n"/>
      <c r="H10138" s="5" t="n">
        <v>131</v>
      </c>
      <c r="I10138" s="5" t="n">
        <v>72</v>
      </c>
      <c r="J10138" s="5" t="n">
        <v>59</v>
      </c>
      <c r="K10138" s="10">
        <f>IF(F10138&gt;0,H10138/F10138,"")</f>
        <v/>
      </c>
      <c r="L10138" s="16">
        <f>IF(AND(G10138&gt;0,H10138&gt;0),G10138/H10138,"")</f>
        <v/>
      </c>
    </row>
    <row r="10139">
      <c r="A10139" s="4" t="inlineStr">
        <is>
          <t>388</t>
        </is>
      </c>
      <c r="B10139" s="4" t="n">
        <v>3</v>
      </c>
      <c r="C10139" s="4" t="inlineStr">
        <is>
          <t>whitetail</t>
        </is>
      </c>
      <c r="D10139" s="4" t="n">
        <v>2019</v>
      </c>
      <c r="E10139" s="13" t="inlineStr">
        <is>
          <t>General</t>
        </is>
      </c>
      <c r="F10139" s="5" t="n">
        <v>446</v>
      </c>
      <c r="G10139" s="5" t="n">
        <v>2614</v>
      </c>
      <c r="H10139" s="5" t="n">
        <v>99</v>
      </c>
      <c r="I10139" s="5" t="n">
        <v>57</v>
      </c>
      <c r="J10139" s="5" t="n">
        <v>39</v>
      </c>
      <c r="K10139" s="10">
        <f>IF(F10139&gt;0,H10139/F10139,"")</f>
        <v/>
      </c>
      <c r="L10139" s="16">
        <f>IF(AND(G10139&gt;0,H10139&gt;0),G10139/H10139,"")</f>
        <v/>
      </c>
    </row>
    <row r="10140">
      <c r="A10140" s="4" t="inlineStr">
        <is>
          <t>388</t>
        </is>
      </c>
      <c r="B10140" s="4" t="n">
        <v>3</v>
      </c>
      <c r="C10140" s="4" t="inlineStr">
        <is>
          <t>whitetail</t>
        </is>
      </c>
      <c r="D10140" s="4" t="n">
        <v>2020</v>
      </c>
      <c r="E10140" s="13" t="inlineStr">
        <is>
          <t>General</t>
        </is>
      </c>
      <c r="F10140" s="5" t="n"/>
      <c r="G10140" s="5" t="n"/>
      <c r="H10140" s="5" t="n">
        <v>215</v>
      </c>
      <c r="I10140" s="5" t="n">
        <v>115</v>
      </c>
      <c r="J10140" s="5" t="n">
        <v>100</v>
      </c>
      <c r="K10140" s="10">
        <f>IF(F10140&gt;0,H10140/F10140,"")</f>
        <v/>
      </c>
      <c r="L10140" s="16">
        <f>IF(AND(G10140&gt;0,H10140&gt;0),G10140/H10140,"")</f>
        <v/>
      </c>
    </row>
    <row r="10141">
      <c r="A10141" s="4" t="inlineStr">
        <is>
          <t>388</t>
        </is>
      </c>
      <c r="B10141" s="4" t="n">
        <v>3</v>
      </c>
      <c r="C10141" s="4" t="inlineStr">
        <is>
          <t>whitetail</t>
        </is>
      </c>
      <c r="D10141" s="4" t="n">
        <v>2021</v>
      </c>
      <c r="E10141" s="13" t="inlineStr">
        <is>
          <t>General</t>
        </is>
      </c>
      <c r="F10141" s="5" t="n">
        <v>431</v>
      </c>
      <c r="G10141" s="5" t="n">
        <v>2635</v>
      </c>
      <c r="H10141" s="5" t="n">
        <v>137</v>
      </c>
      <c r="I10141" s="5" t="n">
        <v>72</v>
      </c>
      <c r="J10141" s="5" t="n">
        <v>66</v>
      </c>
      <c r="K10141" s="10">
        <f>IF(F10141&gt;0,H10141/F10141,"")</f>
        <v/>
      </c>
      <c r="L10141" s="16">
        <f>IF(AND(G10141&gt;0,H10141&gt;0),G10141/H10141,"")</f>
        <v/>
      </c>
    </row>
    <row r="10142">
      <c r="A10142" s="4" t="inlineStr">
        <is>
          <t>388</t>
        </is>
      </c>
      <c r="B10142" s="4" t="n">
        <v>3</v>
      </c>
      <c r="C10142" s="4" t="inlineStr">
        <is>
          <t>whitetail</t>
        </is>
      </c>
      <c r="D10142" s="4" t="n">
        <v>2022</v>
      </c>
      <c r="E10142" s="13" t="inlineStr">
        <is>
          <t>General</t>
        </is>
      </c>
      <c r="F10142" s="5" t="n"/>
      <c r="G10142" s="5" t="n"/>
      <c r="H10142" s="5" t="n">
        <v>161</v>
      </c>
      <c r="I10142" s="5" t="n">
        <v>89</v>
      </c>
      <c r="J10142" s="5" t="n">
        <v>69</v>
      </c>
      <c r="K10142" s="10">
        <f>IF(F10142&gt;0,H10142/F10142,"")</f>
        <v/>
      </c>
      <c r="L10142" s="16">
        <f>IF(AND(G10142&gt;0,H10142&gt;0),G10142/H10142,"")</f>
        <v/>
      </c>
    </row>
    <row r="10143">
      <c r="A10143" s="4" t="inlineStr">
        <is>
          <t>388</t>
        </is>
      </c>
      <c r="B10143" s="4" t="n">
        <v>3</v>
      </c>
      <c r="C10143" s="4" t="inlineStr">
        <is>
          <t>whitetail</t>
        </is>
      </c>
      <c r="D10143" s="4" t="n">
        <v>2023</v>
      </c>
      <c r="E10143" s="13" t="inlineStr">
        <is>
          <t>General</t>
        </is>
      </c>
      <c r="F10143" s="5" t="n">
        <v>562</v>
      </c>
      <c r="G10143" s="5" t="n">
        <v>3479</v>
      </c>
      <c r="H10143" s="5" t="n">
        <v>185</v>
      </c>
      <c r="I10143" s="5" t="n">
        <v>126</v>
      </c>
      <c r="J10143" s="5" t="n">
        <v>59</v>
      </c>
      <c r="K10143" s="10">
        <f>IF(F10143&gt;0,H10143/F10143,"")</f>
        <v/>
      </c>
      <c r="L10143" s="16">
        <f>IF(AND(G10143&gt;0,H10143&gt;0),G10143/H10143,"")</f>
        <v/>
      </c>
    </row>
    <row r="10144">
      <c r="A10144" s="4" t="inlineStr">
        <is>
          <t>388</t>
        </is>
      </c>
      <c r="B10144" s="4" t="n">
        <v>3</v>
      </c>
      <c r="C10144" s="4" t="inlineStr">
        <is>
          <t>whitetail</t>
        </is>
      </c>
      <c r="D10144" s="4" t="n">
        <v>2024</v>
      </c>
      <c r="E10144" s="13" t="inlineStr">
        <is>
          <t>General</t>
        </is>
      </c>
      <c r="F10144" s="5" t="n"/>
      <c r="G10144" s="5" t="n"/>
      <c r="H10144" s="5" t="n">
        <v>175</v>
      </c>
      <c r="I10144" s="5" t="n">
        <v>90</v>
      </c>
      <c r="J10144" s="5" t="n">
        <v>85</v>
      </c>
      <c r="K10144" s="10">
        <f>IF(F10144&gt;0,H10144/F10144,"")</f>
        <v/>
      </c>
      <c r="L10144" s="16">
        <f>IF(AND(G10144&gt;0,H10144&gt;0),G10144/H10144,"")</f>
        <v/>
      </c>
    </row>
    <row r="10145">
      <c r="A10145" s="4" t="inlineStr">
        <is>
          <t>388</t>
        </is>
      </c>
      <c r="B10145" s="4" t="n">
        <v>3</v>
      </c>
      <c r="C10145" s="4" t="inlineStr">
        <is>
          <t>whitetail</t>
        </is>
      </c>
      <c r="D10145" s="4" t="n">
        <v>2025</v>
      </c>
      <c r="E10145" s="13" t="inlineStr">
        <is>
          <t>General</t>
        </is>
      </c>
      <c r="F10145" s="5" t="n">
        <v>518</v>
      </c>
      <c r="G10145" s="5" t="n">
        <v>3176</v>
      </c>
      <c r="H10145" s="5" t="n">
        <v>145</v>
      </c>
      <c r="I10145" s="5" t="n">
        <v>80</v>
      </c>
      <c r="J10145" s="5" t="n">
        <v>65</v>
      </c>
      <c r="K10145" s="10">
        <f>IF(F10145&gt;0,H10145/F10145,"")</f>
        <v/>
      </c>
      <c r="L10145" s="16">
        <f>IF(AND(G10145&gt;0,H10145&gt;0),G10145/H10145,"")</f>
        <v/>
      </c>
    </row>
    <row r="10146">
      <c r="A10146" s="4" t="inlineStr">
        <is>
          <t>390</t>
        </is>
      </c>
      <c r="B10146" s="4" t="n">
        <v>3</v>
      </c>
      <c r="C10146" s="4" t="inlineStr">
        <is>
          <t>whitetail</t>
        </is>
      </c>
      <c r="D10146" s="4" t="n">
        <v>2004</v>
      </c>
      <c r="E10146" s="13" t="inlineStr">
        <is>
          <t>General</t>
        </is>
      </c>
      <c r="F10146" s="5" t="n">
        <v>274</v>
      </c>
      <c r="G10146" s="5" t="n">
        <v>1307</v>
      </c>
      <c r="H10146" s="5" t="n">
        <v>59</v>
      </c>
      <c r="I10146" s="5" t="n">
        <v>23</v>
      </c>
      <c r="J10146" s="5" t="n">
        <v>36</v>
      </c>
      <c r="K10146" s="10">
        <f>IF(F10146&gt;0,H10146/F10146,"")</f>
        <v/>
      </c>
      <c r="L10146" s="16">
        <f>IF(AND(G10146&gt;0,H10146&gt;0),G10146/H10146,"")</f>
        <v/>
      </c>
    </row>
    <row r="10147">
      <c r="A10147" s="4" t="inlineStr">
        <is>
          <t>390</t>
        </is>
      </c>
      <c r="B10147" s="4" t="n">
        <v>3</v>
      </c>
      <c r="C10147" s="4" t="inlineStr">
        <is>
          <t>whitetail</t>
        </is>
      </c>
      <c r="D10147" s="4" t="n">
        <v>2005</v>
      </c>
      <c r="E10147" s="13" t="inlineStr">
        <is>
          <t>General</t>
        </is>
      </c>
      <c r="F10147" s="5" t="n">
        <v>263</v>
      </c>
      <c r="G10147" s="5" t="n">
        <v>1151</v>
      </c>
      <c r="H10147" s="5" t="n">
        <v>54</v>
      </c>
      <c r="I10147" s="5" t="n">
        <v>21</v>
      </c>
      <c r="J10147" s="5" t="n">
        <v>31</v>
      </c>
      <c r="K10147" s="10">
        <f>IF(F10147&gt;0,H10147/F10147,"")</f>
        <v/>
      </c>
      <c r="L10147" s="16">
        <f>IF(AND(G10147&gt;0,H10147&gt;0),G10147/H10147,"")</f>
        <v/>
      </c>
    </row>
    <row r="10148">
      <c r="A10148" s="4" t="inlineStr">
        <is>
          <t>390</t>
        </is>
      </c>
      <c r="B10148" s="4" t="n">
        <v>3</v>
      </c>
      <c r="C10148" s="4" t="inlineStr">
        <is>
          <t>whitetail</t>
        </is>
      </c>
      <c r="D10148" s="4" t="n">
        <v>2006</v>
      </c>
      <c r="E10148" s="13" t="inlineStr">
        <is>
          <t>General</t>
        </is>
      </c>
      <c r="F10148" s="5" t="n">
        <v>366</v>
      </c>
      <c r="G10148" s="5" t="n">
        <v>2132</v>
      </c>
      <c r="H10148" s="5" t="n">
        <v>58</v>
      </c>
      <c r="I10148" s="5" t="n">
        <v>32</v>
      </c>
      <c r="J10148" s="5" t="n">
        <v>26</v>
      </c>
      <c r="K10148" s="10">
        <f>IF(F10148&gt;0,H10148/F10148,"")</f>
        <v/>
      </c>
      <c r="L10148" s="16">
        <f>IF(AND(G10148&gt;0,H10148&gt;0),G10148/H10148,"")</f>
        <v/>
      </c>
    </row>
    <row r="10149">
      <c r="A10149" s="4" t="inlineStr">
        <is>
          <t>390</t>
        </is>
      </c>
      <c r="B10149" s="4" t="n">
        <v>3</v>
      </c>
      <c r="C10149" s="4" t="inlineStr">
        <is>
          <t>whitetail</t>
        </is>
      </c>
      <c r="D10149" s="4" t="n">
        <v>2007</v>
      </c>
      <c r="E10149" s="13" t="inlineStr">
        <is>
          <t>General</t>
        </is>
      </c>
      <c r="F10149" s="5" t="n">
        <v>366</v>
      </c>
      <c r="G10149" s="5" t="n">
        <v>2288</v>
      </c>
      <c r="H10149" s="5" t="n">
        <v>79</v>
      </c>
      <c r="I10149" s="5" t="n">
        <v>59</v>
      </c>
      <c r="J10149" s="5" t="n">
        <v>20</v>
      </c>
      <c r="K10149" s="10">
        <f>IF(F10149&gt;0,H10149/F10149,"")</f>
        <v/>
      </c>
      <c r="L10149" s="16">
        <f>IF(AND(G10149&gt;0,H10149&gt;0),G10149/H10149,"")</f>
        <v/>
      </c>
    </row>
    <row r="10150">
      <c r="A10150" s="4" t="inlineStr">
        <is>
          <t>390</t>
        </is>
      </c>
      <c r="B10150" s="4" t="n">
        <v>3</v>
      </c>
      <c r="C10150" s="4" t="inlineStr">
        <is>
          <t>whitetail</t>
        </is>
      </c>
      <c r="D10150" s="4" t="n">
        <v>2008</v>
      </c>
      <c r="E10150" s="13" t="inlineStr">
        <is>
          <t>General</t>
        </is>
      </c>
      <c r="F10150" s="5" t="n">
        <v>499</v>
      </c>
      <c r="G10150" s="5" t="n">
        <v>3171</v>
      </c>
      <c r="H10150" s="5" t="n">
        <v>78</v>
      </c>
      <c r="I10150" s="5" t="n">
        <v>43</v>
      </c>
      <c r="J10150" s="5" t="n">
        <v>34</v>
      </c>
      <c r="K10150" s="10">
        <f>IF(F10150&gt;0,H10150/F10150,"")</f>
        <v/>
      </c>
      <c r="L10150" s="16">
        <f>IF(AND(G10150&gt;0,H10150&gt;0),G10150/H10150,"")</f>
        <v/>
      </c>
    </row>
    <row r="10151">
      <c r="A10151" s="4" t="inlineStr">
        <is>
          <t>390</t>
        </is>
      </c>
      <c r="B10151" s="4" t="n">
        <v>3</v>
      </c>
      <c r="C10151" s="4" t="inlineStr">
        <is>
          <t>whitetail</t>
        </is>
      </c>
      <c r="D10151" s="4" t="n">
        <v>2009</v>
      </c>
      <c r="E10151" s="13" t="inlineStr">
        <is>
          <t>General</t>
        </is>
      </c>
      <c r="F10151" s="5" t="n">
        <v>419</v>
      </c>
      <c r="G10151" s="5" t="n">
        <v>2010</v>
      </c>
      <c r="H10151" s="5" t="n">
        <v>75</v>
      </c>
      <c r="I10151" s="5" t="n">
        <v>28</v>
      </c>
      <c r="J10151" s="5" t="n">
        <v>47</v>
      </c>
      <c r="K10151" s="10">
        <f>IF(F10151&gt;0,H10151/F10151,"")</f>
        <v/>
      </c>
      <c r="L10151" s="16">
        <f>IF(AND(G10151&gt;0,H10151&gt;0),G10151/H10151,"")</f>
        <v/>
      </c>
    </row>
    <row r="10152">
      <c r="A10152" s="4" t="inlineStr">
        <is>
          <t>390</t>
        </is>
      </c>
      <c r="B10152" s="4" t="n">
        <v>3</v>
      </c>
      <c r="C10152" s="4" t="inlineStr">
        <is>
          <t>whitetail</t>
        </is>
      </c>
      <c r="D10152" s="4" t="n">
        <v>2010</v>
      </c>
      <c r="E10152" s="13" t="inlineStr">
        <is>
          <t>General</t>
        </is>
      </c>
      <c r="F10152" s="5" t="n">
        <v>311</v>
      </c>
      <c r="G10152" s="5" t="n">
        <v>1835</v>
      </c>
      <c r="H10152" s="5" t="n">
        <v>58</v>
      </c>
      <c r="I10152" s="5" t="n">
        <v>35</v>
      </c>
      <c r="J10152" s="5" t="n">
        <v>23</v>
      </c>
      <c r="K10152" s="10">
        <f>IF(F10152&gt;0,H10152/F10152,"")</f>
        <v/>
      </c>
      <c r="L10152" s="16">
        <f>IF(AND(G10152&gt;0,H10152&gt;0),G10152/H10152,"")</f>
        <v/>
      </c>
    </row>
    <row r="10153">
      <c r="A10153" s="4" t="inlineStr">
        <is>
          <t>390</t>
        </is>
      </c>
      <c r="B10153" s="4" t="n">
        <v>3</v>
      </c>
      <c r="C10153" s="4" t="inlineStr">
        <is>
          <t>whitetail</t>
        </is>
      </c>
      <c r="D10153" s="4" t="n">
        <v>2011</v>
      </c>
      <c r="E10153" s="13" t="inlineStr">
        <is>
          <t>General</t>
        </is>
      </c>
      <c r="F10153" s="5" t="n">
        <v>396</v>
      </c>
      <c r="G10153" s="5" t="n">
        <v>2272</v>
      </c>
      <c r="H10153" s="5" t="n">
        <v>63</v>
      </c>
      <c r="I10153" s="5" t="n">
        <v>30</v>
      </c>
      <c r="J10153" s="5" t="n">
        <v>30</v>
      </c>
      <c r="K10153" s="10">
        <f>IF(F10153&gt;0,H10153/F10153,"")</f>
        <v/>
      </c>
      <c r="L10153" s="16">
        <f>IF(AND(G10153&gt;0,H10153&gt;0),G10153/H10153,"")</f>
        <v/>
      </c>
    </row>
    <row r="10154">
      <c r="A10154" s="4" t="inlineStr">
        <is>
          <t>390</t>
        </is>
      </c>
      <c r="B10154" s="4" t="n">
        <v>3</v>
      </c>
      <c r="C10154" s="4" t="inlineStr">
        <is>
          <t>whitetail</t>
        </is>
      </c>
      <c r="D10154" s="4" t="n">
        <v>2012</v>
      </c>
      <c r="E10154" s="13" t="inlineStr">
        <is>
          <t>General</t>
        </is>
      </c>
      <c r="F10154" s="5" t="n"/>
      <c r="G10154" s="5" t="n"/>
      <c r="H10154" s="5" t="n">
        <v>92</v>
      </c>
      <c r="I10154" s="5" t="n">
        <v>50</v>
      </c>
      <c r="J10154" s="5" t="n">
        <v>42</v>
      </c>
      <c r="K10154" s="10">
        <f>IF(F10154&gt;0,H10154/F10154,"")</f>
        <v/>
      </c>
      <c r="L10154" s="16">
        <f>IF(AND(G10154&gt;0,H10154&gt;0),G10154/H10154,"")</f>
        <v/>
      </c>
    </row>
    <row r="10155">
      <c r="A10155" s="4" t="inlineStr">
        <is>
          <t>390</t>
        </is>
      </c>
      <c r="B10155" s="4" t="n">
        <v>3</v>
      </c>
      <c r="C10155" s="4" t="inlineStr">
        <is>
          <t>whitetail</t>
        </is>
      </c>
      <c r="D10155" s="4" t="n">
        <v>2013</v>
      </c>
      <c r="E10155" s="13" t="inlineStr">
        <is>
          <t>General</t>
        </is>
      </c>
      <c r="F10155" s="5" t="n">
        <v>363</v>
      </c>
      <c r="G10155" s="5" t="n">
        <v>2619</v>
      </c>
      <c r="H10155" s="5" t="n">
        <v>66</v>
      </c>
      <c r="I10155" s="5" t="n">
        <v>33</v>
      </c>
      <c r="J10155" s="5" t="n">
        <v>33</v>
      </c>
      <c r="K10155" s="10">
        <f>IF(F10155&gt;0,H10155/F10155,"")</f>
        <v/>
      </c>
      <c r="L10155" s="16">
        <f>IF(AND(G10155&gt;0,H10155&gt;0),G10155/H10155,"")</f>
        <v/>
      </c>
    </row>
    <row r="10156">
      <c r="A10156" s="4" t="inlineStr">
        <is>
          <t>390</t>
        </is>
      </c>
      <c r="B10156" s="4" t="n">
        <v>3</v>
      </c>
      <c r="C10156" s="4" t="inlineStr">
        <is>
          <t>whitetail</t>
        </is>
      </c>
      <c r="D10156" s="4" t="n">
        <v>2014</v>
      </c>
      <c r="E10156" s="13" t="inlineStr">
        <is>
          <t>General</t>
        </is>
      </c>
      <c r="F10156" s="5" t="n"/>
      <c r="G10156" s="5" t="n"/>
      <c r="H10156" s="5" t="n">
        <v>73</v>
      </c>
      <c r="I10156" s="5" t="n">
        <v>42</v>
      </c>
      <c r="J10156" s="5" t="n">
        <v>31</v>
      </c>
      <c r="K10156" s="10">
        <f>IF(F10156&gt;0,H10156/F10156,"")</f>
        <v/>
      </c>
      <c r="L10156" s="16">
        <f>IF(AND(G10156&gt;0,H10156&gt;0),G10156/H10156,"")</f>
        <v/>
      </c>
    </row>
    <row r="10157">
      <c r="A10157" s="4" t="inlineStr">
        <is>
          <t>390</t>
        </is>
      </c>
      <c r="B10157" s="4" t="n">
        <v>3</v>
      </c>
      <c r="C10157" s="4" t="inlineStr">
        <is>
          <t>whitetail</t>
        </is>
      </c>
      <c r="D10157" s="4" t="n">
        <v>2015</v>
      </c>
      <c r="E10157" s="13" t="inlineStr">
        <is>
          <t>General</t>
        </is>
      </c>
      <c r="F10157" s="5" t="n"/>
      <c r="G10157" s="5" t="n"/>
      <c r="H10157" s="5" t="n">
        <v>77</v>
      </c>
      <c r="I10157" s="5" t="n">
        <v>42</v>
      </c>
      <c r="J10157" s="5" t="n">
        <v>32</v>
      </c>
      <c r="K10157" s="10">
        <f>IF(F10157&gt;0,H10157/F10157,"")</f>
        <v/>
      </c>
      <c r="L10157" s="16">
        <f>IF(AND(G10157&gt;0,H10157&gt;0),G10157/H10157,"")</f>
        <v/>
      </c>
    </row>
    <row r="10158">
      <c r="A10158" s="4" t="inlineStr">
        <is>
          <t>390</t>
        </is>
      </c>
      <c r="B10158" s="4" t="n">
        <v>3</v>
      </c>
      <c r="C10158" s="4" t="inlineStr">
        <is>
          <t>whitetail</t>
        </is>
      </c>
      <c r="D10158" s="4" t="n">
        <v>2016</v>
      </c>
      <c r="E10158" s="13" t="inlineStr">
        <is>
          <t>General</t>
        </is>
      </c>
      <c r="F10158" s="5" t="n"/>
      <c r="G10158" s="5" t="n"/>
      <c r="H10158" s="5" t="n">
        <v>89</v>
      </c>
      <c r="I10158" s="5" t="n">
        <v>44</v>
      </c>
      <c r="J10158" s="5" t="n">
        <v>45</v>
      </c>
      <c r="K10158" s="10">
        <f>IF(F10158&gt;0,H10158/F10158,"")</f>
        <v/>
      </c>
      <c r="L10158" s="16">
        <f>IF(AND(G10158&gt;0,H10158&gt;0),G10158/H10158,"")</f>
        <v/>
      </c>
    </row>
    <row r="10159">
      <c r="A10159" s="4" t="inlineStr">
        <is>
          <t>390</t>
        </is>
      </c>
      <c r="B10159" s="4" t="n">
        <v>3</v>
      </c>
      <c r="C10159" s="4" t="inlineStr">
        <is>
          <t>whitetail</t>
        </is>
      </c>
      <c r="D10159" s="4" t="n">
        <v>2017</v>
      </c>
      <c r="E10159" s="13" t="inlineStr">
        <is>
          <t>General</t>
        </is>
      </c>
      <c r="F10159" s="5" t="n">
        <v>489</v>
      </c>
      <c r="G10159" s="5" t="n">
        <v>2936</v>
      </c>
      <c r="H10159" s="5" t="n">
        <v>109</v>
      </c>
      <c r="I10159" s="5" t="n">
        <v>56</v>
      </c>
      <c r="J10159" s="5" t="n">
        <v>50</v>
      </c>
      <c r="K10159" s="10">
        <f>IF(F10159&gt;0,H10159/F10159,"")</f>
        <v/>
      </c>
      <c r="L10159" s="16">
        <f>IF(AND(G10159&gt;0,H10159&gt;0),G10159/H10159,"")</f>
        <v/>
      </c>
    </row>
    <row r="10160">
      <c r="A10160" s="4" t="inlineStr">
        <is>
          <t>390</t>
        </is>
      </c>
      <c r="B10160" s="4" t="n">
        <v>3</v>
      </c>
      <c r="C10160" s="4" t="inlineStr">
        <is>
          <t>whitetail</t>
        </is>
      </c>
      <c r="D10160" s="4" t="n">
        <v>2018</v>
      </c>
      <c r="E10160" s="13" t="inlineStr">
        <is>
          <t>General</t>
        </is>
      </c>
      <c r="F10160" s="5" t="n"/>
      <c r="G10160" s="5" t="n"/>
      <c r="H10160" s="5" t="n">
        <v>51</v>
      </c>
      <c r="I10160" s="5" t="n">
        <v>24</v>
      </c>
      <c r="J10160" s="5" t="n">
        <v>27</v>
      </c>
      <c r="K10160" s="10">
        <f>IF(F10160&gt;0,H10160/F10160,"")</f>
        <v/>
      </c>
      <c r="L10160" s="16">
        <f>IF(AND(G10160&gt;0,H10160&gt;0),G10160/H10160,"")</f>
        <v/>
      </c>
    </row>
    <row r="10161">
      <c r="A10161" s="4" t="inlineStr">
        <is>
          <t>390</t>
        </is>
      </c>
      <c r="B10161" s="4" t="n">
        <v>3</v>
      </c>
      <c r="C10161" s="4" t="inlineStr">
        <is>
          <t>whitetail</t>
        </is>
      </c>
      <c r="D10161" s="4" t="n">
        <v>2019</v>
      </c>
      <c r="E10161" s="13" t="inlineStr">
        <is>
          <t>General</t>
        </is>
      </c>
      <c r="F10161" s="5" t="n">
        <v>580</v>
      </c>
      <c r="G10161" s="5" t="n">
        <v>3967</v>
      </c>
      <c r="H10161" s="5" t="n">
        <v>98</v>
      </c>
      <c r="I10161" s="5" t="n">
        <v>67</v>
      </c>
      <c r="J10161" s="5" t="n">
        <v>31</v>
      </c>
      <c r="K10161" s="10">
        <f>IF(F10161&gt;0,H10161/F10161,"")</f>
        <v/>
      </c>
      <c r="L10161" s="16">
        <f>IF(AND(G10161&gt;0,H10161&gt;0),G10161/H10161,"")</f>
        <v/>
      </c>
    </row>
    <row r="10162">
      <c r="A10162" s="4" t="inlineStr">
        <is>
          <t>390</t>
        </is>
      </c>
      <c r="B10162" s="4" t="n">
        <v>3</v>
      </c>
      <c r="C10162" s="4" t="inlineStr">
        <is>
          <t>whitetail</t>
        </is>
      </c>
      <c r="D10162" s="4" t="n">
        <v>2020</v>
      </c>
      <c r="E10162" s="13" t="inlineStr">
        <is>
          <t>General</t>
        </is>
      </c>
      <c r="F10162" s="5" t="n"/>
      <c r="G10162" s="5" t="n"/>
      <c r="H10162" s="5" t="n">
        <v>51</v>
      </c>
      <c r="I10162" s="5" t="n">
        <v>13</v>
      </c>
      <c r="J10162" s="5" t="n">
        <v>38</v>
      </c>
      <c r="K10162" s="10">
        <f>IF(F10162&gt;0,H10162/F10162,"")</f>
        <v/>
      </c>
      <c r="L10162" s="16">
        <f>IF(AND(G10162&gt;0,H10162&gt;0),G10162/H10162,"")</f>
        <v/>
      </c>
    </row>
    <row r="10163">
      <c r="A10163" s="4" t="inlineStr">
        <is>
          <t>390</t>
        </is>
      </c>
      <c r="B10163" s="4" t="n">
        <v>3</v>
      </c>
      <c r="C10163" s="4" t="inlineStr">
        <is>
          <t>whitetail</t>
        </is>
      </c>
      <c r="D10163" s="4" t="n">
        <v>2021</v>
      </c>
      <c r="E10163" s="13" t="inlineStr">
        <is>
          <t>General</t>
        </is>
      </c>
      <c r="F10163" s="5" t="n">
        <v>584</v>
      </c>
      <c r="G10163" s="5" t="n">
        <v>3853</v>
      </c>
      <c r="H10163" s="5" t="n">
        <v>71</v>
      </c>
      <c r="I10163" s="5" t="n">
        <v>63</v>
      </c>
      <c r="J10163" s="5" t="n">
        <v>7</v>
      </c>
      <c r="K10163" s="10">
        <f>IF(F10163&gt;0,H10163/F10163,"")</f>
        <v/>
      </c>
      <c r="L10163" s="16">
        <f>IF(AND(G10163&gt;0,H10163&gt;0),G10163/H10163,"")</f>
        <v/>
      </c>
    </row>
    <row r="10164">
      <c r="A10164" s="4" t="inlineStr">
        <is>
          <t>390</t>
        </is>
      </c>
      <c r="B10164" s="4" t="n">
        <v>3</v>
      </c>
      <c r="C10164" s="4" t="inlineStr">
        <is>
          <t>whitetail</t>
        </is>
      </c>
      <c r="D10164" s="4" t="n">
        <v>2022</v>
      </c>
      <c r="E10164" s="13" t="inlineStr">
        <is>
          <t>General</t>
        </is>
      </c>
      <c r="F10164" s="5" t="n"/>
      <c r="G10164" s="5" t="n"/>
      <c r="H10164" s="5" t="n">
        <v>84</v>
      </c>
      <c r="I10164" s="5" t="n">
        <v>32</v>
      </c>
      <c r="J10164" s="5" t="n">
        <v>52</v>
      </c>
      <c r="K10164" s="10">
        <f>IF(F10164&gt;0,H10164/F10164,"")</f>
        <v/>
      </c>
      <c r="L10164" s="16">
        <f>IF(AND(G10164&gt;0,H10164&gt;0),G10164/H10164,"")</f>
        <v/>
      </c>
    </row>
    <row r="10165">
      <c r="A10165" s="4" t="inlineStr">
        <is>
          <t>390</t>
        </is>
      </c>
      <c r="B10165" s="4" t="n">
        <v>3</v>
      </c>
      <c r="C10165" s="4" t="inlineStr">
        <is>
          <t>whitetail</t>
        </is>
      </c>
      <c r="D10165" s="4" t="n">
        <v>2023</v>
      </c>
      <c r="E10165" s="13" t="inlineStr">
        <is>
          <t>General</t>
        </is>
      </c>
      <c r="F10165" s="5" t="n">
        <v>666</v>
      </c>
      <c r="G10165" s="5" t="n">
        <v>4513</v>
      </c>
      <c r="H10165" s="5" t="n">
        <v>72</v>
      </c>
      <c r="I10165" s="5" t="n">
        <v>46</v>
      </c>
      <c r="J10165" s="5" t="n">
        <v>26</v>
      </c>
      <c r="K10165" s="10">
        <f>IF(F10165&gt;0,H10165/F10165,"")</f>
        <v/>
      </c>
      <c r="L10165" s="16">
        <f>IF(AND(G10165&gt;0,H10165&gt;0),G10165/H10165,"")</f>
        <v/>
      </c>
    </row>
    <row r="10166">
      <c r="A10166" s="4" t="inlineStr">
        <is>
          <t>390</t>
        </is>
      </c>
      <c r="B10166" s="4" t="n">
        <v>3</v>
      </c>
      <c r="C10166" s="4" t="inlineStr">
        <is>
          <t>whitetail</t>
        </is>
      </c>
      <c r="D10166" s="4" t="n">
        <v>2024</v>
      </c>
      <c r="E10166" s="13" t="inlineStr">
        <is>
          <t>General</t>
        </is>
      </c>
      <c r="F10166" s="5" t="n"/>
      <c r="G10166" s="5" t="n"/>
      <c r="H10166" s="5" t="n">
        <v>128</v>
      </c>
      <c r="I10166" s="5" t="n">
        <v>67</v>
      </c>
      <c r="J10166" s="5" t="n">
        <v>61</v>
      </c>
      <c r="K10166" s="10">
        <f>IF(F10166&gt;0,H10166/F10166,"")</f>
        <v/>
      </c>
      <c r="L10166" s="16">
        <f>IF(AND(G10166&gt;0,H10166&gt;0),G10166/H10166,"")</f>
        <v/>
      </c>
    </row>
    <row r="10167">
      <c r="A10167" s="4" t="inlineStr">
        <is>
          <t>390</t>
        </is>
      </c>
      <c r="B10167" s="4" t="n">
        <v>3</v>
      </c>
      <c r="C10167" s="4" t="inlineStr">
        <is>
          <t>whitetail</t>
        </is>
      </c>
      <c r="D10167" s="4" t="n">
        <v>2025</v>
      </c>
      <c r="E10167" s="13" t="inlineStr">
        <is>
          <t>General</t>
        </is>
      </c>
      <c r="F10167" s="5" t="n">
        <v>715</v>
      </c>
      <c r="G10167" s="5" t="n">
        <v>4935</v>
      </c>
      <c r="H10167" s="5" t="n">
        <v>70</v>
      </c>
      <c r="I10167" s="5" t="n">
        <v>34</v>
      </c>
      <c r="J10167" s="5" t="n">
        <v>36</v>
      </c>
      <c r="K10167" s="10">
        <f>IF(F10167&gt;0,H10167/F10167,"")</f>
        <v/>
      </c>
      <c r="L10167" s="16">
        <f>IF(AND(G10167&gt;0,H10167&gt;0),G10167/H10167,"")</f>
        <v/>
      </c>
    </row>
    <row r="10168">
      <c r="A10168" s="4" t="inlineStr">
        <is>
          <t>391</t>
        </is>
      </c>
      <c r="B10168" s="4" t="n">
        <v>3</v>
      </c>
      <c r="C10168" s="4" t="inlineStr">
        <is>
          <t>whitetail</t>
        </is>
      </c>
      <c r="D10168" s="4" t="n">
        <v>2004</v>
      </c>
      <c r="E10168" s="13" t="inlineStr">
        <is>
          <t>General</t>
        </is>
      </c>
      <c r="F10168" s="5" t="n">
        <v>744</v>
      </c>
      <c r="G10168" s="5" t="n">
        <v>4088</v>
      </c>
      <c r="H10168" s="5" t="n">
        <v>132</v>
      </c>
      <c r="I10168" s="5" t="n">
        <v>89</v>
      </c>
      <c r="J10168" s="5" t="n">
        <v>41</v>
      </c>
      <c r="K10168" s="10">
        <f>IF(F10168&gt;0,H10168/F10168,"")</f>
        <v/>
      </c>
      <c r="L10168" s="16">
        <f>IF(AND(G10168&gt;0,H10168&gt;0),G10168/H10168,"")</f>
        <v/>
      </c>
    </row>
    <row r="10169">
      <c r="A10169" s="4" t="inlineStr">
        <is>
          <t>391</t>
        </is>
      </c>
      <c r="B10169" s="4" t="n">
        <v>3</v>
      </c>
      <c r="C10169" s="4" t="inlineStr">
        <is>
          <t>whitetail</t>
        </is>
      </c>
      <c r="D10169" s="4" t="n">
        <v>2005</v>
      </c>
      <c r="E10169" s="13" t="inlineStr">
        <is>
          <t>General</t>
        </is>
      </c>
      <c r="F10169" s="5" t="n">
        <v>742</v>
      </c>
      <c r="G10169" s="5" t="n">
        <v>4505</v>
      </c>
      <c r="H10169" s="5" t="n">
        <v>118</v>
      </c>
      <c r="I10169" s="5" t="n">
        <v>68</v>
      </c>
      <c r="J10169" s="5" t="n">
        <v>51</v>
      </c>
      <c r="K10169" s="10">
        <f>IF(F10169&gt;0,H10169/F10169,"")</f>
        <v/>
      </c>
      <c r="L10169" s="16">
        <f>IF(AND(G10169&gt;0,H10169&gt;0),G10169/H10169,"")</f>
        <v/>
      </c>
    </row>
    <row r="10170">
      <c r="A10170" s="4" t="inlineStr">
        <is>
          <t>391</t>
        </is>
      </c>
      <c r="B10170" s="4" t="n">
        <v>3</v>
      </c>
      <c r="C10170" s="4" t="inlineStr">
        <is>
          <t>whitetail</t>
        </is>
      </c>
      <c r="D10170" s="4" t="n">
        <v>2006</v>
      </c>
      <c r="E10170" s="13" t="inlineStr">
        <is>
          <t>General</t>
        </is>
      </c>
      <c r="F10170" s="5" t="n">
        <v>792</v>
      </c>
      <c r="G10170" s="5" t="n">
        <v>4565</v>
      </c>
      <c r="H10170" s="5" t="n">
        <v>183</v>
      </c>
      <c r="I10170" s="5" t="n">
        <v>106</v>
      </c>
      <c r="J10170" s="5" t="n">
        <v>73</v>
      </c>
      <c r="K10170" s="10">
        <f>IF(F10170&gt;0,H10170/F10170,"")</f>
        <v/>
      </c>
      <c r="L10170" s="16">
        <f>IF(AND(G10170&gt;0,H10170&gt;0),G10170/H10170,"")</f>
        <v/>
      </c>
    </row>
    <row r="10171">
      <c r="A10171" s="4" t="inlineStr">
        <is>
          <t>391</t>
        </is>
      </c>
      <c r="B10171" s="4" t="n">
        <v>3</v>
      </c>
      <c r="C10171" s="4" t="inlineStr">
        <is>
          <t>whitetail</t>
        </is>
      </c>
      <c r="D10171" s="4" t="n">
        <v>2007</v>
      </c>
      <c r="E10171" s="13" t="inlineStr">
        <is>
          <t>General</t>
        </is>
      </c>
      <c r="F10171" s="5" t="n">
        <v>837</v>
      </c>
      <c r="G10171" s="5" t="n">
        <v>5324</v>
      </c>
      <c r="H10171" s="5" t="n">
        <v>134</v>
      </c>
      <c r="I10171" s="5" t="n">
        <v>83</v>
      </c>
      <c r="J10171" s="5" t="n">
        <v>46</v>
      </c>
      <c r="K10171" s="10">
        <f>IF(F10171&gt;0,H10171/F10171,"")</f>
        <v/>
      </c>
      <c r="L10171" s="16">
        <f>IF(AND(G10171&gt;0,H10171&gt;0),G10171/H10171,"")</f>
        <v/>
      </c>
    </row>
    <row r="10172">
      <c r="A10172" s="4" t="inlineStr">
        <is>
          <t>391</t>
        </is>
      </c>
      <c r="B10172" s="4" t="n">
        <v>3</v>
      </c>
      <c r="C10172" s="4" t="inlineStr">
        <is>
          <t>whitetail</t>
        </is>
      </c>
      <c r="D10172" s="4" t="n">
        <v>2008</v>
      </c>
      <c r="E10172" s="13" t="inlineStr">
        <is>
          <t>General</t>
        </is>
      </c>
      <c r="F10172" s="5" t="n">
        <v>917</v>
      </c>
      <c r="G10172" s="5" t="n">
        <v>6162</v>
      </c>
      <c r="H10172" s="5" t="n">
        <v>177</v>
      </c>
      <c r="I10172" s="5" t="n">
        <v>76</v>
      </c>
      <c r="J10172" s="5" t="n">
        <v>100</v>
      </c>
      <c r="K10172" s="10">
        <f>IF(F10172&gt;0,H10172/F10172,"")</f>
        <v/>
      </c>
      <c r="L10172" s="16">
        <f>IF(AND(G10172&gt;0,H10172&gt;0),G10172/H10172,"")</f>
        <v/>
      </c>
    </row>
    <row r="10173">
      <c r="A10173" s="4" t="inlineStr">
        <is>
          <t>391</t>
        </is>
      </c>
      <c r="B10173" s="4" t="n">
        <v>3</v>
      </c>
      <c r="C10173" s="4" t="inlineStr">
        <is>
          <t>whitetail</t>
        </is>
      </c>
      <c r="D10173" s="4" t="n">
        <v>2009</v>
      </c>
      <c r="E10173" s="13" t="inlineStr">
        <is>
          <t>General</t>
        </is>
      </c>
      <c r="F10173" s="5" t="n">
        <v>750</v>
      </c>
      <c r="G10173" s="5" t="n">
        <v>4969</v>
      </c>
      <c r="H10173" s="5" t="n">
        <v>171</v>
      </c>
      <c r="I10173" s="5" t="n">
        <v>67</v>
      </c>
      <c r="J10173" s="5" t="n">
        <v>101</v>
      </c>
      <c r="K10173" s="10">
        <f>IF(F10173&gt;0,H10173/F10173,"")</f>
        <v/>
      </c>
      <c r="L10173" s="16">
        <f>IF(AND(G10173&gt;0,H10173&gt;0),G10173/H10173,"")</f>
        <v/>
      </c>
    </row>
    <row r="10174">
      <c r="A10174" s="4" t="inlineStr">
        <is>
          <t>391</t>
        </is>
      </c>
      <c r="B10174" s="4" t="n">
        <v>3</v>
      </c>
      <c r="C10174" s="4" t="inlineStr">
        <is>
          <t>whitetail</t>
        </is>
      </c>
      <c r="D10174" s="4" t="n">
        <v>2010</v>
      </c>
      <c r="E10174" s="13" t="inlineStr">
        <is>
          <t>General</t>
        </is>
      </c>
      <c r="F10174" s="5" t="n">
        <v>659</v>
      </c>
      <c r="G10174" s="5" t="n">
        <v>4226</v>
      </c>
      <c r="H10174" s="5" t="n">
        <v>173</v>
      </c>
      <c r="I10174" s="5" t="n">
        <v>88</v>
      </c>
      <c r="J10174" s="5" t="n">
        <v>85</v>
      </c>
      <c r="K10174" s="10">
        <f>IF(F10174&gt;0,H10174/F10174,"")</f>
        <v/>
      </c>
      <c r="L10174" s="16">
        <f>IF(AND(G10174&gt;0,H10174&gt;0),G10174/H10174,"")</f>
        <v/>
      </c>
    </row>
    <row r="10175">
      <c r="A10175" s="4" t="inlineStr">
        <is>
          <t>391</t>
        </is>
      </c>
      <c r="B10175" s="4" t="n">
        <v>3</v>
      </c>
      <c r="C10175" s="4" t="inlineStr">
        <is>
          <t>whitetail</t>
        </is>
      </c>
      <c r="D10175" s="4" t="n">
        <v>2011</v>
      </c>
      <c r="E10175" s="13" t="inlineStr">
        <is>
          <t>General</t>
        </is>
      </c>
      <c r="F10175" s="5" t="n">
        <v>671</v>
      </c>
      <c r="G10175" s="5" t="n">
        <v>4161</v>
      </c>
      <c r="H10175" s="5" t="n">
        <v>166</v>
      </c>
      <c r="I10175" s="5" t="n">
        <v>69</v>
      </c>
      <c r="J10175" s="5" t="n">
        <v>97</v>
      </c>
      <c r="K10175" s="10">
        <f>IF(F10175&gt;0,H10175/F10175,"")</f>
        <v/>
      </c>
      <c r="L10175" s="16">
        <f>IF(AND(G10175&gt;0,H10175&gt;0),G10175/H10175,"")</f>
        <v/>
      </c>
    </row>
    <row r="10176">
      <c r="A10176" s="4" t="inlineStr">
        <is>
          <t>391</t>
        </is>
      </c>
      <c r="B10176" s="4" t="n">
        <v>3</v>
      </c>
      <c r="C10176" s="4" t="inlineStr">
        <is>
          <t>whitetail</t>
        </is>
      </c>
      <c r="D10176" s="4" t="n">
        <v>2012</v>
      </c>
      <c r="E10176" s="13" t="inlineStr">
        <is>
          <t>General</t>
        </is>
      </c>
      <c r="F10176" s="5" t="n"/>
      <c r="G10176" s="5" t="n"/>
      <c r="H10176" s="5" t="n">
        <v>190</v>
      </c>
      <c r="I10176" s="5" t="n">
        <v>78</v>
      </c>
      <c r="J10176" s="5" t="n">
        <v>103</v>
      </c>
      <c r="K10176" s="10">
        <f>IF(F10176&gt;0,H10176/F10176,"")</f>
        <v/>
      </c>
      <c r="L10176" s="16">
        <f>IF(AND(G10176&gt;0,H10176&gt;0),G10176/H10176,"")</f>
        <v/>
      </c>
    </row>
    <row r="10177">
      <c r="A10177" s="4" t="inlineStr">
        <is>
          <t>391</t>
        </is>
      </c>
      <c r="B10177" s="4" t="n">
        <v>3</v>
      </c>
      <c r="C10177" s="4" t="inlineStr">
        <is>
          <t>whitetail</t>
        </is>
      </c>
      <c r="D10177" s="4" t="n">
        <v>2013</v>
      </c>
      <c r="E10177" s="13" t="inlineStr">
        <is>
          <t>General</t>
        </is>
      </c>
      <c r="F10177" s="5" t="n">
        <v>853</v>
      </c>
      <c r="G10177" s="5" t="n">
        <v>5825</v>
      </c>
      <c r="H10177" s="5" t="n">
        <v>197</v>
      </c>
      <c r="I10177" s="5" t="n">
        <v>104</v>
      </c>
      <c r="J10177" s="5" t="n">
        <v>92</v>
      </c>
      <c r="K10177" s="10">
        <f>IF(F10177&gt;0,H10177/F10177,"")</f>
        <v/>
      </c>
      <c r="L10177" s="16">
        <f>IF(AND(G10177&gt;0,H10177&gt;0),G10177/H10177,"")</f>
        <v/>
      </c>
    </row>
    <row r="10178">
      <c r="A10178" s="4" t="inlineStr">
        <is>
          <t>391</t>
        </is>
      </c>
      <c r="B10178" s="4" t="n">
        <v>3</v>
      </c>
      <c r="C10178" s="4" t="inlineStr">
        <is>
          <t>whitetail</t>
        </is>
      </c>
      <c r="D10178" s="4" t="n">
        <v>2014</v>
      </c>
      <c r="E10178" s="13" t="inlineStr">
        <is>
          <t>General</t>
        </is>
      </c>
      <c r="F10178" s="5" t="n"/>
      <c r="G10178" s="5" t="n"/>
      <c r="H10178" s="5" t="n">
        <v>155</v>
      </c>
      <c r="I10178" s="5" t="n">
        <v>90</v>
      </c>
      <c r="J10178" s="5" t="n">
        <v>65</v>
      </c>
      <c r="K10178" s="10">
        <f>IF(F10178&gt;0,H10178/F10178,"")</f>
        <v/>
      </c>
      <c r="L10178" s="16">
        <f>IF(AND(G10178&gt;0,H10178&gt;0),G10178/H10178,"")</f>
        <v/>
      </c>
    </row>
    <row r="10179">
      <c r="A10179" s="4" t="inlineStr">
        <is>
          <t>391</t>
        </is>
      </c>
      <c r="B10179" s="4" t="n">
        <v>3</v>
      </c>
      <c r="C10179" s="4" t="inlineStr">
        <is>
          <t>whitetail</t>
        </is>
      </c>
      <c r="D10179" s="4" t="n">
        <v>2015</v>
      </c>
      <c r="E10179" s="13" t="inlineStr">
        <is>
          <t>General</t>
        </is>
      </c>
      <c r="F10179" s="5" t="n"/>
      <c r="G10179" s="5" t="n"/>
      <c r="H10179" s="5" t="n">
        <v>196</v>
      </c>
      <c r="I10179" s="5" t="n">
        <v>101</v>
      </c>
      <c r="J10179" s="5" t="n">
        <v>87</v>
      </c>
      <c r="K10179" s="10">
        <f>IF(F10179&gt;0,H10179/F10179,"")</f>
        <v/>
      </c>
      <c r="L10179" s="16">
        <f>IF(AND(G10179&gt;0,H10179&gt;0),G10179/H10179,"")</f>
        <v/>
      </c>
    </row>
    <row r="10180">
      <c r="A10180" s="4" t="inlineStr">
        <is>
          <t>391</t>
        </is>
      </c>
      <c r="B10180" s="4" t="n">
        <v>3</v>
      </c>
      <c r="C10180" s="4" t="inlineStr">
        <is>
          <t>whitetail</t>
        </is>
      </c>
      <c r="D10180" s="4" t="n">
        <v>2016</v>
      </c>
      <c r="E10180" s="13" t="inlineStr">
        <is>
          <t>General</t>
        </is>
      </c>
      <c r="F10180" s="5" t="n"/>
      <c r="G10180" s="5" t="n"/>
      <c r="H10180" s="5" t="n">
        <v>269</v>
      </c>
      <c r="I10180" s="5" t="n">
        <v>129</v>
      </c>
      <c r="J10180" s="5" t="n">
        <v>137</v>
      </c>
      <c r="K10180" s="10">
        <f>IF(F10180&gt;0,H10180/F10180,"")</f>
        <v/>
      </c>
      <c r="L10180" s="16">
        <f>IF(AND(G10180&gt;0,H10180&gt;0),G10180/H10180,"")</f>
        <v/>
      </c>
    </row>
    <row r="10181">
      <c r="A10181" s="4" t="inlineStr">
        <is>
          <t>391</t>
        </is>
      </c>
      <c r="B10181" s="4" t="n">
        <v>3</v>
      </c>
      <c r="C10181" s="4" t="inlineStr">
        <is>
          <t>whitetail</t>
        </is>
      </c>
      <c r="D10181" s="4" t="n">
        <v>2017</v>
      </c>
      <c r="E10181" s="13" t="inlineStr">
        <is>
          <t>General</t>
        </is>
      </c>
      <c r="F10181" s="5" t="n">
        <v>1188</v>
      </c>
      <c r="G10181" s="5" t="n">
        <v>7914</v>
      </c>
      <c r="H10181" s="5" t="n">
        <v>219</v>
      </c>
      <c r="I10181" s="5" t="n">
        <v>124</v>
      </c>
      <c r="J10181" s="5" t="n">
        <v>90</v>
      </c>
      <c r="K10181" s="10">
        <f>IF(F10181&gt;0,H10181/F10181,"")</f>
        <v/>
      </c>
      <c r="L10181" s="16">
        <f>IF(AND(G10181&gt;0,H10181&gt;0),G10181/H10181,"")</f>
        <v/>
      </c>
    </row>
    <row r="10182">
      <c r="A10182" s="4" t="inlineStr">
        <is>
          <t>391</t>
        </is>
      </c>
      <c r="B10182" s="4" t="n">
        <v>3</v>
      </c>
      <c r="C10182" s="4" t="inlineStr">
        <is>
          <t>whitetail</t>
        </is>
      </c>
      <c r="D10182" s="4" t="n">
        <v>2018</v>
      </c>
      <c r="E10182" s="13" t="inlineStr">
        <is>
          <t>General</t>
        </is>
      </c>
      <c r="F10182" s="5" t="n"/>
      <c r="G10182" s="5" t="n"/>
      <c r="H10182" s="5" t="n">
        <v>160</v>
      </c>
      <c r="I10182" s="5" t="n">
        <v>77</v>
      </c>
      <c r="J10182" s="5" t="n">
        <v>80</v>
      </c>
      <c r="K10182" s="10">
        <f>IF(F10182&gt;0,H10182/F10182,"")</f>
        <v/>
      </c>
      <c r="L10182" s="16">
        <f>IF(AND(G10182&gt;0,H10182&gt;0),G10182/H10182,"")</f>
        <v/>
      </c>
    </row>
    <row r="10183">
      <c r="A10183" s="4" t="inlineStr">
        <is>
          <t>391</t>
        </is>
      </c>
      <c r="B10183" s="4" t="n">
        <v>3</v>
      </c>
      <c r="C10183" s="4" t="inlineStr">
        <is>
          <t>whitetail</t>
        </is>
      </c>
      <c r="D10183" s="4" t="n">
        <v>2019</v>
      </c>
      <c r="E10183" s="13" t="inlineStr">
        <is>
          <t>General</t>
        </is>
      </c>
      <c r="F10183" s="5" t="n">
        <v>1303</v>
      </c>
      <c r="G10183" s="5" t="n">
        <v>8413</v>
      </c>
      <c r="H10183" s="5" t="n">
        <v>183</v>
      </c>
      <c r="I10183" s="5" t="n">
        <v>75</v>
      </c>
      <c r="J10183" s="5" t="n">
        <v>108</v>
      </c>
      <c r="K10183" s="10">
        <f>IF(F10183&gt;0,H10183/F10183,"")</f>
        <v/>
      </c>
      <c r="L10183" s="16">
        <f>IF(AND(G10183&gt;0,H10183&gt;0),G10183/H10183,"")</f>
        <v/>
      </c>
    </row>
    <row r="10184">
      <c r="A10184" s="4" t="inlineStr">
        <is>
          <t>391</t>
        </is>
      </c>
      <c r="B10184" s="4" t="n">
        <v>3</v>
      </c>
      <c r="C10184" s="4" t="inlineStr">
        <is>
          <t>whitetail</t>
        </is>
      </c>
      <c r="D10184" s="4" t="n">
        <v>2020</v>
      </c>
      <c r="E10184" s="13" t="inlineStr">
        <is>
          <t>General</t>
        </is>
      </c>
      <c r="F10184" s="5" t="n"/>
      <c r="G10184" s="5" t="n"/>
      <c r="H10184" s="5" t="n">
        <v>208</v>
      </c>
      <c r="I10184" s="5" t="n">
        <v>116</v>
      </c>
      <c r="J10184" s="5" t="n">
        <v>92</v>
      </c>
      <c r="K10184" s="10">
        <f>IF(F10184&gt;0,H10184/F10184,"")</f>
        <v/>
      </c>
      <c r="L10184" s="16">
        <f>IF(AND(G10184&gt;0,H10184&gt;0),G10184/H10184,"")</f>
        <v/>
      </c>
    </row>
    <row r="10185">
      <c r="A10185" s="4" t="inlineStr">
        <is>
          <t>391</t>
        </is>
      </c>
      <c r="B10185" s="4" t="n">
        <v>3</v>
      </c>
      <c r="C10185" s="4" t="inlineStr">
        <is>
          <t>whitetail</t>
        </is>
      </c>
      <c r="D10185" s="4" t="n">
        <v>2021</v>
      </c>
      <c r="E10185" s="13" t="inlineStr">
        <is>
          <t>General</t>
        </is>
      </c>
      <c r="F10185" s="5" t="n">
        <v>1595</v>
      </c>
      <c r="G10185" s="5" t="n">
        <v>11068</v>
      </c>
      <c r="H10185" s="5" t="n">
        <v>160</v>
      </c>
      <c r="I10185" s="5" t="n">
        <v>104</v>
      </c>
      <c r="J10185" s="5" t="n">
        <v>52</v>
      </c>
      <c r="K10185" s="10">
        <f>IF(F10185&gt;0,H10185/F10185,"")</f>
        <v/>
      </c>
      <c r="L10185" s="16">
        <f>IF(AND(G10185&gt;0,H10185&gt;0),G10185/H10185,"")</f>
        <v/>
      </c>
    </row>
    <row r="10186">
      <c r="A10186" s="4" t="inlineStr">
        <is>
          <t>391</t>
        </is>
      </c>
      <c r="B10186" s="4" t="n">
        <v>3</v>
      </c>
      <c r="C10186" s="4" t="inlineStr">
        <is>
          <t>whitetail</t>
        </is>
      </c>
      <c r="D10186" s="4" t="n">
        <v>2022</v>
      </c>
      <c r="E10186" s="13" t="inlineStr">
        <is>
          <t>General</t>
        </is>
      </c>
      <c r="F10186" s="5" t="n"/>
      <c r="G10186" s="5" t="n"/>
      <c r="H10186" s="5" t="n">
        <v>214</v>
      </c>
      <c r="I10186" s="5" t="n">
        <v>136</v>
      </c>
      <c r="J10186" s="5" t="n">
        <v>71</v>
      </c>
      <c r="K10186" s="10">
        <f>IF(F10186&gt;0,H10186/F10186,"")</f>
        <v/>
      </c>
      <c r="L10186" s="16">
        <f>IF(AND(G10186&gt;0,H10186&gt;0),G10186/H10186,"")</f>
        <v/>
      </c>
    </row>
    <row r="10187">
      <c r="A10187" s="4" t="inlineStr">
        <is>
          <t>391</t>
        </is>
      </c>
      <c r="B10187" s="4" t="n">
        <v>3</v>
      </c>
      <c r="C10187" s="4" t="inlineStr">
        <is>
          <t>whitetail</t>
        </is>
      </c>
      <c r="D10187" s="4" t="n">
        <v>2023</v>
      </c>
      <c r="E10187" s="13" t="inlineStr">
        <is>
          <t>General</t>
        </is>
      </c>
      <c r="F10187" s="5" t="n">
        <v>1809</v>
      </c>
      <c r="G10187" s="5" t="n">
        <v>12961</v>
      </c>
      <c r="H10187" s="5" t="n">
        <v>220</v>
      </c>
      <c r="I10187" s="5" t="n">
        <v>127</v>
      </c>
      <c r="J10187" s="5" t="n">
        <v>93</v>
      </c>
      <c r="K10187" s="10">
        <f>IF(F10187&gt;0,H10187/F10187,"")</f>
        <v/>
      </c>
      <c r="L10187" s="16">
        <f>IF(AND(G10187&gt;0,H10187&gt;0),G10187/H10187,"")</f>
        <v/>
      </c>
    </row>
    <row r="10188">
      <c r="A10188" s="4" t="inlineStr">
        <is>
          <t>391</t>
        </is>
      </c>
      <c r="B10188" s="4" t="n">
        <v>3</v>
      </c>
      <c r="C10188" s="4" t="inlineStr">
        <is>
          <t>whitetail</t>
        </is>
      </c>
      <c r="D10188" s="4" t="n">
        <v>2024</v>
      </c>
      <c r="E10188" s="13" t="inlineStr">
        <is>
          <t>General</t>
        </is>
      </c>
      <c r="F10188" s="5" t="n"/>
      <c r="G10188" s="5" t="n"/>
      <c r="H10188" s="5" t="n">
        <v>238</v>
      </c>
      <c r="I10188" s="5" t="n">
        <v>147</v>
      </c>
      <c r="J10188" s="5" t="n">
        <v>91</v>
      </c>
      <c r="K10188" s="10">
        <f>IF(F10188&gt;0,H10188/F10188,"")</f>
        <v/>
      </c>
      <c r="L10188" s="16">
        <f>IF(AND(G10188&gt;0,H10188&gt;0),G10188/H10188,"")</f>
        <v/>
      </c>
    </row>
    <row r="10189">
      <c r="A10189" s="4" t="inlineStr">
        <is>
          <t>391</t>
        </is>
      </c>
      <c r="B10189" s="4" t="n">
        <v>3</v>
      </c>
      <c r="C10189" s="4" t="inlineStr">
        <is>
          <t>whitetail</t>
        </is>
      </c>
      <c r="D10189" s="4" t="n">
        <v>2025</v>
      </c>
      <c r="E10189" s="13" t="inlineStr">
        <is>
          <t>General</t>
        </is>
      </c>
      <c r="F10189" s="5" t="n">
        <v>1880</v>
      </c>
      <c r="G10189" s="5" t="n">
        <v>13605</v>
      </c>
      <c r="H10189" s="5" t="n">
        <v>229</v>
      </c>
      <c r="I10189" s="5" t="n">
        <v>137</v>
      </c>
      <c r="J10189" s="5" t="n">
        <v>92</v>
      </c>
      <c r="K10189" s="10">
        <f>IF(F10189&gt;0,H10189/F10189,"")</f>
        <v/>
      </c>
      <c r="L10189" s="16">
        <f>IF(AND(G10189&gt;0,H10189&gt;0),G10189/H10189,"")</f>
        <v/>
      </c>
    </row>
    <row r="10190">
      <c r="A10190" s="4" t="inlineStr">
        <is>
          <t>392</t>
        </is>
      </c>
      <c r="B10190" s="4" t="n">
        <v>3</v>
      </c>
      <c r="C10190" s="4" t="inlineStr">
        <is>
          <t>whitetail</t>
        </is>
      </c>
      <c r="D10190" s="4" t="n">
        <v>2004</v>
      </c>
      <c r="E10190" s="13" t="inlineStr">
        <is>
          <t>General</t>
        </is>
      </c>
      <c r="F10190" s="5" t="n">
        <v>1062</v>
      </c>
      <c r="G10190" s="5" t="n">
        <v>7684</v>
      </c>
      <c r="H10190" s="5" t="n">
        <v>87</v>
      </c>
      <c r="I10190" s="5" t="n">
        <v>55</v>
      </c>
      <c r="J10190" s="5" t="n">
        <v>32</v>
      </c>
      <c r="K10190" s="10">
        <f>IF(F10190&gt;0,H10190/F10190,"")</f>
        <v/>
      </c>
      <c r="L10190" s="16">
        <f>IF(AND(G10190&gt;0,H10190&gt;0),G10190/H10190,"")</f>
        <v/>
      </c>
    </row>
    <row r="10191">
      <c r="A10191" s="4" t="inlineStr">
        <is>
          <t>392</t>
        </is>
      </c>
      <c r="B10191" s="4" t="n">
        <v>3</v>
      </c>
      <c r="C10191" s="4" t="inlineStr">
        <is>
          <t>whitetail</t>
        </is>
      </c>
      <c r="D10191" s="4" t="n">
        <v>2005</v>
      </c>
      <c r="E10191" s="13" t="inlineStr">
        <is>
          <t>General</t>
        </is>
      </c>
      <c r="F10191" s="5" t="n">
        <v>950</v>
      </c>
      <c r="G10191" s="5" t="n">
        <v>6576</v>
      </c>
      <c r="H10191" s="5" t="n">
        <v>85</v>
      </c>
      <c r="I10191" s="5" t="n">
        <v>45</v>
      </c>
      <c r="J10191" s="5" t="n">
        <v>39</v>
      </c>
      <c r="K10191" s="10">
        <f>IF(F10191&gt;0,H10191/F10191,"")</f>
        <v/>
      </c>
      <c r="L10191" s="16">
        <f>IF(AND(G10191&gt;0,H10191&gt;0),G10191/H10191,"")</f>
        <v/>
      </c>
    </row>
    <row r="10192">
      <c r="A10192" s="4" t="inlineStr">
        <is>
          <t>392</t>
        </is>
      </c>
      <c r="B10192" s="4" t="n">
        <v>3</v>
      </c>
      <c r="C10192" s="4" t="inlineStr">
        <is>
          <t>whitetail</t>
        </is>
      </c>
      <c r="D10192" s="4" t="n">
        <v>2006</v>
      </c>
      <c r="E10192" s="13" t="inlineStr">
        <is>
          <t>General</t>
        </is>
      </c>
      <c r="F10192" s="5" t="n">
        <v>1137</v>
      </c>
      <c r="G10192" s="5" t="n">
        <v>7672</v>
      </c>
      <c r="H10192" s="5" t="n">
        <v>148</v>
      </c>
      <c r="I10192" s="5" t="n">
        <v>86</v>
      </c>
      <c r="J10192" s="5" t="n">
        <v>59</v>
      </c>
      <c r="K10192" s="10">
        <f>IF(F10192&gt;0,H10192/F10192,"")</f>
        <v/>
      </c>
      <c r="L10192" s="16">
        <f>IF(AND(G10192&gt;0,H10192&gt;0),G10192/H10192,"")</f>
        <v/>
      </c>
    </row>
    <row r="10193">
      <c r="A10193" s="4" t="inlineStr">
        <is>
          <t>392</t>
        </is>
      </c>
      <c r="B10193" s="4" t="n">
        <v>3</v>
      </c>
      <c r="C10193" s="4" t="inlineStr">
        <is>
          <t>whitetail</t>
        </is>
      </c>
      <c r="D10193" s="4" t="n">
        <v>2007</v>
      </c>
      <c r="E10193" s="13" t="inlineStr">
        <is>
          <t>General</t>
        </is>
      </c>
      <c r="F10193" s="5" t="n">
        <v>1147</v>
      </c>
      <c r="G10193" s="5" t="n">
        <v>8712</v>
      </c>
      <c r="H10193" s="5" t="n">
        <v>113</v>
      </c>
      <c r="I10193" s="5" t="n">
        <v>54</v>
      </c>
      <c r="J10193" s="5" t="n">
        <v>54</v>
      </c>
      <c r="K10193" s="10">
        <f>IF(F10193&gt;0,H10193/F10193,"")</f>
        <v/>
      </c>
      <c r="L10193" s="16">
        <f>IF(AND(G10193&gt;0,H10193&gt;0),G10193/H10193,"")</f>
        <v/>
      </c>
    </row>
    <row r="10194">
      <c r="A10194" s="4" t="inlineStr">
        <is>
          <t>392</t>
        </is>
      </c>
      <c r="B10194" s="4" t="n">
        <v>3</v>
      </c>
      <c r="C10194" s="4" t="inlineStr">
        <is>
          <t>whitetail</t>
        </is>
      </c>
      <c r="D10194" s="4" t="n">
        <v>2008</v>
      </c>
      <c r="E10194" s="13" t="inlineStr">
        <is>
          <t>General</t>
        </is>
      </c>
      <c r="F10194" s="5" t="n">
        <v>1296</v>
      </c>
      <c r="G10194" s="5" t="n">
        <v>9727</v>
      </c>
      <c r="H10194" s="5" t="n">
        <v>94</v>
      </c>
      <c r="I10194" s="5" t="n">
        <v>44</v>
      </c>
      <c r="J10194" s="5" t="n">
        <v>50</v>
      </c>
      <c r="K10194" s="10">
        <f>IF(F10194&gt;0,H10194/F10194,"")</f>
        <v/>
      </c>
      <c r="L10194" s="16">
        <f>IF(AND(G10194&gt;0,H10194&gt;0),G10194/H10194,"")</f>
        <v/>
      </c>
    </row>
    <row r="10195">
      <c r="A10195" s="4" t="inlineStr">
        <is>
          <t>392</t>
        </is>
      </c>
      <c r="B10195" s="4" t="n">
        <v>3</v>
      </c>
      <c r="C10195" s="4" t="inlineStr">
        <is>
          <t>whitetail</t>
        </is>
      </c>
      <c r="D10195" s="4" t="n">
        <v>2009</v>
      </c>
      <c r="E10195" s="13" t="inlineStr">
        <is>
          <t>General</t>
        </is>
      </c>
      <c r="F10195" s="5" t="n">
        <v>917</v>
      </c>
      <c r="G10195" s="5" t="n">
        <v>8146</v>
      </c>
      <c r="H10195" s="5" t="n">
        <v>139</v>
      </c>
      <c r="I10195" s="5" t="n">
        <v>47</v>
      </c>
      <c r="J10195" s="5" t="n">
        <v>86</v>
      </c>
      <c r="K10195" s="10">
        <f>IF(F10195&gt;0,H10195/F10195,"")</f>
        <v/>
      </c>
      <c r="L10195" s="16">
        <f>IF(AND(G10195&gt;0,H10195&gt;0),G10195/H10195,"")</f>
        <v/>
      </c>
    </row>
    <row r="10196">
      <c r="A10196" s="4" t="inlineStr">
        <is>
          <t>392</t>
        </is>
      </c>
      <c r="B10196" s="4" t="n">
        <v>3</v>
      </c>
      <c r="C10196" s="4" t="inlineStr">
        <is>
          <t>whitetail</t>
        </is>
      </c>
      <c r="D10196" s="4" t="n">
        <v>2010</v>
      </c>
      <c r="E10196" s="13" t="inlineStr">
        <is>
          <t>General</t>
        </is>
      </c>
      <c r="F10196" s="5" t="n">
        <v>742</v>
      </c>
      <c r="G10196" s="5" t="n">
        <v>5447</v>
      </c>
      <c r="H10196" s="5" t="n">
        <v>105</v>
      </c>
      <c r="I10196" s="5" t="n">
        <v>62</v>
      </c>
      <c r="J10196" s="5" t="n">
        <v>43</v>
      </c>
      <c r="K10196" s="10">
        <f>IF(F10196&gt;0,H10196/F10196,"")</f>
        <v/>
      </c>
      <c r="L10196" s="16">
        <f>IF(AND(G10196&gt;0,H10196&gt;0),G10196/H10196,"")</f>
        <v/>
      </c>
    </row>
    <row r="10197">
      <c r="A10197" s="4" t="inlineStr">
        <is>
          <t>392</t>
        </is>
      </c>
      <c r="B10197" s="4" t="n">
        <v>3</v>
      </c>
      <c r="C10197" s="4" t="inlineStr">
        <is>
          <t>whitetail</t>
        </is>
      </c>
      <c r="D10197" s="4" t="n">
        <v>2011</v>
      </c>
      <c r="E10197" s="13" t="inlineStr">
        <is>
          <t>General</t>
        </is>
      </c>
      <c r="F10197" s="5" t="n">
        <v>776</v>
      </c>
      <c r="G10197" s="5" t="n">
        <v>5351</v>
      </c>
      <c r="H10197" s="5" t="n">
        <v>110</v>
      </c>
      <c r="I10197" s="5" t="n">
        <v>62</v>
      </c>
      <c r="J10197" s="5" t="n">
        <v>46</v>
      </c>
      <c r="K10197" s="10">
        <f>IF(F10197&gt;0,H10197/F10197,"")</f>
        <v/>
      </c>
      <c r="L10197" s="16">
        <f>IF(AND(G10197&gt;0,H10197&gt;0),G10197/H10197,"")</f>
        <v/>
      </c>
    </row>
    <row r="10198">
      <c r="A10198" s="4" t="inlineStr">
        <is>
          <t>392</t>
        </is>
      </c>
      <c r="B10198" s="4" t="n">
        <v>3</v>
      </c>
      <c r="C10198" s="4" t="inlineStr">
        <is>
          <t>whitetail</t>
        </is>
      </c>
      <c r="D10198" s="4" t="n">
        <v>2012</v>
      </c>
      <c r="E10198" s="13" t="inlineStr">
        <is>
          <t>General</t>
        </is>
      </c>
      <c r="F10198" s="5" t="n"/>
      <c r="G10198" s="5" t="n"/>
      <c r="H10198" s="5" t="n">
        <v>104</v>
      </c>
      <c r="I10198" s="5" t="n">
        <v>31</v>
      </c>
      <c r="J10198" s="5" t="n">
        <v>70</v>
      </c>
      <c r="K10198" s="10">
        <f>IF(F10198&gt;0,H10198/F10198,"")</f>
        <v/>
      </c>
      <c r="L10198" s="16">
        <f>IF(AND(G10198&gt;0,H10198&gt;0),G10198/H10198,"")</f>
        <v/>
      </c>
    </row>
    <row r="10199">
      <c r="A10199" s="4" t="inlineStr">
        <is>
          <t>392</t>
        </is>
      </c>
      <c r="B10199" s="4" t="n">
        <v>3</v>
      </c>
      <c r="C10199" s="4" t="inlineStr">
        <is>
          <t>whitetail</t>
        </is>
      </c>
      <c r="D10199" s="4" t="n">
        <v>2013</v>
      </c>
      <c r="E10199" s="13" t="inlineStr">
        <is>
          <t>General</t>
        </is>
      </c>
      <c r="F10199" s="5" t="n">
        <v>881</v>
      </c>
      <c r="G10199" s="5" t="n">
        <v>6820</v>
      </c>
      <c r="H10199" s="5" t="n">
        <v>103</v>
      </c>
      <c r="I10199" s="5" t="n">
        <v>42</v>
      </c>
      <c r="J10199" s="5" t="n">
        <v>62</v>
      </c>
      <c r="K10199" s="10">
        <f>IF(F10199&gt;0,H10199/F10199,"")</f>
        <v/>
      </c>
      <c r="L10199" s="16">
        <f>IF(AND(G10199&gt;0,H10199&gt;0),G10199/H10199,"")</f>
        <v/>
      </c>
    </row>
    <row r="10200">
      <c r="A10200" s="4" t="inlineStr">
        <is>
          <t>392</t>
        </is>
      </c>
      <c r="B10200" s="4" t="n">
        <v>3</v>
      </c>
      <c r="C10200" s="4" t="inlineStr">
        <is>
          <t>whitetail</t>
        </is>
      </c>
      <c r="D10200" s="4" t="n">
        <v>2014</v>
      </c>
      <c r="E10200" s="13" t="inlineStr">
        <is>
          <t>General</t>
        </is>
      </c>
      <c r="F10200" s="5" t="n"/>
      <c r="G10200" s="5" t="n"/>
      <c r="H10200" s="5" t="n">
        <v>127</v>
      </c>
      <c r="I10200" s="5" t="n">
        <v>64</v>
      </c>
      <c r="J10200" s="5" t="n">
        <v>60</v>
      </c>
      <c r="K10200" s="10">
        <f>IF(F10200&gt;0,H10200/F10200,"")</f>
        <v/>
      </c>
      <c r="L10200" s="16">
        <f>IF(AND(G10200&gt;0,H10200&gt;0),G10200/H10200,"")</f>
        <v/>
      </c>
    </row>
    <row r="10201">
      <c r="A10201" s="4" t="inlineStr">
        <is>
          <t>392</t>
        </is>
      </c>
      <c r="B10201" s="4" t="n">
        <v>3</v>
      </c>
      <c r="C10201" s="4" t="inlineStr">
        <is>
          <t>whitetail</t>
        </is>
      </c>
      <c r="D10201" s="4" t="n">
        <v>2015</v>
      </c>
      <c r="E10201" s="13" t="inlineStr">
        <is>
          <t>General</t>
        </is>
      </c>
      <c r="F10201" s="5" t="n"/>
      <c r="G10201" s="5" t="n"/>
      <c r="H10201" s="5" t="n">
        <v>96</v>
      </c>
      <c r="I10201" s="5" t="n">
        <v>57</v>
      </c>
      <c r="J10201" s="5" t="n">
        <v>36</v>
      </c>
      <c r="K10201" s="10">
        <f>IF(F10201&gt;0,H10201/F10201,"")</f>
        <v/>
      </c>
      <c r="L10201" s="16">
        <f>IF(AND(G10201&gt;0,H10201&gt;0),G10201/H10201,"")</f>
        <v/>
      </c>
    </row>
    <row r="10202">
      <c r="A10202" s="4" t="inlineStr">
        <is>
          <t>392</t>
        </is>
      </c>
      <c r="B10202" s="4" t="n">
        <v>3</v>
      </c>
      <c r="C10202" s="4" t="inlineStr">
        <is>
          <t>whitetail</t>
        </is>
      </c>
      <c r="D10202" s="4" t="n">
        <v>2016</v>
      </c>
      <c r="E10202" s="13" t="inlineStr">
        <is>
          <t>General</t>
        </is>
      </c>
      <c r="F10202" s="5" t="n"/>
      <c r="G10202" s="5" t="n"/>
      <c r="H10202" s="5" t="n">
        <v>51</v>
      </c>
      <c r="I10202" s="5" t="n">
        <v>24</v>
      </c>
      <c r="J10202" s="5" t="n">
        <v>27</v>
      </c>
      <c r="K10202" s="10">
        <f>IF(F10202&gt;0,H10202/F10202,"")</f>
        <v/>
      </c>
      <c r="L10202" s="16">
        <f>IF(AND(G10202&gt;0,H10202&gt;0),G10202/H10202,"")</f>
        <v/>
      </c>
    </row>
    <row r="10203">
      <c r="A10203" s="4" t="inlineStr">
        <is>
          <t>392</t>
        </is>
      </c>
      <c r="B10203" s="4" t="n">
        <v>3</v>
      </c>
      <c r="C10203" s="4" t="inlineStr">
        <is>
          <t>whitetail</t>
        </is>
      </c>
      <c r="D10203" s="4" t="n">
        <v>2017</v>
      </c>
      <c r="E10203" s="13" t="inlineStr">
        <is>
          <t>General</t>
        </is>
      </c>
      <c r="F10203" s="5" t="n">
        <v>507</v>
      </c>
      <c r="G10203" s="5" t="n">
        <v>3308</v>
      </c>
      <c r="H10203" s="5" t="n">
        <v>63</v>
      </c>
      <c r="I10203" s="5" t="n">
        <v>33</v>
      </c>
      <c r="J10203" s="5" t="n">
        <v>27</v>
      </c>
      <c r="K10203" s="10">
        <f>IF(F10203&gt;0,H10203/F10203,"")</f>
        <v/>
      </c>
      <c r="L10203" s="16">
        <f>IF(AND(G10203&gt;0,H10203&gt;0),G10203/H10203,"")</f>
        <v/>
      </c>
    </row>
    <row r="10204">
      <c r="A10204" s="4" t="inlineStr">
        <is>
          <t>392</t>
        </is>
      </c>
      <c r="B10204" s="4" t="n">
        <v>3</v>
      </c>
      <c r="C10204" s="4" t="inlineStr">
        <is>
          <t>whitetail</t>
        </is>
      </c>
      <c r="D10204" s="4" t="n">
        <v>2018</v>
      </c>
      <c r="E10204" s="13" t="inlineStr">
        <is>
          <t>General</t>
        </is>
      </c>
      <c r="F10204" s="5" t="n"/>
      <c r="G10204" s="5" t="n"/>
      <c r="H10204" s="5" t="n">
        <v>54</v>
      </c>
      <c r="I10204" s="5" t="n">
        <v>45</v>
      </c>
      <c r="J10204" s="5" t="n">
        <v>6</v>
      </c>
      <c r="K10204" s="10">
        <f>IF(F10204&gt;0,H10204/F10204,"")</f>
        <v/>
      </c>
      <c r="L10204" s="16">
        <f>IF(AND(G10204&gt;0,H10204&gt;0),G10204/H10204,"")</f>
        <v/>
      </c>
    </row>
    <row r="10205">
      <c r="A10205" s="4" t="inlineStr">
        <is>
          <t>392</t>
        </is>
      </c>
      <c r="B10205" s="4" t="n">
        <v>3</v>
      </c>
      <c r="C10205" s="4" t="inlineStr">
        <is>
          <t>whitetail</t>
        </is>
      </c>
      <c r="D10205" s="4" t="n">
        <v>2019</v>
      </c>
      <c r="E10205" s="13" t="inlineStr">
        <is>
          <t>General</t>
        </is>
      </c>
      <c r="F10205" s="5" t="n">
        <v>547</v>
      </c>
      <c r="G10205" s="5" t="n">
        <v>3479</v>
      </c>
      <c r="H10205" s="5" t="n">
        <v>37</v>
      </c>
      <c r="I10205" s="5" t="n">
        <v>16</v>
      </c>
      <c r="J10205" s="5" t="n">
        <v>20</v>
      </c>
      <c r="K10205" s="10">
        <f>IF(F10205&gt;0,H10205/F10205,"")</f>
        <v/>
      </c>
      <c r="L10205" s="16">
        <f>IF(AND(G10205&gt;0,H10205&gt;0),G10205/H10205,"")</f>
        <v/>
      </c>
    </row>
    <row r="10206">
      <c r="A10206" s="4" t="inlineStr">
        <is>
          <t>392</t>
        </is>
      </c>
      <c r="B10206" s="4" t="n">
        <v>3</v>
      </c>
      <c r="C10206" s="4" t="inlineStr">
        <is>
          <t>whitetail</t>
        </is>
      </c>
      <c r="D10206" s="4" t="n">
        <v>2020</v>
      </c>
      <c r="E10206" s="13" t="inlineStr">
        <is>
          <t>General</t>
        </is>
      </c>
      <c r="F10206" s="5" t="n"/>
      <c r="G10206" s="5" t="n"/>
      <c r="H10206" s="5" t="n">
        <v>43</v>
      </c>
      <c r="I10206" s="5" t="n">
        <v>26</v>
      </c>
      <c r="J10206" s="5" t="n">
        <v>16</v>
      </c>
      <c r="K10206" s="10">
        <f>IF(F10206&gt;0,H10206/F10206,"")</f>
        <v/>
      </c>
      <c r="L10206" s="16">
        <f>IF(AND(G10206&gt;0,H10206&gt;0),G10206/H10206,"")</f>
        <v/>
      </c>
    </row>
    <row r="10207">
      <c r="A10207" s="4" t="inlineStr">
        <is>
          <t>392</t>
        </is>
      </c>
      <c r="B10207" s="4" t="n">
        <v>3</v>
      </c>
      <c r="C10207" s="4" t="inlineStr">
        <is>
          <t>whitetail</t>
        </is>
      </c>
      <c r="D10207" s="4" t="n">
        <v>2021</v>
      </c>
      <c r="E10207" s="13" t="inlineStr">
        <is>
          <t>General</t>
        </is>
      </c>
      <c r="F10207" s="5" t="n">
        <v>518</v>
      </c>
      <c r="G10207" s="5" t="n">
        <v>3500</v>
      </c>
      <c r="H10207" s="5" t="n">
        <v>38</v>
      </c>
      <c r="I10207" s="5" t="n">
        <v>19</v>
      </c>
      <c r="J10207" s="5" t="n">
        <v>15</v>
      </c>
      <c r="K10207" s="10">
        <f>IF(F10207&gt;0,H10207/F10207,"")</f>
        <v/>
      </c>
      <c r="L10207" s="16">
        <f>IF(AND(G10207&gt;0,H10207&gt;0),G10207/H10207,"")</f>
        <v/>
      </c>
    </row>
    <row r="10208">
      <c r="A10208" s="4" t="inlineStr">
        <is>
          <t>392</t>
        </is>
      </c>
      <c r="B10208" s="4" t="n">
        <v>3</v>
      </c>
      <c r="C10208" s="4" t="inlineStr">
        <is>
          <t>whitetail</t>
        </is>
      </c>
      <c r="D10208" s="4" t="n">
        <v>2022</v>
      </c>
      <c r="E10208" s="13" t="inlineStr">
        <is>
          <t>General</t>
        </is>
      </c>
      <c r="F10208" s="5" t="n"/>
      <c r="G10208" s="5" t="n"/>
      <c r="H10208" s="5" t="n">
        <v>50</v>
      </c>
      <c r="I10208" s="5" t="n">
        <v>15</v>
      </c>
      <c r="J10208" s="5" t="n">
        <v>35</v>
      </c>
      <c r="K10208" s="10">
        <f>IF(F10208&gt;0,H10208/F10208,"")</f>
        <v/>
      </c>
      <c r="L10208" s="16">
        <f>IF(AND(G10208&gt;0,H10208&gt;0),G10208/H10208,"")</f>
        <v/>
      </c>
    </row>
    <row r="10209">
      <c r="A10209" s="4" t="inlineStr">
        <is>
          <t>392</t>
        </is>
      </c>
      <c r="B10209" s="4" t="n">
        <v>3</v>
      </c>
      <c r="C10209" s="4" t="inlineStr">
        <is>
          <t>whitetail</t>
        </is>
      </c>
      <c r="D10209" s="4" t="n">
        <v>2023</v>
      </c>
      <c r="E10209" s="13" t="inlineStr">
        <is>
          <t>General</t>
        </is>
      </c>
      <c r="F10209" s="5" t="n">
        <v>649</v>
      </c>
      <c r="G10209" s="5" t="n">
        <v>4216</v>
      </c>
      <c r="H10209" s="5" t="n">
        <v>40</v>
      </c>
      <c r="I10209" s="5" t="n">
        <v>23</v>
      </c>
      <c r="J10209" s="5" t="n">
        <v>17</v>
      </c>
      <c r="K10209" s="10">
        <f>IF(F10209&gt;0,H10209/F10209,"")</f>
        <v/>
      </c>
      <c r="L10209" s="16">
        <f>IF(AND(G10209&gt;0,H10209&gt;0),G10209/H10209,"")</f>
        <v/>
      </c>
    </row>
    <row r="10210">
      <c r="A10210" s="4" t="inlineStr">
        <is>
          <t>392</t>
        </is>
      </c>
      <c r="B10210" s="4" t="n">
        <v>3</v>
      </c>
      <c r="C10210" s="4" t="inlineStr">
        <is>
          <t>whitetail</t>
        </is>
      </c>
      <c r="D10210" s="4" t="n">
        <v>2024</v>
      </c>
      <c r="E10210" s="13" t="inlineStr">
        <is>
          <t>General</t>
        </is>
      </c>
      <c r="F10210" s="5" t="n"/>
      <c r="G10210" s="5" t="n"/>
      <c r="H10210" s="5" t="n">
        <v>11</v>
      </c>
      <c r="I10210" s="5" t="n">
        <v>3</v>
      </c>
      <c r="J10210" s="5" t="n">
        <v>8</v>
      </c>
      <c r="K10210" s="10">
        <f>IF(F10210&gt;0,H10210/F10210,"")</f>
        <v/>
      </c>
      <c r="L10210" s="16">
        <f>IF(AND(G10210&gt;0,H10210&gt;0),G10210/H10210,"")</f>
        <v/>
      </c>
    </row>
    <row r="10211">
      <c r="A10211" s="4" t="inlineStr">
        <is>
          <t>392</t>
        </is>
      </c>
      <c r="B10211" s="4" t="n">
        <v>3</v>
      </c>
      <c r="C10211" s="4" t="inlineStr">
        <is>
          <t>whitetail</t>
        </is>
      </c>
      <c r="D10211" s="4" t="n">
        <v>2025</v>
      </c>
      <c r="E10211" s="13" t="inlineStr">
        <is>
          <t>General</t>
        </is>
      </c>
      <c r="F10211" s="5" t="n">
        <v>691</v>
      </c>
      <c r="G10211" s="5" t="n">
        <v>5085</v>
      </c>
      <c r="H10211" s="5" t="n">
        <v>14</v>
      </c>
      <c r="I10211" s="5" t="n">
        <v>7</v>
      </c>
      <c r="J10211" s="5" t="n">
        <v>7</v>
      </c>
      <c r="K10211" s="10">
        <f>IF(F10211&gt;0,H10211/F10211,"")</f>
        <v/>
      </c>
      <c r="L10211" s="16">
        <f>IF(AND(G10211&gt;0,H10211&gt;0),G10211/H10211,"")</f>
        <v/>
      </c>
    </row>
    <row r="10212">
      <c r="A10212" s="4" t="inlineStr">
        <is>
          <t>393</t>
        </is>
      </c>
      <c r="B10212" s="4" t="n">
        <v>3</v>
      </c>
      <c r="C10212" s="4" t="inlineStr">
        <is>
          <t>whitetail</t>
        </is>
      </c>
      <c r="D10212" s="4" t="n">
        <v>2004</v>
      </c>
      <c r="E10212" s="13" t="inlineStr">
        <is>
          <t>General</t>
        </is>
      </c>
      <c r="F10212" s="5" t="n">
        <v>1544</v>
      </c>
      <c r="G10212" s="5" t="n">
        <v>7453</v>
      </c>
      <c r="H10212" s="5" t="n">
        <v>187</v>
      </c>
      <c r="I10212" s="5" t="n">
        <v>99</v>
      </c>
      <c r="J10212" s="5" t="n">
        <v>82</v>
      </c>
      <c r="K10212" s="10">
        <f>IF(F10212&gt;0,H10212/F10212,"")</f>
        <v/>
      </c>
      <c r="L10212" s="16">
        <f>IF(AND(G10212&gt;0,H10212&gt;0),G10212/H10212,"")</f>
        <v/>
      </c>
    </row>
    <row r="10213">
      <c r="A10213" s="4" t="inlineStr">
        <is>
          <t>393</t>
        </is>
      </c>
      <c r="B10213" s="4" t="n">
        <v>3</v>
      </c>
      <c r="C10213" s="4" t="inlineStr">
        <is>
          <t>whitetail</t>
        </is>
      </c>
      <c r="D10213" s="4" t="n">
        <v>2005</v>
      </c>
      <c r="E10213" s="13" t="inlineStr">
        <is>
          <t>General</t>
        </is>
      </c>
      <c r="F10213" s="5" t="n">
        <v>1525</v>
      </c>
      <c r="G10213" s="5" t="n">
        <v>6926</v>
      </c>
      <c r="H10213" s="5" t="n">
        <v>282</v>
      </c>
      <c r="I10213" s="5" t="n">
        <v>167</v>
      </c>
      <c r="J10213" s="5" t="n">
        <v>115</v>
      </c>
      <c r="K10213" s="10">
        <f>IF(F10213&gt;0,H10213/F10213,"")</f>
        <v/>
      </c>
      <c r="L10213" s="16">
        <f>IF(AND(G10213&gt;0,H10213&gt;0),G10213/H10213,"")</f>
        <v/>
      </c>
    </row>
    <row r="10214">
      <c r="A10214" s="4" t="inlineStr">
        <is>
          <t>393</t>
        </is>
      </c>
      <c r="B10214" s="4" t="n">
        <v>3</v>
      </c>
      <c r="C10214" s="4" t="inlineStr">
        <is>
          <t>whitetail</t>
        </is>
      </c>
      <c r="D10214" s="4" t="n">
        <v>2006</v>
      </c>
      <c r="E10214" s="13" t="inlineStr">
        <is>
          <t>General</t>
        </is>
      </c>
      <c r="F10214" s="5" t="n">
        <v>1479</v>
      </c>
      <c r="G10214" s="5" t="n">
        <v>7606</v>
      </c>
      <c r="H10214" s="5" t="n">
        <v>264</v>
      </c>
      <c r="I10214" s="5" t="n">
        <v>157</v>
      </c>
      <c r="J10214" s="5" t="n">
        <v>107</v>
      </c>
      <c r="K10214" s="10">
        <f>IF(F10214&gt;0,H10214/F10214,"")</f>
        <v/>
      </c>
      <c r="L10214" s="16">
        <f>IF(AND(G10214&gt;0,H10214&gt;0),G10214/H10214,"")</f>
        <v/>
      </c>
    </row>
    <row r="10215">
      <c r="A10215" s="4" t="inlineStr">
        <is>
          <t>393</t>
        </is>
      </c>
      <c r="B10215" s="4" t="n">
        <v>3</v>
      </c>
      <c r="C10215" s="4" t="inlineStr">
        <is>
          <t>whitetail</t>
        </is>
      </c>
      <c r="D10215" s="4" t="n">
        <v>2007</v>
      </c>
      <c r="E10215" s="13" t="inlineStr">
        <is>
          <t>General</t>
        </is>
      </c>
      <c r="F10215" s="5" t="n">
        <v>1347</v>
      </c>
      <c r="G10215" s="5" t="n">
        <v>7331</v>
      </c>
      <c r="H10215" s="5" t="n">
        <v>231</v>
      </c>
      <c r="I10215" s="5" t="n">
        <v>133</v>
      </c>
      <c r="J10215" s="5" t="n">
        <v>94</v>
      </c>
      <c r="K10215" s="10">
        <f>IF(F10215&gt;0,H10215/F10215,"")</f>
        <v/>
      </c>
      <c r="L10215" s="16">
        <f>IF(AND(G10215&gt;0,H10215&gt;0),G10215/H10215,"")</f>
        <v/>
      </c>
    </row>
    <row r="10216">
      <c r="A10216" s="4" t="inlineStr">
        <is>
          <t>393</t>
        </is>
      </c>
      <c r="B10216" s="4" t="n">
        <v>3</v>
      </c>
      <c r="C10216" s="4" t="inlineStr">
        <is>
          <t>whitetail</t>
        </is>
      </c>
      <c r="D10216" s="4" t="n">
        <v>2008</v>
      </c>
      <c r="E10216" s="13" t="inlineStr">
        <is>
          <t>General</t>
        </is>
      </c>
      <c r="F10216" s="5" t="n">
        <v>1782</v>
      </c>
      <c r="G10216" s="5" t="n">
        <v>9127</v>
      </c>
      <c r="H10216" s="5" t="n">
        <v>283</v>
      </c>
      <c r="I10216" s="5" t="n">
        <v>134</v>
      </c>
      <c r="J10216" s="5" t="n">
        <v>143</v>
      </c>
      <c r="K10216" s="10">
        <f>IF(F10216&gt;0,H10216/F10216,"")</f>
        <v/>
      </c>
      <c r="L10216" s="16">
        <f>IF(AND(G10216&gt;0,H10216&gt;0),G10216/H10216,"")</f>
        <v/>
      </c>
    </row>
    <row r="10217">
      <c r="A10217" s="4" t="inlineStr">
        <is>
          <t>393</t>
        </is>
      </c>
      <c r="B10217" s="4" t="n">
        <v>3</v>
      </c>
      <c r="C10217" s="4" t="inlineStr">
        <is>
          <t>whitetail</t>
        </is>
      </c>
      <c r="D10217" s="4" t="n">
        <v>2009</v>
      </c>
      <c r="E10217" s="13" t="inlineStr">
        <is>
          <t>General</t>
        </is>
      </c>
      <c r="F10217" s="5" t="n">
        <v>1622</v>
      </c>
      <c r="G10217" s="5" t="n">
        <v>8321</v>
      </c>
      <c r="H10217" s="5" t="n">
        <v>246</v>
      </c>
      <c r="I10217" s="5" t="n">
        <v>74</v>
      </c>
      <c r="J10217" s="5" t="n">
        <v>170</v>
      </c>
      <c r="K10217" s="10">
        <f>IF(F10217&gt;0,H10217/F10217,"")</f>
        <v/>
      </c>
      <c r="L10217" s="16">
        <f>IF(AND(G10217&gt;0,H10217&gt;0),G10217/H10217,"")</f>
        <v/>
      </c>
    </row>
    <row r="10218">
      <c r="A10218" s="4" t="inlineStr">
        <is>
          <t>393</t>
        </is>
      </c>
      <c r="B10218" s="4" t="n">
        <v>3</v>
      </c>
      <c r="C10218" s="4" t="inlineStr">
        <is>
          <t>whitetail</t>
        </is>
      </c>
      <c r="D10218" s="4" t="n">
        <v>2010</v>
      </c>
      <c r="E10218" s="13" t="inlineStr">
        <is>
          <t>General</t>
        </is>
      </c>
      <c r="F10218" s="5" t="n">
        <v>1653</v>
      </c>
      <c r="G10218" s="5" t="n">
        <v>8549</v>
      </c>
      <c r="H10218" s="5" t="n">
        <v>232</v>
      </c>
      <c r="I10218" s="5" t="n">
        <v>141</v>
      </c>
      <c r="J10218" s="5" t="n">
        <v>83</v>
      </c>
      <c r="K10218" s="10">
        <f>IF(F10218&gt;0,H10218/F10218,"")</f>
        <v/>
      </c>
      <c r="L10218" s="16">
        <f>IF(AND(G10218&gt;0,H10218&gt;0),G10218/H10218,"")</f>
        <v/>
      </c>
    </row>
    <row r="10219">
      <c r="A10219" s="4" t="inlineStr">
        <is>
          <t>393</t>
        </is>
      </c>
      <c r="B10219" s="4" t="n">
        <v>3</v>
      </c>
      <c r="C10219" s="4" t="inlineStr">
        <is>
          <t>whitetail</t>
        </is>
      </c>
      <c r="D10219" s="4" t="n">
        <v>2011</v>
      </c>
      <c r="E10219" s="13" t="inlineStr">
        <is>
          <t>General</t>
        </is>
      </c>
      <c r="F10219" s="5" t="n">
        <v>1635</v>
      </c>
      <c r="G10219" s="5" t="n">
        <v>8979</v>
      </c>
      <c r="H10219" s="5" t="n">
        <v>278</v>
      </c>
      <c r="I10219" s="5" t="n">
        <v>118</v>
      </c>
      <c r="J10219" s="5" t="n">
        <v>155</v>
      </c>
      <c r="K10219" s="10">
        <f>IF(F10219&gt;0,H10219/F10219,"")</f>
        <v/>
      </c>
      <c r="L10219" s="16">
        <f>IF(AND(G10219&gt;0,H10219&gt;0),G10219/H10219,"")</f>
        <v/>
      </c>
    </row>
    <row r="10220">
      <c r="A10220" s="4" t="inlineStr">
        <is>
          <t>393</t>
        </is>
      </c>
      <c r="B10220" s="4" t="n">
        <v>3</v>
      </c>
      <c r="C10220" s="4" t="inlineStr">
        <is>
          <t>whitetail</t>
        </is>
      </c>
      <c r="D10220" s="4" t="n">
        <v>2012</v>
      </c>
      <c r="E10220" s="13" t="inlineStr">
        <is>
          <t>General</t>
        </is>
      </c>
      <c r="F10220" s="5" t="n"/>
      <c r="G10220" s="5" t="n"/>
      <c r="H10220" s="5" t="n">
        <v>298</v>
      </c>
      <c r="I10220" s="5" t="n">
        <v>114</v>
      </c>
      <c r="J10220" s="5" t="n">
        <v>176</v>
      </c>
      <c r="K10220" s="10">
        <f>IF(F10220&gt;0,H10220/F10220,"")</f>
        <v/>
      </c>
      <c r="L10220" s="16">
        <f>IF(AND(G10220&gt;0,H10220&gt;0),G10220/H10220,"")</f>
        <v/>
      </c>
    </row>
    <row r="10221">
      <c r="A10221" s="4" t="inlineStr">
        <is>
          <t>393</t>
        </is>
      </c>
      <c r="B10221" s="4" t="n">
        <v>3</v>
      </c>
      <c r="C10221" s="4" t="inlineStr">
        <is>
          <t>whitetail</t>
        </is>
      </c>
      <c r="D10221" s="4" t="n">
        <v>2013</v>
      </c>
      <c r="E10221" s="13" t="inlineStr">
        <is>
          <t>General</t>
        </is>
      </c>
      <c r="F10221" s="5" t="n">
        <v>1874</v>
      </c>
      <c r="G10221" s="5" t="n">
        <v>10524</v>
      </c>
      <c r="H10221" s="5" t="n">
        <v>250</v>
      </c>
      <c r="I10221" s="5" t="n">
        <v>149</v>
      </c>
      <c r="J10221" s="5" t="n">
        <v>102</v>
      </c>
      <c r="K10221" s="10">
        <f>IF(F10221&gt;0,H10221/F10221,"")</f>
        <v/>
      </c>
      <c r="L10221" s="16">
        <f>IF(AND(G10221&gt;0,H10221&gt;0),G10221/H10221,"")</f>
        <v/>
      </c>
    </row>
    <row r="10222">
      <c r="A10222" s="4" t="inlineStr">
        <is>
          <t>393</t>
        </is>
      </c>
      <c r="B10222" s="4" t="n">
        <v>3</v>
      </c>
      <c r="C10222" s="4" t="inlineStr">
        <is>
          <t>whitetail</t>
        </is>
      </c>
      <c r="D10222" s="4" t="n">
        <v>2014</v>
      </c>
      <c r="E10222" s="13" t="inlineStr">
        <is>
          <t>General</t>
        </is>
      </c>
      <c r="F10222" s="5" t="n"/>
      <c r="G10222" s="5" t="n"/>
      <c r="H10222" s="5" t="n">
        <v>269</v>
      </c>
      <c r="I10222" s="5" t="n">
        <v>141</v>
      </c>
      <c r="J10222" s="5" t="n">
        <v>125</v>
      </c>
      <c r="K10222" s="10">
        <f>IF(F10222&gt;0,H10222/F10222,"")</f>
        <v/>
      </c>
      <c r="L10222" s="16">
        <f>IF(AND(G10222&gt;0,H10222&gt;0),G10222/H10222,"")</f>
        <v/>
      </c>
    </row>
    <row r="10223">
      <c r="A10223" s="4" t="inlineStr">
        <is>
          <t>393</t>
        </is>
      </c>
      <c r="B10223" s="4" t="n">
        <v>3</v>
      </c>
      <c r="C10223" s="4" t="inlineStr">
        <is>
          <t>whitetail</t>
        </is>
      </c>
      <c r="D10223" s="4" t="n">
        <v>2015</v>
      </c>
      <c r="E10223" s="13" t="inlineStr">
        <is>
          <t>General</t>
        </is>
      </c>
      <c r="F10223" s="5" t="n"/>
      <c r="G10223" s="5" t="n"/>
      <c r="H10223" s="5" t="n">
        <v>276</v>
      </c>
      <c r="I10223" s="5" t="n">
        <v>149</v>
      </c>
      <c r="J10223" s="5" t="n">
        <v>121</v>
      </c>
      <c r="K10223" s="10">
        <f>IF(F10223&gt;0,H10223/F10223,"")</f>
        <v/>
      </c>
      <c r="L10223" s="16">
        <f>IF(AND(G10223&gt;0,H10223&gt;0),G10223/H10223,"")</f>
        <v/>
      </c>
    </row>
    <row r="10224">
      <c r="A10224" s="4" t="inlineStr">
        <is>
          <t>393</t>
        </is>
      </c>
      <c r="B10224" s="4" t="n">
        <v>3</v>
      </c>
      <c r="C10224" s="4" t="inlineStr">
        <is>
          <t>whitetail</t>
        </is>
      </c>
      <c r="D10224" s="4" t="n">
        <v>2016</v>
      </c>
      <c r="E10224" s="13" t="inlineStr">
        <is>
          <t>General</t>
        </is>
      </c>
      <c r="F10224" s="5" t="n"/>
      <c r="G10224" s="5" t="n"/>
      <c r="H10224" s="5" t="n">
        <v>300</v>
      </c>
      <c r="I10224" s="5" t="n">
        <v>175</v>
      </c>
      <c r="J10224" s="5" t="n">
        <v>125</v>
      </c>
      <c r="K10224" s="10">
        <f>IF(F10224&gt;0,H10224/F10224,"")</f>
        <v/>
      </c>
      <c r="L10224" s="16">
        <f>IF(AND(G10224&gt;0,H10224&gt;0),G10224/H10224,"")</f>
        <v/>
      </c>
    </row>
    <row r="10225">
      <c r="A10225" s="4" t="inlineStr">
        <is>
          <t>393</t>
        </is>
      </c>
      <c r="B10225" s="4" t="n">
        <v>3</v>
      </c>
      <c r="C10225" s="4" t="inlineStr">
        <is>
          <t>whitetail</t>
        </is>
      </c>
      <c r="D10225" s="4" t="n">
        <v>2017</v>
      </c>
      <c r="E10225" s="13" t="inlineStr">
        <is>
          <t>General</t>
        </is>
      </c>
      <c r="F10225" s="5" t="n">
        <v>1531</v>
      </c>
      <c r="G10225" s="5" t="n">
        <v>8661</v>
      </c>
      <c r="H10225" s="5" t="n">
        <v>276</v>
      </c>
      <c r="I10225" s="5" t="n">
        <v>136</v>
      </c>
      <c r="J10225" s="5" t="n">
        <v>137</v>
      </c>
      <c r="K10225" s="10">
        <f>IF(F10225&gt;0,H10225/F10225,"")</f>
        <v/>
      </c>
      <c r="L10225" s="16">
        <f>IF(AND(G10225&gt;0,H10225&gt;0),G10225/H10225,"")</f>
        <v/>
      </c>
    </row>
    <row r="10226">
      <c r="A10226" s="4" t="inlineStr">
        <is>
          <t>393</t>
        </is>
      </c>
      <c r="B10226" s="4" t="n">
        <v>3</v>
      </c>
      <c r="C10226" s="4" t="inlineStr">
        <is>
          <t>whitetail</t>
        </is>
      </c>
      <c r="D10226" s="4" t="n">
        <v>2018</v>
      </c>
      <c r="E10226" s="13" t="inlineStr">
        <is>
          <t>General</t>
        </is>
      </c>
      <c r="F10226" s="5" t="n"/>
      <c r="G10226" s="5" t="n"/>
      <c r="H10226" s="5" t="n">
        <v>231</v>
      </c>
      <c r="I10226" s="5" t="n">
        <v>127</v>
      </c>
      <c r="J10226" s="5" t="n">
        <v>97</v>
      </c>
      <c r="K10226" s="10">
        <f>IF(F10226&gt;0,H10226/F10226,"")</f>
        <v/>
      </c>
      <c r="L10226" s="16">
        <f>IF(AND(G10226&gt;0,H10226&gt;0),G10226/H10226,"")</f>
        <v/>
      </c>
    </row>
    <row r="10227">
      <c r="A10227" s="4" t="inlineStr">
        <is>
          <t>393</t>
        </is>
      </c>
      <c r="B10227" s="4" t="n">
        <v>3</v>
      </c>
      <c r="C10227" s="4" t="inlineStr">
        <is>
          <t>whitetail</t>
        </is>
      </c>
      <c r="D10227" s="4" t="n">
        <v>2019</v>
      </c>
      <c r="E10227" s="13" t="inlineStr">
        <is>
          <t>General</t>
        </is>
      </c>
      <c r="F10227" s="5" t="n">
        <v>1515</v>
      </c>
      <c r="G10227" s="5" t="n">
        <v>9024</v>
      </c>
      <c r="H10227" s="5" t="n">
        <v>213</v>
      </c>
      <c r="I10227" s="5" t="n">
        <v>130</v>
      </c>
      <c r="J10227" s="5" t="n">
        <v>82</v>
      </c>
      <c r="K10227" s="10">
        <f>IF(F10227&gt;0,H10227/F10227,"")</f>
        <v/>
      </c>
      <c r="L10227" s="16">
        <f>IF(AND(G10227&gt;0,H10227&gt;0),G10227/H10227,"")</f>
        <v/>
      </c>
    </row>
    <row r="10228">
      <c r="A10228" s="4" t="inlineStr">
        <is>
          <t>393</t>
        </is>
      </c>
      <c r="B10228" s="4" t="n">
        <v>3</v>
      </c>
      <c r="C10228" s="4" t="inlineStr">
        <is>
          <t>whitetail</t>
        </is>
      </c>
      <c r="D10228" s="4" t="n">
        <v>2020</v>
      </c>
      <c r="E10228" s="13" t="inlineStr">
        <is>
          <t>General</t>
        </is>
      </c>
      <c r="F10228" s="5" t="n"/>
      <c r="G10228" s="5" t="n"/>
      <c r="H10228" s="5" t="n">
        <v>246</v>
      </c>
      <c r="I10228" s="5" t="n">
        <v>134</v>
      </c>
      <c r="J10228" s="5" t="n">
        <v>112</v>
      </c>
      <c r="K10228" s="10">
        <f>IF(F10228&gt;0,H10228/F10228,"")</f>
        <v/>
      </c>
      <c r="L10228" s="16">
        <f>IF(AND(G10228&gt;0,H10228&gt;0),G10228/H10228,"")</f>
        <v/>
      </c>
    </row>
    <row r="10229">
      <c r="A10229" s="4" t="inlineStr">
        <is>
          <t>393</t>
        </is>
      </c>
      <c r="B10229" s="4" t="n">
        <v>3</v>
      </c>
      <c r="C10229" s="4" t="inlineStr">
        <is>
          <t>whitetail</t>
        </is>
      </c>
      <c r="D10229" s="4" t="n">
        <v>2021</v>
      </c>
      <c r="E10229" s="13" t="inlineStr">
        <is>
          <t>General</t>
        </is>
      </c>
      <c r="F10229" s="5" t="n">
        <v>1405</v>
      </c>
      <c r="G10229" s="5" t="n">
        <v>9290</v>
      </c>
      <c r="H10229" s="5" t="n">
        <v>218</v>
      </c>
      <c r="I10229" s="5" t="n">
        <v>126</v>
      </c>
      <c r="J10229" s="5" t="n">
        <v>92</v>
      </c>
      <c r="K10229" s="10">
        <f>IF(F10229&gt;0,H10229/F10229,"")</f>
        <v/>
      </c>
      <c r="L10229" s="16">
        <f>IF(AND(G10229&gt;0,H10229&gt;0),G10229/H10229,"")</f>
        <v/>
      </c>
    </row>
    <row r="10230">
      <c r="A10230" s="4" t="inlineStr">
        <is>
          <t>393</t>
        </is>
      </c>
      <c r="B10230" s="4" t="n">
        <v>3</v>
      </c>
      <c r="C10230" s="4" t="inlineStr">
        <is>
          <t>whitetail</t>
        </is>
      </c>
      <c r="D10230" s="4" t="n">
        <v>2022</v>
      </c>
      <c r="E10230" s="13" t="inlineStr">
        <is>
          <t>General</t>
        </is>
      </c>
      <c r="F10230" s="5" t="n"/>
      <c r="G10230" s="5" t="n"/>
      <c r="H10230" s="5" t="n">
        <v>246</v>
      </c>
      <c r="I10230" s="5" t="n">
        <v>141</v>
      </c>
      <c r="J10230" s="5" t="n">
        <v>102</v>
      </c>
      <c r="K10230" s="10">
        <f>IF(F10230&gt;0,H10230/F10230,"")</f>
        <v/>
      </c>
      <c r="L10230" s="16">
        <f>IF(AND(G10230&gt;0,H10230&gt;0),G10230/H10230,"")</f>
        <v/>
      </c>
    </row>
    <row r="10231">
      <c r="A10231" s="4" t="inlineStr">
        <is>
          <t>393</t>
        </is>
      </c>
      <c r="B10231" s="4" t="n">
        <v>3</v>
      </c>
      <c r="C10231" s="4" t="inlineStr">
        <is>
          <t>whitetail</t>
        </is>
      </c>
      <c r="D10231" s="4" t="n">
        <v>2023</v>
      </c>
      <c r="E10231" s="13" t="inlineStr">
        <is>
          <t>General</t>
        </is>
      </c>
      <c r="F10231" s="5" t="n">
        <v>1548</v>
      </c>
      <c r="G10231" s="5" t="n">
        <v>9702</v>
      </c>
      <c r="H10231" s="5" t="n">
        <v>233</v>
      </c>
      <c r="I10231" s="5" t="n">
        <v>125</v>
      </c>
      <c r="J10231" s="5" t="n">
        <v>108</v>
      </c>
      <c r="K10231" s="10">
        <f>IF(F10231&gt;0,H10231/F10231,"")</f>
        <v/>
      </c>
      <c r="L10231" s="16">
        <f>IF(AND(G10231&gt;0,H10231&gt;0),G10231/H10231,"")</f>
        <v/>
      </c>
    </row>
    <row r="10232">
      <c r="A10232" s="4" t="inlineStr">
        <is>
          <t>393</t>
        </is>
      </c>
      <c r="B10232" s="4" t="n">
        <v>3</v>
      </c>
      <c r="C10232" s="4" t="inlineStr">
        <is>
          <t>whitetail</t>
        </is>
      </c>
      <c r="D10232" s="4" t="n">
        <v>2024</v>
      </c>
      <c r="E10232" s="13" t="inlineStr">
        <is>
          <t>General</t>
        </is>
      </c>
      <c r="F10232" s="5" t="n"/>
      <c r="G10232" s="5" t="n"/>
      <c r="H10232" s="5" t="n">
        <v>251</v>
      </c>
      <c r="I10232" s="5" t="n">
        <v>178</v>
      </c>
      <c r="J10232" s="5" t="n">
        <v>70</v>
      </c>
      <c r="K10232" s="10">
        <f>IF(F10232&gt;0,H10232/F10232,"")</f>
        <v/>
      </c>
      <c r="L10232" s="16">
        <f>IF(AND(G10232&gt;0,H10232&gt;0),G10232/H10232,"")</f>
        <v/>
      </c>
    </row>
    <row r="10233">
      <c r="A10233" s="4" t="inlineStr">
        <is>
          <t>393</t>
        </is>
      </c>
      <c r="B10233" s="4" t="n">
        <v>3</v>
      </c>
      <c r="C10233" s="4" t="inlineStr">
        <is>
          <t>whitetail</t>
        </is>
      </c>
      <c r="D10233" s="4" t="n">
        <v>2025</v>
      </c>
      <c r="E10233" s="13" t="inlineStr">
        <is>
          <t>General</t>
        </is>
      </c>
      <c r="F10233" s="5" t="n">
        <v>1671</v>
      </c>
      <c r="G10233" s="5" t="n">
        <v>9555</v>
      </c>
      <c r="H10233" s="5" t="n">
        <v>244</v>
      </c>
      <c r="I10233" s="5" t="n">
        <v>139</v>
      </c>
      <c r="J10233" s="5" t="n">
        <v>106</v>
      </c>
      <c r="K10233" s="10">
        <f>IF(F10233&gt;0,H10233/F10233,"")</f>
        <v/>
      </c>
      <c r="L10233" s="16">
        <f>IF(AND(G10233&gt;0,H10233&gt;0),G10233/H10233,"")</f>
        <v/>
      </c>
    </row>
    <row r="10234">
      <c r="A10234" s="4" t="inlineStr">
        <is>
          <t>400</t>
        </is>
      </c>
      <c r="B10234" s="4" t="n">
        <v>4</v>
      </c>
      <c r="C10234" s="4" t="inlineStr">
        <is>
          <t>whitetail</t>
        </is>
      </c>
      <c r="D10234" s="4" t="n">
        <v>2004</v>
      </c>
      <c r="E10234" s="13" t="inlineStr">
        <is>
          <t>General</t>
        </is>
      </c>
      <c r="F10234" s="5" t="n">
        <v>1472</v>
      </c>
      <c r="G10234" s="5" t="n">
        <v>5763</v>
      </c>
      <c r="H10234" s="5" t="n">
        <v>264</v>
      </c>
      <c r="I10234" s="5" t="n">
        <v>133</v>
      </c>
      <c r="J10234" s="5" t="n">
        <v>131</v>
      </c>
      <c r="K10234" s="10">
        <f>IF(F10234&gt;0,H10234/F10234,"")</f>
        <v/>
      </c>
      <c r="L10234" s="16">
        <f>IF(AND(G10234&gt;0,H10234&gt;0),G10234/H10234,"")</f>
        <v/>
      </c>
    </row>
    <row r="10235">
      <c r="A10235" s="4" t="inlineStr">
        <is>
          <t>400</t>
        </is>
      </c>
      <c r="B10235" s="4" t="n">
        <v>4</v>
      </c>
      <c r="C10235" s="4" t="inlineStr">
        <is>
          <t>whitetail</t>
        </is>
      </c>
      <c r="D10235" s="4" t="n">
        <v>2005</v>
      </c>
      <c r="E10235" s="13" t="inlineStr">
        <is>
          <t>General</t>
        </is>
      </c>
      <c r="F10235" s="5" t="n">
        <v>1527</v>
      </c>
      <c r="G10235" s="5" t="n">
        <v>5592</v>
      </c>
      <c r="H10235" s="5" t="n">
        <v>287</v>
      </c>
      <c r="I10235" s="5" t="n">
        <v>145</v>
      </c>
      <c r="J10235" s="5" t="n">
        <v>138</v>
      </c>
      <c r="K10235" s="10">
        <f>IF(F10235&gt;0,H10235/F10235,"")</f>
        <v/>
      </c>
      <c r="L10235" s="16">
        <f>IF(AND(G10235&gt;0,H10235&gt;0),G10235/H10235,"")</f>
        <v/>
      </c>
    </row>
    <row r="10236">
      <c r="A10236" s="4" t="inlineStr">
        <is>
          <t>400</t>
        </is>
      </c>
      <c r="B10236" s="4" t="n">
        <v>4</v>
      </c>
      <c r="C10236" s="4" t="inlineStr">
        <is>
          <t>whitetail</t>
        </is>
      </c>
      <c r="D10236" s="4" t="n">
        <v>2006</v>
      </c>
      <c r="E10236" s="13" t="inlineStr">
        <is>
          <t>General</t>
        </is>
      </c>
      <c r="F10236" s="5" t="n">
        <v>1414</v>
      </c>
      <c r="G10236" s="5" t="n">
        <v>5654</v>
      </c>
      <c r="H10236" s="5" t="n">
        <v>326</v>
      </c>
      <c r="I10236" s="5" t="n">
        <v>127</v>
      </c>
      <c r="J10236" s="5" t="n">
        <v>192</v>
      </c>
      <c r="K10236" s="10">
        <f>IF(F10236&gt;0,H10236/F10236,"")</f>
        <v/>
      </c>
      <c r="L10236" s="16">
        <f>IF(AND(G10236&gt;0,H10236&gt;0),G10236/H10236,"")</f>
        <v/>
      </c>
    </row>
    <row r="10237">
      <c r="A10237" s="4" t="inlineStr">
        <is>
          <t>400</t>
        </is>
      </c>
      <c r="B10237" s="4" t="n">
        <v>4</v>
      </c>
      <c r="C10237" s="4" t="inlineStr">
        <is>
          <t>whitetail</t>
        </is>
      </c>
      <c r="D10237" s="4" t="n">
        <v>2007</v>
      </c>
      <c r="E10237" s="13" t="inlineStr">
        <is>
          <t>General</t>
        </is>
      </c>
      <c r="F10237" s="5" t="n">
        <v>1712</v>
      </c>
      <c r="G10237" s="5" t="n">
        <v>7229</v>
      </c>
      <c r="H10237" s="5" t="n">
        <v>368</v>
      </c>
      <c r="I10237" s="5" t="n">
        <v>203</v>
      </c>
      <c r="J10237" s="5" t="n">
        <v>155</v>
      </c>
      <c r="K10237" s="10">
        <f>IF(F10237&gt;0,H10237/F10237,"")</f>
        <v/>
      </c>
      <c r="L10237" s="16">
        <f>IF(AND(G10237&gt;0,H10237&gt;0),G10237/H10237,"")</f>
        <v/>
      </c>
    </row>
    <row r="10238">
      <c r="A10238" s="4" t="inlineStr">
        <is>
          <t>400</t>
        </is>
      </c>
      <c r="B10238" s="4" t="n">
        <v>4</v>
      </c>
      <c r="C10238" s="4" t="inlineStr">
        <is>
          <t>whitetail</t>
        </is>
      </c>
      <c r="D10238" s="4" t="n">
        <v>2008</v>
      </c>
      <c r="E10238" s="13" t="inlineStr">
        <is>
          <t>General</t>
        </is>
      </c>
      <c r="F10238" s="5" t="n">
        <v>1768</v>
      </c>
      <c r="G10238" s="5" t="n">
        <v>7996</v>
      </c>
      <c r="H10238" s="5" t="n">
        <v>444</v>
      </c>
      <c r="I10238" s="5" t="n">
        <v>219</v>
      </c>
      <c r="J10238" s="5" t="n">
        <v>222</v>
      </c>
      <c r="K10238" s="10">
        <f>IF(F10238&gt;0,H10238/F10238,"")</f>
        <v/>
      </c>
      <c r="L10238" s="16">
        <f>IF(AND(G10238&gt;0,H10238&gt;0),G10238/H10238,"")</f>
        <v/>
      </c>
    </row>
    <row r="10239">
      <c r="A10239" s="4" t="inlineStr">
        <is>
          <t>400</t>
        </is>
      </c>
      <c r="B10239" s="4" t="n">
        <v>4</v>
      </c>
      <c r="C10239" s="4" t="inlineStr">
        <is>
          <t>whitetail</t>
        </is>
      </c>
      <c r="D10239" s="4" t="n">
        <v>2009</v>
      </c>
      <c r="E10239" s="13" t="inlineStr">
        <is>
          <t>General</t>
        </is>
      </c>
      <c r="F10239" s="5" t="n">
        <v>2076</v>
      </c>
      <c r="G10239" s="5" t="n">
        <v>8865</v>
      </c>
      <c r="H10239" s="5" t="n">
        <v>538</v>
      </c>
      <c r="I10239" s="5" t="n">
        <v>269</v>
      </c>
      <c r="J10239" s="5" t="n">
        <v>260</v>
      </c>
      <c r="K10239" s="10">
        <f>IF(F10239&gt;0,H10239/F10239,"")</f>
        <v/>
      </c>
      <c r="L10239" s="16">
        <f>IF(AND(G10239&gt;0,H10239&gt;0),G10239/H10239,"")</f>
        <v/>
      </c>
    </row>
    <row r="10240">
      <c r="A10240" s="4" t="inlineStr">
        <is>
          <t>400</t>
        </is>
      </c>
      <c r="B10240" s="4" t="n">
        <v>4</v>
      </c>
      <c r="C10240" s="4" t="inlineStr">
        <is>
          <t>whitetail</t>
        </is>
      </c>
      <c r="D10240" s="4" t="n">
        <v>2010</v>
      </c>
      <c r="E10240" s="13" t="inlineStr">
        <is>
          <t>General</t>
        </is>
      </c>
      <c r="F10240" s="5" t="n">
        <v>2124</v>
      </c>
      <c r="G10240" s="5" t="n">
        <v>9868</v>
      </c>
      <c r="H10240" s="5" t="n">
        <v>512</v>
      </c>
      <c r="I10240" s="5" t="n">
        <v>217</v>
      </c>
      <c r="J10240" s="5" t="n">
        <v>279</v>
      </c>
      <c r="K10240" s="10">
        <f>IF(F10240&gt;0,H10240/F10240,"")</f>
        <v/>
      </c>
      <c r="L10240" s="16">
        <f>IF(AND(G10240&gt;0,H10240&gt;0),G10240/H10240,"")</f>
        <v/>
      </c>
    </row>
    <row r="10241">
      <c r="A10241" s="4" t="inlineStr">
        <is>
          <t>400</t>
        </is>
      </c>
      <c r="B10241" s="4" t="n">
        <v>4</v>
      </c>
      <c r="C10241" s="4" t="inlineStr">
        <is>
          <t>whitetail</t>
        </is>
      </c>
      <c r="D10241" s="4" t="n">
        <v>2011</v>
      </c>
      <c r="E10241" s="13" t="inlineStr">
        <is>
          <t>General</t>
        </is>
      </c>
      <c r="F10241" s="5" t="n">
        <v>2027</v>
      </c>
      <c r="G10241" s="5" t="n">
        <v>9080</v>
      </c>
      <c r="H10241" s="5" t="n">
        <v>475</v>
      </c>
      <c r="I10241" s="5" t="n">
        <v>173</v>
      </c>
      <c r="J10241" s="5" t="n">
        <v>302</v>
      </c>
      <c r="K10241" s="10">
        <f>IF(F10241&gt;0,H10241/F10241,"")</f>
        <v/>
      </c>
      <c r="L10241" s="16">
        <f>IF(AND(G10241&gt;0,H10241&gt;0),G10241/H10241,"")</f>
        <v/>
      </c>
    </row>
    <row r="10242">
      <c r="A10242" s="4" t="inlineStr">
        <is>
          <t>400</t>
        </is>
      </c>
      <c r="B10242" s="4" t="n">
        <v>4</v>
      </c>
      <c r="C10242" s="4" t="inlineStr">
        <is>
          <t>whitetail</t>
        </is>
      </c>
      <c r="D10242" s="4" t="n">
        <v>2012</v>
      </c>
      <c r="E10242" s="13" t="inlineStr">
        <is>
          <t>General</t>
        </is>
      </c>
      <c r="F10242" s="5" t="n"/>
      <c r="G10242" s="5" t="n"/>
      <c r="H10242" s="5" t="n">
        <v>439</v>
      </c>
      <c r="I10242" s="5" t="n">
        <v>168</v>
      </c>
      <c r="J10242" s="5" t="n">
        <v>268</v>
      </c>
      <c r="K10242" s="10">
        <f>IF(F10242&gt;0,H10242/F10242,"")</f>
        <v/>
      </c>
      <c r="L10242" s="16">
        <f>IF(AND(G10242&gt;0,H10242&gt;0),G10242/H10242,"")</f>
        <v/>
      </c>
    </row>
    <row r="10243">
      <c r="A10243" s="4" t="inlineStr">
        <is>
          <t>400</t>
        </is>
      </c>
      <c r="B10243" s="4" t="n">
        <v>4</v>
      </c>
      <c r="C10243" s="4" t="inlineStr">
        <is>
          <t>whitetail</t>
        </is>
      </c>
      <c r="D10243" s="4" t="n">
        <v>2013</v>
      </c>
      <c r="E10243" s="13" t="inlineStr">
        <is>
          <t>General</t>
        </is>
      </c>
      <c r="F10243" s="5" t="n">
        <v>1355</v>
      </c>
      <c r="G10243" s="5" t="n">
        <v>6412</v>
      </c>
      <c r="H10243" s="5" t="n">
        <v>119</v>
      </c>
      <c r="I10243" s="5" t="n">
        <v>59</v>
      </c>
      <c r="J10243" s="5" t="n">
        <v>60</v>
      </c>
      <c r="K10243" s="10">
        <f>IF(F10243&gt;0,H10243/F10243,"")</f>
        <v/>
      </c>
      <c r="L10243" s="16">
        <f>IF(AND(G10243&gt;0,H10243&gt;0),G10243/H10243,"")</f>
        <v/>
      </c>
    </row>
    <row r="10244">
      <c r="A10244" s="4" t="inlineStr">
        <is>
          <t>400</t>
        </is>
      </c>
      <c r="B10244" s="4" t="n">
        <v>4</v>
      </c>
      <c r="C10244" s="4" t="inlineStr">
        <is>
          <t>whitetail</t>
        </is>
      </c>
      <c r="D10244" s="4" t="n">
        <v>2014</v>
      </c>
      <c r="E10244" s="13" t="inlineStr">
        <is>
          <t>General</t>
        </is>
      </c>
      <c r="F10244" s="5" t="n"/>
      <c r="G10244" s="5" t="n"/>
      <c r="H10244" s="5" t="n">
        <v>96</v>
      </c>
      <c r="I10244" s="5" t="n">
        <v>79</v>
      </c>
      <c r="J10244" s="5" t="n">
        <v>14</v>
      </c>
      <c r="K10244" s="10">
        <f>IF(F10244&gt;0,H10244/F10244,"")</f>
        <v/>
      </c>
      <c r="L10244" s="16">
        <f>IF(AND(G10244&gt;0,H10244&gt;0),G10244/H10244,"")</f>
        <v/>
      </c>
    </row>
    <row r="10245">
      <c r="A10245" s="4" t="inlineStr">
        <is>
          <t>400</t>
        </is>
      </c>
      <c r="B10245" s="4" t="n">
        <v>4</v>
      </c>
      <c r="C10245" s="4" t="inlineStr">
        <is>
          <t>whitetail</t>
        </is>
      </c>
      <c r="D10245" s="4" t="n">
        <v>2015</v>
      </c>
      <c r="E10245" s="13" t="inlineStr">
        <is>
          <t>General</t>
        </is>
      </c>
      <c r="F10245" s="5" t="n"/>
      <c r="G10245" s="5" t="n"/>
      <c r="H10245" s="5" t="n">
        <v>106</v>
      </c>
      <c r="I10245" s="5" t="n">
        <v>101</v>
      </c>
      <c r="J10245" s="5" t="n">
        <v>6</v>
      </c>
      <c r="K10245" s="10">
        <f>IF(F10245&gt;0,H10245/F10245,"")</f>
        <v/>
      </c>
      <c r="L10245" s="16">
        <f>IF(AND(G10245&gt;0,H10245&gt;0),G10245/H10245,"")</f>
        <v/>
      </c>
    </row>
    <row r="10246">
      <c r="A10246" s="4" t="inlineStr">
        <is>
          <t>400</t>
        </is>
      </c>
      <c r="B10246" s="4" t="n">
        <v>4</v>
      </c>
      <c r="C10246" s="4" t="inlineStr">
        <is>
          <t>whitetail</t>
        </is>
      </c>
      <c r="D10246" s="4" t="n">
        <v>2016</v>
      </c>
      <c r="E10246" s="13" t="inlineStr">
        <is>
          <t>General</t>
        </is>
      </c>
      <c r="F10246" s="5" t="n"/>
      <c r="G10246" s="5" t="n"/>
      <c r="H10246" s="5" t="n">
        <v>142</v>
      </c>
      <c r="I10246" s="5" t="n">
        <v>117</v>
      </c>
      <c r="J10246" s="5" t="n">
        <v>22</v>
      </c>
      <c r="K10246" s="10">
        <f>IF(F10246&gt;0,H10246/F10246,"")</f>
        <v/>
      </c>
      <c r="L10246" s="16">
        <f>IF(AND(G10246&gt;0,H10246&gt;0),G10246/H10246,"")</f>
        <v/>
      </c>
    </row>
    <row r="10247">
      <c r="A10247" s="4" t="inlineStr">
        <is>
          <t>400</t>
        </is>
      </c>
      <c r="B10247" s="4" t="n">
        <v>4</v>
      </c>
      <c r="C10247" s="4" t="inlineStr">
        <is>
          <t>whitetail</t>
        </is>
      </c>
      <c r="D10247" s="4" t="n">
        <v>2017</v>
      </c>
      <c r="E10247" s="13" t="inlineStr">
        <is>
          <t>General</t>
        </is>
      </c>
      <c r="F10247" s="5" t="n">
        <v>1370</v>
      </c>
      <c r="G10247" s="5" t="n">
        <v>6080</v>
      </c>
      <c r="H10247" s="5" t="n">
        <v>179</v>
      </c>
      <c r="I10247" s="5" t="n">
        <v>133</v>
      </c>
      <c r="J10247" s="5" t="n">
        <v>43</v>
      </c>
      <c r="K10247" s="10">
        <f>IF(F10247&gt;0,H10247/F10247,"")</f>
        <v/>
      </c>
      <c r="L10247" s="16">
        <f>IF(AND(G10247&gt;0,H10247&gt;0),G10247/H10247,"")</f>
        <v/>
      </c>
    </row>
    <row r="10248">
      <c r="A10248" s="4" t="inlineStr">
        <is>
          <t>400</t>
        </is>
      </c>
      <c r="B10248" s="4" t="n">
        <v>4</v>
      </c>
      <c r="C10248" s="4" t="inlineStr">
        <is>
          <t>whitetail</t>
        </is>
      </c>
      <c r="D10248" s="4" t="n">
        <v>2018</v>
      </c>
      <c r="E10248" s="13" t="inlineStr">
        <is>
          <t>General</t>
        </is>
      </c>
      <c r="F10248" s="5" t="n"/>
      <c r="G10248" s="5" t="n"/>
      <c r="H10248" s="5" t="n">
        <v>312</v>
      </c>
      <c r="I10248" s="5" t="n">
        <v>160</v>
      </c>
      <c r="J10248" s="5" t="n">
        <v>149</v>
      </c>
      <c r="K10248" s="10">
        <f>IF(F10248&gt;0,H10248/F10248,"")</f>
        <v/>
      </c>
      <c r="L10248" s="16">
        <f>IF(AND(G10248&gt;0,H10248&gt;0),G10248/H10248,"")</f>
        <v/>
      </c>
    </row>
    <row r="10249">
      <c r="A10249" s="4" t="inlineStr">
        <is>
          <t>400</t>
        </is>
      </c>
      <c r="B10249" s="4" t="n">
        <v>4</v>
      </c>
      <c r="C10249" s="4" t="inlineStr">
        <is>
          <t>whitetail</t>
        </is>
      </c>
      <c r="D10249" s="4" t="n">
        <v>2019</v>
      </c>
      <c r="E10249" s="13" t="inlineStr">
        <is>
          <t>General</t>
        </is>
      </c>
      <c r="F10249" s="5" t="n">
        <v>1435</v>
      </c>
      <c r="G10249" s="5" t="n">
        <v>6630</v>
      </c>
      <c r="H10249" s="5" t="n">
        <v>342</v>
      </c>
      <c r="I10249" s="5" t="n">
        <v>163</v>
      </c>
      <c r="J10249" s="5" t="n">
        <v>179</v>
      </c>
      <c r="K10249" s="10">
        <f>IF(F10249&gt;0,H10249/F10249,"")</f>
        <v/>
      </c>
      <c r="L10249" s="16">
        <f>IF(AND(G10249&gt;0,H10249&gt;0),G10249/H10249,"")</f>
        <v/>
      </c>
    </row>
    <row r="10250">
      <c r="A10250" s="4" t="inlineStr">
        <is>
          <t>400</t>
        </is>
      </c>
      <c r="B10250" s="4" t="n">
        <v>4</v>
      </c>
      <c r="C10250" s="4" t="inlineStr">
        <is>
          <t>whitetail</t>
        </is>
      </c>
      <c r="D10250" s="4" t="n">
        <v>2020</v>
      </c>
      <c r="E10250" s="13" t="inlineStr">
        <is>
          <t>General</t>
        </is>
      </c>
      <c r="F10250" s="5" t="n"/>
      <c r="G10250" s="5" t="n"/>
      <c r="H10250" s="5" t="n">
        <v>438</v>
      </c>
      <c r="I10250" s="5" t="n">
        <v>242</v>
      </c>
      <c r="J10250" s="5" t="n">
        <v>192</v>
      </c>
      <c r="K10250" s="10">
        <f>IF(F10250&gt;0,H10250/F10250,"")</f>
        <v/>
      </c>
      <c r="L10250" s="16">
        <f>IF(AND(G10250&gt;0,H10250&gt;0),G10250/H10250,"")</f>
        <v/>
      </c>
    </row>
    <row r="10251">
      <c r="A10251" s="4" t="inlineStr">
        <is>
          <t>400</t>
        </is>
      </c>
      <c r="B10251" s="4" t="n">
        <v>4</v>
      </c>
      <c r="C10251" s="4" t="inlineStr">
        <is>
          <t>whitetail</t>
        </is>
      </c>
      <c r="D10251" s="4" t="n">
        <v>2021</v>
      </c>
      <c r="E10251" s="13" t="inlineStr">
        <is>
          <t>General</t>
        </is>
      </c>
      <c r="F10251" s="5" t="n">
        <v>1769</v>
      </c>
      <c r="G10251" s="5" t="n">
        <v>8700</v>
      </c>
      <c r="H10251" s="5" t="n">
        <v>408</v>
      </c>
      <c r="I10251" s="5" t="n">
        <v>233</v>
      </c>
      <c r="J10251" s="5" t="n">
        <v>172</v>
      </c>
      <c r="K10251" s="10">
        <f>IF(F10251&gt;0,H10251/F10251,"")</f>
        <v/>
      </c>
      <c r="L10251" s="16">
        <f>IF(AND(G10251&gt;0,H10251&gt;0),G10251/H10251,"")</f>
        <v/>
      </c>
    </row>
    <row r="10252">
      <c r="A10252" s="4" t="inlineStr">
        <is>
          <t>400</t>
        </is>
      </c>
      <c r="B10252" s="4" t="n">
        <v>4</v>
      </c>
      <c r="C10252" s="4" t="inlineStr">
        <is>
          <t>whitetail</t>
        </is>
      </c>
      <c r="D10252" s="4" t="n">
        <v>2022</v>
      </c>
      <c r="E10252" s="13" t="inlineStr">
        <is>
          <t>General</t>
        </is>
      </c>
      <c r="F10252" s="5" t="n"/>
      <c r="G10252" s="5" t="n"/>
      <c r="H10252" s="5" t="n">
        <v>392</v>
      </c>
      <c r="I10252" s="5" t="n">
        <v>208</v>
      </c>
      <c r="J10252" s="5" t="n">
        <v>184</v>
      </c>
      <c r="K10252" s="10">
        <f>IF(F10252&gt;0,H10252/F10252,"")</f>
        <v/>
      </c>
      <c r="L10252" s="16">
        <f>IF(AND(G10252&gt;0,H10252&gt;0),G10252/H10252,"")</f>
        <v/>
      </c>
    </row>
    <row r="10253">
      <c r="A10253" s="4" t="inlineStr">
        <is>
          <t>400</t>
        </is>
      </c>
      <c r="B10253" s="4" t="n">
        <v>4</v>
      </c>
      <c r="C10253" s="4" t="inlineStr">
        <is>
          <t>whitetail</t>
        </is>
      </c>
      <c r="D10253" s="4" t="n">
        <v>2023</v>
      </c>
      <c r="E10253" s="13" t="inlineStr">
        <is>
          <t>General</t>
        </is>
      </c>
      <c r="F10253" s="5" t="n">
        <v>1918</v>
      </c>
      <c r="G10253" s="5" t="n">
        <v>10431</v>
      </c>
      <c r="H10253" s="5" t="n">
        <v>465</v>
      </c>
      <c r="I10253" s="5" t="n">
        <v>270</v>
      </c>
      <c r="J10253" s="5" t="n">
        <v>195</v>
      </c>
      <c r="K10253" s="10">
        <f>IF(F10253&gt;0,H10253/F10253,"")</f>
        <v/>
      </c>
      <c r="L10253" s="16">
        <f>IF(AND(G10253&gt;0,H10253&gt;0),G10253/H10253,"")</f>
        <v/>
      </c>
    </row>
    <row r="10254">
      <c r="A10254" s="4" t="inlineStr">
        <is>
          <t>400</t>
        </is>
      </c>
      <c r="B10254" s="4" t="n">
        <v>4</v>
      </c>
      <c r="C10254" s="4" t="inlineStr">
        <is>
          <t>whitetail</t>
        </is>
      </c>
      <c r="D10254" s="4" t="n">
        <v>2024</v>
      </c>
      <c r="E10254" s="13" t="inlineStr">
        <is>
          <t>General</t>
        </is>
      </c>
      <c r="F10254" s="5" t="n"/>
      <c r="G10254" s="5" t="n"/>
      <c r="H10254" s="5" t="n">
        <v>435</v>
      </c>
      <c r="I10254" s="5" t="n">
        <v>221</v>
      </c>
      <c r="J10254" s="5" t="n">
        <v>208</v>
      </c>
      <c r="K10254" s="10">
        <f>IF(F10254&gt;0,H10254/F10254,"")</f>
        <v/>
      </c>
      <c r="L10254" s="16">
        <f>IF(AND(G10254&gt;0,H10254&gt;0),G10254/H10254,"")</f>
        <v/>
      </c>
    </row>
    <row r="10255">
      <c r="A10255" s="4" t="inlineStr">
        <is>
          <t>400</t>
        </is>
      </c>
      <c r="B10255" s="4" t="n">
        <v>4</v>
      </c>
      <c r="C10255" s="4" t="inlineStr">
        <is>
          <t>whitetail</t>
        </is>
      </c>
      <c r="D10255" s="4" t="n">
        <v>2025</v>
      </c>
      <c r="E10255" s="13" t="inlineStr">
        <is>
          <t>General</t>
        </is>
      </c>
      <c r="F10255" s="5" t="n">
        <v>2000</v>
      </c>
      <c r="G10255" s="5" t="n">
        <v>12562</v>
      </c>
      <c r="H10255" s="5" t="n">
        <v>366</v>
      </c>
      <c r="I10255" s="5" t="n">
        <v>203</v>
      </c>
      <c r="J10255" s="5" t="n">
        <v>162</v>
      </c>
      <c r="K10255" s="10">
        <f>IF(F10255&gt;0,H10255/F10255,"")</f>
        <v/>
      </c>
      <c r="L10255" s="16">
        <f>IF(AND(G10255&gt;0,H10255&gt;0),G10255/H10255,"")</f>
        <v/>
      </c>
    </row>
    <row r="10256">
      <c r="A10256" s="4" t="inlineStr">
        <is>
          <t>401</t>
        </is>
      </c>
      <c r="B10256" s="4" t="n">
        <v>4</v>
      </c>
      <c r="C10256" s="4" t="inlineStr">
        <is>
          <t>whitetail</t>
        </is>
      </c>
      <c r="D10256" s="4" t="n">
        <v>2004</v>
      </c>
      <c r="E10256" s="13" t="inlineStr">
        <is>
          <t>General</t>
        </is>
      </c>
      <c r="F10256" s="5" t="n">
        <v>1450</v>
      </c>
      <c r="G10256" s="5" t="n">
        <v>6121</v>
      </c>
      <c r="H10256" s="5" t="n">
        <v>317</v>
      </c>
      <c r="I10256" s="5" t="n">
        <v>156</v>
      </c>
      <c r="J10256" s="5" t="n">
        <v>152</v>
      </c>
      <c r="K10256" s="10">
        <f>IF(F10256&gt;0,H10256/F10256,"")</f>
        <v/>
      </c>
      <c r="L10256" s="16">
        <f>IF(AND(G10256&gt;0,H10256&gt;0),G10256/H10256,"")</f>
        <v/>
      </c>
    </row>
    <row r="10257">
      <c r="A10257" s="4" t="inlineStr">
        <is>
          <t>401</t>
        </is>
      </c>
      <c r="B10257" s="4" t="n">
        <v>4</v>
      </c>
      <c r="C10257" s="4" t="inlineStr">
        <is>
          <t>whitetail</t>
        </is>
      </c>
      <c r="D10257" s="4" t="n">
        <v>2005</v>
      </c>
      <c r="E10257" s="13" t="inlineStr">
        <is>
          <t>General</t>
        </is>
      </c>
      <c r="F10257" s="5" t="n">
        <v>1322</v>
      </c>
      <c r="G10257" s="5" t="n">
        <v>5142</v>
      </c>
      <c r="H10257" s="5" t="n">
        <v>348</v>
      </c>
      <c r="I10257" s="5" t="n">
        <v>160</v>
      </c>
      <c r="J10257" s="5" t="n">
        <v>188</v>
      </c>
      <c r="K10257" s="10">
        <f>IF(F10257&gt;0,H10257/F10257,"")</f>
        <v/>
      </c>
      <c r="L10257" s="16">
        <f>IF(AND(G10257&gt;0,H10257&gt;0),G10257/H10257,"")</f>
        <v/>
      </c>
    </row>
    <row r="10258">
      <c r="A10258" s="4" t="inlineStr">
        <is>
          <t>401</t>
        </is>
      </c>
      <c r="B10258" s="4" t="n">
        <v>4</v>
      </c>
      <c r="C10258" s="4" t="inlineStr">
        <is>
          <t>whitetail</t>
        </is>
      </c>
      <c r="D10258" s="4" t="n">
        <v>2006</v>
      </c>
      <c r="E10258" s="13" t="inlineStr">
        <is>
          <t>General</t>
        </is>
      </c>
      <c r="F10258" s="5" t="n">
        <v>1374</v>
      </c>
      <c r="G10258" s="5" t="n">
        <v>5777</v>
      </c>
      <c r="H10258" s="5" t="n">
        <v>505</v>
      </c>
      <c r="I10258" s="5" t="n">
        <v>233</v>
      </c>
      <c r="J10258" s="5" t="n">
        <v>263</v>
      </c>
      <c r="K10258" s="10">
        <f>IF(F10258&gt;0,H10258/F10258,"")</f>
        <v/>
      </c>
      <c r="L10258" s="16">
        <f>IF(AND(G10258&gt;0,H10258&gt;0),G10258/H10258,"")</f>
        <v/>
      </c>
    </row>
    <row r="10259">
      <c r="A10259" s="4" t="inlineStr">
        <is>
          <t>401</t>
        </is>
      </c>
      <c r="B10259" s="4" t="n">
        <v>4</v>
      </c>
      <c r="C10259" s="4" t="inlineStr">
        <is>
          <t>whitetail</t>
        </is>
      </c>
      <c r="D10259" s="4" t="n">
        <v>2007</v>
      </c>
      <c r="E10259" s="13" t="inlineStr">
        <is>
          <t>General</t>
        </is>
      </c>
      <c r="F10259" s="5" t="n">
        <v>1531</v>
      </c>
      <c r="G10259" s="5" t="n">
        <v>6646</v>
      </c>
      <c r="H10259" s="5" t="n">
        <v>468</v>
      </c>
      <c r="I10259" s="5" t="n">
        <v>250</v>
      </c>
      <c r="J10259" s="5" t="n">
        <v>211</v>
      </c>
      <c r="K10259" s="10">
        <f>IF(F10259&gt;0,H10259/F10259,"")</f>
        <v/>
      </c>
      <c r="L10259" s="16">
        <f>IF(AND(G10259&gt;0,H10259&gt;0),G10259/H10259,"")</f>
        <v/>
      </c>
    </row>
    <row r="10260">
      <c r="A10260" s="4" t="inlineStr">
        <is>
          <t>401</t>
        </is>
      </c>
      <c r="B10260" s="4" t="n">
        <v>4</v>
      </c>
      <c r="C10260" s="4" t="inlineStr">
        <is>
          <t>whitetail</t>
        </is>
      </c>
      <c r="D10260" s="4" t="n">
        <v>2008</v>
      </c>
      <c r="E10260" s="13" t="inlineStr">
        <is>
          <t>General</t>
        </is>
      </c>
      <c r="F10260" s="5" t="n">
        <v>1592</v>
      </c>
      <c r="G10260" s="5" t="n">
        <v>7329</v>
      </c>
      <c r="H10260" s="5" t="n">
        <v>439</v>
      </c>
      <c r="I10260" s="5" t="n">
        <v>263</v>
      </c>
      <c r="J10260" s="5" t="n">
        <v>173</v>
      </c>
      <c r="K10260" s="10">
        <f>IF(F10260&gt;0,H10260/F10260,"")</f>
        <v/>
      </c>
      <c r="L10260" s="16">
        <f>IF(AND(G10260&gt;0,H10260&gt;0),G10260/H10260,"")</f>
        <v/>
      </c>
    </row>
    <row r="10261">
      <c r="A10261" s="4" t="inlineStr">
        <is>
          <t>401</t>
        </is>
      </c>
      <c r="B10261" s="4" t="n">
        <v>4</v>
      </c>
      <c r="C10261" s="4" t="inlineStr">
        <is>
          <t>whitetail</t>
        </is>
      </c>
      <c r="D10261" s="4" t="n">
        <v>2009</v>
      </c>
      <c r="E10261" s="13" t="inlineStr">
        <is>
          <t>General</t>
        </is>
      </c>
      <c r="F10261" s="5" t="n">
        <v>1838</v>
      </c>
      <c r="G10261" s="5" t="n">
        <v>8423</v>
      </c>
      <c r="H10261" s="5" t="n">
        <v>608</v>
      </c>
      <c r="I10261" s="5" t="n">
        <v>330</v>
      </c>
      <c r="J10261" s="5" t="n">
        <v>270</v>
      </c>
      <c r="K10261" s="10">
        <f>IF(F10261&gt;0,H10261/F10261,"")</f>
        <v/>
      </c>
      <c r="L10261" s="16">
        <f>IF(AND(G10261&gt;0,H10261&gt;0),G10261/H10261,"")</f>
        <v/>
      </c>
    </row>
    <row r="10262">
      <c r="A10262" s="4" t="inlineStr">
        <is>
          <t>401</t>
        </is>
      </c>
      <c r="B10262" s="4" t="n">
        <v>4</v>
      </c>
      <c r="C10262" s="4" t="inlineStr">
        <is>
          <t>whitetail</t>
        </is>
      </c>
      <c r="D10262" s="4" t="n">
        <v>2010</v>
      </c>
      <c r="E10262" s="13" t="inlineStr">
        <is>
          <t>General</t>
        </is>
      </c>
      <c r="F10262" s="5" t="n">
        <v>1872</v>
      </c>
      <c r="G10262" s="5" t="n">
        <v>8446</v>
      </c>
      <c r="H10262" s="5" t="n">
        <v>490</v>
      </c>
      <c r="I10262" s="5" t="n">
        <v>256</v>
      </c>
      <c r="J10262" s="5" t="n">
        <v>227</v>
      </c>
      <c r="K10262" s="10">
        <f>IF(F10262&gt;0,H10262/F10262,"")</f>
        <v/>
      </c>
      <c r="L10262" s="16">
        <f>IF(AND(G10262&gt;0,H10262&gt;0),G10262/H10262,"")</f>
        <v/>
      </c>
    </row>
    <row r="10263">
      <c r="A10263" s="4" t="inlineStr">
        <is>
          <t>401</t>
        </is>
      </c>
      <c r="B10263" s="4" t="n">
        <v>4</v>
      </c>
      <c r="C10263" s="4" t="inlineStr">
        <is>
          <t>whitetail</t>
        </is>
      </c>
      <c r="D10263" s="4" t="n">
        <v>2011</v>
      </c>
      <c r="E10263" s="13" t="inlineStr">
        <is>
          <t>General</t>
        </is>
      </c>
      <c r="F10263" s="5" t="n">
        <v>1665</v>
      </c>
      <c r="G10263" s="5" t="n">
        <v>7264</v>
      </c>
      <c r="H10263" s="5" t="n">
        <v>518</v>
      </c>
      <c r="I10263" s="5" t="n">
        <v>218</v>
      </c>
      <c r="J10263" s="5" t="n">
        <v>295</v>
      </c>
      <c r="K10263" s="10">
        <f>IF(F10263&gt;0,H10263/F10263,"")</f>
        <v/>
      </c>
      <c r="L10263" s="16">
        <f>IF(AND(G10263&gt;0,H10263&gt;0),G10263/H10263,"")</f>
        <v/>
      </c>
    </row>
    <row r="10264">
      <c r="A10264" s="4" t="inlineStr">
        <is>
          <t>401</t>
        </is>
      </c>
      <c r="B10264" s="4" t="n">
        <v>4</v>
      </c>
      <c r="C10264" s="4" t="inlineStr">
        <is>
          <t>whitetail</t>
        </is>
      </c>
      <c r="D10264" s="4" t="n">
        <v>2012</v>
      </c>
      <c r="E10264" s="13" t="inlineStr">
        <is>
          <t>General</t>
        </is>
      </c>
      <c r="F10264" s="5" t="n"/>
      <c r="G10264" s="5" t="n"/>
      <c r="H10264" s="5" t="n">
        <v>596</v>
      </c>
      <c r="I10264" s="5" t="n">
        <v>273</v>
      </c>
      <c r="J10264" s="5" t="n">
        <v>315</v>
      </c>
      <c r="K10264" s="10">
        <f>IF(F10264&gt;0,H10264/F10264,"")</f>
        <v/>
      </c>
      <c r="L10264" s="16">
        <f>IF(AND(G10264&gt;0,H10264&gt;0),G10264/H10264,"")</f>
        <v/>
      </c>
    </row>
    <row r="10265">
      <c r="A10265" s="4" t="inlineStr">
        <is>
          <t>401</t>
        </is>
      </c>
      <c r="B10265" s="4" t="n">
        <v>4</v>
      </c>
      <c r="C10265" s="4" t="inlineStr">
        <is>
          <t>whitetail</t>
        </is>
      </c>
      <c r="D10265" s="4" t="n">
        <v>2013</v>
      </c>
      <c r="E10265" s="13" t="inlineStr">
        <is>
          <t>General</t>
        </is>
      </c>
      <c r="F10265" s="5" t="n">
        <v>1467</v>
      </c>
      <c r="G10265" s="5" t="n">
        <v>6605</v>
      </c>
      <c r="H10265" s="5" t="n">
        <v>222</v>
      </c>
      <c r="I10265" s="5" t="n">
        <v>118</v>
      </c>
      <c r="J10265" s="5" t="n">
        <v>102</v>
      </c>
      <c r="K10265" s="10">
        <f>IF(F10265&gt;0,H10265/F10265,"")</f>
        <v/>
      </c>
      <c r="L10265" s="16">
        <f>IF(AND(G10265&gt;0,H10265&gt;0),G10265/H10265,"")</f>
        <v/>
      </c>
    </row>
    <row r="10266">
      <c r="A10266" s="4" t="inlineStr">
        <is>
          <t>401</t>
        </is>
      </c>
      <c r="B10266" s="4" t="n">
        <v>4</v>
      </c>
      <c r="C10266" s="4" t="inlineStr">
        <is>
          <t>whitetail</t>
        </is>
      </c>
      <c r="D10266" s="4" t="n">
        <v>2014</v>
      </c>
      <c r="E10266" s="13" t="inlineStr">
        <is>
          <t>General</t>
        </is>
      </c>
      <c r="F10266" s="5" t="n"/>
      <c r="G10266" s="5" t="n"/>
      <c r="H10266" s="5" t="n">
        <v>195</v>
      </c>
      <c r="I10266" s="5" t="n">
        <v>168</v>
      </c>
      <c r="J10266" s="5" t="n">
        <v>27</v>
      </c>
      <c r="K10266" s="10">
        <f>IF(F10266&gt;0,H10266/F10266,"")</f>
        <v/>
      </c>
      <c r="L10266" s="16">
        <f>IF(AND(G10266&gt;0,H10266&gt;0),G10266/H10266,"")</f>
        <v/>
      </c>
    </row>
    <row r="10267">
      <c r="A10267" s="4" t="inlineStr">
        <is>
          <t>401</t>
        </is>
      </c>
      <c r="B10267" s="4" t="n">
        <v>4</v>
      </c>
      <c r="C10267" s="4" t="inlineStr">
        <is>
          <t>whitetail</t>
        </is>
      </c>
      <c r="D10267" s="4" t="n">
        <v>2015</v>
      </c>
      <c r="E10267" s="13" t="inlineStr">
        <is>
          <t>General</t>
        </is>
      </c>
      <c r="F10267" s="5" t="n"/>
      <c r="G10267" s="5" t="n"/>
      <c r="H10267" s="5" t="n">
        <v>231</v>
      </c>
      <c r="I10267" s="5" t="n">
        <v>218</v>
      </c>
      <c r="J10267" s="5" t="n">
        <v>10</v>
      </c>
      <c r="K10267" s="10">
        <f>IF(F10267&gt;0,H10267/F10267,"")</f>
        <v/>
      </c>
      <c r="L10267" s="16">
        <f>IF(AND(G10267&gt;0,H10267&gt;0),G10267/H10267,"")</f>
        <v/>
      </c>
    </row>
    <row r="10268">
      <c r="A10268" s="4" t="inlineStr">
        <is>
          <t>401</t>
        </is>
      </c>
      <c r="B10268" s="4" t="n">
        <v>4</v>
      </c>
      <c r="C10268" s="4" t="inlineStr">
        <is>
          <t>whitetail</t>
        </is>
      </c>
      <c r="D10268" s="4" t="n">
        <v>2016</v>
      </c>
      <c r="E10268" s="13" t="inlineStr">
        <is>
          <t>General</t>
        </is>
      </c>
      <c r="F10268" s="5" t="n"/>
      <c r="G10268" s="5" t="n"/>
      <c r="H10268" s="5" t="n">
        <v>244</v>
      </c>
      <c r="I10268" s="5" t="n">
        <v>220</v>
      </c>
      <c r="J10268" s="5" t="n">
        <v>18</v>
      </c>
      <c r="K10268" s="10">
        <f>IF(F10268&gt;0,H10268/F10268,"")</f>
        <v/>
      </c>
      <c r="L10268" s="16">
        <f>IF(AND(G10268&gt;0,H10268&gt;0),G10268/H10268,"")</f>
        <v/>
      </c>
    </row>
    <row r="10269">
      <c r="A10269" s="4" t="inlineStr">
        <is>
          <t>401</t>
        </is>
      </c>
      <c r="B10269" s="4" t="n">
        <v>4</v>
      </c>
      <c r="C10269" s="4" t="inlineStr">
        <is>
          <t>whitetail</t>
        </is>
      </c>
      <c r="D10269" s="4" t="n">
        <v>2017</v>
      </c>
      <c r="E10269" s="13" t="inlineStr">
        <is>
          <t>General</t>
        </is>
      </c>
      <c r="F10269" s="5" t="n">
        <v>1597</v>
      </c>
      <c r="G10269" s="5" t="n">
        <v>7044</v>
      </c>
      <c r="H10269" s="5" t="n">
        <v>407</v>
      </c>
      <c r="I10269" s="5" t="n">
        <v>383</v>
      </c>
      <c r="J10269" s="5" t="n">
        <v>22</v>
      </c>
      <c r="K10269" s="10">
        <f>IF(F10269&gt;0,H10269/F10269,"")</f>
        <v/>
      </c>
      <c r="L10269" s="16">
        <f>IF(AND(G10269&gt;0,H10269&gt;0),G10269/H10269,"")</f>
        <v/>
      </c>
    </row>
    <row r="10270">
      <c r="A10270" s="4" t="inlineStr">
        <is>
          <t>401</t>
        </is>
      </c>
      <c r="B10270" s="4" t="n">
        <v>4</v>
      </c>
      <c r="C10270" s="4" t="inlineStr">
        <is>
          <t>whitetail</t>
        </is>
      </c>
      <c r="D10270" s="4" t="n">
        <v>2018</v>
      </c>
      <c r="E10270" s="13" t="inlineStr">
        <is>
          <t>General</t>
        </is>
      </c>
      <c r="F10270" s="5" t="n"/>
      <c r="G10270" s="5" t="n"/>
      <c r="H10270" s="5" t="n">
        <v>393</v>
      </c>
      <c r="I10270" s="5" t="n">
        <v>199</v>
      </c>
      <c r="J10270" s="5" t="n">
        <v>185</v>
      </c>
      <c r="K10270" s="10">
        <f>IF(F10270&gt;0,H10270/F10270,"")</f>
        <v/>
      </c>
      <c r="L10270" s="16">
        <f>IF(AND(G10270&gt;0,H10270&gt;0),G10270/H10270,"")</f>
        <v/>
      </c>
    </row>
    <row r="10271">
      <c r="A10271" s="4" t="inlineStr">
        <is>
          <t>401</t>
        </is>
      </c>
      <c r="B10271" s="4" t="n">
        <v>4</v>
      </c>
      <c r="C10271" s="4" t="inlineStr">
        <is>
          <t>whitetail</t>
        </is>
      </c>
      <c r="D10271" s="4" t="n">
        <v>2019</v>
      </c>
      <c r="E10271" s="13" t="inlineStr">
        <is>
          <t>General</t>
        </is>
      </c>
      <c r="F10271" s="5" t="n">
        <v>1326</v>
      </c>
      <c r="G10271" s="5" t="n">
        <v>5530</v>
      </c>
      <c r="H10271" s="5" t="n">
        <v>346</v>
      </c>
      <c r="I10271" s="5" t="n">
        <v>236</v>
      </c>
      <c r="J10271" s="5" t="n">
        <v>110</v>
      </c>
      <c r="K10271" s="10">
        <f>IF(F10271&gt;0,H10271/F10271,"")</f>
        <v/>
      </c>
      <c r="L10271" s="16">
        <f>IF(AND(G10271&gt;0,H10271&gt;0),G10271/H10271,"")</f>
        <v/>
      </c>
    </row>
    <row r="10272">
      <c r="A10272" s="4" t="inlineStr">
        <is>
          <t>401</t>
        </is>
      </c>
      <c r="B10272" s="4" t="n">
        <v>4</v>
      </c>
      <c r="C10272" s="4" t="inlineStr">
        <is>
          <t>whitetail</t>
        </is>
      </c>
      <c r="D10272" s="4" t="n">
        <v>2020</v>
      </c>
      <c r="E10272" s="13" t="inlineStr">
        <is>
          <t>General</t>
        </is>
      </c>
      <c r="F10272" s="5" t="n"/>
      <c r="G10272" s="5" t="n"/>
      <c r="H10272" s="5" t="n">
        <v>336</v>
      </c>
      <c r="I10272" s="5" t="n">
        <v>209</v>
      </c>
      <c r="J10272" s="5" t="n">
        <v>126</v>
      </c>
      <c r="K10272" s="10">
        <f>IF(F10272&gt;0,H10272/F10272,"")</f>
        <v/>
      </c>
      <c r="L10272" s="16">
        <f>IF(AND(G10272&gt;0,H10272&gt;0),G10272/H10272,"")</f>
        <v/>
      </c>
    </row>
    <row r="10273">
      <c r="A10273" s="4" t="inlineStr">
        <is>
          <t>401</t>
        </is>
      </c>
      <c r="B10273" s="4" t="n">
        <v>4</v>
      </c>
      <c r="C10273" s="4" t="inlineStr">
        <is>
          <t>whitetail</t>
        </is>
      </c>
      <c r="D10273" s="4" t="n">
        <v>2021</v>
      </c>
      <c r="E10273" s="13" t="inlineStr">
        <is>
          <t>General</t>
        </is>
      </c>
      <c r="F10273" s="5" t="n">
        <v>1330</v>
      </c>
      <c r="G10273" s="5" t="n">
        <v>6942</v>
      </c>
      <c r="H10273" s="5" t="n">
        <v>337</v>
      </c>
      <c r="I10273" s="5" t="n">
        <v>190</v>
      </c>
      <c r="J10273" s="5" t="n">
        <v>147</v>
      </c>
      <c r="K10273" s="10">
        <f>IF(F10273&gt;0,H10273/F10273,"")</f>
        <v/>
      </c>
      <c r="L10273" s="16">
        <f>IF(AND(G10273&gt;0,H10273&gt;0),G10273/H10273,"")</f>
        <v/>
      </c>
    </row>
    <row r="10274">
      <c r="A10274" s="4" t="inlineStr">
        <is>
          <t>401</t>
        </is>
      </c>
      <c r="B10274" s="4" t="n">
        <v>4</v>
      </c>
      <c r="C10274" s="4" t="inlineStr">
        <is>
          <t>whitetail</t>
        </is>
      </c>
      <c r="D10274" s="4" t="n">
        <v>2022</v>
      </c>
      <c r="E10274" s="13" t="inlineStr">
        <is>
          <t>General</t>
        </is>
      </c>
      <c r="F10274" s="5" t="n"/>
      <c r="G10274" s="5" t="n"/>
      <c r="H10274" s="5" t="n">
        <v>406</v>
      </c>
      <c r="I10274" s="5" t="n">
        <v>266</v>
      </c>
      <c r="J10274" s="5" t="n">
        <v>136</v>
      </c>
      <c r="K10274" s="10">
        <f>IF(F10274&gt;0,H10274/F10274,"")</f>
        <v/>
      </c>
      <c r="L10274" s="16">
        <f>IF(AND(G10274&gt;0,H10274&gt;0),G10274/H10274,"")</f>
        <v/>
      </c>
    </row>
    <row r="10275">
      <c r="A10275" s="4" t="inlineStr">
        <is>
          <t>401</t>
        </is>
      </c>
      <c r="B10275" s="4" t="n">
        <v>4</v>
      </c>
      <c r="C10275" s="4" t="inlineStr">
        <is>
          <t>whitetail</t>
        </is>
      </c>
      <c r="D10275" s="4" t="n">
        <v>2023</v>
      </c>
      <c r="E10275" s="13" t="inlineStr">
        <is>
          <t>General</t>
        </is>
      </c>
      <c r="F10275" s="5" t="n">
        <v>1392</v>
      </c>
      <c r="G10275" s="5" t="n">
        <v>7224</v>
      </c>
      <c r="H10275" s="5" t="n">
        <v>320</v>
      </c>
      <c r="I10275" s="5" t="n">
        <v>186</v>
      </c>
      <c r="J10275" s="5" t="n">
        <v>131</v>
      </c>
      <c r="K10275" s="10">
        <f>IF(F10275&gt;0,H10275/F10275,"")</f>
        <v/>
      </c>
      <c r="L10275" s="16">
        <f>IF(AND(G10275&gt;0,H10275&gt;0),G10275/H10275,"")</f>
        <v/>
      </c>
    </row>
    <row r="10276">
      <c r="A10276" s="4" t="inlineStr">
        <is>
          <t>401</t>
        </is>
      </c>
      <c r="B10276" s="4" t="n">
        <v>4</v>
      </c>
      <c r="C10276" s="4" t="inlineStr">
        <is>
          <t>whitetail</t>
        </is>
      </c>
      <c r="D10276" s="4" t="n">
        <v>2024</v>
      </c>
      <c r="E10276" s="13" t="inlineStr">
        <is>
          <t>General</t>
        </is>
      </c>
      <c r="F10276" s="5" t="n"/>
      <c r="G10276" s="5" t="n"/>
      <c r="H10276" s="5" t="n">
        <v>272</v>
      </c>
      <c r="I10276" s="5" t="n">
        <v>154</v>
      </c>
      <c r="J10276" s="5" t="n">
        <v>119</v>
      </c>
      <c r="K10276" s="10">
        <f>IF(F10276&gt;0,H10276/F10276,"")</f>
        <v/>
      </c>
      <c r="L10276" s="16">
        <f>IF(AND(G10276&gt;0,H10276&gt;0),G10276/H10276,"")</f>
        <v/>
      </c>
    </row>
    <row r="10277">
      <c r="A10277" s="4" t="inlineStr">
        <is>
          <t>401</t>
        </is>
      </c>
      <c r="B10277" s="4" t="n">
        <v>4</v>
      </c>
      <c r="C10277" s="4" t="inlineStr">
        <is>
          <t>whitetail</t>
        </is>
      </c>
      <c r="D10277" s="4" t="n">
        <v>2025</v>
      </c>
      <c r="E10277" s="13" t="inlineStr">
        <is>
          <t>General</t>
        </is>
      </c>
      <c r="F10277" s="5" t="n">
        <v>1204</v>
      </c>
      <c r="G10277" s="5" t="n">
        <v>6225</v>
      </c>
      <c r="H10277" s="5" t="n">
        <v>291</v>
      </c>
      <c r="I10277" s="5" t="n">
        <v>165</v>
      </c>
      <c r="J10277" s="5" t="n">
        <v>126</v>
      </c>
      <c r="K10277" s="10">
        <f>IF(F10277&gt;0,H10277/F10277,"")</f>
        <v/>
      </c>
      <c r="L10277" s="16">
        <f>IF(AND(G10277&gt;0,H10277&gt;0),G10277/H10277,"")</f>
        <v/>
      </c>
    </row>
    <row r="10278">
      <c r="A10278" s="4" t="inlineStr">
        <is>
          <t>403</t>
        </is>
      </c>
      <c r="B10278" s="4" t="n">
        <v>4</v>
      </c>
      <c r="C10278" s="4" t="inlineStr">
        <is>
          <t>whitetail</t>
        </is>
      </c>
      <c r="D10278" s="4" t="n">
        <v>2004</v>
      </c>
      <c r="E10278" s="13" t="inlineStr">
        <is>
          <t>General</t>
        </is>
      </c>
      <c r="F10278" s="5" t="n">
        <v>172</v>
      </c>
      <c r="G10278" s="5" t="n">
        <v>609</v>
      </c>
      <c r="H10278" s="5" t="n">
        <v>39</v>
      </c>
      <c r="I10278" s="5" t="n">
        <v>17</v>
      </c>
      <c r="J10278" s="5" t="n">
        <v>22</v>
      </c>
      <c r="K10278" s="10">
        <f>IF(F10278&gt;0,H10278/F10278,"")</f>
        <v/>
      </c>
      <c r="L10278" s="16">
        <f>IF(AND(G10278&gt;0,H10278&gt;0),G10278/H10278,"")</f>
        <v/>
      </c>
    </row>
    <row r="10279">
      <c r="A10279" s="4" t="inlineStr">
        <is>
          <t>403</t>
        </is>
      </c>
      <c r="B10279" s="4" t="n">
        <v>4</v>
      </c>
      <c r="C10279" s="4" t="inlineStr">
        <is>
          <t>whitetail</t>
        </is>
      </c>
      <c r="D10279" s="4" t="n">
        <v>2005</v>
      </c>
      <c r="E10279" s="13" t="inlineStr">
        <is>
          <t>General</t>
        </is>
      </c>
      <c r="F10279" s="5" t="n">
        <v>155</v>
      </c>
      <c r="G10279" s="5" t="n">
        <v>659</v>
      </c>
      <c r="H10279" s="5" t="n">
        <v>34</v>
      </c>
      <c r="I10279" s="5" t="n">
        <v>21</v>
      </c>
      <c r="J10279" s="5" t="n">
        <v>13</v>
      </c>
      <c r="K10279" s="10">
        <f>IF(F10279&gt;0,H10279/F10279,"")</f>
        <v/>
      </c>
      <c r="L10279" s="16">
        <f>IF(AND(G10279&gt;0,H10279&gt;0),G10279/H10279,"")</f>
        <v/>
      </c>
    </row>
    <row r="10280">
      <c r="A10280" s="4" t="inlineStr">
        <is>
          <t>403</t>
        </is>
      </c>
      <c r="B10280" s="4" t="n">
        <v>4</v>
      </c>
      <c r="C10280" s="4" t="inlineStr">
        <is>
          <t>whitetail</t>
        </is>
      </c>
      <c r="D10280" s="4" t="n">
        <v>2006</v>
      </c>
      <c r="E10280" s="13" t="inlineStr">
        <is>
          <t>General</t>
        </is>
      </c>
      <c r="F10280" s="5" t="n">
        <v>235</v>
      </c>
      <c r="G10280" s="5" t="n">
        <v>961</v>
      </c>
      <c r="H10280" s="5" t="n">
        <v>74</v>
      </c>
      <c r="I10280" s="5" t="n">
        <v>41</v>
      </c>
      <c r="J10280" s="5" t="n">
        <v>33</v>
      </c>
      <c r="K10280" s="10">
        <f>IF(F10280&gt;0,H10280/F10280,"")</f>
        <v/>
      </c>
      <c r="L10280" s="16">
        <f>IF(AND(G10280&gt;0,H10280&gt;0),G10280/H10280,"")</f>
        <v/>
      </c>
    </row>
    <row r="10281">
      <c r="A10281" s="4" t="inlineStr">
        <is>
          <t>403</t>
        </is>
      </c>
      <c r="B10281" s="4" t="n">
        <v>4</v>
      </c>
      <c r="C10281" s="4" t="inlineStr">
        <is>
          <t>whitetail</t>
        </is>
      </c>
      <c r="D10281" s="4" t="n">
        <v>2007</v>
      </c>
      <c r="E10281" s="13" t="inlineStr">
        <is>
          <t>General</t>
        </is>
      </c>
      <c r="F10281" s="5" t="n">
        <v>231</v>
      </c>
      <c r="G10281" s="5" t="n">
        <v>680</v>
      </c>
      <c r="H10281" s="5" t="n">
        <v>57</v>
      </c>
      <c r="I10281" s="5" t="n">
        <v>48</v>
      </c>
      <c r="J10281" s="5" t="n">
        <v>10</v>
      </c>
      <c r="K10281" s="10">
        <f>IF(F10281&gt;0,H10281/F10281,"")</f>
        <v/>
      </c>
      <c r="L10281" s="16">
        <f>IF(AND(G10281&gt;0,H10281&gt;0),G10281/H10281,"")</f>
        <v/>
      </c>
    </row>
    <row r="10282">
      <c r="A10282" s="4" t="inlineStr">
        <is>
          <t>403</t>
        </is>
      </c>
      <c r="B10282" s="4" t="n">
        <v>4</v>
      </c>
      <c r="C10282" s="4" t="inlineStr">
        <is>
          <t>whitetail</t>
        </is>
      </c>
      <c r="D10282" s="4" t="n">
        <v>2008</v>
      </c>
      <c r="E10282" s="13" t="inlineStr">
        <is>
          <t>General</t>
        </is>
      </c>
      <c r="F10282" s="5" t="n">
        <v>286</v>
      </c>
      <c r="G10282" s="5" t="n">
        <v>1266</v>
      </c>
      <c r="H10282" s="5" t="n">
        <v>69</v>
      </c>
      <c r="I10282" s="5" t="n">
        <v>39</v>
      </c>
      <c r="J10282" s="5" t="n">
        <v>30</v>
      </c>
      <c r="K10282" s="10">
        <f>IF(F10282&gt;0,H10282/F10282,"")</f>
        <v/>
      </c>
      <c r="L10282" s="16">
        <f>IF(AND(G10282&gt;0,H10282&gt;0),G10282/H10282,"")</f>
        <v/>
      </c>
    </row>
    <row r="10283">
      <c r="A10283" s="4" t="inlineStr">
        <is>
          <t>403</t>
        </is>
      </c>
      <c r="B10283" s="4" t="n">
        <v>4</v>
      </c>
      <c r="C10283" s="4" t="inlineStr">
        <is>
          <t>whitetail</t>
        </is>
      </c>
      <c r="D10283" s="4" t="n">
        <v>2009</v>
      </c>
      <c r="E10283" s="13" t="inlineStr">
        <is>
          <t>General</t>
        </is>
      </c>
      <c r="F10283" s="5" t="n">
        <v>297</v>
      </c>
      <c r="G10283" s="5" t="n">
        <v>1165</v>
      </c>
      <c r="H10283" s="5" t="n">
        <v>71</v>
      </c>
      <c r="I10283" s="5" t="n">
        <v>50</v>
      </c>
      <c r="J10283" s="5" t="n">
        <v>21</v>
      </c>
      <c r="K10283" s="10">
        <f>IF(F10283&gt;0,H10283/F10283,"")</f>
        <v/>
      </c>
      <c r="L10283" s="16">
        <f>IF(AND(G10283&gt;0,H10283&gt;0),G10283/H10283,"")</f>
        <v/>
      </c>
    </row>
    <row r="10284">
      <c r="A10284" s="4" t="inlineStr">
        <is>
          <t>403</t>
        </is>
      </c>
      <c r="B10284" s="4" t="n">
        <v>4</v>
      </c>
      <c r="C10284" s="4" t="inlineStr">
        <is>
          <t>whitetail</t>
        </is>
      </c>
      <c r="D10284" s="4" t="n">
        <v>2010</v>
      </c>
      <c r="E10284" s="13" t="inlineStr">
        <is>
          <t>General</t>
        </is>
      </c>
      <c r="F10284" s="5" t="n">
        <v>297</v>
      </c>
      <c r="G10284" s="5" t="n">
        <v>1158</v>
      </c>
      <c r="H10284" s="5" t="n">
        <v>65</v>
      </c>
      <c r="I10284" s="5" t="n">
        <v>31</v>
      </c>
      <c r="J10284" s="5" t="n">
        <v>34</v>
      </c>
      <c r="K10284" s="10">
        <f>IF(F10284&gt;0,H10284/F10284,"")</f>
        <v/>
      </c>
      <c r="L10284" s="16">
        <f>IF(AND(G10284&gt;0,H10284&gt;0),G10284/H10284,"")</f>
        <v/>
      </c>
    </row>
    <row r="10285">
      <c r="A10285" s="4" t="inlineStr">
        <is>
          <t>403</t>
        </is>
      </c>
      <c r="B10285" s="4" t="n">
        <v>4</v>
      </c>
      <c r="C10285" s="4" t="inlineStr">
        <is>
          <t>whitetail</t>
        </is>
      </c>
      <c r="D10285" s="4" t="n">
        <v>2011</v>
      </c>
      <c r="E10285" s="13" t="inlineStr">
        <is>
          <t>General</t>
        </is>
      </c>
      <c r="F10285" s="5" t="n">
        <v>377</v>
      </c>
      <c r="G10285" s="5" t="n">
        <v>1527</v>
      </c>
      <c r="H10285" s="5" t="n">
        <v>73</v>
      </c>
      <c r="I10285" s="5" t="n">
        <v>45</v>
      </c>
      <c r="J10285" s="5" t="n">
        <v>25</v>
      </c>
      <c r="K10285" s="10">
        <f>IF(F10285&gt;0,H10285/F10285,"")</f>
        <v/>
      </c>
      <c r="L10285" s="16">
        <f>IF(AND(G10285&gt;0,H10285&gt;0),G10285/H10285,"")</f>
        <v/>
      </c>
    </row>
    <row r="10286">
      <c r="A10286" s="4" t="inlineStr">
        <is>
          <t>403</t>
        </is>
      </c>
      <c r="B10286" s="4" t="n">
        <v>4</v>
      </c>
      <c r="C10286" s="4" t="inlineStr">
        <is>
          <t>whitetail</t>
        </is>
      </c>
      <c r="D10286" s="4" t="n">
        <v>2012</v>
      </c>
      <c r="E10286" s="13" t="inlineStr">
        <is>
          <t>General</t>
        </is>
      </c>
      <c r="F10286" s="5" t="n"/>
      <c r="G10286" s="5" t="n"/>
      <c r="H10286" s="5" t="n">
        <v>104</v>
      </c>
      <c r="I10286" s="5" t="n">
        <v>48</v>
      </c>
      <c r="J10286" s="5" t="n">
        <v>57</v>
      </c>
      <c r="K10286" s="10">
        <f>IF(F10286&gt;0,H10286/F10286,"")</f>
        <v/>
      </c>
      <c r="L10286" s="16">
        <f>IF(AND(G10286&gt;0,H10286&gt;0),G10286/H10286,"")</f>
        <v/>
      </c>
    </row>
    <row r="10287">
      <c r="A10287" s="4" t="inlineStr">
        <is>
          <t>403</t>
        </is>
      </c>
      <c r="B10287" s="4" t="n">
        <v>4</v>
      </c>
      <c r="C10287" s="4" t="inlineStr">
        <is>
          <t>whitetail</t>
        </is>
      </c>
      <c r="D10287" s="4" t="n">
        <v>2013</v>
      </c>
      <c r="E10287" s="13" t="inlineStr">
        <is>
          <t>General</t>
        </is>
      </c>
      <c r="F10287" s="5" t="n">
        <v>364</v>
      </c>
      <c r="G10287" s="5" t="n">
        <v>1734</v>
      </c>
      <c r="H10287" s="5" t="n">
        <v>22</v>
      </c>
      <c r="I10287" s="5" t="n">
        <v>8</v>
      </c>
      <c r="J10287" s="5" t="n">
        <v>14</v>
      </c>
      <c r="K10287" s="10">
        <f>IF(F10287&gt;0,H10287/F10287,"")</f>
        <v/>
      </c>
      <c r="L10287" s="16">
        <f>IF(AND(G10287&gt;0,H10287&gt;0),G10287/H10287,"")</f>
        <v/>
      </c>
    </row>
    <row r="10288">
      <c r="A10288" s="4" t="inlineStr">
        <is>
          <t>403</t>
        </is>
      </c>
      <c r="B10288" s="4" t="n">
        <v>4</v>
      </c>
      <c r="C10288" s="4" t="inlineStr">
        <is>
          <t>whitetail</t>
        </is>
      </c>
      <c r="D10288" s="4" t="n">
        <v>2014</v>
      </c>
      <c r="E10288" s="13" t="inlineStr">
        <is>
          <t>General</t>
        </is>
      </c>
      <c r="F10288" s="5" t="n"/>
      <c r="G10288" s="5" t="n"/>
      <c r="H10288" s="5" t="n">
        <v>52</v>
      </c>
      <c r="I10288" s="5" t="n">
        <v>31</v>
      </c>
      <c r="J10288" s="5" t="n">
        <v>18</v>
      </c>
      <c r="K10288" s="10">
        <f>IF(F10288&gt;0,H10288/F10288,"")</f>
        <v/>
      </c>
      <c r="L10288" s="16">
        <f>IF(AND(G10288&gt;0,H10288&gt;0),G10288/H10288,"")</f>
        <v/>
      </c>
    </row>
    <row r="10289">
      <c r="A10289" s="4" t="inlineStr">
        <is>
          <t>403</t>
        </is>
      </c>
      <c r="B10289" s="4" t="n">
        <v>4</v>
      </c>
      <c r="C10289" s="4" t="inlineStr">
        <is>
          <t>whitetail</t>
        </is>
      </c>
      <c r="D10289" s="4" t="n">
        <v>2015</v>
      </c>
      <c r="E10289" s="13" t="inlineStr">
        <is>
          <t>General</t>
        </is>
      </c>
      <c r="F10289" s="5" t="n"/>
      <c r="G10289" s="5" t="n"/>
      <c r="H10289" s="5" t="n">
        <v>45</v>
      </c>
      <c r="I10289" s="5" t="n">
        <v>29</v>
      </c>
      <c r="J10289" s="5" t="n">
        <v>16</v>
      </c>
      <c r="K10289" s="10">
        <f>IF(F10289&gt;0,H10289/F10289,"")</f>
        <v/>
      </c>
      <c r="L10289" s="16">
        <f>IF(AND(G10289&gt;0,H10289&gt;0),G10289/H10289,"")</f>
        <v/>
      </c>
    </row>
    <row r="10290">
      <c r="A10290" s="4" t="inlineStr">
        <is>
          <t>403</t>
        </is>
      </c>
      <c r="B10290" s="4" t="n">
        <v>4</v>
      </c>
      <c r="C10290" s="4" t="inlineStr">
        <is>
          <t>whitetail</t>
        </is>
      </c>
      <c r="D10290" s="4" t="n">
        <v>2016</v>
      </c>
      <c r="E10290" s="13" t="inlineStr">
        <is>
          <t>General</t>
        </is>
      </c>
      <c r="F10290" s="5" t="n"/>
      <c r="G10290" s="5" t="n"/>
      <c r="H10290" s="5" t="n">
        <v>45</v>
      </c>
      <c r="I10290" s="5" t="n">
        <v>36</v>
      </c>
      <c r="J10290" s="5" t="n">
        <v>9</v>
      </c>
      <c r="K10290" s="10">
        <f>IF(F10290&gt;0,H10290/F10290,"")</f>
        <v/>
      </c>
      <c r="L10290" s="16">
        <f>IF(AND(G10290&gt;0,H10290&gt;0),G10290/H10290,"")</f>
        <v/>
      </c>
    </row>
    <row r="10291">
      <c r="A10291" s="4" t="inlineStr">
        <is>
          <t>403</t>
        </is>
      </c>
      <c r="B10291" s="4" t="n">
        <v>4</v>
      </c>
      <c r="C10291" s="4" t="inlineStr">
        <is>
          <t>whitetail</t>
        </is>
      </c>
      <c r="D10291" s="4" t="n">
        <v>2017</v>
      </c>
      <c r="E10291" s="13" t="inlineStr">
        <is>
          <t>General</t>
        </is>
      </c>
      <c r="F10291" s="5" t="n">
        <v>466</v>
      </c>
      <c r="G10291" s="5" t="n">
        <v>1894</v>
      </c>
      <c r="H10291" s="5" t="n">
        <v>65</v>
      </c>
      <c r="I10291" s="5" t="n">
        <v>47</v>
      </c>
      <c r="J10291" s="5" t="n">
        <v>18</v>
      </c>
      <c r="K10291" s="10">
        <f>IF(F10291&gt;0,H10291/F10291,"")</f>
        <v/>
      </c>
      <c r="L10291" s="16">
        <f>IF(AND(G10291&gt;0,H10291&gt;0),G10291/H10291,"")</f>
        <v/>
      </c>
    </row>
    <row r="10292">
      <c r="A10292" s="4" t="inlineStr">
        <is>
          <t>403</t>
        </is>
      </c>
      <c r="B10292" s="4" t="n">
        <v>4</v>
      </c>
      <c r="C10292" s="4" t="inlineStr">
        <is>
          <t>whitetail</t>
        </is>
      </c>
      <c r="D10292" s="4" t="n">
        <v>2018</v>
      </c>
      <c r="E10292" s="13" t="inlineStr">
        <is>
          <t>General</t>
        </is>
      </c>
      <c r="F10292" s="5" t="n"/>
      <c r="G10292" s="5" t="n"/>
      <c r="H10292" s="5" t="n">
        <v>93</v>
      </c>
      <c r="I10292" s="5" t="n">
        <v>60</v>
      </c>
      <c r="J10292" s="5" t="n">
        <v>33</v>
      </c>
      <c r="K10292" s="10">
        <f>IF(F10292&gt;0,H10292/F10292,"")</f>
        <v/>
      </c>
      <c r="L10292" s="16">
        <f>IF(AND(G10292&gt;0,H10292&gt;0),G10292/H10292,"")</f>
        <v/>
      </c>
    </row>
    <row r="10293">
      <c r="A10293" s="4" t="inlineStr">
        <is>
          <t>403</t>
        </is>
      </c>
      <c r="B10293" s="4" t="n">
        <v>4</v>
      </c>
      <c r="C10293" s="4" t="inlineStr">
        <is>
          <t>whitetail</t>
        </is>
      </c>
      <c r="D10293" s="4" t="n">
        <v>2019</v>
      </c>
      <c r="E10293" s="13" t="inlineStr">
        <is>
          <t>General</t>
        </is>
      </c>
      <c r="F10293" s="5" t="n">
        <v>416</v>
      </c>
      <c r="G10293" s="5" t="n">
        <v>1646</v>
      </c>
      <c r="H10293" s="5" t="n">
        <v>78</v>
      </c>
      <c r="I10293" s="5" t="n">
        <v>40</v>
      </c>
      <c r="J10293" s="5" t="n">
        <v>35</v>
      </c>
      <c r="K10293" s="10">
        <f>IF(F10293&gt;0,H10293/F10293,"")</f>
        <v/>
      </c>
      <c r="L10293" s="16">
        <f>IF(AND(G10293&gt;0,H10293&gt;0),G10293/H10293,"")</f>
        <v/>
      </c>
    </row>
    <row r="10294">
      <c r="A10294" s="4" t="inlineStr">
        <is>
          <t>403</t>
        </is>
      </c>
      <c r="B10294" s="4" t="n">
        <v>4</v>
      </c>
      <c r="C10294" s="4" t="inlineStr">
        <is>
          <t>whitetail</t>
        </is>
      </c>
      <c r="D10294" s="4" t="n">
        <v>2020</v>
      </c>
      <c r="E10294" s="13" t="inlineStr">
        <is>
          <t>General</t>
        </is>
      </c>
      <c r="F10294" s="5" t="n"/>
      <c r="G10294" s="5" t="n"/>
      <c r="H10294" s="5" t="n">
        <v>108</v>
      </c>
      <c r="I10294" s="5" t="n">
        <v>76</v>
      </c>
      <c r="J10294" s="5" t="n">
        <v>32</v>
      </c>
      <c r="K10294" s="10">
        <f>IF(F10294&gt;0,H10294/F10294,"")</f>
        <v/>
      </c>
      <c r="L10294" s="16">
        <f>IF(AND(G10294&gt;0,H10294&gt;0),G10294/H10294,"")</f>
        <v/>
      </c>
    </row>
    <row r="10295">
      <c r="A10295" s="4" t="inlineStr">
        <is>
          <t>403</t>
        </is>
      </c>
      <c r="B10295" s="4" t="n">
        <v>4</v>
      </c>
      <c r="C10295" s="4" t="inlineStr">
        <is>
          <t>whitetail</t>
        </is>
      </c>
      <c r="D10295" s="4" t="n">
        <v>2021</v>
      </c>
      <c r="E10295" s="13" t="inlineStr">
        <is>
          <t>General</t>
        </is>
      </c>
      <c r="F10295" s="5" t="n">
        <v>416</v>
      </c>
      <c r="G10295" s="5" t="n">
        <v>2110</v>
      </c>
      <c r="H10295" s="5" t="n">
        <v>55</v>
      </c>
      <c r="I10295" s="5" t="n">
        <v>43</v>
      </c>
      <c r="J10295" s="5" t="n">
        <v>11</v>
      </c>
      <c r="K10295" s="10">
        <f>IF(F10295&gt;0,H10295/F10295,"")</f>
        <v/>
      </c>
      <c r="L10295" s="16">
        <f>IF(AND(G10295&gt;0,H10295&gt;0),G10295/H10295,"")</f>
        <v/>
      </c>
    </row>
    <row r="10296">
      <c r="A10296" s="4" t="inlineStr">
        <is>
          <t>403</t>
        </is>
      </c>
      <c r="B10296" s="4" t="n">
        <v>4</v>
      </c>
      <c r="C10296" s="4" t="inlineStr">
        <is>
          <t>whitetail</t>
        </is>
      </c>
      <c r="D10296" s="4" t="n">
        <v>2022</v>
      </c>
      <c r="E10296" s="13" t="inlineStr">
        <is>
          <t>General</t>
        </is>
      </c>
      <c r="F10296" s="5" t="n"/>
      <c r="G10296" s="5" t="n"/>
      <c r="H10296" s="5" t="n">
        <v>68</v>
      </c>
      <c r="I10296" s="5" t="n">
        <v>44</v>
      </c>
      <c r="J10296" s="5" t="n">
        <v>25</v>
      </c>
      <c r="K10296" s="10">
        <f>IF(F10296&gt;0,H10296/F10296,"")</f>
        <v/>
      </c>
      <c r="L10296" s="16">
        <f>IF(AND(G10296&gt;0,H10296&gt;0),G10296/H10296,"")</f>
        <v/>
      </c>
    </row>
    <row r="10297">
      <c r="A10297" s="4" t="inlineStr">
        <is>
          <t>403</t>
        </is>
      </c>
      <c r="B10297" s="4" t="n">
        <v>4</v>
      </c>
      <c r="C10297" s="4" t="inlineStr">
        <is>
          <t>whitetail</t>
        </is>
      </c>
      <c r="D10297" s="4" t="n">
        <v>2023</v>
      </c>
      <c r="E10297" s="13" t="inlineStr">
        <is>
          <t>General</t>
        </is>
      </c>
      <c r="F10297" s="5" t="n">
        <v>461</v>
      </c>
      <c r="G10297" s="5" t="n">
        <v>2284</v>
      </c>
      <c r="H10297" s="5" t="n">
        <v>64</v>
      </c>
      <c r="I10297" s="5" t="n">
        <v>38</v>
      </c>
      <c r="J10297" s="5" t="n">
        <v>26</v>
      </c>
      <c r="K10297" s="10">
        <f>IF(F10297&gt;0,H10297/F10297,"")</f>
        <v/>
      </c>
      <c r="L10297" s="16">
        <f>IF(AND(G10297&gt;0,H10297&gt;0),G10297/H10297,"")</f>
        <v/>
      </c>
    </row>
    <row r="10298">
      <c r="A10298" s="4" t="inlineStr">
        <is>
          <t>403</t>
        </is>
      </c>
      <c r="B10298" s="4" t="n">
        <v>4</v>
      </c>
      <c r="C10298" s="4" t="inlineStr">
        <is>
          <t>whitetail</t>
        </is>
      </c>
      <c r="D10298" s="4" t="n">
        <v>2024</v>
      </c>
      <c r="E10298" s="13" t="inlineStr">
        <is>
          <t>General</t>
        </is>
      </c>
      <c r="F10298" s="5" t="n"/>
      <c r="G10298" s="5" t="n"/>
      <c r="H10298" s="5" t="n">
        <v>99</v>
      </c>
      <c r="I10298" s="5" t="n">
        <v>62</v>
      </c>
      <c r="J10298" s="5" t="n">
        <v>37</v>
      </c>
      <c r="K10298" s="10">
        <f>IF(F10298&gt;0,H10298/F10298,"")</f>
        <v/>
      </c>
      <c r="L10298" s="16">
        <f>IF(AND(G10298&gt;0,H10298&gt;0),G10298/H10298,"")</f>
        <v/>
      </c>
    </row>
    <row r="10299">
      <c r="A10299" s="4" t="inlineStr">
        <is>
          <t>403</t>
        </is>
      </c>
      <c r="B10299" s="4" t="n">
        <v>4</v>
      </c>
      <c r="C10299" s="4" t="inlineStr">
        <is>
          <t>whitetail</t>
        </is>
      </c>
      <c r="D10299" s="4" t="n">
        <v>2025</v>
      </c>
      <c r="E10299" s="13" t="inlineStr">
        <is>
          <t>General</t>
        </is>
      </c>
      <c r="F10299" s="5" t="n">
        <v>418</v>
      </c>
      <c r="G10299" s="5" t="n">
        <v>2149</v>
      </c>
      <c r="H10299" s="5" t="n">
        <v>42</v>
      </c>
      <c r="I10299" s="5" t="n">
        <v>22</v>
      </c>
      <c r="J10299" s="5" t="n">
        <v>20</v>
      </c>
      <c r="K10299" s="10">
        <f>IF(F10299&gt;0,H10299/F10299,"")</f>
        <v/>
      </c>
      <c r="L10299" s="16">
        <f>IF(AND(G10299&gt;0,H10299&gt;0),G10299/H10299,"")</f>
        <v/>
      </c>
    </row>
    <row r="10300">
      <c r="A10300" s="4" t="inlineStr">
        <is>
          <t>404</t>
        </is>
      </c>
      <c r="B10300" s="4" t="n">
        <v>4</v>
      </c>
      <c r="C10300" s="4" t="inlineStr">
        <is>
          <t>whitetail</t>
        </is>
      </c>
      <c r="D10300" s="4" t="n">
        <v>2004</v>
      </c>
      <c r="E10300" s="13" t="inlineStr">
        <is>
          <t>General</t>
        </is>
      </c>
      <c r="F10300" s="5" t="n">
        <v>2678</v>
      </c>
      <c r="G10300" s="5" t="n">
        <v>10546</v>
      </c>
      <c r="H10300" s="5" t="n">
        <v>986</v>
      </c>
      <c r="I10300" s="5" t="n">
        <v>492</v>
      </c>
      <c r="J10300" s="5" t="n">
        <v>464</v>
      </c>
      <c r="K10300" s="10">
        <f>IF(F10300&gt;0,H10300/F10300,"")</f>
        <v/>
      </c>
      <c r="L10300" s="16">
        <f>IF(AND(G10300&gt;0,H10300&gt;0),G10300/H10300,"")</f>
        <v/>
      </c>
    </row>
    <row r="10301">
      <c r="A10301" s="4" t="inlineStr">
        <is>
          <t>404</t>
        </is>
      </c>
      <c r="B10301" s="4" t="n">
        <v>4</v>
      </c>
      <c r="C10301" s="4" t="inlineStr">
        <is>
          <t>whitetail</t>
        </is>
      </c>
      <c r="D10301" s="4" t="n">
        <v>2005</v>
      </c>
      <c r="E10301" s="13" t="inlineStr">
        <is>
          <t>General</t>
        </is>
      </c>
      <c r="F10301" s="5" t="n">
        <v>2927</v>
      </c>
      <c r="G10301" s="5" t="n">
        <v>12200</v>
      </c>
      <c r="H10301" s="5" t="n">
        <v>1110</v>
      </c>
      <c r="I10301" s="5" t="n">
        <v>458</v>
      </c>
      <c r="J10301" s="5" t="n">
        <v>638</v>
      </c>
      <c r="K10301" s="10">
        <f>IF(F10301&gt;0,H10301/F10301,"")</f>
        <v/>
      </c>
      <c r="L10301" s="16">
        <f>IF(AND(G10301&gt;0,H10301&gt;0),G10301/H10301,"")</f>
        <v/>
      </c>
    </row>
    <row r="10302">
      <c r="A10302" s="4" t="inlineStr">
        <is>
          <t>404</t>
        </is>
      </c>
      <c r="B10302" s="4" t="n">
        <v>4</v>
      </c>
      <c r="C10302" s="4" t="inlineStr">
        <is>
          <t>whitetail</t>
        </is>
      </c>
      <c r="D10302" s="4" t="n">
        <v>2006</v>
      </c>
      <c r="E10302" s="13" t="inlineStr">
        <is>
          <t>General</t>
        </is>
      </c>
      <c r="F10302" s="5" t="n">
        <v>2402</v>
      </c>
      <c r="G10302" s="5" t="n">
        <v>11058</v>
      </c>
      <c r="H10302" s="5" t="n">
        <v>1102</v>
      </c>
      <c r="I10302" s="5" t="n">
        <v>643</v>
      </c>
      <c r="J10302" s="5" t="n">
        <v>448</v>
      </c>
      <c r="K10302" s="10">
        <f>IF(F10302&gt;0,H10302/F10302,"")</f>
        <v/>
      </c>
      <c r="L10302" s="16">
        <f>IF(AND(G10302&gt;0,H10302&gt;0),G10302/H10302,"")</f>
        <v/>
      </c>
    </row>
    <row r="10303">
      <c r="A10303" s="4" t="inlineStr">
        <is>
          <t>404</t>
        </is>
      </c>
      <c r="B10303" s="4" t="n">
        <v>4</v>
      </c>
      <c r="C10303" s="4" t="inlineStr">
        <is>
          <t>whitetail</t>
        </is>
      </c>
      <c r="D10303" s="4" t="n">
        <v>2007</v>
      </c>
      <c r="E10303" s="13" t="inlineStr">
        <is>
          <t>General</t>
        </is>
      </c>
      <c r="F10303" s="5" t="n">
        <v>2521</v>
      </c>
      <c r="G10303" s="5" t="n">
        <v>10922</v>
      </c>
      <c r="H10303" s="5" t="n">
        <v>984</v>
      </c>
      <c r="I10303" s="5" t="n">
        <v>428</v>
      </c>
      <c r="J10303" s="5" t="n">
        <v>546</v>
      </c>
      <c r="K10303" s="10">
        <f>IF(F10303&gt;0,H10303/F10303,"")</f>
        <v/>
      </c>
      <c r="L10303" s="16">
        <f>IF(AND(G10303&gt;0,H10303&gt;0),G10303/H10303,"")</f>
        <v/>
      </c>
    </row>
    <row r="10304">
      <c r="A10304" s="4" t="inlineStr">
        <is>
          <t>404</t>
        </is>
      </c>
      <c r="B10304" s="4" t="n">
        <v>4</v>
      </c>
      <c r="C10304" s="4" t="inlineStr">
        <is>
          <t>whitetail</t>
        </is>
      </c>
      <c r="D10304" s="4" t="n">
        <v>2008</v>
      </c>
      <c r="E10304" s="13" t="inlineStr">
        <is>
          <t>General</t>
        </is>
      </c>
      <c r="F10304" s="5" t="n">
        <v>2549</v>
      </c>
      <c r="G10304" s="5" t="n">
        <v>11872</v>
      </c>
      <c r="H10304" s="5" t="n">
        <v>981</v>
      </c>
      <c r="I10304" s="5" t="n">
        <v>536</v>
      </c>
      <c r="J10304" s="5" t="n">
        <v>427</v>
      </c>
      <c r="K10304" s="10">
        <f>IF(F10304&gt;0,H10304/F10304,"")</f>
        <v/>
      </c>
      <c r="L10304" s="16">
        <f>IF(AND(G10304&gt;0,H10304&gt;0),G10304/H10304,"")</f>
        <v/>
      </c>
    </row>
    <row r="10305">
      <c r="A10305" s="4" t="inlineStr">
        <is>
          <t>404</t>
        </is>
      </c>
      <c r="B10305" s="4" t="n">
        <v>4</v>
      </c>
      <c r="C10305" s="4" t="inlineStr">
        <is>
          <t>whitetail</t>
        </is>
      </c>
      <c r="D10305" s="4" t="n">
        <v>2009</v>
      </c>
      <c r="E10305" s="13" t="inlineStr">
        <is>
          <t>General</t>
        </is>
      </c>
      <c r="F10305" s="5" t="n">
        <v>2848</v>
      </c>
      <c r="G10305" s="5" t="n">
        <v>14030</v>
      </c>
      <c r="H10305" s="5" t="n">
        <v>1088</v>
      </c>
      <c r="I10305" s="5" t="n">
        <v>495</v>
      </c>
      <c r="J10305" s="5" t="n">
        <v>578</v>
      </c>
      <c r="K10305" s="10">
        <f>IF(F10305&gt;0,H10305/F10305,"")</f>
        <v/>
      </c>
      <c r="L10305" s="16">
        <f>IF(AND(G10305&gt;0,H10305&gt;0),G10305/H10305,"")</f>
        <v/>
      </c>
    </row>
    <row r="10306">
      <c r="A10306" s="4" t="inlineStr">
        <is>
          <t>404</t>
        </is>
      </c>
      <c r="B10306" s="4" t="n">
        <v>4</v>
      </c>
      <c r="C10306" s="4" t="inlineStr">
        <is>
          <t>whitetail</t>
        </is>
      </c>
      <c r="D10306" s="4" t="n">
        <v>2010</v>
      </c>
      <c r="E10306" s="13" t="inlineStr">
        <is>
          <t>General</t>
        </is>
      </c>
      <c r="F10306" s="5" t="n">
        <v>2939</v>
      </c>
      <c r="G10306" s="5" t="n">
        <v>13263</v>
      </c>
      <c r="H10306" s="5" t="n">
        <v>1082</v>
      </c>
      <c r="I10306" s="5" t="n">
        <v>461</v>
      </c>
      <c r="J10306" s="5" t="n">
        <v>603</v>
      </c>
      <c r="K10306" s="10">
        <f>IF(F10306&gt;0,H10306/F10306,"")</f>
        <v/>
      </c>
      <c r="L10306" s="16">
        <f>IF(AND(G10306&gt;0,H10306&gt;0),G10306/H10306,"")</f>
        <v/>
      </c>
    </row>
    <row r="10307">
      <c r="A10307" s="4" t="inlineStr">
        <is>
          <t>404</t>
        </is>
      </c>
      <c r="B10307" s="4" t="n">
        <v>4</v>
      </c>
      <c r="C10307" s="4" t="inlineStr">
        <is>
          <t>whitetail</t>
        </is>
      </c>
      <c r="D10307" s="4" t="n">
        <v>2011</v>
      </c>
      <c r="E10307" s="13" t="inlineStr">
        <is>
          <t>General</t>
        </is>
      </c>
      <c r="F10307" s="5" t="n">
        <v>3030</v>
      </c>
      <c r="G10307" s="5" t="n">
        <v>13326</v>
      </c>
      <c r="H10307" s="5" t="n">
        <v>1206</v>
      </c>
      <c r="I10307" s="5" t="n">
        <v>514</v>
      </c>
      <c r="J10307" s="5" t="n">
        <v>669</v>
      </c>
      <c r="K10307" s="10">
        <f>IF(F10307&gt;0,H10307/F10307,"")</f>
        <v/>
      </c>
      <c r="L10307" s="16">
        <f>IF(AND(G10307&gt;0,H10307&gt;0),G10307/H10307,"")</f>
        <v/>
      </c>
    </row>
    <row r="10308">
      <c r="A10308" s="4" t="inlineStr">
        <is>
          <t>404</t>
        </is>
      </c>
      <c r="B10308" s="4" t="n">
        <v>4</v>
      </c>
      <c r="C10308" s="4" t="inlineStr">
        <is>
          <t>whitetail</t>
        </is>
      </c>
      <c r="D10308" s="4" t="n">
        <v>2012</v>
      </c>
      <c r="E10308" s="13" t="inlineStr">
        <is>
          <t>General</t>
        </is>
      </c>
      <c r="F10308" s="5" t="n"/>
      <c r="G10308" s="5" t="n"/>
      <c r="H10308" s="5" t="n">
        <v>1325</v>
      </c>
      <c r="I10308" s="5" t="n">
        <v>558</v>
      </c>
      <c r="J10308" s="5" t="n">
        <v>751</v>
      </c>
      <c r="K10308" s="10">
        <f>IF(F10308&gt;0,H10308/F10308,"")</f>
        <v/>
      </c>
      <c r="L10308" s="16">
        <f>IF(AND(G10308&gt;0,H10308&gt;0),G10308/H10308,"")</f>
        <v/>
      </c>
    </row>
    <row r="10309">
      <c r="A10309" s="4" t="inlineStr">
        <is>
          <t>404</t>
        </is>
      </c>
      <c r="B10309" s="4" t="n">
        <v>4</v>
      </c>
      <c r="C10309" s="4" t="inlineStr">
        <is>
          <t>whitetail</t>
        </is>
      </c>
      <c r="D10309" s="4" t="n">
        <v>2013</v>
      </c>
      <c r="E10309" s="13" t="inlineStr">
        <is>
          <t>General</t>
        </is>
      </c>
      <c r="F10309" s="5" t="n">
        <v>2129</v>
      </c>
      <c r="G10309" s="5" t="n">
        <v>10165</v>
      </c>
      <c r="H10309" s="5" t="n">
        <v>455</v>
      </c>
      <c r="I10309" s="5" t="n">
        <v>238</v>
      </c>
      <c r="J10309" s="5" t="n">
        <v>206</v>
      </c>
      <c r="K10309" s="10">
        <f>IF(F10309&gt;0,H10309/F10309,"")</f>
        <v/>
      </c>
      <c r="L10309" s="16">
        <f>IF(AND(G10309&gt;0,H10309&gt;0),G10309/H10309,"")</f>
        <v/>
      </c>
    </row>
    <row r="10310">
      <c r="A10310" s="4" t="inlineStr">
        <is>
          <t>404</t>
        </is>
      </c>
      <c r="B10310" s="4" t="n">
        <v>4</v>
      </c>
      <c r="C10310" s="4" t="inlineStr">
        <is>
          <t>whitetail</t>
        </is>
      </c>
      <c r="D10310" s="4" t="n">
        <v>2014</v>
      </c>
      <c r="E10310" s="13" t="inlineStr">
        <is>
          <t>General</t>
        </is>
      </c>
      <c r="F10310" s="5" t="n"/>
      <c r="G10310" s="5" t="n"/>
      <c r="H10310" s="5" t="n">
        <v>400</v>
      </c>
      <c r="I10310" s="5" t="n">
        <v>369</v>
      </c>
      <c r="J10310" s="5" t="n">
        <v>31</v>
      </c>
      <c r="K10310" s="10">
        <f>IF(F10310&gt;0,H10310/F10310,"")</f>
        <v/>
      </c>
      <c r="L10310" s="16">
        <f>IF(AND(G10310&gt;0,H10310&gt;0),G10310/H10310,"")</f>
        <v/>
      </c>
    </row>
    <row r="10311">
      <c r="A10311" s="4" t="inlineStr">
        <is>
          <t>404</t>
        </is>
      </c>
      <c r="B10311" s="4" t="n">
        <v>4</v>
      </c>
      <c r="C10311" s="4" t="inlineStr">
        <is>
          <t>whitetail</t>
        </is>
      </c>
      <c r="D10311" s="4" t="n">
        <v>2015</v>
      </c>
      <c r="E10311" s="13" t="inlineStr">
        <is>
          <t>General</t>
        </is>
      </c>
      <c r="F10311" s="5" t="n"/>
      <c r="G10311" s="5" t="n"/>
      <c r="H10311" s="5" t="n">
        <v>497</v>
      </c>
      <c r="I10311" s="5" t="n">
        <v>428</v>
      </c>
      <c r="J10311" s="5" t="n">
        <v>63</v>
      </c>
      <c r="K10311" s="10">
        <f>IF(F10311&gt;0,H10311/F10311,"")</f>
        <v/>
      </c>
      <c r="L10311" s="16">
        <f>IF(AND(G10311&gt;0,H10311&gt;0),G10311/H10311,"")</f>
        <v/>
      </c>
    </row>
    <row r="10312">
      <c r="A10312" s="4" t="inlineStr">
        <is>
          <t>404</t>
        </is>
      </c>
      <c r="B10312" s="4" t="n">
        <v>4</v>
      </c>
      <c r="C10312" s="4" t="inlineStr">
        <is>
          <t>whitetail</t>
        </is>
      </c>
      <c r="D10312" s="4" t="n">
        <v>2016</v>
      </c>
      <c r="E10312" s="13" t="inlineStr">
        <is>
          <t>General</t>
        </is>
      </c>
      <c r="F10312" s="5" t="n"/>
      <c r="G10312" s="5" t="n"/>
      <c r="H10312" s="5" t="n">
        <v>513</v>
      </c>
      <c r="I10312" s="5" t="n">
        <v>400</v>
      </c>
      <c r="J10312" s="5" t="n">
        <v>113</v>
      </c>
      <c r="K10312" s="10">
        <f>IF(F10312&gt;0,H10312/F10312,"")</f>
        <v/>
      </c>
      <c r="L10312" s="16">
        <f>IF(AND(G10312&gt;0,H10312&gt;0),G10312/H10312,"")</f>
        <v/>
      </c>
    </row>
    <row r="10313">
      <c r="A10313" s="4" t="inlineStr">
        <is>
          <t>404</t>
        </is>
      </c>
      <c r="B10313" s="4" t="n">
        <v>4</v>
      </c>
      <c r="C10313" s="4" t="inlineStr">
        <is>
          <t>whitetail</t>
        </is>
      </c>
      <c r="D10313" s="4" t="n">
        <v>2017</v>
      </c>
      <c r="E10313" s="13" t="inlineStr">
        <is>
          <t>General</t>
        </is>
      </c>
      <c r="F10313" s="5" t="n">
        <v>2071</v>
      </c>
      <c r="G10313" s="5" t="n">
        <v>8938</v>
      </c>
      <c r="H10313" s="5" t="n">
        <v>591</v>
      </c>
      <c r="I10313" s="5" t="n">
        <v>500</v>
      </c>
      <c r="J10313" s="5" t="n">
        <v>91</v>
      </c>
      <c r="K10313" s="10">
        <f>IF(F10313&gt;0,H10313/F10313,"")</f>
        <v/>
      </c>
      <c r="L10313" s="16">
        <f>IF(AND(G10313&gt;0,H10313&gt;0),G10313/H10313,"")</f>
        <v/>
      </c>
    </row>
    <row r="10314">
      <c r="A10314" s="4" t="inlineStr">
        <is>
          <t>404</t>
        </is>
      </c>
      <c r="B10314" s="4" t="n">
        <v>4</v>
      </c>
      <c r="C10314" s="4" t="inlineStr">
        <is>
          <t>whitetail</t>
        </is>
      </c>
      <c r="D10314" s="4" t="n">
        <v>2018</v>
      </c>
      <c r="E10314" s="13" t="inlineStr">
        <is>
          <t>General</t>
        </is>
      </c>
      <c r="F10314" s="5" t="n"/>
      <c r="G10314" s="5" t="n"/>
      <c r="H10314" s="5" t="n">
        <v>776</v>
      </c>
      <c r="I10314" s="5" t="n">
        <v>429</v>
      </c>
      <c r="J10314" s="5" t="n">
        <v>326</v>
      </c>
      <c r="K10314" s="10">
        <f>IF(F10314&gt;0,H10314/F10314,"")</f>
        <v/>
      </c>
      <c r="L10314" s="16">
        <f>IF(AND(G10314&gt;0,H10314&gt;0),G10314/H10314,"")</f>
        <v/>
      </c>
    </row>
    <row r="10315">
      <c r="A10315" s="4" t="inlineStr">
        <is>
          <t>404</t>
        </is>
      </c>
      <c r="B10315" s="4" t="n">
        <v>4</v>
      </c>
      <c r="C10315" s="4" t="inlineStr">
        <is>
          <t>whitetail</t>
        </is>
      </c>
      <c r="D10315" s="4" t="n">
        <v>2019</v>
      </c>
      <c r="E10315" s="13" t="inlineStr">
        <is>
          <t>General</t>
        </is>
      </c>
      <c r="F10315" s="5" t="n">
        <v>2296</v>
      </c>
      <c r="G10315" s="5" t="n">
        <v>10760</v>
      </c>
      <c r="H10315" s="5" t="n">
        <v>917</v>
      </c>
      <c r="I10315" s="5" t="n">
        <v>504</v>
      </c>
      <c r="J10315" s="5" t="n">
        <v>407</v>
      </c>
      <c r="K10315" s="10">
        <f>IF(F10315&gt;0,H10315/F10315,"")</f>
        <v/>
      </c>
      <c r="L10315" s="16">
        <f>IF(AND(G10315&gt;0,H10315&gt;0),G10315/H10315,"")</f>
        <v/>
      </c>
    </row>
    <row r="10316">
      <c r="A10316" s="4" t="inlineStr">
        <is>
          <t>404</t>
        </is>
      </c>
      <c r="B10316" s="4" t="n">
        <v>4</v>
      </c>
      <c r="C10316" s="4" t="inlineStr">
        <is>
          <t>whitetail</t>
        </is>
      </c>
      <c r="D10316" s="4" t="n">
        <v>2020</v>
      </c>
      <c r="E10316" s="13" t="inlineStr">
        <is>
          <t>General</t>
        </is>
      </c>
      <c r="F10316" s="5" t="n"/>
      <c r="G10316" s="5" t="n"/>
      <c r="H10316" s="5" t="n">
        <v>793</v>
      </c>
      <c r="I10316" s="5" t="n">
        <v>420</v>
      </c>
      <c r="J10316" s="5" t="n">
        <v>363</v>
      </c>
      <c r="K10316" s="10">
        <f>IF(F10316&gt;0,H10316/F10316,"")</f>
        <v/>
      </c>
      <c r="L10316" s="16">
        <f>IF(AND(G10316&gt;0,H10316&gt;0),G10316/H10316,"")</f>
        <v/>
      </c>
    </row>
    <row r="10317">
      <c r="A10317" s="4" t="inlineStr">
        <is>
          <t>404</t>
        </is>
      </c>
      <c r="B10317" s="4" t="n">
        <v>4</v>
      </c>
      <c r="C10317" s="4" t="inlineStr">
        <is>
          <t>whitetail</t>
        </is>
      </c>
      <c r="D10317" s="4" t="n">
        <v>2021</v>
      </c>
      <c r="E10317" s="13" t="inlineStr">
        <is>
          <t>General</t>
        </is>
      </c>
      <c r="F10317" s="5" t="n">
        <v>1844</v>
      </c>
      <c r="G10317" s="5" t="n">
        <v>8999</v>
      </c>
      <c r="H10317" s="5" t="n">
        <v>608</v>
      </c>
      <c r="I10317" s="5" t="n">
        <v>337</v>
      </c>
      <c r="J10317" s="5" t="n">
        <v>262</v>
      </c>
      <c r="K10317" s="10">
        <f>IF(F10317&gt;0,H10317/F10317,"")</f>
        <v/>
      </c>
      <c r="L10317" s="16">
        <f>IF(AND(G10317&gt;0,H10317&gt;0),G10317/H10317,"")</f>
        <v/>
      </c>
    </row>
    <row r="10318">
      <c r="A10318" s="4" t="inlineStr">
        <is>
          <t>404</t>
        </is>
      </c>
      <c r="B10318" s="4" t="n">
        <v>4</v>
      </c>
      <c r="C10318" s="4" t="inlineStr">
        <is>
          <t>whitetail</t>
        </is>
      </c>
      <c r="D10318" s="4" t="n">
        <v>2022</v>
      </c>
      <c r="E10318" s="13" t="inlineStr">
        <is>
          <t>General</t>
        </is>
      </c>
      <c r="F10318" s="5" t="n"/>
      <c r="G10318" s="5" t="n"/>
      <c r="H10318" s="5" t="n">
        <v>710</v>
      </c>
      <c r="I10318" s="5" t="n">
        <v>362</v>
      </c>
      <c r="J10318" s="5" t="n">
        <v>348</v>
      </c>
      <c r="K10318" s="10">
        <f>IF(F10318&gt;0,H10318/F10318,"")</f>
        <v/>
      </c>
      <c r="L10318" s="16">
        <f>IF(AND(G10318&gt;0,H10318&gt;0),G10318/H10318,"")</f>
        <v/>
      </c>
    </row>
    <row r="10319">
      <c r="A10319" s="4" t="inlineStr">
        <is>
          <t>404</t>
        </is>
      </c>
      <c r="B10319" s="4" t="n">
        <v>4</v>
      </c>
      <c r="C10319" s="4" t="inlineStr">
        <is>
          <t>whitetail</t>
        </is>
      </c>
      <c r="D10319" s="4" t="n">
        <v>2023</v>
      </c>
      <c r="E10319" s="13" t="inlineStr">
        <is>
          <t>General</t>
        </is>
      </c>
      <c r="F10319" s="5" t="n">
        <v>1812</v>
      </c>
      <c r="G10319" s="5" t="n">
        <v>9049</v>
      </c>
      <c r="H10319" s="5" t="n">
        <v>580</v>
      </c>
      <c r="I10319" s="5" t="n">
        <v>327</v>
      </c>
      <c r="J10319" s="5" t="n">
        <v>247</v>
      </c>
      <c r="K10319" s="10">
        <f>IF(F10319&gt;0,H10319/F10319,"")</f>
        <v/>
      </c>
      <c r="L10319" s="16">
        <f>IF(AND(G10319&gt;0,H10319&gt;0),G10319/H10319,"")</f>
        <v/>
      </c>
    </row>
    <row r="10320">
      <c r="A10320" s="4" t="inlineStr">
        <is>
          <t>404</t>
        </is>
      </c>
      <c r="B10320" s="4" t="n">
        <v>4</v>
      </c>
      <c r="C10320" s="4" t="inlineStr">
        <is>
          <t>whitetail</t>
        </is>
      </c>
      <c r="D10320" s="4" t="n">
        <v>2024</v>
      </c>
      <c r="E10320" s="13" t="inlineStr">
        <is>
          <t>General</t>
        </is>
      </c>
      <c r="F10320" s="5" t="n"/>
      <c r="G10320" s="5" t="n"/>
      <c r="H10320" s="5" t="n">
        <v>574</v>
      </c>
      <c r="I10320" s="5" t="n">
        <v>328</v>
      </c>
      <c r="J10320" s="5" t="n">
        <v>246</v>
      </c>
      <c r="K10320" s="10">
        <f>IF(F10320&gt;0,H10320/F10320,"")</f>
        <v/>
      </c>
      <c r="L10320" s="16">
        <f>IF(AND(G10320&gt;0,H10320&gt;0),G10320/H10320,"")</f>
        <v/>
      </c>
    </row>
    <row r="10321">
      <c r="A10321" s="4" t="inlineStr">
        <is>
          <t>404</t>
        </is>
      </c>
      <c r="B10321" s="4" t="n">
        <v>4</v>
      </c>
      <c r="C10321" s="4" t="inlineStr">
        <is>
          <t>whitetail</t>
        </is>
      </c>
      <c r="D10321" s="4" t="n">
        <v>2025</v>
      </c>
      <c r="E10321" s="13" t="inlineStr">
        <is>
          <t>General</t>
        </is>
      </c>
      <c r="F10321" s="5" t="n">
        <v>1850</v>
      </c>
      <c r="G10321" s="5" t="n">
        <v>9575</v>
      </c>
      <c r="H10321" s="5" t="n">
        <v>503</v>
      </c>
      <c r="I10321" s="5" t="n">
        <v>277</v>
      </c>
      <c r="J10321" s="5" t="n">
        <v>222</v>
      </c>
      <c r="K10321" s="10">
        <f>IF(F10321&gt;0,H10321/F10321,"")</f>
        <v/>
      </c>
      <c r="L10321" s="16">
        <f>IF(AND(G10321&gt;0,H10321&gt;0),G10321/H10321,"")</f>
        <v/>
      </c>
    </row>
    <row r="10322">
      <c r="A10322" s="4" t="inlineStr">
        <is>
          <t>405</t>
        </is>
      </c>
      <c r="B10322" s="4" t="n">
        <v>4</v>
      </c>
      <c r="C10322" s="4" t="inlineStr">
        <is>
          <t>whitetail</t>
        </is>
      </c>
      <c r="D10322" s="4" t="n">
        <v>2004</v>
      </c>
      <c r="E10322" s="13" t="inlineStr">
        <is>
          <t>General</t>
        </is>
      </c>
      <c r="F10322" s="5" t="n">
        <v>971</v>
      </c>
      <c r="G10322" s="5" t="n">
        <v>3157</v>
      </c>
      <c r="H10322" s="5" t="n">
        <v>95</v>
      </c>
      <c r="I10322" s="5" t="n">
        <v>58</v>
      </c>
      <c r="J10322" s="5" t="n">
        <v>34</v>
      </c>
      <c r="K10322" s="10">
        <f>IF(F10322&gt;0,H10322/F10322,"")</f>
        <v/>
      </c>
      <c r="L10322" s="16">
        <f>IF(AND(G10322&gt;0,H10322&gt;0),G10322/H10322,"")</f>
        <v/>
      </c>
    </row>
    <row r="10323">
      <c r="A10323" s="4" t="inlineStr">
        <is>
          <t>405</t>
        </is>
      </c>
      <c r="B10323" s="4" t="n">
        <v>4</v>
      </c>
      <c r="C10323" s="4" t="inlineStr">
        <is>
          <t>whitetail</t>
        </is>
      </c>
      <c r="D10323" s="4" t="n">
        <v>2005</v>
      </c>
      <c r="E10323" s="13" t="inlineStr">
        <is>
          <t>General</t>
        </is>
      </c>
      <c r="F10323" s="5" t="n">
        <v>748</v>
      </c>
      <c r="G10323" s="5" t="n">
        <v>2352</v>
      </c>
      <c r="H10323" s="5" t="n">
        <v>106</v>
      </c>
      <c r="I10323" s="5" t="n">
        <v>55</v>
      </c>
      <c r="J10323" s="5" t="n">
        <v>51</v>
      </c>
      <c r="K10323" s="10">
        <f>IF(F10323&gt;0,H10323/F10323,"")</f>
        <v/>
      </c>
      <c r="L10323" s="16">
        <f>IF(AND(G10323&gt;0,H10323&gt;0),G10323/H10323,"")</f>
        <v/>
      </c>
    </row>
    <row r="10324">
      <c r="A10324" s="4" t="inlineStr">
        <is>
          <t>405</t>
        </is>
      </c>
      <c r="B10324" s="4" t="n">
        <v>4</v>
      </c>
      <c r="C10324" s="4" t="inlineStr">
        <is>
          <t>whitetail</t>
        </is>
      </c>
      <c r="D10324" s="4" t="n">
        <v>2006</v>
      </c>
      <c r="E10324" s="13" t="inlineStr">
        <is>
          <t>General</t>
        </is>
      </c>
      <c r="F10324" s="5" t="n">
        <v>875</v>
      </c>
      <c r="G10324" s="5" t="n">
        <v>3212</v>
      </c>
      <c r="H10324" s="5" t="n">
        <v>87</v>
      </c>
      <c r="I10324" s="5" t="n">
        <v>60</v>
      </c>
      <c r="J10324" s="5" t="n">
        <v>28</v>
      </c>
      <c r="K10324" s="10">
        <f>IF(F10324&gt;0,H10324/F10324,"")</f>
        <v/>
      </c>
      <c r="L10324" s="16">
        <f>IF(AND(G10324&gt;0,H10324&gt;0),G10324/H10324,"")</f>
        <v/>
      </c>
    </row>
    <row r="10325">
      <c r="A10325" s="4" t="inlineStr">
        <is>
          <t>405</t>
        </is>
      </c>
      <c r="B10325" s="4" t="n">
        <v>4</v>
      </c>
      <c r="C10325" s="4" t="inlineStr">
        <is>
          <t>whitetail</t>
        </is>
      </c>
      <c r="D10325" s="4" t="n">
        <v>2007</v>
      </c>
      <c r="E10325" s="13" t="inlineStr">
        <is>
          <t>General</t>
        </is>
      </c>
      <c r="F10325" s="5" t="n">
        <v>1093</v>
      </c>
      <c r="G10325" s="5" t="n">
        <v>4479</v>
      </c>
      <c r="H10325" s="5" t="n">
        <v>147</v>
      </c>
      <c r="I10325" s="5" t="n">
        <v>101</v>
      </c>
      <c r="J10325" s="5" t="n">
        <v>45</v>
      </c>
      <c r="K10325" s="10">
        <f>IF(F10325&gt;0,H10325/F10325,"")</f>
        <v/>
      </c>
      <c r="L10325" s="16">
        <f>IF(AND(G10325&gt;0,H10325&gt;0),G10325/H10325,"")</f>
        <v/>
      </c>
    </row>
    <row r="10326">
      <c r="A10326" s="4" t="inlineStr">
        <is>
          <t>405</t>
        </is>
      </c>
      <c r="B10326" s="4" t="n">
        <v>4</v>
      </c>
      <c r="C10326" s="4" t="inlineStr">
        <is>
          <t>whitetail</t>
        </is>
      </c>
      <c r="D10326" s="4" t="n">
        <v>2008</v>
      </c>
      <c r="E10326" s="13" t="inlineStr">
        <is>
          <t>General</t>
        </is>
      </c>
      <c r="F10326" s="5" t="n">
        <v>990</v>
      </c>
      <c r="G10326" s="5" t="n">
        <v>3830</v>
      </c>
      <c r="H10326" s="5" t="n">
        <v>175</v>
      </c>
      <c r="I10326" s="5" t="n">
        <v>87</v>
      </c>
      <c r="J10326" s="5" t="n">
        <v>76</v>
      </c>
      <c r="K10326" s="10">
        <f>IF(F10326&gt;0,H10326/F10326,"")</f>
        <v/>
      </c>
      <c r="L10326" s="16">
        <f>IF(AND(G10326&gt;0,H10326&gt;0),G10326/H10326,"")</f>
        <v/>
      </c>
    </row>
    <row r="10327">
      <c r="A10327" s="4" t="inlineStr">
        <is>
          <t>405</t>
        </is>
      </c>
      <c r="B10327" s="4" t="n">
        <v>4</v>
      </c>
      <c r="C10327" s="4" t="inlineStr">
        <is>
          <t>whitetail</t>
        </is>
      </c>
      <c r="D10327" s="4" t="n">
        <v>2009</v>
      </c>
      <c r="E10327" s="13" t="inlineStr">
        <is>
          <t>General</t>
        </is>
      </c>
      <c r="F10327" s="5" t="n">
        <v>877</v>
      </c>
      <c r="G10327" s="5" t="n">
        <v>3618</v>
      </c>
      <c r="H10327" s="5" t="n">
        <v>135</v>
      </c>
      <c r="I10327" s="5" t="n">
        <v>83</v>
      </c>
      <c r="J10327" s="5" t="n">
        <v>52</v>
      </c>
      <c r="K10327" s="10">
        <f>IF(F10327&gt;0,H10327/F10327,"")</f>
        <v/>
      </c>
      <c r="L10327" s="16">
        <f>IF(AND(G10327&gt;0,H10327&gt;0),G10327/H10327,"")</f>
        <v/>
      </c>
    </row>
    <row r="10328">
      <c r="A10328" s="4" t="inlineStr">
        <is>
          <t>405</t>
        </is>
      </c>
      <c r="B10328" s="4" t="n">
        <v>4</v>
      </c>
      <c r="C10328" s="4" t="inlineStr">
        <is>
          <t>whitetail</t>
        </is>
      </c>
      <c r="D10328" s="4" t="n">
        <v>2010</v>
      </c>
      <c r="E10328" s="13" t="inlineStr">
        <is>
          <t>General</t>
        </is>
      </c>
      <c r="F10328" s="5" t="n">
        <v>992</v>
      </c>
      <c r="G10328" s="5" t="n">
        <v>4007</v>
      </c>
      <c r="H10328" s="5" t="n">
        <v>165</v>
      </c>
      <c r="I10328" s="5" t="n">
        <v>70</v>
      </c>
      <c r="J10328" s="5" t="n">
        <v>95</v>
      </c>
      <c r="K10328" s="10">
        <f>IF(F10328&gt;0,H10328/F10328,"")</f>
        <v/>
      </c>
      <c r="L10328" s="16">
        <f>IF(AND(G10328&gt;0,H10328&gt;0),G10328/H10328,"")</f>
        <v/>
      </c>
    </row>
    <row r="10329">
      <c r="A10329" s="4" t="inlineStr">
        <is>
          <t>405</t>
        </is>
      </c>
      <c r="B10329" s="4" t="n">
        <v>4</v>
      </c>
      <c r="C10329" s="4" t="inlineStr">
        <is>
          <t>whitetail</t>
        </is>
      </c>
      <c r="D10329" s="4" t="n">
        <v>2011</v>
      </c>
      <c r="E10329" s="13" t="inlineStr">
        <is>
          <t>General</t>
        </is>
      </c>
      <c r="F10329" s="5" t="n">
        <v>921</v>
      </c>
      <c r="G10329" s="5" t="n">
        <v>3369</v>
      </c>
      <c r="H10329" s="5" t="n">
        <v>99</v>
      </c>
      <c r="I10329" s="5" t="n">
        <v>39</v>
      </c>
      <c r="J10329" s="5" t="n">
        <v>55</v>
      </c>
      <c r="K10329" s="10">
        <f>IF(F10329&gt;0,H10329/F10329,"")</f>
        <v/>
      </c>
      <c r="L10329" s="16">
        <f>IF(AND(G10329&gt;0,H10329&gt;0),G10329/H10329,"")</f>
        <v/>
      </c>
    </row>
    <row r="10330">
      <c r="A10330" s="4" t="inlineStr">
        <is>
          <t>405</t>
        </is>
      </c>
      <c r="B10330" s="4" t="n">
        <v>4</v>
      </c>
      <c r="C10330" s="4" t="inlineStr">
        <is>
          <t>whitetail</t>
        </is>
      </c>
      <c r="D10330" s="4" t="n">
        <v>2012</v>
      </c>
      <c r="E10330" s="13" t="inlineStr">
        <is>
          <t>General</t>
        </is>
      </c>
      <c r="F10330" s="5" t="n"/>
      <c r="G10330" s="5" t="n"/>
      <c r="H10330" s="5" t="n">
        <v>129</v>
      </c>
      <c r="I10330" s="5" t="n">
        <v>45</v>
      </c>
      <c r="J10330" s="5" t="n">
        <v>76</v>
      </c>
      <c r="K10330" s="10">
        <f>IF(F10330&gt;0,H10330/F10330,"")</f>
        <v/>
      </c>
      <c r="L10330" s="16">
        <f>IF(AND(G10330&gt;0,H10330&gt;0),G10330/H10330,"")</f>
        <v/>
      </c>
    </row>
    <row r="10331">
      <c r="A10331" s="4" t="inlineStr">
        <is>
          <t>405</t>
        </is>
      </c>
      <c r="B10331" s="4" t="n">
        <v>4</v>
      </c>
      <c r="C10331" s="4" t="inlineStr">
        <is>
          <t>whitetail</t>
        </is>
      </c>
      <c r="D10331" s="4" t="n">
        <v>2013</v>
      </c>
      <c r="E10331" s="13" t="inlineStr">
        <is>
          <t>General</t>
        </is>
      </c>
      <c r="F10331" s="5" t="n">
        <v>936</v>
      </c>
      <c r="G10331" s="5" t="n">
        <v>3875</v>
      </c>
      <c r="H10331" s="5" t="n">
        <v>65</v>
      </c>
      <c r="I10331" s="5" t="n">
        <v>23</v>
      </c>
      <c r="J10331" s="5" t="n">
        <v>42</v>
      </c>
      <c r="K10331" s="10">
        <f>IF(F10331&gt;0,H10331/F10331,"")</f>
        <v/>
      </c>
      <c r="L10331" s="16">
        <f>IF(AND(G10331&gt;0,H10331&gt;0),G10331/H10331,"")</f>
        <v/>
      </c>
    </row>
    <row r="10332">
      <c r="A10332" s="4" t="inlineStr">
        <is>
          <t>405</t>
        </is>
      </c>
      <c r="B10332" s="4" t="n">
        <v>4</v>
      </c>
      <c r="C10332" s="4" t="inlineStr">
        <is>
          <t>whitetail</t>
        </is>
      </c>
      <c r="D10332" s="4" t="n">
        <v>2014</v>
      </c>
      <c r="E10332" s="13" t="inlineStr">
        <is>
          <t>General</t>
        </is>
      </c>
      <c r="F10332" s="5" t="n"/>
      <c r="G10332" s="5" t="n"/>
      <c r="H10332" s="5" t="n">
        <v>48</v>
      </c>
      <c r="I10332" s="5" t="n">
        <v>34</v>
      </c>
      <c r="J10332" s="5" t="n">
        <v>14</v>
      </c>
      <c r="K10332" s="10">
        <f>IF(F10332&gt;0,H10332/F10332,"")</f>
        <v/>
      </c>
      <c r="L10332" s="16">
        <f>IF(AND(G10332&gt;0,H10332&gt;0),G10332/H10332,"")</f>
        <v/>
      </c>
    </row>
    <row r="10333">
      <c r="A10333" s="4" t="inlineStr">
        <is>
          <t>405</t>
        </is>
      </c>
      <c r="B10333" s="4" t="n">
        <v>4</v>
      </c>
      <c r="C10333" s="4" t="inlineStr">
        <is>
          <t>whitetail</t>
        </is>
      </c>
      <c r="D10333" s="4" t="n">
        <v>2015</v>
      </c>
      <c r="E10333" s="13" t="inlineStr">
        <is>
          <t>General</t>
        </is>
      </c>
      <c r="F10333" s="5" t="n"/>
      <c r="G10333" s="5" t="n"/>
      <c r="H10333" s="5" t="n">
        <v>56</v>
      </c>
      <c r="I10333" s="5" t="n">
        <v>45</v>
      </c>
      <c r="J10333" s="5" t="n">
        <v>11</v>
      </c>
      <c r="K10333" s="10">
        <f>IF(F10333&gt;0,H10333/F10333,"")</f>
        <v/>
      </c>
      <c r="L10333" s="16">
        <f>IF(AND(G10333&gt;0,H10333&gt;0),G10333/H10333,"")</f>
        <v/>
      </c>
    </row>
    <row r="10334">
      <c r="A10334" s="4" t="inlineStr">
        <is>
          <t>405</t>
        </is>
      </c>
      <c r="B10334" s="4" t="n">
        <v>4</v>
      </c>
      <c r="C10334" s="4" t="inlineStr">
        <is>
          <t>whitetail</t>
        </is>
      </c>
      <c r="D10334" s="4" t="n">
        <v>2016</v>
      </c>
      <c r="E10334" s="13" t="inlineStr">
        <is>
          <t>General</t>
        </is>
      </c>
      <c r="F10334" s="5" t="n"/>
      <c r="G10334" s="5" t="n"/>
      <c r="H10334" s="5" t="n">
        <v>75</v>
      </c>
      <c r="I10334" s="5" t="n">
        <v>57</v>
      </c>
      <c r="J10334" s="5" t="n">
        <v>18</v>
      </c>
      <c r="K10334" s="10">
        <f>IF(F10334&gt;0,H10334/F10334,"")</f>
        <v/>
      </c>
      <c r="L10334" s="16">
        <f>IF(AND(G10334&gt;0,H10334&gt;0),G10334/H10334,"")</f>
        <v/>
      </c>
    </row>
    <row r="10335">
      <c r="A10335" s="4" t="inlineStr">
        <is>
          <t>405</t>
        </is>
      </c>
      <c r="B10335" s="4" t="n">
        <v>4</v>
      </c>
      <c r="C10335" s="4" t="inlineStr">
        <is>
          <t>whitetail</t>
        </is>
      </c>
      <c r="D10335" s="4" t="n">
        <v>2017</v>
      </c>
      <c r="E10335" s="13" t="inlineStr">
        <is>
          <t>General</t>
        </is>
      </c>
      <c r="F10335" s="5" t="n">
        <v>1031</v>
      </c>
      <c r="G10335" s="5" t="n">
        <v>4474</v>
      </c>
      <c r="H10335" s="5" t="n">
        <v>86</v>
      </c>
      <c r="I10335" s="5" t="n">
        <v>68</v>
      </c>
      <c r="J10335" s="5" t="n">
        <v>15</v>
      </c>
      <c r="K10335" s="10">
        <f>IF(F10335&gt;0,H10335/F10335,"")</f>
        <v/>
      </c>
      <c r="L10335" s="16">
        <f>IF(AND(G10335&gt;0,H10335&gt;0),G10335/H10335,"")</f>
        <v/>
      </c>
    </row>
    <row r="10336">
      <c r="A10336" s="4" t="inlineStr">
        <is>
          <t>405</t>
        </is>
      </c>
      <c r="B10336" s="4" t="n">
        <v>4</v>
      </c>
      <c r="C10336" s="4" t="inlineStr">
        <is>
          <t>whitetail</t>
        </is>
      </c>
      <c r="D10336" s="4" t="n">
        <v>2018</v>
      </c>
      <c r="E10336" s="13" t="inlineStr">
        <is>
          <t>General</t>
        </is>
      </c>
      <c r="F10336" s="5" t="n"/>
      <c r="G10336" s="5" t="n"/>
      <c r="H10336" s="5" t="n">
        <v>124</v>
      </c>
      <c r="I10336" s="5" t="n">
        <v>60</v>
      </c>
      <c r="J10336" s="5" t="n">
        <v>65</v>
      </c>
      <c r="K10336" s="10">
        <f>IF(F10336&gt;0,H10336/F10336,"")</f>
        <v/>
      </c>
      <c r="L10336" s="16">
        <f>IF(AND(G10336&gt;0,H10336&gt;0),G10336/H10336,"")</f>
        <v/>
      </c>
    </row>
    <row r="10337">
      <c r="A10337" s="4" t="inlineStr">
        <is>
          <t>405</t>
        </is>
      </c>
      <c r="B10337" s="4" t="n">
        <v>4</v>
      </c>
      <c r="C10337" s="4" t="inlineStr">
        <is>
          <t>whitetail</t>
        </is>
      </c>
      <c r="D10337" s="4" t="n">
        <v>2019</v>
      </c>
      <c r="E10337" s="13" t="inlineStr">
        <is>
          <t>General</t>
        </is>
      </c>
      <c r="F10337" s="5" t="n">
        <v>977</v>
      </c>
      <c r="G10337" s="5" t="n">
        <v>4226</v>
      </c>
      <c r="H10337" s="5" t="n">
        <v>145</v>
      </c>
      <c r="I10337" s="5" t="n">
        <v>63</v>
      </c>
      <c r="J10337" s="5" t="n">
        <v>82</v>
      </c>
      <c r="K10337" s="10">
        <f>IF(F10337&gt;0,H10337/F10337,"")</f>
        <v/>
      </c>
      <c r="L10337" s="16">
        <f>IF(AND(G10337&gt;0,H10337&gt;0),G10337/H10337,"")</f>
        <v/>
      </c>
    </row>
    <row r="10338">
      <c r="A10338" s="4" t="inlineStr">
        <is>
          <t>405</t>
        </is>
      </c>
      <c r="B10338" s="4" t="n">
        <v>4</v>
      </c>
      <c r="C10338" s="4" t="inlineStr">
        <is>
          <t>whitetail</t>
        </is>
      </c>
      <c r="D10338" s="4" t="n">
        <v>2020</v>
      </c>
      <c r="E10338" s="13" t="inlineStr">
        <is>
          <t>General</t>
        </is>
      </c>
      <c r="F10338" s="5" t="n"/>
      <c r="G10338" s="5" t="n"/>
      <c r="H10338" s="5" t="n">
        <v>196</v>
      </c>
      <c r="I10338" s="5" t="n">
        <v>124</v>
      </c>
      <c r="J10338" s="5" t="n">
        <v>71</v>
      </c>
      <c r="K10338" s="10">
        <f>IF(F10338&gt;0,H10338/F10338,"")</f>
        <v/>
      </c>
      <c r="L10338" s="16">
        <f>IF(AND(G10338&gt;0,H10338&gt;0),G10338/H10338,"")</f>
        <v/>
      </c>
    </row>
    <row r="10339">
      <c r="A10339" s="4" t="inlineStr">
        <is>
          <t>405</t>
        </is>
      </c>
      <c r="B10339" s="4" t="n">
        <v>4</v>
      </c>
      <c r="C10339" s="4" t="inlineStr">
        <is>
          <t>whitetail</t>
        </is>
      </c>
      <c r="D10339" s="4" t="n">
        <v>2021</v>
      </c>
      <c r="E10339" s="13" t="inlineStr">
        <is>
          <t>General</t>
        </is>
      </c>
      <c r="F10339" s="5" t="n">
        <v>968</v>
      </c>
      <c r="G10339" s="5" t="n">
        <v>4767</v>
      </c>
      <c r="H10339" s="5" t="n">
        <v>145</v>
      </c>
      <c r="I10339" s="5" t="n">
        <v>72</v>
      </c>
      <c r="J10339" s="5" t="n">
        <v>73</v>
      </c>
      <c r="K10339" s="10">
        <f>IF(F10339&gt;0,H10339/F10339,"")</f>
        <v/>
      </c>
      <c r="L10339" s="16">
        <f>IF(AND(G10339&gt;0,H10339&gt;0),G10339/H10339,"")</f>
        <v/>
      </c>
    </row>
    <row r="10340">
      <c r="A10340" s="4" t="inlineStr">
        <is>
          <t>405</t>
        </is>
      </c>
      <c r="B10340" s="4" t="n">
        <v>4</v>
      </c>
      <c r="C10340" s="4" t="inlineStr">
        <is>
          <t>whitetail</t>
        </is>
      </c>
      <c r="D10340" s="4" t="n">
        <v>2022</v>
      </c>
      <c r="E10340" s="13" t="inlineStr">
        <is>
          <t>General</t>
        </is>
      </c>
      <c r="F10340" s="5" t="n"/>
      <c r="G10340" s="5" t="n"/>
      <c r="H10340" s="5" t="n">
        <v>209</v>
      </c>
      <c r="I10340" s="5" t="n">
        <v>118</v>
      </c>
      <c r="J10340" s="5" t="n">
        <v>91</v>
      </c>
      <c r="K10340" s="10">
        <f>IF(F10340&gt;0,H10340/F10340,"")</f>
        <v/>
      </c>
      <c r="L10340" s="16">
        <f>IF(AND(G10340&gt;0,H10340&gt;0),G10340/H10340,"")</f>
        <v/>
      </c>
    </row>
    <row r="10341">
      <c r="A10341" s="4" t="inlineStr">
        <is>
          <t>405</t>
        </is>
      </c>
      <c r="B10341" s="4" t="n">
        <v>4</v>
      </c>
      <c r="C10341" s="4" t="inlineStr">
        <is>
          <t>whitetail</t>
        </is>
      </c>
      <c r="D10341" s="4" t="n">
        <v>2023</v>
      </c>
      <c r="E10341" s="13" t="inlineStr">
        <is>
          <t>General</t>
        </is>
      </c>
      <c r="F10341" s="5" t="n">
        <v>1131</v>
      </c>
      <c r="G10341" s="5" t="n">
        <v>5253</v>
      </c>
      <c r="H10341" s="5" t="n">
        <v>188</v>
      </c>
      <c r="I10341" s="5" t="n">
        <v>100</v>
      </c>
      <c r="J10341" s="5" t="n">
        <v>84</v>
      </c>
      <c r="K10341" s="10">
        <f>IF(F10341&gt;0,H10341/F10341,"")</f>
        <v/>
      </c>
      <c r="L10341" s="16">
        <f>IF(AND(G10341&gt;0,H10341&gt;0),G10341/H10341,"")</f>
        <v/>
      </c>
    </row>
    <row r="10342">
      <c r="A10342" s="4" t="inlineStr">
        <is>
          <t>405</t>
        </is>
      </c>
      <c r="B10342" s="4" t="n">
        <v>4</v>
      </c>
      <c r="C10342" s="4" t="inlineStr">
        <is>
          <t>whitetail</t>
        </is>
      </c>
      <c r="D10342" s="4" t="n">
        <v>2024</v>
      </c>
      <c r="E10342" s="13" t="inlineStr">
        <is>
          <t>General</t>
        </is>
      </c>
      <c r="F10342" s="5" t="n"/>
      <c r="G10342" s="5" t="n"/>
      <c r="H10342" s="5" t="n">
        <v>242</v>
      </c>
      <c r="I10342" s="5" t="n">
        <v>144</v>
      </c>
      <c r="J10342" s="5" t="n">
        <v>92</v>
      </c>
      <c r="K10342" s="10">
        <f>IF(F10342&gt;0,H10342/F10342,"")</f>
        <v/>
      </c>
      <c r="L10342" s="16">
        <f>IF(AND(G10342&gt;0,H10342&gt;0),G10342/H10342,"")</f>
        <v/>
      </c>
    </row>
    <row r="10343">
      <c r="A10343" s="4" t="inlineStr">
        <is>
          <t>405</t>
        </is>
      </c>
      <c r="B10343" s="4" t="n">
        <v>4</v>
      </c>
      <c r="C10343" s="4" t="inlineStr">
        <is>
          <t>whitetail</t>
        </is>
      </c>
      <c r="D10343" s="4" t="n">
        <v>2025</v>
      </c>
      <c r="E10343" s="13" t="inlineStr">
        <is>
          <t>General</t>
        </is>
      </c>
      <c r="F10343" s="5" t="n">
        <v>1279</v>
      </c>
      <c r="G10343" s="5" t="n">
        <v>6315</v>
      </c>
      <c r="H10343" s="5" t="n">
        <v>207</v>
      </c>
      <c r="I10343" s="5" t="n">
        <v>88</v>
      </c>
      <c r="J10343" s="5" t="n">
        <v>116</v>
      </c>
      <c r="K10343" s="10">
        <f>IF(F10343&gt;0,H10343/F10343,"")</f>
        <v/>
      </c>
      <c r="L10343" s="16">
        <f>IF(AND(G10343&gt;0,H10343&gt;0),G10343/H10343,"")</f>
        <v/>
      </c>
    </row>
    <row r="10344">
      <c r="A10344" s="4" t="inlineStr">
        <is>
          <t>406</t>
        </is>
      </c>
      <c r="B10344" s="4" t="n">
        <v>4</v>
      </c>
      <c r="C10344" s="4" t="inlineStr">
        <is>
          <t>whitetail</t>
        </is>
      </c>
      <c r="D10344" s="4" t="n">
        <v>2004</v>
      </c>
      <c r="E10344" s="13" t="inlineStr">
        <is>
          <t>General</t>
        </is>
      </c>
      <c r="F10344" s="5" t="n">
        <v>745</v>
      </c>
      <c r="G10344" s="5" t="n">
        <v>3282</v>
      </c>
      <c r="H10344" s="5" t="n">
        <v>175</v>
      </c>
      <c r="I10344" s="5" t="n">
        <v>103</v>
      </c>
      <c r="J10344" s="5" t="n">
        <v>72</v>
      </c>
      <c r="K10344" s="10">
        <f>IF(F10344&gt;0,H10344/F10344,"")</f>
        <v/>
      </c>
      <c r="L10344" s="16">
        <f>IF(AND(G10344&gt;0,H10344&gt;0),G10344/H10344,"")</f>
        <v/>
      </c>
    </row>
    <row r="10345">
      <c r="A10345" s="4" t="inlineStr">
        <is>
          <t>406</t>
        </is>
      </c>
      <c r="B10345" s="4" t="n">
        <v>4</v>
      </c>
      <c r="C10345" s="4" t="inlineStr">
        <is>
          <t>whitetail</t>
        </is>
      </c>
      <c r="D10345" s="4" t="n">
        <v>2005</v>
      </c>
      <c r="E10345" s="13" t="inlineStr">
        <is>
          <t>General</t>
        </is>
      </c>
      <c r="F10345" s="5" t="n">
        <v>771</v>
      </c>
      <c r="G10345" s="5" t="n">
        <v>3406</v>
      </c>
      <c r="H10345" s="5" t="n">
        <v>254</v>
      </c>
      <c r="I10345" s="5" t="n">
        <v>99</v>
      </c>
      <c r="J10345" s="5" t="n">
        <v>145</v>
      </c>
      <c r="K10345" s="10">
        <f>IF(F10345&gt;0,H10345/F10345,"")</f>
        <v/>
      </c>
      <c r="L10345" s="16">
        <f>IF(AND(G10345&gt;0,H10345&gt;0),G10345/H10345,"")</f>
        <v/>
      </c>
    </row>
    <row r="10346">
      <c r="A10346" s="4" t="inlineStr">
        <is>
          <t>406</t>
        </is>
      </c>
      <c r="B10346" s="4" t="n">
        <v>4</v>
      </c>
      <c r="C10346" s="4" t="inlineStr">
        <is>
          <t>whitetail</t>
        </is>
      </c>
      <c r="D10346" s="4" t="n">
        <v>2006</v>
      </c>
      <c r="E10346" s="13" t="inlineStr">
        <is>
          <t>General</t>
        </is>
      </c>
      <c r="F10346" s="5" t="n">
        <v>864</v>
      </c>
      <c r="G10346" s="5" t="n">
        <v>3905</v>
      </c>
      <c r="H10346" s="5" t="n">
        <v>304</v>
      </c>
      <c r="I10346" s="5" t="n">
        <v>188</v>
      </c>
      <c r="J10346" s="5" t="n">
        <v>116</v>
      </c>
      <c r="K10346" s="10">
        <f>IF(F10346&gt;0,H10346/F10346,"")</f>
        <v/>
      </c>
      <c r="L10346" s="16">
        <f>IF(AND(G10346&gt;0,H10346&gt;0),G10346/H10346,"")</f>
        <v/>
      </c>
    </row>
    <row r="10347">
      <c r="A10347" s="4" t="inlineStr">
        <is>
          <t>406</t>
        </is>
      </c>
      <c r="B10347" s="4" t="n">
        <v>4</v>
      </c>
      <c r="C10347" s="4" t="inlineStr">
        <is>
          <t>whitetail</t>
        </is>
      </c>
      <c r="D10347" s="4" t="n">
        <v>2007</v>
      </c>
      <c r="E10347" s="13" t="inlineStr">
        <is>
          <t>General</t>
        </is>
      </c>
      <c r="F10347" s="5" t="n">
        <v>763</v>
      </c>
      <c r="G10347" s="5" t="n">
        <v>3743</v>
      </c>
      <c r="H10347" s="5" t="n">
        <v>240</v>
      </c>
      <c r="I10347" s="5" t="n">
        <v>133</v>
      </c>
      <c r="J10347" s="5" t="n">
        <v>87</v>
      </c>
      <c r="K10347" s="10">
        <f>IF(F10347&gt;0,H10347/F10347,"")</f>
        <v/>
      </c>
      <c r="L10347" s="16">
        <f>IF(AND(G10347&gt;0,H10347&gt;0),G10347/H10347,"")</f>
        <v/>
      </c>
    </row>
    <row r="10348">
      <c r="A10348" s="4" t="inlineStr">
        <is>
          <t>406</t>
        </is>
      </c>
      <c r="B10348" s="4" t="n">
        <v>4</v>
      </c>
      <c r="C10348" s="4" t="inlineStr">
        <is>
          <t>whitetail</t>
        </is>
      </c>
      <c r="D10348" s="4" t="n">
        <v>2008</v>
      </c>
      <c r="E10348" s="13" t="inlineStr">
        <is>
          <t>General</t>
        </is>
      </c>
      <c r="F10348" s="5" t="n">
        <v>896</v>
      </c>
      <c r="G10348" s="5" t="n">
        <v>4375</v>
      </c>
      <c r="H10348" s="5" t="n">
        <v>271</v>
      </c>
      <c r="I10348" s="5" t="n">
        <v>141</v>
      </c>
      <c r="J10348" s="5" t="n">
        <v>130</v>
      </c>
      <c r="K10348" s="10">
        <f>IF(F10348&gt;0,H10348/F10348,"")</f>
        <v/>
      </c>
      <c r="L10348" s="16">
        <f>IF(AND(G10348&gt;0,H10348&gt;0),G10348/H10348,"")</f>
        <v/>
      </c>
    </row>
    <row r="10349">
      <c r="A10349" s="4" t="inlineStr">
        <is>
          <t>406</t>
        </is>
      </c>
      <c r="B10349" s="4" t="n">
        <v>4</v>
      </c>
      <c r="C10349" s="4" t="inlineStr">
        <is>
          <t>whitetail</t>
        </is>
      </c>
      <c r="D10349" s="4" t="n">
        <v>2009</v>
      </c>
      <c r="E10349" s="13" t="inlineStr">
        <is>
          <t>General</t>
        </is>
      </c>
      <c r="F10349" s="5" t="n">
        <v>928</v>
      </c>
      <c r="G10349" s="5" t="n">
        <v>4031</v>
      </c>
      <c r="H10349" s="5" t="n">
        <v>288</v>
      </c>
      <c r="I10349" s="5" t="n">
        <v>128</v>
      </c>
      <c r="J10349" s="5" t="n">
        <v>154</v>
      </c>
      <c r="K10349" s="10">
        <f>IF(F10349&gt;0,H10349/F10349,"")</f>
        <v/>
      </c>
      <c r="L10349" s="16">
        <f>IF(AND(G10349&gt;0,H10349&gt;0),G10349/H10349,"")</f>
        <v/>
      </c>
    </row>
    <row r="10350">
      <c r="A10350" s="4" t="inlineStr">
        <is>
          <t>406</t>
        </is>
      </c>
      <c r="B10350" s="4" t="n">
        <v>4</v>
      </c>
      <c r="C10350" s="4" t="inlineStr">
        <is>
          <t>whitetail</t>
        </is>
      </c>
      <c r="D10350" s="4" t="n">
        <v>2010</v>
      </c>
      <c r="E10350" s="13" t="inlineStr">
        <is>
          <t>General</t>
        </is>
      </c>
      <c r="F10350" s="5" t="n">
        <v>981</v>
      </c>
      <c r="G10350" s="5" t="n">
        <v>4690</v>
      </c>
      <c r="H10350" s="5" t="n">
        <v>222</v>
      </c>
      <c r="I10350" s="5" t="n">
        <v>107</v>
      </c>
      <c r="J10350" s="5" t="n">
        <v>115</v>
      </c>
      <c r="K10350" s="10">
        <f>IF(F10350&gt;0,H10350/F10350,"")</f>
        <v/>
      </c>
      <c r="L10350" s="16">
        <f>IF(AND(G10350&gt;0,H10350&gt;0),G10350/H10350,"")</f>
        <v/>
      </c>
    </row>
    <row r="10351">
      <c r="A10351" s="4" t="inlineStr">
        <is>
          <t>406</t>
        </is>
      </c>
      <c r="B10351" s="4" t="n">
        <v>4</v>
      </c>
      <c r="C10351" s="4" t="inlineStr">
        <is>
          <t>whitetail</t>
        </is>
      </c>
      <c r="D10351" s="4" t="n">
        <v>2011</v>
      </c>
      <c r="E10351" s="13" t="inlineStr">
        <is>
          <t>General</t>
        </is>
      </c>
      <c r="F10351" s="5" t="n">
        <v>901</v>
      </c>
      <c r="G10351" s="5" t="n">
        <v>4648</v>
      </c>
      <c r="H10351" s="5" t="n">
        <v>293</v>
      </c>
      <c r="I10351" s="5" t="n">
        <v>140</v>
      </c>
      <c r="J10351" s="5" t="n">
        <v>152</v>
      </c>
      <c r="K10351" s="10">
        <f>IF(F10351&gt;0,H10351/F10351,"")</f>
        <v/>
      </c>
      <c r="L10351" s="16">
        <f>IF(AND(G10351&gt;0,H10351&gt;0),G10351/H10351,"")</f>
        <v/>
      </c>
    </row>
    <row r="10352">
      <c r="A10352" s="4" t="inlineStr">
        <is>
          <t>406</t>
        </is>
      </c>
      <c r="B10352" s="4" t="n">
        <v>4</v>
      </c>
      <c r="C10352" s="4" t="inlineStr">
        <is>
          <t>whitetail</t>
        </is>
      </c>
      <c r="D10352" s="4" t="n">
        <v>2012</v>
      </c>
      <c r="E10352" s="13" t="inlineStr">
        <is>
          <t>General</t>
        </is>
      </c>
      <c r="F10352" s="5" t="n"/>
      <c r="G10352" s="5" t="n"/>
      <c r="H10352" s="5" t="n">
        <v>336</v>
      </c>
      <c r="I10352" s="5" t="n">
        <v>165</v>
      </c>
      <c r="J10352" s="5" t="n">
        <v>169</v>
      </c>
      <c r="K10352" s="10">
        <f>IF(F10352&gt;0,H10352/F10352,"")</f>
        <v/>
      </c>
      <c r="L10352" s="16">
        <f>IF(AND(G10352&gt;0,H10352&gt;0),G10352/H10352,"")</f>
        <v/>
      </c>
    </row>
    <row r="10353">
      <c r="A10353" s="4" t="inlineStr">
        <is>
          <t>406</t>
        </is>
      </c>
      <c r="B10353" s="4" t="n">
        <v>4</v>
      </c>
      <c r="C10353" s="4" t="inlineStr">
        <is>
          <t>whitetail</t>
        </is>
      </c>
      <c r="D10353" s="4" t="n">
        <v>2013</v>
      </c>
      <c r="E10353" s="13" t="inlineStr">
        <is>
          <t>General</t>
        </is>
      </c>
      <c r="F10353" s="5" t="n">
        <v>730</v>
      </c>
      <c r="G10353" s="5" t="n">
        <v>3292</v>
      </c>
      <c r="H10353" s="5" t="n">
        <v>103</v>
      </c>
      <c r="I10353" s="5" t="n">
        <v>61</v>
      </c>
      <c r="J10353" s="5" t="n">
        <v>43</v>
      </c>
      <c r="K10353" s="10">
        <f>IF(F10353&gt;0,H10353/F10353,"")</f>
        <v/>
      </c>
      <c r="L10353" s="16">
        <f>IF(AND(G10353&gt;0,H10353&gt;0),G10353/H10353,"")</f>
        <v/>
      </c>
    </row>
    <row r="10354">
      <c r="A10354" s="4" t="inlineStr">
        <is>
          <t>406</t>
        </is>
      </c>
      <c r="B10354" s="4" t="n">
        <v>4</v>
      </c>
      <c r="C10354" s="4" t="inlineStr">
        <is>
          <t>whitetail</t>
        </is>
      </c>
      <c r="D10354" s="4" t="n">
        <v>2014</v>
      </c>
      <c r="E10354" s="13" t="inlineStr">
        <is>
          <t>General</t>
        </is>
      </c>
      <c r="F10354" s="5" t="n"/>
      <c r="G10354" s="5" t="n"/>
      <c r="H10354" s="5" t="n">
        <v>173</v>
      </c>
      <c r="I10354" s="5" t="n">
        <v>133</v>
      </c>
      <c r="J10354" s="5" t="n">
        <v>39</v>
      </c>
      <c r="K10354" s="10">
        <f>IF(F10354&gt;0,H10354/F10354,"")</f>
        <v/>
      </c>
      <c r="L10354" s="16">
        <f>IF(AND(G10354&gt;0,H10354&gt;0),G10354/H10354,"")</f>
        <v/>
      </c>
    </row>
    <row r="10355">
      <c r="A10355" s="4" t="inlineStr">
        <is>
          <t>406</t>
        </is>
      </c>
      <c r="B10355" s="4" t="n">
        <v>4</v>
      </c>
      <c r="C10355" s="4" t="inlineStr">
        <is>
          <t>whitetail</t>
        </is>
      </c>
      <c r="D10355" s="4" t="n">
        <v>2015</v>
      </c>
      <c r="E10355" s="13" t="inlineStr">
        <is>
          <t>General</t>
        </is>
      </c>
      <c r="F10355" s="5" t="n"/>
      <c r="G10355" s="5" t="n"/>
      <c r="H10355" s="5" t="n">
        <v>190</v>
      </c>
      <c r="I10355" s="5" t="n">
        <v>155</v>
      </c>
      <c r="J10355" s="5" t="n">
        <v>32</v>
      </c>
      <c r="K10355" s="10">
        <f>IF(F10355&gt;0,H10355/F10355,"")</f>
        <v/>
      </c>
      <c r="L10355" s="16">
        <f>IF(AND(G10355&gt;0,H10355&gt;0),G10355/H10355,"")</f>
        <v/>
      </c>
    </row>
    <row r="10356">
      <c r="A10356" s="4" t="inlineStr">
        <is>
          <t>406</t>
        </is>
      </c>
      <c r="B10356" s="4" t="n">
        <v>4</v>
      </c>
      <c r="C10356" s="4" t="inlineStr">
        <is>
          <t>whitetail</t>
        </is>
      </c>
      <c r="D10356" s="4" t="n">
        <v>2016</v>
      </c>
      <c r="E10356" s="13" t="inlineStr">
        <is>
          <t>General</t>
        </is>
      </c>
      <c r="F10356" s="5" t="n"/>
      <c r="G10356" s="5" t="n"/>
      <c r="H10356" s="5" t="n">
        <v>221</v>
      </c>
      <c r="I10356" s="5" t="n">
        <v>144</v>
      </c>
      <c r="J10356" s="5" t="n">
        <v>74</v>
      </c>
      <c r="K10356" s="10">
        <f>IF(F10356&gt;0,H10356/F10356,"")</f>
        <v/>
      </c>
      <c r="L10356" s="16">
        <f>IF(AND(G10356&gt;0,H10356&gt;0),G10356/H10356,"")</f>
        <v/>
      </c>
    </row>
    <row r="10357">
      <c r="A10357" s="4" t="inlineStr">
        <is>
          <t>406</t>
        </is>
      </c>
      <c r="B10357" s="4" t="n">
        <v>4</v>
      </c>
      <c r="C10357" s="4" t="inlineStr">
        <is>
          <t>whitetail</t>
        </is>
      </c>
      <c r="D10357" s="4" t="n">
        <v>2017</v>
      </c>
      <c r="E10357" s="13" t="inlineStr">
        <is>
          <t>General</t>
        </is>
      </c>
      <c r="F10357" s="5" t="n">
        <v>757</v>
      </c>
      <c r="G10357" s="5" t="n">
        <v>3690</v>
      </c>
      <c r="H10357" s="5" t="n">
        <v>285</v>
      </c>
      <c r="I10357" s="5" t="n">
        <v>166</v>
      </c>
      <c r="J10357" s="5" t="n">
        <v>119</v>
      </c>
      <c r="K10357" s="10">
        <f>IF(F10357&gt;0,H10357/F10357,"")</f>
        <v/>
      </c>
      <c r="L10357" s="16">
        <f>IF(AND(G10357&gt;0,H10357&gt;0),G10357/H10357,"")</f>
        <v/>
      </c>
    </row>
    <row r="10358">
      <c r="A10358" s="4" t="inlineStr">
        <is>
          <t>406</t>
        </is>
      </c>
      <c r="B10358" s="4" t="n">
        <v>4</v>
      </c>
      <c r="C10358" s="4" t="inlineStr">
        <is>
          <t>whitetail</t>
        </is>
      </c>
      <c r="D10358" s="4" t="n">
        <v>2018</v>
      </c>
      <c r="E10358" s="13" t="inlineStr">
        <is>
          <t>General</t>
        </is>
      </c>
      <c r="F10358" s="5" t="n"/>
      <c r="G10358" s="5" t="n"/>
      <c r="H10358" s="5" t="n">
        <v>220</v>
      </c>
      <c r="I10358" s="5" t="n">
        <v>128</v>
      </c>
      <c r="J10358" s="5" t="n">
        <v>91</v>
      </c>
      <c r="K10358" s="10">
        <f>IF(F10358&gt;0,H10358/F10358,"")</f>
        <v/>
      </c>
      <c r="L10358" s="16">
        <f>IF(AND(G10358&gt;0,H10358&gt;0),G10358/H10358,"")</f>
        <v/>
      </c>
    </row>
    <row r="10359">
      <c r="A10359" s="4" t="inlineStr">
        <is>
          <t>406</t>
        </is>
      </c>
      <c r="B10359" s="4" t="n">
        <v>4</v>
      </c>
      <c r="C10359" s="4" t="inlineStr">
        <is>
          <t>whitetail</t>
        </is>
      </c>
      <c r="D10359" s="4" t="n">
        <v>2019</v>
      </c>
      <c r="E10359" s="13" t="inlineStr">
        <is>
          <t>General</t>
        </is>
      </c>
      <c r="F10359" s="5" t="n">
        <v>778</v>
      </c>
      <c r="G10359" s="5" t="n">
        <v>3272</v>
      </c>
      <c r="H10359" s="5" t="n">
        <v>238</v>
      </c>
      <c r="I10359" s="5" t="n">
        <v>124</v>
      </c>
      <c r="J10359" s="5" t="n">
        <v>114</v>
      </c>
      <c r="K10359" s="10">
        <f>IF(F10359&gt;0,H10359/F10359,"")</f>
        <v/>
      </c>
      <c r="L10359" s="16">
        <f>IF(AND(G10359&gt;0,H10359&gt;0),G10359/H10359,"")</f>
        <v/>
      </c>
    </row>
    <row r="10360">
      <c r="A10360" s="4" t="inlineStr">
        <is>
          <t>406</t>
        </is>
      </c>
      <c r="B10360" s="4" t="n">
        <v>4</v>
      </c>
      <c r="C10360" s="4" t="inlineStr">
        <is>
          <t>whitetail</t>
        </is>
      </c>
      <c r="D10360" s="4" t="n">
        <v>2020</v>
      </c>
      <c r="E10360" s="13" t="inlineStr">
        <is>
          <t>General</t>
        </is>
      </c>
      <c r="F10360" s="5" t="n"/>
      <c r="G10360" s="5" t="n"/>
      <c r="H10360" s="5" t="n">
        <v>324</v>
      </c>
      <c r="I10360" s="5" t="n">
        <v>156</v>
      </c>
      <c r="J10360" s="5" t="n">
        <v>168</v>
      </c>
      <c r="K10360" s="10">
        <f>IF(F10360&gt;0,H10360/F10360,"")</f>
        <v/>
      </c>
      <c r="L10360" s="16">
        <f>IF(AND(G10360&gt;0,H10360&gt;0),G10360/H10360,"")</f>
        <v/>
      </c>
    </row>
    <row r="10361">
      <c r="A10361" s="4" t="inlineStr">
        <is>
          <t>406</t>
        </is>
      </c>
      <c r="B10361" s="4" t="n">
        <v>4</v>
      </c>
      <c r="C10361" s="4" t="inlineStr">
        <is>
          <t>whitetail</t>
        </is>
      </c>
      <c r="D10361" s="4" t="n">
        <v>2021</v>
      </c>
      <c r="E10361" s="13" t="inlineStr">
        <is>
          <t>General</t>
        </is>
      </c>
      <c r="F10361" s="5" t="n">
        <v>620</v>
      </c>
      <c r="G10361" s="5" t="n">
        <v>3176</v>
      </c>
      <c r="H10361" s="5" t="n">
        <v>276</v>
      </c>
      <c r="I10361" s="5" t="n">
        <v>148</v>
      </c>
      <c r="J10361" s="5" t="n">
        <v>126</v>
      </c>
      <c r="K10361" s="10">
        <f>IF(F10361&gt;0,H10361/F10361,"")</f>
        <v/>
      </c>
      <c r="L10361" s="16">
        <f>IF(AND(G10361&gt;0,H10361&gt;0),G10361/H10361,"")</f>
        <v/>
      </c>
    </row>
    <row r="10362">
      <c r="A10362" s="4" t="inlineStr">
        <is>
          <t>406</t>
        </is>
      </c>
      <c r="B10362" s="4" t="n">
        <v>4</v>
      </c>
      <c r="C10362" s="4" t="inlineStr">
        <is>
          <t>whitetail</t>
        </is>
      </c>
      <c r="D10362" s="4" t="n">
        <v>2022</v>
      </c>
      <c r="E10362" s="13" t="inlineStr">
        <is>
          <t>General</t>
        </is>
      </c>
      <c r="F10362" s="5" t="n"/>
      <c r="G10362" s="5" t="n"/>
      <c r="H10362" s="5" t="n">
        <v>295</v>
      </c>
      <c r="I10362" s="5" t="n">
        <v>168</v>
      </c>
      <c r="J10362" s="5" t="n">
        <v>128</v>
      </c>
      <c r="K10362" s="10">
        <f>IF(F10362&gt;0,H10362/F10362,"")</f>
        <v/>
      </c>
      <c r="L10362" s="16">
        <f>IF(AND(G10362&gt;0,H10362&gt;0),G10362/H10362,"")</f>
        <v/>
      </c>
    </row>
    <row r="10363">
      <c r="A10363" s="4" t="inlineStr">
        <is>
          <t>406</t>
        </is>
      </c>
      <c r="B10363" s="4" t="n">
        <v>4</v>
      </c>
      <c r="C10363" s="4" t="inlineStr">
        <is>
          <t>whitetail</t>
        </is>
      </c>
      <c r="D10363" s="4" t="n">
        <v>2023</v>
      </c>
      <c r="E10363" s="13" t="inlineStr">
        <is>
          <t>General</t>
        </is>
      </c>
      <c r="F10363" s="5" t="n">
        <v>715</v>
      </c>
      <c r="G10363" s="5" t="n">
        <v>3328</v>
      </c>
      <c r="H10363" s="5" t="n">
        <v>233</v>
      </c>
      <c r="I10363" s="5" t="n">
        <v>129</v>
      </c>
      <c r="J10363" s="5" t="n">
        <v>104</v>
      </c>
      <c r="K10363" s="10">
        <f>IF(F10363&gt;0,H10363/F10363,"")</f>
        <v/>
      </c>
      <c r="L10363" s="16">
        <f>IF(AND(G10363&gt;0,H10363&gt;0),G10363/H10363,"")</f>
        <v/>
      </c>
    </row>
    <row r="10364">
      <c r="A10364" s="4" t="inlineStr">
        <is>
          <t>406</t>
        </is>
      </c>
      <c r="B10364" s="4" t="n">
        <v>4</v>
      </c>
      <c r="C10364" s="4" t="inlineStr">
        <is>
          <t>whitetail</t>
        </is>
      </c>
      <c r="D10364" s="4" t="n">
        <v>2024</v>
      </c>
      <c r="E10364" s="13" t="inlineStr">
        <is>
          <t>General</t>
        </is>
      </c>
      <c r="F10364" s="5" t="n"/>
      <c r="G10364" s="5" t="n"/>
      <c r="H10364" s="5" t="n">
        <v>307</v>
      </c>
      <c r="I10364" s="5" t="n">
        <v>157</v>
      </c>
      <c r="J10364" s="5" t="n">
        <v>147</v>
      </c>
      <c r="K10364" s="10">
        <f>IF(F10364&gt;0,H10364/F10364,"")</f>
        <v/>
      </c>
      <c r="L10364" s="16">
        <f>IF(AND(G10364&gt;0,H10364&gt;0),G10364/H10364,"")</f>
        <v/>
      </c>
    </row>
    <row r="10365">
      <c r="A10365" s="4" t="inlineStr">
        <is>
          <t>406</t>
        </is>
      </c>
      <c r="B10365" s="4" t="n">
        <v>4</v>
      </c>
      <c r="C10365" s="4" t="inlineStr">
        <is>
          <t>whitetail</t>
        </is>
      </c>
      <c r="D10365" s="4" t="n">
        <v>2025</v>
      </c>
      <c r="E10365" s="13" t="inlineStr">
        <is>
          <t>General</t>
        </is>
      </c>
      <c r="F10365" s="5" t="n">
        <v>731</v>
      </c>
      <c r="G10365" s="5" t="n">
        <v>3305</v>
      </c>
      <c r="H10365" s="5" t="n">
        <v>207</v>
      </c>
      <c r="I10365" s="5" t="n">
        <v>123</v>
      </c>
      <c r="J10365" s="5" t="n">
        <v>83</v>
      </c>
      <c r="K10365" s="10">
        <f>IF(F10365&gt;0,H10365/F10365,"")</f>
        <v/>
      </c>
      <c r="L10365" s="16">
        <f>IF(AND(G10365&gt;0,H10365&gt;0),G10365/H10365,"")</f>
        <v/>
      </c>
    </row>
    <row r="10366">
      <c r="A10366" s="4" t="inlineStr">
        <is>
          <t>410</t>
        </is>
      </c>
      <c r="B10366" s="4" t="n">
        <v>4</v>
      </c>
      <c r="C10366" s="4" t="inlineStr">
        <is>
          <t>whitetail</t>
        </is>
      </c>
      <c r="D10366" s="4" t="n">
        <v>2004</v>
      </c>
      <c r="E10366" s="13" t="inlineStr">
        <is>
          <t>General</t>
        </is>
      </c>
      <c r="F10366" s="5" t="n">
        <v>1731</v>
      </c>
      <c r="G10366" s="5" t="n">
        <v>8051</v>
      </c>
      <c r="H10366" s="5" t="n">
        <v>132</v>
      </c>
      <c r="I10366" s="5" t="n">
        <v>73</v>
      </c>
      <c r="J10366" s="5" t="n">
        <v>54</v>
      </c>
      <c r="K10366" s="10">
        <f>IF(F10366&gt;0,H10366/F10366,"")</f>
        <v/>
      </c>
      <c r="L10366" s="16">
        <f>IF(AND(G10366&gt;0,H10366&gt;0),G10366/H10366,"")</f>
        <v/>
      </c>
    </row>
    <row r="10367">
      <c r="A10367" s="4" t="inlineStr">
        <is>
          <t>410</t>
        </is>
      </c>
      <c r="B10367" s="4" t="n">
        <v>4</v>
      </c>
      <c r="C10367" s="4" t="inlineStr">
        <is>
          <t>whitetail</t>
        </is>
      </c>
      <c r="D10367" s="4" t="n">
        <v>2005</v>
      </c>
      <c r="E10367" s="13" t="inlineStr">
        <is>
          <t>General</t>
        </is>
      </c>
      <c r="F10367" s="5" t="n">
        <v>2103</v>
      </c>
      <c r="G10367" s="5" t="n">
        <v>11410</v>
      </c>
      <c r="H10367" s="5" t="n">
        <v>119</v>
      </c>
      <c r="I10367" s="5" t="n">
        <v>82</v>
      </c>
      <c r="J10367" s="5" t="n">
        <v>37</v>
      </c>
      <c r="K10367" s="10">
        <f>IF(F10367&gt;0,H10367/F10367,"")</f>
        <v/>
      </c>
      <c r="L10367" s="16">
        <f>IF(AND(G10367&gt;0,H10367&gt;0),G10367/H10367,"")</f>
        <v/>
      </c>
    </row>
    <row r="10368">
      <c r="A10368" s="4" t="inlineStr">
        <is>
          <t>410</t>
        </is>
      </c>
      <c r="B10368" s="4" t="n">
        <v>4</v>
      </c>
      <c r="C10368" s="4" t="inlineStr">
        <is>
          <t>whitetail</t>
        </is>
      </c>
      <c r="D10368" s="4" t="n">
        <v>2006</v>
      </c>
      <c r="E10368" s="13" t="inlineStr">
        <is>
          <t>General</t>
        </is>
      </c>
      <c r="F10368" s="5" t="n">
        <v>2225</v>
      </c>
      <c r="G10368" s="5" t="n">
        <v>11737</v>
      </c>
      <c r="H10368" s="5" t="n">
        <v>244</v>
      </c>
      <c r="I10368" s="5" t="n">
        <v>134</v>
      </c>
      <c r="J10368" s="5" t="n">
        <v>107</v>
      </c>
      <c r="K10368" s="10">
        <f>IF(F10368&gt;0,H10368/F10368,"")</f>
        <v/>
      </c>
      <c r="L10368" s="16">
        <f>IF(AND(G10368&gt;0,H10368&gt;0),G10368/H10368,"")</f>
        <v/>
      </c>
    </row>
    <row r="10369">
      <c r="A10369" s="4" t="inlineStr">
        <is>
          <t>410</t>
        </is>
      </c>
      <c r="B10369" s="4" t="n">
        <v>4</v>
      </c>
      <c r="C10369" s="4" t="inlineStr">
        <is>
          <t>whitetail</t>
        </is>
      </c>
      <c r="D10369" s="4" t="n">
        <v>2007</v>
      </c>
      <c r="E10369" s="13" t="inlineStr">
        <is>
          <t>General</t>
        </is>
      </c>
      <c r="F10369" s="5" t="n">
        <v>2240</v>
      </c>
      <c r="G10369" s="5" t="n">
        <v>11944</v>
      </c>
      <c r="H10369" s="5" t="n">
        <v>216</v>
      </c>
      <c r="I10369" s="5" t="n">
        <v>113</v>
      </c>
      <c r="J10369" s="5" t="n">
        <v>98</v>
      </c>
      <c r="K10369" s="10">
        <f>IF(F10369&gt;0,H10369/F10369,"")</f>
        <v/>
      </c>
      <c r="L10369" s="16">
        <f>IF(AND(G10369&gt;0,H10369&gt;0),G10369/H10369,"")</f>
        <v/>
      </c>
    </row>
    <row r="10370">
      <c r="A10370" s="4" t="inlineStr">
        <is>
          <t>410</t>
        </is>
      </c>
      <c r="B10370" s="4" t="n">
        <v>4</v>
      </c>
      <c r="C10370" s="4" t="inlineStr">
        <is>
          <t>whitetail</t>
        </is>
      </c>
      <c r="D10370" s="4" t="n">
        <v>2008</v>
      </c>
      <c r="E10370" s="13" t="inlineStr">
        <is>
          <t>General</t>
        </is>
      </c>
      <c r="F10370" s="5" t="n">
        <v>2103</v>
      </c>
      <c r="G10370" s="5" t="n">
        <v>10440</v>
      </c>
      <c r="H10370" s="5" t="n">
        <v>202</v>
      </c>
      <c r="I10370" s="5" t="n">
        <v>119</v>
      </c>
      <c r="J10370" s="5" t="n">
        <v>80</v>
      </c>
      <c r="K10370" s="10">
        <f>IF(F10370&gt;0,H10370/F10370,"")</f>
        <v/>
      </c>
      <c r="L10370" s="16">
        <f>IF(AND(G10370&gt;0,H10370&gt;0),G10370/H10370,"")</f>
        <v/>
      </c>
    </row>
    <row r="10371">
      <c r="A10371" s="4" t="inlineStr">
        <is>
          <t>410</t>
        </is>
      </c>
      <c r="B10371" s="4" t="n">
        <v>4</v>
      </c>
      <c r="C10371" s="4" t="inlineStr">
        <is>
          <t>whitetail</t>
        </is>
      </c>
      <c r="D10371" s="4" t="n">
        <v>2009</v>
      </c>
      <c r="E10371" s="13" t="inlineStr">
        <is>
          <t>General</t>
        </is>
      </c>
      <c r="F10371" s="5" t="n">
        <v>1993</v>
      </c>
      <c r="G10371" s="5" t="n">
        <v>9847</v>
      </c>
      <c r="H10371" s="5" t="n">
        <v>168</v>
      </c>
      <c r="I10371" s="5" t="n">
        <v>100</v>
      </c>
      <c r="J10371" s="5" t="n">
        <v>64</v>
      </c>
      <c r="K10371" s="10">
        <f>IF(F10371&gt;0,H10371/F10371,"")</f>
        <v/>
      </c>
      <c r="L10371" s="16">
        <f>IF(AND(G10371&gt;0,H10371&gt;0),G10371/H10371,"")</f>
        <v/>
      </c>
    </row>
    <row r="10372">
      <c r="A10372" s="4" t="inlineStr">
        <is>
          <t>410</t>
        </is>
      </c>
      <c r="B10372" s="4" t="n">
        <v>4</v>
      </c>
      <c r="C10372" s="4" t="inlineStr">
        <is>
          <t>whitetail</t>
        </is>
      </c>
      <c r="D10372" s="4" t="n">
        <v>2010</v>
      </c>
      <c r="E10372" s="13" t="inlineStr">
        <is>
          <t>General</t>
        </is>
      </c>
      <c r="F10372" s="5" t="n">
        <v>1653</v>
      </c>
      <c r="G10372" s="5" t="n">
        <v>8281</v>
      </c>
      <c r="H10372" s="5" t="n">
        <v>127</v>
      </c>
      <c r="I10372" s="5" t="n">
        <v>70</v>
      </c>
      <c r="J10372" s="5" t="n">
        <v>57</v>
      </c>
      <c r="K10372" s="10">
        <f>IF(F10372&gt;0,H10372/F10372,"")</f>
        <v/>
      </c>
      <c r="L10372" s="16">
        <f>IF(AND(G10372&gt;0,H10372&gt;0),G10372/H10372,"")</f>
        <v/>
      </c>
    </row>
    <row r="10373">
      <c r="A10373" s="4" t="inlineStr">
        <is>
          <t>410</t>
        </is>
      </c>
      <c r="B10373" s="4" t="n">
        <v>4</v>
      </c>
      <c r="C10373" s="4" t="inlineStr">
        <is>
          <t>whitetail</t>
        </is>
      </c>
      <c r="D10373" s="4" t="n">
        <v>2011</v>
      </c>
      <c r="E10373" s="13" t="inlineStr">
        <is>
          <t>General</t>
        </is>
      </c>
      <c r="F10373" s="5" t="n">
        <v>1608</v>
      </c>
      <c r="G10373" s="5" t="n">
        <v>8218</v>
      </c>
      <c r="H10373" s="5" t="n">
        <v>72</v>
      </c>
      <c r="I10373" s="5" t="n">
        <v>45</v>
      </c>
      <c r="J10373" s="5" t="n">
        <v>22</v>
      </c>
      <c r="K10373" s="10">
        <f>IF(F10373&gt;0,H10373/F10373,"")</f>
        <v/>
      </c>
      <c r="L10373" s="16">
        <f>IF(AND(G10373&gt;0,H10373&gt;0),G10373/H10373,"")</f>
        <v/>
      </c>
    </row>
    <row r="10374">
      <c r="A10374" s="4" t="inlineStr">
        <is>
          <t>410</t>
        </is>
      </c>
      <c r="B10374" s="4" t="n">
        <v>4</v>
      </c>
      <c r="C10374" s="4" t="inlineStr">
        <is>
          <t>whitetail</t>
        </is>
      </c>
      <c r="D10374" s="4" t="n">
        <v>2012</v>
      </c>
      <c r="E10374" s="13" t="inlineStr">
        <is>
          <t>General</t>
        </is>
      </c>
      <c r="F10374" s="5" t="n"/>
      <c r="G10374" s="5" t="n"/>
      <c r="H10374" s="5" t="n">
        <v>107</v>
      </c>
      <c r="I10374" s="5" t="n">
        <v>53</v>
      </c>
      <c r="J10374" s="5" t="n">
        <v>54</v>
      </c>
      <c r="K10374" s="10">
        <f>IF(F10374&gt;0,H10374/F10374,"")</f>
        <v/>
      </c>
      <c r="L10374" s="16">
        <f>IF(AND(G10374&gt;0,H10374&gt;0),G10374/H10374,"")</f>
        <v/>
      </c>
    </row>
    <row r="10375">
      <c r="A10375" s="4" t="inlineStr">
        <is>
          <t>410</t>
        </is>
      </c>
      <c r="B10375" s="4" t="n">
        <v>4</v>
      </c>
      <c r="C10375" s="4" t="inlineStr">
        <is>
          <t>whitetail</t>
        </is>
      </c>
      <c r="D10375" s="4" t="n">
        <v>2013</v>
      </c>
      <c r="E10375" s="13" t="inlineStr">
        <is>
          <t>General</t>
        </is>
      </c>
      <c r="F10375" s="5" t="n">
        <v>1469</v>
      </c>
      <c r="G10375" s="5" t="n">
        <v>8333</v>
      </c>
      <c r="H10375" s="5" t="n">
        <v>81</v>
      </c>
      <c r="I10375" s="5" t="n">
        <v>48</v>
      </c>
      <c r="J10375" s="5" t="n">
        <v>33</v>
      </c>
      <c r="K10375" s="10">
        <f>IF(F10375&gt;0,H10375/F10375,"")</f>
        <v/>
      </c>
      <c r="L10375" s="16">
        <f>IF(AND(G10375&gt;0,H10375&gt;0),G10375/H10375,"")</f>
        <v/>
      </c>
    </row>
    <row r="10376">
      <c r="A10376" s="4" t="inlineStr">
        <is>
          <t>410</t>
        </is>
      </c>
      <c r="B10376" s="4" t="n">
        <v>4</v>
      </c>
      <c r="C10376" s="4" t="inlineStr">
        <is>
          <t>whitetail</t>
        </is>
      </c>
      <c r="D10376" s="4" t="n">
        <v>2014</v>
      </c>
      <c r="E10376" s="13" t="inlineStr">
        <is>
          <t>General</t>
        </is>
      </c>
      <c r="F10376" s="5" t="n"/>
      <c r="G10376" s="5" t="n"/>
      <c r="H10376" s="5" t="n">
        <v>98</v>
      </c>
      <c r="I10376" s="5" t="n">
        <v>93</v>
      </c>
      <c r="J10376" s="5" t="n">
        <v>6</v>
      </c>
      <c r="K10376" s="10">
        <f>IF(F10376&gt;0,H10376/F10376,"")</f>
        <v/>
      </c>
      <c r="L10376" s="16">
        <f>IF(AND(G10376&gt;0,H10376&gt;0),G10376/H10376,"")</f>
        <v/>
      </c>
    </row>
    <row r="10377">
      <c r="A10377" s="4" t="inlineStr">
        <is>
          <t>410</t>
        </is>
      </c>
      <c r="B10377" s="4" t="n">
        <v>4</v>
      </c>
      <c r="C10377" s="4" t="inlineStr">
        <is>
          <t>whitetail</t>
        </is>
      </c>
      <c r="D10377" s="4" t="n">
        <v>2015</v>
      </c>
      <c r="E10377" s="13" t="inlineStr">
        <is>
          <t>General</t>
        </is>
      </c>
      <c r="F10377" s="5" t="n"/>
      <c r="G10377" s="5" t="n"/>
      <c r="H10377" s="5" t="n">
        <v>80</v>
      </c>
      <c r="I10377" s="5" t="n">
        <v>77</v>
      </c>
      <c r="J10377" s="5" t="n">
        <v>3</v>
      </c>
      <c r="K10377" s="10">
        <f>IF(F10377&gt;0,H10377/F10377,"")</f>
        <v/>
      </c>
      <c r="L10377" s="16">
        <f>IF(AND(G10377&gt;0,H10377&gt;0),G10377/H10377,"")</f>
        <v/>
      </c>
    </row>
    <row r="10378">
      <c r="A10378" s="4" t="inlineStr">
        <is>
          <t>410</t>
        </is>
      </c>
      <c r="B10378" s="4" t="n">
        <v>4</v>
      </c>
      <c r="C10378" s="4" t="inlineStr">
        <is>
          <t>whitetail</t>
        </is>
      </c>
      <c r="D10378" s="4" t="n">
        <v>2016</v>
      </c>
      <c r="E10378" s="13" t="inlineStr">
        <is>
          <t>General</t>
        </is>
      </c>
      <c r="F10378" s="5" t="n"/>
      <c r="G10378" s="5" t="n"/>
      <c r="H10378" s="5" t="n">
        <v>78</v>
      </c>
      <c r="I10378" s="5" t="n">
        <v>66</v>
      </c>
      <c r="J10378" s="5" t="n">
        <v>12</v>
      </c>
      <c r="K10378" s="10">
        <f>IF(F10378&gt;0,H10378/F10378,"")</f>
        <v/>
      </c>
      <c r="L10378" s="16">
        <f>IF(AND(G10378&gt;0,H10378&gt;0),G10378/H10378,"")</f>
        <v/>
      </c>
    </row>
    <row r="10379">
      <c r="A10379" s="4" t="inlineStr">
        <is>
          <t>410</t>
        </is>
      </c>
      <c r="B10379" s="4" t="n">
        <v>4</v>
      </c>
      <c r="C10379" s="4" t="inlineStr">
        <is>
          <t>whitetail</t>
        </is>
      </c>
      <c r="D10379" s="4" t="n">
        <v>2017</v>
      </c>
      <c r="E10379" s="13" t="inlineStr">
        <is>
          <t>General</t>
        </is>
      </c>
      <c r="F10379" s="5" t="n">
        <v>2128</v>
      </c>
      <c r="G10379" s="5" t="n">
        <v>12221</v>
      </c>
      <c r="H10379" s="5" t="n">
        <v>83</v>
      </c>
      <c r="I10379" s="5" t="n">
        <v>62</v>
      </c>
      <c r="J10379" s="5" t="n">
        <v>21</v>
      </c>
      <c r="K10379" s="10">
        <f>IF(F10379&gt;0,H10379/F10379,"")</f>
        <v/>
      </c>
      <c r="L10379" s="16">
        <f>IF(AND(G10379&gt;0,H10379&gt;0),G10379/H10379,"")</f>
        <v/>
      </c>
    </row>
    <row r="10380">
      <c r="A10380" s="4" t="inlineStr">
        <is>
          <t>410</t>
        </is>
      </c>
      <c r="B10380" s="4" t="n">
        <v>4</v>
      </c>
      <c r="C10380" s="4" t="inlineStr">
        <is>
          <t>whitetail</t>
        </is>
      </c>
      <c r="D10380" s="4" t="n">
        <v>2018</v>
      </c>
      <c r="E10380" s="13" t="inlineStr">
        <is>
          <t>General</t>
        </is>
      </c>
      <c r="F10380" s="5" t="n"/>
      <c r="G10380" s="5" t="n"/>
      <c r="H10380" s="5" t="n">
        <v>67</v>
      </c>
      <c r="I10380" s="5" t="n">
        <v>37</v>
      </c>
      <c r="J10380" s="5" t="n">
        <v>30</v>
      </c>
      <c r="K10380" s="10">
        <f>IF(F10380&gt;0,H10380/F10380,"")</f>
        <v/>
      </c>
      <c r="L10380" s="16">
        <f>IF(AND(G10380&gt;0,H10380&gt;0),G10380/H10380,"")</f>
        <v/>
      </c>
    </row>
    <row r="10381">
      <c r="A10381" s="4" t="inlineStr">
        <is>
          <t>410</t>
        </is>
      </c>
      <c r="B10381" s="4" t="n">
        <v>4</v>
      </c>
      <c r="C10381" s="4" t="inlineStr">
        <is>
          <t>whitetail</t>
        </is>
      </c>
      <c r="D10381" s="4" t="n">
        <v>2019</v>
      </c>
      <c r="E10381" s="13" t="inlineStr">
        <is>
          <t>General</t>
        </is>
      </c>
      <c r="F10381" s="5" t="n">
        <v>2161</v>
      </c>
      <c r="G10381" s="5" t="n">
        <v>12124</v>
      </c>
      <c r="H10381" s="5" t="n">
        <v>134</v>
      </c>
      <c r="I10381" s="5" t="n">
        <v>86</v>
      </c>
      <c r="J10381" s="5" t="n">
        <v>45</v>
      </c>
      <c r="K10381" s="10">
        <f>IF(F10381&gt;0,H10381/F10381,"")</f>
        <v/>
      </c>
      <c r="L10381" s="16">
        <f>IF(AND(G10381&gt;0,H10381&gt;0),G10381/H10381,"")</f>
        <v/>
      </c>
    </row>
    <row r="10382">
      <c r="A10382" s="4" t="inlineStr">
        <is>
          <t>410</t>
        </is>
      </c>
      <c r="B10382" s="4" t="n">
        <v>4</v>
      </c>
      <c r="C10382" s="4" t="inlineStr">
        <is>
          <t>whitetail</t>
        </is>
      </c>
      <c r="D10382" s="4" t="n">
        <v>2020</v>
      </c>
      <c r="E10382" s="13" t="inlineStr">
        <is>
          <t>General</t>
        </is>
      </c>
      <c r="F10382" s="5" t="n"/>
      <c r="G10382" s="5" t="n"/>
      <c r="H10382" s="5" t="n">
        <v>176</v>
      </c>
      <c r="I10382" s="5" t="n">
        <v>109</v>
      </c>
      <c r="J10382" s="5" t="n">
        <v>63</v>
      </c>
      <c r="K10382" s="10">
        <f>IF(F10382&gt;0,H10382/F10382,"")</f>
        <v/>
      </c>
      <c r="L10382" s="16">
        <f>IF(AND(G10382&gt;0,H10382&gt;0),G10382/H10382,"")</f>
        <v/>
      </c>
    </row>
    <row r="10383">
      <c r="A10383" s="4" t="inlineStr">
        <is>
          <t>410</t>
        </is>
      </c>
      <c r="B10383" s="4" t="n">
        <v>4</v>
      </c>
      <c r="C10383" s="4" t="inlineStr">
        <is>
          <t>whitetail</t>
        </is>
      </c>
      <c r="D10383" s="4" t="n">
        <v>2021</v>
      </c>
      <c r="E10383" s="13" t="inlineStr">
        <is>
          <t>General</t>
        </is>
      </c>
      <c r="F10383" s="5" t="n">
        <v>2294</v>
      </c>
      <c r="G10383" s="5" t="n">
        <v>14143</v>
      </c>
      <c r="H10383" s="5" t="n">
        <v>114</v>
      </c>
      <c r="I10383" s="5" t="n">
        <v>93</v>
      </c>
      <c r="J10383" s="5" t="n">
        <v>22</v>
      </c>
      <c r="K10383" s="10">
        <f>IF(F10383&gt;0,H10383/F10383,"")</f>
        <v/>
      </c>
      <c r="L10383" s="16">
        <f>IF(AND(G10383&gt;0,H10383&gt;0),G10383/H10383,"")</f>
        <v/>
      </c>
    </row>
    <row r="10384">
      <c r="A10384" s="4" t="inlineStr">
        <is>
          <t>410</t>
        </is>
      </c>
      <c r="B10384" s="4" t="n">
        <v>4</v>
      </c>
      <c r="C10384" s="4" t="inlineStr">
        <is>
          <t>whitetail</t>
        </is>
      </c>
      <c r="D10384" s="4" t="n">
        <v>2022</v>
      </c>
      <c r="E10384" s="13" t="inlineStr">
        <is>
          <t>General</t>
        </is>
      </c>
      <c r="F10384" s="5" t="n"/>
      <c r="G10384" s="5" t="n"/>
      <c r="H10384" s="5" t="n">
        <v>143</v>
      </c>
      <c r="I10384" s="5" t="n">
        <v>88</v>
      </c>
      <c r="J10384" s="5" t="n">
        <v>55</v>
      </c>
      <c r="K10384" s="10">
        <f>IF(F10384&gt;0,H10384/F10384,"")</f>
        <v/>
      </c>
      <c r="L10384" s="16">
        <f>IF(AND(G10384&gt;0,H10384&gt;0),G10384/H10384,"")</f>
        <v/>
      </c>
    </row>
    <row r="10385">
      <c r="A10385" s="4" t="inlineStr">
        <is>
          <t>410</t>
        </is>
      </c>
      <c r="B10385" s="4" t="n">
        <v>4</v>
      </c>
      <c r="C10385" s="4" t="inlineStr">
        <is>
          <t>whitetail</t>
        </is>
      </c>
      <c r="D10385" s="4" t="n">
        <v>2023</v>
      </c>
      <c r="E10385" s="13" t="inlineStr">
        <is>
          <t>General</t>
        </is>
      </c>
      <c r="F10385" s="5" t="n">
        <v>1475</v>
      </c>
      <c r="G10385" s="5" t="n">
        <v>8791</v>
      </c>
      <c r="H10385" s="5" t="n">
        <v>92</v>
      </c>
      <c r="I10385" s="5" t="n">
        <v>52</v>
      </c>
      <c r="J10385" s="5" t="n">
        <v>40</v>
      </c>
      <c r="K10385" s="10">
        <f>IF(F10385&gt;0,H10385/F10385,"")</f>
        <v/>
      </c>
      <c r="L10385" s="16">
        <f>IF(AND(G10385&gt;0,H10385&gt;0),G10385/H10385,"")</f>
        <v/>
      </c>
    </row>
    <row r="10386">
      <c r="A10386" s="4" t="inlineStr">
        <is>
          <t>410</t>
        </is>
      </c>
      <c r="B10386" s="4" t="n">
        <v>4</v>
      </c>
      <c r="C10386" s="4" t="inlineStr">
        <is>
          <t>whitetail</t>
        </is>
      </c>
      <c r="D10386" s="4" t="n">
        <v>2024</v>
      </c>
      <c r="E10386" s="13" t="inlineStr">
        <is>
          <t>General</t>
        </is>
      </c>
      <c r="F10386" s="5" t="n"/>
      <c r="G10386" s="5" t="n"/>
      <c r="H10386" s="5" t="n">
        <v>127</v>
      </c>
      <c r="I10386" s="5" t="n">
        <v>81</v>
      </c>
      <c r="J10386" s="5" t="n">
        <v>46</v>
      </c>
      <c r="K10386" s="10">
        <f>IF(F10386&gt;0,H10386/F10386,"")</f>
        <v/>
      </c>
      <c r="L10386" s="16">
        <f>IF(AND(G10386&gt;0,H10386&gt;0),G10386/H10386,"")</f>
        <v/>
      </c>
    </row>
    <row r="10387">
      <c r="A10387" s="4" t="inlineStr">
        <is>
          <t>410</t>
        </is>
      </c>
      <c r="B10387" s="4" t="n">
        <v>4</v>
      </c>
      <c r="C10387" s="4" t="inlineStr">
        <is>
          <t>whitetail</t>
        </is>
      </c>
      <c r="D10387" s="4" t="n">
        <v>2025</v>
      </c>
      <c r="E10387" s="13" t="inlineStr">
        <is>
          <t>General</t>
        </is>
      </c>
      <c r="F10387" s="5" t="n">
        <v>505</v>
      </c>
      <c r="G10387" s="5" t="n">
        <v>3423</v>
      </c>
      <c r="H10387" s="5" t="n">
        <v>129</v>
      </c>
      <c r="I10387" s="5" t="n">
        <v>79</v>
      </c>
      <c r="J10387" s="5" t="n">
        <v>50</v>
      </c>
      <c r="K10387" s="10">
        <f>IF(F10387&gt;0,H10387/F10387,"")</f>
        <v/>
      </c>
      <c r="L10387" s="16">
        <f>IF(AND(G10387&gt;0,H10387&gt;0),G10387/H10387,"")</f>
        <v/>
      </c>
    </row>
    <row r="10388">
      <c r="A10388" s="4" t="inlineStr">
        <is>
          <t>411</t>
        </is>
      </c>
      <c r="B10388" s="4" t="n">
        <v>4</v>
      </c>
      <c r="C10388" s="4" t="inlineStr">
        <is>
          <t>whitetail</t>
        </is>
      </c>
      <c r="D10388" s="4" t="n">
        <v>2004</v>
      </c>
      <c r="E10388" s="13" t="inlineStr">
        <is>
          <t>General</t>
        </is>
      </c>
      <c r="F10388" s="5" t="n">
        <v>3016</v>
      </c>
      <c r="G10388" s="5" t="n">
        <v>13733</v>
      </c>
      <c r="H10388" s="5" t="n">
        <v>1445</v>
      </c>
      <c r="I10388" s="5" t="n">
        <v>765</v>
      </c>
      <c r="J10388" s="5" t="n">
        <v>647</v>
      </c>
      <c r="K10388" s="10">
        <f>IF(F10388&gt;0,H10388/F10388,"")</f>
        <v/>
      </c>
      <c r="L10388" s="16">
        <f>IF(AND(G10388&gt;0,H10388&gt;0),G10388/H10388,"")</f>
        <v/>
      </c>
    </row>
    <row r="10389">
      <c r="A10389" s="4" t="inlineStr">
        <is>
          <t>411</t>
        </is>
      </c>
      <c r="B10389" s="4" t="n">
        <v>4</v>
      </c>
      <c r="C10389" s="4" t="inlineStr">
        <is>
          <t>whitetail</t>
        </is>
      </c>
      <c r="D10389" s="4" t="n">
        <v>2005</v>
      </c>
      <c r="E10389" s="13" t="inlineStr">
        <is>
          <t>General</t>
        </is>
      </c>
      <c r="F10389" s="5" t="n">
        <v>2976</v>
      </c>
      <c r="G10389" s="5" t="n">
        <v>14572</v>
      </c>
      <c r="H10389" s="5" t="n">
        <v>1380</v>
      </c>
      <c r="I10389" s="5" t="n">
        <v>739</v>
      </c>
      <c r="J10389" s="5" t="n">
        <v>600</v>
      </c>
      <c r="K10389" s="10">
        <f>IF(F10389&gt;0,H10389/F10389,"")</f>
        <v/>
      </c>
      <c r="L10389" s="16">
        <f>IF(AND(G10389&gt;0,H10389&gt;0),G10389/H10389,"")</f>
        <v/>
      </c>
    </row>
    <row r="10390">
      <c r="A10390" s="4" t="inlineStr">
        <is>
          <t>411</t>
        </is>
      </c>
      <c r="B10390" s="4" t="n">
        <v>4</v>
      </c>
      <c r="C10390" s="4" t="inlineStr">
        <is>
          <t>whitetail</t>
        </is>
      </c>
      <c r="D10390" s="4" t="n">
        <v>2006</v>
      </c>
      <c r="E10390" s="13" t="inlineStr">
        <is>
          <t>General</t>
        </is>
      </c>
      <c r="F10390" s="5" t="n">
        <v>2660</v>
      </c>
      <c r="G10390" s="5" t="n">
        <v>12941</v>
      </c>
      <c r="H10390" s="5" t="n">
        <v>1471</v>
      </c>
      <c r="I10390" s="5" t="n">
        <v>694</v>
      </c>
      <c r="J10390" s="5" t="n">
        <v>743</v>
      </c>
      <c r="K10390" s="10">
        <f>IF(F10390&gt;0,H10390/F10390,"")</f>
        <v/>
      </c>
      <c r="L10390" s="16">
        <f>IF(AND(G10390&gt;0,H10390&gt;0),G10390/H10390,"")</f>
        <v/>
      </c>
    </row>
    <row r="10391">
      <c r="A10391" s="4" t="inlineStr">
        <is>
          <t>411</t>
        </is>
      </c>
      <c r="B10391" s="4" t="n">
        <v>4</v>
      </c>
      <c r="C10391" s="4" t="inlineStr">
        <is>
          <t>whitetail</t>
        </is>
      </c>
      <c r="D10391" s="4" t="n">
        <v>2007</v>
      </c>
      <c r="E10391" s="13" t="inlineStr">
        <is>
          <t>General</t>
        </is>
      </c>
      <c r="F10391" s="5" t="n">
        <v>2615</v>
      </c>
      <c r="G10391" s="5" t="n">
        <v>12635</v>
      </c>
      <c r="H10391" s="5" t="n">
        <v>1345</v>
      </c>
      <c r="I10391" s="5" t="n">
        <v>742</v>
      </c>
      <c r="J10391" s="5" t="n">
        <v>583</v>
      </c>
      <c r="K10391" s="10">
        <f>IF(F10391&gt;0,H10391/F10391,"")</f>
        <v/>
      </c>
      <c r="L10391" s="16">
        <f>IF(AND(G10391&gt;0,H10391&gt;0),G10391/H10391,"")</f>
        <v/>
      </c>
    </row>
    <row r="10392">
      <c r="A10392" s="4" t="inlineStr">
        <is>
          <t>411</t>
        </is>
      </c>
      <c r="B10392" s="4" t="n">
        <v>4</v>
      </c>
      <c r="C10392" s="4" t="inlineStr">
        <is>
          <t>whitetail</t>
        </is>
      </c>
      <c r="D10392" s="4" t="n">
        <v>2008</v>
      </c>
      <c r="E10392" s="13" t="inlineStr">
        <is>
          <t>General</t>
        </is>
      </c>
      <c r="F10392" s="5" t="n">
        <v>3031</v>
      </c>
      <c r="G10392" s="5" t="n">
        <v>14917</v>
      </c>
      <c r="H10392" s="5" t="n">
        <v>1594</v>
      </c>
      <c r="I10392" s="5" t="n">
        <v>770</v>
      </c>
      <c r="J10392" s="5" t="n">
        <v>796</v>
      </c>
      <c r="K10392" s="10">
        <f>IF(F10392&gt;0,H10392/F10392,"")</f>
        <v/>
      </c>
      <c r="L10392" s="16">
        <f>IF(AND(G10392&gt;0,H10392&gt;0),G10392/H10392,"")</f>
        <v/>
      </c>
    </row>
    <row r="10393">
      <c r="A10393" s="4" t="inlineStr">
        <is>
          <t>411</t>
        </is>
      </c>
      <c r="B10393" s="4" t="n">
        <v>4</v>
      </c>
      <c r="C10393" s="4" t="inlineStr">
        <is>
          <t>whitetail</t>
        </is>
      </c>
      <c r="D10393" s="4" t="n">
        <v>2009</v>
      </c>
      <c r="E10393" s="13" t="inlineStr">
        <is>
          <t>General</t>
        </is>
      </c>
      <c r="F10393" s="5" t="n">
        <v>3047</v>
      </c>
      <c r="G10393" s="5" t="n">
        <v>15894</v>
      </c>
      <c r="H10393" s="5" t="n">
        <v>1666</v>
      </c>
      <c r="I10393" s="5" t="n">
        <v>805</v>
      </c>
      <c r="J10393" s="5" t="n">
        <v>843</v>
      </c>
      <c r="K10393" s="10">
        <f>IF(F10393&gt;0,H10393/F10393,"")</f>
        <v/>
      </c>
      <c r="L10393" s="16">
        <f>IF(AND(G10393&gt;0,H10393&gt;0),G10393/H10393,"")</f>
        <v/>
      </c>
    </row>
    <row r="10394">
      <c r="A10394" s="4" t="inlineStr">
        <is>
          <t>411</t>
        </is>
      </c>
      <c r="B10394" s="4" t="n">
        <v>4</v>
      </c>
      <c r="C10394" s="4" t="inlineStr">
        <is>
          <t>whitetail</t>
        </is>
      </c>
      <c r="D10394" s="4" t="n">
        <v>2010</v>
      </c>
      <c r="E10394" s="13" t="inlineStr">
        <is>
          <t>General</t>
        </is>
      </c>
      <c r="F10394" s="5" t="n">
        <v>2908</v>
      </c>
      <c r="G10394" s="5" t="n">
        <v>14155</v>
      </c>
      <c r="H10394" s="5" t="n">
        <v>1415</v>
      </c>
      <c r="I10394" s="5" t="n">
        <v>723</v>
      </c>
      <c r="J10394" s="5" t="n">
        <v>667</v>
      </c>
      <c r="K10394" s="10">
        <f>IF(F10394&gt;0,H10394/F10394,"")</f>
        <v/>
      </c>
      <c r="L10394" s="16">
        <f>IF(AND(G10394&gt;0,H10394&gt;0),G10394/H10394,"")</f>
        <v/>
      </c>
    </row>
    <row r="10395">
      <c r="A10395" s="4" t="inlineStr">
        <is>
          <t>411</t>
        </is>
      </c>
      <c r="B10395" s="4" t="n">
        <v>4</v>
      </c>
      <c r="C10395" s="4" t="inlineStr">
        <is>
          <t>whitetail</t>
        </is>
      </c>
      <c r="D10395" s="4" t="n">
        <v>2011</v>
      </c>
      <c r="E10395" s="13" t="inlineStr">
        <is>
          <t>General</t>
        </is>
      </c>
      <c r="F10395" s="5" t="n">
        <v>2551</v>
      </c>
      <c r="G10395" s="5" t="n">
        <v>14275</v>
      </c>
      <c r="H10395" s="5" t="n">
        <v>985</v>
      </c>
      <c r="I10395" s="5" t="n">
        <v>462</v>
      </c>
      <c r="J10395" s="5" t="n">
        <v>500</v>
      </c>
      <c r="K10395" s="10">
        <f>IF(F10395&gt;0,H10395/F10395,"")</f>
        <v/>
      </c>
      <c r="L10395" s="16">
        <f>IF(AND(G10395&gt;0,H10395&gt;0),G10395/H10395,"")</f>
        <v/>
      </c>
    </row>
    <row r="10396">
      <c r="A10396" s="4" t="inlineStr">
        <is>
          <t>411</t>
        </is>
      </c>
      <c r="B10396" s="4" t="n">
        <v>4</v>
      </c>
      <c r="C10396" s="4" t="inlineStr">
        <is>
          <t>whitetail</t>
        </is>
      </c>
      <c r="D10396" s="4" t="n">
        <v>2012</v>
      </c>
      <c r="E10396" s="13" t="inlineStr">
        <is>
          <t>General</t>
        </is>
      </c>
      <c r="F10396" s="5" t="n"/>
      <c r="G10396" s="5" t="n"/>
      <c r="H10396" s="5" t="n">
        <v>1315</v>
      </c>
      <c r="I10396" s="5" t="n">
        <v>604</v>
      </c>
      <c r="J10396" s="5" t="n">
        <v>690</v>
      </c>
      <c r="K10396" s="10">
        <f>IF(F10396&gt;0,H10396/F10396,"")</f>
        <v/>
      </c>
      <c r="L10396" s="16">
        <f>IF(AND(G10396&gt;0,H10396&gt;0),G10396/H10396,"")</f>
        <v/>
      </c>
    </row>
    <row r="10397">
      <c r="A10397" s="4" t="inlineStr">
        <is>
          <t>411</t>
        </is>
      </c>
      <c r="B10397" s="4" t="n">
        <v>4</v>
      </c>
      <c r="C10397" s="4" t="inlineStr">
        <is>
          <t>whitetail</t>
        </is>
      </c>
      <c r="D10397" s="4" t="n">
        <v>2013</v>
      </c>
      <c r="E10397" s="13" t="inlineStr">
        <is>
          <t>General</t>
        </is>
      </c>
      <c r="F10397" s="5" t="n">
        <v>2660</v>
      </c>
      <c r="G10397" s="5" t="n">
        <v>14354</v>
      </c>
      <c r="H10397" s="5" t="n">
        <v>924</v>
      </c>
      <c r="I10397" s="5" t="n">
        <v>505</v>
      </c>
      <c r="J10397" s="5" t="n">
        <v>411</v>
      </c>
      <c r="K10397" s="10">
        <f>IF(F10397&gt;0,H10397/F10397,"")</f>
        <v/>
      </c>
      <c r="L10397" s="16">
        <f>IF(AND(G10397&gt;0,H10397&gt;0),G10397/H10397,"")</f>
        <v/>
      </c>
    </row>
    <row r="10398">
      <c r="A10398" s="4" t="inlineStr">
        <is>
          <t>411</t>
        </is>
      </c>
      <c r="B10398" s="4" t="n">
        <v>4</v>
      </c>
      <c r="C10398" s="4" t="inlineStr">
        <is>
          <t>whitetail</t>
        </is>
      </c>
      <c r="D10398" s="4" t="n">
        <v>2014</v>
      </c>
      <c r="E10398" s="13" t="inlineStr">
        <is>
          <t>General</t>
        </is>
      </c>
      <c r="F10398" s="5" t="n"/>
      <c r="G10398" s="5" t="n"/>
      <c r="H10398" s="5" t="n">
        <v>708</v>
      </c>
      <c r="I10398" s="5" t="n">
        <v>582</v>
      </c>
      <c r="J10398" s="5" t="n">
        <v>123</v>
      </c>
      <c r="K10398" s="10">
        <f>IF(F10398&gt;0,H10398/F10398,"")</f>
        <v/>
      </c>
      <c r="L10398" s="16">
        <f>IF(AND(G10398&gt;0,H10398&gt;0),G10398/H10398,"")</f>
        <v/>
      </c>
    </row>
    <row r="10399">
      <c r="A10399" s="4" t="inlineStr">
        <is>
          <t>411</t>
        </is>
      </c>
      <c r="B10399" s="4" t="n">
        <v>4</v>
      </c>
      <c r="C10399" s="4" t="inlineStr">
        <is>
          <t>whitetail</t>
        </is>
      </c>
      <c r="D10399" s="4" t="n">
        <v>2015</v>
      </c>
      <c r="E10399" s="13" t="inlineStr">
        <is>
          <t>General</t>
        </is>
      </c>
      <c r="F10399" s="5" t="n"/>
      <c r="G10399" s="5" t="n"/>
      <c r="H10399" s="5" t="n">
        <v>902</v>
      </c>
      <c r="I10399" s="5" t="n">
        <v>709</v>
      </c>
      <c r="J10399" s="5" t="n">
        <v>184</v>
      </c>
      <c r="K10399" s="10">
        <f>IF(F10399&gt;0,H10399/F10399,"")</f>
        <v/>
      </c>
      <c r="L10399" s="16">
        <f>IF(AND(G10399&gt;0,H10399&gt;0),G10399/H10399,"")</f>
        <v/>
      </c>
    </row>
    <row r="10400">
      <c r="A10400" s="4" t="inlineStr">
        <is>
          <t>411</t>
        </is>
      </c>
      <c r="B10400" s="4" t="n">
        <v>4</v>
      </c>
      <c r="C10400" s="4" t="inlineStr">
        <is>
          <t>whitetail</t>
        </is>
      </c>
      <c r="D10400" s="4" t="n">
        <v>2016</v>
      </c>
      <c r="E10400" s="13" t="inlineStr">
        <is>
          <t>General</t>
        </is>
      </c>
      <c r="F10400" s="5" t="n"/>
      <c r="G10400" s="5" t="n"/>
      <c r="H10400" s="5" t="n">
        <v>821</v>
      </c>
      <c r="I10400" s="5" t="n">
        <v>666</v>
      </c>
      <c r="J10400" s="5" t="n">
        <v>151</v>
      </c>
      <c r="K10400" s="10">
        <f>IF(F10400&gt;0,H10400/F10400,"")</f>
        <v/>
      </c>
      <c r="L10400" s="16">
        <f>IF(AND(G10400&gt;0,H10400&gt;0),G10400/H10400,"")</f>
        <v/>
      </c>
    </row>
    <row r="10401">
      <c r="A10401" s="4" t="inlineStr">
        <is>
          <t>411</t>
        </is>
      </c>
      <c r="B10401" s="4" t="n">
        <v>4</v>
      </c>
      <c r="C10401" s="4" t="inlineStr">
        <is>
          <t>whitetail</t>
        </is>
      </c>
      <c r="D10401" s="4" t="n">
        <v>2017</v>
      </c>
      <c r="E10401" s="13" t="inlineStr">
        <is>
          <t>General</t>
        </is>
      </c>
      <c r="F10401" s="5" t="n">
        <v>2427</v>
      </c>
      <c r="G10401" s="5" t="n">
        <v>12233</v>
      </c>
      <c r="H10401" s="5" t="n">
        <v>868</v>
      </c>
      <c r="I10401" s="5" t="n">
        <v>668</v>
      </c>
      <c r="J10401" s="5" t="n">
        <v>196</v>
      </c>
      <c r="K10401" s="10">
        <f>IF(F10401&gt;0,H10401/F10401,"")</f>
        <v/>
      </c>
      <c r="L10401" s="16">
        <f>IF(AND(G10401&gt;0,H10401&gt;0),G10401/H10401,"")</f>
        <v/>
      </c>
    </row>
    <row r="10402">
      <c r="A10402" s="4" t="inlineStr">
        <is>
          <t>411</t>
        </is>
      </c>
      <c r="B10402" s="4" t="n">
        <v>4</v>
      </c>
      <c r="C10402" s="4" t="inlineStr">
        <is>
          <t>whitetail</t>
        </is>
      </c>
      <c r="D10402" s="4" t="n">
        <v>2018</v>
      </c>
      <c r="E10402" s="13" t="inlineStr">
        <is>
          <t>General</t>
        </is>
      </c>
      <c r="F10402" s="5" t="n"/>
      <c r="G10402" s="5" t="n"/>
      <c r="H10402" s="5" t="n">
        <v>963</v>
      </c>
      <c r="I10402" s="5" t="n">
        <v>581</v>
      </c>
      <c r="J10402" s="5" t="n">
        <v>376</v>
      </c>
      <c r="K10402" s="10">
        <f>IF(F10402&gt;0,H10402/F10402,"")</f>
        <v/>
      </c>
      <c r="L10402" s="16">
        <f>IF(AND(G10402&gt;0,H10402&gt;0),G10402/H10402,"")</f>
        <v/>
      </c>
    </row>
    <row r="10403">
      <c r="A10403" s="4" t="inlineStr">
        <is>
          <t>411</t>
        </is>
      </c>
      <c r="B10403" s="4" t="n">
        <v>4</v>
      </c>
      <c r="C10403" s="4" t="inlineStr">
        <is>
          <t>whitetail</t>
        </is>
      </c>
      <c r="D10403" s="4" t="n">
        <v>2019</v>
      </c>
      <c r="E10403" s="13" t="inlineStr">
        <is>
          <t>General</t>
        </is>
      </c>
      <c r="F10403" s="5" t="n">
        <v>2594</v>
      </c>
      <c r="G10403" s="5" t="n">
        <v>13808</v>
      </c>
      <c r="H10403" s="5" t="n">
        <v>1055</v>
      </c>
      <c r="I10403" s="5" t="n">
        <v>614</v>
      </c>
      <c r="J10403" s="5" t="n">
        <v>425</v>
      </c>
      <c r="K10403" s="10">
        <f>IF(F10403&gt;0,H10403/F10403,"")</f>
        <v/>
      </c>
      <c r="L10403" s="16">
        <f>IF(AND(G10403&gt;0,H10403&gt;0),G10403/H10403,"")</f>
        <v/>
      </c>
    </row>
    <row r="10404">
      <c r="A10404" s="4" t="inlineStr">
        <is>
          <t>411</t>
        </is>
      </c>
      <c r="B10404" s="4" t="n">
        <v>4</v>
      </c>
      <c r="C10404" s="4" t="inlineStr">
        <is>
          <t>whitetail</t>
        </is>
      </c>
      <c r="D10404" s="4" t="n">
        <v>2020</v>
      </c>
      <c r="E10404" s="13" t="inlineStr">
        <is>
          <t>General</t>
        </is>
      </c>
      <c r="F10404" s="5" t="n"/>
      <c r="G10404" s="5" t="n"/>
      <c r="H10404" s="5" t="n">
        <v>1053</v>
      </c>
      <c r="I10404" s="5" t="n">
        <v>613</v>
      </c>
      <c r="J10404" s="5" t="n">
        <v>436</v>
      </c>
      <c r="K10404" s="10">
        <f>IF(F10404&gt;0,H10404/F10404,"")</f>
        <v/>
      </c>
      <c r="L10404" s="16">
        <f>IF(AND(G10404&gt;0,H10404&gt;0),G10404/H10404,"")</f>
        <v/>
      </c>
    </row>
    <row r="10405">
      <c r="A10405" s="4" t="inlineStr">
        <is>
          <t>411</t>
        </is>
      </c>
      <c r="B10405" s="4" t="n">
        <v>4</v>
      </c>
      <c r="C10405" s="4" t="inlineStr">
        <is>
          <t>whitetail</t>
        </is>
      </c>
      <c r="D10405" s="4" t="n">
        <v>2021</v>
      </c>
      <c r="E10405" s="13" t="inlineStr">
        <is>
          <t>General</t>
        </is>
      </c>
      <c r="F10405" s="5" t="n">
        <v>2654</v>
      </c>
      <c r="G10405" s="5" t="n">
        <v>15250</v>
      </c>
      <c r="H10405" s="5" t="n">
        <v>1104</v>
      </c>
      <c r="I10405" s="5" t="n">
        <v>715</v>
      </c>
      <c r="J10405" s="5" t="n">
        <v>389</v>
      </c>
      <c r="K10405" s="10">
        <f>IF(F10405&gt;0,H10405/F10405,"")</f>
        <v/>
      </c>
      <c r="L10405" s="16">
        <f>IF(AND(G10405&gt;0,H10405&gt;0),G10405/H10405,"")</f>
        <v/>
      </c>
    </row>
    <row r="10406">
      <c r="A10406" s="4" t="inlineStr">
        <is>
          <t>411</t>
        </is>
      </c>
      <c r="B10406" s="4" t="n">
        <v>4</v>
      </c>
      <c r="C10406" s="4" t="inlineStr">
        <is>
          <t>whitetail</t>
        </is>
      </c>
      <c r="D10406" s="4" t="n">
        <v>2022</v>
      </c>
      <c r="E10406" s="13" t="inlineStr">
        <is>
          <t>General</t>
        </is>
      </c>
      <c r="F10406" s="5" t="n"/>
      <c r="G10406" s="5" t="n"/>
      <c r="H10406" s="5" t="n">
        <v>1041</v>
      </c>
      <c r="I10406" s="5" t="n">
        <v>680</v>
      </c>
      <c r="J10406" s="5" t="n">
        <v>354</v>
      </c>
      <c r="K10406" s="10">
        <f>IF(F10406&gt;0,H10406/F10406,"")</f>
        <v/>
      </c>
      <c r="L10406" s="16">
        <f>IF(AND(G10406&gt;0,H10406&gt;0),G10406/H10406,"")</f>
        <v/>
      </c>
    </row>
    <row r="10407">
      <c r="A10407" s="4" t="inlineStr">
        <is>
          <t>411</t>
        </is>
      </c>
      <c r="B10407" s="4" t="n">
        <v>4</v>
      </c>
      <c r="C10407" s="4" t="inlineStr">
        <is>
          <t>whitetail</t>
        </is>
      </c>
      <c r="D10407" s="4" t="n">
        <v>2023</v>
      </c>
      <c r="E10407" s="13" t="inlineStr">
        <is>
          <t>General</t>
        </is>
      </c>
      <c r="F10407" s="5" t="n">
        <v>2390</v>
      </c>
      <c r="G10407" s="5" t="n">
        <v>13501</v>
      </c>
      <c r="H10407" s="5" t="n">
        <v>953</v>
      </c>
      <c r="I10407" s="5" t="n">
        <v>607</v>
      </c>
      <c r="J10407" s="5" t="n">
        <v>347</v>
      </c>
      <c r="K10407" s="10">
        <f>IF(F10407&gt;0,H10407/F10407,"")</f>
        <v/>
      </c>
      <c r="L10407" s="16">
        <f>IF(AND(G10407&gt;0,H10407&gt;0),G10407/H10407,"")</f>
        <v/>
      </c>
    </row>
    <row r="10408">
      <c r="A10408" s="4" t="inlineStr">
        <is>
          <t>411</t>
        </is>
      </c>
      <c r="B10408" s="4" t="n">
        <v>4</v>
      </c>
      <c r="C10408" s="4" t="inlineStr">
        <is>
          <t>whitetail</t>
        </is>
      </c>
      <c r="D10408" s="4" t="n">
        <v>2024</v>
      </c>
      <c r="E10408" s="13" t="inlineStr">
        <is>
          <t>General</t>
        </is>
      </c>
      <c r="F10408" s="5" t="n"/>
      <c r="G10408" s="5" t="n"/>
      <c r="H10408" s="5" t="n">
        <v>1100</v>
      </c>
      <c r="I10408" s="5" t="n">
        <v>697</v>
      </c>
      <c r="J10408" s="5" t="n">
        <v>402</v>
      </c>
      <c r="K10408" s="10">
        <f>IF(F10408&gt;0,H10408/F10408,"")</f>
        <v/>
      </c>
      <c r="L10408" s="16">
        <f>IF(AND(G10408&gt;0,H10408&gt;0),G10408/H10408,"")</f>
        <v/>
      </c>
    </row>
    <row r="10409">
      <c r="A10409" s="4" t="inlineStr">
        <is>
          <t>411</t>
        </is>
      </c>
      <c r="B10409" s="4" t="n">
        <v>4</v>
      </c>
      <c r="C10409" s="4" t="inlineStr">
        <is>
          <t>whitetail</t>
        </is>
      </c>
      <c r="D10409" s="4" t="n">
        <v>2025</v>
      </c>
      <c r="E10409" s="13" t="inlineStr">
        <is>
          <t>General</t>
        </is>
      </c>
      <c r="F10409" s="5" t="n">
        <v>2383</v>
      </c>
      <c r="G10409" s="5" t="n">
        <v>14657</v>
      </c>
      <c r="H10409" s="5" t="n">
        <v>831</v>
      </c>
      <c r="I10409" s="5" t="n">
        <v>550</v>
      </c>
      <c r="J10409" s="5" t="n">
        <v>280</v>
      </c>
      <c r="K10409" s="10">
        <f>IF(F10409&gt;0,H10409/F10409,"")</f>
        <v/>
      </c>
      <c r="L10409" s="16">
        <f>IF(AND(G10409&gt;0,H10409&gt;0),G10409/H10409,"")</f>
        <v/>
      </c>
    </row>
    <row r="10410">
      <c r="A10410" s="4" t="inlineStr">
        <is>
          <t>412</t>
        </is>
      </c>
      <c r="B10410" s="4" t="n">
        <v>4</v>
      </c>
      <c r="C10410" s="4" t="inlineStr">
        <is>
          <t>whitetail</t>
        </is>
      </c>
      <c r="D10410" s="4" t="n">
        <v>2004</v>
      </c>
      <c r="E10410" s="13" t="inlineStr">
        <is>
          <t>General</t>
        </is>
      </c>
      <c r="F10410" s="5" t="n">
        <v>1958</v>
      </c>
      <c r="G10410" s="5" t="n">
        <v>8647</v>
      </c>
      <c r="H10410" s="5" t="n">
        <v>700</v>
      </c>
      <c r="I10410" s="5" t="n">
        <v>345</v>
      </c>
      <c r="J10410" s="5" t="n">
        <v>336</v>
      </c>
      <c r="K10410" s="10">
        <f>IF(F10410&gt;0,H10410/F10410,"")</f>
        <v/>
      </c>
      <c r="L10410" s="16">
        <f>IF(AND(G10410&gt;0,H10410&gt;0),G10410/H10410,"")</f>
        <v/>
      </c>
    </row>
    <row r="10411">
      <c r="A10411" s="4" t="inlineStr">
        <is>
          <t>412</t>
        </is>
      </c>
      <c r="B10411" s="4" t="n">
        <v>4</v>
      </c>
      <c r="C10411" s="4" t="inlineStr">
        <is>
          <t>whitetail</t>
        </is>
      </c>
      <c r="D10411" s="4" t="n">
        <v>2005</v>
      </c>
      <c r="E10411" s="13" t="inlineStr">
        <is>
          <t>General</t>
        </is>
      </c>
      <c r="F10411" s="5" t="n">
        <v>1974</v>
      </c>
      <c r="G10411" s="5" t="n">
        <v>8864</v>
      </c>
      <c r="H10411" s="5" t="n">
        <v>841</v>
      </c>
      <c r="I10411" s="5" t="n">
        <v>426</v>
      </c>
      <c r="J10411" s="5" t="n">
        <v>406</v>
      </c>
      <c r="K10411" s="10">
        <f>IF(F10411&gt;0,H10411/F10411,"")</f>
        <v/>
      </c>
      <c r="L10411" s="16">
        <f>IF(AND(G10411&gt;0,H10411&gt;0),G10411/H10411,"")</f>
        <v/>
      </c>
    </row>
    <row r="10412">
      <c r="A10412" s="4" t="inlineStr">
        <is>
          <t>412</t>
        </is>
      </c>
      <c r="B10412" s="4" t="n">
        <v>4</v>
      </c>
      <c r="C10412" s="4" t="inlineStr">
        <is>
          <t>whitetail</t>
        </is>
      </c>
      <c r="D10412" s="4" t="n">
        <v>2006</v>
      </c>
      <c r="E10412" s="13" t="inlineStr">
        <is>
          <t>General</t>
        </is>
      </c>
      <c r="F10412" s="5" t="n">
        <v>1409</v>
      </c>
      <c r="G10412" s="5" t="n">
        <v>7165</v>
      </c>
      <c r="H10412" s="5" t="n">
        <v>707</v>
      </c>
      <c r="I10412" s="5" t="n">
        <v>312</v>
      </c>
      <c r="J10412" s="5" t="n">
        <v>383</v>
      </c>
      <c r="K10412" s="10">
        <f>IF(F10412&gt;0,H10412/F10412,"")</f>
        <v/>
      </c>
      <c r="L10412" s="16">
        <f>IF(AND(G10412&gt;0,H10412&gt;0),G10412/H10412,"")</f>
        <v/>
      </c>
    </row>
    <row r="10413">
      <c r="A10413" s="4" t="inlineStr">
        <is>
          <t>412</t>
        </is>
      </c>
      <c r="B10413" s="4" t="n">
        <v>4</v>
      </c>
      <c r="C10413" s="4" t="inlineStr">
        <is>
          <t>whitetail</t>
        </is>
      </c>
      <c r="D10413" s="4" t="n">
        <v>2007</v>
      </c>
      <c r="E10413" s="13" t="inlineStr">
        <is>
          <t>General</t>
        </is>
      </c>
      <c r="F10413" s="5" t="n">
        <v>1755</v>
      </c>
      <c r="G10413" s="5" t="n">
        <v>8337</v>
      </c>
      <c r="H10413" s="5" t="n">
        <v>666</v>
      </c>
      <c r="I10413" s="5" t="n">
        <v>290</v>
      </c>
      <c r="J10413" s="5" t="n">
        <v>377</v>
      </c>
      <c r="K10413" s="10">
        <f>IF(F10413&gt;0,H10413/F10413,"")</f>
        <v/>
      </c>
      <c r="L10413" s="16">
        <f>IF(AND(G10413&gt;0,H10413&gt;0),G10413/H10413,"")</f>
        <v/>
      </c>
    </row>
    <row r="10414">
      <c r="A10414" s="4" t="inlineStr">
        <is>
          <t>412</t>
        </is>
      </c>
      <c r="B10414" s="4" t="n">
        <v>4</v>
      </c>
      <c r="C10414" s="4" t="inlineStr">
        <is>
          <t>whitetail</t>
        </is>
      </c>
      <c r="D10414" s="4" t="n">
        <v>2008</v>
      </c>
      <c r="E10414" s="13" t="inlineStr">
        <is>
          <t>General</t>
        </is>
      </c>
      <c r="F10414" s="5" t="n">
        <v>1848</v>
      </c>
      <c r="G10414" s="5" t="n">
        <v>8864</v>
      </c>
      <c r="H10414" s="5" t="n">
        <v>688</v>
      </c>
      <c r="I10414" s="5" t="n">
        <v>393</v>
      </c>
      <c r="J10414" s="5" t="n">
        <v>286</v>
      </c>
      <c r="K10414" s="10">
        <f>IF(F10414&gt;0,H10414/F10414,"")</f>
        <v/>
      </c>
      <c r="L10414" s="16">
        <f>IF(AND(G10414&gt;0,H10414&gt;0),G10414/H10414,"")</f>
        <v/>
      </c>
    </row>
    <row r="10415">
      <c r="A10415" s="4" t="inlineStr">
        <is>
          <t>412</t>
        </is>
      </c>
      <c r="B10415" s="4" t="n">
        <v>4</v>
      </c>
      <c r="C10415" s="4" t="inlineStr">
        <is>
          <t>whitetail</t>
        </is>
      </c>
      <c r="D10415" s="4" t="n">
        <v>2009</v>
      </c>
      <c r="E10415" s="13" t="inlineStr">
        <is>
          <t>General</t>
        </is>
      </c>
      <c r="F10415" s="5" t="n">
        <v>1639</v>
      </c>
      <c r="G10415" s="5" t="n">
        <v>7895</v>
      </c>
      <c r="H10415" s="5" t="n">
        <v>548</v>
      </c>
      <c r="I10415" s="5" t="n">
        <v>298</v>
      </c>
      <c r="J10415" s="5" t="n">
        <v>241</v>
      </c>
      <c r="K10415" s="10">
        <f>IF(F10415&gt;0,H10415/F10415,"")</f>
        <v/>
      </c>
      <c r="L10415" s="16">
        <f>IF(AND(G10415&gt;0,H10415&gt;0),G10415/H10415,"")</f>
        <v/>
      </c>
    </row>
    <row r="10416">
      <c r="A10416" s="4" t="inlineStr">
        <is>
          <t>412</t>
        </is>
      </c>
      <c r="B10416" s="4" t="n">
        <v>4</v>
      </c>
      <c r="C10416" s="4" t="inlineStr">
        <is>
          <t>whitetail</t>
        </is>
      </c>
      <c r="D10416" s="4" t="n">
        <v>2010</v>
      </c>
      <c r="E10416" s="13" t="inlineStr">
        <is>
          <t>General</t>
        </is>
      </c>
      <c r="F10416" s="5" t="n">
        <v>1624</v>
      </c>
      <c r="G10416" s="5" t="n">
        <v>8098</v>
      </c>
      <c r="H10416" s="5" t="n">
        <v>586</v>
      </c>
      <c r="I10416" s="5" t="n">
        <v>323</v>
      </c>
      <c r="J10416" s="5" t="n">
        <v>259</v>
      </c>
      <c r="K10416" s="10">
        <f>IF(F10416&gt;0,H10416/F10416,"")</f>
        <v/>
      </c>
      <c r="L10416" s="16">
        <f>IF(AND(G10416&gt;0,H10416&gt;0),G10416/H10416,"")</f>
        <v/>
      </c>
    </row>
    <row r="10417">
      <c r="A10417" s="4" t="inlineStr">
        <is>
          <t>412</t>
        </is>
      </c>
      <c r="B10417" s="4" t="n">
        <v>4</v>
      </c>
      <c r="C10417" s="4" t="inlineStr">
        <is>
          <t>whitetail</t>
        </is>
      </c>
      <c r="D10417" s="4" t="n">
        <v>2011</v>
      </c>
      <c r="E10417" s="13" t="inlineStr">
        <is>
          <t>General</t>
        </is>
      </c>
      <c r="F10417" s="5" t="n">
        <v>1320</v>
      </c>
      <c r="G10417" s="5" t="n">
        <v>7059</v>
      </c>
      <c r="H10417" s="5" t="n">
        <v>324</v>
      </c>
      <c r="I10417" s="5" t="n">
        <v>193</v>
      </c>
      <c r="J10417" s="5" t="n">
        <v>131</v>
      </c>
      <c r="K10417" s="10">
        <f>IF(F10417&gt;0,H10417/F10417,"")</f>
        <v/>
      </c>
      <c r="L10417" s="16">
        <f>IF(AND(G10417&gt;0,H10417&gt;0),G10417/H10417,"")</f>
        <v/>
      </c>
    </row>
    <row r="10418">
      <c r="A10418" s="4" t="inlineStr">
        <is>
          <t>412</t>
        </is>
      </c>
      <c r="B10418" s="4" t="n">
        <v>4</v>
      </c>
      <c r="C10418" s="4" t="inlineStr">
        <is>
          <t>whitetail</t>
        </is>
      </c>
      <c r="D10418" s="4" t="n">
        <v>2012</v>
      </c>
      <c r="E10418" s="13" t="inlineStr">
        <is>
          <t>General</t>
        </is>
      </c>
      <c r="F10418" s="5" t="n"/>
      <c r="G10418" s="5" t="n"/>
      <c r="H10418" s="5" t="n">
        <v>383</v>
      </c>
      <c r="I10418" s="5" t="n">
        <v>231</v>
      </c>
      <c r="J10418" s="5" t="n">
        <v>151</v>
      </c>
      <c r="K10418" s="10">
        <f>IF(F10418&gt;0,H10418/F10418,"")</f>
        <v/>
      </c>
      <c r="L10418" s="16">
        <f>IF(AND(G10418&gt;0,H10418&gt;0),G10418/H10418,"")</f>
        <v/>
      </c>
    </row>
    <row r="10419">
      <c r="A10419" s="4" t="inlineStr">
        <is>
          <t>412</t>
        </is>
      </c>
      <c r="B10419" s="4" t="n">
        <v>4</v>
      </c>
      <c r="C10419" s="4" t="inlineStr">
        <is>
          <t>whitetail</t>
        </is>
      </c>
      <c r="D10419" s="4" t="n">
        <v>2013</v>
      </c>
      <c r="E10419" s="13" t="inlineStr">
        <is>
          <t>General</t>
        </is>
      </c>
      <c r="F10419" s="5" t="n">
        <v>1262</v>
      </c>
      <c r="G10419" s="5" t="n">
        <v>6040</v>
      </c>
      <c r="H10419" s="5" t="n">
        <v>212</v>
      </c>
      <c r="I10419" s="5" t="n">
        <v>144</v>
      </c>
      <c r="J10419" s="5" t="n">
        <v>68</v>
      </c>
      <c r="K10419" s="10">
        <f>IF(F10419&gt;0,H10419/F10419,"")</f>
        <v/>
      </c>
      <c r="L10419" s="16">
        <f>IF(AND(G10419&gt;0,H10419&gt;0),G10419/H10419,"")</f>
        <v/>
      </c>
    </row>
    <row r="10420">
      <c r="A10420" s="4" t="inlineStr">
        <is>
          <t>412</t>
        </is>
      </c>
      <c r="B10420" s="4" t="n">
        <v>4</v>
      </c>
      <c r="C10420" s="4" t="inlineStr">
        <is>
          <t>whitetail</t>
        </is>
      </c>
      <c r="D10420" s="4" t="n">
        <v>2014</v>
      </c>
      <c r="E10420" s="13" t="inlineStr">
        <is>
          <t>General</t>
        </is>
      </c>
      <c r="F10420" s="5" t="n"/>
      <c r="G10420" s="5" t="n"/>
      <c r="H10420" s="5" t="n">
        <v>242</v>
      </c>
      <c r="I10420" s="5" t="n">
        <v>228</v>
      </c>
      <c r="J10420" s="5" t="n">
        <v>14</v>
      </c>
      <c r="K10420" s="10">
        <f>IF(F10420&gt;0,H10420/F10420,"")</f>
        <v/>
      </c>
      <c r="L10420" s="16">
        <f>IF(AND(G10420&gt;0,H10420&gt;0),G10420/H10420,"")</f>
        <v/>
      </c>
    </row>
    <row r="10421">
      <c r="A10421" s="4" t="inlineStr">
        <is>
          <t>412</t>
        </is>
      </c>
      <c r="B10421" s="4" t="n">
        <v>4</v>
      </c>
      <c r="C10421" s="4" t="inlineStr">
        <is>
          <t>whitetail</t>
        </is>
      </c>
      <c r="D10421" s="4" t="n">
        <v>2015</v>
      </c>
      <c r="E10421" s="13" t="inlineStr">
        <is>
          <t>General</t>
        </is>
      </c>
      <c r="F10421" s="5" t="n"/>
      <c r="G10421" s="5" t="n"/>
      <c r="H10421" s="5" t="n">
        <v>299</v>
      </c>
      <c r="I10421" s="5" t="n">
        <v>266</v>
      </c>
      <c r="J10421" s="5" t="n">
        <v>33</v>
      </c>
      <c r="K10421" s="10">
        <f>IF(F10421&gt;0,H10421/F10421,"")</f>
        <v/>
      </c>
      <c r="L10421" s="16">
        <f>IF(AND(G10421&gt;0,H10421&gt;0),G10421/H10421,"")</f>
        <v/>
      </c>
    </row>
    <row r="10422">
      <c r="A10422" s="4" t="inlineStr">
        <is>
          <t>412</t>
        </is>
      </c>
      <c r="B10422" s="4" t="n">
        <v>4</v>
      </c>
      <c r="C10422" s="4" t="inlineStr">
        <is>
          <t>whitetail</t>
        </is>
      </c>
      <c r="D10422" s="4" t="n">
        <v>2016</v>
      </c>
      <c r="E10422" s="13" t="inlineStr">
        <is>
          <t>General</t>
        </is>
      </c>
      <c r="F10422" s="5" t="n"/>
      <c r="G10422" s="5" t="n"/>
      <c r="H10422" s="5" t="n">
        <v>292</v>
      </c>
      <c r="I10422" s="5" t="n">
        <v>235</v>
      </c>
      <c r="J10422" s="5" t="n">
        <v>57</v>
      </c>
      <c r="K10422" s="10">
        <f>IF(F10422&gt;0,H10422/F10422,"")</f>
        <v/>
      </c>
      <c r="L10422" s="16">
        <f>IF(AND(G10422&gt;0,H10422&gt;0),G10422/H10422,"")</f>
        <v/>
      </c>
    </row>
    <row r="10423">
      <c r="A10423" s="4" t="inlineStr">
        <is>
          <t>412</t>
        </is>
      </c>
      <c r="B10423" s="4" t="n">
        <v>4</v>
      </c>
      <c r="C10423" s="4" t="inlineStr">
        <is>
          <t>whitetail</t>
        </is>
      </c>
      <c r="D10423" s="4" t="n">
        <v>2017</v>
      </c>
      <c r="E10423" s="13" t="inlineStr">
        <is>
          <t>General</t>
        </is>
      </c>
      <c r="F10423" s="5" t="n">
        <v>1299</v>
      </c>
      <c r="G10423" s="5" t="n">
        <v>6201</v>
      </c>
      <c r="H10423" s="5" t="n">
        <v>326</v>
      </c>
      <c r="I10423" s="5" t="n">
        <v>253</v>
      </c>
      <c r="J10423" s="5" t="n">
        <v>69</v>
      </c>
      <c r="K10423" s="10">
        <f>IF(F10423&gt;0,H10423/F10423,"")</f>
        <v/>
      </c>
      <c r="L10423" s="16">
        <f>IF(AND(G10423&gt;0,H10423&gt;0),G10423/H10423,"")</f>
        <v/>
      </c>
    </row>
    <row r="10424">
      <c r="A10424" s="4" t="inlineStr">
        <is>
          <t>412</t>
        </is>
      </c>
      <c r="B10424" s="4" t="n">
        <v>4</v>
      </c>
      <c r="C10424" s="4" t="inlineStr">
        <is>
          <t>whitetail</t>
        </is>
      </c>
      <c r="D10424" s="4" t="n">
        <v>2018</v>
      </c>
      <c r="E10424" s="13" t="inlineStr">
        <is>
          <t>General</t>
        </is>
      </c>
      <c r="F10424" s="5" t="n"/>
      <c r="G10424" s="5" t="n"/>
      <c r="H10424" s="5" t="n">
        <v>427</v>
      </c>
      <c r="I10424" s="5" t="n">
        <v>250</v>
      </c>
      <c r="J10424" s="5" t="n">
        <v>174</v>
      </c>
      <c r="K10424" s="10">
        <f>IF(F10424&gt;0,H10424/F10424,"")</f>
        <v/>
      </c>
      <c r="L10424" s="16">
        <f>IF(AND(G10424&gt;0,H10424&gt;0),G10424/H10424,"")</f>
        <v/>
      </c>
    </row>
    <row r="10425">
      <c r="A10425" s="4" t="inlineStr">
        <is>
          <t>412</t>
        </is>
      </c>
      <c r="B10425" s="4" t="n">
        <v>4</v>
      </c>
      <c r="C10425" s="4" t="inlineStr">
        <is>
          <t>whitetail</t>
        </is>
      </c>
      <c r="D10425" s="4" t="n">
        <v>2019</v>
      </c>
      <c r="E10425" s="13" t="inlineStr">
        <is>
          <t>General</t>
        </is>
      </c>
      <c r="F10425" s="5" t="n">
        <v>1365</v>
      </c>
      <c r="G10425" s="5" t="n">
        <v>6751</v>
      </c>
      <c r="H10425" s="5" t="n">
        <v>462</v>
      </c>
      <c r="I10425" s="5" t="n">
        <v>276</v>
      </c>
      <c r="J10425" s="5" t="n">
        <v>186</v>
      </c>
      <c r="K10425" s="10">
        <f>IF(F10425&gt;0,H10425/F10425,"")</f>
        <v/>
      </c>
      <c r="L10425" s="16">
        <f>IF(AND(G10425&gt;0,H10425&gt;0),G10425/H10425,"")</f>
        <v/>
      </c>
    </row>
    <row r="10426">
      <c r="A10426" s="4" t="inlineStr">
        <is>
          <t>412</t>
        </is>
      </c>
      <c r="B10426" s="4" t="n">
        <v>4</v>
      </c>
      <c r="C10426" s="4" t="inlineStr">
        <is>
          <t>whitetail</t>
        </is>
      </c>
      <c r="D10426" s="4" t="n">
        <v>2020</v>
      </c>
      <c r="E10426" s="13" t="inlineStr">
        <is>
          <t>General</t>
        </is>
      </c>
      <c r="F10426" s="5" t="n"/>
      <c r="G10426" s="5" t="n"/>
      <c r="H10426" s="5" t="n">
        <v>495</v>
      </c>
      <c r="I10426" s="5" t="n">
        <v>250</v>
      </c>
      <c r="J10426" s="5" t="n">
        <v>238</v>
      </c>
      <c r="K10426" s="10">
        <f>IF(F10426&gt;0,H10426/F10426,"")</f>
        <v/>
      </c>
      <c r="L10426" s="16">
        <f>IF(AND(G10426&gt;0,H10426&gt;0),G10426/H10426,"")</f>
        <v/>
      </c>
    </row>
    <row r="10427">
      <c r="A10427" s="4" t="inlineStr">
        <is>
          <t>412</t>
        </is>
      </c>
      <c r="B10427" s="4" t="n">
        <v>4</v>
      </c>
      <c r="C10427" s="4" t="inlineStr">
        <is>
          <t>whitetail</t>
        </is>
      </c>
      <c r="D10427" s="4" t="n">
        <v>2021</v>
      </c>
      <c r="E10427" s="13" t="inlineStr">
        <is>
          <t>General</t>
        </is>
      </c>
      <c r="F10427" s="5" t="n">
        <v>1508</v>
      </c>
      <c r="G10427" s="5" t="n">
        <v>7674</v>
      </c>
      <c r="H10427" s="5" t="n">
        <v>474</v>
      </c>
      <c r="I10427" s="5" t="n">
        <v>261</v>
      </c>
      <c r="J10427" s="5" t="n">
        <v>213</v>
      </c>
      <c r="K10427" s="10">
        <f>IF(F10427&gt;0,H10427/F10427,"")</f>
        <v/>
      </c>
      <c r="L10427" s="16">
        <f>IF(AND(G10427&gt;0,H10427&gt;0),G10427/H10427,"")</f>
        <v/>
      </c>
    </row>
    <row r="10428">
      <c r="A10428" s="4" t="inlineStr">
        <is>
          <t>412</t>
        </is>
      </c>
      <c r="B10428" s="4" t="n">
        <v>4</v>
      </c>
      <c r="C10428" s="4" t="inlineStr">
        <is>
          <t>whitetail</t>
        </is>
      </c>
      <c r="D10428" s="4" t="n">
        <v>2022</v>
      </c>
      <c r="E10428" s="13" t="inlineStr">
        <is>
          <t>General</t>
        </is>
      </c>
      <c r="F10428" s="5" t="n"/>
      <c r="G10428" s="5" t="n"/>
      <c r="H10428" s="5" t="n">
        <v>451</v>
      </c>
      <c r="I10428" s="5" t="n">
        <v>272</v>
      </c>
      <c r="J10428" s="5" t="n">
        <v>179</v>
      </c>
      <c r="K10428" s="10">
        <f>IF(F10428&gt;0,H10428/F10428,"")</f>
        <v/>
      </c>
      <c r="L10428" s="16">
        <f>IF(AND(G10428&gt;0,H10428&gt;0),G10428/H10428,"")</f>
        <v/>
      </c>
    </row>
    <row r="10429">
      <c r="A10429" s="4" t="inlineStr">
        <is>
          <t>412</t>
        </is>
      </c>
      <c r="B10429" s="4" t="n">
        <v>4</v>
      </c>
      <c r="C10429" s="4" t="inlineStr">
        <is>
          <t>whitetail</t>
        </is>
      </c>
      <c r="D10429" s="4" t="n">
        <v>2023</v>
      </c>
      <c r="E10429" s="13" t="inlineStr">
        <is>
          <t>General</t>
        </is>
      </c>
      <c r="F10429" s="5" t="n">
        <v>1421</v>
      </c>
      <c r="G10429" s="5" t="n">
        <v>7474</v>
      </c>
      <c r="H10429" s="5" t="n">
        <v>536</v>
      </c>
      <c r="I10429" s="5" t="n">
        <v>335</v>
      </c>
      <c r="J10429" s="5" t="n">
        <v>202</v>
      </c>
      <c r="K10429" s="10">
        <f>IF(F10429&gt;0,H10429/F10429,"")</f>
        <v/>
      </c>
      <c r="L10429" s="16">
        <f>IF(AND(G10429&gt;0,H10429&gt;0),G10429/H10429,"")</f>
        <v/>
      </c>
    </row>
    <row r="10430">
      <c r="A10430" s="4" t="inlineStr">
        <is>
          <t>412</t>
        </is>
      </c>
      <c r="B10430" s="4" t="n">
        <v>4</v>
      </c>
      <c r="C10430" s="4" t="inlineStr">
        <is>
          <t>whitetail</t>
        </is>
      </c>
      <c r="D10430" s="4" t="n">
        <v>2024</v>
      </c>
      <c r="E10430" s="13" t="inlineStr">
        <is>
          <t>General</t>
        </is>
      </c>
      <c r="F10430" s="5" t="n"/>
      <c r="G10430" s="5" t="n"/>
      <c r="H10430" s="5" t="n">
        <v>524</v>
      </c>
      <c r="I10430" s="5" t="n">
        <v>327</v>
      </c>
      <c r="J10430" s="5" t="n">
        <v>197</v>
      </c>
      <c r="K10430" s="10">
        <f>IF(F10430&gt;0,H10430/F10430,"")</f>
        <v/>
      </c>
      <c r="L10430" s="16">
        <f>IF(AND(G10430&gt;0,H10430&gt;0),G10430/H10430,"")</f>
        <v/>
      </c>
    </row>
    <row r="10431">
      <c r="A10431" s="4" t="inlineStr">
        <is>
          <t>412</t>
        </is>
      </c>
      <c r="B10431" s="4" t="n">
        <v>4</v>
      </c>
      <c r="C10431" s="4" t="inlineStr">
        <is>
          <t>whitetail</t>
        </is>
      </c>
      <c r="D10431" s="4" t="n">
        <v>2025</v>
      </c>
      <c r="E10431" s="13" t="inlineStr">
        <is>
          <t>General</t>
        </is>
      </c>
      <c r="F10431" s="5" t="n">
        <v>1139</v>
      </c>
      <c r="G10431" s="5" t="n">
        <v>6654</v>
      </c>
      <c r="H10431" s="5" t="n">
        <v>379</v>
      </c>
      <c r="I10431" s="5" t="n">
        <v>226</v>
      </c>
      <c r="J10431" s="5" t="n">
        <v>153</v>
      </c>
      <c r="K10431" s="10">
        <f>IF(F10431&gt;0,H10431/F10431,"")</f>
        <v/>
      </c>
      <c r="L10431" s="16">
        <f>IF(AND(G10431&gt;0,H10431&gt;0),G10431/H10431,"")</f>
        <v/>
      </c>
    </row>
    <row r="10432">
      <c r="A10432" s="4" t="inlineStr">
        <is>
          <t>413</t>
        </is>
      </c>
      <c r="B10432" s="4" t="n">
        <v>4</v>
      </c>
      <c r="C10432" s="4" t="inlineStr">
        <is>
          <t>whitetail</t>
        </is>
      </c>
      <c r="D10432" s="4" t="n">
        <v>2004</v>
      </c>
      <c r="E10432" s="13" t="inlineStr">
        <is>
          <t>General</t>
        </is>
      </c>
      <c r="F10432" s="5" t="n">
        <v>2137</v>
      </c>
      <c r="G10432" s="5" t="n">
        <v>8647</v>
      </c>
      <c r="H10432" s="5" t="n">
        <v>459</v>
      </c>
      <c r="I10432" s="5" t="n">
        <v>220</v>
      </c>
      <c r="J10432" s="5" t="n">
        <v>231</v>
      </c>
      <c r="K10432" s="10">
        <f>IF(F10432&gt;0,H10432/F10432,"")</f>
        <v/>
      </c>
      <c r="L10432" s="16">
        <f>IF(AND(G10432&gt;0,H10432&gt;0),G10432/H10432,"")</f>
        <v/>
      </c>
    </row>
    <row r="10433">
      <c r="A10433" s="4" t="inlineStr">
        <is>
          <t>413</t>
        </is>
      </c>
      <c r="B10433" s="4" t="n">
        <v>4</v>
      </c>
      <c r="C10433" s="4" t="inlineStr">
        <is>
          <t>whitetail</t>
        </is>
      </c>
      <c r="D10433" s="4" t="n">
        <v>2005</v>
      </c>
      <c r="E10433" s="13" t="inlineStr">
        <is>
          <t>General</t>
        </is>
      </c>
      <c r="F10433" s="5" t="n">
        <v>1929</v>
      </c>
      <c r="G10433" s="5" t="n">
        <v>9260</v>
      </c>
      <c r="H10433" s="5" t="n">
        <v>458</v>
      </c>
      <c r="I10433" s="5" t="n">
        <v>209</v>
      </c>
      <c r="J10433" s="5" t="n">
        <v>245</v>
      </c>
      <c r="K10433" s="10">
        <f>IF(F10433&gt;0,H10433/F10433,"")</f>
        <v/>
      </c>
      <c r="L10433" s="16">
        <f>IF(AND(G10433&gt;0,H10433&gt;0),G10433/H10433,"")</f>
        <v/>
      </c>
    </row>
    <row r="10434">
      <c r="A10434" s="4" t="inlineStr">
        <is>
          <t>413</t>
        </is>
      </c>
      <c r="B10434" s="4" t="n">
        <v>4</v>
      </c>
      <c r="C10434" s="4" t="inlineStr">
        <is>
          <t>whitetail</t>
        </is>
      </c>
      <c r="D10434" s="4" t="n">
        <v>2006</v>
      </c>
      <c r="E10434" s="13" t="inlineStr">
        <is>
          <t>General</t>
        </is>
      </c>
      <c r="F10434" s="5" t="n">
        <v>1972</v>
      </c>
      <c r="G10434" s="5" t="n">
        <v>10038</v>
      </c>
      <c r="H10434" s="5" t="n">
        <v>573</v>
      </c>
      <c r="I10434" s="5" t="n">
        <v>249</v>
      </c>
      <c r="J10434" s="5" t="n">
        <v>317</v>
      </c>
      <c r="K10434" s="10">
        <f>IF(F10434&gt;0,H10434/F10434,"")</f>
        <v/>
      </c>
      <c r="L10434" s="16">
        <f>IF(AND(G10434&gt;0,H10434&gt;0),G10434/H10434,"")</f>
        <v/>
      </c>
    </row>
    <row r="10435">
      <c r="A10435" s="4" t="inlineStr">
        <is>
          <t>413</t>
        </is>
      </c>
      <c r="B10435" s="4" t="n">
        <v>4</v>
      </c>
      <c r="C10435" s="4" t="inlineStr">
        <is>
          <t>whitetail</t>
        </is>
      </c>
      <c r="D10435" s="4" t="n">
        <v>2007</v>
      </c>
      <c r="E10435" s="13" t="inlineStr">
        <is>
          <t>General</t>
        </is>
      </c>
      <c r="F10435" s="5" t="n">
        <v>2138</v>
      </c>
      <c r="G10435" s="5" t="n">
        <v>11493</v>
      </c>
      <c r="H10435" s="5" t="n">
        <v>592</v>
      </c>
      <c r="I10435" s="5" t="n">
        <v>293</v>
      </c>
      <c r="J10435" s="5" t="n">
        <v>285</v>
      </c>
      <c r="K10435" s="10">
        <f>IF(F10435&gt;0,H10435/F10435,"")</f>
        <v/>
      </c>
      <c r="L10435" s="16">
        <f>IF(AND(G10435&gt;0,H10435&gt;0),G10435/H10435,"")</f>
        <v/>
      </c>
    </row>
    <row r="10436">
      <c r="A10436" s="4" t="inlineStr">
        <is>
          <t>413</t>
        </is>
      </c>
      <c r="B10436" s="4" t="n">
        <v>4</v>
      </c>
      <c r="C10436" s="4" t="inlineStr">
        <is>
          <t>whitetail</t>
        </is>
      </c>
      <c r="D10436" s="4" t="n">
        <v>2008</v>
      </c>
      <c r="E10436" s="13" t="inlineStr">
        <is>
          <t>General</t>
        </is>
      </c>
      <c r="F10436" s="5" t="n">
        <v>2216</v>
      </c>
      <c r="G10436" s="5" t="n">
        <v>10589</v>
      </c>
      <c r="H10436" s="5" t="n">
        <v>565</v>
      </c>
      <c r="I10436" s="5" t="n">
        <v>296</v>
      </c>
      <c r="J10436" s="5" t="n">
        <v>260</v>
      </c>
      <c r="K10436" s="10">
        <f>IF(F10436&gt;0,H10436/F10436,"")</f>
        <v/>
      </c>
      <c r="L10436" s="16">
        <f>IF(AND(G10436&gt;0,H10436&gt;0),G10436/H10436,"")</f>
        <v/>
      </c>
    </row>
    <row r="10437">
      <c r="A10437" s="4" t="inlineStr">
        <is>
          <t>413</t>
        </is>
      </c>
      <c r="B10437" s="4" t="n">
        <v>4</v>
      </c>
      <c r="C10437" s="4" t="inlineStr">
        <is>
          <t>whitetail</t>
        </is>
      </c>
      <c r="D10437" s="4" t="n">
        <v>2009</v>
      </c>
      <c r="E10437" s="13" t="inlineStr">
        <is>
          <t>General</t>
        </is>
      </c>
      <c r="F10437" s="5" t="n">
        <v>2034</v>
      </c>
      <c r="G10437" s="5" t="n">
        <v>10376</v>
      </c>
      <c r="H10437" s="5" t="n">
        <v>562</v>
      </c>
      <c r="I10437" s="5" t="n">
        <v>195</v>
      </c>
      <c r="J10437" s="5" t="n">
        <v>358</v>
      </c>
      <c r="K10437" s="10">
        <f>IF(F10437&gt;0,H10437/F10437,"")</f>
        <v/>
      </c>
      <c r="L10437" s="16">
        <f>IF(AND(G10437&gt;0,H10437&gt;0),G10437/H10437,"")</f>
        <v/>
      </c>
    </row>
    <row r="10438">
      <c r="A10438" s="4" t="inlineStr">
        <is>
          <t>413</t>
        </is>
      </c>
      <c r="B10438" s="4" t="n">
        <v>4</v>
      </c>
      <c r="C10438" s="4" t="inlineStr">
        <is>
          <t>whitetail</t>
        </is>
      </c>
      <c r="D10438" s="4" t="n">
        <v>2010</v>
      </c>
      <c r="E10438" s="13" t="inlineStr">
        <is>
          <t>General</t>
        </is>
      </c>
      <c r="F10438" s="5" t="n">
        <v>2144</v>
      </c>
      <c r="G10438" s="5" t="n">
        <v>10605</v>
      </c>
      <c r="H10438" s="5" t="n">
        <v>578</v>
      </c>
      <c r="I10438" s="5" t="n">
        <v>271</v>
      </c>
      <c r="J10438" s="5" t="n">
        <v>296</v>
      </c>
      <c r="K10438" s="10">
        <f>IF(F10438&gt;0,H10438/F10438,"")</f>
        <v/>
      </c>
      <c r="L10438" s="16">
        <f>IF(AND(G10438&gt;0,H10438&gt;0),G10438/H10438,"")</f>
        <v/>
      </c>
    </row>
    <row r="10439">
      <c r="A10439" s="4" t="inlineStr">
        <is>
          <t>413</t>
        </is>
      </c>
      <c r="B10439" s="4" t="n">
        <v>4</v>
      </c>
      <c r="C10439" s="4" t="inlineStr">
        <is>
          <t>whitetail</t>
        </is>
      </c>
      <c r="D10439" s="4" t="n">
        <v>2011</v>
      </c>
      <c r="E10439" s="13" t="inlineStr">
        <is>
          <t>General</t>
        </is>
      </c>
      <c r="F10439" s="5" t="n">
        <v>2286</v>
      </c>
      <c r="G10439" s="5" t="n">
        <v>10887</v>
      </c>
      <c r="H10439" s="5" t="n">
        <v>545</v>
      </c>
      <c r="I10439" s="5" t="n">
        <v>224</v>
      </c>
      <c r="J10439" s="5" t="n">
        <v>310</v>
      </c>
      <c r="K10439" s="10">
        <f>IF(F10439&gt;0,H10439/F10439,"")</f>
        <v/>
      </c>
      <c r="L10439" s="16">
        <f>IF(AND(G10439&gt;0,H10439&gt;0),G10439/H10439,"")</f>
        <v/>
      </c>
    </row>
    <row r="10440">
      <c r="A10440" s="4" t="inlineStr">
        <is>
          <t>413</t>
        </is>
      </c>
      <c r="B10440" s="4" t="n">
        <v>4</v>
      </c>
      <c r="C10440" s="4" t="inlineStr">
        <is>
          <t>whitetail</t>
        </is>
      </c>
      <c r="D10440" s="4" t="n">
        <v>2012</v>
      </c>
      <c r="E10440" s="13" t="inlineStr">
        <is>
          <t>General</t>
        </is>
      </c>
      <c r="F10440" s="5" t="n"/>
      <c r="G10440" s="5" t="n"/>
      <c r="H10440" s="5" t="n">
        <v>643</v>
      </c>
      <c r="I10440" s="5" t="n">
        <v>251</v>
      </c>
      <c r="J10440" s="5" t="n">
        <v>373</v>
      </c>
      <c r="K10440" s="10">
        <f>IF(F10440&gt;0,H10440/F10440,"")</f>
        <v/>
      </c>
      <c r="L10440" s="16">
        <f>IF(AND(G10440&gt;0,H10440&gt;0),G10440/H10440,"")</f>
        <v/>
      </c>
    </row>
    <row r="10441">
      <c r="A10441" s="4" t="inlineStr">
        <is>
          <t>413</t>
        </is>
      </c>
      <c r="B10441" s="4" t="n">
        <v>4</v>
      </c>
      <c r="C10441" s="4" t="inlineStr">
        <is>
          <t>whitetail</t>
        </is>
      </c>
      <c r="D10441" s="4" t="n">
        <v>2013</v>
      </c>
      <c r="E10441" s="13" t="inlineStr">
        <is>
          <t>General</t>
        </is>
      </c>
      <c r="F10441" s="5" t="n">
        <v>2403</v>
      </c>
      <c r="G10441" s="5" t="n">
        <v>12907</v>
      </c>
      <c r="H10441" s="5" t="n">
        <v>525</v>
      </c>
      <c r="I10441" s="5" t="n">
        <v>251</v>
      </c>
      <c r="J10441" s="5" t="n">
        <v>265</v>
      </c>
      <c r="K10441" s="10">
        <f>IF(F10441&gt;0,H10441/F10441,"")</f>
        <v/>
      </c>
      <c r="L10441" s="16">
        <f>IF(AND(G10441&gt;0,H10441&gt;0),G10441/H10441,"")</f>
        <v/>
      </c>
    </row>
    <row r="10442">
      <c r="A10442" s="4" t="inlineStr">
        <is>
          <t>413</t>
        </is>
      </c>
      <c r="B10442" s="4" t="n">
        <v>4</v>
      </c>
      <c r="C10442" s="4" t="inlineStr">
        <is>
          <t>whitetail</t>
        </is>
      </c>
      <c r="D10442" s="4" t="n">
        <v>2014</v>
      </c>
      <c r="E10442" s="13" t="inlineStr">
        <is>
          <t>General</t>
        </is>
      </c>
      <c r="F10442" s="5" t="n"/>
      <c r="G10442" s="5" t="n"/>
      <c r="H10442" s="5" t="n">
        <v>316</v>
      </c>
      <c r="I10442" s="5" t="n">
        <v>260</v>
      </c>
      <c r="J10442" s="5" t="n">
        <v>56</v>
      </c>
      <c r="K10442" s="10">
        <f>IF(F10442&gt;0,H10442/F10442,"")</f>
        <v/>
      </c>
      <c r="L10442" s="16">
        <f>IF(AND(G10442&gt;0,H10442&gt;0),G10442/H10442,"")</f>
        <v/>
      </c>
    </row>
    <row r="10443">
      <c r="A10443" s="4" t="inlineStr">
        <is>
          <t>413</t>
        </is>
      </c>
      <c r="B10443" s="4" t="n">
        <v>4</v>
      </c>
      <c r="C10443" s="4" t="inlineStr">
        <is>
          <t>whitetail</t>
        </is>
      </c>
      <c r="D10443" s="4" t="n">
        <v>2015</v>
      </c>
      <c r="E10443" s="13" t="inlineStr">
        <is>
          <t>General</t>
        </is>
      </c>
      <c r="F10443" s="5" t="n"/>
      <c r="G10443" s="5" t="n"/>
      <c r="H10443" s="5" t="n">
        <v>373</v>
      </c>
      <c r="I10443" s="5" t="n">
        <v>305</v>
      </c>
      <c r="J10443" s="5" t="n">
        <v>62</v>
      </c>
      <c r="K10443" s="10">
        <f>IF(F10443&gt;0,H10443/F10443,"")</f>
        <v/>
      </c>
      <c r="L10443" s="16">
        <f>IF(AND(G10443&gt;0,H10443&gt;0),G10443/H10443,"")</f>
        <v/>
      </c>
    </row>
    <row r="10444">
      <c r="A10444" s="4" t="inlineStr">
        <is>
          <t>413</t>
        </is>
      </c>
      <c r="B10444" s="4" t="n">
        <v>4</v>
      </c>
      <c r="C10444" s="4" t="inlineStr">
        <is>
          <t>whitetail</t>
        </is>
      </c>
      <c r="D10444" s="4" t="n">
        <v>2016</v>
      </c>
      <c r="E10444" s="13" t="inlineStr">
        <is>
          <t>General</t>
        </is>
      </c>
      <c r="F10444" s="5" t="n"/>
      <c r="G10444" s="5" t="n"/>
      <c r="H10444" s="5" t="n">
        <v>283</v>
      </c>
      <c r="I10444" s="5" t="n">
        <v>220</v>
      </c>
      <c r="J10444" s="5" t="n">
        <v>60</v>
      </c>
      <c r="K10444" s="10">
        <f>IF(F10444&gt;0,H10444/F10444,"")</f>
        <v/>
      </c>
      <c r="L10444" s="16">
        <f>IF(AND(G10444&gt;0,H10444&gt;0),G10444/H10444,"")</f>
        <v/>
      </c>
    </row>
    <row r="10445">
      <c r="A10445" s="4" t="inlineStr">
        <is>
          <t>413</t>
        </is>
      </c>
      <c r="B10445" s="4" t="n">
        <v>4</v>
      </c>
      <c r="C10445" s="4" t="inlineStr">
        <is>
          <t>whitetail</t>
        </is>
      </c>
      <c r="D10445" s="4" t="n">
        <v>2017</v>
      </c>
      <c r="E10445" s="13" t="inlineStr">
        <is>
          <t>General</t>
        </is>
      </c>
      <c r="F10445" s="5" t="n">
        <v>2034</v>
      </c>
      <c r="G10445" s="5" t="n">
        <v>9955</v>
      </c>
      <c r="H10445" s="5" t="n">
        <v>380</v>
      </c>
      <c r="I10445" s="5" t="n">
        <v>231</v>
      </c>
      <c r="J10445" s="5" t="n">
        <v>146</v>
      </c>
      <c r="K10445" s="10">
        <f>IF(F10445&gt;0,H10445/F10445,"")</f>
        <v/>
      </c>
      <c r="L10445" s="16">
        <f>IF(AND(G10445&gt;0,H10445&gt;0),G10445/H10445,"")</f>
        <v/>
      </c>
    </row>
    <row r="10446">
      <c r="A10446" s="4" t="inlineStr">
        <is>
          <t>413</t>
        </is>
      </c>
      <c r="B10446" s="4" t="n">
        <v>4</v>
      </c>
      <c r="C10446" s="4" t="inlineStr">
        <is>
          <t>whitetail</t>
        </is>
      </c>
      <c r="D10446" s="4" t="n">
        <v>2018</v>
      </c>
      <c r="E10446" s="13" t="inlineStr">
        <is>
          <t>General</t>
        </is>
      </c>
      <c r="F10446" s="5" t="n"/>
      <c r="G10446" s="5" t="n"/>
      <c r="H10446" s="5" t="n">
        <v>540</v>
      </c>
      <c r="I10446" s="5" t="n">
        <v>292</v>
      </c>
      <c r="J10446" s="5" t="n">
        <v>240</v>
      </c>
      <c r="K10446" s="10">
        <f>IF(F10446&gt;0,H10446/F10446,"")</f>
        <v/>
      </c>
      <c r="L10446" s="16">
        <f>IF(AND(G10446&gt;0,H10446&gt;0),G10446/H10446,"")</f>
        <v/>
      </c>
    </row>
    <row r="10447">
      <c r="A10447" s="4" t="inlineStr">
        <is>
          <t>413</t>
        </is>
      </c>
      <c r="B10447" s="4" t="n">
        <v>4</v>
      </c>
      <c r="C10447" s="4" t="inlineStr">
        <is>
          <t>whitetail</t>
        </is>
      </c>
      <c r="D10447" s="4" t="n">
        <v>2019</v>
      </c>
      <c r="E10447" s="13" t="inlineStr">
        <is>
          <t>General</t>
        </is>
      </c>
      <c r="F10447" s="5" t="n">
        <v>1884</v>
      </c>
      <c r="G10447" s="5" t="n">
        <v>8845</v>
      </c>
      <c r="H10447" s="5" t="n">
        <v>590</v>
      </c>
      <c r="I10447" s="5" t="n">
        <v>327</v>
      </c>
      <c r="J10447" s="5" t="n">
        <v>260</v>
      </c>
      <c r="K10447" s="10">
        <f>IF(F10447&gt;0,H10447/F10447,"")</f>
        <v/>
      </c>
      <c r="L10447" s="16">
        <f>IF(AND(G10447&gt;0,H10447&gt;0),G10447/H10447,"")</f>
        <v/>
      </c>
    </row>
    <row r="10448">
      <c r="A10448" s="4" t="inlineStr">
        <is>
          <t>413</t>
        </is>
      </c>
      <c r="B10448" s="4" t="n">
        <v>4</v>
      </c>
      <c r="C10448" s="4" t="inlineStr">
        <is>
          <t>whitetail</t>
        </is>
      </c>
      <c r="D10448" s="4" t="n">
        <v>2020</v>
      </c>
      <c r="E10448" s="13" t="inlineStr">
        <is>
          <t>General</t>
        </is>
      </c>
      <c r="F10448" s="5" t="n"/>
      <c r="G10448" s="5" t="n"/>
      <c r="H10448" s="5" t="n">
        <v>619</v>
      </c>
      <c r="I10448" s="5" t="n">
        <v>310</v>
      </c>
      <c r="J10448" s="5" t="n">
        <v>303</v>
      </c>
      <c r="K10448" s="10">
        <f>IF(F10448&gt;0,H10448/F10448,"")</f>
        <v/>
      </c>
      <c r="L10448" s="16">
        <f>IF(AND(G10448&gt;0,H10448&gt;0),G10448/H10448,"")</f>
        <v/>
      </c>
    </row>
    <row r="10449">
      <c r="A10449" s="4" t="inlineStr">
        <is>
          <t>413</t>
        </is>
      </c>
      <c r="B10449" s="4" t="n">
        <v>4</v>
      </c>
      <c r="C10449" s="4" t="inlineStr">
        <is>
          <t>whitetail</t>
        </is>
      </c>
      <c r="D10449" s="4" t="n">
        <v>2021</v>
      </c>
      <c r="E10449" s="13" t="inlineStr">
        <is>
          <t>General</t>
        </is>
      </c>
      <c r="F10449" s="5" t="n">
        <v>1901</v>
      </c>
      <c r="G10449" s="5" t="n">
        <v>9654</v>
      </c>
      <c r="H10449" s="5" t="n">
        <v>631</v>
      </c>
      <c r="I10449" s="5" t="n">
        <v>367</v>
      </c>
      <c r="J10449" s="5" t="n">
        <v>264</v>
      </c>
      <c r="K10449" s="10">
        <f>IF(F10449&gt;0,H10449/F10449,"")</f>
        <v/>
      </c>
      <c r="L10449" s="16">
        <f>IF(AND(G10449&gt;0,H10449&gt;0),G10449/H10449,"")</f>
        <v/>
      </c>
    </row>
    <row r="10450">
      <c r="A10450" s="4" t="inlineStr">
        <is>
          <t>413</t>
        </is>
      </c>
      <c r="B10450" s="4" t="n">
        <v>4</v>
      </c>
      <c r="C10450" s="4" t="inlineStr">
        <is>
          <t>whitetail</t>
        </is>
      </c>
      <c r="D10450" s="4" t="n">
        <v>2022</v>
      </c>
      <c r="E10450" s="13" t="inlineStr">
        <is>
          <t>General</t>
        </is>
      </c>
      <c r="F10450" s="5" t="n"/>
      <c r="G10450" s="5" t="n"/>
      <c r="H10450" s="5" t="n">
        <v>770</v>
      </c>
      <c r="I10450" s="5" t="n">
        <v>397</v>
      </c>
      <c r="J10450" s="5" t="n">
        <v>372</v>
      </c>
      <c r="K10450" s="10">
        <f>IF(F10450&gt;0,H10450/F10450,"")</f>
        <v/>
      </c>
      <c r="L10450" s="16">
        <f>IF(AND(G10450&gt;0,H10450&gt;0),G10450/H10450,"")</f>
        <v/>
      </c>
    </row>
    <row r="10451">
      <c r="A10451" s="4" t="inlineStr">
        <is>
          <t>413</t>
        </is>
      </c>
      <c r="B10451" s="4" t="n">
        <v>4</v>
      </c>
      <c r="C10451" s="4" t="inlineStr">
        <is>
          <t>whitetail</t>
        </is>
      </c>
      <c r="D10451" s="4" t="n">
        <v>2023</v>
      </c>
      <c r="E10451" s="13" t="inlineStr">
        <is>
          <t>General</t>
        </is>
      </c>
      <c r="F10451" s="5" t="n">
        <v>2783</v>
      </c>
      <c r="G10451" s="5" t="n">
        <v>15981</v>
      </c>
      <c r="H10451" s="5" t="n">
        <v>756</v>
      </c>
      <c r="I10451" s="5" t="n">
        <v>416</v>
      </c>
      <c r="J10451" s="5" t="n">
        <v>337</v>
      </c>
      <c r="K10451" s="10">
        <f>IF(F10451&gt;0,H10451/F10451,"")</f>
        <v/>
      </c>
      <c r="L10451" s="16">
        <f>IF(AND(G10451&gt;0,H10451&gt;0),G10451/H10451,"")</f>
        <v/>
      </c>
    </row>
    <row r="10452">
      <c r="A10452" s="4" t="inlineStr">
        <is>
          <t>413</t>
        </is>
      </c>
      <c r="B10452" s="4" t="n">
        <v>4</v>
      </c>
      <c r="C10452" s="4" t="inlineStr">
        <is>
          <t>whitetail</t>
        </is>
      </c>
      <c r="D10452" s="4" t="n">
        <v>2024</v>
      </c>
      <c r="E10452" s="13" t="inlineStr">
        <is>
          <t>General</t>
        </is>
      </c>
      <c r="F10452" s="5" t="n"/>
      <c r="G10452" s="5" t="n"/>
      <c r="H10452" s="5" t="n">
        <v>907</v>
      </c>
      <c r="I10452" s="5" t="n">
        <v>516</v>
      </c>
      <c r="J10452" s="5" t="n">
        <v>390</v>
      </c>
      <c r="K10452" s="10">
        <f>IF(F10452&gt;0,H10452/F10452,"")</f>
        <v/>
      </c>
      <c r="L10452" s="16">
        <f>IF(AND(G10452&gt;0,H10452&gt;0),G10452/H10452,"")</f>
        <v/>
      </c>
    </row>
    <row r="10453">
      <c r="A10453" s="4" t="inlineStr">
        <is>
          <t>413</t>
        </is>
      </c>
      <c r="B10453" s="4" t="n">
        <v>4</v>
      </c>
      <c r="C10453" s="4" t="inlineStr">
        <is>
          <t>whitetail</t>
        </is>
      </c>
      <c r="D10453" s="4" t="n">
        <v>2025</v>
      </c>
      <c r="E10453" s="13" t="inlineStr">
        <is>
          <t>General</t>
        </is>
      </c>
      <c r="F10453" s="5" t="n">
        <v>2609</v>
      </c>
      <c r="G10453" s="5" t="n">
        <v>17008</v>
      </c>
      <c r="H10453" s="5" t="n">
        <v>698</v>
      </c>
      <c r="I10453" s="5" t="n">
        <v>390</v>
      </c>
      <c r="J10453" s="5" t="n">
        <v>305</v>
      </c>
      <c r="K10453" s="10">
        <f>IF(F10453&gt;0,H10453/F10453,"")</f>
        <v/>
      </c>
      <c r="L10453" s="16">
        <f>IF(AND(G10453&gt;0,H10453&gt;0),G10453/H10453,"")</f>
        <v/>
      </c>
    </row>
    <row r="10454">
      <c r="A10454" s="4" t="inlineStr">
        <is>
          <t>415</t>
        </is>
      </c>
      <c r="B10454" s="4" t="n">
        <v>4</v>
      </c>
      <c r="C10454" s="4" t="inlineStr">
        <is>
          <t>whitetail</t>
        </is>
      </c>
      <c r="D10454" s="4" t="n">
        <v>2004</v>
      </c>
      <c r="E10454" s="13" t="inlineStr">
        <is>
          <t>General</t>
        </is>
      </c>
      <c r="F10454" s="5" t="n">
        <v>111</v>
      </c>
      <c r="G10454" s="5" t="n">
        <v>545</v>
      </c>
      <c r="H10454" s="5" t="n">
        <v>10</v>
      </c>
      <c r="I10454" s="5" t="n">
        <v>10</v>
      </c>
      <c r="J10454" s="5" t="n">
        <v>0</v>
      </c>
      <c r="K10454" s="10">
        <f>IF(F10454&gt;0,H10454/F10454,"")</f>
        <v/>
      </c>
      <c r="L10454" s="16">
        <f>IF(AND(G10454&gt;0,H10454&gt;0),G10454/H10454,"")</f>
        <v/>
      </c>
    </row>
    <row r="10455">
      <c r="A10455" s="4" t="inlineStr">
        <is>
          <t>415</t>
        </is>
      </c>
      <c r="B10455" s="4" t="n">
        <v>4</v>
      </c>
      <c r="C10455" s="4" t="inlineStr">
        <is>
          <t>whitetail</t>
        </is>
      </c>
      <c r="D10455" s="4" t="n">
        <v>2005</v>
      </c>
      <c r="E10455" s="13" t="inlineStr">
        <is>
          <t>General</t>
        </is>
      </c>
      <c r="F10455" s="5" t="n">
        <v>60</v>
      </c>
      <c r="G10455" s="5" t="n">
        <v>321</v>
      </c>
      <c r="H10455" s="5" t="n">
        <v>4</v>
      </c>
      <c r="I10455" s="5" t="n">
        <v>4</v>
      </c>
      <c r="J10455" s="5" t="n">
        <v>0</v>
      </c>
      <c r="K10455" s="10">
        <f>IF(F10455&gt;0,H10455/F10455,"")</f>
        <v/>
      </c>
      <c r="L10455" s="16">
        <f>IF(AND(G10455&gt;0,H10455&gt;0),G10455/H10455,"")</f>
        <v/>
      </c>
    </row>
    <row r="10456">
      <c r="A10456" s="4" t="inlineStr">
        <is>
          <t>415</t>
        </is>
      </c>
      <c r="B10456" s="4" t="n">
        <v>4</v>
      </c>
      <c r="C10456" s="4" t="inlineStr">
        <is>
          <t>whitetail</t>
        </is>
      </c>
      <c r="D10456" s="4" t="n">
        <v>2006</v>
      </c>
      <c r="E10456" s="13" t="inlineStr">
        <is>
          <t>General</t>
        </is>
      </c>
      <c r="F10456" s="5" t="n">
        <v>89</v>
      </c>
      <c r="G10456" s="5" t="n">
        <v>436</v>
      </c>
      <c r="H10456" s="5" t="n">
        <v>19</v>
      </c>
      <c r="I10456" s="5" t="n">
        <v>19</v>
      </c>
      <c r="J10456" s="5" t="n">
        <v>0</v>
      </c>
      <c r="K10456" s="10">
        <f>IF(F10456&gt;0,H10456/F10456,"")</f>
        <v/>
      </c>
      <c r="L10456" s="16">
        <f>IF(AND(G10456&gt;0,H10456&gt;0),G10456/H10456,"")</f>
        <v/>
      </c>
    </row>
    <row r="10457">
      <c r="A10457" s="4" t="inlineStr">
        <is>
          <t>415</t>
        </is>
      </c>
      <c r="B10457" s="4" t="n">
        <v>4</v>
      </c>
      <c r="C10457" s="4" t="inlineStr">
        <is>
          <t>whitetail</t>
        </is>
      </c>
      <c r="D10457" s="4" t="n">
        <v>2007</v>
      </c>
      <c r="E10457" s="13" t="inlineStr">
        <is>
          <t>General</t>
        </is>
      </c>
      <c r="F10457" s="5" t="n">
        <v>125</v>
      </c>
      <c r="G10457" s="5" t="n">
        <v>778</v>
      </c>
      <c r="H10457" s="5" t="n">
        <v>20</v>
      </c>
      <c r="I10457" s="5" t="n">
        <v>17</v>
      </c>
      <c r="J10457" s="5" t="n">
        <v>3</v>
      </c>
      <c r="K10457" s="10">
        <f>IF(F10457&gt;0,H10457/F10457,"")</f>
        <v/>
      </c>
      <c r="L10457" s="16">
        <f>IF(AND(G10457&gt;0,H10457&gt;0),G10457/H10457,"")</f>
        <v/>
      </c>
    </row>
    <row r="10458">
      <c r="A10458" s="4" t="inlineStr">
        <is>
          <t>415</t>
        </is>
      </c>
      <c r="B10458" s="4" t="n">
        <v>4</v>
      </c>
      <c r="C10458" s="4" t="inlineStr">
        <is>
          <t>whitetail</t>
        </is>
      </c>
      <c r="D10458" s="4" t="n">
        <v>2008</v>
      </c>
      <c r="E10458" s="13" t="inlineStr">
        <is>
          <t>General</t>
        </is>
      </c>
      <c r="F10458" s="5" t="n">
        <v>84</v>
      </c>
      <c r="G10458" s="5" t="n">
        <v>536</v>
      </c>
      <c r="H10458" s="5" t="n">
        <v>12</v>
      </c>
      <c r="I10458" s="5" t="n">
        <v>12</v>
      </c>
      <c r="J10458" s="5" t="n">
        <v>0</v>
      </c>
      <c r="K10458" s="10">
        <f>IF(F10458&gt;0,H10458/F10458,"")</f>
        <v/>
      </c>
      <c r="L10458" s="16">
        <f>IF(AND(G10458&gt;0,H10458&gt;0),G10458/H10458,"")</f>
        <v/>
      </c>
    </row>
    <row r="10459">
      <c r="A10459" s="4" t="inlineStr">
        <is>
          <t>415</t>
        </is>
      </c>
      <c r="B10459" s="4" t="n">
        <v>4</v>
      </c>
      <c r="C10459" s="4" t="inlineStr">
        <is>
          <t>whitetail</t>
        </is>
      </c>
      <c r="D10459" s="4" t="n">
        <v>2009</v>
      </c>
      <c r="E10459" s="13" t="inlineStr">
        <is>
          <t>General</t>
        </is>
      </c>
      <c r="F10459" s="5" t="n">
        <v>118</v>
      </c>
      <c r="G10459" s="5" t="n">
        <v>835</v>
      </c>
      <c r="H10459" s="5" t="n">
        <v>21</v>
      </c>
      <c r="I10459" s="5" t="n">
        <v>12</v>
      </c>
      <c r="J10459" s="5" t="n">
        <v>9</v>
      </c>
      <c r="K10459" s="10">
        <f>IF(F10459&gt;0,H10459/F10459,"")</f>
        <v/>
      </c>
      <c r="L10459" s="16">
        <f>IF(AND(G10459&gt;0,H10459&gt;0),G10459/H10459,"")</f>
        <v/>
      </c>
    </row>
    <row r="10460">
      <c r="A10460" s="4" t="inlineStr">
        <is>
          <t>415</t>
        </is>
      </c>
      <c r="B10460" s="4" t="n">
        <v>4</v>
      </c>
      <c r="C10460" s="4" t="inlineStr">
        <is>
          <t>whitetail</t>
        </is>
      </c>
      <c r="D10460" s="4" t="n">
        <v>2010</v>
      </c>
      <c r="E10460" s="13" t="inlineStr">
        <is>
          <t>General</t>
        </is>
      </c>
      <c r="F10460" s="5" t="n">
        <v>79</v>
      </c>
      <c r="G10460" s="5" t="n">
        <v>545</v>
      </c>
      <c r="H10460" s="5" t="n">
        <v>8</v>
      </c>
      <c r="I10460" s="5" t="n">
        <v>3</v>
      </c>
      <c r="J10460" s="5" t="n">
        <v>6</v>
      </c>
      <c r="K10460" s="10">
        <f>IF(F10460&gt;0,H10460/F10460,"")</f>
        <v/>
      </c>
      <c r="L10460" s="16">
        <f>IF(AND(G10460&gt;0,H10460&gt;0),G10460/H10460,"")</f>
        <v/>
      </c>
    </row>
    <row r="10461">
      <c r="A10461" s="4" t="inlineStr">
        <is>
          <t>415</t>
        </is>
      </c>
      <c r="B10461" s="4" t="n">
        <v>4</v>
      </c>
      <c r="C10461" s="4" t="inlineStr">
        <is>
          <t>whitetail</t>
        </is>
      </c>
      <c r="D10461" s="4" t="n">
        <v>2011</v>
      </c>
      <c r="E10461" s="13" t="inlineStr">
        <is>
          <t>General</t>
        </is>
      </c>
      <c r="F10461" s="5" t="n">
        <v>137</v>
      </c>
      <c r="G10461" s="5" t="n">
        <v>874</v>
      </c>
      <c r="H10461" s="5" t="n">
        <v>20</v>
      </c>
      <c r="I10461" s="5" t="n">
        <v>17</v>
      </c>
      <c r="J10461" s="5" t="n">
        <v>3</v>
      </c>
      <c r="K10461" s="10">
        <f>IF(F10461&gt;0,H10461/F10461,"")</f>
        <v/>
      </c>
      <c r="L10461" s="16">
        <f>IF(AND(G10461&gt;0,H10461&gt;0),G10461/H10461,"")</f>
        <v/>
      </c>
    </row>
    <row r="10462">
      <c r="A10462" s="4" t="inlineStr">
        <is>
          <t>415</t>
        </is>
      </c>
      <c r="B10462" s="4" t="n">
        <v>4</v>
      </c>
      <c r="C10462" s="4" t="inlineStr">
        <is>
          <t>whitetail</t>
        </is>
      </c>
      <c r="D10462" s="4" t="n">
        <v>2012</v>
      </c>
      <c r="E10462" s="13" t="inlineStr">
        <is>
          <t>General</t>
        </is>
      </c>
      <c r="F10462" s="5" t="n"/>
      <c r="G10462" s="5" t="n"/>
      <c r="H10462" s="5" t="n">
        <v>6</v>
      </c>
      <c r="I10462" s="5" t="n">
        <v>6</v>
      </c>
      <c r="J10462" s="5" t="n">
        <v>0</v>
      </c>
      <c r="K10462" s="10">
        <f>IF(F10462&gt;0,H10462/F10462,"")</f>
        <v/>
      </c>
      <c r="L10462" s="16">
        <f>IF(AND(G10462&gt;0,H10462&gt;0),G10462/H10462,"")</f>
        <v/>
      </c>
    </row>
    <row r="10463">
      <c r="A10463" s="4" t="inlineStr">
        <is>
          <t>415</t>
        </is>
      </c>
      <c r="B10463" s="4" t="n">
        <v>4</v>
      </c>
      <c r="C10463" s="4" t="inlineStr">
        <is>
          <t>whitetail</t>
        </is>
      </c>
      <c r="D10463" s="4" t="n">
        <v>2013</v>
      </c>
      <c r="E10463" s="13" t="inlineStr">
        <is>
          <t>General</t>
        </is>
      </c>
      <c r="F10463" s="5" t="n">
        <v>101</v>
      </c>
      <c r="G10463" s="5" t="n">
        <v>788</v>
      </c>
      <c r="H10463" s="5" t="n">
        <v>3</v>
      </c>
      <c r="I10463" s="5" t="n">
        <v>3</v>
      </c>
      <c r="J10463" s="5" t="n">
        <v>0</v>
      </c>
      <c r="K10463" s="10">
        <f>IF(F10463&gt;0,H10463/F10463,"")</f>
        <v/>
      </c>
      <c r="L10463" s="16">
        <f>IF(AND(G10463&gt;0,H10463&gt;0),G10463/H10463,"")</f>
        <v/>
      </c>
    </row>
    <row r="10464">
      <c r="A10464" s="4" t="inlineStr">
        <is>
          <t>415</t>
        </is>
      </c>
      <c r="B10464" s="4" t="n">
        <v>4</v>
      </c>
      <c r="C10464" s="4" t="inlineStr">
        <is>
          <t>whitetail</t>
        </is>
      </c>
      <c r="D10464" s="4" t="n">
        <v>2014</v>
      </c>
      <c r="E10464" s="13" t="inlineStr">
        <is>
          <t>General</t>
        </is>
      </c>
      <c r="F10464" s="5" t="n"/>
      <c r="G10464" s="5" t="n"/>
      <c r="H10464" s="5" t="n">
        <v>6</v>
      </c>
      <c r="I10464" s="5" t="n">
        <v>3</v>
      </c>
      <c r="J10464" s="5" t="n">
        <v>3</v>
      </c>
      <c r="K10464" s="10">
        <f>IF(F10464&gt;0,H10464/F10464,"")</f>
        <v/>
      </c>
      <c r="L10464" s="16">
        <f>IF(AND(G10464&gt;0,H10464&gt;0),G10464/H10464,"")</f>
        <v/>
      </c>
    </row>
    <row r="10465">
      <c r="A10465" s="4" t="inlineStr">
        <is>
          <t>415</t>
        </is>
      </c>
      <c r="B10465" s="4" t="n">
        <v>4</v>
      </c>
      <c r="C10465" s="4" t="inlineStr">
        <is>
          <t>whitetail</t>
        </is>
      </c>
      <c r="D10465" s="4" t="n">
        <v>2015</v>
      </c>
      <c r="E10465" s="13" t="inlineStr">
        <is>
          <t>General</t>
        </is>
      </c>
      <c r="F10465" s="5" t="n"/>
      <c r="G10465" s="5" t="n"/>
      <c r="H10465" s="5" t="n">
        <v>12</v>
      </c>
      <c r="I10465" s="5" t="n">
        <v>12</v>
      </c>
      <c r="J10465" s="5" t="n">
        <v>0</v>
      </c>
      <c r="K10465" s="10">
        <f>IF(F10465&gt;0,H10465/F10465,"")</f>
        <v/>
      </c>
      <c r="L10465" s="16">
        <f>IF(AND(G10465&gt;0,H10465&gt;0),G10465/H10465,"")</f>
        <v/>
      </c>
    </row>
    <row r="10466">
      <c r="A10466" s="4" t="inlineStr">
        <is>
          <t>415</t>
        </is>
      </c>
      <c r="B10466" s="4" t="n">
        <v>4</v>
      </c>
      <c r="C10466" s="4" t="inlineStr">
        <is>
          <t>whitetail</t>
        </is>
      </c>
      <c r="D10466" s="4" t="n">
        <v>2016</v>
      </c>
      <c r="E10466" s="13" t="inlineStr">
        <is>
          <t>General</t>
        </is>
      </c>
      <c r="F10466" s="5" t="n"/>
      <c r="G10466" s="5" t="n"/>
      <c r="H10466" s="5" t="n">
        <v>6</v>
      </c>
      <c r="I10466" s="5" t="n">
        <v>6</v>
      </c>
      <c r="J10466" s="5" t="n">
        <v>0</v>
      </c>
      <c r="K10466" s="10">
        <f>IF(F10466&gt;0,H10466/F10466,"")</f>
        <v/>
      </c>
      <c r="L10466" s="16">
        <f>IF(AND(G10466&gt;0,H10466&gt;0),G10466/H10466,"")</f>
        <v/>
      </c>
    </row>
    <row r="10467">
      <c r="A10467" s="4" t="inlineStr">
        <is>
          <t>415</t>
        </is>
      </c>
      <c r="B10467" s="4" t="n">
        <v>4</v>
      </c>
      <c r="C10467" s="4" t="inlineStr">
        <is>
          <t>whitetail</t>
        </is>
      </c>
      <c r="D10467" s="4" t="n">
        <v>2017</v>
      </c>
      <c r="E10467" s="13" t="inlineStr">
        <is>
          <t>General</t>
        </is>
      </c>
      <c r="F10467" s="5" t="n">
        <v>77</v>
      </c>
      <c r="G10467" s="5" t="n">
        <v>388</v>
      </c>
      <c r="H10467" s="5" t="n">
        <v>11</v>
      </c>
      <c r="I10467" s="5" t="n">
        <v>9</v>
      </c>
      <c r="J10467" s="5" t="n">
        <v>2</v>
      </c>
      <c r="K10467" s="10">
        <f>IF(F10467&gt;0,H10467/F10467,"")</f>
        <v/>
      </c>
      <c r="L10467" s="16">
        <f>IF(AND(G10467&gt;0,H10467&gt;0),G10467/H10467,"")</f>
        <v/>
      </c>
    </row>
    <row r="10468">
      <c r="A10468" s="4" t="inlineStr">
        <is>
          <t>415</t>
        </is>
      </c>
      <c r="B10468" s="4" t="n">
        <v>4</v>
      </c>
      <c r="C10468" s="4" t="inlineStr">
        <is>
          <t>whitetail</t>
        </is>
      </c>
      <c r="D10468" s="4" t="n">
        <v>2018</v>
      </c>
      <c r="E10468" s="13" t="inlineStr">
        <is>
          <t>General</t>
        </is>
      </c>
      <c r="F10468" s="5" t="n"/>
      <c r="G10468" s="5" t="n"/>
      <c r="H10468" s="5" t="n">
        <v>10</v>
      </c>
      <c r="I10468" s="5" t="n">
        <v>10</v>
      </c>
      <c r="J10468" s="5" t="n">
        <v>0</v>
      </c>
      <c r="K10468" s="10">
        <f>IF(F10468&gt;0,H10468/F10468,"")</f>
        <v/>
      </c>
      <c r="L10468" s="16">
        <f>IF(AND(G10468&gt;0,H10468&gt;0),G10468/H10468,"")</f>
        <v/>
      </c>
    </row>
    <row r="10469">
      <c r="A10469" s="4" t="inlineStr">
        <is>
          <t>415</t>
        </is>
      </c>
      <c r="B10469" s="4" t="n">
        <v>4</v>
      </c>
      <c r="C10469" s="4" t="inlineStr">
        <is>
          <t>whitetail</t>
        </is>
      </c>
      <c r="D10469" s="4" t="n">
        <v>2019</v>
      </c>
      <c r="E10469" s="13" t="inlineStr">
        <is>
          <t>General</t>
        </is>
      </c>
      <c r="F10469" s="5" t="n">
        <v>76</v>
      </c>
      <c r="G10469" s="5" t="n">
        <v>405</v>
      </c>
      <c r="H10469" s="5" t="n">
        <v>3</v>
      </c>
      <c r="I10469" s="5" t="n">
        <v>0</v>
      </c>
      <c r="J10469" s="5" t="n">
        <v>3</v>
      </c>
      <c r="K10469" s="10">
        <f>IF(F10469&gt;0,H10469/F10469,"")</f>
        <v/>
      </c>
      <c r="L10469" s="16">
        <f>IF(AND(G10469&gt;0,H10469&gt;0),G10469/H10469,"")</f>
        <v/>
      </c>
    </row>
    <row r="10470">
      <c r="A10470" s="4" t="inlineStr">
        <is>
          <t>415</t>
        </is>
      </c>
      <c r="B10470" s="4" t="n">
        <v>4</v>
      </c>
      <c r="C10470" s="4" t="inlineStr">
        <is>
          <t>whitetail</t>
        </is>
      </c>
      <c r="D10470" s="4" t="n">
        <v>2020</v>
      </c>
      <c r="E10470" s="13" t="inlineStr">
        <is>
          <t>General</t>
        </is>
      </c>
      <c r="F10470" s="5" t="n"/>
      <c r="G10470" s="5" t="n"/>
      <c r="H10470" s="5" t="n">
        <v>17</v>
      </c>
      <c r="I10470" s="5" t="n">
        <v>17</v>
      </c>
      <c r="J10470" s="5" t="n">
        <v>0</v>
      </c>
      <c r="K10470" s="10">
        <f>IF(F10470&gt;0,H10470/F10470,"")</f>
        <v/>
      </c>
      <c r="L10470" s="16">
        <f>IF(AND(G10470&gt;0,H10470&gt;0),G10470/H10470,"")</f>
        <v/>
      </c>
    </row>
    <row r="10471">
      <c r="A10471" s="4" t="inlineStr">
        <is>
          <t>415</t>
        </is>
      </c>
      <c r="B10471" s="4" t="n">
        <v>4</v>
      </c>
      <c r="C10471" s="4" t="inlineStr">
        <is>
          <t>whitetail</t>
        </is>
      </c>
      <c r="D10471" s="4" t="n">
        <v>2022</v>
      </c>
      <c r="E10471" s="13" t="inlineStr">
        <is>
          <t>General</t>
        </is>
      </c>
      <c r="F10471" s="5" t="n"/>
      <c r="G10471" s="5" t="n"/>
      <c r="H10471" s="5" t="n">
        <v>13</v>
      </c>
      <c r="I10471" s="5" t="n">
        <v>10</v>
      </c>
      <c r="J10471" s="5" t="n">
        <v>3</v>
      </c>
      <c r="K10471" s="10">
        <f>IF(F10471&gt;0,H10471/F10471,"")</f>
        <v/>
      </c>
      <c r="L10471" s="16">
        <f>IF(AND(G10471&gt;0,H10471&gt;0),G10471/H10471,"")</f>
        <v/>
      </c>
    </row>
    <row r="10472">
      <c r="A10472" s="4" t="inlineStr">
        <is>
          <t>415</t>
        </is>
      </c>
      <c r="B10472" s="4" t="n">
        <v>4</v>
      </c>
      <c r="C10472" s="4" t="inlineStr">
        <is>
          <t>whitetail</t>
        </is>
      </c>
      <c r="D10472" s="4" t="n">
        <v>2023</v>
      </c>
      <c r="E10472" s="13" t="inlineStr">
        <is>
          <t>General</t>
        </is>
      </c>
      <c r="F10472" s="5" t="n">
        <v>111</v>
      </c>
      <c r="G10472" s="5" t="n">
        <v>1201</v>
      </c>
      <c r="H10472" s="5" t="n">
        <v>3</v>
      </c>
      <c r="I10472" s="5" t="n">
        <v>3</v>
      </c>
      <c r="J10472" s="5" t="n">
        <v>0</v>
      </c>
      <c r="K10472" s="10">
        <f>IF(F10472&gt;0,H10472/F10472,"")</f>
        <v/>
      </c>
      <c r="L10472" s="16">
        <f>IF(AND(G10472&gt;0,H10472&gt;0),G10472/H10472,"")</f>
        <v/>
      </c>
    </row>
    <row r="10473">
      <c r="A10473" s="4" t="inlineStr">
        <is>
          <t>415</t>
        </is>
      </c>
      <c r="B10473" s="4" t="n">
        <v>4</v>
      </c>
      <c r="C10473" s="4" t="inlineStr">
        <is>
          <t>whitetail</t>
        </is>
      </c>
      <c r="D10473" s="4" t="n">
        <v>2024</v>
      </c>
      <c r="E10473" s="13" t="inlineStr">
        <is>
          <t>General</t>
        </is>
      </c>
      <c r="F10473" s="5" t="n"/>
      <c r="G10473" s="5" t="n"/>
      <c r="H10473" s="5" t="n">
        <v>15</v>
      </c>
      <c r="I10473" s="5" t="n">
        <v>9</v>
      </c>
      <c r="J10473" s="5" t="n">
        <v>6</v>
      </c>
      <c r="K10473" s="10">
        <f>IF(F10473&gt;0,H10473/F10473,"")</f>
        <v/>
      </c>
      <c r="L10473" s="16">
        <f>IF(AND(G10473&gt;0,H10473&gt;0),G10473/H10473,"")</f>
        <v/>
      </c>
    </row>
    <row r="10474">
      <c r="A10474" s="4" t="inlineStr">
        <is>
          <t>415</t>
        </is>
      </c>
      <c r="B10474" s="4" t="n">
        <v>4</v>
      </c>
      <c r="C10474" s="4" t="inlineStr">
        <is>
          <t>whitetail</t>
        </is>
      </c>
      <c r="D10474" s="4" t="n">
        <v>2025</v>
      </c>
      <c r="E10474" s="13" t="inlineStr">
        <is>
          <t>General</t>
        </is>
      </c>
      <c r="F10474" s="5" t="n">
        <v>102</v>
      </c>
      <c r="G10474" s="5" t="n">
        <v>539</v>
      </c>
      <c r="H10474" s="5" t="n">
        <v>23</v>
      </c>
      <c r="I10474" s="5" t="n">
        <v>13</v>
      </c>
      <c r="J10474" s="5" t="n">
        <v>10</v>
      </c>
      <c r="K10474" s="10">
        <f>IF(F10474&gt;0,H10474/F10474,"")</f>
        <v/>
      </c>
      <c r="L10474" s="16">
        <f>IF(AND(G10474&gt;0,H10474&gt;0),G10474/H10474,"")</f>
        <v/>
      </c>
    </row>
    <row r="10475">
      <c r="A10475" s="4" t="inlineStr">
        <is>
          <t>416</t>
        </is>
      </c>
      <c r="B10475" s="4" t="n">
        <v>4</v>
      </c>
      <c r="C10475" s="4" t="inlineStr">
        <is>
          <t>whitetail</t>
        </is>
      </c>
      <c r="D10475" s="4" t="n">
        <v>2004</v>
      </c>
      <c r="E10475" s="13" t="inlineStr">
        <is>
          <t>General</t>
        </is>
      </c>
      <c r="F10475" s="5" t="n">
        <v>992</v>
      </c>
      <c r="G10475" s="5" t="n">
        <v>4827</v>
      </c>
      <c r="H10475" s="5" t="n">
        <v>123</v>
      </c>
      <c r="I10475" s="5" t="n">
        <v>69</v>
      </c>
      <c r="J10475" s="5" t="n">
        <v>53</v>
      </c>
      <c r="K10475" s="10">
        <f>IF(F10475&gt;0,H10475/F10475,"")</f>
        <v/>
      </c>
      <c r="L10475" s="16">
        <f>IF(AND(G10475&gt;0,H10475&gt;0),G10475/H10475,"")</f>
        <v/>
      </c>
    </row>
    <row r="10476">
      <c r="A10476" s="4" t="inlineStr">
        <is>
          <t>416</t>
        </is>
      </c>
      <c r="B10476" s="4" t="n">
        <v>4</v>
      </c>
      <c r="C10476" s="4" t="inlineStr">
        <is>
          <t>whitetail</t>
        </is>
      </c>
      <c r="D10476" s="4" t="n">
        <v>2005</v>
      </c>
      <c r="E10476" s="13" t="inlineStr">
        <is>
          <t>General</t>
        </is>
      </c>
      <c r="F10476" s="5" t="n">
        <v>960</v>
      </c>
      <c r="G10476" s="5" t="n">
        <v>4783</v>
      </c>
      <c r="H10476" s="5" t="n">
        <v>173</v>
      </c>
      <c r="I10476" s="5" t="n">
        <v>104</v>
      </c>
      <c r="J10476" s="5" t="n">
        <v>62</v>
      </c>
      <c r="K10476" s="10">
        <f>IF(F10476&gt;0,H10476/F10476,"")</f>
        <v/>
      </c>
      <c r="L10476" s="16">
        <f>IF(AND(G10476&gt;0,H10476&gt;0),G10476/H10476,"")</f>
        <v/>
      </c>
    </row>
    <row r="10477">
      <c r="A10477" s="4" t="inlineStr">
        <is>
          <t>416</t>
        </is>
      </c>
      <c r="B10477" s="4" t="n">
        <v>4</v>
      </c>
      <c r="C10477" s="4" t="inlineStr">
        <is>
          <t>whitetail</t>
        </is>
      </c>
      <c r="D10477" s="4" t="n">
        <v>2006</v>
      </c>
      <c r="E10477" s="13" t="inlineStr">
        <is>
          <t>General</t>
        </is>
      </c>
      <c r="F10477" s="5" t="n">
        <v>977</v>
      </c>
      <c r="G10477" s="5" t="n">
        <v>5248</v>
      </c>
      <c r="H10477" s="5" t="n">
        <v>162</v>
      </c>
      <c r="I10477" s="5" t="n">
        <v>78</v>
      </c>
      <c r="J10477" s="5" t="n">
        <v>84</v>
      </c>
      <c r="K10477" s="10">
        <f>IF(F10477&gt;0,H10477/F10477,"")</f>
        <v/>
      </c>
      <c r="L10477" s="16">
        <f>IF(AND(G10477&gt;0,H10477&gt;0),G10477/H10477,"")</f>
        <v/>
      </c>
    </row>
    <row r="10478">
      <c r="A10478" s="4" t="inlineStr">
        <is>
          <t>416</t>
        </is>
      </c>
      <c r="B10478" s="4" t="n">
        <v>4</v>
      </c>
      <c r="C10478" s="4" t="inlineStr">
        <is>
          <t>whitetail</t>
        </is>
      </c>
      <c r="D10478" s="4" t="n">
        <v>2007</v>
      </c>
      <c r="E10478" s="13" t="inlineStr">
        <is>
          <t>General</t>
        </is>
      </c>
      <c r="F10478" s="5" t="n">
        <v>952</v>
      </c>
      <c r="G10478" s="5" t="n">
        <v>5506</v>
      </c>
      <c r="H10478" s="5" t="n">
        <v>143</v>
      </c>
      <c r="I10478" s="5" t="n">
        <v>86</v>
      </c>
      <c r="J10478" s="5" t="n">
        <v>57</v>
      </c>
      <c r="K10478" s="10">
        <f>IF(F10478&gt;0,H10478/F10478,"")</f>
        <v/>
      </c>
      <c r="L10478" s="16">
        <f>IF(AND(G10478&gt;0,H10478&gt;0),G10478/H10478,"")</f>
        <v/>
      </c>
    </row>
    <row r="10479">
      <c r="A10479" s="4" t="inlineStr">
        <is>
          <t>416</t>
        </is>
      </c>
      <c r="B10479" s="4" t="n">
        <v>4</v>
      </c>
      <c r="C10479" s="4" t="inlineStr">
        <is>
          <t>whitetail</t>
        </is>
      </c>
      <c r="D10479" s="4" t="n">
        <v>2008</v>
      </c>
      <c r="E10479" s="13" t="inlineStr">
        <is>
          <t>General</t>
        </is>
      </c>
      <c r="F10479" s="5" t="n">
        <v>1082</v>
      </c>
      <c r="G10479" s="5" t="n">
        <v>6144</v>
      </c>
      <c r="H10479" s="5" t="n">
        <v>145</v>
      </c>
      <c r="I10479" s="5" t="n">
        <v>82</v>
      </c>
      <c r="J10479" s="5" t="n">
        <v>63</v>
      </c>
      <c r="K10479" s="10">
        <f>IF(F10479&gt;0,H10479/F10479,"")</f>
        <v/>
      </c>
      <c r="L10479" s="16">
        <f>IF(AND(G10479&gt;0,H10479&gt;0),G10479/H10479,"")</f>
        <v/>
      </c>
    </row>
    <row r="10480">
      <c r="A10480" s="4" t="inlineStr">
        <is>
          <t>416</t>
        </is>
      </c>
      <c r="B10480" s="4" t="n">
        <v>4</v>
      </c>
      <c r="C10480" s="4" t="inlineStr">
        <is>
          <t>whitetail</t>
        </is>
      </c>
      <c r="D10480" s="4" t="n">
        <v>2009</v>
      </c>
      <c r="E10480" s="13" t="inlineStr">
        <is>
          <t>General</t>
        </is>
      </c>
      <c r="F10480" s="5" t="n">
        <v>1003</v>
      </c>
      <c r="G10480" s="5" t="n">
        <v>5481</v>
      </c>
      <c r="H10480" s="5" t="n">
        <v>120</v>
      </c>
      <c r="I10480" s="5" t="n">
        <v>52</v>
      </c>
      <c r="J10480" s="5" t="n">
        <v>65</v>
      </c>
      <c r="K10480" s="10">
        <f>IF(F10480&gt;0,H10480/F10480,"")</f>
        <v/>
      </c>
      <c r="L10480" s="16">
        <f>IF(AND(G10480&gt;0,H10480&gt;0),G10480/H10480,"")</f>
        <v/>
      </c>
    </row>
    <row r="10481">
      <c r="A10481" s="4" t="inlineStr">
        <is>
          <t>416</t>
        </is>
      </c>
      <c r="B10481" s="4" t="n">
        <v>4</v>
      </c>
      <c r="C10481" s="4" t="inlineStr">
        <is>
          <t>whitetail</t>
        </is>
      </c>
      <c r="D10481" s="4" t="n">
        <v>2010</v>
      </c>
      <c r="E10481" s="13" t="inlineStr">
        <is>
          <t>General</t>
        </is>
      </c>
      <c r="F10481" s="5" t="n">
        <v>1190</v>
      </c>
      <c r="G10481" s="5" t="n">
        <v>6942</v>
      </c>
      <c r="H10481" s="5" t="n">
        <v>283</v>
      </c>
      <c r="I10481" s="5" t="n">
        <v>98</v>
      </c>
      <c r="J10481" s="5" t="n">
        <v>182</v>
      </c>
      <c r="K10481" s="10">
        <f>IF(F10481&gt;0,H10481/F10481,"")</f>
        <v/>
      </c>
      <c r="L10481" s="16">
        <f>IF(AND(G10481&gt;0,H10481&gt;0),G10481/H10481,"")</f>
        <v/>
      </c>
    </row>
    <row r="10482">
      <c r="A10482" s="4" t="inlineStr">
        <is>
          <t>416</t>
        </is>
      </c>
      <c r="B10482" s="4" t="n">
        <v>4</v>
      </c>
      <c r="C10482" s="4" t="inlineStr">
        <is>
          <t>whitetail</t>
        </is>
      </c>
      <c r="D10482" s="4" t="n">
        <v>2011</v>
      </c>
      <c r="E10482" s="13" t="inlineStr">
        <is>
          <t>General</t>
        </is>
      </c>
      <c r="F10482" s="5" t="n">
        <v>1155</v>
      </c>
      <c r="G10482" s="5" t="n">
        <v>6022</v>
      </c>
      <c r="H10482" s="5" t="n">
        <v>190</v>
      </c>
      <c r="I10482" s="5" t="n">
        <v>59</v>
      </c>
      <c r="J10482" s="5" t="n">
        <v>129</v>
      </c>
      <c r="K10482" s="10">
        <f>IF(F10482&gt;0,H10482/F10482,"")</f>
        <v/>
      </c>
      <c r="L10482" s="16">
        <f>IF(AND(G10482&gt;0,H10482&gt;0),G10482/H10482,"")</f>
        <v/>
      </c>
    </row>
    <row r="10483">
      <c r="A10483" s="4" t="inlineStr">
        <is>
          <t>416</t>
        </is>
      </c>
      <c r="B10483" s="4" t="n">
        <v>4</v>
      </c>
      <c r="C10483" s="4" t="inlineStr">
        <is>
          <t>whitetail</t>
        </is>
      </c>
      <c r="D10483" s="4" t="n">
        <v>2012</v>
      </c>
      <c r="E10483" s="13" t="inlineStr">
        <is>
          <t>General</t>
        </is>
      </c>
      <c r="F10483" s="5" t="n"/>
      <c r="G10483" s="5" t="n"/>
      <c r="H10483" s="5" t="n">
        <v>321</v>
      </c>
      <c r="I10483" s="5" t="n">
        <v>75</v>
      </c>
      <c r="J10483" s="5" t="n">
        <v>243</v>
      </c>
      <c r="K10483" s="10">
        <f>IF(F10483&gt;0,H10483/F10483,"")</f>
        <v/>
      </c>
      <c r="L10483" s="16">
        <f>IF(AND(G10483&gt;0,H10483&gt;0),G10483/H10483,"")</f>
        <v/>
      </c>
    </row>
    <row r="10484">
      <c r="A10484" s="4" t="inlineStr">
        <is>
          <t>416</t>
        </is>
      </c>
      <c r="B10484" s="4" t="n">
        <v>4</v>
      </c>
      <c r="C10484" s="4" t="inlineStr">
        <is>
          <t>whitetail</t>
        </is>
      </c>
      <c r="D10484" s="4" t="n">
        <v>2013</v>
      </c>
      <c r="E10484" s="13" t="inlineStr">
        <is>
          <t>General</t>
        </is>
      </c>
      <c r="F10484" s="5" t="n">
        <v>1356</v>
      </c>
      <c r="G10484" s="5" t="n">
        <v>9037</v>
      </c>
      <c r="H10484" s="5" t="n">
        <v>205</v>
      </c>
      <c r="I10484" s="5" t="n">
        <v>68</v>
      </c>
      <c r="J10484" s="5" t="n">
        <v>135</v>
      </c>
      <c r="K10484" s="10">
        <f>IF(F10484&gt;0,H10484/F10484,"")</f>
        <v/>
      </c>
      <c r="L10484" s="16">
        <f>IF(AND(G10484&gt;0,H10484&gt;0),G10484/H10484,"")</f>
        <v/>
      </c>
    </row>
    <row r="10485">
      <c r="A10485" s="4" t="inlineStr">
        <is>
          <t>416</t>
        </is>
      </c>
      <c r="B10485" s="4" t="n">
        <v>4</v>
      </c>
      <c r="C10485" s="4" t="inlineStr">
        <is>
          <t>whitetail</t>
        </is>
      </c>
      <c r="D10485" s="4" t="n">
        <v>2014</v>
      </c>
      <c r="E10485" s="13" t="inlineStr">
        <is>
          <t>General</t>
        </is>
      </c>
      <c r="F10485" s="5" t="n"/>
      <c r="G10485" s="5" t="n"/>
      <c r="H10485" s="5" t="n">
        <v>118</v>
      </c>
      <c r="I10485" s="5" t="n">
        <v>73</v>
      </c>
      <c r="J10485" s="5" t="n">
        <v>46</v>
      </c>
      <c r="K10485" s="10">
        <f>IF(F10485&gt;0,H10485/F10485,"")</f>
        <v/>
      </c>
      <c r="L10485" s="16">
        <f>IF(AND(G10485&gt;0,H10485&gt;0),G10485/H10485,"")</f>
        <v/>
      </c>
    </row>
    <row r="10486">
      <c r="A10486" s="4" t="inlineStr">
        <is>
          <t>416</t>
        </is>
      </c>
      <c r="B10486" s="4" t="n">
        <v>4</v>
      </c>
      <c r="C10486" s="4" t="inlineStr">
        <is>
          <t>whitetail</t>
        </is>
      </c>
      <c r="D10486" s="4" t="n">
        <v>2015</v>
      </c>
      <c r="E10486" s="13" t="inlineStr">
        <is>
          <t>General</t>
        </is>
      </c>
      <c r="F10486" s="5" t="n"/>
      <c r="G10486" s="5" t="n"/>
      <c r="H10486" s="5" t="n">
        <v>126</v>
      </c>
      <c r="I10486" s="5" t="n">
        <v>72</v>
      </c>
      <c r="J10486" s="5" t="n">
        <v>53</v>
      </c>
      <c r="K10486" s="10">
        <f>IF(F10486&gt;0,H10486/F10486,"")</f>
        <v/>
      </c>
      <c r="L10486" s="16">
        <f>IF(AND(G10486&gt;0,H10486&gt;0),G10486/H10486,"")</f>
        <v/>
      </c>
    </row>
    <row r="10487">
      <c r="A10487" s="4" t="inlineStr">
        <is>
          <t>416</t>
        </is>
      </c>
      <c r="B10487" s="4" t="n">
        <v>4</v>
      </c>
      <c r="C10487" s="4" t="inlineStr">
        <is>
          <t>whitetail</t>
        </is>
      </c>
      <c r="D10487" s="4" t="n">
        <v>2016</v>
      </c>
      <c r="E10487" s="13" t="inlineStr">
        <is>
          <t>General</t>
        </is>
      </c>
      <c r="F10487" s="5" t="n"/>
      <c r="G10487" s="5" t="n"/>
      <c r="H10487" s="5" t="n">
        <v>160</v>
      </c>
      <c r="I10487" s="5" t="n">
        <v>89</v>
      </c>
      <c r="J10487" s="5" t="n">
        <v>68</v>
      </c>
      <c r="K10487" s="10">
        <f>IF(F10487&gt;0,H10487/F10487,"")</f>
        <v/>
      </c>
      <c r="L10487" s="16">
        <f>IF(AND(G10487&gt;0,H10487&gt;0),G10487/H10487,"")</f>
        <v/>
      </c>
    </row>
    <row r="10488">
      <c r="A10488" s="4" t="inlineStr">
        <is>
          <t>416</t>
        </is>
      </c>
      <c r="B10488" s="4" t="n">
        <v>4</v>
      </c>
      <c r="C10488" s="4" t="inlineStr">
        <is>
          <t>whitetail</t>
        </is>
      </c>
      <c r="D10488" s="4" t="n">
        <v>2017</v>
      </c>
      <c r="E10488" s="13" t="inlineStr">
        <is>
          <t>General</t>
        </is>
      </c>
      <c r="F10488" s="5" t="n">
        <v>1164</v>
      </c>
      <c r="G10488" s="5" t="n">
        <v>7221</v>
      </c>
      <c r="H10488" s="5" t="n">
        <v>205</v>
      </c>
      <c r="I10488" s="5" t="n">
        <v>126</v>
      </c>
      <c r="J10488" s="5" t="n">
        <v>77</v>
      </c>
      <c r="K10488" s="10">
        <f>IF(F10488&gt;0,H10488/F10488,"")</f>
        <v/>
      </c>
      <c r="L10488" s="16">
        <f>IF(AND(G10488&gt;0,H10488&gt;0),G10488/H10488,"")</f>
        <v/>
      </c>
    </row>
    <row r="10489">
      <c r="A10489" s="4" t="inlineStr">
        <is>
          <t>416</t>
        </is>
      </c>
      <c r="B10489" s="4" t="n">
        <v>4</v>
      </c>
      <c r="C10489" s="4" t="inlineStr">
        <is>
          <t>whitetail</t>
        </is>
      </c>
      <c r="D10489" s="4" t="n">
        <v>2018</v>
      </c>
      <c r="E10489" s="13" t="inlineStr">
        <is>
          <t>General</t>
        </is>
      </c>
      <c r="F10489" s="5" t="n"/>
      <c r="G10489" s="5" t="n"/>
      <c r="H10489" s="5" t="n">
        <v>132</v>
      </c>
      <c r="I10489" s="5" t="n">
        <v>81</v>
      </c>
      <c r="J10489" s="5" t="n">
        <v>51</v>
      </c>
      <c r="K10489" s="10">
        <f>IF(F10489&gt;0,H10489/F10489,"")</f>
        <v/>
      </c>
      <c r="L10489" s="16">
        <f>IF(AND(G10489&gt;0,H10489&gt;0),G10489/H10489,"")</f>
        <v/>
      </c>
    </row>
    <row r="10490">
      <c r="A10490" s="4" t="inlineStr">
        <is>
          <t>416</t>
        </is>
      </c>
      <c r="B10490" s="4" t="n">
        <v>4</v>
      </c>
      <c r="C10490" s="4" t="inlineStr">
        <is>
          <t>whitetail</t>
        </is>
      </c>
      <c r="D10490" s="4" t="n">
        <v>2019</v>
      </c>
      <c r="E10490" s="13" t="inlineStr">
        <is>
          <t>General</t>
        </is>
      </c>
      <c r="F10490" s="5" t="n">
        <v>925</v>
      </c>
      <c r="G10490" s="5" t="n">
        <v>5719</v>
      </c>
      <c r="H10490" s="5" t="n">
        <v>147</v>
      </c>
      <c r="I10490" s="5" t="n">
        <v>81</v>
      </c>
      <c r="J10490" s="5" t="n">
        <v>63</v>
      </c>
      <c r="K10490" s="10">
        <f>IF(F10490&gt;0,H10490/F10490,"")</f>
        <v/>
      </c>
      <c r="L10490" s="16">
        <f>IF(AND(G10490&gt;0,H10490&gt;0),G10490/H10490,"")</f>
        <v/>
      </c>
    </row>
    <row r="10491">
      <c r="A10491" s="4" t="inlineStr">
        <is>
          <t>416</t>
        </is>
      </c>
      <c r="B10491" s="4" t="n">
        <v>4</v>
      </c>
      <c r="C10491" s="4" t="inlineStr">
        <is>
          <t>whitetail</t>
        </is>
      </c>
      <c r="D10491" s="4" t="n">
        <v>2020</v>
      </c>
      <c r="E10491" s="13" t="inlineStr">
        <is>
          <t>General</t>
        </is>
      </c>
      <c r="F10491" s="5" t="n"/>
      <c r="G10491" s="5" t="n"/>
      <c r="H10491" s="5" t="n">
        <v>155</v>
      </c>
      <c r="I10491" s="5" t="n">
        <v>95</v>
      </c>
      <c r="J10491" s="5" t="n">
        <v>61</v>
      </c>
      <c r="K10491" s="10">
        <f>IF(F10491&gt;0,H10491/F10491,"")</f>
        <v/>
      </c>
      <c r="L10491" s="16">
        <f>IF(AND(G10491&gt;0,H10491&gt;0),G10491/H10491,"")</f>
        <v/>
      </c>
    </row>
    <row r="10492">
      <c r="A10492" s="4" t="inlineStr">
        <is>
          <t>416</t>
        </is>
      </c>
      <c r="B10492" s="4" t="n">
        <v>4</v>
      </c>
      <c r="C10492" s="4" t="inlineStr">
        <is>
          <t>whitetail</t>
        </is>
      </c>
      <c r="D10492" s="4" t="n">
        <v>2021</v>
      </c>
      <c r="E10492" s="13" t="inlineStr">
        <is>
          <t>General</t>
        </is>
      </c>
      <c r="F10492" s="5" t="n">
        <v>1253</v>
      </c>
      <c r="G10492" s="5" t="n">
        <v>7860</v>
      </c>
      <c r="H10492" s="5" t="n">
        <v>189</v>
      </c>
      <c r="I10492" s="5" t="n">
        <v>86</v>
      </c>
      <c r="J10492" s="5" t="n">
        <v>103</v>
      </c>
      <c r="K10492" s="10">
        <f>IF(F10492&gt;0,H10492/F10492,"")</f>
        <v/>
      </c>
      <c r="L10492" s="16">
        <f>IF(AND(G10492&gt;0,H10492&gt;0),G10492/H10492,"")</f>
        <v/>
      </c>
    </row>
    <row r="10493">
      <c r="A10493" s="4" t="inlineStr">
        <is>
          <t>416</t>
        </is>
      </c>
      <c r="B10493" s="4" t="n">
        <v>4</v>
      </c>
      <c r="C10493" s="4" t="inlineStr">
        <is>
          <t>whitetail</t>
        </is>
      </c>
      <c r="D10493" s="4" t="n">
        <v>2022</v>
      </c>
      <c r="E10493" s="13" t="inlineStr">
        <is>
          <t>General</t>
        </is>
      </c>
      <c r="F10493" s="5" t="n"/>
      <c r="G10493" s="5" t="n"/>
      <c r="H10493" s="5" t="n">
        <v>225</v>
      </c>
      <c r="I10493" s="5" t="n">
        <v>114</v>
      </c>
      <c r="J10493" s="5" t="n">
        <v>112</v>
      </c>
      <c r="K10493" s="10">
        <f>IF(F10493&gt;0,H10493/F10493,"")</f>
        <v/>
      </c>
      <c r="L10493" s="16">
        <f>IF(AND(G10493&gt;0,H10493&gt;0),G10493/H10493,"")</f>
        <v/>
      </c>
    </row>
    <row r="10494">
      <c r="A10494" s="4" t="inlineStr">
        <is>
          <t>416</t>
        </is>
      </c>
      <c r="B10494" s="4" t="n">
        <v>4</v>
      </c>
      <c r="C10494" s="4" t="inlineStr">
        <is>
          <t>whitetail</t>
        </is>
      </c>
      <c r="D10494" s="4" t="n">
        <v>2023</v>
      </c>
      <c r="E10494" s="13" t="inlineStr">
        <is>
          <t>General</t>
        </is>
      </c>
      <c r="F10494" s="5" t="n">
        <v>1983</v>
      </c>
      <c r="G10494" s="5" t="n">
        <v>13043</v>
      </c>
      <c r="H10494" s="5" t="n">
        <v>258</v>
      </c>
      <c r="I10494" s="5" t="n">
        <v>129</v>
      </c>
      <c r="J10494" s="5" t="n">
        <v>122</v>
      </c>
      <c r="K10494" s="10">
        <f>IF(F10494&gt;0,H10494/F10494,"")</f>
        <v/>
      </c>
      <c r="L10494" s="16">
        <f>IF(AND(G10494&gt;0,H10494&gt;0),G10494/H10494,"")</f>
        <v/>
      </c>
    </row>
    <row r="10495">
      <c r="A10495" s="4" t="inlineStr">
        <is>
          <t>416</t>
        </is>
      </c>
      <c r="B10495" s="4" t="n">
        <v>4</v>
      </c>
      <c r="C10495" s="4" t="inlineStr">
        <is>
          <t>whitetail</t>
        </is>
      </c>
      <c r="D10495" s="4" t="n">
        <v>2024</v>
      </c>
      <c r="E10495" s="13" t="inlineStr">
        <is>
          <t>General</t>
        </is>
      </c>
      <c r="F10495" s="5" t="n"/>
      <c r="G10495" s="5" t="n"/>
      <c r="H10495" s="5" t="n">
        <v>287</v>
      </c>
      <c r="I10495" s="5" t="n">
        <v>143</v>
      </c>
      <c r="J10495" s="5" t="n">
        <v>144</v>
      </c>
      <c r="K10495" s="10">
        <f>IF(F10495&gt;0,H10495/F10495,"")</f>
        <v/>
      </c>
      <c r="L10495" s="16">
        <f>IF(AND(G10495&gt;0,H10495&gt;0),G10495/H10495,"")</f>
        <v/>
      </c>
    </row>
    <row r="10496">
      <c r="A10496" s="4" t="inlineStr">
        <is>
          <t>416</t>
        </is>
      </c>
      <c r="B10496" s="4" t="n">
        <v>4</v>
      </c>
      <c r="C10496" s="4" t="inlineStr">
        <is>
          <t>whitetail</t>
        </is>
      </c>
      <c r="D10496" s="4" t="n">
        <v>2025</v>
      </c>
      <c r="E10496" s="13" t="inlineStr">
        <is>
          <t>General</t>
        </is>
      </c>
      <c r="F10496" s="5" t="n">
        <v>1750</v>
      </c>
      <c r="G10496" s="5" t="n">
        <v>13203</v>
      </c>
      <c r="H10496" s="5" t="n">
        <v>233</v>
      </c>
      <c r="I10496" s="5" t="n">
        <v>119</v>
      </c>
      <c r="J10496" s="5" t="n">
        <v>114</v>
      </c>
      <c r="K10496" s="10">
        <f>IF(F10496&gt;0,H10496/F10496,"")</f>
        <v/>
      </c>
      <c r="L10496" s="16">
        <f>IF(AND(G10496&gt;0,H10496&gt;0),G10496/H10496,"")</f>
        <v/>
      </c>
    </row>
    <row r="10497">
      <c r="A10497" s="4" t="inlineStr">
        <is>
          <t>417</t>
        </is>
      </c>
      <c r="B10497" s="4" t="n">
        <v>4</v>
      </c>
      <c r="C10497" s="4" t="inlineStr">
        <is>
          <t>whitetail</t>
        </is>
      </c>
      <c r="D10497" s="4" t="n">
        <v>2004</v>
      </c>
      <c r="E10497" s="13" t="inlineStr">
        <is>
          <t>General</t>
        </is>
      </c>
      <c r="F10497" s="5" t="n">
        <v>959</v>
      </c>
      <c r="G10497" s="5" t="n">
        <v>4349</v>
      </c>
      <c r="H10497" s="5" t="n">
        <v>68</v>
      </c>
      <c r="I10497" s="5" t="n">
        <v>33</v>
      </c>
      <c r="J10497" s="5" t="n">
        <v>33</v>
      </c>
      <c r="K10497" s="10">
        <f>IF(F10497&gt;0,H10497/F10497,"")</f>
        <v/>
      </c>
      <c r="L10497" s="16">
        <f>IF(AND(G10497&gt;0,H10497&gt;0),G10497/H10497,"")</f>
        <v/>
      </c>
    </row>
    <row r="10498">
      <c r="A10498" s="4" t="inlineStr">
        <is>
          <t>417</t>
        </is>
      </c>
      <c r="B10498" s="4" t="n">
        <v>4</v>
      </c>
      <c r="C10498" s="4" t="inlineStr">
        <is>
          <t>whitetail</t>
        </is>
      </c>
      <c r="D10498" s="4" t="n">
        <v>2005</v>
      </c>
      <c r="E10498" s="13" t="inlineStr">
        <is>
          <t>General</t>
        </is>
      </c>
      <c r="F10498" s="5" t="n">
        <v>988</v>
      </c>
      <c r="G10498" s="5" t="n">
        <v>5204</v>
      </c>
      <c r="H10498" s="5" t="n">
        <v>105</v>
      </c>
      <c r="I10498" s="5" t="n">
        <v>64</v>
      </c>
      <c r="J10498" s="5" t="n">
        <v>41</v>
      </c>
      <c r="K10498" s="10">
        <f>IF(F10498&gt;0,H10498/F10498,"")</f>
        <v/>
      </c>
      <c r="L10498" s="16">
        <f>IF(AND(G10498&gt;0,H10498&gt;0),G10498/H10498,"")</f>
        <v/>
      </c>
    </row>
    <row r="10499">
      <c r="A10499" s="4" t="inlineStr">
        <is>
          <t>417</t>
        </is>
      </c>
      <c r="B10499" s="4" t="n">
        <v>4</v>
      </c>
      <c r="C10499" s="4" t="inlineStr">
        <is>
          <t>whitetail</t>
        </is>
      </c>
      <c r="D10499" s="4" t="n">
        <v>2006</v>
      </c>
      <c r="E10499" s="13" t="inlineStr">
        <is>
          <t>General</t>
        </is>
      </c>
      <c r="F10499" s="5" t="n">
        <v>899</v>
      </c>
      <c r="G10499" s="5" t="n">
        <v>4542</v>
      </c>
      <c r="H10499" s="5" t="n">
        <v>114</v>
      </c>
      <c r="I10499" s="5" t="n">
        <v>54</v>
      </c>
      <c r="J10499" s="5" t="n">
        <v>61</v>
      </c>
      <c r="K10499" s="10">
        <f>IF(F10499&gt;0,H10499/F10499,"")</f>
        <v/>
      </c>
      <c r="L10499" s="16">
        <f>IF(AND(G10499&gt;0,H10499&gt;0),G10499/H10499,"")</f>
        <v/>
      </c>
    </row>
    <row r="10500">
      <c r="A10500" s="4" t="inlineStr">
        <is>
          <t>417</t>
        </is>
      </c>
      <c r="B10500" s="4" t="n">
        <v>4</v>
      </c>
      <c r="C10500" s="4" t="inlineStr">
        <is>
          <t>whitetail</t>
        </is>
      </c>
      <c r="D10500" s="4" t="n">
        <v>2007</v>
      </c>
      <c r="E10500" s="13" t="inlineStr">
        <is>
          <t>General</t>
        </is>
      </c>
      <c r="F10500" s="5" t="n">
        <v>1131</v>
      </c>
      <c r="G10500" s="5" t="n">
        <v>6479</v>
      </c>
      <c r="H10500" s="5" t="n">
        <v>165</v>
      </c>
      <c r="I10500" s="5" t="n">
        <v>93</v>
      </c>
      <c r="J10500" s="5" t="n">
        <v>72</v>
      </c>
      <c r="K10500" s="10">
        <f>IF(F10500&gt;0,H10500/F10500,"")</f>
        <v/>
      </c>
      <c r="L10500" s="16">
        <f>IF(AND(G10500&gt;0,H10500&gt;0),G10500/H10500,"")</f>
        <v/>
      </c>
    </row>
    <row r="10501">
      <c r="A10501" s="4" t="inlineStr">
        <is>
          <t>417</t>
        </is>
      </c>
      <c r="B10501" s="4" t="n">
        <v>4</v>
      </c>
      <c r="C10501" s="4" t="inlineStr">
        <is>
          <t>whitetail</t>
        </is>
      </c>
      <c r="D10501" s="4" t="n">
        <v>2008</v>
      </c>
      <c r="E10501" s="13" t="inlineStr">
        <is>
          <t>General</t>
        </is>
      </c>
      <c r="F10501" s="5" t="n">
        <v>1099</v>
      </c>
      <c r="G10501" s="5" t="n">
        <v>5194</v>
      </c>
      <c r="H10501" s="5" t="n">
        <v>123</v>
      </c>
      <c r="I10501" s="5" t="n">
        <v>86</v>
      </c>
      <c r="J10501" s="5" t="n">
        <v>36</v>
      </c>
      <c r="K10501" s="10">
        <f>IF(F10501&gt;0,H10501/F10501,"")</f>
        <v/>
      </c>
      <c r="L10501" s="16">
        <f>IF(AND(G10501&gt;0,H10501&gt;0),G10501/H10501,"")</f>
        <v/>
      </c>
    </row>
    <row r="10502">
      <c r="A10502" s="4" t="inlineStr">
        <is>
          <t>417</t>
        </is>
      </c>
      <c r="B10502" s="4" t="n">
        <v>4</v>
      </c>
      <c r="C10502" s="4" t="inlineStr">
        <is>
          <t>whitetail</t>
        </is>
      </c>
      <c r="D10502" s="4" t="n">
        <v>2009</v>
      </c>
      <c r="E10502" s="13" t="inlineStr">
        <is>
          <t>General</t>
        </is>
      </c>
      <c r="F10502" s="5" t="n">
        <v>966</v>
      </c>
      <c r="G10502" s="5" t="n">
        <v>5193</v>
      </c>
      <c r="H10502" s="5" t="n">
        <v>83</v>
      </c>
      <c r="I10502" s="5" t="n">
        <v>53</v>
      </c>
      <c r="J10502" s="5" t="n">
        <v>30</v>
      </c>
      <c r="K10502" s="10">
        <f>IF(F10502&gt;0,H10502/F10502,"")</f>
        <v/>
      </c>
      <c r="L10502" s="16">
        <f>IF(AND(G10502&gt;0,H10502&gt;0),G10502/H10502,"")</f>
        <v/>
      </c>
    </row>
    <row r="10503">
      <c r="A10503" s="4" t="inlineStr">
        <is>
          <t>417</t>
        </is>
      </c>
      <c r="B10503" s="4" t="n">
        <v>4</v>
      </c>
      <c r="C10503" s="4" t="inlineStr">
        <is>
          <t>whitetail</t>
        </is>
      </c>
      <c r="D10503" s="4" t="n">
        <v>2010</v>
      </c>
      <c r="E10503" s="13" t="inlineStr">
        <is>
          <t>General</t>
        </is>
      </c>
      <c r="F10503" s="5" t="n">
        <v>714</v>
      </c>
      <c r="G10503" s="5" t="n">
        <v>3651</v>
      </c>
      <c r="H10503" s="5" t="n">
        <v>82</v>
      </c>
      <c r="I10503" s="5" t="n">
        <v>56</v>
      </c>
      <c r="J10503" s="5" t="n">
        <v>23</v>
      </c>
      <c r="K10503" s="10">
        <f>IF(F10503&gt;0,H10503/F10503,"")</f>
        <v/>
      </c>
      <c r="L10503" s="16">
        <f>IF(AND(G10503&gt;0,H10503&gt;0),G10503/H10503,"")</f>
        <v/>
      </c>
    </row>
    <row r="10504">
      <c r="A10504" s="4" t="inlineStr">
        <is>
          <t>417</t>
        </is>
      </c>
      <c r="B10504" s="4" t="n">
        <v>4</v>
      </c>
      <c r="C10504" s="4" t="inlineStr">
        <is>
          <t>whitetail</t>
        </is>
      </c>
      <c r="D10504" s="4" t="n">
        <v>2011</v>
      </c>
      <c r="E10504" s="13" t="inlineStr">
        <is>
          <t>General</t>
        </is>
      </c>
      <c r="F10504" s="5" t="n">
        <v>805</v>
      </c>
      <c r="G10504" s="5" t="n">
        <v>4143</v>
      </c>
      <c r="H10504" s="5" t="n">
        <v>39</v>
      </c>
      <c r="I10504" s="5" t="n">
        <v>31</v>
      </c>
      <c r="J10504" s="5" t="n">
        <v>9</v>
      </c>
      <c r="K10504" s="10">
        <f>IF(F10504&gt;0,H10504/F10504,"")</f>
        <v/>
      </c>
      <c r="L10504" s="16">
        <f>IF(AND(G10504&gt;0,H10504&gt;0),G10504/H10504,"")</f>
        <v/>
      </c>
    </row>
    <row r="10505">
      <c r="A10505" s="4" t="inlineStr">
        <is>
          <t>417</t>
        </is>
      </c>
      <c r="B10505" s="4" t="n">
        <v>4</v>
      </c>
      <c r="C10505" s="4" t="inlineStr">
        <is>
          <t>whitetail</t>
        </is>
      </c>
      <c r="D10505" s="4" t="n">
        <v>2012</v>
      </c>
      <c r="E10505" s="13" t="inlineStr">
        <is>
          <t>General</t>
        </is>
      </c>
      <c r="F10505" s="5" t="n"/>
      <c r="G10505" s="5" t="n"/>
      <c r="H10505" s="5" t="n">
        <v>33</v>
      </c>
      <c r="I10505" s="5" t="n">
        <v>20</v>
      </c>
      <c r="J10505" s="5" t="n">
        <v>14</v>
      </c>
      <c r="K10505" s="10">
        <f>IF(F10505&gt;0,H10505/F10505,"")</f>
        <v/>
      </c>
      <c r="L10505" s="16">
        <f>IF(AND(G10505&gt;0,H10505&gt;0),G10505/H10505,"")</f>
        <v/>
      </c>
    </row>
    <row r="10506">
      <c r="A10506" s="4" t="inlineStr">
        <is>
          <t>417</t>
        </is>
      </c>
      <c r="B10506" s="4" t="n">
        <v>4</v>
      </c>
      <c r="C10506" s="4" t="inlineStr">
        <is>
          <t>whitetail</t>
        </is>
      </c>
      <c r="D10506" s="4" t="n">
        <v>2013</v>
      </c>
      <c r="E10506" s="13" t="inlineStr">
        <is>
          <t>General</t>
        </is>
      </c>
      <c r="F10506" s="5" t="n">
        <v>690</v>
      </c>
      <c r="G10506" s="5" t="n">
        <v>3681</v>
      </c>
      <c r="H10506" s="5" t="n">
        <v>28</v>
      </c>
      <c r="I10506" s="5" t="n">
        <v>23</v>
      </c>
      <c r="J10506" s="5" t="n">
        <v>6</v>
      </c>
      <c r="K10506" s="10">
        <f>IF(F10506&gt;0,H10506/F10506,"")</f>
        <v/>
      </c>
      <c r="L10506" s="16">
        <f>IF(AND(G10506&gt;0,H10506&gt;0),G10506/H10506,"")</f>
        <v/>
      </c>
    </row>
    <row r="10507">
      <c r="A10507" s="4" t="inlineStr">
        <is>
          <t>417</t>
        </is>
      </c>
      <c r="B10507" s="4" t="n">
        <v>4</v>
      </c>
      <c r="C10507" s="4" t="inlineStr">
        <is>
          <t>whitetail</t>
        </is>
      </c>
      <c r="D10507" s="4" t="n">
        <v>2014</v>
      </c>
      <c r="E10507" s="13" t="inlineStr">
        <is>
          <t>General</t>
        </is>
      </c>
      <c r="F10507" s="5" t="n"/>
      <c r="G10507" s="5" t="n"/>
      <c r="H10507" s="5" t="n">
        <v>20</v>
      </c>
      <c r="I10507" s="5" t="n">
        <v>20</v>
      </c>
      <c r="J10507" s="5" t="n">
        <v>0</v>
      </c>
      <c r="K10507" s="10">
        <f>IF(F10507&gt;0,H10507/F10507,"")</f>
        <v/>
      </c>
      <c r="L10507" s="16">
        <f>IF(AND(G10507&gt;0,H10507&gt;0),G10507/H10507,"")</f>
        <v/>
      </c>
    </row>
    <row r="10508">
      <c r="A10508" s="4" t="inlineStr">
        <is>
          <t>417</t>
        </is>
      </c>
      <c r="B10508" s="4" t="n">
        <v>4</v>
      </c>
      <c r="C10508" s="4" t="inlineStr">
        <is>
          <t>whitetail</t>
        </is>
      </c>
      <c r="D10508" s="4" t="n">
        <v>2015</v>
      </c>
      <c r="E10508" s="13" t="inlineStr">
        <is>
          <t>General</t>
        </is>
      </c>
      <c r="F10508" s="5" t="n"/>
      <c r="G10508" s="5" t="n"/>
      <c r="H10508" s="5" t="n">
        <v>43</v>
      </c>
      <c r="I10508" s="5" t="n">
        <v>43</v>
      </c>
      <c r="J10508" s="5" t="n">
        <v>0</v>
      </c>
      <c r="K10508" s="10">
        <f>IF(F10508&gt;0,H10508/F10508,"")</f>
        <v/>
      </c>
      <c r="L10508" s="16">
        <f>IF(AND(G10508&gt;0,H10508&gt;0),G10508/H10508,"")</f>
        <v/>
      </c>
    </row>
    <row r="10509">
      <c r="A10509" s="4" t="inlineStr">
        <is>
          <t>417</t>
        </is>
      </c>
      <c r="B10509" s="4" t="n">
        <v>4</v>
      </c>
      <c r="C10509" s="4" t="inlineStr">
        <is>
          <t>whitetail</t>
        </is>
      </c>
      <c r="D10509" s="4" t="n">
        <v>2016</v>
      </c>
      <c r="E10509" s="13" t="inlineStr">
        <is>
          <t>General</t>
        </is>
      </c>
      <c r="F10509" s="5" t="n"/>
      <c r="G10509" s="5" t="n"/>
      <c r="H10509" s="5" t="n">
        <v>34</v>
      </c>
      <c r="I10509" s="5" t="n">
        <v>31</v>
      </c>
      <c r="J10509" s="5" t="n">
        <v>3</v>
      </c>
      <c r="K10509" s="10">
        <f>IF(F10509&gt;0,H10509/F10509,"")</f>
        <v/>
      </c>
      <c r="L10509" s="16">
        <f>IF(AND(G10509&gt;0,H10509&gt;0),G10509/H10509,"")</f>
        <v/>
      </c>
    </row>
    <row r="10510">
      <c r="A10510" s="4" t="inlineStr">
        <is>
          <t>417</t>
        </is>
      </c>
      <c r="B10510" s="4" t="n">
        <v>4</v>
      </c>
      <c r="C10510" s="4" t="inlineStr">
        <is>
          <t>whitetail</t>
        </is>
      </c>
      <c r="D10510" s="4" t="n">
        <v>2017</v>
      </c>
      <c r="E10510" s="13" t="inlineStr">
        <is>
          <t>General</t>
        </is>
      </c>
      <c r="F10510" s="5" t="n">
        <v>948</v>
      </c>
      <c r="G10510" s="5" t="n">
        <v>5097</v>
      </c>
      <c r="H10510" s="5" t="n">
        <v>61</v>
      </c>
      <c r="I10510" s="5" t="n">
        <v>41</v>
      </c>
      <c r="J10510" s="5" t="n">
        <v>14</v>
      </c>
      <c r="K10510" s="10">
        <f>IF(F10510&gt;0,H10510/F10510,"")</f>
        <v/>
      </c>
      <c r="L10510" s="16">
        <f>IF(AND(G10510&gt;0,H10510&gt;0),G10510/H10510,"")</f>
        <v/>
      </c>
    </row>
    <row r="10511">
      <c r="A10511" s="4" t="inlineStr">
        <is>
          <t>417</t>
        </is>
      </c>
      <c r="B10511" s="4" t="n">
        <v>4</v>
      </c>
      <c r="C10511" s="4" t="inlineStr">
        <is>
          <t>whitetail</t>
        </is>
      </c>
      <c r="D10511" s="4" t="n">
        <v>2018</v>
      </c>
      <c r="E10511" s="13" t="inlineStr">
        <is>
          <t>General</t>
        </is>
      </c>
      <c r="F10511" s="5" t="n"/>
      <c r="G10511" s="5" t="n"/>
      <c r="H10511" s="5" t="n">
        <v>41</v>
      </c>
      <c r="I10511" s="5" t="n">
        <v>31</v>
      </c>
      <c r="J10511" s="5" t="n">
        <v>9</v>
      </c>
      <c r="K10511" s="10">
        <f>IF(F10511&gt;0,H10511/F10511,"")</f>
        <v/>
      </c>
      <c r="L10511" s="16">
        <f>IF(AND(G10511&gt;0,H10511&gt;0),G10511/H10511,"")</f>
        <v/>
      </c>
    </row>
    <row r="10512">
      <c r="A10512" s="4" t="inlineStr">
        <is>
          <t>417</t>
        </is>
      </c>
      <c r="B10512" s="4" t="n">
        <v>4</v>
      </c>
      <c r="C10512" s="4" t="inlineStr">
        <is>
          <t>whitetail</t>
        </is>
      </c>
      <c r="D10512" s="4" t="n">
        <v>2019</v>
      </c>
      <c r="E10512" s="13" t="inlineStr">
        <is>
          <t>General</t>
        </is>
      </c>
      <c r="F10512" s="5" t="n">
        <v>1097</v>
      </c>
      <c r="G10512" s="5" t="n">
        <v>5397</v>
      </c>
      <c r="H10512" s="5" t="n">
        <v>63</v>
      </c>
      <c r="I10512" s="5" t="n">
        <v>44</v>
      </c>
      <c r="J10512" s="5" t="n">
        <v>19</v>
      </c>
      <c r="K10512" s="10">
        <f>IF(F10512&gt;0,H10512/F10512,"")</f>
        <v/>
      </c>
      <c r="L10512" s="16">
        <f>IF(AND(G10512&gt;0,H10512&gt;0),G10512/H10512,"")</f>
        <v/>
      </c>
    </row>
    <row r="10513">
      <c r="A10513" s="4" t="inlineStr">
        <is>
          <t>417</t>
        </is>
      </c>
      <c r="B10513" s="4" t="n">
        <v>4</v>
      </c>
      <c r="C10513" s="4" t="inlineStr">
        <is>
          <t>whitetail</t>
        </is>
      </c>
      <c r="D10513" s="4" t="n">
        <v>2020</v>
      </c>
      <c r="E10513" s="13" t="inlineStr">
        <is>
          <t>General</t>
        </is>
      </c>
      <c r="F10513" s="5" t="n"/>
      <c r="G10513" s="5" t="n"/>
      <c r="H10513" s="5" t="n">
        <v>76</v>
      </c>
      <c r="I10513" s="5" t="n">
        <v>53</v>
      </c>
      <c r="J10513" s="5" t="n">
        <v>20</v>
      </c>
      <c r="K10513" s="10">
        <f>IF(F10513&gt;0,H10513/F10513,"")</f>
        <v/>
      </c>
      <c r="L10513" s="16">
        <f>IF(AND(G10513&gt;0,H10513&gt;0),G10513/H10513,"")</f>
        <v/>
      </c>
    </row>
    <row r="10514">
      <c r="A10514" s="4" t="inlineStr">
        <is>
          <t>417</t>
        </is>
      </c>
      <c r="B10514" s="4" t="n">
        <v>4</v>
      </c>
      <c r="C10514" s="4" t="inlineStr">
        <is>
          <t>whitetail</t>
        </is>
      </c>
      <c r="D10514" s="4" t="n">
        <v>2021</v>
      </c>
      <c r="E10514" s="13" t="inlineStr">
        <is>
          <t>General</t>
        </is>
      </c>
      <c r="F10514" s="5" t="n">
        <v>1161</v>
      </c>
      <c r="G10514" s="5" t="n">
        <v>6617</v>
      </c>
      <c r="H10514" s="5" t="n">
        <v>65</v>
      </c>
      <c r="I10514" s="5" t="n">
        <v>39</v>
      </c>
      <c r="J10514" s="5" t="n">
        <v>26</v>
      </c>
      <c r="K10514" s="10">
        <f>IF(F10514&gt;0,H10514/F10514,"")</f>
        <v/>
      </c>
      <c r="L10514" s="16">
        <f>IF(AND(G10514&gt;0,H10514&gt;0),G10514/H10514,"")</f>
        <v/>
      </c>
    </row>
    <row r="10515">
      <c r="A10515" s="4" t="inlineStr">
        <is>
          <t>417</t>
        </is>
      </c>
      <c r="B10515" s="4" t="n">
        <v>4</v>
      </c>
      <c r="C10515" s="4" t="inlineStr">
        <is>
          <t>whitetail</t>
        </is>
      </c>
      <c r="D10515" s="4" t="n">
        <v>2022</v>
      </c>
      <c r="E10515" s="13" t="inlineStr">
        <is>
          <t>General</t>
        </is>
      </c>
      <c r="F10515" s="5" t="n"/>
      <c r="G10515" s="5" t="n"/>
      <c r="H10515" s="5" t="n">
        <v>48</v>
      </c>
      <c r="I10515" s="5" t="n">
        <v>29</v>
      </c>
      <c r="J10515" s="5" t="n">
        <v>15</v>
      </c>
      <c r="K10515" s="10">
        <f>IF(F10515&gt;0,H10515/F10515,"")</f>
        <v/>
      </c>
      <c r="L10515" s="16">
        <f>IF(AND(G10515&gt;0,H10515&gt;0),G10515/H10515,"")</f>
        <v/>
      </c>
    </row>
    <row r="10516">
      <c r="A10516" s="4" t="inlineStr">
        <is>
          <t>417</t>
        </is>
      </c>
      <c r="B10516" s="4" t="n">
        <v>4</v>
      </c>
      <c r="C10516" s="4" t="inlineStr">
        <is>
          <t>whitetail</t>
        </is>
      </c>
      <c r="D10516" s="4" t="n">
        <v>2023</v>
      </c>
      <c r="E10516" s="13" t="inlineStr">
        <is>
          <t>General</t>
        </is>
      </c>
      <c r="F10516" s="5" t="n">
        <v>750</v>
      </c>
      <c r="G10516" s="5" t="n">
        <v>4498</v>
      </c>
      <c r="H10516" s="5" t="n">
        <v>47</v>
      </c>
      <c r="I10516" s="5" t="n">
        <v>29</v>
      </c>
      <c r="J10516" s="5" t="n">
        <v>18</v>
      </c>
      <c r="K10516" s="10">
        <f>IF(F10516&gt;0,H10516/F10516,"")</f>
        <v/>
      </c>
      <c r="L10516" s="16">
        <f>IF(AND(G10516&gt;0,H10516&gt;0),G10516/H10516,"")</f>
        <v/>
      </c>
    </row>
    <row r="10517">
      <c r="A10517" s="4" t="inlineStr">
        <is>
          <t>417</t>
        </is>
      </c>
      <c r="B10517" s="4" t="n">
        <v>4</v>
      </c>
      <c r="C10517" s="4" t="inlineStr">
        <is>
          <t>whitetail</t>
        </is>
      </c>
      <c r="D10517" s="4" t="n">
        <v>2024</v>
      </c>
      <c r="E10517" s="13" t="inlineStr">
        <is>
          <t>General</t>
        </is>
      </c>
      <c r="F10517" s="5" t="n"/>
      <c r="G10517" s="5" t="n"/>
      <c r="H10517" s="5" t="n">
        <v>65</v>
      </c>
      <c r="I10517" s="5" t="n">
        <v>50</v>
      </c>
      <c r="J10517" s="5" t="n">
        <v>15</v>
      </c>
      <c r="K10517" s="10">
        <f>IF(F10517&gt;0,H10517/F10517,"")</f>
        <v/>
      </c>
      <c r="L10517" s="16">
        <f>IF(AND(G10517&gt;0,H10517&gt;0),G10517/H10517,"")</f>
        <v/>
      </c>
    </row>
    <row r="10518">
      <c r="A10518" s="4" t="inlineStr">
        <is>
          <t>417</t>
        </is>
      </c>
      <c r="B10518" s="4" t="n">
        <v>4</v>
      </c>
      <c r="C10518" s="4" t="inlineStr">
        <is>
          <t>whitetail</t>
        </is>
      </c>
      <c r="D10518" s="4" t="n">
        <v>2025</v>
      </c>
      <c r="E10518" s="13" t="inlineStr">
        <is>
          <t>General</t>
        </is>
      </c>
      <c r="F10518" s="5" t="n">
        <v>253</v>
      </c>
      <c r="G10518" s="5" t="n">
        <v>1366</v>
      </c>
      <c r="H10518" s="5" t="n">
        <v>31</v>
      </c>
      <c r="I10518" s="5" t="n">
        <v>21</v>
      </c>
      <c r="J10518" s="5" t="n">
        <v>10</v>
      </c>
      <c r="K10518" s="10">
        <f>IF(F10518&gt;0,H10518/F10518,"")</f>
        <v/>
      </c>
      <c r="L10518" s="16">
        <f>IF(AND(G10518&gt;0,H10518&gt;0),G10518/H10518,"")</f>
        <v/>
      </c>
    </row>
    <row r="10519">
      <c r="A10519" s="4" t="inlineStr">
        <is>
          <t>418</t>
        </is>
      </c>
      <c r="B10519" s="4" t="n">
        <v>4</v>
      </c>
      <c r="C10519" s="4" t="inlineStr">
        <is>
          <t>whitetail</t>
        </is>
      </c>
      <c r="D10519" s="4" t="n">
        <v>2004</v>
      </c>
      <c r="E10519" s="13" t="inlineStr">
        <is>
          <t>General</t>
        </is>
      </c>
      <c r="F10519" s="5" t="n">
        <v>731</v>
      </c>
      <c r="G10519" s="5" t="n">
        <v>3374</v>
      </c>
      <c r="H10519" s="5" t="n">
        <v>252</v>
      </c>
      <c r="I10519" s="5" t="n">
        <v>100</v>
      </c>
      <c r="J10519" s="5" t="n">
        <v>147</v>
      </c>
      <c r="K10519" s="10">
        <f>IF(F10519&gt;0,H10519/F10519,"")</f>
        <v/>
      </c>
      <c r="L10519" s="16">
        <f>IF(AND(G10519&gt;0,H10519&gt;0),G10519/H10519,"")</f>
        <v/>
      </c>
    </row>
    <row r="10520">
      <c r="A10520" s="4" t="inlineStr">
        <is>
          <t>418</t>
        </is>
      </c>
      <c r="B10520" s="4" t="n">
        <v>4</v>
      </c>
      <c r="C10520" s="4" t="inlineStr">
        <is>
          <t>whitetail</t>
        </is>
      </c>
      <c r="D10520" s="4" t="n">
        <v>2005</v>
      </c>
      <c r="E10520" s="13" t="inlineStr">
        <is>
          <t>General</t>
        </is>
      </c>
      <c r="F10520" s="5" t="n">
        <v>591</v>
      </c>
      <c r="G10520" s="5" t="n">
        <v>2918</v>
      </c>
      <c r="H10520" s="5" t="n">
        <v>209</v>
      </c>
      <c r="I10520" s="5" t="n">
        <v>80</v>
      </c>
      <c r="J10520" s="5" t="n">
        <v>119</v>
      </c>
      <c r="K10520" s="10">
        <f>IF(F10520&gt;0,H10520/F10520,"")</f>
        <v/>
      </c>
      <c r="L10520" s="16">
        <f>IF(AND(G10520&gt;0,H10520&gt;0),G10520/H10520,"")</f>
        <v/>
      </c>
    </row>
    <row r="10521">
      <c r="A10521" s="4" t="inlineStr">
        <is>
          <t>418</t>
        </is>
      </c>
      <c r="B10521" s="4" t="n">
        <v>4</v>
      </c>
      <c r="C10521" s="4" t="inlineStr">
        <is>
          <t>whitetail</t>
        </is>
      </c>
      <c r="D10521" s="4" t="n">
        <v>2006</v>
      </c>
      <c r="E10521" s="13" t="inlineStr">
        <is>
          <t>General</t>
        </is>
      </c>
      <c r="F10521" s="5" t="n">
        <v>472</v>
      </c>
      <c r="G10521" s="5" t="n">
        <v>2522</v>
      </c>
      <c r="H10521" s="5" t="n">
        <v>278</v>
      </c>
      <c r="I10521" s="5" t="n">
        <v>93</v>
      </c>
      <c r="J10521" s="5" t="n">
        <v>178</v>
      </c>
      <c r="K10521" s="10">
        <f>IF(F10521&gt;0,H10521/F10521,"")</f>
        <v/>
      </c>
      <c r="L10521" s="16">
        <f>IF(AND(G10521&gt;0,H10521&gt;0),G10521/H10521,"")</f>
        <v/>
      </c>
    </row>
    <row r="10522">
      <c r="A10522" s="4" t="inlineStr">
        <is>
          <t>418</t>
        </is>
      </c>
      <c r="B10522" s="4" t="n">
        <v>4</v>
      </c>
      <c r="C10522" s="4" t="inlineStr">
        <is>
          <t>whitetail</t>
        </is>
      </c>
      <c r="D10522" s="4" t="n">
        <v>2007</v>
      </c>
      <c r="E10522" s="13" t="inlineStr">
        <is>
          <t>General</t>
        </is>
      </c>
      <c r="F10522" s="5" t="n">
        <v>538</v>
      </c>
      <c r="G10522" s="5" t="n">
        <v>2528</v>
      </c>
      <c r="H10522" s="5" t="n">
        <v>261</v>
      </c>
      <c r="I10522" s="5" t="n">
        <v>114</v>
      </c>
      <c r="J10522" s="5" t="n">
        <v>142</v>
      </c>
      <c r="K10522" s="10">
        <f>IF(F10522&gt;0,H10522/F10522,"")</f>
        <v/>
      </c>
      <c r="L10522" s="16">
        <f>IF(AND(G10522&gt;0,H10522&gt;0),G10522/H10522,"")</f>
        <v/>
      </c>
    </row>
    <row r="10523">
      <c r="A10523" s="4" t="inlineStr">
        <is>
          <t>418</t>
        </is>
      </c>
      <c r="B10523" s="4" t="n">
        <v>4</v>
      </c>
      <c r="C10523" s="4" t="inlineStr">
        <is>
          <t>whitetail</t>
        </is>
      </c>
      <c r="D10523" s="4" t="n">
        <v>2008</v>
      </c>
      <c r="E10523" s="13" t="inlineStr">
        <is>
          <t>General</t>
        </is>
      </c>
      <c r="F10523" s="5" t="n">
        <v>569</v>
      </c>
      <c r="G10523" s="5" t="n">
        <v>2908</v>
      </c>
      <c r="H10523" s="5" t="n">
        <v>197</v>
      </c>
      <c r="I10523" s="5" t="n">
        <v>123</v>
      </c>
      <c r="J10523" s="5" t="n">
        <v>75</v>
      </c>
      <c r="K10523" s="10">
        <f>IF(F10523&gt;0,H10523/F10523,"")</f>
        <v/>
      </c>
      <c r="L10523" s="16">
        <f>IF(AND(G10523&gt;0,H10523&gt;0),G10523/H10523,"")</f>
        <v/>
      </c>
    </row>
    <row r="10524">
      <c r="A10524" s="4" t="inlineStr">
        <is>
          <t>418</t>
        </is>
      </c>
      <c r="B10524" s="4" t="n">
        <v>4</v>
      </c>
      <c r="C10524" s="4" t="inlineStr">
        <is>
          <t>whitetail</t>
        </is>
      </c>
      <c r="D10524" s="4" t="n">
        <v>2009</v>
      </c>
      <c r="E10524" s="13" t="inlineStr">
        <is>
          <t>General</t>
        </is>
      </c>
      <c r="F10524" s="5" t="n">
        <v>519</v>
      </c>
      <c r="G10524" s="5" t="n">
        <v>2221</v>
      </c>
      <c r="H10524" s="5" t="n">
        <v>155</v>
      </c>
      <c r="I10524" s="5" t="n">
        <v>101</v>
      </c>
      <c r="J10524" s="5" t="n">
        <v>54</v>
      </c>
      <c r="K10524" s="10">
        <f>IF(F10524&gt;0,H10524/F10524,"")</f>
        <v/>
      </c>
      <c r="L10524" s="16">
        <f>IF(AND(G10524&gt;0,H10524&gt;0),G10524/H10524,"")</f>
        <v/>
      </c>
    </row>
    <row r="10525">
      <c r="A10525" s="4" t="inlineStr">
        <is>
          <t>418</t>
        </is>
      </c>
      <c r="B10525" s="4" t="n">
        <v>4</v>
      </c>
      <c r="C10525" s="4" t="inlineStr">
        <is>
          <t>whitetail</t>
        </is>
      </c>
      <c r="D10525" s="4" t="n">
        <v>2010</v>
      </c>
      <c r="E10525" s="13" t="inlineStr">
        <is>
          <t>General</t>
        </is>
      </c>
      <c r="F10525" s="5" t="n">
        <v>504</v>
      </c>
      <c r="G10525" s="5" t="n">
        <v>2320</v>
      </c>
      <c r="H10525" s="5" t="n">
        <v>158</v>
      </c>
      <c r="I10525" s="5" t="n">
        <v>99</v>
      </c>
      <c r="J10525" s="5" t="n">
        <v>59</v>
      </c>
      <c r="K10525" s="10">
        <f>IF(F10525&gt;0,H10525/F10525,"")</f>
        <v/>
      </c>
      <c r="L10525" s="16">
        <f>IF(AND(G10525&gt;0,H10525&gt;0),G10525/H10525,"")</f>
        <v/>
      </c>
    </row>
    <row r="10526">
      <c r="A10526" s="4" t="inlineStr">
        <is>
          <t>418</t>
        </is>
      </c>
      <c r="B10526" s="4" t="n">
        <v>4</v>
      </c>
      <c r="C10526" s="4" t="inlineStr">
        <is>
          <t>whitetail</t>
        </is>
      </c>
      <c r="D10526" s="4" t="n">
        <v>2011</v>
      </c>
      <c r="E10526" s="13" t="inlineStr">
        <is>
          <t>General</t>
        </is>
      </c>
      <c r="F10526" s="5" t="n">
        <v>553</v>
      </c>
      <c r="G10526" s="5" t="n">
        <v>2863</v>
      </c>
      <c r="H10526" s="5" t="n">
        <v>175</v>
      </c>
      <c r="I10526" s="5" t="n">
        <v>115</v>
      </c>
      <c r="J10526" s="5" t="n">
        <v>58</v>
      </c>
      <c r="K10526" s="10">
        <f>IF(F10526&gt;0,H10526/F10526,"")</f>
        <v/>
      </c>
      <c r="L10526" s="16">
        <f>IF(AND(G10526&gt;0,H10526&gt;0),G10526/H10526,"")</f>
        <v/>
      </c>
    </row>
    <row r="10527">
      <c r="A10527" s="4" t="inlineStr">
        <is>
          <t>418</t>
        </is>
      </c>
      <c r="B10527" s="4" t="n">
        <v>4</v>
      </c>
      <c r="C10527" s="4" t="inlineStr">
        <is>
          <t>whitetail</t>
        </is>
      </c>
      <c r="D10527" s="4" t="n">
        <v>2012</v>
      </c>
      <c r="E10527" s="13" t="inlineStr">
        <is>
          <t>General</t>
        </is>
      </c>
      <c r="F10527" s="5" t="n"/>
      <c r="G10527" s="5" t="n"/>
      <c r="H10527" s="5" t="n">
        <v>195</v>
      </c>
      <c r="I10527" s="5" t="n">
        <v>92</v>
      </c>
      <c r="J10527" s="5" t="n">
        <v>103</v>
      </c>
      <c r="K10527" s="10">
        <f>IF(F10527&gt;0,H10527/F10527,"")</f>
        <v/>
      </c>
      <c r="L10527" s="16">
        <f>IF(AND(G10527&gt;0,H10527&gt;0),G10527/H10527,"")</f>
        <v/>
      </c>
    </row>
    <row r="10528">
      <c r="A10528" s="4" t="inlineStr">
        <is>
          <t>418</t>
        </is>
      </c>
      <c r="B10528" s="4" t="n">
        <v>4</v>
      </c>
      <c r="C10528" s="4" t="inlineStr">
        <is>
          <t>whitetail</t>
        </is>
      </c>
      <c r="D10528" s="4" t="n">
        <v>2013</v>
      </c>
      <c r="E10528" s="13" t="inlineStr">
        <is>
          <t>General</t>
        </is>
      </c>
      <c r="F10528" s="5" t="n">
        <v>574</v>
      </c>
      <c r="G10528" s="5" t="n">
        <v>2766</v>
      </c>
      <c r="H10528" s="5" t="n">
        <v>139</v>
      </c>
      <c r="I10528" s="5" t="n">
        <v>76</v>
      </c>
      <c r="J10528" s="5" t="n">
        <v>60</v>
      </c>
      <c r="K10528" s="10">
        <f>IF(F10528&gt;0,H10528/F10528,"")</f>
        <v/>
      </c>
      <c r="L10528" s="16">
        <f>IF(AND(G10528&gt;0,H10528&gt;0),G10528/H10528,"")</f>
        <v/>
      </c>
    </row>
    <row r="10529">
      <c r="A10529" s="4" t="inlineStr">
        <is>
          <t>418</t>
        </is>
      </c>
      <c r="B10529" s="4" t="n">
        <v>4</v>
      </c>
      <c r="C10529" s="4" t="inlineStr">
        <is>
          <t>whitetail</t>
        </is>
      </c>
      <c r="D10529" s="4" t="n">
        <v>2014</v>
      </c>
      <c r="E10529" s="13" t="inlineStr">
        <is>
          <t>General</t>
        </is>
      </c>
      <c r="F10529" s="5" t="n"/>
      <c r="G10529" s="5" t="n"/>
      <c r="H10529" s="5" t="n">
        <v>76</v>
      </c>
      <c r="I10529" s="5" t="n">
        <v>71</v>
      </c>
      <c r="J10529" s="5" t="n">
        <v>6</v>
      </c>
      <c r="K10529" s="10">
        <f>IF(F10529&gt;0,H10529/F10529,"")</f>
        <v/>
      </c>
      <c r="L10529" s="16">
        <f>IF(AND(G10529&gt;0,H10529&gt;0),G10529/H10529,"")</f>
        <v/>
      </c>
    </row>
    <row r="10530">
      <c r="A10530" s="4" t="inlineStr">
        <is>
          <t>418</t>
        </is>
      </c>
      <c r="B10530" s="4" t="n">
        <v>4</v>
      </c>
      <c r="C10530" s="4" t="inlineStr">
        <is>
          <t>whitetail</t>
        </is>
      </c>
      <c r="D10530" s="4" t="n">
        <v>2015</v>
      </c>
      <c r="E10530" s="13" t="inlineStr">
        <is>
          <t>General</t>
        </is>
      </c>
      <c r="F10530" s="5" t="n"/>
      <c r="G10530" s="5" t="n"/>
      <c r="H10530" s="5" t="n">
        <v>105</v>
      </c>
      <c r="I10530" s="5" t="n">
        <v>91</v>
      </c>
      <c r="J10530" s="5" t="n">
        <v>14</v>
      </c>
      <c r="K10530" s="10">
        <f>IF(F10530&gt;0,H10530/F10530,"")</f>
        <v/>
      </c>
      <c r="L10530" s="16">
        <f>IF(AND(G10530&gt;0,H10530&gt;0),G10530/H10530,"")</f>
        <v/>
      </c>
    </row>
    <row r="10531">
      <c r="A10531" s="4" t="inlineStr">
        <is>
          <t>418</t>
        </is>
      </c>
      <c r="B10531" s="4" t="n">
        <v>4</v>
      </c>
      <c r="C10531" s="4" t="inlineStr">
        <is>
          <t>whitetail</t>
        </is>
      </c>
      <c r="D10531" s="4" t="n">
        <v>2016</v>
      </c>
      <c r="E10531" s="13" t="inlineStr">
        <is>
          <t>General</t>
        </is>
      </c>
      <c r="F10531" s="5" t="n"/>
      <c r="G10531" s="5" t="n"/>
      <c r="H10531" s="5" t="n">
        <v>94</v>
      </c>
      <c r="I10531" s="5" t="n">
        <v>85</v>
      </c>
      <c r="J10531" s="5" t="n">
        <v>9</v>
      </c>
      <c r="K10531" s="10">
        <f>IF(F10531&gt;0,H10531/F10531,"")</f>
        <v/>
      </c>
      <c r="L10531" s="16">
        <f>IF(AND(G10531&gt;0,H10531&gt;0),G10531/H10531,"")</f>
        <v/>
      </c>
    </row>
    <row r="10532">
      <c r="A10532" s="4" t="inlineStr">
        <is>
          <t>418</t>
        </is>
      </c>
      <c r="B10532" s="4" t="n">
        <v>4</v>
      </c>
      <c r="C10532" s="4" t="inlineStr">
        <is>
          <t>whitetail</t>
        </is>
      </c>
      <c r="D10532" s="4" t="n">
        <v>2017</v>
      </c>
      <c r="E10532" s="13" t="inlineStr">
        <is>
          <t>General</t>
        </is>
      </c>
      <c r="F10532" s="5" t="n">
        <v>481</v>
      </c>
      <c r="G10532" s="5" t="n">
        <v>2466</v>
      </c>
      <c r="H10532" s="5" t="n">
        <v>130</v>
      </c>
      <c r="I10532" s="5" t="n">
        <v>113</v>
      </c>
      <c r="J10532" s="5" t="n">
        <v>17</v>
      </c>
      <c r="K10532" s="10">
        <f>IF(F10532&gt;0,H10532/F10532,"")</f>
        <v/>
      </c>
      <c r="L10532" s="16">
        <f>IF(AND(G10532&gt;0,H10532&gt;0),G10532/H10532,"")</f>
        <v/>
      </c>
    </row>
    <row r="10533">
      <c r="A10533" s="4" t="inlineStr">
        <is>
          <t>418</t>
        </is>
      </c>
      <c r="B10533" s="4" t="n">
        <v>4</v>
      </c>
      <c r="C10533" s="4" t="inlineStr">
        <is>
          <t>whitetail</t>
        </is>
      </c>
      <c r="D10533" s="4" t="n">
        <v>2018</v>
      </c>
      <c r="E10533" s="13" t="inlineStr">
        <is>
          <t>General</t>
        </is>
      </c>
      <c r="F10533" s="5" t="n"/>
      <c r="G10533" s="5" t="n"/>
      <c r="H10533" s="5" t="n">
        <v>124</v>
      </c>
      <c r="I10533" s="5" t="n">
        <v>96</v>
      </c>
      <c r="J10533" s="5" t="n">
        <v>28</v>
      </c>
      <c r="K10533" s="10">
        <f>IF(F10533&gt;0,H10533/F10533,"")</f>
        <v/>
      </c>
      <c r="L10533" s="16">
        <f>IF(AND(G10533&gt;0,H10533&gt;0),G10533/H10533,"")</f>
        <v/>
      </c>
    </row>
    <row r="10534">
      <c r="A10534" s="4" t="inlineStr">
        <is>
          <t>418</t>
        </is>
      </c>
      <c r="B10534" s="4" t="n">
        <v>4</v>
      </c>
      <c r="C10534" s="4" t="inlineStr">
        <is>
          <t>whitetail</t>
        </is>
      </c>
      <c r="D10534" s="4" t="n">
        <v>2019</v>
      </c>
      <c r="E10534" s="13" t="inlineStr">
        <is>
          <t>General</t>
        </is>
      </c>
      <c r="F10534" s="5" t="n">
        <v>457</v>
      </c>
      <c r="G10534" s="5" t="n">
        <v>2217</v>
      </c>
      <c r="H10534" s="5" t="n">
        <v>117</v>
      </c>
      <c r="I10534" s="5" t="n">
        <v>84</v>
      </c>
      <c r="J10534" s="5" t="n">
        <v>33</v>
      </c>
      <c r="K10534" s="10">
        <f>IF(F10534&gt;0,H10534/F10534,"")</f>
        <v/>
      </c>
      <c r="L10534" s="16">
        <f>IF(AND(G10534&gt;0,H10534&gt;0),G10534/H10534,"")</f>
        <v/>
      </c>
    </row>
    <row r="10535">
      <c r="A10535" s="4" t="inlineStr">
        <is>
          <t>418</t>
        </is>
      </c>
      <c r="B10535" s="4" t="n">
        <v>4</v>
      </c>
      <c r="C10535" s="4" t="inlineStr">
        <is>
          <t>whitetail</t>
        </is>
      </c>
      <c r="D10535" s="4" t="n">
        <v>2020</v>
      </c>
      <c r="E10535" s="13" t="inlineStr">
        <is>
          <t>General</t>
        </is>
      </c>
      <c r="F10535" s="5" t="n"/>
      <c r="G10535" s="5" t="n"/>
      <c r="H10535" s="5" t="n">
        <v>157</v>
      </c>
      <c r="I10535" s="5" t="n">
        <v>121</v>
      </c>
      <c r="J10535" s="5" t="n">
        <v>36</v>
      </c>
      <c r="K10535" s="10">
        <f>IF(F10535&gt;0,H10535/F10535,"")</f>
        <v/>
      </c>
      <c r="L10535" s="16">
        <f>IF(AND(G10535&gt;0,H10535&gt;0),G10535/H10535,"")</f>
        <v/>
      </c>
    </row>
    <row r="10536">
      <c r="A10536" s="4" t="inlineStr">
        <is>
          <t>418</t>
        </is>
      </c>
      <c r="B10536" s="4" t="n">
        <v>4</v>
      </c>
      <c r="C10536" s="4" t="inlineStr">
        <is>
          <t>whitetail</t>
        </is>
      </c>
      <c r="D10536" s="4" t="n">
        <v>2021</v>
      </c>
      <c r="E10536" s="13" t="inlineStr">
        <is>
          <t>General</t>
        </is>
      </c>
      <c r="F10536" s="5" t="n">
        <v>541</v>
      </c>
      <c r="G10536" s="5" t="n">
        <v>3602</v>
      </c>
      <c r="H10536" s="5" t="n">
        <v>150</v>
      </c>
      <c r="I10536" s="5" t="n">
        <v>106</v>
      </c>
      <c r="J10536" s="5" t="n">
        <v>44</v>
      </c>
      <c r="K10536" s="10">
        <f>IF(F10536&gt;0,H10536/F10536,"")</f>
        <v/>
      </c>
      <c r="L10536" s="16">
        <f>IF(AND(G10536&gt;0,H10536&gt;0),G10536/H10536,"")</f>
        <v/>
      </c>
    </row>
    <row r="10537">
      <c r="A10537" s="4" t="inlineStr">
        <is>
          <t>418</t>
        </is>
      </c>
      <c r="B10537" s="4" t="n">
        <v>4</v>
      </c>
      <c r="C10537" s="4" t="inlineStr">
        <is>
          <t>whitetail</t>
        </is>
      </c>
      <c r="D10537" s="4" t="n">
        <v>2022</v>
      </c>
      <c r="E10537" s="13" t="inlineStr">
        <is>
          <t>General</t>
        </is>
      </c>
      <c r="F10537" s="5" t="n"/>
      <c r="G10537" s="5" t="n"/>
      <c r="H10537" s="5" t="n">
        <v>242</v>
      </c>
      <c r="I10537" s="5" t="n">
        <v>130</v>
      </c>
      <c r="J10537" s="5" t="n">
        <v>112</v>
      </c>
      <c r="K10537" s="10">
        <f>IF(F10537&gt;0,H10537/F10537,"")</f>
        <v/>
      </c>
      <c r="L10537" s="16">
        <f>IF(AND(G10537&gt;0,H10537&gt;0),G10537/H10537,"")</f>
        <v/>
      </c>
    </row>
    <row r="10538">
      <c r="A10538" s="4" t="inlineStr">
        <is>
          <t>418</t>
        </is>
      </c>
      <c r="B10538" s="4" t="n">
        <v>4</v>
      </c>
      <c r="C10538" s="4" t="inlineStr">
        <is>
          <t>whitetail</t>
        </is>
      </c>
      <c r="D10538" s="4" t="n">
        <v>2023</v>
      </c>
      <c r="E10538" s="13" t="inlineStr">
        <is>
          <t>General</t>
        </is>
      </c>
      <c r="F10538" s="5" t="n">
        <v>493</v>
      </c>
      <c r="G10538" s="5" t="n">
        <v>2643</v>
      </c>
      <c r="H10538" s="5" t="n">
        <v>138</v>
      </c>
      <c r="I10538" s="5" t="n">
        <v>76</v>
      </c>
      <c r="J10538" s="5" t="n">
        <v>60</v>
      </c>
      <c r="K10538" s="10">
        <f>IF(F10538&gt;0,H10538/F10538,"")</f>
        <v/>
      </c>
      <c r="L10538" s="16">
        <f>IF(AND(G10538&gt;0,H10538&gt;0),G10538/H10538,"")</f>
        <v/>
      </c>
    </row>
    <row r="10539">
      <c r="A10539" s="4" t="inlineStr">
        <is>
          <t>418</t>
        </is>
      </c>
      <c r="B10539" s="4" t="n">
        <v>4</v>
      </c>
      <c r="C10539" s="4" t="inlineStr">
        <is>
          <t>whitetail</t>
        </is>
      </c>
      <c r="D10539" s="4" t="n">
        <v>2024</v>
      </c>
      <c r="E10539" s="13" t="inlineStr">
        <is>
          <t>General</t>
        </is>
      </c>
      <c r="F10539" s="5" t="n"/>
      <c r="G10539" s="5" t="n"/>
      <c r="H10539" s="5" t="n">
        <v>199</v>
      </c>
      <c r="I10539" s="5" t="n">
        <v>119</v>
      </c>
      <c r="J10539" s="5" t="n">
        <v>78</v>
      </c>
      <c r="K10539" s="10">
        <f>IF(F10539&gt;0,H10539/F10539,"")</f>
        <v/>
      </c>
      <c r="L10539" s="16">
        <f>IF(AND(G10539&gt;0,H10539&gt;0),G10539/H10539,"")</f>
        <v/>
      </c>
    </row>
    <row r="10540">
      <c r="A10540" s="4" t="inlineStr">
        <is>
          <t>418</t>
        </is>
      </c>
      <c r="B10540" s="4" t="n">
        <v>4</v>
      </c>
      <c r="C10540" s="4" t="inlineStr">
        <is>
          <t>whitetail</t>
        </is>
      </c>
      <c r="D10540" s="4" t="n">
        <v>2025</v>
      </c>
      <c r="E10540" s="13" t="inlineStr">
        <is>
          <t>General</t>
        </is>
      </c>
      <c r="F10540" s="5" t="n">
        <v>495</v>
      </c>
      <c r="G10540" s="5" t="n">
        <v>4579</v>
      </c>
      <c r="H10540" s="5" t="n">
        <v>159</v>
      </c>
      <c r="I10540" s="5" t="n">
        <v>101</v>
      </c>
      <c r="J10540" s="5" t="n">
        <v>59</v>
      </c>
      <c r="K10540" s="10">
        <f>IF(F10540&gt;0,H10540/F10540,"")</f>
        <v/>
      </c>
      <c r="L10540" s="16">
        <f>IF(AND(G10540&gt;0,H10540&gt;0),G10540/H10540,"")</f>
        <v/>
      </c>
    </row>
    <row r="10541">
      <c r="A10541" s="4" t="inlineStr">
        <is>
          <t>419</t>
        </is>
      </c>
      <c r="B10541" s="4" t="n">
        <v>4</v>
      </c>
      <c r="C10541" s="4" t="inlineStr">
        <is>
          <t>whitetail</t>
        </is>
      </c>
      <c r="D10541" s="4" t="n">
        <v>2004</v>
      </c>
      <c r="E10541" s="13" t="inlineStr">
        <is>
          <t>General</t>
        </is>
      </c>
      <c r="F10541" s="5" t="n">
        <v>510</v>
      </c>
      <c r="G10541" s="5" t="n">
        <v>1783</v>
      </c>
      <c r="H10541" s="5" t="n">
        <v>112</v>
      </c>
      <c r="I10541" s="5" t="n">
        <v>56</v>
      </c>
      <c r="J10541" s="5" t="n">
        <v>54</v>
      </c>
      <c r="K10541" s="10">
        <f>IF(F10541&gt;0,H10541/F10541,"")</f>
        <v/>
      </c>
      <c r="L10541" s="16">
        <f>IF(AND(G10541&gt;0,H10541&gt;0),G10541/H10541,"")</f>
        <v/>
      </c>
    </row>
    <row r="10542">
      <c r="A10542" s="4" t="inlineStr">
        <is>
          <t>419</t>
        </is>
      </c>
      <c r="B10542" s="4" t="n">
        <v>4</v>
      </c>
      <c r="C10542" s="4" t="inlineStr">
        <is>
          <t>whitetail</t>
        </is>
      </c>
      <c r="D10542" s="4" t="n">
        <v>2005</v>
      </c>
      <c r="E10542" s="13" t="inlineStr">
        <is>
          <t>General</t>
        </is>
      </c>
      <c r="F10542" s="5" t="n">
        <v>545</v>
      </c>
      <c r="G10542" s="5" t="n">
        <v>2320</v>
      </c>
      <c r="H10542" s="5" t="n">
        <v>101</v>
      </c>
      <c r="I10542" s="5" t="n">
        <v>56</v>
      </c>
      <c r="J10542" s="5" t="n">
        <v>45</v>
      </c>
      <c r="K10542" s="10">
        <f>IF(F10542&gt;0,H10542/F10542,"")</f>
        <v/>
      </c>
      <c r="L10542" s="16">
        <f>IF(AND(G10542&gt;0,H10542&gt;0),G10542/H10542,"")</f>
        <v/>
      </c>
    </row>
    <row r="10543">
      <c r="A10543" s="4" t="inlineStr">
        <is>
          <t>419</t>
        </is>
      </c>
      <c r="B10543" s="4" t="n">
        <v>4</v>
      </c>
      <c r="C10543" s="4" t="inlineStr">
        <is>
          <t>whitetail</t>
        </is>
      </c>
      <c r="D10543" s="4" t="n">
        <v>2006</v>
      </c>
      <c r="E10543" s="13" t="inlineStr">
        <is>
          <t>General</t>
        </is>
      </c>
      <c r="F10543" s="5" t="n">
        <v>428</v>
      </c>
      <c r="G10543" s="5" t="n">
        <v>1638</v>
      </c>
      <c r="H10543" s="5" t="n">
        <v>110</v>
      </c>
      <c r="I10543" s="5" t="n">
        <v>70</v>
      </c>
      <c r="J10543" s="5" t="n">
        <v>41</v>
      </c>
      <c r="K10543" s="10">
        <f>IF(F10543&gt;0,H10543/F10543,"")</f>
        <v/>
      </c>
      <c r="L10543" s="16">
        <f>IF(AND(G10543&gt;0,H10543&gt;0),G10543/H10543,"")</f>
        <v/>
      </c>
    </row>
    <row r="10544">
      <c r="A10544" s="4" t="inlineStr">
        <is>
          <t>419</t>
        </is>
      </c>
      <c r="B10544" s="4" t="n">
        <v>4</v>
      </c>
      <c r="C10544" s="4" t="inlineStr">
        <is>
          <t>whitetail</t>
        </is>
      </c>
      <c r="D10544" s="4" t="n">
        <v>2007</v>
      </c>
      <c r="E10544" s="13" t="inlineStr">
        <is>
          <t>General</t>
        </is>
      </c>
      <c r="F10544" s="5" t="n">
        <v>612</v>
      </c>
      <c r="G10544" s="5" t="n">
        <v>2577</v>
      </c>
      <c r="H10544" s="5" t="n">
        <v>160</v>
      </c>
      <c r="I10544" s="5" t="n">
        <v>55</v>
      </c>
      <c r="J10544" s="5" t="n">
        <v>104</v>
      </c>
      <c r="K10544" s="10">
        <f>IF(F10544&gt;0,H10544/F10544,"")</f>
        <v/>
      </c>
      <c r="L10544" s="16">
        <f>IF(AND(G10544&gt;0,H10544&gt;0),G10544/H10544,"")</f>
        <v/>
      </c>
    </row>
    <row r="10545">
      <c r="A10545" s="4" t="inlineStr">
        <is>
          <t>419</t>
        </is>
      </c>
      <c r="B10545" s="4" t="n">
        <v>4</v>
      </c>
      <c r="C10545" s="4" t="inlineStr">
        <is>
          <t>whitetail</t>
        </is>
      </c>
      <c r="D10545" s="4" t="n">
        <v>2008</v>
      </c>
      <c r="E10545" s="13" t="inlineStr">
        <is>
          <t>General</t>
        </is>
      </c>
      <c r="F10545" s="5" t="n">
        <v>470</v>
      </c>
      <c r="G10545" s="5" t="n">
        <v>1989</v>
      </c>
      <c r="H10545" s="5" t="n">
        <v>92</v>
      </c>
      <c r="I10545" s="5" t="n">
        <v>42</v>
      </c>
      <c r="J10545" s="5" t="n">
        <v>47</v>
      </c>
      <c r="K10545" s="10">
        <f>IF(F10545&gt;0,H10545/F10545,"")</f>
        <v/>
      </c>
      <c r="L10545" s="16">
        <f>IF(AND(G10545&gt;0,H10545&gt;0),G10545/H10545,"")</f>
        <v/>
      </c>
    </row>
    <row r="10546">
      <c r="A10546" s="4" t="inlineStr">
        <is>
          <t>419</t>
        </is>
      </c>
      <c r="B10546" s="4" t="n">
        <v>4</v>
      </c>
      <c r="C10546" s="4" t="inlineStr">
        <is>
          <t>whitetail</t>
        </is>
      </c>
      <c r="D10546" s="4" t="n">
        <v>2009</v>
      </c>
      <c r="E10546" s="13" t="inlineStr">
        <is>
          <t>General</t>
        </is>
      </c>
      <c r="F10546" s="5" t="n">
        <v>480</v>
      </c>
      <c r="G10546" s="5" t="n">
        <v>2008</v>
      </c>
      <c r="H10546" s="5" t="n">
        <v>96</v>
      </c>
      <c r="I10546" s="5" t="n">
        <v>83</v>
      </c>
      <c r="J10546" s="5" t="n">
        <v>9</v>
      </c>
      <c r="K10546" s="10">
        <f>IF(F10546&gt;0,H10546/F10546,"")</f>
        <v/>
      </c>
      <c r="L10546" s="16">
        <f>IF(AND(G10546&gt;0,H10546&gt;0),G10546/H10546,"")</f>
        <v/>
      </c>
    </row>
    <row r="10547">
      <c r="A10547" s="4" t="inlineStr">
        <is>
          <t>419</t>
        </is>
      </c>
      <c r="B10547" s="4" t="n">
        <v>4</v>
      </c>
      <c r="C10547" s="4" t="inlineStr">
        <is>
          <t>whitetail</t>
        </is>
      </c>
      <c r="D10547" s="4" t="n">
        <v>2010</v>
      </c>
      <c r="E10547" s="13" t="inlineStr">
        <is>
          <t>General</t>
        </is>
      </c>
      <c r="F10547" s="5" t="n">
        <v>455</v>
      </c>
      <c r="G10547" s="5" t="n">
        <v>1480</v>
      </c>
      <c r="H10547" s="5" t="n">
        <v>85</v>
      </c>
      <c r="I10547" s="5" t="n">
        <v>51</v>
      </c>
      <c r="J10547" s="5" t="n">
        <v>34</v>
      </c>
      <c r="K10547" s="10">
        <f>IF(F10547&gt;0,H10547/F10547,"")</f>
        <v/>
      </c>
      <c r="L10547" s="16">
        <f>IF(AND(G10547&gt;0,H10547&gt;0),G10547/H10547,"")</f>
        <v/>
      </c>
    </row>
    <row r="10548">
      <c r="A10548" s="4" t="inlineStr">
        <is>
          <t>419</t>
        </is>
      </c>
      <c r="B10548" s="4" t="n">
        <v>4</v>
      </c>
      <c r="C10548" s="4" t="inlineStr">
        <is>
          <t>whitetail</t>
        </is>
      </c>
      <c r="D10548" s="4" t="n">
        <v>2011</v>
      </c>
      <c r="E10548" s="13" t="inlineStr">
        <is>
          <t>General</t>
        </is>
      </c>
      <c r="F10548" s="5" t="n">
        <v>335</v>
      </c>
      <c r="G10548" s="5" t="n">
        <v>1244</v>
      </c>
      <c r="H10548" s="5" t="n">
        <v>42</v>
      </c>
      <c r="I10548" s="5" t="n">
        <v>31</v>
      </c>
      <c r="J10548" s="5" t="n">
        <v>11</v>
      </c>
      <c r="K10548" s="10">
        <f>IF(F10548&gt;0,H10548/F10548,"")</f>
        <v/>
      </c>
      <c r="L10548" s="16">
        <f>IF(AND(G10548&gt;0,H10548&gt;0),G10548/H10548,"")</f>
        <v/>
      </c>
    </row>
    <row r="10549">
      <c r="A10549" s="4" t="inlineStr">
        <is>
          <t>419</t>
        </is>
      </c>
      <c r="B10549" s="4" t="n">
        <v>4</v>
      </c>
      <c r="C10549" s="4" t="inlineStr">
        <is>
          <t>whitetail</t>
        </is>
      </c>
      <c r="D10549" s="4" t="n">
        <v>2012</v>
      </c>
      <c r="E10549" s="13" t="inlineStr">
        <is>
          <t>General</t>
        </is>
      </c>
      <c r="F10549" s="5" t="n"/>
      <c r="G10549" s="5" t="n"/>
      <c r="H10549" s="5" t="n">
        <v>78</v>
      </c>
      <c r="I10549" s="5" t="n">
        <v>47</v>
      </c>
      <c r="J10549" s="5" t="n">
        <v>28</v>
      </c>
      <c r="K10549" s="10">
        <f>IF(F10549&gt;0,H10549/F10549,"")</f>
        <v/>
      </c>
      <c r="L10549" s="16">
        <f>IF(AND(G10549&gt;0,H10549&gt;0),G10549/H10549,"")</f>
        <v/>
      </c>
    </row>
    <row r="10550">
      <c r="A10550" s="4" t="inlineStr">
        <is>
          <t>419</t>
        </is>
      </c>
      <c r="B10550" s="4" t="n">
        <v>4</v>
      </c>
      <c r="C10550" s="4" t="inlineStr">
        <is>
          <t>whitetail</t>
        </is>
      </c>
      <c r="D10550" s="4" t="n">
        <v>2013</v>
      </c>
      <c r="E10550" s="13" t="inlineStr">
        <is>
          <t>General</t>
        </is>
      </c>
      <c r="F10550" s="5" t="n">
        <v>427</v>
      </c>
      <c r="G10550" s="5" t="n">
        <v>2034</v>
      </c>
      <c r="H10550" s="5" t="n">
        <v>28</v>
      </c>
      <c r="I10550" s="5" t="n">
        <v>25</v>
      </c>
      <c r="J10550" s="5" t="n">
        <v>3</v>
      </c>
      <c r="K10550" s="10">
        <f>IF(F10550&gt;0,H10550/F10550,"")</f>
        <v/>
      </c>
      <c r="L10550" s="16">
        <f>IF(AND(G10550&gt;0,H10550&gt;0),G10550/H10550,"")</f>
        <v/>
      </c>
    </row>
    <row r="10551">
      <c r="A10551" s="4" t="inlineStr">
        <is>
          <t>419</t>
        </is>
      </c>
      <c r="B10551" s="4" t="n">
        <v>4</v>
      </c>
      <c r="C10551" s="4" t="inlineStr">
        <is>
          <t>whitetail</t>
        </is>
      </c>
      <c r="D10551" s="4" t="n">
        <v>2014</v>
      </c>
      <c r="E10551" s="13" t="inlineStr">
        <is>
          <t>General</t>
        </is>
      </c>
      <c r="F10551" s="5" t="n"/>
      <c r="G10551" s="5" t="n"/>
      <c r="H10551" s="5" t="n">
        <v>37</v>
      </c>
      <c r="I10551" s="5" t="n">
        <v>34</v>
      </c>
      <c r="J10551" s="5" t="n">
        <v>3</v>
      </c>
      <c r="K10551" s="10">
        <f>IF(F10551&gt;0,H10551/F10551,"")</f>
        <v/>
      </c>
      <c r="L10551" s="16">
        <f>IF(AND(G10551&gt;0,H10551&gt;0),G10551/H10551,"")</f>
        <v/>
      </c>
    </row>
    <row r="10552">
      <c r="A10552" s="4" t="inlineStr">
        <is>
          <t>419</t>
        </is>
      </c>
      <c r="B10552" s="4" t="n">
        <v>4</v>
      </c>
      <c r="C10552" s="4" t="inlineStr">
        <is>
          <t>whitetail</t>
        </is>
      </c>
      <c r="D10552" s="4" t="n">
        <v>2015</v>
      </c>
      <c r="E10552" s="13" t="inlineStr">
        <is>
          <t>General</t>
        </is>
      </c>
      <c r="F10552" s="5" t="n"/>
      <c r="G10552" s="5" t="n"/>
      <c r="H10552" s="5" t="n">
        <v>52</v>
      </c>
      <c r="I10552" s="5" t="n">
        <v>49</v>
      </c>
      <c r="J10552" s="5" t="n">
        <v>3</v>
      </c>
      <c r="K10552" s="10">
        <f>IF(F10552&gt;0,H10552/F10552,"")</f>
        <v/>
      </c>
      <c r="L10552" s="16">
        <f>IF(AND(G10552&gt;0,H10552&gt;0),G10552/H10552,"")</f>
        <v/>
      </c>
    </row>
    <row r="10553">
      <c r="A10553" s="4" t="inlineStr">
        <is>
          <t>419</t>
        </is>
      </c>
      <c r="B10553" s="4" t="n">
        <v>4</v>
      </c>
      <c r="C10553" s="4" t="inlineStr">
        <is>
          <t>whitetail</t>
        </is>
      </c>
      <c r="D10553" s="4" t="n">
        <v>2016</v>
      </c>
      <c r="E10553" s="13" t="inlineStr">
        <is>
          <t>General</t>
        </is>
      </c>
      <c r="F10553" s="5" t="n"/>
      <c r="G10553" s="5" t="n"/>
      <c r="H10553" s="5" t="n">
        <v>66</v>
      </c>
      <c r="I10553" s="5" t="n">
        <v>57</v>
      </c>
      <c r="J10553" s="5" t="n">
        <v>5</v>
      </c>
      <c r="K10553" s="10">
        <f>IF(F10553&gt;0,H10553/F10553,"")</f>
        <v/>
      </c>
      <c r="L10553" s="16">
        <f>IF(AND(G10553&gt;0,H10553&gt;0),G10553/H10553,"")</f>
        <v/>
      </c>
    </row>
    <row r="10554">
      <c r="A10554" s="4" t="inlineStr">
        <is>
          <t>419</t>
        </is>
      </c>
      <c r="B10554" s="4" t="n">
        <v>4</v>
      </c>
      <c r="C10554" s="4" t="inlineStr">
        <is>
          <t>whitetail</t>
        </is>
      </c>
      <c r="D10554" s="4" t="n">
        <v>2017</v>
      </c>
      <c r="E10554" s="13" t="inlineStr">
        <is>
          <t>General</t>
        </is>
      </c>
      <c r="F10554" s="5" t="n">
        <v>578</v>
      </c>
      <c r="G10554" s="5" t="n">
        <v>2759</v>
      </c>
      <c r="H10554" s="5" t="n">
        <v>71</v>
      </c>
      <c r="I10554" s="5" t="n">
        <v>62</v>
      </c>
      <c r="J10554" s="5" t="n">
        <v>9</v>
      </c>
      <c r="K10554" s="10">
        <f>IF(F10554&gt;0,H10554/F10554,"")</f>
        <v/>
      </c>
      <c r="L10554" s="16">
        <f>IF(AND(G10554&gt;0,H10554&gt;0),G10554/H10554,"")</f>
        <v/>
      </c>
    </row>
    <row r="10555">
      <c r="A10555" s="4" t="inlineStr">
        <is>
          <t>419</t>
        </is>
      </c>
      <c r="B10555" s="4" t="n">
        <v>4</v>
      </c>
      <c r="C10555" s="4" t="inlineStr">
        <is>
          <t>whitetail</t>
        </is>
      </c>
      <c r="D10555" s="4" t="n">
        <v>2018</v>
      </c>
      <c r="E10555" s="13" t="inlineStr">
        <is>
          <t>General</t>
        </is>
      </c>
      <c r="F10555" s="5" t="n"/>
      <c r="G10555" s="5" t="n"/>
      <c r="H10555" s="5" t="n">
        <v>81</v>
      </c>
      <c r="I10555" s="5" t="n">
        <v>50</v>
      </c>
      <c r="J10555" s="5" t="n">
        <v>31</v>
      </c>
      <c r="K10555" s="10">
        <f>IF(F10555&gt;0,H10555/F10555,"")</f>
        <v/>
      </c>
      <c r="L10555" s="16">
        <f>IF(AND(G10555&gt;0,H10555&gt;0),G10555/H10555,"")</f>
        <v/>
      </c>
    </row>
    <row r="10556">
      <c r="A10556" s="4" t="inlineStr">
        <is>
          <t>419</t>
        </is>
      </c>
      <c r="B10556" s="4" t="n">
        <v>4</v>
      </c>
      <c r="C10556" s="4" t="inlineStr">
        <is>
          <t>whitetail</t>
        </is>
      </c>
      <c r="D10556" s="4" t="n">
        <v>2019</v>
      </c>
      <c r="E10556" s="13" t="inlineStr">
        <is>
          <t>General</t>
        </is>
      </c>
      <c r="F10556" s="5" t="n">
        <v>656</v>
      </c>
      <c r="G10556" s="5" t="n">
        <v>2853</v>
      </c>
      <c r="H10556" s="5" t="n">
        <v>117</v>
      </c>
      <c r="I10556" s="5" t="n">
        <v>77</v>
      </c>
      <c r="J10556" s="5" t="n">
        <v>39</v>
      </c>
      <c r="K10556" s="10">
        <f>IF(F10556&gt;0,H10556/F10556,"")</f>
        <v/>
      </c>
      <c r="L10556" s="16">
        <f>IF(AND(G10556&gt;0,H10556&gt;0),G10556/H10556,"")</f>
        <v/>
      </c>
    </row>
    <row r="10557">
      <c r="A10557" s="4" t="inlineStr">
        <is>
          <t>419</t>
        </is>
      </c>
      <c r="B10557" s="4" t="n">
        <v>4</v>
      </c>
      <c r="C10557" s="4" t="inlineStr">
        <is>
          <t>whitetail</t>
        </is>
      </c>
      <c r="D10557" s="4" t="n">
        <v>2020</v>
      </c>
      <c r="E10557" s="13" t="inlineStr">
        <is>
          <t>General</t>
        </is>
      </c>
      <c r="F10557" s="5" t="n"/>
      <c r="G10557" s="5" t="n"/>
      <c r="H10557" s="5" t="n">
        <v>120</v>
      </c>
      <c r="I10557" s="5" t="n">
        <v>71</v>
      </c>
      <c r="J10557" s="5" t="n">
        <v>42</v>
      </c>
      <c r="K10557" s="10">
        <f>IF(F10557&gt;0,H10557/F10557,"")</f>
        <v/>
      </c>
      <c r="L10557" s="16">
        <f>IF(AND(G10557&gt;0,H10557&gt;0),G10557/H10557,"")</f>
        <v/>
      </c>
    </row>
    <row r="10558">
      <c r="A10558" s="4" t="inlineStr">
        <is>
          <t>419</t>
        </is>
      </c>
      <c r="B10558" s="4" t="n">
        <v>4</v>
      </c>
      <c r="C10558" s="4" t="inlineStr">
        <is>
          <t>whitetail</t>
        </is>
      </c>
      <c r="D10558" s="4" t="n">
        <v>2021</v>
      </c>
      <c r="E10558" s="13" t="inlineStr">
        <is>
          <t>General</t>
        </is>
      </c>
      <c r="F10558" s="5" t="n">
        <v>561</v>
      </c>
      <c r="G10558" s="5" t="n">
        <v>2567</v>
      </c>
      <c r="H10558" s="5" t="n">
        <v>127</v>
      </c>
      <c r="I10558" s="5" t="n">
        <v>93</v>
      </c>
      <c r="J10558" s="5" t="n">
        <v>34</v>
      </c>
      <c r="K10558" s="10">
        <f>IF(F10558&gt;0,H10558/F10558,"")</f>
        <v/>
      </c>
      <c r="L10558" s="16">
        <f>IF(AND(G10558&gt;0,H10558&gt;0),G10558/H10558,"")</f>
        <v/>
      </c>
    </row>
    <row r="10559">
      <c r="A10559" s="4" t="inlineStr">
        <is>
          <t>419</t>
        </is>
      </c>
      <c r="B10559" s="4" t="n">
        <v>4</v>
      </c>
      <c r="C10559" s="4" t="inlineStr">
        <is>
          <t>whitetail</t>
        </is>
      </c>
      <c r="D10559" s="4" t="n">
        <v>2022</v>
      </c>
      <c r="E10559" s="13" t="inlineStr">
        <is>
          <t>General</t>
        </is>
      </c>
      <c r="F10559" s="5" t="n"/>
      <c r="G10559" s="5" t="n"/>
      <c r="H10559" s="5" t="n">
        <v>225</v>
      </c>
      <c r="I10559" s="5" t="n">
        <v>137</v>
      </c>
      <c r="J10559" s="5" t="n">
        <v>88</v>
      </c>
      <c r="K10559" s="10">
        <f>IF(F10559&gt;0,H10559/F10559,"")</f>
        <v/>
      </c>
      <c r="L10559" s="16">
        <f>IF(AND(G10559&gt;0,H10559&gt;0),G10559/H10559,"")</f>
        <v/>
      </c>
    </row>
    <row r="10560">
      <c r="A10560" s="4" t="inlineStr">
        <is>
          <t>419</t>
        </is>
      </c>
      <c r="B10560" s="4" t="n">
        <v>4</v>
      </c>
      <c r="C10560" s="4" t="inlineStr">
        <is>
          <t>whitetail</t>
        </is>
      </c>
      <c r="D10560" s="4" t="n">
        <v>2023</v>
      </c>
      <c r="E10560" s="13" t="inlineStr">
        <is>
          <t>General</t>
        </is>
      </c>
      <c r="F10560" s="5" t="n">
        <v>648</v>
      </c>
      <c r="G10560" s="5" t="n">
        <v>3354</v>
      </c>
      <c r="H10560" s="5" t="n">
        <v>218</v>
      </c>
      <c r="I10560" s="5" t="n">
        <v>140</v>
      </c>
      <c r="J10560" s="5" t="n">
        <v>78</v>
      </c>
      <c r="K10560" s="10">
        <f>IF(F10560&gt;0,H10560/F10560,"")</f>
        <v/>
      </c>
      <c r="L10560" s="16">
        <f>IF(AND(G10560&gt;0,H10560&gt;0),G10560/H10560,"")</f>
        <v/>
      </c>
    </row>
    <row r="10561">
      <c r="A10561" s="4" t="inlineStr">
        <is>
          <t>419</t>
        </is>
      </c>
      <c r="B10561" s="4" t="n">
        <v>4</v>
      </c>
      <c r="C10561" s="4" t="inlineStr">
        <is>
          <t>whitetail</t>
        </is>
      </c>
      <c r="D10561" s="4" t="n">
        <v>2024</v>
      </c>
      <c r="E10561" s="13" t="inlineStr">
        <is>
          <t>General</t>
        </is>
      </c>
      <c r="F10561" s="5" t="n"/>
      <c r="G10561" s="5" t="n"/>
      <c r="H10561" s="5" t="n">
        <v>271</v>
      </c>
      <c r="I10561" s="5" t="n">
        <v>175</v>
      </c>
      <c r="J10561" s="5" t="n">
        <v>96</v>
      </c>
      <c r="K10561" s="10">
        <f>IF(F10561&gt;0,H10561/F10561,"")</f>
        <v/>
      </c>
      <c r="L10561" s="16">
        <f>IF(AND(G10561&gt;0,H10561&gt;0),G10561/H10561,"")</f>
        <v/>
      </c>
    </row>
    <row r="10562">
      <c r="A10562" s="4" t="inlineStr">
        <is>
          <t>419</t>
        </is>
      </c>
      <c r="B10562" s="4" t="n">
        <v>4</v>
      </c>
      <c r="C10562" s="4" t="inlineStr">
        <is>
          <t>whitetail</t>
        </is>
      </c>
      <c r="D10562" s="4" t="n">
        <v>2025</v>
      </c>
      <c r="E10562" s="13" t="inlineStr">
        <is>
          <t>General</t>
        </is>
      </c>
      <c r="F10562" s="5" t="n">
        <v>861</v>
      </c>
      <c r="G10562" s="5" t="n">
        <v>4469</v>
      </c>
      <c r="H10562" s="5" t="n">
        <v>228</v>
      </c>
      <c r="I10562" s="5" t="n">
        <v>131</v>
      </c>
      <c r="J10562" s="5" t="n">
        <v>96</v>
      </c>
      <c r="K10562" s="10">
        <f>IF(F10562&gt;0,H10562/F10562,"")</f>
        <v/>
      </c>
      <c r="L10562" s="16">
        <f>IF(AND(G10562&gt;0,H10562&gt;0),G10562/H10562,"")</f>
        <v/>
      </c>
    </row>
    <row r="10563">
      <c r="A10563" s="4" t="inlineStr">
        <is>
          <t>420</t>
        </is>
      </c>
      <c r="B10563" s="4" t="n">
        <v>4</v>
      </c>
      <c r="C10563" s="4" t="inlineStr">
        <is>
          <t>whitetail</t>
        </is>
      </c>
      <c r="D10563" s="4" t="n">
        <v>2004</v>
      </c>
      <c r="E10563" s="13" t="inlineStr">
        <is>
          <t>General</t>
        </is>
      </c>
      <c r="F10563" s="5" t="n">
        <v>144</v>
      </c>
      <c r="G10563" s="5" t="n">
        <v>655</v>
      </c>
      <c r="H10563" s="5" t="n">
        <v>23</v>
      </c>
      <c r="I10563" s="5" t="n">
        <v>11</v>
      </c>
      <c r="J10563" s="5" t="n">
        <v>12</v>
      </c>
      <c r="K10563" s="10">
        <f>IF(F10563&gt;0,H10563/F10563,"")</f>
        <v/>
      </c>
      <c r="L10563" s="16">
        <f>IF(AND(G10563&gt;0,H10563&gt;0),G10563/H10563,"")</f>
        <v/>
      </c>
    </row>
    <row r="10564">
      <c r="A10564" s="4" t="inlineStr">
        <is>
          <t>420</t>
        </is>
      </c>
      <c r="B10564" s="4" t="n">
        <v>4</v>
      </c>
      <c r="C10564" s="4" t="inlineStr">
        <is>
          <t>whitetail</t>
        </is>
      </c>
      <c r="D10564" s="4" t="n">
        <v>2005</v>
      </c>
      <c r="E10564" s="13" t="inlineStr">
        <is>
          <t>General</t>
        </is>
      </c>
      <c r="F10564" s="5" t="n">
        <v>158</v>
      </c>
      <c r="G10564" s="5" t="n">
        <v>815</v>
      </c>
      <c r="H10564" s="5" t="n">
        <v>21</v>
      </c>
      <c r="I10564" s="5" t="n">
        <v>12</v>
      </c>
      <c r="J10564" s="5" t="n">
        <v>10</v>
      </c>
      <c r="K10564" s="10">
        <f>IF(F10564&gt;0,H10564/F10564,"")</f>
        <v/>
      </c>
      <c r="L10564" s="16">
        <f>IF(AND(G10564&gt;0,H10564&gt;0),G10564/H10564,"")</f>
        <v/>
      </c>
    </row>
    <row r="10565">
      <c r="A10565" s="4" t="inlineStr">
        <is>
          <t>420</t>
        </is>
      </c>
      <c r="B10565" s="4" t="n">
        <v>4</v>
      </c>
      <c r="C10565" s="4" t="inlineStr">
        <is>
          <t>whitetail</t>
        </is>
      </c>
      <c r="D10565" s="4" t="n">
        <v>2006</v>
      </c>
      <c r="E10565" s="13" t="inlineStr">
        <is>
          <t>General</t>
        </is>
      </c>
      <c r="F10565" s="5" t="n">
        <v>265</v>
      </c>
      <c r="G10565" s="5" t="n">
        <v>1316</v>
      </c>
      <c r="H10565" s="5" t="n">
        <v>32</v>
      </c>
      <c r="I10565" s="5" t="n">
        <v>13</v>
      </c>
      <c r="J10565" s="5" t="n">
        <v>17</v>
      </c>
      <c r="K10565" s="10">
        <f>IF(F10565&gt;0,H10565/F10565,"")</f>
        <v/>
      </c>
      <c r="L10565" s="16">
        <f>IF(AND(G10565&gt;0,H10565&gt;0),G10565/H10565,"")</f>
        <v/>
      </c>
    </row>
    <row r="10566">
      <c r="A10566" s="4" t="inlineStr">
        <is>
          <t>420</t>
        </is>
      </c>
      <c r="B10566" s="4" t="n">
        <v>4</v>
      </c>
      <c r="C10566" s="4" t="inlineStr">
        <is>
          <t>whitetail</t>
        </is>
      </c>
      <c r="D10566" s="4" t="n">
        <v>2007</v>
      </c>
      <c r="E10566" s="13" t="inlineStr">
        <is>
          <t>General</t>
        </is>
      </c>
      <c r="F10566" s="5" t="n">
        <v>181</v>
      </c>
      <c r="G10566" s="5" t="n">
        <v>911</v>
      </c>
      <c r="H10566" s="5" t="n">
        <v>42</v>
      </c>
      <c r="I10566" s="5" t="n">
        <v>19</v>
      </c>
      <c r="J10566" s="5" t="n">
        <v>23</v>
      </c>
      <c r="K10566" s="10">
        <f>IF(F10566&gt;0,H10566/F10566,"")</f>
        <v/>
      </c>
      <c r="L10566" s="16">
        <f>IF(AND(G10566&gt;0,H10566&gt;0),G10566/H10566,"")</f>
        <v/>
      </c>
    </row>
    <row r="10567">
      <c r="A10567" s="4" t="inlineStr">
        <is>
          <t>420</t>
        </is>
      </c>
      <c r="B10567" s="4" t="n">
        <v>4</v>
      </c>
      <c r="C10567" s="4" t="inlineStr">
        <is>
          <t>whitetail</t>
        </is>
      </c>
      <c r="D10567" s="4" t="n">
        <v>2008</v>
      </c>
      <c r="E10567" s="13" t="inlineStr">
        <is>
          <t>General</t>
        </is>
      </c>
      <c r="F10567" s="5" t="n">
        <v>264</v>
      </c>
      <c r="G10567" s="5" t="n">
        <v>1562</v>
      </c>
      <c r="H10567" s="5" t="n">
        <v>36</v>
      </c>
      <c r="I10567" s="5" t="n">
        <v>24</v>
      </c>
      <c r="J10567" s="5" t="n">
        <v>12</v>
      </c>
      <c r="K10567" s="10">
        <f>IF(F10567&gt;0,H10567/F10567,"")</f>
        <v/>
      </c>
      <c r="L10567" s="16">
        <f>IF(AND(G10567&gt;0,H10567&gt;0),G10567/H10567,"")</f>
        <v/>
      </c>
    </row>
    <row r="10568">
      <c r="A10568" s="4" t="inlineStr">
        <is>
          <t>420</t>
        </is>
      </c>
      <c r="B10568" s="4" t="n">
        <v>4</v>
      </c>
      <c r="C10568" s="4" t="inlineStr">
        <is>
          <t>whitetail</t>
        </is>
      </c>
      <c r="D10568" s="4" t="n">
        <v>2009</v>
      </c>
      <c r="E10568" s="13" t="inlineStr">
        <is>
          <t>General</t>
        </is>
      </c>
      <c r="F10568" s="5" t="n">
        <v>268</v>
      </c>
      <c r="G10568" s="5" t="n">
        <v>1608</v>
      </c>
      <c r="H10568" s="5" t="n">
        <v>41</v>
      </c>
      <c r="I10568" s="5" t="n">
        <v>12</v>
      </c>
      <c r="J10568" s="5" t="n">
        <v>29</v>
      </c>
      <c r="K10568" s="10">
        <f>IF(F10568&gt;0,H10568/F10568,"")</f>
        <v/>
      </c>
      <c r="L10568" s="16">
        <f>IF(AND(G10568&gt;0,H10568&gt;0),G10568/H10568,"")</f>
        <v/>
      </c>
    </row>
    <row r="10569">
      <c r="A10569" s="4" t="inlineStr">
        <is>
          <t>420</t>
        </is>
      </c>
      <c r="B10569" s="4" t="n">
        <v>4</v>
      </c>
      <c r="C10569" s="4" t="inlineStr">
        <is>
          <t>whitetail</t>
        </is>
      </c>
      <c r="D10569" s="4" t="n">
        <v>2010</v>
      </c>
      <c r="E10569" s="13" t="inlineStr">
        <is>
          <t>General</t>
        </is>
      </c>
      <c r="F10569" s="5" t="n">
        <v>188</v>
      </c>
      <c r="G10569" s="5" t="n">
        <v>1241</v>
      </c>
      <c r="H10569" s="5" t="n">
        <v>22</v>
      </c>
      <c r="I10569" s="5" t="n">
        <v>17</v>
      </c>
      <c r="J10569" s="5" t="n">
        <v>6</v>
      </c>
      <c r="K10569" s="10">
        <f>IF(F10569&gt;0,H10569/F10569,"")</f>
        <v/>
      </c>
      <c r="L10569" s="16">
        <f>IF(AND(G10569&gt;0,H10569&gt;0),G10569/H10569,"")</f>
        <v/>
      </c>
    </row>
    <row r="10570">
      <c r="A10570" s="4" t="inlineStr">
        <is>
          <t>420</t>
        </is>
      </c>
      <c r="B10570" s="4" t="n">
        <v>4</v>
      </c>
      <c r="C10570" s="4" t="inlineStr">
        <is>
          <t>whitetail</t>
        </is>
      </c>
      <c r="D10570" s="4" t="n">
        <v>2011</v>
      </c>
      <c r="E10570" s="13" t="inlineStr">
        <is>
          <t>General</t>
        </is>
      </c>
      <c r="F10570" s="5" t="n">
        <v>215</v>
      </c>
      <c r="G10570" s="5" t="n">
        <v>1389</v>
      </c>
      <c r="H10570" s="5" t="n">
        <v>31</v>
      </c>
      <c r="I10570" s="5" t="n">
        <v>17</v>
      </c>
      <c r="J10570" s="5" t="n">
        <v>14</v>
      </c>
      <c r="K10570" s="10">
        <f>IF(F10570&gt;0,H10570/F10570,"")</f>
        <v/>
      </c>
      <c r="L10570" s="16">
        <f>IF(AND(G10570&gt;0,H10570&gt;0),G10570/H10570,"")</f>
        <v/>
      </c>
    </row>
    <row r="10571">
      <c r="A10571" s="4" t="inlineStr">
        <is>
          <t>420</t>
        </is>
      </c>
      <c r="B10571" s="4" t="n">
        <v>4</v>
      </c>
      <c r="C10571" s="4" t="inlineStr">
        <is>
          <t>whitetail</t>
        </is>
      </c>
      <c r="D10571" s="4" t="n">
        <v>2012</v>
      </c>
      <c r="E10571" s="13" t="inlineStr">
        <is>
          <t>General</t>
        </is>
      </c>
      <c r="F10571" s="5" t="n"/>
      <c r="G10571" s="5" t="n"/>
      <c r="H10571" s="5" t="n">
        <v>53</v>
      </c>
      <c r="I10571" s="5" t="n">
        <v>28</v>
      </c>
      <c r="J10571" s="5" t="n">
        <v>22</v>
      </c>
      <c r="K10571" s="10">
        <f>IF(F10571&gt;0,H10571/F10571,"")</f>
        <v/>
      </c>
      <c r="L10571" s="16">
        <f>IF(AND(G10571&gt;0,H10571&gt;0),G10571/H10571,"")</f>
        <v/>
      </c>
    </row>
    <row r="10572">
      <c r="A10572" s="4" t="inlineStr">
        <is>
          <t>420</t>
        </is>
      </c>
      <c r="B10572" s="4" t="n">
        <v>4</v>
      </c>
      <c r="C10572" s="4" t="inlineStr">
        <is>
          <t>whitetail</t>
        </is>
      </c>
      <c r="D10572" s="4" t="n">
        <v>2013</v>
      </c>
      <c r="E10572" s="13" t="inlineStr">
        <is>
          <t>General</t>
        </is>
      </c>
      <c r="F10572" s="5" t="n">
        <v>265</v>
      </c>
      <c r="G10572" s="5" t="n">
        <v>1535</v>
      </c>
      <c r="H10572" s="5" t="n">
        <v>18</v>
      </c>
      <c r="I10572" s="5" t="n">
        <v>9</v>
      </c>
      <c r="J10572" s="5" t="n">
        <v>10</v>
      </c>
      <c r="K10572" s="10">
        <f>IF(F10572&gt;0,H10572/F10572,"")</f>
        <v/>
      </c>
      <c r="L10572" s="16">
        <f>IF(AND(G10572&gt;0,H10572&gt;0),G10572/H10572,"")</f>
        <v/>
      </c>
    </row>
    <row r="10573">
      <c r="A10573" s="4" t="inlineStr">
        <is>
          <t>420</t>
        </is>
      </c>
      <c r="B10573" s="4" t="n">
        <v>4</v>
      </c>
      <c r="C10573" s="4" t="inlineStr">
        <is>
          <t>whitetail</t>
        </is>
      </c>
      <c r="D10573" s="4" t="n">
        <v>2014</v>
      </c>
      <c r="E10573" s="13" t="inlineStr">
        <is>
          <t>General</t>
        </is>
      </c>
      <c r="F10573" s="5" t="n"/>
      <c r="G10573" s="5" t="n"/>
      <c r="H10573" s="5" t="n">
        <v>17</v>
      </c>
      <c r="I10573" s="5" t="n">
        <v>11</v>
      </c>
      <c r="J10573" s="5" t="n">
        <v>6</v>
      </c>
      <c r="K10573" s="10">
        <f>IF(F10573&gt;0,H10573/F10573,"")</f>
        <v/>
      </c>
      <c r="L10573" s="16">
        <f>IF(AND(G10573&gt;0,H10573&gt;0),G10573/H10573,"")</f>
        <v/>
      </c>
    </row>
    <row r="10574">
      <c r="A10574" s="4" t="inlineStr">
        <is>
          <t>420</t>
        </is>
      </c>
      <c r="B10574" s="4" t="n">
        <v>4</v>
      </c>
      <c r="C10574" s="4" t="inlineStr">
        <is>
          <t>whitetail</t>
        </is>
      </c>
      <c r="D10574" s="4" t="n">
        <v>2015</v>
      </c>
      <c r="E10574" s="13" t="inlineStr">
        <is>
          <t>General</t>
        </is>
      </c>
      <c r="F10574" s="5" t="n"/>
      <c r="G10574" s="5" t="n"/>
      <c r="H10574" s="5" t="n">
        <v>23</v>
      </c>
      <c r="I10574" s="5" t="n">
        <v>14</v>
      </c>
      <c r="J10574" s="5" t="n">
        <v>9</v>
      </c>
      <c r="K10574" s="10">
        <f>IF(F10574&gt;0,H10574/F10574,"")</f>
        <v/>
      </c>
      <c r="L10574" s="16">
        <f>IF(AND(G10574&gt;0,H10574&gt;0),G10574/H10574,"")</f>
        <v/>
      </c>
    </row>
    <row r="10575">
      <c r="A10575" s="4" t="inlineStr">
        <is>
          <t>420</t>
        </is>
      </c>
      <c r="B10575" s="4" t="n">
        <v>4</v>
      </c>
      <c r="C10575" s="4" t="inlineStr">
        <is>
          <t>whitetail</t>
        </is>
      </c>
      <c r="D10575" s="4" t="n">
        <v>2016</v>
      </c>
      <c r="E10575" s="13" t="inlineStr">
        <is>
          <t>General</t>
        </is>
      </c>
      <c r="F10575" s="5" t="n"/>
      <c r="G10575" s="5" t="n"/>
      <c r="H10575" s="5" t="n">
        <v>39</v>
      </c>
      <c r="I10575" s="5" t="n">
        <v>36</v>
      </c>
      <c r="J10575" s="5" t="n">
        <v>3</v>
      </c>
      <c r="K10575" s="10">
        <f>IF(F10575&gt;0,H10575/F10575,"")</f>
        <v/>
      </c>
      <c r="L10575" s="16">
        <f>IF(AND(G10575&gt;0,H10575&gt;0),G10575/H10575,"")</f>
        <v/>
      </c>
    </row>
    <row r="10576">
      <c r="A10576" s="4" t="inlineStr">
        <is>
          <t>420</t>
        </is>
      </c>
      <c r="B10576" s="4" t="n">
        <v>4</v>
      </c>
      <c r="C10576" s="4" t="inlineStr">
        <is>
          <t>whitetail</t>
        </is>
      </c>
      <c r="D10576" s="4" t="n">
        <v>2017</v>
      </c>
      <c r="E10576" s="13" t="inlineStr">
        <is>
          <t>General</t>
        </is>
      </c>
      <c r="F10576" s="5" t="n">
        <v>313</v>
      </c>
      <c r="G10576" s="5" t="n">
        <v>1793</v>
      </c>
      <c r="H10576" s="5" t="n">
        <v>32</v>
      </c>
      <c r="I10576" s="5" t="n">
        <v>21</v>
      </c>
      <c r="J10576" s="5" t="n">
        <v>11</v>
      </c>
      <c r="K10576" s="10">
        <f>IF(F10576&gt;0,H10576/F10576,"")</f>
        <v/>
      </c>
      <c r="L10576" s="16">
        <f>IF(AND(G10576&gt;0,H10576&gt;0),G10576/H10576,"")</f>
        <v/>
      </c>
    </row>
    <row r="10577">
      <c r="A10577" s="4" t="inlineStr">
        <is>
          <t>420</t>
        </is>
      </c>
      <c r="B10577" s="4" t="n">
        <v>4</v>
      </c>
      <c r="C10577" s="4" t="inlineStr">
        <is>
          <t>whitetail</t>
        </is>
      </c>
      <c r="D10577" s="4" t="n">
        <v>2018</v>
      </c>
      <c r="E10577" s="13" t="inlineStr">
        <is>
          <t>General</t>
        </is>
      </c>
      <c r="F10577" s="5" t="n"/>
      <c r="G10577" s="5" t="n"/>
      <c r="H10577" s="5" t="n">
        <v>56</v>
      </c>
      <c r="I10577" s="5" t="n">
        <v>31</v>
      </c>
      <c r="J10577" s="5" t="n">
        <v>25</v>
      </c>
      <c r="K10577" s="10">
        <f>IF(F10577&gt;0,H10577/F10577,"")</f>
        <v/>
      </c>
      <c r="L10577" s="16">
        <f>IF(AND(G10577&gt;0,H10577&gt;0),G10577/H10577,"")</f>
        <v/>
      </c>
    </row>
    <row r="10578">
      <c r="A10578" s="4" t="inlineStr">
        <is>
          <t>420</t>
        </is>
      </c>
      <c r="B10578" s="4" t="n">
        <v>4</v>
      </c>
      <c r="C10578" s="4" t="inlineStr">
        <is>
          <t>whitetail</t>
        </is>
      </c>
      <c r="D10578" s="4" t="n">
        <v>2019</v>
      </c>
      <c r="E10578" s="13" t="inlineStr">
        <is>
          <t>General</t>
        </is>
      </c>
      <c r="F10578" s="5" t="n">
        <v>328</v>
      </c>
      <c r="G10578" s="5" t="n">
        <v>2124</v>
      </c>
      <c r="H10578" s="5" t="n">
        <v>62</v>
      </c>
      <c r="I10578" s="5" t="n">
        <v>40</v>
      </c>
      <c r="J10578" s="5" t="n">
        <v>22</v>
      </c>
      <c r="K10578" s="10">
        <f>IF(F10578&gt;0,H10578/F10578,"")</f>
        <v/>
      </c>
      <c r="L10578" s="16">
        <f>IF(AND(G10578&gt;0,H10578&gt;0),G10578/H10578,"")</f>
        <v/>
      </c>
    </row>
    <row r="10579">
      <c r="A10579" s="4" t="inlineStr">
        <is>
          <t>420</t>
        </is>
      </c>
      <c r="B10579" s="4" t="n">
        <v>4</v>
      </c>
      <c r="C10579" s="4" t="inlineStr">
        <is>
          <t>whitetail</t>
        </is>
      </c>
      <c r="D10579" s="4" t="n">
        <v>2020</v>
      </c>
      <c r="E10579" s="13" t="inlineStr">
        <is>
          <t>General</t>
        </is>
      </c>
      <c r="F10579" s="5" t="n"/>
      <c r="G10579" s="5" t="n"/>
      <c r="H10579" s="5" t="n">
        <v>61</v>
      </c>
      <c r="I10579" s="5" t="n">
        <v>31</v>
      </c>
      <c r="J10579" s="5" t="n">
        <v>30</v>
      </c>
      <c r="K10579" s="10">
        <f>IF(F10579&gt;0,H10579/F10579,"")</f>
        <v/>
      </c>
      <c r="L10579" s="16">
        <f>IF(AND(G10579&gt;0,H10579&gt;0),G10579/H10579,"")</f>
        <v/>
      </c>
    </row>
    <row r="10580">
      <c r="A10580" s="4" t="inlineStr">
        <is>
          <t>420</t>
        </is>
      </c>
      <c r="B10580" s="4" t="n">
        <v>4</v>
      </c>
      <c r="C10580" s="4" t="inlineStr">
        <is>
          <t>whitetail</t>
        </is>
      </c>
      <c r="D10580" s="4" t="n">
        <v>2021</v>
      </c>
      <c r="E10580" s="13" t="inlineStr">
        <is>
          <t>General</t>
        </is>
      </c>
      <c r="F10580" s="5" t="n">
        <v>300</v>
      </c>
      <c r="G10580" s="5" t="n">
        <v>1981</v>
      </c>
      <c r="H10580" s="5" t="n">
        <v>38</v>
      </c>
      <c r="I10580" s="5" t="n">
        <v>27</v>
      </c>
      <c r="J10580" s="5" t="n">
        <v>11</v>
      </c>
      <c r="K10580" s="10">
        <f>IF(F10580&gt;0,H10580/F10580,"")</f>
        <v/>
      </c>
      <c r="L10580" s="16">
        <f>IF(AND(G10580&gt;0,H10580&gt;0),G10580/H10580,"")</f>
        <v/>
      </c>
    </row>
    <row r="10581">
      <c r="A10581" s="4" t="inlineStr">
        <is>
          <t>420</t>
        </is>
      </c>
      <c r="B10581" s="4" t="n">
        <v>4</v>
      </c>
      <c r="C10581" s="4" t="inlineStr">
        <is>
          <t>whitetail</t>
        </is>
      </c>
      <c r="D10581" s="4" t="n">
        <v>2022</v>
      </c>
      <c r="E10581" s="13" t="inlineStr">
        <is>
          <t>General</t>
        </is>
      </c>
      <c r="F10581" s="5" t="n"/>
      <c r="G10581" s="5" t="n"/>
      <c r="H10581" s="5" t="n">
        <v>51</v>
      </c>
      <c r="I10581" s="5" t="n">
        <v>29</v>
      </c>
      <c r="J10581" s="5" t="n">
        <v>22</v>
      </c>
      <c r="K10581" s="10">
        <f>IF(F10581&gt;0,H10581/F10581,"")</f>
        <v/>
      </c>
      <c r="L10581" s="16">
        <f>IF(AND(G10581&gt;0,H10581&gt;0),G10581/H10581,"")</f>
        <v/>
      </c>
    </row>
    <row r="10582">
      <c r="A10582" s="4" t="inlineStr">
        <is>
          <t>420</t>
        </is>
      </c>
      <c r="B10582" s="4" t="n">
        <v>4</v>
      </c>
      <c r="C10582" s="4" t="inlineStr">
        <is>
          <t>whitetail</t>
        </is>
      </c>
      <c r="D10582" s="4" t="n">
        <v>2023</v>
      </c>
      <c r="E10582" s="13" t="inlineStr">
        <is>
          <t>General</t>
        </is>
      </c>
      <c r="F10582" s="5" t="n">
        <v>332</v>
      </c>
      <c r="G10582" s="5" t="n">
        <v>1921</v>
      </c>
      <c r="H10582" s="5" t="n">
        <v>52</v>
      </c>
      <c r="I10582" s="5" t="n">
        <v>26</v>
      </c>
      <c r="J10582" s="5" t="n">
        <v>23</v>
      </c>
      <c r="K10582" s="10">
        <f>IF(F10582&gt;0,H10582/F10582,"")</f>
        <v/>
      </c>
      <c r="L10582" s="16">
        <f>IF(AND(G10582&gt;0,H10582&gt;0),G10582/H10582,"")</f>
        <v/>
      </c>
    </row>
    <row r="10583">
      <c r="A10583" s="4" t="inlineStr">
        <is>
          <t>420</t>
        </is>
      </c>
      <c r="B10583" s="4" t="n">
        <v>4</v>
      </c>
      <c r="C10583" s="4" t="inlineStr">
        <is>
          <t>whitetail</t>
        </is>
      </c>
      <c r="D10583" s="4" t="n">
        <v>2024</v>
      </c>
      <c r="E10583" s="13" t="inlineStr">
        <is>
          <t>General</t>
        </is>
      </c>
      <c r="F10583" s="5" t="n"/>
      <c r="G10583" s="5" t="n"/>
      <c r="H10583" s="5" t="n">
        <v>43</v>
      </c>
      <c r="I10583" s="5" t="n">
        <v>22</v>
      </c>
      <c r="J10583" s="5" t="n">
        <v>22</v>
      </c>
      <c r="K10583" s="10">
        <f>IF(F10583&gt;0,H10583/F10583,"")</f>
        <v/>
      </c>
      <c r="L10583" s="16">
        <f>IF(AND(G10583&gt;0,H10583&gt;0),G10583/H10583,"")</f>
        <v/>
      </c>
    </row>
    <row r="10584">
      <c r="A10584" s="4" t="inlineStr">
        <is>
          <t>420</t>
        </is>
      </c>
      <c r="B10584" s="4" t="n">
        <v>4</v>
      </c>
      <c r="C10584" s="4" t="inlineStr">
        <is>
          <t>whitetail</t>
        </is>
      </c>
      <c r="D10584" s="4" t="n">
        <v>2025</v>
      </c>
      <c r="E10584" s="13" t="inlineStr">
        <is>
          <t>General</t>
        </is>
      </c>
      <c r="F10584" s="5" t="n">
        <v>382</v>
      </c>
      <c r="G10584" s="5" t="n">
        <v>2558</v>
      </c>
      <c r="H10584" s="5" t="n">
        <v>52</v>
      </c>
      <c r="I10584" s="5" t="n">
        <v>39</v>
      </c>
      <c r="J10584" s="5" t="n">
        <v>13</v>
      </c>
      <c r="K10584" s="10">
        <f>IF(F10584&gt;0,H10584/F10584,"")</f>
        <v/>
      </c>
      <c r="L10584" s="16">
        <f>IF(AND(G10584&gt;0,H10584&gt;0),G10584/H10584,"")</f>
        <v/>
      </c>
    </row>
    <row r="10585">
      <c r="A10585" s="4" t="inlineStr">
        <is>
          <t>421</t>
        </is>
      </c>
      <c r="B10585" s="4" t="n">
        <v>4</v>
      </c>
      <c r="C10585" s="4" t="inlineStr">
        <is>
          <t>whitetail</t>
        </is>
      </c>
      <c r="D10585" s="4" t="n">
        <v>2004</v>
      </c>
      <c r="E10585" s="13" t="inlineStr">
        <is>
          <t>General</t>
        </is>
      </c>
      <c r="F10585" s="5" t="n">
        <v>605</v>
      </c>
      <c r="G10585" s="5" t="n">
        <v>2229</v>
      </c>
      <c r="H10585" s="5" t="n">
        <v>104</v>
      </c>
      <c r="I10585" s="5" t="n">
        <v>57</v>
      </c>
      <c r="J10585" s="5" t="n">
        <v>47</v>
      </c>
      <c r="K10585" s="10">
        <f>IF(F10585&gt;0,H10585/F10585,"")</f>
        <v/>
      </c>
      <c r="L10585" s="16">
        <f>IF(AND(G10585&gt;0,H10585&gt;0),G10585/H10585,"")</f>
        <v/>
      </c>
    </row>
    <row r="10586">
      <c r="A10586" s="4" t="inlineStr">
        <is>
          <t>421</t>
        </is>
      </c>
      <c r="B10586" s="4" t="n">
        <v>4</v>
      </c>
      <c r="C10586" s="4" t="inlineStr">
        <is>
          <t>whitetail</t>
        </is>
      </c>
      <c r="D10586" s="4" t="n">
        <v>2005</v>
      </c>
      <c r="E10586" s="13" t="inlineStr">
        <is>
          <t>General</t>
        </is>
      </c>
      <c r="F10586" s="5" t="n">
        <v>779</v>
      </c>
      <c r="G10586" s="5" t="n">
        <v>3186</v>
      </c>
      <c r="H10586" s="5" t="n">
        <v>198</v>
      </c>
      <c r="I10586" s="5" t="n">
        <v>97</v>
      </c>
      <c r="J10586" s="5" t="n">
        <v>98</v>
      </c>
      <c r="K10586" s="10">
        <f>IF(F10586&gt;0,H10586/F10586,"")</f>
        <v/>
      </c>
      <c r="L10586" s="16">
        <f>IF(AND(G10586&gt;0,H10586&gt;0),G10586/H10586,"")</f>
        <v/>
      </c>
    </row>
    <row r="10587">
      <c r="A10587" s="4" t="inlineStr">
        <is>
          <t>421</t>
        </is>
      </c>
      <c r="B10587" s="4" t="n">
        <v>4</v>
      </c>
      <c r="C10587" s="4" t="inlineStr">
        <is>
          <t>whitetail</t>
        </is>
      </c>
      <c r="D10587" s="4" t="n">
        <v>2006</v>
      </c>
      <c r="E10587" s="13" t="inlineStr">
        <is>
          <t>General</t>
        </is>
      </c>
      <c r="F10587" s="5" t="n">
        <v>520</v>
      </c>
      <c r="G10587" s="5" t="n">
        <v>2254</v>
      </c>
      <c r="H10587" s="5" t="n">
        <v>127</v>
      </c>
      <c r="I10587" s="5" t="n">
        <v>71</v>
      </c>
      <c r="J10587" s="5" t="n">
        <v>57</v>
      </c>
      <c r="K10587" s="10">
        <f>IF(F10587&gt;0,H10587/F10587,"")</f>
        <v/>
      </c>
      <c r="L10587" s="16">
        <f>IF(AND(G10587&gt;0,H10587&gt;0),G10587/H10587,"")</f>
        <v/>
      </c>
    </row>
    <row r="10588">
      <c r="A10588" s="4" t="inlineStr">
        <is>
          <t>421</t>
        </is>
      </c>
      <c r="B10588" s="4" t="n">
        <v>4</v>
      </c>
      <c r="C10588" s="4" t="inlineStr">
        <is>
          <t>whitetail</t>
        </is>
      </c>
      <c r="D10588" s="4" t="n">
        <v>2007</v>
      </c>
      <c r="E10588" s="13" t="inlineStr">
        <is>
          <t>General</t>
        </is>
      </c>
      <c r="F10588" s="5" t="n">
        <v>542</v>
      </c>
      <c r="G10588" s="5" t="n">
        <v>2186</v>
      </c>
      <c r="H10588" s="5" t="n">
        <v>83</v>
      </c>
      <c r="I10588" s="5" t="n">
        <v>36</v>
      </c>
      <c r="J10588" s="5" t="n">
        <v>47</v>
      </c>
      <c r="K10588" s="10">
        <f>IF(F10588&gt;0,H10588/F10588,"")</f>
        <v/>
      </c>
      <c r="L10588" s="16">
        <f>IF(AND(G10588&gt;0,H10588&gt;0),G10588/H10588,"")</f>
        <v/>
      </c>
    </row>
    <row r="10589">
      <c r="A10589" s="4" t="inlineStr">
        <is>
          <t>421</t>
        </is>
      </c>
      <c r="B10589" s="4" t="n">
        <v>4</v>
      </c>
      <c r="C10589" s="4" t="inlineStr">
        <is>
          <t>whitetail</t>
        </is>
      </c>
      <c r="D10589" s="4" t="n">
        <v>2008</v>
      </c>
      <c r="E10589" s="13" t="inlineStr">
        <is>
          <t>General</t>
        </is>
      </c>
      <c r="F10589" s="5" t="n">
        <v>539</v>
      </c>
      <c r="G10589" s="5" t="n">
        <v>2268</v>
      </c>
      <c r="H10589" s="5" t="n">
        <v>125</v>
      </c>
      <c r="I10589" s="5" t="n">
        <v>54</v>
      </c>
      <c r="J10589" s="5" t="n">
        <v>68</v>
      </c>
      <c r="K10589" s="10">
        <f>IF(F10589&gt;0,H10589/F10589,"")</f>
        <v/>
      </c>
      <c r="L10589" s="16">
        <f>IF(AND(G10589&gt;0,H10589&gt;0),G10589/H10589,"")</f>
        <v/>
      </c>
    </row>
    <row r="10590">
      <c r="A10590" s="4" t="inlineStr">
        <is>
          <t>421</t>
        </is>
      </c>
      <c r="B10590" s="4" t="n">
        <v>4</v>
      </c>
      <c r="C10590" s="4" t="inlineStr">
        <is>
          <t>whitetail</t>
        </is>
      </c>
      <c r="D10590" s="4" t="n">
        <v>2009</v>
      </c>
      <c r="E10590" s="13" t="inlineStr">
        <is>
          <t>General</t>
        </is>
      </c>
      <c r="F10590" s="5" t="n">
        <v>586</v>
      </c>
      <c r="G10590" s="5" t="n">
        <v>2408</v>
      </c>
      <c r="H10590" s="5" t="n">
        <v>124</v>
      </c>
      <c r="I10590" s="5" t="n">
        <v>39</v>
      </c>
      <c r="J10590" s="5" t="n">
        <v>79</v>
      </c>
      <c r="K10590" s="10">
        <f>IF(F10590&gt;0,H10590/F10590,"")</f>
        <v/>
      </c>
      <c r="L10590" s="16">
        <f>IF(AND(G10590&gt;0,H10590&gt;0),G10590/H10590,"")</f>
        <v/>
      </c>
    </row>
    <row r="10591">
      <c r="A10591" s="4" t="inlineStr">
        <is>
          <t>421</t>
        </is>
      </c>
      <c r="B10591" s="4" t="n">
        <v>4</v>
      </c>
      <c r="C10591" s="4" t="inlineStr">
        <is>
          <t>whitetail</t>
        </is>
      </c>
      <c r="D10591" s="4" t="n">
        <v>2010</v>
      </c>
      <c r="E10591" s="13" t="inlineStr">
        <is>
          <t>General</t>
        </is>
      </c>
      <c r="F10591" s="5" t="n">
        <v>603</v>
      </c>
      <c r="G10591" s="5" t="n">
        <v>2562</v>
      </c>
      <c r="H10591" s="5" t="n">
        <v>97</v>
      </c>
      <c r="I10591" s="5" t="n">
        <v>51</v>
      </c>
      <c r="J10591" s="5" t="n">
        <v>46</v>
      </c>
      <c r="K10591" s="10">
        <f>IF(F10591&gt;0,H10591/F10591,"")</f>
        <v/>
      </c>
      <c r="L10591" s="16">
        <f>IF(AND(G10591&gt;0,H10591&gt;0),G10591/H10591,"")</f>
        <v/>
      </c>
    </row>
    <row r="10592">
      <c r="A10592" s="4" t="inlineStr">
        <is>
          <t>421</t>
        </is>
      </c>
      <c r="B10592" s="4" t="n">
        <v>4</v>
      </c>
      <c r="C10592" s="4" t="inlineStr">
        <is>
          <t>whitetail</t>
        </is>
      </c>
      <c r="D10592" s="4" t="n">
        <v>2011</v>
      </c>
      <c r="E10592" s="13" t="inlineStr">
        <is>
          <t>General</t>
        </is>
      </c>
      <c r="F10592" s="5" t="n">
        <v>571</v>
      </c>
      <c r="G10592" s="5" t="n">
        <v>2576</v>
      </c>
      <c r="H10592" s="5" t="n">
        <v>92</v>
      </c>
      <c r="I10592" s="5" t="n">
        <v>48</v>
      </c>
      <c r="J10592" s="5" t="n">
        <v>42</v>
      </c>
      <c r="K10592" s="10">
        <f>IF(F10592&gt;0,H10592/F10592,"")</f>
        <v/>
      </c>
      <c r="L10592" s="16">
        <f>IF(AND(G10592&gt;0,H10592&gt;0),G10592/H10592,"")</f>
        <v/>
      </c>
    </row>
    <row r="10593">
      <c r="A10593" s="4" t="inlineStr">
        <is>
          <t>421</t>
        </is>
      </c>
      <c r="B10593" s="4" t="n">
        <v>4</v>
      </c>
      <c r="C10593" s="4" t="inlineStr">
        <is>
          <t>whitetail</t>
        </is>
      </c>
      <c r="D10593" s="4" t="n">
        <v>2012</v>
      </c>
      <c r="E10593" s="13" t="inlineStr">
        <is>
          <t>General</t>
        </is>
      </c>
      <c r="F10593" s="5" t="n"/>
      <c r="G10593" s="5" t="n"/>
      <c r="H10593" s="5" t="n">
        <v>113</v>
      </c>
      <c r="I10593" s="5" t="n">
        <v>42</v>
      </c>
      <c r="J10593" s="5" t="n">
        <v>71</v>
      </c>
      <c r="K10593" s="10">
        <f>IF(F10593&gt;0,H10593/F10593,"")</f>
        <v/>
      </c>
      <c r="L10593" s="16">
        <f>IF(AND(G10593&gt;0,H10593&gt;0),G10593/H10593,"")</f>
        <v/>
      </c>
    </row>
    <row r="10594">
      <c r="A10594" s="4" t="inlineStr">
        <is>
          <t>421</t>
        </is>
      </c>
      <c r="B10594" s="4" t="n">
        <v>4</v>
      </c>
      <c r="C10594" s="4" t="inlineStr">
        <is>
          <t>whitetail</t>
        </is>
      </c>
      <c r="D10594" s="4" t="n">
        <v>2013</v>
      </c>
      <c r="E10594" s="13" t="inlineStr">
        <is>
          <t>General</t>
        </is>
      </c>
      <c r="F10594" s="5" t="n">
        <v>478</v>
      </c>
      <c r="G10594" s="5" t="n">
        <v>2177</v>
      </c>
      <c r="H10594" s="5" t="n">
        <v>47</v>
      </c>
      <c r="I10594" s="5" t="n">
        <v>20</v>
      </c>
      <c r="J10594" s="5" t="n">
        <v>27</v>
      </c>
      <c r="K10594" s="10">
        <f>IF(F10594&gt;0,H10594/F10594,"")</f>
        <v/>
      </c>
      <c r="L10594" s="16">
        <f>IF(AND(G10594&gt;0,H10594&gt;0),G10594/H10594,"")</f>
        <v/>
      </c>
    </row>
    <row r="10595">
      <c r="A10595" s="4" t="inlineStr">
        <is>
          <t>421</t>
        </is>
      </c>
      <c r="B10595" s="4" t="n">
        <v>4</v>
      </c>
      <c r="C10595" s="4" t="inlineStr">
        <is>
          <t>whitetail</t>
        </is>
      </c>
      <c r="D10595" s="4" t="n">
        <v>2014</v>
      </c>
      <c r="E10595" s="13" t="inlineStr">
        <is>
          <t>General</t>
        </is>
      </c>
      <c r="F10595" s="5" t="n"/>
      <c r="G10595" s="5" t="n"/>
      <c r="H10595" s="5" t="n">
        <v>79</v>
      </c>
      <c r="I10595" s="5" t="n">
        <v>62</v>
      </c>
      <c r="J10595" s="5" t="n">
        <v>13</v>
      </c>
      <c r="K10595" s="10">
        <f>IF(F10595&gt;0,H10595/F10595,"")</f>
        <v/>
      </c>
      <c r="L10595" s="16">
        <f>IF(AND(G10595&gt;0,H10595&gt;0),G10595/H10595,"")</f>
        <v/>
      </c>
    </row>
    <row r="10596">
      <c r="A10596" s="4" t="inlineStr">
        <is>
          <t>421</t>
        </is>
      </c>
      <c r="B10596" s="4" t="n">
        <v>4</v>
      </c>
      <c r="C10596" s="4" t="inlineStr">
        <is>
          <t>whitetail</t>
        </is>
      </c>
      <c r="D10596" s="4" t="n">
        <v>2015</v>
      </c>
      <c r="E10596" s="13" t="inlineStr">
        <is>
          <t>General</t>
        </is>
      </c>
      <c r="F10596" s="5" t="n"/>
      <c r="G10596" s="5" t="n"/>
      <c r="H10596" s="5" t="n">
        <v>73</v>
      </c>
      <c r="I10596" s="5" t="n">
        <v>65</v>
      </c>
      <c r="J10596" s="5" t="n">
        <v>8</v>
      </c>
      <c r="K10596" s="10">
        <f>IF(F10596&gt;0,H10596/F10596,"")</f>
        <v/>
      </c>
      <c r="L10596" s="16">
        <f>IF(AND(G10596&gt;0,H10596&gt;0),G10596/H10596,"")</f>
        <v/>
      </c>
    </row>
    <row r="10597">
      <c r="A10597" s="4" t="inlineStr">
        <is>
          <t>421</t>
        </is>
      </c>
      <c r="B10597" s="4" t="n">
        <v>4</v>
      </c>
      <c r="C10597" s="4" t="inlineStr">
        <is>
          <t>whitetail</t>
        </is>
      </c>
      <c r="D10597" s="4" t="n">
        <v>2016</v>
      </c>
      <c r="E10597" s="13" t="inlineStr">
        <is>
          <t>General</t>
        </is>
      </c>
      <c r="F10597" s="5" t="n"/>
      <c r="G10597" s="5" t="n"/>
      <c r="H10597" s="5" t="n">
        <v>60</v>
      </c>
      <c r="I10597" s="5" t="n">
        <v>51</v>
      </c>
      <c r="J10597" s="5" t="n">
        <v>9</v>
      </c>
      <c r="K10597" s="10">
        <f>IF(F10597&gt;0,H10597/F10597,"")</f>
        <v/>
      </c>
      <c r="L10597" s="16">
        <f>IF(AND(G10597&gt;0,H10597&gt;0),G10597/H10597,"")</f>
        <v/>
      </c>
    </row>
    <row r="10598">
      <c r="A10598" s="4" t="inlineStr">
        <is>
          <t>421</t>
        </is>
      </c>
      <c r="B10598" s="4" t="n">
        <v>4</v>
      </c>
      <c r="C10598" s="4" t="inlineStr">
        <is>
          <t>whitetail</t>
        </is>
      </c>
      <c r="D10598" s="4" t="n">
        <v>2017</v>
      </c>
      <c r="E10598" s="13" t="inlineStr">
        <is>
          <t>General</t>
        </is>
      </c>
      <c r="F10598" s="5" t="n">
        <v>474</v>
      </c>
      <c r="G10598" s="5" t="n">
        <v>2440</v>
      </c>
      <c r="H10598" s="5" t="n">
        <v>103</v>
      </c>
      <c r="I10598" s="5" t="n">
        <v>80</v>
      </c>
      <c r="J10598" s="5" t="n">
        <v>23</v>
      </c>
      <c r="K10598" s="10">
        <f>IF(F10598&gt;0,H10598/F10598,"")</f>
        <v/>
      </c>
      <c r="L10598" s="16">
        <f>IF(AND(G10598&gt;0,H10598&gt;0),G10598/H10598,"")</f>
        <v/>
      </c>
    </row>
    <row r="10599">
      <c r="A10599" s="4" t="inlineStr">
        <is>
          <t>421</t>
        </is>
      </c>
      <c r="B10599" s="4" t="n">
        <v>4</v>
      </c>
      <c r="C10599" s="4" t="inlineStr">
        <is>
          <t>whitetail</t>
        </is>
      </c>
      <c r="D10599" s="4" t="n">
        <v>2018</v>
      </c>
      <c r="E10599" s="13" t="inlineStr">
        <is>
          <t>General</t>
        </is>
      </c>
      <c r="F10599" s="5" t="n"/>
      <c r="G10599" s="5" t="n"/>
      <c r="H10599" s="5" t="n">
        <v>121</v>
      </c>
      <c r="I10599" s="5" t="n">
        <v>59</v>
      </c>
      <c r="J10599" s="5" t="n">
        <v>62</v>
      </c>
      <c r="K10599" s="10">
        <f>IF(F10599&gt;0,H10599/F10599,"")</f>
        <v/>
      </c>
      <c r="L10599" s="16">
        <f>IF(AND(G10599&gt;0,H10599&gt;0),G10599/H10599,"")</f>
        <v/>
      </c>
    </row>
    <row r="10600">
      <c r="A10600" s="4" t="inlineStr">
        <is>
          <t>421</t>
        </is>
      </c>
      <c r="B10600" s="4" t="n">
        <v>4</v>
      </c>
      <c r="C10600" s="4" t="inlineStr">
        <is>
          <t>whitetail</t>
        </is>
      </c>
      <c r="D10600" s="4" t="n">
        <v>2019</v>
      </c>
      <c r="E10600" s="13" t="inlineStr">
        <is>
          <t>General</t>
        </is>
      </c>
      <c r="F10600" s="5" t="n">
        <v>422</v>
      </c>
      <c r="G10600" s="5" t="n">
        <v>1724</v>
      </c>
      <c r="H10600" s="5" t="n">
        <v>89</v>
      </c>
      <c r="I10600" s="5" t="n">
        <v>44</v>
      </c>
      <c r="J10600" s="5" t="n">
        <v>46</v>
      </c>
      <c r="K10600" s="10">
        <f>IF(F10600&gt;0,H10600/F10600,"")</f>
        <v/>
      </c>
      <c r="L10600" s="16">
        <f>IF(AND(G10600&gt;0,H10600&gt;0),G10600/H10600,"")</f>
        <v/>
      </c>
    </row>
    <row r="10601">
      <c r="A10601" s="4" t="inlineStr">
        <is>
          <t>421</t>
        </is>
      </c>
      <c r="B10601" s="4" t="n">
        <v>4</v>
      </c>
      <c r="C10601" s="4" t="inlineStr">
        <is>
          <t>whitetail</t>
        </is>
      </c>
      <c r="D10601" s="4" t="n">
        <v>2020</v>
      </c>
      <c r="E10601" s="13" t="inlineStr">
        <is>
          <t>General</t>
        </is>
      </c>
      <c r="F10601" s="5" t="n"/>
      <c r="G10601" s="5" t="n"/>
      <c r="H10601" s="5" t="n">
        <v>198</v>
      </c>
      <c r="I10601" s="5" t="n">
        <v>133</v>
      </c>
      <c r="J10601" s="5" t="n">
        <v>62</v>
      </c>
      <c r="K10601" s="10">
        <f>IF(F10601&gt;0,H10601/F10601,"")</f>
        <v/>
      </c>
      <c r="L10601" s="16">
        <f>IF(AND(G10601&gt;0,H10601&gt;0),G10601/H10601,"")</f>
        <v/>
      </c>
    </row>
    <row r="10602">
      <c r="A10602" s="4" t="inlineStr">
        <is>
          <t>421</t>
        </is>
      </c>
      <c r="B10602" s="4" t="n">
        <v>4</v>
      </c>
      <c r="C10602" s="4" t="inlineStr">
        <is>
          <t>whitetail</t>
        </is>
      </c>
      <c r="D10602" s="4" t="n">
        <v>2021</v>
      </c>
      <c r="E10602" s="13" t="inlineStr">
        <is>
          <t>General</t>
        </is>
      </c>
      <c r="F10602" s="5" t="n">
        <v>741</v>
      </c>
      <c r="G10602" s="5" t="n">
        <v>3178</v>
      </c>
      <c r="H10602" s="5" t="n">
        <v>251</v>
      </c>
      <c r="I10602" s="5" t="n">
        <v>156</v>
      </c>
      <c r="J10602" s="5" t="n">
        <v>95</v>
      </c>
      <c r="K10602" s="10">
        <f>IF(F10602&gt;0,H10602/F10602,"")</f>
        <v/>
      </c>
      <c r="L10602" s="16">
        <f>IF(AND(G10602&gt;0,H10602&gt;0),G10602/H10602,"")</f>
        <v/>
      </c>
    </row>
    <row r="10603">
      <c r="A10603" s="4" t="inlineStr">
        <is>
          <t>421</t>
        </is>
      </c>
      <c r="B10603" s="4" t="n">
        <v>4</v>
      </c>
      <c r="C10603" s="4" t="inlineStr">
        <is>
          <t>whitetail</t>
        </is>
      </c>
      <c r="D10603" s="4" t="n">
        <v>2022</v>
      </c>
      <c r="E10603" s="13" t="inlineStr">
        <is>
          <t>General</t>
        </is>
      </c>
      <c r="F10603" s="5" t="n"/>
      <c r="G10603" s="5" t="n"/>
      <c r="H10603" s="5" t="n">
        <v>379</v>
      </c>
      <c r="I10603" s="5" t="n">
        <v>203</v>
      </c>
      <c r="J10603" s="5" t="n">
        <v>170</v>
      </c>
      <c r="K10603" s="10">
        <f>IF(F10603&gt;0,H10603/F10603,"")</f>
        <v/>
      </c>
      <c r="L10603" s="16">
        <f>IF(AND(G10603&gt;0,H10603&gt;0),G10603/H10603,"")</f>
        <v/>
      </c>
    </row>
    <row r="10604">
      <c r="A10604" s="4" t="inlineStr">
        <is>
          <t>421</t>
        </is>
      </c>
      <c r="B10604" s="4" t="n">
        <v>4</v>
      </c>
      <c r="C10604" s="4" t="inlineStr">
        <is>
          <t>whitetail</t>
        </is>
      </c>
      <c r="D10604" s="4" t="n">
        <v>2023</v>
      </c>
      <c r="E10604" s="13" t="inlineStr">
        <is>
          <t>General</t>
        </is>
      </c>
      <c r="F10604" s="5" t="n">
        <v>1313</v>
      </c>
      <c r="G10604" s="5" t="n">
        <v>7340</v>
      </c>
      <c r="H10604" s="5" t="n">
        <v>427</v>
      </c>
      <c r="I10604" s="5" t="n">
        <v>230</v>
      </c>
      <c r="J10604" s="5" t="n">
        <v>198</v>
      </c>
      <c r="K10604" s="10">
        <f>IF(F10604&gt;0,H10604/F10604,"")</f>
        <v/>
      </c>
      <c r="L10604" s="16">
        <f>IF(AND(G10604&gt;0,H10604&gt;0),G10604/H10604,"")</f>
        <v/>
      </c>
    </row>
    <row r="10605">
      <c r="A10605" s="4" t="inlineStr">
        <is>
          <t>421</t>
        </is>
      </c>
      <c r="B10605" s="4" t="n">
        <v>4</v>
      </c>
      <c r="C10605" s="4" t="inlineStr">
        <is>
          <t>whitetail</t>
        </is>
      </c>
      <c r="D10605" s="4" t="n">
        <v>2024</v>
      </c>
      <c r="E10605" s="13" t="inlineStr">
        <is>
          <t>General</t>
        </is>
      </c>
      <c r="F10605" s="5" t="n"/>
      <c r="G10605" s="5" t="n"/>
      <c r="H10605" s="5" t="n">
        <v>407</v>
      </c>
      <c r="I10605" s="5" t="n">
        <v>252</v>
      </c>
      <c r="J10605" s="5" t="n">
        <v>152</v>
      </c>
      <c r="K10605" s="10">
        <f>IF(F10605&gt;0,H10605/F10605,"")</f>
        <v/>
      </c>
      <c r="L10605" s="16">
        <f>IF(AND(G10605&gt;0,H10605&gt;0),G10605/H10605,"")</f>
        <v/>
      </c>
    </row>
    <row r="10606">
      <c r="A10606" s="4" t="inlineStr">
        <is>
          <t>421</t>
        </is>
      </c>
      <c r="B10606" s="4" t="n">
        <v>4</v>
      </c>
      <c r="C10606" s="4" t="inlineStr">
        <is>
          <t>whitetail</t>
        </is>
      </c>
      <c r="D10606" s="4" t="n">
        <v>2025</v>
      </c>
      <c r="E10606" s="13" t="inlineStr">
        <is>
          <t>General</t>
        </is>
      </c>
      <c r="F10606" s="5" t="n">
        <v>1325</v>
      </c>
      <c r="G10606" s="5" t="n">
        <v>7802</v>
      </c>
      <c r="H10606" s="5" t="n">
        <v>397</v>
      </c>
      <c r="I10606" s="5" t="n">
        <v>218</v>
      </c>
      <c r="J10606" s="5" t="n">
        <v>176</v>
      </c>
      <c r="K10606" s="10">
        <f>IF(F10606&gt;0,H10606/F10606,"")</f>
        <v/>
      </c>
      <c r="L10606" s="16">
        <f>IF(AND(G10606&gt;0,H10606&gt;0),G10606/H10606,"")</f>
        <v/>
      </c>
    </row>
    <row r="10607">
      <c r="A10607" s="4" t="inlineStr">
        <is>
          <t>422</t>
        </is>
      </c>
      <c r="B10607" s="4" t="n">
        <v>4</v>
      </c>
      <c r="C10607" s="4" t="inlineStr">
        <is>
          <t>whitetail</t>
        </is>
      </c>
      <c r="D10607" s="4" t="n">
        <v>2004</v>
      </c>
      <c r="E10607" s="13" t="inlineStr">
        <is>
          <t>General</t>
        </is>
      </c>
      <c r="F10607" s="5" t="n">
        <v>569</v>
      </c>
      <c r="G10607" s="5" t="n">
        <v>2832</v>
      </c>
      <c r="H10607" s="5" t="n">
        <v>93</v>
      </c>
      <c r="I10607" s="5" t="n">
        <v>69</v>
      </c>
      <c r="J10607" s="5" t="n">
        <v>23</v>
      </c>
      <c r="K10607" s="10">
        <f>IF(F10607&gt;0,H10607/F10607,"")</f>
        <v/>
      </c>
      <c r="L10607" s="16">
        <f>IF(AND(G10607&gt;0,H10607&gt;0),G10607/H10607,"")</f>
        <v/>
      </c>
    </row>
    <row r="10608">
      <c r="A10608" s="4" t="inlineStr">
        <is>
          <t>422</t>
        </is>
      </c>
      <c r="B10608" s="4" t="n">
        <v>4</v>
      </c>
      <c r="C10608" s="4" t="inlineStr">
        <is>
          <t>whitetail</t>
        </is>
      </c>
      <c r="D10608" s="4" t="n">
        <v>2005</v>
      </c>
      <c r="E10608" s="13" t="inlineStr">
        <is>
          <t>General</t>
        </is>
      </c>
      <c r="F10608" s="5" t="n">
        <v>416</v>
      </c>
      <c r="G10608" s="5" t="n">
        <v>1877</v>
      </c>
      <c r="H10608" s="5" t="n">
        <v>72</v>
      </c>
      <c r="I10608" s="5" t="n">
        <v>37</v>
      </c>
      <c r="J10608" s="5" t="n">
        <v>35</v>
      </c>
      <c r="K10608" s="10">
        <f>IF(F10608&gt;0,H10608/F10608,"")</f>
        <v/>
      </c>
      <c r="L10608" s="16">
        <f>IF(AND(G10608&gt;0,H10608&gt;0),G10608/H10608,"")</f>
        <v/>
      </c>
    </row>
    <row r="10609">
      <c r="A10609" s="4" t="inlineStr">
        <is>
          <t>422</t>
        </is>
      </c>
      <c r="B10609" s="4" t="n">
        <v>4</v>
      </c>
      <c r="C10609" s="4" t="inlineStr">
        <is>
          <t>whitetail</t>
        </is>
      </c>
      <c r="D10609" s="4" t="n">
        <v>2006</v>
      </c>
      <c r="E10609" s="13" t="inlineStr">
        <is>
          <t>General</t>
        </is>
      </c>
      <c r="F10609" s="5" t="n">
        <v>377</v>
      </c>
      <c r="G10609" s="5" t="n">
        <v>1998</v>
      </c>
      <c r="H10609" s="5" t="n">
        <v>114</v>
      </c>
      <c r="I10609" s="5" t="n">
        <v>78</v>
      </c>
      <c r="J10609" s="5" t="n">
        <v>32</v>
      </c>
      <c r="K10609" s="10">
        <f>IF(F10609&gt;0,H10609/F10609,"")</f>
        <v/>
      </c>
      <c r="L10609" s="16">
        <f>IF(AND(G10609&gt;0,H10609&gt;0),G10609/H10609,"")</f>
        <v/>
      </c>
    </row>
    <row r="10610">
      <c r="A10610" s="4" t="inlineStr">
        <is>
          <t>422</t>
        </is>
      </c>
      <c r="B10610" s="4" t="n">
        <v>4</v>
      </c>
      <c r="C10610" s="4" t="inlineStr">
        <is>
          <t>whitetail</t>
        </is>
      </c>
      <c r="D10610" s="4" t="n">
        <v>2007</v>
      </c>
      <c r="E10610" s="13" t="inlineStr">
        <is>
          <t>General</t>
        </is>
      </c>
      <c r="F10610" s="5" t="n">
        <v>364</v>
      </c>
      <c r="G10610" s="5" t="n">
        <v>2033</v>
      </c>
      <c r="H10610" s="5" t="n">
        <v>67</v>
      </c>
      <c r="I10610" s="5" t="n">
        <v>44</v>
      </c>
      <c r="J10610" s="5" t="n">
        <v>23</v>
      </c>
      <c r="K10610" s="10">
        <f>IF(F10610&gt;0,H10610/F10610,"")</f>
        <v/>
      </c>
      <c r="L10610" s="16">
        <f>IF(AND(G10610&gt;0,H10610&gt;0),G10610/H10610,"")</f>
        <v/>
      </c>
    </row>
    <row r="10611">
      <c r="A10611" s="4" t="inlineStr">
        <is>
          <t>422</t>
        </is>
      </c>
      <c r="B10611" s="4" t="n">
        <v>4</v>
      </c>
      <c r="C10611" s="4" t="inlineStr">
        <is>
          <t>whitetail</t>
        </is>
      </c>
      <c r="D10611" s="4" t="n">
        <v>2008</v>
      </c>
      <c r="E10611" s="13" t="inlineStr">
        <is>
          <t>General</t>
        </is>
      </c>
      <c r="F10611" s="5" t="n">
        <v>409</v>
      </c>
      <c r="G10611" s="5" t="n">
        <v>2317</v>
      </c>
      <c r="H10611" s="5" t="n">
        <v>66</v>
      </c>
      <c r="I10611" s="5" t="n">
        <v>33</v>
      </c>
      <c r="J10611" s="5" t="n">
        <v>33</v>
      </c>
      <c r="K10611" s="10">
        <f>IF(F10611&gt;0,H10611/F10611,"")</f>
        <v/>
      </c>
      <c r="L10611" s="16">
        <f>IF(AND(G10611&gt;0,H10611&gt;0),G10611/H10611,"")</f>
        <v/>
      </c>
    </row>
    <row r="10612">
      <c r="A10612" s="4" t="inlineStr">
        <is>
          <t>422</t>
        </is>
      </c>
      <c r="B10612" s="4" t="n">
        <v>4</v>
      </c>
      <c r="C10612" s="4" t="inlineStr">
        <is>
          <t>whitetail</t>
        </is>
      </c>
      <c r="D10612" s="4" t="n">
        <v>2009</v>
      </c>
      <c r="E10612" s="13" t="inlineStr">
        <is>
          <t>General</t>
        </is>
      </c>
      <c r="F10612" s="5" t="n">
        <v>397</v>
      </c>
      <c r="G10612" s="5" t="n">
        <v>2113</v>
      </c>
      <c r="H10612" s="5" t="n">
        <v>86</v>
      </c>
      <c r="I10612" s="5" t="n">
        <v>53</v>
      </c>
      <c r="J10612" s="5" t="n">
        <v>33</v>
      </c>
      <c r="K10612" s="10">
        <f>IF(F10612&gt;0,H10612/F10612,"")</f>
        <v/>
      </c>
      <c r="L10612" s="16">
        <f>IF(AND(G10612&gt;0,H10612&gt;0),G10612/H10612,"")</f>
        <v/>
      </c>
    </row>
    <row r="10613">
      <c r="A10613" s="4" t="inlineStr">
        <is>
          <t>422</t>
        </is>
      </c>
      <c r="B10613" s="4" t="n">
        <v>4</v>
      </c>
      <c r="C10613" s="4" t="inlineStr">
        <is>
          <t>whitetail</t>
        </is>
      </c>
      <c r="D10613" s="4" t="n">
        <v>2010</v>
      </c>
      <c r="E10613" s="13" t="inlineStr">
        <is>
          <t>General</t>
        </is>
      </c>
      <c r="F10613" s="5" t="n">
        <v>395</v>
      </c>
      <c r="G10613" s="5" t="n">
        <v>2230</v>
      </c>
      <c r="H10613" s="5" t="n">
        <v>93</v>
      </c>
      <c r="I10613" s="5" t="n">
        <v>48</v>
      </c>
      <c r="J10613" s="5" t="n">
        <v>40</v>
      </c>
      <c r="K10613" s="10">
        <f>IF(F10613&gt;0,H10613/F10613,"")</f>
        <v/>
      </c>
      <c r="L10613" s="16">
        <f>IF(AND(G10613&gt;0,H10613&gt;0),G10613/H10613,"")</f>
        <v/>
      </c>
    </row>
    <row r="10614">
      <c r="A10614" s="4" t="inlineStr">
        <is>
          <t>422</t>
        </is>
      </c>
      <c r="B10614" s="4" t="n">
        <v>4</v>
      </c>
      <c r="C10614" s="4" t="inlineStr">
        <is>
          <t>whitetail</t>
        </is>
      </c>
      <c r="D10614" s="4" t="n">
        <v>2011</v>
      </c>
      <c r="E10614" s="13" t="inlineStr">
        <is>
          <t>General</t>
        </is>
      </c>
      <c r="F10614" s="5" t="n">
        <v>423</v>
      </c>
      <c r="G10614" s="5" t="n">
        <v>2009</v>
      </c>
      <c r="H10614" s="5" t="n">
        <v>69</v>
      </c>
      <c r="I10614" s="5" t="n">
        <v>25</v>
      </c>
      <c r="J10614" s="5" t="n">
        <v>44</v>
      </c>
      <c r="K10614" s="10">
        <f>IF(F10614&gt;0,H10614/F10614,"")</f>
        <v/>
      </c>
      <c r="L10614" s="16">
        <f>IF(AND(G10614&gt;0,H10614&gt;0),G10614/H10614,"")</f>
        <v/>
      </c>
    </row>
    <row r="10615">
      <c r="A10615" s="4" t="inlineStr">
        <is>
          <t>422</t>
        </is>
      </c>
      <c r="B10615" s="4" t="n">
        <v>4</v>
      </c>
      <c r="C10615" s="4" t="inlineStr">
        <is>
          <t>whitetail</t>
        </is>
      </c>
      <c r="D10615" s="4" t="n">
        <v>2012</v>
      </c>
      <c r="E10615" s="13" t="inlineStr">
        <is>
          <t>General</t>
        </is>
      </c>
      <c r="F10615" s="5" t="n"/>
      <c r="G10615" s="5" t="n"/>
      <c r="H10615" s="5" t="n">
        <v>112</v>
      </c>
      <c r="I10615" s="5" t="n">
        <v>63</v>
      </c>
      <c r="J10615" s="5" t="n">
        <v>50</v>
      </c>
      <c r="K10615" s="10">
        <f>IF(F10615&gt;0,H10615/F10615,"")</f>
        <v/>
      </c>
      <c r="L10615" s="16">
        <f>IF(AND(G10615&gt;0,H10615&gt;0),G10615/H10615,"")</f>
        <v/>
      </c>
    </row>
    <row r="10616">
      <c r="A10616" s="4" t="inlineStr">
        <is>
          <t>422</t>
        </is>
      </c>
      <c r="B10616" s="4" t="n">
        <v>4</v>
      </c>
      <c r="C10616" s="4" t="inlineStr">
        <is>
          <t>whitetail</t>
        </is>
      </c>
      <c r="D10616" s="4" t="n">
        <v>2013</v>
      </c>
      <c r="E10616" s="13" t="inlineStr">
        <is>
          <t>General</t>
        </is>
      </c>
      <c r="F10616" s="5" t="n">
        <v>542</v>
      </c>
      <c r="G10616" s="5" t="n">
        <v>3020</v>
      </c>
      <c r="H10616" s="5" t="n">
        <v>87</v>
      </c>
      <c r="I10616" s="5" t="n">
        <v>61</v>
      </c>
      <c r="J10616" s="5" t="n">
        <v>22</v>
      </c>
      <c r="K10616" s="10">
        <f>IF(F10616&gt;0,H10616/F10616,"")</f>
        <v/>
      </c>
      <c r="L10616" s="16">
        <f>IF(AND(G10616&gt;0,H10616&gt;0),G10616/H10616,"")</f>
        <v/>
      </c>
    </row>
    <row r="10617">
      <c r="A10617" s="4" t="inlineStr">
        <is>
          <t>422</t>
        </is>
      </c>
      <c r="B10617" s="4" t="n">
        <v>4</v>
      </c>
      <c r="C10617" s="4" t="inlineStr">
        <is>
          <t>whitetail</t>
        </is>
      </c>
      <c r="D10617" s="4" t="n">
        <v>2014</v>
      </c>
      <c r="E10617" s="13" t="inlineStr">
        <is>
          <t>General</t>
        </is>
      </c>
      <c r="F10617" s="5" t="n"/>
      <c r="G10617" s="5" t="n"/>
      <c r="H10617" s="5" t="n">
        <v>88</v>
      </c>
      <c r="I10617" s="5" t="n">
        <v>68</v>
      </c>
      <c r="J10617" s="5" t="n">
        <v>17</v>
      </c>
      <c r="K10617" s="10">
        <f>IF(F10617&gt;0,H10617/F10617,"")</f>
        <v/>
      </c>
      <c r="L10617" s="16">
        <f>IF(AND(G10617&gt;0,H10617&gt;0),G10617/H10617,"")</f>
        <v/>
      </c>
    </row>
    <row r="10618">
      <c r="A10618" s="4" t="inlineStr">
        <is>
          <t>422</t>
        </is>
      </c>
      <c r="B10618" s="4" t="n">
        <v>4</v>
      </c>
      <c r="C10618" s="4" t="inlineStr">
        <is>
          <t>whitetail</t>
        </is>
      </c>
      <c r="D10618" s="4" t="n">
        <v>2015</v>
      </c>
      <c r="E10618" s="13" t="inlineStr">
        <is>
          <t>General</t>
        </is>
      </c>
      <c r="F10618" s="5" t="n"/>
      <c r="G10618" s="5" t="n"/>
      <c r="H10618" s="5" t="n">
        <v>100</v>
      </c>
      <c r="I10618" s="5" t="n">
        <v>86</v>
      </c>
      <c r="J10618" s="5" t="n">
        <v>11</v>
      </c>
      <c r="K10618" s="10">
        <f>IF(F10618&gt;0,H10618/F10618,"")</f>
        <v/>
      </c>
      <c r="L10618" s="16">
        <f>IF(AND(G10618&gt;0,H10618&gt;0),G10618/H10618,"")</f>
        <v/>
      </c>
    </row>
    <row r="10619">
      <c r="A10619" s="4" t="inlineStr">
        <is>
          <t>422</t>
        </is>
      </c>
      <c r="B10619" s="4" t="n">
        <v>4</v>
      </c>
      <c r="C10619" s="4" t="inlineStr">
        <is>
          <t>whitetail</t>
        </is>
      </c>
      <c r="D10619" s="4" t="n">
        <v>2016</v>
      </c>
      <c r="E10619" s="13" t="inlineStr">
        <is>
          <t>General</t>
        </is>
      </c>
      <c r="F10619" s="5" t="n"/>
      <c r="G10619" s="5" t="n"/>
      <c r="H10619" s="5" t="n">
        <v>155</v>
      </c>
      <c r="I10619" s="5" t="n">
        <v>98</v>
      </c>
      <c r="J10619" s="5" t="n">
        <v>50</v>
      </c>
      <c r="K10619" s="10">
        <f>IF(F10619&gt;0,H10619/F10619,"")</f>
        <v/>
      </c>
      <c r="L10619" s="16">
        <f>IF(AND(G10619&gt;0,H10619&gt;0),G10619/H10619,"")</f>
        <v/>
      </c>
    </row>
    <row r="10620">
      <c r="A10620" s="4" t="inlineStr">
        <is>
          <t>422</t>
        </is>
      </c>
      <c r="B10620" s="4" t="n">
        <v>4</v>
      </c>
      <c r="C10620" s="4" t="inlineStr">
        <is>
          <t>whitetail</t>
        </is>
      </c>
      <c r="D10620" s="4" t="n">
        <v>2017</v>
      </c>
      <c r="E10620" s="13" t="inlineStr">
        <is>
          <t>General</t>
        </is>
      </c>
      <c r="F10620" s="5" t="n">
        <v>670</v>
      </c>
      <c r="G10620" s="5" t="n">
        <v>3737</v>
      </c>
      <c r="H10620" s="5" t="n">
        <v>194</v>
      </c>
      <c r="I10620" s="5" t="n">
        <v>126</v>
      </c>
      <c r="J10620" s="5" t="n">
        <v>68</v>
      </c>
      <c r="K10620" s="10">
        <f>IF(F10620&gt;0,H10620/F10620,"")</f>
        <v/>
      </c>
      <c r="L10620" s="16">
        <f>IF(AND(G10620&gt;0,H10620&gt;0),G10620/H10620,"")</f>
        <v/>
      </c>
    </row>
    <row r="10621">
      <c r="A10621" s="4" t="inlineStr">
        <is>
          <t>422</t>
        </is>
      </c>
      <c r="B10621" s="4" t="n">
        <v>4</v>
      </c>
      <c r="C10621" s="4" t="inlineStr">
        <is>
          <t>whitetail</t>
        </is>
      </c>
      <c r="D10621" s="4" t="n">
        <v>2018</v>
      </c>
      <c r="E10621" s="13" t="inlineStr">
        <is>
          <t>General</t>
        </is>
      </c>
      <c r="F10621" s="5" t="n"/>
      <c r="G10621" s="5" t="n"/>
      <c r="H10621" s="5" t="n">
        <v>196</v>
      </c>
      <c r="I10621" s="5" t="n">
        <v>106</v>
      </c>
      <c r="J10621" s="5" t="n">
        <v>90</v>
      </c>
      <c r="K10621" s="10">
        <f>IF(F10621&gt;0,H10621/F10621,"")</f>
        <v/>
      </c>
      <c r="L10621" s="16">
        <f>IF(AND(G10621&gt;0,H10621&gt;0),G10621/H10621,"")</f>
        <v/>
      </c>
    </row>
    <row r="10622">
      <c r="A10622" s="4" t="inlineStr">
        <is>
          <t>422</t>
        </is>
      </c>
      <c r="B10622" s="4" t="n">
        <v>4</v>
      </c>
      <c r="C10622" s="4" t="inlineStr">
        <is>
          <t>whitetail</t>
        </is>
      </c>
      <c r="D10622" s="4" t="n">
        <v>2019</v>
      </c>
      <c r="E10622" s="13" t="inlineStr">
        <is>
          <t>General</t>
        </is>
      </c>
      <c r="F10622" s="5" t="n">
        <v>450</v>
      </c>
      <c r="G10622" s="5" t="n">
        <v>2408</v>
      </c>
      <c r="H10622" s="5" t="n">
        <v>169</v>
      </c>
      <c r="I10622" s="5" t="n">
        <v>70</v>
      </c>
      <c r="J10622" s="5" t="n">
        <v>99</v>
      </c>
      <c r="K10622" s="10">
        <f>IF(F10622&gt;0,H10622/F10622,"")</f>
        <v/>
      </c>
      <c r="L10622" s="16">
        <f>IF(AND(G10622&gt;0,H10622&gt;0),G10622/H10622,"")</f>
        <v/>
      </c>
    </row>
    <row r="10623">
      <c r="A10623" s="4" t="inlineStr">
        <is>
          <t>422</t>
        </is>
      </c>
      <c r="B10623" s="4" t="n">
        <v>4</v>
      </c>
      <c r="C10623" s="4" t="inlineStr">
        <is>
          <t>whitetail</t>
        </is>
      </c>
      <c r="D10623" s="4" t="n">
        <v>2020</v>
      </c>
      <c r="E10623" s="13" t="inlineStr">
        <is>
          <t>General</t>
        </is>
      </c>
      <c r="F10623" s="5" t="n"/>
      <c r="G10623" s="5" t="n"/>
      <c r="H10623" s="5" t="n">
        <v>167</v>
      </c>
      <c r="I10623" s="5" t="n">
        <v>93</v>
      </c>
      <c r="J10623" s="5" t="n">
        <v>75</v>
      </c>
      <c r="K10623" s="10">
        <f>IF(F10623&gt;0,H10623/F10623,"")</f>
        <v/>
      </c>
      <c r="L10623" s="16">
        <f>IF(AND(G10623&gt;0,H10623&gt;0),G10623/H10623,"")</f>
        <v/>
      </c>
    </row>
    <row r="10624">
      <c r="A10624" s="4" t="inlineStr">
        <is>
          <t>422</t>
        </is>
      </c>
      <c r="B10624" s="4" t="n">
        <v>4</v>
      </c>
      <c r="C10624" s="4" t="inlineStr">
        <is>
          <t>whitetail</t>
        </is>
      </c>
      <c r="D10624" s="4" t="n">
        <v>2021</v>
      </c>
      <c r="E10624" s="13" t="inlineStr">
        <is>
          <t>General</t>
        </is>
      </c>
      <c r="F10624" s="5" t="n">
        <v>462</v>
      </c>
      <c r="G10624" s="5" t="n">
        <v>2469</v>
      </c>
      <c r="H10624" s="5" t="n">
        <v>134</v>
      </c>
      <c r="I10624" s="5" t="n">
        <v>85</v>
      </c>
      <c r="J10624" s="5" t="n">
        <v>45</v>
      </c>
      <c r="K10624" s="10">
        <f>IF(F10624&gt;0,H10624/F10624,"")</f>
        <v/>
      </c>
      <c r="L10624" s="16">
        <f>IF(AND(G10624&gt;0,H10624&gt;0),G10624/H10624,"")</f>
        <v/>
      </c>
    </row>
    <row r="10625">
      <c r="A10625" s="4" t="inlineStr">
        <is>
          <t>422</t>
        </is>
      </c>
      <c r="B10625" s="4" t="n">
        <v>4</v>
      </c>
      <c r="C10625" s="4" t="inlineStr">
        <is>
          <t>whitetail</t>
        </is>
      </c>
      <c r="D10625" s="4" t="n">
        <v>2022</v>
      </c>
      <c r="E10625" s="13" t="inlineStr">
        <is>
          <t>General</t>
        </is>
      </c>
      <c r="F10625" s="5" t="n"/>
      <c r="G10625" s="5" t="n"/>
      <c r="H10625" s="5" t="n">
        <v>119</v>
      </c>
      <c r="I10625" s="5" t="n">
        <v>68</v>
      </c>
      <c r="J10625" s="5" t="n">
        <v>51</v>
      </c>
      <c r="K10625" s="10">
        <f>IF(F10625&gt;0,H10625/F10625,"")</f>
        <v/>
      </c>
      <c r="L10625" s="16">
        <f>IF(AND(G10625&gt;0,H10625&gt;0),G10625/H10625,"")</f>
        <v/>
      </c>
    </row>
    <row r="10626">
      <c r="A10626" s="4" t="inlineStr">
        <is>
          <t>422</t>
        </is>
      </c>
      <c r="B10626" s="4" t="n">
        <v>4</v>
      </c>
      <c r="C10626" s="4" t="inlineStr">
        <is>
          <t>whitetail</t>
        </is>
      </c>
      <c r="D10626" s="4" t="n">
        <v>2023</v>
      </c>
      <c r="E10626" s="13" t="inlineStr">
        <is>
          <t>General</t>
        </is>
      </c>
      <c r="F10626" s="5" t="n">
        <v>597</v>
      </c>
      <c r="G10626" s="5" t="n">
        <v>3396</v>
      </c>
      <c r="H10626" s="5" t="n">
        <v>195</v>
      </c>
      <c r="I10626" s="5" t="n">
        <v>108</v>
      </c>
      <c r="J10626" s="5" t="n">
        <v>81</v>
      </c>
      <c r="K10626" s="10">
        <f>IF(F10626&gt;0,H10626/F10626,"")</f>
        <v/>
      </c>
      <c r="L10626" s="16">
        <f>IF(AND(G10626&gt;0,H10626&gt;0),G10626/H10626,"")</f>
        <v/>
      </c>
    </row>
    <row r="10627">
      <c r="A10627" s="4" t="inlineStr">
        <is>
          <t>422</t>
        </is>
      </c>
      <c r="B10627" s="4" t="n">
        <v>4</v>
      </c>
      <c r="C10627" s="4" t="inlineStr">
        <is>
          <t>whitetail</t>
        </is>
      </c>
      <c r="D10627" s="4" t="n">
        <v>2024</v>
      </c>
      <c r="E10627" s="13" t="inlineStr">
        <is>
          <t>General</t>
        </is>
      </c>
      <c r="F10627" s="5" t="n"/>
      <c r="G10627" s="5" t="n"/>
      <c r="H10627" s="5" t="n">
        <v>137</v>
      </c>
      <c r="I10627" s="5" t="n">
        <v>78</v>
      </c>
      <c r="J10627" s="5" t="n">
        <v>59</v>
      </c>
      <c r="K10627" s="10">
        <f>IF(F10627&gt;0,H10627/F10627,"")</f>
        <v/>
      </c>
      <c r="L10627" s="16">
        <f>IF(AND(G10627&gt;0,H10627&gt;0),G10627/H10627,"")</f>
        <v/>
      </c>
    </row>
    <row r="10628">
      <c r="A10628" s="4" t="inlineStr">
        <is>
          <t>422</t>
        </is>
      </c>
      <c r="B10628" s="4" t="n">
        <v>4</v>
      </c>
      <c r="C10628" s="4" t="inlineStr">
        <is>
          <t>whitetail</t>
        </is>
      </c>
      <c r="D10628" s="4" t="n">
        <v>2025</v>
      </c>
      <c r="E10628" s="13" t="inlineStr">
        <is>
          <t>General</t>
        </is>
      </c>
      <c r="F10628" s="5" t="n">
        <v>714</v>
      </c>
      <c r="G10628" s="5" t="n">
        <v>4040</v>
      </c>
      <c r="H10628" s="5" t="n">
        <v>187</v>
      </c>
      <c r="I10628" s="5" t="n">
        <v>77</v>
      </c>
      <c r="J10628" s="5" t="n">
        <v>110</v>
      </c>
      <c r="K10628" s="10">
        <f>IF(F10628&gt;0,H10628/F10628,"")</f>
        <v/>
      </c>
      <c r="L10628" s="16">
        <f>IF(AND(G10628&gt;0,H10628&gt;0),G10628/H10628,"")</f>
        <v/>
      </c>
    </row>
    <row r="10629">
      <c r="A10629" s="4" t="inlineStr">
        <is>
          <t>423</t>
        </is>
      </c>
      <c r="B10629" s="4" t="n">
        <v>4</v>
      </c>
      <c r="C10629" s="4" t="inlineStr">
        <is>
          <t>whitetail</t>
        </is>
      </c>
      <c r="D10629" s="4" t="n">
        <v>2004</v>
      </c>
      <c r="E10629" s="4" t="inlineStr"/>
      <c r="F10629" s="5" t="n">
        <v>389</v>
      </c>
      <c r="G10629" s="5" t="n">
        <v>1879</v>
      </c>
      <c r="H10629" s="5" t="n">
        <v>57</v>
      </c>
      <c r="I10629" s="5" t="n">
        <v>42</v>
      </c>
      <c r="J10629" s="5" t="n">
        <v>16</v>
      </c>
      <c r="K10629" s="10">
        <f>IF(F10629&gt;0,H10629/F10629,"")</f>
        <v/>
      </c>
      <c r="L10629" s="16">
        <f>IF(AND(G10629&gt;0,H10629&gt;0),G10629/H10629,"")</f>
        <v/>
      </c>
    </row>
    <row r="10630">
      <c r="A10630" s="4" t="inlineStr">
        <is>
          <t>423</t>
        </is>
      </c>
      <c r="B10630" s="4" t="n">
        <v>4</v>
      </c>
      <c r="C10630" s="4" t="inlineStr">
        <is>
          <t>whitetail</t>
        </is>
      </c>
      <c r="D10630" s="4" t="n">
        <v>2005</v>
      </c>
      <c r="E10630" s="4" t="inlineStr"/>
      <c r="F10630" s="5" t="n">
        <v>484</v>
      </c>
      <c r="G10630" s="5" t="n">
        <v>2471</v>
      </c>
      <c r="H10630" s="5" t="n">
        <v>82</v>
      </c>
      <c r="I10630" s="5" t="n">
        <v>59</v>
      </c>
      <c r="J10630" s="5" t="n">
        <v>23</v>
      </c>
      <c r="K10630" s="10">
        <f>IF(F10630&gt;0,H10630/F10630,"")</f>
        <v/>
      </c>
      <c r="L10630" s="16">
        <f>IF(AND(G10630&gt;0,H10630&gt;0),G10630/H10630,"")</f>
        <v/>
      </c>
    </row>
    <row r="10631">
      <c r="A10631" s="4" t="inlineStr">
        <is>
          <t>423</t>
        </is>
      </c>
      <c r="B10631" s="4" t="n">
        <v>4</v>
      </c>
      <c r="C10631" s="4" t="inlineStr">
        <is>
          <t>whitetail</t>
        </is>
      </c>
      <c r="D10631" s="4" t="n">
        <v>2006</v>
      </c>
      <c r="E10631" s="4" t="inlineStr"/>
      <c r="F10631" s="5" t="n">
        <v>554</v>
      </c>
      <c r="G10631" s="5" t="n">
        <v>2947</v>
      </c>
      <c r="H10631" s="5" t="n">
        <v>96</v>
      </c>
      <c r="I10631" s="5" t="n">
        <v>71</v>
      </c>
      <c r="J10631" s="5" t="n">
        <v>26</v>
      </c>
      <c r="K10631" s="10">
        <f>IF(F10631&gt;0,H10631/F10631,"")</f>
        <v/>
      </c>
      <c r="L10631" s="16">
        <f>IF(AND(G10631&gt;0,H10631&gt;0),G10631/H10631,"")</f>
        <v/>
      </c>
    </row>
    <row r="10632">
      <c r="A10632" s="4" t="inlineStr">
        <is>
          <t>423</t>
        </is>
      </c>
      <c r="B10632" s="4" t="n">
        <v>4</v>
      </c>
      <c r="C10632" s="4" t="inlineStr">
        <is>
          <t>whitetail</t>
        </is>
      </c>
      <c r="D10632" s="4" t="n">
        <v>2007</v>
      </c>
      <c r="E10632" s="4" t="inlineStr"/>
      <c r="F10632" s="5" t="n">
        <v>458</v>
      </c>
      <c r="G10632" s="5" t="n">
        <v>2951</v>
      </c>
      <c r="H10632" s="5" t="n">
        <v>88</v>
      </c>
      <c r="I10632" s="5" t="n">
        <v>38</v>
      </c>
      <c r="J10632" s="5" t="n">
        <v>50</v>
      </c>
      <c r="K10632" s="10">
        <f>IF(F10632&gt;0,H10632/F10632,"")</f>
        <v/>
      </c>
      <c r="L10632" s="16">
        <f>IF(AND(G10632&gt;0,H10632&gt;0),G10632/H10632,"")</f>
        <v/>
      </c>
    </row>
    <row r="10633">
      <c r="A10633" s="4" t="inlineStr">
        <is>
          <t>423</t>
        </is>
      </c>
      <c r="B10633" s="4" t="n">
        <v>4</v>
      </c>
      <c r="C10633" s="4" t="inlineStr">
        <is>
          <t>whitetail</t>
        </is>
      </c>
      <c r="D10633" s="4" t="n">
        <v>2008</v>
      </c>
      <c r="E10633" s="4" t="inlineStr"/>
      <c r="F10633" s="5" t="n">
        <v>485</v>
      </c>
      <c r="G10633" s="5" t="n">
        <v>2485</v>
      </c>
      <c r="H10633" s="5" t="n">
        <v>61</v>
      </c>
      <c r="I10633" s="5" t="n">
        <v>41</v>
      </c>
      <c r="J10633" s="5" t="n">
        <v>20</v>
      </c>
      <c r="K10633" s="10">
        <f>IF(F10633&gt;0,H10633/F10633,"")</f>
        <v/>
      </c>
      <c r="L10633" s="16">
        <f>IF(AND(G10633&gt;0,H10633&gt;0),G10633/H10633,"")</f>
        <v/>
      </c>
    </row>
    <row r="10634">
      <c r="A10634" s="4" t="inlineStr">
        <is>
          <t>423</t>
        </is>
      </c>
      <c r="B10634" s="4" t="n">
        <v>4</v>
      </c>
      <c r="C10634" s="4" t="inlineStr">
        <is>
          <t>whitetail</t>
        </is>
      </c>
      <c r="D10634" s="4" t="n">
        <v>2009</v>
      </c>
      <c r="E10634" s="4" t="inlineStr"/>
      <c r="F10634" s="5" t="n">
        <v>558</v>
      </c>
      <c r="G10634" s="5" t="n">
        <v>2889</v>
      </c>
      <c r="H10634" s="5" t="n">
        <v>66</v>
      </c>
      <c r="I10634" s="5" t="n">
        <v>38</v>
      </c>
      <c r="J10634" s="5" t="n">
        <v>28</v>
      </c>
      <c r="K10634" s="10">
        <f>IF(F10634&gt;0,H10634/F10634,"")</f>
        <v/>
      </c>
      <c r="L10634" s="16">
        <f>IF(AND(G10634&gt;0,H10634&gt;0),G10634/H10634,"")</f>
        <v/>
      </c>
    </row>
    <row r="10635">
      <c r="A10635" s="4" t="inlineStr">
        <is>
          <t>423</t>
        </is>
      </c>
      <c r="B10635" s="4" t="n">
        <v>4</v>
      </c>
      <c r="C10635" s="4" t="inlineStr">
        <is>
          <t>whitetail</t>
        </is>
      </c>
      <c r="D10635" s="4" t="n">
        <v>2010</v>
      </c>
      <c r="E10635" s="4" t="inlineStr"/>
      <c r="F10635" s="5" t="n">
        <v>573</v>
      </c>
      <c r="G10635" s="5" t="n">
        <v>3202</v>
      </c>
      <c r="H10635" s="5" t="n">
        <v>73</v>
      </c>
      <c r="I10635" s="5" t="n">
        <v>42</v>
      </c>
      <c r="J10635" s="5" t="n">
        <v>31</v>
      </c>
      <c r="K10635" s="10">
        <f>IF(F10635&gt;0,H10635/F10635,"")</f>
        <v/>
      </c>
      <c r="L10635" s="16">
        <f>IF(AND(G10635&gt;0,H10635&gt;0),G10635/H10635,"")</f>
        <v/>
      </c>
    </row>
    <row r="10636">
      <c r="A10636" s="4" t="inlineStr">
        <is>
          <t>423</t>
        </is>
      </c>
      <c r="B10636" s="4" t="n">
        <v>4</v>
      </c>
      <c r="C10636" s="4" t="inlineStr">
        <is>
          <t>whitetail</t>
        </is>
      </c>
      <c r="D10636" s="4" t="n">
        <v>2011</v>
      </c>
      <c r="E10636" s="4" t="inlineStr"/>
      <c r="F10636" s="5" t="n">
        <v>653</v>
      </c>
      <c r="G10636" s="5" t="n">
        <v>3522</v>
      </c>
      <c r="H10636" s="5" t="n">
        <v>127</v>
      </c>
      <c r="I10636" s="5" t="n">
        <v>75</v>
      </c>
      <c r="J10636" s="5" t="n">
        <v>49</v>
      </c>
      <c r="K10636" s="10">
        <f>IF(F10636&gt;0,H10636/F10636,"")</f>
        <v/>
      </c>
      <c r="L10636" s="16">
        <f>IF(AND(G10636&gt;0,H10636&gt;0),G10636/H10636,"")</f>
        <v/>
      </c>
    </row>
    <row r="10637">
      <c r="A10637" s="4" t="inlineStr">
        <is>
          <t>423</t>
        </is>
      </c>
      <c r="B10637" s="4" t="n">
        <v>4</v>
      </c>
      <c r="C10637" s="4" t="inlineStr">
        <is>
          <t>whitetail</t>
        </is>
      </c>
      <c r="D10637" s="4" t="n">
        <v>2012</v>
      </c>
      <c r="E10637" s="4" t="inlineStr"/>
      <c r="F10637" s="5" t="n"/>
      <c r="G10637" s="5" t="n"/>
      <c r="H10637" s="5" t="n">
        <v>81</v>
      </c>
      <c r="I10637" s="5" t="n">
        <v>36</v>
      </c>
      <c r="J10637" s="5" t="n">
        <v>45</v>
      </c>
      <c r="K10637" s="10">
        <f>IF(F10637&gt;0,H10637/F10637,"")</f>
        <v/>
      </c>
      <c r="L10637" s="16">
        <f>IF(AND(G10637&gt;0,H10637&gt;0),G10637/H10637,"")</f>
        <v/>
      </c>
    </row>
    <row r="10638">
      <c r="A10638" s="4" t="inlineStr">
        <is>
          <t>423</t>
        </is>
      </c>
      <c r="B10638" s="4" t="n">
        <v>4</v>
      </c>
      <c r="C10638" s="4" t="inlineStr">
        <is>
          <t>whitetail</t>
        </is>
      </c>
      <c r="D10638" s="4" t="n">
        <v>2013</v>
      </c>
      <c r="E10638" s="4" t="inlineStr"/>
      <c r="F10638" s="5" t="n">
        <v>620</v>
      </c>
      <c r="G10638" s="5" t="n">
        <v>3639</v>
      </c>
      <c r="H10638" s="5" t="n">
        <v>88</v>
      </c>
      <c r="I10638" s="5" t="n">
        <v>61</v>
      </c>
      <c r="J10638" s="5" t="n">
        <v>27</v>
      </c>
      <c r="K10638" s="10">
        <f>IF(F10638&gt;0,H10638/F10638,"")</f>
        <v/>
      </c>
      <c r="L10638" s="16">
        <f>IF(AND(G10638&gt;0,H10638&gt;0),G10638/H10638,"")</f>
        <v/>
      </c>
    </row>
    <row r="10639">
      <c r="A10639" s="4" t="inlineStr">
        <is>
          <t>423</t>
        </is>
      </c>
      <c r="B10639" s="4" t="n">
        <v>4</v>
      </c>
      <c r="C10639" s="4" t="inlineStr">
        <is>
          <t>whitetail</t>
        </is>
      </c>
      <c r="D10639" s="4" t="n">
        <v>2014</v>
      </c>
      <c r="E10639" s="4" t="inlineStr"/>
      <c r="F10639" s="5" t="n"/>
      <c r="G10639" s="5" t="n"/>
      <c r="H10639" s="5" t="n">
        <v>68</v>
      </c>
      <c r="I10639" s="5" t="n">
        <v>65</v>
      </c>
      <c r="J10639" s="5" t="n">
        <v>3</v>
      </c>
      <c r="K10639" s="10">
        <f>IF(F10639&gt;0,H10639/F10639,"")</f>
        <v/>
      </c>
      <c r="L10639" s="16">
        <f>IF(AND(G10639&gt;0,H10639&gt;0),G10639/H10639,"")</f>
        <v/>
      </c>
    </row>
    <row r="10640">
      <c r="A10640" s="4" t="inlineStr">
        <is>
          <t>423</t>
        </is>
      </c>
      <c r="B10640" s="4" t="n">
        <v>4</v>
      </c>
      <c r="C10640" s="4" t="inlineStr">
        <is>
          <t>whitetail</t>
        </is>
      </c>
      <c r="D10640" s="4" t="n">
        <v>2015</v>
      </c>
      <c r="E10640" s="4" t="inlineStr"/>
      <c r="F10640" s="5" t="n"/>
      <c r="G10640" s="5" t="n"/>
      <c r="H10640" s="5" t="n">
        <v>79</v>
      </c>
      <c r="I10640" s="5" t="n">
        <v>68</v>
      </c>
      <c r="J10640" s="5" t="n">
        <v>11</v>
      </c>
      <c r="K10640" s="10">
        <f>IF(F10640&gt;0,H10640/F10640,"")</f>
        <v/>
      </c>
      <c r="L10640" s="16">
        <f>IF(AND(G10640&gt;0,H10640&gt;0),G10640/H10640,"")</f>
        <v/>
      </c>
    </row>
    <row r="10641">
      <c r="A10641" s="4" t="inlineStr">
        <is>
          <t>423</t>
        </is>
      </c>
      <c r="B10641" s="4" t="n">
        <v>4</v>
      </c>
      <c r="C10641" s="4" t="inlineStr">
        <is>
          <t>whitetail</t>
        </is>
      </c>
      <c r="D10641" s="4" t="n">
        <v>2016</v>
      </c>
      <c r="E10641" s="4" t="inlineStr"/>
      <c r="F10641" s="5" t="n"/>
      <c r="G10641" s="5" t="n"/>
      <c r="H10641" s="5" t="n">
        <v>66</v>
      </c>
      <c r="I10641" s="5" t="n">
        <v>45</v>
      </c>
      <c r="J10641" s="5" t="n">
        <v>21</v>
      </c>
      <c r="K10641" s="10">
        <f>IF(F10641&gt;0,H10641/F10641,"")</f>
        <v/>
      </c>
      <c r="L10641" s="16">
        <f>IF(AND(G10641&gt;0,H10641&gt;0),G10641/H10641,"")</f>
        <v/>
      </c>
    </row>
    <row r="10642">
      <c r="A10642" s="4" t="inlineStr">
        <is>
          <t>423</t>
        </is>
      </c>
      <c r="B10642" s="4" t="n">
        <v>4</v>
      </c>
      <c r="C10642" s="4" t="inlineStr">
        <is>
          <t>whitetail</t>
        </is>
      </c>
      <c r="D10642" s="4" t="n">
        <v>2017</v>
      </c>
      <c r="E10642" s="4" t="inlineStr"/>
      <c r="F10642" s="5" t="n">
        <v>450</v>
      </c>
      <c r="G10642" s="5" t="n">
        <v>2336</v>
      </c>
      <c r="H10642" s="5" t="n">
        <v>87</v>
      </c>
      <c r="I10642" s="5" t="n">
        <v>70</v>
      </c>
      <c r="J10642" s="5" t="n">
        <v>17</v>
      </c>
      <c r="K10642" s="10">
        <f>IF(F10642&gt;0,H10642/F10642,"")</f>
        <v/>
      </c>
      <c r="L10642" s="16">
        <f>IF(AND(G10642&gt;0,H10642&gt;0),G10642/H10642,"")</f>
        <v/>
      </c>
    </row>
    <row r="10643">
      <c r="A10643" s="4" t="inlineStr">
        <is>
          <t>423</t>
        </is>
      </c>
      <c r="B10643" s="4" t="n">
        <v>4</v>
      </c>
      <c r="C10643" s="4" t="inlineStr">
        <is>
          <t>whitetail</t>
        </is>
      </c>
      <c r="D10643" s="4" t="n">
        <v>2018</v>
      </c>
      <c r="E10643" s="4" t="inlineStr"/>
      <c r="F10643" s="5" t="n"/>
      <c r="G10643" s="5" t="n"/>
      <c r="H10643" s="5" t="n">
        <v>65</v>
      </c>
      <c r="I10643" s="5" t="n">
        <v>56</v>
      </c>
      <c r="J10643" s="5" t="n">
        <v>9</v>
      </c>
      <c r="K10643" s="10">
        <f>IF(F10643&gt;0,H10643/F10643,"")</f>
        <v/>
      </c>
      <c r="L10643" s="16">
        <f>IF(AND(G10643&gt;0,H10643&gt;0),G10643/H10643,"")</f>
        <v/>
      </c>
    </row>
    <row r="10644">
      <c r="A10644" s="4" t="inlineStr">
        <is>
          <t>423</t>
        </is>
      </c>
      <c r="B10644" s="4" t="n">
        <v>4</v>
      </c>
      <c r="C10644" s="4" t="inlineStr">
        <is>
          <t>whitetail</t>
        </is>
      </c>
      <c r="D10644" s="4" t="n">
        <v>2019</v>
      </c>
      <c r="E10644" s="4" t="inlineStr"/>
      <c r="F10644" s="5" t="n">
        <v>466</v>
      </c>
      <c r="G10644" s="5" t="n">
        <v>2221</v>
      </c>
      <c r="H10644" s="5" t="n">
        <v>90</v>
      </c>
      <c r="I10644" s="5" t="n">
        <v>58</v>
      </c>
      <c r="J10644" s="5" t="n">
        <v>30</v>
      </c>
      <c r="K10644" s="10">
        <f>IF(F10644&gt;0,H10644/F10644,"")</f>
        <v/>
      </c>
      <c r="L10644" s="16">
        <f>IF(AND(G10644&gt;0,H10644&gt;0),G10644/H10644,"")</f>
        <v/>
      </c>
    </row>
    <row r="10645">
      <c r="A10645" s="4" t="inlineStr">
        <is>
          <t>423</t>
        </is>
      </c>
      <c r="B10645" s="4" t="n">
        <v>4</v>
      </c>
      <c r="C10645" s="4" t="inlineStr">
        <is>
          <t>whitetail</t>
        </is>
      </c>
      <c r="D10645" s="4" t="n">
        <v>2020</v>
      </c>
      <c r="E10645" s="4" t="inlineStr"/>
      <c r="F10645" s="5" t="n"/>
      <c r="G10645" s="5" t="n"/>
      <c r="H10645" s="5" t="n">
        <v>146</v>
      </c>
      <c r="I10645" s="5" t="n">
        <v>70</v>
      </c>
      <c r="J10645" s="5" t="n">
        <v>76</v>
      </c>
      <c r="K10645" s="10">
        <f>IF(F10645&gt;0,H10645/F10645,"")</f>
        <v/>
      </c>
      <c r="L10645" s="16">
        <f>IF(AND(G10645&gt;0,H10645&gt;0),G10645/H10645,"")</f>
        <v/>
      </c>
    </row>
    <row r="10646">
      <c r="A10646" s="4" t="inlineStr">
        <is>
          <t>423</t>
        </is>
      </c>
      <c r="B10646" s="4" t="n">
        <v>4</v>
      </c>
      <c r="C10646" s="4" t="inlineStr">
        <is>
          <t>whitetail</t>
        </is>
      </c>
      <c r="D10646" s="4" t="n">
        <v>2021</v>
      </c>
      <c r="E10646" s="4" t="inlineStr"/>
      <c r="F10646" s="5" t="n">
        <v>378</v>
      </c>
      <c r="G10646" s="5" t="n">
        <v>1731</v>
      </c>
      <c r="H10646" s="5" t="n">
        <v>110</v>
      </c>
      <c r="I10646" s="5" t="n">
        <v>80</v>
      </c>
      <c r="J10646" s="5" t="n">
        <v>30</v>
      </c>
      <c r="K10646" s="10">
        <f>IF(F10646&gt;0,H10646/F10646,"")</f>
        <v/>
      </c>
      <c r="L10646" s="16">
        <f>IF(AND(G10646&gt;0,H10646&gt;0),G10646/H10646,"")</f>
        <v/>
      </c>
    </row>
    <row r="10647">
      <c r="A10647" s="4" t="inlineStr">
        <is>
          <t>424</t>
        </is>
      </c>
      <c r="B10647" s="4" t="n">
        <v>4</v>
      </c>
      <c r="C10647" s="4" t="inlineStr">
        <is>
          <t>whitetail</t>
        </is>
      </c>
      <c r="D10647" s="4" t="n">
        <v>2004</v>
      </c>
      <c r="E10647" s="13" t="inlineStr">
        <is>
          <t>General</t>
        </is>
      </c>
      <c r="F10647" s="5" t="n">
        <v>357</v>
      </c>
      <c r="G10647" s="5" t="n">
        <v>1791</v>
      </c>
      <c r="H10647" s="5" t="n">
        <v>99</v>
      </c>
      <c r="I10647" s="5" t="n">
        <v>66</v>
      </c>
      <c r="J10647" s="5" t="n">
        <v>33</v>
      </c>
      <c r="K10647" s="10">
        <f>IF(F10647&gt;0,H10647/F10647,"")</f>
        <v/>
      </c>
      <c r="L10647" s="16">
        <f>IF(AND(G10647&gt;0,H10647&gt;0),G10647/H10647,"")</f>
        <v/>
      </c>
    </row>
    <row r="10648">
      <c r="A10648" s="4" t="inlineStr">
        <is>
          <t>424</t>
        </is>
      </c>
      <c r="B10648" s="4" t="n">
        <v>4</v>
      </c>
      <c r="C10648" s="4" t="inlineStr">
        <is>
          <t>whitetail</t>
        </is>
      </c>
      <c r="D10648" s="4" t="n">
        <v>2005</v>
      </c>
      <c r="E10648" s="13" t="inlineStr">
        <is>
          <t>General</t>
        </is>
      </c>
      <c r="F10648" s="5" t="n">
        <v>222</v>
      </c>
      <c r="G10648" s="5" t="n">
        <v>1261</v>
      </c>
      <c r="H10648" s="5" t="n">
        <v>25</v>
      </c>
      <c r="I10648" s="5" t="n">
        <v>16</v>
      </c>
      <c r="J10648" s="5" t="n">
        <v>9</v>
      </c>
      <c r="K10648" s="10">
        <f>IF(F10648&gt;0,H10648/F10648,"")</f>
        <v/>
      </c>
      <c r="L10648" s="16">
        <f>IF(AND(G10648&gt;0,H10648&gt;0),G10648/H10648,"")</f>
        <v/>
      </c>
    </row>
    <row r="10649">
      <c r="A10649" s="4" t="inlineStr">
        <is>
          <t>424</t>
        </is>
      </c>
      <c r="B10649" s="4" t="n">
        <v>4</v>
      </c>
      <c r="C10649" s="4" t="inlineStr">
        <is>
          <t>whitetail</t>
        </is>
      </c>
      <c r="D10649" s="4" t="n">
        <v>2006</v>
      </c>
      <c r="E10649" s="13" t="inlineStr">
        <is>
          <t>General</t>
        </is>
      </c>
      <c r="F10649" s="5" t="n">
        <v>248</v>
      </c>
      <c r="G10649" s="5" t="n">
        <v>1338</v>
      </c>
      <c r="H10649" s="5" t="n">
        <v>63</v>
      </c>
      <c r="I10649" s="5" t="n">
        <v>30</v>
      </c>
      <c r="J10649" s="5" t="n">
        <v>30</v>
      </c>
      <c r="K10649" s="10">
        <f>IF(F10649&gt;0,H10649/F10649,"")</f>
        <v/>
      </c>
      <c r="L10649" s="16">
        <f>IF(AND(G10649&gt;0,H10649&gt;0),G10649/H10649,"")</f>
        <v/>
      </c>
    </row>
    <row r="10650">
      <c r="A10650" s="4" t="inlineStr">
        <is>
          <t>424</t>
        </is>
      </c>
      <c r="B10650" s="4" t="n">
        <v>4</v>
      </c>
      <c r="C10650" s="4" t="inlineStr">
        <is>
          <t>whitetail</t>
        </is>
      </c>
      <c r="D10650" s="4" t="n">
        <v>2007</v>
      </c>
      <c r="E10650" s="13" t="inlineStr">
        <is>
          <t>General</t>
        </is>
      </c>
      <c r="F10650" s="5" t="n">
        <v>267</v>
      </c>
      <c r="G10650" s="5" t="n">
        <v>1477</v>
      </c>
      <c r="H10650" s="5" t="n">
        <v>55</v>
      </c>
      <c r="I10650" s="5" t="n">
        <v>28</v>
      </c>
      <c r="J10650" s="5" t="n">
        <v>22</v>
      </c>
      <c r="K10650" s="10">
        <f>IF(F10650&gt;0,H10650/F10650,"")</f>
        <v/>
      </c>
      <c r="L10650" s="16">
        <f>IF(AND(G10650&gt;0,H10650&gt;0),G10650/H10650,"")</f>
        <v/>
      </c>
    </row>
    <row r="10651">
      <c r="A10651" s="4" t="inlineStr">
        <is>
          <t>424</t>
        </is>
      </c>
      <c r="B10651" s="4" t="n">
        <v>4</v>
      </c>
      <c r="C10651" s="4" t="inlineStr">
        <is>
          <t>whitetail</t>
        </is>
      </c>
      <c r="D10651" s="4" t="n">
        <v>2008</v>
      </c>
      <c r="E10651" s="13" t="inlineStr">
        <is>
          <t>General</t>
        </is>
      </c>
      <c r="F10651" s="5" t="n">
        <v>288</v>
      </c>
      <c r="G10651" s="5" t="n">
        <v>1794</v>
      </c>
      <c r="H10651" s="5" t="n">
        <v>48</v>
      </c>
      <c r="I10651" s="5" t="n">
        <v>27</v>
      </c>
      <c r="J10651" s="5" t="n">
        <v>22</v>
      </c>
      <c r="K10651" s="10">
        <f>IF(F10651&gt;0,H10651/F10651,"")</f>
        <v/>
      </c>
      <c r="L10651" s="16">
        <f>IF(AND(G10651&gt;0,H10651&gt;0),G10651/H10651,"")</f>
        <v/>
      </c>
    </row>
    <row r="10652">
      <c r="A10652" s="4" t="inlineStr">
        <is>
          <t>424</t>
        </is>
      </c>
      <c r="B10652" s="4" t="n">
        <v>4</v>
      </c>
      <c r="C10652" s="4" t="inlineStr">
        <is>
          <t>whitetail</t>
        </is>
      </c>
      <c r="D10652" s="4" t="n">
        <v>2009</v>
      </c>
      <c r="E10652" s="13" t="inlineStr">
        <is>
          <t>General</t>
        </is>
      </c>
      <c r="F10652" s="5" t="n">
        <v>225</v>
      </c>
      <c r="G10652" s="5" t="n">
        <v>1230</v>
      </c>
      <c r="H10652" s="5" t="n">
        <v>33</v>
      </c>
      <c r="I10652" s="5" t="n">
        <v>18</v>
      </c>
      <c r="J10652" s="5" t="n">
        <v>15</v>
      </c>
      <c r="K10652" s="10">
        <f>IF(F10652&gt;0,H10652/F10652,"")</f>
        <v/>
      </c>
      <c r="L10652" s="16">
        <f>IF(AND(G10652&gt;0,H10652&gt;0),G10652/H10652,"")</f>
        <v/>
      </c>
    </row>
    <row r="10653">
      <c r="A10653" s="4" t="inlineStr">
        <is>
          <t>424</t>
        </is>
      </c>
      <c r="B10653" s="4" t="n">
        <v>4</v>
      </c>
      <c r="C10653" s="4" t="inlineStr">
        <is>
          <t>whitetail</t>
        </is>
      </c>
      <c r="D10653" s="4" t="n">
        <v>2010</v>
      </c>
      <c r="E10653" s="13" t="inlineStr">
        <is>
          <t>General</t>
        </is>
      </c>
      <c r="F10653" s="5" t="n">
        <v>273</v>
      </c>
      <c r="G10653" s="5" t="n">
        <v>1525</v>
      </c>
      <c r="H10653" s="5" t="n">
        <v>51</v>
      </c>
      <c r="I10653" s="5" t="n">
        <v>34</v>
      </c>
      <c r="J10653" s="5" t="n">
        <v>17</v>
      </c>
      <c r="K10653" s="10">
        <f>IF(F10653&gt;0,H10653/F10653,"")</f>
        <v/>
      </c>
      <c r="L10653" s="16">
        <f>IF(AND(G10653&gt;0,H10653&gt;0),G10653/H10653,"")</f>
        <v/>
      </c>
    </row>
    <row r="10654">
      <c r="A10654" s="4" t="inlineStr">
        <is>
          <t>424</t>
        </is>
      </c>
      <c r="B10654" s="4" t="n">
        <v>4</v>
      </c>
      <c r="C10654" s="4" t="inlineStr">
        <is>
          <t>whitetail</t>
        </is>
      </c>
      <c r="D10654" s="4" t="n">
        <v>2011</v>
      </c>
      <c r="E10654" s="13" t="inlineStr">
        <is>
          <t>General</t>
        </is>
      </c>
      <c r="F10654" s="5" t="n">
        <v>255</v>
      </c>
      <c r="G10654" s="5" t="n">
        <v>1497</v>
      </c>
      <c r="H10654" s="5" t="n">
        <v>25</v>
      </c>
      <c r="I10654" s="5" t="n">
        <v>19</v>
      </c>
      <c r="J10654" s="5" t="n">
        <v>3</v>
      </c>
      <c r="K10654" s="10">
        <f>IF(F10654&gt;0,H10654/F10654,"")</f>
        <v/>
      </c>
      <c r="L10654" s="16">
        <f>IF(AND(G10654&gt;0,H10654&gt;0),G10654/H10654,"")</f>
        <v/>
      </c>
    </row>
    <row r="10655">
      <c r="A10655" s="4" t="inlineStr">
        <is>
          <t>424</t>
        </is>
      </c>
      <c r="B10655" s="4" t="n">
        <v>4</v>
      </c>
      <c r="C10655" s="4" t="inlineStr">
        <is>
          <t>whitetail</t>
        </is>
      </c>
      <c r="D10655" s="4" t="n">
        <v>2012</v>
      </c>
      <c r="E10655" s="13" t="inlineStr">
        <is>
          <t>General</t>
        </is>
      </c>
      <c r="F10655" s="5" t="n"/>
      <c r="G10655" s="5" t="n"/>
      <c r="H10655" s="5" t="n">
        <v>21</v>
      </c>
      <c r="I10655" s="5" t="n">
        <v>14</v>
      </c>
      <c r="J10655" s="5" t="n">
        <v>7</v>
      </c>
      <c r="K10655" s="10">
        <f>IF(F10655&gt;0,H10655/F10655,"")</f>
        <v/>
      </c>
      <c r="L10655" s="16">
        <f>IF(AND(G10655&gt;0,H10655&gt;0),G10655/H10655,"")</f>
        <v/>
      </c>
    </row>
    <row r="10656">
      <c r="A10656" s="4" t="inlineStr">
        <is>
          <t>424</t>
        </is>
      </c>
      <c r="B10656" s="4" t="n">
        <v>4</v>
      </c>
      <c r="C10656" s="4" t="inlineStr">
        <is>
          <t>whitetail</t>
        </is>
      </c>
      <c r="D10656" s="4" t="n">
        <v>2013</v>
      </c>
      <c r="E10656" s="13" t="inlineStr">
        <is>
          <t>General</t>
        </is>
      </c>
      <c r="F10656" s="5" t="n">
        <v>240</v>
      </c>
      <c r="G10656" s="5" t="n">
        <v>1441</v>
      </c>
      <c r="H10656" s="5" t="n">
        <v>31</v>
      </c>
      <c r="I10656" s="5" t="n">
        <v>9</v>
      </c>
      <c r="J10656" s="5" t="n">
        <v>20</v>
      </c>
      <c r="K10656" s="10">
        <f>IF(F10656&gt;0,H10656/F10656,"")</f>
        <v/>
      </c>
      <c r="L10656" s="16">
        <f>IF(AND(G10656&gt;0,H10656&gt;0),G10656/H10656,"")</f>
        <v/>
      </c>
    </row>
    <row r="10657">
      <c r="A10657" s="4" t="inlineStr">
        <is>
          <t>424</t>
        </is>
      </c>
      <c r="B10657" s="4" t="n">
        <v>4</v>
      </c>
      <c r="C10657" s="4" t="inlineStr">
        <is>
          <t>whitetail</t>
        </is>
      </c>
      <c r="D10657" s="4" t="n">
        <v>2014</v>
      </c>
      <c r="E10657" s="13" t="inlineStr">
        <is>
          <t>General</t>
        </is>
      </c>
      <c r="F10657" s="5" t="n"/>
      <c r="G10657" s="5" t="n"/>
      <c r="H10657" s="5" t="n">
        <v>20</v>
      </c>
      <c r="I10657" s="5" t="n">
        <v>20</v>
      </c>
      <c r="J10657" s="5" t="n">
        <v>0</v>
      </c>
      <c r="K10657" s="10">
        <f>IF(F10657&gt;0,H10657/F10657,"")</f>
        <v/>
      </c>
      <c r="L10657" s="16">
        <f>IF(AND(G10657&gt;0,H10657&gt;0),G10657/H10657,"")</f>
        <v/>
      </c>
    </row>
    <row r="10658">
      <c r="A10658" s="4" t="inlineStr">
        <is>
          <t>424</t>
        </is>
      </c>
      <c r="B10658" s="4" t="n">
        <v>4</v>
      </c>
      <c r="C10658" s="4" t="inlineStr">
        <is>
          <t>whitetail</t>
        </is>
      </c>
      <c r="D10658" s="4" t="n">
        <v>2015</v>
      </c>
      <c r="E10658" s="13" t="inlineStr">
        <is>
          <t>General</t>
        </is>
      </c>
      <c r="F10658" s="5" t="n"/>
      <c r="G10658" s="5" t="n"/>
      <c r="H10658" s="5" t="n">
        <v>17</v>
      </c>
      <c r="I10658" s="5" t="n">
        <v>17</v>
      </c>
      <c r="J10658" s="5" t="n">
        <v>0</v>
      </c>
      <c r="K10658" s="10">
        <f>IF(F10658&gt;0,H10658/F10658,"")</f>
        <v/>
      </c>
      <c r="L10658" s="16">
        <f>IF(AND(G10658&gt;0,H10658&gt;0),G10658/H10658,"")</f>
        <v/>
      </c>
    </row>
    <row r="10659">
      <c r="A10659" s="4" t="inlineStr">
        <is>
          <t>424</t>
        </is>
      </c>
      <c r="B10659" s="4" t="n">
        <v>4</v>
      </c>
      <c r="C10659" s="4" t="inlineStr">
        <is>
          <t>whitetail</t>
        </is>
      </c>
      <c r="D10659" s="4" t="n">
        <v>2016</v>
      </c>
      <c r="E10659" s="13" t="inlineStr">
        <is>
          <t>General</t>
        </is>
      </c>
      <c r="F10659" s="5" t="n"/>
      <c r="G10659" s="5" t="n"/>
      <c r="H10659" s="5" t="n">
        <v>27</v>
      </c>
      <c r="I10659" s="5" t="n">
        <v>24</v>
      </c>
      <c r="J10659" s="5" t="n">
        <v>3</v>
      </c>
      <c r="K10659" s="10">
        <f>IF(F10659&gt;0,H10659/F10659,"")</f>
        <v/>
      </c>
      <c r="L10659" s="16">
        <f>IF(AND(G10659&gt;0,H10659&gt;0),G10659/H10659,"")</f>
        <v/>
      </c>
    </row>
    <row r="10660">
      <c r="A10660" s="4" t="inlineStr">
        <is>
          <t>424</t>
        </is>
      </c>
      <c r="B10660" s="4" t="n">
        <v>4</v>
      </c>
      <c r="C10660" s="4" t="inlineStr">
        <is>
          <t>whitetail</t>
        </is>
      </c>
      <c r="D10660" s="4" t="n">
        <v>2017</v>
      </c>
      <c r="E10660" s="13" t="inlineStr">
        <is>
          <t>General</t>
        </is>
      </c>
      <c r="F10660" s="5" t="n">
        <v>163</v>
      </c>
      <c r="G10660" s="5" t="n">
        <v>911</v>
      </c>
      <c r="H10660" s="5" t="n">
        <v>12</v>
      </c>
      <c r="I10660" s="5" t="n">
        <v>6</v>
      </c>
      <c r="J10660" s="5" t="n">
        <v>6</v>
      </c>
      <c r="K10660" s="10">
        <f>IF(F10660&gt;0,H10660/F10660,"")</f>
        <v/>
      </c>
      <c r="L10660" s="16">
        <f>IF(AND(G10660&gt;0,H10660&gt;0),G10660/H10660,"")</f>
        <v/>
      </c>
    </row>
    <row r="10661">
      <c r="A10661" s="4" t="inlineStr">
        <is>
          <t>424</t>
        </is>
      </c>
      <c r="B10661" s="4" t="n">
        <v>4</v>
      </c>
      <c r="C10661" s="4" t="inlineStr">
        <is>
          <t>whitetail</t>
        </is>
      </c>
      <c r="D10661" s="4" t="n">
        <v>2018</v>
      </c>
      <c r="E10661" s="13" t="inlineStr">
        <is>
          <t>General</t>
        </is>
      </c>
      <c r="F10661" s="5" t="n"/>
      <c r="G10661" s="5" t="n"/>
      <c r="H10661" s="5" t="n">
        <v>13</v>
      </c>
      <c r="I10661" s="5" t="n">
        <v>10</v>
      </c>
      <c r="J10661" s="5" t="n">
        <v>3</v>
      </c>
      <c r="K10661" s="10">
        <f>IF(F10661&gt;0,H10661/F10661,"")</f>
        <v/>
      </c>
      <c r="L10661" s="16">
        <f>IF(AND(G10661&gt;0,H10661&gt;0),G10661/H10661,"")</f>
        <v/>
      </c>
    </row>
    <row r="10662">
      <c r="A10662" s="4" t="inlineStr">
        <is>
          <t>424</t>
        </is>
      </c>
      <c r="B10662" s="4" t="n">
        <v>4</v>
      </c>
      <c r="C10662" s="4" t="inlineStr">
        <is>
          <t>whitetail</t>
        </is>
      </c>
      <c r="D10662" s="4" t="n">
        <v>2019</v>
      </c>
      <c r="E10662" s="13" t="inlineStr">
        <is>
          <t>General</t>
        </is>
      </c>
      <c r="F10662" s="5" t="n">
        <v>134</v>
      </c>
      <c r="G10662" s="5" t="n">
        <v>800</v>
      </c>
      <c r="H10662" s="5" t="n">
        <v>17</v>
      </c>
      <c r="I10662" s="5" t="n">
        <v>10</v>
      </c>
      <c r="J10662" s="5" t="n">
        <v>7</v>
      </c>
      <c r="K10662" s="10">
        <f>IF(F10662&gt;0,H10662/F10662,"")</f>
        <v/>
      </c>
      <c r="L10662" s="16">
        <f>IF(AND(G10662&gt;0,H10662&gt;0),G10662/H10662,"")</f>
        <v/>
      </c>
    </row>
    <row r="10663">
      <c r="A10663" s="4" t="inlineStr">
        <is>
          <t>424</t>
        </is>
      </c>
      <c r="B10663" s="4" t="n">
        <v>4</v>
      </c>
      <c r="C10663" s="4" t="inlineStr">
        <is>
          <t>whitetail</t>
        </is>
      </c>
      <c r="D10663" s="4" t="n">
        <v>2020</v>
      </c>
      <c r="E10663" s="13" t="inlineStr">
        <is>
          <t>General</t>
        </is>
      </c>
      <c r="F10663" s="5" t="n"/>
      <c r="G10663" s="5" t="n"/>
      <c r="H10663" s="5" t="n">
        <v>14</v>
      </c>
      <c r="I10663" s="5" t="n">
        <v>3</v>
      </c>
      <c r="J10663" s="5" t="n">
        <v>11</v>
      </c>
      <c r="K10663" s="10">
        <f>IF(F10663&gt;0,H10663/F10663,"")</f>
        <v/>
      </c>
      <c r="L10663" s="16">
        <f>IF(AND(G10663&gt;0,H10663&gt;0),G10663/H10663,"")</f>
        <v/>
      </c>
    </row>
    <row r="10664">
      <c r="A10664" s="4" t="inlineStr">
        <is>
          <t>424</t>
        </is>
      </c>
      <c r="B10664" s="4" t="n">
        <v>4</v>
      </c>
      <c r="C10664" s="4" t="inlineStr">
        <is>
          <t>whitetail</t>
        </is>
      </c>
      <c r="D10664" s="4" t="n">
        <v>2021</v>
      </c>
      <c r="E10664" s="13" t="inlineStr">
        <is>
          <t>General</t>
        </is>
      </c>
      <c r="F10664" s="5" t="n">
        <v>175</v>
      </c>
      <c r="G10664" s="5" t="n">
        <v>1273</v>
      </c>
      <c r="H10664" s="5" t="n">
        <v>12</v>
      </c>
      <c r="I10664" s="5" t="n">
        <v>8</v>
      </c>
      <c r="J10664" s="5" t="n">
        <v>4</v>
      </c>
      <c r="K10664" s="10">
        <f>IF(F10664&gt;0,H10664/F10664,"")</f>
        <v/>
      </c>
      <c r="L10664" s="16">
        <f>IF(AND(G10664&gt;0,H10664&gt;0),G10664/H10664,"")</f>
        <v/>
      </c>
    </row>
    <row r="10665">
      <c r="A10665" s="4" t="inlineStr">
        <is>
          <t>424</t>
        </is>
      </c>
      <c r="B10665" s="4" t="n">
        <v>4</v>
      </c>
      <c r="C10665" s="4" t="inlineStr">
        <is>
          <t>whitetail</t>
        </is>
      </c>
      <c r="D10665" s="4" t="n">
        <v>2022</v>
      </c>
      <c r="E10665" s="13" t="inlineStr">
        <is>
          <t>General</t>
        </is>
      </c>
      <c r="F10665" s="5" t="n"/>
      <c r="G10665" s="5" t="n"/>
      <c r="H10665" s="5" t="n">
        <v>23</v>
      </c>
      <c r="I10665" s="5" t="n">
        <v>13</v>
      </c>
      <c r="J10665" s="5" t="n">
        <v>9</v>
      </c>
      <c r="K10665" s="10">
        <f>IF(F10665&gt;0,H10665/F10665,"")</f>
        <v/>
      </c>
      <c r="L10665" s="16">
        <f>IF(AND(G10665&gt;0,H10665&gt;0),G10665/H10665,"")</f>
        <v/>
      </c>
    </row>
    <row r="10666">
      <c r="A10666" s="4" t="inlineStr">
        <is>
          <t>424</t>
        </is>
      </c>
      <c r="B10666" s="4" t="n">
        <v>4</v>
      </c>
      <c r="C10666" s="4" t="inlineStr">
        <is>
          <t>whitetail</t>
        </is>
      </c>
      <c r="D10666" s="4" t="n">
        <v>2023</v>
      </c>
      <c r="E10666" s="13" t="inlineStr">
        <is>
          <t>General</t>
        </is>
      </c>
      <c r="F10666" s="5" t="n">
        <v>168</v>
      </c>
      <c r="G10666" s="5" t="n">
        <v>861</v>
      </c>
      <c r="H10666" s="5" t="n">
        <v>7</v>
      </c>
      <c r="I10666" s="5" t="n">
        <v>7</v>
      </c>
      <c r="J10666" s="5" t="n">
        <v>0</v>
      </c>
      <c r="K10666" s="10">
        <f>IF(F10666&gt;0,H10666/F10666,"")</f>
        <v/>
      </c>
      <c r="L10666" s="16">
        <f>IF(AND(G10666&gt;0,H10666&gt;0),G10666/H10666,"")</f>
        <v/>
      </c>
    </row>
    <row r="10667">
      <c r="A10667" s="4" t="inlineStr">
        <is>
          <t>424</t>
        </is>
      </c>
      <c r="B10667" s="4" t="n">
        <v>4</v>
      </c>
      <c r="C10667" s="4" t="inlineStr">
        <is>
          <t>whitetail</t>
        </is>
      </c>
      <c r="D10667" s="4" t="n">
        <v>2024</v>
      </c>
      <c r="E10667" s="13" t="inlineStr">
        <is>
          <t>General</t>
        </is>
      </c>
      <c r="F10667" s="5" t="n"/>
      <c r="G10667" s="5" t="n"/>
      <c r="H10667" s="5" t="n">
        <v>15</v>
      </c>
      <c r="I10667" s="5" t="n">
        <v>3</v>
      </c>
      <c r="J10667" s="5" t="n">
        <v>12</v>
      </c>
      <c r="K10667" s="10">
        <f>IF(F10667&gt;0,H10667/F10667,"")</f>
        <v/>
      </c>
      <c r="L10667" s="16">
        <f>IF(AND(G10667&gt;0,H10667&gt;0),G10667/H10667,"")</f>
        <v/>
      </c>
    </row>
    <row r="10668">
      <c r="A10668" s="4" t="inlineStr">
        <is>
          <t>424</t>
        </is>
      </c>
      <c r="B10668" s="4" t="n">
        <v>4</v>
      </c>
      <c r="C10668" s="4" t="inlineStr">
        <is>
          <t>whitetail</t>
        </is>
      </c>
      <c r="D10668" s="4" t="n">
        <v>2025</v>
      </c>
      <c r="E10668" s="13" t="inlineStr">
        <is>
          <t>General</t>
        </is>
      </c>
      <c r="F10668" s="5" t="n">
        <v>217</v>
      </c>
      <c r="G10668" s="5" t="n">
        <v>1328</v>
      </c>
      <c r="H10668" s="5" t="n">
        <v>62</v>
      </c>
      <c r="I10668" s="5" t="n">
        <v>21</v>
      </c>
      <c r="J10668" s="5" t="n">
        <v>41</v>
      </c>
      <c r="K10668" s="10">
        <f>IF(F10668&gt;0,H10668/F10668,"")</f>
        <v/>
      </c>
      <c r="L10668" s="16">
        <f>IF(AND(G10668&gt;0,H10668&gt;0),G10668/H10668,"")</f>
        <v/>
      </c>
    </row>
    <row r="10669">
      <c r="A10669" s="4" t="inlineStr">
        <is>
          <t>425</t>
        </is>
      </c>
      <c r="B10669" s="4" t="n">
        <v>4</v>
      </c>
      <c r="C10669" s="4" t="inlineStr">
        <is>
          <t>whitetail</t>
        </is>
      </c>
      <c r="D10669" s="4" t="n">
        <v>2004</v>
      </c>
      <c r="E10669" s="13" t="inlineStr">
        <is>
          <t>General</t>
        </is>
      </c>
      <c r="F10669" s="5" t="n">
        <v>312</v>
      </c>
      <c r="G10669" s="5" t="n">
        <v>1411</v>
      </c>
      <c r="H10669" s="5" t="n">
        <v>40</v>
      </c>
      <c r="I10669" s="5" t="n">
        <v>32</v>
      </c>
      <c r="J10669" s="5" t="n">
        <v>8</v>
      </c>
      <c r="K10669" s="10">
        <f>IF(F10669&gt;0,H10669/F10669,"")</f>
        <v/>
      </c>
      <c r="L10669" s="16">
        <f>IF(AND(G10669&gt;0,H10669&gt;0),G10669/H10669,"")</f>
        <v/>
      </c>
    </row>
    <row r="10670">
      <c r="A10670" s="4" t="inlineStr">
        <is>
          <t>425</t>
        </is>
      </c>
      <c r="B10670" s="4" t="n">
        <v>4</v>
      </c>
      <c r="C10670" s="4" t="inlineStr">
        <is>
          <t>whitetail</t>
        </is>
      </c>
      <c r="D10670" s="4" t="n">
        <v>2005</v>
      </c>
      <c r="E10670" s="13" t="inlineStr">
        <is>
          <t>General</t>
        </is>
      </c>
      <c r="F10670" s="5" t="n">
        <v>339</v>
      </c>
      <c r="G10670" s="5" t="n">
        <v>1562</v>
      </c>
      <c r="H10670" s="5" t="n">
        <v>71</v>
      </c>
      <c r="I10670" s="5" t="n">
        <v>51</v>
      </c>
      <c r="J10670" s="5" t="n">
        <v>19</v>
      </c>
      <c r="K10670" s="10">
        <f>IF(F10670&gt;0,H10670/F10670,"")</f>
        <v/>
      </c>
      <c r="L10670" s="16">
        <f>IF(AND(G10670&gt;0,H10670&gt;0),G10670/H10670,"")</f>
        <v/>
      </c>
    </row>
    <row r="10671">
      <c r="A10671" s="4" t="inlineStr">
        <is>
          <t>425</t>
        </is>
      </c>
      <c r="B10671" s="4" t="n">
        <v>4</v>
      </c>
      <c r="C10671" s="4" t="inlineStr">
        <is>
          <t>whitetail</t>
        </is>
      </c>
      <c r="D10671" s="4" t="n">
        <v>2006</v>
      </c>
      <c r="E10671" s="13" t="inlineStr">
        <is>
          <t>General</t>
        </is>
      </c>
      <c r="F10671" s="5" t="n">
        <v>446</v>
      </c>
      <c r="G10671" s="5" t="n">
        <v>1973</v>
      </c>
      <c r="H10671" s="5" t="n">
        <v>99</v>
      </c>
      <c r="I10671" s="5" t="n">
        <v>73</v>
      </c>
      <c r="J10671" s="5" t="n">
        <v>26</v>
      </c>
      <c r="K10671" s="10">
        <f>IF(F10671&gt;0,H10671/F10671,"")</f>
        <v/>
      </c>
      <c r="L10671" s="16">
        <f>IF(AND(G10671&gt;0,H10671&gt;0),G10671/H10671,"")</f>
        <v/>
      </c>
    </row>
    <row r="10672">
      <c r="A10672" s="4" t="inlineStr">
        <is>
          <t>425</t>
        </is>
      </c>
      <c r="B10672" s="4" t="n">
        <v>4</v>
      </c>
      <c r="C10672" s="4" t="inlineStr">
        <is>
          <t>whitetail</t>
        </is>
      </c>
      <c r="D10672" s="4" t="n">
        <v>2007</v>
      </c>
      <c r="E10672" s="13" t="inlineStr">
        <is>
          <t>General</t>
        </is>
      </c>
      <c r="F10672" s="5" t="n">
        <v>501</v>
      </c>
      <c r="G10672" s="5" t="n">
        <v>2296</v>
      </c>
      <c r="H10672" s="5" t="n">
        <v>49</v>
      </c>
      <c r="I10672" s="5" t="n">
        <v>27</v>
      </c>
      <c r="J10672" s="5" t="n">
        <v>18</v>
      </c>
      <c r="K10672" s="10">
        <f>IF(F10672&gt;0,H10672/F10672,"")</f>
        <v/>
      </c>
      <c r="L10672" s="16">
        <f>IF(AND(G10672&gt;0,H10672&gt;0),G10672/H10672,"")</f>
        <v/>
      </c>
    </row>
    <row r="10673">
      <c r="A10673" s="4" t="inlineStr">
        <is>
          <t>425</t>
        </is>
      </c>
      <c r="B10673" s="4" t="n">
        <v>4</v>
      </c>
      <c r="C10673" s="4" t="inlineStr">
        <is>
          <t>whitetail</t>
        </is>
      </c>
      <c r="D10673" s="4" t="n">
        <v>2008</v>
      </c>
      <c r="E10673" s="13" t="inlineStr">
        <is>
          <t>General</t>
        </is>
      </c>
      <c r="F10673" s="5" t="n">
        <v>486</v>
      </c>
      <c r="G10673" s="5" t="n">
        <v>1971</v>
      </c>
      <c r="H10673" s="5" t="n">
        <v>89</v>
      </c>
      <c r="I10673" s="5" t="n">
        <v>63</v>
      </c>
      <c r="J10673" s="5" t="n">
        <v>20</v>
      </c>
      <c r="K10673" s="10">
        <f>IF(F10673&gt;0,H10673/F10673,"")</f>
        <v/>
      </c>
      <c r="L10673" s="16">
        <f>IF(AND(G10673&gt;0,H10673&gt;0),G10673/H10673,"")</f>
        <v/>
      </c>
    </row>
    <row r="10674">
      <c r="A10674" s="4" t="inlineStr">
        <is>
          <t>425</t>
        </is>
      </c>
      <c r="B10674" s="4" t="n">
        <v>4</v>
      </c>
      <c r="C10674" s="4" t="inlineStr">
        <is>
          <t>whitetail</t>
        </is>
      </c>
      <c r="D10674" s="4" t="n">
        <v>2009</v>
      </c>
      <c r="E10674" s="13" t="inlineStr">
        <is>
          <t>General</t>
        </is>
      </c>
      <c r="F10674" s="5" t="n">
        <v>378</v>
      </c>
      <c r="G10674" s="5" t="n">
        <v>2023</v>
      </c>
      <c r="H10674" s="5" t="n">
        <v>89</v>
      </c>
      <c r="I10674" s="5" t="n">
        <v>58</v>
      </c>
      <c r="J10674" s="5" t="n">
        <v>31</v>
      </c>
      <c r="K10674" s="10">
        <f>IF(F10674&gt;0,H10674/F10674,"")</f>
        <v/>
      </c>
      <c r="L10674" s="16">
        <f>IF(AND(G10674&gt;0,H10674&gt;0),G10674/H10674,"")</f>
        <v/>
      </c>
    </row>
    <row r="10675">
      <c r="A10675" s="4" t="inlineStr">
        <is>
          <t>425</t>
        </is>
      </c>
      <c r="B10675" s="4" t="n">
        <v>4</v>
      </c>
      <c r="C10675" s="4" t="inlineStr">
        <is>
          <t>whitetail</t>
        </is>
      </c>
      <c r="D10675" s="4" t="n">
        <v>2010</v>
      </c>
      <c r="E10675" s="13" t="inlineStr">
        <is>
          <t>General</t>
        </is>
      </c>
      <c r="F10675" s="5" t="n">
        <v>600</v>
      </c>
      <c r="G10675" s="5" t="n">
        <v>2527</v>
      </c>
      <c r="H10675" s="5" t="n">
        <v>115</v>
      </c>
      <c r="I10675" s="5" t="n">
        <v>62</v>
      </c>
      <c r="J10675" s="5" t="n">
        <v>51</v>
      </c>
      <c r="K10675" s="10">
        <f>IF(F10675&gt;0,H10675/F10675,"")</f>
        <v/>
      </c>
      <c r="L10675" s="16">
        <f>IF(AND(G10675&gt;0,H10675&gt;0),G10675/H10675,"")</f>
        <v/>
      </c>
    </row>
    <row r="10676">
      <c r="A10676" s="4" t="inlineStr">
        <is>
          <t>425</t>
        </is>
      </c>
      <c r="B10676" s="4" t="n">
        <v>4</v>
      </c>
      <c r="C10676" s="4" t="inlineStr">
        <is>
          <t>whitetail</t>
        </is>
      </c>
      <c r="D10676" s="4" t="n">
        <v>2011</v>
      </c>
      <c r="E10676" s="13" t="inlineStr">
        <is>
          <t>General</t>
        </is>
      </c>
      <c r="F10676" s="5" t="n">
        <v>666</v>
      </c>
      <c r="G10676" s="5" t="n">
        <v>3159</v>
      </c>
      <c r="H10676" s="5" t="n">
        <v>123</v>
      </c>
      <c r="I10676" s="5" t="n">
        <v>70</v>
      </c>
      <c r="J10676" s="5" t="n">
        <v>50</v>
      </c>
      <c r="K10676" s="10">
        <f>IF(F10676&gt;0,H10676/F10676,"")</f>
        <v/>
      </c>
      <c r="L10676" s="16">
        <f>IF(AND(G10676&gt;0,H10676&gt;0),G10676/H10676,"")</f>
        <v/>
      </c>
    </row>
    <row r="10677">
      <c r="A10677" s="4" t="inlineStr">
        <is>
          <t>425</t>
        </is>
      </c>
      <c r="B10677" s="4" t="n">
        <v>4</v>
      </c>
      <c r="C10677" s="4" t="inlineStr">
        <is>
          <t>whitetail</t>
        </is>
      </c>
      <c r="D10677" s="4" t="n">
        <v>2012</v>
      </c>
      <c r="E10677" s="13" t="inlineStr">
        <is>
          <t>General</t>
        </is>
      </c>
      <c r="F10677" s="5" t="n"/>
      <c r="G10677" s="5" t="n"/>
      <c r="H10677" s="5" t="n">
        <v>110</v>
      </c>
      <c r="I10677" s="5" t="n">
        <v>50</v>
      </c>
      <c r="J10677" s="5" t="n">
        <v>57</v>
      </c>
      <c r="K10677" s="10">
        <f>IF(F10677&gt;0,H10677/F10677,"")</f>
        <v/>
      </c>
      <c r="L10677" s="16">
        <f>IF(AND(G10677&gt;0,H10677&gt;0),G10677/H10677,"")</f>
        <v/>
      </c>
    </row>
    <row r="10678">
      <c r="A10678" s="4" t="inlineStr">
        <is>
          <t>425</t>
        </is>
      </c>
      <c r="B10678" s="4" t="n">
        <v>4</v>
      </c>
      <c r="C10678" s="4" t="inlineStr">
        <is>
          <t>whitetail</t>
        </is>
      </c>
      <c r="D10678" s="4" t="n">
        <v>2013</v>
      </c>
      <c r="E10678" s="13" t="inlineStr">
        <is>
          <t>General</t>
        </is>
      </c>
      <c r="F10678" s="5" t="n">
        <v>639</v>
      </c>
      <c r="G10678" s="5" t="n">
        <v>3039</v>
      </c>
      <c r="H10678" s="5" t="n">
        <v>45</v>
      </c>
      <c r="I10678" s="5" t="n">
        <v>34</v>
      </c>
      <c r="J10678" s="5" t="n">
        <v>11</v>
      </c>
      <c r="K10678" s="10">
        <f>IF(F10678&gt;0,H10678/F10678,"")</f>
        <v/>
      </c>
      <c r="L10678" s="16">
        <f>IF(AND(G10678&gt;0,H10678&gt;0),G10678/H10678,"")</f>
        <v/>
      </c>
    </row>
    <row r="10679">
      <c r="A10679" s="4" t="inlineStr">
        <is>
          <t>425</t>
        </is>
      </c>
      <c r="B10679" s="4" t="n">
        <v>4</v>
      </c>
      <c r="C10679" s="4" t="inlineStr">
        <is>
          <t>whitetail</t>
        </is>
      </c>
      <c r="D10679" s="4" t="n">
        <v>2014</v>
      </c>
      <c r="E10679" s="13" t="inlineStr">
        <is>
          <t>General</t>
        </is>
      </c>
      <c r="F10679" s="5" t="n"/>
      <c r="G10679" s="5" t="n"/>
      <c r="H10679" s="5" t="n">
        <v>84</v>
      </c>
      <c r="I10679" s="5" t="n">
        <v>68</v>
      </c>
      <c r="J10679" s="5" t="n">
        <v>17</v>
      </c>
      <c r="K10679" s="10">
        <f>IF(F10679&gt;0,H10679/F10679,"")</f>
        <v/>
      </c>
      <c r="L10679" s="16">
        <f>IF(AND(G10679&gt;0,H10679&gt;0),G10679/H10679,"")</f>
        <v/>
      </c>
    </row>
    <row r="10680">
      <c r="A10680" s="4" t="inlineStr">
        <is>
          <t>425</t>
        </is>
      </c>
      <c r="B10680" s="4" t="n">
        <v>4</v>
      </c>
      <c r="C10680" s="4" t="inlineStr">
        <is>
          <t>whitetail</t>
        </is>
      </c>
      <c r="D10680" s="4" t="n">
        <v>2015</v>
      </c>
      <c r="E10680" s="13" t="inlineStr">
        <is>
          <t>General</t>
        </is>
      </c>
      <c r="F10680" s="5" t="n"/>
      <c r="G10680" s="5" t="n"/>
      <c r="H10680" s="5" t="n">
        <v>67</v>
      </c>
      <c r="I10680" s="5" t="n">
        <v>56</v>
      </c>
      <c r="J10680" s="5" t="n">
        <v>12</v>
      </c>
      <c r="K10680" s="10">
        <f>IF(F10680&gt;0,H10680/F10680,"")</f>
        <v/>
      </c>
      <c r="L10680" s="16">
        <f>IF(AND(G10680&gt;0,H10680&gt;0),G10680/H10680,"")</f>
        <v/>
      </c>
    </row>
    <row r="10681">
      <c r="A10681" s="4" t="inlineStr">
        <is>
          <t>425</t>
        </is>
      </c>
      <c r="B10681" s="4" t="n">
        <v>4</v>
      </c>
      <c r="C10681" s="4" t="inlineStr">
        <is>
          <t>whitetail</t>
        </is>
      </c>
      <c r="D10681" s="4" t="n">
        <v>2016</v>
      </c>
      <c r="E10681" s="13" t="inlineStr">
        <is>
          <t>General</t>
        </is>
      </c>
      <c r="F10681" s="5" t="n"/>
      <c r="G10681" s="5" t="n"/>
      <c r="H10681" s="5" t="n">
        <v>96</v>
      </c>
      <c r="I10681" s="5" t="n">
        <v>75</v>
      </c>
      <c r="J10681" s="5" t="n">
        <v>21</v>
      </c>
      <c r="K10681" s="10">
        <f>IF(F10681&gt;0,H10681/F10681,"")</f>
        <v/>
      </c>
      <c r="L10681" s="16">
        <f>IF(AND(G10681&gt;0,H10681&gt;0),G10681/H10681,"")</f>
        <v/>
      </c>
    </row>
    <row r="10682">
      <c r="A10682" s="4" t="inlineStr">
        <is>
          <t>425</t>
        </is>
      </c>
      <c r="B10682" s="4" t="n">
        <v>4</v>
      </c>
      <c r="C10682" s="4" t="inlineStr">
        <is>
          <t>whitetail</t>
        </is>
      </c>
      <c r="D10682" s="4" t="n">
        <v>2017</v>
      </c>
      <c r="E10682" s="13" t="inlineStr">
        <is>
          <t>General</t>
        </is>
      </c>
      <c r="F10682" s="5" t="n">
        <v>645</v>
      </c>
      <c r="G10682" s="5" t="n">
        <v>2810</v>
      </c>
      <c r="H10682" s="5" t="n">
        <v>125</v>
      </c>
      <c r="I10682" s="5" t="n">
        <v>87</v>
      </c>
      <c r="J10682" s="5" t="n">
        <v>32</v>
      </c>
      <c r="K10682" s="10">
        <f>IF(F10682&gt;0,H10682/F10682,"")</f>
        <v/>
      </c>
      <c r="L10682" s="16">
        <f>IF(AND(G10682&gt;0,H10682&gt;0),G10682/H10682,"")</f>
        <v/>
      </c>
    </row>
    <row r="10683">
      <c r="A10683" s="4" t="inlineStr">
        <is>
          <t>425</t>
        </is>
      </c>
      <c r="B10683" s="4" t="n">
        <v>4</v>
      </c>
      <c r="C10683" s="4" t="inlineStr">
        <is>
          <t>whitetail</t>
        </is>
      </c>
      <c r="D10683" s="4" t="n">
        <v>2018</v>
      </c>
      <c r="E10683" s="13" t="inlineStr">
        <is>
          <t>General</t>
        </is>
      </c>
      <c r="F10683" s="5" t="n"/>
      <c r="G10683" s="5" t="n"/>
      <c r="H10683" s="5" t="n">
        <v>62</v>
      </c>
      <c r="I10683" s="5" t="n">
        <v>31</v>
      </c>
      <c r="J10683" s="5" t="n">
        <v>28</v>
      </c>
      <c r="K10683" s="10">
        <f>IF(F10683&gt;0,H10683/F10683,"")</f>
        <v/>
      </c>
      <c r="L10683" s="16">
        <f>IF(AND(G10683&gt;0,H10683&gt;0),G10683/H10683,"")</f>
        <v/>
      </c>
    </row>
    <row r="10684">
      <c r="A10684" s="4" t="inlineStr">
        <is>
          <t>425</t>
        </is>
      </c>
      <c r="B10684" s="4" t="n">
        <v>4</v>
      </c>
      <c r="C10684" s="4" t="inlineStr">
        <is>
          <t>whitetail</t>
        </is>
      </c>
      <c r="D10684" s="4" t="n">
        <v>2019</v>
      </c>
      <c r="E10684" s="13" t="inlineStr">
        <is>
          <t>General</t>
        </is>
      </c>
      <c r="F10684" s="5" t="n">
        <v>569</v>
      </c>
      <c r="G10684" s="5" t="n">
        <v>3047</v>
      </c>
      <c r="H10684" s="5" t="n">
        <v>105</v>
      </c>
      <c r="I10684" s="5" t="n">
        <v>75</v>
      </c>
      <c r="J10684" s="5" t="n">
        <v>30</v>
      </c>
      <c r="K10684" s="10">
        <f>IF(F10684&gt;0,H10684/F10684,"")</f>
        <v/>
      </c>
      <c r="L10684" s="16">
        <f>IF(AND(G10684&gt;0,H10684&gt;0),G10684/H10684,"")</f>
        <v/>
      </c>
    </row>
    <row r="10685">
      <c r="A10685" s="4" t="inlineStr">
        <is>
          <t>425</t>
        </is>
      </c>
      <c r="B10685" s="4" t="n">
        <v>4</v>
      </c>
      <c r="C10685" s="4" t="inlineStr">
        <is>
          <t>whitetail</t>
        </is>
      </c>
      <c r="D10685" s="4" t="n">
        <v>2020</v>
      </c>
      <c r="E10685" s="13" t="inlineStr">
        <is>
          <t>General</t>
        </is>
      </c>
      <c r="F10685" s="5" t="n"/>
      <c r="G10685" s="5" t="n"/>
      <c r="H10685" s="5" t="n">
        <v>219</v>
      </c>
      <c r="I10685" s="5" t="n">
        <v>129</v>
      </c>
      <c r="J10685" s="5" t="n">
        <v>91</v>
      </c>
      <c r="K10685" s="10">
        <f>IF(F10685&gt;0,H10685/F10685,"")</f>
        <v/>
      </c>
      <c r="L10685" s="16">
        <f>IF(AND(G10685&gt;0,H10685&gt;0),G10685/H10685,"")</f>
        <v/>
      </c>
    </row>
    <row r="10686">
      <c r="A10686" s="4" t="inlineStr">
        <is>
          <t>425</t>
        </is>
      </c>
      <c r="B10686" s="4" t="n">
        <v>4</v>
      </c>
      <c r="C10686" s="4" t="inlineStr">
        <is>
          <t>whitetail</t>
        </is>
      </c>
      <c r="D10686" s="4" t="n">
        <v>2021</v>
      </c>
      <c r="E10686" s="13" t="inlineStr">
        <is>
          <t>General</t>
        </is>
      </c>
      <c r="F10686" s="5" t="n">
        <v>487</v>
      </c>
      <c r="G10686" s="5" t="n">
        <v>3082</v>
      </c>
      <c r="H10686" s="5" t="n">
        <v>106</v>
      </c>
      <c r="I10686" s="5" t="n">
        <v>67</v>
      </c>
      <c r="J10686" s="5" t="n">
        <v>39</v>
      </c>
      <c r="K10686" s="10">
        <f>IF(F10686&gt;0,H10686/F10686,"")</f>
        <v/>
      </c>
      <c r="L10686" s="16">
        <f>IF(AND(G10686&gt;0,H10686&gt;0),G10686/H10686,"")</f>
        <v/>
      </c>
    </row>
    <row r="10687">
      <c r="A10687" s="4" t="inlineStr">
        <is>
          <t>425</t>
        </is>
      </c>
      <c r="B10687" s="4" t="n">
        <v>4</v>
      </c>
      <c r="C10687" s="4" t="inlineStr">
        <is>
          <t>whitetail</t>
        </is>
      </c>
      <c r="D10687" s="4" t="n">
        <v>2022</v>
      </c>
      <c r="E10687" s="13" t="inlineStr">
        <is>
          <t>General</t>
        </is>
      </c>
      <c r="F10687" s="5" t="n"/>
      <c r="G10687" s="5" t="n"/>
      <c r="H10687" s="5" t="n">
        <v>115</v>
      </c>
      <c r="I10687" s="5" t="n">
        <v>55</v>
      </c>
      <c r="J10687" s="5" t="n">
        <v>60</v>
      </c>
      <c r="K10687" s="10">
        <f>IF(F10687&gt;0,H10687/F10687,"")</f>
        <v/>
      </c>
      <c r="L10687" s="16">
        <f>IF(AND(G10687&gt;0,H10687&gt;0),G10687/H10687,"")</f>
        <v/>
      </c>
    </row>
    <row r="10688">
      <c r="A10688" s="4" t="inlineStr">
        <is>
          <t>425</t>
        </is>
      </c>
      <c r="B10688" s="4" t="n">
        <v>4</v>
      </c>
      <c r="C10688" s="4" t="inlineStr">
        <is>
          <t>whitetail</t>
        </is>
      </c>
      <c r="D10688" s="4" t="n">
        <v>2023</v>
      </c>
      <c r="E10688" s="13" t="inlineStr">
        <is>
          <t>General</t>
        </is>
      </c>
      <c r="F10688" s="5" t="n">
        <v>534</v>
      </c>
      <c r="G10688" s="5" t="n">
        <v>2688</v>
      </c>
      <c r="H10688" s="5" t="n">
        <v>132</v>
      </c>
      <c r="I10688" s="5" t="n">
        <v>92</v>
      </c>
      <c r="J10688" s="5" t="n">
        <v>41</v>
      </c>
      <c r="K10688" s="10">
        <f>IF(F10688&gt;0,H10688/F10688,"")</f>
        <v/>
      </c>
      <c r="L10688" s="16">
        <f>IF(AND(G10688&gt;0,H10688&gt;0),G10688/H10688,"")</f>
        <v/>
      </c>
    </row>
    <row r="10689">
      <c r="A10689" s="4" t="inlineStr">
        <is>
          <t>425</t>
        </is>
      </c>
      <c r="B10689" s="4" t="n">
        <v>4</v>
      </c>
      <c r="C10689" s="4" t="inlineStr">
        <is>
          <t>whitetail</t>
        </is>
      </c>
      <c r="D10689" s="4" t="n">
        <v>2024</v>
      </c>
      <c r="E10689" s="13" t="inlineStr">
        <is>
          <t>General</t>
        </is>
      </c>
      <c r="F10689" s="5" t="n"/>
      <c r="G10689" s="5" t="n"/>
      <c r="H10689" s="5" t="n">
        <v>110</v>
      </c>
      <c r="I10689" s="5" t="n">
        <v>51</v>
      </c>
      <c r="J10689" s="5" t="n">
        <v>57</v>
      </c>
      <c r="K10689" s="10">
        <f>IF(F10689&gt;0,H10689/F10689,"")</f>
        <v/>
      </c>
      <c r="L10689" s="16">
        <f>IF(AND(G10689&gt;0,H10689&gt;0),G10689/H10689,"")</f>
        <v/>
      </c>
    </row>
    <row r="10690">
      <c r="A10690" s="4" t="inlineStr">
        <is>
          <t>425</t>
        </is>
      </c>
      <c r="B10690" s="4" t="n">
        <v>4</v>
      </c>
      <c r="C10690" s="4" t="inlineStr">
        <is>
          <t>whitetail</t>
        </is>
      </c>
      <c r="D10690" s="4" t="n">
        <v>2025</v>
      </c>
      <c r="E10690" s="13" t="inlineStr">
        <is>
          <t>General</t>
        </is>
      </c>
      <c r="F10690" s="5" t="n">
        <v>531</v>
      </c>
      <c r="G10690" s="5" t="n">
        <v>3020</v>
      </c>
      <c r="H10690" s="5" t="n">
        <v>114</v>
      </c>
      <c r="I10690" s="5" t="n">
        <v>61</v>
      </c>
      <c r="J10690" s="5" t="n">
        <v>53</v>
      </c>
      <c r="K10690" s="10">
        <f>IF(F10690&gt;0,H10690/F10690,"")</f>
        <v/>
      </c>
      <c r="L10690" s="16">
        <f>IF(AND(G10690&gt;0,H10690&gt;0),G10690/H10690,"")</f>
        <v/>
      </c>
    </row>
    <row r="10691">
      <c r="A10691" s="4" t="inlineStr">
        <is>
          <t>426</t>
        </is>
      </c>
      <c r="B10691" s="4" t="n">
        <v>4</v>
      </c>
      <c r="C10691" s="4" t="inlineStr">
        <is>
          <t>whitetail</t>
        </is>
      </c>
      <c r="D10691" s="4" t="n">
        <v>2004</v>
      </c>
      <c r="E10691" s="13" t="inlineStr">
        <is>
          <t>General</t>
        </is>
      </c>
      <c r="F10691" s="5" t="n">
        <v>1169</v>
      </c>
      <c r="G10691" s="5" t="n">
        <v>4965</v>
      </c>
      <c r="H10691" s="5" t="n">
        <v>132</v>
      </c>
      <c r="I10691" s="5" t="n">
        <v>88</v>
      </c>
      <c r="J10691" s="5" t="n">
        <v>44</v>
      </c>
      <c r="K10691" s="10">
        <f>IF(F10691&gt;0,H10691/F10691,"")</f>
        <v/>
      </c>
      <c r="L10691" s="16">
        <f>IF(AND(G10691&gt;0,H10691&gt;0),G10691/H10691,"")</f>
        <v/>
      </c>
    </row>
    <row r="10692">
      <c r="A10692" s="4" t="inlineStr">
        <is>
          <t>426</t>
        </is>
      </c>
      <c r="B10692" s="4" t="n">
        <v>4</v>
      </c>
      <c r="C10692" s="4" t="inlineStr">
        <is>
          <t>whitetail</t>
        </is>
      </c>
      <c r="D10692" s="4" t="n">
        <v>2005</v>
      </c>
      <c r="E10692" s="13" t="inlineStr">
        <is>
          <t>General</t>
        </is>
      </c>
      <c r="F10692" s="5" t="n">
        <v>1055</v>
      </c>
      <c r="G10692" s="5" t="n">
        <v>4252</v>
      </c>
      <c r="H10692" s="5" t="n">
        <v>128</v>
      </c>
      <c r="I10692" s="5" t="n">
        <v>70</v>
      </c>
      <c r="J10692" s="5" t="n">
        <v>55</v>
      </c>
      <c r="K10692" s="10">
        <f>IF(F10692&gt;0,H10692/F10692,"")</f>
        <v/>
      </c>
      <c r="L10692" s="16">
        <f>IF(AND(G10692&gt;0,H10692&gt;0),G10692/H10692,"")</f>
        <v/>
      </c>
    </row>
    <row r="10693">
      <c r="A10693" s="4" t="inlineStr">
        <is>
          <t>426</t>
        </is>
      </c>
      <c r="B10693" s="4" t="n">
        <v>4</v>
      </c>
      <c r="C10693" s="4" t="inlineStr">
        <is>
          <t>whitetail</t>
        </is>
      </c>
      <c r="D10693" s="4" t="n">
        <v>2006</v>
      </c>
      <c r="E10693" s="13" t="inlineStr">
        <is>
          <t>General</t>
        </is>
      </c>
      <c r="F10693" s="5" t="n">
        <v>781</v>
      </c>
      <c r="G10693" s="5" t="n">
        <v>3200</v>
      </c>
      <c r="H10693" s="5" t="n">
        <v>109</v>
      </c>
      <c r="I10693" s="5" t="n">
        <v>67</v>
      </c>
      <c r="J10693" s="5" t="n">
        <v>42</v>
      </c>
      <c r="K10693" s="10">
        <f>IF(F10693&gt;0,H10693/F10693,"")</f>
        <v/>
      </c>
      <c r="L10693" s="16">
        <f>IF(AND(G10693&gt;0,H10693&gt;0),G10693/H10693,"")</f>
        <v/>
      </c>
    </row>
    <row r="10694">
      <c r="A10694" s="4" t="inlineStr">
        <is>
          <t>426</t>
        </is>
      </c>
      <c r="B10694" s="4" t="n">
        <v>4</v>
      </c>
      <c r="C10694" s="4" t="inlineStr">
        <is>
          <t>whitetail</t>
        </is>
      </c>
      <c r="D10694" s="4" t="n">
        <v>2007</v>
      </c>
      <c r="E10694" s="13" t="inlineStr">
        <is>
          <t>General</t>
        </is>
      </c>
      <c r="F10694" s="5" t="n">
        <v>937</v>
      </c>
      <c r="G10694" s="5" t="n">
        <v>4206</v>
      </c>
      <c r="H10694" s="5" t="n">
        <v>123</v>
      </c>
      <c r="I10694" s="5" t="n">
        <v>66</v>
      </c>
      <c r="J10694" s="5" t="n">
        <v>56</v>
      </c>
      <c r="K10694" s="10">
        <f>IF(F10694&gt;0,H10694/F10694,"")</f>
        <v/>
      </c>
      <c r="L10694" s="16">
        <f>IF(AND(G10694&gt;0,H10694&gt;0),G10694/H10694,"")</f>
        <v/>
      </c>
    </row>
    <row r="10695">
      <c r="A10695" s="4" t="inlineStr">
        <is>
          <t>426</t>
        </is>
      </c>
      <c r="B10695" s="4" t="n">
        <v>4</v>
      </c>
      <c r="C10695" s="4" t="inlineStr">
        <is>
          <t>whitetail</t>
        </is>
      </c>
      <c r="D10695" s="4" t="n">
        <v>2008</v>
      </c>
      <c r="E10695" s="13" t="inlineStr">
        <is>
          <t>General</t>
        </is>
      </c>
      <c r="F10695" s="5" t="n">
        <v>853</v>
      </c>
      <c r="G10695" s="5" t="n">
        <v>3520</v>
      </c>
      <c r="H10695" s="5" t="n">
        <v>145</v>
      </c>
      <c r="I10695" s="5" t="n">
        <v>67</v>
      </c>
      <c r="J10695" s="5" t="n">
        <v>77</v>
      </c>
      <c r="K10695" s="10">
        <f>IF(F10695&gt;0,H10695/F10695,"")</f>
        <v/>
      </c>
      <c r="L10695" s="16">
        <f>IF(AND(G10695&gt;0,H10695&gt;0),G10695/H10695,"")</f>
        <v/>
      </c>
    </row>
    <row r="10696">
      <c r="A10696" s="4" t="inlineStr">
        <is>
          <t>426</t>
        </is>
      </c>
      <c r="B10696" s="4" t="n">
        <v>4</v>
      </c>
      <c r="C10696" s="4" t="inlineStr">
        <is>
          <t>whitetail</t>
        </is>
      </c>
      <c r="D10696" s="4" t="n">
        <v>2009</v>
      </c>
      <c r="E10696" s="13" t="inlineStr">
        <is>
          <t>General</t>
        </is>
      </c>
      <c r="F10696" s="5" t="n">
        <v>839</v>
      </c>
      <c r="G10696" s="5" t="n">
        <v>3547</v>
      </c>
      <c r="H10696" s="5" t="n">
        <v>124</v>
      </c>
      <c r="I10696" s="5" t="n">
        <v>83</v>
      </c>
      <c r="J10696" s="5" t="n">
        <v>41</v>
      </c>
      <c r="K10696" s="10">
        <f>IF(F10696&gt;0,H10696/F10696,"")</f>
        <v/>
      </c>
      <c r="L10696" s="16">
        <f>IF(AND(G10696&gt;0,H10696&gt;0),G10696/H10696,"")</f>
        <v/>
      </c>
    </row>
    <row r="10697">
      <c r="A10697" s="4" t="inlineStr">
        <is>
          <t>426</t>
        </is>
      </c>
      <c r="B10697" s="4" t="n">
        <v>4</v>
      </c>
      <c r="C10697" s="4" t="inlineStr">
        <is>
          <t>whitetail</t>
        </is>
      </c>
      <c r="D10697" s="4" t="n">
        <v>2010</v>
      </c>
      <c r="E10697" s="13" t="inlineStr">
        <is>
          <t>General</t>
        </is>
      </c>
      <c r="F10697" s="5" t="n">
        <v>669</v>
      </c>
      <c r="G10697" s="5" t="n">
        <v>2798</v>
      </c>
      <c r="H10697" s="5" t="n">
        <v>98</v>
      </c>
      <c r="I10697" s="5" t="n">
        <v>70</v>
      </c>
      <c r="J10697" s="5" t="n">
        <v>28</v>
      </c>
      <c r="K10697" s="10">
        <f>IF(F10697&gt;0,H10697/F10697,"")</f>
        <v/>
      </c>
      <c r="L10697" s="16">
        <f>IF(AND(G10697&gt;0,H10697&gt;0),G10697/H10697,"")</f>
        <v/>
      </c>
    </row>
    <row r="10698">
      <c r="A10698" s="4" t="inlineStr">
        <is>
          <t>426</t>
        </is>
      </c>
      <c r="B10698" s="4" t="n">
        <v>4</v>
      </c>
      <c r="C10698" s="4" t="inlineStr">
        <is>
          <t>whitetail</t>
        </is>
      </c>
      <c r="D10698" s="4" t="n">
        <v>2011</v>
      </c>
      <c r="E10698" s="13" t="inlineStr">
        <is>
          <t>General</t>
        </is>
      </c>
      <c r="F10698" s="5" t="n">
        <v>754</v>
      </c>
      <c r="G10698" s="5" t="n">
        <v>3081</v>
      </c>
      <c r="H10698" s="5" t="n">
        <v>31</v>
      </c>
      <c r="I10698" s="5" t="n">
        <v>20</v>
      </c>
      <c r="J10698" s="5" t="n">
        <v>8</v>
      </c>
      <c r="K10698" s="10">
        <f>IF(F10698&gt;0,H10698/F10698,"")</f>
        <v/>
      </c>
      <c r="L10698" s="16">
        <f>IF(AND(G10698&gt;0,H10698&gt;0),G10698/H10698,"")</f>
        <v/>
      </c>
    </row>
    <row r="10699">
      <c r="A10699" s="4" t="inlineStr">
        <is>
          <t>426</t>
        </is>
      </c>
      <c r="B10699" s="4" t="n">
        <v>4</v>
      </c>
      <c r="C10699" s="4" t="inlineStr">
        <is>
          <t>whitetail</t>
        </is>
      </c>
      <c r="D10699" s="4" t="n">
        <v>2012</v>
      </c>
      <c r="E10699" s="13" t="inlineStr">
        <is>
          <t>General</t>
        </is>
      </c>
      <c r="F10699" s="5" t="n"/>
      <c r="G10699" s="5" t="n"/>
      <c r="H10699" s="5" t="n">
        <v>61</v>
      </c>
      <c r="I10699" s="5" t="n">
        <v>42</v>
      </c>
      <c r="J10699" s="5" t="n">
        <v>19</v>
      </c>
      <c r="K10699" s="10">
        <f>IF(F10699&gt;0,H10699/F10699,"")</f>
        <v/>
      </c>
      <c r="L10699" s="16">
        <f>IF(AND(G10699&gt;0,H10699&gt;0),G10699/H10699,"")</f>
        <v/>
      </c>
    </row>
    <row r="10700">
      <c r="A10700" s="4" t="inlineStr">
        <is>
          <t>426</t>
        </is>
      </c>
      <c r="B10700" s="4" t="n">
        <v>4</v>
      </c>
      <c r="C10700" s="4" t="inlineStr">
        <is>
          <t>whitetail</t>
        </is>
      </c>
      <c r="D10700" s="4" t="n">
        <v>2013</v>
      </c>
      <c r="E10700" s="13" t="inlineStr">
        <is>
          <t>General</t>
        </is>
      </c>
      <c r="F10700" s="5" t="n">
        <v>820</v>
      </c>
      <c r="G10700" s="5" t="n">
        <v>3462</v>
      </c>
      <c r="H10700" s="5" t="n">
        <v>34</v>
      </c>
      <c r="I10700" s="5" t="n">
        <v>28</v>
      </c>
      <c r="J10700" s="5" t="n">
        <v>6</v>
      </c>
      <c r="K10700" s="10">
        <f>IF(F10700&gt;0,H10700/F10700,"")</f>
        <v/>
      </c>
      <c r="L10700" s="16">
        <f>IF(AND(G10700&gt;0,H10700&gt;0),G10700/H10700,"")</f>
        <v/>
      </c>
    </row>
    <row r="10701">
      <c r="A10701" s="4" t="inlineStr">
        <is>
          <t>426</t>
        </is>
      </c>
      <c r="B10701" s="4" t="n">
        <v>4</v>
      </c>
      <c r="C10701" s="4" t="inlineStr">
        <is>
          <t>whitetail</t>
        </is>
      </c>
      <c r="D10701" s="4" t="n">
        <v>2014</v>
      </c>
      <c r="E10701" s="13" t="inlineStr">
        <is>
          <t>General</t>
        </is>
      </c>
      <c r="F10701" s="5" t="n"/>
      <c r="G10701" s="5" t="n"/>
      <c r="H10701" s="5" t="n">
        <v>32</v>
      </c>
      <c r="I10701" s="5" t="n">
        <v>28</v>
      </c>
      <c r="J10701" s="5" t="n">
        <v>4</v>
      </c>
      <c r="K10701" s="10">
        <f>IF(F10701&gt;0,H10701/F10701,"")</f>
        <v/>
      </c>
      <c r="L10701" s="16">
        <f>IF(AND(G10701&gt;0,H10701&gt;0),G10701/H10701,"")</f>
        <v/>
      </c>
    </row>
    <row r="10702">
      <c r="A10702" s="4" t="inlineStr">
        <is>
          <t>426</t>
        </is>
      </c>
      <c r="B10702" s="4" t="n">
        <v>4</v>
      </c>
      <c r="C10702" s="4" t="inlineStr">
        <is>
          <t>whitetail</t>
        </is>
      </c>
      <c r="D10702" s="4" t="n">
        <v>2015</v>
      </c>
      <c r="E10702" s="13" t="inlineStr">
        <is>
          <t>General</t>
        </is>
      </c>
      <c r="F10702" s="5" t="n"/>
      <c r="G10702" s="5" t="n"/>
      <c r="H10702" s="5" t="n">
        <v>26</v>
      </c>
      <c r="I10702" s="5" t="n">
        <v>26</v>
      </c>
      <c r="J10702" s="5" t="n">
        <v>0</v>
      </c>
      <c r="K10702" s="10">
        <f>IF(F10702&gt;0,H10702/F10702,"")</f>
        <v/>
      </c>
      <c r="L10702" s="16">
        <f>IF(AND(G10702&gt;0,H10702&gt;0),G10702/H10702,"")</f>
        <v/>
      </c>
    </row>
    <row r="10703">
      <c r="A10703" s="4" t="inlineStr">
        <is>
          <t>426</t>
        </is>
      </c>
      <c r="B10703" s="4" t="n">
        <v>4</v>
      </c>
      <c r="C10703" s="4" t="inlineStr">
        <is>
          <t>whitetail</t>
        </is>
      </c>
      <c r="D10703" s="4" t="n">
        <v>2016</v>
      </c>
      <c r="E10703" s="13" t="inlineStr">
        <is>
          <t>General</t>
        </is>
      </c>
      <c r="F10703" s="5" t="n"/>
      <c r="G10703" s="5" t="n"/>
      <c r="H10703" s="5" t="n">
        <v>66</v>
      </c>
      <c r="I10703" s="5" t="n">
        <v>63</v>
      </c>
      <c r="J10703" s="5" t="n">
        <v>3</v>
      </c>
      <c r="K10703" s="10">
        <f>IF(F10703&gt;0,H10703/F10703,"")</f>
        <v/>
      </c>
      <c r="L10703" s="16">
        <f>IF(AND(G10703&gt;0,H10703&gt;0),G10703/H10703,"")</f>
        <v/>
      </c>
    </row>
    <row r="10704">
      <c r="A10704" s="4" t="inlineStr">
        <is>
          <t>426</t>
        </is>
      </c>
      <c r="B10704" s="4" t="n">
        <v>4</v>
      </c>
      <c r="C10704" s="4" t="inlineStr">
        <is>
          <t>whitetail</t>
        </is>
      </c>
      <c r="D10704" s="4" t="n">
        <v>2017</v>
      </c>
      <c r="E10704" s="13" t="inlineStr">
        <is>
          <t>General</t>
        </is>
      </c>
      <c r="F10704" s="5" t="n">
        <v>1029</v>
      </c>
      <c r="G10704" s="5" t="n">
        <v>4809</v>
      </c>
      <c r="H10704" s="5" t="n">
        <v>63</v>
      </c>
      <c r="I10704" s="5" t="n">
        <v>53</v>
      </c>
      <c r="J10704" s="5" t="n">
        <v>10</v>
      </c>
      <c r="K10704" s="10">
        <f>IF(F10704&gt;0,H10704/F10704,"")</f>
        <v/>
      </c>
      <c r="L10704" s="16">
        <f>IF(AND(G10704&gt;0,H10704&gt;0),G10704/H10704,"")</f>
        <v/>
      </c>
    </row>
    <row r="10705">
      <c r="A10705" s="4" t="inlineStr">
        <is>
          <t>426</t>
        </is>
      </c>
      <c r="B10705" s="4" t="n">
        <v>4</v>
      </c>
      <c r="C10705" s="4" t="inlineStr">
        <is>
          <t>whitetail</t>
        </is>
      </c>
      <c r="D10705" s="4" t="n">
        <v>2018</v>
      </c>
      <c r="E10705" s="13" t="inlineStr">
        <is>
          <t>General</t>
        </is>
      </c>
      <c r="F10705" s="5" t="n"/>
      <c r="G10705" s="5" t="n"/>
      <c r="H10705" s="5" t="n">
        <v>92</v>
      </c>
      <c r="I10705" s="5" t="n">
        <v>65</v>
      </c>
      <c r="J10705" s="5" t="n">
        <v>27</v>
      </c>
      <c r="K10705" s="10">
        <f>IF(F10705&gt;0,H10705/F10705,"")</f>
        <v/>
      </c>
      <c r="L10705" s="16">
        <f>IF(AND(G10705&gt;0,H10705&gt;0),G10705/H10705,"")</f>
        <v/>
      </c>
    </row>
    <row r="10706">
      <c r="A10706" s="4" t="inlineStr">
        <is>
          <t>426</t>
        </is>
      </c>
      <c r="B10706" s="4" t="n">
        <v>4</v>
      </c>
      <c r="C10706" s="4" t="inlineStr">
        <is>
          <t>whitetail</t>
        </is>
      </c>
      <c r="D10706" s="4" t="n">
        <v>2019</v>
      </c>
      <c r="E10706" s="13" t="inlineStr">
        <is>
          <t>General</t>
        </is>
      </c>
      <c r="F10706" s="5" t="n">
        <v>1177</v>
      </c>
      <c r="G10706" s="5" t="n">
        <v>5752</v>
      </c>
      <c r="H10706" s="5" t="n">
        <v>126</v>
      </c>
      <c r="I10706" s="5" t="n">
        <v>79</v>
      </c>
      <c r="J10706" s="5" t="n">
        <v>47</v>
      </c>
      <c r="K10706" s="10">
        <f>IF(F10706&gt;0,H10706/F10706,"")</f>
        <v/>
      </c>
      <c r="L10706" s="16">
        <f>IF(AND(G10706&gt;0,H10706&gt;0),G10706/H10706,"")</f>
        <v/>
      </c>
    </row>
    <row r="10707">
      <c r="A10707" s="4" t="inlineStr">
        <is>
          <t>426</t>
        </is>
      </c>
      <c r="B10707" s="4" t="n">
        <v>4</v>
      </c>
      <c r="C10707" s="4" t="inlineStr">
        <is>
          <t>whitetail</t>
        </is>
      </c>
      <c r="D10707" s="4" t="n">
        <v>2020</v>
      </c>
      <c r="E10707" s="13" t="inlineStr">
        <is>
          <t>General</t>
        </is>
      </c>
      <c r="F10707" s="5" t="n"/>
      <c r="G10707" s="5" t="n"/>
      <c r="H10707" s="5" t="n">
        <v>88</v>
      </c>
      <c r="I10707" s="5" t="n">
        <v>33</v>
      </c>
      <c r="J10707" s="5" t="n">
        <v>51</v>
      </c>
      <c r="K10707" s="10">
        <f>IF(F10707&gt;0,H10707/F10707,"")</f>
        <v/>
      </c>
      <c r="L10707" s="16">
        <f>IF(AND(G10707&gt;0,H10707&gt;0),G10707/H10707,"")</f>
        <v/>
      </c>
    </row>
    <row r="10708">
      <c r="A10708" s="4" t="inlineStr">
        <is>
          <t>426</t>
        </is>
      </c>
      <c r="B10708" s="4" t="n">
        <v>4</v>
      </c>
      <c r="C10708" s="4" t="inlineStr">
        <is>
          <t>whitetail</t>
        </is>
      </c>
      <c r="D10708" s="4" t="n">
        <v>2021</v>
      </c>
      <c r="E10708" s="13" t="inlineStr">
        <is>
          <t>General</t>
        </is>
      </c>
      <c r="F10708" s="5" t="n">
        <v>1419</v>
      </c>
      <c r="G10708" s="5" t="n">
        <v>6958</v>
      </c>
      <c r="H10708" s="5" t="n">
        <v>127</v>
      </c>
      <c r="I10708" s="5" t="n">
        <v>83</v>
      </c>
      <c r="J10708" s="5" t="n">
        <v>44</v>
      </c>
      <c r="K10708" s="10">
        <f>IF(F10708&gt;0,H10708/F10708,"")</f>
        <v/>
      </c>
      <c r="L10708" s="16">
        <f>IF(AND(G10708&gt;0,H10708&gt;0),G10708/H10708,"")</f>
        <v/>
      </c>
    </row>
    <row r="10709">
      <c r="A10709" s="4" t="inlineStr">
        <is>
          <t>426</t>
        </is>
      </c>
      <c r="B10709" s="4" t="n">
        <v>4</v>
      </c>
      <c r="C10709" s="4" t="inlineStr">
        <is>
          <t>whitetail</t>
        </is>
      </c>
      <c r="D10709" s="4" t="n">
        <v>2022</v>
      </c>
      <c r="E10709" s="13" t="inlineStr">
        <is>
          <t>General</t>
        </is>
      </c>
      <c r="F10709" s="5" t="n"/>
      <c r="G10709" s="5" t="n"/>
      <c r="H10709" s="5" t="n">
        <v>159</v>
      </c>
      <c r="I10709" s="5" t="n">
        <v>88</v>
      </c>
      <c r="J10709" s="5" t="n">
        <v>70</v>
      </c>
      <c r="K10709" s="10">
        <f>IF(F10709&gt;0,H10709/F10709,"")</f>
        <v/>
      </c>
      <c r="L10709" s="16">
        <f>IF(AND(G10709&gt;0,H10709&gt;0),G10709/H10709,"")</f>
        <v/>
      </c>
    </row>
    <row r="10710">
      <c r="A10710" s="4" t="inlineStr">
        <is>
          <t>426</t>
        </is>
      </c>
      <c r="B10710" s="4" t="n">
        <v>4</v>
      </c>
      <c r="C10710" s="4" t="inlineStr">
        <is>
          <t>whitetail</t>
        </is>
      </c>
      <c r="D10710" s="4" t="n">
        <v>2023</v>
      </c>
      <c r="E10710" s="13" t="inlineStr">
        <is>
          <t>General</t>
        </is>
      </c>
      <c r="F10710" s="5" t="n">
        <v>1038</v>
      </c>
      <c r="G10710" s="5" t="n">
        <v>4844</v>
      </c>
      <c r="H10710" s="5" t="n">
        <v>138</v>
      </c>
      <c r="I10710" s="5" t="n">
        <v>90</v>
      </c>
      <c r="J10710" s="5" t="n">
        <v>49</v>
      </c>
      <c r="K10710" s="10">
        <f>IF(F10710&gt;0,H10710/F10710,"")</f>
        <v/>
      </c>
      <c r="L10710" s="16">
        <f>IF(AND(G10710&gt;0,H10710&gt;0),G10710/H10710,"")</f>
        <v/>
      </c>
    </row>
    <row r="10711">
      <c r="A10711" s="4" t="inlineStr">
        <is>
          <t>426</t>
        </is>
      </c>
      <c r="B10711" s="4" t="n">
        <v>4</v>
      </c>
      <c r="C10711" s="4" t="inlineStr">
        <is>
          <t>whitetail</t>
        </is>
      </c>
      <c r="D10711" s="4" t="n">
        <v>2024</v>
      </c>
      <c r="E10711" s="13" t="inlineStr">
        <is>
          <t>General</t>
        </is>
      </c>
      <c r="F10711" s="5" t="n"/>
      <c r="G10711" s="5" t="n"/>
      <c r="H10711" s="5" t="n">
        <v>129</v>
      </c>
      <c r="I10711" s="5" t="n">
        <v>88</v>
      </c>
      <c r="J10711" s="5" t="n">
        <v>41</v>
      </c>
      <c r="K10711" s="10">
        <f>IF(F10711&gt;0,H10711/F10711,"")</f>
        <v/>
      </c>
      <c r="L10711" s="16">
        <f>IF(AND(G10711&gt;0,H10711&gt;0),G10711/H10711,"")</f>
        <v/>
      </c>
    </row>
    <row r="10712">
      <c r="A10712" s="4" t="inlineStr">
        <is>
          <t>426</t>
        </is>
      </c>
      <c r="B10712" s="4" t="n">
        <v>4</v>
      </c>
      <c r="C10712" s="4" t="inlineStr">
        <is>
          <t>whitetail</t>
        </is>
      </c>
      <c r="D10712" s="4" t="n">
        <v>2025</v>
      </c>
      <c r="E10712" s="13" t="inlineStr">
        <is>
          <t>General</t>
        </is>
      </c>
      <c r="F10712" s="5" t="n">
        <v>835</v>
      </c>
      <c r="G10712" s="5" t="n">
        <v>4337</v>
      </c>
      <c r="H10712" s="5" t="n">
        <v>113</v>
      </c>
      <c r="I10712" s="5" t="n">
        <v>51</v>
      </c>
      <c r="J10712" s="5" t="n">
        <v>55</v>
      </c>
      <c r="K10712" s="10">
        <f>IF(F10712&gt;0,H10712/F10712,"")</f>
        <v/>
      </c>
      <c r="L10712" s="16">
        <f>IF(AND(G10712&gt;0,H10712&gt;0),G10712/H10712,"")</f>
        <v/>
      </c>
    </row>
    <row r="10713">
      <c r="A10713" s="4" t="inlineStr">
        <is>
          <t>432</t>
        </is>
      </c>
      <c r="B10713" s="4" t="n">
        <v>4</v>
      </c>
      <c r="C10713" s="4" t="inlineStr">
        <is>
          <t>whitetail</t>
        </is>
      </c>
      <c r="D10713" s="4" t="n">
        <v>2004</v>
      </c>
      <c r="E10713" s="13" t="inlineStr">
        <is>
          <t>General</t>
        </is>
      </c>
      <c r="F10713" s="5" t="n">
        <v>1033</v>
      </c>
      <c r="G10713" s="5" t="n">
        <v>4844</v>
      </c>
      <c r="H10713" s="5" t="n">
        <v>120</v>
      </c>
      <c r="I10713" s="5" t="n">
        <v>59</v>
      </c>
      <c r="J10713" s="5" t="n">
        <v>56</v>
      </c>
      <c r="K10713" s="10">
        <f>IF(F10713&gt;0,H10713/F10713,"")</f>
        <v/>
      </c>
      <c r="L10713" s="16">
        <f>IF(AND(G10713&gt;0,H10713&gt;0),G10713/H10713,"")</f>
        <v/>
      </c>
    </row>
    <row r="10714">
      <c r="A10714" s="4" t="inlineStr">
        <is>
          <t>432</t>
        </is>
      </c>
      <c r="B10714" s="4" t="n">
        <v>4</v>
      </c>
      <c r="C10714" s="4" t="inlineStr">
        <is>
          <t>whitetail</t>
        </is>
      </c>
      <c r="D10714" s="4" t="n">
        <v>2005</v>
      </c>
      <c r="E10714" s="13" t="inlineStr">
        <is>
          <t>General</t>
        </is>
      </c>
      <c r="F10714" s="5" t="n">
        <v>844</v>
      </c>
      <c r="G10714" s="5" t="n">
        <v>4017</v>
      </c>
      <c r="H10714" s="5" t="n">
        <v>105</v>
      </c>
      <c r="I10714" s="5" t="n">
        <v>47</v>
      </c>
      <c r="J10714" s="5" t="n">
        <v>59</v>
      </c>
      <c r="K10714" s="10">
        <f>IF(F10714&gt;0,H10714/F10714,"")</f>
        <v/>
      </c>
      <c r="L10714" s="16">
        <f>IF(AND(G10714&gt;0,H10714&gt;0),G10714/H10714,"")</f>
        <v/>
      </c>
    </row>
    <row r="10715">
      <c r="A10715" s="4" t="inlineStr">
        <is>
          <t>432</t>
        </is>
      </c>
      <c r="B10715" s="4" t="n">
        <v>4</v>
      </c>
      <c r="C10715" s="4" t="inlineStr">
        <is>
          <t>whitetail</t>
        </is>
      </c>
      <c r="D10715" s="4" t="n">
        <v>2006</v>
      </c>
      <c r="E10715" s="13" t="inlineStr">
        <is>
          <t>General</t>
        </is>
      </c>
      <c r="F10715" s="5" t="n">
        <v>928</v>
      </c>
      <c r="G10715" s="5" t="n">
        <v>5486</v>
      </c>
      <c r="H10715" s="5" t="n">
        <v>132</v>
      </c>
      <c r="I10715" s="5" t="n">
        <v>60</v>
      </c>
      <c r="J10715" s="5" t="n">
        <v>69</v>
      </c>
      <c r="K10715" s="10">
        <f>IF(F10715&gt;0,H10715/F10715,"")</f>
        <v/>
      </c>
      <c r="L10715" s="16">
        <f>IF(AND(G10715&gt;0,H10715&gt;0),G10715/H10715,"")</f>
        <v/>
      </c>
    </row>
    <row r="10716">
      <c r="A10716" s="4" t="inlineStr">
        <is>
          <t>432</t>
        </is>
      </c>
      <c r="B10716" s="4" t="n">
        <v>4</v>
      </c>
      <c r="C10716" s="4" t="inlineStr">
        <is>
          <t>whitetail</t>
        </is>
      </c>
      <c r="D10716" s="4" t="n">
        <v>2007</v>
      </c>
      <c r="E10716" s="13" t="inlineStr">
        <is>
          <t>General</t>
        </is>
      </c>
      <c r="F10716" s="5" t="n">
        <v>904</v>
      </c>
      <c r="G10716" s="5" t="n">
        <v>5143</v>
      </c>
      <c r="H10716" s="5" t="n">
        <v>120</v>
      </c>
      <c r="I10716" s="5" t="n">
        <v>52</v>
      </c>
      <c r="J10716" s="5" t="n">
        <v>67</v>
      </c>
      <c r="K10716" s="10">
        <f>IF(F10716&gt;0,H10716/F10716,"")</f>
        <v/>
      </c>
      <c r="L10716" s="16">
        <f>IF(AND(G10716&gt;0,H10716&gt;0),G10716/H10716,"")</f>
        <v/>
      </c>
    </row>
    <row r="10717">
      <c r="A10717" s="4" t="inlineStr">
        <is>
          <t>432</t>
        </is>
      </c>
      <c r="B10717" s="4" t="n">
        <v>4</v>
      </c>
      <c r="C10717" s="4" t="inlineStr">
        <is>
          <t>whitetail</t>
        </is>
      </c>
      <c r="D10717" s="4" t="n">
        <v>2008</v>
      </c>
      <c r="E10717" s="13" t="inlineStr">
        <is>
          <t>General</t>
        </is>
      </c>
      <c r="F10717" s="5" t="n">
        <v>919</v>
      </c>
      <c r="G10717" s="5" t="n">
        <v>4562</v>
      </c>
      <c r="H10717" s="5" t="n">
        <v>93</v>
      </c>
      <c r="I10717" s="5" t="n">
        <v>42</v>
      </c>
      <c r="J10717" s="5" t="n">
        <v>51</v>
      </c>
      <c r="K10717" s="10">
        <f>IF(F10717&gt;0,H10717/F10717,"")</f>
        <v/>
      </c>
      <c r="L10717" s="16">
        <f>IF(AND(G10717&gt;0,H10717&gt;0),G10717/H10717,"")</f>
        <v/>
      </c>
    </row>
    <row r="10718">
      <c r="A10718" s="4" t="inlineStr">
        <is>
          <t>432</t>
        </is>
      </c>
      <c r="B10718" s="4" t="n">
        <v>4</v>
      </c>
      <c r="C10718" s="4" t="inlineStr">
        <is>
          <t>whitetail</t>
        </is>
      </c>
      <c r="D10718" s="4" t="n">
        <v>2009</v>
      </c>
      <c r="E10718" s="13" t="inlineStr">
        <is>
          <t>General</t>
        </is>
      </c>
      <c r="F10718" s="5" t="n">
        <v>834</v>
      </c>
      <c r="G10718" s="5" t="n">
        <v>4016</v>
      </c>
      <c r="H10718" s="5" t="n">
        <v>118</v>
      </c>
      <c r="I10718" s="5" t="n">
        <v>77</v>
      </c>
      <c r="J10718" s="5" t="n">
        <v>41</v>
      </c>
      <c r="K10718" s="10">
        <f>IF(F10718&gt;0,H10718/F10718,"")</f>
        <v/>
      </c>
      <c r="L10718" s="16">
        <f>IF(AND(G10718&gt;0,H10718&gt;0),G10718/H10718,"")</f>
        <v/>
      </c>
    </row>
    <row r="10719">
      <c r="A10719" s="4" t="inlineStr">
        <is>
          <t>432</t>
        </is>
      </c>
      <c r="B10719" s="4" t="n">
        <v>4</v>
      </c>
      <c r="C10719" s="4" t="inlineStr">
        <is>
          <t>whitetail</t>
        </is>
      </c>
      <c r="D10719" s="4" t="n">
        <v>2010</v>
      </c>
      <c r="E10719" s="13" t="inlineStr">
        <is>
          <t>General</t>
        </is>
      </c>
      <c r="F10719" s="5" t="n">
        <v>816</v>
      </c>
      <c r="G10719" s="5" t="n">
        <v>3968</v>
      </c>
      <c r="H10719" s="5" t="n">
        <v>73</v>
      </c>
      <c r="I10719" s="5" t="n">
        <v>45</v>
      </c>
      <c r="J10719" s="5" t="n">
        <v>27</v>
      </c>
      <c r="K10719" s="10">
        <f>IF(F10719&gt;0,H10719/F10719,"")</f>
        <v/>
      </c>
      <c r="L10719" s="16">
        <f>IF(AND(G10719&gt;0,H10719&gt;0),G10719/H10719,"")</f>
        <v/>
      </c>
    </row>
    <row r="10720">
      <c r="A10720" s="4" t="inlineStr">
        <is>
          <t>432</t>
        </is>
      </c>
      <c r="B10720" s="4" t="n">
        <v>4</v>
      </c>
      <c r="C10720" s="4" t="inlineStr">
        <is>
          <t>whitetail</t>
        </is>
      </c>
      <c r="D10720" s="4" t="n">
        <v>2011</v>
      </c>
      <c r="E10720" s="13" t="inlineStr">
        <is>
          <t>General</t>
        </is>
      </c>
      <c r="F10720" s="5" t="n">
        <v>928</v>
      </c>
      <c r="G10720" s="5" t="n">
        <v>5362</v>
      </c>
      <c r="H10720" s="5" t="n">
        <v>87</v>
      </c>
      <c r="I10720" s="5" t="n">
        <v>56</v>
      </c>
      <c r="J10720" s="5" t="n">
        <v>31</v>
      </c>
      <c r="K10720" s="10">
        <f>IF(F10720&gt;0,H10720/F10720,"")</f>
        <v/>
      </c>
      <c r="L10720" s="16">
        <f>IF(AND(G10720&gt;0,H10720&gt;0),G10720/H10720,"")</f>
        <v/>
      </c>
    </row>
    <row r="10721">
      <c r="A10721" s="4" t="inlineStr">
        <is>
          <t>432</t>
        </is>
      </c>
      <c r="B10721" s="4" t="n">
        <v>4</v>
      </c>
      <c r="C10721" s="4" t="inlineStr">
        <is>
          <t>whitetail</t>
        </is>
      </c>
      <c r="D10721" s="4" t="n">
        <v>2012</v>
      </c>
      <c r="E10721" s="13" t="inlineStr">
        <is>
          <t>General</t>
        </is>
      </c>
      <c r="F10721" s="5" t="n"/>
      <c r="G10721" s="5" t="n"/>
      <c r="H10721" s="5" t="n">
        <v>105</v>
      </c>
      <c r="I10721" s="5" t="n">
        <v>67</v>
      </c>
      <c r="J10721" s="5" t="n">
        <v>39</v>
      </c>
      <c r="K10721" s="10">
        <f>IF(F10721&gt;0,H10721/F10721,"")</f>
        <v/>
      </c>
      <c r="L10721" s="16">
        <f>IF(AND(G10721&gt;0,H10721&gt;0),G10721/H10721,"")</f>
        <v/>
      </c>
    </row>
    <row r="10722">
      <c r="A10722" s="4" t="inlineStr">
        <is>
          <t>432</t>
        </is>
      </c>
      <c r="B10722" s="4" t="n">
        <v>4</v>
      </c>
      <c r="C10722" s="4" t="inlineStr">
        <is>
          <t>whitetail</t>
        </is>
      </c>
      <c r="D10722" s="4" t="n">
        <v>2013</v>
      </c>
      <c r="E10722" s="13" t="inlineStr">
        <is>
          <t>General</t>
        </is>
      </c>
      <c r="F10722" s="5" t="n">
        <v>999</v>
      </c>
      <c r="G10722" s="5" t="n">
        <v>5511</v>
      </c>
      <c r="H10722" s="5" t="n">
        <v>76</v>
      </c>
      <c r="I10722" s="5" t="n">
        <v>65</v>
      </c>
      <c r="J10722" s="5" t="n">
        <v>11</v>
      </c>
      <c r="K10722" s="10">
        <f>IF(F10722&gt;0,H10722/F10722,"")</f>
        <v/>
      </c>
      <c r="L10722" s="16">
        <f>IF(AND(G10722&gt;0,H10722&gt;0),G10722/H10722,"")</f>
        <v/>
      </c>
    </row>
    <row r="10723">
      <c r="A10723" s="4" t="inlineStr">
        <is>
          <t>432</t>
        </is>
      </c>
      <c r="B10723" s="4" t="n">
        <v>4</v>
      </c>
      <c r="C10723" s="4" t="inlineStr">
        <is>
          <t>whitetail</t>
        </is>
      </c>
      <c r="D10723" s="4" t="n">
        <v>2014</v>
      </c>
      <c r="E10723" s="13" t="inlineStr">
        <is>
          <t>General</t>
        </is>
      </c>
      <c r="F10723" s="5" t="n"/>
      <c r="G10723" s="5" t="n"/>
      <c r="H10723" s="5" t="n">
        <v>62</v>
      </c>
      <c r="I10723" s="5" t="n">
        <v>59</v>
      </c>
      <c r="J10723" s="5" t="n">
        <v>3</v>
      </c>
      <c r="K10723" s="10">
        <f>IF(F10723&gt;0,H10723/F10723,"")</f>
        <v/>
      </c>
      <c r="L10723" s="16">
        <f>IF(AND(G10723&gt;0,H10723&gt;0),G10723/H10723,"")</f>
        <v/>
      </c>
    </row>
    <row r="10724">
      <c r="A10724" s="4" t="inlineStr">
        <is>
          <t>432</t>
        </is>
      </c>
      <c r="B10724" s="4" t="n">
        <v>4</v>
      </c>
      <c r="C10724" s="4" t="inlineStr">
        <is>
          <t>whitetail</t>
        </is>
      </c>
      <c r="D10724" s="4" t="n">
        <v>2015</v>
      </c>
      <c r="E10724" s="13" t="inlineStr">
        <is>
          <t>General</t>
        </is>
      </c>
      <c r="F10724" s="5" t="n"/>
      <c r="G10724" s="5" t="n"/>
      <c r="H10724" s="5" t="n">
        <v>62</v>
      </c>
      <c r="I10724" s="5" t="n">
        <v>51</v>
      </c>
      <c r="J10724" s="5" t="n">
        <v>11</v>
      </c>
      <c r="K10724" s="10">
        <f>IF(F10724&gt;0,H10724/F10724,"")</f>
        <v/>
      </c>
      <c r="L10724" s="16">
        <f>IF(AND(G10724&gt;0,H10724&gt;0),G10724/H10724,"")</f>
        <v/>
      </c>
    </row>
    <row r="10725">
      <c r="A10725" s="4" t="inlineStr">
        <is>
          <t>432</t>
        </is>
      </c>
      <c r="B10725" s="4" t="n">
        <v>4</v>
      </c>
      <c r="C10725" s="4" t="inlineStr">
        <is>
          <t>whitetail</t>
        </is>
      </c>
      <c r="D10725" s="4" t="n">
        <v>2016</v>
      </c>
      <c r="E10725" s="13" t="inlineStr">
        <is>
          <t>General</t>
        </is>
      </c>
      <c r="F10725" s="5" t="n"/>
      <c r="G10725" s="5" t="n"/>
      <c r="H10725" s="5" t="n">
        <v>73</v>
      </c>
      <c r="I10725" s="5" t="n">
        <v>67</v>
      </c>
      <c r="J10725" s="5" t="n">
        <v>6</v>
      </c>
      <c r="K10725" s="10">
        <f>IF(F10725&gt;0,H10725/F10725,"")</f>
        <v/>
      </c>
      <c r="L10725" s="16">
        <f>IF(AND(G10725&gt;0,H10725&gt;0),G10725/H10725,"")</f>
        <v/>
      </c>
    </row>
    <row r="10726">
      <c r="A10726" s="4" t="inlineStr">
        <is>
          <t>432</t>
        </is>
      </c>
      <c r="B10726" s="4" t="n">
        <v>4</v>
      </c>
      <c r="C10726" s="4" t="inlineStr">
        <is>
          <t>whitetail</t>
        </is>
      </c>
      <c r="D10726" s="4" t="n">
        <v>2017</v>
      </c>
      <c r="E10726" s="13" t="inlineStr">
        <is>
          <t>General</t>
        </is>
      </c>
      <c r="F10726" s="5" t="n">
        <v>919</v>
      </c>
      <c r="G10726" s="5" t="n">
        <v>4590</v>
      </c>
      <c r="H10726" s="5" t="n">
        <v>74</v>
      </c>
      <c r="I10726" s="5" t="n">
        <v>53</v>
      </c>
      <c r="J10726" s="5" t="n">
        <v>18</v>
      </c>
      <c r="K10726" s="10">
        <f>IF(F10726&gt;0,H10726/F10726,"")</f>
        <v/>
      </c>
      <c r="L10726" s="16">
        <f>IF(AND(G10726&gt;0,H10726&gt;0),G10726/H10726,"")</f>
        <v/>
      </c>
    </row>
    <row r="10727">
      <c r="A10727" s="4" t="inlineStr">
        <is>
          <t>432</t>
        </is>
      </c>
      <c r="B10727" s="4" t="n">
        <v>4</v>
      </c>
      <c r="C10727" s="4" t="inlineStr">
        <is>
          <t>whitetail</t>
        </is>
      </c>
      <c r="D10727" s="4" t="n">
        <v>2018</v>
      </c>
      <c r="E10727" s="13" t="inlineStr">
        <is>
          <t>General</t>
        </is>
      </c>
      <c r="F10727" s="5" t="n"/>
      <c r="G10727" s="5" t="n"/>
      <c r="H10727" s="5" t="n">
        <v>125</v>
      </c>
      <c r="I10727" s="5" t="n">
        <v>72</v>
      </c>
      <c r="J10727" s="5" t="n">
        <v>50</v>
      </c>
      <c r="K10727" s="10">
        <f>IF(F10727&gt;0,H10727/F10727,"")</f>
        <v/>
      </c>
      <c r="L10727" s="16">
        <f>IF(AND(G10727&gt;0,H10727&gt;0),G10727/H10727,"")</f>
        <v/>
      </c>
    </row>
    <row r="10728">
      <c r="A10728" s="4" t="inlineStr">
        <is>
          <t>432</t>
        </is>
      </c>
      <c r="B10728" s="4" t="n">
        <v>4</v>
      </c>
      <c r="C10728" s="4" t="inlineStr">
        <is>
          <t>whitetail</t>
        </is>
      </c>
      <c r="D10728" s="4" t="n">
        <v>2019</v>
      </c>
      <c r="E10728" s="13" t="inlineStr">
        <is>
          <t>General</t>
        </is>
      </c>
      <c r="F10728" s="5" t="n">
        <v>721</v>
      </c>
      <c r="G10728" s="5" t="n">
        <v>4186</v>
      </c>
      <c r="H10728" s="5" t="n">
        <v>93</v>
      </c>
      <c r="I10728" s="5" t="n">
        <v>54</v>
      </c>
      <c r="J10728" s="5" t="n">
        <v>39</v>
      </c>
      <c r="K10728" s="10">
        <f>IF(F10728&gt;0,H10728/F10728,"")</f>
        <v/>
      </c>
      <c r="L10728" s="16">
        <f>IF(AND(G10728&gt;0,H10728&gt;0),G10728/H10728,"")</f>
        <v/>
      </c>
    </row>
    <row r="10729">
      <c r="A10729" s="4" t="inlineStr">
        <is>
          <t>432</t>
        </is>
      </c>
      <c r="B10729" s="4" t="n">
        <v>4</v>
      </c>
      <c r="C10729" s="4" t="inlineStr">
        <is>
          <t>whitetail</t>
        </is>
      </c>
      <c r="D10729" s="4" t="n">
        <v>2020</v>
      </c>
      <c r="E10729" s="13" t="inlineStr">
        <is>
          <t>General</t>
        </is>
      </c>
      <c r="F10729" s="5" t="n"/>
      <c r="G10729" s="5" t="n"/>
      <c r="H10729" s="5" t="n">
        <v>97</v>
      </c>
      <c r="I10729" s="5" t="n">
        <v>50</v>
      </c>
      <c r="J10729" s="5" t="n">
        <v>46</v>
      </c>
      <c r="K10729" s="10">
        <f>IF(F10729&gt;0,H10729/F10729,"")</f>
        <v/>
      </c>
      <c r="L10729" s="16">
        <f>IF(AND(G10729&gt;0,H10729&gt;0),G10729/H10729,"")</f>
        <v/>
      </c>
    </row>
    <row r="10730">
      <c r="A10730" s="4" t="inlineStr">
        <is>
          <t>432</t>
        </is>
      </c>
      <c r="B10730" s="4" t="n">
        <v>4</v>
      </c>
      <c r="C10730" s="4" t="inlineStr">
        <is>
          <t>whitetail</t>
        </is>
      </c>
      <c r="D10730" s="4" t="n">
        <v>2021</v>
      </c>
      <c r="E10730" s="13" t="inlineStr">
        <is>
          <t>General</t>
        </is>
      </c>
      <c r="F10730" s="5" t="n">
        <v>691</v>
      </c>
      <c r="G10730" s="5" t="n">
        <v>3436</v>
      </c>
      <c r="H10730" s="5" t="n">
        <v>75</v>
      </c>
      <c r="I10730" s="5" t="n">
        <v>35</v>
      </c>
      <c r="J10730" s="5" t="n">
        <v>40</v>
      </c>
      <c r="K10730" s="10">
        <f>IF(F10730&gt;0,H10730/F10730,"")</f>
        <v/>
      </c>
      <c r="L10730" s="16">
        <f>IF(AND(G10730&gt;0,H10730&gt;0),G10730/H10730,"")</f>
        <v/>
      </c>
    </row>
    <row r="10731">
      <c r="A10731" s="4" t="inlineStr">
        <is>
          <t>441</t>
        </is>
      </c>
      <c r="B10731" s="4" t="n">
        <v>4</v>
      </c>
      <c r="C10731" s="4" t="inlineStr">
        <is>
          <t>whitetail</t>
        </is>
      </c>
      <c r="D10731" s="4" t="n">
        <v>2004</v>
      </c>
      <c r="E10731" s="13" t="inlineStr">
        <is>
          <t>General</t>
        </is>
      </c>
      <c r="F10731" s="5" t="n">
        <v>638</v>
      </c>
      <c r="G10731" s="5" t="n">
        <v>3373</v>
      </c>
      <c r="H10731" s="5" t="n">
        <v>156</v>
      </c>
      <c r="I10731" s="5" t="n">
        <v>74</v>
      </c>
      <c r="J10731" s="5" t="n">
        <v>79</v>
      </c>
      <c r="K10731" s="10">
        <f>IF(F10731&gt;0,H10731/F10731,"")</f>
        <v/>
      </c>
      <c r="L10731" s="16">
        <f>IF(AND(G10731&gt;0,H10731&gt;0),G10731/H10731,"")</f>
        <v/>
      </c>
    </row>
    <row r="10732">
      <c r="A10732" s="4" t="inlineStr">
        <is>
          <t>441</t>
        </is>
      </c>
      <c r="B10732" s="4" t="n">
        <v>4</v>
      </c>
      <c r="C10732" s="4" t="inlineStr">
        <is>
          <t>whitetail</t>
        </is>
      </c>
      <c r="D10732" s="4" t="n">
        <v>2005</v>
      </c>
      <c r="E10732" s="13" t="inlineStr">
        <is>
          <t>General</t>
        </is>
      </c>
      <c r="F10732" s="5" t="n">
        <v>651</v>
      </c>
      <c r="G10732" s="5" t="n">
        <v>3094</v>
      </c>
      <c r="H10732" s="5" t="n">
        <v>186</v>
      </c>
      <c r="I10732" s="5" t="n">
        <v>102</v>
      </c>
      <c r="J10732" s="5" t="n">
        <v>83</v>
      </c>
      <c r="K10732" s="10">
        <f>IF(F10732&gt;0,H10732/F10732,"")</f>
        <v/>
      </c>
      <c r="L10732" s="16">
        <f>IF(AND(G10732&gt;0,H10732&gt;0),G10732/H10732,"")</f>
        <v/>
      </c>
    </row>
    <row r="10733">
      <c r="A10733" s="4" t="inlineStr">
        <is>
          <t>441</t>
        </is>
      </c>
      <c r="B10733" s="4" t="n">
        <v>4</v>
      </c>
      <c r="C10733" s="4" t="inlineStr">
        <is>
          <t>whitetail</t>
        </is>
      </c>
      <c r="D10733" s="4" t="n">
        <v>2006</v>
      </c>
      <c r="E10733" s="13" t="inlineStr">
        <is>
          <t>General</t>
        </is>
      </c>
      <c r="F10733" s="5" t="n">
        <v>684</v>
      </c>
      <c r="G10733" s="5" t="n">
        <v>3564</v>
      </c>
      <c r="H10733" s="5" t="n">
        <v>193</v>
      </c>
      <c r="I10733" s="5" t="n">
        <v>127</v>
      </c>
      <c r="J10733" s="5" t="n">
        <v>67</v>
      </c>
      <c r="K10733" s="10">
        <f>IF(F10733&gt;0,H10733/F10733,"")</f>
        <v/>
      </c>
      <c r="L10733" s="16">
        <f>IF(AND(G10733&gt;0,H10733&gt;0),G10733/H10733,"")</f>
        <v/>
      </c>
    </row>
    <row r="10734">
      <c r="A10734" s="4" t="inlineStr">
        <is>
          <t>441</t>
        </is>
      </c>
      <c r="B10734" s="4" t="n">
        <v>4</v>
      </c>
      <c r="C10734" s="4" t="inlineStr">
        <is>
          <t>whitetail</t>
        </is>
      </c>
      <c r="D10734" s="4" t="n">
        <v>2007</v>
      </c>
      <c r="E10734" s="13" t="inlineStr">
        <is>
          <t>General</t>
        </is>
      </c>
      <c r="F10734" s="5" t="n">
        <v>818</v>
      </c>
      <c r="G10734" s="5" t="n">
        <v>3921</v>
      </c>
      <c r="H10734" s="5" t="n">
        <v>212</v>
      </c>
      <c r="I10734" s="5" t="n">
        <v>118</v>
      </c>
      <c r="J10734" s="5" t="n">
        <v>95</v>
      </c>
      <c r="K10734" s="10">
        <f>IF(F10734&gt;0,H10734/F10734,"")</f>
        <v/>
      </c>
      <c r="L10734" s="16">
        <f>IF(AND(G10734&gt;0,H10734&gt;0),G10734/H10734,"")</f>
        <v/>
      </c>
    </row>
    <row r="10735">
      <c r="A10735" s="4" t="inlineStr">
        <is>
          <t>441</t>
        </is>
      </c>
      <c r="B10735" s="4" t="n">
        <v>4</v>
      </c>
      <c r="C10735" s="4" t="inlineStr">
        <is>
          <t>whitetail</t>
        </is>
      </c>
      <c r="D10735" s="4" t="n">
        <v>2008</v>
      </c>
      <c r="E10735" s="13" t="inlineStr">
        <is>
          <t>General</t>
        </is>
      </c>
      <c r="F10735" s="5" t="n">
        <v>860</v>
      </c>
      <c r="G10735" s="5" t="n">
        <v>4833</v>
      </c>
      <c r="H10735" s="5" t="n">
        <v>153</v>
      </c>
      <c r="I10735" s="5" t="n">
        <v>86</v>
      </c>
      <c r="J10735" s="5" t="n">
        <v>67</v>
      </c>
      <c r="K10735" s="10">
        <f>IF(F10735&gt;0,H10735/F10735,"")</f>
        <v/>
      </c>
      <c r="L10735" s="16">
        <f>IF(AND(G10735&gt;0,H10735&gt;0),G10735/H10735,"")</f>
        <v/>
      </c>
    </row>
    <row r="10736">
      <c r="A10736" s="4" t="inlineStr">
        <is>
          <t>441</t>
        </is>
      </c>
      <c r="B10736" s="4" t="n">
        <v>4</v>
      </c>
      <c r="C10736" s="4" t="inlineStr">
        <is>
          <t>whitetail</t>
        </is>
      </c>
      <c r="D10736" s="4" t="n">
        <v>2009</v>
      </c>
      <c r="E10736" s="13" t="inlineStr">
        <is>
          <t>General</t>
        </is>
      </c>
      <c r="F10736" s="5" t="n">
        <v>846</v>
      </c>
      <c r="G10736" s="5" t="n">
        <v>4442</v>
      </c>
      <c r="H10736" s="5" t="n">
        <v>154</v>
      </c>
      <c r="I10736" s="5" t="n">
        <v>87</v>
      </c>
      <c r="J10736" s="5" t="n">
        <v>61</v>
      </c>
      <c r="K10736" s="10">
        <f>IF(F10736&gt;0,H10736/F10736,"")</f>
        <v/>
      </c>
      <c r="L10736" s="16">
        <f>IF(AND(G10736&gt;0,H10736&gt;0),G10736/H10736,"")</f>
        <v/>
      </c>
    </row>
    <row r="10737">
      <c r="A10737" s="4" t="inlineStr">
        <is>
          <t>441</t>
        </is>
      </c>
      <c r="B10737" s="4" t="n">
        <v>4</v>
      </c>
      <c r="C10737" s="4" t="inlineStr">
        <is>
          <t>whitetail</t>
        </is>
      </c>
      <c r="D10737" s="4" t="n">
        <v>2010</v>
      </c>
      <c r="E10737" s="13" t="inlineStr">
        <is>
          <t>General</t>
        </is>
      </c>
      <c r="F10737" s="5" t="n">
        <v>823</v>
      </c>
      <c r="G10737" s="5" t="n">
        <v>4302</v>
      </c>
      <c r="H10737" s="5" t="n">
        <v>204</v>
      </c>
      <c r="I10737" s="5" t="n">
        <v>118</v>
      </c>
      <c r="J10737" s="5" t="n">
        <v>85</v>
      </c>
      <c r="K10737" s="10">
        <f>IF(F10737&gt;0,H10737/F10737,"")</f>
        <v/>
      </c>
      <c r="L10737" s="16">
        <f>IF(AND(G10737&gt;0,H10737&gt;0),G10737/H10737,"")</f>
        <v/>
      </c>
    </row>
    <row r="10738">
      <c r="A10738" s="4" t="inlineStr">
        <is>
          <t>441</t>
        </is>
      </c>
      <c r="B10738" s="4" t="n">
        <v>4</v>
      </c>
      <c r="C10738" s="4" t="inlineStr">
        <is>
          <t>whitetail</t>
        </is>
      </c>
      <c r="D10738" s="4" t="n">
        <v>2011</v>
      </c>
      <c r="E10738" s="13" t="inlineStr">
        <is>
          <t>General</t>
        </is>
      </c>
      <c r="F10738" s="5" t="n">
        <v>832</v>
      </c>
      <c r="G10738" s="5" t="n">
        <v>4402</v>
      </c>
      <c r="H10738" s="5" t="n">
        <v>172</v>
      </c>
      <c r="I10738" s="5" t="n">
        <v>79</v>
      </c>
      <c r="J10738" s="5" t="n">
        <v>88</v>
      </c>
      <c r="K10738" s="10">
        <f>IF(F10738&gt;0,H10738/F10738,"")</f>
        <v/>
      </c>
      <c r="L10738" s="16">
        <f>IF(AND(G10738&gt;0,H10738&gt;0),G10738/H10738,"")</f>
        <v/>
      </c>
    </row>
    <row r="10739">
      <c r="A10739" s="4" t="inlineStr">
        <is>
          <t>441</t>
        </is>
      </c>
      <c r="B10739" s="4" t="n">
        <v>4</v>
      </c>
      <c r="C10739" s="4" t="inlineStr">
        <is>
          <t>whitetail</t>
        </is>
      </c>
      <c r="D10739" s="4" t="n">
        <v>2012</v>
      </c>
      <c r="E10739" s="13" t="inlineStr">
        <is>
          <t>General</t>
        </is>
      </c>
      <c r="F10739" s="5" t="n"/>
      <c r="G10739" s="5" t="n"/>
      <c r="H10739" s="5" t="n">
        <v>190</v>
      </c>
      <c r="I10739" s="5" t="n">
        <v>75</v>
      </c>
      <c r="J10739" s="5" t="n">
        <v>114</v>
      </c>
      <c r="K10739" s="10">
        <f>IF(F10739&gt;0,H10739/F10739,"")</f>
        <v/>
      </c>
      <c r="L10739" s="16">
        <f>IF(AND(G10739&gt;0,H10739&gt;0),G10739/H10739,"")</f>
        <v/>
      </c>
    </row>
    <row r="10740">
      <c r="A10740" s="4" t="inlineStr">
        <is>
          <t>441</t>
        </is>
      </c>
      <c r="B10740" s="4" t="n">
        <v>4</v>
      </c>
      <c r="C10740" s="4" t="inlineStr">
        <is>
          <t>whitetail</t>
        </is>
      </c>
      <c r="D10740" s="4" t="n">
        <v>2013</v>
      </c>
      <c r="E10740" s="13" t="inlineStr">
        <is>
          <t>General</t>
        </is>
      </c>
      <c r="F10740" s="5" t="n">
        <v>860</v>
      </c>
      <c r="G10740" s="5" t="n">
        <v>4506</v>
      </c>
      <c r="H10740" s="5" t="n">
        <v>130</v>
      </c>
      <c r="I10740" s="5" t="n">
        <v>76</v>
      </c>
      <c r="J10740" s="5" t="n">
        <v>54</v>
      </c>
      <c r="K10740" s="10">
        <f>IF(F10740&gt;0,H10740/F10740,"")</f>
        <v/>
      </c>
      <c r="L10740" s="16">
        <f>IF(AND(G10740&gt;0,H10740&gt;0),G10740/H10740,"")</f>
        <v/>
      </c>
    </row>
    <row r="10741">
      <c r="A10741" s="4" t="inlineStr">
        <is>
          <t>441</t>
        </is>
      </c>
      <c r="B10741" s="4" t="n">
        <v>4</v>
      </c>
      <c r="C10741" s="4" t="inlineStr">
        <is>
          <t>whitetail</t>
        </is>
      </c>
      <c r="D10741" s="4" t="n">
        <v>2014</v>
      </c>
      <c r="E10741" s="13" t="inlineStr">
        <is>
          <t>General</t>
        </is>
      </c>
      <c r="F10741" s="5" t="n"/>
      <c r="G10741" s="5" t="n"/>
      <c r="H10741" s="5" t="n">
        <v>155</v>
      </c>
      <c r="I10741" s="5" t="n">
        <v>109</v>
      </c>
      <c r="J10741" s="5" t="n">
        <v>37</v>
      </c>
      <c r="K10741" s="10">
        <f>IF(F10741&gt;0,H10741/F10741,"")</f>
        <v/>
      </c>
      <c r="L10741" s="16">
        <f>IF(AND(G10741&gt;0,H10741&gt;0),G10741/H10741,"")</f>
        <v/>
      </c>
    </row>
    <row r="10742">
      <c r="A10742" s="4" t="inlineStr">
        <is>
          <t>441</t>
        </is>
      </c>
      <c r="B10742" s="4" t="n">
        <v>4</v>
      </c>
      <c r="C10742" s="4" t="inlineStr">
        <is>
          <t>whitetail</t>
        </is>
      </c>
      <c r="D10742" s="4" t="n">
        <v>2015</v>
      </c>
      <c r="E10742" s="13" t="inlineStr">
        <is>
          <t>General</t>
        </is>
      </c>
      <c r="F10742" s="5" t="n"/>
      <c r="G10742" s="5" t="n"/>
      <c r="H10742" s="5" t="n">
        <v>203</v>
      </c>
      <c r="I10742" s="5" t="n">
        <v>145</v>
      </c>
      <c r="J10742" s="5" t="n">
        <v>52</v>
      </c>
      <c r="K10742" s="10">
        <f>IF(F10742&gt;0,H10742/F10742,"")</f>
        <v/>
      </c>
      <c r="L10742" s="16">
        <f>IF(AND(G10742&gt;0,H10742&gt;0),G10742/H10742,"")</f>
        <v/>
      </c>
    </row>
    <row r="10743">
      <c r="A10743" s="4" t="inlineStr">
        <is>
          <t>441</t>
        </is>
      </c>
      <c r="B10743" s="4" t="n">
        <v>4</v>
      </c>
      <c r="C10743" s="4" t="inlineStr">
        <is>
          <t>whitetail</t>
        </is>
      </c>
      <c r="D10743" s="4" t="n">
        <v>2016</v>
      </c>
      <c r="E10743" s="13" t="inlineStr">
        <is>
          <t>General</t>
        </is>
      </c>
      <c r="F10743" s="5" t="n"/>
      <c r="G10743" s="5" t="n"/>
      <c r="H10743" s="5" t="n">
        <v>216</v>
      </c>
      <c r="I10743" s="5" t="n">
        <v>119</v>
      </c>
      <c r="J10743" s="5" t="n">
        <v>94</v>
      </c>
      <c r="K10743" s="10">
        <f>IF(F10743&gt;0,H10743/F10743,"")</f>
        <v/>
      </c>
      <c r="L10743" s="16">
        <f>IF(AND(G10743&gt;0,H10743&gt;0),G10743/H10743,"")</f>
        <v/>
      </c>
    </row>
    <row r="10744">
      <c r="A10744" s="4" t="inlineStr">
        <is>
          <t>441</t>
        </is>
      </c>
      <c r="B10744" s="4" t="n">
        <v>4</v>
      </c>
      <c r="C10744" s="4" t="inlineStr">
        <is>
          <t>whitetail</t>
        </is>
      </c>
      <c r="D10744" s="4" t="n">
        <v>2017</v>
      </c>
      <c r="E10744" s="13" t="inlineStr">
        <is>
          <t>General</t>
        </is>
      </c>
      <c r="F10744" s="5" t="n">
        <v>637</v>
      </c>
      <c r="G10744" s="5" t="n">
        <v>3313</v>
      </c>
      <c r="H10744" s="5" t="n">
        <v>240</v>
      </c>
      <c r="I10744" s="5" t="n">
        <v>120</v>
      </c>
      <c r="J10744" s="5" t="n">
        <v>120</v>
      </c>
      <c r="K10744" s="10">
        <f>IF(F10744&gt;0,H10744/F10744,"")</f>
        <v/>
      </c>
      <c r="L10744" s="16">
        <f>IF(AND(G10744&gt;0,H10744&gt;0),G10744/H10744,"")</f>
        <v/>
      </c>
    </row>
    <row r="10745">
      <c r="A10745" s="4" t="inlineStr">
        <is>
          <t>441</t>
        </is>
      </c>
      <c r="B10745" s="4" t="n">
        <v>4</v>
      </c>
      <c r="C10745" s="4" t="inlineStr">
        <is>
          <t>whitetail</t>
        </is>
      </c>
      <c r="D10745" s="4" t="n">
        <v>2018</v>
      </c>
      <c r="E10745" s="13" t="inlineStr">
        <is>
          <t>General</t>
        </is>
      </c>
      <c r="F10745" s="5" t="n"/>
      <c r="G10745" s="5" t="n"/>
      <c r="H10745" s="5" t="n">
        <v>189</v>
      </c>
      <c r="I10745" s="5" t="n">
        <v>95</v>
      </c>
      <c r="J10745" s="5" t="n">
        <v>92</v>
      </c>
      <c r="K10745" s="10">
        <f>IF(F10745&gt;0,H10745/F10745,"")</f>
        <v/>
      </c>
      <c r="L10745" s="16">
        <f>IF(AND(G10745&gt;0,H10745&gt;0),G10745/H10745,"")</f>
        <v/>
      </c>
    </row>
    <row r="10746">
      <c r="A10746" s="4" t="inlineStr">
        <is>
          <t>441</t>
        </is>
      </c>
      <c r="B10746" s="4" t="n">
        <v>4</v>
      </c>
      <c r="C10746" s="4" t="inlineStr">
        <is>
          <t>whitetail</t>
        </is>
      </c>
      <c r="D10746" s="4" t="n">
        <v>2019</v>
      </c>
      <c r="E10746" s="13" t="inlineStr">
        <is>
          <t>General</t>
        </is>
      </c>
      <c r="F10746" s="5" t="n">
        <v>602</v>
      </c>
      <c r="G10746" s="5" t="n">
        <v>3235</v>
      </c>
      <c r="H10746" s="5" t="n">
        <v>127</v>
      </c>
      <c r="I10746" s="5" t="n">
        <v>81</v>
      </c>
      <c r="J10746" s="5" t="n">
        <v>46</v>
      </c>
      <c r="K10746" s="10">
        <f>IF(F10746&gt;0,H10746/F10746,"")</f>
        <v/>
      </c>
      <c r="L10746" s="16">
        <f>IF(AND(G10746&gt;0,H10746&gt;0),G10746/H10746,"")</f>
        <v/>
      </c>
    </row>
    <row r="10747">
      <c r="A10747" s="4" t="inlineStr">
        <is>
          <t>441</t>
        </is>
      </c>
      <c r="B10747" s="4" t="n">
        <v>4</v>
      </c>
      <c r="C10747" s="4" t="inlineStr">
        <is>
          <t>whitetail</t>
        </is>
      </c>
      <c r="D10747" s="4" t="n">
        <v>2020</v>
      </c>
      <c r="E10747" s="13" t="inlineStr">
        <is>
          <t>General</t>
        </is>
      </c>
      <c r="F10747" s="5" t="n"/>
      <c r="G10747" s="5" t="n"/>
      <c r="H10747" s="5" t="n">
        <v>164</v>
      </c>
      <c r="I10747" s="5" t="n">
        <v>88</v>
      </c>
      <c r="J10747" s="5" t="n">
        <v>76</v>
      </c>
      <c r="K10747" s="10">
        <f>IF(F10747&gt;0,H10747/F10747,"")</f>
        <v/>
      </c>
      <c r="L10747" s="16">
        <f>IF(AND(G10747&gt;0,H10747&gt;0),G10747/H10747,"")</f>
        <v/>
      </c>
    </row>
    <row r="10748">
      <c r="A10748" s="4" t="inlineStr">
        <is>
          <t>441</t>
        </is>
      </c>
      <c r="B10748" s="4" t="n">
        <v>4</v>
      </c>
      <c r="C10748" s="4" t="inlineStr">
        <is>
          <t>whitetail</t>
        </is>
      </c>
      <c r="D10748" s="4" t="n">
        <v>2021</v>
      </c>
      <c r="E10748" s="13" t="inlineStr">
        <is>
          <t>General</t>
        </is>
      </c>
      <c r="F10748" s="5" t="n">
        <v>526</v>
      </c>
      <c r="G10748" s="5" t="n">
        <v>3273</v>
      </c>
      <c r="H10748" s="5" t="n">
        <v>137</v>
      </c>
      <c r="I10748" s="5" t="n">
        <v>89</v>
      </c>
      <c r="J10748" s="5" t="n">
        <v>48</v>
      </c>
      <c r="K10748" s="10">
        <f>IF(F10748&gt;0,H10748/F10748,"")</f>
        <v/>
      </c>
      <c r="L10748" s="16">
        <f>IF(AND(G10748&gt;0,H10748&gt;0),G10748/H10748,"")</f>
        <v/>
      </c>
    </row>
    <row r="10749">
      <c r="A10749" s="4" t="inlineStr">
        <is>
          <t>441</t>
        </is>
      </c>
      <c r="B10749" s="4" t="n">
        <v>4</v>
      </c>
      <c r="C10749" s="4" t="inlineStr">
        <is>
          <t>whitetail</t>
        </is>
      </c>
      <c r="D10749" s="4" t="n">
        <v>2022</v>
      </c>
      <c r="E10749" s="13" t="inlineStr">
        <is>
          <t>General</t>
        </is>
      </c>
      <c r="F10749" s="5" t="n"/>
      <c r="G10749" s="5" t="n"/>
      <c r="H10749" s="5" t="n">
        <v>161</v>
      </c>
      <c r="I10749" s="5" t="n">
        <v>100</v>
      </c>
      <c r="J10749" s="5" t="n">
        <v>62</v>
      </c>
      <c r="K10749" s="10">
        <f>IF(F10749&gt;0,H10749/F10749,"")</f>
        <v/>
      </c>
      <c r="L10749" s="16">
        <f>IF(AND(G10749&gt;0,H10749&gt;0),G10749/H10749,"")</f>
        <v/>
      </c>
    </row>
    <row r="10750">
      <c r="A10750" s="4" t="inlineStr">
        <is>
          <t>441</t>
        </is>
      </c>
      <c r="B10750" s="4" t="n">
        <v>4</v>
      </c>
      <c r="C10750" s="4" t="inlineStr">
        <is>
          <t>whitetail</t>
        </is>
      </c>
      <c r="D10750" s="4" t="n">
        <v>2023</v>
      </c>
      <c r="E10750" s="13" t="inlineStr">
        <is>
          <t>General</t>
        </is>
      </c>
      <c r="F10750" s="5" t="n">
        <v>631</v>
      </c>
      <c r="G10750" s="5" t="n">
        <v>3567</v>
      </c>
      <c r="H10750" s="5" t="n">
        <v>185</v>
      </c>
      <c r="I10750" s="5" t="n">
        <v>101</v>
      </c>
      <c r="J10750" s="5" t="n">
        <v>81</v>
      </c>
      <c r="K10750" s="10">
        <f>IF(F10750&gt;0,H10750/F10750,"")</f>
        <v/>
      </c>
      <c r="L10750" s="16">
        <f>IF(AND(G10750&gt;0,H10750&gt;0),G10750/H10750,"")</f>
        <v/>
      </c>
    </row>
    <row r="10751">
      <c r="A10751" s="4" t="inlineStr">
        <is>
          <t>441</t>
        </is>
      </c>
      <c r="B10751" s="4" t="n">
        <v>4</v>
      </c>
      <c r="C10751" s="4" t="inlineStr">
        <is>
          <t>whitetail</t>
        </is>
      </c>
      <c r="D10751" s="4" t="n">
        <v>2024</v>
      </c>
      <c r="E10751" s="13" t="inlineStr">
        <is>
          <t>General</t>
        </is>
      </c>
      <c r="F10751" s="5" t="n"/>
      <c r="G10751" s="5" t="n"/>
      <c r="H10751" s="5" t="n">
        <v>149</v>
      </c>
      <c r="I10751" s="5" t="n">
        <v>81</v>
      </c>
      <c r="J10751" s="5" t="n">
        <v>68</v>
      </c>
      <c r="K10751" s="10">
        <f>IF(F10751&gt;0,H10751/F10751,"")</f>
        <v/>
      </c>
      <c r="L10751" s="16">
        <f>IF(AND(G10751&gt;0,H10751&gt;0),G10751/H10751,"")</f>
        <v/>
      </c>
    </row>
    <row r="10752">
      <c r="A10752" s="4" t="inlineStr">
        <is>
          <t>441</t>
        </is>
      </c>
      <c r="B10752" s="4" t="n">
        <v>4</v>
      </c>
      <c r="C10752" s="4" t="inlineStr">
        <is>
          <t>whitetail</t>
        </is>
      </c>
      <c r="D10752" s="4" t="n">
        <v>2025</v>
      </c>
      <c r="E10752" s="13" t="inlineStr">
        <is>
          <t>General</t>
        </is>
      </c>
      <c r="F10752" s="5" t="n">
        <v>532</v>
      </c>
      <c r="G10752" s="5" t="n">
        <v>3236</v>
      </c>
      <c r="H10752" s="5" t="n">
        <v>144</v>
      </c>
      <c r="I10752" s="5" t="n">
        <v>97</v>
      </c>
      <c r="J10752" s="5" t="n">
        <v>43</v>
      </c>
      <c r="K10752" s="10">
        <f>IF(F10752&gt;0,H10752/F10752,"")</f>
        <v/>
      </c>
      <c r="L10752" s="16">
        <f>IF(AND(G10752&gt;0,H10752&gt;0),G10752/H10752,"")</f>
        <v/>
      </c>
    </row>
    <row r="10753">
      <c r="A10753" s="4" t="inlineStr">
        <is>
          <t>442</t>
        </is>
      </c>
      <c r="B10753" s="4" t="n">
        <v>4</v>
      </c>
      <c r="C10753" s="4" t="inlineStr">
        <is>
          <t>whitetail</t>
        </is>
      </c>
      <c r="D10753" s="4" t="n">
        <v>2004</v>
      </c>
      <c r="E10753" s="13" t="inlineStr">
        <is>
          <t>General</t>
        </is>
      </c>
      <c r="F10753" s="5" t="n">
        <v>710</v>
      </c>
      <c r="G10753" s="5" t="n">
        <v>3873</v>
      </c>
      <c r="H10753" s="5" t="n">
        <v>123</v>
      </c>
      <c r="I10753" s="5" t="n">
        <v>102</v>
      </c>
      <c r="J10753" s="5" t="n">
        <v>19</v>
      </c>
      <c r="K10753" s="10">
        <f>IF(F10753&gt;0,H10753/F10753,"")</f>
        <v/>
      </c>
      <c r="L10753" s="16">
        <f>IF(AND(G10753&gt;0,H10753&gt;0),G10753/H10753,"")</f>
        <v/>
      </c>
    </row>
    <row r="10754">
      <c r="A10754" s="4" t="inlineStr">
        <is>
          <t>442</t>
        </is>
      </c>
      <c r="B10754" s="4" t="n">
        <v>4</v>
      </c>
      <c r="C10754" s="4" t="inlineStr">
        <is>
          <t>whitetail</t>
        </is>
      </c>
      <c r="D10754" s="4" t="n">
        <v>2005</v>
      </c>
      <c r="E10754" s="13" t="inlineStr">
        <is>
          <t>General</t>
        </is>
      </c>
      <c r="F10754" s="5" t="n">
        <v>411</v>
      </c>
      <c r="G10754" s="5" t="n">
        <v>2129</v>
      </c>
      <c r="H10754" s="5" t="n">
        <v>49</v>
      </c>
      <c r="I10754" s="5" t="n">
        <v>39</v>
      </c>
      <c r="J10754" s="5" t="n">
        <v>10</v>
      </c>
      <c r="K10754" s="10">
        <f>IF(F10754&gt;0,H10754/F10754,"")</f>
        <v/>
      </c>
      <c r="L10754" s="16">
        <f>IF(AND(G10754&gt;0,H10754&gt;0),G10754/H10754,"")</f>
        <v/>
      </c>
    </row>
    <row r="10755">
      <c r="A10755" s="4" t="inlineStr">
        <is>
          <t>442</t>
        </is>
      </c>
      <c r="B10755" s="4" t="n">
        <v>4</v>
      </c>
      <c r="C10755" s="4" t="inlineStr">
        <is>
          <t>whitetail</t>
        </is>
      </c>
      <c r="D10755" s="4" t="n">
        <v>2006</v>
      </c>
      <c r="E10755" s="13" t="inlineStr">
        <is>
          <t>General</t>
        </is>
      </c>
      <c r="F10755" s="5" t="n">
        <v>554</v>
      </c>
      <c r="G10755" s="5" t="n">
        <v>2829</v>
      </c>
      <c r="H10755" s="5" t="n">
        <v>134</v>
      </c>
      <c r="I10755" s="5" t="n">
        <v>97</v>
      </c>
      <c r="J10755" s="5" t="n">
        <v>37</v>
      </c>
      <c r="K10755" s="10">
        <f>IF(F10755&gt;0,H10755/F10755,"")</f>
        <v/>
      </c>
      <c r="L10755" s="16">
        <f>IF(AND(G10755&gt;0,H10755&gt;0),G10755/H10755,"")</f>
        <v/>
      </c>
    </row>
    <row r="10756">
      <c r="A10756" s="4" t="inlineStr">
        <is>
          <t>442</t>
        </is>
      </c>
      <c r="B10756" s="4" t="n">
        <v>4</v>
      </c>
      <c r="C10756" s="4" t="inlineStr">
        <is>
          <t>whitetail</t>
        </is>
      </c>
      <c r="D10756" s="4" t="n">
        <v>2007</v>
      </c>
      <c r="E10756" s="13" t="inlineStr">
        <is>
          <t>General</t>
        </is>
      </c>
      <c r="F10756" s="5" t="n">
        <v>524</v>
      </c>
      <c r="G10756" s="5" t="n">
        <v>2920</v>
      </c>
      <c r="H10756" s="5" t="n">
        <v>114</v>
      </c>
      <c r="I10756" s="5" t="n">
        <v>71</v>
      </c>
      <c r="J10756" s="5" t="n">
        <v>43</v>
      </c>
      <c r="K10756" s="10">
        <f>IF(F10756&gt;0,H10756/F10756,"")</f>
        <v/>
      </c>
      <c r="L10756" s="16">
        <f>IF(AND(G10756&gt;0,H10756&gt;0),G10756/H10756,"")</f>
        <v/>
      </c>
    </row>
    <row r="10757">
      <c r="A10757" s="4" t="inlineStr">
        <is>
          <t>442</t>
        </is>
      </c>
      <c r="B10757" s="4" t="n">
        <v>4</v>
      </c>
      <c r="C10757" s="4" t="inlineStr">
        <is>
          <t>whitetail</t>
        </is>
      </c>
      <c r="D10757" s="4" t="n">
        <v>2008</v>
      </c>
      <c r="E10757" s="13" t="inlineStr">
        <is>
          <t>General</t>
        </is>
      </c>
      <c r="F10757" s="5" t="n">
        <v>700</v>
      </c>
      <c r="G10757" s="5" t="n">
        <v>4253</v>
      </c>
      <c r="H10757" s="5" t="n">
        <v>61</v>
      </c>
      <c r="I10757" s="5" t="n">
        <v>50</v>
      </c>
      <c r="J10757" s="5" t="n">
        <v>8</v>
      </c>
      <c r="K10757" s="10">
        <f>IF(F10757&gt;0,H10757/F10757,"")</f>
        <v/>
      </c>
      <c r="L10757" s="16">
        <f>IF(AND(G10757&gt;0,H10757&gt;0),G10757/H10757,"")</f>
        <v/>
      </c>
    </row>
    <row r="10758">
      <c r="A10758" s="4" t="inlineStr">
        <is>
          <t>442</t>
        </is>
      </c>
      <c r="B10758" s="4" t="n">
        <v>4</v>
      </c>
      <c r="C10758" s="4" t="inlineStr">
        <is>
          <t>whitetail</t>
        </is>
      </c>
      <c r="D10758" s="4" t="n">
        <v>2009</v>
      </c>
      <c r="E10758" s="13" t="inlineStr">
        <is>
          <t>General</t>
        </is>
      </c>
      <c r="F10758" s="5" t="n">
        <v>602</v>
      </c>
      <c r="G10758" s="5" t="n">
        <v>3644</v>
      </c>
      <c r="H10758" s="5" t="n">
        <v>80</v>
      </c>
      <c r="I10758" s="5" t="n">
        <v>50</v>
      </c>
      <c r="J10758" s="5" t="n">
        <v>31</v>
      </c>
      <c r="K10758" s="10">
        <f>IF(F10758&gt;0,H10758/F10758,"")</f>
        <v/>
      </c>
      <c r="L10758" s="16">
        <f>IF(AND(G10758&gt;0,H10758&gt;0),G10758/H10758,"")</f>
        <v/>
      </c>
    </row>
    <row r="10759">
      <c r="A10759" s="4" t="inlineStr">
        <is>
          <t>442</t>
        </is>
      </c>
      <c r="B10759" s="4" t="n">
        <v>4</v>
      </c>
      <c r="C10759" s="4" t="inlineStr">
        <is>
          <t>whitetail</t>
        </is>
      </c>
      <c r="D10759" s="4" t="n">
        <v>2010</v>
      </c>
      <c r="E10759" s="13" t="inlineStr">
        <is>
          <t>General</t>
        </is>
      </c>
      <c r="F10759" s="5" t="n">
        <v>626</v>
      </c>
      <c r="G10759" s="5" t="n">
        <v>3643</v>
      </c>
      <c r="H10759" s="5" t="n">
        <v>105</v>
      </c>
      <c r="I10759" s="5" t="n">
        <v>67</v>
      </c>
      <c r="J10759" s="5" t="n">
        <v>38</v>
      </c>
      <c r="K10759" s="10">
        <f>IF(F10759&gt;0,H10759/F10759,"")</f>
        <v/>
      </c>
      <c r="L10759" s="16">
        <f>IF(AND(G10759&gt;0,H10759&gt;0),G10759/H10759,"")</f>
        <v/>
      </c>
    </row>
    <row r="10760">
      <c r="A10760" s="4" t="inlineStr">
        <is>
          <t>442</t>
        </is>
      </c>
      <c r="B10760" s="4" t="n">
        <v>4</v>
      </c>
      <c r="C10760" s="4" t="inlineStr">
        <is>
          <t>whitetail</t>
        </is>
      </c>
      <c r="D10760" s="4" t="n">
        <v>2011</v>
      </c>
      <c r="E10760" s="13" t="inlineStr">
        <is>
          <t>General</t>
        </is>
      </c>
      <c r="F10760" s="5" t="n">
        <v>711</v>
      </c>
      <c r="G10760" s="5" t="n">
        <v>3963</v>
      </c>
      <c r="H10760" s="5" t="n">
        <v>121</v>
      </c>
      <c r="I10760" s="5" t="n">
        <v>78</v>
      </c>
      <c r="J10760" s="5" t="n">
        <v>43</v>
      </c>
      <c r="K10760" s="10">
        <f>IF(F10760&gt;0,H10760/F10760,"")</f>
        <v/>
      </c>
      <c r="L10760" s="16">
        <f>IF(AND(G10760&gt;0,H10760&gt;0),G10760/H10760,"")</f>
        <v/>
      </c>
    </row>
    <row r="10761">
      <c r="A10761" s="4" t="inlineStr">
        <is>
          <t>442</t>
        </is>
      </c>
      <c r="B10761" s="4" t="n">
        <v>4</v>
      </c>
      <c r="C10761" s="4" t="inlineStr">
        <is>
          <t>whitetail</t>
        </is>
      </c>
      <c r="D10761" s="4" t="n">
        <v>2012</v>
      </c>
      <c r="E10761" s="13" t="inlineStr">
        <is>
          <t>General</t>
        </is>
      </c>
      <c r="F10761" s="5" t="n"/>
      <c r="G10761" s="5" t="n"/>
      <c r="H10761" s="5" t="n">
        <v>77</v>
      </c>
      <c r="I10761" s="5" t="n">
        <v>42</v>
      </c>
      <c r="J10761" s="5" t="n">
        <v>32</v>
      </c>
      <c r="K10761" s="10">
        <f>IF(F10761&gt;0,H10761/F10761,"")</f>
        <v/>
      </c>
      <c r="L10761" s="16">
        <f>IF(AND(G10761&gt;0,H10761&gt;0),G10761/H10761,"")</f>
        <v/>
      </c>
    </row>
    <row r="10762">
      <c r="A10762" s="4" t="inlineStr">
        <is>
          <t>442</t>
        </is>
      </c>
      <c r="B10762" s="4" t="n">
        <v>4</v>
      </c>
      <c r="C10762" s="4" t="inlineStr">
        <is>
          <t>whitetail</t>
        </is>
      </c>
      <c r="D10762" s="4" t="n">
        <v>2013</v>
      </c>
      <c r="E10762" s="13" t="inlineStr">
        <is>
          <t>General</t>
        </is>
      </c>
      <c r="F10762" s="5" t="n">
        <v>700</v>
      </c>
      <c r="G10762" s="5" t="n">
        <v>4677</v>
      </c>
      <c r="H10762" s="5" t="n">
        <v>109</v>
      </c>
      <c r="I10762" s="5" t="n">
        <v>81</v>
      </c>
      <c r="J10762" s="5" t="n">
        <v>28</v>
      </c>
      <c r="K10762" s="10">
        <f>IF(F10762&gt;0,H10762/F10762,"")</f>
        <v/>
      </c>
      <c r="L10762" s="16">
        <f>IF(AND(G10762&gt;0,H10762&gt;0),G10762/H10762,"")</f>
        <v/>
      </c>
    </row>
    <row r="10763">
      <c r="A10763" s="4" t="inlineStr">
        <is>
          <t>442</t>
        </is>
      </c>
      <c r="B10763" s="4" t="n">
        <v>4</v>
      </c>
      <c r="C10763" s="4" t="inlineStr">
        <is>
          <t>whitetail</t>
        </is>
      </c>
      <c r="D10763" s="4" t="n">
        <v>2014</v>
      </c>
      <c r="E10763" s="13" t="inlineStr">
        <is>
          <t>General</t>
        </is>
      </c>
      <c r="F10763" s="5" t="n"/>
      <c r="G10763" s="5" t="n"/>
      <c r="H10763" s="5" t="n">
        <v>70</v>
      </c>
      <c r="I10763" s="5" t="n">
        <v>40</v>
      </c>
      <c r="J10763" s="5" t="n">
        <v>31</v>
      </c>
      <c r="K10763" s="10">
        <f>IF(F10763&gt;0,H10763/F10763,"")</f>
        <v/>
      </c>
      <c r="L10763" s="16">
        <f>IF(AND(G10763&gt;0,H10763&gt;0),G10763/H10763,"")</f>
        <v/>
      </c>
    </row>
    <row r="10764">
      <c r="A10764" s="4" t="inlineStr">
        <is>
          <t>442</t>
        </is>
      </c>
      <c r="B10764" s="4" t="n">
        <v>4</v>
      </c>
      <c r="C10764" s="4" t="inlineStr">
        <is>
          <t>whitetail</t>
        </is>
      </c>
      <c r="D10764" s="4" t="n">
        <v>2015</v>
      </c>
      <c r="E10764" s="13" t="inlineStr">
        <is>
          <t>General</t>
        </is>
      </c>
      <c r="F10764" s="5" t="n"/>
      <c r="G10764" s="5" t="n"/>
      <c r="H10764" s="5" t="n">
        <v>70</v>
      </c>
      <c r="I10764" s="5" t="n">
        <v>54</v>
      </c>
      <c r="J10764" s="5" t="n">
        <v>16</v>
      </c>
      <c r="K10764" s="10">
        <f>IF(F10764&gt;0,H10764/F10764,"")</f>
        <v/>
      </c>
      <c r="L10764" s="16">
        <f>IF(AND(G10764&gt;0,H10764&gt;0),G10764/H10764,"")</f>
        <v/>
      </c>
    </row>
    <row r="10765">
      <c r="A10765" s="4" t="inlineStr">
        <is>
          <t>442</t>
        </is>
      </c>
      <c r="B10765" s="4" t="n">
        <v>4</v>
      </c>
      <c r="C10765" s="4" t="inlineStr">
        <is>
          <t>whitetail</t>
        </is>
      </c>
      <c r="D10765" s="4" t="n">
        <v>2016</v>
      </c>
      <c r="E10765" s="13" t="inlineStr">
        <is>
          <t>General</t>
        </is>
      </c>
      <c r="F10765" s="5" t="n"/>
      <c r="G10765" s="5" t="n"/>
      <c r="H10765" s="5" t="n">
        <v>66</v>
      </c>
      <c r="I10765" s="5" t="n">
        <v>50</v>
      </c>
      <c r="J10765" s="5" t="n">
        <v>15</v>
      </c>
      <c r="K10765" s="10">
        <f>IF(F10765&gt;0,H10765/F10765,"")</f>
        <v/>
      </c>
      <c r="L10765" s="16">
        <f>IF(AND(G10765&gt;0,H10765&gt;0),G10765/H10765,"")</f>
        <v/>
      </c>
    </row>
    <row r="10766">
      <c r="A10766" s="4" t="inlineStr">
        <is>
          <t>442</t>
        </is>
      </c>
      <c r="B10766" s="4" t="n">
        <v>4</v>
      </c>
      <c r="C10766" s="4" t="inlineStr">
        <is>
          <t>whitetail</t>
        </is>
      </c>
      <c r="D10766" s="4" t="n">
        <v>2017</v>
      </c>
      <c r="E10766" s="13" t="inlineStr">
        <is>
          <t>General</t>
        </is>
      </c>
      <c r="F10766" s="5" t="n">
        <v>551</v>
      </c>
      <c r="G10766" s="5" t="n">
        <v>3595</v>
      </c>
      <c r="H10766" s="5" t="n">
        <v>82</v>
      </c>
      <c r="I10766" s="5" t="n">
        <v>74</v>
      </c>
      <c r="J10766" s="5" t="n">
        <v>8</v>
      </c>
      <c r="K10766" s="10">
        <f>IF(F10766&gt;0,H10766/F10766,"")</f>
        <v/>
      </c>
      <c r="L10766" s="16">
        <f>IF(AND(G10766&gt;0,H10766&gt;0),G10766/H10766,"")</f>
        <v/>
      </c>
    </row>
    <row r="10767">
      <c r="A10767" s="4" t="inlineStr">
        <is>
          <t>442</t>
        </is>
      </c>
      <c r="B10767" s="4" t="n">
        <v>4</v>
      </c>
      <c r="C10767" s="4" t="inlineStr">
        <is>
          <t>whitetail</t>
        </is>
      </c>
      <c r="D10767" s="4" t="n">
        <v>2018</v>
      </c>
      <c r="E10767" s="13" t="inlineStr">
        <is>
          <t>General</t>
        </is>
      </c>
      <c r="F10767" s="5" t="n"/>
      <c r="G10767" s="5" t="n"/>
      <c r="H10767" s="5" t="n">
        <v>71</v>
      </c>
      <c r="I10767" s="5" t="n">
        <v>50</v>
      </c>
      <c r="J10767" s="5" t="n">
        <v>21</v>
      </c>
      <c r="K10767" s="10">
        <f>IF(F10767&gt;0,H10767/F10767,"")</f>
        <v/>
      </c>
      <c r="L10767" s="16">
        <f>IF(AND(G10767&gt;0,H10767&gt;0),G10767/H10767,"")</f>
        <v/>
      </c>
    </row>
    <row r="10768">
      <c r="A10768" s="4" t="inlineStr">
        <is>
          <t>442</t>
        </is>
      </c>
      <c r="B10768" s="4" t="n">
        <v>4</v>
      </c>
      <c r="C10768" s="4" t="inlineStr">
        <is>
          <t>whitetail</t>
        </is>
      </c>
      <c r="D10768" s="4" t="n">
        <v>2019</v>
      </c>
      <c r="E10768" s="13" t="inlineStr">
        <is>
          <t>General</t>
        </is>
      </c>
      <c r="F10768" s="5" t="n">
        <v>513</v>
      </c>
      <c r="G10768" s="5" t="n">
        <v>2596</v>
      </c>
      <c r="H10768" s="5" t="n">
        <v>53</v>
      </c>
      <c r="I10768" s="5" t="n">
        <v>36</v>
      </c>
      <c r="J10768" s="5" t="n">
        <v>10</v>
      </c>
      <c r="K10768" s="10">
        <f>IF(F10768&gt;0,H10768/F10768,"")</f>
        <v/>
      </c>
      <c r="L10768" s="16">
        <f>IF(AND(G10768&gt;0,H10768&gt;0),G10768/H10768,"")</f>
        <v/>
      </c>
    </row>
    <row r="10769">
      <c r="A10769" s="4" t="inlineStr">
        <is>
          <t>442</t>
        </is>
      </c>
      <c r="B10769" s="4" t="n">
        <v>4</v>
      </c>
      <c r="C10769" s="4" t="inlineStr">
        <is>
          <t>whitetail</t>
        </is>
      </c>
      <c r="D10769" s="4" t="n">
        <v>2020</v>
      </c>
      <c r="E10769" s="13" t="inlineStr">
        <is>
          <t>General</t>
        </is>
      </c>
      <c r="F10769" s="5" t="n"/>
      <c r="G10769" s="5" t="n"/>
      <c r="H10769" s="5" t="n">
        <v>96</v>
      </c>
      <c r="I10769" s="5" t="n">
        <v>53</v>
      </c>
      <c r="J10769" s="5" t="n">
        <v>42</v>
      </c>
      <c r="K10769" s="10">
        <f>IF(F10769&gt;0,H10769/F10769,"")</f>
        <v/>
      </c>
      <c r="L10769" s="16">
        <f>IF(AND(G10769&gt;0,H10769&gt;0),G10769/H10769,"")</f>
        <v/>
      </c>
    </row>
    <row r="10770">
      <c r="A10770" s="4" t="inlineStr">
        <is>
          <t>442</t>
        </is>
      </c>
      <c r="B10770" s="4" t="n">
        <v>4</v>
      </c>
      <c r="C10770" s="4" t="inlineStr">
        <is>
          <t>whitetail</t>
        </is>
      </c>
      <c r="D10770" s="4" t="n">
        <v>2021</v>
      </c>
      <c r="E10770" s="13" t="inlineStr">
        <is>
          <t>General</t>
        </is>
      </c>
      <c r="F10770" s="5" t="n">
        <v>498</v>
      </c>
      <c r="G10770" s="5" t="n">
        <v>2747</v>
      </c>
      <c r="H10770" s="5" t="n">
        <v>70</v>
      </c>
      <c r="I10770" s="5" t="n">
        <v>55</v>
      </c>
      <c r="J10770" s="5" t="n">
        <v>15</v>
      </c>
      <c r="K10770" s="10">
        <f>IF(F10770&gt;0,H10770/F10770,"")</f>
        <v/>
      </c>
      <c r="L10770" s="16">
        <f>IF(AND(G10770&gt;0,H10770&gt;0),G10770/H10770,"")</f>
        <v/>
      </c>
    </row>
    <row r="10771">
      <c r="A10771" s="4" t="inlineStr">
        <is>
          <t>442</t>
        </is>
      </c>
      <c r="B10771" s="4" t="n">
        <v>4</v>
      </c>
      <c r="C10771" s="4" t="inlineStr">
        <is>
          <t>whitetail</t>
        </is>
      </c>
      <c r="D10771" s="4" t="n">
        <v>2022</v>
      </c>
      <c r="E10771" s="13" t="inlineStr">
        <is>
          <t>General</t>
        </is>
      </c>
      <c r="F10771" s="5" t="n"/>
      <c r="G10771" s="5" t="n"/>
      <c r="H10771" s="5" t="n">
        <v>90</v>
      </c>
      <c r="I10771" s="5" t="n">
        <v>52</v>
      </c>
      <c r="J10771" s="5" t="n">
        <v>38</v>
      </c>
      <c r="K10771" s="10">
        <f>IF(F10771&gt;0,H10771/F10771,"")</f>
        <v/>
      </c>
      <c r="L10771" s="16">
        <f>IF(AND(G10771&gt;0,H10771&gt;0),G10771/H10771,"")</f>
        <v/>
      </c>
    </row>
    <row r="10772">
      <c r="A10772" s="4" t="inlineStr">
        <is>
          <t>442</t>
        </is>
      </c>
      <c r="B10772" s="4" t="n">
        <v>4</v>
      </c>
      <c r="C10772" s="4" t="inlineStr">
        <is>
          <t>whitetail</t>
        </is>
      </c>
      <c r="D10772" s="4" t="n">
        <v>2023</v>
      </c>
      <c r="E10772" s="13" t="inlineStr">
        <is>
          <t>General</t>
        </is>
      </c>
      <c r="F10772" s="5" t="n">
        <v>449</v>
      </c>
      <c r="G10772" s="5" t="n">
        <v>2913</v>
      </c>
      <c r="H10772" s="5" t="n">
        <v>83</v>
      </c>
      <c r="I10772" s="5" t="n">
        <v>47</v>
      </c>
      <c r="J10772" s="5" t="n">
        <v>33</v>
      </c>
      <c r="K10772" s="10">
        <f>IF(F10772&gt;0,H10772/F10772,"")</f>
        <v/>
      </c>
      <c r="L10772" s="16">
        <f>IF(AND(G10772&gt;0,H10772&gt;0),G10772/H10772,"")</f>
        <v/>
      </c>
    </row>
    <row r="10773">
      <c r="A10773" s="4" t="inlineStr">
        <is>
          <t>442</t>
        </is>
      </c>
      <c r="B10773" s="4" t="n">
        <v>4</v>
      </c>
      <c r="C10773" s="4" t="inlineStr">
        <is>
          <t>whitetail</t>
        </is>
      </c>
      <c r="D10773" s="4" t="n">
        <v>2024</v>
      </c>
      <c r="E10773" s="13" t="inlineStr">
        <is>
          <t>General</t>
        </is>
      </c>
      <c r="F10773" s="5" t="n"/>
      <c r="G10773" s="5" t="n"/>
      <c r="H10773" s="5" t="n">
        <v>79</v>
      </c>
      <c r="I10773" s="5" t="n">
        <v>48</v>
      </c>
      <c r="J10773" s="5" t="n">
        <v>31</v>
      </c>
      <c r="K10773" s="10">
        <f>IF(F10773&gt;0,H10773/F10773,"")</f>
        <v/>
      </c>
      <c r="L10773" s="16">
        <f>IF(AND(G10773&gt;0,H10773&gt;0),G10773/H10773,"")</f>
        <v/>
      </c>
    </row>
    <row r="10774">
      <c r="A10774" s="4" t="inlineStr">
        <is>
          <t>442</t>
        </is>
      </c>
      <c r="B10774" s="4" t="n">
        <v>4</v>
      </c>
      <c r="C10774" s="4" t="inlineStr">
        <is>
          <t>whitetail</t>
        </is>
      </c>
      <c r="D10774" s="4" t="n">
        <v>2025</v>
      </c>
      <c r="E10774" s="13" t="inlineStr">
        <is>
          <t>General</t>
        </is>
      </c>
      <c r="F10774" s="5" t="n">
        <v>410</v>
      </c>
      <c r="G10774" s="5" t="n">
        <v>2463</v>
      </c>
      <c r="H10774" s="5" t="n">
        <v>67</v>
      </c>
      <c r="I10774" s="5" t="n">
        <v>28</v>
      </c>
      <c r="J10774" s="5" t="n">
        <v>39</v>
      </c>
      <c r="K10774" s="10">
        <f>IF(F10774&gt;0,H10774/F10774,"")</f>
        <v/>
      </c>
      <c r="L10774" s="16">
        <f>IF(AND(G10774&gt;0,H10774&gt;0),G10774/H10774,"")</f>
        <v/>
      </c>
    </row>
    <row r="10775">
      <c r="A10775" s="4" t="inlineStr">
        <is>
          <t>444</t>
        </is>
      </c>
      <c r="B10775" s="4" t="n">
        <v>4</v>
      </c>
      <c r="C10775" s="4" t="inlineStr">
        <is>
          <t>whitetail</t>
        </is>
      </c>
      <c r="D10775" s="4" t="n">
        <v>2004</v>
      </c>
      <c r="E10775" s="13" t="inlineStr">
        <is>
          <t>General</t>
        </is>
      </c>
      <c r="F10775" s="5" t="n">
        <v>619</v>
      </c>
      <c r="G10775" s="5" t="n">
        <v>2614</v>
      </c>
      <c r="H10775" s="5" t="n">
        <v>217</v>
      </c>
      <c r="I10775" s="5" t="n">
        <v>119</v>
      </c>
      <c r="J10775" s="5" t="n">
        <v>88</v>
      </c>
      <c r="K10775" s="10">
        <f>IF(F10775&gt;0,H10775/F10775,"")</f>
        <v/>
      </c>
      <c r="L10775" s="16">
        <f>IF(AND(G10775&gt;0,H10775&gt;0),G10775/H10775,"")</f>
        <v/>
      </c>
    </row>
    <row r="10776">
      <c r="A10776" s="4" t="inlineStr">
        <is>
          <t>444</t>
        </is>
      </c>
      <c r="B10776" s="4" t="n">
        <v>4</v>
      </c>
      <c r="C10776" s="4" t="inlineStr">
        <is>
          <t>whitetail</t>
        </is>
      </c>
      <c r="D10776" s="4" t="n">
        <v>2005</v>
      </c>
      <c r="E10776" s="13" t="inlineStr">
        <is>
          <t>General</t>
        </is>
      </c>
      <c r="F10776" s="5" t="n">
        <v>675</v>
      </c>
      <c r="G10776" s="5" t="n">
        <v>2594</v>
      </c>
      <c r="H10776" s="5" t="n">
        <v>230</v>
      </c>
      <c r="I10776" s="5" t="n">
        <v>150</v>
      </c>
      <c r="J10776" s="5" t="n">
        <v>75</v>
      </c>
      <c r="K10776" s="10">
        <f>IF(F10776&gt;0,H10776/F10776,"")</f>
        <v/>
      </c>
      <c r="L10776" s="16">
        <f>IF(AND(G10776&gt;0,H10776&gt;0),G10776/H10776,"")</f>
        <v/>
      </c>
    </row>
    <row r="10777">
      <c r="A10777" s="4" t="inlineStr">
        <is>
          <t>444</t>
        </is>
      </c>
      <c r="B10777" s="4" t="n">
        <v>4</v>
      </c>
      <c r="C10777" s="4" t="inlineStr">
        <is>
          <t>whitetail</t>
        </is>
      </c>
      <c r="D10777" s="4" t="n">
        <v>2006</v>
      </c>
      <c r="E10777" s="13" t="inlineStr">
        <is>
          <t>General</t>
        </is>
      </c>
      <c r="F10777" s="5" t="n">
        <v>675</v>
      </c>
      <c r="G10777" s="5" t="n">
        <v>3282</v>
      </c>
      <c r="H10777" s="5" t="n">
        <v>251</v>
      </c>
      <c r="I10777" s="5" t="n">
        <v>136</v>
      </c>
      <c r="J10777" s="5" t="n">
        <v>105</v>
      </c>
      <c r="K10777" s="10">
        <f>IF(F10777&gt;0,H10777/F10777,"")</f>
        <v/>
      </c>
      <c r="L10777" s="16">
        <f>IF(AND(G10777&gt;0,H10777&gt;0),G10777/H10777,"")</f>
        <v/>
      </c>
    </row>
    <row r="10778">
      <c r="A10778" s="4" t="inlineStr">
        <is>
          <t>444</t>
        </is>
      </c>
      <c r="B10778" s="4" t="n">
        <v>4</v>
      </c>
      <c r="C10778" s="4" t="inlineStr">
        <is>
          <t>whitetail</t>
        </is>
      </c>
      <c r="D10778" s="4" t="n">
        <v>2007</v>
      </c>
      <c r="E10778" s="13" t="inlineStr">
        <is>
          <t>General</t>
        </is>
      </c>
      <c r="F10778" s="5" t="n">
        <v>744</v>
      </c>
      <c r="G10778" s="5" t="n">
        <v>3226</v>
      </c>
      <c r="H10778" s="5" t="n">
        <v>384</v>
      </c>
      <c r="I10778" s="5" t="n">
        <v>221</v>
      </c>
      <c r="J10778" s="5" t="n">
        <v>148</v>
      </c>
      <c r="K10778" s="10">
        <f>IF(F10778&gt;0,H10778/F10778,"")</f>
        <v/>
      </c>
      <c r="L10778" s="16">
        <f>IF(AND(G10778&gt;0,H10778&gt;0),G10778/H10778,"")</f>
        <v/>
      </c>
    </row>
    <row r="10779">
      <c r="A10779" s="4" t="inlineStr">
        <is>
          <t>444</t>
        </is>
      </c>
      <c r="B10779" s="4" t="n">
        <v>4</v>
      </c>
      <c r="C10779" s="4" t="inlineStr">
        <is>
          <t>whitetail</t>
        </is>
      </c>
      <c r="D10779" s="4" t="n">
        <v>2008</v>
      </c>
      <c r="E10779" s="13" t="inlineStr">
        <is>
          <t>General</t>
        </is>
      </c>
      <c r="F10779" s="5" t="n">
        <v>740</v>
      </c>
      <c r="G10779" s="5" t="n">
        <v>3448</v>
      </c>
      <c r="H10779" s="5" t="n">
        <v>256</v>
      </c>
      <c r="I10779" s="5" t="n">
        <v>151</v>
      </c>
      <c r="J10779" s="5" t="n">
        <v>102</v>
      </c>
      <c r="K10779" s="10">
        <f>IF(F10779&gt;0,H10779/F10779,"")</f>
        <v/>
      </c>
      <c r="L10779" s="16">
        <f>IF(AND(G10779&gt;0,H10779&gt;0),G10779/H10779,"")</f>
        <v/>
      </c>
    </row>
    <row r="10780">
      <c r="A10780" s="4" t="inlineStr">
        <is>
          <t>444</t>
        </is>
      </c>
      <c r="B10780" s="4" t="n">
        <v>4</v>
      </c>
      <c r="C10780" s="4" t="inlineStr">
        <is>
          <t>whitetail</t>
        </is>
      </c>
      <c r="D10780" s="4" t="n">
        <v>2009</v>
      </c>
      <c r="E10780" s="13" t="inlineStr">
        <is>
          <t>General</t>
        </is>
      </c>
      <c r="F10780" s="5" t="n">
        <v>773</v>
      </c>
      <c r="G10780" s="5" t="n">
        <v>3577</v>
      </c>
      <c r="H10780" s="5" t="n">
        <v>298</v>
      </c>
      <c r="I10780" s="5" t="n">
        <v>163</v>
      </c>
      <c r="J10780" s="5" t="n">
        <v>132</v>
      </c>
      <c r="K10780" s="10">
        <f>IF(F10780&gt;0,H10780/F10780,"")</f>
        <v/>
      </c>
      <c r="L10780" s="16">
        <f>IF(AND(G10780&gt;0,H10780&gt;0),G10780/H10780,"")</f>
        <v/>
      </c>
    </row>
    <row r="10781">
      <c r="A10781" s="4" t="inlineStr">
        <is>
          <t>444</t>
        </is>
      </c>
      <c r="B10781" s="4" t="n">
        <v>4</v>
      </c>
      <c r="C10781" s="4" t="inlineStr">
        <is>
          <t>whitetail</t>
        </is>
      </c>
      <c r="D10781" s="4" t="n">
        <v>2010</v>
      </c>
      <c r="E10781" s="13" t="inlineStr">
        <is>
          <t>General</t>
        </is>
      </c>
      <c r="F10781" s="5" t="n">
        <v>827</v>
      </c>
      <c r="G10781" s="5" t="n">
        <v>3740</v>
      </c>
      <c r="H10781" s="5" t="n">
        <v>322</v>
      </c>
      <c r="I10781" s="5" t="n">
        <v>169</v>
      </c>
      <c r="J10781" s="5" t="n">
        <v>144</v>
      </c>
      <c r="K10781" s="10">
        <f>IF(F10781&gt;0,H10781/F10781,"")</f>
        <v/>
      </c>
      <c r="L10781" s="16">
        <f>IF(AND(G10781&gt;0,H10781&gt;0),G10781/H10781,"")</f>
        <v/>
      </c>
    </row>
    <row r="10782">
      <c r="A10782" s="4" t="inlineStr">
        <is>
          <t>444</t>
        </is>
      </c>
      <c r="B10782" s="4" t="n">
        <v>4</v>
      </c>
      <c r="C10782" s="4" t="inlineStr">
        <is>
          <t>whitetail</t>
        </is>
      </c>
      <c r="D10782" s="4" t="n">
        <v>2011</v>
      </c>
      <c r="E10782" s="13" t="inlineStr">
        <is>
          <t>General</t>
        </is>
      </c>
      <c r="F10782" s="5" t="n">
        <v>921</v>
      </c>
      <c r="G10782" s="5" t="n">
        <v>3909</v>
      </c>
      <c r="H10782" s="5" t="n">
        <v>401</v>
      </c>
      <c r="I10782" s="5" t="n">
        <v>192</v>
      </c>
      <c r="J10782" s="5" t="n">
        <v>206</v>
      </c>
      <c r="K10782" s="10">
        <f>IF(F10782&gt;0,H10782/F10782,"")</f>
        <v/>
      </c>
      <c r="L10782" s="16">
        <f>IF(AND(G10782&gt;0,H10782&gt;0),G10782/H10782,"")</f>
        <v/>
      </c>
    </row>
    <row r="10783">
      <c r="A10783" s="4" t="inlineStr">
        <is>
          <t>444</t>
        </is>
      </c>
      <c r="B10783" s="4" t="n">
        <v>4</v>
      </c>
      <c r="C10783" s="4" t="inlineStr">
        <is>
          <t>whitetail</t>
        </is>
      </c>
      <c r="D10783" s="4" t="n">
        <v>2012</v>
      </c>
      <c r="E10783" s="13" t="inlineStr">
        <is>
          <t>General</t>
        </is>
      </c>
      <c r="F10783" s="5" t="n"/>
      <c r="G10783" s="5" t="n"/>
      <c r="H10783" s="5" t="n">
        <v>406</v>
      </c>
      <c r="I10783" s="5" t="n">
        <v>206</v>
      </c>
      <c r="J10783" s="5" t="n">
        <v>197</v>
      </c>
      <c r="K10783" s="10">
        <f>IF(F10783&gt;0,H10783/F10783,"")</f>
        <v/>
      </c>
      <c r="L10783" s="16">
        <f>IF(AND(G10783&gt;0,H10783&gt;0),G10783/H10783,"")</f>
        <v/>
      </c>
    </row>
    <row r="10784">
      <c r="A10784" s="4" t="inlineStr">
        <is>
          <t>444</t>
        </is>
      </c>
      <c r="B10784" s="4" t="n">
        <v>4</v>
      </c>
      <c r="C10784" s="4" t="inlineStr">
        <is>
          <t>whitetail</t>
        </is>
      </c>
      <c r="D10784" s="4" t="n">
        <v>2013</v>
      </c>
      <c r="E10784" s="13" t="inlineStr">
        <is>
          <t>General</t>
        </is>
      </c>
      <c r="F10784" s="5" t="n">
        <v>775</v>
      </c>
      <c r="G10784" s="5" t="n">
        <v>3786</v>
      </c>
      <c r="H10784" s="5" t="n">
        <v>247</v>
      </c>
      <c r="I10784" s="5" t="n">
        <v>166</v>
      </c>
      <c r="J10784" s="5" t="n">
        <v>80</v>
      </c>
      <c r="K10784" s="10">
        <f>IF(F10784&gt;0,H10784/F10784,"")</f>
        <v/>
      </c>
      <c r="L10784" s="16">
        <f>IF(AND(G10784&gt;0,H10784&gt;0),G10784/H10784,"")</f>
        <v/>
      </c>
    </row>
    <row r="10785">
      <c r="A10785" s="4" t="inlineStr">
        <is>
          <t>444</t>
        </is>
      </c>
      <c r="B10785" s="4" t="n">
        <v>4</v>
      </c>
      <c r="C10785" s="4" t="inlineStr">
        <is>
          <t>whitetail</t>
        </is>
      </c>
      <c r="D10785" s="4" t="n">
        <v>2014</v>
      </c>
      <c r="E10785" s="13" t="inlineStr">
        <is>
          <t>General</t>
        </is>
      </c>
      <c r="F10785" s="5" t="n"/>
      <c r="G10785" s="5" t="n"/>
      <c r="H10785" s="5" t="n">
        <v>368</v>
      </c>
      <c r="I10785" s="5" t="n">
        <v>227</v>
      </c>
      <c r="J10785" s="5" t="n">
        <v>136</v>
      </c>
      <c r="K10785" s="10">
        <f>IF(F10785&gt;0,H10785/F10785,"")</f>
        <v/>
      </c>
      <c r="L10785" s="16">
        <f>IF(AND(G10785&gt;0,H10785&gt;0),G10785/H10785,"")</f>
        <v/>
      </c>
    </row>
    <row r="10786">
      <c r="A10786" s="4" t="inlineStr">
        <is>
          <t>444</t>
        </is>
      </c>
      <c r="B10786" s="4" t="n">
        <v>4</v>
      </c>
      <c r="C10786" s="4" t="inlineStr">
        <is>
          <t>whitetail</t>
        </is>
      </c>
      <c r="D10786" s="4" t="n">
        <v>2015</v>
      </c>
      <c r="E10786" s="13" t="inlineStr">
        <is>
          <t>General</t>
        </is>
      </c>
      <c r="F10786" s="5" t="n"/>
      <c r="G10786" s="5" t="n"/>
      <c r="H10786" s="5" t="n">
        <v>443</v>
      </c>
      <c r="I10786" s="5" t="n">
        <v>212</v>
      </c>
      <c r="J10786" s="5" t="n">
        <v>219</v>
      </c>
      <c r="K10786" s="10">
        <f>IF(F10786&gt;0,H10786/F10786,"")</f>
        <v/>
      </c>
      <c r="L10786" s="16">
        <f>IF(AND(G10786&gt;0,H10786&gt;0),G10786/H10786,"")</f>
        <v/>
      </c>
    </row>
    <row r="10787">
      <c r="A10787" s="4" t="inlineStr">
        <is>
          <t>444</t>
        </is>
      </c>
      <c r="B10787" s="4" t="n">
        <v>4</v>
      </c>
      <c r="C10787" s="4" t="inlineStr">
        <is>
          <t>whitetail</t>
        </is>
      </c>
      <c r="D10787" s="4" t="n">
        <v>2016</v>
      </c>
      <c r="E10787" s="13" t="inlineStr">
        <is>
          <t>General</t>
        </is>
      </c>
      <c r="F10787" s="5" t="n"/>
      <c r="G10787" s="5" t="n"/>
      <c r="H10787" s="5" t="n">
        <v>381</v>
      </c>
      <c r="I10787" s="5" t="n">
        <v>213</v>
      </c>
      <c r="J10787" s="5" t="n">
        <v>162</v>
      </c>
      <c r="K10787" s="10">
        <f>IF(F10787&gt;0,H10787/F10787,"")</f>
        <v/>
      </c>
      <c r="L10787" s="16">
        <f>IF(AND(G10787&gt;0,H10787&gt;0),G10787/H10787,"")</f>
        <v/>
      </c>
    </row>
    <row r="10788">
      <c r="A10788" s="4" t="inlineStr">
        <is>
          <t>444</t>
        </is>
      </c>
      <c r="B10788" s="4" t="n">
        <v>4</v>
      </c>
      <c r="C10788" s="4" t="inlineStr">
        <is>
          <t>whitetail</t>
        </is>
      </c>
      <c r="D10788" s="4" t="n">
        <v>2017</v>
      </c>
      <c r="E10788" s="13" t="inlineStr">
        <is>
          <t>General</t>
        </is>
      </c>
      <c r="F10788" s="5" t="n">
        <v>800</v>
      </c>
      <c r="G10788" s="5" t="n">
        <v>3350</v>
      </c>
      <c r="H10788" s="5" t="n">
        <v>351</v>
      </c>
      <c r="I10788" s="5" t="n">
        <v>207</v>
      </c>
      <c r="J10788" s="5" t="n">
        <v>137</v>
      </c>
      <c r="K10788" s="10">
        <f>IF(F10788&gt;0,H10788/F10788,"")</f>
        <v/>
      </c>
      <c r="L10788" s="16">
        <f>IF(AND(G10788&gt;0,H10788&gt;0),G10788/H10788,"")</f>
        <v/>
      </c>
    </row>
    <row r="10789">
      <c r="A10789" s="4" t="inlineStr">
        <is>
          <t>444</t>
        </is>
      </c>
      <c r="B10789" s="4" t="n">
        <v>4</v>
      </c>
      <c r="C10789" s="4" t="inlineStr">
        <is>
          <t>whitetail</t>
        </is>
      </c>
      <c r="D10789" s="4" t="n">
        <v>2018</v>
      </c>
      <c r="E10789" s="13" t="inlineStr">
        <is>
          <t>General</t>
        </is>
      </c>
      <c r="F10789" s="5" t="n"/>
      <c r="G10789" s="5" t="n"/>
      <c r="H10789" s="5" t="n">
        <v>486</v>
      </c>
      <c r="I10789" s="5" t="n">
        <v>215</v>
      </c>
      <c r="J10789" s="5" t="n">
        <v>265</v>
      </c>
      <c r="K10789" s="10">
        <f>IF(F10789&gt;0,H10789/F10789,"")</f>
        <v/>
      </c>
      <c r="L10789" s="16">
        <f>IF(AND(G10789&gt;0,H10789&gt;0),G10789/H10789,"")</f>
        <v/>
      </c>
    </row>
    <row r="10790">
      <c r="A10790" s="4" t="inlineStr">
        <is>
          <t>444</t>
        </is>
      </c>
      <c r="B10790" s="4" t="n">
        <v>4</v>
      </c>
      <c r="C10790" s="4" t="inlineStr">
        <is>
          <t>whitetail</t>
        </is>
      </c>
      <c r="D10790" s="4" t="n">
        <v>2019</v>
      </c>
      <c r="E10790" s="13" t="inlineStr">
        <is>
          <t>General</t>
        </is>
      </c>
      <c r="F10790" s="5" t="n">
        <v>645</v>
      </c>
      <c r="G10790" s="5" t="n">
        <v>2813</v>
      </c>
      <c r="H10790" s="5" t="n">
        <v>354</v>
      </c>
      <c r="I10790" s="5" t="n">
        <v>139</v>
      </c>
      <c r="J10790" s="5" t="n">
        <v>214</v>
      </c>
      <c r="K10790" s="10">
        <f>IF(F10790&gt;0,H10790/F10790,"")</f>
        <v/>
      </c>
      <c r="L10790" s="16">
        <f>IF(AND(G10790&gt;0,H10790&gt;0),G10790/H10790,"")</f>
        <v/>
      </c>
    </row>
    <row r="10791">
      <c r="A10791" s="4" t="inlineStr">
        <is>
          <t>444</t>
        </is>
      </c>
      <c r="B10791" s="4" t="n">
        <v>4</v>
      </c>
      <c r="C10791" s="4" t="inlineStr">
        <is>
          <t>whitetail</t>
        </is>
      </c>
      <c r="D10791" s="4" t="n">
        <v>2020</v>
      </c>
      <c r="E10791" s="13" t="inlineStr">
        <is>
          <t>General</t>
        </is>
      </c>
      <c r="F10791" s="5" t="n"/>
      <c r="G10791" s="5" t="n"/>
      <c r="H10791" s="5" t="n">
        <v>511</v>
      </c>
      <c r="I10791" s="5" t="n">
        <v>215</v>
      </c>
      <c r="J10791" s="5" t="n">
        <v>290</v>
      </c>
      <c r="K10791" s="10">
        <f>IF(F10791&gt;0,H10791/F10791,"")</f>
        <v/>
      </c>
      <c r="L10791" s="16">
        <f>IF(AND(G10791&gt;0,H10791&gt;0),G10791/H10791,"")</f>
        <v/>
      </c>
    </row>
    <row r="10792">
      <c r="A10792" s="4" t="inlineStr">
        <is>
          <t>444</t>
        </is>
      </c>
      <c r="B10792" s="4" t="n">
        <v>4</v>
      </c>
      <c r="C10792" s="4" t="inlineStr">
        <is>
          <t>whitetail</t>
        </is>
      </c>
      <c r="D10792" s="4" t="n">
        <v>2021</v>
      </c>
      <c r="E10792" s="13" t="inlineStr">
        <is>
          <t>General</t>
        </is>
      </c>
      <c r="F10792" s="5" t="n">
        <v>845</v>
      </c>
      <c r="G10792" s="5" t="n">
        <v>4457</v>
      </c>
      <c r="H10792" s="5" t="n">
        <v>563</v>
      </c>
      <c r="I10792" s="5" t="n">
        <v>252</v>
      </c>
      <c r="J10792" s="5" t="n">
        <v>304</v>
      </c>
      <c r="K10792" s="10">
        <f>IF(F10792&gt;0,H10792/F10792,"")</f>
        <v/>
      </c>
      <c r="L10792" s="16">
        <f>IF(AND(G10792&gt;0,H10792&gt;0),G10792/H10792,"")</f>
        <v/>
      </c>
    </row>
    <row r="10793">
      <c r="A10793" s="4" t="inlineStr">
        <is>
          <t>444</t>
        </is>
      </c>
      <c r="B10793" s="4" t="n">
        <v>4</v>
      </c>
      <c r="C10793" s="4" t="inlineStr">
        <is>
          <t>whitetail</t>
        </is>
      </c>
      <c r="D10793" s="4" t="n">
        <v>2022</v>
      </c>
      <c r="E10793" s="13" t="inlineStr">
        <is>
          <t>General</t>
        </is>
      </c>
      <c r="F10793" s="5" t="n"/>
      <c r="G10793" s="5" t="n"/>
      <c r="H10793" s="5" t="n">
        <v>379</v>
      </c>
      <c r="I10793" s="5" t="n">
        <v>196</v>
      </c>
      <c r="J10793" s="5" t="n">
        <v>183</v>
      </c>
      <c r="K10793" s="10">
        <f>IF(F10793&gt;0,H10793/F10793,"")</f>
        <v/>
      </c>
      <c r="L10793" s="16">
        <f>IF(AND(G10793&gt;0,H10793&gt;0),G10793/H10793,"")</f>
        <v/>
      </c>
    </row>
    <row r="10794">
      <c r="A10794" s="4" t="inlineStr">
        <is>
          <t>444</t>
        </is>
      </c>
      <c r="B10794" s="4" t="n">
        <v>4</v>
      </c>
      <c r="C10794" s="4" t="inlineStr">
        <is>
          <t>whitetail</t>
        </is>
      </c>
      <c r="D10794" s="4" t="n">
        <v>2023</v>
      </c>
      <c r="E10794" s="13" t="inlineStr">
        <is>
          <t>General</t>
        </is>
      </c>
      <c r="F10794" s="5" t="n">
        <v>750</v>
      </c>
      <c r="G10794" s="5" t="n">
        <v>4082</v>
      </c>
      <c r="H10794" s="5" t="n">
        <v>426</v>
      </c>
      <c r="I10794" s="5" t="n">
        <v>252</v>
      </c>
      <c r="J10794" s="5" t="n">
        <v>167</v>
      </c>
      <c r="K10794" s="10">
        <f>IF(F10794&gt;0,H10794/F10794,"")</f>
        <v/>
      </c>
      <c r="L10794" s="16">
        <f>IF(AND(G10794&gt;0,H10794&gt;0),G10794/H10794,"")</f>
        <v/>
      </c>
    </row>
    <row r="10795">
      <c r="A10795" s="4" t="inlineStr">
        <is>
          <t>444</t>
        </is>
      </c>
      <c r="B10795" s="4" t="n">
        <v>4</v>
      </c>
      <c r="C10795" s="4" t="inlineStr">
        <is>
          <t>whitetail</t>
        </is>
      </c>
      <c r="D10795" s="4" t="n">
        <v>2024</v>
      </c>
      <c r="E10795" s="13" t="inlineStr">
        <is>
          <t>General</t>
        </is>
      </c>
      <c r="F10795" s="5" t="n"/>
      <c r="G10795" s="5" t="n"/>
      <c r="H10795" s="5" t="n">
        <v>577</v>
      </c>
      <c r="I10795" s="5" t="n">
        <v>344</v>
      </c>
      <c r="J10795" s="5" t="n">
        <v>233</v>
      </c>
      <c r="K10795" s="10">
        <f>IF(F10795&gt;0,H10795/F10795,"")</f>
        <v/>
      </c>
      <c r="L10795" s="16">
        <f>IF(AND(G10795&gt;0,H10795&gt;0),G10795/H10795,"")</f>
        <v/>
      </c>
    </row>
    <row r="10796">
      <c r="A10796" s="4" t="inlineStr">
        <is>
          <t>444</t>
        </is>
      </c>
      <c r="B10796" s="4" t="n">
        <v>4</v>
      </c>
      <c r="C10796" s="4" t="inlineStr">
        <is>
          <t>whitetail</t>
        </is>
      </c>
      <c r="D10796" s="4" t="n">
        <v>2025</v>
      </c>
      <c r="E10796" s="13" t="inlineStr">
        <is>
          <t>General</t>
        </is>
      </c>
      <c r="F10796" s="5" t="n">
        <v>840</v>
      </c>
      <c r="G10796" s="5" t="n">
        <v>5719</v>
      </c>
      <c r="H10796" s="5" t="n">
        <v>491</v>
      </c>
      <c r="I10796" s="5" t="n">
        <v>265</v>
      </c>
      <c r="J10796" s="5" t="n">
        <v>219</v>
      </c>
      <c r="K10796" s="10">
        <f>IF(F10796&gt;0,H10796/F10796,"")</f>
        <v/>
      </c>
      <c r="L10796" s="16">
        <f>IF(AND(G10796&gt;0,H10796&gt;0),G10796/H10796,"")</f>
        <v/>
      </c>
    </row>
    <row r="10797">
      <c r="A10797" s="4" t="inlineStr">
        <is>
          <t>445</t>
        </is>
      </c>
      <c r="B10797" s="4" t="n">
        <v>4</v>
      </c>
      <c r="C10797" s="4" t="inlineStr">
        <is>
          <t>whitetail</t>
        </is>
      </c>
      <c r="D10797" s="4" t="n">
        <v>2004</v>
      </c>
      <c r="E10797" s="13" t="inlineStr">
        <is>
          <t>General</t>
        </is>
      </c>
      <c r="F10797" s="5" t="n">
        <v>1693</v>
      </c>
      <c r="G10797" s="5" t="n">
        <v>5785</v>
      </c>
      <c r="H10797" s="5" t="n">
        <v>590</v>
      </c>
      <c r="I10797" s="5" t="n">
        <v>320</v>
      </c>
      <c r="J10797" s="5" t="n">
        <v>251</v>
      </c>
      <c r="K10797" s="10">
        <f>IF(F10797&gt;0,H10797/F10797,"")</f>
        <v/>
      </c>
      <c r="L10797" s="16">
        <f>IF(AND(G10797&gt;0,H10797&gt;0),G10797/H10797,"")</f>
        <v/>
      </c>
    </row>
    <row r="10798">
      <c r="A10798" s="4" t="inlineStr">
        <is>
          <t>445</t>
        </is>
      </c>
      <c r="B10798" s="4" t="n">
        <v>4</v>
      </c>
      <c r="C10798" s="4" t="inlineStr">
        <is>
          <t>whitetail</t>
        </is>
      </c>
      <c r="D10798" s="4" t="n">
        <v>2005</v>
      </c>
      <c r="E10798" s="13" t="inlineStr">
        <is>
          <t>General</t>
        </is>
      </c>
      <c r="F10798" s="5" t="n">
        <v>1268</v>
      </c>
      <c r="G10798" s="5" t="n">
        <v>4651</v>
      </c>
      <c r="H10798" s="5" t="n">
        <v>429</v>
      </c>
      <c r="I10798" s="5" t="n">
        <v>217</v>
      </c>
      <c r="J10798" s="5" t="n">
        <v>210</v>
      </c>
      <c r="K10798" s="10">
        <f>IF(F10798&gt;0,H10798/F10798,"")</f>
        <v/>
      </c>
      <c r="L10798" s="16">
        <f>IF(AND(G10798&gt;0,H10798&gt;0),G10798/H10798,"")</f>
        <v/>
      </c>
    </row>
    <row r="10799">
      <c r="A10799" s="4" t="inlineStr">
        <is>
          <t>445</t>
        </is>
      </c>
      <c r="B10799" s="4" t="n">
        <v>4</v>
      </c>
      <c r="C10799" s="4" t="inlineStr">
        <is>
          <t>whitetail</t>
        </is>
      </c>
      <c r="D10799" s="4" t="n">
        <v>2006</v>
      </c>
      <c r="E10799" s="13" t="inlineStr">
        <is>
          <t>General</t>
        </is>
      </c>
      <c r="F10799" s="5" t="n">
        <v>1426</v>
      </c>
      <c r="G10799" s="5" t="n">
        <v>5929</v>
      </c>
      <c r="H10799" s="5" t="n">
        <v>559</v>
      </c>
      <c r="I10799" s="5" t="n">
        <v>216</v>
      </c>
      <c r="J10799" s="5" t="n">
        <v>339</v>
      </c>
      <c r="K10799" s="10">
        <f>IF(F10799&gt;0,H10799/F10799,"")</f>
        <v/>
      </c>
      <c r="L10799" s="16">
        <f>IF(AND(G10799&gt;0,H10799&gt;0),G10799/H10799,"")</f>
        <v/>
      </c>
    </row>
    <row r="10800">
      <c r="A10800" s="4" t="inlineStr">
        <is>
          <t>445</t>
        </is>
      </c>
      <c r="B10800" s="4" t="n">
        <v>4</v>
      </c>
      <c r="C10800" s="4" t="inlineStr">
        <is>
          <t>whitetail</t>
        </is>
      </c>
      <c r="D10800" s="4" t="n">
        <v>2007</v>
      </c>
      <c r="E10800" s="13" t="inlineStr">
        <is>
          <t>General</t>
        </is>
      </c>
      <c r="F10800" s="5" t="n">
        <v>1581</v>
      </c>
      <c r="G10800" s="5" t="n">
        <v>6613</v>
      </c>
      <c r="H10800" s="5" t="n">
        <v>692</v>
      </c>
      <c r="I10800" s="5" t="n">
        <v>306</v>
      </c>
      <c r="J10800" s="5" t="n">
        <v>382</v>
      </c>
      <c r="K10800" s="10">
        <f>IF(F10800&gt;0,H10800/F10800,"")</f>
        <v/>
      </c>
      <c r="L10800" s="16">
        <f>IF(AND(G10800&gt;0,H10800&gt;0),G10800/H10800,"")</f>
        <v/>
      </c>
    </row>
    <row r="10801">
      <c r="A10801" s="4" t="inlineStr">
        <is>
          <t>445</t>
        </is>
      </c>
      <c r="B10801" s="4" t="n">
        <v>4</v>
      </c>
      <c r="C10801" s="4" t="inlineStr">
        <is>
          <t>whitetail</t>
        </is>
      </c>
      <c r="D10801" s="4" t="n">
        <v>2008</v>
      </c>
      <c r="E10801" s="13" t="inlineStr">
        <is>
          <t>General</t>
        </is>
      </c>
      <c r="F10801" s="5" t="n">
        <v>1613</v>
      </c>
      <c r="G10801" s="5" t="n">
        <v>6668</v>
      </c>
      <c r="H10801" s="5" t="n">
        <v>720</v>
      </c>
      <c r="I10801" s="5" t="n">
        <v>246</v>
      </c>
      <c r="J10801" s="5" t="n">
        <v>459</v>
      </c>
      <c r="K10801" s="10">
        <f>IF(F10801&gt;0,H10801/F10801,"")</f>
        <v/>
      </c>
      <c r="L10801" s="16">
        <f>IF(AND(G10801&gt;0,H10801&gt;0),G10801/H10801,"")</f>
        <v/>
      </c>
    </row>
    <row r="10802">
      <c r="A10802" s="4" t="inlineStr">
        <is>
          <t>445</t>
        </is>
      </c>
      <c r="B10802" s="4" t="n">
        <v>4</v>
      </c>
      <c r="C10802" s="4" t="inlineStr">
        <is>
          <t>whitetail</t>
        </is>
      </c>
      <c r="D10802" s="4" t="n">
        <v>2009</v>
      </c>
      <c r="E10802" s="13" t="inlineStr">
        <is>
          <t>General</t>
        </is>
      </c>
      <c r="F10802" s="5" t="n">
        <v>1883</v>
      </c>
      <c r="G10802" s="5" t="n">
        <v>7989</v>
      </c>
      <c r="H10802" s="5" t="n">
        <v>1126</v>
      </c>
      <c r="I10802" s="5" t="n">
        <v>364</v>
      </c>
      <c r="J10802" s="5" t="n">
        <v>731</v>
      </c>
      <c r="K10802" s="10">
        <f>IF(F10802&gt;0,H10802/F10802,"")</f>
        <v/>
      </c>
      <c r="L10802" s="16">
        <f>IF(AND(G10802&gt;0,H10802&gt;0),G10802/H10802,"")</f>
        <v/>
      </c>
    </row>
    <row r="10803">
      <c r="A10803" s="4" t="inlineStr">
        <is>
          <t>445</t>
        </is>
      </c>
      <c r="B10803" s="4" t="n">
        <v>4</v>
      </c>
      <c r="C10803" s="4" t="inlineStr">
        <is>
          <t>whitetail</t>
        </is>
      </c>
      <c r="D10803" s="4" t="n">
        <v>2010</v>
      </c>
      <c r="E10803" s="13" t="inlineStr">
        <is>
          <t>General</t>
        </is>
      </c>
      <c r="F10803" s="5" t="n">
        <v>1894</v>
      </c>
      <c r="G10803" s="5" t="n">
        <v>8242</v>
      </c>
      <c r="H10803" s="5" t="n">
        <v>879</v>
      </c>
      <c r="I10803" s="5" t="n">
        <v>293</v>
      </c>
      <c r="J10803" s="5" t="n">
        <v>543</v>
      </c>
      <c r="K10803" s="10">
        <f>IF(F10803&gt;0,H10803/F10803,"")</f>
        <v/>
      </c>
      <c r="L10803" s="16">
        <f>IF(AND(G10803&gt;0,H10803&gt;0),G10803/H10803,"")</f>
        <v/>
      </c>
    </row>
    <row r="10804">
      <c r="A10804" s="4" t="inlineStr">
        <is>
          <t>445</t>
        </is>
      </c>
      <c r="B10804" s="4" t="n">
        <v>4</v>
      </c>
      <c r="C10804" s="4" t="inlineStr">
        <is>
          <t>whitetail</t>
        </is>
      </c>
      <c r="D10804" s="4" t="n">
        <v>2011</v>
      </c>
      <c r="E10804" s="13" t="inlineStr">
        <is>
          <t>General</t>
        </is>
      </c>
      <c r="F10804" s="5" t="n">
        <v>2025</v>
      </c>
      <c r="G10804" s="5" t="n">
        <v>9117</v>
      </c>
      <c r="H10804" s="5" t="n">
        <v>1079</v>
      </c>
      <c r="I10804" s="5" t="n">
        <v>351</v>
      </c>
      <c r="J10804" s="5" t="n">
        <v>701</v>
      </c>
      <c r="K10804" s="10">
        <f>IF(F10804&gt;0,H10804/F10804,"")</f>
        <v/>
      </c>
      <c r="L10804" s="16">
        <f>IF(AND(G10804&gt;0,H10804&gt;0),G10804/H10804,"")</f>
        <v/>
      </c>
    </row>
    <row r="10805">
      <c r="A10805" s="4" t="inlineStr">
        <is>
          <t>445</t>
        </is>
      </c>
      <c r="B10805" s="4" t="n">
        <v>4</v>
      </c>
      <c r="C10805" s="4" t="inlineStr">
        <is>
          <t>whitetail</t>
        </is>
      </c>
      <c r="D10805" s="4" t="n">
        <v>2012</v>
      </c>
      <c r="E10805" s="13" t="inlineStr">
        <is>
          <t>General</t>
        </is>
      </c>
      <c r="F10805" s="5" t="n"/>
      <c r="G10805" s="5" t="n"/>
      <c r="H10805" s="5" t="n">
        <v>1016</v>
      </c>
      <c r="I10805" s="5" t="n">
        <v>314</v>
      </c>
      <c r="J10805" s="5" t="n">
        <v>683</v>
      </c>
      <c r="K10805" s="10">
        <f>IF(F10805&gt;0,H10805/F10805,"")</f>
        <v/>
      </c>
      <c r="L10805" s="16">
        <f>IF(AND(G10805&gt;0,H10805&gt;0),G10805/H10805,"")</f>
        <v/>
      </c>
    </row>
    <row r="10806">
      <c r="A10806" s="4" t="inlineStr">
        <is>
          <t>445</t>
        </is>
      </c>
      <c r="B10806" s="4" t="n">
        <v>4</v>
      </c>
      <c r="C10806" s="4" t="inlineStr">
        <is>
          <t>whitetail</t>
        </is>
      </c>
      <c r="D10806" s="4" t="n">
        <v>2013</v>
      </c>
      <c r="E10806" s="13" t="inlineStr">
        <is>
          <t>General</t>
        </is>
      </c>
      <c r="F10806" s="5" t="n">
        <v>1712</v>
      </c>
      <c r="G10806" s="5" t="n">
        <v>7841</v>
      </c>
      <c r="H10806" s="5" t="n">
        <v>607</v>
      </c>
      <c r="I10806" s="5" t="n">
        <v>259</v>
      </c>
      <c r="J10806" s="5" t="n">
        <v>329</v>
      </c>
      <c r="K10806" s="10">
        <f>IF(F10806&gt;0,H10806/F10806,"")</f>
        <v/>
      </c>
      <c r="L10806" s="16">
        <f>IF(AND(G10806&gt;0,H10806&gt;0),G10806/H10806,"")</f>
        <v/>
      </c>
    </row>
    <row r="10807">
      <c r="A10807" s="4" t="inlineStr">
        <is>
          <t>445</t>
        </is>
      </c>
      <c r="B10807" s="4" t="n">
        <v>4</v>
      </c>
      <c r="C10807" s="4" t="inlineStr">
        <is>
          <t>whitetail</t>
        </is>
      </c>
      <c r="D10807" s="4" t="n">
        <v>2014</v>
      </c>
      <c r="E10807" s="13" t="inlineStr">
        <is>
          <t>General</t>
        </is>
      </c>
      <c r="F10807" s="5" t="n"/>
      <c r="G10807" s="5" t="n"/>
      <c r="H10807" s="5" t="n">
        <v>246</v>
      </c>
      <c r="I10807" s="5" t="n">
        <v>186</v>
      </c>
      <c r="J10807" s="5" t="n">
        <v>54</v>
      </c>
      <c r="K10807" s="10">
        <f>IF(F10807&gt;0,H10807/F10807,"")</f>
        <v/>
      </c>
      <c r="L10807" s="16">
        <f>IF(AND(G10807&gt;0,H10807&gt;0),G10807/H10807,"")</f>
        <v/>
      </c>
    </row>
    <row r="10808">
      <c r="A10808" s="4" t="inlineStr">
        <is>
          <t>445</t>
        </is>
      </c>
      <c r="B10808" s="4" t="n">
        <v>4</v>
      </c>
      <c r="C10808" s="4" t="inlineStr">
        <is>
          <t>whitetail</t>
        </is>
      </c>
      <c r="D10808" s="4" t="n">
        <v>2015</v>
      </c>
      <c r="E10808" s="13" t="inlineStr">
        <is>
          <t>General</t>
        </is>
      </c>
      <c r="F10808" s="5" t="n"/>
      <c r="G10808" s="5" t="n"/>
      <c r="H10808" s="5" t="n">
        <v>272</v>
      </c>
      <c r="I10808" s="5" t="n">
        <v>238</v>
      </c>
      <c r="J10808" s="5" t="n">
        <v>34</v>
      </c>
      <c r="K10808" s="10">
        <f>IF(F10808&gt;0,H10808/F10808,"")</f>
        <v/>
      </c>
      <c r="L10808" s="16">
        <f>IF(AND(G10808&gt;0,H10808&gt;0),G10808/H10808,"")</f>
        <v/>
      </c>
    </row>
    <row r="10809">
      <c r="A10809" s="4" t="inlineStr">
        <is>
          <t>445</t>
        </is>
      </c>
      <c r="B10809" s="4" t="n">
        <v>4</v>
      </c>
      <c r="C10809" s="4" t="inlineStr">
        <is>
          <t>whitetail</t>
        </is>
      </c>
      <c r="D10809" s="4" t="n">
        <v>2016</v>
      </c>
      <c r="E10809" s="13" t="inlineStr">
        <is>
          <t>General</t>
        </is>
      </c>
      <c r="F10809" s="5" t="n"/>
      <c r="G10809" s="5" t="n"/>
      <c r="H10809" s="5" t="n">
        <v>343</v>
      </c>
      <c r="I10809" s="5" t="n">
        <v>259</v>
      </c>
      <c r="J10809" s="5" t="n">
        <v>84</v>
      </c>
      <c r="K10809" s="10">
        <f>IF(F10809&gt;0,H10809/F10809,"")</f>
        <v/>
      </c>
      <c r="L10809" s="16">
        <f>IF(AND(G10809&gt;0,H10809&gt;0),G10809/H10809,"")</f>
        <v/>
      </c>
    </row>
    <row r="10810">
      <c r="A10810" s="4" t="inlineStr">
        <is>
          <t>445</t>
        </is>
      </c>
      <c r="B10810" s="4" t="n">
        <v>4</v>
      </c>
      <c r="C10810" s="4" t="inlineStr">
        <is>
          <t>whitetail</t>
        </is>
      </c>
      <c r="D10810" s="4" t="n">
        <v>2017</v>
      </c>
      <c r="E10810" s="13" t="inlineStr">
        <is>
          <t>General</t>
        </is>
      </c>
      <c r="F10810" s="5" t="n">
        <v>1218</v>
      </c>
      <c r="G10810" s="5" t="n">
        <v>5142</v>
      </c>
      <c r="H10810" s="5" t="n">
        <v>479</v>
      </c>
      <c r="I10810" s="5" t="n">
        <v>290</v>
      </c>
      <c r="J10810" s="5" t="n">
        <v>186</v>
      </c>
      <c r="K10810" s="10">
        <f>IF(F10810&gt;0,H10810/F10810,"")</f>
        <v/>
      </c>
      <c r="L10810" s="16">
        <f>IF(AND(G10810&gt;0,H10810&gt;0),G10810/H10810,"")</f>
        <v/>
      </c>
    </row>
    <row r="10811">
      <c r="A10811" s="4" t="inlineStr">
        <is>
          <t>445</t>
        </is>
      </c>
      <c r="B10811" s="4" t="n">
        <v>4</v>
      </c>
      <c r="C10811" s="4" t="inlineStr">
        <is>
          <t>whitetail</t>
        </is>
      </c>
      <c r="D10811" s="4" t="n">
        <v>2018</v>
      </c>
      <c r="E10811" s="13" t="inlineStr">
        <is>
          <t>General</t>
        </is>
      </c>
      <c r="F10811" s="5" t="n"/>
      <c r="G10811" s="5" t="n"/>
      <c r="H10811" s="5" t="n">
        <v>424</v>
      </c>
      <c r="I10811" s="5" t="n">
        <v>167</v>
      </c>
      <c r="J10811" s="5" t="n">
        <v>248</v>
      </c>
      <c r="K10811" s="10">
        <f>IF(F10811&gt;0,H10811/F10811,"")</f>
        <v/>
      </c>
      <c r="L10811" s="16">
        <f>IF(AND(G10811&gt;0,H10811&gt;0),G10811/H10811,"")</f>
        <v/>
      </c>
    </row>
    <row r="10812">
      <c r="A10812" s="4" t="inlineStr">
        <is>
          <t>445</t>
        </is>
      </c>
      <c r="B10812" s="4" t="n">
        <v>4</v>
      </c>
      <c r="C10812" s="4" t="inlineStr">
        <is>
          <t>whitetail</t>
        </is>
      </c>
      <c r="D10812" s="4" t="n">
        <v>2019</v>
      </c>
      <c r="E10812" s="13" t="inlineStr">
        <is>
          <t>General</t>
        </is>
      </c>
      <c r="F10812" s="5" t="n">
        <v>1254</v>
      </c>
      <c r="G10812" s="5" t="n">
        <v>5609</v>
      </c>
      <c r="H10812" s="5" t="n">
        <v>601</v>
      </c>
      <c r="I10812" s="5" t="n">
        <v>240</v>
      </c>
      <c r="J10812" s="5" t="n">
        <v>358</v>
      </c>
      <c r="K10812" s="10">
        <f>IF(F10812&gt;0,H10812/F10812,"")</f>
        <v/>
      </c>
      <c r="L10812" s="16">
        <f>IF(AND(G10812&gt;0,H10812&gt;0),G10812/H10812,"")</f>
        <v/>
      </c>
    </row>
    <row r="10813">
      <c r="A10813" s="4" t="inlineStr">
        <is>
          <t>445</t>
        </is>
      </c>
      <c r="B10813" s="4" t="n">
        <v>4</v>
      </c>
      <c r="C10813" s="4" t="inlineStr">
        <is>
          <t>whitetail</t>
        </is>
      </c>
      <c r="D10813" s="4" t="n">
        <v>2020</v>
      </c>
      <c r="E10813" s="13" t="inlineStr">
        <is>
          <t>General</t>
        </is>
      </c>
      <c r="F10813" s="5" t="n"/>
      <c r="G10813" s="5" t="n"/>
      <c r="H10813" s="5" t="n">
        <v>593</v>
      </c>
      <c r="I10813" s="5" t="n">
        <v>223</v>
      </c>
      <c r="J10813" s="5" t="n">
        <v>364</v>
      </c>
      <c r="K10813" s="10">
        <f>IF(F10813&gt;0,H10813/F10813,"")</f>
        <v/>
      </c>
      <c r="L10813" s="16">
        <f>IF(AND(G10813&gt;0,H10813&gt;0),G10813/H10813,"")</f>
        <v/>
      </c>
    </row>
    <row r="10814">
      <c r="A10814" s="4" t="inlineStr">
        <is>
          <t>445</t>
        </is>
      </c>
      <c r="B10814" s="4" t="n">
        <v>4</v>
      </c>
      <c r="C10814" s="4" t="inlineStr">
        <is>
          <t>whitetail</t>
        </is>
      </c>
      <c r="D10814" s="4" t="n">
        <v>2021</v>
      </c>
      <c r="E10814" s="13" t="inlineStr">
        <is>
          <t>General</t>
        </is>
      </c>
      <c r="F10814" s="5" t="n">
        <v>1257</v>
      </c>
      <c r="G10814" s="5" t="n">
        <v>6120</v>
      </c>
      <c r="H10814" s="5" t="n">
        <v>538</v>
      </c>
      <c r="I10814" s="5" t="n">
        <v>290</v>
      </c>
      <c r="J10814" s="5" t="n">
        <v>228</v>
      </c>
      <c r="K10814" s="10">
        <f>IF(F10814&gt;0,H10814/F10814,"")</f>
        <v/>
      </c>
      <c r="L10814" s="16">
        <f>IF(AND(G10814&gt;0,H10814&gt;0),G10814/H10814,"")</f>
        <v/>
      </c>
    </row>
    <row r="10815">
      <c r="A10815" s="4" t="inlineStr">
        <is>
          <t>445</t>
        </is>
      </c>
      <c r="B10815" s="4" t="n">
        <v>4</v>
      </c>
      <c r="C10815" s="4" t="inlineStr">
        <is>
          <t>whitetail</t>
        </is>
      </c>
      <c r="D10815" s="4" t="n">
        <v>2022</v>
      </c>
      <c r="E10815" s="13" t="inlineStr">
        <is>
          <t>General</t>
        </is>
      </c>
      <c r="F10815" s="5" t="n"/>
      <c r="G10815" s="5" t="n"/>
      <c r="H10815" s="5" t="n">
        <v>565</v>
      </c>
      <c r="I10815" s="5" t="n">
        <v>264</v>
      </c>
      <c r="J10815" s="5" t="n">
        <v>298</v>
      </c>
      <c r="K10815" s="10">
        <f>IF(F10815&gt;0,H10815/F10815,"")</f>
        <v/>
      </c>
      <c r="L10815" s="16">
        <f>IF(AND(G10815&gt;0,H10815&gt;0),G10815/H10815,"")</f>
        <v/>
      </c>
    </row>
    <row r="10816">
      <c r="A10816" s="4" t="inlineStr">
        <is>
          <t>445</t>
        </is>
      </c>
      <c r="B10816" s="4" t="n">
        <v>4</v>
      </c>
      <c r="C10816" s="4" t="inlineStr">
        <is>
          <t>whitetail</t>
        </is>
      </c>
      <c r="D10816" s="4" t="n">
        <v>2023</v>
      </c>
      <c r="E10816" s="13" t="inlineStr">
        <is>
          <t>General</t>
        </is>
      </c>
      <c r="F10816" s="5" t="n">
        <v>1225</v>
      </c>
      <c r="G10816" s="5" t="n">
        <v>6216</v>
      </c>
      <c r="H10816" s="5" t="n">
        <v>548</v>
      </c>
      <c r="I10816" s="5" t="n">
        <v>241</v>
      </c>
      <c r="J10816" s="5" t="n">
        <v>297</v>
      </c>
      <c r="K10816" s="10">
        <f>IF(F10816&gt;0,H10816/F10816,"")</f>
        <v/>
      </c>
      <c r="L10816" s="16">
        <f>IF(AND(G10816&gt;0,H10816&gt;0),G10816/H10816,"")</f>
        <v/>
      </c>
    </row>
    <row r="10817">
      <c r="A10817" s="4" t="inlineStr">
        <is>
          <t>445</t>
        </is>
      </c>
      <c r="B10817" s="4" t="n">
        <v>4</v>
      </c>
      <c r="C10817" s="4" t="inlineStr">
        <is>
          <t>whitetail</t>
        </is>
      </c>
      <c r="D10817" s="4" t="n">
        <v>2024</v>
      </c>
      <c r="E10817" s="13" t="inlineStr">
        <is>
          <t>General</t>
        </is>
      </c>
      <c r="F10817" s="5" t="n"/>
      <c r="G10817" s="5" t="n"/>
      <c r="H10817" s="5" t="n">
        <v>707</v>
      </c>
      <c r="I10817" s="5" t="n">
        <v>300</v>
      </c>
      <c r="J10817" s="5" t="n">
        <v>399</v>
      </c>
      <c r="K10817" s="10">
        <f>IF(F10817&gt;0,H10817/F10817,"")</f>
        <v/>
      </c>
      <c r="L10817" s="16">
        <f>IF(AND(G10817&gt;0,H10817&gt;0),G10817/H10817,"")</f>
        <v/>
      </c>
    </row>
    <row r="10818">
      <c r="A10818" s="4" t="inlineStr">
        <is>
          <t>445</t>
        </is>
      </c>
      <c r="B10818" s="4" t="n">
        <v>4</v>
      </c>
      <c r="C10818" s="4" t="inlineStr">
        <is>
          <t>whitetail</t>
        </is>
      </c>
      <c r="D10818" s="4" t="n">
        <v>2025</v>
      </c>
      <c r="E10818" s="13" t="inlineStr">
        <is>
          <t>General</t>
        </is>
      </c>
      <c r="F10818" s="5" t="n">
        <v>1281</v>
      </c>
      <c r="G10818" s="5" t="n">
        <v>6561</v>
      </c>
      <c r="H10818" s="5" t="n">
        <v>658</v>
      </c>
      <c r="I10818" s="5" t="n">
        <v>296</v>
      </c>
      <c r="J10818" s="5" t="n">
        <v>355</v>
      </c>
      <c r="K10818" s="10">
        <f>IF(F10818&gt;0,H10818/F10818,"")</f>
        <v/>
      </c>
      <c r="L10818" s="16">
        <f>IF(AND(G10818&gt;0,H10818&gt;0),G10818/H10818,"")</f>
        <v/>
      </c>
    </row>
    <row r="10819">
      <c r="A10819" s="4" t="inlineStr">
        <is>
          <t>446</t>
        </is>
      </c>
      <c r="B10819" s="4" t="n">
        <v>4</v>
      </c>
      <c r="C10819" s="4" t="inlineStr">
        <is>
          <t>whitetail</t>
        </is>
      </c>
      <c r="D10819" s="4" t="n">
        <v>2004</v>
      </c>
      <c r="E10819" s="13" t="inlineStr">
        <is>
          <t>General</t>
        </is>
      </c>
      <c r="F10819" s="5" t="n">
        <v>699</v>
      </c>
      <c r="G10819" s="5" t="n">
        <v>3628</v>
      </c>
      <c r="H10819" s="5" t="n">
        <v>148</v>
      </c>
      <c r="I10819" s="5" t="n">
        <v>63</v>
      </c>
      <c r="J10819" s="5" t="n">
        <v>81</v>
      </c>
      <c r="K10819" s="10">
        <f>IF(F10819&gt;0,H10819/F10819,"")</f>
        <v/>
      </c>
      <c r="L10819" s="16">
        <f>IF(AND(G10819&gt;0,H10819&gt;0),G10819/H10819,"")</f>
        <v/>
      </c>
    </row>
    <row r="10820">
      <c r="A10820" s="4" t="inlineStr">
        <is>
          <t>446</t>
        </is>
      </c>
      <c r="B10820" s="4" t="n">
        <v>4</v>
      </c>
      <c r="C10820" s="4" t="inlineStr">
        <is>
          <t>whitetail</t>
        </is>
      </c>
      <c r="D10820" s="4" t="n">
        <v>2005</v>
      </c>
      <c r="E10820" s="13" t="inlineStr">
        <is>
          <t>General</t>
        </is>
      </c>
      <c r="F10820" s="5" t="n">
        <v>577</v>
      </c>
      <c r="G10820" s="5" t="n">
        <v>3191</v>
      </c>
      <c r="H10820" s="5" t="n">
        <v>156</v>
      </c>
      <c r="I10820" s="5" t="n">
        <v>106</v>
      </c>
      <c r="J10820" s="5" t="n">
        <v>50</v>
      </c>
      <c r="K10820" s="10">
        <f>IF(F10820&gt;0,H10820/F10820,"")</f>
        <v/>
      </c>
      <c r="L10820" s="16">
        <f>IF(AND(G10820&gt;0,H10820&gt;0),G10820/H10820,"")</f>
        <v/>
      </c>
    </row>
    <row r="10821">
      <c r="A10821" s="4" t="inlineStr">
        <is>
          <t>446</t>
        </is>
      </c>
      <c r="B10821" s="4" t="n">
        <v>4</v>
      </c>
      <c r="C10821" s="4" t="inlineStr">
        <is>
          <t>whitetail</t>
        </is>
      </c>
      <c r="D10821" s="4" t="n">
        <v>2006</v>
      </c>
      <c r="E10821" s="13" t="inlineStr">
        <is>
          <t>General</t>
        </is>
      </c>
      <c r="F10821" s="5" t="n">
        <v>854</v>
      </c>
      <c r="G10821" s="5" t="n">
        <v>4451</v>
      </c>
      <c r="H10821" s="5" t="n">
        <v>166</v>
      </c>
      <c r="I10821" s="5" t="n">
        <v>125</v>
      </c>
      <c r="J10821" s="5" t="n">
        <v>41</v>
      </c>
      <c r="K10821" s="10">
        <f>IF(F10821&gt;0,H10821/F10821,"")</f>
        <v/>
      </c>
      <c r="L10821" s="16">
        <f>IF(AND(G10821&gt;0,H10821&gt;0),G10821/H10821,"")</f>
        <v/>
      </c>
    </row>
    <row r="10822">
      <c r="A10822" s="4" t="inlineStr">
        <is>
          <t>446</t>
        </is>
      </c>
      <c r="B10822" s="4" t="n">
        <v>4</v>
      </c>
      <c r="C10822" s="4" t="inlineStr">
        <is>
          <t>whitetail</t>
        </is>
      </c>
      <c r="D10822" s="4" t="n">
        <v>2007</v>
      </c>
      <c r="E10822" s="13" t="inlineStr">
        <is>
          <t>General</t>
        </is>
      </c>
      <c r="F10822" s="5" t="n">
        <v>750</v>
      </c>
      <c r="G10822" s="5" t="n">
        <v>4711</v>
      </c>
      <c r="H10822" s="5" t="n">
        <v>199</v>
      </c>
      <c r="I10822" s="5" t="n">
        <v>126</v>
      </c>
      <c r="J10822" s="5" t="n">
        <v>74</v>
      </c>
      <c r="K10822" s="10">
        <f>IF(F10822&gt;0,H10822/F10822,"")</f>
        <v/>
      </c>
      <c r="L10822" s="16">
        <f>IF(AND(G10822&gt;0,H10822&gt;0),G10822/H10822,"")</f>
        <v/>
      </c>
    </row>
    <row r="10823">
      <c r="A10823" s="4" t="inlineStr">
        <is>
          <t>446</t>
        </is>
      </c>
      <c r="B10823" s="4" t="n">
        <v>4</v>
      </c>
      <c r="C10823" s="4" t="inlineStr">
        <is>
          <t>whitetail</t>
        </is>
      </c>
      <c r="D10823" s="4" t="n">
        <v>2008</v>
      </c>
      <c r="E10823" s="13" t="inlineStr">
        <is>
          <t>General</t>
        </is>
      </c>
      <c r="F10823" s="5" t="n">
        <v>752</v>
      </c>
      <c r="G10823" s="5" t="n">
        <v>4466</v>
      </c>
      <c r="H10823" s="5" t="n">
        <v>184</v>
      </c>
      <c r="I10823" s="5" t="n">
        <v>130</v>
      </c>
      <c r="J10823" s="5" t="n">
        <v>54</v>
      </c>
      <c r="K10823" s="10">
        <f>IF(F10823&gt;0,H10823/F10823,"")</f>
        <v/>
      </c>
      <c r="L10823" s="16">
        <f>IF(AND(G10823&gt;0,H10823&gt;0),G10823/H10823,"")</f>
        <v/>
      </c>
    </row>
    <row r="10824">
      <c r="A10824" s="4" t="inlineStr">
        <is>
          <t>446</t>
        </is>
      </c>
      <c r="B10824" s="4" t="n">
        <v>4</v>
      </c>
      <c r="C10824" s="4" t="inlineStr">
        <is>
          <t>whitetail</t>
        </is>
      </c>
      <c r="D10824" s="4" t="n">
        <v>2009</v>
      </c>
      <c r="E10824" s="13" t="inlineStr">
        <is>
          <t>General</t>
        </is>
      </c>
      <c r="F10824" s="5" t="n">
        <v>640</v>
      </c>
      <c r="G10824" s="5" t="n">
        <v>3314</v>
      </c>
      <c r="H10824" s="5" t="n">
        <v>152</v>
      </c>
      <c r="I10824" s="5" t="n">
        <v>62</v>
      </c>
      <c r="J10824" s="5" t="n">
        <v>90</v>
      </c>
      <c r="K10824" s="10">
        <f>IF(F10824&gt;0,H10824/F10824,"")</f>
        <v/>
      </c>
      <c r="L10824" s="16">
        <f>IF(AND(G10824&gt;0,H10824&gt;0),G10824/H10824,"")</f>
        <v/>
      </c>
    </row>
    <row r="10825">
      <c r="A10825" s="4" t="inlineStr">
        <is>
          <t>446</t>
        </is>
      </c>
      <c r="B10825" s="4" t="n">
        <v>4</v>
      </c>
      <c r="C10825" s="4" t="inlineStr">
        <is>
          <t>whitetail</t>
        </is>
      </c>
      <c r="D10825" s="4" t="n">
        <v>2010</v>
      </c>
      <c r="E10825" s="13" t="inlineStr">
        <is>
          <t>General</t>
        </is>
      </c>
      <c r="F10825" s="5" t="n">
        <v>706</v>
      </c>
      <c r="G10825" s="5" t="n">
        <v>4040</v>
      </c>
      <c r="H10825" s="5" t="n">
        <v>193</v>
      </c>
      <c r="I10825" s="5" t="n">
        <v>101</v>
      </c>
      <c r="J10825" s="5" t="n">
        <v>92</v>
      </c>
      <c r="K10825" s="10">
        <f>IF(F10825&gt;0,H10825/F10825,"")</f>
        <v/>
      </c>
      <c r="L10825" s="16">
        <f>IF(AND(G10825&gt;0,H10825&gt;0),G10825/H10825,"")</f>
        <v/>
      </c>
    </row>
    <row r="10826">
      <c r="A10826" s="4" t="inlineStr">
        <is>
          <t>446</t>
        </is>
      </c>
      <c r="B10826" s="4" t="n">
        <v>4</v>
      </c>
      <c r="C10826" s="4" t="inlineStr">
        <is>
          <t>whitetail</t>
        </is>
      </c>
      <c r="D10826" s="4" t="n">
        <v>2011</v>
      </c>
      <c r="E10826" s="13" t="inlineStr">
        <is>
          <t>General</t>
        </is>
      </c>
      <c r="F10826" s="5" t="n">
        <v>764</v>
      </c>
      <c r="G10826" s="5" t="n">
        <v>5369</v>
      </c>
      <c r="H10826" s="5" t="n">
        <v>144</v>
      </c>
      <c r="I10826" s="5" t="n">
        <v>70</v>
      </c>
      <c r="J10826" s="5" t="n">
        <v>71</v>
      </c>
      <c r="K10826" s="10">
        <f>IF(F10826&gt;0,H10826/F10826,"")</f>
        <v/>
      </c>
      <c r="L10826" s="16">
        <f>IF(AND(G10826&gt;0,H10826&gt;0),G10826/H10826,"")</f>
        <v/>
      </c>
    </row>
    <row r="10827">
      <c r="A10827" s="4" t="inlineStr">
        <is>
          <t>446</t>
        </is>
      </c>
      <c r="B10827" s="4" t="n">
        <v>4</v>
      </c>
      <c r="C10827" s="4" t="inlineStr">
        <is>
          <t>whitetail</t>
        </is>
      </c>
      <c r="D10827" s="4" t="n">
        <v>2012</v>
      </c>
      <c r="E10827" s="13" t="inlineStr">
        <is>
          <t>General</t>
        </is>
      </c>
      <c r="F10827" s="5" t="n"/>
      <c r="G10827" s="5" t="n"/>
      <c r="H10827" s="5" t="n">
        <v>195</v>
      </c>
      <c r="I10827" s="5" t="n">
        <v>93</v>
      </c>
      <c r="J10827" s="5" t="n">
        <v>92</v>
      </c>
      <c r="K10827" s="10">
        <f>IF(F10827&gt;0,H10827/F10827,"")</f>
        <v/>
      </c>
      <c r="L10827" s="16">
        <f>IF(AND(G10827&gt;0,H10827&gt;0),G10827/H10827,"")</f>
        <v/>
      </c>
    </row>
    <row r="10828">
      <c r="A10828" s="4" t="inlineStr">
        <is>
          <t>446</t>
        </is>
      </c>
      <c r="B10828" s="4" t="n">
        <v>4</v>
      </c>
      <c r="C10828" s="4" t="inlineStr">
        <is>
          <t>whitetail</t>
        </is>
      </c>
      <c r="D10828" s="4" t="n">
        <v>2013</v>
      </c>
      <c r="E10828" s="13" t="inlineStr">
        <is>
          <t>General</t>
        </is>
      </c>
      <c r="F10828" s="5" t="n">
        <v>885</v>
      </c>
      <c r="G10828" s="5" t="n">
        <v>4939</v>
      </c>
      <c r="H10828" s="5" t="n">
        <v>194</v>
      </c>
      <c r="I10828" s="5" t="n">
        <v>95</v>
      </c>
      <c r="J10828" s="5" t="n">
        <v>95</v>
      </c>
      <c r="K10828" s="10">
        <f>IF(F10828&gt;0,H10828/F10828,"")</f>
        <v/>
      </c>
      <c r="L10828" s="16">
        <f>IF(AND(G10828&gt;0,H10828&gt;0),G10828/H10828,"")</f>
        <v/>
      </c>
    </row>
    <row r="10829">
      <c r="A10829" s="4" t="inlineStr">
        <is>
          <t>446</t>
        </is>
      </c>
      <c r="B10829" s="4" t="n">
        <v>4</v>
      </c>
      <c r="C10829" s="4" t="inlineStr">
        <is>
          <t>whitetail</t>
        </is>
      </c>
      <c r="D10829" s="4" t="n">
        <v>2014</v>
      </c>
      <c r="E10829" s="13" t="inlineStr">
        <is>
          <t>General</t>
        </is>
      </c>
      <c r="F10829" s="5" t="n"/>
      <c r="G10829" s="5" t="n"/>
      <c r="H10829" s="5" t="n">
        <v>189</v>
      </c>
      <c r="I10829" s="5" t="n">
        <v>140</v>
      </c>
      <c r="J10829" s="5" t="n">
        <v>42</v>
      </c>
      <c r="K10829" s="10">
        <f>IF(F10829&gt;0,H10829/F10829,"")</f>
        <v/>
      </c>
      <c r="L10829" s="16">
        <f>IF(AND(G10829&gt;0,H10829&gt;0),G10829/H10829,"")</f>
        <v/>
      </c>
    </row>
    <row r="10830">
      <c r="A10830" s="4" t="inlineStr">
        <is>
          <t>446</t>
        </is>
      </c>
      <c r="B10830" s="4" t="n">
        <v>4</v>
      </c>
      <c r="C10830" s="4" t="inlineStr">
        <is>
          <t>whitetail</t>
        </is>
      </c>
      <c r="D10830" s="4" t="n">
        <v>2015</v>
      </c>
      <c r="E10830" s="13" t="inlineStr">
        <is>
          <t>General</t>
        </is>
      </c>
      <c r="F10830" s="5" t="n"/>
      <c r="G10830" s="5" t="n"/>
      <c r="H10830" s="5" t="n">
        <v>226</v>
      </c>
      <c r="I10830" s="5" t="n">
        <v>145</v>
      </c>
      <c r="J10830" s="5" t="n">
        <v>82</v>
      </c>
      <c r="K10830" s="10">
        <f>IF(F10830&gt;0,H10830/F10830,"")</f>
        <v/>
      </c>
      <c r="L10830" s="16">
        <f>IF(AND(G10830&gt;0,H10830&gt;0),G10830/H10830,"")</f>
        <v/>
      </c>
    </row>
    <row r="10831">
      <c r="A10831" s="4" t="inlineStr">
        <is>
          <t>446</t>
        </is>
      </c>
      <c r="B10831" s="4" t="n">
        <v>4</v>
      </c>
      <c r="C10831" s="4" t="inlineStr">
        <is>
          <t>whitetail</t>
        </is>
      </c>
      <c r="D10831" s="4" t="n">
        <v>2016</v>
      </c>
      <c r="E10831" s="13" t="inlineStr">
        <is>
          <t>General</t>
        </is>
      </c>
      <c r="F10831" s="5" t="n"/>
      <c r="G10831" s="5" t="n"/>
      <c r="H10831" s="5" t="n">
        <v>216</v>
      </c>
      <c r="I10831" s="5" t="n">
        <v>137</v>
      </c>
      <c r="J10831" s="5" t="n">
        <v>80</v>
      </c>
      <c r="K10831" s="10">
        <f>IF(F10831&gt;0,H10831/F10831,"")</f>
        <v/>
      </c>
      <c r="L10831" s="16">
        <f>IF(AND(G10831&gt;0,H10831&gt;0),G10831/H10831,"")</f>
        <v/>
      </c>
    </row>
    <row r="10832">
      <c r="A10832" s="4" t="inlineStr">
        <is>
          <t>446</t>
        </is>
      </c>
      <c r="B10832" s="4" t="n">
        <v>4</v>
      </c>
      <c r="C10832" s="4" t="inlineStr">
        <is>
          <t>whitetail</t>
        </is>
      </c>
      <c r="D10832" s="4" t="n">
        <v>2017</v>
      </c>
      <c r="E10832" s="13" t="inlineStr">
        <is>
          <t>General</t>
        </is>
      </c>
      <c r="F10832" s="5" t="n">
        <v>828</v>
      </c>
      <c r="G10832" s="5" t="n">
        <v>4662</v>
      </c>
      <c r="H10832" s="5" t="n">
        <v>240</v>
      </c>
      <c r="I10832" s="5" t="n">
        <v>137</v>
      </c>
      <c r="J10832" s="5" t="n">
        <v>98</v>
      </c>
      <c r="K10832" s="10">
        <f>IF(F10832&gt;0,H10832/F10832,"")</f>
        <v/>
      </c>
      <c r="L10832" s="16">
        <f>IF(AND(G10832&gt;0,H10832&gt;0),G10832/H10832,"")</f>
        <v/>
      </c>
    </row>
    <row r="10833">
      <c r="A10833" s="4" t="inlineStr">
        <is>
          <t>446</t>
        </is>
      </c>
      <c r="B10833" s="4" t="n">
        <v>4</v>
      </c>
      <c r="C10833" s="4" t="inlineStr">
        <is>
          <t>whitetail</t>
        </is>
      </c>
      <c r="D10833" s="4" t="n">
        <v>2018</v>
      </c>
      <c r="E10833" s="13" t="inlineStr">
        <is>
          <t>General</t>
        </is>
      </c>
      <c r="F10833" s="5" t="n"/>
      <c r="G10833" s="5" t="n"/>
      <c r="H10833" s="5" t="n">
        <v>211</v>
      </c>
      <c r="I10833" s="5" t="n">
        <v>106</v>
      </c>
      <c r="J10833" s="5" t="n">
        <v>99</v>
      </c>
      <c r="K10833" s="10">
        <f>IF(F10833&gt;0,H10833/F10833,"")</f>
        <v/>
      </c>
      <c r="L10833" s="16">
        <f>IF(AND(G10833&gt;0,H10833&gt;0),G10833/H10833,"")</f>
        <v/>
      </c>
    </row>
    <row r="10834">
      <c r="A10834" s="4" t="inlineStr">
        <is>
          <t>446</t>
        </is>
      </c>
      <c r="B10834" s="4" t="n">
        <v>4</v>
      </c>
      <c r="C10834" s="4" t="inlineStr">
        <is>
          <t>whitetail</t>
        </is>
      </c>
      <c r="D10834" s="4" t="n">
        <v>2019</v>
      </c>
      <c r="E10834" s="13" t="inlineStr">
        <is>
          <t>General</t>
        </is>
      </c>
      <c r="F10834" s="5" t="n">
        <v>883</v>
      </c>
      <c r="G10834" s="5" t="n">
        <v>5206</v>
      </c>
      <c r="H10834" s="5" t="n">
        <v>267</v>
      </c>
      <c r="I10834" s="5" t="n">
        <v>136</v>
      </c>
      <c r="J10834" s="5" t="n">
        <v>130</v>
      </c>
      <c r="K10834" s="10">
        <f>IF(F10834&gt;0,H10834/F10834,"")</f>
        <v/>
      </c>
      <c r="L10834" s="16">
        <f>IF(AND(G10834&gt;0,H10834&gt;0),G10834/H10834,"")</f>
        <v/>
      </c>
    </row>
    <row r="10835">
      <c r="A10835" s="4" t="inlineStr">
        <is>
          <t>446</t>
        </is>
      </c>
      <c r="B10835" s="4" t="n">
        <v>4</v>
      </c>
      <c r="C10835" s="4" t="inlineStr">
        <is>
          <t>whitetail</t>
        </is>
      </c>
      <c r="D10835" s="4" t="n">
        <v>2020</v>
      </c>
      <c r="E10835" s="13" t="inlineStr">
        <is>
          <t>General</t>
        </is>
      </c>
      <c r="F10835" s="5" t="n"/>
      <c r="G10835" s="5" t="n"/>
      <c r="H10835" s="5" t="n">
        <v>278</v>
      </c>
      <c r="I10835" s="5" t="n">
        <v>130</v>
      </c>
      <c r="J10835" s="5" t="n">
        <v>148</v>
      </c>
      <c r="K10835" s="10">
        <f>IF(F10835&gt;0,H10835/F10835,"")</f>
        <v/>
      </c>
      <c r="L10835" s="16">
        <f>IF(AND(G10835&gt;0,H10835&gt;0),G10835/H10835,"")</f>
        <v/>
      </c>
    </row>
    <row r="10836">
      <c r="A10836" s="4" t="inlineStr">
        <is>
          <t>446</t>
        </is>
      </c>
      <c r="B10836" s="4" t="n">
        <v>4</v>
      </c>
      <c r="C10836" s="4" t="inlineStr">
        <is>
          <t>whitetail</t>
        </is>
      </c>
      <c r="D10836" s="4" t="n">
        <v>2021</v>
      </c>
      <c r="E10836" s="13" t="inlineStr">
        <is>
          <t>General</t>
        </is>
      </c>
      <c r="F10836" s="5" t="n">
        <v>855</v>
      </c>
      <c r="G10836" s="5" t="n">
        <v>4891</v>
      </c>
      <c r="H10836" s="5" t="n">
        <v>225</v>
      </c>
      <c r="I10836" s="5" t="n">
        <v>115</v>
      </c>
      <c r="J10836" s="5" t="n">
        <v>109</v>
      </c>
      <c r="K10836" s="10">
        <f>IF(F10836&gt;0,H10836/F10836,"")</f>
        <v/>
      </c>
      <c r="L10836" s="16">
        <f>IF(AND(G10836&gt;0,H10836&gt;0),G10836/H10836,"")</f>
        <v/>
      </c>
    </row>
    <row r="10837">
      <c r="A10837" s="4" t="inlineStr">
        <is>
          <t>446</t>
        </is>
      </c>
      <c r="B10837" s="4" t="n">
        <v>4</v>
      </c>
      <c r="C10837" s="4" t="inlineStr">
        <is>
          <t>whitetail</t>
        </is>
      </c>
      <c r="D10837" s="4" t="n">
        <v>2022</v>
      </c>
      <c r="E10837" s="13" t="inlineStr">
        <is>
          <t>General</t>
        </is>
      </c>
      <c r="F10837" s="5" t="n"/>
      <c r="G10837" s="5" t="n"/>
      <c r="H10837" s="5" t="n">
        <v>275</v>
      </c>
      <c r="I10837" s="5" t="n">
        <v>154</v>
      </c>
      <c r="J10837" s="5" t="n">
        <v>121</v>
      </c>
      <c r="K10837" s="10">
        <f>IF(F10837&gt;0,H10837/F10837,"")</f>
        <v/>
      </c>
      <c r="L10837" s="16">
        <f>IF(AND(G10837&gt;0,H10837&gt;0),G10837/H10837,"")</f>
        <v/>
      </c>
    </row>
    <row r="10838">
      <c r="A10838" s="4" t="inlineStr">
        <is>
          <t>446</t>
        </is>
      </c>
      <c r="B10838" s="4" t="n">
        <v>4</v>
      </c>
      <c r="C10838" s="4" t="inlineStr">
        <is>
          <t>whitetail</t>
        </is>
      </c>
      <c r="D10838" s="4" t="n">
        <v>2023</v>
      </c>
      <c r="E10838" s="13" t="inlineStr">
        <is>
          <t>General</t>
        </is>
      </c>
      <c r="F10838" s="5" t="n">
        <v>829</v>
      </c>
      <c r="G10838" s="5" t="n">
        <v>4900</v>
      </c>
      <c r="H10838" s="5" t="n">
        <v>218</v>
      </c>
      <c r="I10838" s="5" t="n">
        <v>119</v>
      </c>
      <c r="J10838" s="5" t="n">
        <v>99</v>
      </c>
      <c r="K10838" s="10">
        <f>IF(F10838&gt;0,H10838/F10838,"")</f>
        <v/>
      </c>
      <c r="L10838" s="16">
        <f>IF(AND(G10838&gt;0,H10838&gt;0),G10838/H10838,"")</f>
        <v/>
      </c>
    </row>
    <row r="10839">
      <c r="A10839" s="4" t="inlineStr">
        <is>
          <t>446</t>
        </is>
      </c>
      <c r="B10839" s="4" t="n">
        <v>4</v>
      </c>
      <c r="C10839" s="4" t="inlineStr">
        <is>
          <t>whitetail</t>
        </is>
      </c>
      <c r="D10839" s="4" t="n">
        <v>2024</v>
      </c>
      <c r="E10839" s="13" t="inlineStr">
        <is>
          <t>General</t>
        </is>
      </c>
      <c r="F10839" s="5" t="n"/>
      <c r="G10839" s="5" t="n"/>
      <c r="H10839" s="5" t="n">
        <v>231</v>
      </c>
      <c r="I10839" s="5" t="n">
        <v>127</v>
      </c>
      <c r="J10839" s="5" t="n">
        <v>102</v>
      </c>
      <c r="K10839" s="10">
        <f>IF(F10839&gt;0,H10839/F10839,"")</f>
        <v/>
      </c>
      <c r="L10839" s="16">
        <f>IF(AND(G10839&gt;0,H10839&gt;0),G10839/H10839,"")</f>
        <v/>
      </c>
    </row>
    <row r="10840">
      <c r="A10840" s="4" t="inlineStr">
        <is>
          <t>446</t>
        </is>
      </c>
      <c r="B10840" s="4" t="n">
        <v>4</v>
      </c>
      <c r="C10840" s="4" t="inlineStr">
        <is>
          <t>whitetail</t>
        </is>
      </c>
      <c r="D10840" s="4" t="n">
        <v>2025</v>
      </c>
      <c r="E10840" s="13" t="inlineStr">
        <is>
          <t>General</t>
        </is>
      </c>
      <c r="F10840" s="5" t="n">
        <v>792</v>
      </c>
      <c r="G10840" s="5" t="n">
        <v>5089</v>
      </c>
      <c r="H10840" s="5" t="n">
        <v>187</v>
      </c>
      <c r="I10840" s="5" t="n">
        <v>108</v>
      </c>
      <c r="J10840" s="5" t="n">
        <v>79</v>
      </c>
      <c r="K10840" s="10">
        <f>IF(F10840&gt;0,H10840/F10840,"")</f>
        <v/>
      </c>
      <c r="L10840" s="16">
        <f>IF(AND(G10840&gt;0,H10840&gt;0),G10840/H10840,"")</f>
        <v/>
      </c>
    </row>
    <row r="10841">
      <c r="A10841" s="4" t="inlineStr">
        <is>
          <t>447</t>
        </is>
      </c>
      <c r="B10841" s="4" t="n">
        <v>4</v>
      </c>
      <c r="C10841" s="4" t="inlineStr">
        <is>
          <t>whitetail</t>
        </is>
      </c>
      <c r="D10841" s="4" t="n">
        <v>2004</v>
      </c>
      <c r="E10841" s="13" t="inlineStr">
        <is>
          <t>General</t>
        </is>
      </c>
      <c r="F10841" s="5" t="n">
        <v>2068</v>
      </c>
      <c r="G10841" s="5" t="n">
        <v>8713</v>
      </c>
      <c r="H10841" s="5" t="n">
        <v>389</v>
      </c>
      <c r="I10841" s="5" t="n">
        <v>229</v>
      </c>
      <c r="J10841" s="5" t="n">
        <v>155</v>
      </c>
      <c r="K10841" s="10">
        <f>IF(F10841&gt;0,H10841/F10841,"")</f>
        <v/>
      </c>
      <c r="L10841" s="16">
        <f>IF(AND(G10841&gt;0,H10841&gt;0),G10841/H10841,"")</f>
        <v/>
      </c>
    </row>
    <row r="10842">
      <c r="A10842" s="4" t="inlineStr">
        <is>
          <t>447</t>
        </is>
      </c>
      <c r="B10842" s="4" t="n">
        <v>4</v>
      </c>
      <c r="C10842" s="4" t="inlineStr">
        <is>
          <t>whitetail</t>
        </is>
      </c>
      <c r="D10842" s="4" t="n">
        <v>2005</v>
      </c>
      <c r="E10842" s="13" t="inlineStr">
        <is>
          <t>General</t>
        </is>
      </c>
      <c r="F10842" s="5" t="n">
        <v>1768</v>
      </c>
      <c r="G10842" s="5" t="n">
        <v>7814</v>
      </c>
      <c r="H10842" s="5" t="n">
        <v>352</v>
      </c>
      <c r="I10842" s="5" t="n">
        <v>203</v>
      </c>
      <c r="J10842" s="5" t="n">
        <v>149</v>
      </c>
      <c r="K10842" s="10">
        <f>IF(F10842&gt;0,H10842/F10842,"")</f>
        <v/>
      </c>
      <c r="L10842" s="16">
        <f>IF(AND(G10842&gt;0,H10842&gt;0),G10842/H10842,"")</f>
        <v/>
      </c>
    </row>
    <row r="10843">
      <c r="A10843" s="4" t="inlineStr">
        <is>
          <t>447</t>
        </is>
      </c>
      <c r="B10843" s="4" t="n">
        <v>4</v>
      </c>
      <c r="C10843" s="4" t="inlineStr">
        <is>
          <t>whitetail</t>
        </is>
      </c>
      <c r="D10843" s="4" t="n">
        <v>2006</v>
      </c>
      <c r="E10843" s="13" t="inlineStr">
        <is>
          <t>General</t>
        </is>
      </c>
      <c r="F10843" s="5" t="n">
        <v>1681</v>
      </c>
      <c r="G10843" s="5" t="n">
        <v>8304</v>
      </c>
      <c r="H10843" s="5" t="n">
        <v>447</v>
      </c>
      <c r="I10843" s="5" t="n">
        <v>221</v>
      </c>
      <c r="J10843" s="5" t="n">
        <v>217</v>
      </c>
      <c r="K10843" s="10">
        <f>IF(F10843&gt;0,H10843/F10843,"")</f>
        <v/>
      </c>
      <c r="L10843" s="16">
        <f>IF(AND(G10843&gt;0,H10843&gt;0),G10843/H10843,"")</f>
        <v/>
      </c>
    </row>
    <row r="10844">
      <c r="A10844" s="4" t="inlineStr">
        <is>
          <t>447</t>
        </is>
      </c>
      <c r="B10844" s="4" t="n">
        <v>4</v>
      </c>
      <c r="C10844" s="4" t="inlineStr">
        <is>
          <t>whitetail</t>
        </is>
      </c>
      <c r="D10844" s="4" t="n">
        <v>2007</v>
      </c>
      <c r="E10844" s="13" t="inlineStr">
        <is>
          <t>General</t>
        </is>
      </c>
      <c r="F10844" s="5" t="n">
        <v>1845</v>
      </c>
      <c r="G10844" s="5" t="n">
        <v>8265</v>
      </c>
      <c r="H10844" s="5" t="n">
        <v>405</v>
      </c>
      <c r="I10844" s="5" t="n">
        <v>253</v>
      </c>
      <c r="J10844" s="5" t="n">
        <v>147</v>
      </c>
      <c r="K10844" s="10">
        <f>IF(F10844&gt;0,H10844/F10844,"")</f>
        <v/>
      </c>
      <c r="L10844" s="16">
        <f>IF(AND(G10844&gt;0,H10844&gt;0),G10844/H10844,"")</f>
        <v/>
      </c>
    </row>
    <row r="10845">
      <c r="A10845" s="4" t="inlineStr">
        <is>
          <t>447</t>
        </is>
      </c>
      <c r="B10845" s="4" t="n">
        <v>4</v>
      </c>
      <c r="C10845" s="4" t="inlineStr">
        <is>
          <t>whitetail</t>
        </is>
      </c>
      <c r="D10845" s="4" t="n">
        <v>2008</v>
      </c>
      <c r="E10845" s="13" t="inlineStr">
        <is>
          <t>General</t>
        </is>
      </c>
      <c r="F10845" s="5" t="n">
        <v>1741</v>
      </c>
      <c r="G10845" s="5" t="n">
        <v>8950</v>
      </c>
      <c r="H10845" s="5" t="n">
        <v>462</v>
      </c>
      <c r="I10845" s="5" t="n">
        <v>246</v>
      </c>
      <c r="J10845" s="5" t="n">
        <v>213</v>
      </c>
      <c r="K10845" s="10">
        <f>IF(F10845&gt;0,H10845/F10845,"")</f>
        <v/>
      </c>
      <c r="L10845" s="16">
        <f>IF(AND(G10845&gt;0,H10845&gt;0),G10845/H10845,"")</f>
        <v/>
      </c>
    </row>
    <row r="10846">
      <c r="A10846" s="4" t="inlineStr">
        <is>
          <t>447</t>
        </is>
      </c>
      <c r="B10846" s="4" t="n">
        <v>4</v>
      </c>
      <c r="C10846" s="4" t="inlineStr">
        <is>
          <t>whitetail</t>
        </is>
      </c>
      <c r="D10846" s="4" t="n">
        <v>2009</v>
      </c>
      <c r="E10846" s="13" t="inlineStr">
        <is>
          <t>General</t>
        </is>
      </c>
      <c r="F10846" s="5" t="n">
        <v>1734</v>
      </c>
      <c r="G10846" s="5" t="n">
        <v>7734</v>
      </c>
      <c r="H10846" s="5" t="n">
        <v>346</v>
      </c>
      <c r="I10846" s="5" t="n">
        <v>187</v>
      </c>
      <c r="J10846" s="5" t="n">
        <v>155</v>
      </c>
      <c r="K10846" s="10">
        <f>IF(F10846&gt;0,H10846/F10846,"")</f>
        <v/>
      </c>
      <c r="L10846" s="16">
        <f>IF(AND(G10846&gt;0,H10846&gt;0),G10846/H10846,"")</f>
        <v/>
      </c>
    </row>
    <row r="10847">
      <c r="A10847" s="4" t="inlineStr">
        <is>
          <t>447</t>
        </is>
      </c>
      <c r="B10847" s="4" t="n">
        <v>4</v>
      </c>
      <c r="C10847" s="4" t="inlineStr">
        <is>
          <t>whitetail</t>
        </is>
      </c>
      <c r="D10847" s="4" t="n">
        <v>2010</v>
      </c>
      <c r="E10847" s="13" t="inlineStr">
        <is>
          <t>General</t>
        </is>
      </c>
      <c r="F10847" s="5" t="n">
        <v>1669</v>
      </c>
      <c r="G10847" s="5" t="n">
        <v>7993</v>
      </c>
      <c r="H10847" s="5" t="n">
        <v>412</v>
      </c>
      <c r="I10847" s="5" t="n">
        <v>236</v>
      </c>
      <c r="J10847" s="5" t="n">
        <v>164</v>
      </c>
      <c r="K10847" s="10">
        <f>IF(F10847&gt;0,H10847/F10847,"")</f>
        <v/>
      </c>
      <c r="L10847" s="16">
        <f>IF(AND(G10847&gt;0,H10847&gt;0),G10847/H10847,"")</f>
        <v/>
      </c>
    </row>
    <row r="10848">
      <c r="A10848" s="4" t="inlineStr">
        <is>
          <t>447</t>
        </is>
      </c>
      <c r="B10848" s="4" t="n">
        <v>4</v>
      </c>
      <c r="C10848" s="4" t="inlineStr">
        <is>
          <t>whitetail</t>
        </is>
      </c>
      <c r="D10848" s="4" t="n">
        <v>2011</v>
      </c>
      <c r="E10848" s="13" t="inlineStr">
        <is>
          <t>General</t>
        </is>
      </c>
      <c r="F10848" s="5" t="n">
        <v>1638</v>
      </c>
      <c r="G10848" s="5" t="n">
        <v>7886</v>
      </c>
      <c r="H10848" s="5" t="n">
        <v>346</v>
      </c>
      <c r="I10848" s="5" t="n">
        <v>174</v>
      </c>
      <c r="J10848" s="5" t="n">
        <v>172</v>
      </c>
      <c r="K10848" s="10">
        <f>IF(F10848&gt;0,H10848/F10848,"")</f>
        <v/>
      </c>
      <c r="L10848" s="16">
        <f>IF(AND(G10848&gt;0,H10848&gt;0),G10848/H10848,"")</f>
        <v/>
      </c>
    </row>
    <row r="10849">
      <c r="A10849" s="4" t="inlineStr">
        <is>
          <t>447</t>
        </is>
      </c>
      <c r="B10849" s="4" t="n">
        <v>4</v>
      </c>
      <c r="C10849" s="4" t="inlineStr">
        <is>
          <t>whitetail</t>
        </is>
      </c>
      <c r="D10849" s="4" t="n">
        <v>2012</v>
      </c>
      <c r="E10849" s="13" t="inlineStr">
        <is>
          <t>General</t>
        </is>
      </c>
      <c r="F10849" s="5" t="n"/>
      <c r="G10849" s="5" t="n"/>
      <c r="H10849" s="5" t="n">
        <v>275</v>
      </c>
      <c r="I10849" s="5" t="n">
        <v>149</v>
      </c>
      <c r="J10849" s="5" t="n">
        <v>123</v>
      </c>
      <c r="K10849" s="10">
        <f>IF(F10849&gt;0,H10849/F10849,"")</f>
        <v/>
      </c>
      <c r="L10849" s="16">
        <f>IF(AND(G10849&gt;0,H10849&gt;0),G10849/H10849,"")</f>
        <v/>
      </c>
    </row>
    <row r="10850">
      <c r="A10850" s="4" t="inlineStr">
        <is>
          <t>447</t>
        </is>
      </c>
      <c r="B10850" s="4" t="n">
        <v>4</v>
      </c>
      <c r="C10850" s="4" t="inlineStr">
        <is>
          <t>whitetail</t>
        </is>
      </c>
      <c r="D10850" s="4" t="n">
        <v>2013</v>
      </c>
      <c r="E10850" s="13" t="inlineStr">
        <is>
          <t>General</t>
        </is>
      </c>
      <c r="F10850" s="5" t="n">
        <v>1718</v>
      </c>
      <c r="G10850" s="5" t="n">
        <v>8307</v>
      </c>
      <c r="H10850" s="5" t="n">
        <v>247</v>
      </c>
      <c r="I10850" s="5" t="n">
        <v>158</v>
      </c>
      <c r="J10850" s="5" t="n">
        <v>87</v>
      </c>
      <c r="K10850" s="10">
        <f>IF(F10850&gt;0,H10850/F10850,"")</f>
        <v/>
      </c>
      <c r="L10850" s="16">
        <f>IF(AND(G10850&gt;0,H10850&gt;0),G10850/H10850,"")</f>
        <v/>
      </c>
    </row>
    <row r="10851">
      <c r="A10851" s="4" t="inlineStr">
        <is>
          <t>447</t>
        </is>
      </c>
      <c r="B10851" s="4" t="n">
        <v>4</v>
      </c>
      <c r="C10851" s="4" t="inlineStr">
        <is>
          <t>whitetail</t>
        </is>
      </c>
      <c r="D10851" s="4" t="n">
        <v>2014</v>
      </c>
      <c r="E10851" s="13" t="inlineStr">
        <is>
          <t>General</t>
        </is>
      </c>
      <c r="F10851" s="5" t="n"/>
      <c r="G10851" s="5" t="n"/>
      <c r="H10851" s="5" t="n">
        <v>220</v>
      </c>
      <c r="I10851" s="5" t="n">
        <v>186</v>
      </c>
      <c r="J10851" s="5" t="n">
        <v>28</v>
      </c>
      <c r="K10851" s="10">
        <f>IF(F10851&gt;0,H10851/F10851,"")</f>
        <v/>
      </c>
      <c r="L10851" s="16">
        <f>IF(AND(G10851&gt;0,H10851&gt;0),G10851/H10851,"")</f>
        <v/>
      </c>
    </row>
    <row r="10852">
      <c r="A10852" s="4" t="inlineStr">
        <is>
          <t>447</t>
        </is>
      </c>
      <c r="B10852" s="4" t="n">
        <v>4</v>
      </c>
      <c r="C10852" s="4" t="inlineStr">
        <is>
          <t>whitetail</t>
        </is>
      </c>
      <c r="D10852" s="4" t="n">
        <v>2015</v>
      </c>
      <c r="E10852" s="13" t="inlineStr">
        <is>
          <t>General</t>
        </is>
      </c>
      <c r="F10852" s="5" t="n"/>
      <c r="G10852" s="5" t="n"/>
      <c r="H10852" s="5" t="n">
        <v>250</v>
      </c>
      <c r="I10852" s="5" t="n">
        <v>218</v>
      </c>
      <c r="J10852" s="5" t="n">
        <v>32</v>
      </c>
      <c r="K10852" s="10">
        <f>IF(F10852&gt;0,H10852/F10852,"")</f>
        <v/>
      </c>
      <c r="L10852" s="16">
        <f>IF(AND(G10852&gt;0,H10852&gt;0),G10852/H10852,"")</f>
        <v/>
      </c>
    </row>
    <row r="10853">
      <c r="A10853" s="4" t="inlineStr">
        <is>
          <t>447</t>
        </is>
      </c>
      <c r="B10853" s="4" t="n">
        <v>4</v>
      </c>
      <c r="C10853" s="4" t="inlineStr">
        <is>
          <t>whitetail</t>
        </is>
      </c>
      <c r="D10853" s="4" t="n">
        <v>2016</v>
      </c>
      <c r="E10853" s="13" t="inlineStr">
        <is>
          <t>General</t>
        </is>
      </c>
      <c r="F10853" s="5" t="n"/>
      <c r="G10853" s="5" t="n"/>
      <c r="H10853" s="5" t="n">
        <v>285</v>
      </c>
      <c r="I10853" s="5" t="n">
        <v>249</v>
      </c>
      <c r="J10853" s="5" t="n">
        <v>37</v>
      </c>
      <c r="K10853" s="10">
        <f>IF(F10853&gt;0,H10853/F10853,"")</f>
        <v/>
      </c>
      <c r="L10853" s="16">
        <f>IF(AND(G10853&gt;0,H10853&gt;0),G10853/H10853,"")</f>
        <v/>
      </c>
    </row>
    <row r="10854">
      <c r="A10854" s="4" t="inlineStr">
        <is>
          <t>447</t>
        </is>
      </c>
      <c r="B10854" s="4" t="n">
        <v>4</v>
      </c>
      <c r="C10854" s="4" t="inlineStr">
        <is>
          <t>whitetail</t>
        </is>
      </c>
      <c r="D10854" s="4" t="n">
        <v>2017</v>
      </c>
      <c r="E10854" s="13" t="inlineStr">
        <is>
          <t>General</t>
        </is>
      </c>
      <c r="F10854" s="5" t="n">
        <v>1855</v>
      </c>
      <c r="G10854" s="5" t="n">
        <v>8224</v>
      </c>
      <c r="H10854" s="5" t="n">
        <v>243</v>
      </c>
      <c r="I10854" s="5" t="n">
        <v>198</v>
      </c>
      <c r="J10854" s="5" t="n">
        <v>43</v>
      </c>
      <c r="K10854" s="10">
        <f>IF(F10854&gt;0,H10854/F10854,"")</f>
        <v/>
      </c>
      <c r="L10854" s="16">
        <f>IF(AND(G10854&gt;0,H10854&gt;0),G10854/H10854,"")</f>
        <v/>
      </c>
    </row>
    <row r="10855">
      <c r="A10855" s="4" t="inlineStr">
        <is>
          <t>447</t>
        </is>
      </c>
      <c r="B10855" s="4" t="n">
        <v>4</v>
      </c>
      <c r="C10855" s="4" t="inlineStr">
        <is>
          <t>whitetail</t>
        </is>
      </c>
      <c r="D10855" s="4" t="n">
        <v>2018</v>
      </c>
      <c r="E10855" s="13" t="inlineStr">
        <is>
          <t>General</t>
        </is>
      </c>
      <c r="F10855" s="5" t="n"/>
      <c r="G10855" s="5" t="n"/>
      <c r="H10855" s="5" t="n">
        <v>412</v>
      </c>
      <c r="I10855" s="5" t="n">
        <v>257</v>
      </c>
      <c r="J10855" s="5" t="n">
        <v>152</v>
      </c>
      <c r="K10855" s="10">
        <f>IF(F10855&gt;0,H10855/F10855,"")</f>
        <v/>
      </c>
      <c r="L10855" s="16">
        <f>IF(AND(G10855&gt;0,H10855&gt;0),G10855/H10855,"")</f>
        <v/>
      </c>
    </row>
    <row r="10856">
      <c r="A10856" s="4" t="inlineStr">
        <is>
          <t>447</t>
        </is>
      </c>
      <c r="B10856" s="4" t="n">
        <v>4</v>
      </c>
      <c r="C10856" s="4" t="inlineStr">
        <is>
          <t>whitetail</t>
        </is>
      </c>
      <c r="D10856" s="4" t="n">
        <v>2019</v>
      </c>
      <c r="E10856" s="13" t="inlineStr">
        <is>
          <t>General</t>
        </is>
      </c>
      <c r="F10856" s="5" t="n">
        <v>1667</v>
      </c>
      <c r="G10856" s="5" t="n">
        <v>8032</v>
      </c>
      <c r="H10856" s="5" t="n">
        <v>309</v>
      </c>
      <c r="I10856" s="5" t="n">
        <v>213</v>
      </c>
      <c r="J10856" s="5" t="n">
        <v>97</v>
      </c>
      <c r="K10856" s="10">
        <f>IF(F10856&gt;0,H10856/F10856,"")</f>
        <v/>
      </c>
      <c r="L10856" s="16">
        <f>IF(AND(G10856&gt;0,H10856&gt;0),G10856/H10856,"")</f>
        <v/>
      </c>
    </row>
    <row r="10857">
      <c r="A10857" s="4" t="inlineStr">
        <is>
          <t>447</t>
        </is>
      </c>
      <c r="B10857" s="4" t="n">
        <v>4</v>
      </c>
      <c r="C10857" s="4" t="inlineStr">
        <is>
          <t>whitetail</t>
        </is>
      </c>
      <c r="D10857" s="4" t="n">
        <v>2020</v>
      </c>
      <c r="E10857" s="13" t="inlineStr">
        <is>
          <t>General</t>
        </is>
      </c>
      <c r="F10857" s="5" t="n"/>
      <c r="G10857" s="5" t="n"/>
      <c r="H10857" s="5" t="n">
        <v>426</v>
      </c>
      <c r="I10857" s="5" t="n">
        <v>256</v>
      </c>
      <c r="J10857" s="5" t="n">
        <v>167</v>
      </c>
      <c r="K10857" s="10">
        <f>IF(F10857&gt;0,H10857/F10857,"")</f>
        <v/>
      </c>
      <c r="L10857" s="16">
        <f>IF(AND(G10857&gt;0,H10857&gt;0),G10857/H10857,"")</f>
        <v/>
      </c>
    </row>
    <row r="10858">
      <c r="A10858" s="4" t="inlineStr">
        <is>
          <t>447</t>
        </is>
      </c>
      <c r="B10858" s="4" t="n">
        <v>4</v>
      </c>
      <c r="C10858" s="4" t="inlineStr">
        <is>
          <t>whitetail</t>
        </is>
      </c>
      <c r="D10858" s="4" t="n">
        <v>2021</v>
      </c>
      <c r="E10858" s="13" t="inlineStr">
        <is>
          <t>General</t>
        </is>
      </c>
      <c r="F10858" s="5" t="n">
        <v>1817</v>
      </c>
      <c r="G10858" s="5" t="n">
        <v>9402</v>
      </c>
      <c r="H10858" s="5" t="n">
        <v>353</v>
      </c>
      <c r="I10858" s="5" t="n">
        <v>174</v>
      </c>
      <c r="J10858" s="5" t="n">
        <v>175</v>
      </c>
      <c r="K10858" s="10">
        <f>IF(F10858&gt;0,H10858/F10858,"")</f>
        <v/>
      </c>
      <c r="L10858" s="16">
        <f>IF(AND(G10858&gt;0,H10858&gt;0),G10858/H10858,"")</f>
        <v/>
      </c>
    </row>
    <row r="10859">
      <c r="A10859" s="4" t="inlineStr">
        <is>
          <t>447</t>
        </is>
      </c>
      <c r="B10859" s="4" t="n">
        <v>4</v>
      </c>
      <c r="C10859" s="4" t="inlineStr">
        <is>
          <t>whitetail</t>
        </is>
      </c>
      <c r="D10859" s="4" t="n">
        <v>2022</v>
      </c>
      <c r="E10859" s="13" t="inlineStr">
        <is>
          <t>General</t>
        </is>
      </c>
      <c r="F10859" s="5" t="n"/>
      <c r="G10859" s="5" t="n"/>
      <c r="H10859" s="5" t="n">
        <v>544</v>
      </c>
      <c r="I10859" s="5" t="n">
        <v>328</v>
      </c>
      <c r="J10859" s="5" t="n">
        <v>216</v>
      </c>
      <c r="K10859" s="10">
        <f>IF(F10859&gt;0,H10859/F10859,"")</f>
        <v/>
      </c>
      <c r="L10859" s="16">
        <f>IF(AND(G10859&gt;0,H10859&gt;0),G10859/H10859,"")</f>
        <v/>
      </c>
    </row>
    <row r="10860">
      <c r="A10860" s="4" t="inlineStr">
        <is>
          <t>447</t>
        </is>
      </c>
      <c r="B10860" s="4" t="n">
        <v>4</v>
      </c>
      <c r="C10860" s="4" t="inlineStr">
        <is>
          <t>whitetail</t>
        </is>
      </c>
      <c r="D10860" s="4" t="n">
        <v>2023</v>
      </c>
      <c r="E10860" s="13" t="inlineStr">
        <is>
          <t>General</t>
        </is>
      </c>
      <c r="F10860" s="5" t="n">
        <v>1712</v>
      </c>
      <c r="G10860" s="5" t="n">
        <v>9530</v>
      </c>
      <c r="H10860" s="5" t="n">
        <v>441</v>
      </c>
      <c r="I10860" s="5" t="n">
        <v>249</v>
      </c>
      <c r="J10860" s="5" t="n">
        <v>188</v>
      </c>
      <c r="K10860" s="10">
        <f>IF(F10860&gt;0,H10860/F10860,"")</f>
        <v/>
      </c>
      <c r="L10860" s="16">
        <f>IF(AND(G10860&gt;0,H10860&gt;0),G10860/H10860,"")</f>
        <v/>
      </c>
    </row>
    <row r="10861">
      <c r="A10861" s="4" t="inlineStr">
        <is>
          <t>447</t>
        </is>
      </c>
      <c r="B10861" s="4" t="n">
        <v>4</v>
      </c>
      <c r="C10861" s="4" t="inlineStr">
        <is>
          <t>whitetail</t>
        </is>
      </c>
      <c r="D10861" s="4" t="n">
        <v>2024</v>
      </c>
      <c r="E10861" s="13" t="inlineStr">
        <is>
          <t>General</t>
        </is>
      </c>
      <c r="F10861" s="5" t="n"/>
      <c r="G10861" s="5" t="n"/>
      <c r="H10861" s="5" t="n">
        <v>522</v>
      </c>
      <c r="I10861" s="5" t="n">
        <v>341</v>
      </c>
      <c r="J10861" s="5" t="n">
        <v>178</v>
      </c>
      <c r="K10861" s="10">
        <f>IF(F10861&gt;0,H10861/F10861,"")</f>
        <v/>
      </c>
      <c r="L10861" s="16">
        <f>IF(AND(G10861&gt;0,H10861&gt;0),G10861/H10861,"")</f>
        <v/>
      </c>
    </row>
    <row r="10862">
      <c r="A10862" s="4" t="inlineStr">
        <is>
          <t>447</t>
        </is>
      </c>
      <c r="B10862" s="4" t="n">
        <v>4</v>
      </c>
      <c r="C10862" s="4" t="inlineStr">
        <is>
          <t>whitetail</t>
        </is>
      </c>
      <c r="D10862" s="4" t="n">
        <v>2025</v>
      </c>
      <c r="E10862" s="13" t="inlineStr">
        <is>
          <t>General</t>
        </is>
      </c>
      <c r="F10862" s="5" t="n">
        <v>1613</v>
      </c>
      <c r="G10862" s="5" t="n">
        <v>9805</v>
      </c>
      <c r="H10862" s="5" t="n">
        <v>376</v>
      </c>
      <c r="I10862" s="5" t="n">
        <v>194</v>
      </c>
      <c r="J10862" s="5" t="n">
        <v>179</v>
      </c>
      <c r="K10862" s="10">
        <f>IF(F10862&gt;0,H10862/F10862,"")</f>
        <v/>
      </c>
      <c r="L10862" s="16">
        <f>IF(AND(G10862&gt;0,H10862&gt;0),G10862/H10862,"")</f>
        <v/>
      </c>
    </row>
    <row r="10863">
      <c r="A10863" s="4" t="inlineStr">
        <is>
          <t>448</t>
        </is>
      </c>
      <c r="B10863" s="4" t="n">
        <v>4</v>
      </c>
      <c r="C10863" s="4" t="inlineStr">
        <is>
          <t>whitetail</t>
        </is>
      </c>
      <c r="D10863" s="4" t="n">
        <v>2004</v>
      </c>
      <c r="E10863" s="13" t="inlineStr">
        <is>
          <t>General</t>
        </is>
      </c>
      <c r="F10863" s="5" t="n">
        <v>616</v>
      </c>
      <c r="G10863" s="5" t="n">
        <v>3372</v>
      </c>
      <c r="H10863" s="5" t="n">
        <v>55</v>
      </c>
      <c r="I10863" s="5" t="n">
        <v>32</v>
      </c>
      <c r="J10863" s="5" t="n">
        <v>23</v>
      </c>
      <c r="K10863" s="10">
        <f>IF(F10863&gt;0,H10863/F10863,"")</f>
        <v/>
      </c>
      <c r="L10863" s="16">
        <f>IF(AND(G10863&gt;0,H10863&gt;0),G10863/H10863,"")</f>
        <v/>
      </c>
    </row>
    <row r="10864">
      <c r="A10864" s="4" t="inlineStr">
        <is>
          <t>448</t>
        </is>
      </c>
      <c r="B10864" s="4" t="n">
        <v>4</v>
      </c>
      <c r="C10864" s="4" t="inlineStr">
        <is>
          <t>whitetail</t>
        </is>
      </c>
      <c r="D10864" s="4" t="n">
        <v>2005</v>
      </c>
      <c r="E10864" s="13" t="inlineStr">
        <is>
          <t>General</t>
        </is>
      </c>
      <c r="F10864" s="5" t="n">
        <v>477</v>
      </c>
      <c r="G10864" s="5" t="n">
        <v>2403</v>
      </c>
      <c r="H10864" s="5" t="n">
        <v>69</v>
      </c>
      <c r="I10864" s="5" t="n">
        <v>47</v>
      </c>
      <c r="J10864" s="5" t="n">
        <v>22</v>
      </c>
      <c r="K10864" s="10">
        <f>IF(F10864&gt;0,H10864/F10864,"")</f>
        <v/>
      </c>
      <c r="L10864" s="16">
        <f>IF(AND(G10864&gt;0,H10864&gt;0),G10864/H10864,"")</f>
        <v/>
      </c>
    </row>
    <row r="10865">
      <c r="A10865" s="4" t="inlineStr">
        <is>
          <t>448</t>
        </is>
      </c>
      <c r="B10865" s="4" t="n">
        <v>4</v>
      </c>
      <c r="C10865" s="4" t="inlineStr">
        <is>
          <t>whitetail</t>
        </is>
      </c>
      <c r="D10865" s="4" t="n">
        <v>2006</v>
      </c>
      <c r="E10865" s="13" t="inlineStr">
        <is>
          <t>General</t>
        </is>
      </c>
      <c r="F10865" s="5" t="n">
        <v>517</v>
      </c>
      <c r="G10865" s="5" t="n">
        <v>2821</v>
      </c>
      <c r="H10865" s="5" t="n">
        <v>48</v>
      </c>
      <c r="I10865" s="5" t="n">
        <v>25</v>
      </c>
      <c r="J10865" s="5" t="n">
        <v>24</v>
      </c>
      <c r="K10865" s="10">
        <f>IF(F10865&gt;0,H10865/F10865,"")</f>
        <v/>
      </c>
      <c r="L10865" s="16">
        <f>IF(AND(G10865&gt;0,H10865&gt;0),G10865/H10865,"")</f>
        <v/>
      </c>
    </row>
    <row r="10866">
      <c r="A10866" s="4" t="inlineStr">
        <is>
          <t>448</t>
        </is>
      </c>
      <c r="B10866" s="4" t="n">
        <v>4</v>
      </c>
      <c r="C10866" s="4" t="inlineStr">
        <is>
          <t>whitetail</t>
        </is>
      </c>
      <c r="D10866" s="4" t="n">
        <v>2007</v>
      </c>
      <c r="E10866" s="13" t="inlineStr">
        <is>
          <t>General</t>
        </is>
      </c>
      <c r="F10866" s="5" t="n">
        <v>635</v>
      </c>
      <c r="G10866" s="5" t="n">
        <v>3432</v>
      </c>
      <c r="H10866" s="5" t="n">
        <v>82</v>
      </c>
      <c r="I10866" s="5" t="n">
        <v>38</v>
      </c>
      <c r="J10866" s="5" t="n">
        <v>44</v>
      </c>
      <c r="K10866" s="10">
        <f>IF(F10866&gt;0,H10866/F10866,"")</f>
        <v/>
      </c>
      <c r="L10866" s="16">
        <f>IF(AND(G10866&gt;0,H10866&gt;0),G10866/H10866,"")</f>
        <v/>
      </c>
    </row>
    <row r="10867">
      <c r="A10867" s="4" t="inlineStr">
        <is>
          <t>448</t>
        </is>
      </c>
      <c r="B10867" s="4" t="n">
        <v>4</v>
      </c>
      <c r="C10867" s="4" t="inlineStr">
        <is>
          <t>whitetail</t>
        </is>
      </c>
      <c r="D10867" s="4" t="n">
        <v>2008</v>
      </c>
      <c r="E10867" s="13" t="inlineStr">
        <is>
          <t>General</t>
        </is>
      </c>
      <c r="F10867" s="5" t="n">
        <v>611</v>
      </c>
      <c r="G10867" s="5" t="n">
        <v>3396</v>
      </c>
      <c r="H10867" s="5" t="n">
        <v>64</v>
      </c>
      <c r="I10867" s="5" t="n">
        <v>47</v>
      </c>
      <c r="J10867" s="5" t="n">
        <v>17</v>
      </c>
      <c r="K10867" s="10">
        <f>IF(F10867&gt;0,H10867/F10867,"")</f>
        <v/>
      </c>
      <c r="L10867" s="16">
        <f>IF(AND(G10867&gt;0,H10867&gt;0),G10867/H10867,"")</f>
        <v/>
      </c>
    </row>
    <row r="10868">
      <c r="A10868" s="4" t="inlineStr">
        <is>
          <t>448</t>
        </is>
      </c>
      <c r="B10868" s="4" t="n">
        <v>4</v>
      </c>
      <c r="C10868" s="4" t="inlineStr">
        <is>
          <t>whitetail</t>
        </is>
      </c>
      <c r="D10868" s="4" t="n">
        <v>2009</v>
      </c>
      <c r="E10868" s="13" t="inlineStr">
        <is>
          <t>General</t>
        </is>
      </c>
      <c r="F10868" s="5" t="n">
        <v>546</v>
      </c>
      <c r="G10868" s="5" t="n">
        <v>2564</v>
      </c>
      <c r="H10868" s="5" t="n">
        <v>52</v>
      </c>
      <c r="I10868" s="5" t="n">
        <v>21</v>
      </c>
      <c r="J10868" s="5" t="n">
        <v>31</v>
      </c>
      <c r="K10868" s="10">
        <f>IF(F10868&gt;0,H10868/F10868,"")</f>
        <v/>
      </c>
      <c r="L10868" s="16">
        <f>IF(AND(G10868&gt;0,H10868&gt;0),G10868/H10868,"")</f>
        <v/>
      </c>
    </row>
    <row r="10869">
      <c r="A10869" s="4" t="inlineStr">
        <is>
          <t>448</t>
        </is>
      </c>
      <c r="B10869" s="4" t="n">
        <v>4</v>
      </c>
      <c r="C10869" s="4" t="inlineStr">
        <is>
          <t>whitetail</t>
        </is>
      </c>
      <c r="D10869" s="4" t="n">
        <v>2010</v>
      </c>
      <c r="E10869" s="13" t="inlineStr">
        <is>
          <t>General</t>
        </is>
      </c>
      <c r="F10869" s="5" t="n">
        <v>604</v>
      </c>
      <c r="G10869" s="5" t="n">
        <v>3506</v>
      </c>
      <c r="H10869" s="5" t="n">
        <v>28</v>
      </c>
      <c r="I10869" s="5" t="n">
        <v>25</v>
      </c>
      <c r="J10869" s="5" t="n">
        <v>3</v>
      </c>
      <c r="K10869" s="10">
        <f>IF(F10869&gt;0,H10869/F10869,"")</f>
        <v/>
      </c>
      <c r="L10869" s="16">
        <f>IF(AND(G10869&gt;0,H10869&gt;0),G10869/H10869,"")</f>
        <v/>
      </c>
    </row>
    <row r="10870">
      <c r="A10870" s="4" t="inlineStr">
        <is>
          <t>448</t>
        </is>
      </c>
      <c r="B10870" s="4" t="n">
        <v>4</v>
      </c>
      <c r="C10870" s="4" t="inlineStr">
        <is>
          <t>whitetail</t>
        </is>
      </c>
      <c r="D10870" s="4" t="n">
        <v>2011</v>
      </c>
      <c r="E10870" s="13" t="inlineStr">
        <is>
          <t>General</t>
        </is>
      </c>
      <c r="F10870" s="5" t="n">
        <v>669</v>
      </c>
      <c r="G10870" s="5" t="n">
        <v>4572</v>
      </c>
      <c r="H10870" s="5" t="n">
        <v>34</v>
      </c>
      <c r="I10870" s="5" t="n">
        <v>17</v>
      </c>
      <c r="J10870" s="5" t="n">
        <v>14</v>
      </c>
      <c r="K10870" s="10">
        <f>IF(F10870&gt;0,H10870/F10870,"")</f>
        <v/>
      </c>
      <c r="L10870" s="16">
        <f>IF(AND(G10870&gt;0,H10870&gt;0),G10870/H10870,"")</f>
        <v/>
      </c>
    </row>
    <row r="10871">
      <c r="A10871" s="4" t="inlineStr">
        <is>
          <t>448</t>
        </is>
      </c>
      <c r="B10871" s="4" t="n">
        <v>4</v>
      </c>
      <c r="C10871" s="4" t="inlineStr">
        <is>
          <t>whitetail</t>
        </is>
      </c>
      <c r="D10871" s="4" t="n">
        <v>2012</v>
      </c>
      <c r="E10871" s="13" t="inlineStr">
        <is>
          <t>General</t>
        </is>
      </c>
      <c r="F10871" s="5" t="n"/>
      <c r="G10871" s="5" t="n"/>
      <c r="H10871" s="5" t="n">
        <v>58</v>
      </c>
      <c r="I10871" s="5" t="n">
        <v>28</v>
      </c>
      <c r="J10871" s="5" t="n">
        <v>30</v>
      </c>
      <c r="K10871" s="10">
        <f>IF(F10871&gt;0,H10871/F10871,"")</f>
        <v/>
      </c>
      <c r="L10871" s="16">
        <f>IF(AND(G10871&gt;0,H10871&gt;0),G10871/H10871,"")</f>
        <v/>
      </c>
    </row>
    <row r="10872">
      <c r="A10872" s="4" t="inlineStr">
        <is>
          <t>448</t>
        </is>
      </c>
      <c r="B10872" s="4" t="n">
        <v>4</v>
      </c>
      <c r="C10872" s="4" t="inlineStr">
        <is>
          <t>whitetail</t>
        </is>
      </c>
      <c r="D10872" s="4" t="n">
        <v>2013</v>
      </c>
      <c r="E10872" s="13" t="inlineStr">
        <is>
          <t>General</t>
        </is>
      </c>
      <c r="F10872" s="5" t="n">
        <v>702</v>
      </c>
      <c r="G10872" s="5" t="n">
        <v>4238</v>
      </c>
      <c r="H10872" s="5" t="n">
        <v>56</v>
      </c>
      <c r="I10872" s="5" t="n">
        <v>28</v>
      </c>
      <c r="J10872" s="5" t="n">
        <v>25</v>
      </c>
      <c r="K10872" s="10">
        <f>IF(F10872&gt;0,H10872/F10872,"")</f>
        <v/>
      </c>
      <c r="L10872" s="16">
        <f>IF(AND(G10872&gt;0,H10872&gt;0),G10872/H10872,"")</f>
        <v/>
      </c>
    </row>
    <row r="10873">
      <c r="A10873" s="4" t="inlineStr">
        <is>
          <t>448</t>
        </is>
      </c>
      <c r="B10873" s="4" t="n">
        <v>4</v>
      </c>
      <c r="C10873" s="4" t="inlineStr">
        <is>
          <t>whitetail</t>
        </is>
      </c>
      <c r="D10873" s="4" t="n">
        <v>2014</v>
      </c>
      <c r="E10873" s="13" t="inlineStr">
        <is>
          <t>General</t>
        </is>
      </c>
      <c r="F10873" s="5" t="n"/>
      <c r="G10873" s="5" t="n"/>
      <c r="H10873" s="5" t="n">
        <v>40</v>
      </c>
      <c r="I10873" s="5" t="n">
        <v>26</v>
      </c>
      <c r="J10873" s="5" t="n">
        <v>14</v>
      </c>
      <c r="K10873" s="10">
        <f>IF(F10873&gt;0,H10873/F10873,"")</f>
        <v/>
      </c>
      <c r="L10873" s="16">
        <f>IF(AND(G10873&gt;0,H10873&gt;0),G10873/H10873,"")</f>
        <v/>
      </c>
    </row>
    <row r="10874">
      <c r="A10874" s="4" t="inlineStr">
        <is>
          <t>448</t>
        </is>
      </c>
      <c r="B10874" s="4" t="n">
        <v>4</v>
      </c>
      <c r="C10874" s="4" t="inlineStr">
        <is>
          <t>whitetail</t>
        </is>
      </c>
      <c r="D10874" s="4" t="n">
        <v>2015</v>
      </c>
      <c r="E10874" s="13" t="inlineStr">
        <is>
          <t>General</t>
        </is>
      </c>
      <c r="F10874" s="5" t="n"/>
      <c r="G10874" s="5" t="n"/>
      <c r="H10874" s="5" t="n">
        <v>43</v>
      </c>
      <c r="I10874" s="5" t="n">
        <v>32</v>
      </c>
      <c r="J10874" s="5" t="n">
        <v>12</v>
      </c>
      <c r="K10874" s="10">
        <f>IF(F10874&gt;0,H10874/F10874,"")</f>
        <v/>
      </c>
      <c r="L10874" s="16">
        <f>IF(AND(G10874&gt;0,H10874&gt;0),G10874/H10874,"")</f>
        <v/>
      </c>
    </row>
    <row r="10875">
      <c r="A10875" s="4" t="inlineStr">
        <is>
          <t>448</t>
        </is>
      </c>
      <c r="B10875" s="4" t="n">
        <v>4</v>
      </c>
      <c r="C10875" s="4" t="inlineStr">
        <is>
          <t>whitetail</t>
        </is>
      </c>
      <c r="D10875" s="4" t="n">
        <v>2016</v>
      </c>
      <c r="E10875" s="13" t="inlineStr">
        <is>
          <t>General</t>
        </is>
      </c>
      <c r="F10875" s="5" t="n"/>
      <c r="G10875" s="5" t="n"/>
      <c r="H10875" s="5" t="n">
        <v>42</v>
      </c>
      <c r="I10875" s="5" t="n">
        <v>36</v>
      </c>
      <c r="J10875" s="5" t="n">
        <v>6</v>
      </c>
      <c r="K10875" s="10">
        <f>IF(F10875&gt;0,H10875/F10875,"")</f>
        <v/>
      </c>
      <c r="L10875" s="16">
        <f>IF(AND(G10875&gt;0,H10875&gt;0),G10875/H10875,"")</f>
        <v/>
      </c>
    </row>
    <row r="10876">
      <c r="A10876" s="4" t="inlineStr">
        <is>
          <t>448</t>
        </is>
      </c>
      <c r="B10876" s="4" t="n">
        <v>4</v>
      </c>
      <c r="C10876" s="4" t="inlineStr">
        <is>
          <t>whitetail</t>
        </is>
      </c>
      <c r="D10876" s="4" t="n">
        <v>2017</v>
      </c>
      <c r="E10876" s="13" t="inlineStr">
        <is>
          <t>General</t>
        </is>
      </c>
      <c r="F10876" s="5" t="n">
        <v>585</v>
      </c>
      <c r="G10876" s="5" t="n">
        <v>3644</v>
      </c>
      <c r="H10876" s="5" t="n">
        <v>35</v>
      </c>
      <c r="I10876" s="5" t="n">
        <v>20</v>
      </c>
      <c r="J10876" s="5" t="n">
        <v>14</v>
      </c>
      <c r="K10876" s="10">
        <f>IF(F10876&gt;0,H10876/F10876,"")</f>
        <v/>
      </c>
      <c r="L10876" s="16">
        <f>IF(AND(G10876&gt;0,H10876&gt;0),G10876/H10876,"")</f>
        <v/>
      </c>
    </row>
    <row r="10877">
      <c r="A10877" s="4" t="inlineStr">
        <is>
          <t>448</t>
        </is>
      </c>
      <c r="B10877" s="4" t="n">
        <v>4</v>
      </c>
      <c r="C10877" s="4" t="inlineStr">
        <is>
          <t>whitetail</t>
        </is>
      </c>
      <c r="D10877" s="4" t="n">
        <v>2018</v>
      </c>
      <c r="E10877" s="13" t="inlineStr">
        <is>
          <t>General</t>
        </is>
      </c>
      <c r="F10877" s="5" t="n"/>
      <c r="G10877" s="5" t="n"/>
      <c r="H10877" s="5" t="n">
        <v>47</v>
      </c>
      <c r="I10877" s="5" t="n">
        <v>28</v>
      </c>
      <c r="J10877" s="5" t="n">
        <v>19</v>
      </c>
      <c r="K10877" s="10">
        <f>IF(F10877&gt;0,H10877/F10877,"")</f>
        <v/>
      </c>
      <c r="L10877" s="16">
        <f>IF(AND(G10877&gt;0,H10877&gt;0),G10877/H10877,"")</f>
        <v/>
      </c>
    </row>
    <row r="10878">
      <c r="A10878" s="4" t="inlineStr">
        <is>
          <t>448</t>
        </is>
      </c>
      <c r="B10878" s="4" t="n">
        <v>4</v>
      </c>
      <c r="C10878" s="4" t="inlineStr">
        <is>
          <t>whitetail</t>
        </is>
      </c>
      <c r="D10878" s="4" t="n">
        <v>2019</v>
      </c>
      <c r="E10878" s="13" t="inlineStr">
        <is>
          <t>General</t>
        </is>
      </c>
      <c r="F10878" s="5" t="n">
        <v>444</v>
      </c>
      <c r="G10878" s="5" t="n">
        <v>3141</v>
      </c>
      <c r="H10878" s="5" t="n">
        <v>64</v>
      </c>
      <c r="I10878" s="5" t="n">
        <v>27</v>
      </c>
      <c r="J10878" s="5" t="n">
        <v>31</v>
      </c>
      <c r="K10878" s="10">
        <f>IF(F10878&gt;0,H10878/F10878,"")</f>
        <v/>
      </c>
      <c r="L10878" s="16">
        <f>IF(AND(G10878&gt;0,H10878&gt;0),G10878/H10878,"")</f>
        <v/>
      </c>
    </row>
    <row r="10879">
      <c r="A10879" s="4" t="inlineStr">
        <is>
          <t>448</t>
        </is>
      </c>
      <c r="B10879" s="4" t="n">
        <v>4</v>
      </c>
      <c r="C10879" s="4" t="inlineStr">
        <is>
          <t>whitetail</t>
        </is>
      </c>
      <c r="D10879" s="4" t="n">
        <v>2020</v>
      </c>
      <c r="E10879" s="13" t="inlineStr">
        <is>
          <t>General</t>
        </is>
      </c>
      <c r="F10879" s="5" t="n"/>
      <c r="G10879" s="5" t="n"/>
      <c r="H10879" s="5" t="n">
        <v>42</v>
      </c>
      <c r="I10879" s="5" t="n">
        <v>17</v>
      </c>
      <c r="J10879" s="5" t="n">
        <v>25</v>
      </c>
      <c r="K10879" s="10">
        <f>IF(F10879&gt;0,H10879/F10879,"")</f>
        <v/>
      </c>
      <c r="L10879" s="16">
        <f>IF(AND(G10879&gt;0,H10879&gt;0),G10879/H10879,"")</f>
        <v/>
      </c>
    </row>
    <row r="10880">
      <c r="A10880" s="4" t="inlineStr">
        <is>
          <t>448</t>
        </is>
      </c>
      <c r="B10880" s="4" t="n">
        <v>4</v>
      </c>
      <c r="C10880" s="4" t="inlineStr">
        <is>
          <t>whitetail</t>
        </is>
      </c>
      <c r="D10880" s="4" t="n">
        <v>2021</v>
      </c>
      <c r="E10880" s="13" t="inlineStr">
        <is>
          <t>General</t>
        </is>
      </c>
      <c r="F10880" s="5" t="n">
        <v>574</v>
      </c>
      <c r="G10880" s="5" t="n">
        <v>3981</v>
      </c>
      <c r="H10880" s="5" t="n">
        <v>68</v>
      </c>
      <c r="I10880" s="5" t="n">
        <v>39</v>
      </c>
      <c r="J10880" s="5" t="n">
        <v>29</v>
      </c>
      <c r="K10880" s="10">
        <f>IF(F10880&gt;0,H10880/F10880,"")</f>
        <v/>
      </c>
      <c r="L10880" s="16">
        <f>IF(AND(G10880&gt;0,H10880&gt;0),G10880/H10880,"")</f>
        <v/>
      </c>
    </row>
    <row r="10881">
      <c r="A10881" s="4" t="inlineStr">
        <is>
          <t>448</t>
        </is>
      </c>
      <c r="B10881" s="4" t="n">
        <v>4</v>
      </c>
      <c r="C10881" s="4" t="inlineStr">
        <is>
          <t>whitetail</t>
        </is>
      </c>
      <c r="D10881" s="4" t="n">
        <v>2022</v>
      </c>
      <c r="E10881" s="13" t="inlineStr">
        <is>
          <t>General</t>
        </is>
      </c>
      <c r="F10881" s="5" t="n"/>
      <c r="G10881" s="5" t="n"/>
      <c r="H10881" s="5" t="n">
        <v>68</v>
      </c>
      <c r="I10881" s="5" t="n">
        <v>36</v>
      </c>
      <c r="J10881" s="5" t="n">
        <v>31</v>
      </c>
      <c r="K10881" s="10">
        <f>IF(F10881&gt;0,H10881/F10881,"")</f>
        <v/>
      </c>
      <c r="L10881" s="16">
        <f>IF(AND(G10881&gt;0,H10881&gt;0),G10881/H10881,"")</f>
        <v/>
      </c>
    </row>
    <row r="10882">
      <c r="A10882" s="4" t="inlineStr">
        <is>
          <t>448</t>
        </is>
      </c>
      <c r="B10882" s="4" t="n">
        <v>4</v>
      </c>
      <c r="C10882" s="4" t="inlineStr">
        <is>
          <t>whitetail</t>
        </is>
      </c>
      <c r="D10882" s="4" t="n">
        <v>2023</v>
      </c>
      <c r="E10882" s="13" t="inlineStr">
        <is>
          <t>General</t>
        </is>
      </c>
      <c r="F10882" s="5" t="n">
        <v>677</v>
      </c>
      <c r="G10882" s="5" t="n">
        <v>3952</v>
      </c>
      <c r="H10882" s="5" t="n">
        <v>84</v>
      </c>
      <c r="I10882" s="5" t="n">
        <v>30</v>
      </c>
      <c r="J10882" s="5" t="n">
        <v>51</v>
      </c>
      <c r="K10882" s="10">
        <f>IF(F10882&gt;0,H10882/F10882,"")</f>
        <v/>
      </c>
      <c r="L10882" s="16">
        <f>IF(AND(G10882&gt;0,H10882&gt;0),G10882/H10882,"")</f>
        <v/>
      </c>
    </row>
    <row r="10883">
      <c r="A10883" s="4" t="inlineStr">
        <is>
          <t>448</t>
        </is>
      </c>
      <c r="B10883" s="4" t="n">
        <v>4</v>
      </c>
      <c r="C10883" s="4" t="inlineStr">
        <is>
          <t>whitetail</t>
        </is>
      </c>
      <c r="D10883" s="4" t="n">
        <v>2024</v>
      </c>
      <c r="E10883" s="13" t="inlineStr">
        <is>
          <t>General</t>
        </is>
      </c>
      <c r="F10883" s="5" t="n"/>
      <c r="G10883" s="5" t="n"/>
      <c r="H10883" s="5" t="n">
        <v>93</v>
      </c>
      <c r="I10883" s="5" t="n">
        <v>38</v>
      </c>
      <c r="J10883" s="5" t="n">
        <v>55</v>
      </c>
      <c r="K10883" s="10">
        <f>IF(F10883&gt;0,H10883/F10883,"")</f>
        <v/>
      </c>
      <c r="L10883" s="16">
        <f>IF(AND(G10883&gt;0,H10883&gt;0),G10883/H10883,"")</f>
        <v/>
      </c>
    </row>
    <row r="10884">
      <c r="A10884" s="4" t="inlineStr">
        <is>
          <t>448</t>
        </is>
      </c>
      <c r="B10884" s="4" t="n">
        <v>4</v>
      </c>
      <c r="C10884" s="4" t="inlineStr">
        <is>
          <t>whitetail</t>
        </is>
      </c>
      <c r="D10884" s="4" t="n">
        <v>2025</v>
      </c>
      <c r="E10884" s="13" t="inlineStr">
        <is>
          <t>General</t>
        </is>
      </c>
      <c r="F10884" s="5" t="n">
        <v>788</v>
      </c>
      <c r="G10884" s="5" t="n">
        <v>5434</v>
      </c>
      <c r="H10884" s="5" t="n">
        <v>91</v>
      </c>
      <c r="I10884" s="5" t="n">
        <v>56</v>
      </c>
      <c r="J10884" s="5" t="n">
        <v>35</v>
      </c>
      <c r="K10884" s="10">
        <f>IF(F10884&gt;0,H10884/F10884,"")</f>
        <v/>
      </c>
      <c r="L10884" s="16">
        <f>IF(AND(G10884&gt;0,H10884&gt;0),G10884/H10884,"")</f>
        <v/>
      </c>
    </row>
    <row r="10885">
      <c r="A10885" s="4" t="inlineStr">
        <is>
          <t>449</t>
        </is>
      </c>
      <c r="B10885" s="4" t="n">
        <v>4</v>
      </c>
      <c r="C10885" s="4" t="inlineStr">
        <is>
          <t>whitetail</t>
        </is>
      </c>
      <c r="D10885" s="4" t="n">
        <v>2004</v>
      </c>
      <c r="E10885" s="4" t="inlineStr"/>
      <c r="F10885" s="5" t="n">
        <v>631</v>
      </c>
      <c r="G10885" s="5" t="n">
        <v>2758</v>
      </c>
      <c r="H10885" s="5" t="n">
        <v>111</v>
      </c>
      <c r="I10885" s="5" t="n">
        <v>49</v>
      </c>
      <c r="J10885" s="5" t="n">
        <v>63</v>
      </c>
      <c r="K10885" s="10">
        <f>IF(F10885&gt;0,H10885/F10885,"")</f>
        <v/>
      </c>
      <c r="L10885" s="16">
        <f>IF(AND(G10885&gt;0,H10885&gt;0),G10885/H10885,"")</f>
        <v/>
      </c>
    </row>
    <row r="10886">
      <c r="A10886" s="4" t="inlineStr">
        <is>
          <t>449</t>
        </is>
      </c>
      <c r="B10886" s="4" t="n">
        <v>4</v>
      </c>
      <c r="C10886" s="4" t="inlineStr">
        <is>
          <t>whitetail</t>
        </is>
      </c>
      <c r="D10886" s="4" t="n">
        <v>2005</v>
      </c>
      <c r="E10886" s="4" t="inlineStr"/>
      <c r="F10886" s="5" t="n">
        <v>441</v>
      </c>
      <c r="G10886" s="5" t="n">
        <v>2265</v>
      </c>
      <c r="H10886" s="5" t="n">
        <v>93</v>
      </c>
      <c r="I10886" s="5" t="n">
        <v>45</v>
      </c>
      <c r="J10886" s="5" t="n">
        <v>46</v>
      </c>
      <c r="K10886" s="10">
        <f>IF(F10886&gt;0,H10886/F10886,"")</f>
        <v/>
      </c>
      <c r="L10886" s="16">
        <f>IF(AND(G10886&gt;0,H10886&gt;0),G10886/H10886,"")</f>
        <v/>
      </c>
    </row>
    <row r="10887">
      <c r="A10887" s="4" t="inlineStr">
        <is>
          <t>449</t>
        </is>
      </c>
      <c r="B10887" s="4" t="n">
        <v>4</v>
      </c>
      <c r="C10887" s="4" t="inlineStr">
        <is>
          <t>whitetail</t>
        </is>
      </c>
      <c r="D10887" s="4" t="n">
        <v>2006</v>
      </c>
      <c r="E10887" s="4" t="inlineStr"/>
      <c r="F10887" s="5" t="n">
        <v>401</v>
      </c>
      <c r="G10887" s="5" t="n">
        <v>1843</v>
      </c>
      <c r="H10887" s="5" t="n">
        <v>85</v>
      </c>
      <c r="I10887" s="5" t="n">
        <v>30</v>
      </c>
      <c r="J10887" s="5" t="n">
        <v>55</v>
      </c>
      <c r="K10887" s="10">
        <f>IF(F10887&gt;0,H10887/F10887,"")</f>
        <v/>
      </c>
      <c r="L10887" s="16">
        <f>IF(AND(G10887&gt;0,H10887&gt;0),G10887/H10887,"")</f>
        <v/>
      </c>
    </row>
    <row r="10888">
      <c r="A10888" s="4" t="inlineStr">
        <is>
          <t>449</t>
        </is>
      </c>
      <c r="B10888" s="4" t="n">
        <v>4</v>
      </c>
      <c r="C10888" s="4" t="inlineStr">
        <is>
          <t>whitetail</t>
        </is>
      </c>
      <c r="D10888" s="4" t="n">
        <v>2007</v>
      </c>
      <c r="E10888" s="4" t="inlineStr"/>
      <c r="F10888" s="5" t="n">
        <v>342</v>
      </c>
      <c r="G10888" s="5" t="n">
        <v>1961</v>
      </c>
      <c r="H10888" s="5" t="n">
        <v>49</v>
      </c>
      <c r="I10888" s="5" t="n">
        <v>27</v>
      </c>
      <c r="J10888" s="5" t="n">
        <v>19</v>
      </c>
      <c r="K10888" s="10">
        <f>IF(F10888&gt;0,H10888/F10888,"")</f>
        <v/>
      </c>
      <c r="L10888" s="16">
        <f>IF(AND(G10888&gt;0,H10888&gt;0),G10888/H10888,"")</f>
        <v/>
      </c>
    </row>
    <row r="10889">
      <c r="A10889" s="4" t="inlineStr">
        <is>
          <t>449</t>
        </is>
      </c>
      <c r="B10889" s="4" t="n">
        <v>4</v>
      </c>
      <c r="C10889" s="4" t="inlineStr">
        <is>
          <t>whitetail</t>
        </is>
      </c>
      <c r="D10889" s="4" t="n">
        <v>2008</v>
      </c>
      <c r="E10889" s="4" t="inlineStr"/>
      <c r="F10889" s="5" t="n">
        <v>396</v>
      </c>
      <c r="G10889" s="5" t="n">
        <v>1870</v>
      </c>
      <c r="H10889" s="5" t="n">
        <v>56</v>
      </c>
      <c r="I10889" s="5" t="n">
        <v>30</v>
      </c>
      <c r="J10889" s="5" t="n">
        <v>23</v>
      </c>
      <c r="K10889" s="10">
        <f>IF(F10889&gt;0,H10889/F10889,"")</f>
        <v/>
      </c>
      <c r="L10889" s="16">
        <f>IF(AND(G10889&gt;0,H10889&gt;0),G10889/H10889,"")</f>
        <v/>
      </c>
    </row>
    <row r="10890">
      <c r="A10890" s="4" t="inlineStr">
        <is>
          <t>449</t>
        </is>
      </c>
      <c r="B10890" s="4" t="n">
        <v>4</v>
      </c>
      <c r="C10890" s="4" t="inlineStr">
        <is>
          <t>whitetail</t>
        </is>
      </c>
      <c r="D10890" s="4" t="n">
        <v>2009</v>
      </c>
      <c r="E10890" s="4" t="inlineStr"/>
      <c r="F10890" s="5" t="n">
        <v>403</v>
      </c>
      <c r="G10890" s="5" t="n">
        <v>2015</v>
      </c>
      <c r="H10890" s="5" t="n">
        <v>67</v>
      </c>
      <c r="I10890" s="5" t="n">
        <v>23</v>
      </c>
      <c r="J10890" s="5" t="n">
        <v>44</v>
      </c>
      <c r="K10890" s="10">
        <f>IF(F10890&gt;0,H10890/F10890,"")</f>
        <v/>
      </c>
      <c r="L10890" s="16">
        <f>IF(AND(G10890&gt;0,H10890&gt;0),G10890/H10890,"")</f>
        <v/>
      </c>
    </row>
    <row r="10891">
      <c r="A10891" s="4" t="inlineStr">
        <is>
          <t>449</t>
        </is>
      </c>
      <c r="B10891" s="4" t="n">
        <v>4</v>
      </c>
      <c r="C10891" s="4" t="inlineStr">
        <is>
          <t>whitetail</t>
        </is>
      </c>
      <c r="D10891" s="4" t="n">
        <v>2010</v>
      </c>
      <c r="E10891" s="4" t="inlineStr"/>
      <c r="F10891" s="5" t="n">
        <v>449</v>
      </c>
      <c r="G10891" s="5" t="n">
        <v>2529</v>
      </c>
      <c r="H10891" s="5" t="n">
        <v>76</v>
      </c>
      <c r="I10891" s="5" t="n">
        <v>20</v>
      </c>
      <c r="J10891" s="5" t="n">
        <v>56</v>
      </c>
      <c r="K10891" s="10">
        <f>IF(F10891&gt;0,H10891/F10891,"")</f>
        <v/>
      </c>
      <c r="L10891" s="16">
        <f>IF(AND(G10891&gt;0,H10891&gt;0),G10891/H10891,"")</f>
        <v/>
      </c>
    </row>
    <row r="10892">
      <c r="A10892" s="4" t="inlineStr">
        <is>
          <t>449</t>
        </is>
      </c>
      <c r="B10892" s="4" t="n">
        <v>4</v>
      </c>
      <c r="C10892" s="4" t="inlineStr">
        <is>
          <t>whitetail</t>
        </is>
      </c>
      <c r="D10892" s="4" t="n">
        <v>2011</v>
      </c>
      <c r="E10892" s="4" t="inlineStr"/>
      <c r="F10892" s="5" t="n">
        <v>525</v>
      </c>
      <c r="G10892" s="5" t="n">
        <v>2512</v>
      </c>
      <c r="H10892" s="5" t="n">
        <v>81</v>
      </c>
      <c r="I10892" s="5" t="n">
        <v>33</v>
      </c>
      <c r="J10892" s="5" t="n">
        <v>47</v>
      </c>
      <c r="K10892" s="10">
        <f>IF(F10892&gt;0,H10892/F10892,"")</f>
        <v/>
      </c>
      <c r="L10892" s="16">
        <f>IF(AND(G10892&gt;0,H10892&gt;0),G10892/H10892,"")</f>
        <v/>
      </c>
    </row>
    <row r="10893">
      <c r="A10893" s="4" t="inlineStr">
        <is>
          <t>449</t>
        </is>
      </c>
      <c r="B10893" s="4" t="n">
        <v>4</v>
      </c>
      <c r="C10893" s="4" t="inlineStr">
        <is>
          <t>whitetail</t>
        </is>
      </c>
      <c r="D10893" s="4" t="n">
        <v>2012</v>
      </c>
      <c r="E10893" s="4" t="inlineStr"/>
      <c r="F10893" s="5" t="n"/>
      <c r="G10893" s="5" t="n"/>
      <c r="H10893" s="5" t="n">
        <v>94</v>
      </c>
      <c r="I10893" s="5" t="n">
        <v>42</v>
      </c>
      <c r="J10893" s="5" t="n">
        <v>49</v>
      </c>
      <c r="K10893" s="10">
        <f>IF(F10893&gt;0,H10893/F10893,"")</f>
        <v/>
      </c>
      <c r="L10893" s="16">
        <f>IF(AND(G10893&gt;0,H10893&gt;0),G10893/H10893,"")</f>
        <v/>
      </c>
    </row>
    <row r="10894">
      <c r="A10894" s="4" t="inlineStr">
        <is>
          <t>449</t>
        </is>
      </c>
      <c r="B10894" s="4" t="n">
        <v>4</v>
      </c>
      <c r="C10894" s="4" t="inlineStr">
        <is>
          <t>whitetail</t>
        </is>
      </c>
      <c r="D10894" s="4" t="n">
        <v>2013</v>
      </c>
      <c r="E10894" s="4" t="inlineStr"/>
      <c r="F10894" s="5" t="n">
        <v>537</v>
      </c>
      <c r="G10894" s="5" t="n">
        <v>2501</v>
      </c>
      <c r="H10894" s="5" t="n">
        <v>59</v>
      </c>
      <c r="I10894" s="5" t="n">
        <v>42</v>
      </c>
      <c r="J10894" s="5" t="n">
        <v>17</v>
      </c>
      <c r="K10894" s="10">
        <f>IF(F10894&gt;0,H10894/F10894,"")</f>
        <v/>
      </c>
      <c r="L10894" s="16">
        <f>IF(AND(G10894&gt;0,H10894&gt;0),G10894/H10894,"")</f>
        <v/>
      </c>
    </row>
    <row r="10895">
      <c r="A10895" s="4" t="inlineStr">
        <is>
          <t>449</t>
        </is>
      </c>
      <c r="B10895" s="4" t="n">
        <v>4</v>
      </c>
      <c r="C10895" s="4" t="inlineStr">
        <is>
          <t>whitetail</t>
        </is>
      </c>
      <c r="D10895" s="4" t="n">
        <v>2014</v>
      </c>
      <c r="E10895" s="4" t="inlineStr"/>
      <c r="F10895" s="5" t="n"/>
      <c r="G10895" s="5" t="n"/>
      <c r="H10895" s="5" t="n">
        <v>84</v>
      </c>
      <c r="I10895" s="5" t="n">
        <v>58</v>
      </c>
      <c r="J10895" s="5" t="n">
        <v>26</v>
      </c>
      <c r="K10895" s="10">
        <f>IF(F10895&gt;0,H10895/F10895,"")</f>
        <v/>
      </c>
      <c r="L10895" s="16">
        <f>IF(AND(G10895&gt;0,H10895&gt;0),G10895/H10895,"")</f>
        <v/>
      </c>
    </row>
    <row r="10896">
      <c r="A10896" s="4" t="inlineStr">
        <is>
          <t>449</t>
        </is>
      </c>
      <c r="B10896" s="4" t="n">
        <v>4</v>
      </c>
      <c r="C10896" s="4" t="inlineStr">
        <is>
          <t>whitetail</t>
        </is>
      </c>
      <c r="D10896" s="4" t="n">
        <v>2015</v>
      </c>
      <c r="E10896" s="4" t="inlineStr"/>
      <c r="F10896" s="5" t="n"/>
      <c r="G10896" s="5" t="n"/>
      <c r="H10896" s="5" t="n">
        <v>80</v>
      </c>
      <c r="I10896" s="5" t="n">
        <v>55</v>
      </c>
      <c r="J10896" s="5" t="n">
        <v>23</v>
      </c>
      <c r="K10896" s="10">
        <f>IF(F10896&gt;0,H10896/F10896,"")</f>
        <v/>
      </c>
      <c r="L10896" s="16">
        <f>IF(AND(G10896&gt;0,H10896&gt;0),G10896/H10896,"")</f>
        <v/>
      </c>
    </row>
    <row r="10897">
      <c r="A10897" s="4" t="inlineStr">
        <is>
          <t>449</t>
        </is>
      </c>
      <c r="B10897" s="4" t="n">
        <v>4</v>
      </c>
      <c r="C10897" s="4" t="inlineStr">
        <is>
          <t>whitetail</t>
        </is>
      </c>
      <c r="D10897" s="4" t="n">
        <v>2016</v>
      </c>
      <c r="E10897" s="4" t="inlineStr"/>
      <c r="F10897" s="5" t="n"/>
      <c r="G10897" s="5" t="n"/>
      <c r="H10897" s="5" t="n">
        <v>82</v>
      </c>
      <c r="I10897" s="5" t="n">
        <v>50</v>
      </c>
      <c r="J10897" s="5" t="n">
        <v>26</v>
      </c>
      <c r="K10897" s="10">
        <f>IF(F10897&gt;0,H10897/F10897,"")</f>
        <v/>
      </c>
      <c r="L10897" s="16">
        <f>IF(AND(G10897&gt;0,H10897&gt;0),G10897/H10897,"")</f>
        <v/>
      </c>
    </row>
    <row r="10898">
      <c r="A10898" s="4" t="inlineStr">
        <is>
          <t>449</t>
        </is>
      </c>
      <c r="B10898" s="4" t="n">
        <v>4</v>
      </c>
      <c r="C10898" s="4" t="inlineStr">
        <is>
          <t>whitetail</t>
        </is>
      </c>
      <c r="D10898" s="4" t="n">
        <v>2017</v>
      </c>
      <c r="E10898" s="4" t="inlineStr"/>
      <c r="F10898" s="5" t="n">
        <v>384</v>
      </c>
      <c r="G10898" s="5" t="n">
        <v>1617</v>
      </c>
      <c r="H10898" s="5" t="n">
        <v>60</v>
      </c>
      <c r="I10898" s="5" t="n">
        <v>44</v>
      </c>
      <c r="J10898" s="5" t="n">
        <v>17</v>
      </c>
      <c r="K10898" s="10">
        <f>IF(F10898&gt;0,H10898/F10898,"")</f>
        <v/>
      </c>
      <c r="L10898" s="16">
        <f>IF(AND(G10898&gt;0,H10898&gt;0),G10898/H10898,"")</f>
        <v/>
      </c>
    </row>
    <row r="10899">
      <c r="A10899" s="4" t="inlineStr">
        <is>
          <t>449</t>
        </is>
      </c>
      <c r="B10899" s="4" t="n">
        <v>4</v>
      </c>
      <c r="C10899" s="4" t="inlineStr">
        <is>
          <t>whitetail</t>
        </is>
      </c>
      <c r="D10899" s="4" t="n">
        <v>2018</v>
      </c>
      <c r="E10899" s="4" t="inlineStr"/>
      <c r="F10899" s="5" t="n"/>
      <c r="G10899" s="5" t="n"/>
      <c r="H10899" s="5" t="n">
        <v>64</v>
      </c>
      <c r="I10899" s="5" t="n">
        <v>31</v>
      </c>
      <c r="J10899" s="5" t="n">
        <v>30</v>
      </c>
      <c r="K10899" s="10">
        <f>IF(F10899&gt;0,H10899/F10899,"")</f>
        <v/>
      </c>
      <c r="L10899" s="16">
        <f>IF(AND(G10899&gt;0,H10899&gt;0),G10899/H10899,"")</f>
        <v/>
      </c>
    </row>
    <row r="10900">
      <c r="A10900" s="4" t="inlineStr">
        <is>
          <t>449</t>
        </is>
      </c>
      <c r="B10900" s="4" t="n">
        <v>4</v>
      </c>
      <c r="C10900" s="4" t="inlineStr">
        <is>
          <t>whitetail</t>
        </is>
      </c>
      <c r="D10900" s="4" t="n">
        <v>2019</v>
      </c>
      <c r="E10900" s="4" t="inlineStr"/>
      <c r="F10900" s="5" t="n">
        <v>393</v>
      </c>
      <c r="G10900" s="5" t="n">
        <v>1760</v>
      </c>
      <c r="H10900" s="5" t="n">
        <v>49</v>
      </c>
      <c r="I10900" s="5" t="n">
        <v>23</v>
      </c>
      <c r="J10900" s="5" t="n">
        <v>26</v>
      </c>
      <c r="K10900" s="10">
        <f>IF(F10900&gt;0,H10900/F10900,"")</f>
        <v/>
      </c>
      <c r="L10900" s="16">
        <f>IF(AND(G10900&gt;0,H10900&gt;0),G10900/H10900,"")</f>
        <v/>
      </c>
    </row>
    <row r="10901">
      <c r="A10901" s="4" t="inlineStr">
        <is>
          <t>450</t>
        </is>
      </c>
      <c r="B10901" s="4" t="n">
        <v>4</v>
      </c>
      <c r="C10901" s="4" t="inlineStr">
        <is>
          <t>whitetail</t>
        </is>
      </c>
      <c r="D10901" s="4" t="n">
        <v>2004</v>
      </c>
      <c r="E10901" s="13" t="inlineStr">
        <is>
          <t>General</t>
        </is>
      </c>
      <c r="F10901" s="5" t="n">
        <v>433</v>
      </c>
      <c r="G10901" s="5" t="n">
        <v>1810</v>
      </c>
      <c r="H10901" s="5" t="n">
        <v>163</v>
      </c>
      <c r="I10901" s="5" t="n">
        <v>78</v>
      </c>
      <c r="J10901" s="5" t="n">
        <v>82</v>
      </c>
      <c r="K10901" s="10">
        <f>IF(F10901&gt;0,H10901/F10901,"")</f>
        <v/>
      </c>
      <c r="L10901" s="16">
        <f>IF(AND(G10901&gt;0,H10901&gt;0),G10901/H10901,"")</f>
        <v/>
      </c>
    </row>
    <row r="10902">
      <c r="A10902" s="4" t="inlineStr">
        <is>
          <t>450</t>
        </is>
      </c>
      <c r="B10902" s="4" t="n">
        <v>4</v>
      </c>
      <c r="C10902" s="4" t="inlineStr">
        <is>
          <t>whitetail</t>
        </is>
      </c>
      <c r="D10902" s="4" t="n">
        <v>2005</v>
      </c>
      <c r="E10902" s="13" t="inlineStr">
        <is>
          <t>General</t>
        </is>
      </c>
      <c r="F10902" s="5" t="n">
        <v>459</v>
      </c>
      <c r="G10902" s="5" t="n">
        <v>1791</v>
      </c>
      <c r="H10902" s="5" t="n">
        <v>212</v>
      </c>
      <c r="I10902" s="5" t="n">
        <v>78</v>
      </c>
      <c r="J10902" s="5" t="n">
        <v>126</v>
      </c>
      <c r="K10902" s="10">
        <f>IF(F10902&gt;0,H10902/F10902,"")</f>
        <v/>
      </c>
      <c r="L10902" s="16">
        <f>IF(AND(G10902&gt;0,H10902&gt;0),G10902/H10902,"")</f>
        <v/>
      </c>
    </row>
    <row r="10903">
      <c r="A10903" s="4" t="inlineStr">
        <is>
          <t>450</t>
        </is>
      </c>
      <c r="B10903" s="4" t="n">
        <v>4</v>
      </c>
      <c r="C10903" s="4" t="inlineStr">
        <is>
          <t>whitetail</t>
        </is>
      </c>
      <c r="D10903" s="4" t="n">
        <v>2006</v>
      </c>
      <c r="E10903" s="13" t="inlineStr">
        <is>
          <t>General</t>
        </is>
      </c>
      <c r="F10903" s="5" t="n">
        <v>435</v>
      </c>
      <c r="G10903" s="5" t="n">
        <v>1931</v>
      </c>
      <c r="H10903" s="5" t="n">
        <v>150</v>
      </c>
      <c r="I10903" s="5" t="n">
        <v>77</v>
      </c>
      <c r="J10903" s="5" t="n">
        <v>74</v>
      </c>
      <c r="K10903" s="10">
        <f>IF(F10903&gt;0,H10903/F10903,"")</f>
        <v/>
      </c>
      <c r="L10903" s="16">
        <f>IF(AND(G10903&gt;0,H10903&gt;0),G10903/H10903,"")</f>
        <v/>
      </c>
    </row>
    <row r="10904">
      <c r="A10904" s="4" t="inlineStr">
        <is>
          <t>450</t>
        </is>
      </c>
      <c r="B10904" s="4" t="n">
        <v>4</v>
      </c>
      <c r="C10904" s="4" t="inlineStr">
        <is>
          <t>whitetail</t>
        </is>
      </c>
      <c r="D10904" s="4" t="n">
        <v>2007</v>
      </c>
      <c r="E10904" s="13" t="inlineStr">
        <is>
          <t>General</t>
        </is>
      </c>
      <c r="F10904" s="5" t="n">
        <v>439</v>
      </c>
      <c r="G10904" s="5" t="n">
        <v>1992</v>
      </c>
      <c r="H10904" s="5" t="n">
        <v>190</v>
      </c>
      <c r="I10904" s="5" t="n">
        <v>93</v>
      </c>
      <c r="J10904" s="5" t="n">
        <v>93</v>
      </c>
      <c r="K10904" s="10">
        <f>IF(F10904&gt;0,H10904/F10904,"")</f>
        <v/>
      </c>
      <c r="L10904" s="16">
        <f>IF(AND(G10904&gt;0,H10904&gt;0),G10904/H10904,"")</f>
        <v/>
      </c>
    </row>
    <row r="10905">
      <c r="A10905" s="4" t="inlineStr">
        <is>
          <t>450</t>
        </is>
      </c>
      <c r="B10905" s="4" t="n">
        <v>4</v>
      </c>
      <c r="C10905" s="4" t="inlineStr">
        <is>
          <t>whitetail</t>
        </is>
      </c>
      <c r="D10905" s="4" t="n">
        <v>2008</v>
      </c>
      <c r="E10905" s="13" t="inlineStr">
        <is>
          <t>General</t>
        </is>
      </c>
      <c r="F10905" s="5" t="n">
        <v>438</v>
      </c>
      <c r="G10905" s="5" t="n">
        <v>2201</v>
      </c>
      <c r="H10905" s="5" t="n">
        <v>135</v>
      </c>
      <c r="I10905" s="5" t="n">
        <v>87</v>
      </c>
      <c r="J10905" s="5" t="n">
        <v>48</v>
      </c>
      <c r="K10905" s="10">
        <f>IF(F10905&gt;0,H10905/F10905,"")</f>
        <v/>
      </c>
      <c r="L10905" s="16">
        <f>IF(AND(G10905&gt;0,H10905&gt;0),G10905/H10905,"")</f>
        <v/>
      </c>
    </row>
    <row r="10906">
      <c r="A10906" s="4" t="inlineStr">
        <is>
          <t>450</t>
        </is>
      </c>
      <c r="B10906" s="4" t="n">
        <v>4</v>
      </c>
      <c r="C10906" s="4" t="inlineStr">
        <is>
          <t>whitetail</t>
        </is>
      </c>
      <c r="D10906" s="4" t="n">
        <v>2009</v>
      </c>
      <c r="E10906" s="13" t="inlineStr">
        <is>
          <t>General</t>
        </is>
      </c>
      <c r="F10906" s="5" t="n">
        <v>473</v>
      </c>
      <c r="G10906" s="5" t="n">
        <v>2165</v>
      </c>
      <c r="H10906" s="5" t="n">
        <v>193</v>
      </c>
      <c r="I10906" s="5" t="n">
        <v>110</v>
      </c>
      <c r="J10906" s="5" t="n">
        <v>83</v>
      </c>
      <c r="K10906" s="10">
        <f>IF(F10906&gt;0,H10906/F10906,"")</f>
        <v/>
      </c>
      <c r="L10906" s="16">
        <f>IF(AND(G10906&gt;0,H10906&gt;0),G10906/H10906,"")</f>
        <v/>
      </c>
    </row>
    <row r="10907">
      <c r="A10907" s="4" t="inlineStr">
        <is>
          <t>450</t>
        </is>
      </c>
      <c r="B10907" s="4" t="n">
        <v>4</v>
      </c>
      <c r="C10907" s="4" t="inlineStr">
        <is>
          <t>whitetail</t>
        </is>
      </c>
      <c r="D10907" s="4" t="n">
        <v>2010</v>
      </c>
      <c r="E10907" s="13" t="inlineStr">
        <is>
          <t>General</t>
        </is>
      </c>
      <c r="F10907" s="5" t="n">
        <v>458</v>
      </c>
      <c r="G10907" s="5" t="n">
        <v>2335</v>
      </c>
      <c r="H10907" s="5" t="n">
        <v>148</v>
      </c>
      <c r="I10907" s="5" t="n">
        <v>76</v>
      </c>
      <c r="J10907" s="5" t="n">
        <v>72</v>
      </c>
      <c r="K10907" s="10">
        <f>IF(F10907&gt;0,H10907/F10907,"")</f>
        <v/>
      </c>
      <c r="L10907" s="16">
        <f>IF(AND(G10907&gt;0,H10907&gt;0),G10907/H10907,"")</f>
        <v/>
      </c>
    </row>
    <row r="10908">
      <c r="A10908" s="4" t="inlineStr">
        <is>
          <t>450</t>
        </is>
      </c>
      <c r="B10908" s="4" t="n">
        <v>4</v>
      </c>
      <c r="C10908" s="4" t="inlineStr">
        <is>
          <t>whitetail</t>
        </is>
      </c>
      <c r="D10908" s="4" t="n">
        <v>2011</v>
      </c>
      <c r="E10908" s="13" t="inlineStr">
        <is>
          <t>General</t>
        </is>
      </c>
      <c r="F10908" s="5" t="n">
        <v>485</v>
      </c>
      <c r="G10908" s="5" t="n">
        <v>2173</v>
      </c>
      <c r="H10908" s="5" t="n">
        <v>173</v>
      </c>
      <c r="I10908" s="5" t="n">
        <v>82</v>
      </c>
      <c r="J10908" s="5" t="n">
        <v>91</v>
      </c>
      <c r="K10908" s="10">
        <f>IF(F10908&gt;0,H10908/F10908,"")</f>
        <v/>
      </c>
      <c r="L10908" s="16">
        <f>IF(AND(G10908&gt;0,H10908&gt;0),G10908/H10908,"")</f>
        <v/>
      </c>
    </row>
    <row r="10909">
      <c r="A10909" s="4" t="inlineStr">
        <is>
          <t>450</t>
        </is>
      </c>
      <c r="B10909" s="4" t="n">
        <v>4</v>
      </c>
      <c r="C10909" s="4" t="inlineStr">
        <is>
          <t>whitetail</t>
        </is>
      </c>
      <c r="D10909" s="4" t="n">
        <v>2012</v>
      </c>
      <c r="E10909" s="13" t="inlineStr">
        <is>
          <t>General</t>
        </is>
      </c>
      <c r="F10909" s="5" t="n"/>
      <c r="G10909" s="5" t="n"/>
      <c r="H10909" s="5" t="n">
        <v>214</v>
      </c>
      <c r="I10909" s="5" t="n">
        <v>100</v>
      </c>
      <c r="J10909" s="5" t="n">
        <v>114</v>
      </c>
      <c r="K10909" s="10">
        <f>IF(F10909&gt;0,H10909/F10909,"")</f>
        <v/>
      </c>
      <c r="L10909" s="16">
        <f>IF(AND(G10909&gt;0,H10909&gt;0),G10909/H10909,"")</f>
        <v/>
      </c>
    </row>
    <row r="10910">
      <c r="A10910" s="4" t="inlineStr">
        <is>
          <t>450</t>
        </is>
      </c>
      <c r="B10910" s="4" t="n">
        <v>4</v>
      </c>
      <c r="C10910" s="4" t="inlineStr">
        <is>
          <t>whitetail</t>
        </is>
      </c>
      <c r="D10910" s="4" t="n">
        <v>2013</v>
      </c>
      <c r="E10910" s="13" t="inlineStr">
        <is>
          <t>General</t>
        </is>
      </c>
      <c r="F10910" s="5" t="n">
        <v>470</v>
      </c>
      <c r="G10910" s="5" t="n">
        <v>1910</v>
      </c>
      <c r="H10910" s="5" t="n">
        <v>152</v>
      </c>
      <c r="I10910" s="5" t="n">
        <v>93</v>
      </c>
      <c r="J10910" s="5" t="n">
        <v>56</v>
      </c>
      <c r="K10910" s="10">
        <f>IF(F10910&gt;0,H10910/F10910,"")</f>
        <v/>
      </c>
      <c r="L10910" s="16">
        <f>IF(AND(G10910&gt;0,H10910&gt;0),G10910/H10910,"")</f>
        <v/>
      </c>
    </row>
    <row r="10911">
      <c r="A10911" s="4" t="inlineStr">
        <is>
          <t>450</t>
        </is>
      </c>
      <c r="B10911" s="4" t="n">
        <v>4</v>
      </c>
      <c r="C10911" s="4" t="inlineStr">
        <is>
          <t>whitetail</t>
        </is>
      </c>
      <c r="D10911" s="4" t="n">
        <v>2014</v>
      </c>
      <c r="E10911" s="13" t="inlineStr">
        <is>
          <t>General</t>
        </is>
      </c>
      <c r="F10911" s="5" t="n"/>
      <c r="G10911" s="5" t="n"/>
      <c r="H10911" s="5" t="n">
        <v>110</v>
      </c>
      <c r="I10911" s="5" t="n">
        <v>71</v>
      </c>
      <c r="J10911" s="5" t="n">
        <v>34</v>
      </c>
      <c r="K10911" s="10">
        <f>IF(F10911&gt;0,H10911/F10911,"")</f>
        <v/>
      </c>
      <c r="L10911" s="16">
        <f>IF(AND(G10911&gt;0,H10911&gt;0),G10911/H10911,"")</f>
        <v/>
      </c>
    </row>
    <row r="10912">
      <c r="A10912" s="4" t="inlineStr">
        <is>
          <t>450</t>
        </is>
      </c>
      <c r="B10912" s="4" t="n">
        <v>4</v>
      </c>
      <c r="C10912" s="4" t="inlineStr">
        <is>
          <t>whitetail</t>
        </is>
      </c>
      <c r="D10912" s="4" t="n">
        <v>2015</v>
      </c>
      <c r="E10912" s="13" t="inlineStr">
        <is>
          <t>General</t>
        </is>
      </c>
      <c r="F10912" s="5" t="n"/>
      <c r="G10912" s="5" t="n"/>
      <c r="H10912" s="5" t="n">
        <v>148</v>
      </c>
      <c r="I10912" s="5" t="n">
        <v>115</v>
      </c>
      <c r="J10912" s="5" t="n">
        <v>34</v>
      </c>
      <c r="K10912" s="10">
        <f>IF(F10912&gt;0,H10912/F10912,"")</f>
        <v/>
      </c>
      <c r="L10912" s="16">
        <f>IF(AND(G10912&gt;0,H10912&gt;0),G10912/H10912,"")</f>
        <v/>
      </c>
    </row>
    <row r="10913">
      <c r="A10913" s="4" t="inlineStr">
        <is>
          <t>450</t>
        </is>
      </c>
      <c r="B10913" s="4" t="n">
        <v>4</v>
      </c>
      <c r="C10913" s="4" t="inlineStr">
        <is>
          <t>whitetail</t>
        </is>
      </c>
      <c r="D10913" s="4" t="n">
        <v>2016</v>
      </c>
      <c r="E10913" s="13" t="inlineStr">
        <is>
          <t>General</t>
        </is>
      </c>
      <c r="F10913" s="5" t="n"/>
      <c r="G10913" s="5" t="n"/>
      <c r="H10913" s="5" t="n">
        <v>181</v>
      </c>
      <c r="I10913" s="5" t="n">
        <v>120</v>
      </c>
      <c r="J10913" s="5" t="n">
        <v>62</v>
      </c>
      <c r="K10913" s="10">
        <f>IF(F10913&gt;0,H10913/F10913,"")</f>
        <v/>
      </c>
      <c r="L10913" s="16">
        <f>IF(AND(G10913&gt;0,H10913&gt;0),G10913/H10913,"")</f>
        <v/>
      </c>
    </row>
    <row r="10914">
      <c r="A10914" s="4" t="inlineStr">
        <is>
          <t>450</t>
        </is>
      </c>
      <c r="B10914" s="4" t="n">
        <v>4</v>
      </c>
      <c r="C10914" s="4" t="inlineStr">
        <is>
          <t>whitetail</t>
        </is>
      </c>
      <c r="D10914" s="4" t="n">
        <v>2017</v>
      </c>
      <c r="E10914" s="13" t="inlineStr">
        <is>
          <t>General</t>
        </is>
      </c>
      <c r="F10914" s="5" t="n">
        <v>462</v>
      </c>
      <c r="G10914" s="5" t="n">
        <v>2500</v>
      </c>
      <c r="H10914" s="5" t="n">
        <v>144</v>
      </c>
      <c r="I10914" s="5" t="n">
        <v>88</v>
      </c>
      <c r="J10914" s="5" t="n">
        <v>56</v>
      </c>
      <c r="K10914" s="10">
        <f>IF(F10914&gt;0,H10914/F10914,"")</f>
        <v/>
      </c>
      <c r="L10914" s="16">
        <f>IF(AND(G10914&gt;0,H10914&gt;0),G10914/H10914,"")</f>
        <v/>
      </c>
    </row>
    <row r="10915">
      <c r="A10915" s="4" t="inlineStr">
        <is>
          <t>450</t>
        </is>
      </c>
      <c r="B10915" s="4" t="n">
        <v>4</v>
      </c>
      <c r="C10915" s="4" t="inlineStr">
        <is>
          <t>whitetail</t>
        </is>
      </c>
      <c r="D10915" s="4" t="n">
        <v>2018</v>
      </c>
      <c r="E10915" s="13" t="inlineStr">
        <is>
          <t>General</t>
        </is>
      </c>
      <c r="F10915" s="5" t="n"/>
      <c r="G10915" s="5" t="n"/>
      <c r="H10915" s="5" t="n">
        <v>175</v>
      </c>
      <c r="I10915" s="5" t="n">
        <v>114</v>
      </c>
      <c r="J10915" s="5" t="n">
        <v>58</v>
      </c>
      <c r="K10915" s="10">
        <f>IF(F10915&gt;0,H10915/F10915,"")</f>
        <v/>
      </c>
      <c r="L10915" s="16">
        <f>IF(AND(G10915&gt;0,H10915&gt;0),G10915/H10915,"")</f>
        <v/>
      </c>
    </row>
    <row r="10916">
      <c r="A10916" s="4" t="inlineStr">
        <is>
          <t>450</t>
        </is>
      </c>
      <c r="B10916" s="4" t="n">
        <v>4</v>
      </c>
      <c r="C10916" s="4" t="inlineStr">
        <is>
          <t>whitetail</t>
        </is>
      </c>
      <c r="D10916" s="4" t="n">
        <v>2019</v>
      </c>
      <c r="E10916" s="13" t="inlineStr">
        <is>
          <t>General</t>
        </is>
      </c>
      <c r="F10916" s="5" t="n">
        <v>344</v>
      </c>
      <c r="G10916" s="5" t="n">
        <v>1684</v>
      </c>
      <c r="H10916" s="5" t="n">
        <v>92</v>
      </c>
      <c r="I10916" s="5" t="n">
        <v>60</v>
      </c>
      <c r="J10916" s="5" t="n">
        <v>33</v>
      </c>
      <c r="K10916" s="10">
        <f>IF(F10916&gt;0,H10916/F10916,"")</f>
        <v/>
      </c>
      <c r="L10916" s="16">
        <f>IF(AND(G10916&gt;0,H10916&gt;0),G10916/H10916,"")</f>
        <v/>
      </c>
    </row>
    <row r="10917">
      <c r="A10917" s="4" t="inlineStr">
        <is>
          <t>450</t>
        </is>
      </c>
      <c r="B10917" s="4" t="n">
        <v>4</v>
      </c>
      <c r="C10917" s="4" t="inlineStr">
        <is>
          <t>whitetail</t>
        </is>
      </c>
      <c r="D10917" s="4" t="n">
        <v>2020</v>
      </c>
      <c r="E10917" s="13" t="inlineStr">
        <is>
          <t>General</t>
        </is>
      </c>
      <c r="F10917" s="5" t="n"/>
      <c r="G10917" s="5" t="n"/>
      <c r="H10917" s="5" t="n">
        <v>82</v>
      </c>
      <c r="I10917" s="5" t="n">
        <v>47</v>
      </c>
      <c r="J10917" s="5" t="n">
        <v>35</v>
      </c>
      <c r="K10917" s="10">
        <f>IF(F10917&gt;0,H10917/F10917,"")</f>
        <v/>
      </c>
      <c r="L10917" s="16">
        <f>IF(AND(G10917&gt;0,H10917&gt;0),G10917/H10917,"")</f>
        <v/>
      </c>
    </row>
    <row r="10918">
      <c r="A10918" s="4" t="inlineStr">
        <is>
          <t>450</t>
        </is>
      </c>
      <c r="B10918" s="4" t="n">
        <v>4</v>
      </c>
      <c r="C10918" s="4" t="inlineStr">
        <is>
          <t>whitetail</t>
        </is>
      </c>
      <c r="D10918" s="4" t="n">
        <v>2021</v>
      </c>
      <c r="E10918" s="13" t="inlineStr">
        <is>
          <t>General</t>
        </is>
      </c>
      <c r="F10918" s="5" t="n">
        <v>348</v>
      </c>
      <c r="G10918" s="5" t="n">
        <v>1865</v>
      </c>
      <c r="H10918" s="5" t="n">
        <v>76</v>
      </c>
      <c r="I10918" s="5" t="n">
        <v>51</v>
      </c>
      <c r="J10918" s="5" t="n">
        <v>25</v>
      </c>
      <c r="K10918" s="10">
        <f>IF(F10918&gt;0,H10918/F10918,"")</f>
        <v/>
      </c>
      <c r="L10918" s="16">
        <f>IF(AND(G10918&gt;0,H10918&gt;0),G10918/H10918,"")</f>
        <v/>
      </c>
    </row>
    <row r="10919">
      <c r="A10919" s="4" t="inlineStr">
        <is>
          <t>450</t>
        </is>
      </c>
      <c r="B10919" s="4" t="n">
        <v>4</v>
      </c>
      <c r="C10919" s="4" t="inlineStr">
        <is>
          <t>whitetail</t>
        </is>
      </c>
      <c r="D10919" s="4" t="n">
        <v>2022</v>
      </c>
      <c r="E10919" s="13" t="inlineStr">
        <is>
          <t>General</t>
        </is>
      </c>
      <c r="F10919" s="5" t="n"/>
      <c r="G10919" s="5" t="n"/>
      <c r="H10919" s="5" t="n">
        <v>136</v>
      </c>
      <c r="I10919" s="5" t="n">
        <v>85</v>
      </c>
      <c r="J10919" s="5" t="n">
        <v>51</v>
      </c>
      <c r="K10919" s="10">
        <f>IF(F10919&gt;0,H10919/F10919,"")</f>
        <v/>
      </c>
      <c r="L10919" s="16">
        <f>IF(AND(G10919&gt;0,H10919&gt;0),G10919/H10919,"")</f>
        <v/>
      </c>
    </row>
    <row r="10920">
      <c r="A10920" s="4" t="inlineStr">
        <is>
          <t>450</t>
        </is>
      </c>
      <c r="B10920" s="4" t="n">
        <v>4</v>
      </c>
      <c r="C10920" s="4" t="inlineStr">
        <is>
          <t>whitetail</t>
        </is>
      </c>
      <c r="D10920" s="4" t="n">
        <v>2023</v>
      </c>
      <c r="E10920" s="13" t="inlineStr">
        <is>
          <t>General</t>
        </is>
      </c>
      <c r="F10920" s="5" t="n">
        <v>541</v>
      </c>
      <c r="G10920" s="5" t="n">
        <v>2843</v>
      </c>
      <c r="H10920" s="5" t="n">
        <v>156</v>
      </c>
      <c r="I10920" s="5" t="n">
        <v>83</v>
      </c>
      <c r="J10920" s="5" t="n">
        <v>72</v>
      </c>
      <c r="K10920" s="10">
        <f>IF(F10920&gt;0,H10920/F10920,"")</f>
        <v/>
      </c>
      <c r="L10920" s="16">
        <f>IF(AND(G10920&gt;0,H10920&gt;0),G10920/H10920,"")</f>
        <v/>
      </c>
    </row>
    <row r="10921">
      <c r="A10921" s="4" t="inlineStr">
        <is>
          <t>450</t>
        </is>
      </c>
      <c r="B10921" s="4" t="n">
        <v>4</v>
      </c>
      <c r="C10921" s="4" t="inlineStr">
        <is>
          <t>whitetail</t>
        </is>
      </c>
      <c r="D10921" s="4" t="n">
        <v>2024</v>
      </c>
      <c r="E10921" s="13" t="inlineStr">
        <is>
          <t>General</t>
        </is>
      </c>
      <c r="F10921" s="5" t="n"/>
      <c r="G10921" s="5" t="n"/>
      <c r="H10921" s="5" t="n">
        <v>140</v>
      </c>
      <c r="I10921" s="5" t="n">
        <v>85</v>
      </c>
      <c r="J10921" s="5" t="n">
        <v>55</v>
      </c>
      <c r="K10921" s="10">
        <f>IF(F10921&gt;0,H10921/F10921,"")</f>
        <v/>
      </c>
      <c r="L10921" s="16">
        <f>IF(AND(G10921&gt;0,H10921&gt;0),G10921/H10921,"")</f>
        <v/>
      </c>
    </row>
    <row r="10922">
      <c r="A10922" s="4" t="inlineStr">
        <is>
          <t>450</t>
        </is>
      </c>
      <c r="B10922" s="4" t="n">
        <v>4</v>
      </c>
      <c r="C10922" s="4" t="inlineStr">
        <is>
          <t>whitetail</t>
        </is>
      </c>
      <c r="D10922" s="4" t="n">
        <v>2025</v>
      </c>
      <c r="E10922" s="13" t="inlineStr">
        <is>
          <t>General</t>
        </is>
      </c>
      <c r="F10922" s="5" t="n">
        <v>584</v>
      </c>
      <c r="G10922" s="5" t="n">
        <v>3678</v>
      </c>
      <c r="H10922" s="5" t="n">
        <v>115</v>
      </c>
      <c r="I10922" s="5" t="n">
        <v>85</v>
      </c>
      <c r="J10922" s="5" t="n">
        <v>30</v>
      </c>
      <c r="K10922" s="10">
        <f>IF(F10922&gt;0,H10922/F10922,"")</f>
        <v/>
      </c>
      <c r="L10922" s="16">
        <f>IF(AND(G10922&gt;0,H10922&gt;0),G10922/H10922,"")</f>
        <v/>
      </c>
    </row>
    <row r="10923">
      <c r="A10923" s="4" t="inlineStr">
        <is>
          <t>451</t>
        </is>
      </c>
      <c r="B10923" s="4" t="n">
        <v>4</v>
      </c>
      <c r="C10923" s="4" t="inlineStr">
        <is>
          <t>whitetail</t>
        </is>
      </c>
      <c r="D10923" s="4" t="n">
        <v>2016</v>
      </c>
      <c r="E10923" s="13" t="inlineStr">
        <is>
          <t>General</t>
        </is>
      </c>
      <c r="F10923" s="5" t="n"/>
      <c r="G10923" s="5" t="n"/>
      <c r="H10923" s="5" t="n">
        <v>3</v>
      </c>
      <c r="I10923" s="5" t="n">
        <v>3</v>
      </c>
      <c r="J10923" s="5" t="n">
        <v>0</v>
      </c>
      <c r="K10923" s="10">
        <f>IF(F10923&gt;0,H10923/F10923,"")</f>
        <v/>
      </c>
      <c r="L10923" s="16">
        <f>IF(AND(G10923&gt;0,H10923&gt;0),G10923/H10923,"")</f>
        <v/>
      </c>
    </row>
    <row r="10924">
      <c r="A10924" s="4" t="inlineStr">
        <is>
          <t>451</t>
        </is>
      </c>
      <c r="B10924" s="4" t="n">
        <v>4</v>
      </c>
      <c r="C10924" s="4" t="inlineStr">
        <is>
          <t>whitetail</t>
        </is>
      </c>
      <c r="D10924" s="4" t="n">
        <v>2017</v>
      </c>
      <c r="E10924" s="13" t="inlineStr">
        <is>
          <t>General</t>
        </is>
      </c>
      <c r="F10924" s="5" t="n">
        <v>75</v>
      </c>
      <c r="G10924" s="5" t="n">
        <v>456</v>
      </c>
      <c r="H10924" s="5" t="n">
        <v>6</v>
      </c>
      <c r="I10924" s="5" t="n">
        <v>6</v>
      </c>
      <c r="J10924" s="5" t="n">
        <v>0</v>
      </c>
      <c r="K10924" s="10">
        <f>IF(F10924&gt;0,H10924/F10924,"")</f>
        <v/>
      </c>
      <c r="L10924" s="16">
        <f>IF(AND(G10924&gt;0,H10924&gt;0),G10924/H10924,"")</f>
        <v/>
      </c>
    </row>
    <row r="10925">
      <c r="A10925" s="4" t="inlineStr">
        <is>
          <t>451</t>
        </is>
      </c>
      <c r="B10925" s="4" t="n">
        <v>4</v>
      </c>
      <c r="C10925" s="4" t="inlineStr">
        <is>
          <t>whitetail</t>
        </is>
      </c>
      <c r="D10925" s="4" t="n">
        <v>2018</v>
      </c>
      <c r="E10925" s="13" t="inlineStr">
        <is>
          <t>General</t>
        </is>
      </c>
      <c r="F10925" s="5" t="n"/>
      <c r="G10925" s="5" t="n"/>
      <c r="H10925" s="5" t="n">
        <v>16</v>
      </c>
      <c r="I10925" s="5" t="n">
        <v>13</v>
      </c>
      <c r="J10925" s="5" t="n">
        <v>3</v>
      </c>
      <c r="K10925" s="10">
        <f>IF(F10925&gt;0,H10925/F10925,"")</f>
        <v/>
      </c>
      <c r="L10925" s="16">
        <f>IF(AND(G10925&gt;0,H10925&gt;0),G10925/H10925,"")</f>
        <v/>
      </c>
    </row>
    <row r="10926">
      <c r="A10926" s="4" t="inlineStr">
        <is>
          <t>451</t>
        </is>
      </c>
      <c r="B10926" s="4" t="n">
        <v>4</v>
      </c>
      <c r="C10926" s="4" t="inlineStr">
        <is>
          <t>whitetail</t>
        </is>
      </c>
      <c r="D10926" s="4" t="n">
        <v>2019</v>
      </c>
      <c r="E10926" s="13" t="inlineStr">
        <is>
          <t>General</t>
        </is>
      </c>
      <c r="F10926" s="5" t="n">
        <v>64</v>
      </c>
      <c r="G10926" s="5" t="n">
        <v>341</v>
      </c>
      <c r="H10926" s="5" t="n">
        <v>3</v>
      </c>
      <c r="I10926" s="5" t="n">
        <v>3</v>
      </c>
      <c r="J10926" s="5" t="n">
        <v>0</v>
      </c>
      <c r="K10926" s="10">
        <f>IF(F10926&gt;0,H10926/F10926,"")</f>
        <v/>
      </c>
      <c r="L10926" s="16">
        <f>IF(AND(G10926&gt;0,H10926&gt;0),G10926/H10926,"")</f>
        <v/>
      </c>
    </row>
    <row r="10927">
      <c r="A10927" s="4" t="inlineStr">
        <is>
          <t>451</t>
        </is>
      </c>
      <c r="B10927" s="4" t="n">
        <v>4</v>
      </c>
      <c r="C10927" s="4" t="inlineStr">
        <is>
          <t>whitetail</t>
        </is>
      </c>
      <c r="D10927" s="4" t="n">
        <v>2020</v>
      </c>
      <c r="E10927" s="13" t="inlineStr">
        <is>
          <t>General</t>
        </is>
      </c>
      <c r="F10927" s="5" t="n"/>
      <c r="G10927" s="5" t="n"/>
      <c r="H10927" s="5" t="n">
        <v>27</v>
      </c>
      <c r="I10927" s="5" t="n">
        <v>17</v>
      </c>
      <c r="J10927" s="5" t="n">
        <v>10</v>
      </c>
      <c r="K10927" s="10">
        <f>IF(F10927&gt;0,H10927/F10927,"")</f>
        <v/>
      </c>
      <c r="L10927" s="16">
        <f>IF(AND(G10927&gt;0,H10927&gt;0),G10927/H10927,"")</f>
        <v/>
      </c>
    </row>
    <row r="10928">
      <c r="A10928" s="4" t="inlineStr">
        <is>
          <t>451</t>
        </is>
      </c>
      <c r="B10928" s="4" t="n">
        <v>4</v>
      </c>
      <c r="C10928" s="4" t="inlineStr">
        <is>
          <t>whitetail</t>
        </is>
      </c>
      <c r="D10928" s="4" t="n">
        <v>2021</v>
      </c>
      <c r="E10928" s="13" t="inlineStr">
        <is>
          <t>General</t>
        </is>
      </c>
      <c r="F10928" s="5" t="n">
        <v>101</v>
      </c>
      <c r="G10928" s="5" t="n">
        <v>499</v>
      </c>
      <c r="H10928" s="5" t="n">
        <v>15</v>
      </c>
      <c r="I10928" s="5" t="n">
        <v>7</v>
      </c>
      <c r="J10928" s="5" t="n">
        <v>7</v>
      </c>
      <c r="K10928" s="10">
        <f>IF(F10928&gt;0,H10928/F10928,"")</f>
        <v/>
      </c>
      <c r="L10928" s="16">
        <f>IF(AND(G10928&gt;0,H10928&gt;0),G10928/H10928,"")</f>
        <v/>
      </c>
    </row>
    <row r="10929">
      <c r="A10929" s="4" t="inlineStr">
        <is>
          <t>451</t>
        </is>
      </c>
      <c r="B10929" s="4" t="n">
        <v>4</v>
      </c>
      <c r="C10929" s="4" t="inlineStr">
        <is>
          <t>whitetail</t>
        </is>
      </c>
      <c r="D10929" s="4" t="n">
        <v>2022</v>
      </c>
      <c r="E10929" s="13" t="inlineStr">
        <is>
          <t>General</t>
        </is>
      </c>
      <c r="F10929" s="5" t="n"/>
      <c r="G10929" s="5" t="n"/>
      <c r="H10929" s="5" t="n">
        <v>13</v>
      </c>
      <c r="I10929" s="5" t="n">
        <v>7</v>
      </c>
      <c r="J10929" s="5" t="n">
        <v>7</v>
      </c>
      <c r="K10929" s="10">
        <f>IF(F10929&gt;0,H10929/F10929,"")</f>
        <v/>
      </c>
      <c r="L10929" s="16">
        <f>IF(AND(G10929&gt;0,H10929&gt;0),G10929/H10929,"")</f>
        <v/>
      </c>
    </row>
    <row r="10930">
      <c r="A10930" s="4" t="inlineStr">
        <is>
          <t>451</t>
        </is>
      </c>
      <c r="B10930" s="4" t="n">
        <v>4</v>
      </c>
      <c r="C10930" s="4" t="inlineStr">
        <is>
          <t>whitetail</t>
        </is>
      </c>
      <c r="D10930" s="4" t="n">
        <v>2023</v>
      </c>
      <c r="E10930" s="13" t="inlineStr">
        <is>
          <t>General</t>
        </is>
      </c>
      <c r="F10930" s="5" t="n">
        <v>104</v>
      </c>
      <c r="G10930" s="5" t="n">
        <v>621</v>
      </c>
      <c r="H10930" s="5" t="n">
        <v>17</v>
      </c>
      <c r="I10930" s="5" t="n">
        <v>10</v>
      </c>
      <c r="J10930" s="5" t="n">
        <v>6</v>
      </c>
      <c r="K10930" s="10">
        <f>IF(F10930&gt;0,H10930/F10930,"")</f>
        <v/>
      </c>
      <c r="L10930" s="16">
        <f>IF(AND(G10930&gt;0,H10930&gt;0),G10930/H10930,"")</f>
        <v/>
      </c>
    </row>
    <row r="10931">
      <c r="A10931" s="4" t="inlineStr">
        <is>
          <t>451</t>
        </is>
      </c>
      <c r="B10931" s="4" t="n">
        <v>4</v>
      </c>
      <c r="C10931" s="4" t="inlineStr">
        <is>
          <t>whitetail</t>
        </is>
      </c>
      <c r="D10931" s="4" t="n">
        <v>2024</v>
      </c>
      <c r="E10931" s="13" t="inlineStr">
        <is>
          <t>General</t>
        </is>
      </c>
      <c r="F10931" s="5" t="n"/>
      <c r="G10931" s="5" t="n"/>
      <c r="H10931" s="5" t="n">
        <v>20</v>
      </c>
      <c r="I10931" s="5" t="n">
        <v>15</v>
      </c>
      <c r="J10931" s="5" t="n">
        <v>5</v>
      </c>
      <c r="K10931" s="10">
        <f>IF(F10931&gt;0,H10931/F10931,"")</f>
        <v/>
      </c>
      <c r="L10931" s="16">
        <f>IF(AND(G10931&gt;0,H10931&gt;0),G10931/H10931,"")</f>
        <v/>
      </c>
    </row>
    <row r="10932">
      <c r="A10932" s="4" t="inlineStr">
        <is>
          <t>451</t>
        </is>
      </c>
      <c r="B10932" s="4" t="n">
        <v>4</v>
      </c>
      <c r="C10932" s="4" t="inlineStr">
        <is>
          <t>whitetail</t>
        </is>
      </c>
      <c r="D10932" s="4" t="n">
        <v>2025</v>
      </c>
      <c r="E10932" s="13" t="inlineStr">
        <is>
          <t>General</t>
        </is>
      </c>
      <c r="F10932" s="5" t="n">
        <v>144</v>
      </c>
      <c r="G10932" s="5" t="n">
        <v>1358</v>
      </c>
      <c r="H10932" s="5" t="n">
        <v>3</v>
      </c>
      <c r="I10932" s="5" t="n">
        <v>0</v>
      </c>
      <c r="J10932" s="5" t="n">
        <v>3</v>
      </c>
      <c r="K10932" s="10">
        <f>IF(F10932&gt;0,H10932/F10932,"")</f>
        <v/>
      </c>
      <c r="L10932" s="16">
        <f>IF(AND(G10932&gt;0,H10932&gt;0),G10932/H10932,"")</f>
        <v/>
      </c>
    </row>
    <row r="10933">
      <c r="A10933" s="4" t="inlineStr">
        <is>
          <t>452</t>
        </is>
      </c>
      <c r="B10933" s="4" t="n">
        <v>4</v>
      </c>
      <c r="C10933" s="4" t="inlineStr">
        <is>
          <t>whitetail</t>
        </is>
      </c>
      <c r="D10933" s="4" t="n">
        <v>2004</v>
      </c>
      <c r="E10933" s="13" t="inlineStr">
        <is>
          <t>General</t>
        </is>
      </c>
      <c r="F10933" s="5" t="n">
        <v>265</v>
      </c>
      <c r="G10933" s="5" t="n">
        <v>1033</v>
      </c>
      <c r="H10933" s="5" t="n">
        <v>48</v>
      </c>
      <c r="I10933" s="5" t="n">
        <v>32</v>
      </c>
      <c r="J10933" s="5" t="n">
        <v>11</v>
      </c>
      <c r="K10933" s="10">
        <f>IF(F10933&gt;0,H10933/F10933,"")</f>
        <v/>
      </c>
      <c r="L10933" s="16">
        <f>IF(AND(G10933&gt;0,H10933&gt;0),G10933/H10933,"")</f>
        <v/>
      </c>
    </row>
    <row r="10934">
      <c r="A10934" s="4" t="inlineStr">
        <is>
          <t>452</t>
        </is>
      </c>
      <c r="B10934" s="4" t="n">
        <v>4</v>
      </c>
      <c r="C10934" s="4" t="inlineStr">
        <is>
          <t>whitetail</t>
        </is>
      </c>
      <c r="D10934" s="4" t="n">
        <v>2005</v>
      </c>
      <c r="E10934" s="13" t="inlineStr">
        <is>
          <t>General</t>
        </is>
      </c>
      <c r="F10934" s="5" t="n">
        <v>332</v>
      </c>
      <c r="G10934" s="5" t="n">
        <v>1417</v>
      </c>
      <c r="H10934" s="5" t="n">
        <v>56</v>
      </c>
      <c r="I10934" s="5" t="n">
        <v>37</v>
      </c>
      <c r="J10934" s="5" t="n">
        <v>19</v>
      </c>
      <c r="K10934" s="10">
        <f>IF(F10934&gt;0,H10934/F10934,"")</f>
        <v/>
      </c>
      <c r="L10934" s="16">
        <f>IF(AND(G10934&gt;0,H10934&gt;0),G10934/H10934,"")</f>
        <v/>
      </c>
    </row>
    <row r="10935">
      <c r="A10935" s="4" t="inlineStr">
        <is>
          <t>452</t>
        </is>
      </c>
      <c r="B10935" s="4" t="n">
        <v>4</v>
      </c>
      <c r="C10935" s="4" t="inlineStr">
        <is>
          <t>whitetail</t>
        </is>
      </c>
      <c r="D10935" s="4" t="n">
        <v>2006</v>
      </c>
      <c r="E10935" s="13" t="inlineStr">
        <is>
          <t>General</t>
        </is>
      </c>
      <c r="F10935" s="5" t="n">
        <v>388</v>
      </c>
      <c r="G10935" s="5" t="n">
        <v>1730</v>
      </c>
      <c r="H10935" s="5" t="n">
        <v>56</v>
      </c>
      <c r="I10935" s="5" t="n">
        <v>34</v>
      </c>
      <c r="J10935" s="5" t="n">
        <v>22</v>
      </c>
      <c r="K10935" s="10">
        <f>IF(F10935&gt;0,H10935/F10935,"")</f>
        <v/>
      </c>
      <c r="L10935" s="16">
        <f>IF(AND(G10935&gt;0,H10935&gt;0),G10935/H10935,"")</f>
        <v/>
      </c>
    </row>
    <row r="10936">
      <c r="A10936" s="4" t="inlineStr">
        <is>
          <t>452</t>
        </is>
      </c>
      <c r="B10936" s="4" t="n">
        <v>4</v>
      </c>
      <c r="C10936" s="4" t="inlineStr">
        <is>
          <t>whitetail</t>
        </is>
      </c>
      <c r="D10936" s="4" t="n">
        <v>2007</v>
      </c>
      <c r="E10936" s="13" t="inlineStr">
        <is>
          <t>General</t>
        </is>
      </c>
      <c r="F10936" s="5" t="n">
        <v>250</v>
      </c>
      <c r="G10936" s="5" t="n">
        <v>1282</v>
      </c>
      <c r="H10936" s="5" t="n">
        <v>38</v>
      </c>
      <c r="I10936" s="5" t="n">
        <v>33</v>
      </c>
      <c r="J10936" s="5" t="n">
        <v>5</v>
      </c>
      <c r="K10936" s="10">
        <f>IF(F10936&gt;0,H10936/F10936,"")</f>
        <v/>
      </c>
      <c r="L10936" s="16">
        <f>IF(AND(G10936&gt;0,H10936&gt;0),G10936/H10936,"")</f>
        <v/>
      </c>
    </row>
    <row r="10937">
      <c r="A10937" s="4" t="inlineStr">
        <is>
          <t>452</t>
        </is>
      </c>
      <c r="B10937" s="4" t="n">
        <v>4</v>
      </c>
      <c r="C10937" s="4" t="inlineStr">
        <is>
          <t>whitetail</t>
        </is>
      </c>
      <c r="D10937" s="4" t="n">
        <v>2008</v>
      </c>
      <c r="E10937" s="13" t="inlineStr">
        <is>
          <t>General</t>
        </is>
      </c>
      <c r="F10937" s="5" t="n">
        <v>294</v>
      </c>
      <c r="G10937" s="5" t="n">
        <v>1620</v>
      </c>
      <c r="H10937" s="5" t="n">
        <v>50</v>
      </c>
      <c r="I10937" s="5" t="n">
        <v>35</v>
      </c>
      <c r="J10937" s="5" t="n">
        <v>12</v>
      </c>
      <c r="K10937" s="10">
        <f>IF(F10937&gt;0,H10937/F10937,"")</f>
        <v/>
      </c>
      <c r="L10937" s="16">
        <f>IF(AND(G10937&gt;0,H10937&gt;0),G10937/H10937,"")</f>
        <v/>
      </c>
    </row>
    <row r="10938">
      <c r="A10938" s="4" t="inlineStr">
        <is>
          <t>452</t>
        </is>
      </c>
      <c r="B10938" s="4" t="n">
        <v>4</v>
      </c>
      <c r="C10938" s="4" t="inlineStr">
        <is>
          <t>whitetail</t>
        </is>
      </c>
      <c r="D10938" s="4" t="n">
        <v>2009</v>
      </c>
      <c r="E10938" s="13" t="inlineStr">
        <is>
          <t>General</t>
        </is>
      </c>
      <c r="F10938" s="5" t="n">
        <v>312</v>
      </c>
      <c r="G10938" s="5" t="n">
        <v>1434</v>
      </c>
      <c r="H10938" s="5" t="n">
        <v>50</v>
      </c>
      <c r="I10938" s="5" t="n">
        <v>34</v>
      </c>
      <c r="J10938" s="5" t="n">
        <v>15</v>
      </c>
      <c r="K10938" s="10">
        <f>IF(F10938&gt;0,H10938/F10938,"")</f>
        <v/>
      </c>
      <c r="L10938" s="16">
        <f>IF(AND(G10938&gt;0,H10938&gt;0),G10938/H10938,"")</f>
        <v/>
      </c>
    </row>
    <row r="10939">
      <c r="A10939" s="4" t="inlineStr">
        <is>
          <t>452</t>
        </is>
      </c>
      <c r="B10939" s="4" t="n">
        <v>4</v>
      </c>
      <c r="C10939" s="4" t="inlineStr">
        <is>
          <t>whitetail</t>
        </is>
      </c>
      <c r="D10939" s="4" t="n">
        <v>2010</v>
      </c>
      <c r="E10939" s="13" t="inlineStr">
        <is>
          <t>General</t>
        </is>
      </c>
      <c r="F10939" s="5" t="n">
        <v>367</v>
      </c>
      <c r="G10939" s="5" t="n">
        <v>1762</v>
      </c>
      <c r="H10939" s="5" t="n">
        <v>45</v>
      </c>
      <c r="I10939" s="5" t="n">
        <v>36</v>
      </c>
      <c r="J10939" s="5" t="n">
        <v>9</v>
      </c>
      <c r="K10939" s="10">
        <f>IF(F10939&gt;0,H10939/F10939,"")</f>
        <v/>
      </c>
      <c r="L10939" s="16">
        <f>IF(AND(G10939&gt;0,H10939&gt;0),G10939/H10939,"")</f>
        <v/>
      </c>
    </row>
    <row r="10940">
      <c r="A10940" s="4" t="inlineStr">
        <is>
          <t>452</t>
        </is>
      </c>
      <c r="B10940" s="4" t="n">
        <v>4</v>
      </c>
      <c r="C10940" s="4" t="inlineStr">
        <is>
          <t>whitetail</t>
        </is>
      </c>
      <c r="D10940" s="4" t="n">
        <v>2011</v>
      </c>
      <c r="E10940" s="13" t="inlineStr">
        <is>
          <t>General</t>
        </is>
      </c>
      <c r="F10940" s="5" t="n">
        <v>309</v>
      </c>
      <c r="G10940" s="5" t="n">
        <v>1692</v>
      </c>
      <c r="H10940" s="5" t="n">
        <v>41</v>
      </c>
      <c r="I10940" s="5" t="n">
        <v>33</v>
      </c>
      <c r="J10940" s="5" t="n">
        <v>8</v>
      </c>
      <c r="K10940" s="10">
        <f>IF(F10940&gt;0,H10940/F10940,"")</f>
        <v/>
      </c>
      <c r="L10940" s="16">
        <f>IF(AND(G10940&gt;0,H10940&gt;0),G10940/H10940,"")</f>
        <v/>
      </c>
    </row>
    <row r="10941">
      <c r="A10941" s="4" t="inlineStr">
        <is>
          <t>452</t>
        </is>
      </c>
      <c r="B10941" s="4" t="n">
        <v>4</v>
      </c>
      <c r="C10941" s="4" t="inlineStr">
        <is>
          <t>whitetail</t>
        </is>
      </c>
      <c r="D10941" s="4" t="n">
        <v>2012</v>
      </c>
      <c r="E10941" s="13" t="inlineStr">
        <is>
          <t>General</t>
        </is>
      </c>
      <c r="F10941" s="5" t="n"/>
      <c r="G10941" s="5" t="n"/>
      <c r="H10941" s="5" t="n">
        <v>41</v>
      </c>
      <c r="I10941" s="5" t="n">
        <v>19</v>
      </c>
      <c r="J10941" s="5" t="n">
        <v>19</v>
      </c>
      <c r="K10941" s="10">
        <f>IF(F10941&gt;0,H10941/F10941,"")</f>
        <v/>
      </c>
      <c r="L10941" s="16">
        <f>IF(AND(G10941&gt;0,H10941&gt;0),G10941/H10941,"")</f>
        <v/>
      </c>
    </row>
    <row r="10942">
      <c r="A10942" s="4" t="inlineStr">
        <is>
          <t>452</t>
        </is>
      </c>
      <c r="B10942" s="4" t="n">
        <v>4</v>
      </c>
      <c r="C10942" s="4" t="inlineStr">
        <is>
          <t>whitetail</t>
        </is>
      </c>
      <c r="D10942" s="4" t="n">
        <v>2013</v>
      </c>
      <c r="E10942" s="13" t="inlineStr">
        <is>
          <t>General</t>
        </is>
      </c>
      <c r="F10942" s="5" t="n">
        <v>349</v>
      </c>
      <c r="G10942" s="5" t="n">
        <v>1559</v>
      </c>
      <c r="H10942" s="5" t="n">
        <v>24</v>
      </c>
      <c r="I10942" s="5" t="n">
        <v>14</v>
      </c>
      <c r="J10942" s="5" t="n">
        <v>10</v>
      </c>
      <c r="K10942" s="10">
        <f>IF(F10942&gt;0,H10942/F10942,"")</f>
        <v/>
      </c>
      <c r="L10942" s="16">
        <f>IF(AND(G10942&gt;0,H10942&gt;0),G10942/H10942,"")</f>
        <v/>
      </c>
    </row>
    <row r="10943">
      <c r="A10943" s="4" t="inlineStr">
        <is>
          <t>452</t>
        </is>
      </c>
      <c r="B10943" s="4" t="n">
        <v>4</v>
      </c>
      <c r="C10943" s="4" t="inlineStr">
        <is>
          <t>whitetail</t>
        </is>
      </c>
      <c r="D10943" s="4" t="n">
        <v>2014</v>
      </c>
      <c r="E10943" s="13" t="inlineStr">
        <is>
          <t>General</t>
        </is>
      </c>
      <c r="F10943" s="5" t="n"/>
      <c r="G10943" s="5" t="n"/>
      <c r="H10943" s="5" t="n">
        <v>44</v>
      </c>
      <c r="I10943" s="5" t="n">
        <v>31</v>
      </c>
      <c r="J10943" s="5" t="n">
        <v>13</v>
      </c>
      <c r="K10943" s="10">
        <f>IF(F10943&gt;0,H10943/F10943,"")</f>
        <v/>
      </c>
      <c r="L10943" s="16">
        <f>IF(AND(G10943&gt;0,H10943&gt;0),G10943/H10943,"")</f>
        <v/>
      </c>
    </row>
    <row r="10944">
      <c r="A10944" s="4" t="inlineStr">
        <is>
          <t>452</t>
        </is>
      </c>
      <c r="B10944" s="4" t="n">
        <v>4</v>
      </c>
      <c r="C10944" s="4" t="inlineStr">
        <is>
          <t>whitetail</t>
        </is>
      </c>
      <c r="D10944" s="4" t="n">
        <v>2015</v>
      </c>
      <c r="E10944" s="13" t="inlineStr">
        <is>
          <t>General</t>
        </is>
      </c>
      <c r="F10944" s="5" t="n"/>
      <c r="G10944" s="5" t="n"/>
      <c r="H10944" s="5" t="n">
        <v>72</v>
      </c>
      <c r="I10944" s="5" t="n">
        <v>54</v>
      </c>
      <c r="J10944" s="5" t="n">
        <v>15</v>
      </c>
      <c r="K10944" s="10">
        <f>IF(F10944&gt;0,H10944/F10944,"")</f>
        <v/>
      </c>
      <c r="L10944" s="16">
        <f>IF(AND(G10944&gt;0,H10944&gt;0),G10944/H10944,"")</f>
        <v/>
      </c>
    </row>
    <row r="10945">
      <c r="A10945" s="4" t="inlineStr">
        <is>
          <t>452</t>
        </is>
      </c>
      <c r="B10945" s="4" t="n">
        <v>4</v>
      </c>
      <c r="C10945" s="4" t="inlineStr">
        <is>
          <t>whitetail</t>
        </is>
      </c>
      <c r="D10945" s="4" t="n">
        <v>2016</v>
      </c>
      <c r="E10945" s="13" t="inlineStr">
        <is>
          <t>General</t>
        </is>
      </c>
      <c r="F10945" s="5" t="n"/>
      <c r="G10945" s="5" t="n"/>
      <c r="H10945" s="5" t="n">
        <v>50</v>
      </c>
      <c r="I10945" s="5" t="n">
        <v>39</v>
      </c>
      <c r="J10945" s="5" t="n">
        <v>11</v>
      </c>
      <c r="K10945" s="10">
        <f>IF(F10945&gt;0,H10945/F10945,"")</f>
        <v/>
      </c>
      <c r="L10945" s="16">
        <f>IF(AND(G10945&gt;0,H10945&gt;0),G10945/H10945,"")</f>
        <v/>
      </c>
    </row>
    <row r="10946">
      <c r="A10946" s="4" t="inlineStr">
        <is>
          <t>452</t>
        </is>
      </c>
      <c r="B10946" s="4" t="n">
        <v>4</v>
      </c>
      <c r="C10946" s="4" t="inlineStr">
        <is>
          <t>whitetail</t>
        </is>
      </c>
      <c r="D10946" s="4" t="n">
        <v>2017</v>
      </c>
      <c r="E10946" s="13" t="inlineStr">
        <is>
          <t>General</t>
        </is>
      </c>
      <c r="F10946" s="5" t="n">
        <v>354</v>
      </c>
      <c r="G10946" s="5" t="n">
        <v>1692</v>
      </c>
      <c r="H10946" s="5" t="n">
        <v>29</v>
      </c>
      <c r="I10946" s="5" t="n">
        <v>12</v>
      </c>
      <c r="J10946" s="5" t="n">
        <v>17</v>
      </c>
      <c r="K10946" s="10">
        <f>IF(F10946&gt;0,H10946/F10946,"")</f>
        <v/>
      </c>
      <c r="L10946" s="16">
        <f>IF(AND(G10946&gt;0,H10946&gt;0),G10946/H10946,"")</f>
        <v/>
      </c>
    </row>
    <row r="10947">
      <c r="A10947" s="4" t="inlineStr">
        <is>
          <t>452</t>
        </is>
      </c>
      <c r="B10947" s="4" t="n">
        <v>4</v>
      </c>
      <c r="C10947" s="4" t="inlineStr">
        <is>
          <t>whitetail</t>
        </is>
      </c>
      <c r="D10947" s="4" t="n">
        <v>2018</v>
      </c>
      <c r="E10947" s="13" t="inlineStr">
        <is>
          <t>General</t>
        </is>
      </c>
      <c r="F10947" s="5" t="n"/>
      <c r="G10947" s="5" t="n"/>
      <c r="H10947" s="5" t="n">
        <v>36</v>
      </c>
      <c r="I10947" s="5" t="n">
        <v>21</v>
      </c>
      <c r="J10947" s="5" t="n">
        <v>15</v>
      </c>
      <c r="K10947" s="10">
        <f>IF(F10947&gt;0,H10947/F10947,"")</f>
        <v/>
      </c>
      <c r="L10947" s="16">
        <f>IF(AND(G10947&gt;0,H10947&gt;0),G10947/H10947,"")</f>
        <v/>
      </c>
    </row>
    <row r="10948">
      <c r="A10948" s="4" t="inlineStr">
        <is>
          <t>452</t>
        </is>
      </c>
      <c r="B10948" s="4" t="n">
        <v>4</v>
      </c>
      <c r="C10948" s="4" t="inlineStr">
        <is>
          <t>whitetail</t>
        </is>
      </c>
      <c r="D10948" s="4" t="n">
        <v>2019</v>
      </c>
      <c r="E10948" s="13" t="inlineStr">
        <is>
          <t>General</t>
        </is>
      </c>
      <c r="F10948" s="5" t="n">
        <v>372</v>
      </c>
      <c r="G10948" s="5" t="n">
        <v>1934</v>
      </c>
      <c r="H10948" s="5" t="n">
        <v>55</v>
      </c>
      <c r="I10948" s="5" t="n">
        <v>29</v>
      </c>
      <c r="J10948" s="5" t="n">
        <v>26</v>
      </c>
      <c r="K10948" s="10">
        <f>IF(F10948&gt;0,H10948/F10948,"")</f>
        <v/>
      </c>
      <c r="L10948" s="16">
        <f>IF(AND(G10948&gt;0,H10948&gt;0),G10948/H10948,"")</f>
        <v/>
      </c>
    </row>
    <row r="10949">
      <c r="A10949" s="4" t="inlineStr">
        <is>
          <t>452</t>
        </is>
      </c>
      <c r="B10949" s="4" t="n">
        <v>4</v>
      </c>
      <c r="C10949" s="4" t="inlineStr">
        <is>
          <t>whitetail</t>
        </is>
      </c>
      <c r="D10949" s="4" t="n">
        <v>2020</v>
      </c>
      <c r="E10949" s="13" t="inlineStr">
        <is>
          <t>General</t>
        </is>
      </c>
      <c r="F10949" s="5" t="n"/>
      <c r="G10949" s="5" t="n"/>
      <c r="H10949" s="5" t="n">
        <v>149</v>
      </c>
      <c r="I10949" s="5" t="n">
        <v>74</v>
      </c>
      <c r="J10949" s="5" t="n">
        <v>72</v>
      </c>
      <c r="K10949" s="10">
        <f>IF(F10949&gt;0,H10949/F10949,"")</f>
        <v/>
      </c>
      <c r="L10949" s="16">
        <f>IF(AND(G10949&gt;0,H10949&gt;0),G10949/H10949,"")</f>
        <v/>
      </c>
    </row>
    <row r="10950">
      <c r="A10950" s="4" t="inlineStr">
        <is>
          <t>452</t>
        </is>
      </c>
      <c r="B10950" s="4" t="n">
        <v>4</v>
      </c>
      <c r="C10950" s="4" t="inlineStr">
        <is>
          <t>whitetail</t>
        </is>
      </c>
      <c r="D10950" s="4" t="n">
        <v>2021</v>
      </c>
      <c r="E10950" s="13" t="inlineStr">
        <is>
          <t>General</t>
        </is>
      </c>
      <c r="F10950" s="5" t="n">
        <v>795</v>
      </c>
      <c r="G10950" s="5" t="n">
        <v>4337</v>
      </c>
      <c r="H10950" s="5" t="n">
        <v>123</v>
      </c>
      <c r="I10950" s="5" t="n">
        <v>67</v>
      </c>
      <c r="J10950" s="5" t="n">
        <v>56</v>
      </c>
      <c r="K10950" s="10">
        <f>IF(F10950&gt;0,H10950/F10950,"")</f>
        <v/>
      </c>
      <c r="L10950" s="16">
        <f>IF(AND(G10950&gt;0,H10950&gt;0),G10950/H10950,"")</f>
        <v/>
      </c>
    </row>
    <row r="10951">
      <c r="A10951" s="4" t="inlineStr">
        <is>
          <t>452</t>
        </is>
      </c>
      <c r="B10951" s="4" t="n">
        <v>4</v>
      </c>
      <c r="C10951" s="4" t="inlineStr">
        <is>
          <t>whitetail</t>
        </is>
      </c>
      <c r="D10951" s="4" t="n">
        <v>2022</v>
      </c>
      <c r="E10951" s="13" t="inlineStr">
        <is>
          <t>General</t>
        </is>
      </c>
      <c r="F10951" s="5" t="n"/>
      <c r="G10951" s="5" t="n"/>
      <c r="H10951" s="5" t="n">
        <v>152</v>
      </c>
      <c r="I10951" s="5" t="n">
        <v>92</v>
      </c>
      <c r="J10951" s="5" t="n">
        <v>60</v>
      </c>
      <c r="K10951" s="10">
        <f>IF(F10951&gt;0,H10951/F10951,"")</f>
        <v/>
      </c>
      <c r="L10951" s="16">
        <f>IF(AND(G10951&gt;0,H10951&gt;0),G10951/H10951,"")</f>
        <v/>
      </c>
    </row>
    <row r="10952">
      <c r="A10952" s="4" t="inlineStr">
        <is>
          <t>452</t>
        </is>
      </c>
      <c r="B10952" s="4" t="n">
        <v>4</v>
      </c>
      <c r="C10952" s="4" t="inlineStr">
        <is>
          <t>whitetail</t>
        </is>
      </c>
      <c r="D10952" s="4" t="n">
        <v>2023</v>
      </c>
      <c r="E10952" s="13" t="inlineStr">
        <is>
          <t>General</t>
        </is>
      </c>
      <c r="F10952" s="5" t="n">
        <v>830</v>
      </c>
      <c r="G10952" s="5" t="n">
        <v>5002</v>
      </c>
      <c r="H10952" s="5" t="n">
        <v>93</v>
      </c>
      <c r="I10952" s="5" t="n">
        <v>37</v>
      </c>
      <c r="J10952" s="5" t="n">
        <v>54</v>
      </c>
      <c r="K10952" s="10">
        <f>IF(F10952&gt;0,H10952/F10952,"")</f>
        <v/>
      </c>
      <c r="L10952" s="16">
        <f>IF(AND(G10952&gt;0,H10952&gt;0),G10952/H10952,"")</f>
        <v/>
      </c>
    </row>
    <row r="10953">
      <c r="A10953" s="4" t="inlineStr">
        <is>
          <t>452</t>
        </is>
      </c>
      <c r="B10953" s="4" t="n">
        <v>4</v>
      </c>
      <c r="C10953" s="4" t="inlineStr">
        <is>
          <t>whitetail</t>
        </is>
      </c>
      <c r="D10953" s="4" t="n">
        <v>2024</v>
      </c>
      <c r="E10953" s="13" t="inlineStr">
        <is>
          <t>General</t>
        </is>
      </c>
      <c r="F10953" s="5" t="n"/>
      <c r="G10953" s="5" t="n"/>
      <c r="H10953" s="5" t="n">
        <v>139</v>
      </c>
      <c r="I10953" s="5" t="n">
        <v>63</v>
      </c>
      <c r="J10953" s="5" t="n">
        <v>76</v>
      </c>
      <c r="K10953" s="10">
        <f>IF(F10953&gt;0,H10953/F10953,"")</f>
        <v/>
      </c>
      <c r="L10953" s="16">
        <f>IF(AND(G10953&gt;0,H10953&gt;0),G10953/H10953,"")</f>
        <v/>
      </c>
    </row>
    <row r="10954">
      <c r="A10954" s="4" t="inlineStr">
        <is>
          <t>452</t>
        </is>
      </c>
      <c r="B10954" s="4" t="n">
        <v>4</v>
      </c>
      <c r="C10954" s="4" t="inlineStr">
        <is>
          <t>whitetail</t>
        </is>
      </c>
      <c r="D10954" s="4" t="n">
        <v>2025</v>
      </c>
      <c r="E10954" s="13" t="inlineStr">
        <is>
          <t>General</t>
        </is>
      </c>
      <c r="F10954" s="5" t="n">
        <v>962</v>
      </c>
      <c r="G10954" s="5" t="n">
        <v>6026</v>
      </c>
      <c r="H10954" s="5" t="n">
        <v>113</v>
      </c>
      <c r="I10954" s="5" t="n">
        <v>52</v>
      </c>
      <c r="J10954" s="5" t="n">
        <v>58</v>
      </c>
      <c r="K10954" s="10">
        <f>IF(F10954&gt;0,H10954/F10954,"")</f>
        <v/>
      </c>
      <c r="L10954" s="16">
        <f>IF(AND(G10954&gt;0,H10954&gt;0),G10954/H10954,"")</f>
        <v/>
      </c>
    </row>
    <row r="10955">
      <c r="A10955" s="4" t="inlineStr">
        <is>
          <t>454</t>
        </is>
      </c>
      <c r="B10955" s="4" t="n">
        <v>4</v>
      </c>
      <c r="C10955" s="4" t="inlineStr">
        <is>
          <t>whitetail</t>
        </is>
      </c>
      <c r="D10955" s="4" t="n">
        <v>2004</v>
      </c>
      <c r="E10955" s="4" t="inlineStr"/>
      <c r="F10955" s="5" t="n">
        <v>556</v>
      </c>
      <c r="G10955" s="5" t="n">
        <v>3053</v>
      </c>
      <c r="H10955" s="5" t="n">
        <v>39</v>
      </c>
      <c r="I10955" s="5" t="n">
        <v>16</v>
      </c>
      <c r="J10955" s="5" t="n">
        <v>22</v>
      </c>
      <c r="K10955" s="10">
        <f>IF(F10955&gt;0,H10955/F10955,"")</f>
        <v/>
      </c>
      <c r="L10955" s="16">
        <f>IF(AND(G10955&gt;0,H10955&gt;0),G10955/H10955,"")</f>
        <v/>
      </c>
    </row>
    <row r="10956">
      <c r="A10956" s="4" t="inlineStr">
        <is>
          <t>454</t>
        </is>
      </c>
      <c r="B10956" s="4" t="n">
        <v>4</v>
      </c>
      <c r="C10956" s="4" t="inlineStr">
        <is>
          <t>whitetail</t>
        </is>
      </c>
      <c r="D10956" s="4" t="n">
        <v>2005</v>
      </c>
      <c r="E10956" s="4" t="inlineStr"/>
      <c r="F10956" s="5" t="n">
        <v>510</v>
      </c>
      <c r="G10956" s="5" t="n">
        <v>3205</v>
      </c>
      <c r="H10956" s="5" t="n">
        <v>55</v>
      </c>
      <c r="I10956" s="5" t="n">
        <v>36</v>
      </c>
      <c r="J10956" s="5" t="n">
        <v>19</v>
      </c>
      <c r="K10956" s="10">
        <f>IF(F10956&gt;0,H10956/F10956,"")</f>
        <v/>
      </c>
      <c r="L10956" s="16">
        <f>IF(AND(G10956&gt;0,H10956&gt;0),G10956/H10956,"")</f>
        <v/>
      </c>
    </row>
    <row r="10957">
      <c r="A10957" s="4" t="inlineStr">
        <is>
          <t>454</t>
        </is>
      </c>
      <c r="B10957" s="4" t="n">
        <v>4</v>
      </c>
      <c r="C10957" s="4" t="inlineStr">
        <is>
          <t>whitetail</t>
        </is>
      </c>
      <c r="D10957" s="4" t="n">
        <v>2006</v>
      </c>
      <c r="E10957" s="4" t="inlineStr"/>
      <c r="F10957" s="5" t="n">
        <v>548</v>
      </c>
      <c r="G10957" s="5" t="n">
        <v>3410</v>
      </c>
      <c r="H10957" s="5" t="n">
        <v>67</v>
      </c>
      <c r="I10957" s="5" t="n">
        <v>37</v>
      </c>
      <c r="J10957" s="5" t="n">
        <v>30</v>
      </c>
      <c r="K10957" s="10">
        <f>IF(F10957&gt;0,H10957/F10957,"")</f>
        <v/>
      </c>
      <c r="L10957" s="16">
        <f>IF(AND(G10957&gt;0,H10957&gt;0),G10957/H10957,"")</f>
        <v/>
      </c>
    </row>
    <row r="10958">
      <c r="A10958" s="4" t="inlineStr">
        <is>
          <t>454</t>
        </is>
      </c>
      <c r="B10958" s="4" t="n">
        <v>4</v>
      </c>
      <c r="C10958" s="4" t="inlineStr">
        <is>
          <t>whitetail</t>
        </is>
      </c>
      <c r="D10958" s="4" t="n">
        <v>2007</v>
      </c>
      <c r="E10958" s="4" t="inlineStr"/>
      <c r="F10958" s="5" t="n">
        <v>617</v>
      </c>
      <c r="G10958" s="5" t="n">
        <v>3316</v>
      </c>
      <c r="H10958" s="5" t="n">
        <v>89</v>
      </c>
      <c r="I10958" s="5" t="n">
        <v>47</v>
      </c>
      <c r="J10958" s="5" t="n">
        <v>37</v>
      </c>
      <c r="K10958" s="10">
        <f>IF(F10958&gt;0,H10958/F10958,"")</f>
        <v/>
      </c>
      <c r="L10958" s="16">
        <f>IF(AND(G10958&gt;0,H10958&gt;0),G10958/H10958,"")</f>
        <v/>
      </c>
    </row>
    <row r="10959">
      <c r="A10959" s="4" t="inlineStr">
        <is>
          <t>454</t>
        </is>
      </c>
      <c r="B10959" s="4" t="n">
        <v>4</v>
      </c>
      <c r="C10959" s="4" t="inlineStr">
        <is>
          <t>whitetail</t>
        </is>
      </c>
      <c r="D10959" s="4" t="n">
        <v>2008</v>
      </c>
      <c r="E10959" s="4" t="inlineStr"/>
      <c r="F10959" s="5" t="n">
        <v>582</v>
      </c>
      <c r="G10959" s="5" t="n">
        <v>3677</v>
      </c>
      <c r="H10959" s="5" t="n">
        <v>59</v>
      </c>
      <c r="I10959" s="5" t="n">
        <v>33</v>
      </c>
      <c r="J10959" s="5" t="n">
        <v>25</v>
      </c>
      <c r="K10959" s="10">
        <f>IF(F10959&gt;0,H10959/F10959,"")</f>
        <v/>
      </c>
      <c r="L10959" s="16">
        <f>IF(AND(G10959&gt;0,H10959&gt;0),G10959/H10959,"")</f>
        <v/>
      </c>
    </row>
    <row r="10960">
      <c r="A10960" s="4" t="inlineStr">
        <is>
          <t>454</t>
        </is>
      </c>
      <c r="B10960" s="4" t="n">
        <v>4</v>
      </c>
      <c r="C10960" s="4" t="inlineStr">
        <is>
          <t>whitetail</t>
        </is>
      </c>
      <c r="D10960" s="4" t="n">
        <v>2009</v>
      </c>
      <c r="E10960" s="4" t="inlineStr"/>
      <c r="F10960" s="5" t="n">
        <v>577</v>
      </c>
      <c r="G10960" s="5" t="n">
        <v>3566</v>
      </c>
      <c r="H10960" s="5" t="n">
        <v>82</v>
      </c>
      <c r="I10960" s="5" t="n">
        <v>46</v>
      </c>
      <c r="J10960" s="5" t="n">
        <v>33</v>
      </c>
      <c r="K10960" s="10">
        <f>IF(F10960&gt;0,H10960/F10960,"")</f>
        <v/>
      </c>
      <c r="L10960" s="16">
        <f>IF(AND(G10960&gt;0,H10960&gt;0),G10960/H10960,"")</f>
        <v/>
      </c>
    </row>
    <row r="10961">
      <c r="A10961" s="4" t="inlineStr">
        <is>
          <t>454</t>
        </is>
      </c>
      <c r="B10961" s="4" t="n">
        <v>4</v>
      </c>
      <c r="C10961" s="4" t="inlineStr">
        <is>
          <t>whitetail</t>
        </is>
      </c>
      <c r="D10961" s="4" t="n">
        <v>2010</v>
      </c>
      <c r="E10961" s="4" t="inlineStr"/>
      <c r="F10961" s="5" t="n">
        <v>440</v>
      </c>
      <c r="G10961" s="5" t="n">
        <v>2623</v>
      </c>
      <c r="H10961" s="5" t="n">
        <v>37</v>
      </c>
      <c r="I10961" s="5" t="n">
        <v>17</v>
      </c>
      <c r="J10961" s="5" t="n">
        <v>20</v>
      </c>
      <c r="K10961" s="10">
        <f>IF(F10961&gt;0,H10961/F10961,"")</f>
        <v/>
      </c>
      <c r="L10961" s="16">
        <f>IF(AND(G10961&gt;0,H10961&gt;0),G10961/H10961,"")</f>
        <v/>
      </c>
    </row>
    <row r="10962">
      <c r="A10962" s="4" t="inlineStr">
        <is>
          <t>454</t>
        </is>
      </c>
      <c r="B10962" s="4" t="n">
        <v>4</v>
      </c>
      <c r="C10962" s="4" t="inlineStr">
        <is>
          <t>whitetail</t>
        </is>
      </c>
      <c r="D10962" s="4" t="n">
        <v>2011</v>
      </c>
      <c r="E10962" s="4" t="inlineStr"/>
      <c r="F10962" s="5" t="n">
        <v>636</v>
      </c>
      <c r="G10962" s="5" t="n">
        <v>3751</v>
      </c>
      <c r="H10962" s="5" t="n">
        <v>31</v>
      </c>
      <c r="I10962" s="5" t="n">
        <v>6</v>
      </c>
      <c r="J10962" s="5" t="n">
        <v>25</v>
      </c>
      <c r="K10962" s="10">
        <f>IF(F10962&gt;0,H10962/F10962,"")</f>
        <v/>
      </c>
      <c r="L10962" s="16">
        <f>IF(AND(G10962&gt;0,H10962&gt;0),G10962/H10962,"")</f>
        <v/>
      </c>
    </row>
    <row r="10963">
      <c r="A10963" s="4" t="inlineStr">
        <is>
          <t>454</t>
        </is>
      </c>
      <c r="B10963" s="4" t="n">
        <v>4</v>
      </c>
      <c r="C10963" s="4" t="inlineStr">
        <is>
          <t>whitetail</t>
        </is>
      </c>
      <c r="D10963" s="4" t="n">
        <v>2012</v>
      </c>
      <c r="E10963" s="4" t="inlineStr"/>
      <c r="F10963" s="5" t="n"/>
      <c r="G10963" s="5" t="n"/>
      <c r="H10963" s="5" t="n">
        <v>60</v>
      </c>
      <c r="I10963" s="5" t="n">
        <v>30</v>
      </c>
      <c r="J10963" s="5" t="n">
        <v>30</v>
      </c>
      <c r="K10963" s="10">
        <f>IF(F10963&gt;0,H10963/F10963,"")</f>
        <v/>
      </c>
      <c r="L10963" s="16">
        <f>IF(AND(G10963&gt;0,H10963&gt;0),G10963/H10963,"")</f>
        <v/>
      </c>
    </row>
    <row r="10964">
      <c r="A10964" s="4" t="inlineStr">
        <is>
          <t>454</t>
        </is>
      </c>
      <c r="B10964" s="4" t="n">
        <v>4</v>
      </c>
      <c r="C10964" s="4" t="inlineStr">
        <is>
          <t>whitetail</t>
        </is>
      </c>
      <c r="D10964" s="4" t="n">
        <v>2013</v>
      </c>
      <c r="E10964" s="4" t="inlineStr"/>
      <c r="F10964" s="5" t="n">
        <v>669</v>
      </c>
      <c r="G10964" s="5" t="n">
        <v>4504</v>
      </c>
      <c r="H10964" s="5" t="n">
        <v>66</v>
      </c>
      <c r="I10964" s="5" t="n">
        <v>48</v>
      </c>
      <c r="J10964" s="5" t="n">
        <v>18</v>
      </c>
      <c r="K10964" s="10">
        <f>IF(F10964&gt;0,H10964/F10964,"")</f>
        <v/>
      </c>
      <c r="L10964" s="16">
        <f>IF(AND(G10964&gt;0,H10964&gt;0),G10964/H10964,"")</f>
        <v/>
      </c>
    </row>
    <row r="10965">
      <c r="A10965" s="4" t="inlineStr">
        <is>
          <t>454</t>
        </is>
      </c>
      <c r="B10965" s="4" t="n">
        <v>4</v>
      </c>
      <c r="C10965" s="4" t="inlineStr">
        <is>
          <t>whitetail</t>
        </is>
      </c>
      <c r="D10965" s="4" t="n">
        <v>2014</v>
      </c>
      <c r="E10965" s="4" t="inlineStr"/>
      <c r="F10965" s="5" t="n"/>
      <c r="G10965" s="5" t="n"/>
      <c r="H10965" s="5" t="n">
        <v>53</v>
      </c>
      <c r="I10965" s="5" t="n">
        <v>37</v>
      </c>
      <c r="J10965" s="5" t="n">
        <v>16</v>
      </c>
      <c r="K10965" s="10">
        <f>IF(F10965&gt;0,H10965/F10965,"")</f>
        <v/>
      </c>
      <c r="L10965" s="16">
        <f>IF(AND(G10965&gt;0,H10965&gt;0),G10965/H10965,"")</f>
        <v/>
      </c>
    </row>
    <row r="10966">
      <c r="A10966" s="4" t="inlineStr">
        <is>
          <t>454</t>
        </is>
      </c>
      <c r="B10966" s="4" t="n">
        <v>4</v>
      </c>
      <c r="C10966" s="4" t="inlineStr">
        <is>
          <t>whitetail</t>
        </is>
      </c>
      <c r="D10966" s="4" t="n">
        <v>2015</v>
      </c>
      <c r="E10966" s="4" t="inlineStr"/>
      <c r="F10966" s="5" t="n"/>
      <c r="G10966" s="5" t="n"/>
      <c r="H10966" s="5" t="n">
        <v>70</v>
      </c>
      <c r="I10966" s="5" t="n">
        <v>43</v>
      </c>
      <c r="J10966" s="5" t="n">
        <v>27</v>
      </c>
      <c r="K10966" s="10">
        <f>IF(F10966&gt;0,H10966/F10966,"")</f>
        <v/>
      </c>
      <c r="L10966" s="16">
        <f>IF(AND(G10966&gt;0,H10966&gt;0),G10966/H10966,"")</f>
        <v/>
      </c>
    </row>
    <row r="10967">
      <c r="A10967" s="4" t="inlineStr">
        <is>
          <t>454</t>
        </is>
      </c>
      <c r="B10967" s="4" t="n">
        <v>4</v>
      </c>
      <c r="C10967" s="4" t="inlineStr">
        <is>
          <t>whitetail</t>
        </is>
      </c>
      <c r="D10967" s="4" t="n">
        <v>2016</v>
      </c>
      <c r="E10967" s="4" t="inlineStr"/>
      <c r="F10967" s="5" t="n"/>
      <c r="G10967" s="5" t="n"/>
      <c r="H10967" s="5" t="n">
        <v>38</v>
      </c>
      <c r="I10967" s="5" t="n">
        <v>24</v>
      </c>
      <c r="J10967" s="5" t="n">
        <v>14</v>
      </c>
      <c r="K10967" s="10">
        <f>IF(F10967&gt;0,H10967/F10967,"")</f>
        <v/>
      </c>
      <c r="L10967" s="16">
        <f>IF(AND(G10967&gt;0,H10967&gt;0),G10967/H10967,"")</f>
        <v/>
      </c>
    </row>
    <row r="10968">
      <c r="A10968" s="4" t="inlineStr">
        <is>
          <t>454</t>
        </is>
      </c>
      <c r="B10968" s="4" t="n">
        <v>4</v>
      </c>
      <c r="C10968" s="4" t="inlineStr">
        <is>
          <t>whitetail</t>
        </is>
      </c>
      <c r="D10968" s="4" t="n">
        <v>2017</v>
      </c>
      <c r="E10968" s="4" t="inlineStr"/>
      <c r="F10968" s="5" t="n">
        <v>488</v>
      </c>
      <c r="G10968" s="5" t="n">
        <v>2760</v>
      </c>
      <c r="H10968" s="5" t="n">
        <v>42</v>
      </c>
      <c r="I10968" s="5" t="n">
        <v>21</v>
      </c>
      <c r="J10968" s="5" t="n">
        <v>22</v>
      </c>
      <c r="K10968" s="10">
        <f>IF(F10968&gt;0,H10968/F10968,"")</f>
        <v/>
      </c>
      <c r="L10968" s="16">
        <f>IF(AND(G10968&gt;0,H10968&gt;0),G10968/H10968,"")</f>
        <v/>
      </c>
    </row>
    <row r="10969">
      <c r="A10969" s="4" t="inlineStr">
        <is>
          <t>454</t>
        </is>
      </c>
      <c r="B10969" s="4" t="n">
        <v>4</v>
      </c>
      <c r="C10969" s="4" t="inlineStr">
        <is>
          <t>whitetail</t>
        </is>
      </c>
      <c r="D10969" s="4" t="n">
        <v>2018</v>
      </c>
      <c r="E10969" s="4" t="inlineStr"/>
      <c r="F10969" s="5" t="n"/>
      <c r="G10969" s="5" t="n"/>
      <c r="H10969" s="5" t="n">
        <v>46</v>
      </c>
      <c r="I10969" s="5" t="n">
        <v>25</v>
      </c>
      <c r="J10969" s="5" t="n">
        <v>18</v>
      </c>
      <c r="K10969" s="10">
        <f>IF(F10969&gt;0,H10969/F10969,"")</f>
        <v/>
      </c>
      <c r="L10969" s="16">
        <f>IF(AND(G10969&gt;0,H10969&gt;0),G10969/H10969,"")</f>
        <v/>
      </c>
    </row>
    <row r="10970">
      <c r="A10970" s="4" t="inlineStr">
        <is>
          <t>454</t>
        </is>
      </c>
      <c r="B10970" s="4" t="n">
        <v>4</v>
      </c>
      <c r="C10970" s="4" t="inlineStr">
        <is>
          <t>whitetail</t>
        </is>
      </c>
      <c r="D10970" s="4" t="n">
        <v>2019</v>
      </c>
      <c r="E10970" s="4" t="inlineStr"/>
      <c r="F10970" s="5" t="n">
        <v>511</v>
      </c>
      <c r="G10970" s="5" t="n">
        <v>3339</v>
      </c>
      <c r="H10970" s="5" t="n">
        <v>32</v>
      </c>
      <c r="I10970" s="5" t="n">
        <v>23</v>
      </c>
      <c r="J10970" s="5" t="n">
        <v>10</v>
      </c>
      <c r="K10970" s="10">
        <f>IF(F10970&gt;0,H10970/F10970,"")</f>
        <v/>
      </c>
      <c r="L10970" s="16">
        <f>IF(AND(G10970&gt;0,H10970&gt;0),G10970/H10970,"")</f>
        <v/>
      </c>
    </row>
    <row r="10971">
      <c r="A10971" s="4" t="inlineStr">
        <is>
          <t>454</t>
        </is>
      </c>
      <c r="B10971" s="4" t="n">
        <v>4</v>
      </c>
      <c r="C10971" s="4" t="inlineStr">
        <is>
          <t>whitetail</t>
        </is>
      </c>
      <c r="D10971" s="4" t="n">
        <v>2020</v>
      </c>
      <c r="E10971" s="4" t="inlineStr"/>
      <c r="F10971" s="5" t="n"/>
      <c r="G10971" s="5" t="n"/>
      <c r="H10971" s="5" t="n">
        <v>53</v>
      </c>
      <c r="I10971" s="5" t="n">
        <v>37</v>
      </c>
      <c r="J10971" s="5" t="n">
        <v>16</v>
      </c>
      <c r="K10971" s="10">
        <f>IF(F10971&gt;0,H10971/F10971,"")</f>
        <v/>
      </c>
      <c r="L10971" s="16">
        <f>IF(AND(G10971&gt;0,H10971&gt;0),G10971/H10971,"")</f>
        <v/>
      </c>
    </row>
    <row r="10972">
      <c r="A10972" s="4" t="inlineStr">
        <is>
          <t>454</t>
        </is>
      </c>
      <c r="B10972" s="4" t="n">
        <v>4</v>
      </c>
      <c r="C10972" s="4" t="inlineStr">
        <is>
          <t>whitetail</t>
        </is>
      </c>
      <c r="D10972" s="4" t="n">
        <v>2021</v>
      </c>
      <c r="E10972" s="4" t="inlineStr"/>
      <c r="F10972" s="5" t="n">
        <v>542</v>
      </c>
      <c r="G10972" s="5" t="n">
        <v>3238</v>
      </c>
      <c r="H10972" s="5" t="n">
        <v>31</v>
      </c>
      <c r="I10972" s="5" t="n">
        <v>23</v>
      </c>
      <c r="J10972" s="5" t="n">
        <v>7</v>
      </c>
      <c r="K10972" s="10">
        <f>IF(F10972&gt;0,H10972/F10972,"")</f>
        <v/>
      </c>
      <c r="L10972" s="16">
        <f>IF(AND(G10972&gt;0,H10972&gt;0),G10972/H10972,"")</f>
        <v/>
      </c>
    </row>
    <row r="10973">
      <c r="A10973" s="4" t="inlineStr">
        <is>
          <t>455</t>
        </is>
      </c>
      <c r="B10973" s="4" t="n">
        <v>4</v>
      </c>
      <c r="C10973" s="4" t="inlineStr">
        <is>
          <t>whitetail</t>
        </is>
      </c>
      <c r="D10973" s="4" t="n">
        <v>2004</v>
      </c>
      <c r="E10973" s="13" t="inlineStr">
        <is>
          <t>General</t>
        </is>
      </c>
      <c r="F10973" s="5" t="n">
        <v>81</v>
      </c>
      <c r="G10973" s="5" t="n">
        <v>302</v>
      </c>
      <c r="H10973" s="5" t="n">
        <v>21</v>
      </c>
      <c r="I10973" s="5" t="n">
        <v>13</v>
      </c>
      <c r="J10973" s="5" t="n">
        <v>8</v>
      </c>
      <c r="K10973" s="10">
        <f>IF(F10973&gt;0,H10973/F10973,"")</f>
        <v/>
      </c>
      <c r="L10973" s="16">
        <f>IF(AND(G10973&gt;0,H10973&gt;0),G10973/H10973,"")</f>
        <v/>
      </c>
    </row>
    <row r="10974">
      <c r="A10974" s="4" t="inlineStr">
        <is>
          <t>455</t>
        </is>
      </c>
      <c r="B10974" s="4" t="n">
        <v>4</v>
      </c>
      <c r="C10974" s="4" t="inlineStr">
        <is>
          <t>whitetail</t>
        </is>
      </c>
      <c r="D10974" s="4" t="n">
        <v>2005</v>
      </c>
      <c r="E10974" s="13" t="inlineStr">
        <is>
          <t>General</t>
        </is>
      </c>
      <c r="F10974" s="5" t="n">
        <v>99</v>
      </c>
      <c r="G10974" s="5" t="n">
        <v>418</v>
      </c>
      <c r="H10974" s="5" t="n">
        <v>20</v>
      </c>
      <c r="I10974" s="5" t="n">
        <v>10</v>
      </c>
      <c r="J10974" s="5" t="n">
        <v>11</v>
      </c>
      <c r="K10974" s="10">
        <f>IF(F10974&gt;0,H10974/F10974,"")</f>
        <v/>
      </c>
      <c r="L10974" s="16">
        <f>IF(AND(G10974&gt;0,H10974&gt;0),G10974/H10974,"")</f>
        <v/>
      </c>
    </row>
    <row r="10975">
      <c r="A10975" s="4" t="inlineStr">
        <is>
          <t>455</t>
        </is>
      </c>
      <c r="B10975" s="4" t="n">
        <v>4</v>
      </c>
      <c r="C10975" s="4" t="inlineStr">
        <is>
          <t>whitetail</t>
        </is>
      </c>
      <c r="D10975" s="4" t="n">
        <v>2006</v>
      </c>
      <c r="E10975" s="13" t="inlineStr">
        <is>
          <t>General</t>
        </is>
      </c>
      <c r="F10975" s="5" t="n">
        <v>149</v>
      </c>
      <c r="G10975" s="5" t="n">
        <v>673</v>
      </c>
      <c r="H10975" s="5" t="n">
        <v>23</v>
      </c>
      <c r="I10975" s="5" t="n">
        <v>21</v>
      </c>
      <c r="J10975" s="5" t="n">
        <v>3</v>
      </c>
      <c r="K10975" s="10">
        <f>IF(F10975&gt;0,H10975/F10975,"")</f>
        <v/>
      </c>
      <c r="L10975" s="16">
        <f>IF(AND(G10975&gt;0,H10975&gt;0),G10975/H10975,"")</f>
        <v/>
      </c>
    </row>
    <row r="10976">
      <c r="A10976" s="4" t="inlineStr">
        <is>
          <t>455</t>
        </is>
      </c>
      <c r="B10976" s="4" t="n">
        <v>4</v>
      </c>
      <c r="C10976" s="4" t="inlineStr">
        <is>
          <t>whitetail</t>
        </is>
      </c>
      <c r="D10976" s="4" t="n">
        <v>2007</v>
      </c>
      <c r="E10976" s="13" t="inlineStr">
        <is>
          <t>General</t>
        </is>
      </c>
      <c r="F10976" s="5" t="n">
        <v>137</v>
      </c>
      <c r="G10976" s="5" t="n">
        <v>524</v>
      </c>
      <c r="H10976" s="5" t="n">
        <v>38</v>
      </c>
      <c r="I10976" s="5" t="n">
        <v>33</v>
      </c>
      <c r="J10976" s="5" t="n">
        <v>5</v>
      </c>
      <c r="K10976" s="10">
        <f>IF(F10976&gt;0,H10976/F10976,"")</f>
        <v/>
      </c>
      <c r="L10976" s="16">
        <f>IF(AND(G10976&gt;0,H10976&gt;0),G10976/H10976,"")</f>
        <v/>
      </c>
    </row>
    <row r="10977">
      <c r="A10977" s="4" t="inlineStr">
        <is>
          <t>455</t>
        </is>
      </c>
      <c r="B10977" s="4" t="n">
        <v>4</v>
      </c>
      <c r="C10977" s="4" t="inlineStr">
        <is>
          <t>whitetail</t>
        </is>
      </c>
      <c r="D10977" s="4" t="n">
        <v>2008</v>
      </c>
      <c r="E10977" s="13" t="inlineStr">
        <is>
          <t>General</t>
        </is>
      </c>
      <c r="F10977" s="5" t="n">
        <v>134</v>
      </c>
      <c r="G10977" s="5" t="n">
        <v>552</v>
      </c>
      <c r="H10977" s="5" t="n">
        <v>30</v>
      </c>
      <c r="I10977" s="5" t="n">
        <v>23</v>
      </c>
      <c r="J10977" s="5" t="n">
        <v>6</v>
      </c>
      <c r="K10977" s="10">
        <f>IF(F10977&gt;0,H10977/F10977,"")</f>
        <v/>
      </c>
      <c r="L10977" s="16">
        <f>IF(AND(G10977&gt;0,H10977&gt;0),G10977/H10977,"")</f>
        <v/>
      </c>
    </row>
    <row r="10978">
      <c r="A10978" s="4" t="inlineStr">
        <is>
          <t>455</t>
        </is>
      </c>
      <c r="B10978" s="4" t="n">
        <v>4</v>
      </c>
      <c r="C10978" s="4" t="inlineStr">
        <is>
          <t>whitetail</t>
        </is>
      </c>
      <c r="D10978" s="4" t="n">
        <v>2009</v>
      </c>
      <c r="E10978" s="13" t="inlineStr">
        <is>
          <t>General</t>
        </is>
      </c>
      <c r="F10978" s="5" t="n">
        <v>73</v>
      </c>
      <c r="G10978" s="5" t="n">
        <v>420</v>
      </c>
      <c r="H10978" s="5" t="n">
        <v>32</v>
      </c>
      <c r="I10978" s="5" t="n">
        <v>20</v>
      </c>
      <c r="J10978" s="5" t="n">
        <v>12</v>
      </c>
      <c r="K10978" s="10">
        <f>IF(F10978&gt;0,H10978/F10978,"")</f>
        <v/>
      </c>
      <c r="L10978" s="16">
        <f>IF(AND(G10978&gt;0,H10978&gt;0),G10978/H10978,"")</f>
        <v/>
      </c>
    </row>
    <row r="10979">
      <c r="A10979" s="4" t="inlineStr">
        <is>
          <t>455</t>
        </is>
      </c>
      <c r="B10979" s="4" t="n">
        <v>4</v>
      </c>
      <c r="C10979" s="4" t="inlineStr">
        <is>
          <t>whitetail</t>
        </is>
      </c>
      <c r="D10979" s="4" t="n">
        <v>2010</v>
      </c>
      <c r="E10979" s="13" t="inlineStr">
        <is>
          <t>General</t>
        </is>
      </c>
      <c r="F10979" s="5" t="n">
        <v>60</v>
      </c>
      <c r="G10979" s="5" t="n">
        <v>248</v>
      </c>
      <c r="H10979" s="5" t="n">
        <v>28</v>
      </c>
      <c r="I10979" s="5" t="n">
        <v>20</v>
      </c>
      <c r="J10979" s="5" t="n">
        <v>8</v>
      </c>
      <c r="K10979" s="10">
        <f>IF(F10979&gt;0,H10979/F10979,"")</f>
        <v/>
      </c>
      <c r="L10979" s="16">
        <f>IF(AND(G10979&gt;0,H10979&gt;0),G10979/H10979,"")</f>
        <v/>
      </c>
    </row>
    <row r="10980">
      <c r="A10980" s="4" t="inlineStr">
        <is>
          <t>455</t>
        </is>
      </c>
      <c r="B10980" s="4" t="n">
        <v>4</v>
      </c>
      <c r="C10980" s="4" t="inlineStr">
        <is>
          <t>whitetail</t>
        </is>
      </c>
      <c r="D10980" s="4" t="n">
        <v>2011</v>
      </c>
      <c r="E10980" s="13" t="inlineStr">
        <is>
          <t>General</t>
        </is>
      </c>
      <c r="F10980" s="5" t="n">
        <v>55</v>
      </c>
      <c r="G10980" s="5" t="n">
        <v>278</v>
      </c>
      <c r="H10980" s="5" t="n">
        <v>23</v>
      </c>
      <c r="I10980" s="5" t="n">
        <v>17</v>
      </c>
      <c r="J10980" s="5" t="n">
        <v>6</v>
      </c>
      <c r="K10980" s="10">
        <f>IF(F10980&gt;0,H10980/F10980,"")</f>
        <v/>
      </c>
      <c r="L10980" s="16">
        <f>IF(AND(G10980&gt;0,H10980&gt;0),G10980/H10980,"")</f>
        <v/>
      </c>
    </row>
    <row r="10981">
      <c r="A10981" s="4" t="inlineStr">
        <is>
          <t>455</t>
        </is>
      </c>
      <c r="B10981" s="4" t="n">
        <v>4</v>
      </c>
      <c r="C10981" s="4" t="inlineStr">
        <is>
          <t>whitetail</t>
        </is>
      </c>
      <c r="D10981" s="4" t="n">
        <v>2012</v>
      </c>
      <c r="E10981" s="13" t="inlineStr">
        <is>
          <t>General</t>
        </is>
      </c>
      <c r="F10981" s="5" t="n"/>
      <c r="G10981" s="5" t="n"/>
      <c r="H10981" s="5" t="n">
        <v>19</v>
      </c>
      <c r="I10981" s="5" t="n">
        <v>16</v>
      </c>
      <c r="J10981" s="5" t="n">
        <v>3</v>
      </c>
      <c r="K10981" s="10">
        <f>IF(F10981&gt;0,H10981/F10981,"")</f>
        <v/>
      </c>
      <c r="L10981" s="16">
        <f>IF(AND(G10981&gt;0,H10981&gt;0),G10981/H10981,"")</f>
        <v/>
      </c>
    </row>
    <row r="10982">
      <c r="A10982" s="4" t="inlineStr">
        <is>
          <t>455</t>
        </is>
      </c>
      <c r="B10982" s="4" t="n">
        <v>4</v>
      </c>
      <c r="C10982" s="4" t="inlineStr">
        <is>
          <t>whitetail</t>
        </is>
      </c>
      <c r="D10982" s="4" t="n">
        <v>2013</v>
      </c>
      <c r="E10982" s="13" t="inlineStr">
        <is>
          <t>General</t>
        </is>
      </c>
      <c r="F10982" s="5" t="n">
        <v>65</v>
      </c>
      <c r="G10982" s="5" t="n">
        <v>289</v>
      </c>
      <c r="H10982" s="5" t="n">
        <v>23</v>
      </c>
      <c r="I10982" s="5" t="n">
        <v>14</v>
      </c>
      <c r="J10982" s="5" t="n">
        <v>8</v>
      </c>
      <c r="K10982" s="10">
        <f>IF(F10982&gt;0,H10982/F10982,"")</f>
        <v/>
      </c>
      <c r="L10982" s="16">
        <f>IF(AND(G10982&gt;0,H10982&gt;0),G10982/H10982,"")</f>
        <v/>
      </c>
    </row>
    <row r="10983">
      <c r="A10983" s="4" t="inlineStr">
        <is>
          <t>455</t>
        </is>
      </c>
      <c r="B10983" s="4" t="n">
        <v>4</v>
      </c>
      <c r="C10983" s="4" t="inlineStr">
        <is>
          <t>whitetail</t>
        </is>
      </c>
      <c r="D10983" s="4" t="n">
        <v>2014</v>
      </c>
      <c r="E10983" s="13" t="inlineStr">
        <is>
          <t>General</t>
        </is>
      </c>
      <c r="F10983" s="5" t="n"/>
      <c r="G10983" s="5" t="n"/>
      <c r="H10983" s="5" t="n">
        <v>21</v>
      </c>
      <c r="I10983" s="5" t="n">
        <v>18</v>
      </c>
      <c r="J10983" s="5" t="n">
        <v>3</v>
      </c>
      <c r="K10983" s="10">
        <f>IF(F10983&gt;0,H10983/F10983,"")</f>
        <v/>
      </c>
      <c r="L10983" s="16">
        <f>IF(AND(G10983&gt;0,H10983&gt;0),G10983/H10983,"")</f>
        <v/>
      </c>
    </row>
    <row r="10984">
      <c r="A10984" s="4" t="inlineStr">
        <is>
          <t>455</t>
        </is>
      </c>
      <c r="B10984" s="4" t="n">
        <v>4</v>
      </c>
      <c r="C10984" s="4" t="inlineStr">
        <is>
          <t>whitetail</t>
        </is>
      </c>
      <c r="D10984" s="4" t="n">
        <v>2015</v>
      </c>
      <c r="E10984" s="13" t="inlineStr">
        <is>
          <t>General</t>
        </is>
      </c>
      <c r="F10984" s="5" t="n"/>
      <c r="G10984" s="5" t="n"/>
      <c r="H10984" s="5" t="n">
        <v>28</v>
      </c>
      <c r="I10984" s="5" t="n">
        <v>25</v>
      </c>
      <c r="J10984" s="5" t="n">
        <v>3</v>
      </c>
      <c r="K10984" s="10">
        <f>IF(F10984&gt;0,H10984/F10984,"")</f>
        <v/>
      </c>
      <c r="L10984" s="16">
        <f>IF(AND(G10984&gt;0,H10984&gt;0),G10984/H10984,"")</f>
        <v/>
      </c>
    </row>
    <row r="10985">
      <c r="A10985" s="4" t="inlineStr">
        <is>
          <t>455</t>
        </is>
      </c>
      <c r="B10985" s="4" t="n">
        <v>4</v>
      </c>
      <c r="C10985" s="4" t="inlineStr">
        <is>
          <t>whitetail</t>
        </is>
      </c>
      <c r="D10985" s="4" t="n">
        <v>2016</v>
      </c>
      <c r="E10985" s="13" t="inlineStr">
        <is>
          <t>General</t>
        </is>
      </c>
      <c r="F10985" s="5" t="n"/>
      <c r="G10985" s="5" t="n"/>
      <c r="H10985" s="5" t="n">
        <v>20</v>
      </c>
      <c r="I10985" s="5" t="n">
        <v>18</v>
      </c>
      <c r="J10985" s="5" t="n">
        <v>2</v>
      </c>
      <c r="K10985" s="10">
        <f>IF(F10985&gt;0,H10985/F10985,"")</f>
        <v/>
      </c>
      <c r="L10985" s="16">
        <f>IF(AND(G10985&gt;0,H10985&gt;0),G10985/H10985,"")</f>
        <v/>
      </c>
    </row>
    <row r="10986">
      <c r="A10986" s="4" t="inlineStr">
        <is>
          <t>455</t>
        </is>
      </c>
      <c r="B10986" s="4" t="n">
        <v>4</v>
      </c>
      <c r="C10986" s="4" t="inlineStr">
        <is>
          <t>whitetail</t>
        </is>
      </c>
      <c r="D10986" s="4" t="n">
        <v>2017</v>
      </c>
      <c r="E10986" s="13" t="inlineStr">
        <is>
          <t>General</t>
        </is>
      </c>
      <c r="F10986" s="5" t="n">
        <v>56</v>
      </c>
      <c r="G10986" s="5" t="n">
        <v>286</v>
      </c>
      <c r="H10986" s="5" t="n">
        <v>22</v>
      </c>
      <c r="I10986" s="5" t="n">
        <v>20</v>
      </c>
      <c r="J10986" s="5" t="n">
        <v>2</v>
      </c>
      <c r="K10986" s="10">
        <f>IF(F10986&gt;0,H10986/F10986,"")</f>
        <v/>
      </c>
      <c r="L10986" s="16">
        <f>IF(AND(G10986&gt;0,H10986&gt;0),G10986/H10986,"")</f>
        <v/>
      </c>
    </row>
    <row r="10987">
      <c r="A10987" s="4" t="inlineStr">
        <is>
          <t>455</t>
        </is>
      </c>
      <c r="B10987" s="4" t="n">
        <v>4</v>
      </c>
      <c r="C10987" s="4" t="inlineStr">
        <is>
          <t>whitetail</t>
        </is>
      </c>
      <c r="D10987" s="4" t="n">
        <v>2018</v>
      </c>
      <c r="E10987" s="13" t="inlineStr">
        <is>
          <t>General</t>
        </is>
      </c>
      <c r="F10987" s="5" t="n"/>
      <c r="G10987" s="5" t="n"/>
      <c r="H10987" s="5" t="n">
        <v>15</v>
      </c>
      <c r="I10987" s="5" t="n">
        <v>8</v>
      </c>
      <c r="J10987" s="5" t="n">
        <v>6</v>
      </c>
      <c r="K10987" s="10">
        <f>IF(F10987&gt;0,H10987/F10987,"")</f>
        <v/>
      </c>
      <c r="L10987" s="16">
        <f>IF(AND(G10987&gt;0,H10987&gt;0),G10987/H10987,"")</f>
        <v/>
      </c>
    </row>
    <row r="10988">
      <c r="A10988" s="4" t="inlineStr">
        <is>
          <t>455</t>
        </is>
      </c>
      <c r="B10988" s="4" t="n">
        <v>4</v>
      </c>
      <c r="C10988" s="4" t="inlineStr">
        <is>
          <t>whitetail</t>
        </is>
      </c>
      <c r="D10988" s="4" t="n">
        <v>2019</v>
      </c>
      <c r="E10988" s="13" t="inlineStr">
        <is>
          <t>General</t>
        </is>
      </c>
      <c r="F10988" s="5" t="n">
        <v>69</v>
      </c>
      <c r="G10988" s="5" t="n">
        <v>310</v>
      </c>
      <c r="H10988" s="5" t="n">
        <v>19</v>
      </c>
      <c r="I10988" s="5" t="n">
        <v>16</v>
      </c>
      <c r="J10988" s="5" t="n">
        <v>3</v>
      </c>
      <c r="K10988" s="10">
        <f>IF(F10988&gt;0,H10988/F10988,"")</f>
        <v/>
      </c>
      <c r="L10988" s="16">
        <f>IF(AND(G10988&gt;0,H10988&gt;0),G10988/H10988,"")</f>
        <v/>
      </c>
    </row>
    <row r="10989">
      <c r="A10989" s="4" t="inlineStr">
        <is>
          <t>455</t>
        </is>
      </c>
      <c r="B10989" s="4" t="n">
        <v>4</v>
      </c>
      <c r="C10989" s="4" t="inlineStr">
        <is>
          <t>whitetail</t>
        </is>
      </c>
      <c r="D10989" s="4" t="n">
        <v>2020</v>
      </c>
      <c r="E10989" s="13" t="inlineStr">
        <is>
          <t>General</t>
        </is>
      </c>
      <c r="F10989" s="5" t="n"/>
      <c r="G10989" s="5" t="n"/>
      <c r="H10989" s="5" t="n">
        <v>26</v>
      </c>
      <c r="I10989" s="5" t="n">
        <v>16</v>
      </c>
      <c r="J10989" s="5" t="n">
        <v>10</v>
      </c>
      <c r="K10989" s="10">
        <f>IF(F10989&gt;0,H10989/F10989,"")</f>
        <v/>
      </c>
      <c r="L10989" s="16">
        <f>IF(AND(G10989&gt;0,H10989&gt;0),G10989/H10989,"")</f>
        <v/>
      </c>
    </row>
    <row r="10990">
      <c r="A10990" s="4" t="inlineStr">
        <is>
          <t>455</t>
        </is>
      </c>
      <c r="B10990" s="4" t="n">
        <v>4</v>
      </c>
      <c r="C10990" s="4" t="inlineStr">
        <is>
          <t>whitetail</t>
        </is>
      </c>
      <c r="D10990" s="4" t="n">
        <v>2021</v>
      </c>
      <c r="E10990" s="13" t="inlineStr">
        <is>
          <t>General</t>
        </is>
      </c>
      <c r="F10990" s="5" t="n">
        <v>73</v>
      </c>
      <c r="G10990" s="5" t="n">
        <v>426</v>
      </c>
      <c r="H10990" s="5" t="n">
        <v>27</v>
      </c>
      <c r="I10990" s="5" t="n">
        <v>16</v>
      </c>
      <c r="J10990" s="5" t="n">
        <v>11</v>
      </c>
      <c r="K10990" s="10">
        <f>IF(F10990&gt;0,H10990/F10990,"")</f>
        <v/>
      </c>
      <c r="L10990" s="16">
        <f>IF(AND(G10990&gt;0,H10990&gt;0),G10990/H10990,"")</f>
        <v/>
      </c>
    </row>
    <row r="10991">
      <c r="A10991" s="4" t="inlineStr">
        <is>
          <t>455</t>
        </is>
      </c>
      <c r="B10991" s="4" t="n">
        <v>4</v>
      </c>
      <c r="C10991" s="4" t="inlineStr">
        <is>
          <t>whitetail</t>
        </is>
      </c>
      <c r="D10991" s="4" t="n">
        <v>2022</v>
      </c>
      <c r="E10991" s="13" t="inlineStr">
        <is>
          <t>General</t>
        </is>
      </c>
      <c r="F10991" s="5" t="n"/>
      <c r="G10991" s="5" t="n"/>
      <c r="H10991" s="5" t="n">
        <v>24</v>
      </c>
      <c r="I10991" s="5" t="n">
        <v>12</v>
      </c>
      <c r="J10991" s="5" t="n">
        <v>13</v>
      </c>
      <c r="K10991" s="10">
        <f>IF(F10991&gt;0,H10991/F10991,"")</f>
        <v/>
      </c>
      <c r="L10991" s="16">
        <f>IF(AND(G10991&gt;0,H10991&gt;0),G10991/H10991,"")</f>
        <v/>
      </c>
    </row>
    <row r="10992">
      <c r="A10992" s="4" t="inlineStr">
        <is>
          <t>455</t>
        </is>
      </c>
      <c r="B10992" s="4" t="n">
        <v>4</v>
      </c>
      <c r="C10992" s="4" t="inlineStr">
        <is>
          <t>whitetail</t>
        </is>
      </c>
      <c r="D10992" s="4" t="n">
        <v>2023</v>
      </c>
      <c r="E10992" s="13" t="inlineStr">
        <is>
          <t>General</t>
        </is>
      </c>
      <c r="F10992" s="5" t="n">
        <v>73</v>
      </c>
      <c r="G10992" s="5" t="n">
        <v>401</v>
      </c>
      <c r="H10992" s="5" t="n">
        <v>24</v>
      </c>
      <c r="I10992" s="5" t="n">
        <v>24</v>
      </c>
      <c r="J10992" s="5" t="n">
        <v>0</v>
      </c>
      <c r="K10992" s="10">
        <f>IF(F10992&gt;0,H10992/F10992,"")</f>
        <v/>
      </c>
      <c r="L10992" s="16">
        <f>IF(AND(G10992&gt;0,H10992&gt;0),G10992/H10992,"")</f>
        <v/>
      </c>
    </row>
    <row r="10993">
      <c r="A10993" s="4" t="inlineStr">
        <is>
          <t>455</t>
        </is>
      </c>
      <c r="B10993" s="4" t="n">
        <v>4</v>
      </c>
      <c r="C10993" s="4" t="inlineStr">
        <is>
          <t>whitetail</t>
        </is>
      </c>
      <c r="D10993" s="4" t="n">
        <v>2024</v>
      </c>
      <c r="E10993" s="13" t="inlineStr">
        <is>
          <t>General</t>
        </is>
      </c>
      <c r="F10993" s="5" t="n"/>
      <c r="G10993" s="5" t="n"/>
      <c r="H10993" s="5" t="n">
        <v>27</v>
      </c>
      <c r="I10993" s="5" t="n">
        <v>14</v>
      </c>
      <c r="J10993" s="5" t="n">
        <v>13</v>
      </c>
      <c r="K10993" s="10">
        <f>IF(F10993&gt;0,H10993/F10993,"")</f>
        <v/>
      </c>
      <c r="L10993" s="16">
        <f>IF(AND(G10993&gt;0,H10993&gt;0),G10993/H10993,"")</f>
        <v/>
      </c>
    </row>
    <row r="10994">
      <c r="A10994" s="4" t="inlineStr">
        <is>
          <t>455</t>
        </is>
      </c>
      <c r="B10994" s="4" t="n">
        <v>4</v>
      </c>
      <c r="C10994" s="4" t="inlineStr">
        <is>
          <t>whitetail</t>
        </is>
      </c>
      <c r="D10994" s="4" t="n">
        <v>2025</v>
      </c>
      <c r="E10994" s="13" t="inlineStr">
        <is>
          <t>General</t>
        </is>
      </c>
      <c r="F10994" s="5" t="n">
        <v>107</v>
      </c>
      <c r="G10994" s="5" t="n">
        <v>713</v>
      </c>
      <c r="H10994" s="5" t="n">
        <v>16</v>
      </c>
      <c r="I10994" s="5" t="n">
        <v>10</v>
      </c>
      <c r="J10994" s="5" t="n">
        <v>6</v>
      </c>
      <c r="K10994" s="10">
        <f>IF(F10994&gt;0,H10994/F10994,"")</f>
        <v/>
      </c>
      <c r="L10994" s="16">
        <f>IF(AND(G10994&gt;0,H10994&gt;0),G10994/H10994,"")</f>
        <v/>
      </c>
    </row>
    <row r="10995">
      <c r="A10995" s="4" t="inlineStr">
        <is>
          <t>471</t>
        </is>
      </c>
      <c r="B10995" s="4" t="n">
        <v>4</v>
      </c>
      <c r="C10995" s="4" t="inlineStr">
        <is>
          <t>whitetail</t>
        </is>
      </c>
      <c r="D10995" s="4" t="n">
        <v>2004</v>
      </c>
      <c r="E10995" s="13" t="inlineStr">
        <is>
          <t>General</t>
        </is>
      </c>
      <c r="F10995" s="5" t="n">
        <v>728</v>
      </c>
      <c r="G10995" s="5" t="n">
        <v>2467</v>
      </c>
      <c r="H10995" s="5" t="n">
        <v>67</v>
      </c>
      <c r="I10995" s="5" t="n">
        <v>30</v>
      </c>
      <c r="J10995" s="5" t="n">
        <v>33</v>
      </c>
      <c r="K10995" s="10">
        <f>IF(F10995&gt;0,H10995/F10995,"")</f>
        <v/>
      </c>
      <c r="L10995" s="16">
        <f>IF(AND(G10995&gt;0,H10995&gt;0),G10995/H10995,"")</f>
        <v/>
      </c>
    </row>
    <row r="10996">
      <c r="A10996" s="4" t="inlineStr">
        <is>
          <t>471</t>
        </is>
      </c>
      <c r="B10996" s="4" t="n">
        <v>4</v>
      </c>
      <c r="C10996" s="4" t="inlineStr">
        <is>
          <t>whitetail</t>
        </is>
      </c>
      <c r="D10996" s="4" t="n">
        <v>2005</v>
      </c>
      <c r="E10996" s="13" t="inlineStr">
        <is>
          <t>General</t>
        </is>
      </c>
      <c r="F10996" s="5" t="n">
        <v>513</v>
      </c>
      <c r="G10996" s="5" t="n">
        <v>1722</v>
      </c>
      <c r="H10996" s="5" t="n">
        <v>39</v>
      </c>
      <c r="I10996" s="5" t="n">
        <v>30</v>
      </c>
      <c r="J10996" s="5" t="n">
        <v>9</v>
      </c>
      <c r="K10996" s="10">
        <f>IF(F10996&gt;0,H10996/F10996,"")</f>
        <v/>
      </c>
      <c r="L10996" s="16">
        <f>IF(AND(G10996&gt;0,H10996&gt;0),G10996/H10996,"")</f>
        <v/>
      </c>
    </row>
    <row r="10997">
      <c r="A10997" s="4" t="inlineStr">
        <is>
          <t>471</t>
        </is>
      </c>
      <c r="B10997" s="4" t="n">
        <v>4</v>
      </c>
      <c r="C10997" s="4" t="inlineStr">
        <is>
          <t>whitetail</t>
        </is>
      </c>
      <c r="D10997" s="4" t="n">
        <v>2006</v>
      </c>
      <c r="E10997" s="13" t="inlineStr">
        <is>
          <t>General</t>
        </is>
      </c>
      <c r="F10997" s="5" t="n">
        <v>563</v>
      </c>
      <c r="G10997" s="5" t="n">
        <v>2153</v>
      </c>
      <c r="H10997" s="5" t="n">
        <v>46</v>
      </c>
      <c r="I10997" s="5" t="n">
        <v>24</v>
      </c>
      <c r="J10997" s="5" t="n">
        <v>21</v>
      </c>
      <c r="K10997" s="10">
        <f>IF(F10997&gt;0,H10997/F10997,"")</f>
        <v/>
      </c>
      <c r="L10997" s="16">
        <f>IF(AND(G10997&gt;0,H10997&gt;0),G10997/H10997,"")</f>
        <v/>
      </c>
    </row>
    <row r="10998">
      <c r="A10998" s="4" t="inlineStr">
        <is>
          <t>471</t>
        </is>
      </c>
      <c r="B10998" s="4" t="n">
        <v>4</v>
      </c>
      <c r="C10998" s="4" t="inlineStr">
        <is>
          <t>whitetail</t>
        </is>
      </c>
      <c r="D10998" s="4" t="n">
        <v>2007</v>
      </c>
      <c r="E10998" s="13" t="inlineStr">
        <is>
          <t>General</t>
        </is>
      </c>
      <c r="F10998" s="5" t="n">
        <v>705</v>
      </c>
      <c r="G10998" s="5" t="n">
        <v>2355</v>
      </c>
      <c r="H10998" s="5" t="n">
        <v>104</v>
      </c>
      <c r="I10998" s="5" t="n">
        <v>59</v>
      </c>
      <c r="J10998" s="5" t="n">
        <v>45</v>
      </c>
      <c r="K10998" s="10">
        <f>IF(F10998&gt;0,H10998/F10998,"")</f>
        <v/>
      </c>
      <c r="L10998" s="16">
        <f>IF(AND(G10998&gt;0,H10998&gt;0),G10998/H10998,"")</f>
        <v/>
      </c>
    </row>
    <row r="10999">
      <c r="A10999" s="4" t="inlineStr">
        <is>
          <t>471</t>
        </is>
      </c>
      <c r="B10999" s="4" t="n">
        <v>4</v>
      </c>
      <c r="C10999" s="4" t="inlineStr">
        <is>
          <t>whitetail</t>
        </is>
      </c>
      <c r="D10999" s="4" t="n">
        <v>2008</v>
      </c>
      <c r="E10999" s="13" t="inlineStr">
        <is>
          <t>General</t>
        </is>
      </c>
      <c r="F10999" s="5" t="n">
        <v>737</v>
      </c>
      <c r="G10999" s="5" t="n">
        <v>3446</v>
      </c>
      <c r="H10999" s="5" t="n">
        <v>75</v>
      </c>
      <c r="I10999" s="5" t="n">
        <v>54</v>
      </c>
      <c r="J10999" s="5" t="n">
        <v>22</v>
      </c>
      <c r="K10999" s="10">
        <f>IF(F10999&gt;0,H10999/F10999,"")</f>
        <v/>
      </c>
      <c r="L10999" s="16">
        <f>IF(AND(G10999&gt;0,H10999&gt;0),G10999/H10999,"")</f>
        <v/>
      </c>
    </row>
    <row r="11000">
      <c r="A11000" s="4" t="inlineStr">
        <is>
          <t>471</t>
        </is>
      </c>
      <c r="B11000" s="4" t="n">
        <v>4</v>
      </c>
      <c r="C11000" s="4" t="inlineStr">
        <is>
          <t>whitetail</t>
        </is>
      </c>
      <c r="D11000" s="4" t="n">
        <v>2009</v>
      </c>
      <c r="E11000" s="13" t="inlineStr">
        <is>
          <t>General</t>
        </is>
      </c>
      <c r="F11000" s="5" t="n">
        <v>650</v>
      </c>
      <c r="G11000" s="5" t="n">
        <v>2219</v>
      </c>
      <c r="H11000" s="5" t="n">
        <v>67</v>
      </c>
      <c r="I11000" s="5" t="n">
        <v>30</v>
      </c>
      <c r="J11000" s="5" t="n">
        <v>37</v>
      </c>
      <c r="K11000" s="10">
        <f>IF(F11000&gt;0,H11000/F11000,"")</f>
        <v/>
      </c>
      <c r="L11000" s="16">
        <f>IF(AND(G11000&gt;0,H11000&gt;0),G11000/H11000,"")</f>
        <v/>
      </c>
    </row>
    <row r="11001">
      <c r="A11001" s="4" t="inlineStr">
        <is>
          <t>471</t>
        </is>
      </c>
      <c r="B11001" s="4" t="n">
        <v>4</v>
      </c>
      <c r="C11001" s="4" t="inlineStr">
        <is>
          <t>whitetail</t>
        </is>
      </c>
      <c r="D11001" s="4" t="n">
        <v>2010</v>
      </c>
      <c r="E11001" s="13" t="inlineStr">
        <is>
          <t>General</t>
        </is>
      </c>
      <c r="F11001" s="5" t="n">
        <v>541</v>
      </c>
      <c r="G11001" s="5" t="n">
        <v>2057</v>
      </c>
      <c r="H11001" s="5" t="n">
        <v>57</v>
      </c>
      <c r="I11001" s="5" t="n">
        <v>37</v>
      </c>
      <c r="J11001" s="5" t="n">
        <v>20</v>
      </c>
      <c r="K11001" s="10">
        <f>IF(F11001&gt;0,H11001/F11001,"")</f>
        <v/>
      </c>
      <c r="L11001" s="16">
        <f>IF(AND(G11001&gt;0,H11001&gt;0),G11001/H11001,"")</f>
        <v/>
      </c>
    </row>
    <row r="11002">
      <c r="A11002" s="4" t="inlineStr">
        <is>
          <t>471</t>
        </is>
      </c>
      <c r="B11002" s="4" t="n">
        <v>4</v>
      </c>
      <c r="C11002" s="4" t="inlineStr">
        <is>
          <t>whitetail</t>
        </is>
      </c>
      <c r="D11002" s="4" t="n">
        <v>2011</v>
      </c>
      <c r="E11002" s="13" t="inlineStr">
        <is>
          <t>General</t>
        </is>
      </c>
      <c r="F11002" s="5" t="n">
        <v>548</v>
      </c>
      <c r="G11002" s="5" t="n">
        <v>2106</v>
      </c>
      <c r="H11002" s="5" t="n">
        <v>44</v>
      </c>
      <c r="I11002" s="5" t="n">
        <v>28</v>
      </c>
      <c r="J11002" s="5" t="n">
        <v>13</v>
      </c>
      <c r="K11002" s="10">
        <f>IF(F11002&gt;0,H11002/F11002,"")</f>
        <v/>
      </c>
      <c r="L11002" s="16">
        <f>IF(AND(G11002&gt;0,H11002&gt;0),G11002/H11002,"")</f>
        <v/>
      </c>
    </row>
    <row r="11003">
      <c r="A11003" s="4" t="inlineStr">
        <is>
          <t>471</t>
        </is>
      </c>
      <c r="B11003" s="4" t="n">
        <v>4</v>
      </c>
      <c r="C11003" s="4" t="inlineStr">
        <is>
          <t>whitetail</t>
        </is>
      </c>
      <c r="D11003" s="4" t="n">
        <v>2012</v>
      </c>
      <c r="E11003" s="13" t="inlineStr">
        <is>
          <t>General</t>
        </is>
      </c>
      <c r="F11003" s="5" t="n"/>
      <c r="G11003" s="5" t="n"/>
      <c r="H11003" s="5" t="n">
        <v>31</v>
      </c>
      <c r="I11003" s="5" t="n">
        <v>25</v>
      </c>
      <c r="J11003" s="5" t="n">
        <v>6</v>
      </c>
      <c r="K11003" s="10">
        <f>IF(F11003&gt;0,H11003/F11003,"")</f>
        <v/>
      </c>
      <c r="L11003" s="16">
        <f>IF(AND(G11003&gt;0,H11003&gt;0),G11003/H11003,"")</f>
        <v/>
      </c>
    </row>
    <row r="11004">
      <c r="A11004" s="4" t="inlineStr">
        <is>
          <t>471</t>
        </is>
      </c>
      <c r="B11004" s="4" t="n">
        <v>4</v>
      </c>
      <c r="C11004" s="4" t="inlineStr">
        <is>
          <t>whitetail</t>
        </is>
      </c>
      <c r="D11004" s="4" t="n">
        <v>2013</v>
      </c>
      <c r="E11004" s="13" t="inlineStr">
        <is>
          <t>General</t>
        </is>
      </c>
      <c r="F11004" s="5" t="n">
        <v>549</v>
      </c>
      <c r="G11004" s="5" t="n">
        <v>2010</v>
      </c>
      <c r="H11004" s="5" t="n">
        <v>18</v>
      </c>
      <c r="I11004" s="5" t="n">
        <v>17</v>
      </c>
      <c r="J11004" s="5" t="n">
        <v>1</v>
      </c>
      <c r="K11004" s="10">
        <f>IF(F11004&gt;0,H11004/F11004,"")</f>
        <v/>
      </c>
      <c r="L11004" s="16">
        <f>IF(AND(G11004&gt;0,H11004&gt;0),G11004/H11004,"")</f>
        <v/>
      </c>
    </row>
    <row r="11005">
      <c r="A11005" s="4" t="inlineStr">
        <is>
          <t>471</t>
        </is>
      </c>
      <c r="B11005" s="4" t="n">
        <v>4</v>
      </c>
      <c r="C11005" s="4" t="inlineStr">
        <is>
          <t>whitetail</t>
        </is>
      </c>
      <c r="D11005" s="4" t="n">
        <v>2014</v>
      </c>
      <c r="E11005" s="13" t="inlineStr">
        <is>
          <t>General</t>
        </is>
      </c>
      <c r="F11005" s="5" t="n"/>
      <c r="G11005" s="5" t="n"/>
      <c r="H11005" s="5" t="n">
        <v>33</v>
      </c>
      <c r="I11005" s="5" t="n">
        <v>31</v>
      </c>
      <c r="J11005" s="5" t="n">
        <v>2</v>
      </c>
      <c r="K11005" s="10">
        <f>IF(F11005&gt;0,H11005/F11005,"")</f>
        <v/>
      </c>
      <c r="L11005" s="16">
        <f>IF(AND(G11005&gt;0,H11005&gt;0),G11005/H11005,"")</f>
        <v/>
      </c>
    </row>
    <row r="11006">
      <c r="A11006" s="4" t="inlineStr">
        <is>
          <t>471</t>
        </is>
      </c>
      <c r="B11006" s="4" t="n">
        <v>4</v>
      </c>
      <c r="C11006" s="4" t="inlineStr">
        <is>
          <t>whitetail</t>
        </is>
      </c>
      <c r="D11006" s="4" t="n">
        <v>2015</v>
      </c>
      <c r="E11006" s="13" t="inlineStr">
        <is>
          <t>General</t>
        </is>
      </c>
      <c r="F11006" s="5" t="n"/>
      <c r="G11006" s="5" t="n"/>
      <c r="H11006" s="5" t="n">
        <v>17</v>
      </c>
      <c r="I11006" s="5" t="n">
        <v>17</v>
      </c>
      <c r="J11006" s="5" t="n">
        <v>0</v>
      </c>
      <c r="K11006" s="10">
        <f>IF(F11006&gt;0,H11006/F11006,"")</f>
        <v/>
      </c>
      <c r="L11006" s="16">
        <f>IF(AND(G11006&gt;0,H11006&gt;0),G11006/H11006,"")</f>
        <v/>
      </c>
    </row>
    <row r="11007">
      <c r="A11007" s="4" t="inlineStr">
        <is>
          <t>471</t>
        </is>
      </c>
      <c r="B11007" s="4" t="n">
        <v>4</v>
      </c>
      <c r="C11007" s="4" t="inlineStr">
        <is>
          <t>whitetail</t>
        </is>
      </c>
      <c r="D11007" s="4" t="n">
        <v>2016</v>
      </c>
      <c r="E11007" s="13" t="inlineStr">
        <is>
          <t>General</t>
        </is>
      </c>
      <c r="F11007" s="5" t="n"/>
      <c r="G11007" s="5" t="n"/>
      <c r="H11007" s="5" t="n">
        <v>46</v>
      </c>
      <c r="I11007" s="5" t="n">
        <v>37</v>
      </c>
      <c r="J11007" s="5" t="n">
        <v>9</v>
      </c>
      <c r="K11007" s="10">
        <f>IF(F11007&gt;0,H11007/F11007,"")</f>
        <v/>
      </c>
      <c r="L11007" s="16">
        <f>IF(AND(G11007&gt;0,H11007&gt;0),G11007/H11007,"")</f>
        <v/>
      </c>
    </row>
    <row r="11008">
      <c r="A11008" s="4" t="inlineStr">
        <is>
          <t>471</t>
        </is>
      </c>
      <c r="B11008" s="4" t="n">
        <v>4</v>
      </c>
      <c r="C11008" s="4" t="inlineStr">
        <is>
          <t>whitetail</t>
        </is>
      </c>
      <c r="D11008" s="4" t="n">
        <v>2017</v>
      </c>
      <c r="E11008" s="13" t="inlineStr">
        <is>
          <t>General</t>
        </is>
      </c>
      <c r="F11008" s="5" t="n">
        <v>656</v>
      </c>
      <c r="G11008" s="5" t="n">
        <v>2410</v>
      </c>
      <c r="H11008" s="5" t="n">
        <v>56</v>
      </c>
      <c r="I11008" s="5" t="n">
        <v>36</v>
      </c>
      <c r="J11008" s="5" t="n">
        <v>21</v>
      </c>
      <c r="K11008" s="10">
        <f>IF(F11008&gt;0,H11008/F11008,"")</f>
        <v/>
      </c>
      <c r="L11008" s="16">
        <f>IF(AND(G11008&gt;0,H11008&gt;0),G11008/H11008,"")</f>
        <v/>
      </c>
    </row>
    <row r="11009">
      <c r="A11009" s="4" t="inlineStr">
        <is>
          <t>471</t>
        </is>
      </c>
      <c r="B11009" s="4" t="n">
        <v>4</v>
      </c>
      <c r="C11009" s="4" t="inlineStr">
        <is>
          <t>whitetail</t>
        </is>
      </c>
      <c r="D11009" s="4" t="n">
        <v>2018</v>
      </c>
      <c r="E11009" s="13" t="inlineStr">
        <is>
          <t>General</t>
        </is>
      </c>
      <c r="F11009" s="5" t="n"/>
      <c r="G11009" s="5" t="n"/>
      <c r="H11009" s="5" t="n">
        <v>55</v>
      </c>
      <c r="I11009" s="5" t="n">
        <v>38</v>
      </c>
      <c r="J11009" s="5" t="n">
        <v>17</v>
      </c>
      <c r="K11009" s="10">
        <f>IF(F11009&gt;0,H11009/F11009,"")</f>
        <v/>
      </c>
      <c r="L11009" s="16">
        <f>IF(AND(G11009&gt;0,H11009&gt;0),G11009/H11009,"")</f>
        <v/>
      </c>
    </row>
    <row r="11010">
      <c r="A11010" s="4" t="inlineStr">
        <is>
          <t>471</t>
        </is>
      </c>
      <c r="B11010" s="4" t="n">
        <v>4</v>
      </c>
      <c r="C11010" s="4" t="inlineStr">
        <is>
          <t>whitetail</t>
        </is>
      </c>
      <c r="D11010" s="4" t="n">
        <v>2019</v>
      </c>
      <c r="E11010" s="13" t="inlineStr">
        <is>
          <t>General</t>
        </is>
      </c>
      <c r="F11010" s="5" t="n">
        <v>765</v>
      </c>
      <c r="G11010" s="5" t="n">
        <v>3265</v>
      </c>
      <c r="H11010" s="5" t="n">
        <v>87</v>
      </c>
      <c r="I11010" s="5" t="n">
        <v>47</v>
      </c>
      <c r="J11010" s="5" t="n">
        <v>40</v>
      </c>
      <c r="K11010" s="10">
        <f>IF(F11010&gt;0,H11010/F11010,"")</f>
        <v/>
      </c>
      <c r="L11010" s="16">
        <f>IF(AND(G11010&gt;0,H11010&gt;0),G11010/H11010,"")</f>
        <v/>
      </c>
    </row>
    <row r="11011">
      <c r="A11011" s="4" t="inlineStr">
        <is>
          <t>471</t>
        </is>
      </c>
      <c r="B11011" s="4" t="n">
        <v>4</v>
      </c>
      <c r="C11011" s="4" t="inlineStr">
        <is>
          <t>whitetail</t>
        </is>
      </c>
      <c r="D11011" s="4" t="n">
        <v>2020</v>
      </c>
      <c r="E11011" s="13" t="inlineStr">
        <is>
          <t>General</t>
        </is>
      </c>
      <c r="F11011" s="5" t="n"/>
      <c r="G11011" s="5" t="n"/>
      <c r="H11011" s="5" t="n">
        <v>45</v>
      </c>
      <c r="I11011" s="5" t="n">
        <v>24</v>
      </c>
      <c r="J11011" s="5" t="n">
        <v>21</v>
      </c>
      <c r="K11011" s="10">
        <f>IF(F11011&gt;0,H11011/F11011,"")</f>
        <v/>
      </c>
      <c r="L11011" s="16">
        <f>IF(AND(G11011&gt;0,H11011&gt;0),G11011/H11011,"")</f>
        <v/>
      </c>
    </row>
    <row r="11012">
      <c r="A11012" s="4" t="inlineStr">
        <is>
          <t>471</t>
        </is>
      </c>
      <c r="B11012" s="4" t="n">
        <v>4</v>
      </c>
      <c r="C11012" s="4" t="inlineStr">
        <is>
          <t>whitetail</t>
        </is>
      </c>
      <c r="D11012" s="4" t="n">
        <v>2021</v>
      </c>
      <c r="E11012" s="13" t="inlineStr">
        <is>
          <t>General</t>
        </is>
      </c>
      <c r="F11012" s="5" t="n">
        <v>771</v>
      </c>
      <c r="G11012" s="5" t="n">
        <v>3574</v>
      </c>
      <c r="H11012" s="5" t="n">
        <v>59</v>
      </c>
      <c r="I11012" s="5" t="n">
        <v>26</v>
      </c>
      <c r="J11012" s="5" t="n">
        <v>33</v>
      </c>
      <c r="K11012" s="10">
        <f>IF(F11012&gt;0,H11012/F11012,"")</f>
        <v/>
      </c>
      <c r="L11012" s="16">
        <f>IF(AND(G11012&gt;0,H11012&gt;0),G11012/H11012,"")</f>
        <v/>
      </c>
    </row>
    <row r="11013">
      <c r="A11013" s="4" t="inlineStr">
        <is>
          <t>471</t>
        </is>
      </c>
      <c r="B11013" s="4" t="n">
        <v>4</v>
      </c>
      <c r="C11013" s="4" t="inlineStr">
        <is>
          <t>whitetail</t>
        </is>
      </c>
      <c r="D11013" s="4" t="n">
        <v>2022</v>
      </c>
      <c r="E11013" s="13" t="inlineStr">
        <is>
          <t>General</t>
        </is>
      </c>
      <c r="F11013" s="5" t="n"/>
      <c r="G11013" s="5" t="n"/>
      <c r="H11013" s="5" t="n">
        <v>57</v>
      </c>
      <c r="I11013" s="5" t="n">
        <v>43</v>
      </c>
      <c r="J11013" s="5" t="n">
        <v>14</v>
      </c>
      <c r="K11013" s="10">
        <f>IF(F11013&gt;0,H11013/F11013,"")</f>
        <v/>
      </c>
      <c r="L11013" s="16">
        <f>IF(AND(G11013&gt;0,H11013&gt;0),G11013/H11013,"")</f>
        <v/>
      </c>
    </row>
    <row r="11014">
      <c r="A11014" s="4" t="inlineStr">
        <is>
          <t>471</t>
        </is>
      </c>
      <c r="B11014" s="4" t="n">
        <v>4</v>
      </c>
      <c r="C11014" s="4" t="inlineStr">
        <is>
          <t>whitetail</t>
        </is>
      </c>
      <c r="D11014" s="4" t="n">
        <v>2023</v>
      </c>
      <c r="E11014" s="13" t="inlineStr">
        <is>
          <t>General</t>
        </is>
      </c>
      <c r="F11014" s="5" t="n">
        <v>813</v>
      </c>
      <c r="G11014" s="5" t="n">
        <v>3669</v>
      </c>
      <c r="H11014" s="5" t="n">
        <v>74</v>
      </c>
      <c r="I11014" s="5" t="n">
        <v>49</v>
      </c>
      <c r="J11014" s="5" t="n">
        <v>25</v>
      </c>
      <c r="K11014" s="10">
        <f>IF(F11014&gt;0,H11014/F11014,"")</f>
        <v/>
      </c>
      <c r="L11014" s="16">
        <f>IF(AND(G11014&gt;0,H11014&gt;0),G11014/H11014,"")</f>
        <v/>
      </c>
    </row>
    <row r="11015">
      <c r="A11015" s="4" t="inlineStr">
        <is>
          <t>471</t>
        </is>
      </c>
      <c r="B11015" s="4" t="n">
        <v>4</v>
      </c>
      <c r="C11015" s="4" t="inlineStr">
        <is>
          <t>whitetail</t>
        </is>
      </c>
      <c r="D11015" s="4" t="n">
        <v>2024</v>
      </c>
      <c r="E11015" s="13" t="inlineStr">
        <is>
          <t>General</t>
        </is>
      </c>
      <c r="F11015" s="5" t="n"/>
      <c r="G11015" s="5" t="n"/>
      <c r="H11015" s="5" t="n">
        <v>89</v>
      </c>
      <c r="I11015" s="5" t="n">
        <v>65</v>
      </c>
      <c r="J11015" s="5" t="n">
        <v>25</v>
      </c>
      <c r="K11015" s="10">
        <f>IF(F11015&gt;0,H11015/F11015,"")</f>
        <v/>
      </c>
      <c r="L11015" s="16">
        <f>IF(AND(G11015&gt;0,H11015&gt;0),G11015/H11015,"")</f>
        <v/>
      </c>
    </row>
    <row r="11016">
      <c r="A11016" s="4" t="inlineStr">
        <is>
          <t>471</t>
        </is>
      </c>
      <c r="B11016" s="4" t="n">
        <v>4</v>
      </c>
      <c r="C11016" s="4" t="inlineStr">
        <is>
          <t>whitetail</t>
        </is>
      </c>
      <c r="D11016" s="4" t="n">
        <v>2025</v>
      </c>
      <c r="E11016" s="13" t="inlineStr">
        <is>
          <t>General</t>
        </is>
      </c>
      <c r="F11016" s="5" t="n">
        <v>640</v>
      </c>
      <c r="G11016" s="5" t="n">
        <v>5298</v>
      </c>
      <c r="H11016" s="5" t="n">
        <v>45</v>
      </c>
      <c r="I11016" s="5" t="n">
        <v>30</v>
      </c>
      <c r="J11016" s="5" t="n">
        <v>12</v>
      </c>
      <c r="K11016" s="10">
        <f>IF(F11016&gt;0,H11016/F11016,"")</f>
        <v/>
      </c>
      <c r="L11016" s="16">
        <f>IF(AND(G11016&gt;0,H11016&gt;0),G11016/H11016,"")</f>
        <v/>
      </c>
    </row>
    <row r="11017">
      <c r="A11017" s="4" t="inlineStr">
        <is>
          <t>500</t>
        </is>
      </c>
      <c r="B11017" s="4" t="n">
        <v>5</v>
      </c>
      <c r="C11017" s="4" t="inlineStr">
        <is>
          <t>whitetail</t>
        </is>
      </c>
      <c r="D11017" s="4" t="n">
        <v>2004</v>
      </c>
      <c r="E11017" s="4" t="inlineStr"/>
      <c r="F11017" s="5" t="n">
        <v>1653</v>
      </c>
      <c r="G11017" s="5" t="n">
        <v>5889</v>
      </c>
      <c r="H11017" s="5" t="n">
        <v>203</v>
      </c>
      <c r="I11017" s="5" t="n">
        <v>112</v>
      </c>
      <c r="J11017" s="5" t="n">
        <v>82</v>
      </c>
      <c r="K11017" s="10">
        <f>IF(F11017&gt;0,H11017/F11017,"")</f>
        <v/>
      </c>
      <c r="L11017" s="16">
        <f>IF(AND(G11017&gt;0,H11017&gt;0),G11017/H11017,"")</f>
        <v/>
      </c>
    </row>
    <row r="11018">
      <c r="A11018" s="4" t="inlineStr">
        <is>
          <t>500</t>
        </is>
      </c>
      <c r="B11018" s="4" t="n">
        <v>5</v>
      </c>
      <c r="C11018" s="4" t="inlineStr">
        <is>
          <t>whitetail</t>
        </is>
      </c>
      <c r="D11018" s="4" t="n">
        <v>2005</v>
      </c>
      <c r="E11018" s="4" t="inlineStr"/>
      <c r="F11018" s="5" t="n">
        <v>1340</v>
      </c>
      <c r="G11018" s="5" t="n">
        <v>5472</v>
      </c>
      <c r="H11018" s="5" t="n">
        <v>138</v>
      </c>
      <c r="I11018" s="5" t="n">
        <v>63</v>
      </c>
      <c r="J11018" s="5" t="n">
        <v>62</v>
      </c>
      <c r="K11018" s="10">
        <f>IF(F11018&gt;0,H11018/F11018,"")</f>
        <v/>
      </c>
      <c r="L11018" s="16">
        <f>IF(AND(G11018&gt;0,H11018&gt;0),G11018/H11018,"")</f>
        <v/>
      </c>
    </row>
    <row r="11019">
      <c r="A11019" s="4" t="inlineStr">
        <is>
          <t>500</t>
        </is>
      </c>
      <c r="B11019" s="4" t="n">
        <v>5</v>
      </c>
      <c r="C11019" s="4" t="inlineStr">
        <is>
          <t>whitetail</t>
        </is>
      </c>
      <c r="D11019" s="4" t="n">
        <v>2006</v>
      </c>
      <c r="E11019" s="4" t="inlineStr"/>
      <c r="F11019" s="5" t="n">
        <v>1320</v>
      </c>
      <c r="G11019" s="5" t="n">
        <v>5986</v>
      </c>
      <c r="H11019" s="5" t="n">
        <v>297</v>
      </c>
      <c r="I11019" s="5" t="n">
        <v>117</v>
      </c>
      <c r="J11019" s="5" t="n">
        <v>170</v>
      </c>
      <c r="K11019" s="10">
        <f>IF(F11019&gt;0,H11019/F11019,"")</f>
        <v/>
      </c>
      <c r="L11019" s="16">
        <f>IF(AND(G11019&gt;0,H11019&gt;0),G11019/H11019,"")</f>
        <v/>
      </c>
    </row>
    <row r="11020">
      <c r="A11020" s="4" t="inlineStr">
        <is>
          <t>500</t>
        </is>
      </c>
      <c r="B11020" s="4" t="n">
        <v>5</v>
      </c>
      <c r="C11020" s="4" t="inlineStr">
        <is>
          <t>whitetail</t>
        </is>
      </c>
      <c r="D11020" s="4" t="n">
        <v>2007</v>
      </c>
      <c r="E11020" s="4" t="inlineStr"/>
      <c r="F11020" s="5" t="n">
        <v>1526</v>
      </c>
      <c r="G11020" s="5" t="n">
        <v>6433</v>
      </c>
      <c r="H11020" s="5" t="n">
        <v>255</v>
      </c>
      <c r="I11020" s="5" t="n">
        <v>116</v>
      </c>
      <c r="J11020" s="5" t="n">
        <v>124</v>
      </c>
      <c r="K11020" s="10">
        <f>IF(F11020&gt;0,H11020/F11020,"")</f>
        <v/>
      </c>
      <c r="L11020" s="16">
        <f>IF(AND(G11020&gt;0,H11020&gt;0),G11020/H11020,"")</f>
        <v/>
      </c>
    </row>
    <row r="11021">
      <c r="A11021" s="4" t="inlineStr">
        <is>
          <t>500</t>
        </is>
      </c>
      <c r="B11021" s="4" t="n">
        <v>5</v>
      </c>
      <c r="C11021" s="4" t="inlineStr">
        <is>
          <t>whitetail</t>
        </is>
      </c>
      <c r="D11021" s="4" t="n">
        <v>2008</v>
      </c>
      <c r="E11021" s="4" t="inlineStr"/>
      <c r="F11021" s="5" t="n">
        <v>1738</v>
      </c>
      <c r="G11021" s="5" t="n">
        <v>7324</v>
      </c>
      <c r="H11021" s="5" t="n">
        <v>256</v>
      </c>
      <c r="I11021" s="5" t="n">
        <v>117</v>
      </c>
      <c r="J11021" s="5" t="n">
        <v>126</v>
      </c>
      <c r="K11021" s="10">
        <f>IF(F11021&gt;0,H11021/F11021,"")</f>
        <v/>
      </c>
      <c r="L11021" s="16">
        <f>IF(AND(G11021&gt;0,H11021&gt;0),G11021/H11021,"")</f>
        <v/>
      </c>
    </row>
    <row r="11022">
      <c r="A11022" s="4" t="inlineStr">
        <is>
          <t>500</t>
        </is>
      </c>
      <c r="B11022" s="4" t="n">
        <v>5</v>
      </c>
      <c r="C11022" s="4" t="inlineStr">
        <is>
          <t>whitetail</t>
        </is>
      </c>
      <c r="D11022" s="4" t="n">
        <v>2009</v>
      </c>
      <c r="E11022" s="4" t="inlineStr"/>
      <c r="F11022" s="5" t="n">
        <v>1974</v>
      </c>
      <c r="G11022" s="5" t="n">
        <v>8482</v>
      </c>
      <c r="H11022" s="5" t="n">
        <v>379</v>
      </c>
      <c r="I11022" s="5" t="n">
        <v>160</v>
      </c>
      <c r="J11022" s="5" t="n">
        <v>213</v>
      </c>
      <c r="K11022" s="10">
        <f>IF(F11022&gt;0,H11022/F11022,"")</f>
        <v/>
      </c>
      <c r="L11022" s="16">
        <f>IF(AND(G11022&gt;0,H11022&gt;0),G11022/H11022,"")</f>
        <v/>
      </c>
    </row>
    <row r="11023">
      <c r="A11023" s="4" t="inlineStr">
        <is>
          <t>500</t>
        </is>
      </c>
      <c r="B11023" s="4" t="n">
        <v>5</v>
      </c>
      <c r="C11023" s="4" t="inlineStr">
        <is>
          <t>whitetail</t>
        </is>
      </c>
      <c r="D11023" s="4" t="n">
        <v>2010</v>
      </c>
      <c r="E11023" s="4" t="inlineStr"/>
      <c r="F11023" s="5" t="n">
        <v>1793</v>
      </c>
      <c r="G11023" s="5" t="n">
        <v>7966</v>
      </c>
      <c r="H11023" s="5" t="n">
        <v>320</v>
      </c>
      <c r="I11023" s="5" t="n">
        <v>135</v>
      </c>
      <c r="J11023" s="5" t="n">
        <v>176</v>
      </c>
      <c r="K11023" s="10">
        <f>IF(F11023&gt;0,H11023/F11023,"")</f>
        <v/>
      </c>
      <c r="L11023" s="16">
        <f>IF(AND(G11023&gt;0,H11023&gt;0),G11023/H11023,"")</f>
        <v/>
      </c>
    </row>
    <row r="11024">
      <c r="A11024" s="4" t="inlineStr">
        <is>
          <t>500</t>
        </is>
      </c>
      <c r="B11024" s="4" t="n">
        <v>5</v>
      </c>
      <c r="C11024" s="4" t="inlineStr">
        <is>
          <t>whitetail</t>
        </is>
      </c>
      <c r="D11024" s="4" t="n">
        <v>2011</v>
      </c>
      <c r="E11024" s="4" t="inlineStr"/>
      <c r="F11024" s="5" t="n">
        <v>2073</v>
      </c>
      <c r="G11024" s="5" t="n">
        <v>9102</v>
      </c>
      <c r="H11024" s="5" t="n">
        <v>180</v>
      </c>
      <c r="I11024" s="5" t="n">
        <v>84</v>
      </c>
      <c r="J11024" s="5" t="n">
        <v>90</v>
      </c>
      <c r="K11024" s="10">
        <f>IF(F11024&gt;0,H11024/F11024,"")</f>
        <v/>
      </c>
      <c r="L11024" s="16">
        <f>IF(AND(G11024&gt;0,H11024&gt;0),G11024/H11024,"")</f>
        <v/>
      </c>
    </row>
    <row r="11025">
      <c r="A11025" s="4" t="inlineStr">
        <is>
          <t>500</t>
        </is>
      </c>
      <c r="B11025" s="4" t="n">
        <v>5</v>
      </c>
      <c r="C11025" s="4" t="inlineStr">
        <is>
          <t>whitetail</t>
        </is>
      </c>
      <c r="D11025" s="4" t="n">
        <v>2012</v>
      </c>
      <c r="E11025" s="4" t="inlineStr"/>
      <c r="F11025" s="5" t="n"/>
      <c r="G11025" s="5" t="n"/>
      <c r="H11025" s="5" t="n">
        <v>261</v>
      </c>
      <c r="I11025" s="5" t="n">
        <v>123</v>
      </c>
      <c r="J11025" s="5" t="n">
        <v>136</v>
      </c>
      <c r="K11025" s="10">
        <f>IF(F11025&gt;0,H11025/F11025,"")</f>
        <v/>
      </c>
      <c r="L11025" s="16">
        <f>IF(AND(G11025&gt;0,H11025&gt;0),G11025/H11025,"")</f>
        <v/>
      </c>
    </row>
    <row r="11026">
      <c r="A11026" s="4" t="inlineStr">
        <is>
          <t>500</t>
        </is>
      </c>
      <c r="B11026" s="4" t="n">
        <v>5</v>
      </c>
      <c r="C11026" s="4" t="inlineStr">
        <is>
          <t>whitetail</t>
        </is>
      </c>
      <c r="D11026" s="4" t="n">
        <v>2013</v>
      </c>
      <c r="E11026" s="4" t="inlineStr"/>
      <c r="F11026" s="5" t="n">
        <v>2173</v>
      </c>
      <c r="G11026" s="5" t="n">
        <v>10602</v>
      </c>
      <c r="H11026" s="5" t="n">
        <v>167</v>
      </c>
      <c r="I11026" s="5" t="n">
        <v>65</v>
      </c>
      <c r="J11026" s="5" t="n">
        <v>96</v>
      </c>
      <c r="K11026" s="10">
        <f>IF(F11026&gt;0,H11026/F11026,"")</f>
        <v/>
      </c>
      <c r="L11026" s="16">
        <f>IF(AND(G11026&gt;0,H11026&gt;0),G11026/H11026,"")</f>
        <v/>
      </c>
    </row>
    <row r="11027">
      <c r="A11027" s="4" t="inlineStr">
        <is>
          <t>500</t>
        </is>
      </c>
      <c r="B11027" s="4" t="n">
        <v>5</v>
      </c>
      <c r="C11027" s="4" t="inlineStr">
        <is>
          <t>whitetail</t>
        </is>
      </c>
      <c r="D11027" s="4" t="n">
        <v>2014</v>
      </c>
      <c r="E11027" s="4" t="inlineStr"/>
      <c r="F11027" s="5" t="n"/>
      <c r="G11027" s="5" t="n"/>
      <c r="H11027" s="5" t="n">
        <v>105</v>
      </c>
      <c r="I11027" s="5" t="n">
        <v>74</v>
      </c>
      <c r="J11027" s="5" t="n">
        <v>28</v>
      </c>
      <c r="K11027" s="10">
        <f>IF(F11027&gt;0,H11027/F11027,"")</f>
        <v/>
      </c>
      <c r="L11027" s="16">
        <f>IF(AND(G11027&gt;0,H11027&gt;0),G11027/H11027,"")</f>
        <v/>
      </c>
    </row>
    <row r="11028">
      <c r="A11028" s="4" t="inlineStr">
        <is>
          <t>500</t>
        </is>
      </c>
      <c r="B11028" s="4" t="n">
        <v>5</v>
      </c>
      <c r="C11028" s="4" t="inlineStr">
        <is>
          <t>whitetail</t>
        </is>
      </c>
      <c r="D11028" s="4" t="n">
        <v>2015</v>
      </c>
      <c r="E11028" s="4" t="inlineStr"/>
      <c r="F11028" s="5" t="n"/>
      <c r="G11028" s="5" t="n"/>
      <c r="H11028" s="5" t="n">
        <v>155</v>
      </c>
      <c r="I11028" s="5" t="n">
        <v>123</v>
      </c>
      <c r="J11028" s="5" t="n">
        <v>32</v>
      </c>
      <c r="K11028" s="10">
        <f>IF(F11028&gt;0,H11028/F11028,"")</f>
        <v/>
      </c>
      <c r="L11028" s="16">
        <f>IF(AND(G11028&gt;0,H11028&gt;0),G11028/H11028,"")</f>
        <v/>
      </c>
    </row>
    <row r="11029">
      <c r="A11029" s="4" t="inlineStr">
        <is>
          <t>500</t>
        </is>
      </c>
      <c r="B11029" s="4" t="n">
        <v>5</v>
      </c>
      <c r="C11029" s="4" t="inlineStr">
        <is>
          <t>whitetail</t>
        </is>
      </c>
      <c r="D11029" s="4" t="n">
        <v>2016</v>
      </c>
      <c r="E11029" s="4" t="inlineStr"/>
      <c r="F11029" s="5" t="n"/>
      <c r="G11029" s="5" t="n"/>
      <c r="H11029" s="5" t="n">
        <v>161</v>
      </c>
      <c r="I11029" s="5" t="n">
        <v>104</v>
      </c>
      <c r="J11029" s="5" t="n">
        <v>56</v>
      </c>
      <c r="K11029" s="10">
        <f>IF(F11029&gt;0,H11029/F11029,"")</f>
        <v/>
      </c>
      <c r="L11029" s="16">
        <f>IF(AND(G11029&gt;0,H11029&gt;0),G11029/H11029,"")</f>
        <v/>
      </c>
    </row>
    <row r="11030">
      <c r="A11030" s="4" t="inlineStr">
        <is>
          <t>500</t>
        </is>
      </c>
      <c r="B11030" s="4" t="n">
        <v>5</v>
      </c>
      <c r="C11030" s="4" t="inlineStr">
        <is>
          <t>whitetail</t>
        </is>
      </c>
      <c r="D11030" s="4" t="n">
        <v>2017</v>
      </c>
      <c r="E11030" s="4" t="inlineStr"/>
      <c r="F11030" s="5" t="n">
        <v>2291</v>
      </c>
      <c r="G11030" s="5" t="n">
        <v>10642</v>
      </c>
      <c r="H11030" s="5" t="n">
        <v>202</v>
      </c>
      <c r="I11030" s="5" t="n">
        <v>108</v>
      </c>
      <c r="J11030" s="5" t="n">
        <v>89</v>
      </c>
      <c r="K11030" s="10">
        <f>IF(F11030&gt;0,H11030/F11030,"")</f>
        <v/>
      </c>
      <c r="L11030" s="16">
        <f>IF(AND(G11030&gt;0,H11030&gt;0),G11030/H11030,"")</f>
        <v/>
      </c>
    </row>
    <row r="11031">
      <c r="A11031" s="4" t="inlineStr">
        <is>
          <t>500</t>
        </is>
      </c>
      <c r="B11031" s="4" t="n">
        <v>5</v>
      </c>
      <c r="C11031" s="4" t="inlineStr">
        <is>
          <t>whitetail</t>
        </is>
      </c>
      <c r="D11031" s="4" t="n">
        <v>2018</v>
      </c>
      <c r="E11031" s="4" t="inlineStr"/>
      <c r="F11031" s="5" t="n"/>
      <c r="G11031" s="5" t="n"/>
      <c r="H11031" s="5" t="n">
        <v>188</v>
      </c>
      <c r="I11031" s="5" t="n">
        <v>126</v>
      </c>
      <c r="J11031" s="5" t="n">
        <v>62</v>
      </c>
      <c r="K11031" s="10">
        <f>IF(F11031&gt;0,H11031/F11031,"")</f>
        <v/>
      </c>
      <c r="L11031" s="16">
        <f>IF(AND(G11031&gt;0,H11031&gt;0),G11031/H11031,"")</f>
        <v/>
      </c>
    </row>
    <row r="11032">
      <c r="A11032" s="4" t="inlineStr">
        <is>
          <t>500</t>
        </is>
      </c>
      <c r="B11032" s="4" t="n">
        <v>5</v>
      </c>
      <c r="C11032" s="4" t="inlineStr">
        <is>
          <t>whitetail</t>
        </is>
      </c>
      <c r="D11032" s="4" t="n">
        <v>2019</v>
      </c>
      <c r="E11032" s="4" t="inlineStr"/>
      <c r="F11032" s="5" t="n">
        <v>2232</v>
      </c>
      <c r="G11032" s="5" t="n">
        <v>10813</v>
      </c>
      <c r="H11032" s="5" t="n">
        <v>237</v>
      </c>
      <c r="I11032" s="5" t="n">
        <v>168</v>
      </c>
      <c r="J11032" s="5" t="n">
        <v>68</v>
      </c>
      <c r="K11032" s="10">
        <f>IF(F11032&gt;0,H11032/F11032,"")</f>
        <v/>
      </c>
      <c r="L11032" s="16">
        <f>IF(AND(G11032&gt;0,H11032&gt;0),G11032/H11032,"")</f>
        <v/>
      </c>
    </row>
    <row r="11033">
      <c r="A11033" s="4" t="inlineStr">
        <is>
          <t>500</t>
        </is>
      </c>
      <c r="B11033" s="4" t="n">
        <v>5</v>
      </c>
      <c r="C11033" s="4" t="inlineStr">
        <is>
          <t>whitetail</t>
        </is>
      </c>
      <c r="D11033" s="4" t="n">
        <v>2020</v>
      </c>
      <c r="E11033" s="4" t="inlineStr"/>
      <c r="F11033" s="5" t="n"/>
      <c r="G11033" s="5" t="n"/>
      <c r="H11033" s="5" t="n">
        <v>270</v>
      </c>
      <c r="I11033" s="5" t="n">
        <v>158</v>
      </c>
      <c r="J11033" s="5" t="n">
        <v>112</v>
      </c>
      <c r="K11033" s="10">
        <f>IF(F11033&gt;0,H11033/F11033,"")</f>
        <v/>
      </c>
      <c r="L11033" s="16">
        <f>IF(AND(G11033&gt;0,H11033&gt;0),G11033/H11033,"")</f>
        <v/>
      </c>
    </row>
    <row r="11034">
      <c r="A11034" s="4" t="inlineStr">
        <is>
          <t>500</t>
        </is>
      </c>
      <c r="B11034" s="4" t="n">
        <v>5</v>
      </c>
      <c r="C11034" s="4" t="inlineStr">
        <is>
          <t>whitetail</t>
        </is>
      </c>
      <c r="D11034" s="4" t="n">
        <v>2021</v>
      </c>
      <c r="E11034" s="4" t="inlineStr"/>
      <c r="F11034" s="5" t="n">
        <v>2071</v>
      </c>
      <c r="G11034" s="5" t="n">
        <v>10264</v>
      </c>
      <c r="H11034" s="5" t="n">
        <v>212</v>
      </c>
      <c r="I11034" s="5" t="n">
        <v>117</v>
      </c>
      <c r="J11034" s="5" t="n">
        <v>95</v>
      </c>
      <c r="K11034" s="10">
        <f>IF(F11034&gt;0,H11034/F11034,"")</f>
        <v/>
      </c>
      <c r="L11034" s="16">
        <f>IF(AND(G11034&gt;0,H11034&gt;0),G11034/H11034,"")</f>
        <v/>
      </c>
    </row>
    <row r="11035">
      <c r="A11035" s="4" t="inlineStr">
        <is>
          <t>502</t>
        </is>
      </c>
      <c r="B11035" s="4" t="n">
        <v>5</v>
      </c>
      <c r="C11035" s="4" t="inlineStr">
        <is>
          <t>whitetail</t>
        </is>
      </c>
      <c r="D11035" s="4" t="n">
        <v>2004</v>
      </c>
      <c r="E11035" s="13" t="inlineStr">
        <is>
          <t>General</t>
        </is>
      </c>
      <c r="F11035" s="5" t="n">
        <v>1986</v>
      </c>
      <c r="G11035" s="5" t="n">
        <v>8812</v>
      </c>
      <c r="H11035" s="5" t="n">
        <v>446</v>
      </c>
      <c r="I11035" s="5" t="n">
        <v>230</v>
      </c>
      <c r="J11035" s="5" t="n">
        <v>206</v>
      </c>
      <c r="K11035" s="10">
        <f>IF(F11035&gt;0,H11035/F11035,"")</f>
        <v/>
      </c>
      <c r="L11035" s="16">
        <f>IF(AND(G11035&gt;0,H11035&gt;0),G11035/H11035,"")</f>
        <v/>
      </c>
    </row>
    <row r="11036">
      <c r="A11036" s="4" t="inlineStr">
        <is>
          <t>502</t>
        </is>
      </c>
      <c r="B11036" s="4" t="n">
        <v>5</v>
      </c>
      <c r="C11036" s="4" t="inlineStr">
        <is>
          <t>whitetail</t>
        </is>
      </c>
      <c r="D11036" s="4" t="n">
        <v>2005</v>
      </c>
      <c r="E11036" s="13" t="inlineStr">
        <is>
          <t>General</t>
        </is>
      </c>
      <c r="F11036" s="5" t="n">
        <v>2161</v>
      </c>
      <c r="G11036" s="5" t="n">
        <v>9359</v>
      </c>
      <c r="H11036" s="5" t="n">
        <v>555</v>
      </c>
      <c r="I11036" s="5" t="n">
        <v>287</v>
      </c>
      <c r="J11036" s="5" t="n">
        <v>252</v>
      </c>
      <c r="K11036" s="10">
        <f>IF(F11036&gt;0,H11036/F11036,"")</f>
        <v/>
      </c>
      <c r="L11036" s="16">
        <f>IF(AND(G11036&gt;0,H11036&gt;0),G11036/H11036,"")</f>
        <v/>
      </c>
    </row>
    <row r="11037">
      <c r="A11037" s="4" t="inlineStr">
        <is>
          <t>502</t>
        </is>
      </c>
      <c r="B11037" s="4" t="n">
        <v>5</v>
      </c>
      <c r="C11037" s="4" t="inlineStr">
        <is>
          <t>whitetail</t>
        </is>
      </c>
      <c r="D11037" s="4" t="n">
        <v>2006</v>
      </c>
      <c r="E11037" s="13" t="inlineStr">
        <is>
          <t>General</t>
        </is>
      </c>
      <c r="F11037" s="5" t="n">
        <v>1862</v>
      </c>
      <c r="G11037" s="5" t="n">
        <v>7871</v>
      </c>
      <c r="H11037" s="5" t="n">
        <v>650</v>
      </c>
      <c r="I11037" s="5" t="n">
        <v>306</v>
      </c>
      <c r="J11037" s="5" t="n">
        <v>328</v>
      </c>
      <c r="K11037" s="10">
        <f>IF(F11037&gt;0,H11037/F11037,"")</f>
        <v/>
      </c>
      <c r="L11037" s="16">
        <f>IF(AND(G11037&gt;0,H11037&gt;0),G11037/H11037,"")</f>
        <v/>
      </c>
    </row>
    <row r="11038">
      <c r="A11038" s="4" t="inlineStr">
        <is>
          <t>502</t>
        </is>
      </c>
      <c r="B11038" s="4" t="n">
        <v>5</v>
      </c>
      <c r="C11038" s="4" t="inlineStr">
        <is>
          <t>whitetail</t>
        </is>
      </c>
      <c r="D11038" s="4" t="n">
        <v>2007</v>
      </c>
      <c r="E11038" s="13" t="inlineStr">
        <is>
          <t>General</t>
        </is>
      </c>
      <c r="F11038" s="5" t="n">
        <v>1808</v>
      </c>
      <c r="G11038" s="5" t="n">
        <v>7757</v>
      </c>
      <c r="H11038" s="5" t="n">
        <v>505</v>
      </c>
      <c r="I11038" s="5" t="n">
        <v>247</v>
      </c>
      <c r="J11038" s="5" t="n">
        <v>253</v>
      </c>
      <c r="K11038" s="10">
        <f>IF(F11038&gt;0,H11038/F11038,"")</f>
        <v/>
      </c>
      <c r="L11038" s="16">
        <f>IF(AND(G11038&gt;0,H11038&gt;0),G11038/H11038,"")</f>
        <v/>
      </c>
    </row>
    <row r="11039">
      <c r="A11039" s="4" t="inlineStr">
        <is>
          <t>502</t>
        </is>
      </c>
      <c r="B11039" s="4" t="n">
        <v>5</v>
      </c>
      <c r="C11039" s="4" t="inlineStr">
        <is>
          <t>whitetail</t>
        </is>
      </c>
      <c r="D11039" s="4" t="n">
        <v>2008</v>
      </c>
      <c r="E11039" s="13" t="inlineStr">
        <is>
          <t>General</t>
        </is>
      </c>
      <c r="F11039" s="5" t="n">
        <v>2097</v>
      </c>
      <c r="G11039" s="5" t="n">
        <v>8835</v>
      </c>
      <c r="H11039" s="5" t="n">
        <v>466</v>
      </c>
      <c r="I11039" s="5" t="n">
        <v>243</v>
      </c>
      <c r="J11039" s="5" t="n">
        <v>214</v>
      </c>
      <c r="K11039" s="10">
        <f>IF(F11039&gt;0,H11039/F11039,"")</f>
        <v/>
      </c>
      <c r="L11039" s="16">
        <f>IF(AND(G11039&gt;0,H11039&gt;0),G11039/H11039,"")</f>
        <v/>
      </c>
    </row>
    <row r="11040">
      <c r="A11040" s="4" t="inlineStr">
        <is>
          <t>502</t>
        </is>
      </c>
      <c r="B11040" s="4" t="n">
        <v>5</v>
      </c>
      <c r="C11040" s="4" t="inlineStr">
        <is>
          <t>whitetail</t>
        </is>
      </c>
      <c r="D11040" s="4" t="n">
        <v>2009</v>
      </c>
      <c r="E11040" s="13" t="inlineStr">
        <is>
          <t>General</t>
        </is>
      </c>
      <c r="F11040" s="5" t="n">
        <v>2099</v>
      </c>
      <c r="G11040" s="5" t="n">
        <v>8710</v>
      </c>
      <c r="H11040" s="5" t="n">
        <v>588</v>
      </c>
      <c r="I11040" s="5" t="n">
        <v>238</v>
      </c>
      <c r="J11040" s="5" t="n">
        <v>324</v>
      </c>
      <c r="K11040" s="10">
        <f>IF(F11040&gt;0,H11040/F11040,"")</f>
        <v/>
      </c>
      <c r="L11040" s="16">
        <f>IF(AND(G11040&gt;0,H11040&gt;0),G11040/H11040,"")</f>
        <v/>
      </c>
    </row>
    <row r="11041">
      <c r="A11041" s="4" t="inlineStr">
        <is>
          <t>502</t>
        </is>
      </c>
      <c r="B11041" s="4" t="n">
        <v>5</v>
      </c>
      <c r="C11041" s="4" t="inlineStr">
        <is>
          <t>whitetail</t>
        </is>
      </c>
      <c r="D11041" s="4" t="n">
        <v>2010</v>
      </c>
      <c r="E11041" s="13" t="inlineStr">
        <is>
          <t>General</t>
        </is>
      </c>
      <c r="F11041" s="5" t="n">
        <v>2030</v>
      </c>
      <c r="G11041" s="5" t="n">
        <v>8860</v>
      </c>
      <c r="H11041" s="5" t="n">
        <v>460</v>
      </c>
      <c r="I11041" s="5" t="n">
        <v>217</v>
      </c>
      <c r="J11041" s="5" t="n">
        <v>234</v>
      </c>
      <c r="K11041" s="10">
        <f>IF(F11041&gt;0,H11041/F11041,"")</f>
        <v/>
      </c>
      <c r="L11041" s="16">
        <f>IF(AND(G11041&gt;0,H11041&gt;0),G11041/H11041,"")</f>
        <v/>
      </c>
    </row>
    <row r="11042">
      <c r="A11042" s="4" t="inlineStr">
        <is>
          <t>502</t>
        </is>
      </c>
      <c r="B11042" s="4" t="n">
        <v>5</v>
      </c>
      <c r="C11042" s="4" t="inlineStr">
        <is>
          <t>whitetail</t>
        </is>
      </c>
      <c r="D11042" s="4" t="n">
        <v>2011</v>
      </c>
      <c r="E11042" s="13" t="inlineStr">
        <is>
          <t>General</t>
        </is>
      </c>
      <c r="F11042" s="5" t="n">
        <v>1909</v>
      </c>
      <c r="G11042" s="5" t="n">
        <v>8484</v>
      </c>
      <c r="H11042" s="5" t="n">
        <v>293</v>
      </c>
      <c r="I11042" s="5" t="n">
        <v>118</v>
      </c>
      <c r="J11042" s="5" t="n">
        <v>164</v>
      </c>
      <c r="K11042" s="10">
        <f>IF(F11042&gt;0,H11042/F11042,"")</f>
        <v/>
      </c>
      <c r="L11042" s="16">
        <f>IF(AND(G11042&gt;0,H11042&gt;0),G11042/H11042,"")</f>
        <v/>
      </c>
    </row>
    <row r="11043">
      <c r="A11043" s="4" t="inlineStr">
        <is>
          <t>502</t>
        </is>
      </c>
      <c r="B11043" s="4" t="n">
        <v>5</v>
      </c>
      <c r="C11043" s="4" t="inlineStr">
        <is>
          <t>whitetail</t>
        </is>
      </c>
      <c r="D11043" s="4" t="n">
        <v>2012</v>
      </c>
      <c r="E11043" s="13" t="inlineStr">
        <is>
          <t>General</t>
        </is>
      </c>
      <c r="F11043" s="5" t="n"/>
      <c r="G11043" s="5" t="n"/>
      <c r="H11043" s="5" t="n">
        <v>378</v>
      </c>
      <c r="I11043" s="5" t="n">
        <v>186</v>
      </c>
      <c r="J11043" s="5" t="n">
        <v>186</v>
      </c>
      <c r="K11043" s="10">
        <f>IF(F11043&gt;0,H11043/F11043,"")</f>
        <v/>
      </c>
      <c r="L11043" s="16">
        <f>IF(AND(G11043&gt;0,H11043&gt;0),G11043/H11043,"")</f>
        <v/>
      </c>
    </row>
    <row r="11044">
      <c r="A11044" s="4" t="inlineStr">
        <is>
          <t>502</t>
        </is>
      </c>
      <c r="B11044" s="4" t="n">
        <v>5</v>
      </c>
      <c r="C11044" s="4" t="inlineStr">
        <is>
          <t>whitetail</t>
        </is>
      </c>
      <c r="D11044" s="4" t="n">
        <v>2013</v>
      </c>
      <c r="E11044" s="13" t="inlineStr">
        <is>
          <t>General</t>
        </is>
      </c>
      <c r="F11044" s="5" t="n">
        <v>1794</v>
      </c>
      <c r="G11044" s="5" t="n">
        <v>7615</v>
      </c>
      <c r="H11044" s="5" t="n">
        <v>302</v>
      </c>
      <c r="I11044" s="5" t="n">
        <v>144</v>
      </c>
      <c r="J11044" s="5" t="n">
        <v>156</v>
      </c>
      <c r="K11044" s="10">
        <f>IF(F11044&gt;0,H11044/F11044,"")</f>
        <v/>
      </c>
      <c r="L11044" s="16">
        <f>IF(AND(G11044&gt;0,H11044&gt;0),G11044/H11044,"")</f>
        <v/>
      </c>
    </row>
    <row r="11045">
      <c r="A11045" s="4" t="inlineStr">
        <is>
          <t>502</t>
        </is>
      </c>
      <c r="B11045" s="4" t="n">
        <v>5</v>
      </c>
      <c r="C11045" s="4" t="inlineStr">
        <is>
          <t>whitetail</t>
        </is>
      </c>
      <c r="D11045" s="4" t="n">
        <v>2014</v>
      </c>
      <c r="E11045" s="13" t="inlineStr">
        <is>
          <t>General</t>
        </is>
      </c>
      <c r="F11045" s="5" t="n"/>
      <c r="G11045" s="5" t="n"/>
      <c r="H11045" s="5" t="n">
        <v>150</v>
      </c>
      <c r="I11045" s="5" t="n">
        <v>113</v>
      </c>
      <c r="J11045" s="5" t="n">
        <v>34</v>
      </c>
      <c r="K11045" s="10">
        <f>IF(F11045&gt;0,H11045/F11045,"")</f>
        <v/>
      </c>
      <c r="L11045" s="16">
        <f>IF(AND(G11045&gt;0,H11045&gt;0),G11045/H11045,"")</f>
        <v/>
      </c>
    </row>
    <row r="11046">
      <c r="A11046" s="4" t="inlineStr">
        <is>
          <t>502</t>
        </is>
      </c>
      <c r="B11046" s="4" t="n">
        <v>5</v>
      </c>
      <c r="C11046" s="4" t="inlineStr">
        <is>
          <t>whitetail</t>
        </is>
      </c>
      <c r="D11046" s="4" t="n">
        <v>2015</v>
      </c>
      <c r="E11046" s="13" t="inlineStr">
        <is>
          <t>General</t>
        </is>
      </c>
      <c r="F11046" s="5" t="n"/>
      <c r="G11046" s="5" t="n"/>
      <c r="H11046" s="5" t="n">
        <v>243</v>
      </c>
      <c r="I11046" s="5" t="n">
        <v>175</v>
      </c>
      <c r="J11046" s="5" t="n">
        <v>65</v>
      </c>
      <c r="K11046" s="10">
        <f>IF(F11046&gt;0,H11046/F11046,"")</f>
        <v/>
      </c>
      <c r="L11046" s="16">
        <f>IF(AND(G11046&gt;0,H11046&gt;0),G11046/H11046,"")</f>
        <v/>
      </c>
    </row>
    <row r="11047">
      <c r="A11047" s="4" t="inlineStr">
        <is>
          <t>502</t>
        </is>
      </c>
      <c r="B11047" s="4" t="n">
        <v>5</v>
      </c>
      <c r="C11047" s="4" t="inlineStr">
        <is>
          <t>whitetail</t>
        </is>
      </c>
      <c r="D11047" s="4" t="n">
        <v>2016</v>
      </c>
      <c r="E11047" s="13" t="inlineStr">
        <is>
          <t>General</t>
        </is>
      </c>
      <c r="F11047" s="5" t="n"/>
      <c r="G11047" s="5" t="n"/>
      <c r="H11047" s="5" t="n">
        <v>358</v>
      </c>
      <c r="I11047" s="5" t="n">
        <v>230</v>
      </c>
      <c r="J11047" s="5" t="n">
        <v>128</v>
      </c>
      <c r="K11047" s="10">
        <f>IF(F11047&gt;0,H11047/F11047,"")</f>
        <v/>
      </c>
      <c r="L11047" s="16">
        <f>IF(AND(G11047&gt;0,H11047&gt;0),G11047/H11047,"")</f>
        <v/>
      </c>
    </row>
    <row r="11048">
      <c r="A11048" s="4" t="inlineStr">
        <is>
          <t>502</t>
        </is>
      </c>
      <c r="B11048" s="4" t="n">
        <v>5</v>
      </c>
      <c r="C11048" s="4" t="inlineStr">
        <is>
          <t>whitetail</t>
        </is>
      </c>
      <c r="D11048" s="4" t="n">
        <v>2017</v>
      </c>
      <c r="E11048" s="13" t="inlineStr">
        <is>
          <t>General</t>
        </is>
      </c>
      <c r="F11048" s="5" t="n">
        <v>1479</v>
      </c>
      <c r="G11048" s="5" t="n">
        <v>6822</v>
      </c>
      <c r="H11048" s="5" t="n">
        <v>303</v>
      </c>
      <c r="I11048" s="5" t="n">
        <v>181</v>
      </c>
      <c r="J11048" s="5" t="n">
        <v>117</v>
      </c>
      <c r="K11048" s="10">
        <f>IF(F11048&gt;0,H11048/F11048,"")</f>
        <v/>
      </c>
      <c r="L11048" s="16">
        <f>IF(AND(G11048&gt;0,H11048&gt;0),G11048/H11048,"")</f>
        <v/>
      </c>
    </row>
    <row r="11049">
      <c r="A11049" s="4" t="inlineStr">
        <is>
          <t>502</t>
        </is>
      </c>
      <c r="B11049" s="4" t="n">
        <v>5</v>
      </c>
      <c r="C11049" s="4" t="inlineStr">
        <is>
          <t>whitetail</t>
        </is>
      </c>
      <c r="D11049" s="4" t="n">
        <v>2018</v>
      </c>
      <c r="E11049" s="13" t="inlineStr">
        <is>
          <t>General</t>
        </is>
      </c>
      <c r="F11049" s="5" t="n"/>
      <c r="G11049" s="5" t="n"/>
      <c r="H11049" s="5" t="n">
        <v>253</v>
      </c>
      <c r="I11049" s="5" t="n">
        <v>182</v>
      </c>
      <c r="J11049" s="5" t="n">
        <v>68</v>
      </c>
      <c r="K11049" s="10">
        <f>IF(F11049&gt;0,H11049/F11049,"")</f>
        <v/>
      </c>
      <c r="L11049" s="16">
        <f>IF(AND(G11049&gt;0,H11049&gt;0),G11049/H11049,"")</f>
        <v/>
      </c>
    </row>
    <row r="11050">
      <c r="A11050" s="4" t="inlineStr">
        <is>
          <t>502</t>
        </is>
      </c>
      <c r="B11050" s="4" t="n">
        <v>5</v>
      </c>
      <c r="C11050" s="4" t="inlineStr">
        <is>
          <t>whitetail</t>
        </is>
      </c>
      <c r="D11050" s="4" t="n">
        <v>2019</v>
      </c>
      <c r="E11050" s="13" t="inlineStr">
        <is>
          <t>General</t>
        </is>
      </c>
      <c r="F11050" s="5" t="n">
        <v>1470</v>
      </c>
      <c r="G11050" s="5" t="n">
        <v>7443</v>
      </c>
      <c r="H11050" s="5" t="n">
        <v>331</v>
      </c>
      <c r="I11050" s="5" t="n">
        <v>202</v>
      </c>
      <c r="J11050" s="5" t="n">
        <v>129</v>
      </c>
      <c r="K11050" s="10">
        <f>IF(F11050&gt;0,H11050/F11050,"")</f>
        <v/>
      </c>
      <c r="L11050" s="16">
        <f>IF(AND(G11050&gt;0,H11050&gt;0),G11050/H11050,"")</f>
        <v/>
      </c>
    </row>
    <row r="11051">
      <c r="A11051" s="4" t="inlineStr">
        <is>
          <t>502</t>
        </is>
      </c>
      <c r="B11051" s="4" t="n">
        <v>5</v>
      </c>
      <c r="C11051" s="4" t="inlineStr">
        <is>
          <t>whitetail</t>
        </is>
      </c>
      <c r="D11051" s="4" t="n">
        <v>2020</v>
      </c>
      <c r="E11051" s="13" t="inlineStr">
        <is>
          <t>General</t>
        </is>
      </c>
      <c r="F11051" s="5" t="n"/>
      <c r="G11051" s="5" t="n"/>
      <c r="H11051" s="5" t="n">
        <v>274</v>
      </c>
      <c r="I11051" s="5" t="n">
        <v>141</v>
      </c>
      <c r="J11051" s="5" t="n">
        <v>133</v>
      </c>
      <c r="K11051" s="10">
        <f>IF(F11051&gt;0,H11051/F11051,"")</f>
        <v/>
      </c>
      <c r="L11051" s="16">
        <f>IF(AND(G11051&gt;0,H11051&gt;0),G11051/H11051,"")</f>
        <v/>
      </c>
    </row>
    <row r="11052">
      <c r="A11052" s="4" t="inlineStr">
        <is>
          <t>502</t>
        </is>
      </c>
      <c r="B11052" s="4" t="n">
        <v>5</v>
      </c>
      <c r="C11052" s="4" t="inlineStr">
        <is>
          <t>whitetail</t>
        </is>
      </c>
      <c r="D11052" s="4" t="n">
        <v>2021</v>
      </c>
      <c r="E11052" s="13" t="inlineStr">
        <is>
          <t>General</t>
        </is>
      </c>
      <c r="F11052" s="5" t="n">
        <v>1357</v>
      </c>
      <c r="G11052" s="5" t="n">
        <v>6709</v>
      </c>
      <c r="H11052" s="5" t="n">
        <v>277</v>
      </c>
      <c r="I11052" s="5" t="n">
        <v>124</v>
      </c>
      <c r="J11052" s="5" t="n">
        <v>152</v>
      </c>
      <c r="K11052" s="10">
        <f>IF(F11052&gt;0,H11052/F11052,"")</f>
        <v/>
      </c>
      <c r="L11052" s="16">
        <f>IF(AND(G11052&gt;0,H11052&gt;0),G11052/H11052,"")</f>
        <v/>
      </c>
    </row>
    <row r="11053">
      <c r="A11053" s="4" t="inlineStr">
        <is>
          <t>502</t>
        </is>
      </c>
      <c r="B11053" s="4" t="n">
        <v>5</v>
      </c>
      <c r="C11053" s="4" t="inlineStr">
        <is>
          <t>whitetail</t>
        </is>
      </c>
      <c r="D11053" s="4" t="n">
        <v>2022</v>
      </c>
      <c r="E11053" s="13" t="inlineStr">
        <is>
          <t>General</t>
        </is>
      </c>
      <c r="F11053" s="5" t="n"/>
      <c r="G11053" s="5" t="n"/>
      <c r="H11053" s="5" t="n">
        <v>413</v>
      </c>
      <c r="I11053" s="5" t="n">
        <v>167</v>
      </c>
      <c r="J11053" s="5" t="n">
        <v>246</v>
      </c>
      <c r="K11053" s="10">
        <f>IF(F11053&gt;0,H11053/F11053,"")</f>
        <v/>
      </c>
      <c r="L11053" s="16">
        <f>IF(AND(G11053&gt;0,H11053&gt;0),G11053/H11053,"")</f>
        <v/>
      </c>
    </row>
    <row r="11054">
      <c r="A11054" s="4" t="inlineStr">
        <is>
          <t>502</t>
        </is>
      </c>
      <c r="B11054" s="4" t="n">
        <v>5</v>
      </c>
      <c r="C11054" s="4" t="inlineStr">
        <is>
          <t>whitetail</t>
        </is>
      </c>
      <c r="D11054" s="4" t="n">
        <v>2023</v>
      </c>
      <c r="E11054" s="13" t="inlineStr">
        <is>
          <t>General</t>
        </is>
      </c>
      <c r="F11054" s="5" t="n">
        <v>1568</v>
      </c>
      <c r="G11054" s="5" t="n">
        <v>7793</v>
      </c>
      <c r="H11054" s="5" t="n">
        <v>319</v>
      </c>
      <c r="I11054" s="5" t="n">
        <v>164</v>
      </c>
      <c r="J11054" s="5" t="n">
        <v>148</v>
      </c>
      <c r="K11054" s="10">
        <f>IF(F11054&gt;0,H11054/F11054,"")</f>
        <v/>
      </c>
      <c r="L11054" s="16">
        <f>IF(AND(G11054&gt;0,H11054&gt;0),G11054/H11054,"")</f>
        <v/>
      </c>
    </row>
    <row r="11055">
      <c r="A11055" s="4" t="inlineStr">
        <is>
          <t>502</t>
        </is>
      </c>
      <c r="B11055" s="4" t="n">
        <v>5</v>
      </c>
      <c r="C11055" s="4" t="inlineStr">
        <is>
          <t>whitetail</t>
        </is>
      </c>
      <c r="D11055" s="4" t="n">
        <v>2024</v>
      </c>
      <c r="E11055" s="13" t="inlineStr">
        <is>
          <t>General</t>
        </is>
      </c>
      <c r="F11055" s="5" t="n"/>
      <c r="G11055" s="5" t="n"/>
      <c r="H11055" s="5" t="n">
        <v>337</v>
      </c>
      <c r="I11055" s="5" t="n">
        <v>205</v>
      </c>
      <c r="J11055" s="5" t="n">
        <v>131</v>
      </c>
      <c r="K11055" s="10">
        <f>IF(F11055&gt;0,H11055/F11055,"")</f>
        <v/>
      </c>
      <c r="L11055" s="16">
        <f>IF(AND(G11055&gt;0,H11055&gt;0),G11055/H11055,"")</f>
        <v/>
      </c>
    </row>
    <row r="11056">
      <c r="A11056" s="4" t="inlineStr">
        <is>
          <t>502</t>
        </is>
      </c>
      <c r="B11056" s="4" t="n">
        <v>5</v>
      </c>
      <c r="C11056" s="4" t="inlineStr">
        <is>
          <t>whitetail</t>
        </is>
      </c>
      <c r="D11056" s="4" t="n">
        <v>2025</v>
      </c>
      <c r="E11056" s="13" t="inlineStr">
        <is>
          <t>General</t>
        </is>
      </c>
      <c r="F11056" s="5" t="n">
        <v>1625</v>
      </c>
      <c r="G11056" s="5" t="n">
        <v>8330</v>
      </c>
      <c r="H11056" s="5" t="n">
        <v>302</v>
      </c>
      <c r="I11056" s="5" t="n">
        <v>153</v>
      </c>
      <c r="J11056" s="5" t="n">
        <v>145</v>
      </c>
      <c r="K11056" s="10">
        <f>IF(F11056&gt;0,H11056/F11056,"")</f>
        <v/>
      </c>
      <c r="L11056" s="16">
        <f>IF(AND(G11056&gt;0,H11056&gt;0),G11056/H11056,"")</f>
        <v/>
      </c>
    </row>
    <row r="11057">
      <c r="A11057" s="4" t="inlineStr">
        <is>
          <t>510</t>
        </is>
      </c>
      <c r="B11057" s="4" t="n">
        <v>5</v>
      </c>
      <c r="C11057" s="4" t="inlineStr">
        <is>
          <t>whitetail</t>
        </is>
      </c>
      <c r="D11057" s="4" t="n">
        <v>2004</v>
      </c>
      <c r="E11057" s="4" t="inlineStr"/>
      <c r="F11057" s="5" t="n">
        <v>429</v>
      </c>
      <c r="G11057" s="5" t="n">
        <v>2104</v>
      </c>
      <c r="H11057" s="5" t="n">
        <v>45</v>
      </c>
      <c r="I11057" s="5" t="n">
        <v>23</v>
      </c>
      <c r="J11057" s="5" t="n">
        <v>19</v>
      </c>
      <c r="K11057" s="10">
        <f>IF(F11057&gt;0,H11057/F11057,"")</f>
        <v/>
      </c>
      <c r="L11057" s="16">
        <f>IF(AND(G11057&gt;0,H11057&gt;0),G11057/H11057,"")</f>
        <v/>
      </c>
    </row>
    <row r="11058">
      <c r="A11058" s="4" t="inlineStr">
        <is>
          <t>510</t>
        </is>
      </c>
      <c r="B11058" s="4" t="n">
        <v>5</v>
      </c>
      <c r="C11058" s="4" t="inlineStr">
        <is>
          <t>whitetail</t>
        </is>
      </c>
      <c r="D11058" s="4" t="n">
        <v>2005</v>
      </c>
      <c r="E11058" s="4" t="inlineStr"/>
      <c r="F11058" s="5" t="n">
        <v>500</v>
      </c>
      <c r="G11058" s="5" t="n">
        <v>2115</v>
      </c>
      <c r="H11058" s="5" t="n">
        <v>31</v>
      </c>
      <c r="I11058" s="5" t="n">
        <v>11</v>
      </c>
      <c r="J11058" s="5" t="n">
        <v>20</v>
      </c>
      <c r="K11058" s="10">
        <f>IF(F11058&gt;0,H11058/F11058,"")</f>
        <v/>
      </c>
      <c r="L11058" s="16">
        <f>IF(AND(G11058&gt;0,H11058&gt;0),G11058/H11058,"")</f>
        <v/>
      </c>
    </row>
    <row r="11059">
      <c r="A11059" s="4" t="inlineStr">
        <is>
          <t>510</t>
        </is>
      </c>
      <c r="B11059" s="4" t="n">
        <v>5</v>
      </c>
      <c r="C11059" s="4" t="inlineStr">
        <is>
          <t>whitetail</t>
        </is>
      </c>
      <c r="D11059" s="4" t="n">
        <v>2006</v>
      </c>
      <c r="E11059" s="4" t="inlineStr"/>
      <c r="F11059" s="5" t="n">
        <v>351</v>
      </c>
      <c r="G11059" s="5" t="n">
        <v>1402</v>
      </c>
      <c r="H11059" s="5" t="n">
        <v>127</v>
      </c>
      <c r="I11059" s="5" t="n">
        <v>52</v>
      </c>
      <c r="J11059" s="5" t="n">
        <v>75</v>
      </c>
      <c r="K11059" s="10">
        <f>IF(F11059&gt;0,H11059/F11059,"")</f>
        <v/>
      </c>
      <c r="L11059" s="16">
        <f>IF(AND(G11059&gt;0,H11059&gt;0),G11059/H11059,"")</f>
        <v/>
      </c>
    </row>
    <row r="11060">
      <c r="A11060" s="4" t="inlineStr">
        <is>
          <t>510</t>
        </is>
      </c>
      <c r="B11060" s="4" t="n">
        <v>5</v>
      </c>
      <c r="C11060" s="4" t="inlineStr">
        <is>
          <t>whitetail</t>
        </is>
      </c>
      <c r="D11060" s="4" t="n">
        <v>2007</v>
      </c>
      <c r="E11060" s="4" t="inlineStr"/>
      <c r="F11060" s="5" t="n">
        <v>493</v>
      </c>
      <c r="G11060" s="5" t="n">
        <v>2730</v>
      </c>
      <c r="H11060" s="5" t="n">
        <v>107</v>
      </c>
      <c r="I11060" s="5" t="n">
        <v>22</v>
      </c>
      <c r="J11060" s="5" t="n">
        <v>77</v>
      </c>
      <c r="K11060" s="10">
        <f>IF(F11060&gt;0,H11060/F11060,"")</f>
        <v/>
      </c>
      <c r="L11060" s="16">
        <f>IF(AND(G11060&gt;0,H11060&gt;0),G11060/H11060,"")</f>
        <v/>
      </c>
    </row>
    <row r="11061">
      <c r="A11061" s="4" t="inlineStr">
        <is>
          <t>510</t>
        </is>
      </c>
      <c r="B11061" s="4" t="n">
        <v>5</v>
      </c>
      <c r="C11061" s="4" t="inlineStr">
        <is>
          <t>whitetail</t>
        </is>
      </c>
      <c r="D11061" s="4" t="n">
        <v>2008</v>
      </c>
      <c r="E11061" s="4" t="inlineStr"/>
      <c r="F11061" s="5" t="n">
        <v>505</v>
      </c>
      <c r="G11061" s="5" t="n">
        <v>2606</v>
      </c>
      <c r="H11061" s="5" t="n">
        <v>65</v>
      </c>
      <c r="I11061" s="5" t="n">
        <v>24</v>
      </c>
      <c r="J11061" s="5" t="n">
        <v>35</v>
      </c>
      <c r="K11061" s="10">
        <f>IF(F11061&gt;0,H11061/F11061,"")</f>
        <v/>
      </c>
      <c r="L11061" s="16">
        <f>IF(AND(G11061&gt;0,H11061&gt;0),G11061/H11061,"")</f>
        <v/>
      </c>
    </row>
    <row r="11062">
      <c r="A11062" s="4" t="inlineStr">
        <is>
          <t>510</t>
        </is>
      </c>
      <c r="B11062" s="4" t="n">
        <v>5</v>
      </c>
      <c r="C11062" s="4" t="inlineStr">
        <is>
          <t>whitetail</t>
        </is>
      </c>
      <c r="D11062" s="4" t="n">
        <v>2009</v>
      </c>
      <c r="E11062" s="4" t="inlineStr"/>
      <c r="F11062" s="5" t="n">
        <v>402</v>
      </c>
      <c r="G11062" s="5" t="n">
        <v>1947</v>
      </c>
      <c r="H11062" s="5" t="n">
        <v>69</v>
      </c>
      <c r="I11062" s="5" t="n">
        <v>29</v>
      </c>
      <c r="J11062" s="5" t="n">
        <v>41</v>
      </c>
      <c r="K11062" s="10">
        <f>IF(F11062&gt;0,H11062/F11062,"")</f>
        <v/>
      </c>
      <c r="L11062" s="16">
        <f>IF(AND(G11062&gt;0,H11062&gt;0),G11062/H11062,"")</f>
        <v/>
      </c>
    </row>
    <row r="11063">
      <c r="A11063" s="4" t="inlineStr">
        <is>
          <t>510</t>
        </is>
      </c>
      <c r="B11063" s="4" t="n">
        <v>5</v>
      </c>
      <c r="C11063" s="4" t="inlineStr">
        <is>
          <t>whitetail</t>
        </is>
      </c>
      <c r="D11063" s="4" t="n">
        <v>2010</v>
      </c>
      <c r="E11063" s="4" t="inlineStr"/>
      <c r="F11063" s="5" t="n">
        <v>470</v>
      </c>
      <c r="G11063" s="5" t="n">
        <v>2094</v>
      </c>
      <c r="H11063" s="5" t="n">
        <v>81</v>
      </c>
      <c r="I11063" s="5" t="n">
        <v>42</v>
      </c>
      <c r="J11063" s="5" t="n">
        <v>39</v>
      </c>
      <c r="K11063" s="10">
        <f>IF(F11063&gt;0,H11063/F11063,"")</f>
        <v/>
      </c>
      <c r="L11063" s="16">
        <f>IF(AND(G11063&gt;0,H11063&gt;0),G11063/H11063,"")</f>
        <v/>
      </c>
    </row>
    <row r="11064">
      <c r="A11064" s="4" t="inlineStr">
        <is>
          <t>510</t>
        </is>
      </c>
      <c r="B11064" s="4" t="n">
        <v>5</v>
      </c>
      <c r="C11064" s="4" t="inlineStr">
        <is>
          <t>whitetail</t>
        </is>
      </c>
      <c r="D11064" s="4" t="n">
        <v>2011</v>
      </c>
      <c r="E11064" s="4" t="inlineStr"/>
      <c r="F11064" s="5" t="n">
        <v>385</v>
      </c>
      <c r="G11064" s="5" t="n">
        <v>1972</v>
      </c>
      <c r="H11064" s="5" t="n">
        <v>67</v>
      </c>
      <c r="I11064" s="5" t="n">
        <v>22</v>
      </c>
      <c r="J11064" s="5" t="n">
        <v>43</v>
      </c>
      <c r="K11064" s="10">
        <f>IF(F11064&gt;0,H11064/F11064,"")</f>
        <v/>
      </c>
      <c r="L11064" s="16">
        <f>IF(AND(G11064&gt;0,H11064&gt;0),G11064/H11064,"")</f>
        <v/>
      </c>
    </row>
    <row r="11065">
      <c r="A11065" s="4" t="inlineStr">
        <is>
          <t>510</t>
        </is>
      </c>
      <c r="B11065" s="4" t="n">
        <v>5</v>
      </c>
      <c r="C11065" s="4" t="inlineStr">
        <is>
          <t>whitetail</t>
        </is>
      </c>
      <c r="D11065" s="4" t="n">
        <v>2012</v>
      </c>
      <c r="E11065" s="4" t="inlineStr"/>
      <c r="F11065" s="5" t="n"/>
      <c r="G11065" s="5" t="n"/>
      <c r="H11065" s="5" t="n">
        <v>85</v>
      </c>
      <c r="I11065" s="5" t="n">
        <v>40</v>
      </c>
      <c r="J11065" s="5" t="n">
        <v>42</v>
      </c>
      <c r="K11065" s="10">
        <f>IF(F11065&gt;0,H11065/F11065,"")</f>
        <v/>
      </c>
      <c r="L11065" s="16">
        <f>IF(AND(G11065&gt;0,H11065&gt;0),G11065/H11065,"")</f>
        <v/>
      </c>
    </row>
    <row r="11066">
      <c r="A11066" s="4" t="inlineStr">
        <is>
          <t>510</t>
        </is>
      </c>
      <c r="B11066" s="4" t="n">
        <v>5</v>
      </c>
      <c r="C11066" s="4" t="inlineStr">
        <is>
          <t>whitetail</t>
        </is>
      </c>
      <c r="D11066" s="4" t="n">
        <v>2013</v>
      </c>
      <c r="E11066" s="4" t="inlineStr"/>
      <c r="F11066" s="5" t="n">
        <v>381</v>
      </c>
      <c r="G11066" s="5" t="n">
        <v>2041</v>
      </c>
      <c r="H11066" s="5" t="n">
        <v>43</v>
      </c>
      <c r="I11066" s="5" t="n">
        <v>17</v>
      </c>
      <c r="J11066" s="5" t="n">
        <v>23</v>
      </c>
      <c r="K11066" s="10">
        <f>IF(F11066&gt;0,H11066/F11066,"")</f>
        <v/>
      </c>
      <c r="L11066" s="16">
        <f>IF(AND(G11066&gt;0,H11066&gt;0),G11066/H11066,"")</f>
        <v/>
      </c>
    </row>
    <row r="11067">
      <c r="A11067" s="4" t="inlineStr">
        <is>
          <t>510</t>
        </is>
      </c>
      <c r="B11067" s="4" t="n">
        <v>5</v>
      </c>
      <c r="C11067" s="4" t="inlineStr">
        <is>
          <t>whitetail</t>
        </is>
      </c>
      <c r="D11067" s="4" t="n">
        <v>2014</v>
      </c>
      <c r="E11067" s="4" t="inlineStr"/>
      <c r="F11067" s="5" t="n"/>
      <c r="G11067" s="5" t="n"/>
      <c r="H11067" s="5" t="n">
        <v>37</v>
      </c>
      <c r="I11067" s="5" t="n">
        <v>26</v>
      </c>
      <c r="J11067" s="5" t="n">
        <v>11</v>
      </c>
      <c r="K11067" s="10">
        <f>IF(F11067&gt;0,H11067/F11067,"")</f>
        <v/>
      </c>
      <c r="L11067" s="16">
        <f>IF(AND(G11067&gt;0,H11067&gt;0),G11067/H11067,"")</f>
        <v/>
      </c>
    </row>
    <row r="11068">
      <c r="A11068" s="4" t="inlineStr">
        <is>
          <t>510</t>
        </is>
      </c>
      <c r="B11068" s="4" t="n">
        <v>5</v>
      </c>
      <c r="C11068" s="4" t="inlineStr">
        <is>
          <t>whitetail</t>
        </is>
      </c>
      <c r="D11068" s="4" t="n">
        <v>2015</v>
      </c>
      <c r="E11068" s="4" t="inlineStr"/>
      <c r="F11068" s="5" t="n"/>
      <c r="G11068" s="5" t="n"/>
      <c r="H11068" s="5" t="n">
        <v>60</v>
      </c>
      <c r="I11068" s="5" t="n">
        <v>46</v>
      </c>
      <c r="J11068" s="5" t="n">
        <v>14</v>
      </c>
      <c r="K11068" s="10">
        <f>IF(F11068&gt;0,H11068/F11068,"")</f>
        <v/>
      </c>
      <c r="L11068" s="16">
        <f>IF(AND(G11068&gt;0,H11068&gt;0),G11068/H11068,"")</f>
        <v/>
      </c>
    </row>
    <row r="11069">
      <c r="A11069" s="4" t="inlineStr">
        <is>
          <t>510</t>
        </is>
      </c>
      <c r="B11069" s="4" t="n">
        <v>5</v>
      </c>
      <c r="C11069" s="4" t="inlineStr">
        <is>
          <t>whitetail</t>
        </is>
      </c>
      <c r="D11069" s="4" t="n">
        <v>2016</v>
      </c>
      <c r="E11069" s="4" t="inlineStr"/>
      <c r="F11069" s="5" t="n"/>
      <c r="G11069" s="5" t="n"/>
      <c r="H11069" s="5" t="n">
        <v>46</v>
      </c>
      <c r="I11069" s="5" t="n">
        <v>30</v>
      </c>
      <c r="J11069" s="5" t="n">
        <v>16</v>
      </c>
      <c r="K11069" s="10">
        <f>IF(F11069&gt;0,H11069/F11069,"")</f>
        <v/>
      </c>
      <c r="L11069" s="16">
        <f>IF(AND(G11069&gt;0,H11069&gt;0),G11069/H11069,"")</f>
        <v/>
      </c>
    </row>
    <row r="11070">
      <c r="A11070" s="4" t="inlineStr">
        <is>
          <t>510</t>
        </is>
      </c>
      <c r="B11070" s="4" t="n">
        <v>5</v>
      </c>
      <c r="C11070" s="4" t="inlineStr">
        <is>
          <t>whitetail</t>
        </is>
      </c>
      <c r="D11070" s="4" t="n">
        <v>2017</v>
      </c>
      <c r="E11070" s="4" t="inlineStr"/>
      <c r="F11070" s="5" t="n">
        <v>334</v>
      </c>
      <c r="G11070" s="5" t="n">
        <v>1477</v>
      </c>
      <c r="H11070" s="5" t="n">
        <v>65</v>
      </c>
      <c r="I11070" s="5" t="n">
        <v>46</v>
      </c>
      <c r="J11070" s="5" t="n">
        <v>19</v>
      </c>
      <c r="K11070" s="10">
        <f>IF(F11070&gt;0,H11070/F11070,"")</f>
        <v/>
      </c>
      <c r="L11070" s="16">
        <f>IF(AND(G11070&gt;0,H11070&gt;0),G11070/H11070,"")</f>
        <v/>
      </c>
    </row>
    <row r="11071">
      <c r="A11071" s="4" t="inlineStr">
        <is>
          <t>510</t>
        </is>
      </c>
      <c r="B11071" s="4" t="n">
        <v>5</v>
      </c>
      <c r="C11071" s="4" t="inlineStr">
        <is>
          <t>whitetail</t>
        </is>
      </c>
      <c r="D11071" s="4" t="n">
        <v>2018</v>
      </c>
      <c r="E11071" s="4" t="inlineStr"/>
      <c r="F11071" s="5" t="n"/>
      <c r="G11071" s="5" t="n"/>
      <c r="H11071" s="5" t="n">
        <v>27</v>
      </c>
      <c r="I11071" s="5" t="n">
        <v>16</v>
      </c>
      <c r="J11071" s="5" t="n">
        <v>11</v>
      </c>
      <c r="K11071" s="10">
        <f>IF(F11071&gt;0,H11071/F11071,"")</f>
        <v/>
      </c>
      <c r="L11071" s="16">
        <f>IF(AND(G11071&gt;0,H11071&gt;0),G11071/H11071,"")</f>
        <v/>
      </c>
    </row>
    <row r="11072">
      <c r="A11072" s="4" t="inlineStr">
        <is>
          <t>510</t>
        </is>
      </c>
      <c r="B11072" s="4" t="n">
        <v>5</v>
      </c>
      <c r="C11072" s="4" t="inlineStr">
        <is>
          <t>whitetail</t>
        </is>
      </c>
      <c r="D11072" s="4" t="n">
        <v>2019</v>
      </c>
      <c r="E11072" s="4" t="inlineStr"/>
      <c r="F11072" s="5" t="n">
        <v>408</v>
      </c>
      <c r="G11072" s="5" t="n">
        <v>1799</v>
      </c>
      <c r="H11072" s="5" t="n">
        <v>63</v>
      </c>
      <c r="I11072" s="5" t="n">
        <v>40</v>
      </c>
      <c r="J11072" s="5" t="n">
        <v>23</v>
      </c>
      <c r="K11072" s="10">
        <f>IF(F11072&gt;0,H11072/F11072,"")</f>
        <v/>
      </c>
      <c r="L11072" s="16">
        <f>IF(AND(G11072&gt;0,H11072&gt;0),G11072/H11072,"")</f>
        <v/>
      </c>
    </row>
    <row r="11073">
      <c r="A11073" s="4" t="inlineStr">
        <is>
          <t>510</t>
        </is>
      </c>
      <c r="B11073" s="4" t="n">
        <v>5</v>
      </c>
      <c r="C11073" s="4" t="inlineStr">
        <is>
          <t>whitetail</t>
        </is>
      </c>
      <c r="D11073" s="4" t="n">
        <v>2020</v>
      </c>
      <c r="E11073" s="4" t="inlineStr"/>
      <c r="F11073" s="5" t="n"/>
      <c r="G11073" s="5" t="n"/>
      <c r="H11073" s="5" t="n">
        <v>39</v>
      </c>
      <c r="I11073" s="5" t="n">
        <v>23</v>
      </c>
      <c r="J11073" s="5" t="n">
        <v>16</v>
      </c>
      <c r="K11073" s="10">
        <f>IF(F11073&gt;0,H11073/F11073,"")</f>
        <v/>
      </c>
      <c r="L11073" s="16">
        <f>IF(AND(G11073&gt;0,H11073&gt;0),G11073/H11073,"")</f>
        <v/>
      </c>
    </row>
    <row r="11074">
      <c r="A11074" s="4" t="inlineStr">
        <is>
          <t>510</t>
        </is>
      </c>
      <c r="B11074" s="4" t="n">
        <v>5</v>
      </c>
      <c r="C11074" s="4" t="inlineStr">
        <is>
          <t>whitetail</t>
        </is>
      </c>
      <c r="D11074" s="4" t="n">
        <v>2021</v>
      </c>
      <c r="E11074" s="4" t="inlineStr"/>
      <c r="F11074" s="5" t="n">
        <v>383</v>
      </c>
      <c r="G11074" s="5" t="n">
        <v>1917</v>
      </c>
      <c r="H11074" s="5" t="n">
        <v>39</v>
      </c>
      <c r="I11074" s="5" t="n">
        <v>27</v>
      </c>
      <c r="J11074" s="5" t="n">
        <v>11</v>
      </c>
      <c r="K11074" s="10">
        <f>IF(F11074&gt;0,H11074/F11074,"")</f>
        <v/>
      </c>
      <c r="L11074" s="16">
        <f>IF(AND(G11074&gt;0,H11074&gt;0),G11074/H11074,"")</f>
        <v/>
      </c>
    </row>
    <row r="11075">
      <c r="A11075" s="4" t="inlineStr">
        <is>
          <t>511</t>
        </is>
      </c>
      <c r="B11075" s="4" t="n">
        <v>5</v>
      </c>
      <c r="C11075" s="4" t="inlineStr">
        <is>
          <t>whitetail</t>
        </is>
      </c>
      <c r="D11075" s="4" t="n">
        <v>2004</v>
      </c>
      <c r="E11075" s="4" t="inlineStr"/>
      <c r="F11075" s="5" t="n">
        <v>775</v>
      </c>
      <c r="G11075" s="5" t="n">
        <v>3143</v>
      </c>
      <c r="H11075" s="5" t="n">
        <v>210</v>
      </c>
      <c r="I11075" s="5" t="n">
        <v>92</v>
      </c>
      <c r="J11075" s="5" t="n">
        <v>111</v>
      </c>
      <c r="K11075" s="10">
        <f>IF(F11075&gt;0,H11075/F11075,"")</f>
        <v/>
      </c>
      <c r="L11075" s="16">
        <f>IF(AND(G11075&gt;0,H11075&gt;0),G11075/H11075,"")</f>
        <v/>
      </c>
    </row>
    <row r="11076">
      <c r="A11076" s="4" t="inlineStr">
        <is>
          <t>511</t>
        </is>
      </c>
      <c r="B11076" s="4" t="n">
        <v>5</v>
      </c>
      <c r="C11076" s="4" t="inlineStr">
        <is>
          <t>whitetail</t>
        </is>
      </c>
      <c r="D11076" s="4" t="n">
        <v>2005</v>
      </c>
      <c r="E11076" s="4" t="inlineStr"/>
      <c r="F11076" s="5" t="n">
        <v>698</v>
      </c>
      <c r="G11076" s="5" t="n">
        <v>2845</v>
      </c>
      <c r="H11076" s="5" t="n">
        <v>204</v>
      </c>
      <c r="I11076" s="5" t="n">
        <v>114</v>
      </c>
      <c r="J11076" s="5" t="n">
        <v>91</v>
      </c>
      <c r="K11076" s="10">
        <f>IF(F11076&gt;0,H11076/F11076,"")</f>
        <v/>
      </c>
      <c r="L11076" s="16">
        <f>IF(AND(G11076&gt;0,H11076&gt;0),G11076/H11076,"")</f>
        <v/>
      </c>
    </row>
    <row r="11077">
      <c r="A11077" s="4" t="inlineStr">
        <is>
          <t>511</t>
        </is>
      </c>
      <c r="B11077" s="4" t="n">
        <v>5</v>
      </c>
      <c r="C11077" s="4" t="inlineStr">
        <is>
          <t>whitetail</t>
        </is>
      </c>
      <c r="D11077" s="4" t="n">
        <v>2006</v>
      </c>
      <c r="E11077" s="4" t="inlineStr"/>
      <c r="F11077" s="5" t="n">
        <v>681</v>
      </c>
      <c r="G11077" s="5" t="n">
        <v>2810</v>
      </c>
      <c r="H11077" s="5" t="n">
        <v>308</v>
      </c>
      <c r="I11077" s="5" t="n">
        <v>143</v>
      </c>
      <c r="J11077" s="5" t="n">
        <v>157</v>
      </c>
      <c r="K11077" s="10">
        <f>IF(F11077&gt;0,H11077/F11077,"")</f>
        <v/>
      </c>
      <c r="L11077" s="16">
        <f>IF(AND(G11077&gt;0,H11077&gt;0),G11077/H11077,"")</f>
        <v/>
      </c>
    </row>
    <row r="11078">
      <c r="A11078" s="4" t="inlineStr">
        <is>
          <t>511</t>
        </is>
      </c>
      <c r="B11078" s="4" t="n">
        <v>5</v>
      </c>
      <c r="C11078" s="4" t="inlineStr">
        <is>
          <t>whitetail</t>
        </is>
      </c>
      <c r="D11078" s="4" t="n">
        <v>2007</v>
      </c>
      <c r="E11078" s="4" t="inlineStr"/>
      <c r="F11078" s="5" t="n">
        <v>813</v>
      </c>
      <c r="G11078" s="5" t="n">
        <v>3126</v>
      </c>
      <c r="H11078" s="5" t="n">
        <v>339</v>
      </c>
      <c r="I11078" s="5" t="n">
        <v>142</v>
      </c>
      <c r="J11078" s="5" t="n">
        <v>189</v>
      </c>
      <c r="K11078" s="10">
        <f>IF(F11078&gt;0,H11078/F11078,"")</f>
        <v/>
      </c>
      <c r="L11078" s="16">
        <f>IF(AND(G11078&gt;0,H11078&gt;0),G11078/H11078,"")</f>
        <v/>
      </c>
    </row>
    <row r="11079">
      <c r="A11079" s="4" t="inlineStr">
        <is>
          <t>511</t>
        </is>
      </c>
      <c r="B11079" s="4" t="n">
        <v>5</v>
      </c>
      <c r="C11079" s="4" t="inlineStr">
        <is>
          <t>whitetail</t>
        </is>
      </c>
      <c r="D11079" s="4" t="n">
        <v>2008</v>
      </c>
      <c r="E11079" s="4" t="inlineStr"/>
      <c r="F11079" s="5" t="n">
        <v>762</v>
      </c>
      <c r="G11079" s="5" t="n">
        <v>3044</v>
      </c>
      <c r="H11079" s="5" t="n">
        <v>236</v>
      </c>
      <c r="I11079" s="5" t="n">
        <v>89</v>
      </c>
      <c r="J11079" s="5" t="n">
        <v>135</v>
      </c>
      <c r="K11079" s="10">
        <f>IF(F11079&gt;0,H11079/F11079,"")</f>
        <v/>
      </c>
      <c r="L11079" s="16">
        <f>IF(AND(G11079&gt;0,H11079&gt;0),G11079/H11079,"")</f>
        <v/>
      </c>
    </row>
    <row r="11080">
      <c r="A11080" s="4" t="inlineStr">
        <is>
          <t>511</t>
        </is>
      </c>
      <c r="B11080" s="4" t="n">
        <v>5</v>
      </c>
      <c r="C11080" s="4" t="inlineStr">
        <is>
          <t>whitetail</t>
        </is>
      </c>
      <c r="D11080" s="4" t="n">
        <v>2009</v>
      </c>
      <c r="E11080" s="4" t="inlineStr"/>
      <c r="F11080" s="5" t="n">
        <v>854</v>
      </c>
      <c r="G11080" s="5" t="n">
        <v>3712</v>
      </c>
      <c r="H11080" s="5" t="n">
        <v>266</v>
      </c>
      <c r="I11080" s="5" t="n">
        <v>76</v>
      </c>
      <c r="J11080" s="5" t="n">
        <v>185</v>
      </c>
      <c r="K11080" s="10">
        <f>IF(F11080&gt;0,H11080/F11080,"")</f>
        <v/>
      </c>
      <c r="L11080" s="16">
        <f>IF(AND(G11080&gt;0,H11080&gt;0),G11080/H11080,"")</f>
        <v/>
      </c>
    </row>
    <row r="11081">
      <c r="A11081" s="4" t="inlineStr">
        <is>
          <t>511</t>
        </is>
      </c>
      <c r="B11081" s="4" t="n">
        <v>5</v>
      </c>
      <c r="C11081" s="4" t="inlineStr">
        <is>
          <t>whitetail</t>
        </is>
      </c>
      <c r="D11081" s="4" t="n">
        <v>2010</v>
      </c>
      <c r="E11081" s="4" t="inlineStr"/>
      <c r="F11081" s="5" t="n">
        <v>721</v>
      </c>
      <c r="G11081" s="5" t="n">
        <v>3196</v>
      </c>
      <c r="H11081" s="5" t="n">
        <v>266</v>
      </c>
      <c r="I11081" s="5" t="n">
        <v>146</v>
      </c>
      <c r="J11081" s="5" t="n">
        <v>117</v>
      </c>
      <c r="K11081" s="10">
        <f>IF(F11081&gt;0,H11081/F11081,"")</f>
        <v/>
      </c>
      <c r="L11081" s="16">
        <f>IF(AND(G11081&gt;0,H11081&gt;0),G11081/H11081,"")</f>
        <v/>
      </c>
    </row>
    <row r="11082">
      <c r="A11082" s="4" t="inlineStr">
        <is>
          <t>511</t>
        </is>
      </c>
      <c r="B11082" s="4" t="n">
        <v>5</v>
      </c>
      <c r="C11082" s="4" t="inlineStr">
        <is>
          <t>whitetail</t>
        </is>
      </c>
      <c r="D11082" s="4" t="n">
        <v>2011</v>
      </c>
      <c r="E11082" s="4" t="inlineStr"/>
      <c r="F11082" s="5" t="n">
        <v>635</v>
      </c>
      <c r="G11082" s="5" t="n">
        <v>3056</v>
      </c>
      <c r="H11082" s="5" t="n">
        <v>138</v>
      </c>
      <c r="I11082" s="5" t="n">
        <v>64</v>
      </c>
      <c r="J11082" s="5" t="n">
        <v>71</v>
      </c>
      <c r="K11082" s="10">
        <f>IF(F11082&gt;0,H11082/F11082,"")</f>
        <v/>
      </c>
      <c r="L11082" s="16">
        <f>IF(AND(G11082&gt;0,H11082&gt;0),G11082/H11082,"")</f>
        <v/>
      </c>
    </row>
    <row r="11083">
      <c r="A11083" s="4" t="inlineStr">
        <is>
          <t>511</t>
        </is>
      </c>
      <c r="B11083" s="4" t="n">
        <v>5</v>
      </c>
      <c r="C11083" s="4" t="inlineStr">
        <is>
          <t>whitetail</t>
        </is>
      </c>
      <c r="D11083" s="4" t="n">
        <v>2012</v>
      </c>
      <c r="E11083" s="4" t="inlineStr"/>
      <c r="F11083" s="5" t="n"/>
      <c r="G11083" s="5" t="n"/>
      <c r="H11083" s="5" t="n">
        <v>201</v>
      </c>
      <c r="I11083" s="5" t="n">
        <v>92</v>
      </c>
      <c r="J11083" s="5" t="n">
        <v>103</v>
      </c>
      <c r="K11083" s="10">
        <f>IF(F11083&gt;0,H11083/F11083,"")</f>
        <v/>
      </c>
      <c r="L11083" s="16">
        <f>IF(AND(G11083&gt;0,H11083&gt;0),G11083/H11083,"")</f>
        <v/>
      </c>
    </row>
    <row r="11084">
      <c r="A11084" s="4" t="inlineStr">
        <is>
          <t>511</t>
        </is>
      </c>
      <c r="B11084" s="4" t="n">
        <v>5</v>
      </c>
      <c r="C11084" s="4" t="inlineStr">
        <is>
          <t>whitetail</t>
        </is>
      </c>
      <c r="D11084" s="4" t="n">
        <v>2013</v>
      </c>
      <c r="E11084" s="4" t="inlineStr"/>
      <c r="F11084" s="5" t="n">
        <v>578</v>
      </c>
      <c r="G11084" s="5" t="n">
        <v>3084</v>
      </c>
      <c r="H11084" s="5" t="n">
        <v>136</v>
      </c>
      <c r="I11084" s="5" t="n">
        <v>49</v>
      </c>
      <c r="J11084" s="5" t="n">
        <v>86</v>
      </c>
      <c r="K11084" s="10">
        <f>IF(F11084&gt;0,H11084/F11084,"")</f>
        <v/>
      </c>
      <c r="L11084" s="16">
        <f>IF(AND(G11084&gt;0,H11084&gt;0),G11084/H11084,"")</f>
        <v/>
      </c>
    </row>
    <row r="11085">
      <c r="A11085" s="4" t="inlineStr">
        <is>
          <t>511</t>
        </is>
      </c>
      <c r="B11085" s="4" t="n">
        <v>5</v>
      </c>
      <c r="C11085" s="4" t="inlineStr">
        <is>
          <t>whitetail</t>
        </is>
      </c>
      <c r="D11085" s="4" t="n">
        <v>2014</v>
      </c>
      <c r="E11085" s="4" t="inlineStr"/>
      <c r="F11085" s="5" t="n"/>
      <c r="G11085" s="5" t="n"/>
      <c r="H11085" s="5" t="n">
        <v>93</v>
      </c>
      <c r="I11085" s="5" t="n">
        <v>93</v>
      </c>
      <c r="J11085" s="5" t="n">
        <v>0</v>
      </c>
      <c r="K11085" s="10">
        <f>IF(F11085&gt;0,H11085/F11085,"")</f>
        <v/>
      </c>
      <c r="L11085" s="16">
        <f>IF(AND(G11085&gt;0,H11085&gt;0),G11085/H11085,"")</f>
        <v/>
      </c>
    </row>
    <row r="11086">
      <c r="A11086" s="4" t="inlineStr">
        <is>
          <t>511</t>
        </is>
      </c>
      <c r="B11086" s="4" t="n">
        <v>5</v>
      </c>
      <c r="C11086" s="4" t="inlineStr">
        <is>
          <t>whitetail</t>
        </is>
      </c>
      <c r="D11086" s="4" t="n">
        <v>2015</v>
      </c>
      <c r="E11086" s="4" t="inlineStr"/>
      <c r="F11086" s="5" t="n"/>
      <c r="G11086" s="5" t="n"/>
      <c r="H11086" s="5" t="n">
        <v>100</v>
      </c>
      <c r="I11086" s="5" t="n">
        <v>83</v>
      </c>
      <c r="J11086" s="5" t="n">
        <v>14</v>
      </c>
      <c r="K11086" s="10">
        <f>IF(F11086&gt;0,H11086/F11086,"")</f>
        <v/>
      </c>
      <c r="L11086" s="16">
        <f>IF(AND(G11086&gt;0,H11086&gt;0),G11086/H11086,"")</f>
        <v/>
      </c>
    </row>
    <row r="11087">
      <c r="A11087" s="4" t="inlineStr">
        <is>
          <t>511</t>
        </is>
      </c>
      <c r="B11087" s="4" t="n">
        <v>5</v>
      </c>
      <c r="C11087" s="4" t="inlineStr">
        <is>
          <t>whitetail</t>
        </is>
      </c>
      <c r="D11087" s="4" t="n">
        <v>2016</v>
      </c>
      <c r="E11087" s="4" t="inlineStr"/>
      <c r="F11087" s="5" t="n"/>
      <c r="G11087" s="5" t="n"/>
      <c r="H11087" s="5" t="n">
        <v>171</v>
      </c>
      <c r="I11087" s="5" t="n">
        <v>131</v>
      </c>
      <c r="J11087" s="5" t="n">
        <v>38</v>
      </c>
      <c r="K11087" s="10">
        <f>IF(F11087&gt;0,H11087/F11087,"")</f>
        <v/>
      </c>
      <c r="L11087" s="16">
        <f>IF(AND(G11087&gt;0,H11087&gt;0),G11087/H11087,"")</f>
        <v/>
      </c>
    </row>
    <row r="11088">
      <c r="A11088" s="4" t="inlineStr">
        <is>
          <t>511</t>
        </is>
      </c>
      <c r="B11088" s="4" t="n">
        <v>5</v>
      </c>
      <c r="C11088" s="4" t="inlineStr">
        <is>
          <t>whitetail</t>
        </is>
      </c>
      <c r="D11088" s="4" t="n">
        <v>2017</v>
      </c>
      <c r="E11088" s="4" t="inlineStr"/>
      <c r="F11088" s="5" t="n">
        <v>483</v>
      </c>
      <c r="G11088" s="5" t="n">
        <v>1851</v>
      </c>
      <c r="H11088" s="5" t="n">
        <v>179</v>
      </c>
      <c r="I11088" s="5" t="n">
        <v>114</v>
      </c>
      <c r="J11088" s="5" t="n">
        <v>65</v>
      </c>
      <c r="K11088" s="10">
        <f>IF(F11088&gt;0,H11088/F11088,"")</f>
        <v/>
      </c>
      <c r="L11088" s="16">
        <f>IF(AND(G11088&gt;0,H11088&gt;0),G11088/H11088,"")</f>
        <v/>
      </c>
    </row>
    <row r="11089">
      <c r="A11089" s="4" t="inlineStr">
        <is>
          <t>511</t>
        </is>
      </c>
      <c r="B11089" s="4" t="n">
        <v>5</v>
      </c>
      <c r="C11089" s="4" t="inlineStr">
        <is>
          <t>whitetail</t>
        </is>
      </c>
      <c r="D11089" s="4" t="n">
        <v>2018</v>
      </c>
      <c r="E11089" s="4" t="inlineStr"/>
      <c r="F11089" s="5" t="n"/>
      <c r="G11089" s="5" t="n"/>
      <c r="H11089" s="5" t="n">
        <v>144</v>
      </c>
      <c r="I11089" s="5" t="n">
        <v>69</v>
      </c>
      <c r="J11089" s="5" t="n">
        <v>75</v>
      </c>
      <c r="K11089" s="10">
        <f>IF(F11089&gt;0,H11089/F11089,"")</f>
        <v/>
      </c>
      <c r="L11089" s="16">
        <f>IF(AND(G11089&gt;0,H11089&gt;0),G11089/H11089,"")</f>
        <v/>
      </c>
    </row>
    <row r="11090">
      <c r="A11090" s="4" t="inlineStr">
        <is>
          <t>511</t>
        </is>
      </c>
      <c r="B11090" s="4" t="n">
        <v>5</v>
      </c>
      <c r="C11090" s="4" t="inlineStr">
        <is>
          <t>whitetail</t>
        </is>
      </c>
      <c r="D11090" s="4" t="n">
        <v>2019</v>
      </c>
      <c r="E11090" s="4" t="inlineStr"/>
      <c r="F11090" s="5" t="n">
        <v>460</v>
      </c>
      <c r="G11090" s="5" t="n">
        <v>2056</v>
      </c>
      <c r="H11090" s="5" t="n">
        <v>151</v>
      </c>
      <c r="I11090" s="5" t="n">
        <v>91</v>
      </c>
      <c r="J11090" s="5" t="n">
        <v>60</v>
      </c>
      <c r="K11090" s="10">
        <f>IF(F11090&gt;0,H11090/F11090,"")</f>
        <v/>
      </c>
      <c r="L11090" s="16">
        <f>IF(AND(G11090&gt;0,H11090&gt;0),G11090/H11090,"")</f>
        <v/>
      </c>
    </row>
    <row r="11091">
      <c r="A11091" s="4" t="inlineStr">
        <is>
          <t>511</t>
        </is>
      </c>
      <c r="B11091" s="4" t="n">
        <v>5</v>
      </c>
      <c r="C11091" s="4" t="inlineStr">
        <is>
          <t>whitetail</t>
        </is>
      </c>
      <c r="D11091" s="4" t="n">
        <v>2020</v>
      </c>
      <c r="E11091" s="4" t="inlineStr"/>
      <c r="F11091" s="5" t="n"/>
      <c r="G11091" s="5" t="n"/>
      <c r="H11091" s="5" t="n">
        <v>161</v>
      </c>
      <c r="I11091" s="5" t="n">
        <v>95</v>
      </c>
      <c r="J11091" s="5" t="n">
        <v>66</v>
      </c>
      <c r="K11091" s="10">
        <f>IF(F11091&gt;0,H11091/F11091,"")</f>
        <v/>
      </c>
      <c r="L11091" s="16">
        <f>IF(AND(G11091&gt;0,H11091&gt;0),G11091/H11091,"")</f>
        <v/>
      </c>
    </row>
    <row r="11092">
      <c r="A11092" s="4" t="inlineStr">
        <is>
          <t>511</t>
        </is>
      </c>
      <c r="B11092" s="4" t="n">
        <v>5</v>
      </c>
      <c r="C11092" s="4" t="inlineStr">
        <is>
          <t>whitetail</t>
        </is>
      </c>
      <c r="D11092" s="4" t="n">
        <v>2021</v>
      </c>
      <c r="E11092" s="4" t="inlineStr"/>
      <c r="F11092" s="5" t="n">
        <v>602</v>
      </c>
      <c r="G11092" s="5" t="n">
        <v>3070</v>
      </c>
      <c r="H11092" s="5" t="n">
        <v>123</v>
      </c>
      <c r="I11092" s="5" t="n">
        <v>75</v>
      </c>
      <c r="J11092" s="5" t="n">
        <v>48</v>
      </c>
      <c r="K11092" s="10">
        <f>IF(F11092&gt;0,H11092/F11092,"")</f>
        <v/>
      </c>
      <c r="L11092" s="16">
        <f>IF(AND(G11092&gt;0,H11092&gt;0),G11092/H11092,"")</f>
        <v/>
      </c>
    </row>
    <row r="11093">
      <c r="A11093" s="4" t="inlineStr">
        <is>
          <t>515</t>
        </is>
      </c>
      <c r="B11093" s="4" t="n">
        <v>5</v>
      </c>
      <c r="C11093" s="4" t="inlineStr">
        <is>
          <t>whitetail</t>
        </is>
      </c>
      <c r="D11093" s="4" t="n">
        <v>2022</v>
      </c>
      <c r="E11093" s="13" t="inlineStr">
        <is>
          <t>General</t>
        </is>
      </c>
      <c r="F11093" s="5" t="n"/>
      <c r="G11093" s="5" t="n"/>
      <c r="H11093" s="5" t="n">
        <v>356</v>
      </c>
      <c r="I11093" s="5" t="n">
        <v>188</v>
      </c>
      <c r="J11093" s="5" t="n">
        <v>168</v>
      </c>
      <c r="K11093" s="10">
        <f>IF(F11093&gt;0,H11093/F11093,"")</f>
        <v/>
      </c>
      <c r="L11093" s="16">
        <f>IF(AND(G11093&gt;0,H11093&gt;0),G11093/H11093,"")</f>
        <v/>
      </c>
    </row>
    <row r="11094">
      <c r="A11094" s="4" t="inlineStr">
        <is>
          <t>515</t>
        </is>
      </c>
      <c r="B11094" s="4" t="n">
        <v>5</v>
      </c>
      <c r="C11094" s="4" t="inlineStr">
        <is>
          <t>whitetail</t>
        </is>
      </c>
      <c r="D11094" s="4" t="n">
        <v>2023</v>
      </c>
      <c r="E11094" s="13" t="inlineStr">
        <is>
          <t>General</t>
        </is>
      </c>
      <c r="F11094" s="5" t="n">
        <v>2337</v>
      </c>
      <c r="G11094" s="5" t="n">
        <v>13017</v>
      </c>
      <c r="H11094" s="5" t="n">
        <v>433</v>
      </c>
      <c r="I11094" s="5" t="n">
        <v>239</v>
      </c>
      <c r="J11094" s="5" t="n">
        <v>191</v>
      </c>
      <c r="K11094" s="10">
        <f>IF(F11094&gt;0,H11094/F11094,"")</f>
        <v/>
      </c>
      <c r="L11094" s="16">
        <f>IF(AND(G11094&gt;0,H11094&gt;0),G11094/H11094,"")</f>
        <v/>
      </c>
    </row>
    <row r="11095">
      <c r="A11095" s="4" t="inlineStr">
        <is>
          <t>515</t>
        </is>
      </c>
      <c r="B11095" s="4" t="n">
        <v>5</v>
      </c>
      <c r="C11095" s="4" t="inlineStr">
        <is>
          <t>whitetail</t>
        </is>
      </c>
      <c r="D11095" s="4" t="n">
        <v>2024</v>
      </c>
      <c r="E11095" s="13" t="inlineStr">
        <is>
          <t>General</t>
        </is>
      </c>
      <c r="F11095" s="5" t="n"/>
      <c r="G11095" s="5" t="n"/>
      <c r="H11095" s="5" t="n">
        <v>404</v>
      </c>
      <c r="I11095" s="5" t="n">
        <v>265</v>
      </c>
      <c r="J11095" s="5" t="n">
        <v>133</v>
      </c>
      <c r="K11095" s="10">
        <f>IF(F11095&gt;0,H11095/F11095,"")</f>
        <v/>
      </c>
      <c r="L11095" s="16">
        <f>IF(AND(G11095&gt;0,H11095&gt;0),G11095/H11095,"")</f>
        <v/>
      </c>
    </row>
    <row r="11096">
      <c r="A11096" s="4" t="inlineStr">
        <is>
          <t>515</t>
        </is>
      </c>
      <c r="B11096" s="4" t="n">
        <v>5</v>
      </c>
      <c r="C11096" s="4" t="inlineStr">
        <is>
          <t>whitetail</t>
        </is>
      </c>
      <c r="D11096" s="4" t="n">
        <v>2025</v>
      </c>
      <c r="E11096" s="13" t="inlineStr">
        <is>
          <t>General</t>
        </is>
      </c>
      <c r="F11096" s="5" t="n">
        <v>2329</v>
      </c>
      <c r="G11096" s="5" t="n">
        <v>12505</v>
      </c>
      <c r="H11096" s="5" t="n">
        <v>416</v>
      </c>
      <c r="I11096" s="5" t="n">
        <v>243</v>
      </c>
      <c r="J11096" s="5" t="n">
        <v>163</v>
      </c>
      <c r="K11096" s="10">
        <f>IF(F11096&gt;0,H11096/F11096,"")</f>
        <v/>
      </c>
      <c r="L11096" s="16">
        <f>IF(AND(G11096&gt;0,H11096&gt;0),G11096/H11096,"")</f>
        <v/>
      </c>
    </row>
    <row r="11097">
      <c r="A11097" s="4" t="inlineStr">
        <is>
          <t>520</t>
        </is>
      </c>
      <c r="B11097" s="4" t="n">
        <v>5</v>
      </c>
      <c r="C11097" s="4" t="inlineStr">
        <is>
          <t>whitetail</t>
        </is>
      </c>
      <c r="D11097" s="4" t="n">
        <v>2004</v>
      </c>
      <c r="E11097" s="4" t="inlineStr"/>
      <c r="F11097" s="5" t="n">
        <v>2420</v>
      </c>
      <c r="G11097" s="5" t="n">
        <v>10125</v>
      </c>
      <c r="H11097" s="5" t="n">
        <v>801</v>
      </c>
      <c r="I11097" s="5" t="n">
        <v>463</v>
      </c>
      <c r="J11097" s="5" t="n">
        <v>309</v>
      </c>
      <c r="K11097" s="10">
        <f>IF(F11097&gt;0,H11097/F11097,"")</f>
        <v/>
      </c>
      <c r="L11097" s="16">
        <f>IF(AND(G11097&gt;0,H11097&gt;0),G11097/H11097,"")</f>
        <v/>
      </c>
    </row>
    <row r="11098">
      <c r="A11098" s="4" t="inlineStr">
        <is>
          <t>520</t>
        </is>
      </c>
      <c r="B11098" s="4" t="n">
        <v>5</v>
      </c>
      <c r="C11098" s="4" t="inlineStr">
        <is>
          <t>whitetail</t>
        </is>
      </c>
      <c r="D11098" s="4" t="n">
        <v>2005</v>
      </c>
      <c r="E11098" s="4" t="inlineStr"/>
      <c r="F11098" s="5" t="n">
        <v>2014</v>
      </c>
      <c r="G11098" s="5" t="n">
        <v>9171</v>
      </c>
      <c r="H11098" s="5" t="n">
        <v>808</v>
      </c>
      <c r="I11098" s="5" t="n">
        <v>387</v>
      </c>
      <c r="J11098" s="5" t="n">
        <v>411</v>
      </c>
      <c r="K11098" s="10">
        <f>IF(F11098&gt;0,H11098/F11098,"")</f>
        <v/>
      </c>
      <c r="L11098" s="16">
        <f>IF(AND(G11098&gt;0,H11098&gt;0),G11098/H11098,"")</f>
        <v/>
      </c>
    </row>
    <row r="11099">
      <c r="A11099" s="4" t="inlineStr">
        <is>
          <t>520</t>
        </is>
      </c>
      <c r="B11099" s="4" t="n">
        <v>5</v>
      </c>
      <c r="C11099" s="4" t="inlineStr">
        <is>
          <t>whitetail</t>
        </is>
      </c>
      <c r="D11099" s="4" t="n">
        <v>2006</v>
      </c>
      <c r="E11099" s="4" t="inlineStr"/>
      <c r="F11099" s="5" t="n">
        <v>1811</v>
      </c>
      <c r="G11099" s="5" t="n">
        <v>7788</v>
      </c>
      <c r="H11099" s="5" t="n">
        <v>921</v>
      </c>
      <c r="I11099" s="5" t="n">
        <v>360</v>
      </c>
      <c r="J11099" s="5" t="n">
        <v>558</v>
      </c>
      <c r="K11099" s="10">
        <f>IF(F11099&gt;0,H11099/F11099,"")</f>
        <v/>
      </c>
      <c r="L11099" s="16">
        <f>IF(AND(G11099&gt;0,H11099&gt;0),G11099/H11099,"")</f>
        <v/>
      </c>
    </row>
    <row r="11100">
      <c r="A11100" s="4" t="inlineStr">
        <is>
          <t>520</t>
        </is>
      </c>
      <c r="B11100" s="4" t="n">
        <v>5</v>
      </c>
      <c r="C11100" s="4" t="inlineStr">
        <is>
          <t>whitetail</t>
        </is>
      </c>
      <c r="D11100" s="4" t="n">
        <v>2007</v>
      </c>
      <c r="E11100" s="4" t="inlineStr"/>
      <c r="F11100" s="5" t="n">
        <v>1698</v>
      </c>
      <c r="G11100" s="5" t="n">
        <v>7613</v>
      </c>
      <c r="H11100" s="5" t="n">
        <v>696</v>
      </c>
      <c r="I11100" s="5" t="n">
        <v>277</v>
      </c>
      <c r="J11100" s="5" t="n">
        <v>411</v>
      </c>
      <c r="K11100" s="10">
        <f>IF(F11100&gt;0,H11100/F11100,"")</f>
        <v/>
      </c>
      <c r="L11100" s="16">
        <f>IF(AND(G11100&gt;0,H11100&gt;0),G11100/H11100,"")</f>
        <v/>
      </c>
    </row>
    <row r="11101">
      <c r="A11101" s="4" t="inlineStr">
        <is>
          <t>520</t>
        </is>
      </c>
      <c r="B11101" s="4" t="n">
        <v>5</v>
      </c>
      <c r="C11101" s="4" t="inlineStr">
        <is>
          <t>whitetail</t>
        </is>
      </c>
      <c r="D11101" s="4" t="n">
        <v>2008</v>
      </c>
      <c r="E11101" s="4" t="inlineStr"/>
      <c r="F11101" s="5" t="n">
        <v>1643</v>
      </c>
      <c r="G11101" s="5" t="n">
        <v>7437</v>
      </c>
      <c r="H11101" s="5" t="n">
        <v>732</v>
      </c>
      <c r="I11101" s="5" t="n">
        <v>304</v>
      </c>
      <c r="J11101" s="5" t="n">
        <v>409</v>
      </c>
      <c r="K11101" s="10">
        <f>IF(F11101&gt;0,H11101/F11101,"")</f>
        <v/>
      </c>
      <c r="L11101" s="16">
        <f>IF(AND(G11101&gt;0,H11101&gt;0),G11101/H11101,"")</f>
        <v/>
      </c>
    </row>
    <row r="11102">
      <c r="A11102" s="4" t="inlineStr">
        <is>
          <t>520</t>
        </is>
      </c>
      <c r="B11102" s="4" t="n">
        <v>5</v>
      </c>
      <c r="C11102" s="4" t="inlineStr">
        <is>
          <t>whitetail</t>
        </is>
      </c>
      <c r="D11102" s="4" t="n">
        <v>2009</v>
      </c>
      <c r="E11102" s="4" t="inlineStr"/>
      <c r="F11102" s="5" t="n">
        <v>1794</v>
      </c>
      <c r="G11102" s="5" t="n">
        <v>8738</v>
      </c>
      <c r="H11102" s="5" t="n">
        <v>772</v>
      </c>
      <c r="I11102" s="5" t="n">
        <v>300</v>
      </c>
      <c r="J11102" s="5" t="n">
        <v>446</v>
      </c>
      <c r="K11102" s="10">
        <f>IF(F11102&gt;0,H11102/F11102,"")</f>
        <v/>
      </c>
      <c r="L11102" s="16">
        <f>IF(AND(G11102&gt;0,H11102&gt;0),G11102/H11102,"")</f>
        <v/>
      </c>
    </row>
    <row r="11103">
      <c r="A11103" s="4" t="inlineStr">
        <is>
          <t>520</t>
        </is>
      </c>
      <c r="B11103" s="4" t="n">
        <v>5</v>
      </c>
      <c r="C11103" s="4" t="inlineStr">
        <is>
          <t>whitetail</t>
        </is>
      </c>
      <c r="D11103" s="4" t="n">
        <v>2010</v>
      </c>
      <c r="E11103" s="4" t="inlineStr"/>
      <c r="F11103" s="5" t="n">
        <v>1804</v>
      </c>
      <c r="G11103" s="5" t="n">
        <v>9238</v>
      </c>
      <c r="H11103" s="5" t="n">
        <v>746</v>
      </c>
      <c r="I11103" s="5" t="n">
        <v>315</v>
      </c>
      <c r="J11103" s="5" t="n">
        <v>418</v>
      </c>
      <c r="K11103" s="10">
        <f>IF(F11103&gt;0,H11103/F11103,"")</f>
        <v/>
      </c>
      <c r="L11103" s="16">
        <f>IF(AND(G11103&gt;0,H11103&gt;0),G11103/H11103,"")</f>
        <v/>
      </c>
    </row>
    <row r="11104">
      <c r="A11104" s="4" t="inlineStr">
        <is>
          <t>520</t>
        </is>
      </c>
      <c r="B11104" s="4" t="n">
        <v>5</v>
      </c>
      <c r="C11104" s="4" t="inlineStr">
        <is>
          <t>whitetail</t>
        </is>
      </c>
      <c r="D11104" s="4" t="n">
        <v>2011</v>
      </c>
      <c r="E11104" s="4" t="inlineStr"/>
      <c r="F11104" s="5" t="n">
        <v>2082</v>
      </c>
      <c r="G11104" s="5" t="n">
        <v>10893</v>
      </c>
      <c r="H11104" s="5" t="n">
        <v>904</v>
      </c>
      <c r="I11104" s="5" t="n">
        <v>393</v>
      </c>
      <c r="J11104" s="5" t="n">
        <v>497</v>
      </c>
      <c r="K11104" s="10">
        <f>IF(F11104&gt;0,H11104/F11104,"")</f>
        <v/>
      </c>
      <c r="L11104" s="16">
        <f>IF(AND(G11104&gt;0,H11104&gt;0),G11104/H11104,"")</f>
        <v/>
      </c>
    </row>
    <row r="11105">
      <c r="A11105" s="4" t="inlineStr">
        <is>
          <t>520</t>
        </is>
      </c>
      <c r="B11105" s="4" t="n">
        <v>5</v>
      </c>
      <c r="C11105" s="4" t="inlineStr">
        <is>
          <t>whitetail</t>
        </is>
      </c>
      <c r="D11105" s="4" t="n">
        <v>2012</v>
      </c>
      <c r="E11105" s="4" t="inlineStr"/>
      <c r="F11105" s="5" t="n"/>
      <c r="G11105" s="5" t="n"/>
      <c r="H11105" s="5" t="n">
        <v>937</v>
      </c>
      <c r="I11105" s="5" t="n">
        <v>406</v>
      </c>
      <c r="J11105" s="5" t="n">
        <v>524</v>
      </c>
      <c r="K11105" s="10">
        <f>IF(F11105&gt;0,H11105/F11105,"")</f>
        <v/>
      </c>
      <c r="L11105" s="16">
        <f>IF(AND(G11105&gt;0,H11105&gt;0),G11105/H11105,"")</f>
        <v/>
      </c>
    </row>
    <row r="11106">
      <c r="A11106" s="4" t="inlineStr">
        <is>
          <t>520</t>
        </is>
      </c>
      <c r="B11106" s="4" t="n">
        <v>5</v>
      </c>
      <c r="C11106" s="4" t="inlineStr">
        <is>
          <t>whitetail</t>
        </is>
      </c>
      <c r="D11106" s="4" t="n">
        <v>2013</v>
      </c>
      <c r="E11106" s="4" t="inlineStr"/>
      <c r="F11106" s="5" t="n">
        <v>2143</v>
      </c>
      <c r="G11106" s="5" t="n">
        <v>11133</v>
      </c>
      <c r="H11106" s="5" t="n">
        <v>778</v>
      </c>
      <c r="I11106" s="5" t="n">
        <v>336</v>
      </c>
      <c r="J11106" s="5" t="n">
        <v>426</v>
      </c>
      <c r="K11106" s="10">
        <f>IF(F11106&gt;0,H11106/F11106,"")</f>
        <v/>
      </c>
      <c r="L11106" s="16">
        <f>IF(AND(G11106&gt;0,H11106&gt;0),G11106/H11106,"")</f>
        <v/>
      </c>
    </row>
    <row r="11107">
      <c r="A11107" s="4" t="inlineStr">
        <is>
          <t>520</t>
        </is>
      </c>
      <c r="B11107" s="4" t="n">
        <v>5</v>
      </c>
      <c r="C11107" s="4" t="inlineStr">
        <is>
          <t>whitetail</t>
        </is>
      </c>
      <c r="D11107" s="4" t="n">
        <v>2014</v>
      </c>
      <c r="E11107" s="4" t="inlineStr"/>
      <c r="F11107" s="5" t="n"/>
      <c r="G11107" s="5" t="n"/>
      <c r="H11107" s="5" t="n">
        <v>576</v>
      </c>
      <c r="I11107" s="5" t="n">
        <v>345</v>
      </c>
      <c r="J11107" s="5" t="n">
        <v>205</v>
      </c>
      <c r="K11107" s="10">
        <f>IF(F11107&gt;0,H11107/F11107,"")</f>
        <v/>
      </c>
      <c r="L11107" s="16">
        <f>IF(AND(G11107&gt;0,H11107&gt;0),G11107/H11107,"")</f>
        <v/>
      </c>
    </row>
    <row r="11108">
      <c r="A11108" s="4" t="inlineStr">
        <is>
          <t>520</t>
        </is>
      </c>
      <c r="B11108" s="4" t="n">
        <v>5</v>
      </c>
      <c r="C11108" s="4" t="inlineStr">
        <is>
          <t>whitetail</t>
        </is>
      </c>
      <c r="D11108" s="4" t="n">
        <v>2015</v>
      </c>
      <c r="E11108" s="4" t="inlineStr"/>
      <c r="F11108" s="5" t="n"/>
      <c r="G11108" s="5" t="n"/>
      <c r="H11108" s="5" t="n">
        <v>657</v>
      </c>
      <c r="I11108" s="5" t="n">
        <v>413</v>
      </c>
      <c r="J11108" s="5" t="n">
        <v>236</v>
      </c>
      <c r="K11108" s="10">
        <f>IF(F11108&gt;0,H11108/F11108,"")</f>
        <v/>
      </c>
      <c r="L11108" s="16">
        <f>IF(AND(G11108&gt;0,H11108&gt;0),G11108/H11108,"")</f>
        <v/>
      </c>
    </row>
    <row r="11109">
      <c r="A11109" s="4" t="inlineStr">
        <is>
          <t>520</t>
        </is>
      </c>
      <c r="B11109" s="4" t="n">
        <v>5</v>
      </c>
      <c r="C11109" s="4" t="inlineStr">
        <is>
          <t>whitetail</t>
        </is>
      </c>
      <c r="D11109" s="4" t="n">
        <v>2016</v>
      </c>
      <c r="E11109" s="4" t="inlineStr"/>
      <c r="F11109" s="5" t="n"/>
      <c r="G11109" s="5" t="n"/>
      <c r="H11109" s="5" t="n">
        <v>739</v>
      </c>
      <c r="I11109" s="5" t="n">
        <v>395</v>
      </c>
      <c r="J11109" s="5" t="n">
        <v>338</v>
      </c>
      <c r="K11109" s="10">
        <f>IF(F11109&gt;0,H11109/F11109,"")</f>
        <v/>
      </c>
      <c r="L11109" s="16">
        <f>IF(AND(G11109&gt;0,H11109&gt;0),G11109/H11109,"")</f>
        <v/>
      </c>
    </row>
    <row r="11110">
      <c r="A11110" s="4" t="inlineStr">
        <is>
          <t>520</t>
        </is>
      </c>
      <c r="B11110" s="4" t="n">
        <v>5</v>
      </c>
      <c r="C11110" s="4" t="inlineStr">
        <is>
          <t>whitetail</t>
        </is>
      </c>
      <c r="D11110" s="4" t="n">
        <v>2017</v>
      </c>
      <c r="E11110" s="4" t="inlineStr"/>
      <c r="F11110" s="5" t="n">
        <v>1685</v>
      </c>
      <c r="G11110" s="5" t="n">
        <v>8888</v>
      </c>
      <c r="H11110" s="5" t="n">
        <v>766</v>
      </c>
      <c r="I11110" s="5" t="n">
        <v>345</v>
      </c>
      <c r="J11110" s="5" t="n">
        <v>413</v>
      </c>
      <c r="K11110" s="10">
        <f>IF(F11110&gt;0,H11110/F11110,"")</f>
        <v/>
      </c>
      <c r="L11110" s="16">
        <f>IF(AND(G11110&gt;0,H11110&gt;0),G11110/H11110,"")</f>
        <v/>
      </c>
    </row>
    <row r="11111">
      <c r="A11111" s="4" t="inlineStr">
        <is>
          <t>520</t>
        </is>
      </c>
      <c r="B11111" s="4" t="n">
        <v>5</v>
      </c>
      <c r="C11111" s="4" t="inlineStr">
        <is>
          <t>whitetail</t>
        </is>
      </c>
      <c r="D11111" s="4" t="n">
        <v>2018</v>
      </c>
      <c r="E11111" s="4" t="inlineStr"/>
      <c r="F11111" s="5" t="n"/>
      <c r="G11111" s="5" t="n"/>
      <c r="H11111" s="5" t="n">
        <v>614</v>
      </c>
      <c r="I11111" s="5" t="n">
        <v>284</v>
      </c>
      <c r="J11111" s="5" t="n">
        <v>327</v>
      </c>
      <c r="K11111" s="10">
        <f>IF(F11111&gt;0,H11111/F11111,"")</f>
        <v/>
      </c>
      <c r="L11111" s="16">
        <f>IF(AND(G11111&gt;0,H11111&gt;0),G11111/H11111,"")</f>
        <v/>
      </c>
    </row>
    <row r="11112">
      <c r="A11112" s="4" t="inlineStr">
        <is>
          <t>520</t>
        </is>
      </c>
      <c r="B11112" s="4" t="n">
        <v>5</v>
      </c>
      <c r="C11112" s="4" t="inlineStr">
        <is>
          <t>whitetail</t>
        </is>
      </c>
      <c r="D11112" s="4" t="n">
        <v>2019</v>
      </c>
      <c r="E11112" s="4" t="inlineStr"/>
      <c r="F11112" s="5" t="n">
        <v>1469</v>
      </c>
      <c r="G11112" s="5" t="n">
        <v>8270</v>
      </c>
      <c r="H11112" s="5" t="n">
        <v>521</v>
      </c>
      <c r="I11112" s="5" t="n">
        <v>257</v>
      </c>
      <c r="J11112" s="5" t="n">
        <v>255</v>
      </c>
      <c r="K11112" s="10">
        <f>IF(F11112&gt;0,H11112/F11112,"")</f>
        <v/>
      </c>
      <c r="L11112" s="16">
        <f>IF(AND(G11112&gt;0,H11112&gt;0),G11112/H11112,"")</f>
        <v/>
      </c>
    </row>
    <row r="11113">
      <c r="A11113" s="4" t="inlineStr">
        <is>
          <t>520</t>
        </is>
      </c>
      <c r="B11113" s="4" t="n">
        <v>5</v>
      </c>
      <c r="C11113" s="4" t="inlineStr">
        <is>
          <t>whitetail</t>
        </is>
      </c>
      <c r="D11113" s="4" t="n">
        <v>2020</v>
      </c>
      <c r="E11113" s="4" t="inlineStr"/>
      <c r="F11113" s="5" t="n"/>
      <c r="G11113" s="5" t="n"/>
      <c r="H11113" s="5" t="n">
        <v>486</v>
      </c>
      <c r="I11113" s="5" t="n">
        <v>248</v>
      </c>
      <c r="J11113" s="5" t="n">
        <v>235</v>
      </c>
      <c r="K11113" s="10">
        <f>IF(F11113&gt;0,H11113/F11113,"")</f>
        <v/>
      </c>
      <c r="L11113" s="16">
        <f>IF(AND(G11113&gt;0,H11113&gt;0),G11113/H11113,"")</f>
        <v/>
      </c>
    </row>
    <row r="11114">
      <c r="A11114" s="4" t="inlineStr">
        <is>
          <t>520</t>
        </is>
      </c>
      <c r="B11114" s="4" t="n">
        <v>5</v>
      </c>
      <c r="C11114" s="4" t="inlineStr">
        <is>
          <t>whitetail</t>
        </is>
      </c>
      <c r="D11114" s="4" t="n">
        <v>2021</v>
      </c>
      <c r="E11114" s="4" t="inlineStr"/>
      <c r="F11114" s="5" t="n">
        <v>1362</v>
      </c>
      <c r="G11114" s="5" t="n">
        <v>7893</v>
      </c>
      <c r="H11114" s="5" t="n">
        <v>529</v>
      </c>
      <c r="I11114" s="5" t="n">
        <v>304</v>
      </c>
      <c r="J11114" s="5" t="n">
        <v>219</v>
      </c>
      <c r="K11114" s="10">
        <f>IF(F11114&gt;0,H11114/F11114,"")</f>
        <v/>
      </c>
      <c r="L11114" s="16">
        <f>IF(AND(G11114&gt;0,H11114&gt;0),G11114/H11114,"")</f>
        <v/>
      </c>
    </row>
    <row r="11115">
      <c r="A11115" s="4" t="inlineStr">
        <is>
          <t>525</t>
        </is>
      </c>
      <c r="B11115" s="4" t="n">
        <v>5</v>
      </c>
      <c r="C11115" s="4" t="inlineStr">
        <is>
          <t>whitetail</t>
        </is>
      </c>
      <c r="D11115" s="4" t="n">
        <v>2022</v>
      </c>
      <c r="E11115" s="13" t="inlineStr">
        <is>
          <t>General</t>
        </is>
      </c>
      <c r="F11115" s="5" t="n"/>
      <c r="G11115" s="5" t="n"/>
      <c r="H11115" s="5" t="n">
        <v>823</v>
      </c>
      <c r="I11115" s="5" t="n">
        <v>369</v>
      </c>
      <c r="J11115" s="5" t="n">
        <v>454</v>
      </c>
      <c r="K11115" s="10">
        <f>IF(F11115&gt;0,H11115/F11115,"")</f>
        <v/>
      </c>
      <c r="L11115" s="16">
        <f>IF(AND(G11115&gt;0,H11115&gt;0),G11115/H11115,"")</f>
        <v/>
      </c>
    </row>
    <row r="11116">
      <c r="A11116" s="4" t="inlineStr">
        <is>
          <t>525</t>
        </is>
      </c>
      <c r="B11116" s="4" t="n">
        <v>5</v>
      </c>
      <c r="C11116" s="4" t="inlineStr">
        <is>
          <t>whitetail</t>
        </is>
      </c>
      <c r="D11116" s="4" t="n">
        <v>2023</v>
      </c>
      <c r="E11116" s="13" t="inlineStr">
        <is>
          <t>General</t>
        </is>
      </c>
      <c r="F11116" s="5" t="n">
        <v>2110</v>
      </c>
      <c r="G11116" s="5" t="n">
        <v>12779</v>
      </c>
      <c r="H11116" s="5" t="n">
        <v>643</v>
      </c>
      <c r="I11116" s="5" t="n">
        <v>318</v>
      </c>
      <c r="J11116" s="5" t="n">
        <v>325</v>
      </c>
      <c r="K11116" s="10">
        <f>IF(F11116&gt;0,H11116/F11116,"")</f>
        <v/>
      </c>
      <c r="L11116" s="16">
        <f>IF(AND(G11116&gt;0,H11116&gt;0),G11116/H11116,"")</f>
        <v/>
      </c>
    </row>
    <row r="11117">
      <c r="A11117" s="4" t="inlineStr">
        <is>
          <t>525</t>
        </is>
      </c>
      <c r="B11117" s="4" t="n">
        <v>5</v>
      </c>
      <c r="C11117" s="4" t="inlineStr">
        <is>
          <t>whitetail</t>
        </is>
      </c>
      <c r="D11117" s="4" t="n">
        <v>2024</v>
      </c>
      <c r="E11117" s="13" t="inlineStr">
        <is>
          <t>General</t>
        </is>
      </c>
      <c r="F11117" s="5" t="n"/>
      <c r="G11117" s="5" t="n"/>
      <c r="H11117" s="5" t="n">
        <v>801</v>
      </c>
      <c r="I11117" s="5" t="n">
        <v>447</v>
      </c>
      <c r="J11117" s="5" t="n">
        <v>351</v>
      </c>
      <c r="K11117" s="10">
        <f>IF(F11117&gt;0,H11117/F11117,"")</f>
        <v/>
      </c>
      <c r="L11117" s="16">
        <f>IF(AND(G11117&gt;0,H11117&gt;0),G11117/H11117,"")</f>
        <v/>
      </c>
    </row>
    <row r="11118">
      <c r="A11118" s="4" t="inlineStr">
        <is>
          <t>525</t>
        </is>
      </c>
      <c r="B11118" s="4" t="n">
        <v>5</v>
      </c>
      <c r="C11118" s="4" t="inlineStr">
        <is>
          <t>whitetail</t>
        </is>
      </c>
      <c r="D11118" s="4" t="n">
        <v>2025</v>
      </c>
      <c r="E11118" s="13" t="inlineStr">
        <is>
          <t>General</t>
        </is>
      </c>
      <c r="F11118" s="5" t="n">
        <v>2334</v>
      </c>
      <c r="G11118" s="5" t="n">
        <v>13051</v>
      </c>
      <c r="H11118" s="5" t="n">
        <v>714</v>
      </c>
      <c r="I11118" s="5" t="n">
        <v>375</v>
      </c>
      <c r="J11118" s="5" t="n">
        <v>335</v>
      </c>
      <c r="K11118" s="10">
        <f>IF(F11118&gt;0,H11118/F11118,"")</f>
        <v/>
      </c>
      <c r="L11118" s="16">
        <f>IF(AND(G11118&gt;0,H11118&gt;0),G11118/H11118,"")</f>
        <v/>
      </c>
    </row>
    <row r="11119">
      <c r="A11119" s="4" t="inlineStr">
        <is>
          <t>530</t>
        </is>
      </c>
      <c r="B11119" s="4" t="n">
        <v>5</v>
      </c>
      <c r="C11119" s="4" t="inlineStr">
        <is>
          <t>whitetail</t>
        </is>
      </c>
      <c r="D11119" s="4" t="n">
        <v>2004</v>
      </c>
      <c r="E11119" s="4" t="inlineStr"/>
      <c r="F11119" s="5" t="n">
        <v>1279</v>
      </c>
      <c r="G11119" s="5" t="n">
        <v>4869</v>
      </c>
      <c r="H11119" s="5" t="n">
        <v>281</v>
      </c>
      <c r="I11119" s="5" t="n">
        <v>181</v>
      </c>
      <c r="J11119" s="5" t="n">
        <v>96</v>
      </c>
      <c r="K11119" s="10">
        <f>IF(F11119&gt;0,H11119/F11119,"")</f>
        <v/>
      </c>
      <c r="L11119" s="16">
        <f>IF(AND(G11119&gt;0,H11119&gt;0),G11119/H11119,"")</f>
        <v/>
      </c>
    </row>
    <row r="11120">
      <c r="A11120" s="4" t="inlineStr">
        <is>
          <t>530</t>
        </is>
      </c>
      <c r="B11120" s="4" t="n">
        <v>5</v>
      </c>
      <c r="C11120" s="4" t="inlineStr">
        <is>
          <t>whitetail</t>
        </is>
      </c>
      <c r="D11120" s="4" t="n">
        <v>2005</v>
      </c>
      <c r="E11120" s="4" t="inlineStr"/>
      <c r="F11120" s="5" t="n">
        <v>1212</v>
      </c>
      <c r="G11120" s="5" t="n">
        <v>5059</v>
      </c>
      <c r="H11120" s="5" t="n">
        <v>199</v>
      </c>
      <c r="I11120" s="5" t="n">
        <v>138</v>
      </c>
      <c r="J11120" s="5" t="n">
        <v>61</v>
      </c>
      <c r="K11120" s="10">
        <f>IF(F11120&gt;0,H11120/F11120,"")</f>
        <v/>
      </c>
      <c r="L11120" s="16">
        <f>IF(AND(G11120&gt;0,H11120&gt;0),G11120/H11120,"")</f>
        <v/>
      </c>
    </row>
    <row r="11121">
      <c r="A11121" s="4" t="inlineStr">
        <is>
          <t>530</t>
        </is>
      </c>
      <c r="B11121" s="4" t="n">
        <v>5</v>
      </c>
      <c r="C11121" s="4" t="inlineStr">
        <is>
          <t>whitetail</t>
        </is>
      </c>
      <c r="D11121" s="4" t="n">
        <v>2006</v>
      </c>
      <c r="E11121" s="4" t="inlineStr"/>
      <c r="F11121" s="5" t="n">
        <v>1250</v>
      </c>
      <c r="G11121" s="5" t="n">
        <v>5575</v>
      </c>
      <c r="H11121" s="5" t="n">
        <v>347</v>
      </c>
      <c r="I11121" s="5" t="n">
        <v>198</v>
      </c>
      <c r="J11121" s="5" t="n">
        <v>143</v>
      </c>
      <c r="K11121" s="10">
        <f>IF(F11121&gt;0,H11121/F11121,"")</f>
        <v/>
      </c>
      <c r="L11121" s="16">
        <f>IF(AND(G11121&gt;0,H11121&gt;0),G11121/H11121,"")</f>
        <v/>
      </c>
    </row>
    <row r="11122">
      <c r="A11122" s="4" t="inlineStr">
        <is>
          <t>530</t>
        </is>
      </c>
      <c r="B11122" s="4" t="n">
        <v>5</v>
      </c>
      <c r="C11122" s="4" t="inlineStr">
        <is>
          <t>whitetail</t>
        </is>
      </c>
      <c r="D11122" s="4" t="n">
        <v>2007</v>
      </c>
      <c r="E11122" s="4" t="inlineStr"/>
      <c r="F11122" s="5" t="n">
        <v>1651</v>
      </c>
      <c r="G11122" s="5" t="n">
        <v>7456</v>
      </c>
      <c r="H11122" s="5" t="n">
        <v>448</v>
      </c>
      <c r="I11122" s="5" t="n">
        <v>199</v>
      </c>
      <c r="J11122" s="5" t="n">
        <v>246</v>
      </c>
      <c r="K11122" s="10">
        <f>IF(F11122&gt;0,H11122/F11122,"")</f>
        <v/>
      </c>
      <c r="L11122" s="16">
        <f>IF(AND(G11122&gt;0,H11122&gt;0),G11122/H11122,"")</f>
        <v/>
      </c>
    </row>
    <row r="11123">
      <c r="A11123" s="4" t="inlineStr">
        <is>
          <t>530</t>
        </is>
      </c>
      <c r="B11123" s="4" t="n">
        <v>5</v>
      </c>
      <c r="C11123" s="4" t="inlineStr">
        <is>
          <t>whitetail</t>
        </is>
      </c>
      <c r="D11123" s="4" t="n">
        <v>2008</v>
      </c>
      <c r="E11123" s="4" t="inlineStr"/>
      <c r="F11123" s="5" t="n">
        <v>1570</v>
      </c>
      <c r="G11123" s="5" t="n">
        <v>6437</v>
      </c>
      <c r="H11123" s="5" t="n">
        <v>290</v>
      </c>
      <c r="I11123" s="5" t="n">
        <v>170</v>
      </c>
      <c r="J11123" s="5" t="n">
        <v>111</v>
      </c>
      <c r="K11123" s="10">
        <f>IF(F11123&gt;0,H11123/F11123,"")</f>
        <v/>
      </c>
      <c r="L11123" s="16">
        <f>IF(AND(G11123&gt;0,H11123&gt;0),G11123/H11123,"")</f>
        <v/>
      </c>
    </row>
    <row r="11124">
      <c r="A11124" s="4" t="inlineStr">
        <is>
          <t>530</t>
        </is>
      </c>
      <c r="B11124" s="4" t="n">
        <v>5</v>
      </c>
      <c r="C11124" s="4" t="inlineStr">
        <is>
          <t>whitetail</t>
        </is>
      </c>
      <c r="D11124" s="4" t="n">
        <v>2009</v>
      </c>
      <c r="E11124" s="4" t="inlineStr"/>
      <c r="F11124" s="5" t="n">
        <v>1327</v>
      </c>
      <c r="G11124" s="5" t="n">
        <v>5643</v>
      </c>
      <c r="H11124" s="5" t="n">
        <v>274</v>
      </c>
      <c r="I11124" s="5" t="n">
        <v>150</v>
      </c>
      <c r="J11124" s="5" t="n">
        <v>121</v>
      </c>
      <c r="K11124" s="10">
        <f>IF(F11124&gt;0,H11124/F11124,"")</f>
        <v/>
      </c>
      <c r="L11124" s="16">
        <f>IF(AND(G11124&gt;0,H11124&gt;0),G11124/H11124,"")</f>
        <v/>
      </c>
    </row>
    <row r="11125">
      <c r="A11125" s="4" t="inlineStr">
        <is>
          <t>530</t>
        </is>
      </c>
      <c r="B11125" s="4" t="n">
        <v>5</v>
      </c>
      <c r="C11125" s="4" t="inlineStr">
        <is>
          <t>whitetail</t>
        </is>
      </c>
      <c r="D11125" s="4" t="n">
        <v>2010</v>
      </c>
      <c r="E11125" s="4" t="inlineStr"/>
      <c r="F11125" s="5" t="n">
        <v>1295</v>
      </c>
      <c r="G11125" s="5" t="n">
        <v>7400</v>
      </c>
      <c r="H11125" s="5" t="n">
        <v>308</v>
      </c>
      <c r="I11125" s="5" t="n">
        <v>152</v>
      </c>
      <c r="J11125" s="5" t="n">
        <v>153</v>
      </c>
      <c r="K11125" s="10">
        <f>IF(F11125&gt;0,H11125/F11125,"")</f>
        <v/>
      </c>
      <c r="L11125" s="16">
        <f>IF(AND(G11125&gt;0,H11125&gt;0),G11125/H11125,"")</f>
        <v/>
      </c>
    </row>
    <row r="11126">
      <c r="A11126" s="4" t="inlineStr">
        <is>
          <t>530</t>
        </is>
      </c>
      <c r="B11126" s="4" t="n">
        <v>5</v>
      </c>
      <c r="C11126" s="4" t="inlineStr">
        <is>
          <t>whitetail</t>
        </is>
      </c>
      <c r="D11126" s="4" t="n">
        <v>2011</v>
      </c>
      <c r="E11126" s="4" t="inlineStr"/>
      <c r="F11126" s="5" t="n">
        <v>1134</v>
      </c>
      <c r="G11126" s="5" t="n">
        <v>4956</v>
      </c>
      <c r="H11126" s="5" t="n">
        <v>143</v>
      </c>
      <c r="I11126" s="5" t="n">
        <v>66</v>
      </c>
      <c r="J11126" s="5" t="n">
        <v>66</v>
      </c>
      <c r="K11126" s="10">
        <f>IF(F11126&gt;0,H11126/F11126,"")</f>
        <v/>
      </c>
      <c r="L11126" s="16">
        <f>IF(AND(G11126&gt;0,H11126&gt;0),G11126/H11126,"")</f>
        <v/>
      </c>
    </row>
    <row r="11127">
      <c r="A11127" s="4" t="inlineStr">
        <is>
          <t>530</t>
        </is>
      </c>
      <c r="B11127" s="4" t="n">
        <v>5</v>
      </c>
      <c r="C11127" s="4" t="inlineStr">
        <is>
          <t>whitetail</t>
        </is>
      </c>
      <c r="D11127" s="4" t="n">
        <v>2012</v>
      </c>
      <c r="E11127" s="4" t="inlineStr"/>
      <c r="F11127" s="5" t="n"/>
      <c r="G11127" s="5" t="n"/>
      <c r="H11127" s="5" t="n">
        <v>151</v>
      </c>
      <c r="I11127" s="5" t="n">
        <v>80</v>
      </c>
      <c r="J11127" s="5" t="n">
        <v>68</v>
      </c>
      <c r="K11127" s="10">
        <f>IF(F11127&gt;0,H11127/F11127,"")</f>
        <v/>
      </c>
      <c r="L11127" s="16">
        <f>IF(AND(G11127&gt;0,H11127&gt;0),G11127/H11127,"")</f>
        <v/>
      </c>
    </row>
    <row r="11128">
      <c r="A11128" s="4" t="inlineStr">
        <is>
          <t>530</t>
        </is>
      </c>
      <c r="B11128" s="4" t="n">
        <v>5</v>
      </c>
      <c r="C11128" s="4" t="inlineStr">
        <is>
          <t>whitetail</t>
        </is>
      </c>
      <c r="D11128" s="4" t="n">
        <v>2013</v>
      </c>
      <c r="E11128" s="4" t="inlineStr"/>
      <c r="F11128" s="5" t="n">
        <v>1148</v>
      </c>
      <c r="G11128" s="5" t="n">
        <v>6250</v>
      </c>
      <c r="H11128" s="5" t="n">
        <v>177</v>
      </c>
      <c r="I11128" s="5" t="n">
        <v>96</v>
      </c>
      <c r="J11128" s="5" t="n">
        <v>79</v>
      </c>
      <c r="K11128" s="10">
        <f>IF(F11128&gt;0,H11128/F11128,"")</f>
        <v/>
      </c>
      <c r="L11128" s="16">
        <f>IF(AND(G11128&gt;0,H11128&gt;0),G11128/H11128,"")</f>
        <v/>
      </c>
    </row>
    <row r="11129">
      <c r="A11129" s="4" t="inlineStr">
        <is>
          <t>530</t>
        </is>
      </c>
      <c r="B11129" s="4" t="n">
        <v>5</v>
      </c>
      <c r="C11129" s="4" t="inlineStr">
        <is>
          <t>whitetail</t>
        </is>
      </c>
      <c r="D11129" s="4" t="n">
        <v>2014</v>
      </c>
      <c r="E11129" s="4" t="inlineStr"/>
      <c r="F11129" s="5" t="n"/>
      <c r="G11129" s="5" t="n"/>
      <c r="H11129" s="5" t="n">
        <v>121</v>
      </c>
      <c r="I11129" s="5" t="n">
        <v>90</v>
      </c>
      <c r="J11129" s="5" t="n">
        <v>31</v>
      </c>
      <c r="K11129" s="10">
        <f>IF(F11129&gt;0,H11129/F11129,"")</f>
        <v/>
      </c>
      <c r="L11129" s="16">
        <f>IF(AND(G11129&gt;0,H11129&gt;0),G11129/H11129,"")</f>
        <v/>
      </c>
    </row>
    <row r="11130">
      <c r="A11130" s="4" t="inlineStr">
        <is>
          <t>530</t>
        </is>
      </c>
      <c r="B11130" s="4" t="n">
        <v>5</v>
      </c>
      <c r="C11130" s="4" t="inlineStr">
        <is>
          <t>whitetail</t>
        </is>
      </c>
      <c r="D11130" s="4" t="n">
        <v>2015</v>
      </c>
      <c r="E11130" s="4" t="inlineStr"/>
      <c r="F11130" s="5" t="n"/>
      <c r="G11130" s="5" t="n"/>
      <c r="H11130" s="5" t="n">
        <v>170</v>
      </c>
      <c r="I11130" s="5" t="n">
        <v>130</v>
      </c>
      <c r="J11130" s="5" t="n">
        <v>39</v>
      </c>
      <c r="K11130" s="10">
        <f>IF(F11130&gt;0,H11130/F11130,"")</f>
        <v/>
      </c>
      <c r="L11130" s="16">
        <f>IF(AND(G11130&gt;0,H11130&gt;0),G11130/H11130,"")</f>
        <v/>
      </c>
    </row>
    <row r="11131">
      <c r="A11131" s="4" t="inlineStr">
        <is>
          <t>530</t>
        </is>
      </c>
      <c r="B11131" s="4" t="n">
        <v>5</v>
      </c>
      <c r="C11131" s="4" t="inlineStr">
        <is>
          <t>whitetail</t>
        </is>
      </c>
      <c r="D11131" s="4" t="n">
        <v>2016</v>
      </c>
      <c r="E11131" s="4" t="inlineStr"/>
      <c r="F11131" s="5" t="n"/>
      <c r="G11131" s="5" t="n"/>
      <c r="H11131" s="5" t="n">
        <v>189</v>
      </c>
      <c r="I11131" s="5" t="n">
        <v>153</v>
      </c>
      <c r="J11131" s="5" t="n">
        <v>30</v>
      </c>
      <c r="K11131" s="10">
        <f>IF(F11131&gt;0,H11131/F11131,"")</f>
        <v/>
      </c>
      <c r="L11131" s="16">
        <f>IF(AND(G11131&gt;0,H11131&gt;0),G11131/H11131,"")</f>
        <v/>
      </c>
    </row>
    <row r="11132">
      <c r="A11132" s="4" t="inlineStr">
        <is>
          <t>530</t>
        </is>
      </c>
      <c r="B11132" s="4" t="n">
        <v>5</v>
      </c>
      <c r="C11132" s="4" t="inlineStr">
        <is>
          <t>whitetail</t>
        </is>
      </c>
      <c r="D11132" s="4" t="n">
        <v>2017</v>
      </c>
      <c r="E11132" s="4" t="inlineStr"/>
      <c r="F11132" s="5" t="n">
        <v>1068</v>
      </c>
      <c r="G11132" s="5" t="n">
        <v>4465</v>
      </c>
      <c r="H11132" s="5" t="n">
        <v>198</v>
      </c>
      <c r="I11132" s="5" t="n">
        <v>130</v>
      </c>
      <c r="J11132" s="5" t="n">
        <v>67</v>
      </c>
      <c r="K11132" s="10">
        <f>IF(F11132&gt;0,H11132/F11132,"")</f>
        <v/>
      </c>
      <c r="L11132" s="16">
        <f>IF(AND(G11132&gt;0,H11132&gt;0),G11132/H11132,"")</f>
        <v/>
      </c>
    </row>
    <row r="11133">
      <c r="A11133" s="4" t="inlineStr">
        <is>
          <t>530</t>
        </is>
      </c>
      <c r="B11133" s="4" t="n">
        <v>5</v>
      </c>
      <c r="C11133" s="4" t="inlineStr">
        <is>
          <t>whitetail</t>
        </is>
      </c>
      <c r="D11133" s="4" t="n">
        <v>2018</v>
      </c>
      <c r="E11133" s="4" t="inlineStr"/>
      <c r="F11133" s="5" t="n"/>
      <c r="G11133" s="5" t="n"/>
      <c r="H11133" s="5" t="n">
        <v>262</v>
      </c>
      <c r="I11133" s="5" t="n">
        <v>173</v>
      </c>
      <c r="J11133" s="5" t="n">
        <v>90</v>
      </c>
      <c r="K11133" s="10">
        <f>IF(F11133&gt;0,H11133/F11133,"")</f>
        <v/>
      </c>
      <c r="L11133" s="16">
        <f>IF(AND(G11133&gt;0,H11133&gt;0),G11133/H11133,"")</f>
        <v/>
      </c>
    </row>
    <row r="11134">
      <c r="A11134" s="4" t="inlineStr">
        <is>
          <t>530</t>
        </is>
      </c>
      <c r="B11134" s="4" t="n">
        <v>5</v>
      </c>
      <c r="C11134" s="4" t="inlineStr">
        <is>
          <t>whitetail</t>
        </is>
      </c>
      <c r="D11134" s="4" t="n">
        <v>2019</v>
      </c>
      <c r="E11134" s="4" t="inlineStr"/>
      <c r="F11134" s="5" t="n">
        <v>1261</v>
      </c>
      <c r="G11134" s="5" t="n">
        <v>5194</v>
      </c>
      <c r="H11134" s="5" t="n">
        <v>249</v>
      </c>
      <c r="I11134" s="5" t="n">
        <v>173</v>
      </c>
      <c r="J11134" s="5" t="n">
        <v>76</v>
      </c>
      <c r="K11134" s="10">
        <f>IF(F11134&gt;0,H11134/F11134,"")</f>
        <v/>
      </c>
      <c r="L11134" s="16">
        <f>IF(AND(G11134&gt;0,H11134&gt;0),G11134/H11134,"")</f>
        <v/>
      </c>
    </row>
    <row r="11135">
      <c r="A11135" s="4" t="inlineStr">
        <is>
          <t>530</t>
        </is>
      </c>
      <c r="B11135" s="4" t="n">
        <v>5</v>
      </c>
      <c r="C11135" s="4" t="inlineStr">
        <is>
          <t>whitetail</t>
        </is>
      </c>
      <c r="D11135" s="4" t="n">
        <v>2020</v>
      </c>
      <c r="E11135" s="4" t="inlineStr"/>
      <c r="F11135" s="5" t="n"/>
      <c r="G11135" s="5" t="n"/>
      <c r="H11135" s="5" t="n">
        <v>234</v>
      </c>
      <c r="I11135" s="5" t="n">
        <v>149</v>
      </c>
      <c r="J11135" s="5" t="n">
        <v>74</v>
      </c>
      <c r="K11135" s="10">
        <f>IF(F11135&gt;0,H11135/F11135,"")</f>
        <v/>
      </c>
      <c r="L11135" s="16">
        <f>IF(AND(G11135&gt;0,H11135&gt;0),G11135/H11135,"")</f>
        <v/>
      </c>
    </row>
    <row r="11136">
      <c r="A11136" s="4" t="inlineStr">
        <is>
          <t>530</t>
        </is>
      </c>
      <c r="B11136" s="4" t="n">
        <v>5</v>
      </c>
      <c r="C11136" s="4" t="inlineStr">
        <is>
          <t>whitetail</t>
        </is>
      </c>
      <c r="D11136" s="4" t="n">
        <v>2021</v>
      </c>
      <c r="E11136" s="4" t="inlineStr"/>
      <c r="F11136" s="5" t="n">
        <v>1361</v>
      </c>
      <c r="G11136" s="5" t="n">
        <v>6875</v>
      </c>
      <c r="H11136" s="5" t="n">
        <v>307</v>
      </c>
      <c r="I11136" s="5" t="n">
        <v>198</v>
      </c>
      <c r="J11136" s="5" t="n">
        <v>109</v>
      </c>
      <c r="K11136" s="10">
        <f>IF(F11136&gt;0,H11136/F11136,"")</f>
        <v/>
      </c>
      <c r="L11136" s="16">
        <f>IF(AND(G11136&gt;0,H11136&gt;0),G11136/H11136,"")</f>
        <v/>
      </c>
    </row>
    <row r="11137">
      <c r="A11137" s="4" t="inlineStr">
        <is>
          <t>535</t>
        </is>
      </c>
      <c r="B11137" s="4" t="n">
        <v>5</v>
      </c>
      <c r="C11137" s="4" t="inlineStr">
        <is>
          <t>whitetail</t>
        </is>
      </c>
      <c r="D11137" s="4" t="n">
        <v>2022</v>
      </c>
      <c r="E11137" s="13" t="inlineStr">
        <is>
          <t>General</t>
        </is>
      </c>
      <c r="F11137" s="5" t="n"/>
      <c r="G11137" s="5" t="n"/>
      <c r="H11137" s="5" t="n">
        <v>310</v>
      </c>
      <c r="I11137" s="5" t="n">
        <v>161</v>
      </c>
      <c r="J11137" s="5" t="n">
        <v>149</v>
      </c>
      <c r="K11137" s="10">
        <f>IF(F11137&gt;0,H11137/F11137,"")</f>
        <v/>
      </c>
      <c r="L11137" s="16">
        <f>IF(AND(G11137&gt;0,H11137&gt;0),G11137/H11137,"")</f>
        <v/>
      </c>
    </row>
    <row r="11138">
      <c r="A11138" s="4" t="inlineStr">
        <is>
          <t>535</t>
        </is>
      </c>
      <c r="B11138" s="4" t="n">
        <v>5</v>
      </c>
      <c r="C11138" s="4" t="inlineStr">
        <is>
          <t>whitetail</t>
        </is>
      </c>
      <c r="D11138" s="4" t="n">
        <v>2023</v>
      </c>
      <c r="E11138" s="13" t="inlineStr">
        <is>
          <t>General</t>
        </is>
      </c>
      <c r="F11138" s="5" t="n">
        <v>1421</v>
      </c>
      <c r="G11138" s="5" t="n">
        <v>7337</v>
      </c>
      <c r="H11138" s="5" t="n">
        <v>339</v>
      </c>
      <c r="I11138" s="5" t="n">
        <v>210</v>
      </c>
      <c r="J11138" s="5" t="n">
        <v>128</v>
      </c>
      <c r="K11138" s="10">
        <f>IF(F11138&gt;0,H11138/F11138,"")</f>
        <v/>
      </c>
      <c r="L11138" s="16">
        <f>IF(AND(G11138&gt;0,H11138&gt;0),G11138/H11138,"")</f>
        <v/>
      </c>
    </row>
    <row r="11139">
      <c r="A11139" s="4" t="inlineStr">
        <is>
          <t>535</t>
        </is>
      </c>
      <c r="B11139" s="4" t="n">
        <v>5</v>
      </c>
      <c r="C11139" s="4" t="inlineStr">
        <is>
          <t>whitetail</t>
        </is>
      </c>
      <c r="D11139" s="4" t="n">
        <v>2024</v>
      </c>
      <c r="E11139" s="13" t="inlineStr">
        <is>
          <t>General</t>
        </is>
      </c>
      <c r="F11139" s="5" t="n"/>
      <c r="G11139" s="5" t="n"/>
      <c r="H11139" s="5" t="n">
        <v>345</v>
      </c>
      <c r="I11139" s="5" t="n">
        <v>225</v>
      </c>
      <c r="J11139" s="5" t="n">
        <v>115</v>
      </c>
      <c r="K11139" s="10">
        <f>IF(F11139&gt;0,H11139/F11139,"")</f>
        <v/>
      </c>
      <c r="L11139" s="16">
        <f>IF(AND(G11139&gt;0,H11139&gt;0),G11139/H11139,"")</f>
        <v/>
      </c>
    </row>
    <row r="11140">
      <c r="A11140" s="4" t="inlineStr">
        <is>
          <t>535</t>
        </is>
      </c>
      <c r="B11140" s="4" t="n">
        <v>5</v>
      </c>
      <c r="C11140" s="4" t="inlineStr">
        <is>
          <t>whitetail</t>
        </is>
      </c>
      <c r="D11140" s="4" t="n">
        <v>2025</v>
      </c>
      <c r="E11140" s="13" t="inlineStr">
        <is>
          <t>General</t>
        </is>
      </c>
      <c r="F11140" s="5" t="n">
        <v>1219</v>
      </c>
      <c r="G11140" s="5" t="n">
        <v>7321</v>
      </c>
      <c r="H11140" s="5" t="n">
        <v>260</v>
      </c>
      <c r="I11140" s="5" t="n">
        <v>168</v>
      </c>
      <c r="J11140" s="5" t="n">
        <v>92</v>
      </c>
      <c r="K11140" s="10">
        <f>IF(F11140&gt;0,H11140/F11140,"")</f>
        <v/>
      </c>
      <c r="L11140" s="16">
        <f>IF(AND(G11140&gt;0,H11140&gt;0),G11140/H11140,"")</f>
        <v/>
      </c>
    </row>
    <row r="11141">
      <c r="A11141" s="4" t="inlineStr">
        <is>
          <t>540</t>
        </is>
      </c>
      <c r="B11141" s="4" t="n">
        <v>5</v>
      </c>
      <c r="C11141" s="4" t="inlineStr">
        <is>
          <t>whitetail</t>
        </is>
      </c>
      <c r="D11141" s="4" t="n">
        <v>2004</v>
      </c>
      <c r="E11141" s="13" t="inlineStr">
        <is>
          <t>General</t>
        </is>
      </c>
      <c r="F11141" s="5" t="n">
        <v>854</v>
      </c>
      <c r="G11141" s="5" t="n">
        <v>3685</v>
      </c>
      <c r="H11141" s="5" t="n">
        <v>142</v>
      </c>
      <c r="I11141" s="5" t="n">
        <v>71</v>
      </c>
      <c r="J11141" s="5" t="n">
        <v>58</v>
      </c>
      <c r="K11141" s="10">
        <f>IF(F11141&gt;0,H11141/F11141,"")</f>
        <v/>
      </c>
      <c r="L11141" s="16">
        <f>IF(AND(G11141&gt;0,H11141&gt;0),G11141/H11141,"")</f>
        <v/>
      </c>
    </row>
    <row r="11142">
      <c r="A11142" s="4" t="inlineStr">
        <is>
          <t>540</t>
        </is>
      </c>
      <c r="B11142" s="4" t="n">
        <v>5</v>
      </c>
      <c r="C11142" s="4" t="inlineStr">
        <is>
          <t>whitetail</t>
        </is>
      </c>
      <c r="D11142" s="4" t="n">
        <v>2005</v>
      </c>
      <c r="E11142" s="13" t="inlineStr">
        <is>
          <t>General</t>
        </is>
      </c>
      <c r="F11142" s="5" t="n">
        <v>770</v>
      </c>
      <c r="G11142" s="5" t="n">
        <v>3803</v>
      </c>
      <c r="H11142" s="5" t="n">
        <v>178</v>
      </c>
      <c r="I11142" s="5" t="n">
        <v>85</v>
      </c>
      <c r="J11142" s="5" t="n">
        <v>92</v>
      </c>
      <c r="K11142" s="10">
        <f>IF(F11142&gt;0,H11142/F11142,"")</f>
        <v/>
      </c>
      <c r="L11142" s="16">
        <f>IF(AND(G11142&gt;0,H11142&gt;0),G11142/H11142,"")</f>
        <v/>
      </c>
    </row>
    <row r="11143">
      <c r="A11143" s="4" t="inlineStr">
        <is>
          <t>540</t>
        </is>
      </c>
      <c r="B11143" s="4" t="n">
        <v>5</v>
      </c>
      <c r="C11143" s="4" t="inlineStr">
        <is>
          <t>whitetail</t>
        </is>
      </c>
      <c r="D11143" s="4" t="n">
        <v>2006</v>
      </c>
      <c r="E11143" s="13" t="inlineStr">
        <is>
          <t>General</t>
        </is>
      </c>
      <c r="F11143" s="5" t="n">
        <v>723</v>
      </c>
      <c r="G11143" s="5" t="n">
        <v>3540</v>
      </c>
      <c r="H11143" s="5" t="n">
        <v>228</v>
      </c>
      <c r="I11143" s="5" t="n">
        <v>82</v>
      </c>
      <c r="J11143" s="5" t="n">
        <v>137</v>
      </c>
      <c r="K11143" s="10">
        <f>IF(F11143&gt;0,H11143/F11143,"")</f>
        <v/>
      </c>
      <c r="L11143" s="16">
        <f>IF(AND(G11143&gt;0,H11143&gt;0),G11143/H11143,"")</f>
        <v/>
      </c>
    </row>
    <row r="11144">
      <c r="A11144" s="4" t="inlineStr">
        <is>
          <t>540</t>
        </is>
      </c>
      <c r="B11144" s="4" t="n">
        <v>5</v>
      </c>
      <c r="C11144" s="4" t="inlineStr">
        <is>
          <t>whitetail</t>
        </is>
      </c>
      <c r="D11144" s="4" t="n">
        <v>2007</v>
      </c>
      <c r="E11144" s="13" t="inlineStr">
        <is>
          <t>General</t>
        </is>
      </c>
      <c r="F11144" s="5" t="n">
        <v>671</v>
      </c>
      <c r="G11144" s="5" t="n">
        <v>3352</v>
      </c>
      <c r="H11144" s="5" t="n">
        <v>200</v>
      </c>
      <c r="I11144" s="5" t="n">
        <v>66</v>
      </c>
      <c r="J11144" s="5" t="n">
        <v>133</v>
      </c>
      <c r="K11144" s="10">
        <f>IF(F11144&gt;0,H11144/F11144,"")</f>
        <v/>
      </c>
      <c r="L11144" s="16">
        <f>IF(AND(G11144&gt;0,H11144&gt;0),G11144/H11144,"")</f>
        <v/>
      </c>
    </row>
    <row r="11145">
      <c r="A11145" s="4" t="inlineStr">
        <is>
          <t>540</t>
        </is>
      </c>
      <c r="B11145" s="4" t="n">
        <v>5</v>
      </c>
      <c r="C11145" s="4" t="inlineStr">
        <is>
          <t>whitetail</t>
        </is>
      </c>
      <c r="D11145" s="4" t="n">
        <v>2008</v>
      </c>
      <c r="E11145" s="13" t="inlineStr">
        <is>
          <t>General</t>
        </is>
      </c>
      <c r="F11145" s="5" t="n">
        <v>775</v>
      </c>
      <c r="G11145" s="5" t="n">
        <v>3684</v>
      </c>
      <c r="H11145" s="5" t="n">
        <v>186</v>
      </c>
      <c r="I11145" s="5" t="n">
        <v>94</v>
      </c>
      <c r="J11145" s="5" t="n">
        <v>82</v>
      </c>
      <c r="K11145" s="10">
        <f>IF(F11145&gt;0,H11145/F11145,"")</f>
        <v/>
      </c>
      <c r="L11145" s="16">
        <f>IF(AND(G11145&gt;0,H11145&gt;0),G11145/H11145,"")</f>
        <v/>
      </c>
    </row>
    <row r="11146">
      <c r="A11146" s="4" t="inlineStr">
        <is>
          <t>540</t>
        </is>
      </c>
      <c r="B11146" s="4" t="n">
        <v>5</v>
      </c>
      <c r="C11146" s="4" t="inlineStr">
        <is>
          <t>whitetail</t>
        </is>
      </c>
      <c r="D11146" s="4" t="n">
        <v>2009</v>
      </c>
      <c r="E11146" s="13" t="inlineStr">
        <is>
          <t>General</t>
        </is>
      </c>
      <c r="F11146" s="5" t="n">
        <v>567</v>
      </c>
      <c r="G11146" s="5" t="n">
        <v>2971</v>
      </c>
      <c r="H11146" s="5" t="n">
        <v>187</v>
      </c>
      <c r="I11146" s="5" t="n">
        <v>68</v>
      </c>
      <c r="J11146" s="5" t="n">
        <v>113</v>
      </c>
      <c r="K11146" s="10">
        <f>IF(F11146&gt;0,H11146/F11146,"")</f>
        <v/>
      </c>
      <c r="L11146" s="16">
        <f>IF(AND(G11146&gt;0,H11146&gt;0),G11146/H11146,"")</f>
        <v/>
      </c>
    </row>
    <row r="11147">
      <c r="A11147" s="4" t="inlineStr">
        <is>
          <t>540</t>
        </is>
      </c>
      <c r="B11147" s="4" t="n">
        <v>5</v>
      </c>
      <c r="C11147" s="4" t="inlineStr">
        <is>
          <t>whitetail</t>
        </is>
      </c>
      <c r="D11147" s="4" t="n">
        <v>2010</v>
      </c>
      <c r="E11147" s="13" t="inlineStr">
        <is>
          <t>General</t>
        </is>
      </c>
      <c r="F11147" s="5" t="n">
        <v>712</v>
      </c>
      <c r="G11147" s="5" t="n">
        <v>4038</v>
      </c>
      <c r="H11147" s="5" t="n">
        <v>142</v>
      </c>
      <c r="I11147" s="5" t="n">
        <v>56</v>
      </c>
      <c r="J11147" s="5" t="n">
        <v>81</v>
      </c>
      <c r="K11147" s="10">
        <f>IF(F11147&gt;0,H11147/F11147,"")</f>
        <v/>
      </c>
      <c r="L11147" s="16">
        <f>IF(AND(G11147&gt;0,H11147&gt;0),G11147/H11147,"")</f>
        <v/>
      </c>
    </row>
    <row r="11148">
      <c r="A11148" s="4" t="inlineStr">
        <is>
          <t>540</t>
        </is>
      </c>
      <c r="B11148" s="4" t="n">
        <v>5</v>
      </c>
      <c r="C11148" s="4" t="inlineStr">
        <is>
          <t>whitetail</t>
        </is>
      </c>
      <c r="D11148" s="4" t="n">
        <v>2011</v>
      </c>
      <c r="E11148" s="13" t="inlineStr">
        <is>
          <t>General</t>
        </is>
      </c>
      <c r="F11148" s="5" t="n">
        <v>856</v>
      </c>
      <c r="G11148" s="5" t="n">
        <v>4509</v>
      </c>
      <c r="H11148" s="5" t="n">
        <v>141</v>
      </c>
      <c r="I11148" s="5" t="n">
        <v>59</v>
      </c>
      <c r="J11148" s="5" t="n">
        <v>82</v>
      </c>
      <c r="K11148" s="10">
        <f>IF(F11148&gt;0,H11148/F11148,"")</f>
        <v/>
      </c>
      <c r="L11148" s="16">
        <f>IF(AND(G11148&gt;0,H11148&gt;0),G11148/H11148,"")</f>
        <v/>
      </c>
    </row>
    <row r="11149">
      <c r="A11149" s="4" t="inlineStr">
        <is>
          <t>540</t>
        </is>
      </c>
      <c r="B11149" s="4" t="n">
        <v>5</v>
      </c>
      <c r="C11149" s="4" t="inlineStr">
        <is>
          <t>whitetail</t>
        </is>
      </c>
      <c r="D11149" s="4" t="n">
        <v>2012</v>
      </c>
      <c r="E11149" s="13" t="inlineStr">
        <is>
          <t>General</t>
        </is>
      </c>
      <c r="F11149" s="5" t="n"/>
      <c r="G11149" s="5" t="n"/>
      <c r="H11149" s="5" t="n">
        <v>176</v>
      </c>
      <c r="I11149" s="5" t="n">
        <v>78</v>
      </c>
      <c r="J11149" s="5" t="n">
        <v>98</v>
      </c>
      <c r="K11149" s="10">
        <f>IF(F11149&gt;0,H11149/F11149,"")</f>
        <v/>
      </c>
      <c r="L11149" s="16">
        <f>IF(AND(G11149&gt;0,H11149&gt;0),G11149/H11149,"")</f>
        <v/>
      </c>
    </row>
    <row r="11150">
      <c r="A11150" s="4" t="inlineStr">
        <is>
          <t>540</t>
        </is>
      </c>
      <c r="B11150" s="4" t="n">
        <v>5</v>
      </c>
      <c r="C11150" s="4" t="inlineStr">
        <is>
          <t>whitetail</t>
        </is>
      </c>
      <c r="D11150" s="4" t="n">
        <v>2013</v>
      </c>
      <c r="E11150" s="13" t="inlineStr">
        <is>
          <t>General</t>
        </is>
      </c>
      <c r="F11150" s="5" t="n">
        <v>713</v>
      </c>
      <c r="G11150" s="5" t="n">
        <v>3550</v>
      </c>
      <c r="H11150" s="5" t="n">
        <v>135</v>
      </c>
      <c r="I11150" s="5" t="n">
        <v>48</v>
      </c>
      <c r="J11150" s="5" t="n">
        <v>75</v>
      </c>
      <c r="K11150" s="10">
        <f>IF(F11150&gt;0,H11150/F11150,"")</f>
        <v/>
      </c>
      <c r="L11150" s="16">
        <f>IF(AND(G11150&gt;0,H11150&gt;0),G11150/H11150,"")</f>
        <v/>
      </c>
    </row>
    <row r="11151">
      <c r="A11151" s="4" t="inlineStr">
        <is>
          <t>540</t>
        </is>
      </c>
      <c r="B11151" s="4" t="n">
        <v>5</v>
      </c>
      <c r="C11151" s="4" t="inlineStr">
        <is>
          <t>whitetail</t>
        </is>
      </c>
      <c r="D11151" s="4" t="n">
        <v>2014</v>
      </c>
      <c r="E11151" s="13" t="inlineStr">
        <is>
          <t>General</t>
        </is>
      </c>
      <c r="F11151" s="5" t="n"/>
      <c r="G11151" s="5" t="n"/>
      <c r="H11151" s="5" t="n">
        <v>80</v>
      </c>
      <c r="I11151" s="5" t="n">
        <v>64</v>
      </c>
      <c r="J11151" s="5" t="n">
        <v>11</v>
      </c>
      <c r="K11151" s="10">
        <f>IF(F11151&gt;0,H11151/F11151,"")</f>
        <v/>
      </c>
      <c r="L11151" s="16">
        <f>IF(AND(G11151&gt;0,H11151&gt;0),G11151/H11151,"")</f>
        <v/>
      </c>
    </row>
    <row r="11152">
      <c r="A11152" s="4" t="inlineStr">
        <is>
          <t>540</t>
        </is>
      </c>
      <c r="B11152" s="4" t="n">
        <v>5</v>
      </c>
      <c r="C11152" s="4" t="inlineStr">
        <is>
          <t>whitetail</t>
        </is>
      </c>
      <c r="D11152" s="4" t="n">
        <v>2015</v>
      </c>
      <c r="E11152" s="13" t="inlineStr">
        <is>
          <t>General</t>
        </is>
      </c>
      <c r="F11152" s="5" t="n"/>
      <c r="G11152" s="5" t="n"/>
      <c r="H11152" s="5" t="n">
        <v>92</v>
      </c>
      <c r="I11152" s="5" t="n">
        <v>61</v>
      </c>
      <c r="J11152" s="5" t="n">
        <v>31</v>
      </c>
      <c r="K11152" s="10">
        <f>IF(F11152&gt;0,H11152/F11152,"")</f>
        <v/>
      </c>
      <c r="L11152" s="16">
        <f>IF(AND(G11152&gt;0,H11152&gt;0),G11152/H11152,"")</f>
        <v/>
      </c>
    </row>
    <row r="11153">
      <c r="A11153" s="4" t="inlineStr">
        <is>
          <t>540</t>
        </is>
      </c>
      <c r="B11153" s="4" t="n">
        <v>5</v>
      </c>
      <c r="C11153" s="4" t="inlineStr">
        <is>
          <t>whitetail</t>
        </is>
      </c>
      <c r="D11153" s="4" t="n">
        <v>2016</v>
      </c>
      <c r="E11153" s="13" t="inlineStr">
        <is>
          <t>General</t>
        </is>
      </c>
      <c r="F11153" s="5" t="n"/>
      <c r="G11153" s="5" t="n"/>
      <c r="H11153" s="5" t="n">
        <v>104</v>
      </c>
      <c r="I11153" s="5" t="n">
        <v>65</v>
      </c>
      <c r="J11153" s="5" t="n">
        <v>40</v>
      </c>
      <c r="K11153" s="10">
        <f>IF(F11153&gt;0,H11153/F11153,"")</f>
        <v/>
      </c>
      <c r="L11153" s="16">
        <f>IF(AND(G11153&gt;0,H11153&gt;0),G11153/H11153,"")</f>
        <v/>
      </c>
    </row>
    <row r="11154">
      <c r="A11154" s="4" t="inlineStr">
        <is>
          <t>540</t>
        </is>
      </c>
      <c r="B11154" s="4" t="n">
        <v>5</v>
      </c>
      <c r="C11154" s="4" t="inlineStr">
        <is>
          <t>whitetail</t>
        </is>
      </c>
      <c r="D11154" s="4" t="n">
        <v>2017</v>
      </c>
      <c r="E11154" s="13" t="inlineStr">
        <is>
          <t>General</t>
        </is>
      </c>
      <c r="F11154" s="5" t="n">
        <v>817</v>
      </c>
      <c r="G11154" s="5" t="n">
        <v>3853</v>
      </c>
      <c r="H11154" s="5" t="n">
        <v>165</v>
      </c>
      <c r="I11154" s="5" t="n">
        <v>103</v>
      </c>
      <c r="J11154" s="5" t="n">
        <v>62</v>
      </c>
      <c r="K11154" s="10">
        <f>IF(F11154&gt;0,H11154/F11154,"")</f>
        <v/>
      </c>
      <c r="L11154" s="16">
        <f>IF(AND(G11154&gt;0,H11154&gt;0),G11154/H11154,"")</f>
        <v/>
      </c>
    </row>
    <row r="11155">
      <c r="A11155" s="4" t="inlineStr">
        <is>
          <t>540</t>
        </is>
      </c>
      <c r="B11155" s="4" t="n">
        <v>5</v>
      </c>
      <c r="C11155" s="4" t="inlineStr">
        <is>
          <t>whitetail</t>
        </is>
      </c>
      <c r="D11155" s="4" t="n">
        <v>2018</v>
      </c>
      <c r="E11155" s="13" t="inlineStr">
        <is>
          <t>General</t>
        </is>
      </c>
      <c r="F11155" s="5" t="n"/>
      <c r="G11155" s="5" t="n"/>
      <c r="H11155" s="5" t="n">
        <v>111</v>
      </c>
      <c r="I11155" s="5" t="n">
        <v>46</v>
      </c>
      <c r="J11155" s="5" t="n">
        <v>61</v>
      </c>
      <c r="K11155" s="10">
        <f>IF(F11155&gt;0,H11155/F11155,"")</f>
        <v/>
      </c>
      <c r="L11155" s="16">
        <f>IF(AND(G11155&gt;0,H11155&gt;0),G11155/H11155,"")</f>
        <v/>
      </c>
    </row>
    <row r="11156">
      <c r="A11156" s="4" t="inlineStr">
        <is>
          <t>540</t>
        </is>
      </c>
      <c r="B11156" s="4" t="n">
        <v>5</v>
      </c>
      <c r="C11156" s="4" t="inlineStr">
        <is>
          <t>whitetail</t>
        </is>
      </c>
      <c r="D11156" s="4" t="n">
        <v>2019</v>
      </c>
      <c r="E11156" s="13" t="inlineStr">
        <is>
          <t>General</t>
        </is>
      </c>
      <c r="F11156" s="5" t="n">
        <v>669</v>
      </c>
      <c r="G11156" s="5" t="n">
        <v>3488</v>
      </c>
      <c r="H11156" s="5" t="n">
        <v>113</v>
      </c>
      <c r="I11156" s="5" t="n">
        <v>69</v>
      </c>
      <c r="J11156" s="5" t="n">
        <v>35</v>
      </c>
      <c r="K11156" s="10">
        <f>IF(F11156&gt;0,H11156/F11156,"")</f>
        <v/>
      </c>
      <c r="L11156" s="16">
        <f>IF(AND(G11156&gt;0,H11156&gt;0),G11156/H11156,"")</f>
        <v/>
      </c>
    </row>
    <row r="11157">
      <c r="A11157" s="4" t="inlineStr">
        <is>
          <t>540</t>
        </is>
      </c>
      <c r="B11157" s="4" t="n">
        <v>5</v>
      </c>
      <c r="C11157" s="4" t="inlineStr">
        <is>
          <t>whitetail</t>
        </is>
      </c>
      <c r="D11157" s="4" t="n">
        <v>2020</v>
      </c>
      <c r="E11157" s="13" t="inlineStr">
        <is>
          <t>General</t>
        </is>
      </c>
      <c r="F11157" s="5" t="n"/>
      <c r="G11157" s="5" t="n"/>
      <c r="H11157" s="5" t="n">
        <v>110</v>
      </c>
      <c r="I11157" s="5" t="n">
        <v>62</v>
      </c>
      <c r="J11157" s="5" t="n">
        <v>48</v>
      </c>
      <c r="K11157" s="10">
        <f>IF(F11157&gt;0,H11157/F11157,"")</f>
        <v/>
      </c>
      <c r="L11157" s="16">
        <f>IF(AND(G11157&gt;0,H11157&gt;0),G11157/H11157,"")</f>
        <v/>
      </c>
    </row>
    <row r="11158">
      <c r="A11158" s="4" t="inlineStr">
        <is>
          <t>540</t>
        </is>
      </c>
      <c r="B11158" s="4" t="n">
        <v>5</v>
      </c>
      <c r="C11158" s="4" t="inlineStr">
        <is>
          <t>whitetail</t>
        </is>
      </c>
      <c r="D11158" s="4" t="n">
        <v>2021</v>
      </c>
      <c r="E11158" s="13" t="inlineStr">
        <is>
          <t>General</t>
        </is>
      </c>
      <c r="F11158" s="5" t="n">
        <v>826</v>
      </c>
      <c r="G11158" s="5" t="n">
        <v>4844</v>
      </c>
      <c r="H11158" s="5" t="n">
        <v>78</v>
      </c>
      <c r="I11158" s="5" t="n">
        <v>39</v>
      </c>
      <c r="J11158" s="5" t="n">
        <v>39</v>
      </c>
      <c r="K11158" s="10">
        <f>IF(F11158&gt;0,H11158/F11158,"")</f>
        <v/>
      </c>
      <c r="L11158" s="16">
        <f>IF(AND(G11158&gt;0,H11158&gt;0),G11158/H11158,"")</f>
        <v/>
      </c>
    </row>
    <row r="11159">
      <c r="A11159" s="4" t="inlineStr">
        <is>
          <t>540</t>
        </is>
      </c>
      <c r="B11159" s="4" t="n">
        <v>5</v>
      </c>
      <c r="C11159" s="4" t="inlineStr">
        <is>
          <t>whitetail</t>
        </is>
      </c>
      <c r="D11159" s="4" t="n">
        <v>2022</v>
      </c>
      <c r="E11159" s="13" t="inlineStr">
        <is>
          <t>General</t>
        </is>
      </c>
      <c r="F11159" s="5" t="n"/>
      <c r="G11159" s="5" t="n"/>
      <c r="H11159" s="5" t="n">
        <v>129</v>
      </c>
      <c r="I11159" s="5" t="n">
        <v>68</v>
      </c>
      <c r="J11159" s="5" t="n">
        <v>61</v>
      </c>
      <c r="K11159" s="10">
        <f>IF(F11159&gt;0,H11159/F11159,"")</f>
        <v/>
      </c>
      <c r="L11159" s="16">
        <f>IF(AND(G11159&gt;0,H11159&gt;0),G11159/H11159,"")</f>
        <v/>
      </c>
    </row>
    <row r="11160">
      <c r="A11160" s="4" t="inlineStr">
        <is>
          <t>540</t>
        </is>
      </c>
      <c r="B11160" s="4" t="n">
        <v>5</v>
      </c>
      <c r="C11160" s="4" t="inlineStr">
        <is>
          <t>whitetail</t>
        </is>
      </c>
      <c r="D11160" s="4" t="n">
        <v>2023</v>
      </c>
      <c r="E11160" s="13" t="inlineStr">
        <is>
          <t>General</t>
        </is>
      </c>
      <c r="F11160" s="5" t="n">
        <v>739</v>
      </c>
      <c r="G11160" s="5" t="n">
        <v>4201</v>
      </c>
      <c r="H11160" s="5" t="n">
        <v>128</v>
      </c>
      <c r="I11160" s="5" t="n">
        <v>75</v>
      </c>
      <c r="J11160" s="5" t="n">
        <v>53</v>
      </c>
      <c r="K11160" s="10">
        <f>IF(F11160&gt;0,H11160/F11160,"")</f>
        <v/>
      </c>
      <c r="L11160" s="16">
        <f>IF(AND(G11160&gt;0,H11160&gt;0),G11160/H11160,"")</f>
        <v/>
      </c>
    </row>
    <row r="11161">
      <c r="A11161" s="4" t="inlineStr">
        <is>
          <t>540</t>
        </is>
      </c>
      <c r="B11161" s="4" t="n">
        <v>5</v>
      </c>
      <c r="C11161" s="4" t="inlineStr">
        <is>
          <t>whitetail</t>
        </is>
      </c>
      <c r="D11161" s="4" t="n">
        <v>2024</v>
      </c>
      <c r="E11161" s="13" t="inlineStr">
        <is>
          <t>General</t>
        </is>
      </c>
      <c r="F11161" s="5" t="n"/>
      <c r="G11161" s="5" t="n"/>
      <c r="H11161" s="5" t="n">
        <v>166</v>
      </c>
      <c r="I11161" s="5" t="n">
        <v>95</v>
      </c>
      <c r="J11161" s="5" t="n">
        <v>71</v>
      </c>
      <c r="K11161" s="10">
        <f>IF(F11161&gt;0,H11161/F11161,"")</f>
        <v/>
      </c>
      <c r="L11161" s="16">
        <f>IF(AND(G11161&gt;0,H11161&gt;0),G11161/H11161,"")</f>
        <v/>
      </c>
    </row>
    <row r="11162">
      <c r="A11162" s="4" t="inlineStr">
        <is>
          <t>540</t>
        </is>
      </c>
      <c r="B11162" s="4" t="n">
        <v>5</v>
      </c>
      <c r="C11162" s="4" t="inlineStr">
        <is>
          <t>whitetail</t>
        </is>
      </c>
      <c r="D11162" s="4" t="n">
        <v>2025</v>
      </c>
      <c r="E11162" s="13" t="inlineStr">
        <is>
          <t>General</t>
        </is>
      </c>
      <c r="F11162" s="5" t="n">
        <v>859</v>
      </c>
      <c r="G11162" s="5" t="n">
        <v>5251</v>
      </c>
      <c r="H11162" s="5" t="n">
        <v>158</v>
      </c>
      <c r="I11162" s="5" t="n">
        <v>74</v>
      </c>
      <c r="J11162" s="5" t="n">
        <v>77</v>
      </c>
      <c r="K11162" s="10">
        <f>IF(F11162&gt;0,H11162/F11162,"")</f>
        <v/>
      </c>
      <c r="L11162" s="16">
        <f>IF(AND(G11162&gt;0,H11162&gt;0),G11162/H11162,"")</f>
        <v/>
      </c>
    </row>
    <row r="11163">
      <c r="A11163" s="4" t="inlineStr">
        <is>
          <t>555</t>
        </is>
      </c>
      <c r="B11163" s="4" t="n">
        <v>5</v>
      </c>
      <c r="C11163" s="4" t="inlineStr">
        <is>
          <t>whitetail</t>
        </is>
      </c>
      <c r="D11163" s="4" t="n">
        <v>2022</v>
      </c>
      <c r="E11163" s="13" t="inlineStr">
        <is>
          <t>General</t>
        </is>
      </c>
      <c r="F11163" s="5" t="n"/>
      <c r="G11163" s="5" t="n"/>
      <c r="H11163" s="5" t="n">
        <v>80</v>
      </c>
      <c r="I11163" s="5" t="n">
        <v>50</v>
      </c>
      <c r="J11163" s="5" t="n">
        <v>30</v>
      </c>
      <c r="K11163" s="10">
        <f>IF(F11163&gt;0,H11163/F11163,"")</f>
        <v/>
      </c>
      <c r="L11163" s="16">
        <f>IF(AND(G11163&gt;0,H11163&gt;0),G11163/H11163,"")</f>
        <v/>
      </c>
    </row>
    <row r="11164">
      <c r="A11164" s="4" t="inlineStr">
        <is>
          <t>555</t>
        </is>
      </c>
      <c r="B11164" s="4" t="n">
        <v>5</v>
      </c>
      <c r="C11164" s="4" t="inlineStr">
        <is>
          <t>whitetail</t>
        </is>
      </c>
      <c r="D11164" s="4" t="n">
        <v>2023</v>
      </c>
      <c r="E11164" s="13" t="inlineStr">
        <is>
          <t>General</t>
        </is>
      </c>
      <c r="F11164" s="5" t="n">
        <v>443</v>
      </c>
      <c r="G11164" s="5" t="n">
        <v>2480</v>
      </c>
      <c r="H11164" s="5" t="n">
        <v>64</v>
      </c>
      <c r="I11164" s="5" t="n">
        <v>38</v>
      </c>
      <c r="J11164" s="5" t="n">
        <v>26</v>
      </c>
      <c r="K11164" s="10">
        <f>IF(F11164&gt;0,H11164/F11164,"")</f>
        <v/>
      </c>
      <c r="L11164" s="16">
        <f>IF(AND(G11164&gt;0,H11164&gt;0),G11164/H11164,"")</f>
        <v/>
      </c>
    </row>
    <row r="11165">
      <c r="A11165" s="4" t="inlineStr">
        <is>
          <t>555</t>
        </is>
      </c>
      <c r="B11165" s="4" t="n">
        <v>5</v>
      </c>
      <c r="C11165" s="4" t="inlineStr">
        <is>
          <t>whitetail</t>
        </is>
      </c>
      <c r="D11165" s="4" t="n">
        <v>2024</v>
      </c>
      <c r="E11165" s="13" t="inlineStr">
        <is>
          <t>General</t>
        </is>
      </c>
      <c r="F11165" s="5" t="n"/>
      <c r="G11165" s="5" t="n"/>
      <c r="H11165" s="5" t="n">
        <v>55</v>
      </c>
      <c r="I11165" s="5" t="n">
        <v>34</v>
      </c>
      <c r="J11165" s="5" t="n">
        <v>21</v>
      </c>
      <c r="K11165" s="10">
        <f>IF(F11165&gt;0,H11165/F11165,"")</f>
        <v/>
      </c>
      <c r="L11165" s="16">
        <f>IF(AND(G11165&gt;0,H11165&gt;0),G11165/H11165,"")</f>
        <v/>
      </c>
    </row>
    <row r="11166">
      <c r="A11166" s="4" t="inlineStr">
        <is>
          <t>555</t>
        </is>
      </c>
      <c r="B11166" s="4" t="n">
        <v>5</v>
      </c>
      <c r="C11166" s="4" t="inlineStr">
        <is>
          <t>whitetail</t>
        </is>
      </c>
      <c r="D11166" s="4" t="n">
        <v>2025</v>
      </c>
      <c r="E11166" s="13" t="inlineStr">
        <is>
          <t>General</t>
        </is>
      </c>
      <c r="F11166" s="5" t="n">
        <v>578</v>
      </c>
      <c r="G11166" s="5" t="n">
        <v>3339</v>
      </c>
      <c r="H11166" s="5" t="n">
        <v>86</v>
      </c>
      <c r="I11166" s="5" t="n">
        <v>50</v>
      </c>
      <c r="J11166" s="5" t="n">
        <v>37</v>
      </c>
      <c r="K11166" s="10">
        <f>IF(F11166&gt;0,H11166/F11166,"")</f>
        <v/>
      </c>
      <c r="L11166" s="16">
        <f>IF(AND(G11166&gt;0,H11166&gt;0),G11166/H11166,"")</f>
        <v/>
      </c>
    </row>
    <row r="11167">
      <c r="A11167" s="4" t="inlineStr">
        <is>
          <t>560</t>
        </is>
      </c>
      <c r="B11167" s="4" t="n">
        <v>5</v>
      </c>
      <c r="C11167" s="4" t="inlineStr">
        <is>
          <t>whitetail</t>
        </is>
      </c>
      <c r="D11167" s="4" t="n">
        <v>2004</v>
      </c>
      <c r="E11167" s="4" t="inlineStr"/>
      <c r="F11167" s="5" t="n">
        <v>1278</v>
      </c>
      <c r="G11167" s="5" t="n">
        <v>5116</v>
      </c>
      <c r="H11167" s="5" t="n">
        <v>376</v>
      </c>
      <c r="I11167" s="5" t="n">
        <v>202</v>
      </c>
      <c r="J11167" s="5" t="n">
        <v>163</v>
      </c>
      <c r="K11167" s="10">
        <f>IF(F11167&gt;0,H11167/F11167,"")</f>
        <v/>
      </c>
      <c r="L11167" s="16">
        <f>IF(AND(G11167&gt;0,H11167&gt;0),G11167/H11167,"")</f>
        <v/>
      </c>
    </row>
    <row r="11168">
      <c r="A11168" s="4" t="inlineStr">
        <is>
          <t>560</t>
        </is>
      </c>
      <c r="B11168" s="4" t="n">
        <v>5</v>
      </c>
      <c r="C11168" s="4" t="inlineStr">
        <is>
          <t>whitetail</t>
        </is>
      </c>
      <c r="D11168" s="4" t="n">
        <v>2005</v>
      </c>
      <c r="E11168" s="4" t="inlineStr"/>
      <c r="F11168" s="5" t="n">
        <v>1143</v>
      </c>
      <c r="G11168" s="5" t="n">
        <v>4674</v>
      </c>
      <c r="H11168" s="5" t="n">
        <v>256</v>
      </c>
      <c r="I11168" s="5" t="n">
        <v>137</v>
      </c>
      <c r="J11168" s="5" t="n">
        <v>113</v>
      </c>
      <c r="K11168" s="10">
        <f>IF(F11168&gt;0,H11168/F11168,"")</f>
        <v/>
      </c>
      <c r="L11168" s="16">
        <f>IF(AND(G11168&gt;0,H11168&gt;0),G11168/H11168,"")</f>
        <v/>
      </c>
    </row>
    <row r="11169">
      <c r="A11169" s="4" t="inlineStr">
        <is>
          <t>560</t>
        </is>
      </c>
      <c r="B11169" s="4" t="n">
        <v>5</v>
      </c>
      <c r="C11169" s="4" t="inlineStr">
        <is>
          <t>whitetail</t>
        </is>
      </c>
      <c r="D11169" s="4" t="n">
        <v>2006</v>
      </c>
      <c r="E11169" s="4" t="inlineStr"/>
      <c r="F11169" s="5" t="n">
        <v>1090</v>
      </c>
      <c r="G11169" s="5" t="n">
        <v>5195</v>
      </c>
      <c r="H11169" s="5" t="n">
        <v>397</v>
      </c>
      <c r="I11169" s="5" t="n">
        <v>186</v>
      </c>
      <c r="J11169" s="5" t="n">
        <v>200</v>
      </c>
      <c r="K11169" s="10">
        <f>IF(F11169&gt;0,H11169/F11169,"")</f>
        <v/>
      </c>
      <c r="L11169" s="16">
        <f>IF(AND(G11169&gt;0,H11169&gt;0),G11169/H11169,"")</f>
        <v/>
      </c>
    </row>
    <row r="11170">
      <c r="A11170" s="4" t="inlineStr">
        <is>
          <t>560</t>
        </is>
      </c>
      <c r="B11170" s="4" t="n">
        <v>5</v>
      </c>
      <c r="C11170" s="4" t="inlineStr">
        <is>
          <t>whitetail</t>
        </is>
      </c>
      <c r="D11170" s="4" t="n">
        <v>2007</v>
      </c>
      <c r="E11170" s="4" t="inlineStr"/>
      <c r="F11170" s="5" t="n">
        <v>1194</v>
      </c>
      <c r="G11170" s="5" t="n">
        <v>4829</v>
      </c>
      <c r="H11170" s="5" t="n">
        <v>413</v>
      </c>
      <c r="I11170" s="5" t="n">
        <v>201</v>
      </c>
      <c r="J11170" s="5" t="n">
        <v>207</v>
      </c>
      <c r="K11170" s="10">
        <f>IF(F11170&gt;0,H11170/F11170,"")</f>
        <v/>
      </c>
      <c r="L11170" s="16">
        <f>IF(AND(G11170&gt;0,H11170&gt;0),G11170/H11170,"")</f>
        <v/>
      </c>
    </row>
    <row r="11171">
      <c r="A11171" s="4" t="inlineStr">
        <is>
          <t>560</t>
        </is>
      </c>
      <c r="B11171" s="4" t="n">
        <v>5</v>
      </c>
      <c r="C11171" s="4" t="inlineStr">
        <is>
          <t>whitetail</t>
        </is>
      </c>
      <c r="D11171" s="4" t="n">
        <v>2008</v>
      </c>
      <c r="E11171" s="4" t="inlineStr"/>
      <c r="F11171" s="5" t="n">
        <v>1149</v>
      </c>
      <c r="G11171" s="5" t="n">
        <v>5165</v>
      </c>
      <c r="H11171" s="5" t="n">
        <v>455</v>
      </c>
      <c r="I11171" s="5" t="n">
        <v>179</v>
      </c>
      <c r="J11171" s="5" t="n">
        <v>267</v>
      </c>
      <c r="K11171" s="10">
        <f>IF(F11171&gt;0,H11171/F11171,"")</f>
        <v/>
      </c>
      <c r="L11171" s="16">
        <f>IF(AND(G11171&gt;0,H11171&gt;0),G11171/H11171,"")</f>
        <v/>
      </c>
    </row>
    <row r="11172">
      <c r="A11172" s="4" t="inlineStr">
        <is>
          <t>560</t>
        </is>
      </c>
      <c r="B11172" s="4" t="n">
        <v>5</v>
      </c>
      <c r="C11172" s="4" t="inlineStr">
        <is>
          <t>whitetail</t>
        </is>
      </c>
      <c r="D11172" s="4" t="n">
        <v>2009</v>
      </c>
      <c r="E11172" s="4" t="inlineStr"/>
      <c r="F11172" s="5" t="n">
        <v>1272</v>
      </c>
      <c r="G11172" s="5" t="n">
        <v>6402</v>
      </c>
      <c r="H11172" s="5" t="n">
        <v>464</v>
      </c>
      <c r="I11172" s="5" t="n">
        <v>186</v>
      </c>
      <c r="J11172" s="5" t="n">
        <v>264</v>
      </c>
      <c r="K11172" s="10">
        <f>IF(F11172&gt;0,H11172/F11172,"")</f>
        <v/>
      </c>
      <c r="L11172" s="16">
        <f>IF(AND(G11172&gt;0,H11172&gt;0),G11172/H11172,"")</f>
        <v/>
      </c>
    </row>
    <row r="11173">
      <c r="A11173" s="4" t="inlineStr">
        <is>
          <t>560</t>
        </is>
      </c>
      <c r="B11173" s="4" t="n">
        <v>5</v>
      </c>
      <c r="C11173" s="4" t="inlineStr">
        <is>
          <t>whitetail</t>
        </is>
      </c>
      <c r="D11173" s="4" t="n">
        <v>2010</v>
      </c>
      <c r="E11173" s="4" t="inlineStr"/>
      <c r="F11173" s="5" t="n">
        <v>1207</v>
      </c>
      <c r="G11173" s="5" t="n">
        <v>5370</v>
      </c>
      <c r="H11173" s="5" t="n">
        <v>382</v>
      </c>
      <c r="I11173" s="5" t="n">
        <v>173</v>
      </c>
      <c r="J11173" s="5" t="n">
        <v>206</v>
      </c>
      <c r="K11173" s="10">
        <f>IF(F11173&gt;0,H11173/F11173,"")</f>
        <v/>
      </c>
      <c r="L11173" s="16">
        <f>IF(AND(G11173&gt;0,H11173&gt;0),G11173/H11173,"")</f>
        <v/>
      </c>
    </row>
    <row r="11174">
      <c r="A11174" s="4" t="inlineStr">
        <is>
          <t>560</t>
        </is>
      </c>
      <c r="B11174" s="4" t="n">
        <v>5</v>
      </c>
      <c r="C11174" s="4" t="inlineStr">
        <is>
          <t>whitetail</t>
        </is>
      </c>
      <c r="D11174" s="4" t="n">
        <v>2011</v>
      </c>
      <c r="E11174" s="4" t="inlineStr"/>
      <c r="F11174" s="5" t="n">
        <v>1407</v>
      </c>
      <c r="G11174" s="5" t="n">
        <v>6532</v>
      </c>
      <c r="H11174" s="5" t="n">
        <v>401</v>
      </c>
      <c r="I11174" s="5" t="n">
        <v>204</v>
      </c>
      <c r="J11174" s="5" t="n">
        <v>178</v>
      </c>
      <c r="K11174" s="10">
        <f>IF(F11174&gt;0,H11174/F11174,"")</f>
        <v/>
      </c>
      <c r="L11174" s="16">
        <f>IF(AND(G11174&gt;0,H11174&gt;0),G11174/H11174,"")</f>
        <v/>
      </c>
    </row>
    <row r="11175">
      <c r="A11175" s="4" t="inlineStr">
        <is>
          <t>560</t>
        </is>
      </c>
      <c r="B11175" s="4" t="n">
        <v>5</v>
      </c>
      <c r="C11175" s="4" t="inlineStr">
        <is>
          <t>whitetail</t>
        </is>
      </c>
      <c r="D11175" s="4" t="n">
        <v>2012</v>
      </c>
      <c r="E11175" s="4" t="inlineStr"/>
      <c r="F11175" s="5" t="n"/>
      <c r="G11175" s="5" t="n"/>
      <c r="H11175" s="5" t="n">
        <v>603</v>
      </c>
      <c r="I11175" s="5" t="n">
        <v>299</v>
      </c>
      <c r="J11175" s="5" t="n">
        <v>295</v>
      </c>
      <c r="K11175" s="10">
        <f>IF(F11175&gt;0,H11175/F11175,"")</f>
        <v/>
      </c>
      <c r="L11175" s="16">
        <f>IF(AND(G11175&gt;0,H11175&gt;0),G11175/H11175,"")</f>
        <v/>
      </c>
    </row>
    <row r="11176">
      <c r="A11176" s="4" t="inlineStr">
        <is>
          <t>560</t>
        </is>
      </c>
      <c r="B11176" s="4" t="n">
        <v>5</v>
      </c>
      <c r="C11176" s="4" t="inlineStr">
        <is>
          <t>whitetail</t>
        </is>
      </c>
      <c r="D11176" s="4" t="n">
        <v>2013</v>
      </c>
      <c r="E11176" s="4" t="inlineStr"/>
      <c r="F11176" s="5" t="n">
        <v>1554</v>
      </c>
      <c r="G11176" s="5" t="n">
        <v>7444</v>
      </c>
      <c r="H11176" s="5" t="n">
        <v>496</v>
      </c>
      <c r="I11176" s="5" t="n">
        <v>196</v>
      </c>
      <c r="J11176" s="5" t="n">
        <v>288</v>
      </c>
      <c r="K11176" s="10">
        <f>IF(F11176&gt;0,H11176/F11176,"")</f>
        <v/>
      </c>
      <c r="L11176" s="16">
        <f>IF(AND(G11176&gt;0,H11176&gt;0),G11176/H11176,"")</f>
        <v/>
      </c>
    </row>
    <row r="11177">
      <c r="A11177" s="4" t="inlineStr">
        <is>
          <t>560</t>
        </is>
      </c>
      <c r="B11177" s="4" t="n">
        <v>5</v>
      </c>
      <c r="C11177" s="4" t="inlineStr">
        <is>
          <t>whitetail</t>
        </is>
      </c>
      <c r="D11177" s="4" t="n">
        <v>2014</v>
      </c>
      <c r="E11177" s="4" t="inlineStr"/>
      <c r="F11177" s="5" t="n"/>
      <c r="G11177" s="5" t="n"/>
      <c r="H11177" s="5" t="n">
        <v>406</v>
      </c>
      <c r="I11177" s="5" t="n">
        <v>283</v>
      </c>
      <c r="J11177" s="5" t="n">
        <v>115</v>
      </c>
      <c r="K11177" s="10">
        <f>IF(F11177&gt;0,H11177/F11177,"")</f>
        <v/>
      </c>
      <c r="L11177" s="16">
        <f>IF(AND(G11177&gt;0,H11177&gt;0),G11177/H11177,"")</f>
        <v/>
      </c>
    </row>
    <row r="11178">
      <c r="A11178" s="4" t="inlineStr">
        <is>
          <t>560</t>
        </is>
      </c>
      <c r="B11178" s="4" t="n">
        <v>5</v>
      </c>
      <c r="C11178" s="4" t="inlineStr">
        <is>
          <t>whitetail</t>
        </is>
      </c>
      <c r="D11178" s="4" t="n">
        <v>2015</v>
      </c>
      <c r="E11178" s="4" t="inlineStr"/>
      <c r="F11178" s="5" t="n"/>
      <c r="G11178" s="5" t="n"/>
      <c r="H11178" s="5" t="n">
        <v>434</v>
      </c>
      <c r="I11178" s="5" t="n">
        <v>297</v>
      </c>
      <c r="J11178" s="5" t="n">
        <v>126</v>
      </c>
      <c r="K11178" s="10">
        <f>IF(F11178&gt;0,H11178/F11178,"")</f>
        <v/>
      </c>
      <c r="L11178" s="16">
        <f>IF(AND(G11178&gt;0,H11178&gt;0),G11178/H11178,"")</f>
        <v/>
      </c>
    </row>
    <row r="11179">
      <c r="A11179" s="4" t="inlineStr">
        <is>
          <t>560</t>
        </is>
      </c>
      <c r="B11179" s="4" t="n">
        <v>5</v>
      </c>
      <c r="C11179" s="4" t="inlineStr">
        <is>
          <t>whitetail</t>
        </is>
      </c>
      <c r="D11179" s="4" t="n">
        <v>2016</v>
      </c>
      <c r="E11179" s="4" t="inlineStr"/>
      <c r="F11179" s="5" t="n"/>
      <c r="G11179" s="5" t="n"/>
      <c r="H11179" s="5" t="n">
        <v>473</v>
      </c>
      <c r="I11179" s="5" t="n">
        <v>258</v>
      </c>
      <c r="J11179" s="5" t="n">
        <v>200</v>
      </c>
      <c r="K11179" s="10">
        <f>IF(F11179&gt;0,H11179/F11179,"")</f>
        <v/>
      </c>
      <c r="L11179" s="16">
        <f>IF(AND(G11179&gt;0,H11179&gt;0),G11179/H11179,"")</f>
        <v/>
      </c>
    </row>
    <row r="11180">
      <c r="A11180" s="4" t="inlineStr">
        <is>
          <t>560</t>
        </is>
      </c>
      <c r="B11180" s="4" t="n">
        <v>5</v>
      </c>
      <c r="C11180" s="4" t="inlineStr">
        <is>
          <t>whitetail</t>
        </is>
      </c>
      <c r="D11180" s="4" t="n">
        <v>2017</v>
      </c>
      <c r="E11180" s="4" t="inlineStr"/>
      <c r="F11180" s="5" t="n">
        <v>1172</v>
      </c>
      <c r="G11180" s="5" t="n">
        <v>5840</v>
      </c>
      <c r="H11180" s="5" t="n">
        <v>427</v>
      </c>
      <c r="I11180" s="5" t="n">
        <v>239</v>
      </c>
      <c r="J11180" s="5" t="n">
        <v>184</v>
      </c>
      <c r="K11180" s="10">
        <f>IF(F11180&gt;0,H11180/F11180,"")</f>
        <v/>
      </c>
      <c r="L11180" s="16">
        <f>IF(AND(G11180&gt;0,H11180&gt;0),G11180/H11180,"")</f>
        <v/>
      </c>
    </row>
    <row r="11181">
      <c r="A11181" s="4" t="inlineStr">
        <is>
          <t>560</t>
        </is>
      </c>
      <c r="B11181" s="4" t="n">
        <v>5</v>
      </c>
      <c r="C11181" s="4" t="inlineStr">
        <is>
          <t>whitetail</t>
        </is>
      </c>
      <c r="D11181" s="4" t="n">
        <v>2018</v>
      </c>
      <c r="E11181" s="4" t="inlineStr"/>
      <c r="F11181" s="5" t="n"/>
      <c r="G11181" s="5" t="n"/>
      <c r="H11181" s="5" t="n">
        <v>502</v>
      </c>
      <c r="I11181" s="5" t="n">
        <v>245</v>
      </c>
      <c r="J11181" s="5" t="n">
        <v>257</v>
      </c>
      <c r="K11181" s="10">
        <f>IF(F11181&gt;0,H11181/F11181,"")</f>
        <v/>
      </c>
      <c r="L11181" s="16">
        <f>IF(AND(G11181&gt;0,H11181&gt;0),G11181/H11181,"")</f>
        <v/>
      </c>
    </row>
    <row r="11182">
      <c r="A11182" s="4" t="inlineStr">
        <is>
          <t>560</t>
        </is>
      </c>
      <c r="B11182" s="4" t="n">
        <v>5</v>
      </c>
      <c r="C11182" s="4" t="inlineStr">
        <is>
          <t>whitetail</t>
        </is>
      </c>
      <c r="D11182" s="4" t="n">
        <v>2019</v>
      </c>
      <c r="E11182" s="4" t="inlineStr"/>
      <c r="F11182" s="5" t="n">
        <v>1286</v>
      </c>
      <c r="G11182" s="5" t="n">
        <v>6474</v>
      </c>
      <c r="H11182" s="5" t="n">
        <v>542</v>
      </c>
      <c r="I11182" s="5" t="n">
        <v>281</v>
      </c>
      <c r="J11182" s="5" t="n">
        <v>256</v>
      </c>
      <c r="K11182" s="10">
        <f>IF(F11182&gt;0,H11182/F11182,"")</f>
        <v/>
      </c>
      <c r="L11182" s="16">
        <f>IF(AND(G11182&gt;0,H11182&gt;0),G11182/H11182,"")</f>
        <v/>
      </c>
    </row>
    <row r="11183">
      <c r="A11183" s="4" t="inlineStr">
        <is>
          <t>560</t>
        </is>
      </c>
      <c r="B11183" s="4" t="n">
        <v>5</v>
      </c>
      <c r="C11183" s="4" t="inlineStr">
        <is>
          <t>whitetail</t>
        </is>
      </c>
      <c r="D11183" s="4" t="n">
        <v>2020</v>
      </c>
      <c r="E11183" s="4" t="inlineStr"/>
      <c r="F11183" s="5" t="n"/>
      <c r="G11183" s="5" t="n"/>
      <c r="H11183" s="5" t="n">
        <v>463</v>
      </c>
      <c r="I11183" s="5" t="n">
        <v>234</v>
      </c>
      <c r="J11183" s="5" t="n">
        <v>228</v>
      </c>
      <c r="K11183" s="10">
        <f>IF(F11183&gt;0,H11183/F11183,"")</f>
        <v/>
      </c>
      <c r="L11183" s="16">
        <f>IF(AND(G11183&gt;0,H11183&gt;0),G11183/H11183,"")</f>
        <v/>
      </c>
    </row>
    <row r="11184">
      <c r="A11184" s="4" t="inlineStr">
        <is>
          <t>560</t>
        </is>
      </c>
      <c r="B11184" s="4" t="n">
        <v>5</v>
      </c>
      <c r="C11184" s="4" t="inlineStr">
        <is>
          <t>whitetail</t>
        </is>
      </c>
      <c r="D11184" s="4" t="n">
        <v>2021</v>
      </c>
      <c r="E11184" s="4" t="inlineStr"/>
      <c r="F11184" s="5" t="n">
        <v>1203</v>
      </c>
      <c r="G11184" s="5" t="n">
        <v>6185</v>
      </c>
      <c r="H11184" s="5" t="n">
        <v>405</v>
      </c>
      <c r="I11184" s="5" t="n">
        <v>202</v>
      </c>
      <c r="J11184" s="5" t="n">
        <v>203</v>
      </c>
      <c r="K11184" s="10">
        <f>IF(F11184&gt;0,H11184/F11184,"")</f>
        <v/>
      </c>
      <c r="L11184" s="16">
        <f>IF(AND(G11184&gt;0,H11184&gt;0),G11184/H11184,"")</f>
        <v/>
      </c>
    </row>
    <row r="11185">
      <c r="A11185" s="4" t="inlineStr">
        <is>
          <t>565</t>
        </is>
      </c>
      <c r="B11185" s="4" t="n">
        <v>5</v>
      </c>
      <c r="C11185" s="4" t="inlineStr">
        <is>
          <t>whitetail</t>
        </is>
      </c>
      <c r="D11185" s="4" t="n">
        <v>2022</v>
      </c>
      <c r="E11185" s="13" t="inlineStr">
        <is>
          <t>General</t>
        </is>
      </c>
      <c r="F11185" s="5" t="n"/>
      <c r="G11185" s="5" t="n"/>
      <c r="H11185" s="5" t="n">
        <v>36</v>
      </c>
      <c r="I11185" s="5" t="n">
        <v>10</v>
      </c>
      <c r="J11185" s="5" t="n">
        <v>26</v>
      </c>
      <c r="K11185" s="10">
        <f>IF(F11185&gt;0,H11185/F11185,"")</f>
        <v/>
      </c>
      <c r="L11185" s="16">
        <f>IF(AND(G11185&gt;0,H11185&gt;0),G11185/H11185,"")</f>
        <v/>
      </c>
    </row>
    <row r="11186">
      <c r="A11186" s="4" t="inlineStr">
        <is>
          <t>565</t>
        </is>
      </c>
      <c r="B11186" s="4" t="n">
        <v>5</v>
      </c>
      <c r="C11186" s="4" t="inlineStr">
        <is>
          <t>whitetail</t>
        </is>
      </c>
      <c r="D11186" s="4" t="n">
        <v>2023</v>
      </c>
      <c r="E11186" s="13" t="inlineStr">
        <is>
          <t>General</t>
        </is>
      </c>
      <c r="F11186" s="5" t="n">
        <v>86</v>
      </c>
      <c r="G11186" s="5" t="n">
        <v>510</v>
      </c>
      <c r="H11186" s="5" t="n">
        <v>25</v>
      </c>
      <c r="I11186" s="5" t="n">
        <v>10</v>
      </c>
      <c r="J11186" s="5" t="n">
        <v>15</v>
      </c>
      <c r="K11186" s="10">
        <f>IF(F11186&gt;0,H11186/F11186,"")</f>
        <v/>
      </c>
      <c r="L11186" s="16">
        <f>IF(AND(G11186&gt;0,H11186&gt;0),G11186/H11186,"")</f>
        <v/>
      </c>
    </row>
    <row r="11187">
      <c r="A11187" s="4" t="inlineStr">
        <is>
          <t>565</t>
        </is>
      </c>
      <c r="B11187" s="4" t="n">
        <v>5</v>
      </c>
      <c r="C11187" s="4" t="inlineStr">
        <is>
          <t>whitetail</t>
        </is>
      </c>
      <c r="D11187" s="4" t="n">
        <v>2024</v>
      </c>
      <c r="E11187" s="13" t="inlineStr">
        <is>
          <t>General</t>
        </is>
      </c>
      <c r="F11187" s="5" t="n"/>
      <c r="G11187" s="5" t="n"/>
      <c r="H11187" s="5" t="n">
        <v>29</v>
      </c>
      <c r="I11187" s="5" t="n">
        <v>14</v>
      </c>
      <c r="J11187" s="5" t="n">
        <v>15</v>
      </c>
      <c r="K11187" s="10">
        <f>IF(F11187&gt;0,H11187/F11187,"")</f>
        <v/>
      </c>
      <c r="L11187" s="16">
        <f>IF(AND(G11187&gt;0,H11187&gt;0),G11187/H11187,"")</f>
        <v/>
      </c>
    </row>
    <row r="11188">
      <c r="A11188" s="4" t="inlineStr">
        <is>
          <t>565</t>
        </is>
      </c>
      <c r="B11188" s="4" t="n">
        <v>5</v>
      </c>
      <c r="C11188" s="4" t="inlineStr">
        <is>
          <t>whitetail</t>
        </is>
      </c>
      <c r="D11188" s="4" t="n">
        <v>2025</v>
      </c>
      <c r="E11188" s="13" t="inlineStr">
        <is>
          <t>General</t>
        </is>
      </c>
      <c r="F11188" s="5" t="n">
        <v>108</v>
      </c>
      <c r="G11188" s="5" t="n">
        <v>704</v>
      </c>
      <c r="H11188" s="5" t="n">
        <v>27</v>
      </c>
      <c r="I11188" s="5" t="n">
        <v>6</v>
      </c>
      <c r="J11188" s="5" t="n">
        <v>20</v>
      </c>
      <c r="K11188" s="10">
        <f>IF(F11188&gt;0,H11188/F11188,"")</f>
        <v/>
      </c>
      <c r="L11188" s="16">
        <f>IF(AND(G11188&gt;0,H11188&gt;0),G11188/H11188,"")</f>
        <v/>
      </c>
    </row>
    <row r="11189">
      <c r="A11189" s="4" t="inlineStr">
        <is>
          <t>570</t>
        </is>
      </c>
      <c r="B11189" s="4" t="n">
        <v>5</v>
      </c>
      <c r="C11189" s="4" t="inlineStr">
        <is>
          <t>whitetail</t>
        </is>
      </c>
      <c r="D11189" s="4" t="n">
        <v>2004</v>
      </c>
      <c r="E11189" s="4" t="inlineStr"/>
      <c r="F11189" s="5" t="n">
        <v>1822</v>
      </c>
      <c r="G11189" s="5" t="n">
        <v>6599</v>
      </c>
      <c r="H11189" s="5" t="n">
        <v>705</v>
      </c>
      <c r="I11189" s="5" t="n">
        <v>299</v>
      </c>
      <c r="J11189" s="5" t="n">
        <v>359</v>
      </c>
      <c r="K11189" s="10">
        <f>IF(F11189&gt;0,H11189/F11189,"")</f>
        <v/>
      </c>
      <c r="L11189" s="16">
        <f>IF(AND(G11189&gt;0,H11189&gt;0),G11189/H11189,"")</f>
        <v/>
      </c>
    </row>
    <row r="11190">
      <c r="A11190" s="4" t="inlineStr">
        <is>
          <t>570</t>
        </is>
      </c>
      <c r="B11190" s="4" t="n">
        <v>5</v>
      </c>
      <c r="C11190" s="4" t="inlineStr">
        <is>
          <t>whitetail</t>
        </is>
      </c>
      <c r="D11190" s="4" t="n">
        <v>2005</v>
      </c>
      <c r="E11190" s="4" t="inlineStr"/>
      <c r="F11190" s="5" t="n">
        <v>1373</v>
      </c>
      <c r="G11190" s="5" t="n">
        <v>5214</v>
      </c>
      <c r="H11190" s="5" t="n">
        <v>570</v>
      </c>
      <c r="I11190" s="5" t="n">
        <v>228</v>
      </c>
      <c r="J11190" s="5" t="n">
        <v>328</v>
      </c>
      <c r="K11190" s="10">
        <f>IF(F11190&gt;0,H11190/F11190,"")</f>
        <v/>
      </c>
      <c r="L11190" s="16">
        <f>IF(AND(G11190&gt;0,H11190&gt;0),G11190/H11190,"")</f>
        <v/>
      </c>
    </row>
    <row r="11191">
      <c r="A11191" s="4" t="inlineStr">
        <is>
          <t>570</t>
        </is>
      </c>
      <c r="B11191" s="4" t="n">
        <v>5</v>
      </c>
      <c r="C11191" s="4" t="inlineStr">
        <is>
          <t>whitetail</t>
        </is>
      </c>
      <c r="D11191" s="4" t="n">
        <v>2006</v>
      </c>
      <c r="E11191" s="4" t="inlineStr"/>
      <c r="F11191" s="5" t="n">
        <v>1205</v>
      </c>
      <c r="G11191" s="5" t="n">
        <v>4466</v>
      </c>
      <c r="H11191" s="5" t="n">
        <v>682</v>
      </c>
      <c r="I11191" s="5" t="n">
        <v>235</v>
      </c>
      <c r="J11191" s="5" t="n">
        <v>434</v>
      </c>
      <c r="K11191" s="10">
        <f>IF(F11191&gt;0,H11191/F11191,"")</f>
        <v/>
      </c>
      <c r="L11191" s="16">
        <f>IF(AND(G11191&gt;0,H11191&gt;0),G11191/H11191,"")</f>
        <v/>
      </c>
    </row>
    <row r="11192">
      <c r="A11192" s="4" t="inlineStr">
        <is>
          <t>570</t>
        </is>
      </c>
      <c r="B11192" s="4" t="n">
        <v>5</v>
      </c>
      <c r="C11192" s="4" t="inlineStr">
        <is>
          <t>whitetail</t>
        </is>
      </c>
      <c r="D11192" s="4" t="n">
        <v>2007</v>
      </c>
      <c r="E11192" s="4" t="inlineStr"/>
      <c r="F11192" s="5" t="n">
        <v>1437</v>
      </c>
      <c r="G11192" s="5" t="n">
        <v>5532</v>
      </c>
      <c r="H11192" s="5" t="n">
        <v>683</v>
      </c>
      <c r="I11192" s="5" t="n">
        <v>267</v>
      </c>
      <c r="J11192" s="5" t="n">
        <v>403</v>
      </c>
      <c r="K11192" s="10">
        <f>IF(F11192&gt;0,H11192/F11192,"")</f>
        <v/>
      </c>
      <c r="L11192" s="16">
        <f>IF(AND(G11192&gt;0,H11192&gt;0),G11192/H11192,"")</f>
        <v/>
      </c>
    </row>
    <row r="11193">
      <c r="A11193" s="4" t="inlineStr">
        <is>
          <t>570</t>
        </is>
      </c>
      <c r="B11193" s="4" t="n">
        <v>5</v>
      </c>
      <c r="C11193" s="4" t="inlineStr">
        <is>
          <t>whitetail</t>
        </is>
      </c>
      <c r="D11193" s="4" t="n">
        <v>2008</v>
      </c>
      <c r="E11193" s="4" t="inlineStr"/>
      <c r="F11193" s="5" t="n">
        <v>1457</v>
      </c>
      <c r="G11193" s="5" t="n">
        <v>6561</v>
      </c>
      <c r="H11193" s="5" t="n">
        <v>542</v>
      </c>
      <c r="I11193" s="5" t="n">
        <v>200</v>
      </c>
      <c r="J11193" s="5" t="n">
        <v>327</v>
      </c>
      <c r="K11193" s="10">
        <f>IF(F11193&gt;0,H11193/F11193,"")</f>
        <v/>
      </c>
      <c r="L11193" s="16">
        <f>IF(AND(G11193&gt;0,H11193&gt;0),G11193/H11193,"")</f>
        <v/>
      </c>
    </row>
    <row r="11194">
      <c r="A11194" s="4" t="inlineStr">
        <is>
          <t>570</t>
        </is>
      </c>
      <c r="B11194" s="4" t="n">
        <v>5</v>
      </c>
      <c r="C11194" s="4" t="inlineStr">
        <is>
          <t>whitetail</t>
        </is>
      </c>
      <c r="D11194" s="4" t="n">
        <v>2009</v>
      </c>
      <c r="E11194" s="4" t="inlineStr"/>
      <c r="F11194" s="5" t="n">
        <v>1407</v>
      </c>
      <c r="G11194" s="5" t="n">
        <v>5751</v>
      </c>
      <c r="H11194" s="5" t="n">
        <v>492</v>
      </c>
      <c r="I11194" s="5" t="n">
        <v>193</v>
      </c>
      <c r="J11194" s="5" t="n">
        <v>282</v>
      </c>
      <c r="K11194" s="10">
        <f>IF(F11194&gt;0,H11194/F11194,"")</f>
        <v/>
      </c>
      <c r="L11194" s="16">
        <f>IF(AND(G11194&gt;0,H11194&gt;0),G11194/H11194,"")</f>
        <v/>
      </c>
    </row>
    <row r="11195">
      <c r="A11195" s="4" t="inlineStr">
        <is>
          <t>570</t>
        </is>
      </c>
      <c r="B11195" s="4" t="n">
        <v>5</v>
      </c>
      <c r="C11195" s="4" t="inlineStr">
        <is>
          <t>whitetail</t>
        </is>
      </c>
      <c r="D11195" s="4" t="n">
        <v>2010</v>
      </c>
      <c r="E11195" s="4" t="inlineStr"/>
      <c r="F11195" s="5" t="n">
        <v>1486</v>
      </c>
      <c r="G11195" s="5" t="n">
        <v>5989</v>
      </c>
      <c r="H11195" s="5" t="n">
        <v>537</v>
      </c>
      <c r="I11195" s="5" t="n">
        <v>208</v>
      </c>
      <c r="J11195" s="5" t="n">
        <v>317</v>
      </c>
      <c r="K11195" s="10">
        <f>IF(F11195&gt;0,H11195/F11195,"")</f>
        <v/>
      </c>
      <c r="L11195" s="16">
        <f>IF(AND(G11195&gt;0,H11195&gt;0),G11195/H11195,"")</f>
        <v/>
      </c>
    </row>
    <row r="11196">
      <c r="A11196" s="4" t="inlineStr">
        <is>
          <t>570</t>
        </is>
      </c>
      <c r="B11196" s="4" t="n">
        <v>5</v>
      </c>
      <c r="C11196" s="4" t="inlineStr">
        <is>
          <t>whitetail</t>
        </is>
      </c>
      <c r="D11196" s="4" t="n">
        <v>2011</v>
      </c>
      <c r="E11196" s="4" t="inlineStr"/>
      <c r="F11196" s="5" t="n">
        <v>1392</v>
      </c>
      <c r="G11196" s="5" t="n">
        <v>6357</v>
      </c>
      <c r="H11196" s="5" t="n">
        <v>544</v>
      </c>
      <c r="I11196" s="5" t="n">
        <v>226</v>
      </c>
      <c r="J11196" s="5" t="n">
        <v>307</v>
      </c>
      <c r="K11196" s="10">
        <f>IF(F11196&gt;0,H11196/F11196,"")</f>
        <v/>
      </c>
      <c r="L11196" s="16">
        <f>IF(AND(G11196&gt;0,H11196&gt;0),G11196/H11196,"")</f>
        <v/>
      </c>
    </row>
    <row r="11197">
      <c r="A11197" s="4" t="inlineStr">
        <is>
          <t>570</t>
        </is>
      </c>
      <c r="B11197" s="4" t="n">
        <v>5</v>
      </c>
      <c r="C11197" s="4" t="inlineStr">
        <is>
          <t>whitetail</t>
        </is>
      </c>
      <c r="D11197" s="4" t="n">
        <v>2012</v>
      </c>
      <c r="E11197" s="4" t="inlineStr"/>
      <c r="F11197" s="5" t="n"/>
      <c r="G11197" s="5" t="n"/>
      <c r="H11197" s="5" t="n">
        <v>584</v>
      </c>
      <c r="I11197" s="5" t="n">
        <v>246</v>
      </c>
      <c r="J11197" s="5" t="n">
        <v>330</v>
      </c>
      <c r="K11197" s="10">
        <f>IF(F11197&gt;0,H11197/F11197,"")</f>
        <v/>
      </c>
      <c r="L11197" s="16">
        <f>IF(AND(G11197&gt;0,H11197&gt;0),G11197/H11197,"")</f>
        <v/>
      </c>
    </row>
    <row r="11198">
      <c r="A11198" s="4" t="inlineStr">
        <is>
          <t>570</t>
        </is>
      </c>
      <c r="B11198" s="4" t="n">
        <v>5</v>
      </c>
      <c r="C11198" s="4" t="inlineStr">
        <is>
          <t>whitetail</t>
        </is>
      </c>
      <c r="D11198" s="4" t="n">
        <v>2013</v>
      </c>
      <c r="E11198" s="4" t="inlineStr"/>
      <c r="F11198" s="5" t="n">
        <v>1347</v>
      </c>
      <c r="G11198" s="5" t="n">
        <v>6082</v>
      </c>
      <c r="H11198" s="5" t="n">
        <v>455</v>
      </c>
      <c r="I11198" s="5" t="n">
        <v>179</v>
      </c>
      <c r="J11198" s="5" t="n">
        <v>271</v>
      </c>
      <c r="K11198" s="10">
        <f>IF(F11198&gt;0,H11198/F11198,"")</f>
        <v/>
      </c>
      <c r="L11198" s="16">
        <f>IF(AND(G11198&gt;0,H11198&gt;0),G11198/H11198,"")</f>
        <v/>
      </c>
    </row>
    <row r="11199">
      <c r="A11199" s="4" t="inlineStr">
        <is>
          <t>570</t>
        </is>
      </c>
      <c r="B11199" s="4" t="n">
        <v>5</v>
      </c>
      <c r="C11199" s="4" t="inlineStr">
        <is>
          <t>whitetail</t>
        </is>
      </c>
      <c r="D11199" s="4" t="n">
        <v>2014</v>
      </c>
      <c r="E11199" s="4" t="inlineStr"/>
      <c r="F11199" s="5" t="n"/>
      <c r="G11199" s="5" t="n"/>
      <c r="H11199" s="5" t="n">
        <v>267</v>
      </c>
      <c r="I11199" s="5" t="n">
        <v>222</v>
      </c>
      <c r="J11199" s="5" t="n">
        <v>40</v>
      </c>
      <c r="K11199" s="10">
        <f>IF(F11199&gt;0,H11199/F11199,"")</f>
        <v/>
      </c>
      <c r="L11199" s="16">
        <f>IF(AND(G11199&gt;0,H11199&gt;0),G11199/H11199,"")</f>
        <v/>
      </c>
    </row>
    <row r="11200">
      <c r="A11200" s="4" t="inlineStr">
        <is>
          <t>570</t>
        </is>
      </c>
      <c r="B11200" s="4" t="n">
        <v>5</v>
      </c>
      <c r="C11200" s="4" t="inlineStr">
        <is>
          <t>whitetail</t>
        </is>
      </c>
      <c r="D11200" s="4" t="n">
        <v>2015</v>
      </c>
      <c r="E11200" s="4" t="inlineStr"/>
      <c r="F11200" s="5" t="n"/>
      <c r="G11200" s="5" t="n"/>
      <c r="H11200" s="5" t="n">
        <v>308</v>
      </c>
      <c r="I11200" s="5" t="n">
        <v>257</v>
      </c>
      <c r="J11200" s="5" t="n">
        <v>46</v>
      </c>
      <c r="K11200" s="10">
        <f>IF(F11200&gt;0,H11200/F11200,"")</f>
        <v/>
      </c>
      <c r="L11200" s="16">
        <f>IF(AND(G11200&gt;0,H11200&gt;0),G11200/H11200,"")</f>
        <v/>
      </c>
    </row>
    <row r="11201">
      <c r="A11201" s="4" t="inlineStr">
        <is>
          <t>570</t>
        </is>
      </c>
      <c r="B11201" s="4" t="n">
        <v>5</v>
      </c>
      <c r="C11201" s="4" t="inlineStr">
        <is>
          <t>whitetail</t>
        </is>
      </c>
      <c r="D11201" s="4" t="n">
        <v>2016</v>
      </c>
      <c r="E11201" s="4" t="inlineStr"/>
      <c r="F11201" s="5" t="n"/>
      <c r="G11201" s="5" t="n"/>
      <c r="H11201" s="5" t="n">
        <v>354</v>
      </c>
      <c r="I11201" s="5" t="n">
        <v>238</v>
      </c>
      <c r="J11201" s="5" t="n">
        <v>108</v>
      </c>
      <c r="K11201" s="10">
        <f>IF(F11201&gt;0,H11201/F11201,"")</f>
        <v/>
      </c>
      <c r="L11201" s="16">
        <f>IF(AND(G11201&gt;0,H11201&gt;0),G11201/H11201,"")</f>
        <v/>
      </c>
    </row>
    <row r="11202">
      <c r="A11202" s="4" t="inlineStr">
        <is>
          <t>570</t>
        </is>
      </c>
      <c r="B11202" s="4" t="n">
        <v>5</v>
      </c>
      <c r="C11202" s="4" t="inlineStr">
        <is>
          <t>whitetail</t>
        </is>
      </c>
      <c r="D11202" s="4" t="n">
        <v>2017</v>
      </c>
      <c r="E11202" s="4" t="inlineStr"/>
      <c r="F11202" s="5" t="n">
        <v>1351</v>
      </c>
      <c r="G11202" s="5" t="n">
        <v>5983</v>
      </c>
      <c r="H11202" s="5" t="n">
        <v>406</v>
      </c>
      <c r="I11202" s="5" t="n">
        <v>251</v>
      </c>
      <c r="J11202" s="5" t="n">
        <v>151</v>
      </c>
      <c r="K11202" s="10">
        <f>IF(F11202&gt;0,H11202/F11202,"")</f>
        <v/>
      </c>
      <c r="L11202" s="16">
        <f>IF(AND(G11202&gt;0,H11202&gt;0),G11202/H11202,"")</f>
        <v/>
      </c>
    </row>
    <row r="11203">
      <c r="A11203" s="4" t="inlineStr">
        <is>
          <t>570</t>
        </is>
      </c>
      <c r="B11203" s="4" t="n">
        <v>5</v>
      </c>
      <c r="C11203" s="4" t="inlineStr">
        <is>
          <t>whitetail</t>
        </is>
      </c>
      <c r="D11203" s="4" t="n">
        <v>2018</v>
      </c>
      <c r="E11203" s="4" t="inlineStr"/>
      <c r="F11203" s="5" t="n"/>
      <c r="G11203" s="5" t="n"/>
      <c r="H11203" s="5" t="n">
        <v>423</v>
      </c>
      <c r="I11203" s="5" t="n">
        <v>198</v>
      </c>
      <c r="J11203" s="5" t="n">
        <v>218</v>
      </c>
      <c r="K11203" s="10">
        <f>IF(F11203&gt;0,H11203/F11203,"")</f>
        <v/>
      </c>
      <c r="L11203" s="16">
        <f>IF(AND(G11203&gt;0,H11203&gt;0),G11203/H11203,"")</f>
        <v/>
      </c>
    </row>
    <row r="11204">
      <c r="A11204" s="4" t="inlineStr">
        <is>
          <t>570</t>
        </is>
      </c>
      <c r="B11204" s="4" t="n">
        <v>5</v>
      </c>
      <c r="C11204" s="4" t="inlineStr">
        <is>
          <t>whitetail</t>
        </is>
      </c>
      <c r="D11204" s="4" t="n">
        <v>2019</v>
      </c>
      <c r="E11204" s="4" t="inlineStr"/>
      <c r="F11204" s="5" t="n">
        <v>1215</v>
      </c>
      <c r="G11204" s="5" t="n">
        <v>5654</v>
      </c>
      <c r="H11204" s="5" t="n">
        <v>376</v>
      </c>
      <c r="I11204" s="5" t="n">
        <v>207</v>
      </c>
      <c r="J11204" s="5" t="n">
        <v>168</v>
      </c>
      <c r="K11204" s="10">
        <f>IF(F11204&gt;0,H11204/F11204,"")</f>
        <v/>
      </c>
      <c r="L11204" s="16">
        <f>IF(AND(G11204&gt;0,H11204&gt;0),G11204/H11204,"")</f>
        <v/>
      </c>
    </row>
    <row r="11205">
      <c r="A11205" s="4" t="inlineStr">
        <is>
          <t>570</t>
        </is>
      </c>
      <c r="B11205" s="4" t="n">
        <v>5</v>
      </c>
      <c r="C11205" s="4" t="inlineStr">
        <is>
          <t>whitetail</t>
        </is>
      </c>
      <c r="D11205" s="4" t="n">
        <v>2020</v>
      </c>
      <c r="E11205" s="4" t="inlineStr"/>
      <c r="F11205" s="5" t="n"/>
      <c r="G11205" s="5" t="n"/>
      <c r="H11205" s="5" t="n">
        <v>430</v>
      </c>
      <c r="I11205" s="5" t="n">
        <v>249</v>
      </c>
      <c r="J11205" s="5" t="n">
        <v>179</v>
      </c>
      <c r="K11205" s="10">
        <f>IF(F11205&gt;0,H11205/F11205,"")</f>
        <v/>
      </c>
      <c r="L11205" s="16">
        <f>IF(AND(G11205&gt;0,H11205&gt;0),G11205/H11205,"")</f>
        <v/>
      </c>
    </row>
    <row r="11206">
      <c r="A11206" s="4" t="inlineStr">
        <is>
          <t>570</t>
        </is>
      </c>
      <c r="B11206" s="4" t="n">
        <v>5</v>
      </c>
      <c r="C11206" s="4" t="inlineStr">
        <is>
          <t>whitetail</t>
        </is>
      </c>
      <c r="D11206" s="4" t="n">
        <v>2021</v>
      </c>
      <c r="E11206" s="4" t="inlineStr"/>
      <c r="F11206" s="5" t="n">
        <v>1206</v>
      </c>
      <c r="G11206" s="5" t="n">
        <v>5896</v>
      </c>
      <c r="H11206" s="5" t="n">
        <v>326</v>
      </c>
      <c r="I11206" s="5" t="n">
        <v>212</v>
      </c>
      <c r="J11206" s="5" t="n">
        <v>109</v>
      </c>
      <c r="K11206" s="10">
        <f>IF(F11206&gt;0,H11206/F11206,"")</f>
        <v/>
      </c>
      <c r="L11206" s="16">
        <f>IF(AND(G11206&gt;0,H11206&gt;0),G11206/H11206,"")</f>
        <v/>
      </c>
    </row>
    <row r="11207">
      <c r="A11207" s="4" t="inlineStr">
        <is>
          <t>575</t>
        </is>
      </c>
      <c r="B11207" s="4" t="n">
        <v>5</v>
      </c>
      <c r="C11207" s="4" t="inlineStr">
        <is>
          <t>whitetail</t>
        </is>
      </c>
      <c r="D11207" s="4" t="n">
        <v>2004</v>
      </c>
      <c r="E11207" s="13" t="inlineStr">
        <is>
          <t>General</t>
        </is>
      </c>
      <c r="F11207" s="5" t="n">
        <v>3026</v>
      </c>
      <c r="G11207" s="5" t="n">
        <v>12380</v>
      </c>
      <c r="H11207" s="5" t="n">
        <v>928</v>
      </c>
      <c r="I11207" s="5" t="n">
        <v>415</v>
      </c>
      <c r="J11207" s="5" t="n">
        <v>503</v>
      </c>
      <c r="K11207" s="10">
        <f>IF(F11207&gt;0,H11207/F11207,"")</f>
        <v/>
      </c>
      <c r="L11207" s="16">
        <f>IF(AND(G11207&gt;0,H11207&gt;0),G11207/H11207,"")</f>
        <v/>
      </c>
    </row>
    <row r="11208">
      <c r="A11208" s="4" t="inlineStr">
        <is>
          <t>575</t>
        </is>
      </c>
      <c r="B11208" s="4" t="n">
        <v>5</v>
      </c>
      <c r="C11208" s="4" t="inlineStr">
        <is>
          <t>whitetail</t>
        </is>
      </c>
      <c r="D11208" s="4" t="n">
        <v>2005</v>
      </c>
      <c r="E11208" s="13" t="inlineStr">
        <is>
          <t>General</t>
        </is>
      </c>
      <c r="F11208" s="5" t="n">
        <v>2511</v>
      </c>
      <c r="G11208" s="5" t="n">
        <v>10975</v>
      </c>
      <c r="H11208" s="5" t="n">
        <v>853</v>
      </c>
      <c r="I11208" s="5" t="n">
        <v>370</v>
      </c>
      <c r="J11208" s="5" t="n">
        <v>469</v>
      </c>
      <c r="K11208" s="10">
        <f>IF(F11208&gt;0,H11208/F11208,"")</f>
        <v/>
      </c>
      <c r="L11208" s="16">
        <f>IF(AND(G11208&gt;0,H11208&gt;0),G11208/H11208,"")</f>
        <v/>
      </c>
    </row>
    <row r="11209">
      <c r="A11209" s="4" t="inlineStr">
        <is>
          <t>575</t>
        </is>
      </c>
      <c r="B11209" s="4" t="n">
        <v>5</v>
      </c>
      <c r="C11209" s="4" t="inlineStr">
        <is>
          <t>whitetail</t>
        </is>
      </c>
      <c r="D11209" s="4" t="n">
        <v>2006</v>
      </c>
      <c r="E11209" s="13" t="inlineStr">
        <is>
          <t>General</t>
        </is>
      </c>
      <c r="F11209" s="5" t="n">
        <v>2582</v>
      </c>
      <c r="G11209" s="5" t="n">
        <v>12041</v>
      </c>
      <c r="H11209" s="5" t="n">
        <v>1110</v>
      </c>
      <c r="I11209" s="5" t="n">
        <v>449</v>
      </c>
      <c r="J11209" s="5" t="n">
        <v>637</v>
      </c>
      <c r="K11209" s="10">
        <f>IF(F11209&gt;0,H11209/F11209,"")</f>
        <v/>
      </c>
      <c r="L11209" s="16">
        <f>IF(AND(G11209&gt;0,H11209&gt;0),G11209/H11209,"")</f>
        <v/>
      </c>
    </row>
    <row r="11210">
      <c r="A11210" s="4" t="inlineStr">
        <is>
          <t>575</t>
        </is>
      </c>
      <c r="B11210" s="4" t="n">
        <v>5</v>
      </c>
      <c r="C11210" s="4" t="inlineStr">
        <is>
          <t>whitetail</t>
        </is>
      </c>
      <c r="D11210" s="4" t="n">
        <v>2007</v>
      </c>
      <c r="E11210" s="13" t="inlineStr">
        <is>
          <t>General</t>
        </is>
      </c>
      <c r="F11210" s="5" t="n">
        <v>2810</v>
      </c>
      <c r="G11210" s="5" t="n">
        <v>12111</v>
      </c>
      <c r="H11210" s="5" t="n">
        <v>1285</v>
      </c>
      <c r="I11210" s="5" t="n">
        <v>472</v>
      </c>
      <c r="J11210" s="5" t="n">
        <v>782</v>
      </c>
      <c r="K11210" s="10">
        <f>IF(F11210&gt;0,H11210/F11210,"")</f>
        <v/>
      </c>
      <c r="L11210" s="16">
        <f>IF(AND(G11210&gt;0,H11210&gt;0),G11210/H11210,"")</f>
        <v/>
      </c>
    </row>
    <row r="11211">
      <c r="A11211" s="4" t="inlineStr">
        <is>
          <t>575</t>
        </is>
      </c>
      <c r="B11211" s="4" t="n">
        <v>5</v>
      </c>
      <c r="C11211" s="4" t="inlineStr">
        <is>
          <t>whitetail</t>
        </is>
      </c>
      <c r="D11211" s="4" t="n">
        <v>2008</v>
      </c>
      <c r="E11211" s="13" t="inlineStr">
        <is>
          <t>General</t>
        </is>
      </c>
      <c r="F11211" s="5" t="n">
        <v>3072</v>
      </c>
      <c r="G11211" s="5" t="n">
        <v>13479</v>
      </c>
      <c r="H11211" s="5" t="n">
        <v>1108</v>
      </c>
      <c r="I11211" s="5" t="n">
        <v>483</v>
      </c>
      <c r="J11211" s="5" t="n">
        <v>605</v>
      </c>
      <c r="K11211" s="10">
        <f>IF(F11211&gt;0,H11211/F11211,"")</f>
        <v/>
      </c>
      <c r="L11211" s="16">
        <f>IF(AND(G11211&gt;0,H11211&gt;0),G11211/H11211,"")</f>
        <v/>
      </c>
    </row>
    <row r="11212">
      <c r="A11212" s="4" t="inlineStr">
        <is>
          <t>575</t>
        </is>
      </c>
      <c r="B11212" s="4" t="n">
        <v>5</v>
      </c>
      <c r="C11212" s="4" t="inlineStr">
        <is>
          <t>whitetail</t>
        </is>
      </c>
      <c r="D11212" s="4" t="n">
        <v>2009</v>
      </c>
      <c r="E11212" s="13" t="inlineStr">
        <is>
          <t>General</t>
        </is>
      </c>
      <c r="F11212" s="5" t="n">
        <v>3186</v>
      </c>
      <c r="G11212" s="5" t="n">
        <v>13834</v>
      </c>
      <c r="H11212" s="5" t="n">
        <v>1142</v>
      </c>
      <c r="I11212" s="5" t="n">
        <v>488</v>
      </c>
      <c r="J11212" s="5" t="n">
        <v>630</v>
      </c>
      <c r="K11212" s="10">
        <f>IF(F11212&gt;0,H11212/F11212,"")</f>
        <v/>
      </c>
      <c r="L11212" s="16">
        <f>IF(AND(G11212&gt;0,H11212&gt;0),G11212/H11212,"")</f>
        <v/>
      </c>
    </row>
    <row r="11213">
      <c r="A11213" s="4" t="inlineStr">
        <is>
          <t>575</t>
        </is>
      </c>
      <c r="B11213" s="4" t="n">
        <v>5</v>
      </c>
      <c r="C11213" s="4" t="inlineStr">
        <is>
          <t>whitetail</t>
        </is>
      </c>
      <c r="D11213" s="4" t="n">
        <v>2010</v>
      </c>
      <c r="E11213" s="13" t="inlineStr">
        <is>
          <t>General</t>
        </is>
      </c>
      <c r="F11213" s="5" t="n">
        <v>3104</v>
      </c>
      <c r="G11213" s="5" t="n">
        <v>14658</v>
      </c>
      <c r="H11213" s="5" t="n">
        <v>1017</v>
      </c>
      <c r="I11213" s="5" t="n">
        <v>432</v>
      </c>
      <c r="J11213" s="5" t="n">
        <v>566</v>
      </c>
      <c r="K11213" s="10">
        <f>IF(F11213&gt;0,H11213/F11213,"")</f>
        <v/>
      </c>
      <c r="L11213" s="16">
        <f>IF(AND(G11213&gt;0,H11213&gt;0),G11213/H11213,"")</f>
        <v/>
      </c>
    </row>
    <row r="11214">
      <c r="A11214" s="4" t="inlineStr">
        <is>
          <t>575</t>
        </is>
      </c>
      <c r="B11214" s="4" t="n">
        <v>5</v>
      </c>
      <c r="C11214" s="4" t="inlineStr">
        <is>
          <t>whitetail</t>
        </is>
      </c>
      <c r="D11214" s="4" t="n">
        <v>2011</v>
      </c>
      <c r="E11214" s="13" t="inlineStr">
        <is>
          <t>General</t>
        </is>
      </c>
      <c r="F11214" s="5" t="n">
        <v>3029</v>
      </c>
      <c r="G11214" s="5" t="n">
        <v>13382</v>
      </c>
      <c r="H11214" s="5" t="n">
        <v>1008</v>
      </c>
      <c r="I11214" s="5" t="n">
        <v>405</v>
      </c>
      <c r="J11214" s="5" t="n">
        <v>590</v>
      </c>
      <c r="K11214" s="10">
        <f>IF(F11214&gt;0,H11214/F11214,"")</f>
        <v/>
      </c>
      <c r="L11214" s="16">
        <f>IF(AND(G11214&gt;0,H11214&gt;0),G11214/H11214,"")</f>
        <v/>
      </c>
    </row>
    <row r="11215">
      <c r="A11215" s="4" t="inlineStr">
        <is>
          <t>575</t>
        </is>
      </c>
      <c r="B11215" s="4" t="n">
        <v>5</v>
      </c>
      <c r="C11215" s="4" t="inlineStr">
        <is>
          <t>whitetail</t>
        </is>
      </c>
      <c r="D11215" s="4" t="n">
        <v>2012</v>
      </c>
      <c r="E11215" s="13" t="inlineStr">
        <is>
          <t>General</t>
        </is>
      </c>
      <c r="F11215" s="5" t="n"/>
      <c r="G11215" s="5" t="n"/>
      <c r="H11215" s="5" t="n">
        <v>1136</v>
      </c>
      <c r="I11215" s="5" t="n">
        <v>443</v>
      </c>
      <c r="J11215" s="5" t="n">
        <v>675</v>
      </c>
      <c r="K11215" s="10">
        <f>IF(F11215&gt;0,H11215/F11215,"")</f>
        <v/>
      </c>
      <c r="L11215" s="16">
        <f>IF(AND(G11215&gt;0,H11215&gt;0),G11215/H11215,"")</f>
        <v/>
      </c>
    </row>
    <row r="11216">
      <c r="A11216" s="4" t="inlineStr">
        <is>
          <t>575</t>
        </is>
      </c>
      <c r="B11216" s="4" t="n">
        <v>5</v>
      </c>
      <c r="C11216" s="4" t="inlineStr">
        <is>
          <t>whitetail</t>
        </is>
      </c>
      <c r="D11216" s="4" t="n">
        <v>2013</v>
      </c>
      <c r="E11216" s="13" t="inlineStr">
        <is>
          <t>General</t>
        </is>
      </c>
      <c r="F11216" s="5" t="n">
        <v>2802</v>
      </c>
      <c r="G11216" s="5" t="n">
        <v>12584</v>
      </c>
      <c r="H11216" s="5" t="n">
        <v>909</v>
      </c>
      <c r="I11216" s="5" t="n">
        <v>387</v>
      </c>
      <c r="J11216" s="5" t="n">
        <v>496</v>
      </c>
      <c r="K11216" s="10">
        <f>IF(F11216&gt;0,H11216/F11216,"")</f>
        <v/>
      </c>
      <c r="L11216" s="16">
        <f>IF(AND(G11216&gt;0,H11216&gt;0),G11216/H11216,"")</f>
        <v/>
      </c>
    </row>
    <row r="11217">
      <c r="A11217" s="4" t="inlineStr">
        <is>
          <t>575</t>
        </is>
      </c>
      <c r="B11217" s="4" t="n">
        <v>5</v>
      </c>
      <c r="C11217" s="4" t="inlineStr">
        <is>
          <t>whitetail</t>
        </is>
      </c>
      <c r="D11217" s="4" t="n">
        <v>2014</v>
      </c>
      <c r="E11217" s="13" t="inlineStr">
        <is>
          <t>General</t>
        </is>
      </c>
      <c r="F11217" s="5" t="n"/>
      <c r="G11217" s="5" t="n"/>
      <c r="H11217" s="5" t="n">
        <v>655</v>
      </c>
      <c r="I11217" s="5" t="n">
        <v>441</v>
      </c>
      <c r="J11217" s="5" t="n">
        <v>204</v>
      </c>
      <c r="K11217" s="10">
        <f>IF(F11217&gt;0,H11217/F11217,"")</f>
        <v/>
      </c>
      <c r="L11217" s="16">
        <f>IF(AND(G11217&gt;0,H11217&gt;0),G11217/H11217,"")</f>
        <v/>
      </c>
    </row>
    <row r="11218">
      <c r="A11218" s="4" t="inlineStr">
        <is>
          <t>575</t>
        </is>
      </c>
      <c r="B11218" s="4" t="n">
        <v>5</v>
      </c>
      <c r="C11218" s="4" t="inlineStr">
        <is>
          <t>whitetail</t>
        </is>
      </c>
      <c r="D11218" s="4" t="n">
        <v>2015</v>
      </c>
      <c r="E11218" s="13" t="inlineStr">
        <is>
          <t>General</t>
        </is>
      </c>
      <c r="F11218" s="5" t="n"/>
      <c r="G11218" s="5" t="n"/>
      <c r="H11218" s="5" t="n">
        <v>758</v>
      </c>
      <c r="I11218" s="5" t="n">
        <v>514</v>
      </c>
      <c r="J11218" s="5" t="n">
        <v>240</v>
      </c>
      <c r="K11218" s="10">
        <f>IF(F11218&gt;0,H11218/F11218,"")</f>
        <v/>
      </c>
      <c r="L11218" s="16">
        <f>IF(AND(G11218&gt;0,H11218&gt;0),G11218/H11218,"")</f>
        <v/>
      </c>
    </row>
    <row r="11219">
      <c r="A11219" s="4" t="inlineStr">
        <is>
          <t>575</t>
        </is>
      </c>
      <c r="B11219" s="4" t="n">
        <v>5</v>
      </c>
      <c r="C11219" s="4" t="inlineStr">
        <is>
          <t>whitetail</t>
        </is>
      </c>
      <c r="D11219" s="4" t="n">
        <v>2016</v>
      </c>
      <c r="E11219" s="13" t="inlineStr">
        <is>
          <t>General</t>
        </is>
      </c>
      <c r="F11219" s="5" t="n"/>
      <c r="G11219" s="5" t="n"/>
      <c r="H11219" s="5" t="n">
        <v>811</v>
      </c>
      <c r="I11219" s="5" t="n">
        <v>454</v>
      </c>
      <c r="J11219" s="5" t="n">
        <v>353</v>
      </c>
      <c r="K11219" s="10">
        <f>IF(F11219&gt;0,H11219/F11219,"")</f>
        <v/>
      </c>
      <c r="L11219" s="16">
        <f>IF(AND(G11219&gt;0,H11219&gt;0),G11219/H11219,"")</f>
        <v/>
      </c>
    </row>
    <row r="11220">
      <c r="A11220" s="4" t="inlineStr">
        <is>
          <t>575</t>
        </is>
      </c>
      <c r="B11220" s="4" t="n">
        <v>5</v>
      </c>
      <c r="C11220" s="4" t="inlineStr">
        <is>
          <t>whitetail</t>
        </is>
      </c>
      <c r="D11220" s="4" t="n">
        <v>2017</v>
      </c>
      <c r="E11220" s="13" t="inlineStr">
        <is>
          <t>General</t>
        </is>
      </c>
      <c r="F11220" s="5" t="n">
        <v>2404</v>
      </c>
      <c r="G11220" s="5" t="n">
        <v>11085</v>
      </c>
      <c r="H11220" s="5" t="n">
        <v>820</v>
      </c>
      <c r="I11220" s="5" t="n">
        <v>445</v>
      </c>
      <c r="J11220" s="5" t="n">
        <v>363</v>
      </c>
      <c r="K11220" s="10">
        <f>IF(F11220&gt;0,H11220/F11220,"")</f>
        <v/>
      </c>
      <c r="L11220" s="16">
        <f>IF(AND(G11220&gt;0,H11220&gt;0),G11220/H11220,"")</f>
        <v/>
      </c>
    </row>
    <row r="11221">
      <c r="A11221" s="4" t="inlineStr">
        <is>
          <t>575</t>
        </is>
      </c>
      <c r="B11221" s="4" t="n">
        <v>5</v>
      </c>
      <c r="C11221" s="4" t="inlineStr">
        <is>
          <t>whitetail</t>
        </is>
      </c>
      <c r="D11221" s="4" t="n">
        <v>2018</v>
      </c>
      <c r="E11221" s="13" t="inlineStr">
        <is>
          <t>General</t>
        </is>
      </c>
      <c r="F11221" s="5" t="n"/>
      <c r="G11221" s="5" t="n"/>
      <c r="H11221" s="5" t="n">
        <v>645</v>
      </c>
      <c r="I11221" s="5" t="n">
        <v>306</v>
      </c>
      <c r="J11221" s="5" t="n">
        <v>336</v>
      </c>
      <c r="K11221" s="10">
        <f>IF(F11221&gt;0,H11221/F11221,"")</f>
        <v/>
      </c>
      <c r="L11221" s="16">
        <f>IF(AND(G11221&gt;0,H11221&gt;0),G11221/H11221,"")</f>
        <v/>
      </c>
    </row>
    <row r="11222">
      <c r="A11222" s="4" t="inlineStr">
        <is>
          <t>575</t>
        </is>
      </c>
      <c r="B11222" s="4" t="n">
        <v>5</v>
      </c>
      <c r="C11222" s="4" t="inlineStr">
        <is>
          <t>whitetail</t>
        </is>
      </c>
      <c r="D11222" s="4" t="n">
        <v>2019</v>
      </c>
      <c r="E11222" s="13" t="inlineStr">
        <is>
          <t>General</t>
        </is>
      </c>
      <c r="F11222" s="5" t="n">
        <v>1863</v>
      </c>
      <c r="G11222" s="5" t="n">
        <v>9476</v>
      </c>
      <c r="H11222" s="5" t="n">
        <v>590</v>
      </c>
      <c r="I11222" s="5" t="n">
        <v>301</v>
      </c>
      <c r="J11222" s="5" t="n">
        <v>282</v>
      </c>
      <c r="K11222" s="10">
        <f>IF(F11222&gt;0,H11222/F11222,"")</f>
        <v/>
      </c>
      <c r="L11222" s="16">
        <f>IF(AND(G11222&gt;0,H11222&gt;0),G11222/H11222,"")</f>
        <v/>
      </c>
    </row>
    <row r="11223">
      <c r="A11223" s="4" t="inlineStr">
        <is>
          <t>575</t>
        </is>
      </c>
      <c r="B11223" s="4" t="n">
        <v>5</v>
      </c>
      <c r="C11223" s="4" t="inlineStr">
        <is>
          <t>whitetail</t>
        </is>
      </c>
      <c r="D11223" s="4" t="n">
        <v>2020</v>
      </c>
      <c r="E11223" s="13" t="inlineStr">
        <is>
          <t>General</t>
        </is>
      </c>
      <c r="F11223" s="5" t="n"/>
      <c r="G11223" s="5" t="n"/>
      <c r="H11223" s="5" t="n">
        <v>577</v>
      </c>
      <c r="I11223" s="5" t="n">
        <v>273</v>
      </c>
      <c r="J11223" s="5" t="n">
        <v>304</v>
      </c>
      <c r="K11223" s="10">
        <f>IF(F11223&gt;0,H11223/F11223,"")</f>
        <v/>
      </c>
      <c r="L11223" s="16">
        <f>IF(AND(G11223&gt;0,H11223&gt;0),G11223/H11223,"")</f>
        <v/>
      </c>
    </row>
    <row r="11224">
      <c r="A11224" s="4" t="inlineStr">
        <is>
          <t>575</t>
        </is>
      </c>
      <c r="B11224" s="4" t="n">
        <v>5</v>
      </c>
      <c r="C11224" s="4" t="inlineStr">
        <is>
          <t>whitetail</t>
        </is>
      </c>
      <c r="D11224" s="4" t="n">
        <v>2021</v>
      </c>
      <c r="E11224" s="13" t="inlineStr">
        <is>
          <t>General</t>
        </is>
      </c>
      <c r="F11224" s="5" t="n">
        <v>1731</v>
      </c>
      <c r="G11224" s="5" t="n">
        <v>9393</v>
      </c>
      <c r="H11224" s="5" t="n">
        <v>541</v>
      </c>
      <c r="I11224" s="5" t="n">
        <v>272</v>
      </c>
      <c r="J11224" s="5" t="n">
        <v>263</v>
      </c>
      <c r="K11224" s="10">
        <f>IF(F11224&gt;0,H11224/F11224,"")</f>
        <v/>
      </c>
      <c r="L11224" s="16">
        <f>IF(AND(G11224&gt;0,H11224&gt;0),G11224/H11224,"")</f>
        <v/>
      </c>
    </row>
    <row r="11225">
      <c r="A11225" s="4" t="inlineStr">
        <is>
          <t>575</t>
        </is>
      </c>
      <c r="B11225" s="4" t="n">
        <v>5</v>
      </c>
      <c r="C11225" s="4" t="inlineStr">
        <is>
          <t>whitetail</t>
        </is>
      </c>
      <c r="D11225" s="4" t="n">
        <v>2022</v>
      </c>
      <c r="E11225" s="13" t="inlineStr">
        <is>
          <t>General</t>
        </is>
      </c>
      <c r="F11225" s="5" t="n"/>
      <c r="G11225" s="5" t="n"/>
      <c r="H11225" s="5" t="n">
        <v>612</v>
      </c>
      <c r="I11225" s="5" t="n">
        <v>299</v>
      </c>
      <c r="J11225" s="5" t="n">
        <v>309</v>
      </c>
      <c r="K11225" s="10">
        <f>IF(F11225&gt;0,H11225/F11225,"")</f>
        <v/>
      </c>
      <c r="L11225" s="16">
        <f>IF(AND(G11225&gt;0,H11225&gt;0),G11225/H11225,"")</f>
        <v/>
      </c>
    </row>
    <row r="11226">
      <c r="A11226" s="4" t="inlineStr">
        <is>
          <t>575</t>
        </is>
      </c>
      <c r="B11226" s="4" t="n">
        <v>5</v>
      </c>
      <c r="C11226" s="4" t="inlineStr">
        <is>
          <t>whitetail</t>
        </is>
      </c>
      <c r="D11226" s="4" t="n">
        <v>2023</v>
      </c>
      <c r="E11226" s="13" t="inlineStr">
        <is>
          <t>General</t>
        </is>
      </c>
      <c r="F11226" s="5" t="n">
        <v>1970</v>
      </c>
      <c r="G11226" s="5" t="n">
        <v>11695</v>
      </c>
      <c r="H11226" s="5" t="n">
        <v>572</v>
      </c>
      <c r="I11226" s="5" t="n">
        <v>277</v>
      </c>
      <c r="J11226" s="5" t="n">
        <v>290</v>
      </c>
      <c r="K11226" s="10">
        <f>IF(F11226&gt;0,H11226/F11226,"")</f>
        <v/>
      </c>
      <c r="L11226" s="16">
        <f>IF(AND(G11226&gt;0,H11226&gt;0),G11226/H11226,"")</f>
        <v/>
      </c>
    </row>
    <row r="11227">
      <c r="A11227" s="4" t="inlineStr">
        <is>
          <t>575</t>
        </is>
      </c>
      <c r="B11227" s="4" t="n">
        <v>5</v>
      </c>
      <c r="C11227" s="4" t="inlineStr">
        <is>
          <t>whitetail</t>
        </is>
      </c>
      <c r="D11227" s="4" t="n">
        <v>2024</v>
      </c>
      <c r="E11227" s="13" t="inlineStr">
        <is>
          <t>General</t>
        </is>
      </c>
      <c r="F11227" s="5" t="n"/>
      <c r="G11227" s="5" t="n"/>
      <c r="H11227" s="5" t="n">
        <v>742</v>
      </c>
      <c r="I11227" s="5" t="n">
        <v>436</v>
      </c>
      <c r="J11227" s="5" t="n">
        <v>302</v>
      </c>
      <c r="K11227" s="10">
        <f>IF(F11227&gt;0,H11227/F11227,"")</f>
        <v/>
      </c>
      <c r="L11227" s="16">
        <f>IF(AND(G11227&gt;0,H11227&gt;0),G11227/H11227,"")</f>
        <v/>
      </c>
    </row>
    <row r="11228">
      <c r="A11228" s="4" t="inlineStr">
        <is>
          <t>575</t>
        </is>
      </c>
      <c r="B11228" s="4" t="n">
        <v>5</v>
      </c>
      <c r="C11228" s="4" t="inlineStr">
        <is>
          <t>whitetail</t>
        </is>
      </c>
      <c r="D11228" s="4" t="n">
        <v>2025</v>
      </c>
      <c r="E11228" s="13" t="inlineStr">
        <is>
          <t>General</t>
        </is>
      </c>
      <c r="F11228" s="5" t="n">
        <v>2007</v>
      </c>
      <c r="G11228" s="5" t="n">
        <v>11128</v>
      </c>
      <c r="H11228" s="5" t="n">
        <v>536</v>
      </c>
      <c r="I11228" s="5" t="n">
        <v>278</v>
      </c>
      <c r="J11228" s="5" t="n">
        <v>258</v>
      </c>
      <c r="K11228" s="10">
        <f>IF(F11228&gt;0,H11228/F11228,"")</f>
        <v/>
      </c>
      <c r="L11228" s="16">
        <f>IF(AND(G11228&gt;0,H11228&gt;0),G11228/H11228,"")</f>
        <v/>
      </c>
    </row>
    <row r="11229">
      <c r="A11229" s="4" t="inlineStr">
        <is>
          <t>580</t>
        </is>
      </c>
      <c r="B11229" s="4" t="n">
        <v>5</v>
      </c>
      <c r="C11229" s="4" t="inlineStr">
        <is>
          <t>whitetail</t>
        </is>
      </c>
      <c r="D11229" s="4" t="n">
        <v>2004</v>
      </c>
      <c r="E11229" s="13" t="inlineStr">
        <is>
          <t>General</t>
        </is>
      </c>
      <c r="F11229" s="5" t="n">
        <v>2011</v>
      </c>
      <c r="G11229" s="5" t="n">
        <v>8000</v>
      </c>
      <c r="H11229" s="5" t="n">
        <v>950</v>
      </c>
      <c r="I11229" s="5" t="n">
        <v>410</v>
      </c>
      <c r="J11229" s="5" t="n">
        <v>517</v>
      </c>
      <c r="K11229" s="10">
        <f>IF(F11229&gt;0,H11229/F11229,"")</f>
        <v/>
      </c>
      <c r="L11229" s="16">
        <f>IF(AND(G11229&gt;0,H11229&gt;0),G11229/H11229,"")</f>
        <v/>
      </c>
    </row>
    <row r="11230">
      <c r="A11230" s="4" t="inlineStr">
        <is>
          <t>580</t>
        </is>
      </c>
      <c r="B11230" s="4" t="n">
        <v>5</v>
      </c>
      <c r="C11230" s="4" t="inlineStr">
        <is>
          <t>whitetail</t>
        </is>
      </c>
      <c r="D11230" s="4" t="n">
        <v>2005</v>
      </c>
      <c r="E11230" s="13" t="inlineStr">
        <is>
          <t>General</t>
        </is>
      </c>
      <c r="F11230" s="5" t="n">
        <v>1644</v>
      </c>
      <c r="G11230" s="5" t="n">
        <v>6578</v>
      </c>
      <c r="H11230" s="5" t="n">
        <v>881</v>
      </c>
      <c r="I11230" s="5" t="n">
        <v>352</v>
      </c>
      <c r="J11230" s="5" t="n">
        <v>514</v>
      </c>
      <c r="K11230" s="10">
        <f>IF(F11230&gt;0,H11230/F11230,"")</f>
        <v/>
      </c>
      <c r="L11230" s="16">
        <f>IF(AND(G11230&gt;0,H11230&gt;0),G11230/H11230,"")</f>
        <v/>
      </c>
    </row>
    <row r="11231">
      <c r="A11231" s="4" t="inlineStr">
        <is>
          <t>580</t>
        </is>
      </c>
      <c r="B11231" s="4" t="n">
        <v>5</v>
      </c>
      <c r="C11231" s="4" t="inlineStr">
        <is>
          <t>whitetail</t>
        </is>
      </c>
      <c r="D11231" s="4" t="n">
        <v>2006</v>
      </c>
      <c r="E11231" s="13" t="inlineStr">
        <is>
          <t>General</t>
        </is>
      </c>
      <c r="F11231" s="5" t="n">
        <v>1649</v>
      </c>
      <c r="G11231" s="5" t="n">
        <v>7210</v>
      </c>
      <c r="H11231" s="5" t="n">
        <v>1033</v>
      </c>
      <c r="I11231" s="5" t="n">
        <v>426</v>
      </c>
      <c r="J11231" s="5" t="n">
        <v>576</v>
      </c>
      <c r="K11231" s="10">
        <f>IF(F11231&gt;0,H11231/F11231,"")</f>
        <v/>
      </c>
      <c r="L11231" s="16">
        <f>IF(AND(G11231&gt;0,H11231&gt;0),G11231/H11231,"")</f>
        <v/>
      </c>
    </row>
    <row r="11232">
      <c r="A11232" s="4" t="inlineStr">
        <is>
          <t>580</t>
        </is>
      </c>
      <c r="B11232" s="4" t="n">
        <v>5</v>
      </c>
      <c r="C11232" s="4" t="inlineStr">
        <is>
          <t>whitetail</t>
        </is>
      </c>
      <c r="D11232" s="4" t="n">
        <v>2007</v>
      </c>
      <c r="E11232" s="13" t="inlineStr">
        <is>
          <t>General</t>
        </is>
      </c>
      <c r="F11232" s="5" t="n">
        <v>1742</v>
      </c>
      <c r="G11232" s="5" t="n">
        <v>7505</v>
      </c>
      <c r="H11232" s="5" t="n">
        <v>1026</v>
      </c>
      <c r="I11232" s="5" t="n">
        <v>341</v>
      </c>
      <c r="J11232" s="5" t="n">
        <v>647</v>
      </c>
      <c r="K11232" s="10">
        <f>IF(F11232&gt;0,H11232/F11232,"")</f>
        <v/>
      </c>
      <c r="L11232" s="16">
        <f>IF(AND(G11232&gt;0,H11232&gt;0),G11232/H11232,"")</f>
        <v/>
      </c>
    </row>
    <row r="11233">
      <c r="A11233" s="4" t="inlineStr">
        <is>
          <t>580</t>
        </is>
      </c>
      <c r="B11233" s="4" t="n">
        <v>5</v>
      </c>
      <c r="C11233" s="4" t="inlineStr">
        <is>
          <t>whitetail</t>
        </is>
      </c>
      <c r="D11233" s="4" t="n">
        <v>2008</v>
      </c>
      <c r="E11233" s="13" t="inlineStr">
        <is>
          <t>General</t>
        </is>
      </c>
      <c r="F11233" s="5" t="n">
        <v>1730</v>
      </c>
      <c r="G11233" s="5" t="n">
        <v>7215</v>
      </c>
      <c r="H11233" s="5" t="n">
        <v>900</v>
      </c>
      <c r="I11233" s="5" t="n">
        <v>440</v>
      </c>
      <c r="J11233" s="5" t="n">
        <v>426</v>
      </c>
      <c r="K11233" s="10">
        <f>IF(F11233&gt;0,H11233/F11233,"")</f>
        <v/>
      </c>
      <c r="L11233" s="16">
        <f>IF(AND(G11233&gt;0,H11233&gt;0),G11233/H11233,"")</f>
        <v/>
      </c>
    </row>
    <row r="11234">
      <c r="A11234" s="4" t="inlineStr">
        <is>
          <t>580</t>
        </is>
      </c>
      <c r="B11234" s="4" t="n">
        <v>5</v>
      </c>
      <c r="C11234" s="4" t="inlineStr">
        <is>
          <t>whitetail</t>
        </is>
      </c>
      <c r="D11234" s="4" t="n">
        <v>2009</v>
      </c>
      <c r="E11234" s="13" t="inlineStr">
        <is>
          <t>General</t>
        </is>
      </c>
      <c r="F11234" s="5" t="n">
        <v>1629</v>
      </c>
      <c r="G11234" s="5" t="n">
        <v>7511</v>
      </c>
      <c r="H11234" s="5" t="n">
        <v>756</v>
      </c>
      <c r="I11234" s="5" t="n">
        <v>308</v>
      </c>
      <c r="J11234" s="5" t="n">
        <v>421</v>
      </c>
      <c r="K11234" s="10">
        <f>IF(F11234&gt;0,H11234/F11234,"")</f>
        <v/>
      </c>
      <c r="L11234" s="16">
        <f>IF(AND(G11234&gt;0,H11234&gt;0),G11234/H11234,"")</f>
        <v/>
      </c>
    </row>
    <row r="11235">
      <c r="A11235" s="4" t="inlineStr">
        <is>
          <t>580</t>
        </is>
      </c>
      <c r="B11235" s="4" t="n">
        <v>5</v>
      </c>
      <c r="C11235" s="4" t="inlineStr">
        <is>
          <t>whitetail</t>
        </is>
      </c>
      <c r="D11235" s="4" t="n">
        <v>2010</v>
      </c>
      <c r="E11235" s="13" t="inlineStr">
        <is>
          <t>General</t>
        </is>
      </c>
      <c r="F11235" s="5" t="n">
        <v>1823</v>
      </c>
      <c r="G11235" s="5" t="n">
        <v>8065</v>
      </c>
      <c r="H11235" s="5" t="n">
        <v>629</v>
      </c>
      <c r="I11235" s="5" t="n">
        <v>249</v>
      </c>
      <c r="J11235" s="5" t="n">
        <v>369</v>
      </c>
      <c r="K11235" s="10">
        <f>IF(F11235&gt;0,H11235/F11235,"")</f>
        <v/>
      </c>
      <c r="L11235" s="16">
        <f>IF(AND(G11235&gt;0,H11235&gt;0),G11235/H11235,"")</f>
        <v/>
      </c>
    </row>
    <row r="11236">
      <c r="A11236" s="4" t="inlineStr">
        <is>
          <t>580</t>
        </is>
      </c>
      <c r="B11236" s="4" t="n">
        <v>5</v>
      </c>
      <c r="C11236" s="4" t="inlineStr">
        <is>
          <t>whitetail</t>
        </is>
      </c>
      <c r="D11236" s="4" t="n">
        <v>2011</v>
      </c>
      <c r="E11236" s="13" t="inlineStr">
        <is>
          <t>General</t>
        </is>
      </c>
      <c r="F11236" s="5" t="n">
        <v>1749</v>
      </c>
      <c r="G11236" s="5" t="n">
        <v>8083</v>
      </c>
      <c r="H11236" s="5" t="n">
        <v>828</v>
      </c>
      <c r="I11236" s="5" t="n">
        <v>294</v>
      </c>
      <c r="J11236" s="5" t="n">
        <v>525</v>
      </c>
      <c r="K11236" s="10">
        <f>IF(F11236&gt;0,H11236/F11236,"")</f>
        <v/>
      </c>
      <c r="L11236" s="16">
        <f>IF(AND(G11236&gt;0,H11236&gt;0),G11236/H11236,"")</f>
        <v/>
      </c>
    </row>
    <row r="11237">
      <c r="A11237" s="4" t="inlineStr">
        <is>
          <t>580</t>
        </is>
      </c>
      <c r="B11237" s="4" t="n">
        <v>5</v>
      </c>
      <c r="C11237" s="4" t="inlineStr">
        <is>
          <t>whitetail</t>
        </is>
      </c>
      <c r="D11237" s="4" t="n">
        <v>2012</v>
      </c>
      <c r="E11237" s="13" t="inlineStr">
        <is>
          <t>General</t>
        </is>
      </c>
      <c r="F11237" s="5" t="n"/>
      <c r="G11237" s="5" t="n"/>
      <c r="H11237" s="5" t="n">
        <v>840</v>
      </c>
      <c r="I11237" s="5" t="n">
        <v>322</v>
      </c>
      <c r="J11237" s="5" t="n">
        <v>506</v>
      </c>
      <c r="K11237" s="10">
        <f>IF(F11237&gt;0,H11237/F11237,"")</f>
        <v/>
      </c>
      <c r="L11237" s="16">
        <f>IF(AND(G11237&gt;0,H11237&gt;0),G11237/H11237,"")</f>
        <v/>
      </c>
    </row>
    <row r="11238">
      <c r="A11238" s="4" t="inlineStr">
        <is>
          <t>580</t>
        </is>
      </c>
      <c r="B11238" s="4" t="n">
        <v>5</v>
      </c>
      <c r="C11238" s="4" t="inlineStr">
        <is>
          <t>whitetail</t>
        </is>
      </c>
      <c r="D11238" s="4" t="n">
        <v>2013</v>
      </c>
      <c r="E11238" s="13" t="inlineStr">
        <is>
          <t>General</t>
        </is>
      </c>
      <c r="F11238" s="5" t="n">
        <v>1851</v>
      </c>
      <c r="G11238" s="5" t="n">
        <v>8099</v>
      </c>
      <c r="H11238" s="5" t="n">
        <v>783</v>
      </c>
      <c r="I11238" s="5" t="n">
        <v>307</v>
      </c>
      <c r="J11238" s="5" t="n">
        <v>458</v>
      </c>
      <c r="K11238" s="10">
        <f>IF(F11238&gt;0,H11238/F11238,"")</f>
        <v/>
      </c>
      <c r="L11238" s="16">
        <f>IF(AND(G11238&gt;0,H11238&gt;0),G11238/H11238,"")</f>
        <v/>
      </c>
    </row>
    <row r="11239">
      <c r="A11239" s="4" t="inlineStr">
        <is>
          <t>580</t>
        </is>
      </c>
      <c r="B11239" s="4" t="n">
        <v>5</v>
      </c>
      <c r="C11239" s="4" t="inlineStr">
        <is>
          <t>whitetail</t>
        </is>
      </c>
      <c r="D11239" s="4" t="n">
        <v>2014</v>
      </c>
      <c r="E11239" s="13" t="inlineStr">
        <is>
          <t>General</t>
        </is>
      </c>
      <c r="F11239" s="5" t="n"/>
      <c r="G11239" s="5" t="n"/>
      <c r="H11239" s="5" t="n">
        <v>461</v>
      </c>
      <c r="I11239" s="5" t="n">
        <v>379</v>
      </c>
      <c r="J11239" s="5" t="n">
        <v>82</v>
      </c>
      <c r="K11239" s="10">
        <f>IF(F11239&gt;0,H11239/F11239,"")</f>
        <v/>
      </c>
      <c r="L11239" s="16">
        <f>IF(AND(G11239&gt;0,H11239&gt;0),G11239/H11239,"")</f>
        <v/>
      </c>
    </row>
    <row r="11240">
      <c r="A11240" s="4" t="inlineStr">
        <is>
          <t>580</t>
        </is>
      </c>
      <c r="B11240" s="4" t="n">
        <v>5</v>
      </c>
      <c r="C11240" s="4" t="inlineStr">
        <is>
          <t>whitetail</t>
        </is>
      </c>
      <c r="D11240" s="4" t="n">
        <v>2015</v>
      </c>
      <c r="E11240" s="13" t="inlineStr">
        <is>
          <t>General</t>
        </is>
      </c>
      <c r="F11240" s="5" t="n"/>
      <c r="G11240" s="5" t="n"/>
      <c r="H11240" s="5" t="n">
        <v>474</v>
      </c>
      <c r="I11240" s="5" t="n">
        <v>403</v>
      </c>
      <c r="J11240" s="5" t="n">
        <v>67</v>
      </c>
      <c r="K11240" s="10">
        <f>IF(F11240&gt;0,H11240/F11240,"")</f>
        <v/>
      </c>
      <c r="L11240" s="16">
        <f>IF(AND(G11240&gt;0,H11240&gt;0),G11240/H11240,"")</f>
        <v/>
      </c>
    </row>
    <row r="11241">
      <c r="A11241" s="4" t="inlineStr">
        <is>
          <t>580</t>
        </is>
      </c>
      <c r="B11241" s="4" t="n">
        <v>5</v>
      </c>
      <c r="C11241" s="4" t="inlineStr">
        <is>
          <t>whitetail</t>
        </is>
      </c>
      <c r="D11241" s="4" t="n">
        <v>2016</v>
      </c>
      <c r="E11241" s="13" t="inlineStr">
        <is>
          <t>General</t>
        </is>
      </c>
      <c r="F11241" s="5" t="n"/>
      <c r="G11241" s="5" t="n"/>
      <c r="H11241" s="5" t="n">
        <v>604</v>
      </c>
      <c r="I11241" s="5" t="n">
        <v>445</v>
      </c>
      <c r="J11241" s="5" t="n">
        <v>156</v>
      </c>
      <c r="K11241" s="10">
        <f>IF(F11241&gt;0,H11241/F11241,"")</f>
        <v/>
      </c>
      <c r="L11241" s="16">
        <f>IF(AND(G11241&gt;0,H11241&gt;0),G11241/H11241,"")</f>
        <v/>
      </c>
    </row>
    <row r="11242">
      <c r="A11242" s="4" t="inlineStr">
        <is>
          <t>580</t>
        </is>
      </c>
      <c r="B11242" s="4" t="n">
        <v>5</v>
      </c>
      <c r="C11242" s="4" t="inlineStr">
        <is>
          <t>whitetail</t>
        </is>
      </c>
      <c r="D11242" s="4" t="n">
        <v>2017</v>
      </c>
      <c r="E11242" s="13" t="inlineStr">
        <is>
          <t>General</t>
        </is>
      </c>
      <c r="F11242" s="5" t="n">
        <v>1299</v>
      </c>
      <c r="G11242" s="5" t="n">
        <v>5772</v>
      </c>
      <c r="H11242" s="5" t="n">
        <v>574</v>
      </c>
      <c r="I11242" s="5" t="n">
        <v>324</v>
      </c>
      <c r="J11242" s="5" t="n">
        <v>247</v>
      </c>
      <c r="K11242" s="10">
        <f>IF(F11242&gt;0,H11242/F11242,"")</f>
        <v/>
      </c>
      <c r="L11242" s="16">
        <f>IF(AND(G11242&gt;0,H11242&gt;0),G11242/H11242,"")</f>
        <v/>
      </c>
    </row>
    <row r="11243">
      <c r="A11243" s="4" t="inlineStr">
        <is>
          <t>580</t>
        </is>
      </c>
      <c r="B11243" s="4" t="n">
        <v>5</v>
      </c>
      <c r="C11243" s="4" t="inlineStr">
        <is>
          <t>whitetail</t>
        </is>
      </c>
      <c r="D11243" s="4" t="n">
        <v>2018</v>
      </c>
      <c r="E11243" s="13" t="inlineStr">
        <is>
          <t>General</t>
        </is>
      </c>
      <c r="F11243" s="5" t="n"/>
      <c r="G11243" s="5" t="n"/>
      <c r="H11243" s="5" t="n">
        <v>534</v>
      </c>
      <c r="I11243" s="5" t="n">
        <v>286</v>
      </c>
      <c r="J11243" s="5" t="n">
        <v>241</v>
      </c>
      <c r="K11243" s="10">
        <f>IF(F11243&gt;0,H11243/F11243,"")</f>
        <v/>
      </c>
      <c r="L11243" s="16">
        <f>IF(AND(G11243&gt;0,H11243&gt;0),G11243/H11243,"")</f>
        <v/>
      </c>
    </row>
    <row r="11244">
      <c r="A11244" s="4" t="inlineStr">
        <is>
          <t>580</t>
        </is>
      </c>
      <c r="B11244" s="4" t="n">
        <v>5</v>
      </c>
      <c r="C11244" s="4" t="inlineStr">
        <is>
          <t>whitetail</t>
        </is>
      </c>
      <c r="D11244" s="4" t="n">
        <v>2019</v>
      </c>
      <c r="E11244" s="13" t="inlineStr">
        <is>
          <t>General</t>
        </is>
      </c>
      <c r="F11244" s="5" t="n">
        <v>1135</v>
      </c>
      <c r="G11244" s="5" t="n">
        <v>5913</v>
      </c>
      <c r="H11244" s="5" t="n">
        <v>483</v>
      </c>
      <c r="I11244" s="5" t="n">
        <v>257</v>
      </c>
      <c r="J11244" s="5" t="n">
        <v>218</v>
      </c>
      <c r="K11244" s="10">
        <f>IF(F11244&gt;0,H11244/F11244,"")</f>
        <v/>
      </c>
      <c r="L11244" s="16">
        <f>IF(AND(G11244&gt;0,H11244&gt;0),G11244/H11244,"")</f>
        <v/>
      </c>
    </row>
    <row r="11245">
      <c r="A11245" s="4" t="inlineStr">
        <is>
          <t>580</t>
        </is>
      </c>
      <c r="B11245" s="4" t="n">
        <v>5</v>
      </c>
      <c r="C11245" s="4" t="inlineStr">
        <is>
          <t>whitetail</t>
        </is>
      </c>
      <c r="D11245" s="4" t="n">
        <v>2020</v>
      </c>
      <c r="E11245" s="13" t="inlineStr">
        <is>
          <t>General</t>
        </is>
      </c>
      <c r="F11245" s="5" t="n"/>
      <c r="G11245" s="5" t="n"/>
      <c r="H11245" s="5" t="n">
        <v>707</v>
      </c>
      <c r="I11245" s="5" t="n">
        <v>318</v>
      </c>
      <c r="J11245" s="5" t="n">
        <v>386</v>
      </c>
      <c r="K11245" s="10">
        <f>IF(F11245&gt;0,H11245/F11245,"")</f>
        <v/>
      </c>
      <c r="L11245" s="16">
        <f>IF(AND(G11245&gt;0,H11245&gt;0),G11245/H11245,"")</f>
        <v/>
      </c>
    </row>
    <row r="11246">
      <c r="A11246" s="4" t="inlineStr">
        <is>
          <t>580</t>
        </is>
      </c>
      <c r="B11246" s="4" t="n">
        <v>5</v>
      </c>
      <c r="C11246" s="4" t="inlineStr">
        <is>
          <t>whitetail</t>
        </is>
      </c>
      <c r="D11246" s="4" t="n">
        <v>2021</v>
      </c>
      <c r="E11246" s="13" t="inlineStr">
        <is>
          <t>General</t>
        </is>
      </c>
      <c r="F11246" s="5" t="n">
        <v>1137</v>
      </c>
      <c r="G11246" s="5" t="n">
        <v>5129</v>
      </c>
      <c r="H11246" s="5" t="n">
        <v>469</v>
      </c>
      <c r="I11246" s="5" t="n">
        <v>261</v>
      </c>
      <c r="J11246" s="5" t="n">
        <v>208</v>
      </c>
      <c r="K11246" s="10">
        <f>IF(F11246&gt;0,H11246/F11246,"")</f>
        <v/>
      </c>
      <c r="L11246" s="16">
        <f>IF(AND(G11246&gt;0,H11246&gt;0),G11246/H11246,"")</f>
        <v/>
      </c>
    </row>
    <row r="11247">
      <c r="A11247" s="4" t="inlineStr">
        <is>
          <t>580</t>
        </is>
      </c>
      <c r="B11247" s="4" t="n">
        <v>5</v>
      </c>
      <c r="C11247" s="4" t="inlineStr">
        <is>
          <t>whitetail</t>
        </is>
      </c>
      <c r="D11247" s="4" t="n">
        <v>2022</v>
      </c>
      <c r="E11247" s="13" t="inlineStr">
        <is>
          <t>General</t>
        </is>
      </c>
      <c r="F11247" s="5" t="n"/>
      <c r="G11247" s="5" t="n"/>
      <c r="H11247" s="5" t="n">
        <v>515</v>
      </c>
      <c r="I11247" s="5" t="n">
        <v>307</v>
      </c>
      <c r="J11247" s="5" t="n">
        <v>205</v>
      </c>
      <c r="K11247" s="10">
        <f>IF(F11247&gt;0,H11247/F11247,"")</f>
        <v/>
      </c>
      <c r="L11247" s="16">
        <f>IF(AND(G11247&gt;0,H11247&gt;0),G11247/H11247,"")</f>
        <v/>
      </c>
    </row>
    <row r="11248">
      <c r="A11248" s="4" t="inlineStr">
        <is>
          <t>580</t>
        </is>
      </c>
      <c r="B11248" s="4" t="n">
        <v>5</v>
      </c>
      <c r="C11248" s="4" t="inlineStr">
        <is>
          <t>whitetail</t>
        </is>
      </c>
      <c r="D11248" s="4" t="n">
        <v>2023</v>
      </c>
      <c r="E11248" s="13" t="inlineStr">
        <is>
          <t>General</t>
        </is>
      </c>
      <c r="F11248" s="5" t="n">
        <v>1145</v>
      </c>
      <c r="G11248" s="5" t="n">
        <v>5774</v>
      </c>
      <c r="H11248" s="5" t="n">
        <v>613</v>
      </c>
      <c r="I11248" s="5" t="n">
        <v>329</v>
      </c>
      <c r="J11248" s="5" t="n">
        <v>280</v>
      </c>
      <c r="K11248" s="10">
        <f>IF(F11248&gt;0,H11248/F11248,"")</f>
        <v/>
      </c>
      <c r="L11248" s="16">
        <f>IF(AND(G11248&gt;0,H11248&gt;0),G11248/H11248,"")</f>
        <v/>
      </c>
    </row>
    <row r="11249">
      <c r="A11249" s="4" t="inlineStr">
        <is>
          <t>580</t>
        </is>
      </c>
      <c r="B11249" s="4" t="n">
        <v>5</v>
      </c>
      <c r="C11249" s="4" t="inlineStr">
        <is>
          <t>whitetail</t>
        </is>
      </c>
      <c r="D11249" s="4" t="n">
        <v>2024</v>
      </c>
      <c r="E11249" s="13" t="inlineStr">
        <is>
          <t>General</t>
        </is>
      </c>
      <c r="F11249" s="5" t="n"/>
      <c r="G11249" s="5" t="n"/>
      <c r="H11249" s="5" t="n">
        <v>588</v>
      </c>
      <c r="I11249" s="5" t="n">
        <v>352</v>
      </c>
      <c r="J11249" s="5" t="n">
        <v>236</v>
      </c>
      <c r="K11249" s="10">
        <f>IF(F11249&gt;0,H11249/F11249,"")</f>
        <v/>
      </c>
      <c r="L11249" s="16">
        <f>IF(AND(G11249&gt;0,H11249&gt;0),G11249/H11249,"")</f>
        <v/>
      </c>
    </row>
    <row r="11250">
      <c r="A11250" s="4" t="inlineStr">
        <is>
          <t>580</t>
        </is>
      </c>
      <c r="B11250" s="4" t="n">
        <v>5</v>
      </c>
      <c r="C11250" s="4" t="inlineStr">
        <is>
          <t>whitetail</t>
        </is>
      </c>
      <c r="D11250" s="4" t="n">
        <v>2025</v>
      </c>
      <c r="E11250" s="13" t="inlineStr">
        <is>
          <t>General</t>
        </is>
      </c>
      <c r="F11250" s="5" t="n">
        <v>1399</v>
      </c>
      <c r="G11250" s="5" t="n">
        <v>7790</v>
      </c>
      <c r="H11250" s="5" t="n">
        <v>496</v>
      </c>
      <c r="I11250" s="5" t="n">
        <v>254</v>
      </c>
      <c r="J11250" s="5" t="n">
        <v>239</v>
      </c>
      <c r="K11250" s="10">
        <f>IF(F11250&gt;0,H11250/F11250,"")</f>
        <v/>
      </c>
      <c r="L11250" s="16">
        <f>IF(AND(G11250&gt;0,H11250&gt;0),G11250/H11250,"")</f>
        <v/>
      </c>
    </row>
    <row r="11251">
      <c r="A11251" s="4" t="inlineStr">
        <is>
          <t>590</t>
        </is>
      </c>
      <c r="B11251" s="4" t="n">
        <v>5</v>
      </c>
      <c r="C11251" s="4" t="inlineStr">
        <is>
          <t>whitetail</t>
        </is>
      </c>
      <c r="D11251" s="4" t="n">
        <v>2004</v>
      </c>
      <c r="E11251" s="13" t="inlineStr">
        <is>
          <t>General</t>
        </is>
      </c>
      <c r="F11251" s="5" t="n">
        <v>3527</v>
      </c>
      <c r="G11251" s="5" t="n">
        <v>16238</v>
      </c>
      <c r="H11251" s="5" t="n">
        <v>765</v>
      </c>
      <c r="I11251" s="5" t="n">
        <v>463</v>
      </c>
      <c r="J11251" s="5" t="n">
        <v>284</v>
      </c>
      <c r="K11251" s="10">
        <f>IF(F11251&gt;0,H11251/F11251,"")</f>
        <v/>
      </c>
      <c r="L11251" s="16">
        <f>IF(AND(G11251&gt;0,H11251&gt;0),G11251/H11251,"")</f>
        <v/>
      </c>
    </row>
    <row r="11252">
      <c r="A11252" s="4" t="inlineStr">
        <is>
          <t>590</t>
        </is>
      </c>
      <c r="B11252" s="4" t="n">
        <v>5</v>
      </c>
      <c r="C11252" s="4" t="inlineStr">
        <is>
          <t>whitetail</t>
        </is>
      </c>
      <c r="D11252" s="4" t="n">
        <v>2005</v>
      </c>
      <c r="E11252" s="13" t="inlineStr">
        <is>
          <t>General</t>
        </is>
      </c>
      <c r="F11252" s="5" t="n">
        <v>3410</v>
      </c>
      <c r="G11252" s="5" t="n">
        <v>17034</v>
      </c>
      <c r="H11252" s="5" t="n">
        <v>752</v>
      </c>
      <c r="I11252" s="5" t="n">
        <v>447</v>
      </c>
      <c r="J11252" s="5" t="n">
        <v>297</v>
      </c>
      <c r="K11252" s="10">
        <f>IF(F11252&gt;0,H11252/F11252,"")</f>
        <v/>
      </c>
      <c r="L11252" s="16">
        <f>IF(AND(G11252&gt;0,H11252&gt;0),G11252/H11252,"")</f>
        <v/>
      </c>
    </row>
    <row r="11253">
      <c r="A11253" s="4" t="inlineStr">
        <is>
          <t>590</t>
        </is>
      </c>
      <c r="B11253" s="4" t="n">
        <v>5</v>
      </c>
      <c r="C11253" s="4" t="inlineStr">
        <is>
          <t>whitetail</t>
        </is>
      </c>
      <c r="D11253" s="4" t="n">
        <v>2006</v>
      </c>
      <c r="E11253" s="13" t="inlineStr">
        <is>
          <t>General</t>
        </is>
      </c>
      <c r="F11253" s="5" t="n">
        <v>3273</v>
      </c>
      <c r="G11253" s="5" t="n">
        <v>17242</v>
      </c>
      <c r="H11253" s="5" t="n">
        <v>941</v>
      </c>
      <c r="I11253" s="5" t="n">
        <v>472</v>
      </c>
      <c r="J11253" s="5" t="n">
        <v>455</v>
      </c>
      <c r="K11253" s="10">
        <f>IF(F11253&gt;0,H11253/F11253,"")</f>
        <v/>
      </c>
      <c r="L11253" s="16">
        <f>IF(AND(G11253&gt;0,H11253&gt;0),G11253/H11253,"")</f>
        <v/>
      </c>
    </row>
    <row r="11254">
      <c r="A11254" s="4" t="inlineStr">
        <is>
          <t>590</t>
        </is>
      </c>
      <c r="B11254" s="4" t="n">
        <v>5</v>
      </c>
      <c r="C11254" s="4" t="inlineStr">
        <is>
          <t>whitetail</t>
        </is>
      </c>
      <c r="D11254" s="4" t="n">
        <v>2007</v>
      </c>
      <c r="E11254" s="13" t="inlineStr">
        <is>
          <t>General</t>
        </is>
      </c>
      <c r="F11254" s="5" t="n">
        <v>3238</v>
      </c>
      <c r="G11254" s="5" t="n">
        <v>15228</v>
      </c>
      <c r="H11254" s="5" t="n">
        <v>727</v>
      </c>
      <c r="I11254" s="5" t="n">
        <v>306</v>
      </c>
      <c r="J11254" s="5" t="n">
        <v>390</v>
      </c>
      <c r="K11254" s="10">
        <f>IF(F11254&gt;0,H11254/F11254,"")</f>
        <v/>
      </c>
      <c r="L11254" s="16">
        <f>IF(AND(G11254&gt;0,H11254&gt;0),G11254/H11254,"")</f>
        <v/>
      </c>
    </row>
    <row r="11255">
      <c r="A11255" s="4" t="inlineStr">
        <is>
          <t>590</t>
        </is>
      </c>
      <c r="B11255" s="4" t="n">
        <v>5</v>
      </c>
      <c r="C11255" s="4" t="inlineStr">
        <is>
          <t>whitetail</t>
        </is>
      </c>
      <c r="D11255" s="4" t="n">
        <v>2008</v>
      </c>
      <c r="E11255" s="13" t="inlineStr">
        <is>
          <t>General</t>
        </is>
      </c>
      <c r="F11255" s="5" t="n">
        <v>3874</v>
      </c>
      <c r="G11255" s="5" t="n">
        <v>19166</v>
      </c>
      <c r="H11255" s="5" t="n">
        <v>864</v>
      </c>
      <c r="I11255" s="5" t="n">
        <v>409</v>
      </c>
      <c r="J11255" s="5" t="n">
        <v>435</v>
      </c>
      <c r="K11255" s="10">
        <f>IF(F11255&gt;0,H11255/F11255,"")</f>
        <v/>
      </c>
      <c r="L11255" s="16">
        <f>IF(AND(G11255&gt;0,H11255&gt;0),G11255/H11255,"")</f>
        <v/>
      </c>
    </row>
    <row r="11256">
      <c r="A11256" s="4" t="inlineStr">
        <is>
          <t>590</t>
        </is>
      </c>
      <c r="B11256" s="4" t="n">
        <v>5</v>
      </c>
      <c r="C11256" s="4" t="inlineStr">
        <is>
          <t>whitetail</t>
        </is>
      </c>
      <c r="D11256" s="4" t="n">
        <v>2009</v>
      </c>
      <c r="E11256" s="13" t="inlineStr">
        <is>
          <t>General</t>
        </is>
      </c>
      <c r="F11256" s="5" t="n">
        <v>4393</v>
      </c>
      <c r="G11256" s="5" t="n">
        <v>22121</v>
      </c>
      <c r="H11256" s="5" t="n">
        <v>880</v>
      </c>
      <c r="I11256" s="5" t="n">
        <v>371</v>
      </c>
      <c r="J11256" s="5" t="n">
        <v>496</v>
      </c>
      <c r="K11256" s="10">
        <f>IF(F11256&gt;0,H11256/F11256,"")</f>
        <v/>
      </c>
      <c r="L11256" s="16">
        <f>IF(AND(G11256&gt;0,H11256&gt;0),G11256/H11256,"")</f>
        <v/>
      </c>
    </row>
    <row r="11257">
      <c r="A11257" s="4" t="inlineStr">
        <is>
          <t>590</t>
        </is>
      </c>
      <c r="B11257" s="4" t="n">
        <v>5</v>
      </c>
      <c r="C11257" s="4" t="inlineStr">
        <is>
          <t>whitetail</t>
        </is>
      </c>
      <c r="D11257" s="4" t="n">
        <v>2010</v>
      </c>
      <c r="E11257" s="13" t="inlineStr">
        <is>
          <t>General</t>
        </is>
      </c>
      <c r="F11257" s="5" t="n">
        <v>4161</v>
      </c>
      <c r="G11257" s="5" t="n">
        <v>22860</v>
      </c>
      <c r="H11257" s="5" t="n">
        <v>883</v>
      </c>
      <c r="I11257" s="5" t="n">
        <v>388</v>
      </c>
      <c r="J11257" s="5" t="n">
        <v>476</v>
      </c>
      <c r="K11257" s="10">
        <f>IF(F11257&gt;0,H11257/F11257,"")</f>
        <v/>
      </c>
      <c r="L11257" s="16">
        <f>IF(AND(G11257&gt;0,H11257&gt;0),G11257/H11257,"")</f>
        <v/>
      </c>
    </row>
    <row r="11258">
      <c r="A11258" s="4" t="inlineStr">
        <is>
          <t>590</t>
        </is>
      </c>
      <c r="B11258" s="4" t="n">
        <v>5</v>
      </c>
      <c r="C11258" s="4" t="inlineStr">
        <is>
          <t>whitetail</t>
        </is>
      </c>
      <c r="D11258" s="4" t="n">
        <v>2011</v>
      </c>
      <c r="E11258" s="13" t="inlineStr">
        <is>
          <t>General</t>
        </is>
      </c>
      <c r="F11258" s="5" t="n">
        <v>4432</v>
      </c>
      <c r="G11258" s="5" t="n">
        <v>23173</v>
      </c>
      <c r="H11258" s="5" t="n">
        <v>615</v>
      </c>
      <c r="I11258" s="5" t="n">
        <v>264</v>
      </c>
      <c r="J11258" s="5" t="n">
        <v>334</v>
      </c>
      <c r="K11258" s="10">
        <f>IF(F11258&gt;0,H11258/F11258,"")</f>
        <v/>
      </c>
      <c r="L11258" s="16">
        <f>IF(AND(G11258&gt;0,H11258&gt;0),G11258/H11258,"")</f>
        <v/>
      </c>
    </row>
    <row r="11259">
      <c r="A11259" s="4" t="inlineStr">
        <is>
          <t>590</t>
        </is>
      </c>
      <c r="B11259" s="4" t="n">
        <v>5</v>
      </c>
      <c r="C11259" s="4" t="inlineStr">
        <is>
          <t>whitetail</t>
        </is>
      </c>
      <c r="D11259" s="4" t="n">
        <v>2012</v>
      </c>
      <c r="E11259" s="13" t="inlineStr">
        <is>
          <t>General</t>
        </is>
      </c>
      <c r="F11259" s="5" t="n"/>
      <c r="G11259" s="5" t="n"/>
      <c r="H11259" s="5" t="n">
        <v>709</v>
      </c>
      <c r="I11259" s="5" t="n">
        <v>354</v>
      </c>
      <c r="J11259" s="5" t="n">
        <v>347</v>
      </c>
      <c r="K11259" s="10">
        <f>IF(F11259&gt;0,H11259/F11259,"")</f>
        <v/>
      </c>
      <c r="L11259" s="16">
        <f>IF(AND(G11259&gt;0,H11259&gt;0),G11259/H11259,"")</f>
        <v/>
      </c>
    </row>
    <row r="11260">
      <c r="A11260" s="4" t="inlineStr">
        <is>
          <t>590</t>
        </is>
      </c>
      <c r="B11260" s="4" t="n">
        <v>5</v>
      </c>
      <c r="C11260" s="4" t="inlineStr">
        <is>
          <t>whitetail</t>
        </is>
      </c>
      <c r="D11260" s="4" t="n">
        <v>2013</v>
      </c>
      <c r="E11260" s="13" t="inlineStr">
        <is>
          <t>General</t>
        </is>
      </c>
      <c r="F11260" s="5" t="n">
        <v>4649</v>
      </c>
      <c r="G11260" s="5" t="n">
        <v>26202</v>
      </c>
      <c r="H11260" s="5" t="n">
        <v>530</v>
      </c>
      <c r="I11260" s="5" t="n">
        <v>277</v>
      </c>
      <c r="J11260" s="5" t="n">
        <v>239</v>
      </c>
      <c r="K11260" s="10">
        <f>IF(F11260&gt;0,H11260/F11260,"")</f>
        <v/>
      </c>
      <c r="L11260" s="16">
        <f>IF(AND(G11260&gt;0,H11260&gt;0),G11260/H11260,"")</f>
        <v/>
      </c>
    </row>
    <row r="11261">
      <c r="A11261" s="4" t="inlineStr">
        <is>
          <t>590</t>
        </is>
      </c>
      <c r="B11261" s="4" t="n">
        <v>5</v>
      </c>
      <c r="C11261" s="4" t="inlineStr">
        <is>
          <t>whitetail</t>
        </is>
      </c>
      <c r="D11261" s="4" t="n">
        <v>2014</v>
      </c>
      <c r="E11261" s="13" t="inlineStr">
        <is>
          <t>General</t>
        </is>
      </c>
      <c r="F11261" s="5" t="n"/>
      <c r="G11261" s="5" t="n"/>
      <c r="H11261" s="5" t="n">
        <v>347</v>
      </c>
      <c r="I11261" s="5" t="n">
        <v>281</v>
      </c>
      <c r="J11261" s="5" t="n">
        <v>63</v>
      </c>
      <c r="K11261" s="10">
        <f>IF(F11261&gt;0,H11261/F11261,"")</f>
        <v/>
      </c>
      <c r="L11261" s="16">
        <f>IF(AND(G11261&gt;0,H11261&gt;0),G11261/H11261,"")</f>
        <v/>
      </c>
    </row>
    <row r="11262">
      <c r="A11262" s="4" t="inlineStr">
        <is>
          <t>590</t>
        </is>
      </c>
      <c r="B11262" s="4" t="n">
        <v>5</v>
      </c>
      <c r="C11262" s="4" t="inlineStr">
        <is>
          <t>whitetail</t>
        </is>
      </c>
      <c r="D11262" s="4" t="n">
        <v>2015</v>
      </c>
      <c r="E11262" s="13" t="inlineStr">
        <is>
          <t>General</t>
        </is>
      </c>
      <c r="F11262" s="5" t="n"/>
      <c r="G11262" s="5" t="n"/>
      <c r="H11262" s="5" t="n">
        <v>453</v>
      </c>
      <c r="I11262" s="5" t="n">
        <v>367</v>
      </c>
      <c r="J11262" s="5" t="n">
        <v>80</v>
      </c>
      <c r="K11262" s="10">
        <f>IF(F11262&gt;0,H11262/F11262,"")</f>
        <v/>
      </c>
      <c r="L11262" s="16">
        <f>IF(AND(G11262&gt;0,H11262&gt;0),G11262/H11262,"")</f>
        <v/>
      </c>
    </row>
    <row r="11263">
      <c r="A11263" s="4" t="inlineStr">
        <is>
          <t>590</t>
        </is>
      </c>
      <c r="B11263" s="4" t="n">
        <v>5</v>
      </c>
      <c r="C11263" s="4" t="inlineStr">
        <is>
          <t>whitetail</t>
        </is>
      </c>
      <c r="D11263" s="4" t="n">
        <v>2016</v>
      </c>
      <c r="E11263" s="13" t="inlineStr">
        <is>
          <t>General</t>
        </is>
      </c>
      <c r="F11263" s="5" t="n"/>
      <c r="G11263" s="5" t="n"/>
      <c r="H11263" s="5" t="n">
        <v>470</v>
      </c>
      <c r="I11263" s="5" t="n">
        <v>363</v>
      </c>
      <c r="J11263" s="5" t="n">
        <v>107</v>
      </c>
      <c r="K11263" s="10">
        <f>IF(F11263&gt;0,H11263/F11263,"")</f>
        <v/>
      </c>
      <c r="L11263" s="16">
        <f>IF(AND(G11263&gt;0,H11263&gt;0),G11263/H11263,"")</f>
        <v/>
      </c>
    </row>
    <row r="11264">
      <c r="A11264" s="4" t="inlineStr">
        <is>
          <t>590</t>
        </is>
      </c>
      <c r="B11264" s="4" t="n">
        <v>5</v>
      </c>
      <c r="C11264" s="4" t="inlineStr">
        <is>
          <t>whitetail</t>
        </is>
      </c>
      <c r="D11264" s="4" t="n">
        <v>2017</v>
      </c>
      <c r="E11264" s="13" t="inlineStr">
        <is>
          <t>General</t>
        </is>
      </c>
      <c r="F11264" s="5" t="n">
        <v>3939</v>
      </c>
      <c r="G11264" s="5" t="n">
        <v>21514</v>
      </c>
      <c r="H11264" s="5" t="n">
        <v>597</v>
      </c>
      <c r="I11264" s="5" t="n">
        <v>403</v>
      </c>
      <c r="J11264" s="5" t="n">
        <v>193</v>
      </c>
      <c r="K11264" s="10">
        <f>IF(F11264&gt;0,H11264/F11264,"")</f>
        <v/>
      </c>
      <c r="L11264" s="16">
        <f>IF(AND(G11264&gt;0,H11264&gt;0),G11264/H11264,"")</f>
        <v/>
      </c>
    </row>
    <row r="11265">
      <c r="A11265" s="4" t="inlineStr">
        <is>
          <t>590</t>
        </is>
      </c>
      <c r="B11265" s="4" t="n">
        <v>5</v>
      </c>
      <c r="C11265" s="4" t="inlineStr">
        <is>
          <t>whitetail</t>
        </is>
      </c>
      <c r="D11265" s="4" t="n">
        <v>2018</v>
      </c>
      <c r="E11265" s="13" t="inlineStr">
        <is>
          <t>General</t>
        </is>
      </c>
      <c r="F11265" s="5" t="n"/>
      <c r="G11265" s="5" t="n"/>
      <c r="H11265" s="5" t="n">
        <v>568</v>
      </c>
      <c r="I11265" s="5" t="n">
        <v>377</v>
      </c>
      <c r="J11265" s="5" t="n">
        <v>183</v>
      </c>
      <c r="K11265" s="10">
        <f>IF(F11265&gt;0,H11265/F11265,"")</f>
        <v/>
      </c>
      <c r="L11265" s="16">
        <f>IF(AND(G11265&gt;0,H11265&gt;0),G11265/H11265,"")</f>
        <v/>
      </c>
    </row>
    <row r="11266">
      <c r="A11266" s="4" t="inlineStr">
        <is>
          <t>590</t>
        </is>
      </c>
      <c r="B11266" s="4" t="n">
        <v>5</v>
      </c>
      <c r="C11266" s="4" t="inlineStr">
        <is>
          <t>whitetail</t>
        </is>
      </c>
      <c r="D11266" s="4" t="n">
        <v>2019</v>
      </c>
      <c r="E11266" s="13" t="inlineStr">
        <is>
          <t>General</t>
        </is>
      </c>
      <c r="F11266" s="5" t="n">
        <v>4154</v>
      </c>
      <c r="G11266" s="5" t="n">
        <v>22267</v>
      </c>
      <c r="H11266" s="5" t="n">
        <v>839</v>
      </c>
      <c r="I11266" s="5" t="n">
        <v>554</v>
      </c>
      <c r="J11266" s="5" t="n">
        <v>275</v>
      </c>
      <c r="K11266" s="10">
        <f>IF(F11266&gt;0,H11266/F11266,"")</f>
        <v/>
      </c>
      <c r="L11266" s="16">
        <f>IF(AND(G11266&gt;0,H11266&gt;0),G11266/H11266,"")</f>
        <v/>
      </c>
    </row>
    <row r="11267">
      <c r="A11267" s="4" t="inlineStr">
        <is>
          <t>590</t>
        </is>
      </c>
      <c r="B11267" s="4" t="n">
        <v>5</v>
      </c>
      <c r="C11267" s="4" t="inlineStr">
        <is>
          <t>whitetail</t>
        </is>
      </c>
      <c r="D11267" s="4" t="n">
        <v>2020</v>
      </c>
      <c r="E11267" s="13" t="inlineStr">
        <is>
          <t>General</t>
        </is>
      </c>
      <c r="F11267" s="5" t="n"/>
      <c r="G11267" s="5" t="n"/>
      <c r="H11267" s="5" t="n">
        <v>941</v>
      </c>
      <c r="I11267" s="5" t="n">
        <v>462</v>
      </c>
      <c r="J11267" s="5" t="n">
        <v>455</v>
      </c>
      <c r="K11267" s="10">
        <f>IF(F11267&gt;0,H11267/F11267,"")</f>
        <v/>
      </c>
      <c r="L11267" s="16">
        <f>IF(AND(G11267&gt;0,H11267&gt;0),G11267/H11267,"")</f>
        <v/>
      </c>
    </row>
    <row r="11268">
      <c r="A11268" s="4" t="inlineStr">
        <is>
          <t>590</t>
        </is>
      </c>
      <c r="B11268" s="4" t="n">
        <v>5</v>
      </c>
      <c r="C11268" s="4" t="inlineStr">
        <is>
          <t>whitetail</t>
        </is>
      </c>
      <c r="D11268" s="4" t="n">
        <v>2021</v>
      </c>
      <c r="E11268" s="13" t="inlineStr">
        <is>
          <t>General</t>
        </is>
      </c>
      <c r="F11268" s="5" t="n">
        <v>3920</v>
      </c>
      <c r="G11268" s="5" t="n">
        <v>24128</v>
      </c>
      <c r="H11268" s="5" t="n">
        <v>894</v>
      </c>
      <c r="I11268" s="5" t="n">
        <v>478</v>
      </c>
      <c r="J11268" s="5" t="n">
        <v>417</v>
      </c>
      <c r="K11268" s="10">
        <f>IF(F11268&gt;0,H11268/F11268,"")</f>
        <v/>
      </c>
      <c r="L11268" s="16">
        <f>IF(AND(G11268&gt;0,H11268&gt;0),G11268/H11268,"")</f>
        <v/>
      </c>
    </row>
    <row r="11269">
      <c r="A11269" s="4" t="inlineStr">
        <is>
          <t>590</t>
        </is>
      </c>
      <c r="B11269" s="4" t="n">
        <v>5</v>
      </c>
      <c r="C11269" s="4" t="inlineStr">
        <is>
          <t>whitetail</t>
        </is>
      </c>
      <c r="D11269" s="4" t="n">
        <v>2022</v>
      </c>
      <c r="E11269" s="13" t="inlineStr">
        <is>
          <t>General</t>
        </is>
      </c>
      <c r="F11269" s="5" t="n"/>
      <c r="G11269" s="5" t="n"/>
      <c r="H11269" s="5" t="n">
        <v>1004</v>
      </c>
      <c r="I11269" s="5" t="n">
        <v>505</v>
      </c>
      <c r="J11269" s="5" t="n">
        <v>490</v>
      </c>
      <c r="K11269" s="10">
        <f>IF(F11269&gt;0,H11269/F11269,"")</f>
        <v/>
      </c>
      <c r="L11269" s="16">
        <f>IF(AND(G11269&gt;0,H11269&gt;0),G11269/H11269,"")</f>
        <v/>
      </c>
    </row>
    <row r="11270">
      <c r="A11270" s="4" t="inlineStr">
        <is>
          <t>590</t>
        </is>
      </c>
      <c r="B11270" s="4" t="n">
        <v>5</v>
      </c>
      <c r="C11270" s="4" t="inlineStr">
        <is>
          <t>whitetail</t>
        </is>
      </c>
      <c r="D11270" s="4" t="n">
        <v>2023</v>
      </c>
      <c r="E11270" s="13" t="inlineStr">
        <is>
          <t>General</t>
        </is>
      </c>
      <c r="F11270" s="5" t="n">
        <v>3941</v>
      </c>
      <c r="G11270" s="5" t="n">
        <v>23209</v>
      </c>
      <c r="H11270" s="5" t="n">
        <v>836</v>
      </c>
      <c r="I11270" s="5" t="n">
        <v>467</v>
      </c>
      <c r="J11270" s="5" t="n">
        <v>366</v>
      </c>
      <c r="K11270" s="10">
        <f>IF(F11270&gt;0,H11270/F11270,"")</f>
        <v/>
      </c>
      <c r="L11270" s="16">
        <f>IF(AND(G11270&gt;0,H11270&gt;0),G11270/H11270,"")</f>
        <v/>
      </c>
    </row>
    <row r="11271">
      <c r="A11271" s="4" t="inlineStr">
        <is>
          <t>590</t>
        </is>
      </c>
      <c r="B11271" s="4" t="n">
        <v>5</v>
      </c>
      <c r="C11271" s="4" t="inlineStr">
        <is>
          <t>whitetail</t>
        </is>
      </c>
      <c r="D11271" s="4" t="n">
        <v>2024</v>
      </c>
      <c r="E11271" s="13" t="inlineStr">
        <is>
          <t>General</t>
        </is>
      </c>
      <c r="F11271" s="5" t="n"/>
      <c r="G11271" s="5" t="n"/>
      <c r="H11271" s="5" t="n">
        <v>884</v>
      </c>
      <c r="I11271" s="5" t="n">
        <v>559</v>
      </c>
      <c r="J11271" s="5" t="n">
        <v>323</v>
      </c>
      <c r="K11271" s="10">
        <f>IF(F11271&gt;0,H11271/F11271,"")</f>
        <v/>
      </c>
      <c r="L11271" s="16">
        <f>IF(AND(G11271&gt;0,H11271&gt;0),G11271/H11271,"")</f>
        <v/>
      </c>
    </row>
    <row r="11272">
      <c r="A11272" s="4" t="inlineStr">
        <is>
          <t>590</t>
        </is>
      </c>
      <c r="B11272" s="4" t="n">
        <v>5</v>
      </c>
      <c r="C11272" s="4" t="inlineStr">
        <is>
          <t>whitetail</t>
        </is>
      </c>
      <c r="D11272" s="4" t="n">
        <v>2025</v>
      </c>
      <c r="E11272" s="13" t="inlineStr">
        <is>
          <t>General</t>
        </is>
      </c>
      <c r="F11272" s="5" t="n">
        <v>3919</v>
      </c>
      <c r="G11272" s="5" t="n">
        <v>24766</v>
      </c>
      <c r="H11272" s="5" t="n">
        <v>731</v>
      </c>
      <c r="I11272" s="5" t="n">
        <v>420</v>
      </c>
      <c r="J11272" s="5" t="n">
        <v>304</v>
      </c>
      <c r="K11272" s="10">
        <f>IF(F11272&gt;0,H11272/F11272,"")</f>
        <v/>
      </c>
      <c r="L11272" s="16">
        <f>IF(AND(G11272&gt;0,H11272&gt;0),G11272/H11272,"")</f>
        <v/>
      </c>
    </row>
    <row r="11273">
      <c r="A11273" s="4" t="inlineStr">
        <is>
          <t>600</t>
        </is>
      </c>
      <c r="B11273" s="4" t="n">
        <v>6</v>
      </c>
      <c r="C11273" s="4" t="inlineStr">
        <is>
          <t>whitetail</t>
        </is>
      </c>
      <c r="D11273" s="4" t="n">
        <v>2004</v>
      </c>
      <c r="E11273" s="13" t="inlineStr">
        <is>
          <t>General</t>
        </is>
      </c>
      <c r="F11273" s="5" t="n">
        <v>1280</v>
      </c>
      <c r="G11273" s="5" t="n">
        <v>5534</v>
      </c>
      <c r="H11273" s="5" t="n">
        <v>351</v>
      </c>
      <c r="I11273" s="5" t="n">
        <v>204</v>
      </c>
      <c r="J11273" s="5" t="n">
        <v>144</v>
      </c>
      <c r="K11273" s="10">
        <f>IF(F11273&gt;0,H11273/F11273,"")</f>
        <v/>
      </c>
      <c r="L11273" s="16">
        <f>IF(AND(G11273&gt;0,H11273&gt;0),G11273/H11273,"")</f>
        <v/>
      </c>
    </row>
    <row r="11274">
      <c r="A11274" s="4" t="inlineStr">
        <is>
          <t>600</t>
        </is>
      </c>
      <c r="B11274" s="4" t="n">
        <v>6</v>
      </c>
      <c r="C11274" s="4" t="inlineStr">
        <is>
          <t>whitetail</t>
        </is>
      </c>
      <c r="D11274" s="4" t="n">
        <v>2005</v>
      </c>
      <c r="E11274" s="13" t="inlineStr">
        <is>
          <t>General</t>
        </is>
      </c>
      <c r="F11274" s="5" t="n">
        <v>1538</v>
      </c>
      <c r="G11274" s="5" t="n">
        <v>6541</v>
      </c>
      <c r="H11274" s="5" t="n">
        <v>368</v>
      </c>
      <c r="I11274" s="5" t="n">
        <v>181</v>
      </c>
      <c r="J11274" s="5" t="n">
        <v>182</v>
      </c>
      <c r="K11274" s="10">
        <f>IF(F11274&gt;0,H11274/F11274,"")</f>
        <v/>
      </c>
      <c r="L11274" s="16">
        <f>IF(AND(G11274&gt;0,H11274&gt;0),G11274/H11274,"")</f>
        <v/>
      </c>
    </row>
    <row r="11275">
      <c r="A11275" s="4" t="inlineStr">
        <is>
          <t>600</t>
        </is>
      </c>
      <c r="B11275" s="4" t="n">
        <v>6</v>
      </c>
      <c r="C11275" s="4" t="inlineStr">
        <is>
          <t>whitetail</t>
        </is>
      </c>
      <c r="D11275" s="4" t="n">
        <v>2006</v>
      </c>
      <c r="E11275" s="13" t="inlineStr">
        <is>
          <t>General</t>
        </is>
      </c>
      <c r="F11275" s="5" t="n">
        <v>1330</v>
      </c>
      <c r="G11275" s="5" t="n">
        <v>6475</v>
      </c>
      <c r="H11275" s="5" t="n">
        <v>369</v>
      </c>
      <c r="I11275" s="5" t="n">
        <v>194</v>
      </c>
      <c r="J11275" s="5" t="n">
        <v>168</v>
      </c>
      <c r="K11275" s="10">
        <f>IF(F11275&gt;0,H11275/F11275,"")</f>
        <v/>
      </c>
      <c r="L11275" s="16">
        <f>IF(AND(G11275&gt;0,H11275&gt;0),G11275/H11275,"")</f>
        <v/>
      </c>
    </row>
    <row r="11276">
      <c r="A11276" s="4" t="inlineStr">
        <is>
          <t>600</t>
        </is>
      </c>
      <c r="B11276" s="4" t="n">
        <v>6</v>
      </c>
      <c r="C11276" s="4" t="inlineStr">
        <is>
          <t>whitetail</t>
        </is>
      </c>
      <c r="D11276" s="4" t="n">
        <v>2007</v>
      </c>
      <c r="E11276" s="13" t="inlineStr">
        <is>
          <t>General</t>
        </is>
      </c>
      <c r="F11276" s="5" t="n">
        <v>1510</v>
      </c>
      <c r="G11276" s="5" t="n">
        <v>7459</v>
      </c>
      <c r="H11276" s="5" t="n">
        <v>538</v>
      </c>
      <c r="I11276" s="5" t="n">
        <v>209</v>
      </c>
      <c r="J11276" s="5" t="n">
        <v>302</v>
      </c>
      <c r="K11276" s="10">
        <f>IF(F11276&gt;0,H11276/F11276,"")</f>
        <v/>
      </c>
      <c r="L11276" s="16">
        <f>IF(AND(G11276&gt;0,H11276&gt;0),G11276/H11276,"")</f>
        <v/>
      </c>
    </row>
    <row r="11277">
      <c r="A11277" s="4" t="inlineStr">
        <is>
          <t>600</t>
        </is>
      </c>
      <c r="B11277" s="4" t="n">
        <v>6</v>
      </c>
      <c r="C11277" s="4" t="inlineStr">
        <is>
          <t>whitetail</t>
        </is>
      </c>
      <c r="D11277" s="4" t="n">
        <v>2008</v>
      </c>
      <c r="E11277" s="13" t="inlineStr">
        <is>
          <t>General</t>
        </is>
      </c>
      <c r="F11277" s="5" t="n">
        <v>2213</v>
      </c>
      <c r="G11277" s="5" t="n">
        <v>10918</v>
      </c>
      <c r="H11277" s="5" t="n">
        <v>595</v>
      </c>
      <c r="I11277" s="5" t="n">
        <v>287</v>
      </c>
      <c r="J11277" s="5" t="n">
        <v>302</v>
      </c>
      <c r="K11277" s="10">
        <f>IF(F11277&gt;0,H11277/F11277,"")</f>
        <v/>
      </c>
      <c r="L11277" s="16">
        <f>IF(AND(G11277&gt;0,H11277&gt;0),G11277/H11277,"")</f>
        <v/>
      </c>
    </row>
    <row r="11278">
      <c r="A11278" s="4" t="inlineStr">
        <is>
          <t>600</t>
        </is>
      </c>
      <c r="B11278" s="4" t="n">
        <v>6</v>
      </c>
      <c r="C11278" s="4" t="inlineStr">
        <is>
          <t>whitetail</t>
        </is>
      </c>
      <c r="D11278" s="4" t="n">
        <v>2009</v>
      </c>
      <c r="E11278" s="13" t="inlineStr">
        <is>
          <t>General</t>
        </is>
      </c>
      <c r="F11278" s="5" t="n">
        <v>2414</v>
      </c>
      <c r="G11278" s="5" t="n">
        <v>11120</v>
      </c>
      <c r="H11278" s="5" t="n">
        <v>771</v>
      </c>
      <c r="I11278" s="5" t="n">
        <v>335</v>
      </c>
      <c r="J11278" s="5" t="n">
        <v>418</v>
      </c>
      <c r="K11278" s="10">
        <f>IF(F11278&gt;0,H11278/F11278,"")</f>
        <v/>
      </c>
      <c r="L11278" s="16">
        <f>IF(AND(G11278&gt;0,H11278&gt;0),G11278/H11278,"")</f>
        <v/>
      </c>
    </row>
    <row r="11279">
      <c r="A11279" s="4" t="inlineStr">
        <is>
          <t>600</t>
        </is>
      </c>
      <c r="B11279" s="4" t="n">
        <v>6</v>
      </c>
      <c r="C11279" s="4" t="inlineStr">
        <is>
          <t>whitetail</t>
        </is>
      </c>
      <c r="D11279" s="4" t="n">
        <v>2010</v>
      </c>
      <c r="E11279" s="13" t="inlineStr">
        <is>
          <t>General</t>
        </is>
      </c>
      <c r="F11279" s="5" t="n">
        <v>2528</v>
      </c>
      <c r="G11279" s="5" t="n">
        <v>12718</v>
      </c>
      <c r="H11279" s="5" t="n">
        <v>634</v>
      </c>
      <c r="I11279" s="5" t="n">
        <v>304</v>
      </c>
      <c r="J11279" s="5" t="n">
        <v>315</v>
      </c>
      <c r="K11279" s="10">
        <f>IF(F11279&gt;0,H11279/F11279,"")</f>
        <v/>
      </c>
      <c r="L11279" s="16">
        <f>IF(AND(G11279&gt;0,H11279&gt;0),G11279/H11279,"")</f>
        <v/>
      </c>
    </row>
    <row r="11280">
      <c r="A11280" s="4" t="inlineStr">
        <is>
          <t>600</t>
        </is>
      </c>
      <c r="B11280" s="4" t="n">
        <v>6</v>
      </c>
      <c r="C11280" s="4" t="inlineStr">
        <is>
          <t>whitetail</t>
        </is>
      </c>
      <c r="D11280" s="4" t="n">
        <v>2011</v>
      </c>
      <c r="E11280" s="13" t="inlineStr">
        <is>
          <t>General</t>
        </is>
      </c>
      <c r="F11280" s="5" t="n">
        <v>2007</v>
      </c>
      <c r="G11280" s="5" t="n">
        <v>9442</v>
      </c>
      <c r="H11280" s="5" t="n">
        <v>426</v>
      </c>
      <c r="I11280" s="5" t="n">
        <v>210</v>
      </c>
      <c r="J11280" s="5" t="n">
        <v>216</v>
      </c>
      <c r="K11280" s="10">
        <f>IF(F11280&gt;0,H11280/F11280,"")</f>
        <v/>
      </c>
      <c r="L11280" s="16">
        <f>IF(AND(G11280&gt;0,H11280&gt;0),G11280/H11280,"")</f>
        <v/>
      </c>
    </row>
    <row r="11281">
      <c r="A11281" s="4" t="inlineStr">
        <is>
          <t>600</t>
        </is>
      </c>
      <c r="B11281" s="4" t="n">
        <v>6</v>
      </c>
      <c r="C11281" s="4" t="inlineStr">
        <is>
          <t>whitetail</t>
        </is>
      </c>
      <c r="D11281" s="4" t="n">
        <v>2012</v>
      </c>
      <c r="E11281" s="13" t="inlineStr">
        <is>
          <t>General</t>
        </is>
      </c>
      <c r="F11281" s="5" t="n"/>
      <c r="G11281" s="5" t="n"/>
      <c r="H11281" s="5" t="n">
        <v>523</v>
      </c>
      <c r="I11281" s="5" t="n">
        <v>286</v>
      </c>
      <c r="J11281" s="5" t="n">
        <v>231</v>
      </c>
      <c r="K11281" s="10">
        <f>IF(F11281&gt;0,H11281/F11281,"")</f>
        <v/>
      </c>
      <c r="L11281" s="16">
        <f>IF(AND(G11281&gt;0,H11281&gt;0),G11281/H11281,"")</f>
        <v/>
      </c>
    </row>
    <row r="11282">
      <c r="A11282" s="4" t="inlineStr">
        <is>
          <t>600</t>
        </is>
      </c>
      <c r="B11282" s="4" t="n">
        <v>6</v>
      </c>
      <c r="C11282" s="4" t="inlineStr">
        <is>
          <t>whitetail</t>
        </is>
      </c>
      <c r="D11282" s="4" t="n">
        <v>2013</v>
      </c>
      <c r="E11282" s="13" t="inlineStr">
        <is>
          <t>General</t>
        </is>
      </c>
      <c r="F11282" s="5" t="n">
        <v>1961</v>
      </c>
      <c r="G11282" s="5" t="n">
        <v>9738</v>
      </c>
      <c r="H11282" s="5" t="n">
        <v>235</v>
      </c>
      <c r="I11282" s="5" t="n">
        <v>123</v>
      </c>
      <c r="J11282" s="5" t="n">
        <v>103</v>
      </c>
      <c r="K11282" s="10">
        <f>IF(F11282&gt;0,H11282/F11282,"")</f>
        <v/>
      </c>
      <c r="L11282" s="16">
        <f>IF(AND(G11282&gt;0,H11282&gt;0),G11282/H11282,"")</f>
        <v/>
      </c>
    </row>
    <row r="11283">
      <c r="A11283" s="4" t="inlineStr">
        <is>
          <t>600</t>
        </is>
      </c>
      <c r="B11283" s="4" t="n">
        <v>6</v>
      </c>
      <c r="C11283" s="4" t="inlineStr">
        <is>
          <t>whitetail</t>
        </is>
      </c>
      <c r="D11283" s="4" t="n">
        <v>2014</v>
      </c>
      <c r="E11283" s="13" t="inlineStr">
        <is>
          <t>General</t>
        </is>
      </c>
      <c r="F11283" s="5" t="n"/>
      <c r="G11283" s="5" t="n"/>
      <c r="H11283" s="5" t="n">
        <v>187</v>
      </c>
      <c r="I11283" s="5" t="n">
        <v>173</v>
      </c>
      <c r="J11283" s="5" t="n">
        <v>14</v>
      </c>
      <c r="K11283" s="10">
        <f>IF(F11283&gt;0,H11283/F11283,"")</f>
        <v/>
      </c>
      <c r="L11283" s="16">
        <f>IF(AND(G11283&gt;0,H11283&gt;0),G11283/H11283,"")</f>
        <v/>
      </c>
    </row>
    <row r="11284">
      <c r="A11284" s="4" t="inlineStr">
        <is>
          <t>600</t>
        </is>
      </c>
      <c r="B11284" s="4" t="n">
        <v>6</v>
      </c>
      <c r="C11284" s="4" t="inlineStr">
        <is>
          <t>whitetail</t>
        </is>
      </c>
      <c r="D11284" s="4" t="n">
        <v>2015</v>
      </c>
      <c r="E11284" s="13" t="inlineStr">
        <is>
          <t>General</t>
        </is>
      </c>
      <c r="F11284" s="5" t="n"/>
      <c r="G11284" s="5" t="n"/>
      <c r="H11284" s="5" t="n">
        <v>201</v>
      </c>
      <c r="I11284" s="5" t="n">
        <v>175</v>
      </c>
      <c r="J11284" s="5" t="n">
        <v>23</v>
      </c>
      <c r="K11284" s="10">
        <f>IF(F11284&gt;0,H11284/F11284,"")</f>
        <v/>
      </c>
      <c r="L11284" s="16">
        <f>IF(AND(G11284&gt;0,H11284&gt;0),G11284/H11284,"")</f>
        <v/>
      </c>
    </row>
    <row r="11285">
      <c r="A11285" s="4" t="inlineStr">
        <is>
          <t>600</t>
        </is>
      </c>
      <c r="B11285" s="4" t="n">
        <v>6</v>
      </c>
      <c r="C11285" s="4" t="inlineStr">
        <is>
          <t>whitetail</t>
        </is>
      </c>
      <c r="D11285" s="4" t="n">
        <v>2016</v>
      </c>
      <c r="E11285" s="13" t="inlineStr">
        <is>
          <t>General</t>
        </is>
      </c>
      <c r="F11285" s="5" t="n"/>
      <c r="G11285" s="5" t="n"/>
      <c r="H11285" s="5" t="n">
        <v>412</v>
      </c>
      <c r="I11285" s="5" t="n">
        <v>252</v>
      </c>
      <c r="J11285" s="5" t="n">
        <v>157</v>
      </c>
      <c r="K11285" s="10">
        <f>IF(F11285&gt;0,H11285/F11285,"")</f>
        <v/>
      </c>
      <c r="L11285" s="16">
        <f>IF(AND(G11285&gt;0,H11285&gt;0),G11285/H11285,"")</f>
        <v/>
      </c>
    </row>
    <row r="11286">
      <c r="A11286" s="4" t="inlineStr">
        <is>
          <t>600</t>
        </is>
      </c>
      <c r="B11286" s="4" t="n">
        <v>6</v>
      </c>
      <c r="C11286" s="4" t="inlineStr">
        <is>
          <t>whitetail</t>
        </is>
      </c>
      <c r="D11286" s="4" t="n">
        <v>2017</v>
      </c>
      <c r="E11286" s="13" t="inlineStr">
        <is>
          <t>General</t>
        </is>
      </c>
      <c r="F11286" s="5" t="n">
        <v>2128</v>
      </c>
      <c r="G11286" s="5" t="n">
        <v>10816</v>
      </c>
      <c r="H11286" s="5" t="n">
        <v>492</v>
      </c>
      <c r="I11286" s="5" t="n">
        <v>272</v>
      </c>
      <c r="J11286" s="5" t="n">
        <v>220</v>
      </c>
      <c r="K11286" s="10">
        <f>IF(F11286&gt;0,H11286/F11286,"")</f>
        <v/>
      </c>
      <c r="L11286" s="16">
        <f>IF(AND(G11286&gt;0,H11286&gt;0),G11286/H11286,"")</f>
        <v/>
      </c>
    </row>
    <row r="11287">
      <c r="A11287" s="4" t="inlineStr">
        <is>
          <t>600</t>
        </is>
      </c>
      <c r="B11287" s="4" t="n">
        <v>6</v>
      </c>
      <c r="C11287" s="4" t="inlineStr">
        <is>
          <t>whitetail</t>
        </is>
      </c>
      <c r="D11287" s="4" t="n">
        <v>2018</v>
      </c>
      <c r="E11287" s="13" t="inlineStr">
        <is>
          <t>General</t>
        </is>
      </c>
      <c r="F11287" s="5" t="n"/>
      <c r="G11287" s="5" t="n"/>
      <c r="H11287" s="5" t="n">
        <v>478</v>
      </c>
      <c r="I11287" s="5" t="n">
        <v>286</v>
      </c>
      <c r="J11287" s="5" t="n">
        <v>189</v>
      </c>
      <c r="K11287" s="10">
        <f>IF(F11287&gt;0,H11287/F11287,"")</f>
        <v/>
      </c>
      <c r="L11287" s="16">
        <f>IF(AND(G11287&gt;0,H11287&gt;0),G11287/H11287,"")</f>
        <v/>
      </c>
    </row>
    <row r="11288">
      <c r="A11288" s="4" t="inlineStr">
        <is>
          <t>600</t>
        </is>
      </c>
      <c r="B11288" s="4" t="n">
        <v>6</v>
      </c>
      <c r="C11288" s="4" t="inlineStr">
        <is>
          <t>whitetail</t>
        </is>
      </c>
      <c r="D11288" s="4" t="n">
        <v>2019</v>
      </c>
      <c r="E11288" s="13" t="inlineStr">
        <is>
          <t>General</t>
        </is>
      </c>
      <c r="F11288" s="5" t="n">
        <v>1868</v>
      </c>
      <c r="G11288" s="5" t="n">
        <v>9635</v>
      </c>
      <c r="H11288" s="5" t="n">
        <v>422</v>
      </c>
      <c r="I11288" s="5" t="n">
        <v>220</v>
      </c>
      <c r="J11288" s="5" t="n">
        <v>195</v>
      </c>
      <c r="K11288" s="10">
        <f>IF(F11288&gt;0,H11288/F11288,"")</f>
        <v/>
      </c>
      <c r="L11288" s="16">
        <f>IF(AND(G11288&gt;0,H11288&gt;0),G11288/H11288,"")</f>
        <v/>
      </c>
    </row>
    <row r="11289">
      <c r="A11289" s="4" t="inlineStr">
        <is>
          <t>600</t>
        </is>
      </c>
      <c r="B11289" s="4" t="n">
        <v>6</v>
      </c>
      <c r="C11289" s="4" t="inlineStr">
        <is>
          <t>whitetail</t>
        </is>
      </c>
      <c r="D11289" s="4" t="n">
        <v>2020</v>
      </c>
      <c r="E11289" s="13" t="inlineStr">
        <is>
          <t>General</t>
        </is>
      </c>
      <c r="F11289" s="5" t="n"/>
      <c r="G11289" s="5" t="n"/>
      <c r="H11289" s="5" t="n">
        <v>622</v>
      </c>
      <c r="I11289" s="5" t="n">
        <v>352</v>
      </c>
      <c r="J11289" s="5" t="n">
        <v>263</v>
      </c>
      <c r="K11289" s="10">
        <f>IF(F11289&gt;0,H11289/F11289,"")</f>
        <v/>
      </c>
      <c r="L11289" s="16">
        <f>IF(AND(G11289&gt;0,H11289&gt;0),G11289/H11289,"")</f>
        <v/>
      </c>
    </row>
    <row r="11290">
      <c r="A11290" s="4" t="inlineStr">
        <is>
          <t>600</t>
        </is>
      </c>
      <c r="B11290" s="4" t="n">
        <v>6</v>
      </c>
      <c r="C11290" s="4" t="inlineStr">
        <is>
          <t>whitetail</t>
        </is>
      </c>
      <c r="D11290" s="4" t="n">
        <v>2021</v>
      </c>
      <c r="E11290" s="13" t="inlineStr">
        <is>
          <t>General</t>
        </is>
      </c>
      <c r="F11290" s="5" t="n">
        <v>2272</v>
      </c>
      <c r="G11290" s="5" t="n">
        <v>12924</v>
      </c>
      <c r="H11290" s="5" t="n">
        <v>532</v>
      </c>
      <c r="I11290" s="5" t="n">
        <v>334</v>
      </c>
      <c r="J11290" s="5" t="n">
        <v>194</v>
      </c>
      <c r="K11290" s="10">
        <f>IF(F11290&gt;0,H11290/F11290,"")</f>
        <v/>
      </c>
      <c r="L11290" s="16">
        <f>IF(AND(G11290&gt;0,H11290&gt;0),G11290/H11290,"")</f>
        <v/>
      </c>
    </row>
    <row r="11291">
      <c r="A11291" s="4" t="inlineStr">
        <is>
          <t>600</t>
        </is>
      </c>
      <c r="B11291" s="4" t="n">
        <v>6</v>
      </c>
      <c r="C11291" s="4" t="inlineStr">
        <is>
          <t>whitetail</t>
        </is>
      </c>
      <c r="D11291" s="4" t="n">
        <v>2022</v>
      </c>
      <c r="E11291" s="13" t="inlineStr">
        <is>
          <t>General</t>
        </is>
      </c>
      <c r="F11291" s="5" t="n"/>
      <c r="G11291" s="5" t="n"/>
      <c r="H11291" s="5" t="n">
        <v>580</v>
      </c>
      <c r="I11291" s="5" t="n">
        <v>299</v>
      </c>
      <c r="J11291" s="5" t="n">
        <v>281</v>
      </c>
      <c r="K11291" s="10">
        <f>IF(F11291&gt;0,H11291/F11291,"")</f>
        <v/>
      </c>
      <c r="L11291" s="16">
        <f>IF(AND(G11291&gt;0,H11291&gt;0),G11291/H11291,"")</f>
        <v/>
      </c>
    </row>
    <row r="11292">
      <c r="A11292" s="4" t="inlineStr">
        <is>
          <t>600</t>
        </is>
      </c>
      <c r="B11292" s="4" t="n">
        <v>6</v>
      </c>
      <c r="C11292" s="4" t="inlineStr">
        <is>
          <t>whitetail</t>
        </is>
      </c>
      <c r="D11292" s="4" t="n">
        <v>2023</v>
      </c>
      <c r="E11292" s="13" t="inlineStr">
        <is>
          <t>General</t>
        </is>
      </c>
      <c r="F11292" s="5" t="n">
        <v>2398</v>
      </c>
      <c r="G11292" s="5" t="n">
        <v>14035</v>
      </c>
      <c r="H11292" s="5" t="n">
        <v>530</v>
      </c>
      <c r="I11292" s="5" t="n">
        <v>232</v>
      </c>
      <c r="J11292" s="5" t="n">
        <v>294</v>
      </c>
      <c r="K11292" s="10">
        <f>IF(F11292&gt;0,H11292/F11292,"")</f>
        <v/>
      </c>
      <c r="L11292" s="16">
        <f>IF(AND(G11292&gt;0,H11292&gt;0),G11292/H11292,"")</f>
        <v/>
      </c>
    </row>
    <row r="11293">
      <c r="A11293" s="4" t="inlineStr">
        <is>
          <t>600</t>
        </is>
      </c>
      <c r="B11293" s="4" t="n">
        <v>6</v>
      </c>
      <c r="C11293" s="4" t="inlineStr">
        <is>
          <t>whitetail</t>
        </is>
      </c>
      <c r="D11293" s="4" t="n">
        <v>2024</v>
      </c>
      <c r="E11293" s="13" t="inlineStr">
        <is>
          <t>General</t>
        </is>
      </c>
      <c r="F11293" s="5" t="n"/>
      <c r="G11293" s="5" t="n"/>
      <c r="H11293" s="5" t="n">
        <v>531</v>
      </c>
      <c r="I11293" s="5" t="n">
        <v>298</v>
      </c>
      <c r="J11293" s="5" t="n">
        <v>230</v>
      </c>
      <c r="K11293" s="10">
        <f>IF(F11293&gt;0,H11293/F11293,"")</f>
        <v/>
      </c>
      <c r="L11293" s="16">
        <f>IF(AND(G11293&gt;0,H11293&gt;0),G11293/H11293,"")</f>
        <v/>
      </c>
    </row>
    <row r="11294">
      <c r="A11294" s="4" t="inlineStr">
        <is>
          <t>600</t>
        </is>
      </c>
      <c r="B11294" s="4" t="n">
        <v>6</v>
      </c>
      <c r="C11294" s="4" t="inlineStr">
        <is>
          <t>whitetail</t>
        </is>
      </c>
      <c r="D11294" s="4" t="n">
        <v>2025</v>
      </c>
      <c r="E11294" s="13" t="inlineStr">
        <is>
          <t>General</t>
        </is>
      </c>
      <c r="F11294" s="5" t="n">
        <v>1998</v>
      </c>
      <c r="G11294" s="5" t="n">
        <v>10849</v>
      </c>
      <c r="H11294" s="5" t="n">
        <v>272</v>
      </c>
      <c r="I11294" s="5" t="n">
        <v>173</v>
      </c>
      <c r="J11294" s="5" t="n">
        <v>95</v>
      </c>
      <c r="K11294" s="10">
        <f>IF(F11294&gt;0,H11294/F11294,"")</f>
        <v/>
      </c>
      <c r="L11294" s="16">
        <f>IF(AND(G11294&gt;0,H11294&gt;0),G11294/H11294,"")</f>
        <v/>
      </c>
    </row>
    <row r="11295">
      <c r="A11295" s="4" t="inlineStr">
        <is>
          <t>610</t>
        </is>
      </c>
      <c r="B11295" s="4" t="n">
        <v>6</v>
      </c>
      <c r="C11295" s="4" t="inlineStr">
        <is>
          <t>whitetail</t>
        </is>
      </c>
      <c r="D11295" s="4" t="n">
        <v>2004</v>
      </c>
      <c r="E11295" s="4" t="inlineStr"/>
      <c r="F11295" s="5" t="n">
        <v>781</v>
      </c>
      <c r="G11295" s="5" t="n">
        <v>3411</v>
      </c>
      <c r="H11295" s="5" t="n">
        <v>134</v>
      </c>
      <c r="I11295" s="5" t="n">
        <v>83</v>
      </c>
      <c r="J11295" s="5" t="n">
        <v>46</v>
      </c>
      <c r="K11295" s="10">
        <f>IF(F11295&gt;0,H11295/F11295,"")</f>
        <v/>
      </c>
      <c r="L11295" s="16">
        <f>IF(AND(G11295&gt;0,H11295&gt;0),G11295/H11295,"")</f>
        <v/>
      </c>
    </row>
    <row r="11296">
      <c r="A11296" s="4" t="inlineStr">
        <is>
          <t>610</t>
        </is>
      </c>
      <c r="B11296" s="4" t="n">
        <v>6</v>
      </c>
      <c r="C11296" s="4" t="inlineStr">
        <is>
          <t>whitetail</t>
        </is>
      </c>
      <c r="D11296" s="4" t="n">
        <v>2005</v>
      </c>
      <c r="E11296" s="4" t="inlineStr"/>
      <c r="F11296" s="5" t="n">
        <v>755</v>
      </c>
      <c r="G11296" s="5" t="n">
        <v>3019</v>
      </c>
      <c r="H11296" s="5" t="n">
        <v>194</v>
      </c>
      <c r="I11296" s="5" t="n">
        <v>141</v>
      </c>
      <c r="J11296" s="5" t="n">
        <v>50</v>
      </c>
      <c r="K11296" s="10">
        <f>IF(F11296&gt;0,H11296/F11296,"")</f>
        <v/>
      </c>
      <c r="L11296" s="16">
        <f>IF(AND(G11296&gt;0,H11296&gt;0),G11296/H11296,"")</f>
        <v/>
      </c>
    </row>
    <row r="11297">
      <c r="A11297" s="4" t="inlineStr">
        <is>
          <t>610</t>
        </is>
      </c>
      <c r="B11297" s="4" t="n">
        <v>6</v>
      </c>
      <c r="C11297" s="4" t="inlineStr">
        <is>
          <t>whitetail</t>
        </is>
      </c>
      <c r="D11297" s="4" t="n">
        <v>2006</v>
      </c>
      <c r="E11297" s="4" t="inlineStr"/>
      <c r="F11297" s="5" t="n">
        <v>685</v>
      </c>
      <c r="G11297" s="5" t="n">
        <v>3028</v>
      </c>
      <c r="H11297" s="5" t="n">
        <v>156</v>
      </c>
      <c r="I11297" s="5" t="n">
        <v>98</v>
      </c>
      <c r="J11297" s="5" t="n">
        <v>54</v>
      </c>
      <c r="K11297" s="10">
        <f>IF(F11297&gt;0,H11297/F11297,"")</f>
        <v/>
      </c>
      <c r="L11297" s="16">
        <f>IF(AND(G11297&gt;0,H11297&gt;0),G11297/H11297,"")</f>
        <v/>
      </c>
    </row>
    <row r="11298">
      <c r="A11298" s="4" t="inlineStr">
        <is>
          <t>610</t>
        </is>
      </c>
      <c r="B11298" s="4" t="n">
        <v>6</v>
      </c>
      <c r="C11298" s="4" t="inlineStr">
        <is>
          <t>whitetail</t>
        </is>
      </c>
      <c r="D11298" s="4" t="n">
        <v>2007</v>
      </c>
      <c r="E11298" s="4" t="inlineStr"/>
      <c r="F11298" s="5" t="n">
        <v>849</v>
      </c>
      <c r="G11298" s="5" t="n">
        <v>3936</v>
      </c>
      <c r="H11298" s="5" t="n">
        <v>185</v>
      </c>
      <c r="I11298" s="5" t="n">
        <v>140</v>
      </c>
      <c r="J11298" s="5" t="n">
        <v>45</v>
      </c>
      <c r="K11298" s="10">
        <f>IF(F11298&gt;0,H11298/F11298,"")</f>
        <v/>
      </c>
      <c r="L11298" s="16">
        <f>IF(AND(G11298&gt;0,H11298&gt;0),G11298/H11298,"")</f>
        <v/>
      </c>
    </row>
    <row r="11299">
      <c r="A11299" s="4" t="inlineStr">
        <is>
          <t>611</t>
        </is>
      </c>
      <c r="B11299" s="4" t="n">
        <v>6</v>
      </c>
      <c r="C11299" s="4" t="inlineStr">
        <is>
          <t>whitetail</t>
        </is>
      </c>
      <c r="D11299" s="4" t="n">
        <v>2004</v>
      </c>
      <c r="E11299" s="4" t="inlineStr"/>
      <c r="F11299" s="5" t="n">
        <v>722</v>
      </c>
      <c r="G11299" s="5" t="n">
        <v>2941</v>
      </c>
      <c r="H11299" s="5" t="n">
        <v>163</v>
      </c>
      <c r="I11299" s="5" t="n">
        <v>119</v>
      </c>
      <c r="J11299" s="5" t="n">
        <v>30</v>
      </c>
      <c r="K11299" s="10">
        <f>IF(F11299&gt;0,H11299/F11299,"")</f>
        <v/>
      </c>
      <c r="L11299" s="16">
        <f>IF(AND(G11299&gt;0,H11299&gt;0),G11299/H11299,"")</f>
        <v/>
      </c>
    </row>
    <row r="11300">
      <c r="A11300" s="4" t="inlineStr">
        <is>
          <t>611</t>
        </is>
      </c>
      <c r="B11300" s="4" t="n">
        <v>6</v>
      </c>
      <c r="C11300" s="4" t="inlineStr">
        <is>
          <t>whitetail</t>
        </is>
      </c>
      <c r="D11300" s="4" t="n">
        <v>2005</v>
      </c>
      <c r="E11300" s="4" t="inlineStr"/>
      <c r="F11300" s="5" t="n">
        <v>664</v>
      </c>
      <c r="G11300" s="5" t="n">
        <v>3075</v>
      </c>
      <c r="H11300" s="5" t="n">
        <v>168</v>
      </c>
      <c r="I11300" s="5" t="n">
        <v>114</v>
      </c>
      <c r="J11300" s="5" t="n">
        <v>54</v>
      </c>
      <c r="K11300" s="10">
        <f>IF(F11300&gt;0,H11300/F11300,"")</f>
        <v/>
      </c>
      <c r="L11300" s="16">
        <f>IF(AND(G11300&gt;0,H11300&gt;0),G11300/H11300,"")</f>
        <v/>
      </c>
    </row>
    <row r="11301">
      <c r="A11301" s="4" t="inlineStr">
        <is>
          <t>611</t>
        </is>
      </c>
      <c r="B11301" s="4" t="n">
        <v>6</v>
      </c>
      <c r="C11301" s="4" t="inlineStr">
        <is>
          <t>whitetail</t>
        </is>
      </c>
      <c r="D11301" s="4" t="n">
        <v>2006</v>
      </c>
      <c r="E11301" s="4" t="inlineStr"/>
      <c r="F11301" s="5" t="n">
        <v>675</v>
      </c>
      <c r="G11301" s="5" t="n">
        <v>2823</v>
      </c>
      <c r="H11301" s="5" t="n">
        <v>210</v>
      </c>
      <c r="I11301" s="5" t="n">
        <v>125</v>
      </c>
      <c r="J11301" s="5" t="n">
        <v>82</v>
      </c>
      <c r="K11301" s="10">
        <f>IF(F11301&gt;0,H11301/F11301,"")</f>
        <v/>
      </c>
      <c r="L11301" s="16">
        <f>IF(AND(G11301&gt;0,H11301&gt;0),G11301/H11301,"")</f>
        <v/>
      </c>
    </row>
    <row r="11302">
      <c r="A11302" s="4" t="inlineStr">
        <is>
          <t>611</t>
        </is>
      </c>
      <c r="B11302" s="4" t="n">
        <v>6</v>
      </c>
      <c r="C11302" s="4" t="inlineStr">
        <is>
          <t>whitetail</t>
        </is>
      </c>
      <c r="D11302" s="4" t="n">
        <v>2007</v>
      </c>
      <c r="E11302" s="4" t="inlineStr"/>
      <c r="F11302" s="5" t="n">
        <v>869</v>
      </c>
      <c r="G11302" s="5" t="n">
        <v>3899</v>
      </c>
      <c r="H11302" s="5" t="n">
        <v>232</v>
      </c>
      <c r="I11302" s="5" t="n">
        <v>124</v>
      </c>
      <c r="J11302" s="5" t="n">
        <v>108</v>
      </c>
      <c r="K11302" s="10">
        <f>IF(F11302&gt;0,H11302/F11302,"")</f>
        <v/>
      </c>
      <c r="L11302" s="16">
        <f>IF(AND(G11302&gt;0,H11302&gt;0),G11302/H11302,"")</f>
        <v/>
      </c>
    </row>
    <row r="11303">
      <c r="A11303" s="4" t="inlineStr">
        <is>
          <t>611</t>
        </is>
      </c>
      <c r="B11303" s="4" t="n">
        <v>6</v>
      </c>
      <c r="C11303" s="4" t="inlineStr">
        <is>
          <t>whitetail</t>
        </is>
      </c>
      <c r="D11303" s="4" t="n">
        <v>2008</v>
      </c>
      <c r="E11303" s="4" t="inlineStr"/>
      <c r="F11303" s="5" t="n">
        <v>886</v>
      </c>
      <c r="G11303" s="5" t="n">
        <v>3906</v>
      </c>
      <c r="H11303" s="5" t="n">
        <v>275</v>
      </c>
      <c r="I11303" s="5" t="n">
        <v>116</v>
      </c>
      <c r="J11303" s="5" t="n">
        <v>156</v>
      </c>
      <c r="K11303" s="10">
        <f>IF(F11303&gt;0,H11303/F11303,"")</f>
        <v/>
      </c>
      <c r="L11303" s="16">
        <f>IF(AND(G11303&gt;0,H11303&gt;0),G11303/H11303,"")</f>
        <v/>
      </c>
    </row>
    <row r="11304">
      <c r="A11304" s="4" t="inlineStr">
        <is>
          <t>611</t>
        </is>
      </c>
      <c r="B11304" s="4" t="n">
        <v>6</v>
      </c>
      <c r="C11304" s="4" t="inlineStr">
        <is>
          <t>whitetail</t>
        </is>
      </c>
      <c r="D11304" s="4" t="n">
        <v>2009</v>
      </c>
      <c r="E11304" s="4" t="inlineStr"/>
      <c r="F11304" s="5" t="n">
        <v>1028</v>
      </c>
      <c r="G11304" s="5" t="n">
        <v>4647</v>
      </c>
      <c r="H11304" s="5" t="n">
        <v>233</v>
      </c>
      <c r="I11304" s="5" t="n">
        <v>124</v>
      </c>
      <c r="J11304" s="5" t="n">
        <v>109</v>
      </c>
      <c r="K11304" s="10">
        <f>IF(F11304&gt;0,H11304/F11304,"")</f>
        <v/>
      </c>
      <c r="L11304" s="16">
        <f>IF(AND(G11304&gt;0,H11304&gt;0),G11304/H11304,"")</f>
        <v/>
      </c>
    </row>
    <row r="11305">
      <c r="A11305" s="4" t="inlineStr">
        <is>
          <t>611</t>
        </is>
      </c>
      <c r="B11305" s="4" t="n">
        <v>6</v>
      </c>
      <c r="C11305" s="4" t="inlineStr">
        <is>
          <t>whitetail</t>
        </is>
      </c>
      <c r="D11305" s="4" t="n">
        <v>2010</v>
      </c>
      <c r="E11305" s="4" t="inlineStr"/>
      <c r="F11305" s="5" t="n">
        <v>992</v>
      </c>
      <c r="G11305" s="5" t="n">
        <v>4432</v>
      </c>
      <c r="H11305" s="5" t="n">
        <v>198</v>
      </c>
      <c r="I11305" s="5" t="n">
        <v>93</v>
      </c>
      <c r="J11305" s="5" t="n">
        <v>105</v>
      </c>
      <c r="K11305" s="10">
        <f>IF(F11305&gt;0,H11305/F11305,"")</f>
        <v/>
      </c>
      <c r="L11305" s="16">
        <f>IF(AND(G11305&gt;0,H11305&gt;0),G11305/H11305,"")</f>
        <v/>
      </c>
    </row>
    <row r="11306">
      <c r="A11306" s="4" t="inlineStr">
        <is>
          <t>611</t>
        </is>
      </c>
      <c r="B11306" s="4" t="n">
        <v>6</v>
      </c>
      <c r="C11306" s="4" t="inlineStr">
        <is>
          <t>whitetail</t>
        </is>
      </c>
      <c r="D11306" s="4" t="n">
        <v>2011</v>
      </c>
      <c r="E11306" s="4" t="inlineStr"/>
      <c r="F11306" s="5" t="n">
        <v>626</v>
      </c>
      <c r="G11306" s="5" t="n">
        <v>3000</v>
      </c>
      <c r="H11306" s="5" t="n">
        <v>79</v>
      </c>
      <c r="I11306" s="5" t="n">
        <v>42</v>
      </c>
      <c r="J11306" s="5" t="n">
        <v>34</v>
      </c>
      <c r="K11306" s="10">
        <f>IF(F11306&gt;0,H11306/F11306,"")</f>
        <v/>
      </c>
      <c r="L11306" s="16">
        <f>IF(AND(G11306&gt;0,H11306&gt;0),G11306/H11306,"")</f>
        <v/>
      </c>
    </row>
    <row r="11307">
      <c r="A11307" s="4" t="inlineStr">
        <is>
          <t>611</t>
        </is>
      </c>
      <c r="B11307" s="4" t="n">
        <v>6</v>
      </c>
      <c r="C11307" s="4" t="inlineStr">
        <is>
          <t>whitetail</t>
        </is>
      </c>
      <c r="D11307" s="4" t="n">
        <v>2012</v>
      </c>
      <c r="E11307" s="4" t="inlineStr"/>
      <c r="F11307" s="5" t="n"/>
      <c r="G11307" s="5" t="n"/>
      <c r="H11307" s="5" t="n">
        <v>155</v>
      </c>
      <c r="I11307" s="5" t="n">
        <v>92</v>
      </c>
      <c r="J11307" s="5" t="n">
        <v>63</v>
      </c>
      <c r="K11307" s="10">
        <f>IF(F11307&gt;0,H11307/F11307,"")</f>
        <v/>
      </c>
      <c r="L11307" s="16">
        <f>IF(AND(G11307&gt;0,H11307&gt;0),G11307/H11307,"")</f>
        <v/>
      </c>
    </row>
    <row r="11308">
      <c r="A11308" s="4" t="inlineStr">
        <is>
          <t>611</t>
        </is>
      </c>
      <c r="B11308" s="4" t="n">
        <v>6</v>
      </c>
      <c r="C11308" s="4" t="inlineStr">
        <is>
          <t>whitetail</t>
        </is>
      </c>
      <c r="D11308" s="4" t="n">
        <v>2013</v>
      </c>
      <c r="E11308" s="4" t="inlineStr"/>
      <c r="F11308" s="5" t="n">
        <v>743</v>
      </c>
      <c r="G11308" s="5" t="n">
        <v>4094</v>
      </c>
      <c r="H11308" s="5" t="n">
        <v>97</v>
      </c>
      <c r="I11308" s="5" t="n">
        <v>67</v>
      </c>
      <c r="J11308" s="5" t="n">
        <v>28</v>
      </c>
      <c r="K11308" s="10">
        <f>IF(F11308&gt;0,H11308/F11308,"")</f>
        <v/>
      </c>
      <c r="L11308" s="16">
        <f>IF(AND(G11308&gt;0,H11308&gt;0),G11308/H11308,"")</f>
        <v/>
      </c>
    </row>
    <row r="11309">
      <c r="A11309" s="4" t="inlineStr">
        <is>
          <t>611</t>
        </is>
      </c>
      <c r="B11309" s="4" t="n">
        <v>6</v>
      </c>
      <c r="C11309" s="4" t="inlineStr">
        <is>
          <t>whitetail</t>
        </is>
      </c>
      <c r="D11309" s="4" t="n">
        <v>2014</v>
      </c>
      <c r="E11309" s="4" t="inlineStr"/>
      <c r="F11309" s="5" t="n"/>
      <c r="G11309" s="5" t="n"/>
      <c r="H11309" s="5" t="n">
        <v>119</v>
      </c>
      <c r="I11309" s="5" t="n">
        <v>107</v>
      </c>
      <c r="J11309" s="5" t="n">
        <v>11</v>
      </c>
      <c r="K11309" s="10">
        <f>IF(F11309&gt;0,H11309/F11309,"")</f>
        <v/>
      </c>
      <c r="L11309" s="16">
        <f>IF(AND(G11309&gt;0,H11309&gt;0),G11309/H11309,"")</f>
        <v/>
      </c>
    </row>
    <row r="11310">
      <c r="A11310" s="4" t="inlineStr">
        <is>
          <t>611</t>
        </is>
      </c>
      <c r="B11310" s="4" t="n">
        <v>6</v>
      </c>
      <c r="C11310" s="4" t="inlineStr">
        <is>
          <t>whitetail</t>
        </is>
      </c>
      <c r="D11310" s="4" t="n">
        <v>2015</v>
      </c>
      <c r="E11310" s="4" t="inlineStr"/>
      <c r="F11310" s="5" t="n"/>
      <c r="G11310" s="5" t="n"/>
      <c r="H11310" s="5" t="n">
        <v>103</v>
      </c>
      <c r="I11310" s="5" t="n">
        <v>98</v>
      </c>
      <c r="J11310" s="5" t="n">
        <v>6</v>
      </c>
      <c r="K11310" s="10">
        <f>IF(F11310&gt;0,H11310/F11310,"")</f>
        <v/>
      </c>
      <c r="L11310" s="16">
        <f>IF(AND(G11310&gt;0,H11310&gt;0),G11310/H11310,"")</f>
        <v/>
      </c>
    </row>
    <row r="11311">
      <c r="A11311" s="4" t="inlineStr">
        <is>
          <t>611</t>
        </is>
      </c>
      <c r="B11311" s="4" t="n">
        <v>6</v>
      </c>
      <c r="C11311" s="4" t="inlineStr">
        <is>
          <t>whitetail</t>
        </is>
      </c>
      <c r="D11311" s="4" t="n">
        <v>2016</v>
      </c>
      <c r="E11311" s="4" t="inlineStr"/>
      <c r="F11311" s="5" t="n"/>
      <c r="G11311" s="5" t="n"/>
      <c r="H11311" s="5" t="n">
        <v>132</v>
      </c>
      <c r="I11311" s="5" t="n">
        <v>92</v>
      </c>
      <c r="J11311" s="5" t="n">
        <v>40</v>
      </c>
      <c r="K11311" s="10">
        <f>IF(F11311&gt;0,H11311/F11311,"")</f>
        <v/>
      </c>
      <c r="L11311" s="16">
        <f>IF(AND(G11311&gt;0,H11311&gt;0),G11311/H11311,"")</f>
        <v/>
      </c>
    </row>
    <row r="11312">
      <c r="A11312" s="4" t="inlineStr">
        <is>
          <t>611</t>
        </is>
      </c>
      <c r="B11312" s="4" t="n">
        <v>6</v>
      </c>
      <c r="C11312" s="4" t="inlineStr">
        <is>
          <t>whitetail</t>
        </is>
      </c>
      <c r="D11312" s="4" t="n">
        <v>2017</v>
      </c>
      <c r="E11312" s="4" t="inlineStr"/>
      <c r="F11312" s="5" t="n">
        <v>943</v>
      </c>
      <c r="G11312" s="5" t="n">
        <v>4437</v>
      </c>
      <c r="H11312" s="5" t="n">
        <v>161</v>
      </c>
      <c r="I11312" s="5" t="n">
        <v>112</v>
      </c>
      <c r="J11312" s="5" t="n">
        <v>49</v>
      </c>
      <c r="K11312" s="10">
        <f>IF(F11312&gt;0,H11312/F11312,"")</f>
        <v/>
      </c>
      <c r="L11312" s="16">
        <f>IF(AND(G11312&gt;0,H11312&gt;0),G11312/H11312,"")</f>
        <v/>
      </c>
    </row>
    <row r="11313">
      <c r="A11313" s="4" t="inlineStr">
        <is>
          <t>611</t>
        </is>
      </c>
      <c r="B11313" s="4" t="n">
        <v>6</v>
      </c>
      <c r="C11313" s="4" t="inlineStr">
        <is>
          <t>whitetail</t>
        </is>
      </c>
      <c r="D11313" s="4" t="n">
        <v>2018</v>
      </c>
      <c r="E11313" s="4" t="inlineStr"/>
      <c r="F11313" s="5" t="n"/>
      <c r="G11313" s="5" t="n"/>
      <c r="H11313" s="5" t="n">
        <v>124</v>
      </c>
      <c r="I11313" s="5" t="n">
        <v>81</v>
      </c>
      <c r="J11313" s="5" t="n">
        <v>40</v>
      </c>
      <c r="K11313" s="10">
        <f>IF(F11313&gt;0,H11313/F11313,"")</f>
        <v/>
      </c>
      <c r="L11313" s="16">
        <f>IF(AND(G11313&gt;0,H11313&gt;0),G11313/H11313,"")</f>
        <v/>
      </c>
    </row>
    <row r="11314">
      <c r="A11314" s="4" t="inlineStr">
        <is>
          <t>611</t>
        </is>
      </c>
      <c r="B11314" s="4" t="n">
        <v>6</v>
      </c>
      <c r="C11314" s="4" t="inlineStr">
        <is>
          <t>whitetail</t>
        </is>
      </c>
      <c r="D11314" s="4" t="n">
        <v>2019</v>
      </c>
      <c r="E11314" s="4" t="inlineStr"/>
      <c r="F11314" s="5" t="n">
        <v>1011</v>
      </c>
      <c r="G11314" s="5" t="n">
        <v>5197</v>
      </c>
      <c r="H11314" s="5" t="n">
        <v>134</v>
      </c>
      <c r="I11314" s="5" t="n">
        <v>96</v>
      </c>
      <c r="J11314" s="5" t="n">
        <v>38</v>
      </c>
      <c r="K11314" s="10">
        <f>IF(F11314&gt;0,H11314/F11314,"")</f>
        <v/>
      </c>
      <c r="L11314" s="16">
        <f>IF(AND(G11314&gt;0,H11314&gt;0),G11314/H11314,"")</f>
        <v/>
      </c>
    </row>
    <row r="11315">
      <c r="A11315" s="4" t="inlineStr">
        <is>
          <t>620</t>
        </is>
      </c>
      <c r="B11315" s="4" t="n">
        <v>6</v>
      </c>
      <c r="C11315" s="4" t="inlineStr">
        <is>
          <t>whitetail</t>
        </is>
      </c>
      <c r="D11315" s="4" t="n">
        <v>2004</v>
      </c>
      <c r="E11315" s="13" t="inlineStr">
        <is>
          <t>General</t>
        </is>
      </c>
      <c r="F11315" s="5" t="n">
        <v>1037</v>
      </c>
      <c r="G11315" s="5" t="n">
        <v>4359</v>
      </c>
      <c r="H11315" s="5" t="n">
        <v>133</v>
      </c>
      <c r="I11315" s="5" t="n">
        <v>76</v>
      </c>
      <c r="J11315" s="5" t="n">
        <v>55</v>
      </c>
      <c r="K11315" s="10">
        <f>IF(F11315&gt;0,H11315/F11315,"")</f>
        <v/>
      </c>
      <c r="L11315" s="16">
        <f>IF(AND(G11315&gt;0,H11315&gt;0),G11315/H11315,"")</f>
        <v/>
      </c>
    </row>
    <row r="11316">
      <c r="A11316" s="4" t="inlineStr">
        <is>
          <t>620</t>
        </is>
      </c>
      <c r="B11316" s="4" t="n">
        <v>6</v>
      </c>
      <c r="C11316" s="4" t="inlineStr">
        <is>
          <t>whitetail</t>
        </is>
      </c>
      <c r="D11316" s="4" t="n">
        <v>2005</v>
      </c>
      <c r="E11316" s="13" t="inlineStr">
        <is>
          <t>General</t>
        </is>
      </c>
      <c r="F11316" s="5" t="n">
        <v>1338</v>
      </c>
      <c r="G11316" s="5" t="n">
        <v>6742</v>
      </c>
      <c r="H11316" s="5" t="n">
        <v>179</v>
      </c>
      <c r="I11316" s="5" t="n">
        <v>123</v>
      </c>
      <c r="J11316" s="5" t="n">
        <v>53</v>
      </c>
      <c r="K11316" s="10">
        <f>IF(F11316&gt;0,H11316/F11316,"")</f>
        <v/>
      </c>
      <c r="L11316" s="16">
        <f>IF(AND(G11316&gt;0,H11316&gt;0),G11316/H11316,"")</f>
        <v/>
      </c>
    </row>
    <row r="11317">
      <c r="A11317" s="4" t="inlineStr">
        <is>
          <t>620</t>
        </is>
      </c>
      <c r="B11317" s="4" t="n">
        <v>6</v>
      </c>
      <c r="C11317" s="4" t="inlineStr">
        <is>
          <t>whitetail</t>
        </is>
      </c>
      <c r="D11317" s="4" t="n">
        <v>2006</v>
      </c>
      <c r="E11317" s="13" t="inlineStr">
        <is>
          <t>General</t>
        </is>
      </c>
      <c r="F11317" s="5" t="n">
        <v>1187</v>
      </c>
      <c r="G11317" s="5" t="n">
        <v>6207</v>
      </c>
      <c r="H11317" s="5" t="n">
        <v>205</v>
      </c>
      <c r="I11317" s="5" t="n">
        <v>119</v>
      </c>
      <c r="J11317" s="5" t="n">
        <v>86</v>
      </c>
      <c r="K11317" s="10">
        <f>IF(F11317&gt;0,H11317/F11317,"")</f>
        <v/>
      </c>
      <c r="L11317" s="16">
        <f>IF(AND(G11317&gt;0,H11317&gt;0),G11317/H11317,"")</f>
        <v/>
      </c>
    </row>
    <row r="11318">
      <c r="A11318" s="4" t="inlineStr">
        <is>
          <t>620</t>
        </is>
      </c>
      <c r="B11318" s="4" t="n">
        <v>6</v>
      </c>
      <c r="C11318" s="4" t="inlineStr">
        <is>
          <t>whitetail</t>
        </is>
      </c>
      <c r="D11318" s="4" t="n">
        <v>2007</v>
      </c>
      <c r="E11318" s="13" t="inlineStr">
        <is>
          <t>General</t>
        </is>
      </c>
      <c r="F11318" s="5" t="n">
        <v>1495</v>
      </c>
      <c r="G11318" s="5" t="n">
        <v>8075</v>
      </c>
      <c r="H11318" s="5" t="n">
        <v>308</v>
      </c>
      <c r="I11318" s="5" t="n">
        <v>155</v>
      </c>
      <c r="J11318" s="5" t="n">
        <v>143</v>
      </c>
      <c r="K11318" s="10">
        <f>IF(F11318&gt;0,H11318/F11318,"")</f>
        <v/>
      </c>
      <c r="L11318" s="16">
        <f>IF(AND(G11318&gt;0,H11318&gt;0),G11318/H11318,"")</f>
        <v/>
      </c>
    </row>
    <row r="11319">
      <c r="A11319" s="4" t="inlineStr">
        <is>
          <t>620</t>
        </is>
      </c>
      <c r="B11319" s="4" t="n">
        <v>6</v>
      </c>
      <c r="C11319" s="4" t="inlineStr">
        <is>
          <t>whitetail</t>
        </is>
      </c>
      <c r="D11319" s="4" t="n">
        <v>2008</v>
      </c>
      <c r="E11319" s="13" t="inlineStr">
        <is>
          <t>General</t>
        </is>
      </c>
      <c r="F11319" s="5" t="n">
        <v>1638</v>
      </c>
      <c r="G11319" s="5" t="n">
        <v>8166</v>
      </c>
      <c r="H11319" s="5" t="n">
        <v>327</v>
      </c>
      <c r="I11319" s="5" t="n">
        <v>207</v>
      </c>
      <c r="J11319" s="5" t="n">
        <v>121</v>
      </c>
      <c r="K11319" s="10">
        <f>IF(F11319&gt;0,H11319/F11319,"")</f>
        <v/>
      </c>
      <c r="L11319" s="16">
        <f>IF(AND(G11319&gt;0,H11319&gt;0),G11319/H11319,"")</f>
        <v/>
      </c>
    </row>
    <row r="11320">
      <c r="A11320" s="4" t="inlineStr">
        <is>
          <t>620</t>
        </is>
      </c>
      <c r="B11320" s="4" t="n">
        <v>6</v>
      </c>
      <c r="C11320" s="4" t="inlineStr">
        <is>
          <t>whitetail</t>
        </is>
      </c>
      <c r="D11320" s="4" t="n">
        <v>2009</v>
      </c>
      <c r="E11320" s="13" t="inlineStr">
        <is>
          <t>General</t>
        </is>
      </c>
      <c r="F11320" s="5" t="n">
        <v>1739</v>
      </c>
      <c r="G11320" s="5" t="n">
        <v>9037</v>
      </c>
      <c r="H11320" s="5" t="n">
        <v>378</v>
      </c>
      <c r="I11320" s="5" t="n">
        <v>195</v>
      </c>
      <c r="J11320" s="5" t="n">
        <v>183</v>
      </c>
      <c r="K11320" s="10">
        <f>IF(F11320&gt;0,H11320/F11320,"")</f>
        <v/>
      </c>
      <c r="L11320" s="16">
        <f>IF(AND(G11320&gt;0,H11320&gt;0),G11320/H11320,"")</f>
        <v/>
      </c>
    </row>
    <row r="11321">
      <c r="A11321" s="4" t="inlineStr">
        <is>
          <t>620</t>
        </is>
      </c>
      <c r="B11321" s="4" t="n">
        <v>6</v>
      </c>
      <c r="C11321" s="4" t="inlineStr">
        <is>
          <t>whitetail</t>
        </is>
      </c>
      <c r="D11321" s="4" t="n">
        <v>2010</v>
      </c>
      <c r="E11321" s="13" t="inlineStr">
        <is>
          <t>General</t>
        </is>
      </c>
      <c r="F11321" s="5" t="n">
        <v>1662</v>
      </c>
      <c r="G11321" s="5" t="n">
        <v>8590</v>
      </c>
      <c r="H11321" s="5" t="n">
        <v>455</v>
      </c>
      <c r="I11321" s="5" t="n">
        <v>173</v>
      </c>
      <c r="J11321" s="5" t="n">
        <v>271</v>
      </c>
      <c r="K11321" s="10">
        <f>IF(F11321&gt;0,H11321/F11321,"")</f>
        <v/>
      </c>
      <c r="L11321" s="16">
        <f>IF(AND(G11321&gt;0,H11321&gt;0),G11321/H11321,"")</f>
        <v/>
      </c>
    </row>
    <row r="11322">
      <c r="A11322" s="4" t="inlineStr">
        <is>
          <t>620</t>
        </is>
      </c>
      <c r="B11322" s="4" t="n">
        <v>6</v>
      </c>
      <c r="C11322" s="4" t="inlineStr">
        <is>
          <t>whitetail</t>
        </is>
      </c>
      <c r="D11322" s="4" t="n">
        <v>2011</v>
      </c>
      <c r="E11322" s="13" t="inlineStr">
        <is>
          <t>General</t>
        </is>
      </c>
      <c r="F11322" s="5" t="n">
        <v>1299</v>
      </c>
      <c r="G11322" s="5" t="n">
        <v>6778</v>
      </c>
      <c r="H11322" s="5" t="n">
        <v>120</v>
      </c>
      <c r="I11322" s="5" t="n">
        <v>43</v>
      </c>
      <c r="J11322" s="5" t="n">
        <v>72</v>
      </c>
      <c r="K11322" s="10">
        <f>IF(F11322&gt;0,H11322/F11322,"")</f>
        <v/>
      </c>
      <c r="L11322" s="16">
        <f>IF(AND(G11322&gt;0,H11322&gt;0),G11322/H11322,"")</f>
        <v/>
      </c>
    </row>
    <row r="11323">
      <c r="A11323" s="4" t="inlineStr">
        <is>
          <t>620</t>
        </is>
      </c>
      <c r="B11323" s="4" t="n">
        <v>6</v>
      </c>
      <c r="C11323" s="4" t="inlineStr">
        <is>
          <t>whitetail</t>
        </is>
      </c>
      <c r="D11323" s="4" t="n">
        <v>2012</v>
      </c>
      <c r="E11323" s="13" t="inlineStr">
        <is>
          <t>General</t>
        </is>
      </c>
      <c r="F11323" s="5" t="n"/>
      <c r="G11323" s="5" t="n"/>
      <c r="H11323" s="5" t="n">
        <v>126</v>
      </c>
      <c r="I11323" s="5" t="n">
        <v>73</v>
      </c>
      <c r="J11323" s="5" t="n">
        <v>53</v>
      </c>
      <c r="K11323" s="10">
        <f>IF(F11323&gt;0,H11323/F11323,"")</f>
        <v/>
      </c>
      <c r="L11323" s="16">
        <f>IF(AND(G11323&gt;0,H11323&gt;0),G11323/H11323,"")</f>
        <v/>
      </c>
    </row>
    <row r="11324">
      <c r="A11324" s="4" t="inlineStr">
        <is>
          <t>620</t>
        </is>
      </c>
      <c r="B11324" s="4" t="n">
        <v>6</v>
      </c>
      <c r="C11324" s="4" t="inlineStr">
        <is>
          <t>whitetail</t>
        </is>
      </c>
      <c r="D11324" s="4" t="n">
        <v>2013</v>
      </c>
      <c r="E11324" s="13" t="inlineStr">
        <is>
          <t>General</t>
        </is>
      </c>
      <c r="F11324" s="5" t="n">
        <v>1085</v>
      </c>
      <c r="G11324" s="5" t="n">
        <v>5715</v>
      </c>
      <c r="H11324" s="5" t="n">
        <v>62</v>
      </c>
      <c r="I11324" s="5" t="n">
        <v>45</v>
      </c>
      <c r="J11324" s="5" t="n">
        <v>17</v>
      </c>
      <c r="K11324" s="10">
        <f>IF(F11324&gt;0,H11324/F11324,"")</f>
        <v/>
      </c>
      <c r="L11324" s="16">
        <f>IF(AND(G11324&gt;0,H11324&gt;0),G11324/H11324,"")</f>
        <v/>
      </c>
    </row>
    <row r="11325">
      <c r="A11325" s="4" t="inlineStr">
        <is>
          <t>620</t>
        </is>
      </c>
      <c r="B11325" s="4" t="n">
        <v>6</v>
      </c>
      <c r="C11325" s="4" t="inlineStr">
        <is>
          <t>whitetail</t>
        </is>
      </c>
      <c r="D11325" s="4" t="n">
        <v>2014</v>
      </c>
      <c r="E11325" s="13" t="inlineStr">
        <is>
          <t>General</t>
        </is>
      </c>
      <c r="F11325" s="5" t="n"/>
      <c r="G11325" s="5" t="n"/>
      <c r="H11325" s="5" t="n">
        <v>71</v>
      </c>
      <c r="I11325" s="5" t="n">
        <v>65</v>
      </c>
      <c r="J11325" s="5" t="n">
        <v>6</v>
      </c>
      <c r="K11325" s="10">
        <f>IF(F11325&gt;0,H11325/F11325,"")</f>
        <v/>
      </c>
      <c r="L11325" s="16">
        <f>IF(AND(G11325&gt;0,H11325&gt;0),G11325/H11325,"")</f>
        <v/>
      </c>
    </row>
    <row r="11326">
      <c r="A11326" s="4" t="inlineStr">
        <is>
          <t>620</t>
        </is>
      </c>
      <c r="B11326" s="4" t="n">
        <v>6</v>
      </c>
      <c r="C11326" s="4" t="inlineStr">
        <is>
          <t>whitetail</t>
        </is>
      </c>
      <c r="D11326" s="4" t="n">
        <v>2015</v>
      </c>
      <c r="E11326" s="13" t="inlineStr">
        <is>
          <t>General</t>
        </is>
      </c>
      <c r="F11326" s="5" t="n"/>
      <c r="G11326" s="5" t="n"/>
      <c r="H11326" s="5" t="n">
        <v>129</v>
      </c>
      <c r="I11326" s="5" t="n">
        <v>115</v>
      </c>
      <c r="J11326" s="5" t="n">
        <v>14</v>
      </c>
      <c r="K11326" s="10">
        <f>IF(F11326&gt;0,H11326/F11326,"")</f>
        <v/>
      </c>
      <c r="L11326" s="16">
        <f>IF(AND(G11326&gt;0,H11326&gt;0),G11326/H11326,"")</f>
        <v/>
      </c>
    </row>
    <row r="11327">
      <c r="A11327" s="4" t="inlineStr">
        <is>
          <t>620</t>
        </is>
      </c>
      <c r="B11327" s="4" t="n">
        <v>6</v>
      </c>
      <c r="C11327" s="4" t="inlineStr">
        <is>
          <t>whitetail</t>
        </is>
      </c>
      <c r="D11327" s="4" t="n">
        <v>2016</v>
      </c>
      <c r="E11327" s="13" t="inlineStr">
        <is>
          <t>General</t>
        </is>
      </c>
      <c r="F11327" s="5" t="n"/>
      <c r="G11327" s="5" t="n"/>
      <c r="H11327" s="5" t="n">
        <v>160</v>
      </c>
      <c r="I11327" s="5" t="n">
        <v>99</v>
      </c>
      <c r="J11327" s="5" t="n">
        <v>61</v>
      </c>
      <c r="K11327" s="10">
        <f>IF(F11327&gt;0,H11327/F11327,"")</f>
        <v/>
      </c>
      <c r="L11327" s="16">
        <f>IF(AND(G11327&gt;0,H11327&gt;0),G11327/H11327,"")</f>
        <v/>
      </c>
    </row>
    <row r="11328">
      <c r="A11328" s="4" t="inlineStr">
        <is>
          <t>620</t>
        </is>
      </c>
      <c r="B11328" s="4" t="n">
        <v>6</v>
      </c>
      <c r="C11328" s="4" t="inlineStr">
        <is>
          <t>whitetail</t>
        </is>
      </c>
      <c r="D11328" s="4" t="n">
        <v>2017</v>
      </c>
      <c r="E11328" s="13" t="inlineStr">
        <is>
          <t>General</t>
        </is>
      </c>
      <c r="F11328" s="5" t="n">
        <v>1532</v>
      </c>
      <c r="G11328" s="5" t="n">
        <v>7931</v>
      </c>
      <c r="H11328" s="5" t="n">
        <v>151</v>
      </c>
      <c r="I11328" s="5" t="n">
        <v>100</v>
      </c>
      <c r="J11328" s="5" t="n">
        <v>51</v>
      </c>
      <c r="K11328" s="10">
        <f>IF(F11328&gt;0,H11328/F11328,"")</f>
        <v/>
      </c>
      <c r="L11328" s="16">
        <f>IF(AND(G11328&gt;0,H11328&gt;0),G11328/H11328,"")</f>
        <v/>
      </c>
    </row>
    <row r="11329">
      <c r="A11329" s="4" t="inlineStr">
        <is>
          <t>620</t>
        </is>
      </c>
      <c r="B11329" s="4" t="n">
        <v>6</v>
      </c>
      <c r="C11329" s="4" t="inlineStr">
        <is>
          <t>whitetail</t>
        </is>
      </c>
      <c r="D11329" s="4" t="n">
        <v>2018</v>
      </c>
      <c r="E11329" s="13" t="inlineStr">
        <is>
          <t>General</t>
        </is>
      </c>
      <c r="F11329" s="5" t="n"/>
      <c r="G11329" s="5" t="n"/>
      <c r="H11329" s="5" t="n">
        <v>148</v>
      </c>
      <c r="I11329" s="5" t="n">
        <v>78</v>
      </c>
      <c r="J11329" s="5" t="n">
        <v>66</v>
      </c>
      <c r="K11329" s="10">
        <f>IF(F11329&gt;0,H11329/F11329,"")</f>
        <v/>
      </c>
      <c r="L11329" s="16">
        <f>IF(AND(G11329&gt;0,H11329&gt;0),G11329/H11329,"")</f>
        <v/>
      </c>
    </row>
    <row r="11330">
      <c r="A11330" s="4" t="inlineStr">
        <is>
          <t>620</t>
        </is>
      </c>
      <c r="B11330" s="4" t="n">
        <v>6</v>
      </c>
      <c r="C11330" s="4" t="inlineStr">
        <is>
          <t>whitetail</t>
        </is>
      </c>
      <c r="D11330" s="4" t="n">
        <v>2019</v>
      </c>
      <c r="E11330" s="13" t="inlineStr">
        <is>
          <t>General</t>
        </is>
      </c>
      <c r="F11330" s="5" t="n">
        <v>1425</v>
      </c>
      <c r="G11330" s="5" t="n">
        <v>7358</v>
      </c>
      <c r="H11330" s="5" t="n">
        <v>194</v>
      </c>
      <c r="I11330" s="5" t="n">
        <v>121</v>
      </c>
      <c r="J11330" s="5" t="n">
        <v>73</v>
      </c>
      <c r="K11330" s="10">
        <f>IF(F11330&gt;0,H11330/F11330,"")</f>
        <v/>
      </c>
      <c r="L11330" s="16">
        <f>IF(AND(G11330&gt;0,H11330&gt;0),G11330/H11330,"")</f>
        <v/>
      </c>
    </row>
    <row r="11331">
      <c r="A11331" s="4" t="inlineStr">
        <is>
          <t>620</t>
        </is>
      </c>
      <c r="B11331" s="4" t="n">
        <v>6</v>
      </c>
      <c r="C11331" s="4" t="inlineStr">
        <is>
          <t>whitetail</t>
        </is>
      </c>
      <c r="D11331" s="4" t="n">
        <v>2020</v>
      </c>
      <c r="E11331" s="13" t="inlineStr">
        <is>
          <t>General</t>
        </is>
      </c>
      <c r="F11331" s="5" t="n"/>
      <c r="G11331" s="5" t="n"/>
      <c r="H11331" s="5" t="n">
        <v>177</v>
      </c>
      <c r="I11331" s="5" t="n">
        <v>95</v>
      </c>
      <c r="J11331" s="5" t="n">
        <v>83</v>
      </c>
      <c r="K11331" s="10">
        <f>IF(F11331&gt;0,H11331/F11331,"")</f>
        <v/>
      </c>
      <c r="L11331" s="16">
        <f>IF(AND(G11331&gt;0,H11331&gt;0),G11331/H11331,"")</f>
        <v/>
      </c>
    </row>
    <row r="11332">
      <c r="A11332" s="4" t="inlineStr">
        <is>
          <t>620</t>
        </is>
      </c>
      <c r="B11332" s="4" t="n">
        <v>6</v>
      </c>
      <c r="C11332" s="4" t="inlineStr">
        <is>
          <t>whitetail</t>
        </is>
      </c>
      <c r="D11332" s="4" t="n">
        <v>2021</v>
      </c>
      <c r="E11332" s="13" t="inlineStr">
        <is>
          <t>General</t>
        </is>
      </c>
      <c r="F11332" s="5" t="n">
        <v>1760</v>
      </c>
      <c r="G11332" s="5" t="n">
        <v>9970</v>
      </c>
      <c r="H11332" s="5" t="n">
        <v>144</v>
      </c>
      <c r="I11332" s="5" t="n">
        <v>66</v>
      </c>
      <c r="J11332" s="5" t="n">
        <v>79</v>
      </c>
      <c r="K11332" s="10">
        <f>IF(F11332&gt;0,H11332/F11332,"")</f>
        <v/>
      </c>
      <c r="L11332" s="16">
        <f>IF(AND(G11332&gt;0,H11332&gt;0),G11332/H11332,"")</f>
        <v/>
      </c>
    </row>
    <row r="11333">
      <c r="A11333" s="4" t="inlineStr">
        <is>
          <t>620</t>
        </is>
      </c>
      <c r="B11333" s="4" t="n">
        <v>6</v>
      </c>
      <c r="C11333" s="4" t="inlineStr">
        <is>
          <t>whitetail</t>
        </is>
      </c>
      <c r="D11333" s="4" t="n">
        <v>2022</v>
      </c>
      <c r="E11333" s="13" t="inlineStr">
        <is>
          <t>General</t>
        </is>
      </c>
      <c r="F11333" s="5" t="n"/>
      <c r="G11333" s="5" t="n"/>
      <c r="H11333" s="5" t="n">
        <v>192</v>
      </c>
      <c r="I11333" s="5" t="n">
        <v>123</v>
      </c>
      <c r="J11333" s="5" t="n">
        <v>69</v>
      </c>
      <c r="K11333" s="10">
        <f>IF(F11333&gt;0,H11333/F11333,"")</f>
        <v/>
      </c>
      <c r="L11333" s="16">
        <f>IF(AND(G11333&gt;0,H11333&gt;0),G11333/H11333,"")</f>
        <v/>
      </c>
    </row>
    <row r="11334">
      <c r="A11334" s="4" t="inlineStr">
        <is>
          <t>620</t>
        </is>
      </c>
      <c r="B11334" s="4" t="n">
        <v>6</v>
      </c>
      <c r="C11334" s="4" t="inlineStr">
        <is>
          <t>whitetail</t>
        </is>
      </c>
      <c r="D11334" s="4" t="n">
        <v>2023</v>
      </c>
      <c r="E11334" s="13" t="inlineStr">
        <is>
          <t>General</t>
        </is>
      </c>
      <c r="F11334" s="5" t="n">
        <v>1326</v>
      </c>
      <c r="G11334" s="5" t="n">
        <v>7199</v>
      </c>
      <c r="H11334" s="5" t="n">
        <v>166</v>
      </c>
      <c r="I11334" s="5" t="n">
        <v>84</v>
      </c>
      <c r="J11334" s="5" t="n">
        <v>82</v>
      </c>
      <c r="K11334" s="10">
        <f>IF(F11334&gt;0,H11334/F11334,"")</f>
        <v/>
      </c>
      <c r="L11334" s="16">
        <f>IF(AND(G11334&gt;0,H11334&gt;0),G11334/H11334,"")</f>
        <v/>
      </c>
    </row>
    <row r="11335">
      <c r="A11335" s="4" t="inlineStr">
        <is>
          <t>620</t>
        </is>
      </c>
      <c r="B11335" s="4" t="n">
        <v>6</v>
      </c>
      <c r="C11335" s="4" t="inlineStr">
        <is>
          <t>whitetail</t>
        </is>
      </c>
      <c r="D11335" s="4" t="n">
        <v>2024</v>
      </c>
      <c r="E11335" s="13" t="inlineStr">
        <is>
          <t>General</t>
        </is>
      </c>
      <c r="F11335" s="5" t="n"/>
      <c r="G11335" s="5" t="n"/>
      <c r="H11335" s="5" t="n">
        <v>214</v>
      </c>
      <c r="I11335" s="5" t="n">
        <v>136</v>
      </c>
      <c r="J11335" s="5" t="n">
        <v>79</v>
      </c>
      <c r="K11335" s="10">
        <f>IF(F11335&gt;0,H11335/F11335,"")</f>
        <v/>
      </c>
      <c r="L11335" s="16">
        <f>IF(AND(G11335&gt;0,H11335&gt;0),G11335/H11335,"")</f>
        <v/>
      </c>
    </row>
    <row r="11336">
      <c r="A11336" s="4" t="inlineStr">
        <is>
          <t>620</t>
        </is>
      </c>
      <c r="B11336" s="4" t="n">
        <v>6</v>
      </c>
      <c r="C11336" s="4" t="inlineStr">
        <is>
          <t>whitetail</t>
        </is>
      </c>
      <c r="D11336" s="4" t="n">
        <v>2025</v>
      </c>
      <c r="E11336" s="13" t="inlineStr">
        <is>
          <t>General</t>
        </is>
      </c>
      <c r="F11336" s="5" t="n">
        <v>1199</v>
      </c>
      <c r="G11336" s="5" t="n">
        <v>6966</v>
      </c>
      <c r="H11336" s="5" t="n">
        <v>46</v>
      </c>
      <c r="I11336" s="5" t="n">
        <v>20</v>
      </c>
      <c r="J11336" s="5" t="n">
        <v>23</v>
      </c>
      <c r="K11336" s="10">
        <f>IF(F11336&gt;0,H11336/F11336,"")</f>
        <v/>
      </c>
      <c r="L11336" s="16">
        <f>IF(AND(G11336&gt;0,H11336&gt;0),G11336/H11336,"")</f>
        <v/>
      </c>
    </row>
    <row r="11337">
      <c r="A11337" s="4" t="inlineStr">
        <is>
          <t>621</t>
        </is>
      </c>
      <c r="B11337" s="4" t="n">
        <v>6</v>
      </c>
      <c r="C11337" s="4" t="inlineStr">
        <is>
          <t>whitetail</t>
        </is>
      </c>
      <c r="D11337" s="4" t="n">
        <v>2004</v>
      </c>
      <c r="E11337" s="13" t="inlineStr">
        <is>
          <t>General</t>
        </is>
      </c>
      <c r="F11337" s="5" t="n">
        <v>651</v>
      </c>
      <c r="G11337" s="5" t="n">
        <v>3406</v>
      </c>
      <c r="H11337" s="5" t="n">
        <v>28</v>
      </c>
      <c r="I11337" s="5" t="n">
        <v>13</v>
      </c>
      <c r="J11337" s="5" t="n">
        <v>15</v>
      </c>
      <c r="K11337" s="10">
        <f>IF(F11337&gt;0,H11337/F11337,"")</f>
        <v/>
      </c>
      <c r="L11337" s="16">
        <f>IF(AND(G11337&gt;0,H11337&gt;0),G11337/H11337,"")</f>
        <v/>
      </c>
    </row>
    <row r="11338">
      <c r="A11338" s="4" t="inlineStr">
        <is>
          <t>621</t>
        </is>
      </c>
      <c r="B11338" s="4" t="n">
        <v>6</v>
      </c>
      <c r="C11338" s="4" t="inlineStr">
        <is>
          <t>whitetail</t>
        </is>
      </c>
      <c r="D11338" s="4" t="n">
        <v>2005</v>
      </c>
      <c r="E11338" s="13" t="inlineStr">
        <is>
          <t>General</t>
        </is>
      </c>
      <c r="F11338" s="5" t="n">
        <v>751</v>
      </c>
      <c r="G11338" s="5" t="n">
        <v>4343</v>
      </c>
      <c r="H11338" s="5" t="n">
        <v>50</v>
      </c>
      <c r="I11338" s="5" t="n">
        <v>44</v>
      </c>
      <c r="J11338" s="5" t="n">
        <v>6</v>
      </c>
      <c r="K11338" s="10">
        <f>IF(F11338&gt;0,H11338/F11338,"")</f>
        <v/>
      </c>
      <c r="L11338" s="16">
        <f>IF(AND(G11338&gt;0,H11338&gt;0),G11338/H11338,"")</f>
        <v/>
      </c>
    </row>
    <row r="11339">
      <c r="A11339" s="4" t="inlineStr">
        <is>
          <t>621</t>
        </is>
      </c>
      <c r="B11339" s="4" t="n">
        <v>6</v>
      </c>
      <c r="C11339" s="4" t="inlineStr">
        <is>
          <t>whitetail</t>
        </is>
      </c>
      <c r="D11339" s="4" t="n">
        <v>2006</v>
      </c>
      <c r="E11339" s="13" t="inlineStr">
        <is>
          <t>General</t>
        </is>
      </c>
      <c r="F11339" s="5" t="n">
        <v>831</v>
      </c>
      <c r="G11339" s="5" t="n">
        <v>4692</v>
      </c>
      <c r="H11339" s="5" t="n">
        <v>75</v>
      </c>
      <c r="I11339" s="5" t="n">
        <v>41</v>
      </c>
      <c r="J11339" s="5" t="n">
        <v>34</v>
      </c>
      <c r="K11339" s="10">
        <f>IF(F11339&gt;0,H11339/F11339,"")</f>
        <v/>
      </c>
      <c r="L11339" s="16">
        <f>IF(AND(G11339&gt;0,H11339&gt;0),G11339/H11339,"")</f>
        <v/>
      </c>
    </row>
    <row r="11340">
      <c r="A11340" s="4" t="inlineStr">
        <is>
          <t>621</t>
        </is>
      </c>
      <c r="B11340" s="4" t="n">
        <v>6</v>
      </c>
      <c r="C11340" s="4" t="inlineStr">
        <is>
          <t>whitetail</t>
        </is>
      </c>
      <c r="D11340" s="4" t="n">
        <v>2007</v>
      </c>
      <c r="E11340" s="13" t="inlineStr">
        <is>
          <t>General</t>
        </is>
      </c>
      <c r="F11340" s="5" t="n">
        <v>792</v>
      </c>
      <c r="G11340" s="5" t="n">
        <v>4916</v>
      </c>
      <c r="H11340" s="5" t="n">
        <v>68</v>
      </c>
      <c r="I11340" s="5" t="n">
        <v>38</v>
      </c>
      <c r="J11340" s="5" t="n">
        <v>29</v>
      </c>
      <c r="K11340" s="10">
        <f>IF(F11340&gt;0,H11340/F11340,"")</f>
        <v/>
      </c>
      <c r="L11340" s="16">
        <f>IF(AND(G11340&gt;0,H11340&gt;0),G11340/H11340,"")</f>
        <v/>
      </c>
    </row>
    <row r="11341">
      <c r="A11341" s="4" t="inlineStr">
        <is>
          <t>621</t>
        </is>
      </c>
      <c r="B11341" s="4" t="n">
        <v>6</v>
      </c>
      <c r="C11341" s="4" t="inlineStr">
        <is>
          <t>whitetail</t>
        </is>
      </c>
      <c r="D11341" s="4" t="n">
        <v>2008</v>
      </c>
      <c r="E11341" s="13" t="inlineStr">
        <is>
          <t>General</t>
        </is>
      </c>
      <c r="F11341" s="5" t="n">
        <v>843</v>
      </c>
      <c r="G11341" s="5" t="n">
        <v>4709</v>
      </c>
      <c r="H11341" s="5" t="n">
        <v>101</v>
      </c>
      <c r="I11341" s="5" t="n">
        <v>62</v>
      </c>
      <c r="J11341" s="5" t="n">
        <v>39</v>
      </c>
      <c r="K11341" s="10">
        <f>IF(F11341&gt;0,H11341/F11341,"")</f>
        <v/>
      </c>
      <c r="L11341" s="16">
        <f>IF(AND(G11341&gt;0,H11341&gt;0),G11341/H11341,"")</f>
        <v/>
      </c>
    </row>
    <row r="11342">
      <c r="A11342" s="4" t="inlineStr">
        <is>
          <t>621</t>
        </is>
      </c>
      <c r="B11342" s="4" t="n">
        <v>6</v>
      </c>
      <c r="C11342" s="4" t="inlineStr">
        <is>
          <t>whitetail</t>
        </is>
      </c>
      <c r="D11342" s="4" t="n">
        <v>2009</v>
      </c>
      <c r="E11342" s="13" t="inlineStr">
        <is>
          <t>General</t>
        </is>
      </c>
      <c r="F11342" s="5" t="n">
        <v>857</v>
      </c>
      <c r="G11342" s="5" t="n">
        <v>4611</v>
      </c>
      <c r="H11342" s="5" t="n">
        <v>71</v>
      </c>
      <c r="I11342" s="5" t="n">
        <v>32</v>
      </c>
      <c r="J11342" s="5" t="n">
        <v>39</v>
      </c>
      <c r="K11342" s="10">
        <f>IF(F11342&gt;0,H11342/F11342,"")</f>
        <v/>
      </c>
      <c r="L11342" s="16">
        <f>IF(AND(G11342&gt;0,H11342&gt;0),G11342/H11342,"")</f>
        <v/>
      </c>
    </row>
    <row r="11343">
      <c r="A11343" s="4" t="inlineStr">
        <is>
          <t>621</t>
        </is>
      </c>
      <c r="B11343" s="4" t="n">
        <v>6</v>
      </c>
      <c r="C11343" s="4" t="inlineStr">
        <is>
          <t>whitetail</t>
        </is>
      </c>
      <c r="D11343" s="4" t="n">
        <v>2010</v>
      </c>
      <c r="E11343" s="13" t="inlineStr">
        <is>
          <t>General</t>
        </is>
      </c>
      <c r="F11343" s="5" t="n">
        <v>852</v>
      </c>
      <c r="G11343" s="5" t="n">
        <v>4300</v>
      </c>
      <c r="H11343" s="5" t="n">
        <v>46</v>
      </c>
      <c r="I11343" s="5" t="n">
        <v>23</v>
      </c>
      <c r="J11343" s="5" t="n">
        <v>23</v>
      </c>
      <c r="K11343" s="10">
        <f>IF(F11343&gt;0,H11343/F11343,"")</f>
        <v/>
      </c>
      <c r="L11343" s="16">
        <f>IF(AND(G11343&gt;0,H11343&gt;0),G11343/H11343,"")</f>
        <v/>
      </c>
    </row>
    <row r="11344">
      <c r="A11344" s="4" t="inlineStr">
        <is>
          <t>621</t>
        </is>
      </c>
      <c r="B11344" s="4" t="n">
        <v>6</v>
      </c>
      <c r="C11344" s="4" t="inlineStr">
        <is>
          <t>whitetail</t>
        </is>
      </c>
      <c r="D11344" s="4" t="n">
        <v>2011</v>
      </c>
      <c r="E11344" s="13" t="inlineStr">
        <is>
          <t>General</t>
        </is>
      </c>
      <c r="F11344" s="5" t="n">
        <v>833</v>
      </c>
      <c r="G11344" s="5" t="n">
        <v>4529</v>
      </c>
      <c r="H11344" s="5" t="n">
        <v>23</v>
      </c>
      <c r="I11344" s="5" t="n">
        <v>11</v>
      </c>
      <c r="J11344" s="5" t="n">
        <v>8</v>
      </c>
      <c r="K11344" s="10">
        <f>IF(F11344&gt;0,H11344/F11344,"")</f>
        <v/>
      </c>
      <c r="L11344" s="16">
        <f>IF(AND(G11344&gt;0,H11344&gt;0),G11344/H11344,"")</f>
        <v/>
      </c>
    </row>
    <row r="11345">
      <c r="A11345" s="4" t="inlineStr">
        <is>
          <t>621</t>
        </is>
      </c>
      <c r="B11345" s="4" t="n">
        <v>6</v>
      </c>
      <c r="C11345" s="4" t="inlineStr">
        <is>
          <t>whitetail</t>
        </is>
      </c>
      <c r="D11345" s="4" t="n">
        <v>2012</v>
      </c>
      <c r="E11345" s="13" t="inlineStr">
        <is>
          <t>General</t>
        </is>
      </c>
      <c r="F11345" s="5" t="n"/>
      <c r="G11345" s="5" t="n"/>
      <c r="H11345" s="5" t="n">
        <v>27</v>
      </c>
      <c r="I11345" s="5" t="n">
        <v>19</v>
      </c>
      <c r="J11345" s="5" t="n">
        <v>7</v>
      </c>
      <c r="K11345" s="10">
        <f>IF(F11345&gt;0,H11345/F11345,"")</f>
        <v/>
      </c>
      <c r="L11345" s="16">
        <f>IF(AND(G11345&gt;0,H11345&gt;0),G11345/H11345,"")</f>
        <v/>
      </c>
    </row>
    <row r="11346">
      <c r="A11346" s="4" t="inlineStr">
        <is>
          <t>621</t>
        </is>
      </c>
      <c r="B11346" s="4" t="n">
        <v>6</v>
      </c>
      <c r="C11346" s="4" t="inlineStr">
        <is>
          <t>whitetail</t>
        </is>
      </c>
      <c r="D11346" s="4" t="n">
        <v>2013</v>
      </c>
      <c r="E11346" s="13" t="inlineStr">
        <is>
          <t>General</t>
        </is>
      </c>
      <c r="F11346" s="5" t="n">
        <v>815</v>
      </c>
      <c r="G11346" s="5" t="n">
        <v>4665</v>
      </c>
      <c r="H11346" s="5" t="n">
        <v>19</v>
      </c>
      <c r="I11346" s="5" t="n">
        <v>11</v>
      </c>
      <c r="J11346" s="5" t="n">
        <v>7</v>
      </c>
      <c r="K11346" s="10">
        <f>IF(F11346&gt;0,H11346/F11346,"")</f>
        <v/>
      </c>
      <c r="L11346" s="16">
        <f>IF(AND(G11346&gt;0,H11346&gt;0),G11346/H11346,"")</f>
        <v/>
      </c>
    </row>
    <row r="11347">
      <c r="A11347" s="4" t="inlineStr">
        <is>
          <t>621</t>
        </is>
      </c>
      <c r="B11347" s="4" t="n">
        <v>6</v>
      </c>
      <c r="C11347" s="4" t="inlineStr">
        <is>
          <t>whitetail</t>
        </is>
      </c>
      <c r="D11347" s="4" t="n">
        <v>2014</v>
      </c>
      <c r="E11347" s="13" t="inlineStr">
        <is>
          <t>General</t>
        </is>
      </c>
      <c r="F11347" s="5" t="n"/>
      <c r="G11347" s="5" t="n"/>
      <c r="H11347" s="5" t="n">
        <v>20</v>
      </c>
      <c r="I11347" s="5" t="n">
        <v>20</v>
      </c>
      <c r="J11347" s="5" t="n">
        <v>0</v>
      </c>
      <c r="K11347" s="10">
        <f>IF(F11347&gt;0,H11347/F11347,"")</f>
        <v/>
      </c>
      <c r="L11347" s="16">
        <f>IF(AND(G11347&gt;0,H11347&gt;0),G11347/H11347,"")</f>
        <v/>
      </c>
    </row>
    <row r="11348">
      <c r="A11348" s="4" t="inlineStr">
        <is>
          <t>621</t>
        </is>
      </c>
      <c r="B11348" s="4" t="n">
        <v>6</v>
      </c>
      <c r="C11348" s="4" t="inlineStr">
        <is>
          <t>whitetail</t>
        </is>
      </c>
      <c r="D11348" s="4" t="n">
        <v>2015</v>
      </c>
      <c r="E11348" s="13" t="inlineStr">
        <is>
          <t>General</t>
        </is>
      </c>
      <c r="F11348" s="5" t="n"/>
      <c r="G11348" s="5" t="n"/>
      <c r="H11348" s="5" t="n">
        <v>37</v>
      </c>
      <c r="I11348" s="5" t="n">
        <v>34</v>
      </c>
      <c r="J11348" s="5" t="n">
        <v>3</v>
      </c>
      <c r="K11348" s="10">
        <f>IF(F11348&gt;0,H11348/F11348,"")</f>
        <v/>
      </c>
      <c r="L11348" s="16">
        <f>IF(AND(G11348&gt;0,H11348&gt;0),G11348/H11348,"")</f>
        <v/>
      </c>
    </row>
    <row r="11349">
      <c r="A11349" s="4" t="inlineStr">
        <is>
          <t>621</t>
        </is>
      </c>
      <c r="B11349" s="4" t="n">
        <v>6</v>
      </c>
      <c r="C11349" s="4" t="inlineStr">
        <is>
          <t>whitetail</t>
        </is>
      </c>
      <c r="D11349" s="4" t="n">
        <v>2016</v>
      </c>
      <c r="E11349" s="13" t="inlineStr">
        <is>
          <t>General</t>
        </is>
      </c>
      <c r="F11349" s="5" t="n"/>
      <c r="G11349" s="5" t="n"/>
      <c r="H11349" s="5" t="n">
        <v>70</v>
      </c>
      <c r="I11349" s="5" t="n">
        <v>40</v>
      </c>
      <c r="J11349" s="5" t="n">
        <v>30</v>
      </c>
      <c r="K11349" s="10">
        <f>IF(F11349&gt;0,H11349/F11349,"")</f>
        <v/>
      </c>
      <c r="L11349" s="16">
        <f>IF(AND(G11349&gt;0,H11349&gt;0),G11349/H11349,"")</f>
        <v/>
      </c>
    </row>
    <row r="11350">
      <c r="A11350" s="4" t="inlineStr">
        <is>
          <t>621</t>
        </is>
      </c>
      <c r="B11350" s="4" t="n">
        <v>6</v>
      </c>
      <c r="C11350" s="4" t="inlineStr">
        <is>
          <t>whitetail</t>
        </is>
      </c>
      <c r="D11350" s="4" t="n">
        <v>2017</v>
      </c>
      <c r="E11350" s="13" t="inlineStr">
        <is>
          <t>General</t>
        </is>
      </c>
      <c r="F11350" s="5" t="n">
        <v>900</v>
      </c>
      <c r="G11350" s="5" t="n">
        <v>5331</v>
      </c>
      <c r="H11350" s="5" t="n">
        <v>56</v>
      </c>
      <c r="I11350" s="5" t="n">
        <v>27</v>
      </c>
      <c r="J11350" s="5" t="n">
        <v>30</v>
      </c>
      <c r="K11350" s="10">
        <f>IF(F11350&gt;0,H11350/F11350,"")</f>
        <v/>
      </c>
      <c r="L11350" s="16">
        <f>IF(AND(G11350&gt;0,H11350&gt;0),G11350/H11350,"")</f>
        <v/>
      </c>
    </row>
    <row r="11351">
      <c r="A11351" s="4" t="inlineStr">
        <is>
          <t>621</t>
        </is>
      </c>
      <c r="B11351" s="4" t="n">
        <v>6</v>
      </c>
      <c r="C11351" s="4" t="inlineStr">
        <is>
          <t>whitetail</t>
        </is>
      </c>
      <c r="D11351" s="4" t="n">
        <v>2018</v>
      </c>
      <c r="E11351" s="13" t="inlineStr">
        <is>
          <t>General</t>
        </is>
      </c>
      <c r="F11351" s="5" t="n"/>
      <c r="G11351" s="5" t="n"/>
      <c r="H11351" s="5" t="n">
        <v>20</v>
      </c>
      <c r="I11351" s="5" t="n">
        <v>14</v>
      </c>
      <c r="J11351" s="5" t="n">
        <v>6</v>
      </c>
      <c r="K11351" s="10">
        <f>IF(F11351&gt;0,H11351/F11351,"")</f>
        <v/>
      </c>
      <c r="L11351" s="16">
        <f>IF(AND(G11351&gt;0,H11351&gt;0),G11351/H11351,"")</f>
        <v/>
      </c>
    </row>
    <row r="11352">
      <c r="A11352" s="4" t="inlineStr">
        <is>
          <t>621</t>
        </is>
      </c>
      <c r="B11352" s="4" t="n">
        <v>6</v>
      </c>
      <c r="C11352" s="4" t="inlineStr">
        <is>
          <t>whitetail</t>
        </is>
      </c>
      <c r="D11352" s="4" t="n">
        <v>2019</v>
      </c>
      <c r="E11352" s="13" t="inlineStr">
        <is>
          <t>General</t>
        </is>
      </c>
      <c r="F11352" s="5" t="n">
        <v>966</v>
      </c>
      <c r="G11352" s="5" t="n">
        <v>5502</v>
      </c>
      <c r="H11352" s="5" t="n">
        <v>52</v>
      </c>
      <c r="I11352" s="5" t="n">
        <v>23</v>
      </c>
      <c r="J11352" s="5" t="n">
        <v>30</v>
      </c>
      <c r="K11352" s="10">
        <f>IF(F11352&gt;0,H11352/F11352,"")</f>
        <v/>
      </c>
      <c r="L11352" s="16">
        <f>IF(AND(G11352&gt;0,H11352&gt;0),G11352/H11352,"")</f>
        <v/>
      </c>
    </row>
    <row r="11353">
      <c r="A11353" s="4" t="inlineStr">
        <is>
          <t>621</t>
        </is>
      </c>
      <c r="B11353" s="4" t="n">
        <v>6</v>
      </c>
      <c r="C11353" s="4" t="inlineStr">
        <is>
          <t>whitetail</t>
        </is>
      </c>
      <c r="D11353" s="4" t="n">
        <v>2020</v>
      </c>
      <c r="E11353" s="13" t="inlineStr">
        <is>
          <t>General</t>
        </is>
      </c>
      <c r="F11353" s="5" t="n"/>
      <c r="G11353" s="5" t="n"/>
      <c r="H11353" s="5" t="n">
        <v>46</v>
      </c>
      <c r="I11353" s="5" t="n">
        <v>30</v>
      </c>
      <c r="J11353" s="5" t="n">
        <v>16</v>
      </c>
      <c r="K11353" s="10">
        <f>IF(F11353&gt;0,H11353/F11353,"")</f>
        <v/>
      </c>
      <c r="L11353" s="16">
        <f>IF(AND(G11353&gt;0,H11353&gt;0),G11353/H11353,"")</f>
        <v/>
      </c>
    </row>
    <row r="11354">
      <c r="A11354" s="4" t="inlineStr">
        <is>
          <t>621</t>
        </is>
      </c>
      <c r="B11354" s="4" t="n">
        <v>6</v>
      </c>
      <c r="C11354" s="4" t="inlineStr">
        <is>
          <t>whitetail</t>
        </is>
      </c>
      <c r="D11354" s="4" t="n">
        <v>2021</v>
      </c>
      <c r="E11354" s="13" t="inlineStr">
        <is>
          <t>General</t>
        </is>
      </c>
      <c r="F11354" s="5" t="n">
        <v>1035</v>
      </c>
      <c r="G11354" s="5" t="n">
        <v>5980</v>
      </c>
      <c r="H11354" s="5" t="n">
        <v>67</v>
      </c>
      <c r="I11354" s="5" t="n">
        <v>39</v>
      </c>
      <c r="J11354" s="5" t="n">
        <v>28</v>
      </c>
      <c r="K11354" s="10">
        <f>IF(F11354&gt;0,H11354/F11354,"")</f>
        <v/>
      </c>
      <c r="L11354" s="16">
        <f>IF(AND(G11354&gt;0,H11354&gt;0),G11354/H11354,"")</f>
        <v/>
      </c>
    </row>
    <row r="11355">
      <c r="A11355" s="4" t="inlineStr">
        <is>
          <t>621</t>
        </is>
      </c>
      <c r="B11355" s="4" t="n">
        <v>6</v>
      </c>
      <c r="C11355" s="4" t="inlineStr">
        <is>
          <t>whitetail</t>
        </is>
      </c>
      <c r="D11355" s="4" t="n">
        <v>2022</v>
      </c>
      <c r="E11355" s="13" t="inlineStr">
        <is>
          <t>General</t>
        </is>
      </c>
      <c r="F11355" s="5" t="n"/>
      <c r="G11355" s="5" t="n"/>
      <c r="H11355" s="5" t="n">
        <v>55</v>
      </c>
      <c r="I11355" s="5" t="n">
        <v>29</v>
      </c>
      <c r="J11355" s="5" t="n">
        <v>26</v>
      </c>
      <c r="K11355" s="10">
        <f>IF(F11355&gt;0,H11355/F11355,"")</f>
        <v/>
      </c>
      <c r="L11355" s="16">
        <f>IF(AND(G11355&gt;0,H11355&gt;0),G11355/H11355,"")</f>
        <v/>
      </c>
    </row>
    <row r="11356">
      <c r="A11356" s="4" t="inlineStr">
        <is>
          <t>621</t>
        </is>
      </c>
      <c r="B11356" s="4" t="n">
        <v>6</v>
      </c>
      <c r="C11356" s="4" t="inlineStr">
        <is>
          <t>whitetail</t>
        </is>
      </c>
      <c r="D11356" s="4" t="n">
        <v>2023</v>
      </c>
      <c r="E11356" s="13" t="inlineStr">
        <is>
          <t>General</t>
        </is>
      </c>
      <c r="F11356" s="5" t="n">
        <v>824</v>
      </c>
      <c r="G11356" s="5" t="n">
        <v>4743</v>
      </c>
      <c r="H11356" s="5" t="n">
        <v>78</v>
      </c>
      <c r="I11356" s="5" t="n">
        <v>36</v>
      </c>
      <c r="J11356" s="5" t="n">
        <v>42</v>
      </c>
      <c r="K11356" s="10">
        <f>IF(F11356&gt;0,H11356/F11356,"")</f>
        <v/>
      </c>
      <c r="L11356" s="16">
        <f>IF(AND(G11356&gt;0,H11356&gt;0),G11356/H11356,"")</f>
        <v/>
      </c>
    </row>
    <row r="11357">
      <c r="A11357" s="4" t="inlineStr">
        <is>
          <t>621</t>
        </is>
      </c>
      <c r="B11357" s="4" t="n">
        <v>6</v>
      </c>
      <c r="C11357" s="4" t="inlineStr">
        <is>
          <t>whitetail</t>
        </is>
      </c>
      <c r="D11357" s="4" t="n">
        <v>2024</v>
      </c>
      <c r="E11357" s="13" t="inlineStr">
        <is>
          <t>General</t>
        </is>
      </c>
      <c r="F11357" s="5" t="n"/>
      <c r="G11357" s="5" t="n"/>
      <c r="H11357" s="5" t="n">
        <v>62</v>
      </c>
      <c r="I11357" s="5" t="n">
        <v>36</v>
      </c>
      <c r="J11357" s="5" t="n">
        <v>26</v>
      </c>
      <c r="K11357" s="10">
        <f>IF(F11357&gt;0,H11357/F11357,"")</f>
        <v/>
      </c>
      <c r="L11357" s="16">
        <f>IF(AND(G11357&gt;0,H11357&gt;0),G11357/H11357,"")</f>
        <v/>
      </c>
    </row>
    <row r="11358">
      <c r="A11358" s="4" t="inlineStr">
        <is>
          <t>621</t>
        </is>
      </c>
      <c r="B11358" s="4" t="n">
        <v>6</v>
      </c>
      <c r="C11358" s="4" t="inlineStr">
        <is>
          <t>whitetail</t>
        </is>
      </c>
      <c r="D11358" s="4" t="n">
        <v>2025</v>
      </c>
      <c r="E11358" s="13" t="inlineStr">
        <is>
          <t>General</t>
        </is>
      </c>
      <c r="F11358" s="5" t="n">
        <v>764</v>
      </c>
      <c r="G11358" s="5" t="n">
        <v>5003</v>
      </c>
      <c r="H11358" s="5" t="n">
        <v>38</v>
      </c>
      <c r="I11358" s="5" t="n">
        <v>18</v>
      </c>
      <c r="J11358" s="5" t="n">
        <v>20</v>
      </c>
      <c r="K11358" s="10">
        <f>IF(F11358&gt;0,H11358/F11358,"")</f>
        <v/>
      </c>
      <c r="L11358" s="16">
        <f>IF(AND(G11358&gt;0,H11358&gt;0),G11358/H11358,"")</f>
        <v/>
      </c>
    </row>
    <row r="11359">
      <c r="A11359" s="4" t="inlineStr">
        <is>
          <t>622</t>
        </is>
      </c>
      <c r="B11359" s="4" t="n">
        <v>6</v>
      </c>
      <c r="C11359" s="4" t="inlineStr">
        <is>
          <t>whitetail</t>
        </is>
      </c>
      <c r="D11359" s="4" t="n">
        <v>2004</v>
      </c>
      <c r="E11359" s="13" t="inlineStr">
        <is>
          <t>General</t>
        </is>
      </c>
      <c r="F11359" s="5" t="n">
        <v>380</v>
      </c>
      <c r="G11359" s="5" t="n">
        <v>1801</v>
      </c>
      <c r="H11359" s="5" t="n">
        <v>6</v>
      </c>
      <c r="I11359" s="5" t="n">
        <v>5</v>
      </c>
      <c r="J11359" s="5" t="n">
        <v>2</v>
      </c>
      <c r="K11359" s="10">
        <f>IF(F11359&gt;0,H11359/F11359,"")</f>
        <v/>
      </c>
      <c r="L11359" s="16">
        <f>IF(AND(G11359&gt;0,H11359&gt;0),G11359/H11359,"")</f>
        <v/>
      </c>
    </row>
    <row r="11360">
      <c r="A11360" s="4" t="inlineStr">
        <is>
          <t>622</t>
        </is>
      </c>
      <c r="B11360" s="4" t="n">
        <v>6</v>
      </c>
      <c r="C11360" s="4" t="inlineStr">
        <is>
          <t>whitetail</t>
        </is>
      </c>
      <c r="D11360" s="4" t="n">
        <v>2005</v>
      </c>
      <c r="E11360" s="13" t="inlineStr">
        <is>
          <t>General</t>
        </is>
      </c>
      <c r="F11360" s="5" t="n">
        <v>429</v>
      </c>
      <c r="G11360" s="5" t="n">
        <v>2369</v>
      </c>
      <c r="H11360" s="5" t="n">
        <v>20</v>
      </c>
      <c r="I11360" s="5" t="n">
        <v>12</v>
      </c>
      <c r="J11360" s="5" t="n">
        <v>9</v>
      </c>
      <c r="K11360" s="10">
        <f>IF(F11360&gt;0,H11360/F11360,"")</f>
        <v/>
      </c>
      <c r="L11360" s="16">
        <f>IF(AND(G11360&gt;0,H11360&gt;0),G11360/H11360,"")</f>
        <v/>
      </c>
    </row>
    <row r="11361">
      <c r="A11361" s="4" t="inlineStr">
        <is>
          <t>622</t>
        </is>
      </c>
      <c r="B11361" s="4" t="n">
        <v>6</v>
      </c>
      <c r="C11361" s="4" t="inlineStr">
        <is>
          <t>whitetail</t>
        </is>
      </c>
      <c r="D11361" s="4" t="n">
        <v>2006</v>
      </c>
      <c r="E11361" s="13" t="inlineStr">
        <is>
          <t>General</t>
        </is>
      </c>
      <c r="F11361" s="5" t="n">
        <v>370</v>
      </c>
      <c r="G11361" s="5" t="n">
        <v>1709</v>
      </c>
      <c r="H11361" s="5" t="n">
        <v>29</v>
      </c>
      <c r="I11361" s="5" t="n">
        <v>11</v>
      </c>
      <c r="J11361" s="5" t="n">
        <v>14</v>
      </c>
      <c r="K11361" s="10">
        <f>IF(F11361&gt;0,H11361/F11361,"")</f>
        <v/>
      </c>
      <c r="L11361" s="16">
        <f>IF(AND(G11361&gt;0,H11361&gt;0),G11361/H11361,"")</f>
        <v/>
      </c>
    </row>
    <row r="11362">
      <c r="A11362" s="4" t="inlineStr">
        <is>
          <t>622</t>
        </is>
      </c>
      <c r="B11362" s="4" t="n">
        <v>6</v>
      </c>
      <c r="C11362" s="4" t="inlineStr">
        <is>
          <t>whitetail</t>
        </is>
      </c>
      <c r="D11362" s="4" t="n">
        <v>2007</v>
      </c>
      <c r="E11362" s="13" t="inlineStr">
        <is>
          <t>General</t>
        </is>
      </c>
      <c r="F11362" s="5" t="n">
        <v>533</v>
      </c>
      <c r="G11362" s="5" t="n">
        <v>3245</v>
      </c>
      <c r="H11362" s="5" t="n">
        <v>4</v>
      </c>
      <c r="I11362" s="5" t="n">
        <v>0</v>
      </c>
      <c r="J11362" s="5" t="n">
        <v>4</v>
      </c>
      <c r="K11362" s="10">
        <f>IF(F11362&gt;0,H11362/F11362,"")</f>
        <v/>
      </c>
      <c r="L11362" s="16">
        <f>IF(AND(G11362&gt;0,H11362&gt;0),G11362/H11362,"")</f>
        <v/>
      </c>
    </row>
    <row r="11363">
      <c r="A11363" s="4" t="inlineStr">
        <is>
          <t>622</t>
        </is>
      </c>
      <c r="B11363" s="4" t="n">
        <v>6</v>
      </c>
      <c r="C11363" s="4" t="inlineStr">
        <is>
          <t>whitetail</t>
        </is>
      </c>
      <c r="D11363" s="4" t="n">
        <v>2008</v>
      </c>
      <c r="E11363" s="13" t="inlineStr">
        <is>
          <t>General</t>
        </is>
      </c>
      <c r="F11363" s="5" t="n">
        <v>540</v>
      </c>
      <c r="G11363" s="5" t="n">
        <v>3030</v>
      </c>
      <c r="H11363" s="5" t="n">
        <v>33</v>
      </c>
      <c r="I11363" s="5" t="n">
        <v>18</v>
      </c>
      <c r="J11363" s="5" t="n">
        <v>15</v>
      </c>
      <c r="K11363" s="10">
        <f>IF(F11363&gt;0,H11363/F11363,"")</f>
        <v/>
      </c>
      <c r="L11363" s="16">
        <f>IF(AND(G11363&gt;0,H11363&gt;0),G11363/H11363,"")</f>
        <v/>
      </c>
    </row>
    <row r="11364">
      <c r="A11364" s="4" t="inlineStr">
        <is>
          <t>622</t>
        </is>
      </c>
      <c r="B11364" s="4" t="n">
        <v>6</v>
      </c>
      <c r="C11364" s="4" t="inlineStr">
        <is>
          <t>whitetail</t>
        </is>
      </c>
      <c r="D11364" s="4" t="n">
        <v>2009</v>
      </c>
      <c r="E11364" s="13" t="inlineStr">
        <is>
          <t>General</t>
        </is>
      </c>
      <c r="F11364" s="5" t="n">
        <v>534</v>
      </c>
      <c r="G11364" s="5" t="n">
        <v>3105</v>
      </c>
      <c r="H11364" s="5" t="n">
        <v>32</v>
      </c>
      <c r="I11364" s="5" t="n">
        <v>17</v>
      </c>
      <c r="J11364" s="5" t="n">
        <v>15</v>
      </c>
      <c r="K11364" s="10">
        <f>IF(F11364&gt;0,H11364/F11364,"")</f>
        <v/>
      </c>
      <c r="L11364" s="16">
        <f>IF(AND(G11364&gt;0,H11364&gt;0),G11364/H11364,"")</f>
        <v/>
      </c>
    </row>
    <row r="11365">
      <c r="A11365" s="4" t="inlineStr">
        <is>
          <t>622</t>
        </is>
      </c>
      <c r="B11365" s="4" t="n">
        <v>6</v>
      </c>
      <c r="C11365" s="4" t="inlineStr">
        <is>
          <t>whitetail</t>
        </is>
      </c>
      <c r="D11365" s="4" t="n">
        <v>2010</v>
      </c>
      <c r="E11365" s="13" t="inlineStr">
        <is>
          <t>General</t>
        </is>
      </c>
      <c r="F11365" s="5" t="n">
        <v>547</v>
      </c>
      <c r="G11365" s="5" t="n">
        <v>2926</v>
      </c>
      <c r="H11365" s="5" t="n">
        <v>41</v>
      </c>
      <c r="I11365" s="5" t="n">
        <v>17</v>
      </c>
      <c r="J11365" s="5" t="n">
        <v>22</v>
      </c>
      <c r="K11365" s="10">
        <f>IF(F11365&gt;0,H11365/F11365,"")</f>
        <v/>
      </c>
      <c r="L11365" s="16">
        <f>IF(AND(G11365&gt;0,H11365&gt;0),G11365/H11365,"")</f>
        <v/>
      </c>
    </row>
    <row r="11366">
      <c r="A11366" s="4" t="inlineStr">
        <is>
          <t>622</t>
        </is>
      </c>
      <c r="B11366" s="4" t="n">
        <v>6</v>
      </c>
      <c r="C11366" s="4" t="inlineStr">
        <is>
          <t>whitetail</t>
        </is>
      </c>
      <c r="D11366" s="4" t="n">
        <v>2011</v>
      </c>
      <c r="E11366" s="13" t="inlineStr">
        <is>
          <t>General</t>
        </is>
      </c>
      <c r="F11366" s="5" t="n">
        <v>545</v>
      </c>
      <c r="G11366" s="5" t="n">
        <v>2948</v>
      </c>
      <c r="H11366" s="5" t="n">
        <v>11</v>
      </c>
      <c r="I11366" s="5" t="n">
        <v>8</v>
      </c>
      <c r="J11366" s="5" t="n">
        <v>3</v>
      </c>
      <c r="K11366" s="10">
        <f>IF(F11366&gt;0,H11366/F11366,"")</f>
        <v/>
      </c>
      <c r="L11366" s="16">
        <f>IF(AND(G11366&gt;0,H11366&gt;0),G11366/H11366,"")</f>
        <v/>
      </c>
    </row>
    <row r="11367">
      <c r="A11367" s="4" t="inlineStr">
        <is>
          <t>622</t>
        </is>
      </c>
      <c r="B11367" s="4" t="n">
        <v>6</v>
      </c>
      <c r="C11367" s="4" t="inlineStr">
        <is>
          <t>whitetail</t>
        </is>
      </c>
      <c r="D11367" s="4" t="n">
        <v>2012</v>
      </c>
      <c r="E11367" s="13" t="inlineStr">
        <is>
          <t>General</t>
        </is>
      </c>
      <c r="F11367" s="5" t="n"/>
      <c r="G11367" s="5" t="n"/>
      <c r="H11367" s="5" t="n">
        <v>8</v>
      </c>
      <c r="I11367" s="5" t="n">
        <v>6</v>
      </c>
      <c r="J11367" s="5" t="n">
        <v>0</v>
      </c>
      <c r="K11367" s="10">
        <f>IF(F11367&gt;0,H11367/F11367,"")</f>
        <v/>
      </c>
      <c r="L11367" s="16">
        <f>IF(AND(G11367&gt;0,H11367&gt;0),G11367/H11367,"")</f>
        <v/>
      </c>
    </row>
    <row r="11368">
      <c r="A11368" s="4" t="inlineStr">
        <is>
          <t>622</t>
        </is>
      </c>
      <c r="B11368" s="4" t="n">
        <v>6</v>
      </c>
      <c r="C11368" s="4" t="inlineStr">
        <is>
          <t>whitetail</t>
        </is>
      </c>
      <c r="D11368" s="4" t="n">
        <v>2014</v>
      </c>
      <c r="E11368" s="13" t="inlineStr">
        <is>
          <t>General</t>
        </is>
      </c>
      <c r="F11368" s="5" t="n"/>
      <c r="G11368" s="5" t="n"/>
      <c r="H11368" s="5" t="n">
        <v>6</v>
      </c>
      <c r="I11368" s="5" t="n">
        <v>6</v>
      </c>
      <c r="J11368" s="5" t="n">
        <v>0</v>
      </c>
      <c r="K11368" s="10">
        <f>IF(F11368&gt;0,H11368/F11368,"")</f>
        <v/>
      </c>
      <c r="L11368" s="16">
        <f>IF(AND(G11368&gt;0,H11368&gt;0),G11368/H11368,"")</f>
        <v/>
      </c>
    </row>
    <row r="11369">
      <c r="A11369" s="4" t="inlineStr">
        <is>
          <t>622</t>
        </is>
      </c>
      <c r="B11369" s="4" t="n">
        <v>6</v>
      </c>
      <c r="C11369" s="4" t="inlineStr">
        <is>
          <t>whitetail</t>
        </is>
      </c>
      <c r="D11369" s="4" t="n">
        <v>2015</v>
      </c>
      <c r="E11369" s="13" t="inlineStr">
        <is>
          <t>General</t>
        </is>
      </c>
      <c r="F11369" s="5" t="n"/>
      <c r="G11369" s="5" t="n"/>
      <c r="H11369" s="5" t="n">
        <v>32</v>
      </c>
      <c r="I11369" s="5" t="n">
        <v>32</v>
      </c>
      <c r="J11369" s="5" t="n">
        <v>0</v>
      </c>
      <c r="K11369" s="10">
        <f>IF(F11369&gt;0,H11369/F11369,"")</f>
        <v/>
      </c>
      <c r="L11369" s="16">
        <f>IF(AND(G11369&gt;0,H11369&gt;0),G11369/H11369,"")</f>
        <v/>
      </c>
    </row>
    <row r="11370">
      <c r="A11370" s="4" t="inlineStr">
        <is>
          <t>622</t>
        </is>
      </c>
      <c r="B11370" s="4" t="n">
        <v>6</v>
      </c>
      <c r="C11370" s="4" t="inlineStr">
        <is>
          <t>whitetail</t>
        </is>
      </c>
      <c r="D11370" s="4" t="n">
        <v>2016</v>
      </c>
      <c r="E11370" s="13" t="inlineStr">
        <is>
          <t>General</t>
        </is>
      </c>
      <c r="F11370" s="5" t="n"/>
      <c r="G11370" s="5" t="n"/>
      <c r="H11370" s="5" t="n">
        <v>29</v>
      </c>
      <c r="I11370" s="5" t="n">
        <v>19</v>
      </c>
      <c r="J11370" s="5" t="n">
        <v>9</v>
      </c>
      <c r="K11370" s="10">
        <f>IF(F11370&gt;0,H11370/F11370,"")</f>
        <v/>
      </c>
      <c r="L11370" s="16">
        <f>IF(AND(G11370&gt;0,H11370&gt;0),G11370/H11370,"")</f>
        <v/>
      </c>
    </row>
    <row r="11371">
      <c r="A11371" s="4" t="inlineStr">
        <is>
          <t>622</t>
        </is>
      </c>
      <c r="B11371" s="4" t="n">
        <v>6</v>
      </c>
      <c r="C11371" s="4" t="inlineStr">
        <is>
          <t>whitetail</t>
        </is>
      </c>
      <c r="D11371" s="4" t="n">
        <v>2017</v>
      </c>
      <c r="E11371" s="13" t="inlineStr">
        <is>
          <t>General</t>
        </is>
      </c>
      <c r="F11371" s="5" t="n">
        <v>556</v>
      </c>
      <c r="G11371" s="5" t="n">
        <v>3227</v>
      </c>
      <c r="H11371" s="5" t="n">
        <v>30</v>
      </c>
      <c r="I11371" s="5" t="n">
        <v>18</v>
      </c>
      <c r="J11371" s="5" t="n">
        <v>12</v>
      </c>
      <c r="K11371" s="10">
        <f>IF(F11371&gt;0,H11371/F11371,"")</f>
        <v/>
      </c>
      <c r="L11371" s="16">
        <f>IF(AND(G11371&gt;0,H11371&gt;0),G11371/H11371,"")</f>
        <v/>
      </c>
    </row>
    <row r="11372">
      <c r="A11372" s="4" t="inlineStr">
        <is>
          <t>622</t>
        </is>
      </c>
      <c r="B11372" s="4" t="n">
        <v>6</v>
      </c>
      <c r="C11372" s="4" t="inlineStr">
        <is>
          <t>whitetail</t>
        </is>
      </c>
      <c r="D11372" s="4" t="n">
        <v>2018</v>
      </c>
      <c r="E11372" s="13" t="inlineStr">
        <is>
          <t>General</t>
        </is>
      </c>
      <c r="F11372" s="5" t="n"/>
      <c r="G11372" s="5" t="n"/>
      <c r="H11372" s="5" t="n">
        <v>6</v>
      </c>
      <c r="I11372" s="5" t="n">
        <v>0</v>
      </c>
      <c r="J11372" s="5" t="n">
        <v>6</v>
      </c>
      <c r="K11372" s="10">
        <f>IF(F11372&gt;0,H11372/F11372,"")</f>
        <v/>
      </c>
      <c r="L11372" s="16">
        <f>IF(AND(G11372&gt;0,H11372&gt;0),G11372/H11372,"")</f>
        <v/>
      </c>
    </row>
    <row r="11373">
      <c r="A11373" s="4" t="inlineStr">
        <is>
          <t>622</t>
        </is>
      </c>
      <c r="B11373" s="4" t="n">
        <v>6</v>
      </c>
      <c r="C11373" s="4" t="inlineStr">
        <is>
          <t>whitetail</t>
        </is>
      </c>
      <c r="D11373" s="4" t="n">
        <v>2020</v>
      </c>
      <c r="E11373" s="13" t="inlineStr">
        <is>
          <t>General</t>
        </is>
      </c>
      <c r="F11373" s="5" t="n"/>
      <c r="G11373" s="5" t="n"/>
      <c r="H11373" s="5" t="n">
        <v>17</v>
      </c>
      <c r="I11373" s="5" t="n">
        <v>6</v>
      </c>
      <c r="J11373" s="5" t="n">
        <v>7</v>
      </c>
      <c r="K11373" s="10">
        <f>IF(F11373&gt;0,H11373/F11373,"")</f>
        <v/>
      </c>
      <c r="L11373" s="16">
        <f>IF(AND(G11373&gt;0,H11373&gt;0),G11373/H11373,"")</f>
        <v/>
      </c>
    </row>
    <row r="11374">
      <c r="A11374" s="4" t="inlineStr">
        <is>
          <t>622</t>
        </is>
      </c>
      <c r="B11374" s="4" t="n">
        <v>6</v>
      </c>
      <c r="C11374" s="4" t="inlineStr">
        <is>
          <t>whitetail</t>
        </is>
      </c>
      <c r="D11374" s="4" t="n">
        <v>2021</v>
      </c>
      <c r="E11374" s="13" t="inlineStr">
        <is>
          <t>General</t>
        </is>
      </c>
      <c r="F11374" s="5" t="n">
        <v>633</v>
      </c>
      <c r="G11374" s="5" t="n">
        <v>3156</v>
      </c>
      <c r="H11374" s="5" t="n">
        <v>4</v>
      </c>
      <c r="I11374" s="5" t="n">
        <v>4</v>
      </c>
      <c r="J11374" s="5" t="n">
        <v>0</v>
      </c>
      <c r="K11374" s="10">
        <f>IF(F11374&gt;0,H11374/F11374,"")</f>
        <v/>
      </c>
      <c r="L11374" s="16">
        <f>IF(AND(G11374&gt;0,H11374&gt;0),G11374/H11374,"")</f>
        <v/>
      </c>
    </row>
    <row r="11375">
      <c r="A11375" s="4" t="inlineStr">
        <is>
          <t>622</t>
        </is>
      </c>
      <c r="B11375" s="4" t="n">
        <v>6</v>
      </c>
      <c r="C11375" s="4" t="inlineStr">
        <is>
          <t>whitetail</t>
        </is>
      </c>
      <c r="D11375" s="4" t="n">
        <v>2022</v>
      </c>
      <c r="E11375" s="13" t="inlineStr">
        <is>
          <t>General</t>
        </is>
      </c>
      <c r="F11375" s="5" t="n"/>
      <c r="G11375" s="5" t="n"/>
      <c r="H11375" s="5" t="n">
        <v>8</v>
      </c>
      <c r="I11375" s="5" t="n">
        <v>3</v>
      </c>
      <c r="J11375" s="5" t="n">
        <v>4</v>
      </c>
      <c r="K11375" s="10">
        <f>IF(F11375&gt;0,H11375/F11375,"")</f>
        <v/>
      </c>
      <c r="L11375" s="16">
        <f>IF(AND(G11375&gt;0,H11375&gt;0),G11375/H11375,"")</f>
        <v/>
      </c>
    </row>
    <row r="11376">
      <c r="A11376" s="4" t="inlineStr">
        <is>
          <t>622</t>
        </is>
      </c>
      <c r="B11376" s="4" t="n">
        <v>6</v>
      </c>
      <c r="C11376" s="4" t="inlineStr">
        <is>
          <t>whitetail</t>
        </is>
      </c>
      <c r="D11376" s="4" t="n">
        <v>2023</v>
      </c>
      <c r="E11376" s="13" t="inlineStr">
        <is>
          <t>General</t>
        </is>
      </c>
      <c r="F11376" s="5" t="n">
        <v>475</v>
      </c>
      <c r="G11376" s="5" t="n">
        <v>2343</v>
      </c>
      <c r="H11376" s="5" t="n">
        <v>17</v>
      </c>
      <c r="I11376" s="5" t="n">
        <v>14</v>
      </c>
      <c r="J11376" s="5" t="n">
        <v>3</v>
      </c>
      <c r="K11376" s="10">
        <f>IF(F11376&gt;0,H11376/F11376,"")</f>
        <v/>
      </c>
      <c r="L11376" s="16">
        <f>IF(AND(G11376&gt;0,H11376&gt;0),G11376/H11376,"")</f>
        <v/>
      </c>
    </row>
    <row r="11377">
      <c r="A11377" s="4" t="inlineStr">
        <is>
          <t>622</t>
        </is>
      </c>
      <c r="B11377" s="4" t="n">
        <v>6</v>
      </c>
      <c r="C11377" s="4" t="inlineStr">
        <is>
          <t>whitetail</t>
        </is>
      </c>
      <c r="D11377" s="4" t="n">
        <v>2024</v>
      </c>
      <c r="E11377" s="13" t="inlineStr">
        <is>
          <t>General</t>
        </is>
      </c>
      <c r="F11377" s="5" t="n"/>
      <c r="G11377" s="5" t="n"/>
      <c r="H11377" s="5" t="n">
        <v>15</v>
      </c>
      <c r="I11377" s="5" t="n">
        <v>11</v>
      </c>
      <c r="J11377" s="5" t="n">
        <v>4</v>
      </c>
      <c r="K11377" s="10">
        <f>IF(F11377&gt;0,H11377/F11377,"")</f>
        <v/>
      </c>
      <c r="L11377" s="16">
        <f>IF(AND(G11377&gt;0,H11377&gt;0),G11377/H11377,"")</f>
        <v/>
      </c>
    </row>
    <row r="11378">
      <c r="A11378" s="4" t="inlineStr">
        <is>
          <t>622</t>
        </is>
      </c>
      <c r="B11378" s="4" t="n">
        <v>6</v>
      </c>
      <c r="C11378" s="4" t="inlineStr">
        <is>
          <t>whitetail</t>
        </is>
      </c>
      <c r="D11378" s="4" t="n">
        <v>2025</v>
      </c>
      <c r="E11378" s="13" t="inlineStr">
        <is>
          <t>General</t>
        </is>
      </c>
      <c r="F11378" s="5" t="n">
        <v>434</v>
      </c>
      <c r="G11378" s="5" t="n">
        <v>2493</v>
      </c>
      <c r="H11378" s="5" t="n">
        <v>23</v>
      </c>
      <c r="I11378" s="5" t="n">
        <v>15</v>
      </c>
      <c r="J11378" s="5" t="n">
        <v>8</v>
      </c>
      <c r="K11378" s="10">
        <f>IF(F11378&gt;0,H11378/F11378,"")</f>
        <v/>
      </c>
      <c r="L11378" s="16">
        <f>IF(AND(G11378&gt;0,H11378&gt;0),G11378/H11378,"")</f>
        <v/>
      </c>
    </row>
    <row r="11379">
      <c r="A11379" s="4" t="inlineStr">
        <is>
          <t>630</t>
        </is>
      </c>
      <c r="B11379" s="4" t="n">
        <v>6</v>
      </c>
      <c r="C11379" s="4" t="inlineStr">
        <is>
          <t>whitetail</t>
        </is>
      </c>
      <c r="D11379" s="4" t="n">
        <v>2004</v>
      </c>
      <c r="E11379" s="13" t="inlineStr">
        <is>
          <t>General</t>
        </is>
      </c>
      <c r="F11379" s="5" t="n">
        <v>1616</v>
      </c>
      <c r="G11379" s="5" t="n">
        <v>7630</v>
      </c>
      <c r="H11379" s="5" t="n">
        <v>749</v>
      </c>
      <c r="I11379" s="5" t="n">
        <v>350</v>
      </c>
      <c r="J11379" s="5" t="n">
        <v>362</v>
      </c>
      <c r="K11379" s="10">
        <f>IF(F11379&gt;0,H11379/F11379,"")</f>
        <v/>
      </c>
      <c r="L11379" s="16">
        <f>IF(AND(G11379&gt;0,H11379&gt;0),G11379/H11379,"")</f>
        <v/>
      </c>
    </row>
    <row r="11380">
      <c r="A11380" s="4" t="inlineStr">
        <is>
          <t>630</t>
        </is>
      </c>
      <c r="B11380" s="4" t="n">
        <v>6</v>
      </c>
      <c r="C11380" s="4" t="inlineStr">
        <is>
          <t>whitetail</t>
        </is>
      </c>
      <c r="D11380" s="4" t="n">
        <v>2005</v>
      </c>
      <c r="E11380" s="13" t="inlineStr">
        <is>
          <t>General</t>
        </is>
      </c>
      <c r="F11380" s="5" t="n">
        <v>1595</v>
      </c>
      <c r="G11380" s="5" t="n">
        <v>8023</v>
      </c>
      <c r="H11380" s="5" t="n">
        <v>823</v>
      </c>
      <c r="I11380" s="5" t="n">
        <v>388</v>
      </c>
      <c r="J11380" s="5" t="n">
        <v>418</v>
      </c>
      <c r="K11380" s="10">
        <f>IF(F11380&gt;0,H11380/F11380,"")</f>
        <v/>
      </c>
      <c r="L11380" s="16">
        <f>IF(AND(G11380&gt;0,H11380&gt;0),G11380/H11380,"")</f>
        <v/>
      </c>
    </row>
    <row r="11381">
      <c r="A11381" s="4" t="inlineStr">
        <is>
          <t>630</t>
        </is>
      </c>
      <c r="B11381" s="4" t="n">
        <v>6</v>
      </c>
      <c r="C11381" s="4" t="inlineStr">
        <is>
          <t>whitetail</t>
        </is>
      </c>
      <c r="D11381" s="4" t="n">
        <v>2006</v>
      </c>
      <c r="E11381" s="13" t="inlineStr">
        <is>
          <t>General</t>
        </is>
      </c>
      <c r="F11381" s="5" t="n">
        <v>1335</v>
      </c>
      <c r="G11381" s="5" t="n">
        <v>6970</v>
      </c>
      <c r="H11381" s="5" t="n">
        <v>1016</v>
      </c>
      <c r="I11381" s="5" t="n">
        <v>377</v>
      </c>
      <c r="J11381" s="5" t="n">
        <v>601</v>
      </c>
      <c r="K11381" s="10">
        <f>IF(F11381&gt;0,H11381/F11381,"")</f>
        <v/>
      </c>
      <c r="L11381" s="16">
        <f>IF(AND(G11381&gt;0,H11381&gt;0),G11381/H11381,"")</f>
        <v/>
      </c>
    </row>
    <row r="11382">
      <c r="A11382" s="4" t="inlineStr">
        <is>
          <t>630</t>
        </is>
      </c>
      <c r="B11382" s="4" t="n">
        <v>6</v>
      </c>
      <c r="C11382" s="4" t="inlineStr">
        <is>
          <t>whitetail</t>
        </is>
      </c>
      <c r="D11382" s="4" t="n">
        <v>2007</v>
      </c>
      <c r="E11382" s="13" t="inlineStr">
        <is>
          <t>General</t>
        </is>
      </c>
      <c r="F11382" s="5" t="n">
        <v>1796</v>
      </c>
      <c r="G11382" s="5" t="n">
        <v>9648</v>
      </c>
      <c r="H11382" s="5" t="n">
        <v>1056</v>
      </c>
      <c r="I11382" s="5" t="n">
        <v>417</v>
      </c>
      <c r="J11382" s="5" t="n">
        <v>626</v>
      </c>
      <c r="K11382" s="10">
        <f>IF(F11382&gt;0,H11382/F11382,"")</f>
        <v/>
      </c>
      <c r="L11382" s="16">
        <f>IF(AND(G11382&gt;0,H11382&gt;0),G11382/H11382,"")</f>
        <v/>
      </c>
    </row>
    <row r="11383">
      <c r="A11383" s="4" t="inlineStr">
        <is>
          <t>630</t>
        </is>
      </c>
      <c r="B11383" s="4" t="n">
        <v>6</v>
      </c>
      <c r="C11383" s="4" t="inlineStr">
        <is>
          <t>whitetail</t>
        </is>
      </c>
      <c r="D11383" s="4" t="n">
        <v>2008</v>
      </c>
      <c r="E11383" s="13" t="inlineStr">
        <is>
          <t>General</t>
        </is>
      </c>
      <c r="F11383" s="5" t="n">
        <v>1649</v>
      </c>
      <c r="G11383" s="5" t="n">
        <v>8002</v>
      </c>
      <c r="H11383" s="5" t="n">
        <v>1079</v>
      </c>
      <c r="I11383" s="5" t="n">
        <v>369</v>
      </c>
      <c r="J11383" s="5" t="n">
        <v>690</v>
      </c>
      <c r="K11383" s="10">
        <f>IF(F11383&gt;0,H11383/F11383,"")</f>
        <v/>
      </c>
      <c r="L11383" s="16">
        <f>IF(AND(G11383&gt;0,H11383&gt;0),G11383/H11383,"")</f>
        <v/>
      </c>
    </row>
    <row r="11384">
      <c r="A11384" s="4" t="inlineStr">
        <is>
          <t>630</t>
        </is>
      </c>
      <c r="B11384" s="4" t="n">
        <v>6</v>
      </c>
      <c r="C11384" s="4" t="inlineStr">
        <is>
          <t>whitetail</t>
        </is>
      </c>
      <c r="D11384" s="4" t="n">
        <v>2009</v>
      </c>
      <c r="E11384" s="13" t="inlineStr">
        <is>
          <t>General</t>
        </is>
      </c>
      <c r="F11384" s="5" t="n">
        <v>1963</v>
      </c>
      <c r="G11384" s="5" t="n">
        <v>9716</v>
      </c>
      <c r="H11384" s="5" t="n">
        <v>1421</v>
      </c>
      <c r="I11384" s="5" t="n">
        <v>361</v>
      </c>
      <c r="J11384" s="5" t="n">
        <v>963</v>
      </c>
      <c r="K11384" s="10">
        <f>IF(F11384&gt;0,H11384/F11384,"")</f>
        <v/>
      </c>
      <c r="L11384" s="16">
        <f>IF(AND(G11384&gt;0,H11384&gt;0),G11384/H11384,"")</f>
        <v/>
      </c>
    </row>
    <row r="11385">
      <c r="A11385" s="4" t="inlineStr">
        <is>
          <t>630</t>
        </is>
      </c>
      <c r="B11385" s="4" t="n">
        <v>6</v>
      </c>
      <c r="C11385" s="4" t="inlineStr">
        <is>
          <t>whitetail</t>
        </is>
      </c>
      <c r="D11385" s="4" t="n">
        <v>2010</v>
      </c>
      <c r="E11385" s="13" t="inlineStr">
        <is>
          <t>General</t>
        </is>
      </c>
      <c r="F11385" s="5" t="n">
        <v>2086</v>
      </c>
      <c r="G11385" s="5" t="n">
        <v>11307</v>
      </c>
      <c r="H11385" s="5" t="n">
        <v>840</v>
      </c>
      <c r="I11385" s="5" t="n">
        <v>294</v>
      </c>
      <c r="J11385" s="5" t="n">
        <v>511</v>
      </c>
      <c r="K11385" s="10">
        <f>IF(F11385&gt;0,H11385/F11385,"")</f>
        <v/>
      </c>
      <c r="L11385" s="16">
        <f>IF(AND(G11385&gt;0,H11385&gt;0),G11385/H11385,"")</f>
        <v/>
      </c>
    </row>
    <row r="11386">
      <c r="A11386" s="4" t="inlineStr">
        <is>
          <t>630</t>
        </is>
      </c>
      <c r="B11386" s="4" t="n">
        <v>6</v>
      </c>
      <c r="C11386" s="4" t="inlineStr">
        <is>
          <t>whitetail</t>
        </is>
      </c>
      <c r="D11386" s="4" t="n">
        <v>2011</v>
      </c>
      <c r="E11386" s="13" t="inlineStr">
        <is>
          <t>General</t>
        </is>
      </c>
      <c r="F11386" s="5" t="n">
        <v>959</v>
      </c>
      <c r="G11386" s="5" t="n">
        <v>4478</v>
      </c>
      <c r="H11386" s="5" t="n">
        <v>152</v>
      </c>
      <c r="I11386" s="5" t="n">
        <v>29</v>
      </c>
      <c r="J11386" s="5" t="n">
        <v>108</v>
      </c>
      <c r="K11386" s="10">
        <f>IF(F11386&gt;0,H11386/F11386,"")</f>
        <v/>
      </c>
      <c r="L11386" s="16">
        <f>IF(AND(G11386&gt;0,H11386&gt;0),G11386/H11386,"")</f>
        <v/>
      </c>
    </row>
    <row r="11387">
      <c r="A11387" s="4" t="inlineStr">
        <is>
          <t>630</t>
        </is>
      </c>
      <c r="B11387" s="4" t="n">
        <v>6</v>
      </c>
      <c r="C11387" s="4" t="inlineStr">
        <is>
          <t>whitetail</t>
        </is>
      </c>
      <c r="D11387" s="4" t="n">
        <v>2012</v>
      </c>
      <c r="E11387" s="13" t="inlineStr">
        <is>
          <t>General</t>
        </is>
      </c>
      <c r="F11387" s="5" t="n"/>
      <c r="G11387" s="5" t="n"/>
      <c r="H11387" s="5" t="n">
        <v>142</v>
      </c>
      <c r="I11387" s="5" t="n">
        <v>61</v>
      </c>
      <c r="J11387" s="5" t="n">
        <v>74</v>
      </c>
      <c r="K11387" s="10">
        <f>IF(F11387&gt;0,H11387/F11387,"")</f>
        <v/>
      </c>
      <c r="L11387" s="16">
        <f>IF(AND(G11387&gt;0,H11387&gt;0),G11387/H11387,"")</f>
        <v/>
      </c>
    </row>
    <row r="11388">
      <c r="A11388" s="4" t="inlineStr">
        <is>
          <t>630</t>
        </is>
      </c>
      <c r="B11388" s="4" t="n">
        <v>6</v>
      </c>
      <c r="C11388" s="4" t="inlineStr">
        <is>
          <t>whitetail</t>
        </is>
      </c>
      <c r="D11388" s="4" t="n">
        <v>2013</v>
      </c>
      <c r="E11388" s="13" t="inlineStr">
        <is>
          <t>General</t>
        </is>
      </c>
      <c r="F11388" s="5" t="n">
        <v>839</v>
      </c>
      <c r="G11388" s="5" t="n">
        <v>4089</v>
      </c>
      <c r="H11388" s="5" t="n">
        <v>100</v>
      </c>
      <c r="I11388" s="5" t="n">
        <v>64</v>
      </c>
      <c r="J11388" s="5" t="n">
        <v>33</v>
      </c>
      <c r="K11388" s="10">
        <f>IF(F11388&gt;0,H11388/F11388,"")</f>
        <v/>
      </c>
      <c r="L11388" s="16">
        <f>IF(AND(G11388&gt;0,H11388&gt;0),G11388/H11388,"")</f>
        <v/>
      </c>
    </row>
    <row r="11389">
      <c r="A11389" s="4" t="inlineStr">
        <is>
          <t>630</t>
        </is>
      </c>
      <c r="B11389" s="4" t="n">
        <v>6</v>
      </c>
      <c r="C11389" s="4" t="inlineStr">
        <is>
          <t>whitetail</t>
        </is>
      </c>
      <c r="D11389" s="4" t="n">
        <v>2014</v>
      </c>
      <c r="E11389" s="13" t="inlineStr">
        <is>
          <t>General</t>
        </is>
      </c>
      <c r="F11389" s="5" t="n"/>
      <c r="G11389" s="5" t="n"/>
      <c r="H11389" s="5" t="n">
        <v>105</v>
      </c>
      <c r="I11389" s="5" t="n">
        <v>102</v>
      </c>
      <c r="J11389" s="5" t="n">
        <v>3</v>
      </c>
      <c r="K11389" s="10">
        <f>IF(F11389&gt;0,H11389/F11389,"")</f>
        <v/>
      </c>
      <c r="L11389" s="16">
        <f>IF(AND(G11389&gt;0,H11389&gt;0),G11389/H11389,"")</f>
        <v/>
      </c>
    </row>
    <row r="11390">
      <c r="A11390" s="4" t="inlineStr">
        <is>
          <t>630</t>
        </is>
      </c>
      <c r="B11390" s="4" t="n">
        <v>6</v>
      </c>
      <c r="C11390" s="4" t="inlineStr">
        <is>
          <t>whitetail</t>
        </is>
      </c>
      <c r="D11390" s="4" t="n">
        <v>2015</v>
      </c>
      <c r="E11390" s="13" t="inlineStr">
        <is>
          <t>General</t>
        </is>
      </c>
      <c r="F11390" s="5" t="n"/>
      <c r="G11390" s="5" t="n"/>
      <c r="H11390" s="5" t="n">
        <v>187</v>
      </c>
      <c r="I11390" s="5" t="n">
        <v>167</v>
      </c>
      <c r="J11390" s="5" t="n">
        <v>20</v>
      </c>
      <c r="K11390" s="10">
        <f>IF(F11390&gt;0,H11390/F11390,"")</f>
        <v/>
      </c>
      <c r="L11390" s="16">
        <f>IF(AND(G11390&gt;0,H11390&gt;0),G11390/H11390,"")</f>
        <v/>
      </c>
    </row>
    <row r="11391">
      <c r="A11391" s="4" t="inlineStr">
        <is>
          <t>630</t>
        </is>
      </c>
      <c r="B11391" s="4" t="n">
        <v>6</v>
      </c>
      <c r="C11391" s="4" t="inlineStr">
        <is>
          <t>whitetail</t>
        </is>
      </c>
      <c r="D11391" s="4" t="n">
        <v>2016</v>
      </c>
      <c r="E11391" s="13" t="inlineStr">
        <is>
          <t>General</t>
        </is>
      </c>
      <c r="F11391" s="5" t="n"/>
      <c r="G11391" s="5" t="n"/>
      <c r="H11391" s="5" t="n">
        <v>269</v>
      </c>
      <c r="I11391" s="5" t="n">
        <v>167</v>
      </c>
      <c r="J11391" s="5" t="n">
        <v>93</v>
      </c>
      <c r="K11391" s="10">
        <f>IF(F11391&gt;0,H11391/F11391,"")</f>
        <v/>
      </c>
      <c r="L11391" s="16">
        <f>IF(AND(G11391&gt;0,H11391&gt;0),G11391/H11391,"")</f>
        <v/>
      </c>
    </row>
    <row r="11392">
      <c r="A11392" s="4" t="inlineStr">
        <is>
          <t>630</t>
        </is>
      </c>
      <c r="B11392" s="4" t="n">
        <v>6</v>
      </c>
      <c r="C11392" s="4" t="inlineStr">
        <is>
          <t>whitetail</t>
        </is>
      </c>
      <c r="D11392" s="4" t="n">
        <v>2017</v>
      </c>
      <c r="E11392" s="13" t="inlineStr">
        <is>
          <t>General</t>
        </is>
      </c>
      <c r="F11392" s="5" t="n">
        <v>1503</v>
      </c>
      <c r="G11392" s="5" t="n">
        <v>8053</v>
      </c>
      <c r="H11392" s="5" t="n">
        <v>277</v>
      </c>
      <c r="I11392" s="5" t="n">
        <v>137</v>
      </c>
      <c r="J11392" s="5" t="n">
        <v>140</v>
      </c>
      <c r="K11392" s="10">
        <f>IF(F11392&gt;0,H11392/F11392,"")</f>
        <v/>
      </c>
      <c r="L11392" s="16">
        <f>IF(AND(G11392&gt;0,H11392&gt;0),G11392/H11392,"")</f>
        <v/>
      </c>
    </row>
    <row r="11393">
      <c r="A11393" s="4" t="inlineStr">
        <is>
          <t>630</t>
        </is>
      </c>
      <c r="B11393" s="4" t="n">
        <v>6</v>
      </c>
      <c r="C11393" s="4" t="inlineStr">
        <is>
          <t>whitetail</t>
        </is>
      </c>
      <c r="D11393" s="4" t="n">
        <v>2018</v>
      </c>
      <c r="E11393" s="13" t="inlineStr">
        <is>
          <t>General</t>
        </is>
      </c>
      <c r="F11393" s="5" t="n"/>
      <c r="G11393" s="5" t="n"/>
      <c r="H11393" s="5" t="n">
        <v>272</v>
      </c>
      <c r="I11393" s="5" t="n">
        <v>159</v>
      </c>
      <c r="J11393" s="5" t="n">
        <v>106</v>
      </c>
      <c r="K11393" s="10">
        <f>IF(F11393&gt;0,H11393/F11393,"")</f>
        <v/>
      </c>
      <c r="L11393" s="16">
        <f>IF(AND(G11393&gt;0,H11393&gt;0),G11393/H11393,"")</f>
        <v/>
      </c>
    </row>
    <row r="11394">
      <c r="A11394" s="4" t="inlineStr">
        <is>
          <t>630</t>
        </is>
      </c>
      <c r="B11394" s="4" t="n">
        <v>6</v>
      </c>
      <c r="C11394" s="4" t="inlineStr">
        <is>
          <t>whitetail</t>
        </is>
      </c>
      <c r="D11394" s="4" t="n">
        <v>2019</v>
      </c>
      <c r="E11394" s="13" t="inlineStr">
        <is>
          <t>General</t>
        </is>
      </c>
      <c r="F11394" s="5" t="n">
        <v>1486</v>
      </c>
      <c r="G11394" s="5" t="n">
        <v>7600</v>
      </c>
      <c r="H11394" s="5" t="n">
        <v>265</v>
      </c>
      <c r="I11394" s="5" t="n">
        <v>123</v>
      </c>
      <c r="J11394" s="5" t="n">
        <v>137</v>
      </c>
      <c r="K11394" s="10">
        <f>IF(F11394&gt;0,H11394/F11394,"")</f>
        <v/>
      </c>
      <c r="L11394" s="16">
        <f>IF(AND(G11394&gt;0,H11394&gt;0),G11394/H11394,"")</f>
        <v/>
      </c>
    </row>
    <row r="11395">
      <c r="A11395" s="4" t="inlineStr">
        <is>
          <t>630</t>
        </is>
      </c>
      <c r="B11395" s="4" t="n">
        <v>6</v>
      </c>
      <c r="C11395" s="4" t="inlineStr">
        <is>
          <t>whitetail</t>
        </is>
      </c>
      <c r="D11395" s="4" t="n">
        <v>2020</v>
      </c>
      <c r="E11395" s="13" t="inlineStr">
        <is>
          <t>General</t>
        </is>
      </c>
      <c r="F11395" s="5" t="n"/>
      <c r="G11395" s="5" t="n"/>
      <c r="H11395" s="5" t="n">
        <v>544</v>
      </c>
      <c r="I11395" s="5" t="n">
        <v>201</v>
      </c>
      <c r="J11395" s="5" t="n">
        <v>294</v>
      </c>
      <c r="K11395" s="10">
        <f>IF(F11395&gt;0,H11395/F11395,"")</f>
        <v/>
      </c>
      <c r="L11395" s="16">
        <f>IF(AND(G11395&gt;0,H11395&gt;0),G11395/H11395,"")</f>
        <v/>
      </c>
    </row>
    <row r="11396">
      <c r="A11396" s="4" t="inlineStr">
        <is>
          <t>630</t>
        </is>
      </c>
      <c r="B11396" s="4" t="n">
        <v>6</v>
      </c>
      <c r="C11396" s="4" t="inlineStr">
        <is>
          <t>whitetail</t>
        </is>
      </c>
      <c r="D11396" s="4" t="n">
        <v>2021</v>
      </c>
      <c r="E11396" s="13" t="inlineStr">
        <is>
          <t>General</t>
        </is>
      </c>
      <c r="F11396" s="5" t="n">
        <v>1931</v>
      </c>
      <c r="G11396" s="5" t="n">
        <v>10362</v>
      </c>
      <c r="H11396" s="5" t="n">
        <v>310</v>
      </c>
      <c r="I11396" s="5" t="n">
        <v>173</v>
      </c>
      <c r="J11396" s="5" t="n">
        <v>129</v>
      </c>
      <c r="K11396" s="10">
        <f>IF(F11396&gt;0,H11396/F11396,"")</f>
        <v/>
      </c>
      <c r="L11396" s="16">
        <f>IF(AND(G11396&gt;0,H11396&gt;0),G11396/H11396,"")</f>
        <v/>
      </c>
    </row>
    <row r="11397">
      <c r="A11397" s="4" t="inlineStr">
        <is>
          <t>630</t>
        </is>
      </c>
      <c r="B11397" s="4" t="n">
        <v>6</v>
      </c>
      <c r="C11397" s="4" t="inlineStr">
        <is>
          <t>whitetail</t>
        </is>
      </c>
      <c r="D11397" s="4" t="n">
        <v>2022</v>
      </c>
      <c r="E11397" s="13" t="inlineStr">
        <is>
          <t>General</t>
        </is>
      </c>
      <c r="F11397" s="5" t="n"/>
      <c r="G11397" s="5" t="n"/>
      <c r="H11397" s="5" t="n">
        <v>505</v>
      </c>
      <c r="I11397" s="5" t="n">
        <v>212</v>
      </c>
      <c r="J11397" s="5" t="n">
        <v>286</v>
      </c>
      <c r="K11397" s="10">
        <f>IF(F11397&gt;0,H11397/F11397,"")</f>
        <v/>
      </c>
      <c r="L11397" s="16">
        <f>IF(AND(G11397&gt;0,H11397&gt;0),G11397/H11397,"")</f>
        <v/>
      </c>
    </row>
    <row r="11398">
      <c r="A11398" s="4" t="inlineStr">
        <is>
          <t>630</t>
        </is>
      </c>
      <c r="B11398" s="4" t="n">
        <v>6</v>
      </c>
      <c r="C11398" s="4" t="inlineStr">
        <is>
          <t>whitetail</t>
        </is>
      </c>
      <c r="D11398" s="4" t="n">
        <v>2023</v>
      </c>
      <c r="E11398" s="13" t="inlineStr">
        <is>
          <t>General</t>
        </is>
      </c>
      <c r="F11398" s="5" t="n">
        <v>1964</v>
      </c>
      <c r="G11398" s="5" t="n">
        <v>10722</v>
      </c>
      <c r="H11398" s="5" t="n">
        <v>352</v>
      </c>
      <c r="I11398" s="5" t="n">
        <v>196</v>
      </c>
      <c r="J11398" s="5" t="n">
        <v>155</v>
      </c>
      <c r="K11398" s="10">
        <f>IF(F11398&gt;0,H11398/F11398,"")</f>
        <v/>
      </c>
      <c r="L11398" s="16">
        <f>IF(AND(G11398&gt;0,H11398&gt;0),G11398/H11398,"")</f>
        <v/>
      </c>
    </row>
    <row r="11399">
      <c r="A11399" s="4" t="inlineStr">
        <is>
          <t>630</t>
        </is>
      </c>
      <c r="B11399" s="4" t="n">
        <v>6</v>
      </c>
      <c r="C11399" s="4" t="inlineStr">
        <is>
          <t>whitetail</t>
        </is>
      </c>
      <c r="D11399" s="4" t="n">
        <v>2024</v>
      </c>
      <c r="E11399" s="13" t="inlineStr">
        <is>
          <t>General</t>
        </is>
      </c>
      <c r="F11399" s="5" t="n"/>
      <c r="G11399" s="5" t="n"/>
      <c r="H11399" s="5" t="n">
        <v>412</v>
      </c>
      <c r="I11399" s="5" t="n">
        <v>213</v>
      </c>
      <c r="J11399" s="5" t="n">
        <v>199</v>
      </c>
      <c r="K11399" s="10">
        <f>IF(F11399&gt;0,H11399/F11399,"")</f>
        <v/>
      </c>
      <c r="L11399" s="16">
        <f>IF(AND(G11399&gt;0,H11399&gt;0),G11399/H11399,"")</f>
        <v/>
      </c>
    </row>
    <row r="11400">
      <c r="A11400" s="4" t="inlineStr">
        <is>
          <t>630</t>
        </is>
      </c>
      <c r="B11400" s="4" t="n">
        <v>6</v>
      </c>
      <c r="C11400" s="4" t="inlineStr">
        <is>
          <t>whitetail</t>
        </is>
      </c>
      <c r="D11400" s="4" t="n">
        <v>2025</v>
      </c>
      <c r="E11400" s="13" t="inlineStr">
        <is>
          <t>General</t>
        </is>
      </c>
      <c r="F11400" s="5" t="n">
        <v>1664</v>
      </c>
      <c r="G11400" s="5" t="n">
        <v>11316</v>
      </c>
      <c r="H11400" s="5" t="n">
        <v>202</v>
      </c>
      <c r="I11400" s="5" t="n">
        <v>129</v>
      </c>
      <c r="J11400" s="5" t="n">
        <v>69</v>
      </c>
      <c r="K11400" s="10">
        <f>IF(F11400&gt;0,H11400/F11400,"")</f>
        <v/>
      </c>
      <c r="L11400" s="16">
        <f>IF(AND(G11400&gt;0,H11400&gt;0),G11400/H11400,"")</f>
        <v/>
      </c>
    </row>
    <row r="11401">
      <c r="A11401" s="4" t="inlineStr">
        <is>
          <t>631</t>
        </is>
      </c>
      <c r="B11401" s="4" t="n">
        <v>6</v>
      </c>
      <c r="C11401" s="4" t="inlineStr">
        <is>
          <t>whitetail</t>
        </is>
      </c>
      <c r="D11401" s="4" t="n">
        <v>2004</v>
      </c>
      <c r="E11401" s="4" t="inlineStr"/>
      <c r="F11401" s="5" t="n">
        <v>256</v>
      </c>
      <c r="G11401" s="5" t="n">
        <v>1308</v>
      </c>
      <c r="H11401" s="5" t="n">
        <v>8</v>
      </c>
      <c r="I11401" s="5" t="n">
        <v>0</v>
      </c>
      <c r="J11401" s="5" t="n">
        <v>8</v>
      </c>
      <c r="K11401" s="10">
        <f>IF(F11401&gt;0,H11401/F11401,"")</f>
        <v/>
      </c>
      <c r="L11401" s="16">
        <f>IF(AND(G11401&gt;0,H11401&gt;0),G11401/H11401,"")</f>
        <v/>
      </c>
    </row>
    <row r="11402">
      <c r="A11402" s="4" t="inlineStr">
        <is>
          <t>631</t>
        </is>
      </c>
      <c r="B11402" s="4" t="n">
        <v>6</v>
      </c>
      <c r="C11402" s="4" t="inlineStr">
        <is>
          <t>whitetail</t>
        </is>
      </c>
      <c r="D11402" s="4" t="n">
        <v>2005</v>
      </c>
      <c r="E11402" s="4" t="inlineStr"/>
      <c r="F11402" s="5" t="n">
        <v>162</v>
      </c>
      <c r="G11402" s="5" t="n">
        <v>823</v>
      </c>
      <c r="H11402" s="5" t="n">
        <v>6</v>
      </c>
      <c r="I11402" s="5" t="n">
        <v>2</v>
      </c>
      <c r="J11402" s="5" t="n">
        <v>4</v>
      </c>
      <c r="K11402" s="10">
        <f>IF(F11402&gt;0,H11402/F11402,"")</f>
        <v/>
      </c>
      <c r="L11402" s="16">
        <f>IF(AND(G11402&gt;0,H11402&gt;0),G11402/H11402,"")</f>
        <v/>
      </c>
    </row>
    <row r="11403">
      <c r="A11403" s="4" t="inlineStr">
        <is>
          <t>631</t>
        </is>
      </c>
      <c r="B11403" s="4" t="n">
        <v>6</v>
      </c>
      <c r="C11403" s="4" t="inlineStr">
        <is>
          <t>whitetail</t>
        </is>
      </c>
      <c r="D11403" s="4" t="n">
        <v>2006</v>
      </c>
      <c r="E11403" s="4" t="inlineStr"/>
      <c r="F11403" s="5" t="n">
        <v>205</v>
      </c>
      <c r="G11403" s="5" t="n">
        <v>1004</v>
      </c>
      <c r="H11403" s="5" t="n">
        <v>23</v>
      </c>
      <c r="I11403" s="5" t="n">
        <v>11</v>
      </c>
      <c r="J11403" s="5" t="n">
        <v>12</v>
      </c>
      <c r="K11403" s="10">
        <f>IF(F11403&gt;0,H11403/F11403,"")</f>
        <v/>
      </c>
      <c r="L11403" s="16">
        <f>IF(AND(G11403&gt;0,H11403&gt;0),G11403/H11403,"")</f>
        <v/>
      </c>
    </row>
    <row r="11404">
      <c r="A11404" s="4" t="inlineStr">
        <is>
          <t>631</t>
        </is>
      </c>
      <c r="B11404" s="4" t="n">
        <v>6</v>
      </c>
      <c r="C11404" s="4" t="inlineStr">
        <is>
          <t>whitetail</t>
        </is>
      </c>
      <c r="D11404" s="4" t="n">
        <v>2007</v>
      </c>
      <c r="E11404" s="4" t="inlineStr"/>
      <c r="F11404" s="5" t="n">
        <v>219</v>
      </c>
      <c r="G11404" s="5" t="n">
        <v>1184</v>
      </c>
      <c r="H11404" s="5" t="n">
        <v>8</v>
      </c>
      <c r="I11404" s="5" t="n">
        <v>3</v>
      </c>
      <c r="J11404" s="5" t="n">
        <v>5</v>
      </c>
      <c r="K11404" s="10">
        <f>IF(F11404&gt;0,H11404/F11404,"")</f>
        <v/>
      </c>
      <c r="L11404" s="16">
        <f>IF(AND(G11404&gt;0,H11404&gt;0),G11404/H11404,"")</f>
        <v/>
      </c>
    </row>
    <row r="11405">
      <c r="A11405" s="4" t="inlineStr">
        <is>
          <t>631</t>
        </is>
      </c>
      <c r="B11405" s="4" t="n">
        <v>6</v>
      </c>
      <c r="C11405" s="4" t="inlineStr">
        <is>
          <t>whitetail</t>
        </is>
      </c>
      <c r="D11405" s="4" t="n">
        <v>2008</v>
      </c>
      <c r="E11405" s="4" t="inlineStr"/>
      <c r="F11405" s="5" t="n">
        <v>202</v>
      </c>
      <c r="G11405" s="5" t="n">
        <v>1030</v>
      </c>
      <c r="H11405" s="5" t="n">
        <v>18</v>
      </c>
      <c r="I11405" s="5" t="n">
        <v>6</v>
      </c>
      <c r="J11405" s="5" t="n">
        <v>9</v>
      </c>
      <c r="K11405" s="10">
        <f>IF(F11405&gt;0,H11405/F11405,"")</f>
        <v/>
      </c>
      <c r="L11405" s="16">
        <f>IF(AND(G11405&gt;0,H11405&gt;0),G11405/H11405,"")</f>
        <v/>
      </c>
    </row>
    <row r="11406">
      <c r="A11406" s="4" t="inlineStr">
        <is>
          <t>631</t>
        </is>
      </c>
      <c r="B11406" s="4" t="n">
        <v>6</v>
      </c>
      <c r="C11406" s="4" t="inlineStr">
        <is>
          <t>whitetail</t>
        </is>
      </c>
      <c r="D11406" s="4" t="n">
        <v>2009</v>
      </c>
      <c r="E11406" s="4" t="inlineStr"/>
      <c r="F11406" s="5" t="n">
        <v>204</v>
      </c>
      <c r="G11406" s="5" t="n">
        <v>983</v>
      </c>
      <c r="H11406" s="5" t="n">
        <v>6</v>
      </c>
      <c r="I11406" s="5" t="n">
        <v>6</v>
      </c>
      <c r="J11406" s="5" t="n">
        <v>0</v>
      </c>
      <c r="K11406" s="10">
        <f>IF(F11406&gt;0,H11406/F11406,"")</f>
        <v/>
      </c>
      <c r="L11406" s="16">
        <f>IF(AND(G11406&gt;0,H11406&gt;0),G11406/H11406,"")</f>
        <v/>
      </c>
    </row>
    <row r="11407">
      <c r="A11407" s="4" t="inlineStr">
        <is>
          <t>631</t>
        </is>
      </c>
      <c r="B11407" s="4" t="n">
        <v>6</v>
      </c>
      <c r="C11407" s="4" t="inlineStr">
        <is>
          <t>whitetail</t>
        </is>
      </c>
      <c r="D11407" s="4" t="n">
        <v>2010</v>
      </c>
      <c r="E11407" s="4" t="inlineStr"/>
      <c r="F11407" s="5" t="n">
        <v>187</v>
      </c>
      <c r="G11407" s="5" t="n">
        <v>970</v>
      </c>
      <c r="H11407" s="5" t="n">
        <v>12</v>
      </c>
      <c r="I11407" s="5" t="n">
        <v>0</v>
      </c>
      <c r="J11407" s="5" t="n">
        <v>12</v>
      </c>
      <c r="K11407" s="10">
        <f>IF(F11407&gt;0,H11407/F11407,"")</f>
        <v/>
      </c>
      <c r="L11407" s="16">
        <f>IF(AND(G11407&gt;0,H11407&gt;0),G11407/H11407,"")</f>
        <v/>
      </c>
    </row>
    <row r="11408">
      <c r="A11408" s="4" t="inlineStr">
        <is>
          <t>631</t>
        </is>
      </c>
      <c r="B11408" s="4" t="n">
        <v>6</v>
      </c>
      <c r="C11408" s="4" t="inlineStr">
        <is>
          <t>whitetail</t>
        </is>
      </c>
      <c r="D11408" s="4" t="n">
        <v>2011</v>
      </c>
      <c r="E11408" s="4" t="inlineStr"/>
      <c r="F11408" s="5" t="n">
        <v>238</v>
      </c>
      <c r="G11408" s="5" t="n">
        <v>1023</v>
      </c>
      <c r="H11408" s="5" t="n">
        <v>3</v>
      </c>
      <c r="I11408" s="5" t="n">
        <v>0</v>
      </c>
      <c r="J11408" s="5" t="n">
        <v>3</v>
      </c>
      <c r="K11408" s="10">
        <f>IF(F11408&gt;0,H11408/F11408,"")</f>
        <v/>
      </c>
      <c r="L11408" s="16">
        <f>IF(AND(G11408&gt;0,H11408&gt;0),G11408/H11408,"")</f>
        <v/>
      </c>
    </row>
    <row r="11409">
      <c r="A11409" s="4" t="inlineStr">
        <is>
          <t>631</t>
        </is>
      </c>
      <c r="B11409" s="4" t="n">
        <v>6</v>
      </c>
      <c r="C11409" s="4" t="inlineStr">
        <is>
          <t>whitetail</t>
        </is>
      </c>
      <c r="D11409" s="4" t="n">
        <v>2012</v>
      </c>
      <c r="E11409" s="4" t="inlineStr"/>
      <c r="F11409" s="5" t="n"/>
      <c r="G11409" s="5" t="n"/>
      <c r="H11409" s="5" t="n">
        <v>6</v>
      </c>
      <c r="I11409" s="5" t="n">
        <v>3</v>
      </c>
      <c r="J11409" s="5" t="n">
        <v>3</v>
      </c>
      <c r="K11409" s="10">
        <f>IF(F11409&gt;0,H11409/F11409,"")</f>
        <v/>
      </c>
      <c r="L11409" s="16">
        <f>IF(AND(G11409&gt;0,H11409&gt;0),G11409/H11409,"")</f>
        <v/>
      </c>
    </row>
    <row r="11410">
      <c r="A11410" s="4" t="inlineStr">
        <is>
          <t>631</t>
        </is>
      </c>
      <c r="B11410" s="4" t="n">
        <v>6</v>
      </c>
      <c r="C11410" s="4" t="inlineStr">
        <is>
          <t>whitetail</t>
        </is>
      </c>
      <c r="D11410" s="4" t="n">
        <v>2013</v>
      </c>
      <c r="E11410" s="4" t="inlineStr"/>
      <c r="F11410" s="5" t="n">
        <v>224</v>
      </c>
      <c r="G11410" s="5" t="n">
        <v>1476</v>
      </c>
      <c r="H11410" s="5" t="n">
        <v>3</v>
      </c>
      <c r="I11410" s="5" t="n">
        <v>3</v>
      </c>
      <c r="J11410" s="5" t="n">
        <v>0</v>
      </c>
      <c r="K11410" s="10">
        <f>IF(F11410&gt;0,H11410/F11410,"")</f>
        <v/>
      </c>
      <c r="L11410" s="16">
        <f>IF(AND(G11410&gt;0,H11410&gt;0),G11410/H11410,"")</f>
        <v/>
      </c>
    </row>
    <row r="11411">
      <c r="A11411" s="4" t="inlineStr">
        <is>
          <t>631</t>
        </is>
      </c>
      <c r="B11411" s="4" t="n">
        <v>6</v>
      </c>
      <c r="C11411" s="4" t="inlineStr">
        <is>
          <t>whitetail</t>
        </is>
      </c>
      <c r="D11411" s="4" t="n">
        <v>2014</v>
      </c>
      <c r="E11411" s="4" t="inlineStr"/>
      <c r="F11411" s="5" t="n"/>
      <c r="G11411" s="5" t="n"/>
      <c r="H11411" s="5" t="n">
        <v>3</v>
      </c>
      <c r="I11411" s="5" t="n">
        <v>3</v>
      </c>
      <c r="J11411" s="5" t="n">
        <v>0</v>
      </c>
      <c r="K11411" s="10">
        <f>IF(F11411&gt;0,H11411/F11411,"")</f>
        <v/>
      </c>
      <c r="L11411" s="16">
        <f>IF(AND(G11411&gt;0,H11411&gt;0),G11411/H11411,"")</f>
        <v/>
      </c>
    </row>
    <row r="11412">
      <c r="A11412" s="4" t="inlineStr">
        <is>
          <t>631</t>
        </is>
      </c>
      <c r="B11412" s="4" t="n">
        <v>6</v>
      </c>
      <c r="C11412" s="4" t="inlineStr">
        <is>
          <t>whitetail</t>
        </is>
      </c>
      <c r="D11412" s="4" t="n">
        <v>2016</v>
      </c>
      <c r="E11412" s="4" t="inlineStr"/>
      <c r="F11412" s="5" t="n"/>
      <c r="G11412" s="5" t="n"/>
      <c r="H11412" s="5" t="n">
        <v>9</v>
      </c>
      <c r="I11412" s="5" t="n">
        <v>3</v>
      </c>
      <c r="J11412" s="5" t="n">
        <v>6</v>
      </c>
      <c r="K11412" s="10">
        <f>IF(F11412&gt;0,H11412/F11412,"")</f>
        <v/>
      </c>
      <c r="L11412" s="16">
        <f>IF(AND(G11412&gt;0,H11412&gt;0),G11412/H11412,"")</f>
        <v/>
      </c>
    </row>
    <row r="11413">
      <c r="A11413" s="4" t="inlineStr">
        <is>
          <t>631</t>
        </is>
      </c>
      <c r="B11413" s="4" t="n">
        <v>6</v>
      </c>
      <c r="C11413" s="4" t="inlineStr">
        <is>
          <t>whitetail</t>
        </is>
      </c>
      <c r="D11413" s="4" t="n">
        <v>2017</v>
      </c>
      <c r="E11413" s="4" t="inlineStr"/>
      <c r="F11413" s="5" t="n">
        <v>338</v>
      </c>
      <c r="G11413" s="5" t="n">
        <v>1860</v>
      </c>
      <c r="H11413" s="5" t="n">
        <v>12</v>
      </c>
      <c r="I11413" s="5" t="n">
        <v>9</v>
      </c>
      <c r="J11413" s="5" t="n">
        <v>3</v>
      </c>
      <c r="K11413" s="10">
        <f>IF(F11413&gt;0,H11413/F11413,"")</f>
        <v/>
      </c>
      <c r="L11413" s="16">
        <f>IF(AND(G11413&gt;0,H11413&gt;0),G11413/H11413,"")</f>
        <v/>
      </c>
    </row>
    <row r="11414">
      <c r="A11414" s="4" t="inlineStr">
        <is>
          <t>631</t>
        </is>
      </c>
      <c r="B11414" s="4" t="n">
        <v>6</v>
      </c>
      <c r="C11414" s="4" t="inlineStr">
        <is>
          <t>whitetail</t>
        </is>
      </c>
      <c r="D11414" s="4" t="n">
        <v>2018</v>
      </c>
      <c r="E11414" s="4" t="inlineStr"/>
      <c r="F11414" s="5" t="n"/>
      <c r="G11414" s="5" t="n"/>
      <c r="H11414" s="5" t="n">
        <v>6</v>
      </c>
      <c r="I11414" s="5" t="n">
        <v>6</v>
      </c>
      <c r="J11414" s="5" t="n">
        <v>0</v>
      </c>
      <c r="K11414" s="10">
        <f>IF(F11414&gt;0,H11414/F11414,"")</f>
        <v/>
      </c>
      <c r="L11414" s="16">
        <f>IF(AND(G11414&gt;0,H11414&gt;0),G11414/H11414,"")</f>
        <v/>
      </c>
    </row>
    <row r="11415">
      <c r="A11415" s="4" t="inlineStr">
        <is>
          <t>631</t>
        </is>
      </c>
      <c r="B11415" s="4" t="n">
        <v>6</v>
      </c>
      <c r="C11415" s="4" t="inlineStr">
        <is>
          <t>whitetail</t>
        </is>
      </c>
      <c r="D11415" s="4" t="n">
        <v>2019</v>
      </c>
      <c r="E11415" s="4" t="inlineStr"/>
      <c r="F11415" s="5" t="n">
        <v>270</v>
      </c>
      <c r="G11415" s="5" t="n">
        <v>1278</v>
      </c>
      <c r="H11415" s="5" t="n">
        <v>19</v>
      </c>
      <c r="I11415" s="5" t="n">
        <v>7</v>
      </c>
      <c r="J11415" s="5" t="n">
        <v>12</v>
      </c>
      <c r="K11415" s="10">
        <f>IF(F11415&gt;0,H11415/F11415,"")</f>
        <v/>
      </c>
      <c r="L11415" s="16">
        <f>IF(AND(G11415&gt;0,H11415&gt;0),G11415/H11415,"")</f>
        <v/>
      </c>
    </row>
    <row r="11416">
      <c r="A11416" s="4" t="inlineStr">
        <is>
          <t>631</t>
        </is>
      </c>
      <c r="B11416" s="4" t="n">
        <v>6</v>
      </c>
      <c r="C11416" s="4" t="inlineStr">
        <is>
          <t>whitetail</t>
        </is>
      </c>
      <c r="D11416" s="4" t="n">
        <v>2020</v>
      </c>
      <c r="E11416" s="4" t="inlineStr"/>
      <c r="F11416" s="5" t="n"/>
      <c r="G11416" s="5" t="n"/>
      <c r="H11416" s="5" t="n">
        <v>10</v>
      </c>
      <c r="I11416" s="5" t="n">
        <v>3</v>
      </c>
      <c r="J11416" s="5" t="n">
        <v>7</v>
      </c>
      <c r="K11416" s="10">
        <f>IF(F11416&gt;0,H11416/F11416,"")</f>
        <v/>
      </c>
      <c r="L11416" s="16">
        <f>IF(AND(G11416&gt;0,H11416&gt;0),G11416/H11416,"")</f>
        <v/>
      </c>
    </row>
    <row r="11417">
      <c r="A11417" s="4" t="inlineStr">
        <is>
          <t>632</t>
        </is>
      </c>
      <c r="B11417" s="4" t="n">
        <v>6</v>
      </c>
      <c r="C11417" s="4" t="inlineStr">
        <is>
          <t>whitetail</t>
        </is>
      </c>
      <c r="D11417" s="4" t="n">
        <v>2004</v>
      </c>
      <c r="E11417" s="4" t="inlineStr"/>
      <c r="F11417" s="5" t="n">
        <v>314</v>
      </c>
      <c r="G11417" s="5" t="n">
        <v>1278</v>
      </c>
      <c r="H11417" s="5" t="n">
        <v>2</v>
      </c>
      <c r="I11417" s="5" t="n">
        <v>2</v>
      </c>
      <c r="J11417" s="5" t="n">
        <v>0</v>
      </c>
      <c r="K11417" s="10">
        <f>IF(F11417&gt;0,H11417/F11417,"")</f>
        <v/>
      </c>
      <c r="L11417" s="16">
        <f>IF(AND(G11417&gt;0,H11417&gt;0),G11417/H11417,"")</f>
        <v/>
      </c>
    </row>
    <row r="11418">
      <c r="A11418" s="4" t="inlineStr">
        <is>
          <t>632</t>
        </is>
      </c>
      <c r="B11418" s="4" t="n">
        <v>6</v>
      </c>
      <c r="C11418" s="4" t="inlineStr">
        <is>
          <t>whitetail</t>
        </is>
      </c>
      <c r="D11418" s="4" t="n">
        <v>2005</v>
      </c>
      <c r="E11418" s="4" t="inlineStr"/>
      <c r="F11418" s="5" t="n">
        <v>265</v>
      </c>
      <c r="G11418" s="5" t="n">
        <v>1451</v>
      </c>
      <c r="H11418" s="5" t="n">
        <v>20</v>
      </c>
      <c r="I11418" s="5" t="n">
        <v>15</v>
      </c>
      <c r="J11418" s="5" t="n">
        <v>5</v>
      </c>
      <c r="K11418" s="10">
        <f>IF(F11418&gt;0,H11418/F11418,"")</f>
        <v/>
      </c>
      <c r="L11418" s="16">
        <f>IF(AND(G11418&gt;0,H11418&gt;0),G11418/H11418,"")</f>
        <v/>
      </c>
    </row>
    <row r="11419">
      <c r="A11419" s="4" t="inlineStr">
        <is>
          <t>632</t>
        </is>
      </c>
      <c r="B11419" s="4" t="n">
        <v>6</v>
      </c>
      <c r="C11419" s="4" t="inlineStr">
        <is>
          <t>whitetail</t>
        </is>
      </c>
      <c r="D11419" s="4" t="n">
        <v>2006</v>
      </c>
      <c r="E11419" s="4" t="inlineStr"/>
      <c r="F11419" s="5" t="n">
        <v>317</v>
      </c>
      <c r="G11419" s="5" t="n">
        <v>1683</v>
      </c>
      <c r="H11419" s="5" t="n">
        <v>52</v>
      </c>
      <c r="I11419" s="5" t="n">
        <v>26</v>
      </c>
      <c r="J11419" s="5" t="n">
        <v>26</v>
      </c>
      <c r="K11419" s="10">
        <f>IF(F11419&gt;0,H11419/F11419,"")</f>
        <v/>
      </c>
      <c r="L11419" s="16">
        <f>IF(AND(G11419&gt;0,H11419&gt;0),G11419/H11419,"")</f>
        <v/>
      </c>
    </row>
    <row r="11420">
      <c r="A11420" s="4" t="inlineStr">
        <is>
          <t>632</t>
        </is>
      </c>
      <c r="B11420" s="4" t="n">
        <v>6</v>
      </c>
      <c r="C11420" s="4" t="inlineStr">
        <is>
          <t>whitetail</t>
        </is>
      </c>
      <c r="D11420" s="4" t="n">
        <v>2007</v>
      </c>
      <c r="E11420" s="4" t="inlineStr"/>
      <c r="F11420" s="5" t="n">
        <v>266</v>
      </c>
      <c r="G11420" s="5" t="n">
        <v>1464</v>
      </c>
      <c r="H11420" s="5" t="n">
        <v>16</v>
      </c>
      <c r="I11420" s="5" t="n">
        <v>11</v>
      </c>
      <c r="J11420" s="5" t="n">
        <v>5</v>
      </c>
      <c r="K11420" s="10">
        <f>IF(F11420&gt;0,H11420/F11420,"")</f>
        <v/>
      </c>
      <c r="L11420" s="16">
        <f>IF(AND(G11420&gt;0,H11420&gt;0),G11420/H11420,"")</f>
        <v/>
      </c>
    </row>
    <row r="11421">
      <c r="A11421" s="4" t="inlineStr">
        <is>
          <t>632</t>
        </is>
      </c>
      <c r="B11421" s="4" t="n">
        <v>6</v>
      </c>
      <c r="C11421" s="4" t="inlineStr">
        <is>
          <t>whitetail</t>
        </is>
      </c>
      <c r="D11421" s="4" t="n">
        <v>2008</v>
      </c>
      <c r="E11421" s="4" t="inlineStr"/>
      <c r="F11421" s="5" t="n">
        <v>342</v>
      </c>
      <c r="G11421" s="5" t="n">
        <v>1646</v>
      </c>
      <c r="H11421" s="5" t="n">
        <v>35</v>
      </c>
      <c r="I11421" s="5" t="n">
        <v>15</v>
      </c>
      <c r="J11421" s="5" t="n">
        <v>20</v>
      </c>
      <c r="K11421" s="10">
        <f>IF(F11421&gt;0,H11421/F11421,"")</f>
        <v/>
      </c>
      <c r="L11421" s="16">
        <f>IF(AND(G11421&gt;0,H11421&gt;0),G11421/H11421,"")</f>
        <v/>
      </c>
    </row>
    <row r="11422">
      <c r="A11422" s="4" t="inlineStr">
        <is>
          <t>632</t>
        </is>
      </c>
      <c r="B11422" s="4" t="n">
        <v>6</v>
      </c>
      <c r="C11422" s="4" t="inlineStr">
        <is>
          <t>whitetail</t>
        </is>
      </c>
      <c r="D11422" s="4" t="n">
        <v>2009</v>
      </c>
      <c r="E11422" s="4" t="inlineStr"/>
      <c r="F11422" s="5" t="n">
        <v>301</v>
      </c>
      <c r="G11422" s="5" t="n">
        <v>1316</v>
      </c>
      <c r="H11422" s="5" t="n">
        <v>12</v>
      </c>
      <c r="I11422" s="5" t="n">
        <v>12</v>
      </c>
      <c r="J11422" s="5" t="n">
        <v>0</v>
      </c>
      <c r="K11422" s="10">
        <f>IF(F11422&gt;0,H11422/F11422,"")</f>
        <v/>
      </c>
      <c r="L11422" s="16">
        <f>IF(AND(G11422&gt;0,H11422&gt;0),G11422/H11422,"")</f>
        <v/>
      </c>
    </row>
    <row r="11423">
      <c r="A11423" s="4" t="inlineStr">
        <is>
          <t>632</t>
        </is>
      </c>
      <c r="B11423" s="4" t="n">
        <v>6</v>
      </c>
      <c r="C11423" s="4" t="inlineStr">
        <is>
          <t>whitetail</t>
        </is>
      </c>
      <c r="D11423" s="4" t="n">
        <v>2010</v>
      </c>
      <c r="E11423" s="4" t="inlineStr"/>
      <c r="F11423" s="5" t="n">
        <v>283</v>
      </c>
      <c r="G11423" s="5" t="n">
        <v>1308</v>
      </c>
      <c r="H11423" s="5" t="n">
        <v>26</v>
      </c>
      <c r="I11423" s="5" t="n">
        <v>3</v>
      </c>
      <c r="J11423" s="5" t="n">
        <v>23</v>
      </c>
      <c r="K11423" s="10">
        <f>IF(F11423&gt;0,H11423/F11423,"")</f>
        <v/>
      </c>
      <c r="L11423" s="16">
        <f>IF(AND(G11423&gt;0,H11423&gt;0),G11423/H11423,"")</f>
        <v/>
      </c>
    </row>
    <row r="11424">
      <c r="A11424" s="4" t="inlineStr">
        <is>
          <t>632</t>
        </is>
      </c>
      <c r="B11424" s="4" t="n">
        <v>6</v>
      </c>
      <c r="C11424" s="4" t="inlineStr">
        <is>
          <t>whitetail</t>
        </is>
      </c>
      <c r="D11424" s="4" t="n">
        <v>2012</v>
      </c>
      <c r="E11424" s="4" t="inlineStr"/>
      <c r="F11424" s="5" t="n"/>
      <c r="G11424" s="5" t="n"/>
      <c r="H11424" s="5" t="n">
        <v>3</v>
      </c>
      <c r="I11424" s="5" t="n">
        <v>0</v>
      </c>
      <c r="J11424" s="5" t="n">
        <v>3</v>
      </c>
      <c r="K11424" s="10">
        <f>IF(F11424&gt;0,H11424/F11424,"")</f>
        <v/>
      </c>
      <c r="L11424" s="16">
        <f>IF(AND(G11424&gt;0,H11424&gt;0),G11424/H11424,"")</f>
        <v/>
      </c>
    </row>
    <row r="11425">
      <c r="A11425" s="4" t="inlineStr">
        <is>
          <t>632</t>
        </is>
      </c>
      <c r="B11425" s="4" t="n">
        <v>6</v>
      </c>
      <c r="C11425" s="4" t="inlineStr">
        <is>
          <t>whitetail</t>
        </is>
      </c>
      <c r="D11425" s="4" t="n">
        <v>2013</v>
      </c>
      <c r="E11425" s="4" t="inlineStr"/>
      <c r="F11425" s="5" t="n">
        <v>272</v>
      </c>
      <c r="G11425" s="5" t="n">
        <v>1265</v>
      </c>
      <c r="H11425" s="5" t="n">
        <v>6</v>
      </c>
      <c r="I11425" s="5" t="n">
        <v>6</v>
      </c>
      <c r="J11425" s="5" t="n">
        <v>0</v>
      </c>
      <c r="K11425" s="10">
        <f>IF(F11425&gt;0,H11425/F11425,"")</f>
        <v/>
      </c>
      <c r="L11425" s="16">
        <f>IF(AND(G11425&gt;0,H11425&gt;0),G11425/H11425,"")</f>
        <v/>
      </c>
    </row>
    <row r="11426">
      <c r="A11426" s="4" t="inlineStr">
        <is>
          <t>632</t>
        </is>
      </c>
      <c r="B11426" s="4" t="n">
        <v>6</v>
      </c>
      <c r="C11426" s="4" t="inlineStr">
        <is>
          <t>whitetail</t>
        </is>
      </c>
      <c r="D11426" s="4" t="n">
        <v>2014</v>
      </c>
      <c r="E11426" s="4" t="inlineStr"/>
      <c r="F11426" s="5" t="n"/>
      <c r="G11426" s="5" t="n"/>
      <c r="H11426" s="5" t="n">
        <v>3</v>
      </c>
      <c r="I11426" s="5" t="n">
        <v>3</v>
      </c>
      <c r="J11426" s="5" t="n">
        <v>0</v>
      </c>
      <c r="K11426" s="10">
        <f>IF(F11426&gt;0,H11426/F11426,"")</f>
        <v/>
      </c>
      <c r="L11426" s="16">
        <f>IF(AND(G11426&gt;0,H11426&gt;0),G11426/H11426,"")</f>
        <v/>
      </c>
    </row>
    <row r="11427">
      <c r="A11427" s="4" t="inlineStr">
        <is>
          <t>632</t>
        </is>
      </c>
      <c r="B11427" s="4" t="n">
        <v>6</v>
      </c>
      <c r="C11427" s="4" t="inlineStr">
        <is>
          <t>whitetail</t>
        </is>
      </c>
      <c r="D11427" s="4" t="n">
        <v>2015</v>
      </c>
      <c r="E11427" s="4" t="inlineStr"/>
      <c r="F11427" s="5" t="n"/>
      <c r="G11427" s="5" t="n"/>
      <c r="H11427" s="5" t="n">
        <v>6</v>
      </c>
      <c r="I11427" s="5" t="n">
        <v>6</v>
      </c>
      <c r="J11427" s="5" t="n">
        <v>0</v>
      </c>
      <c r="K11427" s="10">
        <f>IF(F11427&gt;0,H11427/F11427,"")</f>
        <v/>
      </c>
      <c r="L11427" s="16">
        <f>IF(AND(G11427&gt;0,H11427&gt;0),G11427/H11427,"")</f>
        <v/>
      </c>
    </row>
    <row r="11428">
      <c r="A11428" s="4" t="inlineStr">
        <is>
          <t>632</t>
        </is>
      </c>
      <c r="B11428" s="4" t="n">
        <v>6</v>
      </c>
      <c r="C11428" s="4" t="inlineStr">
        <is>
          <t>whitetail</t>
        </is>
      </c>
      <c r="D11428" s="4" t="n">
        <v>2016</v>
      </c>
      <c r="E11428" s="4" t="inlineStr"/>
      <c r="F11428" s="5" t="n"/>
      <c r="G11428" s="5" t="n"/>
      <c r="H11428" s="5" t="n">
        <v>23</v>
      </c>
      <c r="I11428" s="5" t="n">
        <v>20</v>
      </c>
      <c r="J11428" s="5" t="n">
        <v>3</v>
      </c>
      <c r="K11428" s="10">
        <f>IF(F11428&gt;0,H11428/F11428,"")</f>
        <v/>
      </c>
      <c r="L11428" s="16">
        <f>IF(AND(G11428&gt;0,H11428&gt;0),G11428/H11428,"")</f>
        <v/>
      </c>
    </row>
    <row r="11429">
      <c r="A11429" s="4" t="inlineStr">
        <is>
          <t>632</t>
        </is>
      </c>
      <c r="B11429" s="4" t="n">
        <v>6</v>
      </c>
      <c r="C11429" s="4" t="inlineStr">
        <is>
          <t>whitetail</t>
        </is>
      </c>
      <c r="D11429" s="4" t="n">
        <v>2017</v>
      </c>
      <c r="E11429" s="4" t="inlineStr"/>
      <c r="F11429" s="5" t="n">
        <v>405</v>
      </c>
      <c r="G11429" s="5" t="n">
        <v>1934</v>
      </c>
      <c r="H11429" s="5" t="n">
        <v>15</v>
      </c>
      <c r="I11429" s="5" t="n">
        <v>9</v>
      </c>
      <c r="J11429" s="5" t="n">
        <v>6</v>
      </c>
      <c r="K11429" s="10">
        <f>IF(F11429&gt;0,H11429/F11429,"")</f>
        <v/>
      </c>
      <c r="L11429" s="16">
        <f>IF(AND(G11429&gt;0,H11429&gt;0),G11429/H11429,"")</f>
        <v/>
      </c>
    </row>
    <row r="11430">
      <c r="A11430" s="4" t="inlineStr">
        <is>
          <t>632</t>
        </is>
      </c>
      <c r="B11430" s="4" t="n">
        <v>6</v>
      </c>
      <c r="C11430" s="4" t="inlineStr">
        <is>
          <t>whitetail</t>
        </is>
      </c>
      <c r="D11430" s="4" t="n">
        <v>2018</v>
      </c>
      <c r="E11430" s="4" t="inlineStr"/>
      <c r="F11430" s="5" t="n"/>
      <c r="G11430" s="5" t="n"/>
      <c r="H11430" s="5" t="n">
        <v>17</v>
      </c>
      <c r="I11430" s="5" t="n">
        <v>3</v>
      </c>
      <c r="J11430" s="5" t="n">
        <v>14</v>
      </c>
      <c r="K11430" s="10">
        <f>IF(F11430&gt;0,H11430/F11430,"")</f>
        <v/>
      </c>
      <c r="L11430" s="16">
        <f>IF(AND(G11430&gt;0,H11430&gt;0),G11430/H11430,"")</f>
        <v/>
      </c>
    </row>
    <row r="11431">
      <c r="A11431" s="4" t="inlineStr">
        <is>
          <t>632</t>
        </is>
      </c>
      <c r="B11431" s="4" t="n">
        <v>6</v>
      </c>
      <c r="C11431" s="4" t="inlineStr">
        <is>
          <t>whitetail</t>
        </is>
      </c>
      <c r="D11431" s="4" t="n">
        <v>2019</v>
      </c>
      <c r="E11431" s="4" t="inlineStr"/>
      <c r="F11431" s="5" t="n">
        <v>477</v>
      </c>
      <c r="G11431" s="5" t="n">
        <v>2241</v>
      </c>
      <c r="H11431" s="5" t="n">
        <v>19</v>
      </c>
      <c r="I11431" s="5" t="n">
        <v>6</v>
      </c>
      <c r="J11431" s="5" t="n">
        <v>13</v>
      </c>
      <c r="K11431" s="10">
        <f>IF(F11431&gt;0,H11431/F11431,"")</f>
        <v/>
      </c>
      <c r="L11431" s="16">
        <f>IF(AND(G11431&gt;0,H11431&gt;0),G11431/H11431,"")</f>
        <v/>
      </c>
    </row>
    <row r="11432">
      <c r="A11432" s="4" t="inlineStr">
        <is>
          <t>632</t>
        </is>
      </c>
      <c r="B11432" s="4" t="n">
        <v>6</v>
      </c>
      <c r="C11432" s="4" t="inlineStr">
        <is>
          <t>whitetail</t>
        </is>
      </c>
      <c r="D11432" s="4" t="n">
        <v>2020</v>
      </c>
      <c r="E11432" s="4" t="inlineStr"/>
      <c r="F11432" s="5" t="n"/>
      <c r="G11432" s="5" t="n"/>
      <c r="H11432" s="5" t="n">
        <v>13</v>
      </c>
      <c r="I11432" s="5" t="n">
        <v>10</v>
      </c>
      <c r="J11432" s="5" t="n">
        <v>3</v>
      </c>
      <c r="K11432" s="10">
        <f>IF(F11432&gt;0,H11432/F11432,"")</f>
        <v/>
      </c>
      <c r="L11432" s="16">
        <f>IF(AND(G11432&gt;0,H11432&gt;0),G11432/H11432,"")</f>
        <v/>
      </c>
    </row>
    <row r="11433">
      <c r="A11433" s="4" t="inlineStr">
        <is>
          <t>632</t>
        </is>
      </c>
      <c r="B11433" s="4" t="n">
        <v>6</v>
      </c>
      <c r="C11433" s="4" t="inlineStr">
        <is>
          <t>whitetail</t>
        </is>
      </c>
      <c r="D11433" s="4" t="n">
        <v>2021</v>
      </c>
      <c r="E11433" s="4" t="inlineStr"/>
      <c r="F11433" s="5" t="n">
        <v>405</v>
      </c>
      <c r="G11433" s="5" t="n">
        <v>2379</v>
      </c>
      <c r="H11433" s="5" t="n">
        <v>9</v>
      </c>
      <c r="I11433" s="5" t="n">
        <v>3</v>
      </c>
      <c r="J11433" s="5" t="n">
        <v>5</v>
      </c>
      <c r="K11433" s="10">
        <f>IF(F11433&gt;0,H11433/F11433,"")</f>
        <v/>
      </c>
      <c r="L11433" s="16">
        <f>IF(AND(G11433&gt;0,H11433&gt;0),G11433/H11433,"")</f>
        <v/>
      </c>
    </row>
    <row r="11434">
      <c r="A11434" s="4" t="inlineStr">
        <is>
          <t>640</t>
        </is>
      </c>
      <c r="B11434" s="4" t="n">
        <v>6</v>
      </c>
      <c r="C11434" s="4" t="inlineStr">
        <is>
          <t>whitetail</t>
        </is>
      </c>
      <c r="D11434" s="4" t="n">
        <v>2004</v>
      </c>
      <c r="E11434" s="13" t="inlineStr">
        <is>
          <t>General</t>
        </is>
      </c>
      <c r="F11434" s="5" t="n">
        <v>1136</v>
      </c>
      <c r="G11434" s="5" t="n">
        <v>5203</v>
      </c>
      <c r="H11434" s="5" t="n">
        <v>428</v>
      </c>
      <c r="I11434" s="5" t="n">
        <v>209</v>
      </c>
      <c r="J11434" s="5" t="n">
        <v>210</v>
      </c>
      <c r="K11434" s="10">
        <f>IF(F11434&gt;0,H11434/F11434,"")</f>
        <v/>
      </c>
      <c r="L11434" s="16">
        <f>IF(AND(G11434&gt;0,H11434&gt;0),G11434/H11434,"")</f>
        <v/>
      </c>
    </row>
    <row r="11435">
      <c r="A11435" s="4" t="inlineStr">
        <is>
          <t>640</t>
        </is>
      </c>
      <c r="B11435" s="4" t="n">
        <v>6</v>
      </c>
      <c r="C11435" s="4" t="inlineStr">
        <is>
          <t>whitetail</t>
        </is>
      </c>
      <c r="D11435" s="4" t="n">
        <v>2005</v>
      </c>
      <c r="E11435" s="13" t="inlineStr">
        <is>
          <t>General</t>
        </is>
      </c>
      <c r="F11435" s="5" t="n">
        <v>1143</v>
      </c>
      <c r="G11435" s="5" t="n">
        <v>5137</v>
      </c>
      <c r="H11435" s="5" t="n">
        <v>455</v>
      </c>
      <c r="I11435" s="5" t="n">
        <v>271</v>
      </c>
      <c r="J11435" s="5" t="n">
        <v>181</v>
      </c>
      <c r="K11435" s="10">
        <f>IF(F11435&gt;0,H11435/F11435,"")</f>
        <v/>
      </c>
      <c r="L11435" s="16">
        <f>IF(AND(G11435&gt;0,H11435&gt;0),G11435/H11435,"")</f>
        <v/>
      </c>
    </row>
    <row r="11436">
      <c r="A11436" s="4" t="inlineStr">
        <is>
          <t>640</t>
        </is>
      </c>
      <c r="B11436" s="4" t="n">
        <v>6</v>
      </c>
      <c r="C11436" s="4" t="inlineStr">
        <is>
          <t>whitetail</t>
        </is>
      </c>
      <c r="D11436" s="4" t="n">
        <v>2006</v>
      </c>
      <c r="E11436" s="13" t="inlineStr">
        <is>
          <t>General</t>
        </is>
      </c>
      <c r="F11436" s="5" t="n">
        <v>1304</v>
      </c>
      <c r="G11436" s="5" t="n">
        <v>6518</v>
      </c>
      <c r="H11436" s="5" t="n">
        <v>619</v>
      </c>
      <c r="I11436" s="5" t="n">
        <v>381</v>
      </c>
      <c r="J11436" s="5" t="n">
        <v>223</v>
      </c>
      <c r="K11436" s="10">
        <f>IF(F11436&gt;0,H11436/F11436,"")</f>
        <v/>
      </c>
      <c r="L11436" s="16">
        <f>IF(AND(G11436&gt;0,H11436&gt;0),G11436/H11436,"")</f>
        <v/>
      </c>
    </row>
    <row r="11437">
      <c r="A11437" s="4" t="inlineStr">
        <is>
          <t>640</t>
        </is>
      </c>
      <c r="B11437" s="4" t="n">
        <v>6</v>
      </c>
      <c r="C11437" s="4" t="inlineStr">
        <is>
          <t>whitetail</t>
        </is>
      </c>
      <c r="D11437" s="4" t="n">
        <v>2007</v>
      </c>
      <c r="E11437" s="13" t="inlineStr">
        <is>
          <t>General</t>
        </is>
      </c>
      <c r="F11437" s="5" t="n">
        <v>1332</v>
      </c>
      <c r="G11437" s="5" t="n">
        <v>6826</v>
      </c>
      <c r="H11437" s="5" t="n">
        <v>563</v>
      </c>
      <c r="I11437" s="5" t="n">
        <v>272</v>
      </c>
      <c r="J11437" s="5" t="n">
        <v>291</v>
      </c>
      <c r="K11437" s="10">
        <f>IF(F11437&gt;0,H11437/F11437,"")</f>
        <v/>
      </c>
      <c r="L11437" s="16">
        <f>IF(AND(G11437&gt;0,H11437&gt;0),G11437/H11437,"")</f>
        <v/>
      </c>
    </row>
    <row r="11438">
      <c r="A11438" s="4" t="inlineStr">
        <is>
          <t>640</t>
        </is>
      </c>
      <c r="B11438" s="4" t="n">
        <v>6</v>
      </c>
      <c r="C11438" s="4" t="inlineStr">
        <is>
          <t>whitetail</t>
        </is>
      </c>
      <c r="D11438" s="4" t="n">
        <v>2008</v>
      </c>
      <c r="E11438" s="13" t="inlineStr">
        <is>
          <t>General</t>
        </is>
      </c>
      <c r="F11438" s="5" t="n">
        <v>961</v>
      </c>
      <c r="G11438" s="5" t="n">
        <v>4981</v>
      </c>
      <c r="H11438" s="5" t="n">
        <v>418</v>
      </c>
      <c r="I11438" s="5" t="n">
        <v>252</v>
      </c>
      <c r="J11438" s="5" t="n">
        <v>164</v>
      </c>
      <c r="K11438" s="10">
        <f>IF(F11438&gt;0,H11438/F11438,"")</f>
        <v/>
      </c>
      <c r="L11438" s="16">
        <f>IF(AND(G11438&gt;0,H11438&gt;0),G11438/H11438,"")</f>
        <v/>
      </c>
    </row>
    <row r="11439">
      <c r="A11439" s="4" t="inlineStr">
        <is>
          <t>640</t>
        </is>
      </c>
      <c r="B11439" s="4" t="n">
        <v>6</v>
      </c>
      <c r="C11439" s="4" t="inlineStr">
        <is>
          <t>whitetail</t>
        </is>
      </c>
      <c r="D11439" s="4" t="n">
        <v>2009</v>
      </c>
      <c r="E11439" s="13" t="inlineStr">
        <is>
          <t>General</t>
        </is>
      </c>
      <c r="F11439" s="5" t="n">
        <v>1116</v>
      </c>
      <c r="G11439" s="5" t="n">
        <v>5474</v>
      </c>
      <c r="H11439" s="5" t="n">
        <v>432</v>
      </c>
      <c r="I11439" s="5" t="n">
        <v>254</v>
      </c>
      <c r="J11439" s="5" t="n">
        <v>178</v>
      </c>
      <c r="K11439" s="10">
        <f>IF(F11439&gt;0,H11439/F11439,"")</f>
        <v/>
      </c>
      <c r="L11439" s="16">
        <f>IF(AND(G11439&gt;0,H11439&gt;0),G11439/H11439,"")</f>
        <v/>
      </c>
    </row>
    <row r="11440">
      <c r="A11440" s="4" t="inlineStr">
        <is>
          <t>640</t>
        </is>
      </c>
      <c r="B11440" s="4" t="n">
        <v>6</v>
      </c>
      <c r="C11440" s="4" t="inlineStr">
        <is>
          <t>whitetail</t>
        </is>
      </c>
      <c r="D11440" s="4" t="n">
        <v>2010</v>
      </c>
      <c r="E11440" s="13" t="inlineStr">
        <is>
          <t>General</t>
        </is>
      </c>
      <c r="F11440" s="5" t="n">
        <v>1400</v>
      </c>
      <c r="G11440" s="5" t="n">
        <v>7545</v>
      </c>
      <c r="H11440" s="5" t="n">
        <v>462</v>
      </c>
      <c r="I11440" s="5" t="n">
        <v>250</v>
      </c>
      <c r="J11440" s="5" t="n">
        <v>212</v>
      </c>
      <c r="K11440" s="10">
        <f>IF(F11440&gt;0,H11440/F11440,"")</f>
        <v/>
      </c>
      <c r="L11440" s="16">
        <f>IF(AND(G11440&gt;0,H11440&gt;0),G11440/H11440,"")</f>
        <v/>
      </c>
    </row>
    <row r="11441">
      <c r="A11441" s="4" t="inlineStr">
        <is>
          <t>640</t>
        </is>
      </c>
      <c r="B11441" s="4" t="n">
        <v>6</v>
      </c>
      <c r="C11441" s="4" t="inlineStr">
        <is>
          <t>whitetail</t>
        </is>
      </c>
      <c r="D11441" s="4" t="n">
        <v>2011</v>
      </c>
      <c r="E11441" s="13" t="inlineStr">
        <is>
          <t>General</t>
        </is>
      </c>
      <c r="F11441" s="5" t="n">
        <v>1223</v>
      </c>
      <c r="G11441" s="5" t="n">
        <v>6300</v>
      </c>
      <c r="H11441" s="5" t="n">
        <v>307</v>
      </c>
      <c r="I11441" s="5" t="n">
        <v>137</v>
      </c>
      <c r="J11441" s="5" t="n">
        <v>164</v>
      </c>
      <c r="K11441" s="10">
        <f>IF(F11441&gt;0,H11441/F11441,"")</f>
        <v/>
      </c>
      <c r="L11441" s="16">
        <f>IF(AND(G11441&gt;0,H11441&gt;0),G11441/H11441,"")</f>
        <v/>
      </c>
    </row>
    <row r="11442">
      <c r="A11442" s="4" t="inlineStr">
        <is>
          <t>640</t>
        </is>
      </c>
      <c r="B11442" s="4" t="n">
        <v>6</v>
      </c>
      <c r="C11442" s="4" t="inlineStr">
        <is>
          <t>whitetail</t>
        </is>
      </c>
      <c r="D11442" s="4" t="n">
        <v>2012</v>
      </c>
      <c r="E11442" s="13" t="inlineStr">
        <is>
          <t>General</t>
        </is>
      </c>
      <c r="F11442" s="5" t="n"/>
      <c r="G11442" s="5" t="n"/>
      <c r="H11442" s="5" t="n">
        <v>464</v>
      </c>
      <c r="I11442" s="5" t="n">
        <v>268</v>
      </c>
      <c r="J11442" s="5" t="n">
        <v>193</v>
      </c>
      <c r="K11442" s="10">
        <f>IF(F11442&gt;0,H11442/F11442,"")</f>
        <v/>
      </c>
      <c r="L11442" s="16">
        <f>IF(AND(G11442&gt;0,H11442&gt;0),G11442/H11442,"")</f>
        <v/>
      </c>
    </row>
    <row r="11443">
      <c r="A11443" s="4" t="inlineStr">
        <is>
          <t>640</t>
        </is>
      </c>
      <c r="B11443" s="4" t="n">
        <v>6</v>
      </c>
      <c r="C11443" s="4" t="inlineStr">
        <is>
          <t>whitetail</t>
        </is>
      </c>
      <c r="D11443" s="4" t="n">
        <v>2013</v>
      </c>
      <c r="E11443" s="13" t="inlineStr">
        <is>
          <t>General</t>
        </is>
      </c>
      <c r="F11443" s="5" t="n">
        <v>1636</v>
      </c>
      <c r="G11443" s="5" t="n">
        <v>9126</v>
      </c>
      <c r="H11443" s="5" t="n">
        <v>395</v>
      </c>
      <c r="I11443" s="5" t="n">
        <v>301</v>
      </c>
      <c r="J11443" s="5" t="n">
        <v>94</v>
      </c>
      <c r="K11443" s="10">
        <f>IF(F11443&gt;0,H11443/F11443,"")</f>
        <v/>
      </c>
      <c r="L11443" s="16">
        <f>IF(AND(G11443&gt;0,H11443&gt;0),G11443/H11443,"")</f>
        <v/>
      </c>
    </row>
    <row r="11444">
      <c r="A11444" s="4" t="inlineStr">
        <is>
          <t>640</t>
        </is>
      </c>
      <c r="B11444" s="4" t="n">
        <v>6</v>
      </c>
      <c r="C11444" s="4" t="inlineStr">
        <is>
          <t>whitetail</t>
        </is>
      </c>
      <c r="D11444" s="4" t="n">
        <v>2014</v>
      </c>
      <c r="E11444" s="13" t="inlineStr">
        <is>
          <t>General</t>
        </is>
      </c>
      <c r="F11444" s="5" t="n"/>
      <c r="G11444" s="5" t="n"/>
      <c r="H11444" s="5" t="n">
        <v>314</v>
      </c>
      <c r="I11444" s="5" t="n">
        <v>308</v>
      </c>
      <c r="J11444" s="5" t="n">
        <v>6</v>
      </c>
      <c r="K11444" s="10">
        <f>IF(F11444&gt;0,H11444/F11444,"")</f>
        <v/>
      </c>
      <c r="L11444" s="16">
        <f>IF(AND(G11444&gt;0,H11444&gt;0),G11444/H11444,"")</f>
        <v/>
      </c>
    </row>
    <row r="11445">
      <c r="A11445" s="4" t="inlineStr">
        <is>
          <t>640</t>
        </is>
      </c>
      <c r="B11445" s="4" t="n">
        <v>6</v>
      </c>
      <c r="C11445" s="4" t="inlineStr">
        <is>
          <t>whitetail</t>
        </is>
      </c>
      <c r="D11445" s="4" t="n">
        <v>2015</v>
      </c>
      <c r="E11445" s="13" t="inlineStr">
        <is>
          <t>General</t>
        </is>
      </c>
      <c r="F11445" s="5" t="n"/>
      <c r="G11445" s="5" t="n"/>
      <c r="H11445" s="5" t="n">
        <v>315</v>
      </c>
      <c r="I11445" s="5" t="n">
        <v>304</v>
      </c>
      <c r="J11445" s="5" t="n">
        <v>12</v>
      </c>
      <c r="K11445" s="10">
        <f>IF(F11445&gt;0,H11445/F11445,"")</f>
        <v/>
      </c>
      <c r="L11445" s="16">
        <f>IF(AND(G11445&gt;0,H11445&gt;0),G11445/H11445,"")</f>
        <v/>
      </c>
    </row>
    <row r="11446">
      <c r="A11446" s="4" t="inlineStr">
        <is>
          <t>640</t>
        </is>
      </c>
      <c r="B11446" s="4" t="n">
        <v>6</v>
      </c>
      <c r="C11446" s="4" t="inlineStr">
        <is>
          <t>whitetail</t>
        </is>
      </c>
      <c r="D11446" s="4" t="n">
        <v>2016</v>
      </c>
      <c r="E11446" s="13" t="inlineStr">
        <is>
          <t>General</t>
        </is>
      </c>
      <c r="F11446" s="5" t="n"/>
      <c r="G11446" s="5" t="n"/>
      <c r="H11446" s="5" t="n">
        <v>417</v>
      </c>
      <c r="I11446" s="5" t="n">
        <v>252</v>
      </c>
      <c r="J11446" s="5" t="n">
        <v>163</v>
      </c>
      <c r="K11446" s="10">
        <f>IF(F11446&gt;0,H11446/F11446,"")</f>
        <v/>
      </c>
      <c r="L11446" s="16">
        <f>IF(AND(G11446&gt;0,H11446&gt;0),G11446/H11446,"")</f>
        <v/>
      </c>
    </row>
    <row r="11447">
      <c r="A11447" s="4" t="inlineStr">
        <is>
          <t>640</t>
        </is>
      </c>
      <c r="B11447" s="4" t="n">
        <v>6</v>
      </c>
      <c r="C11447" s="4" t="inlineStr">
        <is>
          <t>whitetail</t>
        </is>
      </c>
      <c r="D11447" s="4" t="n">
        <v>2017</v>
      </c>
      <c r="E11447" s="13" t="inlineStr">
        <is>
          <t>General</t>
        </is>
      </c>
      <c r="F11447" s="5" t="n">
        <v>1278</v>
      </c>
      <c r="G11447" s="5" t="n">
        <v>7227</v>
      </c>
      <c r="H11447" s="5" t="n">
        <v>392</v>
      </c>
      <c r="I11447" s="5" t="n">
        <v>249</v>
      </c>
      <c r="J11447" s="5" t="n">
        <v>143</v>
      </c>
      <c r="K11447" s="10">
        <f>IF(F11447&gt;0,H11447/F11447,"")</f>
        <v/>
      </c>
      <c r="L11447" s="16">
        <f>IF(AND(G11447&gt;0,H11447&gt;0),G11447/H11447,"")</f>
        <v/>
      </c>
    </row>
    <row r="11448">
      <c r="A11448" s="4" t="inlineStr">
        <is>
          <t>640</t>
        </is>
      </c>
      <c r="B11448" s="4" t="n">
        <v>6</v>
      </c>
      <c r="C11448" s="4" t="inlineStr">
        <is>
          <t>whitetail</t>
        </is>
      </c>
      <c r="D11448" s="4" t="n">
        <v>2018</v>
      </c>
      <c r="E11448" s="13" t="inlineStr">
        <is>
          <t>General</t>
        </is>
      </c>
      <c r="F11448" s="5" t="n"/>
      <c r="G11448" s="5" t="n"/>
      <c r="H11448" s="5" t="n">
        <v>388</v>
      </c>
      <c r="I11448" s="5" t="n">
        <v>244</v>
      </c>
      <c r="J11448" s="5" t="n">
        <v>144</v>
      </c>
      <c r="K11448" s="10">
        <f>IF(F11448&gt;0,H11448/F11448,"")</f>
        <v/>
      </c>
      <c r="L11448" s="16">
        <f>IF(AND(G11448&gt;0,H11448&gt;0),G11448/H11448,"")</f>
        <v/>
      </c>
    </row>
    <row r="11449">
      <c r="A11449" s="4" t="inlineStr">
        <is>
          <t>640</t>
        </is>
      </c>
      <c r="B11449" s="4" t="n">
        <v>6</v>
      </c>
      <c r="C11449" s="4" t="inlineStr">
        <is>
          <t>whitetail</t>
        </is>
      </c>
      <c r="D11449" s="4" t="n">
        <v>2019</v>
      </c>
      <c r="E11449" s="13" t="inlineStr">
        <is>
          <t>General</t>
        </is>
      </c>
      <c r="F11449" s="5" t="n">
        <v>1261</v>
      </c>
      <c r="G11449" s="5" t="n">
        <v>6456</v>
      </c>
      <c r="H11449" s="5" t="n">
        <v>317</v>
      </c>
      <c r="I11449" s="5" t="n">
        <v>194</v>
      </c>
      <c r="J11449" s="5" t="n">
        <v>119</v>
      </c>
      <c r="K11449" s="10">
        <f>IF(F11449&gt;0,H11449/F11449,"")</f>
        <v/>
      </c>
      <c r="L11449" s="16">
        <f>IF(AND(G11449&gt;0,H11449&gt;0),G11449/H11449,"")</f>
        <v/>
      </c>
    </row>
    <row r="11450">
      <c r="A11450" s="4" t="inlineStr">
        <is>
          <t>640</t>
        </is>
      </c>
      <c r="B11450" s="4" t="n">
        <v>6</v>
      </c>
      <c r="C11450" s="4" t="inlineStr">
        <is>
          <t>whitetail</t>
        </is>
      </c>
      <c r="D11450" s="4" t="n">
        <v>2020</v>
      </c>
      <c r="E11450" s="13" t="inlineStr">
        <is>
          <t>General</t>
        </is>
      </c>
      <c r="F11450" s="5" t="n"/>
      <c r="G11450" s="5" t="n"/>
      <c r="H11450" s="5" t="n">
        <v>830</v>
      </c>
      <c r="I11450" s="5" t="n">
        <v>535</v>
      </c>
      <c r="J11450" s="5" t="n">
        <v>293</v>
      </c>
      <c r="K11450" s="10">
        <f>IF(F11450&gt;0,H11450/F11450,"")</f>
        <v/>
      </c>
      <c r="L11450" s="16">
        <f>IF(AND(G11450&gt;0,H11450&gt;0),G11450/H11450,"")</f>
        <v/>
      </c>
    </row>
    <row r="11451">
      <c r="A11451" s="4" t="inlineStr">
        <is>
          <t>640</t>
        </is>
      </c>
      <c r="B11451" s="4" t="n">
        <v>6</v>
      </c>
      <c r="C11451" s="4" t="inlineStr">
        <is>
          <t>whitetail</t>
        </is>
      </c>
      <c r="D11451" s="4" t="n">
        <v>2021</v>
      </c>
      <c r="E11451" s="13" t="inlineStr">
        <is>
          <t>General</t>
        </is>
      </c>
      <c r="F11451" s="5" t="n">
        <v>2867</v>
      </c>
      <c r="G11451" s="5" t="n">
        <v>16531</v>
      </c>
      <c r="H11451" s="5" t="n">
        <v>784</v>
      </c>
      <c r="I11451" s="5" t="n">
        <v>471</v>
      </c>
      <c r="J11451" s="5" t="n">
        <v>304</v>
      </c>
      <c r="K11451" s="10">
        <f>IF(F11451&gt;0,H11451/F11451,"")</f>
        <v/>
      </c>
      <c r="L11451" s="16">
        <f>IF(AND(G11451&gt;0,H11451&gt;0),G11451/H11451,"")</f>
        <v/>
      </c>
    </row>
    <row r="11452">
      <c r="A11452" s="4" t="inlineStr">
        <is>
          <t>640</t>
        </is>
      </c>
      <c r="B11452" s="4" t="n">
        <v>6</v>
      </c>
      <c r="C11452" s="4" t="inlineStr">
        <is>
          <t>whitetail</t>
        </is>
      </c>
      <c r="D11452" s="4" t="n">
        <v>2022</v>
      </c>
      <c r="E11452" s="13" t="inlineStr">
        <is>
          <t>General</t>
        </is>
      </c>
      <c r="F11452" s="5" t="n"/>
      <c r="G11452" s="5" t="n"/>
      <c r="H11452" s="5" t="n">
        <v>926</v>
      </c>
      <c r="I11452" s="5" t="n">
        <v>504</v>
      </c>
      <c r="J11452" s="5" t="n">
        <v>423</v>
      </c>
      <c r="K11452" s="10">
        <f>IF(F11452&gt;0,H11452/F11452,"")</f>
        <v/>
      </c>
      <c r="L11452" s="16">
        <f>IF(AND(G11452&gt;0,H11452&gt;0),G11452/H11452,"")</f>
        <v/>
      </c>
    </row>
    <row r="11453">
      <c r="A11453" s="4" t="inlineStr">
        <is>
          <t>640</t>
        </is>
      </c>
      <c r="B11453" s="4" t="n">
        <v>6</v>
      </c>
      <c r="C11453" s="4" t="inlineStr">
        <is>
          <t>whitetail</t>
        </is>
      </c>
      <c r="D11453" s="4" t="n">
        <v>2023</v>
      </c>
      <c r="E11453" s="13" t="inlineStr">
        <is>
          <t>General</t>
        </is>
      </c>
      <c r="F11453" s="5" t="n">
        <v>3542</v>
      </c>
      <c r="G11453" s="5" t="n">
        <v>20669</v>
      </c>
      <c r="H11453" s="5" t="n">
        <v>850</v>
      </c>
      <c r="I11453" s="5" t="n">
        <v>468</v>
      </c>
      <c r="J11453" s="5" t="n">
        <v>382</v>
      </c>
      <c r="K11453" s="10">
        <f>IF(F11453&gt;0,H11453/F11453,"")</f>
        <v/>
      </c>
      <c r="L11453" s="16">
        <f>IF(AND(G11453&gt;0,H11453&gt;0),G11453/H11453,"")</f>
        <v/>
      </c>
    </row>
    <row r="11454">
      <c r="A11454" s="4" t="inlineStr">
        <is>
          <t>640</t>
        </is>
      </c>
      <c r="B11454" s="4" t="n">
        <v>6</v>
      </c>
      <c r="C11454" s="4" t="inlineStr">
        <is>
          <t>whitetail</t>
        </is>
      </c>
      <c r="D11454" s="4" t="n">
        <v>2024</v>
      </c>
      <c r="E11454" s="13" t="inlineStr">
        <is>
          <t>General</t>
        </is>
      </c>
      <c r="F11454" s="5" t="n"/>
      <c r="G11454" s="5" t="n"/>
      <c r="H11454" s="5" t="n">
        <v>810</v>
      </c>
      <c r="I11454" s="5" t="n">
        <v>541</v>
      </c>
      <c r="J11454" s="5" t="n">
        <v>264</v>
      </c>
      <c r="K11454" s="10">
        <f>IF(F11454&gt;0,H11454/F11454,"")</f>
        <v/>
      </c>
      <c r="L11454" s="16">
        <f>IF(AND(G11454&gt;0,H11454&gt;0),G11454/H11454,"")</f>
        <v/>
      </c>
    </row>
    <row r="11455">
      <c r="A11455" s="4" t="inlineStr">
        <is>
          <t>640</t>
        </is>
      </c>
      <c r="B11455" s="4" t="n">
        <v>6</v>
      </c>
      <c r="C11455" s="4" t="inlineStr">
        <is>
          <t>whitetail</t>
        </is>
      </c>
      <c r="D11455" s="4" t="n">
        <v>2025</v>
      </c>
      <c r="E11455" s="13" t="inlineStr">
        <is>
          <t>General</t>
        </is>
      </c>
      <c r="F11455" s="5" t="n">
        <v>2776</v>
      </c>
      <c r="G11455" s="5" t="n">
        <v>17162</v>
      </c>
      <c r="H11455" s="5" t="n">
        <v>470</v>
      </c>
      <c r="I11455" s="5" t="n">
        <v>367</v>
      </c>
      <c r="J11455" s="5" t="n">
        <v>103</v>
      </c>
      <c r="K11455" s="10">
        <f>IF(F11455&gt;0,H11455/F11455,"")</f>
        <v/>
      </c>
      <c r="L11455" s="16">
        <f>IF(AND(G11455&gt;0,H11455&gt;0),G11455/H11455,"")</f>
        <v/>
      </c>
    </row>
    <row r="11456">
      <c r="A11456" s="4" t="inlineStr">
        <is>
          <t>641</t>
        </is>
      </c>
      <c r="B11456" s="4" t="n">
        <v>6</v>
      </c>
      <c r="C11456" s="4" t="inlineStr">
        <is>
          <t>whitetail</t>
        </is>
      </c>
      <c r="D11456" s="4" t="n">
        <v>2004</v>
      </c>
      <c r="E11456" s="4" t="inlineStr"/>
      <c r="F11456" s="5" t="n">
        <v>493</v>
      </c>
      <c r="G11456" s="5" t="n">
        <v>2743</v>
      </c>
      <c r="H11456" s="5" t="n">
        <v>210</v>
      </c>
      <c r="I11456" s="5" t="n">
        <v>151</v>
      </c>
      <c r="J11456" s="5" t="n">
        <v>56</v>
      </c>
      <c r="K11456" s="10">
        <f>IF(F11456&gt;0,H11456/F11456,"")</f>
        <v/>
      </c>
      <c r="L11456" s="16">
        <f>IF(AND(G11456&gt;0,H11456&gt;0),G11456/H11456,"")</f>
        <v/>
      </c>
    </row>
    <row r="11457">
      <c r="A11457" s="4" t="inlineStr">
        <is>
          <t>641</t>
        </is>
      </c>
      <c r="B11457" s="4" t="n">
        <v>6</v>
      </c>
      <c r="C11457" s="4" t="inlineStr">
        <is>
          <t>whitetail</t>
        </is>
      </c>
      <c r="D11457" s="4" t="n">
        <v>2005</v>
      </c>
      <c r="E11457" s="4" t="inlineStr"/>
      <c r="F11457" s="5" t="n">
        <v>561</v>
      </c>
      <c r="G11457" s="5" t="n">
        <v>2729</v>
      </c>
      <c r="H11457" s="5" t="n">
        <v>381</v>
      </c>
      <c r="I11457" s="5" t="n">
        <v>248</v>
      </c>
      <c r="J11457" s="5" t="n">
        <v>128</v>
      </c>
      <c r="K11457" s="10">
        <f>IF(F11457&gt;0,H11457/F11457,"")</f>
        <v/>
      </c>
      <c r="L11457" s="16">
        <f>IF(AND(G11457&gt;0,H11457&gt;0),G11457/H11457,"")</f>
        <v/>
      </c>
    </row>
    <row r="11458">
      <c r="A11458" s="4" t="inlineStr">
        <is>
          <t>641</t>
        </is>
      </c>
      <c r="B11458" s="4" t="n">
        <v>6</v>
      </c>
      <c r="C11458" s="4" t="inlineStr">
        <is>
          <t>whitetail</t>
        </is>
      </c>
      <c r="D11458" s="4" t="n">
        <v>2006</v>
      </c>
      <c r="E11458" s="4" t="inlineStr"/>
      <c r="F11458" s="5" t="n">
        <v>412</v>
      </c>
      <c r="G11458" s="5" t="n">
        <v>2153</v>
      </c>
      <c r="H11458" s="5" t="n">
        <v>262</v>
      </c>
      <c r="I11458" s="5" t="n">
        <v>171</v>
      </c>
      <c r="J11458" s="5" t="n">
        <v>91</v>
      </c>
      <c r="K11458" s="10">
        <f>IF(F11458&gt;0,H11458/F11458,"")</f>
        <v/>
      </c>
      <c r="L11458" s="16">
        <f>IF(AND(G11458&gt;0,H11458&gt;0),G11458/H11458,"")</f>
        <v/>
      </c>
    </row>
    <row r="11459">
      <c r="A11459" s="4" t="inlineStr">
        <is>
          <t>641</t>
        </is>
      </c>
      <c r="B11459" s="4" t="n">
        <v>6</v>
      </c>
      <c r="C11459" s="4" t="inlineStr">
        <is>
          <t>whitetail</t>
        </is>
      </c>
      <c r="D11459" s="4" t="n">
        <v>2007</v>
      </c>
      <c r="E11459" s="4" t="inlineStr"/>
      <c r="F11459" s="5" t="n">
        <v>571</v>
      </c>
      <c r="G11459" s="5" t="n">
        <v>2760</v>
      </c>
      <c r="H11459" s="5" t="n">
        <v>321</v>
      </c>
      <c r="I11459" s="5" t="n">
        <v>197</v>
      </c>
      <c r="J11459" s="5" t="n">
        <v>124</v>
      </c>
      <c r="K11459" s="10">
        <f>IF(F11459&gt;0,H11459/F11459,"")</f>
        <v/>
      </c>
      <c r="L11459" s="16">
        <f>IF(AND(G11459&gt;0,H11459&gt;0),G11459/H11459,"")</f>
        <v/>
      </c>
    </row>
    <row r="11460">
      <c r="A11460" s="4" t="inlineStr">
        <is>
          <t>641</t>
        </is>
      </c>
      <c r="B11460" s="4" t="n">
        <v>6</v>
      </c>
      <c r="C11460" s="4" t="inlineStr">
        <is>
          <t>whitetail</t>
        </is>
      </c>
      <c r="D11460" s="4" t="n">
        <v>2008</v>
      </c>
      <c r="E11460" s="4" t="inlineStr"/>
      <c r="F11460" s="5" t="n">
        <v>939</v>
      </c>
      <c r="G11460" s="5" t="n">
        <v>4959</v>
      </c>
      <c r="H11460" s="5" t="n">
        <v>565</v>
      </c>
      <c r="I11460" s="5" t="n">
        <v>349</v>
      </c>
      <c r="J11460" s="5" t="n">
        <v>210</v>
      </c>
      <c r="K11460" s="10">
        <f>IF(F11460&gt;0,H11460/F11460,"")</f>
        <v/>
      </c>
      <c r="L11460" s="16">
        <f>IF(AND(G11460&gt;0,H11460&gt;0),G11460/H11460,"")</f>
        <v/>
      </c>
    </row>
    <row r="11461">
      <c r="A11461" s="4" t="inlineStr">
        <is>
          <t>641</t>
        </is>
      </c>
      <c r="B11461" s="4" t="n">
        <v>6</v>
      </c>
      <c r="C11461" s="4" t="inlineStr">
        <is>
          <t>whitetail</t>
        </is>
      </c>
      <c r="D11461" s="4" t="n">
        <v>2009</v>
      </c>
      <c r="E11461" s="4" t="inlineStr"/>
      <c r="F11461" s="5" t="n">
        <v>631</v>
      </c>
      <c r="G11461" s="5" t="n">
        <v>3098</v>
      </c>
      <c r="H11461" s="5" t="n">
        <v>267</v>
      </c>
      <c r="I11461" s="5" t="n">
        <v>156</v>
      </c>
      <c r="J11461" s="5" t="n">
        <v>111</v>
      </c>
      <c r="K11461" s="10">
        <f>IF(F11461&gt;0,H11461/F11461,"")</f>
        <v/>
      </c>
      <c r="L11461" s="16">
        <f>IF(AND(G11461&gt;0,H11461&gt;0),G11461/H11461,"")</f>
        <v/>
      </c>
    </row>
    <row r="11462">
      <c r="A11462" s="4" t="inlineStr">
        <is>
          <t>641</t>
        </is>
      </c>
      <c r="B11462" s="4" t="n">
        <v>6</v>
      </c>
      <c r="C11462" s="4" t="inlineStr">
        <is>
          <t>whitetail</t>
        </is>
      </c>
      <c r="D11462" s="4" t="n">
        <v>2010</v>
      </c>
      <c r="E11462" s="4" t="inlineStr"/>
      <c r="F11462" s="5" t="n">
        <v>563</v>
      </c>
      <c r="G11462" s="5" t="n">
        <v>3032</v>
      </c>
      <c r="H11462" s="5" t="n">
        <v>187</v>
      </c>
      <c r="I11462" s="5" t="n">
        <v>112</v>
      </c>
      <c r="J11462" s="5" t="n">
        <v>69</v>
      </c>
      <c r="K11462" s="10">
        <f>IF(F11462&gt;0,H11462/F11462,"")</f>
        <v/>
      </c>
      <c r="L11462" s="16">
        <f>IF(AND(G11462&gt;0,H11462&gt;0),G11462/H11462,"")</f>
        <v/>
      </c>
    </row>
    <row r="11463">
      <c r="A11463" s="4" t="inlineStr">
        <is>
          <t>641</t>
        </is>
      </c>
      <c r="B11463" s="4" t="n">
        <v>6</v>
      </c>
      <c r="C11463" s="4" t="inlineStr">
        <is>
          <t>whitetail</t>
        </is>
      </c>
      <c r="D11463" s="4" t="n">
        <v>2011</v>
      </c>
      <c r="E11463" s="4" t="inlineStr"/>
      <c r="F11463" s="5" t="n">
        <v>477</v>
      </c>
      <c r="G11463" s="5" t="n">
        <v>2431</v>
      </c>
      <c r="H11463" s="5" t="n">
        <v>115</v>
      </c>
      <c r="I11463" s="5" t="n">
        <v>61</v>
      </c>
      <c r="J11463" s="5" t="n">
        <v>52</v>
      </c>
      <c r="K11463" s="10">
        <f>IF(F11463&gt;0,H11463/F11463,"")</f>
        <v/>
      </c>
      <c r="L11463" s="16">
        <f>IF(AND(G11463&gt;0,H11463&gt;0),G11463/H11463,"")</f>
        <v/>
      </c>
    </row>
    <row r="11464">
      <c r="A11464" s="4" t="inlineStr">
        <is>
          <t>641</t>
        </is>
      </c>
      <c r="B11464" s="4" t="n">
        <v>6</v>
      </c>
      <c r="C11464" s="4" t="inlineStr">
        <is>
          <t>whitetail</t>
        </is>
      </c>
      <c r="D11464" s="4" t="n">
        <v>2012</v>
      </c>
      <c r="E11464" s="4" t="inlineStr"/>
      <c r="F11464" s="5" t="n"/>
      <c r="G11464" s="5" t="n"/>
      <c r="H11464" s="5" t="n">
        <v>235</v>
      </c>
      <c r="I11464" s="5" t="n">
        <v>115</v>
      </c>
      <c r="J11464" s="5" t="n">
        <v>117</v>
      </c>
      <c r="K11464" s="10">
        <f>IF(F11464&gt;0,H11464/F11464,"")</f>
        <v/>
      </c>
      <c r="L11464" s="16">
        <f>IF(AND(G11464&gt;0,H11464&gt;0),G11464/H11464,"")</f>
        <v/>
      </c>
    </row>
    <row r="11465">
      <c r="A11465" s="4" t="inlineStr">
        <is>
          <t>641</t>
        </is>
      </c>
      <c r="B11465" s="4" t="n">
        <v>6</v>
      </c>
      <c r="C11465" s="4" t="inlineStr">
        <is>
          <t>whitetail</t>
        </is>
      </c>
      <c r="D11465" s="4" t="n">
        <v>2013</v>
      </c>
      <c r="E11465" s="4" t="inlineStr"/>
      <c r="F11465" s="5" t="n">
        <v>583</v>
      </c>
      <c r="G11465" s="5" t="n">
        <v>3469</v>
      </c>
      <c r="H11465" s="5" t="n">
        <v>141</v>
      </c>
      <c r="I11465" s="5" t="n">
        <v>100</v>
      </c>
      <c r="J11465" s="5" t="n">
        <v>41</v>
      </c>
      <c r="K11465" s="10">
        <f>IF(F11465&gt;0,H11465/F11465,"")</f>
        <v/>
      </c>
      <c r="L11465" s="16">
        <f>IF(AND(G11465&gt;0,H11465&gt;0),G11465/H11465,"")</f>
        <v/>
      </c>
    </row>
    <row r="11466">
      <c r="A11466" s="4" t="inlineStr">
        <is>
          <t>641</t>
        </is>
      </c>
      <c r="B11466" s="4" t="n">
        <v>6</v>
      </c>
      <c r="C11466" s="4" t="inlineStr">
        <is>
          <t>whitetail</t>
        </is>
      </c>
      <c r="D11466" s="4" t="n">
        <v>2014</v>
      </c>
      <c r="E11466" s="4" t="inlineStr"/>
      <c r="F11466" s="5" t="n"/>
      <c r="G11466" s="5" t="n"/>
      <c r="H11466" s="5" t="n">
        <v>155</v>
      </c>
      <c r="I11466" s="5" t="n">
        <v>141</v>
      </c>
      <c r="J11466" s="5" t="n">
        <v>11</v>
      </c>
      <c r="K11466" s="10">
        <f>IF(F11466&gt;0,H11466/F11466,"")</f>
        <v/>
      </c>
      <c r="L11466" s="16">
        <f>IF(AND(G11466&gt;0,H11466&gt;0),G11466/H11466,"")</f>
        <v/>
      </c>
    </row>
    <row r="11467">
      <c r="A11467" s="4" t="inlineStr">
        <is>
          <t>641</t>
        </is>
      </c>
      <c r="B11467" s="4" t="n">
        <v>6</v>
      </c>
      <c r="C11467" s="4" t="inlineStr">
        <is>
          <t>whitetail</t>
        </is>
      </c>
      <c r="D11467" s="4" t="n">
        <v>2015</v>
      </c>
      <c r="E11467" s="4" t="inlineStr"/>
      <c r="F11467" s="5" t="n"/>
      <c r="G11467" s="5" t="n"/>
      <c r="H11467" s="5" t="n">
        <v>163</v>
      </c>
      <c r="I11467" s="5" t="n">
        <v>157</v>
      </c>
      <c r="J11467" s="5" t="n">
        <v>6</v>
      </c>
      <c r="K11467" s="10">
        <f>IF(F11467&gt;0,H11467/F11467,"")</f>
        <v/>
      </c>
      <c r="L11467" s="16">
        <f>IF(AND(G11467&gt;0,H11467&gt;0),G11467/H11467,"")</f>
        <v/>
      </c>
    </row>
    <row r="11468">
      <c r="A11468" s="4" t="inlineStr">
        <is>
          <t>641</t>
        </is>
      </c>
      <c r="B11468" s="4" t="n">
        <v>6</v>
      </c>
      <c r="C11468" s="4" t="inlineStr">
        <is>
          <t>whitetail</t>
        </is>
      </c>
      <c r="D11468" s="4" t="n">
        <v>2016</v>
      </c>
      <c r="E11468" s="4" t="inlineStr"/>
      <c r="F11468" s="5" t="n"/>
      <c r="G11468" s="5" t="n"/>
      <c r="H11468" s="5" t="n">
        <v>229</v>
      </c>
      <c r="I11468" s="5" t="n">
        <v>144</v>
      </c>
      <c r="J11468" s="5" t="n">
        <v>85</v>
      </c>
      <c r="K11468" s="10">
        <f>IF(F11468&gt;0,H11468/F11468,"")</f>
        <v/>
      </c>
      <c r="L11468" s="16">
        <f>IF(AND(G11468&gt;0,H11468&gt;0),G11468/H11468,"")</f>
        <v/>
      </c>
    </row>
    <row r="11469">
      <c r="A11469" s="4" t="inlineStr">
        <is>
          <t>641</t>
        </is>
      </c>
      <c r="B11469" s="4" t="n">
        <v>6</v>
      </c>
      <c r="C11469" s="4" t="inlineStr">
        <is>
          <t>whitetail</t>
        </is>
      </c>
      <c r="D11469" s="4" t="n">
        <v>2017</v>
      </c>
      <c r="E11469" s="4" t="inlineStr"/>
      <c r="F11469" s="5" t="n">
        <v>413</v>
      </c>
      <c r="G11469" s="5" t="n">
        <v>2754</v>
      </c>
      <c r="H11469" s="5" t="n">
        <v>157</v>
      </c>
      <c r="I11469" s="5" t="n">
        <v>109</v>
      </c>
      <c r="J11469" s="5" t="n">
        <v>48</v>
      </c>
      <c r="K11469" s="10">
        <f>IF(F11469&gt;0,H11469/F11469,"")</f>
        <v/>
      </c>
      <c r="L11469" s="16">
        <f>IF(AND(G11469&gt;0,H11469&gt;0),G11469/H11469,"")</f>
        <v/>
      </c>
    </row>
    <row r="11470">
      <c r="A11470" s="4" t="inlineStr">
        <is>
          <t>641</t>
        </is>
      </c>
      <c r="B11470" s="4" t="n">
        <v>6</v>
      </c>
      <c r="C11470" s="4" t="inlineStr">
        <is>
          <t>whitetail</t>
        </is>
      </c>
      <c r="D11470" s="4" t="n">
        <v>2018</v>
      </c>
      <c r="E11470" s="4" t="inlineStr"/>
      <c r="F11470" s="5" t="n"/>
      <c r="G11470" s="5" t="n"/>
      <c r="H11470" s="5" t="n">
        <v>157</v>
      </c>
      <c r="I11470" s="5" t="n">
        <v>105</v>
      </c>
      <c r="J11470" s="5" t="n">
        <v>52</v>
      </c>
      <c r="K11470" s="10">
        <f>IF(F11470&gt;0,H11470/F11470,"")</f>
        <v/>
      </c>
      <c r="L11470" s="16">
        <f>IF(AND(G11470&gt;0,H11470&gt;0),G11470/H11470,"")</f>
        <v/>
      </c>
    </row>
    <row r="11471">
      <c r="A11471" s="4" t="inlineStr">
        <is>
          <t>641</t>
        </is>
      </c>
      <c r="B11471" s="4" t="n">
        <v>6</v>
      </c>
      <c r="C11471" s="4" t="inlineStr">
        <is>
          <t>whitetail</t>
        </is>
      </c>
      <c r="D11471" s="4" t="n">
        <v>2019</v>
      </c>
      <c r="E11471" s="4" t="inlineStr"/>
      <c r="F11471" s="5" t="n">
        <v>451</v>
      </c>
      <c r="G11471" s="5" t="n">
        <v>2313</v>
      </c>
      <c r="H11471" s="5" t="n">
        <v>152</v>
      </c>
      <c r="I11471" s="5" t="n">
        <v>88</v>
      </c>
      <c r="J11471" s="5" t="n">
        <v>64</v>
      </c>
      <c r="K11471" s="10">
        <f>IF(F11471&gt;0,H11471/F11471,"")</f>
        <v/>
      </c>
      <c r="L11471" s="16">
        <f>IF(AND(G11471&gt;0,H11471&gt;0),G11471/H11471,"")</f>
        <v/>
      </c>
    </row>
    <row r="11472">
      <c r="A11472" s="4" t="inlineStr">
        <is>
          <t>650</t>
        </is>
      </c>
      <c r="B11472" s="4" t="n">
        <v>6</v>
      </c>
      <c r="C11472" s="4" t="inlineStr">
        <is>
          <t>whitetail</t>
        </is>
      </c>
      <c r="D11472" s="4" t="n">
        <v>2004</v>
      </c>
      <c r="E11472" s="13" t="inlineStr">
        <is>
          <t>General</t>
        </is>
      </c>
      <c r="F11472" s="5" t="n">
        <v>1158</v>
      </c>
      <c r="G11472" s="5" t="n">
        <v>5425</v>
      </c>
      <c r="H11472" s="5" t="n">
        <v>227</v>
      </c>
      <c r="I11472" s="5" t="n">
        <v>101</v>
      </c>
      <c r="J11472" s="5" t="n">
        <v>122</v>
      </c>
      <c r="K11472" s="10">
        <f>IF(F11472&gt;0,H11472/F11472,"")</f>
        <v/>
      </c>
      <c r="L11472" s="16">
        <f>IF(AND(G11472&gt;0,H11472&gt;0),G11472/H11472,"")</f>
        <v/>
      </c>
    </row>
    <row r="11473">
      <c r="A11473" s="4" t="inlineStr">
        <is>
          <t>650</t>
        </is>
      </c>
      <c r="B11473" s="4" t="n">
        <v>6</v>
      </c>
      <c r="C11473" s="4" t="inlineStr">
        <is>
          <t>whitetail</t>
        </is>
      </c>
      <c r="D11473" s="4" t="n">
        <v>2005</v>
      </c>
      <c r="E11473" s="13" t="inlineStr">
        <is>
          <t>General</t>
        </is>
      </c>
      <c r="F11473" s="5" t="n">
        <v>993</v>
      </c>
      <c r="G11473" s="5" t="n">
        <v>4111</v>
      </c>
      <c r="H11473" s="5" t="n">
        <v>312</v>
      </c>
      <c r="I11473" s="5" t="n">
        <v>172</v>
      </c>
      <c r="J11473" s="5" t="n">
        <v>132</v>
      </c>
      <c r="K11473" s="10">
        <f>IF(F11473&gt;0,H11473/F11473,"")</f>
        <v/>
      </c>
      <c r="L11473" s="16">
        <f>IF(AND(G11473&gt;0,H11473&gt;0),G11473/H11473,"")</f>
        <v/>
      </c>
    </row>
    <row r="11474">
      <c r="A11474" s="4" t="inlineStr">
        <is>
          <t>650</t>
        </is>
      </c>
      <c r="B11474" s="4" t="n">
        <v>6</v>
      </c>
      <c r="C11474" s="4" t="inlineStr">
        <is>
          <t>whitetail</t>
        </is>
      </c>
      <c r="D11474" s="4" t="n">
        <v>2006</v>
      </c>
      <c r="E11474" s="13" t="inlineStr">
        <is>
          <t>General</t>
        </is>
      </c>
      <c r="F11474" s="5" t="n">
        <v>938</v>
      </c>
      <c r="G11474" s="5" t="n">
        <v>4298</v>
      </c>
      <c r="H11474" s="5" t="n">
        <v>428</v>
      </c>
      <c r="I11474" s="5" t="n">
        <v>174</v>
      </c>
      <c r="J11474" s="5" t="n">
        <v>240</v>
      </c>
      <c r="K11474" s="10">
        <f>IF(F11474&gt;0,H11474/F11474,"")</f>
        <v/>
      </c>
      <c r="L11474" s="16">
        <f>IF(AND(G11474&gt;0,H11474&gt;0),G11474/H11474,"")</f>
        <v/>
      </c>
    </row>
    <row r="11475">
      <c r="A11475" s="4" t="inlineStr">
        <is>
          <t>650</t>
        </is>
      </c>
      <c r="B11475" s="4" t="n">
        <v>6</v>
      </c>
      <c r="C11475" s="4" t="inlineStr">
        <is>
          <t>whitetail</t>
        </is>
      </c>
      <c r="D11475" s="4" t="n">
        <v>2007</v>
      </c>
      <c r="E11475" s="13" t="inlineStr">
        <is>
          <t>General</t>
        </is>
      </c>
      <c r="F11475" s="5" t="n">
        <v>1158</v>
      </c>
      <c r="G11475" s="5" t="n">
        <v>5202</v>
      </c>
      <c r="H11475" s="5" t="n">
        <v>408</v>
      </c>
      <c r="I11475" s="5" t="n">
        <v>212</v>
      </c>
      <c r="J11475" s="5" t="n">
        <v>180</v>
      </c>
      <c r="K11475" s="10">
        <f>IF(F11475&gt;0,H11475/F11475,"")</f>
        <v/>
      </c>
      <c r="L11475" s="16">
        <f>IF(AND(G11475&gt;0,H11475&gt;0),G11475/H11475,"")</f>
        <v/>
      </c>
    </row>
    <row r="11476">
      <c r="A11476" s="4" t="inlineStr">
        <is>
          <t>650</t>
        </is>
      </c>
      <c r="B11476" s="4" t="n">
        <v>6</v>
      </c>
      <c r="C11476" s="4" t="inlineStr">
        <is>
          <t>whitetail</t>
        </is>
      </c>
      <c r="D11476" s="4" t="n">
        <v>2008</v>
      </c>
      <c r="E11476" s="13" t="inlineStr">
        <is>
          <t>General</t>
        </is>
      </c>
      <c r="F11476" s="5" t="n">
        <v>1169</v>
      </c>
      <c r="G11476" s="5" t="n">
        <v>5183</v>
      </c>
      <c r="H11476" s="5" t="n">
        <v>345</v>
      </c>
      <c r="I11476" s="5" t="n">
        <v>165</v>
      </c>
      <c r="J11476" s="5" t="n">
        <v>177</v>
      </c>
      <c r="K11476" s="10">
        <f>IF(F11476&gt;0,H11476/F11476,"")</f>
        <v/>
      </c>
      <c r="L11476" s="16">
        <f>IF(AND(G11476&gt;0,H11476&gt;0),G11476/H11476,"")</f>
        <v/>
      </c>
    </row>
    <row r="11477">
      <c r="A11477" s="4" t="inlineStr">
        <is>
          <t>650</t>
        </is>
      </c>
      <c r="B11477" s="4" t="n">
        <v>6</v>
      </c>
      <c r="C11477" s="4" t="inlineStr">
        <is>
          <t>whitetail</t>
        </is>
      </c>
      <c r="D11477" s="4" t="n">
        <v>2009</v>
      </c>
      <c r="E11477" s="13" t="inlineStr">
        <is>
          <t>General</t>
        </is>
      </c>
      <c r="F11477" s="5" t="n">
        <v>1159</v>
      </c>
      <c r="G11477" s="5" t="n">
        <v>5929</v>
      </c>
      <c r="H11477" s="5" t="n">
        <v>312</v>
      </c>
      <c r="I11477" s="5" t="n">
        <v>151</v>
      </c>
      <c r="J11477" s="5" t="n">
        <v>158</v>
      </c>
      <c r="K11477" s="10">
        <f>IF(F11477&gt;0,H11477/F11477,"")</f>
        <v/>
      </c>
      <c r="L11477" s="16">
        <f>IF(AND(G11477&gt;0,H11477&gt;0),G11477/H11477,"")</f>
        <v/>
      </c>
    </row>
    <row r="11478">
      <c r="A11478" s="4" t="inlineStr">
        <is>
          <t>650</t>
        </is>
      </c>
      <c r="B11478" s="4" t="n">
        <v>6</v>
      </c>
      <c r="C11478" s="4" t="inlineStr">
        <is>
          <t>whitetail</t>
        </is>
      </c>
      <c r="D11478" s="4" t="n">
        <v>2010</v>
      </c>
      <c r="E11478" s="13" t="inlineStr">
        <is>
          <t>General</t>
        </is>
      </c>
      <c r="F11478" s="5" t="n">
        <v>1312</v>
      </c>
      <c r="G11478" s="5" t="n">
        <v>6127</v>
      </c>
      <c r="H11478" s="5" t="n">
        <v>329</v>
      </c>
      <c r="I11478" s="5" t="n">
        <v>160</v>
      </c>
      <c r="J11478" s="5" t="n">
        <v>166</v>
      </c>
      <c r="K11478" s="10">
        <f>IF(F11478&gt;0,H11478/F11478,"")</f>
        <v/>
      </c>
      <c r="L11478" s="16">
        <f>IF(AND(G11478&gt;0,H11478&gt;0),G11478/H11478,"")</f>
        <v/>
      </c>
    </row>
    <row r="11479">
      <c r="A11479" s="4" t="inlineStr">
        <is>
          <t>650</t>
        </is>
      </c>
      <c r="B11479" s="4" t="n">
        <v>6</v>
      </c>
      <c r="C11479" s="4" t="inlineStr">
        <is>
          <t>whitetail</t>
        </is>
      </c>
      <c r="D11479" s="4" t="n">
        <v>2011</v>
      </c>
      <c r="E11479" s="13" t="inlineStr">
        <is>
          <t>General</t>
        </is>
      </c>
      <c r="F11479" s="5" t="n">
        <v>915</v>
      </c>
      <c r="G11479" s="5" t="n">
        <v>4204</v>
      </c>
      <c r="H11479" s="5" t="n">
        <v>101</v>
      </c>
      <c r="I11479" s="5" t="n">
        <v>39</v>
      </c>
      <c r="J11479" s="5" t="n">
        <v>59</v>
      </c>
      <c r="K11479" s="10">
        <f>IF(F11479&gt;0,H11479/F11479,"")</f>
        <v/>
      </c>
      <c r="L11479" s="16">
        <f>IF(AND(G11479&gt;0,H11479&gt;0),G11479/H11479,"")</f>
        <v/>
      </c>
    </row>
    <row r="11480">
      <c r="A11480" s="4" t="inlineStr">
        <is>
          <t>650</t>
        </is>
      </c>
      <c r="B11480" s="4" t="n">
        <v>6</v>
      </c>
      <c r="C11480" s="4" t="inlineStr">
        <is>
          <t>whitetail</t>
        </is>
      </c>
      <c r="D11480" s="4" t="n">
        <v>2012</v>
      </c>
      <c r="E11480" s="13" t="inlineStr">
        <is>
          <t>General</t>
        </is>
      </c>
      <c r="F11480" s="5" t="n"/>
      <c r="G11480" s="5" t="n"/>
      <c r="H11480" s="5" t="n">
        <v>155</v>
      </c>
      <c r="I11480" s="5" t="n">
        <v>70</v>
      </c>
      <c r="J11480" s="5" t="n">
        <v>82</v>
      </c>
      <c r="K11480" s="10">
        <f>IF(F11480&gt;0,H11480/F11480,"")</f>
        <v/>
      </c>
      <c r="L11480" s="16">
        <f>IF(AND(G11480&gt;0,H11480&gt;0),G11480/H11480,"")</f>
        <v/>
      </c>
    </row>
    <row r="11481">
      <c r="A11481" s="4" t="inlineStr">
        <is>
          <t>650</t>
        </is>
      </c>
      <c r="B11481" s="4" t="n">
        <v>6</v>
      </c>
      <c r="C11481" s="4" t="inlineStr">
        <is>
          <t>whitetail</t>
        </is>
      </c>
      <c r="D11481" s="4" t="n">
        <v>2013</v>
      </c>
      <c r="E11481" s="13" t="inlineStr">
        <is>
          <t>General</t>
        </is>
      </c>
      <c r="F11481" s="5" t="n">
        <v>977</v>
      </c>
      <c r="G11481" s="5" t="n">
        <v>4379</v>
      </c>
      <c r="H11481" s="5" t="n">
        <v>104</v>
      </c>
      <c r="I11481" s="5" t="n">
        <v>69</v>
      </c>
      <c r="J11481" s="5" t="n">
        <v>32</v>
      </c>
      <c r="K11481" s="10">
        <f>IF(F11481&gt;0,H11481/F11481,"")</f>
        <v/>
      </c>
      <c r="L11481" s="16">
        <f>IF(AND(G11481&gt;0,H11481&gt;0),G11481/H11481,"")</f>
        <v/>
      </c>
    </row>
    <row r="11482">
      <c r="A11482" s="4" t="inlineStr">
        <is>
          <t>650</t>
        </is>
      </c>
      <c r="B11482" s="4" t="n">
        <v>6</v>
      </c>
      <c r="C11482" s="4" t="inlineStr">
        <is>
          <t>whitetail</t>
        </is>
      </c>
      <c r="D11482" s="4" t="n">
        <v>2014</v>
      </c>
      <c r="E11482" s="13" t="inlineStr">
        <is>
          <t>General</t>
        </is>
      </c>
      <c r="F11482" s="5" t="n"/>
      <c r="G11482" s="5" t="n"/>
      <c r="H11482" s="5" t="n">
        <v>158</v>
      </c>
      <c r="I11482" s="5" t="n">
        <v>144</v>
      </c>
      <c r="J11482" s="5" t="n">
        <v>14</v>
      </c>
      <c r="K11482" s="10">
        <f>IF(F11482&gt;0,H11482/F11482,"")</f>
        <v/>
      </c>
      <c r="L11482" s="16">
        <f>IF(AND(G11482&gt;0,H11482&gt;0),G11482/H11482,"")</f>
        <v/>
      </c>
    </row>
    <row r="11483">
      <c r="A11483" s="4" t="inlineStr">
        <is>
          <t>650</t>
        </is>
      </c>
      <c r="B11483" s="4" t="n">
        <v>6</v>
      </c>
      <c r="C11483" s="4" t="inlineStr">
        <is>
          <t>whitetail</t>
        </is>
      </c>
      <c r="D11483" s="4" t="n">
        <v>2015</v>
      </c>
      <c r="E11483" s="13" t="inlineStr">
        <is>
          <t>General</t>
        </is>
      </c>
      <c r="F11483" s="5" t="n"/>
      <c r="G11483" s="5" t="n"/>
      <c r="H11483" s="5" t="n">
        <v>158</v>
      </c>
      <c r="I11483" s="5" t="n">
        <v>141</v>
      </c>
      <c r="J11483" s="5" t="n">
        <v>17</v>
      </c>
      <c r="K11483" s="10">
        <f>IF(F11483&gt;0,H11483/F11483,"")</f>
        <v/>
      </c>
      <c r="L11483" s="16">
        <f>IF(AND(G11483&gt;0,H11483&gt;0),G11483/H11483,"")</f>
        <v/>
      </c>
    </row>
    <row r="11484">
      <c r="A11484" s="4" t="inlineStr">
        <is>
          <t>650</t>
        </is>
      </c>
      <c r="B11484" s="4" t="n">
        <v>6</v>
      </c>
      <c r="C11484" s="4" t="inlineStr">
        <is>
          <t>whitetail</t>
        </is>
      </c>
      <c r="D11484" s="4" t="n">
        <v>2016</v>
      </c>
      <c r="E11484" s="13" t="inlineStr">
        <is>
          <t>General</t>
        </is>
      </c>
      <c r="F11484" s="5" t="n"/>
      <c r="G11484" s="5" t="n"/>
      <c r="H11484" s="5" t="n">
        <v>287</v>
      </c>
      <c r="I11484" s="5" t="n">
        <v>192</v>
      </c>
      <c r="J11484" s="5" t="n">
        <v>96</v>
      </c>
      <c r="K11484" s="10">
        <f>IF(F11484&gt;0,H11484/F11484,"")</f>
        <v/>
      </c>
      <c r="L11484" s="16">
        <f>IF(AND(G11484&gt;0,H11484&gt;0),G11484/H11484,"")</f>
        <v/>
      </c>
    </row>
    <row r="11485">
      <c r="A11485" s="4" t="inlineStr">
        <is>
          <t>650</t>
        </is>
      </c>
      <c r="B11485" s="4" t="n">
        <v>6</v>
      </c>
      <c r="C11485" s="4" t="inlineStr">
        <is>
          <t>whitetail</t>
        </is>
      </c>
      <c r="D11485" s="4" t="n">
        <v>2017</v>
      </c>
      <c r="E11485" s="13" t="inlineStr">
        <is>
          <t>General</t>
        </is>
      </c>
      <c r="F11485" s="5" t="n">
        <v>1056</v>
      </c>
      <c r="G11485" s="5" t="n">
        <v>4907</v>
      </c>
      <c r="H11485" s="5" t="n">
        <v>212</v>
      </c>
      <c r="I11485" s="5" t="n">
        <v>127</v>
      </c>
      <c r="J11485" s="5" t="n">
        <v>82</v>
      </c>
      <c r="K11485" s="10">
        <f>IF(F11485&gt;0,H11485/F11485,"")</f>
        <v/>
      </c>
      <c r="L11485" s="16">
        <f>IF(AND(G11485&gt;0,H11485&gt;0),G11485/H11485,"")</f>
        <v/>
      </c>
    </row>
    <row r="11486">
      <c r="A11486" s="4" t="inlineStr">
        <is>
          <t>650</t>
        </is>
      </c>
      <c r="B11486" s="4" t="n">
        <v>6</v>
      </c>
      <c r="C11486" s="4" t="inlineStr">
        <is>
          <t>whitetail</t>
        </is>
      </c>
      <c r="D11486" s="4" t="n">
        <v>2018</v>
      </c>
      <c r="E11486" s="13" t="inlineStr">
        <is>
          <t>General</t>
        </is>
      </c>
      <c r="F11486" s="5" t="n"/>
      <c r="G11486" s="5" t="n"/>
      <c r="H11486" s="5" t="n">
        <v>209</v>
      </c>
      <c r="I11486" s="5" t="n">
        <v>130</v>
      </c>
      <c r="J11486" s="5" t="n">
        <v>79</v>
      </c>
      <c r="K11486" s="10">
        <f>IF(F11486&gt;0,H11486/F11486,"")</f>
        <v/>
      </c>
      <c r="L11486" s="16">
        <f>IF(AND(G11486&gt;0,H11486&gt;0),G11486/H11486,"")</f>
        <v/>
      </c>
    </row>
    <row r="11487">
      <c r="A11487" s="4" t="inlineStr">
        <is>
          <t>650</t>
        </is>
      </c>
      <c r="B11487" s="4" t="n">
        <v>6</v>
      </c>
      <c r="C11487" s="4" t="inlineStr">
        <is>
          <t>whitetail</t>
        </is>
      </c>
      <c r="D11487" s="4" t="n">
        <v>2019</v>
      </c>
      <c r="E11487" s="13" t="inlineStr">
        <is>
          <t>General</t>
        </is>
      </c>
      <c r="F11487" s="5" t="n">
        <v>1195</v>
      </c>
      <c r="G11487" s="5" t="n">
        <v>5682</v>
      </c>
      <c r="H11487" s="5" t="n">
        <v>236</v>
      </c>
      <c r="I11487" s="5" t="n">
        <v>125</v>
      </c>
      <c r="J11487" s="5" t="n">
        <v>108</v>
      </c>
      <c r="K11487" s="10">
        <f>IF(F11487&gt;0,H11487/F11487,"")</f>
        <v/>
      </c>
      <c r="L11487" s="16">
        <f>IF(AND(G11487&gt;0,H11487&gt;0),G11487/H11487,"")</f>
        <v/>
      </c>
    </row>
    <row r="11488">
      <c r="A11488" s="4" t="inlineStr">
        <is>
          <t>650</t>
        </is>
      </c>
      <c r="B11488" s="4" t="n">
        <v>6</v>
      </c>
      <c r="C11488" s="4" t="inlineStr">
        <is>
          <t>whitetail</t>
        </is>
      </c>
      <c r="D11488" s="4" t="n">
        <v>2020</v>
      </c>
      <c r="E11488" s="13" t="inlineStr">
        <is>
          <t>General</t>
        </is>
      </c>
      <c r="F11488" s="5" t="n"/>
      <c r="G11488" s="5" t="n"/>
      <c r="H11488" s="5" t="n">
        <v>572</v>
      </c>
      <c r="I11488" s="5" t="n">
        <v>317</v>
      </c>
      <c r="J11488" s="5" t="n">
        <v>251</v>
      </c>
      <c r="K11488" s="10">
        <f>IF(F11488&gt;0,H11488/F11488,"")</f>
        <v/>
      </c>
      <c r="L11488" s="16">
        <f>IF(AND(G11488&gt;0,H11488&gt;0),G11488/H11488,"")</f>
        <v/>
      </c>
    </row>
    <row r="11489">
      <c r="A11489" s="4" t="inlineStr">
        <is>
          <t>650</t>
        </is>
      </c>
      <c r="B11489" s="4" t="n">
        <v>6</v>
      </c>
      <c r="C11489" s="4" t="inlineStr">
        <is>
          <t>whitetail</t>
        </is>
      </c>
      <c r="D11489" s="4" t="n">
        <v>2021</v>
      </c>
      <c r="E11489" s="13" t="inlineStr">
        <is>
          <t>General</t>
        </is>
      </c>
      <c r="F11489" s="5" t="n">
        <v>2635</v>
      </c>
      <c r="G11489" s="5" t="n">
        <v>14152</v>
      </c>
      <c r="H11489" s="5" t="n">
        <v>388</v>
      </c>
      <c r="I11489" s="5" t="n">
        <v>190</v>
      </c>
      <c r="J11489" s="5" t="n">
        <v>198</v>
      </c>
      <c r="K11489" s="10">
        <f>IF(F11489&gt;0,H11489/F11489,"")</f>
        <v/>
      </c>
      <c r="L11489" s="16">
        <f>IF(AND(G11489&gt;0,H11489&gt;0),G11489/H11489,"")</f>
        <v/>
      </c>
    </row>
    <row r="11490">
      <c r="A11490" s="4" t="inlineStr">
        <is>
          <t>650</t>
        </is>
      </c>
      <c r="B11490" s="4" t="n">
        <v>6</v>
      </c>
      <c r="C11490" s="4" t="inlineStr">
        <is>
          <t>whitetail</t>
        </is>
      </c>
      <c r="D11490" s="4" t="n">
        <v>2022</v>
      </c>
      <c r="E11490" s="13" t="inlineStr">
        <is>
          <t>General</t>
        </is>
      </c>
      <c r="F11490" s="5" t="n"/>
      <c r="G11490" s="5" t="n"/>
      <c r="H11490" s="5" t="n">
        <v>415</v>
      </c>
      <c r="I11490" s="5" t="n">
        <v>202</v>
      </c>
      <c r="J11490" s="5" t="n">
        <v>209</v>
      </c>
      <c r="K11490" s="10">
        <f>IF(F11490&gt;0,H11490/F11490,"")</f>
        <v/>
      </c>
      <c r="L11490" s="16">
        <f>IF(AND(G11490&gt;0,H11490&gt;0),G11490/H11490,"")</f>
        <v/>
      </c>
    </row>
    <row r="11491">
      <c r="A11491" s="4" t="inlineStr">
        <is>
          <t>650</t>
        </is>
      </c>
      <c r="B11491" s="4" t="n">
        <v>6</v>
      </c>
      <c r="C11491" s="4" t="inlineStr">
        <is>
          <t>whitetail</t>
        </is>
      </c>
      <c r="D11491" s="4" t="n">
        <v>2023</v>
      </c>
      <c r="E11491" s="13" t="inlineStr">
        <is>
          <t>General</t>
        </is>
      </c>
      <c r="F11491" s="5" t="n">
        <v>2538</v>
      </c>
      <c r="G11491" s="5" t="n">
        <v>13513</v>
      </c>
      <c r="H11491" s="5" t="n">
        <v>375</v>
      </c>
      <c r="I11491" s="5" t="n">
        <v>241</v>
      </c>
      <c r="J11491" s="5" t="n">
        <v>134</v>
      </c>
      <c r="K11491" s="10">
        <f>IF(F11491&gt;0,H11491/F11491,"")</f>
        <v/>
      </c>
      <c r="L11491" s="16">
        <f>IF(AND(G11491&gt;0,H11491&gt;0),G11491/H11491,"")</f>
        <v/>
      </c>
    </row>
    <row r="11492">
      <c r="A11492" s="4" t="inlineStr">
        <is>
          <t>650</t>
        </is>
      </c>
      <c r="B11492" s="4" t="n">
        <v>6</v>
      </c>
      <c r="C11492" s="4" t="inlineStr">
        <is>
          <t>whitetail</t>
        </is>
      </c>
      <c r="D11492" s="4" t="n">
        <v>2024</v>
      </c>
      <c r="E11492" s="13" t="inlineStr">
        <is>
          <t>General</t>
        </is>
      </c>
      <c r="F11492" s="5" t="n"/>
      <c r="G11492" s="5" t="n"/>
      <c r="H11492" s="5" t="n">
        <v>293</v>
      </c>
      <c r="I11492" s="5" t="n">
        <v>206</v>
      </c>
      <c r="J11492" s="5" t="n">
        <v>87</v>
      </c>
      <c r="K11492" s="10">
        <f>IF(F11492&gt;0,H11492/F11492,"")</f>
        <v/>
      </c>
      <c r="L11492" s="16">
        <f>IF(AND(G11492&gt;0,H11492&gt;0),G11492/H11492,"")</f>
        <v/>
      </c>
    </row>
    <row r="11493">
      <c r="A11493" s="4" t="inlineStr">
        <is>
          <t>650</t>
        </is>
      </c>
      <c r="B11493" s="4" t="n">
        <v>6</v>
      </c>
      <c r="C11493" s="4" t="inlineStr">
        <is>
          <t>whitetail</t>
        </is>
      </c>
      <c r="D11493" s="4" t="n">
        <v>2025</v>
      </c>
      <c r="E11493" s="13" t="inlineStr">
        <is>
          <t>General</t>
        </is>
      </c>
      <c r="F11493" s="5" t="n">
        <v>2010</v>
      </c>
      <c r="G11493" s="5" t="n">
        <v>12283</v>
      </c>
      <c r="H11493" s="5" t="n">
        <v>182</v>
      </c>
      <c r="I11493" s="5" t="n">
        <v>128</v>
      </c>
      <c r="J11493" s="5" t="n">
        <v>50</v>
      </c>
      <c r="K11493" s="10">
        <f>IF(F11493&gt;0,H11493/F11493,"")</f>
        <v/>
      </c>
      <c r="L11493" s="16">
        <f>IF(AND(G11493&gt;0,H11493&gt;0),G11493/H11493,"")</f>
        <v/>
      </c>
    </row>
    <row r="11494">
      <c r="A11494" s="4" t="inlineStr">
        <is>
          <t>651</t>
        </is>
      </c>
      <c r="B11494" s="4" t="n">
        <v>6</v>
      </c>
      <c r="C11494" s="4" t="inlineStr">
        <is>
          <t>whitetail</t>
        </is>
      </c>
      <c r="D11494" s="4" t="n">
        <v>2004</v>
      </c>
      <c r="E11494" s="4" t="inlineStr"/>
      <c r="F11494" s="5" t="n">
        <v>1612</v>
      </c>
      <c r="G11494" s="5" t="n">
        <v>8332</v>
      </c>
      <c r="H11494" s="5" t="n">
        <v>652</v>
      </c>
      <c r="I11494" s="5" t="n">
        <v>385</v>
      </c>
      <c r="J11494" s="5" t="n">
        <v>245</v>
      </c>
      <c r="K11494" s="10">
        <f>IF(F11494&gt;0,H11494/F11494,"")</f>
        <v/>
      </c>
      <c r="L11494" s="16">
        <f>IF(AND(G11494&gt;0,H11494&gt;0),G11494/H11494,"")</f>
        <v/>
      </c>
    </row>
    <row r="11495">
      <c r="A11495" s="4" t="inlineStr">
        <is>
          <t>651</t>
        </is>
      </c>
      <c r="B11495" s="4" t="n">
        <v>6</v>
      </c>
      <c r="C11495" s="4" t="inlineStr">
        <is>
          <t>whitetail</t>
        </is>
      </c>
      <c r="D11495" s="4" t="n">
        <v>2005</v>
      </c>
      <c r="E11495" s="4" t="inlineStr"/>
      <c r="F11495" s="5" t="n">
        <v>1413</v>
      </c>
      <c r="G11495" s="5" t="n">
        <v>7337</v>
      </c>
      <c r="H11495" s="5" t="n">
        <v>565</v>
      </c>
      <c r="I11495" s="5" t="n">
        <v>319</v>
      </c>
      <c r="J11495" s="5" t="n">
        <v>242</v>
      </c>
      <c r="K11495" s="10">
        <f>IF(F11495&gt;0,H11495/F11495,"")</f>
        <v/>
      </c>
      <c r="L11495" s="16">
        <f>IF(AND(G11495&gt;0,H11495&gt;0),G11495/H11495,"")</f>
        <v/>
      </c>
    </row>
    <row r="11496">
      <c r="A11496" s="4" t="inlineStr">
        <is>
          <t>651</t>
        </is>
      </c>
      <c r="B11496" s="4" t="n">
        <v>6</v>
      </c>
      <c r="C11496" s="4" t="inlineStr">
        <is>
          <t>whitetail</t>
        </is>
      </c>
      <c r="D11496" s="4" t="n">
        <v>2006</v>
      </c>
      <c r="E11496" s="4" t="inlineStr"/>
      <c r="F11496" s="5" t="n">
        <v>1364</v>
      </c>
      <c r="G11496" s="5" t="n">
        <v>7103</v>
      </c>
      <c r="H11496" s="5" t="n">
        <v>541</v>
      </c>
      <c r="I11496" s="5" t="n">
        <v>312</v>
      </c>
      <c r="J11496" s="5" t="n">
        <v>218</v>
      </c>
      <c r="K11496" s="10">
        <f>IF(F11496&gt;0,H11496/F11496,"")</f>
        <v/>
      </c>
      <c r="L11496" s="16">
        <f>IF(AND(G11496&gt;0,H11496&gt;0),G11496/H11496,"")</f>
        <v/>
      </c>
    </row>
    <row r="11497">
      <c r="A11497" s="4" t="inlineStr">
        <is>
          <t>651</t>
        </is>
      </c>
      <c r="B11497" s="4" t="n">
        <v>6</v>
      </c>
      <c r="C11497" s="4" t="inlineStr">
        <is>
          <t>whitetail</t>
        </is>
      </c>
      <c r="D11497" s="4" t="n">
        <v>2007</v>
      </c>
      <c r="E11497" s="4" t="inlineStr"/>
      <c r="F11497" s="5" t="n">
        <v>1475</v>
      </c>
      <c r="G11497" s="5" t="n">
        <v>7199</v>
      </c>
      <c r="H11497" s="5" t="n">
        <v>514</v>
      </c>
      <c r="I11497" s="5" t="n">
        <v>307</v>
      </c>
      <c r="J11497" s="5" t="n">
        <v>206</v>
      </c>
      <c r="K11497" s="10">
        <f>IF(F11497&gt;0,H11497/F11497,"")</f>
        <v/>
      </c>
      <c r="L11497" s="16">
        <f>IF(AND(G11497&gt;0,H11497&gt;0),G11497/H11497,"")</f>
        <v/>
      </c>
    </row>
    <row r="11498">
      <c r="A11498" s="4" t="inlineStr">
        <is>
          <t>651</t>
        </is>
      </c>
      <c r="B11498" s="4" t="n">
        <v>6</v>
      </c>
      <c r="C11498" s="4" t="inlineStr">
        <is>
          <t>whitetail</t>
        </is>
      </c>
      <c r="D11498" s="4" t="n">
        <v>2008</v>
      </c>
      <c r="E11498" s="4" t="inlineStr"/>
      <c r="F11498" s="5" t="n">
        <v>1606</v>
      </c>
      <c r="G11498" s="5" t="n">
        <v>8027</v>
      </c>
      <c r="H11498" s="5" t="n">
        <v>683</v>
      </c>
      <c r="I11498" s="5" t="n">
        <v>370</v>
      </c>
      <c r="J11498" s="5" t="n">
        <v>310</v>
      </c>
      <c r="K11498" s="10">
        <f>IF(F11498&gt;0,H11498/F11498,"")</f>
        <v/>
      </c>
      <c r="L11498" s="16">
        <f>IF(AND(G11498&gt;0,H11498&gt;0),G11498/H11498,"")</f>
        <v/>
      </c>
    </row>
    <row r="11499">
      <c r="A11499" s="4" t="inlineStr">
        <is>
          <t>651</t>
        </is>
      </c>
      <c r="B11499" s="4" t="n">
        <v>6</v>
      </c>
      <c r="C11499" s="4" t="inlineStr">
        <is>
          <t>whitetail</t>
        </is>
      </c>
      <c r="D11499" s="4" t="n">
        <v>2009</v>
      </c>
      <c r="E11499" s="4" t="inlineStr"/>
      <c r="F11499" s="5" t="n">
        <v>1545</v>
      </c>
      <c r="G11499" s="5" t="n">
        <v>7745</v>
      </c>
      <c r="H11499" s="5" t="n">
        <v>428</v>
      </c>
      <c r="I11499" s="5" t="n">
        <v>216</v>
      </c>
      <c r="J11499" s="5" t="n">
        <v>210</v>
      </c>
      <c r="K11499" s="10">
        <f>IF(F11499&gt;0,H11499/F11499,"")</f>
        <v/>
      </c>
      <c r="L11499" s="16">
        <f>IF(AND(G11499&gt;0,H11499&gt;0),G11499/H11499,"")</f>
        <v/>
      </c>
    </row>
    <row r="11500">
      <c r="A11500" s="4" t="inlineStr">
        <is>
          <t>651</t>
        </is>
      </c>
      <c r="B11500" s="4" t="n">
        <v>6</v>
      </c>
      <c r="C11500" s="4" t="inlineStr">
        <is>
          <t>whitetail</t>
        </is>
      </c>
      <c r="D11500" s="4" t="n">
        <v>2010</v>
      </c>
      <c r="E11500" s="4" t="inlineStr"/>
      <c r="F11500" s="5" t="n">
        <v>1674</v>
      </c>
      <c r="G11500" s="5" t="n">
        <v>8282</v>
      </c>
      <c r="H11500" s="5" t="n">
        <v>459</v>
      </c>
      <c r="I11500" s="5" t="n">
        <v>244</v>
      </c>
      <c r="J11500" s="5" t="n">
        <v>207</v>
      </c>
      <c r="K11500" s="10">
        <f>IF(F11500&gt;0,H11500/F11500,"")</f>
        <v/>
      </c>
      <c r="L11500" s="16">
        <f>IF(AND(G11500&gt;0,H11500&gt;0),G11500/H11500,"")</f>
        <v/>
      </c>
    </row>
    <row r="11501">
      <c r="A11501" s="4" t="inlineStr">
        <is>
          <t>651</t>
        </is>
      </c>
      <c r="B11501" s="4" t="n">
        <v>6</v>
      </c>
      <c r="C11501" s="4" t="inlineStr">
        <is>
          <t>whitetail</t>
        </is>
      </c>
      <c r="D11501" s="4" t="n">
        <v>2011</v>
      </c>
      <c r="E11501" s="4" t="inlineStr"/>
      <c r="F11501" s="5" t="n">
        <v>1447</v>
      </c>
      <c r="G11501" s="5" t="n">
        <v>6587</v>
      </c>
      <c r="H11501" s="5" t="n">
        <v>250</v>
      </c>
      <c r="I11501" s="5" t="n">
        <v>108</v>
      </c>
      <c r="J11501" s="5" t="n">
        <v>136</v>
      </c>
      <c r="K11501" s="10">
        <f>IF(F11501&gt;0,H11501/F11501,"")</f>
        <v/>
      </c>
      <c r="L11501" s="16">
        <f>IF(AND(G11501&gt;0,H11501&gt;0),G11501/H11501,"")</f>
        <v/>
      </c>
    </row>
    <row r="11502">
      <c r="A11502" s="4" t="inlineStr">
        <is>
          <t>651</t>
        </is>
      </c>
      <c r="B11502" s="4" t="n">
        <v>6</v>
      </c>
      <c r="C11502" s="4" t="inlineStr">
        <is>
          <t>whitetail</t>
        </is>
      </c>
      <c r="D11502" s="4" t="n">
        <v>2012</v>
      </c>
      <c r="E11502" s="4" t="inlineStr"/>
      <c r="F11502" s="5" t="n"/>
      <c r="G11502" s="5" t="n"/>
      <c r="H11502" s="5" t="n">
        <v>357</v>
      </c>
      <c r="I11502" s="5" t="n">
        <v>205</v>
      </c>
      <c r="J11502" s="5" t="n">
        <v>144</v>
      </c>
      <c r="K11502" s="10">
        <f>IF(F11502&gt;0,H11502/F11502,"")</f>
        <v/>
      </c>
      <c r="L11502" s="16">
        <f>IF(AND(G11502&gt;0,H11502&gt;0),G11502/H11502,"")</f>
        <v/>
      </c>
    </row>
    <row r="11503">
      <c r="A11503" s="4" t="inlineStr">
        <is>
          <t>651</t>
        </is>
      </c>
      <c r="B11503" s="4" t="n">
        <v>6</v>
      </c>
      <c r="C11503" s="4" t="inlineStr">
        <is>
          <t>whitetail</t>
        </is>
      </c>
      <c r="D11503" s="4" t="n">
        <v>2013</v>
      </c>
      <c r="E11503" s="4" t="inlineStr"/>
      <c r="F11503" s="5" t="n">
        <v>1512</v>
      </c>
      <c r="G11503" s="5" t="n">
        <v>7845</v>
      </c>
      <c r="H11503" s="5" t="n">
        <v>237</v>
      </c>
      <c r="I11503" s="5" t="n">
        <v>176</v>
      </c>
      <c r="J11503" s="5" t="n">
        <v>59</v>
      </c>
      <c r="K11503" s="10">
        <f>IF(F11503&gt;0,H11503/F11503,"")</f>
        <v/>
      </c>
      <c r="L11503" s="16">
        <f>IF(AND(G11503&gt;0,H11503&gt;0),G11503/H11503,"")</f>
        <v/>
      </c>
    </row>
    <row r="11504">
      <c r="A11504" s="4" t="inlineStr">
        <is>
          <t>651</t>
        </is>
      </c>
      <c r="B11504" s="4" t="n">
        <v>6</v>
      </c>
      <c r="C11504" s="4" t="inlineStr">
        <is>
          <t>whitetail</t>
        </is>
      </c>
      <c r="D11504" s="4" t="n">
        <v>2014</v>
      </c>
      <c r="E11504" s="4" t="inlineStr"/>
      <c r="F11504" s="5" t="n"/>
      <c r="G11504" s="5" t="n"/>
      <c r="H11504" s="5" t="n">
        <v>203</v>
      </c>
      <c r="I11504" s="5" t="n">
        <v>181</v>
      </c>
      <c r="J11504" s="5" t="n">
        <v>23</v>
      </c>
      <c r="K11504" s="10">
        <f>IF(F11504&gt;0,H11504/F11504,"")</f>
        <v/>
      </c>
      <c r="L11504" s="16">
        <f>IF(AND(G11504&gt;0,H11504&gt;0),G11504/H11504,"")</f>
        <v/>
      </c>
    </row>
    <row r="11505">
      <c r="A11505" s="4" t="inlineStr">
        <is>
          <t>651</t>
        </is>
      </c>
      <c r="B11505" s="4" t="n">
        <v>6</v>
      </c>
      <c r="C11505" s="4" t="inlineStr">
        <is>
          <t>whitetail</t>
        </is>
      </c>
      <c r="D11505" s="4" t="n">
        <v>2015</v>
      </c>
      <c r="E11505" s="4" t="inlineStr"/>
      <c r="F11505" s="5" t="n"/>
      <c r="G11505" s="5" t="n"/>
      <c r="H11505" s="5" t="n">
        <v>202</v>
      </c>
      <c r="I11505" s="5" t="n">
        <v>182</v>
      </c>
      <c r="J11505" s="5" t="n">
        <v>20</v>
      </c>
      <c r="K11505" s="10">
        <f>IF(F11505&gt;0,H11505/F11505,"")</f>
        <v/>
      </c>
      <c r="L11505" s="16">
        <f>IF(AND(G11505&gt;0,H11505&gt;0),G11505/H11505,"")</f>
        <v/>
      </c>
    </row>
    <row r="11506">
      <c r="A11506" s="4" t="inlineStr">
        <is>
          <t>651</t>
        </is>
      </c>
      <c r="B11506" s="4" t="n">
        <v>6</v>
      </c>
      <c r="C11506" s="4" t="inlineStr">
        <is>
          <t>whitetail</t>
        </is>
      </c>
      <c r="D11506" s="4" t="n">
        <v>2016</v>
      </c>
      <c r="E11506" s="4" t="inlineStr"/>
      <c r="F11506" s="5" t="n"/>
      <c r="G11506" s="5" t="n"/>
      <c r="H11506" s="5" t="n">
        <v>339</v>
      </c>
      <c r="I11506" s="5" t="n">
        <v>243</v>
      </c>
      <c r="J11506" s="5" t="n">
        <v>96</v>
      </c>
      <c r="K11506" s="10">
        <f>IF(F11506&gt;0,H11506/F11506,"")</f>
        <v/>
      </c>
      <c r="L11506" s="16">
        <f>IF(AND(G11506&gt;0,H11506&gt;0),G11506/H11506,"")</f>
        <v/>
      </c>
    </row>
    <row r="11507">
      <c r="A11507" s="4" t="inlineStr">
        <is>
          <t>651</t>
        </is>
      </c>
      <c r="B11507" s="4" t="n">
        <v>6</v>
      </c>
      <c r="C11507" s="4" t="inlineStr">
        <is>
          <t>whitetail</t>
        </is>
      </c>
      <c r="D11507" s="4" t="n">
        <v>2017</v>
      </c>
      <c r="E11507" s="4" t="inlineStr"/>
      <c r="F11507" s="5" t="n">
        <v>1357</v>
      </c>
      <c r="G11507" s="5" t="n">
        <v>6385</v>
      </c>
      <c r="H11507" s="5" t="n">
        <v>309</v>
      </c>
      <c r="I11507" s="5" t="n">
        <v>179</v>
      </c>
      <c r="J11507" s="5" t="n">
        <v>130</v>
      </c>
      <c r="K11507" s="10">
        <f>IF(F11507&gt;0,H11507/F11507,"")</f>
        <v/>
      </c>
      <c r="L11507" s="16">
        <f>IF(AND(G11507&gt;0,H11507&gt;0),G11507/H11507,"")</f>
        <v/>
      </c>
    </row>
    <row r="11508">
      <c r="A11508" s="4" t="inlineStr">
        <is>
          <t>651</t>
        </is>
      </c>
      <c r="B11508" s="4" t="n">
        <v>6</v>
      </c>
      <c r="C11508" s="4" t="inlineStr">
        <is>
          <t>whitetail</t>
        </is>
      </c>
      <c r="D11508" s="4" t="n">
        <v>2018</v>
      </c>
      <c r="E11508" s="4" t="inlineStr"/>
      <c r="F11508" s="5" t="n"/>
      <c r="G11508" s="5" t="n"/>
      <c r="H11508" s="5" t="n">
        <v>209</v>
      </c>
      <c r="I11508" s="5" t="n">
        <v>129</v>
      </c>
      <c r="J11508" s="5" t="n">
        <v>80</v>
      </c>
      <c r="K11508" s="10">
        <f>IF(F11508&gt;0,H11508/F11508,"")</f>
        <v/>
      </c>
      <c r="L11508" s="16">
        <f>IF(AND(G11508&gt;0,H11508&gt;0),G11508/H11508,"")</f>
        <v/>
      </c>
    </row>
    <row r="11509">
      <c r="A11509" s="4" t="inlineStr">
        <is>
          <t>651</t>
        </is>
      </c>
      <c r="B11509" s="4" t="n">
        <v>6</v>
      </c>
      <c r="C11509" s="4" t="inlineStr">
        <is>
          <t>whitetail</t>
        </is>
      </c>
      <c r="D11509" s="4" t="n">
        <v>2019</v>
      </c>
      <c r="E11509" s="4" t="inlineStr"/>
      <c r="F11509" s="5" t="n">
        <v>1361</v>
      </c>
      <c r="G11509" s="5" t="n">
        <v>6698</v>
      </c>
      <c r="H11509" s="5" t="n">
        <v>195</v>
      </c>
      <c r="I11509" s="5" t="n">
        <v>128</v>
      </c>
      <c r="J11509" s="5" t="n">
        <v>67</v>
      </c>
      <c r="K11509" s="10">
        <f>IF(F11509&gt;0,H11509/F11509,"")</f>
        <v/>
      </c>
      <c r="L11509" s="16">
        <f>IF(AND(G11509&gt;0,H11509&gt;0),G11509/H11509,"")</f>
        <v/>
      </c>
    </row>
    <row r="11510">
      <c r="A11510" s="4" t="inlineStr">
        <is>
          <t>652</t>
        </is>
      </c>
      <c r="B11510" s="4" t="n">
        <v>6</v>
      </c>
      <c r="C11510" s="4" t="inlineStr">
        <is>
          <t>whitetail</t>
        </is>
      </c>
      <c r="D11510" s="4" t="n">
        <v>2004</v>
      </c>
      <c r="E11510" s="13" t="inlineStr">
        <is>
          <t>General</t>
        </is>
      </c>
      <c r="F11510" s="5" t="n">
        <v>202</v>
      </c>
      <c r="G11510" s="5" t="n">
        <v>927</v>
      </c>
      <c r="H11510" s="5" t="n">
        <v>13</v>
      </c>
      <c r="I11510" s="5" t="n">
        <v>6</v>
      </c>
      <c r="J11510" s="5" t="n">
        <v>7</v>
      </c>
      <c r="K11510" s="10">
        <f>IF(F11510&gt;0,H11510/F11510,"")</f>
        <v/>
      </c>
      <c r="L11510" s="16">
        <f>IF(AND(G11510&gt;0,H11510&gt;0),G11510/H11510,"")</f>
        <v/>
      </c>
    </row>
    <row r="11511">
      <c r="A11511" s="4" t="inlineStr">
        <is>
          <t>652</t>
        </is>
      </c>
      <c r="B11511" s="4" t="n">
        <v>6</v>
      </c>
      <c r="C11511" s="4" t="inlineStr">
        <is>
          <t>whitetail</t>
        </is>
      </c>
      <c r="D11511" s="4" t="n">
        <v>2005</v>
      </c>
      <c r="E11511" s="13" t="inlineStr">
        <is>
          <t>General</t>
        </is>
      </c>
      <c r="F11511" s="5" t="n">
        <v>139</v>
      </c>
      <c r="G11511" s="5" t="n">
        <v>658</v>
      </c>
      <c r="H11511" s="5" t="n">
        <v>14</v>
      </c>
      <c r="I11511" s="5" t="n">
        <v>8</v>
      </c>
      <c r="J11511" s="5" t="n">
        <v>6</v>
      </c>
      <c r="K11511" s="10">
        <f>IF(F11511&gt;0,H11511/F11511,"")</f>
        <v/>
      </c>
      <c r="L11511" s="16">
        <f>IF(AND(G11511&gt;0,H11511&gt;0),G11511/H11511,"")</f>
        <v/>
      </c>
    </row>
    <row r="11512">
      <c r="A11512" s="4" t="inlineStr">
        <is>
          <t>652</t>
        </is>
      </c>
      <c r="B11512" s="4" t="n">
        <v>6</v>
      </c>
      <c r="C11512" s="4" t="inlineStr">
        <is>
          <t>whitetail</t>
        </is>
      </c>
      <c r="D11512" s="4" t="n">
        <v>2006</v>
      </c>
      <c r="E11512" s="13" t="inlineStr">
        <is>
          <t>General</t>
        </is>
      </c>
      <c r="F11512" s="5" t="n">
        <v>108</v>
      </c>
      <c r="G11512" s="5" t="n">
        <v>447</v>
      </c>
      <c r="H11512" s="5" t="n">
        <v>9</v>
      </c>
      <c r="I11512" s="5" t="n">
        <v>6</v>
      </c>
      <c r="J11512" s="5" t="n">
        <v>4</v>
      </c>
      <c r="K11512" s="10">
        <f>IF(F11512&gt;0,H11512/F11512,"")</f>
        <v/>
      </c>
      <c r="L11512" s="16">
        <f>IF(AND(G11512&gt;0,H11512&gt;0),G11512/H11512,"")</f>
        <v/>
      </c>
    </row>
    <row r="11513">
      <c r="A11513" s="4" t="inlineStr">
        <is>
          <t>652</t>
        </is>
      </c>
      <c r="B11513" s="4" t="n">
        <v>6</v>
      </c>
      <c r="C11513" s="4" t="inlineStr">
        <is>
          <t>whitetail</t>
        </is>
      </c>
      <c r="D11513" s="4" t="n">
        <v>2007</v>
      </c>
      <c r="E11513" s="13" t="inlineStr">
        <is>
          <t>General</t>
        </is>
      </c>
      <c r="F11513" s="5" t="n">
        <v>137</v>
      </c>
      <c r="G11513" s="5" t="n">
        <v>587</v>
      </c>
      <c r="H11513" s="5" t="n">
        <v>11</v>
      </c>
      <c r="I11513" s="5" t="n">
        <v>6</v>
      </c>
      <c r="J11513" s="5" t="n">
        <v>5</v>
      </c>
      <c r="K11513" s="10">
        <f>IF(F11513&gt;0,H11513/F11513,"")</f>
        <v/>
      </c>
      <c r="L11513" s="16">
        <f>IF(AND(G11513&gt;0,H11513&gt;0),G11513/H11513,"")</f>
        <v/>
      </c>
    </row>
    <row r="11514">
      <c r="A11514" s="4" t="inlineStr">
        <is>
          <t>652</t>
        </is>
      </c>
      <c r="B11514" s="4" t="n">
        <v>6</v>
      </c>
      <c r="C11514" s="4" t="inlineStr">
        <is>
          <t>whitetail</t>
        </is>
      </c>
      <c r="D11514" s="4" t="n">
        <v>2008</v>
      </c>
      <c r="E11514" s="13" t="inlineStr">
        <is>
          <t>General</t>
        </is>
      </c>
      <c r="F11514" s="5" t="n">
        <v>159</v>
      </c>
      <c r="G11514" s="5" t="n">
        <v>779</v>
      </c>
      <c r="H11514" s="5" t="n">
        <v>18</v>
      </c>
      <c r="I11514" s="5" t="n">
        <v>11</v>
      </c>
      <c r="J11514" s="5" t="n">
        <v>8</v>
      </c>
      <c r="K11514" s="10">
        <f>IF(F11514&gt;0,H11514/F11514,"")</f>
        <v/>
      </c>
      <c r="L11514" s="16">
        <f>IF(AND(G11514&gt;0,H11514&gt;0),G11514/H11514,"")</f>
        <v/>
      </c>
    </row>
    <row r="11515">
      <c r="A11515" s="4" t="inlineStr">
        <is>
          <t>652</t>
        </is>
      </c>
      <c r="B11515" s="4" t="n">
        <v>6</v>
      </c>
      <c r="C11515" s="4" t="inlineStr">
        <is>
          <t>whitetail</t>
        </is>
      </c>
      <c r="D11515" s="4" t="n">
        <v>2009</v>
      </c>
      <c r="E11515" s="13" t="inlineStr">
        <is>
          <t>General</t>
        </is>
      </c>
      <c r="F11515" s="5" t="n">
        <v>130</v>
      </c>
      <c r="G11515" s="5" t="n">
        <v>731</v>
      </c>
      <c r="H11515" s="5" t="n">
        <v>9</v>
      </c>
      <c r="I11515" s="5" t="n">
        <v>0</v>
      </c>
      <c r="J11515" s="5" t="n">
        <v>9</v>
      </c>
      <c r="K11515" s="10">
        <f>IF(F11515&gt;0,H11515/F11515,"")</f>
        <v/>
      </c>
      <c r="L11515" s="16">
        <f>IF(AND(G11515&gt;0,H11515&gt;0),G11515/H11515,"")</f>
        <v/>
      </c>
    </row>
    <row r="11516">
      <c r="A11516" s="4" t="inlineStr">
        <is>
          <t>652</t>
        </is>
      </c>
      <c r="B11516" s="4" t="n">
        <v>6</v>
      </c>
      <c r="C11516" s="4" t="inlineStr">
        <is>
          <t>whitetail</t>
        </is>
      </c>
      <c r="D11516" s="4" t="n">
        <v>2010</v>
      </c>
      <c r="E11516" s="13" t="inlineStr">
        <is>
          <t>General</t>
        </is>
      </c>
      <c r="F11516" s="5" t="n">
        <v>225</v>
      </c>
      <c r="G11516" s="5" t="n">
        <v>927</v>
      </c>
      <c r="H11516" s="5" t="n">
        <v>23</v>
      </c>
      <c r="I11516" s="5" t="n">
        <v>4</v>
      </c>
      <c r="J11516" s="5" t="n">
        <v>19</v>
      </c>
      <c r="K11516" s="10">
        <f>IF(F11516&gt;0,H11516/F11516,"")</f>
        <v/>
      </c>
      <c r="L11516" s="16">
        <f>IF(AND(G11516&gt;0,H11516&gt;0),G11516/H11516,"")</f>
        <v/>
      </c>
    </row>
    <row r="11517">
      <c r="A11517" s="4" t="inlineStr">
        <is>
          <t>652</t>
        </is>
      </c>
      <c r="B11517" s="4" t="n">
        <v>6</v>
      </c>
      <c r="C11517" s="4" t="inlineStr">
        <is>
          <t>whitetail</t>
        </is>
      </c>
      <c r="D11517" s="4" t="n">
        <v>2011</v>
      </c>
      <c r="E11517" s="13" t="inlineStr">
        <is>
          <t>General</t>
        </is>
      </c>
      <c r="F11517" s="5" t="n">
        <v>80</v>
      </c>
      <c r="G11517" s="5" t="n">
        <v>486</v>
      </c>
      <c r="H11517" s="5" t="n">
        <v>6</v>
      </c>
      <c r="I11517" s="5" t="n">
        <v>3</v>
      </c>
      <c r="J11517" s="5" t="n">
        <v>3</v>
      </c>
      <c r="K11517" s="10">
        <f>IF(F11517&gt;0,H11517/F11517,"")</f>
        <v/>
      </c>
      <c r="L11517" s="16">
        <f>IF(AND(G11517&gt;0,H11517&gt;0),G11517/H11517,"")</f>
        <v/>
      </c>
    </row>
    <row r="11518">
      <c r="A11518" s="4" t="inlineStr">
        <is>
          <t>652</t>
        </is>
      </c>
      <c r="B11518" s="4" t="n">
        <v>6</v>
      </c>
      <c r="C11518" s="4" t="inlineStr">
        <is>
          <t>whitetail</t>
        </is>
      </c>
      <c r="D11518" s="4" t="n">
        <v>2012</v>
      </c>
      <c r="E11518" s="13" t="inlineStr">
        <is>
          <t>General</t>
        </is>
      </c>
      <c r="F11518" s="5" t="n"/>
      <c r="G11518" s="5" t="n"/>
      <c r="H11518" s="5" t="n">
        <v>9</v>
      </c>
      <c r="I11518" s="5" t="n">
        <v>3</v>
      </c>
      <c r="J11518" s="5" t="n">
        <v>6</v>
      </c>
      <c r="K11518" s="10">
        <f>IF(F11518&gt;0,H11518/F11518,"")</f>
        <v/>
      </c>
      <c r="L11518" s="16">
        <f>IF(AND(G11518&gt;0,H11518&gt;0),G11518/H11518,"")</f>
        <v/>
      </c>
    </row>
    <row r="11519">
      <c r="A11519" s="4" t="inlineStr">
        <is>
          <t>652</t>
        </is>
      </c>
      <c r="B11519" s="4" t="n">
        <v>6</v>
      </c>
      <c r="C11519" s="4" t="inlineStr">
        <is>
          <t>whitetail</t>
        </is>
      </c>
      <c r="D11519" s="4" t="n">
        <v>2013</v>
      </c>
      <c r="E11519" s="13" t="inlineStr">
        <is>
          <t>General</t>
        </is>
      </c>
      <c r="F11519" s="5" t="n">
        <v>45</v>
      </c>
      <c r="G11519" s="5" t="n">
        <v>206</v>
      </c>
      <c r="H11519" s="5" t="n">
        <v>3</v>
      </c>
      <c r="I11519" s="5" t="n">
        <v>3</v>
      </c>
      <c r="J11519" s="5" t="n">
        <v>0</v>
      </c>
      <c r="K11519" s="10">
        <f>IF(F11519&gt;0,H11519/F11519,"")</f>
        <v/>
      </c>
      <c r="L11519" s="16">
        <f>IF(AND(G11519&gt;0,H11519&gt;0),G11519/H11519,"")</f>
        <v/>
      </c>
    </row>
    <row r="11520">
      <c r="A11520" s="4" t="inlineStr">
        <is>
          <t>652</t>
        </is>
      </c>
      <c r="B11520" s="4" t="n">
        <v>6</v>
      </c>
      <c r="C11520" s="4" t="inlineStr">
        <is>
          <t>whitetail</t>
        </is>
      </c>
      <c r="D11520" s="4" t="n">
        <v>2014</v>
      </c>
      <c r="E11520" s="13" t="inlineStr">
        <is>
          <t>General</t>
        </is>
      </c>
      <c r="F11520" s="5" t="n"/>
      <c r="G11520" s="5" t="n"/>
      <c r="H11520" s="5" t="n">
        <v>9</v>
      </c>
      <c r="I11520" s="5" t="n">
        <v>6</v>
      </c>
      <c r="J11520" s="5" t="n">
        <v>0</v>
      </c>
      <c r="K11520" s="10">
        <f>IF(F11520&gt;0,H11520/F11520,"")</f>
        <v/>
      </c>
      <c r="L11520" s="16">
        <f>IF(AND(G11520&gt;0,H11520&gt;0),G11520/H11520,"")</f>
        <v/>
      </c>
    </row>
    <row r="11521">
      <c r="A11521" s="4" t="inlineStr">
        <is>
          <t>652</t>
        </is>
      </c>
      <c r="B11521" s="4" t="n">
        <v>6</v>
      </c>
      <c r="C11521" s="4" t="inlineStr">
        <is>
          <t>whitetail</t>
        </is>
      </c>
      <c r="D11521" s="4" t="n">
        <v>2015</v>
      </c>
      <c r="E11521" s="13" t="inlineStr">
        <is>
          <t>General</t>
        </is>
      </c>
      <c r="F11521" s="5" t="n"/>
      <c r="G11521" s="5" t="n"/>
      <c r="H11521" s="5" t="n">
        <v>6</v>
      </c>
      <c r="I11521" s="5" t="n">
        <v>6</v>
      </c>
      <c r="J11521" s="5" t="n">
        <v>0</v>
      </c>
      <c r="K11521" s="10">
        <f>IF(F11521&gt;0,H11521/F11521,"")</f>
        <v/>
      </c>
      <c r="L11521" s="16">
        <f>IF(AND(G11521&gt;0,H11521&gt;0),G11521/H11521,"")</f>
        <v/>
      </c>
    </row>
    <row r="11522">
      <c r="A11522" s="4" t="inlineStr">
        <is>
          <t>652</t>
        </is>
      </c>
      <c r="B11522" s="4" t="n">
        <v>6</v>
      </c>
      <c r="C11522" s="4" t="inlineStr">
        <is>
          <t>whitetail</t>
        </is>
      </c>
      <c r="D11522" s="4" t="n">
        <v>2016</v>
      </c>
      <c r="E11522" s="13" t="inlineStr">
        <is>
          <t>General</t>
        </is>
      </c>
      <c r="F11522" s="5" t="n"/>
      <c r="G11522" s="5" t="n"/>
      <c r="H11522" s="5" t="n">
        <v>12</v>
      </c>
      <c r="I11522" s="5" t="n">
        <v>6</v>
      </c>
      <c r="J11522" s="5" t="n">
        <v>6</v>
      </c>
      <c r="K11522" s="10">
        <f>IF(F11522&gt;0,H11522/F11522,"")</f>
        <v/>
      </c>
      <c r="L11522" s="16">
        <f>IF(AND(G11522&gt;0,H11522&gt;0),G11522/H11522,"")</f>
        <v/>
      </c>
    </row>
    <row r="11523">
      <c r="A11523" s="4" t="inlineStr">
        <is>
          <t>652</t>
        </is>
      </c>
      <c r="B11523" s="4" t="n">
        <v>6</v>
      </c>
      <c r="C11523" s="4" t="inlineStr">
        <is>
          <t>whitetail</t>
        </is>
      </c>
      <c r="D11523" s="4" t="n">
        <v>2017</v>
      </c>
      <c r="E11523" s="13" t="inlineStr">
        <is>
          <t>General</t>
        </is>
      </c>
      <c r="F11523" s="5" t="n">
        <v>78</v>
      </c>
      <c r="G11523" s="5" t="n">
        <v>464</v>
      </c>
      <c r="H11523" s="5" t="n">
        <v>12</v>
      </c>
      <c r="I11523" s="5" t="n">
        <v>6</v>
      </c>
      <c r="J11523" s="5" t="n">
        <v>6</v>
      </c>
      <c r="K11523" s="10">
        <f>IF(F11523&gt;0,H11523/F11523,"")</f>
        <v/>
      </c>
      <c r="L11523" s="16">
        <f>IF(AND(G11523&gt;0,H11523&gt;0),G11523/H11523,"")</f>
        <v/>
      </c>
    </row>
    <row r="11524">
      <c r="A11524" s="4" t="inlineStr">
        <is>
          <t>652</t>
        </is>
      </c>
      <c r="B11524" s="4" t="n">
        <v>6</v>
      </c>
      <c r="C11524" s="4" t="inlineStr">
        <is>
          <t>whitetail</t>
        </is>
      </c>
      <c r="D11524" s="4" t="n">
        <v>2018</v>
      </c>
      <c r="E11524" s="13" t="inlineStr">
        <is>
          <t>General</t>
        </is>
      </c>
      <c r="F11524" s="5" t="n"/>
      <c r="G11524" s="5" t="n"/>
      <c r="H11524" s="5" t="n">
        <v>10</v>
      </c>
      <c r="I11524" s="5" t="n">
        <v>0</v>
      </c>
      <c r="J11524" s="5" t="n">
        <v>10</v>
      </c>
      <c r="K11524" s="10">
        <f>IF(F11524&gt;0,H11524/F11524,"")</f>
        <v/>
      </c>
      <c r="L11524" s="16">
        <f>IF(AND(G11524&gt;0,H11524&gt;0),G11524/H11524,"")</f>
        <v/>
      </c>
    </row>
    <row r="11525">
      <c r="A11525" s="4" t="inlineStr">
        <is>
          <t>652</t>
        </is>
      </c>
      <c r="B11525" s="4" t="n">
        <v>6</v>
      </c>
      <c r="C11525" s="4" t="inlineStr">
        <is>
          <t>whitetail</t>
        </is>
      </c>
      <c r="D11525" s="4" t="n">
        <v>2019</v>
      </c>
      <c r="E11525" s="13" t="inlineStr">
        <is>
          <t>General</t>
        </is>
      </c>
      <c r="F11525" s="5" t="n">
        <v>106</v>
      </c>
      <c r="G11525" s="5" t="n">
        <v>479</v>
      </c>
      <c r="H11525" s="5" t="n">
        <v>10</v>
      </c>
      <c r="I11525" s="5" t="n">
        <v>10</v>
      </c>
      <c r="J11525" s="5" t="n">
        <v>0</v>
      </c>
      <c r="K11525" s="10">
        <f>IF(F11525&gt;0,H11525/F11525,"")</f>
        <v/>
      </c>
      <c r="L11525" s="16">
        <f>IF(AND(G11525&gt;0,H11525&gt;0),G11525/H11525,"")</f>
        <v/>
      </c>
    </row>
    <row r="11526">
      <c r="A11526" s="4" t="inlineStr">
        <is>
          <t>652</t>
        </is>
      </c>
      <c r="B11526" s="4" t="n">
        <v>6</v>
      </c>
      <c r="C11526" s="4" t="inlineStr">
        <is>
          <t>whitetail</t>
        </is>
      </c>
      <c r="D11526" s="4" t="n">
        <v>2020</v>
      </c>
      <c r="E11526" s="13" t="inlineStr">
        <is>
          <t>General</t>
        </is>
      </c>
      <c r="F11526" s="5" t="n"/>
      <c r="G11526" s="5" t="n"/>
      <c r="H11526" s="5" t="n">
        <v>64</v>
      </c>
      <c r="I11526" s="5" t="n">
        <v>15</v>
      </c>
      <c r="J11526" s="5" t="n">
        <v>49</v>
      </c>
      <c r="K11526" s="10">
        <f>IF(F11526&gt;0,H11526/F11526,"")</f>
        <v/>
      </c>
      <c r="L11526" s="16">
        <f>IF(AND(G11526&gt;0,H11526&gt;0),G11526/H11526,"")</f>
        <v/>
      </c>
    </row>
    <row r="11527">
      <c r="A11527" s="4" t="inlineStr">
        <is>
          <t>652</t>
        </is>
      </c>
      <c r="B11527" s="4" t="n">
        <v>6</v>
      </c>
      <c r="C11527" s="4" t="inlineStr">
        <is>
          <t>whitetail</t>
        </is>
      </c>
      <c r="D11527" s="4" t="n">
        <v>2021</v>
      </c>
      <c r="E11527" s="13" t="inlineStr">
        <is>
          <t>General</t>
        </is>
      </c>
      <c r="F11527" s="5" t="n">
        <v>169</v>
      </c>
      <c r="G11527" s="5" t="n">
        <v>1200</v>
      </c>
      <c r="H11527" s="5" t="n">
        <v>4</v>
      </c>
      <c r="I11527" s="5" t="n">
        <v>0</v>
      </c>
      <c r="J11527" s="5" t="n">
        <v>4</v>
      </c>
      <c r="K11527" s="10">
        <f>IF(F11527&gt;0,H11527/F11527,"")</f>
        <v/>
      </c>
      <c r="L11527" s="16">
        <f>IF(AND(G11527&gt;0,H11527&gt;0),G11527/H11527,"")</f>
        <v/>
      </c>
    </row>
    <row r="11528">
      <c r="A11528" s="4" t="inlineStr">
        <is>
          <t>652</t>
        </is>
      </c>
      <c r="B11528" s="4" t="n">
        <v>6</v>
      </c>
      <c r="C11528" s="4" t="inlineStr">
        <is>
          <t>whitetail</t>
        </is>
      </c>
      <c r="D11528" s="4" t="n">
        <v>2022</v>
      </c>
      <c r="E11528" s="13" t="inlineStr">
        <is>
          <t>General</t>
        </is>
      </c>
      <c r="F11528" s="5" t="n"/>
      <c r="G11528" s="5" t="n"/>
      <c r="H11528" s="5" t="n">
        <v>27</v>
      </c>
      <c r="I11528" s="5" t="n">
        <v>9</v>
      </c>
      <c r="J11528" s="5" t="n">
        <v>18</v>
      </c>
      <c r="K11528" s="10">
        <f>IF(F11528&gt;0,H11528/F11528,"")</f>
        <v/>
      </c>
      <c r="L11528" s="16">
        <f>IF(AND(G11528&gt;0,H11528&gt;0),G11528/H11528,"")</f>
        <v/>
      </c>
    </row>
    <row r="11529">
      <c r="A11529" s="4" t="inlineStr">
        <is>
          <t>652</t>
        </is>
      </c>
      <c r="B11529" s="4" t="n">
        <v>6</v>
      </c>
      <c r="C11529" s="4" t="inlineStr">
        <is>
          <t>whitetail</t>
        </is>
      </c>
      <c r="D11529" s="4" t="n">
        <v>2023</v>
      </c>
      <c r="E11529" s="13" t="inlineStr">
        <is>
          <t>General</t>
        </is>
      </c>
      <c r="F11529" s="5" t="n">
        <v>173</v>
      </c>
      <c r="G11529" s="5" t="n">
        <v>978</v>
      </c>
      <c r="H11529" s="5" t="n">
        <v>19</v>
      </c>
      <c r="I11529" s="5" t="n">
        <v>3</v>
      </c>
      <c r="J11529" s="5" t="n">
        <v>16</v>
      </c>
      <c r="K11529" s="10">
        <f>IF(F11529&gt;0,H11529/F11529,"")</f>
        <v/>
      </c>
      <c r="L11529" s="16">
        <f>IF(AND(G11529&gt;0,H11529&gt;0),G11529/H11529,"")</f>
        <v/>
      </c>
    </row>
    <row r="11530">
      <c r="A11530" s="4" t="inlineStr">
        <is>
          <t>652</t>
        </is>
      </c>
      <c r="B11530" s="4" t="n">
        <v>6</v>
      </c>
      <c r="C11530" s="4" t="inlineStr">
        <is>
          <t>whitetail</t>
        </is>
      </c>
      <c r="D11530" s="4" t="n">
        <v>2024</v>
      </c>
      <c r="E11530" s="13" t="inlineStr">
        <is>
          <t>General</t>
        </is>
      </c>
      <c r="F11530" s="5" t="n"/>
      <c r="G11530" s="5" t="n"/>
      <c r="H11530" s="5" t="n">
        <v>20</v>
      </c>
      <c r="I11530" s="5" t="n">
        <v>14</v>
      </c>
      <c r="J11530" s="5" t="n">
        <v>6</v>
      </c>
      <c r="K11530" s="10">
        <f>IF(F11530&gt;0,H11530/F11530,"")</f>
        <v/>
      </c>
      <c r="L11530" s="16">
        <f>IF(AND(G11530&gt;0,H11530&gt;0),G11530/H11530,"")</f>
        <v/>
      </c>
    </row>
    <row r="11531">
      <c r="A11531" s="4" t="inlineStr">
        <is>
          <t>652</t>
        </is>
      </c>
      <c r="B11531" s="4" t="n">
        <v>6</v>
      </c>
      <c r="C11531" s="4" t="inlineStr">
        <is>
          <t>whitetail</t>
        </is>
      </c>
      <c r="D11531" s="4" t="n">
        <v>2025</v>
      </c>
      <c r="E11531" s="13" t="inlineStr">
        <is>
          <t>General</t>
        </is>
      </c>
      <c r="F11531" s="5" t="n">
        <v>123</v>
      </c>
      <c r="G11531" s="5" t="n">
        <v>734</v>
      </c>
      <c r="H11531" s="5" t="n">
        <v>8</v>
      </c>
      <c r="I11531" s="5" t="n">
        <v>4</v>
      </c>
      <c r="J11531" s="5" t="n">
        <v>4</v>
      </c>
      <c r="K11531" s="10">
        <f>IF(F11531&gt;0,H11531/F11531,"")</f>
        <v/>
      </c>
      <c r="L11531" s="16">
        <f>IF(AND(G11531&gt;0,H11531&gt;0),G11531/H11531,"")</f>
        <v/>
      </c>
    </row>
    <row r="11532">
      <c r="A11532" s="4" t="inlineStr">
        <is>
          <t>670</t>
        </is>
      </c>
      <c r="B11532" s="4" t="n">
        <v>6</v>
      </c>
      <c r="C11532" s="4" t="inlineStr">
        <is>
          <t>whitetail</t>
        </is>
      </c>
      <c r="D11532" s="4" t="n">
        <v>2004</v>
      </c>
      <c r="E11532" s="13" t="inlineStr">
        <is>
          <t>General</t>
        </is>
      </c>
      <c r="F11532" s="5" t="n">
        <v>1363</v>
      </c>
      <c r="G11532" s="5" t="n">
        <v>5893</v>
      </c>
      <c r="H11532" s="5" t="n">
        <v>366</v>
      </c>
      <c r="I11532" s="5" t="n">
        <v>171</v>
      </c>
      <c r="J11532" s="5" t="n">
        <v>184</v>
      </c>
      <c r="K11532" s="10">
        <f>IF(F11532&gt;0,H11532/F11532,"")</f>
        <v/>
      </c>
      <c r="L11532" s="16">
        <f>IF(AND(G11532&gt;0,H11532&gt;0),G11532/H11532,"")</f>
        <v/>
      </c>
    </row>
    <row r="11533">
      <c r="A11533" s="4" t="inlineStr">
        <is>
          <t>670</t>
        </is>
      </c>
      <c r="B11533" s="4" t="n">
        <v>6</v>
      </c>
      <c r="C11533" s="4" t="inlineStr">
        <is>
          <t>whitetail</t>
        </is>
      </c>
      <c r="D11533" s="4" t="n">
        <v>2005</v>
      </c>
      <c r="E11533" s="13" t="inlineStr">
        <is>
          <t>General</t>
        </is>
      </c>
      <c r="F11533" s="5" t="n">
        <v>1154</v>
      </c>
      <c r="G11533" s="5" t="n">
        <v>5017</v>
      </c>
      <c r="H11533" s="5" t="n">
        <v>361</v>
      </c>
      <c r="I11533" s="5" t="n">
        <v>177</v>
      </c>
      <c r="J11533" s="5" t="n">
        <v>176</v>
      </c>
      <c r="K11533" s="10">
        <f>IF(F11533&gt;0,H11533/F11533,"")</f>
        <v/>
      </c>
      <c r="L11533" s="16">
        <f>IF(AND(G11533&gt;0,H11533&gt;0),G11533/H11533,"")</f>
        <v/>
      </c>
    </row>
    <row r="11534">
      <c r="A11534" s="4" t="inlineStr">
        <is>
          <t>670</t>
        </is>
      </c>
      <c r="B11534" s="4" t="n">
        <v>6</v>
      </c>
      <c r="C11534" s="4" t="inlineStr">
        <is>
          <t>whitetail</t>
        </is>
      </c>
      <c r="D11534" s="4" t="n">
        <v>2006</v>
      </c>
      <c r="E11534" s="13" t="inlineStr">
        <is>
          <t>General</t>
        </is>
      </c>
      <c r="F11534" s="5" t="n">
        <v>1199</v>
      </c>
      <c r="G11534" s="5" t="n">
        <v>5730</v>
      </c>
      <c r="H11534" s="5" t="n">
        <v>448</v>
      </c>
      <c r="I11534" s="5" t="n">
        <v>231</v>
      </c>
      <c r="J11534" s="5" t="n">
        <v>207</v>
      </c>
      <c r="K11534" s="10">
        <f>IF(F11534&gt;0,H11534/F11534,"")</f>
        <v/>
      </c>
      <c r="L11534" s="16">
        <f>IF(AND(G11534&gt;0,H11534&gt;0),G11534/H11534,"")</f>
        <v/>
      </c>
    </row>
    <row r="11535">
      <c r="A11535" s="4" t="inlineStr">
        <is>
          <t>670</t>
        </is>
      </c>
      <c r="B11535" s="4" t="n">
        <v>6</v>
      </c>
      <c r="C11535" s="4" t="inlineStr">
        <is>
          <t>whitetail</t>
        </is>
      </c>
      <c r="D11535" s="4" t="n">
        <v>2007</v>
      </c>
      <c r="E11535" s="13" t="inlineStr">
        <is>
          <t>General</t>
        </is>
      </c>
      <c r="F11535" s="5" t="n">
        <v>1640</v>
      </c>
      <c r="G11535" s="5" t="n">
        <v>7267</v>
      </c>
      <c r="H11535" s="5" t="n">
        <v>589</v>
      </c>
      <c r="I11535" s="5" t="n">
        <v>286</v>
      </c>
      <c r="J11535" s="5" t="n">
        <v>298</v>
      </c>
      <c r="K11535" s="10">
        <f>IF(F11535&gt;0,H11535/F11535,"")</f>
        <v/>
      </c>
      <c r="L11535" s="16">
        <f>IF(AND(G11535&gt;0,H11535&gt;0),G11535/H11535,"")</f>
        <v/>
      </c>
    </row>
    <row r="11536">
      <c r="A11536" s="4" t="inlineStr">
        <is>
          <t>670</t>
        </is>
      </c>
      <c r="B11536" s="4" t="n">
        <v>6</v>
      </c>
      <c r="C11536" s="4" t="inlineStr">
        <is>
          <t>whitetail</t>
        </is>
      </c>
      <c r="D11536" s="4" t="n">
        <v>2008</v>
      </c>
      <c r="E11536" s="13" t="inlineStr">
        <is>
          <t>General</t>
        </is>
      </c>
      <c r="F11536" s="5" t="n">
        <v>1920</v>
      </c>
      <c r="G11536" s="5" t="n">
        <v>8404</v>
      </c>
      <c r="H11536" s="5" t="n">
        <v>748</v>
      </c>
      <c r="I11536" s="5" t="n">
        <v>368</v>
      </c>
      <c r="J11536" s="5" t="n">
        <v>366</v>
      </c>
      <c r="K11536" s="10">
        <f>IF(F11536&gt;0,H11536/F11536,"")</f>
        <v/>
      </c>
      <c r="L11536" s="16">
        <f>IF(AND(G11536&gt;0,H11536&gt;0),G11536/H11536,"")</f>
        <v/>
      </c>
    </row>
    <row r="11537">
      <c r="A11537" s="4" t="inlineStr">
        <is>
          <t>670</t>
        </is>
      </c>
      <c r="B11537" s="4" t="n">
        <v>6</v>
      </c>
      <c r="C11537" s="4" t="inlineStr">
        <is>
          <t>whitetail</t>
        </is>
      </c>
      <c r="D11537" s="4" t="n">
        <v>2009</v>
      </c>
      <c r="E11537" s="13" t="inlineStr">
        <is>
          <t>General</t>
        </is>
      </c>
      <c r="F11537" s="5" t="n">
        <v>2172</v>
      </c>
      <c r="G11537" s="5" t="n">
        <v>10373</v>
      </c>
      <c r="H11537" s="5" t="n">
        <v>676</v>
      </c>
      <c r="I11537" s="5" t="n">
        <v>317</v>
      </c>
      <c r="J11537" s="5" t="n">
        <v>355</v>
      </c>
      <c r="K11537" s="10">
        <f>IF(F11537&gt;0,H11537/F11537,"")</f>
        <v/>
      </c>
      <c r="L11537" s="16">
        <f>IF(AND(G11537&gt;0,H11537&gt;0),G11537/H11537,"")</f>
        <v/>
      </c>
    </row>
    <row r="11538">
      <c r="A11538" s="4" t="inlineStr">
        <is>
          <t>670</t>
        </is>
      </c>
      <c r="B11538" s="4" t="n">
        <v>6</v>
      </c>
      <c r="C11538" s="4" t="inlineStr">
        <is>
          <t>whitetail</t>
        </is>
      </c>
      <c r="D11538" s="4" t="n">
        <v>2010</v>
      </c>
      <c r="E11538" s="13" t="inlineStr">
        <is>
          <t>General</t>
        </is>
      </c>
      <c r="F11538" s="5" t="n">
        <v>2530</v>
      </c>
      <c r="G11538" s="5" t="n">
        <v>12516</v>
      </c>
      <c r="H11538" s="5" t="n">
        <v>769</v>
      </c>
      <c r="I11538" s="5" t="n">
        <v>350</v>
      </c>
      <c r="J11538" s="5" t="n">
        <v>408</v>
      </c>
      <c r="K11538" s="10">
        <f>IF(F11538&gt;0,H11538/F11538,"")</f>
        <v/>
      </c>
      <c r="L11538" s="16">
        <f>IF(AND(G11538&gt;0,H11538&gt;0),G11538/H11538,"")</f>
        <v/>
      </c>
    </row>
    <row r="11539">
      <c r="A11539" s="4" t="inlineStr">
        <is>
          <t>670</t>
        </is>
      </c>
      <c r="B11539" s="4" t="n">
        <v>6</v>
      </c>
      <c r="C11539" s="4" t="inlineStr">
        <is>
          <t>whitetail</t>
        </is>
      </c>
      <c r="D11539" s="4" t="n">
        <v>2011</v>
      </c>
      <c r="E11539" s="13" t="inlineStr">
        <is>
          <t>General</t>
        </is>
      </c>
      <c r="F11539" s="5" t="n">
        <v>1573</v>
      </c>
      <c r="G11539" s="5" t="n">
        <v>6961</v>
      </c>
      <c r="H11539" s="5" t="n">
        <v>239</v>
      </c>
      <c r="I11539" s="5" t="n">
        <v>95</v>
      </c>
      <c r="J11539" s="5" t="n">
        <v>137</v>
      </c>
      <c r="K11539" s="10">
        <f>IF(F11539&gt;0,H11539/F11539,"")</f>
        <v/>
      </c>
      <c r="L11539" s="16">
        <f>IF(AND(G11539&gt;0,H11539&gt;0),G11539/H11539,"")</f>
        <v/>
      </c>
    </row>
    <row r="11540">
      <c r="A11540" s="4" t="inlineStr">
        <is>
          <t>670</t>
        </is>
      </c>
      <c r="B11540" s="4" t="n">
        <v>6</v>
      </c>
      <c r="C11540" s="4" t="inlineStr">
        <is>
          <t>whitetail</t>
        </is>
      </c>
      <c r="D11540" s="4" t="n">
        <v>2012</v>
      </c>
      <c r="E11540" s="13" t="inlineStr">
        <is>
          <t>General</t>
        </is>
      </c>
      <c r="F11540" s="5" t="n"/>
      <c r="G11540" s="5" t="n"/>
      <c r="H11540" s="5" t="n">
        <v>402</v>
      </c>
      <c r="I11540" s="5" t="n">
        <v>200</v>
      </c>
      <c r="J11540" s="5" t="n">
        <v>197</v>
      </c>
      <c r="K11540" s="10">
        <f>IF(F11540&gt;0,H11540/F11540,"")</f>
        <v/>
      </c>
      <c r="L11540" s="16">
        <f>IF(AND(G11540&gt;0,H11540&gt;0),G11540/H11540,"")</f>
        <v/>
      </c>
    </row>
    <row r="11541">
      <c r="A11541" s="4" t="inlineStr">
        <is>
          <t>670</t>
        </is>
      </c>
      <c r="B11541" s="4" t="n">
        <v>6</v>
      </c>
      <c r="C11541" s="4" t="inlineStr">
        <is>
          <t>whitetail</t>
        </is>
      </c>
      <c r="D11541" s="4" t="n">
        <v>2013</v>
      </c>
      <c r="E11541" s="13" t="inlineStr">
        <is>
          <t>General</t>
        </is>
      </c>
      <c r="F11541" s="5" t="n">
        <v>2016</v>
      </c>
      <c r="G11541" s="5" t="n">
        <v>9219</v>
      </c>
      <c r="H11541" s="5" t="n">
        <v>281</v>
      </c>
      <c r="I11541" s="5" t="n">
        <v>213</v>
      </c>
      <c r="J11541" s="5" t="n">
        <v>68</v>
      </c>
      <c r="K11541" s="10">
        <f>IF(F11541&gt;0,H11541/F11541,"")</f>
        <v/>
      </c>
      <c r="L11541" s="16">
        <f>IF(AND(G11541&gt;0,H11541&gt;0),G11541/H11541,"")</f>
        <v/>
      </c>
    </row>
    <row r="11542">
      <c r="A11542" s="4" t="inlineStr">
        <is>
          <t>670</t>
        </is>
      </c>
      <c r="B11542" s="4" t="n">
        <v>6</v>
      </c>
      <c r="C11542" s="4" t="inlineStr">
        <is>
          <t>whitetail</t>
        </is>
      </c>
      <c r="D11542" s="4" t="n">
        <v>2014</v>
      </c>
      <c r="E11542" s="13" t="inlineStr">
        <is>
          <t>General</t>
        </is>
      </c>
      <c r="F11542" s="5" t="n"/>
      <c r="G11542" s="5" t="n"/>
      <c r="H11542" s="5" t="n">
        <v>283</v>
      </c>
      <c r="I11542" s="5" t="n">
        <v>269</v>
      </c>
      <c r="J11542" s="5" t="n">
        <v>14</v>
      </c>
      <c r="K11542" s="10">
        <f>IF(F11542&gt;0,H11542/F11542,"")</f>
        <v/>
      </c>
      <c r="L11542" s="16">
        <f>IF(AND(G11542&gt;0,H11542&gt;0),G11542/H11542,"")</f>
        <v/>
      </c>
    </row>
    <row r="11543">
      <c r="A11543" s="4" t="inlineStr">
        <is>
          <t>670</t>
        </is>
      </c>
      <c r="B11543" s="4" t="n">
        <v>6</v>
      </c>
      <c r="C11543" s="4" t="inlineStr">
        <is>
          <t>whitetail</t>
        </is>
      </c>
      <c r="D11543" s="4" t="n">
        <v>2015</v>
      </c>
      <c r="E11543" s="13" t="inlineStr">
        <is>
          <t>General</t>
        </is>
      </c>
      <c r="F11543" s="5" t="n"/>
      <c r="G11543" s="5" t="n"/>
      <c r="H11543" s="5" t="n">
        <v>324</v>
      </c>
      <c r="I11543" s="5" t="n">
        <v>301</v>
      </c>
      <c r="J11543" s="5" t="n">
        <v>20</v>
      </c>
      <c r="K11543" s="10">
        <f>IF(F11543&gt;0,H11543/F11543,"")</f>
        <v/>
      </c>
      <c r="L11543" s="16">
        <f>IF(AND(G11543&gt;0,H11543&gt;0),G11543/H11543,"")</f>
        <v/>
      </c>
    </row>
    <row r="11544">
      <c r="A11544" s="4" t="inlineStr">
        <is>
          <t>670</t>
        </is>
      </c>
      <c r="B11544" s="4" t="n">
        <v>6</v>
      </c>
      <c r="C11544" s="4" t="inlineStr">
        <is>
          <t>whitetail</t>
        </is>
      </c>
      <c r="D11544" s="4" t="n">
        <v>2016</v>
      </c>
      <c r="E11544" s="13" t="inlineStr">
        <is>
          <t>General</t>
        </is>
      </c>
      <c r="F11544" s="5" t="n"/>
      <c r="G11544" s="5" t="n"/>
      <c r="H11544" s="5" t="n">
        <v>415</v>
      </c>
      <c r="I11544" s="5" t="n">
        <v>242</v>
      </c>
      <c r="J11544" s="5" t="n">
        <v>167</v>
      </c>
      <c r="K11544" s="10">
        <f>IF(F11544&gt;0,H11544/F11544,"")</f>
        <v/>
      </c>
      <c r="L11544" s="16">
        <f>IF(AND(G11544&gt;0,H11544&gt;0),G11544/H11544,"")</f>
        <v/>
      </c>
    </row>
    <row r="11545">
      <c r="A11545" s="4" t="inlineStr">
        <is>
          <t>670</t>
        </is>
      </c>
      <c r="B11545" s="4" t="n">
        <v>6</v>
      </c>
      <c r="C11545" s="4" t="inlineStr">
        <is>
          <t>whitetail</t>
        </is>
      </c>
      <c r="D11545" s="4" t="n">
        <v>2017</v>
      </c>
      <c r="E11545" s="13" t="inlineStr">
        <is>
          <t>General</t>
        </is>
      </c>
      <c r="F11545" s="5" t="n">
        <v>2162</v>
      </c>
      <c r="G11545" s="5" t="n">
        <v>11667</v>
      </c>
      <c r="H11545" s="5" t="n">
        <v>445</v>
      </c>
      <c r="I11545" s="5" t="n">
        <v>253</v>
      </c>
      <c r="J11545" s="5" t="n">
        <v>192</v>
      </c>
      <c r="K11545" s="10">
        <f>IF(F11545&gt;0,H11545/F11545,"")</f>
        <v/>
      </c>
      <c r="L11545" s="16">
        <f>IF(AND(G11545&gt;0,H11545&gt;0),G11545/H11545,"")</f>
        <v/>
      </c>
    </row>
    <row r="11546">
      <c r="A11546" s="4" t="inlineStr">
        <is>
          <t>670</t>
        </is>
      </c>
      <c r="B11546" s="4" t="n">
        <v>6</v>
      </c>
      <c r="C11546" s="4" t="inlineStr">
        <is>
          <t>whitetail</t>
        </is>
      </c>
      <c r="D11546" s="4" t="n">
        <v>2018</v>
      </c>
      <c r="E11546" s="13" t="inlineStr">
        <is>
          <t>General</t>
        </is>
      </c>
      <c r="F11546" s="5" t="n"/>
      <c r="G11546" s="5" t="n"/>
      <c r="H11546" s="5" t="n">
        <v>413</v>
      </c>
      <c r="I11546" s="5" t="n">
        <v>219</v>
      </c>
      <c r="J11546" s="5" t="n">
        <v>194</v>
      </c>
      <c r="K11546" s="10">
        <f>IF(F11546&gt;0,H11546/F11546,"")</f>
        <v/>
      </c>
      <c r="L11546" s="16">
        <f>IF(AND(G11546&gt;0,H11546&gt;0),G11546/H11546,"")</f>
        <v/>
      </c>
    </row>
    <row r="11547">
      <c r="A11547" s="4" t="inlineStr">
        <is>
          <t>670</t>
        </is>
      </c>
      <c r="B11547" s="4" t="n">
        <v>6</v>
      </c>
      <c r="C11547" s="4" t="inlineStr">
        <is>
          <t>whitetail</t>
        </is>
      </c>
      <c r="D11547" s="4" t="n">
        <v>2019</v>
      </c>
      <c r="E11547" s="13" t="inlineStr">
        <is>
          <t>General</t>
        </is>
      </c>
      <c r="F11547" s="5" t="n">
        <v>2212</v>
      </c>
      <c r="G11547" s="5" t="n">
        <v>10650</v>
      </c>
      <c r="H11547" s="5" t="n">
        <v>420</v>
      </c>
      <c r="I11547" s="5" t="n">
        <v>249</v>
      </c>
      <c r="J11547" s="5" t="n">
        <v>168</v>
      </c>
      <c r="K11547" s="10">
        <f>IF(F11547&gt;0,H11547/F11547,"")</f>
        <v/>
      </c>
      <c r="L11547" s="16">
        <f>IF(AND(G11547&gt;0,H11547&gt;0),G11547/H11547,"")</f>
        <v/>
      </c>
    </row>
    <row r="11548">
      <c r="A11548" s="4" t="inlineStr">
        <is>
          <t>670</t>
        </is>
      </c>
      <c r="B11548" s="4" t="n">
        <v>6</v>
      </c>
      <c r="C11548" s="4" t="inlineStr">
        <is>
          <t>whitetail</t>
        </is>
      </c>
      <c r="D11548" s="4" t="n">
        <v>2020</v>
      </c>
      <c r="E11548" s="13" t="inlineStr">
        <is>
          <t>General</t>
        </is>
      </c>
      <c r="F11548" s="5" t="n"/>
      <c r="G11548" s="5" t="n"/>
      <c r="H11548" s="5" t="n">
        <v>696</v>
      </c>
      <c r="I11548" s="5" t="n">
        <v>372</v>
      </c>
      <c r="J11548" s="5" t="n">
        <v>320</v>
      </c>
      <c r="K11548" s="10">
        <f>IF(F11548&gt;0,H11548/F11548,"")</f>
        <v/>
      </c>
      <c r="L11548" s="16">
        <f>IF(AND(G11548&gt;0,H11548&gt;0),G11548/H11548,"")</f>
        <v/>
      </c>
    </row>
    <row r="11549">
      <c r="A11549" s="4" t="inlineStr">
        <is>
          <t>670</t>
        </is>
      </c>
      <c r="B11549" s="4" t="n">
        <v>6</v>
      </c>
      <c r="C11549" s="4" t="inlineStr">
        <is>
          <t>whitetail</t>
        </is>
      </c>
      <c r="D11549" s="4" t="n">
        <v>2021</v>
      </c>
      <c r="E11549" s="13" t="inlineStr">
        <is>
          <t>General</t>
        </is>
      </c>
      <c r="F11549" s="5" t="n">
        <v>3853</v>
      </c>
      <c r="G11549" s="5" t="n">
        <v>19975</v>
      </c>
      <c r="H11549" s="5" t="n">
        <v>542</v>
      </c>
      <c r="I11549" s="5" t="n">
        <v>304</v>
      </c>
      <c r="J11549" s="5" t="n">
        <v>237</v>
      </c>
      <c r="K11549" s="10">
        <f>IF(F11549&gt;0,H11549/F11549,"")</f>
        <v/>
      </c>
      <c r="L11549" s="16">
        <f>IF(AND(G11549&gt;0,H11549&gt;0),G11549/H11549,"")</f>
        <v/>
      </c>
    </row>
    <row r="11550">
      <c r="A11550" s="4" t="inlineStr">
        <is>
          <t>670</t>
        </is>
      </c>
      <c r="B11550" s="4" t="n">
        <v>6</v>
      </c>
      <c r="C11550" s="4" t="inlineStr">
        <is>
          <t>whitetail</t>
        </is>
      </c>
      <c r="D11550" s="4" t="n">
        <v>2022</v>
      </c>
      <c r="E11550" s="13" t="inlineStr">
        <is>
          <t>General</t>
        </is>
      </c>
      <c r="F11550" s="5" t="n"/>
      <c r="G11550" s="5" t="n"/>
      <c r="H11550" s="5" t="n">
        <v>571</v>
      </c>
      <c r="I11550" s="5" t="n">
        <v>306</v>
      </c>
      <c r="J11550" s="5" t="n">
        <v>265</v>
      </c>
      <c r="K11550" s="10">
        <f>IF(F11550&gt;0,H11550/F11550,"")</f>
        <v/>
      </c>
      <c r="L11550" s="16">
        <f>IF(AND(G11550&gt;0,H11550&gt;0),G11550/H11550,"")</f>
        <v/>
      </c>
    </row>
    <row r="11551">
      <c r="A11551" s="4" t="inlineStr">
        <is>
          <t>670</t>
        </is>
      </c>
      <c r="B11551" s="4" t="n">
        <v>6</v>
      </c>
      <c r="C11551" s="4" t="inlineStr">
        <is>
          <t>whitetail</t>
        </is>
      </c>
      <c r="D11551" s="4" t="n">
        <v>2023</v>
      </c>
      <c r="E11551" s="13" t="inlineStr">
        <is>
          <t>General</t>
        </is>
      </c>
      <c r="F11551" s="5" t="n">
        <v>3574</v>
      </c>
      <c r="G11551" s="5" t="n">
        <v>19455</v>
      </c>
      <c r="H11551" s="5" t="n">
        <v>488</v>
      </c>
      <c r="I11551" s="5" t="n">
        <v>236</v>
      </c>
      <c r="J11551" s="5" t="n">
        <v>244</v>
      </c>
      <c r="K11551" s="10">
        <f>IF(F11551&gt;0,H11551/F11551,"")</f>
        <v/>
      </c>
      <c r="L11551" s="16">
        <f>IF(AND(G11551&gt;0,H11551&gt;0),G11551/H11551,"")</f>
        <v/>
      </c>
    </row>
    <row r="11552">
      <c r="A11552" s="4" t="inlineStr">
        <is>
          <t>670</t>
        </is>
      </c>
      <c r="B11552" s="4" t="n">
        <v>6</v>
      </c>
      <c r="C11552" s="4" t="inlineStr">
        <is>
          <t>whitetail</t>
        </is>
      </c>
      <c r="D11552" s="4" t="n">
        <v>2024</v>
      </c>
      <c r="E11552" s="13" t="inlineStr">
        <is>
          <t>General</t>
        </is>
      </c>
      <c r="F11552" s="5" t="n"/>
      <c r="G11552" s="5" t="n"/>
      <c r="H11552" s="5" t="n">
        <v>472</v>
      </c>
      <c r="I11552" s="5" t="n">
        <v>271</v>
      </c>
      <c r="J11552" s="5" t="n">
        <v>201</v>
      </c>
      <c r="K11552" s="10">
        <f>IF(F11552&gt;0,H11552/F11552,"")</f>
        <v/>
      </c>
      <c r="L11552" s="16">
        <f>IF(AND(G11552&gt;0,H11552&gt;0),G11552/H11552,"")</f>
        <v/>
      </c>
    </row>
    <row r="11553">
      <c r="A11553" s="4" t="inlineStr">
        <is>
          <t>670</t>
        </is>
      </c>
      <c r="B11553" s="4" t="n">
        <v>6</v>
      </c>
      <c r="C11553" s="4" t="inlineStr">
        <is>
          <t>whitetail</t>
        </is>
      </c>
      <c r="D11553" s="4" t="n">
        <v>2025</v>
      </c>
      <c r="E11553" s="13" t="inlineStr">
        <is>
          <t>General</t>
        </is>
      </c>
      <c r="F11553" s="5" t="n">
        <v>2456</v>
      </c>
      <c r="G11553" s="5" t="n">
        <v>14292</v>
      </c>
      <c r="H11553" s="5" t="n">
        <v>213</v>
      </c>
      <c r="I11553" s="5" t="n">
        <v>128</v>
      </c>
      <c r="J11553" s="5" t="n">
        <v>84</v>
      </c>
      <c r="K11553" s="10">
        <f>IF(F11553&gt;0,H11553/F11553,"")</f>
        <v/>
      </c>
      <c r="L11553" s="16">
        <f>IF(AND(G11553&gt;0,H11553&gt;0),G11553/H11553,"")</f>
        <v/>
      </c>
    </row>
    <row r="11554">
      <c r="A11554" s="4" t="inlineStr">
        <is>
          <t>680</t>
        </is>
      </c>
      <c r="B11554" s="4" t="n">
        <v>6</v>
      </c>
      <c r="C11554" s="4" t="inlineStr">
        <is>
          <t>whitetail</t>
        </is>
      </c>
      <c r="D11554" s="4" t="n">
        <v>2004</v>
      </c>
      <c r="E11554" s="4" t="inlineStr"/>
      <c r="F11554" s="5" t="n">
        <v>747</v>
      </c>
      <c r="G11554" s="5" t="n">
        <v>3127</v>
      </c>
      <c r="H11554" s="5" t="n">
        <v>53</v>
      </c>
      <c r="I11554" s="5" t="n">
        <v>31</v>
      </c>
      <c r="J11554" s="5" t="n">
        <v>17</v>
      </c>
      <c r="K11554" s="10">
        <f>IF(F11554&gt;0,H11554/F11554,"")</f>
        <v/>
      </c>
      <c r="L11554" s="16">
        <f>IF(AND(G11554&gt;0,H11554&gt;0),G11554/H11554,"")</f>
        <v/>
      </c>
    </row>
    <row r="11555">
      <c r="A11555" s="4" t="inlineStr">
        <is>
          <t>680</t>
        </is>
      </c>
      <c r="B11555" s="4" t="n">
        <v>6</v>
      </c>
      <c r="C11555" s="4" t="inlineStr">
        <is>
          <t>whitetail</t>
        </is>
      </c>
      <c r="D11555" s="4" t="n">
        <v>2005</v>
      </c>
      <c r="E11555" s="4" t="inlineStr"/>
      <c r="F11555" s="5" t="n">
        <v>626</v>
      </c>
      <c r="G11555" s="5" t="n">
        <v>2948</v>
      </c>
      <c r="H11555" s="5" t="n">
        <v>49</v>
      </c>
      <c r="I11555" s="5" t="n">
        <v>30</v>
      </c>
      <c r="J11555" s="5" t="n">
        <v>19</v>
      </c>
      <c r="K11555" s="10">
        <f>IF(F11555&gt;0,H11555/F11555,"")</f>
        <v/>
      </c>
      <c r="L11555" s="16">
        <f>IF(AND(G11555&gt;0,H11555&gt;0),G11555/H11555,"")</f>
        <v/>
      </c>
    </row>
    <row r="11556">
      <c r="A11556" s="4" t="inlineStr">
        <is>
          <t>680</t>
        </is>
      </c>
      <c r="B11556" s="4" t="n">
        <v>6</v>
      </c>
      <c r="C11556" s="4" t="inlineStr">
        <is>
          <t>whitetail</t>
        </is>
      </c>
      <c r="D11556" s="4" t="n">
        <v>2006</v>
      </c>
      <c r="E11556" s="4" t="inlineStr"/>
      <c r="F11556" s="5" t="n">
        <v>531</v>
      </c>
      <c r="G11556" s="5" t="n">
        <v>2399</v>
      </c>
      <c r="H11556" s="5" t="n">
        <v>33</v>
      </c>
      <c r="I11556" s="5" t="n">
        <v>22</v>
      </c>
      <c r="J11556" s="5" t="n">
        <v>11</v>
      </c>
      <c r="K11556" s="10">
        <f>IF(F11556&gt;0,H11556/F11556,"")</f>
        <v/>
      </c>
      <c r="L11556" s="16">
        <f>IF(AND(G11556&gt;0,H11556&gt;0),G11556/H11556,"")</f>
        <v/>
      </c>
    </row>
    <row r="11557">
      <c r="A11557" s="4" t="inlineStr">
        <is>
          <t>680</t>
        </is>
      </c>
      <c r="B11557" s="4" t="n">
        <v>6</v>
      </c>
      <c r="C11557" s="4" t="inlineStr">
        <is>
          <t>whitetail</t>
        </is>
      </c>
      <c r="D11557" s="4" t="n">
        <v>2007</v>
      </c>
      <c r="E11557" s="4" t="inlineStr"/>
      <c r="F11557" s="5" t="n">
        <v>704</v>
      </c>
      <c r="G11557" s="5" t="n">
        <v>2813</v>
      </c>
      <c r="H11557" s="5" t="n">
        <v>59</v>
      </c>
      <c r="I11557" s="5" t="n">
        <v>17</v>
      </c>
      <c r="J11557" s="5" t="n">
        <v>41</v>
      </c>
      <c r="K11557" s="10">
        <f>IF(F11557&gt;0,H11557/F11557,"")</f>
        <v/>
      </c>
      <c r="L11557" s="16">
        <f>IF(AND(G11557&gt;0,H11557&gt;0),G11557/H11557,"")</f>
        <v/>
      </c>
    </row>
    <row r="11558">
      <c r="A11558" s="4" t="inlineStr">
        <is>
          <t>680</t>
        </is>
      </c>
      <c r="B11558" s="4" t="n">
        <v>6</v>
      </c>
      <c r="C11558" s="4" t="inlineStr">
        <is>
          <t>whitetail</t>
        </is>
      </c>
      <c r="D11558" s="4" t="n">
        <v>2008</v>
      </c>
      <c r="E11558" s="4" t="inlineStr"/>
      <c r="F11558" s="5" t="n">
        <v>663</v>
      </c>
      <c r="G11558" s="5" t="n">
        <v>2826</v>
      </c>
      <c r="H11558" s="5" t="n">
        <v>45</v>
      </c>
      <c r="I11558" s="5" t="n">
        <v>24</v>
      </c>
      <c r="J11558" s="5" t="n">
        <v>18</v>
      </c>
      <c r="K11558" s="10">
        <f>IF(F11558&gt;0,H11558/F11558,"")</f>
        <v/>
      </c>
      <c r="L11558" s="16">
        <f>IF(AND(G11558&gt;0,H11558&gt;0),G11558/H11558,"")</f>
        <v/>
      </c>
    </row>
    <row r="11559">
      <c r="A11559" s="4" t="inlineStr">
        <is>
          <t>680</t>
        </is>
      </c>
      <c r="B11559" s="4" t="n">
        <v>6</v>
      </c>
      <c r="C11559" s="4" t="inlineStr">
        <is>
          <t>whitetail</t>
        </is>
      </c>
      <c r="D11559" s="4" t="n">
        <v>2009</v>
      </c>
      <c r="E11559" s="4" t="inlineStr"/>
      <c r="F11559" s="5" t="n">
        <v>734</v>
      </c>
      <c r="G11559" s="5" t="n">
        <v>3158</v>
      </c>
      <c r="H11559" s="5" t="n">
        <v>52</v>
      </c>
      <c r="I11559" s="5" t="n">
        <v>24</v>
      </c>
      <c r="J11559" s="5" t="n">
        <v>29</v>
      </c>
      <c r="K11559" s="10">
        <f>IF(F11559&gt;0,H11559/F11559,"")</f>
        <v/>
      </c>
      <c r="L11559" s="16">
        <f>IF(AND(G11559&gt;0,H11559&gt;0),G11559/H11559,"")</f>
        <v/>
      </c>
    </row>
    <row r="11560">
      <c r="A11560" s="4" t="inlineStr">
        <is>
          <t>680</t>
        </is>
      </c>
      <c r="B11560" s="4" t="n">
        <v>6</v>
      </c>
      <c r="C11560" s="4" t="inlineStr">
        <is>
          <t>whitetail</t>
        </is>
      </c>
      <c r="D11560" s="4" t="n">
        <v>2010</v>
      </c>
      <c r="E11560" s="4" t="inlineStr"/>
      <c r="F11560" s="5" t="n">
        <v>789</v>
      </c>
      <c r="G11560" s="5" t="n">
        <v>3551</v>
      </c>
      <c r="H11560" s="5" t="n">
        <v>52</v>
      </c>
      <c r="I11560" s="5" t="n">
        <v>23</v>
      </c>
      <c r="J11560" s="5" t="n">
        <v>29</v>
      </c>
      <c r="K11560" s="10">
        <f>IF(F11560&gt;0,H11560/F11560,"")</f>
        <v/>
      </c>
      <c r="L11560" s="16">
        <f>IF(AND(G11560&gt;0,H11560&gt;0),G11560/H11560,"")</f>
        <v/>
      </c>
    </row>
    <row r="11561">
      <c r="A11561" s="4" t="inlineStr">
        <is>
          <t>680</t>
        </is>
      </c>
      <c r="B11561" s="4" t="n">
        <v>6</v>
      </c>
      <c r="C11561" s="4" t="inlineStr">
        <is>
          <t>whitetail</t>
        </is>
      </c>
      <c r="D11561" s="4" t="n">
        <v>2011</v>
      </c>
      <c r="E11561" s="4" t="inlineStr"/>
      <c r="F11561" s="5" t="n">
        <v>725</v>
      </c>
      <c r="G11561" s="5" t="n">
        <v>3828</v>
      </c>
      <c r="H11561" s="5" t="n">
        <v>36</v>
      </c>
      <c r="I11561" s="5" t="n">
        <v>11</v>
      </c>
      <c r="J11561" s="5" t="n">
        <v>22</v>
      </c>
      <c r="K11561" s="10">
        <f>IF(F11561&gt;0,H11561/F11561,"")</f>
        <v/>
      </c>
      <c r="L11561" s="16">
        <f>IF(AND(G11561&gt;0,H11561&gt;0),G11561/H11561,"")</f>
        <v/>
      </c>
    </row>
    <row r="11562">
      <c r="A11562" s="4" t="inlineStr">
        <is>
          <t>680</t>
        </is>
      </c>
      <c r="B11562" s="4" t="n">
        <v>6</v>
      </c>
      <c r="C11562" s="4" t="inlineStr">
        <is>
          <t>whitetail</t>
        </is>
      </c>
      <c r="D11562" s="4" t="n">
        <v>2012</v>
      </c>
      <c r="E11562" s="4" t="inlineStr"/>
      <c r="F11562" s="5" t="n"/>
      <c r="G11562" s="5" t="n"/>
      <c r="H11562" s="5" t="n">
        <v>31</v>
      </c>
      <c r="I11562" s="5" t="n">
        <v>11</v>
      </c>
      <c r="J11562" s="5" t="n">
        <v>20</v>
      </c>
      <c r="K11562" s="10">
        <f>IF(F11562&gt;0,H11562/F11562,"")</f>
        <v/>
      </c>
      <c r="L11562" s="16">
        <f>IF(AND(G11562&gt;0,H11562&gt;0),G11562/H11562,"")</f>
        <v/>
      </c>
    </row>
    <row r="11563">
      <c r="A11563" s="4" t="inlineStr">
        <is>
          <t>680</t>
        </is>
      </c>
      <c r="B11563" s="4" t="n">
        <v>6</v>
      </c>
      <c r="C11563" s="4" t="inlineStr">
        <is>
          <t>whitetail</t>
        </is>
      </c>
      <c r="D11563" s="4" t="n">
        <v>2013</v>
      </c>
      <c r="E11563" s="4" t="inlineStr"/>
      <c r="F11563" s="5" t="n">
        <v>668</v>
      </c>
      <c r="G11563" s="5" t="n">
        <v>2890</v>
      </c>
      <c r="H11563" s="5" t="n">
        <v>24</v>
      </c>
      <c r="I11563" s="5" t="n">
        <v>14</v>
      </c>
      <c r="J11563" s="5" t="n">
        <v>7</v>
      </c>
      <c r="K11563" s="10">
        <f>IF(F11563&gt;0,H11563/F11563,"")</f>
        <v/>
      </c>
      <c r="L11563" s="16">
        <f>IF(AND(G11563&gt;0,H11563&gt;0),G11563/H11563,"")</f>
        <v/>
      </c>
    </row>
    <row r="11564">
      <c r="A11564" s="4" t="inlineStr">
        <is>
          <t>680</t>
        </is>
      </c>
      <c r="B11564" s="4" t="n">
        <v>6</v>
      </c>
      <c r="C11564" s="4" t="inlineStr">
        <is>
          <t>whitetail</t>
        </is>
      </c>
      <c r="D11564" s="4" t="n">
        <v>2014</v>
      </c>
      <c r="E11564" s="4" t="inlineStr"/>
      <c r="F11564" s="5" t="n"/>
      <c r="G11564" s="5" t="n"/>
      <c r="H11564" s="5" t="n">
        <v>20</v>
      </c>
      <c r="I11564" s="5" t="n">
        <v>17</v>
      </c>
      <c r="J11564" s="5" t="n">
        <v>3</v>
      </c>
      <c r="K11564" s="10">
        <f>IF(F11564&gt;0,H11564/F11564,"")</f>
        <v/>
      </c>
      <c r="L11564" s="16">
        <f>IF(AND(G11564&gt;0,H11564&gt;0),G11564/H11564,"")</f>
        <v/>
      </c>
    </row>
    <row r="11565">
      <c r="A11565" s="4" t="inlineStr">
        <is>
          <t>680</t>
        </is>
      </c>
      <c r="B11565" s="4" t="n">
        <v>6</v>
      </c>
      <c r="C11565" s="4" t="inlineStr">
        <is>
          <t>whitetail</t>
        </is>
      </c>
      <c r="D11565" s="4" t="n">
        <v>2015</v>
      </c>
      <c r="E11565" s="4" t="inlineStr"/>
      <c r="F11565" s="5" t="n"/>
      <c r="G11565" s="5" t="n"/>
      <c r="H11565" s="5" t="n">
        <v>17</v>
      </c>
      <c r="I11565" s="5" t="n">
        <v>17</v>
      </c>
      <c r="J11565" s="5" t="n">
        <v>0</v>
      </c>
      <c r="K11565" s="10">
        <f>IF(F11565&gt;0,H11565/F11565,"")</f>
        <v/>
      </c>
      <c r="L11565" s="16">
        <f>IF(AND(G11565&gt;0,H11565&gt;0),G11565/H11565,"")</f>
        <v/>
      </c>
    </row>
    <row r="11566">
      <c r="A11566" s="4" t="inlineStr">
        <is>
          <t>680</t>
        </is>
      </c>
      <c r="B11566" s="4" t="n">
        <v>6</v>
      </c>
      <c r="C11566" s="4" t="inlineStr">
        <is>
          <t>whitetail</t>
        </is>
      </c>
      <c r="D11566" s="4" t="n">
        <v>2016</v>
      </c>
      <c r="E11566" s="4" t="inlineStr"/>
      <c r="F11566" s="5" t="n"/>
      <c r="G11566" s="5" t="n"/>
      <c r="H11566" s="5" t="n">
        <v>35</v>
      </c>
      <c r="I11566" s="5" t="n">
        <v>27</v>
      </c>
      <c r="J11566" s="5" t="n">
        <v>8</v>
      </c>
      <c r="K11566" s="10">
        <f>IF(F11566&gt;0,H11566/F11566,"")</f>
        <v/>
      </c>
      <c r="L11566" s="16">
        <f>IF(AND(G11566&gt;0,H11566&gt;0),G11566/H11566,"")</f>
        <v/>
      </c>
    </row>
    <row r="11567">
      <c r="A11567" s="4" t="inlineStr">
        <is>
          <t>680</t>
        </is>
      </c>
      <c r="B11567" s="4" t="n">
        <v>6</v>
      </c>
      <c r="C11567" s="4" t="inlineStr">
        <is>
          <t>whitetail</t>
        </is>
      </c>
      <c r="D11567" s="4" t="n">
        <v>2017</v>
      </c>
      <c r="E11567" s="4" t="inlineStr"/>
      <c r="F11567" s="5" t="n">
        <v>805</v>
      </c>
      <c r="G11567" s="5" t="n">
        <v>3658</v>
      </c>
      <c r="H11567" s="5" t="n">
        <v>50</v>
      </c>
      <c r="I11567" s="5" t="n">
        <v>33</v>
      </c>
      <c r="J11567" s="5" t="n">
        <v>17</v>
      </c>
      <c r="K11567" s="10">
        <f>IF(F11567&gt;0,H11567/F11567,"")</f>
        <v/>
      </c>
      <c r="L11567" s="16">
        <f>IF(AND(G11567&gt;0,H11567&gt;0),G11567/H11567,"")</f>
        <v/>
      </c>
    </row>
    <row r="11568">
      <c r="A11568" s="4" t="inlineStr">
        <is>
          <t>680</t>
        </is>
      </c>
      <c r="B11568" s="4" t="n">
        <v>6</v>
      </c>
      <c r="C11568" s="4" t="inlineStr">
        <is>
          <t>whitetail</t>
        </is>
      </c>
      <c r="D11568" s="4" t="n">
        <v>2018</v>
      </c>
      <c r="E11568" s="4" t="inlineStr"/>
      <c r="F11568" s="5" t="n"/>
      <c r="G11568" s="5" t="n"/>
      <c r="H11568" s="5" t="n">
        <v>32</v>
      </c>
      <c r="I11568" s="5" t="n">
        <v>22</v>
      </c>
      <c r="J11568" s="5" t="n">
        <v>11</v>
      </c>
      <c r="K11568" s="10">
        <f>IF(F11568&gt;0,H11568/F11568,"")</f>
        <v/>
      </c>
      <c r="L11568" s="16">
        <f>IF(AND(G11568&gt;0,H11568&gt;0),G11568/H11568,"")</f>
        <v/>
      </c>
    </row>
    <row r="11569">
      <c r="A11569" s="4" t="inlineStr">
        <is>
          <t>680</t>
        </is>
      </c>
      <c r="B11569" s="4" t="n">
        <v>6</v>
      </c>
      <c r="C11569" s="4" t="inlineStr">
        <is>
          <t>whitetail</t>
        </is>
      </c>
      <c r="D11569" s="4" t="n">
        <v>2019</v>
      </c>
      <c r="E11569" s="4" t="inlineStr"/>
      <c r="F11569" s="5" t="n">
        <v>886</v>
      </c>
      <c r="G11569" s="5" t="n">
        <v>3696</v>
      </c>
      <c r="H11569" s="5" t="n">
        <v>71</v>
      </c>
      <c r="I11569" s="5" t="n">
        <v>42</v>
      </c>
      <c r="J11569" s="5" t="n">
        <v>29</v>
      </c>
      <c r="K11569" s="10">
        <f>IF(F11569&gt;0,H11569/F11569,"")</f>
        <v/>
      </c>
      <c r="L11569" s="16">
        <f>IF(AND(G11569&gt;0,H11569&gt;0),G11569/H11569,"")</f>
        <v/>
      </c>
    </row>
    <row r="11570">
      <c r="A11570" s="4" t="inlineStr">
        <is>
          <t>690</t>
        </is>
      </c>
      <c r="B11570" s="4" t="n">
        <v>6</v>
      </c>
      <c r="C11570" s="4" t="inlineStr">
        <is>
          <t>whitetail</t>
        </is>
      </c>
      <c r="D11570" s="4" t="n">
        <v>2004</v>
      </c>
      <c r="E11570" s="13" t="inlineStr">
        <is>
          <t>General</t>
        </is>
      </c>
      <c r="F11570" s="5" t="n">
        <v>2023</v>
      </c>
      <c r="G11570" s="5" t="n">
        <v>8885</v>
      </c>
      <c r="H11570" s="5" t="n">
        <v>350</v>
      </c>
      <c r="I11570" s="5" t="n">
        <v>154</v>
      </c>
      <c r="J11570" s="5" t="n">
        <v>192</v>
      </c>
      <c r="K11570" s="10">
        <f>IF(F11570&gt;0,H11570/F11570,"")</f>
        <v/>
      </c>
      <c r="L11570" s="16">
        <f>IF(AND(G11570&gt;0,H11570&gt;0),G11570/H11570,"")</f>
        <v/>
      </c>
    </row>
    <row r="11571">
      <c r="A11571" s="4" t="inlineStr">
        <is>
          <t>690</t>
        </is>
      </c>
      <c r="B11571" s="4" t="n">
        <v>6</v>
      </c>
      <c r="C11571" s="4" t="inlineStr">
        <is>
          <t>whitetail</t>
        </is>
      </c>
      <c r="D11571" s="4" t="n">
        <v>2005</v>
      </c>
      <c r="E11571" s="13" t="inlineStr">
        <is>
          <t>General</t>
        </is>
      </c>
      <c r="F11571" s="5" t="n">
        <v>1734</v>
      </c>
      <c r="G11571" s="5" t="n">
        <v>8292</v>
      </c>
      <c r="H11571" s="5" t="n">
        <v>325</v>
      </c>
      <c r="I11571" s="5" t="n">
        <v>188</v>
      </c>
      <c r="J11571" s="5" t="n">
        <v>131</v>
      </c>
      <c r="K11571" s="10">
        <f>IF(F11571&gt;0,H11571/F11571,"")</f>
        <v/>
      </c>
      <c r="L11571" s="16">
        <f>IF(AND(G11571&gt;0,H11571&gt;0),G11571/H11571,"")</f>
        <v/>
      </c>
    </row>
    <row r="11572">
      <c r="A11572" s="4" t="inlineStr">
        <is>
          <t>690</t>
        </is>
      </c>
      <c r="B11572" s="4" t="n">
        <v>6</v>
      </c>
      <c r="C11572" s="4" t="inlineStr">
        <is>
          <t>whitetail</t>
        </is>
      </c>
      <c r="D11572" s="4" t="n">
        <v>2006</v>
      </c>
      <c r="E11572" s="13" t="inlineStr">
        <is>
          <t>General</t>
        </is>
      </c>
      <c r="F11572" s="5" t="n">
        <v>1631</v>
      </c>
      <c r="G11572" s="5" t="n">
        <v>7228</v>
      </c>
      <c r="H11572" s="5" t="n">
        <v>409</v>
      </c>
      <c r="I11572" s="5" t="n">
        <v>224</v>
      </c>
      <c r="J11572" s="5" t="n">
        <v>175</v>
      </c>
      <c r="K11572" s="10">
        <f>IF(F11572&gt;0,H11572/F11572,"")</f>
        <v/>
      </c>
      <c r="L11572" s="16">
        <f>IF(AND(G11572&gt;0,H11572&gt;0),G11572/H11572,"")</f>
        <v/>
      </c>
    </row>
    <row r="11573">
      <c r="A11573" s="4" t="inlineStr">
        <is>
          <t>690</t>
        </is>
      </c>
      <c r="B11573" s="4" t="n">
        <v>6</v>
      </c>
      <c r="C11573" s="4" t="inlineStr">
        <is>
          <t>whitetail</t>
        </is>
      </c>
      <c r="D11573" s="4" t="n">
        <v>2007</v>
      </c>
      <c r="E11573" s="13" t="inlineStr">
        <is>
          <t>General</t>
        </is>
      </c>
      <c r="F11573" s="5" t="n">
        <v>2181</v>
      </c>
      <c r="G11573" s="5" t="n">
        <v>9234</v>
      </c>
      <c r="H11573" s="5" t="n">
        <v>465</v>
      </c>
      <c r="I11573" s="5" t="n">
        <v>187</v>
      </c>
      <c r="J11573" s="5" t="n">
        <v>268</v>
      </c>
      <c r="K11573" s="10">
        <f>IF(F11573&gt;0,H11573/F11573,"")</f>
        <v/>
      </c>
      <c r="L11573" s="16">
        <f>IF(AND(G11573&gt;0,H11573&gt;0),G11573/H11573,"")</f>
        <v/>
      </c>
    </row>
    <row r="11574">
      <c r="A11574" s="4" t="inlineStr">
        <is>
          <t>690</t>
        </is>
      </c>
      <c r="B11574" s="4" t="n">
        <v>6</v>
      </c>
      <c r="C11574" s="4" t="inlineStr">
        <is>
          <t>whitetail</t>
        </is>
      </c>
      <c r="D11574" s="4" t="n">
        <v>2008</v>
      </c>
      <c r="E11574" s="13" t="inlineStr">
        <is>
          <t>General</t>
        </is>
      </c>
      <c r="F11574" s="5" t="n">
        <v>2584</v>
      </c>
      <c r="G11574" s="5" t="n">
        <v>12557</v>
      </c>
      <c r="H11574" s="5" t="n">
        <v>520</v>
      </c>
      <c r="I11574" s="5" t="n">
        <v>291</v>
      </c>
      <c r="J11574" s="5" t="n">
        <v>225</v>
      </c>
      <c r="K11574" s="10">
        <f>IF(F11574&gt;0,H11574/F11574,"")</f>
        <v/>
      </c>
      <c r="L11574" s="16">
        <f>IF(AND(G11574&gt;0,H11574&gt;0),G11574/H11574,"")</f>
        <v/>
      </c>
    </row>
    <row r="11575">
      <c r="A11575" s="4" t="inlineStr">
        <is>
          <t>690</t>
        </is>
      </c>
      <c r="B11575" s="4" t="n">
        <v>6</v>
      </c>
      <c r="C11575" s="4" t="inlineStr">
        <is>
          <t>whitetail</t>
        </is>
      </c>
      <c r="D11575" s="4" t="n">
        <v>2009</v>
      </c>
      <c r="E11575" s="13" t="inlineStr">
        <is>
          <t>General</t>
        </is>
      </c>
      <c r="F11575" s="5" t="n">
        <v>2711</v>
      </c>
      <c r="G11575" s="5" t="n">
        <v>13487</v>
      </c>
      <c r="H11575" s="5" t="n">
        <v>635</v>
      </c>
      <c r="I11575" s="5" t="n">
        <v>289</v>
      </c>
      <c r="J11575" s="5" t="n">
        <v>332</v>
      </c>
      <c r="K11575" s="10">
        <f>IF(F11575&gt;0,H11575/F11575,"")</f>
        <v/>
      </c>
      <c r="L11575" s="16">
        <f>IF(AND(G11575&gt;0,H11575&gt;0),G11575/H11575,"")</f>
        <v/>
      </c>
    </row>
    <row r="11576">
      <c r="A11576" s="4" t="inlineStr">
        <is>
          <t>690</t>
        </is>
      </c>
      <c r="B11576" s="4" t="n">
        <v>6</v>
      </c>
      <c r="C11576" s="4" t="inlineStr">
        <is>
          <t>whitetail</t>
        </is>
      </c>
      <c r="D11576" s="4" t="n">
        <v>2010</v>
      </c>
      <c r="E11576" s="13" t="inlineStr">
        <is>
          <t>General</t>
        </is>
      </c>
      <c r="F11576" s="5" t="n">
        <v>2543</v>
      </c>
      <c r="G11576" s="5" t="n">
        <v>12242</v>
      </c>
      <c r="H11576" s="5" t="n">
        <v>540</v>
      </c>
      <c r="I11576" s="5" t="n">
        <v>278</v>
      </c>
      <c r="J11576" s="5" t="n">
        <v>259</v>
      </c>
      <c r="K11576" s="10">
        <f>IF(F11576&gt;0,H11576/F11576,"")</f>
        <v/>
      </c>
      <c r="L11576" s="16">
        <f>IF(AND(G11576&gt;0,H11576&gt;0),G11576/H11576,"")</f>
        <v/>
      </c>
    </row>
    <row r="11577">
      <c r="A11577" s="4" t="inlineStr">
        <is>
          <t>690</t>
        </is>
      </c>
      <c r="B11577" s="4" t="n">
        <v>6</v>
      </c>
      <c r="C11577" s="4" t="inlineStr">
        <is>
          <t>whitetail</t>
        </is>
      </c>
      <c r="D11577" s="4" t="n">
        <v>2011</v>
      </c>
      <c r="E11577" s="13" t="inlineStr">
        <is>
          <t>General</t>
        </is>
      </c>
      <c r="F11577" s="5" t="n">
        <v>2491</v>
      </c>
      <c r="G11577" s="5" t="n">
        <v>11682</v>
      </c>
      <c r="H11577" s="5" t="n">
        <v>409</v>
      </c>
      <c r="I11577" s="5" t="n">
        <v>190</v>
      </c>
      <c r="J11577" s="5" t="n">
        <v>208</v>
      </c>
      <c r="K11577" s="10">
        <f>IF(F11577&gt;0,H11577/F11577,"")</f>
        <v/>
      </c>
      <c r="L11577" s="16">
        <f>IF(AND(G11577&gt;0,H11577&gt;0),G11577/H11577,"")</f>
        <v/>
      </c>
    </row>
    <row r="11578">
      <c r="A11578" s="4" t="inlineStr">
        <is>
          <t>690</t>
        </is>
      </c>
      <c r="B11578" s="4" t="n">
        <v>6</v>
      </c>
      <c r="C11578" s="4" t="inlineStr">
        <is>
          <t>whitetail</t>
        </is>
      </c>
      <c r="D11578" s="4" t="n">
        <v>2012</v>
      </c>
      <c r="E11578" s="13" t="inlineStr">
        <is>
          <t>General</t>
        </is>
      </c>
      <c r="F11578" s="5" t="n"/>
      <c r="G11578" s="5" t="n"/>
      <c r="H11578" s="5" t="n">
        <v>474</v>
      </c>
      <c r="I11578" s="5" t="n">
        <v>266</v>
      </c>
      <c r="J11578" s="5" t="n">
        <v>203</v>
      </c>
      <c r="K11578" s="10">
        <f>IF(F11578&gt;0,H11578/F11578,"")</f>
        <v/>
      </c>
      <c r="L11578" s="16">
        <f>IF(AND(G11578&gt;0,H11578&gt;0),G11578/H11578,"")</f>
        <v/>
      </c>
    </row>
    <row r="11579">
      <c r="A11579" s="4" t="inlineStr">
        <is>
          <t>690</t>
        </is>
      </c>
      <c r="B11579" s="4" t="n">
        <v>6</v>
      </c>
      <c r="C11579" s="4" t="inlineStr">
        <is>
          <t>whitetail</t>
        </is>
      </c>
      <c r="D11579" s="4" t="n">
        <v>2013</v>
      </c>
      <c r="E11579" s="13" t="inlineStr">
        <is>
          <t>General</t>
        </is>
      </c>
      <c r="F11579" s="5" t="n">
        <v>2728</v>
      </c>
      <c r="G11579" s="5" t="n">
        <v>13236</v>
      </c>
      <c r="H11579" s="5" t="n">
        <v>205</v>
      </c>
      <c r="I11579" s="5" t="n">
        <v>126</v>
      </c>
      <c r="J11579" s="5" t="n">
        <v>77</v>
      </c>
      <c r="K11579" s="10">
        <f>IF(F11579&gt;0,H11579/F11579,"")</f>
        <v/>
      </c>
      <c r="L11579" s="16">
        <f>IF(AND(G11579&gt;0,H11579&gt;0),G11579/H11579,"")</f>
        <v/>
      </c>
    </row>
    <row r="11580">
      <c r="A11580" s="4" t="inlineStr">
        <is>
          <t>690</t>
        </is>
      </c>
      <c r="B11580" s="4" t="n">
        <v>6</v>
      </c>
      <c r="C11580" s="4" t="inlineStr">
        <is>
          <t>whitetail</t>
        </is>
      </c>
      <c r="D11580" s="4" t="n">
        <v>2014</v>
      </c>
      <c r="E11580" s="13" t="inlineStr">
        <is>
          <t>General</t>
        </is>
      </c>
      <c r="F11580" s="5" t="n"/>
      <c r="G11580" s="5" t="n"/>
      <c r="H11580" s="5" t="n">
        <v>246</v>
      </c>
      <c r="I11580" s="5" t="n">
        <v>221</v>
      </c>
      <c r="J11580" s="5" t="n">
        <v>25</v>
      </c>
      <c r="K11580" s="10">
        <f>IF(F11580&gt;0,H11580/F11580,"")</f>
        <v/>
      </c>
      <c r="L11580" s="16">
        <f>IF(AND(G11580&gt;0,H11580&gt;0),G11580/H11580,"")</f>
        <v/>
      </c>
    </row>
    <row r="11581">
      <c r="A11581" s="4" t="inlineStr">
        <is>
          <t>690</t>
        </is>
      </c>
      <c r="B11581" s="4" t="n">
        <v>6</v>
      </c>
      <c r="C11581" s="4" t="inlineStr">
        <is>
          <t>whitetail</t>
        </is>
      </c>
      <c r="D11581" s="4" t="n">
        <v>2015</v>
      </c>
      <c r="E11581" s="13" t="inlineStr">
        <is>
          <t>General</t>
        </is>
      </c>
      <c r="F11581" s="5" t="n"/>
      <c r="G11581" s="5" t="n"/>
      <c r="H11581" s="5" t="n">
        <v>313</v>
      </c>
      <c r="I11581" s="5" t="n">
        <v>281</v>
      </c>
      <c r="J11581" s="5" t="n">
        <v>32</v>
      </c>
      <c r="K11581" s="10">
        <f>IF(F11581&gt;0,H11581/F11581,"")</f>
        <v/>
      </c>
      <c r="L11581" s="16">
        <f>IF(AND(G11581&gt;0,H11581&gt;0),G11581/H11581,"")</f>
        <v/>
      </c>
    </row>
    <row r="11582">
      <c r="A11582" s="4" t="inlineStr">
        <is>
          <t>690</t>
        </is>
      </c>
      <c r="B11582" s="4" t="n">
        <v>6</v>
      </c>
      <c r="C11582" s="4" t="inlineStr">
        <is>
          <t>whitetail</t>
        </is>
      </c>
      <c r="D11582" s="4" t="n">
        <v>2016</v>
      </c>
      <c r="E11582" s="13" t="inlineStr">
        <is>
          <t>General</t>
        </is>
      </c>
      <c r="F11582" s="5" t="n"/>
      <c r="G11582" s="5" t="n"/>
      <c r="H11582" s="5" t="n">
        <v>388</v>
      </c>
      <c r="I11582" s="5" t="n">
        <v>244</v>
      </c>
      <c r="J11582" s="5" t="n">
        <v>141</v>
      </c>
      <c r="K11582" s="10">
        <f>IF(F11582&gt;0,H11582/F11582,"")</f>
        <v/>
      </c>
      <c r="L11582" s="16">
        <f>IF(AND(G11582&gt;0,H11582&gt;0),G11582/H11582,"")</f>
        <v/>
      </c>
    </row>
    <row r="11583">
      <c r="A11583" s="4" t="inlineStr">
        <is>
          <t>690</t>
        </is>
      </c>
      <c r="B11583" s="4" t="n">
        <v>6</v>
      </c>
      <c r="C11583" s="4" t="inlineStr">
        <is>
          <t>whitetail</t>
        </is>
      </c>
      <c r="D11583" s="4" t="n">
        <v>2017</v>
      </c>
      <c r="E11583" s="13" t="inlineStr">
        <is>
          <t>General</t>
        </is>
      </c>
      <c r="F11583" s="5" t="n">
        <v>2448</v>
      </c>
      <c r="G11583" s="5" t="n">
        <v>11407</v>
      </c>
      <c r="H11583" s="5" t="n">
        <v>326</v>
      </c>
      <c r="I11583" s="5" t="n">
        <v>189</v>
      </c>
      <c r="J11583" s="5" t="n">
        <v>137</v>
      </c>
      <c r="K11583" s="10">
        <f>IF(F11583&gt;0,H11583/F11583,"")</f>
        <v/>
      </c>
      <c r="L11583" s="16">
        <f>IF(AND(G11583&gt;0,H11583&gt;0),G11583/H11583,"")</f>
        <v/>
      </c>
    </row>
    <row r="11584">
      <c r="A11584" s="4" t="inlineStr">
        <is>
          <t>690</t>
        </is>
      </c>
      <c r="B11584" s="4" t="n">
        <v>6</v>
      </c>
      <c r="C11584" s="4" t="inlineStr">
        <is>
          <t>whitetail</t>
        </is>
      </c>
      <c r="D11584" s="4" t="n">
        <v>2018</v>
      </c>
      <c r="E11584" s="13" t="inlineStr">
        <is>
          <t>General</t>
        </is>
      </c>
      <c r="F11584" s="5" t="n"/>
      <c r="G11584" s="5" t="n"/>
      <c r="H11584" s="5" t="n">
        <v>481</v>
      </c>
      <c r="I11584" s="5" t="n">
        <v>246</v>
      </c>
      <c r="J11584" s="5" t="n">
        <v>218</v>
      </c>
      <c r="K11584" s="10">
        <f>IF(F11584&gt;0,H11584/F11584,"")</f>
        <v/>
      </c>
      <c r="L11584" s="16">
        <f>IF(AND(G11584&gt;0,H11584&gt;0),G11584/H11584,"")</f>
        <v/>
      </c>
    </row>
    <row r="11585">
      <c r="A11585" s="4" t="inlineStr">
        <is>
          <t>690</t>
        </is>
      </c>
      <c r="B11585" s="4" t="n">
        <v>6</v>
      </c>
      <c r="C11585" s="4" t="inlineStr">
        <is>
          <t>whitetail</t>
        </is>
      </c>
      <c r="D11585" s="4" t="n">
        <v>2019</v>
      </c>
      <c r="E11585" s="13" t="inlineStr">
        <is>
          <t>General</t>
        </is>
      </c>
      <c r="F11585" s="5" t="n">
        <v>2553</v>
      </c>
      <c r="G11585" s="5" t="n">
        <v>12486</v>
      </c>
      <c r="H11585" s="5" t="n">
        <v>502</v>
      </c>
      <c r="I11585" s="5" t="n">
        <v>282</v>
      </c>
      <c r="J11585" s="5" t="n">
        <v>217</v>
      </c>
      <c r="K11585" s="10">
        <f>IF(F11585&gt;0,H11585/F11585,"")</f>
        <v/>
      </c>
      <c r="L11585" s="16">
        <f>IF(AND(G11585&gt;0,H11585&gt;0),G11585/H11585,"")</f>
        <v/>
      </c>
    </row>
    <row r="11586">
      <c r="A11586" s="4" t="inlineStr">
        <is>
          <t>690</t>
        </is>
      </c>
      <c r="B11586" s="4" t="n">
        <v>6</v>
      </c>
      <c r="C11586" s="4" t="inlineStr">
        <is>
          <t>whitetail</t>
        </is>
      </c>
      <c r="D11586" s="4" t="n">
        <v>2020</v>
      </c>
      <c r="E11586" s="13" t="inlineStr">
        <is>
          <t>General</t>
        </is>
      </c>
      <c r="F11586" s="5" t="n"/>
      <c r="G11586" s="5" t="n"/>
      <c r="H11586" s="5" t="n">
        <v>713</v>
      </c>
      <c r="I11586" s="5" t="n">
        <v>340</v>
      </c>
      <c r="J11586" s="5" t="n">
        <v>327</v>
      </c>
      <c r="K11586" s="10">
        <f>IF(F11586&gt;0,H11586/F11586,"")</f>
        <v/>
      </c>
      <c r="L11586" s="16">
        <f>IF(AND(G11586&gt;0,H11586&gt;0),G11586/H11586,"")</f>
        <v/>
      </c>
    </row>
    <row r="11587">
      <c r="A11587" s="4" t="inlineStr">
        <is>
          <t>690</t>
        </is>
      </c>
      <c r="B11587" s="4" t="n">
        <v>6</v>
      </c>
      <c r="C11587" s="4" t="inlineStr">
        <is>
          <t>whitetail</t>
        </is>
      </c>
      <c r="D11587" s="4" t="n">
        <v>2021</v>
      </c>
      <c r="E11587" s="13" t="inlineStr">
        <is>
          <t>General</t>
        </is>
      </c>
      <c r="F11587" s="5" t="n">
        <v>3447</v>
      </c>
      <c r="G11587" s="5" t="n">
        <v>17101</v>
      </c>
      <c r="H11587" s="5" t="n">
        <v>528</v>
      </c>
      <c r="I11587" s="5" t="n">
        <v>276</v>
      </c>
      <c r="J11587" s="5" t="n">
        <v>244</v>
      </c>
      <c r="K11587" s="10">
        <f>IF(F11587&gt;0,H11587/F11587,"")</f>
        <v/>
      </c>
      <c r="L11587" s="16">
        <f>IF(AND(G11587&gt;0,H11587&gt;0),G11587/H11587,"")</f>
        <v/>
      </c>
    </row>
    <row r="11588">
      <c r="A11588" s="4" t="inlineStr">
        <is>
          <t>690</t>
        </is>
      </c>
      <c r="B11588" s="4" t="n">
        <v>6</v>
      </c>
      <c r="C11588" s="4" t="inlineStr">
        <is>
          <t>whitetail</t>
        </is>
      </c>
      <c r="D11588" s="4" t="n">
        <v>2022</v>
      </c>
      <c r="E11588" s="13" t="inlineStr">
        <is>
          <t>General</t>
        </is>
      </c>
      <c r="F11588" s="5" t="n"/>
      <c r="G11588" s="5" t="n"/>
      <c r="H11588" s="5" t="n">
        <v>660</v>
      </c>
      <c r="I11588" s="5" t="n">
        <v>330</v>
      </c>
      <c r="J11588" s="5" t="n">
        <v>331</v>
      </c>
      <c r="K11588" s="10">
        <f>IF(F11588&gt;0,H11588/F11588,"")</f>
        <v/>
      </c>
      <c r="L11588" s="16">
        <f>IF(AND(G11588&gt;0,H11588&gt;0),G11588/H11588,"")</f>
        <v/>
      </c>
    </row>
    <row r="11589">
      <c r="A11589" s="4" t="inlineStr">
        <is>
          <t>690</t>
        </is>
      </c>
      <c r="B11589" s="4" t="n">
        <v>6</v>
      </c>
      <c r="C11589" s="4" t="inlineStr">
        <is>
          <t>whitetail</t>
        </is>
      </c>
      <c r="D11589" s="4" t="n">
        <v>2023</v>
      </c>
      <c r="E11589" s="13" t="inlineStr">
        <is>
          <t>General</t>
        </is>
      </c>
      <c r="F11589" s="5" t="n">
        <v>3038</v>
      </c>
      <c r="G11589" s="5" t="n">
        <v>16683</v>
      </c>
      <c r="H11589" s="5" t="n">
        <v>530</v>
      </c>
      <c r="I11589" s="5" t="n">
        <v>280</v>
      </c>
      <c r="J11589" s="5" t="n">
        <v>242</v>
      </c>
      <c r="K11589" s="10">
        <f>IF(F11589&gt;0,H11589/F11589,"")</f>
        <v/>
      </c>
      <c r="L11589" s="16">
        <f>IF(AND(G11589&gt;0,H11589&gt;0),G11589/H11589,"")</f>
        <v/>
      </c>
    </row>
    <row r="11590">
      <c r="A11590" s="4" t="inlineStr">
        <is>
          <t>690</t>
        </is>
      </c>
      <c r="B11590" s="4" t="n">
        <v>6</v>
      </c>
      <c r="C11590" s="4" t="inlineStr">
        <is>
          <t>whitetail</t>
        </is>
      </c>
      <c r="D11590" s="4" t="n">
        <v>2024</v>
      </c>
      <c r="E11590" s="13" t="inlineStr">
        <is>
          <t>General</t>
        </is>
      </c>
      <c r="F11590" s="5" t="n"/>
      <c r="G11590" s="5" t="n"/>
      <c r="H11590" s="5" t="n">
        <v>446</v>
      </c>
      <c r="I11590" s="5" t="n">
        <v>223</v>
      </c>
      <c r="J11590" s="5" t="n">
        <v>223</v>
      </c>
      <c r="K11590" s="10">
        <f>IF(F11590&gt;0,H11590/F11590,"")</f>
        <v/>
      </c>
      <c r="L11590" s="16">
        <f>IF(AND(G11590&gt;0,H11590&gt;0),G11590/H11590,"")</f>
        <v/>
      </c>
    </row>
    <row r="11591">
      <c r="A11591" s="4" t="inlineStr">
        <is>
          <t>690</t>
        </is>
      </c>
      <c r="B11591" s="4" t="n">
        <v>6</v>
      </c>
      <c r="C11591" s="4" t="inlineStr">
        <is>
          <t>whitetail</t>
        </is>
      </c>
      <c r="D11591" s="4" t="n">
        <v>2025</v>
      </c>
      <c r="E11591" s="13" t="inlineStr">
        <is>
          <t>General</t>
        </is>
      </c>
      <c r="F11591" s="5" t="n">
        <v>2914</v>
      </c>
      <c r="G11591" s="5" t="n">
        <v>15526</v>
      </c>
      <c r="H11591" s="5" t="n">
        <v>350</v>
      </c>
      <c r="I11591" s="5" t="n">
        <v>247</v>
      </c>
      <c r="J11591" s="5" t="n">
        <v>99</v>
      </c>
      <c r="K11591" s="10">
        <f>IF(F11591&gt;0,H11591/F11591,"")</f>
        <v/>
      </c>
      <c r="L11591" s="16">
        <f>IF(AND(G11591&gt;0,H11591&gt;0),G11591/H11591,"")</f>
        <v/>
      </c>
    </row>
    <row r="11592">
      <c r="A11592" s="4" t="inlineStr">
        <is>
          <t>700</t>
        </is>
      </c>
      <c r="B11592" s="4" t="n">
        <v>7</v>
      </c>
      <c r="C11592" s="4" t="inlineStr">
        <is>
          <t>whitetail</t>
        </is>
      </c>
      <c r="D11592" s="4" t="n">
        <v>2004</v>
      </c>
      <c r="E11592" s="13" t="inlineStr">
        <is>
          <t>General</t>
        </is>
      </c>
      <c r="F11592" s="5" t="n">
        <v>2694</v>
      </c>
      <c r="G11592" s="5" t="n">
        <v>12489</v>
      </c>
      <c r="H11592" s="5" t="n">
        <v>278</v>
      </c>
      <c r="I11592" s="5" t="n">
        <v>120</v>
      </c>
      <c r="J11592" s="5" t="n">
        <v>152</v>
      </c>
      <c r="K11592" s="10">
        <f>IF(F11592&gt;0,H11592/F11592,"")</f>
        <v/>
      </c>
      <c r="L11592" s="16">
        <f>IF(AND(G11592&gt;0,H11592&gt;0),G11592/H11592,"")</f>
        <v/>
      </c>
    </row>
    <row r="11593">
      <c r="A11593" s="4" t="inlineStr">
        <is>
          <t>700</t>
        </is>
      </c>
      <c r="B11593" s="4" t="n">
        <v>7</v>
      </c>
      <c r="C11593" s="4" t="inlineStr">
        <is>
          <t>whitetail</t>
        </is>
      </c>
      <c r="D11593" s="4" t="n">
        <v>2005</v>
      </c>
      <c r="E11593" s="13" t="inlineStr">
        <is>
          <t>General</t>
        </is>
      </c>
      <c r="F11593" s="5" t="n">
        <v>2963</v>
      </c>
      <c r="G11593" s="5" t="n">
        <v>15332</v>
      </c>
      <c r="H11593" s="5" t="n">
        <v>453</v>
      </c>
      <c r="I11593" s="5" t="n">
        <v>174</v>
      </c>
      <c r="J11593" s="5" t="n">
        <v>270</v>
      </c>
      <c r="K11593" s="10">
        <f>IF(F11593&gt;0,H11593/F11593,"")</f>
        <v/>
      </c>
      <c r="L11593" s="16">
        <f>IF(AND(G11593&gt;0,H11593&gt;0),G11593/H11593,"")</f>
        <v/>
      </c>
    </row>
    <row r="11594">
      <c r="A11594" s="4" t="inlineStr">
        <is>
          <t>700</t>
        </is>
      </c>
      <c r="B11594" s="4" t="n">
        <v>7</v>
      </c>
      <c r="C11594" s="4" t="inlineStr">
        <is>
          <t>whitetail</t>
        </is>
      </c>
      <c r="D11594" s="4" t="n">
        <v>2006</v>
      </c>
      <c r="E11594" s="13" t="inlineStr">
        <is>
          <t>General</t>
        </is>
      </c>
      <c r="F11594" s="5" t="n">
        <v>3410</v>
      </c>
      <c r="G11594" s="5" t="n">
        <v>18078</v>
      </c>
      <c r="H11594" s="5" t="n">
        <v>919</v>
      </c>
      <c r="I11594" s="5" t="n">
        <v>410</v>
      </c>
      <c r="J11594" s="5" t="n">
        <v>488</v>
      </c>
      <c r="K11594" s="10">
        <f>IF(F11594&gt;0,H11594/F11594,"")</f>
        <v/>
      </c>
      <c r="L11594" s="16">
        <f>IF(AND(G11594&gt;0,H11594&gt;0),G11594/H11594,"")</f>
        <v/>
      </c>
    </row>
    <row r="11595">
      <c r="A11595" s="4" t="inlineStr">
        <is>
          <t>700</t>
        </is>
      </c>
      <c r="B11595" s="4" t="n">
        <v>7</v>
      </c>
      <c r="C11595" s="4" t="inlineStr">
        <is>
          <t>whitetail</t>
        </is>
      </c>
      <c r="D11595" s="4" t="n">
        <v>2007</v>
      </c>
      <c r="E11595" s="13" t="inlineStr">
        <is>
          <t>General</t>
        </is>
      </c>
      <c r="F11595" s="5" t="n">
        <v>3649</v>
      </c>
      <c r="G11595" s="5" t="n">
        <v>20561</v>
      </c>
      <c r="H11595" s="5" t="n">
        <v>636</v>
      </c>
      <c r="I11595" s="5" t="n">
        <v>240</v>
      </c>
      <c r="J11595" s="5" t="n">
        <v>393</v>
      </c>
      <c r="K11595" s="10">
        <f>IF(F11595&gt;0,H11595/F11595,"")</f>
        <v/>
      </c>
      <c r="L11595" s="16">
        <f>IF(AND(G11595&gt;0,H11595&gt;0),G11595/H11595,"")</f>
        <v/>
      </c>
    </row>
    <row r="11596">
      <c r="A11596" s="4" t="inlineStr">
        <is>
          <t>700</t>
        </is>
      </c>
      <c r="B11596" s="4" t="n">
        <v>7</v>
      </c>
      <c r="C11596" s="4" t="inlineStr">
        <is>
          <t>whitetail</t>
        </is>
      </c>
      <c r="D11596" s="4" t="n">
        <v>2008</v>
      </c>
      <c r="E11596" s="13" t="inlineStr">
        <is>
          <t>General</t>
        </is>
      </c>
      <c r="F11596" s="5" t="n">
        <v>3946</v>
      </c>
      <c r="G11596" s="5" t="n">
        <v>22246</v>
      </c>
      <c r="H11596" s="5" t="n">
        <v>890</v>
      </c>
      <c r="I11596" s="5" t="n">
        <v>398</v>
      </c>
      <c r="J11596" s="5" t="n">
        <v>473</v>
      </c>
      <c r="K11596" s="10">
        <f>IF(F11596&gt;0,H11596/F11596,"")</f>
        <v/>
      </c>
      <c r="L11596" s="16">
        <f>IF(AND(G11596&gt;0,H11596&gt;0),G11596/H11596,"")</f>
        <v/>
      </c>
    </row>
    <row r="11597">
      <c r="A11597" s="4" t="inlineStr">
        <is>
          <t>700</t>
        </is>
      </c>
      <c r="B11597" s="4" t="n">
        <v>7</v>
      </c>
      <c r="C11597" s="4" t="inlineStr">
        <is>
          <t>whitetail</t>
        </is>
      </c>
      <c r="D11597" s="4" t="n">
        <v>2009</v>
      </c>
      <c r="E11597" s="13" t="inlineStr">
        <is>
          <t>General</t>
        </is>
      </c>
      <c r="F11597" s="5" t="n">
        <v>3744</v>
      </c>
      <c r="G11597" s="5" t="n">
        <v>21117</v>
      </c>
      <c r="H11597" s="5" t="n">
        <v>680</v>
      </c>
      <c r="I11597" s="5" t="n">
        <v>257</v>
      </c>
      <c r="J11597" s="5" t="n">
        <v>401</v>
      </c>
      <c r="K11597" s="10">
        <f>IF(F11597&gt;0,H11597/F11597,"")</f>
        <v/>
      </c>
      <c r="L11597" s="16">
        <f>IF(AND(G11597&gt;0,H11597&gt;0),G11597/H11597,"")</f>
        <v/>
      </c>
    </row>
    <row r="11598">
      <c r="A11598" s="4" t="inlineStr">
        <is>
          <t>700</t>
        </is>
      </c>
      <c r="B11598" s="4" t="n">
        <v>7</v>
      </c>
      <c r="C11598" s="4" t="inlineStr">
        <is>
          <t>whitetail</t>
        </is>
      </c>
      <c r="D11598" s="4" t="n">
        <v>2010</v>
      </c>
      <c r="E11598" s="13" t="inlineStr">
        <is>
          <t>General</t>
        </is>
      </c>
      <c r="F11598" s="5" t="n">
        <v>3458</v>
      </c>
      <c r="G11598" s="5" t="n">
        <v>18391</v>
      </c>
      <c r="H11598" s="5" t="n">
        <v>624</v>
      </c>
      <c r="I11598" s="5" t="n">
        <v>237</v>
      </c>
      <c r="J11598" s="5" t="n">
        <v>378</v>
      </c>
      <c r="K11598" s="10">
        <f>IF(F11598&gt;0,H11598/F11598,"")</f>
        <v/>
      </c>
      <c r="L11598" s="16">
        <f>IF(AND(G11598&gt;0,H11598&gt;0),G11598/H11598,"")</f>
        <v/>
      </c>
    </row>
    <row r="11599">
      <c r="A11599" s="4" t="inlineStr">
        <is>
          <t>700</t>
        </is>
      </c>
      <c r="B11599" s="4" t="n">
        <v>7</v>
      </c>
      <c r="C11599" s="4" t="inlineStr">
        <is>
          <t>whitetail</t>
        </is>
      </c>
      <c r="D11599" s="4" t="n">
        <v>2011</v>
      </c>
      <c r="E11599" s="13" t="inlineStr">
        <is>
          <t>General</t>
        </is>
      </c>
      <c r="F11599" s="5" t="n">
        <v>3347</v>
      </c>
      <c r="G11599" s="5" t="n">
        <v>18107</v>
      </c>
      <c r="H11599" s="5" t="n">
        <v>490</v>
      </c>
      <c r="I11599" s="5" t="n">
        <v>185</v>
      </c>
      <c r="J11599" s="5" t="n">
        <v>294</v>
      </c>
      <c r="K11599" s="10">
        <f>IF(F11599&gt;0,H11599/F11599,"")</f>
        <v/>
      </c>
      <c r="L11599" s="16">
        <f>IF(AND(G11599&gt;0,H11599&gt;0),G11599/H11599,"")</f>
        <v/>
      </c>
    </row>
    <row r="11600">
      <c r="A11600" s="4" t="inlineStr">
        <is>
          <t>700</t>
        </is>
      </c>
      <c r="B11600" s="4" t="n">
        <v>7</v>
      </c>
      <c r="C11600" s="4" t="inlineStr">
        <is>
          <t>whitetail</t>
        </is>
      </c>
      <c r="D11600" s="4" t="n">
        <v>2012</v>
      </c>
      <c r="E11600" s="13" t="inlineStr">
        <is>
          <t>General</t>
        </is>
      </c>
      <c r="F11600" s="5" t="n"/>
      <c r="G11600" s="5" t="n"/>
      <c r="H11600" s="5" t="n">
        <v>451</v>
      </c>
      <c r="I11600" s="5" t="n">
        <v>214</v>
      </c>
      <c r="J11600" s="5" t="n">
        <v>228</v>
      </c>
      <c r="K11600" s="10">
        <f>IF(F11600&gt;0,H11600/F11600,"")</f>
        <v/>
      </c>
      <c r="L11600" s="16">
        <f>IF(AND(G11600&gt;0,H11600&gt;0),G11600/H11600,"")</f>
        <v/>
      </c>
    </row>
    <row r="11601">
      <c r="A11601" s="4" t="inlineStr">
        <is>
          <t>700</t>
        </is>
      </c>
      <c r="B11601" s="4" t="n">
        <v>7</v>
      </c>
      <c r="C11601" s="4" t="inlineStr">
        <is>
          <t>whitetail</t>
        </is>
      </c>
      <c r="D11601" s="4" t="n">
        <v>2013</v>
      </c>
      <c r="E11601" s="13" t="inlineStr">
        <is>
          <t>General</t>
        </is>
      </c>
      <c r="F11601" s="5" t="n">
        <v>2835</v>
      </c>
      <c r="G11601" s="5" t="n">
        <v>16900</v>
      </c>
      <c r="H11601" s="5" t="n">
        <v>409</v>
      </c>
      <c r="I11601" s="5" t="n">
        <v>160</v>
      </c>
      <c r="J11601" s="5" t="n">
        <v>243</v>
      </c>
      <c r="K11601" s="10">
        <f>IF(F11601&gt;0,H11601/F11601,"")</f>
        <v/>
      </c>
      <c r="L11601" s="16">
        <f>IF(AND(G11601&gt;0,H11601&gt;0),G11601/H11601,"")</f>
        <v/>
      </c>
    </row>
    <row r="11602">
      <c r="A11602" s="4" t="inlineStr">
        <is>
          <t>700</t>
        </is>
      </c>
      <c r="B11602" s="4" t="n">
        <v>7</v>
      </c>
      <c r="C11602" s="4" t="inlineStr">
        <is>
          <t>whitetail</t>
        </is>
      </c>
      <c r="D11602" s="4" t="n">
        <v>2014</v>
      </c>
      <c r="E11602" s="13" t="inlineStr">
        <is>
          <t>General</t>
        </is>
      </c>
      <c r="F11602" s="5" t="n"/>
      <c r="G11602" s="5" t="n"/>
      <c r="H11602" s="5" t="n">
        <v>592</v>
      </c>
      <c r="I11602" s="5" t="n">
        <v>291</v>
      </c>
      <c r="J11602" s="5" t="n">
        <v>290</v>
      </c>
      <c r="K11602" s="10">
        <f>IF(F11602&gt;0,H11602/F11602,"")</f>
        <v/>
      </c>
      <c r="L11602" s="16">
        <f>IF(AND(G11602&gt;0,H11602&gt;0),G11602/H11602,"")</f>
        <v/>
      </c>
    </row>
    <row r="11603">
      <c r="A11603" s="4" t="inlineStr">
        <is>
          <t>700</t>
        </is>
      </c>
      <c r="B11603" s="4" t="n">
        <v>7</v>
      </c>
      <c r="C11603" s="4" t="inlineStr">
        <is>
          <t>whitetail</t>
        </is>
      </c>
      <c r="D11603" s="4" t="n">
        <v>2015</v>
      </c>
      <c r="E11603" s="13" t="inlineStr">
        <is>
          <t>General</t>
        </is>
      </c>
      <c r="F11603" s="5" t="n"/>
      <c r="G11603" s="5" t="n"/>
      <c r="H11603" s="5" t="n">
        <v>737</v>
      </c>
      <c r="I11603" s="5" t="n">
        <v>346</v>
      </c>
      <c r="J11603" s="5" t="n">
        <v>381</v>
      </c>
      <c r="K11603" s="10">
        <f>IF(F11603&gt;0,H11603/F11603,"")</f>
        <v/>
      </c>
      <c r="L11603" s="16">
        <f>IF(AND(G11603&gt;0,H11603&gt;0),G11603/H11603,"")</f>
        <v/>
      </c>
    </row>
    <row r="11604">
      <c r="A11604" s="4" t="inlineStr">
        <is>
          <t>700</t>
        </is>
      </c>
      <c r="B11604" s="4" t="n">
        <v>7</v>
      </c>
      <c r="C11604" s="4" t="inlineStr">
        <is>
          <t>whitetail</t>
        </is>
      </c>
      <c r="D11604" s="4" t="n">
        <v>2016</v>
      </c>
      <c r="E11604" s="13" t="inlineStr">
        <is>
          <t>General</t>
        </is>
      </c>
      <c r="F11604" s="5" t="n"/>
      <c r="G11604" s="5" t="n"/>
      <c r="H11604" s="5" t="n">
        <v>658</v>
      </c>
      <c r="I11604" s="5" t="n">
        <v>302</v>
      </c>
      <c r="J11604" s="5" t="n">
        <v>344</v>
      </c>
      <c r="K11604" s="10">
        <f>IF(F11604&gt;0,H11604/F11604,"")</f>
        <v/>
      </c>
      <c r="L11604" s="16">
        <f>IF(AND(G11604&gt;0,H11604&gt;0),G11604/H11604,"")</f>
        <v/>
      </c>
    </row>
    <row r="11605">
      <c r="A11605" s="4" t="inlineStr">
        <is>
          <t>700</t>
        </is>
      </c>
      <c r="B11605" s="4" t="n">
        <v>7</v>
      </c>
      <c r="C11605" s="4" t="inlineStr">
        <is>
          <t>whitetail</t>
        </is>
      </c>
      <c r="D11605" s="4" t="n">
        <v>2017</v>
      </c>
      <c r="E11605" s="13" t="inlineStr">
        <is>
          <t>General</t>
        </is>
      </c>
      <c r="F11605" s="5" t="n">
        <v>4026</v>
      </c>
      <c r="G11605" s="5" t="n">
        <v>23446</v>
      </c>
      <c r="H11605" s="5" t="n">
        <v>797</v>
      </c>
      <c r="I11605" s="5" t="n">
        <v>383</v>
      </c>
      <c r="J11605" s="5" t="n">
        <v>410</v>
      </c>
      <c r="K11605" s="10">
        <f>IF(F11605&gt;0,H11605/F11605,"")</f>
        <v/>
      </c>
      <c r="L11605" s="16">
        <f>IF(AND(G11605&gt;0,H11605&gt;0),G11605/H11605,"")</f>
        <v/>
      </c>
    </row>
    <row r="11606">
      <c r="A11606" s="4" t="inlineStr">
        <is>
          <t>700</t>
        </is>
      </c>
      <c r="B11606" s="4" t="n">
        <v>7</v>
      </c>
      <c r="C11606" s="4" t="inlineStr">
        <is>
          <t>whitetail</t>
        </is>
      </c>
      <c r="D11606" s="4" t="n">
        <v>2018</v>
      </c>
      <c r="E11606" s="13" t="inlineStr">
        <is>
          <t>General</t>
        </is>
      </c>
      <c r="F11606" s="5" t="n"/>
      <c r="G11606" s="5" t="n"/>
      <c r="H11606" s="5" t="n">
        <v>473</v>
      </c>
      <c r="I11606" s="5" t="n">
        <v>262</v>
      </c>
      <c r="J11606" s="5" t="n">
        <v>208</v>
      </c>
      <c r="K11606" s="10">
        <f>IF(F11606&gt;0,H11606/F11606,"")</f>
        <v/>
      </c>
      <c r="L11606" s="16">
        <f>IF(AND(G11606&gt;0,H11606&gt;0),G11606/H11606,"")</f>
        <v/>
      </c>
    </row>
    <row r="11607">
      <c r="A11607" s="4" t="inlineStr">
        <is>
          <t>700</t>
        </is>
      </c>
      <c r="B11607" s="4" t="n">
        <v>7</v>
      </c>
      <c r="C11607" s="4" t="inlineStr">
        <is>
          <t>whitetail</t>
        </is>
      </c>
      <c r="D11607" s="4" t="n">
        <v>2019</v>
      </c>
      <c r="E11607" s="13" t="inlineStr">
        <is>
          <t>General</t>
        </is>
      </c>
      <c r="F11607" s="5" t="n">
        <v>3502</v>
      </c>
      <c r="G11607" s="5" t="n">
        <v>19643</v>
      </c>
      <c r="H11607" s="5" t="n">
        <v>527</v>
      </c>
      <c r="I11607" s="5" t="n">
        <v>314</v>
      </c>
      <c r="J11607" s="5" t="n">
        <v>206</v>
      </c>
      <c r="K11607" s="10">
        <f>IF(F11607&gt;0,H11607/F11607,"")</f>
        <v/>
      </c>
      <c r="L11607" s="16">
        <f>IF(AND(G11607&gt;0,H11607&gt;0),G11607/H11607,"")</f>
        <v/>
      </c>
    </row>
    <row r="11608">
      <c r="A11608" s="4" t="inlineStr">
        <is>
          <t>700</t>
        </is>
      </c>
      <c r="B11608" s="4" t="n">
        <v>7</v>
      </c>
      <c r="C11608" s="4" t="inlineStr">
        <is>
          <t>whitetail</t>
        </is>
      </c>
      <c r="D11608" s="4" t="n">
        <v>2020</v>
      </c>
      <c r="E11608" s="13" t="inlineStr">
        <is>
          <t>General</t>
        </is>
      </c>
      <c r="F11608" s="5" t="n"/>
      <c r="G11608" s="5" t="n"/>
      <c r="H11608" s="5" t="n">
        <v>735</v>
      </c>
      <c r="I11608" s="5" t="n">
        <v>334</v>
      </c>
      <c r="J11608" s="5" t="n">
        <v>397</v>
      </c>
      <c r="K11608" s="10">
        <f>IF(F11608&gt;0,H11608/F11608,"")</f>
        <v/>
      </c>
      <c r="L11608" s="16">
        <f>IF(AND(G11608&gt;0,H11608&gt;0),G11608/H11608,"")</f>
        <v/>
      </c>
    </row>
    <row r="11609">
      <c r="A11609" s="4" t="inlineStr">
        <is>
          <t>700</t>
        </is>
      </c>
      <c r="B11609" s="4" t="n">
        <v>7</v>
      </c>
      <c r="C11609" s="4" t="inlineStr">
        <is>
          <t>whitetail</t>
        </is>
      </c>
      <c r="D11609" s="4" t="n">
        <v>2021</v>
      </c>
      <c r="E11609" s="13" t="inlineStr">
        <is>
          <t>General</t>
        </is>
      </c>
      <c r="F11609" s="5" t="n">
        <v>4493</v>
      </c>
      <c r="G11609" s="5" t="n">
        <v>26648</v>
      </c>
      <c r="H11609" s="5" t="n">
        <v>774</v>
      </c>
      <c r="I11609" s="5" t="n">
        <v>420</v>
      </c>
      <c r="J11609" s="5" t="n">
        <v>354</v>
      </c>
      <c r="K11609" s="10">
        <f>IF(F11609&gt;0,H11609/F11609,"")</f>
        <v/>
      </c>
      <c r="L11609" s="16">
        <f>IF(AND(G11609&gt;0,H11609&gt;0),G11609/H11609,"")</f>
        <v/>
      </c>
    </row>
    <row r="11610">
      <c r="A11610" s="4" t="inlineStr">
        <is>
          <t>700</t>
        </is>
      </c>
      <c r="B11610" s="4" t="n">
        <v>7</v>
      </c>
      <c r="C11610" s="4" t="inlineStr">
        <is>
          <t>whitetail</t>
        </is>
      </c>
      <c r="D11610" s="4" t="n">
        <v>2022</v>
      </c>
      <c r="E11610" s="13" t="inlineStr">
        <is>
          <t>General</t>
        </is>
      </c>
      <c r="F11610" s="5" t="n"/>
      <c r="G11610" s="5" t="n"/>
      <c r="H11610" s="5" t="n">
        <v>639</v>
      </c>
      <c r="I11610" s="5" t="n">
        <v>273</v>
      </c>
      <c r="J11610" s="5" t="n">
        <v>363</v>
      </c>
      <c r="K11610" s="10">
        <f>IF(F11610&gt;0,H11610/F11610,"")</f>
        <v/>
      </c>
      <c r="L11610" s="16">
        <f>IF(AND(G11610&gt;0,H11610&gt;0),G11610/H11610,"")</f>
        <v/>
      </c>
    </row>
    <row r="11611">
      <c r="A11611" s="4" t="inlineStr">
        <is>
          <t>700</t>
        </is>
      </c>
      <c r="B11611" s="4" t="n">
        <v>7</v>
      </c>
      <c r="C11611" s="4" t="inlineStr">
        <is>
          <t>whitetail</t>
        </is>
      </c>
      <c r="D11611" s="4" t="n">
        <v>2023</v>
      </c>
      <c r="E11611" s="13" t="inlineStr">
        <is>
          <t>General</t>
        </is>
      </c>
      <c r="F11611" s="5" t="n">
        <v>3467</v>
      </c>
      <c r="G11611" s="5" t="n">
        <v>21061</v>
      </c>
      <c r="H11611" s="5" t="n">
        <v>716</v>
      </c>
      <c r="I11611" s="5" t="n">
        <v>331</v>
      </c>
      <c r="J11611" s="5" t="n">
        <v>368</v>
      </c>
      <c r="K11611" s="10">
        <f>IF(F11611&gt;0,H11611/F11611,"")</f>
        <v/>
      </c>
      <c r="L11611" s="16">
        <f>IF(AND(G11611&gt;0,H11611&gt;0),G11611/H11611,"")</f>
        <v/>
      </c>
    </row>
    <row r="11612">
      <c r="A11612" s="4" t="inlineStr">
        <is>
          <t>700</t>
        </is>
      </c>
      <c r="B11612" s="4" t="n">
        <v>7</v>
      </c>
      <c r="C11612" s="4" t="inlineStr">
        <is>
          <t>whitetail</t>
        </is>
      </c>
      <c r="D11612" s="4" t="n">
        <v>2024</v>
      </c>
      <c r="E11612" s="13" t="inlineStr">
        <is>
          <t>General</t>
        </is>
      </c>
      <c r="F11612" s="5" t="n"/>
      <c r="G11612" s="5" t="n"/>
      <c r="H11612" s="5" t="n">
        <v>598</v>
      </c>
      <c r="I11612" s="5" t="n">
        <v>339</v>
      </c>
      <c r="J11612" s="5" t="n">
        <v>250</v>
      </c>
      <c r="K11612" s="10">
        <f>IF(F11612&gt;0,H11612/F11612,"")</f>
        <v/>
      </c>
      <c r="L11612" s="16">
        <f>IF(AND(G11612&gt;0,H11612&gt;0),G11612/H11612,"")</f>
        <v/>
      </c>
    </row>
    <row r="11613">
      <c r="A11613" s="4" t="inlineStr">
        <is>
          <t>700</t>
        </is>
      </c>
      <c r="B11613" s="4" t="n">
        <v>7</v>
      </c>
      <c r="C11613" s="4" t="inlineStr">
        <is>
          <t>whitetail</t>
        </is>
      </c>
      <c r="D11613" s="4" t="n">
        <v>2025</v>
      </c>
      <c r="E11613" s="13" t="inlineStr">
        <is>
          <t>General</t>
        </is>
      </c>
      <c r="F11613" s="5" t="n">
        <v>3259</v>
      </c>
      <c r="G11613" s="5" t="n">
        <v>23783</v>
      </c>
      <c r="H11613" s="5" t="n">
        <v>480</v>
      </c>
      <c r="I11613" s="5" t="n">
        <v>206</v>
      </c>
      <c r="J11613" s="5" t="n">
        <v>269</v>
      </c>
      <c r="K11613" s="10">
        <f>IF(F11613&gt;0,H11613/F11613,"")</f>
        <v/>
      </c>
      <c r="L11613" s="16">
        <f>IF(AND(G11613&gt;0,H11613&gt;0),G11613/H11613,"")</f>
        <v/>
      </c>
    </row>
    <row r="11614">
      <c r="A11614" s="4" t="inlineStr">
        <is>
          <t>701</t>
        </is>
      </c>
      <c r="B11614" s="4" t="n">
        <v>7</v>
      </c>
      <c r="C11614" s="4" t="inlineStr">
        <is>
          <t>whitetail</t>
        </is>
      </c>
      <c r="D11614" s="4" t="n">
        <v>2004</v>
      </c>
      <c r="E11614" s="13" t="inlineStr">
        <is>
          <t>General</t>
        </is>
      </c>
      <c r="F11614" s="5" t="n">
        <v>3278</v>
      </c>
      <c r="G11614" s="5" t="n">
        <v>12883</v>
      </c>
      <c r="H11614" s="5" t="n">
        <v>968</v>
      </c>
      <c r="I11614" s="5" t="n">
        <v>462</v>
      </c>
      <c r="J11614" s="5" t="n">
        <v>476</v>
      </c>
      <c r="K11614" s="10">
        <f>IF(F11614&gt;0,H11614/F11614,"")</f>
        <v/>
      </c>
      <c r="L11614" s="16">
        <f>IF(AND(G11614&gt;0,H11614&gt;0),G11614/H11614,"")</f>
        <v/>
      </c>
    </row>
    <row r="11615">
      <c r="A11615" s="4" t="inlineStr">
        <is>
          <t>701</t>
        </is>
      </c>
      <c r="B11615" s="4" t="n">
        <v>7</v>
      </c>
      <c r="C11615" s="4" t="inlineStr">
        <is>
          <t>whitetail</t>
        </is>
      </c>
      <c r="D11615" s="4" t="n">
        <v>2005</v>
      </c>
      <c r="E11615" s="13" t="inlineStr">
        <is>
          <t>General</t>
        </is>
      </c>
      <c r="F11615" s="5" t="n">
        <v>2820</v>
      </c>
      <c r="G11615" s="5" t="n">
        <v>12285</v>
      </c>
      <c r="H11615" s="5" t="n">
        <v>808</v>
      </c>
      <c r="I11615" s="5" t="n">
        <v>304</v>
      </c>
      <c r="J11615" s="5" t="n">
        <v>451</v>
      </c>
      <c r="K11615" s="10">
        <f>IF(F11615&gt;0,H11615/F11615,"")</f>
        <v/>
      </c>
      <c r="L11615" s="16">
        <f>IF(AND(G11615&gt;0,H11615&gt;0),G11615/H11615,"")</f>
        <v/>
      </c>
    </row>
    <row r="11616">
      <c r="A11616" s="4" t="inlineStr">
        <is>
          <t>701</t>
        </is>
      </c>
      <c r="B11616" s="4" t="n">
        <v>7</v>
      </c>
      <c r="C11616" s="4" t="inlineStr">
        <is>
          <t>whitetail</t>
        </is>
      </c>
      <c r="D11616" s="4" t="n">
        <v>2006</v>
      </c>
      <c r="E11616" s="13" t="inlineStr">
        <is>
          <t>General</t>
        </is>
      </c>
      <c r="F11616" s="5" t="n">
        <v>2810</v>
      </c>
      <c r="G11616" s="5" t="n">
        <v>13009</v>
      </c>
      <c r="H11616" s="5" t="n">
        <v>1030</v>
      </c>
      <c r="I11616" s="5" t="n">
        <v>452</v>
      </c>
      <c r="J11616" s="5" t="n">
        <v>560</v>
      </c>
      <c r="K11616" s="10">
        <f>IF(F11616&gt;0,H11616/F11616,"")</f>
        <v/>
      </c>
      <c r="L11616" s="16">
        <f>IF(AND(G11616&gt;0,H11616&gt;0),G11616/H11616,"")</f>
        <v/>
      </c>
    </row>
    <row r="11617">
      <c r="A11617" s="4" t="inlineStr">
        <is>
          <t>701</t>
        </is>
      </c>
      <c r="B11617" s="4" t="n">
        <v>7</v>
      </c>
      <c r="C11617" s="4" t="inlineStr">
        <is>
          <t>whitetail</t>
        </is>
      </c>
      <c r="D11617" s="4" t="n">
        <v>2007</v>
      </c>
      <c r="E11617" s="13" t="inlineStr">
        <is>
          <t>General</t>
        </is>
      </c>
      <c r="F11617" s="5" t="n">
        <v>3138</v>
      </c>
      <c r="G11617" s="5" t="n">
        <v>13751</v>
      </c>
      <c r="H11617" s="5" t="n">
        <v>772</v>
      </c>
      <c r="I11617" s="5" t="n">
        <v>381</v>
      </c>
      <c r="J11617" s="5" t="n">
        <v>377</v>
      </c>
      <c r="K11617" s="10">
        <f>IF(F11617&gt;0,H11617/F11617,"")</f>
        <v/>
      </c>
      <c r="L11617" s="16">
        <f>IF(AND(G11617&gt;0,H11617&gt;0),G11617/H11617,"")</f>
        <v/>
      </c>
    </row>
    <row r="11618">
      <c r="A11618" s="4" t="inlineStr">
        <is>
          <t>701</t>
        </is>
      </c>
      <c r="B11618" s="4" t="n">
        <v>7</v>
      </c>
      <c r="C11618" s="4" t="inlineStr">
        <is>
          <t>whitetail</t>
        </is>
      </c>
      <c r="D11618" s="4" t="n">
        <v>2008</v>
      </c>
      <c r="E11618" s="13" t="inlineStr">
        <is>
          <t>General</t>
        </is>
      </c>
      <c r="F11618" s="5" t="n">
        <v>3270</v>
      </c>
      <c r="G11618" s="5" t="n">
        <v>14794</v>
      </c>
      <c r="H11618" s="5" t="n">
        <v>857</v>
      </c>
      <c r="I11618" s="5" t="n">
        <v>421</v>
      </c>
      <c r="J11618" s="5" t="n">
        <v>420</v>
      </c>
      <c r="K11618" s="10">
        <f>IF(F11618&gt;0,H11618/F11618,"")</f>
        <v/>
      </c>
      <c r="L11618" s="16">
        <f>IF(AND(G11618&gt;0,H11618&gt;0),G11618/H11618,"")</f>
        <v/>
      </c>
    </row>
    <row r="11619">
      <c r="A11619" s="4" t="inlineStr">
        <is>
          <t>701</t>
        </is>
      </c>
      <c r="B11619" s="4" t="n">
        <v>7</v>
      </c>
      <c r="C11619" s="4" t="inlineStr">
        <is>
          <t>whitetail</t>
        </is>
      </c>
      <c r="D11619" s="4" t="n">
        <v>2009</v>
      </c>
      <c r="E11619" s="13" t="inlineStr">
        <is>
          <t>General</t>
        </is>
      </c>
      <c r="F11619" s="5" t="n">
        <v>3567</v>
      </c>
      <c r="G11619" s="5" t="n">
        <v>16408</v>
      </c>
      <c r="H11619" s="5" t="n">
        <v>949</v>
      </c>
      <c r="I11619" s="5" t="n">
        <v>433</v>
      </c>
      <c r="J11619" s="5" t="n">
        <v>502</v>
      </c>
      <c r="K11619" s="10">
        <f>IF(F11619&gt;0,H11619/F11619,"")</f>
        <v/>
      </c>
      <c r="L11619" s="16">
        <f>IF(AND(G11619&gt;0,H11619&gt;0),G11619/H11619,"")</f>
        <v/>
      </c>
    </row>
    <row r="11620">
      <c r="A11620" s="4" t="inlineStr">
        <is>
          <t>701</t>
        </is>
      </c>
      <c r="B11620" s="4" t="n">
        <v>7</v>
      </c>
      <c r="C11620" s="4" t="inlineStr">
        <is>
          <t>whitetail</t>
        </is>
      </c>
      <c r="D11620" s="4" t="n">
        <v>2010</v>
      </c>
      <c r="E11620" s="13" t="inlineStr">
        <is>
          <t>General</t>
        </is>
      </c>
      <c r="F11620" s="5" t="n">
        <v>3604</v>
      </c>
      <c r="G11620" s="5" t="n">
        <v>16954</v>
      </c>
      <c r="H11620" s="5" t="n">
        <v>944</v>
      </c>
      <c r="I11620" s="5" t="n">
        <v>476</v>
      </c>
      <c r="J11620" s="5" t="n">
        <v>445</v>
      </c>
      <c r="K11620" s="10">
        <f>IF(F11620&gt;0,H11620/F11620,"")</f>
        <v/>
      </c>
      <c r="L11620" s="16">
        <f>IF(AND(G11620&gt;0,H11620&gt;0),G11620/H11620,"")</f>
        <v/>
      </c>
    </row>
    <row r="11621">
      <c r="A11621" s="4" t="inlineStr">
        <is>
          <t>701</t>
        </is>
      </c>
      <c r="B11621" s="4" t="n">
        <v>7</v>
      </c>
      <c r="C11621" s="4" t="inlineStr">
        <is>
          <t>whitetail</t>
        </is>
      </c>
      <c r="D11621" s="4" t="n">
        <v>2011</v>
      </c>
      <c r="E11621" s="13" t="inlineStr">
        <is>
          <t>General</t>
        </is>
      </c>
      <c r="F11621" s="5" t="n">
        <v>3299</v>
      </c>
      <c r="G11621" s="5" t="n">
        <v>15377</v>
      </c>
      <c r="H11621" s="5" t="n">
        <v>779</v>
      </c>
      <c r="I11621" s="5" t="n">
        <v>296</v>
      </c>
      <c r="J11621" s="5" t="n">
        <v>455</v>
      </c>
      <c r="K11621" s="10">
        <f>IF(F11621&gt;0,H11621/F11621,"")</f>
        <v/>
      </c>
      <c r="L11621" s="16">
        <f>IF(AND(G11621&gt;0,H11621&gt;0),G11621/H11621,"")</f>
        <v/>
      </c>
    </row>
    <row r="11622">
      <c r="A11622" s="4" t="inlineStr">
        <is>
          <t>701</t>
        </is>
      </c>
      <c r="B11622" s="4" t="n">
        <v>7</v>
      </c>
      <c r="C11622" s="4" t="inlineStr">
        <is>
          <t>whitetail</t>
        </is>
      </c>
      <c r="D11622" s="4" t="n">
        <v>2012</v>
      </c>
      <c r="E11622" s="13" t="inlineStr">
        <is>
          <t>General</t>
        </is>
      </c>
      <c r="F11622" s="5" t="n"/>
      <c r="G11622" s="5" t="n"/>
      <c r="H11622" s="5" t="n">
        <v>1077</v>
      </c>
      <c r="I11622" s="5" t="n">
        <v>500</v>
      </c>
      <c r="J11622" s="5" t="n">
        <v>563</v>
      </c>
      <c r="K11622" s="10">
        <f>IF(F11622&gt;0,H11622/F11622,"")</f>
        <v/>
      </c>
      <c r="L11622" s="16">
        <f>IF(AND(G11622&gt;0,H11622&gt;0),G11622/H11622,"")</f>
        <v/>
      </c>
    </row>
    <row r="11623">
      <c r="A11623" s="4" t="inlineStr">
        <is>
          <t>701</t>
        </is>
      </c>
      <c r="B11623" s="4" t="n">
        <v>7</v>
      </c>
      <c r="C11623" s="4" t="inlineStr">
        <is>
          <t>whitetail</t>
        </is>
      </c>
      <c r="D11623" s="4" t="n">
        <v>2013</v>
      </c>
      <c r="E11623" s="13" t="inlineStr">
        <is>
          <t>General</t>
        </is>
      </c>
      <c r="F11623" s="5" t="n">
        <v>3401</v>
      </c>
      <c r="G11623" s="5" t="n">
        <v>16480</v>
      </c>
      <c r="H11623" s="5" t="n">
        <v>763</v>
      </c>
      <c r="I11623" s="5" t="n">
        <v>340</v>
      </c>
      <c r="J11623" s="5" t="n">
        <v>414</v>
      </c>
      <c r="K11623" s="10">
        <f>IF(F11623&gt;0,H11623/F11623,"")</f>
        <v/>
      </c>
      <c r="L11623" s="16">
        <f>IF(AND(G11623&gt;0,H11623&gt;0),G11623/H11623,"")</f>
        <v/>
      </c>
    </row>
    <row r="11624">
      <c r="A11624" s="4" t="inlineStr">
        <is>
          <t>701</t>
        </is>
      </c>
      <c r="B11624" s="4" t="n">
        <v>7</v>
      </c>
      <c r="C11624" s="4" t="inlineStr">
        <is>
          <t>whitetail</t>
        </is>
      </c>
      <c r="D11624" s="4" t="n">
        <v>2014</v>
      </c>
      <c r="E11624" s="13" t="inlineStr">
        <is>
          <t>General</t>
        </is>
      </c>
      <c r="F11624" s="5" t="n"/>
      <c r="G11624" s="5" t="n"/>
      <c r="H11624" s="5" t="n">
        <v>946</v>
      </c>
      <c r="I11624" s="5" t="n">
        <v>545</v>
      </c>
      <c r="J11624" s="5" t="n">
        <v>395</v>
      </c>
      <c r="K11624" s="10">
        <f>IF(F11624&gt;0,H11624/F11624,"")</f>
        <v/>
      </c>
      <c r="L11624" s="16">
        <f>IF(AND(G11624&gt;0,H11624&gt;0),G11624/H11624,"")</f>
        <v/>
      </c>
    </row>
    <row r="11625">
      <c r="A11625" s="4" t="inlineStr">
        <is>
          <t>701</t>
        </is>
      </c>
      <c r="B11625" s="4" t="n">
        <v>7</v>
      </c>
      <c r="C11625" s="4" t="inlineStr">
        <is>
          <t>whitetail</t>
        </is>
      </c>
      <c r="D11625" s="4" t="n">
        <v>2015</v>
      </c>
      <c r="E11625" s="13" t="inlineStr">
        <is>
          <t>General</t>
        </is>
      </c>
      <c r="F11625" s="5" t="n"/>
      <c r="G11625" s="5" t="n"/>
      <c r="H11625" s="5" t="n">
        <v>946</v>
      </c>
      <c r="I11625" s="5" t="n">
        <v>458</v>
      </c>
      <c r="J11625" s="5" t="n">
        <v>473</v>
      </c>
      <c r="K11625" s="10">
        <f>IF(F11625&gt;0,H11625/F11625,"")</f>
        <v/>
      </c>
      <c r="L11625" s="16">
        <f>IF(AND(G11625&gt;0,H11625&gt;0),G11625/H11625,"")</f>
        <v/>
      </c>
    </row>
    <row r="11626">
      <c r="A11626" s="4" t="inlineStr">
        <is>
          <t>701</t>
        </is>
      </c>
      <c r="B11626" s="4" t="n">
        <v>7</v>
      </c>
      <c r="C11626" s="4" t="inlineStr">
        <is>
          <t>whitetail</t>
        </is>
      </c>
      <c r="D11626" s="4" t="n">
        <v>2016</v>
      </c>
      <c r="E11626" s="13" t="inlineStr">
        <is>
          <t>General</t>
        </is>
      </c>
      <c r="F11626" s="5" t="n"/>
      <c r="G11626" s="5" t="n"/>
      <c r="H11626" s="5" t="n">
        <v>1052</v>
      </c>
      <c r="I11626" s="5" t="n">
        <v>526</v>
      </c>
      <c r="J11626" s="5" t="n">
        <v>517</v>
      </c>
      <c r="K11626" s="10">
        <f>IF(F11626&gt;0,H11626/F11626,"")</f>
        <v/>
      </c>
      <c r="L11626" s="16">
        <f>IF(AND(G11626&gt;0,H11626&gt;0),G11626/H11626,"")</f>
        <v/>
      </c>
    </row>
    <row r="11627">
      <c r="A11627" s="4" t="inlineStr">
        <is>
          <t>701</t>
        </is>
      </c>
      <c r="B11627" s="4" t="n">
        <v>7</v>
      </c>
      <c r="C11627" s="4" t="inlineStr">
        <is>
          <t>whitetail</t>
        </is>
      </c>
      <c r="D11627" s="4" t="n">
        <v>2017</v>
      </c>
      <c r="E11627" s="13" t="inlineStr">
        <is>
          <t>General</t>
        </is>
      </c>
      <c r="F11627" s="5" t="n">
        <v>3715</v>
      </c>
      <c r="G11627" s="5" t="n">
        <v>17446</v>
      </c>
      <c r="H11627" s="5" t="n">
        <v>1039</v>
      </c>
      <c r="I11627" s="5" t="n">
        <v>548</v>
      </c>
      <c r="J11627" s="5" t="n">
        <v>485</v>
      </c>
      <c r="K11627" s="10">
        <f>IF(F11627&gt;0,H11627/F11627,"")</f>
        <v/>
      </c>
      <c r="L11627" s="16">
        <f>IF(AND(G11627&gt;0,H11627&gt;0),G11627/H11627,"")</f>
        <v/>
      </c>
    </row>
    <row r="11628">
      <c r="A11628" s="4" t="inlineStr">
        <is>
          <t>701</t>
        </is>
      </c>
      <c r="B11628" s="4" t="n">
        <v>7</v>
      </c>
      <c r="C11628" s="4" t="inlineStr">
        <is>
          <t>whitetail</t>
        </is>
      </c>
      <c r="D11628" s="4" t="n">
        <v>2018</v>
      </c>
      <c r="E11628" s="13" t="inlineStr">
        <is>
          <t>General</t>
        </is>
      </c>
      <c r="F11628" s="5" t="n"/>
      <c r="G11628" s="5" t="n"/>
      <c r="H11628" s="5" t="n">
        <v>968</v>
      </c>
      <c r="I11628" s="5" t="n">
        <v>470</v>
      </c>
      <c r="J11628" s="5" t="n">
        <v>484</v>
      </c>
      <c r="K11628" s="10">
        <f>IF(F11628&gt;0,H11628/F11628,"")</f>
        <v/>
      </c>
      <c r="L11628" s="16">
        <f>IF(AND(G11628&gt;0,H11628&gt;0),G11628/H11628,"")</f>
        <v/>
      </c>
    </row>
    <row r="11629">
      <c r="A11629" s="4" t="inlineStr">
        <is>
          <t>701</t>
        </is>
      </c>
      <c r="B11629" s="4" t="n">
        <v>7</v>
      </c>
      <c r="C11629" s="4" t="inlineStr">
        <is>
          <t>whitetail</t>
        </is>
      </c>
      <c r="D11629" s="4" t="n">
        <v>2019</v>
      </c>
      <c r="E11629" s="13" t="inlineStr">
        <is>
          <t>General</t>
        </is>
      </c>
      <c r="F11629" s="5" t="n">
        <v>3874</v>
      </c>
      <c r="G11629" s="5" t="n">
        <v>18742</v>
      </c>
      <c r="H11629" s="5" t="n">
        <v>1015</v>
      </c>
      <c r="I11629" s="5" t="n">
        <v>614</v>
      </c>
      <c r="J11629" s="5" t="n">
        <v>394</v>
      </c>
      <c r="K11629" s="10">
        <f>IF(F11629&gt;0,H11629/F11629,"")</f>
        <v/>
      </c>
      <c r="L11629" s="16">
        <f>IF(AND(G11629&gt;0,H11629&gt;0),G11629/H11629,"")</f>
        <v/>
      </c>
    </row>
    <row r="11630">
      <c r="A11630" s="4" t="inlineStr">
        <is>
          <t>701</t>
        </is>
      </c>
      <c r="B11630" s="4" t="n">
        <v>7</v>
      </c>
      <c r="C11630" s="4" t="inlineStr">
        <is>
          <t>whitetail</t>
        </is>
      </c>
      <c r="D11630" s="4" t="n">
        <v>2020</v>
      </c>
      <c r="E11630" s="13" t="inlineStr">
        <is>
          <t>General</t>
        </is>
      </c>
      <c r="F11630" s="5" t="n"/>
      <c r="G11630" s="5" t="n"/>
      <c r="H11630" s="5" t="n">
        <v>1382</v>
      </c>
      <c r="I11630" s="5" t="n">
        <v>671</v>
      </c>
      <c r="J11630" s="5" t="n">
        <v>708</v>
      </c>
      <c r="K11630" s="10">
        <f>IF(F11630&gt;0,H11630/F11630,"")</f>
        <v/>
      </c>
      <c r="L11630" s="16">
        <f>IF(AND(G11630&gt;0,H11630&gt;0),G11630/H11630,"")</f>
        <v/>
      </c>
    </row>
    <row r="11631">
      <c r="A11631" s="4" t="inlineStr">
        <is>
          <t>701</t>
        </is>
      </c>
      <c r="B11631" s="4" t="n">
        <v>7</v>
      </c>
      <c r="C11631" s="4" t="inlineStr">
        <is>
          <t>whitetail</t>
        </is>
      </c>
      <c r="D11631" s="4" t="n">
        <v>2021</v>
      </c>
      <c r="E11631" s="13" t="inlineStr">
        <is>
          <t>General</t>
        </is>
      </c>
      <c r="F11631" s="5" t="n">
        <v>3629</v>
      </c>
      <c r="G11631" s="5" t="n">
        <v>18129</v>
      </c>
      <c r="H11631" s="5" t="n">
        <v>1042</v>
      </c>
      <c r="I11631" s="5" t="n">
        <v>525</v>
      </c>
      <c r="J11631" s="5" t="n">
        <v>513</v>
      </c>
      <c r="K11631" s="10">
        <f>IF(F11631&gt;0,H11631/F11631,"")</f>
        <v/>
      </c>
      <c r="L11631" s="16">
        <f>IF(AND(G11631&gt;0,H11631&gt;0),G11631/H11631,"")</f>
        <v/>
      </c>
    </row>
    <row r="11632">
      <c r="A11632" s="4" t="inlineStr">
        <is>
          <t>701</t>
        </is>
      </c>
      <c r="B11632" s="4" t="n">
        <v>7</v>
      </c>
      <c r="C11632" s="4" t="inlineStr">
        <is>
          <t>whitetail</t>
        </is>
      </c>
      <c r="D11632" s="4" t="n">
        <v>2022</v>
      </c>
      <c r="E11632" s="13" t="inlineStr">
        <is>
          <t>General</t>
        </is>
      </c>
      <c r="F11632" s="5" t="n"/>
      <c r="G11632" s="5" t="n"/>
      <c r="H11632" s="5" t="n">
        <v>1026</v>
      </c>
      <c r="I11632" s="5" t="n">
        <v>535</v>
      </c>
      <c r="J11632" s="5" t="n">
        <v>477</v>
      </c>
      <c r="K11632" s="10">
        <f>IF(F11632&gt;0,H11632/F11632,"")</f>
        <v/>
      </c>
      <c r="L11632" s="16">
        <f>IF(AND(G11632&gt;0,H11632&gt;0),G11632/H11632,"")</f>
        <v/>
      </c>
    </row>
    <row r="11633">
      <c r="A11633" s="4" t="inlineStr">
        <is>
          <t>701</t>
        </is>
      </c>
      <c r="B11633" s="4" t="n">
        <v>7</v>
      </c>
      <c r="C11633" s="4" t="inlineStr">
        <is>
          <t>whitetail</t>
        </is>
      </c>
      <c r="D11633" s="4" t="n">
        <v>2023</v>
      </c>
      <c r="E11633" s="13" t="inlineStr">
        <is>
          <t>General</t>
        </is>
      </c>
      <c r="F11633" s="5" t="n">
        <v>3415</v>
      </c>
      <c r="G11633" s="5" t="n">
        <v>18809</v>
      </c>
      <c r="H11633" s="5" t="n">
        <v>1203</v>
      </c>
      <c r="I11633" s="5" t="n">
        <v>673</v>
      </c>
      <c r="J11633" s="5" t="n">
        <v>521</v>
      </c>
      <c r="K11633" s="10">
        <f>IF(F11633&gt;0,H11633/F11633,"")</f>
        <v/>
      </c>
      <c r="L11633" s="16">
        <f>IF(AND(G11633&gt;0,H11633&gt;0),G11633/H11633,"")</f>
        <v/>
      </c>
    </row>
    <row r="11634">
      <c r="A11634" s="4" t="inlineStr">
        <is>
          <t>701</t>
        </is>
      </c>
      <c r="B11634" s="4" t="n">
        <v>7</v>
      </c>
      <c r="C11634" s="4" t="inlineStr">
        <is>
          <t>whitetail</t>
        </is>
      </c>
      <c r="D11634" s="4" t="n">
        <v>2024</v>
      </c>
      <c r="E11634" s="13" t="inlineStr">
        <is>
          <t>General</t>
        </is>
      </c>
      <c r="F11634" s="5" t="n"/>
      <c r="G11634" s="5" t="n"/>
      <c r="H11634" s="5" t="n">
        <v>940</v>
      </c>
      <c r="I11634" s="5" t="n">
        <v>606</v>
      </c>
      <c r="J11634" s="5" t="n">
        <v>333</v>
      </c>
      <c r="K11634" s="10">
        <f>IF(F11634&gt;0,H11634/F11634,"")</f>
        <v/>
      </c>
      <c r="L11634" s="16">
        <f>IF(AND(G11634&gt;0,H11634&gt;0),G11634/H11634,"")</f>
        <v/>
      </c>
    </row>
    <row r="11635">
      <c r="A11635" s="4" t="inlineStr">
        <is>
          <t>701</t>
        </is>
      </c>
      <c r="B11635" s="4" t="n">
        <v>7</v>
      </c>
      <c r="C11635" s="4" t="inlineStr">
        <is>
          <t>whitetail</t>
        </is>
      </c>
      <c r="D11635" s="4" t="n">
        <v>2025</v>
      </c>
      <c r="E11635" s="13" t="inlineStr">
        <is>
          <t>General</t>
        </is>
      </c>
      <c r="F11635" s="5" t="n">
        <v>3286</v>
      </c>
      <c r="G11635" s="5" t="n">
        <v>18840</v>
      </c>
      <c r="H11635" s="5" t="n">
        <v>790</v>
      </c>
      <c r="I11635" s="5" t="n">
        <v>441</v>
      </c>
      <c r="J11635" s="5" t="n">
        <v>350</v>
      </c>
      <c r="K11635" s="10">
        <f>IF(F11635&gt;0,H11635/F11635,"")</f>
        <v/>
      </c>
      <c r="L11635" s="16">
        <f>IF(AND(G11635&gt;0,H11635&gt;0),G11635/H11635,"")</f>
        <v/>
      </c>
    </row>
    <row r="11636">
      <c r="A11636" s="4" t="inlineStr">
        <is>
          <t>702</t>
        </is>
      </c>
      <c r="B11636" s="4" t="n">
        <v>7</v>
      </c>
      <c r="C11636" s="4" t="inlineStr">
        <is>
          <t>whitetail</t>
        </is>
      </c>
      <c r="D11636" s="4" t="n">
        <v>2004</v>
      </c>
      <c r="E11636" s="13" t="inlineStr">
        <is>
          <t>General</t>
        </is>
      </c>
      <c r="F11636" s="5" t="n">
        <v>2626</v>
      </c>
      <c r="G11636" s="5" t="n">
        <v>10926</v>
      </c>
      <c r="H11636" s="5" t="n">
        <v>332</v>
      </c>
      <c r="I11636" s="5" t="n">
        <v>158</v>
      </c>
      <c r="J11636" s="5" t="n">
        <v>152</v>
      </c>
      <c r="K11636" s="10">
        <f>IF(F11636&gt;0,H11636/F11636,"")</f>
        <v/>
      </c>
      <c r="L11636" s="16">
        <f>IF(AND(G11636&gt;0,H11636&gt;0),G11636/H11636,"")</f>
        <v/>
      </c>
    </row>
    <row r="11637">
      <c r="A11637" s="4" t="inlineStr">
        <is>
          <t>702</t>
        </is>
      </c>
      <c r="B11637" s="4" t="n">
        <v>7</v>
      </c>
      <c r="C11637" s="4" t="inlineStr">
        <is>
          <t>whitetail</t>
        </is>
      </c>
      <c r="D11637" s="4" t="n">
        <v>2005</v>
      </c>
      <c r="E11637" s="13" t="inlineStr">
        <is>
          <t>General</t>
        </is>
      </c>
      <c r="F11637" s="5" t="n">
        <v>2076</v>
      </c>
      <c r="G11637" s="5" t="n">
        <v>8854</v>
      </c>
      <c r="H11637" s="5" t="n">
        <v>292</v>
      </c>
      <c r="I11637" s="5" t="n">
        <v>159</v>
      </c>
      <c r="J11637" s="5" t="n">
        <v>116</v>
      </c>
      <c r="K11637" s="10">
        <f>IF(F11637&gt;0,H11637/F11637,"")</f>
        <v/>
      </c>
      <c r="L11637" s="16">
        <f>IF(AND(G11637&gt;0,H11637&gt;0),G11637/H11637,"")</f>
        <v/>
      </c>
    </row>
    <row r="11638">
      <c r="A11638" s="4" t="inlineStr">
        <is>
          <t>702</t>
        </is>
      </c>
      <c r="B11638" s="4" t="n">
        <v>7</v>
      </c>
      <c r="C11638" s="4" t="inlineStr">
        <is>
          <t>whitetail</t>
        </is>
      </c>
      <c r="D11638" s="4" t="n">
        <v>2006</v>
      </c>
      <c r="E11638" s="13" t="inlineStr">
        <is>
          <t>General</t>
        </is>
      </c>
      <c r="F11638" s="5" t="n">
        <v>1824</v>
      </c>
      <c r="G11638" s="5" t="n">
        <v>8983</v>
      </c>
      <c r="H11638" s="5" t="n">
        <v>332</v>
      </c>
      <c r="I11638" s="5" t="n">
        <v>130</v>
      </c>
      <c r="J11638" s="5" t="n">
        <v>198</v>
      </c>
      <c r="K11638" s="10">
        <f>IF(F11638&gt;0,H11638/F11638,"")</f>
        <v/>
      </c>
      <c r="L11638" s="16">
        <f>IF(AND(G11638&gt;0,H11638&gt;0),G11638/H11638,"")</f>
        <v/>
      </c>
    </row>
    <row r="11639">
      <c r="A11639" s="4" t="inlineStr">
        <is>
          <t>702</t>
        </is>
      </c>
      <c r="B11639" s="4" t="n">
        <v>7</v>
      </c>
      <c r="C11639" s="4" t="inlineStr">
        <is>
          <t>whitetail</t>
        </is>
      </c>
      <c r="D11639" s="4" t="n">
        <v>2007</v>
      </c>
      <c r="E11639" s="13" t="inlineStr">
        <is>
          <t>General</t>
        </is>
      </c>
      <c r="F11639" s="5" t="n">
        <v>2284</v>
      </c>
      <c r="G11639" s="5" t="n">
        <v>11220</v>
      </c>
      <c r="H11639" s="5" t="n">
        <v>267</v>
      </c>
      <c r="I11639" s="5" t="n">
        <v>134</v>
      </c>
      <c r="J11639" s="5" t="n">
        <v>127</v>
      </c>
      <c r="K11639" s="10">
        <f>IF(F11639&gt;0,H11639/F11639,"")</f>
        <v/>
      </c>
      <c r="L11639" s="16">
        <f>IF(AND(G11639&gt;0,H11639&gt;0),G11639/H11639,"")</f>
        <v/>
      </c>
    </row>
    <row r="11640">
      <c r="A11640" s="4" t="inlineStr">
        <is>
          <t>702</t>
        </is>
      </c>
      <c r="B11640" s="4" t="n">
        <v>7</v>
      </c>
      <c r="C11640" s="4" t="inlineStr">
        <is>
          <t>whitetail</t>
        </is>
      </c>
      <c r="D11640" s="4" t="n">
        <v>2008</v>
      </c>
      <c r="E11640" s="13" t="inlineStr">
        <is>
          <t>General</t>
        </is>
      </c>
      <c r="F11640" s="5" t="n">
        <v>2269</v>
      </c>
      <c r="G11640" s="5" t="n">
        <v>11003</v>
      </c>
      <c r="H11640" s="5" t="n">
        <v>287</v>
      </c>
      <c r="I11640" s="5" t="n">
        <v>136</v>
      </c>
      <c r="J11640" s="5" t="n">
        <v>151</v>
      </c>
      <c r="K11640" s="10">
        <f>IF(F11640&gt;0,H11640/F11640,"")</f>
        <v/>
      </c>
      <c r="L11640" s="16">
        <f>IF(AND(G11640&gt;0,H11640&gt;0),G11640/H11640,"")</f>
        <v/>
      </c>
    </row>
    <row r="11641">
      <c r="A11641" s="4" t="inlineStr">
        <is>
          <t>702</t>
        </is>
      </c>
      <c r="B11641" s="4" t="n">
        <v>7</v>
      </c>
      <c r="C11641" s="4" t="inlineStr">
        <is>
          <t>whitetail</t>
        </is>
      </c>
      <c r="D11641" s="4" t="n">
        <v>2009</v>
      </c>
      <c r="E11641" s="13" t="inlineStr">
        <is>
          <t>General</t>
        </is>
      </c>
      <c r="F11641" s="5" t="n">
        <v>2508</v>
      </c>
      <c r="G11641" s="5" t="n">
        <v>11583</v>
      </c>
      <c r="H11641" s="5" t="n">
        <v>311</v>
      </c>
      <c r="I11641" s="5" t="n">
        <v>134</v>
      </c>
      <c r="J11641" s="5" t="n">
        <v>171</v>
      </c>
      <c r="K11641" s="10">
        <f>IF(F11641&gt;0,H11641/F11641,"")</f>
        <v/>
      </c>
      <c r="L11641" s="16">
        <f>IF(AND(G11641&gt;0,H11641&gt;0),G11641/H11641,"")</f>
        <v/>
      </c>
    </row>
    <row r="11642">
      <c r="A11642" s="4" t="inlineStr">
        <is>
          <t>702</t>
        </is>
      </c>
      <c r="B11642" s="4" t="n">
        <v>7</v>
      </c>
      <c r="C11642" s="4" t="inlineStr">
        <is>
          <t>whitetail</t>
        </is>
      </c>
      <c r="D11642" s="4" t="n">
        <v>2010</v>
      </c>
      <c r="E11642" s="13" t="inlineStr">
        <is>
          <t>General</t>
        </is>
      </c>
      <c r="F11642" s="5" t="n">
        <v>2439</v>
      </c>
      <c r="G11642" s="5" t="n">
        <v>12027</v>
      </c>
      <c r="H11642" s="5" t="n">
        <v>330</v>
      </c>
      <c r="I11642" s="5" t="n">
        <v>144</v>
      </c>
      <c r="J11642" s="5" t="n">
        <v>178</v>
      </c>
      <c r="K11642" s="10">
        <f>IF(F11642&gt;0,H11642/F11642,"")</f>
        <v/>
      </c>
      <c r="L11642" s="16">
        <f>IF(AND(G11642&gt;0,H11642&gt;0),G11642/H11642,"")</f>
        <v/>
      </c>
    </row>
    <row r="11643">
      <c r="A11643" s="4" t="inlineStr">
        <is>
          <t>702</t>
        </is>
      </c>
      <c r="B11643" s="4" t="n">
        <v>7</v>
      </c>
      <c r="C11643" s="4" t="inlineStr">
        <is>
          <t>whitetail</t>
        </is>
      </c>
      <c r="D11643" s="4" t="n">
        <v>2011</v>
      </c>
      <c r="E11643" s="13" t="inlineStr">
        <is>
          <t>General</t>
        </is>
      </c>
      <c r="F11643" s="5" t="n">
        <v>2416</v>
      </c>
      <c r="G11643" s="5" t="n">
        <v>11653</v>
      </c>
      <c r="H11643" s="5" t="n">
        <v>387</v>
      </c>
      <c r="I11643" s="5" t="n">
        <v>133</v>
      </c>
      <c r="J11643" s="5" t="n">
        <v>248</v>
      </c>
      <c r="K11643" s="10">
        <f>IF(F11643&gt;0,H11643/F11643,"")</f>
        <v/>
      </c>
      <c r="L11643" s="16">
        <f>IF(AND(G11643&gt;0,H11643&gt;0),G11643/H11643,"")</f>
        <v/>
      </c>
    </row>
    <row r="11644">
      <c r="A11644" s="4" t="inlineStr">
        <is>
          <t>702</t>
        </is>
      </c>
      <c r="B11644" s="4" t="n">
        <v>7</v>
      </c>
      <c r="C11644" s="4" t="inlineStr">
        <is>
          <t>whitetail</t>
        </is>
      </c>
      <c r="D11644" s="4" t="n">
        <v>2012</v>
      </c>
      <c r="E11644" s="13" t="inlineStr">
        <is>
          <t>General</t>
        </is>
      </c>
      <c r="F11644" s="5" t="n"/>
      <c r="G11644" s="5" t="n"/>
      <c r="H11644" s="5" t="n">
        <v>522</v>
      </c>
      <c r="I11644" s="5" t="n">
        <v>229</v>
      </c>
      <c r="J11644" s="5" t="n">
        <v>288</v>
      </c>
      <c r="K11644" s="10">
        <f>IF(F11644&gt;0,H11644/F11644,"")</f>
        <v/>
      </c>
      <c r="L11644" s="16">
        <f>IF(AND(G11644&gt;0,H11644&gt;0),G11644/H11644,"")</f>
        <v/>
      </c>
    </row>
    <row r="11645">
      <c r="A11645" s="4" t="inlineStr">
        <is>
          <t>702</t>
        </is>
      </c>
      <c r="B11645" s="4" t="n">
        <v>7</v>
      </c>
      <c r="C11645" s="4" t="inlineStr">
        <is>
          <t>whitetail</t>
        </is>
      </c>
      <c r="D11645" s="4" t="n">
        <v>2013</v>
      </c>
      <c r="E11645" s="13" t="inlineStr">
        <is>
          <t>General</t>
        </is>
      </c>
      <c r="F11645" s="5" t="n">
        <v>2470</v>
      </c>
      <c r="G11645" s="5" t="n">
        <v>12583</v>
      </c>
      <c r="H11645" s="5" t="n">
        <v>292</v>
      </c>
      <c r="I11645" s="5" t="n">
        <v>104</v>
      </c>
      <c r="J11645" s="5" t="n">
        <v>183</v>
      </c>
      <c r="K11645" s="10">
        <f>IF(F11645&gt;0,H11645/F11645,"")</f>
        <v/>
      </c>
      <c r="L11645" s="16">
        <f>IF(AND(G11645&gt;0,H11645&gt;0),G11645/H11645,"")</f>
        <v/>
      </c>
    </row>
    <row r="11646">
      <c r="A11646" s="4" t="inlineStr">
        <is>
          <t>702</t>
        </is>
      </c>
      <c r="B11646" s="4" t="n">
        <v>7</v>
      </c>
      <c r="C11646" s="4" t="inlineStr">
        <is>
          <t>whitetail</t>
        </is>
      </c>
      <c r="D11646" s="4" t="n">
        <v>2014</v>
      </c>
      <c r="E11646" s="13" t="inlineStr">
        <is>
          <t>General</t>
        </is>
      </c>
      <c r="F11646" s="5" t="n"/>
      <c r="G11646" s="5" t="n"/>
      <c r="H11646" s="5" t="n">
        <v>255</v>
      </c>
      <c r="I11646" s="5" t="n">
        <v>147</v>
      </c>
      <c r="J11646" s="5" t="n">
        <v>108</v>
      </c>
      <c r="K11646" s="10">
        <f>IF(F11646&gt;0,H11646/F11646,"")</f>
        <v/>
      </c>
      <c r="L11646" s="16">
        <f>IF(AND(G11646&gt;0,H11646&gt;0),G11646/H11646,"")</f>
        <v/>
      </c>
    </row>
    <row r="11647">
      <c r="A11647" s="4" t="inlineStr">
        <is>
          <t>702</t>
        </is>
      </c>
      <c r="B11647" s="4" t="n">
        <v>7</v>
      </c>
      <c r="C11647" s="4" t="inlineStr">
        <is>
          <t>whitetail</t>
        </is>
      </c>
      <c r="D11647" s="4" t="n">
        <v>2015</v>
      </c>
      <c r="E11647" s="13" t="inlineStr">
        <is>
          <t>General</t>
        </is>
      </c>
      <c r="F11647" s="5" t="n"/>
      <c r="G11647" s="5" t="n"/>
      <c r="H11647" s="5" t="n">
        <v>364</v>
      </c>
      <c r="I11647" s="5" t="n">
        <v>188</v>
      </c>
      <c r="J11647" s="5" t="n">
        <v>170</v>
      </c>
      <c r="K11647" s="10">
        <f>IF(F11647&gt;0,H11647/F11647,"")</f>
        <v/>
      </c>
      <c r="L11647" s="16">
        <f>IF(AND(G11647&gt;0,H11647&gt;0),G11647/H11647,"")</f>
        <v/>
      </c>
    </row>
    <row r="11648">
      <c r="A11648" s="4" t="inlineStr">
        <is>
          <t>702</t>
        </is>
      </c>
      <c r="B11648" s="4" t="n">
        <v>7</v>
      </c>
      <c r="C11648" s="4" t="inlineStr">
        <is>
          <t>whitetail</t>
        </is>
      </c>
      <c r="D11648" s="4" t="n">
        <v>2016</v>
      </c>
      <c r="E11648" s="13" t="inlineStr">
        <is>
          <t>General</t>
        </is>
      </c>
      <c r="F11648" s="5" t="n"/>
      <c r="G11648" s="5" t="n"/>
      <c r="H11648" s="5" t="n">
        <v>470</v>
      </c>
      <c r="I11648" s="5" t="n">
        <v>224</v>
      </c>
      <c r="J11648" s="5" t="n">
        <v>232</v>
      </c>
      <c r="K11648" s="10">
        <f>IF(F11648&gt;0,H11648/F11648,"")</f>
        <v/>
      </c>
      <c r="L11648" s="16">
        <f>IF(AND(G11648&gt;0,H11648&gt;0),G11648/H11648,"")</f>
        <v/>
      </c>
    </row>
    <row r="11649">
      <c r="A11649" s="4" t="inlineStr">
        <is>
          <t>702</t>
        </is>
      </c>
      <c r="B11649" s="4" t="n">
        <v>7</v>
      </c>
      <c r="C11649" s="4" t="inlineStr">
        <is>
          <t>whitetail</t>
        </is>
      </c>
      <c r="D11649" s="4" t="n">
        <v>2017</v>
      </c>
      <c r="E11649" s="13" t="inlineStr">
        <is>
          <t>General</t>
        </is>
      </c>
      <c r="F11649" s="5" t="n">
        <v>2365</v>
      </c>
      <c r="G11649" s="5" t="n">
        <v>12126</v>
      </c>
      <c r="H11649" s="5" t="n">
        <v>464</v>
      </c>
      <c r="I11649" s="5" t="n">
        <v>210</v>
      </c>
      <c r="J11649" s="5" t="n">
        <v>248</v>
      </c>
      <c r="K11649" s="10">
        <f>IF(F11649&gt;0,H11649/F11649,"")</f>
        <v/>
      </c>
      <c r="L11649" s="16">
        <f>IF(AND(G11649&gt;0,H11649&gt;0),G11649/H11649,"")</f>
        <v/>
      </c>
    </row>
    <row r="11650">
      <c r="A11650" s="4" t="inlineStr">
        <is>
          <t>702</t>
        </is>
      </c>
      <c r="B11650" s="4" t="n">
        <v>7</v>
      </c>
      <c r="C11650" s="4" t="inlineStr">
        <is>
          <t>whitetail</t>
        </is>
      </c>
      <c r="D11650" s="4" t="n">
        <v>2018</v>
      </c>
      <c r="E11650" s="13" t="inlineStr">
        <is>
          <t>General</t>
        </is>
      </c>
      <c r="F11650" s="5" t="n"/>
      <c r="G11650" s="5" t="n"/>
      <c r="H11650" s="5" t="n">
        <v>342</v>
      </c>
      <c r="I11650" s="5" t="n">
        <v>182</v>
      </c>
      <c r="J11650" s="5" t="n">
        <v>157</v>
      </c>
      <c r="K11650" s="10">
        <f>IF(F11650&gt;0,H11650/F11650,"")</f>
        <v/>
      </c>
      <c r="L11650" s="16">
        <f>IF(AND(G11650&gt;0,H11650&gt;0),G11650/H11650,"")</f>
        <v/>
      </c>
    </row>
    <row r="11651">
      <c r="A11651" s="4" t="inlineStr">
        <is>
          <t>702</t>
        </is>
      </c>
      <c r="B11651" s="4" t="n">
        <v>7</v>
      </c>
      <c r="C11651" s="4" t="inlineStr">
        <is>
          <t>whitetail</t>
        </is>
      </c>
      <c r="D11651" s="4" t="n">
        <v>2019</v>
      </c>
      <c r="E11651" s="13" t="inlineStr">
        <is>
          <t>General</t>
        </is>
      </c>
      <c r="F11651" s="5" t="n">
        <v>2234</v>
      </c>
      <c r="G11651" s="5" t="n">
        <v>11127</v>
      </c>
      <c r="H11651" s="5" t="n">
        <v>333</v>
      </c>
      <c r="I11651" s="5" t="n">
        <v>191</v>
      </c>
      <c r="J11651" s="5" t="n">
        <v>138</v>
      </c>
      <c r="K11651" s="10">
        <f>IF(F11651&gt;0,H11651/F11651,"")</f>
        <v/>
      </c>
      <c r="L11651" s="16">
        <f>IF(AND(G11651&gt;0,H11651&gt;0),G11651/H11651,"")</f>
        <v/>
      </c>
    </row>
    <row r="11652">
      <c r="A11652" s="4" t="inlineStr">
        <is>
          <t>702</t>
        </is>
      </c>
      <c r="B11652" s="4" t="n">
        <v>7</v>
      </c>
      <c r="C11652" s="4" t="inlineStr">
        <is>
          <t>whitetail</t>
        </is>
      </c>
      <c r="D11652" s="4" t="n">
        <v>2020</v>
      </c>
      <c r="E11652" s="13" t="inlineStr">
        <is>
          <t>General</t>
        </is>
      </c>
      <c r="F11652" s="5" t="n"/>
      <c r="G11652" s="5" t="n"/>
      <c r="H11652" s="5" t="n">
        <v>390</v>
      </c>
      <c r="I11652" s="5" t="n">
        <v>199</v>
      </c>
      <c r="J11652" s="5" t="n">
        <v>188</v>
      </c>
      <c r="K11652" s="10">
        <f>IF(F11652&gt;0,H11652/F11652,"")</f>
        <v/>
      </c>
      <c r="L11652" s="16">
        <f>IF(AND(G11652&gt;0,H11652&gt;0),G11652/H11652,"")</f>
        <v/>
      </c>
    </row>
    <row r="11653">
      <c r="A11653" s="4" t="inlineStr">
        <is>
          <t>702</t>
        </is>
      </c>
      <c r="B11653" s="4" t="n">
        <v>7</v>
      </c>
      <c r="C11653" s="4" t="inlineStr">
        <is>
          <t>whitetail</t>
        </is>
      </c>
      <c r="D11653" s="4" t="n">
        <v>2021</v>
      </c>
      <c r="E11653" s="13" t="inlineStr">
        <is>
          <t>General</t>
        </is>
      </c>
      <c r="F11653" s="5" t="n">
        <v>1842</v>
      </c>
      <c r="G11653" s="5" t="n">
        <v>10611</v>
      </c>
      <c r="H11653" s="5" t="n">
        <v>373</v>
      </c>
      <c r="I11653" s="5" t="n">
        <v>217</v>
      </c>
      <c r="J11653" s="5" t="n">
        <v>151</v>
      </c>
      <c r="K11653" s="10">
        <f>IF(F11653&gt;0,H11653/F11653,"")</f>
        <v/>
      </c>
      <c r="L11653" s="16">
        <f>IF(AND(G11653&gt;0,H11653&gt;0),G11653/H11653,"")</f>
        <v/>
      </c>
    </row>
    <row r="11654">
      <c r="A11654" s="4" t="inlineStr">
        <is>
          <t>702</t>
        </is>
      </c>
      <c r="B11654" s="4" t="n">
        <v>7</v>
      </c>
      <c r="C11654" s="4" t="inlineStr">
        <is>
          <t>whitetail</t>
        </is>
      </c>
      <c r="D11654" s="4" t="n">
        <v>2022</v>
      </c>
      <c r="E11654" s="13" t="inlineStr">
        <is>
          <t>General</t>
        </is>
      </c>
      <c r="F11654" s="5" t="n"/>
      <c r="G11654" s="5" t="n"/>
      <c r="H11654" s="5" t="n">
        <v>422</v>
      </c>
      <c r="I11654" s="5" t="n">
        <v>276</v>
      </c>
      <c r="J11654" s="5" t="n">
        <v>146</v>
      </c>
      <c r="K11654" s="10">
        <f>IF(F11654&gt;0,H11654/F11654,"")</f>
        <v/>
      </c>
      <c r="L11654" s="16">
        <f>IF(AND(G11654&gt;0,H11654&gt;0),G11654/H11654,"")</f>
        <v/>
      </c>
    </row>
    <row r="11655">
      <c r="A11655" s="4" t="inlineStr">
        <is>
          <t>702</t>
        </is>
      </c>
      <c r="B11655" s="4" t="n">
        <v>7</v>
      </c>
      <c r="C11655" s="4" t="inlineStr">
        <is>
          <t>whitetail</t>
        </is>
      </c>
      <c r="D11655" s="4" t="n">
        <v>2023</v>
      </c>
      <c r="E11655" s="13" t="inlineStr">
        <is>
          <t>General</t>
        </is>
      </c>
      <c r="F11655" s="5" t="n">
        <v>2028</v>
      </c>
      <c r="G11655" s="5" t="n">
        <v>11142</v>
      </c>
      <c r="H11655" s="5" t="n">
        <v>403</v>
      </c>
      <c r="I11655" s="5" t="n">
        <v>213</v>
      </c>
      <c r="J11655" s="5" t="n">
        <v>189</v>
      </c>
      <c r="K11655" s="10">
        <f>IF(F11655&gt;0,H11655/F11655,"")</f>
        <v/>
      </c>
      <c r="L11655" s="16">
        <f>IF(AND(G11655&gt;0,H11655&gt;0),G11655/H11655,"")</f>
        <v/>
      </c>
    </row>
    <row r="11656">
      <c r="A11656" s="4" t="inlineStr">
        <is>
          <t>702</t>
        </is>
      </c>
      <c r="B11656" s="4" t="n">
        <v>7</v>
      </c>
      <c r="C11656" s="4" t="inlineStr">
        <is>
          <t>whitetail</t>
        </is>
      </c>
      <c r="D11656" s="4" t="n">
        <v>2024</v>
      </c>
      <c r="E11656" s="13" t="inlineStr">
        <is>
          <t>General</t>
        </is>
      </c>
      <c r="F11656" s="5" t="n"/>
      <c r="G11656" s="5" t="n"/>
      <c r="H11656" s="5" t="n">
        <v>382</v>
      </c>
      <c r="I11656" s="5" t="n">
        <v>237</v>
      </c>
      <c r="J11656" s="5" t="n">
        <v>142</v>
      </c>
      <c r="K11656" s="10">
        <f>IF(F11656&gt;0,H11656/F11656,"")</f>
        <v/>
      </c>
      <c r="L11656" s="16">
        <f>IF(AND(G11656&gt;0,H11656&gt;0),G11656/H11656,"")</f>
        <v/>
      </c>
    </row>
    <row r="11657">
      <c r="A11657" s="4" t="inlineStr">
        <is>
          <t>702</t>
        </is>
      </c>
      <c r="B11657" s="4" t="n">
        <v>7</v>
      </c>
      <c r="C11657" s="4" t="inlineStr">
        <is>
          <t>whitetail</t>
        </is>
      </c>
      <c r="D11657" s="4" t="n">
        <v>2025</v>
      </c>
      <c r="E11657" s="13" t="inlineStr">
        <is>
          <t>General</t>
        </is>
      </c>
      <c r="F11657" s="5" t="n">
        <v>1740</v>
      </c>
      <c r="G11657" s="5" t="n">
        <v>9567</v>
      </c>
      <c r="H11657" s="5" t="n">
        <v>269</v>
      </c>
      <c r="I11657" s="5" t="n">
        <v>168</v>
      </c>
      <c r="J11657" s="5" t="n">
        <v>102</v>
      </c>
      <c r="K11657" s="10">
        <f>IF(F11657&gt;0,H11657/F11657,"")</f>
        <v/>
      </c>
      <c r="L11657" s="16">
        <f>IF(AND(G11657&gt;0,H11657&gt;0),G11657/H11657,"")</f>
        <v/>
      </c>
    </row>
    <row r="11658">
      <c r="A11658" s="4" t="inlineStr">
        <is>
          <t>703</t>
        </is>
      </c>
      <c r="B11658" s="4" t="n">
        <v>7</v>
      </c>
      <c r="C11658" s="4" t="inlineStr">
        <is>
          <t>whitetail</t>
        </is>
      </c>
      <c r="D11658" s="4" t="n">
        <v>2004</v>
      </c>
      <c r="E11658" s="13" t="inlineStr">
        <is>
          <t>General</t>
        </is>
      </c>
      <c r="F11658" s="5" t="n">
        <v>4236</v>
      </c>
      <c r="G11658" s="5" t="n">
        <v>21103</v>
      </c>
      <c r="H11658" s="5" t="n">
        <v>1487</v>
      </c>
      <c r="I11658" s="5" t="n">
        <v>747</v>
      </c>
      <c r="J11658" s="5" t="n">
        <v>677</v>
      </c>
      <c r="K11658" s="10">
        <f>IF(F11658&gt;0,H11658/F11658,"")</f>
        <v/>
      </c>
      <c r="L11658" s="16">
        <f>IF(AND(G11658&gt;0,H11658&gt;0),G11658/H11658,"")</f>
        <v/>
      </c>
    </row>
    <row r="11659">
      <c r="A11659" s="4" t="inlineStr">
        <is>
          <t>703</t>
        </is>
      </c>
      <c r="B11659" s="4" t="n">
        <v>7</v>
      </c>
      <c r="C11659" s="4" t="inlineStr">
        <is>
          <t>whitetail</t>
        </is>
      </c>
      <c r="D11659" s="4" t="n">
        <v>2005</v>
      </c>
      <c r="E11659" s="13" t="inlineStr">
        <is>
          <t>General</t>
        </is>
      </c>
      <c r="F11659" s="5" t="n">
        <v>3915</v>
      </c>
      <c r="G11659" s="5" t="n">
        <v>19871</v>
      </c>
      <c r="H11659" s="5" t="n">
        <v>1474</v>
      </c>
      <c r="I11659" s="5" t="n">
        <v>696</v>
      </c>
      <c r="J11659" s="5" t="n">
        <v>732</v>
      </c>
      <c r="K11659" s="10">
        <f>IF(F11659&gt;0,H11659/F11659,"")</f>
        <v/>
      </c>
      <c r="L11659" s="16">
        <f>IF(AND(G11659&gt;0,H11659&gt;0),G11659/H11659,"")</f>
        <v/>
      </c>
    </row>
    <row r="11660">
      <c r="A11660" s="4" t="inlineStr">
        <is>
          <t>703</t>
        </is>
      </c>
      <c r="B11660" s="4" t="n">
        <v>7</v>
      </c>
      <c r="C11660" s="4" t="inlineStr">
        <is>
          <t>whitetail</t>
        </is>
      </c>
      <c r="D11660" s="4" t="n">
        <v>2006</v>
      </c>
      <c r="E11660" s="13" t="inlineStr">
        <is>
          <t>General</t>
        </is>
      </c>
      <c r="F11660" s="5" t="n">
        <v>3125</v>
      </c>
      <c r="G11660" s="5" t="n">
        <v>16801</v>
      </c>
      <c r="H11660" s="5" t="n">
        <v>1347</v>
      </c>
      <c r="I11660" s="5" t="n">
        <v>660</v>
      </c>
      <c r="J11660" s="5" t="n">
        <v>641</v>
      </c>
      <c r="K11660" s="10">
        <f>IF(F11660&gt;0,H11660/F11660,"")</f>
        <v/>
      </c>
      <c r="L11660" s="16">
        <f>IF(AND(G11660&gt;0,H11660&gt;0),G11660/H11660,"")</f>
        <v/>
      </c>
    </row>
    <row r="11661">
      <c r="A11661" s="4" t="inlineStr">
        <is>
          <t>703</t>
        </is>
      </c>
      <c r="B11661" s="4" t="n">
        <v>7</v>
      </c>
      <c r="C11661" s="4" t="inlineStr">
        <is>
          <t>whitetail</t>
        </is>
      </c>
      <c r="D11661" s="4" t="n">
        <v>2007</v>
      </c>
      <c r="E11661" s="13" t="inlineStr">
        <is>
          <t>General</t>
        </is>
      </c>
      <c r="F11661" s="5" t="n">
        <v>3796</v>
      </c>
      <c r="G11661" s="5" t="n">
        <v>19875</v>
      </c>
      <c r="H11661" s="5" t="n">
        <v>1528</v>
      </c>
      <c r="I11661" s="5" t="n">
        <v>700</v>
      </c>
      <c r="J11661" s="5" t="n">
        <v>781</v>
      </c>
      <c r="K11661" s="10">
        <f>IF(F11661&gt;0,H11661/F11661,"")</f>
        <v/>
      </c>
      <c r="L11661" s="16">
        <f>IF(AND(G11661&gt;0,H11661&gt;0),G11661/H11661,"")</f>
        <v/>
      </c>
    </row>
    <row r="11662">
      <c r="A11662" s="4" t="inlineStr">
        <is>
          <t>703</t>
        </is>
      </c>
      <c r="B11662" s="4" t="n">
        <v>7</v>
      </c>
      <c r="C11662" s="4" t="inlineStr">
        <is>
          <t>whitetail</t>
        </is>
      </c>
      <c r="D11662" s="4" t="n">
        <v>2008</v>
      </c>
      <c r="E11662" s="13" t="inlineStr">
        <is>
          <t>General</t>
        </is>
      </c>
      <c r="F11662" s="5" t="n">
        <v>4572</v>
      </c>
      <c r="G11662" s="5" t="n">
        <v>23269</v>
      </c>
      <c r="H11662" s="5" t="n">
        <v>1948</v>
      </c>
      <c r="I11662" s="5" t="n">
        <v>810</v>
      </c>
      <c r="J11662" s="5" t="n">
        <v>1079</v>
      </c>
      <c r="K11662" s="10">
        <f>IF(F11662&gt;0,H11662/F11662,"")</f>
        <v/>
      </c>
      <c r="L11662" s="16">
        <f>IF(AND(G11662&gt;0,H11662&gt;0),G11662/H11662,"")</f>
        <v/>
      </c>
    </row>
    <row r="11663">
      <c r="A11663" s="4" t="inlineStr">
        <is>
          <t>703</t>
        </is>
      </c>
      <c r="B11663" s="4" t="n">
        <v>7</v>
      </c>
      <c r="C11663" s="4" t="inlineStr">
        <is>
          <t>whitetail</t>
        </is>
      </c>
      <c r="D11663" s="4" t="n">
        <v>2009</v>
      </c>
      <c r="E11663" s="13" t="inlineStr">
        <is>
          <t>General</t>
        </is>
      </c>
      <c r="F11663" s="5" t="n">
        <v>4838</v>
      </c>
      <c r="G11663" s="5" t="n">
        <v>26291</v>
      </c>
      <c r="H11663" s="5" t="n">
        <v>1743</v>
      </c>
      <c r="I11663" s="5" t="n">
        <v>706</v>
      </c>
      <c r="J11663" s="5" t="n">
        <v>999</v>
      </c>
      <c r="K11663" s="10">
        <f>IF(F11663&gt;0,H11663/F11663,"")</f>
        <v/>
      </c>
      <c r="L11663" s="16">
        <f>IF(AND(G11663&gt;0,H11663&gt;0),G11663/H11663,"")</f>
        <v/>
      </c>
    </row>
    <row r="11664">
      <c r="A11664" s="4" t="inlineStr">
        <is>
          <t>703</t>
        </is>
      </c>
      <c r="B11664" s="4" t="n">
        <v>7</v>
      </c>
      <c r="C11664" s="4" t="inlineStr">
        <is>
          <t>whitetail</t>
        </is>
      </c>
      <c r="D11664" s="4" t="n">
        <v>2010</v>
      </c>
      <c r="E11664" s="13" t="inlineStr">
        <is>
          <t>General</t>
        </is>
      </c>
      <c r="F11664" s="5" t="n">
        <v>4740</v>
      </c>
      <c r="G11664" s="5" t="n">
        <v>26328</v>
      </c>
      <c r="H11664" s="5" t="n">
        <v>1801</v>
      </c>
      <c r="I11664" s="5" t="n">
        <v>762</v>
      </c>
      <c r="J11664" s="5" t="n">
        <v>982</v>
      </c>
      <c r="K11664" s="10">
        <f>IF(F11664&gt;0,H11664/F11664,"")</f>
        <v/>
      </c>
      <c r="L11664" s="16">
        <f>IF(AND(G11664&gt;0,H11664&gt;0),G11664/H11664,"")</f>
        <v/>
      </c>
    </row>
    <row r="11665">
      <c r="A11665" s="4" t="inlineStr">
        <is>
          <t>703</t>
        </is>
      </c>
      <c r="B11665" s="4" t="n">
        <v>7</v>
      </c>
      <c r="C11665" s="4" t="inlineStr">
        <is>
          <t>whitetail</t>
        </is>
      </c>
      <c r="D11665" s="4" t="n">
        <v>2011</v>
      </c>
      <c r="E11665" s="13" t="inlineStr">
        <is>
          <t>General</t>
        </is>
      </c>
      <c r="F11665" s="5" t="n">
        <v>3890</v>
      </c>
      <c r="G11665" s="5" t="n">
        <v>20574</v>
      </c>
      <c r="H11665" s="5" t="n">
        <v>963</v>
      </c>
      <c r="I11665" s="5" t="n">
        <v>391</v>
      </c>
      <c r="J11665" s="5" t="n">
        <v>550</v>
      </c>
      <c r="K11665" s="10">
        <f>IF(F11665&gt;0,H11665/F11665,"")</f>
        <v/>
      </c>
      <c r="L11665" s="16">
        <f>IF(AND(G11665&gt;0,H11665&gt;0),G11665/H11665,"")</f>
        <v/>
      </c>
    </row>
    <row r="11666">
      <c r="A11666" s="4" t="inlineStr">
        <is>
          <t>703</t>
        </is>
      </c>
      <c r="B11666" s="4" t="n">
        <v>7</v>
      </c>
      <c r="C11666" s="4" t="inlineStr">
        <is>
          <t>whitetail</t>
        </is>
      </c>
      <c r="D11666" s="4" t="n">
        <v>2012</v>
      </c>
      <c r="E11666" s="13" t="inlineStr">
        <is>
          <t>General</t>
        </is>
      </c>
      <c r="F11666" s="5" t="n"/>
      <c r="G11666" s="5" t="n"/>
      <c r="H11666" s="5" t="n">
        <v>1311</v>
      </c>
      <c r="I11666" s="5" t="n">
        <v>644</v>
      </c>
      <c r="J11666" s="5" t="n">
        <v>653</v>
      </c>
      <c r="K11666" s="10">
        <f>IF(F11666&gt;0,H11666/F11666,"")</f>
        <v/>
      </c>
      <c r="L11666" s="16">
        <f>IF(AND(G11666&gt;0,H11666&gt;0),G11666/H11666,"")</f>
        <v/>
      </c>
    </row>
    <row r="11667">
      <c r="A11667" s="4" t="inlineStr">
        <is>
          <t>703</t>
        </is>
      </c>
      <c r="B11667" s="4" t="n">
        <v>7</v>
      </c>
      <c r="C11667" s="4" t="inlineStr">
        <is>
          <t>whitetail</t>
        </is>
      </c>
      <c r="D11667" s="4" t="n">
        <v>2013</v>
      </c>
      <c r="E11667" s="13" t="inlineStr">
        <is>
          <t>General</t>
        </is>
      </c>
      <c r="F11667" s="5" t="n">
        <v>4301</v>
      </c>
      <c r="G11667" s="5" t="n">
        <v>23149</v>
      </c>
      <c r="H11667" s="5" t="n">
        <v>935</v>
      </c>
      <c r="I11667" s="5" t="n">
        <v>416</v>
      </c>
      <c r="J11667" s="5" t="n">
        <v>510</v>
      </c>
      <c r="K11667" s="10">
        <f>IF(F11667&gt;0,H11667/F11667,"")</f>
        <v/>
      </c>
      <c r="L11667" s="16">
        <f>IF(AND(G11667&gt;0,H11667&gt;0),G11667/H11667,"")</f>
        <v/>
      </c>
    </row>
    <row r="11668">
      <c r="A11668" s="4" t="inlineStr">
        <is>
          <t>703</t>
        </is>
      </c>
      <c r="B11668" s="4" t="n">
        <v>7</v>
      </c>
      <c r="C11668" s="4" t="inlineStr">
        <is>
          <t>whitetail</t>
        </is>
      </c>
      <c r="D11668" s="4" t="n">
        <v>2014</v>
      </c>
      <c r="E11668" s="13" t="inlineStr">
        <is>
          <t>General</t>
        </is>
      </c>
      <c r="F11668" s="5" t="n"/>
      <c r="G11668" s="5" t="n"/>
      <c r="H11668" s="5" t="n">
        <v>1044</v>
      </c>
      <c r="I11668" s="5" t="n">
        <v>616</v>
      </c>
      <c r="J11668" s="5" t="n">
        <v>420</v>
      </c>
      <c r="K11668" s="10">
        <f>IF(F11668&gt;0,H11668/F11668,"")</f>
        <v/>
      </c>
      <c r="L11668" s="16">
        <f>IF(AND(G11668&gt;0,H11668&gt;0),G11668/H11668,"")</f>
        <v/>
      </c>
    </row>
    <row r="11669">
      <c r="A11669" s="4" t="inlineStr">
        <is>
          <t>703</t>
        </is>
      </c>
      <c r="B11669" s="4" t="n">
        <v>7</v>
      </c>
      <c r="C11669" s="4" t="inlineStr">
        <is>
          <t>whitetail</t>
        </is>
      </c>
      <c r="D11669" s="4" t="n">
        <v>2015</v>
      </c>
      <c r="E11669" s="13" t="inlineStr">
        <is>
          <t>General</t>
        </is>
      </c>
      <c r="F11669" s="5" t="n"/>
      <c r="G11669" s="5" t="n"/>
      <c r="H11669" s="5" t="n">
        <v>1089</v>
      </c>
      <c r="I11669" s="5" t="n">
        <v>543</v>
      </c>
      <c r="J11669" s="5" t="n">
        <v>525</v>
      </c>
      <c r="K11669" s="10">
        <f>IF(F11669&gt;0,H11669/F11669,"")</f>
        <v/>
      </c>
      <c r="L11669" s="16">
        <f>IF(AND(G11669&gt;0,H11669&gt;0),G11669/H11669,"")</f>
        <v/>
      </c>
    </row>
    <row r="11670">
      <c r="A11670" s="4" t="inlineStr">
        <is>
          <t>703</t>
        </is>
      </c>
      <c r="B11670" s="4" t="n">
        <v>7</v>
      </c>
      <c r="C11670" s="4" t="inlineStr">
        <is>
          <t>whitetail</t>
        </is>
      </c>
      <c r="D11670" s="4" t="n">
        <v>2016</v>
      </c>
      <c r="E11670" s="13" t="inlineStr">
        <is>
          <t>General</t>
        </is>
      </c>
      <c r="F11670" s="5" t="n"/>
      <c r="G11670" s="5" t="n"/>
      <c r="H11670" s="5" t="n">
        <v>1097</v>
      </c>
      <c r="I11670" s="5" t="n">
        <v>530</v>
      </c>
      <c r="J11670" s="5" t="n">
        <v>556</v>
      </c>
      <c r="K11670" s="10">
        <f>IF(F11670&gt;0,H11670/F11670,"")</f>
        <v/>
      </c>
      <c r="L11670" s="16">
        <f>IF(AND(G11670&gt;0,H11670&gt;0),G11670/H11670,"")</f>
        <v/>
      </c>
    </row>
    <row r="11671">
      <c r="A11671" s="4" t="inlineStr">
        <is>
          <t>703</t>
        </is>
      </c>
      <c r="B11671" s="4" t="n">
        <v>7</v>
      </c>
      <c r="C11671" s="4" t="inlineStr">
        <is>
          <t>whitetail</t>
        </is>
      </c>
      <c r="D11671" s="4" t="n">
        <v>2017</v>
      </c>
      <c r="E11671" s="13" t="inlineStr">
        <is>
          <t>General</t>
        </is>
      </c>
      <c r="F11671" s="5" t="n">
        <v>4102</v>
      </c>
      <c r="G11671" s="5" t="n">
        <v>22413</v>
      </c>
      <c r="H11671" s="5" t="n">
        <v>1098</v>
      </c>
      <c r="I11671" s="5" t="n">
        <v>515</v>
      </c>
      <c r="J11671" s="5" t="n">
        <v>576</v>
      </c>
      <c r="K11671" s="10">
        <f>IF(F11671&gt;0,H11671/F11671,"")</f>
        <v/>
      </c>
      <c r="L11671" s="16">
        <f>IF(AND(G11671&gt;0,H11671&gt;0),G11671/H11671,"")</f>
        <v/>
      </c>
    </row>
    <row r="11672">
      <c r="A11672" s="4" t="inlineStr">
        <is>
          <t>703</t>
        </is>
      </c>
      <c r="B11672" s="4" t="n">
        <v>7</v>
      </c>
      <c r="C11672" s="4" t="inlineStr">
        <is>
          <t>whitetail</t>
        </is>
      </c>
      <c r="D11672" s="4" t="n">
        <v>2018</v>
      </c>
      <c r="E11672" s="13" t="inlineStr">
        <is>
          <t>General</t>
        </is>
      </c>
      <c r="F11672" s="5" t="n"/>
      <c r="G11672" s="5" t="n"/>
      <c r="H11672" s="5" t="n">
        <v>1055</v>
      </c>
      <c r="I11672" s="5" t="n">
        <v>593</v>
      </c>
      <c r="J11672" s="5" t="n">
        <v>456</v>
      </c>
      <c r="K11672" s="10">
        <f>IF(F11672&gt;0,H11672/F11672,"")</f>
        <v/>
      </c>
      <c r="L11672" s="16">
        <f>IF(AND(G11672&gt;0,H11672&gt;0),G11672/H11672,"")</f>
        <v/>
      </c>
    </row>
    <row r="11673">
      <c r="A11673" s="4" t="inlineStr">
        <is>
          <t>703</t>
        </is>
      </c>
      <c r="B11673" s="4" t="n">
        <v>7</v>
      </c>
      <c r="C11673" s="4" t="inlineStr">
        <is>
          <t>whitetail</t>
        </is>
      </c>
      <c r="D11673" s="4" t="n">
        <v>2019</v>
      </c>
      <c r="E11673" s="13" t="inlineStr">
        <is>
          <t>General</t>
        </is>
      </c>
      <c r="F11673" s="5" t="n">
        <v>4199</v>
      </c>
      <c r="G11673" s="5" t="n">
        <v>23273</v>
      </c>
      <c r="H11673" s="5" t="n">
        <v>1107</v>
      </c>
      <c r="I11673" s="5" t="n">
        <v>609</v>
      </c>
      <c r="J11673" s="5" t="n">
        <v>476</v>
      </c>
      <c r="K11673" s="10">
        <f>IF(F11673&gt;0,H11673/F11673,"")</f>
        <v/>
      </c>
      <c r="L11673" s="16">
        <f>IF(AND(G11673&gt;0,H11673&gt;0),G11673/H11673,"")</f>
        <v/>
      </c>
    </row>
    <row r="11674">
      <c r="A11674" s="4" t="inlineStr">
        <is>
          <t>703</t>
        </is>
      </c>
      <c r="B11674" s="4" t="n">
        <v>7</v>
      </c>
      <c r="C11674" s="4" t="inlineStr">
        <is>
          <t>whitetail</t>
        </is>
      </c>
      <c r="D11674" s="4" t="n">
        <v>2020</v>
      </c>
      <c r="E11674" s="13" t="inlineStr">
        <is>
          <t>General</t>
        </is>
      </c>
      <c r="F11674" s="5" t="n"/>
      <c r="G11674" s="5" t="n"/>
      <c r="H11674" s="5" t="n">
        <v>1338</v>
      </c>
      <c r="I11674" s="5" t="n">
        <v>697</v>
      </c>
      <c r="J11674" s="5" t="n">
        <v>627</v>
      </c>
      <c r="K11674" s="10">
        <f>IF(F11674&gt;0,H11674/F11674,"")</f>
        <v/>
      </c>
      <c r="L11674" s="16">
        <f>IF(AND(G11674&gt;0,H11674&gt;0),G11674/H11674,"")</f>
        <v/>
      </c>
    </row>
    <row r="11675">
      <c r="A11675" s="4" t="inlineStr">
        <is>
          <t>703</t>
        </is>
      </c>
      <c r="B11675" s="4" t="n">
        <v>7</v>
      </c>
      <c r="C11675" s="4" t="inlineStr">
        <is>
          <t>whitetail</t>
        </is>
      </c>
      <c r="D11675" s="4" t="n">
        <v>2021</v>
      </c>
      <c r="E11675" s="13" t="inlineStr">
        <is>
          <t>General</t>
        </is>
      </c>
      <c r="F11675" s="5" t="n">
        <v>3853</v>
      </c>
      <c r="G11675" s="5" t="n">
        <v>21574</v>
      </c>
      <c r="H11675" s="5" t="n">
        <v>934</v>
      </c>
      <c r="I11675" s="5" t="n">
        <v>460</v>
      </c>
      <c r="J11675" s="5" t="n">
        <v>461</v>
      </c>
      <c r="K11675" s="10">
        <f>IF(F11675&gt;0,H11675/F11675,"")</f>
        <v/>
      </c>
      <c r="L11675" s="16">
        <f>IF(AND(G11675&gt;0,H11675&gt;0),G11675/H11675,"")</f>
        <v/>
      </c>
    </row>
    <row r="11676">
      <c r="A11676" s="4" t="inlineStr">
        <is>
          <t>703</t>
        </is>
      </c>
      <c r="B11676" s="4" t="n">
        <v>7</v>
      </c>
      <c r="C11676" s="4" t="inlineStr">
        <is>
          <t>whitetail</t>
        </is>
      </c>
      <c r="D11676" s="4" t="n">
        <v>2022</v>
      </c>
      <c r="E11676" s="13" t="inlineStr">
        <is>
          <t>General</t>
        </is>
      </c>
      <c r="F11676" s="5" t="n"/>
      <c r="G11676" s="5" t="n"/>
      <c r="H11676" s="5" t="n">
        <v>1109</v>
      </c>
      <c r="I11676" s="5" t="n">
        <v>469</v>
      </c>
      <c r="J11676" s="5" t="n">
        <v>637</v>
      </c>
      <c r="K11676" s="10">
        <f>IF(F11676&gt;0,H11676/F11676,"")</f>
        <v/>
      </c>
      <c r="L11676" s="16">
        <f>IF(AND(G11676&gt;0,H11676&gt;0),G11676/H11676,"")</f>
        <v/>
      </c>
    </row>
    <row r="11677">
      <c r="A11677" s="4" t="inlineStr">
        <is>
          <t>703</t>
        </is>
      </c>
      <c r="B11677" s="4" t="n">
        <v>7</v>
      </c>
      <c r="C11677" s="4" t="inlineStr">
        <is>
          <t>whitetail</t>
        </is>
      </c>
      <c r="D11677" s="4" t="n">
        <v>2023</v>
      </c>
      <c r="E11677" s="13" t="inlineStr">
        <is>
          <t>General</t>
        </is>
      </c>
      <c r="F11677" s="5" t="n">
        <v>3673</v>
      </c>
      <c r="G11677" s="5" t="n">
        <v>20696</v>
      </c>
      <c r="H11677" s="5" t="n">
        <v>848</v>
      </c>
      <c r="I11677" s="5" t="n">
        <v>465</v>
      </c>
      <c r="J11677" s="5" t="n">
        <v>371</v>
      </c>
      <c r="K11677" s="10">
        <f>IF(F11677&gt;0,H11677/F11677,"")</f>
        <v/>
      </c>
      <c r="L11677" s="16">
        <f>IF(AND(G11677&gt;0,H11677&gt;0),G11677/H11677,"")</f>
        <v/>
      </c>
    </row>
    <row r="11678">
      <c r="A11678" s="4" t="inlineStr">
        <is>
          <t>703</t>
        </is>
      </c>
      <c r="B11678" s="4" t="n">
        <v>7</v>
      </c>
      <c r="C11678" s="4" t="inlineStr">
        <is>
          <t>whitetail</t>
        </is>
      </c>
      <c r="D11678" s="4" t="n">
        <v>2024</v>
      </c>
      <c r="E11678" s="13" t="inlineStr">
        <is>
          <t>General</t>
        </is>
      </c>
      <c r="F11678" s="5" t="n"/>
      <c r="G11678" s="5" t="n"/>
      <c r="H11678" s="5" t="n">
        <v>815</v>
      </c>
      <c r="I11678" s="5" t="n">
        <v>464</v>
      </c>
      <c r="J11678" s="5" t="n">
        <v>346</v>
      </c>
      <c r="K11678" s="10">
        <f>IF(F11678&gt;0,H11678/F11678,"")</f>
        <v/>
      </c>
      <c r="L11678" s="16">
        <f>IF(AND(G11678&gt;0,H11678&gt;0),G11678/H11678,"")</f>
        <v/>
      </c>
    </row>
    <row r="11679">
      <c r="A11679" s="4" t="inlineStr">
        <is>
          <t>703</t>
        </is>
      </c>
      <c r="B11679" s="4" t="n">
        <v>7</v>
      </c>
      <c r="C11679" s="4" t="inlineStr">
        <is>
          <t>whitetail</t>
        </is>
      </c>
      <c r="D11679" s="4" t="n">
        <v>2025</v>
      </c>
      <c r="E11679" s="13" t="inlineStr">
        <is>
          <t>General</t>
        </is>
      </c>
      <c r="F11679" s="5" t="n">
        <v>3447</v>
      </c>
      <c r="G11679" s="5" t="n">
        <v>21223</v>
      </c>
      <c r="H11679" s="5" t="n">
        <v>448</v>
      </c>
      <c r="I11679" s="5" t="n">
        <v>271</v>
      </c>
      <c r="J11679" s="5" t="n">
        <v>177</v>
      </c>
      <c r="K11679" s="10">
        <f>IF(F11679&gt;0,H11679/F11679,"")</f>
        <v/>
      </c>
      <c r="L11679" s="16">
        <f>IF(AND(G11679&gt;0,H11679&gt;0),G11679/H11679,"")</f>
        <v/>
      </c>
    </row>
    <row r="11680">
      <c r="A11680" s="4" t="inlineStr">
        <is>
          <t>704</t>
        </is>
      </c>
      <c r="B11680" s="4" t="n">
        <v>7</v>
      </c>
      <c r="C11680" s="4" t="inlineStr">
        <is>
          <t>whitetail</t>
        </is>
      </c>
      <c r="D11680" s="4" t="n">
        <v>2004</v>
      </c>
      <c r="E11680" s="13" t="inlineStr">
        <is>
          <t>General</t>
        </is>
      </c>
      <c r="F11680" s="5" t="n">
        <v>5105</v>
      </c>
      <c r="G11680" s="5" t="n">
        <v>21677</v>
      </c>
      <c r="H11680" s="5" t="n">
        <v>508</v>
      </c>
      <c r="I11680" s="5" t="n">
        <v>266</v>
      </c>
      <c r="J11680" s="5" t="n">
        <v>220</v>
      </c>
      <c r="K11680" s="10">
        <f>IF(F11680&gt;0,H11680/F11680,"")</f>
        <v/>
      </c>
      <c r="L11680" s="16">
        <f>IF(AND(G11680&gt;0,H11680&gt;0),G11680/H11680,"")</f>
        <v/>
      </c>
    </row>
    <row r="11681">
      <c r="A11681" s="4" t="inlineStr">
        <is>
          <t>704</t>
        </is>
      </c>
      <c r="B11681" s="4" t="n">
        <v>7</v>
      </c>
      <c r="C11681" s="4" t="inlineStr">
        <is>
          <t>whitetail</t>
        </is>
      </c>
      <c r="D11681" s="4" t="n">
        <v>2005</v>
      </c>
      <c r="E11681" s="13" t="inlineStr">
        <is>
          <t>General</t>
        </is>
      </c>
      <c r="F11681" s="5" t="n">
        <v>4486</v>
      </c>
      <c r="G11681" s="5" t="n">
        <v>20745</v>
      </c>
      <c r="H11681" s="5" t="n">
        <v>609</v>
      </c>
      <c r="I11681" s="5" t="n">
        <v>278</v>
      </c>
      <c r="J11681" s="5" t="n">
        <v>314</v>
      </c>
      <c r="K11681" s="10">
        <f>IF(F11681&gt;0,H11681/F11681,"")</f>
        <v/>
      </c>
      <c r="L11681" s="16">
        <f>IF(AND(G11681&gt;0,H11681&gt;0),G11681/H11681,"")</f>
        <v/>
      </c>
    </row>
    <row r="11682">
      <c r="A11682" s="4" t="inlineStr">
        <is>
          <t>704</t>
        </is>
      </c>
      <c r="B11682" s="4" t="n">
        <v>7</v>
      </c>
      <c r="C11682" s="4" t="inlineStr">
        <is>
          <t>whitetail</t>
        </is>
      </c>
      <c r="D11682" s="4" t="n">
        <v>2006</v>
      </c>
      <c r="E11682" s="13" t="inlineStr">
        <is>
          <t>General</t>
        </is>
      </c>
      <c r="F11682" s="5" t="n">
        <v>3353</v>
      </c>
      <c r="G11682" s="5" t="n">
        <v>15507</v>
      </c>
      <c r="H11682" s="5" t="n">
        <v>542</v>
      </c>
      <c r="I11682" s="5" t="n">
        <v>219</v>
      </c>
      <c r="J11682" s="5" t="n">
        <v>319</v>
      </c>
      <c r="K11682" s="10">
        <f>IF(F11682&gt;0,H11682/F11682,"")</f>
        <v/>
      </c>
      <c r="L11682" s="16">
        <f>IF(AND(G11682&gt;0,H11682&gt;0),G11682/H11682,"")</f>
        <v/>
      </c>
    </row>
    <row r="11683">
      <c r="A11683" s="4" t="inlineStr">
        <is>
          <t>704</t>
        </is>
      </c>
      <c r="B11683" s="4" t="n">
        <v>7</v>
      </c>
      <c r="C11683" s="4" t="inlineStr">
        <is>
          <t>whitetail</t>
        </is>
      </c>
      <c r="D11683" s="4" t="n">
        <v>2007</v>
      </c>
      <c r="E11683" s="13" t="inlineStr">
        <is>
          <t>General</t>
        </is>
      </c>
      <c r="F11683" s="5" t="n">
        <v>4233</v>
      </c>
      <c r="G11683" s="5" t="n">
        <v>20829</v>
      </c>
      <c r="H11683" s="5" t="n">
        <v>628</v>
      </c>
      <c r="I11683" s="5" t="n">
        <v>327</v>
      </c>
      <c r="J11683" s="5" t="n">
        <v>285</v>
      </c>
      <c r="K11683" s="10">
        <f>IF(F11683&gt;0,H11683/F11683,"")</f>
        <v/>
      </c>
      <c r="L11683" s="16">
        <f>IF(AND(G11683&gt;0,H11683&gt;0),G11683/H11683,"")</f>
        <v/>
      </c>
    </row>
    <row r="11684">
      <c r="A11684" s="4" t="inlineStr">
        <is>
          <t>704</t>
        </is>
      </c>
      <c r="B11684" s="4" t="n">
        <v>7</v>
      </c>
      <c r="C11684" s="4" t="inlineStr">
        <is>
          <t>whitetail</t>
        </is>
      </c>
      <c r="D11684" s="4" t="n">
        <v>2008</v>
      </c>
      <c r="E11684" s="13" t="inlineStr">
        <is>
          <t>General</t>
        </is>
      </c>
      <c r="F11684" s="5" t="n">
        <v>4394</v>
      </c>
      <c r="G11684" s="5" t="n">
        <v>20799</v>
      </c>
      <c r="H11684" s="5" t="n">
        <v>611</v>
      </c>
      <c r="I11684" s="5" t="n">
        <v>263</v>
      </c>
      <c r="J11684" s="5" t="n">
        <v>336</v>
      </c>
      <c r="K11684" s="10">
        <f>IF(F11684&gt;0,H11684/F11684,"")</f>
        <v/>
      </c>
      <c r="L11684" s="16">
        <f>IF(AND(G11684&gt;0,H11684&gt;0),G11684/H11684,"")</f>
        <v/>
      </c>
    </row>
    <row r="11685">
      <c r="A11685" s="4" t="inlineStr">
        <is>
          <t>704</t>
        </is>
      </c>
      <c r="B11685" s="4" t="n">
        <v>7</v>
      </c>
      <c r="C11685" s="4" t="inlineStr">
        <is>
          <t>whitetail</t>
        </is>
      </c>
      <c r="D11685" s="4" t="n">
        <v>2009</v>
      </c>
      <c r="E11685" s="13" t="inlineStr">
        <is>
          <t>General</t>
        </is>
      </c>
      <c r="F11685" s="5" t="n">
        <v>4898</v>
      </c>
      <c r="G11685" s="5" t="n">
        <v>23625</v>
      </c>
      <c r="H11685" s="5" t="n">
        <v>789</v>
      </c>
      <c r="I11685" s="5" t="n">
        <v>357</v>
      </c>
      <c r="J11685" s="5" t="n">
        <v>406</v>
      </c>
      <c r="K11685" s="10">
        <f>IF(F11685&gt;0,H11685/F11685,"")</f>
        <v/>
      </c>
      <c r="L11685" s="16">
        <f>IF(AND(G11685&gt;0,H11685&gt;0),G11685/H11685,"")</f>
        <v/>
      </c>
    </row>
    <row r="11686">
      <c r="A11686" s="4" t="inlineStr">
        <is>
          <t>704</t>
        </is>
      </c>
      <c r="B11686" s="4" t="n">
        <v>7</v>
      </c>
      <c r="C11686" s="4" t="inlineStr">
        <is>
          <t>whitetail</t>
        </is>
      </c>
      <c r="D11686" s="4" t="n">
        <v>2010</v>
      </c>
      <c r="E11686" s="13" t="inlineStr">
        <is>
          <t>General</t>
        </is>
      </c>
      <c r="F11686" s="5" t="n">
        <v>4918</v>
      </c>
      <c r="G11686" s="5" t="n">
        <v>24013</v>
      </c>
      <c r="H11686" s="5" t="n">
        <v>822</v>
      </c>
      <c r="I11686" s="5" t="n">
        <v>395</v>
      </c>
      <c r="J11686" s="5" t="n">
        <v>410</v>
      </c>
      <c r="K11686" s="10">
        <f>IF(F11686&gt;0,H11686/F11686,"")</f>
        <v/>
      </c>
      <c r="L11686" s="16">
        <f>IF(AND(G11686&gt;0,H11686&gt;0),G11686/H11686,"")</f>
        <v/>
      </c>
    </row>
    <row r="11687">
      <c r="A11687" s="4" t="inlineStr">
        <is>
          <t>704</t>
        </is>
      </c>
      <c r="B11687" s="4" t="n">
        <v>7</v>
      </c>
      <c r="C11687" s="4" t="inlineStr">
        <is>
          <t>whitetail</t>
        </is>
      </c>
      <c r="D11687" s="4" t="n">
        <v>2011</v>
      </c>
      <c r="E11687" s="13" t="inlineStr">
        <is>
          <t>General</t>
        </is>
      </c>
      <c r="F11687" s="5" t="n">
        <v>4695</v>
      </c>
      <c r="G11687" s="5" t="n">
        <v>23569</v>
      </c>
      <c r="H11687" s="5" t="n">
        <v>664</v>
      </c>
      <c r="I11687" s="5" t="n">
        <v>309</v>
      </c>
      <c r="J11687" s="5" t="n">
        <v>347</v>
      </c>
      <c r="K11687" s="10">
        <f>IF(F11687&gt;0,H11687/F11687,"")</f>
        <v/>
      </c>
      <c r="L11687" s="16">
        <f>IF(AND(G11687&gt;0,H11687&gt;0),G11687/H11687,"")</f>
        <v/>
      </c>
    </row>
    <row r="11688">
      <c r="A11688" s="4" t="inlineStr">
        <is>
          <t>704</t>
        </is>
      </c>
      <c r="B11688" s="4" t="n">
        <v>7</v>
      </c>
      <c r="C11688" s="4" t="inlineStr">
        <is>
          <t>whitetail</t>
        </is>
      </c>
      <c r="D11688" s="4" t="n">
        <v>2012</v>
      </c>
      <c r="E11688" s="13" t="inlineStr">
        <is>
          <t>General</t>
        </is>
      </c>
      <c r="F11688" s="5" t="n"/>
      <c r="G11688" s="5" t="n"/>
      <c r="H11688" s="5" t="n">
        <v>765</v>
      </c>
      <c r="I11688" s="5" t="n">
        <v>347</v>
      </c>
      <c r="J11688" s="5" t="n">
        <v>409</v>
      </c>
      <c r="K11688" s="10">
        <f>IF(F11688&gt;0,H11688/F11688,"")</f>
        <v/>
      </c>
      <c r="L11688" s="16">
        <f>IF(AND(G11688&gt;0,H11688&gt;0),G11688/H11688,"")</f>
        <v/>
      </c>
    </row>
    <row r="11689">
      <c r="A11689" s="4" t="inlineStr">
        <is>
          <t>704</t>
        </is>
      </c>
      <c r="B11689" s="4" t="n">
        <v>7</v>
      </c>
      <c r="C11689" s="4" t="inlineStr">
        <is>
          <t>whitetail</t>
        </is>
      </c>
      <c r="D11689" s="4" t="n">
        <v>2013</v>
      </c>
      <c r="E11689" s="13" t="inlineStr">
        <is>
          <t>General</t>
        </is>
      </c>
      <c r="F11689" s="5" t="n">
        <v>4692</v>
      </c>
      <c r="G11689" s="5" t="n">
        <v>23159</v>
      </c>
      <c r="H11689" s="5" t="n">
        <v>604</v>
      </c>
      <c r="I11689" s="5" t="n">
        <v>275</v>
      </c>
      <c r="J11689" s="5" t="n">
        <v>317</v>
      </c>
      <c r="K11689" s="10">
        <f>IF(F11689&gt;0,H11689/F11689,"")</f>
        <v/>
      </c>
      <c r="L11689" s="16">
        <f>IF(AND(G11689&gt;0,H11689&gt;0),G11689/H11689,"")</f>
        <v/>
      </c>
    </row>
    <row r="11690">
      <c r="A11690" s="4" t="inlineStr">
        <is>
          <t>704</t>
        </is>
      </c>
      <c r="B11690" s="4" t="n">
        <v>7</v>
      </c>
      <c r="C11690" s="4" t="inlineStr">
        <is>
          <t>whitetail</t>
        </is>
      </c>
      <c r="D11690" s="4" t="n">
        <v>2014</v>
      </c>
      <c r="E11690" s="13" t="inlineStr">
        <is>
          <t>General</t>
        </is>
      </c>
      <c r="F11690" s="5" t="n"/>
      <c r="G11690" s="5" t="n"/>
      <c r="H11690" s="5" t="n">
        <v>633</v>
      </c>
      <c r="I11690" s="5" t="n">
        <v>352</v>
      </c>
      <c r="J11690" s="5" t="n">
        <v>273</v>
      </c>
      <c r="K11690" s="10">
        <f>IF(F11690&gt;0,H11690/F11690,"")</f>
        <v/>
      </c>
      <c r="L11690" s="16">
        <f>IF(AND(G11690&gt;0,H11690&gt;0),G11690/H11690,"")</f>
        <v/>
      </c>
    </row>
    <row r="11691">
      <c r="A11691" s="4" t="inlineStr">
        <is>
          <t>704</t>
        </is>
      </c>
      <c r="B11691" s="4" t="n">
        <v>7</v>
      </c>
      <c r="C11691" s="4" t="inlineStr">
        <is>
          <t>whitetail</t>
        </is>
      </c>
      <c r="D11691" s="4" t="n">
        <v>2015</v>
      </c>
      <c r="E11691" s="13" t="inlineStr">
        <is>
          <t>General</t>
        </is>
      </c>
      <c r="F11691" s="5" t="n"/>
      <c r="G11691" s="5" t="n"/>
      <c r="H11691" s="5" t="n">
        <v>692</v>
      </c>
      <c r="I11691" s="5" t="n">
        <v>331</v>
      </c>
      <c r="J11691" s="5" t="n">
        <v>347</v>
      </c>
      <c r="K11691" s="10">
        <f>IF(F11691&gt;0,H11691/F11691,"")</f>
        <v/>
      </c>
      <c r="L11691" s="16">
        <f>IF(AND(G11691&gt;0,H11691&gt;0),G11691/H11691,"")</f>
        <v/>
      </c>
    </row>
    <row r="11692">
      <c r="A11692" s="4" t="inlineStr">
        <is>
          <t>704</t>
        </is>
      </c>
      <c r="B11692" s="4" t="n">
        <v>7</v>
      </c>
      <c r="C11692" s="4" t="inlineStr">
        <is>
          <t>whitetail</t>
        </is>
      </c>
      <c r="D11692" s="4" t="n">
        <v>2016</v>
      </c>
      <c r="E11692" s="13" t="inlineStr">
        <is>
          <t>General</t>
        </is>
      </c>
      <c r="F11692" s="5" t="n"/>
      <c r="G11692" s="5" t="n"/>
      <c r="H11692" s="5" t="n">
        <v>822</v>
      </c>
      <c r="I11692" s="5" t="n">
        <v>447</v>
      </c>
      <c r="J11692" s="5" t="n">
        <v>358</v>
      </c>
      <c r="K11692" s="10">
        <f>IF(F11692&gt;0,H11692/F11692,"")</f>
        <v/>
      </c>
      <c r="L11692" s="16">
        <f>IF(AND(G11692&gt;0,H11692&gt;0),G11692/H11692,"")</f>
        <v/>
      </c>
    </row>
    <row r="11693">
      <c r="A11693" s="4" t="inlineStr">
        <is>
          <t>704</t>
        </is>
      </c>
      <c r="B11693" s="4" t="n">
        <v>7</v>
      </c>
      <c r="C11693" s="4" t="inlineStr">
        <is>
          <t>whitetail</t>
        </is>
      </c>
      <c r="D11693" s="4" t="n">
        <v>2017</v>
      </c>
      <c r="E11693" s="13" t="inlineStr">
        <is>
          <t>General</t>
        </is>
      </c>
      <c r="F11693" s="5" t="n">
        <v>4925</v>
      </c>
      <c r="G11693" s="5" t="n">
        <v>25066</v>
      </c>
      <c r="H11693" s="5" t="n">
        <v>807</v>
      </c>
      <c r="I11693" s="5" t="n">
        <v>415</v>
      </c>
      <c r="J11693" s="5" t="n">
        <v>386</v>
      </c>
      <c r="K11693" s="10">
        <f>IF(F11693&gt;0,H11693/F11693,"")</f>
        <v/>
      </c>
      <c r="L11693" s="16">
        <f>IF(AND(G11693&gt;0,H11693&gt;0),G11693/H11693,"")</f>
        <v/>
      </c>
    </row>
    <row r="11694">
      <c r="A11694" s="4" t="inlineStr">
        <is>
          <t>704</t>
        </is>
      </c>
      <c r="B11694" s="4" t="n">
        <v>7</v>
      </c>
      <c r="C11694" s="4" t="inlineStr">
        <is>
          <t>whitetail</t>
        </is>
      </c>
      <c r="D11694" s="4" t="n">
        <v>2018</v>
      </c>
      <c r="E11694" s="13" t="inlineStr">
        <is>
          <t>General</t>
        </is>
      </c>
      <c r="F11694" s="5" t="n"/>
      <c r="G11694" s="5" t="n"/>
      <c r="H11694" s="5" t="n">
        <v>778</v>
      </c>
      <c r="I11694" s="5" t="n">
        <v>437</v>
      </c>
      <c r="J11694" s="5" t="n">
        <v>338</v>
      </c>
      <c r="K11694" s="10">
        <f>IF(F11694&gt;0,H11694/F11694,"")</f>
        <v/>
      </c>
      <c r="L11694" s="16">
        <f>IF(AND(G11694&gt;0,H11694&gt;0),G11694/H11694,"")</f>
        <v/>
      </c>
    </row>
    <row r="11695">
      <c r="A11695" s="4" t="inlineStr">
        <is>
          <t>704</t>
        </is>
      </c>
      <c r="B11695" s="4" t="n">
        <v>7</v>
      </c>
      <c r="C11695" s="4" t="inlineStr">
        <is>
          <t>whitetail</t>
        </is>
      </c>
      <c r="D11695" s="4" t="n">
        <v>2019</v>
      </c>
      <c r="E11695" s="13" t="inlineStr">
        <is>
          <t>General</t>
        </is>
      </c>
      <c r="F11695" s="5" t="n">
        <v>5182</v>
      </c>
      <c r="G11695" s="5" t="n">
        <v>26420</v>
      </c>
      <c r="H11695" s="5" t="n">
        <v>728</v>
      </c>
      <c r="I11695" s="5" t="n">
        <v>432</v>
      </c>
      <c r="J11695" s="5" t="n">
        <v>293</v>
      </c>
      <c r="K11695" s="10">
        <f>IF(F11695&gt;0,H11695/F11695,"")</f>
        <v/>
      </c>
      <c r="L11695" s="16">
        <f>IF(AND(G11695&gt;0,H11695&gt;0),G11695/H11695,"")</f>
        <v/>
      </c>
    </row>
    <row r="11696">
      <c r="A11696" s="4" t="inlineStr">
        <is>
          <t>704</t>
        </is>
      </c>
      <c r="B11696" s="4" t="n">
        <v>7</v>
      </c>
      <c r="C11696" s="4" t="inlineStr">
        <is>
          <t>whitetail</t>
        </is>
      </c>
      <c r="D11696" s="4" t="n">
        <v>2020</v>
      </c>
      <c r="E11696" s="13" t="inlineStr">
        <is>
          <t>General</t>
        </is>
      </c>
      <c r="F11696" s="5" t="n"/>
      <c r="G11696" s="5" t="n"/>
      <c r="H11696" s="5" t="n">
        <v>1054</v>
      </c>
      <c r="I11696" s="5" t="n">
        <v>649</v>
      </c>
      <c r="J11696" s="5" t="n">
        <v>402</v>
      </c>
      <c r="K11696" s="10">
        <f>IF(F11696&gt;0,H11696/F11696,"")</f>
        <v/>
      </c>
      <c r="L11696" s="16">
        <f>IF(AND(G11696&gt;0,H11696&gt;0),G11696/H11696,"")</f>
        <v/>
      </c>
    </row>
    <row r="11697">
      <c r="A11697" s="4" t="inlineStr">
        <is>
          <t>704</t>
        </is>
      </c>
      <c r="B11697" s="4" t="n">
        <v>7</v>
      </c>
      <c r="C11697" s="4" t="inlineStr">
        <is>
          <t>whitetail</t>
        </is>
      </c>
      <c r="D11697" s="4" t="n">
        <v>2021</v>
      </c>
      <c r="E11697" s="13" t="inlineStr">
        <is>
          <t>General</t>
        </is>
      </c>
      <c r="F11697" s="5" t="n">
        <v>5005</v>
      </c>
      <c r="G11697" s="5" t="n">
        <v>26625</v>
      </c>
      <c r="H11697" s="5" t="n">
        <v>893</v>
      </c>
      <c r="I11697" s="5" t="n">
        <v>561</v>
      </c>
      <c r="J11697" s="5" t="n">
        <v>328</v>
      </c>
      <c r="K11697" s="10">
        <f>IF(F11697&gt;0,H11697/F11697,"")</f>
        <v/>
      </c>
      <c r="L11697" s="16">
        <f>IF(AND(G11697&gt;0,H11697&gt;0),G11697/H11697,"")</f>
        <v/>
      </c>
    </row>
    <row r="11698">
      <c r="A11698" s="4" t="inlineStr">
        <is>
          <t>704</t>
        </is>
      </c>
      <c r="B11698" s="4" t="n">
        <v>7</v>
      </c>
      <c r="C11698" s="4" t="inlineStr">
        <is>
          <t>whitetail</t>
        </is>
      </c>
      <c r="D11698" s="4" t="n">
        <v>2022</v>
      </c>
      <c r="E11698" s="13" t="inlineStr">
        <is>
          <t>General</t>
        </is>
      </c>
      <c r="F11698" s="5" t="n"/>
      <c r="G11698" s="5" t="n"/>
      <c r="H11698" s="5" t="n">
        <v>647</v>
      </c>
      <c r="I11698" s="5" t="n">
        <v>360</v>
      </c>
      <c r="J11698" s="5" t="n">
        <v>284</v>
      </c>
      <c r="K11698" s="10">
        <f>IF(F11698&gt;0,H11698/F11698,"")</f>
        <v/>
      </c>
      <c r="L11698" s="16">
        <f>IF(AND(G11698&gt;0,H11698&gt;0),G11698/H11698,"")</f>
        <v/>
      </c>
    </row>
    <row r="11699">
      <c r="A11699" s="4" t="inlineStr">
        <is>
          <t>704</t>
        </is>
      </c>
      <c r="B11699" s="4" t="n">
        <v>7</v>
      </c>
      <c r="C11699" s="4" t="inlineStr">
        <is>
          <t>whitetail</t>
        </is>
      </c>
      <c r="D11699" s="4" t="n">
        <v>2023</v>
      </c>
      <c r="E11699" s="13" t="inlineStr">
        <is>
          <t>General</t>
        </is>
      </c>
      <c r="F11699" s="5" t="n">
        <v>4258</v>
      </c>
      <c r="G11699" s="5" t="n">
        <v>23302</v>
      </c>
      <c r="H11699" s="5" t="n">
        <v>756</v>
      </c>
      <c r="I11699" s="5" t="n">
        <v>401</v>
      </c>
      <c r="J11699" s="5" t="n">
        <v>348</v>
      </c>
      <c r="K11699" s="10">
        <f>IF(F11699&gt;0,H11699/F11699,"")</f>
        <v/>
      </c>
      <c r="L11699" s="16">
        <f>IF(AND(G11699&gt;0,H11699&gt;0),G11699/H11699,"")</f>
        <v/>
      </c>
    </row>
    <row r="11700">
      <c r="A11700" s="4" t="inlineStr">
        <is>
          <t>704</t>
        </is>
      </c>
      <c r="B11700" s="4" t="n">
        <v>7</v>
      </c>
      <c r="C11700" s="4" t="inlineStr">
        <is>
          <t>whitetail</t>
        </is>
      </c>
      <c r="D11700" s="4" t="n">
        <v>2024</v>
      </c>
      <c r="E11700" s="13" t="inlineStr">
        <is>
          <t>General</t>
        </is>
      </c>
      <c r="F11700" s="5" t="n"/>
      <c r="G11700" s="5" t="n"/>
      <c r="H11700" s="5" t="n">
        <v>716</v>
      </c>
      <c r="I11700" s="5" t="n">
        <v>455</v>
      </c>
      <c r="J11700" s="5" t="n">
        <v>253</v>
      </c>
      <c r="K11700" s="10">
        <f>IF(F11700&gt;0,H11700/F11700,"")</f>
        <v/>
      </c>
      <c r="L11700" s="16">
        <f>IF(AND(G11700&gt;0,H11700&gt;0),G11700/H11700,"")</f>
        <v/>
      </c>
    </row>
    <row r="11701">
      <c r="A11701" s="4" t="inlineStr">
        <is>
          <t>704</t>
        </is>
      </c>
      <c r="B11701" s="4" t="n">
        <v>7</v>
      </c>
      <c r="C11701" s="4" t="inlineStr">
        <is>
          <t>whitetail</t>
        </is>
      </c>
      <c r="D11701" s="4" t="n">
        <v>2025</v>
      </c>
      <c r="E11701" s="13" t="inlineStr">
        <is>
          <t>General</t>
        </is>
      </c>
      <c r="F11701" s="5" t="n">
        <v>4306</v>
      </c>
      <c r="G11701" s="5" t="n">
        <v>25609</v>
      </c>
      <c r="H11701" s="5" t="n">
        <v>652</v>
      </c>
      <c r="I11701" s="5" t="n">
        <v>415</v>
      </c>
      <c r="J11701" s="5" t="n">
        <v>233</v>
      </c>
      <c r="K11701" s="10">
        <f>IF(F11701&gt;0,H11701/F11701,"")</f>
        <v/>
      </c>
      <c r="L11701" s="16">
        <f>IF(AND(G11701&gt;0,H11701&gt;0),G11701/H11701,"")</f>
        <v/>
      </c>
    </row>
    <row r="11702">
      <c r="A11702" s="4" t="inlineStr">
        <is>
          <t>705</t>
        </is>
      </c>
      <c r="B11702" s="4" t="n">
        <v>7</v>
      </c>
      <c r="C11702" s="4" t="inlineStr">
        <is>
          <t>whitetail</t>
        </is>
      </c>
      <c r="D11702" s="4" t="n">
        <v>2004</v>
      </c>
      <c r="E11702" s="13" t="inlineStr">
        <is>
          <t>General</t>
        </is>
      </c>
      <c r="F11702" s="5" t="n">
        <v>5178</v>
      </c>
      <c r="G11702" s="5" t="n">
        <v>20790</v>
      </c>
      <c r="H11702" s="5" t="n">
        <v>1093</v>
      </c>
      <c r="I11702" s="5" t="n">
        <v>609</v>
      </c>
      <c r="J11702" s="5" t="n">
        <v>433</v>
      </c>
      <c r="K11702" s="10">
        <f>IF(F11702&gt;0,H11702/F11702,"")</f>
        <v/>
      </c>
      <c r="L11702" s="16">
        <f>IF(AND(G11702&gt;0,H11702&gt;0),G11702/H11702,"")</f>
        <v/>
      </c>
    </row>
    <row r="11703">
      <c r="A11703" s="4" t="inlineStr">
        <is>
          <t>705</t>
        </is>
      </c>
      <c r="B11703" s="4" t="n">
        <v>7</v>
      </c>
      <c r="C11703" s="4" t="inlineStr">
        <is>
          <t>whitetail</t>
        </is>
      </c>
      <c r="D11703" s="4" t="n">
        <v>2005</v>
      </c>
      <c r="E11703" s="13" t="inlineStr">
        <is>
          <t>General</t>
        </is>
      </c>
      <c r="F11703" s="5" t="n">
        <v>4458</v>
      </c>
      <c r="G11703" s="5" t="n">
        <v>19202</v>
      </c>
      <c r="H11703" s="5" t="n">
        <v>1136</v>
      </c>
      <c r="I11703" s="5" t="n">
        <v>559</v>
      </c>
      <c r="J11703" s="5" t="n">
        <v>538</v>
      </c>
      <c r="K11703" s="10">
        <f>IF(F11703&gt;0,H11703/F11703,"")</f>
        <v/>
      </c>
      <c r="L11703" s="16">
        <f>IF(AND(G11703&gt;0,H11703&gt;0),G11703/H11703,"")</f>
        <v/>
      </c>
    </row>
    <row r="11704">
      <c r="A11704" s="4" t="inlineStr">
        <is>
          <t>705</t>
        </is>
      </c>
      <c r="B11704" s="4" t="n">
        <v>7</v>
      </c>
      <c r="C11704" s="4" t="inlineStr">
        <is>
          <t>whitetail</t>
        </is>
      </c>
      <c r="D11704" s="4" t="n">
        <v>2006</v>
      </c>
      <c r="E11704" s="13" t="inlineStr">
        <is>
          <t>General</t>
        </is>
      </c>
      <c r="F11704" s="5" t="n">
        <v>4211</v>
      </c>
      <c r="G11704" s="5" t="n">
        <v>18791</v>
      </c>
      <c r="H11704" s="5" t="n">
        <v>1327</v>
      </c>
      <c r="I11704" s="5" t="n">
        <v>607</v>
      </c>
      <c r="J11704" s="5" t="n">
        <v>665</v>
      </c>
      <c r="K11704" s="10">
        <f>IF(F11704&gt;0,H11704/F11704,"")</f>
        <v/>
      </c>
      <c r="L11704" s="16">
        <f>IF(AND(G11704&gt;0,H11704&gt;0),G11704/H11704,"")</f>
        <v/>
      </c>
    </row>
    <row r="11705">
      <c r="A11705" s="4" t="inlineStr">
        <is>
          <t>705</t>
        </is>
      </c>
      <c r="B11705" s="4" t="n">
        <v>7</v>
      </c>
      <c r="C11705" s="4" t="inlineStr">
        <is>
          <t>whitetail</t>
        </is>
      </c>
      <c r="D11705" s="4" t="n">
        <v>2007</v>
      </c>
      <c r="E11705" s="13" t="inlineStr">
        <is>
          <t>General</t>
        </is>
      </c>
      <c r="F11705" s="5" t="n">
        <v>5033</v>
      </c>
      <c r="G11705" s="5" t="n">
        <v>22579</v>
      </c>
      <c r="H11705" s="5" t="n">
        <v>1397</v>
      </c>
      <c r="I11705" s="5" t="n">
        <v>661</v>
      </c>
      <c r="J11705" s="5" t="n">
        <v>684</v>
      </c>
      <c r="K11705" s="10">
        <f>IF(F11705&gt;0,H11705/F11705,"")</f>
        <v/>
      </c>
      <c r="L11705" s="16">
        <f>IF(AND(G11705&gt;0,H11705&gt;0),G11705/H11705,"")</f>
        <v/>
      </c>
    </row>
    <row r="11706">
      <c r="A11706" s="4" t="inlineStr">
        <is>
          <t>705</t>
        </is>
      </c>
      <c r="B11706" s="4" t="n">
        <v>7</v>
      </c>
      <c r="C11706" s="4" t="inlineStr">
        <is>
          <t>whitetail</t>
        </is>
      </c>
      <c r="D11706" s="4" t="n">
        <v>2008</v>
      </c>
      <c r="E11706" s="13" t="inlineStr">
        <is>
          <t>General</t>
        </is>
      </c>
      <c r="F11706" s="5" t="n">
        <v>4726</v>
      </c>
      <c r="G11706" s="5" t="n">
        <v>22381</v>
      </c>
      <c r="H11706" s="5" t="n">
        <v>1379</v>
      </c>
      <c r="I11706" s="5" t="n">
        <v>685</v>
      </c>
      <c r="J11706" s="5" t="n">
        <v>660</v>
      </c>
      <c r="K11706" s="10">
        <f>IF(F11706&gt;0,H11706/F11706,"")</f>
        <v/>
      </c>
      <c r="L11706" s="16">
        <f>IF(AND(G11706&gt;0,H11706&gt;0),G11706/H11706,"")</f>
        <v/>
      </c>
    </row>
    <row r="11707">
      <c r="A11707" s="4" t="inlineStr">
        <is>
          <t>705</t>
        </is>
      </c>
      <c r="B11707" s="4" t="n">
        <v>7</v>
      </c>
      <c r="C11707" s="4" t="inlineStr">
        <is>
          <t>whitetail</t>
        </is>
      </c>
      <c r="D11707" s="4" t="n">
        <v>2009</v>
      </c>
      <c r="E11707" s="13" t="inlineStr">
        <is>
          <t>General</t>
        </is>
      </c>
      <c r="F11707" s="5" t="n">
        <v>4763</v>
      </c>
      <c r="G11707" s="5" t="n">
        <v>22930</v>
      </c>
      <c r="H11707" s="5" t="n">
        <v>1261</v>
      </c>
      <c r="I11707" s="5" t="n">
        <v>563</v>
      </c>
      <c r="J11707" s="5" t="n">
        <v>671</v>
      </c>
      <c r="K11707" s="10">
        <f>IF(F11707&gt;0,H11707/F11707,"")</f>
        <v/>
      </c>
      <c r="L11707" s="16">
        <f>IF(AND(G11707&gt;0,H11707&gt;0),G11707/H11707,"")</f>
        <v/>
      </c>
    </row>
    <row r="11708">
      <c r="A11708" s="4" t="inlineStr">
        <is>
          <t>705</t>
        </is>
      </c>
      <c r="B11708" s="4" t="n">
        <v>7</v>
      </c>
      <c r="C11708" s="4" t="inlineStr">
        <is>
          <t>whitetail</t>
        </is>
      </c>
      <c r="D11708" s="4" t="n">
        <v>2010</v>
      </c>
      <c r="E11708" s="13" t="inlineStr">
        <is>
          <t>General</t>
        </is>
      </c>
      <c r="F11708" s="5" t="n">
        <v>4678</v>
      </c>
      <c r="G11708" s="5" t="n">
        <v>23413</v>
      </c>
      <c r="H11708" s="5" t="n">
        <v>1421</v>
      </c>
      <c r="I11708" s="5" t="n">
        <v>711</v>
      </c>
      <c r="J11708" s="5" t="n">
        <v>692</v>
      </c>
      <c r="K11708" s="10">
        <f>IF(F11708&gt;0,H11708/F11708,"")</f>
        <v/>
      </c>
      <c r="L11708" s="16">
        <f>IF(AND(G11708&gt;0,H11708&gt;0),G11708/H11708,"")</f>
        <v/>
      </c>
    </row>
    <row r="11709">
      <c r="A11709" s="4" t="inlineStr">
        <is>
          <t>705</t>
        </is>
      </c>
      <c r="B11709" s="4" t="n">
        <v>7</v>
      </c>
      <c r="C11709" s="4" t="inlineStr">
        <is>
          <t>whitetail</t>
        </is>
      </c>
      <c r="D11709" s="4" t="n">
        <v>2011</v>
      </c>
      <c r="E11709" s="13" t="inlineStr">
        <is>
          <t>General</t>
        </is>
      </c>
      <c r="F11709" s="5" t="n">
        <v>4141</v>
      </c>
      <c r="G11709" s="5" t="n">
        <v>19687</v>
      </c>
      <c r="H11709" s="5" t="n">
        <v>1030</v>
      </c>
      <c r="I11709" s="5" t="n">
        <v>498</v>
      </c>
      <c r="J11709" s="5" t="n">
        <v>484</v>
      </c>
      <c r="K11709" s="10">
        <f>IF(F11709&gt;0,H11709/F11709,"")</f>
        <v/>
      </c>
      <c r="L11709" s="16">
        <f>IF(AND(G11709&gt;0,H11709&gt;0),G11709/H11709,"")</f>
        <v/>
      </c>
    </row>
    <row r="11710">
      <c r="A11710" s="4" t="inlineStr">
        <is>
          <t>705</t>
        </is>
      </c>
      <c r="B11710" s="4" t="n">
        <v>7</v>
      </c>
      <c r="C11710" s="4" t="inlineStr">
        <is>
          <t>whitetail</t>
        </is>
      </c>
      <c r="D11710" s="4" t="n">
        <v>2012</v>
      </c>
      <c r="E11710" s="13" t="inlineStr">
        <is>
          <t>General</t>
        </is>
      </c>
      <c r="F11710" s="5" t="n"/>
      <c r="G11710" s="5" t="n"/>
      <c r="H11710" s="5" t="n">
        <v>1175</v>
      </c>
      <c r="I11710" s="5" t="n">
        <v>637</v>
      </c>
      <c r="J11710" s="5" t="n">
        <v>525</v>
      </c>
      <c r="K11710" s="10">
        <f>IF(F11710&gt;0,H11710/F11710,"")</f>
        <v/>
      </c>
      <c r="L11710" s="16">
        <f>IF(AND(G11710&gt;0,H11710&gt;0),G11710/H11710,"")</f>
        <v/>
      </c>
    </row>
    <row r="11711">
      <c r="A11711" s="4" t="inlineStr">
        <is>
          <t>705</t>
        </is>
      </c>
      <c r="B11711" s="4" t="n">
        <v>7</v>
      </c>
      <c r="C11711" s="4" t="inlineStr">
        <is>
          <t>whitetail</t>
        </is>
      </c>
      <c r="D11711" s="4" t="n">
        <v>2013</v>
      </c>
      <c r="E11711" s="13" t="inlineStr">
        <is>
          <t>General</t>
        </is>
      </c>
      <c r="F11711" s="5" t="n">
        <v>4274</v>
      </c>
      <c r="G11711" s="5" t="n">
        <v>20244</v>
      </c>
      <c r="H11711" s="5" t="n">
        <v>998</v>
      </c>
      <c r="I11711" s="5" t="n">
        <v>546</v>
      </c>
      <c r="J11711" s="5" t="n">
        <v>446</v>
      </c>
      <c r="K11711" s="10">
        <f>IF(F11711&gt;0,H11711/F11711,"")</f>
        <v/>
      </c>
      <c r="L11711" s="16">
        <f>IF(AND(G11711&gt;0,H11711&gt;0),G11711/H11711,"")</f>
        <v/>
      </c>
    </row>
    <row r="11712">
      <c r="A11712" s="4" t="inlineStr">
        <is>
          <t>705</t>
        </is>
      </c>
      <c r="B11712" s="4" t="n">
        <v>7</v>
      </c>
      <c r="C11712" s="4" t="inlineStr">
        <is>
          <t>whitetail</t>
        </is>
      </c>
      <c r="D11712" s="4" t="n">
        <v>2014</v>
      </c>
      <c r="E11712" s="13" t="inlineStr">
        <is>
          <t>General</t>
        </is>
      </c>
      <c r="F11712" s="5" t="n"/>
      <c r="G11712" s="5" t="n"/>
      <c r="H11712" s="5" t="n">
        <v>1021</v>
      </c>
      <c r="I11712" s="5" t="n">
        <v>613</v>
      </c>
      <c r="J11712" s="5" t="n">
        <v>388</v>
      </c>
      <c r="K11712" s="10">
        <f>IF(F11712&gt;0,H11712/F11712,"")</f>
        <v/>
      </c>
      <c r="L11712" s="16">
        <f>IF(AND(G11712&gt;0,H11712&gt;0),G11712/H11712,"")</f>
        <v/>
      </c>
    </row>
    <row r="11713">
      <c r="A11713" s="4" t="inlineStr">
        <is>
          <t>705</t>
        </is>
      </c>
      <c r="B11713" s="4" t="n">
        <v>7</v>
      </c>
      <c r="C11713" s="4" t="inlineStr">
        <is>
          <t>whitetail</t>
        </is>
      </c>
      <c r="D11713" s="4" t="n">
        <v>2015</v>
      </c>
      <c r="E11713" s="13" t="inlineStr">
        <is>
          <t>General</t>
        </is>
      </c>
      <c r="F11713" s="5" t="n"/>
      <c r="G11713" s="5" t="n"/>
      <c r="H11713" s="5" t="n">
        <v>1336</v>
      </c>
      <c r="I11713" s="5" t="n">
        <v>785</v>
      </c>
      <c r="J11713" s="5" t="n">
        <v>516</v>
      </c>
      <c r="K11713" s="10">
        <f>IF(F11713&gt;0,H11713/F11713,"")</f>
        <v/>
      </c>
      <c r="L11713" s="16">
        <f>IF(AND(G11713&gt;0,H11713&gt;0),G11713/H11713,"")</f>
        <v/>
      </c>
    </row>
    <row r="11714">
      <c r="A11714" s="4" t="inlineStr">
        <is>
          <t>705</t>
        </is>
      </c>
      <c r="B11714" s="4" t="n">
        <v>7</v>
      </c>
      <c r="C11714" s="4" t="inlineStr">
        <is>
          <t>whitetail</t>
        </is>
      </c>
      <c r="D11714" s="4" t="n">
        <v>2016</v>
      </c>
      <c r="E11714" s="13" t="inlineStr">
        <is>
          <t>General</t>
        </is>
      </c>
      <c r="F11714" s="5" t="n"/>
      <c r="G11714" s="5" t="n"/>
      <c r="H11714" s="5" t="n">
        <v>1552</v>
      </c>
      <c r="I11714" s="5" t="n">
        <v>854</v>
      </c>
      <c r="J11714" s="5" t="n">
        <v>684</v>
      </c>
      <c r="K11714" s="10">
        <f>IF(F11714&gt;0,H11714/F11714,"")</f>
        <v/>
      </c>
      <c r="L11714" s="16">
        <f>IF(AND(G11714&gt;0,H11714&gt;0),G11714/H11714,"")</f>
        <v/>
      </c>
    </row>
    <row r="11715">
      <c r="A11715" s="4" t="inlineStr">
        <is>
          <t>705</t>
        </is>
      </c>
      <c r="B11715" s="4" t="n">
        <v>7</v>
      </c>
      <c r="C11715" s="4" t="inlineStr">
        <is>
          <t>whitetail</t>
        </is>
      </c>
      <c r="D11715" s="4" t="n">
        <v>2017</v>
      </c>
      <c r="E11715" s="13" t="inlineStr">
        <is>
          <t>General</t>
        </is>
      </c>
      <c r="F11715" s="5" t="n">
        <v>5389</v>
      </c>
      <c r="G11715" s="5" t="n">
        <v>25915</v>
      </c>
      <c r="H11715" s="5" t="n">
        <v>1401</v>
      </c>
      <c r="I11715" s="5" t="n">
        <v>788</v>
      </c>
      <c r="J11715" s="5" t="n">
        <v>599</v>
      </c>
      <c r="K11715" s="10">
        <f>IF(F11715&gt;0,H11715/F11715,"")</f>
        <v/>
      </c>
      <c r="L11715" s="16">
        <f>IF(AND(G11715&gt;0,H11715&gt;0),G11715/H11715,"")</f>
        <v/>
      </c>
    </row>
    <row r="11716">
      <c r="A11716" s="4" t="inlineStr">
        <is>
          <t>705</t>
        </is>
      </c>
      <c r="B11716" s="4" t="n">
        <v>7</v>
      </c>
      <c r="C11716" s="4" t="inlineStr">
        <is>
          <t>whitetail</t>
        </is>
      </c>
      <c r="D11716" s="4" t="n">
        <v>2018</v>
      </c>
      <c r="E11716" s="13" t="inlineStr">
        <is>
          <t>General</t>
        </is>
      </c>
      <c r="F11716" s="5" t="n"/>
      <c r="G11716" s="5" t="n"/>
      <c r="H11716" s="5" t="n">
        <v>1134</v>
      </c>
      <c r="I11716" s="5" t="n">
        <v>661</v>
      </c>
      <c r="J11716" s="5" t="n">
        <v>451</v>
      </c>
      <c r="K11716" s="10">
        <f>IF(F11716&gt;0,H11716/F11716,"")</f>
        <v/>
      </c>
      <c r="L11716" s="16">
        <f>IF(AND(G11716&gt;0,H11716&gt;0),G11716/H11716,"")</f>
        <v/>
      </c>
    </row>
    <row r="11717">
      <c r="A11717" s="4" t="inlineStr">
        <is>
          <t>705</t>
        </is>
      </c>
      <c r="B11717" s="4" t="n">
        <v>7</v>
      </c>
      <c r="C11717" s="4" t="inlineStr">
        <is>
          <t>whitetail</t>
        </is>
      </c>
      <c r="D11717" s="4" t="n">
        <v>2019</v>
      </c>
      <c r="E11717" s="13" t="inlineStr">
        <is>
          <t>General</t>
        </is>
      </c>
      <c r="F11717" s="5" t="n">
        <v>5643</v>
      </c>
      <c r="G11717" s="5" t="n">
        <v>27689</v>
      </c>
      <c r="H11717" s="5" t="n">
        <v>1396</v>
      </c>
      <c r="I11717" s="5" t="n">
        <v>842</v>
      </c>
      <c r="J11717" s="5" t="n">
        <v>541</v>
      </c>
      <c r="K11717" s="10">
        <f>IF(F11717&gt;0,H11717/F11717,"")</f>
        <v/>
      </c>
      <c r="L11717" s="16">
        <f>IF(AND(G11717&gt;0,H11717&gt;0),G11717/H11717,"")</f>
        <v/>
      </c>
    </row>
    <row r="11718">
      <c r="A11718" s="4" t="inlineStr">
        <is>
          <t>705</t>
        </is>
      </c>
      <c r="B11718" s="4" t="n">
        <v>7</v>
      </c>
      <c r="C11718" s="4" t="inlineStr">
        <is>
          <t>whitetail</t>
        </is>
      </c>
      <c r="D11718" s="4" t="n">
        <v>2020</v>
      </c>
      <c r="E11718" s="13" t="inlineStr">
        <is>
          <t>General</t>
        </is>
      </c>
      <c r="F11718" s="5" t="n"/>
      <c r="G11718" s="5" t="n"/>
      <c r="H11718" s="5" t="n">
        <v>1971</v>
      </c>
      <c r="I11718" s="5" t="n">
        <v>1033</v>
      </c>
      <c r="J11718" s="5" t="n">
        <v>931</v>
      </c>
      <c r="K11718" s="10">
        <f>IF(F11718&gt;0,H11718/F11718,"")</f>
        <v/>
      </c>
      <c r="L11718" s="16">
        <f>IF(AND(G11718&gt;0,H11718&gt;0),G11718/H11718,"")</f>
        <v/>
      </c>
    </row>
    <row r="11719">
      <c r="A11719" s="4" t="inlineStr">
        <is>
          <t>705</t>
        </is>
      </c>
      <c r="B11719" s="4" t="n">
        <v>7</v>
      </c>
      <c r="C11719" s="4" t="inlineStr">
        <is>
          <t>whitetail</t>
        </is>
      </c>
      <c r="D11719" s="4" t="n">
        <v>2021</v>
      </c>
      <c r="E11719" s="13" t="inlineStr">
        <is>
          <t>General</t>
        </is>
      </c>
      <c r="F11719" s="5" t="n">
        <v>5464</v>
      </c>
      <c r="G11719" s="5" t="n">
        <v>28793</v>
      </c>
      <c r="H11719" s="5" t="n">
        <v>1230</v>
      </c>
      <c r="I11719" s="5" t="n">
        <v>688</v>
      </c>
      <c r="J11719" s="5" t="n">
        <v>532</v>
      </c>
      <c r="K11719" s="10">
        <f>IF(F11719&gt;0,H11719/F11719,"")</f>
        <v/>
      </c>
      <c r="L11719" s="16">
        <f>IF(AND(G11719&gt;0,H11719&gt;0),G11719/H11719,"")</f>
        <v/>
      </c>
    </row>
    <row r="11720">
      <c r="A11720" s="4" t="inlineStr">
        <is>
          <t>705</t>
        </is>
      </c>
      <c r="B11720" s="4" t="n">
        <v>7</v>
      </c>
      <c r="C11720" s="4" t="inlineStr">
        <is>
          <t>whitetail</t>
        </is>
      </c>
      <c r="D11720" s="4" t="n">
        <v>2022</v>
      </c>
      <c r="E11720" s="13" t="inlineStr">
        <is>
          <t>General</t>
        </is>
      </c>
      <c r="F11720" s="5" t="n"/>
      <c r="G11720" s="5" t="n"/>
      <c r="H11720" s="5" t="n">
        <v>824</v>
      </c>
      <c r="I11720" s="5" t="n">
        <v>521</v>
      </c>
      <c r="J11720" s="5" t="n">
        <v>293</v>
      </c>
      <c r="K11720" s="10">
        <f>IF(F11720&gt;0,H11720/F11720,"")</f>
        <v/>
      </c>
      <c r="L11720" s="16">
        <f>IF(AND(G11720&gt;0,H11720&gt;0),G11720/H11720,"")</f>
        <v/>
      </c>
    </row>
    <row r="11721">
      <c r="A11721" s="4" t="inlineStr">
        <is>
          <t>705</t>
        </is>
      </c>
      <c r="B11721" s="4" t="n">
        <v>7</v>
      </c>
      <c r="C11721" s="4" t="inlineStr">
        <is>
          <t>whitetail</t>
        </is>
      </c>
      <c r="D11721" s="4" t="n">
        <v>2023</v>
      </c>
      <c r="E11721" s="13" t="inlineStr">
        <is>
          <t>General</t>
        </is>
      </c>
      <c r="F11721" s="5" t="n">
        <v>3682</v>
      </c>
      <c r="G11721" s="5" t="n">
        <v>19348</v>
      </c>
      <c r="H11721" s="5" t="n">
        <v>814</v>
      </c>
      <c r="I11721" s="5" t="n">
        <v>475</v>
      </c>
      <c r="J11721" s="5" t="n">
        <v>328</v>
      </c>
      <c r="K11721" s="10">
        <f>IF(F11721&gt;0,H11721/F11721,"")</f>
        <v/>
      </c>
      <c r="L11721" s="16">
        <f>IF(AND(G11721&gt;0,H11721&gt;0),G11721/H11721,"")</f>
        <v/>
      </c>
    </row>
    <row r="11722">
      <c r="A11722" s="4" t="inlineStr">
        <is>
          <t>705</t>
        </is>
      </c>
      <c r="B11722" s="4" t="n">
        <v>7</v>
      </c>
      <c r="C11722" s="4" t="inlineStr">
        <is>
          <t>whitetail</t>
        </is>
      </c>
      <c r="D11722" s="4" t="n">
        <v>2024</v>
      </c>
      <c r="E11722" s="13" t="inlineStr">
        <is>
          <t>General</t>
        </is>
      </c>
      <c r="F11722" s="5" t="n"/>
      <c r="G11722" s="5" t="n"/>
      <c r="H11722" s="5" t="n">
        <v>899</v>
      </c>
      <c r="I11722" s="5" t="n">
        <v>612</v>
      </c>
      <c r="J11722" s="5" t="n">
        <v>284</v>
      </c>
      <c r="K11722" s="10">
        <f>IF(F11722&gt;0,H11722/F11722,"")</f>
        <v/>
      </c>
      <c r="L11722" s="16">
        <f>IF(AND(G11722&gt;0,H11722&gt;0),G11722/H11722,"")</f>
        <v/>
      </c>
    </row>
    <row r="11723">
      <c r="A11723" s="4" t="inlineStr">
        <is>
          <t>705</t>
        </is>
      </c>
      <c r="B11723" s="4" t="n">
        <v>7</v>
      </c>
      <c r="C11723" s="4" t="inlineStr">
        <is>
          <t>whitetail</t>
        </is>
      </c>
      <c r="D11723" s="4" t="n">
        <v>2025</v>
      </c>
      <c r="E11723" s="13" t="inlineStr">
        <is>
          <t>General</t>
        </is>
      </c>
      <c r="F11723" s="5" t="n">
        <v>3585</v>
      </c>
      <c r="G11723" s="5" t="n">
        <v>20671</v>
      </c>
      <c r="H11723" s="5" t="n">
        <v>798</v>
      </c>
      <c r="I11723" s="5" t="n">
        <v>519</v>
      </c>
      <c r="J11723" s="5" t="n">
        <v>272</v>
      </c>
      <c r="K11723" s="10">
        <f>IF(F11723&gt;0,H11723/F11723,"")</f>
        <v/>
      </c>
      <c r="L11723" s="16">
        <f>IF(AND(G11723&gt;0,H11723&gt;0),G11723/H11723,"")</f>
        <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2026-10-23T02:41:19Z</dcterms:created>
  <dcterms:modified xsi:type="dcterms:W3CDTF">2026-10-23T02:41:37Z</dcterms:modified>
</cp:coreProperties>
</file>